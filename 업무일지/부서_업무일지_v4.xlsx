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comments/comment9.xml" ContentType="application/vnd.openxmlformats-officedocument.spreadsheetml.comments+xml"/>
  <Override PartName="/xl/worksheets/sheet15.xml" ContentType="application/vnd.openxmlformats-officedocument.spreadsheetml.worksheet+xml"/>
  <Override PartName="/xl/comments/comment10.xml" ContentType="application/vnd.openxmlformats-officedocument.spreadsheetml.comments+xml"/>
  <Override PartName="/xl/worksheets/sheet16.xml" ContentType="application/vnd.openxmlformats-officedocument.spreadsheetml.worksheet+xml"/>
  <Override PartName="/xl/comments/comment11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사용안내" sheetId="2" state="visible" r:id="rId2"/>
    <sheet name="월력표" sheetId="3" state="visible" r:id="rId3"/>
    <sheet name="업무일지" sheetId="4" state="visible" r:id="rId4"/>
    <sheet name="일일실시사항" sheetId="5" state="visible" r:id="rId5"/>
    <sheet name="사건마스터" sheetId="6" state="visible" r:id="rId6"/>
    <sheet name="사업마스터" sheetId="7" state="visible" r:id="rId7"/>
    <sheet name="사업추진일지" sheetId="8" state="visible" r:id="rId8"/>
    <sheet name="장비·매체 관리" sheetId="9" state="visible" r:id="rId9"/>
    <sheet name="진행중 보드" sheetId="10" state="visible" r:id="rId10"/>
    <sheet name="사건 이력 조회" sheetId="11" state="visible" r:id="rId11"/>
    <sheet name="사업별 현황" sheetId="12" state="visible" r:id="rId12"/>
    <sheet name="부서 전체현황" sheetId="13" state="visible" r:id="rId13"/>
    <sheet name="사건별 현황" sheetId="14" state="visible" r:id="rId14"/>
    <sheet name="개인별 현황" sheetId="15" state="visible" r:id="rId15"/>
    <sheet name="교육 이수 현황" sheetId="16" state="visible" r:id="rId16"/>
    <sheet name="입력검증" sheetId="17" state="visible" r:id="rId17"/>
    <sheet name="코드설정" sheetId="18" state="visible" r:id="rId18"/>
  </sheets>
  <definedNames>
    <definedName name="목록_직무구분">코드설정!$H$5:$H$7</definedName>
    <definedName name="목록_세부유형">코드설정!$B$5:$B$21</definedName>
    <definedName name="목록_담당자">코드설정!$C$5:$C$24</definedName>
    <definedName name="목록_요청처">코드설정!$E$5:$E$14</definedName>
    <definedName name="목록_진행상태">코드설정!$F$5:$F$7</definedName>
    <definedName name="목록_일일구분">코드설정!$G$5:$G$14</definedName>
    <definedName name="목록_팀">코드설정!$I$5:$I$14</definedName>
    <definedName name="목록_사건번호">사건마스터!$A$5:$A$64</definedName>
    <definedName name="목록_장비구분">코드설정!$M$5:$M$14</definedName>
    <definedName name="목록_장비상태">코드설정!$O$5:$O$8</definedName>
    <definedName name="목록_관리번호">'장비·매체 관리'!$A$6:$A$105</definedName>
    <definedName name="목록_사업구분">코드설정!$Q$5:$Q$14</definedName>
    <definedName name="목록_추진단계">코드설정!$S$5:$S$10</definedName>
    <definedName name="목록_사업번호">사업마스터!$A$5:$A$34</definedName>
    <definedName name="_xlnm.Print_Area" localSheetId="0">'대시보드'!$A$1:$M$47</definedName>
    <definedName name="_xlnm.Print_Area" localSheetId="2">'월력표'!$A$1:$G$35</definedName>
    <definedName name="_xlnm._FilterDatabase" localSheetId="3" hidden="1">'업무일지'!$A$4:$AH$1004</definedName>
    <definedName name="_xlnm.Print_Titles" localSheetId="3">'업무일지'!$4:$4</definedName>
    <definedName name="_xlnm._FilterDatabase" localSheetId="4" hidden="1">'일일실시사항'!$A$4:$K$1004</definedName>
    <definedName name="_xlnm.Print_Titles" localSheetId="4">'일일실시사항'!$4:$4</definedName>
    <definedName name="_xlnm._FilterDatabase" localSheetId="5" hidden="1">'사건마스터'!$A$4:$J$64</definedName>
    <definedName name="_xlnm.Print_Titles" localSheetId="5">'사건마스터'!$4:$4</definedName>
    <definedName name="_xlnm.Print_Area" localSheetId="5">'사건마스터'!$A$1:$J$64</definedName>
    <definedName name="_xlnm._FilterDatabase" localSheetId="6" hidden="1">'사업마스터'!$A$4:$Q$34</definedName>
    <definedName name="_xlnm.Print_Titles" localSheetId="6">'사업마스터'!$4:$4</definedName>
    <definedName name="_xlnm.Print_Area" localSheetId="6">'사업마스터'!$A$1:$Q$34</definedName>
    <definedName name="_xlnm._FilterDatabase" localSheetId="7" hidden="1">'사업추진일지'!$A$4:$L$404</definedName>
    <definedName name="_xlnm.Print_Titles" localSheetId="7">'사업추진일지'!$4:$4</definedName>
    <definedName name="_xlnm.Print_Area" localSheetId="7">'사업추진일지'!$A$1:$L$404</definedName>
    <definedName name="_xlnm._FilterDatabase" localSheetId="8" hidden="1">'장비·매체 관리'!$A$108:$K$508</definedName>
    <definedName name="_xlnm.Print_Titles" localSheetId="8">'장비·매체 관리'!$5:$5</definedName>
    <definedName name="_xlnm.Print_Area" localSheetId="9">'진행중 보드'!$A$1:$L$145</definedName>
    <definedName name="_xlnm.Print_Area" localSheetId="10">'사건 이력 조회'!$A$1:$L$104</definedName>
    <definedName name="_xlnm.Print_Area" localSheetId="11">'사업별 현황'!$A$1:$I$88</definedName>
    <definedName name="_xlnm.Print_Area" localSheetId="12">'부서 전체현황'!$A$1:$M$84</definedName>
    <definedName name="_xlnm._FilterDatabase" localSheetId="13" hidden="1">'사건별 현황'!$A$5:$P$65</definedName>
    <definedName name="_xlnm.Print_Titles" localSheetId="13">'사건별 현황'!$5:$5</definedName>
    <definedName name="_xlnm.Print_Area" localSheetId="13">'사건별 현황'!$A$1:$P$92</definedName>
    <definedName name="_xlnm.Print_Area" localSheetId="14">'개인별 현황'!$A$1:$N$54</definedName>
    <definedName name="_xlnm.Print_Area" localSheetId="15">'교육 이수 현황'!$A$1:$K$54</definedName>
    <definedName name="_xlnm._FilterDatabase" localSheetId="16" hidden="1">'입력검증'!$A$36:$D$2096</definedName>
    <definedName name="_xlnm.Print_Titles" localSheetId="16">'입력검증'!$36:$36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"/>
    <numFmt numFmtId="165" formatCode="#,##0;;-"/>
    <numFmt numFmtId="166" formatCode="#,##0.0;;-"/>
    <numFmt numFmtId="167" formatCode="yyyy-mm-dd"/>
    <numFmt numFmtId="168" formatCode="0.0%"/>
    <numFmt numFmtId="169" formatCode="0.0;;-"/>
    <numFmt numFmtId="170" formatCode="#,##0;(#,##0);-"/>
  </numFmts>
  <fonts count="2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FFFFFF"/>
      <sz val="8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1F3864"/>
      <sz val="13"/>
    </font>
    <font>
      <name val="Arial"/>
      <b val="1"/>
      <color rgb="00FFC7CE"/>
      <sz val="11"/>
    </font>
    <font>
      <name val="Arial"/>
      <b val="1"/>
      <color rgb="00FFFFFF"/>
      <sz val="11"/>
    </font>
    <font>
      <name val="Arial"/>
      <b val="1"/>
      <color rgb="00BDD7EE"/>
      <sz val="11"/>
    </font>
    <font>
      <name val="Arial"/>
      <b val="1"/>
      <color rgb="00C00000"/>
      <sz val="12"/>
    </font>
    <font>
      <name val="Arial"/>
      <b val="1"/>
      <color rgb="001F4E79"/>
      <sz val="9"/>
    </font>
    <font>
      <name val="Arial"/>
      <b val="1"/>
      <color rgb="00000000"/>
      <sz val="12"/>
    </font>
    <font>
      <name val="Arial"/>
      <b val="1"/>
      <color rgb="002E75B6"/>
      <sz val="12"/>
    </font>
    <font>
      <name val="Arial"/>
      <sz val="10"/>
    </font>
    <font>
      <name val="Arial"/>
      <b val="1"/>
      <color rgb="00C00000"/>
      <sz val="9"/>
    </font>
    <font>
      <name val="Arial"/>
      <b val="1"/>
      <color rgb="001F3864"/>
      <sz val="18"/>
    </font>
    <font>
      <name val="Arial"/>
      <b val="1"/>
      <color rgb="00FFFFFF"/>
      <sz val="12"/>
    </font>
    <font>
      <name val="Arial"/>
      <b val="1"/>
      <color rgb="001F3864"/>
      <sz val="10"/>
    </font>
    <font>
      <name val="Arial"/>
      <b val="1"/>
      <color rgb="009C5700"/>
      <sz val="9"/>
    </font>
    <font>
      <name val="Arial"/>
      <b val="1"/>
      <color rgb="004A5468"/>
      <sz val="9"/>
    </font>
    <font>
      <name val="Arial"/>
      <b val="1"/>
      <color rgb="00186B39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808080"/>
      </patternFill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EEBF7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7FD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medium">
        <color rgb="001F3864"/>
      </top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BFBFBF"/>
      </right>
      <bottom style="medium">
        <color rgb="001F3864"/>
      </bottom>
    </border>
    <border>
      <left style="thin">
        <color rgb="00BFBFBF"/>
      </left>
      <right style="thin">
        <color rgb="00BFBFBF"/>
      </right>
      <top style="medium">
        <color rgb="002E75B6"/>
      </top>
    </border>
    <border>
      <left style="thin">
        <color rgb="00BFBFBF"/>
      </left>
      <right style="thin">
        <color rgb="00BFBFBF"/>
      </right>
      <bottom style="thin">
        <color rgb="00BFBFBF"/>
      </bottom>
    </border>
    <border/>
  </borders>
  <cellStyleXfs count="1">
    <xf numFmtId="0" fontId="0" fillId="0" borderId="0"/>
  </cellStyleXfs>
  <cellXfs count="153">
    <xf numFmtId="0" fontId="0" fillId="0" borderId="0" pivotButton="0" quotePrefix="0" xfId="0"/>
    <xf numFmtId="0" fontId="20" fillId="0" borderId="0" pivotButton="0" quotePrefix="0" xfId="0"/>
    <xf numFmtId="0" fontId="21" fillId="10" borderId="0" pivotButton="0" quotePrefix="0" xfId="0"/>
    <xf numFmtId="0" fontId="0" fillId="10" borderId="0" pivotButton="0" quotePrefix="0" xfId="0"/>
    <xf numFmtId="0" fontId="22" fillId="5" borderId="1" applyAlignment="1" pivotButton="0" quotePrefix="0" xfId="0">
      <alignment horizontal="left" vertical="top"/>
    </xf>
    <xf numFmtId="0" fontId="18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9" fillId="5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64" fontId="14" fillId="7" borderId="6" applyAlignment="1" pivotButton="0" quotePrefix="0" xfId="0">
      <alignment horizontal="left" vertical="center"/>
    </xf>
    <xf numFmtId="164" fontId="16" fillId="7" borderId="6" applyAlignment="1" pivotButton="0" quotePrefix="0" xfId="0">
      <alignment horizontal="left" vertical="center"/>
    </xf>
    <xf numFmtId="164" fontId="17" fillId="7" borderId="6" applyAlignment="1" pivotButton="0" quotePrefix="0" xfId="0">
      <alignment horizontal="left" vertical="center"/>
    </xf>
    <xf numFmtId="0" fontId="15" fillId="8" borderId="7" applyAlignment="1" pivotButton="0" quotePrefix="0" xfId="0">
      <alignment horizontal="left" vertical="center"/>
    </xf>
    <xf numFmtId="0" fontId="4" fillId="9" borderId="8" applyAlignment="1" pivotButton="0" quotePrefix="0" xfId="0">
      <alignment horizontal="left" vertical="top" wrapText="1"/>
    </xf>
    <xf numFmtId="0" fontId="12" fillId="10" borderId="1" pivotButton="0" quotePrefix="0" xfId="0"/>
    <xf numFmtId="0" fontId="0" fillId="10" borderId="1" pivotButton="0" quotePrefix="0" xfId="0"/>
    <xf numFmtId="0" fontId="3" fillId="2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165" fontId="6" fillId="6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/>
    </xf>
    <xf numFmtId="168" fontId="6" fillId="11" borderId="1" applyAlignment="1" pivotButton="0" quotePrefix="0" xfId="0">
      <alignment horizontal="center" vertical="center"/>
    </xf>
    <xf numFmtId="169" fontId="6" fillId="11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/>
    </xf>
    <xf numFmtId="165" fontId="18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4" fontId="14" fillId="7" borderId="6" applyAlignment="1" pivotButton="0" quotePrefix="0" xfId="0">
      <alignment horizontal="left" vertical="center"/>
    </xf>
    <xf numFmtId="164" fontId="16" fillId="7" borderId="6" applyAlignment="1" pivotButton="0" quotePrefix="0" xfId="0">
      <alignment horizontal="left" vertical="center"/>
    </xf>
    <xf numFmtId="164" fontId="17" fillId="7" borderId="6" applyAlignment="1" pivotButton="0" quotePrefix="0" xfId="0">
      <alignment horizontal="left" vertical="center"/>
    </xf>
    <xf numFmtId="167" fontId="4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23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17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8" fontId="6" fillId="0" borderId="1" applyAlignment="1" pivotButton="0" quotePrefix="0" xfId="0">
      <alignment horizontal="center" vertical="center"/>
    </xf>
    <xf numFmtId="168" fontId="6" fillId="11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8" fillId="11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7" fontId="6" fillId="0" borderId="1" applyAlignment="1" pivotButton="0" quotePrefix="0" xfId="0">
      <alignment horizontal="center" vertical="center"/>
    </xf>
    <xf numFmtId="0" fontId="24" fillId="12" borderId="9" applyAlignment="1" pivotButton="0" quotePrefix="0" xfId="0">
      <alignment horizontal="center" vertical="center" wrapText="1"/>
    </xf>
    <xf numFmtId="165" fontId="20" fillId="12" borderId="7" applyAlignment="1" pivotButton="0" quotePrefix="0" xfId="0">
      <alignment horizontal="center" vertical="center"/>
    </xf>
    <xf numFmtId="0" fontId="25" fillId="12" borderId="10" applyAlignment="1" pivotButton="0" quotePrefix="0" xfId="0">
      <alignment horizontal="center" vertical="center"/>
    </xf>
    <xf numFmtId="165" fontId="0" fillId="0" borderId="0" pivotButton="0" quotePrefix="0" xfId="0"/>
    <xf numFmtId="0" fontId="1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165" fontId="8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70" fontId="8" fillId="11" borderId="1" applyAlignment="1" pivotButton="0" quotePrefix="0" xfId="0">
      <alignment horizontal="center" vertical="center"/>
    </xf>
    <xf numFmtId="168" fontId="6" fillId="11" borderId="1" applyAlignment="1" pivotButton="0" quotePrefix="0" xfId="0">
      <alignment horizontal="center" vertical="center"/>
    </xf>
    <xf numFmtId="0" fontId="0" fillId="0" borderId="11" pivotButton="0" quotePrefix="0" xfId="0"/>
    <xf numFmtId="0" fontId="20" fillId="0" borderId="11" pivotButton="0" quotePrefix="0" xfId="0"/>
    <xf numFmtId="0" fontId="21" fillId="10" borderId="11" pivotButton="0" quotePrefix="0" xfId="0"/>
    <xf numFmtId="0" fontId="0" fillId="10" borderId="11" pivotButton="0" quotePrefix="0" xfId="0"/>
    <xf numFmtId="0" fontId="22" fillId="0" borderId="11" applyAlignment="1" pivotButton="0" quotePrefix="0" xfId="0">
      <alignment horizontal="left" vertical="top"/>
    </xf>
    <xf numFmtId="0" fontId="18" fillId="0" borderId="11" applyAlignment="1" pivotButton="0" quotePrefix="0" xfId="0">
      <alignment horizontal="left" vertical="center" wrapText="1"/>
    </xf>
    <xf numFmtId="0" fontId="21" fillId="10" borderId="11" applyAlignment="1" pivotButton="0" quotePrefix="0" xfId="0">
      <alignment horizontal="left" vertical="top"/>
    </xf>
    <xf numFmtId="0" fontId="18" fillId="10" borderId="11" applyAlignment="1" pivotButton="0" quotePrefix="0" xfId="0">
      <alignment horizontal="left" vertical="center" wrapText="1"/>
    </xf>
    <xf numFmtId="0" fontId="21" fillId="0" borderId="11" pivotButton="0" quotePrefix="0" xfId="0"/>
  </cellXfs>
  <cellStyles count="1">
    <cellStyle name="Normal" xfId="0" builtinId="0" hidden="0"/>
  </cellStyles>
  <dxfs count="11">
    <dxf>
      <font>
        <b val="1"/>
        <color rgb="00C00000"/>
      </font>
      <fill>
        <patternFill patternType="solid">
          <fgColor rgb="00FCE4D6"/>
        </patternFill>
      </fill>
    </dxf>
    <dxf>
      <font>
        <b val="1"/>
        <color rgb="00FFFFFF"/>
      </font>
      <fill>
        <patternFill patternType="solid">
          <fgColor rgb="0070AD47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b val="1"/>
        <color rgb="00C00000"/>
      </font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  <dxf>
      <font>
        <b val="1"/>
        <color rgb="009C5700"/>
      </font>
      <fill>
        <patternFill patternType="solid">
          <fgColor rgb="00FFF2C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업무일지</author>
  </authors>
  <commentList>
    <comment ref="J13" authorId="0" shapeId="0">
      <text>
        <t>고유 사건 수입니다. 같은 사건을 여러 회차로 나눠 했어도 1로 셉니다. 전체 사건은 출장 사건 + 분석 사건이 아닙니다 — 한 사건에서 둘 다 했으면 전체에는 1로만 잡힙니다.</t>
      </text>
    </comment>
    <comment ref="I35" authorId="0" shapeId="0">
      <text>
        <t>예산이 배정되지 않은 사업은 집행률이 빈칸으로 남습니다. 합계 집행률도 예산 있는 사업만 기준입니다.</t>
      </text>
    </comment>
  </commentList>
</comments>
</file>

<file path=xl/comments/comment2.xml><?xml version="1.0" encoding="utf-8"?>
<comments xmlns="http://schemas.openxmlformats.org/spreadsheetml/2006/main">
  <authors>
    <author>업무일지</author>
  </authors>
  <commentList>
    <comment ref="G4" authorId="0" shapeId="0">
      <text>
        <t>같은 사건번호가 몇 번째로 기록되는지 자동으로 셉니다. 참관인 일정 때문에 모바일 분석을 3일에 나눠 했다면 1·2·3회차가 되고, 통계에서는 [회차]와 [사건 수]를 따로 집계합니다.</t>
      </text>
    </comment>
    <comment ref="H4" authorId="0" shapeId="0">
      <text>
        <t>사건번호를 고르면 자동으로 채워집니다. 사건번호가 없는 업무는 이 칸에 직접 입력하세요(수식이 지워집니다).</t>
      </text>
    </comment>
    <comment ref="J4" authorId="0" shapeId="0">
      <text>
        <t>사건번호를 고르면 [사건마스터] 배정표의 주담당·참여자가 자동으로 들어옵니다. 이 건만 인원이 다르면 칸을 직접 골라 덮어쓰세요(그 행의 수식만 사라집니다).</t>
      </text>
    </comment>
    <comment ref="Z4" authorId="0" shapeId="0">
      <text>
        <t>투입인원 = 주담당자 + 참여자 1~15 중 채워진 사람 수. 사건마스터에서 16명을 넘게 배정하면 앞의 15명만 넘어오니 나머지는 비고에 적어 주세요.</t>
      </text>
    </comment>
  </commentList>
</comments>
</file>

<file path=xl/comments/comment3.xml><?xml version="1.0" encoding="utf-8"?>
<comments xmlns="http://schemas.openxmlformats.org/spreadsheetml/2006/main">
  <authors>
    <author>업무일지</author>
  </authors>
  <commentList>
    <comment ref="G4" authorId="0" shapeId="0">
      <text>
        <t>배정인원 = L열부터의 배정칸에 '주담당' 또는 '참여'가 표시된 담당자 수</t>
      </text>
    </comment>
    <comment ref="I4" authorId="0" shapeId="0">
      <text>
        <t>배정된 담당자 이름을 쉼표로 자동 연결합니다. 담당자 명단은 [코드설정] C열을 그대로 따릅니다.</t>
      </text>
    </comment>
  </commentList>
</comments>
</file>

<file path=xl/comments/comment4.xml><?xml version="1.0" encoding="utf-8"?>
<comments xmlns="http://schemas.openxmlformats.org/spreadsheetml/2006/main">
  <authors>
    <author>업무일지</author>
  </authors>
  <commentList>
    <comment ref="G4" authorId="0" shapeId="0">
      <text>
        <t>예산이 배정되지 않은 사업은 비워 두세요. 집행률과 잔액이 0%가 아니라 빈칸으로 남고, 부서 집행률 집계에서도 제외됩니다.</t>
      </text>
    </comment>
    <comment ref="M4" authorId="0" shapeId="0">
      <text>
        <t>[사업추진일지]에 기록된 추진 단계 중 가장 진행된 단계입니다. 단계를 적지 않은 사업은 '미착수'로 표시됩니다.</t>
      </text>
    </comment>
    <comment ref="N4" authorId="0" shapeId="0">
      <text>
        <t>현재 단계에 해당하는 진척률입니다. 단계별 진척률은 [코드설정] T열에서 바꿀 수 있습니다.</t>
      </text>
    </comment>
  </commentList>
</comments>
</file>

<file path=xl/comments/comment5.xml><?xml version="1.0" encoding="utf-8"?>
<comments xmlns="http://schemas.openxmlformats.org/spreadsheetml/2006/main">
  <authors>
    <author>업무일지</author>
  </authors>
  <commentList>
    <comment ref="E4" authorId="0" shapeId="0">
      <text>
        <t>선택 입력입니다. 단계를 적으면 [사업마스터]의 현재 단계가 그 중 가장 진행된 단계로 올라갑니다. 단계와 무관한 중간 기록은 비워 두세요.</t>
      </text>
    </comment>
    <comment ref="I4" authorId="0" shapeId="0">
      <text>
        <t>그 건에서 집행한 금액입니다. 합계가 [사업마스터]의 집행액으로 올라갑니다. 예산 없는 사업은 비워 두세요.</t>
      </text>
    </comment>
  </commentList>
</comments>
</file>

<file path=xl/comments/comment6.xml><?xml version="1.0" encoding="utf-8"?>
<comments xmlns="http://schemas.openxmlformats.org/spreadsheetml/2006/main">
  <authors>
    <author>업무일지</author>
  </authors>
  <commentList>
    <comment ref="H5" authorId="0" shapeId="0">
      <text>
        <t>아래 [불출·반납 이력]에 반납일이 비어 있는 줄이 하나라도 있으면 '불출중'으로 표시됩니다.</t>
      </text>
    </comment>
  </commentList>
</comments>
</file>

<file path=xl/comments/comment7.xml><?xml version="1.0" encoding="utf-8"?>
<comments xmlns="http://schemas.openxmlformats.org/spreadsheetml/2006/main">
  <authors>
    <author>업무일지</author>
  </authors>
  <commentList>
    <comment ref="F15" authorId="0" shapeId="0">
      <text>
        <t>그 단계에 기록이 하나라도 있으면 ○ 입니다. 합계 칸은 도달한 단계 수 / 전체 단계 수입니다.</t>
      </text>
    </comment>
  </commentList>
</comments>
</file>

<file path=xl/comments/comment8.xml><?xml version="1.0" encoding="utf-8"?>
<comments xmlns="http://schemas.openxmlformats.org/spreadsheetml/2006/main">
  <authors>
    <author>업무일지</author>
  </authors>
  <commentList>
    <comment ref="B6" authorId="0" shapeId="0">
      <text>
        <t>회차 = 업무일지에 기록된 줄 수입니다. 같은 사건을 여러 날 나눠 하면 그만큼 늘어납니다.</t>
      </text>
    </comment>
    <comment ref="C6" authorId="0" shapeId="0">
      <text>
        <t>그 달에 출장 작업이 있었던 사건의 개수입니다. 같은 사건에 압수수색을 두 번 나가도 1로 셉니다. 달마다 세므로 12개월을 더하면 중복이 생겨, 합계 칸은 연간 기준으로 따로 계산합니다.</t>
      </text>
    </comment>
    <comment ref="E6" authorId="0" shapeId="0">
      <text>
        <t>그 달에 분석 작업이 있었던 사건의 개수입니다. 참관 일정 때문에 모바일 분석을 3회로 나눠 했어도 1로 셉니다.</t>
      </text>
    </comment>
    <comment ref="F6" authorId="0" shapeId="0">
      <text>
        <t>교육은 사건과 묶이지 않으므로 회차만 셉니다.</t>
      </text>
    </comment>
    <comment ref="H6" authorId="0" shapeId="0">
      <text>
        <t>그 달에 어떤 작업이든 있었던 사건의 개수입니다. 한 사건에서 출장과 분석을 모두 했다면 앞의 두 칸에는 각각 1로, 여기에는 1로만 잡힙니다 — 두 칸을 더하지 마세요.</t>
      </text>
    </comment>
    <comment ref="I6" authorId="0" shapeId="0">
      <text>
        <t>그 달에 처음 착수한 사건의 개수입니다([사건별 현황]의 최초 착수일 기준). 12개월을 더하면 그해 새로 들어온 사건 수가 됩니다.</t>
      </text>
    </comment>
    <comment ref="J43" authorId="0" shapeId="0">
      <text>
        <t>그 팀이 주담당으로 맡은 사건 중 올해 출장 작업이 있었던 사건의 개수입니다. 회차가 몇 번이든 1로 셉니다.</t>
      </text>
    </comment>
    <comment ref="L43" authorId="0" shapeId="0">
      <text>
        <t>합계 칸은 팀별 값의 단순 합이 아니라 부서 전체 고유 사건 수입니다. 한 사건에 두 팀이 걸쳐 있으면 팀별 값을 더한 수가 부서 합계보다 커지기 때문입니다.</t>
      </text>
    </comment>
  </commentList>
</comments>
</file>

<file path=xl/comments/comment9.xml><?xml version="1.0" encoding="utf-8"?>
<comments xmlns="http://schemas.openxmlformats.org/spreadsheetml/2006/main">
  <authors>
    <author>업무일지</author>
  </authors>
  <commentList>
    <comment ref="H5" authorId="0" shapeId="0">
      <text>
        <t>이 사건에서 출장과 분석을 각각 했는지 보여줍니다. 회차가 몇 번이든 사건 단위로는 한 번으로 봅니다. 합계 칸은 출장을 한 사건 수 / 분석을 한 사건 수입니다.</t>
      </text>
    </comment>
  </commentList>
</comments>
</file>

<file path=xl/comments/comment10.xml><?xml version="1.0" encoding="utf-8"?>
<comments xmlns="http://schemas.openxmlformats.org/spreadsheetml/2006/main">
  <authors>
    <author>업무일지</author>
  </authors>
  <commentList>
    <comment ref="L6" authorId="0" shapeId="0">
      <text>
        <t>본인이 참여한 사건의 개수입니다. 같은 사건을 여러 회차로 나눠 했어도 1로 셉니다. 합계 칸은 개인별 값의 단순 합이 아니라 부서 전체 고유 사건 수입니다 — 한 사건에 여러 명이 참여하므로 개인별 값을 더하면 중복됩니다.</t>
      </text>
    </comment>
  </commentList>
</comments>
</file>

<file path=xl/comments/comment11.xml><?xml version="1.0" encoding="utf-8"?>
<comments xmlns="http://schemas.openxmlformats.org/spreadsheetml/2006/main">
  <authors>
    <author>업무일지</author>
  </authors>
  <commentList>
    <comment ref="D3" authorId="0" shapeId="0">
      <text>
        <t>담당자가 한 해에 이 횟수 이상 교육에 참여하면 '이수'로 봅니다. 부서 방침에 맞게 바꾸세요. [업무일지]의 교육 회차와 [일일실시사항]의 교육·훈련 건수를 합쳐서 셉니다.</t>
      </text>
    </comment>
    <comment ref="H6" authorId="0" shapeId="0">
      <text>
        <t>[업무일지]에서 직무구분이 '교육'이고 참여자 명단에 이름이 있는 회차를 셉니다. 주담당·참여를 구분하지 않습니다.</t>
      </text>
    </comment>
    <comment ref="I6" authorId="0" shapeId="0">
      <text>
        <t>[일일실시사항]에서 업무구분이 '교육·훈련'이고 담당자가 본인인 건을 셉니다.</t>
      </text>
    </comment>
  </commentList>
</comments>
</file>

<file path=xl/comments/comment12.xml><?xml version="1.0" encoding="utf-8"?>
<comments xmlns="http://schemas.openxmlformats.org/spreadsheetml/2006/main">
  <authors>
    <author>업무일지</author>
  </authors>
  <commentList>
    <comment ref="C4" authorId="0" shapeId="0">
      <text>
        <t>담당자를 추가하면 [사건마스터] 배정표 · [개인별 현황] · [사건별 현황]에 자동 반영됩니다. 최대 20명(5~24행).</t>
      </text>
    </comment>
    <comment ref="T4" authorId="0" shapeId="0">
      <text>
        <t>추진 단계가 그 단계에 도달했을 때의 진척률입니다. 부서 기준에 맞게 바꿔도 됩니다. [사업마스터]의 진척률이 이 값을 그대로 가져옵니다.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4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5" customWidth="1" min="7" max="7"/>
    <col width="26" customWidth="1" min="8" max="8"/>
    <col width="11" customWidth="1" min="9" max="9"/>
    <col width="11" customWidth="1" min="10" max="10"/>
    <col width="13" customWidth="1" min="11" max="11"/>
    <col width="13" customWidth="1" min="12" max="12"/>
    <col width="13" customWidth="1" min="13" max="13"/>
    <col width="3" customWidth="1" min="14" max="14"/>
  </cols>
  <sheetData>
    <row r="1" ht="24" customHeight="1">
      <c r="A1" s="6" t="inlineStr">
        <is>
          <t>대시보드  ·  부서 업무 현황</t>
        </is>
      </c>
    </row>
    <row r="2" ht="26" customHeight="1">
      <c r="A2" s="7" t="inlineStr">
        <is>
          <t>※ 노란 칸(연도·월)만 바꾸면 아래 전부 다시 계산됩니다.  ※ 파일을 열 때마다 오늘 날짜 기준으로 갱신됩니다.  ※ 회차 = 업무일지 줄 수 / 사건 = 고유 사건 수.</t>
        </is>
      </c>
    </row>
    <row r="4">
      <c r="A4" s="120" t="inlineStr">
        <is>
          <t>조회 연도</t>
        </is>
      </c>
      <c r="B4" s="121" t="n">
        <v>2026</v>
      </c>
      <c r="C4" s="120" t="inlineStr">
        <is>
          <t>조회 월</t>
        </is>
      </c>
      <c r="D4" s="121" t="n">
        <v>3</v>
      </c>
      <c r="E4" s="122">
        <f>TEXT(DATE($B$4,$D$4,1),"yyyy-mm-dd")&amp;" ~ "&amp;TEXT(DATE($B$4,$D$4+1,1)-1,"yyyy-mm-dd")</f>
        <v/>
      </c>
      <c r="F4" s="11" t="n"/>
      <c r="G4" s="12" t="n"/>
      <c r="H4" s="120" t="inlineStr">
        <is>
          <t>오늘</t>
        </is>
      </c>
      <c r="I4" s="123">
        <f>TODAY()</f>
        <v/>
      </c>
    </row>
    <row r="6" ht="20" customHeight="1">
      <c r="A6" s="21" t="inlineStr">
        <is>
          <t>1.  이번 달 한눈에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</row>
    <row r="7" ht="17" customHeight="1">
      <c r="A7" s="120" t="inlineStr">
        <is>
          <t>구분</t>
        </is>
      </c>
      <c r="B7" s="124" t="inlineStr">
        <is>
          <t>출장 회차</t>
        </is>
      </c>
      <c r="C7" s="124" t="inlineStr">
        <is>
          <t>분석 회차</t>
        </is>
      </c>
      <c r="D7" s="124" t="inlineStr">
        <is>
          <t>교육 회차</t>
        </is>
      </c>
      <c r="E7" s="124" t="inlineStr">
        <is>
          <t>전체 회차</t>
        </is>
      </c>
      <c r="F7" s="124" t="inlineStr">
        <is>
          <t>진행중</t>
        </is>
      </c>
      <c r="G7" s="124" t="inlineStr">
        <is>
          <t>일일실시</t>
        </is>
      </c>
      <c r="H7" s="124" t="inlineStr">
        <is>
          <t>대상매체(건)</t>
        </is>
      </c>
    </row>
    <row r="8" ht="28" customHeight="1">
      <c r="A8" s="120" t="inlineStr">
        <is>
          <t>이번 달</t>
        </is>
      </c>
      <c r="B8" s="125">
        <f>COUNTIFS(업무일지!$B$5:$B$1004,"&gt;="&amp;DATE($B$4,$D$4,1),업무일지!$B$5:$B$1004,"&lt;"&amp;DATE($B$4,$D$4+1,1),업무일지!$D$5:$D$1004,"출장")</f>
        <v/>
      </c>
      <c r="C8" s="125">
        <f>COUNTIFS(업무일지!$B$5:$B$1004,"&gt;="&amp;DATE($B$4,$D$4,1),업무일지!$B$5:$B$1004,"&lt;"&amp;DATE($B$4,$D$4+1,1),업무일지!$D$5:$D$1004,"분석")</f>
        <v/>
      </c>
      <c r="D8" s="125">
        <f>COUNTIFS(업무일지!$B$5:$B$1004,"&gt;="&amp;DATE($B$4,$D$4,1),업무일지!$B$5:$B$1004,"&lt;"&amp;DATE($B$4,$D$4+1,1),업무일지!$D$5:$D$1004,"교육")</f>
        <v/>
      </c>
      <c r="E8" s="125">
        <f>B8+C8+D8</f>
        <v/>
      </c>
      <c r="F8" s="125">
        <f>COUNTIF(업무일지!$AG$5:$AG$1004,"진행중")</f>
        <v/>
      </c>
      <c r="G8" s="125">
        <f>COUNTIFS(일일실시사항!$B$5:$B$1004,"&gt;="&amp;DATE($B$4,$D$4,1),일일실시사항!$B$5:$B$1004,"&lt;"&amp;DATE($B$4,$D$4+1,1))</f>
        <v/>
      </c>
      <c r="H8" s="125">
        <f>SUMIFS(업무일지!$AD$5:$AD$1004,업무일지!$B$5:$B$1004,"&gt;="&amp;DATE($B$4,$D$4,1),업무일지!$B$5:$B$1004,"&lt;"&amp;DATE($B$4,$D$4+1,1))</f>
        <v/>
      </c>
    </row>
    <row r="9" ht="15" customHeight="1">
      <c r="A9" s="120" t="inlineStr">
        <is>
          <t>전월 대비</t>
        </is>
      </c>
      <c r="B9" s="126">
        <f>IF(B10=0,"",IF(B8&gt;=B10,"▲ ","▼ ")&amp;TEXT(ABS(B8-B10),"#,##0")&amp;" (전월 "&amp;B10&amp;")")</f>
        <v/>
      </c>
      <c r="C9" s="126">
        <f>IF(C10=0,"",IF(C8&gt;=C10,"▲ ","▼ ")&amp;TEXT(ABS(C8-C10),"#,##0")&amp;" (전월 "&amp;C10&amp;")")</f>
        <v/>
      </c>
      <c r="D9" s="126">
        <f>IF(D10=0,"",IF(D8&gt;=D10,"▲ ","▼ ")&amp;TEXT(ABS(D8-D10),"#,##0")&amp;" (전월 "&amp;D10&amp;")")</f>
        <v/>
      </c>
      <c r="E9" s="126">
        <f>IF(E10=0,"",IF(E8&gt;=E10,"▲ ","▼ ")&amp;TEXT(ABS(E8-E10),"#,##0")&amp;" (전월 "&amp;E10&amp;")")</f>
        <v/>
      </c>
      <c r="F9" s="126" t="inlineStr"/>
      <c r="G9" s="126">
        <f>IF(G10=0,"",IF(G8&gt;=G10,"▲ ","▼ ")&amp;TEXT(ABS(G8-G10),"#,##0")&amp;" (전월 "&amp;G10&amp;")")</f>
        <v/>
      </c>
      <c r="H9" s="126">
        <f>IF(H10=0,"",IF(H8&gt;=H10,"▲ ","▼ ")&amp;TEXT(ABS(H8-H10),"#,##0")&amp;" (전월 "&amp;H10&amp;")")</f>
        <v/>
      </c>
    </row>
    <row r="10" hidden="1">
      <c r="B10" s="127">
        <f>COUNTIFS(업무일지!$B$5:$B$1004,"&gt;="&amp;DATE($B$4,$D$4-1,1),업무일지!$B$5:$B$1004,"&lt;"&amp;DATE($B$4,$D$4,1),업무일지!$D$5:$D$1004,"출장")</f>
        <v/>
      </c>
      <c r="C10" s="127">
        <f>COUNTIFS(업무일지!$B$5:$B$1004,"&gt;="&amp;DATE($B$4,$D$4-1,1),업무일지!$B$5:$B$1004,"&lt;"&amp;DATE($B$4,$D$4,1),업무일지!$D$5:$D$1004,"분석")</f>
        <v/>
      </c>
      <c r="D10" s="127">
        <f>COUNTIFS(업무일지!$B$5:$B$1004,"&gt;="&amp;DATE($B$4,$D$4-1,1),업무일지!$B$5:$B$1004,"&lt;"&amp;DATE($B$4,$D$4,1),업무일지!$D$5:$D$1004,"교육")</f>
        <v/>
      </c>
      <c r="E10" s="127">
        <f>B10+C10+D10</f>
        <v/>
      </c>
      <c r="G10" s="127">
        <f>COUNTIFS(일일실시사항!$B$5:$B$1004,"&gt;="&amp;DATE($B$4,$D$4-1,1),일일실시사항!$B$5:$B$1004,"&lt;"&amp;DATE($B$4,$D$4,1))</f>
        <v/>
      </c>
      <c r="H10" s="127">
        <f>SUMIFS(업무일지!$AD$5:$AD$1004,업무일지!$B$5:$B$1004,"&gt;="&amp;DATE($B$4,$D$4-1,1),업무일지!$B$5:$B$1004,"&lt;"&amp;DATE($B$4,$D$4,1))</f>
        <v/>
      </c>
    </row>
    <row r="12" ht="20" customHeight="1">
      <c r="A12" s="21" t="inlineStr">
        <is>
          <t>2.  확인이 필요한 것</t>
        </is>
      </c>
      <c r="B12" s="22" t="n"/>
      <c r="C12" s="22" t="n"/>
      <c r="D12" s="22" t="n"/>
      <c r="E12" s="22" t="n"/>
      <c r="F12" s="22" t="n"/>
      <c r="H12" s="21" t="inlineStr">
        <is>
          <t>3.  사건 기준 집계</t>
        </is>
      </c>
      <c r="I12" s="22" t="inlineStr"/>
      <c r="J12" s="22" t="inlineStr"/>
      <c r="K12" s="22" t="inlineStr"/>
    </row>
    <row r="13" ht="30" customHeight="1">
      <c r="A13" s="23" t="inlineStr">
        <is>
          <t>항목</t>
        </is>
      </c>
      <c r="B13" s="23" t="inlineStr">
        <is>
          <t>건수</t>
        </is>
      </c>
      <c r="C13" s="23" t="inlineStr">
        <is>
          <t>상태</t>
        </is>
      </c>
      <c r="D13" s="23" t="inlineStr">
        <is>
          <t>확인할 곳</t>
        </is>
      </c>
      <c r="E13" s="11" t="n"/>
      <c r="F13" s="12" t="n"/>
      <c r="H13" s="23" t="inlineStr">
        <is>
          <t>구분</t>
        </is>
      </c>
      <c r="I13" s="23" t="inlineStr">
        <is>
          <t>회차</t>
        </is>
      </c>
      <c r="J13" s="23" t="inlineStr">
        <is>
          <t>사건 수</t>
        </is>
      </c>
      <c r="K13" s="23" t="inlineStr">
        <is>
          <t>비고</t>
        </is>
      </c>
    </row>
    <row r="14">
      <c r="A14" s="128" t="inlineStr">
        <is>
          <t>입력검증 오류</t>
        </is>
      </c>
      <c r="B14" s="129">
        <f>'입력검증'!$C$9</f>
        <v/>
      </c>
      <c r="C14" s="130">
        <f>IF($B14=0,"이상 없음","확인 필요")</f>
        <v/>
      </c>
      <c r="D14" s="131" t="inlineStr">
        <is>
          <t>[입력검증]</t>
        </is>
      </c>
      <c r="E14" s="11" t="n"/>
      <c r="F14" s="12" t="n"/>
      <c r="H14" s="128" t="inlineStr">
        <is>
          <t>출장</t>
        </is>
      </c>
      <c r="I14" s="129">
        <f>INDEX('부서 전체현황'!$B$7:$B$18,$D$4)</f>
        <v/>
      </c>
      <c r="J14" s="129">
        <f>INDEX('부서 전체현황'!$C$7:$C$18,$D$4)</f>
        <v/>
      </c>
      <c r="K14" s="132" t="inlineStr"/>
      <c r="L14" s="11" t="n"/>
      <c r="M14" s="12" t="n"/>
    </row>
    <row r="15">
      <c r="A15" s="128" t="inlineStr">
        <is>
          <t>장비 반납 연체</t>
        </is>
      </c>
      <c r="B15" s="129">
        <f>COUNTIF('장비·매체 관리'!$J$109:$J$508,"연체")</f>
        <v/>
      </c>
      <c r="C15" s="130">
        <f>IF($B15=0,"이상 없음","확인 필요")</f>
        <v/>
      </c>
      <c r="D15" s="131" t="inlineStr">
        <is>
          <t>[장비·매체 관리]</t>
        </is>
      </c>
      <c r="E15" s="11" t="n"/>
      <c r="F15" s="12" t="n"/>
      <c r="H15" s="128" t="inlineStr">
        <is>
          <t>분석</t>
        </is>
      </c>
      <c r="I15" s="129">
        <f>INDEX('부서 전체현황'!$D$7:$D$18,$D$4)</f>
        <v/>
      </c>
      <c r="J15" s="129">
        <f>INDEX('부서 전체현황'!$E$7:$E$18,$D$4)</f>
        <v/>
      </c>
      <c r="K15" s="132" t="inlineStr"/>
      <c r="L15" s="11" t="n"/>
      <c r="M15" s="12" t="n"/>
    </row>
    <row r="16">
      <c r="A16" s="128" t="inlineStr">
        <is>
          <t>30일 초과 진행중</t>
        </is>
      </c>
      <c r="B16" s="129">
        <f>'진행중 보드'!$C$10</f>
        <v/>
      </c>
      <c r="C16" s="130">
        <f>IF($B16=0,"이상 없음","확인 필요")</f>
        <v/>
      </c>
      <c r="D16" s="131" t="inlineStr">
        <is>
          <t>[진행중 보드]</t>
        </is>
      </c>
      <c r="E16" s="11" t="n"/>
      <c r="F16" s="12" t="n"/>
      <c r="H16" s="128" t="inlineStr">
        <is>
          <t>교육</t>
        </is>
      </c>
      <c r="I16" s="129">
        <f>INDEX('부서 전체현황'!$F$7:$F$18,$D$4)</f>
        <v/>
      </c>
      <c r="J16" s="129" t="inlineStr">
        <is>
          <t>"-"</t>
        </is>
      </c>
      <c r="K16" s="132" t="inlineStr">
        <is>
          <t>사건과 묶이지 않음</t>
        </is>
      </c>
      <c r="L16" s="11" t="n"/>
      <c r="M16" s="12" t="n"/>
    </row>
    <row r="17">
      <c r="A17" s="128" t="inlineStr">
        <is>
          <t>사업 완료예정일 경과</t>
        </is>
      </c>
      <c r="B17" s="129">
        <f>SUMPRODUCT((사업마스터!$L$5:$L$34&gt;0)*(사업마스터!$L$5:$L$34&lt;TODAY())*(사업마스터!$P$5:$P$34&lt;&gt;"완료"))</f>
        <v/>
      </c>
      <c r="C17" s="130">
        <f>IF($B17=0,"이상 없음","확인 필요")</f>
        <v/>
      </c>
      <c r="D17" s="131" t="inlineStr">
        <is>
          <t>[사업마스터]</t>
        </is>
      </c>
      <c r="E17" s="11" t="n"/>
      <c r="F17" s="12" t="n"/>
      <c r="H17" s="133" t="inlineStr">
        <is>
          <t>전체</t>
        </is>
      </c>
      <c r="I17" s="134">
        <f>INDEX('부서 전체현황'!$G$7:$G$18,$D$4)</f>
        <v/>
      </c>
      <c r="J17" s="134">
        <f>INDEX('부서 전체현황'!$H$7:$H$18,$D$4)</f>
        <v/>
      </c>
      <c r="K17" s="135">
        <f>INDEX('부서 전체현황'!$I$7:$I$18,$D$4)&amp;" 건 신규 착수"</f>
        <v/>
      </c>
      <c r="L17" s="11" t="n"/>
      <c r="M17" s="12" t="n"/>
    </row>
    <row r="19" ht="20" customHeight="1">
      <c r="A19" s="21" t="inlineStr">
        <is>
          <t>4.  진행중 · 오래된 순 TOP 5   ※ 전체는 [진행중 보드]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</row>
    <row r="20" ht="30" customHeight="1">
      <c r="A20" s="23" t="inlineStr">
        <is>
          <t>경과일</t>
        </is>
      </c>
      <c r="B20" s="23" t="inlineStr">
        <is>
          <t>사건번호</t>
        </is>
      </c>
      <c r="C20" s="23" t="inlineStr">
        <is>
          <t>회차</t>
        </is>
      </c>
      <c r="D20" s="23" t="inlineStr">
        <is>
          <t>사건명</t>
        </is>
      </c>
      <c r="E20" s="23" t="inlineStr">
        <is>
          <t>직무</t>
        </is>
      </c>
      <c r="F20" s="23" t="inlineStr">
        <is>
          <t>세부유형</t>
        </is>
      </c>
      <c r="G20" s="23" t="inlineStr">
        <is>
          <t>주담당</t>
        </is>
      </c>
      <c r="H20" s="23" t="inlineStr">
        <is>
          <t>인원</t>
        </is>
      </c>
      <c r="I20" s="23" t="inlineStr">
        <is>
          <t>시작일</t>
        </is>
      </c>
      <c r="J20" s="23" t="inlineStr">
        <is>
          <t>장소</t>
        </is>
      </c>
      <c r="K20" s="23" t="inlineStr">
        <is>
          <t>진행상태</t>
        </is>
      </c>
      <c r="L20" s="23" t="inlineStr">
        <is>
          <t>대상매체</t>
        </is>
      </c>
      <c r="M20" s="23" t="inlineStr">
        <is>
          <t>데이터량</t>
        </is>
      </c>
    </row>
    <row r="21">
      <c r="A21" s="129">
        <f>IF('진행중 보드'!$A13="","",'진행중 보드'!$B13)</f>
        <v/>
      </c>
      <c r="B21" s="136">
        <f>IF('진행중 보드'!$A13="","",'진행중 보드'!$G13)</f>
        <v/>
      </c>
      <c r="C21" s="136">
        <f>IF('진행중 보드'!$A13="","","-")</f>
        <v/>
      </c>
      <c r="D21" s="131">
        <f>IF('진행중 보드'!$A13="","",'진행중 보드'!$H13)</f>
        <v/>
      </c>
      <c r="E21" s="136">
        <f>IF('진행중 보드'!$A13="","",'진행중 보드'!$E13)</f>
        <v/>
      </c>
      <c r="F21" s="131">
        <f>IF('진행중 보드'!$A13="","",'진행중 보드'!$F13)</f>
        <v/>
      </c>
      <c r="G21" s="136">
        <f>IF('진행중 보드'!$A13="","",'진행중 보드'!$I13)</f>
        <v/>
      </c>
      <c r="H21" s="129">
        <f>IF('진행중 보드'!$A13="","",'진행중 보드'!$J13)</f>
        <v/>
      </c>
      <c r="I21" s="137">
        <f>IF('진행중 보드'!$A13="","",'진행중 보드'!$C13)</f>
        <v/>
      </c>
      <c r="J21" s="131">
        <f>IF('진행중 보드'!$A13="","",'진행중 보드'!$K13)</f>
        <v/>
      </c>
      <c r="K21" s="136">
        <f>IF('진행중 보드'!$A13="","","진행중")</f>
        <v/>
      </c>
      <c r="L21" s="136">
        <f>IF('진행중 보드'!$A13="","","-")</f>
        <v/>
      </c>
      <c r="M21" s="136">
        <f>IF('진행중 보드'!$A13="","","-")</f>
        <v/>
      </c>
    </row>
    <row r="22">
      <c r="A22" s="129">
        <f>IF('진행중 보드'!$A14="","",'진행중 보드'!$B14)</f>
        <v/>
      </c>
      <c r="B22" s="136">
        <f>IF('진행중 보드'!$A14="","",'진행중 보드'!$G14)</f>
        <v/>
      </c>
      <c r="C22" s="136">
        <f>IF('진행중 보드'!$A14="","","-")</f>
        <v/>
      </c>
      <c r="D22" s="131">
        <f>IF('진행중 보드'!$A14="","",'진행중 보드'!$H14)</f>
        <v/>
      </c>
      <c r="E22" s="136">
        <f>IF('진행중 보드'!$A14="","",'진행중 보드'!$E14)</f>
        <v/>
      </c>
      <c r="F22" s="131">
        <f>IF('진행중 보드'!$A14="","",'진행중 보드'!$F14)</f>
        <v/>
      </c>
      <c r="G22" s="136">
        <f>IF('진행중 보드'!$A14="","",'진행중 보드'!$I14)</f>
        <v/>
      </c>
      <c r="H22" s="129">
        <f>IF('진행중 보드'!$A14="","",'진행중 보드'!$J14)</f>
        <v/>
      </c>
      <c r="I22" s="137">
        <f>IF('진행중 보드'!$A14="","",'진행중 보드'!$C14)</f>
        <v/>
      </c>
      <c r="J22" s="131">
        <f>IF('진행중 보드'!$A14="","",'진행중 보드'!$K14)</f>
        <v/>
      </c>
      <c r="K22" s="136">
        <f>IF('진행중 보드'!$A14="","","진행중")</f>
        <v/>
      </c>
      <c r="L22" s="136">
        <f>IF('진행중 보드'!$A14="","","-")</f>
        <v/>
      </c>
      <c r="M22" s="136">
        <f>IF('진행중 보드'!$A14="","","-")</f>
        <v/>
      </c>
    </row>
    <row r="23">
      <c r="A23" s="129">
        <f>IF('진행중 보드'!$A15="","",'진행중 보드'!$B15)</f>
        <v/>
      </c>
      <c r="B23" s="136">
        <f>IF('진행중 보드'!$A15="","",'진행중 보드'!$G15)</f>
        <v/>
      </c>
      <c r="C23" s="136">
        <f>IF('진행중 보드'!$A15="","","-")</f>
        <v/>
      </c>
      <c r="D23" s="131">
        <f>IF('진행중 보드'!$A15="","",'진행중 보드'!$H15)</f>
        <v/>
      </c>
      <c r="E23" s="136">
        <f>IF('진행중 보드'!$A15="","",'진행중 보드'!$E15)</f>
        <v/>
      </c>
      <c r="F23" s="131">
        <f>IF('진행중 보드'!$A15="","",'진행중 보드'!$F15)</f>
        <v/>
      </c>
      <c r="G23" s="136">
        <f>IF('진행중 보드'!$A15="","",'진행중 보드'!$I15)</f>
        <v/>
      </c>
      <c r="H23" s="129">
        <f>IF('진행중 보드'!$A15="","",'진행중 보드'!$J15)</f>
        <v/>
      </c>
      <c r="I23" s="137">
        <f>IF('진행중 보드'!$A15="","",'진행중 보드'!$C15)</f>
        <v/>
      </c>
      <c r="J23" s="131">
        <f>IF('진행중 보드'!$A15="","",'진행중 보드'!$K15)</f>
        <v/>
      </c>
      <c r="K23" s="136">
        <f>IF('진행중 보드'!$A15="","","진행중")</f>
        <v/>
      </c>
      <c r="L23" s="136">
        <f>IF('진행중 보드'!$A15="","","-")</f>
        <v/>
      </c>
      <c r="M23" s="136">
        <f>IF('진행중 보드'!$A15="","","-")</f>
        <v/>
      </c>
    </row>
    <row r="24">
      <c r="A24" s="129">
        <f>IF('진행중 보드'!$A16="","",'진행중 보드'!$B16)</f>
        <v/>
      </c>
      <c r="B24" s="136">
        <f>IF('진행중 보드'!$A16="","",'진행중 보드'!$G16)</f>
        <v/>
      </c>
      <c r="C24" s="136">
        <f>IF('진행중 보드'!$A16="","","-")</f>
        <v/>
      </c>
      <c r="D24" s="131">
        <f>IF('진행중 보드'!$A16="","",'진행중 보드'!$H16)</f>
        <v/>
      </c>
      <c r="E24" s="136">
        <f>IF('진행중 보드'!$A16="","",'진행중 보드'!$E16)</f>
        <v/>
      </c>
      <c r="F24" s="131">
        <f>IF('진행중 보드'!$A16="","",'진행중 보드'!$F16)</f>
        <v/>
      </c>
      <c r="G24" s="136">
        <f>IF('진행중 보드'!$A16="","",'진행중 보드'!$I16)</f>
        <v/>
      </c>
      <c r="H24" s="129">
        <f>IF('진행중 보드'!$A16="","",'진행중 보드'!$J16)</f>
        <v/>
      </c>
      <c r="I24" s="137">
        <f>IF('진행중 보드'!$A16="","",'진행중 보드'!$C16)</f>
        <v/>
      </c>
      <c r="J24" s="131">
        <f>IF('진행중 보드'!$A16="","",'진행중 보드'!$K16)</f>
        <v/>
      </c>
      <c r="K24" s="136">
        <f>IF('진행중 보드'!$A16="","","진행중")</f>
        <v/>
      </c>
      <c r="L24" s="136">
        <f>IF('진행중 보드'!$A16="","","-")</f>
        <v/>
      </c>
      <c r="M24" s="136">
        <f>IF('진행중 보드'!$A16="","","-")</f>
        <v/>
      </c>
    </row>
    <row r="25">
      <c r="A25" s="129">
        <f>IF('진행중 보드'!$A17="","",'진행중 보드'!$B17)</f>
        <v/>
      </c>
      <c r="B25" s="136">
        <f>IF('진행중 보드'!$A17="","",'진행중 보드'!$G17)</f>
        <v/>
      </c>
      <c r="C25" s="136">
        <f>IF('진행중 보드'!$A17="","","-")</f>
        <v/>
      </c>
      <c r="D25" s="131">
        <f>IF('진행중 보드'!$A17="","",'진행중 보드'!$H17)</f>
        <v/>
      </c>
      <c r="E25" s="136">
        <f>IF('진행중 보드'!$A17="","",'진행중 보드'!$E17)</f>
        <v/>
      </c>
      <c r="F25" s="131">
        <f>IF('진행중 보드'!$A17="","",'진행중 보드'!$F17)</f>
        <v/>
      </c>
      <c r="G25" s="136">
        <f>IF('진행중 보드'!$A17="","",'진행중 보드'!$I17)</f>
        <v/>
      </c>
      <c r="H25" s="129">
        <f>IF('진행중 보드'!$A17="","",'진행중 보드'!$J17)</f>
        <v/>
      </c>
      <c r="I25" s="137">
        <f>IF('진행중 보드'!$A17="","",'진행중 보드'!$C17)</f>
        <v/>
      </c>
      <c r="J25" s="131">
        <f>IF('진행중 보드'!$A17="","",'진행중 보드'!$K17)</f>
        <v/>
      </c>
      <c r="K25" s="136">
        <f>IF('진행중 보드'!$A17="","","진행중")</f>
        <v/>
      </c>
      <c r="L25" s="136">
        <f>IF('진행중 보드'!$A17="","","-")</f>
        <v/>
      </c>
      <c r="M25" s="136">
        <f>IF('진행중 보드'!$A17="","","-")</f>
        <v/>
      </c>
    </row>
    <row r="27" ht="20" customHeight="1">
      <c r="A27" s="21" t="inlineStr">
        <is>
          <t>5.  팀별 실적 (연간 누계)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</row>
    <row r="28" ht="30" customHeight="1">
      <c r="A28" s="23" t="inlineStr">
        <is>
          <t>소속팀</t>
        </is>
      </c>
      <c r="B28" s="23" t="inlineStr">
        <is>
          <t>출장 회차</t>
        </is>
      </c>
      <c r="C28" s="23" t="inlineStr">
        <is>
          <t>분석 회차</t>
        </is>
      </c>
      <c r="D28" s="23" t="inlineStr">
        <is>
          <t>교육 회차</t>
        </is>
      </c>
      <c r="E28" s="23" t="inlineStr">
        <is>
          <t>전체 회차</t>
        </is>
      </c>
      <c r="F28" s="23" t="inlineStr">
        <is>
          <t>구성비</t>
        </is>
      </c>
      <c r="G28" s="23" t="inlineStr">
        <is>
          <t>출장 사건</t>
        </is>
      </c>
      <c r="H28" s="23" t="inlineStr">
        <is>
          <t>분석 사건</t>
        </is>
      </c>
      <c r="I28" s="23" t="inlineStr">
        <is>
          <t>전체 사건</t>
        </is>
      </c>
      <c r="J28" s="23" t="inlineStr">
        <is>
          <t>소요일수</t>
        </is>
      </c>
      <c r="K28" s="23" t="inlineStr">
        <is>
          <t>연인원</t>
        </is>
      </c>
      <c r="L28" s="23" t="inlineStr">
        <is>
          <t>대상매체</t>
        </is>
      </c>
      <c r="M28" s="23" t="inlineStr">
        <is>
          <t>진행중</t>
        </is>
      </c>
    </row>
    <row r="29">
      <c r="A29" s="131">
        <f>IF('부서 전체현황'!$A44="","",'부서 전체현황'!$A44)</f>
        <v/>
      </c>
      <c r="B29" s="129">
        <f>IF('부서 전체현황'!$A44="","",'부서 전체현황'!$B44)</f>
        <v/>
      </c>
      <c r="C29" s="129">
        <f>IF('부서 전체현황'!$A44="","",'부서 전체현황'!$C44)</f>
        <v/>
      </c>
      <c r="D29" s="129">
        <f>IF('부서 전체현황'!$A44="","",'부서 전체현황'!$D44)</f>
        <v/>
      </c>
      <c r="E29" s="129">
        <f>IF('부서 전체현황'!$A44="","",'부서 전체현황'!$E44)</f>
        <v/>
      </c>
      <c r="F29" s="122">
        <f>IF(OR($E29="",'부서 전체현황'!$E$54=0),"",REPT("|",ROUND($E29/'부서 전체현황'!$E$54*20,0))&amp;" "&amp;TEXT($E29/'부서 전체현황'!$E$54,"0%"))</f>
        <v/>
      </c>
      <c r="G29" s="129">
        <f>IF('부서 전체현황'!$A44="","",'부서 전체현황'!$J44)</f>
        <v/>
      </c>
      <c r="H29" s="129">
        <f>IF('부서 전체현황'!$A44="","",'부서 전체현황'!$K44)</f>
        <v/>
      </c>
      <c r="I29" s="129">
        <f>IF('부서 전체현황'!$A44="","",'부서 전체현황'!$L44)</f>
        <v/>
      </c>
      <c r="J29" s="129">
        <f>IF('부서 전체현황'!$A44="","",'부서 전체현황'!$F44)</f>
        <v/>
      </c>
      <c r="K29" s="129">
        <f>IF('부서 전체현황'!$A44="","",'부서 전체현황'!$G44)</f>
        <v/>
      </c>
      <c r="L29" s="129">
        <f>IF('부서 전체현황'!$A44="","",'부서 전체현황'!$H44)</f>
        <v/>
      </c>
      <c r="M29" s="129">
        <f>IF('부서 전체현황'!$A44="","",'부서 전체현황'!$I44)</f>
        <v/>
      </c>
    </row>
    <row r="30">
      <c r="A30" s="131">
        <f>IF('부서 전체현황'!$A45="","",'부서 전체현황'!$A45)</f>
        <v/>
      </c>
      <c r="B30" s="129">
        <f>IF('부서 전체현황'!$A45="","",'부서 전체현황'!$B45)</f>
        <v/>
      </c>
      <c r="C30" s="129">
        <f>IF('부서 전체현황'!$A45="","",'부서 전체현황'!$C45)</f>
        <v/>
      </c>
      <c r="D30" s="129">
        <f>IF('부서 전체현황'!$A45="","",'부서 전체현황'!$D45)</f>
        <v/>
      </c>
      <c r="E30" s="129">
        <f>IF('부서 전체현황'!$A45="","",'부서 전체현황'!$E45)</f>
        <v/>
      </c>
      <c r="F30" s="122">
        <f>IF(OR($E30="",'부서 전체현황'!$E$54=0),"",REPT("|",ROUND($E30/'부서 전체현황'!$E$54*20,0))&amp;" "&amp;TEXT($E30/'부서 전체현황'!$E$54,"0%"))</f>
        <v/>
      </c>
      <c r="G30" s="129">
        <f>IF('부서 전체현황'!$A45="","",'부서 전체현황'!$J45)</f>
        <v/>
      </c>
      <c r="H30" s="129">
        <f>IF('부서 전체현황'!$A45="","",'부서 전체현황'!$K45)</f>
        <v/>
      </c>
      <c r="I30" s="129">
        <f>IF('부서 전체현황'!$A45="","",'부서 전체현황'!$L45)</f>
        <v/>
      </c>
      <c r="J30" s="129">
        <f>IF('부서 전체현황'!$A45="","",'부서 전체현황'!$F45)</f>
        <v/>
      </c>
      <c r="K30" s="129">
        <f>IF('부서 전체현황'!$A45="","",'부서 전체현황'!$G45)</f>
        <v/>
      </c>
      <c r="L30" s="129">
        <f>IF('부서 전체현황'!$A45="","",'부서 전체현황'!$H45)</f>
        <v/>
      </c>
      <c r="M30" s="129">
        <f>IF('부서 전체현황'!$A45="","",'부서 전체현황'!$I45)</f>
        <v/>
      </c>
    </row>
    <row r="31">
      <c r="A31" s="131">
        <f>IF('부서 전체현황'!$A46="","",'부서 전체현황'!$A46)</f>
        <v/>
      </c>
      <c r="B31" s="129">
        <f>IF('부서 전체현황'!$A46="","",'부서 전체현황'!$B46)</f>
        <v/>
      </c>
      <c r="C31" s="129">
        <f>IF('부서 전체현황'!$A46="","",'부서 전체현황'!$C46)</f>
        <v/>
      </c>
      <c r="D31" s="129">
        <f>IF('부서 전체현황'!$A46="","",'부서 전체현황'!$D46)</f>
        <v/>
      </c>
      <c r="E31" s="129">
        <f>IF('부서 전체현황'!$A46="","",'부서 전체현황'!$E46)</f>
        <v/>
      </c>
      <c r="F31" s="122">
        <f>IF(OR($E31="",'부서 전체현황'!$E$54=0),"",REPT("|",ROUND($E31/'부서 전체현황'!$E$54*20,0))&amp;" "&amp;TEXT($E31/'부서 전체현황'!$E$54,"0%"))</f>
        <v/>
      </c>
      <c r="G31" s="129">
        <f>IF('부서 전체현황'!$A46="","",'부서 전체현황'!$J46)</f>
        <v/>
      </c>
      <c r="H31" s="129">
        <f>IF('부서 전체현황'!$A46="","",'부서 전체현황'!$K46)</f>
        <v/>
      </c>
      <c r="I31" s="129">
        <f>IF('부서 전체현황'!$A46="","",'부서 전체현황'!$L46)</f>
        <v/>
      </c>
      <c r="J31" s="129">
        <f>IF('부서 전체현황'!$A46="","",'부서 전체현황'!$F46)</f>
        <v/>
      </c>
      <c r="K31" s="129">
        <f>IF('부서 전체현황'!$A46="","",'부서 전체현황'!$G46)</f>
        <v/>
      </c>
      <c r="L31" s="129">
        <f>IF('부서 전체현황'!$A46="","",'부서 전체현황'!$H46)</f>
        <v/>
      </c>
      <c r="M31" s="129">
        <f>IF('부서 전체현황'!$A46="","",'부서 전체현황'!$I46)</f>
        <v/>
      </c>
    </row>
    <row r="32">
      <c r="A32" s="133" t="inlineStr">
        <is>
          <t>합계</t>
        </is>
      </c>
      <c r="B32" s="134">
        <f>'부서 전체현황'!$B$54</f>
        <v/>
      </c>
      <c r="C32" s="134">
        <f>'부서 전체현황'!$C$54</f>
        <v/>
      </c>
      <c r="D32" s="134">
        <f>'부서 전체현황'!$D$54</f>
        <v/>
      </c>
      <c r="E32" s="134">
        <f>'부서 전체현황'!$E$54</f>
        <v/>
      </c>
      <c r="F32" s="135" t="inlineStr">
        <is>
          <t>100%</t>
        </is>
      </c>
      <c r="G32" s="134">
        <f>'부서 전체현황'!$J$54</f>
        <v/>
      </c>
      <c r="H32" s="134">
        <f>'부서 전체현황'!$K$54</f>
        <v/>
      </c>
      <c r="I32" s="134">
        <f>'부서 전체현황'!$L$54</f>
        <v/>
      </c>
      <c r="J32" s="134">
        <f>'부서 전체현황'!$F$54</f>
        <v/>
      </c>
      <c r="K32" s="134">
        <f>'부서 전체현황'!$G$54</f>
        <v/>
      </c>
      <c r="L32" s="134">
        <f>'부서 전체현황'!$H$54</f>
        <v/>
      </c>
      <c r="M32" s="134">
        <f>'부서 전체현황'!$I$54</f>
        <v/>
      </c>
    </row>
    <row r="34" ht="20" customHeight="1">
      <c r="A34" s="21" t="inlineStr">
        <is>
          <t>6.  사업 현황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</row>
    <row r="35" ht="30" customHeight="1">
      <c r="A35" s="23" t="inlineStr">
        <is>
          <t>사업번호</t>
        </is>
      </c>
      <c r="B35" s="23" t="inlineStr">
        <is>
          <t>사업명</t>
        </is>
      </c>
      <c r="C35" s="23" t="inlineStr">
        <is>
          <t>구분</t>
        </is>
      </c>
      <c r="D35" s="23" t="inlineStr">
        <is>
          <t>주관팀</t>
        </is>
      </c>
      <c r="E35" s="23" t="inlineStr">
        <is>
          <t>현재 단계</t>
        </is>
      </c>
      <c r="F35" s="23" t="inlineStr">
        <is>
          <t>진척률</t>
        </is>
      </c>
      <c r="G35" s="23" t="inlineStr">
        <is>
          <t>예산액(원)</t>
        </is>
      </c>
      <c r="H35" s="23" t="inlineStr">
        <is>
          <t>집행액(원)</t>
        </is>
      </c>
      <c r="I35" s="23" t="inlineStr">
        <is>
          <t>집행률</t>
        </is>
      </c>
      <c r="J35" s="23" t="inlineStr">
        <is>
          <t>추진 건수</t>
        </is>
      </c>
      <c r="K35" s="23" t="inlineStr">
        <is>
          <t>완료예정일</t>
        </is>
      </c>
      <c r="L35" s="23" t="inlineStr">
        <is>
          <t>진행상태</t>
        </is>
      </c>
      <c r="M35" s="23" t="inlineStr">
        <is>
          <t>비고</t>
        </is>
      </c>
    </row>
    <row r="36">
      <c r="A36" s="136">
        <f>IF(사업마스터!$A5="","",사업마스터!$A5)</f>
        <v/>
      </c>
      <c r="B36" s="131">
        <f>IF(사업마스터!$A5="","",사업마스터!$B5)</f>
        <v/>
      </c>
      <c r="C36" s="136">
        <f>IF(사업마스터!$A5="","",사업마스터!$D5)</f>
        <v/>
      </c>
      <c r="D36" s="136">
        <f>IF(사업마스터!$A5="","",사업마스터!$E5)</f>
        <v/>
      </c>
      <c r="E36" s="136">
        <f>IF(사업마스터!$A5="","",사업마스터!$M5)</f>
        <v/>
      </c>
      <c r="F36" s="138">
        <f>IF(사업마스터!$A5="","",사업마스터!$N5)</f>
        <v/>
      </c>
      <c r="G36" s="139">
        <f>IF(사업마스터!$A5="","",사업마스터!$G5)</f>
        <v/>
      </c>
      <c r="H36" s="139">
        <f>IF(사업마스터!$A5="","",사업마스터!$H5)</f>
        <v/>
      </c>
      <c r="I36" s="140">
        <f>IF(사업마스터!$A5="","",사업마스터!$I5)</f>
        <v/>
      </c>
      <c r="J36" s="129">
        <f>IF(사업마스터!$A5="","",사업마스터!$O5)</f>
        <v/>
      </c>
      <c r="K36" s="137">
        <f>IF(사업마스터!$A5="","",사업마스터!$L5)</f>
        <v/>
      </c>
      <c r="L36" s="136">
        <f>IF(사업마스터!$A5="","",사업마스터!$P5)</f>
        <v/>
      </c>
      <c r="M36" s="131">
        <f>IF(사업마스터!$A5="","",사업마스터!$Q5)</f>
        <v/>
      </c>
    </row>
    <row r="37">
      <c r="A37" s="136">
        <f>IF(사업마스터!$A6="","",사업마스터!$A6)</f>
        <v/>
      </c>
      <c r="B37" s="131">
        <f>IF(사업마스터!$A6="","",사업마스터!$B6)</f>
        <v/>
      </c>
      <c r="C37" s="136">
        <f>IF(사업마스터!$A6="","",사업마스터!$D6)</f>
        <v/>
      </c>
      <c r="D37" s="136">
        <f>IF(사업마스터!$A6="","",사업마스터!$E6)</f>
        <v/>
      </c>
      <c r="E37" s="136">
        <f>IF(사업마스터!$A6="","",사업마스터!$M6)</f>
        <v/>
      </c>
      <c r="F37" s="138">
        <f>IF(사업마스터!$A6="","",사업마스터!$N6)</f>
        <v/>
      </c>
      <c r="G37" s="139">
        <f>IF(사업마스터!$A6="","",사업마스터!$G6)</f>
        <v/>
      </c>
      <c r="H37" s="139">
        <f>IF(사업마스터!$A6="","",사업마스터!$H6)</f>
        <v/>
      </c>
      <c r="I37" s="140">
        <f>IF(사업마스터!$A6="","",사업마스터!$I6)</f>
        <v/>
      </c>
      <c r="J37" s="129">
        <f>IF(사업마스터!$A6="","",사업마스터!$O6)</f>
        <v/>
      </c>
      <c r="K37" s="137">
        <f>IF(사업마스터!$A6="","",사업마스터!$L6)</f>
        <v/>
      </c>
      <c r="L37" s="136">
        <f>IF(사업마스터!$A6="","",사업마스터!$P6)</f>
        <v/>
      </c>
      <c r="M37" s="131">
        <f>IF(사업마스터!$A6="","",사업마스터!$Q6)</f>
        <v/>
      </c>
    </row>
    <row r="38">
      <c r="A38" s="136">
        <f>IF(사업마스터!$A7="","",사업마스터!$A7)</f>
        <v/>
      </c>
      <c r="B38" s="131">
        <f>IF(사업마스터!$A7="","",사업마스터!$B7)</f>
        <v/>
      </c>
      <c r="C38" s="136">
        <f>IF(사업마스터!$A7="","",사업마스터!$D7)</f>
        <v/>
      </c>
      <c r="D38" s="136">
        <f>IF(사업마스터!$A7="","",사업마스터!$E7)</f>
        <v/>
      </c>
      <c r="E38" s="136">
        <f>IF(사업마스터!$A7="","",사업마스터!$M7)</f>
        <v/>
      </c>
      <c r="F38" s="138">
        <f>IF(사업마스터!$A7="","",사업마스터!$N7)</f>
        <v/>
      </c>
      <c r="G38" s="139">
        <f>IF(사업마스터!$A7="","",사업마스터!$G7)</f>
        <v/>
      </c>
      <c r="H38" s="139">
        <f>IF(사업마스터!$A7="","",사업마스터!$H7)</f>
        <v/>
      </c>
      <c r="I38" s="140">
        <f>IF(사업마스터!$A7="","",사업마스터!$I7)</f>
        <v/>
      </c>
      <c r="J38" s="129">
        <f>IF(사업마스터!$A7="","",사업마스터!$O7)</f>
        <v/>
      </c>
      <c r="K38" s="137">
        <f>IF(사업마스터!$A7="","",사업마스터!$L7)</f>
        <v/>
      </c>
      <c r="L38" s="136">
        <f>IF(사업마스터!$A7="","",사업마스터!$P7)</f>
        <v/>
      </c>
      <c r="M38" s="131">
        <f>IF(사업마스터!$A7="","",사업마스터!$Q7)</f>
        <v/>
      </c>
    </row>
    <row r="39">
      <c r="A39" s="136">
        <f>IF(사업마스터!$A8="","",사업마스터!$A8)</f>
        <v/>
      </c>
      <c r="B39" s="131">
        <f>IF(사업마스터!$A8="","",사업마스터!$B8)</f>
        <v/>
      </c>
      <c r="C39" s="136">
        <f>IF(사업마스터!$A8="","",사업마스터!$D8)</f>
        <v/>
      </c>
      <c r="D39" s="136">
        <f>IF(사업마스터!$A8="","",사업마스터!$E8)</f>
        <v/>
      </c>
      <c r="E39" s="136">
        <f>IF(사업마스터!$A8="","",사업마스터!$M8)</f>
        <v/>
      </c>
      <c r="F39" s="138">
        <f>IF(사업마스터!$A8="","",사업마스터!$N8)</f>
        <v/>
      </c>
      <c r="G39" s="139">
        <f>IF(사업마스터!$A8="","",사업마스터!$G8)</f>
        <v/>
      </c>
      <c r="H39" s="139">
        <f>IF(사업마스터!$A8="","",사업마스터!$H8)</f>
        <v/>
      </c>
      <c r="I39" s="140">
        <f>IF(사업마스터!$A8="","",사업마스터!$I8)</f>
        <v/>
      </c>
      <c r="J39" s="129">
        <f>IF(사업마스터!$A8="","",사업마스터!$O8)</f>
        <v/>
      </c>
      <c r="K39" s="137">
        <f>IF(사업마스터!$A8="","",사업마스터!$L8)</f>
        <v/>
      </c>
      <c r="L39" s="136">
        <f>IF(사업마스터!$A8="","",사업마스터!$P8)</f>
        <v/>
      </c>
      <c r="M39" s="131">
        <f>IF(사업마스터!$A8="","",사업마스터!$Q8)</f>
        <v/>
      </c>
    </row>
    <row r="40">
      <c r="A40" s="136">
        <f>IF(사업마스터!$A9="","",사업마스터!$A9)</f>
        <v/>
      </c>
      <c r="B40" s="131">
        <f>IF(사업마스터!$A9="","",사업마스터!$B9)</f>
        <v/>
      </c>
      <c r="C40" s="136">
        <f>IF(사업마스터!$A9="","",사업마스터!$D9)</f>
        <v/>
      </c>
      <c r="D40" s="136">
        <f>IF(사업마스터!$A9="","",사업마스터!$E9)</f>
        <v/>
      </c>
      <c r="E40" s="136">
        <f>IF(사업마스터!$A9="","",사업마스터!$M9)</f>
        <v/>
      </c>
      <c r="F40" s="138">
        <f>IF(사업마스터!$A9="","",사업마스터!$N9)</f>
        <v/>
      </c>
      <c r="G40" s="139">
        <f>IF(사업마스터!$A9="","",사업마스터!$G9)</f>
        <v/>
      </c>
      <c r="H40" s="139">
        <f>IF(사업마스터!$A9="","",사업마스터!$H9)</f>
        <v/>
      </c>
      <c r="I40" s="140">
        <f>IF(사업마스터!$A9="","",사업마스터!$I9)</f>
        <v/>
      </c>
      <c r="J40" s="129">
        <f>IF(사업마스터!$A9="","",사업마스터!$O9)</f>
        <v/>
      </c>
      <c r="K40" s="137">
        <f>IF(사업마스터!$A9="","",사업마스터!$L9)</f>
        <v/>
      </c>
      <c r="L40" s="136">
        <f>IF(사업마스터!$A9="","",사업마스터!$P9)</f>
        <v/>
      </c>
      <c r="M40" s="131">
        <f>IF(사업마스터!$A9="","",사업마스터!$Q9)</f>
        <v/>
      </c>
    </row>
    <row r="41">
      <c r="A41" s="136">
        <f>IF(사업마스터!$A10="","",사업마스터!$A10)</f>
        <v/>
      </c>
      <c r="B41" s="131">
        <f>IF(사업마스터!$A10="","",사업마스터!$B10)</f>
        <v/>
      </c>
      <c r="C41" s="136">
        <f>IF(사업마스터!$A10="","",사업마스터!$D10)</f>
        <v/>
      </c>
      <c r="D41" s="136">
        <f>IF(사업마스터!$A10="","",사업마스터!$E10)</f>
        <v/>
      </c>
      <c r="E41" s="136">
        <f>IF(사업마스터!$A10="","",사업마스터!$M10)</f>
        <v/>
      </c>
      <c r="F41" s="138">
        <f>IF(사업마스터!$A10="","",사업마스터!$N10)</f>
        <v/>
      </c>
      <c r="G41" s="139">
        <f>IF(사업마스터!$A10="","",사업마스터!$G10)</f>
        <v/>
      </c>
      <c r="H41" s="139">
        <f>IF(사업마스터!$A10="","",사업마스터!$H10)</f>
        <v/>
      </c>
      <c r="I41" s="140">
        <f>IF(사업마스터!$A10="","",사업마스터!$I10)</f>
        <v/>
      </c>
      <c r="J41" s="129">
        <f>IF(사업마스터!$A10="","",사업마스터!$O10)</f>
        <v/>
      </c>
      <c r="K41" s="137">
        <f>IF(사업마스터!$A10="","",사업마스터!$L10)</f>
        <v/>
      </c>
      <c r="L41" s="136">
        <f>IF(사업마스터!$A10="","",사업마스터!$P10)</f>
        <v/>
      </c>
      <c r="M41" s="131">
        <f>IF(사업마스터!$A10="","",사업마스터!$Q10)</f>
        <v/>
      </c>
    </row>
    <row r="42">
      <c r="A42" s="136">
        <f>IF(사업마스터!$A11="","",사업마스터!$A11)</f>
        <v/>
      </c>
      <c r="B42" s="131">
        <f>IF(사업마스터!$A11="","",사업마스터!$B11)</f>
        <v/>
      </c>
      <c r="C42" s="136">
        <f>IF(사업마스터!$A11="","",사업마스터!$D11)</f>
        <v/>
      </c>
      <c r="D42" s="136">
        <f>IF(사업마스터!$A11="","",사업마스터!$E11)</f>
        <v/>
      </c>
      <c r="E42" s="136">
        <f>IF(사업마스터!$A11="","",사업마스터!$M11)</f>
        <v/>
      </c>
      <c r="F42" s="138">
        <f>IF(사업마스터!$A11="","",사업마스터!$N11)</f>
        <v/>
      </c>
      <c r="G42" s="139">
        <f>IF(사업마스터!$A11="","",사업마스터!$G11)</f>
        <v/>
      </c>
      <c r="H42" s="139">
        <f>IF(사업마스터!$A11="","",사업마스터!$H11)</f>
        <v/>
      </c>
      <c r="I42" s="140">
        <f>IF(사업마스터!$A11="","",사업마스터!$I11)</f>
        <v/>
      </c>
      <c r="J42" s="129">
        <f>IF(사업마스터!$A11="","",사업마스터!$O11)</f>
        <v/>
      </c>
      <c r="K42" s="137">
        <f>IF(사업마스터!$A11="","",사업마스터!$L11)</f>
        <v/>
      </c>
      <c r="L42" s="136">
        <f>IF(사업마스터!$A11="","",사업마스터!$P11)</f>
        <v/>
      </c>
      <c r="M42" s="131">
        <f>IF(사업마스터!$A11="","",사업마스터!$Q11)</f>
        <v/>
      </c>
    </row>
    <row r="43">
      <c r="A43" s="136">
        <f>IF(사업마스터!$A12="","",사업마스터!$A12)</f>
        <v/>
      </c>
      <c r="B43" s="131">
        <f>IF(사업마스터!$A12="","",사업마스터!$B12)</f>
        <v/>
      </c>
      <c r="C43" s="136">
        <f>IF(사업마스터!$A12="","",사업마스터!$D12)</f>
        <v/>
      </c>
      <c r="D43" s="136">
        <f>IF(사업마스터!$A12="","",사업마스터!$E12)</f>
        <v/>
      </c>
      <c r="E43" s="136">
        <f>IF(사업마스터!$A12="","",사업마스터!$M12)</f>
        <v/>
      </c>
      <c r="F43" s="138">
        <f>IF(사업마스터!$A12="","",사업마스터!$N12)</f>
        <v/>
      </c>
      <c r="G43" s="139">
        <f>IF(사업마스터!$A12="","",사업마스터!$G12)</f>
        <v/>
      </c>
      <c r="H43" s="139">
        <f>IF(사업마스터!$A12="","",사업마스터!$H12)</f>
        <v/>
      </c>
      <c r="I43" s="140">
        <f>IF(사업마스터!$A12="","",사업마스터!$I12)</f>
        <v/>
      </c>
      <c r="J43" s="129">
        <f>IF(사업마스터!$A12="","",사업마스터!$O12)</f>
        <v/>
      </c>
      <c r="K43" s="137">
        <f>IF(사업마스터!$A12="","",사업마스터!$L12)</f>
        <v/>
      </c>
      <c r="L43" s="136">
        <f>IF(사업마스터!$A12="","",사업마스터!$P12)</f>
        <v/>
      </c>
      <c r="M43" s="131">
        <f>IF(사업마스터!$A12="","",사업마스터!$Q12)</f>
        <v/>
      </c>
    </row>
    <row r="44">
      <c r="A44" s="133" t="inlineStr">
        <is>
          <t>합계</t>
        </is>
      </c>
      <c r="B44" s="135">
        <f>IF(COUNTBLANK(사업마스터!$A$5:$A$34)=30,"등록된 사업 없음",(30)-COUNTBLANK(사업마스터!$A$5:$A$34)&amp;" 개 사업")</f>
        <v/>
      </c>
      <c r="C44" s="141" t="inlineStr"/>
      <c r="D44" s="141" t="inlineStr"/>
      <c r="E44" s="141" t="inlineStr"/>
      <c r="F44" s="141" t="inlineStr"/>
      <c r="G44" s="142">
        <f>SUM(사업마스터!$G$5:$G$34)</f>
        <v/>
      </c>
      <c r="H44" s="142">
        <f>SUM(사업마스터!$H$5:$H$34)</f>
        <v/>
      </c>
      <c r="I44" s="143">
        <f>IF($G$44=0,"",$H$44/$G$44)</f>
        <v/>
      </c>
      <c r="J44" s="134">
        <f>SUM(사업마스터!$O$5:$O$34)</f>
        <v/>
      </c>
      <c r="K44" s="141" t="inlineStr"/>
      <c r="L44" s="141" t="inlineStr"/>
      <c r="M44" s="141" t="inlineStr"/>
    </row>
    <row r="46">
      <c r="A46" s="7" t="inlineStr">
        <is>
          <t>※ 상위 8개 사업만 표시합니다. 전체는 [사업마스터], 사업별 경과는 [사업별 현황]을 보세요.  ※ 집행률 합계는 예산이 배정된 사업만 기준으로 계산됩니다.</t>
        </is>
      </c>
    </row>
    <row r="47">
      <c r="A47" s="7" t="inlineStr">
        <is>
          <t>※ 팀별 실적은 연간 누계입니다(이번 달이 아님). 월별 추이는 [부서 전체현황]을 보세요.</t>
        </is>
      </c>
    </row>
  </sheetData>
  <mergeCells count="10">
    <mergeCell ref="D13:F13"/>
    <mergeCell ref="D14:F14"/>
    <mergeCell ref="K14:M14"/>
    <mergeCell ref="D17:F17"/>
    <mergeCell ref="E4:G4"/>
    <mergeCell ref="K17:M17"/>
    <mergeCell ref="K16:M16"/>
    <mergeCell ref="D15:F15"/>
    <mergeCell ref="D16:F16"/>
    <mergeCell ref="K15:M15"/>
  </mergeCells>
  <conditionalFormatting sqref="A14:F14">
    <cfRule type="expression" priority="1" dxfId="9" stopIfTrue="1">
      <formula>$B14&gt;0</formula>
    </cfRule>
    <cfRule type="expression" priority="2" dxfId="2" stopIfTrue="1">
      <formula>$B14=0</formula>
    </cfRule>
  </conditionalFormatting>
  <conditionalFormatting sqref="A15:F15">
    <cfRule type="expression" priority="3" dxfId="9" stopIfTrue="1">
      <formula>$B15&gt;0</formula>
    </cfRule>
    <cfRule type="expression" priority="4" dxfId="2" stopIfTrue="1">
      <formula>$B15=0</formula>
    </cfRule>
  </conditionalFormatting>
  <conditionalFormatting sqref="A16:F16">
    <cfRule type="expression" priority="5" dxfId="9" stopIfTrue="1">
      <formula>$B16&gt;0</formula>
    </cfRule>
    <cfRule type="expression" priority="6" dxfId="2" stopIfTrue="1">
      <formula>$B16=0</formula>
    </cfRule>
  </conditionalFormatting>
  <conditionalFormatting sqref="A17:F17">
    <cfRule type="expression" priority="7" dxfId="9" stopIfTrue="1">
      <formula>$B17&gt;0</formula>
    </cfRule>
    <cfRule type="expression" priority="8" dxfId="2" stopIfTrue="1">
      <formula>$B17=0</formula>
    </cfRule>
  </conditionalFormatting>
  <conditionalFormatting sqref="A21:M21">
    <cfRule type="expression" priority="9" dxfId="9" stopIfTrue="1">
      <formula>AND($A21&lt;&gt;"",$A21&gt;60)</formula>
    </cfRule>
    <cfRule type="expression" priority="10" dxfId="3" stopIfTrue="1">
      <formula>AND($A21&lt;&gt;"",$A21&gt;30)</formula>
    </cfRule>
  </conditionalFormatting>
  <conditionalFormatting sqref="A22:M22">
    <cfRule type="expression" priority="11" dxfId="9" stopIfTrue="1">
      <formula>AND($A22&lt;&gt;"",$A22&gt;60)</formula>
    </cfRule>
    <cfRule type="expression" priority="12" dxfId="3" stopIfTrue="1">
      <formula>AND($A22&lt;&gt;"",$A22&gt;30)</formula>
    </cfRule>
  </conditionalFormatting>
  <conditionalFormatting sqref="A23:M23">
    <cfRule type="expression" priority="13" dxfId="9" stopIfTrue="1">
      <formula>AND($A23&lt;&gt;"",$A23&gt;60)</formula>
    </cfRule>
    <cfRule type="expression" priority="14" dxfId="3" stopIfTrue="1">
      <formula>AND($A23&lt;&gt;"",$A23&gt;30)</formula>
    </cfRule>
  </conditionalFormatting>
  <conditionalFormatting sqref="A24:M24">
    <cfRule type="expression" priority="15" dxfId="9" stopIfTrue="1">
      <formula>AND($A24&lt;&gt;"",$A24&gt;60)</formula>
    </cfRule>
    <cfRule type="expression" priority="16" dxfId="3" stopIfTrue="1">
      <formula>AND($A24&lt;&gt;"",$A24&gt;30)</formula>
    </cfRule>
  </conditionalFormatting>
  <conditionalFormatting sqref="A25:M25">
    <cfRule type="expression" priority="17" dxfId="9" stopIfTrue="1">
      <formula>AND($A25&lt;&gt;"",$A25&gt;60)</formula>
    </cfRule>
    <cfRule type="expression" priority="18" dxfId="3" stopIfTrue="1">
      <formula>AND($A25&lt;&gt;"",$A25&gt;30)</formula>
    </cfRule>
  </conditionalFormatting>
  <conditionalFormatting sqref="A36:M36">
    <cfRule type="expression" priority="19" dxfId="2" stopIfTrue="1">
      <formula>$L36="완료"</formula>
    </cfRule>
    <cfRule type="expression" priority="20" dxfId="9" stopIfTrue="1">
      <formula>AND($K36&lt;&gt;"",$K36&lt;TODAY(),$L36&lt;&gt;"완료")</formula>
    </cfRule>
  </conditionalFormatting>
  <conditionalFormatting sqref="A37:M37">
    <cfRule type="expression" priority="21" dxfId="2" stopIfTrue="1">
      <formula>$L37="완료"</formula>
    </cfRule>
    <cfRule type="expression" priority="22" dxfId="9" stopIfTrue="1">
      <formula>AND($K37&lt;&gt;"",$K37&lt;TODAY(),$L37&lt;&gt;"완료")</formula>
    </cfRule>
  </conditionalFormatting>
  <conditionalFormatting sqref="A38:M38">
    <cfRule type="expression" priority="23" dxfId="2" stopIfTrue="1">
      <formula>$L38="완료"</formula>
    </cfRule>
    <cfRule type="expression" priority="24" dxfId="9" stopIfTrue="1">
      <formula>AND($K38&lt;&gt;"",$K38&lt;TODAY(),$L38&lt;&gt;"완료")</formula>
    </cfRule>
  </conditionalFormatting>
  <conditionalFormatting sqref="A39:M39">
    <cfRule type="expression" priority="25" dxfId="2" stopIfTrue="1">
      <formula>$L39="완료"</formula>
    </cfRule>
    <cfRule type="expression" priority="26" dxfId="9" stopIfTrue="1">
      <formula>AND($K39&lt;&gt;"",$K39&lt;TODAY(),$L39&lt;&gt;"완료")</formula>
    </cfRule>
  </conditionalFormatting>
  <conditionalFormatting sqref="A40:M40">
    <cfRule type="expression" priority="27" dxfId="2" stopIfTrue="1">
      <formula>$L40="완료"</formula>
    </cfRule>
    <cfRule type="expression" priority="28" dxfId="9" stopIfTrue="1">
      <formula>AND($K40&lt;&gt;"",$K40&lt;TODAY(),$L40&lt;&gt;"완료")</formula>
    </cfRule>
  </conditionalFormatting>
  <conditionalFormatting sqref="A41:M41">
    <cfRule type="expression" priority="29" dxfId="2" stopIfTrue="1">
      <formula>$L41="완료"</formula>
    </cfRule>
    <cfRule type="expression" priority="30" dxfId="9" stopIfTrue="1">
      <formula>AND($K41&lt;&gt;"",$K41&lt;TODAY(),$L41&lt;&gt;"완료")</formula>
    </cfRule>
  </conditionalFormatting>
  <conditionalFormatting sqref="A42:M42">
    <cfRule type="expression" priority="31" dxfId="2" stopIfTrue="1">
      <formula>$L42="완료"</formula>
    </cfRule>
    <cfRule type="expression" priority="32" dxfId="9" stopIfTrue="1">
      <formula>AND($K42&lt;&gt;"",$K42&lt;TODAY(),$L42&lt;&gt;"완료")</formula>
    </cfRule>
  </conditionalFormatting>
  <conditionalFormatting sqref="A43:M43">
    <cfRule type="expression" priority="33" dxfId="2" stopIfTrue="1">
      <formula>$L43="완료"</formula>
    </cfRule>
    <cfRule type="expression" priority="34" dxfId="9" stopIfTrue="1">
      <formula>AND($K43&lt;&gt;"",$K43&lt;TODAY(),$L43&lt;&gt;"완료")</formula>
    </cfRule>
  </conditionalFormatting>
  <dataValidations count="1">
    <dataValidation sqref="D4" showDropDown="0" showInputMessage="0" showErrorMessage="1" allowBlank="0" errorTitle="월 입력" error="1~12 사이의 숫자를 입력하세요." type="whole" operator="between">
      <formula1>1</formula1>
      <formula2>12</formula2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&amp;L&amp;"Arial"&amp;9대시보드&amp;R&amp;"Arial"&amp;9인쇄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C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86" customWidth="1" min="3" max="3"/>
  </cols>
  <sheetData>
    <row r="1">
      <c r="A1" s="144" t="n"/>
      <c r="B1" s="144" t="n"/>
      <c r="C1" s="144" t="n"/>
    </row>
    <row r="2" ht="28" customHeight="1">
      <c r="A2" s="144" t="n"/>
      <c r="B2" s="145" t="inlineStr">
        <is>
          <t>부서 업무일지 v4  ·  사건 / 사업 / 교육 통합 관리</t>
        </is>
      </c>
      <c r="C2" s="144" t="n"/>
    </row>
    <row r="3">
      <c r="A3" s="144" t="n"/>
      <c r="B3" s="144" t="n"/>
      <c r="C3" s="144" t="n"/>
    </row>
    <row r="4" ht="20" customHeight="1">
      <c r="A4" s="144" t="n"/>
      <c r="B4" s="146" t="inlineStr">
        <is>
          <t>시트 구성 — 한눈에 보기</t>
        </is>
      </c>
      <c r="C4" s="147" t="n"/>
    </row>
    <row r="5" ht="17" customHeight="1">
      <c r="A5" s="144" t="n"/>
      <c r="B5" s="4" t="inlineStr">
        <is>
          <t>대시보드</t>
        </is>
      </c>
      <c r="C5" s="5" t="inlineStr">
        <is>
          <t>연도·월만 고르면 이번 달 현황·경고·사건·팀별·사업이 한 장에 모입니다. 입력할 것 없음.</t>
        </is>
      </c>
    </row>
    <row r="6" ht="17" customHeight="1">
      <c r="A6" s="144" t="n"/>
      <c r="B6" s="4" t="inlineStr">
        <is>
          <t>월력표</t>
        </is>
      </c>
      <c r="C6" s="5" t="inlineStr">
        <is>
          <t>연·월을 고르면 달력이 그려집니다. 날짜 칸의 파란 줄은 자동 집계, 흰 칸은 자유 메모.</t>
        </is>
      </c>
    </row>
    <row r="7" ht="17" customHeight="1">
      <c r="A7" s="144" t="n"/>
      <c r="B7" s="148" t="n"/>
      <c r="C7" s="149" t="n"/>
    </row>
    <row r="8" ht="20" customHeight="1">
      <c r="A8" s="144" t="n"/>
      <c r="B8" s="150" t="inlineStr">
        <is>
          <t>입력하는 시트</t>
        </is>
      </c>
      <c r="C8" s="151" t="n"/>
    </row>
    <row r="9" ht="17" customHeight="1">
      <c r="A9" s="144" t="n"/>
      <c r="B9" s="4" t="inlineStr">
        <is>
          <t>사건마스터</t>
        </is>
      </c>
      <c r="C9" s="5" t="inlineStr">
        <is>
          <t>사건을 한 번 등록하고 담당자 배정표에서 참여자를 모두 고릅니다 → 업무일지로 전달.</t>
        </is>
      </c>
    </row>
    <row r="10" ht="17" customHeight="1">
      <c r="A10" s="144" t="n"/>
      <c r="B10" s="4" t="inlineStr">
        <is>
          <t>업무일지</t>
        </is>
      </c>
      <c r="C10" s="5" t="inlineStr">
        <is>
          <t>출장·분석·교육 1건 = 1행. 사건번호를 고르면 사건명·요청처·담당자가 통째로 자동.</t>
        </is>
      </c>
    </row>
    <row r="11" ht="17" customHeight="1">
      <c r="A11" s="144" t="n"/>
      <c r="B11" s="4" t="inlineStr">
        <is>
          <t>일일실시사항</t>
        </is>
      </c>
      <c r="C11" s="5" t="inlineStr">
        <is>
          <t>출장·분석·교육 외 부서의 일일 업무(행정·회의·장비관리·당직 등).</t>
        </is>
      </c>
    </row>
    <row r="12" ht="17" customHeight="1">
      <c r="A12" s="144" t="n"/>
      <c r="B12" s="4" t="inlineStr">
        <is>
          <t>사업마스터</t>
        </is>
      </c>
      <c r="C12" s="5" t="inlineStr">
        <is>
          <t>사업을 한 번 등록합니다. 예산 없는 사업은 예산액을 비워 두세요.</t>
        </is>
      </c>
    </row>
    <row r="13" ht="17" customHeight="1">
      <c r="A13" s="144" t="n"/>
      <c r="B13" s="4" t="inlineStr">
        <is>
          <t>사업추진일지</t>
        </is>
      </c>
      <c r="C13" s="5" t="inlineStr">
        <is>
          <t>사업이 언제 무슨 일을 했는지 날짜별로 기록합니다. 추진 단계는 선택 입력.</t>
        </is>
      </c>
    </row>
    <row r="14" ht="17" customHeight="1">
      <c r="A14" s="144" t="n"/>
      <c r="B14" s="4" t="inlineStr">
        <is>
          <t>장비·매체 관리</t>
        </is>
      </c>
      <c r="C14" s="5" t="inlineStr">
        <is>
          <t>장비 대장 + 불출·반납 이력. 반납일을 비우면 '사용중', 예정일이 지나면 '연체'.</t>
        </is>
      </c>
    </row>
    <row r="15" ht="17" customHeight="1">
      <c r="A15" s="144" t="n"/>
      <c r="B15" s="148" t="n"/>
      <c r="C15" s="149" t="n"/>
    </row>
    <row r="16" ht="20" customHeight="1">
      <c r="A16" s="144" t="n"/>
      <c r="B16" s="150" t="inlineStr">
        <is>
          <t>보는 시트 — 입력할 것 없음</t>
        </is>
      </c>
      <c r="C16" s="151" t="n"/>
    </row>
    <row r="17" ht="17" customHeight="1">
      <c r="A17" s="144" t="n"/>
      <c r="B17" s="4" t="inlineStr">
        <is>
          <t>진행중 보드</t>
        </is>
      </c>
      <c r="C17" s="5" t="inlineStr">
        <is>
          <t>진행상태가 '진행중'인 건을 오래된 순으로. 30일 초과 주황, 60일 초과 빨강.</t>
        </is>
      </c>
    </row>
    <row r="18" ht="17" customHeight="1">
      <c r="A18" s="144" t="n"/>
      <c r="B18" s="4" t="inlineStr">
        <is>
          <t>사건 이력 조회</t>
        </is>
      </c>
      <c r="C18" s="5" t="inlineStr">
        <is>
          <t>사건번호 하나를 고르면 그 사건의 모든 업무를 날짜순 타임라인으로.</t>
        </is>
      </c>
    </row>
    <row r="19" ht="17" customHeight="1">
      <c r="A19" s="144" t="n"/>
      <c r="B19" s="4" t="inlineStr">
        <is>
          <t>사업별 현황</t>
        </is>
      </c>
      <c r="C19" s="5" t="inlineStr">
        <is>
          <t>사업번호 하나를 고르면 예산 집행 · 단계별 진척 · 추진 타임라인이 정리됩니다.</t>
        </is>
      </c>
    </row>
    <row r="20" ht="17" customHeight="1">
      <c r="A20" s="144" t="n"/>
      <c r="B20" s="4" t="inlineStr">
        <is>
          <t>부서 전체현황</t>
        </is>
      </c>
      <c r="C20" s="5" t="inlineStr">
        <is>
          <t>기준연도 1칸으로 월별 추이·세부유형·팀별·요청처별·일일 집계가 전부 갱신.</t>
        </is>
      </c>
    </row>
    <row r="21" ht="17" customHeight="1">
      <c r="A21" s="144" t="n"/>
      <c r="B21" s="4" t="inlineStr">
        <is>
          <t>사건별 현황</t>
        </is>
      </c>
      <c r="C21" s="5" t="inlineStr">
        <is>
          <t>사건번호 기준 누계(전체 기간). 아래쪽에서 사건 하나를 골라 상세 조회.</t>
        </is>
      </c>
    </row>
    <row r="22" ht="17" customHeight="1">
      <c r="A22" s="144" t="n"/>
      <c r="B22" s="4" t="inlineStr">
        <is>
          <t>개인별 현황</t>
        </is>
      </c>
      <c r="C22" s="5" t="inlineStr">
        <is>
          <t>담당자별 주담당/참여 분리 집계, 참여 사건수, 월별 참여회차 매트릭스.</t>
        </is>
      </c>
    </row>
    <row r="23" ht="17" customHeight="1">
      <c r="A23" s="144" t="n"/>
      <c r="B23" s="4" t="inlineStr">
        <is>
          <t>교육 이수 현황</t>
        </is>
      </c>
      <c r="C23" s="5" t="inlineStr">
        <is>
          <t>담당자별 연간 교육 횟수와 이수 판정. 이수 기준 횟수는 노란 칸에서 조정.</t>
        </is>
      </c>
    </row>
    <row r="24" ht="17" customHeight="1">
      <c r="A24" s="144" t="n"/>
      <c r="B24" s="4" t="inlineStr">
        <is>
          <t>입력검증</t>
        </is>
      </c>
      <c r="C24" s="5" t="inlineStr">
        <is>
          <t>누락·오타·불일치를 자동으로 모아 줍니다. 월말 마감 전 확인용.</t>
        </is>
      </c>
    </row>
    <row r="25" ht="17" customHeight="1">
      <c r="A25" s="144" t="n"/>
      <c r="B25" s="4" t="inlineStr">
        <is>
          <t>코드설정</t>
        </is>
      </c>
      <c r="C25" s="5" t="inlineStr">
        <is>
          <t>모든 드롭다운의 원본. 담당자·팀·유형·사업구분·추진단계·장비·공휴일.</t>
        </is>
      </c>
    </row>
    <row r="26" ht="20" customHeight="1">
      <c r="A26" s="144" t="n"/>
      <c r="B26" s="152" t="n"/>
      <c r="C26" s="144" t="n"/>
    </row>
    <row r="27" ht="20" customHeight="1">
      <c r="A27" s="144" t="n"/>
      <c r="B27" s="150" t="inlineStr">
        <is>
          <t>입력 순서</t>
        </is>
      </c>
      <c r="C27" s="151" t="n"/>
    </row>
    <row r="28" ht="17" customHeight="1">
      <c r="A28" s="144" t="n"/>
      <c r="B28" s="4" t="inlineStr">
        <is>
          <t>① 코드설정</t>
        </is>
      </c>
      <c r="C28" s="5" t="inlineStr">
        <is>
          <t>담당자·소속팀·팀 마스터·요청처를 우리 부서에 맞게 고칩니다.</t>
        </is>
      </c>
    </row>
    <row r="29" ht="17" customHeight="1">
      <c r="A29" s="144" t="n"/>
      <c r="B29" s="4" t="inlineStr">
        <is>
          <t>② 사건마스터 / 사업마스터</t>
        </is>
      </c>
      <c r="C29" s="5" t="inlineStr">
        <is>
          <t>사건과 사업을 등록합니다. 사건은 담당자 배정까지, 사업은 예산까지.</t>
        </is>
      </c>
    </row>
    <row r="30" ht="17" customHeight="1">
      <c r="A30" s="144" t="n"/>
      <c r="B30" s="4" t="inlineStr">
        <is>
          <t>③ 업무일지 / 사업추진일지</t>
        </is>
      </c>
      <c r="C30" s="5" t="inlineStr">
        <is>
          <t>날짜별로 한 줄씩 기록합니다. 사건번호·사업번호만 고르면 나머지는 자동.</t>
        </is>
      </c>
    </row>
    <row r="31" ht="17" customHeight="1">
      <c r="A31" s="144" t="n"/>
      <c r="B31" s="4" t="inlineStr">
        <is>
          <t>④ 일일실시사항</t>
        </is>
      </c>
      <c r="C31" s="5" t="inlineStr">
        <is>
          <t>사건·사업과 무관한 일일 업무를 그날그날 기록합니다.</t>
        </is>
      </c>
    </row>
    <row r="32" ht="17" customHeight="1">
      <c r="A32" s="144" t="n"/>
      <c r="B32" s="4" t="inlineStr">
        <is>
          <t>⑤ 마감 전</t>
        </is>
      </c>
      <c r="C32" s="5" t="inlineStr">
        <is>
          <t>[입력검증]에서 오류 행이 0인지 확인한 뒤 [대시보드]로 보고합니다.</t>
        </is>
      </c>
    </row>
    <row r="33" ht="20" customHeight="1">
      <c r="A33" s="144" t="n"/>
      <c r="B33" s="152" t="n"/>
      <c r="C33" s="144" t="n"/>
    </row>
    <row r="34" ht="20" customHeight="1">
      <c r="A34" s="144" t="n"/>
      <c r="B34" s="150" t="inlineStr">
        <is>
          <t>색상 규칙</t>
        </is>
      </c>
      <c r="C34" s="151" t="n"/>
    </row>
    <row r="35" ht="17" customHeight="1">
      <c r="A35" s="144" t="n"/>
      <c r="B35" s="4" t="inlineStr">
        <is>
          <t>파란 글씨</t>
        </is>
      </c>
      <c r="C35" s="5" t="inlineStr">
        <is>
          <t>직접 입력하는 칸</t>
        </is>
      </c>
    </row>
    <row r="36" ht="17" customHeight="1">
      <c r="A36" s="144" t="n"/>
      <c r="B36" s="4" t="inlineStr">
        <is>
          <t>검정 글씨</t>
        </is>
      </c>
      <c r="C36" s="5" t="inlineStr">
        <is>
          <t>같은 시트 안에서 자동 계산되는 칸 (덮어쓰지 마세요)</t>
        </is>
      </c>
    </row>
    <row r="37" ht="17" customHeight="1">
      <c r="A37" s="144" t="n"/>
      <c r="B37" s="4" t="inlineStr">
        <is>
          <t>초록 글씨</t>
        </is>
      </c>
      <c r="C37" s="5" t="inlineStr">
        <is>
          <t>다른 시트에서 자동으로 끌어온 칸 (업무일지 담당자칸은 덮어써서 그 행만 바꿀 수 있음)</t>
        </is>
      </c>
    </row>
    <row r="38" ht="17" customHeight="1">
      <c r="A38" s="144" t="n"/>
      <c r="B38" s="4" t="inlineStr">
        <is>
          <t>노란 배경</t>
        </is>
      </c>
      <c r="C38" s="5" t="inlineStr">
        <is>
          <t>반드시 확인·변경해야 하는 핵심 입력값 (기준연도, 조회 연·월, 이수 기준, 사건·사업 선택)</t>
        </is>
      </c>
    </row>
    <row r="39" ht="17" customHeight="1">
      <c r="A39" s="144" t="n"/>
      <c r="B39" s="4" t="inlineStr">
        <is>
          <t>행 배경색</t>
        </is>
      </c>
      <c r="C39" s="5" t="inlineStr">
        <is>
          <t>완료 = 연녹색 / 보류 = 주황 / 기한이 지났는데 미완료 = 빨강</t>
        </is>
      </c>
    </row>
    <row r="40" ht="17" customHeight="1">
      <c r="A40" s="144" t="n"/>
      <c r="B40" s="148" t="n"/>
      <c r="C40" s="149" t="n"/>
    </row>
    <row r="41" ht="20" customHeight="1">
      <c r="A41" s="144" t="n"/>
      <c r="B41" s="150" t="inlineStr">
        <is>
          <t>집계 기준 — 헷갈리기 쉬운 것</t>
        </is>
      </c>
      <c r="C41" s="151" t="n"/>
    </row>
    <row r="42" ht="29" customHeight="1">
      <c r="A42" s="144" t="n"/>
      <c r="B42" s="4" t="inlineStr">
        <is>
          <t>회차 vs 사건</t>
        </is>
      </c>
      <c r="C42" s="5" t="inlineStr">
        <is>
          <t>같은 사건을 참관 일정 때문에 여러 날 나눠 하면 [회차]가 1·2·3으로 붙습니다. [회차]는 작업량, [사건]은 실제 사건 개수이며 출장·분석을 따로 셉니다.</t>
        </is>
      </c>
    </row>
    <row r="43" ht="17" customHeight="1">
      <c r="A43" s="144" t="n"/>
      <c r="B43" s="4" t="inlineStr">
        <is>
          <t>전체 사건</t>
        </is>
      </c>
      <c r="C43" s="5" t="inlineStr">
        <is>
          <t>출장 사건 + 분석 사건이 아닙니다. 한 사건에서 둘 다 했으면 전체에는 1로만 잡힙니다 — 두 칸을 더하지 마세요.</t>
        </is>
      </c>
    </row>
    <row r="44" ht="29" customHeight="1">
      <c r="A44" s="144" t="n"/>
      <c r="B44" s="4" t="inlineStr">
        <is>
          <t>사건수 합계</t>
        </is>
      </c>
      <c r="C44" s="5" t="inlineStr">
        <is>
          <t>팀별·개인별 사건수의 합계 칸은 각 값의 단순 합이 아니라 부서 전체 고유 사건 수입니다. 한 사건에 여러 팀·여러 사람이 걸쳐 있기 때문입니다.</t>
        </is>
      </c>
    </row>
    <row r="45" ht="17" customHeight="1">
      <c r="A45" s="144" t="n"/>
      <c r="B45" s="4" t="inlineStr">
        <is>
          <t>교육</t>
        </is>
      </c>
      <c r="C45" s="5" t="inlineStr">
        <is>
          <t>사건번호와 묶이지 않으므로 회차만 집계합니다. 사건 수에는 들어가지 않습니다.</t>
        </is>
      </c>
    </row>
    <row r="46" ht="17" customHeight="1">
      <c r="A46" s="144" t="n"/>
      <c r="B46" s="4" t="inlineStr">
        <is>
          <t>월 귀속</t>
        </is>
      </c>
      <c r="C46" s="5" t="inlineStr">
        <is>
          <t>출장·분석·교육은 '시작일', 일일실시사항은 '일자', 사업추진일지는 '일자'가 속한 달로 집계됩니다.</t>
        </is>
      </c>
    </row>
    <row r="47" ht="17" customHeight="1">
      <c r="A47" s="144" t="n"/>
      <c r="B47" s="4" t="inlineStr">
        <is>
          <t>투입인원(명)</t>
        </is>
      </c>
      <c r="C47" s="5" t="inlineStr">
        <is>
          <t>주담당 + 참여자 수. [사건마스터] 배정표에서 자동으로 채워집니다.</t>
        </is>
      </c>
    </row>
    <row r="48" ht="17" customHeight="1">
      <c r="A48" s="144" t="n"/>
      <c r="B48" s="4" t="inlineStr">
        <is>
          <t>연인원(명)</t>
        </is>
      </c>
      <c r="C48" s="5" t="inlineStr">
        <is>
          <t>각 건의 투입인원을 그대로 합산 — 같은 사람이 여러 건에 참여하면 중복 계상됩니다.</t>
        </is>
      </c>
    </row>
    <row r="50" ht="20" customHeight="1">
      <c r="B50" s="2" t="inlineStr">
        <is>
          <t>주의</t>
        </is>
      </c>
      <c r="C50" s="3" t="n"/>
    </row>
    <row r="51" ht="17" customHeight="1">
      <c r="B51" s="4" t="inlineStr">
        <is>
          <t>동명이인</t>
        </is>
      </c>
      <c r="C51" s="5" t="inlineStr">
        <is>
          <t>참여자 집계가 이름 부분일치 방식이라 '김디지(1팀)'처럼 반드시 구분해 등록하세요.</t>
        </is>
      </c>
    </row>
    <row r="52" ht="17" customHeight="1">
      <c r="B52" s="4" t="inlineStr">
        <is>
          <t>입력 한도</t>
        </is>
      </c>
      <c r="C52" s="5" t="inlineStr">
        <is>
          <t>업무일지·일일실시사항 각 1000건, 사업추진일지 400건, 사건 60건, 사업 30건, 담당자 20명, 장비 100대.</t>
        </is>
      </c>
    </row>
    <row r="53" ht="17" customHeight="1">
      <c r="B53" s="4" t="inlineStr">
        <is>
          <t>월력표 메모</t>
        </is>
      </c>
      <c r="C53" s="5" t="inlineStr">
        <is>
          <t>연·월을 바꿔도 메모 칸은 그대로 남습니다. 한 달이 끝나면 시트를 복사해 보관하세요.</t>
        </is>
      </c>
    </row>
    <row r="54" ht="17" customHeight="1">
      <c r="B54" s="4" t="inlineStr">
        <is>
          <t>참여자 16명 초과</t>
        </is>
      </c>
      <c r="C54" s="5" t="inlineStr">
        <is>
          <t>사건마스터에서 16명 넘게 배정하면 업무일지엔 주담당 + 참여자 15명까지만 전달됩니다.</t>
        </is>
      </c>
    </row>
    <row r="55" ht="17" customHeight="1">
      <c r="B55" s="4" t="inlineStr">
        <is>
          <t>숨은 열</t>
        </is>
      </c>
      <c r="C55" s="5" t="inlineStr">
        <is>
          <t>각 시트의 숨은 열에는 고유 사건 수·정렬 키 같은 계산용 값이 들어 있습니다. 지우지 마세요.</t>
        </is>
      </c>
    </row>
    <row r="56" ht="17" customHeight="1">
      <c r="B56" s="4" t="inlineStr">
        <is>
          <t>한셀 호환</t>
        </is>
      </c>
      <c r="C56" s="5" t="inlineStr">
        <is>
          <t>엑셀 2010 이후 함수를 쓰지 않았고, 드롭다운은 이름 정의로 참조합니다.</t>
        </is>
      </c>
    </row>
    <row r="58" ht="20" customHeight="1">
      <c r="B58" s="2" t="inlineStr">
        <is>
          <t>인쇄</t>
        </is>
      </c>
      <c r="C58" s="3" t="n"/>
    </row>
    <row r="59" ht="17" customHeight="1">
      <c r="B59" s="4" t="inlineStr">
        <is>
          <t>용지</t>
        </is>
      </c>
      <c r="C59" s="5" t="inlineStr">
        <is>
          <t>전 시트 A4 · 너비 1페이지 맞춤 · 가운데 정렬. 머리글에 시트명과 인쇄일, 바닥글에 쪽번호.</t>
        </is>
      </c>
    </row>
    <row r="60" ht="17" customHeight="1">
      <c r="B60" s="4" t="inlineStr">
        <is>
          <t>반복 머리글</t>
        </is>
      </c>
      <c r="C60" s="5" t="inlineStr">
        <is>
          <t>업무일지·일일실시사항·사업추진일지 등 긴 목록은 제목 행이 매 쪽 반복됩니다.</t>
        </is>
      </c>
    </row>
  </sheetData>
  <printOptions horizontalCentered="1"/>
  <pageMargins left="0.35" right="0.35" top="0.55" bottom="0.5" header="0.25" footer="0.25"/>
  <pageSetup orientation="portrait" paperSize="9" fitToHeight="0" fitToWidth="1"/>
  <headerFooter>
    <oddHeader>&amp;L&amp;"Arial"&amp;9사용안내&amp;R&amp;"Arial"&amp;9인쇄 &amp;D</oddHeader>
    <oddFooter>&amp;C&amp;"Arial"&amp;9&amp;P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AD3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 ht="24" customHeight="1">
      <c r="A1" s="6" t="inlineStr">
        <is>
          <t>월력표  ·  월간 업무 캘린더</t>
        </is>
      </c>
    </row>
    <row r="2" ht="26" customHeight="1">
      <c r="A2" s="7" t="inlineStr">
        <is>
          <t>※ 노란 칸(연도·월)만 바꾸면 달력이 다시 그려집니다.  ※ 각 날짜의 파란 줄은 [업무일지]에서 자동 집계된 출장·분석 건수입니다.  ※ 흰 칸은 자유 메모입니다 — 연·월을 바꿔도 메모는 그대로 남으니, 달이 끝나면 시트를 복사해 보관하세요.</t>
        </is>
      </c>
    </row>
    <row r="4">
      <c r="A4" s="120" t="inlineStr">
        <is>
          <t>연도</t>
        </is>
      </c>
      <c r="B4" s="121" t="n">
        <v>2026</v>
      </c>
      <c r="C4" s="120" t="inlineStr">
        <is>
          <t>월</t>
        </is>
      </c>
      <c r="D4" s="121" t="n">
        <v>3</v>
      </c>
      <c r="E4" s="10">
        <f>TEXT(DATE($B$4,$D$4,1),"yyyy년 m월")</f>
        <v/>
      </c>
      <c r="F4" s="11" t="n"/>
      <c r="G4" s="12" t="n"/>
      <c r="H4">
        <f>DATE($B$4,$D$4,1)-WEEKDAY(DATE($B$4,$D$4,1))+1</f>
        <v/>
      </c>
    </row>
    <row r="6" ht="20" customHeight="1">
      <c r="A6" s="13" t="inlineStr">
        <is>
          <t>일</t>
        </is>
      </c>
      <c r="B6" s="14" t="inlineStr">
        <is>
          <t>월</t>
        </is>
      </c>
      <c r="C6" s="14" t="inlineStr">
        <is>
          <t>화</t>
        </is>
      </c>
      <c r="D6" s="14" t="inlineStr">
        <is>
          <t>수</t>
        </is>
      </c>
      <c r="E6" s="14" t="inlineStr">
        <is>
          <t>목</t>
        </is>
      </c>
      <c r="F6" s="14" t="inlineStr">
        <is>
          <t>금</t>
        </is>
      </c>
      <c r="G6" s="15" t="inlineStr">
        <is>
          <t>토</t>
        </is>
      </c>
    </row>
    <row r="7" ht="20" customHeight="1">
      <c r="A7" s="68">
        <f>IF(MONTH($H$4+0)&lt;&gt;$D$4,"",$H$4+0)</f>
        <v/>
      </c>
      <c r="B7" s="69">
        <f>IF(MONTH($H$4+1)&lt;&gt;$D$4,"",$H$4+1)</f>
        <v/>
      </c>
      <c r="C7" s="69">
        <f>IF(MONTH($H$4+2)&lt;&gt;$D$4,"",$H$4+2)</f>
        <v/>
      </c>
      <c r="D7" s="69">
        <f>IF(MONTH($H$4+3)&lt;&gt;$D$4,"",$H$4+3)</f>
        <v/>
      </c>
      <c r="E7" s="69">
        <f>IF(MONTH($H$4+4)&lt;&gt;$D$4,"",$H$4+4)</f>
        <v/>
      </c>
      <c r="F7" s="69">
        <f>IF(MONTH($H$4+5)&lt;&gt;$D$4,"",$H$4+5)</f>
        <v/>
      </c>
      <c r="G7" s="70">
        <f>IF(MONTH($H$4+6)&lt;&gt;$D$4,"",$H$4+6)</f>
        <v/>
      </c>
      <c r="J7">
        <f>IF(A7="",0,COUNTIFS(업무일지!$B$5:$B$1004,"&lt;="&amp;A7,업무일지!$C$5:$C$1004,"&gt;="&amp;A7,업무일지!$D$5:$D$1004,"출장"))</f>
        <v/>
      </c>
      <c r="K7">
        <f>IF(B7="",0,COUNTIFS(업무일지!$B$5:$B$1004,"&lt;="&amp;B7,업무일지!$C$5:$C$1004,"&gt;="&amp;B7,업무일지!$D$5:$D$1004,"출장"))</f>
        <v/>
      </c>
      <c r="L7">
        <f>IF(C7="",0,COUNTIFS(업무일지!$B$5:$B$1004,"&lt;="&amp;C7,업무일지!$C$5:$C$1004,"&gt;="&amp;C7,업무일지!$D$5:$D$1004,"출장"))</f>
        <v/>
      </c>
      <c r="M7">
        <f>IF(D7="",0,COUNTIFS(업무일지!$B$5:$B$1004,"&lt;="&amp;D7,업무일지!$C$5:$C$1004,"&gt;="&amp;D7,업무일지!$D$5:$D$1004,"출장"))</f>
        <v/>
      </c>
      <c r="N7">
        <f>IF(E7="",0,COUNTIFS(업무일지!$B$5:$B$1004,"&lt;="&amp;E7,업무일지!$C$5:$C$1004,"&gt;="&amp;E7,업무일지!$D$5:$D$1004,"출장"))</f>
        <v/>
      </c>
      <c r="O7">
        <f>IF(F7="",0,COUNTIFS(업무일지!$B$5:$B$1004,"&lt;="&amp;F7,업무일지!$C$5:$C$1004,"&gt;="&amp;F7,업무일지!$D$5:$D$1004,"출장"))</f>
        <v/>
      </c>
      <c r="P7">
        <f>IF(G7="",0,COUNTIFS(업무일지!$B$5:$B$1004,"&lt;="&amp;G7,업무일지!$C$5:$C$1004,"&gt;="&amp;G7,업무일지!$D$5:$D$1004,"출장"))</f>
        <v/>
      </c>
      <c r="Q7">
        <f>IF(A7="",0,COUNTIFS(업무일지!$B$5:$B$1004,"&lt;="&amp;A7,업무일지!$C$5:$C$1004,"&gt;="&amp;A7,업무일지!$D$5:$D$1004,"분석"))</f>
        <v/>
      </c>
      <c r="R7">
        <f>IF(B7="",0,COUNTIFS(업무일지!$B$5:$B$1004,"&lt;="&amp;B7,업무일지!$C$5:$C$1004,"&gt;="&amp;B7,업무일지!$D$5:$D$1004,"분석"))</f>
        <v/>
      </c>
      <c r="S7">
        <f>IF(C7="",0,COUNTIFS(업무일지!$B$5:$B$1004,"&lt;="&amp;C7,업무일지!$C$5:$C$1004,"&gt;="&amp;C7,업무일지!$D$5:$D$1004,"분석"))</f>
        <v/>
      </c>
      <c r="T7">
        <f>IF(D7="",0,COUNTIFS(업무일지!$B$5:$B$1004,"&lt;="&amp;D7,업무일지!$C$5:$C$1004,"&gt;="&amp;D7,업무일지!$D$5:$D$1004,"분석"))</f>
        <v/>
      </c>
      <c r="U7">
        <f>IF(E7="",0,COUNTIFS(업무일지!$B$5:$B$1004,"&lt;="&amp;E7,업무일지!$C$5:$C$1004,"&gt;="&amp;E7,업무일지!$D$5:$D$1004,"분석"))</f>
        <v/>
      </c>
      <c r="V7">
        <f>IF(F7="",0,COUNTIFS(업무일지!$B$5:$B$1004,"&lt;="&amp;F7,업무일지!$C$5:$C$1004,"&gt;="&amp;F7,업무일지!$D$5:$D$1004,"분석"))</f>
        <v/>
      </c>
      <c r="W7">
        <f>IF(G7="",0,COUNTIFS(업무일지!$B$5:$B$1004,"&lt;="&amp;G7,업무일지!$C$5:$C$1004,"&gt;="&amp;G7,업무일지!$D$5:$D$1004,"분석"))</f>
        <v/>
      </c>
      <c r="X7">
        <f>IF(A7="",0,COUNTIFS(업무일지!$B$5:$B$1004,"&lt;="&amp;A7,업무일지!$C$5:$C$1004,"&gt;="&amp;A7,업무일지!$D$5:$D$1004,"교육"))</f>
        <v/>
      </c>
      <c r="Y7">
        <f>IF(B7="",0,COUNTIFS(업무일지!$B$5:$B$1004,"&lt;="&amp;B7,업무일지!$C$5:$C$1004,"&gt;="&amp;B7,업무일지!$D$5:$D$1004,"교육"))</f>
        <v/>
      </c>
      <c r="Z7">
        <f>IF(C7="",0,COUNTIFS(업무일지!$B$5:$B$1004,"&lt;="&amp;C7,업무일지!$C$5:$C$1004,"&gt;="&amp;C7,업무일지!$D$5:$D$1004,"교육"))</f>
        <v/>
      </c>
      <c r="AA7">
        <f>IF(D7="",0,COUNTIFS(업무일지!$B$5:$B$1004,"&lt;="&amp;D7,업무일지!$C$5:$C$1004,"&gt;="&amp;D7,업무일지!$D$5:$D$1004,"교육"))</f>
        <v/>
      </c>
      <c r="AB7">
        <f>IF(E7="",0,COUNTIFS(업무일지!$B$5:$B$1004,"&lt;="&amp;E7,업무일지!$C$5:$C$1004,"&gt;="&amp;E7,업무일지!$D$5:$D$1004,"교육"))</f>
        <v/>
      </c>
      <c r="AC7">
        <f>IF(F7="",0,COUNTIFS(업무일지!$B$5:$B$1004,"&lt;="&amp;F7,업무일지!$C$5:$C$1004,"&gt;="&amp;F7,업무일지!$D$5:$D$1004,"교육"))</f>
        <v/>
      </c>
      <c r="AD7">
        <f>IF(G7="",0,COUNTIFS(업무일지!$B$5:$B$1004,"&lt;="&amp;G7,업무일지!$C$5:$C$1004,"&gt;="&amp;G7,업무일지!$D$5:$D$1004,"교육"))</f>
        <v/>
      </c>
    </row>
    <row r="8" ht="15" customHeight="1">
      <c r="A8" s="19">
        <f>IF(A7="","",IF(J7+Q7+X7=0,"",IF(J7=0,"","출장 "&amp;J7&amp;"  ")&amp;IF(Q7=0,"","분석 "&amp;Q7&amp;"  ")&amp;IF(X7=0,"","교육 "&amp;X7)))</f>
        <v/>
      </c>
      <c r="B8" s="19">
        <f>IF(B7="","",IF(K7+R7+Y7=0,"",IF(K7=0,"","출장 "&amp;K7&amp;"  ")&amp;IF(R7=0,"","분석 "&amp;R7&amp;"  ")&amp;IF(Y7=0,"","교육 "&amp;Y7)))</f>
        <v/>
      </c>
      <c r="C8" s="19">
        <f>IF(C7="","",IF(L7+S7+Z7=0,"",IF(L7=0,"","출장 "&amp;L7&amp;"  ")&amp;IF(S7=0,"","분석 "&amp;S7&amp;"  ")&amp;IF(Z7=0,"","교육 "&amp;Z7)))</f>
        <v/>
      </c>
      <c r="D8" s="19">
        <f>IF(D7="","",IF(M7+T7+AA7=0,"",IF(M7=0,"","출장 "&amp;M7&amp;"  ")&amp;IF(T7=0,"","분석 "&amp;T7&amp;"  ")&amp;IF(AA7=0,"","교육 "&amp;AA7)))</f>
        <v/>
      </c>
      <c r="E8" s="19">
        <f>IF(E7="","",IF(N7+U7+AB7=0,"",IF(N7=0,"","출장 "&amp;N7&amp;"  ")&amp;IF(U7=0,"","분석 "&amp;U7&amp;"  ")&amp;IF(AB7=0,"","교육 "&amp;AB7)))</f>
        <v/>
      </c>
      <c r="F8" s="19">
        <f>IF(F7="","",IF(O7+V7+AC7=0,"",IF(O7=0,"","출장 "&amp;O7&amp;"  ")&amp;IF(V7=0,"","분석 "&amp;V7&amp;"  ")&amp;IF(AC7=0,"","교육 "&amp;AC7)))</f>
        <v/>
      </c>
      <c r="G8" s="19">
        <f>IF(G7="","",IF(P7+W7+AD7=0,"",IF(P7=0,"","출장 "&amp;P7&amp;"  ")&amp;IF(W7=0,"","분석 "&amp;W7&amp;"  ")&amp;IF(AD7=0,"","교육 "&amp;AD7)))</f>
        <v/>
      </c>
      <c r="J8">
        <f>IF(A10="",0,COUNTIFS(업무일지!$B$5:$B$1004,"&lt;="&amp;A10,업무일지!$C$5:$C$1004,"&gt;="&amp;A10,업무일지!$D$5:$D$1004,"출장"))</f>
        <v/>
      </c>
      <c r="K8">
        <f>IF(B10="",0,COUNTIFS(업무일지!$B$5:$B$1004,"&lt;="&amp;B10,업무일지!$C$5:$C$1004,"&gt;="&amp;B10,업무일지!$D$5:$D$1004,"출장"))</f>
        <v/>
      </c>
      <c r="L8">
        <f>IF(C10="",0,COUNTIFS(업무일지!$B$5:$B$1004,"&lt;="&amp;C10,업무일지!$C$5:$C$1004,"&gt;="&amp;C10,업무일지!$D$5:$D$1004,"출장"))</f>
        <v/>
      </c>
      <c r="M8">
        <f>IF(D10="",0,COUNTIFS(업무일지!$B$5:$B$1004,"&lt;="&amp;D10,업무일지!$C$5:$C$1004,"&gt;="&amp;D10,업무일지!$D$5:$D$1004,"출장"))</f>
        <v/>
      </c>
      <c r="N8">
        <f>IF(E10="",0,COUNTIFS(업무일지!$B$5:$B$1004,"&lt;="&amp;E10,업무일지!$C$5:$C$1004,"&gt;="&amp;E10,업무일지!$D$5:$D$1004,"출장"))</f>
        <v/>
      </c>
      <c r="O8">
        <f>IF(F10="",0,COUNTIFS(업무일지!$B$5:$B$1004,"&lt;="&amp;F10,업무일지!$C$5:$C$1004,"&gt;="&amp;F10,업무일지!$D$5:$D$1004,"출장"))</f>
        <v/>
      </c>
      <c r="P8">
        <f>IF(G10="",0,COUNTIFS(업무일지!$B$5:$B$1004,"&lt;="&amp;G10,업무일지!$C$5:$C$1004,"&gt;="&amp;G10,업무일지!$D$5:$D$1004,"출장"))</f>
        <v/>
      </c>
      <c r="Q8">
        <f>IF(A10="",0,COUNTIFS(업무일지!$B$5:$B$1004,"&lt;="&amp;A10,업무일지!$C$5:$C$1004,"&gt;="&amp;A10,업무일지!$D$5:$D$1004,"분석"))</f>
        <v/>
      </c>
      <c r="R8">
        <f>IF(B10="",0,COUNTIFS(업무일지!$B$5:$B$1004,"&lt;="&amp;B10,업무일지!$C$5:$C$1004,"&gt;="&amp;B10,업무일지!$D$5:$D$1004,"분석"))</f>
        <v/>
      </c>
      <c r="S8">
        <f>IF(C10="",0,COUNTIFS(업무일지!$B$5:$B$1004,"&lt;="&amp;C10,업무일지!$C$5:$C$1004,"&gt;="&amp;C10,업무일지!$D$5:$D$1004,"분석"))</f>
        <v/>
      </c>
      <c r="T8">
        <f>IF(D10="",0,COUNTIFS(업무일지!$B$5:$B$1004,"&lt;="&amp;D10,업무일지!$C$5:$C$1004,"&gt;="&amp;D10,업무일지!$D$5:$D$1004,"분석"))</f>
        <v/>
      </c>
      <c r="U8">
        <f>IF(E10="",0,COUNTIFS(업무일지!$B$5:$B$1004,"&lt;="&amp;E10,업무일지!$C$5:$C$1004,"&gt;="&amp;E10,업무일지!$D$5:$D$1004,"분석"))</f>
        <v/>
      </c>
      <c r="V8">
        <f>IF(F10="",0,COUNTIFS(업무일지!$B$5:$B$1004,"&lt;="&amp;F10,업무일지!$C$5:$C$1004,"&gt;="&amp;F10,업무일지!$D$5:$D$1004,"분석"))</f>
        <v/>
      </c>
      <c r="W8">
        <f>IF(G10="",0,COUNTIFS(업무일지!$B$5:$B$1004,"&lt;="&amp;G10,업무일지!$C$5:$C$1004,"&gt;="&amp;G10,업무일지!$D$5:$D$1004,"분석"))</f>
        <v/>
      </c>
      <c r="X8">
        <f>IF(A10="",0,COUNTIFS(업무일지!$B$5:$B$1004,"&lt;="&amp;A10,업무일지!$C$5:$C$1004,"&gt;="&amp;A10,업무일지!$D$5:$D$1004,"교육"))</f>
        <v/>
      </c>
      <c r="Y8">
        <f>IF(B10="",0,COUNTIFS(업무일지!$B$5:$B$1004,"&lt;="&amp;B10,업무일지!$C$5:$C$1004,"&gt;="&amp;B10,업무일지!$D$5:$D$1004,"교육"))</f>
        <v/>
      </c>
      <c r="Z8">
        <f>IF(C10="",0,COUNTIFS(업무일지!$B$5:$B$1004,"&lt;="&amp;C10,업무일지!$C$5:$C$1004,"&gt;="&amp;C10,업무일지!$D$5:$D$1004,"교육"))</f>
        <v/>
      </c>
      <c r="AA8">
        <f>IF(D10="",0,COUNTIFS(업무일지!$B$5:$B$1004,"&lt;="&amp;D10,업무일지!$C$5:$C$1004,"&gt;="&amp;D10,업무일지!$D$5:$D$1004,"교육"))</f>
        <v/>
      </c>
      <c r="AB8">
        <f>IF(E10="",0,COUNTIFS(업무일지!$B$5:$B$1004,"&lt;="&amp;E10,업무일지!$C$5:$C$1004,"&gt;="&amp;E10,업무일지!$D$5:$D$1004,"교육"))</f>
        <v/>
      </c>
      <c r="AC8">
        <f>IF(F10="",0,COUNTIFS(업무일지!$B$5:$B$1004,"&lt;="&amp;F10,업무일지!$C$5:$C$1004,"&gt;="&amp;F10,업무일지!$D$5:$D$1004,"교육"))</f>
        <v/>
      </c>
      <c r="AD8">
        <f>IF(G10="",0,COUNTIFS(업무일지!$B$5:$B$1004,"&lt;="&amp;G10,업무일지!$C$5:$C$1004,"&gt;="&amp;G10,업무일지!$D$5:$D$1004,"교육"))</f>
        <v/>
      </c>
    </row>
    <row r="9" ht="42" customHeight="1">
      <c r="A9" s="20" t="n"/>
      <c r="B9" s="20" t="n"/>
      <c r="C9" s="20" t="n"/>
      <c r="D9" s="20" t="n"/>
      <c r="E9" s="20" t="n"/>
      <c r="F9" s="20" t="n"/>
      <c r="G9" s="20" t="n"/>
      <c r="J9">
        <f>IF(A13="",0,COUNTIFS(업무일지!$B$5:$B$1004,"&lt;="&amp;A13,업무일지!$C$5:$C$1004,"&gt;="&amp;A13,업무일지!$D$5:$D$1004,"출장"))</f>
        <v/>
      </c>
      <c r="K9">
        <f>IF(B13="",0,COUNTIFS(업무일지!$B$5:$B$1004,"&lt;="&amp;B13,업무일지!$C$5:$C$1004,"&gt;="&amp;B13,업무일지!$D$5:$D$1004,"출장"))</f>
        <v/>
      </c>
      <c r="L9">
        <f>IF(C13="",0,COUNTIFS(업무일지!$B$5:$B$1004,"&lt;="&amp;C13,업무일지!$C$5:$C$1004,"&gt;="&amp;C13,업무일지!$D$5:$D$1004,"출장"))</f>
        <v/>
      </c>
      <c r="M9">
        <f>IF(D13="",0,COUNTIFS(업무일지!$B$5:$B$1004,"&lt;="&amp;D13,업무일지!$C$5:$C$1004,"&gt;="&amp;D13,업무일지!$D$5:$D$1004,"출장"))</f>
        <v/>
      </c>
      <c r="N9">
        <f>IF(E13="",0,COUNTIFS(업무일지!$B$5:$B$1004,"&lt;="&amp;E13,업무일지!$C$5:$C$1004,"&gt;="&amp;E13,업무일지!$D$5:$D$1004,"출장"))</f>
        <v/>
      </c>
      <c r="O9">
        <f>IF(F13="",0,COUNTIFS(업무일지!$B$5:$B$1004,"&lt;="&amp;F13,업무일지!$C$5:$C$1004,"&gt;="&amp;F13,업무일지!$D$5:$D$1004,"출장"))</f>
        <v/>
      </c>
      <c r="P9">
        <f>IF(G13="",0,COUNTIFS(업무일지!$B$5:$B$1004,"&lt;="&amp;G13,업무일지!$C$5:$C$1004,"&gt;="&amp;G13,업무일지!$D$5:$D$1004,"출장"))</f>
        <v/>
      </c>
      <c r="Q9">
        <f>IF(A13="",0,COUNTIFS(업무일지!$B$5:$B$1004,"&lt;="&amp;A13,업무일지!$C$5:$C$1004,"&gt;="&amp;A13,업무일지!$D$5:$D$1004,"분석"))</f>
        <v/>
      </c>
      <c r="R9">
        <f>IF(B13="",0,COUNTIFS(업무일지!$B$5:$B$1004,"&lt;="&amp;B13,업무일지!$C$5:$C$1004,"&gt;="&amp;B13,업무일지!$D$5:$D$1004,"분석"))</f>
        <v/>
      </c>
      <c r="S9">
        <f>IF(C13="",0,COUNTIFS(업무일지!$B$5:$B$1004,"&lt;="&amp;C13,업무일지!$C$5:$C$1004,"&gt;="&amp;C13,업무일지!$D$5:$D$1004,"분석"))</f>
        <v/>
      </c>
      <c r="T9">
        <f>IF(D13="",0,COUNTIFS(업무일지!$B$5:$B$1004,"&lt;="&amp;D13,업무일지!$C$5:$C$1004,"&gt;="&amp;D13,업무일지!$D$5:$D$1004,"분석"))</f>
        <v/>
      </c>
      <c r="U9">
        <f>IF(E13="",0,COUNTIFS(업무일지!$B$5:$B$1004,"&lt;="&amp;E13,업무일지!$C$5:$C$1004,"&gt;="&amp;E13,업무일지!$D$5:$D$1004,"분석"))</f>
        <v/>
      </c>
      <c r="V9">
        <f>IF(F13="",0,COUNTIFS(업무일지!$B$5:$B$1004,"&lt;="&amp;F13,업무일지!$C$5:$C$1004,"&gt;="&amp;F13,업무일지!$D$5:$D$1004,"분석"))</f>
        <v/>
      </c>
      <c r="W9">
        <f>IF(G13="",0,COUNTIFS(업무일지!$B$5:$B$1004,"&lt;="&amp;G13,업무일지!$C$5:$C$1004,"&gt;="&amp;G13,업무일지!$D$5:$D$1004,"분석"))</f>
        <v/>
      </c>
      <c r="X9">
        <f>IF(A13="",0,COUNTIFS(업무일지!$B$5:$B$1004,"&lt;="&amp;A13,업무일지!$C$5:$C$1004,"&gt;="&amp;A13,업무일지!$D$5:$D$1004,"교육"))</f>
        <v/>
      </c>
      <c r="Y9">
        <f>IF(B13="",0,COUNTIFS(업무일지!$B$5:$B$1004,"&lt;="&amp;B13,업무일지!$C$5:$C$1004,"&gt;="&amp;B13,업무일지!$D$5:$D$1004,"교육"))</f>
        <v/>
      </c>
      <c r="Z9">
        <f>IF(C13="",0,COUNTIFS(업무일지!$B$5:$B$1004,"&lt;="&amp;C13,업무일지!$C$5:$C$1004,"&gt;="&amp;C13,업무일지!$D$5:$D$1004,"교육"))</f>
        <v/>
      </c>
      <c r="AA9">
        <f>IF(D13="",0,COUNTIFS(업무일지!$B$5:$B$1004,"&lt;="&amp;D13,업무일지!$C$5:$C$1004,"&gt;="&amp;D13,업무일지!$D$5:$D$1004,"교육"))</f>
        <v/>
      </c>
      <c r="AB9">
        <f>IF(E13="",0,COUNTIFS(업무일지!$B$5:$B$1004,"&lt;="&amp;E13,업무일지!$C$5:$C$1004,"&gt;="&amp;E13,업무일지!$D$5:$D$1004,"교육"))</f>
        <v/>
      </c>
      <c r="AC9">
        <f>IF(F13="",0,COUNTIFS(업무일지!$B$5:$B$1004,"&lt;="&amp;F13,업무일지!$C$5:$C$1004,"&gt;="&amp;F13,업무일지!$D$5:$D$1004,"교육"))</f>
        <v/>
      </c>
      <c r="AD9">
        <f>IF(G13="",0,COUNTIFS(업무일지!$B$5:$B$1004,"&lt;="&amp;G13,업무일지!$C$5:$C$1004,"&gt;="&amp;G13,업무일지!$D$5:$D$1004,"교육"))</f>
        <v/>
      </c>
    </row>
    <row r="10" ht="20" customHeight="1">
      <c r="A10" s="68">
        <f>IF(MONTH($H$4+7)&lt;&gt;$D$4,"",$H$4+7)</f>
        <v/>
      </c>
      <c r="B10" s="69">
        <f>IF(MONTH($H$4+8)&lt;&gt;$D$4,"",$H$4+8)</f>
        <v/>
      </c>
      <c r="C10" s="69">
        <f>IF(MONTH($H$4+9)&lt;&gt;$D$4,"",$H$4+9)</f>
        <v/>
      </c>
      <c r="D10" s="69">
        <f>IF(MONTH($H$4+10)&lt;&gt;$D$4,"",$H$4+10)</f>
        <v/>
      </c>
      <c r="E10" s="69">
        <f>IF(MONTH($H$4+11)&lt;&gt;$D$4,"",$H$4+11)</f>
        <v/>
      </c>
      <c r="F10" s="69">
        <f>IF(MONTH($H$4+12)&lt;&gt;$D$4,"",$H$4+12)</f>
        <v/>
      </c>
      <c r="G10" s="70">
        <f>IF(MONTH($H$4+13)&lt;&gt;$D$4,"",$H$4+13)</f>
        <v/>
      </c>
      <c r="J10">
        <f>IF(A16="",0,COUNTIFS(업무일지!$B$5:$B$1004,"&lt;="&amp;A16,업무일지!$C$5:$C$1004,"&gt;="&amp;A16,업무일지!$D$5:$D$1004,"출장"))</f>
        <v/>
      </c>
      <c r="K10">
        <f>IF(B16="",0,COUNTIFS(업무일지!$B$5:$B$1004,"&lt;="&amp;B16,업무일지!$C$5:$C$1004,"&gt;="&amp;B16,업무일지!$D$5:$D$1004,"출장"))</f>
        <v/>
      </c>
      <c r="L10">
        <f>IF(C16="",0,COUNTIFS(업무일지!$B$5:$B$1004,"&lt;="&amp;C16,업무일지!$C$5:$C$1004,"&gt;="&amp;C16,업무일지!$D$5:$D$1004,"출장"))</f>
        <v/>
      </c>
      <c r="M10">
        <f>IF(D16="",0,COUNTIFS(업무일지!$B$5:$B$1004,"&lt;="&amp;D16,업무일지!$C$5:$C$1004,"&gt;="&amp;D16,업무일지!$D$5:$D$1004,"출장"))</f>
        <v/>
      </c>
      <c r="N10">
        <f>IF(E16="",0,COUNTIFS(업무일지!$B$5:$B$1004,"&lt;="&amp;E16,업무일지!$C$5:$C$1004,"&gt;="&amp;E16,업무일지!$D$5:$D$1004,"출장"))</f>
        <v/>
      </c>
      <c r="O10">
        <f>IF(F16="",0,COUNTIFS(업무일지!$B$5:$B$1004,"&lt;="&amp;F16,업무일지!$C$5:$C$1004,"&gt;="&amp;F16,업무일지!$D$5:$D$1004,"출장"))</f>
        <v/>
      </c>
      <c r="P10">
        <f>IF(G16="",0,COUNTIFS(업무일지!$B$5:$B$1004,"&lt;="&amp;G16,업무일지!$C$5:$C$1004,"&gt;="&amp;G16,업무일지!$D$5:$D$1004,"출장"))</f>
        <v/>
      </c>
      <c r="Q10">
        <f>IF(A16="",0,COUNTIFS(업무일지!$B$5:$B$1004,"&lt;="&amp;A16,업무일지!$C$5:$C$1004,"&gt;="&amp;A16,업무일지!$D$5:$D$1004,"분석"))</f>
        <v/>
      </c>
      <c r="R10">
        <f>IF(B16="",0,COUNTIFS(업무일지!$B$5:$B$1004,"&lt;="&amp;B16,업무일지!$C$5:$C$1004,"&gt;="&amp;B16,업무일지!$D$5:$D$1004,"분석"))</f>
        <v/>
      </c>
      <c r="S10">
        <f>IF(C16="",0,COUNTIFS(업무일지!$B$5:$B$1004,"&lt;="&amp;C16,업무일지!$C$5:$C$1004,"&gt;="&amp;C16,업무일지!$D$5:$D$1004,"분석"))</f>
        <v/>
      </c>
      <c r="T10">
        <f>IF(D16="",0,COUNTIFS(업무일지!$B$5:$B$1004,"&lt;="&amp;D16,업무일지!$C$5:$C$1004,"&gt;="&amp;D16,업무일지!$D$5:$D$1004,"분석"))</f>
        <v/>
      </c>
      <c r="U10">
        <f>IF(E16="",0,COUNTIFS(업무일지!$B$5:$B$1004,"&lt;="&amp;E16,업무일지!$C$5:$C$1004,"&gt;="&amp;E16,업무일지!$D$5:$D$1004,"분석"))</f>
        <v/>
      </c>
      <c r="V10">
        <f>IF(F16="",0,COUNTIFS(업무일지!$B$5:$B$1004,"&lt;="&amp;F16,업무일지!$C$5:$C$1004,"&gt;="&amp;F16,업무일지!$D$5:$D$1004,"분석"))</f>
        <v/>
      </c>
      <c r="W10">
        <f>IF(G16="",0,COUNTIFS(업무일지!$B$5:$B$1004,"&lt;="&amp;G16,업무일지!$C$5:$C$1004,"&gt;="&amp;G16,업무일지!$D$5:$D$1004,"분석"))</f>
        <v/>
      </c>
      <c r="X10">
        <f>IF(A16="",0,COUNTIFS(업무일지!$B$5:$B$1004,"&lt;="&amp;A16,업무일지!$C$5:$C$1004,"&gt;="&amp;A16,업무일지!$D$5:$D$1004,"교육"))</f>
        <v/>
      </c>
      <c r="Y10">
        <f>IF(B16="",0,COUNTIFS(업무일지!$B$5:$B$1004,"&lt;="&amp;B16,업무일지!$C$5:$C$1004,"&gt;="&amp;B16,업무일지!$D$5:$D$1004,"교육"))</f>
        <v/>
      </c>
      <c r="Z10">
        <f>IF(C16="",0,COUNTIFS(업무일지!$B$5:$B$1004,"&lt;="&amp;C16,업무일지!$C$5:$C$1004,"&gt;="&amp;C16,업무일지!$D$5:$D$1004,"교육"))</f>
        <v/>
      </c>
      <c r="AA10">
        <f>IF(D16="",0,COUNTIFS(업무일지!$B$5:$B$1004,"&lt;="&amp;D16,업무일지!$C$5:$C$1004,"&gt;="&amp;D16,업무일지!$D$5:$D$1004,"교육"))</f>
        <v/>
      </c>
      <c r="AB10">
        <f>IF(E16="",0,COUNTIFS(업무일지!$B$5:$B$1004,"&lt;="&amp;E16,업무일지!$C$5:$C$1004,"&gt;="&amp;E16,업무일지!$D$5:$D$1004,"교육"))</f>
        <v/>
      </c>
      <c r="AC10">
        <f>IF(F16="",0,COUNTIFS(업무일지!$B$5:$B$1004,"&lt;="&amp;F16,업무일지!$C$5:$C$1004,"&gt;="&amp;F16,업무일지!$D$5:$D$1004,"교육"))</f>
        <v/>
      </c>
      <c r="AD10">
        <f>IF(G16="",0,COUNTIFS(업무일지!$B$5:$B$1004,"&lt;="&amp;G16,업무일지!$C$5:$C$1004,"&gt;="&amp;G16,업무일지!$D$5:$D$1004,"교육"))</f>
        <v/>
      </c>
    </row>
    <row r="11" ht="15" customHeight="1">
      <c r="A11" s="19">
        <f>IF(A10="","",IF(J8+Q8+X8=0,"",IF(J8=0,"","출장 "&amp;J8&amp;"  ")&amp;IF(Q8=0,"","분석 "&amp;Q8&amp;"  ")&amp;IF(X8=0,"","교육 "&amp;X8)))</f>
        <v/>
      </c>
      <c r="B11" s="19">
        <f>IF(B10="","",IF(K8+R8+Y8=0,"",IF(K8=0,"","출장 "&amp;K8&amp;"  ")&amp;IF(R8=0,"","분석 "&amp;R8&amp;"  ")&amp;IF(Y8=0,"","교육 "&amp;Y8)))</f>
        <v/>
      </c>
      <c r="C11" s="19">
        <f>IF(C10="","",IF(L8+S8+Z8=0,"",IF(L8=0,"","출장 "&amp;L8&amp;"  ")&amp;IF(S8=0,"","분석 "&amp;S8&amp;"  ")&amp;IF(Z8=0,"","교육 "&amp;Z8)))</f>
        <v/>
      </c>
      <c r="D11" s="19">
        <f>IF(D10="","",IF(M8+T8+AA8=0,"",IF(M8=0,"","출장 "&amp;M8&amp;"  ")&amp;IF(T8=0,"","분석 "&amp;T8&amp;"  ")&amp;IF(AA8=0,"","교육 "&amp;AA8)))</f>
        <v/>
      </c>
      <c r="E11" s="19">
        <f>IF(E10="","",IF(N8+U8+AB8=0,"",IF(N8=0,"","출장 "&amp;N8&amp;"  ")&amp;IF(U8=0,"","분석 "&amp;U8&amp;"  ")&amp;IF(AB8=0,"","교육 "&amp;AB8)))</f>
        <v/>
      </c>
      <c r="F11" s="19">
        <f>IF(F10="","",IF(O8+V8+AC8=0,"",IF(O8=0,"","출장 "&amp;O8&amp;"  ")&amp;IF(V8=0,"","분석 "&amp;V8&amp;"  ")&amp;IF(AC8=0,"","교육 "&amp;AC8)))</f>
        <v/>
      </c>
      <c r="G11" s="19">
        <f>IF(G10="","",IF(P8+W8+AD8=0,"",IF(P8=0,"","출장 "&amp;P8&amp;"  ")&amp;IF(W8=0,"","분석 "&amp;W8&amp;"  ")&amp;IF(AD8=0,"","교육 "&amp;AD8)))</f>
        <v/>
      </c>
      <c r="J11">
        <f>IF(A19="",0,COUNTIFS(업무일지!$B$5:$B$1004,"&lt;="&amp;A19,업무일지!$C$5:$C$1004,"&gt;="&amp;A19,업무일지!$D$5:$D$1004,"출장"))</f>
        <v/>
      </c>
      <c r="K11">
        <f>IF(B19="",0,COUNTIFS(업무일지!$B$5:$B$1004,"&lt;="&amp;B19,업무일지!$C$5:$C$1004,"&gt;="&amp;B19,업무일지!$D$5:$D$1004,"출장"))</f>
        <v/>
      </c>
      <c r="L11">
        <f>IF(C19="",0,COUNTIFS(업무일지!$B$5:$B$1004,"&lt;="&amp;C19,업무일지!$C$5:$C$1004,"&gt;="&amp;C19,업무일지!$D$5:$D$1004,"출장"))</f>
        <v/>
      </c>
      <c r="M11">
        <f>IF(D19="",0,COUNTIFS(업무일지!$B$5:$B$1004,"&lt;="&amp;D19,업무일지!$C$5:$C$1004,"&gt;="&amp;D19,업무일지!$D$5:$D$1004,"출장"))</f>
        <v/>
      </c>
      <c r="N11">
        <f>IF(E19="",0,COUNTIFS(업무일지!$B$5:$B$1004,"&lt;="&amp;E19,업무일지!$C$5:$C$1004,"&gt;="&amp;E19,업무일지!$D$5:$D$1004,"출장"))</f>
        <v/>
      </c>
      <c r="O11">
        <f>IF(F19="",0,COUNTIFS(업무일지!$B$5:$B$1004,"&lt;="&amp;F19,업무일지!$C$5:$C$1004,"&gt;="&amp;F19,업무일지!$D$5:$D$1004,"출장"))</f>
        <v/>
      </c>
      <c r="P11">
        <f>IF(G19="",0,COUNTIFS(업무일지!$B$5:$B$1004,"&lt;="&amp;G19,업무일지!$C$5:$C$1004,"&gt;="&amp;G19,업무일지!$D$5:$D$1004,"출장"))</f>
        <v/>
      </c>
      <c r="Q11">
        <f>IF(A19="",0,COUNTIFS(업무일지!$B$5:$B$1004,"&lt;="&amp;A19,업무일지!$C$5:$C$1004,"&gt;="&amp;A19,업무일지!$D$5:$D$1004,"분석"))</f>
        <v/>
      </c>
      <c r="R11">
        <f>IF(B19="",0,COUNTIFS(업무일지!$B$5:$B$1004,"&lt;="&amp;B19,업무일지!$C$5:$C$1004,"&gt;="&amp;B19,업무일지!$D$5:$D$1004,"분석"))</f>
        <v/>
      </c>
      <c r="S11">
        <f>IF(C19="",0,COUNTIFS(업무일지!$B$5:$B$1004,"&lt;="&amp;C19,업무일지!$C$5:$C$1004,"&gt;="&amp;C19,업무일지!$D$5:$D$1004,"분석"))</f>
        <v/>
      </c>
      <c r="T11">
        <f>IF(D19="",0,COUNTIFS(업무일지!$B$5:$B$1004,"&lt;="&amp;D19,업무일지!$C$5:$C$1004,"&gt;="&amp;D19,업무일지!$D$5:$D$1004,"분석"))</f>
        <v/>
      </c>
      <c r="U11">
        <f>IF(E19="",0,COUNTIFS(업무일지!$B$5:$B$1004,"&lt;="&amp;E19,업무일지!$C$5:$C$1004,"&gt;="&amp;E19,업무일지!$D$5:$D$1004,"분석"))</f>
        <v/>
      </c>
      <c r="V11">
        <f>IF(F19="",0,COUNTIFS(업무일지!$B$5:$B$1004,"&lt;="&amp;F19,업무일지!$C$5:$C$1004,"&gt;="&amp;F19,업무일지!$D$5:$D$1004,"분석"))</f>
        <v/>
      </c>
      <c r="W11">
        <f>IF(G19="",0,COUNTIFS(업무일지!$B$5:$B$1004,"&lt;="&amp;G19,업무일지!$C$5:$C$1004,"&gt;="&amp;G19,업무일지!$D$5:$D$1004,"분석"))</f>
        <v/>
      </c>
      <c r="X11">
        <f>IF(A19="",0,COUNTIFS(업무일지!$B$5:$B$1004,"&lt;="&amp;A19,업무일지!$C$5:$C$1004,"&gt;="&amp;A19,업무일지!$D$5:$D$1004,"교육"))</f>
        <v/>
      </c>
      <c r="Y11">
        <f>IF(B19="",0,COUNTIFS(업무일지!$B$5:$B$1004,"&lt;="&amp;B19,업무일지!$C$5:$C$1004,"&gt;="&amp;B19,업무일지!$D$5:$D$1004,"교육"))</f>
        <v/>
      </c>
      <c r="Z11">
        <f>IF(C19="",0,COUNTIFS(업무일지!$B$5:$B$1004,"&lt;="&amp;C19,업무일지!$C$5:$C$1004,"&gt;="&amp;C19,업무일지!$D$5:$D$1004,"교육"))</f>
        <v/>
      </c>
      <c r="AA11">
        <f>IF(D19="",0,COUNTIFS(업무일지!$B$5:$B$1004,"&lt;="&amp;D19,업무일지!$C$5:$C$1004,"&gt;="&amp;D19,업무일지!$D$5:$D$1004,"교육"))</f>
        <v/>
      </c>
      <c r="AB11">
        <f>IF(E19="",0,COUNTIFS(업무일지!$B$5:$B$1004,"&lt;="&amp;E19,업무일지!$C$5:$C$1004,"&gt;="&amp;E19,업무일지!$D$5:$D$1004,"교육"))</f>
        <v/>
      </c>
      <c r="AC11">
        <f>IF(F19="",0,COUNTIFS(업무일지!$B$5:$B$1004,"&lt;="&amp;F19,업무일지!$C$5:$C$1004,"&gt;="&amp;F19,업무일지!$D$5:$D$1004,"교육"))</f>
        <v/>
      </c>
      <c r="AD11">
        <f>IF(G19="",0,COUNTIFS(업무일지!$B$5:$B$1004,"&lt;="&amp;G19,업무일지!$C$5:$C$1004,"&gt;="&amp;G19,업무일지!$D$5:$D$1004,"교육"))</f>
        <v/>
      </c>
    </row>
    <row r="12" ht="42" customHeight="1">
      <c r="A12" s="20" t="n"/>
      <c r="B12" s="20" t="n"/>
      <c r="C12" s="20" t="n"/>
      <c r="D12" s="20" t="n"/>
      <c r="E12" s="20" t="n"/>
      <c r="F12" s="20" t="n"/>
      <c r="G12" s="20" t="n"/>
      <c r="J12">
        <f>IF(A22="",0,COUNTIFS(업무일지!$B$5:$B$1004,"&lt;="&amp;A22,업무일지!$C$5:$C$1004,"&gt;="&amp;A22,업무일지!$D$5:$D$1004,"출장"))</f>
        <v/>
      </c>
      <c r="K12">
        <f>IF(B22="",0,COUNTIFS(업무일지!$B$5:$B$1004,"&lt;="&amp;B22,업무일지!$C$5:$C$1004,"&gt;="&amp;B22,업무일지!$D$5:$D$1004,"출장"))</f>
        <v/>
      </c>
      <c r="L12">
        <f>IF(C22="",0,COUNTIFS(업무일지!$B$5:$B$1004,"&lt;="&amp;C22,업무일지!$C$5:$C$1004,"&gt;="&amp;C22,업무일지!$D$5:$D$1004,"출장"))</f>
        <v/>
      </c>
      <c r="M12">
        <f>IF(D22="",0,COUNTIFS(업무일지!$B$5:$B$1004,"&lt;="&amp;D22,업무일지!$C$5:$C$1004,"&gt;="&amp;D22,업무일지!$D$5:$D$1004,"출장"))</f>
        <v/>
      </c>
      <c r="N12">
        <f>IF(E22="",0,COUNTIFS(업무일지!$B$5:$B$1004,"&lt;="&amp;E22,업무일지!$C$5:$C$1004,"&gt;="&amp;E22,업무일지!$D$5:$D$1004,"출장"))</f>
        <v/>
      </c>
      <c r="O12">
        <f>IF(F22="",0,COUNTIFS(업무일지!$B$5:$B$1004,"&lt;="&amp;F22,업무일지!$C$5:$C$1004,"&gt;="&amp;F22,업무일지!$D$5:$D$1004,"출장"))</f>
        <v/>
      </c>
      <c r="P12">
        <f>IF(G22="",0,COUNTIFS(업무일지!$B$5:$B$1004,"&lt;="&amp;G22,업무일지!$C$5:$C$1004,"&gt;="&amp;G22,업무일지!$D$5:$D$1004,"출장"))</f>
        <v/>
      </c>
      <c r="Q12">
        <f>IF(A22="",0,COUNTIFS(업무일지!$B$5:$B$1004,"&lt;="&amp;A22,업무일지!$C$5:$C$1004,"&gt;="&amp;A22,업무일지!$D$5:$D$1004,"분석"))</f>
        <v/>
      </c>
      <c r="R12">
        <f>IF(B22="",0,COUNTIFS(업무일지!$B$5:$B$1004,"&lt;="&amp;B22,업무일지!$C$5:$C$1004,"&gt;="&amp;B22,업무일지!$D$5:$D$1004,"분석"))</f>
        <v/>
      </c>
      <c r="S12">
        <f>IF(C22="",0,COUNTIFS(업무일지!$B$5:$B$1004,"&lt;="&amp;C22,업무일지!$C$5:$C$1004,"&gt;="&amp;C22,업무일지!$D$5:$D$1004,"분석"))</f>
        <v/>
      </c>
      <c r="T12">
        <f>IF(D22="",0,COUNTIFS(업무일지!$B$5:$B$1004,"&lt;="&amp;D22,업무일지!$C$5:$C$1004,"&gt;="&amp;D22,업무일지!$D$5:$D$1004,"분석"))</f>
        <v/>
      </c>
      <c r="U12">
        <f>IF(E22="",0,COUNTIFS(업무일지!$B$5:$B$1004,"&lt;="&amp;E22,업무일지!$C$5:$C$1004,"&gt;="&amp;E22,업무일지!$D$5:$D$1004,"분석"))</f>
        <v/>
      </c>
      <c r="V12">
        <f>IF(F22="",0,COUNTIFS(업무일지!$B$5:$B$1004,"&lt;="&amp;F22,업무일지!$C$5:$C$1004,"&gt;="&amp;F22,업무일지!$D$5:$D$1004,"분석"))</f>
        <v/>
      </c>
      <c r="W12">
        <f>IF(G22="",0,COUNTIFS(업무일지!$B$5:$B$1004,"&lt;="&amp;G22,업무일지!$C$5:$C$1004,"&gt;="&amp;G22,업무일지!$D$5:$D$1004,"분석"))</f>
        <v/>
      </c>
      <c r="X12">
        <f>IF(A22="",0,COUNTIFS(업무일지!$B$5:$B$1004,"&lt;="&amp;A22,업무일지!$C$5:$C$1004,"&gt;="&amp;A22,업무일지!$D$5:$D$1004,"교육"))</f>
        <v/>
      </c>
      <c r="Y12">
        <f>IF(B22="",0,COUNTIFS(업무일지!$B$5:$B$1004,"&lt;="&amp;B22,업무일지!$C$5:$C$1004,"&gt;="&amp;B22,업무일지!$D$5:$D$1004,"교육"))</f>
        <v/>
      </c>
      <c r="Z12">
        <f>IF(C22="",0,COUNTIFS(업무일지!$B$5:$B$1004,"&lt;="&amp;C22,업무일지!$C$5:$C$1004,"&gt;="&amp;C22,업무일지!$D$5:$D$1004,"교육"))</f>
        <v/>
      </c>
      <c r="AA12">
        <f>IF(D22="",0,COUNTIFS(업무일지!$B$5:$B$1004,"&lt;="&amp;D22,업무일지!$C$5:$C$1004,"&gt;="&amp;D22,업무일지!$D$5:$D$1004,"교육"))</f>
        <v/>
      </c>
      <c r="AB12">
        <f>IF(E22="",0,COUNTIFS(업무일지!$B$5:$B$1004,"&lt;="&amp;E22,업무일지!$C$5:$C$1004,"&gt;="&amp;E22,업무일지!$D$5:$D$1004,"교육"))</f>
        <v/>
      </c>
      <c r="AC12">
        <f>IF(F22="",0,COUNTIFS(업무일지!$B$5:$B$1004,"&lt;="&amp;F22,업무일지!$C$5:$C$1004,"&gt;="&amp;F22,업무일지!$D$5:$D$1004,"교육"))</f>
        <v/>
      </c>
      <c r="AD12">
        <f>IF(G22="",0,COUNTIFS(업무일지!$B$5:$B$1004,"&lt;="&amp;G22,업무일지!$C$5:$C$1004,"&gt;="&amp;G22,업무일지!$D$5:$D$1004,"교육"))</f>
        <v/>
      </c>
    </row>
    <row r="13" ht="20" customHeight="1">
      <c r="A13" s="68">
        <f>IF(MONTH($H$4+14)&lt;&gt;$D$4,"",$H$4+14)</f>
        <v/>
      </c>
      <c r="B13" s="69">
        <f>IF(MONTH($H$4+15)&lt;&gt;$D$4,"",$H$4+15)</f>
        <v/>
      </c>
      <c r="C13" s="69">
        <f>IF(MONTH($H$4+16)&lt;&gt;$D$4,"",$H$4+16)</f>
        <v/>
      </c>
      <c r="D13" s="69">
        <f>IF(MONTH($H$4+17)&lt;&gt;$D$4,"",$H$4+17)</f>
        <v/>
      </c>
      <c r="E13" s="69">
        <f>IF(MONTH($H$4+18)&lt;&gt;$D$4,"",$H$4+18)</f>
        <v/>
      </c>
      <c r="F13" s="69">
        <f>IF(MONTH($H$4+19)&lt;&gt;$D$4,"",$H$4+19)</f>
        <v/>
      </c>
      <c r="G13" s="70">
        <f>IF(MONTH($H$4+20)&lt;&gt;$D$4,"",$H$4+20)</f>
        <v/>
      </c>
    </row>
    <row r="14" ht="15" customHeight="1">
      <c r="A14" s="19">
        <f>IF(A13="","",IF(J9+Q9+X9=0,"",IF(J9=0,"","출장 "&amp;J9&amp;"  ")&amp;IF(Q9=0,"","분석 "&amp;Q9&amp;"  ")&amp;IF(X9=0,"","교육 "&amp;X9)))</f>
        <v/>
      </c>
      <c r="B14" s="19">
        <f>IF(B13="","",IF(K9+R9+Y9=0,"",IF(K9=0,"","출장 "&amp;K9&amp;"  ")&amp;IF(R9=0,"","분석 "&amp;R9&amp;"  ")&amp;IF(Y9=0,"","교육 "&amp;Y9)))</f>
        <v/>
      </c>
      <c r="C14" s="19">
        <f>IF(C13="","",IF(L9+S9+Z9=0,"",IF(L9=0,"","출장 "&amp;L9&amp;"  ")&amp;IF(S9=0,"","분석 "&amp;S9&amp;"  ")&amp;IF(Z9=0,"","교육 "&amp;Z9)))</f>
        <v/>
      </c>
      <c r="D14" s="19">
        <f>IF(D13="","",IF(M9+T9+AA9=0,"",IF(M9=0,"","출장 "&amp;M9&amp;"  ")&amp;IF(T9=0,"","분석 "&amp;T9&amp;"  ")&amp;IF(AA9=0,"","교육 "&amp;AA9)))</f>
        <v/>
      </c>
      <c r="E14" s="19">
        <f>IF(E13="","",IF(N9+U9+AB9=0,"",IF(N9=0,"","출장 "&amp;N9&amp;"  ")&amp;IF(U9=0,"","분석 "&amp;U9&amp;"  ")&amp;IF(AB9=0,"","교육 "&amp;AB9)))</f>
        <v/>
      </c>
      <c r="F14" s="19">
        <f>IF(F13="","",IF(O9+V9+AC9=0,"",IF(O9=0,"","출장 "&amp;O9&amp;"  ")&amp;IF(V9=0,"","분석 "&amp;V9&amp;"  ")&amp;IF(AC9=0,"","교육 "&amp;AC9)))</f>
        <v/>
      </c>
      <c r="G14" s="19">
        <f>IF(G13="","",IF(P9+W9+AD9=0,"",IF(P9=0,"","출장 "&amp;P9&amp;"  ")&amp;IF(W9=0,"","분석 "&amp;W9&amp;"  ")&amp;IF(AD9=0,"","교육 "&amp;AD9)))</f>
        <v/>
      </c>
    </row>
    <row r="15" ht="42" customHeight="1">
      <c r="A15" s="20" t="n"/>
      <c r="B15" s="20" t="n"/>
      <c r="C15" s="20" t="n"/>
      <c r="D15" s="20" t="n"/>
      <c r="E15" s="20" t="n"/>
      <c r="F15" s="20" t="n"/>
      <c r="G15" s="20" t="n"/>
    </row>
    <row r="16" ht="20" customHeight="1">
      <c r="A16" s="68">
        <f>IF(MONTH($H$4+21)&lt;&gt;$D$4,"",$H$4+21)</f>
        <v/>
      </c>
      <c r="B16" s="69">
        <f>IF(MONTH($H$4+22)&lt;&gt;$D$4,"",$H$4+22)</f>
        <v/>
      </c>
      <c r="C16" s="69">
        <f>IF(MONTH($H$4+23)&lt;&gt;$D$4,"",$H$4+23)</f>
        <v/>
      </c>
      <c r="D16" s="69">
        <f>IF(MONTH($H$4+24)&lt;&gt;$D$4,"",$H$4+24)</f>
        <v/>
      </c>
      <c r="E16" s="69">
        <f>IF(MONTH($H$4+25)&lt;&gt;$D$4,"",$H$4+25)</f>
        <v/>
      </c>
      <c r="F16" s="69">
        <f>IF(MONTH($H$4+26)&lt;&gt;$D$4,"",$H$4+26)</f>
        <v/>
      </c>
      <c r="G16" s="70">
        <f>IF(MONTH($H$4+27)&lt;&gt;$D$4,"",$H$4+27)</f>
        <v/>
      </c>
    </row>
    <row r="17" ht="15" customHeight="1">
      <c r="A17" s="19">
        <f>IF(A16="","",IF(J10+Q10+X10=0,"",IF(J10=0,"","출장 "&amp;J10&amp;"  ")&amp;IF(Q10=0,"","분석 "&amp;Q10&amp;"  ")&amp;IF(X10=0,"","교육 "&amp;X10)))</f>
        <v/>
      </c>
      <c r="B17" s="19">
        <f>IF(B16="","",IF(K10+R10+Y10=0,"",IF(K10=0,"","출장 "&amp;K10&amp;"  ")&amp;IF(R10=0,"","분석 "&amp;R10&amp;"  ")&amp;IF(Y10=0,"","교육 "&amp;Y10)))</f>
        <v/>
      </c>
      <c r="C17" s="19">
        <f>IF(C16="","",IF(L10+S10+Z10=0,"",IF(L10=0,"","출장 "&amp;L10&amp;"  ")&amp;IF(S10=0,"","분석 "&amp;S10&amp;"  ")&amp;IF(Z10=0,"","교육 "&amp;Z10)))</f>
        <v/>
      </c>
      <c r="D17" s="19">
        <f>IF(D16="","",IF(M10+T10+AA10=0,"",IF(M10=0,"","출장 "&amp;M10&amp;"  ")&amp;IF(T10=0,"","분석 "&amp;T10&amp;"  ")&amp;IF(AA10=0,"","교육 "&amp;AA10)))</f>
        <v/>
      </c>
      <c r="E17" s="19">
        <f>IF(E16="","",IF(N10+U10+AB10=0,"",IF(N10=0,"","출장 "&amp;N10&amp;"  ")&amp;IF(U10=0,"","분석 "&amp;U10&amp;"  ")&amp;IF(AB10=0,"","교육 "&amp;AB10)))</f>
        <v/>
      </c>
      <c r="F17" s="19">
        <f>IF(F16="","",IF(O10+V10+AC10=0,"",IF(O10=0,"","출장 "&amp;O10&amp;"  ")&amp;IF(V10=0,"","분석 "&amp;V10&amp;"  ")&amp;IF(AC10=0,"","교육 "&amp;AC10)))</f>
        <v/>
      </c>
      <c r="G17" s="19">
        <f>IF(G16="","",IF(P10+W10+AD10=0,"",IF(P10=0,"","출장 "&amp;P10&amp;"  ")&amp;IF(W10=0,"","분석 "&amp;W10&amp;"  ")&amp;IF(AD10=0,"","교육 "&amp;AD10)))</f>
        <v/>
      </c>
    </row>
    <row r="18" ht="42" customHeight="1">
      <c r="A18" s="20" t="n"/>
      <c r="B18" s="20" t="n"/>
      <c r="C18" s="20" t="n"/>
      <c r="D18" s="20" t="n"/>
      <c r="E18" s="20" t="n"/>
      <c r="F18" s="20" t="n"/>
      <c r="G18" s="20" t="n"/>
    </row>
    <row r="19" ht="20" customHeight="1">
      <c r="A19" s="68">
        <f>IF(MONTH($H$4+28)&lt;&gt;$D$4,"",$H$4+28)</f>
        <v/>
      </c>
      <c r="B19" s="69">
        <f>IF(MONTH($H$4+29)&lt;&gt;$D$4,"",$H$4+29)</f>
        <v/>
      </c>
      <c r="C19" s="69">
        <f>IF(MONTH($H$4+30)&lt;&gt;$D$4,"",$H$4+30)</f>
        <v/>
      </c>
      <c r="D19" s="69">
        <f>IF(MONTH($H$4+31)&lt;&gt;$D$4,"",$H$4+31)</f>
        <v/>
      </c>
      <c r="E19" s="69">
        <f>IF(MONTH($H$4+32)&lt;&gt;$D$4,"",$H$4+32)</f>
        <v/>
      </c>
      <c r="F19" s="69">
        <f>IF(MONTH($H$4+33)&lt;&gt;$D$4,"",$H$4+33)</f>
        <v/>
      </c>
      <c r="G19" s="70">
        <f>IF(MONTH($H$4+34)&lt;&gt;$D$4,"",$H$4+34)</f>
        <v/>
      </c>
    </row>
    <row r="20" ht="15" customHeight="1">
      <c r="A20" s="19">
        <f>IF(A19="","",IF(J11+Q11+X11=0,"",IF(J11=0,"","출장 "&amp;J11&amp;"  ")&amp;IF(Q11=0,"","분석 "&amp;Q11&amp;"  ")&amp;IF(X11=0,"","교육 "&amp;X11)))</f>
        <v/>
      </c>
      <c r="B20" s="19">
        <f>IF(B19="","",IF(K11+R11+Y11=0,"",IF(K11=0,"","출장 "&amp;K11&amp;"  ")&amp;IF(R11=0,"","분석 "&amp;R11&amp;"  ")&amp;IF(Y11=0,"","교육 "&amp;Y11)))</f>
        <v/>
      </c>
      <c r="C20" s="19">
        <f>IF(C19="","",IF(L11+S11+Z11=0,"",IF(L11=0,"","출장 "&amp;L11&amp;"  ")&amp;IF(S11=0,"","분석 "&amp;S11&amp;"  ")&amp;IF(Z11=0,"","교육 "&amp;Z11)))</f>
        <v/>
      </c>
      <c r="D20" s="19">
        <f>IF(D19="","",IF(M11+T11+AA11=0,"",IF(M11=0,"","출장 "&amp;M11&amp;"  ")&amp;IF(T11=0,"","분석 "&amp;T11&amp;"  ")&amp;IF(AA11=0,"","교육 "&amp;AA11)))</f>
        <v/>
      </c>
      <c r="E20" s="19">
        <f>IF(E19="","",IF(N11+U11+AB11=0,"",IF(N11=0,"","출장 "&amp;N11&amp;"  ")&amp;IF(U11=0,"","분석 "&amp;U11&amp;"  ")&amp;IF(AB11=0,"","교육 "&amp;AB11)))</f>
        <v/>
      </c>
      <c r="F20" s="19">
        <f>IF(F19="","",IF(O11+V11+AC11=0,"",IF(O11=0,"","출장 "&amp;O11&amp;"  ")&amp;IF(V11=0,"","분석 "&amp;V11&amp;"  ")&amp;IF(AC11=0,"","교육 "&amp;AC11)))</f>
        <v/>
      </c>
      <c r="G20" s="19">
        <f>IF(G19="","",IF(P11+W11+AD11=0,"",IF(P11=0,"","출장 "&amp;P11&amp;"  ")&amp;IF(W11=0,"","분석 "&amp;W11&amp;"  ")&amp;IF(AD11=0,"","교육 "&amp;AD11)))</f>
        <v/>
      </c>
    </row>
    <row r="21" ht="42" customHeight="1">
      <c r="A21" s="20" t="n"/>
      <c r="B21" s="20" t="n"/>
      <c r="C21" s="20" t="n"/>
      <c r="D21" s="20" t="n"/>
      <c r="E21" s="20" t="n"/>
      <c r="F21" s="20" t="n"/>
      <c r="G21" s="20" t="n"/>
    </row>
    <row r="22" ht="20" customHeight="1">
      <c r="A22" s="68">
        <f>IF(MONTH($H$4+35)&lt;&gt;$D$4,"",$H$4+35)</f>
        <v/>
      </c>
      <c r="B22" s="69">
        <f>IF(MONTH($H$4+36)&lt;&gt;$D$4,"",$H$4+36)</f>
        <v/>
      </c>
      <c r="C22" s="69">
        <f>IF(MONTH($H$4+37)&lt;&gt;$D$4,"",$H$4+37)</f>
        <v/>
      </c>
      <c r="D22" s="69">
        <f>IF(MONTH($H$4+38)&lt;&gt;$D$4,"",$H$4+38)</f>
        <v/>
      </c>
      <c r="E22" s="69">
        <f>IF(MONTH($H$4+39)&lt;&gt;$D$4,"",$H$4+39)</f>
        <v/>
      </c>
      <c r="F22" s="69">
        <f>IF(MONTH($H$4+40)&lt;&gt;$D$4,"",$H$4+40)</f>
        <v/>
      </c>
      <c r="G22" s="70">
        <f>IF(MONTH($H$4+41)&lt;&gt;$D$4,"",$H$4+41)</f>
        <v/>
      </c>
    </row>
    <row r="23" ht="15" customHeight="1">
      <c r="A23" s="19">
        <f>IF(A22="","",IF(J12+Q12+X12=0,"",IF(J12=0,"","출장 "&amp;J12&amp;"  ")&amp;IF(Q12=0,"","분석 "&amp;Q12&amp;"  ")&amp;IF(X12=0,"","교육 "&amp;X12)))</f>
        <v/>
      </c>
      <c r="B23" s="19">
        <f>IF(B22="","",IF(K12+R12+Y12=0,"",IF(K12=0,"","출장 "&amp;K12&amp;"  ")&amp;IF(R12=0,"","분석 "&amp;R12&amp;"  ")&amp;IF(Y12=0,"","교육 "&amp;Y12)))</f>
        <v/>
      </c>
      <c r="C23" s="19">
        <f>IF(C22="","",IF(L12+S12+Z12=0,"",IF(L12=0,"","출장 "&amp;L12&amp;"  ")&amp;IF(S12=0,"","분석 "&amp;S12&amp;"  ")&amp;IF(Z12=0,"","교육 "&amp;Z12)))</f>
        <v/>
      </c>
      <c r="D23" s="19">
        <f>IF(D22="","",IF(M12+T12+AA12=0,"",IF(M12=0,"","출장 "&amp;M12&amp;"  ")&amp;IF(T12=0,"","분석 "&amp;T12&amp;"  ")&amp;IF(AA12=0,"","교육 "&amp;AA12)))</f>
        <v/>
      </c>
      <c r="E23" s="19">
        <f>IF(E22="","",IF(N12+U12+AB12=0,"",IF(N12=0,"","출장 "&amp;N12&amp;"  ")&amp;IF(U12=0,"","분석 "&amp;U12&amp;"  ")&amp;IF(AB12=0,"","교육 "&amp;AB12)))</f>
        <v/>
      </c>
      <c r="F23" s="19">
        <f>IF(F22="","",IF(O12+V12+AC12=0,"",IF(O12=0,"","출장 "&amp;O12&amp;"  ")&amp;IF(V12=0,"","분석 "&amp;V12&amp;"  ")&amp;IF(AC12=0,"","교육 "&amp;AC12)))</f>
        <v/>
      </c>
      <c r="G23" s="19">
        <f>IF(G22="","",IF(P12+W12+AD12=0,"",IF(P12=0,"","출장 "&amp;P12&amp;"  ")&amp;IF(W12=0,"","분석 "&amp;W12&amp;"  ")&amp;IF(AD12=0,"","교육 "&amp;AD12)))</f>
        <v/>
      </c>
    </row>
    <row r="24" ht="42" customHeight="1">
      <c r="A24" s="20" t="n"/>
      <c r="B24" s="20" t="n"/>
      <c r="C24" s="20" t="n"/>
      <c r="D24" s="20" t="n"/>
      <c r="E24" s="20" t="n"/>
      <c r="F24" s="20" t="n"/>
      <c r="G24" s="20" t="n"/>
    </row>
    <row r="26" ht="20" customHeight="1">
      <c r="A26" s="21" t="inlineStr">
        <is>
          <t>이달 요약</t>
        </is>
      </c>
      <c r="B26" s="22" t="n"/>
      <c r="C26" s="22" t="n"/>
      <c r="D26" s="22" t="n"/>
      <c r="E26" s="22" t="n"/>
      <c r="F26" s="22" t="n"/>
    </row>
    <row r="27" ht="28" customHeight="1">
      <c r="A27" s="23" t="inlineStr">
        <is>
          <t>구분</t>
        </is>
      </c>
      <c r="B27" s="23" t="inlineStr">
        <is>
          <t>회차</t>
        </is>
      </c>
      <c r="C27" s="23" t="inlineStr">
        <is>
          <t>출장 소요일수</t>
        </is>
      </c>
      <c r="D27" s="23" t="inlineStr">
        <is>
          <t>대상매체(건)</t>
        </is>
      </c>
      <c r="E27" s="23" t="inlineStr">
        <is>
          <t>데이터량(GB)</t>
        </is>
      </c>
      <c r="F27" s="23" t="inlineStr">
        <is>
          <t>진행중</t>
        </is>
      </c>
    </row>
    <row r="28">
      <c r="A28" s="120" t="inlineStr">
        <is>
          <t>출장</t>
        </is>
      </c>
      <c r="B28" s="129">
        <f>COUNTIFS(업무일지!$B$5:$B$1004,"&gt;="&amp;DATE($B$4,$D$4,1),업무일지!$B$5:$B$1004,"&lt;"&amp;DATE($B$4,$D$4+1,1),업무일지!$D$5:$D$1004,"출장")</f>
        <v/>
      </c>
      <c r="C28" s="129">
        <f>SUMIFS(업무일지!$AF$5:$AF$1004,업무일지!$B$5:$B$1004,"&gt;="&amp;DATE($B$4,$D$4,1),업무일지!$B$5:$B$1004,"&lt;"&amp;DATE($B$4,$D$4+1,1),업무일지!$D$5:$D$1004,"출장")</f>
        <v/>
      </c>
      <c r="D28" s="129">
        <f>SUMIFS(업무일지!$AD$5:$AD$1004,업무일지!$B$5:$B$1004,"&gt;="&amp;DATE($B$4,$D$4,1),업무일지!$B$5:$B$1004,"&lt;"&amp;DATE($B$4,$D$4+1,1),업무일지!$D$5:$D$1004,"출장")</f>
        <v/>
      </c>
      <c r="E28" s="25">
        <f>SUMIFS(업무일지!$AE$5:$AE$1004,업무일지!$B$5:$B$1004,"&gt;="&amp;DATE($B$4,$D$4,1),업무일지!$B$5:$B$1004,"&lt;"&amp;DATE($B$4,$D$4+1,1),업무일지!$D$5:$D$1004,"출장")</f>
        <v/>
      </c>
      <c r="F28" s="129">
        <f>COUNTIFS(업무일지!$B$5:$B$1004,"&gt;="&amp;DATE($B$4,$D$4,1),업무일지!$B$5:$B$1004,"&lt;"&amp;DATE($B$4,$D$4+1,1),업무일지!$D$5:$D$1004,"출장",업무일지!$AG$5:$AG$1004,"진행중")</f>
        <v/>
      </c>
    </row>
    <row r="29">
      <c r="A29" s="120" t="inlineStr">
        <is>
          <t>분석</t>
        </is>
      </c>
      <c r="B29" s="129">
        <f>COUNTIFS(업무일지!$B$5:$B$1004,"&gt;="&amp;DATE($B$4,$D$4,1),업무일지!$B$5:$B$1004,"&lt;"&amp;DATE($B$4,$D$4+1,1),업무일지!$D$5:$D$1004,"분석")</f>
        <v/>
      </c>
      <c r="C29" s="129">
        <f>SUMIFS(업무일지!$AF$5:$AF$1004,업무일지!$B$5:$B$1004,"&gt;="&amp;DATE($B$4,$D$4,1),업무일지!$B$5:$B$1004,"&lt;"&amp;DATE($B$4,$D$4+1,1),업무일지!$D$5:$D$1004,"분석")</f>
        <v/>
      </c>
      <c r="D29" s="129">
        <f>SUMIFS(업무일지!$AD$5:$AD$1004,업무일지!$B$5:$B$1004,"&gt;="&amp;DATE($B$4,$D$4,1),업무일지!$B$5:$B$1004,"&lt;"&amp;DATE($B$4,$D$4+1,1),업무일지!$D$5:$D$1004,"분석")</f>
        <v/>
      </c>
      <c r="E29" s="25">
        <f>SUMIFS(업무일지!$AE$5:$AE$1004,업무일지!$B$5:$B$1004,"&gt;="&amp;DATE($B$4,$D$4,1),업무일지!$B$5:$B$1004,"&lt;"&amp;DATE($B$4,$D$4+1,1),업무일지!$D$5:$D$1004,"분석")</f>
        <v/>
      </c>
      <c r="F29" s="129">
        <f>COUNTIFS(업무일지!$B$5:$B$1004,"&gt;="&amp;DATE($B$4,$D$4,1),업무일지!$B$5:$B$1004,"&lt;"&amp;DATE($B$4,$D$4+1,1),업무일지!$D$5:$D$1004,"분석",업무일지!$AG$5:$AG$1004,"진행중")</f>
        <v/>
      </c>
    </row>
    <row r="30">
      <c r="A30" s="120" t="inlineStr">
        <is>
          <t>교육</t>
        </is>
      </c>
      <c r="B30" s="129">
        <f>COUNTIFS(업무일지!$B$5:$B$1004,"&gt;="&amp;DATE($B$4,$D$4,1),업무일지!$B$5:$B$1004,"&lt;"&amp;DATE($B$4,$D$4+1,1),업무일지!$D$5:$D$1004,"교육")</f>
        <v/>
      </c>
      <c r="C30" s="129">
        <f>SUMIFS(업무일지!$AF$5:$AF$1004,업무일지!$B$5:$B$1004,"&gt;="&amp;DATE($B$4,$D$4,1),업무일지!$B$5:$B$1004,"&lt;"&amp;DATE($B$4,$D$4+1,1),업무일지!$D$5:$D$1004,"교육")</f>
        <v/>
      </c>
      <c r="D30" s="129">
        <f>SUMIFS(업무일지!$AD$5:$AD$1004,업무일지!$B$5:$B$1004,"&gt;="&amp;DATE($B$4,$D$4,1),업무일지!$B$5:$B$1004,"&lt;"&amp;DATE($B$4,$D$4+1,1),업무일지!$D$5:$D$1004,"교육")</f>
        <v/>
      </c>
      <c r="E30" s="25">
        <f>SUMIFS(업무일지!$AE$5:$AE$1004,업무일지!$B$5:$B$1004,"&gt;="&amp;DATE($B$4,$D$4,1),업무일지!$B$5:$B$1004,"&lt;"&amp;DATE($B$4,$D$4+1,1),업무일지!$D$5:$D$1004,"교육")</f>
        <v/>
      </c>
      <c r="F30" s="129">
        <f>COUNTIFS(업무일지!$B$5:$B$1004,"&gt;="&amp;DATE($B$4,$D$4,1),업무일지!$B$5:$B$1004,"&lt;"&amp;DATE($B$4,$D$4+1,1),업무일지!$D$5:$D$1004,"교육",업무일지!$AG$5:$AG$1004,"진행중")</f>
        <v/>
      </c>
    </row>
    <row r="31">
      <c r="A31" s="120" t="inlineStr">
        <is>
          <t>일일실시</t>
        </is>
      </c>
      <c r="B31" s="129">
        <f>COUNTIFS(일일실시사항!$B$5:$B$1004,"&gt;="&amp;DATE($B$4,$D$4,1),일일실시사항!$B$5:$B$1004,"&lt;"&amp;DATE($B$4,$D$4+1,1))</f>
        <v/>
      </c>
      <c r="C31" s="26" t="inlineStr">
        <is>
          <t>-</t>
        </is>
      </c>
      <c r="D31" s="26" t="inlineStr">
        <is>
          <t>-</t>
        </is>
      </c>
      <c r="E31" s="26" t="inlineStr">
        <is>
          <t>-</t>
        </is>
      </c>
      <c r="F31" s="129">
        <f>COUNTIFS(일일실시사항!$B$5:$B$1004,"&gt;="&amp;DATE($B$4,$D$4,1),일일실시사항!$B$5:$B$1004,"&lt;"&amp;DATE($B$4,$D$4+1,1),일일실시사항!$J$5:$J$1004,"진행중")</f>
        <v/>
      </c>
    </row>
    <row r="32">
      <c r="A32" s="112" t="inlineStr">
        <is>
          <t>합계</t>
        </is>
      </c>
      <c r="B32" s="113">
        <f>SUM(B28:B31)</f>
        <v/>
      </c>
      <c r="C32" s="113">
        <f>SUM(C28:C30)</f>
        <v/>
      </c>
      <c r="D32" s="113">
        <f>SUM(D28:D30)</f>
        <v/>
      </c>
      <c r="E32" s="29">
        <f>SUM(E28:E30)</f>
        <v/>
      </c>
      <c r="F32" s="113">
        <f>SUM(F28:F31)</f>
        <v/>
      </c>
    </row>
    <row r="34">
      <c r="A34" s="7" t="inlineStr">
        <is>
          <t>※ 달력 칸의 자동 집계는 [업무일지]에서 시작일~종료일이 그 날짜에 걸친 건을 셉니다. 일일실시사항은 아래 [이달 요약]에만 반영됩니다.</t>
        </is>
      </c>
    </row>
    <row r="35">
      <c r="A35" s="7" t="inlineStr">
        <is>
          <t>※ 오늘 날짜는 초록색, 공휴일([코드설정] K열)과 일요일은 빨간색으로 표시됩니다.</t>
        </is>
      </c>
    </row>
  </sheetData>
  <mergeCells count="1">
    <mergeCell ref="E4:G4"/>
  </mergeCells>
  <conditionalFormatting sqref="A7">
    <cfRule type="expression" priority="1" dxfId="0" stopIfTrue="1">
      <formula>AND(A7&lt;&gt;"",COUNTIF(코드설정!$K$5:$K$34,A7)&gt;0)</formula>
    </cfRule>
    <cfRule type="expression" priority="2" dxfId="1" stopIfTrue="1">
      <formula>AND(A7&lt;&gt;"",A7=TODAY())</formula>
    </cfRule>
  </conditionalFormatting>
  <conditionalFormatting sqref="B7">
    <cfRule type="expression" priority="3" dxfId="0" stopIfTrue="1">
      <formula>AND(B7&lt;&gt;"",COUNTIF(코드설정!$K$5:$K$34,B7)&gt;0)</formula>
    </cfRule>
    <cfRule type="expression" priority="4" dxfId="1" stopIfTrue="1">
      <formula>AND(B7&lt;&gt;"",B7=TODAY())</formula>
    </cfRule>
  </conditionalFormatting>
  <conditionalFormatting sqref="C7">
    <cfRule type="expression" priority="5" dxfId="0" stopIfTrue="1">
      <formula>AND(C7&lt;&gt;"",COUNTIF(코드설정!$K$5:$K$34,C7)&gt;0)</formula>
    </cfRule>
    <cfRule type="expression" priority="6" dxfId="1" stopIfTrue="1">
      <formula>AND(C7&lt;&gt;"",C7=TODAY())</formula>
    </cfRule>
  </conditionalFormatting>
  <conditionalFormatting sqref="D7">
    <cfRule type="expression" priority="7" dxfId="0" stopIfTrue="1">
      <formula>AND(D7&lt;&gt;"",COUNTIF(코드설정!$K$5:$K$34,D7)&gt;0)</formula>
    </cfRule>
    <cfRule type="expression" priority="8" dxfId="1" stopIfTrue="1">
      <formula>AND(D7&lt;&gt;"",D7=TODAY())</formula>
    </cfRule>
  </conditionalFormatting>
  <conditionalFormatting sqref="E7">
    <cfRule type="expression" priority="9" dxfId="0" stopIfTrue="1">
      <formula>AND(E7&lt;&gt;"",COUNTIF(코드설정!$K$5:$K$34,E7)&gt;0)</formula>
    </cfRule>
    <cfRule type="expression" priority="10" dxfId="1" stopIfTrue="1">
      <formula>AND(E7&lt;&gt;"",E7=TODAY())</formula>
    </cfRule>
  </conditionalFormatting>
  <conditionalFormatting sqref="F7">
    <cfRule type="expression" priority="11" dxfId="0" stopIfTrue="1">
      <formula>AND(F7&lt;&gt;"",COUNTIF(코드설정!$K$5:$K$34,F7)&gt;0)</formula>
    </cfRule>
    <cfRule type="expression" priority="12" dxfId="1" stopIfTrue="1">
      <formula>AND(F7&lt;&gt;"",F7=TODAY())</formula>
    </cfRule>
  </conditionalFormatting>
  <conditionalFormatting sqref="G7">
    <cfRule type="expression" priority="13" dxfId="0" stopIfTrue="1">
      <formula>AND(G7&lt;&gt;"",COUNTIF(코드설정!$K$5:$K$34,G7)&gt;0)</formula>
    </cfRule>
    <cfRule type="expression" priority="14" dxfId="1" stopIfTrue="1">
      <formula>AND(G7&lt;&gt;"",G7=TODAY())</formula>
    </cfRule>
  </conditionalFormatting>
  <conditionalFormatting sqref="A10">
    <cfRule type="expression" priority="15" dxfId="0" stopIfTrue="1">
      <formula>AND(A10&lt;&gt;"",COUNTIF(코드설정!$K$5:$K$34,A10)&gt;0)</formula>
    </cfRule>
    <cfRule type="expression" priority="16" dxfId="1" stopIfTrue="1">
      <formula>AND(A10&lt;&gt;"",A10=TODAY())</formula>
    </cfRule>
  </conditionalFormatting>
  <conditionalFormatting sqref="B10">
    <cfRule type="expression" priority="17" dxfId="0" stopIfTrue="1">
      <formula>AND(B10&lt;&gt;"",COUNTIF(코드설정!$K$5:$K$34,B10)&gt;0)</formula>
    </cfRule>
    <cfRule type="expression" priority="18" dxfId="1" stopIfTrue="1">
      <formula>AND(B10&lt;&gt;"",B10=TODAY())</formula>
    </cfRule>
  </conditionalFormatting>
  <conditionalFormatting sqref="C10">
    <cfRule type="expression" priority="19" dxfId="0" stopIfTrue="1">
      <formula>AND(C10&lt;&gt;"",COUNTIF(코드설정!$K$5:$K$34,C10)&gt;0)</formula>
    </cfRule>
    <cfRule type="expression" priority="20" dxfId="1" stopIfTrue="1">
      <formula>AND(C10&lt;&gt;"",C10=TODAY())</formula>
    </cfRule>
  </conditionalFormatting>
  <conditionalFormatting sqref="D10">
    <cfRule type="expression" priority="21" dxfId="0" stopIfTrue="1">
      <formula>AND(D10&lt;&gt;"",COUNTIF(코드설정!$K$5:$K$34,D10)&gt;0)</formula>
    </cfRule>
    <cfRule type="expression" priority="22" dxfId="1" stopIfTrue="1">
      <formula>AND(D10&lt;&gt;"",D10=TODAY())</formula>
    </cfRule>
  </conditionalFormatting>
  <conditionalFormatting sqref="E10">
    <cfRule type="expression" priority="23" dxfId="0" stopIfTrue="1">
      <formula>AND(E10&lt;&gt;"",COUNTIF(코드설정!$K$5:$K$34,E10)&gt;0)</formula>
    </cfRule>
    <cfRule type="expression" priority="24" dxfId="1" stopIfTrue="1">
      <formula>AND(E10&lt;&gt;"",E10=TODAY())</formula>
    </cfRule>
  </conditionalFormatting>
  <conditionalFormatting sqref="F10">
    <cfRule type="expression" priority="25" dxfId="0" stopIfTrue="1">
      <formula>AND(F10&lt;&gt;"",COUNTIF(코드설정!$K$5:$K$34,F10)&gt;0)</formula>
    </cfRule>
    <cfRule type="expression" priority="26" dxfId="1" stopIfTrue="1">
      <formula>AND(F10&lt;&gt;"",F10=TODAY())</formula>
    </cfRule>
  </conditionalFormatting>
  <conditionalFormatting sqref="G10">
    <cfRule type="expression" priority="27" dxfId="0" stopIfTrue="1">
      <formula>AND(G10&lt;&gt;"",COUNTIF(코드설정!$K$5:$K$34,G10)&gt;0)</formula>
    </cfRule>
    <cfRule type="expression" priority="28" dxfId="1" stopIfTrue="1">
      <formula>AND(G10&lt;&gt;"",G10=TODAY())</formula>
    </cfRule>
  </conditionalFormatting>
  <conditionalFormatting sqref="A13">
    <cfRule type="expression" priority="29" dxfId="0" stopIfTrue="1">
      <formula>AND(A13&lt;&gt;"",COUNTIF(코드설정!$K$5:$K$34,A13)&gt;0)</formula>
    </cfRule>
    <cfRule type="expression" priority="30" dxfId="1" stopIfTrue="1">
      <formula>AND(A13&lt;&gt;"",A13=TODAY())</formula>
    </cfRule>
  </conditionalFormatting>
  <conditionalFormatting sqref="B13">
    <cfRule type="expression" priority="31" dxfId="0" stopIfTrue="1">
      <formula>AND(B13&lt;&gt;"",COUNTIF(코드설정!$K$5:$K$34,B13)&gt;0)</formula>
    </cfRule>
    <cfRule type="expression" priority="32" dxfId="1" stopIfTrue="1">
      <formula>AND(B13&lt;&gt;"",B13=TODAY())</formula>
    </cfRule>
  </conditionalFormatting>
  <conditionalFormatting sqref="C13">
    <cfRule type="expression" priority="33" dxfId="0" stopIfTrue="1">
      <formula>AND(C13&lt;&gt;"",COUNTIF(코드설정!$K$5:$K$34,C13)&gt;0)</formula>
    </cfRule>
    <cfRule type="expression" priority="34" dxfId="1" stopIfTrue="1">
      <formula>AND(C13&lt;&gt;"",C13=TODAY())</formula>
    </cfRule>
  </conditionalFormatting>
  <conditionalFormatting sqref="D13">
    <cfRule type="expression" priority="35" dxfId="0" stopIfTrue="1">
      <formula>AND(D13&lt;&gt;"",COUNTIF(코드설정!$K$5:$K$34,D13)&gt;0)</formula>
    </cfRule>
    <cfRule type="expression" priority="36" dxfId="1" stopIfTrue="1">
      <formula>AND(D13&lt;&gt;"",D13=TODAY())</formula>
    </cfRule>
  </conditionalFormatting>
  <conditionalFormatting sqref="E13">
    <cfRule type="expression" priority="37" dxfId="0" stopIfTrue="1">
      <formula>AND(E13&lt;&gt;"",COUNTIF(코드설정!$K$5:$K$34,E13)&gt;0)</formula>
    </cfRule>
    <cfRule type="expression" priority="38" dxfId="1" stopIfTrue="1">
      <formula>AND(E13&lt;&gt;"",E13=TODAY())</formula>
    </cfRule>
  </conditionalFormatting>
  <conditionalFormatting sqref="F13">
    <cfRule type="expression" priority="39" dxfId="0" stopIfTrue="1">
      <formula>AND(F13&lt;&gt;"",COUNTIF(코드설정!$K$5:$K$34,F13)&gt;0)</formula>
    </cfRule>
    <cfRule type="expression" priority="40" dxfId="1" stopIfTrue="1">
      <formula>AND(F13&lt;&gt;"",F13=TODAY())</formula>
    </cfRule>
  </conditionalFormatting>
  <conditionalFormatting sqref="G13">
    <cfRule type="expression" priority="41" dxfId="0" stopIfTrue="1">
      <formula>AND(G13&lt;&gt;"",COUNTIF(코드설정!$K$5:$K$34,G13)&gt;0)</formula>
    </cfRule>
    <cfRule type="expression" priority="42" dxfId="1" stopIfTrue="1">
      <formula>AND(G13&lt;&gt;"",G13=TODAY())</formula>
    </cfRule>
  </conditionalFormatting>
  <conditionalFormatting sqref="A16">
    <cfRule type="expression" priority="43" dxfId="0" stopIfTrue="1">
      <formula>AND(A16&lt;&gt;"",COUNTIF(코드설정!$K$5:$K$34,A16)&gt;0)</formula>
    </cfRule>
    <cfRule type="expression" priority="44" dxfId="1" stopIfTrue="1">
      <formula>AND(A16&lt;&gt;"",A16=TODAY())</formula>
    </cfRule>
  </conditionalFormatting>
  <conditionalFormatting sqref="B16">
    <cfRule type="expression" priority="45" dxfId="0" stopIfTrue="1">
      <formula>AND(B16&lt;&gt;"",COUNTIF(코드설정!$K$5:$K$34,B16)&gt;0)</formula>
    </cfRule>
    <cfRule type="expression" priority="46" dxfId="1" stopIfTrue="1">
      <formula>AND(B16&lt;&gt;"",B16=TODAY())</formula>
    </cfRule>
  </conditionalFormatting>
  <conditionalFormatting sqref="C16">
    <cfRule type="expression" priority="47" dxfId="0" stopIfTrue="1">
      <formula>AND(C16&lt;&gt;"",COUNTIF(코드설정!$K$5:$K$34,C16)&gt;0)</formula>
    </cfRule>
    <cfRule type="expression" priority="48" dxfId="1" stopIfTrue="1">
      <formula>AND(C16&lt;&gt;"",C16=TODAY())</formula>
    </cfRule>
  </conditionalFormatting>
  <conditionalFormatting sqref="D16">
    <cfRule type="expression" priority="49" dxfId="0" stopIfTrue="1">
      <formula>AND(D16&lt;&gt;"",COUNTIF(코드설정!$K$5:$K$34,D16)&gt;0)</formula>
    </cfRule>
    <cfRule type="expression" priority="50" dxfId="1" stopIfTrue="1">
      <formula>AND(D16&lt;&gt;"",D16=TODAY())</formula>
    </cfRule>
  </conditionalFormatting>
  <conditionalFormatting sqref="E16">
    <cfRule type="expression" priority="51" dxfId="0" stopIfTrue="1">
      <formula>AND(E16&lt;&gt;"",COUNTIF(코드설정!$K$5:$K$34,E16)&gt;0)</formula>
    </cfRule>
    <cfRule type="expression" priority="52" dxfId="1" stopIfTrue="1">
      <formula>AND(E16&lt;&gt;"",E16=TODAY())</formula>
    </cfRule>
  </conditionalFormatting>
  <conditionalFormatting sqref="F16">
    <cfRule type="expression" priority="53" dxfId="0" stopIfTrue="1">
      <formula>AND(F16&lt;&gt;"",COUNTIF(코드설정!$K$5:$K$34,F16)&gt;0)</formula>
    </cfRule>
    <cfRule type="expression" priority="54" dxfId="1" stopIfTrue="1">
      <formula>AND(F16&lt;&gt;"",F16=TODAY())</formula>
    </cfRule>
  </conditionalFormatting>
  <conditionalFormatting sqref="G16">
    <cfRule type="expression" priority="55" dxfId="0" stopIfTrue="1">
      <formula>AND(G16&lt;&gt;"",COUNTIF(코드설정!$K$5:$K$34,G16)&gt;0)</formula>
    </cfRule>
    <cfRule type="expression" priority="56" dxfId="1" stopIfTrue="1">
      <formula>AND(G16&lt;&gt;"",G16=TODAY())</formula>
    </cfRule>
  </conditionalFormatting>
  <conditionalFormatting sqref="A19">
    <cfRule type="expression" priority="57" dxfId="0" stopIfTrue="1">
      <formula>AND(A19&lt;&gt;"",COUNTIF(코드설정!$K$5:$K$34,A19)&gt;0)</formula>
    </cfRule>
    <cfRule type="expression" priority="58" dxfId="1" stopIfTrue="1">
      <formula>AND(A19&lt;&gt;"",A19=TODAY())</formula>
    </cfRule>
  </conditionalFormatting>
  <conditionalFormatting sqref="B19">
    <cfRule type="expression" priority="59" dxfId="0" stopIfTrue="1">
      <formula>AND(B19&lt;&gt;"",COUNTIF(코드설정!$K$5:$K$34,B19)&gt;0)</formula>
    </cfRule>
    <cfRule type="expression" priority="60" dxfId="1" stopIfTrue="1">
      <formula>AND(B19&lt;&gt;"",B19=TODAY())</formula>
    </cfRule>
  </conditionalFormatting>
  <conditionalFormatting sqref="C19">
    <cfRule type="expression" priority="61" dxfId="0" stopIfTrue="1">
      <formula>AND(C19&lt;&gt;"",COUNTIF(코드설정!$K$5:$K$34,C19)&gt;0)</formula>
    </cfRule>
    <cfRule type="expression" priority="62" dxfId="1" stopIfTrue="1">
      <formula>AND(C19&lt;&gt;"",C19=TODAY())</formula>
    </cfRule>
  </conditionalFormatting>
  <conditionalFormatting sqref="D19">
    <cfRule type="expression" priority="63" dxfId="0" stopIfTrue="1">
      <formula>AND(D19&lt;&gt;"",COUNTIF(코드설정!$K$5:$K$34,D19)&gt;0)</formula>
    </cfRule>
    <cfRule type="expression" priority="64" dxfId="1" stopIfTrue="1">
      <formula>AND(D19&lt;&gt;"",D19=TODAY())</formula>
    </cfRule>
  </conditionalFormatting>
  <conditionalFormatting sqref="E19">
    <cfRule type="expression" priority="65" dxfId="0" stopIfTrue="1">
      <formula>AND(E19&lt;&gt;"",COUNTIF(코드설정!$K$5:$K$34,E19)&gt;0)</formula>
    </cfRule>
    <cfRule type="expression" priority="66" dxfId="1" stopIfTrue="1">
      <formula>AND(E19&lt;&gt;"",E19=TODAY())</formula>
    </cfRule>
  </conditionalFormatting>
  <conditionalFormatting sqref="F19">
    <cfRule type="expression" priority="67" dxfId="0" stopIfTrue="1">
      <formula>AND(F19&lt;&gt;"",COUNTIF(코드설정!$K$5:$K$34,F19)&gt;0)</formula>
    </cfRule>
    <cfRule type="expression" priority="68" dxfId="1" stopIfTrue="1">
      <formula>AND(F19&lt;&gt;"",F19=TODAY())</formula>
    </cfRule>
  </conditionalFormatting>
  <conditionalFormatting sqref="G19">
    <cfRule type="expression" priority="69" dxfId="0" stopIfTrue="1">
      <formula>AND(G19&lt;&gt;"",COUNTIF(코드설정!$K$5:$K$34,G19)&gt;0)</formula>
    </cfRule>
    <cfRule type="expression" priority="70" dxfId="1" stopIfTrue="1">
      <formula>AND(G19&lt;&gt;"",G19=TODAY())</formula>
    </cfRule>
  </conditionalFormatting>
  <conditionalFormatting sqref="A22">
    <cfRule type="expression" priority="71" dxfId="0" stopIfTrue="1">
      <formula>AND(A22&lt;&gt;"",COUNTIF(코드설정!$K$5:$K$34,A22)&gt;0)</formula>
    </cfRule>
    <cfRule type="expression" priority="72" dxfId="1" stopIfTrue="1">
      <formula>AND(A22&lt;&gt;"",A22=TODAY())</formula>
    </cfRule>
  </conditionalFormatting>
  <conditionalFormatting sqref="B22">
    <cfRule type="expression" priority="73" dxfId="0" stopIfTrue="1">
      <formula>AND(B22&lt;&gt;"",COUNTIF(코드설정!$K$5:$K$34,B22)&gt;0)</formula>
    </cfRule>
    <cfRule type="expression" priority="74" dxfId="1" stopIfTrue="1">
      <formula>AND(B22&lt;&gt;"",B22=TODAY())</formula>
    </cfRule>
  </conditionalFormatting>
  <conditionalFormatting sqref="C22">
    <cfRule type="expression" priority="75" dxfId="0" stopIfTrue="1">
      <formula>AND(C22&lt;&gt;"",COUNTIF(코드설정!$K$5:$K$34,C22)&gt;0)</formula>
    </cfRule>
    <cfRule type="expression" priority="76" dxfId="1" stopIfTrue="1">
      <formula>AND(C22&lt;&gt;"",C22=TODAY())</formula>
    </cfRule>
  </conditionalFormatting>
  <conditionalFormatting sqref="D22">
    <cfRule type="expression" priority="77" dxfId="0" stopIfTrue="1">
      <formula>AND(D22&lt;&gt;"",COUNTIF(코드설정!$K$5:$K$34,D22)&gt;0)</formula>
    </cfRule>
    <cfRule type="expression" priority="78" dxfId="1" stopIfTrue="1">
      <formula>AND(D22&lt;&gt;"",D22=TODAY())</formula>
    </cfRule>
  </conditionalFormatting>
  <conditionalFormatting sqref="E22">
    <cfRule type="expression" priority="79" dxfId="0" stopIfTrue="1">
      <formula>AND(E22&lt;&gt;"",COUNTIF(코드설정!$K$5:$K$34,E22)&gt;0)</formula>
    </cfRule>
    <cfRule type="expression" priority="80" dxfId="1" stopIfTrue="1">
      <formula>AND(E22&lt;&gt;"",E22=TODAY())</formula>
    </cfRule>
  </conditionalFormatting>
  <conditionalFormatting sqref="F22">
    <cfRule type="expression" priority="81" dxfId="0" stopIfTrue="1">
      <formula>AND(F22&lt;&gt;"",COUNTIF(코드설정!$K$5:$K$34,F22)&gt;0)</formula>
    </cfRule>
    <cfRule type="expression" priority="82" dxfId="1" stopIfTrue="1">
      <formula>AND(F22&lt;&gt;"",F22=TODAY())</formula>
    </cfRule>
  </conditionalFormatting>
  <conditionalFormatting sqref="G22">
    <cfRule type="expression" priority="83" dxfId="0" stopIfTrue="1">
      <formula>AND(G22&lt;&gt;"",COUNTIF(코드설정!$K$5:$K$34,G22)&gt;0)</formula>
    </cfRule>
    <cfRule type="expression" priority="84" dxfId="1" stopIfTrue="1">
      <formula>AND(G22&lt;&gt;"",G22=TODAY())</formula>
    </cfRule>
  </conditionalFormatting>
  <dataValidations count="1">
    <dataValidation sqref="D4" showDropDown="0" showInputMessage="0" showErrorMessage="1" allowBlank="0" errorTitle="월 입력" error="1~12 사이의 숫자를 입력하세요." type="whole" operator="between">
      <formula1>1</formula1>
      <formula2>12</formula2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&amp;L&amp;"Arial"&amp;9월력표&amp;R&amp;"Arial"&amp;9인쇄 &amp;D</oddHeader>
    <oddFooter>&amp;C&amp;"Arial"&amp;9&amp;P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AX1004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0" customWidth="1" min="4" max="4"/>
    <col width="18" customWidth="1" min="5" max="5"/>
    <col width="16" customWidth="1" min="6" max="6"/>
    <col width="6" customWidth="1" min="7" max="7"/>
    <col width="26" customWidth="1" min="8" max="8"/>
    <col width="18" customWidth="1" min="9" max="9"/>
    <col width="11" customWidth="1" min="10" max="10"/>
    <col outlineLevel="1" width="9" customWidth="1" min="11" max="11"/>
    <col outlineLevel="1" width="9" customWidth="1" min="12" max="12"/>
    <col outlineLevel="1" width="9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outlineLevel="1" width="9" customWidth="1" min="18" max="18"/>
    <col outlineLevel="1" width="9" customWidth="1" min="19" max="19"/>
    <col outlineLevel="1" width="9" customWidth="1" min="20" max="20"/>
    <col outlineLevel="1" width="9" customWidth="1" min="21" max="21"/>
    <col outlineLevel="1" width="9" customWidth="1" min="22" max="22"/>
    <col outlineLevel="1" width="9" customWidth="1" min="23" max="23"/>
    <col outlineLevel="1" width="9" customWidth="1" min="24" max="24"/>
    <col outlineLevel="1" width="9" customWidth="1" min="25" max="25"/>
    <col width="11" customWidth="1" min="26" max="26"/>
    <col width="32" customWidth="1" min="27" max="27"/>
    <col width="13" customWidth="1" min="28" max="28"/>
    <col width="18" customWidth="1" min="29" max="29"/>
    <col width="11" customWidth="1" min="30" max="30"/>
    <col width="12" customWidth="1" min="31" max="31"/>
    <col width="9" customWidth="1" min="32" max="32"/>
    <col width="10" customWidth="1" min="33" max="33"/>
    <col width="22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</cols>
  <sheetData>
    <row r="1" ht="24" customHeight="1">
      <c r="A1" s="6" t="inlineStr">
        <is>
          <t>부서 업무일지  ·  출장 / 분석 통합 대장</t>
        </is>
      </c>
    </row>
    <row r="2" ht="26" customHeight="1">
      <c r="A2" s="7" t="inlineStr">
        <is>
          <t>※ 출장·분석 1건 = 1행. 사건번호를 고르면 사건명·요청처와 [사건마스터]에 배정된 담당자가 통째로 따라옵니다.  ※ 참여자는 15명까지 들어옵니다 — 열 위 [−] 버튼으로 접었다 펼 수 있습니다.  ※ 같은 사건을 여러 날 나눠 하면 행을 나눠 쓰세요 — [회차]가 1, 2, 3…으로 자동으로 붙습니다.  ※ 그 건에만 인원이 다르면 참여자 칸을 직접 골라 덮어쓰세요(그 행만 수동으로 바뀝니다).  ※ 파란 글씨만 입력 / 초록 글씨는 사건마스터 연동 / 검정 글씨는 자동.</t>
        </is>
      </c>
    </row>
    <row r="4" ht="32" customHeight="1">
      <c r="A4" s="23" t="inlineStr">
        <is>
          <t>연번</t>
        </is>
      </c>
      <c r="B4" s="23" t="inlineStr">
        <is>
          <t>시작일</t>
        </is>
      </c>
      <c r="C4" s="23" t="inlineStr">
        <is>
          <t>종료일</t>
        </is>
      </c>
      <c r="D4" s="23" t="inlineStr">
        <is>
          <t>직무구분</t>
        </is>
      </c>
      <c r="E4" s="23" t="inlineStr">
        <is>
          <t>세부유형</t>
        </is>
      </c>
      <c r="F4" s="23" t="inlineStr">
        <is>
          <t>사건번호</t>
        </is>
      </c>
      <c r="G4" s="23" t="inlineStr">
        <is>
          <t>회차</t>
        </is>
      </c>
      <c r="H4" s="23" t="inlineStr">
        <is>
          <t>사건명 · 업무명</t>
        </is>
      </c>
      <c r="I4" s="23" t="inlineStr">
        <is>
          <t>요청·의뢰처</t>
        </is>
      </c>
      <c r="J4" s="23" t="inlineStr">
        <is>
          <t>주담당자</t>
        </is>
      </c>
      <c r="K4" s="23" t="inlineStr">
        <is>
          <t>참여자 1</t>
        </is>
      </c>
      <c r="L4" s="23" t="inlineStr">
        <is>
          <t>참여자 2</t>
        </is>
      </c>
      <c r="M4" s="23" t="inlineStr">
        <is>
          <t>참여자 3</t>
        </is>
      </c>
      <c r="N4" s="23" t="inlineStr">
        <is>
          <t>참여자 4</t>
        </is>
      </c>
      <c r="O4" s="23" t="inlineStr">
        <is>
          <t>참여자 5</t>
        </is>
      </c>
      <c r="P4" s="23" t="inlineStr">
        <is>
          <t>참여자 6</t>
        </is>
      </c>
      <c r="Q4" s="23" t="inlineStr">
        <is>
          <t>참여자 7</t>
        </is>
      </c>
      <c r="R4" s="23" t="inlineStr">
        <is>
          <t>참여자 8</t>
        </is>
      </c>
      <c r="S4" s="23" t="inlineStr">
        <is>
          <t>참여자 9</t>
        </is>
      </c>
      <c r="T4" s="23" t="inlineStr">
        <is>
          <t>참여자 10</t>
        </is>
      </c>
      <c r="U4" s="23" t="inlineStr">
        <is>
          <t>참여자 11</t>
        </is>
      </c>
      <c r="V4" s="23" t="inlineStr">
        <is>
          <t>참여자 12</t>
        </is>
      </c>
      <c r="W4" s="23" t="inlineStr">
        <is>
          <t>참여자 13</t>
        </is>
      </c>
      <c r="X4" s="23" t="inlineStr">
        <is>
          <t>참여자 14</t>
        </is>
      </c>
      <c r="Y4" s="23" t="inlineStr">
        <is>
          <t>참여자 15</t>
        </is>
      </c>
      <c r="Z4" s="23" t="inlineStr">
        <is>
          <t>투입인원(명)</t>
        </is>
      </c>
      <c r="AA4" s="23" t="inlineStr">
        <is>
          <t>참여자 명단(자동)</t>
        </is>
      </c>
      <c r="AB4" s="23" t="inlineStr">
        <is>
          <t>소속팀</t>
        </is>
      </c>
      <c r="AC4" s="23" t="inlineStr">
        <is>
          <t>장소 / 분석실</t>
        </is>
      </c>
      <c r="AD4" s="23" t="inlineStr">
        <is>
          <t>대상매체(건)</t>
        </is>
      </c>
      <c r="AE4" s="23" t="inlineStr">
        <is>
          <t>데이터량(GB)</t>
        </is>
      </c>
      <c r="AF4" s="23" t="inlineStr">
        <is>
          <t>소요일수</t>
        </is>
      </c>
      <c r="AG4" s="23" t="inlineStr">
        <is>
          <t>진행상태</t>
        </is>
      </c>
      <c r="AH4" s="23" t="inlineStr">
        <is>
          <t>비고</t>
        </is>
      </c>
    </row>
    <row r="5">
      <c r="A5" s="118">
        <f>IF($B5="","",COUNT($B$5:$B5))</f>
        <v/>
      </c>
      <c r="B5" s="80" t="n"/>
      <c r="C5" s="80" t="n"/>
      <c r="D5" s="74" t="n"/>
      <c r="E5" s="74" t="n"/>
      <c r="F5" s="74" t="n"/>
      <c r="G5" s="118">
        <f>IF($F5="","",COUNTIF($F$5:$F5,$F5))</f>
        <v/>
      </c>
      <c r="H5" s="33">
        <f>IF($F5="","",IFERROR(INDEX(사건마스터!$B$5:$B$64,MATCH($F5,사건마스터!$A$5:$A$64,0)),""))</f>
        <v/>
      </c>
      <c r="I5" s="130">
        <f>IF($F5="","",IFERROR(INDEX(사건마스터!$C$5:$C$64,MATCH($F5,사건마스터!$A$5:$A$64,0)),""))</f>
        <v/>
      </c>
      <c r="J5" s="136">
        <f>IF($F5="","",IFERROR(INDEX(사건마스터!$H$5:$H$64,MATCH($F5,사건마스터!$A$5:$A$64,0)),""))</f>
        <v/>
      </c>
      <c r="K5" s="136">
        <f>IF($F5="","",IFERROR(INDEX(사건마스터!$AH$5:$AH$64,MATCH($F5,사건마스터!$A$5:$A$64,0)),""))</f>
        <v/>
      </c>
      <c r="L5" s="136">
        <f>IF($F5="","",IFERROR(INDEX(사건마스터!$AI$5:$AI$64,MATCH($F5,사건마스터!$A$5:$A$64,0)),""))</f>
        <v/>
      </c>
      <c r="M5" s="136">
        <f>IF($F5="","",IFERROR(INDEX(사건마스터!$AJ$5:$AJ$64,MATCH($F5,사건마스터!$A$5:$A$64,0)),""))</f>
        <v/>
      </c>
      <c r="N5" s="136">
        <f>IF($F5="","",IFERROR(INDEX(사건마스터!$AK$5:$AK$64,MATCH($F5,사건마스터!$A$5:$A$64,0)),""))</f>
        <v/>
      </c>
      <c r="O5" s="136">
        <f>IF($F5="","",IFERROR(INDEX(사건마스터!$AL$5:$AL$64,MATCH($F5,사건마스터!$A$5:$A$64,0)),""))</f>
        <v/>
      </c>
      <c r="P5" s="136">
        <f>IF($F5="","",IFERROR(INDEX(사건마스터!$AM$5:$AM$64,MATCH($F5,사건마스터!$A$5:$A$64,0)),""))</f>
        <v/>
      </c>
      <c r="Q5" s="136">
        <f>IF($F5="","",IFERROR(INDEX(사건마스터!$AN$5:$AN$64,MATCH($F5,사건마스터!$A$5:$A$64,0)),""))</f>
        <v/>
      </c>
      <c r="R5" s="136">
        <f>IF($F5="","",IFERROR(INDEX(사건마스터!$AO$5:$AO$64,MATCH($F5,사건마스터!$A$5:$A$64,0)),""))</f>
        <v/>
      </c>
      <c r="S5" s="136">
        <f>IF($F5="","",IFERROR(INDEX(사건마스터!$AP$5:$AP$64,MATCH($F5,사건마스터!$A$5:$A$64,0)),""))</f>
        <v/>
      </c>
      <c r="T5" s="136">
        <f>IF($F5="","",IFERROR(INDEX(사건마스터!$AQ$5:$AQ$64,MATCH($F5,사건마스터!$A$5:$A$64,0)),""))</f>
        <v/>
      </c>
      <c r="U5" s="136">
        <f>IF($F5="","",IFERROR(INDEX(사건마스터!$AR$5:$AR$64,MATCH($F5,사건마스터!$A$5:$A$64,0)),""))</f>
        <v/>
      </c>
      <c r="V5" s="136">
        <f>IF($F5="","",IFERROR(INDEX(사건마스터!$AS$5:$AS$64,MATCH($F5,사건마스터!$A$5:$A$64,0)),""))</f>
        <v/>
      </c>
      <c r="W5" s="136">
        <f>IF($F5="","",IFERROR(INDEX(사건마스터!$AT$5:$AT$64,MATCH($F5,사건마스터!$A$5:$A$64,0)),""))</f>
        <v/>
      </c>
      <c r="X5" s="136">
        <f>IF($F5="","",IFERROR(INDEX(사건마스터!$AU$5:$AU$64,MATCH($F5,사건마스터!$A$5:$A$64,0)),""))</f>
        <v/>
      </c>
      <c r="Y5" s="136">
        <f>IF($F5="","",IFERROR(INDEX(사건마스터!$AV$5:$AV$64,MATCH($F5,사건마스터!$A$5:$A$64,0)),""))</f>
        <v/>
      </c>
      <c r="Z5" s="118">
        <f>IF(COUNTBLANK($J5:$Y5)=16,"",16-COUNTBLANK($J5:$Y5))</f>
        <v/>
      </c>
      <c r="AA5" s="33">
        <f>IF($J5="",MID($AX5,3,255),$J5&amp;$AX5)</f>
        <v/>
      </c>
      <c r="AB5" s="130">
        <f>IF($J5="","",IFERROR(INDEX(코드설정!$D$5:$D$24,MATCH($J5,코드설정!$C$5:$C$24,0)),""))</f>
        <v/>
      </c>
      <c r="AC5" s="36" t="n"/>
      <c r="AD5" s="37" t="n"/>
      <c r="AE5" s="38" t="n"/>
      <c r="AF5" s="118">
        <f>IF(OR($B5="",$C5=""),"",$C5-$B5+1)</f>
        <v/>
      </c>
      <c r="AG5" s="74" t="n"/>
      <c r="AH5" s="36" t="n"/>
      <c r="AJ5">
        <f>IF($K5="","",", "&amp;$K5)</f>
        <v/>
      </c>
      <c r="AK5">
        <f>AJ5&amp;IF($L5="","",", "&amp;$L5)</f>
        <v/>
      </c>
      <c r="AL5">
        <f>AK5&amp;IF($M5="","",", "&amp;$M5)</f>
        <v/>
      </c>
      <c r="AM5">
        <f>AL5&amp;IF($N5="","",", "&amp;$N5)</f>
        <v/>
      </c>
      <c r="AN5">
        <f>AM5&amp;IF($O5="","",", "&amp;$O5)</f>
        <v/>
      </c>
      <c r="AO5">
        <f>AN5&amp;IF($P5="","",", "&amp;$P5)</f>
        <v/>
      </c>
      <c r="AP5">
        <f>AO5&amp;IF($Q5="","",", "&amp;$Q5)</f>
        <v/>
      </c>
      <c r="AQ5">
        <f>AP5&amp;IF($R5="","",", "&amp;$R5)</f>
        <v/>
      </c>
      <c r="AR5">
        <f>AQ5&amp;IF($S5="","",", "&amp;$S5)</f>
        <v/>
      </c>
      <c r="AS5">
        <f>AR5&amp;IF($T5="","",", "&amp;$T5)</f>
        <v/>
      </c>
      <c r="AT5">
        <f>AS5&amp;IF($U5="","",", "&amp;$U5)</f>
        <v/>
      </c>
      <c r="AU5">
        <f>AT5&amp;IF($V5="","",", "&amp;$V5)</f>
        <v/>
      </c>
      <c r="AV5">
        <f>AU5&amp;IF($W5="","",", "&amp;$W5)</f>
        <v/>
      </c>
      <c r="AW5">
        <f>AV5&amp;IF($X5="","",", "&amp;$X5)</f>
        <v/>
      </c>
      <c r="AX5">
        <f>AW5&amp;IF($Y5="","",", "&amp;$Y5)</f>
        <v/>
      </c>
    </row>
    <row r="6">
      <c r="A6" s="118">
        <f>IF($B6="","",COUNT($B$5:$B6))</f>
        <v/>
      </c>
      <c r="B6" s="80" t="n"/>
      <c r="C6" s="80" t="n"/>
      <c r="D6" s="74" t="n"/>
      <c r="E6" s="74" t="n"/>
      <c r="F6" s="74" t="n"/>
      <c r="G6" s="118">
        <f>IF($F6="","",COUNTIF($F$5:$F6,$F6))</f>
        <v/>
      </c>
      <c r="H6" s="33">
        <f>IF($F6="","",IFERROR(INDEX(사건마스터!$B$5:$B$64,MATCH($F6,사건마스터!$A$5:$A$64,0)),""))</f>
        <v/>
      </c>
      <c r="I6" s="130">
        <f>IF($F6="","",IFERROR(INDEX(사건마스터!$C$5:$C$64,MATCH($F6,사건마스터!$A$5:$A$64,0)),""))</f>
        <v/>
      </c>
      <c r="J6" s="136">
        <f>IF($F6="","",IFERROR(INDEX(사건마스터!$H$5:$H$64,MATCH($F6,사건마스터!$A$5:$A$64,0)),""))</f>
        <v/>
      </c>
      <c r="K6" s="136">
        <f>IF($F6="","",IFERROR(INDEX(사건마스터!$AH$5:$AH$64,MATCH($F6,사건마스터!$A$5:$A$64,0)),""))</f>
        <v/>
      </c>
      <c r="L6" s="136">
        <f>IF($F6="","",IFERROR(INDEX(사건마스터!$AI$5:$AI$64,MATCH($F6,사건마스터!$A$5:$A$64,0)),""))</f>
        <v/>
      </c>
      <c r="M6" s="136">
        <f>IF($F6="","",IFERROR(INDEX(사건마스터!$AJ$5:$AJ$64,MATCH($F6,사건마스터!$A$5:$A$64,0)),""))</f>
        <v/>
      </c>
      <c r="N6" s="136">
        <f>IF($F6="","",IFERROR(INDEX(사건마스터!$AK$5:$AK$64,MATCH($F6,사건마스터!$A$5:$A$64,0)),""))</f>
        <v/>
      </c>
      <c r="O6" s="136">
        <f>IF($F6="","",IFERROR(INDEX(사건마스터!$AL$5:$AL$64,MATCH($F6,사건마스터!$A$5:$A$64,0)),""))</f>
        <v/>
      </c>
      <c r="P6" s="136">
        <f>IF($F6="","",IFERROR(INDEX(사건마스터!$AM$5:$AM$64,MATCH($F6,사건마스터!$A$5:$A$64,0)),""))</f>
        <v/>
      </c>
      <c r="Q6" s="136">
        <f>IF($F6="","",IFERROR(INDEX(사건마스터!$AN$5:$AN$64,MATCH($F6,사건마스터!$A$5:$A$64,0)),""))</f>
        <v/>
      </c>
      <c r="R6" s="136">
        <f>IF($F6="","",IFERROR(INDEX(사건마스터!$AO$5:$AO$64,MATCH($F6,사건마스터!$A$5:$A$64,0)),""))</f>
        <v/>
      </c>
      <c r="S6" s="136">
        <f>IF($F6="","",IFERROR(INDEX(사건마스터!$AP$5:$AP$64,MATCH($F6,사건마스터!$A$5:$A$64,0)),""))</f>
        <v/>
      </c>
      <c r="T6" s="136">
        <f>IF($F6="","",IFERROR(INDEX(사건마스터!$AQ$5:$AQ$64,MATCH($F6,사건마스터!$A$5:$A$64,0)),""))</f>
        <v/>
      </c>
      <c r="U6" s="136">
        <f>IF($F6="","",IFERROR(INDEX(사건마스터!$AR$5:$AR$64,MATCH($F6,사건마스터!$A$5:$A$64,0)),""))</f>
        <v/>
      </c>
      <c r="V6" s="136">
        <f>IF($F6="","",IFERROR(INDEX(사건마스터!$AS$5:$AS$64,MATCH($F6,사건마스터!$A$5:$A$64,0)),""))</f>
        <v/>
      </c>
      <c r="W6" s="136">
        <f>IF($F6="","",IFERROR(INDEX(사건마스터!$AT$5:$AT$64,MATCH($F6,사건마스터!$A$5:$A$64,0)),""))</f>
        <v/>
      </c>
      <c r="X6" s="136">
        <f>IF($F6="","",IFERROR(INDEX(사건마스터!$AU$5:$AU$64,MATCH($F6,사건마스터!$A$5:$A$64,0)),""))</f>
        <v/>
      </c>
      <c r="Y6" s="136">
        <f>IF($F6="","",IFERROR(INDEX(사건마스터!$AV$5:$AV$64,MATCH($F6,사건마스터!$A$5:$A$64,0)),""))</f>
        <v/>
      </c>
      <c r="Z6" s="118">
        <f>IF(COUNTBLANK($J6:$Y6)=16,"",16-COUNTBLANK($J6:$Y6))</f>
        <v/>
      </c>
      <c r="AA6" s="33">
        <f>IF($J6="",MID($AX6,3,255),$J6&amp;$AX6)</f>
        <v/>
      </c>
      <c r="AB6" s="130">
        <f>IF($J6="","",IFERROR(INDEX(코드설정!$D$5:$D$24,MATCH($J6,코드설정!$C$5:$C$24,0)),""))</f>
        <v/>
      </c>
      <c r="AC6" s="36" t="n"/>
      <c r="AD6" s="37" t="n"/>
      <c r="AE6" s="38" t="n"/>
      <c r="AF6" s="118">
        <f>IF(OR($B6="",$C6=""),"",$C6-$B6+1)</f>
        <v/>
      </c>
      <c r="AG6" s="74" t="n"/>
      <c r="AH6" s="36" t="n"/>
      <c r="AJ6">
        <f>IF($K6="","",", "&amp;$K6)</f>
        <v/>
      </c>
      <c r="AK6">
        <f>AJ6&amp;IF($L6="","",", "&amp;$L6)</f>
        <v/>
      </c>
      <c r="AL6">
        <f>AK6&amp;IF($M6="","",", "&amp;$M6)</f>
        <v/>
      </c>
      <c r="AM6">
        <f>AL6&amp;IF($N6="","",", "&amp;$N6)</f>
        <v/>
      </c>
      <c r="AN6">
        <f>AM6&amp;IF($O6="","",", "&amp;$O6)</f>
        <v/>
      </c>
      <c r="AO6">
        <f>AN6&amp;IF($P6="","",", "&amp;$P6)</f>
        <v/>
      </c>
      <c r="AP6">
        <f>AO6&amp;IF($Q6="","",", "&amp;$Q6)</f>
        <v/>
      </c>
      <c r="AQ6">
        <f>AP6&amp;IF($R6="","",", "&amp;$R6)</f>
        <v/>
      </c>
      <c r="AR6">
        <f>AQ6&amp;IF($S6="","",", "&amp;$S6)</f>
        <v/>
      </c>
      <c r="AS6">
        <f>AR6&amp;IF($T6="","",", "&amp;$T6)</f>
        <v/>
      </c>
      <c r="AT6">
        <f>AS6&amp;IF($U6="","",", "&amp;$U6)</f>
        <v/>
      </c>
      <c r="AU6">
        <f>AT6&amp;IF($V6="","",", "&amp;$V6)</f>
        <v/>
      </c>
      <c r="AV6">
        <f>AU6&amp;IF($W6="","",", "&amp;$W6)</f>
        <v/>
      </c>
      <c r="AW6">
        <f>AV6&amp;IF($X6="","",", "&amp;$X6)</f>
        <v/>
      </c>
      <c r="AX6">
        <f>AW6&amp;IF($Y6="","",", "&amp;$Y6)</f>
        <v/>
      </c>
    </row>
    <row r="7">
      <c r="A7" s="118">
        <f>IF($B7="","",COUNT($B$5:$B7))</f>
        <v/>
      </c>
      <c r="B7" s="80" t="n"/>
      <c r="C7" s="80" t="n"/>
      <c r="D7" s="74" t="n"/>
      <c r="E7" s="74" t="n"/>
      <c r="F7" s="74" t="n"/>
      <c r="G7" s="118">
        <f>IF($F7="","",COUNTIF($F$5:$F7,$F7))</f>
        <v/>
      </c>
      <c r="H7" s="33">
        <f>IF($F7="","",IFERROR(INDEX(사건마스터!$B$5:$B$64,MATCH($F7,사건마스터!$A$5:$A$64,0)),""))</f>
        <v/>
      </c>
      <c r="I7" s="130">
        <f>IF($F7="","",IFERROR(INDEX(사건마스터!$C$5:$C$64,MATCH($F7,사건마스터!$A$5:$A$64,0)),""))</f>
        <v/>
      </c>
      <c r="J7" s="136">
        <f>IF($F7="","",IFERROR(INDEX(사건마스터!$H$5:$H$64,MATCH($F7,사건마스터!$A$5:$A$64,0)),""))</f>
        <v/>
      </c>
      <c r="K7" s="136">
        <f>IF($F7="","",IFERROR(INDEX(사건마스터!$AH$5:$AH$64,MATCH($F7,사건마스터!$A$5:$A$64,0)),""))</f>
        <v/>
      </c>
      <c r="L7" s="136">
        <f>IF($F7="","",IFERROR(INDEX(사건마스터!$AI$5:$AI$64,MATCH($F7,사건마스터!$A$5:$A$64,0)),""))</f>
        <v/>
      </c>
      <c r="M7" s="136">
        <f>IF($F7="","",IFERROR(INDEX(사건마스터!$AJ$5:$AJ$64,MATCH($F7,사건마스터!$A$5:$A$64,0)),""))</f>
        <v/>
      </c>
      <c r="N7" s="136">
        <f>IF($F7="","",IFERROR(INDEX(사건마스터!$AK$5:$AK$64,MATCH($F7,사건마스터!$A$5:$A$64,0)),""))</f>
        <v/>
      </c>
      <c r="O7" s="136">
        <f>IF($F7="","",IFERROR(INDEX(사건마스터!$AL$5:$AL$64,MATCH($F7,사건마스터!$A$5:$A$64,0)),""))</f>
        <v/>
      </c>
      <c r="P7" s="136">
        <f>IF($F7="","",IFERROR(INDEX(사건마스터!$AM$5:$AM$64,MATCH($F7,사건마스터!$A$5:$A$64,0)),""))</f>
        <v/>
      </c>
      <c r="Q7" s="136">
        <f>IF($F7="","",IFERROR(INDEX(사건마스터!$AN$5:$AN$64,MATCH($F7,사건마스터!$A$5:$A$64,0)),""))</f>
        <v/>
      </c>
      <c r="R7" s="136">
        <f>IF($F7="","",IFERROR(INDEX(사건마스터!$AO$5:$AO$64,MATCH($F7,사건마스터!$A$5:$A$64,0)),""))</f>
        <v/>
      </c>
      <c r="S7" s="136">
        <f>IF($F7="","",IFERROR(INDEX(사건마스터!$AP$5:$AP$64,MATCH($F7,사건마스터!$A$5:$A$64,0)),""))</f>
        <v/>
      </c>
      <c r="T7" s="136">
        <f>IF($F7="","",IFERROR(INDEX(사건마스터!$AQ$5:$AQ$64,MATCH($F7,사건마스터!$A$5:$A$64,0)),""))</f>
        <v/>
      </c>
      <c r="U7" s="136">
        <f>IF($F7="","",IFERROR(INDEX(사건마스터!$AR$5:$AR$64,MATCH($F7,사건마스터!$A$5:$A$64,0)),""))</f>
        <v/>
      </c>
      <c r="V7" s="136">
        <f>IF($F7="","",IFERROR(INDEX(사건마스터!$AS$5:$AS$64,MATCH($F7,사건마스터!$A$5:$A$64,0)),""))</f>
        <v/>
      </c>
      <c r="W7" s="136">
        <f>IF($F7="","",IFERROR(INDEX(사건마스터!$AT$5:$AT$64,MATCH($F7,사건마스터!$A$5:$A$64,0)),""))</f>
        <v/>
      </c>
      <c r="X7" s="136">
        <f>IF($F7="","",IFERROR(INDEX(사건마스터!$AU$5:$AU$64,MATCH($F7,사건마스터!$A$5:$A$64,0)),""))</f>
        <v/>
      </c>
      <c r="Y7" s="136">
        <f>IF($F7="","",IFERROR(INDEX(사건마스터!$AV$5:$AV$64,MATCH($F7,사건마스터!$A$5:$A$64,0)),""))</f>
        <v/>
      </c>
      <c r="Z7" s="118">
        <f>IF(COUNTBLANK($J7:$Y7)=16,"",16-COUNTBLANK($J7:$Y7))</f>
        <v/>
      </c>
      <c r="AA7" s="33">
        <f>IF($J7="",MID($AX7,3,255),$J7&amp;$AX7)</f>
        <v/>
      </c>
      <c r="AB7" s="130">
        <f>IF($J7="","",IFERROR(INDEX(코드설정!$D$5:$D$24,MATCH($J7,코드설정!$C$5:$C$24,0)),""))</f>
        <v/>
      </c>
      <c r="AC7" s="36" t="n"/>
      <c r="AD7" s="37" t="n"/>
      <c r="AE7" s="38" t="n"/>
      <c r="AF7" s="118">
        <f>IF(OR($B7="",$C7=""),"",$C7-$B7+1)</f>
        <v/>
      </c>
      <c r="AG7" s="74" t="n"/>
      <c r="AH7" s="36" t="n"/>
      <c r="AJ7">
        <f>IF($K7="","",", "&amp;$K7)</f>
        <v/>
      </c>
      <c r="AK7">
        <f>AJ7&amp;IF($L7="","",", "&amp;$L7)</f>
        <v/>
      </c>
      <c r="AL7">
        <f>AK7&amp;IF($M7="","",", "&amp;$M7)</f>
        <v/>
      </c>
      <c r="AM7">
        <f>AL7&amp;IF($N7="","",", "&amp;$N7)</f>
        <v/>
      </c>
      <c r="AN7">
        <f>AM7&amp;IF($O7="","",", "&amp;$O7)</f>
        <v/>
      </c>
      <c r="AO7">
        <f>AN7&amp;IF($P7="","",", "&amp;$P7)</f>
        <v/>
      </c>
      <c r="AP7">
        <f>AO7&amp;IF($Q7="","",", "&amp;$Q7)</f>
        <v/>
      </c>
      <c r="AQ7">
        <f>AP7&amp;IF($R7="","",", "&amp;$R7)</f>
        <v/>
      </c>
      <c r="AR7">
        <f>AQ7&amp;IF($S7="","",", "&amp;$S7)</f>
        <v/>
      </c>
      <c r="AS7">
        <f>AR7&amp;IF($T7="","",", "&amp;$T7)</f>
        <v/>
      </c>
      <c r="AT7">
        <f>AS7&amp;IF($U7="","",", "&amp;$U7)</f>
        <v/>
      </c>
      <c r="AU7">
        <f>AT7&amp;IF($V7="","",", "&amp;$V7)</f>
        <v/>
      </c>
      <c r="AV7">
        <f>AU7&amp;IF($W7="","",", "&amp;$W7)</f>
        <v/>
      </c>
      <c r="AW7">
        <f>AV7&amp;IF($X7="","",", "&amp;$X7)</f>
        <v/>
      </c>
      <c r="AX7">
        <f>AW7&amp;IF($Y7="","",", "&amp;$Y7)</f>
        <v/>
      </c>
    </row>
    <row r="8">
      <c r="A8" s="118">
        <f>IF($B8="","",COUNT($B$5:$B8))</f>
        <v/>
      </c>
      <c r="B8" s="80" t="n"/>
      <c r="C8" s="80" t="n"/>
      <c r="D8" s="74" t="n"/>
      <c r="E8" s="74" t="n"/>
      <c r="F8" s="74" t="n"/>
      <c r="G8" s="118">
        <f>IF($F8="","",COUNTIF($F$5:$F8,$F8))</f>
        <v/>
      </c>
      <c r="H8" s="33">
        <f>IF($F8="","",IFERROR(INDEX(사건마스터!$B$5:$B$64,MATCH($F8,사건마스터!$A$5:$A$64,0)),""))</f>
        <v/>
      </c>
      <c r="I8" s="130">
        <f>IF($F8="","",IFERROR(INDEX(사건마스터!$C$5:$C$64,MATCH($F8,사건마스터!$A$5:$A$64,0)),""))</f>
        <v/>
      </c>
      <c r="J8" s="136">
        <f>IF($F8="","",IFERROR(INDEX(사건마스터!$H$5:$H$64,MATCH($F8,사건마스터!$A$5:$A$64,0)),""))</f>
        <v/>
      </c>
      <c r="K8" s="136">
        <f>IF($F8="","",IFERROR(INDEX(사건마스터!$AH$5:$AH$64,MATCH($F8,사건마스터!$A$5:$A$64,0)),""))</f>
        <v/>
      </c>
      <c r="L8" s="136">
        <f>IF($F8="","",IFERROR(INDEX(사건마스터!$AI$5:$AI$64,MATCH($F8,사건마스터!$A$5:$A$64,0)),""))</f>
        <v/>
      </c>
      <c r="M8" s="136">
        <f>IF($F8="","",IFERROR(INDEX(사건마스터!$AJ$5:$AJ$64,MATCH($F8,사건마스터!$A$5:$A$64,0)),""))</f>
        <v/>
      </c>
      <c r="N8" s="136">
        <f>IF($F8="","",IFERROR(INDEX(사건마스터!$AK$5:$AK$64,MATCH($F8,사건마스터!$A$5:$A$64,0)),""))</f>
        <v/>
      </c>
      <c r="O8" s="136">
        <f>IF($F8="","",IFERROR(INDEX(사건마스터!$AL$5:$AL$64,MATCH($F8,사건마스터!$A$5:$A$64,0)),""))</f>
        <v/>
      </c>
      <c r="P8" s="136">
        <f>IF($F8="","",IFERROR(INDEX(사건마스터!$AM$5:$AM$64,MATCH($F8,사건마스터!$A$5:$A$64,0)),""))</f>
        <v/>
      </c>
      <c r="Q8" s="136">
        <f>IF($F8="","",IFERROR(INDEX(사건마스터!$AN$5:$AN$64,MATCH($F8,사건마스터!$A$5:$A$64,0)),""))</f>
        <v/>
      </c>
      <c r="R8" s="136">
        <f>IF($F8="","",IFERROR(INDEX(사건마스터!$AO$5:$AO$64,MATCH($F8,사건마스터!$A$5:$A$64,0)),""))</f>
        <v/>
      </c>
      <c r="S8" s="136">
        <f>IF($F8="","",IFERROR(INDEX(사건마스터!$AP$5:$AP$64,MATCH($F8,사건마스터!$A$5:$A$64,0)),""))</f>
        <v/>
      </c>
      <c r="T8" s="136">
        <f>IF($F8="","",IFERROR(INDEX(사건마스터!$AQ$5:$AQ$64,MATCH($F8,사건마스터!$A$5:$A$64,0)),""))</f>
        <v/>
      </c>
      <c r="U8" s="136">
        <f>IF($F8="","",IFERROR(INDEX(사건마스터!$AR$5:$AR$64,MATCH($F8,사건마스터!$A$5:$A$64,0)),""))</f>
        <v/>
      </c>
      <c r="V8" s="136">
        <f>IF($F8="","",IFERROR(INDEX(사건마스터!$AS$5:$AS$64,MATCH($F8,사건마스터!$A$5:$A$64,0)),""))</f>
        <v/>
      </c>
      <c r="W8" s="136">
        <f>IF($F8="","",IFERROR(INDEX(사건마스터!$AT$5:$AT$64,MATCH($F8,사건마스터!$A$5:$A$64,0)),""))</f>
        <v/>
      </c>
      <c r="X8" s="136">
        <f>IF($F8="","",IFERROR(INDEX(사건마스터!$AU$5:$AU$64,MATCH($F8,사건마스터!$A$5:$A$64,0)),""))</f>
        <v/>
      </c>
      <c r="Y8" s="136">
        <f>IF($F8="","",IFERROR(INDEX(사건마스터!$AV$5:$AV$64,MATCH($F8,사건마스터!$A$5:$A$64,0)),""))</f>
        <v/>
      </c>
      <c r="Z8" s="118">
        <f>IF(COUNTBLANK($J8:$Y8)=16,"",16-COUNTBLANK($J8:$Y8))</f>
        <v/>
      </c>
      <c r="AA8" s="33">
        <f>IF($J8="",MID($AX8,3,255),$J8&amp;$AX8)</f>
        <v/>
      </c>
      <c r="AB8" s="130">
        <f>IF($J8="","",IFERROR(INDEX(코드설정!$D$5:$D$24,MATCH($J8,코드설정!$C$5:$C$24,0)),""))</f>
        <v/>
      </c>
      <c r="AC8" s="36" t="n"/>
      <c r="AD8" s="37" t="n"/>
      <c r="AE8" s="38" t="n"/>
      <c r="AF8" s="118">
        <f>IF(OR($B8="",$C8=""),"",$C8-$B8+1)</f>
        <v/>
      </c>
      <c r="AG8" s="74" t="n"/>
      <c r="AH8" s="36" t="n"/>
      <c r="AJ8">
        <f>IF($K8="","",", "&amp;$K8)</f>
        <v/>
      </c>
      <c r="AK8">
        <f>AJ8&amp;IF($L8="","",", "&amp;$L8)</f>
        <v/>
      </c>
      <c r="AL8">
        <f>AK8&amp;IF($M8="","",", "&amp;$M8)</f>
        <v/>
      </c>
      <c r="AM8">
        <f>AL8&amp;IF($N8="","",", "&amp;$N8)</f>
        <v/>
      </c>
      <c r="AN8">
        <f>AM8&amp;IF($O8="","",", "&amp;$O8)</f>
        <v/>
      </c>
      <c r="AO8">
        <f>AN8&amp;IF($P8="","",", "&amp;$P8)</f>
        <v/>
      </c>
      <c r="AP8">
        <f>AO8&amp;IF($Q8="","",", "&amp;$Q8)</f>
        <v/>
      </c>
      <c r="AQ8">
        <f>AP8&amp;IF($R8="","",", "&amp;$R8)</f>
        <v/>
      </c>
      <c r="AR8">
        <f>AQ8&amp;IF($S8="","",", "&amp;$S8)</f>
        <v/>
      </c>
      <c r="AS8">
        <f>AR8&amp;IF($T8="","",", "&amp;$T8)</f>
        <v/>
      </c>
      <c r="AT8">
        <f>AS8&amp;IF($U8="","",", "&amp;$U8)</f>
        <v/>
      </c>
      <c r="AU8">
        <f>AT8&amp;IF($V8="","",", "&amp;$V8)</f>
        <v/>
      </c>
      <c r="AV8">
        <f>AU8&amp;IF($W8="","",", "&amp;$W8)</f>
        <v/>
      </c>
      <c r="AW8">
        <f>AV8&amp;IF($X8="","",", "&amp;$X8)</f>
        <v/>
      </c>
      <c r="AX8">
        <f>AW8&amp;IF($Y8="","",", "&amp;$Y8)</f>
        <v/>
      </c>
    </row>
    <row r="9">
      <c r="A9" s="118">
        <f>IF($B9="","",COUNT($B$5:$B9))</f>
        <v/>
      </c>
      <c r="B9" s="80" t="n"/>
      <c r="C9" s="80" t="n"/>
      <c r="D9" s="74" t="n"/>
      <c r="E9" s="74" t="n"/>
      <c r="F9" s="74" t="n"/>
      <c r="G9" s="118">
        <f>IF($F9="","",COUNTIF($F$5:$F9,$F9))</f>
        <v/>
      </c>
      <c r="H9" s="33">
        <f>IF($F9="","",IFERROR(INDEX(사건마스터!$B$5:$B$64,MATCH($F9,사건마스터!$A$5:$A$64,0)),""))</f>
        <v/>
      </c>
      <c r="I9" s="130">
        <f>IF($F9="","",IFERROR(INDEX(사건마스터!$C$5:$C$64,MATCH($F9,사건마스터!$A$5:$A$64,0)),""))</f>
        <v/>
      </c>
      <c r="J9" s="136">
        <f>IF($F9="","",IFERROR(INDEX(사건마스터!$H$5:$H$64,MATCH($F9,사건마스터!$A$5:$A$64,0)),""))</f>
        <v/>
      </c>
      <c r="K9" s="136">
        <f>IF($F9="","",IFERROR(INDEX(사건마스터!$AH$5:$AH$64,MATCH($F9,사건마스터!$A$5:$A$64,0)),""))</f>
        <v/>
      </c>
      <c r="L9" s="136">
        <f>IF($F9="","",IFERROR(INDEX(사건마스터!$AI$5:$AI$64,MATCH($F9,사건마스터!$A$5:$A$64,0)),""))</f>
        <v/>
      </c>
      <c r="M9" s="136">
        <f>IF($F9="","",IFERROR(INDEX(사건마스터!$AJ$5:$AJ$64,MATCH($F9,사건마스터!$A$5:$A$64,0)),""))</f>
        <v/>
      </c>
      <c r="N9" s="136">
        <f>IF($F9="","",IFERROR(INDEX(사건마스터!$AK$5:$AK$64,MATCH($F9,사건마스터!$A$5:$A$64,0)),""))</f>
        <v/>
      </c>
      <c r="O9" s="136">
        <f>IF($F9="","",IFERROR(INDEX(사건마스터!$AL$5:$AL$64,MATCH($F9,사건마스터!$A$5:$A$64,0)),""))</f>
        <v/>
      </c>
      <c r="P9" s="136">
        <f>IF($F9="","",IFERROR(INDEX(사건마스터!$AM$5:$AM$64,MATCH($F9,사건마스터!$A$5:$A$64,0)),""))</f>
        <v/>
      </c>
      <c r="Q9" s="136">
        <f>IF($F9="","",IFERROR(INDEX(사건마스터!$AN$5:$AN$64,MATCH($F9,사건마스터!$A$5:$A$64,0)),""))</f>
        <v/>
      </c>
      <c r="R9" s="136">
        <f>IF($F9="","",IFERROR(INDEX(사건마스터!$AO$5:$AO$64,MATCH($F9,사건마스터!$A$5:$A$64,0)),""))</f>
        <v/>
      </c>
      <c r="S9" s="136">
        <f>IF($F9="","",IFERROR(INDEX(사건마스터!$AP$5:$AP$64,MATCH($F9,사건마스터!$A$5:$A$64,0)),""))</f>
        <v/>
      </c>
      <c r="T9" s="136">
        <f>IF($F9="","",IFERROR(INDEX(사건마스터!$AQ$5:$AQ$64,MATCH($F9,사건마스터!$A$5:$A$64,0)),""))</f>
        <v/>
      </c>
      <c r="U9" s="136">
        <f>IF($F9="","",IFERROR(INDEX(사건마스터!$AR$5:$AR$64,MATCH($F9,사건마스터!$A$5:$A$64,0)),""))</f>
        <v/>
      </c>
      <c r="V9" s="136">
        <f>IF($F9="","",IFERROR(INDEX(사건마스터!$AS$5:$AS$64,MATCH($F9,사건마스터!$A$5:$A$64,0)),""))</f>
        <v/>
      </c>
      <c r="W9" s="136">
        <f>IF($F9="","",IFERROR(INDEX(사건마스터!$AT$5:$AT$64,MATCH($F9,사건마스터!$A$5:$A$64,0)),""))</f>
        <v/>
      </c>
      <c r="X9" s="136">
        <f>IF($F9="","",IFERROR(INDEX(사건마스터!$AU$5:$AU$64,MATCH($F9,사건마스터!$A$5:$A$64,0)),""))</f>
        <v/>
      </c>
      <c r="Y9" s="136">
        <f>IF($F9="","",IFERROR(INDEX(사건마스터!$AV$5:$AV$64,MATCH($F9,사건마스터!$A$5:$A$64,0)),""))</f>
        <v/>
      </c>
      <c r="Z9" s="118">
        <f>IF(COUNTBLANK($J9:$Y9)=16,"",16-COUNTBLANK($J9:$Y9))</f>
        <v/>
      </c>
      <c r="AA9" s="33">
        <f>IF($J9="",MID($AX9,3,255),$J9&amp;$AX9)</f>
        <v/>
      </c>
      <c r="AB9" s="130">
        <f>IF($J9="","",IFERROR(INDEX(코드설정!$D$5:$D$24,MATCH($J9,코드설정!$C$5:$C$24,0)),""))</f>
        <v/>
      </c>
      <c r="AC9" s="36" t="n"/>
      <c r="AD9" s="37" t="n"/>
      <c r="AE9" s="38" t="n"/>
      <c r="AF9" s="118">
        <f>IF(OR($B9="",$C9=""),"",$C9-$B9+1)</f>
        <v/>
      </c>
      <c r="AG9" s="74" t="n"/>
      <c r="AH9" s="36" t="n"/>
      <c r="AJ9">
        <f>IF($K9="","",", "&amp;$K9)</f>
        <v/>
      </c>
      <c r="AK9">
        <f>AJ9&amp;IF($L9="","",", "&amp;$L9)</f>
        <v/>
      </c>
      <c r="AL9">
        <f>AK9&amp;IF($M9="","",", "&amp;$M9)</f>
        <v/>
      </c>
      <c r="AM9">
        <f>AL9&amp;IF($N9="","",", "&amp;$N9)</f>
        <v/>
      </c>
      <c r="AN9">
        <f>AM9&amp;IF($O9="","",", "&amp;$O9)</f>
        <v/>
      </c>
      <c r="AO9">
        <f>AN9&amp;IF($P9="","",", "&amp;$P9)</f>
        <v/>
      </c>
      <c r="AP9">
        <f>AO9&amp;IF($Q9="","",", "&amp;$Q9)</f>
        <v/>
      </c>
      <c r="AQ9">
        <f>AP9&amp;IF($R9="","",", "&amp;$R9)</f>
        <v/>
      </c>
      <c r="AR9">
        <f>AQ9&amp;IF($S9="","",", "&amp;$S9)</f>
        <v/>
      </c>
      <c r="AS9">
        <f>AR9&amp;IF($T9="","",", "&amp;$T9)</f>
        <v/>
      </c>
      <c r="AT9">
        <f>AS9&amp;IF($U9="","",", "&amp;$U9)</f>
        <v/>
      </c>
      <c r="AU9">
        <f>AT9&amp;IF($V9="","",", "&amp;$V9)</f>
        <v/>
      </c>
      <c r="AV9">
        <f>AU9&amp;IF($W9="","",", "&amp;$W9)</f>
        <v/>
      </c>
      <c r="AW9">
        <f>AV9&amp;IF($X9="","",", "&amp;$X9)</f>
        <v/>
      </c>
      <c r="AX9">
        <f>AW9&amp;IF($Y9="","",", "&amp;$Y9)</f>
        <v/>
      </c>
    </row>
    <row r="10">
      <c r="A10" s="118">
        <f>IF($B10="","",COUNT($B$5:$B10))</f>
        <v/>
      </c>
      <c r="B10" s="80" t="n"/>
      <c r="C10" s="80" t="n"/>
      <c r="D10" s="74" t="n"/>
      <c r="E10" s="74" t="n"/>
      <c r="F10" s="74" t="n"/>
      <c r="G10" s="118">
        <f>IF($F10="","",COUNTIF($F$5:$F10,$F10))</f>
        <v/>
      </c>
      <c r="H10" s="33">
        <f>IF($F10="","",IFERROR(INDEX(사건마스터!$B$5:$B$64,MATCH($F10,사건마스터!$A$5:$A$64,0)),""))</f>
        <v/>
      </c>
      <c r="I10" s="130">
        <f>IF($F10="","",IFERROR(INDEX(사건마스터!$C$5:$C$64,MATCH($F10,사건마스터!$A$5:$A$64,0)),""))</f>
        <v/>
      </c>
      <c r="J10" s="136">
        <f>IF($F10="","",IFERROR(INDEX(사건마스터!$H$5:$H$64,MATCH($F10,사건마스터!$A$5:$A$64,0)),""))</f>
        <v/>
      </c>
      <c r="K10" s="136">
        <f>IF($F10="","",IFERROR(INDEX(사건마스터!$AH$5:$AH$64,MATCH($F10,사건마스터!$A$5:$A$64,0)),""))</f>
        <v/>
      </c>
      <c r="L10" s="136">
        <f>IF($F10="","",IFERROR(INDEX(사건마스터!$AI$5:$AI$64,MATCH($F10,사건마스터!$A$5:$A$64,0)),""))</f>
        <v/>
      </c>
      <c r="M10" s="136">
        <f>IF($F10="","",IFERROR(INDEX(사건마스터!$AJ$5:$AJ$64,MATCH($F10,사건마스터!$A$5:$A$64,0)),""))</f>
        <v/>
      </c>
      <c r="N10" s="136">
        <f>IF($F10="","",IFERROR(INDEX(사건마스터!$AK$5:$AK$64,MATCH($F10,사건마스터!$A$5:$A$64,0)),""))</f>
        <v/>
      </c>
      <c r="O10" s="136">
        <f>IF($F10="","",IFERROR(INDEX(사건마스터!$AL$5:$AL$64,MATCH($F10,사건마스터!$A$5:$A$64,0)),""))</f>
        <v/>
      </c>
      <c r="P10" s="136">
        <f>IF($F10="","",IFERROR(INDEX(사건마스터!$AM$5:$AM$64,MATCH($F10,사건마스터!$A$5:$A$64,0)),""))</f>
        <v/>
      </c>
      <c r="Q10" s="136">
        <f>IF($F10="","",IFERROR(INDEX(사건마스터!$AN$5:$AN$64,MATCH($F10,사건마스터!$A$5:$A$64,0)),""))</f>
        <v/>
      </c>
      <c r="R10" s="136">
        <f>IF($F10="","",IFERROR(INDEX(사건마스터!$AO$5:$AO$64,MATCH($F10,사건마스터!$A$5:$A$64,0)),""))</f>
        <v/>
      </c>
      <c r="S10" s="136">
        <f>IF($F10="","",IFERROR(INDEX(사건마스터!$AP$5:$AP$64,MATCH($F10,사건마스터!$A$5:$A$64,0)),""))</f>
        <v/>
      </c>
      <c r="T10" s="136">
        <f>IF($F10="","",IFERROR(INDEX(사건마스터!$AQ$5:$AQ$64,MATCH($F10,사건마스터!$A$5:$A$64,0)),""))</f>
        <v/>
      </c>
      <c r="U10" s="136">
        <f>IF($F10="","",IFERROR(INDEX(사건마스터!$AR$5:$AR$64,MATCH($F10,사건마스터!$A$5:$A$64,0)),""))</f>
        <v/>
      </c>
      <c r="V10" s="136">
        <f>IF($F10="","",IFERROR(INDEX(사건마스터!$AS$5:$AS$64,MATCH($F10,사건마스터!$A$5:$A$64,0)),""))</f>
        <v/>
      </c>
      <c r="W10" s="136">
        <f>IF($F10="","",IFERROR(INDEX(사건마스터!$AT$5:$AT$64,MATCH($F10,사건마스터!$A$5:$A$64,0)),""))</f>
        <v/>
      </c>
      <c r="X10" s="136">
        <f>IF($F10="","",IFERROR(INDEX(사건마스터!$AU$5:$AU$64,MATCH($F10,사건마스터!$A$5:$A$64,0)),""))</f>
        <v/>
      </c>
      <c r="Y10" s="136">
        <f>IF($F10="","",IFERROR(INDEX(사건마스터!$AV$5:$AV$64,MATCH($F10,사건마스터!$A$5:$A$64,0)),""))</f>
        <v/>
      </c>
      <c r="Z10" s="118">
        <f>IF(COUNTBLANK($J10:$Y10)=16,"",16-COUNTBLANK($J10:$Y10))</f>
        <v/>
      </c>
      <c r="AA10" s="33">
        <f>IF($J10="",MID($AX10,3,255),$J10&amp;$AX10)</f>
        <v/>
      </c>
      <c r="AB10" s="130">
        <f>IF($J10="","",IFERROR(INDEX(코드설정!$D$5:$D$24,MATCH($J10,코드설정!$C$5:$C$24,0)),""))</f>
        <v/>
      </c>
      <c r="AC10" s="36" t="n"/>
      <c r="AD10" s="37" t="n"/>
      <c r="AE10" s="38" t="n"/>
      <c r="AF10" s="118">
        <f>IF(OR($B10="",$C10=""),"",$C10-$B10+1)</f>
        <v/>
      </c>
      <c r="AG10" s="74" t="n"/>
      <c r="AH10" s="36" t="n"/>
      <c r="AJ10">
        <f>IF($K10="","",", "&amp;$K10)</f>
        <v/>
      </c>
      <c r="AK10">
        <f>AJ10&amp;IF($L10="","",", "&amp;$L10)</f>
        <v/>
      </c>
      <c r="AL10">
        <f>AK10&amp;IF($M10="","",", "&amp;$M10)</f>
        <v/>
      </c>
      <c r="AM10">
        <f>AL10&amp;IF($N10="","",", "&amp;$N10)</f>
        <v/>
      </c>
      <c r="AN10">
        <f>AM10&amp;IF($O10="","",", "&amp;$O10)</f>
        <v/>
      </c>
      <c r="AO10">
        <f>AN10&amp;IF($P10="","",", "&amp;$P10)</f>
        <v/>
      </c>
      <c r="AP10">
        <f>AO10&amp;IF($Q10="","",", "&amp;$Q10)</f>
        <v/>
      </c>
      <c r="AQ10">
        <f>AP10&amp;IF($R10="","",", "&amp;$R10)</f>
        <v/>
      </c>
      <c r="AR10">
        <f>AQ10&amp;IF($S10="","",", "&amp;$S10)</f>
        <v/>
      </c>
      <c r="AS10">
        <f>AR10&amp;IF($T10="","",", "&amp;$T10)</f>
        <v/>
      </c>
      <c r="AT10">
        <f>AS10&amp;IF($U10="","",", "&amp;$U10)</f>
        <v/>
      </c>
      <c r="AU10">
        <f>AT10&amp;IF($V10="","",", "&amp;$V10)</f>
        <v/>
      </c>
      <c r="AV10">
        <f>AU10&amp;IF($W10="","",", "&amp;$W10)</f>
        <v/>
      </c>
      <c r="AW10">
        <f>AV10&amp;IF($X10="","",", "&amp;$X10)</f>
        <v/>
      </c>
      <c r="AX10">
        <f>AW10&amp;IF($Y10="","",", "&amp;$Y10)</f>
        <v/>
      </c>
    </row>
    <row r="11">
      <c r="A11" s="118">
        <f>IF($B11="","",COUNT($B$5:$B11))</f>
        <v/>
      </c>
      <c r="B11" s="80" t="n"/>
      <c r="C11" s="80" t="n"/>
      <c r="D11" s="74" t="n"/>
      <c r="E11" s="74" t="n"/>
      <c r="F11" s="74" t="n"/>
      <c r="G11" s="118">
        <f>IF($F11="","",COUNTIF($F$5:$F11,$F11))</f>
        <v/>
      </c>
      <c r="H11" s="33">
        <f>IF($F11="","",IFERROR(INDEX(사건마스터!$B$5:$B$64,MATCH($F11,사건마스터!$A$5:$A$64,0)),""))</f>
        <v/>
      </c>
      <c r="I11" s="130">
        <f>IF($F11="","",IFERROR(INDEX(사건마스터!$C$5:$C$64,MATCH($F11,사건마스터!$A$5:$A$64,0)),""))</f>
        <v/>
      </c>
      <c r="J11" s="136">
        <f>IF($F11="","",IFERROR(INDEX(사건마스터!$H$5:$H$64,MATCH($F11,사건마스터!$A$5:$A$64,0)),""))</f>
        <v/>
      </c>
      <c r="K11" s="136">
        <f>IF($F11="","",IFERROR(INDEX(사건마스터!$AH$5:$AH$64,MATCH($F11,사건마스터!$A$5:$A$64,0)),""))</f>
        <v/>
      </c>
      <c r="L11" s="136">
        <f>IF($F11="","",IFERROR(INDEX(사건마스터!$AI$5:$AI$64,MATCH($F11,사건마스터!$A$5:$A$64,0)),""))</f>
        <v/>
      </c>
      <c r="M11" s="136">
        <f>IF($F11="","",IFERROR(INDEX(사건마스터!$AJ$5:$AJ$64,MATCH($F11,사건마스터!$A$5:$A$64,0)),""))</f>
        <v/>
      </c>
      <c r="N11" s="136">
        <f>IF($F11="","",IFERROR(INDEX(사건마스터!$AK$5:$AK$64,MATCH($F11,사건마스터!$A$5:$A$64,0)),""))</f>
        <v/>
      </c>
      <c r="O11" s="136">
        <f>IF($F11="","",IFERROR(INDEX(사건마스터!$AL$5:$AL$64,MATCH($F11,사건마스터!$A$5:$A$64,0)),""))</f>
        <v/>
      </c>
      <c r="P11" s="136">
        <f>IF($F11="","",IFERROR(INDEX(사건마스터!$AM$5:$AM$64,MATCH($F11,사건마스터!$A$5:$A$64,0)),""))</f>
        <v/>
      </c>
      <c r="Q11" s="136">
        <f>IF($F11="","",IFERROR(INDEX(사건마스터!$AN$5:$AN$64,MATCH($F11,사건마스터!$A$5:$A$64,0)),""))</f>
        <v/>
      </c>
      <c r="R11" s="136">
        <f>IF($F11="","",IFERROR(INDEX(사건마스터!$AO$5:$AO$64,MATCH($F11,사건마스터!$A$5:$A$64,0)),""))</f>
        <v/>
      </c>
      <c r="S11" s="136">
        <f>IF($F11="","",IFERROR(INDEX(사건마스터!$AP$5:$AP$64,MATCH($F11,사건마스터!$A$5:$A$64,0)),""))</f>
        <v/>
      </c>
      <c r="T11" s="136">
        <f>IF($F11="","",IFERROR(INDEX(사건마스터!$AQ$5:$AQ$64,MATCH($F11,사건마스터!$A$5:$A$64,0)),""))</f>
        <v/>
      </c>
      <c r="U11" s="136">
        <f>IF($F11="","",IFERROR(INDEX(사건마스터!$AR$5:$AR$64,MATCH($F11,사건마스터!$A$5:$A$64,0)),""))</f>
        <v/>
      </c>
      <c r="V11" s="136">
        <f>IF($F11="","",IFERROR(INDEX(사건마스터!$AS$5:$AS$64,MATCH($F11,사건마스터!$A$5:$A$64,0)),""))</f>
        <v/>
      </c>
      <c r="W11" s="136">
        <f>IF($F11="","",IFERROR(INDEX(사건마스터!$AT$5:$AT$64,MATCH($F11,사건마스터!$A$5:$A$64,0)),""))</f>
        <v/>
      </c>
      <c r="X11" s="136">
        <f>IF($F11="","",IFERROR(INDEX(사건마스터!$AU$5:$AU$64,MATCH($F11,사건마스터!$A$5:$A$64,0)),""))</f>
        <v/>
      </c>
      <c r="Y11" s="136">
        <f>IF($F11="","",IFERROR(INDEX(사건마스터!$AV$5:$AV$64,MATCH($F11,사건마스터!$A$5:$A$64,0)),""))</f>
        <v/>
      </c>
      <c r="Z11" s="118">
        <f>IF(COUNTBLANK($J11:$Y11)=16,"",16-COUNTBLANK($J11:$Y11))</f>
        <v/>
      </c>
      <c r="AA11" s="33">
        <f>IF($J11="",MID($AX11,3,255),$J11&amp;$AX11)</f>
        <v/>
      </c>
      <c r="AB11" s="130">
        <f>IF($J11="","",IFERROR(INDEX(코드설정!$D$5:$D$24,MATCH($J11,코드설정!$C$5:$C$24,0)),""))</f>
        <v/>
      </c>
      <c r="AC11" s="36" t="n"/>
      <c r="AD11" s="37" t="n"/>
      <c r="AE11" s="38" t="n"/>
      <c r="AF11" s="118">
        <f>IF(OR($B11="",$C11=""),"",$C11-$B11+1)</f>
        <v/>
      </c>
      <c r="AG11" s="74" t="n"/>
      <c r="AH11" s="36" t="n"/>
      <c r="AJ11">
        <f>IF($K11="","",", "&amp;$K11)</f>
        <v/>
      </c>
      <c r="AK11">
        <f>AJ11&amp;IF($L11="","",", "&amp;$L11)</f>
        <v/>
      </c>
      <c r="AL11">
        <f>AK11&amp;IF($M11="","",", "&amp;$M11)</f>
        <v/>
      </c>
      <c r="AM11">
        <f>AL11&amp;IF($N11="","",", "&amp;$N11)</f>
        <v/>
      </c>
      <c r="AN11">
        <f>AM11&amp;IF($O11="","",", "&amp;$O11)</f>
        <v/>
      </c>
      <c r="AO11">
        <f>AN11&amp;IF($P11="","",", "&amp;$P11)</f>
        <v/>
      </c>
      <c r="AP11">
        <f>AO11&amp;IF($Q11="","",", "&amp;$Q11)</f>
        <v/>
      </c>
      <c r="AQ11">
        <f>AP11&amp;IF($R11="","",", "&amp;$R11)</f>
        <v/>
      </c>
      <c r="AR11">
        <f>AQ11&amp;IF($S11="","",", "&amp;$S11)</f>
        <v/>
      </c>
      <c r="AS11">
        <f>AR11&amp;IF($T11="","",", "&amp;$T11)</f>
        <v/>
      </c>
      <c r="AT11">
        <f>AS11&amp;IF($U11="","",", "&amp;$U11)</f>
        <v/>
      </c>
      <c r="AU11">
        <f>AT11&amp;IF($V11="","",", "&amp;$V11)</f>
        <v/>
      </c>
      <c r="AV11">
        <f>AU11&amp;IF($W11="","",", "&amp;$W11)</f>
        <v/>
      </c>
      <c r="AW11">
        <f>AV11&amp;IF($X11="","",", "&amp;$X11)</f>
        <v/>
      </c>
      <c r="AX11">
        <f>AW11&amp;IF($Y11="","",", "&amp;$Y11)</f>
        <v/>
      </c>
    </row>
    <row r="12">
      <c r="A12" s="118">
        <f>IF($B12="","",COUNT($B$5:$B12))</f>
        <v/>
      </c>
      <c r="B12" s="80" t="n"/>
      <c r="C12" s="80" t="n"/>
      <c r="D12" s="74" t="n"/>
      <c r="E12" s="74" t="n"/>
      <c r="F12" s="74" t="n"/>
      <c r="G12" s="118">
        <f>IF($F12="","",COUNTIF($F$5:$F12,$F12))</f>
        <v/>
      </c>
      <c r="H12" s="33">
        <f>IF($F12="","",IFERROR(INDEX(사건마스터!$B$5:$B$64,MATCH($F12,사건마스터!$A$5:$A$64,0)),""))</f>
        <v/>
      </c>
      <c r="I12" s="130">
        <f>IF($F12="","",IFERROR(INDEX(사건마스터!$C$5:$C$64,MATCH($F12,사건마스터!$A$5:$A$64,0)),""))</f>
        <v/>
      </c>
      <c r="J12" s="136">
        <f>IF($F12="","",IFERROR(INDEX(사건마스터!$H$5:$H$64,MATCH($F12,사건마스터!$A$5:$A$64,0)),""))</f>
        <v/>
      </c>
      <c r="K12" s="136">
        <f>IF($F12="","",IFERROR(INDEX(사건마스터!$AH$5:$AH$64,MATCH($F12,사건마스터!$A$5:$A$64,0)),""))</f>
        <v/>
      </c>
      <c r="L12" s="136">
        <f>IF($F12="","",IFERROR(INDEX(사건마스터!$AI$5:$AI$64,MATCH($F12,사건마스터!$A$5:$A$64,0)),""))</f>
        <v/>
      </c>
      <c r="M12" s="136">
        <f>IF($F12="","",IFERROR(INDEX(사건마스터!$AJ$5:$AJ$64,MATCH($F12,사건마스터!$A$5:$A$64,0)),""))</f>
        <v/>
      </c>
      <c r="N12" s="136">
        <f>IF($F12="","",IFERROR(INDEX(사건마스터!$AK$5:$AK$64,MATCH($F12,사건마스터!$A$5:$A$64,0)),""))</f>
        <v/>
      </c>
      <c r="O12" s="136">
        <f>IF($F12="","",IFERROR(INDEX(사건마스터!$AL$5:$AL$64,MATCH($F12,사건마스터!$A$5:$A$64,0)),""))</f>
        <v/>
      </c>
      <c r="P12" s="136">
        <f>IF($F12="","",IFERROR(INDEX(사건마스터!$AM$5:$AM$64,MATCH($F12,사건마스터!$A$5:$A$64,0)),""))</f>
        <v/>
      </c>
      <c r="Q12" s="136">
        <f>IF($F12="","",IFERROR(INDEX(사건마스터!$AN$5:$AN$64,MATCH($F12,사건마스터!$A$5:$A$64,0)),""))</f>
        <v/>
      </c>
      <c r="R12" s="136">
        <f>IF($F12="","",IFERROR(INDEX(사건마스터!$AO$5:$AO$64,MATCH($F12,사건마스터!$A$5:$A$64,0)),""))</f>
        <v/>
      </c>
      <c r="S12" s="136">
        <f>IF($F12="","",IFERROR(INDEX(사건마스터!$AP$5:$AP$64,MATCH($F12,사건마스터!$A$5:$A$64,0)),""))</f>
        <v/>
      </c>
      <c r="T12" s="136">
        <f>IF($F12="","",IFERROR(INDEX(사건마스터!$AQ$5:$AQ$64,MATCH($F12,사건마스터!$A$5:$A$64,0)),""))</f>
        <v/>
      </c>
      <c r="U12" s="136">
        <f>IF($F12="","",IFERROR(INDEX(사건마스터!$AR$5:$AR$64,MATCH($F12,사건마스터!$A$5:$A$64,0)),""))</f>
        <v/>
      </c>
      <c r="V12" s="136">
        <f>IF($F12="","",IFERROR(INDEX(사건마스터!$AS$5:$AS$64,MATCH($F12,사건마스터!$A$5:$A$64,0)),""))</f>
        <v/>
      </c>
      <c r="W12" s="136">
        <f>IF($F12="","",IFERROR(INDEX(사건마스터!$AT$5:$AT$64,MATCH($F12,사건마스터!$A$5:$A$64,0)),""))</f>
        <v/>
      </c>
      <c r="X12" s="136">
        <f>IF($F12="","",IFERROR(INDEX(사건마스터!$AU$5:$AU$64,MATCH($F12,사건마스터!$A$5:$A$64,0)),""))</f>
        <v/>
      </c>
      <c r="Y12" s="136">
        <f>IF($F12="","",IFERROR(INDEX(사건마스터!$AV$5:$AV$64,MATCH($F12,사건마스터!$A$5:$A$64,0)),""))</f>
        <v/>
      </c>
      <c r="Z12" s="118">
        <f>IF(COUNTBLANK($J12:$Y12)=16,"",16-COUNTBLANK($J12:$Y12))</f>
        <v/>
      </c>
      <c r="AA12" s="33">
        <f>IF($J12="",MID($AX12,3,255),$J12&amp;$AX12)</f>
        <v/>
      </c>
      <c r="AB12" s="130">
        <f>IF($J12="","",IFERROR(INDEX(코드설정!$D$5:$D$24,MATCH($J12,코드설정!$C$5:$C$24,0)),""))</f>
        <v/>
      </c>
      <c r="AC12" s="36" t="n"/>
      <c r="AD12" s="37" t="n"/>
      <c r="AE12" s="38" t="n"/>
      <c r="AF12" s="118">
        <f>IF(OR($B12="",$C12=""),"",$C12-$B12+1)</f>
        <v/>
      </c>
      <c r="AG12" s="74" t="n"/>
      <c r="AH12" s="36" t="n"/>
      <c r="AJ12">
        <f>IF($K12="","",", "&amp;$K12)</f>
        <v/>
      </c>
      <c r="AK12">
        <f>AJ12&amp;IF($L12="","",", "&amp;$L12)</f>
        <v/>
      </c>
      <c r="AL12">
        <f>AK12&amp;IF($M12="","",", "&amp;$M12)</f>
        <v/>
      </c>
      <c r="AM12">
        <f>AL12&amp;IF($N12="","",", "&amp;$N12)</f>
        <v/>
      </c>
      <c r="AN12">
        <f>AM12&amp;IF($O12="","",", "&amp;$O12)</f>
        <v/>
      </c>
      <c r="AO12">
        <f>AN12&amp;IF($P12="","",", "&amp;$P12)</f>
        <v/>
      </c>
      <c r="AP12">
        <f>AO12&amp;IF($Q12="","",", "&amp;$Q12)</f>
        <v/>
      </c>
      <c r="AQ12">
        <f>AP12&amp;IF($R12="","",", "&amp;$R12)</f>
        <v/>
      </c>
      <c r="AR12">
        <f>AQ12&amp;IF($S12="","",", "&amp;$S12)</f>
        <v/>
      </c>
      <c r="AS12">
        <f>AR12&amp;IF($T12="","",", "&amp;$T12)</f>
        <v/>
      </c>
      <c r="AT12">
        <f>AS12&amp;IF($U12="","",", "&amp;$U12)</f>
        <v/>
      </c>
      <c r="AU12">
        <f>AT12&amp;IF($V12="","",", "&amp;$V12)</f>
        <v/>
      </c>
      <c r="AV12">
        <f>AU12&amp;IF($W12="","",", "&amp;$W12)</f>
        <v/>
      </c>
      <c r="AW12">
        <f>AV12&amp;IF($X12="","",", "&amp;$X12)</f>
        <v/>
      </c>
      <c r="AX12">
        <f>AW12&amp;IF($Y12="","",", "&amp;$Y12)</f>
        <v/>
      </c>
    </row>
    <row r="13">
      <c r="A13" s="118">
        <f>IF($B13="","",COUNT($B$5:$B13))</f>
        <v/>
      </c>
      <c r="B13" s="80" t="n"/>
      <c r="C13" s="80" t="n"/>
      <c r="D13" s="74" t="n"/>
      <c r="E13" s="74" t="n"/>
      <c r="F13" s="74" t="n"/>
      <c r="G13" s="118">
        <f>IF($F13="","",COUNTIF($F$5:$F13,$F13))</f>
        <v/>
      </c>
      <c r="H13" s="33">
        <f>IF($F13="","",IFERROR(INDEX(사건마스터!$B$5:$B$64,MATCH($F13,사건마스터!$A$5:$A$64,0)),""))</f>
        <v/>
      </c>
      <c r="I13" s="130">
        <f>IF($F13="","",IFERROR(INDEX(사건마스터!$C$5:$C$64,MATCH($F13,사건마스터!$A$5:$A$64,0)),""))</f>
        <v/>
      </c>
      <c r="J13" s="136">
        <f>IF($F13="","",IFERROR(INDEX(사건마스터!$H$5:$H$64,MATCH($F13,사건마스터!$A$5:$A$64,0)),""))</f>
        <v/>
      </c>
      <c r="K13" s="136">
        <f>IF($F13="","",IFERROR(INDEX(사건마스터!$AH$5:$AH$64,MATCH($F13,사건마스터!$A$5:$A$64,0)),""))</f>
        <v/>
      </c>
      <c r="L13" s="136">
        <f>IF($F13="","",IFERROR(INDEX(사건마스터!$AI$5:$AI$64,MATCH($F13,사건마스터!$A$5:$A$64,0)),""))</f>
        <v/>
      </c>
      <c r="M13" s="136">
        <f>IF($F13="","",IFERROR(INDEX(사건마스터!$AJ$5:$AJ$64,MATCH($F13,사건마스터!$A$5:$A$64,0)),""))</f>
        <v/>
      </c>
      <c r="N13" s="136">
        <f>IF($F13="","",IFERROR(INDEX(사건마스터!$AK$5:$AK$64,MATCH($F13,사건마스터!$A$5:$A$64,0)),""))</f>
        <v/>
      </c>
      <c r="O13" s="136">
        <f>IF($F13="","",IFERROR(INDEX(사건마스터!$AL$5:$AL$64,MATCH($F13,사건마스터!$A$5:$A$64,0)),""))</f>
        <v/>
      </c>
      <c r="P13" s="136">
        <f>IF($F13="","",IFERROR(INDEX(사건마스터!$AM$5:$AM$64,MATCH($F13,사건마스터!$A$5:$A$64,0)),""))</f>
        <v/>
      </c>
      <c r="Q13" s="136">
        <f>IF($F13="","",IFERROR(INDEX(사건마스터!$AN$5:$AN$64,MATCH($F13,사건마스터!$A$5:$A$64,0)),""))</f>
        <v/>
      </c>
      <c r="R13" s="136">
        <f>IF($F13="","",IFERROR(INDEX(사건마스터!$AO$5:$AO$64,MATCH($F13,사건마스터!$A$5:$A$64,0)),""))</f>
        <v/>
      </c>
      <c r="S13" s="136">
        <f>IF($F13="","",IFERROR(INDEX(사건마스터!$AP$5:$AP$64,MATCH($F13,사건마스터!$A$5:$A$64,0)),""))</f>
        <v/>
      </c>
      <c r="T13" s="136">
        <f>IF($F13="","",IFERROR(INDEX(사건마스터!$AQ$5:$AQ$64,MATCH($F13,사건마스터!$A$5:$A$64,0)),""))</f>
        <v/>
      </c>
      <c r="U13" s="136">
        <f>IF($F13="","",IFERROR(INDEX(사건마스터!$AR$5:$AR$64,MATCH($F13,사건마스터!$A$5:$A$64,0)),""))</f>
        <v/>
      </c>
      <c r="V13" s="136">
        <f>IF($F13="","",IFERROR(INDEX(사건마스터!$AS$5:$AS$64,MATCH($F13,사건마스터!$A$5:$A$64,0)),""))</f>
        <v/>
      </c>
      <c r="W13" s="136">
        <f>IF($F13="","",IFERROR(INDEX(사건마스터!$AT$5:$AT$64,MATCH($F13,사건마스터!$A$5:$A$64,0)),""))</f>
        <v/>
      </c>
      <c r="X13" s="136">
        <f>IF($F13="","",IFERROR(INDEX(사건마스터!$AU$5:$AU$64,MATCH($F13,사건마스터!$A$5:$A$64,0)),""))</f>
        <v/>
      </c>
      <c r="Y13" s="136">
        <f>IF($F13="","",IFERROR(INDEX(사건마스터!$AV$5:$AV$64,MATCH($F13,사건마스터!$A$5:$A$64,0)),""))</f>
        <v/>
      </c>
      <c r="Z13" s="118">
        <f>IF(COUNTBLANK($J13:$Y13)=16,"",16-COUNTBLANK($J13:$Y13))</f>
        <v/>
      </c>
      <c r="AA13" s="33">
        <f>IF($J13="",MID($AX13,3,255),$J13&amp;$AX13)</f>
        <v/>
      </c>
      <c r="AB13" s="130">
        <f>IF($J13="","",IFERROR(INDEX(코드설정!$D$5:$D$24,MATCH($J13,코드설정!$C$5:$C$24,0)),""))</f>
        <v/>
      </c>
      <c r="AC13" s="36" t="n"/>
      <c r="AD13" s="37" t="n"/>
      <c r="AE13" s="38" t="n"/>
      <c r="AF13" s="118">
        <f>IF(OR($B13="",$C13=""),"",$C13-$B13+1)</f>
        <v/>
      </c>
      <c r="AG13" s="74" t="n"/>
      <c r="AH13" s="36" t="n"/>
      <c r="AJ13">
        <f>IF($K13="","",", "&amp;$K13)</f>
        <v/>
      </c>
      <c r="AK13">
        <f>AJ13&amp;IF($L13="","",", "&amp;$L13)</f>
        <v/>
      </c>
      <c r="AL13">
        <f>AK13&amp;IF($M13="","",", "&amp;$M13)</f>
        <v/>
      </c>
      <c r="AM13">
        <f>AL13&amp;IF($N13="","",", "&amp;$N13)</f>
        <v/>
      </c>
      <c r="AN13">
        <f>AM13&amp;IF($O13="","",", "&amp;$O13)</f>
        <v/>
      </c>
      <c r="AO13">
        <f>AN13&amp;IF($P13="","",", "&amp;$P13)</f>
        <v/>
      </c>
      <c r="AP13">
        <f>AO13&amp;IF($Q13="","",", "&amp;$Q13)</f>
        <v/>
      </c>
      <c r="AQ13">
        <f>AP13&amp;IF($R13="","",", "&amp;$R13)</f>
        <v/>
      </c>
      <c r="AR13">
        <f>AQ13&amp;IF($S13="","",", "&amp;$S13)</f>
        <v/>
      </c>
      <c r="AS13">
        <f>AR13&amp;IF($T13="","",", "&amp;$T13)</f>
        <v/>
      </c>
      <c r="AT13">
        <f>AS13&amp;IF($U13="","",", "&amp;$U13)</f>
        <v/>
      </c>
      <c r="AU13">
        <f>AT13&amp;IF($V13="","",", "&amp;$V13)</f>
        <v/>
      </c>
      <c r="AV13">
        <f>AU13&amp;IF($W13="","",", "&amp;$W13)</f>
        <v/>
      </c>
      <c r="AW13">
        <f>AV13&amp;IF($X13="","",", "&amp;$X13)</f>
        <v/>
      </c>
      <c r="AX13">
        <f>AW13&amp;IF($Y13="","",", "&amp;$Y13)</f>
        <v/>
      </c>
    </row>
    <row r="14">
      <c r="A14" s="118">
        <f>IF($B14="","",COUNT($B$5:$B14))</f>
        <v/>
      </c>
      <c r="B14" s="80" t="n"/>
      <c r="C14" s="80" t="n"/>
      <c r="D14" s="74" t="n"/>
      <c r="E14" s="74" t="n"/>
      <c r="F14" s="74" t="n"/>
      <c r="G14" s="118">
        <f>IF($F14="","",COUNTIF($F$5:$F14,$F14))</f>
        <v/>
      </c>
      <c r="H14" s="33">
        <f>IF($F14="","",IFERROR(INDEX(사건마스터!$B$5:$B$64,MATCH($F14,사건마스터!$A$5:$A$64,0)),""))</f>
        <v/>
      </c>
      <c r="I14" s="130">
        <f>IF($F14="","",IFERROR(INDEX(사건마스터!$C$5:$C$64,MATCH($F14,사건마스터!$A$5:$A$64,0)),""))</f>
        <v/>
      </c>
      <c r="J14" s="136">
        <f>IF($F14="","",IFERROR(INDEX(사건마스터!$H$5:$H$64,MATCH($F14,사건마스터!$A$5:$A$64,0)),""))</f>
        <v/>
      </c>
      <c r="K14" s="136">
        <f>IF($F14="","",IFERROR(INDEX(사건마스터!$AH$5:$AH$64,MATCH($F14,사건마스터!$A$5:$A$64,0)),""))</f>
        <v/>
      </c>
      <c r="L14" s="136">
        <f>IF($F14="","",IFERROR(INDEX(사건마스터!$AI$5:$AI$64,MATCH($F14,사건마스터!$A$5:$A$64,0)),""))</f>
        <v/>
      </c>
      <c r="M14" s="136">
        <f>IF($F14="","",IFERROR(INDEX(사건마스터!$AJ$5:$AJ$64,MATCH($F14,사건마스터!$A$5:$A$64,0)),""))</f>
        <v/>
      </c>
      <c r="N14" s="136">
        <f>IF($F14="","",IFERROR(INDEX(사건마스터!$AK$5:$AK$64,MATCH($F14,사건마스터!$A$5:$A$64,0)),""))</f>
        <v/>
      </c>
      <c r="O14" s="136">
        <f>IF($F14="","",IFERROR(INDEX(사건마스터!$AL$5:$AL$64,MATCH($F14,사건마스터!$A$5:$A$64,0)),""))</f>
        <v/>
      </c>
      <c r="P14" s="136">
        <f>IF($F14="","",IFERROR(INDEX(사건마스터!$AM$5:$AM$64,MATCH($F14,사건마스터!$A$5:$A$64,0)),""))</f>
        <v/>
      </c>
      <c r="Q14" s="136">
        <f>IF($F14="","",IFERROR(INDEX(사건마스터!$AN$5:$AN$64,MATCH($F14,사건마스터!$A$5:$A$64,0)),""))</f>
        <v/>
      </c>
      <c r="R14" s="136">
        <f>IF($F14="","",IFERROR(INDEX(사건마스터!$AO$5:$AO$64,MATCH($F14,사건마스터!$A$5:$A$64,0)),""))</f>
        <v/>
      </c>
      <c r="S14" s="136">
        <f>IF($F14="","",IFERROR(INDEX(사건마스터!$AP$5:$AP$64,MATCH($F14,사건마스터!$A$5:$A$64,0)),""))</f>
        <v/>
      </c>
      <c r="T14" s="136">
        <f>IF($F14="","",IFERROR(INDEX(사건마스터!$AQ$5:$AQ$64,MATCH($F14,사건마스터!$A$5:$A$64,0)),""))</f>
        <v/>
      </c>
      <c r="U14" s="136">
        <f>IF($F14="","",IFERROR(INDEX(사건마스터!$AR$5:$AR$64,MATCH($F14,사건마스터!$A$5:$A$64,0)),""))</f>
        <v/>
      </c>
      <c r="V14" s="136">
        <f>IF($F14="","",IFERROR(INDEX(사건마스터!$AS$5:$AS$64,MATCH($F14,사건마스터!$A$5:$A$64,0)),""))</f>
        <v/>
      </c>
      <c r="W14" s="136">
        <f>IF($F14="","",IFERROR(INDEX(사건마스터!$AT$5:$AT$64,MATCH($F14,사건마스터!$A$5:$A$64,0)),""))</f>
        <v/>
      </c>
      <c r="X14" s="136">
        <f>IF($F14="","",IFERROR(INDEX(사건마스터!$AU$5:$AU$64,MATCH($F14,사건마스터!$A$5:$A$64,0)),""))</f>
        <v/>
      </c>
      <c r="Y14" s="136">
        <f>IF($F14="","",IFERROR(INDEX(사건마스터!$AV$5:$AV$64,MATCH($F14,사건마스터!$A$5:$A$64,0)),""))</f>
        <v/>
      </c>
      <c r="Z14" s="118">
        <f>IF(COUNTBLANK($J14:$Y14)=16,"",16-COUNTBLANK($J14:$Y14))</f>
        <v/>
      </c>
      <c r="AA14" s="33">
        <f>IF($J14="",MID($AX14,3,255),$J14&amp;$AX14)</f>
        <v/>
      </c>
      <c r="AB14" s="130">
        <f>IF($J14="","",IFERROR(INDEX(코드설정!$D$5:$D$24,MATCH($J14,코드설정!$C$5:$C$24,0)),""))</f>
        <v/>
      </c>
      <c r="AC14" s="36" t="n"/>
      <c r="AD14" s="37" t="n"/>
      <c r="AE14" s="38" t="n"/>
      <c r="AF14" s="118">
        <f>IF(OR($B14="",$C14=""),"",$C14-$B14+1)</f>
        <v/>
      </c>
      <c r="AG14" s="74" t="n"/>
      <c r="AH14" s="36" t="n"/>
      <c r="AJ14">
        <f>IF($K14="","",", "&amp;$K14)</f>
        <v/>
      </c>
      <c r="AK14">
        <f>AJ14&amp;IF($L14="","",", "&amp;$L14)</f>
        <v/>
      </c>
      <c r="AL14">
        <f>AK14&amp;IF($M14="","",", "&amp;$M14)</f>
        <v/>
      </c>
      <c r="AM14">
        <f>AL14&amp;IF($N14="","",", "&amp;$N14)</f>
        <v/>
      </c>
      <c r="AN14">
        <f>AM14&amp;IF($O14="","",", "&amp;$O14)</f>
        <v/>
      </c>
      <c r="AO14">
        <f>AN14&amp;IF($P14="","",", "&amp;$P14)</f>
        <v/>
      </c>
      <c r="AP14">
        <f>AO14&amp;IF($Q14="","",", "&amp;$Q14)</f>
        <v/>
      </c>
      <c r="AQ14">
        <f>AP14&amp;IF($R14="","",", "&amp;$R14)</f>
        <v/>
      </c>
      <c r="AR14">
        <f>AQ14&amp;IF($S14="","",", "&amp;$S14)</f>
        <v/>
      </c>
      <c r="AS14">
        <f>AR14&amp;IF($T14="","",", "&amp;$T14)</f>
        <v/>
      </c>
      <c r="AT14">
        <f>AS14&amp;IF($U14="","",", "&amp;$U14)</f>
        <v/>
      </c>
      <c r="AU14">
        <f>AT14&amp;IF($V14="","",", "&amp;$V14)</f>
        <v/>
      </c>
      <c r="AV14">
        <f>AU14&amp;IF($W14="","",", "&amp;$W14)</f>
        <v/>
      </c>
      <c r="AW14">
        <f>AV14&amp;IF($X14="","",", "&amp;$X14)</f>
        <v/>
      </c>
      <c r="AX14">
        <f>AW14&amp;IF($Y14="","",", "&amp;$Y14)</f>
        <v/>
      </c>
    </row>
    <row r="15">
      <c r="A15" s="118">
        <f>IF($B15="","",COUNT($B$5:$B15))</f>
        <v/>
      </c>
      <c r="B15" s="80" t="n"/>
      <c r="C15" s="80" t="n"/>
      <c r="D15" s="74" t="n"/>
      <c r="E15" s="74" t="n"/>
      <c r="F15" s="74" t="n"/>
      <c r="G15" s="118">
        <f>IF($F15="","",COUNTIF($F$5:$F15,$F15))</f>
        <v/>
      </c>
      <c r="H15" s="33">
        <f>IF($F15="","",IFERROR(INDEX(사건마스터!$B$5:$B$64,MATCH($F15,사건마스터!$A$5:$A$64,0)),""))</f>
        <v/>
      </c>
      <c r="I15" s="130">
        <f>IF($F15="","",IFERROR(INDEX(사건마스터!$C$5:$C$64,MATCH($F15,사건마스터!$A$5:$A$64,0)),""))</f>
        <v/>
      </c>
      <c r="J15" s="136">
        <f>IF($F15="","",IFERROR(INDEX(사건마스터!$H$5:$H$64,MATCH($F15,사건마스터!$A$5:$A$64,0)),""))</f>
        <v/>
      </c>
      <c r="K15" s="136">
        <f>IF($F15="","",IFERROR(INDEX(사건마스터!$AH$5:$AH$64,MATCH($F15,사건마스터!$A$5:$A$64,0)),""))</f>
        <v/>
      </c>
      <c r="L15" s="136">
        <f>IF($F15="","",IFERROR(INDEX(사건마스터!$AI$5:$AI$64,MATCH($F15,사건마스터!$A$5:$A$64,0)),""))</f>
        <v/>
      </c>
      <c r="M15" s="136">
        <f>IF($F15="","",IFERROR(INDEX(사건마스터!$AJ$5:$AJ$64,MATCH($F15,사건마스터!$A$5:$A$64,0)),""))</f>
        <v/>
      </c>
      <c r="N15" s="136">
        <f>IF($F15="","",IFERROR(INDEX(사건마스터!$AK$5:$AK$64,MATCH($F15,사건마스터!$A$5:$A$64,0)),""))</f>
        <v/>
      </c>
      <c r="O15" s="136">
        <f>IF($F15="","",IFERROR(INDEX(사건마스터!$AL$5:$AL$64,MATCH($F15,사건마스터!$A$5:$A$64,0)),""))</f>
        <v/>
      </c>
      <c r="P15" s="136">
        <f>IF($F15="","",IFERROR(INDEX(사건마스터!$AM$5:$AM$64,MATCH($F15,사건마스터!$A$5:$A$64,0)),""))</f>
        <v/>
      </c>
      <c r="Q15" s="136">
        <f>IF($F15="","",IFERROR(INDEX(사건마스터!$AN$5:$AN$64,MATCH($F15,사건마스터!$A$5:$A$64,0)),""))</f>
        <v/>
      </c>
      <c r="R15" s="136">
        <f>IF($F15="","",IFERROR(INDEX(사건마스터!$AO$5:$AO$64,MATCH($F15,사건마스터!$A$5:$A$64,0)),""))</f>
        <v/>
      </c>
      <c r="S15" s="136">
        <f>IF($F15="","",IFERROR(INDEX(사건마스터!$AP$5:$AP$64,MATCH($F15,사건마스터!$A$5:$A$64,0)),""))</f>
        <v/>
      </c>
      <c r="T15" s="136">
        <f>IF($F15="","",IFERROR(INDEX(사건마스터!$AQ$5:$AQ$64,MATCH($F15,사건마스터!$A$5:$A$64,0)),""))</f>
        <v/>
      </c>
      <c r="U15" s="136">
        <f>IF($F15="","",IFERROR(INDEX(사건마스터!$AR$5:$AR$64,MATCH($F15,사건마스터!$A$5:$A$64,0)),""))</f>
        <v/>
      </c>
      <c r="V15" s="136">
        <f>IF($F15="","",IFERROR(INDEX(사건마스터!$AS$5:$AS$64,MATCH($F15,사건마스터!$A$5:$A$64,0)),""))</f>
        <v/>
      </c>
      <c r="W15" s="136">
        <f>IF($F15="","",IFERROR(INDEX(사건마스터!$AT$5:$AT$64,MATCH($F15,사건마스터!$A$5:$A$64,0)),""))</f>
        <v/>
      </c>
      <c r="X15" s="136">
        <f>IF($F15="","",IFERROR(INDEX(사건마스터!$AU$5:$AU$64,MATCH($F15,사건마스터!$A$5:$A$64,0)),""))</f>
        <v/>
      </c>
      <c r="Y15" s="136">
        <f>IF($F15="","",IFERROR(INDEX(사건마스터!$AV$5:$AV$64,MATCH($F15,사건마스터!$A$5:$A$64,0)),""))</f>
        <v/>
      </c>
      <c r="Z15" s="118">
        <f>IF(COUNTBLANK($J15:$Y15)=16,"",16-COUNTBLANK($J15:$Y15))</f>
        <v/>
      </c>
      <c r="AA15" s="33">
        <f>IF($J15="",MID($AX15,3,255),$J15&amp;$AX15)</f>
        <v/>
      </c>
      <c r="AB15" s="130">
        <f>IF($J15="","",IFERROR(INDEX(코드설정!$D$5:$D$24,MATCH($J15,코드설정!$C$5:$C$24,0)),""))</f>
        <v/>
      </c>
      <c r="AC15" s="36" t="n"/>
      <c r="AD15" s="37" t="n"/>
      <c r="AE15" s="38" t="n"/>
      <c r="AF15" s="118">
        <f>IF(OR($B15="",$C15=""),"",$C15-$B15+1)</f>
        <v/>
      </c>
      <c r="AG15" s="74" t="n"/>
      <c r="AH15" s="36" t="n"/>
      <c r="AJ15">
        <f>IF($K15="","",", "&amp;$K15)</f>
        <v/>
      </c>
      <c r="AK15">
        <f>AJ15&amp;IF($L15="","",", "&amp;$L15)</f>
        <v/>
      </c>
      <c r="AL15">
        <f>AK15&amp;IF($M15="","",", "&amp;$M15)</f>
        <v/>
      </c>
      <c r="AM15">
        <f>AL15&amp;IF($N15="","",", "&amp;$N15)</f>
        <v/>
      </c>
      <c r="AN15">
        <f>AM15&amp;IF($O15="","",", "&amp;$O15)</f>
        <v/>
      </c>
      <c r="AO15">
        <f>AN15&amp;IF($P15="","",", "&amp;$P15)</f>
        <v/>
      </c>
      <c r="AP15">
        <f>AO15&amp;IF($Q15="","",", "&amp;$Q15)</f>
        <v/>
      </c>
      <c r="AQ15">
        <f>AP15&amp;IF($R15="","",", "&amp;$R15)</f>
        <v/>
      </c>
      <c r="AR15">
        <f>AQ15&amp;IF($S15="","",", "&amp;$S15)</f>
        <v/>
      </c>
      <c r="AS15">
        <f>AR15&amp;IF($T15="","",", "&amp;$T15)</f>
        <v/>
      </c>
      <c r="AT15">
        <f>AS15&amp;IF($U15="","",", "&amp;$U15)</f>
        <v/>
      </c>
      <c r="AU15">
        <f>AT15&amp;IF($V15="","",", "&amp;$V15)</f>
        <v/>
      </c>
      <c r="AV15">
        <f>AU15&amp;IF($W15="","",", "&amp;$W15)</f>
        <v/>
      </c>
      <c r="AW15">
        <f>AV15&amp;IF($X15="","",", "&amp;$X15)</f>
        <v/>
      </c>
      <c r="AX15">
        <f>AW15&amp;IF($Y15="","",", "&amp;$Y15)</f>
        <v/>
      </c>
    </row>
    <row r="16">
      <c r="A16" s="118">
        <f>IF($B16="","",COUNT($B$5:$B16))</f>
        <v/>
      </c>
      <c r="B16" s="80" t="n"/>
      <c r="C16" s="80" t="n"/>
      <c r="D16" s="74" t="n"/>
      <c r="E16" s="74" t="n"/>
      <c r="F16" s="74" t="n"/>
      <c r="G16" s="118">
        <f>IF($F16="","",COUNTIF($F$5:$F16,$F16))</f>
        <v/>
      </c>
      <c r="H16" s="33">
        <f>IF($F16="","",IFERROR(INDEX(사건마스터!$B$5:$B$64,MATCH($F16,사건마스터!$A$5:$A$64,0)),""))</f>
        <v/>
      </c>
      <c r="I16" s="130">
        <f>IF($F16="","",IFERROR(INDEX(사건마스터!$C$5:$C$64,MATCH($F16,사건마스터!$A$5:$A$64,0)),""))</f>
        <v/>
      </c>
      <c r="J16" s="136">
        <f>IF($F16="","",IFERROR(INDEX(사건마스터!$H$5:$H$64,MATCH($F16,사건마스터!$A$5:$A$64,0)),""))</f>
        <v/>
      </c>
      <c r="K16" s="136">
        <f>IF($F16="","",IFERROR(INDEX(사건마스터!$AH$5:$AH$64,MATCH($F16,사건마스터!$A$5:$A$64,0)),""))</f>
        <v/>
      </c>
      <c r="L16" s="136">
        <f>IF($F16="","",IFERROR(INDEX(사건마스터!$AI$5:$AI$64,MATCH($F16,사건마스터!$A$5:$A$64,0)),""))</f>
        <v/>
      </c>
      <c r="M16" s="136">
        <f>IF($F16="","",IFERROR(INDEX(사건마스터!$AJ$5:$AJ$64,MATCH($F16,사건마스터!$A$5:$A$64,0)),""))</f>
        <v/>
      </c>
      <c r="N16" s="136">
        <f>IF($F16="","",IFERROR(INDEX(사건마스터!$AK$5:$AK$64,MATCH($F16,사건마스터!$A$5:$A$64,0)),""))</f>
        <v/>
      </c>
      <c r="O16" s="136">
        <f>IF($F16="","",IFERROR(INDEX(사건마스터!$AL$5:$AL$64,MATCH($F16,사건마스터!$A$5:$A$64,0)),""))</f>
        <v/>
      </c>
      <c r="P16" s="136">
        <f>IF($F16="","",IFERROR(INDEX(사건마스터!$AM$5:$AM$64,MATCH($F16,사건마스터!$A$5:$A$64,0)),""))</f>
        <v/>
      </c>
      <c r="Q16" s="136">
        <f>IF($F16="","",IFERROR(INDEX(사건마스터!$AN$5:$AN$64,MATCH($F16,사건마스터!$A$5:$A$64,0)),""))</f>
        <v/>
      </c>
      <c r="R16" s="136">
        <f>IF($F16="","",IFERROR(INDEX(사건마스터!$AO$5:$AO$64,MATCH($F16,사건마스터!$A$5:$A$64,0)),""))</f>
        <v/>
      </c>
      <c r="S16" s="136">
        <f>IF($F16="","",IFERROR(INDEX(사건마스터!$AP$5:$AP$64,MATCH($F16,사건마스터!$A$5:$A$64,0)),""))</f>
        <v/>
      </c>
      <c r="T16" s="136">
        <f>IF($F16="","",IFERROR(INDEX(사건마스터!$AQ$5:$AQ$64,MATCH($F16,사건마스터!$A$5:$A$64,0)),""))</f>
        <v/>
      </c>
      <c r="U16" s="136">
        <f>IF($F16="","",IFERROR(INDEX(사건마스터!$AR$5:$AR$64,MATCH($F16,사건마스터!$A$5:$A$64,0)),""))</f>
        <v/>
      </c>
      <c r="V16" s="136">
        <f>IF($F16="","",IFERROR(INDEX(사건마스터!$AS$5:$AS$64,MATCH($F16,사건마스터!$A$5:$A$64,0)),""))</f>
        <v/>
      </c>
      <c r="W16" s="136">
        <f>IF($F16="","",IFERROR(INDEX(사건마스터!$AT$5:$AT$64,MATCH($F16,사건마스터!$A$5:$A$64,0)),""))</f>
        <v/>
      </c>
      <c r="X16" s="136">
        <f>IF($F16="","",IFERROR(INDEX(사건마스터!$AU$5:$AU$64,MATCH($F16,사건마스터!$A$5:$A$64,0)),""))</f>
        <v/>
      </c>
      <c r="Y16" s="136">
        <f>IF($F16="","",IFERROR(INDEX(사건마스터!$AV$5:$AV$64,MATCH($F16,사건마스터!$A$5:$A$64,0)),""))</f>
        <v/>
      </c>
      <c r="Z16" s="118">
        <f>IF(COUNTBLANK($J16:$Y16)=16,"",16-COUNTBLANK($J16:$Y16))</f>
        <v/>
      </c>
      <c r="AA16" s="33">
        <f>IF($J16="",MID($AX16,3,255),$J16&amp;$AX16)</f>
        <v/>
      </c>
      <c r="AB16" s="130">
        <f>IF($J16="","",IFERROR(INDEX(코드설정!$D$5:$D$24,MATCH($J16,코드설정!$C$5:$C$24,0)),""))</f>
        <v/>
      </c>
      <c r="AC16" s="36" t="n"/>
      <c r="AD16" s="37" t="n"/>
      <c r="AE16" s="38" t="n"/>
      <c r="AF16" s="118">
        <f>IF(OR($B16="",$C16=""),"",$C16-$B16+1)</f>
        <v/>
      </c>
      <c r="AG16" s="74" t="n"/>
      <c r="AH16" s="36" t="n"/>
      <c r="AJ16">
        <f>IF($K16="","",", "&amp;$K16)</f>
        <v/>
      </c>
      <c r="AK16">
        <f>AJ16&amp;IF($L16="","",", "&amp;$L16)</f>
        <v/>
      </c>
      <c r="AL16">
        <f>AK16&amp;IF($M16="","",", "&amp;$M16)</f>
        <v/>
      </c>
      <c r="AM16">
        <f>AL16&amp;IF($N16="","",", "&amp;$N16)</f>
        <v/>
      </c>
      <c r="AN16">
        <f>AM16&amp;IF($O16="","",", "&amp;$O16)</f>
        <v/>
      </c>
      <c r="AO16">
        <f>AN16&amp;IF($P16="","",", "&amp;$P16)</f>
        <v/>
      </c>
      <c r="AP16">
        <f>AO16&amp;IF($Q16="","",", "&amp;$Q16)</f>
        <v/>
      </c>
      <c r="AQ16">
        <f>AP16&amp;IF($R16="","",", "&amp;$R16)</f>
        <v/>
      </c>
      <c r="AR16">
        <f>AQ16&amp;IF($S16="","",", "&amp;$S16)</f>
        <v/>
      </c>
      <c r="AS16">
        <f>AR16&amp;IF($T16="","",", "&amp;$T16)</f>
        <v/>
      </c>
      <c r="AT16">
        <f>AS16&amp;IF($U16="","",", "&amp;$U16)</f>
        <v/>
      </c>
      <c r="AU16">
        <f>AT16&amp;IF($V16="","",", "&amp;$V16)</f>
        <v/>
      </c>
      <c r="AV16">
        <f>AU16&amp;IF($W16="","",", "&amp;$W16)</f>
        <v/>
      </c>
      <c r="AW16">
        <f>AV16&amp;IF($X16="","",", "&amp;$X16)</f>
        <v/>
      </c>
      <c r="AX16">
        <f>AW16&amp;IF($Y16="","",", "&amp;$Y16)</f>
        <v/>
      </c>
    </row>
    <row r="17">
      <c r="A17" s="118">
        <f>IF($B17="","",COUNT($B$5:$B17))</f>
        <v/>
      </c>
      <c r="B17" s="80" t="n"/>
      <c r="C17" s="80" t="n"/>
      <c r="D17" s="74" t="n"/>
      <c r="E17" s="74" t="n"/>
      <c r="F17" s="74" t="n"/>
      <c r="G17" s="118">
        <f>IF($F17="","",COUNTIF($F$5:$F17,$F17))</f>
        <v/>
      </c>
      <c r="H17" s="33">
        <f>IF($F17="","",IFERROR(INDEX(사건마스터!$B$5:$B$64,MATCH($F17,사건마스터!$A$5:$A$64,0)),""))</f>
        <v/>
      </c>
      <c r="I17" s="130">
        <f>IF($F17="","",IFERROR(INDEX(사건마스터!$C$5:$C$64,MATCH($F17,사건마스터!$A$5:$A$64,0)),""))</f>
        <v/>
      </c>
      <c r="J17" s="136">
        <f>IF($F17="","",IFERROR(INDEX(사건마스터!$H$5:$H$64,MATCH($F17,사건마스터!$A$5:$A$64,0)),""))</f>
        <v/>
      </c>
      <c r="K17" s="136">
        <f>IF($F17="","",IFERROR(INDEX(사건마스터!$AH$5:$AH$64,MATCH($F17,사건마스터!$A$5:$A$64,0)),""))</f>
        <v/>
      </c>
      <c r="L17" s="136">
        <f>IF($F17="","",IFERROR(INDEX(사건마스터!$AI$5:$AI$64,MATCH($F17,사건마스터!$A$5:$A$64,0)),""))</f>
        <v/>
      </c>
      <c r="M17" s="136">
        <f>IF($F17="","",IFERROR(INDEX(사건마스터!$AJ$5:$AJ$64,MATCH($F17,사건마스터!$A$5:$A$64,0)),""))</f>
        <v/>
      </c>
      <c r="N17" s="136">
        <f>IF($F17="","",IFERROR(INDEX(사건마스터!$AK$5:$AK$64,MATCH($F17,사건마스터!$A$5:$A$64,0)),""))</f>
        <v/>
      </c>
      <c r="O17" s="136">
        <f>IF($F17="","",IFERROR(INDEX(사건마스터!$AL$5:$AL$64,MATCH($F17,사건마스터!$A$5:$A$64,0)),""))</f>
        <v/>
      </c>
      <c r="P17" s="136">
        <f>IF($F17="","",IFERROR(INDEX(사건마스터!$AM$5:$AM$64,MATCH($F17,사건마스터!$A$5:$A$64,0)),""))</f>
        <v/>
      </c>
      <c r="Q17" s="136">
        <f>IF($F17="","",IFERROR(INDEX(사건마스터!$AN$5:$AN$64,MATCH($F17,사건마스터!$A$5:$A$64,0)),""))</f>
        <v/>
      </c>
      <c r="R17" s="136">
        <f>IF($F17="","",IFERROR(INDEX(사건마스터!$AO$5:$AO$64,MATCH($F17,사건마스터!$A$5:$A$64,0)),""))</f>
        <v/>
      </c>
      <c r="S17" s="136">
        <f>IF($F17="","",IFERROR(INDEX(사건마스터!$AP$5:$AP$64,MATCH($F17,사건마스터!$A$5:$A$64,0)),""))</f>
        <v/>
      </c>
      <c r="T17" s="136">
        <f>IF($F17="","",IFERROR(INDEX(사건마스터!$AQ$5:$AQ$64,MATCH($F17,사건마스터!$A$5:$A$64,0)),""))</f>
        <v/>
      </c>
      <c r="U17" s="136">
        <f>IF($F17="","",IFERROR(INDEX(사건마스터!$AR$5:$AR$64,MATCH($F17,사건마스터!$A$5:$A$64,0)),""))</f>
        <v/>
      </c>
      <c r="V17" s="136">
        <f>IF($F17="","",IFERROR(INDEX(사건마스터!$AS$5:$AS$64,MATCH($F17,사건마스터!$A$5:$A$64,0)),""))</f>
        <v/>
      </c>
      <c r="W17" s="136">
        <f>IF($F17="","",IFERROR(INDEX(사건마스터!$AT$5:$AT$64,MATCH($F17,사건마스터!$A$5:$A$64,0)),""))</f>
        <v/>
      </c>
      <c r="X17" s="136">
        <f>IF($F17="","",IFERROR(INDEX(사건마스터!$AU$5:$AU$64,MATCH($F17,사건마스터!$A$5:$A$64,0)),""))</f>
        <v/>
      </c>
      <c r="Y17" s="136">
        <f>IF($F17="","",IFERROR(INDEX(사건마스터!$AV$5:$AV$64,MATCH($F17,사건마스터!$A$5:$A$64,0)),""))</f>
        <v/>
      </c>
      <c r="Z17" s="118">
        <f>IF(COUNTBLANK($J17:$Y17)=16,"",16-COUNTBLANK($J17:$Y17))</f>
        <v/>
      </c>
      <c r="AA17" s="33">
        <f>IF($J17="",MID($AX17,3,255),$J17&amp;$AX17)</f>
        <v/>
      </c>
      <c r="AB17" s="130">
        <f>IF($J17="","",IFERROR(INDEX(코드설정!$D$5:$D$24,MATCH($J17,코드설정!$C$5:$C$24,0)),""))</f>
        <v/>
      </c>
      <c r="AC17" s="36" t="n"/>
      <c r="AD17" s="37" t="n"/>
      <c r="AE17" s="38" t="n"/>
      <c r="AF17" s="118">
        <f>IF(OR($B17="",$C17=""),"",$C17-$B17+1)</f>
        <v/>
      </c>
      <c r="AG17" s="74" t="n"/>
      <c r="AH17" s="36" t="n"/>
      <c r="AJ17">
        <f>IF($K17="","",", "&amp;$K17)</f>
        <v/>
      </c>
      <c r="AK17">
        <f>AJ17&amp;IF($L17="","",", "&amp;$L17)</f>
        <v/>
      </c>
      <c r="AL17">
        <f>AK17&amp;IF($M17="","",", "&amp;$M17)</f>
        <v/>
      </c>
      <c r="AM17">
        <f>AL17&amp;IF($N17="","",", "&amp;$N17)</f>
        <v/>
      </c>
      <c r="AN17">
        <f>AM17&amp;IF($O17="","",", "&amp;$O17)</f>
        <v/>
      </c>
      <c r="AO17">
        <f>AN17&amp;IF($P17="","",", "&amp;$P17)</f>
        <v/>
      </c>
      <c r="AP17">
        <f>AO17&amp;IF($Q17="","",", "&amp;$Q17)</f>
        <v/>
      </c>
      <c r="AQ17">
        <f>AP17&amp;IF($R17="","",", "&amp;$R17)</f>
        <v/>
      </c>
      <c r="AR17">
        <f>AQ17&amp;IF($S17="","",", "&amp;$S17)</f>
        <v/>
      </c>
      <c r="AS17">
        <f>AR17&amp;IF($T17="","",", "&amp;$T17)</f>
        <v/>
      </c>
      <c r="AT17">
        <f>AS17&amp;IF($U17="","",", "&amp;$U17)</f>
        <v/>
      </c>
      <c r="AU17">
        <f>AT17&amp;IF($V17="","",", "&amp;$V17)</f>
        <v/>
      </c>
      <c r="AV17">
        <f>AU17&amp;IF($W17="","",", "&amp;$W17)</f>
        <v/>
      </c>
      <c r="AW17">
        <f>AV17&amp;IF($X17="","",", "&amp;$X17)</f>
        <v/>
      </c>
      <c r="AX17">
        <f>AW17&amp;IF($Y17="","",", "&amp;$Y17)</f>
        <v/>
      </c>
    </row>
    <row r="18">
      <c r="A18" s="118">
        <f>IF($B18="","",COUNT($B$5:$B18))</f>
        <v/>
      </c>
      <c r="B18" s="80" t="n"/>
      <c r="C18" s="80" t="n"/>
      <c r="D18" s="74" t="n"/>
      <c r="E18" s="74" t="n"/>
      <c r="F18" s="74" t="n"/>
      <c r="G18" s="118">
        <f>IF($F18="","",COUNTIF($F$5:$F18,$F18))</f>
        <v/>
      </c>
      <c r="H18" s="33">
        <f>IF($F18="","",IFERROR(INDEX(사건마스터!$B$5:$B$64,MATCH($F18,사건마스터!$A$5:$A$64,0)),""))</f>
        <v/>
      </c>
      <c r="I18" s="130">
        <f>IF($F18="","",IFERROR(INDEX(사건마스터!$C$5:$C$64,MATCH($F18,사건마스터!$A$5:$A$64,0)),""))</f>
        <v/>
      </c>
      <c r="J18" s="136">
        <f>IF($F18="","",IFERROR(INDEX(사건마스터!$H$5:$H$64,MATCH($F18,사건마스터!$A$5:$A$64,0)),""))</f>
        <v/>
      </c>
      <c r="K18" s="136">
        <f>IF($F18="","",IFERROR(INDEX(사건마스터!$AH$5:$AH$64,MATCH($F18,사건마스터!$A$5:$A$64,0)),""))</f>
        <v/>
      </c>
      <c r="L18" s="136">
        <f>IF($F18="","",IFERROR(INDEX(사건마스터!$AI$5:$AI$64,MATCH($F18,사건마스터!$A$5:$A$64,0)),""))</f>
        <v/>
      </c>
      <c r="M18" s="136">
        <f>IF($F18="","",IFERROR(INDEX(사건마스터!$AJ$5:$AJ$64,MATCH($F18,사건마스터!$A$5:$A$64,0)),""))</f>
        <v/>
      </c>
      <c r="N18" s="136">
        <f>IF($F18="","",IFERROR(INDEX(사건마스터!$AK$5:$AK$64,MATCH($F18,사건마스터!$A$5:$A$64,0)),""))</f>
        <v/>
      </c>
      <c r="O18" s="136">
        <f>IF($F18="","",IFERROR(INDEX(사건마스터!$AL$5:$AL$64,MATCH($F18,사건마스터!$A$5:$A$64,0)),""))</f>
        <v/>
      </c>
      <c r="P18" s="136">
        <f>IF($F18="","",IFERROR(INDEX(사건마스터!$AM$5:$AM$64,MATCH($F18,사건마스터!$A$5:$A$64,0)),""))</f>
        <v/>
      </c>
      <c r="Q18" s="136">
        <f>IF($F18="","",IFERROR(INDEX(사건마스터!$AN$5:$AN$64,MATCH($F18,사건마스터!$A$5:$A$64,0)),""))</f>
        <v/>
      </c>
      <c r="R18" s="136">
        <f>IF($F18="","",IFERROR(INDEX(사건마스터!$AO$5:$AO$64,MATCH($F18,사건마스터!$A$5:$A$64,0)),""))</f>
        <v/>
      </c>
      <c r="S18" s="136">
        <f>IF($F18="","",IFERROR(INDEX(사건마스터!$AP$5:$AP$64,MATCH($F18,사건마스터!$A$5:$A$64,0)),""))</f>
        <v/>
      </c>
      <c r="T18" s="136">
        <f>IF($F18="","",IFERROR(INDEX(사건마스터!$AQ$5:$AQ$64,MATCH($F18,사건마스터!$A$5:$A$64,0)),""))</f>
        <v/>
      </c>
      <c r="U18" s="136">
        <f>IF($F18="","",IFERROR(INDEX(사건마스터!$AR$5:$AR$64,MATCH($F18,사건마스터!$A$5:$A$64,0)),""))</f>
        <v/>
      </c>
      <c r="V18" s="136">
        <f>IF($F18="","",IFERROR(INDEX(사건마스터!$AS$5:$AS$64,MATCH($F18,사건마스터!$A$5:$A$64,0)),""))</f>
        <v/>
      </c>
      <c r="W18" s="136">
        <f>IF($F18="","",IFERROR(INDEX(사건마스터!$AT$5:$AT$64,MATCH($F18,사건마스터!$A$5:$A$64,0)),""))</f>
        <v/>
      </c>
      <c r="X18" s="136">
        <f>IF($F18="","",IFERROR(INDEX(사건마스터!$AU$5:$AU$64,MATCH($F18,사건마스터!$A$5:$A$64,0)),""))</f>
        <v/>
      </c>
      <c r="Y18" s="136">
        <f>IF($F18="","",IFERROR(INDEX(사건마스터!$AV$5:$AV$64,MATCH($F18,사건마스터!$A$5:$A$64,0)),""))</f>
        <v/>
      </c>
      <c r="Z18" s="118">
        <f>IF(COUNTBLANK($J18:$Y18)=16,"",16-COUNTBLANK($J18:$Y18))</f>
        <v/>
      </c>
      <c r="AA18" s="33">
        <f>IF($J18="",MID($AX18,3,255),$J18&amp;$AX18)</f>
        <v/>
      </c>
      <c r="AB18" s="130">
        <f>IF($J18="","",IFERROR(INDEX(코드설정!$D$5:$D$24,MATCH($J18,코드설정!$C$5:$C$24,0)),""))</f>
        <v/>
      </c>
      <c r="AC18" s="36" t="n"/>
      <c r="AD18" s="37" t="n"/>
      <c r="AE18" s="38" t="n"/>
      <c r="AF18" s="118">
        <f>IF(OR($B18="",$C18=""),"",$C18-$B18+1)</f>
        <v/>
      </c>
      <c r="AG18" s="74" t="n"/>
      <c r="AH18" s="36" t="n"/>
      <c r="AJ18">
        <f>IF($K18="","",", "&amp;$K18)</f>
        <v/>
      </c>
      <c r="AK18">
        <f>AJ18&amp;IF($L18="","",", "&amp;$L18)</f>
        <v/>
      </c>
      <c r="AL18">
        <f>AK18&amp;IF($M18="","",", "&amp;$M18)</f>
        <v/>
      </c>
      <c r="AM18">
        <f>AL18&amp;IF($N18="","",", "&amp;$N18)</f>
        <v/>
      </c>
      <c r="AN18">
        <f>AM18&amp;IF($O18="","",", "&amp;$O18)</f>
        <v/>
      </c>
      <c r="AO18">
        <f>AN18&amp;IF($P18="","",", "&amp;$P18)</f>
        <v/>
      </c>
      <c r="AP18">
        <f>AO18&amp;IF($Q18="","",", "&amp;$Q18)</f>
        <v/>
      </c>
      <c r="AQ18">
        <f>AP18&amp;IF($R18="","",", "&amp;$R18)</f>
        <v/>
      </c>
      <c r="AR18">
        <f>AQ18&amp;IF($S18="","",", "&amp;$S18)</f>
        <v/>
      </c>
      <c r="AS18">
        <f>AR18&amp;IF($T18="","",", "&amp;$T18)</f>
        <v/>
      </c>
      <c r="AT18">
        <f>AS18&amp;IF($U18="","",", "&amp;$U18)</f>
        <v/>
      </c>
      <c r="AU18">
        <f>AT18&amp;IF($V18="","",", "&amp;$V18)</f>
        <v/>
      </c>
      <c r="AV18">
        <f>AU18&amp;IF($W18="","",", "&amp;$W18)</f>
        <v/>
      </c>
      <c r="AW18">
        <f>AV18&amp;IF($X18="","",", "&amp;$X18)</f>
        <v/>
      </c>
      <c r="AX18">
        <f>AW18&amp;IF($Y18="","",", "&amp;$Y18)</f>
        <v/>
      </c>
    </row>
    <row r="19">
      <c r="A19" s="118">
        <f>IF($B19="","",COUNT($B$5:$B19))</f>
        <v/>
      </c>
      <c r="B19" s="80" t="n"/>
      <c r="C19" s="80" t="n"/>
      <c r="D19" s="74" t="n"/>
      <c r="E19" s="74" t="n"/>
      <c r="F19" s="74" t="n"/>
      <c r="G19" s="118">
        <f>IF($F19="","",COUNTIF($F$5:$F19,$F19))</f>
        <v/>
      </c>
      <c r="H19" s="33">
        <f>IF($F19="","",IFERROR(INDEX(사건마스터!$B$5:$B$64,MATCH($F19,사건마스터!$A$5:$A$64,0)),""))</f>
        <v/>
      </c>
      <c r="I19" s="130">
        <f>IF($F19="","",IFERROR(INDEX(사건마스터!$C$5:$C$64,MATCH($F19,사건마스터!$A$5:$A$64,0)),""))</f>
        <v/>
      </c>
      <c r="J19" s="136">
        <f>IF($F19="","",IFERROR(INDEX(사건마스터!$H$5:$H$64,MATCH($F19,사건마스터!$A$5:$A$64,0)),""))</f>
        <v/>
      </c>
      <c r="K19" s="136">
        <f>IF($F19="","",IFERROR(INDEX(사건마스터!$AH$5:$AH$64,MATCH($F19,사건마스터!$A$5:$A$64,0)),""))</f>
        <v/>
      </c>
      <c r="L19" s="136">
        <f>IF($F19="","",IFERROR(INDEX(사건마스터!$AI$5:$AI$64,MATCH($F19,사건마스터!$A$5:$A$64,0)),""))</f>
        <v/>
      </c>
      <c r="M19" s="136">
        <f>IF($F19="","",IFERROR(INDEX(사건마스터!$AJ$5:$AJ$64,MATCH($F19,사건마스터!$A$5:$A$64,0)),""))</f>
        <v/>
      </c>
      <c r="N19" s="136">
        <f>IF($F19="","",IFERROR(INDEX(사건마스터!$AK$5:$AK$64,MATCH($F19,사건마스터!$A$5:$A$64,0)),""))</f>
        <v/>
      </c>
      <c r="O19" s="136">
        <f>IF($F19="","",IFERROR(INDEX(사건마스터!$AL$5:$AL$64,MATCH($F19,사건마스터!$A$5:$A$64,0)),""))</f>
        <v/>
      </c>
      <c r="P19" s="136">
        <f>IF($F19="","",IFERROR(INDEX(사건마스터!$AM$5:$AM$64,MATCH($F19,사건마스터!$A$5:$A$64,0)),""))</f>
        <v/>
      </c>
      <c r="Q19" s="136">
        <f>IF($F19="","",IFERROR(INDEX(사건마스터!$AN$5:$AN$64,MATCH($F19,사건마스터!$A$5:$A$64,0)),""))</f>
        <v/>
      </c>
      <c r="R19" s="136">
        <f>IF($F19="","",IFERROR(INDEX(사건마스터!$AO$5:$AO$64,MATCH($F19,사건마스터!$A$5:$A$64,0)),""))</f>
        <v/>
      </c>
      <c r="S19" s="136">
        <f>IF($F19="","",IFERROR(INDEX(사건마스터!$AP$5:$AP$64,MATCH($F19,사건마스터!$A$5:$A$64,0)),""))</f>
        <v/>
      </c>
      <c r="T19" s="136">
        <f>IF($F19="","",IFERROR(INDEX(사건마스터!$AQ$5:$AQ$64,MATCH($F19,사건마스터!$A$5:$A$64,0)),""))</f>
        <v/>
      </c>
      <c r="U19" s="136">
        <f>IF($F19="","",IFERROR(INDEX(사건마스터!$AR$5:$AR$64,MATCH($F19,사건마스터!$A$5:$A$64,0)),""))</f>
        <v/>
      </c>
      <c r="V19" s="136">
        <f>IF($F19="","",IFERROR(INDEX(사건마스터!$AS$5:$AS$64,MATCH($F19,사건마스터!$A$5:$A$64,0)),""))</f>
        <v/>
      </c>
      <c r="W19" s="136">
        <f>IF($F19="","",IFERROR(INDEX(사건마스터!$AT$5:$AT$64,MATCH($F19,사건마스터!$A$5:$A$64,0)),""))</f>
        <v/>
      </c>
      <c r="X19" s="136">
        <f>IF($F19="","",IFERROR(INDEX(사건마스터!$AU$5:$AU$64,MATCH($F19,사건마스터!$A$5:$A$64,0)),""))</f>
        <v/>
      </c>
      <c r="Y19" s="136">
        <f>IF($F19="","",IFERROR(INDEX(사건마스터!$AV$5:$AV$64,MATCH($F19,사건마스터!$A$5:$A$64,0)),""))</f>
        <v/>
      </c>
      <c r="Z19" s="118">
        <f>IF(COUNTBLANK($J19:$Y19)=16,"",16-COUNTBLANK($J19:$Y19))</f>
        <v/>
      </c>
      <c r="AA19" s="33">
        <f>IF($J19="",MID($AX19,3,255),$J19&amp;$AX19)</f>
        <v/>
      </c>
      <c r="AB19" s="130">
        <f>IF($J19="","",IFERROR(INDEX(코드설정!$D$5:$D$24,MATCH($J19,코드설정!$C$5:$C$24,0)),""))</f>
        <v/>
      </c>
      <c r="AC19" s="36" t="n"/>
      <c r="AD19" s="37" t="n"/>
      <c r="AE19" s="38" t="n"/>
      <c r="AF19" s="118">
        <f>IF(OR($B19="",$C19=""),"",$C19-$B19+1)</f>
        <v/>
      </c>
      <c r="AG19" s="74" t="n"/>
      <c r="AH19" s="36" t="n"/>
      <c r="AJ19">
        <f>IF($K19="","",", "&amp;$K19)</f>
        <v/>
      </c>
      <c r="AK19">
        <f>AJ19&amp;IF($L19="","",", "&amp;$L19)</f>
        <v/>
      </c>
      <c r="AL19">
        <f>AK19&amp;IF($M19="","",", "&amp;$M19)</f>
        <v/>
      </c>
      <c r="AM19">
        <f>AL19&amp;IF($N19="","",", "&amp;$N19)</f>
        <v/>
      </c>
      <c r="AN19">
        <f>AM19&amp;IF($O19="","",", "&amp;$O19)</f>
        <v/>
      </c>
      <c r="AO19">
        <f>AN19&amp;IF($P19="","",", "&amp;$P19)</f>
        <v/>
      </c>
      <c r="AP19">
        <f>AO19&amp;IF($Q19="","",", "&amp;$Q19)</f>
        <v/>
      </c>
      <c r="AQ19">
        <f>AP19&amp;IF($R19="","",", "&amp;$R19)</f>
        <v/>
      </c>
      <c r="AR19">
        <f>AQ19&amp;IF($S19="","",", "&amp;$S19)</f>
        <v/>
      </c>
      <c r="AS19">
        <f>AR19&amp;IF($T19="","",", "&amp;$T19)</f>
        <v/>
      </c>
      <c r="AT19">
        <f>AS19&amp;IF($U19="","",", "&amp;$U19)</f>
        <v/>
      </c>
      <c r="AU19">
        <f>AT19&amp;IF($V19="","",", "&amp;$V19)</f>
        <v/>
      </c>
      <c r="AV19">
        <f>AU19&amp;IF($W19="","",", "&amp;$W19)</f>
        <v/>
      </c>
      <c r="AW19">
        <f>AV19&amp;IF($X19="","",", "&amp;$X19)</f>
        <v/>
      </c>
      <c r="AX19">
        <f>AW19&amp;IF($Y19="","",", "&amp;$Y19)</f>
        <v/>
      </c>
    </row>
    <row r="20">
      <c r="A20" s="118">
        <f>IF($B20="","",COUNT($B$5:$B20))</f>
        <v/>
      </c>
      <c r="B20" s="80" t="n"/>
      <c r="C20" s="80" t="n"/>
      <c r="D20" s="74" t="n"/>
      <c r="E20" s="74" t="n"/>
      <c r="F20" s="74" t="n"/>
      <c r="G20" s="118">
        <f>IF($F20="","",COUNTIF($F$5:$F20,$F20))</f>
        <v/>
      </c>
      <c r="H20" s="33">
        <f>IF($F20="","",IFERROR(INDEX(사건마스터!$B$5:$B$64,MATCH($F20,사건마스터!$A$5:$A$64,0)),""))</f>
        <v/>
      </c>
      <c r="I20" s="130">
        <f>IF($F20="","",IFERROR(INDEX(사건마스터!$C$5:$C$64,MATCH($F20,사건마스터!$A$5:$A$64,0)),""))</f>
        <v/>
      </c>
      <c r="J20" s="136">
        <f>IF($F20="","",IFERROR(INDEX(사건마스터!$H$5:$H$64,MATCH($F20,사건마스터!$A$5:$A$64,0)),""))</f>
        <v/>
      </c>
      <c r="K20" s="136">
        <f>IF($F20="","",IFERROR(INDEX(사건마스터!$AH$5:$AH$64,MATCH($F20,사건마스터!$A$5:$A$64,0)),""))</f>
        <v/>
      </c>
      <c r="L20" s="136">
        <f>IF($F20="","",IFERROR(INDEX(사건마스터!$AI$5:$AI$64,MATCH($F20,사건마스터!$A$5:$A$64,0)),""))</f>
        <v/>
      </c>
      <c r="M20" s="136">
        <f>IF($F20="","",IFERROR(INDEX(사건마스터!$AJ$5:$AJ$64,MATCH($F20,사건마스터!$A$5:$A$64,0)),""))</f>
        <v/>
      </c>
      <c r="N20" s="136">
        <f>IF($F20="","",IFERROR(INDEX(사건마스터!$AK$5:$AK$64,MATCH($F20,사건마스터!$A$5:$A$64,0)),""))</f>
        <v/>
      </c>
      <c r="O20" s="136">
        <f>IF($F20="","",IFERROR(INDEX(사건마스터!$AL$5:$AL$64,MATCH($F20,사건마스터!$A$5:$A$64,0)),""))</f>
        <v/>
      </c>
      <c r="P20" s="136">
        <f>IF($F20="","",IFERROR(INDEX(사건마스터!$AM$5:$AM$64,MATCH($F20,사건마스터!$A$5:$A$64,0)),""))</f>
        <v/>
      </c>
      <c r="Q20" s="136">
        <f>IF($F20="","",IFERROR(INDEX(사건마스터!$AN$5:$AN$64,MATCH($F20,사건마스터!$A$5:$A$64,0)),""))</f>
        <v/>
      </c>
      <c r="R20" s="136">
        <f>IF($F20="","",IFERROR(INDEX(사건마스터!$AO$5:$AO$64,MATCH($F20,사건마스터!$A$5:$A$64,0)),""))</f>
        <v/>
      </c>
      <c r="S20" s="136">
        <f>IF($F20="","",IFERROR(INDEX(사건마스터!$AP$5:$AP$64,MATCH($F20,사건마스터!$A$5:$A$64,0)),""))</f>
        <v/>
      </c>
      <c r="T20" s="136">
        <f>IF($F20="","",IFERROR(INDEX(사건마스터!$AQ$5:$AQ$64,MATCH($F20,사건마스터!$A$5:$A$64,0)),""))</f>
        <v/>
      </c>
      <c r="U20" s="136">
        <f>IF($F20="","",IFERROR(INDEX(사건마스터!$AR$5:$AR$64,MATCH($F20,사건마스터!$A$5:$A$64,0)),""))</f>
        <v/>
      </c>
      <c r="V20" s="136">
        <f>IF($F20="","",IFERROR(INDEX(사건마스터!$AS$5:$AS$64,MATCH($F20,사건마스터!$A$5:$A$64,0)),""))</f>
        <v/>
      </c>
      <c r="W20" s="136">
        <f>IF($F20="","",IFERROR(INDEX(사건마스터!$AT$5:$AT$64,MATCH($F20,사건마스터!$A$5:$A$64,0)),""))</f>
        <v/>
      </c>
      <c r="X20" s="136">
        <f>IF($F20="","",IFERROR(INDEX(사건마스터!$AU$5:$AU$64,MATCH($F20,사건마스터!$A$5:$A$64,0)),""))</f>
        <v/>
      </c>
      <c r="Y20" s="136">
        <f>IF($F20="","",IFERROR(INDEX(사건마스터!$AV$5:$AV$64,MATCH($F20,사건마스터!$A$5:$A$64,0)),""))</f>
        <v/>
      </c>
      <c r="Z20" s="118">
        <f>IF(COUNTBLANK($J20:$Y20)=16,"",16-COUNTBLANK($J20:$Y20))</f>
        <v/>
      </c>
      <c r="AA20" s="33">
        <f>IF($J20="",MID($AX20,3,255),$J20&amp;$AX20)</f>
        <v/>
      </c>
      <c r="AB20" s="130">
        <f>IF($J20="","",IFERROR(INDEX(코드설정!$D$5:$D$24,MATCH($J20,코드설정!$C$5:$C$24,0)),""))</f>
        <v/>
      </c>
      <c r="AC20" s="36" t="n"/>
      <c r="AD20" s="37" t="n"/>
      <c r="AE20" s="38" t="n"/>
      <c r="AF20" s="118">
        <f>IF(OR($B20="",$C20=""),"",$C20-$B20+1)</f>
        <v/>
      </c>
      <c r="AG20" s="74" t="n"/>
      <c r="AH20" s="36" t="n"/>
      <c r="AJ20">
        <f>IF($K20="","",", "&amp;$K20)</f>
        <v/>
      </c>
      <c r="AK20">
        <f>AJ20&amp;IF($L20="","",", "&amp;$L20)</f>
        <v/>
      </c>
      <c r="AL20">
        <f>AK20&amp;IF($M20="","",", "&amp;$M20)</f>
        <v/>
      </c>
      <c r="AM20">
        <f>AL20&amp;IF($N20="","",", "&amp;$N20)</f>
        <v/>
      </c>
      <c r="AN20">
        <f>AM20&amp;IF($O20="","",", "&amp;$O20)</f>
        <v/>
      </c>
      <c r="AO20">
        <f>AN20&amp;IF($P20="","",", "&amp;$P20)</f>
        <v/>
      </c>
      <c r="AP20">
        <f>AO20&amp;IF($Q20="","",", "&amp;$Q20)</f>
        <v/>
      </c>
      <c r="AQ20">
        <f>AP20&amp;IF($R20="","",", "&amp;$R20)</f>
        <v/>
      </c>
      <c r="AR20">
        <f>AQ20&amp;IF($S20="","",", "&amp;$S20)</f>
        <v/>
      </c>
      <c r="AS20">
        <f>AR20&amp;IF($T20="","",", "&amp;$T20)</f>
        <v/>
      </c>
      <c r="AT20">
        <f>AS20&amp;IF($U20="","",", "&amp;$U20)</f>
        <v/>
      </c>
      <c r="AU20">
        <f>AT20&amp;IF($V20="","",", "&amp;$V20)</f>
        <v/>
      </c>
      <c r="AV20">
        <f>AU20&amp;IF($W20="","",", "&amp;$W20)</f>
        <v/>
      </c>
      <c r="AW20">
        <f>AV20&amp;IF($X20="","",", "&amp;$X20)</f>
        <v/>
      </c>
      <c r="AX20">
        <f>AW20&amp;IF($Y20="","",", "&amp;$Y20)</f>
        <v/>
      </c>
    </row>
    <row r="21">
      <c r="A21" s="118">
        <f>IF($B21="","",COUNT($B$5:$B21))</f>
        <v/>
      </c>
      <c r="B21" s="80" t="n"/>
      <c r="C21" s="80" t="n"/>
      <c r="D21" s="74" t="n"/>
      <c r="E21" s="74" t="n"/>
      <c r="F21" s="74" t="n"/>
      <c r="G21" s="118">
        <f>IF($F21="","",COUNTIF($F$5:$F21,$F21))</f>
        <v/>
      </c>
      <c r="H21" s="33">
        <f>IF($F21="","",IFERROR(INDEX(사건마스터!$B$5:$B$64,MATCH($F21,사건마스터!$A$5:$A$64,0)),""))</f>
        <v/>
      </c>
      <c r="I21" s="130">
        <f>IF($F21="","",IFERROR(INDEX(사건마스터!$C$5:$C$64,MATCH($F21,사건마스터!$A$5:$A$64,0)),""))</f>
        <v/>
      </c>
      <c r="J21" s="136">
        <f>IF($F21="","",IFERROR(INDEX(사건마스터!$H$5:$H$64,MATCH($F21,사건마스터!$A$5:$A$64,0)),""))</f>
        <v/>
      </c>
      <c r="K21" s="136">
        <f>IF($F21="","",IFERROR(INDEX(사건마스터!$AH$5:$AH$64,MATCH($F21,사건마스터!$A$5:$A$64,0)),""))</f>
        <v/>
      </c>
      <c r="L21" s="136">
        <f>IF($F21="","",IFERROR(INDEX(사건마스터!$AI$5:$AI$64,MATCH($F21,사건마스터!$A$5:$A$64,0)),""))</f>
        <v/>
      </c>
      <c r="M21" s="136">
        <f>IF($F21="","",IFERROR(INDEX(사건마스터!$AJ$5:$AJ$64,MATCH($F21,사건마스터!$A$5:$A$64,0)),""))</f>
        <v/>
      </c>
      <c r="N21" s="136">
        <f>IF($F21="","",IFERROR(INDEX(사건마스터!$AK$5:$AK$64,MATCH($F21,사건마스터!$A$5:$A$64,0)),""))</f>
        <v/>
      </c>
      <c r="O21" s="136">
        <f>IF($F21="","",IFERROR(INDEX(사건마스터!$AL$5:$AL$64,MATCH($F21,사건마스터!$A$5:$A$64,0)),""))</f>
        <v/>
      </c>
      <c r="P21" s="136">
        <f>IF($F21="","",IFERROR(INDEX(사건마스터!$AM$5:$AM$64,MATCH($F21,사건마스터!$A$5:$A$64,0)),""))</f>
        <v/>
      </c>
      <c r="Q21" s="136">
        <f>IF($F21="","",IFERROR(INDEX(사건마스터!$AN$5:$AN$64,MATCH($F21,사건마스터!$A$5:$A$64,0)),""))</f>
        <v/>
      </c>
      <c r="R21" s="136">
        <f>IF($F21="","",IFERROR(INDEX(사건마스터!$AO$5:$AO$64,MATCH($F21,사건마스터!$A$5:$A$64,0)),""))</f>
        <v/>
      </c>
      <c r="S21" s="136">
        <f>IF($F21="","",IFERROR(INDEX(사건마스터!$AP$5:$AP$64,MATCH($F21,사건마스터!$A$5:$A$64,0)),""))</f>
        <v/>
      </c>
      <c r="T21" s="136">
        <f>IF($F21="","",IFERROR(INDEX(사건마스터!$AQ$5:$AQ$64,MATCH($F21,사건마스터!$A$5:$A$64,0)),""))</f>
        <v/>
      </c>
      <c r="U21" s="136">
        <f>IF($F21="","",IFERROR(INDEX(사건마스터!$AR$5:$AR$64,MATCH($F21,사건마스터!$A$5:$A$64,0)),""))</f>
        <v/>
      </c>
      <c r="V21" s="136">
        <f>IF($F21="","",IFERROR(INDEX(사건마스터!$AS$5:$AS$64,MATCH($F21,사건마스터!$A$5:$A$64,0)),""))</f>
        <v/>
      </c>
      <c r="W21" s="136">
        <f>IF($F21="","",IFERROR(INDEX(사건마스터!$AT$5:$AT$64,MATCH($F21,사건마스터!$A$5:$A$64,0)),""))</f>
        <v/>
      </c>
      <c r="X21" s="136">
        <f>IF($F21="","",IFERROR(INDEX(사건마스터!$AU$5:$AU$64,MATCH($F21,사건마스터!$A$5:$A$64,0)),""))</f>
        <v/>
      </c>
      <c r="Y21" s="136">
        <f>IF($F21="","",IFERROR(INDEX(사건마스터!$AV$5:$AV$64,MATCH($F21,사건마스터!$A$5:$A$64,0)),""))</f>
        <v/>
      </c>
      <c r="Z21" s="118">
        <f>IF(COUNTBLANK($J21:$Y21)=16,"",16-COUNTBLANK($J21:$Y21))</f>
        <v/>
      </c>
      <c r="AA21" s="33">
        <f>IF($J21="",MID($AX21,3,255),$J21&amp;$AX21)</f>
        <v/>
      </c>
      <c r="AB21" s="130">
        <f>IF($J21="","",IFERROR(INDEX(코드설정!$D$5:$D$24,MATCH($J21,코드설정!$C$5:$C$24,0)),""))</f>
        <v/>
      </c>
      <c r="AC21" s="36" t="n"/>
      <c r="AD21" s="37" t="n"/>
      <c r="AE21" s="38" t="n"/>
      <c r="AF21" s="118">
        <f>IF(OR($B21="",$C21=""),"",$C21-$B21+1)</f>
        <v/>
      </c>
      <c r="AG21" s="74" t="n"/>
      <c r="AH21" s="36" t="n"/>
      <c r="AJ21">
        <f>IF($K21="","",", "&amp;$K21)</f>
        <v/>
      </c>
      <c r="AK21">
        <f>AJ21&amp;IF($L21="","",", "&amp;$L21)</f>
        <v/>
      </c>
      <c r="AL21">
        <f>AK21&amp;IF($M21="","",", "&amp;$M21)</f>
        <v/>
      </c>
      <c r="AM21">
        <f>AL21&amp;IF($N21="","",", "&amp;$N21)</f>
        <v/>
      </c>
      <c r="AN21">
        <f>AM21&amp;IF($O21="","",", "&amp;$O21)</f>
        <v/>
      </c>
      <c r="AO21">
        <f>AN21&amp;IF($P21="","",", "&amp;$P21)</f>
        <v/>
      </c>
      <c r="AP21">
        <f>AO21&amp;IF($Q21="","",", "&amp;$Q21)</f>
        <v/>
      </c>
      <c r="AQ21">
        <f>AP21&amp;IF($R21="","",", "&amp;$R21)</f>
        <v/>
      </c>
      <c r="AR21">
        <f>AQ21&amp;IF($S21="","",", "&amp;$S21)</f>
        <v/>
      </c>
      <c r="AS21">
        <f>AR21&amp;IF($T21="","",", "&amp;$T21)</f>
        <v/>
      </c>
      <c r="AT21">
        <f>AS21&amp;IF($U21="","",", "&amp;$U21)</f>
        <v/>
      </c>
      <c r="AU21">
        <f>AT21&amp;IF($V21="","",", "&amp;$V21)</f>
        <v/>
      </c>
      <c r="AV21">
        <f>AU21&amp;IF($W21="","",", "&amp;$W21)</f>
        <v/>
      </c>
      <c r="AW21">
        <f>AV21&amp;IF($X21="","",", "&amp;$X21)</f>
        <v/>
      </c>
      <c r="AX21">
        <f>AW21&amp;IF($Y21="","",", "&amp;$Y21)</f>
        <v/>
      </c>
    </row>
    <row r="22">
      <c r="A22" s="118">
        <f>IF($B22="","",COUNT($B$5:$B22))</f>
        <v/>
      </c>
      <c r="B22" s="80" t="n"/>
      <c r="C22" s="80" t="n"/>
      <c r="D22" s="74" t="n"/>
      <c r="E22" s="74" t="n"/>
      <c r="F22" s="74" t="n"/>
      <c r="G22" s="118">
        <f>IF($F22="","",COUNTIF($F$5:$F22,$F22))</f>
        <v/>
      </c>
      <c r="H22" s="33">
        <f>IF($F22="","",IFERROR(INDEX(사건마스터!$B$5:$B$64,MATCH($F22,사건마스터!$A$5:$A$64,0)),""))</f>
        <v/>
      </c>
      <c r="I22" s="130">
        <f>IF($F22="","",IFERROR(INDEX(사건마스터!$C$5:$C$64,MATCH($F22,사건마스터!$A$5:$A$64,0)),""))</f>
        <v/>
      </c>
      <c r="J22" s="136">
        <f>IF($F22="","",IFERROR(INDEX(사건마스터!$H$5:$H$64,MATCH($F22,사건마스터!$A$5:$A$64,0)),""))</f>
        <v/>
      </c>
      <c r="K22" s="136">
        <f>IF($F22="","",IFERROR(INDEX(사건마스터!$AH$5:$AH$64,MATCH($F22,사건마스터!$A$5:$A$64,0)),""))</f>
        <v/>
      </c>
      <c r="L22" s="136">
        <f>IF($F22="","",IFERROR(INDEX(사건마스터!$AI$5:$AI$64,MATCH($F22,사건마스터!$A$5:$A$64,0)),""))</f>
        <v/>
      </c>
      <c r="M22" s="136">
        <f>IF($F22="","",IFERROR(INDEX(사건마스터!$AJ$5:$AJ$64,MATCH($F22,사건마스터!$A$5:$A$64,0)),""))</f>
        <v/>
      </c>
      <c r="N22" s="136">
        <f>IF($F22="","",IFERROR(INDEX(사건마스터!$AK$5:$AK$64,MATCH($F22,사건마스터!$A$5:$A$64,0)),""))</f>
        <v/>
      </c>
      <c r="O22" s="136">
        <f>IF($F22="","",IFERROR(INDEX(사건마스터!$AL$5:$AL$64,MATCH($F22,사건마스터!$A$5:$A$64,0)),""))</f>
        <v/>
      </c>
      <c r="P22" s="136">
        <f>IF($F22="","",IFERROR(INDEX(사건마스터!$AM$5:$AM$64,MATCH($F22,사건마스터!$A$5:$A$64,0)),""))</f>
        <v/>
      </c>
      <c r="Q22" s="136">
        <f>IF($F22="","",IFERROR(INDEX(사건마스터!$AN$5:$AN$64,MATCH($F22,사건마스터!$A$5:$A$64,0)),""))</f>
        <v/>
      </c>
      <c r="R22" s="136">
        <f>IF($F22="","",IFERROR(INDEX(사건마스터!$AO$5:$AO$64,MATCH($F22,사건마스터!$A$5:$A$64,0)),""))</f>
        <v/>
      </c>
      <c r="S22" s="136">
        <f>IF($F22="","",IFERROR(INDEX(사건마스터!$AP$5:$AP$64,MATCH($F22,사건마스터!$A$5:$A$64,0)),""))</f>
        <v/>
      </c>
      <c r="T22" s="136">
        <f>IF($F22="","",IFERROR(INDEX(사건마스터!$AQ$5:$AQ$64,MATCH($F22,사건마스터!$A$5:$A$64,0)),""))</f>
        <v/>
      </c>
      <c r="U22" s="136">
        <f>IF($F22="","",IFERROR(INDEX(사건마스터!$AR$5:$AR$64,MATCH($F22,사건마스터!$A$5:$A$64,0)),""))</f>
        <v/>
      </c>
      <c r="V22" s="136">
        <f>IF($F22="","",IFERROR(INDEX(사건마스터!$AS$5:$AS$64,MATCH($F22,사건마스터!$A$5:$A$64,0)),""))</f>
        <v/>
      </c>
      <c r="W22" s="136">
        <f>IF($F22="","",IFERROR(INDEX(사건마스터!$AT$5:$AT$64,MATCH($F22,사건마스터!$A$5:$A$64,0)),""))</f>
        <v/>
      </c>
      <c r="X22" s="136">
        <f>IF($F22="","",IFERROR(INDEX(사건마스터!$AU$5:$AU$64,MATCH($F22,사건마스터!$A$5:$A$64,0)),""))</f>
        <v/>
      </c>
      <c r="Y22" s="136">
        <f>IF($F22="","",IFERROR(INDEX(사건마스터!$AV$5:$AV$64,MATCH($F22,사건마스터!$A$5:$A$64,0)),""))</f>
        <v/>
      </c>
      <c r="Z22" s="118">
        <f>IF(COUNTBLANK($J22:$Y22)=16,"",16-COUNTBLANK($J22:$Y22))</f>
        <v/>
      </c>
      <c r="AA22" s="33">
        <f>IF($J22="",MID($AX22,3,255),$J22&amp;$AX22)</f>
        <v/>
      </c>
      <c r="AB22" s="130">
        <f>IF($J22="","",IFERROR(INDEX(코드설정!$D$5:$D$24,MATCH($J22,코드설정!$C$5:$C$24,0)),""))</f>
        <v/>
      </c>
      <c r="AC22" s="36" t="n"/>
      <c r="AD22" s="37" t="n"/>
      <c r="AE22" s="38" t="n"/>
      <c r="AF22" s="118">
        <f>IF(OR($B22="",$C22=""),"",$C22-$B22+1)</f>
        <v/>
      </c>
      <c r="AG22" s="74" t="n"/>
      <c r="AH22" s="36" t="n"/>
      <c r="AJ22">
        <f>IF($K22="","",", "&amp;$K22)</f>
        <v/>
      </c>
      <c r="AK22">
        <f>AJ22&amp;IF($L22="","",", "&amp;$L22)</f>
        <v/>
      </c>
      <c r="AL22">
        <f>AK22&amp;IF($M22="","",", "&amp;$M22)</f>
        <v/>
      </c>
      <c r="AM22">
        <f>AL22&amp;IF($N22="","",", "&amp;$N22)</f>
        <v/>
      </c>
      <c r="AN22">
        <f>AM22&amp;IF($O22="","",", "&amp;$O22)</f>
        <v/>
      </c>
      <c r="AO22">
        <f>AN22&amp;IF($P22="","",", "&amp;$P22)</f>
        <v/>
      </c>
      <c r="AP22">
        <f>AO22&amp;IF($Q22="","",", "&amp;$Q22)</f>
        <v/>
      </c>
      <c r="AQ22">
        <f>AP22&amp;IF($R22="","",", "&amp;$R22)</f>
        <v/>
      </c>
      <c r="AR22">
        <f>AQ22&amp;IF($S22="","",", "&amp;$S22)</f>
        <v/>
      </c>
      <c r="AS22">
        <f>AR22&amp;IF($T22="","",", "&amp;$T22)</f>
        <v/>
      </c>
      <c r="AT22">
        <f>AS22&amp;IF($U22="","",", "&amp;$U22)</f>
        <v/>
      </c>
      <c r="AU22">
        <f>AT22&amp;IF($V22="","",", "&amp;$V22)</f>
        <v/>
      </c>
      <c r="AV22">
        <f>AU22&amp;IF($W22="","",", "&amp;$W22)</f>
        <v/>
      </c>
      <c r="AW22">
        <f>AV22&amp;IF($X22="","",", "&amp;$X22)</f>
        <v/>
      </c>
      <c r="AX22">
        <f>AW22&amp;IF($Y22="","",", "&amp;$Y22)</f>
        <v/>
      </c>
    </row>
    <row r="23">
      <c r="A23" s="118">
        <f>IF($B23="","",COUNT($B$5:$B23))</f>
        <v/>
      </c>
      <c r="B23" s="80" t="n"/>
      <c r="C23" s="80" t="n"/>
      <c r="D23" s="74" t="n"/>
      <c r="E23" s="74" t="n"/>
      <c r="F23" s="74" t="n"/>
      <c r="G23" s="118">
        <f>IF($F23="","",COUNTIF($F$5:$F23,$F23))</f>
        <v/>
      </c>
      <c r="H23" s="33">
        <f>IF($F23="","",IFERROR(INDEX(사건마스터!$B$5:$B$64,MATCH($F23,사건마스터!$A$5:$A$64,0)),""))</f>
        <v/>
      </c>
      <c r="I23" s="130">
        <f>IF($F23="","",IFERROR(INDEX(사건마스터!$C$5:$C$64,MATCH($F23,사건마스터!$A$5:$A$64,0)),""))</f>
        <v/>
      </c>
      <c r="J23" s="136">
        <f>IF($F23="","",IFERROR(INDEX(사건마스터!$H$5:$H$64,MATCH($F23,사건마스터!$A$5:$A$64,0)),""))</f>
        <v/>
      </c>
      <c r="K23" s="136">
        <f>IF($F23="","",IFERROR(INDEX(사건마스터!$AH$5:$AH$64,MATCH($F23,사건마스터!$A$5:$A$64,0)),""))</f>
        <v/>
      </c>
      <c r="L23" s="136">
        <f>IF($F23="","",IFERROR(INDEX(사건마스터!$AI$5:$AI$64,MATCH($F23,사건마스터!$A$5:$A$64,0)),""))</f>
        <v/>
      </c>
      <c r="M23" s="136">
        <f>IF($F23="","",IFERROR(INDEX(사건마스터!$AJ$5:$AJ$64,MATCH($F23,사건마스터!$A$5:$A$64,0)),""))</f>
        <v/>
      </c>
      <c r="N23" s="136">
        <f>IF($F23="","",IFERROR(INDEX(사건마스터!$AK$5:$AK$64,MATCH($F23,사건마스터!$A$5:$A$64,0)),""))</f>
        <v/>
      </c>
      <c r="O23" s="136">
        <f>IF($F23="","",IFERROR(INDEX(사건마스터!$AL$5:$AL$64,MATCH($F23,사건마스터!$A$5:$A$64,0)),""))</f>
        <v/>
      </c>
      <c r="P23" s="136">
        <f>IF($F23="","",IFERROR(INDEX(사건마스터!$AM$5:$AM$64,MATCH($F23,사건마스터!$A$5:$A$64,0)),""))</f>
        <v/>
      </c>
      <c r="Q23" s="136">
        <f>IF($F23="","",IFERROR(INDEX(사건마스터!$AN$5:$AN$64,MATCH($F23,사건마스터!$A$5:$A$64,0)),""))</f>
        <v/>
      </c>
      <c r="R23" s="136">
        <f>IF($F23="","",IFERROR(INDEX(사건마스터!$AO$5:$AO$64,MATCH($F23,사건마스터!$A$5:$A$64,0)),""))</f>
        <v/>
      </c>
      <c r="S23" s="136">
        <f>IF($F23="","",IFERROR(INDEX(사건마스터!$AP$5:$AP$64,MATCH($F23,사건마스터!$A$5:$A$64,0)),""))</f>
        <v/>
      </c>
      <c r="T23" s="136">
        <f>IF($F23="","",IFERROR(INDEX(사건마스터!$AQ$5:$AQ$64,MATCH($F23,사건마스터!$A$5:$A$64,0)),""))</f>
        <v/>
      </c>
      <c r="U23" s="136">
        <f>IF($F23="","",IFERROR(INDEX(사건마스터!$AR$5:$AR$64,MATCH($F23,사건마스터!$A$5:$A$64,0)),""))</f>
        <v/>
      </c>
      <c r="V23" s="136">
        <f>IF($F23="","",IFERROR(INDEX(사건마스터!$AS$5:$AS$64,MATCH($F23,사건마스터!$A$5:$A$64,0)),""))</f>
        <v/>
      </c>
      <c r="W23" s="136">
        <f>IF($F23="","",IFERROR(INDEX(사건마스터!$AT$5:$AT$64,MATCH($F23,사건마스터!$A$5:$A$64,0)),""))</f>
        <v/>
      </c>
      <c r="X23" s="136">
        <f>IF($F23="","",IFERROR(INDEX(사건마스터!$AU$5:$AU$64,MATCH($F23,사건마스터!$A$5:$A$64,0)),""))</f>
        <v/>
      </c>
      <c r="Y23" s="136">
        <f>IF($F23="","",IFERROR(INDEX(사건마스터!$AV$5:$AV$64,MATCH($F23,사건마스터!$A$5:$A$64,0)),""))</f>
        <v/>
      </c>
      <c r="Z23" s="118">
        <f>IF(COUNTBLANK($J23:$Y23)=16,"",16-COUNTBLANK($J23:$Y23))</f>
        <v/>
      </c>
      <c r="AA23" s="33">
        <f>IF($J23="",MID($AX23,3,255),$J23&amp;$AX23)</f>
        <v/>
      </c>
      <c r="AB23" s="130">
        <f>IF($J23="","",IFERROR(INDEX(코드설정!$D$5:$D$24,MATCH($J23,코드설정!$C$5:$C$24,0)),""))</f>
        <v/>
      </c>
      <c r="AC23" s="36" t="n"/>
      <c r="AD23" s="37" t="n"/>
      <c r="AE23" s="38" t="n"/>
      <c r="AF23" s="118">
        <f>IF(OR($B23="",$C23=""),"",$C23-$B23+1)</f>
        <v/>
      </c>
      <c r="AG23" s="74" t="n"/>
      <c r="AH23" s="36" t="n"/>
      <c r="AJ23">
        <f>IF($K23="","",", "&amp;$K23)</f>
        <v/>
      </c>
      <c r="AK23">
        <f>AJ23&amp;IF($L23="","",", "&amp;$L23)</f>
        <v/>
      </c>
      <c r="AL23">
        <f>AK23&amp;IF($M23="","",", "&amp;$M23)</f>
        <v/>
      </c>
      <c r="AM23">
        <f>AL23&amp;IF($N23="","",", "&amp;$N23)</f>
        <v/>
      </c>
      <c r="AN23">
        <f>AM23&amp;IF($O23="","",", "&amp;$O23)</f>
        <v/>
      </c>
      <c r="AO23">
        <f>AN23&amp;IF($P23="","",", "&amp;$P23)</f>
        <v/>
      </c>
      <c r="AP23">
        <f>AO23&amp;IF($Q23="","",", "&amp;$Q23)</f>
        <v/>
      </c>
      <c r="AQ23">
        <f>AP23&amp;IF($R23="","",", "&amp;$R23)</f>
        <v/>
      </c>
      <c r="AR23">
        <f>AQ23&amp;IF($S23="","",", "&amp;$S23)</f>
        <v/>
      </c>
      <c r="AS23">
        <f>AR23&amp;IF($T23="","",", "&amp;$T23)</f>
        <v/>
      </c>
      <c r="AT23">
        <f>AS23&amp;IF($U23="","",", "&amp;$U23)</f>
        <v/>
      </c>
      <c r="AU23">
        <f>AT23&amp;IF($V23="","",", "&amp;$V23)</f>
        <v/>
      </c>
      <c r="AV23">
        <f>AU23&amp;IF($W23="","",", "&amp;$W23)</f>
        <v/>
      </c>
      <c r="AW23">
        <f>AV23&amp;IF($X23="","",", "&amp;$X23)</f>
        <v/>
      </c>
      <c r="AX23">
        <f>AW23&amp;IF($Y23="","",", "&amp;$Y23)</f>
        <v/>
      </c>
    </row>
    <row r="24">
      <c r="A24" s="118">
        <f>IF($B24="","",COUNT($B$5:$B24))</f>
        <v/>
      </c>
      <c r="B24" s="80" t="n"/>
      <c r="C24" s="80" t="n"/>
      <c r="D24" s="74" t="n"/>
      <c r="E24" s="74" t="n"/>
      <c r="F24" s="74" t="n"/>
      <c r="G24" s="118">
        <f>IF($F24="","",COUNTIF($F$5:$F24,$F24))</f>
        <v/>
      </c>
      <c r="H24" s="33">
        <f>IF($F24="","",IFERROR(INDEX(사건마스터!$B$5:$B$64,MATCH($F24,사건마스터!$A$5:$A$64,0)),""))</f>
        <v/>
      </c>
      <c r="I24" s="130">
        <f>IF($F24="","",IFERROR(INDEX(사건마스터!$C$5:$C$64,MATCH($F24,사건마스터!$A$5:$A$64,0)),""))</f>
        <v/>
      </c>
      <c r="J24" s="136">
        <f>IF($F24="","",IFERROR(INDEX(사건마스터!$H$5:$H$64,MATCH($F24,사건마스터!$A$5:$A$64,0)),""))</f>
        <v/>
      </c>
      <c r="K24" s="136">
        <f>IF($F24="","",IFERROR(INDEX(사건마스터!$AH$5:$AH$64,MATCH($F24,사건마스터!$A$5:$A$64,0)),""))</f>
        <v/>
      </c>
      <c r="L24" s="136">
        <f>IF($F24="","",IFERROR(INDEX(사건마스터!$AI$5:$AI$64,MATCH($F24,사건마스터!$A$5:$A$64,0)),""))</f>
        <v/>
      </c>
      <c r="M24" s="136">
        <f>IF($F24="","",IFERROR(INDEX(사건마스터!$AJ$5:$AJ$64,MATCH($F24,사건마스터!$A$5:$A$64,0)),""))</f>
        <v/>
      </c>
      <c r="N24" s="136">
        <f>IF($F24="","",IFERROR(INDEX(사건마스터!$AK$5:$AK$64,MATCH($F24,사건마스터!$A$5:$A$64,0)),""))</f>
        <v/>
      </c>
      <c r="O24" s="136">
        <f>IF($F24="","",IFERROR(INDEX(사건마스터!$AL$5:$AL$64,MATCH($F24,사건마스터!$A$5:$A$64,0)),""))</f>
        <v/>
      </c>
      <c r="P24" s="136">
        <f>IF($F24="","",IFERROR(INDEX(사건마스터!$AM$5:$AM$64,MATCH($F24,사건마스터!$A$5:$A$64,0)),""))</f>
        <v/>
      </c>
      <c r="Q24" s="136">
        <f>IF($F24="","",IFERROR(INDEX(사건마스터!$AN$5:$AN$64,MATCH($F24,사건마스터!$A$5:$A$64,0)),""))</f>
        <v/>
      </c>
      <c r="R24" s="136">
        <f>IF($F24="","",IFERROR(INDEX(사건마스터!$AO$5:$AO$64,MATCH($F24,사건마스터!$A$5:$A$64,0)),""))</f>
        <v/>
      </c>
      <c r="S24" s="136">
        <f>IF($F24="","",IFERROR(INDEX(사건마스터!$AP$5:$AP$64,MATCH($F24,사건마스터!$A$5:$A$64,0)),""))</f>
        <v/>
      </c>
      <c r="T24" s="136">
        <f>IF($F24="","",IFERROR(INDEX(사건마스터!$AQ$5:$AQ$64,MATCH($F24,사건마스터!$A$5:$A$64,0)),""))</f>
        <v/>
      </c>
      <c r="U24" s="136">
        <f>IF($F24="","",IFERROR(INDEX(사건마스터!$AR$5:$AR$64,MATCH($F24,사건마스터!$A$5:$A$64,0)),""))</f>
        <v/>
      </c>
      <c r="V24" s="136">
        <f>IF($F24="","",IFERROR(INDEX(사건마스터!$AS$5:$AS$64,MATCH($F24,사건마스터!$A$5:$A$64,0)),""))</f>
        <v/>
      </c>
      <c r="W24" s="136">
        <f>IF($F24="","",IFERROR(INDEX(사건마스터!$AT$5:$AT$64,MATCH($F24,사건마스터!$A$5:$A$64,0)),""))</f>
        <v/>
      </c>
      <c r="X24" s="136">
        <f>IF($F24="","",IFERROR(INDEX(사건마스터!$AU$5:$AU$64,MATCH($F24,사건마스터!$A$5:$A$64,0)),""))</f>
        <v/>
      </c>
      <c r="Y24" s="136">
        <f>IF($F24="","",IFERROR(INDEX(사건마스터!$AV$5:$AV$64,MATCH($F24,사건마스터!$A$5:$A$64,0)),""))</f>
        <v/>
      </c>
      <c r="Z24" s="118">
        <f>IF(COUNTBLANK($J24:$Y24)=16,"",16-COUNTBLANK($J24:$Y24))</f>
        <v/>
      </c>
      <c r="AA24" s="33">
        <f>IF($J24="",MID($AX24,3,255),$J24&amp;$AX24)</f>
        <v/>
      </c>
      <c r="AB24" s="130">
        <f>IF($J24="","",IFERROR(INDEX(코드설정!$D$5:$D$24,MATCH($J24,코드설정!$C$5:$C$24,0)),""))</f>
        <v/>
      </c>
      <c r="AC24" s="36" t="n"/>
      <c r="AD24" s="37" t="n"/>
      <c r="AE24" s="38" t="n"/>
      <c r="AF24" s="118">
        <f>IF(OR($B24="",$C24=""),"",$C24-$B24+1)</f>
        <v/>
      </c>
      <c r="AG24" s="74" t="n"/>
      <c r="AH24" s="36" t="n"/>
      <c r="AJ24">
        <f>IF($K24="","",", "&amp;$K24)</f>
        <v/>
      </c>
      <c r="AK24">
        <f>AJ24&amp;IF($L24="","",", "&amp;$L24)</f>
        <v/>
      </c>
      <c r="AL24">
        <f>AK24&amp;IF($M24="","",", "&amp;$M24)</f>
        <v/>
      </c>
      <c r="AM24">
        <f>AL24&amp;IF($N24="","",", "&amp;$N24)</f>
        <v/>
      </c>
      <c r="AN24">
        <f>AM24&amp;IF($O24="","",", "&amp;$O24)</f>
        <v/>
      </c>
      <c r="AO24">
        <f>AN24&amp;IF($P24="","",", "&amp;$P24)</f>
        <v/>
      </c>
      <c r="AP24">
        <f>AO24&amp;IF($Q24="","",", "&amp;$Q24)</f>
        <v/>
      </c>
      <c r="AQ24">
        <f>AP24&amp;IF($R24="","",", "&amp;$R24)</f>
        <v/>
      </c>
      <c r="AR24">
        <f>AQ24&amp;IF($S24="","",", "&amp;$S24)</f>
        <v/>
      </c>
      <c r="AS24">
        <f>AR24&amp;IF($T24="","",", "&amp;$T24)</f>
        <v/>
      </c>
      <c r="AT24">
        <f>AS24&amp;IF($U24="","",", "&amp;$U24)</f>
        <v/>
      </c>
      <c r="AU24">
        <f>AT24&amp;IF($V24="","",", "&amp;$V24)</f>
        <v/>
      </c>
      <c r="AV24">
        <f>AU24&amp;IF($W24="","",", "&amp;$W24)</f>
        <v/>
      </c>
      <c r="AW24">
        <f>AV24&amp;IF($X24="","",", "&amp;$X24)</f>
        <v/>
      </c>
      <c r="AX24">
        <f>AW24&amp;IF($Y24="","",", "&amp;$Y24)</f>
        <v/>
      </c>
    </row>
    <row r="25">
      <c r="A25" s="118">
        <f>IF($B25="","",COUNT($B$5:$B25))</f>
        <v/>
      </c>
      <c r="B25" s="80" t="n"/>
      <c r="C25" s="80" t="n"/>
      <c r="D25" s="74" t="n"/>
      <c r="E25" s="74" t="n"/>
      <c r="F25" s="74" t="n"/>
      <c r="G25" s="118">
        <f>IF($F25="","",COUNTIF($F$5:$F25,$F25))</f>
        <v/>
      </c>
      <c r="H25" s="33">
        <f>IF($F25="","",IFERROR(INDEX(사건마스터!$B$5:$B$64,MATCH($F25,사건마스터!$A$5:$A$64,0)),""))</f>
        <v/>
      </c>
      <c r="I25" s="130">
        <f>IF($F25="","",IFERROR(INDEX(사건마스터!$C$5:$C$64,MATCH($F25,사건마스터!$A$5:$A$64,0)),""))</f>
        <v/>
      </c>
      <c r="J25" s="136">
        <f>IF($F25="","",IFERROR(INDEX(사건마스터!$H$5:$H$64,MATCH($F25,사건마스터!$A$5:$A$64,0)),""))</f>
        <v/>
      </c>
      <c r="K25" s="136">
        <f>IF($F25="","",IFERROR(INDEX(사건마스터!$AH$5:$AH$64,MATCH($F25,사건마스터!$A$5:$A$64,0)),""))</f>
        <v/>
      </c>
      <c r="L25" s="136">
        <f>IF($F25="","",IFERROR(INDEX(사건마스터!$AI$5:$AI$64,MATCH($F25,사건마스터!$A$5:$A$64,0)),""))</f>
        <v/>
      </c>
      <c r="M25" s="136">
        <f>IF($F25="","",IFERROR(INDEX(사건마스터!$AJ$5:$AJ$64,MATCH($F25,사건마스터!$A$5:$A$64,0)),""))</f>
        <v/>
      </c>
      <c r="N25" s="136">
        <f>IF($F25="","",IFERROR(INDEX(사건마스터!$AK$5:$AK$64,MATCH($F25,사건마스터!$A$5:$A$64,0)),""))</f>
        <v/>
      </c>
      <c r="O25" s="136">
        <f>IF($F25="","",IFERROR(INDEX(사건마스터!$AL$5:$AL$64,MATCH($F25,사건마스터!$A$5:$A$64,0)),""))</f>
        <v/>
      </c>
      <c r="P25" s="136">
        <f>IF($F25="","",IFERROR(INDEX(사건마스터!$AM$5:$AM$64,MATCH($F25,사건마스터!$A$5:$A$64,0)),""))</f>
        <v/>
      </c>
      <c r="Q25" s="136">
        <f>IF($F25="","",IFERROR(INDEX(사건마스터!$AN$5:$AN$64,MATCH($F25,사건마스터!$A$5:$A$64,0)),""))</f>
        <v/>
      </c>
      <c r="R25" s="136">
        <f>IF($F25="","",IFERROR(INDEX(사건마스터!$AO$5:$AO$64,MATCH($F25,사건마스터!$A$5:$A$64,0)),""))</f>
        <v/>
      </c>
      <c r="S25" s="136">
        <f>IF($F25="","",IFERROR(INDEX(사건마스터!$AP$5:$AP$64,MATCH($F25,사건마스터!$A$5:$A$64,0)),""))</f>
        <v/>
      </c>
      <c r="T25" s="136">
        <f>IF($F25="","",IFERROR(INDEX(사건마스터!$AQ$5:$AQ$64,MATCH($F25,사건마스터!$A$5:$A$64,0)),""))</f>
        <v/>
      </c>
      <c r="U25" s="136">
        <f>IF($F25="","",IFERROR(INDEX(사건마스터!$AR$5:$AR$64,MATCH($F25,사건마스터!$A$5:$A$64,0)),""))</f>
        <v/>
      </c>
      <c r="V25" s="136">
        <f>IF($F25="","",IFERROR(INDEX(사건마스터!$AS$5:$AS$64,MATCH($F25,사건마스터!$A$5:$A$64,0)),""))</f>
        <v/>
      </c>
      <c r="W25" s="136">
        <f>IF($F25="","",IFERROR(INDEX(사건마스터!$AT$5:$AT$64,MATCH($F25,사건마스터!$A$5:$A$64,0)),""))</f>
        <v/>
      </c>
      <c r="X25" s="136">
        <f>IF($F25="","",IFERROR(INDEX(사건마스터!$AU$5:$AU$64,MATCH($F25,사건마스터!$A$5:$A$64,0)),""))</f>
        <v/>
      </c>
      <c r="Y25" s="136">
        <f>IF($F25="","",IFERROR(INDEX(사건마스터!$AV$5:$AV$64,MATCH($F25,사건마스터!$A$5:$A$64,0)),""))</f>
        <v/>
      </c>
      <c r="Z25" s="118">
        <f>IF(COUNTBLANK($J25:$Y25)=16,"",16-COUNTBLANK($J25:$Y25))</f>
        <v/>
      </c>
      <c r="AA25" s="33">
        <f>IF($J25="",MID($AX25,3,255),$J25&amp;$AX25)</f>
        <v/>
      </c>
      <c r="AB25" s="130">
        <f>IF($J25="","",IFERROR(INDEX(코드설정!$D$5:$D$24,MATCH($J25,코드설정!$C$5:$C$24,0)),""))</f>
        <v/>
      </c>
      <c r="AC25" s="36" t="n"/>
      <c r="AD25" s="37" t="n"/>
      <c r="AE25" s="38" t="n"/>
      <c r="AF25" s="118">
        <f>IF(OR($B25="",$C25=""),"",$C25-$B25+1)</f>
        <v/>
      </c>
      <c r="AG25" s="74" t="n"/>
      <c r="AH25" s="36" t="n"/>
      <c r="AJ25">
        <f>IF($K25="","",", "&amp;$K25)</f>
        <v/>
      </c>
      <c r="AK25">
        <f>AJ25&amp;IF($L25="","",", "&amp;$L25)</f>
        <v/>
      </c>
      <c r="AL25">
        <f>AK25&amp;IF($M25="","",", "&amp;$M25)</f>
        <v/>
      </c>
      <c r="AM25">
        <f>AL25&amp;IF($N25="","",", "&amp;$N25)</f>
        <v/>
      </c>
      <c r="AN25">
        <f>AM25&amp;IF($O25="","",", "&amp;$O25)</f>
        <v/>
      </c>
      <c r="AO25">
        <f>AN25&amp;IF($P25="","",", "&amp;$P25)</f>
        <v/>
      </c>
      <c r="AP25">
        <f>AO25&amp;IF($Q25="","",", "&amp;$Q25)</f>
        <v/>
      </c>
      <c r="AQ25">
        <f>AP25&amp;IF($R25="","",", "&amp;$R25)</f>
        <v/>
      </c>
      <c r="AR25">
        <f>AQ25&amp;IF($S25="","",", "&amp;$S25)</f>
        <v/>
      </c>
      <c r="AS25">
        <f>AR25&amp;IF($T25="","",", "&amp;$T25)</f>
        <v/>
      </c>
      <c r="AT25">
        <f>AS25&amp;IF($U25="","",", "&amp;$U25)</f>
        <v/>
      </c>
      <c r="AU25">
        <f>AT25&amp;IF($V25="","",", "&amp;$V25)</f>
        <v/>
      </c>
      <c r="AV25">
        <f>AU25&amp;IF($W25="","",", "&amp;$W25)</f>
        <v/>
      </c>
      <c r="AW25">
        <f>AV25&amp;IF($X25="","",", "&amp;$X25)</f>
        <v/>
      </c>
      <c r="AX25">
        <f>AW25&amp;IF($Y25="","",", "&amp;$Y25)</f>
        <v/>
      </c>
    </row>
    <row r="26">
      <c r="A26" s="118">
        <f>IF($B26="","",COUNT($B$5:$B26))</f>
        <v/>
      </c>
      <c r="B26" s="80" t="n"/>
      <c r="C26" s="80" t="n"/>
      <c r="D26" s="74" t="n"/>
      <c r="E26" s="74" t="n"/>
      <c r="F26" s="74" t="n"/>
      <c r="G26" s="118">
        <f>IF($F26="","",COUNTIF($F$5:$F26,$F26))</f>
        <v/>
      </c>
      <c r="H26" s="33">
        <f>IF($F26="","",IFERROR(INDEX(사건마스터!$B$5:$B$64,MATCH($F26,사건마스터!$A$5:$A$64,0)),""))</f>
        <v/>
      </c>
      <c r="I26" s="130">
        <f>IF($F26="","",IFERROR(INDEX(사건마스터!$C$5:$C$64,MATCH($F26,사건마스터!$A$5:$A$64,0)),""))</f>
        <v/>
      </c>
      <c r="J26" s="136">
        <f>IF($F26="","",IFERROR(INDEX(사건마스터!$H$5:$H$64,MATCH($F26,사건마스터!$A$5:$A$64,0)),""))</f>
        <v/>
      </c>
      <c r="K26" s="136">
        <f>IF($F26="","",IFERROR(INDEX(사건마스터!$AH$5:$AH$64,MATCH($F26,사건마스터!$A$5:$A$64,0)),""))</f>
        <v/>
      </c>
      <c r="L26" s="136">
        <f>IF($F26="","",IFERROR(INDEX(사건마스터!$AI$5:$AI$64,MATCH($F26,사건마스터!$A$5:$A$64,0)),""))</f>
        <v/>
      </c>
      <c r="M26" s="136">
        <f>IF($F26="","",IFERROR(INDEX(사건마스터!$AJ$5:$AJ$64,MATCH($F26,사건마스터!$A$5:$A$64,0)),""))</f>
        <v/>
      </c>
      <c r="N26" s="136">
        <f>IF($F26="","",IFERROR(INDEX(사건마스터!$AK$5:$AK$64,MATCH($F26,사건마스터!$A$5:$A$64,0)),""))</f>
        <v/>
      </c>
      <c r="O26" s="136">
        <f>IF($F26="","",IFERROR(INDEX(사건마스터!$AL$5:$AL$64,MATCH($F26,사건마스터!$A$5:$A$64,0)),""))</f>
        <v/>
      </c>
      <c r="P26" s="136">
        <f>IF($F26="","",IFERROR(INDEX(사건마스터!$AM$5:$AM$64,MATCH($F26,사건마스터!$A$5:$A$64,0)),""))</f>
        <v/>
      </c>
      <c r="Q26" s="136">
        <f>IF($F26="","",IFERROR(INDEX(사건마스터!$AN$5:$AN$64,MATCH($F26,사건마스터!$A$5:$A$64,0)),""))</f>
        <v/>
      </c>
      <c r="R26" s="136">
        <f>IF($F26="","",IFERROR(INDEX(사건마스터!$AO$5:$AO$64,MATCH($F26,사건마스터!$A$5:$A$64,0)),""))</f>
        <v/>
      </c>
      <c r="S26" s="136">
        <f>IF($F26="","",IFERROR(INDEX(사건마스터!$AP$5:$AP$64,MATCH($F26,사건마스터!$A$5:$A$64,0)),""))</f>
        <v/>
      </c>
      <c r="T26" s="136">
        <f>IF($F26="","",IFERROR(INDEX(사건마스터!$AQ$5:$AQ$64,MATCH($F26,사건마스터!$A$5:$A$64,0)),""))</f>
        <v/>
      </c>
      <c r="U26" s="136">
        <f>IF($F26="","",IFERROR(INDEX(사건마스터!$AR$5:$AR$64,MATCH($F26,사건마스터!$A$5:$A$64,0)),""))</f>
        <v/>
      </c>
      <c r="V26" s="136">
        <f>IF($F26="","",IFERROR(INDEX(사건마스터!$AS$5:$AS$64,MATCH($F26,사건마스터!$A$5:$A$64,0)),""))</f>
        <v/>
      </c>
      <c r="W26" s="136">
        <f>IF($F26="","",IFERROR(INDEX(사건마스터!$AT$5:$AT$64,MATCH($F26,사건마스터!$A$5:$A$64,0)),""))</f>
        <v/>
      </c>
      <c r="X26" s="136">
        <f>IF($F26="","",IFERROR(INDEX(사건마스터!$AU$5:$AU$64,MATCH($F26,사건마스터!$A$5:$A$64,0)),""))</f>
        <v/>
      </c>
      <c r="Y26" s="136">
        <f>IF($F26="","",IFERROR(INDEX(사건마스터!$AV$5:$AV$64,MATCH($F26,사건마스터!$A$5:$A$64,0)),""))</f>
        <v/>
      </c>
      <c r="Z26" s="118">
        <f>IF(COUNTBLANK($J26:$Y26)=16,"",16-COUNTBLANK($J26:$Y26))</f>
        <v/>
      </c>
      <c r="AA26" s="33">
        <f>IF($J26="",MID($AX26,3,255),$J26&amp;$AX26)</f>
        <v/>
      </c>
      <c r="AB26" s="130">
        <f>IF($J26="","",IFERROR(INDEX(코드설정!$D$5:$D$24,MATCH($J26,코드설정!$C$5:$C$24,0)),""))</f>
        <v/>
      </c>
      <c r="AC26" s="36" t="n"/>
      <c r="AD26" s="37" t="n"/>
      <c r="AE26" s="38" t="n"/>
      <c r="AF26" s="118">
        <f>IF(OR($B26="",$C26=""),"",$C26-$B26+1)</f>
        <v/>
      </c>
      <c r="AG26" s="74" t="n"/>
      <c r="AH26" s="36" t="n"/>
      <c r="AJ26">
        <f>IF($K26="","",", "&amp;$K26)</f>
        <v/>
      </c>
      <c r="AK26">
        <f>AJ26&amp;IF($L26="","",", "&amp;$L26)</f>
        <v/>
      </c>
      <c r="AL26">
        <f>AK26&amp;IF($M26="","",", "&amp;$M26)</f>
        <v/>
      </c>
      <c r="AM26">
        <f>AL26&amp;IF($N26="","",", "&amp;$N26)</f>
        <v/>
      </c>
      <c r="AN26">
        <f>AM26&amp;IF($O26="","",", "&amp;$O26)</f>
        <v/>
      </c>
      <c r="AO26">
        <f>AN26&amp;IF($P26="","",", "&amp;$P26)</f>
        <v/>
      </c>
      <c r="AP26">
        <f>AO26&amp;IF($Q26="","",", "&amp;$Q26)</f>
        <v/>
      </c>
      <c r="AQ26">
        <f>AP26&amp;IF($R26="","",", "&amp;$R26)</f>
        <v/>
      </c>
      <c r="AR26">
        <f>AQ26&amp;IF($S26="","",", "&amp;$S26)</f>
        <v/>
      </c>
      <c r="AS26">
        <f>AR26&amp;IF($T26="","",", "&amp;$T26)</f>
        <v/>
      </c>
      <c r="AT26">
        <f>AS26&amp;IF($U26="","",", "&amp;$U26)</f>
        <v/>
      </c>
      <c r="AU26">
        <f>AT26&amp;IF($V26="","",", "&amp;$V26)</f>
        <v/>
      </c>
      <c r="AV26">
        <f>AU26&amp;IF($W26="","",", "&amp;$W26)</f>
        <v/>
      </c>
      <c r="AW26">
        <f>AV26&amp;IF($X26="","",", "&amp;$X26)</f>
        <v/>
      </c>
      <c r="AX26">
        <f>AW26&amp;IF($Y26="","",", "&amp;$Y26)</f>
        <v/>
      </c>
    </row>
    <row r="27">
      <c r="A27" s="118">
        <f>IF($B27="","",COUNT($B$5:$B27))</f>
        <v/>
      </c>
      <c r="B27" s="80" t="n"/>
      <c r="C27" s="80" t="n"/>
      <c r="D27" s="74" t="n"/>
      <c r="E27" s="74" t="n"/>
      <c r="F27" s="74" t="n"/>
      <c r="G27" s="118">
        <f>IF($F27="","",COUNTIF($F$5:$F27,$F27))</f>
        <v/>
      </c>
      <c r="H27" s="33">
        <f>IF($F27="","",IFERROR(INDEX(사건마스터!$B$5:$B$64,MATCH($F27,사건마스터!$A$5:$A$64,0)),""))</f>
        <v/>
      </c>
      <c r="I27" s="130">
        <f>IF($F27="","",IFERROR(INDEX(사건마스터!$C$5:$C$64,MATCH($F27,사건마스터!$A$5:$A$64,0)),""))</f>
        <v/>
      </c>
      <c r="J27" s="136">
        <f>IF($F27="","",IFERROR(INDEX(사건마스터!$H$5:$H$64,MATCH($F27,사건마스터!$A$5:$A$64,0)),""))</f>
        <v/>
      </c>
      <c r="K27" s="136">
        <f>IF($F27="","",IFERROR(INDEX(사건마스터!$AH$5:$AH$64,MATCH($F27,사건마스터!$A$5:$A$64,0)),""))</f>
        <v/>
      </c>
      <c r="L27" s="136">
        <f>IF($F27="","",IFERROR(INDEX(사건마스터!$AI$5:$AI$64,MATCH($F27,사건마스터!$A$5:$A$64,0)),""))</f>
        <v/>
      </c>
      <c r="M27" s="136">
        <f>IF($F27="","",IFERROR(INDEX(사건마스터!$AJ$5:$AJ$64,MATCH($F27,사건마스터!$A$5:$A$64,0)),""))</f>
        <v/>
      </c>
      <c r="N27" s="136">
        <f>IF($F27="","",IFERROR(INDEX(사건마스터!$AK$5:$AK$64,MATCH($F27,사건마스터!$A$5:$A$64,0)),""))</f>
        <v/>
      </c>
      <c r="O27" s="136">
        <f>IF($F27="","",IFERROR(INDEX(사건마스터!$AL$5:$AL$64,MATCH($F27,사건마스터!$A$5:$A$64,0)),""))</f>
        <v/>
      </c>
      <c r="P27" s="136">
        <f>IF($F27="","",IFERROR(INDEX(사건마스터!$AM$5:$AM$64,MATCH($F27,사건마스터!$A$5:$A$64,0)),""))</f>
        <v/>
      </c>
      <c r="Q27" s="136">
        <f>IF($F27="","",IFERROR(INDEX(사건마스터!$AN$5:$AN$64,MATCH($F27,사건마스터!$A$5:$A$64,0)),""))</f>
        <v/>
      </c>
      <c r="R27" s="136">
        <f>IF($F27="","",IFERROR(INDEX(사건마스터!$AO$5:$AO$64,MATCH($F27,사건마스터!$A$5:$A$64,0)),""))</f>
        <v/>
      </c>
      <c r="S27" s="136">
        <f>IF($F27="","",IFERROR(INDEX(사건마스터!$AP$5:$AP$64,MATCH($F27,사건마스터!$A$5:$A$64,0)),""))</f>
        <v/>
      </c>
      <c r="T27" s="136">
        <f>IF($F27="","",IFERROR(INDEX(사건마스터!$AQ$5:$AQ$64,MATCH($F27,사건마스터!$A$5:$A$64,0)),""))</f>
        <v/>
      </c>
      <c r="U27" s="136">
        <f>IF($F27="","",IFERROR(INDEX(사건마스터!$AR$5:$AR$64,MATCH($F27,사건마스터!$A$5:$A$64,0)),""))</f>
        <v/>
      </c>
      <c r="V27" s="136">
        <f>IF($F27="","",IFERROR(INDEX(사건마스터!$AS$5:$AS$64,MATCH($F27,사건마스터!$A$5:$A$64,0)),""))</f>
        <v/>
      </c>
      <c r="W27" s="136">
        <f>IF($F27="","",IFERROR(INDEX(사건마스터!$AT$5:$AT$64,MATCH($F27,사건마스터!$A$5:$A$64,0)),""))</f>
        <v/>
      </c>
      <c r="X27" s="136">
        <f>IF($F27="","",IFERROR(INDEX(사건마스터!$AU$5:$AU$64,MATCH($F27,사건마스터!$A$5:$A$64,0)),""))</f>
        <v/>
      </c>
      <c r="Y27" s="136">
        <f>IF($F27="","",IFERROR(INDEX(사건마스터!$AV$5:$AV$64,MATCH($F27,사건마스터!$A$5:$A$64,0)),""))</f>
        <v/>
      </c>
      <c r="Z27" s="118">
        <f>IF(COUNTBLANK($J27:$Y27)=16,"",16-COUNTBLANK($J27:$Y27))</f>
        <v/>
      </c>
      <c r="AA27" s="33">
        <f>IF($J27="",MID($AX27,3,255),$J27&amp;$AX27)</f>
        <v/>
      </c>
      <c r="AB27" s="130">
        <f>IF($J27="","",IFERROR(INDEX(코드설정!$D$5:$D$24,MATCH($J27,코드설정!$C$5:$C$24,0)),""))</f>
        <v/>
      </c>
      <c r="AC27" s="36" t="n"/>
      <c r="AD27" s="37" t="n"/>
      <c r="AE27" s="38" t="n"/>
      <c r="AF27" s="118">
        <f>IF(OR($B27="",$C27=""),"",$C27-$B27+1)</f>
        <v/>
      </c>
      <c r="AG27" s="74" t="n"/>
      <c r="AH27" s="36" t="n"/>
      <c r="AJ27">
        <f>IF($K27="","",", "&amp;$K27)</f>
        <v/>
      </c>
      <c r="AK27">
        <f>AJ27&amp;IF($L27="","",", "&amp;$L27)</f>
        <v/>
      </c>
      <c r="AL27">
        <f>AK27&amp;IF($M27="","",", "&amp;$M27)</f>
        <v/>
      </c>
      <c r="AM27">
        <f>AL27&amp;IF($N27="","",", "&amp;$N27)</f>
        <v/>
      </c>
      <c r="AN27">
        <f>AM27&amp;IF($O27="","",", "&amp;$O27)</f>
        <v/>
      </c>
      <c r="AO27">
        <f>AN27&amp;IF($P27="","",", "&amp;$P27)</f>
        <v/>
      </c>
      <c r="AP27">
        <f>AO27&amp;IF($Q27="","",", "&amp;$Q27)</f>
        <v/>
      </c>
      <c r="AQ27">
        <f>AP27&amp;IF($R27="","",", "&amp;$R27)</f>
        <v/>
      </c>
      <c r="AR27">
        <f>AQ27&amp;IF($S27="","",", "&amp;$S27)</f>
        <v/>
      </c>
      <c r="AS27">
        <f>AR27&amp;IF($T27="","",", "&amp;$T27)</f>
        <v/>
      </c>
      <c r="AT27">
        <f>AS27&amp;IF($U27="","",", "&amp;$U27)</f>
        <v/>
      </c>
      <c r="AU27">
        <f>AT27&amp;IF($V27="","",", "&amp;$V27)</f>
        <v/>
      </c>
      <c r="AV27">
        <f>AU27&amp;IF($W27="","",", "&amp;$W27)</f>
        <v/>
      </c>
      <c r="AW27">
        <f>AV27&amp;IF($X27="","",", "&amp;$X27)</f>
        <v/>
      </c>
      <c r="AX27">
        <f>AW27&amp;IF($Y27="","",", "&amp;$Y27)</f>
        <v/>
      </c>
    </row>
    <row r="28">
      <c r="A28" s="118">
        <f>IF($B28="","",COUNT($B$5:$B28))</f>
        <v/>
      </c>
      <c r="B28" s="80" t="n"/>
      <c r="C28" s="80" t="n"/>
      <c r="D28" s="74" t="n"/>
      <c r="E28" s="74" t="n"/>
      <c r="F28" s="74" t="n"/>
      <c r="G28" s="118">
        <f>IF($F28="","",COUNTIF($F$5:$F28,$F28))</f>
        <v/>
      </c>
      <c r="H28" s="33">
        <f>IF($F28="","",IFERROR(INDEX(사건마스터!$B$5:$B$64,MATCH($F28,사건마스터!$A$5:$A$64,0)),""))</f>
        <v/>
      </c>
      <c r="I28" s="130">
        <f>IF($F28="","",IFERROR(INDEX(사건마스터!$C$5:$C$64,MATCH($F28,사건마스터!$A$5:$A$64,0)),""))</f>
        <v/>
      </c>
      <c r="J28" s="136">
        <f>IF($F28="","",IFERROR(INDEX(사건마스터!$H$5:$H$64,MATCH($F28,사건마스터!$A$5:$A$64,0)),""))</f>
        <v/>
      </c>
      <c r="K28" s="136">
        <f>IF($F28="","",IFERROR(INDEX(사건마스터!$AH$5:$AH$64,MATCH($F28,사건마스터!$A$5:$A$64,0)),""))</f>
        <v/>
      </c>
      <c r="L28" s="136">
        <f>IF($F28="","",IFERROR(INDEX(사건마스터!$AI$5:$AI$64,MATCH($F28,사건마스터!$A$5:$A$64,0)),""))</f>
        <v/>
      </c>
      <c r="M28" s="136">
        <f>IF($F28="","",IFERROR(INDEX(사건마스터!$AJ$5:$AJ$64,MATCH($F28,사건마스터!$A$5:$A$64,0)),""))</f>
        <v/>
      </c>
      <c r="N28" s="136">
        <f>IF($F28="","",IFERROR(INDEX(사건마스터!$AK$5:$AK$64,MATCH($F28,사건마스터!$A$5:$A$64,0)),""))</f>
        <v/>
      </c>
      <c r="O28" s="136">
        <f>IF($F28="","",IFERROR(INDEX(사건마스터!$AL$5:$AL$64,MATCH($F28,사건마스터!$A$5:$A$64,0)),""))</f>
        <v/>
      </c>
      <c r="P28" s="136">
        <f>IF($F28="","",IFERROR(INDEX(사건마스터!$AM$5:$AM$64,MATCH($F28,사건마스터!$A$5:$A$64,0)),""))</f>
        <v/>
      </c>
      <c r="Q28" s="136">
        <f>IF($F28="","",IFERROR(INDEX(사건마스터!$AN$5:$AN$64,MATCH($F28,사건마스터!$A$5:$A$64,0)),""))</f>
        <v/>
      </c>
      <c r="R28" s="136">
        <f>IF($F28="","",IFERROR(INDEX(사건마스터!$AO$5:$AO$64,MATCH($F28,사건마스터!$A$5:$A$64,0)),""))</f>
        <v/>
      </c>
      <c r="S28" s="136">
        <f>IF($F28="","",IFERROR(INDEX(사건마스터!$AP$5:$AP$64,MATCH($F28,사건마스터!$A$5:$A$64,0)),""))</f>
        <v/>
      </c>
      <c r="T28" s="136">
        <f>IF($F28="","",IFERROR(INDEX(사건마스터!$AQ$5:$AQ$64,MATCH($F28,사건마스터!$A$5:$A$64,0)),""))</f>
        <v/>
      </c>
      <c r="U28" s="136">
        <f>IF($F28="","",IFERROR(INDEX(사건마스터!$AR$5:$AR$64,MATCH($F28,사건마스터!$A$5:$A$64,0)),""))</f>
        <v/>
      </c>
      <c r="V28" s="136">
        <f>IF($F28="","",IFERROR(INDEX(사건마스터!$AS$5:$AS$64,MATCH($F28,사건마스터!$A$5:$A$64,0)),""))</f>
        <v/>
      </c>
      <c r="W28" s="136">
        <f>IF($F28="","",IFERROR(INDEX(사건마스터!$AT$5:$AT$64,MATCH($F28,사건마스터!$A$5:$A$64,0)),""))</f>
        <v/>
      </c>
      <c r="X28" s="136">
        <f>IF($F28="","",IFERROR(INDEX(사건마스터!$AU$5:$AU$64,MATCH($F28,사건마스터!$A$5:$A$64,0)),""))</f>
        <v/>
      </c>
      <c r="Y28" s="136">
        <f>IF($F28="","",IFERROR(INDEX(사건마스터!$AV$5:$AV$64,MATCH($F28,사건마스터!$A$5:$A$64,0)),""))</f>
        <v/>
      </c>
      <c r="Z28" s="118">
        <f>IF(COUNTBLANK($J28:$Y28)=16,"",16-COUNTBLANK($J28:$Y28))</f>
        <v/>
      </c>
      <c r="AA28" s="33">
        <f>IF($J28="",MID($AX28,3,255),$J28&amp;$AX28)</f>
        <v/>
      </c>
      <c r="AB28" s="130">
        <f>IF($J28="","",IFERROR(INDEX(코드설정!$D$5:$D$24,MATCH($J28,코드설정!$C$5:$C$24,0)),""))</f>
        <v/>
      </c>
      <c r="AC28" s="36" t="n"/>
      <c r="AD28" s="37" t="n"/>
      <c r="AE28" s="38" t="n"/>
      <c r="AF28" s="118">
        <f>IF(OR($B28="",$C28=""),"",$C28-$B28+1)</f>
        <v/>
      </c>
      <c r="AG28" s="74" t="n"/>
      <c r="AH28" s="36" t="n"/>
      <c r="AJ28">
        <f>IF($K28="","",", "&amp;$K28)</f>
        <v/>
      </c>
      <c r="AK28">
        <f>AJ28&amp;IF($L28="","",", "&amp;$L28)</f>
        <v/>
      </c>
      <c r="AL28">
        <f>AK28&amp;IF($M28="","",", "&amp;$M28)</f>
        <v/>
      </c>
      <c r="AM28">
        <f>AL28&amp;IF($N28="","",", "&amp;$N28)</f>
        <v/>
      </c>
      <c r="AN28">
        <f>AM28&amp;IF($O28="","",", "&amp;$O28)</f>
        <v/>
      </c>
      <c r="AO28">
        <f>AN28&amp;IF($P28="","",", "&amp;$P28)</f>
        <v/>
      </c>
      <c r="AP28">
        <f>AO28&amp;IF($Q28="","",", "&amp;$Q28)</f>
        <v/>
      </c>
      <c r="AQ28">
        <f>AP28&amp;IF($R28="","",", "&amp;$R28)</f>
        <v/>
      </c>
      <c r="AR28">
        <f>AQ28&amp;IF($S28="","",", "&amp;$S28)</f>
        <v/>
      </c>
      <c r="AS28">
        <f>AR28&amp;IF($T28="","",", "&amp;$T28)</f>
        <v/>
      </c>
      <c r="AT28">
        <f>AS28&amp;IF($U28="","",", "&amp;$U28)</f>
        <v/>
      </c>
      <c r="AU28">
        <f>AT28&amp;IF($V28="","",", "&amp;$V28)</f>
        <v/>
      </c>
      <c r="AV28">
        <f>AU28&amp;IF($W28="","",", "&amp;$W28)</f>
        <v/>
      </c>
      <c r="AW28">
        <f>AV28&amp;IF($X28="","",", "&amp;$X28)</f>
        <v/>
      </c>
      <c r="AX28">
        <f>AW28&amp;IF($Y28="","",", "&amp;$Y28)</f>
        <v/>
      </c>
    </row>
    <row r="29">
      <c r="A29" s="118">
        <f>IF($B29="","",COUNT($B$5:$B29))</f>
        <v/>
      </c>
      <c r="B29" s="80" t="n"/>
      <c r="C29" s="80" t="n"/>
      <c r="D29" s="74" t="n"/>
      <c r="E29" s="74" t="n"/>
      <c r="F29" s="74" t="n"/>
      <c r="G29" s="118">
        <f>IF($F29="","",COUNTIF($F$5:$F29,$F29))</f>
        <v/>
      </c>
      <c r="H29" s="33">
        <f>IF($F29="","",IFERROR(INDEX(사건마스터!$B$5:$B$64,MATCH($F29,사건마스터!$A$5:$A$64,0)),""))</f>
        <v/>
      </c>
      <c r="I29" s="130">
        <f>IF($F29="","",IFERROR(INDEX(사건마스터!$C$5:$C$64,MATCH($F29,사건마스터!$A$5:$A$64,0)),""))</f>
        <v/>
      </c>
      <c r="J29" s="136">
        <f>IF($F29="","",IFERROR(INDEX(사건마스터!$H$5:$H$64,MATCH($F29,사건마스터!$A$5:$A$64,0)),""))</f>
        <v/>
      </c>
      <c r="K29" s="136">
        <f>IF($F29="","",IFERROR(INDEX(사건마스터!$AH$5:$AH$64,MATCH($F29,사건마스터!$A$5:$A$64,0)),""))</f>
        <v/>
      </c>
      <c r="L29" s="136">
        <f>IF($F29="","",IFERROR(INDEX(사건마스터!$AI$5:$AI$64,MATCH($F29,사건마스터!$A$5:$A$64,0)),""))</f>
        <v/>
      </c>
      <c r="M29" s="136">
        <f>IF($F29="","",IFERROR(INDEX(사건마스터!$AJ$5:$AJ$64,MATCH($F29,사건마스터!$A$5:$A$64,0)),""))</f>
        <v/>
      </c>
      <c r="N29" s="136">
        <f>IF($F29="","",IFERROR(INDEX(사건마스터!$AK$5:$AK$64,MATCH($F29,사건마스터!$A$5:$A$64,0)),""))</f>
        <v/>
      </c>
      <c r="O29" s="136">
        <f>IF($F29="","",IFERROR(INDEX(사건마스터!$AL$5:$AL$64,MATCH($F29,사건마스터!$A$5:$A$64,0)),""))</f>
        <v/>
      </c>
      <c r="P29" s="136">
        <f>IF($F29="","",IFERROR(INDEX(사건마스터!$AM$5:$AM$64,MATCH($F29,사건마스터!$A$5:$A$64,0)),""))</f>
        <v/>
      </c>
      <c r="Q29" s="136">
        <f>IF($F29="","",IFERROR(INDEX(사건마스터!$AN$5:$AN$64,MATCH($F29,사건마스터!$A$5:$A$64,0)),""))</f>
        <v/>
      </c>
      <c r="R29" s="136">
        <f>IF($F29="","",IFERROR(INDEX(사건마스터!$AO$5:$AO$64,MATCH($F29,사건마스터!$A$5:$A$64,0)),""))</f>
        <v/>
      </c>
      <c r="S29" s="136">
        <f>IF($F29="","",IFERROR(INDEX(사건마스터!$AP$5:$AP$64,MATCH($F29,사건마스터!$A$5:$A$64,0)),""))</f>
        <v/>
      </c>
      <c r="T29" s="136">
        <f>IF($F29="","",IFERROR(INDEX(사건마스터!$AQ$5:$AQ$64,MATCH($F29,사건마스터!$A$5:$A$64,0)),""))</f>
        <v/>
      </c>
      <c r="U29" s="136">
        <f>IF($F29="","",IFERROR(INDEX(사건마스터!$AR$5:$AR$64,MATCH($F29,사건마스터!$A$5:$A$64,0)),""))</f>
        <v/>
      </c>
      <c r="V29" s="136">
        <f>IF($F29="","",IFERROR(INDEX(사건마스터!$AS$5:$AS$64,MATCH($F29,사건마스터!$A$5:$A$64,0)),""))</f>
        <v/>
      </c>
      <c r="W29" s="136">
        <f>IF($F29="","",IFERROR(INDEX(사건마스터!$AT$5:$AT$64,MATCH($F29,사건마스터!$A$5:$A$64,0)),""))</f>
        <v/>
      </c>
      <c r="X29" s="136">
        <f>IF($F29="","",IFERROR(INDEX(사건마스터!$AU$5:$AU$64,MATCH($F29,사건마스터!$A$5:$A$64,0)),""))</f>
        <v/>
      </c>
      <c r="Y29" s="136">
        <f>IF($F29="","",IFERROR(INDEX(사건마스터!$AV$5:$AV$64,MATCH($F29,사건마스터!$A$5:$A$64,0)),""))</f>
        <v/>
      </c>
      <c r="Z29" s="118">
        <f>IF(COUNTBLANK($J29:$Y29)=16,"",16-COUNTBLANK($J29:$Y29))</f>
        <v/>
      </c>
      <c r="AA29" s="33">
        <f>IF($J29="",MID($AX29,3,255),$J29&amp;$AX29)</f>
        <v/>
      </c>
      <c r="AB29" s="130">
        <f>IF($J29="","",IFERROR(INDEX(코드설정!$D$5:$D$24,MATCH($J29,코드설정!$C$5:$C$24,0)),""))</f>
        <v/>
      </c>
      <c r="AC29" s="36" t="n"/>
      <c r="AD29" s="37" t="n"/>
      <c r="AE29" s="38" t="n"/>
      <c r="AF29" s="118">
        <f>IF(OR($B29="",$C29=""),"",$C29-$B29+1)</f>
        <v/>
      </c>
      <c r="AG29" s="74" t="n"/>
      <c r="AH29" s="36" t="n"/>
      <c r="AJ29">
        <f>IF($K29="","",", "&amp;$K29)</f>
        <v/>
      </c>
      <c r="AK29">
        <f>AJ29&amp;IF($L29="","",", "&amp;$L29)</f>
        <v/>
      </c>
      <c r="AL29">
        <f>AK29&amp;IF($M29="","",", "&amp;$M29)</f>
        <v/>
      </c>
      <c r="AM29">
        <f>AL29&amp;IF($N29="","",", "&amp;$N29)</f>
        <v/>
      </c>
      <c r="AN29">
        <f>AM29&amp;IF($O29="","",", "&amp;$O29)</f>
        <v/>
      </c>
      <c r="AO29">
        <f>AN29&amp;IF($P29="","",", "&amp;$P29)</f>
        <v/>
      </c>
      <c r="AP29">
        <f>AO29&amp;IF($Q29="","",", "&amp;$Q29)</f>
        <v/>
      </c>
      <c r="AQ29">
        <f>AP29&amp;IF($R29="","",", "&amp;$R29)</f>
        <v/>
      </c>
      <c r="AR29">
        <f>AQ29&amp;IF($S29="","",", "&amp;$S29)</f>
        <v/>
      </c>
      <c r="AS29">
        <f>AR29&amp;IF($T29="","",", "&amp;$T29)</f>
        <v/>
      </c>
      <c r="AT29">
        <f>AS29&amp;IF($U29="","",", "&amp;$U29)</f>
        <v/>
      </c>
      <c r="AU29">
        <f>AT29&amp;IF($V29="","",", "&amp;$V29)</f>
        <v/>
      </c>
      <c r="AV29">
        <f>AU29&amp;IF($W29="","",", "&amp;$W29)</f>
        <v/>
      </c>
      <c r="AW29">
        <f>AV29&amp;IF($X29="","",", "&amp;$X29)</f>
        <v/>
      </c>
      <c r="AX29">
        <f>AW29&amp;IF($Y29="","",", "&amp;$Y29)</f>
        <v/>
      </c>
    </row>
    <row r="30">
      <c r="A30" s="118">
        <f>IF($B30="","",COUNT($B$5:$B30))</f>
        <v/>
      </c>
      <c r="B30" s="80" t="n"/>
      <c r="C30" s="80" t="n"/>
      <c r="D30" s="74" t="n"/>
      <c r="E30" s="74" t="n"/>
      <c r="F30" s="74" t="n"/>
      <c r="G30" s="118">
        <f>IF($F30="","",COUNTIF($F$5:$F30,$F30))</f>
        <v/>
      </c>
      <c r="H30" s="33">
        <f>IF($F30="","",IFERROR(INDEX(사건마스터!$B$5:$B$64,MATCH($F30,사건마스터!$A$5:$A$64,0)),""))</f>
        <v/>
      </c>
      <c r="I30" s="130">
        <f>IF($F30="","",IFERROR(INDEX(사건마스터!$C$5:$C$64,MATCH($F30,사건마스터!$A$5:$A$64,0)),""))</f>
        <v/>
      </c>
      <c r="J30" s="136">
        <f>IF($F30="","",IFERROR(INDEX(사건마스터!$H$5:$H$64,MATCH($F30,사건마스터!$A$5:$A$64,0)),""))</f>
        <v/>
      </c>
      <c r="K30" s="136">
        <f>IF($F30="","",IFERROR(INDEX(사건마스터!$AH$5:$AH$64,MATCH($F30,사건마스터!$A$5:$A$64,0)),""))</f>
        <v/>
      </c>
      <c r="L30" s="136">
        <f>IF($F30="","",IFERROR(INDEX(사건마스터!$AI$5:$AI$64,MATCH($F30,사건마스터!$A$5:$A$64,0)),""))</f>
        <v/>
      </c>
      <c r="M30" s="136">
        <f>IF($F30="","",IFERROR(INDEX(사건마스터!$AJ$5:$AJ$64,MATCH($F30,사건마스터!$A$5:$A$64,0)),""))</f>
        <v/>
      </c>
      <c r="N30" s="136">
        <f>IF($F30="","",IFERROR(INDEX(사건마스터!$AK$5:$AK$64,MATCH($F30,사건마스터!$A$5:$A$64,0)),""))</f>
        <v/>
      </c>
      <c r="O30" s="136">
        <f>IF($F30="","",IFERROR(INDEX(사건마스터!$AL$5:$AL$64,MATCH($F30,사건마스터!$A$5:$A$64,0)),""))</f>
        <v/>
      </c>
      <c r="P30" s="136">
        <f>IF($F30="","",IFERROR(INDEX(사건마스터!$AM$5:$AM$64,MATCH($F30,사건마스터!$A$5:$A$64,0)),""))</f>
        <v/>
      </c>
      <c r="Q30" s="136">
        <f>IF($F30="","",IFERROR(INDEX(사건마스터!$AN$5:$AN$64,MATCH($F30,사건마스터!$A$5:$A$64,0)),""))</f>
        <v/>
      </c>
      <c r="R30" s="136">
        <f>IF($F30="","",IFERROR(INDEX(사건마스터!$AO$5:$AO$64,MATCH($F30,사건마스터!$A$5:$A$64,0)),""))</f>
        <v/>
      </c>
      <c r="S30" s="136">
        <f>IF($F30="","",IFERROR(INDEX(사건마스터!$AP$5:$AP$64,MATCH($F30,사건마스터!$A$5:$A$64,0)),""))</f>
        <v/>
      </c>
      <c r="T30" s="136">
        <f>IF($F30="","",IFERROR(INDEX(사건마스터!$AQ$5:$AQ$64,MATCH($F30,사건마스터!$A$5:$A$64,0)),""))</f>
        <v/>
      </c>
      <c r="U30" s="136">
        <f>IF($F30="","",IFERROR(INDEX(사건마스터!$AR$5:$AR$64,MATCH($F30,사건마스터!$A$5:$A$64,0)),""))</f>
        <v/>
      </c>
      <c r="V30" s="136">
        <f>IF($F30="","",IFERROR(INDEX(사건마스터!$AS$5:$AS$64,MATCH($F30,사건마스터!$A$5:$A$64,0)),""))</f>
        <v/>
      </c>
      <c r="W30" s="136">
        <f>IF($F30="","",IFERROR(INDEX(사건마스터!$AT$5:$AT$64,MATCH($F30,사건마스터!$A$5:$A$64,0)),""))</f>
        <v/>
      </c>
      <c r="X30" s="136">
        <f>IF($F30="","",IFERROR(INDEX(사건마스터!$AU$5:$AU$64,MATCH($F30,사건마스터!$A$5:$A$64,0)),""))</f>
        <v/>
      </c>
      <c r="Y30" s="136">
        <f>IF($F30="","",IFERROR(INDEX(사건마스터!$AV$5:$AV$64,MATCH($F30,사건마스터!$A$5:$A$64,0)),""))</f>
        <v/>
      </c>
      <c r="Z30" s="118">
        <f>IF(COUNTBLANK($J30:$Y30)=16,"",16-COUNTBLANK($J30:$Y30))</f>
        <v/>
      </c>
      <c r="AA30" s="33">
        <f>IF($J30="",MID($AX30,3,255),$J30&amp;$AX30)</f>
        <v/>
      </c>
      <c r="AB30" s="130">
        <f>IF($J30="","",IFERROR(INDEX(코드설정!$D$5:$D$24,MATCH($J30,코드설정!$C$5:$C$24,0)),""))</f>
        <v/>
      </c>
      <c r="AC30" s="36" t="n"/>
      <c r="AD30" s="37" t="n"/>
      <c r="AE30" s="38" t="n"/>
      <c r="AF30" s="118">
        <f>IF(OR($B30="",$C30=""),"",$C30-$B30+1)</f>
        <v/>
      </c>
      <c r="AG30" s="74" t="n"/>
      <c r="AH30" s="36" t="n"/>
      <c r="AJ30">
        <f>IF($K30="","",", "&amp;$K30)</f>
        <v/>
      </c>
      <c r="AK30">
        <f>AJ30&amp;IF($L30="","",", "&amp;$L30)</f>
        <v/>
      </c>
      <c r="AL30">
        <f>AK30&amp;IF($M30="","",", "&amp;$M30)</f>
        <v/>
      </c>
      <c r="AM30">
        <f>AL30&amp;IF($N30="","",", "&amp;$N30)</f>
        <v/>
      </c>
      <c r="AN30">
        <f>AM30&amp;IF($O30="","",", "&amp;$O30)</f>
        <v/>
      </c>
      <c r="AO30">
        <f>AN30&amp;IF($P30="","",", "&amp;$P30)</f>
        <v/>
      </c>
      <c r="AP30">
        <f>AO30&amp;IF($Q30="","",", "&amp;$Q30)</f>
        <v/>
      </c>
      <c r="AQ30">
        <f>AP30&amp;IF($R30="","",", "&amp;$R30)</f>
        <v/>
      </c>
      <c r="AR30">
        <f>AQ30&amp;IF($S30="","",", "&amp;$S30)</f>
        <v/>
      </c>
      <c r="AS30">
        <f>AR30&amp;IF($T30="","",", "&amp;$T30)</f>
        <v/>
      </c>
      <c r="AT30">
        <f>AS30&amp;IF($U30="","",", "&amp;$U30)</f>
        <v/>
      </c>
      <c r="AU30">
        <f>AT30&amp;IF($V30="","",", "&amp;$V30)</f>
        <v/>
      </c>
      <c r="AV30">
        <f>AU30&amp;IF($W30="","",", "&amp;$W30)</f>
        <v/>
      </c>
      <c r="AW30">
        <f>AV30&amp;IF($X30="","",", "&amp;$X30)</f>
        <v/>
      </c>
      <c r="AX30">
        <f>AW30&amp;IF($Y30="","",", "&amp;$Y30)</f>
        <v/>
      </c>
    </row>
    <row r="31">
      <c r="A31" s="118">
        <f>IF($B31="","",COUNT($B$5:$B31))</f>
        <v/>
      </c>
      <c r="B31" s="80" t="n"/>
      <c r="C31" s="80" t="n"/>
      <c r="D31" s="74" t="n"/>
      <c r="E31" s="74" t="n"/>
      <c r="F31" s="74" t="n"/>
      <c r="G31" s="118">
        <f>IF($F31="","",COUNTIF($F$5:$F31,$F31))</f>
        <v/>
      </c>
      <c r="H31" s="33">
        <f>IF($F31="","",IFERROR(INDEX(사건마스터!$B$5:$B$64,MATCH($F31,사건마스터!$A$5:$A$64,0)),""))</f>
        <v/>
      </c>
      <c r="I31" s="130">
        <f>IF($F31="","",IFERROR(INDEX(사건마스터!$C$5:$C$64,MATCH($F31,사건마스터!$A$5:$A$64,0)),""))</f>
        <v/>
      </c>
      <c r="J31" s="136">
        <f>IF($F31="","",IFERROR(INDEX(사건마스터!$H$5:$H$64,MATCH($F31,사건마스터!$A$5:$A$64,0)),""))</f>
        <v/>
      </c>
      <c r="K31" s="136">
        <f>IF($F31="","",IFERROR(INDEX(사건마스터!$AH$5:$AH$64,MATCH($F31,사건마스터!$A$5:$A$64,0)),""))</f>
        <v/>
      </c>
      <c r="L31" s="136">
        <f>IF($F31="","",IFERROR(INDEX(사건마스터!$AI$5:$AI$64,MATCH($F31,사건마스터!$A$5:$A$64,0)),""))</f>
        <v/>
      </c>
      <c r="M31" s="136">
        <f>IF($F31="","",IFERROR(INDEX(사건마스터!$AJ$5:$AJ$64,MATCH($F31,사건마스터!$A$5:$A$64,0)),""))</f>
        <v/>
      </c>
      <c r="N31" s="136">
        <f>IF($F31="","",IFERROR(INDEX(사건마스터!$AK$5:$AK$64,MATCH($F31,사건마스터!$A$5:$A$64,0)),""))</f>
        <v/>
      </c>
      <c r="O31" s="136">
        <f>IF($F31="","",IFERROR(INDEX(사건마스터!$AL$5:$AL$64,MATCH($F31,사건마스터!$A$5:$A$64,0)),""))</f>
        <v/>
      </c>
      <c r="P31" s="136">
        <f>IF($F31="","",IFERROR(INDEX(사건마스터!$AM$5:$AM$64,MATCH($F31,사건마스터!$A$5:$A$64,0)),""))</f>
        <v/>
      </c>
      <c r="Q31" s="136">
        <f>IF($F31="","",IFERROR(INDEX(사건마스터!$AN$5:$AN$64,MATCH($F31,사건마스터!$A$5:$A$64,0)),""))</f>
        <v/>
      </c>
      <c r="R31" s="136">
        <f>IF($F31="","",IFERROR(INDEX(사건마스터!$AO$5:$AO$64,MATCH($F31,사건마스터!$A$5:$A$64,0)),""))</f>
        <v/>
      </c>
      <c r="S31" s="136">
        <f>IF($F31="","",IFERROR(INDEX(사건마스터!$AP$5:$AP$64,MATCH($F31,사건마스터!$A$5:$A$64,0)),""))</f>
        <v/>
      </c>
      <c r="T31" s="136">
        <f>IF($F31="","",IFERROR(INDEX(사건마스터!$AQ$5:$AQ$64,MATCH($F31,사건마스터!$A$5:$A$64,0)),""))</f>
        <v/>
      </c>
      <c r="U31" s="136">
        <f>IF($F31="","",IFERROR(INDEX(사건마스터!$AR$5:$AR$64,MATCH($F31,사건마스터!$A$5:$A$64,0)),""))</f>
        <v/>
      </c>
      <c r="V31" s="136">
        <f>IF($F31="","",IFERROR(INDEX(사건마스터!$AS$5:$AS$64,MATCH($F31,사건마스터!$A$5:$A$64,0)),""))</f>
        <v/>
      </c>
      <c r="W31" s="136">
        <f>IF($F31="","",IFERROR(INDEX(사건마스터!$AT$5:$AT$64,MATCH($F31,사건마스터!$A$5:$A$64,0)),""))</f>
        <v/>
      </c>
      <c r="X31" s="136">
        <f>IF($F31="","",IFERROR(INDEX(사건마스터!$AU$5:$AU$64,MATCH($F31,사건마스터!$A$5:$A$64,0)),""))</f>
        <v/>
      </c>
      <c r="Y31" s="136">
        <f>IF($F31="","",IFERROR(INDEX(사건마스터!$AV$5:$AV$64,MATCH($F31,사건마스터!$A$5:$A$64,0)),""))</f>
        <v/>
      </c>
      <c r="Z31" s="118">
        <f>IF(COUNTBLANK($J31:$Y31)=16,"",16-COUNTBLANK($J31:$Y31))</f>
        <v/>
      </c>
      <c r="AA31" s="33">
        <f>IF($J31="",MID($AX31,3,255),$J31&amp;$AX31)</f>
        <v/>
      </c>
      <c r="AB31" s="130">
        <f>IF($J31="","",IFERROR(INDEX(코드설정!$D$5:$D$24,MATCH($J31,코드설정!$C$5:$C$24,0)),""))</f>
        <v/>
      </c>
      <c r="AC31" s="36" t="n"/>
      <c r="AD31" s="37" t="n"/>
      <c r="AE31" s="38" t="n"/>
      <c r="AF31" s="118">
        <f>IF(OR($B31="",$C31=""),"",$C31-$B31+1)</f>
        <v/>
      </c>
      <c r="AG31" s="74" t="n"/>
      <c r="AH31" s="36" t="n"/>
      <c r="AJ31">
        <f>IF($K31="","",", "&amp;$K31)</f>
        <v/>
      </c>
      <c r="AK31">
        <f>AJ31&amp;IF($L31="","",", "&amp;$L31)</f>
        <v/>
      </c>
      <c r="AL31">
        <f>AK31&amp;IF($M31="","",", "&amp;$M31)</f>
        <v/>
      </c>
      <c r="AM31">
        <f>AL31&amp;IF($N31="","",", "&amp;$N31)</f>
        <v/>
      </c>
      <c r="AN31">
        <f>AM31&amp;IF($O31="","",", "&amp;$O31)</f>
        <v/>
      </c>
      <c r="AO31">
        <f>AN31&amp;IF($P31="","",", "&amp;$P31)</f>
        <v/>
      </c>
      <c r="AP31">
        <f>AO31&amp;IF($Q31="","",", "&amp;$Q31)</f>
        <v/>
      </c>
      <c r="AQ31">
        <f>AP31&amp;IF($R31="","",", "&amp;$R31)</f>
        <v/>
      </c>
      <c r="AR31">
        <f>AQ31&amp;IF($S31="","",", "&amp;$S31)</f>
        <v/>
      </c>
      <c r="AS31">
        <f>AR31&amp;IF($T31="","",", "&amp;$T31)</f>
        <v/>
      </c>
      <c r="AT31">
        <f>AS31&amp;IF($U31="","",", "&amp;$U31)</f>
        <v/>
      </c>
      <c r="AU31">
        <f>AT31&amp;IF($V31="","",", "&amp;$V31)</f>
        <v/>
      </c>
      <c r="AV31">
        <f>AU31&amp;IF($W31="","",", "&amp;$W31)</f>
        <v/>
      </c>
      <c r="AW31">
        <f>AV31&amp;IF($X31="","",", "&amp;$X31)</f>
        <v/>
      </c>
      <c r="AX31">
        <f>AW31&amp;IF($Y31="","",", "&amp;$Y31)</f>
        <v/>
      </c>
    </row>
    <row r="32">
      <c r="A32" s="118">
        <f>IF($B32="","",COUNT($B$5:$B32))</f>
        <v/>
      </c>
      <c r="B32" s="80" t="n"/>
      <c r="C32" s="80" t="n"/>
      <c r="D32" s="74" t="n"/>
      <c r="E32" s="74" t="n"/>
      <c r="F32" s="74" t="n"/>
      <c r="G32" s="118">
        <f>IF($F32="","",COUNTIF($F$5:$F32,$F32))</f>
        <v/>
      </c>
      <c r="H32" s="33">
        <f>IF($F32="","",IFERROR(INDEX(사건마스터!$B$5:$B$64,MATCH($F32,사건마스터!$A$5:$A$64,0)),""))</f>
        <v/>
      </c>
      <c r="I32" s="130">
        <f>IF($F32="","",IFERROR(INDEX(사건마스터!$C$5:$C$64,MATCH($F32,사건마스터!$A$5:$A$64,0)),""))</f>
        <v/>
      </c>
      <c r="J32" s="136">
        <f>IF($F32="","",IFERROR(INDEX(사건마스터!$H$5:$H$64,MATCH($F32,사건마스터!$A$5:$A$64,0)),""))</f>
        <v/>
      </c>
      <c r="K32" s="136">
        <f>IF($F32="","",IFERROR(INDEX(사건마스터!$AH$5:$AH$64,MATCH($F32,사건마스터!$A$5:$A$64,0)),""))</f>
        <v/>
      </c>
      <c r="L32" s="136">
        <f>IF($F32="","",IFERROR(INDEX(사건마스터!$AI$5:$AI$64,MATCH($F32,사건마스터!$A$5:$A$64,0)),""))</f>
        <v/>
      </c>
      <c r="M32" s="136">
        <f>IF($F32="","",IFERROR(INDEX(사건마스터!$AJ$5:$AJ$64,MATCH($F32,사건마스터!$A$5:$A$64,0)),""))</f>
        <v/>
      </c>
      <c r="N32" s="136">
        <f>IF($F32="","",IFERROR(INDEX(사건마스터!$AK$5:$AK$64,MATCH($F32,사건마스터!$A$5:$A$64,0)),""))</f>
        <v/>
      </c>
      <c r="O32" s="136">
        <f>IF($F32="","",IFERROR(INDEX(사건마스터!$AL$5:$AL$64,MATCH($F32,사건마스터!$A$5:$A$64,0)),""))</f>
        <v/>
      </c>
      <c r="P32" s="136">
        <f>IF($F32="","",IFERROR(INDEX(사건마스터!$AM$5:$AM$64,MATCH($F32,사건마스터!$A$5:$A$64,0)),""))</f>
        <v/>
      </c>
      <c r="Q32" s="136">
        <f>IF($F32="","",IFERROR(INDEX(사건마스터!$AN$5:$AN$64,MATCH($F32,사건마스터!$A$5:$A$64,0)),""))</f>
        <v/>
      </c>
      <c r="R32" s="136">
        <f>IF($F32="","",IFERROR(INDEX(사건마스터!$AO$5:$AO$64,MATCH($F32,사건마스터!$A$5:$A$64,0)),""))</f>
        <v/>
      </c>
      <c r="S32" s="136">
        <f>IF($F32="","",IFERROR(INDEX(사건마스터!$AP$5:$AP$64,MATCH($F32,사건마스터!$A$5:$A$64,0)),""))</f>
        <v/>
      </c>
      <c r="T32" s="136">
        <f>IF($F32="","",IFERROR(INDEX(사건마스터!$AQ$5:$AQ$64,MATCH($F32,사건마스터!$A$5:$A$64,0)),""))</f>
        <v/>
      </c>
      <c r="U32" s="136">
        <f>IF($F32="","",IFERROR(INDEX(사건마스터!$AR$5:$AR$64,MATCH($F32,사건마스터!$A$5:$A$64,0)),""))</f>
        <v/>
      </c>
      <c r="V32" s="136">
        <f>IF($F32="","",IFERROR(INDEX(사건마스터!$AS$5:$AS$64,MATCH($F32,사건마스터!$A$5:$A$64,0)),""))</f>
        <v/>
      </c>
      <c r="W32" s="136">
        <f>IF($F32="","",IFERROR(INDEX(사건마스터!$AT$5:$AT$64,MATCH($F32,사건마스터!$A$5:$A$64,0)),""))</f>
        <v/>
      </c>
      <c r="X32" s="136">
        <f>IF($F32="","",IFERROR(INDEX(사건마스터!$AU$5:$AU$64,MATCH($F32,사건마스터!$A$5:$A$64,0)),""))</f>
        <v/>
      </c>
      <c r="Y32" s="136">
        <f>IF($F32="","",IFERROR(INDEX(사건마스터!$AV$5:$AV$64,MATCH($F32,사건마스터!$A$5:$A$64,0)),""))</f>
        <v/>
      </c>
      <c r="Z32" s="118">
        <f>IF(COUNTBLANK($J32:$Y32)=16,"",16-COUNTBLANK($J32:$Y32))</f>
        <v/>
      </c>
      <c r="AA32" s="33">
        <f>IF($J32="",MID($AX32,3,255),$J32&amp;$AX32)</f>
        <v/>
      </c>
      <c r="AB32" s="130">
        <f>IF($J32="","",IFERROR(INDEX(코드설정!$D$5:$D$24,MATCH($J32,코드설정!$C$5:$C$24,0)),""))</f>
        <v/>
      </c>
      <c r="AC32" s="36" t="n"/>
      <c r="AD32" s="37" t="n"/>
      <c r="AE32" s="38" t="n"/>
      <c r="AF32" s="118">
        <f>IF(OR($B32="",$C32=""),"",$C32-$B32+1)</f>
        <v/>
      </c>
      <c r="AG32" s="74" t="n"/>
      <c r="AH32" s="36" t="n"/>
      <c r="AJ32">
        <f>IF($K32="","",", "&amp;$K32)</f>
        <v/>
      </c>
      <c r="AK32">
        <f>AJ32&amp;IF($L32="","",", "&amp;$L32)</f>
        <v/>
      </c>
      <c r="AL32">
        <f>AK32&amp;IF($M32="","",", "&amp;$M32)</f>
        <v/>
      </c>
      <c r="AM32">
        <f>AL32&amp;IF($N32="","",", "&amp;$N32)</f>
        <v/>
      </c>
      <c r="AN32">
        <f>AM32&amp;IF($O32="","",", "&amp;$O32)</f>
        <v/>
      </c>
      <c r="AO32">
        <f>AN32&amp;IF($P32="","",", "&amp;$P32)</f>
        <v/>
      </c>
      <c r="AP32">
        <f>AO32&amp;IF($Q32="","",", "&amp;$Q32)</f>
        <v/>
      </c>
      <c r="AQ32">
        <f>AP32&amp;IF($R32="","",", "&amp;$R32)</f>
        <v/>
      </c>
      <c r="AR32">
        <f>AQ32&amp;IF($S32="","",", "&amp;$S32)</f>
        <v/>
      </c>
      <c r="AS32">
        <f>AR32&amp;IF($T32="","",", "&amp;$T32)</f>
        <v/>
      </c>
      <c r="AT32">
        <f>AS32&amp;IF($U32="","",", "&amp;$U32)</f>
        <v/>
      </c>
      <c r="AU32">
        <f>AT32&amp;IF($V32="","",", "&amp;$V32)</f>
        <v/>
      </c>
      <c r="AV32">
        <f>AU32&amp;IF($W32="","",", "&amp;$W32)</f>
        <v/>
      </c>
      <c r="AW32">
        <f>AV32&amp;IF($X32="","",", "&amp;$X32)</f>
        <v/>
      </c>
      <c r="AX32">
        <f>AW32&amp;IF($Y32="","",", "&amp;$Y32)</f>
        <v/>
      </c>
    </row>
    <row r="33">
      <c r="A33" s="118">
        <f>IF($B33="","",COUNT($B$5:$B33))</f>
        <v/>
      </c>
      <c r="B33" s="80" t="n"/>
      <c r="C33" s="80" t="n"/>
      <c r="D33" s="74" t="n"/>
      <c r="E33" s="74" t="n"/>
      <c r="F33" s="74" t="n"/>
      <c r="G33" s="118">
        <f>IF($F33="","",COUNTIF($F$5:$F33,$F33))</f>
        <v/>
      </c>
      <c r="H33" s="33">
        <f>IF($F33="","",IFERROR(INDEX(사건마스터!$B$5:$B$64,MATCH($F33,사건마스터!$A$5:$A$64,0)),""))</f>
        <v/>
      </c>
      <c r="I33" s="130">
        <f>IF($F33="","",IFERROR(INDEX(사건마스터!$C$5:$C$64,MATCH($F33,사건마스터!$A$5:$A$64,0)),""))</f>
        <v/>
      </c>
      <c r="J33" s="136">
        <f>IF($F33="","",IFERROR(INDEX(사건마스터!$H$5:$H$64,MATCH($F33,사건마스터!$A$5:$A$64,0)),""))</f>
        <v/>
      </c>
      <c r="K33" s="136">
        <f>IF($F33="","",IFERROR(INDEX(사건마스터!$AH$5:$AH$64,MATCH($F33,사건마스터!$A$5:$A$64,0)),""))</f>
        <v/>
      </c>
      <c r="L33" s="136">
        <f>IF($F33="","",IFERROR(INDEX(사건마스터!$AI$5:$AI$64,MATCH($F33,사건마스터!$A$5:$A$64,0)),""))</f>
        <v/>
      </c>
      <c r="M33" s="136">
        <f>IF($F33="","",IFERROR(INDEX(사건마스터!$AJ$5:$AJ$64,MATCH($F33,사건마스터!$A$5:$A$64,0)),""))</f>
        <v/>
      </c>
      <c r="N33" s="136">
        <f>IF($F33="","",IFERROR(INDEX(사건마스터!$AK$5:$AK$64,MATCH($F33,사건마스터!$A$5:$A$64,0)),""))</f>
        <v/>
      </c>
      <c r="O33" s="136">
        <f>IF($F33="","",IFERROR(INDEX(사건마스터!$AL$5:$AL$64,MATCH($F33,사건마스터!$A$5:$A$64,0)),""))</f>
        <v/>
      </c>
      <c r="P33" s="136">
        <f>IF($F33="","",IFERROR(INDEX(사건마스터!$AM$5:$AM$64,MATCH($F33,사건마스터!$A$5:$A$64,0)),""))</f>
        <v/>
      </c>
      <c r="Q33" s="136">
        <f>IF($F33="","",IFERROR(INDEX(사건마스터!$AN$5:$AN$64,MATCH($F33,사건마스터!$A$5:$A$64,0)),""))</f>
        <v/>
      </c>
      <c r="R33" s="136">
        <f>IF($F33="","",IFERROR(INDEX(사건마스터!$AO$5:$AO$64,MATCH($F33,사건마스터!$A$5:$A$64,0)),""))</f>
        <v/>
      </c>
      <c r="S33" s="136">
        <f>IF($F33="","",IFERROR(INDEX(사건마스터!$AP$5:$AP$64,MATCH($F33,사건마스터!$A$5:$A$64,0)),""))</f>
        <v/>
      </c>
      <c r="T33" s="136">
        <f>IF($F33="","",IFERROR(INDEX(사건마스터!$AQ$5:$AQ$64,MATCH($F33,사건마스터!$A$5:$A$64,0)),""))</f>
        <v/>
      </c>
      <c r="U33" s="136">
        <f>IF($F33="","",IFERROR(INDEX(사건마스터!$AR$5:$AR$64,MATCH($F33,사건마스터!$A$5:$A$64,0)),""))</f>
        <v/>
      </c>
      <c r="V33" s="136">
        <f>IF($F33="","",IFERROR(INDEX(사건마스터!$AS$5:$AS$64,MATCH($F33,사건마스터!$A$5:$A$64,0)),""))</f>
        <v/>
      </c>
      <c r="W33" s="136">
        <f>IF($F33="","",IFERROR(INDEX(사건마스터!$AT$5:$AT$64,MATCH($F33,사건마스터!$A$5:$A$64,0)),""))</f>
        <v/>
      </c>
      <c r="X33" s="136">
        <f>IF($F33="","",IFERROR(INDEX(사건마스터!$AU$5:$AU$64,MATCH($F33,사건마스터!$A$5:$A$64,0)),""))</f>
        <v/>
      </c>
      <c r="Y33" s="136">
        <f>IF($F33="","",IFERROR(INDEX(사건마스터!$AV$5:$AV$64,MATCH($F33,사건마스터!$A$5:$A$64,0)),""))</f>
        <v/>
      </c>
      <c r="Z33" s="118">
        <f>IF(COUNTBLANK($J33:$Y33)=16,"",16-COUNTBLANK($J33:$Y33))</f>
        <v/>
      </c>
      <c r="AA33" s="33">
        <f>IF($J33="",MID($AX33,3,255),$J33&amp;$AX33)</f>
        <v/>
      </c>
      <c r="AB33" s="130">
        <f>IF($J33="","",IFERROR(INDEX(코드설정!$D$5:$D$24,MATCH($J33,코드설정!$C$5:$C$24,0)),""))</f>
        <v/>
      </c>
      <c r="AC33" s="36" t="n"/>
      <c r="AD33" s="37" t="n"/>
      <c r="AE33" s="38" t="n"/>
      <c r="AF33" s="118">
        <f>IF(OR($B33="",$C33=""),"",$C33-$B33+1)</f>
        <v/>
      </c>
      <c r="AG33" s="74" t="n"/>
      <c r="AH33" s="36" t="n"/>
      <c r="AJ33">
        <f>IF($K33="","",", "&amp;$K33)</f>
        <v/>
      </c>
      <c r="AK33">
        <f>AJ33&amp;IF($L33="","",", "&amp;$L33)</f>
        <v/>
      </c>
      <c r="AL33">
        <f>AK33&amp;IF($M33="","",", "&amp;$M33)</f>
        <v/>
      </c>
      <c r="AM33">
        <f>AL33&amp;IF($N33="","",", "&amp;$N33)</f>
        <v/>
      </c>
      <c r="AN33">
        <f>AM33&amp;IF($O33="","",", "&amp;$O33)</f>
        <v/>
      </c>
      <c r="AO33">
        <f>AN33&amp;IF($P33="","",", "&amp;$P33)</f>
        <v/>
      </c>
      <c r="AP33">
        <f>AO33&amp;IF($Q33="","",", "&amp;$Q33)</f>
        <v/>
      </c>
      <c r="AQ33">
        <f>AP33&amp;IF($R33="","",", "&amp;$R33)</f>
        <v/>
      </c>
      <c r="AR33">
        <f>AQ33&amp;IF($S33="","",", "&amp;$S33)</f>
        <v/>
      </c>
      <c r="AS33">
        <f>AR33&amp;IF($T33="","",", "&amp;$T33)</f>
        <v/>
      </c>
      <c r="AT33">
        <f>AS33&amp;IF($U33="","",", "&amp;$U33)</f>
        <v/>
      </c>
      <c r="AU33">
        <f>AT33&amp;IF($V33="","",", "&amp;$V33)</f>
        <v/>
      </c>
      <c r="AV33">
        <f>AU33&amp;IF($W33="","",", "&amp;$W33)</f>
        <v/>
      </c>
      <c r="AW33">
        <f>AV33&amp;IF($X33="","",", "&amp;$X33)</f>
        <v/>
      </c>
      <c r="AX33">
        <f>AW33&amp;IF($Y33="","",", "&amp;$Y33)</f>
        <v/>
      </c>
    </row>
    <row r="34">
      <c r="A34" s="118">
        <f>IF($B34="","",COUNT($B$5:$B34))</f>
        <v/>
      </c>
      <c r="B34" s="80" t="n"/>
      <c r="C34" s="80" t="n"/>
      <c r="D34" s="74" t="n"/>
      <c r="E34" s="74" t="n"/>
      <c r="F34" s="74" t="n"/>
      <c r="G34" s="118">
        <f>IF($F34="","",COUNTIF($F$5:$F34,$F34))</f>
        <v/>
      </c>
      <c r="H34" s="33">
        <f>IF($F34="","",IFERROR(INDEX(사건마스터!$B$5:$B$64,MATCH($F34,사건마스터!$A$5:$A$64,0)),""))</f>
        <v/>
      </c>
      <c r="I34" s="130">
        <f>IF($F34="","",IFERROR(INDEX(사건마스터!$C$5:$C$64,MATCH($F34,사건마스터!$A$5:$A$64,0)),""))</f>
        <v/>
      </c>
      <c r="J34" s="136">
        <f>IF($F34="","",IFERROR(INDEX(사건마스터!$H$5:$H$64,MATCH($F34,사건마스터!$A$5:$A$64,0)),""))</f>
        <v/>
      </c>
      <c r="K34" s="136">
        <f>IF($F34="","",IFERROR(INDEX(사건마스터!$AH$5:$AH$64,MATCH($F34,사건마스터!$A$5:$A$64,0)),""))</f>
        <v/>
      </c>
      <c r="L34" s="136">
        <f>IF($F34="","",IFERROR(INDEX(사건마스터!$AI$5:$AI$64,MATCH($F34,사건마스터!$A$5:$A$64,0)),""))</f>
        <v/>
      </c>
      <c r="M34" s="136">
        <f>IF($F34="","",IFERROR(INDEX(사건마스터!$AJ$5:$AJ$64,MATCH($F34,사건마스터!$A$5:$A$64,0)),""))</f>
        <v/>
      </c>
      <c r="N34" s="136">
        <f>IF($F34="","",IFERROR(INDEX(사건마스터!$AK$5:$AK$64,MATCH($F34,사건마스터!$A$5:$A$64,0)),""))</f>
        <v/>
      </c>
      <c r="O34" s="136">
        <f>IF($F34="","",IFERROR(INDEX(사건마스터!$AL$5:$AL$64,MATCH($F34,사건마스터!$A$5:$A$64,0)),""))</f>
        <v/>
      </c>
      <c r="P34" s="136">
        <f>IF($F34="","",IFERROR(INDEX(사건마스터!$AM$5:$AM$64,MATCH($F34,사건마스터!$A$5:$A$64,0)),""))</f>
        <v/>
      </c>
      <c r="Q34" s="136">
        <f>IF($F34="","",IFERROR(INDEX(사건마스터!$AN$5:$AN$64,MATCH($F34,사건마스터!$A$5:$A$64,0)),""))</f>
        <v/>
      </c>
      <c r="R34" s="136">
        <f>IF($F34="","",IFERROR(INDEX(사건마스터!$AO$5:$AO$64,MATCH($F34,사건마스터!$A$5:$A$64,0)),""))</f>
        <v/>
      </c>
      <c r="S34" s="136">
        <f>IF($F34="","",IFERROR(INDEX(사건마스터!$AP$5:$AP$64,MATCH($F34,사건마스터!$A$5:$A$64,0)),""))</f>
        <v/>
      </c>
      <c r="T34" s="136">
        <f>IF($F34="","",IFERROR(INDEX(사건마스터!$AQ$5:$AQ$64,MATCH($F34,사건마스터!$A$5:$A$64,0)),""))</f>
        <v/>
      </c>
      <c r="U34" s="136">
        <f>IF($F34="","",IFERROR(INDEX(사건마스터!$AR$5:$AR$64,MATCH($F34,사건마스터!$A$5:$A$64,0)),""))</f>
        <v/>
      </c>
      <c r="V34" s="136">
        <f>IF($F34="","",IFERROR(INDEX(사건마스터!$AS$5:$AS$64,MATCH($F34,사건마스터!$A$5:$A$64,0)),""))</f>
        <v/>
      </c>
      <c r="W34" s="136">
        <f>IF($F34="","",IFERROR(INDEX(사건마스터!$AT$5:$AT$64,MATCH($F34,사건마스터!$A$5:$A$64,0)),""))</f>
        <v/>
      </c>
      <c r="X34" s="136">
        <f>IF($F34="","",IFERROR(INDEX(사건마스터!$AU$5:$AU$64,MATCH($F34,사건마스터!$A$5:$A$64,0)),""))</f>
        <v/>
      </c>
      <c r="Y34" s="136">
        <f>IF($F34="","",IFERROR(INDEX(사건마스터!$AV$5:$AV$64,MATCH($F34,사건마스터!$A$5:$A$64,0)),""))</f>
        <v/>
      </c>
      <c r="Z34" s="118">
        <f>IF(COUNTBLANK($J34:$Y34)=16,"",16-COUNTBLANK($J34:$Y34))</f>
        <v/>
      </c>
      <c r="AA34" s="33">
        <f>IF($J34="",MID($AX34,3,255),$J34&amp;$AX34)</f>
        <v/>
      </c>
      <c r="AB34" s="130">
        <f>IF($J34="","",IFERROR(INDEX(코드설정!$D$5:$D$24,MATCH($J34,코드설정!$C$5:$C$24,0)),""))</f>
        <v/>
      </c>
      <c r="AC34" s="36" t="n"/>
      <c r="AD34" s="37" t="n"/>
      <c r="AE34" s="38" t="n"/>
      <c r="AF34" s="118">
        <f>IF(OR($B34="",$C34=""),"",$C34-$B34+1)</f>
        <v/>
      </c>
      <c r="AG34" s="74" t="n"/>
      <c r="AH34" s="36" t="n"/>
      <c r="AJ34">
        <f>IF($K34="","",", "&amp;$K34)</f>
        <v/>
      </c>
      <c r="AK34">
        <f>AJ34&amp;IF($L34="","",", "&amp;$L34)</f>
        <v/>
      </c>
      <c r="AL34">
        <f>AK34&amp;IF($M34="","",", "&amp;$M34)</f>
        <v/>
      </c>
      <c r="AM34">
        <f>AL34&amp;IF($N34="","",", "&amp;$N34)</f>
        <v/>
      </c>
      <c r="AN34">
        <f>AM34&amp;IF($O34="","",", "&amp;$O34)</f>
        <v/>
      </c>
      <c r="AO34">
        <f>AN34&amp;IF($P34="","",", "&amp;$P34)</f>
        <v/>
      </c>
      <c r="AP34">
        <f>AO34&amp;IF($Q34="","",", "&amp;$Q34)</f>
        <v/>
      </c>
      <c r="AQ34">
        <f>AP34&amp;IF($R34="","",", "&amp;$R34)</f>
        <v/>
      </c>
      <c r="AR34">
        <f>AQ34&amp;IF($S34="","",", "&amp;$S34)</f>
        <v/>
      </c>
      <c r="AS34">
        <f>AR34&amp;IF($T34="","",", "&amp;$T34)</f>
        <v/>
      </c>
      <c r="AT34">
        <f>AS34&amp;IF($U34="","",", "&amp;$U34)</f>
        <v/>
      </c>
      <c r="AU34">
        <f>AT34&amp;IF($V34="","",", "&amp;$V34)</f>
        <v/>
      </c>
      <c r="AV34">
        <f>AU34&amp;IF($W34="","",", "&amp;$W34)</f>
        <v/>
      </c>
      <c r="AW34">
        <f>AV34&amp;IF($X34="","",", "&amp;$X34)</f>
        <v/>
      </c>
      <c r="AX34">
        <f>AW34&amp;IF($Y34="","",", "&amp;$Y34)</f>
        <v/>
      </c>
    </row>
    <row r="35">
      <c r="A35" s="118">
        <f>IF($B35="","",COUNT($B$5:$B35))</f>
        <v/>
      </c>
      <c r="B35" s="80" t="n"/>
      <c r="C35" s="80" t="n"/>
      <c r="D35" s="74" t="n"/>
      <c r="E35" s="74" t="n"/>
      <c r="F35" s="74" t="n"/>
      <c r="G35" s="118">
        <f>IF($F35="","",COUNTIF($F$5:$F35,$F35))</f>
        <v/>
      </c>
      <c r="H35" s="33">
        <f>IF($F35="","",IFERROR(INDEX(사건마스터!$B$5:$B$64,MATCH($F35,사건마스터!$A$5:$A$64,0)),""))</f>
        <v/>
      </c>
      <c r="I35" s="130">
        <f>IF($F35="","",IFERROR(INDEX(사건마스터!$C$5:$C$64,MATCH($F35,사건마스터!$A$5:$A$64,0)),""))</f>
        <v/>
      </c>
      <c r="J35" s="136">
        <f>IF($F35="","",IFERROR(INDEX(사건마스터!$H$5:$H$64,MATCH($F35,사건마스터!$A$5:$A$64,0)),""))</f>
        <v/>
      </c>
      <c r="K35" s="136">
        <f>IF($F35="","",IFERROR(INDEX(사건마스터!$AH$5:$AH$64,MATCH($F35,사건마스터!$A$5:$A$64,0)),""))</f>
        <v/>
      </c>
      <c r="L35" s="136">
        <f>IF($F35="","",IFERROR(INDEX(사건마스터!$AI$5:$AI$64,MATCH($F35,사건마스터!$A$5:$A$64,0)),""))</f>
        <v/>
      </c>
      <c r="M35" s="136">
        <f>IF($F35="","",IFERROR(INDEX(사건마스터!$AJ$5:$AJ$64,MATCH($F35,사건마스터!$A$5:$A$64,0)),""))</f>
        <v/>
      </c>
      <c r="N35" s="136">
        <f>IF($F35="","",IFERROR(INDEX(사건마스터!$AK$5:$AK$64,MATCH($F35,사건마스터!$A$5:$A$64,0)),""))</f>
        <v/>
      </c>
      <c r="O35" s="136">
        <f>IF($F35="","",IFERROR(INDEX(사건마스터!$AL$5:$AL$64,MATCH($F35,사건마스터!$A$5:$A$64,0)),""))</f>
        <v/>
      </c>
      <c r="P35" s="136">
        <f>IF($F35="","",IFERROR(INDEX(사건마스터!$AM$5:$AM$64,MATCH($F35,사건마스터!$A$5:$A$64,0)),""))</f>
        <v/>
      </c>
      <c r="Q35" s="136">
        <f>IF($F35="","",IFERROR(INDEX(사건마스터!$AN$5:$AN$64,MATCH($F35,사건마스터!$A$5:$A$64,0)),""))</f>
        <v/>
      </c>
      <c r="R35" s="136">
        <f>IF($F35="","",IFERROR(INDEX(사건마스터!$AO$5:$AO$64,MATCH($F35,사건마스터!$A$5:$A$64,0)),""))</f>
        <v/>
      </c>
      <c r="S35" s="136">
        <f>IF($F35="","",IFERROR(INDEX(사건마스터!$AP$5:$AP$64,MATCH($F35,사건마스터!$A$5:$A$64,0)),""))</f>
        <v/>
      </c>
      <c r="T35" s="136">
        <f>IF($F35="","",IFERROR(INDEX(사건마스터!$AQ$5:$AQ$64,MATCH($F35,사건마스터!$A$5:$A$64,0)),""))</f>
        <v/>
      </c>
      <c r="U35" s="136">
        <f>IF($F35="","",IFERROR(INDEX(사건마스터!$AR$5:$AR$64,MATCH($F35,사건마스터!$A$5:$A$64,0)),""))</f>
        <v/>
      </c>
      <c r="V35" s="136">
        <f>IF($F35="","",IFERROR(INDEX(사건마스터!$AS$5:$AS$64,MATCH($F35,사건마스터!$A$5:$A$64,0)),""))</f>
        <v/>
      </c>
      <c r="W35" s="136">
        <f>IF($F35="","",IFERROR(INDEX(사건마스터!$AT$5:$AT$64,MATCH($F35,사건마스터!$A$5:$A$64,0)),""))</f>
        <v/>
      </c>
      <c r="X35" s="136">
        <f>IF($F35="","",IFERROR(INDEX(사건마스터!$AU$5:$AU$64,MATCH($F35,사건마스터!$A$5:$A$64,0)),""))</f>
        <v/>
      </c>
      <c r="Y35" s="136">
        <f>IF($F35="","",IFERROR(INDEX(사건마스터!$AV$5:$AV$64,MATCH($F35,사건마스터!$A$5:$A$64,0)),""))</f>
        <v/>
      </c>
      <c r="Z35" s="118">
        <f>IF(COUNTBLANK($J35:$Y35)=16,"",16-COUNTBLANK($J35:$Y35))</f>
        <v/>
      </c>
      <c r="AA35" s="33">
        <f>IF($J35="",MID($AX35,3,255),$J35&amp;$AX35)</f>
        <v/>
      </c>
      <c r="AB35" s="130">
        <f>IF($J35="","",IFERROR(INDEX(코드설정!$D$5:$D$24,MATCH($J35,코드설정!$C$5:$C$24,0)),""))</f>
        <v/>
      </c>
      <c r="AC35" s="36" t="n"/>
      <c r="AD35" s="37" t="n"/>
      <c r="AE35" s="38" t="n"/>
      <c r="AF35" s="118">
        <f>IF(OR($B35="",$C35=""),"",$C35-$B35+1)</f>
        <v/>
      </c>
      <c r="AG35" s="74" t="n"/>
      <c r="AH35" s="36" t="n"/>
      <c r="AJ35">
        <f>IF($K35="","",", "&amp;$K35)</f>
        <v/>
      </c>
      <c r="AK35">
        <f>AJ35&amp;IF($L35="","",", "&amp;$L35)</f>
        <v/>
      </c>
      <c r="AL35">
        <f>AK35&amp;IF($M35="","",", "&amp;$M35)</f>
        <v/>
      </c>
      <c r="AM35">
        <f>AL35&amp;IF($N35="","",", "&amp;$N35)</f>
        <v/>
      </c>
      <c r="AN35">
        <f>AM35&amp;IF($O35="","",", "&amp;$O35)</f>
        <v/>
      </c>
      <c r="AO35">
        <f>AN35&amp;IF($P35="","",", "&amp;$P35)</f>
        <v/>
      </c>
      <c r="AP35">
        <f>AO35&amp;IF($Q35="","",", "&amp;$Q35)</f>
        <v/>
      </c>
      <c r="AQ35">
        <f>AP35&amp;IF($R35="","",", "&amp;$R35)</f>
        <v/>
      </c>
      <c r="AR35">
        <f>AQ35&amp;IF($S35="","",", "&amp;$S35)</f>
        <v/>
      </c>
      <c r="AS35">
        <f>AR35&amp;IF($T35="","",", "&amp;$T35)</f>
        <v/>
      </c>
      <c r="AT35">
        <f>AS35&amp;IF($U35="","",", "&amp;$U35)</f>
        <v/>
      </c>
      <c r="AU35">
        <f>AT35&amp;IF($V35="","",", "&amp;$V35)</f>
        <v/>
      </c>
      <c r="AV35">
        <f>AU35&amp;IF($W35="","",", "&amp;$W35)</f>
        <v/>
      </c>
      <c r="AW35">
        <f>AV35&amp;IF($X35="","",", "&amp;$X35)</f>
        <v/>
      </c>
      <c r="AX35">
        <f>AW35&amp;IF($Y35="","",", "&amp;$Y35)</f>
        <v/>
      </c>
    </row>
    <row r="36">
      <c r="A36" s="118">
        <f>IF($B36="","",COUNT($B$5:$B36))</f>
        <v/>
      </c>
      <c r="B36" s="80" t="n"/>
      <c r="C36" s="80" t="n"/>
      <c r="D36" s="74" t="n"/>
      <c r="E36" s="74" t="n"/>
      <c r="F36" s="74" t="n"/>
      <c r="G36" s="118">
        <f>IF($F36="","",COUNTIF($F$5:$F36,$F36))</f>
        <v/>
      </c>
      <c r="H36" s="33">
        <f>IF($F36="","",IFERROR(INDEX(사건마스터!$B$5:$B$64,MATCH($F36,사건마스터!$A$5:$A$64,0)),""))</f>
        <v/>
      </c>
      <c r="I36" s="130">
        <f>IF($F36="","",IFERROR(INDEX(사건마스터!$C$5:$C$64,MATCH($F36,사건마스터!$A$5:$A$64,0)),""))</f>
        <v/>
      </c>
      <c r="J36" s="136">
        <f>IF($F36="","",IFERROR(INDEX(사건마스터!$H$5:$H$64,MATCH($F36,사건마스터!$A$5:$A$64,0)),""))</f>
        <v/>
      </c>
      <c r="K36" s="136">
        <f>IF($F36="","",IFERROR(INDEX(사건마스터!$AH$5:$AH$64,MATCH($F36,사건마스터!$A$5:$A$64,0)),""))</f>
        <v/>
      </c>
      <c r="L36" s="136">
        <f>IF($F36="","",IFERROR(INDEX(사건마스터!$AI$5:$AI$64,MATCH($F36,사건마스터!$A$5:$A$64,0)),""))</f>
        <v/>
      </c>
      <c r="M36" s="136">
        <f>IF($F36="","",IFERROR(INDEX(사건마스터!$AJ$5:$AJ$64,MATCH($F36,사건마스터!$A$5:$A$64,0)),""))</f>
        <v/>
      </c>
      <c r="N36" s="136">
        <f>IF($F36="","",IFERROR(INDEX(사건마스터!$AK$5:$AK$64,MATCH($F36,사건마스터!$A$5:$A$64,0)),""))</f>
        <v/>
      </c>
      <c r="O36" s="136">
        <f>IF($F36="","",IFERROR(INDEX(사건마스터!$AL$5:$AL$64,MATCH($F36,사건마스터!$A$5:$A$64,0)),""))</f>
        <v/>
      </c>
      <c r="P36" s="136">
        <f>IF($F36="","",IFERROR(INDEX(사건마스터!$AM$5:$AM$64,MATCH($F36,사건마스터!$A$5:$A$64,0)),""))</f>
        <v/>
      </c>
      <c r="Q36" s="136">
        <f>IF($F36="","",IFERROR(INDEX(사건마스터!$AN$5:$AN$64,MATCH($F36,사건마스터!$A$5:$A$64,0)),""))</f>
        <v/>
      </c>
      <c r="R36" s="136">
        <f>IF($F36="","",IFERROR(INDEX(사건마스터!$AO$5:$AO$64,MATCH($F36,사건마스터!$A$5:$A$64,0)),""))</f>
        <v/>
      </c>
      <c r="S36" s="136">
        <f>IF($F36="","",IFERROR(INDEX(사건마스터!$AP$5:$AP$64,MATCH($F36,사건마스터!$A$5:$A$64,0)),""))</f>
        <v/>
      </c>
      <c r="T36" s="136">
        <f>IF($F36="","",IFERROR(INDEX(사건마스터!$AQ$5:$AQ$64,MATCH($F36,사건마스터!$A$5:$A$64,0)),""))</f>
        <v/>
      </c>
      <c r="U36" s="136">
        <f>IF($F36="","",IFERROR(INDEX(사건마스터!$AR$5:$AR$64,MATCH($F36,사건마스터!$A$5:$A$64,0)),""))</f>
        <v/>
      </c>
      <c r="V36" s="136">
        <f>IF($F36="","",IFERROR(INDEX(사건마스터!$AS$5:$AS$64,MATCH($F36,사건마스터!$A$5:$A$64,0)),""))</f>
        <v/>
      </c>
      <c r="W36" s="136">
        <f>IF($F36="","",IFERROR(INDEX(사건마스터!$AT$5:$AT$64,MATCH($F36,사건마스터!$A$5:$A$64,0)),""))</f>
        <v/>
      </c>
      <c r="X36" s="136">
        <f>IF($F36="","",IFERROR(INDEX(사건마스터!$AU$5:$AU$64,MATCH($F36,사건마스터!$A$5:$A$64,0)),""))</f>
        <v/>
      </c>
      <c r="Y36" s="136">
        <f>IF($F36="","",IFERROR(INDEX(사건마스터!$AV$5:$AV$64,MATCH($F36,사건마스터!$A$5:$A$64,0)),""))</f>
        <v/>
      </c>
      <c r="Z36" s="118">
        <f>IF(COUNTBLANK($J36:$Y36)=16,"",16-COUNTBLANK($J36:$Y36))</f>
        <v/>
      </c>
      <c r="AA36" s="33">
        <f>IF($J36="",MID($AX36,3,255),$J36&amp;$AX36)</f>
        <v/>
      </c>
      <c r="AB36" s="130">
        <f>IF($J36="","",IFERROR(INDEX(코드설정!$D$5:$D$24,MATCH($J36,코드설정!$C$5:$C$24,0)),""))</f>
        <v/>
      </c>
      <c r="AC36" s="36" t="n"/>
      <c r="AD36" s="37" t="n"/>
      <c r="AE36" s="38" t="n"/>
      <c r="AF36" s="118">
        <f>IF(OR($B36="",$C36=""),"",$C36-$B36+1)</f>
        <v/>
      </c>
      <c r="AG36" s="74" t="n"/>
      <c r="AH36" s="36" t="n"/>
      <c r="AJ36">
        <f>IF($K36="","",", "&amp;$K36)</f>
        <v/>
      </c>
      <c r="AK36">
        <f>AJ36&amp;IF($L36="","",", "&amp;$L36)</f>
        <v/>
      </c>
      <c r="AL36">
        <f>AK36&amp;IF($M36="","",", "&amp;$M36)</f>
        <v/>
      </c>
      <c r="AM36">
        <f>AL36&amp;IF($N36="","",", "&amp;$N36)</f>
        <v/>
      </c>
      <c r="AN36">
        <f>AM36&amp;IF($O36="","",", "&amp;$O36)</f>
        <v/>
      </c>
      <c r="AO36">
        <f>AN36&amp;IF($P36="","",", "&amp;$P36)</f>
        <v/>
      </c>
      <c r="AP36">
        <f>AO36&amp;IF($Q36="","",", "&amp;$Q36)</f>
        <v/>
      </c>
      <c r="AQ36">
        <f>AP36&amp;IF($R36="","",", "&amp;$R36)</f>
        <v/>
      </c>
      <c r="AR36">
        <f>AQ36&amp;IF($S36="","",", "&amp;$S36)</f>
        <v/>
      </c>
      <c r="AS36">
        <f>AR36&amp;IF($T36="","",", "&amp;$T36)</f>
        <v/>
      </c>
      <c r="AT36">
        <f>AS36&amp;IF($U36="","",", "&amp;$U36)</f>
        <v/>
      </c>
      <c r="AU36">
        <f>AT36&amp;IF($V36="","",", "&amp;$V36)</f>
        <v/>
      </c>
      <c r="AV36">
        <f>AU36&amp;IF($W36="","",", "&amp;$W36)</f>
        <v/>
      </c>
      <c r="AW36">
        <f>AV36&amp;IF($X36="","",", "&amp;$X36)</f>
        <v/>
      </c>
      <c r="AX36">
        <f>AW36&amp;IF($Y36="","",", "&amp;$Y36)</f>
        <v/>
      </c>
    </row>
    <row r="37">
      <c r="A37" s="118">
        <f>IF($B37="","",COUNT($B$5:$B37))</f>
        <v/>
      </c>
      <c r="B37" s="80" t="n"/>
      <c r="C37" s="80" t="n"/>
      <c r="D37" s="74" t="n"/>
      <c r="E37" s="74" t="n"/>
      <c r="F37" s="74" t="n"/>
      <c r="G37" s="118">
        <f>IF($F37="","",COUNTIF($F$5:$F37,$F37))</f>
        <v/>
      </c>
      <c r="H37" s="33">
        <f>IF($F37="","",IFERROR(INDEX(사건마스터!$B$5:$B$64,MATCH($F37,사건마스터!$A$5:$A$64,0)),""))</f>
        <v/>
      </c>
      <c r="I37" s="130">
        <f>IF($F37="","",IFERROR(INDEX(사건마스터!$C$5:$C$64,MATCH($F37,사건마스터!$A$5:$A$64,0)),""))</f>
        <v/>
      </c>
      <c r="J37" s="136">
        <f>IF($F37="","",IFERROR(INDEX(사건마스터!$H$5:$H$64,MATCH($F37,사건마스터!$A$5:$A$64,0)),""))</f>
        <v/>
      </c>
      <c r="K37" s="136">
        <f>IF($F37="","",IFERROR(INDEX(사건마스터!$AH$5:$AH$64,MATCH($F37,사건마스터!$A$5:$A$64,0)),""))</f>
        <v/>
      </c>
      <c r="L37" s="136">
        <f>IF($F37="","",IFERROR(INDEX(사건마스터!$AI$5:$AI$64,MATCH($F37,사건마스터!$A$5:$A$64,0)),""))</f>
        <v/>
      </c>
      <c r="M37" s="136">
        <f>IF($F37="","",IFERROR(INDEX(사건마스터!$AJ$5:$AJ$64,MATCH($F37,사건마스터!$A$5:$A$64,0)),""))</f>
        <v/>
      </c>
      <c r="N37" s="136">
        <f>IF($F37="","",IFERROR(INDEX(사건마스터!$AK$5:$AK$64,MATCH($F37,사건마스터!$A$5:$A$64,0)),""))</f>
        <v/>
      </c>
      <c r="O37" s="136">
        <f>IF($F37="","",IFERROR(INDEX(사건마스터!$AL$5:$AL$64,MATCH($F37,사건마스터!$A$5:$A$64,0)),""))</f>
        <v/>
      </c>
      <c r="P37" s="136">
        <f>IF($F37="","",IFERROR(INDEX(사건마스터!$AM$5:$AM$64,MATCH($F37,사건마스터!$A$5:$A$64,0)),""))</f>
        <v/>
      </c>
      <c r="Q37" s="136">
        <f>IF($F37="","",IFERROR(INDEX(사건마스터!$AN$5:$AN$64,MATCH($F37,사건마스터!$A$5:$A$64,0)),""))</f>
        <v/>
      </c>
      <c r="R37" s="136">
        <f>IF($F37="","",IFERROR(INDEX(사건마스터!$AO$5:$AO$64,MATCH($F37,사건마스터!$A$5:$A$64,0)),""))</f>
        <v/>
      </c>
      <c r="S37" s="136">
        <f>IF($F37="","",IFERROR(INDEX(사건마스터!$AP$5:$AP$64,MATCH($F37,사건마스터!$A$5:$A$64,0)),""))</f>
        <v/>
      </c>
      <c r="T37" s="136">
        <f>IF($F37="","",IFERROR(INDEX(사건마스터!$AQ$5:$AQ$64,MATCH($F37,사건마스터!$A$5:$A$64,0)),""))</f>
        <v/>
      </c>
      <c r="U37" s="136">
        <f>IF($F37="","",IFERROR(INDEX(사건마스터!$AR$5:$AR$64,MATCH($F37,사건마스터!$A$5:$A$64,0)),""))</f>
        <v/>
      </c>
      <c r="V37" s="136">
        <f>IF($F37="","",IFERROR(INDEX(사건마스터!$AS$5:$AS$64,MATCH($F37,사건마스터!$A$5:$A$64,0)),""))</f>
        <v/>
      </c>
      <c r="W37" s="136">
        <f>IF($F37="","",IFERROR(INDEX(사건마스터!$AT$5:$AT$64,MATCH($F37,사건마스터!$A$5:$A$64,0)),""))</f>
        <v/>
      </c>
      <c r="X37" s="136">
        <f>IF($F37="","",IFERROR(INDEX(사건마스터!$AU$5:$AU$64,MATCH($F37,사건마스터!$A$5:$A$64,0)),""))</f>
        <v/>
      </c>
      <c r="Y37" s="136">
        <f>IF($F37="","",IFERROR(INDEX(사건마스터!$AV$5:$AV$64,MATCH($F37,사건마스터!$A$5:$A$64,0)),""))</f>
        <v/>
      </c>
      <c r="Z37" s="118">
        <f>IF(COUNTBLANK($J37:$Y37)=16,"",16-COUNTBLANK($J37:$Y37))</f>
        <v/>
      </c>
      <c r="AA37" s="33">
        <f>IF($J37="",MID($AX37,3,255),$J37&amp;$AX37)</f>
        <v/>
      </c>
      <c r="AB37" s="130">
        <f>IF($J37="","",IFERROR(INDEX(코드설정!$D$5:$D$24,MATCH($J37,코드설정!$C$5:$C$24,0)),""))</f>
        <v/>
      </c>
      <c r="AC37" s="36" t="n"/>
      <c r="AD37" s="37" t="n"/>
      <c r="AE37" s="38" t="n"/>
      <c r="AF37" s="118">
        <f>IF(OR($B37="",$C37=""),"",$C37-$B37+1)</f>
        <v/>
      </c>
      <c r="AG37" s="74" t="n"/>
      <c r="AH37" s="36" t="n"/>
      <c r="AJ37">
        <f>IF($K37="","",", "&amp;$K37)</f>
        <v/>
      </c>
      <c r="AK37">
        <f>AJ37&amp;IF($L37="","",", "&amp;$L37)</f>
        <v/>
      </c>
      <c r="AL37">
        <f>AK37&amp;IF($M37="","",", "&amp;$M37)</f>
        <v/>
      </c>
      <c r="AM37">
        <f>AL37&amp;IF($N37="","",", "&amp;$N37)</f>
        <v/>
      </c>
      <c r="AN37">
        <f>AM37&amp;IF($O37="","",", "&amp;$O37)</f>
        <v/>
      </c>
      <c r="AO37">
        <f>AN37&amp;IF($P37="","",", "&amp;$P37)</f>
        <v/>
      </c>
      <c r="AP37">
        <f>AO37&amp;IF($Q37="","",", "&amp;$Q37)</f>
        <v/>
      </c>
      <c r="AQ37">
        <f>AP37&amp;IF($R37="","",", "&amp;$R37)</f>
        <v/>
      </c>
      <c r="AR37">
        <f>AQ37&amp;IF($S37="","",", "&amp;$S37)</f>
        <v/>
      </c>
      <c r="AS37">
        <f>AR37&amp;IF($T37="","",", "&amp;$T37)</f>
        <v/>
      </c>
      <c r="AT37">
        <f>AS37&amp;IF($U37="","",", "&amp;$U37)</f>
        <v/>
      </c>
      <c r="AU37">
        <f>AT37&amp;IF($V37="","",", "&amp;$V37)</f>
        <v/>
      </c>
      <c r="AV37">
        <f>AU37&amp;IF($W37="","",", "&amp;$W37)</f>
        <v/>
      </c>
      <c r="AW37">
        <f>AV37&amp;IF($X37="","",", "&amp;$X37)</f>
        <v/>
      </c>
      <c r="AX37">
        <f>AW37&amp;IF($Y37="","",", "&amp;$Y37)</f>
        <v/>
      </c>
    </row>
    <row r="38">
      <c r="A38" s="118">
        <f>IF($B38="","",COUNT($B$5:$B38))</f>
        <v/>
      </c>
      <c r="B38" s="80" t="n"/>
      <c r="C38" s="80" t="n"/>
      <c r="D38" s="74" t="n"/>
      <c r="E38" s="74" t="n"/>
      <c r="F38" s="74" t="n"/>
      <c r="G38" s="118">
        <f>IF($F38="","",COUNTIF($F$5:$F38,$F38))</f>
        <v/>
      </c>
      <c r="H38" s="33">
        <f>IF($F38="","",IFERROR(INDEX(사건마스터!$B$5:$B$64,MATCH($F38,사건마스터!$A$5:$A$64,0)),""))</f>
        <v/>
      </c>
      <c r="I38" s="130">
        <f>IF($F38="","",IFERROR(INDEX(사건마스터!$C$5:$C$64,MATCH($F38,사건마스터!$A$5:$A$64,0)),""))</f>
        <v/>
      </c>
      <c r="J38" s="136">
        <f>IF($F38="","",IFERROR(INDEX(사건마스터!$H$5:$H$64,MATCH($F38,사건마스터!$A$5:$A$64,0)),""))</f>
        <v/>
      </c>
      <c r="K38" s="136">
        <f>IF($F38="","",IFERROR(INDEX(사건마스터!$AH$5:$AH$64,MATCH($F38,사건마스터!$A$5:$A$64,0)),""))</f>
        <v/>
      </c>
      <c r="L38" s="136">
        <f>IF($F38="","",IFERROR(INDEX(사건마스터!$AI$5:$AI$64,MATCH($F38,사건마스터!$A$5:$A$64,0)),""))</f>
        <v/>
      </c>
      <c r="M38" s="136">
        <f>IF($F38="","",IFERROR(INDEX(사건마스터!$AJ$5:$AJ$64,MATCH($F38,사건마스터!$A$5:$A$64,0)),""))</f>
        <v/>
      </c>
      <c r="N38" s="136">
        <f>IF($F38="","",IFERROR(INDEX(사건마스터!$AK$5:$AK$64,MATCH($F38,사건마스터!$A$5:$A$64,0)),""))</f>
        <v/>
      </c>
      <c r="O38" s="136">
        <f>IF($F38="","",IFERROR(INDEX(사건마스터!$AL$5:$AL$64,MATCH($F38,사건마스터!$A$5:$A$64,0)),""))</f>
        <v/>
      </c>
      <c r="P38" s="136">
        <f>IF($F38="","",IFERROR(INDEX(사건마스터!$AM$5:$AM$64,MATCH($F38,사건마스터!$A$5:$A$64,0)),""))</f>
        <v/>
      </c>
      <c r="Q38" s="136">
        <f>IF($F38="","",IFERROR(INDEX(사건마스터!$AN$5:$AN$64,MATCH($F38,사건마스터!$A$5:$A$64,0)),""))</f>
        <v/>
      </c>
      <c r="R38" s="136">
        <f>IF($F38="","",IFERROR(INDEX(사건마스터!$AO$5:$AO$64,MATCH($F38,사건마스터!$A$5:$A$64,0)),""))</f>
        <v/>
      </c>
      <c r="S38" s="136">
        <f>IF($F38="","",IFERROR(INDEX(사건마스터!$AP$5:$AP$64,MATCH($F38,사건마스터!$A$5:$A$64,0)),""))</f>
        <v/>
      </c>
      <c r="T38" s="136">
        <f>IF($F38="","",IFERROR(INDEX(사건마스터!$AQ$5:$AQ$64,MATCH($F38,사건마스터!$A$5:$A$64,0)),""))</f>
        <v/>
      </c>
      <c r="U38" s="136">
        <f>IF($F38="","",IFERROR(INDEX(사건마스터!$AR$5:$AR$64,MATCH($F38,사건마스터!$A$5:$A$64,0)),""))</f>
        <v/>
      </c>
      <c r="V38" s="136">
        <f>IF($F38="","",IFERROR(INDEX(사건마스터!$AS$5:$AS$64,MATCH($F38,사건마스터!$A$5:$A$64,0)),""))</f>
        <v/>
      </c>
      <c r="W38" s="136">
        <f>IF($F38="","",IFERROR(INDEX(사건마스터!$AT$5:$AT$64,MATCH($F38,사건마스터!$A$5:$A$64,0)),""))</f>
        <v/>
      </c>
      <c r="X38" s="136">
        <f>IF($F38="","",IFERROR(INDEX(사건마스터!$AU$5:$AU$64,MATCH($F38,사건마스터!$A$5:$A$64,0)),""))</f>
        <v/>
      </c>
      <c r="Y38" s="136">
        <f>IF($F38="","",IFERROR(INDEX(사건마스터!$AV$5:$AV$64,MATCH($F38,사건마스터!$A$5:$A$64,0)),""))</f>
        <v/>
      </c>
      <c r="Z38" s="118">
        <f>IF(COUNTBLANK($J38:$Y38)=16,"",16-COUNTBLANK($J38:$Y38))</f>
        <v/>
      </c>
      <c r="AA38" s="33">
        <f>IF($J38="",MID($AX38,3,255),$J38&amp;$AX38)</f>
        <v/>
      </c>
      <c r="AB38" s="130">
        <f>IF($J38="","",IFERROR(INDEX(코드설정!$D$5:$D$24,MATCH($J38,코드설정!$C$5:$C$24,0)),""))</f>
        <v/>
      </c>
      <c r="AC38" s="36" t="n"/>
      <c r="AD38" s="37" t="n"/>
      <c r="AE38" s="38" t="n"/>
      <c r="AF38" s="118">
        <f>IF(OR($B38="",$C38=""),"",$C38-$B38+1)</f>
        <v/>
      </c>
      <c r="AG38" s="74" t="n"/>
      <c r="AH38" s="36" t="n"/>
      <c r="AJ38">
        <f>IF($K38="","",", "&amp;$K38)</f>
        <v/>
      </c>
      <c r="AK38">
        <f>AJ38&amp;IF($L38="","",", "&amp;$L38)</f>
        <v/>
      </c>
      <c r="AL38">
        <f>AK38&amp;IF($M38="","",", "&amp;$M38)</f>
        <v/>
      </c>
      <c r="AM38">
        <f>AL38&amp;IF($N38="","",", "&amp;$N38)</f>
        <v/>
      </c>
      <c r="AN38">
        <f>AM38&amp;IF($O38="","",", "&amp;$O38)</f>
        <v/>
      </c>
      <c r="AO38">
        <f>AN38&amp;IF($P38="","",", "&amp;$P38)</f>
        <v/>
      </c>
      <c r="AP38">
        <f>AO38&amp;IF($Q38="","",", "&amp;$Q38)</f>
        <v/>
      </c>
      <c r="AQ38">
        <f>AP38&amp;IF($R38="","",", "&amp;$R38)</f>
        <v/>
      </c>
      <c r="AR38">
        <f>AQ38&amp;IF($S38="","",", "&amp;$S38)</f>
        <v/>
      </c>
      <c r="AS38">
        <f>AR38&amp;IF($T38="","",", "&amp;$T38)</f>
        <v/>
      </c>
      <c r="AT38">
        <f>AS38&amp;IF($U38="","",", "&amp;$U38)</f>
        <v/>
      </c>
      <c r="AU38">
        <f>AT38&amp;IF($V38="","",", "&amp;$V38)</f>
        <v/>
      </c>
      <c r="AV38">
        <f>AU38&amp;IF($W38="","",", "&amp;$W38)</f>
        <v/>
      </c>
      <c r="AW38">
        <f>AV38&amp;IF($X38="","",", "&amp;$X38)</f>
        <v/>
      </c>
      <c r="AX38">
        <f>AW38&amp;IF($Y38="","",", "&amp;$Y38)</f>
        <v/>
      </c>
    </row>
    <row r="39">
      <c r="A39" s="118">
        <f>IF($B39="","",COUNT($B$5:$B39))</f>
        <v/>
      </c>
      <c r="B39" s="80" t="n"/>
      <c r="C39" s="80" t="n"/>
      <c r="D39" s="74" t="n"/>
      <c r="E39" s="74" t="n"/>
      <c r="F39" s="74" t="n"/>
      <c r="G39" s="118">
        <f>IF($F39="","",COUNTIF($F$5:$F39,$F39))</f>
        <v/>
      </c>
      <c r="H39" s="33">
        <f>IF($F39="","",IFERROR(INDEX(사건마스터!$B$5:$B$64,MATCH($F39,사건마스터!$A$5:$A$64,0)),""))</f>
        <v/>
      </c>
      <c r="I39" s="130">
        <f>IF($F39="","",IFERROR(INDEX(사건마스터!$C$5:$C$64,MATCH($F39,사건마스터!$A$5:$A$64,0)),""))</f>
        <v/>
      </c>
      <c r="J39" s="136">
        <f>IF($F39="","",IFERROR(INDEX(사건마스터!$H$5:$H$64,MATCH($F39,사건마스터!$A$5:$A$64,0)),""))</f>
        <v/>
      </c>
      <c r="K39" s="136">
        <f>IF($F39="","",IFERROR(INDEX(사건마스터!$AH$5:$AH$64,MATCH($F39,사건마스터!$A$5:$A$64,0)),""))</f>
        <v/>
      </c>
      <c r="L39" s="136">
        <f>IF($F39="","",IFERROR(INDEX(사건마스터!$AI$5:$AI$64,MATCH($F39,사건마스터!$A$5:$A$64,0)),""))</f>
        <v/>
      </c>
      <c r="M39" s="136">
        <f>IF($F39="","",IFERROR(INDEX(사건마스터!$AJ$5:$AJ$64,MATCH($F39,사건마스터!$A$5:$A$64,0)),""))</f>
        <v/>
      </c>
      <c r="N39" s="136">
        <f>IF($F39="","",IFERROR(INDEX(사건마스터!$AK$5:$AK$64,MATCH($F39,사건마스터!$A$5:$A$64,0)),""))</f>
        <v/>
      </c>
      <c r="O39" s="136">
        <f>IF($F39="","",IFERROR(INDEX(사건마스터!$AL$5:$AL$64,MATCH($F39,사건마스터!$A$5:$A$64,0)),""))</f>
        <v/>
      </c>
      <c r="P39" s="136">
        <f>IF($F39="","",IFERROR(INDEX(사건마스터!$AM$5:$AM$64,MATCH($F39,사건마스터!$A$5:$A$64,0)),""))</f>
        <v/>
      </c>
      <c r="Q39" s="136">
        <f>IF($F39="","",IFERROR(INDEX(사건마스터!$AN$5:$AN$64,MATCH($F39,사건마스터!$A$5:$A$64,0)),""))</f>
        <v/>
      </c>
      <c r="R39" s="136">
        <f>IF($F39="","",IFERROR(INDEX(사건마스터!$AO$5:$AO$64,MATCH($F39,사건마스터!$A$5:$A$64,0)),""))</f>
        <v/>
      </c>
      <c r="S39" s="136">
        <f>IF($F39="","",IFERROR(INDEX(사건마스터!$AP$5:$AP$64,MATCH($F39,사건마스터!$A$5:$A$64,0)),""))</f>
        <v/>
      </c>
      <c r="T39" s="136">
        <f>IF($F39="","",IFERROR(INDEX(사건마스터!$AQ$5:$AQ$64,MATCH($F39,사건마스터!$A$5:$A$64,0)),""))</f>
        <v/>
      </c>
      <c r="U39" s="136">
        <f>IF($F39="","",IFERROR(INDEX(사건마스터!$AR$5:$AR$64,MATCH($F39,사건마스터!$A$5:$A$64,0)),""))</f>
        <v/>
      </c>
      <c r="V39" s="136">
        <f>IF($F39="","",IFERROR(INDEX(사건마스터!$AS$5:$AS$64,MATCH($F39,사건마스터!$A$5:$A$64,0)),""))</f>
        <v/>
      </c>
      <c r="W39" s="136">
        <f>IF($F39="","",IFERROR(INDEX(사건마스터!$AT$5:$AT$64,MATCH($F39,사건마스터!$A$5:$A$64,0)),""))</f>
        <v/>
      </c>
      <c r="X39" s="136">
        <f>IF($F39="","",IFERROR(INDEX(사건마스터!$AU$5:$AU$64,MATCH($F39,사건마스터!$A$5:$A$64,0)),""))</f>
        <v/>
      </c>
      <c r="Y39" s="136">
        <f>IF($F39="","",IFERROR(INDEX(사건마스터!$AV$5:$AV$64,MATCH($F39,사건마스터!$A$5:$A$64,0)),""))</f>
        <v/>
      </c>
      <c r="Z39" s="118">
        <f>IF(COUNTBLANK($J39:$Y39)=16,"",16-COUNTBLANK($J39:$Y39))</f>
        <v/>
      </c>
      <c r="AA39" s="33">
        <f>IF($J39="",MID($AX39,3,255),$J39&amp;$AX39)</f>
        <v/>
      </c>
      <c r="AB39" s="130">
        <f>IF($J39="","",IFERROR(INDEX(코드설정!$D$5:$D$24,MATCH($J39,코드설정!$C$5:$C$24,0)),""))</f>
        <v/>
      </c>
      <c r="AC39" s="36" t="n"/>
      <c r="AD39" s="37" t="n"/>
      <c r="AE39" s="38" t="n"/>
      <c r="AF39" s="118">
        <f>IF(OR($B39="",$C39=""),"",$C39-$B39+1)</f>
        <v/>
      </c>
      <c r="AG39" s="74" t="n"/>
      <c r="AH39" s="36" t="n"/>
      <c r="AJ39">
        <f>IF($K39="","",", "&amp;$K39)</f>
        <v/>
      </c>
      <c r="AK39">
        <f>AJ39&amp;IF($L39="","",", "&amp;$L39)</f>
        <v/>
      </c>
      <c r="AL39">
        <f>AK39&amp;IF($M39="","",", "&amp;$M39)</f>
        <v/>
      </c>
      <c r="AM39">
        <f>AL39&amp;IF($N39="","",", "&amp;$N39)</f>
        <v/>
      </c>
      <c r="AN39">
        <f>AM39&amp;IF($O39="","",", "&amp;$O39)</f>
        <v/>
      </c>
      <c r="AO39">
        <f>AN39&amp;IF($P39="","",", "&amp;$P39)</f>
        <v/>
      </c>
      <c r="AP39">
        <f>AO39&amp;IF($Q39="","",", "&amp;$Q39)</f>
        <v/>
      </c>
      <c r="AQ39">
        <f>AP39&amp;IF($R39="","",", "&amp;$R39)</f>
        <v/>
      </c>
      <c r="AR39">
        <f>AQ39&amp;IF($S39="","",", "&amp;$S39)</f>
        <v/>
      </c>
      <c r="AS39">
        <f>AR39&amp;IF($T39="","",", "&amp;$T39)</f>
        <v/>
      </c>
      <c r="AT39">
        <f>AS39&amp;IF($U39="","",", "&amp;$U39)</f>
        <v/>
      </c>
      <c r="AU39">
        <f>AT39&amp;IF($V39="","",", "&amp;$V39)</f>
        <v/>
      </c>
      <c r="AV39">
        <f>AU39&amp;IF($W39="","",", "&amp;$W39)</f>
        <v/>
      </c>
      <c r="AW39">
        <f>AV39&amp;IF($X39="","",", "&amp;$X39)</f>
        <v/>
      </c>
      <c r="AX39">
        <f>AW39&amp;IF($Y39="","",", "&amp;$Y39)</f>
        <v/>
      </c>
    </row>
    <row r="40">
      <c r="A40" s="118">
        <f>IF($B40="","",COUNT($B$5:$B40))</f>
        <v/>
      </c>
      <c r="B40" s="80" t="n"/>
      <c r="C40" s="80" t="n"/>
      <c r="D40" s="74" t="n"/>
      <c r="E40" s="74" t="n"/>
      <c r="F40" s="74" t="n"/>
      <c r="G40" s="118">
        <f>IF($F40="","",COUNTIF($F$5:$F40,$F40))</f>
        <v/>
      </c>
      <c r="H40" s="33">
        <f>IF($F40="","",IFERROR(INDEX(사건마스터!$B$5:$B$64,MATCH($F40,사건마스터!$A$5:$A$64,0)),""))</f>
        <v/>
      </c>
      <c r="I40" s="130">
        <f>IF($F40="","",IFERROR(INDEX(사건마스터!$C$5:$C$64,MATCH($F40,사건마스터!$A$5:$A$64,0)),""))</f>
        <v/>
      </c>
      <c r="J40" s="136">
        <f>IF($F40="","",IFERROR(INDEX(사건마스터!$H$5:$H$64,MATCH($F40,사건마스터!$A$5:$A$64,0)),""))</f>
        <v/>
      </c>
      <c r="K40" s="136">
        <f>IF($F40="","",IFERROR(INDEX(사건마스터!$AH$5:$AH$64,MATCH($F40,사건마스터!$A$5:$A$64,0)),""))</f>
        <v/>
      </c>
      <c r="L40" s="136">
        <f>IF($F40="","",IFERROR(INDEX(사건마스터!$AI$5:$AI$64,MATCH($F40,사건마스터!$A$5:$A$64,0)),""))</f>
        <v/>
      </c>
      <c r="M40" s="136">
        <f>IF($F40="","",IFERROR(INDEX(사건마스터!$AJ$5:$AJ$64,MATCH($F40,사건마스터!$A$5:$A$64,0)),""))</f>
        <v/>
      </c>
      <c r="N40" s="136">
        <f>IF($F40="","",IFERROR(INDEX(사건마스터!$AK$5:$AK$64,MATCH($F40,사건마스터!$A$5:$A$64,0)),""))</f>
        <v/>
      </c>
      <c r="O40" s="136">
        <f>IF($F40="","",IFERROR(INDEX(사건마스터!$AL$5:$AL$64,MATCH($F40,사건마스터!$A$5:$A$64,0)),""))</f>
        <v/>
      </c>
      <c r="P40" s="136">
        <f>IF($F40="","",IFERROR(INDEX(사건마스터!$AM$5:$AM$64,MATCH($F40,사건마스터!$A$5:$A$64,0)),""))</f>
        <v/>
      </c>
      <c r="Q40" s="136">
        <f>IF($F40="","",IFERROR(INDEX(사건마스터!$AN$5:$AN$64,MATCH($F40,사건마스터!$A$5:$A$64,0)),""))</f>
        <v/>
      </c>
      <c r="R40" s="136">
        <f>IF($F40="","",IFERROR(INDEX(사건마스터!$AO$5:$AO$64,MATCH($F40,사건마스터!$A$5:$A$64,0)),""))</f>
        <v/>
      </c>
      <c r="S40" s="136">
        <f>IF($F40="","",IFERROR(INDEX(사건마스터!$AP$5:$AP$64,MATCH($F40,사건마스터!$A$5:$A$64,0)),""))</f>
        <v/>
      </c>
      <c r="T40" s="136">
        <f>IF($F40="","",IFERROR(INDEX(사건마스터!$AQ$5:$AQ$64,MATCH($F40,사건마스터!$A$5:$A$64,0)),""))</f>
        <v/>
      </c>
      <c r="U40" s="136">
        <f>IF($F40="","",IFERROR(INDEX(사건마스터!$AR$5:$AR$64,MATCH($F40,사건마스터!$A$5:$A$64,0)),""))</f>
        <v/>
      </c>
      <c r="V40" s="136">
        <f>IF($F40="","",IFERROR(INDEX(사건마스터!$AS$5:$AS$64,MATCH($F40,사건마스터!$A$5:$A$64,0)),""))</f>
        <v/>
      </c>
      <c r="W40" s="136">
        <f>IF($F40="","",IFERROR(INDEX(사건마스터!$AT$5:$AT$64,MATCH($F40,사건마스터!$A$5:$A$64,0)),""))</f>
        <v/>
      </c>
      <c r="X40" s="136">
        <f>IF($F40="","",IFERROR(INDEX(사건마스터!$AU$5:$AU$64,MATCH($F40,사건마스터!$A$5:$A$64,0)),""))</f>
        <v/>
      </c>
      <c r="Y40" s="136">
        <f>IF($F40="","",IFERROR(INDEX(사건마스터!$AV$5:$AV$64,MATCH($F40,사건마스터!$A$5:$A$64,0)),""))</f>
        <v/>
      </c>
      <c r="Z40" s="118">
        <f>IF(COUNTBLANK($J40:$Y40)=16,"",16-COUNTBLANK($J40:$Y40))</f>
        <v/>
      </c>
      <c r="AA40" s="33">
        <f>IF($J40="",MID($AX40,3,255),$J40&amp;$AX40)</f>
        <v/>
      </c>
      <c r="AB40" s="130">
        <f>IF($J40="","",IFERROR(INDEX(코드설정!$D$5:$D$24,MATCH($J40,코드설정!$C$5:$C$24,0)),""))</f>
        <v/>
      </c>
      <c r="AC40" s="36" t="n"/>
      <c r="AD40" s="37" t="n"/>
      <c r="AE40" s="38" t="n"/>
      <c r="AF40" s="118">
        <f>IF(OR($B40="",$C40=""),"",$C40-$B40+1)</f>
        <v/>
      </c>
      <c r="AG40" s="74" t="n"/>
      <c r="AH40" s="36" t="n"/>
      <c r="AJ40">
        <f>IF($K40="","",", "&amp;$K40)</f>
        <v/>
      </c>
      <c r="AK40">
        <f>AJ40&amp;IF($L40="","",", "&amp;$L40)</f>
        <v/>
      </c>
      <c r="AL40">
        <f>AK40&amp;IF($M40="","",", "&amp;$M40)</f>
        <v/>
      </c>
      <c r="AM40">
        <f>AL40&amp;IF($N40="","",", "&amp;$N40)</f>
        <v/>
      </c>
      <c r="AN40">
        <f>AM40&amp;IF($O40="","",", "&amp;$O40)</f>
        <v/>
      </c>
      <c r="AO40">
        <f>AN40&amp;IF($P40="","",", "&amp;$P40)</f>
        <v/>
      </c>
      <c r="AP40">
        <f>AO40&amp;IF($Q40="","",", "&amp;$Q40)</f>
        <v/>
      </c>
      <c r="AQ40">
        <f>AP40&amp;IF($R40="","",", "&amp;$R40)</f>
        <v/>
      </c>
      <c r="AR40">
        <f>AQ40&amp;IF($S40="","",", "&amp;$S40)</f>
        <v/>
      </c>
      <c r="AS40">
        <f>AR40&amp;IF($T40="","",", "&amp;$T40)</f>
        <v/>
      </c>
      <c r="AT40">
        <f>AS40&amp;IF($U40="","",", "&amp;$U40)</f>
        <v/>
      </c>
      <c r="AU40">
        <f>AT40&amp;IF($V40="","",", "&amp;$V40)</f>
        <v/>
      </c>
      <c r="AV40">
        <f>AU40&amp;IF($W40="","",", "&amp;$W40)</f>
        <v/>
      </c>
      <c r="AW40">
        <f>AV40&amp;IF($X40="","",", "&amp;$X40)</f>
        <v/>
      </c>
      <c r="AX40">
        <f>AW40&amp;IF($Y40="","",", "&amp;$Y40)</f>
        <v/>
      </c>
    </row>
    <row r="41">
      <c r="A41" s="118">
        <f>IF($B41="","",COUNT($B$5:$B41))</f>
        <v/>
      </c>
      <c r="B41" s="80" t="n"/>
      <c r="C41" s="80" t="n"/>
      <c r="D41" s="74" t="n"/>
      <c r="E41" s="74" t="n"/>
      <c r="F41" s="74" t="n"/>
      <c r="G41" s="118">
        <f>IF($F41="","",COUNTIF($F$5:$F41,$F41))</f>
        <v/>
      </c>
      <c r="H41" s="33">
        <f>IF($F41="","",IFERROR(INDEX(사건마스터!$B$5:$B$64,MATCH($F41,사건마스터!$A$5:$A$64,0)),""))</f>
        <v/>
      </c>
      <c r="I41" s="130">
        <f>IF($F41="","",IFERROR(INDEX(사건마스터!$C$5:$C$64,MATCH($F41,사건마스터!$A$5:$A$64,0)),""))</f>
        <v/>
      </c>
      <c r="J41" s="136">
        <f>IF($F41="","",IFERROR(INDEX(사건마스터!$H$5:$H$64,MATCH($F41,사건마스터!$A$5:$A$64,0)),""))</f>
        <v/>
      </c>
      <c r="K41" s="136">
        <f>IF($F41="","",IFERROR(INDEX(사건마스터!$AH$5:$AH$64,MATCH($F41,사건마스터!$A$5:$A$64,0)),""))</f>
        <v/>
      </c>
      <c r="L41" s="136">
        <f>IF($F41="","",IFERROR(INDEX(사건마스터!$AI$5:$AI$64,MATCH($F41,사건마스터!$A$5:$A$64,0)),""))</f>
        <v/>
      </c>
      <c r="M41" s="136">
        <f>IF($F41="","",IFERROR(INDEX(사건마스터!$AJ$5:$AJ$64,MATCH($F41,사건마스터!$A$5:$A$64,0)),""))</f>
        <v/>
      </c>
      <c r="N41" s="136">
        <f>IF($F41="","",IFERROR(INDEX(사건마스터!$AK$5:$AK$64,MATCH($F41,사건마스터!$A$5:$A$64,0)),""))</f>
        <v/>
      </c>
      <c r="O41" s="136">
        <f>IF($F41="","",IFERROR(INDEX(사건마스터!$AL$5:$AL$64,MATCH($F41,사건마스터!$A$5:$A$64,0)),""))</f>
        <v/>
      </c>
      <c r="P41" s="136">
        <f>IF($F41="","",IFERROR(INDEX(사건마스터!$AM$5:$AM$64,MATCH($F41,사건마스터!$A$5:$A$64,0)),""))</f>
        <v/>
      </c>
      <c r="Q41" s="136">
        <f>IF($F41="","",IFERROR(INDEX(사건마스터!$AN$5:$AN$64,MATCH($F41,사건마스터!$A$5:$A$64,0)),""))</f>
        <v/>
      </c>
      <c r="R41" s="136">
        <f>IF($F41="","",IFERROR(INDEX(사건마스터!$AO$5:$AO$64,MATCH($F41,사건마스터!$A$5:$A$64,0)),""))</f>
        <v/>
      </c>
      <c r="S41" s="136">
        <f>IF($F41="","",IFERROR(INDEX(사건마스터!$AP$5:$AP$64,MATCH($F41,사건마스터!$A$5:$A$64,0)),""))</f>
        <v/>
      </c>
      <c r="T41" s="136">
        <f>IF($F41="","",IFERROR(INDEX(사건마스터!$AQ$5:$AQ$64,MATCH($F41,사건마스터!$A$5:$A$64,0)),""))</f>
        <v/>
      </c>
      <c r="U41" s="136">
        <f>IF($F41="","",IFERROR(INDEX(사건마스터!$AR$5:$AR$64,MATCH($F41,사건마스터!$A$5:$A$64,0)),""))</f>
        <v/>
      </c>
      <c r="V41" s="136">
        <f>IF($F41="","",IFERROR(INDEX(사건마스터!$AS$5:$AS$64,MATCH($F41,사건마스터!$A$5:$A$64,0)),""))</f>
        <v/>
      </c>
      <c r="W41" s="136">
        <f>IF($F41="","",IFERROR(INDEX(사건마스터!$AT$5:$AT$64,MATCH($F41,사건마스터!$A$5:$A$64,0)),""))</f>
        <v/>
      </c>
      <c r="X41" s="136">
        <f>IF($F41="","",IFERROR(INDEX(사건마스터!$AU$5:$AU$64,MATCH($F41,사건마스터!$A$5:$A$64,0)),""))</f>
        <v/>
      </c>
      <c r="Y41" s="136">
        <f>IF($F41="","",IFERROR(INDEX(사건마스터!$AV$5:$AV$64,MATCH($F41,사건마스터!$A$5:$A$64,0)),""))</f>
        <v/>
      </c>
      <c r="Z41" s="118">
        <f>IF(COUNTBLANK($J41:$Y41)=16,"",16-COUNTBLANK($J41:$Y41))</f>
        <v/>
      </c>
      <c r="AA41" s="33">
        <f>IF($J41="",MID($AX41,3,255),$J41&amp;$AX41)</f>
        <v/>
      </c>
      <c r="AB41" s="130">
        <f>IF($J41="","",IFERROR(INDEX(코드설정!$D$5:$D$24,MATCH($J41,코드설정!$C$5:$C$24,0)),""))</f>
        <v/>
      </c>
      <c r="AC41" s="36" t="n"/>
      <c r="AD41" s="37" t="n"/>
      <c r="AE41" s="38" t="n"/>
      <c r="AF41" s="118">
        <f>IF(OR($B41="",$C41=""),"",$C41-$B41+1)</f>
        <v/>
      </c>
      <c r="AG41" s="74" t="n"/>
      <c r="AH41" s="36" t="n"/>
      <c r="AJ41">
        <f>IF($K41="","",", "&amp;$K41)</f>
        <v/>
      </c>
      <c r="AK41">
        <f>AJ41&amp;IF($L41="","",", "&amp;$L41)</f>
        <v/>
      </c>
      <c r="AL41">
        <f>AK41&amp;IF($M41="","",", "&amp;$M41)</f>
        <v/>
      </c>
      <c r="AM41">
        <f>AL41&amp;IF($N41="","",", "&amp;$N41)</f>
        <v/>
      </c>
      <c r="AN41">
        <f>AM41&amp;IF($O41="","",", "&amp;$O41)</f>
        <v/>
      </c>
      <c r="AO41">
        <f>AN41&amp;IF($P41="","",", "&amp;$P41)</f>
        <v/>
      </c>
      <c r="AP41">
        <f>AO41&amp;IF($Q41="","",", "&amp;$Q41)</f>
        <v/>
      </c>
      <c r="AQ41">
        <f>AP41&amp;IF($R41="","",", "&amp;$R41)</f>
        <v/>
      </c>
      <c r="AR41">
        <f>AQ41&amp;IF($S41="","",", "&amp;$S41)</f>
        <v/>
      </c>
      <c r="AS41">
        <f>AR41&amp;IF($T41="","",", "&amp;$T41)</f>
        <v/>
      </c>
      <c r="AT41">
        <f>AS41&amp;IF($U41="","",", "&amp;$U41)</f>
        <v/>
      </c>
      <c r="AU41">
        <f>AT41&amp;IF($V41="","",", "&amp;$V41)</f>
        <v/>
      </c>
      <c r="AV41">
        <f>AU41&amp;IF($W41="","",", "&amp;$W41)</f>
        <v/>
      </c>
      <c r="AW41">
        <f>AV41&amp;IF($X41="","",", "&amp;$X41)</f>
        <v/>
      </c>
      <c r="AX41">
        <f>AW41&amp;IF($Y41="","",", "&amp;$Y41)</f>
        <v/>
      </c>
    </row>
    <row r="42">
      <c r="A42" s="118">
        <f>IF($B42="","",COUNT($B$5:$B42))</f>
        <v/>
      </c>
      <c r="B42" s="80" t="n"/>
      <c r="C42" s="80" t="n"/>
      <c r="D42" s="74" t="n"/>
      <c r="E42" s="74" t="n"/>
      <c r="F42" s="74" t="n"/>
      <c r="G42" s="118">
        <f>IF($F42="","",COUNTIF($F$5:$F42,$F42))</f>
        <v/>
      </c>
      <c r="H42" s="33">
        <f>IF($F42="","",IFERROR(INDEX(사건마스터!$B$5:$B$64,MATCH($F42,사건마스터!$A$5:$A$64,0)),""))</f>
        <v/>
      </c>
      <c r="I42" s="130">
        <f>IF($F42="","",IFERROR(INDEX(사건마스터!$C$5:$C$64,MATCH($F42,사건마스터!$A$5:$A$64,0)),""))</f>
        <v/>
      </c>
      <c r="J42" s="136">
        <f>IF($F42="","",IFERROR(INDEX(사건마스터!$H$5:$H$64,MATCH($F42,사건마스터!$A$5:$A$64,0)),""))</f>
        <v/>
      </c>
      <c r="K42" s="136">
        <f>IF($F42="","",IFERROR(INDEX(사건마스터!$AH$5:$AH$64,MATCH($F42,사건마스터!$A$5:$A$64,0)),""))</f>
        <v/>
      </c>
      <c r="L42" s="136">
        <f>IF($F42="","",IFERROR(INDEX(사건마스터!$AI$5:$AI$64,MATCH($F42,사건마스터!$A$5:$A$64,0)),""))</f>
        <v/>
      </c>
      <c r="M42" s="136">
        <f>IF($F42="","",IFERROR(INDEX(사건마스터!$AJ$5:$AJ$64,MATCH($F42,사건마스터!$A$5:$A$64,0)),""))</f>
        <v/>
      </c>
      <c r="N42" s="136">
        <f>IF($F42="","",IFERROR(INDEX(사건마스터!$AK$5:$AK$64,MATCH($F42,사건마스터!$A$5:$A$64,0)),""))</f>
        <v/>
      </c>
      <c r="O42" s="136">
        <f>IF($F42="","",IFERROR(INDEX(사건마스터!$AL$5:$AL$64,MATCH($F42,사건마스터!$A$5:$A$64,0)),""))</f>
        <v/>
      </c>
      <c r="P42" s="136">
        <f>IF($F42="","",IFERROR(INDEX(사건마스터!$AM$5:$AM$64,MATCH($F42,사건마스터!$A$5:$A$64,0)),""))</f>
        <v/>
      </c>
      <c r="Q42" s="136">
        <f>IF($F42="","",IFERROR(INDEX(사건마스터!$AN$5:$AN$64,MATCH($F42,사건마스터!$A$5:$A$64,0)),""))</f>
        <v/>
      </c>
      <c r="R42" s="136">
        <f>IF($F42="","",IFERROR(INDEX(사건마스터!$AO$5:$AO$64,MATCH($F42,사건마스터!$A$5:$A$64,0)),""))</f>
        <v/>
      </c>
      <c r="S42" s="136">
        <f>IF($F42="","",IFERROR(INDEX(사건마스터!$AP$5:$AP$64,MATCH($F42,사건마스터!$A$5:$A$64,0)),""))</f>
        <v/>
      </c>
      <c r="T42" s="136">
        <f>IF($F42="","",IFERROR(INDEX(사건마스터!$AQ$5:$AQ$64,MATCH($F42,사건마스터!$A$5:$A$64,0)),""))</f>
        <v/>
      </c>
      <c r="U42" s="136">
        <f>IF($F42="","",IFERROR(INDEX(사건마스터!$AR$5:$AR$64,MATCH($F42,사건마스터!$A$5:$A$64,0)),""))</f>
        <v/>
      </c>
      <c r="V42" s="136">
        <f>IF($F42="","",IFERROR(INDEX(사건마스터!$AS$5:$AS$64,MATCH($F42,사건마스터!$A$5:$A$64,0)),""))</f>
        <v/>
      </c>
      <c r="W42" s="136">
        <f>IF($F42="","",IFERROR(INDEX(사건마스터!$AT$5:$AT$64,MATCH($F42,사건마스터!$A$5:$A$64,0)),""))</f>
        <v/>
      </c>
      <c r="X42" s="136">
        <f>IF($F42="","",IFERROR(INDEX(사건마스터!$AU$5:$AU$64,MATCH($F42,사건마스터!$A$5:$A$64,0)),""))</f>
        <v/>
      </c>
      <c r="Y42" s="136">
        <f>IF($F42="","",IFERROR(INDEX(사건마스터!$AV$5:$AV$64,MATCH($F42,사건마스터!$A$5:$A$64,0)),""))</f>
        <v/>
      </c>
      <c r="Z42" s="118">
        <f>IF(COUNTBLANK($J42:$Y42)=16,"",16-COUNTBLANK($J42:$Y42))</f>
        <v/>
      </c>
      <c r="AA42" s="33">
        <f>IF($J42="",MID($AX42,3,255),$J42&amp;$AX42)</f>
        <v/>
      </c>
      <c r="AB42" s="130">
        <f>IF($J42="","",IFERROR(INDEX(코드설정!$D$5:$D$24,MATCH($J42,코드설정!$C$5:$C$24,0)),""))</f>
        <v/>
      </c>
      <c r="AC42" s="36" t="n"/>
      <c r="AD42" s="37" t="n"/>
      <c r="AE42" s="38" t="n"/>
      <c r="AF42" s="118">
        <f>IF(OR($B42="",$C42=""),"",$C42-$B42+1)</f>
        <v/>
      </c>
      <c r="AG42" s="74" t="n"/>
      <c r="AH42" s="36" t="n"/>
      <c r="AJ42">
        <f>IF($K42="","",", "&amp;$K42)</f>
        <v/>
      </c>
      <c r="AK42">
        <f>AJ42&amp;IF($L42="","",", "&amp;$L42)</f>
        <v/>
      </c>
      <c r="AL42">
        <f>AK42&amp;IF($M42="","",", "&amp;$M42)</f>
        <v/>
      </c>
      <c r="AM42">
        <f>AL42&amp;IF($N42="","",", "&amp;$N42)</f>
        <v/>
      </c>
      <c r="AN42">
        <f>AM42&amp;IF($O42="","",", "&amp;$O42)</f>
        <v/>
      </c>
      <c r="AO42">
        <f>AN42&amp;IF($P42="","",", "&amp;$P42)</f>
        <v/>
      </c>
      <c r="AP42">
        <f>AO42&amp;IF($Q42="","",", "&amp;$Q42)</f>
        <v/>
      </c>
      <c r="AQ42">
        <f>AP42&amp;IF($R42="","",", "&amp;$R42)</f>
        <v/>
      </c>
      <c r="AR42">
        <f>AQ42&amp;IF($S42="","",", "&amp;$S42)</f>
        <v/>
      </c>
      <c r="AS42">
        <f>AR42&amp;IF($T42="","",", "&amp;$T42)</f>
        <v/>
      </c>
      <c r="AT42">
        <f>AS42&amp;IF($U42="","",", "&amp;$U42)</f>
        <v/>
      </c>
      <c r="AU42">
        <f>AT42&amp;IF($V42="","",", "&amp;$V42)</f>
        <v/>
      </c>
      <c r="AV42">
        <f>AU42&amp;IF($W42="","",", "&amp;$W42)</f>
        <v/>
      </c>
      <c r="AW42">
        <f>AV42&amp;IF($X42="","",", "&amp;$X42)</f>
        <v/>
      </c>
      <c r="AX42">
        <f>AW42&amp;IF($Y42="","",", "&amp;$Y42)</f>
        <v/>
      </c>
    </row>
    <row r="43">
      <c r="A43" s="118">
        <f>IF($B43="","",COUNT($B$5:$B43))</f>
        <v/>
      </c>
      <c r="B43" s="80" t="n"/>
      <c r="C43" s="80" t="n"/>
      <c r="D43" s="74" t="n"/>
      <c r="E43" s="74" t="n"/>
      <c r="F43" s="74" t="n"/>
      <c r="G43" s="118">
        <f>IF($F43="","",COUNTIF($F$5:$F43,$F43))</f>
        <v/>
      </c>
      <c r="H43" s="33">
        <f>IF($F43="","",IFERROR(INDEX(사건마스터!$B$5:$B$64,MATCH($F43,사건마스터!$A$5:$A$64,0)),""))</f>
        <v/>
      </c>
      <c r="I43" s="130">
        <f>IF($F43="","",IFERROR(INDEX(사건마스터!$C$5:$C$64,MATCH($F43,사건마스터!$A$5:$A$64,0)),""))</f>
        <v/>
      </c>
      <c r="J43" s="136">
        <f>IF($F43="","",IFERROR(INDEX(사건마스터!$H$5:$H$64,MATCH($F43,사건마스터!$A$5:$A$64,0)),""))</f>
        <v/>
      </c>
      <c r="K43" s="136">
        <f>IF($F43="","",IFERROR(INDEX(사건마스터!$AH$5:$AH$64,MATCH($F43,사건마스터!$A$5:$A$64,0)),""))</f>
        <v/>
      </c>
      <c r="L43" s="136">
        <f>IF($F43="","",IFERROR(INDEX(사건마스터!$AI$5:$AI$64,MATCH($F43,사건마스터!$A$5:$A$64,0)),""))</f>
        <v/>
      </c>
      <c r="M43" s="136">
        <f>IF($F43="","",IFERROR(INDEX(사건마스터!$AJ$5:$AJ$64,MATCH($F43,사건마스터!$A$5:$A$64,0)),""))</f>
        <v/>
      </c>
      <c r="N43" s="136">
        <f>IF($F43="","",IFERROR(INDEX(사건마스터!$AK$5:$AK$64,MATCH($F43,사건마스터!$A$5:$A$64,0)),""))</f>
        <v/>
      </c>
      <c r="O43" s="136">
        <f>IF($F43="","",IFERROR(INDEX(사건마스터!$AL$5:$AL$64,MATCH($F43,사건마스터!$A$5:$A$64,0)),""))</f>
        <v/>
      </c>
      <c r="P43" s="136">
        <f>IF($F43="","",IFERROR(INDEX(사건마스터!$AM$5:$AM$64,MATCH($F43,사건마스터!$A$5:$A$64,0)),""))</f>
        <v/>
      </c>
      <c r="Q43" s="136">
        <f>IF($F43="","",IFERROR(INDEX(사건마스터!$AN$5:$AN$64,MATCH($F43,사건마스터!$A$5:$A$64,0)),""))</f>
        <v/>
      </c>
      <c r="R43" s="136">
        <f>IF($F43="","",IFERROR(INDEX(사건마스터!$AO$5:$AO$64,MATCH($F43,사건마스터!$A$5:$A$64,0)),""))</f>
        <v/>
      </c>
      <c r="S43" s="136">
        <f>IF($F43="","",IFERROR(INDEX(사건마스터!$AP$5:$AP$64,MATCH($F43,사건마스터!$A$5:$A$64,0)),""))</f>
        <v/>
      </c>
      <c r="T43" s="136">
        <f>IF($F43="","",IFERROR(INDEX(사건마스터!$AQ$5:$AQ$64,MATCH($F43,사건마스터!$A$5:$A$64,0)),""))</f>
        <v/>
      </c>
      <c r="U43" s="136">
        <f>IF($F43="","",IFERROR(INDEX(사건마스터!$AR$5:$AR$64,MATCH($F43,사건마스터!$A$5:$A$64,0)),""))</f>
        <v/>
      </c>
      <c r="V43" s="136">
        <f>IF($F43="","",IFERROR(INDEX(사건마스터!$AS$5:$AS$64,MATCH($F43,사건마스터!$A$5:$A$64,0)),""))</f>
        <v/>
      </c>
      <c r="W43" s="136">
        <f>IF($F43="","",IFERROR(INDEX(사건마스터!$AT$5:$AT$64,MATCH($F43,사건마스터!$A$5:$A$64,0)),""))</f>
        <v/>
      </c>
      <c r="X43" s="136">
        <f>IF($F43="","",IFERROR(INDEX(사건마스터!$AU$5:$AU$64,MATCH($F43,사건마스터!$A$5:$A$64,0)),""))</f>
        <v/>
      </c>
      <c r="Y43" s="136">
        <f>IF($F43="","",IFERROR(INDEX(사건마스터!$AV$5:$AV$64,MATCH($F43,사건마스터!$A$5:$A$64,0)),""))</f>
        <v/>
      </c>
      <c r="Z43" s="118">
        <f>IF(COUNTBLANK($J43:$Y43)=16,"",16-COUNTBLANK($J43:$Y43))</f>
        <v/>
      </c>
      <c r="AA43" s="33">
        <f>IF($J43="",MID($AX43,3,255),$J43&amp;$AX43)</f>
        <v/>
      </c>
      <c r="AB43" s="130">
        <f>IF($J43="","",IFERROR(INDEX(코드설정!$D$5:$D$24,MATCH($J43,코드설정!$C$5:$C$24,0)),""))</f>
        <v/>
      </c>
      <c r="AC43" s="36" t="n"/>
      <c r="AD43" s="37" t="n"/>
      <c r="AE43" s="38" t="n"/>
      <c r="AF43" s="118">
        <f>IF(OR($B43="",$C43=""),"",$C43-$B43+1)</f>
        <v/>
      </c>
      <c r="AG43" s="74" t="n"/>
      <c r="AH43" s="36" t="n"/>
      <c r="AJ43">
        <f>IF($K43="","",", "&amp;$K43)</f>
        <v/>
      </c>
      <c r="AK43">
        <f>AJ43&amp;IF($L43="","",", "&amp;$L43)</f>
        <v/>
      </c>
      <c r="AL43">
        <f>AK43&amp;IF($M43="","",", "&amp;$M43)</f>
        <v/>
      </c>
      <c r="AM43">
        <f>AL43&amp;IF($N43="","",", "&amp;$N43)</f>
        <v/>
      </c>
      <c r="AN43">
        <f>AM43&amp;IF($O43="","",", "&amp;$O43)</f>
        <v/>
      </c>
      <c r="AO43">
        <f>AN43&amp;IF($P43="","",", "&amp;$P43)</f>
        <v/>
      </c>
      <c r="AP43">
        <f>AO43&amp;IF($Q43="","",", "&amp;$Q43)</f>
        <v/>
      </c>
      <c r="AQ43">
        <f>AP43&amp;IF($R43="","",", "&amp;$R43)</f>
        <v/>
      </c>
      <c r="AR43">
        <f>AQ43&amp;IF($S43="","",", "&amp;$S43)</f>
        <v/>
      </c>
      <c r="AS43">
        <f>AR43&amp;IF($T43="","",", "&amp;$T43)</f>
        <v/>
      </c>
      <c r="AT43">
        <f>AS43&amp;IF($U43="","",", "&amp;$U43)</f>
        <v/>
      </c>
      <c r="AU43">
        <f>AT43&amp;IF($V43="","",", "&amp;$V43)</f>
        <v/>
      </c>
      <c r="AV43">
        <f>AU43&amp;IF($W43="","",", "&amp;$W43)</f>
        <v/>
      </c>
      <c r="AW43">
        <f>AV43&amp;IF($X43="","",", "&amp;$X43)</f>
        <v/>
      </c>
      <c r="AX43">
        <f>AW43&amp;IF($Y43="","",", "&amp;$Y43)</f>
        <v/>
      </c>
    </row>
    <row r="44">
      <c r="A44" s="118">
        <f>IF($B44="","",COUNT($B$5:$B44))</f>
        <v/>
      </c>
      <c r="B44" s="80" t="n"/>
      <c r="C44" s="80" t="n"/>
      <c r="D44" s="74" t="n"/>
      <c r="E44" s="74" t="n"/>
      <c r="F44" s="74" t="n"/>
      <c r="G44" s="118">
        <f>IF($F44="","",COUNTIF($F$5:$F44,$F44))</f>
        <v/>
      </c>
      <c r="H44" s="33">
        <f>IF($F44="","",IFERROR(INDEX(사건마스터!$B$5:$B$64,MATCH($F44,사건마스터!$A$5:$A$64,0)),""))</f>
        <v/>
      </c>
      <c r="I44" s="130">
        <f>IF($F44="","",IFERROR(INDEX(사건마스터!$C$5:$C$64,MATCH($F44,사건마스터!$A$5:$A$64,0)),""))</f>
        <v/>
      </c>
      <c r="J44" s="136">
        <f>IF($F44="","",IFERROR(INDEX(사건마스터!$H$5:$H$64,MATCH($F44,사건마스터!$A$5:$A$64,0)),""))</f>
        <v/>
      </c>
      <c r="K44" s="136">
        <f>IF($F44="","",IFERROR(INDEX(사건마스터!$AH$5:$AH$64,MATCH($F44,사건마스터!$A$5:$A$64,0)),""))</f>
        <v/>
      </c>
      <c r="L44" s="136">
        <f>IF($F44="","",IFERROR(INDEX(사건마스터!$AI$5:$AI$64,MATCH($F44,사건마스터!$A$5:$A$64,0)),""))</f>
        <v/>
      </c>
      <c r="M44" s="136">
        <f>IF($F44="","",IFERROR(INDEX(사건마스터!$AJ$5:$AJ$64,MATCH($F44,사건마스터!$A$5:$A$64,0)),""))</f>
        <v/>
      </c>
      <c r="N44" s="136">
        <f>IF($F44="","",IFERROR(INDEX(사건마스터!$AK$5:$AK$64,MATCH($F44,사건마스터!$A$5:$A$64,0)),""))</f>
        <v/>
      </c>
      <c r="O44" s="136">
        <f>IF($F44="","",IFERROR(INDEX(사건마스터!$AL$5:$AL$64,MATCH($F44,사건마스터!$A$5:$A$64,0)),""))</f>
        <v/>
      </c>
      <c r="P44" s="136">
        <f>IF($F44="","",IFERROR(INDEX(사건마스터!$AM$5:$AM$64,MATCH($F44,사건마스터!$A$5:$A$64,0)),""))</f>
        <v/>
      </c>
      <c r="Q44" s="136">
        <f>IF($F44="","",IFERROR(INDEX(사건마스터!$AN$5:$AN$64,MATCH($F44,사건마스터!$A$5:$A$64,0)),""))</f>
        <v/>
      </c>
      <c r="R44" s="136">
        <f>IF($F44="","",IFERROR(INDEX(사건마스터!$AO$5:$AO$64,MATCH($F44,사건마스터!$A$5:$A$64,0)),""))</f>
        <v/>
      </c>
      <c r="S44" s="136">
        <f>IF($F44="","",IFERROR(INDEX(사건마스터!$AP$5:$AP$64,MATCH($F44,사건마스터!$A$5:$A$64,0)),""))</f>
        <v/>
      </c>
      <c r="T44" s="136">
        <f>IF($F44="","",IFERROR(INDEX(사건마스터!$AQ$5:$AQ$64,MATCH($F44,사건마스터!$A$5:$A$64,0)),""))</f>
        <v/>
      </c>
      <c r="U44" s="136">
        <f>IF($F44="","",IFERROR(INDEX(사건마스터!$AR$5:$AR$64,MATCH($F44,사건마스터!$A$5:$A$64,0)),""))</f>
        <v/>
      </c>
      <c r="V44" s="136">
        <f>IF($F44="","",IFERROR(INDEX(사건마스터!$AS$5:$AS$64,MATCH($F44,사건마스터!$A$5:$A$64,0)),""))</f>
        <v/>
      </c>
      <c r="W44" s="136">
        <f>IF($F44="","",IFERROR(INDEX(사건마스터!$AT$5:$AT$64,MATCH($F44,사건마스터!$A$5:$A$64,0)),""))</f>
        <v/>
      </c>
      <c r="X44" s="136">
        <f>IF($F44="","",IFERROR(INDEX(사건마스터!$AU$5:$AU$64,MATCH($F44,사건마스터!$A$5:$A$64,0)),""))</f>
        <v/>
      </c>
      <c r="Y44" s="136">
        <f>IF($F44="","",IFERROR(INDEX(사건마스터!$AV$5:$AV$64,MATCH($F44,사건마스터!$A$5:$A$64,0)),""))</f>
        <v/>
      </c>
      <c r="Z44" s="118">
        <f>IF(COUNTBLANK($J44:$Y44)=16,"",16-COUNTBLANK($J44:$Y44))</f>
        <v/>
      </c>
      <c r="AA44" s="33">
        <f>IF($J44="",MID($AX44,3,255),$J44&amp;$AX44)</f>
        <v/>
      </c>
      <c r="AB44" s="130">
        <f>IF($J44="","",IFERROR(INDEX(코드설정!$D$5:$D$24,MATCH($J44,코드설정!$C$5:$C$24,0)),""))</f>
        <v/>
      </c>
      <c r="AC44" s="36" t="n"/>
      <c r="AD44" s="37" t="n"/>
      <c r="AE44" s="38" t="n"/>
      <c r="AF44" s="118">
        <f>IF(OR($B44="",$C44=""),"",$C44-$B44+1)</f>
        <v/>
      </c>
      <c r="AG44" s="74" t="n"/>
      <c r="AH44" s="36" t="n"/>
      <c r="AJ44">
        <f>IF($K44="","",", "&amp;$K44)</f>
        <v/>
      </c>
      <c r="AK44">
        <f>AJ44&amp;IF($L44="","",", "&amp;$L44)</f>
        <v/>
      </c>
      <c r="AL44">
        <f>AK44&amp;IF($M44="","",", "&amp;$M44)</f>
        <v/>
      </c>
      <c r="AM44">
        <f>AL44&amp;IF($N44="","",", "&amp;$N44)</f>
        <v/>
      </c>
      <c r="AN44">
        <f>AM44&amp;IF($O44="","",", "&amp;$O44)</f>
        <v/>
      </c>
      <c r="AO44">
        <f>AN44&amp;IF($P44="","",", "&amp;$P44)</f>
        <v/>
      </c>
      <c r="AP44">
        <f>AO44&amp;IF($Q44="","",", "&amp;$Q44)</f>
        <v/>
      </c>
      <c r="AQ44">
        <f>AP44&amp;IF($R44="","",", "&amp;$R44)</f>
        <v/>
      </c>
      <c r="AR44">
        <f>AQ44&amp;IF($S44="","",", "&amp;$S44)</f>
        <v/>
      </c>
      <c r="AS44">
        <f>AR44&amp;IF($T44="","",", "&amp;$T44)</f>
        <v/>
      </c>
      <c r="AT44">
        <f>AS44&amp;IF($U44="","",", "&amp;$U44)</f>
        <v/>
      </c>
      <c r="AU44">
        <f>AT44&amp;IF($V44="","",", "&amp;$V44)</f>
        <v/>
      </c>
      <c r="AV44">
        <f>AU44&amp;IF($W44="","",", "&amp;$W44)</f>
        <v/>
      </c>
      <c r="AW44">
        <f>AV44&amp;IF($X44="","",", "&amp;$X44)</f>
        <v/>
      </c>
      <c r="AX44">
        <f>AW44&amp;IF($Y44="","",", "&amp;$Y44)</f>
        <v/>
      </c>
    </row>
    <row r="45">
      <c r="A45" s="118">
        <f>IF($B45="","",COUNT($B$5:$B45))</f>
        <v/>
      </c>
      <c r="B45" s="80" t="n"/>
      <c r="C45" s="80" t="n"/>
      <c r="D45" s="74" t="n"/>
      <c r="E45" s="74" t="n"/>
      <c r="F45" s="74" t="n"/>
      <c r="G45" s="118">
        <f>IF($F45="","",COUNTIF($F$5:$F45,$F45))</f>
        <v/>
      </c>
      <c r="H45" s="33">
        <f>IF($F45="","",IFERROR(INDEX(사건마스터!$B$5:$B$64,MATCH($F45,사건마스터!$A$5:$A$64,0)),""))</f>
        <v/>
      </c>
      <c r="I45" s="130">
        <f>IF($F45="","",IFERROR(INDEX(사건마스터!$C$5:$C$64,MATCH($F45,사건마스터!$A$5:$A$64,0)),""))</f>
        <v/>
      </c>
      <c r="J45" s="136">
        <f>IF($F45="","",IFERROR(INDEX(사건마스터!$H$5:$H$64,MATCH($F45,사건마스터!$A$5:$A$64,0)),""))</f>
        <v/>
      </c>
      <c r="K45" s="136">
        <f>IF($F45="","",IFERROR(INDEX(사건마스터!$AH$5:$AH$64,MATCH($F45,사건마스터!$A$5:$A$64,0)),""))</f>
        <v/>
      </c>
      <c r="L45" s="136">
        <f>IF($F45="","",IFERROR(INDEX(사건마스터!$AI$5:$AI$64,MATCH($F45,사건마스터!$A$5:$A$64,0)),""))</f>
        <v/>
      </c>
      <c r="M45" s="136">
        <f>IF($F45="","",IFERROR(INDEX(사건마스터!$AJ$5:$AJ$64,MATCH($F45,사건마스터!$A$5:$A$64,0)),""))</f>
        <v/>
      </c>
      <c r="N45" s="136">
        <f>IF($F45="","",IFERROR(INDEX(사건마스터!$AK$5:$AK$64,MATCH($F45,사건마스터!$A$5:$A$64,0)),""))</f>
        <v/>
      </c>
      <c r="O45" s="136">
        <f>IF($F45="","",IFERROR(INDEX(사건마스터!$AL$5:$AL$64,MATCH($F45,사건마스터!$A$5:$A$64,0)),""))</f>
        <v/>
      </c>
      <c r="P45" s="136">
        <f>IF($F45="","",IFERROR(INDEX(사건마스터!$AM$5:$AM$64,MATCH($F45,사건마스터!$A$5:$A$64,0)),""))</f>
        <v/>
      </c>
      <c r="Q45" s="136">
        <f>IF($F45="","",IFERROR(INDEX(사건마스터!$AN$5:$AN$64,MATCH($F45,사건마스터!$A$5:$A$64,0)),""))</f>
        <v/>
      </c>
      <c r="R45" s="136">
        <f>IF($F45="","",IFERROR(INDEX(사건마스터!$AO$5:$AO$64,MATCH($F45,사건마스터!$A$5:$A$64,0)),""))</f>
        <v/>
      </c>
      <c r="S45" s="136">
        <f>IF($F45="","",IFERROR(INDEX(사건마스터!$AP$5:$AP$64,MATCH($F45,사건마스터!$A$5:$A$64,0)),""))</f>
        <v/>
      </c>
      <c r="T45" s="136">
        <f>IF($F45="","",IFERROR(INDEX(사건마스터!$AQ$5:$AQ$64,MATCH($F45,사건마스터!$A$5:$A$64,0)),""))</f>
        <v/>
      </c>
      <c r="U45" s="136">
        <f>IF($F45="","",IFERROR(INDEX(사건마스터!$AR$5:$AR$64,MATCH($F45,사건마스터!$A$5:$A$64,0)),""))</f>
        <v/>
      </c>
      <c r="V45" s="136">
        <f>IF($F45="","",IFERROR(INDEX(사건마스터!$AS$5:$AS$64,MATCH($F45,사건마스터!$A$5:$A$64,0)),""))</f>
        <v/>
      </c>
      <c r="W45" s="136">
        <f>IF($F45="","",IFERROR(INDEX(사건마스터!$AT$5:$AT$64,MATCH($F45,사건마스터!$A$5:$A$64,0)),""))</f>
        <v/>
      </c>
      <c r="X45" s="136">
        <f>IF($F45="","",IFERROR(INDEX(사건마스터!$AU$5:$AU$64,MATCH($F45,사건마스터!$A$5:$A$64,0)),""))</f>
        <v/>
      </c>
      <c r="Y45" s="136">
        <f>IF($F45="","",IFERROR(INDEX(사건마스터!$AV$5:$AV$64,MATCH($F45,사건마스터!$A$5:$A$64,0)),""))</f>
        <v/>
      </c>
      <c r="Z45" s="118">
        <f>IF(COUNTBLANK($J45:$Y45)=16,"",16-COUNTBLANK($J45:$Y45))</f>
        <v/>
      </c>
      <c r="AA45" s="33">
        <f>IF($J45="",MID($AX45,3,255),$J45&amp;$AX45)</f>
        <v/>
      </c>
      <c r="AB45" s="130">
        <f>IF($J45="","",IFERROR(INDEX(코드설정!$D$5:$D$24,MATCH($J45,코드설정!$C$5:$C$24,0)),""))</f>
        <v/>
      </c>
      <c r="AC45" s="36" t="n"/>
      <c r="AD45" s="37" t="n"/>
      <c r="AE45" s="38" t="n"/>
      <c r="AF45" s="118">
        <f>IF(OR($B45="",$C45=""),"",$C45-$B45+1)</f>
        <v/>
      </c>
      <c r="AG45" s="74" t="n"/>
      <c r="AH45" s="36" t="n"/>
      <c r="AJ45">
        <f>IF($K45="","",", "&amp;$K45)</f>
        <v/>
      </c>
      <c r="AK45">
        <f>AJ45&amp;IF($L45="","",", "&amp;$L45)</f>
        <v/>
      </c>
      <c r="AL45">
        <f>AK45&amp;IF($M45="","",", "&amp;$M45)</f>
        <v/>
      </c>
      <c r="AM45">
        <f>AL45&amp;IF($N45="","",", "&amp;$N45)</f>
        <v/>
      </c>
      <c r="AN45">
        <f>AM45&amp;IF($O45="","",", "&amp;$O45)</f>
        <v/>
      </c>
      <c r="AO45">
        <f>AN45&amp;IF($P45="","",", "&amp;$P45)</f>
        <v/>
      </c>
      <c r="AP45">
        <f>AO45&amp;IF($Q45="","",", "&amp;$Q45)</f>
        <v/>
      </c>
      <c r="AQ45">
        <f>AP45&amp;IF($R45="","",", "&amp;$R45)</f>
        <v/>
      </c>
      <c r="AR45">
        <f>AQ45&amp;IF($S45="","",", "&amp;$S45)</f>
        <v/>
      </c>
      <c r="AS45">
        <f>AR45&amp;IF($T45="","",", "&amp;$T45)</f>
        <v/>
      </c>
      <c r="AT45">
        <f>AS45&amp;IF($U45="","",", "&amp;$U45)</f>
        <v/>
      </c>
      <c r="AU45">
        <f>AT45&amp;IF($V45="","",", "&amp;$V45)</f>
        <v/>
      </c>
      <c r="AV45">
        <f>AU45&amp;IF($W45="","",", "&amp;$W45)</f>
        <v/>
      </c>
      <c r="AW45">
        <f>AV45&amp;IF($X45="","",", "&amp;$X45)</f>
        <v/>
      </c>
      <c r="AX45">
        <f>AW45&amp;IF($Y45="","",", "&amp;$Y45)</f>
        <v/>
      </c>
    </row>
    <row r="46">
      <c r="A46" s="118">
        <f>IF($B46="","",COUNT($B$5:$B46))</f>
        <v/>
      </c>
      <c r="B46" s="80" t="n"/>
      <c r="C46" s="80" t="n"/>
      <c r="D46" s="74" t="n"/>
      <c r="E46" s="74" t="n"/>
      <c r="F46" s="74" t="n"/>
      <c r="G46" s="118">
        <f>IF($F46="","",COUNTIF($F$5:$F46,$F46))</f>
        <v/>
      </c>
      <c r="H46" s="33">
        <f>IF($F46="","",IFERROR(INDEX(사건마스터!$B$5:$B$64,MATCH($F46,사건마스터!$A$5:$A$64,0)),""))</f>
        <v/>
      </c>
      <c r="I46" s="130">
        <f>IF($F46="","",IFERROR(INDEX(사건마스터!$C$5:$C$64,MATCH($F46,사건마스터!$A$5:$A$64,0)),""))</f>
        <v/>
      </c>
      <c r="J46" s="136">
        <f>IF($F46="","",IFERROR(INDEX(사건마스터!$H$5:$H$64,MATCH($F46,사건마스터!$A$5:$A$64,0)),""))</f>
        <v/>
      </c>
      <c r="K46" s="136">
        <f>IF($F46="","",IFERROR(INDEX(사건마스터!$AH$5:$AH$64,MATCH($F46,사건마스터!$A$5:$A$64,0)),""))</f>
        <v/>
      </c>
      <c r="L46" s="136">
        <f>IF($F46="","",IFERROR(INDEX(사건마스터!$AI$5:$AI$64,MATCH($F46,사건마스터!$A$5:$A$64,0)),""))</f>
        <v/>
      </c>
      <c r="M46" s="136">
        <f>IF($F46="","",IFERROR(INDEX(사건마스터!$AJ$5:$AJ$64,MATCH($F46,사건마스터!$A$5:$A$64,0)),""))</f>
        <v/>
      </c>
      <c r="N46" s="136">
        <f>IF($F46="","",IFERROR(INDEX(사건마스터!$AK$5:$AK$64,MATCH($F46,사건마스터!$A$5:$A$64,0)),""))</f>
        <v/>
      </c>
      <c r="O46" s="136">
        <f>IF($F46="","",IFERROR(INDEX(사건마스터!$AL$5:$AL$64,MATCH($F46,사건마스터!$A$5:$A$64,0)),""))</f>
        <v/>
      </c>
      <c r="P46" s="136">
        <f>IF($F46="","",IFERROR(INDEX(사건마스터!$AM$5:$AM$64,MATCH($F46,사건마스터!$A$5:$A$64,0)),""))</f>
        <v/>
      </c>
      <c r="Q46" s="136">
        <f>IF($F46="","",IFERROR(INDEX(사건마스터!$AN$5:$AN$64,MATCH($F46,사건마스터!$A$5:$A$64,0)),""))</f>
        <v/>
      </c>
      <c r="R46" s="136">
        <f>IF($F46="","",IFERROR(INDEX(사건마스터!$AO$5:$AO$64,MATCH($F46,사건마스터!$A$5:$A$64,0)),""))</f>
        <v/>
      </c>
      <c r="S46" s="136">
        <f>IF($F46="","",IFERROR(INDEX(사건마스터!$AP$5:$AP$64,MATCH($F46,사건마스터!$A$5:$A$64,0)),""))</f>
        <v/>
      </c>
      <c r="T46" s="136">
        <f>IF($F46="","",IFERROR(INDEX(사건마스터!$AQ$5:$AQ$64,MATCH($F46,사건마스터!$A$5:$A$64,0)),""))</f>
        <v/>
      </c>
      <c r="U46" s="136">
        <f>IF($F46="","",IFERROR(INDEX(사건마스터!$AR$5:$AR$64,MATCH($F46,사건마스터!$A$5:$A$64,0)),""))</f>
        <v/>
      </c>
      <c r="V46" s="136">
        <f>IF($F46="","",IFERROR(INDEX(사건마스터!$AS$5:$AS$64,MATCH($F46,사건마스터!$A$5:$A$64,0)),""))</f>
        <v/>
      </c>
      <c r="W46" s="136">
        <f>IF($F46="","",IFERROR(INDEX(사건마스터!$AT$5:$AT$64,MATCH($F46,사건마스터!$A$5:$A$64,0)),""))</f>
        <v/>
      </c>
      <c r="X46" s="136">
        <f>IF($F46="","",IFERROR(INDEX(사건마스터!$AU$5:$AU$64,MATCH($F46,사건마스터!$A$5:$A$64,0)),""))</f>
        <v/>
      </c>
      <c r="Y46" s="136">
        <f>IF($F46="","",IFERROR(INDEX(사건마스터!$AV$5:$AV$64,MATCH($F46,사건마스터!$A$5:$A$64,0)),""))</f>
        <v/>
      </c>
      <c r="Z46" s="118">
        <f>IF(COUNTBLANK($J46:$Y46)=16,"",16-COUNTBLANK($J46:$Y46))</f>
        <v/>
      </c>
      <c r="AA46" s="33">
        <f>IF($J46="",MID($AX46,3,255),$J46&amp;$AX46)</f>
        <v/>
      </c>
      <c r="AB46" s="130">
        <f>IF($J46="","",IFERROR(INDEX(코드설정!$D$5:$D$24,MATCH($J46,코드설정!$C$5:$C$24,0)),""))</f>
        <v/>
      </c>
      <c r="AC46" s="36" t="n"/>
      <c r="AD46" s="37" t="n"/>
      <c r="AE46" s="38" t="n"/>
      <c r="AF46" s="118">
        <f>IF(OR($B46="",$C46=""),"",$C46-$B46+1)</f>
        <v/>
      </c>
      <c r="AG46" s="74" t="n"/>
      <c r="AH46" s="36" t="n"/>
      <c r="AJ46">
        <f>IF($K46="","",", "&amp;$K46)</f>
        <v/>
      </c>
      <c r="AK46">
        <f>AJ46&amp;IF($L46="","",", "&amp;$L46)</f>
        <v/>
      </c>
      <c r="AL46">
        <f>AK46&amp;IF($M46="","",", "&amp;$M46)</f>
        <v/>
      </c>
      <c r="AM46">
        <f>AL46&amp;IF($N46="","",", "&amp;$N46)</f>
        <v/>
      </c>
      <c r="AN46">
        <f>AM46&amp;IF($O46="","",", "&amp;$O46)</f>
        <v/>
      </c>
      <c r="AO46">
        <f>AN46&amp;IF($P46="","",", "&amp;$P46)</f>
        <v/>
      </c>
      <c r="AP46">
        <f>AO46&amp;IF($Q46="","",", "&amp;$Q46)</f>
        <v/>
      </c>
      <c r="AQ46">
        <f>AP46&amp;IF($R46="","",", "&amp;$R46)</f>
        <v/>
      </c>
      <c r="AR46">
        <f>AQ46&amp;IF($S46="","",", "&amp;$S46)</f>
        <v/>
      </c>
      <c r="AS46">
        <f>AR46&amp;IF($T46="","",", "&amp;$T46)</f>
        <v/>
      </c>
      <c r="AT46">
        <f>AS46&amp;IF($U46="","",", "&amp;$U46)</f>
        <v/>
      </c>
      <c r="AU46">
        <f>AT46&amp;IF($V46="","",", "&amp;$V46)</f>
        <v/>
      </c>
      <c r="AV46">
        <f>AU46&amp;IF($W46="","",", "&amp;$W46)</f>
        <v/>
      </c>
      <c r="AW46">
        <f>AV46&amp;IF($X46="","",", "&amp;$X46)</f>
        <v/>
      </c>
      <c r="AX46">
        <f>AW46&amp;IF($Y46="","",", "&amp;$Y46)</f>
        <v/>
      </c>
    </row>
    <row r="47">
      <c r="A47" s="118">
        <f>IF($B47="","",COUNT($B$5:$B47))</f>
        <v/>
      </c>
      <c r="B47" s="80" t="n"/>
      <c r="C47" s="80" t="n"/>
      <c r="D47" s="74" t="n"/>
      <c r="E47" s="74" t="n"/>
      <c r="F47" s="74" t="n"/>
      <c r="G47" s="118">
        <f>IF($F47="","",COUNTIF($F$5:$F47,$F47))</f>
        <v/>
      </c>
      <c r="H47" s="33">
        <f>IF($F47="","",IFERROR(INDEX(사건마스터!$B$5:$B$64,MATCH($F47,사건마스터!$A$5:$A$64,0)),""))</f>
        <v/>
      </c>
      <c r="I47" s="130">
        <f>IF($F47="","",IFERROR(INDEX(사건마스터!$C$5:$C$64,MATCH($F47,사건마스터!$A$5:$A$64,0)),""))</f>
        <v/>
      </c>
      <c r="J47" s="136">
        <f>IF($F47="","",IFERROR(INDEX(사건마스터!$H$5:$H$64,MATCH($F47,사건마스터!$A$5:$A$64,0)),""))</f>
        <v/>
      </c>
      <c r="K47" s="136">
        <f>IF($F47="","",IFERROR(INDEX(사건마스터!$AH$5:$AH$64,MATCH($F47,사건마스터!$A$5:$A$64,0)),""))</f>
        <v/>
      </c>
      <c r="L47" s="136">
        <f>IF($F47="","",IFERROR(INDEX(사건마스터!$AI$5:$AI$64,MATCH($F47,사건마스터!$A$5:$A$64,0)),""))</f>
        <v/>
      </c>
      <c r="M47" s="136">
        <f>IF($F47="","",IFERROR(INDEX(사건마스터!$AJ$5:$AJ$64,MATCH($F47,사건마스터!$A$5:$A$64,0)),""))</f>
        <v/>
      </c>
      <c r="N47" s="136">
        <f>IF($F47="","",IFERROR(INDEX(사건마스터!$AK$5:$AK$64,MATCH($F47,사건마스터!$A$5:$A$64,0)),""))</f>
        <v/>
      </c>
      <c r="O47" s="136">
        <f>IF($F47="","",IFERROR(INDEX(사건마스터!$AL$5:$AL$64,MATCH($F47,사건마스터!$A$5:$A$64,0)),""))</f>
        <v/>
      </c>
      <c r="P47" s="136">
        <f>IF($F47="","",IFERROR(INDEX(사건마스터!$AM$5:$AM$64,MATCH($F47,사건마스터!$A$5:$A$64,0)),""))</f>
        <v/>
      </c>
      <c r="Q47" s="136">
        <f>IF($F47="","",IFERROR(INDEX(사건마스터!$AN$5:$AN$64,MATCH($F47,사건마스터!$A$5:$A$64,0)),""))</f>
        <v/>
      </c>
      <c r="R47" s="136">
        <f>IF($F47="","",IFERROR(INDEX(사건마스터!$AO$5:$AO$64,MATCH($F47,사건마스터!$A$5:$A$64,0)),""))</f>
        <v/>
      </c>
      <c r="S47" s="136">
        <f>IF($F47="","",IFERROR(INDEX(사건마스터!$AP$5:$AP$64,MATCH($F47,사건마스터!$A$5:$A$64,0)),""))</f>
        <v/>
      </c>
      <c r="T47" s="136">
        <f>IF($F47="","",IFERROR(INDEX(사건마스터!$AQ$5:$AQ$64,MATCH($F47,사건마스터!$A$5:$A$64,0)),""))</f>
        <v/>
      </c>
      <c r="U47" s="136">
        <f>IF($F47="","",IFERROR(INDEX(사건마스터!$AR$5:$AR$64,MATCH($F47,사건마스터!$A$5:$A$64,0)),""))</f>
        <v/>
      </c>
      <c r="V47" s="136">
        <f>IF($F47="","",IFERROR(INDEX(사건마스터!$AS$5:$AS$64,MATCH($F47,사건마스터!$A$5:$A$64,0)),""))</f>
        <v/>
      </c>
      <c r="W47" s="136">
        <f>IF($F47="","",IFERROR(INDEX(사건마스터!$AT$5:$AT$64,MATCH($F47,사건마스터!$A$5:$A$64,0)),""))</f>
        <v/>
      </c>
      <c r="X47" s="136">
        <f>IF($F47="","",IFERROR(INDEX(사건마스터!$AU$5:$AU$64,MATCH($F47,사건마스터!$A$5:$A$64,0)),""))</f>
        <v/>
      </c>
      <c r="Y47" s="136">
        <f>IF($F47="","",IFERROR(INDEX(사건마스터!$AV$5:$AV$64,MATCH($F47,사건마스터!$A$5:$A$64,0)),""))</f>
        <v/>
      </c>
      <c r="Z47" s="118">
        <f>IF(COUNTBLANK($J47:$Y47)=16,"",16-COUNTBLANK($J47:$Y47))</f>
        <v/>
      </c>
      <c r="AA47" s="33">
        <f>IF($J47="",MID($AX47,3,255),$J47&amp;$AX47)</f>
        <v/>
      </c>
      <c r="AB47" s="130">
        <f>IF($J47="","",IFERROR(INDEX(코드설정!$D$5:$D$24,MATCH($J47,코드설정!$C$5:$C$24,0)),""))</f>
        <v/>
      </c>
      <c r="AC47" s="36" t="n"/>
      <c r="AD47" s="37" t="n"/>
      <c r="AE47" s="38" t="n"/>
      <c r="AF47" s="118">
        <f>IF(OR($B47="",$C47=""),"",$C47-$B47+1)</f>
        <v/>
      </c>
      <c r="AG47" s="74" t="n"/>
      <c r="AH47" s="36" t="n"/>
      <c r="AJ47">
        <f>IF($K47="","",", "&amp;$K47)</f>
        <v/>
      </c>
      <c r="AK47">
        <f>AJ47&amp;IF($L47="","",", "&amp;$L47)</f>
        <v/>
      </c>
      <c r="AL47">
        <f>AK47&amp;IF($M47="","",", "&amp;$M47)</f>
        <v/>
      </c>
      <c r="AM47">
        <f>AL47&amp;IF($N47="","",", "&amp;$N47)</f>
        <v/>
      </c>
      <c r="AN47">
        <f>AM47&amp;IF($O47="","",", "&amp;$O47)</f>
        <v/>
      </c>
      <c r="AO47">
        <f>AN47&amp;IF($P47="","",", "&amp;$P47)</f>
        <v/>
      </c>
      <c r="AP47">
        <f>AO47&amp;IF($Q47="","",", "&amp;$Q47)</f>
        <v/>
      </c>
      <c r="AQ47">
        <f>AP47&amp;IF($R47="","",", "&amp;$R47)</f>
        <v/>
      </c>
      <c r="AR47">
        <f>AQ47&amp;IF($S47="","",", "&amp;$S47)</f>
        <v/>
      </c>
      <c r="AS47">
        <f>AR47&amp;IF($T47="","",", "&amp;$T47)</f>
        <v/>
      </c>
      <c r="AT47">
        <f>AS47&amp;IF($U47="","",", "&amp;$U47)</f>
        <v/>
      </c>
      <c r="AU47">
        <f>AT47&amp;IF($V47="","",", "&amp;$V47)</f>
        <v/>
      </c>
      <c r="AV47">
        <f>AU47&amp;IF($W47="","",", "&amp;$W47)</f>
        <v/>
      </c>
      <c r="AW47">
        <f>AV47&amp;IF($X47="","",", "&amp;$X47)</f>
        <v/>
      </c>
      <c r="AX47">
        <f>AW47&amp;IF($Y47="","",", "&amp;$Y47)</f>
        <v/>
      </c>
    </row>
    <row r="48">
      <c r="A48" s="118">
        <f>IF($B48="","",COUNT($B$5:$B48))</f>
        <v/>
      </c>
      <c r="B48" s="80" t="n"/>
      <c r="C48" s="80" t="n"/>
      <c r="D48" s="74" t="n"/>
      <c r="E48" s="74" t="n"/>
      <c r="F48" s="74" t="n"/>
      <c r="G48" s="118">
        <f>IF($F48="","",COUNTIF($F$5:$F48,$F48))</f>
        <v/>
      </c>
      <c r="H48" s="33">
        <f>IF($F48="","",IFERROR(INDEX(사건마스터!$B$5:$B$64,MATCH($F48,사건마스터!$A$5:$A$64,0)),""))</f>
        <v/>
      </c>
      <c r="I48" s="130">
        <f>IF($F48="","",IFERROR(INDEX(사건마스터!$C$5:$C$64,MATCH($F48,사건마스터!$A$5:$A$64,0)),""))</f>
        <v/>
      </c>
      <c r="J48" s="136">
        <f>IF($F48="","",IFERROR(INDEX(사건마스터!$H$5:$H$64,MATCH($F48,사건마스터!$A$5:$A$64,0)),""))</f>
        <v/>
      </c>
      <c r="K48" s="136">
        <f>IF($F48="","",IFERROR(INDEX(사건마스터!$AH$5:$AH$64,MATCH($F48,사건마스터!$A$5:$A$64,0)),""))</f>
        <v/>
      </c>
      <c r="L48" s="136">
        <f>IF($F48="","",IFERROR(INDEX(사건마스터!$AI$5:$AI$64,MATCH($F48,사건마스터!$A$5:$A$64,0)),""))</f>
        <v/>
      </c>
      <c r="M48" s="136">
        <f>IF($F48="","",IFERROR(INDEX(사건마스터!$AJ$5:$AJ$64,MATCH($F48,사건마스터!$A$5:$A$64,0)),""))</f>
        <v/>
      </c>
      <c r="N48" s="136">
        <f>IF($F48="","",IFERROR(INDEX(사건마스터!$AK$5:$AK$64,MATCH($F48,사건마스터!$A$5:$A$64,0)),""))</f>
        <v/>
      </c>
      <c r="O48" s="136">
        <f>IF($F48="","",IFERROR(INDEX(사건마스터!$AL$5:$AL$64,MATCH($F48,사건마스터!$A$5:$A$64,0)),""))</f>
        <v/>
      </c>
      <c r="P48" s="136">
        <f>IF($F48="","",IFERROR(INDEX(사건마스터!$AM$5:$AM$64,MATCH($F48,사건마스터!$A$5:$A$64,0)),""))</f>
        <v/>
      </c>
      <c r="Q48" s="136">
        <f>IF($F48="","",IFERROR(INDEX(사건마스터!$AN$5:$AN$64,MATCH($F48,사건마스터!$A$5:$A$64,0)),""))</f>
        <v/>
      </c>
      <c r="R48" s="136">
        <f>IF($F48="","",IFERROR(INDEX(사건마스터!$AO$5:$AO$64,MATCH($F48,사건마스터!$A$5:$A$64,0)),""))</f>
        <v/>
      </c>
      <c r="S48" s="136">
        <f>IF($F48="","",IFERROR(INDEX(사건마스터!$AP$5:$AP$64,MATCH($F48,사건마스터!$A$5:$A$64,0)),""))</f>
        <v/>
      </c>
      <c r="T48" s="136">
        <f>IF($F48="","",IFERROR(INDEX(사건마스터!$AQ$5:$AQ$64,MATCH($F48,사건마스터!$A$5:$A$64,0)),""))</f>
        <v/>
      </c>
      <c r="U48" s="136">
        <f>IF($F48="","",IFERROR(INDEX(사건마스터!$AR$5:$AR$64,MATCH($F48,사건마스터!$A$5:$A$64,0)),""))</f>
        <v/>
      </c>
      <c r="V48" s="136">
        <f>IF($F48="","",IFERROR(INDEX(사건마스터!$AS$5:$AS$64,MATCH($F48,사건마스터!$A$5:$A$64,0)),""))</f>
        <v/>
      </c>
      <c r="W48" s="136">
        <f>IF($F48="","",IFERROR(INDEX(사건마스터!$AT$5:$AT$64,MATCH($F48,사건마스터!$A$5:$A$64,0)),""))</f>
        <v/>
      </c>
      <c r="X48" s="136">
        <f>IF($F48="","",IFERROR(INDEX(사건마스터!$AU$5:$AU$64,MATCH($F48,사건마스터!$A$5:$A$64,0)),""))</f>
        <v/>
      </c>
      <c r="Y48" s="136">
        <f>IF($F48="","",IFERROR(INDEX(사건마스터!$AV$5:$AV$64,MATCH($F48,사건마스터!$A$5:$A$64,0)),""))</f>
        <v/>
      </c>
      <c r="Z48" s="118">
        <f>IF(COUNTBLANK($J48:$Y48)=16,"",16-COUNTBLANK($J48:$Y48))</f>
        <v/>
      </c>
      <c r="AA48" s="33">
        <f>IF($J48="",MID($AX48,3,255),$J48&amp;$AX48)</f>
        <v/>
      </c>
      <c r="AB48" s="130">
        <f>IF($J48="","",IFERROR(INDEX(코드설정!$D$5:$D$24,MATCH($J48,코드설정!$C$5:$C$24,0)),""))</f>
        <v/>
      </c>
      <c r="AC48" s="36" t="n"/>
      <c r="AD48" s="37" t="n"/>
      <c r="AE48" s="38" t="n"/>
      <c r="AF48" s="118">
        <f>IF(OR($B48="",$C48=""),"",$C48-$B48+1)</f>
        <v/>
      </c>
      <c r="AG48" s="74" t="n"/>
      <c r="AH48" s="36" t="n"/>
      <c r="AJ48">
        <f>IF($K48="","",", "&amp;$K48)</f>
        <v/>
      </c>
      <c r="AK48">
        <f>AJ48&amp;IF($L48="","",", "&amp;$L48)</f>
        <v/>
      </c>
      <c r="AL48">
        <f>AK48&amp;IF($M48="","",", "&amp;$M48)</f>
        <v/>
      </c>
      <c r="AM48">
        <f>AL48&amp;IF($N48="","",", "&amp;$N48)</f>
        <v/>
      </c>
      <c r="AN48">
        <f>AM48&amp;IF($O48="","",", "&amp;$O48)</f>
        <v/>
      </c>
      <c r="AO48">
        <f>AN48&amp;IF($P48="","",", "&amp;$P48)</f>
        <v/>
      </c>
      <c r="AP48">
        <f>AO48&amp;IF($Q48="","",", "&amp;$Q48)</f>
        <v/>
      </c>
      <c r="AQ48">
        <f>AP48&amp;IF($R48="","",", "&amp;$R48)</f>
        <v/>
      </c>
      <c r="AR48">
        <f>AQ48&amp;IF($S48="","",", "&amp;$S48)</f>
        <v/>
      </c>
      <c r="AS48">
        <f>AR48&amp;IF($T48="","",", "&amp;$T48)</f>
        <v/>
      </c>
      <c r="AT48">
        <f>AS48&amp;IF($U48="","",", "&amp;$U48)</f>
        <v/>
      </c>
      <c r="AU48">
        <f>AT48&amp;IF($V48="","",", "&amp;$V48)</f>
        <v/>
      </c>
      <c r="AV48">
        <f>AU48&amp;IF($W48="","",", "&amp;$W48)</f>
        <v/>
      </c>
      <c r="AW48">
        <f>AV48&amp;IF($X48="","",", "&amp;$X48)</f>
        <v/>
      </c>
      <c r="AX48">
        <f>AW48&amp;IF($Y48="","",", "&amp;$Y48)</f>
        <v/>
      </c>
    </row>
    <row r="49">
      <c r="A49" s="118">
        <f>IF($B49="","",COUNT($B$5:$B49))</f>
        <v/>
      </c>
      <c r="B49" s="80" t="n"/>
      <c r="C49" s="80" t="n"/>
      <c r="D49" s="74" t="n"/>
      <c r="E49" s="74" t="n"/>
      <c r="F49" s="74" t="n"/>
      <c r="G49" s="118">
        <f>IF($F49="","",COUNTIF($F$5:$F49,$F49))</f>
        <v/>
      </c>
      <c r="H49" s="33">
        <f>IF($F49="","",IFERROR(INDEX(사건마스터!$B$5:$B$64,MATCH($F49,사건마스터!$A$5:$A$64,0)),""))</f>
        <v/>
      </c>
      <c r="I49" s="130">
        <f>IF($F49="","",IFERROR(INDEX(사건마스터!$C$5:$C$64,MATCH($F49,사건마스터!$A$5:$A$64,0)),""))</f>
        <v/>
      </c>
      <c r="J49" s="136">
        <f>IF($F49="","",IFERROR(INDEX(사건마스터!$H$5:$H$64,MATCH($F49,사건마스터!$A$5:$A$64,0)),""))</f>
        <v/>
      </c>
      <c r="K49" s="136">
        <f>IF($F49="","",IFERROR(INDEX(사건마스터!$AH$5:$AH$64,MATCH($F49,사건마스터!$A$5:$A$64,0)),""))</f>
        <v/>
      </c>
      <c r="L49" s="136">
        <f>IF($F49="","",IFERROR(INDEX(사건마스터!$AI$5:$AI$64,MATCH($F49,사건마스터!$A$5:$A$64,0)),""))</f>
        <v/>
      </c>
      <c r="M49" s="136">
        <f>IF($F49="","",IFERROR(INDEX(사건마스터!$AJ$5:$AJ$64,MATCH($F49,사건마스터!$A$5:$A$64,0)),""))</f>
        <v/>
      </c>
      <c r="N49" s="136">
        <f>IF($F49="","",IFERROR(INDEX(사건마스터!$AK$5:$AK$64,MATCH($F49,사건마스터!$A$5:$A$64,0)),""))</f>
        <v/>
      </c>
      <c r="O49" s="136">
        <f>IF($F49="","",IFERROR(INDEX(사건마스터!$AL$5:$AL$64,MATCH($F49,사건마스터!$A$5:$A$64,0)),""))</f>
        <v/>
      </c>
      <c r="P49" s="136">
        <f>IF($F49="","",IFERROR(INDEX(사건마스터!$AM$5:$AM$64,MATCH($F49,사건마스터!$A$5:$A$64,0)),""))</f>
        <v/>
      </c>
      <c r="Q49" s="136">
        <f>IF($F49="","",IFERROR(INDEX(사건마스터!$AN$5:$AN$64,MATCH($F49,사건마스터!$A$5:$A$64,0)),""))</f>
        <v/>
      </c>
      <c r="R49" s="136">
        <f>IF($F49="","",IFERROR(INDEX(사건마스터!$AO$5:$AO$64,MATCH($F49,사건마스터!$A$5:$A$64,0)),""))</f>
        <v/>
      </c>
      <c r="S49" s="136">
        <f>IF($F49="","",IFERROR(INDEX(사건마스터!$AP$5:$AP$64,MATCH($F49,사건마스터!$A$5:$A$64,0)),""))</f>
        <v/>
      </c>
      <c r="T49" s="136">
        <f>IF($F49="","",IFERROR(INDEX(사건마스터!$AQ$5:$AQ$64,MATCH($F49,사건마스터!$A$5:$A$64,0)),""))</f>
        <v/>
      </c>
      <c r="U49" s="136">
        <f>IF($F49="","",IFERROR(INDEX(사건마스터!$AR$5:$AR$64,MATCH($F49,사건마스터!$A$5:$A$64,0)),""))</f>
        <v/>
      </c>
      <c r="V49" s="136">
        <f>IF($F49="","",IFERROR(INDEX(사건마스터!$AS$5:$AS$64,MATCH($F49,사건마스터!$A$5:$A$64,0)),""))</f>
        <v/>
      </c>
      <c r="W49" s="136">
        <f>IF($F49="","",IFERROR(INDEX(사건마스터!$AT$5:$AT$64,MATCH($F49,사건마스터!$A$5:$A$64,0)),""))</f>
        <v/>
      </c>
      <c r="X49" s="136">
        <f>IF($F49="","",IFERROR(INDEX(사건마스터!$AU$5:$AU$64,MATCH($F49,사건마스터!$A$5:$A$64,0)),""))</f>
        <v/>
      </c>
      <c r="Y49" s="136">
        <f>IF($F49="","",IFERROR(INDEX(사건마스터!$AV$5:$AV$64,MATCH($F49,사건마스터!$A$5:$A$64,0)),""))</f>
        <v/>
      </c>
      <c r="Z49" s="118">
        <f>IF(COUNTBLANK($J49:$Y49)=16,"",16-COUNTBLANK($J49:$Y49))</f>
        <v/>
      </c>
      <c r="AA49" s="33">
        <f>IF($J49="",MID($AX49,3,255),$J49&amp;$AX49)</f>
        <v/>
      </c>
      <c r="AB49" s="130">
        <f>IF($J49="","",IFERROR(INDEX(코드설정!$D$5:$D$24,MATCH($J49,코드설정!$C$5:$C$24,0)),""))</f>
        <v/>
      </c>
      <c r="AC49" s="36" t="n"/>
      <c r="AD49" s="37" t="n"/>
      <c r="AE49" s="38" t="n"/>
      <c r="AF49" s="118">
        <f>IF(OR($B49="",$C49=""),"",$C49-$B49+1)</f>
        <v/>
      </c>
      <c r="AG49" s="74" t="n"/>
      <c r="AH49" s="36" t="n"/>
      <c r="AJ49">
        <f>IF($K49="","",", "&amp;$K49)</f>
        <v/>
      </c>
      <c r="AK49">
        <f>AJ49&amp;IF($L49="","",", "&amp;$L49)</f>
        <v/>
      </c>
      <c r="AL49">
        <f>AK49&amp;IF($M49="","",", "&amp;$M49)</f>
        <v/>
      </c>
      <c r="AM49">
        <f>AL49&amp;IF($N49="","",", "&amp;$N49)</f>
        <v/>
      </c>
      <c r="AN49">
        <f>AM49&amp;IF($O49="","",", "&amp;$O49)</f>
        <v/>
      </c>
      <c r="AO49">
        <f>AN49&amp;IF($P49="","",", "&amp;$P49)</f>
        <v/>
      </c>
      <c r="AP49">
        <f>AO49&amp;IF($Q49="","",", "&amp;$Q49)</f>
        <v/>
      </c>
      <c r="AQ49">
        <f>AP49&amp;IF($R49="","",", "&amp;$R49)</f>
        <v/>
      </c>
      <c r="AR49">
        <f>AQ49&amp;IF($S49="","",", "&amp;$S49)</f>
        <v/>
      </c>
      <c r="AS49">
        <f>AR49&amp;IF($T49="","",", "&amp;$T49)</f>
        <v/>
      </c>
      <c r="AT49">
        <f>AS49&amp;IF($U49="","",", "&amp;$U49)</f>
        <v/>
      </c>
      <c r="AU49">
        <f>AT49&amp;IF($V49="","",", "&amp;$V49)</f>
        <v/>
      </c>
      <c r="AV49">
        <f>AU49&amp;IF($W49="","",", "&amp;$W49)</f>
        <v/>
      </c>
      <c r="AW49">
        <f>AV49&amp;IF($X49="","",", "&amp;$X49)</f>
        <v/>
      </c>
      <c r="AX49">
        <f>AW49&amp;IF($Y49="","",", "&amp;$Y49)</f>
        <v/>
      </c>
    </row>
    <row r="50">
      <c r="A50" s="118">
        <f>IF($B50="","",COUNT($B$5:$B50))</f>
        <v/>
      </c>
      <c r="B50" s="80" t="n"/>
      <c r="C50" s="80" t="n"/>
      <c r="D50" s="74" t="n"/>
      <c r="E50" s="74" t="n"/>
      <c r="F50" s="74" t="n"/>
      <c r="G50" s="118">
        <f>IF($F50="","",COUNTIF($F$5:$F50,$F50))</f>
        <v/>
      </c>
      <c r="H50" s="33">
        <f>IF($F50="","",IFERROR(INDEX(사건마스터!$B$5:$B$64,MATCH($F50,사건마스터!$A$5:$A$64,0)),""))</f>
        <v/>
      </c>
      <c r="I50" s="130">
        <f>IF($F50="","",IFERROR(INDEX(사건마스터!$C$5:$C$64,MATCH($F50,사건마스터!$A$5:$A$64,0)),""))</f>
        <v/>
      </c>
      <c r="J50" s="136">
        <f>IF($F50="","",IFERROR(INDEX(사건마스터!$H$5:$H$64,MATCH($F50,사건마스터!$A$5:$A$64,0)),""))</f>
        <v/>
      </c>
      <c r="K50" s="136">
        <f>IF($F50="","",IFERROR(INDEX(사건마스터!$AH$5:$AH$64,MATCH($F50,사건마스터!$A$5:$A$64,0)),""))</f>
        <v/>
      </c>
      <c r="L50" s="136">
        <f>IF($F50="","",IFERROR(INDEX(사건마스터!$AI$5:$AI$64,MATCH($F50,사건마스터!$A$5:$A$64,0)),""))</f>
        <v/>
      </c>
      <c r="M50" s="136">
        <f>IF($F50="","",IFERROR(INDEX(사건마스터!$AJ$5:$AJ$64,MATCH($F50,사건마스터!$A$5:$A$64,0)),""))</f>
        <v/>
      </c>
      <c r="N50" s="136">
        <f>IF($F50="","",IFERROR(INDEX(사건마스터!$AK$5:$AK$64,MATCH($F50,사건마스터!$A$5:$A$64,0)),""))</f>
        <v/>
      </c>
      <c r="O50" s="136">
        <f>IF($F50="","",IFERROR(INDEX(사건마스터!$AL$5:$AL$64,MATCH($F50,사건마스터!$A$5:$A$64,0)),""))</f>
        <v/>
      </c>
      <c r="P50" s="136">
        <f>IF($F50="","",IFERROR(INDEX(사건마스터!$AM$5:$AM$64,MATCH($F50,사건마스터!$A$5:$A$64,0)),""))</f>
        <v/>
      </c>
      <c r="Q50" s="136">
        <f>IF($F50="","",IFERROR(INDEX(사건마스터!$AN$5:$AN$64,MATCH($F50,사건마스터!$A$5:$A$64,0)),""))</f>
        <v/>
      </c>
      <c r="R50" s="136">
        <f>IF($F50="","",IFERROR(INDEX(사건마스터!$AO$5:$AO$64,MATCH($F50,사건마스터!$A$5:$A$64,0)),""))</f>
        <v/>
      </c>
      <c r="S50" s="136">
        <f>IF($F50="","",IFERROR(INDEX(사건마스터!$AP$5:$AP$64,MATCH($F50,사건마스터!$A$5:$A$64,0)),""))</f>
        <v/>
      </c>
      <c r="T50" s="136">
        <f>IF($F50="","",IFERROR(INDEX(사건마스터!$AQ$5:$AQ$64,MATCH($F50,사건마스터!$A$5:$A$64,0)),""))</f>
        <v/>
      </c>
      <c r="U50" s="136">
        <f>IF($F50="","",IFERROR(INDEX(사건마스터!$AR$5:$AR$64,MATCH($F50,사건마스터!$A$5:$A$64,0)),""))</f>
        <v/>
      </c>
      <c r="V50" s="136">
        <f>IF($F50="","",IFERROR(INDEX(사건마스터!$AS$5:$AS$64,MATCH($F50,사건마스터!$A$5:$A$64,0)),""))</f>
        <v/>
      </c>
      <c r="W50" s="136">
        <f>IF($F50="","",IFERROR(INDEX(사건마스터!$AT$5:$AT$64,MATCH($F50,사건마스터!$A$5:$A$64,0)),""))</f>
        <v/>
      </c>
      <c r="X50" s="136">
        <f>IF($F50="","",IFERROR(INDEX(사건마스터!$AU$5:$AU$64,MATCH($F50,사건마스터!$A$5:$A$64,0)),""))</f>
        <v/>
      </c>
      <c r="Y50" s="136">
        <f>IF($F50="","",IFERROR(INDEX(사건마스터!$AV$5:$AV$64,MATCH($F50,사건마스터!$A$5:$A$64,0)),""))</f>
        <v/>
      </c>
      <c r="Z50" s="118">
        <f>IF(COUNTBLANK($J50:$Y50)=16,"",16-COUNTBLANK($J50:$Y50))</f>
        <v/>
      </c>
      <c r="AA50" s="33">
        <f>IF($J50="",MID($AX50,3,255),$J50&amp;$AX50)</f>
        <v/>
      </c>
      <c r="AB50" s="130">
        <f>IF($J50="","",IFERROR(INDEX(코드설정!$D$5:$D$24,MATCH($J50,코드설정!$C$5:$C$24,0)),""))</f>
        <v/>
      </c>
      <c r="AC50" s="36" t="n"/>
      <c r="AD50" s="37" t="n"/>
      <c r="AE50" s="38" t="n"/>
      <c r="AF50" s="118">
        <f>IF(OR($B50="",$C50=""),"",$C50-$B50+1)</f>
        <v/>
      </c>
      <c r="AG50" s="74" t="n"/>
      <c r="AH50" s="36" t="n"/>
      <c r="AJ50">
        <f>IF($K50="","",", "&amp;$K50)</f>
        <v/>
      </c>
      <c r="AK50">
        <f>AJ50&amp;IF($L50="","",", "&amp;$L50)</f>
        <v/>
      </c>
      <c r="AL50">
        <f>AK50&amp;IF($M50="","",", "&amp;$M50)</f>
        <v/>
      </c>
      <c r="AM50">
        <f>AL50&amp;IF($N50="","",", "&amp;$N50)</f>
        <v/>
      </c>
      <c r="AN50">
        <f>AM50&amp;IF($O50="","",", "&amp;$O50)</f>
        <v/>
      </c>
      <c r="AO50">
        <f>AN50&amp;IF($P50="","",", "&amp;$P50)</f>
        <v/>
      </c>
      <c r="AP50">
        <f>AO50&amp;IF($Q50="","",", "&amp;$Q50)</f>
        <v/>
      </c>
      <c r="AQ50">
        <f>AP50&amp;IF($R50="","",", "&amp;$R50)</f>
        <v/>
      </c>
      <c r="AR50">
        <f>AQ50&amp;IF($S50="","",", "&amp;$S50)</f>
        <v/>
      </c>
      <c r="AS50">
        <f>AR50&amp;IF($T50="","",", "&amp;$T50)</f>
        <v/>
      </c>
      <c r="AT50">
        <f>AS50&amp;IF($U50="","",", "&amp;$U50)</f>
        <v/>
      </c>
      <c r="AU50">
        <f>AT50&amp;IF($V50="","",", "&amp;$V50)</f>
        <v/>
      </c>
      <c r="AV50">
        <f>AU50&amp;IF($W50="","",", "&amp;$W50)</f>
        <v/>
      </c>
      <c r="AW50">
        <f>AV50&amp;IF($X50="","",", "&amp;$X50)</f>
        <v/>
      </c>
      <c r="AX50">
        <f>AW50&amp;IF($Y50="","",", "&amp;$Y50)</f>
        <v/>
      </c>
    </row>
    <row r="51">
      <c r="A51" s="118">
        <f>IF($B51="","",COUNT($B$5:$B51))</f>
        <v/>
      </c>
      <c r="B51" s="80" t="n"/>
      <c r="C51" s="80" t="n"/>
      <c r="D51" s="74" t="n"/>
      <c r="E51" s="74" t="n"/>
      <c r="F51" s="74" t="n"/>
      <c r="G51" s="118">
        <f>IF($F51="","",COUNTIF($F$5:$F51,$F51))</f>
        <v/>
      </c>
      <c r="H51" s="33">
        <f>IF($F51="","",IFERROR(INDEX(사건마스터!$B$5:$B$64,MATCH($F51,사건마스터!$A$5:$A$64,0)),""))</f>
        <v/>
      </c>
      <c r="I51" s="130">
        <f>IF($F51="","",IFERROR(INDEX(사건마스터!$C$5:$C$64,MATCH($F51,사건마스터!$A$5:$A$64,0)),""))</f>
        <v/>
      </c>
      <c r="J51" s="136">
        <f>IF($F51="","",IFERROR(INDEX(사건마스터!$H$5:$H$64,MATCH($F51,사건마스터!$A$5:$A$64,0)),""))</f>
        <v/>
      </c>
      <c r="K51" s="136">
        <f>IF($F51="","",IFERROR(INDEX(사건마스터!$AH$5:$AH$64,MATCH($F51,사건마스터!$A$5:$A$64,0)),""))</f>
        <v/>
      </c>
      <c r="L51" s="136">
        <f>IF($F51="","",IFERROR(INDEX(사건마스터!$AI$5:$AI$64,MATCH($F51,사건마스터!$A$5:$A$64,0)),""))</f>
        <v/>
      </c>
      <c r="M51" s="136">
        <f>IF($F51="","",IFERROR(INDEX(사건마스터!$AJ$5:$AJ$64,MATCH($F51,사건마스터!$A$5:$A$64,0)),""))</f>
        <v/>
      </c>
      <c r="N51" s="136">
        <f>IF($F51="","",IFERROR(INDEX(사건마스터!$AK$5:$AK$64,MATCH($F51,사건마스터!$A$5:$A$64,0)),""))</f>
        <v/>
      </c>
      <c r="O51" s="136">
        <f>IF($F51="","",IFERROR(INDEX(사건마스터!$AL$5:$AL$64,MATCH($F51,사건마스터!$A$5:$A$64,0)),""))</f>
        <v/>
      </c>
      <c r="P51" s="136">
        <f>IF($F51="","",IFERROR(INDEX(사건마스터!$AM$5:$AM$64,MATCH($F51,사건마스터!$A$5:$A$64,0)),""))</f>
        <v/>
      </c>
      <c r="Q51" s="136">
        <f>IF($F51="","",IFERROR(INDEX(사건마스터!$AN$5:$AN$64,MATCH($F51,사건마스터!$A$5:$A$64,0)),""))</f>
        <v/>
      </c>
      <c r="R51" s="136">
        <f>IF($F51="","",IFERROR(INDEX(사건마스터!$AO$5:$AO$64,MATCH($F51,사건마스터!$A$5:$A$64,0)),""))</f>
        <v/>
      </c>
      <c r="S51" s="136">
        <f>IF($F51="","",IFERROR(INDEX(사건마스터!$AP$5:$AP$64,MATCH($F51,사건마스터!$A$5:$A$64,0)),""))</f>
        <v/>
      </c>
      <c r="T51" s="136">
        <f>IF($F51="","",IFERROR(INDEX(사건마스터!$AQ$5:$AQ$64,MATCH($F51,사건마스터!$A$5:$A$64,0)),""))</f>
        <v/>
      </c>
      <c r="U51" s="136">
        <f>IF($F51="","",IFERROR(INDEX(사건마스터!$AR$5:$AR$64,MATCH($F51,사건마스터!$A$5:$A$64,0)),""))</f>
        <v/>
      </c>
      <c r="V51" s="136">
        <f>IF($F51="","",IFERROR(INDEX(사건마스터!$AS$5:$AS$64,MATCH($F51,사건마스터!$A$5:$A$64,0)),""))</f>
        <v/>
      </c>
      <c r="W51" s="136">
        <f>IF($F51="","",IFERROR(INDEX(사건마스터!$AT$5:$AT$64,MATCH($F51,사건마스터!$A$5:$A$64,0)),""))</f>
        <v/>
      </c>
      <c r="X51" s="136">
        <f>IF($F51="","",IFERROR(INDEX(사건마스터!$AU$5:$AU$64,MATCH($F51,사건마스터!$A$5:$A$64,0)),""))</f>
        <v/>
      </c>
      <c r="Y51" s="136">
        <f>IF($F51="","",IFERROR(INDEX(사건마스터!$AV$5:$AV$64,MATCH($F51,사건마스터!$A$5:$A$64,0)),""))</f>
        <v/>
      </c>
      <c r="Z51" s="118">
        <f>IF(COUNTBLANK($J51:$Y51)=16,"",16-COUNTBLANK($J51:$Y51))</f>
        <v/>
      </c>
      <c r="AA51" s="33">
        <f>IF($J51="",MID($AX51,3,255),$J51&amp;$AX51)</f>
        <v/>
      </c>
      <c r="AB51" s="130">
        <f>IF($J51="","",IFERROR(INDEX(코드설정!$D$5:$D$24,MATCH($J51,코드설정!$C$5:$C$24,0)),""))</f>
        <v/>
      </c>
      <c r="AC51" s="36" t="n"/>
      <c r="AD51" s="37" t="n"/>
      <c r="AE51" s="38" t="n"/>
      <c r="AF51" s="118">
        <f>IF(OR($B51="",$C51=""),"",$C51-$B51+1)</f>
        <v/>
      </c>
      <c r="AG51" s="74" t="n"/>
      <c r="AH51" s="36" t="n"/>
      <c r="AJ51">
        <f>IF($K51="","",", "&amp;$K51)</f>
        <v/>
      </c>
      <c r="AK51">
        <f>AJ51&amp;IF($L51="","",", "&amp;$L51)</f>
        <v/>
      </c>
      <c r="AL51">
        <f>AK51&amp;IF($M51="","",", "&amp;$M51)</f>
        <v/>
      </c>
      <c r="AM51">
        <f>AL51&amp;IF($N51="","",", "&amp;$N51)</f>
        <v/>
      </c>
      <c r="AN51">
        <f>AM51&amp;IF($O51="","",", "&amp;$O51)</f>
        <v/>
      </c>
      <c r="AO51">
        <f>AN51&amp;IF($P51="","",", "&amp;$P51)</f>
        <v/>
      </c>
      <c r="AP51">
        <f>AO51&amp;IF($Q51="","",", "&amp;$Q51)</f>
        <v/>
      </c>
      <c r="AQ51">
        <f>AP51&amp;IF($R51="","",", "&amp;$R51)</f>
        <v/>
      </c>
      <c r="AR51">
        <f>AQ51&amp;IF($S51="","",", "&amp;$S51)</f>
        <v/>
      </c>
      <c r="AS51">
        <f>AR51&amp;IF($T51="","",", "&amp;$T51)</f>
        <v/>
      </c>
      <c r="AT51">
        <f>AS51&amp;IF($U51="","",", "&amp;$U51)</f>
        <v/>
      </c>
      <c r="AU51">
        <f>AT51&amp;IF($V51="","",", "&amp;$V51)</f>
        <v/>
      </c>
      <c r="AV51">
        <f>AU51&amp;IF($W51="","",", "&amp;$W51)</f>
        <v/>
      </c>
      <c r="AW51">
        <f>AV51&amp;IF($X51="","",", "&amp;$X51)</f>
        <v/>
      </c>
      <c r="AX51">
        <f>AW51&amp;IF($Y51="","",", "&amp;$Y51)</f>
        <v/>
      </c>
    </row>
    <row r="52">
      <c r="A52" s="118">
        <f>IF($B52="","",COUNT($B$5:$B52))</f>
        <v/>
      </c>
      <c r="B52" s="80" t="n"/>
      <c r="C52" s="80" t="n"/>
      <c r="D52" s="74" t="n"/>
      <c r="E52" s="74" t="n"/>
      <c r="F52" s="74" t="n"/>
      <c r="G52" s="118">
        <f>IF($F52="","",COUNTIF($F$5:$F52,$F52))</f>
        <v/>
      </c>
      <c r="H52" s="33">
        <f>IF($F52="","",IFERROR(INDEX(사건마스터!$B$5:$B$64,MATCH($F52,사건마스터!$A$5:$A$64,0)),""))</f>
        <v/>
      </c>
      <c r="I52" s="130">
        <f>IF($F52="","",IFERROR(INDEX(사건마스터!$C$5:$C$64,MATCH($F52,사건마스터!$A$5:$A$64,0)),""))</f>
        <v/>
      </c>
      <c r="J52" s="136">
        <f>IF($F52="","",IFERROR(INDEX(사건마스터!$H$5:$H$64,MATCH($F52,사건마스터!$A$5:$A$64,0)),""))</f>
        <v/>
      </c>
      <c r="K52" s="136">
        <f>IF($F52="","",IFERROR(INDEX(사건마스터!$AH$5:$AH$64,MATCH($F52,사건마스터!$A$5:$A$64,0)),""))</f>
        <v/>
      </c>
      <c r="L52" s="136">
        <f>IF($F52="","",IFERROR(INDEX(사건마스터!$AI$5:$AI$64,MATCH($F52,사건마스터!$A$5:$A$64,0)),""))</f>
        <v/>
      </c>
      <c r="M52" s="136">
        <f>IF($F52="","",IFERROR(INDEX(사건마스터!$AJ$5:$AJ$64,MATCH($F52,사건마스터!$A$5:$A$64,0)),""))</f>
        <v/>
      </c>
      <c r="N52" s="136">
        <f>IF($F52="","",IFERROR(INDEX(사건마스터!$AK$5:$AK$64,MATCH($F52,사건마스터!$A$5:$A$64,0)),""))</f>
        <v/>
      </c>
      <c r="O52" s="136">
        <f>IF($F52="","",IFERROR(INDEX(사건마스터!$AL$5:$AL$64,MATCH($F52,사건마스터!$A$5:$A$64,0)),""))</f>
        <v/>
      </c>
      <c r="P52" s="136">
        <f>IF($F52="","",IFERROR(INDEX(사건마스터!$AM$5:$AM$64,MATCH($F52,사건마스터!$A$5:$A$64,0)),""))</f>
        <v/>
      </c>
      <c r="Q52" s="136">
        <f>IF($F52="","",IFERROR(INDEX(사건마스터!$AN$5:$AN$64,MATCH($F52,사건마스터!$A$5:$A$64,0)),""))</f>
        <v/>
      </c>
      <c r="R52" s="136">
        <f>IF($F52="","",IFERROR(INDEX(사건마스터!$AO$5:$AO$64,MATCH($F52,사건마스터!$A$5:$A$64,0)),""))</f>
        <v/>
      </c>
      <c r="S52" s="136">
        <f>IF($F52="","",IFERROR(INDEX(사건마스터!$AP$5:$AP$64,MATCH($F52,사건마스터!$A$5:$A$64,0)),""))</f>
        <v/>
      </c>
      <c r="T52" s="136">
        <f>IF($F52="","",IFERROR(INDEX(사건마스터!$AQ$5:$AQ$64,MATCH($F52,사건마스터!$A$5:$A$64,0)),""))</f>
        <v/>
      </c>
      <c r="U52" s="136">
        <f>IF($F52="","",IFERROR(INDEX(사건마스터!$AR$5:$AR$64,MATCH($F52,사건마스터!$A$5:$A$64,0)),""))</f>
        <v/>
      </c>
      <c r="V52" s="136">
        <f>IF($F52="","",IFERROR(INDEX(사건마스터!$AS$5:$AS$64,MATCH($F52,사건마스터!$A$5:$A$64,0)),""))</f>
        <v/>
      </c>
      <c r="W52" s="136">
        <f>IF($F52="","",IFERROR(INDEX(사건마스터!$AT$5:$AT$64,MATCH($F52,사건마스터!$A$5:$A$64,0)),""))</f>
        <v/>
      </c>
      <c r="X52" s="136">
        <f>IF($F52="","",IFERROR(INDEX(사건마스터!$AU$5:$AU$64,MATCH($F52,사건마스터!$A$5:$A$64,0)),""))</f>
        <v/>
      </c>
      <c r="Y52" s="136">
        <f>IF($F52="","",IFERROR(INDEX(사건마스터!$AV$5:$AV$64,MATCH($F52,사건마스터!$A$5:$A$64,0)),""))</f>
        <v/>
      </c>
      <c r="Z52" s="118">
        <f>IF(COUNTBLANK($J52:$Y52)=16,"",16-COUNTBLANK($J52:$Y52))</f>
        <v/>
      </c>
      <c r="AA52" s="33">
        <f>IF($J52="",MID($AX52,3,255),$J52&amp;$AX52)</f>
        <v/>
      </c>
      <c r="AB52" s="130">
        <f>IF($J52="","",IFERROR(INDEX(코드설정!$D$5:$D$24,MATCH($J52,코드설정!$C$5:$C$24,0)),""))</f>
        <v/>
      </c>
      <c r="AC52" s="36" t="n"/>
      <c r="AD52" s="37" t="n"/>
      <c r="AE52" s="38" t="n"/>
      <c r="AF52" s="118">
        <f>IF(OR($B52="",$C52=""),"",$C52-$B52+1)</f>
        <v/>
      </c>
      <c r="AG52" s="74" t="n"/>
      <c r="AH52" s="36" t="n"/>
      <c r="AJ52">
        <f>IF($K52="","",", "&amp;$K52)</f>
        <v/>
      </c>
      <c r="AK52">
        <f>AJ52&amp;IF($L52="","",", "&amp;$L52)</f>
        <v/>
      </c>
      <c r="AL52">
        <f>AK52&amp;IF($M52="","",", "&amp;$M52)</f>
        <v/>
      </c>
      <c r="AM52">
        <f>AL52&amp;IF($N52="","",", "&amp;$N52)</f>
        <v/>
      </c>
      <c r="AN52">
        <f>AM52&amp;IF($O52="","",", "&amp;$O52)</f>
        <v/>
      </c>
      <c r="AO52">
        <f>AN52&amp;IF($P52="","",", "&amp;$P52)</f>
        <v/>
      </c>
      <c r="AP52">
        <f>AO52&amp;IF($Q52="","",", "&amp;$Q52)</f>
        <v/>
      </c>
      <c r="AQ52">
        <f>AP52&amp;IF($R52="","",", "&amp;$R52)</f>
        <v/>
      </c>
      <c r="AR52">
        <f>AQ52&amp;IF($S52="","",", "&amp;$S52)</f>
        <v/>
      </c>
      <c r="AS52">
        <f>AR52&amp;IF($T52="","",", "&amp;$T52)</f>
        <v/>
      </c>
      <c r="AT52">
        <f>AS52&amp;IF($U52="","",", "&amp;$U52)</f>
        <v/>
      </c>
      <c r="AU52">
        <f>AT52&amp;IF($V52="","",", "&amp;$V52)</f>
        <v/>
      </c>
      <c r="AV52">
        <f>AU52&amp;IF($W52="","",", "&amp;$W52)</f>
        <v/>
      </c>
      <c r="AW52">
        <f>AV52&amp;IF($X52="","",", "&amp;$X52)</f>
        <v/>
      </c>
      <c r="AX52">
        <f>AW52&amp;IF($Y52="","",", "&amp;$Y52)</f>
        <v/>
      </c>
    </row>
    <row r="53">
      <c r="A53" s="118">
        <f>IF($B53="","",COUNT($B$5:$B53))</f>
        <v/>
      </c>
      <c r="B53" s="80" t="n"/>
      <c r="C53" s="80" t="n"/>
      <c r="D53" s="74" t="n"/>
      <c r="E53" s="74" t="n"/>
      <c r="F53" s="74" t="n"/>
      <c r="G53" s="118">
        <f>IF($F53="","",COUNTIF($F$5:$F53,$F53))</f>
        <v/>
      </c>
      <c r="H53" s="33">
        <f>IF($F53="","",IFERROR(INDEX(사건마스터!$B$5:$B$64,MATCH($F53,사건마스터!$A$5:$A$64,0)),""))</f>
        <v/>
      </c>
      <c r="I53" s="130">
        <f>IF($F53="","",IFERROR(INDEX(사건마스터!$C$5:$C$64,MATCH($F53,사건마스터!$A$5:$A$64,0)),""))</f>
        <v/>
      </c>
      <c r="J53" s="136">
        <f>IF($F53="","",IFERROR(INDEX(사건마스터!$H$5:$H$64,MATCH($F53,사건마스터!$A$5:$A$64,0)),""))</f>
        <v/>
      </c>
      <c r="K53" s="136">
        <f>IF($F53="","",IFERROR(INDEX(사건마스터!$AH$5:$AH$64,MATCH($F53,사건마스터!$A$5:$A$64,0)),""))</f>
        <v/>
      </c>
      <c r="L53" s="136">
        <f>IF($F53="","",IFERROR(INDEX(사건마스터!$AI$5:$AI$64,MATCH($F53,사건마스터!$A$5:$A$64,0)),""))</f>
        <v/>
      </c>
      <c r="M53" s="136">
        <f>IF($F53="","",IFERROR(INDEX(사건마스터!$AJ$5:$AJ$64,MATCH($F53,사건마스터!$A$5:$A$64,0)),""))</f>
        <v/>
      </c>
      <c r="N53" s="136">
        <f>IF($F53="","",IFERROR(INDEX(사건마스터!$AK$5:$AK$64,MATCH($F53,사건마스터!$A$5:$A$64,0)),""))</f>
        <v/>
      </c>
      <c r="O53" s="136">
        <f>IF($F53="","",IFERROR(INDEX(사건마스터!$AL$5:$AL$64,MATCH($F53,사건마스터!$A$5:$A$64,0)),""))</f>
        <v/>
      </c>
      <c r="P53" s="136">
        <f>IF($F53="","",IFERROR(INDEX(사건마스터!$AM$5:$AM$64,MATCH($F53,사건마스터!$A$5:$A$64,0)),""))</f>
        <v/>
      </c>
      <c r="Q53" s="136">
        <f>IF($F53="","",IFERROR(INDEX(사건마스터!$AN$5:$AN$64,MATCH($F53,사건마스터!$A$5:$A$64,0)),""))</f>
        <v/>
      </c>
      <c r="R53" s="136">
        <f>IF($F53="","",IFERROR(INDEX(사건마스터!$AO$5:$AO$64,MATCH($F53,사건마스터!$A$5:$A$64,0)),""))</f>
        <v/>
      </c>
      <c r="S53" s="136">
        <f>IF($F53="","",IFERROR(INDEX(사건마스터!$AP$5:$AP$64,MATCH($F53,사건마스터!$A$5:$A$64,0)),""))</f>
        <v/>
      </c>
      <c r="T53" s="136">
        <f>IF($F53="","",IFERROR(INDEX(사건마스터!$AQ$5:$AQ$64,MATCH($F53,사건마스터!$A$5:$A$64,0)),""))</f>
        <v/>
      </c>
      <c r="U53" s="136">
        <f>IF($F53="","",IFERROR(INDEX(사건마스터!$AR$5:$AR$64,MATCH($F53,사건마스터!$A$5:$A$64,0)),""))</f>
        <v/>
      </c>
      <c r="V53" s="136">
        <f>IF($F53="","",IFERROR(INDEX(사건마스터!$AS$5:$AS$64,MATCH($F53,사건마스터!$A$5:$A$64,0)),""))</f>
        <v/>
      </c>
      <c r="W53" s="136">
        <f>IF($F53="","",IFERROR(INDEX(사건마스터!$AT$5:$AT$64,MATCH($F53,사건마스터!$A$5:$A$64,0)),""))</f>
        <v/>
      </c>
      <c r="X53" s="136">
        <f>IF($F53="","",IFERROR(INDEX(사건마스터!$AU$5:$AU$64,MATCH($F53,사건마스터!$A$5:$A$64,0)),""))</f>
        <v/>
      </c>
      <c r="Y53" s="136">
        <f>IF($F53="","",IFERROR(INDEX(사건마스터!$AV$5:$AV$64,MATCH($F53,사건마스터!$A$5:$A$64,0)),""))</f>
        <v/>
      </c>
      <c r="Z53" s="118">
        <f>IF(COUNTBLANK($J53:$Y53)=16,"",16-COUNTBLANK($J53:$Y53))</f>
        <v/>
      </c>
      <c r="AA53" s="33">
        <f>IF($J53="",MID($AX53,3,255),$J53&amp;$AX53)</f>
        <v/>
      </c>
      <c r="AB53" s="130">
        <f>IF($J53="","",IFERROR(INDEX(코드설정!$D$5:$D$24,MATCH($J53,코드설정!$C$5:$C$24,0)),""))</f>
        <v/>
      </c>
      <c r="AC53" s="36" t="n"/>
      <c r="AD53" s="37" t="n"/>
      <c r="AE53" s="38" t="n"/>
      <c r="AF53" s="118">
        <f>IF(OR($B53="",$C53=""),"",$C53-$B53+1)</f>
        <v/>
      </c>
      <c r="AG53" s="74" t="n"/>
      <c r="AH53" s="36" t="n"/>
      <c r="AJ53">
        <f>IF($K53="","",", "&amp;$K53)</f>
        <v/>
      </c>
      <c r="AK53">
        <f>AJ53&amp;IF($L53="","",", "&amp;$L53)</f>
        <v/>
      </c>
      <c r="AL53">
        <f>AK53&amp;IF($M53="","",", "&amp;$M53)</f>
        <v/>
      </c>
      <c r="AM53">
        <f>AL53&amp;IF($N53="","",", "&amp;$N53)</f>
        <v/>
      </c>
      <c r="AN53">
        <f>AM53&amp;IF($O53="","",", "&amp;$O53)</f>
        <v/>
      </c>
      <c r="AO53">
        <f>AN53&amp;IF($P53="","",", "&amp;$P53)</f>
        <v/>
      </c>
      <c r="AP53">
        <f>AO53&amp;IF($Q53="","",", "&amp;$Q53)</f>
        <v/>
      </c>
      <c r="AQ53">
        <f>AP53&amp;IF($R53="","",", "&amp;$R53)</f>
        <v/>
      </c>
      <c r="AR53">
        <f>AQ53&amp;IF($S53="","",", "&amp;$S53)</f>
        <v/>
      </c>
      <c r="AS53">
        <f>AR53&amp;IF($T53="","",", "&amp;$T53)</f>
        <v/>
      </c>
      <c r="AT53">
        <f>AS53&amp;IF($U53="","",", "&amp;$U53)</f>
        <v/>
      </c>
      <c r="AU53">
        <f>AT53&amp;IF($V53="","",", "&amp;$V53)</f>
        <v/>
      </c>
      <c r="AV53">
        <f>AU53&amp;IF($W53="","",", "&amp;$W53)</f>
        <v/>
      </c>
      <c r="AW53">
        <f>AV53&amp;IF($X53="","",", "&amp;$X53)</f>
        <v/>
      </c>
      <c r="AX53">
        <f>AW53&amp;IF($Y53="","",", "&amp;$Y53)</f>
        <v/>
      </c>
    </row>
    <row r="54">
      <c r="A54" s="118">
        <f>IF($B54="","",COUNT($B$5:$B54))</f>
        <v/>
      </c>
      <c r="B54" s="80" t="n"/>
      <c r="C54" s="80" t="n"/>
      <c r="D54" s="74" t="n"/>
      <c r="E54" s="74" t="n"/>
      <c r="F54" s="74" t="n"/>
      <c r="G54" s="118">
        <f>IF($F54="","",COUNTIF($F$5:$F54,$F54))</f>
        <v/>
      </c>
      <c r="H54" s="33">
        <f>IF($F54="","",IFERROR(INDEX(사건마스터!$B$5:$B$64,MATCH($F54,사건마스터!$A$5:$A$64,0)),""))</f>
        <v/>
      </c>
      <c r="I54" s="130">
        <f>IF($F54="","",IFERROR(INDEX(사건마스터!$C$5:$C$64,MATCH($F54,사건마스터!$A$5:$A$64,0)),""))</f>
        <v/>
      </c>
      <c r="J54" s="136">
        <f>IF($F54="","",IFERROR(INDEX(사건마스터!$H$5:$H$64,MATCH($F54,사건마스터!$A$5:$A$64,0)),""))</f>
        <v/>
      </c>
      <c r="K54" s="136">
        <f>IF($F54="","",IFERROR(INDEX(사건마스터!$AH$5:$AH$64,MATCH($F54,사건마스터!$A$5:$A$64,0)),""))</f>
        <v/>
      </c>
      <c r="L54" s="136">
        <f>IF($F54="","",IFERROR(INDEX(사건마스터!$AI$5:$AI$64,MATCH($F54,사건마스터!$A$5:$A$64,0)),""))</f>
        <v/>
      </c>
      <c r="M54" s="136">
        <f>IF($F54="","",IFERROR(INDEX(사건마스터!$AJ$5:$AJ$64,MATCH($F54,사건마스터!$A$5:$A$64,0)),""))</f>
        <v/>
      </c>
      <c r="N54" s="136">
        <f>IF($F54="","",IFERROR(INDEX(사건마스터!$AK$5:$AK$64,MATCH($F54,사건마스터!$A$5:$A$64,0)),""))</f>
        <v/>
      </c>
      <c r="O54" s="136">
        <f>IF($F54="","",IFERROR(INDEX(사건마스터!$AL$5:$AL$64,MATCH($F54,사건마스터!$A$5:$A$64,0)),""))</f>
        <v/>
      </c>
      <c r="P54" s="136">
        <f>IF($F54="","",IFERROR(INDEX(사건마스터!$AM$5:$AM$64,MATCH($F54,사건마스터!$A$5:$A$64,0)),""))</f>
        <v/>
      </c>
      <c r="Q54" s="136">
        <f>IF($F54="","",IFERROR(INDEX(사건마스터!$AN$5:$AN$64,MATCH($F54,사건마스터!$A$5:$A$64,0)),""))</f>
        <v/>
      </c>
      <c r="R54" s="136">
        <f>IF($F54="","",IFERROR(INDEX(사건마스터!$AO$5:$AO$64,MATCH($F54,사건마스터!$A$5:$A$64,0)),""))</f>
        <v/>
      </c>
      <c r="S54" s="136">
        <f>IF($F54="","",IFERROR(INDEX(사건마스터!$AP$5:$AP$64,MATCH($F54,사건마스터!$A$5:$A$64,0)),""))</f>
        <v/>
      </c>
      <c r="T54" s="136">
        <f>IF($F54="","",IFERROR(INDEX(사건마스터!$AQ$5:$AQ$64,MATCH($F54,사건마스터!$A$5:$A$64,0)),""))</f>
        <v/>
      </c>
      <c r="U54" s="136">
        <f>IF($F54="","",IFERROR(INDEX(사건마스터!$AR$5:$AR$64,MATCH($F54,사건마스터!$A$5:$A$64,0)),""))</f>
        <v/>
      </c>
      <c r="V54" s="136">
        <f>IF($F54="","",IFERROR(INDEX(사건마스터!$AS$5:$AS$64,MATCH($F54,사건마스터!$A$5:$A$64,0)),""))</f>
        <v/>
      </c>
      <c r="W54" s="136">
        <f>IF($F54="","",IFERROR(INDEX(사건마스터!$AT$5:$AT$64,MATCH($F54,사건마스터!$A$5:$A$64,0)),""))</f>
        <v/>
      </c>
      <c r="X54" s="136">
        <f>IF($F54="","",IFERROR(INDEX(사건마스터!$AU$5:$AU$64,MATCH($F54,사건마스터!$A$5:$A$64,0)),""))</f>
        <v/>
      </c>
      <c r="Y54" s="136">
        <f>IF($F54="","",IFERROR(INDEX(사건마스터!$AV$5:$AV$64,MATCH($F54,사건마스터!$A$5:$A$64,0)),""))</f>
        <v/>
      </c>
      <c r="Z54" s="118">
        <f>IF(COUNTBLANK($J54:$Y54)=16,"",16-COUNTBLANK($J54:$Y54))</f>
        <v/>
      </c>
      <c r="AA54" s="33">
        <f>IF($J54="",MID($AX54,3,255),$J54&amp;$AX54)</f>
        <v/>
      </c>
      <c r="AB54" s="130">
        <f>IF($J54="","",IFERROR(INDEX(코드설정!$D$5:$D$24,MATCH($J54,코드설정!$C$5:$C$24,0)),""))</f>
        <v/>
      </c>
      <c r="AC54" s="36" t="n"/>
      <c r="AD54" s="37" t="n"/>
      <c r="AE54" s="38" t="n"/>
      <c r="AF54" s="118">
        <f>IF(OR($B54="",$C54=""),"",$C54-$B54+1)</f>
        <v/>
      </c>
      <c r="AG54" s="74" t="n"/>
      <c r="AH54" s="36" t="n"/>
      <c r="AJ54">
        <f>IF($K54="","",", "&amp;$K54)</f>
        <v/>
      </c>
      <c r="AK54">
        <f>AJ54&amp;IF($L54="","",", "&amp;$L54)</f>
        <v/>
      </c>
      <c r="AL54">
        <f>AK54&amp;IF($M54="","",", "&amp;$M54)</f>
        <v/>
      </c>
      <c r="AM54">
        <f>AL54&amp;IF($N54="","",", "&amp;$N54)</f>
        <v/>
      </c>
      <c r="AN54">
        <f>AM54&amp;IF($O54="","",", "&amp;$O54)</f>
        <v/>
      </c>
      <c r="AO54">
        <f>AN54&amp;IF($P54="","",", "&amp;$P54)</f>
        <v/>
      </c>
      <c r="AP54">
        <f>AO54&amp;IF($Q54="","",", "&amp;$Q54)</f>
        <v/>
      </c>
      <c r="AQ54">
        <f>AP54&amp;IF($R54="","",", "&amp;$R54)</f>
        <v/>
      </c>
      <c r="AR54">
        <f>AQ54&amp;IF($S54="","",", "&amp;$S54)</f>
        <v/>
      </c>
      <c r="AS54">
        <f>AR54&amp;IF($T54="","",", "&amp;$T54)</f>
        <v/>
      </c>
      <c r="AT54">
        <f>AS54&amp;IF($U54="","",", "&amp;$U54)</f>
        <v/>
      </c>
      <c r="AU54">
        <f>AT54&amp;IF($V54="","",", "&amp;$V54)</f>
        <v/>
      </c>
      <c r="AV54">
        <f>AU54&amp;IF($W54="","",", "&amp;$W54)</f>
        <v/>
      </c>
      <c r="AW54">
        <f>AV54&amp;IF($X54="","",", "&amp;$X54)</f>
        <v/>
      </c>
      <c r="AX54">
        <f>AW54&amp;IF($Y54="","",", "&amp;$Y54)</f>
        <v/>
      </c>
    </row>
    <row r="55">
      <c r="A55" s="118">
        <f>IF($B55="","",COUNT($B$5:$B55))</f>
        <v/>
      </c>
      <c r="B55" s="80" t="n"/>
      <c r="C55" s="80" t="n"/>
      <c r="D55" s="74" t="n"/>
      <c r="E55" s="74" t="n"/>
      <c r="F55" s="74" t="n"/>
      <c r="G55" s="118">
        <f>IF($F55="","",COUNTIF($F$5:$F55,$F55))</f>
        <v/>
      </c>
      <c r="H55" s="33">
        <f>IF($F55="","",IFERROR(INDEX(사건마스터!$B$5:$B$64,MATCH($F55,사건마스터!$A$5:$A$64,0)),""))</f>
        <v/>
      </c>
      <c r="I55" s="130">
        <f>IF($F55="","",IFERROR(INDEX(사건마스터!$C$5:$C$64,MATCH($F55,사건마스터!$A$5:$A$64,0)),""))</f>
        <v/>
      </c>
      <c r="J55" s="136">
        <f>IF($F55="","",IFERROR(INDEX(사건마스터!$H$5:$H$64,MATCH($F55,사건마스터!$A$5:$A$64,0)),""))</f>
        <v/>
      </c>
      <c r="K55" s="136">
        <f>IF($F55="","",IFERROR(INDEX(사건마스터!$AH$5:$AH$64,MATCH($F55,사건마스터!$A$5:$A$64,0)),""))</f>
        <v/>
      </c>
      <c r="L55" s="136">
        <f>IF($F55="","",IFERROR(INDEX(사건마스터!$AI$5:$AI$64,MATCH($F55,사건마스터!$A$5:$A$64,0)),""))</f>
        <v/>
      </c>
      <c r="M55" s="136">
        <f>IF($F55="","",IFERROR(INDEX(사건마스터!$AJ$5:$AJ$64,MATCH($F55,사건마스터!$A$5:$A$64,0)),""))</f>
        <v/>
      </c>
      <c r="N55" s="136">
        <f>IF($F55="","",IFERROR(INDEX(사건마스터!$AK$5:$AK$64,MATCH($F55,사건마스터!$A$5:$A$64,0)),""))</f>
        <v/>
      </c>
      <c r="O55" s="136">
        <f>IF($F55="","",IFERROR(INDEX(사건마스터!$AL$5:$AL$64,MATCH($F55,사건마스터!$A$5:$A$64,0)),""))</f>
        <v/>
      </c>
      <c r="P55" s="136">
        <f>IF($F55="","",IFERROR(INDEX(사건마스터!$AM$5:$AM$64,MATCH($F55,사건마스터!$A$5:$A$64,0)),""))</f>
        <v/>
      </c>
      <c r="Q55" s="136">
        <f>IF($F55="","",IFERROR(INDEX(사건마스터!$AN$5:$AN$64,MATCH($F55,사건마스터!$A$5:$A$64,0)),""))</f>
        <v/>
      </c>
      <c r="R55" s="136">
        <f>IF($F55="","",IFERROR(INDEX(사건마스터!$AO$5:$AO$64,MATCH($F55,사건마스터!$A$5:$A$64,0)),""))</f>
        <v/>
      </c>
      <c r="S55" s="136">
        <f>IF($F55="","",IFERROR(INDEX(사건마스터!$AP$5:$AP$64,MATCH($F55,사건마스터!$A$5:$A$64,0)),""))</f>
        <v/>
      </c>
      <c r="T55" s="136">
        <f>IF($F55="","",IFERROR(INDEX(사건마스터!$AQ$5:$AQ$64,MATCH($F55,사건마스터!$A$5:$A$64,0)),""))</f>
        <v/>
      </c>
      <c r="U55" s="136">
        <f>IF($F55="","",IFERROR(INDEX(사건마스터!$AR$5:$AR$64,MATCH($F55,사건마스터!$A$5:$A$64,0)),""))</f>
        <v/>
      </c>
      <c r="V55" s="136">
        <f>IF($F55="","",IFERROR(INDEX(사건마스터!$AS$5:$AS$64,MATCH($F55,사건마스터!$A$5:$A$64,0)),""))</f>
        <v/>
      </c>
      <c r="W55" s="136">
        <f>IF($F55="","",IFERROR(INDEX(사건마스터!$AT$5:$AT$64,MATCH($F55,사건마스터!$A$5:$A$64,0)),""))</f>
        <v/>
      </c>
      <c r="X55" s="136">
        <f>IF($F55="","",IFERROR(INDEX(사건마스터!$AU$5:$AU$64,MATCH($F55,사건마스터!$A$5:$A$64,0)),""))</f>
        <v/>
      </c>
      <c r="Y55" s="136">
        <f>IF($F55="","",IFERROR(INDEX(사건마스터!$AV$5:$AV$64,MATCH($F55,사건마스터!$A$5:$A$64,0)),""))</f>
        <v/>
      </c>
      <c r="Z55" s="118">
        <f>IF(COUNTBLANK($J55:$Y55)=16,"",16-COUNTBLANK($J55:$Y55))</f>
        <v/>
      </c>
      <c r="AA55" s="33">
        <f>IF($J55="",MID($AX55,3,255),$J55&amp;$AX55)</f>
        <v/>
      </c>
      <c r="AB55" s="130">
        <f>IF($J55="","",IFERROR(INDEX(코드설정!$D$5:$D$24,MATCH($J55,코드설정!$C$5:$C$24,0)),""))</f>
        <v/>
      </c>
      <c r="AC55" s="36" t="n"/>
      <c r="AD55" s="37" t="n"/>
      <c r="AE55" s="38" t="n"/>
      <c r="AF55" s="118">
        <f>IF(OR($B55="",$C55=""),"",$C55-$B55+1)</f>
        <v/>
      </c>
      <c r="AG55" s="74" t="n"/>
      <c r="AH55" s="36" t="n"/>
      <c r="AJ55">
        <f>IF($K55="","",", "&amp;$K55)</f>
        <v/>
      </c>
      <c r="AK55">
        <f>AJ55&amp;IF($L55="","",", "&amp;$L55)</f>
        <v/>
      </c>
      <c r="AL55">
        <f>AK55&amp;IF($M55="","",", "&amp;$M55)</f>
        <v/>
      </c>
      <c r="AM55">
        <f>AL55&amp;IF($N55="","",", "&amp;$N55)</f>
        <v/>
      </c>
      <c r="AN55">
        <f>AM55&amp;IF($O55="","",", "&amp;$O55)</f>
        <v/>
      </c>
      <c r="AO55">
        <f>AN55&amp;IF($P55="","",", "&amp;$P55)</f>
        <v/>
      </c>
      <c r="AP55">
        <f>AO55&amp;IF($Q55="","",", "&amp;$Q55)</f>
        <v/>
      </c>
      <c r="AQ55">
        <f>AP55&amp;IF($R55="","",", "&amp;$R55)</f>
        <v/>
      </c>
      <c r="AR55">
        <f>AQ55&amp;IF($S55="","",", "&amp;$S55)</f>
        <v/>
      </c>
      <c r="AS55">
        <f>AR55&amp;IF($T55="","",", "&amp;$T55)</f>
        <v/>
      </c>
      <c r="AT55">
        <f>AS55&amp;IF($U55="","",", "&amp;$U55)</f>
        <v/>
      </c>
      <c r="AU55">
        <f>AT55&amp;IF($V55="","",", "&amp;$V55)</f>
        <v/>
      </c>
      <c r="AV55">
        <f>AU55&amp;IF($W55="","",", "&amp;$W55)</f>
        <v/>
      </c>
      <c r="AW55">
        <f>AV55&amp;IF($X55="","",", "&amp;$X55)</f>
        <v/>
      </c>
      <c r="AX55">
        <f>AW55&amp;IF($Y55="","",", "&amp;$Y55)</f>
        <v/>
      </c>
    </row>
    <row r="56">
      <c r="A56" s="118">
        <f>IF($B56="","",COUNT($B$5:$B56))</f>
        <v/>
      </c>
      <c r="B56" s="80" t="n"/>
      <c r="C56" s="80" t="n"/>
      <c r="D56" s="74" t="n"/>
      <c r="E56" s="74" t="n"/>
      <c r="F56" s="74" t="n"/>
      <c r="G56" s="118">
        <f>IF($F56="","",COUNTIF($F$5:$F56,$F56))</f>
        <v/>
      </c>
      <c r="H56" s="33">
        <f>IF($F56="","",IFERROR(INDEX(사건마스터!$B$5:$B$64,MATCH($F56,사건마스터!$A$5:$A$64,0)),""))</f>
        <v/>
      </c>
      <c r="I56" s="130">
        <f>IF($F56="","",IFERROR(INDEX(사건마스터!$C$5:$C$64,MATCH($F56,사건마스터!$A$5:$A$64,0)),""))</f>
        <v/>
      </c>
      <c r="J56" s="136">
        <f>IF($F56="","",IFERROR(INDEX(사건마스터!$H$5:$H$64,MATCH($F56,사건마스터!$A$5:$A$64,0)),""))</f>
        <v/>
      </c>
      <c r="K56" s="136">
        <f>IF($F56="","",IFERROR(INDEX(사건마스터!$AH$5:$AH$64,MATCH($F56,사건마스터!$A$5:$A$64,0)),""))</f>
        <v/>
      </c>
      <c r="L56" s="136">
        <f>IF($F56="","",IFERROR(INDEX(사건마스터!$AI$5:$AI$64,MATCH($F56,사건마스터!$A$5:$A$64,0)),""))</f>
        <v/>
      </c>
      <c r="M56" s="136">
        <f>IF($F56="","",IFERROR(INDEX(사건마스터!$AJ$5:$AJ$64,MATCH($F56,사건마스터!$A$5:$A$64,0)),""))</f>
        <v/>
      </c>
      <c r="N56" s="136">
        <f>IF($F56="","",IFERROR(INDEX(사건마스터!$AK$5:$AK$64,MATCH($F56,사건마스터!$A$5:$A$64,0)),""))</f>
        <v/>
      </c>
      <c r="O56" s="136">
        <f>IF($F56="","",IFERROR(INDEX(사건마스터!$AL$5:$AL$64,MATCH($F56,사건마스터!$A$5:$A$64,0)),""))</f>
        <v/>
      </c>
      <c r="P56" s="136">
        <f>IF($F56="","",IFERROR(INDEX(사건마스터!$AM$5:$AM$64,MATCH($F56,사건마스터!$A$5:$A$64,0)),""))</f>
        <v/>
      </c>
      <c r="Q56" s="136">
        <f>IF($F56="","",IFERROR(INDEX(사건마스터!$AN$5:$AN$64,MATCH($F56,사건마스터!$A$5:$A$64,0)),""))</f>
        <v/>
      </c>
      <c r="R56" s="136">
        <f>IF($F56="","",IFERROR(INDEX(사건마스터!$AO$5:$AO$64,MATCH($F56,사건마스터!$A$5:$A$64,0)),""))</f>
        <v/>
      </c>
      <c r="S56" s="136">
        <f>IF($F56="","",IFERROR(INDEX(사건마스터!$AP$5:$AP$64,MATCH($F56,사건마스터!$A$5:$A$64,0)),""))</f>
        <v/>
      </c>
      <c r="T56" s="136">
        <f>IF($F56="","",IFERROR(INDEX(사건마스터!$AQ$5:$AQ$64,MATCH($F56,사건마스터!$A$5:$A$64,0)),""))</f>
        <v/>
      </c>
      <c r="U56" s="136">
        <f>IF($F56="","",IFERROR(INDEX(사건마스터!$AR$5:$AR$64,MATCH($F56,사건마스터!$A$5:$A$64,0)),""))</f>
        <v/>
      </c>
      <c r="V56" s="136">
        <f>IF($F56="","",IFERROR(INDEX(사건마스터!$AS$5:$AS$64,MATCH($F56,사건마스터!$A$5:$A$64,0)),""))</f>
        <v/>
      </c>
      <c r="W56" s="136">
        <f>IF($F56="","",IFERROR(INDEX(사건마스터!$AT$5:$AT$64,MATCH($F56,사건마스터!$A$5:$A$64,0)),""))</f>
        <v/>
      </c>
      <c r="X56" s="136">
        <f>IF($F56="","",IFERROR(INDEX(사건마스터!$AU$5:$AU$64,MATCH($F56,사건마스터!$A$5:$A$64,0)),""))</f>
        <v/>
      </c>
      <c r="Y56" s="136">
        <f>IF($F56="","",IFERROR(INDEX(사건마스터!$AV$5:$AV$64,MATCH($F56,사건마스터!$A$5:$A$64,0)),""))</f>
        <v/>
      </c>
      <c r="Z56" s="118">
        <f>IF(COUNTBLANK($J56:$Y56)=16,"",16-COUNTBLANK($J56:$Y56))</f>
        <v/>
      </c>
      <c r="AA56" s="33">
        <f>IF($J56="",MID($AX56,3,255),$J56&amp;$AX56)</f>
        <v/>
      </c>
      <c r="AB56" s="130">
        <f>IF($J56="","",IFERROR(INDEX(코드설정!$D$5:$D$24,MATCH($J56,코드설정!$C$5:$C$24,0)),""))</f>
        <v/>
      </c>
      <c r="AC56" s="36" t="n"/>
      <c r="AD56" s="37" t="n"/>
      <c r="AE56" s="38" t="n"/>
      <c r="AF56" s="118">
        <f>IF(OR($B56="",$C56=""),"",$C56-$B56+1)</f>
        <v/>
      </c>
      <c r="AG56" s="74" t="n"/>
      <c r="AH56" s="36" t="n"/>
      <c r="AJ56">
        <f>IF($K56="","",", "&amp;$K56)</f>
        <v/>
      </c>
      <c r="AK56">
        <f>AJ56&amp;IF($L56="","",", "&amp;$L56)</f>
        <v/>
      </c>
      <c r="AL56">
        <f>AK56&amp;IF($M56="","",", "&amp;$M56)</f>
        <v/>
      </c>
      <c r="AM56">
        <f>AL56&amp;IF($N56="","",", "&amp;$N56)</f>
        <v/>
      </c>
      <c r="AN56">
        <f>AM56&amp;IF($O56="","",", "&amp;$O56)</f>
        <v/>
      </c>
      <c r="AO56">
        <f>AN56&amp;IF($P56="","",", "&amp;$P56)</f>
        <v/>
      </c>
      <c r="AP56">
        <f>AO56&amp;IF($Q56="","",", "&amp;$Q56)</f>
        <v/>
      </c>
      <c r="AQ56">
        <f>AP56&amp;IF($R56="","",", "&amp;$R56)</f>
        <v/>
      </c>
      <c r="AR56">
        <f>AQ56&amp;IF($S56="","",", "&amp;$S56)</f>
        <v/>
      </c>
      <c r="AS56">
        <f>AR56&amp;IF($T56="","",", "&amp;$T56)</f>
        <v/>
      </c>
      <c r="AT56">
        <f>AS56&amp;IF($U56="","",", "&amp;$U56)</f>
        <v/>
      </c>
      <c r="AU56">
        <f>AT56&amp;IF($V56="","",", "&amp;$V56)</f>
        <v/>
      </c>
      <c r="AV56">
        <f>AU56&amp;IF($W56="","",", "&amp;$W56)</f>
        <v/>
      </c>
      <c r="AW56">
        <f>AV56&amp;IF($X56="","",", "&amp;$X56)</f>
        <v/>
      </c>
      <c r="AX56">
        <f>AW56&amp;IF($Y56="","",", "&amp;$Y56)</f>
        <v/>
      </c>
    </row>
    <row r="57">
      <c r="A57" s="118">
        <f>IF($B57="","",COUNT($B$5:$B57))</f>
        <v/>
      </c>
      <c r="B57" s="80" t="n"/>
      <c r="C57" s="80" t="n"/>
      <c r="D57" s="74" t="n"/>
      <c r="E57" s="74" t="n"/>
      <c r="F57" s="74" t="n"/>
      <c r="G57" s="118">
        <f>IF($F57="","",COUNTIF($F$5:$F57,$F57))</f>
        <v/>
      </c>
      <c r="H57" s="33">
        <f>IF($F57="","",IFERROR(INDEX(사건마스터!$B$5:$B$64,MATCH($F57,사건마스터!$A$5:$A$64,0)),""))</f>
        <v/>
      </c>
      <c r="I57" s="130">
        <f>IF($F57="","",IFERROR(INDEX(사건마스터!$C$5:$C$64,MATCH($F57,사건마스터!$A$5:$A$64,0)),""))</f>
        <v/>
      </c>
      <c r="J57" s="136">
        <f>IF($F57="","",IFERROR(INDEX(사건마스터!$H$5:$H$64,MATCH($F57,사건마스터!$A$5:$A$64,0)),""))</f>
        <v/>
      </c>
      <c r="K57" s="136">
        <f>IF($F57="","",IFERROR(INDEX(사건마스터!$AH$5:$AH$64,MATCH($F57,사건마스터!$A$5:$A$64,0)),""))</f>
        <v/>
      </c>
      <c r="L57" s="136">
        <f>IF($F57="","",IFERROR(INDEX(사건마스터!$AI$5:$AI$64,MATCH($F57,사건마스터!$A$5:$A$64,0)),""))</f>
        <v/>
      </c>
      <c r="M57" s="136">
        <f>IF($F57="","",IFERROR(INDEX(사건마스터!$AJ$5:$AJ$64,MATCH($F57,사건마스터!$A$5:$A$64,0)),""))</f>
        <v/>
      </c>
      <c r="N57" s="136">
        <f>IF($F57="","",IFERROR(INDEX(사건마스터!$AK$5:$AK$64,MATCH($F57,사건마스터!$A$5:$A$64,0)),""))</f>
        <v/>
      </c>
      <c r="O57" s="136">
        <f>IF($F57="","",IFERROR(INDEX(사건마스터!$AL$5:$AL$64,MATCH($F57,사건마스터!$A$5:$A$64,0)),""))</f>
        <v/>
      </c>
      <c r="P57" s="136">
        <f>IF($F57="","",IFERROR(INDEX(사건마스터!$AM$5:$AM$64,MATCH($F57,사건마스터!$A$5:$A$64,0)),""))</f>
        <v/>
      </c>
      <c r="Q57" s="136">
        <f>IF($F57="","",IFERROR(INDEX(사건마스터!$AN$5:$AN$64,MATCH($F57,사건마스터!$A$5:$A$64,0)),""))</f>
        <v/>
      </c>
      <c r="R57" s="136">
        <f>IF($F57="","",IFERROR(INDEX(사건마스터!$AO$5:$AO$64,MATCH($F57,사건마스터!$A$5:$A$64,0)),""))</f>
        <v/>
      </c>
      <c r="S57" s="136">
        <f>IF($F57="","",IFERROR(INDEX(사건마스터!$AP$5:$AP$64,MATCH($F57,사건마스터!$A$5:$A$64,0)),""))</f>
        <v/>
      </c>
      <c r="T57" s="136">
        <f>IF($F57="","",IFERROR(INDEX(사건마스터!$AQ$5:$AQ$64,MATCH($F57,사건마스터!$A$5:$A$64,0)),""))</f>
        <v/>
      </c>
      <c r="U57" s="136">
        <f>IF($F57="","",IFERROR(INDEX(사건마스터!$AR$5:$AR$64,MATCH($F57,사건마스터!$A$5:$A$64,0)),""))</f>
        <v/>
      </c>
      <c r="V57" s="136">
        <f>IF($F57="","",IFERROR(INDEX(사건마스터!$AS$5:$AS$64,MATCH($F57,사건마스터!$A$5:$A$64,0)),""))</f>
        <v/>
      </c>
      <c r="W57" s="136">
        <f>IF($F57="","",IFERROR(INDEX(사건마스터!$AT$5:$AT$64,MATCH($F57,사건마스터!$A$5:$A$64,0)),""))</f>
        <v/>
      </c>
      <c r="X57" s="136">
        <f>IF($F57="","",IFERROR(INDEX(사건마스터!$AU$5:$AU$64,MATCH($F57,사건마스터!$A$5:$A$64,0)),""))</f>
        <v/>
      </c>
      <c r="Y57" s="136">
        <f>IF($F57="","",IFERROR(INDEX(사건마스터!$AV$5:$AV$64,MATCH($F57,사건마스터!$A$5:$A$64,0)),""))</f>
        <v/>
      </c>
      <c r="Z57" s="118">
        <f>IF(COUNTBLANK($J57:$Y57)=16,"",16-COUNTBLANK($J57:$Y57))</f>
        <v/>
      </c>
      <c r="AA57" s="33">
        <f>IF($J57="",MID($AX57,3,255),$J57&amp;$AX57)</f>
        <v/>
      </c>
      <c r="AB57" s="130">
        <f>IF($J57="","",IFERROR(INDEX(코드설정!$D$5:$D$24,MATCH($J57,코드설정!$C$5:$C$24,0)),""))</f>
        <v/>
      </c>
      <c r="AC57" s="36" t="n"/>
      <c r="AD57" s="37" t="n"/>
      <c r="AE57" s="38" t="n"/>
      <c r="AF57" s="118">
        <f>IF(OR($B57="",$C57=""),"",$C57-$B57+1)</f>
        <v/>
      </c>
      <c r="AG57" s="74" t="n"/>
      <c r="AH57" s="36" t="n"/>
      <c r="AJ57">
        <f>IF($K57="","",", "&amp;$K57)</f>
        <v/>
      </c>
      <c r="AK57">
        <f>AJ57&amp;IF($L57="","",", "&amp;$L57)</f>
        <v/>
      </c>
      <c r="AL57">
        <f>AK57&amp;IF($M57="","",", "&amp;$M57)</f>
        <v/>
      </c>
      <c r="AM57">
        <f>AL57&amp;IF($N57="","",", "&amp;$N57)</f>
        <v/>
      </c>
      <c r="AN57">
        <f>AM57&amp;IF($O57="","",", "&amp;$O57)</f>
        <v/>
      </c>
      <c r="AO57">
        <f>AN57&amp;IF($P57="","",", "&amp;$P57)</f>
        <v/>
      </c>
      <c r="AP57">
        <f>AO57&amp;IF($Q57="","",", "&amp;$Q57)</f>
        <v/>
      </c>
      <c r="AQ57">
        <f>AP57&amp;IF($R57="","",", "&amp;$R57)</f>
        <v/>
      </c>
      <c r="AR57">
        <f>AQ57&amp;IF($S57="","",", "&amp;$S57)</f>
        <v/>
      </c>
      <c r="AS57">
        <f>AR57&amp;IF($T57="","",", "&amp;$T57)</f>
        <v/>
      </c>
      <c r="AT57">
        <f>AS57&amp;IF($U57="","",", "&amp;$U57)</f>
        <v/>
      </c>
      <c r="AU57">
        <f>AT57&amp;IF($V57="","",", "&amp;$V57)</f>
        <v/>
      </c>
      <c r="AV57">
        <f>AU57&amp;IF($W57="","",", "&amp;$W57)</f>
        <v/>
      </c>
      <c r="AW57">
        <f>AV57&amp;IF($X57="","",", "&amp;$X57)</f>
        <v/>
      </c>
      <c r="AX57">
        <f>AW57&amp;IF($Y57="","",", "&amp;$Y57)</f>
        <v/>
      </c>
    </row>
    <row r="58">
      <c r="A58" s="118">
        <f>IF($B58="","",COUNT($B$5:$B58))</f>
        <v/>
      </c>
      <c r="B58" s="80" t="n"/>
      <c r="C58" s="80" t="n"/>
      <c r="D58" s="74" t="n"/>
      <c r="E58" s="74" t="n"/>
      <c r="F58" s="74" t="n"/>
      <c r="G58" s="118">
        <f>IF($F58="","",COUNTIF($F$5:$F58,$F58))</f>
        <v/>
      </c>
      <c r="H58" s="33">
        <f>IF($F58="","",IFERROR(INDEX(사건마스터!$B$5:$B$64,MATCH($F58,사건마스터!$A$5:$A$64,0)),""))</f>
        <v/>
      </c>
      <c r="I58" s="130">
        <f>IF($F58="","",IFERROR(INDEX(사건마스터!$C$5:$C$64,MATCH($F58,사건마스터!$A$5:$A$64,0)),""))</f>
        <v/>
      </c>
      <c r="J58" s="136">
        <f>IF($F58="","",IFERROR(INDEX(사건마스터!$H$5:$H$64,MATCH($F58,사건마스터!$A$5:$A$64,0)),""))</f>
        <v/>
      </c>
      <c r="K58" s="136">
        <f>IF($F58="","",IFERROR(INDEX(사건마스터!$AH$5:$AH$64,MATCH($F58,사건마스터!$A$5:$A$64,0)),""))</f>
        <v/>
      </c>
      <c r="L58" s="136">
        <f>IF($F58="","",IFERROR(INDEX(사건마스터!$AI$5:$AI$64,MATCH($F58,사건마스터!$A$5:$A$64,0)),""))</f>
        <v/>
      </c>
      <c r="M58" s="136">
        <f>IF($F58="","",IFERROR(INDEX(사건마스터!$AJ$5:$AJ$64,MATCH($F58,사건마스터!$A$5:$A$64,0)),""))</f>
        <v/>
      </c>
      <c r="N58" s="136">
        <f>IF($F58="","",IFERROR(INDEX(사건마스터!$AK$5:$AK$64,MATCH($F58,사건마스터!$A$5:$A$64,0)),""))</f>
        <v/>
      </c>
      <c r="O58" s="136">
        <f>IF($F58="","",IFERROR(INDEX(사건마스터!$AL$5:$AL$64,MATCH($F58,사건마스터!$A$5:$A$64,0)),""))</f>
        <v/>
      </c>
      <c r="P58" s="136">
        <f>IF($F58="","",IFERROR(INDEX(사건마스터!$AM$5:$AM$64,MATCH($F58,사건마스터!$A$5:$A$64,0)),""))</f>
        <v/>
      </c>
      <c r="Q58" s="136">
        <f>IF($F58="","",IFERROR(INDEX(사건마스터!$AN$5:$AN$64,MATCH($F58,사건마스터!$A$5:$A$64,0)),""))</f>
        <v/>
      </c>
      <c r="R58" s="136">
        <f>IF($F58="","",IFERROR(INDEX(사건마스터!$AO$5:$AO$64,MATCH($F58,사건마스터!$A$5:$A$64,0)),""))</f>
        <v/>
      </c>
      <c r="S58" s="136">
        <f>IF($F58="","",IFERROR(INDEX(사건마스터!$AP$5:$AP$64,MATCH($F58,사건마스터!$A$5:$A$64,0)),""))</f>
        <v/>
      </c>
      <c r="T58" s="136">
        <f>IF($F58="","",IFERROR(INDEX(사건마스터!$AQ$5:$AQ$64,MATCH($F58,사건마스터!$A$5:$A$64,0)),""))</f>
        <v/>
      </c>
      <c r="U58" s="136">
        <f>IF($F58="","",IFERROR(INDEX(사건마스터!$AR$5:$AR$64,MATCH($F58,사건마스터!$A$5:$A$64,0)),""))</f>
        <v/>
      </c>
      <c r="V58" s="136">
        <f>IF($F58="","",IFERROR(INDEX(사건마스터!$AS$5:$AS$64,MATCH($F58,사건마스터!$A$5:$A$64,0)),""))</f>
        <v/>
      </c>
      <c r="W58" s="136">
        <f>IF($F58="","",IFERROR(INDEX(사건마스터!$AT$5:$AT$64,MATCH($F58,사건마스터!$A$5:$A$64,0)),""))</f>
        <v/>
      </c>
      <c r="X58" s="136">
        <f>IF($F58="","",IFERROR(INDEX(사건마스터!$AU$5:$AU$64,MATCH($F58,사건마스터!$A$5:$A$64,0)),""))</f>
        <v/>
      </c>
      <c r="Y58" s="136">
        <f>IF($F58="","",IFERROR(INDEX(사건마스터!$AV$5:$AV$64,MATCH($F58,사건마스터!$A$5:$A$64,0)),""))</f>
        <v/>
      </c>
      <c r="Z58" s="118">
        <f>IF(COUNTBLANK($J58:$Y58)=16,"",16-COUNTBLANK($J58:$Y58))</f>
        <v/>
      </c>
      <c r="AA58" s="33">
        <f>IF($J58="",MID($AX58,3,255),$J58&amp;$AX58)</f>
        <v/>
      </c>
      <c r="AB58" s="130">
        <f>IF($J58="","",IFERROR(INDEX(코드설정!$D$5:$D$24,MATCH($J58,코드설정!$C$5:$C$24,0)),""))</f>
        <v/>
      </c>
      <c r="AC58" s="36" t="n"/>
      <c r="AD58" s="37" t="n"/>
      <c r="AE58" s="38" t="n"/>
      <c r="AF58" s="118">
        <f>IF(OR($B58="",$C58=""),"",$C58-$B58+1)</f>
        <v/>
      </c>
      <c r="AG58" s="74" t="n"/>
      <c r="AH58" s="36" t="n"/>
      <c r="AJ58">
        <f>IF($K58="","",", "&amp;$K58)</f>
        <v/>
      </c>
      <c r="AK58">
        <f>AJ58&amp;IF($L58="","",", "&amp;$L58)</f>
        <v/>
      </c>
      <c r="AL58">
        <f>AK58&amp;IF($M58="","",", "&amp;$M58)</f>
        <v/>
      </c>
      <c r="AM58">
        <f>AL58&amp;IF($N58="","",", "&amp;$N58)</f>
        <v/>
      </c>
      <c r="AN58">
        <f>AM58&amp;IF($O58="","",", "&amp;$O58)</f>
        <v/>
      </c>
      <c r="AO58">
        <f>AN58&amp;IF($P58="","",", "&amp;$P58)</f>
        <v/>
      </c>
      <c r="AP58">
        <f>AO58&amp;IF($Q58="","",", "&amp;$Q58)</f>
        <v/>
      </c>
      <c r="AQ58">
        <f>AP58&amp;IF($R58="","",", "&amp;$R58)</f>
        <v/>
      </c>
      <c r="AR58">
        <f>AQ58&amp;IF($S58="","",", "&amp;$S58)</f>
        <v/>
      </c>
      <c r="AS58">
        <f>AR58&amp;IF($T58="","",", "&amp;$T58)</f>
        <v/>
      </c>
      <c r="AT58">
        <f>AS58&amp;IF($U58="","",", "&amp;$U58)</f>
        <v/>
      </c>
      <c r="AU58">
        <f>AT58&amp;IF($V58="","",", "&amp;$V58)</f>
        <v/>
      </c>
      <c r="AV58">
        <f>AU58&amp;IF($W58="","",", "&amp;$W58)</f>
        <v/>
      </c>
      <c r="AW58">
        <f>AV58&amp;IF($X58="","",", "&amp;$X58)</f>
        <v/>
      </c>
      <c r="AX58">
        <f>AW58&amp;IF($Y58="","",", "&amp;$Y58)</f>
        <v/>
      </c>
    </row>
    <row r="59">
      <c r="A59" s="118">
        <f>IF($B59="","",COUNT($B$5:$B59))</f>
        <v/>
      </c>
      <c r="B59" s="80" t="n"/>
      <c r="C59" s="80" t="n"/>
      <c r="D59" s="74" t="n"/>
      <c r="E59" s="74" t="n"/>
      <c r="F59" s="74" t="n"/>
      <c r="G59" s="118">
        <f>IF($F59="","",COUNTIF($F$5:$F59,$F59))</f>
        <v/>
      </c>
      <c r="H59" s="33">
        <f>IF($F59="","",IFERROR(INDEX(사건마스터!$B$5:$B$64,MATCH($F59,사건마스터!$A$5:$A$64,0)),""))</f>
        <v/>
      </c>
      <c r="I59" s="130">
        <f>IF($F59="","",IFERROR(INDEX(사건마스터!$C$5:$C$64,MATCH($F59,사건마스터!$A$5:$A$64,0)),""))</f>
        <v/>
      </c>
      <c r="J59" s="136">
        <f>IF($F59="","",IFERROR(INDEX(사건마스터!$H$5:$H$64,MATCH($F59,사건마스터!$A$5:$A$64,0)),""))</f>
        <v/>
      </c>
      <c r="K59" s="136">
        <f>IF($F59="","",IFERROR(INDEX(사건마스터!$AH$5:$AH$64,MATCH($F59,사건마스터!$A$5:$A$64,0)),""))</f>
        <v/>
      </c>
      <c r="L59" s="136">
        <f>IF($F59="","",IFERROR(INDEX(사건마스터!$AI$5:$AI$64,MATCH($F59,사건마스터!$A$5:$A$64,0)),""))</f>
        <v/>
      </c>
      <c r="M59" s="136">
        <f>IF($F59="","",IFERROR(INDEX(사건마스터!$AJ$5:$AJ$64,MATCH($F59,사건마스터!$A$5:$A$64,0)),""))</f>
        <v/>
      </c>
      <c r="N59" s="136">
        <f>IF($F59="","",IFERROR(INDEX(사건마스터!$AK$5:$AK$64,MATCH($F59,사건마스터!$A$5:$A$64,0)),""))</f>
        <v/>
      </c>
      <c r="O59" s="136">
        <f>IF($F59="","",IFERROR(INDEX(사건마스터!$AL$5:$AL$64,MATCH($F59,사건마스터!$A$5:$A$64,0)),""))</f>
        <v/>
      </c>
      <c r="P59" s="136">
        <f>IF($F59="","",IFERROR(INDEX(사건마스터!$AM$5:$AM$64,MATCH($F59,사건마스터!$A$5:$A$64,0)),""))</f>
        <v/>
      </c>
      <c r="Q59" s="136">
        <f>IF($F59="","",IFERROR(INDEX(사건마스터!$AN$5:$AN$64,MATCH($F59,사건마스터!$A$5:$A$64,0)),""))</f>
        <v/>
      </c>
      <c r="R59" s="136">
        <f>IF($F59="","",IFERROR(INDEX(사건마스터!$AO$5:$AO$64,MATCH($F59,사건마스터!$A$5:$A$64,0)),""))</f>
        <v/>
      </c>
      <c r="S59" s="136">
        <f>IF($F59="","",IFERROR(INDEX(사건마스터!$AP$5:$AP$64,MATCH($F59,사건마스터!$A$5:$A$64,0)),""))</f>
        <v/>
      </c>
      <c r="T59" s="136">
        <f>IF($F59="","",IFERROR(INDEX(사건마스터!$AQ$5:$AQ$64,MATCH($F59,사건마스터!$A$5:$A$64,0)),""))</f>
        <v/>
      </c>
      <c r="U59" s="136">
        <f>IF($F59="","",IFERROR(INDEX(사건마스터!$AR$5:$AR$64,MATCH($F59,사건마스터!$A$5:$A$64,0)),""))</f>
        <v/>
      </c>
      <c r="V59" s="136">
        <f>IF($F59="","",IFERROR(INDEX(사건마스터!$AS$5:$AS$64,MATCH($F59,사건마스터!$A$5:$A$64,0)),""))</f>
        <v/>
      </c>
      <c r="W59" s="136">
        <f>IF($F59="","",IFERROR(INDEX(사건마스터!$AT$5:$AT$64,MATCH($F59,사건마스터!$A$5:$A$64,0)),""))</f>
        <v/>
      </c>
      <c r="X59" s="136">
        <f>IF($F59="","",IFERROR(INDEX(사건마스터!$AU$5:$AU$64,MATCH($F59,사건마스터!$A$5:$A$64,0)),""))</f>
        <v/>
      </c>
      <c r="Y59" s="136">
        <f>IF($F59="","",IFERROR(INDEX(사건마스터!$AV$5:$AV$64,MATCH($F59,사건마스터!$A$5:$A$64,0)),""))</f>
        <v/>
      </c>
      <c r="Z59" s="118">
        <f>IF(COUNTBLANK($J59:$Y59)=16,"",16-COUNTBLANK($J59:$Y59))</f>
        <v/>
      </c>
      <c r="AA59" s="33">
        <f>IF($J59="",MID($AX59,3,255),$J59&amp;$AX59)</f>
        <v/>
      </c>
      <c r="AB59" s="130">
        <f>IF($J59="","",IFERROR(INDEX(코드설정!$D$5:$D$24,MATCH($J59,코드설정!$C$5:$C$24,0)),""))</f>
        <v/>
      </c>
      <c r="AC59" s="36" t="n"/>
      <c r="AD59" s="37" t="n"/>
      <c r="AE59" s="38" t="n"/>
      <c r="AF59" s="118">
        <f>IF(OR($B59="",$C59=""),"",$C59-$B59+1)</f>
        <v/>
      </c>
      <c r="AG59" s="74" t="n"/>
      <c r="AH59" s="36" t="n"/>
      <c r="AJ59">
        <f>IF($K59="","",", "&amp;$K59)</f>
        <v/>
      </c>
      <c r="AK59">
        <f>AJ59&amp;IF($L59="","",", "&amp;$L59)</f>
        <v/>
      </c>
      <c r="AL59">
        <f>AK59&amp;IF($M59="","",", "&amp;$M59)</f>
        <v/>
      </c>
      <c r="AM59">
        <f>AL59&amp;IF($N59="","",", "&amp;$N59)</f>
        <v/>
      </c>
      <c r="AN59">
        <f>AM59&amp;IF($O59="","",", "&amp;$O59)</f>
        <v/>
      </c>
      <c r="AO59">
        <f>AN59&amp;IF($P59="","",", "&amp;$P59)</f>
        <v/>
      </c>
      <c r="AP59">
        <f>AO59&amp;IF($Q59="","",", "&amp;$Q59)</f>
        <v/>
      </c>
      <c r="AQ59">
        <f>AP59&amp;IF($R59="","",", "&amp;$R59)</f>
        <v/>
      </c>
      <c r="AR59">
        <f>AQ59&amp;IF($S59="","",", "&amp;$S59)</f>
        <v/>
      </c>
      <c r="AS59">
        <f>AR59&amp;IF($T59="","",", "&amp;$T59)</f>
        <v/>
      </c>
      <c r="AT59">
        <f>AS59&amp;IF($U59="","",", "&amp;$U59)</f>
        <v/>
      </c>
      <c r="AU59">
        <f>AT59&amp;IF($V59="","",", "&amp;$V59)</f>
        <v/>
      </c>
      <c r="AV59">
        <f>AU59&amp;IF($W59="","",", "&amp;$W59)</f>
        <v/>
      </c>
      <c r="AW59">
        <f>AV59&amp;IF($X59="","",", "&amp;$X59)</f>
        <v/>
      </c>
      <c r="AX59">
        <f>AW59&amp;IF($Y59="","",", "&amp;$Y59)</f>
        <v/>
      </c>
    </row>
    <row r="60">
      <c r="A60" s="118">
        <f>IF($B60="","",COUNT($B$5:$B60))</f>
        <v/>
      </c>
      <c r="B60" s="80" t="n"/>
      <c r="C60" s="80" t="n"/>
      <c r="D60" s="74" t="n"/>
      <c r="E60" s="74" t="n"/>
      <c r="F60" s="74" t="n"/>
      <c r="G60" s="118">
        <f>IF($F60="","",COUNTIF($F$5:$F60,$F60))</f>
        <v/>
      </c>
      <c r="H60" s="33">
        <f>IF($F60="","",IFERROR(INDEX(사건마스터!$B$5:$B$64,MATCH($F60,사건마스터!$A$5:$A$64,0)),""))</f>
        <v/>
      </c>
      <c r="I60" s="130">
        <f>IF($F60="","",IFERROR(INDEX(사건마스터!$C$5:$C$64,MATCH($F60,사건마스터!$A$5:$A$64,0)),""))</f>
        <v/>
      </c>
      <c r="J60" s="136">
        <f>IF($F60="","",IFERROR(INDEX(사건마스터!$H$5:$H$64,MATCH($F60,사건마스터!$A$5:$A$64,0)),""))</f>
        <v/>
      </c>
      <c r="K60" s="136">
        <f>IF($F60="","",IFERROR(INDEX(사건마스터!$AH$5:$AH$64,MATCH($F60,사건마스터!$A$5:$A$64,0)),""))</f>
        <v/>
      </c>
      <c r="L60" s="136">
        <f>IF($F60="","",IFERROR(INDEX(사건마스터!$AI$5:$AI$64,MATCH($F60,사건마스터!$A$5:$A$64,0)),""))</f>
        <v/>
      </c>
      <c r="M60" s="136">
        <f>IF($F60="","",IFERROR(INDEX(사건마스터!$AJ$5:$AJ$64,MATCH($F60,사건마스터!$A$5:$A$64,0)),""))</f>
        <v/>
      </c>
      <c r="N60" s="136">
        <f>IF($F60="","",IFERROR(INDEX(사건마스터!$AK$5:$AK$64,MATCH($F60,사건마스터!$A$5:$A$64,0)),""))</f>
        <v/>
      </c>
      <c r="O60" s="136">
        <f>IF($F60="","",IFERROR(INDEX(사건마스터!$AL$5:$AL$64,MATCH($F60,사건마스터!$A$5:$A$64,0)),""))</f>
        <v/>
      </c>
      <c r="P60" s="136">
        <f>IF($F60="","",IFERROR(INDEX(사건마스터!$AM$5:$AM$64,MATCH($F60,사건마스터!$A$5:$A$64,0)),""))</f>
        <v/>
      </c>
      <c r="Q60" s="136">
        <f>IF($F60="","",IFERROR(INDEX(사건마스터!$AN$5:$AN$64,MATCH($F60,사건마스터!$A$5:$A$64,0)),""))</f>
        <v/>
      </c>
      <c r="R60" s="136">
        <f>IF($F60="","",IFERROR(INDEX(사건마스터!$AO$5:$AO$64,MATCH($F60,사건마스터!$A$5:$A$64,0)),""))</f>
        <v/>
      </c>
      <c r="S60" s="136">
        <f>IF($F60="","",IFERROR(INDEX(사건마스터!$AP$5:$AP$64,MATCH($F60,사건마스터!$A$5:$A$64,0)),""))</f>
        <v/>
      </c>
      <c r="T60" s="136">
        <f>IF($F60="","",IFERROR(INDEX(사건마스터!$AQ$5:$AQ$64,MATCH($F60,사건마스터!$A$5:$A$64,0)),""))</f>
        <v/>
      </c>
      <c r="U60" s="136">
        <f>IF($F60="","",IFERROR(INDEX(사건마스터!$AR$5:$AR$64,MATCH($F60,사건마스터!$A$5:$A$64,0)),""))</f>
        <v/>
      </c>
      <c r="V60" s="136">
        <f>IF($F60="","",IFERROR(INDEX(사건마스터!$AS$5:$AS$64,MATCH($F60,사건마스터!$A$5:$A$64,0)),""))</f>
        <v/>
      </c>
      <c r="W60" s="136">
        <f>IF($F60="","",IFERROR(INDEX(사건마스터!$AT$5:$AT$64,MATCH($F60,사건마스터!$A$5:$A$64,0)),""))</f>
        <v/>
      </c>
      <c r="X60" s="136">
        <f>IF($F60="","",IFERROR(INDEX(사건마스터!$AU$5:$AU$64,MATCH($F60,사건마스터!$A$5:$A$64,0)),""))</f>
        <v/>
      </c>
      <c r="Y60" s="136">
        <f>IF($F60="","",IFERROR(INDEX(사건마스터!$AV$5:$AV$64,MATCH($F60,사건마스터!$A$5:$A$64,0)),""))</f>
        <v/>
      </c>
      <c r="Z60" s="118">
        <f>IF(COUNTBLANK($J60:$Y60)=16,"",16-COUNTBLANK($J60:$Y60))</f>
        <v/>
      </c>
      <c r="AA60" s="33">
        <f>IF($J60="",MID($AX60,3,255),$J60&amp;$AX60)</f>
        <v/>
      </c>
      <c r="AB60" s="130">
        <f>IF($J60="","",IFERROR(INDEX(코드설정!$D$5:$D$24,MATCH($J60,코드설정!$C$5:$C$24,0)),""))</f>
        <v/>
      </c>
      <c r="AC60" s="36" t="n"/>
      <c r="AD60" s="37" t="n"/>
      <c r="AE60" s="38" t="n"/>
      <c r="AF60" s="118">
        <f>IF(OR($B60="",$C60=""),"",$C60-$B60+1)</f>
        <v/>
      </c>
      <c r="AG60" s="74" t="n"/>
      <c r="AH60" s="36" t="n"/>
      <c r="AJ60">
        <f>IF($K60="","",", "&amp;$K60)</f>
        <v/>
      </c>
      <c r="AK60">
        <f>AJ60&amp;IF($L60="","",", "&amp;$L60)</f>
        <v/>
      </c>
      <c r="AL60">
        <f>AK60&amp;IF($M60="","",", "&amp;$M60)</f>
        <v/>
      </c>
      <c r="AM60">
        <f>AL60&amp;IF($N60="","",", "&amp;$N60)</f>
        <v/>
      </c>
      <c r="AN60">
        <f>AM60&amp;IF($O60="","",", "&amp;$O60)</f>
        <v/>
      </c>
      <c r="AO60">
        <f>AN60&amp;IF($P60="","",", "&amp;$P60)</f>
        <v/>
      </c>
      <c r="AP60">
        <f>AO60&amp;IF($Q60="","",", "&amp;$Q60)</f>
        <v/>
      </c>
      <c r="AQ60">
        <f>AP60&amp;IF($R60="","",", "&amp;$R60)</f>
        <v/>
      </c>
      <c r="AR60">
        <f>AQ60&amp;IF($S60="","",", "&amp;$S60)</f>
        <v/>
      </c>
      <c r="AS60">
        <f>AR60&amp;IF($T60="","",", "&amp;$T60)</f>
        <v/>
      </c>
      <c r="AT60">
        <f>AS60&amp;IF($U60="","",", "&amp;$U60)</f>
        <v/>
      </c>
      <c r="AU60">
        <f>AT60&amp;IF($V60="","",", "&amp;$V60)</f>
        <v/>
      </c>
      <c r="AV60">
        <f>AU60&amp;IF($W60="","",", "&amp;$W60)</f>
        <v/>
      </c>
      <c r="AW60">
        <f>AV60&amp;IF($X60="","",", "&amp;$X60)</f>
        <v/>
      </c>
      <c r="AX60">
        <f>AW60&amp;IF($Y60="","",", "&amp;$Y60)</f>
        <v/>
      </c>
    </row>
    <row r="61">
      <c r="A61" s="118">
        <f>IF($B61="","",COUNT($B$5:$B61))</f>
        <v/>
      </c>
      <c r="B61" s="80" t="n"/>
      <c r="C61" s="80" t="n"/>
      <c r="D61" s="74" t="n"/>
      <c r="E61" s="74" t="n"/>
      <c r="F61" s="74" t="n"/>
      <c r="G61" s="118">
        <f>IF($F61="","",COUNTIF($F$5:$F61,$F61))</f>
        <v/>
      </c>
      <c r="H61" s="33">
        <f>IF($F61="","",IFERROR(INDEX(사건마스터!$B$5:$B$64,MATCH($F61,사건마스터!$A$5:$A$64,0)),""))</f>
        <v/>
      </c>
      <c r="I61" s="130">
        <f>IF($F61="","",IFERROR(INDEX(사건마스터!$C$5:$C$64,MATCH($F61,사건마스터!$A$5:$A$64,0)),""))</f>
        <v/>
      </c>
      <c r="J61" s="136">
        <f>IF($F61="","",IFERROR(INDEX(사건마스터!$H$5:$H$64,MATCH($F61,사건마스터!$A$5:$A$64,0)),""))</f>
        <v/>
      </c>
      <c r="K61" s="136">
        <f>IF($F61="","",IFERROR(INDEX(사건마스터!$AH$5:$AH$64,MATCH($F61,사건마스터!$A$5:$A$64,0)),""))</f>
        <v/>
      </c>
      <c r="L61" s="136">
        <f>IF($F61="","",IFERROR(INDEX(사건마스터!$AI$5:$AI$64,MATCH($F61,사건마스터!$A$5:$A$64,0)),""))</f>
        <v/>
      </c>
      <c r="M61" s="136">
        <f>IF($F61="","",IFERROR(INDEX(사건마스터!$AJ$5:$AJ$64,MATCH($F61,사건마스터!$A$5:$A$64,0)),""))</f>
        <v/>
      </c>
      <c r="N61" s="136">
        <f>IF($F61="","",IFERROR(INDEX(사건마스터!$AK$5:$AK$64,MATCH($F61,사건마스터!$A$5:$A$64,0)),""))</f>
        <v/>
      </c>
      <c r="O61" s="136">
        <f>IF($F61="","",IFERROR(INDEX(사건마스터!$AL$5:$AL$64,MATCH($F61,사건마스터!$A$5:$A$64,0)),""))</f>
        <v/>
      </c>
      <c r="P61" s="136">
        <f>IF($F61="","",IFERROR(INDEX(사건마스터!$AM$5:$AM$64,MATCH($F61,사건마스터!$A$5:$A$64,0)),""))</f>
        <v/>
      </c>
      <c r="Q61" s="136">
        <f>IF($F61="","",IFERROR(INDEX(사건마스터!$AN$5:$AN$64,MATCH($F61,사건마스터!$A$5:$A$64,0)),""))</f>
        <v/>
      </c>
      <c r="R61" s="136">
        <f>IF($F61="","",IFERROR(INDEX(사건마스터!$AO$5:$AO$64,MATCH($F61,사건마스터!$A$5:$A$64,0)),""))</f>
        <v/>
      </c>
      <c r="S61" s="136">
        <f>IF($F61="","",IFERROR(INDEX(사건마스터!$AP$5:$AP$64,MATCH($F61,사건마스터!$A$5:$A$64,0)),""))</f>
        <v/>
      </c>
      <c r="T61" s="136">
        <f>IF($F61="","",IFERROR(INDEX(사건마스터!$AQ$5:$AQ$64,MATCH($F61,사건마스터!$A$5:$A$64,0)),""))</f>
        <v/>
      </c>
      <c r="U61" s="136">
        <f>IF($F61="","",IFERROR(INDEX(사건마스터!$AR$5:$AR$64,MATCH($F61,사건마스터!$A$5:$A$64,0)),""))</f>
        <v/>
      </c>
      <c r="V61" s="136">
        <f>IF($F61="","",IFERROR(INDEX(사건마스터!$AS$5:$AS$64,MATCH($F61,사건마스터!$A$5:$A$64,0)),""))</f>
        <v/>
      </c>
      <c r="W61" s="136">
        <f>IF($F61="","",IFERROR(INDEX(사건마스터!$AT$5:$AT$64,MATCH($F61,사건마스터!$A$5:$A$64,0)),""))</f>
        <v/>
      </c>
      <c r="X61" s="136">
        <f>IF($F61="","",IFERROR(INDEX(사건마스터!$AU$5:$AU$64,MATCH($F61,사건마스터!$A$5:$A$64,0)),""))</f>
        <v/>
      </c>
      <c r="Y61" s="136">
        <f>IF($F61="","",IFERROR(INDEX(사건마스터!$AV$5:$AV$64,MATCH($F61,사건마스터!$A$5:$A$64,0)),""))</f>
        <v/>
      </c>
      <c r="Z61" s="118">
        <f>IF(COUNTBLANK($J61:$Y61)=16,"",16-COUNTBLANK($J61:$Y61))</f>
        <v/>
      </c>
      <c r="AA61" s="33">
        <f>IF($J61="",MID($AX61,3,255),$J61&amp;$AX61)</f>
        <v/>
      </c>
      <c r="AB61" s="130">
        <f>IF($J61="","",IFERROR(INDEX(코드설정!$D$5:$D$24,MATCH($J61,코드설정!$C$5:$C$24,0)),""))</f>
        <v/>
      </c>
      <c r="AC61" s="36" t="n"/>
      <c r="AD61" s="37" t="n"/>
      <c r="AE61" s="38" t="n"/>
      <c r="AF61" s="118">
        <f>IF(OR($B61="",$C61=""),"",$C61-$B61+1)</f>
        <v/>
      </c>
      <c r="AG61" s="74" t="n"/>
      <c r="AH61" s="36" t="n"/>
      <c r="AJ61">
        <f>IF($K61="","",", "&amp;$K61)</f>
        <v/>
      </c>
      <c r="AK61">
        <f>AJ61&amp;IF($L61="","",", "&amp;$L61)</f>
        <v/>
      </c>
      <c r="AL61">
        <f>AK61&amp;IF($M61="","",", "&amp;$M61)</f>
        <v/>
      </c>
      <c r="AM61">
        <f>AL61&amp;IF($N61="","",", "&amp;$N61)</f>
        <v/>
      </c>
      <c r="AN61">
        <f>AM61&amp;IF($O61="","",", "&amp;$O61)</f>
        <v/>
      </c>
      <c r="AO61">
        <f>AN61&amp;IF($P61="","",", "&amp;$P61)</f>
        <v/>
      </c>
      <c r="AP61">
        <f>AO61&amp;IF($Q61="","",", "&amp;$Q61)</f>
        <v/>
      </c>
      <c r="AQ61">
        <f>AP61&amp;IF($R61="","",", "&amp;$R61)</f>
        <v/>
      </c>
      <c r="AR61">
        <f>AQ61&amp;IF($S61="","",", "&amp;$S61)</f>
        <v/>
      </c>
      <c r="AS61">
        <f>AR61&amp;IF($T61="","",", "&amp;$T61)</f>
        <v/>
      </c>
      <c r="AT61">
        <f>AS61&amp;IF($U61="","",", "&amp;$U61)</f>
        <v/>
      </c>
      <c r="AU61">
        <f>AT61&amp;IF($V61="","",", "&amp;$V61)</f>
        <v/>
      </c>
      <c r="AV61">
        <f>AU61&amp;IF($W61="","",", "&amp;$W61)</f>
        <v/>
      </c>
      <c r="AW61">
        <f>AV61&amp;IF($X61="","",", "&amp;$X61)</f>
        <v/>
      </c>
      <c r="AX61">
        <f>AW61&amp;IF($Y61="","",", "&amp;$Y61)</f>
        <v/>
      </c>
    </row>
    <row r="62">
      <c r="A62" s="118">
        <f>IF($B62="","",COUNT($B$5:$B62))</f>
        <v/>
      </c>
      <c r="B62" s="80" t="n"/>
      <c r="C62" s="80" t="n"/>
      <c r="D62" s="74" t="n"/>
      <c r="E62" s="74" t="n"/>
      <c r="F62" s="74" t="n"/>
      <c r="G62" s="118">
        <f>IF($F62="","",COUNTIF($F$5:$F62,$F62))</f>
        <v/>
      </c>
      <c r="H62" s="33">
        <f>IF($F62="","",IFERROR(INDEX(사건마스터!$B$5:$B$64,MATCH($F62,사건마스터!$A$5:$A$64,0)),""))</f>
        <v/>
      </c>
      <c r="I62" s="130">
        <f>IF($F62="","",IFERROR(INDEX(사건마스터!$C$5:$C$64,MATCH($F62,사건마스터!$A$5:$A$64,0)),""))</f>
        <v/>
      </c>
      <c r="J62" s="136">
        <f>IF($F62="","",IFERROR(INDEX(사건마스터!$H$5:$H$64,MATCH($F62,사건마스터!$A$5:$A$64,0)),""))</f>
        <v/>
      </c>
      <c r="K62" s="136">
        <f>IF($F62="","",IFERROR(INDEX(사건마스터!$AH$5:$AH$64,MATCH($F62,사건마스터!$A$5:$A$64,0)),""))</f>
        <v/>
      </c>
      <c r="L62" s="136">
        <f>IF($F62="","",IFERROR(INDEX(사건마스터!$AI$5:$AI$64,MATCH($F62,사건마스터!$A$5:$A$64,0)),""))</f>
        <v/>
      </c>
      <c r="M62" s="136">
        <f>IF($F62="","",IFERROR(INDEX(사건마스터!$AJ$5:$AJ$64,MATCH($F62,사건마스터!$A$5:$A$64,0)),""))</f>
        <v/>
      </c>
      <c r="N62" s="136">
        <f>IF($F62="","",IFERROR(INDEX(사건마스터!$AK$5:$AK$64,MATCH($F62,사건마스터!$A$5:$A$64,0)),""))</f>
        <v/>
      </c>
      <c r="O62" s="136">
        <f>IF($F62="","",IFERROR(INDEX(사건마스터!$AL$5:$AL$64,MATCH($F62,사건마스터!$A$5:$A$64,0)),""))</f>
        <v/>
      </c>
      <c r="P62" s="136">
        <f>IF($F62="","",IFERROR(INDEX(사건마스터!$AM$5:$AM$64,MATCH($F62,사건마스터!$A$5:$A$64,0)),""))</f>
        <v/>
      </c>
      <c r="Q62" s="136">
        <f>IF($F62="","",IFERROR(INDEX(사건마스터!$AN$5:$AN$64,MATCH($F62,사건마스터!$A$5:$A$64,0)),""))</f>
        <v/>
      </c>
      <c r="R62" s="136">
        <f>IF($F62="","",IFERROR(INDEX(사건마스터!$AO$5:$AO$64,MATCH($F62,사건마스터!$A$5:$A$64,0)),""))</f>
        <v/>
      </c>
      <c r="S62" s="136">
        <f>IF($F62="","",IFERROR(INDEX(사건마스터!$AP$5:$AP$64,MATCH($F62,사건마스터!$A$5:$A$64,0)),""))</f>
        <v/>
      </c>
      <c r="T62" s="136">
        <f>IF($F62="","",IFERROR(INDEX(사건마스터!$AQ$5:$AQ$64,MATCH($F62,사건마스터!$A$5:$A$64,0)),""))</f>
        <v/>
      </c>
      <c r="U62" s="136">
        <f>IF($F62="","",IFERROR(INDEX(사건마스터!$AR$5:$AR$64,MATCH($F62,사건마스터!$A$5:$A$64,0)),""))</f>
        <v/>
      </c>
      <c r="V62" s="136">
        <f>IF($F62="","",IFERROR(INDEX(사건마스터!$AS$5:$AS$64,MATCH($F62,사건마스터!$A$5:$A$64,0)),""))</f>
        <v/>
      </c>
      <c r="W62" s="136">
        <f>IF($F62="","",IFERROR(INDEX(사건마스터!$AT$5:$AT$64,MATCH($F62,사건마스터!$A$5:$A$64,0)),""))</f>
        <v/>
      </c>
      <c r="X62" s="136">
        <f>IF($F62="","",IFERROR(INDEX(사건마스터!$AU$5:$AU$64,MATCH($F62,사건마스터!$A$5:$A$64,0)),""))</f>
        <v/>
      </c>
      <c r="Y62" s="136">
        <f>IF($F62="","",IFERROR(INDEX(사건마스터!$AV$5:$AV$64,MATCH($F62,사건마스터!$A$5:$A$64,0)),""))</f>
        <v/>
      </c>
      <c r="Z62" s="118">
        <f>IF(COUNTBLANK($J62:$Y62)=16,"",16-COUNTBLANK($J62:$Y62))</f>
        <v/>
      </c>
      <c r="AA62" s="33">
        <f>IF($J62="",MID($AX62,3,255),$J62&amp;$AX62)</f>
        <v/>
      </c>
      <c r="AB62" s="130">
        <f>IF($J62="","",IFERROR(INDEX(코드설정!$D$5:$D$24,MATCH($J62,코드설정!$C$5:$C$24,0)),""))</f>
        <v/>
      </c>
      <c r="AC62" s="36" t="n"/>
      <c r="AD62" s="37" t="n"/>
      <c r="AE62" s="38" t="n"/>
      <c r="AF62" s="118">
        <f>IF(OR($B62="",$C62=""),"",$C62-$B62+1)</f>
        <v/>
      </c>
      <c r="AG62" s="74" t="n"/>
      <c r="AH62" s="36" t="n"/>
      <c r="AJ62">
        <f>IF($K62="","",", "&amp;$K62)</f>
        <v/>
      </c>
      <c r="AK62">
        <f>AJ62&amp;IF($L62="","",", "&amp;$L62)</f>
        <v/>
      </c>
      <c r="AL62">
        <f>AK62&amp;IF($M62="","",", "&amp;$M62)</f>
        <v/>
      </c>
      <c r="AM62">
        <f>AL62&amp;IF($N62="","",", "&amp;$N62)</f>
        <v/>
      </c>
      <c r="AN62">
        <f>AM62&amp;IF($O62="","",", "&amp;$O62)</f>
        <v/>
      </c>
      <c r="AO62">
        <f>AN62&amp;IF($P62="","",", "&amp;$P62)</f>
        <v/>
      </c>
      <c r="AP62">
        <f>AO62&amp;IF($Q62="","",", "&amp;$Q62)</f>
        <v/>
      </c>
      <c r="AQ62">
        <f>AP62&amp;IF($R62="","",", "&amp;$R62)</f>
        <v/>
      </c>
      <c r="AR62">
        <f>AQ62&amp;IF($S62="","",", "&amp;$S62)</f>
        <v/>
      </c>
      <c r="AS62">
        <f>AR62&amp;IF($T62="","",", "&amp;$T62)</f>
        <v/>
      </c>
      <c r="AT62">
        <f>AS62&amp;IF($U62="","",", "&amp;$U62)</f>
        <v/>
      </c>
      <c r="AU62">
        <f>AT62&amp;IF($V62="","",", "&amp;$V62)</f>
        <v/>
      </c>
      <c r="AV62">
        <f>AU62&amp;IF($W62="","",", "&amp;$W62)</f>
        <v/>
      </c>
      <c r="AW62">
        <f>AV62&amp;IF($X62="","",", "&amp;$X62)</f>
        <v/>
      </c>
      <c r="AX62">
        <f>AW62&amp;IF($Y62="","",", "&amp;$Y62)</f>
        <v/>
      </c>
    </row>
    <row r="63">
      <c r="A63" s="118">
        <f>IF($B63="","",COUNT($B$5:$B63))</f>
        <v/>
      </c>
      <c r="B63" s="80" t="n"/>
      <c r="C63" s="80" t="n"/>
      <c r="D63" s="74" t="n"/>
      <c r="E63" s="74" t="n"/>
      <c r="F63" s="74" t="n"/>
      <c r="G63" s="118">
        <f>IF($F63="","",COUNTIF($F$5:$F63,$F63))</f>
        <v/>
      </c>
      <c r="H63" s="33">
        <f>IF($F63="","",IFERROR(INDEX(사건마스터!$B$5:$B$64,MATCH($F63,사건마스터!$A$5:$A$64,0)),""))</f>
        <v/>
      </c>
      <c r="I63" s="130">
        <f>IF($F63="","",IFERROR(INDEX(사건마스터!$C$5:$C$64,MATCH($F63,사건마스터!$A$5:$A$64,0)),""))</f>
        <v/>
      </c>
      <c r="J63" s="136">
        <f>IF($F63="","",IFERROR(INDEX(사건마스터!$H$5:$H$64,MATCH($F63,사건마스터!$A$5:$A$64,0)),""))</f>
        <v/>
      </c>
      <c r="K63" s="136">
        <f>IF($F63="","",IFERROR(INDEX(사건마스터!$AH$5:$AH$64,MATCH($F63,사건마스터!$A$5:$A$64,0)),""))</f>
        <v/>
      </c>
      <c r="L63" s="136">
        <f>IF($F63="","",IFERROR(INDEX(사건마스터!$AI$5:$AI$64,MATCH($F63,사건마스터!$A$5:$A$64,0)),""))</f>
        <v/>
      </c>
      <c r="M63" s="136">
        <f>IF($F63="","",IFERROR(INDEX(사건마스터!$AJ$5:$AJ$64,MATCH($F63,사건마스터!$A$5:$A$64,0)),""))</f>
        <v/>
      </c>
      <c r="N63" s="136">
        <f>IF($F63="","",IFERROR(INDEX(사건마스터!$AK$5:$AK$64,MATCH($F63,사건마스터!$A$5:$A$64,0)),""))</f>
        <v/>
      </c>
      <c r="O63" s="136">
        <f>IF($F63="","",IFERROR(INDEX(사건마스터!$AL$5:$AL$64,MATCH($F63,사건마스터!$A$5:$A$64,0)),""))</f>
        <v/>
      </c>
      <c r="P63" s="136">
        <f>IF($F63="","",IFERROR(INDEX(사건마스터!$AM$5:$AM$64,MATCH($F63,사건마스터!$A$5:$A$64,0)),""))</f>
        <v/>
      </c>
      <c r="Q63" s="136">
        <f>IF($F63="","",IFERROR(INDEX(사건마스터!$AN$5:$AN$64,MATCH($F63,사건마스터!$A$5:$A$64,0)),""))</f>
        <v/>
      </c>
      <c r="R63" s="136">
        <f>IF($F63="","",IFERROR(INDEX(사건마스터!$AO$5:$AO$64,MATCH($F63,사건마스터!$A$5:$A$64,0)),""))</f>
        <v/>
      </c>
      <c r="S63" s="136">
        <f>IF($F63="","",IFERROR(INDEX(사건마스터!$AP$5:$AP$64,MATCH($F63,사건마스터!$A$5:$A$64,0)),""))</f>
        <v/>
      </c>
      <c r="T63" s="136">
        <f>IF($F63="","",IFERROR(INDEX(사건마스터!$AQ$5:$AQ$64,MATCH($F63,사건마스터!$A$5:$A$64,0)),""))</f>
        <v/>
      </c>
      <c r="U63" s="136">
        <f>IF($F63="","",IFERROR(INDEX(사건마스터!$AR$5:$AR$64,MATCH($F63,사건마스터!$A$5:$A$64,0)),""))</f>
        <v/>
      </c>
      <c r="V63" s="136">
        <f>IF($F63="","",IFERROR(INDEX(사건마스터!$AS$5:$AS$64,MATCH($F63,사건마스터!$A$5:$A$64,0)),""))</f>
        <v/>
      </c>
      <c r="W63" s="136">
        <f>IF($F63="","",IFERROR(INDEX(사건마스터!$AT$5:$AT$64,MATCH($F63,사건마스터!$A$5:$A$64,0)),""))</f>
        <v/>
      </c>
      <c r="X63" s="136">
        <f>IF($F63="","",IFERROR(INDEX(사건마스터!$AU$5:$AU$64,MATCH($F63,사건마스터!$A$5:$A$64,0)),""))</f>
        <v/>
      </c>
      <c r="Y63" s="136">
        <f>IF($F63="","",IFERROR(INDEX(사건마스터!$AV$5:$AV$64,MATCH($F63,사건마스터!$A$5:$A$64,0)),""))</f>
        <v/>
      </c>
      <c r="Z63" s="118">
        <f>IF(COUNTBLANK($J63:$Y63)=16,"",16-COUNTBLANK($J63:$Y63))</f>
        <v/>
      </c>
      <c r="AA63" s="33">
        <f>IF($J63="",MID($AX63,3,255),$J63&amp;$AX63)</f>
        <v/>
      </c>
      <c r="AB63" s="130">
        <f>IF($J63="","",IFERROR(INDEX(코드설정!$D$5:$D$24,MATCH($J63,코드설정!$C$5:$C$24,0)),""))</f>
        <v/>
      </c>
      <c r="AC63" s="36" t="n"/>
      <c r="AD63" s="37" t="n"/>
      <c r="AE63" s="38" t="n"/>
      <c r="AF63" s="118">
        <f>IF(OR($B63="",$C63=""),"",$C63-$B63+1)</f>
        <v/>
      </c>
      <c r="AG63" s="74" t="n"/>
      <c r="AH63" s="36" t="n"/>
      <c r="AJ63">
        <f>IF($K63="","",", "&amp;$K63)</f>
        <v/>
      </c>
      <c r="AK63">
        <f>AJ63&amp;IF($L63="","",", "&amp;$L63)</f>
        <v/>
      </c>
      <c r="AL63">
        <f>AK63&amp;IF($M63="","",", "&amp;$M63)</f>
        <v/>
      </c>
      <c r="AM63">
        <f>AL63&amp;IF($N63="","",", "&amp;$N63)</f>
        <v/>
      </c>
      <c r="AN63">
        <f>AM63&amp;IF($O63="","",", "&amp;$O63)</f>
        <v/>
      </c>
      <c r="AO63">
        <f>AN63&amp;IF($P63="","",", "&amp;$P63)</f>
        <v/>
      </c>
      <c r="AP63">
        <f>AO63&amp;IF($Q63="","",", "&amp;$Q63)</f>
        <v/>
      </c>
      <c r="AQ63">
        <f>AP63&amp;IF($R63="","",", "&amp;$R63)</f>
        <v/>
      </c>
      <c r="AR63">
        <f>AQ63&amp;IF($S63="","",", "&amp;$S63)</f>
        <v/>
      </c>
      <c r="AS63">
        <f>AR63&amp;IF($T63="","",", "&amp;$T63)</f>
        <v/>
      </c>
      <c r="AT63">
        <f>AS63&amp;IF($U63="","",", "&amp;$U63)</f>
        <v/>
      </c>
      <c r="AU63">
        <f>AT63&amp;IF($V63="","",", "&amp;$V63)</f>
        <v/>
      </c>
      <c r="AV63">
        <f>AU63&amp;IF($W63="","",", "&amp;$W63)</f>
        <v/>
      </c>
      <c r="AW63">
        <f>AV63&amp;IF($X63="","",", "&amp;$X63)</f>
        <v/>
      </c>
      <c r="AX63">
        <f>AW63&amp;IF($Y63="","",", "&amp;$Y63)</f>
        <v/>
      </c>
    </row>
    <row r="64">
      <c r="A64" s="118">
        <f>IF($B64="","",COUNT($B$5:$B64))</f>
        <v/>
      </c>
      <c r="B64" s="80" t="n"/>
      <c r="C64" s="80" t="n"/>
      <c r="D64" s="74" t="n"/>
      <c r="E64" s="74" t="n"/>
      <c r="F64" s="74" t="n"/>
      <c r="G64" s="118">
        <f>IF($F64="","",COUNTIF($F$5:$F64,$F64))</f>
        <v/>
      </c>
      <c r="H64" s="33">
        <f>IF($F64="","",IFERROR(INDEX(사건마스터!$B$5:$B$64,MATCH($F64,사건마스터!$A$5:$A$64,0)),""))</f>
        <v/>
      </c>
      <c r="I64" s="130">
        <f>IF($F64="","",IFERROR(INDEX(사건마스터!$C$5:$C$64,MATCH($F64,사건마스터!$A$5:$A$64,0)),""))</f>
        <v/>
      </c>
      <c r="J64" s="136">
        <f>IF($F64="","",IFERROR(INDEX(사건마스터!$H$5:$H$64,MATCH($F64,사건마스터!$A$5:$A$64,0)),""))</f>
        <v/>
      </c>
      <c r="K64" s="136">
        <f>IF($F64="","",IFERROR(INDEX(사건마스터!$AH$5:$AH$64,MATCH($F64,사건마스터!$A$5:$A$64,0)),""))</f>
        <v/>
      </c>
      <c r="L64" s="136">
        <f>IF($F64="","",IFERROR(INDEX(사건마스터!$AI$5:$AI$64,MATCH($F64,사건마스터!$A$5:$A$64,0)),""))</f>
        <v/>
      </c>
      <c r="M64" s="136">
        <f>IF($F64="","",IFERROR(INDEX(사건마스터!$AJ$5:$AJ$64,MATCH($F64,사건마스터!$A$5:$A$64,0)),""))</f>
        <v/>
      </c>
      <c r="N64" s="136">
        <f>IF($F64="","",IFERROR(INDEX(사건마스터!$AK$5:$AK$64,MATCH($F64,사건마스터!$A$5:$A$64,0)),""))</f>
        <v/>
      </c>
      <c r="O64" s="136">
        <f>IF($F64="","",IFERROR(INDEX(사건마스터!$AL$5:$AL$64,MATCH($F64,사건마스터!$A$5:$A$64,0)),""))</f>
        <v/>
      </c>
      <c r="P64" s="136">
        <f>IF($F64="","",IFERROR(INDEX(사건마스터!$AM$5:$AM$64,MATCH($F64,사건마스터!$A$5:$A$64,0)),""))</f>
        <v/>
      </c>
      <c r="Q64" s="136">
        <f>IF($F64="","",IFERROR(INDEX(사건마스터!$AN$5:$AN$64,MATCH($F64,사건마스터!$A$5:$A$64,0)),""))</f>
        <v/>
      </c>
      <c r="R64" s="136">
        <f>IF($F64="","",IFERROR(INDEX(사건마스터!$AO$5:$AO$64,MATCH($F64,사건마스터!$A$5:$A$64,0)),""))</f>
        <v/>
      </c>
      <c r="S64" s="136">
        <f>IF($F64="","",IFERROR(INDEX(사건마스터!$AP$5:$AP$64,MATCH($F64,사건마스터!$A$5:$A$64,0)),""))</f>
        <v/>
      </c>
      <c r="T64" s="136">
        <f>IF($F64="","",IFERROR(INDEX(사건마스터!$AQ$5:$AQ$64,MATCH($F64,사건마스터!$A$5:$A$64,0)),""))</f>
        <v/>
      </c>
      <c r="U64" s="136">
        <f>IF($F64="","",IFERROR(INDEX(사건마스터!$AR$5:$AR$64,MATCH($F64,사건마스터!$A$5:$A$64,0)),""))</f>
        <v/>
      </c>
      <c r="V64" s="136">
        <f>IF($F64="","",IFERROR(INDEX(사건마스터!$AS$5:$AS$64,MATCH($F64,사건마스터!$A$5:$A$64,0)),""))</f>
        <v/>
      </c>
      <c r="W64" s="136">
        <f>IF($F64="","",IFERROR(INDEX(사건마스터!$AT$5:$AT$64,MATCH($F64,사건마스터!$A$5:$A$64,0)),""))</f>
        <v/>
      </c>
      <c r="X64" s="136">
        <f>IF($F64="","",IFERROR(INDEX(사건마스터!$AU$5:$AU$64,MATCH($F64,사건마스터!$A$5:$A$64,0)),""))</f>
        <v/>
      </c>
      <c r="Y64" s="136">
        <f>IF($F64="","",IFERROR(INDEX(사건마스터!$AV$5:$AV$64,MATCH($F64,사건마스터!$A$5:$A$64,0)),""))</f>
        <v/>
      </c>
      <c r="Z64" s="118">
        <f>IF(COUNTBLANK($J64:$Y64)=16,"",16-COUNTBLANK($J64:$Y64))</f>
        <v/>
      </c>
      <c r="AA64" s="33">
        <f>IF($J64="",MID($AX64,3,255),$J64&amp;$AX64)</f>
        <v/>
      </c>
      <c r="AB64" s="130">
        <f>IF($J64="","",IFERROR(INDEX(코드설정!$D$5:$D$24,MATCH($J64,코드설정!$C$5:$C$24,0)),""))</f>
        <v/>
      </c>
      <c r="AC64" s="36" t="n"/>
      <c r="AD64" s="37" t="n"/>
      <c r="AE64" s="38" t="n"/>
      <c r="AF64" s="118">
        <f>IF(OR($B64="",$C64=""),"",$C64-$B64+1)</f>
        <v/>
      </c>
      <c r="AG64" s="74" t="n"/>
      <c r="AH64" s="36" t="n"/>
      <c r="AJ64">
        <f>IF($K64="","",", "&amp;$K64)</f>
        <v/>
      </c>
      <c r="AK64">
        <f>AJ64&amp;IF($L64="","",", "&amp;$L64)</f>
        <v/>
      </c>
      <c r="AL64">
        <f>AK64&amp;IF($M64="","",", "&amp;$M64)</f>
        <v/>
      </c>
      <c r="AM64">
        <f>AL64&amp;IF($N64="","",", "&amp;$N64)</f>
        <v/>
      </c>
      <c r="AN64">
        <f>AM64&amp;IF($O64="","",", "&amp;$O64)</f>
        <v/>
      </c>
      <c r="AO64">
        <f>AN64&amp;IF($P64="","",", "&amp;$P64)</f>
        <v/>
      </c>
      <c r="AP64">
        <f>AO64&amp;IF($Q64="","",", "&amp;$Q64)</f>
        <v/>
      </c>
      <c r="AQ64">
        <f>AP64&amp;IF($R64="","",", "&amp;$R64)</f>
        <v/>
      </c>
      <c r="AR64">
        <f>AQ64&amp;IF($S64="","",", "&amp;$S64)</f>
        <v/>
      </c>
      <c r="AS64">
        <f>AR64&amp;IF($T64="","",", "&amp;$T64)</f>
        <v/>
      </c>
      <c r="AT64">
        <f>AS64&amp;IF($U64="","",", "&amp;$U64)</f>
        <v/>
      </c>
      <c r="AU64">
        <f>AT64&amp;IF($V64="","",", "&amp;$V64)</f>
        <v/>
      </c>
      <c r="AV64">
        <f>AU64&amp;IF($W64="","",", "&amp;$W64)</f>
        <v/>
      </c>
      <c r="AW64">
        <f>AV64&amp;IF($X64="","",", "&amp;$X64)</f>
        <v/>
      </c>
      <c r="AX64">
        <f>AW64&amp;IF($Y64="","",", "&amp;$Y64)</f>
        <v/>
      </c>
    </row>
    <row r="65">
      <c r="A65" s="118">
        <f>IF($B65="","",COUNT($B$5:$B65))</f>
        <v/>
      </c>
      <c r="B65" s="80" t="n"/>
      <c r="C65" s="80" t="n"/>
      <c r="D65" s="74" t="n"/>
      <c r="E65" s="74" t="n"/>
      <c r="F65" s="74" t="n"/>
      <c r="G65" s="118">
        <f>IF($F65="","",COUNTIF($F$5:$F65,$F65))</f>
        <v/>
      </c>
      <c r="H65" s="33">
        <f>IF($F65="","",IFERROR(INDEX(사건마스터!$B$5:$B$64,MATCH($F65,사건마스터!$A$5:$A$64,0)),""))</f>
        <v/>
      </c>
      <c r="I65" s="130">
        <f>IF($F65="","",IFERROR(INDEX(사건마스터!$C$5:$C$64,MATCH($F65,사건마스터!$A$5:$A$64,0)),""))</f>
        <v/>
      </c>
      <c r="J65" s="136">
        <f>IF($F65="","",IFERROR(INDEX(사건마스터!$H$5:$H$64,MATCH($F65,사건마스터!$A$5:$A$64,0)),""))</f>
        <v/>
      </c>
      <c r="K65" s="136">
        <f>IF($F65="","",IFERROR(INDEX(사건마스터!$AH$5:$AH$64,MATCH($F65,사건마스터!$A$5:$A$64,0)),""))</f>
        <v/>
      </c>
      <c r="L65" s="136">
        <f>IF($F65="","",IFERROR(INDEX(사건마스터!$AI$5:$AI$64,MATCH($F65,사건마스터!$A$5:$A$64,0)),""))</f>
        <v/>
      </c>
      <c r="M65" s="136">
        <f>IF($F65="","",IFERROR(INDEX(사건마스터!$AJ$5:$AJ$64,MATCH($F65,사건마스터!$A$5:$A$64,0)),""))</f>
        <v/>
      </c>
      <c r="N65" s="136">
        <f>IF($F65="","",IFERROR(INDEX(사건마스터!$AK$5:$AK$64,MATCH($F65,사건마스터!$A$5:$A$64,0)),""))</f>
        <v/>
      </c>
      <c r="O65" s="136">
        <f>IF($F65="","",IFERROR(INDEX(사건마스터!$AL$5:$AL$64,MATCH($F65,사건마스터!$A$5:$A$64,0)),""))</f>
        <v/>
      </c>
      <c r="P65" s="136">
        <f>IF($F65="","",IFERROR(INDEX(사건마스터!$AM$5:$AM$64,MATCH($F65,사건마스터!$A$5:$A$64,0)),""))</f>
        <v/>
      </c>
      <c r="Q65" s="136">
        <f>IF($F65="","",IFERROR(INDEX(사건마스터!$AN$5:$AN$64,MATCH($F65,사건마스터!$A$5:$A$64,0)),""))</f>
        <v/>
      </c>
      <c r="R65" s="136">
        <f>IF($F65="","",IFERROR(INDEX(사건마스터!$AO$5:$AO$64,MATCH($F65,사건마스터!$A$5:$A$64,0)),""))</f>
        <v/>
      </c>
      <c r="S65" s="136">
        <f>IF($F65="","",IFERROR(INDEX(사건마스터!$AP$5:$AP$64,MATCH($F65,사건마스터!$A$5:$A$64,0)),""))</f>
        <v/>
      </c>
      <c r="T65" s="136">
        <f>IF($F65="","",IFERROR(INDEX(사건마스터!$AQ$5:$AQ$64,MATCH($F65,사건마스터!$A$5:$A$64,0)),""))</f>
        <v/>
      </c>
      <c r="U65" s="136">
        <f>IF($F65="","",IFERROR(INDEX(사건마스터!$AR$5:$AR$64,MATCH($F65,사건마스터!$A$5:$A$64,0)),""))</f>
        <v/>
      </c>
      <c r="V65" s="136">
        <f>IF($F65="","",IFERROR(INDEX(사건마스터!$AS$5:$AS$64,MATCH($F65,사건마스터!$A$5:$A$64,0)),""))</f>
        <v/>
      </c>
      <c r="W65" s="136">
        <f>IF($F65="","",IFERROR(INDEX(사건마스터!$AT$5:$AT$64,MATCH($F65,사건마스터!$A$5:$A$64,0)),""))</f>
        <v/>
      </c>
      <c r="X65" s="136">
        <f>IF($F65="","",IFERROR(INDEX(사건마스터!$AU$5:$AU$64,MATCH($F65,사건마스터!$A$5:$A$64,0)),""))</f>
        <v/>
      </c>
      <c r="Y65" s="136">
        <f>IF($F65="","",IFERROR(INDEX(사건마스터!$AV$5:$AV$64,MATCH($F65,사건마스터!$A$5:$A$64,0)),""))</f>
        <v/>
      </c>
      <c r="Z65" s="118">
        <f>IF(COUNTBLANK($J65:$Y65)=16,"",16-COUNTBLANK($J65:$Y65))</f>
        <v/>
      </c>
      <c r="AA65" s="33">
        <f>IF($J65="",MID($AX65,3,255),$J65&amp;$AX65)</f>
        <v/>
      </c>
      <c r="AB65" s="130">
        <f>IF($J65="","",IFERROR(INDEX(코드설정!$D$5:$D$24,MATCH($J65,코드설정!$C$5:$C$24,0)),""))</f>
        <v/>
      </c>
      <c r="AC65" s="36" t="n"/>
      <c r="AD65" s="37" t="n"/>
      <c r="AE65" s="38" t="n"/>
      <c r="AF65" s="118">
        <f>IF(OR($B65="",$C65=""),"",$C65-$B65+1)</f>
        <v/>
      </c>
      <c r="AG65" s="74" t="n"/>
      <c r="AH65" s="36" t="n"/>
      <c r="AJ65">
        <f>IF($K65="","",", "&amp;$K65)</f>
        <v/>
      </c>
      <c r="AK65">
        <f>AJ65&amp;IF($L65="","",", "&amp;$L65)</f>
        <v/>
      </c>
      <c r="AL65">
        <f>AK65&amp;IF($M65="","",", "&amp;$M65)</f>
        <v/>
      </c>
      <c r="AM65">
        <f>AL65&amp;IF($N65="","",", "&amp;$N65)</f>
        <v/>
      </c>
      <c r="AN65">
        <f>AM65&amp;IF($O65="","",", "&amp;$O65)</f>
        <v/>
      </c>
      <c r="AO65">
        <f>AN65&amp;IF($P65="","",", "&amp;$P65)</f>
        <v/>
      </c>
      <c r="AP65">
        <f>AO65&amp;IF($Q65="","",", "&amp;$Q65)</f>
        <v/>
      </c>
      <c r="AQ65">
        <f>AP65&amp;IF($R65="","",", "&amp;$R65)</f>
        <v/>
      </c>
      <c r="AR65">
        <f>AQ65&amp;IF($S65="","",", "&amp;$S65)</f>
        <v/>
      </c>
      <c r="AS65">
        <f>AR65&amp;IF($T65="","",", "&amp;$T65)</f>
        <v/>
      </c>
      <c r="AT65">
        <f>AS65&amp;IF($U65="","",", "&amp;$U65)</f>
        <v/>
      </c>
      <c r="AU65">
        <f>AT65&amp;IF($V65="","",", "&amp;$V65)</f>
        <v/>
      </c>
      <c r="AV65">
        <f>AU65&amp;IF($W65="","",", "&amp;$W65)</f>
        <v/>
      </c>
      <c r="AW65">
        <f>AV65&amp;IF($X65="","",", "&amp;$X65)</f>
        <v/>
      </c>
      <c r="AX65">
        <f>AW65&amp;IF($Y65="","",", "&amp;$Y65)</f>
        <v/>
      </c>
    </row>
    <row r="66">
      <c r="A66" s="118">
        <f>IF($B66="","",COUNT($B$5:$B66))</f>
        <v/>
      </c>
      <c r="B66" s="80" t="n"/>
      <c r="C66" s="80" t="n"/>
      <c r="D66" s="74" t="n"/>
      <c r="E66" s="74" t="n"/>
      <c r="F66" s="74" t="n"/>
      <c r="G66" s="118">
        <f>IF($F66="","",COUNTIF($F$5:$F66,$F66))</f>
        <v/>
      </c>
      <c r="H66" s="33">
        <f>IF($F66="","",IFERROR(INDEX(사건마스터!$B$5:$B$64,MATCH($F66,사건마스터!$A$5:$A$64,0)),""))</f>
        <v/>
      </c>
      <c r="I66" s="130">
        <f>IF($F66="","",IFERROR(INDEX(사건마스터!$C$5:$C$64,MATCH($F66,사건마스터!$A$5:$A$64,0)),""))</f>
        <v/>
      </c>
      <c r="J66" s="136">
        <f>IF($F66="","",IFERROR(INDEX(사건마스터!$H$5:$H$64,MATCH($F66,사건마스터!$A$5:$A$64,0)),""))</f>
        <v/>
      </c>
      <c r="K66" s="136">
        <f>IF($F66="","",IFERROR(INDEX(사건마스터!$AH$5:$AH$64,MATCH($F66,사건마스터!$A$5:$A$64,0)),""))</f>
        <v/>
      </c>
      <c r="L66" s="136">
        <f>IF($F66="","",IFERROR(INDEX(사건마스터!$AI$5:$AI$64,MATCH($F66,사건마스터!$A$5:$A$64,0)),""))</f>
        <v/>
      </c>
      <c r="M66" s="136">
        <f>IF($F66="","",IFERROR(INDEX(사건마스터!$AJ$5:$AJ$64,MATCH($F66,사건마스터!$A$5:$A$64,0)),""))</f>
        <v/>
      </c>
      <c r="N66" s="136">
        <f>IF($F66="","",IFERROR(INDEX(사건마스터!$AK$5:$AK$64,MATCH($F66,사건마스터!$A$5:$A$64,0)),""))</f>
        <v/>
      </c>
      <c r="O66" s="136">
        <f>IF($F66="","",IFERROR(INDEX(사건마스터!$AL$5:$AL$64,MATCH($F66,사건마스터!$A$5:$A$64,0)),""))</f>
        <v/>
      </c>
      <c r="P66" s="136">
        <f>IF($F66="","",IFERROR(INDEX(사건마스터!$AM$5:$AM$64,MATCH($F66,사건마스터!$A$5:$A$64,0)),""))</f>
        <v/>
      </c>
      <c r="Q66" s="136">
        <f>IF($F66="","",IFERROR(INDEX(사건마스터!$AN$5:$AN$64,MATCH($F66,사건마스터!$A$5:$A$64,0)),""))</f>
        <v/>
      </c>
      <c r="R66" s="136">
        <f>IF($F66="","",IFERROR(INDEX(사건마스터!$AO$5:$AO$64,MATCH($F66,사건마스터!$A$5:$A$64,0)),""))</f>
        <v/>
      </c>
      <c r="S66" s="136">
        <f>IF($F66="","",IFERROR(INDEX(사건마스터!$AP$5:$AP$64,MATCH($F66,사건마스터!$A$5:$A$64,0)),""))</f>
        <v/>
      </c>
      <c r="T66" s="136">
        <f>IF($F66="","",IFERROR(INDEX(사건마스터!$AQ$5:$AQ$64,MATCH($F66,사건마스터!$A$5:$A$64,0)),""))</f>
        <v/>
      </c>
      <c r="U66" s="136">
        <f>IF($F66="","",IFERROR(INDEX(사건마스터!$AR$5:$AR$64,MATCH($F66,사건마스터!$A$5:$A$64,0)),""))</f>
        <v/>
      </c>
      <c r="V66" s="136">
        <f>IF($F66="","",IFERROR(INDEX(사건마스터!$AS$5:$AS$64,MATCH($F66,사건마스터!$A$5:$A$64,0)),""))</f>
        <v/>
      </c>
      <c r="W66" s="136">
        <f>IF($F66="","",IFERROR(INDEX(사건마스터!$AT$5:$AT$64,MATCH($F66,사건마스터!$A$5:$A$64,0)),""))</f>
        <v/>
      </c>
      <c r="X66" s="136">
        <f>IF($F66="","",IFERROR(INDEX(사건마스터!$AU$5:$AU$64,MATCH($F66,사건마스터!$A$5:$A$64,0)),""))</f>
        <v/>
      </c>
      <c r="Y66" s="136">
        <f>IF($F66="","",IFERROR(INDEX(사건마스터!$AV$5:$AV$64,MATCH($F66,사건마스터!$A$5:$A$64,0)),""))</f>
        <v/>
      </c>
      <c r="Z66" s="118">
        <f>IF(COUNTBLANK($J66:$Y66)=16,"",16-COUNTBLANK($J66:$Y66))</f>
        <v/>
      </c>
      <c r="AA66" s="33">
        <f>IF($J66="",MID($AX66,3,255),$J66&amp;$AX66)</f>
        <v/>
      </c>
      <c r="AB66" s="130">
        <f>IF($J66="","",IFERROR(INDEX(코드설정!$D$5:$D$24,MATCH($J66,코드설정!$C$5:$C$24,0)),""))</f>
        <v/>
      </c>
      <c r="AC66" s="36" t="n"/>
      <c r="AD66" s="37" t="n"/>
      <c r="AE66" s="38" t="n"/>
      <c r="AF66" s="118">
        <f>IF(OR($B66="",$C66=""),"",$C66-$B66+1)</f>
        <v/>
      </c>
      <c r="AG66" s="74" t="n"/>
      <c r="AH66" s="36" t="n"/>
      <c r="AJ66">
        <f>IF($K66="","",", "&amp;$K66)</f>
        <v/>
      </c>
      <c r="AK66">
        <f>AJ66&amp;IF($L66="","",", "&amp;$L66)</f>
        <v/>
      </c>
      <c r="AL66">
        <f>AK66&amp;IF($M66="","",", "&amp;$M66)</f>
        <v/>
      </c>
      <c r="AM66">
        <f>AL66&amp;IF($N66="","",", "&amp;$N66)</f>
        <v/>
      </c>
      <c r="AN66">
        <f>AM66&amp;IF($O66="","",", "&amp;$O66)</f>
        <v/>
      </c>
      <c r="AO66">
        <f>AN66&amp;IF($P66="","",", "&amp;$P66)</f>
        <v/>
      </c>
      <c r="AP66">
        <f>AO66&amp;IF($Q66="","",", "&amp;$Q66)</f>
        <v/>
      </c>
      <c r="AQ66">
        <f>AP66&amp;IF($R66="","",", "&amp;$R66)</f>
        <v/>
      </c>
      <c r="AR66">
        <f>AQ66&amp;IF($S66="","",", "&amp;$S66)</f>
        <v/>
      </c>
      <c r="AS66">
        <f>AR66&amp;IF($T66="","",", "&amp;$T66)</f>
        <v/>
      </c>
      <c r="AT66">
        <f>AS66&amp;IF($U66="","",", "&amp;$U66)</f>
        <v/>
      </c>
      <c r="AU66">
        <f>AT66&amp;IF($V66="","",", "&amp;$V66)</f>
        <v/>
      </c>
      <c r="AV66">
        <f>AU66&amp;IF($W66="","",", "&amp;$W66)</f>
        <v/>
      </c>
      <c r="AW66">
        <f>AV66&amp;IF($X66="","",", "&amp;$X66)</f>
        <v/>
      </c>
      <c r="AX66">
        <f>AW66&amp;IF($Y66="","",", "&amp;$Y66)</f>
        <v/>
      </c>
    </row>
    <row r="67">
      <c r="A67" s="118">
        <f>IF($B67="","",COUNT($B$5:$B67))</f>
        <v/>
      </c>
      <c r="B67" s="80" t="n"/>
      <c r="C67" s="80" t="n"/>
      <c r="D67" s="74" t="n"/>
      <c r="E67" s="74" t="n"/>
      <c r="F67" s="74" t="n"/>
      <c r="G67" s="118">
        <f>IF($F67="","",COUNTIF($F$5:$F67,$F67))</f>
        <v/>
      </c>
      <c r="H67" s="33">
        <f>IF($F67="","",IFERROR(INDEX(사건마스터!$B$5:$B$64,MATCH($F67,사건마스터!$A$5:$A$64,0)),""))</f>
        <v/>
      </c>
      <c r="I67" s="130">
        <f>IF($F67="","",IFERROR(INDEX(사건마스터!$C$5:$C$64,MATCH($F67,사건마스터!$A$5:$A$64,0)),""))</f>
        <v/>
      </c>
      <c r="J67" s="136">
        <f>IF($F67="","",IFERROR(INDEX(사건마스터!$H$5:$H$64,MATCH($F67,사건마스터!$A$5:$A$64,0)),""))</f>
        <v/>
      </c>
      <c r="K67" s="136">
        <f>IF($F67="","",IFERROR(INDEX(사건마스터!$AH$5:$AH$64,MATCH($F67,사건마스터!$A$5:$A$64,0)),""))</f>
        <v/>
      </c>
      <c r="L67" s="136">
        <f>IF($F67="","",IFERROR(INDEX(사건마스터!$AI$5:$AI$64,MATCH($F67,사건마스터!$A$5:$A$64,0)),""))</f>
        <v/>
      </c>
      <c r="M67" s="136">
        <f>IF($F67="","",IFERROR(INDEX(사건마스터!$AJ$5:$AJ$64,MATCH($F67,사건마스터!$A$5:$A$64,0)),""))</f>
        <v/>
      </c>
      <c r="N67" s="136">
        <f>IF($F67="","",IFERROR(INDEX(사건마스터!$AK$5:$AK$64,MATCH($F67,사건마스터!$A$5:$A$64,0)),""))</f>
        <v/>
      </c>
      <c r="O67" s="136">
        <f>IF($F67="","",IFERROR(INDEX(사건마스터!$AL$5:$AL$64,MATCH($F67,사건마스터!$A$5:$A$64,0)),""))</f>
        <v/>
      </c>
      <c r="P67" s="136">
        <f>IF($F67="","",IFERROR(INDEX(사건마스터!$AM$5:$AM$64,MATCH($F67,사건마스터!$A$5:$A$64,0)),""))</f>
        <v/>
      </c>
      <c r="Q67" s="136">
        <f>IF($F67="","",IFERROR(INDEX(사건마스터!$AN$5:$AN$64,MATCH($F67,사건마스터!$A$5:$A$64,0)),""))</f>
        <v/>
      </c>
      <c r="R67" s="136">
        <f>IF($F67="","",IFERROR(INDEX(사건마스터!$AO$5:$AO$64,MATCH($F67,사건마스터!$A$5:$A$64,0)),""))</f>
        <v/>
      </c>
      <c r="S67" s="136">
        <f>IF($F67="","",IFERROR(INDEX(사건마스터!$AP$5:$AP$64,MATCH($F67,사건마스터!$A$5:$A$64,0)),""))</f>
        <v/>
      </c>
      <c r="T67" s="136">
        <f>IF($F67="","",IFERROR(INDEX(사건마스터!$AQ$5:$AQ$64,MATCH($F67,사건마스터!$A$5:$A$64,0)),""))</f>
        <v/>
      </c>
      <c r="U67" s="136">
        <f>IF($F67="","",IFERROR(INDEX(사건마스터!$AR$5:$AR$64,MATCH($F67,사건마스터!$A$5:$A$64,0)),""))</f>
        <v/>
      </c>
      <c r="V67" s="136">
        <f>IF($F67="","",IFERROR(INDEX(사건마스터!$AS$5:$AS$64,MATCH($F67,사건마스터!$A$5:$A$64,0)),""))</f>
        <v/>
      </c>
      <c r="W67" s="136">
        <f>IF($F67="","",IFERROR(INDEX(사건마스터!$AT$5:$AT$64,MATCH($F67,사건마스터!$A$5:$A$64,0)),""))</f>
        <v/>
      </c>
      <c r="X67" s="136">
        <f>IF($F67="","",IFERROR(INDEX(사건마스터!$AU$5:$AU$64,MATCH($F67,사건마스터!$A$5:$A$64,0)),""))</f>
        <v/>
      </c>
      <c r="Y67" s="136">
        <f>IF($F67="","",IFERROR(INDEX(사건마스터!$AV$5:$AV$64,MATCH($F67,사건마스터!$A$5:$A$64,0)),""))</f>
        <v/>
      </c>
      <c r="Z67" s="118">
        <f>IF(COUNTBLANK($J67:$Y67)=16,"",16-COUNTBLANK($J67:$Y67))</f>
        <v/>
      </c>
      <c r="AA67" s="33">
        <f>IF($J67="",MID($AX67,3,255),$J67&amp;$AX67)</f>
        <v/>
      </c>
      <c r="AB67" s="130">
        <f>IF($J67="","",IFERROR(INDEX(코드설정!$D$5:$D$24,MATCH($J67,코드설정!$C$5:$C$24,0)),""))</f>
        <v/>
      </c>
      <c r="AC67" s="36" t="n"/>
      <c r="AD67" s="37" t="n"/>
      <c r="AE67" s="38" t="n"/>
      <c r="AF67" s="118">
        <f>IF(OR($B67="",$C67=""),"",$C67-$B67+1)</f>
        <v/>
      </c>
      <c r="AG67" s="74" t="n"/>
      <c r="AH67" s="36" t="n"/>
      <c r="AJ67">
        <f>IF($K67="","",", "&amp;$K67)</f>
        <v/>
      </c>
      <c r="AK67">
        <f>AJ67&amp;IF($L67="","",", "&amp;$L67)</f>
        <v/>
      </c>
      <c r="AL67">
        <f>AK67&amp;IF($M67="","",", "&amp;$M67)</f>
        <v/>
      </c>
      <c r="AM67">
        <f>AL67&amp;IF($N67="","",", "&amp;$N67)</f>
        <v/>
      </c>
      <c r="AN67">
        <f>AM67&amp;IF($O67="","",", "&amp;$O67)</f>
        <v/>
      </c>
      <c r="AO67">
        <f>AN67&amp;IF($P67="","",", "&amp;$P67)</f>
        <v/>
      </c>
      <c r="AP67">
        <f>AO67&amp;IF($Q67="","",", "&amp;$Q67)</f>
        <v/>
      </c>
      <c r="AQ67">
        <f>AP67&amp;IF($R67="","",", "&amp;$R67)</f>
        <v/>
      </c>
      <c r="AR67">
        <f>AQ67&amp;IF($S67="","",", "&amp;$S67)</f>
        <v/>
      </c>
      <c r="AS67">
        <f>AR67&amp;IF($T67="","",", "&amp;$T67)</f>
        <v/>
      </c>
      <c r="AT67">
        <f>AS67&amp;IF($U67="","",", "&amp;$U67)</f>
        <v/>
      </c>
      <c r="AU67">
        <f>AT67&amp;IF($V67="","",", "&amp;$V67)</f>
        <v/>
      </c>
      <c r="AV67">
        <f>AU67&amp;IF($W67="","",", "&amp;$W67)</f>
        <v/>
      </c>
      <c r="AW67">
        <f>AV67&amp;IF($X67="","",", "&amp;$X67)</f>
        <v/>
      </c>
      <c r="AX67">
        <f>AW67&amp;IF($Y67="","",", "&amp;$Y67)</f>
        <v/>
      </c>
    </row>
    <row r="68">
      <c r="A68" s="118">
        <f>IF($B68="","",COUNT($B$5:$B68))</f>
        <v/>
      </c>
      <c r="B68" s="80" t="n"/>
      <c r="C68" s="80" t="n"/>
      <c r="D68" s="74" t="n"/>
      <c r="E68" s="74" t="n"/>
      <c r="F68" s="74" t="n"/>
      <c r="G68" s="118">
        <f>IF($F68="","",COUNTIF($F$5:$F68,$F68))</f>
        <v/>
      </c>
      <c r="H68" s="33">
        <f>IF($F68="","",IFERROR(INDEX(사건마스터!$B$5:$B$64,MATCH($F68,사건마스터!$A$5:$A$64,0)),""))</f>
        <v/>
      </c>
      <c r="I68" s="130">
        <f>IF($F68="","",IFERROR(INDEX(사건마스터!$C$5:$C$64,MATCH($F68,사건마스터!$A$5:$A$64,0)),""))</f>
        <v/>
      </c>
      <c r="J68" s="136">
        <f>IF($F68="","",IFERROR(INDEX(사건마스터!$H$5:$H$64,MATCH($F68,사건마스터!$A$5:$A$64,0)),""))</f>
        <v/>
      </c>
      <c r="K68" s="136">
        <f>IF($F68="","",IFERROR(INDEX(사건마스터!$AH$5:$AH$64,MATCH($F68,사건마스터!$A$5:$A$64,0)),""))</f>
        <v/>
      </c>
      <c r="L68" s="136">
        <f>IF($F68="","",IFERROR(INDEX(사건마스터!$AI$5:$AI$64,MATCH($F68,사건마스터!$A$5:$A$64,0)),""))</f>
        <v/>
      </c>
      <c r="M68" s="136">
        <f>IF($F68="","",IFERROR(INDEX(사건마스터!$AJ$5:$AJ$64,MATCH($F68,사건마스터!$A$5:$A$64,0)),""))</f>
        <v/>
      </c>
      <c r="N68" s="136">
        <f>IF($F68="","",IFERROR(INDEX(사건마스터!$AK$5:$AK$64,MATCH($F68,사건마스터!$A$5:$A$64,0)),""))</f>
        <v/>
      </c>
      <c r="O68" s="136">
        <f>IF($F68="","",IFERROR(INDEX(사건마스터!$AL$5:$AL$64,MATCH($F68,사건마스터!$A$5:$A$64,0)),""))</f>
        <v/>
      </c>
      <c r="P68" s="136">
        <f>IF($F68="","",IFERROR(INDEX(사건마스터!$AM$5:$AM$64,MATCH($F68,사건마스터!$A$5:$A$64,0)),""))</f>
        <v/>
      </c>
      <c r="Q68" s="136">
        <f>IF($F68="","",IFERROR(INDEX(사건마스터!$AN$5:$AN$64,MATCH($F68,사건마스터!$A$5:$A$64,0)),""))</f>
        <v/>
      </c>
      <c r="R68" s="136">
        <f>IF($F68="","",IFERROR(INDEX(사건마스터!$AO$5:$AO$64,MATCH($F68,사건마스터!$A$5:$A$64,0)),""))</f>
        <v/>
      </c>
      <c r="S68" s="136">
        <f>IF($F68="","",IFERROR(INDEX(사건마스터!$AP$5:$AP$64,MATCH($F68,사건마스터!$A$5:$A$64,0)),""))</f>
        <v/>
      </c>
      <c r="T68" s="136">
        <f>IF($F68="","",IFERROR(INDEX(사건마스터!$AQ$5:$AQ$64,MATCH($F68,사건마스터!$A$5:$A$64,0)),""))</f>
        <v/>
      </c>
      <c r="U68" s="136">
        <f>IF($F68="","",IFERROR(INDEX(사건마스터!$AR$5:$AR$64,MATCH($F68,사건마스터!$A$5:$A$64,0)),""))</f>
        <v/>
      </c>
      <c r="V68" s="136">
        <f>IF($F68="","",IFERROR(INDEX(사건마스터!$AS$5:$AS$64,MATCH($F68,사건마스터!$A$5:$A$64,0)),""))</f>
        <v/>
      </c>
      <c r="W68" s="136">
        <f>IF($F68="","",IFERROR(INDEX(사건마스터!$AT$5:$AT$64,MATCH($F68,사건마스터!$A$5:$A$64,0)),""))</f>
        <v/>
      </c>
      <c r="X68" s="136">
        <f>IF($F68="","",IFERROR(INDEX(사건마스터!$AU$5:$AU$64,MATCH($F68,사건마스터!$A$5:$A$64,0)),""))</f>
        <v/>
      </c>
      <c r="Y68" s="136">
        <f>IF($F68="","",IFERROR(INDEX(사건마스터!$AV$5:$AV$64,MATCH($F68,사건마스터!$A$5:$A$64,0)),""))</f>
        <v/>
      </c>
      <c r="Z68" s="118">
        <f>IF(COUNTBLANK($J68:$Y68)=16,"",16-COUNTBLANK($J68:$Y68))</f>
        <v/>
      </c>
      <c r="AA68" s="33">
        <f>IF($J68="",MID($AX68,3,255),$J68&amp;$AX68)</f>
        <v/>
      </c>
      <c r="AB68" s="130">
        <f>IF($J68="","",IFERROR(INDEX(코드설정!$D$5:$D$24,MATCH($J68,코드설정!$C$5:$C$24,0)),""))</f>
        <v/>
      </c>
      <c r="AC68" s="36" t="n"/>
      <c r="AD68" s="37" t="n"/>
      <c r="AE68" s="38" t="n"/>
      <c r="AF68" s="118">
        <f>IF(OR($B68="",$C68=""),"",$C68-$B68+1)</f>
        <v/>
      </c>
      <c r="AG68" s="74" t="n"/>
      <c r="AH68" s="36" t="n"/>
      <c r="AJ68">
        <f>IF($K68="","",", "&amp;$K68)</f>
        <v/>
      </c>
      <c r="AK68">
        <f>AJ68&amp;IF($L68="","",", "&amp;$L68)</f>
        <v/>
      </c>
      <c r="AL68">
        <f>AK68&amp;IF($M68="","",", "&amp;$M68)</f>
        <v/>
      </c>
      <c r="AM68">
        <f>AL68&amp;IF($N68="","",", "&amp;$N68)</f>
        <v/>
      </c>
      <c r="AN68">
        <f>AM68&amp;IF($O68="","",", "&amp;$O68)</f>
        <v/>
      </c>
      <c r="AO68">
        <f>AN68&amp;IF($P68="","",", "&amp;$P68)</f>
        <v/>
      </c>
      <c r="AP68">
        <f>AO68&amp;IF($Q68="","",", "&amp;$Q68)</f>
        <v/>
      </c>
      <c r="AQ68">
        <f>AP68&amp;IF($R68="","",", "&amp;$R68)</f>
        <v/>
      </c>
      <c r="AR68">
        <f>AQ68&amp;IF($S68="","",", "&amp;$S68)</f>
        <v/>
      </c>
      <c r="AS68">
        <f>AR68&amp;IF($T68="","",", "&amp;$T68)</f>
        <v/>
      </c>
      <c r="AT68">
        <f>AS68&amp;IF($U68="","",", "&amp;$U68)</f>
        <v/>
      </c>
      <c r="AU68">
        <f>AT68&amp;IF($V68="","",", "&amp;$V68)</f>
        <v/>
      </c>
      <c r="AV68">
        <f>AU68&amp;IF($W68="","",", "&amp;$W68)</f>
        <v/>
      </c>
      <c r="AW68">
        <f>AV68&amp;IF($X68="","",", "&amp;$X68)</f>
        <v/>
      </c>
      <c r="AX68">
        <f>AW68&amp;IF($Y68="","",", "&amp;$Y68)</f>
        <v/>
      </c>
    </row>
    <row r="69">
      <c r="A69" s="118">
        <f>IF($B69="","",COUNT($B$5:$B69))</f>
        <v/>
      </c>
      <c r="B69" s="80" t="n"/>
      <c r="C69" s="80" t="n"/>
      <c r="D69" s="74" t="n"/>
      <c r="E69" s="74" t="n"/>
      <c r="F69" s="74" t="n"/>
      <c r="G69" s="118">
        <f>IF($F69="","",COUNTIF($F$5:$F69,$F69))</f>
        <v/>
      </c>
      <c r="H69" s="33">
        <f>IF($F69="","",IFERROR(INDEX(사건마스터!$B$5:$B$64,MATCH($F69,사건마스터!$A$5:$A$64,0)),""))</f>
        <v/>
      </c>
      <c r="I69" s="130">
        <f>IF($F69="","",IFERROR(INDEX(사건마스터!$C$5:$C$64,MATCH($F69,사건마스터!$A$5:$A$64,0)),""))</f>
        <v/>
      </c>
      <c r="J69" s="136">
        <f>IF($F69="","",IFERROR(INDEX(사건마스터!$H$5:$H$64,MATCH($F69,사건마스터!$A$5:$A$64,0)),""))</f>
        <v/>
      </c>
      <c r="K69" s="136">
        <f>IF($F69="","",IFERROR(INDEX(사건마스터!$AH$5:$AH$64,MATCH($F69,사건마스터!$A$5:$A$64,0)),""))</f>
        <v/>
      </c>
      <c r="L69" s="136">
        <f>IF($F69="","",IFERROR(INDEX(사건마스터!$AI$5:$AI$64,MATCH($F69,사건마스터!$A$5:$A$64,0)),""))</f>
        <v/>
      </c>
      <c r="M69" s="136">
        <f>IF($F69="","",IFERROR(INDEX(사건마스터!$AJ$5:$AJ$64,MATCH($F69,사건마스터!$A$5:$A$64,0)),""))</f>
        <v/>
      </c>
      <c r="N69" s="136">
        <f>IF($F69="","",IFERROR(INDEX(사건마스터!$AK$5:$AK$64,MATCH($F69,사건마스터!$A$5:$A$64,0)),""))</f>
        <v/>
      </c>
      <c r="O69" s="136">
        <f>IF($F69="","",IFERROR(INDEX(사건마스터!$AL$5:$AL$64,MATCH($F69,사건마스터!$A$5:$A$64,0)),""))</f>
        <v/>
      </c>
      <c r="P69" s="136">
        <f>IF($F69="","",IFERROR(INDEX(사건마스터!$AM$5:$AM$64,MATCH($F69,사건마스터!$A$5:$A$64,0)),""))</f>
        <v/>
      </c>
      <c r="Q69" s="136">
        <f>IF($F69="","",IFERROR(INDEX(사건마스터!$AN$5:$AN$64,MATCH($F69,사건마스터!$A$5:$A$64,0)),""))</f>
        <v/>
      </c>
      <c r="R69" s="136">
        <f>IF($F69="","",IFERROR(INDEX(사건마스터!$AO$5:$AO$64,MATCH($F69,사건마스터!$A$5:$A$64,0)),""))</f>
        <v/>
      </c>
      <c r="S69" s="136">
        <f>IF($F69="","",IFERROR(INDEX(사건마스터!$AP$5:$AP$64,MATCH($F69,사건마스터!$A$5:$A$64,0)),""))</f>
        <v/>
      </c>
      <c r="T69" s="136">
        <f>IF($F69="","",IFERROR(INDEX(사건마스터!$AQ$5:$AQ$64,MATCH($F69,사건마스터!$A$5:$A$64,0)),""))</f>
        <v/>
      </c>
      <c r="U69" s="136">
        <f>IF($F69="","",IFERROR(INDEX(사건마스터!$AR$5:$AR$64,MATCH($F69,사건마스터!$A$5:$A$64,0)),""))</f>
        <v/>
      </c>
      <c r="V69" s="136">
        <f>IF($F69="","",IFERROR(INDEX(사건마스터!$AS$5:$AS$64,MATCH($F69,사건마스터!$A$5:$A$64,0)),""))</f>
        <v/>
      </c>
      <c r="W69" s="136">
        <f>IF($F69="","",IFERROR(INDEX(사건마스터!$AT$5:$AT$64,MATCH($F69,사건마스터!$A$5:$A$64,0)),""))</f>
        <v/>
      </c>
      <c r="X69" s="136">
        <f>IF($F69="","",IFERROR(INDEX(사건마스터!$AU$5:$AU$64,MATCH($F69,사건마스터!$A$5:$A$64,0)),""))</f>
        <v/>
      </c>
      <c r="Y69" s="136">
        <f>IF($F69="","",IFERROR(INDEX(사건마스터!$AV$5:$AV$64,MATCH($F69,사건마스터!$A$5:$A$64,0)),""))</f>
        <v/>
      </c>
      <c r="Z69" s="118">
        <f>IF(COUNTBLANK($J69:$Y69)=16,"",16-COUNTBLANK($J69:$Y69))</f>
        <v/>
      </c>
      <c r="AA69" s="33">
        <f>IF($J69="",MID($AX69,3,255),$J69&amp;$AX69)</f>
        <v/>
      </c>
      <c r="AB69" s="130">
        <f>IF($J69="","",IFERROR(INDEX(코드설정!$D$5:$D$24,MATCH($J69,코드설정!$C$5:$C$24,0)),""))</f>
        <v/>
      </c>
      <c r="AC69" s="36" t="n"/>
      <c r="AD69" s="37" t="n"/>
      <c r="AE69" s="38" t="n"/>
      <c r="AF69" s="118">
        <f>IF(OR($B69="",$C69=""),"",$C69-$B69+1)</f>
        <v/>
      </c>
      <c r="AG69" s="74" t="n"/>
      <c r="AH69" s="36" t="n"/>
      <c r="AJ69">
        <f>IF($K69="","",", "&amp;$K69)</f>
        <v/>
      </c>
      <c r="AK69">
        <f>AJ69&amp;IF($L69="","",", "&amp;$L69)</f>
        <v/>
      </c>
      <c r="AL69">
        <f>AK69&amp;IF($M69="","",", "&amp;$M69)</f>
        <v/>
      </c>
      <c r="AM69">
        <f>AL69&amp;IF($N69="","",", "&amp;$N69)</f>
        <v/>
      </c>
      <c r="AN69">
        <f>AM69&amp;IF($O69="","",", "&amp;$O69)</f>
        <v/>
      </c>
      <c r="AO69">
        <f>AN69&amp;IF($P69="","",", "&amp;$P69)</f>
        <v/>
      </c>
      <c r="AP69">
        <f>AO69&amp;IF($Q69="","",", "&amp;$Q69)</f>
        <v/>
      </c>
      <c r="AQ69">
        <f>AP69&amp;IF($R69="","",", "&amp;$R69)</f>
        <v/>
      </c>
      <c r="AR69">
        <f>AQ69&amp;IF($S69="","",", "&amp;$S69)</f>
        <v/>
      </c>
      <c r="AS69">
        <f>AR69&amp;IF($T69="","",", "&amp;$T69)</f>
        <v/>
      </c>
      <c r="AT69">
        <f>AS69&amp;IF($U69="","",", "&amp;$U69)</f>
        <v/>
      </c>
      <c r="AU69">
        <f>AT69&amp;IF($V69="","",", "&amp;$V69)</f>
        <v/>
      </c>
      <c r="AV69">
        <f>AU69&amp;IF($W69="","",", "&amp;$W69)</f>
        <v/>
      </c>
      <c r="AW69">
        <f>AV69&amp;IF($X69="","",", "&amp;$X69)</f>
        <v/>
      </c>
      <c r="AX69">
        <f>AW69&amp;IF($Y69="","",", "&amp;$Y69)</f>
        <v/>
      </c>
    </row>
    <row r="70">
      <c r="A70" s="118">
        <f>IF($B70="","",COUNT($B$5:$B70))</f>
        <v/>
      </c>
      <c r="B70" s="80" t="n"/>
      <c r="C70" s="80" t="n"/>
      <c r="D70" s="74" t="n"/>
      <c r="E70" s="74" t="n"/>
      <c r="F70" s="74" t="n"/>
      <c r="G70" s="118">
        <f>IF($F70="","",COUNTIF($F$5:$F70,$F70))</f>
        <v/>
      </c>
      <c r="H70" s="33">
        <f>IF($F70="","",IFERROR(INDEX(사건마스터!$B$5:$B$64,MATCH($F70,사건마스터!$A$5:$A$64,0)),""))</f>
        <v/>
      </c>
      <c r="I70" s="130">
        <f>IF($F70="","",IFERROR(INDEX(사건마스터!$C$5:$C$64,MATCH($F70,사건마스터!$A$5:$A$64,0)),""))</f>
        <v/>
      </c>
      <c r="J70" s="136">
        <f>IF($F70="","",IFERROR(INDEX(사건마스터!$H$5:$H$64,MATCH($F70,사건마스터!$A$5:$A$64,0)),""))</f>
        <v/>
      </c>
      <c r="K70" s="136">
        <f>IF($F70="","",IFERROR(INDEX(사건마스터!$AH$5:$AH$64,MATCH($F70,사건마스터!$A$5:$A$64,0)),""))</f>
        <v/>
      </c>
      <c r="L70" s="136">
        <f>IF($F70="","",IFERROR(INDEX(사건마스터!$AI$5:$AI$64,MATCH($F70,사건마스터!$A$5:$A$64,0)),""))</f>
        <v/>
      </c>
      <c r="M70" s="136">
        <f>IF($F70="","",IFERROR(INDEX(사건마스터!$AJ$5:$AJ$64,MATCH($F70,사건마스터!$A$5:$A$64,0)),""))</f>
        <v/>
      </c>
      <c r="N70" s="136">
        <f>IF($F70="","",IFERROR(INDEX(사건마스터!$AK$5:$AK$64,MATCH($F70,사건마스터!$A$5:$A$64,0)),""))</f>
        <v/>
      </c>
      <c r="O70" s="136">
        <f>IF($F70="","",IFERROR(INDEX(사건마스터!$AL$5:$AL$64,MATCH($F70,사건마스터!$A$5:$A$64,0)),""))</f>
        <v/>
      </c>
      <c r="P70" s="136">
        <f>IF($F70="","",IFERROR(INDEX(사건마스터!$AM$5:$AM$64,MATCH($F70,사건마스터!$A$5:$A$64,0)),""))</f>
        <v/>
      </c>
      <c r="Q70" s="136">
        <f>IF($F70="","",IFERROR(INDEX(사건마스터!$AN$5:$AN$64,MATCH($F70,사건마스터!$A$5:$A$64,0)),""))</f>
        <v/>
      </c>
      <c r="R70" s="136">
        <f>IF($F70="","",IFERROR(INDEX(사건마스터!$AO$5:$AO$64,MATCH($F70,사건마스터!$A$5:$A$64,0)),""))</f>
        <v/>
      </c>
      <c r="S70" s="136">
        <f>IF($F70="","",IFERROR(INDEX(사건마스터!$AP$5:$AP$64,MATCH($F70,사건마스터!$A$5:$A$64,0)),""))</f>
        <v/>
      </c>
      <c r="T70" s="136">
        <f>IF($F70="","",IFERROR(INDEX(사건마스터!$AQ$5:$AQ$64,MATCH($F70,사건마스터!$A$5:$A$64,0)),""))</f>
        <v/>
      </c>
      <c r="U70" s="136">
        <f>IF($F70="","",IFERROR(INDEX(사건마스터!$AR$5:$AR$64,MATCH($F70,사건마스터!$A$5:$A$64,0)),""))</f>
        <v/>
      </c>
      <c r="V70" s="136">
        <f>IF($F70="","",IFERROR(INDEX(사건마스터!$AS$5:$AS$64,MATCH($F70,사건마스터!$A$5:$A$64,0)),""))</f>
        <v/>
      </c>
      <c r="W70" s="136">
        <f>IF($F70="","",IFERROR(INDEX(사건마스터!$AT$5:$AT$64,MATCH($F70,사건마스터!$A$5:$A$64,0)),""))</f>
        <v/>
      </c>
      <c r="X70" s="136">
        <f>IF($F70="","",IFERROR(INDEX(사건마스터!$AU$5:$AU$64,MATCH($F70,사건마스터!$A$5:$A$64,0)),""))</f>
        <v/>
      </c>
      <c r="Y70" s="136">
        <f>IF($F70="","",IFERROR(INDEX(사건마스터!$AV$5:$AV$64,MATCH($F70,사건마스터!$A$5:$A$64,0)),""))</f>
        <v/>
      </c>
      <c r="Z70" s="118">
        <f>IF(COUNTBLANK($J70:$Y70)=16,"",16-COUNTBLANK($J70:$Y70))</f>
        <v/>
      </c>
      <c r="AA70" s="33">
        <f>IF($J70="",MID($AX70,3,255),$J70&amp;$AX70)</f>
        <v/>
      </c>
      <c r="AB70" s="130">
        <f>IF($J70="","",IFERROR(INDEX(코드설정!$D$5:$D$24,MATCH($J70,코드설정!$C$5:$C$24,0)),""))</f>
        <v/>
      </c>
      <c r="AC70" s="36" t="n"/>
      <c r="AD70" s="37" t="n"/>
      <c r="AE70" s="38" t="n"/>
      <c r="AF70" s="118">
        <f>IF(OR($B70="",$C70=""),"",$C70-$B70+1)</f>
        <v/>
      </c>
      <c r="AG70" s="74" t="n"/>
      <c r="AH70" s="36" t="n"/>
      <c r="AJ70">
        <f>IF($K70="","",", "&amp;$K70)</f>
        <v/>
      </c>
      <c r="AK70">
        <f>AJ70&amp;IF($L70="","",", "&amp;$L70)</f>
        <v/>
      </c>
      <c r="AL70">
        <f>AK70&amp;IF($M70="","",", "&amp;$M70)</f>
        <v/>
      </c>
      <c r="AM70">
        <f>AL70&amp;IF($N70="","",", "&amp;$N70)</f>
        <v/>
      </c>
      <c r="AN70">
        <f>AM70&amp;IF($O70="","",", "&amp;$O70)</f>
        <v/>
      </c>
      <c r="AO70">
        <f>AN70&amp;IF($P70="","",", "&amp;$P70)</f>
        <v/>
      </c>
      <c r="AP70">
        <f>AO70&amp;IF($Q70="","",", "&amp;$Q70)</f>
        <v/>
      </c>
      <c r="AQ70">
        <f>AP70&amp;IF($R70="","",", "&amp;$R70)</f>
        <v/>
      </c>
      <c r="AR70">
        <f>AQ70&amp;IF($S70="","",", "&amp;$S70)</f>
        <v/>
      </c>
      <c r="AS70">
        <f>AR70&amp;IF($T70="","",", "&amp;$T70)</f>
        <v/>
      </c>
      <c r="AT70">
        <f>AS70&amp;IF($U70="","",", "&amp;$U70)</f>
        <v/>
      </c>
      <c r="AU70">
        <f>AT70&amp;IF($V70="","",", "&amp;$V70)</f>
        <v/>
      </c>
      <c r="AV70">
        <f>AU70&amp;IF($W70="","",", "&amp;$W70)</f>
        <v/>
      </c>
      <c r="AW70">
        <f>AV70&amp;IF($X70="","",", "&amp;$X70)</f>
        <v/>
      </c>
      <c r="AX70">
        <f>AW70&amp;IF($Y70="","",", "&amp;$Y70)</f>
        <v/>
      </c>
    </row>
    <row r="71">
      <c r="A71" s="118">
        <f>IF($B71="","",COUNT($B$5:$B71))</f>
        <v/>
      </c>
      <c r="B71" s="80" t="n"/>
      <c r="C71" s="80" t="n"/>
      <c r="D71" s="74" t="n"/>
      <c r="E71" s="74" t="n"/>
      <c r="F71" s="74" t="n"/>
      <c r="G71" s="118">
        <f>IF($F71="","",COUNTIF($F$5:$F71,$F71))</f>
        <v/>
      </c>
      <c r="H71" s="33">
        <f>IF($F71="","",IFERROR(INDEX(사건마스터!$B$5:$B$64,MATCH($F71,사건마스터!$A$5:$A$64,0)),""))</f>
        <v/>
      </c>
      <c r="I71" s="130">
        <f>IF($F71="","",IFERROR(INDEX(사건마스터!$C$5:$C$64,MATCH($F71,사건마스터!$A$5:$A$64,0)),""))</f>
        <v/>
      </c>
      <c r="J71" s="136">
        <f>IF($F71="","",IFERROR(INDEX(사건마스터!$H$5:$H$64,MATCH($F71,사건마스터!$A$5:$A$64,0)),""))</f>
        <v/>
      </c>
      <c r="K71" s="136">
        <f>IF($F71="","",IFERROR(INDEX(사건마스터!$AH$5:$AH$64,MATCH($F71,사건마스터!$A$5:$A$64,0)),""))</f>
        <v/>
      </c>
      <c r="L71" s="136">
        <f>IF($F71="","",IFERROR(INDEX(사건마스터!$AI$5:$AI$64,MATCH($F71,사건마스터!$A$5:$A$64,0)),""))</f>
        <v/>
      </c>
      <c r="M71" s="136">
        <f>IF($F71="","",IFERROR(INDEX(사건마스터!$AJ$5:$AJ$64,MATCH($F71,사건마스터!$A$5:$A$64,0)),""))</f>
        <v/>
      </c>
      <c r="N71" s="136">
        <f>IF($F71="","",IFERROR(INDEX(사건마스터!$AK$5:$AK$64,MATCH($F71,사건마스터!$A$5:$A$64,0)),""))</f>
        <v/>
      </c>
      <c r="O71" s="136">
        <f>IF($F71="","",IFERROR(INDEX(사건마스터!$AL$5:$AL$64,MATCH($F71,사건마스터!$A$5:$A$64,0)),""))</f>
        <v/>
      </c>
      <c r="P71" s="136">
        <f>IF($F71="","",IFERROR(INDEX(사건마스터!$AM$5:$AM$64,MATCH($F71,사건마스터!$A$5:$A$64,0)),""))</f>
        <v/>
      </c>
      <c r="Q71" s="136">
        <f>IF($F71="","",IFERROR(INDEX(사건마스터!$AN$5:$AN$64,MATCH($F71,사건마스터!$A$5:$A$64,0)),""))</f>
        <v/>
      </c>
      <c r="R71" s="136">
        <f>IF($F71="","",IFERROR(INDEX(사건마스터!$AO$5:$AO$64,MATCH($F71,사건마스터!$A$5:$A$64,0)),""))</f>
        <v/>
      </c>
      <c r="S71" s="136">
        <f>IF($F71="","",IFERROR(INDEX(사건마스터!$AP$5:$AP$64,MATCH($F71,사건마스터!$A$5:$A$64,0)),""))</f>
        <v/>
      </c>
      <c r="T71" s="136">
        <f>IF($F71="","",IFERROR(INDEX(사건마스터!$AQ$5:$AQ$64,MATCH($F71,사건마스터!$A$5:$A$64,0)),""))</f>
        <v/>
      </c>
      <c r="U71" s="136">
        <f>IF($F71="","",IFERROR(INDEX(사건마스터!$AR$5:$AR$64,MATCH($F71,사건마스터!$A$5:$A$64,0)),""))</f>
        <v/>
      </c>
      <c r="V71" s="136">
        <f>IF($F71="","",IFERROR(INDEX(사건마스터!$AS$5:$AS$64,MATCH($F71,사건마스터!$A$5:$A$64,0)),""))</f>
        <v/>
      </c>
      <c r="W71" s="136">
        <f>IF($F71="","",IFERROR(INDEX(사건마스터!$AT$5:$AT$64,MATCH($F71,사건마스터!$A$5:$A$64,0)),""))</f>
        <v/>
      </c>
      <c r="X71" s="136">
        <f>IF($F71="","",IFERROR(INDEX(사건마스터!$AU$5:$AU$64,MATCH($F71,사건마스터!$A$5:$A$64,0)),""))</f>
        <v/>
      </c>
      <c r="Y71" s="136">
        <f>IF($F71="","",IFERROR(INDEX(사건마스터!$AV$5:$AV$64,MATCH($F71,사건마스터!$A$5:$A$64,0)),""))</f>
        <v/>
      </c>
      <c r="Z71" s="118">
        <f>IF(COUNTBLANK($J71:$Y71)=16,"",16-COUNTBLANK($J71:$Y71))</f>
        <v/>
      </c>
      <c r="AA71" s="33">
        <f>IF($J71="",MID($AX71,3,255),$J71&amp;$AX71)</f>
        <v/>
      </c>
      <c r="AB71" s="130">
        <f>IF($J71="","",IFERROR(INDEX(코드설정!$D$5:$D$24,MATCH($J71,코드설정!$C$5:$C$24,0)),""))</f>
        <v/>
      </c>
      <c r="AC71" s="36" t="n"/>
      <c r="AD71" s="37" t="n"/>
      <c r="AE71" s="38" t="n"/>
      <c r="AF71" s="118">
        <f>IF(OR($B71="",$C71=""),"",$C71-$B71+1)</f>
        <v/>
      </c>
      <c r="AG71" s="74" t="n"/>
      <c r="AH71" s="36" t="n"/>
      <c r="AJ71">
        <f>IF($K71="","",", "&amp;$K71)</f>
        <v/>
      </c>
      <c r="AK71">
        <f>AJ71&amp;IF($L71="","",", "&amp;$L71)</f>
        <v/>
      </c>
      <c r="AL71">
        <f>AK71&amp;IF($M71="","",", "&amp;$M71)</f>
        <v/>
      </c>
      <c r="AM71">
        <f>AL71&amp;IF($N71="","",", "&amp;$N71)</f>
        <v/>
      </c>
      <c r="AN71">
        <f>AM71&amp;IF($O71="","",", "&amp;$O71)</f>
        <v/>
      </c>
      <c r="AO71">
        <f>AN71&amp;IF($P71="","",", "&amp;$P71)</f>
        <v/>
      </c>
      <c r="AP71">
        <f>AO71&amp;IF($Q71="","",", "&amp;$Q71)</f>
        <v/>
      </c>
      <c r="AQ71">
        <f>AP71&amp;IF($R71="","",", "&amp;$R71)</f>
        <v/>
      </c>
      <c r="AR71">
        <f>AQ71&amp;IF($S71="","",", "&amp;$S71)</f>
        <v/>
      </c>
      <c r="AS71">
        <f>AR71&amp;IF($T71="","",", "&amp;$T71)</f>
        <v/>
      </c>
      <c r="AT71">
        <f>AS71&amp;IF($U71="","",", "&amp;$U71)</f>
        <v/>
      </c>
      <c r="AU71">
        <f>AT71&amp;IF($V71="","",", "&amp;$V71)</f>
        <v/>
      </c>
      <c r="AV71">
        <f>AU71&amp;IF($W71="","",", "&amp;$W71)</f>
        <v/>
      </c>
      <c r="AW71">
        <f>AV71&amp;IF($X71="","",", "&amp;$X71)</f>
        <v/>
      </c>
      <c r="AX71">
        <f>AW71&amp;IF($Y71="","",", "&amp;$Y71)</f>
        <v/>
      </c>
    </row>
    <row r="72">
      <c r="A72" s="118">
        <f>IF($B72="","",COUNT($B$5:$B72))</f>
        <v/>
      </c>
      <c r="B72" s="80" t="n"/>
      <c r="C72" s="80" t="n"/>
      <c r="D72" s="74" t="n"/>
      <c r="E72" s="74" t="n"/>
      <c r="F72" s="74" t="n"/>
      <c r="G72" s="118">
        <f>IF($F72="","",COUNTIF($F$5:$F72,$F72))</f>
        <v/>
      </c>
      <c r="H72" s="33">
        <f>IF($F72="","",IFERROR(INDEX(사건마스터!$B$5:$B$64,MATCH($F72,사건마스터!$A$5:$A$64,0)),""))</f>
        <v/>
      </c>
      <c r="I72" s="130">
        <f>IF($F72="","",IFERROR(INDEX(사건마스터!$C$5:$C$64,MATCH($F72,사건마스터!$A$5:$A$64,0)),""))</f>
        <v/>
      </c>
      <c r="J72" s="136">
        <f>IF($F72="","",IFERROR(INDEX(사건마스터!$H$5:$H$64,MATCH($F72,사건마스터!$A$5:$A$64,0)),""))</f>
        <v/>
      </c>
      <c r="K72" s="136">
        <f>IF($F72="","",IFERROR(INDEX(사건마스터!$AH$5:$AH$64,MATCH($F72,사건마스터!$A$5:$A$64,0)),""))</f>
        <v/>
      </c>
      <c r="L72" s="136">
        <f>IF($F72="","",IFERROR(INDEX(사건마스터!$AI$5:$AI$64,MATCH($F72,사건마스터!$A$5:$A$64,0)),""))</f>
        <v/>
      </c>
      <c r="M72" s="136">
        <f>IF($F72="","",IFERROR(INDEX(사건마스터!$AJ$5:$AJ$64,MATCH($F72,사건마스터!$A$5:$A$64,0)),""))</f>
        <v/>
      </c>
      <c r="N72" s="136">
        <f>IF($F72="","",IFERROR(INDEX(사건마스터!$AK$5:$AK$64,MATCH($F72,사건마스터!$A$5:$A$64,0)),""))</f>
        <v/>
      </c>
      <c r="O72" s="136">
        <f>IF($F72="","",IFERROR(INDEX(사건마스터!$AL$5:$AL$64,MATCH($F72,사건마스터!$A$5:$A$64,0)),""))</f>
        <v/>
      </c>
      <c r="P72" s="136">
        <f>IF($F72="","",IFERROR(INDEX(사건마스터!$AM$5:$AM$64,MATCH($F72,사건마스터!$A$5:$A$64,0)),""))</f>
        <v/>
      </c>
      <c r="Q72" s="136">
        <f>IF($F72="","",IFERROR(INDEX(사건마스터!$AN$5:$AN$64,MATCH($F72,사건마스터!$A$5:$A$64,0)),""))</f>
        <v/>
      </c>
      <c r="R72" s="136">
        <f>IF($F72="","",IFERROR(INDEX(사건마스터!$AO$5:$AO$64,MATCH($F72,사건마스터!$A$5:$A$64,0)),""))</f>
        <v/>
      </c>
      <c r="S72" s="136">
        <f>IF($F72="","",IFERROR(INDEX(사건마스터!$AP$5:$AP$64,MATCH($F72,사건마스터!$A$5:$A$64,0)),""))</f>
        <v/>
      </c>
      <c r="T72" s="136">
        <f>IF($F72="","",IFERROR(INDEX(사건마스터!$AQ$5:$AQ$64,MATCH($F72,사건마스터!$A$5:$A$64,0)),""))</f>
        <v/>
      </c>
      <c r="U72" s="136">
        <f>IF($F72="","",IFERROR(INDEX(사건마스터!$AR$5:$AR$64,MATCH($F72,사건마스터!$A$5:$A$64,0)),""))</f>
        <v/>
      </c>
      <c r="V72" s="136">
        <f>IF($F72="","",IFERROR(INDEX(사건마스터!$AS$5:$AS$64,MATCH($F72,사건마스터!$A$5:$A$64,0)),""))</f>
        <v/>
      </c>
      <c r="W72" s="136">
        <f>IF($F72="","",IFERROR(INDEX(사건마스터!$AT$5:$AT$64,MATCH($F72,사건마스터!$A$5:$A$64,0)),""))</f>
        <v/>
      </c>
      <c r="X72" s="136">
        <f>IF($F72="","",IFERROR(INDEX(사건마스터!$AU$5:$AU$64,MATCH($F72,사건마스터!$A$5:$A$64,0)),""))</f>
        <v/>
      </c>
      <c r="Y72" s="136">
        <f>IF($F72="","",IFERROR(INDEX(사건마스터!$AV$5:$AV$64,MATCH($F72,사건마스터!$A$5:$A$64,0)),""))</f>
        <v/>
      </c>
      <c r="Z72" s="118">
        <f>IF(COUNTBLANK($J72:$Y72)=16,"",16-COUNTBLANK($J72:$Y72))</f>
        <v/>
      </c>
      <c r="AA72" s="33">
        <f>IF($J72="",MID($AX72,3,255),$J72&amp;$AX72)</f>
        <v/>
      </c>
      <c r="AB72" s="130">
        <f>IF($J72="","",IFERROR(INDEX(코드설정!$D$5:$D$24,MATCH($J72,코드설정!$C$5:$C$24,0)),""))</f>
        <v/>
      </c>
      <c r="AC72" s="36" t="n"/>
      <c r="AD72" s="37" t="n"/>
      <c r="AE72" s="38" t="n"/>
      <c r="AF72" s="118">
        <f>IF(OR($B72="",$C72=""),"",$C72-$B72+1)</f>
        <v/>
      </c>
      <c r="AG72" s="74" t="n"/>
      <c r="AH72" s="36" t="n"/>
      <c r="AJ72">
        <f>IF($K72="","",", "&amp;$K72)</f>
        <v/>
      </c>
      <c r="AK72">
        <f>AJ72&amp;IF($L72="","",", "&amp;$L72)</f>
        <v/>
      </c>
      <c r="AL72">
        <f>AK72&amp;IF($M72="","",", "&amp;$M72)</f>
        <v/>
      </c>
      <c r="AM72">
        <f>AL72&amp;IF($N72="","",", "&amp;$N72)</f>
        <v/>
      </c>
      <c r="AN72">
        <f>AM72&amp;IF($O72="","",", "&amp;$O72)</f>
        <v/>
      </c>
      <c r="AO72">
        <f>AN72&amp;IF($P72="","",", "&amp;$P72)</f>
        <v/>
      </c>
      <c r="AP72">
        <f>AO72&amp;IF($Q72="","",", "&amp;$Q72)</f>
        <v/>
      </c>
      <c r="AQ72">
        <f>AP72&amp;IF($R72="","",", "&amp;$R72)</f>
        <v/>
      </c>
      <c r="AR72">
        <f>AQ72&amp;IF($S72="","",", "&amp;$S72)</f>
        <v/>
      </c>
      <c r="AS72">
        <f>AR72&amp;IF($T72="","",", "&amp;$T72)</f>
        <v/>
      </c>
      <c r="AT72">
        <f>AS72&amp;IF($U72="","",", "&amp;$U72)</f>
        <v/>
      </c>
      <c r="AU72">
        <f>AT72&amp;IF($V72="","",", "&amp;$V72)</f>
        <v/>
      </c>
      <c r="AV72">
        <f>AU72&amp;IF($W72="","",", "&amp;$W72)</f>
        <v/>
      </c>
      <c r="AW72">
        <f>AV72&amp;IF($X72="","",", "&amp;$X72)</f>
        <v/>
      </c>
      <c r="AX72">
        <f>AW72&amp;IF($Y72="","",", "&amp;$Y72)</f>
        <v/>
      </c>
    </row>
    <row r="73">
      <c r="A73" s="118">
        <f>IF($B73="","",COUNT($B$5:$B73))</f>
        <v/>
      </c>
      <c r="B73" s="80" t="n"/>
      <c r="C73" s="80" t="n"/>
      <c r="D73" s="74" t="n"/>
      <c r="E73" s="74" t="n"/>
      <c r="F73" s="74" t="n"/>
      <c r="G73" s="118">
        <f>IF($F73="","",COUNTIF($F$5:$F73,$F73))</f>
        <v/>
      </c>
      <c r="H73" s="33">
        <f>IF($F73="","",IFERROR(INDEX(사건마스터!$B$5:$B$64,MATCH($F73,사건마스터!$A$5:$A$64,0)),""))</f>
        <v/>
      </c>
      <c r="I73" s="130">
        <f>IF($F73="","",IFERROR(INDEX(사건마스터!$C$5:$C$64,MATCH($F73,사건마스터!$A$5:$A$64,0)),""))</f>
        <v/>
      </c>
      <c r="J73" s="136">
        <f>IF($F73="","",IFERROR(INDEX(사건마스터!$H$5:$H$64,MATCH($F73,사건마스터!$A$5:$A$64,0)),""))</f>
        <v/>
      </c>
      <c r="K73" s="136">
        <f>IF($F73="","",IFERROR(INDEX(사건마스터!$AH$5:$AH$64,MATCH($F73,사건마스터!$A$5:$A$64,0)),""))</f>
        <v/>
      </c>
      <c r="L73" s="136">
        <f>IF($F73="","",IFERROR(INDEX(사건마스터!$AI$5:$AI$64,MATCH($F73,사건마스터!$A$5:$A$64,0)),""))</f>
        <v/>
      </c>
      <c r="M73" s="136">
        <f>IF($F73="","",IFERROR(INDEX(사건마스터!$AJ$5:$AJ$64,MATCH($F73,사건마스터!$A$5:$A$64,0)),""))</f>
        <v/>
      </c>
      <c r="N73" s="136">
        <f>IF($F73="","",IFERROR(INDEX(사건마스터!$AK$5:$AK$64,MATCH($F73,사건마스터!$A$5:$A$64,0)),""))</f>
        <v/>
      </c>
      <c r="O73" s="136">
        <f>IF($F73="","",IFERROR(INDEX(사건마스터!$AL$5:$AL$64,MATCH($F73,사건마스터!$A$5:$A$64,0)),""))</f>
        <v/>
      </c>
      <c r="P73" s="136">
        <f>IF($F73="","",IFERROR(INDEX(사건마스터!$AM$5:$AM$64,MATCH($F73,사건마스터!$A$5:$A$64,0)),""))</f>
        <v/>
      </c>
      <c r="Q73" s="136">
        <f>IF($F73="","",IFERROR(INDEX(사건마스터!$AN$5:$AN$64,MATCH($F73,사건마스터!$A$5:$A$64,0)),""))</f>
        <v/>
      </c>
      <c r="R73" s="136">
        <f>IF($F73="","",IFERROR(INDEX(사건마스터!$AO$5:$AO$64,MATCH($F73,사건마스터!$A$5:$A$64,0)),""))</f>
        <v/>
      </c>
      <c r="S73" s="136">
        <f>IF($F73="","",IFERROR(INDEX(사건마스터!$AP$5:$AP$64,MATCH($F73,사건마스터!$A$5:$A$64,0)),""))</f>
        <v/>
      </c>
      <c r="T73" s="136">
        <f>IF($F73="","",IFERROR(INDEX(사건마스터!$AQ$5:$AQ$64,MATCH($F73,사건마스터!$A$5:$A$64,0)),""))</f>
        <v/>
      </c>
      <c r="U73" s="136">
        <f>IF($F73="","",IFERROR(INDEX(사건마스터!$AR$5:$AR$64,MATCH($F73,사건마스터!$A$5:$A$64,0)),""))</f>
        <v/>
      </c>
      <c r="V73" s="136">
        <f>IF($F73="","",IFERROR(INDEX(사건마스터!$AS$5:$AS$64,MATCH($F73,사건마스터!$A$5:$A$64,0)),""))</f>
        <v/>
      </c>
      <c r="W73" s="136">
        <f>IF($F73="","",IFERROR(INDEX(사건마스터!$AT$5:$AT$64,MATCH($F73,사건마스터!$A$5:$A$64,0)),""))</f>
        <v/>
      </c>
      <c r="X73" s="136">
        <f>IF($F73="","",IFERROR(INDEX(사건마스터!$AU$5:$AU$64,MATCH($F73,사건마스터!$A$5:$A$64,0)),""))</f>
        <v/>
      </c>
      <c r="Y73" s="136">
        <f>IF($F73="","",IFERROR(INDEX(사건마스터!$AV$5:$AV$64,MATCH($F73,사건마스터!$A$5:$A$64,0)),""))</f>
        <v/>
      </c>
      <c r="Z73" s="118">
        <f>IF(COUNTBLANK($J73:$Y73)=16,"",16-COUNTBLANK($J73:$Y73))</f>
        <v/>
      </c>
      <c r="AA73" s="33">
        <f>IF($J73="",MID($AX73,3,255),$J73&amp;$AX73)</f>
        <v/>
      </c>
      <c r="AB73" s="130">
        <f>IF($J73="","",IFERROR(INDEX(코드설정!$D$5:$D$24,MATCH($J73,코드설정!$C$5:$C$24,0)),""))</f>
        <v/>
      </c>
      <c r="AC73" s="36" t="n"/>
      <c r="AD73" s="37" t="n"/>
      <c r="AE73" s="38" t="n"/>
      <c r="AF73" s="118">
        <f>IF(OR($B73="",$C73=""),"",$C73-$B73+1)</f>
        <v/>
      </c>
      <c r="AG73" s="74" t="n"/>
      <c r="AH73" s="36" t="n"/>
      <c r="AJ73">
        <f>IF($K73="","",", "&amp;$K73)</f>
        <v/>
      </c>
      <c r="AK73">
        <f>AJ73&amp;IF($L73="","",", "&amp;$L73)</f>
        <v/>
      </c>
      <c r="AL73">
        <f>AK73&amp;IF($M73="","",", "&amp;$M73)</f>
        <v/>
      </c>
      <c r="AM73">
        <f>AL73&amp;IF($N73="","",", "&amp;$N73)</f>
        <v/>
      </c>
      <c r="AN73">
        <f>AM73&amp;IF($O73="","",", "&amp;$O73)</f>
        <v/>
      </c>
      <c r="AO73">
        <f>AN73&amp;IF($P73="","",", "&amp;$P73)</f>
        <v/>
      </c>
      <c r="AP73">
        <f>AO73&amp;IF($Q73="","",", "&amp;$Q73)</f>
        <v/>
      </c>
      <c r="AQ73">
        <f>AP73&amp;IF($R73="","",", "&amp;$R73)</f>
        <v/>
      </c>
      <c r="AR73">
        <f>AQ73&amp;IF($S73="","",", "&amp;$S73)</f>
        <v/>
      </c>
      <c r="AS73">
        <f>AR73&amp;IF($T73="","",", "&amp;$T73)</f>
        <v/>
      </c>
      <c r="AT73">
        <f>AS73&amp;IF($U73="","",", "&amp;$U73)</f>
        <v/>
      </c>
      <c r="AU73">
        <f>AT73&amp;IF($V73="","",", "&amp;$V73)</f>
        <v/>
      </c>
      <c r="AV73">
        <f>AU73&amp;IF($W73="","",", "&amp;$W73)</f>
        <v/>
      </c>
      <c r="AW73">
        <f>AV73&amp;IF($X73="","",", "&amp;$X73)</f>
        <v/>
      </c>
      <c r="AX73">
        <f>AW73&amp;IF($Y73="","",", "&amp;$Y73)</f>
        <v/>
      </c>
    </row>
    <row r="74">
      <c r="A74" s="118">
        <f>IF($B74="","",COUNT($B$5:$B74))</f>
        <v/>
      </c>
      <c r="B74" s="80" t="n"/>
      <c r="C74" s="80" t="n"/>
      <c r="D74" s="74" t="n"/>
      <c r="E74" s="74" t="n"/>
      <c r="F74" s="74" t="n"/>
      <c r="G74" s="118">
        <f>IF($F74="","",COUNTIF($F$5:$F74,$F74))</f>
        <v/>
      </c>
      <c r="H74" s="33">
        <f>IF($F74="","",IFERROR(INDEX(사건마스터!$B$5:$B$64,MATCH($F74,사건마스터!$A$5:$A$64,0)),""))</f>
        <v/>
      </c>
      <c r="I74" s="130">
        <f>IF($F74="","",IFERROR(INDEX(사건마스터!$C$5:$C$64,MATCH($F74,사건마스터!$A$5:$A$64,0)),""))</f>
        <v/>
      </c>
      <c r="J74" s="136">
        <f>IF($F74="","",IFERROR(INDEX(사건마스터!$H$5:$H$64,MATCH($F74,사건마스터!$A$5:$A$64,0)),""))</f>
        <v/>
      </c>
      <c r="K74" s="136">
        <f>IF($F74="","",IFERROR(INDEX(사건마스터!$AH$5:$AH$64,MATCH($F74,사건마스터!$A$5:$A$64,0)),""))</f>
        <v/>
      </c>
      <c r="L74" s="136">
        <f>IF($F74="","",IFERROR(INDEX(사건마스터!$AI$5:$AI$64,MATCH($F74,사건마스터!$A$5:$A$64,0)),""))</f>
        <v/>
      </c>
      <c r="M74" s="136">
        <f>IF($F74="","",IFERROR(INDEX(사건마스터!$AJ$5:$AJ$64,MATCH($F74,사건마스터!$A$5:$A$64,0)),""))</f>
        <v/>
      </c>
      <c r="N74" s="136">
        <f>IF($F74="","",IFERROR(INDEX(사건마스터!$AK$5:$AK$64,MATCH($F74,사건마스터!$A$5:$A$64,0)),""))</f>
        <v/>
      </c>
      <c r="O74" s="136">
        <f>IF($F74="","",IFERROR(INDEX(사건마스터!$AL$5:$AL$64,MATCH($F74,사건마스터!$A$5:$A$64,0)),""))</f>
        <v/>
      </c>
      <c r="P74" s="136">
        <f>IF($F74="","",IFERROR(INDEX(사건마스터!$AM$5:$AM$64,MATCH($F74,사건마스터!$A$5:$A$64,0)),""))</f>
        <v/>
      </c>
      <c r="Q74" s="136">
        <f>IF($F74="","",IFERROR(INDEX(사건마스터!$AN$5:$AN$64,MATCH($F74,사건마스터!$A$5:$A$64,0)),""))</f>
        <v/>
      </c>
      <c r="R74" s="136">
        <f>IF($F74="","",IFERROR(INDEX(사건마스터!$AO$5:$AO$64,MATCH($F74,사건마스터!$A$5:$A$64,0)),""))</f>
        <v/>
      </c>
      <c r="S74" s="136">
        <f>IF($F74="","",IFERROR(INDEX(사건마스터!$AP$5:$AP$64,MATCH($F74,사건마스터!$A$5:$A$64,0)),""))</f>
        <v/>
      </c>
      <c r="T74" s="136">
        <f>IF($F74="","",IFERROR(INDEX(사건마스터!$AQ$5:$AQ$64,MATCH($F74,사건마스터!$A$5:$A$64,0)),""))</f>
        <v/>
      </c>
      <c r="U74" s="136">
        <f>IF($F74="","",IFERROR(INDEX(사건마스터!$AR$5:$AR$64,MATCH($F74,사건마스터!$A$5:$A$64,0)),""))</f>
        <v/>
      </c>
      <c r="V74" s="136">
        <f>IF($F74="","",IFERROR(INDEX(사건마스터!$AS$5:$AS$64,MATCH($F74,사건마스터!$A$5:$A$64,0)),""))</f>
        <v/>
      </c>
      <c r="W74" s="136">
        <f>IF($F74="","",IFERROR(INDEX(사건마스터!$AT$5:$AT$64,MATCH($F74,사건마스터!$A$5:$A$64,0)),""))</f>
        <v/>
      </c>
      <c r="X74" s="136">
        <f>IF($F74="","",IFERROR(INDEX(사건마스터!$AU$5:$AU$64,MATCH($F74,사건마스터!$A$5:$A$64,0)),""))</f>
        <v/>
      </c>
      <c r="Y74" s="136">
        <f>IF($F74="","",IFERROR(INDEX(사건마스터!$AV$5:$AV$64,MATCH($F74,사건마스터!$A$5:$A$64,0)),""))</f>
        <v/>
      </c>
      <c r="Z74" s="118">
        <f>IF(COUNTBLANK($J74:$Y74)=16,"",16-COUNTBLANK($J74:$Y74))</f>
        <v/>
      </c>
      <c r="AA74" s="33">
        <f>IF($J74="",MID($AX74,3,255),$J74&amp;$AX74)</f>
        <v/>
      </c>
      <c r="AB74" s="130">
        <f>IF($J74="","",IFERROR(INDEX(코드설정!$D$5:$D$24,MATCH($J74,코드설정!$C$5:$C$24,0)),""))</f>
        <v/>
      </c>
      <c r="AC74" s="36" t="n"/>
      <c r="AD74" s="37" t="n"/>
      <c r="AE74" s="38" t="n"/>
      <c r="AF74" s="118">
        <f>IF(OR($B74="",$C74=""),"",$C74-$B74+1)</f>
        <v/>
      </c>
      <c r="AG74" s="74" t="n"/>
      <c r="AH74" s="36" t="n"/>
      <c r="AJ74">
        <f>IF($K74="","",", "&amp;$K74)</f>
        <v/>
      </c>
      <c r="AK74">
        <f>AJ74&amp;IF($L74="","",", "&amp;$L74)</f>
        <v/>
      </c>
      <c r="AL74">
        <f>AK74&amp;IF($M74="","",", "&amp;$M74)</f>
        <v/>
      </c>
      <c r="AM74">
        <f>AL74&amp;IF($N74="","",", "&amp;$N74)</f>
        <v/>
      </c>
      <c r="AN74">
        <f>AM74&amp;IF($O74="","",", "&amp;$O74)</f>
        <v/>
      </c>
      <c r="AO74">
        <f>AN74&amp;IF($P74="","",", "&amp;$P74)</f>
        <v/>
      </c>
      <c r="AP74">
        <f>AO74&amp;IF($Q74="","",", "&amp;$Q74)</f>
        <v/>
      </c>
      <c r="AQ74">
        <f>AP74&amp;IF($R74="","",", "&amp;$R74)</f>
        <v/>
      </c>
      <c r="AR74">
        <f>AQ74&amp;IF($S74="","",", "&amp;$S74)</f>
        <v/>
      </c>
      <c r="AS74">
        <f>AR74&amp;IF($T74="","",", "&amp;$T74)</f>
        <v/>
      </c>
      <c r="AT74">
        <f>AS74&amp;IF($U74="","",", "&amp;$U74)</f>
        <v/>
      </c>
      <c r="AU74">
        <f>AT74&amp;IF($V74="","",", "&amp;$V74)</f>
        <v/>
      </c>
      <c r="AV74">
        <f>AU74&amp;IF($W74="","",", "&amp;$W74)</f>
        <v/>
      </c>
      <c r="AW74">
        <f>AV74&amp;IF($X74="","",", "&amp;$X74)</f>
        <v/>
      </c>
      <c r="AX74">
        <f>AW74&amp;IF($Y74="","",", "&amp;$Y74)</f>
        <v/>
      </c>
    </row>
    <row r="75">
      <c r="A75" s="118">
        <f>IF($B75="","",COUNT($B$5:$B75))</f>
        <v/>
      </c>
      <c r="B75" s="80" t="n"/>
      <c r="C75" s="80" t="n"/>
      <c r="D75" s="74" t="n"/>
      <c r="E75" s="74" t="n"/>
      <c r="F75" s="74" t="n"/>
      <c r="G75" s="118">
        <f>IF($F75="","",COUNTIF($F$5:$F75,$F75))</f>
        <v/>
      </c>
      <c r="H75" s="33">
        <f>IF($F75="","",IFERROR(INDEX(사건마스터!$B$5:$B$64,MATCH($F75,사건마스터!$A$5:$A$64,0)),""))</f>
        <v/>
      </c>
      <c r="I75" s="130">
        <f>IF($F75="","",IFERROR(INDEX(사건마스터!$C$5:$C$64,MATCH($F75,사건마스터!$A$5:$A$64,0)),""))</f>
        <v/>
      </c>
      <c r="J75" s="136">
        <f>IF($F75="","",IFERROR(INDEX(사건마스터!$H$5:$H$64,MATCH($F75,사건마스터!$A$5:$A$64,0)),""))</f>
        <v/>
      </c>
      <c r="K75" s="136">
        <f>IF($F75="","",IFERROR(INDEX(사건마스터!$AH$5:$AH$64,MATCH($F75,사건마스터!$A$5:$A$64,0)),""))</f>
        <v/>
      </c>
      <c r="L75" s="136">
        <f>IF($F75="","",IFERROR(INDEX(사건마스터!$AI$5:$AI$64,MATCH($F75,사건마스터!$A$5:$A$64,0)),""))</f>
        <v/>
      </c>
      <c r="M75" s="136">
        <f>IF($F75="","",IFERROR(INDEX(사건마스터!$AJ$5:$AJ$64,MATCH($F75,사건마스터!$A$5:$A$64,0)),""))</f>
        <v/>
      </c>
      <c r="N75" s="136">
        <f>IF($F75="","",IFERROR(INDEX(사건마스터!$AK$5:$AK$64,MATCH($F75,사건마스터!$A$5:$A$64,0)),""))</f>
        <v/>
      </c>
      <c r="O75" s="136">
        <f>IF($F75="","",IFERROR(INDEX(사건마스터!$AL$5:$AL$64,MATCH($F75,사건마스터!$A$5:$A$64,0)),""))</f>
        <v/>
      </c>
      <c r="P75" s="136">
        <f>IF($F75="","",IFERROR(INDEX(사건마스터!$AM$5:$AM$64,MATCH($F75,사건마스터!$A$5:$A$64,0)),""))</f>
        <v/>
      </c>
      <c r="Q75" s="136">
        <f>IF($F75="","",IFERROR(INDEX(사건마스터!$AN$5:$AN$64,MATCH($F75,사건마스터!$A$5:$A$64,0)),""))</f>
        <v/>
      </c>
      <c r="R75" s="136">
        <f>IF($F75="","",IFERROR(INDEX(사건마스터!$AO$5:$AO$64,MATCH($F75,사건마스터!$A$5:$A$64,0)),""))</f>
        <v/>
      </c>
      <c r="S75" s="136">
        <f>IF($F75="","",IFERROR(INDEX(사건마스터!$AP$5:$AP$64,MATCH($F75,사건마스터!$A$5:$A$64,0)),""))</f>
        <v/>
      </c>
      <c r="T75" s="136">
        <f>IF($F75="","",IFERROR(INDEX(사건마스터!$AQ$5:$AQ$64,MATCH($F75,사건마스터!$A$5:$A$64,0)),""))</f>
        <v/>
      </c>
      <c r="U75" s="136">
        <f>IF($F75="","",IFERROR(INDEX(사건마스터!$AR$5:$AR$64,MATCH($F75,사건마스터!$A$5:$A$64,0)),""))</f>
        <v/>
      </c>
      <c r="V75" s="136">
        <f>IF($F75="","",IFERROR(INDEX(사건마스터!$AS$5:$AS$64,MATCH($F75,사건마스터!$A$5:$A$64,0)),""))</f>
        <v/>
      </c>
      <c r="W75" s="136">
        <f>IF($F75="","",IFERROR(INDEX(사건마스터!$AT$5:$AT$64,MATCH($F75,사건마스터!$A$5:$A$64,0)),""))</f>
        <v/>
      </c>
      <c r="X75" s="136">
        <f>IF($F75="","",IFERROR(INDEX(사건마스터!$AU$5:$AU$64,MATCH($F75,사건마스터!$A$5:$A$64,0)),""))</f>
        <v/>
      </c>
      <c r="Y75" s="136">
        <f>IF($F75="","",IFERROR(INDEX(사건마스터!$AV$5:$AV$64,MATCH($F75,사건마스터!$A$5:$A$64,0)),""))</f>
        <v/>
      </c>
      <c r="Z75" s="118">
        <f>IF(COUNTBLANK($J75:$Y75)=16,"",16-COUNTBLANK($J75:$Y75))</f>
        <v/>
      </c>
      <c r="AA75" s="33">
        <f>IF($J75="",MID($AX75,3,255),$J75&amp;$AX75)</f>
        <v/>
      </c>
      <c r="AB75" s="130">
        <f>IF($J75="","",IFERROR(INDEX(코드설정!$D$5:$D$24,MATCH($J75,코드설정!$C$5:$C$24,0)),""))</f>
        <v/>
      </c>
      <c r="AC75" s="36" t="n"/>
      <c r="AD75" s="37" t="n"/>
      <c r="AE75" s="38" t="n"/>
      <c r="AF75" s="118">
        <f>IF(OR($B75="",$C75=""),"",$C75-$B75+1)</f>
        <v/>
      </c>
      <c r="AG75" s="74" t="n"/>
      <c r="AH75" s="36" t="n"/>
      <c r="AJ75">
        <f>IF($K75="","",", "&amp;$K75)</f>
        <v/>
      </c>
      <c r="AK75">
        <f>AJ75&amp;IF($L75="","",", "&amp;$L75)</f>
        <v/>
      </c>
      <c r="AL75">
        <f>AK75&amp;IF($M75="","",", "&amp;$M75)</f>
        <v/>
      </c>
      <c r="AM75">
        <f>AL75&amp;IF($N75="","",", "&amp;$N75)</f>
        <v/>
      </c>
      <c r="AN75">
        <f>AM75&amp;IF($O75="","",", "&amp;$O75)</f>
        <v/>
      </c>
      <c r="AO75">
        <f>AN75&amp;IF($P75="","",", "&amp;$P75)</f>
        <v/>
      </c>
      <c r="AP75">
        <f>AO75&amp;IF($Q75="","",", "&amp;$Q75)</f>
        <v/>
      </c>
      <c r="AQ75">
        <f>AP75&amp;IF($R75="","",", "&amp;$R75)</f>
        <v/>
      </c>
      <c r="AR75">
        <f>AQ75&amp;IF($S75="","",", "&amp;$S75)</f>
        <v/>
      </c>
      <c r="AS75">
        <f>AR75&amp;IF($T75="","",", "&amp;$T75)</f>
        <v/>
      </c>
      <c r="AT75">
        <f>AS75&amp;IF($U75="","",", "&amp;$U75)</f>
        <v/>
      </c>
      <c r="AU75">
        <f>AT75&amp;IF($V75="","",", "&amp;$V75)</f>
        <v/>
      </c>
      <c r="AV75">
        <f>AU75&amp;IF($W75="","",", "&amp;$W75)</f>
        <v/>
      </c>
      <c r="AW75">
        <f>AV75&amp;IF($X75="","",", "&amp;$X75)</f>
        <v/>
      </c>
      <c r="AX75">
        <f>AW75&amp;IF($Y75="","",", "&amp;$Y75)</f>
        <v/>
      </c>
    </row>
    <row r="76">
      <c r="A76" s="118">
        <f>IF($B76="","",COUNT($B$5:$B76))</f>
        <v/>
      </c>
      <c r="B76" s="80" t="n"/>
      <c r="C76" s="80" t="n"/>
      <c r="D76" s="74" t="n"/>
      <c r="E76" s="74" t="n"/>
      <c r="F76" s="74" t="n"/>
      <c r="G76" s="118">
        <f>IF($F76="","",COUNTIF($F$5:$F76,$F76))</f>
        <v/>
      </c>
      <c r="H76" s="33">
        <f>IF($F76="","",IFERROR(INDEX(사건마스터!$B$5:$B$64,MATCH($F76,사건마스터!$A$5:$A$64,0)),""))</f>
        <v/>
      </c>
      <c r="I76" s="130">
        <f>IF($F76="","",IFERROR(INDEX(사건마스터!$C$5:$C$64,MATCH($F76,사건마스터!$A$5:$A$64,0)),""))</f>
        <v/>
      </c>
      <c r="J76" s="136">
        <f>IF($F76="","",IFERROR(INDEX(사건마스터!$H$5:$H$64,MATCH($F76,사건마스터!$A$5:$A$64,0)),""))</f>
        <v/>
      </c>
      <c r="K76" s="136">
        <f>IF($F76="","",IFERROR(INDEX(사건마스터!$AH$5:$AH$64,MATCH($F76,사건마스터!$A$5:$A$64,0)),""))</f>
        <v/>
      </c>
      <c r="L76" s="136">
        <f>IF($F76="","",IFERROR(INDEX(사건마스터!$AI$5:$AI$64,MATCH($F76,사건마스터!$A$5:$A$64,0)),""))</f>
        <v/>
      </c>
      <c r="M76" s="136">
        <f>IF($F76="","",IFERROR(INDEX(사건마스터!$AJ$5:$AJ$64,MATCH($F76,사건마스터!$A$5:$A$64,0)),""))</f>
        <v/>
      </c>
      <c r="N76" s="136">
        <f>IF($F76="","",IFERROR(INDEX(사건마스터!$AK$5:$AK$64,MATCH($F76,사건마스터!$A$5:$A$64,0)),""))</f>
        <v/>
      </c>
      <c r="O76" s="136">
        <f>IF($F76="","",IFERROR(INDEX(사건마스터!$AL$5:$AL$64,MATCH($F76,사건마스터!$A$5:$A$64,0)),""))</f>
        <v/>
      </c>
      <c r="P76" s="136">
        <f>IF($F76="","",IFERROR(INDEX(사건마스터!$AM$5:$AM$64,MATCH($F76,사건마스터!$A$5:$A$64,0)),""))</f>
        <v/>
      </c>
      <c r="Q76" s="136">
        <f>IF($F76="","",IFERROR(INDEX(사건마스터!$AN$5:$AN$64,MATCH($F76,사건마스터!$A$5:$A$64,0)),""))</f>
        <v/>
      </c>
      <c r="R76" s="136">
        <f>IF($F76="","",IFERROR(INDEX(사건마스터!$AO$5:$AO$64,MATCH($F76,사건마스터!$A$5:$A$64,0)),""))</f>
        <v/>
      </c>
      <c r="S76" s="136">
        <f>IF($F76="","",IFERROR(INDEX(사건마스터!$AP$5:$AP$64,MATCH($F76,사건마스터!$A$5:$A$64,0)),""))</f>
        <v/>
      </c>
      <c r="T76" s="136">
        <f>IF($F76="","",IFERROR(INDEX(사건마스터!$AQ$5:$AQ$64,MATCH($F76,사건마스터!$A$5:$A$64,0)),""))</f>
        <v/>
      </c>
      <c r="U76" s="136">
        <f>IF($F76="","",IFERROR(INDEX(사건마스터!$AR$5:$AR$64,MATCH($F76,사건마스터!$A$5:$A$64,0)),""))</f>
        <v/>
      </c>
      <c r="V76" s="136">
        <f>IF($F76="","",IFERROR(INDEX(사건마스터!$AS$5:$AS$64,MATCH($F76,사건마스터!$A$5:$A$64,0)),""))</f>
        <v/>
      </c>
      <c r="W76" s="136">
        <f>IF($F76="","",IFERROR(INDEX(사건마스터!$AT$5:$AT$64,MATCH($F76,사건마스터!$A$5:$A$64,0)),""))</f>
        <v/>
      </c>
      <c r="X76" s="136">
        <f>IF($F76="","",IFERROR(INDEX(사건마스터!$AU$5:$AU$64,MATCH($F76,사건마스터!$A$5:$A$64,0)),""))</f>
        <v/>
      </c>
      <c r="Y76" s="136">
        <f>IF($F76="","",IFERROR(INDEX(사건마스터!$AV$5:$AV$64,MATCH($F76,사건마스터!$A$5:$A$64,0)),""))</f>
        <v/>
      </c>
      <c r="Z76" s="118">
        <f>IF(COUNTBLANK($J76:$Y76)=16,"",16-COUNTBLANK($J76:$Y76))</f>
        <v/>
      </c>
      <c r="AA76" s="33">
        <f>IF($J76="",MID($AX76,3,255),$J76&amp;$AX76)</f>
        <v/>
      </c>
      <c r="AB76" s="130">
        <f>IF($J76="","",IFERROR(INDEX(코드설정!$D$5:$D$24,MATCH($J76,코드설정!$C$5:$C$24,0)),""))</f>
        <v/>
      </c>
      <c r="AC76" s="36" t="n"/>
      <c r="AD76" s="37" t="n"/>
      <c r="AE76" s="38" t="n"/>
      <c r="AF76" s="118">
        <f>IF(OR($B76="",$C76=""),"",$C76-$B76+1)</f>
        <v/>
      </c>
      <c r="AG76" s="74" t="n"/>
      <c r="AH76" s="36" t="n"/>
      <c r="AJ76">
        <f>IF($K76="","",", "&amp;$K76)</f>
        <v/>
      </c>
      <c r="AK76">
        <f>AJ76&amp;IF($L76="","",", "&amp;$L76)</f>
        <v/>
      </c>
      <c r="AL76">
        <f>AK76&amp;IF($M76="","",", "&amp;$M76)</f>
        <v/>
      </c>
      <c r="AM76">
        <f>AL76&amp;IF($N76="","",", "&amp;$N76)</f>
        <v/>
      </c>
      <c r="AN76">
        <f>AM76&amp;IF($O76="","",", "&amp;$O76)</f>
        <v/>
      </c>
      <c r="AO76">
        <f>AN76&amp;IF($P76="","",", "&amp;$P76)</f>
        <v/>
      </c>
      <c r="AP76">
        <f>AO76&amp;IF($Q76="","",", "&amp;$Q76)</f>
        <v/>
      </c>
      <c r="AQ76">
        <f>AP76&amp;IF($R76="","",", "&amp;$R76)</f>
        <v/>
      </c>
      <c r="AR76">
        <f>AQ76&amp;IF($S76="","",", "&amp;$S76)</f>
        <v/>
      </c>
      <c r="AS76">
        <f>AR76&amp;IF($T76="","",", "&amp;$T76)</f>
        <v/>
      </c>
      <c r="AT76">
        <f>AS76&amp;IF($U76="","",", "&amp;$U76)</f>
        <v/>
      </c>
      <c r="AU76">
        <f>AT76&amp;IF($V76="","",", "&amp;$V76)</f>
        <v/>
      </c>
      <c r="AV76">
        <f>AU76&amp;IF($W76="","",", "&amp;$W76)</f>
        <v/>
      </c>
      <c r="AW76">
        <f>AV76&amp;IF($X76="","",", "&amp;$X76)</f>
        <v/>
      </c>
      <c r="AX76">
        <f>AW76&amp;IF($Y76="","",", "&amp;$Y76)</f>
        <v/>
      </c>
    </row>
    <row r="77">
      <c r="A77" s="118">
        <f>IF($B77="","",COUNT($B$5:$B77))</f>
        <v/>
      </c>
      <c r="B77" s="80" t="n"/>
      <c r="C77" s="80" t="n"/>
      <c r="D77" s="74" t="n"/>
      <c r="E77" s="74" t="n"/>
      <c r="F77" s="74" t="n"/>
      <c r="G77" s="118">
        <f>IF($F77="","",COUNTIF($F$5:$F77,$F77))</f>
        <v/>
      </c>
      <c r="H77" s="33">
        <f>IF($F77="","",IFERROR(INDEX(사건마스터!$B$5:$B$64,MATCH($F77,사건마스터!$A$5:$A$64,0)),""))</f>
        <v/>
      </c>
      <c r="I77" s="130">
        <f>IF($F77="","",IFERROR(INDEX(사건마스터!$C$5:$C$64,MATCH($F77,사건마스터!$A$5:$A$64,0)),""))</f>
        <v/>
      </c>
      <c r="J77" s="136">
        <f>IF($F77="","",IFERROR(INDEX(사건마스터!$H$5:$H$64,MATCH($F77,사건마스터!$A$5:$A$64,0)),""))</f>
        <v/>
      </c>
      <c r="K77" s="136">
        <f>IF($F77="","",IFERROR(INDEX(사건마스터!$AH$5:$AH$64,MATCH($F77,사건마스터!$A$5:$A$64,0)),""))</f>
        <v/>
      </c>
      <c r="L77" s="136">
        <f>IF($F77="","",IFERROR(INDEX(사건마스터!$AI$5:$AI$64,MATCH($F77,사건마스터!$A$5:$A$64,0)),""))</f>
        <v/>
      </c>
      <c r="M77" s="136">
        <f>IF($F77="","",IFERROR(INDEX(사건마스터!$AJ$5:$AJ$64,MATCH($F77,사건마스터!$A$5:$A$64,0)),""))</f>
        <v/>
      </c>
      <c r="N77" s="136">
        <f>IF($F77="","",IFERROR(INDEX(사건마스터!$AK$5:$AK$64,MATCH($F77,사건마스터!$A$5:$A$64,0)),""))</f>
        <v/>
      </c>
      <c r="O77" s="136">
        <f>IF($F77="","",IFERROR(INDEX(사건마스터!$AL$5:$AL$64,MATCH($F77,사건마스터!$A$5:$A$64,0)),""))</f>
        <v/>
      </c>
      <c r="P77" s="136">
        <f>IF($F77="","",IFERROR(INDEX(사건마스터!$AM$5:$AM$64,MATCH($F77,사건마스터!$A$5:$A$64,0)),""))</f>
        <v/>
      </c>
      <c r="Q77" s="136">
        <f>IF($F77="","",IFERROR(INDEX(사건마스터!$AN$5:$AN$64,MATCH($F77,사건마스터!$A$5:$A$64,0)),""))</f>
        <v/>
      </c>
      <c r="R77" s="136">
        <f>IF($F77="","",IFERROR(INDEX(사건마스터!$AO$5:$AO$64,MATCH($F77,사건마스터!$A$5:$A$64,0)),""))</f>
        <v/>
      </c>
      <c r="S77" s="136">
        <f>IF($F77="","",IFERROR(INDEX(사건마스터!$AP$5:$AP$64,MATCH($F77,사건마스터!$A$5:$A$64,0)),""))</f>
        <v/>
      </c>
      <c r="T77" s="136">
        <f>IF($F77="","",IFERROR(INDEX(사건마스터!$AQ$5:$AQ$64,MATCH($F77,사건마스터!$A$5:$A$64,0)),""))</f>
        <v/>
      </c>
      <c r="U77" s="136">
        <f>IF($F77="","",IFERROR(INDEX(사건마스터!$AR$5:$AR$64,MATCH($F77,사건마스터!$A$5:$A$64,0)),""))</f>
        <v/>
      </c>
      <c r="V77" s="136">
        <f>IF($F77="","",IFERROR(INDEX(사건마스터!$AS$5:$AS$64,MATCH($F77,사건마스터!$A$5:$A$64,0)),""))</f>
        <v/>
      </c>
      <c r="W77" s="136">
        <f>IF($F77="","",IFERROR(INDEX(사건마스터!$AT$5:$AT$64,MATCH($F77,사건마스터!$A$5:$A$64,0)),""))</f>
        <v/>
      </c>
      <c r="X77" s="136">
        <f>IF($F77="","",IFERROR(INDEX(사건마스터!$AU$5:$AU$64,MATCH($F77,사건마스터!$A$5:$A$64,0)),""))</f>
        <v/>
      </c>
      <c r="Y77" s="136">
        <f>IF($F77="","",IFERROR(INDEX(사건마스터!$AV$5:$AV$64,MATCH($F77,사건마스터!$A$5:$A$64,0)),""))</f>
        <v/>
      </c>
      <c r="Z77" s="118">
        <f>IF(COUNTBLANK($J77:$Y77)=16,"",16-COUNTBLANK($J77:$Y77))</f>
        <v/>
      </c>
      <c r="AA77" s="33">
        <f>IF($J77="",MID($AX77,3,255),$J77&amp;$AX77)</f>
        <v/>
      </c>
      <c r="AB77" s="130">
        <f>IF($J77="","",IFERROR(INDEX(코드설정!$D$5:$D$24,MATCH($J77,코드설정!$C$5:$C$24,0)),""))</f>
        <v/>
      </c>
      <c r="AC77" s="36" t="n"/>
      <c r="AD77" s="37" t="n"/>
      <c r="AE77" s="38" t="n"/>
      <c r="AF77" s="118">
        <f>IF(OR($B77="",$C77=""),"",$C77-$B77+1)</f>
        <v/>
      </c>
      <c r="AG77" s="74" t="n"/>
      <c r="AH77" s="36" t="n"/>
      <c r="AJ77">
        <f>IF($K77="","",", "&amp;$K77)</f>
        <v/>
      </c>
      <c r="AK77">
        <f>AJ77&amp;IF($L77="","",", "&amp;$L77)</f>
        <v/>
      </c>
      <c r="AL77">
        <f>AK77&amp;IF($M77="","",", "&amp;$M77)</f>
        <v/>
      </c>
      <c r="AM77">
        <f>AL77&amp;IF($N77="","",", "&amp;$N77)</f>
        <v/>
      </c>
      <c r="AN77">
        <f>AM77&amp;IF($O77="","",", "&amp;$O77)</f>
        <v/>
      </c>
      <c r="AO77">
        <f>AN77&amp;IF($P77="","",", "&amp;$P77)</f>
        <v/>
      </c>
      <c r="AP77">
        <f>AO77&amp;IF($Q77="","",", "&amp;$Q77)</f>
        <v/>
      </c>
      <c r="AQ77">
        <f>AP77&amp;IF($R77="","",", "&amp;$R77)</f>
        <v/>
      </c>
      <c r="AR77">
        <f>AQ77&amp;IF($S77="","",", "&amp;$S77)</f>
        <v/>
      </c>
      <c r="AS77">
        <f>AR77&amp;IF($T77="","",", "&amp;$T77)</f>
        <v/>
      </c>
      <c r="AT77">
        <f>AS77&amp;IF($U77="","",", "&amp;$U77)</f>
        <v/>
      </c>
      <c r="AU77">
        <f>AT77&amp;IF($V77="","",", "&amp;$V77)</f>
        <v/>
      </c>
      <c r="AV77">
        <f>AU77&amp;IF($W77="","",", "&amp;$W77)</f>
        <v/>
      </c>
      <c r="AW77">
        <f>AV77&amp;IF($X77="","",", "&amp;$X77)</f>
        <v/>
      </c>
      <c r="AX77">
        <f>AW77&amp;IF($Y77="","",", "&amp;$Y77)</f>
        <v/>
      </c>
    </row>
    <row r="78">
      <c r="A78" s="118">
        <f>IF($B78="","",COUNT($B$5:$B78))</f>
        <v/>
      </c>
      <c r="B78" s="80" t="n"/>
      <c r="C78" s="80" t="n"/>
      <c r="D78" s="74" t="n"/>
      <c r="E78" s="74" t="n"/>
      <c r="F78" s="74" t="n"/>
      <c r="G78" s="118">
        <f>IF($F78="","",COUNTIF($F$5:$F78,$F78))</f>
        <v/>
      </c>
      <c r="H78" s="33">
        <f>IF($F78="","",IFERROR(INDEX(사건마스터!$B$5:$B$64,MATCH($F78,사건마스터!$A$5:$A$64,0)),""))</f>
        <v/>
      </c>
      <c r="I78" s="130">
        <f>IF($F78="","",IFERROR(INDEX(사건마스터!$C$5:$C$64,MATCH($F78,사건마스터!$A$5:$A$64,0)),""))</f>
        <v/>
      </c>
      <c r="J78" s="136">
        <f>IF($F78="","",IFERROR(INDEX(사건마스터!$H$5:$H$64,MATCH($F78,사건마스터!$A$5:$A$64,0)),""))</f>
        <v/>
      </c>
      <c r="K78" s="136">
        <f>IF($F78="","",IFERROR(INDEX(사건마스터!$AH$5:$AH$64,MATCH($F78,사건마스터!$A$5:$A$64,0)),""))</f>
        <v/>
      </c>
      <c r="L78" s="136">
        <f>IF($F78="","",IFERROR(INDEX(사건마스터!$AI$5:$AI$64,MATCH($F78,사건마스터!$A$5:$A$64,0)),""))</f>
        <v/>
      </c>
      <c r="M78" s="136">
        <f>IF($F78="","",IFERROR(INDEX(사건마스터!$AJ$5:$AJ$64,MATCH($F78,사건마스터!$A$5:$A$64,0)),""))</f>
        <v/>
      </c>
      <c r="N78" s="136">
        <f>IF($F78="","",IFERROR(INDEX(사건마스터!$AK$5:$AK$64,MATCH($F78,사건마스터!$A$5:$A$64,0)),""))</f>
        <v/>
      </c>
      <c r="O78" s="136">
        <f>IF($F78="","",IFERROR(INDEX(사건마스터!$AL$5:$AL$64,MATCH($F78,사건마스터!$A$5:$A$64,0)),""))</f>
        <v/>
      </c>
      <c r="P78" s="136">
        <f>IF($F78="","",IFERROR(INDEX(사건마스터!$AM$5:$AM$64,MATCH($F78,사건마스터!$A$5:$A$64,0)),""))</f>
        <v/>
      </c>
      <c r="Q78" s="136">
        <f>IF($F78="","",IFERROR(INDEX(사건마스터!$AN$5:$AN$64,MATCH($F78,사건마스터!$A$5:$A$64,0)),""))</f>
        <v/>
      </c>
      <c r="R78" s="136">
        <f>IF($F78="","",IFERROR(INDEX(사건마스터!$AO$5:$AO$64,MATCH($F78,사건마스터!$A$5:$A$64,0)),""))</f>
        <v/>
      </c>
      <c r="S78" s="136">
        <f>IF($F78="","",IFERROR(INDEX(사건마스터!$AP$5:$AP$64,MATCH($F78,사건마스터!$A$5:$A$64,0)),""))</f>
        <v/>
      </c>
      <c r="T78" s="136">
        <f>IF($F78="","",IFERROR(INDEX(사건마스터!$AQ$5:$AQ$64,MATCH($F78,사건마스터!$A$5:$A$64,0)),""))</f>
        <v/>
      </c>
      <c r="U78" s="136">
        <f>IF($F78="","",IFERROR(INDEX(사건마스터!$AR$5:$AR$64,MATCH($F78,사건마스터!$A$5:$A$64,0)),""))</f>
        <v/>
      </c>
      <c r="V78" s="136">
        <f>IF($F78="","",IFERROR(INDEX(사건마스터!$AS$5:$AS$64,MATCH($F78,사건마스터!$A$5:$A$64,0)),""))</f>
        <v/>
      </c>
      <c r="W78" s="136">
        <f>IF($F78="","",IFERROR(INDEX(사건마스터!$AT$5:$AT$64,MATCH($F78,사건마스터!$A$5:$A$64,0)),""))</f>
        <v/>
      </c>
      <c r="X78" s="136">
        <f>IF($F78="","",IFERROR(INDEX(사건마스터!$AU$5:$AU$64,MATCH($F78,사건마스터!$A$5:$A$64,0)),""))</f>
        <v/>
      </c>
      <c r="Y78" s="136">
        <f>IF($F78="","",IFERROR(INDEX(사건마스터!$AV$5:$AV$64,MATCH($F78,사건마스터!$A$5:$A$64,0)),""))</f>
        <v/>
      </c>
      <c r="Z78" s="118">
        <f>IF(COUNTBLANK($J78:$Y78)=16,"",16-COUNTBLANK($J78:$Y78))</f>
        <v/>
      </c>
      <c r="AA78" s="33">
        <f>IF($J78="",MID($AX78,3,255),$J78&amp;$AX78)</f>
        <v/>
      </c>
      <c r="AB78" s="130">
        <f>IF($J78="","",IFERROR(INDEX(코드설정!$D$5:$D$24,MATCH($J78,코드설정!$C$5:$C$24,0)),""))</f>
        <v/>
      </c>
      <c r="AC78" s="36" t="n"/>
      <c r="AD78" s="37" t="n"/>
      <c r="AE78" s="38" t="n"/>
      <c r="AF78" s="118">
        <f>IF(OR($B78="",$C78=""),"",$C78-$B78+1)</f>
        <v/>
      </c>
      <c r="AG78" s="74" t="n"/>
      <c r="AH78" s="36" t="n"/>
      <c r="AJ78">
        <f>IF($K78="","",", "&amp;$K78)</f>
        <v/>
      </c>
      <c r="AK78">
        <f>AJ78&amp;IF($L78="","",", "&amp;$L78)</f>
        <v/>
      </c>
      <c r="AL78">
        <f>AK78&amp;IF($M78="","",", "&amp;$M78)</f>
        <v/>
      </c>
      <c r="AM78">
        <f>AL78&amp;IF($N78="","",", "&amp;$N78)</f>
        <v/>
      </c>
      <c r="AN78">
        <f>AM78&amp;IF($O78="","",", "&amp;$O78)</f>
        <v/>
      </c>
      <c r="AO78">
        <f>AN78&amp;IF($P78="","",", "&amp;$P78)</f>
        <v/>
      </c>
      <c r="AP78">
        <f>AO78&amp;IF($Q78="","",", "&amp;$Q78)</f>
        <v/>
      </c>
      <c r="AQ78">
        <f>AP78&amp;IF($R78="","",", "&amp;$R78)</f>
        <v/>
      </c>
      <c r="AR78">
        <f>AQ78&amp;IF($S78="","",", "&amp;$S78)</f>
        <v/>
      </c>
      <c r="AS78">
        <f>AR78&amp;IF($T78="","",", "&amp;$T78)</f>
        <v/>
      </c>
      <c r="AT78">
        <f>AS78&amp;IF($U78="","",", "&amp;$U78)</f>
        <v/>
      </c>
      <c r="AU78">
        <f>AT78&amp;IF($V78="","",", "&amp;$V78)</f>
        <v/>
      </c>
      <c r="AV78">
        <f>AU78&amp;IF($W78="","",", "&amp;$W78)</f>
        <v/>
      </c>
      <c r="AW78">
        <f>AV78&amp;IF($X78="","",", "&amp;$X78)</f>
        <v/>
      </c>
      <c r="AX78">
        <f>AW78&amp;IF($Y78="","",", "&amp;$Y78)</f>
        <v/>
      </c>
    </row>
    <row r="79">
      <c r="A79" s="118">
        <f>IF($B79="","",COUNT($B$5:$B79))</f>
        <v/>
      </c>
      <c r="B79" s="80" t="n"/>
      <c r="C79" s="80" t="n"/>
      <c r="D79" s="74" t="n"/>
      <c r="E79" s="74" t="n"/>
      <c r="F79" s="74" t="n"/>
      <c r="G79" s="118">
        <f>IF($F79="","",COUNTIF($F$5:$F79,$F79))</f>
        <v/>
      </c>
      <c r="H79" s="33">
        <f>IF($F79="","",IFERROR(INDEX(사건마스터!$B$5:$B$64,MATCH($F79,사건마스터!$A$5:$A$64,0)),""))</f>
        <v/>
      </c>
      <c r="I79" s="130">
        <f>IF($F79="","",IFERROR(INDEX(사건마스터!$C$5:$C$64,MATCH($F79,사건마스터!$A$5:$A$64,0)),""))</f>
        <v/>
      </c>
      <c r="J79" s="136">
        <f>IF($F79="","",IFERROR(INDEX(사건마스터!$H$5:$H$64,MATCH($F79,사건마스터!$A$5:$A$64,0)),""))</f>
        <v/>
      </c>
      <c r="K79" s="136">
        <f>IF($F79="","",IFERROR(INDEX(사건마스터!$AH$5:$AH$64,MATCH($F79,사건마스터!$A$5:$A$64,0)),""))</f>
        <v/>
      </c>
      <c r="L79" s="136">
        <f>IF($F79="","",IFERROR(INDEX(사건마스터!$AI$5:$AI$64,MATCH($F79,사건마스터!$A$5:$A$64,0)),""))</f>
        <v/>
      </c>
      <c r="M79" s="136">
        <f>IF($F79="","",IFERROR(INDEX(사건마스터!$AJ$5:$AJ$64,MATCH($F79,사건마스터!$A$5:$A$64,0)),""))</f>
        <v/>
      </c>
      <c r="N79" s="136">
        <f>IF($F79="","",IFERROR(INDEX(사건마스터!$AK$5:$AK$64,MATCH($F79,사건마스터!$A$5:$A$64,0)),""))</f>
        <v/>
      </c>
      <c r="O79" s="136">
        <f>IF($F79="","",IFERROR(INDEX(사건마스터!$AL$5:$AL$64,MATCH($F79,사건마스터!$A$5:$A$64,0)),""))</f>
        <v/>
      </c>
      <c r="P79" s="136">
        <f>IF($F79="","",IFERROR(INDEX(사건마스터!$AM$5:$AM$64,MATCH($F79,사건마스터!$A$5:$A$64,0)),""))</f>
        <v/>
      </c>
      <c r="Q79" s="136">
        <f>IF($F79="","",IFERROR(INDEX(사건마스터!$AN$5:$AN$64,MATCH($F79,사건마스터!$A$5:$A$64,0)),""))</f>
        <v/>
      </c>
      <c r="R79" s="136">
        <f>IF($F79="","",IFERROR(INDEX(사건마스터!$AO$5:$AO$64,MATCH($F79,사건마스터!$A$5:$A$64,0)),""))</f>
        <v/>
      </c>
      <c r="S79" s="136">
        <f>IF($F79="","",IFERROR(INDEX(사건마스터!$AP$5:$AP$64,MATCH($F79,사건마스터!$A$5:$A$64,0)),""))</f>
        <v/>
      </c>
      <c r="T79" s="136">
        <f>IF($F79="","",IFERROR(INDEX(사건마스터!$AQ$5:$AQ$64,MATCH($F79,사건마스터!$A$5:$A$64,0)),""))</f>
        <v/>
      </c>
      <c r="U79" s="136">
        <f>IF($F79="","",IFERROR(INDEX(사건마스터!$AR$5:$AR$64,MATCH($F79,사건마스터!$A$5:$A$64,0)),""))</f>
        <v/>
      </c>
      <c r="V79" s="136">
        <f>IF($F79="","",IFERROR(INDEX(사건마스터!$AS$5:$AS$64,MATCH($F79,사건마스터!$A$5:$A$64,0)),""))</f>
        <v/>
      </c>
      <c r="W79" s="136">
        <f>IF($F79="","",IFERROR(INDEX(사건마스터!$AT$5:$AT$64,MATCH($F79,사건마스터!$A$5:$A$64,0)),""))</f>
        <v/>
      </c>
      <c r="X79" s="136">
        <f>IF($F79="","",IFERROR(INDEX(사건마스터!$AU$5:$AU$64,MATCH($F79,사건마스터!$A$5:$A$64,0)),""))</f>
        <v/>
      </c>
      <c r="Y79" s="136">
        <f>IF($F79="","",IFERROR(INDEX(사건마스터!$AV$5:$AV$64,MATCH($F79,사건마스터!$A$5:$A$64,0)),""))</f>
        <v/>
      </c>
      <c r="Z79" s="118">
        <f>IF(COUNTBLANK($J79:$Y79)=16,"",16-COUNTBLANK($J79:$Y79))</f>
        <v/>
      </c>
      <c r="AA79" s="33">
        <f>IF($J79="",MID($AX79,3,255),$J79&amp;$AX79)</f>
        <v/>
      </c>
      <c r="AB79" s="130">
        <f>IF($J79="","",IFERROR(INDEX(코드설정!$D$5:$D$24,MATCH($J79,코드설정!$C$5:$C$24,0)),""))</f>
        <v/>
      </c>
      <c r="AC79" s="36" t="n"/>
      <c r="AD79" s="37" t="n"/>
      <c r="AE79" s="38" t="n"/>
      <c r="AF79" s="118">
        <f>IF(OR($B79="",$C79=""),"",$C79-$B79+1)</f>
        <v/>
      </c>
      <c r="AG79" s="74" t="n"/>
      <c r="AH79" s="36" t="n"/>
      <c r="AJ79">
        <f>IF($K79="","",", "&amp;$K79)</f>
        <v/>
      </c>
      <c r="AK79">
        <f>AJ79&amp;IF($L79="","",", "&amp;$L79)</f>
        <v/>
      </c>
      <c r="AL79">
        <f>AK79&amp;IF($M79="","",", "&amp;$M79)</f>
        <v/>
      </c>
      <c r="AM79">
        <f>AL79&amp;IF($N79="","",", "&amp;$N79)</f>
        <v/>
      </c>
      <c r="AN79">
        <f>AM79&amp;IF($O79="","",", "&amp;$O79)</f>
        <v/>
      </c>
      <c r="AO79">
        <f>AN79&amp;IF($P79="","",", "&amp;$P79)</f>
        <v/>
      </c>
      <c r="AP79">
        <f>AO79&amp;IF($Q79="","",", "&amp;$Q79)</f>
        <v/>
      </c>
      <c r="AQ79">
        <f>AP79&amp;IF($R79="","",", "&amp;$R79)</f>
        <v/>
      </c>
      <c r="AR79">
        <f>AQ79&amp;IF($S79="","",", "&amp;$S79)</f>
        <v/>
      </c>
      <c r="AS79">
        <f>AR79&amp;IF($T79="","",", "&amp;$T79)</f>
        <v/>
      </c>
      <c r="AT79">
        <f>AS79&amp;IF($U79="","",", "&amp;$U79)</f>
        <v/>
      </c>
      <c r="AU79">
        <f>AT79&amp;IF($V79="","",", "&amp;$V79)</f>
        <v/>
      </c>
      <c r="AV79">
        <f>AU79&amp;IF($W79="","",", "&amp;$W79)</f>
        <v/>
      </c>
      <c r="AW79">
        <f>AV79&amp;IF($X79="","",", "&amp;$X79)</f>
        <v/>
      </c>
      <c r="AX79">
        <f>AW79&amp;IF($Y79="","",", "&amp;$Y79)</f>
        <v/>
      </c>
    </row>
    <row r="80">
      <c r="A80" s="118">
        <f>IF($B80="","",COUNT($B$5:$B80))</f>
        <v/>
      </c>
      <c r="B80" s="80" t="n"/>
      <c r="C80" s="80" t="n"/>
      <c r="D80" s="74" t="n"/>
      <c r="E80" s="74" t="n"/>
      <c r="F80" s="74" t="n"/>
      <c r="G80" s="118">
        <f>IF($F80="","",COUNTIF($F$5:$F80,$F80))</f>
        <v/>
      </c>
      <c r="H80" s="33">
        <f>IF($F80="","",IFERROR(INDEX(사건마스터!$B$5:$B$64,MATCH($F80,사건마스터!$A$5:$A$64,0)),""))</f>
        <v/>
      </c>
      <c r="I80" s="130">
        <f>IF($F80="","",IFERROR(INDEX(사건마스터!$C$5:$C$64,MATCH($F80,사건마스터!$A$5:$A$64,0)),""))</f>
        <v/>
      </c>
      <c r="J80" s="136">
        <f>IF($F80="","",IFERROR(INDEX(사건마스터!$H$5:$H$64,MATCH($F80,사건마스터!$A$5:$A$64,0)),""))</f>
        <v/>
      </c>
      <c r="K80" s="136">
        <f>IF($F80="","",IFERROR(INDEX(사건마스터!$AH$5:$AH$64,MATCH($F80,사건마스터!$A$5:$A$64,0)),""))</f>
        <v/>
      </c>
      <c r="L80" s="136">
        <f>IF($F80="","",IFERROR(INDEX(사건마스터!$AI$5:$AI$64,MATCH($F80,사건마스터!$A$5:$A$64,0)),""))</f>
        <v/>
      </c>
      <c r="M80" s="136">
        <f>IF($F80="","",IFERROR(INDEX(사건마스터!$AJ$5:$AJ$64,MATCH($F80,사건마스터!$A$5:$A$64,0)),""))</f>
        <v/>
      </c>
      <c r="N80" s="136">
        <f>IF($F80="","",IFERROR(INDEX(사건마스터!$AK$5:$AK$64,MATCH($F80,사건마스터!$A$5:$A$64,0)),""))</f>
        <v/>
      </c>
      <c r="O80" s="136">
        <f>IF($F80="","",IFERROR(INDEX(사건마스터!$AL$5:$AL$64,MATCH($F80,사건마스터!$A$5:$A$64,0)),""))</f>
        <v/>
      </c>
      <c r="P80" s="136">
        <f>IF($F80="","",IFERROR(INDEX(사건마스터!$AM$5:$AM$64,MATCH($F80,사건마스터!$A$5:$A$64,0)),""))</f>
        <v/>
      </c>
      <c r="Q80" s="136">
        <f>IF($F80="","",IFERROR(INDEX(사건마스터!$AN$5:$AN$64,MATCH($F80,사건마스터!$A$5:$A$64,0)),""))</f>
        <v/>
      </c>
      <c r="R80" s="136">
        <f>IF($F80="","",IFERROR(INDEX(사건마스터!$AO$5:$AO$64,MATCH($F80,사건마스터!$A$5:$A$64,0)),""))</f>
        <v/>
      </c>
      <c r="S80" s="136">
        <f>IF($F80="","",IFERROR(INDEX(사건마스터!$AP$5:$AP$64,MATCH($F80,사건마스터!$A$5:$A$64,0)),""))</f>
        <v/>
      </c>
      <c r="T80" s="136">
        <f>IF($F80="","",IFERROR(INDEX(사건마스터!$AQ$5:$AQ$64,MATCH($F80,사건마스터!$A$5:$A$64,0)),""))</f>
        <v/>
      </c>
      <c r="U80" s="136">
        <f>IF($F80="","",IFERROR(INDEX(사건마스터!$AR$5:$AR$64,MATCH($F80,사건마스터!$A$5:$A$64,0)),""))</f>
        <v/>
      </c>
      <c r="V80" s="136">
        <f>IF($F80="","",IFERROR(INDEX(사건마스터!$AS$5:$AS$64,MATCH($F80,사건마스터!$A$5:$A$64,0)),""))</f>
        <v/>
      </c>
      <c r="W80" s="136">
        <f>IF($F80="","",IFERROR(INDEX(사건마스터!$AT$5:$AT$64,MATCH($F80,사건마스터!$A$5:$A$64,0)),""))</f>
        <v/>
      </c>
      <c r="X80" s="136">
        <f>IF($F80="","",IFERROR(INDEX(사건마스터!$AU$5:$AU$64,MATCH($F80,사건마스터!$A$5:$A$64,0)),""))</f>
        <v/>
      </c>
      <c r="Y80" s="136">
        <f>IF($F80="","",IFERROR(INDEX(사건마스터!$AV$5:$AV$64,MATCH($F80,사건마스터!$A$5:$A$64,0)),""))</f>
        <v/>
      </c>
      <c r="Z80" s="118">
        <f>IF(COUNTBLANK($J80:$Y80)=16,"",16-COUNTBLANK($J80:$Y80))</f>
        <v/>
      </c>
      <c r="AA80" s="33">
        <f>IF($J80="",MID($AX80,3,255),$J80&amp;$AX80)</f>
        <v/>
      </c>
      <c r="AB80" s="130">
        <f>IF($J80="","",IFERROR(INDEX(코드설정!$D$5:$D$24,MATCH($J80,코드설정!$C$5:$C$24,0)),""))</f>
        <v/>
      </c>
      <c r="AC80" s="36" t="n"/>
      <c r="AD80" s="37" t="n"/>
      <c r="AE80" s="38" t="n"/>
      <c r="AF80" s="118">
        <f>IF(OR($B80="",$C80=""),"",$C80-$B80+1)</f>
        <v/>
      </c>
      <c r="AG80" s="74" t="n"/>
      <c r="AH80" s="36" t="n"/>
      <c r="AJ80">
        <f>IF($K80="","",", "&amp;$K80)</f>
        <v/>
      </c>
      <c r="AK80">
        <f>AJ80&amp;IF($L80="","",", "&amp;$L80)</f>
        <v/>
      </c>
      <c r="AL80">
        <f>AK80&amp;IF($M80="","",", "&amp;$M80)</f>
        <v/>
      </c>
      <c r="AM80">
        <f>AL80&amp;IF($N80="","",", "&amp;$N80)</f>
        <v/>
      </c>
      <c r="AN80">
        <f>AM80&amp;IF($O80="","",", "&amp;$O80)</f>
        <v/>
      </c>
      <c r="AO80">
        <f>AN80&amp;IF($P80="","",", "&amp;$P80)</f>
        <v/>
      </c>
      <c r="AP80">
        <f>AO80&amp;IF($Q80="","",", "&amp;$Q80)</f>
        <v/>
      </c>
      <c r="AQ80">
        <f>AP80&amp;IF($R80="","",", "&amp;$R80)</f>
        <v/>
      </c>
      <c r="AR80">
        <f>AQ80&amp;IF($S80="","",", "&amp;$S80)</f>
        <v/>
      </c>
      <c r="AS80">
        <f>AR80&amp;IF($T80="","",", "&amp;$T80)</f>
        <v/>
      </c>
      <c r="AT80">
        <f>AS80&amp;IF($U80="","",", "&amp;$U80)</f>
        <v/>
      </c>
      <c r="AU80">
        <f>AT80&amp;IF($V80="","",", "&amp;$V80)</f>
        <v/>
      </c>
      <c r="AV80">
        <f>AU80&amp;IF($W80="","",", "&amp;$W80)</f>
        <v/>
      </c>
      <c r="AW80">
        <f>AV80&amp;IF($X80="","",", "&amp;$X80)</f>
        <v/>
      </c>
      <c r="AX80">
        <f>AW80&amp;IF($Y80="","",", "&amp;$Y80)</f>
        <v/>
      </c>
    </row>
    <row r="81">
      <c r="A81" s="118">
        <f>IF($B81="","",COUNT($B$5:$B81))</f>
        <v/>
      </c>
      <c r="B81" s="80" t="n"/>
      <c r="C81" s="80" t="n"/>
      <c r="D81" s="74" t="n"/>
      <c r="E81" s="74" t="n"/>
      <c r="F81" s="74" t="n"/>
      <c r="G81" s="118">
        <f>IF($F81="","",COUNTIF($F$5:$F81,$F81))</f>
        <v/>
      </c>
      <c r="H81" s="33">
        <f>IF($F81="","",IFERROR(INDEX(사건마스터!$B$5:$B$64,MATCH($F81,사건마스터!$A$5:$A$64,0)),""))</f>
        <v/>
      </c>
      <c r="I81" s="130">
        <f>IF($F81="","",IFERROR(INDEX(사건마스터!$C$5:$C$64,MATCH($F81,사건마스터!$A$5:$A$64,0)),""))</f>
        <v/>
      </c>
      <c r="J81" s="136">
        <f>IF($F81="","",IFERROR(INDEX(사건마스터!$H$5:$H$64,MATCH($F81,사건마스터!$A$5:$A$64,0)),""))</f>
        <v/>
      </c>
      <c r="K81" s="136">
        <f>IF($F81="","",IFERROR(INDEX(사건마스터!$AH$5:$AH$64,MATCH($F81,사건마스터!$A$5:$A$64,0)),""))</f>
        <v/>
      </c>
      <c r="L81" s="136">
        <f>IF($F81="","",IFERROR(INDEX(사건마스터!$AI$5:$AI$64,MATCH($F81,사건마스터!$A$5:$A$64,0)),""))</f>
        <v/>
      </c>
      <c r="M81" s="136">
        <f>IF($F81="","",IFERROR(INDEX(사건마스터!$AJ$5:$AJ$64,MATCH($F81,사건마스터!$A$5:$A$64,0)),""))</f>
        <v/>
      </c>
      <c r="N81" s="136">
        <f>IF($F81="","",IFERROR(INDEX(사건마스터!$AK$5:$AK$64,MATCH($F81,사건마스터!$A$5:$A$64,0)),""))</f>
        <v/>
      </c>
      <c r="O81" s="136">
        <f>IF($F81="","",IFERROR(INDEX(사건마스터!$AL$5:$AL$64,MATCH($F81,사건마스터!$A$5:$A$64,0)),""))</f>
        <v/>
      </c>
      <c r="P81" s="136">
        <f>IF($F81="","",IFERROR(INDEX(사건마스터!$AM$5:$AM$64,MATCH($F81,사건마스터!$A$5:$A$64,0)),""))</f>
        <v/>
      </c>
      <c r="Q81" s="136">
        <f>IF($F81="","",IFERROR(INDEX(사건마스터!$AN$5:$AN$64,MATCH($F81,사건마스터!$A$5:$A$64,0)),""))</f>
        <v/>
      </c>
      <c r="R81" s="136">
        <f>IF($F81="","",IFERROR(INDEX(사건마스터!$AO$5:$AO$64,MATCH($F81,사건마스터!$A$5:$A$64,0)),""))</f>
        <v/>
      </c>
      <c r="S81" s="136">
        <f>IF($F81="","",IFERROR(INDEX(사건마스터!$AP$5:$AP$64,MATCH($F81,사건마스터!$A$5:$A$64,0)),""))</f>
        <v/>
      </c>
      <c r="T81" s="136">
        <f>IF($F81="","",IFERROR(INDEX(사건마스터!$AQ$5:$AQ$64,MATCH($F81,사건마스터!$A$5:$A$64,0)),""))</f>
        <v/>
      </c>
      <c r="U81" s="136">
        <f>IF($F81="","",IFERROR(INDEX(사건마스터!$AR$5:$AR$64,MATCH($F81,사건마스터!$A$5:$A$64,0)),""))</f>
        <v/>
      </c>
      <c r="V81" s="136">
        <f>IF($F81="","",IFERROR(INDEX(사건마스터!$AS$5:$AS$64,MATCH($F81,사건마스터!$A$5:$A$64,0)),""))</f>
        <v/>
      </c>
      <c r="W81" s="136">
        <f>IF($F81="","",IFERROR(INDEX(사건마스터!$AT$5:$AT$64,MATCH($F81,사건마스터!$A$5:$A$64,0)),""))</f>
        <v/>
      </c>
      <c r="X81" s="136">
        <f>IF($F81="","",IFERROR(INDEX(사건마스터!$AU$5:$AU$64,MATCH($F81,사건마스터!$A$5:$A$64,0)),""))</f>
        <v/>
      </c>
      <c r="Y81" s="136">
        <f>IF($F81="","",IFERROR(INDEX(사건마스터!$AV$5:$AV$64,MATCH($F81,사건마스터!$A$5:$A$64,0)),""))</f>
        <v/>
      </c>
      <c r="Z81" s="118">
        <f>IF(COUNTBLANK($J81:$Y81)=16,"",16-COUNTBLANK($J81:$Y81))</f>
        <v/>
      </c>
      <c r="AA81" s="33">
        <f>IF($J81="",MID($AX81,3,255),$J81&amp;$AX81)</f>
        <v/>
      </c>
      <c r="AB81" s="130">
        <f>IF($J81="","",IFERROR(INDEX(코드설정!$D$5:$D$24,MATCH($J81,코드설정!$C$5:$C$24,0)),""))</f>
        <v/>
      </c>
      <c r="AC81" s="36" t="n"/>
      <c r="AD81" s="37" t="n"/>
      <c r="AE81" s="38" t="n"/>
      <c r="AF81" s="118">
        <f>IF(OR($B81="",$C81=""),"",$C81-$B81+1)</f>
        <v/>
      </c>
      <c r="AG81" s="74" t="n"/>
      <c r="AH81" s="36" t="n"/>
      <c r="AJ81">
        <f>IF($K81="","",", "&amp;$K81)</f>
        <v/>
      </c>
      <c r="AK81">
        <f>AJ81&amp;IF($L81="","",", "&amp;$L81)</f>
        <v/>
      </c>
      <c r="AL81">
        <f>AK81&amp;IF($M81="","",", "&amp;$M81)</f>
        <v/>
      </c>
      <c r="AM81">
        <f>AL81&amp;IF($N81="","",", "&amp;$N81)</f>
        <v/>
      </c>
      <c r="AN81">
        <f>AM81&amp;IF($O81="","",", "&amp;$O81)</f>
        <v/>
      </c>
      <c r="AO81">
        <f>AN81&amp;IF($P81="","",", "&amp;$P81)</f>
        <v/>
      </c>
      <c r="AP81">
        <f>AO81&amp;IF($Q81="","",", "&amp;$Q81)</f>
        <v/>
      </c>
      <c r="AQ81">
        <f>AP81&amp;IF($R81="","",", "&amp;$R81)</f>
        <v/>
      </c>
      <c r="AR81">
        <f>AQ81&amp;IF($S81="","",", "&amp;$S81)</f>
        <v/>
      </c>
      <c r="AS81">
        <f>AR81&amp;IF($T81="","",", "&amp;$T81)</f>
        <v/>
      </c>
      <c r="AT81">
        <f>AS81&amp;IF($U81="","",", "&amp;$U81)</f>
        <v/>
      </c>
      <c r="AU81">
        <f>AT81&amp;IF($V81="","",", "&amp;$V81)</f>
        <v/>
      </c>
      <c r="AV81">
        <f>AU81&amp;IF($W81="","",", "&amp;$W81)</f>
        <v/>
      </c>
      <c r="AW81">
        <f>AV81&amp;IF($X81="","",", "&amp;$X81)</f>
        <v/>
      </c>
      <c r="AX81">
        <f>AW81&amp;IF($Y81="","",", "&amp;$Y81)</f>
        <v/>
      </c>
    </row>
    <row r="82">
      <c r="A82" s="118">
        <f>IF($B82="","",COUNT($B$5:$B82))</f>
        <v/>
      </c>
      <c r="B82" s="80" t="n"/>
      <c r="C82" s="80" t="n"/>
      <c r="D82" s="74" t="n"/>
      <c r="E82" s="74" t="n"/>
      <c r="F82" s="74" t="n"/>
      <c r="G82" s="118">
        <f>IF($F82="","",COUNTIF($F$5:$F82,$F82))</f>
        <v/>
      </c>
      <c r="H82" s="33">
        <f>IF($F82="","",IFERROR(INDEX(사건마스터!$B$5:$B$64,MATCH($F82,사건마스터!$A$5:$A$64,0)),""))</f>
        <v/>
      </c>
      <c r="I82" s="130">
        <f>IF($F82="","",IFERROR(INDEX(사건마스터!$C$5:$C$64,MATCH($F82,사건마스터!$A$5:$A$64,0)),""))</f>
        <v/>
      </c>
      <c r="J82" s="136">
        <f>IF($F82="","",IFERROR(INDEX(사건마스터!$H$5:$H$64,MATCH($F82,사건마스터!$A$5:$A$64,0)),""))</f>
        <v/>
      </c>
      <c r="K82" s="136">
        <f>IF($F82="","",IFERROR(INDEX(사건마스터!$AH$5:$AH$64,MATCH($F82,사건마스터!$A$5:$A$64,0)),""))</f>
        <v/>
      </c>
      <c r="L82" s="136">
        <f>IF($F82="","",IFERROR(INDEX(사건마스터!$AI$5:$AI$64,MATCH($F82,사건마스터!$A$5:$A$64,0)),""))</f>
        <v/>
      </c>
      <c r="M82" s="136">
        <f>IF($F82="","",IFERROR(INDEX(사건마스터!$AJ$5:$AJ$64,MATCH($F82,사건마스터!$A$5:$A$64,0)),""))</f>
        <v/>
      </c>
      <c r="N82" s="136">
        <f>IF($F82="","",IFERROR(INDEX(사건마스터!$AK$5:$AK$64,MATCH($F82,사건마스터!$A$5:$A$64,0)),""))</f>
        <v/>
      </c>
      <c r="O82" s="136">
        <f>IF($F82="","",IFERROR(INDEX(사건마스터!$AL$5:$AL$64,MATCH($F82,사건마스터!$A$5:$A$64,0)),""))</f>
        <v/>
      </c>
      <c r="P82" s="136">
        <f>IF($F82="","",IFERROR(INDEX(사건마스터!$AM$5:$AM$64,MATCH($F82,사건마스터!$A$5:$A$64,0)),""))</f>
        <v/>
      </c>
      <c r="Q82" s="136">
        <f>IF($F82="","",IFERROR(INDEX(사건마스터!$AN$5:$AN$64,MATCH($F82,사건마스터!$A$5:$A$64,0)),""))</f>
        <v/>
      </c>
      <c r="R82" s="136">
        <f>IF($F82="","",IFERROR(INDEX(사건마스터!$AO$5:$AO$64,MATCH($F82,사건마스터!$A$5:$A$64,0)),""))</f>
        <v/>
      </c>
      <c r="S82" s="136">
        <f>IF($F82="","",IFERROR(INDEX(사건마스터!$AP$5:$AP$64,MATCH($F82,사건마스터!$A$5:$A$64,0)),""))</f>
        <v/>
      </c>
      <c r="T82" s="136">
        <f>IF($F82="","",IFERROR(INDEX(사건마스터!$AQ$5:$AQ$64,MATCH($F82,사건마스터!$A$5:$A$64,0)),""))</f>
        <v/>
      </c>
      <c r="U82" s="136">
        <f>IF($F82="","",IFERROR(INDEX(사건마스터!$AR$5:$AR$64,MATCH($F82,사건마스터!$A$5:$A$64,0)),""))</f>
        <v/>
      </c>
      <c r="V82" s="136">
        <f>IF($F82="","",IFERROR(INDEX(사건마스터!$AS$5:$AS$64,MATCH($F82,사건마스터!$A$5:$A$64,0)),""))</f>
        <v/>
      </c>
      <c r="W82" s="136">
        <f>IF($F82="","",IFERROR(INDEX(사건마스터!$AT$5:$AT$64,MATCH($F82,사건마스터!$A$5:$A$64,0)),""))</f>
        <v/>
      </c>
      <c r="X82" s="136">
        <f>IF($F82="","",IFERROR(INDEX(사건마스터!$AU$5:$AU$64,MATCH($F82,사건마스터!$A$5:$A$64,0)),""))</f>
        <v/>
      </c>
      <c r="Y82" s="136">
        <f>IF($F82="","",IFERROR(INDEX(사건마스터!$AV$5:$AV$64,MATCH($F82,사건마스터!$A$5:$A$64,0)),""))</f>
        <v/>
      </c>
      <c r="Z82" s="118">
        <f>IF(COUNTBLANK($J82:$Y82)=16,"",16-COUNTBLANK($J82:$Y82))</f>
        <v/>
      </c>
      <c r="AA82" s="33">
        <f>IF($J82="",MID($AX82,3,255),$J82&amp;$AX82)</f>
        <v/>
      </c>
      <c r="AB82" s="130">
        <f>IF($J82="","",IFERROR(INDEX(코드설정!$D$5:$D$24,MATCH($J82,코드설정!$C$5:$C$24,0)),""))</f>
        <v/>
      </c>
      <c r="AC82" s="36" t="n"/>
      <c r="AD82" s="37" t="n"/>
      <c r="AE82" s="38" t="n"/>
      <c r="AF82" s="118">
        <f>IF(OR($B82="",$C82=""),"",$C82-$B82+1)</f>
        <v/>
      </c>
      <c r="AG82" s="74" t="n"/>
      <c r="AH82" s="36" t="n"/>
      <c r="AJ82">
        <f>IF($K82="","",", "&amp;$K82)</f>
        <v/>
      </c>
      <c r="AK82">
        <f>AJ82&amp;IF($L82="","",", "&amp;$L82)</f>
        <v/>
      </c>
      <c r="AL82">
        <f>AK82&amp;IF($M82="","",", "&amp;$M82)</f>
        <v/>
      </c>
      <c r="AM82">
        <f>AL82&amp;IF($N82="","",", "&amp;$N82)</f>
        <v/>
      </c>
      <c r="AN82">
        <f>AM82&amp;IF($O82="","",", "&amp;$O82)</f>
        <v/>
      </c>
      <c r="AO82">
        <f>AN82&amp;IF($P82="","",", "&amp;$P82)</f>
        <v/>
      </c>
      <c r="AP82">
        <f>AO82&amp;IF($Q82="","",", "&amp;$Q82)</f>
        <v/>
      </c>
      <c r="AQ82">
        <f>AP82&amp;IF($R82="","",", "&amp;$R82)</f>
        <v/>
      </c>
      <c r="AR82">
        <f>AQ82&amp;IF($S82="","",", "&amp;$S82)</f>
        <v/>
      </c>
      <c r="AS82">
        <f>AR82&amp;IF($T82="","",", "&amp;$T82)</f>
        <v/>
      </c>
      <c r="AT82">
        <f>AS82&amp;IF($U82="","",", "&amp;$U82)</f>
        <v/>
      </c>
      <c r="AU82">
        <f>AT82&amp;IF($V82="","",", "&amp;$V82)</f>
        <v/>
      </c>
      <c r="AV82">
        <f>AU82&amp;IF($W82="","",", "&amp;$W82)</f>
        <v/>
      </c>
      <c r="AW82">
        <f>AV82&amp;IF($X82="","",", "&amp;$X82)</f>
        <v/>
      </c>
      <c r="AX82">
        <f>AW82&amp;IF($Y82="","",", "&amp;$Y82)</f>
        <v/>
      </c>
    </row>
    <row r="83">
      <c r="A83" s="118">
        <f>IF($B83="","",COUNT($B$5:$B83))</f>
        <v/>
      </c>
      <c r="B83" s="80" t="n"/>
      <c r="C83" s="80" t="n"/>
      <c r="D83" s="74" t="n"/>
      <c r="E83" s="74" t="n"/>
      <c r="F83" s="74" t="n"/>
      <c r="G83" s="118">
        <f>IF($F83="","",COUNTIF($F$5:$F83,$F83))</f>
        <v/>
      </c>
      <c r="H83" s="33">
        <f>IF($F83="","",IFERROR(INDEX(사건마스터!$B$5:$B$64,MATCH($F83,사건마스터!$A$5:$A$64,0)),""))</f>
        <v/>
      </c>
      <c r="I83" s="130">
        <f>IF($F83="","",IFERROR(INDEX(사건마스터!$C$5:$C$64,MATCH($F83,사건마스터!$A$5:$A$64,0)),""))</f>
        <v/>
      </c>
      <c r="J83" s="136">
        <f>IF($F83="","",IFERROR(INDEX(사건마스터!$H$5:$H$64,MATCH($F83,사건마스터!$A$5:$A$64,0)),""))</f>
        <v/>
      </c>
      <c r="K83" s="136">
        <f>IF($F83="","",IFERROR(INDEX(사건마스터!$AH$5:$AH$64,MATCH($F83,사건마스터!$A$5:$A$64,0)),""))</f>
        <v/>
      </c>
      <c r="L83" s="136">
        <f>IF($F83="","",IFERROR(INDEX(사건마스터!$AI$5:$AI$64,MATCH($F83,사건마스터!$A$5:$A$64,0)),""))</f>
        <v/>
      </c>
      <c r="M83" s="136">
        <f>IF($F83="","",IFERROR(INDEX(사건마스터!$AJ$5:$AJ$64,MATCH($F83,사건마스터!$A$5:$A$64,0)),""))</f>
        <v/>
      </c>
      <c r="N83" s="136">
        <f>IF($F83="","",IFERROR(INDEX(사건마스터!$AK$5:$AK$64,MATCH($F83,사건마스터!$A$5:$A$64,0)),""))</f>
        <v/>
      </c>
      <c r="O83" s="136">
        <f>IF($F83="","",IFERROR(INDEX(사건마스터!$AL$5:$AL$64,MATCH($F83,사건마스터!$A$5:$A$64,0)),""))</f>
        <v/>
      </c>
      <c r="P83" s="136">
        <f>IF($F83="","",IFERROR(INDEX(사건마스터!$AM$5:$AM$64,MATCH($F83,사건마스터!$A$5:$A$64,0)),""))</f>
        <v/>
      </c>
      <c r="Q83" s="136">
        <f>IF($F83="","",IFERROR(INDEX(사건마스터!$AN$5:$AN$64,MATCH($F83,사건마스터!$A$5:$A$64,0)),""))</f>
        <v/>
      </c>
      <c r="R83" s="136">
        <f>IF($F83="","",IFERROR(INDEX(사건마스터!$AO$5:$AO$64,MATCH($F83,사건마스터!$A$5:$A$64,0)),""))</f>
        <v/>
      </c>
      <c r="S83" s="136">
        <f>IF($F83="","",IFERROR(INDEX(사건마스터!$AP$5:$AP$64,MATCH($F83,사건마스터!$A$5:$A$64,0)),""))</f>
        <v/>
      </c>
      <c r="T83" s="136">
        <f>IF($F83="","",IFERROR(INDEX(사건마스터!$AQ$5:$AQ$64,MATCH($F83,사건마스터!$A$5:$A$64,0)),""))</f>
        <v/>
      </c>
      <c r="U83" s="136">
        <f>IF($F83="","",IFERROR(INDEX(사건마스터!$AR$5:$AR$64,MATCH($F83,사건마스터!$A$5:$A$64,0)),""))</f>
        <v/>
      </c>
      <c r="V83" s="136">
        <f>IF($F83="","",IFERROR(INDEX(사건마스터!$AS$5:$AS$64,MATCH($F83,사건마스터!$A$5:$A$64,0)),""))</f>
        <v/>
      </c>
      <c r="W83" s="136">
        <f>IF($F83="","",IFERROR(INDEX(사건마스터!$AT$5:$AT$64,MATCH($F83,사건마스터!$A$5:$A$64,0)),""))</f>
        <v/>
      </c>
      <c r="X83" s="136">
        <f>IF($F83="","",IFERROR(INDEX(사건마스터!$AU$5:$AU$64,MATCH($F83,사건마스터!$A$5:$A$64,0)),""))</f>
        <v/>
      </c>
      <c r="Y83" s="136">
        <f>IF($F83="","",IFERROR(INDEX(사건마스터!$AV$5:$AV$64,MATCH($F83,사건마스터!$A$5:$A$64,0)),""))</f>
        <v/>
      </c>
      <c r="Z83" s="118">
        <f>IF(COUNTBLANK($J83:$Y83)=16,"",16-COUNTBLANK($J83:$Y83))</f>
        <v/>
      </c>
      <c r="AA83" s="33">
        <f>IF($J83="",MID($AX83,3,255),$J83&amp;$AX83)</f>
        <v/>
      </c>
      <c r="AB83" s="130">
        <f>IF($J83="","",IFERROR(INDEX(코드설정!$D$5:$D$24,MATCH($J83,코드설정!$C$5:$C$24,0)),""))</f>
        <v/>
      </c>
      <c r="AC83" s="36" t="n"/>
      <c r="AD83" s="37" t="n"/>
      <c r="AE83" s="38" t="n"/>
      <c r="AF83" s="118">
        <f>IF(OR($B83="",$C83=""),"",$C83-$B83+1)</f>
        <v/>
      </c>
      <c r="AG83" s="74" t="n"/>
      <c r="AH83" s="36" t="n"/>
      <c r="AJ83">
        <f>IF($K83="","",", "&amp;$K83)</f>
        <v/>
      </c>
      <c r="AK83">
        <f>AJ83&amp;IF($L83="","",", "&amp;$L83)</f>
        <v/>
      </c>
      <c r="AL83">
        <f>AK83&amp;IF($M83="","",", "&amp;$M83)</f>
        <v/>
      </c>
      <c r="AM83">
        <f>AL83&amp;IF($N83="","",", "&amp;$N83)</f>
        <v/>
      </c>
      <c r="AN83">
        <f>AM83&amp;IF($O83="","",", "&amp;$O83)</f>
        <v/>
      </c>
      <c r="AO83">
        <f>AN83&amp;IF($P83="","",", "&amp;$P83)</f>
        <v/>
      </c>
      <c r="AP83">
        <f>AO83&amp;IF($Q83="","",", "&amp;$Q83)</f>
        <v/>
      </c>
      <c r="AQ83">
        <f>AP83&amp;IF($R83="","",", "&amp;$R83)</f>
        <v/>
      </c>
      <c r="AR83">
        <f>AQ83&amp;IF($S83="","",", "&amp;$S83)</f>
        <v/>
      </c>
      <c r="AS83">
        <f>AR83&amp;IF($T83="","",", "&amp;$T83)</f>
        <v/>
      </c>
      <c r="AT83">
        <f>AS83&amp;IF($U83="","",", "&amp;$U83)</f>
        <v/>
      </c>
      <c r="AU83">
        <f>AT83&amp;IF($V83="","",", "&amp;$V83)</f>
        <v/>
      </c>
      <c r="AV83">
        <f>AU83&amp;IF($W83="","",", "&amp;$W83)</f>
        <v/>
      </c>
      <c r="AW83">
        <f>AV83&amp;IF($X83="","",", "&amp;$X83)</f>
        <v/>
      </c>
      <c r="AX83">
        <f>AW83&amp;IF($Y83="","",", "&amp;$Y83)</f>
        <v/>
      </c>
    </row>
    <row r="84">
      <c r="A84" s="118">
        <f>IF($B84="","",COUNT($B$5:$B84))</f>
        <v/>
      </c>
      <c r="B84" s="80" t="n"/>
      <c r="C84" s="80" t="n"/>
      <c r="D84" s="74" t="n"/>
      <c r="E84" s="74" t="n"/>
      <c r="F84" s="74" t="n"/>
      <c r="G84" s="118">
        <f>IF($F84="","",COUNTIF($F$5:$F84,$F84))</f>
        <v/>
      </c>
      <c r="H84" s="33">
        <f>IF($F84="","",IFERROR(INDEX(사건마스터!$B$5:$B$64,MATCH($F84,사건마스터!$A$5:$A$64,0)),""))</f>
        <v/>
      </c>
      <c r="I84" s="130">
        <f>IF($F84="","",IFERROR(INDEX(사건마스터!$C$5:$C$64,MATCH($F84,사건마스터!$A$5:$A$64,0)),""))</f>
        <v/>
      </c>
      <c r="J84" s="136">
        <f>IF($F84="","",IFERROR(INDEX(사건마스터!$H$5:$H$64,MATCH($F84,사건마스터!$A$5:$A$64,0)),""))</f>
        <v/>
      </c>
      <c r="K84" s="136">
        <f>IF($F84="","",IFERROR(INDEX(사건마스터!$AH$5:$AH$64,MATCH($F84,사건마스터!$A$5:$A$64,0)),""))</f>
        <v/>
      </c>
      <c r="L84" s="136">
        <f>IF($F84="","",IFERROR(INDEX(사건마스터!$AI$5:$AI$64,MATCH($F84,사건마스터!$A$5:$A$64,0)),""))</f>
        <v/>
      </c>
      <c r="M84" s="136">
        <f>IF($F84="","",IFERROR(INDEX(사건마스터!$AJ$5:$AJ$64,MATCH($F84,사건마스터!$A$5:$A$64,0)),""))</f>
        <v/>
      </c>
      <c r="N84" s="136">
        <f>IF($F84="","",IFERROR(INDEX(사건마스터!$AK$5:$AK$64,MATCH($F84,사건마스터!$A$5:$A$64,0)),""))</f>
        <v/>
      </c>
      <c r="O84" s="136">
        <f>IF($F84="","",IFERROR(INDEX(사건마스터!$AL$5:$AL$64,MATCH($F84,사건마스터!$A$5:$A$64,0)),""))</f>
        <v/>
      </c>
      <c r="P84" s="136">
        <f>IF($F84="","",IFERROR(INDEX(사건마스터!$AM$5:$AM$64,MATCH($F84,사건마스터!$A$5:$A$64,0)),""))</f>
        <v/>
      </c>
      <c r="Q84" s="136">
        <f>IF($F84="","",IFERROR(INDEX(사건마스터!$AN$5:$AN$64,MATCH($F84,사건마스터!$A$5:$A$64,0)),""))</f>
        <v/>
      </c>
      <c r="R84" s="136">
        <f>IF($F84="","",IFERROR(INDEX(사건마스터!$AO$5:$AO$64,MATCH($F84,사건마스터!$A$5:$A$64,0)),""))</f>
        <v/>
      </c>
      <c r="S84" s="136">
        <f>IF($F84="","",IFERROR(INDEX(사건마스터!$AP$5:$AP$64,MATCH($F84,사건마스터!$A$5:$A$64,0)),""))</f>
        <v/>
      </c>
      <c r="T84" s="136">
        <f>IF($F84="","",IFERROR(INDEX(사건마스터!$AQ$5:$AQ$64,MATCH($F84,사건마스터!$A$5:$A$64,0)),""))</f>
        <v/>
      </c>
      <c r="U84" s="136">
        <f>IF($F84="","",IFERROR(INDEX(사건마스터!$AR$5:$AR$64,MATCH($F84,사건마스터!$A$5:$A$64,0)),""))</f>
        <v/>
      </c>
      <c r="V84" s="136">
        <f>IF($F84="","",IFERROR(INDEX(사건마스터!$AS$5:$AS$64,MATCH($F84,사건마스터!$A$5:$A$64,0)),""))</f>
        <v/>
      </c>
      <c r="W84" s="136">
        <f>IF($F84="","",IFERROR(INDEX(사건마스터!$AT$5:$AT$64,MATCH($F84,사건마스터!$A$5:$A$64,0)),""))</f>
        <v/>
      </c>
      <c r="X84" s="136">
        <f>IF($F84="","",IFERROR(INDEX(사건마스터!$AU$5:$AU$64,MATCH($F84,사건마스터!$A$5:$A$64,0)),""))</f>
        <v/>
      </c>
      <c r="Y84" s="136">
        <f>IF($F84="","",IFERROR(INDEX(사건마스터!$AV$5:$AV$64,MATCH($F84,사건마스터!$A$5:$A$64,0)),""))</f>
        <v/>
      </c>
      <c r="Z84" s="118">
        <f>IF(COUNTBLANK($J84:$Y84)=16,"",16-COUNTBLANK($J84:$Y84))</f>
        <v/>
      </c>
      <c r="AA84" s="33">
        <f>IF($J84="",MID($AX84,3,255),$J84&amp;$AX84)</f>
        <v/>
      </c>
      <c r="AB84" s="130">
        <f>IF($J84="","",IFERROR(INDEX(코드설정!$D$5:$D$24,MATCH($J84,코드설정!$C$5:$C$24,0)),""))</f>
        <v/>
      </c>
      <c r="AC84" s="36" t="n"/>
      <c r="AD84" s="37" t="n"/>
      <c r="AE84" s="38" t="n"/>
      <c r="AF84" s="118">
        <f>IF(OR($B84="",$C84=""),"",$C84-$B84+1)</f>
        <v/>
      </c>
      <c r="AG84" s="74" t="n"/>
      <c r="AH84" s="36" t="n"/>
      <c r="AJ84">
        <f>IF($K84="","",", "&amp;$K84)</f>
        <v/>
      </c>
      <c r="AK84">
        <f>AJ84&amp;IF($L84="","",", "&amp;$L84)</f>
        <v/>
      </c>
      <c r="AL84">
        <f>AK84&amp;IF($M84="","",", "&amp;$M84)</f>
        <v/>
      </c>
      <c r="AM84">
        <f>AL84&amp;IF($N84="","",", "&amp;$N84)</f>
        <v/>
      </c>
      <c r="AN84">
        <f>AM84&amp;IF($O84="","",", "&amp;$O84)</f>
        <v/>
      </c>
      <c r="AO84">
        <f>AN84&amp;IF($P84="","",", "&amp;$P84)</f>
        <v/>
      </c>
      <c r="AP84">
        <f>AO84&amp;IF($Q84="","",", "&amp;$Q84)</f>
        <v/>
      </c>
      <c r="AQ84">
        <f>AP84&amp;IF($R84="","",", "&amp;$R84)</f>
        <v/>
      </c>
      <c r="AR84">
        <f>AQ84&amp;IF($S84="","",", "&amp;$S84)</f>
        <v/>
      </c>
      <c r="AS84">
        <f>AR84&amp;IF($T84="","",", "&amp;$T84)</f>
        <v/>
      </c>
      <c r="AT84">
        <f>AS84&amp;IF($U84="","",", "&amp;$U84)</f>
        <v/>
      </c>
      <c r="AU84">
        <f>AT84&amp;IF($V84="","",", "&amp;$V84)</f>
        <v/>
      </c>
      <c r="AV84">
        <f>AU84&amp;IF($W84="","",", "&amp;$W84)</f>
        <v/>
      </c>
      <c r="AW84">
        <f>AV84&amp;IF($X84="","",", "&amp;$X84)</f>
        <v/>
      </c>
      <c r="AX84">
        <f>AW84&amp;IF($Y84="","",", "&amp;$Y84)</f>
        <v/>
      </c>
    </row>
    <row r="85">
      <c r="A85" s="118">
        <f>IF($B85="","",COUNT($B$5:$B85))</f>
        <v/>
      </c>
      <c r="B85" s="80" t="n"/>
      <c r="C85" s="80" t="n"/>
      <c r="D85" s="74" t="n"/>
      <c r="E85" s="74" t="n"/>
      <c r="F85" s="74" t="n"/>
      <c r="G85" s="118">
        <f>IF($F85="","",COUNTIF($F$5:$F85,$F85))</f>
        <v/>
      </c>
      <c r="H85" s="33">
        <f>IF($F85="","",IFERROR(INDEX(사건마스터!$B$5:$B$64,MATCH($F85,사건마스터!$A$5:$A$64,0)),""))</f>
        <v/>
      </c>
      <c r="I85" s="130">
        <f>IF($F85="","",IFERROR(INDEX(사건마스터!$C$5:$C$64,MATCH($F85,사건마스터!$A$5:$A$64,0)),""))</f>
        <v/>
      </c>
      <c r="J85" s="136">
        <f>IF($F85="","",IFERROR(INDEX(사건마스터!$H$5:$H$64,MATCH($F85,사건마스터!$A$5:$A$64,0)),""))</f>
        <v/>
      </c>
      <c r="K85" s="136">
        <f>IF($F85="","",IFERROR(INDEX(사건마스터!$AH$5:$AH$64,MATCH($F85,사건마스터!$A$5:$A$64,0)),""))</f>
        <v/>
      </c>
      <c r="L85" s="136">
        <f>IF($F85="","",IFERROR(INDEX(사건마스터!$AI$5:$AI$64,MATCH($F85,사건마스터!$A$5:$A$64,0)),""))</f>
        <v/>
      </c>
      <c r="M85" s="136">
        <f>IF($F85="","",IFERROR(INDEX(사건마스터!$AJ$5:$AJ$64,MATCH($F85,사건마스터!$A$5:$A$64,0)),""))</f>
        <v/>
      </c>
      <c r="N85" s="136">
        <f>IF($F85="","",IFERROR(INDEX(사건마스터!$AK$5:$AK$64,MATCH($F85,사건마스터!$A$5:$A$64,0)),""))</f>
        <v/>
      </c>
      <c r="O85" s="136">
        <f>IF($F85="","",IFERROR(INDEX(사건마스터!$AL$5:$AL$64,MATCH($F85,사건마스터!$A$5:$A$64,0)),""))</f>
        <v/>
      </c>
      <c r="P85" s="136">
        <f>IF($F85="","",IFERROR(INDEX(사건마스터!$AM$5:$AM$64,MATCH($F85,사건마스터!$A$5:$A$64,0)),""))</f>
        <v/>
      </c>
      <c r="Q85" s="136">
        <f>IF($F85="","",IFERROR(INDEX(사건마스터!$AN$5:$AN$64,MATCH($F85,사건마스터!$A$5:$A$64,0)),""))</f>
        <v/>
      </c>
      <c r="R85" s="136">
        <f>IF($F85="","",IFERROR(INDEX(사건마스터!$AO$5:$AO$64,MATCH($F85,사건마스터!$A$5:$A$64,0)),""))</f>
        <v/>
      </c>
      <c r="S85" s="136">
        <f>IF($F85="","",IFERROR(INDEX(사건마스터!$AP$5:$AP$64,MATCH($F85,사건마스터!$A$5:$A$64,0)),""))</f>
        <v/>
      </c>
      <c r="T85" s="136">
        <f>IF($F85="","",IFERROR(INDEX(사건마스터!$AQ$5:$AQ$64,MATCH($F85,사건마스터!$A$5:$A$64,0)),""))</f>
        <v/>
      </c>
      <c r="U85" s="136">
        <f>IF($F85="","",IFERROR(INDEX(사건마스터!$AR$5:$AR$64,MATCH($F85,사건마스터!$A$5:$A$64,0)),""))</f>
        <v/>
      </c>
      <c r="V85" s="136">
        <f>IF($F85="","",IFERROR(INDEX(사건마스터!$AS$5:$AS$64,MATCH($F85,사건마스터!$A$5:$A$64,0)),""))</f>
        <v/>
      </c>
      <c r="W85" s="136">
        <f>IF($F85="","",IFERROR(INDEX(사건마스터!$AT$5:$AT$64,MATCH($F85,사건마스터!$A$5:$A$64,0)),""))</f>
        <v/>
      </c>
      <c r="X85" s="136">
        <f>IF($F85="","",IFERROR(INDEX(사건마스터!$AU$5:$AU$64,MATCH($F85,사건마스터!$A$5:$A$64,0)),""))</f>
        <v/>
      </c>
      <c r="Y85" s="136">
        <f>IF($F85="","",IFERROR(INDEX(사건마스터!$AV$5:$AV$64,MATCH($F85,사건마스터!$A$5:$A$64,0)),""))</f>
        <v/>
      </c>
      <c r="Z85" s="118">
        <f>IF(COUNTBLANK($J85:$Y85)=16,"",16-COUNTBLANK($J85:$Y85))</f>
        <v/>
      </c>
      <c r="AA85" s="33">
        <f>IF($J85="",MID($AX85,3,255),$J85&amp;$AX85)</f>
        <v/>
      </c>
      <c r="AB85" s="130">
        <f>IF($J85="","",IFERROR(INDEX(코드설정!$D$5:$D$24,MATCH($J85,코드설정!$C$5:$C$24,0)),""))</f>
        <v/>
      </c>
      <c r="AC85" s="36" t="n"/>
      <c r="AD85" s="37" t="n"/>
      <c r="AE85" s="38" t="n"/>
      <c r="AF85" s="118">
        <f>IF(OR($B85="",$C85=""),"",$C85-$B85+1)</f>
        <v/>
      </c>
      <c r="AG85" s="74" t="n"/>
      <c r="AH85" s="36" t="n"/>
      <c r="AJ85">
        <f>IF($K85="","",", "&amp;$K85)</f>
        <v/>
      </c>
      <c r="AK85">
        <f>AJ85&amp;IF($L85="","",", "&amp;$L85)</f>
        <v/>
      </c>
      <c r="AL85">
        <f>AK85&amp;IF($M85="","",", "&amp;$M85)</f>
        <v/>
      </c>
      <c r="AM85">
        <f>AL85&amp;IF($N85="","",", "&amp;$N85)</f>
        <v/>
      </c>
      <c r="AN85">
        <f>AM85&amp;IF($O85="","",", "&amp;$O85)</f>
        <v/>
      </c>
      <c r="AO85">
        <f>AN85&amp;IF($P85="","",", "&amp;$P85)</f>
        <v/>
      </c>
      <c r="AP85">
        <f>AO85&amp;IF($Q85="","",", "&amp;$Q85)</f>
        <v/>
      </c>
      <c r="AQ85">
        <f>AP85&amp;IF($R85="","",", "&amp;$R85)</f>
        <v/>
      </c>
      <c r="AR85">
        <f>AQ85&amp;IF($S85="","",", "&amp;$S85)</f>
        <v/>
      </c>
      <c r="AS85">
        <f>AR85&amp;IF($T85="","",", "&amp;$T85)</f>
        <v/>
      </c>
      <c r="AT85">
        <f>AS85&amp;IF($U85="","",", "&amp;$U85)</f>
        <v/>
      </c>
      <c r="AU85">
        <f>AT85&amp;IF($V85="","",", "&amp;$V85)</f>
        <v/>
      </c>
      <c r="AV85">
        <f>AU85&amp;IF($W85="","",", "&amp;$W85)</f>
        <v/>
      </c>
      <c r="AW85">
        <f>AV85&amp;IF($X85="","",", "&amp;$X85)</f>
        <v/>
      </c>
      <c r="AX85">
        <f>AW85&amp;IF($Y85="","",", "&amp;$Y85)</f>
        <v/>
      </c>
    </row>
    <row r="86">
      <c r="A86" s="118">
        <f>IF($B86="","",COUNT($B$5:$B86))</f>
        <v/>
      </c>
      <c r="B86" s="80" t="n"/>
      <c r="C86" s="80" t="n"/>
      <c r="D86" s="74" t="n"/>
      <c r="E86" s="74" t="n"/>
      <c r="F86" s="74" t="n"/>
      <c r="G86" s="118">
        <f>IF($F86="","",COUNTIF($F$5:$F86,$F86))</f>
        <v/>
      </c>
      <c r="H86" s="33">
        <f>IF($F86="","",IFERROR(INDEX(사건마스터!$B$5:$B$64,MATCH($F86,사건마스터!$A$5:$A$64,0)),""))</f>
        <v/>
      </c>
      <c r="I86" s="130">
        <f>IF($F86="","",IFERROR(INDEX(사건마스터!$C$5:$C$64,MATCH($F86,사건마스터!$A$5:$A$64,0)),""))</f>
        <v/>
      </c>
      <c r="J86" s="136">
        <f>IF($F86="","",IFERROR(INDEX(사건마스터!$H$5:$H$64,MATCH($F86,사건마스터!$A$5:$A$64,0)),""))</f>
        <v/>
      </c>
      <c r="K86" s="136">
        <f>IF($F86="","",IFERROR(INDEX(사건마스터!$AH$5:$AH$64,MATCH($F86,사건마스터!$A$5:$A$64,0)),""))</f>
        <v/>
      </c>
      <c r="L86" s="136">
        <f>IF($F86="","",IFERROR(INDEX(사건마스터!$AI$5:$AI$64,MATCH($F86,사건마스터!$A$5:$A$64,0)),""))</f>
        <v/>
      </c>
      <c r="M86" s="136">
        <f>IF($F86="","",IFERROR(INDEX(사건마스터!$AJ$5:$AJ$64,MATCH($F86,사건마스터!$A$5:$A$64,0)),""))</f>
        <v/>
      </c>
      <c r="N86" s="136">
        <f>IF($F86="","",IFERROR(INDEX(사건마스터!$AK$5:$AK$64,MATCH($F86,사건마스터!$A$5:$A$64,0)),""))</f>
        <v/>
      </c>
      <c r="O86" s="136">
        <f>IF($F86="","",IFERROR(INDEX(사건마스터!$AL$5:$AL$64,MATCH($F86,사건마스터!$A$5:$A$64,0)),""))</f>
        <v/>
      </c>
      <c r="P86" s="136">
        <f>IF($F86="","",IFERROR(INDEX(사건마스터!$AM$5:$AM$64,MATCH($F86,사건마스터!$A$5:$A$64,0)),""))</f>
        <v/>
      </c>
      <c r="Q86" s="136">
        <f>IF($F86="","",IFERROR(INDEX(사건마스터!$AN$5:$AN$64,MATCH($F86,사건마스터!$A$5:$A$64,0)),""))</f>
        <v/>
      </c>
      <c r="R86" s="136">
        <f>IF($F86="","",IFERROR(INDEX(사건마스터!$AO$5:$AO$64,MATCH($F86,사건마스터!$A$5:$A$64,0)),""))</f>
        <v/>
      </c>
      <c r="S86" s="136">
        <f>IF($F86="","",IFERROR(INDEX(사건마스터!$AP$5:$AP$64,MATCH($F86,사건마스터!$A$5:$A$64,0)),""))</f>
        <v/>
      </c>
      <c r="T86" s="136">
        <f>IF($F86="","",IFERROR(INDEX(사건마스터!$AQ$5:$AQ$64,MATCH($F86,사건마스터!$A$5:$A$64,0)),""))</f>
        <v/>
      </c>
      <c r="U86" s="136">
        <f>IF($F86="","",IFERROR(INDEX(사건마스터!$AR$5:$AR$64,MATCH($F86,사건마스터!$A$5:$A$64,0)),""))</f>
        <v/>
      </c>
      <c r="V86" s="136">
        <f>IF($F86="","",IFERROR(INDEX(사건마스터!$AS$5:$AS$64,MATCH($F86,사건마스터!$A$5:$A$64,0)),""))</f>
        <v/>
      </c>
      <c r="W86" s="136">
        <f>IF($F86="","",IFERROR(INDEX(사건마스터!$AT$5:$AT$64,MATCH($F86,사건마스터!$A$5:$A$64,0)),""))</f>
        <v/>
      </c>
      <c r="X86" s="136">
        <f>IF($F86="","",IFERROR(INDEX(사건마스터!$AU$5:$AU$64,MATCH($F86,사건마스터!$A$5:$A$64,0)),""))</f>
        <v/>
      </c>
      <c r="Y86" s="136">
        <f>IF($F86="","",IFERROR(INDEX(사건마스터!$AV$5:$AV$64,MATCH($F86,사건마스터!$A$5:$A$64,0)),""))</f>
        <v/>
      </c>
      <c r="Z86" s="118">
        <f>IF(COUNTBLANK($J86:$Y86)=16,"",16-COUNTBLANK($J86:$Y86))</f>
        <v/>
      </c>
      <c r="AA86" s="33">
        <f>IF($J86="",MID($AX86,3,255),$J86&amp;$AX86)</f>
        <v/>
      </c>
      <c r="AB86" s="130">
        <f>IF($J86="","",IFERROR(INDEX(코드설정!$D$5:$D$24,MATCH($J86,코드설정!$C$5:$C$24,0)),""))</f>
        <v/>
      </c>
      <c r="AC86" s="36" t="n"/>
      <c r="AD86" s="37" t="n"/>
      <c r="AE86" s="38" t="n"/>
      <c r="AF86" s="118">
        <f>IF(OR($B86="",$C86=""),"",$C86-$B86+1)</f>
        <v/>
      </c>
      <c r="AG86" s="74" t="n"/>
      <c r="AH86" s="36" t="n"/>
      <c r="AJ86">
        <f>IF($K86="","",", "&amp;$K86)</f>
        <v/>
      </c>
      <c r="AK86">
        <f>AJ86&amp;IF($L86="","",", "&amp;$L86)</f>
        <v/>
      </c>
      <c r="AL86">
        <f>AK86&amp;IF($M86="","",", "&amp;$M86)</f>
        <v/>
      </c>
      <c r="AM86">
        <f>AL86&amp;IF($N86="","",", "&amp;$N86)</f>
        <v/>
      </c>
      <c r="AN86">
        <f>AM86&amp;IF($O86="","",", "&amp;$O86)</f>
        <v/>
      </c>
      <c r="AO86">
        <f>AN86&amp;IF($P86="","",", "&amp;$P86)</f>
        <v/>
      </c>
      <c r="AP86">
        <f>AO86&amp;IF($Q86="","",", "&amp;$Q86)</f>
        <v/>
      </c>
      <c r="AQ86">
        <f>AP86&amp;IF($R86="","",", "&amp;$R86)</f>
        <v/>
      </c>
      <c r="AR86">
        <f>AQ86&amp;IF($S86="","",", "&amp;$S86)</f>
        <v/>
      </c>
      <c r="AS86">
        <f>AR86&amp;IF($T86="","",", "&amp;$T86)</f>
        <v/>
      </c>
      <c r="AT86">
        <f>AS86&amp;IF($U86="","",", "&amp;$U86)</f>
        <v/>
      </c>
      <c r="AU86">
        <f>AT86&amp;IF($V86="","",", "&amp;$V86)</f>
        <v/>
      </c>
      <c r="AV86">
        <f>AU86&amp;IF($W86="","",", "&amp;$W86)</f>
        <v/>
      </c>
      <c r="AW86">
        <f>AV86&amp;IF($X86="","",", "&amp;$X86)</f>
        <v/>
      </c>
      <c r="AX86">
        <f>AW86&amp;IF($Y86="","",", "&amp;$Y86)</f>
        <v/>
      </c>
    </row>
    <row r="87">
      <c r="A87" s="118">
        <f>IF($B87="","",COUNT($B$5:$B87))</f>
        <v/>
      </c>
      <c r="B87" s="80" t="n"/>
      <c r="C87" s="80" t="n"/>
      <c r="D87" s="74" t="n"/>
      <c r="E87" s="74" t="n"/>
      <c r="F87" s="74" t="n"/>
      <c r="G87" s="118">
        <f>IF($F87="","",COUNTIF($F$5:$F87,$F87))</f>
        <v/>
      </c>
      <c r="H87" s="33">
        <f>IF($F87="","",IFERROR(INDEX(사건마스터!$B$5:$B$64,MATCH($F87,사건마스터!$A$5:$A$64,0)),""))</f>
        <v/>
      </c>
      <c r="I87" s="130">
        <f>IF($F87="","",IFERROR(INDEX(사건마스터!$C$5:$C$64,MATCH($F87,사건마스터!$A$5:$A$64,0)),""))</f>
        <v/>
      </c>
      <c r="J87" s="136">
        <f>IF($F87="","",IFERROR(INDEX(사건마스터!$H$5:$H$64,MATCH($F87,사건마스터!$A$5:$A$64,0)),""))</f>
        <v/>
      </c>
      <c r="K87" s="136">
        <f>IF($F87="","",IFERROR(INDEX(사건마스터!$AH$5:$AH$64,MATCH($F87,사건마스터!$A$5:$A$64,0)),""))</f>
        <v/>
      </c>
      <c r="L87" s="136">
        <f>IF($F87="","",IFERROR(INDEX(사건마스터!$AI$5:$AI$64,MATCH($F87,사건마스터!$A$5:$A$64,0)),""))</f>
        <v/>
      </c>
      <c r="M87" s="136">
        <f>IF($F87="","",IFERROR(INDEX(사건마스터!$AJ$5:$AJ$64,MATCH($F87,사건마스터!$A$5:$A$64,0)),""))</f>
        <v/>
      </c>
      <c r="N87" s="136">
        <f>IF($F87="","",IFERROR(INDEX(사건마스터!$AK$5:$AK$64,MATCH($F87,사건마스터!$A$5:$A$64,0)),""))</f>
        <v/>
      </c>
      <c r="O87" s="136">
        <f>IF($F87="","",IFERROR(INDEX(사건마스터!$AL$5:$AL$64,MATCH($F87,사건마스터!$A$5:$A$64,0)),""))</f>
        <v/>
      </c>
      <c r="P87" s="136">
        <f>IF($F87="","",IFERROR(INDEX(사건마스터!$AM$5:$AM$64,MATCH($F87,사건마스터!$A$5:$A$64,0)),""))</f>
        <v/>
      </c>
      <c r="Q87" s="136">
        <f>IF($F87="","",IFERROR(INDEX(사건마스터!$AN$5:$AN$64,MATCH($F87,사건마스터!$A$5:$A$64,0)),""))</f>
        <v/>
      </c>
      <c r="R87" s="136">
        <f>IF($F87="","",IFERROR(INDEX(사건마스터!$AO$5:$AO$64,MATCH($F87,사건마스터!$A$5:$A$64,0)),""))</f>
        <v/>
      </c>
      <c r="S87" s="136">
        <f>IF($F87="","",IFERROR(INDEX(사건마스터!$AP$5:$AP$64,MATCH($F87,사건마스터!$A$5:$A$64,0)),""))</f>
        <v/>
      </c>
      <c r="T87" s="136">
        <f>IF($F87="","",IFERROR(INDEX(사건마스터!$AQ$5:$AQ$64,MATCH($F87,사건마스터!$A$5:$A$64,0)),""))</f>
        <v/>
      </c>
      <c r="U87" s="136">
        <f>IF($F87="","",IFERROR(INDEX(사건마스터!$AR$5:$AR$64,MATCH($F87,사건마스터!$A$5:$A$64,0)),""))</f>
        <v/>
      </c>
      <c r="V87" s="136">
        <f>IF($F87="","",IFERROR(INDEX(사건마스터!$AS$5:$AS$64,MATCH($F87,사건마스터!$A$5:$A$64,0)),""))</f>
        <v/>
      </c>
      <c r="W87" s="136">
        <f>IF($F87="","",IFERROR(INDEX(사건마스터!$AT$5:$AT$64,MATCH($F87,사건마스터!$A$5:$A$64,0)),""))</f>
        <v/>
      </c>
      <c r="X87" s="136">
        <f>IF($F87="","",IFERROR(INDEX(사건마스터!$AU$5:$AU$64,MATCH($F87,사건마스터!$A$5:$A$64,0)),""))</f>
        <v/>
      </c>
      <c r="Y87" s="136">
        <f>IF($F87="","",IFERROR(INDEX(사건마스터!$AV$5:$AV$64,MATCH($F87,사건마스터!$A$5:$A$64,0)),""))</f>
        <v/>
      </c>
      <c r="Z87" s="118">
        <f>IF(COUNTBLANK($J87:$Y87)=16,"",16-COUNTBLANK($J87:$Y87))</f>
        <v/>
      </c>
      <c r="AA87" s="33">
        <f>IF($J87="",MID($AX87,3,255),$J87&amp;$AX87)</f>
        <v/>
      </c>
      <c r="AB87" s="130">
        <f>IF($J87="","",IFERROR(INDEX(코드설정!$D$5:$D$24,MATCH($J87,코드설정!$C$5:$C$24,0)),""))</f>
        <v/>
      </c>
      <c r="AC87" s="36" t="n"/>
      <c r="AD87" s="37" t="n"/>
      <c r="AE87" s="38" t="n"/>
      <c r="AF87" s="118">
        <f>IF(OR($B87="",$C87=""),"",$C87-$B87+1)</f>
        <v/>
      </c>
      <c r="AG87" s="74" t="n"/>
      <c r="AH87" s="36" t="n"/>
      <c r="AJ87">
        <f>IF($K87="","",", "&amp;$K87)</f>
        <v/>
      </c>
      <c r="AK87">
        <f>AJ87&amp;IF($L87="","",", "&amp;$L87)</f>
        <v/>
      </c>
      <c r="AL87">
        <f>AK87&amp;IF($M87="","",", "&amp;$M87)</f>
        <v/>
      </c>
      <c r="AM87">
        <f>AL87&amp;IF($N87="","",", "&amp;$N87)</f>
        <v/>
      </c>
      <c r="AN87">
        <f>AM87&amp;IF($O87="","",", "&amp;$O87)</f>
        <v/>
      </c>
      <c r="AO87">
        <f>AN87&amp;IF($P87="","",", "&amp;$P87)</f>
        <v/>
      </c>
      <c r="AP87">
        <f>AO87&amp;IF($Q87="","",", "&amp;$Q87)</f>
        <v/>
      </c>
      <c r="AQ87">
        <f>AP87&amp;IF($R87="","",", "&amp;$R87)</f>
        <v/>
      </c>
      <c r="AR87">
        <f>AQ87&amp;IF($S87="","",", "&amp;$S87)</f>
        <v/>
      </c>
      <c r="AS87">
        <f>AR87&amp;IF($T87="","",", "&amp;$T87)</f>
        <v/>
      </c>
      <c r="AT87">
        <f>AS87&amp;IF($U87="","",", "&amp;$U87)</f>
        <v/>
      </c>
      <c r="AU87">
        <f>AT87&amp;IF($V87="","",", "&amp;$V87)</f>
        <v/>
      </c>
      <c r="AV87">
        <f>AU87&amp;IF($W87="","",", "&amp;$W87)</f>
        <v/>
      </c>
      <c r="AW87">
        <f>AV87&amp;IF($X87="","",", "&amp;$X87)</f>
        <v/>
      </c>
      <c r="AX87">
        <f>AW87&amp;IF($Y87="","",", "&amp;$Y87)</f>
        <v/>
      </c>
    </row>
    <row r="88">
      <c r="A88" s="118">
        <f>IF($B88="","",COUNT($B$5:$B88))</f>
        <v/>
      </c>
      <c r="B88" s="80" t="n"/>
      <c r="C88" s="80" t="n"/>
      <c r="D88" s="74" t="n"/>
      <c r="E88" s="74" t="n"/>
      <c r="F88" s="74" t="n"/>
      <c r="G88" s="118">
        <f>IF($F88="","",COUNTIF($F$5:$F88,$F88))</f>
        <v/>
      </c>
      <c r="H88" s="33">
        <f>IF($F88="","",IFERROR(INDEX(사건마스터!$B$5:$B$64,MATCH($F88,사건마스터!$A$5:$A$64,0)),""))</f>
        <v/>
      </c>
      <c r="I88" s="130">
        <f>IF($F88="","",IFERROR(INDEX(사건마스터!$C$5:$C$64,MATCH($F88,사건마스터!$A$5:$A$64,0)),""))</f>
        <v/>
      </c>
      <c r="J88" s="136">
        <f>IF($F88="","",IFERROR(INDEX(사건마스터!$H$5:$H$64,MATCH($F88,사건마스터!$A$5:$A$64,0)),""))</f>
        <v/>
      </c>
      <c r="K88" s="136">
        <f>IF($F88="","",IFERROR(INDEX(사건마스터!$AH$5:$AH$64,MATCH($F88,사건마스터!$A$5:$A$64,0)),""))</f>
        <v/>
      </c>
      <c r="L88" s="136">
        <f>IF($F88="","",IFERROR(INDEX(사건마스터!$AI$5:$AI$64,MATCH($F88,사건마스터!$A$5:$A$64,0)),""))</f>
        <v/>
      </c>
      <c r="M88" s="136">
        <f>IF($F88="","",IFERROR(INDEX(사건마스터!$AJ$5:$AJ$64,MATCH($F88,사건마스터!$A$5:$A$64,0)),""))</f>
        <v/>
      </c>
      <c r="N88" s="136">
        <f>IF($F88="","",IFERROR(INDEX(사건마스터!$AK$5:$AK$64,MATCH($F88,사건마스터!$A$5:$A$64,0)),""))</f>
        <v/>
      </c>
      <c r="O88" s="136">
        <f>IF($F88="","",IFERROR(INDEX(사건마스터!$AL$5:$AL$64,MATCH($F88,사건마스터!$A$5:$A$64,0)),""))</f>
        <v/>
      </c>
      <c r="P88" s="136">
        <f>IF($F88="","",IFERROR(INDEX(사건마스터!$AM$5:$AM$64,MATCH($F88,사건마스터!$A$5:$A$64,0)),""))</f>
        <v/>
      </c>
      <c r="Q88" s="136">
        <f>IF($F88="","",IFERROR(INDEX(사건마스터!$AN$5:$AN$64,MATCH($F88,사건마스터!$A$5:$A$64,0)),""))</f>
        <v/>
      </c>
      <c r="R88" s="136">
        <f>IF($F88="","",IFERROR(INDEX(사건마스터!$AO$5:$AO$64,MATCH($F88,사건마스터!$A$5:$A$64,0)),""))</f>
        <v/>
      </c>
      <c r="S88" s="136">
        <f>IF($F88="","",IFERROR(INDEX(사건마스터!$AP$5:$AP$64,MATCH($F88,사건마스터!$A$5:$A$64,0)),""))</f>
        <v/>
      </c>
      <c r="T88" s="136">
        <f>IF($F88="","",IFERROR(INDEX(사건마스터!$AQ$5:$AQ$64,MATCH($F88,사건마스터!$A$5:$A$64,0)),""))</f>
        <v/>
      </c>
      <c r="U88" s="136">
        <f>IF($F88="","",IFERROR(INDEX(사건마스터!$AR$5:$AR$64,MATCH($F88,사건마스터!$A$5:$A$64,0)),""))</f>
        <v/>
      </c>
      <c r="V88" s="136">
        <f>IF($F88="","",IFERROR(INDEX(사건마스터!$AS$5:$AS$64,MATCH($F88,사건마스터!$A$5:$A$64,0)),""))</f>
        <v/>
      </c>
      <c r="W88" s="136">
        <f>IF($F88="","",IFERROR(INDEX(사건마스터!$AT$5:$AT$64,MATCH($F88,사건마스터!$A$5:$A$64,0)),""))</f>
        <v/>
      </c>
      <c r="X88" s="136">
        <f>IF($F88="","",IFERROR(INDEX(사건마스터!$AU$5:$AU$64,MATCH($F88,사건마스터!$A$5:$A$64,0)),""))</f>
        <v/>
      </c>
      <c r="Y88" s="136">
        <f>IF($F88="","",IFERROR(INDEX(사건마스터!$AV$5:$AV$64,MATCH($F88,사건마스터!$A$5:$A$64,0)),""))</f>
        <v/>
      </c>
      <c r="Z88" s="118">
        <f>IF(COUNTBLANK($J88:$Y88)=16,"",16-COUNTBLANK($J88:$Y88))</f>
        <v/>
      </c>
      <c r="AA88" s="33">
        <f>IF($J88="",MID($AX88,3,255),$J88&amp;$AX88)</f>
        <v/>
      </c>
      <c r="AB88" s="130">
        <f>IF($J88="","",IFERROR(INDEX(코드설정!$D$5:$D$24,MATCH($J88,코드설정!$C$5:$C$24,0)),""))</f>
        <v/>
      </c>
      <c r="AC88" s="36" t="n"/>
      <c r="AD88" s="37" t="n"/>
      <c r="AE88" s="38" t="n"/>
      <c r="AF88" s="118">
        <f>IF(OR($B88="",$C88=""),"",$C88-$B88+1)</f>
        <v/>
      </c>
      <c r="AG88" s="74" t="n"/>
      <c r="AH88" s="36" t="n"/>
      <c r="AJ88">
        <f>IF($K88="","",", "&amp;$K88)</f>
        <v/>
      </c>
      <c r="AK88">
        <f>AJ88&amp;IF($L88="","",", "&amp;$L88)</f>
        <v/>
      </c>
      <c r="AL88">
        <f>AK88&amp;IF($M88="","",", "&amp;$M88)</f>
        <v/>
      </c>
      <c r="AM88">
        <f>AL88&amp;IF($N88="","",", "&amp;$N88)</f>
        <v/>
      </c>
      <c r="AN88">
        <f>AM88&amp;IF($O88="","",", "&amp;$O88)</f>
        <v/>
      </c>
      <c r="AO88">
        <f>AN88&amp;IF($P88="","",", "&amp;$P88)</f>
        <v/>
      </c>
      <c r="AP88">
        <f>AO88&amp;IF($Q88="","",", "&amp;$Q88)</f>
        <v/>
      </c>
      <c r="AQ88">
        <f>AP88&amp;IF($R88="","",", "&amp;$R88)</f>
        <v/>
      </c>
      <c r="AR88">
        <f>AQ88&amp;IF($S88="","",", "&amp;$S88)</f>
        <v/>
      </c>
      <c r="AS88">
        <f>AR88&amp;IF($T88="","",", "&amp;$T88)</f>
        <v/>
      </c>
      <c r="AT88">
        <f>AS88&amp;IF($U88="","",", "&amp;$U88)</f>
        <v/>
      </c>
      <c r="AU88">
        <f>AT88&amp;IF($V88="","",", "&amp;$V88)</f>
        <v/>
      </c>
      <c r="AV88">
        <f>AU88&amp;IF($W88="","",", "&amp;$W88)</f>
        <v/>
      </c>
      <c r="AW88">
        <f>AV88&amp;IF($X88="","",", "&amp;$X88)</f>
        <v/>
      </c>
      <c r="AX88">
        <f>AW88&amp;IF($Y88="","",", "&amp;$Y88)</f>
        <v/>
      </c>
    </row>
    <row r="89">
      <c r="A89" s="118">
        <f>IF($B89="","",COUNT($B$5:$B89))</f>
        <v/>
      </c>
      <c r="B89" s="80" t="n"/>
      <c r="C89" s="80" t="n"/>
      <c r="D89" s="74" t="n"/>
      <c r="E89" s="74" t="n"/>
      <c r="F89" s="74" t="n"/>
      <c r="G89" s="118">
        <f>IF($F89="","",COUNTIF($F$5:$F89,$F89))</f>
        <v/>
      </c>
      <c r="H89" s="33">
        <f>IF($F89="","",IFERROR(INDEX(사건마스터!$B$5:$B$64,MATCH($F89,사건마스터!$A$5:$A$64,0)),""))</f>
        <v/>
      </c>
      <c r="I89" s="130">
        <f>IF($F89="","",IFERROR(INDEX(사건마스터!$C$5:$C$64,MATCH($F89,사건마스터!$A$5:$A$64,0)),""))</f>
        <v/>
      </c>
      <c r="J89" s="136">
        <f>IF($F89="","",IFERROR(INDEX(사건마스터!$H$5:$H$64,MATCH($F89,사건마스터!$A$5:$A$64,0)),""))</f>
        <v/>
      </c>
      <c r="K89" s="136">
        <f>IF($F89="","",IFERROR(INDEX(사건마스터!$AH$5:$AH$64,MATCH($F89,사건마스터!$A$5:$A$64,0)),""))</f>
        <v/>
      </c>
      <c r="L89" s="136">
        <f>IF($F89="","",IFERROR(INDEX(사건마스터!$AI$5:$AI$64,MATCH($F89,사건마스터!$A$5:$A$64,0)),""))</f>
        <v/>
      </c>
      <c r="M89" s="136">
        <f>IF($F89="","",IFERROR(INDEX(사건마스터!$AJ$5:$AJ$64,MATCH($F89,사건마스터!$A$5:$A$64,0)),""))</f>
        <v/>
      </c>
      <c r="N89" s="136">
        <f>IF($F89="","",IFERROR(INDEX(사건마스터!$AK$5:$AK$64,MATCH($F89,사건마스터!$A$5:$A$64,0)),""))</f>
        <v/>
      </c>
      <c r="O89" s="136">
        <f>IF($F89="","",IFERROR(INDEX(사건마스터!$AL$5:$AL$64,MATCH($F89,사건마스터!$A$5:$A$64,0)),""))</f>
        <v/>
      </c>
      <c r="P89" s="136">
        <f>IF($F89="","",IFERROR(INDEX(사건마스터!$AM$5:$AM$64,MATCH($F89,사건마스터!$A$5:$A$64,0)),""))</f>
        <v/>
      </c>
      <c r="Q89" s="136">
        <f>IF($F89="","",IFERROR(INDEX(사건마스터!$AN$5:$AN$64,MATCH($F89,사건마스터!$A$5:$A$64,0)),""))</f>
        <v/>
      </c>
      <c r="R89" s="136">
        <f>IF($F89="","",IFERROR(INDEX(사건마스터!$AO$5:$AO$64,MATCH($F89,사건마스터!$A$5:$A$64,0)),""))</f>
        <v/>
      </c>
      <c r="S89" s="136">
        <f>IF($F89="","",IFERROR(INDEX(사건마스터!$AP$5:$AP$64,MATCH($F89,사건마스터!$A$5:$A$64,0)),""))</f>
        <v/>
      </c>
      <c r="T89" s="136">
        <f>IF($F89="","",IFERROR(INDEX(사건마스터!$AQ$5:$AQ$64,MATCH($F89,사건마스터!$A$5:$A$64,0)),""))</f>
        <v/>
      </c>
      <c r="U89" s="136">
        <f>IF($F89="","",IFERROR(INDEX(사건마스터!$AR$5:$AR$64,MATCH($F89,사건마스터!$A$5:$A$64,0)),""))</f>
        <v/>
      </c>
      <c r="V89" s="136">
        <f>IF($F89="","",IFERROR(INDEX(사건마스터!$AS$5:$AS$64,MATCH($F89,사건마스터!$A$5:$A$64,0)),""))</f>
        <v/>
      </c>
      <c r="W89" s="136">
        <f>IF($F89="","",IFERROR(INDEX(사건마스터!$AT$5:$AT$64,MATCH($F89,사건마스터!$A$5:$A$64,0)),""))</f>
        <v/>
      </c>
      <c r="X89" s="136">
        <f>IF($F89="","",IFERROR(INDEX(사건마스터!$AU$5:$AU$64,MATCH($F89,사건마스터!$A$5:$A$64,0)),""))</f>
        <v/>
      </c>
      <c r="Y89" s="136">
        <f>IF($F89="","",IFERROR(INDEX(사건마스터!$AV$5:$AV$64,MATCH($F89,사건마스터!$A$5:$A$64,0)),""))</f>
        <v/>
      </c>
      <c r="Z89" s="118">
        <f>IF(COUNTBLANK($J89:$Y89)=16,"",16-COUNTBLANK($J89:$Y89))</f>
        <v/>
      </c>
      <c r="AA89" s="33">
        <f>IF($J89="",MID($AX89,3,255),$J89&amp;$AX89)</f>
        <v/>
      </c>
      <c r="AB89" s="130">
        <f>IF($J89="","",IFERROR(INDEX(코드설정!$D$5:$D$24,MATCH($J89,코드설정!$C$5:$C$24,0)),""))</f>
        <v/>
      </c>
      <c r="AC89" s="36" t="n"/>
      <c r="AD89" s="37" t="n"/>
      <c r="AE89" s="38" t="n"/>
      <c r="AF89" s="118">
        <f>IF(OR($B89="",$C89=""),"",$C89-$B89+1)</f>
        <v/>
      </c>
      <c r="AG89" s="74" t="n"/>
      <c r="AH89" s="36" t="n"/>
      <c r="AJ89">
        <f>IF($K89="","",", "&amp;$K89)</f>
        <v/>
      </c>
      <c r="AK89">
        <f>AJ89&amp;IF($L89="","",", "&amp;$L89)</f>
        <v/>
      </c>
      <c r="AL89">
        <f>AK89&amp;IF($M89="","",", "&amp;$M89)</f>
        <v/>
      </c>
      <c r="AM89">
        <f>AL89&amp;IF($N89="","",", "&amp;$N89)</f>
        <v/>
      </c>
      <c r="AN89">
        <f>AM89&amp;IF($O89="","",", "&amp;$O89)</f>
        <v/>
      </c>
      <c r="AO89">
        <f>AN89&amp;IF($P89="","",", "&amp;$P89)</f>
        <v/>
      </c>
      <c r="AP89">
        <f>AO89&amp;IF($Q89="","",", "&amp;$Q89)</f>
        <v/>
      </c>
      <c r="AQ89">
        <f>AP89&amp;IF($R89="","",", "&amp;$R89)</f>
        <v/>
      </c>
      <c r="AR89">
        <f>AQ89&amp;IF($S89="","",", "&amp;$S89)</f>
        <v/>
      </c>
      <c r="AS89">
        <f>AR89&amp;IF($T89="","",", "&amp;$T89)</f>
        <v/>
      </c>
      <c r="AT89">
        <f>AS89&amp;IF($U89="","",", "&amp;$U89)</f>
        <v/>
      </c>
      <c r="AU89">
        <f>AT89&amp;IF($V89="","",", "&amp;$V89)</f>
        <v/>
      </c>
      <c r="AV89">
        <f>AU89&amp;IF($W89="","",", "&amp;$W89)</f>
        <v/>
      </c>
      <c r="AW89">
        <f>AV89&amp;IF($X89="","",", "&amp;$X89)</f>
        <v/>
      </c>
      <c r="AX89">
        <f>AW89&amp;IF($Y89="","",", "&amp;$Y89)</f>
        <v/>
      </c>
    </row>
    <row r="90">
      <c r="A90" s="118">
        <f>IF($B90="","",COUNT($B$5:$B90))</f>
        <v/>
      </c>
      <c r="B90" s="80" t="n"/>
      <c r="C90" s="80" t="n"/>
      <c r="D90" s="74" t="n"/>
      <c r="E90" s="74" t="n"/>
      <c r="F90" s="74" t="n"/>
      <c r="G90" s="118">
        <f>IF($F90="","",COUNTIF($F$5:$F90,$F90))</f>
        <v/>
      </c>
      <c r="H90" s="33">
        <f>IF($F90="","",IFERROR(INDEX(사건마스터!$B$5:$B$64,MATCH($F90,사건마스터!$A$5:$A$64,0)),""))</f>
        <v/>
      </c>
      <c r="I90" s="130">
        <f>IF($F90="","",IFERROR(INDEX(사건마스터!$C$5:$C$64,MATCH($F90,사건마스터!$A$5:$A$64,0)),""))</f>
        <v/>
      </c>
      <c r="J90" s="136">
        <f>IF($F90="","",IFERROR(INDEX(사건마스터!$H$5:$H$64,MATCH($F90,사건마스터!$A$5:$A$64,0)),""))</f>
        <v/>
      </c>
      <c r="K90" s="136">
        <f>IF($F90="","",IFERROR(INDEX(사건마스터!$AH$5:$AH$64,MATCH($F90,사건마스터!$A$5:$A$64,0)),""))</f>
        <v/>
      </c>
      <c r="L90" s="136">
        <f>IF($F90="","",IFERROR(INDEX(사건마스터!$AI$5:$AI$64,MATCH($F90,사건마스터!$A$5:$A$64,0)),""))</f>
        <v/>
      </c>
      <c r="M90" s="136">
        <f>IF($F90="","",IFERROR(INDEX(사건마스터!$AJ$5:$AJ$64,MATCH($F90,사건마스터!$A$5:$A$64,0)),""))</f>
        <v/>
      </c>
      <c r="N90" s="136">
        <f>IF($F90="","",IFERROR(INDEX(사건마스터!$AK$5:$AK$64,MATCH($F90,사건마스터!$A$5:$A$64,0)),""))</f>
        <v/>
      </c>
      <c r="O90" s="136">
        <f>IF($F90="","",IFERROR(INDEX(사건마스터!$AL$5:$AL$64,MATCH($F90,사건마스터!$A$5:$A$64,0)),""))</f>
        <v/>
      </c>
      <c r="P90" s="136">
        <f>IF($F90="","",IFERROR(INDEX(사건마스터!$AM$5:$AM$64,MATCH($F90,사건마스터!$A$5:$A$64,0)),""))</f>
        <v/>
      </c>
      <c r="Q90" s="136">
        <f>IF($F90="","",IFERROR(INDEX(사건마스터!$AN$5:$AN$64,MATCH($F90,사건마스터!$A$5:$A$64,0)),""))</f>
        <v/>
      </c>
      <c r="R90" s="136">
        <f>IF($F90="","",IFERROR(INDEX(사건마스터!$AO$5:$AO$64,MATCH($F90,사건마스터!$A$5:$A$64,0)),""))</f>
        <v/>
      </c>
      <c r="S90" s="136">
        <f>IF($F90="","",IFERROR(INDEX(사건마스터!$AP$5:$AP$64,MATCH($F90,사건마스터!$A$5:$A$64,0)),""))</f>
        <v/>
      </c>
      <c r="T90" s="136">
        <f>IF($F90="","",IFERROR(INDEX(사건마스터!$AQ$5:$AQ$64,MATCH($F90,사건마스터!$A$5:$A$64,0)),""))</f>
        <v/>
      </c>
      <c r="U90" s="136">
        <f>IF($F90="","",IFERROR(INDEX(사건마스터!$AR$5:$AR$64,MATCH($F90,사건마스터!$A$5:$A$64,0)),""))</f>
        <v/>
      </c>
      <c r="V90" s="136">
        <f>IF($F90="","",IFERROR(INDEX(사건마스터!$AS$5:$AS$64,MATCH($F90,사건마스터!$A$5:$A$64,0)),""))</f>
        <v/>
      </c>
      <c r="W90" s="136">
        <f>IF($F90="","",IFERROR(INDEX(사건마스터!$AT$5:$AT$64,MATCH($F90,사건마스터!$A$5:$A$64,0)),""))</f>
        <v/>
      </c>
      <c r="X90" s="136">
        <f>IF($F90="","",IFERROR(INDEX(사건마스터!$AU$5:$AU$64,MATCH($F90,사건마스터!$A$5:$A$64,0)),""))</f>
        <v/>
      </c>
      <c r="Y90" s="136">
        <f>IF($F90="","",IFERROR(INDEX(사건마스터!$AV$5:$AV$64,MATCH($F90,사건마스터!$A$5:$A$64,0)),""))</f>
        <v/>
      </c>
      <c r="Z90" s="118">
        <f>IF(COUNTBLANK($J90:$Y90)=16,"",16-COUNTBLANK($J90:$Y90))</f>
        <v/>
      </c>
      <c r="AA90" s="33">
        <f>IF($J90="",MID($AX90,3,255),$J90&amp;$AX90)</f>
        <v/>
      </c>
      <c r="AB90" s="130">
        <f>IF($J90="","",IFERROR(INDEX(코드설정!$D$5:$D$24,MATCH($J90,코드설정!$C$5:$C$24,0)),""))</f>
        <v/>
      </c>
      <c r="AC90" s="36" t="n"/>
      <c r="AD90" s="37" t="n"/>
      <c r="AE90" s="38" t="n"/>
      <c r="AF90" s="118">
        <f>IF(OR($B90="",$C90=""),"",$C90-$B90+1)</f>
        <v/>
      </c>
      <c r="AG90" s="74" t="n"/>
      <c r="AH90" s="36" t="n"/>
      <c r="AJ90">
        <f>IF($K90="","",", "&amp;$K90)</f>
        <v/>
      </c>
      <c r="AK90">
        <f>AJ90&amp;IF($L90="","",", "&amp;$L90)</f>
        <v/>
      </c>
      <c r="AL90">
        <f>AK90&amp;IF($M90="","",", "&amp;$M90)</f>
        <v/>
      </c>
      <c r="AM90">
        <f>AL90&amp;IF($N90="","",", "&amp;$N90)</f>
        <v/>
      </c>
      <c r="AN90">
        <f>AM90&amp;IF($O90="","",", "&amp;$O90)</f>
        <v/>
      </c>
      <c r="AO90">
        <f>AN90&amp;IF($P90="","",", "&amp;$P90)</f>
        <v/>
      </c>
      <c r="AP90">
        <f>AO90&amp;IF($Q90="","",", "&amp;$Q90)</f>
        <v/>
      </c>
      <c r="AQ90">
        <f>AP90&amp;IF($R90="","",", "&amp;$R90)</f>
        <v/>
      </c>
      <c r="AR90">
        <f>AQ90&amp;IF($S90="","",", "&amp;$S90)</f>
        <v/>
      </c>
      <c r="AS90">
        <f>AR90&amp;IF($T90="","",", "&amp;$T90)</f>
        <v/>
      </c>
      <c r="AT90">
        <f>AS90&amp;IF($U90="","",", "&amp;$U90)</f>
        <v/>
      </c>
      <c r="AU90">
        <f>AT90&amp;IF($V90="","",", "&amp;$V90)</f>
        <v/>
      </c>
      <c r="AV90">
        <f>AU90&amp;IF($W90="","",", "&amp;$W90)</f>
        <v/>
      </c>
      <c r="AW90">
        <f>AV90&amp;IF($X90="","",", "&amp;$X90)</f>
        <v/>
      </c>
      <c r="AX90">
        <f>AW90&amp;IF($Y90="","",", "&amp;$Y90)</f>
        <v/>
      </c>
    </row>
    <row r="91">
      <c r="A91" s="118">
        <f>IF($B91="","",COUNT($B$5:$B91))</f>
        <v/>
      </c>
      <c r="B91" s="80" t="n"/>
      <c r="C91" s="80" t="n"/>
      <c r="D91" s="74" t="n"/>
      <c r="E91" s="74" t="n"/>
      <c r="F91" s="74" t="n"/>
      <c r="G91" s="118">
        <f>IF($F91="","",COUNTIF($F$5:$F91,$F91))</f>
        <v/>
      </c>
      <c r="H91" s="33">
        <f>IF($F91="","",IFERROR(INDEX(사건마스터!$B$5:$B$64,MATCH($F91,사건마스터!$A$5:$A$64,0)),""))</f>
        <v/>
      </c>
      <c r="I91" s="130">
        <f>IF($F91="","",IFERROR(INDEX(사건마스터!$C$5:$C$64,MATCH($F91,사건마스터!$A$5:$A$64,0)),""))</f>
        <v/>
      </c>
      <c r="J91" s="136">
        <f>IF($F91="","",IFERROR(INDEX(사건마스터!$H$5:$H$64,MATCH($F91,사건마스터!$A$5:$A$64,0)),""))</f>
        <v/>
      </c>
      <c r="K91" s="136">
        <f>IF($F91="","",IFERROR(INDEX(사건마스터!$AH$5:$AH$64,MATCH($F91,사건마스터!$A$5:$A$64,0)),""))</f>
        <v/>
      </c>
      <c r="L91" s="136">
        <f>IF($F91="","",IFERROR(INDEX(사건마스터!$AI$5:$AI$64,MATCH($F91,사건마스터!$A$5:$A$64,0)),""))</f>
        <v/>
      </c>
      <c r="M91" s="136">
        <f>IF($F91="","",IFERROR(INDEX(사건마스터!$AJ$5:$AJ$64,MATCH($F91,사건마스터!$A$5:$A$64,0)),""))</f>
        <v/>
      </c>
      <c r="N91" s="136">
        <f>IF($F91="","",IFERROR(INDEX(사건마스터!$AK$5:$AK$64,MATCH($F91,사건마스터!$A$5:$A$64,0)),""))</f>
        <v/>
      </c>
      <c r="O91" s="136">
        <f>IF($F91="","",IFERROR(INDEX(사건마스터!$AL$5:$AL$64,MATCH($F91,사건마스터!$A$5:$A$64,0)),""))</f>
        <v/>
      </c>
      <c r="P91" s="136">
        <f>IF($F91="","",IFERROR(INDEX(사건마스터!$AM$5:$AM$64,MATCH($F91,사건마스터!$A$5:$A$64,0)),""))</f>
        <v/>
      </c>
      <c r="Q91" s="136">
        <f>IF($F91="","",IFERROR(INDEX(사건마스터!$AN$5:$AN$64,MATCH($F91,사건마스터!$A$5:$A$64,0)),""))</f>
        <v/>
      </c>
      <c r="R91" s="136">
        <f>IF($F91="","",IFERROR(INDEX(사건마스터!$AO$5:$AO$64,MATCH($F91,사건마스터!$A$5:$A$64,0)),""))</f>
        <v/>
      </c>
      <c r="S91" s="136">
        <f>IF($F91="","",IFERROR(INDEX(사건마스터!$AP$5:$AP$64,MATCH($F91,사건마스터!$A$5:$A$64,0)),""))</f>
        <v/>
      </c>
      <c r="T91" s="136">
        <f>IF($F91="","",IFERROR(INDEX(사건마스터!$AQ$5:$AQ$64,MATCH($F91,사건마스터!$A$5:$A$64,0)),""))</f>
        <v/>
      </c>
      <c r="U91" s="136">
        <f>IF($F91="","",IFERROR(INDEX(사건마스터!$AR$5:$AR$64,MATCH($F91,사건마스터!$A$5:$A$64,0)),""))</f>
        <v/>
      </c>
      <c r="V91" s="136">
        <f>IF($F91="","",IFERROR(INDEX(사건마스터!$AS$5:$AS$64,MATCH($F91,사건마스터!$A$5:$A$64,0)),""))</f>
        <v/>
      </c>
      <c r="W91" s="136">
        <f>IF($F91="","",IFERROR(INDEX(사건마스터!$AT$5:$AT$64,MATCH($F91,사건마스터!$A$5:$A$64,0)),""))</f>
        <v/>
      </c>
      <c r="X91" s="136">
        <f>IF($F91="","",IFERROR(INDEX(사건마스터!$AU$5:$AU$64,MATCH($F91,사건마스터!$A$5:$A$64,0)),""))</f>
        <v/>
      </c>
      <c r="Y91" s="136">
        <f>IF($F91="","",IFERROR(INDEX(사건마스터!$AV$5:$AV$64,MATCH($F91,사건마스터!$A$5:$A$64,0)),""))</f>
        <v/>
      </c>
      <c r="Z91" s="118">
        <f>IF(COUNTBLANK($J91:$Y91)=16,"",16-COUNTBLANK($J91:$Y91))</f>
        <v/>
      </c>
      <c r="AA91" s="33">
        <f>IF($J91="",MID($AX91,3,255),$J91&amp;$AX91)</f>
        <v/>
      </c>
      <c r="AB91" s="130">
        <f>IF($J91="","",IFERROR(INDEX(코드설정!$D$5:$D$24,MATCH($J91,코드설정!$C$5:$C$24,0)),""))</f>
        <v/>
      </c>
      <c r="AC91" s="36" t="n"/>
      <c r="AD91" s="37" t="n"/>
      <c r="AE91" s="38" t="n"/>
      <c r="AF91" s="118">
        <f>IF(OR($B91="",$C91=""),"",$C91-$B91+1)</f>
        <v/>
      </c>
      <c r="AG91" s="74" t="n"/>
      <c r="AH91" s="36" t="n"/>
      <c r="AJ91">
        <f>IF($K91="","",", "&amp;$K91)</f>
        <v/>
      </c>
      <c r="AK91">
        <f>AJ91&amp;IF($L91="","",", "&amp;$L91)</f>
        <v/>
      </c>
      <c r="AL91">
        <f>AK91&amp;IF($M91="","",", "&amp;$M91)</f>
        <v/>
      </c>
      <c r="AM91">
        <f>AL91&amp;IF($N91="","",", "&amp;$N91)</f>
        <v/>
      </c>
      <c r="AN91">
        <f>AM91&amp;IF($O91="","",", "&amp;$O91)</f>
        <v/>
      </c>
      <c r="AO91">
        <f>AN91&amp;IF($P91="","",", "&amp;$P91)</f>
        <v/>
      </c>
      <c r="AP91">
        <f>AO91&amp;IF($Q91="","",", "&amp;$Q91)</f>
        <v/>
      </c>
      <c r="AQ91">
        <f>AP91&amp;IF($R91="","",", "&amp;$R91)</f>
        <v/>
      </c>
      <c r="AR91">
        <f>AQ91&amp;IF($S91="","",", "&amp;$S91)</f>
        <v/>
      </c>
      <c r="AS91">
        <f>AR91&amp;IF($T91="","",", "&amp;$T91)</f>
        <v/>
      </c>
      <c r="AT91">
        <f>AS91&amp;IF($U91="","",", "&amp;$U91)</f>
        <v/>
      </c>
      <c r="AU91">
        <f>AT91&amp;IF($V91="","",", "&amp;$V91)</f>
        <v/>
      </c>
      <c r="AV91">
        <f>AU91&amp;IF($W91="","",", "&amp;$W91)</f>
        <v/>
      </c>
      <c r="AW91">
        <f>AV91&amp;IF($X91="","",", "&amp;$X91)</f>
        <v/>
      </c>
      <c r="AX91">
        <f>AW91&amp;IF($Y91="","",", "&amp;$Y91)</f>
        <v/>
      </c>
    </row>
    <row r="92">
      <c r="A92" s="118">
        <f>IF($B92="","",COUNT($B$5:$B92))</f>
        <v/>
      </c>
      <c r="B92" s="80" t="n"/>
      <c r="C92" s="80" t="n"/>
      <c r="D92" s="74" t="n"/>
      <c r="E92" s="74" t="n"/>
      <c r="F92" s="74" t="n"/>
      <c r="G92" s="118">
        <f>IF($F92="","",COUNTIF($F$5:$F92,$F92))</f>
        <v/>
      </c>
      <c r="H92" s="33">
        <f>IF($F92="","",IFERROR(INDEX(사건마스터!$B$5:$B$64,MATCH($F92,사건마스터!$A$5:$A$64,0)),""))</f>
        <v/>
      </c>
      <c r="I92" s="130">
        <f>IF($F92="","",IFERROR(INDEX(사건마스터!$C$5:$C$64,MATCH($F92,사건마스터!$A$5:$A$64,0)),""))</f>
        <v/>
      </c>
      <c r="J92" s="136">
        <f>IF($F92="","",IFERROR(INDEX(사건마스터!$H$5:$H$64,MATCH($F92,사건마스터!$A$5:$A$64,0)),""))</f>
        <v/>
      </c>
      <c r="K92" s="136">
        <f>IF($F92="","",IFERROR(INDEX(사건마스터!$AH$5:$AH$64,MATCH($F92,사건마스터!$A$5:$A$64,0)),""))</f>
        <v/>
      </c>
      <c r="L92" s="136">
        <f>IF($F92="","",IFERROR(INDEX(사건마스터!$AI$5:$AI$64,MATCH($F92,사건마스터!$A$5:$A$64,0)),""))</f>
        <v/>
      </c>
      <c r="M92" s="136">
        <f>IF($F92="","",IFERROR(INDEX(사건마스터!$AJ$5:$AJ$64,MATCH($F92,사건마스터!$A$5:$A$64,0)),""))</f>
        <v/>
      </c>
      <c r="N92" s="136">
        <f>IF($F92="","",IFERROR(INDEX(사건마스터!$AK$5:$AK$64,MATCH($F92,사건마스터!$A$5:$A$64,0)),""))</f>
        <v/>
      </c>
      <c r="O92" s="136">
        <f>IF($F92="","",IFERROR(INDEX(사건마스터!$AL$5:$AL$64,MATCH($F92,사건마스터!$A$5:$A$64,0)),""))</f>
        <v/>
      </c>
      <c r="P92" s="136">
        <f>IF($F92="","",IFERROR(INDEX(사건마스터!$AM$5:$AM$64,MATCH($F92,사건마스터!$A$5:$A$64,0)),""))</f>
        <v/>
      </c>
      <c r="Q92" s="136">
        <f>IF($F92="","",IFERROR(INDEX(사건마스터!$AN$5:$AN$64,MATCH($F92,사건마스터!$A$5:$A$64,0)),""))</f>
        <v/>
      </c>
      <c r="R92" s="136">
        <f>IF($F92="","",IFERROR(INDEX(사건마스터!$AO$5:$AO$64,MATCH($F92,사건마스터!$A$5:$A$64,0)),""))</f>
        <v/>
      </c>
      <c r="S92" s="136">
        <f>IF($F92="","",IFERROR(INDEX(사건마스터!$AP$5:$AP$64,MATCH($F92,사건마스터!$A$5:$A$64,0)),""))</f>
        <v/>
      </c>
      <c r="T92" s="136">
        <f>IF($F92="","",IFERROR(INDEX(사건마스터!$AQ$5:$AQ$64,MATCH($F92,사건마스터!$A$5:$A$64,0)),""))</f>
        <v/>
      </c>
      <c r="U92" s="136">
        <f>IF($F92="","",IFERROR(INDEX(사건마스터!$AR$5:$AR$64,MATCH($F92,사건마스터!$A$5:$A$64,0)),""))</f>
        <v/>
      </c>
      <c r="V92" s="136">
        <f>IF($F92="","",IFERROR(INDEX(사건마스터!$AS$5:$AS$64,MATCH($F92,사건마스터!$A$5:$A$64,0)),""))</f>
        <v/>
      </c>
      <c r="W92" s="136">
        <f>IF($F92="","",IFERROR(INDEX(사건마스터!$AT$5:$AT$64,MATCH($F92,사건마스터!$A$5:$A$64,0)),""))</f>
        <v/>
      </c>
      <c r="X92" s="136">
        <f>IF($F92="","",IFERROR(INDEX(사건마스터!$AU$5:$AU$64,MATCH($F92,사건마스터!$A$5:$A$64,0)),""))</f>
        <v/>
      </c>
      <c r="Y92" s="136">
        <f>IF($F92="","",IFERROR(INDEX(사건마스터!$AV$5:$AV$64,MATCH($F92,사건마스터!$A$5:$A$64,0)),""))</f>
        <v/>
      </c>
      <c r="Z92" s="118">
        <f>IF(COUNTBLANK($J92:$Y92)=16,"",16-COUNTBLANK($J92:$Y92))</f>
        <v/>
      </c>
      <c r="AA92" s="33">
        <f>IF($J92="",MID($AX92,3,255),$J92&amp;$AX92)</f>
        <v/>
      </c>
      <c r="AB92" s="130">
        <f>IF($J92="","",IFERROR(INDEX(코드설정!$D$5:$D$24,MATCH($J92,코드설정!$C$5:$C$24,0)),""))</f>
        <v/>
      </c>
      <c r="AC92" s="36" t="n"/>
      <c r="AD92" s="37" t="n"/>
      <c r="AE92" s="38" t="n"/>
      <c r="AF92" s="118">
        <f>IF(OR($B92="",$C92=""),"",$C92-$B92+1)</f>
        <v/>
      </c>
      <c r="AG92" s="74" t="n"/>
      <c r="AH92" s="36" t="n"/>
      <c r="AJ92">
        <f>IF($K92="","",", "&amp;$K92)</f>
        <v/>
      </c>
      <c r="AK92">
        <f>AJ92&amp;IF($L92="","",", "&amp;$L92)</f>
        <v/>
      </c>
      <c r="AL92">
        <f>AK92&amp;IF($M92="","",", "&amp;$M92)</f>
        <v/>
      </c>
      <c r="AM92">
        <f>AL92&amp;IF($N92="","",", "&amp;$N92)</f>
        <v/>
      </c>
      <c r="AN92">
        <f>AM92&amp;IF($O92="","",", "&amp;$O92)</f>
        <v/>
      </c>
      <c r="AO92">
        <f>AN92&amp;IF($P92="","",", "&amp;$P92)</f>
        <v/>
      </c>
      <c r="AP92">
        <f>AO92&amp;IF($Q92="","",", "&amp;$Q92)</f>
        <v/>
      </c>
      <c r="AQ92">
        <f>AP92&amp;IF($R92="","",", "&amp;$R92)</f>
        <v/>
      </c>
      <c r="AR92">
        <f>AQ92&amp;IF($S92="","",", "&amp;$S92)</f>
        <v/>
      </c>
      <c r="AS92">
        <f>AR92&amp;IF($T92="","",", "&amp;$T92)</f>
        <v/>
      </c>
      <c r="AT92">
        <f>AS92&amp;IF($U92="","",", "&amp;$U92)</f>
        <v/>
      </c>
      <c r="AU92">
        <f>AT92&amp;IF($V92="","",", "&amp;$V92)</f>
        <v/>
      </c>
      <c r="AV92">
        <f>AU92&amp;IF($W92="","",", "&amp;$W92)</f>
        <v/>
      </c>
      <c r="AW92">
        <f>AV92&amp;IF($X92="","",", "&amp;$X92)</f>
        <v/>
      </c>
      <c r="AX92">
        <f>AW92&amp;IF($Y92="","",", "&amp;$Y92)</f>
        <v/>
      </c>
    </row>
    <row r="93">
      <c r="A93" s="118">
        <f>IF($B93="","",COUNT($B$5:$B93))</f>
        <v/>
      </c>
      <c r="B93" s="80" t="n"/>
      <c r="C93" s="80" t="n"/>
      <c r="D93" s="74" t="n"/>
      <c r="E93" s="74" t="n"/>
      <c r="F93" s="74" t="n"/>
      <c r="G93" s="118">
        <f>IF($F93="","",COUNTIF($F$5:$F93,$F93))</f>
        <v/>
      </c>
      <c r="H93" s="33">
        <f>IF($F93="","",IFERROR(INDEX(사건마스터!$B$5:$B$64,MATCH($F93,사건마스터!$A$5:$A$64,0)),""))</f>
        <v/>
      </c>
      <c r="I93" s="130">
        <f>IF($F93="","",IFERROR(INDEX(사건마스터!$C$5:$C$64,MATCH($F93,사건마스터!$A$5:$A$64,0)),""))</f>
        <v/>
      </c>
      <c r="J93" s="136">
        <f>IF($F93="","",IFERROR(INDEX(사건마스터!$H$5:$H$64,MATCH($F93,사건마스터!$A$5:$A$64,0)),""))</f>
        <v/>
      </c>
      <c r="K93" s="136">
        <f>IF($F93="","",IFERROR(INDEX(사건마스터!$AH$5:$AH$64,MATCH($F93,사건마스터!$A$5:$A$64,0)),""))</f>
        <v/>
      </c>
      <c r="L93" s="136">
        <f>IF($F93="","",IFERROR(INDEX(사건마스터!$AI$5:$AI$64,MATCH($F93,사건마스터!$A$5:$A$64,0)),""))</f>
        <v/>
      </c>
      <c r="M93" s="136">
        <f>IF($F93="","",IFERROR(INDEX(사건마스터!$AJ$5:$AJ$64,MATCH($F93,사건마스터!$A$5:$A$64,0)),""))</f>
        <v/>
      </c>
      <c r="N93" s="136">
        <f>IF($F93="","",IFERROR(INDEX(사건마스터!$AK$5:$AK$64,MATCH($F93,사건마스터!$A$5:$A$64,0)),""))</f>
        <v/>
      </c>
      <c r="O93" s="136">
        <f>IF($F93="","",IFERROR(INDEX(사건마스터!$AL$5:$AL$64,MATCH($F93,사건마스터!$A$5:$A$64,0)),""))</f>
        <v/>
      </c>
      <c r="P93" s="136">
        <f>IF($F93="","",IFERROR(INDEX(사건마스터!$AM$5:$AM$64,MATCH($F93,사건마스터!$A$5:$A$64,0)),""))</f>
        <v/>
      </c>
      <c r="Q93" s="136">
        <f>IF($F93="","",IFERROR(INDEX(사건마스터!$AN$5:$AN$64,MATCH($F93,사건마스터!$A$5:$A$64,0)),""))</f>
        <v/>
      </c>
      <c r="R93" s="136">
        <f>IF($F93="","",IFERROR(INDEX(사건마스터!$AO$5:$AO$64,MATCH($F93,사건마스터!$A$5:$A$64,0)),""))</f>
        <v/>
      </c>
      <c r="S93" s="136">
        <f>IF($F93="","",IFERROR(INDEX(사건마스터!$AP$5:$AP$64,MATCH($F93,사건마스터!$A$5:$A$64,0)),""))</f>
        <v/>
      </c>
      <c r="T93" s="136">
        <f>IF($F93="","",IFERROR(INDEX(사건마스터!$AQ$5:$AQ$64,MATCH($F93,사건마스터!$A$5:$A$64,0)),""))</f>
        <v/>
      </c>
      <c r="U93" s="136">
        <f>IF($F93="","",IFERROR(INDEX(사건마스터!$AR$5:$AR$64,MATCH($F93,사건마스터!$A$5:$A$64,0)),""))</f>
        <v/>
      </c>
      <c r="V93" s="136">
        <f>IF($F93="","",IFERROR(INDEX(사건마스터!$AS$5:$AS$64,MATCH($F93,사건마스터!$A$5:$A$64,0)),""))</f>
        <v/>
      </c>
      <c r="W93" s="136">
        <f>IF($F93="","",IFERROR(INDEX(사건마스터!$AT$5:$AT$64,MATCH($F93,사건마스터!$A$5:$A$64,0)),""))</f>
        <v/>
      </c>
      <c r="X93" s="136">
        <f>IF($F93="","",IFERROR(INDEX(사건마스터!$AU$5:$AU$64,MATCH($F93,사건마스터!$A$5:$A$64,0)),""))</f>
        <v/>
      </c>
      <c r="Y93" s="136">
        <f>IF($F93="","",IFERROR(INDEX(사건마스터!$AV$5:$AV$64,MATCH($F93,사건마스터!$A$5:$A$64,0)),""))</f>
        <v/>
      </c>
      <c r="Z93" s="118">
        <f>IF(COUNTBLANK($J93:$Y93)=16,"",16-COUNTBLANK($J93:$Y93))</f>
        <v/>
      </c>
      <c r="AA93" s="33">
        <f>IF($J93="",MID($AX93,3,255),$J93&amp;$AX93)</f>
        <v/>
      </c>
      <c r="AB93" s="130">
        <f>IF($J93="","",IFERROR(INDEX(코드설정!$D$5:$D$24,MATCH($J93,코드설정!$C$5:$C$24,0)),""))</f>
        <v/>
      </c>
      <c r="AC93" s="36" t="n"/>
      <c r="AD93" s="37" t="n"/>
      <c r="AE93" s="38" t="n"/>
      <c r="AF93" s="118">
        <f>IF(OR($B93="",$C93=""),"",$C93-$B93+1)</f>
        <v/>
      </c>
      <c r="AG93" s="74" t="n"/>
      <c r="AH93" s="36" t="n"/>
      <c r="AJ93">
        <f>IF($K93="","",", "&amp;$K93)</f>
        <v/>
      </c>
      <c r="AK93">
        <f>AJ93&amp;IF($L93="","",", "&amp;$L93)</f>
        <v/>
      </c>
      <c r="AL93">
        <f>AK93&amp;IF($M93="","",", "&amp;$M93)</f>
        <v/>
      </c>
      <c r="AM93">
        <f>AL93&amp;IF($N93="","",", "&amp;$N93)</f>
        <v/>
      </c>
      <c r="AN93">
        <f>AM93&amp;IF($O93="","",", "&amp;$O93)</f>
        <v/>
      </c>
      <c r="AO93">
        <f>AN93&amp;IF($P93="","",", "&amp;$P93)</f>
        <v/>
      </c>
      <c r="AP93">
        <f>AO93&amp;IF($Q93="","",", "&amp;$Q93)</f>
        <v/>
      </c>
      <c r="AQ93">
        <f>AP93&amp;IF($R93="","",", "&amp;$R93)</f>
        <v/>
      </c>
      <c r="AR93">
        <f>AQ93&amp;IF($S93="","",", "&amp;$S93)</f>
        <v/>
      </c>
      <c r="AS93">
        <f>AR93&amp;IF($T93="","",", "&amp;$T93)</f>
        <v/>
      </c>
      <c r="AT93">
        <f>AS93&amp;IF($U93="","",", "&amp;$U93)</f>
        <v/>
      </c>
      <c r="AU93">
        <f>AT93&amp;IF($V93="","",", "&amp;$V93)</f>
        <v/>
      </c>
      <c r="AV93">
        <f>AU93&amp;IF($W93="","",", "&amp;$W93)</f>
        <v/>
      </c>
      <c r="AW93">
        <f>AV93&amp;IF($X93="","",", "&amp;$X93)</f>
        <v/>
      </c>
      <c r="AX93">
        <f>AW93&amp;IF($Y93="","",", "&amp;$Y93)</f>
        <v/>
      </c>
    </row>
    <row r="94">
      <c r="A94" s="118">
        <f>IF($B94="","",COUNT($B$5:$B94))</f>
        <v/>
      </c>
      <c r="B94" s="80" t="n"/>
      <c r="C94" s="80" t="n"/>
      <c r="D94" s="74" t="n"/>
      <c r="E94" s="74" t="n"/>
      <c r="F94" s="74" t="n"/>
      <c r="G94" s="118">
        <f>IF($F94="","",COUNTIF($F$5:$F94,$F94))</f>
        <v/>
      </c>
      <c r="H94" s="33">
        <f>IF($F94="","",IFERROR(INDEX(사건마스터!$B$5:$B$64,MATCH($F94,사건마스터!$A$5:$A$64,0)),""))</f>
        <v/>
      </c>
      <c r="I94" s="130">
        <f>IF($F94="","",IFERROR(INDEX(사건마스터!$C$5:$C$64,MATCH($F94,사건마스터!$A$5:$A$64,0)),""))</f>
        <v/>
      </c>
      <c r="J94" s="136">
        <f>IF($F94="","",IFERROR(INDEX(사건마스터!$H$5:$H$64,MATCH($F94,사건마스터!$A$5:$A$64,0)),""))</f>
        <v/>
      </c>
      <c r="K94" s="136">
        <f>IF($F94="","",IFERROR(INDEX(사건마스터!$AH$5:$AH$64,MATCH($F94,사건마스터!$A$5:$A$64,0)),""))</f>
        <v/>
      </c>
      <c r="L94" s="136">
        <f>IF($F94="","",IFERROR(INDEX(사건마스터!$AI$5:$AI$64,MATCH($F94,사건마스터!$A$5:$A$64,0)),""))</f>
        <v/>
      </c>
      <c r="M94" s="136">
        <f>IF($F94="","",IFERROR(INDEX(사건마스터!$AJ$5:$AJ$64,MATCH($F94,사건마스터!$A$5:$A$64,0)),""))</f>
        <v/>
      </c>
      <c r="N94" s="136">
        <f>IF($F94="","",IFERROR(INDEX(사건마스터!$AK$5:$AK$64,MATCH($F94,사건마스터!$A$5:$A$64,0)),""))</f>
        <v/>
      </c>
      <c r="O94" s="136">
        <f>IF($F94="","",IFERROR(INDEX(사건마스터!$AL$5:$AL$64,MATCH($F94,사건마스터!$A$5:$A$64,0)),""))</f>
        <v/>
      </c>
      <c r="P94" s="136">
        <f>IF($F94="","",IFERROR(INDEX(사건마스터!$AM$5:$AM$64,MATCH($F94,사건마스터!$A$5:$A$64,0)),""))</f>
        <v/>
      </c>
      <c r="Q94" s="136">
        <f>IF($F94="","",IFERROR(INDEX(사건마스터!$AN$5:$AN$64,MATCH($F94,사건마스터!$A$5:$A$64,0)),""))</f>
        <v/>
      </c>
      <c r="R94" s="136">
        <f>IF($F94="","",IFERROR(INDEX(사건마스터!$AO$5:$AO$64,MATCH($F94,사건마스터!$A$5:$A$64,0)),""))</f>
        <v/>
      </c>
      <c r="S94" s="136">
        <f>IF($F94="","",IFERROR(INDEX(사건마스터!$AP$5:$AP$64,MATCH($F94,사건마스터!$A$5:$A$64,0)),""))</f>
        <v/>
      </c>
      <c r="T94" s="136">
        <f>IF($F94="","",IFERROR(INDEX(사건마스터!$AQ$5:$AQ$64,MATCH($F94,사건마스터!$A$5:$A$64,0)),""))</f>
        <v/>
      </c>
      <c r="U94" s="136">
        <f>IF($F94="","",IFERROR(INDEX(사건마스터!$AR$5:$AR$64,MATCH($F94,사건마스터!$A$5:$A$64,0)),""))</f>
        <v/>
      </c>
      <c r="V94" s="136">
        <f>IF($F94="","",IFERROR(INDEX(사건마스터!$AS$5:$AS$64,MATCH($F94,사건마스터!$A$5:$A$64,0)),""))</f>
        <v/>
      </c>
      <c r="W94" s="136">
        <f>IF($F94="","",IFERROR(INDEX(사건마스터!$AT$5:$AT$64,MATCH($F94,사건마스터!$A$5:$A$64,0)),""))</f>
        <v/>
      </c>
      <c r="X94" s="136">
        <f>IF($F94="","",IFERROR(INDEX(사건마스터!$AU$5:$AU$64,MATCH($F94,사건마스터!$A$5:$A$64,0)),""))</f>
        <v/>
      </c>
      <c r="Y94" s="136">
        <f>IF($F94="","",IFERROR(INDEX(사건마스터!$AV$5:$AV$64,MATCH($F94,사건마스터!$A$5:$A$64,0)),""))</f>
        <v/>
      </c>
      <c r="Z94" s="118">
        <f>IF(COUNTBLANK($J94:$Y94)=16,"",16-COUNTBLANK($J94:$Y94))</f>
        <v/>
      </c>
      <c r="AA94" s="33">
        <f>IF($J94="",MID($AX94,3,255),$J94&amp;$AX94)</f>
        <v/>
      </c>
      <c r="AB94" s="130">
        <f>IF($J94="","",IFERROR(INDEX(코드설정!$D$5:$D$24,MATCH($J94,코드설정!$C$5:$C$24,0)),""))</f>
        <v/>
      </c>
      <c r="AC94" s="36" t="n"/>
      <c r="AD94" s="37" t="n"/>
      <c r="AE94" s="38" t="n"/>
      <c r="AF94" s="118">
        <f>IF(OR($B94="",$C94=""),"",$C94-$B94+1)</f>
        <v/>
      </c>
      <c r="AG94" s="74" t="n"/>
      <c r="AH94" s="36" t="n"/>
      <c r="AJ94">
        <f>IF($K94="","",", "&amp;$K94)</f>
        <v/>
      </c>
      <c r="AK94">
        <f>AJ94&amp;IF($L94="","",", "&amp;$L94)</f>
        <v/>
      </c>
      <c r="AL94">
        <f>AK94&amp;IF($M94="","",", "&amp;$M94)</f>
        <v/>
      </c>
      <c r="AM94">
        <f>AL94&amp;IF($N94="","",", "&amp;$N94)</f>
        <v/>
      </c>
      <c r="AN94">
        <f>AM94&amp;IF($O94="","",", "&amp;$O94)</f>
        <v/>
      </c>
      <c r="AO94">
        <f>AN94&amp;IF($P94="","",", "&amp;$P94)</f>
        <v/>
      </c>
      <c r="AP94">
        <f>AO94&amp;IF($Q94="","",", "&amp;$Q94)</f>
        <v/>
      </c>
      <c r="AQ94">
        <f>AP94&amp;IF($R94="","",", "&amp;$R94)</f>
        <v/>
      </c>
      <c r="AR94">
        <f>AQ94&amp;IF($S94="","",", "&amp;$S94)</f>
        <v/>
      </c>
      <c r="AS94">
        <f>AR94&amp;IF($T94="","",", "&amp;$T94)</f>
        <v/>
      </c>
      <c r="AT94">
        <f>AS94&amp;IF($U94="","",", "&amp;$U94)</f>
        <v/>
      </c>
      <c r="AU94">
        <f>AT94&amp;IF($V94="","",", "&amp;$V94)</f>
        <v/>
      </c>
      <c r="AV94">
        <f>AU94&amp;IF($W94="","",", "&amp;$W94)</f>
        <v/>
      </c>
      <c r="AW94">
        <f>AV94&amp;IF($X94="","",", "&amp;$X94)</f>
        <v/>
      </c>
      <c r="AX94">
        <f>AW94&amp;IF($Y94="","",", "&amp;$Y94)</f>
        <v/>
      </c>
    </row>
    <row r="95">
      <c r="A95" s="118">
        <f>IF($B95="","",COUNT($B$5:$B95))</f>
        <v/>
      </c>
      <c r="B95" s="80" t="n"/>
      <c r="C95" s="80" t="n"/>
      <c r="D95" s="74" t="n"/>
      <c r="E95" s="74" t="n"/>
      <c r="F95" s="74" t="n"/>
      <c r="G95" s="118">
        <f>IF($F95="","",COUNTIF($F$5:$F95,$F95))</f>
        <v/>
      </c>
      <c r="H95" s="33">
        <f>IF($F95="","",IFERROR(INDEX(사건마스터!$B$5:$B$64,MATCH($F95,사건마스터!$A$5:$A$64,0)),""))</f>
        <v/>
      </c>
      <c r="I95" s="130">
        <f>IF($F95="","",IFERROR(INDEX(사건마스터!$C$5:$C$64,MATCH($F95,사건마스터!$A$5:$A$64,0)),""))</f>
        <v/>
      </c>
      <c r="J95" s="136">
        <f>IF($F95="","",IFERROR(INDEX(사건마스터!$H$5:$H$64,MATCH($F95,사건마스터!$A$5:$A$64,0)),""))</f>
        <v/>
      </c>
      <c r="K95" s="136">
        <f>IF($F95="","",IFERROR(INDEX(사건마스터!$AH$5:$AH$64,MATCH($F95,사건마스터!$A$5:$A$64,0)),""))</f>
        <v/>
      </c>
      <c r="L95" s="136">
        <f>IF($F95="","",IFERROR(INDEX(사건마스터!$AI$5:$AI$64,MATCH($F95,사건마스터!$A$5:$A$64,0)),""))</f>
        <v/>
      </c>
      <c r="M95" s="136">
        <f>IF($F95="","",IFERROR(INDEX(사건마스터!$AJ$5:$AJ$64,MATCH($F95,사건마스터!$A$5:$A$64,0)),""))</f>
        <v/>
      </c>
      <c r="N95" s="136">
        <f>IF($F95="","",IFERROR(INDEX(사건마스터!$AK$5:$AK$64,MATCH($F95,사건마스터!$A$5:$A$64,0)),""))</f>
        <v/>
      </c>
      <c r="O95" s="136">
        <f>IF($F95="","",IFERROR(INDEX(사건마스터!$AL$5:$AL$64,MATCH($F95,사건마스터!$A$5:$A$64,0)),""))</f>
        <v/>
      </c>
      <c r="P95" s="136">
        <f>IF($F95="","",IFERROR(INDEX(사건마스터!$AM$5:$AM$64,MATCH($F95,사건마스터!$A$5:$A$64,0)),""))</f>
        <v/>
      </c>
      <c r="Q95" s="136">
        <f>IF($F95="","",IFERROR(INDEX(사건마스터!$AN$5:$AN$64,MATCH($F95,사건마스터!$A$5:$A$64,0)),""))</f>
        <v/>
      </c>
      <c r="R95" s="136">
        <f>IF($F95="","",IFERROR(INDEX(사건마스터!$AO$5:$AO$64,MATCH($F95,사건마스터!$A$5:$A$64,0)),""))</f>
        <v/>
      </c>
      <c r="S95" s="136">
        <f>IF($F95="","",IFERROR(INDEX(사건마스터!$AP$5:$AP$64,MATCH($F95,사건마스터!$A$5:$A$64,0)),""))</f>
        <v/>
      </c>
      <c r="T95" s="136">
        <f>IF($F95="","",IFERROR(INDEX(사건마스터!$AQ$5:$AQ$64,MATCH($F95,사건마스터!$A$5:$A$64,0)),""))</f>
        <v/>
      </c>
      <c r="U95" s="136">
        <f>IF($F95="","",IFERROR(INDEX(사건마스터!$AR$5:$AR$64,MATCH($F95,사건마스터!$A$5:$A$64,0)),""))</f>
        <v/>
      </c>
      <c r="V95" s="136">
        <f>IF($F95="","",IFERROR(INDEX(사건마스터!$AS$5:$AS$64,MATCH($F95,사건마스터!$A$5:$A$64,0)),""))</f>
        <v/>
      </c>
      <c r="W95" s="136">
        <f>IF($F95="","",IFERROR(INDEX(사건마스터!$AT$5:$AT$64,MATCH($F95,사건마스터!$A$5:$A$64,0)),""))</f>
        <v/>
      </c>
      <c r="X95" s="136">
        <f>IF($F95="","",IFERROR(INDEX(사건마스터!$AU$5:$AU$64,MATCH($F95,사건마스터!$A$5:$A$64,0)),""))</f>
        <v/>
      </c>
      <c r="Y95" s="136">
        <f>IF($F95="","",IFERROR(INDEX(사건마스터!$AV$5:$AV$64,MATCH($F95,사건마스터!$A$5:$A$64,0)),""))</f>
        <v/>
      </c>
      <c r="Z95" s="118">
        <f>IF(COUNTBLANK($J95:$Y95)=16,"",16-COUNTBLANK($J95:$Y95))</f>
        <v/>
      </c>
      <c r="AA95" s="33">
        <f>IF($J95="",MID($AX95,3,255),$J95&amp;$AX95)</f>
        <v/>
      </c>
      <c r="AB95" s="130">
        <f>IF($J95="","",IFERROR(INDEX(코드설정!$D$5:$D$24,MATCH($J95,코드설정!$C$5:$C$24,0)),""))</f>
        <v/>
      </c>
      <c r="AC95" s="36" t="n"/>
      <c r="AD95" s="37" t="n"/>
      <c r="AE95" s="38" t="n"/>
      <c r="AF95" s="118">
        <f>IF(OR($B95="",$C95=""),"",$C95-$B95+1)</f>
        <v/>
      </c>
      <c r="AG95" s="74" t="n"/>
      <c r="AH95" s="36" t="n"/>
      <c r="AJ95">
        <f>IF($K95="","",", "&amp;$K95)</f>
        <v/>
      </c>
      <c r="AK95">
        <f>AJ95&amp;IF($L95="","",", "&amp;$L95)</f>
        <v/>
      </c>
      <c r="AL95">
        <f>AK95&amp;IF($M95="","",", "&amp;$M95)</f>
        <v/>
      </c>
      <c r="AM95">
        <f>AL95&amp;IF($N95="","",", "&amp;$N95)</f>
        <v/>
      </c>
      <c r="AN95">
        <f>AM95&amp;IF($O95="","",", "&amp;$O95)</f>
        <v/>
      </c>
      <c r="AO95">
        <f>AN95&amp;IF($P95="","",", "&amp;$P95)</f>
        <v/>
      </c>
      <c r="AP95">
        <f>AO95&amp;IF($Q95="","",", "&amp;$Q95)</f>
        <v/>
      </c>
      <c r="AQ95">
        <f>AP95&amp;IF($R95="","",", "&amp;$R95)</f>
        <v/>
      </c>
      <c r="AR95">
        <f>AQ95&amp;IF($S95="","",", "&amp;$S95)</f>
        <v/>
      </c>
      <c r="AS95">
        <f>AR95&amp;IF($T95="","",", "&amp;$T95)</f>
        <v/>
      </c>
      <c r="AT95">
        <f>AS95&amp;IF($U95="","",", "&amp;$U95)</f>
        <v/>
      </c>
      <c r="AU95">
        <f>AT95&amp;IF($V95="","",", "&amp;$V95)</f>
        <v/>
      </c>
      <c r="AV95">
        <f>AU95&amp;IF($W95="","",", "&amp;$W95)</f>
        <v/>
      </c>
      <c r="AW95">
        <f>AV95&amp;IF($X95="","",", "&amp;$X95)</f>
        <v/>
      </c>
      <c r="AX95">
        <f>AW95&amp;IF($Y95="","",", "&amp;$Y95)</f>
        <v/>
      </c>
    </row>
    <row r="96">
      <c r="A96" s="118">
        <f>IF($B96="","",COUNT($B$5:$B96))</f>
        <v/>
      </c>
      <c r="B96" s="80" t="n"/>
      <c r="C96" s="80" t="n"/>
      <c r="D96" s="74" t="n"/>
      <c r="E96" s="74" t="n"/>
      <c r="F96" s="74" t="n"/>
      <c r="G96" s="118">
        <f>IF($F96="","",COUNTIF($F$5:$F96,$F96))</f>
        <v/>
      </c>
      <c r="H96" s="33">
        <f>IF($F96="","",IFERROR(INDEX(사건마스터!$B$5:$B$64,MATCH($F96,사건마스터!$A$5:$A$64,0)),""))</f>
        <v/>
      </c>
      <c r="I96" s="130">
        <f>IF($F96="","",IFERROR(INDEX(사건마스터!$C$5:$C$64,MATCH($F96,사건마스터!$A$5:$A$64,0)),""))</f>
        <v/>
      </c>
      <c r="J96" s="136">
        <f>IF($F96="","",IFERROR(INDEX(사건마스터!$H$5:$H$64,MATCH($F96,사건마스터!$A$5:$A$64,0)),""))</f>
        <v/>
      </c>
      <c r="K96" s="136">
        <f>IF($F96="","",IFERROR(INDEX(사건마스터!$AH$5:$AH$64,MATCH($F96,사건마스터!$A$5:$A$64,0)),""))</f>
        <v/>
      </c>
      <c r="L96" s="136">
        <f>IF($F96="","",IFERROR(INDEX(사건마스터!$AI$5:$AI$64,MATCH($F96,사건마스터!$A$5:$A$64,0)),""))</f>
        <v/>
      </c>
      <c r="M96" s="136">
        <f>IF($F96="","",IFERROR(INDEX(사건마스터!$AJ$5:$AJ$64,MATCH($F96,사건마스터!$A$5:$A$64,0)),""))</f>
        <v/>
      </c>
      <c r="N96" s="136">
        <f>IF($F96="","",IFERROR(INDEX(사건마스터!$AK$5:$AK$64,MATCH($F96,사건마스터!$A$5:$A$64,0)),""))</f>
        <v/>
      </c>
      <c r="O96" s="136">
        <f>IF($F96="","",IFERROR(INDEX(사건마스터!$AL$5:$AL$64,MATCH($F96,사건마스터!$A$5:$A$64,0)),""))</f>
        <v/>
      </c>
      <c r="P96" s="136">
        <f>IF($F96="","",IFERROR(INDEX(사건마스터!$AM$5:$AM$64,MATCH($F96,사건마스터!$A$5:$A$64,0)),""))</f>
        <v/>
      </c>
      <c r="Q96" s="136">
        <f>IF($F96="","",IFERROR(INDEX(사건마스터!$AN$5:$AN$64,MATCH($F96,사건마스터!$A$5:$A$64,0)),""))</f>
        <v/>
      </c>
      <c r="R96" s="136">
        <f>IF($F96="","",IFERROR(INDEX(사건마스터!$AO$5:$AO$64,MATCH($F96,사건마스터!$A$5:$A$64,0)),""))</f>
        <v/>
      </c>
      <c r="S96" s="136">
        <f>IF($F96="","",IFERROR(INDEX(사건마스터!$AP$5:$AP$64,MATCH($F96,사건마스터!$A$5:$A$64,0)),""))</f>
        <v/>
      </c>
      <c r="T96" s="136">
        <f>IF($F96="","",IFERROR(INDEX(사건마스터!$AQ$5:$AQ$64,MATCH($F96,사건마스터!$A$5:$A$64,0)),""))</f>
        <v/>
      </c>
      <c r="U96" s="136">
        <f>IF($F96="","",IFERROR(INDEX(사건마스터!$AR$5:$AR$64,MATCH($F96,사건마스터!$A$5:$A$64,0)),""))</f>
        <v/>
      </c>
      <c r="V96" s="136">
        <f>IF($F96="","",IFERROR(INDEX(사건마스터!$AS$5:$AS$64,MATCH($F96,사건마스터!$A$5:$A$64,0)),""))</f>
        <v/>
      </c>
      <c r="W96" s="136">
        <f>IF($F96="","",IFERROR(INDEX(사건마스터!$AT$5:$AT$64,MATCH($F96,사건마스터!$A$5:$A$64,0)),""))</f>
        <v/>
      </c>
      <c r="X96" s="136">
        <f>IF($F96="","",IFERROR(INDEX(사건마스터!$AU$5:$AU$64,MATCH($F96,사건마스터!$A$5:$A$64,0)),""))</f>
        <v/>
      </c>
      <c r="Y96" s="136">
        <f>IF($F96="","",IFERROR(INDEX(사건마스터!$AV$5:$AV$64,MATCH($F96,사건마스터!$A$5:$A$64,0)),""))</f>
        <v/>
      </c>
      <c r="Z96" s="118">
        <f>IF(COUNTBLANK($J96:$Y96)=16,"",16-COUNTBLANK($J96:$Y96))</f>
        <v/>
      </c>
      <c r="AA96" s="33">
        <f>IF($J96="",MID($AX96,3,255),$J96&amp;$AX96)</f>
        <v/>
      </c>
      <c r="AB96" s="130">
        <f>IF($J96="","",IFERROR(INDEX(코드설정!$D$5:$D$24,MATCH($J96,코드설정!$C$5:$C$24,0)),""))</f>
        <v/>
      </c>
      <c r="AC96" s="36" t="n"/>
      <c r="AD96" s="37" t="n"/>
      <c r="AE96" s="38" t="n"/>
      <c r="AF96" s="118">
        <f>IF(OR($B96="",$C96=""),"",$C96-$B96+1)</f>
        <v/>
      </c>
      <c r="AG96" s="74" t="n"/>
      <c r="AH96" s="36" t="n"/>
      <c r="AJ96">
        <f>IF($K96="","",", "&amp;$K96)</f>
        <v/>
      </c>
      <c r="AK96">
        <f>AJ96&amp;IF($L96="","",", "&amp;$L96)</f>
        <v/>
      </c>
      <c r="AL96">
        <f>AK96&amp;IF($M96="","",", "&amp;$M96)</f>
        <v/>
      </c>
      <c r="AM96">
        <f>AL96&amp;IF($N96="","",", "&amp;$N96)</f>
        <v/>
      </c>
      <c r="AN96">
        <f>AM96&amp;IF($O96="","",", "&amp;$O96)</f>
        <v/>
      </c>
      <c r="AO96">
        <f>AN96&amp;IF($P96="","",", "&amp;$P96)</f>
        <v/>
      </c>
      <c r="AP96">
        <f>AO96&amp;IF($Q96="","",", "&amp;$Q96)</f>
        <v/>
      </c>
      <c r="AQ96">
        <f>AP96&amp;IF($R96="","",", "&amp;$R96)</f>
        <v/>
      </c>
      <c r="AR96">
        <f>AQ96&amp;IF($S96="","",", "&amp;$S96)</f>
        <v/>
      </c>
      <c r="AS96">
        <f>AR96&amp;IF($T96="","",", "&amp;$T96)</f>
        <v/>
      </c>
      <c r="AT96">
        <f>AS96&amp;IF($U96="","",", "&amp;$U96)</f>
        <v/>
      </c>
      <c r="AU96">
        <f>AT96&amp;IF($V96="","",", "&amp;$V96)</f>
        <v/>
      </c>
      <c r="AV96">
        <f>AU96&amp;IF($W96="","",", "&amp;$W96)</f>
        <v/>
      </c>
      <c r="AW96">
        <f>AV96&amp;IF($X96="","",", "&amp;$X96)</f>
        <v/>
      </c>
      <c r="AX96">
        <f>AW96&amp;IF($Y96="","",", "&amp;$Y96)</f>
        <v/>
      </c>
    </row>
    <row r="97">
      <c r="A97" s="118">
        <f>IF($B97="","",COUNT($B$5:$B97))</f>
        <v/>
      </c>
      <c r="B97" s="80" t="n"/>
      <c r="C97" s="80" t="n"/>
      <c r="D97" s="74" t="n"/>
      <c r="E97" s="74" t="n"/>
      <c r="F97" s="74" t="n"/>
      <c r="G97" s="118">
        <f>IF($F97="","",COUNTIF($F$5:$F97,$F97))</f>
        <v/>
      </c>
      <c r="H97" s="33">
        <f>IF($F97="","",IFERROR(INDEX(사건마스터!$B$5:$B$64,MATCH($F97,사건마스터!$A$5:$A$64,0)),""))</f>
        <v/>
      </c>
      <c r="I97" s="130">
        <f>IF($F97="","",IFERROR(INDEX(사건마스터!$C$5:$C$64,MATCH($F97,사건마스터!$A$5:$A$64,0)),""))</f>
        <v/>
      </c>
      <c r="J97" s="136">
        <f>IF($F97="","",IFERROR(INDEX(사건마스터!$H$5:$H$64,MATCH($F97,사건마스터!$A$5:$A$64,0)),""))</f>
        <v/>
      </c>
      <c r="K97" s="136">
        <f>IF($F97="","",IFERROR(INDEX(사건마스터!$AH$5:$AH$64,MATCH($F97,사건마스터!$A$5:$A$64,0)),""))</f>
        <v/>
      </c>
      <c r="L97" s="136">
        <f>IF($F97="","",IFERROR(INDEX(사건마스터!$AI$5:$AI$64,MATCH($F97,사건마스터!$A$5:$A$64,0)),""))</f>
        <v/>
      </c>
      <c r="M97" s="136">
        <f>IF($F97="","",IFERROR(INDEX(사건마스터!$AJ$5:$AJ$64,MATCH($F97,사건마스터!$A$5:$A$64,0)),""))</f>
        <v/>
      </c>
      <c r="N97" s="136">
        <f>IF($F97="","",IFERROR(INDEX(사건마스터!$AK$5:$AK$64,MATCH($F97,사건마스터!$A$5:$A$64,0)),""))</f>
        <v/>
      </c>
      <c r="O97" s="136">
        <f>IF($F97="","",IFERROR(INDEX(사건마스터!$AL$5:$AL$64,MATCH($F97,사건마스터!$A$5:$A$64,0)),""))</f>
        <v/>
      </c>
      <c r="P97" s="136">
        <f>IF($F97="","",IFERROR(INDEX(사건마스터!$AM$5:$AM$64,MATCH($F97,사건마스터!$A$5:$A$64,0)),""))</f>
        <v/>
      </c>
      <c r="Q97" s="136">
        <f>IF($F97="","",IFERROR(INDEX(사건마스터!$AN$5:$AN$64,MATCH($F97,사건마스터!$A$5:$A$64,0)),""))</f>
        <v/>
      </c>
      <c r="R97" s="136">
        <f>IF($F97="","",IFERROR(INDEX(사건마스터!$AO$5:$AO$64,MATCH($F97,사건마스터!$A$5:$A$64,0)),""))</f>
        <v/>
      </c>
      <c r="S97" s="136">
        <f>IF($F97="","",IFERROR(INDEX(사건마스터!$AP$5:$AP$64,MATCH($F97,사건마스터!$A$5:$A$64,0)),""))</f>
        <v/>
      </c>
      <c r="T97" s="136">
        <f>IF($F97="","",IFERROR(INDEX(사건마스터!$AQ$5:$AQ$64,MATCH($F97,사건마스터!$A$5:$A$64,0)),""))</f>
        <v/>
      </c>
      <c r="U97" s="136">
        <f>IF($F97="","",IFERROR(INDEX(사건마스터!$AR$5:$AR$64,MATCH($F97,사건마스터!$A$5:$A$64,0)),""))</f>
        <v/>
      </c>
      <c r="V97" s="136">
        <f>IF($F97="","",IFERROR(INDEX(사건마스터!$AS$5:$AS$64,MATCH($F97,사건마스터!$A$5:$A$64,0)),""))</f>
        <v/>
      </c>
      <c r="W97" s="136">
        <f>IF($F97="","",IFERROR(INDEX(사건마스터!$AT$5:$AT$64,MATCH($F97,사건마스터!$A$5:$A$64,0)),""))</f>
        <v/>
      </c>
      <c r="X97" s="136">
        <f>IF($F97="","",IFERROR(INDEX(사건마스터!$AU$5:$AU$64,MATCH($F97,사건마스터!$A$5:$A$64,0)),""))</f>
        <v/>
      </c>
      <c r="Y97" s="136">
        <f>IF($F97="","",IFERROR(INDEX(사건마스터!$AV$5:$AV$64,MATCH($F97,사건마스터!$A$5:$A$64,0)),""))</f>
        <v/>
      </c>
      <c r="Z97" s="118">
        <f>IF(COUNTBLANK($J97:$Y97)=16,"",16-COUNTBLANK($J97:$Y97))</f>
        <v/>
      </c>
      <c r="AA97" s="33">
        <f>IF($J97="",MID($AX97,3,255),$J97&amp;$AX97)</f>
        <v/>
      </c>
      <c r="AB97" s="130">
        <f>IF($J97="","",IFERROR(INDEX(코드설정!$D$5:$D$24,MATCH($J97,코드설정!$C$5:$C$24,0)),""))</f>
        <v/>
      </c>
      <c r="AC97" s="36" t="n"/>
      <c r="AD97" s="37" t="n"/>
      <c r="AE97" s="38" t="n"/>
      <c r="AF97" s="118">
        <f>IF(OR($B97="",$C97=""),"",$C97-$B97+1)</f>
        <v/>
      </c>
      <c r="AG97" s="74" t="n"/>
      <c r="AH97" s="36" t="n"/>
      <c r="AJ97">
        <f>IF($K97="","",", "&amp;$K97)</f>
        <v/>
      </c>
      <c r="AK97">
        <f>AJ97&amp;IF($L97="","",", "&amp;$L97)</f>
        <v/>
      </c>
      <c r="AL97">
        <f>AK97&amp;IF($M97="","",", "&amp;$M97)</f>
        <v/>
      </c>
      <c r="AM97">
        <f>AL97&amp;IF($N97="","",", "&amp;$N97)</f>
        <v/>
      </c>
      <c r="AN97">
        <f>AM97&amp;IF($O97="","",", "&amp;$O97)</f>
        <v/>
      </c>
      <c r="AO97">
        <f>AN97&amp;IF($P97="","",", "&amp;$P97)</f>
        <v/>
      </c>
      <c r="AP97">
        <f>AO97&amp;IF($Q97="","",", "&amp;$Q97)</f>
        <v/>
      </c>
      <c r="AQ97">
        <f>AP97&amp;IF($R97="","",", "&amp;$R97)</f>
        <v/>
      </c>
      <c r="AR97">
        <f>AQ97&amp;IF($S97="","",", "&amp;$S97)</f>
        <v/>
      </c>
      <c r="AS97">
        <f>AR97&amp;IF($T97="","",", "&amp;$T97)</f>
        <v/>
      </c>
      <c r="AT97">
        <f>AS97&amp;IF($U97="","",", "&amp;$U97)</f>
        <v/>
      </c>
      <c r="AU97">
        <f>AT97&amp;IF($V97="","",", "&amp;$V97)</f>
        <v/>
      </c>
      <c r="AV97">
        <f>AU97&amp;IF($W97="","",", "&amp;$W97)</f>
        <v/>
      </c>
      <c r="AW97">
        <f>AV97&amp;IF($X97="","",", "&amp;$X97)</f>
        <v/>
      </c>
      <c r="AX97">
        <f>AW97&amp;IF($Y97="","",", "&amp;$Y97)</f>
        <v/>
      </c>
    </row>
    <row r="98">
      <c r="A98" s="118">
        <f>IF($B98="","",COUNT($B$5:$B98))</f>
        <v/>
      </c>
      <c r="B98" s="80" t="n"/>
      <c r="C98" s="80" t="n"/>
      <c r="D98" s="74" t="n"/>
      <c r="E98" s="74" t="n"/>
      <c r="F98" s="74" t="n"/>
      <c r="G98" s="118">
        <f>IF($F98="","",COUNTIF($F$5:$F98,$F98))</f>
        <v/>
      </c>
      <c r="H98" s="33">
        <f>IF($F98="","",IFERROR(INDEX(사건마스터!$B$5:$B$64,MATCH($F98,사건마스터!$A$5:$A$64,0)),""))</f>
        <v/>
      </c>
      <c r="I98" s="130">
        <f>IF($F98="","",IFERROR(INDEX(사건마스터!$C$5:$C$64,MATCH($F98,사건마스터!$A$5:$A$64,0)),""))</f>
        <v/>
      </c>
      <c r="J98" s="136">
        <f>IF($F98="","",IFERROR(INDEX(사건마스터!$H$5:$H$64,MATCH($F98,사건마스터!$A$5:$A$64,0)),""))</f>
        <v/>
      </c>
      <c r="K98" s="136">
        <f>IF($F98="","",IFERROR(INDEX(사건마스터!$AH$5:$AH$64,MATCH($F98,사건마스터!$A$5:$A$64,0)),""))</f>
        <v/>
      </c>
      <c r="L98" s="136">
        <f>IF($F98="","",IFERROR(INDEX(사건마스터!$AI$5:$AI$64,MATCH($F98,사건마스터!$A$5:$A$64,0)),""))</f>
        <v/>
      </c>
      <c r="M98" s="136">
        <f>IF($F98="","",IFERROR(INDEX(사건마스터!$AJ$5:$AJ$64,MATCH($F98,사건마스터!$A$5:$A$64,0)),""))</f>
        <v/>
      </c>
      <c r="N98" s="136">
        <f>IF($F98="","",IFERROR(INDEX(사건마스터!$AK$5:$AK$64,MATCH($F98,사건마스터!$A$5:$A$64,0)),""))</f>
        <v/>
      </c>
      <c r="O98" s="136">
        <f>IF($F98="","",IFERROR(INDEX(사건마스터!$AL$5:$AL$64,MATCH($F98,사건마스터!$A$5:$A$64,0)),""))</f>
        <v/>
      </c>
      <c r="P98" s="136">
        <f>IF($F98="","",IFERROR(INDEX(사건마스터!$AM$5:$AM$64,MATCH($F98,사건마스터!$A$5:$A$64,0)),""))</f>
        <v/>
      </c>
      <c r="Q98" s="136">
        <f>IF($F98="","",IFERROR(INDEX(사건마스터!$AN$5:$AN$64,MATCH($F98,사건마스터!$A$5:$A$64,0)),""))</f>
        <v/>
      </c>
      <c r="R98" s="136">
        <f>IF($F98="","",IFERROR(INDEX(사건마스터!$AO$5:$AO$64,MATCH($F98,사건마스터!$A$5:$A$64,0)),""))</f>
        <v/>
      </c>
      <c r="S98" s="136">
        <f>IF($F98="","",IFERROR(INDEX(사건마스터!$AP$5:$AP$64,MATCH($F98,사건마스터!$A$5:$A$64,0)),""))</f>
        <v/>
      </c>
      <c r="T98" s="136">
        <f>IF($F98="","",IFERROR(INDEX(사건마스터!$AQ$5:$AQ$64,MATCH($F98,사건마스터!$A$5:$A$64,0)),""))</f>
        <v/>
      </c>
      <c r="U98" s="136">
        <f>IF($F98="","",IFERROR(INDEX(사건마스터!$AR$5:$AR$64,MATCH($F98,사건마스터!$A$5:$A$64,0)),""))</f>
        <v/>
      </c>
      <c r="V98" s="136">
        <f>IF($F98="","",IFERROR(INDEX(사건마스터!$AS$5:$AS$64,MATCH($F98,사건마스터!$A$5:$A$64,0)),""))</f>
        <v/>
      </c>
      <c r="W98" s="136">
        <f>IF($F98="","",IFERROR(INDEX(사건마스터!$AT$5:$AT$64,MATCH($F98,사건마스터!$A$5:$A$64,0)),""))</f>
        <v/>
      </c>
      <c r="X98" s="136">
        <f>IF($F98="","",IFERROR(INDEX(사건마스터!$AU$5:$AU$64,MATCH($F98,사건마스터!$A$5:$A$64,0)),""))</f>
        <v/>
      </c>
      <c r="Y98" s="136">
        <f>IF($F98="","",IFERROR(INDEX(사건마스터!$AV$5:$AV$64,MATCH($F98,사건마스터!$A$5:$A$64,0)),""))</f>
        <v/>
      </c>
      <c r="Z98" s="118">
        <f>IF(COUNTBLANK($J98:$Y98)=16,"",16-COUNTBLANK($J98:$Y98))</f>
        <v/>
      </c>
      <c r="AA98" s="33">
        <f>IF($J98="",MID($AX98,3,255),$J98&amp;$AX98)</f>
        <v/>
      </c>
      <c r="AB98" s="130">
        <f>IF($J98="","",IFERROR(INDEX(코드설정!$D$5:$D$24,MATCH($J98,코드설정!$C$5:$C$24,0)),""))</f>
        <v/>
      </c>
      <c r="AC98" s="36" t="n"/>
      <c r="AD98" s="37" t="n"/>
      <c r="AE98" s="38" t="n"/>
      <c r="AF98" s="118">
        <f>IF(OR($B98="",$C98=""),"",$C98-$B98+1)</f>
        <v/>
      </c>
      <c r="AG98" s="74" t="n"/>
      <c r="AH98" s="36" t="n"/>
      <c r="AJ98">
        <f>IF($K98="","",", "&amp;$K98)</f>
        <v/>
      </c>
      <c r="AK98">
        <f>AJ98&amp;IF($L98="","",", "&amp;$L98)</f>
        <v/>
      </c>
      <c r="AL98">
        <f>AK98&amp;IF($M98="","",", "&amp;$M98)</f>
        <v/>
      </c>
      <c r="AM98">
        <f>AL98&amp;IF($N98="","",", "&amp;$N98)</f>
        <v/>
      </c>
      <c r="AN98">
        <f>AM98&amp;IF($O98="","",", "&amp;$O98)</f>
        <v/>
      </c>
      <c r="AO98">
        <f>AN98&amp;IF($P98="","",", "&amp;$P98)</f>
        <v/>
      </c>
      <c r="AP98">
        <f>AO98&amp;IF($Q98="","",", "&amp;$Q98)</f>
        <v/>
      </c>
      <c r="AQ98">
        <f>AP98&amp;IF($R98="","",", "&amp;$R98)</f>
        <v/>
      </c>
      <c r="AR98">
        <f>AQ98&amp;IF($S98="","",", "&amp;$S98)</f>
        <v/>
      </c>
      <c r="AS98">
        <f>AR98&amp;IF($T98="","",", "&amp;$T98)</f>
        <v/>
      </c>
      <c r="AT98">
        <f>AS98&amp;IF($U98="","",", "&amp;$U98)</f>
        <v/>
      </c>
      <c r="AU98">
        <f>AT98&amp;IF($V98="","",", "&amp;$V98)</f>
        <v/>
      </c>
      <c r="AV98">
        <f>AU98&amp;IF($W98="","",", "&amp;$W98)</f>
        <v/>
      </c>
      <c r="AW98">
        <f>AV98&amp;IF($X98="","",", "&amp;$X98)</f>
        <v/>
      </c>
      <c r="AX98">
        <f>AW98&amp;IF($Y98="","",", "&amp;$Y98)</f>
        <v/>
      </c>
    </row>
    <row r="99">
      <c r="A99" s="118">
        <f>IF($B99="","",COUNT($B$5:$B99))</f>
        <v/>
      </c>
      <c r="B99" s="80" t="n"/>
      <c r="C99" s="80" t="n"/>
      <c r="D99" s="74" t="n"/>
      <c r="E99" s="74" t="n"/>
      <c r="F99" s="74" t="n"/>
      <c r="G99" s="118">
        <f>IF($F99="","",COUNTIF($F$5:$F99,$F99))</f>
        <v/>
      </c>
      <c r="H99" s="33">
        <f>IF($F99="","",IFERROR(INDEX(사건마스터!$B$5:$B$64,MATCH($F99,사건마스터!$A$5:$A$64,0)),""))</f>
        <v/>
      </c>
      <c r="I99" s="130">
        <f>IF($F99="","",IFERROR(INDEX(사건마스터!$C$5:$C$64,MATCH($F99,사건마스터!$A$5:$A$64,0)),""))</f>
        <v/>
      </c>
      <c r="J99" s="136">
        <f>IF($F99="","",IFERROR(INDEX(사건마스터!$H$5:$H$64,MATCH($F99,사건마스터!$A$5:$A$64,0)),""))</f>
        <v/>
      </c>
      <c r="K99" s="136">
        <f>IF($F99="","",IFERROR(INDEX(사건마스터!$AH$5:$AH$64,MATCH($F99,사건마스터!$A$5:$A$64,0)),""))</f>
        <v/>
      </c>
      <c r="L99" s="136">
        <f>IF($F99="","",IFERROR(INDEX(사건마스터!$AI$5:$AI$64,MATCH($F99,사건마스터!$A$5:$A$64,0)),""))</f>
        <v/>
      </c>
      <c r="M99" s="136">
        <f>IF($F99="","",IFERROR(INDEX(사건마스터!$AJ$5:$AJ$64,MATCH($F99,사건마스터!$A$5:$A$64,0)),""))</f>
        <v/>
      </c>
      <c r="N99" s="136">
        <f>IF($F99="","",IFERROR(INDEX(사건마스터!$AK$5:$AK$64,MATCH($F99,사건마스터!$A$5:$A$64,0)),""))</f>
        <v/>
      </c>
      <c r="O99" s="136">
        <f>IF($F99="","",IFERROR(INDEX(사건마스터!$AL$5:$AL$64,MATCH($F99,사건마스터!$A$5:$A$64,0)),""))</f>
        <v/>
      </c>
      <c r="P99" s="136">
        <f>IF($F99="","",IFERROR(INDEX(사건마스터!$AM$5:$AM$64,MATCH($F99,사건마스터!$A$5:$A$64,0)),""))</f>
        <v/>
      </c>
      <c r="Q99" s="136">
        <f>IF($F99="","",IFERROR(INDEX(사건마스터!$AN$5:$AN$64,MATCH($F99,사건마스터!$A$5:$A$64,0)),""))</f>
        <v/>
      </c>
      <c r="R99" s="136">
        <f>IF($F99="","",IFERROR(INDEX(사건마스터!$AO$5:$AO$64,MATCH($F99,사건마스터!$A$5:$A$64,0)),""))</f>
        <v/>
      </c>
      <c r="S99" s="136">
        <f>IF($F99="","",IFERROR(INDEX(사건마스터!$AP$5:$AP$64,MATCH($F99,사건마스터!$A$5:$A$64,0)),""))</f>
        <v/>
      </c>
      <c r="T99" s="136">
        <f>IF($F99="","",IFERROR(INDEX(사건마스터!$AQ$5:$AQ$64,MATCH($F99,사건마스터!$A$5:$A$64,0)),""))</f>
        <v/>
      </c>
      <c r="U99" s="136">
        <f>IF($F99="","",IFERROR(INDEX(사건마스터!$AR$5:$AR$64,MATCH($F99,사건마스터!$A$5:$A$64,0)),""))</f>
        <v/>
      </c>
      <c r="V99" s="136">
        <f>IF($F99="","",IFERROR(INDEX(사건마스터!$AS$5:$AS$64,MATCH($F99,사건마스터!$A$5:$A$64,0)),""))</f>
        <v/>
      </c>
      <c r="W99" s="136">
        <f>IF($F99="","",IFERROR(INDEX(사건마스터!$AT$5:$AT$64,MATCH($F99,사건마스터!$A$5:$A$64,0)),""))</f>
        <v/>
      </c>
      <c r="X99" s="136">
        <f>IF($F99="","",IFERROR(INDEX(사건마스터!$AU$5:$AU$64,MATCH($F99,사건마스터!$A$5:$A$64,0)),""))</f>
        <v/>
      </c>
      <c r="Y99" s="136">
        <f>IF($F99="","",IFERROR(INDEX(사건마스터!$AV$5:$AV$64,MATCH($F99,사건마스터!$A$5:$A$64,0)),""))</f>
        <v/>
      </c>
      <c r="Z99" s="118">
        <f>IF(COUNTBLANK($J99:$Y99)=16,"",16-COUNTBLANK($J99:$Y99))</f>
        <v/>
      </c>
      <c r="AA99" s="33">
        <f>IF($J99="",MID($AX99,3,255),$J99&amp;$AX99)</f>
        <v/>
      </c>
      <c r="AB99" s="130">
        <f>IF($J99="","",IFERROR(INDEX(코드설정!$D$5:$D$24,MATCH($J99,코드설정!$C$5:$C$24,0)),""))</f>
        <v/>
      </c>
      <c r="AC99" s="36" t="n"/>
      <c r="AD99" s="37" t="n"/>
      <c r="AE99" s="38" t="n"/>
      <c r="AF99" s="118">
        <f>IF(OR($B99="",$C99=""),"",$C99-$B99+1)</f>
        <v/>
      </c>
      <c r="AG99" s="74" t="n"/>
      <c r="AH99" s="36" t="n"/>
      <c r="AJ99">
        <f>IF($K99="","",", "&amp;$K99)</f>
        <v/>
      </c>
      <c r="AK99">
        <f>AJ99&amp;IF($L99="","",", "&amp;$L99)</f>
        <v/>
      </c>
      <c r="AL99">
        <f>AK99&amp;IF($M99="","",", "&amp;$M99)</f>
        <v/>
      </c>
      <c r="AM99">
        <f>AL99&amp;IF($N99="","",", "&amp;$N99)</f>
        <v/>
      </c>
      <c r="AN99">
        <f>AM99&amp;IF($O99="","",", "&amp;$O99)</f>
        <v/>
      </c>
      <c r="AO99">
        <f>AN99&amp;IF($P99="","",", "&amp;$P99)</f>
        <v/>
      </c>
      <c r="AP99">
        <f>AO99&amp;IF($Q99="","",", "&amp;$Q99)</f>
        <v/>
      </c>
      <c r="AQ99">
        <f>AP99&amp;IF($R99="","",", "&amp;$R99)</f>
        <v/>
      </c>
      <c r="AR99">
        <f>AQ99&amp;IF($S99="","",", "&amp;$S99)</f>
        <v/>
      </c>
      <c r="AS99">
        <f>AR99&amp;IF($T99="","",", "&amp;$T99)</f>
        <v/>
      </c>
      <c r="AT99">
        <f>AS99&amp;IF($U99="","",", "&amp;$U99)</f>
        <v/>
      </c>
      <c r="AU99">
        <f>AT99&amp;IF($V99="","",", "&amp;$V99)</f>
        <v/>
      </c>
      <c r="AV99">
        <f>AU99&amp;IF($W99="","",", "&amp;$W99)</f>
        <v/>
      </c>
      <c r="AW99">
        <f>AV99&amp;IF($X99="","",", "&amp;$X99)</f>
        <v/>
      </c>
      <c r="AX99">
        <f>AW99&amp;IF($Y99="","",", "&amp;$Y99)</f>
        <v/>
      </c>
    </row>
    <row r="100">
      <c r="A100" s="118">
        <f>IF($B100="","",COUNT($B$5:$B100))</f>
        <v/>
      </c>
      <c r="B100" s="80" t="n"/>
      <c r="C100" s="80" t="n"/>
      <c r="D100" s="74" t="n"/>
      <c r="E100" s="74" t="n"/>
      <c r="F100" s="74" t="n"/>
      <c r="G100" s="118">
        <f>IF($F100="","",COUNTIF($F$5:$F100,$F100))</f>
        <v/>
      </c>
      <c r="H100" s="33">
        <f>IF($F100="","",IFERROR(INDEX(사건마스터!$B$5:$B$64,MATCH($F100,사건마스터!$A$5:$A$64,0)),""))</f>
        <v/>
      </c>
      <c r="I100" s="130">
        <f>IF($F100="","",IFERROR(INDEX(사건마스터!$C$5:$C$64,MATCH($F100,사건마스터!$A$5:$A$64,0)),""))</f>
        <v/>
      </c>
      <c r="J100" s="136">
        <f>IF($F100="","",IFERROR(INDEX(사건마스터!$H$5:$H$64,MATCH($F100,사건마스터!$A$5:$A$64,0)),""))</f>
        <v/>
      </c>
      <c r="K100" s="136">
        <f>IF($F100="","",IFERROR(INDEX(사건마스터!$AH$5:$AH$64,MATCH($F100,사건마스터!$A$5:$A$64,0)),""))</f>
        <v/>
      </c>
      <c r="L100" s="136">
        <f>IF($F100="","",IFERROR(INDEX(사건마스터!$AI$5:$AI$64,MATCH($F100,사건마스터!$A$5:$A$64,0)),""))</f>
        <v/>
      </c>
      <c r="M100" s="136">
        <f>IF($F100="","",IFERROR(INDEX(사건마스터!$AJ$5:$AJ$64,MATCH($F100,사건마스터!$A$5:$A$64,0)),""))</f>
        <v/>
      </c>
      <c r="N100" s="136">
        <f>IF($F100="","",IFERROR(INDEX(사건마스터!$AK$5:$AK$64,MATCH($F100,사건마스터!$A$5:$A$64,0)),""))</f>
        <v/>
      </c>
      <c r="O100" s="136">
        <f>IF($F100="","",IFERROR(INDEX(사건마스터!$AL$5:$AL$64,MATCH($F100,사건마스터!$A$5:$A$64,0)),""))</f>
        <v/>
      </c>
      <c r="P100" s="136">
        <f>IF($F100="","",IFERROR(INDEX(사건마스터!$AM$5:$AM$64,MATCH($F100,사건마스터!$A$5:$A$64,0)),""))</f>
        <v/>
      </c>
      <c r="Q100" s="136">
        <f>IF($F100="","",IFERROR(INDEX(사건마스터!$AN$5:$AN$64,MATCH($F100,사건마스터!$A$5:$A$64,0)),""))</f>
        <v/>
      </c>
      <c r="R100" s="136">
        <f>IF($F100="","",IFERROR(INDEX(사건마스터!$AO$5:$AO$64,MATCH($F100,사건마스터!$A$5:$A$64,0)),""))</f>
        <v/>
      </c>
      <c r="S100" s="136">
        <f>IF($F100="","",IFERROR(INDEX(사건마스터!$AP$5:$AP$64,MATCH($F100,사건마스터!$A$5:$A$64,0)),""))</f>
        <v/>
      </c>
      <c r="T100" s="136">
        <f>IF($F100="","",IFERROR(INDEX(사건마스터!$AQ$5:$AQ$64,MATCH($F100,사건마스터!$A$5:$A$64,0)),""))</f>
        <v/>
      </c>
      <c r="U100" s="136">
        <f>IF($F100="","",IFERROR(INDEX(사건마스터!$AR$5:$AR$64,MATCH($F100,사건마스터!$A$5:$A$64,0)),""))</f>
        <v/>
      </c>
      <c r="V100" s="136">
        <f>IF($F100="","",IFERROR(INDEX(사건마스터!$AS$5:$AS$64,MATCH($F100,사건마스터!$A$5:$A$64,0)),""))</f>
        <v/>
      </c>
      <c r="W100" s="136">
        <f>IF($F100="","",IFERROR(INDEX(사건마스터!$AT$5:$AT$64,MATCH($F100,사건마스터!$A$5:$A$64,0)),""))</f>
        <v/>
      </c>
      <c r="X100" s="136">
        <f>IF($F100="","",IFERROR(INDEX(사건마스터!$AU$5:$AU$64,MATCH($F100,사건마스터!$A$5:$A$64,0)),""))</f>
        <v/>
      </c>
      <c r="Y100" s="136">
        <f>IF($F100="","",IFERROR(INDEX(사건마스터!$AV$5:$AV$64,MATCH($F100,사건마스터!$A$5:$A$64,0)),""))</f>
        <v/>
      </c>
      <c r="Z100" s="118">
        <f>IF(COUNTBLANK($J100:$Y100)=16,"",16-COUNTBLANK($J100:$Y100))</f>
        <v/>
      </c>
      <c r="AA100" s="33">
        <f>IF($J100="",MID($AX100,3,255),$J100&amp;$AX100)</f>
        <v/>
      </c>
      <c r="AB100" s="130">
        <f>IF($J100="","",IFERROR(INDEX(코드설정!$D$5:$D$24,MATCH($J100,코드설정!$C$5:$C$24,0)),""))</f>
        <v/>
      </c>
      <c r="AC100" s="36" t="n"/>
      <c r="AD100" s="37" t="n"/>
      <c r="AE100" s="38" t="n"/>
      <c r="AF100" s="118">
        <f>IF(OR($B100="",$C100=""),"",$C100-$B100+1)</f>
        <v/>
      </c>
      <c r="AG100" s="74" t="n"/>
      <c r="AH100" s="36" t="n"/>
      <c r="AJ100">
        <f>IF($K100="","",", "&amp;$K100)</f>
        <v/>
      </c>
      <c r="AK100">
        <f>AJ100&amp;IF($L100="","",", "&amp;$L100)</f>
        <v/>
      </c>
      <c r="AL100">
        <f>AK100&amp;IF($M100="","",", "&amp;$M100)</f>
        <v/>
      </c>
      <c r="AM100">
        <f>AL100&amp;IF($N100="","",", "&amp;$N100)</f>
        <v/>
      </c>
      <c r="AN100">
        <f>AM100&amp;IF($O100="","",", "&amp;$O100)</f>
        <v/>
      </c>
      <c r="AO100">
        <f>AN100&amp;IF($P100="","",", "&amp;$P100)</f>
        <v/>
      </c>
      <c r="AP100">
        <f>AO100&amp;IF($Q100="","",", "&amp;$Q100)</f>
        <v/>
      </c>
      <c r="AQ100">
        <f>AP100&amp;IF($R100="","",", "&amp;$R100)</f>
        <v/>
      </c>
      <c r="AR100">
        <f>AQ100&amp;IF($S100="","",", "&amp;$S100)</f>
        <v/>
      </c>
      <c r="AS100">
        <f>AR100&amp;IF($T100="","",", "&amp;$T100)</f>
        <v/>
      </c>
      <c r="AT100">
        <f>AS100&amp;IF($U100="","",", "&amp;$U100)</f>
        <v/>
      </c>
      <c r="AU100">
        <f>AT100&amp;IF($V100="","",", "&amp;$V100)</f>
        <v/>
      </c>
      <c r="AV100">
        <f>AU100&amp;IF($W100="","",", "&amp;$W100)</f>
        <v/>
      </c>
      <c r="AW100">
        <f>AV100&amp;IF($X100="","",", "&amp;$X100)</f>
        <v/>
      </c>
      <c r="AX100">
        <f>AW100&amp;IF($Y100="","",", "&amp;$Y100)</f>
        <v/>
      </c>
    </row>
    <row r="101">
      <c r="A101" s="118">
        <f>IF($B101="","",COUNT($B$5:$B101))</f>
        <v/>
      </c>
      <c r="B101" s="80" t="n"/>
      <c r="C101" s="80" t="n"/>
      <c r="D101" s="74" t="n"/>
      <c r="E101" s="74" t="n"/>
      <c r="F101" s="74" t="n"/>
      <c r="G101" s="118">
        <f>IF($F101="","",COUNTIF($F$5:$F101,$F101))</f>
        <v/>
      </c>
      <c r="H101" s="33">
        <f>IF($F101="","",IFERROR(INDEX(사건마스터!$B$5:$B$64,MATCH($F101,사건마스터!$A$5:$A$64,0)),""))</f>
        <v/>
      </c>
      <c r="I101" s="130">
        <f>IF($F101="","",IFERROR(INDEX(사건마스터!$C$5:$C$64,MATCH($F101,사건마스터!$A$5:$A$64,0)),""))</f>
        <v/>
      </c>
      <c r="J101" s="136">
        <f>IF($F101="","",IFERROR(INDEX(사건마스터!$H$5:$H$64,MATCH($F101,사건마스터!$A$5:$A$64,0)),""))</f>
        <v/>
      </c>
      <c r="K101" s="136">
        <f>IF($F101="","",IFERROR(INDEX(사건마스터!$AH$5:$AH$64,MATCH($F101,사건마스터!$A$5:$A$64,0)),""))</f>
        <v/>
      </c>
      <c r="L101" s="136">
        <f>IF($F101="","",IFERROR(INDEX(사건마스터!$AI$5:$AI$64,MATCH($F101,사건마스터!$A$5:$A$64,0)),""))</f>
        <v/>
      </c>
      <c r="M101" s="136">
        <f>IF($F101="","",IFERROR(INDEX(사건마스터!$AJ$5:$AJ$64,MATCH($F101,사건마스터!$A$5:$A$64,0)),""))</f>
        <v/>
      </c>
      <c r="N101" s="136">
        <f>IF($F101="","",IFERROR(INDEX(사건마스터!$AK$5:$AK$64,MATCH($F101,사건마스터!$A$5:$A$64,0)),""))</f>
        <v/>
      </c>
      <c r="O101" s="136">
        <f>IF($F101="","",IFERROR(INDEX(사건마스터!$AL$5:$AL$64,MATCH($F101,사건마스터!$A$5:$A$64,0)),""))</f>
        <v/>
      </c>
      <c r="P101" s="136">
        <f>IF($F101="","",IFERROR(INDEX(사건마스터!$AM$5:$AM$64,MATCH($F101,사건마스터!$A$5:$A$64,0)),""))</f>
        <v/>
      </c>
      <c r="Q101" s="136">
        <f>IF($F101="","",IFERROR(INDEX(사건마스터!$AN$5:$AN$64,MATCH($F101,사건마스터!$A$5:$A$64,0)),""))</f>
        <v/>
      </c>
      <c r="R101" s="136">
        <f>IF($F101="","",IFERROR(INDEX(사건마스터!$AO$5:$AO$64,MATCH($F101,사건마스터!$A$5:$A$64,0)),""))</f>
        <v/>
      </c>
      <c r="S101" s="136">
        <f>IF($F101="","",IFERROR(INDEX(사건마스터!$AP$5:$AP$64,MATCH($F101,사건마스터!$A$5:$A$64,0)),""))</f>
        <v/>
      </c>
      <c r="T101" s="136">
        <f>IF($F101="","",IFERROR(INDEX(사건마스터!$AQ$5:$AQ$64,MATCH($F101,사건마스터!$A$5:$A$64,0)),""))</f>
        <v/>
      </c>
      <c r="U101" s="136">
        <f>IF($F101="","",IFERROR(INDEX(사건마스터!$AR$5:$AR$64,MATCH($F101,사건마스터!$A$5:$A$64,0)),""))</f>
        <v/>
      </c>
      <c r="V101" s="136">
        <f>IF($F101="","",IFERROR(INDEX(사건마스터!$AS$5:$AS$64,MATCH($F101,사건마스터!$A$5:$A$64,0)),""))</f>
        <v/>
      </c>
      <c r="W101" s="136">
        <f>IF($F101="","",IFERROR(INDEX(사건마스터!$AT$5:$AT$64,MATCH($F101,사건마스터!$A$5:$A$64,0)),""))</f>
        <v/>
      </c>
      <c r="X101" s="136">
        <f>IF($F101="","",IFERROR(INDEX(사건마스터!$AU$5:$AU$64,MATCH($F101,사건마스터!$A$5:$A$64,0)),""))</f>
        <v/>
      </c>
      <c r="Y101" s="136">
        <f>IF($F101="","",IFERROR(INDEX(사건마스터!$AV$5:$AV$64,MATCH($F101,사건마스터!$A$5:$A$64,0)),""))</f>
        <v/>
      </c>
      <c r="Z101" s="118">
        <f>IF(COUNTBLANK($J101:$Y101)=16,"",16-COUNTBLANK($J101:$Y101))</f>
        <v/>
      </c>
      <c r="AA101" s="33">
        <f>IF($J101="",MID($AX101,3,255),$J101&amp;$AX101)</f>
        <v/>
      </c>
      <c r="AB101" s="130">
        <f>IF($J101="","",IFERROR(INDEX(코드설정!$D$5:$D$24,MATCH($J101,코드설정!$C$5:$C$24,0)),""))</f>
        <v/>
      </c>
      <c r="AC101" s="36" t="n"/>
      <c r="AD101" s="37" t="n"/>
      <c r="AE101" s="38" t="n"/>
      <c r="AF101" s="118">
        <f>IF(OR($B101="",$C101=""),"",$C101-$B101+1)</f>
        <v/>
      </c>
      <c r="AG101" s="74" t="n"/>
      <c r="AH101" s="36" t="n"/>
      <c r="AJ101">
        <f>IF($K101="","",", "&amp;$K101)</f>
        <v/>
      </c>
      <c r="AK101">
        <f>AJ101&amp;IF($L101="","",", "&amp;$L101)</f>
        <v/>
      </c>
      <c r="AL101">
        <f>AK101&amp;IF($M101="","",", "&amp;$M101)</f>
        <v/>
      </c>
      <c r="AM101">
        <f>AL101&amp;IF($N101="","",", "&amp;$N101)</f>
        <v/>
      </c>
      <c r="AN101">
        <f>AM101&amp;IF($O101="","",", "&amp;$O101)</f>
        <v/>
      </c>
      <c r="AO101">
        <f>AN101&amp;IF($P101="","",", "&amp;$P101)</f>
        <v/>
      </c>
      <c r="AP101">
        <f>AO101&amp;IF($Q101="","",", "&amp;$Q101)</f>
        <v/>
      </c>
      <c r="AQ101">
        <f>AP101&amp;IF($R101="","",", "&amp;$R101)</f>
        <v/>
      </c>
      <c r="AR101">
        <f>AQ101&amp;IF($S101="","",", "&amp;$S101)</f>
        <v/>
      </c>
      <c r="AS101">
        <f>AR101&amp;IF($T101="","",", "&amp;$T101)</f>
        <v/>
      </c>
      <c r="AT101">
        <f>AS101&amp;IF($U101="","",", "&amp;$U101)</f>
        <v/>
      </c>
      <c r="AU101">
        <f>AT101&amp;IF($V101="","",", "&amp;$V101)</f>
        <v/>
      </c>
      <c r="AV101">
        <f>AU101&amp;IF($W101="","",", "&amp;$W101)</f>
        <v/>
      </c>
      <c r="AW101">
        <f>AV101&amp;IF($X101="","",", "&amp;$X101)</f>
        <v/>
      </c>
      <c r="AX101">
        <f>AW101&amp;IF($Y101="","",", "&amp;$Y101)</f>
        <v/>
      </c>
    </row>
    <row r="102">
      <c r="A102" s="118">
        <f>IF($B102="","",COUNT($B$5:$B102))</f>
        <v/>
      </c>
      <c r="B102" s="80" t="n"/>
      <c r="C102" s="80" t="n"/>
      <c r="D102" s="74" t="n"/>
      <c r="E102" s="74" t="n"/>
      <c r="F102" s="74" t="n"/>
      <c r="G102" s="118">
        <f>IF($F102="","",COUNTIF($F$5:$F102,$F102))</f>
        <v/>
      </c>
      <c r="H102" s="33">
        <f>IF($F102="","",IFERROR(INDEX(사건마스터!$B$5:$B$64,MATCH($F102,사건마스터!$A$5:$A$64,0)),""))</f>
        <v/>
      </c>
      <c r="I102" s="130">
        <f>IF($F102="","",IFERROR(INDEX(사건마스터!$C$5:$C$64,MATCH($F102,사건마스터!$A$5:$A$64,0)),""))</f>
        <v/>
      </c>
      <c r="J102" s="136">
        <f>IF($F102="","",IFERROR(INDEX(사건마스터!$H$5:$H$64,MATCH($F102,사건마스터!$A$5:$A$64,0)),""))</f>
        <v/>
      </c>
      <c r="K102" s="136">
        <f>IF($F102="","",IFERROR(INDEX(사건마스터!$AH$5:$AH$64,MATCH($F102,사건마스터!$A$5:$A$64,0)),""))</f>
        <v/>
      </c>
      <c r="L102" s="136">
        <f>IF($F102="","",IFERROR(INDEX(사건마스터!$AI$5:$AI$64,MATCH($F102,사건마스터!$A$5:$A$64,0)),""))</f>
        <v/>
      </c>
      <c r="M102" s="136">
        <f>IF($F102="","",IFERROR(INDEX(사건마스터!$AJ$5:$AJ$64,MATCH($F102,사건마스터!$A$5:$A$64,0)),""))</f>
        <v/>
      </c>
      <c r="N102" s="136">
        <f>IF($F102="","",IFERROR(INDEX(사건마스터!$AK$5:$AK$64,MATCH($F102,사건마스터!$A$5:$A$64,0)),""))</f>
        <v/>
      </c>
      <c r="O102" s="136">
        <f>IF($F102="","",IFERROR(INDEX(사건마스터!$AL$5:$AL$64,MATCH($F102,사건마스터!$A$5:$A$64,0)),""))</f>
        <v/>
      </c>
      <c r="P102" s="136">
        <f>IF($F102="","",IFERROR(INDEX(사건마스터!$AM$5:$AM$64,MATCH($F102,사건마스터!$A$5:$A$64,0)),""))</f>
        <v/>
      </c>
      <c r="Q102" s="136">
        <f>IF($F102="","",IFERROR(INDEX(사건마스터!$AN$5:$AN$64,MATCH($F102,사건마스터!$A$5:$A$64,0)),""))</f>
        <v/>
      </c>
      <c r="R102" s="136">
        <f>IF($F102="","",IFERROR(INDEX(사건마스터!$AO$5:$AO$64,MATCH($F102,사건마스터!$A$5:$A$64,0)),""))</f>
        <v/>
      </c>
      <c r="S102" s="136">
        <f>IF($F102="","",IFERROR(INDEX(사건마스터!$AP$5:$AP$64,MATCH($F102,사건마스터!$A$5:$A$64,0)),""))</f>
        <v/>
      </c>
      <c r="T102" s="136">
        <f>IF($F102="","",IFERROR(INDEX(사건마스터!$AQ$5:$AQ$64,MATCH($F102,사건마스터!$A$5:$A$64,0)),""))</f>
        <v/>
      </c>
      <c r="U102" s="136">
        <f>IF($F102="","",IFERROR(INDEX(사건마스터!$AR$5:$AR$64,MATCH($F102,사건마스터!$A$5:$A$64,0)),""))</f>
        <v/>
      </c>
      <c r="V102" s="136">
        <f>IF($F102="","",IFERROR(INDEX(사건마스터!$AS$5:$AS$64,MATCH($F102,사건마스터!$A$5:$A$64,0)),""))</f>
        <v/>
      </c>
      <c r="W102" s="136">
        <f>IF($F102="","",IFERROR(INDEX(사건마스터!$AT$5:$AT$64,MATCH($F102,사건마스터!$A$5:$A$64,0)),""))</f>
        <v/>
      </c>
      <c r="X102" s="136">
        <f>IF($F102="","",IFERROR(INDEX(사건마스터!$AU$5:$AU$64,MATCH($F102,사건마스터!$A$5:$A$64,0)),""))</f>
        <v/>
      </c>
      <c r="Y102" s="136">
        <f>IF($F102="","",IFERROR(INDEX(사건마스터!$AV$5:$AV$64,MATCH($F102,사건마스터!$A$5:$A$64,0)),""))</f>
        <v/>
      </c>
      <c r="Z102" s="118">
        <f>IF(COUNTBLANK($J102:$Y102)=16,"",16-COUNTBLANK($J102:$Y102))</f>
        <v/>
      </c>
      <c r="AA102" s="33">
        <f>IF($J102="",MID($AX102,3,255),$J102&amp;$AX102)</f>
        <v/>
      </c>
      <c r="AB102" s="130">
        <f>IF($J102="","",IFERROR(INDEX(코드설정!$D$5:$D$24,MATCH($J102,코드설정!$C$5:$C$24,0)),""))</f>
        <v/>
      </c>
      <c r="AC102" s="36" t="n"/>
      <c r="AD102" s="37" t="n"/>
      <c r="AE102" s="38" t="n"/>
      <c r="AF102" s="118">
        <f>IF(OR($B102="",$C102=""),"",$C102-$B102+1)</f>
        <v/>
      </c>
      <c r="AG102" s="74" t="n"/>
      <c r="AH102" s="36" t="n"/>
      <c r="AJ102">
        <f>IF($K102="","",", "&amp;$K102)</f>
        <v/>
      </c>
      <c r="AK102">
        <f>AJ102&amp;IF($L102="","",", "&amp;$L102)</f>
        <v/>
      </c>
      <c r="AL102">
        <f>AK102&amp;IF($M102="","",", "&amp;$M102)</f>
        <v/>
      </c>
      <c r="AM102">
        <f>AL102&amp;IF($N102="","",", "&amp;$N102)</f>
        <v/>
      </c>
      <c r="AN102">
        <f>AM102&amp;IF($O102="","",", "&amp;$O102)</f>
        <v/>
      </c>
      <c r="AO102">
        <f>AN102&amp;IF($P102="","",", "&amp;$P102)</f>
        <v/>
      </c>
      <c r="AP102">
        <f>AO102&amp;IF($Q102="","",", "&amp;$Q102)</f>
        <v/>
      </c>
      <c r="AQ102">
        <f>AP102&amp;IF($R102="","",", "&amp;$R102)</f>
        <v/>
      </c>
      <c r="AR102">
        <f>AQ102&amp;IF($S102="","",", "&amp;$S102)</f>
        <v/>
      </c>
      <c r="AS102">
        <f>AR102&amp;IF($T102="","",", "&amp;$T102)</f>
        <v/>
      </c>
      <c r="AT102">
        <f>AS102&amp;IF($U102="","",", "&amp;$U102)</f>
        <v/>
      </c>
      <c r="AU102">
        <f>AT102&amp;IF($V102="","",", "&amp;$V102)</f>
        <v/>
      </c>
      <c r="AV102">
        <f>AU102&amp;IF($W102="","",", "&amp;$W102)</f>
        <v/>
      </c>
      <c r="AW102">
        <f>AV102&amp;IF($X102="","",", "&amp;$X102)</f>
        <v/>
      </c>
      <c r="AX102">
        <f>AW102&amp;IF($Y102="","",", "&amp;$Y102)</f>
        <v/>
      </c>
    </row>
    <row r="103">
      <c r="A103" s="118">
        <f>IF($B103="","",COUNT($B$5:$B103))</f>
        <v/>
      </c>
      <c r="B103" s="80" t="n"/>
      <c r="C103" s="80" t="n"/>
      <c r="D103" s="74" t="n"/>
      <c r="E103" s="74" t="n"/>
      <c r="F103" s="74" t="n"/>
      <c r="G103" s="118">
        <f>IF($F103="","",COUNTIF($F$5:$F103,$F103))</f>
        <v/>
      </c>
      <c r="H103" s="33">
        <f>IF($F103="","",IFERROR(INDEX(사건마스터!$B$5:$B$64,MATCH($F103,사건마스터!$A$5:$A$64,0)),""))</f>
        <v/>
      </c>
      <c r="I103" s="130">
        <f>IF($F103="","",IFERROR(INDEX(사건마스터!$C$5:$C$64,MATCH($F103,사건마스터!$A$5:$A$64,0)),""))</f>
        <v/>
      </c>
      <c r="J103" s="136">
        <f>IF($F103="","",IFERROR(INDEX(사건마스터!$H$5:$H$64,MATCH($F103,사건마스터!$A$5:$A$64,0)),""))</f>
        <v/>
      </c>
      <c r="K103" s="136">
        <f>IF($F103="","",IFERROR(INDEX(사건마스터!$AH$5:$AH$64,MATCH($F103,사건마스터!$A$5:$A$64,0)),""))</f>
        <v/>
      </c>
      <c r="L103" s="136">
        <f>IF($F103="","",IFERROR(INDEX(사건마스터!$AI$5:$AI$64,MATCH($F103,사건마스터!$A$5:$A$64,0)),""))</f>
        <v/>
      </c>
      <c r="M103" s="136">
        <f>IF($F103="","",IFERROR(INDEX(사건마스터!$AJ$5:$AJ$64,MATCH($F103,사건마스터!$A$5:$A$64,0)),""))</f>
        <v/>
      </c>
      <c r="N103" s="136">
        <f>IF($F103="","",IFERROR(INDEX(사건마스터!$AK$5:$AK$64,MATCH($F103,사건마스터!$A$5:$A$64,0)),""))</f>
        <v/>
      </c>
      <c r="O103" s="136">
        <f>IF($F103="","",IFERROR(INDEX(사건마스터!$AL$5:$AL$64,MATCH($F103,사건마스터!$A$5:$A$64,0)),""))</f>
        <v/>
      </c>
      <c r="P103" s="136">
        <f>IF($F103="","",IFERROR(INDEX(사건마스터!$AM$5:$AM$64,MATCH($F103,사건마스터!$A$5:$A$64,0)),""))</f>
        <v/>
      </c>
      <c r="Q103" s="136">
        <f>IF($F103="","",IFERROR(INDEX(사건마스터!$AN$5:$AN$64,MATCH($F103,사건마스터!$A$5:$A$64,0)),""))</f>
        <v/>
      </c>
      <c r="R103" s="136">
        <f>IF($F103="","",IFERROR(INDEX(사건마스터!$AO$5:$AO$64,MATCH($F103,사건마스터!$A$5:$A$64,0)),""))</f>
        <v/>
      </c>
      <c r="S103" s="136">
        <f>IF($F103="","",IFERROR(INDEX(사건마스터!$AP$5:$AP$64,MATCH($F103,사건마스터!$A$5:$A$64,0)),""))</f>
        <v/>
      </c>
      <c r="T103" s="136">
        <f>IF($F103="","",IFERROR(INDEX(사건마스터!$AQ$5:$AQ$64,MATCH($F103,사건마스터!$A$5:$A$64,0)),""))</f>
        <v/>
      </c>
      <c r="U103" s="136">
        <f>IF($F103="","",IFERROR(INDEX(사건마스터!$AR$5:$AR$64,MATCH($F103,사건마스터!$A$5:$A$64,0)),""))</f>
        <v/>
      </c>
      <c r="V103" s="136">
        <f>IF($F103="","",IFERROR(INDEX(사건마스터!$AS$5:$AS$64,MATCH($F103,사건마스터!$A$5:$A$64,0)),""))</f>
        <v/>
      </c>
      <c r="W103" s="136">
        <f>IF($F103="","",IFERROR(INDEX(사건마스터!$AT$5:$AT$64,MATCH($F103,사건마스터!$A$5:$A$64,0)),""))</f>
        <v/>
      </c>
      <c r="X103" s="136">
        <f>IF($F103="","",IFERROR(INDEX(사건마스터!$AU$5:$AU$64,MATCH($F103,사건마스터!$A$5:$A$64,0)),""))</f>
        <v/>
      </c>
      <c r="Y103" s="136">
        <f>IF($F103="","",IFERROR(INDEX(사건마스터!$AV$5:$AV$64,MATCH($F103,사건마스터!$A$5:$A$64,0)),""))</f>
        <v/>
      </c>
      <c r="Z103" s="118">
        <f>IF(COUNTBLANK($J103:$Y103)=16,"",16-COUNTBLANK($J103:$Y103))</f>
        <v/>
      </c>
      <c r="AA103" s="33">
        <f>IF($J103="",MID($AX103,3,255),$J103&amp;$AX103)</f>
        <v/>
      </c>
      <c r="AB103" s="130">
        <f>IF($J103="","",IFERROR(INDEX(코드설정!$D$5:$D$24,MATCH($J103,코드설정!$C$5:$C$24,0)),""))</f>
        <v/>
      </c>
      <c r="AC103" s="36" t="n"/>
      <c r="AD103" s="37" t="n"/>
      <c r="AE103" s="38" t="n"/>
      <c r="AF103" s="118">
        <f>IF(OR($B103="",$C103=""),"",$C103-$B103+1)</f>
        <v/>
      </c>
      <c r="AG103" s="74" t="n"/>
      <c r="AH103" s="36" t="n"/>
      <c r="AJ103">
        <f>IF($K103="","",", "&amp;$K103)</f>
        <v/>
      </c>
      <c r="AK103">
        <f>AJ103&amp;IF($L103="","",", "&amp;$L103)</f>
        <v/>
      </c>
      <c r="AL103">
        <f>AK103&amp;IF($M103="","",", "&amp;$M103)</f>
        <v/>
      </c>
      <c r="AM103">
        <f>AL103&amp;IF($N103="","",", "&amp;$N103)</f>
        <v/>
      </c>
      <c r="AN103">
        <f>AM103&amp;IF($O103="","",", "&amp;$O103)</f>
        <v/>
      </c>
      <c r="AO103">
        <f>AN103&amp;IF($P103="","",", "&amp;$P103)</f>
        <v/>
      </c>
      <c r="AP103">
        <f>AO103&amp;IF($Q103="","",", "&amp;$Q103)</f>
        <v/>
      </c>
      <c r="AQ103">
        <f>AP103&amp;IF($R103="","",", "&amp;$R103)</f>
        <v/>
      </c>
      <c r="AR103">
        <f>AQ103&amp;IF($S103="","",", "&amp;$S103)</f>
        <v/>
      </c>
      <c r="AS103">
        <f>AR103&amp;IF($T103="","",", "&amp;$T103)</f>
        <v/>
      </c>
      <c r="AT103">
        <f>AS103&amp;IF($U103="","",", "&amp;$U103)</f>
        <v/>
      </c>
      <c r="AU103">
        <f>AT103&amp;IF($V103="","",", "&amp;$V103)</f>
        <v/>
      </c>
      <c r="AV103">
        <f>AU103&amp;IF($W103="","",", "&amp;$W103)</f>
        <v/>
      </c>
      <c r="AW103">
        <f>AV103&amp;IF($X103="","",", "&amp;$X103)</f>
        <v/>
      </c>
      <c r="AX103">
        <f>AW103&amp;IF($Y103="","",", "&amp;$Y103)</f>
        <v/>
      </c>
    </row>
    <row r="104">
      <c r="A104" s="118">
        <f>IF($B104="","",COUNT($B$5:$B104))</f>
        <v/>
      </c>
      <c r="B104" s="80" t="n"/>
      <c r="C104" s="80" t="n"/>
      <c r="D104" s="74" t="n"/>
      <c r="E104" s="74" t="n"/>
      <c r="F104" s="74" t="n"/>
      <c r="G104" s="118">
        <f>IF($F104="","",COUNTIF($F$5:$F104,$F104))</f>
        <v/>
      </c>
      <c r="H104" s="33">
        <f>IF($F104="","",IFERROR(INDEX(사건마스터!$B$5:$B$64,MATCH($F104,사건마스터!$A$5:$A$64,0)),""))</f>
        <v/>
      </c>
      <c r="I104" s="130">
        <f>IF($F104="","",IFERROR(INDEX(사건마스터!$C$5:$C$64,MATCH($F104,사건마스터!$A$5:$A$64,0)),""))</f>
        <v/>
      </c>
      <c r="J104" s="136">
        <f>IF($F104="","",IFERROR(INDEX(사건마스터!$H$5:$H$64,MATCH($F104,사건마스터!$A$5:$A$64,0)),""))</f>
        <v/>
      </c>
      <c r="K104" s="136">
        <f>IF($F104="","",IFERROR(INDEX(사건마스터!$AH$5:$AH$64,MATCH($F104,사건마스터!$A$5:$A$64,0)),""))</f>
        <v/>
      </c>
      <c r="L104" s="136">
        <f>IF($F104="","",IFERROR(INDEX(사건마스터!$AI$5:$AI$64,MATCH($F104,사건마스터!$A$5:$A$64,0)),""))</f>
        <v/>
      </c>
      <c r="M104" s="136">
        <f>IF($F104="","",IFERROR(INDEX(사건마스터!$AJ$5:$AJ$64,MATCH($F104,사건마스터!$A$5:$A$64,0)),""))</f>
        <v/>
      </c>
      <c r="N104" s="136">
        <f>IF($F104="","",IFERROR(INDEX(사건마스터!$AK$5:$AK$64,MATCH($F104,사건마스터!$A$5:$A$64,0)),""))</f>
        <v/>
      </c>
      <c r="O104" s="136">
        <f>IF($F104="","",IFERROR(INDEX(사건마스터!$AL$5:$AL$64,MATCH($F104,사건마스터!$A$5:$A$64,0)),""))</f>
        <v/>
      </c>
      <c r="P104" s="136">
        <f>IF($F104="","",IFERROR(INDEX(사건마스터!$AM$5:$AM$64,MATCH($F104,사건마스터!$A$5:$A$64,0)),""))</f>
        <v/>
      </c>
      <c r="Q104" s="136">
        <f>IF($F104="","",IFERROR(INDEX(사건마스터!$AN$5:$AN$64,MATCH($F104,사건마스터!$A$5:$A$64,0)),""))</f>
        <v/>
      </c>
      <c r="R104" s="136">
        <f>IF($F104="","",IFERROR(INDEX(사건마스터!$AO$5:$AO$64,MATCH($F104,사건마스터!$A$5:$A$64,0)),""))</f>
        <v/>
      </c>
      <c r="S104" s="136">
        <f>IF($F104="","",IFERROR(INDEX(사건마스터!$AP$5:$AP$64,MATCH($F104,사건마스터!$A$5:$A$64,0)),""))</f>
        <v/>
      </c>
      <c r="T104" s="136">
        <f>IF($F104="","",IFERROR(INDEX(사건마스터!$AQ$5:$AQ$64,MATCH($F104,사건마스터!$A$5:$A$64,0)),""))</f>
        <v/>
      </c>
      <c r="U104" s="136">
        <f>IF($F104="","",IFERROR(INDEX(사건마스터!$AR$5:$AR$64,MATCH($F104,사건마스터!$A$5:$A$64,0)),""))</f>
        <v/>
      </c>
      <c r="V104" s="136">
        <f>IF($F104="","",IFERROR(INDEX(사건마스터!$AS$5:$AS$64,MATCH($F104,사건마스터!$A$5:$A$64,0)),""))</f>
        <v/>
      </c>
      <c r="W104" s="136">
        <f>IF($F104="","",IFERROR(INDEX(사건마스터!$AT$5:$AT$64,MATCH($F104,사건마스터!$A$5:$A$64,0)),""))</f>
        <v/>
      </c>
      <c r="X104" s="136">
        <f>IF($F104="","",IFERROR(INDEX(사건마스터!$AU$5:$AU$64,MATCH($F104,사건마스터!$A$5:$A$64,0)),""))</f>
        <v/>
      </c>
      <c r="Y104" s="136">
        <f>IF($F104="","",IFERROR(INDEX(사건마스터!$AV$5:$AV$64,MATCH($F104,사건마스터!$A$5:$A$64,0)),""))</f>
        <v/>
      </c>
      <c r="Z104" s="118">
        <f>IF(COUNTBLANK($J104:$Y104)=16,"",16-COUNTBLANK($J104:$Y104))</f>
        <v/>
      </c>
      <c r="AA104" s="33">
        <f>IF($J104="",MID($AX104,3,255),$J104&amp;$AX104)</f>
        <v/>
      </c>
      <c r="AB104" s="130">
        <f>IF($J104="","",IFERROR(INDEX(코드설정!$D$5:$D$24,MATCH($J104,코드설정!$C$5:$C$24,0)),""))</f>
        <v/>
      </c>
      <c r="AC104" s="36" t="n"/>
      <c r="AD104" s="37" t="n"/>
      <c r="AE104" s="38" t="n"/>
      <c r="AF104" s="118">
        <f>IF(OR($B104="",$C104=""),"",$C104-$B104+1)</f>
        <v/>
      </c>
      <c r="AG104" s="74" t="n"/>
      <c r="AH104" s="36" t="n"/>
      <c r="AJ104">
        <f>IF($K104="","",", "&amp;$K104)</f>
        <v/>
      </c>
      <c r="AK104">
        <f>AJ104&amp;IF($L104="","",", "&amp;$L104)</f>
        <v/>
      </c>
      <c r="AL104">
        <f>AK104&amp;IF($M104="","",", "&amp;$M104)</f>
        <v/>
      </c>
      <c r="AM104">
        <f>AL104&amp;IF($N104="","",", "&amp;$N104)</f>
        <v/>
      </c>
      <c r="AN104">
        <f>AM104&amp;IF($O104="","",", "&amp;$O104)</f>
        <v/>
      </c>
      <c r="AO104">
        <f>AN104&amp;IF($P104="","",", "&amp;$P104)</f>
        <v/>
      </c>
      <c r="AP104">
        <f>AO104&amp;IF($Q104="","",", "&amp;$Q104)</f>
        <v/>
      </c>
      <c r="AQ104">
        <f>AP104&amp;IF($R104="","",", "&amp;$R104)</f>
        <v/>
      </c>
      <c r="AR104">
        <f>AQ104&amp;IF($S104="","",", "&amp;$S104)</f>
        <v/>
      </c>
      <c r="AS104">
        <f>AR104&amp;IF($T104="","",", "&amp;$T104)</f>
        <v/>
      </c>
      <c r="AT104">
        <f>AS104&amp;IF($U104="","",", "&amp;$U104)</f>
        <v/>
      </c>
      <c r="AU104">
        <f>AT104&amp;IF($V104="","",", "&amp;$V104)</f>
        <v/>
      </c>
      <c r="AV104">
        <f>AU104&amp;IF($W104="","",", "&amp;$W104)</f>
        <v/>
      </c>
      <c r="AW104">
        <f>AV104&amp;IF($X104="","",", "&amp;$X104)</f>
        <v/>
      </c>
      <c r="AX104">
        <f>AW104&amp;IF($Y104="","",", "&amp;$Y104)</f>
        <v/>
      </c>
    </row>
    <row r="105">
      <c r="A105" s="118">
        <f>IF($B105="","",COUNT($B$5:$B105))</f>
        <v/>
      </c>
      <c r="B105" s="80" t="n"/>
      <c r="C105" s="80" t="n"/>
      <c r="D105" s="74" t="n"/>
      <c r="E105" s="74" t="n"/>
      <c r="F105" s="74" t="n"/>
      <c r="G105" s="118">
        <f>IF($F105="","",COUNTIF($F$5:$F105,$F105))</f>
        <v/>
      </c>
      <c r="H105" s="33">
        <f>IF($F105="","",IFERROR(INDEX(사건마스터!$B$5:$B$64,MATCH($F105,사건마스터!$A$5:$A$64,0)),""))</f>
        <v/>
      </c>
      <c r="I105" s="130">
        <f>IF($F105="","",IFERROR(INDEX(사건마스터!$C$5:$C$64,MATCH($F105,사건마스터!$A$5:$A$64,0)),""))</f>
        <v/>
      </c>
      <c r="J105" s="136">
        <f>IF($F105="","",IFERROR(INDEX(사건마스터!$H$5:$H$64,MATCH($F105,사건마스터!$A$5:$A$64,0)),""))</f>
        <v/>
      </c>
      <c r="K105" s="136">
        <f>IF($F105="","",IFERROR(INDEX(사건마스터!$AH$5:$AH$64,MATCH($F105,사건마스터!$A$5:$A$64,0)),""))</f>
        <v/>
      </c>
      <c r="L105" s="136">
        <f>IF($F105="","",IFERROR(INDEX(사건마스터!$AI$5:$AI$64,MATCH($F105,사건마스터!$A$5:$A$64,0)),""))</f>
        <v/>
      </c>
      <c r="M105" s="136">
        <f>IF($F105="","",IFERROR(INDEX(사건마스터!$AJ$5:$AJ$64,MATCH($F105,사건마스터!$A$5:$A$64,0)),""))</f>
        <v/>
      </c>
      <c r="N105" s="136">
        <f>IF($F105="","",IFERROR(INDEX(사건마스터!$AK$5:$AK$64,MATCH($F105,사건마스터!$A$5:$A$64,0)),""))</f>
        <v/>
      </c>
      <c r="O105" s="136">
        <f>IF($F105="","",IFERROR(INDEX(사건마스터!$AL$5:$AL$64,MATCH($F105,사건마스터!$A$5:$A$64,0)),""))</f>
        <v/>
      </c>
      <c r="P105" s="136">
        <f>IF($F105="","",IFERROR(INDEX(사건마스터!$AM$5:$AM$64,MATCH($F105,사건마스터!$A$5:$A$64,0)),""))</f>
        <v/>
      </c>
      <c r="Q105" s="136">
        <f>IF($F105="","",IFERROR(INDEX(사건마스터!$AN$5:$AN$64,MATCH($F105,사건마스터!$A$5:$A$64,0)),""))</f>
        <v/>
      </c>
      <c r="R105" s="136">
        <f>IF($F105="","",IFERROR(INDEX(사건마스터!$AO$5:$AO$64,MATCH($F105,사건마스터!$A$5:$A$64,0)),""))</f>
        <v/>
      </c>
      <c r="S105" s="136">
        <f>IF($F105="","",IFERROR(INDEX(사건마스터!$AP$5:$AP$64,MATCH($F105,사건마스터!$A$5:$A$64,0)),""))</f>
        <v/>
      </c>
      <c r="T105" s="136">
        <f>IF($F105="","",IFERROR(INDEX(사건마스터!$AQ$5:$AQ$64,MATCH($F105,사건마스터!$A$5:$A$64,0)),""))</f>
        <v/>
      </c>
      <c r="U105" s="136">
        <f>IF($F105="","",IFERROR(INDEX(사건마스터!$AR$5:$AR$64,MATCH($F105,사건마스터!$A$5:$A$64,0)),""))</f>
        <v/>
      </c>
      <c r="V105" s="136">
        <f>IF($F105="","",IFERROR(INDEX(사건마스터!$AS$5:$AS$64,MATCH($F105,사건마스터!$A$5:$A$64,0)),""))</f>
        <v/>
      </c>
      <c r="W105" s="136">
        <f>IF($F105="","",IFERROR(INDEX(사건마스터!$AT$5:$AT$64,MATCH($F105,사건마스터!$A$5:$A$64,0)),""))</f>
        <v/>
      </c>
      <c r="X105" s="136">
        <f>IF($F105="","",IFERROR(INDEX(사건마스터!$AU$5:$AU$64,MATCH($F105,사건마스터!$A$5:$A$64,0)),""))</f>
        <v/>
      </c>
      <c r="Y105" s="136">
        <f>IF($F105="","",IFERROR(INDEX(사건마스터!$AV$5:$AV$64,MATCH($F105,사건마스터!$A$5:$A$64,0)),""))</f>
        <v/>
      </c>
      <c r="Z105" s="118">
        <f>IF(COUNTBLANK($J105:$Y105)=16,"",16-COUNTBLANK($J105:$Y105))</f>
        <v/>
      </c>
      <c r="AA105" s="33">
        <f>IF($J105="",MID($AX105,3,255),$J105&amp;$AX105)</f>
        <v/>
      </c>
      <c r="AB105" s="130">
        <f>IF($J105="","",IFERROR(INDEX(코드설정!$D$5:$D$24,MATCH($J105,코드설정!$C$5:$C$24,0)),""))</f>
        <v/>
      </c>
      <c r="AC105" s="36" t="n"/>
      <c r="AD105" s="37" t="n"/>
      <c r="AE105" s="38" t="n"/>
      <c r="AF105" s="118">
        <f>IF(OR($B105="",$C105=""),"",$C105-$B105+1)</f>
        <v/>
      </c>
      <c r="AG105" s="74" t="n"/>
      <c r="AH105" s="36" t="n"/>
      <c r="AJ105">
        <f>IF($K105="","",", "&amp;$K105)</f>
        <v/>
      </c>
      <c r="AK105">
        <f>AJ105&amp;IF($L105="","",", "&amp;$L105)</f>
        <v/>
      </c>
      <c r="AL105">
        <f>AK105&amp;IF($M105="","",", "&amp;$M105)</f>
        <v/>
      </c>
      <c r="AM105">
        <f>AL105&amp;IF($N105="","",", "&amp;$N105)</f>
        <v/>
      </c>
      <c r="AN105">
        <f>AM105&amp;IF($O105="","",", "&amp;$O105)</f>
        <v/>
      </c>
      <c r="AO105">
        <f>AN105&amp;IF($P105="","",", "&amp;$P105)</f>
        <v/>
      </c>
      <c r="AP105">
        <f>AO105&amp;IF($Q105="","",", "&amp;$Q105)</f>
        <v/>
      </c>
      <c r="AQ105">
        <f>AP105&amp;IF($R105="","",", "&amp;$R105)</f>
        <v/>
      </c>
      <c r="AR105">
        <f>AQ105&amp;IF($S105="","",", "&amp;$S105)</f>
        <v/>
      </c>
      <c r="AS105">
        <f>AR105&amp;IF($T105="","",", "&amp;$T105)</f>
        <v/>
      </c>
      <c r="AT105">
        <f>AS105&amp;IF($U105="","",", "&amp;$U105)</f>
        <v/>
      </c>
      <c r="AU105">
        <f>AT105&amp;IF($V105="","",", "&amp;$V105)</f>
        <v/>
      </c>
      <c r="AV105">
        <f>AU105&amp;IF($W105="","",", "&amp;$W105)</f>
        <v/>
      </c>
      <c r="AW105">
        <f>AV105&amp;IF($X105="","",", "&amp;$X105)</f>
        <v/>
      </c>
      <c r="AX105">
        <f>AW105&amp;IF($Y105="","",", "&amp;$Y105)</f>
        <v/>
      </c>
    </row>
    <row r="106">
      <c r="A106" s="118">
        <f>IF($B106="","",COUNT($B$5:$B106))</f>
        <v/>
      </c>
      <c r="B106" s="80" t="n"/>
      <c r="C106" s="80" t="n"/>
      <c r="D106" s="74" t="n"/>
      <c r="E106" s="74" t="n"/>
      <c r="F106" s="74" t="n"/>
      <c r="G106" s="118">
        <f>IF($F106="","",COUNTIF($F$5:$F106,$F106))</f>
        <v/>
      </c>
      <c r="H106" s="33">
        <f>IF($F106="","",IFERROR(INDEX(사건마스터!$B$5:$B$64,MATCH($F106,사건마스터!$A$5:$A$64,0)),""))</f>
        <v/>
      </c>
      <c r="I106" s="130">
        <f>IF($F106="","",IFERROR(INDEX(사건마스터!$C$5:$C$64,MATCH($F106,사건마스터!$A$5:$A$64,0)),""))</f>
        <v/>
      </c>
      <c r="J106" s="136">
        <f>IF($F106="","",IFERROR(INDEX(사건마스터!$H$5:$H$64,MATCH($F106,사건마스터!$A$5:$A$64,0)),""))</f>
        <v/>
      </c>
      <c r="K106" s="136">
        <f>IF($F106="","",IFERROR(INDEX(사건마스터!$AH$5:$AH$64,MATCH($F106,사건마스터!$A$5:$A$64,0)),""))</f>
        <v/>
      </c>
      <c r="L106" s="136">
        <f>IF($F106="","",IFERROR(INDEX(사건마스터!$AI$5:$AI$64,MATCH($F106,사건마스터!$A$5:$A$64,0)),""))</f>
        <v/>
      </c>
      <c r="M106" s="136">
        <f>IF($F106="","",IFERROR(INDEX(사건마스터!$AJ$5:$AJ$64,MATCH($F106,사건마스터!$A$5:$A$64,0)),""))</f>
        <v/>
      </c>
      <c r="N106" s="136">
        <f>IF($F106="","",IFERROR(INDEX(사건마스터!$AK$5:$AK$64,MATCH($F106,사건마스터!$A$5:$A$64,0)),""))</f>
        <v/>
      </c>
      <c r="O106" s="136">
        <f>IF($F106="","",IFERROR(INDEX(사건마스터!$AL$5:$AL$64,MATCH($F106,사건마스터!$A$5:$A$64,0)),""))</f>
        <v/>
      </c>
      <c r="P106" s="136">
        <f>IF($F106="","",IFERROR(INDEX(사건마스터!$AM$5:$AM$64,MATCH($F106,사건마스터!$A$5:$A$64,0)),""))</f>
        <v/>
      </c>
      <c r="Q106" s="136">
        <f>IF($F106="","",IFERROR(INDEX(사건마스터!$AN$5:$AN$64,MATCH($F106,사건마스터!$A$5:$A$64,0)),""))</f>
        <v/>
      </c>
      <c r="R106" s="136">
        <f>IF($F106="","",IFERROR(INDEX(사건마스터!$AO$5:$AO$64,MATCH($F106,사건마스터!$A$5:$A$64,0)),""))</f>
        <v/>
      </c>
      <c r="S106" s="136">
        <f>IF($F106="","",IFERROR(INDEX(사건마스터!$AP$5:$AP$64,MATCH($F106,사건마스터!$A$5:$A$64,0)),""))</f>
        <v/>
      </c>
      <c r="T106" s="136">
        <f>IF($F106="","",IFERROR(INDEX(사건마스터!$AQ$5:$AQ$64,MATCH($F106,사건마스터!$A$5:$A$64,0)),""))</f>
        <v/>
      </c>
      <c r="U106" s="136">
        <f>IF($F106="","",IFERROR(INDEX(사건마스터!$AR$5:$AR$64,MATCH($F106,사건마스터!$A$5:$A$64,0)),""))</f>
        <v/>
      </c>
      <c r="V106" s="136">
        <f>IF($F106="","",IFERROR(INDEX(사건마스터!$AS$5:$AS$64,MATCH($F106,사건마스터!$A$5:$A$64,0)),""))</f>
        <v/>
      </c>
      <c r="W106" s="136">
        <f>IF($F106="","",IFERROR(INDEX(사건마스터!$AT$5:$AT$64,MATCH($F106,사건마스터!$A$5:$A$64,0)),""))</f>
        <v/>
      </c>
      <c r="X106" s="136">
        <f>IF($F106="","",IFERROR(INDEX(사건마스터!$AU$5:$AU$64,MATCH($F106,사건마스터!$A$5:$A$64,0)),""))</f>
        <v/>
      </c>
      <c r="Y106" s="136">
        <f>IF($F106="","",IFERROR(INDEX(사건마스터!$AV$5:$AV$64,MATCH($F106,사건마스터!$A$5:$A$64,0)),""))</f>
        <v/>
      </c>
      <c r="Z106" s="118">
        <f>IF(COUNTBLANK($J106:$Y106)=16,"",16-COUNTBLANK($J106:$Y106))</f>
        <v/>
      </c>
      <c r="AA106" s="33">
        <f>IF($J106="",MID($AX106,3,255),$J106&amp;$AX106)</f>
        <v/>
      </c>
      <c r="AB106" s="130">
        <f>IF($J106="","",IFERROR(INDEX(코드설정!$D$5:$D$24,MATCH($J106,코드설정!$C$5:$C$24,0)),""))</f>
        <v/>
      </c>
      <c r="AC106" s="36" t="n"/>
      <c r="AD106" s="37" t="n"/>
      <c r="AE106" s="38" t="n"/>
      <c r="AF106" s="118">
        <f>IF(OR($B106="",$C106=""),"",$C106-$B106+1)</f>
        <v/>
      </c>
      <c r="AG106" s="74" t="n"/>
      <c r="AH106" s="36" t="n"/>
      <c r="AJ106">
        <f>IF($K106="","",", "&amp;$K106)</f>
        <v/>
      </c>
      <c r="AK106">
        <f>AJ106&amp;IF($L106="","",", "&amp;$L106)</f>
        <v/>
      </c>
      <c r="AL106">
        <f>AK106&amp;IF($M106="","",", "&amp;$M106)</f>
        <v/>
      </c>
      <c r="AM106">
        <f>AL106&amp;IF($N106="","",", "&amp;$N106)</f>
        <v/>
      </c>
      <c r="AN106">
        <f>AM106&amp;IF($O106="","",", "&amp;$O106)</f>
        <v/>
      </c>
      <c r="AO106">
        <f>AN106&amp;IF($P106="","",", "&amp;$P106)</f>
        <v/>
      </c>
      <c r="AP106">
        <f>AO106&amp;IF($Q106="","",", "&amp;$Q106)</f>
        <v/>
      </c>
      <c r="AQ106">
        <f>AP106&amp;IF($R106="","",", "&amp;$R106)</f>
        <v/>
      </c>
      <c r="AR106">
        <f>AQ106&amp;IF($S106="","",", "&amp;$S106)</f>
        <v/>
      </c>
      <c r="AS106">
        <f>AR106&amp;IF($T106="","",", "&amp;$T106)</f>
        <v/>
      </c>
      <c r="AT106">
        <f>AS106&amp;IF($U106="","",", "&amp;$U106)</f>
        <v/>
      </c>
      <c r="AU106">
        <f>AT106&amp;IF($V106="","",", "&amp;$V106)</f>
        <v/>
      </c>
      <c r="AV106">
        <f>AU106&amp;IF($W106="","",", "&amp;$W106)</f>
        <v/>
      </c>
      <c r="AW106">
        <f>AV106&amp;IF($X106="","",", "&amp;$X106)</f>
        <v/>
      </c>
      <c r="AX106">
        <f>AW106&amp;IF($Y106="","",", "&amp;$Y106)</f>
        <v/>
      </c>
    </row>
    <row r="107">
      <c r="A107" s="118">
        <f>IF($B107="","",COUNT($B$5:$B107))</f>
        <v/>
      </c>
      <c r="B107" s="80" t="n"/>
      <c r="C107" s="80" t="n"/>
      <c r="D107" s="74" t="n"/>
      <c r="E107" s="74" t="n"/>
      <c r="F107" s="74" t="n"/>
      <c r="G107" s="118">
        <f>IF($F107="","",COUNTIF($F$5:$F107,$F107))</f>
        <v/>
      </c>
      <c r="H107" s="33">
        <f>IF($F107="","",IFERROR(INDEX(사건마스터!$B$5:$B$64,MATCH($F107,사건마스터!$A$5:$A$64,0)),""))</f>
        <v/>
      </c>
      <c r="I107" s="130">
        <f>IF($F107="","",IFERROR(INDEX(사건마스터!$C$5:$C$64,MATCH($F107,사건마스터!$A$5:$A$64,0)),""))</f>
        <v/>
      </c>
      <c r="J107" s="136">
        <f>IF($F107="","",IFERROR(INDEX(사건마스터!$H$5:$H$64,MATCH($F107,사건마스터!$A$5:$A$64,0)),""))</f>
        <v/>
      </c>
      <c r="K107" s="136">
        <f>IF($F107="","",IFERROR(INDEX(사건마스터!$AH$5:$AH$64,MATCH($F107,사건마스터!$A$5:$A$64,0)),""))</f>
        <v/>
      </c>
      <c r="L107" s="136">
        <f>IF($F107="","",IFERROR(INDEX(사건마스터!$AI$5:$AI$64,MATCH($F107,사건마스터!$A$5:$A$64,0)),""))</f>
        <v/>
      </c>
      <c r="M107" s="136">
        <f>IF($F107="","",IFERROR(INDEX(사건마스터!$AJ$5:$AJ$64,MATCH($F107,사건마스터!$A$5:$A$64,0)),""))</f>
        <v/>
      </c>
      <c r="N107" s="136">
        <f>IF($F107="","",IFERROR(INDEX(사건마스터!$AK$5:$AK$64,MATCH($F107,사건마스터!$A$5:$A$64,0)),""))</f>
        <v/>
      </c>
      <c r="O107" s="136">
        <f>IF($F107="","",IFERROR(INDEX(사건마스터!$AL$5:$AL$64,MATCH($F107,사건마스터!$A$5:$A$64,0)),""))</f>
        <v/>
      </c>
      <c r="P107" s="136">
        <f>IF($F107="","",IFERROR(INDEX(사건마스터!$AM$5:$AM$64,MATCH($F107,사건마스터!$A$5:$A$64,0)),""))</f>
        <v/>
      </c>
      <c r="Q107" s="136">
        <f>IF($F107="","",IFERROR(INDEX(사건마스터!$AN$5:$AN$64,MATCH($F107,사건마스터!$A$5:$A$64,0)),""))</f>
        <v/>
      </c>
      <c r="R107" s="136">
        <f>IF($F107="","",IFERROR(INDEX(사건마스터!$AO$5:$AO$64,MATCH($F107,사건마스터!$A$5:$A$64,0)),""))</f>
        <v/>
      </c>
      <c r="S107" s="136">
        <f>IF($F107="","",IFERROR(INDEX(사건마스터!$AP$5:$AP$64,MATCH($F107,사건마스터!$A$5:$A$64,0)),""))</f>
        <v/>
      </c>
      <c r="T107" s="136">
        <f>IF($F107="","",IFERROR(INDEX(사건마스터!$AQ$5:$AQ$64,MATCH($F107,사건마스터!$A$5:$A$64,0)),""))</f>
        <v/>
      </c>
      <c r="U107" s="136">
        <f>IF($F107="","",IFERROR(INDEX(사건마스터!$AR$5:$AR$64,MATCH($F107,사건마스터!$A$5:$A$64,0)),""))</f>
        <v/>
      </c>
      <c r="V107" s="136">
        <f>IF($F107="","",IFERROR(INDEX(사건마스터!$AS$5:$AS$64,MATCH($F107,사건마스터!$A$5:$A$64,0)),""))</f>
        <v/>
      </c>
      <c r="W107" s="136">
        <f>IF($F107="","",IFERROR(INDEX(사건마스터!$AT$5:$AT$64,MATCH($F107,사건마스터!$A$5:$A$64,0)),""))</f>
        <v/>
      </c>
      <c r="X107" s="136">
        <f>IF($F107="","",IFERROR(INDEX(사건마스터!$AU$5:$AU$64,MATCH($F107,사건마스터!$A$5:$A$64,0)),""))</f>
        <v/>
      </c>
      <c r="Y107" s="136">
        <f>IF($F107="","",IFERROR(INDEX(사건마스터!$AV$5:$AV$64,MATCH($F107,사건마스터!$A$5:$A$64,0)),""))</f>
        <v/>
      </c>
      <c r="Z107" s="118">
        <f>IF(COUNTBLANK($J107:$Y107)=16,"",16-COUNTBLANK($J107:$Y107))</f>
        <v/>
      </c>
      <c r="AA107" s="33">
        <f>IF($J107="",MID($AX107,3,255),$J107&amp;$AX107)</f>
        <v/>
      </c>
      <c r="AB107" s="130">
        <f>IF($J107="","",IFERROR(INDEX(코드설정!$D$5:$D$24,MATCH($J107,코드설정!$C$5:$C$24,0)),""))</f>
        <v/>
      </c>
      <c r="AC107" s="36" t="n"/>
      <c r="AD107" s="37" t="n"/>
      <c r="AE107" s="38" t="n"/>
      <c r="AF107" s="118">
        <f>IF(OR($B107="",$C107=""),"",$C107-$B107+1)</f>
        <v/>
      </c>
      <c r="AG107" s="74" t="n"/>
      <c r="AH107" s="36" t="n"/>
      <c r="AJ107">
        <f>IF($K107="","",", "&amp;$K107)</f>
        <v/>
      </c>
      <c r="AK107">
        <f>AJ107&amp;IF($L107="","",", "&amp;$L107)</f>
        <v/>
      </c>
      <c r="AL107">
        <f>AK107&amp;IF($M107="","",", "&amp;$M107)</f>
        <v/>
      </c>
      <c r="AM107">
        <f>AL107&amp;IF($N107="","",", "&amp;$N107)</f>
        <v/>
      </c>
      <c r="AN107">
        <f>AM107&amp;IF($O107="","",", "&amp;$O107)</f>
        <v/>
      </c>
      <c r="AO107">
        <f>AN107&amp;IF($P107="","",", "&amp;$P107)</f>
        <v/>
      </c>
      <c r="AP107">
        <f>AO107&amp;IF($Q107="","",", "&amp;$Q107)</f>
        <v/>
      </c>
      <c r="AQ107">
        <f>AP107&amp;IF($R107="","",", "&amp;$R107)</f>
        <v/>
      </c>
      <c r="AR107">
        <f>AQ107&amp;IF($S107="","",", "&amp;$S107)</f>
        <v/>
      </c>
      <c r="AS107">
        <f>AR107&amp;IF($T107="","",", "&amp;$T107)</f>
        <v/>
      </c>
      <c r="AT107">
        <f>AS107&amp;IF($U107="","",", "&amp;$U107)</f>
        <v/>
      </c>
      <c r="AU107">
        <f>AT107&amp;IF($V107="","",", "&amp;$V107)</f>
        <v/>
      </c>
      <c r="AV107">
        <f>AU107&amp;IF($W107="","",", "&amp;$W107)</f>
        <v/>
      </c>
      <c r="AW107">
        <f>AV107&amp;IF($X107="","",", "&amp;$X107)</f>
        <v/>
      </c>
      <c r="AX107">
        <f>AW107&amp;IF($Y107="","",", "&amp;$Y107)</f>
        <v/>
      </c>
    </row>
    <row r="108">
      <c r="A108" s="118">
        <f>IF($B108="","",COUNT($B$5:$B108))</f>
        <v/>
      </c>
      <c r="B108" s="80" t="n"/>
      <c r="C108" s="80" t="n"/>
      <c r="D108" s="74" t="n"/>
      <c r="E108" s="74" t="n"/>
      <c r="F108" s="74" t="n"/>
      <c r="G108" s="118">
        <f>IF($F108="","",COUNTIF($F$5:$F108,$F108))</f>
        <v/>
      </c>
      <c r="H108" s="33">
        <f>IF($F108="","",IFERROR(INDEX(사건마스터!$B$5:$B$64,MATCH($F108,사건마스터!$A$5:$A$64,0)),""))</f>
        <v/>
      </c>
      <c r="I108" s="130">
        <f>IF($F108="","",IFERROR(INDEX(사건마스터!$C$5:$C$64,MATCH($F108,사건마스터!$A$5:$A$64,0)),""))</f>
        <v/>
      </c>
      <c r="J108" s="136">
        <f>IF($F108="","",IFERROR(INDEX(사건마스터!$H$5:$H$64,MATCH($F108,사건마스터!$A$5:$A$64,0)),""))</f>
        <v/>
      </c>
      <c r="K108" s="136">
        <f>IF($F108="","",IFERROR(INDEX(사건마스터!$AH$5:$AH$64,MATCH($F108,사건마스터!$A$5:$A$64,0)),""))</f>
        <v/>
      </c>
      <c r="L108" s="136">
        <f>IF($F108="","",IFERROR(INDEX(사건마스터!$AI$5:$AI$64,MATCH($F108,사건마스터!$A$5:$A$64,0)),""))</f>
        <v/>
      </c>
      <c r="M108" s="136">
        <f>IF($F108="","",IFERROR(INDEX(사건마스터!$AJ$5:$AJ$64,MATCH($F108,사건마스터!$A$5:$A$64,0)),""))</f>
        <v/>
      </c>
      <c r="N108" s="136">
        <f>IF($F108="","",IFERROR(INDEX(사건마스터!$AK$5:$AK$64,MATCH($F108,사건마스터!$A$5:$A$64,0)),""))</f>
        <v/>
      </c>
      <c r="O108" s="136">
        <f>IF($F108="","",IFERROR(INDEX(사건마스터!$AL$5:$AL$64,MATCH($F108,사건마스터!$A$5:$A$64,0)),""))</f>
        <v/>
      </c>
      <c r="P108" s="136">
        <f>IF($F108="","",IFERROR(INDEX(사건마스터!$AM$5:$AM$64,MATCH($F108,사건마스터!$A$5:$A$64,0)),""))</f>
        <v/>
      </c>
      <c r="Q108" s="136">
        <f>IF($F108="","",IFERROR(INDEX(사건마스터!$AN$5:$AN$64,MATCH($F108,사건마스터!$A$5:$A$64,0)),""))</f>
        <v/>
      </c>
      <c r="R108" s="136">
        <f>IF($F108="","",IFERROR(INDEX(사건마스터!$AO$5:$AO$64,MATCH($F108,사건마스터!$A$5:$A$64,0)),""))</f>
        <v/>
      </c>
      <c r="S108" s="136">
        <f>IF($F108="","",IFERROR(INDEX(사건마스터!$AP$5:$AP$64,MATCH($F108,사건마스터!$A$5:$A$64,0)),""))</f>
        <v/>
      </c>
      <c r="T108" s="136">
        <f>IF($F108="","",IFERROR(INDEX(사건마스터!$AQ$5:$AQ$64,MATCH($F108,사건마스터!$A$5:$A$64,0)),""))</f>
        <v/>
      </c>
      <c r="U108" s="136">
        <f>IF($F108="","",IFERROR(INDEX(사건마스터!$AR$5:$AR$64,MATCH($F108,사건마스터!$A$5:$A$64,0)),""))</f>
        <v/>
      </c>
      <c r="V108" s="136">
        <f>IF($F108="","",IFERROR(INDEX(사건마스터!$AS$5:$AS$64,MATCH($F108,사건마스터!$A$5:$A$64,0)),""))</f>
        <v/>
      </c>
      <c r="W108" s="136">
        <f>IF($F108="","",IFERROR(INDEX(사건마스터!$AT$5:$AT$64,MATCH($F108,사건마스터!$A$5:$A$64,0)),""))</f>
        <v/>
      </c>
      <c r="X108" s="136">
        <f>IF($F108="","",IFERROR(INDEX(사건마스터!$AU$5:$AU$64,MATCH($F108,사건마스터!$A$5:$A$64,0)),""))</f>
        <v/>
      </c>
      <c r="Y108" s="136">
        <f>IF($F108="","",IFERROR(INDEX(사건마스터!$AV$5:$AV$64,MATCH($F108,사건마스터!$A$5:$A$64,0)),""))</f>
        <v/>
      </c>
      <c r="Z108" s="118">
        <f>IF(COUNTBLANK($J108:$Y108)=16,"",16-COUNTBLANK($J108:$Y108))</f>
        <v/>
      </c>
      <c r="AA108" s="33">
        <f>IF($J108="",MID($AX108,3,255),$J108&amp;$AX108)</f>
        <v/>
      </c>
      <c r="AB108" s="130">
        <f>IF($J108="","",IFERROR(INDEX(코드설정!$D$5:$D$24,MATCH($J108,코드설정!$C$5:$C$24,0)),""))</f>
        <v/>
      </c>
      <c r="AC108" s="36" t="n"/>
      <c r="AD108" s="37" t="n"/>
      <c r="AE108" s="38" t="n"/>
      <c r="AF108" s="118">
        <f>IF(OR($B108="",$C108=""),"",$C108-$B108+1)</f>
        <v/>
      </c>
      <c r="AG108" s="74" t="n"/>
      <c r="AH108" s="36" t="n"/>
      <c r="AJ108">
        <f>IF($K108="","",", "&amp;$K108)</f>
        <v/>
      </c>
      <c r="AK108">
        <f>AJ108&amp;IF($L108="","",", "&amp;$L108)</f>
        <v/>
      </c>
      <c r="AL108">
        <f>AK108&amp;IF($M108="","",", "&amp;$M108)</f>
        <v/>
      </c>
      <c r="AM108">
        <f>AL108&amp;IF($N108="","",", "&amp;$N108)</f>
        <v/>
      </c>
      <c r="AN108">
        <f>AM108&amp;IF($O108="","",", "&amp;$O108)</f>
        <v/>
      </c>
      <c r="AO108">
        <f>AN108&amp;IF($P108="","",", "&amp;$P108)</f>
        <v/>
      </c>
      <c r="AP108">
        <f>AO108&amp;IF($Q108="","",", "&amp;$Q108)</f>
        <v/>
      </c>
      <c r="AQ108">
        <f>AP108&amp;IF($R108="","",", "&amp;$R108)</f>
        <v/>
      </c>
      <c r="AR108">
        <f>AQ108&amp;IF($S108="","",", "&amp;$S108)</f>
        <v/>
      </c>
      <c r="AS108">
        <f>AR108&amp;IF($T108="","",", "&amp;$T108)</f>
        <v/>
      </c>
      <c r="AT108">
        <f>AS108&amp;IF($U108="","",", "&amp;$U108)</f>
        <v/>
      </c>
      <c r="AU108">
        <f>AT108&amp;IF($V108="","",", "&amp;$V108)</f>
        <v/>
      </c>
      <c r="AV108">
        <f>AU108&amp;IF($W108="","",", "&amp;$W108)</f>
        <v/>
      </c>
      <c r="AW108">
        <f>AV108&amp;IF($X108="","",", "&amp;$X108)</f>
        <v/>
      </c>
      <c r="AX108">
        <f>AW108&amp;IF($Y108="","",", "&amp;$Y108)</f>
        <v/>
      </c>
    </row>
    <row r="109">
      <c r="A109" s="118">
        <f>IF($B109="","",COUNT($B$5:$B109))</f>
        <v/>
      </c>
      <c r="B109" s="80" t="n"/>
      <c r="C109" s="80" t="n"/>
      <c r="D109" s="74" t="n"/>
      <c r="E109" s="74" t="n"/>
      <c r="F109" s="74" t="n"/>
      <c r="G109" s="118">
        <f>IF($F109="","",COUNTIF($F$5:$F109,$F109))</f>
        <v/>
      </c>
      <c r="H109" s="33">
        <f>IF($F109="","",IFERROR(INDEX(사건마스터!$B$5:$B$64,MATCH($F109,사건마스터!$A$5:$A$64,0)),""))</f>
        <v/>
      </c>
      <c r="I109" s="130">
        <f>IF($F109="","",IFERROR(INDEX(사건마스터!$C$5:$C$64,MATCH($F109,사건마스터!$A$5:$A$64,0)),""))</f>
        <v/>
      </c>
      <c r="J109" s="136">
        <f>IF($F109="","",IFERROR(INDEX(사건마스터!$H$5:$H$64,MATCH($F109,사건마스터!$A$5:$A$64,0)),""))</f>
        <v/>
      </c>
      <c r="K109" s="136">
        <f>IF($F109="","",IFERROR(INDEX(사건마스터!$AH$5:$AH$64,MATCH($F109,사건마스터!$A$5:$A$64,0)),""))</f>
        <v/>
      </c>
      <c r="L109" s="136">
        <f>IF($F109="","",IFERROR(INDEX(사건마스터!$AI$5:$AI$64,MATCH($F109,사건마스터!$A$5:$A$64,0)),""))</f>
        <v/>
      </c>
      <c r="M109" s="136">
        <f>IF($F109="","",IFERROR(INDEX(사건마스터!$AJ$5:$AJ$64,MATCH($F109,사건마스터!$A$5:$A$64,0)),""))</f>
        <v/>
      </c>
      <c r="N109" s="136">
        <f>IF($F109="","",IFERROR(INDEX(사건마스터!$AK$5:$AK$64,MATCH($F109,사건마스터!$A$5:$A$64,0)),""))</f>
        <v/>
      </c>
      <c r="O109" s="136">
        <f>IF($F109="","",IFERROR(INDEX(사건마스터!$AL$5:$AL$64,MATCH($F109,사건마스터!$A$5:$A$64,0)),""))</f>
        <v/>
      </c>
      <c r="P109" s="136">
        <f>IF($F109="","",IFERROR(INDEX(사건마스터!$AM$5:$AM$64,MATCH($F109,사건마스터!$A$5:$A$64,0)),""))</f>
        <v/>
      </c>
      <c r="Q109" s="136">
        <f>IF($F109="","",IFERROR(INDEX(사건마스터!$AN$5:$AN$64,MATCH($F109,사건마스터!$A$5:$A$64,0)),""))</f>
        <v/>
      </c>
      <c r="R109" s="136">
        <f>IF($F109="","",IFERROR(INDEX(사건마스터!$AO$5:$AO$64,MATCH($F109,사건마스터!$A$5:$A$64,0)),""))</f>
        <v/>
      </c>
      <c r="S109" s="136">
        <f>IF($F109="","",IFERROR(INDEX(사건마스터!$AP$5:$AP$64,MATCH($F109,사건마스터!$A$5:$A$64,0)),""))</f>
        <v/>
      </c>
      <c r="T109" s="136">
        <f>IF($F109="","",IFERROR(INDEX(사건마스터!$AQ$5:$AQ$64,MATCH($F109,사건마스터!$A$5:$A$64,0)),""))</f>
        <v/>
      </c>
      <c r="U109" s="136">
        <f>IF($F109="","",IFERROR(INDEX(사건마스터!$AR$5:$AR$64,MATCH($F109,사건마스터!$A$5:$A$64,0)),""))</f>
        <v/>
      </c>
      <c r="V109" s="136">
        <f>IF($F109="","",IFERROR(INDEX(사건마스터!$AS$5:$AS$64,MATCH($F109,사건마스터!$A$5:$A$64,0)),""))</f>
        <v/>
      </c>
      <c r="W109" s="136">
        <f>IF($F109="","",IFERROR(INDEX(사건마스터!$AT$5:$AT$64,MATCH($F109,사건마스터!$A$5:$A$64,0)),""))</f>
        <v/>
      </c>
      <c r="X109" s="136">
        <f>IF($F109="","",IFERROR(INDEX(사건마스터!$AU$5:$AU$64,MATCH($F109,사건마스터!$A$5:$A$64,0)),""))</f>
        <v/>
      </c>
      <c r="Y109" s="136">
        <f>IF($F109="","",IFERROR(INDEX(사건마스터!$AV$5:$AV$64,MATCH($F109,사건마스터!$A$5:$A$64,0)),""))</f>
        <v/>
      </c>
      <c r="Z109" s="118">
        <f>IF(COUNTBLANK($J109:$Y109)=16,"",16-COUNTBLANK($J109:$Y109))</f>
        <v/>
      </c>
      <c r="AA109" s="33">
        <f>IF($J109="",MID($AX109,3,255),$J109&amp;$AX109)</f>
        <v/>
      </c>
      <c r="AB109" s="130">
        <f>IF($J109="","",IFERROR(INDEX(코드설정!$D$5:$D$24,MATCH($J109,코드설정!$C$5:$C$24,0)),""))</f>
        <v/>
      </c>
      <c r="AC109" s="36" t="n"/>
      <c r="AD109" s="37" t="n"/>
      <c r="AE109" s="38" t="n"/>
      <c r="AF109" s="118">
        <f>IF(OR($B109="",$C109=""),"",$C109-$B109+1)</f>
        <v/>
      </c>
      <c r="AG109" s="74" t="n"/>
      <c r="AH109" s="36" t="n"/>
      <c r="AJ109">
        <f>IF($K109="","",", "&amp;$K109)</f>
        <v/>
      </c>
      <c r="AK109">
        <f>AJ109&amp;IF($L109="","",", "&amp;$L109)</f>
        <v/>
      </c>
      <c r="AL109">
        <f>AK109&amp;IF($M109="","",", "&amp;$M109)</f>
        <v/>
      </c>
      <c r="AM109">
        <f>AL109&amp;IF($N109="","",", "&amp;$N109)</f>
        <v/>
      </c>
      <c r="AN109">
        <f>AM109&amp;IF($O109="","",", "&amp;$O109)</f>
        <v/>
      </c>
      <c r="AO109">
        <f>AN109&amp;IF($P109="","",", "&amp;$P109)</f>
        <v/>
      </c>
      <c r="AP109">
        <f>AO109&amp;IF($Q109="","",", "&amp;$Q109)</f>
        <v/>
      </c>
      <c r="AQ109">
        <f>AP109&amp;IF($R109="","",", "&amp;$R109)</f>
        <v/>
      </c>
      <c r="AR109">
        <f>AQ109&amp;IF($S109="","",", "&amp;$S109)</f>
        <v/>
      </c>
      <c r="AS109">
        <f>AR109&amp;IF($T109="","",", "&amp;$T109)</f>
        <v/>
      </c>
      <c r="AT109">
        <f>AS109&amp;IF($U109="","",", "&amp;$U109)</f>
        <v/>
      </c>
      <c r="AU109">
        <f>AT109&amp;IF($V109="","",", "&amp;$V109)</f>
        <v/>
      </c>
      <c r="AV109">
        <f>AU109&amp;IF($W109="","",", "&amp;$W109)</f>
        <v/>
      </c>
      <c r="AW109">
        <f>AV109&amp;IF($X109="","",", "&amp;$X109)</f>
        <v/>
      </c>
      <c r="AX109">
        <f>AW109&amp;IF($Y109="","",", "&amp;$Y109)</f>
        <v/>
      </c>
    </row>
    <row r="110">
      <c r="A110" s="118">
        <f>IF($B110="","",COUNT($B$5:$B110))</f>
        <v/>
      </c>
      <c r="B110" s="80" t="n"/>
      <c r="C110" s="80" t="n"/>
      <c r="D110" s="74" t="n"/>
      <c r="E110" s="74" t="n"/>
      <c r="F110" s="74" t="n"/>
      <c r="G110" s="118">
        <f>IF($F110="","",COUNTIF($F$5:$F110,$F110))</f>
        <v/>
      </c>
      <c r="H110" s="33">
        <f>IF($F110="","",IFERROR(INDEX(사건마스터!$B$5:$B$64,MATCH($F110,사건마스터!$A$5:$A$64,0)),""))</f>
        <v/>
      </c>
      <c r="I110" s="130">
        <f>IF($F110="","",IFERROR(INDEX(사건마스터!$C$5:$C$64,MATCH($F110,사건마스터!$A$5:$A$64,0)),""))</f>
        <v/>
      </c>
      <c r="J110" s="136">
        <f>IF($F110="","",IFERROR(INDEX(사건마스터!$H$5:$H$64,MATCH($F110,사건마스터!$A$5:$A$64,0)),""))</f>
        <v/>
      </c>
      <c r="K110" s="136">
        <f>IF($F110="","",IFERROR(INDEX(사건마스터!$AH$5:$AH$64,MATCH($F110,사건마스터!$A$5:$A$64,0)),""))</f>
        <v/>
      </c>
      <c r="L110" s="136">
        <f>IF($F110="","",IFERROR(INDEX(사건마스터!$AI$5:$AI$64,MATCH($F110,사건마스터!$A$5:$A$64,0)),""))</f>
        <v/>
      </c>
      <c r="M110" s="136">
        <f>IF($F110="","",IFERROR(INDEX(사건마스터!$AJ$5:$AJ$64,MATCH($F110,사건마스터!$A$5:$A$64,0)),""))</f>
        <v/>
      </c>
      <c r="N110" s="136">
        <f>IF($F110="","",IFERROR(INDEX(사건마스터!$AK$5:$AK$64,MATCH($F110,사건마스터!$A$5:$A$64,0)),""))</f>
        <v/>
      </c>
      <c r="O110" s="136">
        <f>IF($F110="","",IFERROR(INDEX(사건마스터!$AL$5:$AL$64,MATCH($F110,사건마스터!$A$5:$A$64,0)),""))</f>
        <v/>
      </c>
      <c r="P110" s="136">
        <f>IF($F110="","",IFERROR(INDEX(사건마스터!$AM$5:$AM$64,MATCH($F110,사건마스터!$A$5:$A$64,0)),""))</f>
        <v/>
      </c>
      <c r="Q110" s="136">
        <f>IF($F110="","",IFERROR(INDEX(사건마스터!$AN$5:$AN$64,MATCH($F110,사건마스터!$A$5:$A$64,0)),""))</f>
        <v/>
      </c>
      <c r="R110" s="136">
        <f>IF($F110="","",IFERROR(INDEX(사건마스터!$AO$5:$AO$64,MATCH($F110,사건마스터!$A$5:$A$64,0)),""))</f>
        <v/>
      </c>
      <c r="S110" s="136">
        <f>IF($F110="","",IFERROR(INDEX(사건마스터!$AP$5:$AP$64,MATCH($F110,사건마스터!$A$5:$A$64,0)),""))</f>
        <v/>
      </c>
      <c r="T110" s="136">
        <f>IF($F110="","",IFERROR(INDEX(사건마스터!$AQ$5:$AQ$64,MATCH($F110,사건마스터!$A$5:$A$64,0)),""))</f>
        <v/>
      </c>
      <c r="U110" s="136">
        <f>IF($F110="","",IFERROR(INDEX(사건마스터!$AR$5:$AR$64,MATCH($F110,사건마스터!$A$5:$A$64,0)),""))</f>
        <v/>
      </c>
      <c r="V110" s="136">
        <f>IF($F110="","",IFERROR(INDEX(사건마스터!$AS$5:$AS$64,MATCH($F110,사건마스터!$A$5:$A$64,0)),""))</f>
        <v/>
      </c>
      <c r="W110" s="136">
        <f>IF($F110="","",IFERROR(INDEX(사건마스터!$AT$5:$AT$64,MATCH($F110,사건마스터!$A$5:$A$64,0)),""))</f>
        <v/>
      </c>
      <c r="X110" s="136">
        <f>IF($F110="","",IFERROR(INDEX(사건마스터!$AU$5:$AU$64,MATCH($F110,사건마스터!$A$5:$A$64,0)),""))</f>
        <v/>
      </c>
      <c r="Y110" s="136">
        <f>IF($F110="","",IFERROR(INDEX(사건마스터!$AV$5:$AV$64,MATCH($F110,사건마스터!$A$5:$A$64,0)),""))</f>
        <v/>
      </c>
      <c r="Z110" s="118">
        <f>IF(COUNTBLANK($J110:$Y110)=16,"",16-COUNTBLANK($J110:$Y110))</f>
        <v/>
      </c>
      <c r="AA110" s="33">
        <f>IF($J110="",MID($AX110,3,255),$J110&amp;$AX110)</f>
        <v/>
      </c>
      <c r="AB110" s="130">
        <f>IF($J110="","",IFERROR(INDEX(코드설정!$D$5:$D$24,MATCH($J110,코드설정!$C$5:$C$24,0)),""))</f>
        <v/>
      </c>
      <c r="AC110" s="36" t="n"/>
      <c r="AD110" s="37" t="n"/>
      <c r="AE110" s="38" t="n"/>
      <c r="AF110" s="118">
        <f>IF(OR($B110="",$C110=""),"",$C110-$B110+1)</f>
        <v/>
      </c>
      <c r="AG110" s="74" t="n"/>
      <c r="AH110" s="36" t="n"/>
      <c r="AJ110">
        <f>IF($K110="","",", "&amp;$K110)</f>
        <v/>
      </c>
      <c r="AK110">
        <f>AJ110&amp;IF($L110="","",", "&amp;$L110)</f>
        <v/>
      </c>
      <c r="AL110">
        <f>AK110&amp;IF($M110="","",", "&amp;$M110)</f>
        <v/>
      </c>
      <c r="AM110">
        <f>AL110&amp;IF($N110="","",", "&amp;$N110)</f>
        <v/>
      </c>
      <c r="AN110">
        <f>AM110&amp;IF($O110="","",", "&amp;$O110)</f>
        <v/>
      </c>
      <c r="AO110">
        <f>AN110&amp;IF($P110="","",", "&amp;$P110)</f>
        <v/>
      </c>
      <c r="AP110">
        <f>AO110&amp;IF($Q110="","",", "&amp;$Q110)</f>
        <v/>
      </c>
      <c r="AQ110">
        <f>AP110&amp;IF($R110="","",", "&amp;$R110)</f>
        <v/>
      </c>
      <c r="AR110">
        <f>AQ110&amp;IF($S110="","",", "&amp;$S110)</f>
        <v/>
      </c>
      <c r="AS110">
        <f>AR110&amp;IF($T110="","",", "&amp;$T110)</f>
        <v/>
      </c>
      <c r="AT110">
        <f>AS110&amp;IF($U110="","",", "&amp;$U110)</f>
        <v/>
      </c>
      <c r="AU110">
        <f>AT110&amp;IF($V110="","",", "&amp;$V110)</f>
        <v/>
      </c>
      <c r="AV110">
        <f>AU110&amp;IF($W110="","",", "&amp;$W110)</f>
        <v/>
      </c>
      <c r="AW110">
        <f>AV110&amp;IF($X110="","",", "&amp;$X110)</f>
        <v/>
      </c>
      <c r="AX110">
        <f>AW110&amp;IF($Y110="","",", "&amp;$Y110)</f>
        <v/>
      </c>
    </row>
    <row r="111">
      <c r="A111" s="118">
        <f>IF($B111="","",COUNT($B$5:$B111))</f>
        <v/>
      </c>
      <c r="B111" s="80" t="n"/>
      <c r="C111" s="80" t="n"/>
      <c r="D111" s="74" t="n"/>
      <c r="E111" s="74" t="n"/>
      <c r="F111" s="74" t="n"/>
      <c r="G111" s="118">
        <f>IF($F111="","",COUNTIF($F$5:$F111,$F111))</f>
        <v/>
      </c>
      <c r="H111" s="33">
        <f>IF($F111="","",IFERROR(INDEX(사건마스터!$B$5:$B$64,MATCH($F111,사건마스터!$A$5:$A$64,0)),""))</f>
        <v/>
      </c>
      <c r="I111" s="130">
        <f>IF($F111="","",IFERROR(INDEX(사건마스터!$C$5:$C$64,MATCH($F111,사건마스터!$A$5:$A$64,0)),""))</f>
        <v/>
      </c>
      <c r="J111" s="136">
        <f>IF($F111="","",IFERROR(INDEX(사건마스터!$H$5:$H$64,MATCH($F111,사건마스터!$A$5:$A$64,0)),""))</f>
        <v/>
      </c>
      <c r="K111" s="136">
        <f>IF($F111="","",IFERROR(INDEX(사건마스터!$AH$5:$AH$64,MATCH($F111,사건마스터!$A$5:$A$64,0)),""))</f>
        <v/>
      </c>
      <c r="L111" s="136">
        <f>IF($F111="","",IFERROR(INDEX(사건마스터!$AI$5:$AI$64,MATCH($F111,사건마스터!$A$5:$A$64,0)),""))</f>
        <v/>
      </c>
      <c r="M111" s="136">
        <f>IF($F111="","",IFERROR(INDEX(사건마스터!$AJ$5:$AJ$64,MATCH($F111,사건마스터!$A$5:$A$64,0)),""))</f>
        <v/>
      </c>
      <c r="N111" s="136">
        <f>IF($F111="","",IFERROR(INDEX(사건마스터!$AK$5:$AK$64,MATCH($F111,사건마스터!$A$5:$A$64,0)),""))</f>
        <v/>
      </c>
      <c r="O111" s="136">
        <f>IF($F111="","",IFERROR(INDEX(사건마스터!$AL$5:$AL$64,MATCH($F111,사건마스터!$A$5:$A$64,0)),""))</f>
        <v/>
      </c>
      <c r="P111" s="136">
        <f>IF($F111="","",IFERROR(INDEX(사건마스터!$AM$5:$AM$64,MATCH($F111,사건마스터!$A$5:$A$64,0)),""))</f>
        <v/>
      </c>
      <c r="Q111" s="136">
        <f>IF($F111="","",IFERROR(INDEX(사건마스터!$AN$5:$AN$64,MATCH($F111,사건마스터!$A$5:$A$64,0)),""))</f>
        <v/>
      </c>
      <c r="R111" s="136">
        <f>IF($F111="","",IFERROR(INDEX(사건마스터!$AO$5:$AO$64,MATCH($F111,사건마스터!$A$5:$A$64,0)),""))</f>
        <v/>
      </c>
      <c r="S111" s="136">
        <f>IF($F111="","",IFERROR(INDEX(사건마스터!$AP$5:$AP$64,MATCH($F111,사건마스터!$A$5:$A$64,0)),""))</f>
        <v/>
      </c>
      <c r="T111" s="136">
        <f>IF($F111="","",IFERROR(INDEX(사건마스터!$AQ$5:$AQ$64,MATCH($F111,사건마스터!$A$5:$A$64,0)),""))</f>
        <v/>
      </c>
      <c r="U111" s="136">
        <f>IF($F111="","",IFERROR(INDEX(사건마스터!$AR$5:$AR$64,MATCH($F111,사건마스터!$A$5:$A$64,0)),""))</f>
        <v/>
      </c>
      <c r="V111" s="136">
        <f>IF($F111="","",IFERROR(INDEX(사건마스터!$AS$5:$AS$64,MATCH($F111,사건마스터!$A$5:$A$64,0)),""))</f>
        <v/>
      </c>
      <c r="W111" s="136">
        <f>IF($F111="","",IFERROR(INDEX(사건마스터!$AT$5:$AT$64,MATCH($F111,사건마스터!$A$5:$A$64,0)),""))</f>
        <v/>
      </c>
      <c r="X111" s="136">
        <f>IF($F111="","",IFERROR(INDEX(사건마스터!$AU$5:$AU$64,MATCH($F111,사건마스터!$A$5:$A$64,0)),""))</f>
        <v/>
      </c>
      <c r="Y111" s="136">
        <f>IF($F111="","",IFERROR(INDEX(사건마스터!$AV$5:$AV$64,MATCH($F111,사건마스터!$A$5:$A$64,0)),""))</f>
        <v/>
      </c>
      <c r="Z111" s="118">
        <f>IF(COUNTBLANK($J111:$Y111)=16,"",16-COUNTBLANK($J111:$Y111))</f>
        <v/>
      </c>
      <c r="AA111" s="33">
        <f>IF($J111="",MID($AX111,3,255),$J111&amp;$AX111)</f>
        <v/>
      </c>
      <c r="AB111" s="130">
        <f>IF($J111="","",IFERROR(INDEX(코드설정!$D$5:$D$24,MATCH($J111,코드설정!$C$5:$C$24,0)),""))</f>
        <v/>
      </c>
      <c r="AC111" s="36" t="n"/>
      <c r="AD111" s="37" t="n"/>
      <c r="AE111" s="38" t="n"/>
      <c r="AF111" s="118">
        <f>IF(OR($B111="",$C111=""),"",$C111-$B111+1)</f>
        <v/>
      </c>
      <c r="AG111" s="74" t="n"/>
      <c r="AH111" s="36" t="n"/>
      <c r="AJ111">
        <f>IF($K111="","",", "&amp;$K111)</f>
        <v/>
      </c>
      <c r="AK111">
        <f>AJ111&amp;IF($L111="","",", "&amp;$L111)</f>
        <v/>
      </c>
      <c r="AL111">
        <f>AK111&amp;IF($M111="","",", "&amp;$M111)</f>
        <v/>
      </c>
      <c r="AM111">
        <f>AL111&amp;IF($N111="","",", "&amp;$N111)</f>
        <v/>
      </c>
      <c r="AN111">
        <f>AM111&amp;IF($O111="","",", "&amp;$O111)</f>
        <v/>
      </c>
      <c r="AO111">
        <f>AN111&amp;IF($P111="","",", "&amp;$P111)</f>
        <v/>
      </c>
      <c r="AP111">
        <f>AO111&amp;IF($Q111="","",", "&amp;$Q111)</f>
        <v/>
      </c>
      <c r="AQ111">
        <f>AP111&amp;IF($R111="","",", "&amp;$R111)</f>
        <v/>
      </c>
      <c r="AR111">
        <f>AQ111&amp;IF($S111="","",", "&amp;$S111)</f>
        <v/>
      </c>
      <c r="AS111">
        <f>AR111&amp;IF($T111="","",", "&amp;$T111)</f>
        <v/>
      </c>
      <c r="AT111">
        <f>AS111&amp;IF($U111="","",", "&amp;$U111)</f>
        <v/>
      </c>
      <c r="AU111">
        <f>AT111&amp;IF($V111="","",", "&amp;$V111)</f>
        <v/>
      </c>
      <c r="AV111">
        <f>AU111&amp;IF($W111="","",", "&amp;$W111)</f>
        <v/>
      </c>
      <c r="AW111">
        <f>AV111&amp;IF($X111="","",", "&amp;$X111)</f>
        <v/>
      </c>
      <c r="AX111">
        <f>AW111&amp;IF($Y111="","",", "&amp;$Y111)</f>
        <v/>
      </c>
    </row>
    <row r="112">
      <c r="A112" s="118">
        <f>IF($B112="","",COUNT($B$5:$B112))</f>
        <v/>
      </c>
      <c r="B112" s="80" t="n"/>
      <c r="C112" s="80" t="n"/>
      <c r="D112" s="74" t="n"/>
      <c r="E112" s="74" t="n"/>
      <c r="F112" s="74" t="n"/>
      <c r="G112" s="118">
        <f>IF($F112="","",COUNTIF($F$5:$F112,$F112))</f>
        <v/>
      </c>
      <c r="H112" s="33">
        <f>IF($F112="","",IFERROR(INDEX(사건마스터!$B$5:$B$64,MATCH($F112,사건마스터!$A$5:$A$64,0)),""))</f>
        <v/>
      </c>
      <c r="I112" s="130">
        <f>IF($F112="","",IFERROR(INDEX(사건마스터!$C$5:$C$64,MATCH($F112,사건마스터!$A$5:$A$64,0)),""))</f>
        <v/>
      </c>
      <c r="J112" s="136">
        <f>IF($F112="","",IFERROR(INDEX(사건마스터!$H$5:$H$64,MATCH($F112,사건마스터!$A$5:$A$64,0)),""))</f>
        <v/>
      </c>
      <c r="K112" s="136">
        <f>IF($F112="","",IFERROR(INDEX(사건마스터!$AH$5:$AH$64,MATCH($F112,사건마스터!$A$5:$A$64,0)),""))</f>
        <v/>
      </c>
      <c r="L112" s="136">
        <f>IF($F112="","",IFERROR(INDEX(사건마스터!$AI$5:$AI$64,MATCH($F112,사건마스터!$A$5:$A$64,0)),""))</f>
        <v/>
      </c>
      <c r="M112" s="136">
        <f>IF($F112="","",IFERROR(INDEX(사건마스터!$AJ$5:$AJ$64,MATCH($F112,사건마스터!$A$5:$A$64,0)),""))</f>
        <v/>
      </c>
      <c r="N112" s="136">
        <f>IF($F112="","",IFERROR(INDEX(사건마스터!$AK$5:$AK$64,MATCH($F112,사건마스터!$A$5:$A$64,0)),""))</f>
        <v/>
      </c>
      <c r="O112" s="136">
        <f>IF($F112="","",IFERROR(INDEX(사건마스터!$AL$5:$AL$64,MATCH($F112,사건마스터!$A$5:$A$64,0)),""))</f>
        <v/>
      </c>
      <c r="P112" s="136">
        <f>IF($F112="","",IFERROR(INDEX(사건마스터!$AM$5:$AM$64,MATCH($F112,사건마스터!$A$5:$A$64,0)),""))</f>
        <v/>
      </c>
      <c r="Q112" s="136">
        <f>IF($F112="","",IFERROR(INDEX(사건마스터!$AN$5:$AN$64,MATCH($F112,사건마스터!$A$5:$A$64,0)),""))</f>
        <v/>
      </c>
      <c r="R112" s="136">
        <f>IF($F112="","",IFERROR(INDEX(사건마스터!$AO$5:$AO$64,MATCH($F112,사건마스터!$A$5:$A$64,0)),""))</f>
        <v/>
      </c>
      <c r="S112" s="136">
        <f>IF($F112="","",IFERROR(INDEX(사건마스터!$AP$5:$AP$64,MATCH($F112,사건마스터!$A$5:$A$64,0)),""))</f>
        <v/>
      </c>
      <c r="T112" s="136">
        <f>IF($F112="","",IFERROR(INDEX(사건마스터!$AQ$5:$AQ$64,MATCH($F112,사건마스터!$A$5:$A$64,0)),""))</f>
        <v/>
      </c>
      <c r="U112" s="136">
        <f>IF($F112="","",IFERROR(INDEX(사건마스터!$AR$5:$AR$64,MATCH($F112,사건마스터!$A$5:$A$64,0)),""))</f>
        <v/>
      </c>
      <c r="V112" s="136">
        <f>IF($F112="","",IFERROR(INDEX(사건마스터!$AS$5:$AS$64,MATCH($F112,사건마스터!$A$5:$A$64,0)),""))</f>
        <v/>
      </c>
      <c r="W112" s="136">
        <f>IF($F112="","",IFERROR(INDEX(사건마스터!$AT$5:$AT$64,MATCH($F112,사건마스터!$A$5:$A$64,0)),""))</f>
        <v/>
      </c>
      <c r="X112" s="136">
        <f>IF($F112="","",IFERROR(INDEX(사건마스터!$AU$5:$AU$64,MATCH($F112,사건마스터!$A$5:$A$64,0)),""))</f>
        <v/>
      </c>
      <c r="Y112" s="136">
        <f>IF($F112="","",IFERROR(INDEX(사건마스터!$AV$5:$AV$64,MATCH($F112,사건마스터!$A$5:$A$64,0)),""))</f>
        <v/>
      </c>
      <c r="Z112" s="118">
        <f>IF(COUNTBLANK($J112:$Y112)=16,"",16-COUNTBLANK($J112:$Y112))</f>
        <v/>
      </c>
      <c r="AA112" s="33">
        <f>IF($J112="",MID($AX112,3,255),$J112&amp;$AX112)</f>
        <v/>
      </c>
      <c r="AB112" s="130">
        <f>IF($J112="","",IFERROR(INDEX(코드설정!$D$5:$D$24,MATCH($J112,코드설정!$C$5:$C$24,0)),""))</f>
        <v/>
      </c>
      <c r="AC112" s="36" t="n"/>
      <c r="AD112" s="37" t="n"/>
      <c r="AE112" s="38" t="n"/>
      <c r="AF112" s="118">
        <f>IF(OR($B112="",$C112=""),"",$C112-$B112+1)</f>
        <v/>
      </c>
      <c r="AG112" s="74" t="n"/>
      <c r="AH112" s="36" t="n"/>
      <c r="AJ112">
        <f>IF($K112="","",", "&amp;$K112)</f>
        <v/>
      </c>
      <c r="AK112">
        <f>AJ112&amp;IF($L112="","",", "&amp;$L112)</f>
        <v/>
      </c>
      <c r="AL112">
        <f>AK112&amp;IF($M112="","",", "&amp;$M112)</f>
        <v/>
      </c>
      <c r="AM112">
        <f>AL112&amp;IF($N112="","",", "&amp;$N112)</f>
        <v/>
      </c>
      <c r="AN112">
        <f>AM112&amp;IF($O112="","",", "&amp;$O112)</f>
        <v/>
      </c>
      <c r="AO112">
        <f>AN112&amp;IF($P112="","",", "&amp;$P112)</f>
        <v/>
      </c>
      <c r="AP112">
        <f>AO112&amp;IF($Q112="","",", "&amp;$Q112)</f>
        <v/>
      </c>
      <c r="AQ112">
        <f>AP112&amp;IF($R112="","",", "&amp;$R112)</f>
        <v/>
      </c>
      <c r="AR112">
        <f>AQ112&amp;IF($S112="","",", "&amp;$S112)</f>
        <v/>
      </c>
      <c r="AS112">
        <f>AR112&amp;IF($T112="","",", "&amp;$T112)</f>
        <v/>
      </c>
      <c r="AT112">
        <f>AS112&amp;IF($U112="","",", "&amp;$U112)</f>
        <v/>
      </c>
      <c r="AU112">
        <f>AT112&amp;IF($V112="","",", "&amp;$V112)</f>
        <v/>
      </c>
      <c r="AV112">
        <f>AU112&amp;IF($W112="","",", "&amp;$W112)</f>
        <v/>
      </c>
      <c r="AW112">
        <f>AV112&amp;IF($X112="","",", "&amp;$X112)</f>
        <v/>
      </c>
      <c r="AX112">
        <f>AW112&amp;IF($Y112="","",", "&amp;$Y112)</f>
        <v/>
      </c>
    </row>
    <row r="113">
      <c r="A113" s="118">
        <f>IF($B113="","",COUNT($B$5:$B113))</f>
        <v/>
      </c>
      <c r="B113" s="80" t="n"/>
      <c r="C113" s="80" t="n"/>
      <c r="D113" s="74" t="n"/>
      <c r="E113" s="74" t="n"/>
      <c r="F113" s="74" t="n"/>
      <c r="G113" s="118">
        <f>IF($F113="","",COUNTIF($F$5:$F113,$F113))</f>
        <v/>
      </c>
      <c r="H113" s="33">
        <f>IF($F113="","",IFERROR(INDEX(사건마스터!$B$5:$B$64,MATCH($F113,사건마스터!$A$5:$A$64,0)),""))</f>
        <v/>
      </c>
      <c r="I113" s="130">
        <f>IF($F113="","",IFERROR(INDEX(사건마스터!$C$5:$C$64,MATCH($F113,사건마스터!$A$5:$A$64,0)),""))</f>
        <v/>
      </c>
      <c r="J113" s="136">
        <f>IF($F113="","",IFERROR(INDEX(사건마스터!$H$5:$H$64,MATCH($F113,사건마스터!$A$5:$A$64,0)),""))</f>
        <v/>
      </c>
      <c r="K113" s="136">
        <f>IF($F113="","",IFERROR(INDEX(사건마스터!$AH$5:$AH$64,MATCH($F113,사건마스터!$A$5:$A$64,0)),""))</f>
        <v/>
      </c>
      <c r="L113" s="136">
        <f>IF($F113="","",IFERROR(INDEX(사건마스터!$AI$5:$AI$64,MATCH($F113,사건마스터!$A$5:$A$64,0)),""))</f>
        <v/>
      </c>
      <c r="M113" s="136">
        <f>IF($F113="","",IFERROR(INDEX(사건마스터!$AJ$5:$AJ$64,MATCH($F113,사건마스터!$A$5:$A$64,0)),""))</f>
        <v/>
      </c>
      <c r="N113" s="136">
        <f>IF($F113="","",IFERROR(INDEX(사건마스터!$AK$5:$AK$64,MATCH($F113,사건마스터!$A$5:$A$64,0)),""))</f>
        <v/>
      </c>
      <c r="O113" s="136">
        <f>IF($F113="","",IFERROR(INDEX(사건마스터!$AL$5:$AL$64,MATCH($F113,사건마스터!$A$5:$A$64,0)),""))</f>
        <v/>
      </c>
      <c r="P113" s="136">
        <f>IF($F113="","",IFERROR(INDEX(사건마스터!$AM$5:$AM$64,MATCH($F113,사건마스터!$A$5:$A$64,0)),""))</f>
        <v/>
      </c>
      <c r="Q113" s="136">
        <f>IF($F113="","",IFERROR(INDEX(사건마스터!$AN$5:$AN$64,MATCH($F113,사건마스터!$A$5:$A$64,0)),""))</f>
        <v/>
      </c>
      <c r="R113" s="136">
        <f>IF($F113="","",IFERROR(INDEX(사건마스터!$AO$5:$AO$64,MATCH($F113,사건마스터!$A$5:$A$64,0)),""))</f>
        <v/>
      </c>
      <c r="S113" s="136">
        <f>IF($F113="","",IFERROR(INDEX(사건마스터!$AP$5:$AP$64,MATCH($F113,사건마스터!$A$5:$A$64,0)),""))</f>
        <v/>
      </c>
      <c r="T113" s="136">
        <f>IF($F113="","",IFERROR(INDEX(사건마스터!$AQ$5:$AQ$64,MATCH($F113,사건마스터!$A$5:$A$64,0)),""))</f>
        <v/>
      </c>
      <c r="U113" s="136">
        <f>IF($F113="","",IFERROR(INDEX(사건마스터!$AR$5:$AR$64,MATCH($F113,사건마스터!$A$5:$A$64,0)),""))</f>
        <v/>
      </c>
      <c r="V113" s="136">
        <f>IF($F113="","",IFERROR(INDEX(사건마스터!$AS$5:$AS$64,MATCH($F113,사건마스터!$A$5:$A$64,0)),""))</f>
        <v/>
      </c>
      <c r="W113" s="136">
        <f>IF($F113="","",IFERROR(INDEX(사건마스터!$AT$5:$AT$64,MATCH($F113,사건마스터!$A$5:$A$64,0)),""))</f>
        <v/>
      </c>
      <c r="X113" s="136">
        <f>IF($F113="","",IFERROR(INDEX(사건마스터!$AU$5:$AU$64,MATCH($F113,사건마스터!$A$5:$A$64,0)),""))</f>
        <v/>
      </c>
      <c r="Y113" s="136">
        <f>IF($F113="","",IFERROR(INDEX(사건마스터!$AV$5:$AV$64,MATCH($F113,사건마스터!$A$5:$A$64,0)),""))</f>
        <v/>
      </c>
      <c r="Z113" s="118">
        <f>IF(COUNTBLANK($J113:$Y113)=16,"",16-COUNTBLANK($J113:$Y113))</f>
        <v/>
      </c>
      <c r="AA113" s="33">
        <f>IF($J113="",MID($AX113,3,255),$J113&amp;$AX113)</f>
        <v/>
      </c>
      <c r="AB113" s="130">
        <f>IF($J113="","",IFERROR(INDEX(코드설정!$D$5:$D$24,MATCH($J113,코드설정!$C$5:$C$24,0)),""))</f>
        <v/>
      </c>
      <c r="AC113" s="36" t="n"/>
      <c r="AD113" s="37" t="n"/>
      <c r="AE113" s="38" t="n"/>
      <c r="AF113" s="118">
        <f>IF(OR($B113="",$C113=""),"",$C113-$B113+1)</f>
        <v/>
      </c>
      <c r="AG113" s="74" t="n"/>
      <c r="AH113" s="36" t="n"/>
      <c r="AJ113">
        <f>IF($K113="","",", "&amp;$K113)</f>
        <v/>
      </c>
      <c r="AK113">
        <f>AJ113&amp;IF($L113="","",", "&amp;$L113)</f>
        <v/>
      </c>
      <c r="AL113">
        <f>AK113&amp;IF($M113="","",", "&amp;$M113)</f>
        <v/>
      </c>
      <c r="AM113">
        <f>AL113&amp;IF($N113="","",", "&amp;$N113)</f>
        <v/>
      </c>
      <c r="AN113">
        <f>AM113&amp;IF($O113="","",", "&amp;$O113)</f>
        <v/>
      </c>
      <c r="AO113">
        <f>AN113&amp;IF($P113="","",", "&amp;$P113)</f>
        <v/>
      </c>
      <c r="AP113">
        <f>AO113&amp;IF($Q113="","",", "&amp;$Q113)</f>
        <v/>
      </c>
      <c r="AQ113">
        <f>AP113&amp;IF($R113="","",", "&amp;$R113)</f>
        <v/>
      </c>
      <c r="AR113">
        <f>AQ113&amp;IF($S113="","",", "&amp;$S113)</f>
        <v/>
      </c>
      <c r="AS113">
        <f>AR113&amp;IF($T113="","",", "&amp;$T113)</f>
        <v/>
      </c>
      <c r="AT113">
        <f>AS113&amp;IF($U113="","",", "&amp;$U113)</f>
        <v/>
      </c>
      <c r="AU113">
        <f>AT113&amp;IF($V113="","",", "&amp;$V113)</f>
        <v/>
      </c>
      <c r="AV113">
        <f>AU113&amp;IF($W113="","",", "&amp;$W113)</f>
        <v/>
      </c>
      <c r="AW113">
        <f>AV113&amp;IF($X113="","",", "&amp;$X113)</f>
        <v/>
      </c>
      <c r="AX113">
        <f>AW113&amp;IF($Y113="","",", "&amp;$Y113)</f>
        <v/>
      </c>
    </row>
    <row r="114">
      <c r="A114" s="118">
        <f>IF($B114="","",COUNT($B$5:$B114))</f>
        <v/>
      </c>
      <c r="B114" s="80" t="n"/>
      <c r="C114" s="80" t="n"/>
      <c r="D114" s="74" t="n"/>
      <c r="E114" s="74" t="n"/>
      <c r="F114" s="74" t="n"/>
      <c r="G114" s="118">
        <f>IF($F114="","",COUNTIF($F$5:$F114,$F114))</f>
        <v/>
      </c>
      <c r="H114" s="33">
        <f>IF($F114="","",IFERROR(INDEX(사건마스터!$B$5:$B$64,MATCH($F114,사건마스터!$A$5:$A$64,0)),""))</f>
        <v/>
      </c>
      <c r="I114" s="130">
        <f>IF($F114="","",IFERROR(INDEX(사건마스터!$C$5:$C$64,MATCH($F114,사건마스터!$A$5:$A$64,0)),""))</f>
        <v/>
      </c>
      <c r="J114" s="136">
        <f>IF($F114="","",IFERROR(INDEX(사건마스터!$H$5:$H$64,MATCH($F114,사건마스터!$A$5:$A$64,0)),""))</f>
        <v/>
      </c>
      <c r="K114" s="136">
        <f>IF($F114="","",IFERROR(INDEX(사건마스터!$AH$5:$AH$64,MATCH($F114,사건마스터!$A$5:$A$64,0)),""))</f>
        <v/>
      </c>
      <c r="L114" s="136">
        <f>IF($F114="","",IFERROR(INDEX(사건마스터!$AI$5:$AI$64,MATCH($F114,사건마스터!$A$5:$A$64,0)),""))</f>
        <v/>
      </c>
      <c r="M114" s="136">
        <f>IF($F114="","",IFERROR(INDEX(사건마스터!$AJ$5:$AJ$64,MATCH($F114,사건마스터!$A$5:$A$64,0)),""))</f>
        <v/>
      </c>
      <c r="N114" s="136">
        <f>IF($F114="","",IFERROR(INDEX(사건마스터!$AK$5:$AK$64,MATCH($F114,사건마스터!$A$5:$A$64,0)),""))</f>
        <v/>
      </c>
      <c r="O114" s="136">
        <f>IF($F114="","",IFERROR(INDEX(사건마스터!$AL$5:$AL$64,MATCH($F114,사건마스터!$A$5:$A$64,0)),""))</f>
        <v/>
      </c>
      <c r="P114" s="136">
        <f>IF($F114="","",IFERROR(INDEX(사건마스터!$AM$5:$AM$64,MATCH($F114,사건마스터!$A$5:$A$64,0)),""))</f>
        <v/>
      </c>
      <c r="Q114" s="136">
        <f>IF($F114="","",IFERROR(INDEX(사건마스터!$AN$5:$AN$64,MATCH($F114,사건마스터!$A$5:$A$64,0)),""))</f>
        <v/>
      </c>
      <c r="R114" s="136">
        <f>IF($F114="","",IFERROR(INDEX(사건마스터!$AO$5:$AO$64,MATCH($F114,사건마스터!$A$5:$A$64,0)),""))</f>
        <v/>
      </c>
      <c r="S114" s="136">
        <f>IF($F114="","",IFERROR(INDEX(사건마스터!$AP$5:$AP$64,MATCH($F114,사건마스터!$A$5:$A$64,0)),""))</f>
        <v/>
      </c>
      <c r="T114" s="136">
        <f>IF($F114="","",IFERROR(INDEX(사건마스터!$AQ$5:$AQ$64,MATCH($F114,사건마스터!$A$5:$A$64,0)),""))</f>
        <v/>
      </c>
      <c r="U114" s="136">
        <f>IF($F114="","",IFERROR(INDEX(사건마스터!$AR$5:$AR$64,MATCH($F114,사건마스터!$A$5:$A$64,0)),""))</f>
        <v/>
      </c>
      <c r="V114" s="136">
        <f>IF($F114="","",IFERROR(INDEX(사건마스터!$AS$5:$AS$64,MATCH($F114,사건마스터!$A$5:$A$64,0)),""))</f>
        <v/>
      </c>
      <c r="W114" s="136">
        <f>IF($F114="","",IFERROR(INDEX(사건마스터!$AT$5:$AT$64,MATCH($F114,사건마스터!$A$5:$A$64,0)),""))</f>
        <v/>
      </c>
      <c r="X114" s="136">
        <f>IF($F114="","",IFERROR(INDEX(사건마스터!$AU$5:$AU$64,MATCH($F114,사건마스터!$A$5:$A$64,0)),""))</f>
        <v/>
      </c>
      <c r="Y114" s="136">
        <f>IF($F114="","",IFERROR(INDEX(사건마스터!$AV$5:$AV$64,MATCH($F114,사건마스터!$A$5:$A$64,0)),""))</f>
        <v/>
      </c>
      <c r="Z114" s="118">
        <f>IF(COUNTBLANK($J114:$Y114)=16,"",16-COUNTBLANK($J114:$Y114))</f>
        <v/>
      </c>
      <c r="AA114" s="33">
        <f>IF($J114="",MID($AX114,3,255),$J114&amp;$AX114)</f>
        <v/>
      </c>
      <c r="AB114" s="130">
        <f>IF($J114="","",IFERROR(INDEX(코드설정!$D$5:$D$24,MATCH($J114,코드설정!$C$5:$C$24,0)),""))</f>
        <v/>
      </c>
      <c r="AC114" s="36" t="n"/>
      <c r="AD114" s="37" t="n"/>
      <c r="AE114" s="38" t="n"/>
      <c r="AF114" s="118">
        <f>IF(OR($B114="",$C114=""),"",$C114-$B114+1)</f>
        <v/>
      </c>
      <c r="AG114" s="74" t="n"/>
      <c r="AH114" s="36" t="n"/>
      <c r="AJ114">
        <f>IF($K114="","",", "&amp;$K114)</f>
        <v/>
      </c>
      <c r="AK114">
        <f>AJ114&amp;IF($L114="","",", "&amp;$L114)</f>
        <v/>
      </c>
      <c r="AL114">
        <f>AK114&amp;IF($M114="","",", "&amp;$M114)</f>
        <v/>
      </c>
      <c r="AM114">
        <f>AL114&amp;IF($N114="","",", "&amp;$N114)</f>
        <v/>
      </c>
      <c r="AN114">
        <f>AM114&amp;IF($O114="","",", "&amp;$O114)</f>
        <v/>
      </c>
      <c r="AO114">
        <f>AN114&amp;IF($P114="","",", "&amp;$P114)</f>
        <v/>
      </c>
      <c r="AP114">
        <f>AO114&amp;IF($Q114="","",", "&amp;$Q114)</f>
        <v/>
      </c>
      <c r="AQ114">
        <f>AP114&amp;IF($R114="","",", "&amp;$R114)</f>
        <v/>
      </c>
      <c r="AR114">
        <f>AQ114&amp;IF($S114="","",", "&amp;$S114)</f>
        <v/>
      </c>
      <c r="AS114">
        <f>AR114&amp;IF($T114="","",", "&amp;$T114)</f>
        <v/>
      </c>
      <c r="AT114">
        <f>AS114&amp;IF($U114="","",", "&amp;$U114)</f>
        <v/>
      </c>
      <c r="AU114">
        <f>AT114&amp;IF($V114="","",", "&amp;$V114)</f>
        <v/>
      </c>
      <c r="AV114">
        <f>AU114&amp;IF($W114="","",", "&amp;$W114)</f>
        <v/>
      </c>
      <c r="AW114">
        <f>AV114&amp;IF($X114="","",", "&amp;$X114)</f>
        <v/>
      </c>
      <c r="AX114">
        <f>AW114&amp;IF($Y114="","",", "&amp;$Y114)</f>
        <v/>
      </c>
    </row>
    <row r="115">
      <c r="A115" s="118">
        <f>IF($B115="","",COUNT($B$5:$B115))</f>
        <v/>
      </c>
      <c r="B115" s="80" t="n"/>
      <c r="C115" s="80" t="n"/>
      <c r="D115" s="74" t="n"/>
      <c r="E115" s="74" t="n"/>
      <c r="F115" s="74" t="n"/>
      <c r="G115" s="118">
        <f>IF($F115="","",COUNTIF($F$5:$F115,$F115))</f>
        <v/>
      </c>
      <c r="H115" s="33">
        <f>IF($F115="","",IFERROR(INDEX(사건마스터!$B$5:$B$64,MATCH($F115,사건마스터!$A$5:$A$64,0)),""))</f>
        <v/>
      </c>
      <c r="I115" s="130">
        <f>IF($F115="","",IFERROR(INDEX(사건마스터!$C$5:$C$64,MATCH($F115,사건마스터!$A$5:$A$64,0)),""))</f>
        <v/>
      </c>
      <c r="J115" s="136">
        <f>IF($F115="","",IFERROR(INDEX(사건마스터!$H$5:$H$64,MATCH($F115,사건마스터!$A$5:$A$64,0)),""))</f>
        <v/>
      </c>
      <c r="K115" s="136">
        <f>IF($F115="","",IFERROR(INDEX(사건마스터!$AH$5:$AH$64,MATCH($F115,사건마스터!$A$5:$A$64,0)),""))</f>
        <v/>
      </c>
      <c r="L115" s="136">
        <f>IF($F115="","",IFERROR(INDEX(사건마스터!$AI$5:$AI$64,MATCH($F115,사건마스터!$A$5:$A$64,0)),""))</f>
        <v/>
      </c>
      <c r="M115" s="136">
        <f>IF($F115="","",IFERROR(INDEX(사건마스터!$AJ$5:$AJ$64,MATCH($F115,사건마스터!$A$5:$A$64,0)),""))</f>
        <v/>
      </c>
      <c r="N115" s="136">
        <f>IF($F115="","",IFERROR(INDEX(사건마스터!$AK$5:$AK$64,MATCH($F115,사건마스터!$A$5:$A$64,0)),""))</f>
        <v/>
      </c>
      <c r="O115" s="136">
        <f>IF($F115="","",IFERROR(INDEX(사건마스터!$AL$5:$AL$64,MATCH($F115,사건마스터!$A$5:$A$64,0)),""))</f>
        <v/>
      </c>
      <c r="P115" s="136">
        <f>IF($F115="","",IFERROR(INDEX(사건마스터!$AM$5:$AM$64,MATCH($F115,사건마스터!$A$5:$A$64,0)),""))</f>
        <v/>
      </c>
      <c r="Q115" s="136">
        <f>IF($F115="","",IFERROR(INDEX(사건마스터!$AN$5:$AN$64,MATCH($F115,사건마스터!$A$5:$A$64,0)),""))</f>
        <v/>
      </c>
      <c r="R115" s="136">
        <f>IF($F115="","",IFERROR(INDEX(사건마스터!$AO$5:$AO$64,MATCH($F115,사건마스터!$A$5:$A$64,0)),""))</f>
        <v/>
      </c>
      <c r="S115" s="136">
        <f>IF($F115="","",IFERROR(INDEX(사건마스터!$AP$5:$AP$64,MATCH($F115,사건마스터!$A$5:$A$64,0)),""))</f>
        <v/>
      </c>
      <c r="T115" s="136">
        <f>IF($F115="","",IFERROR(INDEX(사건마스터!$AQ$5:$AQ$64,MATCH($F115,사건마스터!$A$5:$A$64,0)),""))</f>
        <v/>
      </c>
      <c r="U115" s="136">
        <f>IF($F115="","",IFERROR(INDEX(사건마스터!$AR$5:$AR$64,MATCH($F115,사건마스터!$A$5:$A$64,0)),""))</f>
        <v/>
      </c>
      <c r="V115" s="136">
        <f>IF($F115="","",IFERROR(INDEX(사건마스터!$AS$5:$AS$64,MATCH($F115,사건마스터!$A$5:$A$64,0)),""))</f>
        <v/>
      </c>
      <c r="W115" s="136">
        <f>IF($F115="","",IFERROR(INDEX(사건마스터!$AT$5:$AT$64,MATCH($F115,사건마스터!$A$5:$A$64,0)),""))</f>
        <v/>
      </c>
      <c r="X115" s="136">
        <f>IF($F115="","",IFERROR(INDEX(사건마스터!$AU$5:$AU$64,MATCH($F115,사건마스터!$A$5:$A$64,0)),""))</f>
        <v/>
      </c>
      <c r="Y115" s="136">
        <f>IF($F115="","",IFERROR(INDEX(사건마스터!$AV$5:$AV$64,MATCH($F115,사건마스터!$A$5:$A$64,0)),""))</f>
        <v/>
      </c>
      <c r="Z115" s="118">
        <f>IF(COUNTBLANK($J115:$Y115)=16,"",16-COUNTBLANK($J115:$Y115))</f>
        <v/>
      </c>
      <c r="AA115" s="33">
        <f>IF($J115="",MID($AX115,3,255),$J115&amp;$AX115)</f>
        <v/>
      </c>
      <c r="AB115" s="130">
        <f>IF($J115="","",IFERROR(INDEX(코드설정!$D$5:$D$24,MATCH($J115,코드설정!$C$5:$C$24,0)),""))</f>
        <v/>
      </c>
      <c r="AC115" s="36" t="n"/>
      <c r="AD115" s="37" t="n"/>
      <c r="AE115" s="38" t="n"/>
      <c r="AF115" s="118">
        <f>IF(OR($B115="",$C115=""),"",$C115-$B115+1)</f>
        <v/>
      </c>
      <c r="AG115" s="74" t="n"/>
      <c r="AH115" s="36" t="n"/>
      <c r="AJ115">
        <f>IF($K115="","",", "&amp;$K115)</f>
        <v/>
      </c>
      <c r="AK115">
        <f>AJ115&amp;IF($L115="","",", "&amp;$L115)</f>
        <v/>
      </c>
      <c r="AL115">
        <f>AK115&amp;IF($M115="","",", "&amp;$M115)</f>
        <v/>
      </c>
      <c r="AM115">
        <f>AL115&amp;IF($N115="","",", "&amp;$N115)</f>
        <v/>
      </c>
      <c r="AN115">
        <f>AM115&amp;IF($O115="","",", "&amp;$O115)</f>
        <v/>
      </c>
      <c r="AO115">
        <f>AN115&amp;IF($P115="","",", "&amp;$P115)</f>
        <v/>
      </c>
      <c r="AP115">
        <f>AO115&amp;IF($Q115="","",", "&amp;$Q115)</f>
        <v/>
      </c>
      <c r="AQ115">
        <f>AP115&amp;IF($R115="","",", "&amp;$R115)</f>
        <v/>
      </c>
      <c r="AR115">
        <f>AQ115&amp;IF($S115="","",", "&amp;$S115)</f>
        <v/>
      </c>
      <c r="AS115">
        <f>AR115&amp;IF($T115="","",", "&amp;$T115)</f>
        <v/>
      </c>
      <c r="AT115">
        <f>AS115&amp;IF($U115="","",", "&amp;$U115)</f>
        <v/>
      </c>
      <c r="AU115">
        <f>AT115&amp;IF($V115="","",", "&amp;$V115)</f>
        <v/>
      </c>
      <c r="AV115">
        <f>AU115&amp;IF($W115="","",", "&amp;$W115)</f>
        <v/>
      </c>
      <c r="AW115">
        <f>AV115&amp;IF($X115="","",", "&amp;$X115)</f>
        <v/>
      </c>
      <c r="AX115">
        <f>AW115&amp;IF($Y115="","",", "&amp;$Y115)</f>
        <v/>
      </c>
    </row>
    <row r="116">
      <c r="A116" s="118">
        <f>IF($B116="","",COUNT($B$5:$B116))</f>
        <v/>
      </c>
      <c r="B116" s="80" t="n"/>
      <c r="C116" s="80" t="n"/>
      <c r="D116" s="74" t="n"/>
      <c r="E116" s="74" t="n"/>
      <c r="F116" s="74" t="n"/>
      <c r="G116" s="118">
        <f>IF($F116="","",COUNTIF($F$5:$F116,$F116))</f>
        <v/>
      </c>
      <c r="H116" s="33">
        <f>IF($F116="","",IFERROR(INDEX(사건마스터!$B$5:$B$64,MATCH($F116,사건마스터!$A$5:$A$64,0)),""))</f>
        <v/>
      </c>
      <c r="I116" s="130">
        <f>IF($F116="","",IFERROR(INDEX(사건마스터!$C$5:$C$64,MATCH($F116,사건마스터!$A$5:$A$64,0)),""))</f>
        <v/>
      </c>
      <c r="J116" s="136">
        <f>IF($F116="","",IFERROR(INDEX(사건마스터!$H$5:$H$64,MATCH($F116,사건마스터!$A$5:$A$64,0)),""))</f>
        <v/>
      </c>
      <c r="K116" s="136">
        <f>IF($F116="","",IFERROR(INDEX(사건마스터!$AH$5:$AH$64,MATCH($F116,사건마스터!$A$5:$A$64,0)),""))</f>
        <v/>
      </c>
      <c r="L116" s="136">
        <f>IF($F116="","",IFERROR(INDEX(사건마스터!$AI$5:$AI$64,MATCH($F116,사건마스터!$A$5:$A$64,0)),""))</f>
        <v/>
      </c>
      <c r="M116" s="136">
        <f>IF($F116="","",IFERROR(INDEX(사건마스터!$AJ$5:$AJ$64,MATCH($F116,사건마스터!$A$5:$A$64,0)),""))</f>
        <v/>
      </c>
      <c r="N116" s="136">
        <f>IF($F116="","",IFERROR(INDEX(사건마스터!$AK$5:$AK$64,MATCH($F116,사건마스터!$A$5:$A$64,0)),""))</f>
        <v/>
      </c>
      <c r="O116" s="136">
        <f>IF($F116="","",IFERROR(INDEX(사건마스터!$AL$5:$AL$64,MATCH($F116,사건마스터!$A$5:$A$64,0)),""))</f>
        <v/>
      </c>
      <c r="P116" s="136">
        <f>IF($F116="","",IFERROR(INDEX(사건마스터!$AM$5:$AM$64,MATCH($F116,사건마스터!$A$5:$A$64,0)),""))</f>
        <v/>
      </c>
      <c r="Q116" s="136">
        <f>IF($F116="","",IFERROR(INDEX(사건마스터!$AN$5:$AN$64,MATCH($F116,사건마스터!$A$5:$A$64,0)),""))</f>
        <v/>
      </c>
      <c r="R116" s="136">
        <f>IF($F116="","",IFERROR(INDEX(사건마스터!$AO$5:$AO$64,MATCH($F116,사건마스터!$A$5:$A$64,0)),""))</f>
        <v/>
      </c>
      <c r="S116" s="136">
        <f>IF($F116="","",IFERROR(INDEX(사건마스터!$AP$5:$AP$64,MATCH($F116,사건마스터!$A$5:$A$64,0)),""))</f>
        <v/>
      </c>
      <c r="T116" s="136">
        <f>IF($F116="","",IFERROR(INDEX(사건마스터!$AQ$5:$AQ$64,MATCH($F116,사건마스터!$A$5:$A$64,0)),""))</f>
        <v/>
      </c>
      <c r="U116" s="136">
        <f>IF($F116="","",IFERROR(INDEX(사건마스터!$AR$5:$AR$64,MATCH($F116,사건마스터!$A$5:$A$64,0)),""))</f>
        <v/>
      </c>
      <c r="V116" s="136">
        <f>IF($F116="","",IFERROR(INDEX(사건마스터!$AS$5:$AS$64,MATCH($F116,사건마스터!$A$5:$A$64,0)),""))</f>
        <v/>
      </c>
      <c r="W116" s="136">
        <f>IF($F116="","",IFERROR(INDEX(사건마스터!$AT$5:$AT$64,MATCH($F116,사건마스터!$A$5:$A$64,0)),""))</f>
        <v/>
      </c>
      <c r="X116" s="136">
        <f>IF($F116="","",IFERROR(INDEX(사건마스터!$AU$5:$AU$64,MATCH($F116,사건마스터!$A$5:$A$64,0)),""))</f>
        <v/>
      </c>
      <c r="Y116" s="136">
        <f>IF($F116="","",IFERROR(INDEX(사건마스터!$AV$5:$AV$64,MATCH($F116,사건마스터!$A$5:$A$64,0)),""))</f>
        <v/>
      </c>
      <c r="Z116" s="118">
        <f>IF(COUNTBLANK($J116:$Y116)=16,"",16-COUNTBLANK($J116:$Y116))</f>
        <v/>
      </c>
      <c r="AA116" s="33">
        <f>IF($J116="",MID($AX116,3,255),$J116&amp;$AX116)</f>
        <v/>
      </c>
      <c r="AB116" s="130">
        <f>IF($J116="","",IFERROR(INDEX(코드설정!$D$5:$D$24,MATCH($J116,코드설정!$C$5:$C$24,0)),""))</f>
        <v/>
      </c>
      <c r="AC116" s="36" t="n"/>
      <c r="AD116" s="37" t="n"/>
      <c r="AE116" s="38" t="n"/>
      <c r="AF116" s="118">
        <f>IF(OR($B116="",$C116=""),"",$C116-$B116+1)</f>
        <v/>
      </c>
      <c r="AG116" s="74" t="n"/>
      <c r="AH116" s="36" t="n"/>
      <c r="AJ116">
        <f>IF($K116="","",", "&amp;$K116)</f>
        <v/>
      </c>
      <c r="AK116">
        <f>AJ116&amp;IF($L116="","",", "&amp;$L116)</f>
        <v/>
      </c>
      <c r="AL116">
        <f>AK116&amp;IF($M116="","",", "&amp;$M116)</f>
        <v/>
      </c>
      <c r="AM116">
        <f>AL116&amp;IF($N116="","",", "&amp;$N116)</f>
        <v/>
      </c>
      <c r="AN116">
        <f>AM116&amp;IF($O116="","",", "&amp;$O116)</f>
        <v/>
      </c>
      <c r="AO116">
        <f>AN116&amp;IF($P116="","",", "&amp;$P116)</f>
        <v/>
      </c>
      <c r="AP116">
        <f>AO116&amp;IF($Q116="","",", "&amp;$Q116)</f>
        <v/>
      </c>
      <c r="AQ116">
        <f>AP116&amp;IF($R116="","",", "&amp;$R116)</f>
        <v/>
      </c>
      <c r="AR116">
        <f>AQ116&amp;IF($S116="","",", "&amp;$S116)</f>
        <v/>
      </c>
      <c r="AS116">
        <f>AR116&amp;IF($T116="","",", "&amp;$T116)</f>
        <v/>
      </c>
      <c r="AT116">
        <f>AS116&amp;IF($U116="","",", "&amp;$U116)</f>
        <v/>
      </c>
      <c r="AU116">
        <f>AT116&amp;IF($V116="","",", "&amp;$V116)</f>
        <v/>
      </c>
      <c r="AV116">
        <f>AU116&amp;IF($W116="","",", "&amp;$W116)</f>
        <v/>
      </c>
      <c r="AW116">
        <f>AV116&amp;IF($X116="","",", "&amp;$X116)</f>
        <v/>
      </c>
      <c r="AX116">
        <f>AW116&amp;IF($Y116="","",", "&amp;$Y116)</f>
        <v/>
      </c>
    </row>
    <row r="117">
      <c r="A117" s="118">
        <f>IF($B117="","",COUNT($B$5:$B117))</f>
        <v/>
      </c>
      <c r="B117" s="80" t="n"/>
      <c r="C117" s="80" t="n"/>
      <c r="D117" s="74" t="n"/>
      <c r="E117" s="74" t="n"/>
      <c r="F117" s="74" t="n"/>
      <c r="G117" s="118">
        <f>IF($F117="","",COUNTIF($F$5:$F117,$F117))</f>
        <v/>
      </c>
      <c r="H117" s="33">
        <f>IF($F117="","",IFERROR(INDEX(사건마스터!$B$5:$B$64,MATCH($F117,사건마스터!$A$5:$A$64,0)),""))</f>
        <v/>
      </c>
      <c r="I117" s="130">
        <f>IF($F117="","",IFERROR(INDEX(사건마스터!$C$5:$C$64,MATCH($F117,사건마스터!$A$5:$A$64,0)),""))</f>
        <v/>
      </c>
      <c r="J117" s="136">
        <f>IF($F117="","",IFERROR(INDEX(사건마스터!$H$5:$H$64,MATCH($F117,사건마스터!$A$5:$A$64,0)),""))</f>
        <v/>
      </c>
      <c r="K117" s="136">
        <f>IF($F117="","",IFERROR(INDEX(사건마스터!$AH$5:$AH$64,MATCH($F117,사건마스터!$A$5:$A$64,0)),""))</f>
        <v/>
      </c>
      <c r="L117" s="136">
        <f>IF($F117="","",IFERROR(INDEX(사건마스터!$AI$5:$AI$64,MATCH($F117,사건마스터!$A$5:$A$64,0)),""))</f>
        <v/>
      </c>
      <c r="M117" s="136">
        <f>IF($F117="","",IFERROR(INDEX(사건마스터!$AJ$5:$AJ$64,MATCH($F117,사건마스터!$A$5:$A$64,0)),""))</f>
        <v/>
      </c>
      <c r="N117" s="136">
        <f>IF($F117="","",IFERROR(INDEX(사건마스터!$AK$5:$AK$64,MATCH($F117,사건마스터!$A$5:$A$64,0)),""))</f>
        <v/>
      </c>
      <c r="O117" s="136">
        <f>IF($F117="","",IFERROR(INDEX(사건마스터!$AL$5:$AL$64,MATCH($F117,사건마스터!$A$5:$A$64,0)),""))</f>
        <v/>
      </c>
      <c r="P117" s="136">
        <f>IF($F117="","",IFERROR(INDEX(사건마스터!$AM$5:$AM$64,MATCH($F117,사건마스터!$A$5:$A$64,0)),""))</f>
        <v/>
      </c>
      <c r="Q117" s="136">
        <f>IF($F117="","",IFERROR(INDEX(사건마스터!$AN$5:$AN$64,MATCH($F117,사건마스터!$A$5:$A$64,0)),""))</f>
        <v/>
      </c>
      <c r="R117" s="136">
        <f>IF($F117="","",IFERROR(INDEX(사건마스터!$AO$5:$AO$64,MATCH($F117,사건마스터!$A$5:$A$64,0)),""))</f>
        <v/>
      </c>
      <c r="S117" s="136">
        <f>IF($F117="","",IFERROR(INDEX(사건마스터!$AP$5:$AP$64,MATCH($F117,사건마스터!$A$5:$A$64,0)),""))</f>
        <v/>
      </c>
      <c r="T117" s="136">
        <f>IF($F117="","",IFERROR(INDEX(사건마스터!$AQ$5:$AQ$64,MATCH($F117,사건마스터!$A$5:$A$64,0)),""))</f>
        <v/>
      </c>
      <c r="U117" s="136">
        <f>IF($F117="","",IFERROR(INDEX(사건마스터!$AR$5:$AR$64,MATCH($F117,사건마스터!$A$5:$A$64,0)),""))</f>
        <v/>
      </c>
      <c r="V117" s="136">
        <f>IF($F117="","",IFERROR(INDEX(사건마스터!$AS$5:$AS$64,MATCH($F117,사건마스터!$A$5:$A$64,0)),""))</f>
        <v/>
      </c>
      <c r="W117" s="136">
        <f>IF($F117="","",IFERROR(INDEX(사건마스터!$AT$5:$AT$64,MATCH($F117,사건마스터!$A$5:$A$64,0)),""))</f>
        <v/>
      </c>
      <c r="X117" s="136">
        <f>IF($F117="","",IFERROR(INDEX(사건마스터!$AU$5:$AU$64,MATCH($F117,사건마스터!$A$5:$A$64,0)),""))</f>
        <v/>
      </c>
      <c r="Y117" s="136">
        <f>IF($F117="","",IFERROR(INDEX(사건마스터!$AV$5:$AV$64,MATCH($F117,사건마스터!$A$5:$A$64,0)),""))</f>
        <v/>
      </c>
      <c r="Z117" s="118">
        <f>IF(COUNTBLANK($J117:$Y117)=16,"",16-COUNTBLANK($J117:$Y117))</f>
        <v/>
      </c>
      <c r="AA117" s="33">
        <f>IF($J117="",MID($AX117,3,255),$J117&amp;$AX117)</f>
        <v/>
      </c>
      <c r="AB117" s="130">
        <f>IF($J117="","",IFERROR(INDEX(코드설정!$D$5:$D$24,MATCH($J117,코드설정!$C$5:$C$24,0)),""))</f>
        <v/>
      </c>
      <c r="AC117" s="36" t="n"/>
      <c r="AD117" s="37" t="n"/>
      <c r="AE117" s="38" t="n"/>
      <c r="AF117" s="118">
        <f>IF(OR($B117="",$C117=""),"",$C117-$B117+1)</f>
        <v/>
      </c>
      <c r="AG117" s="74" t="n"/>
      <c r="AH117" s="36" t="n"/>
      <c r="AJ117">
        <f>IF($K117="","",", "&amp;$K117)</f>
        <v/>
      </c>
      <c r="AK117">
        <f>AJ117&amp;IF($L117="","",", "&amp;$L117)</f>
        <v/>
      </c>
      <c r="AL117">
        <f>AK117&amp;IF($M117="","",", "&amp;$M117)</f>
        <v/>
      </c>
      <c r="AM117">
        <f>AL117&amp;IF($N117="","",", "&amp;$N117)</f>
        <v/>
      </c>
      <c r="AN117">
        <f>AM117&amp;IF($O117="","",", "&amp;$O117)</f>
        <v/>
      </c>
      <c r="AO117">
        <f>AN117&amp;IF($P117="","",", "&amp;$P117)</f>
        <v/>
      </c>
      <c r="AP117">
        <f>AO117&amp;IF($Q117="","",", "&amp;$Q117)</f>
        <v/>
      </c>
      <c r="AQ117">
        <f>AP117&amp;IF($R117="","",", "&amp;$R117)</f>
        <v/>
      </c>
      <c r="AR117">
        <f>AQ117&amp;IF($S117="","",", "&amp;$S117)</f>
        <v/>
      </c>
      <c r="AS117">
        <f>AR117&amp;IF($T117="","",", "&amp;$T117)</f>
        <v/>
      </c>
      <c r="AT117">
        <f>AS117&amp;IF($U117="","",", "&amp;$U117)</f>
        <v/>
      </c>
      <c r="AU117">
        <f>AT117&amp;IF($V117="","",", "&amp;$V117)</f>
        <v/>
      </c>
      <c r="AV117">
        <f>AU117&amp;IF($W117="","",", "&amp;$W117)</f>
        <v/>
      </c>
      <c r="AW117">
        <f>AV117&amp;IF($X117="","",", "&amp;$X117)</f>
        <v/>
      </c>
      <c r="AX117">
        <f>AW117&amp;IF($Y117="","",", "&amp;$Y117)</f>
        <v/>
      </c>
    </row>
    <row r="118">
      <c r="A118" s="118">
        <f>IF($B118="","",COUNT($B$5:$B118))</f>
        <v/>
      </c>
      <c r="B118" s="80" t="n"/>
      <c r="C118" s="80" t="n"/>
      <c r="D118" s="74" t="n"/>
      <c r="E118" s="74" t="n"/>
      <c r="F118" s="74" t="n"/>
      <c r="G118" s="118">
        <f>IF($F118="","",COUNTIF($F$5:$F118,$F118))</f>
        <v/>
      </c>
      <c r="H118" s="33">
        <f>IF($F118="","",IFERROR(INDEX(사건마스터!$B$5:$B$64,MATCH($F118,사건마스터!$A$5:$A$64,0)),""))</f>
        <v/>
      </c>
      <c r="I118" s="130">
        <f>IF($F118="","",IFERROR(INDEX(사건마스터!$C$5:$C$64,MATCH($F118,사건마스터!$A$5:$A$64,0)),""))</f>
        <v/>
      </c>
      <c r="J118" s="136">
        <f>IF($F118="","",IFERROR(INDEX(사건마스터!$H$5:$H$64,MATCH($F118,사건마스터!$A$5:$A$64,0)),""))</f>
        <v/>
      </c>
      <c r="K118" s="136">
        <f>IF($F118="","",IFERROR(INDEX(사건마스터!$AH$5:$AH$64,MATCH($F118,사건마스터!$A$5:$A$64,0)),""))</f>
        <v/>
      </c>
      <c r="L118" s="136">
        <f>IF($F118="","",IFERROR(INDEX(사건마스터!$AI$5:$AI$64,MATCH($F118,사건마스터!$A$5:$A$64,0)),""))</f>
        <v/>
      </c>
      <c r="M118" s="136">
        <f>IF($F118="","",IFERROR(INDEX(사건마스터!$AJ$5:$AJ$64,MATCH($F118,사건마스터!$A$5:$A$64,0)),""))</f>
        <v/>
      </c>
      <c r="N118" s="136">
        <f>IF($F118="","",IFERROR(INDEX(사건마스터!$AK$5:$AK$64,MATCH($F118,사건마스터!$A$5:$A$64,0)),""))</f>
        <v/>
      </c>
      <c r="O118" s="136">
        <f>IF($F118="","",IFERROR(INDEX(사건마스터!$AL$5:$AL$64,MATCH($F118,사건마스터!$A$5:$A$64,0)),""))</f>
        <v/>
      </c>
      <c r="P118" s="136">
        <f>IF($F118="","",IFERROR(INDEX(사건마스터!$AM$5:$AM$64,MATCH($F118,사건마스터!$A$5:$A$64,0)),""))</f>
        <v/>
      </c>
      <c r="Q118" s="136">
        <f>IF($F118="","",IFERROR(INDEX(사건마스터!$AN$5:$AN$64,MATCH($F118,사건마스터!$A$5:$A$64,0)),""))</f>
        <v/>
      </c>
      <c r="R118" s="136">
        <f>IF($F118="","",IFERROR(INDEX(사건마스터!$AO$5:$AO$64,MATCH($F118,사건마스터!$A$5:$A$64,0)),""))</f>
        <v/>
      </c>
      <c r="S118" s="136">
        <f>IF($F118="","",IFERROR(INDEX(사건마스터!$AP$5:$AP$64,MATCH($F118,사건마스터!$A$5:$A$64,0)),""))</f>
        <v/>
      </c>
      <c r="T118" s="136">
        <f>IF($F118="","",IFERROR(INDEX(사건마스터!$AQ$5:$AQ$64,MATCH($F118,사건마스터!$A$5:$A$64,0)),""))</f>
        <v/>
      </c>
      <c r="U118" s="136">
        <f>IF($F118="","",IFERROR(INDEX(사건마스터!$AR$5:$AR$64,MATCH($F118,사건마스터!$A$5:$A$64,0)),""))</f>
        <v/>
      </c>
      <c r="V118" s="136">
        <f>IF($F118="","",IFERROR(INDEX(사건마스터!$AS$5:$AS$64,MATCH($F118,사건마스터!$A$5:$A$64,0)),""))</f>
        <v/>
      </c>
      <c r="W118" s="136">
        <f>IF($F118="","",IFERROR(INDEX(사건마스터!$AT$5:$AT$64,MATCH($F118,사건마스터!$A$5:$A$64,0)),""))</f>
        <v/>
      </c>
      <c r="X118" s="136">
        <f>IF($F118="","",IFERROR(INDEX(사건마스터!$AU$5:$AU$64,MATCH($F118,사건마스터!$A$5:$A$64,0)),""))</f>
        <v/>
      </c>
      <c r="Y118" s="136">
        <f>IF($F118="","",IFERROR(INDEX(사건마스터!$AV$5:$AV$64,MATCH($F118,사건마스터!$A$5:$A$64,0)),""))</f>
        <v/>
      </c>
      <c r="Z118" s="118">
        <f>IF(COUNTBLANK($J118:$Y118)=16,"",16-COUNTBLANK($J118:$Y118))</f>
        <v/>
      </c>
      <c r="AA118" s="33">
        <f>IF($J118="",MID($AX118,3,255),$J118&amp;$AX118)</f>
        <v/>
      </c>
      <c r="AB118" s="130">
        <f>IF($J118="","",IFERROR(INDEX(코드설정!$D$5:$D$24,MATCH($J118,코드설정!$C$5:$C$24,0)),""))</f>
        <v/>
      </c>
      <c r="AC118" s="36" t="n"/>
      <c r="AD118" s="37" t="n"/>
      <c r="AE118" s="38" t="n"/>
      <c r="AF118" s="118">
        <f>IF(OR($B118="",$C118=""),"",$C118-$B118+1)</f>
        <v/>
      </c>
      <c r="AG118" s="74" t="n"/>
      <c r="AH118" s="36" t="n"/>
      <c r="AJ118">
        <f>IF($K118="","",", "&amp;$K118)</f>
        <v/>
      </c>
      <c r="AK118">
        <f>AJ118&amp;IF($L118="","",", "&amp;$L118)</f>
        <v/>
      </c>
      <c r="AL118">
        <f>AK118&amp;IF($M118="","",", "&amp;$M118)</f>
        <v/>
      </c>
      <c r="AM118">
        <f>AL118&amp;IF($N118="","",", "&amp;$N118)</f>
        <v/>
      </c>
      <c r="AN118">
        <f>AM118&amp;IF($O118="","",", "&amp;$O118)</f>
        <v/>
      </c>
      <c r="AO118">
        <f>AN118&amp;IF($P118="","",", "&amp;$P118)</f>
        <v/>
      </c>
      <c r="AP118">
        <f>AO118&amp;IF($Q118="","",", "&amp;$Q118)</f>
        <v/>
      </c>
      <c r="AQ118">
        <f>AP118&amp;IF($R118="","",", "&amp;$R118)</f>
        <v/>
      </c>
      <c r="AR118">
        <f>AQ118&amp;IF($S118="","",", "&amp;$S118)</f>
        <v/>
      </c>
      <c r="AS118">
        <f>AR118&amp;IF($T118="","",", "&amp;$T118)</f>
        <v/>
      </c>
      <c r="AT118">
        <f>AS118&amp;IF($U118="","",", "&amp;$U118)</f>
        <v/>
      </c>
      <c r="AU118">
        <f>AT118&amp;IF($V118="","",", "&amp;$V118)</f>
        <v/>
      </c>
      <c r="AV118">
        <f>AU118&amp;IF($W118="","",", "&amp;$W118)</f>
        <v/>
      </c>
      <c r="AW118">
        <f>AV118&amp;IF($X118="","",", "&amp;$X118)</f>
        <v/>
      </c>
      <c r="AX118">
        <f>AW118&amp;IF($Y118="","",", "&amp;$Y118)</f>
        <v/>
      </c>
    </row>
    <row r="119">
      <c r="A119" s="118">
        <f>IF($B119="","",COUNT($B$5:$B119))</f>
        <v/>
      </c>
      <c r="B119" s="80" t="n"/>
      <c r="C119" s="80" t="n"/>
      <c r="D119" s="74" t="n"/>
      <c r="E119" s="74" t="n"/>
      <c r="F119" s="74" t="n"/>
      <c r="G119" s="118">
        <f>IF($F119="","",COUNTIF($F$5:$F119,$F119))</f>
        <v/>
      </c>
      <c r="H119" s="33">
        <f>IF($F119="","",IFERROR(INDEX(사건마스터!$B$5:$B$64,MATCH($F119,사건마스터!$A$5:$A$64,0)),""))</f>
        <v/>
      </c>
      <c r="I119" s="130">
        <f>IF($F119="","",IFERROR(INDEX(사건마스터!$C$5:$C$64,MATCH($F119,사건마스터!$A$5:$A$64,0)),""))</f>
        <v/>
      </c>
      <c r="J119" s="136">
        <f>IF($F119="","",IFERROR(INDEX(사건마스터!$H$5:$H$64,MATCH($F119,사건마스터!$A$5:$A$64,0)),""))</f>
        <v/>
      </c>
      <c r="K119" s="136">
        <f>IF($F119="","",IFERROR(INDEX(사건마스터!$AH$5:$AH$64,MATCH($F119,사건마스터!$A$5:$A$64,0)),""))</f>
        <v/>
      </c>
      <c r="L119" s="136">
        <f>IF($F119="","",IFERROR(INDEX(사건마스터!$AI$5:$AI$64,MATCH($F119,사건마스터!$A$5:$A$64,0)),""))</f>
        <v/>
      </c>
      <c r="M119" s="136">
        <f>IF($F119="","",IFERROR(INDEX(사건마스터!$AJ$5:$AJ$64,MATCH($F119,사건마스터!$A$5:$A$64,0)),""))</f>
        <v/>
      </c>
      <c r="N119" s="136">
        <f>IF($F119="","",IFERROR(INDEX(사건마스터!$AK$5:$AK$64,MATCH($F119,사건마스터!$A$5:$A$64,0)),""))</f>
        <v/>
      </c>
      <c r="O119" s="136">
        <f>IF($F119="","",IFERROR(INDEX(사건마스터!$AL$5:$AL$64,MATCH($F119,사건마스터!$A$5:$A$64,0)),""))</f>
        <v/>
      </c>
      <c r="P119" s="136">
        <f>IF($F119="","",IFERROR(INDEX(사건마스터!$AM$5:$AM$64,MATCH($F119,사건마스터!$A$5:$A$64,0)),""))</f>
        <v/>
      </c>
      <c r="Q119" s="136">
        <f>IF($F119="","",IFERROR(INDEX(사건마스터!$AN$5:$AN$64,MATCH($F119,사건마스터!$A$5:$A$64,0)),""))</f>
        <v/>
      </c>
      <c r="R119" s="136">
        <f>IF($F119="","",IFERROR(INDEX(사건마스터!$AO$5:$AO$64,MATCH($F119,사건마스터!$A$5:$A$64,0)),""))</f>
        <v/>
      </c>
      <c r="S119" s="136">
        <f>IF($F119="","",IFERROR(INDEX(사건마스터!$AP$5:$AP$64,MATCH($F119,사건마스터!$A$5:$A$64,0)),""))</f>
        <v/>
      </c>
      <c r="T119" s="136">
        <f>IF($F119="","",IFERROR(INDEX(사건마스터!$AQ$5:$AQ$64,MATCH($F119,사건마스터!$A$5:$A$64,0)),""))</f>
        <v/>
      </c>
      <c r="U119" s="136">
        <f>IF($F119="","",IFERROR(INDEX(사건마스터!$AR$5:$AR$64,MATCH($F119,사건마스터!$A$5:$A$64,0)),""))</f>
        <v/>
      </c>
      <c r="V119" s="136">
        <f>IF($F119="","",IFERROR(INDEX(사건마스터!$AS$5:$AS$64,MATCH($F119,사건마스터!$A$5:$A$64,0)),""))</f>
        <v/>
      </c>
      <c r="W119" s="136">
        <f>IF($F119="","",IFERROR(INDEX(사건마스터!$AT$5:$AT$64,MATCH($F119,사건마스터!$A$5:$A$64,0)),""))</f>
        <v/>
      </c>
      <c r="X119" s="136">
        <f>IF($F119="","",IFERROR(INDEX(사건마스터!$AU$5:$AU$64,MATCH($F119,사건마스터!$A$5:$A$64,0)),""))</f>
        <v/>
      </c>
      <c r="Y119" s="136">
        <f>IF($F119="","",IFERROR(INDEX(사건마스터!$AV$5:$AV$64,MATCH($F119,사건마스터!$A$5:$A$64,0)),""))</f>
        <v/>
      </c>
      <c r="Z119" s="118">
        <f>IF(COUNTBLANK($J119:$Y119)=16,"",16-COUNTBLANK($J119:$Y119))</f>
        <v/>
      </c>
      <c r="AA119" s="33">
        <f>IF($J119="",MID($AX119,3,255),$J119&amp;$AX119)</f>
        <v/>
      </c>
      <c r="AB119" s="130">
        <f>IF($J119="","",IFERROR(INDEX(코드설정!$D$5:$D$24,MATCH($J119,코드설정!$C$5:$C$24,0)),""))</f>
        <v/>
      </c>
      <c r="AC119" s="36" t="n"/>
      <c r="AD119" s="37" t="n"/>
      <c r="AE119" s="38" t="n"/>
      <c r="AF119" s="118">
        <f>IF(OR($B119="",$C119=""),"",$C119-$B119+1)</f>
        <v/>
      </c>
      <c r="AG119" s="74" t="n"/>
      <c r="AH119" s="36" t="n"/>
      <c r="AJ119">
        <f>IF($K119="","",", "&amp;$K119)</f>
        <v/>
      </c>
      <c r="AK119">
        <f>AJ119&amp;IF($L119="","",", "&amp;$L119)</f>
        <v/>
      </c>
      <c r="AL119">
        <f>AK119&amp;IF($M119="","",", "&amp;$M119)</f>
        <v/>
      </c>
      <c r="AM119">
        <f>AL119&amp;IF($N119="","",", "&amp;$N119)</f>
        <v/>
      </c>
      <c r="AN119">
        <f>AM119&amp;IF($O119="","",", "&amp;$O119)</f>
        <v/>
      </c>
      <c r="AO119">
        <f>AN119&amp;IF($P119="","",", "&amp;$P119)</f>
        <v/>
      </c>
      <c r="AP119">
        <f>AO119&amp;IF($Q119="","",", "&amp;$Q119)</f>
        <v/>
      </c>
      <c r="AQ119">
        <f>AP119&amp;IF($R119="","",", "&amp;$R119)</f>
        <v/>
      </c>
      <c r="AR119">
        <f>AQ119&amp;IF($S119="","",", "&amp;$S119)</f>
        <v/>
      </c>
      <c r="AS119">
        <f>AR119&amp;IF($T119="","",", "&amp;$T119)</f>
        <v/>
      </c>
      <c r="AT119">
        <f>AS119&amp;IF($U119="","",", "&amp;$U119)</f>
        <v/>
      </c>
      <c r="AU119">
        <f>AT119&amp;IF($V119="","",", "&amp;$V119)</f>
        <v/>
      </c>
      <c r="AV119">
        <f>AU119&amp;IF($W119="","",", "&amp;$W119)</f>
        <v/>
      </c>
      <c r="AW119">
        <f>AV119&amp;IF($X119="","",", "&amp;$X119)</f>
        <v/>
      </c>
      <c r="AX119">
        <f>AW119&amp;IF($Y119="","",", "&amp;$Y119)</f>
        <v/>
      </c>
    </row>
    <row r="120">
      <c r="A120" s="118">
        <f>IF($B120="","",COUNT($B$5:$B120))</f>
        <v/>
      </c>
      <c r="B120" s="80" t="n"/>
      <c r="C120" s="80" t="n"/>
      <c r="D120" s="74" t="n"/>
      <c r="E120" s="74" t="n"/>
      <c r="F120" s="74" t="n"/>
      <c r="G120" s="118">
        <f>IF($F120="","",COUNTIF($F$5:$F120,$F120))</f>
        <v/>
      </c>
      <c r="H120" s="33">
        <f>IF($F120="","",IFERROR(INDEX(사건마스터!$B$5:$B$64,MATCH($F120,사건마스터!$A$5:$A$64,0)),""))</f>
        <v/>
      </c>
      <c r="I120" s="130">
        <f>IF($F120="","",IFERROR(INDEX(사건마스터!$C$5:$C$64,MATCH($F120,사건마스터!$A$5:$A$64,0)),""))</f>
        <v/>
      </c>
      <c r="J120" s="136">
        <f>IF($F120="","",IFERROR(INDEX(사건마스터!$H$5:$H$64,MATCH($F120,사건마스터!$A$5:$A$64,0)),""))</f>
        <v/>
      </c>
      <c r="K120" s="136">
        <f>IF($F120="","",IFERROR(INDEX(사건마스터!$AH$5:$AH$64,MATCH($F120,사건마스터!$A$5:$A$64,0)),""))</f>
        <v/>
      </c>
      <c r="L120" s="136">
        <f>IF($F120="","",IFERROR(INDEX(사건마스터!$AI$5:$AI$64,MATCH($F120,사건마스터!$A$5:$A$64,0)),""))</f>
        <v/>
      </c>
      <c r="M120" s="136">
        <f>IF($F120="","",IFERROR(INDEX(사건마스터!$AJ$5:$AJ$64,MATCH($F120,사건마스터!$A$5:$A$64,0)),""))</f>
        <v/>
      </c>
      <c r="N120" s="136">
        <f>IF($F120="","",IFERROR(INDEX(사건마스터!$AK$5:$AK$64,MATCH($F120,사건마스터!$A$5:$A$64,0)),""))</f>
        <v/>
      </c>
      <c r="O120" s="136">
        <f>IF($F120="","",IFERROR(INDEX(사건마스터!$AL$5:$AL$64,MATCH($F120,사건마스터!$A$5:$A$64,0)),""))</f>
        <v/>
      </c>
      <c r="P120" s="136">
        <f>IF($F120="","",IFERROR(INDEX(사건마스터!$AM$5:$AM$64,MATCH($F120,사건마스터!$A$5:$A$64,0)),""))</f>
        <v/>
      </c>
      <c r="Q120" s="136">
        <f>IF($F120="","",IFERROR(INDEX(사건마스터!$AN$5:$AN$64,MATCH($F120,사건마스터!$A$5:$A$64,0)),""))</f>
        <v/>
      </c>
      <c r="R120" s="136">
        <f>IF($F120="","",IFERROR(INDEX(사건마스터!$AO$5:$AO$64,MATCH($F120,사건마스터!$A$5:$A$64,0)),""))</f>
        <v/>
      </c>
      <c r="S120" s="136">
        <f>IF($F120="","",IFERROR(INDEX(사건마스터!$AP$5:$AP$64,MATCH($F120,사건마스터!$A$5:$A$64,0)),""))</f>
        <v/>
      </c>
      <c r="T120" s="136">
        <f>IF($F120="","",IFERROR(INDEX(사건마스터!$AQ$5:$AQ$64,MATCH($F120,사건마스터!$A$5:$A$64,0)),""))</f>
        <v/>
      </c>
      <c r="U120" s="136">
        <f>IF($F120="","",IFERROR(INDEX(사건마스터!$AR$5:$AR$64,MATCH($F120,사건마스터!$A$5:$A$64,0)),""))</f>
        <v/>
      </c>
      <c r="V120" s="136">
        <f>IF($F120="","",IFERROR(INDEX(사건마스터!$AS$5:$AS$64,MATCH($F120,사건마스터!$A$5:$A$64,0)),""))</f>
        <v/>
      </c>
      <c r="W120" s="136">
        <f>IF($F120="","",IFERROR(INDEX(사건마스터!$AT$5:$AT$64,MATCH($F120,사건마스터!$A$5:$A$64,0)),""))</f>
        <v/>
      </c>
      <c r="X120" s="136">
        <f>IF($F120="","",IFERROR(INDEX(사건마스터!$AU$5:$AU$64,MATCH($F120,사건마스터!$A$5:$A$64,0)),""))</f>
        <v/>
      </c>
      <c r="Y120" s="136">
        <f>IF($F120="","",IFERROR(INDEX(사건마스터!$AV$5:$AV$64,MATCH($F120,사건마스터!$A$5:$A$64,0)),""))</f>
        <v/>
      </c>
      <c r="Z120" s="118">
        <f>IF(COUNTBLANK($J120:$Y120)=16,"",16-COUNTBLANK($J120:$Y120))</f>
        <v/>
      </c>
      <c r="AA120" s="33">
        <f>IF($J120="",MID($AX120,3,255),$J120&amp;$AX120)</f>
        <v/>
      </c>
      <c r="AB120" s="130">
        <f>IF($J120="","",IFERROR(INDEX(코드설정!$D$5:$D$24,MATCH($J120,코드설정!$C$5:$C$24,0)),""))</f>
        <v/>
      </c>
      <c r="AC120" s="36" t="n"/>
      <c r="AD120" s="37" t="n"/>
      <c r="AE120" s="38" t="n"/>
      <c r="AF120" s="118">
        <f>IF(OR($B120="",$C120=""),"",$C120-$B120+1)</f>
        <v/>
      </c>
      <c r="AG120" s="74" t="n"/>
      <c r="AH120" s="36" t="n"/>
      <c r="AJ120">
        <f>IF($K120="","",", "&amp;$K120)</f>
        <v/>
      </c>
      <c r="AK120">
        <f>AJ120&amp;IF($L120="","",", "&amp;$L120)</f>
        <v/>
      </c>
      <c r="AL120">
        <f>AK120&amp;IF($M120="","",", "&amp;$M120)</f>
        <v/>
      </c>
      <c r="AM120">
        <f>AL120&amp;IF($N120="","",", "&amp;$N120)</f>
        <v/>
      </c>
      <c r="AN120">
        <f>AM120&amp;IF($O120="","",", "&amp;$O120)</f>
        <v/>
      </c>
      <c r="AO120">
        <f>AN120&amp;IF($P120="","",", "&amp;$P120)</f>
        <v/>
      </c>
      <c r="AP120">
        <f>AO120&amp;IF($Q120="","",", "&amp;$Q120)</f>
        <v/>
      </c>
      <c r="AQ120">
        <f>AP120&amp;IF($R120="","",", "&amp;$R120)</f>
        <v/>
      </c>
      <c r="AR120">
        <f>AQ120&amp;IF($S120="","",", "&amp;$S120)</f>
        <v/>
      </c>
      <c r="AS120">
        <f>AR120&amp;IF($T120="","",", "&amp;$T120)</f>
        <v/>
      </c>
      <c r="AT120">
        <f>AS120&amp;IF($U120="","",", "&amp;$U120)</f>
        <v/>
      </c>
      <c r="AU120">
        <f>AT120&amp;IF($V120="","",", "&amp;$V120)</f>
        <v/>
      </c>
      <c r="AV120">
        <f>AU120&amp;IF($W120="","",", "&amp;$W120)</f>
        <v/>
      </c>
      <c r="AW120">
        <f>AV120&amp;IF($X120="","",", "&amp;$X120)</f>
        <v/>
      </c>
      <c r="AX120">
        <f>AW120&amp;IF($Y120="","",", "&amp;$Y120)</f>
        <v/>
      </c>
    </row>
    <row r="121">
      <c r="A121" s="118">
        <f>IF($B121="","",COUNT($B$5:$B121))</f>
        <v/>
      </c>
      <c r="B121" s="80" t="n"/>
      <c r="C121" s="80" t="n"/>
      <c r="D121" s="74" t="n"/>
      <c r="E121" s="74" t="n"/>
      <c r="F121" s="74" t="n"/>
      <c r="G121" s="118">
        <f>IF($F121="","",COUNTIF($F$5:$F121,$F121))</f>
        <v/>
      </c>
      <c r="H121" s="33">
        <f>IF($F121="","",IFERROR(INDEX(사건마스터!$B$5:$B$64,MATCH($F121,사건마스터!$A$5:$A$64,0)),""))</f>
        <v/>
      </c>
      <c r="I121" s="130">
        <f>IF($F121="","",IFERROR(INDEX(사건마스터!$C$5:$C$64,MATCH($F121,사건마스터!$A$5:$A$64,0)),""))</f>
        <v/>
      </c>
      <c r="J121" s="136">
        <f>IF($F121="","",IFERROR(INDEX(사건마스터!$H$5:$H$64,MATCH($F121,사건마스터!$A$5:$A$64,0)),""))</f>
        <v/>
      </c>
      <c r="K121" s="136">
        <f>IF($F121="","",IFERROR(INDEX(사건마스터!$AH$5:$AH$64,MATCH($F121,사건마스터!$A$5:$A$64,0)),""))</f>
        <v/>
      </c>
      <c r="L121" s="136">
        <f>IF($F121="","",IFERROR(INDEX(사건마스터!$AI$5:$AI$64,MATCH($F121,사건마스터!$A$5:$A$64,0)),""))</f>
        <v/>
      </c>
      <c r="M121" s="136">
        <f>IF($F121="","",IFERROR(INDEX(사건마스터!$AJ$5:$AJ$64,MATCH($F121,사건마스터!$A$5:$A$64,0)),""))</f>
        <v/>
      </c>
      <c r="N121" s="136">
        <f>IF($F121="","",IFERROR(INDEX(사건마스터!$AK$5:$AK$64,MATCH($F121,사건마스터!$A$5:$A$64,0)),""))</f>
        <v/>
      </c>
      <c r="O121" s="136">
        <f>IF($F121="","",IFERROR(INDEX(사건마스터!$AL$5:$AL$64,MATCH($F121,사건마스터!$A$5:$A$64,0)),""))</f>
        <v/>
      </c>
      <c r="P121" s="136">
        <f>IF($F121="","",IFERROR(INDEX(사건마스터!$AM$5:$AM$64,MATCH($F121,사건마스터!$A$5:$A$64,0)),""))</f>
        <v/>
      </c>
      <c r="Q121" s="136">
        <f>IF($F121="","",IFERROR(INDEX(사건마스터!$AN$5:$AN$64,MATCH($F121,사건마스터!$A$5:$A$64,0)),""))</f>
        <v/>
      </c>
      <c r="R121" s="136">
        <f>IF($F121="","",IFERROR(INDEX(사건마스터!$AO$5:$AO$64,MATCH($F121,사건마스터!$A$5:$A$64,0)),""))</f>
        <v/>
      </c>
      <c r="S121" s="136">
        <f>IF($F121="","",IFERROR(INDEX(사건마스터!$AP$5:$AP$64,MATCH($F121,사건마스터!$A$5:$A$64,0)),""))</f>
        <v/>
      </c>
      <c r="T121" s="136">
        <f>IF($F121="","",IFERROR(INDEX(사건마스터!$AQ$5:$AQ$64,MATCH($F121,사건마스터!$A$5:$A$64,0)),""))</f>
        <v/>
      </c>
      <c r="U121" s="136">
        <f>IF($F121="","",IFERROR(INDEX(사건마스터!$AR$5:$AR$64,MATCH($F121,사건마스터!$A$5:$A$64,0)),""))</f>
        <v/>
      </c>
      <c r="V121" s="136">
        <f>IF($F121="","",IFERROR(INDEX(사건마스터!$AS$5:$AS$64,MATCH($F121,사건마스터!$A$5:$A$64,0)),""))</f>
        <v/>
      </c>
      <c r="W121" s="136">
        <f>IF($F121="","",IFERROR(INDEX(사건마스터!$AT$5:$AT$64,MATCH($F121,사건마스터!$A$5:$A$64,0)),""))</f>
        <v/>
      </c>
      <c r="X121" s="136">
        <f>IF($F121="","",IFERROR(INDEX(사건마스터!$AU$5:$AU$64,MATCH($F121,사건마스터!$A$5:$A$64,0)),""))</f>
        <v/>
      </c>
      <c r="Y121" s="136">
        <f>IF($F121="","",IFERROR(INDEX(사건마스터!$AV$5:$AV$64,MATCH($F121,사건마스터!$A$5:$A$64,0)),""))</f>
        <v/>
      </c>
      <c r="Z121" s="118">
        <f>IF(COUNTBLANK($J121:$Y121)=16,"",16-COUNTBLANK($J121:$Y121))</f>
        <v/>
      </c>
      <c r="AA121" s="33">
        <f>IF($J121="",MID($AX121,3,255),$J121&amp;$AX121)</f>
        <v/>
      </c>
      <c r="AB121" s="130">
        <f>IF($J121="","",IFERROR(INDEX(코드설정!$D$5:$D$24,MATCH($J121,코드설정!$C$5:$C$24,0)),""))</f>
        <v/>
      </c>
      <c r="AC121" s="36" t="n"/>
      <c r="AD121" s="37" t="n"/>
      <c r="AE121" s="38" t="n"/>
      <c r="AF121" s="118">
        <f>IF(OR($B121="",$C121=""),"",$C121-$B121+1)</f>
        <v/>
      </c>
      <c r="AG121" s="74" t="n"/>
      <c r="AH121" s="36" t="n"/>
      <c r="AJ121">
        <f>IF($K121="","",", "&amp;$K121)</f>
        <v/>
      </c>
      <c r="AK121">
        <f>AJ121&amp;IF($L121="","",", "&amp;$L121)</f>
        <v/>
      </c>
      <c r="AL121">
        <f>AK121&amp;IF($M121="","",", "&amp;$M121)</f>
        <v/>
      </c>
      <c r="AM121">
        <f>AL121&amp;IF($N121="","",", "&amp;$N121)</f>
        <v/>
      </c>
      <c r="AN121">
        <f>AM121&amp;IF($O121="","",", "&amp;$O121)</f>
        <v/>
      </c>
      <c r="AO121">
        <f>AN121&amp;IF($P121="","",", "&amp;$P121)</f>
        <v/>
      </c>
      <c r="AP121">
        <f>AO121&amp;IF($Q121="","",", "&amp;$Q121)</f>
        <v/>
      </c>
      <c r="AQ121">
        <f>AP121&amp;IF($R121="","",", "&amp;$R121)</f>
        <v/>
      </c>
      <c r="AR121">
        <f>AQ121&amp;IF($S121="","",", "&amp;$S121)</f>
        <v/>
      </c>
      <c r="AS121">
        <f>AR121&amp;IF($T121="","",", "&amp;$T121)</f>
        <v/>
      </c>
      <c r="AT121">
        <f>AS121&amp;IF($U121="","",", "&amp;$U121)</f>
        <v/>
      </c>
      <c r="AU121">
        <f>AT121&amp;IF($V121="","",", "&amp;$V121)</f>
        <v/>
      </c>
      <c r="AV121">
        <f>AU121&amp;IF($W121="","",", "&amp;$W121)</f>
        <v/>
      </c>
      <c r="AW121">
        <f>AV121&amp;IF($X121="","",", "&amp;$X121)</f>
        <v/>
      </c>
      <c r="AX121">
        <f>AW121&amp;IF($Y121="","",", "&amp;$Y121)</f>
        <v/>
      </c>
    </row>
    <row r="122">
      <c r="A122" s="118">
        <f>IF($B122="","",COUNT($B$5:$B122))</f>
        <v/>
      </c>
      <c r="B122" s="80" t="n"/>
      <c r="C122" s="80" t="n"/>
      <c r="D122" s="74" t="n"/>
      <c r="E122" s="74" t="n"/>
      <c r="F122" s="74" t="n"/>
      <c r="G122" s="118">
        <f>IF($F122="","",COUNTIF($F$5:$F122,$F122))</f>
        <v/>
      </c>
      <c r="H122" s="33">
        <f>IF($F122="","",IFERROR(INDEX(사건마스터!$B$5:$B$64,MATCH($F122,사건마스터!$A$5:$A$64,0)),""))</f>
        <v/>
      </c>
      <c r="I122" s="130">
        <f>IF($F122="","",IFERROR(INDEX(사건마스터!$C$5:$C$64,MATCH($F122,사건마스터!$A$5:$A$64,0)),""))</f>
        <v/>
      </c>
      <c r="J122" s="136">
        <f>IF($F122="","",IFERROR(INDEX(사건마스터!$H$5:$H$64,MATCH($F122,사건마스터!$A$5:$A$64,0)),""))</f>
        <v/>
      </c>
      <c r="K122" s="136">
        <f>IF($F122="","",IFERROR(INDEX(사건마스터!$AH$5:$AH$64,MATCH($F122,사건마스터!$A$5:$A$64,0)),""))</f>
        <v/>
      </c>
      <c r="L122" s="136">
        <f>IF($F122="","",IFERROR(INDEX(사건마스터!$AI$5:$AI$64,MATCH($F122,사건마스터!$A$5:$A$64,0)),""))</f>
        <v/>
      </c>
      <c r="M122" s="136">
        <f>IF($F122="","",IFERROR(INDEX(사건마스터!$AJ$5:$AJ$64,MATCH($F122,사건마스터!$A$5:$A$64,0)),""))</f>
        <v/>
      </c>
      <c r="N122" s="136">
        <f>IF($F122="","",IFERROR(INDEX(사건마스터!$AK$5:$AK$64,MATCH($F122,사건마스터!$A$5:$A$64,0)),""))</f>
        <v/>
      </c>
      <c r="O122" s="136">
        <f>IF($F122="","",IFERROR(INDEX(사건마스터!$AL$5:$AL$64,MATCH($F122,사건마스터!$A$5:$A$64,0)),""))</f>
        <v/>
      </c>
      <c r="P122" s="136">
        <f>IF($F122="","",IFERROR(INDEX(사건마스터!$AM$5:$AM$64,MATCH($F122,사건마스터!$A$5:$A$64,0)),""))</f>
        <v/>
      </c>
      <c r="Q122" s="136">
        <f>IF($F122="","",IFERROR(INDEX(사건마스터!$AN$5:$AN$64,MATCH($F122,사건마스터!$A$5:$A$64,0)),""))</f>
        <v/>
      </c>
      <c r="R122" s="136">
        <f>IF($F122="","",IFERROR(INDEX(사건마스터!$AO$5:$AO$64,MATCH($F122,사건마스터!$A$5:$A$64,0)),""))</f>
        <v/>
      </c>
      <c r="S122" s="136">
        <f>IF($F122="","",IFERROR(INDEX(사건마스터!$AP$5:$AP$64,MATCH($F122,사건마스터!$A$5:$A$64,0)),""))</f>
        <v/>
      </c>
      <c r="T122" s="136">
        <f>IF($F122="","",IFERROR(INDEX(사건마스터!$AQ$5:$AQ$64,MATCH($F122,사건마스터!$A$5:$A$64,0)),""))</f>
        <v/>
      </c>
      <c r="U122" s="136">
        <f>IF($F122="","",IFERROR(INDEX(사건마스터!$AR$5:$AR$64,MATCH($F122,사건마스터!$A$5:$A$64,0)),""))</f>
        <v/>
      </c>
      <c r="V122" s="136">
        <f>IF($F122="","",IFERROR(INDEX(사건마스터!$AS$5:$AS$64,MATCH($F122,사건마스터!$A$5:$A$64,0)),""))</f>
        <v/>
      </c>
      <c r="W122" s="136">
        <f>IF($F122="","",IFERROR(INDEX(사건마스터!$AT$5:$AT$64,MATCH($F122,사건마스터!$A$5:$A$64,0)),""))</f>
        <v/>
      </c>
      <c r="X122" s="136">
        <f>IF($F122="","",IFERROR(INDEX(사건마스터!$AU$5:$AU$64,MATCH($F122,사건마스터!$A$5:$A$64,0)),""))</f>
        <v/>
      </c>
      <c r="Y122" s="136">
        <f>IF($F122="","",IFERROR(INDEX(사건마스터!$AV$5:$AV$64,MATCH($F122,사건마스터!$A$5:$A$64,0)),""))</f>
        <v/>
      </c>
      <c r="Z122" s="118">
        <f>IF(COUNTBLANK($J122:$Y122)=16,"",16-COUNTBLANK($J122:$Y122))</f>
        <v/>
      </c>
      <c r="AA122" s="33">
        <f>IF($J122="",MID($AX122,3,255),$J122&amp;$AX122)</f>
        <v/>
      </c>
      <c r="AB122" s="130">
        <f>IF($J122="","",IFERROR(INDEX(코드설정!$D$5:$D$24,MATCH($J122,코드설정!$C$5:$C$24,0)),""))</f>
        <v/>
      </c>
      <c r="AC122" s="36" t="n"/>
      <c r="AD122" s="37" t="n"/>
      <c r="AE122" s="38" t="n"/>
      <c r="AF122" s="118">
        <f>IF(OR($B122="",$C122=""),"",$C122-$B122+1)</f>
        <v/>
      </c>
      <c r="AG122" s="74" t="n"/>
      <c r="AH122" s="36" t="n"/>
      <c r="AJ122">
        <f>IF($K122="","",", "&amp;$K122)</f>
        <v/>
      </c>
      <c r="AK122">
        <f>AJ122&amp;IF($L122="","",", "&amp;$L122)</f>
        <v/>
      </c>
      <c r="AL122">
        <f>AK122&amp;IF($M122="","",", "&amp;$M122)</f>
        <v/>
      </c>
      <c r="AM122">
        <f>AL122&amp;IF($N122="","",", "&amp;$N122)</f>
        <v/>
      </c>
      <c r="AN122">
        <f>AM122&amp;IF($O122="","",", "&amp;$O122)</f>
        <v/>
      </c>
      <c r="AO122">
        <f>AN122&amp;IF($P122="","",", "&amp;$P122)</f>
        <v/>
      </c>
      <c r="AP122">
        <f>AO122&amp;IF($Q122="","",", "&amp;$Q122)</f>
        <v/>
      </c>
      <c r="AQ122">
        <f>AP122&amp;IF($R122="","",", "&amp;$R122)</f>
        <v/>
      </c>
      <c r="AR122">
        <f>AQ122&amp;IF($S122="","",", "&amp;$S122)</f>
        <v/>
      </c>
      <c r="AS122">
        <f>AR122&amp;IF($T122="","",", "&amp;$T122)</f>
        <v/>
      </c>
      <c r="AT122">
        <f>AS122&amp;IF($U122="","",", "&amp;$U122)</f>
        <v/>
      </c>
      <c r="AU122">
        <f>AT122&amp;IF($V122="","",", "&amp;$V122)</f>
        <v/>
      </c>
      <c r="AV122">
        <f>AU122&amp;IF($W122="","",", "&amp;$W122)</f>
        <v/>
      </c>
      <c r="AW122">
        <f>AV122&amp;IF($X122="","",", "&amp;$X122)</f>
        <v/>
      </c>
      <c r="AX122">
        <f>AW122&amp;IF($Y122="","",", "&amp;$Y122)</f>
        <v/>
      </c>
    </row>
    <row r="123">
      <c r="A123" s="118">
        <f>IF($B123="","",COUNT($B$5:$B123))</f>
        <v/>
      </c>
      <c r="B123" s="80" t="n"/>
      <c r="C123" s="80" t="n"/>
      <c r="D123" s="74" t="n"/>
      <c r="E123" s="74" t="n"/>
      <c r="F123" s="74" t="n"/>
      <c r="G123" s="118">
        <f>IF($F123="","",COUNTIF($F$5:$F123,$F123))</f>
        <v/>
      </c>
      <c r="H123" s="33">
        <f>IF($F123="","",IFERROR(INDEX(사건마스터!$B$5:$B$64,MATCH($F123,사건마스터!$A$5:$A$64,0)),""))</f>
        <v/>
      </c>
      <c r="I123" s="130">
        <f>IF($F123="","",IFERROR(INDEX(사건마스터!$C$5:$C$64,MATCH($F123,사건마스터!$A$5:$A$64,0)),""))</f>
        <v/>
      </c>
      <c r="J123" s="136">
        <f>IF($F123="","",IFERROR(INDEX(사건마스터!$H$5:$H$64,MATCH($F123,사건마스터!$A$5:$A$64,0)),""))</f>
        <v/>
      </c>
      <c r="K123" s="136">
        <f>IF($F123="","",IFERROR(INDEX(사건마스터!$AH$5:$AH$64,MATCH($F123,사건마스터!$A$5:$A$64,0)),""))</f>
        <v/>
      </c>
      <c r="L123" s="136">
        <f>IF($F123="","",IFERROR(INDEX(사건마스터!$AI$5:$AI$64,MATCH($F123,사건마스터!$A$5:$A$64,0)),""))</f>
        <v/>
      </c>
      <c r="M123" s="136">
        <f>IF($F123="","",IFERROR(INDEX(사건마스터!$AJ$5:$AJ$64,MATCH($F123,사건마스터!$A$5:$A$64,0)),""))</f>
        <v/>
      </c>
      <c r="N123" s="136">
        <f>IF($F123="","",IFERROR(INDEX(사건마스터!$AK$5:$AK$64,MATCH($F123,사건마스터!$A$5:$A$64,0)),""))</f>
        <v/>
      </c>
      <c r="O123" s="136">
        <f>IF($F123="","",IFERROR(INDEX(사건마스터!$AL$5:$AL$64,MATCH($F123,사건마스터!$A$5:$A$64,0)),""))</f>
        <v/>
      </c>
      <c r="P123" s="136">
        <f>IF($F123="","",IFERROR(INDEX(사건마스터!$AM$5:$AM$64,MATCH($F123,사건마스터!$A$5:$A$64,0)),""))</f>
        <v/>
      </c>
      <c r="Q123" s="136">
        <f>IF($F123="","",IFERROR(INDEX(사건마스터!$AN$5:$AN$64,MATCH($F123,사건마스터!$A$5:$A$64,0)),""))</f>
        <v/>
      </c>
      <c r="R123" s="136">
        <f>IF($F123="","",IFERROR(INDEX(사건마스터!$AO$5:$AO$64,MATCH($F123,사건마스터!$A$5:$A$64,0)),""))</f>
        <v/>
      </c>
      <c r="S123" s="136">
        <f>IF($F123="","",IFERROR(INDEX(사건마스터!$AP$5:$AP$64,MATCH($F123,사건마스터!$A$5:$A$64,0)),""))</f>
        <v/>
      </c>
      <c r="T123" s="136">
        <f>IF($F123="","",IFERROR(INDEX(사건마스터!$AQ$5:$AQ$64,MATCH($F123,사건마스터!$A$5:$A$64,0)),""))</f>
        <v/>
      </c>
      <c r="U123" s="136">
        <f>IF($F123="","",IFERROR(INDEX(사건마스터!$AR$5:$AR$64,MATCH($F123,사건마스터!$A$5:$A$64,0)),""))</f>
        <v/>
      </c>
      <c r="V123" s="136">
        <f>IF($F123="","",IFERROR(INDEX(사건마스터!$AS$5:$AS$64,MATCH($F123,사건마스터!$A$5:$A$64,0)),""))</f>
        <v/>
      </c>
      <c r="W123" s="136">
        <f>IF($F123="","",IFERROR(INDEX(사건마스터!$AT$5:$AT$64,MATCH($F123,사건마스터!$A$5:$A$64,0)),""))</f>
        <v/>
      </c>
      <c r="X123" s="136">
        <f>IF($F123="","",IFERROR(INDEX(사건마스터!$AU$5:$AU$64,MATCH($F123,사건마스터!$A$5:$A$64,0)),""))</f>
        <v/>
      </c>
      <c r="Y123" s="136">
        <f>IF($F123="","",IFERROR(INDEX(사건마스터!$AV$5:$AV$64,MATCH($F123,사건마스터!$A$5:$A$64,0)),""))</f>
        <v/>
      </c>
      <c r="Z123" s="118">
        <f>IF(COUNTBLANK($J123:$Y123)=16,"",16-COUNTBLANK($J123:$Y123))</f>
        <v/>
      </c>
      <c r="AA123" s="33">
        <f>IF($J123="",MID($AX123,3,255),$J123&amp;$AX123)</f>
        <v/>
      </c>
      <c r="AB123" s="130">
        <f>IF($J123="","",IFERROR(INDEX(코드설정!$D$5:$D$24,MATCH($J123,코드설정!$C$5:$C$24,0)),""))</f>
        <v/>
      </c>
      <c r="AC123" s="36" t="n"/>
      <c r="AD123" s="37" t="n"/>
      <c r="AE123" s="38" t="n"/>
      <c r="AF123" s="118">
        <f>IF(OR($B123="",$C123=""),"",$C123-$B123+1)</f>
        <v/>
      </c>
      <c r="AG123" s="74" t="n"/>
      <c r="AH123" s="36" t="n"/>
      <c r="AJ123">
        <f>IF($K123="","",", "&amp;$K123)</f>
        <v/>
      </c>
      <c r="AK123">
        <f>AJ123&amp;IF($L123="","",", "&amp;$L123)</f>
        <v/>
      </c>
      <c r="AL123">
        <f>AK123&amp;IF($M123="","",", "&amp;$M123)</f>
        <v/>
      </c>
      <c r="AM123">
        <f>AL123&amp;IF($N123="","",", "&amp;$N123)</f>
        <v/>
      </c>
      <c r="AN123">
        <f>AM123&amp;IF($O123="","",", "&amp;$O123)</f>
        <v/>
      </c>
      <c r="AO123">
        <f>AN123&amp;IF($P123="","",", "&amp;$P123)</f>
        <v/>
      </c>
      <c r="AP123">
        <f>AO123&amp;IF($Q123="","",", "&amp;$Q123)</f>
        <v/>
      </c>
      <c r="AQ123">
        <f>AP123&amp;IF($R123="","",", "&amp;$R123)</f>
        <v/>
      </c>
      <c r="AR123">
        <f>AQ123&amp;IF($S123="","",", "&amp;$S123)</f>
        <v/>
      </c>
      <c r="AS123">
        <f>AR123&amp;IF($T123="","",", "&amp;$T123)</f>
        <v/>
      </c>
      <c r="AT123">
        <f>AS123&amp;IF($U123="","",", "&amp;$U123)</f>
        <v/>
      </c>
      <c r="AU123">
        <f>AT123&amp;IF($V123="","",", "&amp;$V123)</f>
        <v/>
      </c>
      <c r="AV123">
        <f>AU123&amp;IF($W123="","",", "&amp;$W123)</f>
        <v/>
      </c>
      <c r="AW123">
        <f>AV123&amp;IF($X123="","",", "&amp;$X123)</f>
        <v/>
      </c>
      <c r="AX123">
        <f>AW123&amp;IF($Y123="","",", "&amp;$Y123)</f>
        <v/>
      </c>
    </row>
    <row r="124">
      <c r="A124" s="118">
        <f>IF($B124="","",COUNT($B$5:$B124))</f>
        <v/>
      </c>
      <c r="B124" s="80" t="n"/>
      <c r="C124" s="80" t="n"/>
      <c r="D124" s="74" t="n"/>
      <c r="E124" s="74" t="n"/>
      <c r="F124" s="74" t="n"/>
      <c r="G124" s="118">
        <f>IF($F124="","",COUNTIF($F$5:$F124,$F124))</f>
        <v/>
      </c>
      <c r="H124" s="33">
        <f>IF($F124="","",IFERROR(INDEX(사건마스터!$B$5:$B$64,MATCH($F124,사건마스터!$A$5:$A$64,0)),""))</f>
        <v/>
      </c>
      <c r="I124" s="130">
        <f>IF($F124="","",IFERROR(INDEX(사건마스터!$C$5:$C$64,MATCH($F124,사건마스터!$A$5:$A$64,0)),""))</f>
        <v/>
      </c>
      <c r="J124" s="136">
        <f>IF($F124="","",IFERROR(INDEX(사건마스터!$H$5:$H$64,MATCH($F124,사건마스터!$A$5:$A$64,0)),""))</f>
        <v/>
      </c>
      <c r="K124" s="136">
        <f>IF($F124="","",IFERROR(INDEX(사건마스터!$AH$5:$AH$64,MATCH($F124,사건마스터!$A$5:$A$64,0)),""))</f>
        <v/>
      </c>
      <c r="L124" s="136">
        <f>IF($F124="","",IFERROR(INDEX(사건마스터!$AI$5:$AI$64,MATCH($F124,사건마스터!$A$5:$A$64,0)),""))</f>
        <v/>
      </c>
      <c r="M124" s="136">
        <f>IF($F124="","",IFERROR(INDEX(사건마스터!$AJ$5:$AJ$64,MATCH($F124,사건마스터!$A$5:$A$64,0)),""))</f>
        <v/>
      </c>
      <c r="N124" s="136">
        <f>IF($F124="","",IFERROR(INDEX(사건마스터!$AK$5:$AK$64,MATCH($F124,사건마스터!$A$5:$A$64,0)),""))</f>
        <v/>
      </c>
      <c r="O124" s="136">
        <f>IF($F124="","",IFERROR(INDEX(사건마스터!$AL$5:$AL$64,MATCH($F124,사건마스터!$A$5:$A$64,0)),""))</f>
        <v/>
      </c>
      <c r="P124" s="136">
        <f>IF($F124="","",IFERROR(INDEX(사건마스터!$AM$5:$AM$64,MATCH($F124,사건마스터!$A$5:$A$64,0)),""))</f>
        <v/>
      </c>
      <c r="Q124" s="136">
        <f>IF($F124="","",IFERROR(INDEX(사건마스터!$AN$5:$AN$64,MATCH($F124,사건마스터!$A$5:$A$64,0)),""))</f>
        <v/>
      </c>
      <c r="R124" s="136">
        <f>IF($F124="","",IFERROR(INDEX(사건마스터!$AO$5:$AO$64,MATCH($F124,사건마스터!$A$5:$A$64,0)),""))</f>
        <v/>
      </c>
      <c r="S124" s="136">
        <f>IF($F124="","",IFERROR(INDEX(사건마스터!$AP$5:$AP$64,MATCH($F124,사건마스터!$A$5:$A$64,0)),""))</f>
        <v/>
      </c>
      <c r="T124" s="136">
        <f>IF($F124="","",IFERROR(INDEX(사건마스터!$AQ$5:$AQ$64,MATCH($F124,사건마스터!$A$5:$A$64,0)),""))</f>
        <v/>
      </c>
      <c r="U124" s="136">
        <f>IF($F124="","",IFERROR(INDEX(사건마스터!$AR$5:$AR$64,MATCH($F124,사건마스터!$A$5:$A$64,0)),""))</f>
        <v/>
      </c>
      <c r="V124" s="136">
        <f>IF($F124="","",IFERROR(INDEX(사건마스터!$AS$5:$AS$64,MATCH($F124,사건마스터!$A$5:$A$64,0)),""))</f>
        <v/>
      </c>
      <c r="W124" s="136">
        <f>IF($F124="","",IFERROR(INDEX(사건마스터!$AT$5:$AT$64,MATCH($F124,사건마스터!$A$5:$A$64,0)),""))</f>
        <v/>
      </c>
      <c r="X124" s="136">
        <f>IF($F124="","",IFERROR(INDEX(사건마스터!$AU$5:$AU$64,MATCH($F124,사건마스터!$A$5:$A$64,0)),""))</f>
        <v/>
      </c>
      <c r="Y124" s="136">
        <f>IF($F124="","",IFERROR(INDEX(사건마스터!$AV$5:$AV$64,MATCH($F124,사건마스터!$A$5:$A$64,0)),""))</f>
        <v/>
      </c>
      <c r="Z124" s="118">
        <f>IF(COUNTBLANK($J124:$Y124)=16,"",16-COUNTBLANK($J124:$Y124))</f>
        <v/>
      </c>
      <c r="AA124" s="33">
        <f>IF($J124="",MID($AX124,3,255),$J124&amp;$AX124)</f>
        <v/>
      </c>
      <c r="AB124" s="130">
        <f>IF($J124="","",IFERROR(INDEX(코드설정!$D$5:$D$24,MATCH($J124,코드설정!$C$5:$C$24,0)),""))</f>
        <v/>
      </c>
      <c r="AC124" s="36" t="n"/>
      <c r="AD124" s="37" t="n"/>
      <c r="AE124" s="38" t="n"/>
      <c r="AF124" s="118">
        <f>IF(OR($B124="",$C124=""),"",$C124-$B124+1)</f>
        <v/>
      </c>
      <c r="AG124" s="74" t="n"/>
      <c r="AH124" s="36" t="n"/>
      <c r="AJ124">
        <f>IF($K124="","",", "&amp;$K124)</f>
        <v/>
      </c>
      <c r="AK124">
        <f>AJ124&amp;IF($L124="","",", "&amp;$L124)</f>
        <v/>
      </c>
      <c r="AL124">
        <f>AK124&amp;IF($M124="","",", "&amp;$M124)</f>
        <v/>
      </c>
      <c r="AM124">
        <f>AL124&amp;IF($N124="","",", "&amp;$N124)</f>
        <v/>
      </c>
      <c r="AN124">
        <f>AM124&amp;IF($O124="","",", "&amp;$O124)</f>
        <v/>
      </c>
      <c r="AO124">
        <f>AN124&amp;IF($P124="","",", "&amp;$P124)</f>
        <v/>
      </c>
      <c r="AP124">
        <f>AO124&amp;IF($Q124="","",", "&amp;$Q124)</f>
        <v/>
      </c>
      <c r="AQ124">
        <f>AP124&amp;IF($R124="","",", "&amp;$R124)</f>
        <v/>
      </c>
      <c r="AR124">
        <f>AQ124&amp;IF($S124="","",", "&amp;$S124)</f>
        <v/>
      </c>
      <c r="AS124">
        <f>AR124&amp;IF($T124="","",", "&amp;$T124)</f>
        <v/>
      </c>
      <c r="AT124">
        <f>AS124&amp;IF($U124="","",", "&amp;$U124)</f>
        <v/>
      </c>
      <c r="AU124">
        <f>AT124&amp;IF($V124="","",", "&amp;$V124)</f>
        <v/>
      </c>
      <c r="AV124">
        <f>AU124&amp;IF($W124="","",", "&amp;$W124)</f>
        <v/>
      </c>
      <c r="AW124">
        <f>AV124&amp;IF($X124="","",", "&amp;$X124)</f>
        <v/>
      </c>
      <c r="AX124">
        <f>AW124&amp;IF($Y124="","",", "&amp;$Y124)</f>
        <v/>
      </c>
    </row>
    <row r="125">
      <c r="A125" s="118">
        <f>IF($B125="","",COUNT($B$5:$B125))</f>
        <v/>
      </c>
      <c r="B125" s="80" t="n"/>
      <c r="C125" s="80" t="n"/>
      <c r="D125" s="74" t="n"/>
      <c r="E125" s="74" t="n"/>
      <c r="F125" s="74" t="n"/>
      <c r="G125" s="118">
        <f>IF($F125="","",COUNTIF($F$5:$F125,$F125))</f>
        <v/>
      </c>
      <c r="H125" s="33">
        <f>IF($F125="","",IFERROR(INDEX(사건마스터!$B$5:$B$64,MATCH($F125,사건마스터!$A$5:$A$64,0)),""))</f>
        <v/>
      </c>
      <c r="I125" s="130">
        <f>IF($F125="","",IFERROR(INDEX(사건마스터!$C$5:$C$64,MATCH($F125,사건마스터!$A$5:$A$64,0)),""))</f>
        <v/>
      </c>
      <c r="J125" s="136">
        <f>IF($F125="","",IFERROR(INDEX(사건마스터!$H$5:$H$64,MATCH($F125,사건마스터!$A$5:$A$64,0)),""))</f>
        <v/>
      </c>
      <c r="K125" s="136">
        <f>IF($F125="","",IFERROR(INDEX(사건마스터!$AH$5:$AH$64,MATCH($F125,사건마스터!$A$5:$A$64,0)),""))</f>
        <v/>
      </c>
      <c r="L125" s="136">
        <f>IF($F125="","",IFERROR(INDEX(사건마스터!$AI$5:$AI$64,MATCH($F125,사건마스터!$A$5:$A$64,0)),""))</f>
        <v/>
      </c>
      <c r="M125" s="136">
        <f>IF($F125="","",IFERROR(INDEX(사건마스터!$AJ$5:$AJ$64,MATCH($F125,사건마스터!$A$5:$A$64,0)),""))</f>
        <v/>
      </c>
      <c r="N125" s="136">
        <f>IF($F125="","",IFERROR(INDEX(사건마스터!$AK$5:$AK$64,MATCH($F125,사건마스터!$A$5:$A$64,0)),""))</f>
        <v/>
      </c>
      <c r="O125" s="136">
        <f>IF($F125="","",IFERROR(INDEX(사건마스터!$AL$5:$AL$64,MATCH($F125,사건마스터!$A$5:$A$64,0)),""))</f>
        <v/>
      </c>
      <c r="P125" s="136">
        <f>IF($F125="","",IFERROR(INDEX(사건마스터!$AM$5:$AM$64,MATCH($F125,사건마스터!$A$5:$A$64,0)),""))</f>
        <v/>
      </c>
      <c r="Q125" s="136">
        <f>IF($F125="","",IFERROR(INDEX(사건마스터!$AN$5:$AN$64,MATCH($F125,사건마스터!$A$5:$A$64,0)),""))</f>
        <v/>
      </c>
      <c r="R125" s="136">
        <f>IF($F125="","",IFERROR(INDEX(사건마스터!$AO$5:$AO$64,MATCH($F125,사건마스터!$A$5:$A$64,0)),""))</f>
        <v/>
      </c>
      <c r="S125" s="136">
        <f>IF($F125="","",IFERROR(INDEX(사건마스터!$AP$5:$AP$64,MATCH($F125,사건마스터!$A$5:$A$64,0)),""))</f>
        <v/>
      </c>
      <c r="T125" s="136">
        <f>IF($F125="","",IFERROR(INDEX(사건마스터!$AQ$5:$AQ$64,MATCH($F125,사건마스터!$A$5:$A$64,0)),""))</f>
        <v/>
      </c>
      <c r="U125" s="136">
        <f>IF($F125="","",IFERROR(INDEX(사건마스터!$AR$5:$AR$64,MATCH($F125,사건마스터!$A$5:$A$64,0)),""))</f>
        <v/>
      </c>
      <c r="V125" s="136">
        <f>IF($F125="","",IFERROR(INDEX(사건마스터!$AS$5:$AS$64,MATCH($F125,사건마스터!$A$5:$A$64,0)),""))</f>
        <v/>
      </c>
      <c r="W125" s="136">
        <f>IF($F125="","",IFERROR(INDEX(사건마스터!$AT$5:$AT$64,MATCH($F125,사건마스터!$A$5:$A$64,0)),""))</f>
        <v/>
      </c>
      <c r="X125" s="136">
        <f>IF($F125="","",IFERROR(INDEX(사건마스터!$AU$5:$AU$64,MATCH($F125,사건마스터!$A$5:$A$64,0)),""))</f>
        <v/>
      </c>
      <c r="Y125" s="136">
        <f>IF($F125="","",IFERROR(INDEX(사건마스터!$AV$5:$AV$64,MATCH($F125,사건마스터!$A$5:$A$64,0)),""))</f>
        <v/>
      </c>
      <c r="Z125" s="118">
        <f>IF(COUNTBLANK($J125:$Y125)=16,"",16-COUNTBLANK($J125:$Y125))</f>
        <v/>
      </c>
      <c r="AA125" s="33">
        <f>IF($J125="",MID($AX125,3,255),$J125&amp;$AX125)</f>
        <v/>
      </c>
      <c r="AB125" s="130">
        <f>IF($J125="","",IFERROR(INDEX(코드설정!$D$5:$D$24,MATCH($J125,코드설정!$C$5:$C$24,0)),""))</f>
        <v/>
      </c>
      <c r="AC125" s="36" t="n"/>
      <c r="AD125" s="37" t="n"/>
      <c r="AE125" s="38" t="n"/>
      <c r="AF125" s="118">
        <f>IF(OR($B125="",$C125=""),"",$C125-$B125+1)</f>
        <v/>
      </c>
      <c r="AG125" s="74" t="n"/>
      <c r="AH125" s="36" t="n"/>
      <c r="AJ125">
        <f>IF($K125="","",", "&amp;$K125)</f>
        <v/>
      </c>
      <c r="AK125">
        <f>AJ125&amp;IF($L125="","",", "&amp;$L125)</f>
        <v/>
      </c>
      <c r="AL125">
        <f>AK125&amp;IF($M125="","",", "&amp;$M125)</f>
        <v/>
      </c>
      <c r="AM125">
        <f>AL125&amp;IF($N125="","",", "&amp;$N125)</f>
        <v/>
      </c>
      <c r="AN125">
        <f>AM125&amp;IF($O125="","",", "&amp;$O125)</f>
        <v/>
      </c>
      <c r="AO125">
        <f>AN125&amp;IF($P125="","",", "&amp;$P125)</f>
        <v/>
      </c>
      <c r="AP125">
        <f>AO125&amp;IF($Q125="","",", "&amp;$Q125)</f>
        <v/>
      </c>
      <c r="AQ125">
        <f>AP125&amp;IF($R125="","",", "&amp;$R125)</f>
        <v/>
      </c>
      <c r="AR125">
        <f>AQ125&amp;IF($S125="","",", "&amp;$S125)</f>
        <v/>
      </c>
      <c r="AS125">
        <f>AR125&amp;IF($T125="","",", "&amp;$T125)</f>
        <v/>
      </c>
      <c r="AT125">
        <f>AS125&amp;IF($U125="","",", "&amp;$U125)</f>
        <v/>
      </c>
      <c r="AU125">
        <f>AT125&amp;IF($V125="","",", "&amp;$V125)</f>
        <v/>
      </c>
      <c r="AV125">
        <f>AU125&amp;IF($W125="","",", "&amp;$W125)</f>
        <v/>
      </c>
      <c r="AW125">
        <f>AV125&amp;IF($X125="","",", "&amp;$X125)</f>
        <v/>
      </c>
      <c r="AX125">
        <f>AW125&amp;IF($Y125="","",", "&amp;$Y125)</f>
        <v/>
      </c>
    </row>
    <row r="126">
      <c r="A126" s="118">
        <f>IF($B126="","",COUNT($B$5:$B126))</f>
        <v/>
      </c>
      <c r="B126" s="80" t="n"/>
      <c r="C126" s="80" t="n"/>
      <c r="D126" s="74" t="n"/>
      <c r="E126" s="74" t="n"/>
      <c r="F126" s="74" t="n"/>
      <c r="G126" s="118">
        <f>IF($F126="","",COUNTIF($F$5:$F126,$F126))</f>
        <v/>
      </c>
      <c r="H126" s="33">
        <f>IF($F126="","",IFERROR(INDEX(사건마스터!$B$5:$B$64,MATCH($F126,사건마스터!$A$5:$A$64,0)),""))</f>
        <v/>
      </c>
      <c r="I126" s="130">
        <f>IF($F126="","",IFERROR(INDEX(사건마스터!$C$5:$C$64,MATCH($F126,사건마스터!$A$5:$A$64,0)),""))</f>
        <v/>
      </c>
      <c r="J126" s="136">
        <f>IF($F126="","",IFERROR(INDEX(사건마스터!$H$5:$H$64,MATCH($F126,사건마스터!$A$5:$A$64,0)),""))</f>
        <v/>
      </c>
      <c r="K126" s="136">
        <f>IF($F126="","",IFERROR(INDEX(사건마스터!$AH$5:$AH$64,MATCH($F126,사건마스터!$A$5:$A$64,0)),""))</f>
        <v/>
      </c>
      <c r="L126" s="136">
        <f>IF($F126="","",IFERROR(INDEX(사건마스터!$AI$5:$AI$64,MATCH($F126,사건마스터!$A$5:$A$64,0)),""))</f>
        <v/>
      </c>
      <c r="M126" s="136">
        <f>IF($F126="","",IFERROR(INDEX(사건마스터!$AJ$5:$AJ$64,MATCH($F126,사건마스터!$A$5:$A$64,0)),""))</f>
        <v/>
      </c>
      <c r="N126" s="136">
        <f>IF($F126="","",IFERROR(INDEX(사건마스터!$AK$5:$AK$64,MATCH($F126,사건마스터!$A$5:$A$64,0)),""))</f>
        <v/>
      </c>
      <c r="O126" s="136">
        <f>IF($F126="","",IFERROR(INDEX(사건마스터!$AL$5:$AL$64,MATCH($F126,사건마스터!$A$5:$A$64,0)),""))</f>
        <v/>
      </c>
      <c r="P126" s="136">
        <f>IF($F126="","",IFERROR(INDEX(사건마스터!$AM$5:$AM$64,MATCH($F126,사건마스터!$A$5:$A$64,0)),""))</f>
        <v/>
      </c>
      <c r="Q126" s="136">
        <f>IF($F126="","",IFERROR(INDEX(사건마스터!$AN$5:$AN$64,MATCH($F126,사건마스터!$A$5:$A$64,0)),""))</f>
        <v/>
      </c>
      <c r="R126" s="136">
        <f>IF($F126="","",IFERROR(INDEX(사건마스터!$AO$5:$AO$64,MATCH($F126,사건마스터!$A$5:$A$64,0)),""))</f>
        <v/>
      </c>
      <c r="S126" s="136">
        <f>IF($F126="","",IFERROR(INDEX(사건마스터!$AP$5:$AP$64,MATCH($F126,사건마스터!$A$5:$A$64,0)),""))</f>
        <v/>
      </c>
      <c r="T126" s="136">
        <f>IF($F126="","",IFERROR(INDEX(사건마스터!$AQ$5:$AQ$64,MATCH($F126,사건마스터!$A$5:$A$64,0)),""))</f>
        <v/>
      </c>
      <c r="U126" s="136">
        <f>IF($F126="","",IFERROR(INDEX(사건마스터!$AR$5:$AR$64,MATCH($F126,사건마스터!$A$5:$A$64,0)),""))</f>
        <v/>
      </c>
      <c r="V126" s="136">
        <f>IF($F126="","",IFERROR(INDEX(사건마스터!$AS$5:$AS$64,MATCH($F126,사건마스터!$A$5:$A$64,0)),""))</f>
        <v/>
      </c>
      <c r="W126" s="136">
        <f>IF($F126="","",IFERROR(INDEX(사건마스터!$AT$5:$AT$64,MATCH($F126,사건마스터!$A$5:$A$64,0)),""))</f>
        <v/>
      </c>
      <c r="X126" s="136">
        <f>IF($F126="","",IFERROR(INDEX(사건마스터!$AU$5:$AU$64,MATCH($F126,사건마스터!$A$5:$A$64,0)),""))</f>
        <v/>
      </c>
      <c r="Y126" s="136">
        <f>IF($F126="","",IFERROR(INDEX(사건마스터!$AV$5:$AV$64,MATCH($F126,사건마스터!$A$5:$A$64,0)),""))</f>
        <v/>
      </c>
      <c r="Z126" s="118">
        <f>IF(COUNTBLANK($J126:$Y126)=16,"",16-COUNTBLANK($J126:$Y126))</f>
        <v/>
      </c>
      <c r="AA126" s="33">
        <f>IF($J126="",MID($AX126,3,255),$J126&amp;$AX126)</f>
        <v/>
      </c>
      <c r="AB126" s="130">
        <f>IF($J126="","",IFERROR(INDEX(코드설정!$D$5:$D$24,MATCH($J126,코드설정!$C$5:$C$24,0)),""))</f>
        <v/>
      </c>
      <c r="AC126" s="36" t="n"/>
      <c r="AD126" s="37" t="n"/>
      <c r="AE126" s="38" t="n"/>
      <c r="AF126" s="118">
        <f>IF(OR($B126="",$C126=""),"",$C126-$B126+1)</f>
        <v/>
      </c>
      <c r="AG126" s="74" t="n"/>
      <c r="AH126" s="36" t="n"/>
      <c r="AJ126">
        <f>IF($K126="","",", "&amp;$K126)</f>
        <v/>
      </c>
      <c r="AK126">
        <f>AJ126&amp;IF($L126="","",", "&amp;$L126)</f>
        <v/>
      </c>
      <c r="AL126">
        <f>AK126&amp;IF($M126="","",", "&amp;$M126)</f>
        <v/>
      </c>
      <c r="AM126">
        <f>AL126&amp;IF($N126="","",", "&amp;$N126)</f>
        <v/>
      </c>
      <c r="AN126">
        <f>AM126&amp;IF($O126="","",", "&amp;$O126)</f>
        <v/>
      </c>
      <c r="AO126">
        <f>AN126&amp;IF($P126="","",", "&amp;$P126)</f>
        <v/>
      </c>
      <c r="AP126">
        <f>AO126&amp;IF($Q126="","",", "&amp;$Q126)</f>
        <v/>
      </c>
      <c r="AQ126">
        <f>AP126&amp;IF($R126="","",", "&amp;$R126)</f>
        <v/>
      </c>
      <c r="AR126">
        <f>AQ126&amp;IF($S126="","",", "&amp;$S126)</f>
        <v/>
      </c>
      <c r="AS126">
        <f>AR126&amp;IF($T126="","",", "&amp;$T126)</f>
        <v/>
      </c>
      <c r="AT126">
        <f>AS126&amp;IF($U126="","",", "&amp;$U126)</f>
        <v/>
      </c>
      <c r="AU126">
        <f>AT126&amp;IF($V126="","",", "&amp;$V126)</f>
        <v/>
      </c>
      <c r="AV126">
        <f>AU126&amp;IF($W126="","",", "&amp;$W126)</f>
        <v/>
      </c>
      <c r="AW126">
        <f>AV126&amp;IF($X126="","",", "&amp;$X126)</f>
        <v/>
      </c>
      <c r="AX126">
        <f>AW126&amp;IF($Y126="","",", "&amp;$Y126)</f>
        <v/>
      </c>
    </row>
    <row r="127">
      <c r="A127" s="118">
        <f>IF($B127="","",COUNT($B$5:$B127))</f>
        <v/>
      </c>
      <c r="B127" s="80" t="n"/>
      <c r="C127" s="80" t="n"/>
      <c r="D127" s="74" t="n"/>
      <c r="E127" s="74" t="n"/>
      <c r="F127" s="74" t="n"/>
      <c r="G127" s="118">
        <f>IF($F127="","",COUNTIF($F$5:$F127,$F127))</f>
        <v/>
      </c>
      <c r="H127" s="33">
        <f>IF($F127="","",IFERROR(INDEX(사건마스터!$B$5:$B$64,MATCH($F127,사건마스터!$A$5:$A$64,0)),""))</f>
        <v/>
      </c>
      <c r="I127" s="130">
        <f>IF($F127="","",IFERROR(INDEX(사건마스터!$C$5:$C$64,MATCH($F127,사건마스터!$A$5:$A$64,0)),""))</f>
        <v/>
      </c>
      <c r="J127" s="136">
        <f>IF($F127="","",IFERROR(INDEX(사건마스터!$H$5:$H$64,MATCH($F127,사건마스터!$A$5:$A$64,0)),""))</f>
        <v/>
      </c>
      <c r="K127" s="136">
        <f>IF($F127="","",IFERROR(INDEX(사건마스터!$AH$5:$AH$64,MATCH($F127,사건마스터!$A$5:$A$64,0)),""))</f>
        <v/>
      </c>
      <c r="L127" s="136">
        <f>IF($F127="","",IFERROR(INDEX(사건마스터!$AI$5:$AI$64,MATCH($F127,사건마스터!$A$5:$A$64,0)),""))</f>
        <v/>
      </c>
      <c r="M127" s="136">
        <f>IF($F127="","",IFERROR(INDEX(사건마스터!$AJ$5:$AJ$64,MATCH($F127,사건마스터!$A$5:$A$64,0)),""))</f>
        <v/>
      </c>
      <c r="N127" s="136">
        <f>IF($F127="","",IFERROR(INDEX(사건마스터!$AK$5:$AK$64,MATCH($F127,사건마스터!$A$5:$A$64,0)),""))</f>
        <v/>
      </c>
      <c r="O127" s="136">
        <f>IF($F127="","",IFERROR(INDEX(사건마스터!$AL$5:$AL$64,MATCH($F127,사건마스터!$A$5:$A$64,0)),""))</f>
        <v/>
      </c>
      <c r="P127" s="136">
        <f>IF($F127="","",IFERROR(INDEX(사건마스터!$AM$5:$AM$64,MATCH($F127,사건마스터!$A$5:$A$64,0)),""))</f>
        <v/>
      </c>
      <c r="Q127" s="136">
        <f>IF($F127="","",IFERROR(INDEX(사건마스터!$AN$5:$AN$64,MATCH($F127,사건마스터!$A$5:$A$64,0)),""))</f>
        <v/>
      </c>
      <c r="R127" s="136">
        <f>IF($F127="","",IFERROR(INDEX(사건마스터!$AO$5:$AO$64,MATCH($F127,사건마스터!$A$5:$A$64,0)),""))</f>
        <v/>
      </c>
      <c r="S127" s="136">
        <f>IF($F127="","",IFERROR(INDEX(사건마스터!$AP$5:$AP$64,MATCH($F127,사건마스터!$A$5:$A$64,0)),""))</f>
        <v/>
      </c>
      <c r="T127" s="136">
        <f>IF($F127="","",IFERROR(INDEX(사건마스터!$AQ$5:$AQ$64,MATCH($F127,사건마스터!$A$5:$A$64,0)),""))</f>
        <v/>
      </c>
      <c r="U127" s="136">
        <f>IF($F127="","",IFERROR(INDEX(사건마스터!$AR$5:$AR$64,MATCH($F127,사건마스터!$A$5:$A$64,0)),""))</f>
        <v/>
      </c>
      <c r="V127" s="136">
        <f>IF($F127="","",IFERROR(INDEX(사건마스터!$AS$5:$AS$64,MATCH($F127,사건마스터!$A$5:$A$64,0)),""))</f>
        <v/>
      </c>
      <c r="W127" s="136">
        <f>IF($F127="","",IFERROR(INDEX(사건마스터!$AT$5:$AT$64,MATCH($F127,사건마스터!$A$5:$A$64,0)),""))</f>
        <v/>
      </c>
      <c r="X127" s="136">
        <f>IF($F127="","",IFERROR(INDEX(사건마스터!$AU$5:$AU$64,MATCH($F127,사건마스터!$A$5:$A$64,0)),""))</f>
        <v/>
      </c>
      <c r="Y127" s="136">
        <f>IF($F127="","",IFERROR(INDEX(사건마스터!$AV$5:$AV$64,MATCH($F127,사건마스터!$A$5:$A$64,0)),""))</f>
        <v/>
      </c>
      <c r="Z127" s="118">
        <f>IF(COUNTBLANK($J127:$Y127)=16,"",16-COUNTBLANK($J127:$Y127))</f>
        <v/>
      </c>
      <c r="AA127" s="33">
        <f>IF($J127="",MID($AX127,3,255),$J127&amp;$AX127)</f>
        <v/>
      </c>
      <c r="AB127" s="130">
        <f>IF($J127="","",IFERROR(INDEX(코드설정!$D$5:$D$24,MATCH($J127,코드설정!$C$5:$C$24,0)),""))</f>
        <v/>
      </c>
      <c r="AC127" s="36" t="n"/>
      <c r="AD127" s="37" t="n"/>
      <c r="AE127" s="38" t="n"/>
      <c r="AF127" s="118">
        <f>IF(OR($B127="",$C127=""),"",$C127-$B127+1)</f>
        <v/>
      </c>
      <c r="AG127" s="74" t="n"/>
      <c r="AH127" s="36" t="n"/>
      <c r="AJ127">
        <f>IF($K127="","",", "&amp;$K127)</f>
        <v/>
      </c>
      <c r="AK127">
        <f>AJ127&amp;IF($L127="","",", "&amp;$L127)</f>
        <v/>
      </c>
      <c r="AL127">
        <f>AK127&amp;IF($M127="","",", "&amp;$M127)</f>
        <v/>
      </c>
      <c r="AM127">
        <f>AL127&amp;IF($N127="","",", "&amp;$N127)</f>
        <v/>
      </c>
      <c r="AN127">
        <f>AM127&amp;IF($O127="","",", "&amp;$O127)</f>
        <v/>
      </c>
      <c r="AO127">
        <f>AN127&amp;IF($P127="","",", "&amp;$P127)</f>
        <v/>
      </c>
      <c r="AP127">
        <f>AO127&amp;IF($Q127="","",", "&amp;$Q127)</f>
        <v/>
      </c>
      <c r="AQ127">
        <f>AP127&amp;IF($R127="","",", "&amp;$R127)</f>
        <v/>
      </c>
      <c r="AR127">
        <f>AQ127&amp;IF($S127="","",", "&amp;$S127)</f>
        <v/>
      </c>
      <c r="AS127">
        <f>AR127&amp;IF($T127="","",", "&amp;$T127)</f>
        <v/>
      </c>
      <c r="AT127">
        <f>AS127&amp;IF($U127="","",", "&amp;$U127)</f>
        <v/>
      </c>
      <c r="AU127">
        <f>AT127&amp;IF($V127="","",", "&amp;$V127)</f>
        <v/>
      </c>
      <c r="AV127">
        <f>AU127&amp;IF($W127="","",", "&amp;$W127)</f>
        <v/>
      </c>
      <c r="AW127">
        <f>AV127&amp;IF($X127="","",", "&amp;$X127)</f>
        <v/>
      </c>
      <c r="AX127">
        <f>AW127&amp;IF($Y127="","",", "&amp;$Y127)</f>
        <v/>
      </c>
    </row>
    <row r="128">
      <c r="A128" s="118">
        <f>IF($B128="","",COUNT($B$5:$B128))</f>
        <v/>
      </c>
      <c r="B128" s="80" t="n"/>
      <c r="C128" s="80" t="n"/>
      <c r="D128" s="74" t="n"/>
      <c r="E128" s="74" t="n"/>
      <c r="F128" s="74" t="n"/>
      <c r="G128" s="118">
        <f>IF($F128="","",COUNTIF($F$5:$F128,$F128))</f>
        <v/>
      </c>
      <c r="H128" s="33">
        <f>IF($F128="","",IFERROR(INDEX(사건마스터!$B$5:$B$64,MATCH($F128,사건마스터!$A$5:$A$64,0)),""))</f>
        <v/>
      </c>
      <c r="I128" s="130">
        <f>IF($F128="","",IFERROR(INDEX(사건마스터!$C$5:$C$64,MATCH($F128,사건마스터!$A$5:$A$64,0)),""))</f>
        <v/>
      </c>
      <c r="J128" s="136">
        <f>IF($F128="","",IFERROR(INDEX(사건마스터!$H$5:$H$64,MATCH($F128,사건마스터!$A$5:$A$64,0)),""))</f>
        <v/>
      </c>
      <c r="K128" s="136">
        <f>IF($F128="","",IFERROR(INDEX(사건마스터!$AH$5:$AH$64,MATCH($F128,사건마스터!$A$5:$A$64,0)),""))</f>
        <v/>
      </c>
      <c r="L128" s="136">
        <f>IF($F128="","",IFERROR(INDEX(사건마스터!$AI$5:$AI$64,MATCH($F128,사건마스터!$A$5:$A$64,0)),""))</f>
        <v/>
      </c>
      <c r="M128" s="136">
        <f>IF($F128="","",IFERROR(INDEX(사건마스터!$AJ$5:$AJ$64,MATCH($F128,사건마스터!$A$5:$A$64,0)),""))</f>
        <v/>
      </c>
      <c r="N128" s="136">
        <f>IF($F128="","",IFERROR(INDEX(사건마스터!$AK$5:$AK$64,MATCH($F128,사건마스터!$A$5:$A$64,0)),""))</f>
        <v/>
      </c>
      <c r="O128" s="136">
        <f>IF($F128="","",IFERROR(INDEX(사건마스터!$AL$5:$AL$64,MATCH($F128,사건마스터!$A$5:$A$64,0)),""))</f>
        <v/>
      </c>
      <c r="P128" s="136">
        <f>IF($F128="","",IFERROR(INDEX(사건마스터!$AM$5:$AM$64,MATCH($F128,사건마스터!$A$5:$A$64,0)),""))</f>
        <v/>
      </c>
      <c r="Q128" s="136">
        <f>IF($F128="","",IFERROR(INDEX(사건마스터!$AN$5:$AN$64,MATCH($F128,사건마스터!$A$5:$A$64,0)),""))</f>
        <v/>
      </c>
      <c r="R128" s="136">
        <f>IF($F128="","",IFERROR(INDEX(사건마스터!$AO$5:$AO$64,MATCH($F128,사건마스터!$A$5:$A$64,0)),""))</f>
        <v/>
      </c>
      <c r="S128" s="136">
        <f>IF($F128="","",IFERROR(INDEX(사건마스터!$AP$5:$AP$64,MATCH($F128,사건마스터!$A$5:$A$64,0)),""))</f>
        <v/>
      </c>
      <c r="T128" s="136">
        <f>IF($F128="","",IFERROR(INDEX(사건마스터!$AQ$5:$AQ$64,MATCH($F128,사건마스터!$A$5:$A$64,0)),""))</f>
        <v/>
      </c>
      <c r="U128" s="136">
        <f>IF($F128="","",IFERROR(INDEX(사건마스터!$AR$5:$AR$64,MATCH($F128,사건마스터!$A$5:$A$64,0)),""))</f>
        <v/>
      </c>
      <c r="V128" s="136">
        <f>IF($F128="","",IFERROR(INDEX(사건마스터!$AS$5:$AS$64,MATCH($F128,사건마스터!$A$5:$A$64,0)),""))</f>
        <v/>
      </c>
      <c r="W128" s="136">
        <f>IF($F128="","",IFERROR(INDEX(사건마스터!$AT$5:$AT$64,MATCH($F128,사건마스터!$A$5:$A$64,0)),""))</f>
        <v/>
      </c>
      <c r="X128" s="136">
        <f>IF($F128="","",IFERROR(INDEX(사건마스터!$AU$5:$AU$64,MATCH($F128,사건마스터!$A$5:$A$64,0)),""))</f>
        <v/>
      </c>
      <c r="Y128" s="136">
        <f>IF($F128="","",IFERROR(INDEX(사건마스터!$AV$5:$AV$64,MATCH($F128,사건마스터!$A$5:$A$64,0)),""))</f>
        <v/>
      </c>
      <c r="Z128" s="118">
        <f>IF(COUNTBLANK($J128:$Y128)=16,"",16-COUNTBLANK($J128:$Y128))</f>
        <v/>
      </c>
      <c r="AA128" s="33">
        <f>IF($J128="",MID($AX128,3,255),$J128&amp;$AX128)</f>
        <v/>
      </c>
      <c r="AB128" s="130">
        <f>IF($J128="","",IFERROR(INDEX(코드설정!$D$5:$D$24,MATCH($J128,코드설정!$C$5:$C$24,0)),""))</f>
        <v/>
      </c>
      <c r="AC128" s="36" t="n"/>
      <c r="AD128" s="37" t="n"/>
      <c r="AE128" s="38" t="n"/>
      <c r="AF128" s="118">
        <f>IF(OR($B128="",$C128=""),"",$C128-$B128+1)</f>
        <v/>
      </c>
      <c r="AG128" s="74" t="n"/>
      <c r="AH128" s="36" t="n"/>
      <c r="AJ128">
        <f>IF($K128="","",", "&amp;$K128)</f>
        <v/>
      </c>
      <c r="AK128">
        <f>AJ128&amp;IF($L128="","",", "&amp;$L128)</f>
        <v/>
      </c>
      <c r="AL128">
        <f>AK128&amp;IF($M128="","",", "&amp;$M128)</f>
        <v/>
      </c>
      <c r="AM128">
        <f>AL128&amp;IF($N128="","",", "&amp;$N128)</f>
        <v/>
      </c>
      <c r="AN128">
        <f>AM128&amp;IF($O128="","",", "&amp;$O128)</f>
        <v/>
      </c>
      <c r="AO128">
        <f>AN128&amp;IF($P128="","",", "&amp;$P128)</f>
        <v/>
      </c>
      <c r="AP128">
        <f>AO128&amp;IF($Q128="","",", "&amp;$Q128)</f>
        <v/>
      </c>
      <c r="AQ128">
        <f>AP128&amp;IF($R128="","",", "&amp;$R128)</f>
        <v/>
      </c>
      <c r="AR128">
        <f>AQ128&amp;IF($S128="","",", "&amp;$S128)</f>
        <v/>
      </c>
      <c r="AS128">
        <f>AR128&amp;IF($T128="","",", "&amp;$T128)</f>
        <v/>
      </c>
      <c r="AT128">
        <f>AS128&amp;IF($U128="","",", "&amp;$U128)</f>
        <v/>
      </c>
      <c r="AU128">
        <f>AT128&amp;IF($V128="","",", "&amp;$V128)</f>
        <v/>
      </c>
      <c r="AV128">
        <f>AU128&amp;IF($W128="","",", "&amp;$W128)</f>
        <v/>
      </c>
      <c r="AW128">
        <f>AV128&amp;IF($X128="","",", "&amp;$X128)</f>
        <v/>
      </c>
      <c r="AX128">
        <f>AW128&amp;IF($Y128="","",", "&amp;$Y128)</f>
        <v/>
      </c>
    </row>
    <row r="129">
      <c r="A129" s="118">
        <f>IF($B129="","",COUNT($B$5:$B129))</f>
        <v/>
      </c>
      <c r="B129" s="80" t="n"/>
      <c r="C129" s="80" t="n"/>
      <c r="D129" s="74" t="n"/>
      <c r="E129" s="74" t="n"/>
      <c r="F129" s="74" t="n"/>
      <c r="G129" s="118">
        <f>IF($F129="","",COUNTIF($F$5:$F129,$F129))</f>
        <v/>
      </c>
      <c r="H129" s="33">
        <f>IF($F129="","",IFERROR(INDEX(사건마스터!$B$5:$B$64,MATCH($F129,사건마스터!$A$5:$A$64,0)),""))</f>
        <v/>
      </c>
      <c r="I129" s="130">
        <f>IF($F129="","",IFERROR(INDEX(사건마스터!$C$5:$C$64,MATCH($F129,사건마스터!$A$5:$A$64,0)),""))</f>
        <v/>
      </c>
      <c r="J129" s="136">
        <f>IF($F129="","",IFERROR(INDEX(사건마스터!$H$5:$H$64,MATCH($F129,사건마스터!$A$5:$A$64,0)),""))</f>
        <v/>
      </c>
      <c r="K129" s="136">
        <f>IF($F129="","",IFERROR(INDEX(사건마스터!$AH$5:$AH$64,MATCH($F129,사건마스터!$A$5:$A$64,0)),""))</f>
        <v/>
      </c>
      <c r="L129" s="136">
        <f>IF($F129="","",IFERROR(INDEX(사건마스터!$AI$5:$AI$64,MATCH($F129,사건마스터!$A$5:$A$64,0)),""))</f>
        <v/>
      </c>
      <c r="M129" s="136">
        <f>IF($F129="","",IFERROR(INDEX(사건마스터!$AJ$5:$AJ$64,MATCH($F129,사건마스터!$A$5:$A$64,0)),""))</f>
        <v/>
      </c>
      <c r="N129" s="136">
        <f>IF($F129="","",IFERROR(INDEX(사건마스터!$AK$5:$AK$64,MATCH($F129,사건마스터!$A$5:$A$64,0)),""))</f>
        <v/>
      </c>
      <c r="O129" s="136">
        <f>IF($F129="","",IFERROR(INDEX(사건마스터!$AL$5:$AL$64,MATCH($F129,사건마스터!$A$5:$A$64,0)),""))</f>
        <v/>
      </c>
      <c r="P129" s="136">
        <f>IF($F129="","",IFERROR(INDEX(사건마스터!$AM$5:$AM$64,MATCH($F129,사건마스터!$A$5:$A$64,0)),""))</f>
        <v/>
      </c>
      <c r="Q129" s="136">
        <f>IF($F129="","",IFERROR(INDEX(사건마스터!$AN$5:$AN$64,MATCH($F129,사건마스터!$A$5:$A$64,0)),""))</f>
        <v/>
      </c>
      <c r="R129" s="136">
        <f>IF($F129="","",IFERROR(INDEX(사건마스터!$AO$5:$AO$64,MATCH($F129,사건마스터!$A$5:$A$64,0)),""))</f>
        <v/>
      </c>
      <c r="S129" s="136">
        <f>IF($F129="","",IFERROR(INDEX(사건마스터!$AP$5:$AP$64,MATCH($F129,사건마스터!$A$5:$A$64,0)),""))</f>
        <v/>
      </c>
      <c r="T129" s="136">
        <f>IF($F129="","",IFERROR(INDEX(사건마스터!$AQ$5:$AQ$64,MATCH($F129,사건마스터!$A$5:$A$64,0)),""))</f>
        <v/>
      </c>
      <c r="U129" s="136">
        <f>IF($F129="","",IFERROR(INDEX(사건마스터!$AR$5:$AR$64,MATCH($F129,사건마스터!$A$5:$A$64,0)),""))</f>
        <v/>
      </c>
      <c r="V129" s="136">
        <f>IF($F129="","",IFERROR(INDEX(사건마스터!$AS$5:$AS$64,MATCH($F129,사건마스터!$A$5:$A$64,0)),""))</f>
        <v/>
      </c>
      <c r="W129" s="136">
        <f>IF($F129="","",IFERROR(INDEX(사건마스터!$AT$5:$AT$64,MATCH($F129,사건마스터!$A$5:$A$64,0)),""))</f>
        <v/>
      </c>
      <c r="X129" s="136">
        <f>IF($F129="","",IFERROR(INDEX(사건마스터!$AU$5:$AU$64,MATCH($F129,사건마스터!$A$5:$A$64,0)),""))</f>
        <v/>
      </c>
      <c r="Y129" s="136">
        <f>IF($F129="","",IFERROR(INDEX(사건마스터!$AV$5:$AV$64,MATCH($F129,사건마스터!$A$5:$A$64,0)),""))</f>
        <v/>
      </c>
      <c r="Z129" s="118">
        <f>IF(COUNTBLANK($J129:$Y129)=16,"",16-COUNTBLANK($J129:$Y129))</f>
        <v/>
      </c>
      <c r="AA129" s="33">
        <f>IF($J129="",MID($AX129,3,255),$J129&amp;$AX129)</f>
        <v/>
      </c>
      <c r="AB129" s="130">
        <f>IF($J129="","",IFERROR(INDEX(코드설정!$D$5:$D$24,MATCH($J129,코드설정!$C$5:$C$24,0)),""))</f>
        <v/>
      </c>
      <c r="AC129" s="36" t="n"/>
      <c r="AD129" s="37" t="n"/>
      <c r="AE129" s="38" t="n"/>
      <c r="AF129" s="118">
        <f>IF(OR($B129="",$C129=""),"",$C129-$B129+1)</f>
        <v/>
      </c>
      <c r="AG129" s="74" t="n"/>
      <c r="AH129" s="36" t="n"/>
      <c r="AJ129">
        <f>IF($K129="","",", "&amp;$K129)</f>
        <v/>
      </c>
      <c r="AK129">
        <f>AJ129&amp;IF($L129="","",", "&amp;$L129)</f>
        <v/>
      </c>
      <c r="AL129">
        <f>AK129&amp;IF($M129="","",", "&amp;$M129)</f>
        <v/>
      </c>
      <c r="AM129">
        <f>AL129&amp;IF($N129="","",", "&amp;$N129)</f>
        <v/>
      </c>
      <c r="AN129">
        <f>AM129&amp;IF($O129="","",", "&amp;$O129)</f>
        <v/>
      </c>
      <c r="AO129">
        <f>AN129&amp;IF($P129="","",", "&amp;$P129)</f>
        <v/>
      </c>
      <c r="AP129">
        <f>AO129&amp;IF($Q129="","",", "&amp;$Q129)</f>
        <v/>
      </c>
      <c r="AQ129">
        <f>AP129&amp;IF($R129="","",", "&amp;$R129)</f>
        <v/>
      </c>
      <c r="AR129">
        <f>AQ129&amp;IF($S129="","",", "&amp;$S129)</f>
        <v/>
      </c>
      <c r="AS129">
        <f>AR129&amp;IF($T129="","",", "&amp;$T129)</f>
        <v/>
      </c>
      <c r="AT129">
        <f>AS129&amp;IF($U129="","",", "&amp;$U129)</f>
        <v/>
      </c>
      <c r="AU129">
        <f>AT129&amp;IF($V129="","",", "&amp;$V129)</f>
        <v/>
      </c>
      <c r="AV129">
        <f>AU129&amp;IF($W129="","",", "&amp;$W129)</f>
        <v/>
      </c>
      <c r="AW129">
        <f>AV129&amp;IF($X129="","",", "&amp;$X129)</f>
        <v/>
      </c>
      <c r="AX129">
        <f>AW129&amp;IF($Y129="","",", "&amp;$Y129)</f>
        <v/>
      </c>
    </row>
    <row r="130">
      <c r="A130" s="118">
        <f>IF($B130="","",COUNT($B$5:$B130))</f>
        <v/>
      </c>
      <c r="B130" s="80" t="n"/>
      <c r="C130" s="80" t="n"/>
      <c r="D130" s="74" t="n"/>
      <c r="E130" s="74" t="n"/>
      <c r="F130" s="74" t="n"/>
      <c r="G130" s="118">
        <f>IF($F130="","",COUNTIF($F$5:$F130,$F130))</f>
        <v/>
      </c>
      <c r="H130" s="33">
        <f>IF($F130="","",IFERROR(INDEX(사건마스터!$B$5:$B$64,MATCH($F130,사건마스터!$A$5:$A$64,0)),""))</f>
        <v/>
      </c>
      <c r="I130" s="130">
        <f>IF($F130="","",IFERROR(INDEX(사건마스터!$C$5:$C$64,MATCH($F130,사건마스터!$A$5:$A$64,0)),""))</f>
        <v/>
      </c>
      <c r="J130" s="136">
        <f>IF($F130="","",IFERROR(INDEX(사건마스터!$H$5:$H$64,MATCH($F130,사건마스터!$A$5:$A$64,0)),""))</f>
        <v/>
      </c>
      <c r="K130" s="136">
        <f>IF($F130="","",IFERROR(INDEX(사건마스터!$AH$5:$AH$64,MATCH($F130,사건마스터!$A$5:$A$64,0)),""))</f>
        <v/>
      </c>
      <c r="L130" s="136">
        <f>IF($F130="","",IFERROR(INDEX(사건마스터!$AI$5:$AI$64,MATCH($F130,사건마스터!$A$5:$A$64,0)),""))</f>
        <v/>
      </c>
      <c r="M130" s="136">
        <f>IF($F130="","",IFERROR(INDEX(사건마스터!$AJ$5:$AJ$64,MATCH($F130,사건마스터!$A$5:$A$64,0)),""))</f>
        <v/>
      </c>
      <c r="N130" s="136">
        <f>IF($F130="","",IFERROR(INDEX(사건마스터!$AK$5:$AK$64,MATCH($F130,사건마스터!$A$5:$A$64,0)),""))</f>
        <v/>
      </c>
      <c r="O130" s="136">
        <f>IF($F130="","",IFERROR(INDEX(사건마스터!$AL$5:$AL$64,MATCH($F130,사건마스터!$A$5:$A$64,0)),""))</f>
        <v/>
      </c>
      <c r="P130" s="136">
        <f>IF($F130="","",IFERROR(INDEX(사건마스터!$AM$5:$AM$64,MATCH($F130,사건마스터!$A$5:$A$64,0)),""))</f>
        <v/>
      </c>
      <c r="Q130" s="136">
        <f>IF($F130="","",IFERROR(INDEX(사건마스터!$AN$5:$AN$64,MATCH($F130,사건마스터!$A$5:$A$64,0)),""))</f>
        <v/>
      </c>
      <c r="R130" s="136">
        <f>IF($F130="","",IFERROR(INDEX(사건마스터!$AO$5:$AO$64,MATCH($F130,사건마스터!$A$5:$A$64,0)),""))</f>
        <v/>
      </c>
      <c r="S130" s="136">
        <f>IF($F130="","",IFERROR(INDEX(사건마스터!$AP$5:$AP$64,MATCH($F130,사건마스터!$A$5:$A$64,0)),""))</f>
        <v/>
      </c>
      <c r="T130" s="136">
        <f>IF($F130="","",IFERROR(INDEX(사건마스터!$AQ$5:$AQ$64,MATCH($F130,사건마스터!$A$5:$A$64,0)),""))</f>
        <v/>
      </c>
      <c r="U130" s="136">
        <f>IF($F130="","",IFERROR(INDEX(사건마스터!$AR$5:$AR$64,MATCH($F130,사건마스터!$A$5:$A$64,0)),""))</f>
        <v/>
      </c>
      <c r="V130" s="136">
        <f>IF($F130="","",IFERROR(INDEX(사건마스터!$AS$5:$AS$64,MATCH($F130,사건마스터!$A$5:$A$64,0)),""))</f>
        <v/>
      </c>
      <c r="W130" s="136">
        <f>IF($F130="","",IFERROR(INDEX(사건마스터!$AT$5:$AT$64,MATCH($F130,사건마스터!$A$5:$A$64,0)),""))</f>
        <v/>
      </c>
      <c r="X130" s="136">
        <f>IF($F130="","",IFERROR(INDEX(사건마스터!$AU$5:$AU$64,MATCH($F130,사건마스터!$A$5:$A$64,0)),""))</f>
        <v/>
      </c>
      <c r="Y130" s="136">
        <f>IF($F130="","",IFERROR(INDEX(사건마스터!$AV$5:$AV$64,MATCH($F130,사건마스터!$A$5:$A$64,0)),""))</f>
        <v/>
      </c>
      <c r="Z130" s="118">
        <f>IF(COUNTBLANK($J130:$Y130)=16,"",16-COUNTBLANK($J130:$Y130))</f>
        <v/>
      </c>
      <c r="AA130" s="33">
        <f>IF($J130="",MID($AX130,3,255),$J130&amp;$AX130)</f>
        <v/>
      </c>
      <c r="AB130" s="130">
        <f>IF($J130="","",IFERROR(INDEX(코드설정!$D$5:$D$24,MATCH($J130,코드설정!$C$5:$C$24,0)),""))</f>
        <v/>
      </c>
      <c r="AC130" s="36" t="n"/>
      <c r="AD130" s="37" t="n"/>
      <c r="AE130" s="38" t="n"/>
      <c r="AF130" s="118">
        <f>IF(OR($B130="",$C130=""),"",$C130-$B130+1)</f>
        <v/>
      </c>
      <c r="AG130" s="74" t="n"/>
      <c r="AH130" s="36" t="n"/>
      <c r="AJ130">
        <f>IF($K130="","",", "&amp;$K130)</f>
        <v/>
      </c>
      <c r="AK130">
        <f>AJ130&amp;IF($L130="","",", "&amp;$L130)</f>
        <v/>
      </c>
      <c r="AL130">
        <f>AK130&amp;IF($M130="","",", "&amp;$M130)</f>
        <v/>
      </c>
      <c r="AM130">
        <f>AL130&amp;IF($N130="","",", "&amp;$N130)</f>
        <v/>
      </c>
      <c r="AN130">
        <f>AM130&amp;IF($O130="","",", "&amp;$O130)</f>
        <v/>
      </c>
      <c r="AO130">
        <f>AN130&amp;IF($P130="","",", "&amp;$P130)</f>
        <v/>
      </c>
      <c r="AP130">
        <f>AO130&amp;IF($Q130="","",", "&amp;$Q130)</f>
        <v/>
      </c>
      <c r="AQ130">
        <f>AP130&amp;IF($R130="","",", "&amp;$R130)</f>
        <v/>
      </c>
      <c r="AR130">
        <f>AQ130&amp;IF($S130="","",", "&amp;$S130)</f>
        <v/>
      </c>
      <c r="AS130">
        <f>AR130&amp;IF($T130="","",", "&amp;$T130)</f>
        <v/>
      </c>
      <c r="AT130">
        <f>AS130&amp;IF($U130="","",", "&amp;$U130)</f>
        <v/>
      </c>
      <c r="AU130">
        <f>AT130&amp;IF($V130="","",", "&amp;$V130)</f>
        <v/>
      </c>
      <c r="AV130">
        <f>AU130&amp;IF($W130="","",", "&amp;$W130)</f>
        <v/>
      </c>
      <c r="AW130">
        <f>AV130&amp;IF($X130="","",", "&amp;$X130)</f>
        <v/>
      </c>
      <c r="AX130">
        <f>AW130&amp;IF($Y130="","",", "&amp;$Y130)</f>
        <v/>
      </c>
    </row>
    <row r="131">
      <c r="A131" s="118">
        <f>IF($B131="","",COUNT($B$5:$B131))</f>
        <v/>
      </c>
      <c r="B131" s="80" t="n"/>
      <c r="C131" s="80" t="n"/>
      <c r="D131" s="74" t="n"/>
      <c r="E131" s="74" t="n"/>
      <c r="F131" s="74" t="n"/>
      <c r="G131" s="118">
        <f>IF($F131="","",COUNTIF($F$5:$F131,$F131))</f>
        <v/>
      </c>
      <c r="H131" s="33">
        <f>IF($F131="","",IFERROR(INDEX(사건마스터!$B$5:$B$64,MATCH($F131,사건마스터!$A$5:$A$64,0)),""))</f>
        <v/>
      </c>
      <c r="I131" s="130">
        <f>IF($F131="","",IFERROR(INDEX(사건마스터!$C$5:$C$64,MATCH($F131,사건마스터!$A$5:$A$64,0)),""))</f>
        <v/>
      </c>
      <c r="J131" s="136">
        <f>IF($F131="","",IFERROR(INDEX(사건마스터!$H$5:$H$64,MATCH($F131,사건마스터!$A$5:$A$64,0)),""))</f>
        <v/>
      </c>
      <c r="K131" s="136">
        <f>IF($F131="","",IFERROR(INDEX(사건마스터!$AH$5:$AH$64,MATCH($F131,사건마스터!$A$5:$A$64,0)),""))</f>
        <v/>
      </c>
      <c r="L131" s="136">
        <f>IF($F131="","",IFERROR(INDEX(사건마스터!$AI$5:$AI$64,MATCH($F131,사건마스터!$A$5:$A$64,0)),""))</f>
        <v/>
      </c>
      <c r="M131" s="136">
        <f>IF($F131="","",IFERROR(INDEX(사건마스터!$AJ$5:$AJ$64,MATCH($F131,사건마스터!$A$5:$A$64,0)),""))</f>
        <v/>
      </c>
      <c r="N131" s="136">
        <f>IF($F131="","",IFERROR(INDEX(사건마스터!$AK$5:$AK$64,MATCH($F131,사건마스터!$A$5:$A$64,0)),""))</f>
        <v/>
      </c>
      <c r="O131" s="136">
        <f>IF($F131="","",IFERROR(INDEX(사건마스터!$AL$5:$AL$64,MATCH($F131,사건마스터!$A$5:$A$64,0)),""))</f>
        <v/>
      </c>
      <c r="P131" s="136">
        <f>IF($F131="","",IFERROR(INDEX(사건마스터!$AM$5:$AM$64,MATCH($F131,사건마스터!$A$5:$A$64,0)),""))</f>
        <v/>
      </c>
      <c r="Q131" s="136">
        <f>IF($F131="","",IFERROR(INDEX(사건마스터!$AN$5:$AN$64,MATCH($F131,사건마스터!$A$5:$A$64,0)),""))</f>
        <v/>
      </c>
      <c r="R131" s="136">
        <f>IF($F131="","",IFERROR(INDEX(사건마스터!$AO$5:$AO$64,MATCH($F131,사건마스터!$A$5:$A$64,0)),""))</f>
        <v/>
      </c>
      <c r="S131" s="136">
        <f>IF($F131="","",IFERROR(INDEX(사건마스터!$AP$5:$AP$64,MATCH($F131,사건마스터!$A$5:$A$64,0)),""))</f>
        <v/>
      </c>
      <c r="T131" s="136">
        <f>IF($F131="","",IFERROR(INDEX(사건마스터!$AQ$5:$AQ$64,MATCH($F131,사건마스터!$A$5:$A$64,0)),""))</f>
        <v/>
      </c>
      <c r="U131" s="136">
        <f>IF($F131="","",IFERROR(INDEX(사건마스터!$AR$5:$AR$64,MATCH($F131,사건마스터!$A$5:$A$64,0)),""))</f>
        <v/>
      </c>
      <c r="V131" s="136">
        <f>IF($F131="","",IFERROR(INDEX(사건마스터!$AS$5:$AS$64,MATCH($F131,사건마스터!$A$5:$A$64,0)),""))</f>
        <v/>
      </c>
      <c r="W131" s="136">
        <f>IF($F131="","",IFERROR(INDEX(사건마스터!$AT$5:$AT$64,MATCH($F131,사건마스터!$A$5:$A$64,0)),""))</f>
        <v/>
      </c>
      <c r="X131" s="136">
        <f>IF($F131="","",IFERROR(INDEX(사건마스터!$AU$5:$AU$64,MATCH($F131,사건마스터!$A$5:$A$64,0)),""))</f>
        <v/>
      </c>
      <c r="Y131" s="136">
        <f>IF($F131="","",IFERROR(INDEX(사건마스터!$AV$5:$AV$64,MATCH($F131,사건마스터!$A$5:$A$64,0)),""))</f>
        <v/>
      </c>
      <c r="Z131" s="118">
        <f>IF(COUNTBLANK($J131:$Y131)=16,"",16-COUNTBLANK($J131:$Y131))</f>
        <v/>
      </c>
      <c r="AA131" s="33">
        <f>IF($J131="",MID($AX131,3,255),$J131&amp;$AX131)</f>
        <v/>
      </c>
      <c r="AB131" s="130">
        <f>IF($J131="","",IFERROR(INDEX(코드설정!$D$5:$D$24,MATCH($J131,코드설정!$C$5:$C$24,0)),""))</f>
        <v/>
      </c>
      <c r="AC131" s="36" t="n"/>
      <c r="AD131" s="37" t="n"/>
      <c r="AE131" s="38" t="n"/>
      <c r="AF131" s="118">
        <f>IF(OR($B131="",$C131=""),"",$C131-$B131+1)</f>
        <v/>
      </c>
      <c r="AG131" s="74" t="n"/>
      <c r="AH131" s="36" t="n"/>
      <c r="AJ131">
        <f>IF($K131="","",", "&amp;$K131)</f>
        <v/>
      </c>
      <c r="AK131">
        <f>AJ131&amp;IF($L131="","",", "&amp;$L131)</f>
        <v/>
      </c>
      <c r="AL131">
        <f>AK131&amp;IF($M131="","",", "&amp;$M131)</f>
        <v/>
      </c>
      <c r="AM131">
        <f>AL131&amp;IF($N131="","",", "&amp;$N131)</f>
        <v/>
      </c>
      <c r="AN131">
        <f>AM131&amp;IF($O131="","",", "&amp;$O131)</f>
        <v/>
      </c>
      <c r="AO131">
        <f>AN131&amp;IF($P131="","",", "&amp;$P131)</f>
        <v/>
      </c>
      <c r="AP131">
        <f>AO131&amp;IF($Q131="","",", "&amp;$Q131)</f>
        <v/>
      </c>
      <c r="AQ131">
        <f>AP131&amp;IF($R131="","",", "&amp;$R131)</f>
        <v/>
      </c>
      <c r="AR131">
        <f>AQ131&amp;IF($S131="","",", "&amp;$S131)</f>
        <v/>
      </c>
      <c r="AS131">
        <f>AR131&amp;IF($T131="","",", "&amp;$T131)</f>
        <v/>
      </c>
      <c r="AT131">
        <f>AS131&amp;IF($U131="","",", "&amp;$U131)</f>
        <v/>
      </c>
      <c r="AU131">
        <f>AT131&amp;IF($V131="","",", "&amp;$V131)</f>
        <v/>
      </c>
      <c r="AV131">
        <f>AU131&amp;IF($W131="","",", "&amp;$W131)</f>
        <v/>
      </c>
      <c r="AW131">
        <f>AV131&amp;IF($X131="","",", "&amp;$X131)</f>
        <v/>
      </c>
      <c r="AX131">
        <f>AW131&amp;IF($Y131="","",", "&amp;$Y131)</f>
        <v/>
      </c>
    </row>
    <row r="132">
      <c r="A132" s="118">
        <f>IF($B132="","",COUNT($B$5:$B132))</f>
        <v/>
      </c>
      <c r="B132" s="80" t="n"/>
      <c r="C132" s="80" t="n"/>
      <c r="D132" s="74" t="n"/>
      <c r="E132" s="74" t="n"/>
      <c r="F132" s="74" t="n"/>
      <c r="G132" s="118">
        <f>IF($F132="","",COUNTIF($F$5:$F132,$F132))</f>
        <v/>
      </c>
      <c r="H132" s="33">
        <f>IF($F132="","",IFERROR(INDEX(사건마스터!$B$5:$B$64,MATCH($F132,사건마스터!$A$5:$A$64,0)),""))</f>
        <v/>
      </c>
      <c r="I132" s="130">
        <f>IF($F132="","",IFERROR(INDEX(사건마스터!$C$5:$C$64,MATCH($F132,사건마스터!$A$5:$A$64,0)),""))</f>
        <v/>
      </c>
      <c r="J132" s="136">
        <f>IF($F132="","",IFERROR(INDEX(사건마스터!$H$5:$H$64,MATCH($F132,사건마스터!$A$5:$A$64,0)),""))</f>
        <v/>
      </c>
      <c r="K132" s="136">
        <f>IF($F132="","",IFERROR(INDEX(사건마스터!$AH$5:$AH$64,MATCH($F132,사건마스터!$A$5:$A$64,0)),""))</f>
        <v/>
      </c>
      <c r="L132" s="136">
        <f>IF($F132="","",IFERROR(INDEX(사건마스터!$AI$5:$AI$64,MATCH($F132,사건마스터!$A$5:$A$64,0)),""))</f>
        <v/>
      </c>
      <c r="M132" s="136">
        <f>IF($F132="","",IFERROR(INDEX(사건마스터!$AJ$5:$AJ$64,MATCH($F132,사건마스터!$A$5:$A$64,0)),""))</f>
        <v/>
      </c>
      <c r="N132" s="136">
        <f>IF($F132="","",IFERROR(INDEX(사건마스터!$AK$5:$AK$64,MATCH($F132,사건마스터!$A$5:$A$64,0)),""))</f>
        <v/>
      </c>
      <c r="O132" s="136">
        <f>IF($F132="","",IFERROR(INDEX(사건마스터!$AL$5:$AL$64,MATCH($F132,사건마스터!$A$5:$A$64,0)),""))</f>
        <v/>
      </c>
      <c r="P132" s="136">
        <f>IF($F132="","",IFERROR(INDEX(사건마스터!$AM$5:$AM$64,MATCH($F132,사건마스터!$A$5:$A$64,0)),""))</f>
        <v/>
      </c>
      <c r="Q132" s="136">
        <f>IF($F132="","",IFERROR(INDEX(사건마스터!$AN$5:$AN$64,MATCH($F132,사건마스터!$A$5:$A$64,0)),""))</f>
        <v/>
      </c>
      <c r="R132" s="136">
        <f>IF($F132="","",IFERROR(INDEX(사건마스터!$AO$5:$AO$64,MATCH($F132,사건마스터!$A$5:$A$64,0)),""))</f>
        <v/>
      </c>
      <c r="S132" s="136">
        <f>IF($F132="","",IFERROR(INDEX(사건마스터!$AP$5:$AP$64,MATCH($F132,사건마스터!$A$5:$A$64,0)),""))</f>
        <v/>
      </c>
      <c r="T132" s="136">
        <f>IF($F132="","",IFERROR(INDEX(사건마스터!$AQ$5:$AQ$64,MATCH($F132,사건마스터!$A$5:$A$64,0)),""))</f>
        <v/>
      </c>
      <c r="U132" s="136">
        <f>IF($F132="","",IFERROR(INDEX(사건마스터!$AR$5:$AR$64,MATCH($F132,사건마스터!$A$5:$A$64,0)),""))</f>
        <v/>
      </c>
      <c r="V132" s="136">
        <f>IF($F132="","",IFERROR(INDEX(사건마스터!$AS$5:$AS$64,MATCH($F132,사건마스터!$A$5:$A$64,0)),""))</f>
        <v/>
      </c>
      <c r="W132" s="136">
        <f>IF($F132="","",IFERROR(INDEX(사건마스터!$AT$5:$AT$64,MATCH($F132,사건마스터!$A$5:$A$64,0)),""))</f>
        <v/>
      </c>
      <c r="X132" s="136">
        <f>IF($F132="","",IFERROR(INDEX(사건마스터!$AU$5:$AU$64,MATCH($F132,사건마스터!$A$5:$A$64,0)),""))</f>
        <v/>
      </c>
      <c r="Y132" s="136">
        <f>IF($F132="","",IFERROR(INDEX(사건마스터!$AV$5:$AV$64,MATCH($F132,사건마스터!$A$5:$A$64,0)),""))</f>
        <v/>
      </c>
      <c r="Z132" s="118">
        <f>IF(COUNTBLANK($J132:$Y132)=16,"",16-COUNTBLANK($J132:$Y132))</f>
        <v/>
      </c>
      <c r="AA132" s="33">
        <f>IF($J132="",MID($AX132,3,255),$J132&amp;$AX132)</f>
        <v/>
      </c>
      <c r="AB132" s="130">
        <f>IF($J132="","",IFERROR(INDEX(코드설정!$D$5:$D$24,MATCH($J132,코드설정!$C$5:$C$24,0)),""))</f>
        <v/>
      </c>
      <c r="AC132" s="36" t="n"/>
      <c r="AD132" s="37" t="n"/>
      <c r="AE132" s="38" t="n"/>
      <c r="AF132" s="118">
        <f>IF(OR($B132="",$C132=""),"",$C132-$B132+1)</f>
        <v/>
      </c>
      <c r="AG132" s="74" t="n"/>
      <c r="AH132" s="36" t="n"/>
      <c r="AJ132">
        <f>IF($K132="","",", "&amp;$K132)</f>
        <v/>
      </c>
      <c r="AK132">
        <f>AJ132&amp;IF($L132="","",", "&amp;$L132)</f>
        <v/>
      </c>
      <c r="AL132">
        <f>AK132&amp;IF($M132="","",", "&amp;$M132)</f>
        <v/>
      </c>
      <c r="AM132">
        <f>AL132&amp;IF($N132="","",", "&amp;$N132)</f>
        <v/>
      </c>
      <c r="AN132">
        <f>AM132&amp;IF($O132="","",", "&amp;$O132)</f>
        <v/>
      </c>
      <c r="AO132">
        <f>AN132&amp;IF($P132="","",", "&amp;$P132)</f>
        <v/>
      </c>
      <c r="AP132">
        <f>AO132&amp;IF($Q132="","",", "&amp;$Q132)</f>
        <v/>
      </c>
      <c r="AQ132">
        <f>AP132&amp;IF($R132="","",", "&amp;$R132)</f>
        <v/>
      </c>
      <c r="AR132">
        <f>AQ132&amp;IF($S132="","",", "&amp;$S132)</f>
        <v/>
      </c>
      <c r="AS132">
        <f>AR132&amp;IF($T132="","",", "&amp;$T132)</f>
        <v/>
      </c>
      <c r="AT132">
        <f>AS132&amp;IF($U132="","",", "&amp;$U132)</f>
        <v/>
      </c>
      <c r="AU132">
        <f>AT132&amp;IF($V132="","",", "&amp;$V132)</f>
        <v/>
      </c>
      <c r="AV132">
        <f>AU132&amp;IF($W132="","",", "&amp;$W132)</f>
        <v/>
      </c>
      <c r="AW132">
        <f>AV132&amp;IF($X132="","",", "&amp;$X132)</f>
        <v/>
      </c>
      <c r="AX132">
        <f>AW132&amp;IF($Y132="","",", "&amp;$Y132)</f>
        <v/>
      </c>
    </row>
    <row r="133">
      <c r="A133" s="118">
        <f>IF($B133="","",COUNT($B$5:$B133))</f>
        <v/>
      </c>
      <c r="B133" s="80" t="n"/>
      <c r="C133" s="80" t="n"/>
      <c r="D133" s="74" t="n"/>
      <c r="E133" s="74" t="n"/>
      <c r="F133" s="74" t="n"/>
      <c r="G133" s="118">
        <f>IF($F133="","",COUNTIF($F$5:$F133,$F133))</f>
        <v/>
      </c>
      <c r="H133" s="33">
        <f>IF($F133="","",IFERROR(INDEX(사건마스터!$B$5:$B$64,MATCH($F133,사건마스터!$A$5:$A$64,0)),""))</f>
        <v/>
      </c>
      <c r="I133" s="130">
        <f>IF($F133="","",IFERROR(INDEX(사건마스터!$C$5:$C$64,MATCH($F133,사건마스터!$A$5:$A$64,0)),""))</f>
        <v/>
      </c>
      <c r="J133" s="136">
        <f>IF($F133="","",IFERROR(INDEX(사건마스터!$H$5:$H$64,MATCH($F133,사건마스터!$A$5:$A$64,0)),""))</f>
        <v/>
      </c>
      <c r="K133" s="136">
        <f>IF($F133="","",IFERROR(INDEX(사건마스터!$AH$5:$AH$64,MATCH($F133,사건마스터!$A$5:$A$64,0)),""))</f>
        <v/>
      </c>
      <c r="L133" s="136">
        <f>IF($F133="","",IFERROR(INDEX(사건마스터!$AI$5:$AI$64,MATCH($F133,사건마스터!$A$5:$A$64,0)),""))</f>
        <v/>
      </c>
      <c r="M133" s="136">
        <f>IF($F133="","",IFERROR(INDEX(사건마스터!$AJ$5:$AJ$64,MATCH($F133,사건마스터!$A$5:$A$64,0)),""))</f>
        <v/>
      </c>
      <c r="N133" s="136">
        <f>IF($F133="","",IFERROR(INDEX(사건마스터!$AK$5:$AK$64,MATCH($F133,사건마스터!$A$5:$A$64,0)),""))</f>
        <v/>
      </c>
      <c r="O133" s="136">
        <f>IF($F133="","",IFERROR(INDEX(사건마스터!$AL$5:$AL$64,MATCH($F133,사건마스터!$A$5:$A$64,0)),""))</f>
        <v/>
      </c>
      <c r="P133" s="136">
        <f>IF($F133="","",IFERROR(INDEX(사건마스터!$AM$5:$AM$64,MATCH($F133,사건마스터!$A$5:$A$64,0)),""))</f>
        <v/>
      </c>
      <c r="Q133" s="136">
        <f>IF($F133="","",IFERROR(INDEX(사건마스터!$AN$5:$AN$64,MATCH($F133,사건마스터!$A$5:$A$64,0)),""))</f>
        <v/>
      </c>
      <c r="R133" s="136">
        <f>IF($F133="","",IFERROR(INDEX(사건마스터!$AO$5:$AO$64,MATCH($F133,사건마스터!$A$5:$A$64,0)),""))</f>
        <v/>
      </c>
      <c r="S133" s="136">
        <f>IF($F133="","",IFERROR(INDEX(사건마스터!$AP$5:$AP$64,MATCH($F133,사건마스터!$A$5:$A$64,0)),""))</f>
        <v/>
      </c>
      <c r="T133" s="136">
        <f>IF($F133="","",IFERROR(INDEX(사건마스터!$AQ$5:$AQ$64,MATCH($F133,사건마스터!$A$5:$A$64,0)),""))</f>
        <v/>
      </c>
      <c r="U133" s="136">
        <f>IF($F133="","",IFERROR(INDEX(사건마스터!$AR$5:$AR$64,MATCH($F133,사건마스터!$A$5:$A$64,0)),""))</f>
        <v/>
      </c>
      <c r="V133" s="136">
        <f>IF($F133="","",IFERROR(INDEX(사건마스터!$AS$5:$AS$64,MATCH($F133,사건마스터!$A$5:$A$64,0)),""))</f>
        <v/>
      </c>
      <c r="W133" s="136">
        <f>IF($F133="","",IFERROR(INDEX(사건마스터!$AT$5:$AT$64,MATCH($F133,사건마스터!$A$5:$A$64,0)),""))</f>
        <v/>
      </c>
      <c r="X133" s="136">
        <f>IF($F133="","",IFERROR(INDEX(사건마스터!$AU$5:$AU$64,MATCH($F133,사건마스터!$A$5:$A$64,0)),""))</f>
        <v/>
      </c>
      <c r="Y133" s="136">
        <f>IF($F133="","",IFERROR(INDEX(사건마스터!$AV$5:$AV$64,MATCH($F133,사건마스터!$A$5:$A$64,0)),""))</f>
        <v/>
      </c>
      <c r="Z133" s="118">
        <f>IF(COUNTBLANK($J133:$Y133)=16,"",16-COUNTBLANK($J133:$Y133))</f>
        <v/>
      </c>
      <c r="AA133" s="33">
        <f>IF($J133="",MID($AX133,3,255),$J133&amp;$AX133)</f>
        <v/>
      </c>
      <c r="AB133" s="130">
        <f>IF($J133="","",IFERROR(INDEX(코드설정!$D$5:$D$24,MATCH($J133,코드설정!$C$5:$C$24,0)),""))</f>
        <v/>
      </c>
      <c r="AC133" s="36" t="n"/>
      <c r="AD133" s="37" t="n"/>
      <c r="AE133" s="38" t="n"/>
      <c r="AF133" s="118">
        <f>IF(OR($B133="",$C133=""),"",$C133-$B133+1)</f>
        <v/>
      </c>
      <c r="AG133" s="74" t="n"/>
      <c r="AH133" s="36" t="n"/>
      <c r="AJ133">
        <f>IF($K133="","",", "&amp;$K133)</f>
        <v/>
      </c>
      <c r="AK133">
        <f>AJ133&amp;IF($L133="","",", "&amp;$L133)</f>
        <v/>
      </c>
      <c r="AL133">
        <f>AK133&amp;IF($M133="","",", "&amp;$M133)</f>
        <v/>
      </c>
      <c r="AM133">
        <f>AL133&amp;IF($N133="","",", "&amp;$N133)</f>
        <v/>
      </c>
      <c r="AN133">
        <f>AM133&amp;IF($O133="","",", "&amp;$O133)</f>
        <v/>
      </c>
      <c r="AO133">
        <f>AN133&amp;IF($P133="","",", "&amp;$P133)</f>
        <v/>
      </c>
      <c r="AP133">
        <f>AO133&amp;IF($Q133="","",", "&amp;$Q133)</f>
        <v/>
      </c>
      <c r="AQ133">
        <f>AP133&amp;IF($R133="","",", "&amp;$R133)</f>
        <v/>
      </c>
      <c r="AR133">
        <f>AQ133&amp;IF($S133="","",", "&amp;$S133)</f>
        <v/>
      </c>
      <c r="AS133">
        <f>AR133&amp;IF($T133="","",", "&amp;$T133)</f>
        <v/>
      </c>
      <c r="AT133">
        <f>AS133&amp;IF($U133="","",", "&amp;$U133)</f>
        <v/>
      </c>
      <c r="AU133">
        <f>AT133&amp;IF($V133="","",", "&amp;$V133)</f>
        <v/>
      </c>
      <c r="AV133">
        <f>AU133&amp;IF($W133="","",", "&amp;$W133)</f>
        <v/>
      </c>
      <c r="AW133">
        <f>AV133&amp;IF($X133="","",", "&amp;$X133)</f>
        <v/>
      </c>
      <c r="AX133">
        <f>AW133&amp;IF($Y133="","",", "&amp;$Y133)</f>
        <v/>
      </c>
    </row>
    <row r="134">
      <c r="A134" s="118">
        <f>IF($B134="","",COUNT($B$5:$B134))</f>
        <v/>
      </c>
      <c r="B134" s="80" t="n"/>
      <c r="C134" s="80" t="n"/>
      <c r="D134" s="74" t="n"/>
      <c r="E134" s="74" t="n"/>
      <c r="F134" s="74" t="n"/>
      <c r="G134" s="118">
        <f>IF($F134="","",COUNTIF($F$5:$F134,$F134))</f>
        <v/>
      </c>
      <c r="H134" s="33">
        <f>IF($F134="","",IFERROR(INDEX(사건마스터!$B$5:$B$64,MATCH($F134,사건마스터!$A$5:$A$64,0)),""))</f>
        <v/>
      </c>
      <c r="I134" s="130">
        <f>IF($F134="","",IFERROR(INDEX(사건마스터!$C$5:$C$64,MATCH($F134,사건마스터!$A$5:$A$64,0)),""))</f>
        <v/>
      </c>
      <c r="J134" s="136">
        <f>IF($F134="","",IFERROR(INDEX(사건마스터!$H$5:$H$64,MATCH($F134,사건마스터!$A$5:$A$64,0)),""))</f>
        <v/>
      </c>
      <c r="K134" s="136">
        <f>IF($F134="","",IFERROR(INDEX(사건마스터!$AH$5:$AH$64,MATCH($F134,사건마스터!$A$5:$A$64,0)),""))</f>
        <v/>
      </c>
      <c r="L134" s="136">
        <f>IF($F134="","",IFERROR(INDEX(사건마스터!$AI$5:$AI$64,MATCH($F134,사건마스터!$A$5:$A$64,0)),""))</f>
        <v/>
      </c>
      <c r="M134" s="136">
        <f>IF($F134="","",IFERROR(INDEX(사건마스터!$AJ$5:$AJ$64,MATCH($F134,사건마스터!$A$5:$A$64,0)),""))</f>
        <v/>
      </c>
      <c r="N134" s="136">
        <f>IF($F134="","",IFERROR(INDEX(사건마스터!$AK$5:$AK$64,MATCH($F134,사건마스터!$A$5:$A$64,0)),""))</f>
        <v/>
      </c>
      <c r="O134" s="136">
        <f>IF($F134="","",IFERROR(INDEX(사건마스터!$AL$5:$AL$64,MATCH($F134,사건마스터!$A$5:$A$64,0)),""))</f>
        <v/>
      </c>
      <c r="P134" s="136">
        <f>IF($F134="","",IFERROR(INDEX(사건마스터!$AM$5:$AM$64,MATCH($F134,사건마스터!$A$5:$A$64,0)),""))</f>
        <v/>
      </c>
      <c r="Q134" s="136">
        <f>IF($F134="","",IFERROR(INDEX(사건마스터!$AN$5:$AN$64,MATCH($F134,사건마스터!$A$5:$A$64,0)),""))</f>
        <v/>
      </c>
      <c r="R134" s="136">
        <f>IF($F134="","",IFERROR(INDEX(사건마스터!$AO$5:$AO$64,MATCH($F134,사건마스터!$A$5:$A$64,0)),""))</f>
        <v/>
      </c>
      <c r="S134" s="136">
        <f>IF($F134="","",IFERROR(INDEX(사건마스터!$AP$5:$AP$64,MATCH($F134,사건마스터!$A$5:$A$64,0)),""))</f>
        <v/>
      </c>
      <c r="T134" s="136">
        <f>IF($F134="","",IFERROR(INDEX(사건마스터!$AQ$5:$AQ$64,MATCH($F134,사건마스터!$A$5:$A$64,0)),""))</f>
        <v/>
      </c>
      <c r="U134" s="136">
        <f>IF($F134="","",IFERROR(INDEX(사건마스터!$AR$5:$AR$64,MATCH($F134,사건마스터!$A$5:$A$64,0)),""))</f>
        <v/>
      </c>
      <c r="V134" s="136">
        <f>IF($F134="","",IFERROR(INDEX(사건마스터!$AS$5:$AS$64,MATCH($F134,사건마스터!$A$5:$A$64,0)),""))</f>
        <v/>
      </c>
      <c r="W134" s="136">
        <f>IF($F134="","",IFERROR(INDEX(사건마스터!$AT$5:$AT$64,MATCH($F134,사건마스터!$A$5:$A$64,0)),""))</f>
        <v/>
      </c>
      <c r="X134" s="136">
        <f>IF($F134="","",IFERROR(INDEX(사건마스터!$AU$5:$AU$64,MATCH($F134,사건마스터!$A$5:$A$64,0)),""))</f>
        <v/>
      </c>
      <c r="Y134" s="136">
        <f>IF($F134="","",IFERROR(INDEX(사건마스터!$AV$5:$AV$64,MATCH($F134,사건마스터!$A$5:$A$64,0)),""))</f>
        <v/>
      </c>
      <c r="Z134" s="118">
        <f>IF(COUNTBLANK($J134:$Y134)=16,"",16-COUNTBLANK($J134:$Y134))</f>
        <v/>
      </c>
      <c r="AA134" s="33">
        <f>IF($J134="",MID($AX134,3,255),$J134&amp;$AX134)</f>
        <v/>
      </c>
      <c r="AB134" s="130">
        <f>IF($J134="","",IFERROR(INDEX(코드설정!$D$5:$D$24,MATCH($J134,코드설정!$C$5:$C$24,0)),""))</f>
        <v/>
      </c>
      <c r="AC134" s="36" t="n"/>
      <c r="AD134" s="37" t="n"/>
      <c r="AE134" s="38" t="n"/>
      <c r="AF134" s="118">
        <f>IF(OR($B134="",$C134=""),"",$C134-$B134+1)</f>
        <v/>
      </c>
      <c r="AG134" s="74" t="n"/>
      <c r="AH134" s="36" t="n"/>
      <c r="AJ134">
        <f>IF($K134="","",", "&amp;$K134)</f>
        <v/>
      </c>
      <c r="AK134">
        <f>AJ134&amp;IF($L134="","",", "&amp;$L134)</f>
        <v/>
      </c>
      <c r="AL134">
        <f>AK134&amp;IF($M134="","",", "&amp;$M134)</f>
        <v/>
      </c>
      <c r="AM134">
        <f>AL134&amp;IF($N134="","",", "&amp;$N134)</f>
        <v/>
      </c>
      <c r="AN134">
        <f>AM134&amp;IF($O134="","",", "&amp;$O134)</f>
        <v/>
      </c>
      <c r="AO134">
        <f>AN134&amp;IF($P134="","",", "&amp;$P134)</f>
        <v/>
      </c>
      <c r="AP134">
        <f>AO134&amp;IF($Q134="","",", "&amp;$Q134)</f>
        <v/>
      </c>
      <c r="AQ134">
        <f>AP134&amp;IF($R134="","",", "&amp;$R134)</f>
        <v/>
      </c>
      <c r="AR134">
        <f>AQ134&amp;IF($S134="","",", "&amp;$S134)</f>
        <v/>
      </c>
      <c r="AS134">
        <f>AR134&amp;IF($T134="","",", "&amp;$T134)</f>
        <v/>
      </c>
      <c r="AT134">
        <f>AS134&amp;IF($U134="","",", "&amp;$U134)</f>
        <v/>
      </c>
      <c r="AU134">
        <f>AT134&amp;IF($V134="","",", "&amp;$V134)</f>
        <v/>
      </c>
      <c r="AV134">
        <f>AU134&amp;IF($W134="","",", "&amp;$W134)</f>
        <v/>
      </c>
      <c r="AW134">
        <f>AV134&amp;IF($X134="","",", "&amp;$X134)</f>
        <v/>
      </c>
      <c r="AX134">
        <f>AW134&amp;IF($Y134="","",", "&amp;$Y134)</f>
        <v/>
      </c>
    </row>
    <row r="135">
      <c r="A135" s="118">
        <f>IF($B135="","",COUNT($B$5:$B135))</f>
        <v/>
      </c>
      <c r="B135" s="80" t="n"/>
      <c r="C135" s="80" t="n"/>
      <c r="D135" s="74" t="n"/>
      <c r="E135" s="74" t="n"/>
      <c r="F135" s="74" t="n"/>
      <c r="G135" s="118">
        <f>IF($F135="","",COUNTIF($F$5:$F135,$F135))</f>
        <v/>
      </c>
      <c r="H135" s="33">
        <f>IF($F135="","",IFERROR(INDEX(사건마스터!$B$5:$B$64,MATCH($F135,사건마스터!$A$5:$A$64,0)),""))</f>
        <v/>
      </c>
      <c r="I135" s="130">
        <f>IF($F135="","",IFERROR(INDEX(사건마스터!$C$5:$C$64,MATCH($F135,사건마스터!$A$5:$A$64,0)),""))</f>
        <v/>
      </c>
      <c r="J135" s="136">
        <f>IF($F135="","",IFERROR(INDEX(사건마스터!$H$5:$H$64,MATCH($F135,사건마스터!$A$5:$A$64,0)),""))</f>
        <v/>
      </c>
      <c r="K135" s="136">
        <f>IF($F135="","",IFERROR(INDEX(사건마스터!$AH$5:$AH$64,MATCH($F135,사건마스터!$A$5:$A$64,0)),""))</f>
        <v/>
      </c>
      <c r="L135" s="136">
        <f>IF($F135="","",IFERROR(INDEX(사건마스터!$AI$5:$AI$64,MATCH($F135,사건마스터!$A$5:$A$64,0)),""))</f>
        <v/>
      </c>
      <c r="M135" s="136">
        <f>IF($F135="","",IFERROR(INDEX(사건마스터!$AJ$5:$AJ$64,MATCH($F135,사건마스터!$A$5:$A$64,0)),""))</f>
        <v/>
      </c>
      <c r="N135" s="136">
        <f>IF($F135="","",IFERROR(INDEX(사건마스터!$AK$5:$AK$64,MATCH($F135,사건마스터!$A$5:$A$64,0)),""))</f>
        <v/>
      </c>
      <c r="O135" s="136">
        <f>IF($F135="","",IFERROR(INDEX(사건마스터!$AL$5:$AL$64,MATCH($F135,사건마스터!$A$5:$A$64,0)),""))</f>
        <v/>
      </c>
      <c r="P135" s="136">
        <f>IF($F135="","",IFERROR(INDEX(사건마스터!$AM$5:$AM$64,MATCH($F135,사건마스터!$A$5:$A$64,0)),""))</f>
        <v/>
      </c>
      <c r="Q135" s="136">
        <f>IF($F135="","",IFERROR(INDEX(사건마스터!$AN$5:$AN$64,MATCH($F135,사건마스터!$A$5:$A$64,0)),""))</f>
        <v/>
      </c>
      <c r="R135" s="136">
        <f>IF($F135="","",IFERROR(INDEX(사건마스터!$AO$5:$AO$64,MATCH($F135,사건마스터!$A$5:$A$64,0)),""))</f>
        <v/>
      </c>
      <c r="S135" s="136">
        <f>IF($F135="","",IFERROR(INDEX(사건마스터!$AP$5:$AP$64,MATCH($F135,사건마스터!$A$5:$A$64,0)),""))</f>
        <v/>
      </c>
      <c r="T135" s="136">
        <f>IF($F135="","",IFERROR(INDEX(사건마스터!$AQ$5:$AQ$64,MATCH($F135,사건마스터!$A$5:$A$64,0)),""))</f>
        <v/>
      </c>
      <c r="U135" s="136">
        <f>IF($F135="","",IFERROR(INDEX(사건마스터!$AR$5:$AR$64,MATCH($F135,사건마스터!$A$5:$A$64,0)),""))</f>
        <v/>
      </c>
      <c r="V135" s="136">
        <f>IF($F135="","",IFERROR(INDEX(사건마스터!$AS$5:$AS$64,MATCH($F135,사건마스터!$A$5:$A$64,0)),""))</f>
        <v/>
      </c>
      <c r="W135" s="136">
        <f>IF($F135="","",IFERROR(INDEX(사건마스터!$AT$5:$AT$64,MATCH($F135,사건마스터!$A$5:$A$64,0)),""))</f>
        <v/>
      </c>
      <c r="X135" s="136">
        <f>IF($F135="","",IFERROR(INDEX(사건마스터!$AU$5:$AU$64,MATCH($F135,사건마스터!$A$5:$A$64,0)),""))</f>
        <v/>
      </c>
      <c r="Y135" s="136">
        <f>IF($F135="","",IFERROR(INDEX(사건마스터!$AV$5:$AV$64,MATCH($F135,사건마스터!$A$5:$A$64,0)),""))</f>
        <v/>
      </c>
      <c r="Z135" s="118">
        <f>IF(COUNTBLANK($J135:$Y135)=16,"",16-COUNTBLANK($J135:$Y135))</f>
        <v/>
      </c>
      <c r="AA135" s="33">
        <f>IF($J135="",MID($AX135,3,255),$J135&amp;$AX135)</f>
        <v/>
      </c>
      <c r="AB135" s="130">
        <f>IF($J135="","",IFERROR(INDEX(코드설정!$D$5:$D$24,MATCH($J135,코드설정!$C$5:$C$24,0)),""))</f>
        <v/>
      </c>
      <c r="AC135" s="36" t="n"/>
      <c r="AD135" s="37" t="n"/>
      <c r="AE135" s="38" t="n"/>
      <c r="AF135" s="118">
        <f>IF(OR($B135="",$C135=""),"",$C135-$B135+1)</f>
        <v/>
      </c>
      <c r="AG135" s="74" t="n"/>
      <c r="AH135" s="36" t="n"/>
      <c r="AJ135">
        <f>IF($K135="","",", "&amp;$K135)</f>
        <v/>
      </c>
      <c r="AK135">
        <f>AJ135&amp;IF($L135="","",", "&amp;$L135)</f>
        <v/>
      </c>
      <c r="AL135">
        <f>AK135&amp;IF($M135="","",", "&amp;$M135)</f>
        <v/>
      </c>
      <c r="AM135">
        <f>AL135&amp;IF($N135="","",", "&amp;$N135)</f>
        <v/>
      </c>
      <c r="AN135">
        <f>AM135&amp;IF($O135="","",", "&amp;$O135)</f>
        <v/>
      </c>
      <c r="AO135">
        <f>AN135&amp;IF($P135="","",", "&amp;$P135)</f>
        <v/>
      </c>
      <c r="AP135">
        <f>AO135&amp;IF($Q135="","",", "&amp;$Q135)</f>
        <v/>
      </c>
      <c r="AQ135">
        <f>AP135&amp;IF($R135="","",", "&amp;$R135)</f>
        <v/>
      </c>
      <c r="AR135">
        <f>AQ135&amp;IF($S135="","",", "&amp;$S135)</f>
        <v/>
      </c>
      <c r="AS135">
        <f>AR135&amp;IF($T135="","",", "&amp;$T135)</f>
        <v/>
      </c>
      <c r="AT135">
        <f>AS135&amp;IF($U135="","",", "&amp;$U135)</f>
        <v/>
      </c>
      <c r="AU135">
        <f>AT135&amp;IF($V135="","",", "&amp;$V135)</f>
        <v/>
      </c>
      <c r="AV135">
        <f>AU135&amp;IF($W135="","",", "&amp;$W135)</f>
        <v/>
      </c>
      <c r="AW135">
        <f>AV135&amp;IF($X135="","",", "&amp;$X135)</f>
        <v/>
      </c>
      <c r="AX135">
        <f>AW135&amp;IF($Y135="","",", "&amp;$Y135)</f>
        <v/>
      </c>
    </row>
    <row r="136">
      <c r="A136" s="118">
        <f>IF($B136="","",COUNT($B$5:$B136))</f>
        <v/>
      </c>
      <c r="B136" s="80" t="n"/>
      <c r="C136" s="80" t="n"/>
      <c r="D136" s="74" t="n"/>
      <c r="E136" s="74" t="n"/>
      <c r="F136" s="74" t="n"/>
      <c r="G136" s="118">
        <f>IF($F136="","",COUNTIF($F$5:$F136,$F136))</f>
        <v/>
      </c>
      <c r="H136" s="33">
        <f>IF($F136="","",IFERROR(INDEX(사건마스터!$B$5:$B$64,MATCH($F136,사건마스터!$A$5:$A$64,0)),""))</f>
        <v/>
      </c>
      <c r="I136" s="130">
        <f>IF($F136="","",IFERROR(INDEX(사건마스터!$C$5:$C$64,MATCH($F136,사건마스터!$A$5:$A$64,0)),""))</f>
        <v/>
      </c>
      <c r="J136" s="136">
        <f>IF($F136="","",IFERROR(INDEX(사건마스터!$H$5:$H$64,MATCH($F136,사건마스터!$A$5:$A$64,0)),""))</f>
        <v/>
      </c>
      <c r="K136" s="136">
        <f>IF($F136="","",IFERROR(INDEX(사건마스터!$AH$5:$AH$64,MATCH($F136,사건마스터!$A$5:$A$64,0)),""))</f>
        <v/>
      </c>
      <c r="L136" s="136">
        <f>IF($F136="","",IFERROR(INDEX(사건마스터!$AI$5:$AI$64,MATCH($F136,사건마스터!$A$5:$A$64,0)),""))</f>
        <v/>
      </c>
      <c r="M136" s="136">
        <f>IF($F136="","",IFERROR(INDEX(사건마스터!$AJ$5:$AJ$64,MATCH($F136,사건마스터!$A$5:$A$64,0)),""))</f>
        <v/>
      </c>
      <c r="N136" s="136">
        <f>IF($F136="","",IFERROR(INDEX(사건마스터!$AK$5:$AK$64,MATCH($F136,사건마스터!$A$5:$A$64,0)),""))</f>
        <v/>
      </c>
      <c r="O136" s="136">
        <f>IF($F136="","",IFERROR(INDEX(사건마스터!$AL$5:$AL$64,MATCH($F136,사건마스터!$A$5:$A$64,0)),""))</f>
        <v/>
      </c>
      <c r="P136" s="136">
        <f>IF($F136="","",IFERROR(INDEX(사건마스터!$AM$5:$AM$64,MATCH($F136,사건마스터!$A$5:$A$64,0)),""))</f>
        <v/>
      </c>
      <c r="Q136" s="136">
        <f>IF($F136="","",IFERROR(INDEX(사건마스터!$AN$5:$AN$64,MATCH($F136,사건마스터!$A$5:$A$64,0)),""))</f>
        <v/>
      </c>
      <c r="R136" s="136">
        <f>IF($F136="","",IFERROR(INDEX(사건마스터!$AO$5:$AO$64,MATCH($F136,사건마스터!$A$5:$A$64,0)),""))</f>
        <v/>
      </c>
      <c r="S136" s="136">
        <f>IF($F136="","",IFERROR(INDEX(사건마스터!$AP$5:$AP$64,MATCH($F136,사건마스터!$A$5:$A$64,0)),""))</f>
        <v/>
      </c>
      <c r="T136" s="136">
        <f>IF($F136="","",IFERROR(INDEX(사건마스터!$AQ$5:$AQ$64,MATCH($F136,사건마스터!$A$5:$A$64,0)),""))</f>
        <v/>
      </c>
      <c r="U136" s="136">
        <f>IF($F136="","",IFERROR(INDEX(사건마스터!$AR$5:$AR$64,MATCH($F136,사건마스터!$A$5:$A$64,0)),""))</f>
        <v/>
      </c>
      <c r="V136" s="136">
        <f>IF($F136="","",IFERROR(INDEX(사건마스터!$AS$5:$AS$64,MATCH($F136,사건마스터!$A$5:$A$64,0)),""))</f>
        <v/>
      </c>
      <c r="W136" s="136">
        <f>IF($F136="","",IFERROR(INDEX(사건마스터!$AT$5:$AT$64,MATCH($F136,사건마스터!$A$5:$A$64,0)),""))</f>
        <v/>
      </c>
      <c r="X136" s="136">
        <f>IF($F136="","",IFERROR(INDEX(사건마스터!$AU$5:$AU$64,MATCH($F136,사건마스터!$A$5:$A$64,0)),""))</f>
        <v/>
      </c>
      <c r="Y136" s="136">
        <f>IF($F136="","",IFERROR(INDEX(사건마스터!$AV$5:$AV$64,MATCH($F136,사건마스터!$A$5:$A$64,0)),""))</f>
        <v/>
      </c>
      <c r="Z136" s="118">
        <f>IF(COUNTBLANK($J136:$Y136)=16,"",16-COUNTBLANK($J136:$Y136))</f>
        <v/>
      </c>
      <c r="AA136" s="33">
        <f>IF($J136="",MID($AX136,3,255),$J136&amp;$AX136)</f>
        <v/>
      </c>
      <c r="AB136" s="130">
        <f>IF($J136="","",IFERROR(INDEX(코드설정!$D$5:$D$24,MATCH($J136,코드설정!$C$5:$C$24,0)),""))</f>
        <v/>
      </c>
      <c r="AC136" s="36" t="n"/>
      <c r="AD136" s="37" t="n"/>
      <c r="AE136" s="38" t="n"/>
      <c r="AF136" s="118">
        <f>IF(OR($B136="",$C136=""),"",$C136-$B136+1)</f>
        <v/>
      </c>
      <c r="AG136" s="74" t="n"/>
      <c r="AH136" s="36" t="n"/>
      <c r="AJ136">
        <f>IF($K136="","",", "&amp;$K136)</f>
        <v/>
      </c>
      <c r="AK136">
        <f>AJ136&amp;IF($L136="","",", "&amp;$L136)</f>
        <v/>
      </c>
      <c r="AL136">
        <f>AK136&amp;IF($M136="","",", "&amp;$M136)</f>
        <v/>
      </c>
      <c r="AM136">
        <f>AL136&amp;IF($N136="","",", "&amp;$N136)</f>
        <v/>
      </c>
      <c r="AN136">
        <f>AM136&amp;IF($O136="","",", "&amp;$O136)</f>
        <v/>
      </c>
      <c r="AO136">
        <f>AN136&amp;IF($P136="","",", "&amp;$P136)</f>
        <v/>
      </c>
      <c r="AP136">
        <f>AO136&amp;IF($Q136="","",", "&amp;$Q136)</f>
        <v/>
      </c>
      <c r="AQ136">
        <f>AP136&amp;IF($R136="","",", "&amp;$R136)</f>
        <v/>
      </c>
      <c r="AR136">
        <f>AQ136&amp;IF($S136="","",", "&amp;$S136)</f>
        <v/>
      </c>
      <c r="AS136">
        <f>AR136&amp;IF($T136="","",", "&amp;$T136)</f>
        <v/>
      </c>
      <c r="AT136">
        <f>AS136&amp;IF($U136="","",", "&amp;$U136)</f>
        <v/>
      </c>
      <c r="AU136">
        <f>AT136&amp;IF($V136="","",", "&amp;$V136)</f>
        <v/>
      </c>
      <c r="AV136">
        <f>AU136&amp;IF($W136="","",", "&amp;$W136)</f>
        <v/>
      </c>
      <c r="AW136">
        <f>AV136&amp;IF($X136="","",", "&amp;$X136)</f>
        <v/>
      </c>
      <c r="AX136">
        <f>AW136&amp;IF($Y136="","",", "&amp;$Y136)</f>
        <v/>
      </c>
    </row>
    <row r="137">
      <c r="A137" s="118">
        <f>IF($B137="","",COUNT($B$5:$B137))</f>
        <v/>
      </c>
      <c r="B137" s="80" t="n"/>
      <c r="C137" s="80" t="n"/>
      <c r="D137" s="74" t="n"/>
      <c r="E137" s="74" t="n"/>
      <c r="F137" s="74" t="n"/>
      <c r="G137" s="118">
        <f>IF($F137="","",COUNTIF($F$5:$F137,$F137))</f>
        <v/>
      </c>
      <c r="H137" s="33">
        <f>IF($F137="","",IFERROR(INDEX(사건마스터!$B$5:$B$64,MATCH($F137,사건마스터!$A$5:$A$64,0)),""))</f>
        <v/>
      </c>
      <c r="I137" s="130">
        <f>IF($F137="","",IFERROR(INDEX(사건마스터!$C$5:$C$64,MATCH($F137,사건마스터!$A$5:$A$64,0)),""))</f>
        <v/>
      </c>
      <c r="J137" s="136">
        <f>IF($F137="","",IFERROR(INDEX(사건마스터!$H$5:$H$64,MATCH($F137,사건마스터!$A$5:$A$64,0)),""))</f>
        <v/>
      </c>
      <c r="K137" s="136">
        <f>IF($F137="","",IFERROR(INDEX(사건마스터!$AH$5:$AH$64,MATCH($F137,사건마스터!$A$5:$A$64,0)),""))</f>
        <v/>
      </c>
      <c r="L137" s="136">
        <f>IF($F137="","",IFERROR(INDEX(사건마스터!$AI$5:$AI$64,MATCH($F137,사건마스터!$A$5:$A$64,0)),""))</f>
        <v/>
      </c>
      <c r="M137" s="136">
        <f>IF($F137="","",IFERROR(INDEX(사건마스터!$AJ$5:$AJ$64,MATCH($F137,사건마스터!$A$5:$A$64,0)),""))</f>
        <v/>
      </c>
      <c r="N137" s="136">
        <f>IF($F137="","",IFERROR(INDEX(사건마스터!$AK$5:$AK$64,MATCH($F137,사건마스터!$A$5:$A$64,0)),""))</f>
        <v/>
      </c>
      <c r="O137" s="136">
        <f>IF($F137="","",IFERROR(INDEX(사건마스터!$AL$5:$AL$64,MATCH($F137,사건마스터!$A$5:$A$64,0)),""))</f>
        <v/>
      </c>
      <c r="P137" s="136">
        <f>IF($F137="","",IFERROR(INDEX(사건마스터!$AM$5:$AM$64,MATCH($F137,사건마스터!$A$5:$A$64,0)),""))</f>
        <v/>
      </c>
      <c r="Q137" s="136">
        <f>IF($F137="","",IFERROR(INDEX(사건마스터!$AN$5:$AN$64,MATCH($F137,사건마스터!$A$5:$A$64,0)),""))</f>
        <v/>
      </c>
      <c r="R137" s="136">
        <f>IF($F137="","",IFERROR(INDEX(사건마스터!$AO$5:$AO$64,MATCH($F137,사건마스터!$A$5:$A$64,0)),""))</f>
        <v/>
      </c>
      <c r="S137" s="136">
        <f>IF($F137="","",IFERROR(INDEX(사건마스터!$AP$5:$AP$64,MATCH($F137,사건마스터!$A$5:$A$64,0)),""))</f>
        <v/>
      </c>
      <c r="T137" s="136">
        <f>IF($F137="","",IFERROR(INDEX(사건마스터!$AQ$5:$AQ$64,MATCH($F137,사건마스터!$A$5:$A$64,0)),""))</f>
        <v/>
      </c>
      <c r="U137" s="136">
        <f>IF($F137="","",IFERROR(INDEX(사건마스터!$AR$5:$AR$64,MATCH($F137,사건마스터!$A$5:$A$64,0)),""))</f>
        <v/>
      </c>
      <c r="V137" s="136">
        <f>IF($F137="","",IFERROR(INDEX(사건마스터!$AS$5:$AS$64,MATCH($F137,사건마스터!$A$5:$A$64,0)),""))</f>
        <v/>
      </c>
      <c r="W137" s="136">
        <f>IF($F137="","",IFERROR(INDEX(사건마스터!$AT$5:$AT$64,MATCH($F137,사건마스터!$A$5:$A$64,0)),""))</f>
        <v/>
      </c>
      <c r="X137" s="136">
        <f>IF($F137="","",IFERROR(INDEX(사건마스터!$AU$5:$AU$64,MATCH($F137,사건마스터!$A$5:$A$64,0)),""))</f>
        <v/>
      </c>
      <c r="Y137" s="136">
        <f>IF($F137="","",IFERROR(INDEX(사건마스터!$AV$5:$AV$64,MATCH($F137,사건마스터!$A$5:$A$64,0)),""))</f>
        <v/>
      </c>
      <c r="Z137" s="118">
        <f>IF(COUNTBLANK($J137:$Y137)=16,"",16-COUNTBLANK($J137:$Y137))</f>
        <v/>
      </c>
      <c r="AA137" s="33">
        <f>IF($J137="",MID($AX137,3,255),$J137&amp;$AX137)</f>
        <v/>
      </c>
      <c r="AB137" s="130">
        <f>IF($J137="","",IFERROR(INDEX(코드설정!$D$5:$D$24,MATCH($J137,코드설정!$C$5:$C$24,0)),""))</f>
        <v/>
      </c>
      <c r="AC137" s="36" t="n"/>
      <c r="AD137" s="37" t="n"/>
      <c r="AE137" s="38" t="n"/>
      <c r="AF137" s="118">
        <f>IF(OR($B137="",$C137=""),"",$C137-$B137+1)</f>
        <v/>
      </c>
      <c r="AG137" s="74" t="n"/>
      <c r="AH137" s="36" t="n"/>
      <c r="AJ137">
        <f>IF($K137="","",", "&amp;$K137)</f>
        <v/>
      </c>
      <c r="AK137">
        <f>AJ137&amp;IF($L137="","",", "&amp;$L137)</f>
        <v/>
      </c>
      <c r="AL137">
        <f>AK137&amp;IF($M137="","",", "&amp;$M137)</f>
        <v/>
      </c>
      <c r="AM137">
        <f>AL137&amp;IF($N137="","",", "&amp;$N137)</f>
        <v/>
      </c>
      <c r="AN137">
        <f>AM137&amp;IF($O137="","",", "&amp;$O137)</f>
        <v/>
      </c>
      <c r="AO137">
        <f>AN137&amp;IF($P137="","",", "&amp;$P137)</f>
        <v/>
      </c>
      <c r="AP137">
        <f>AO137&amp;IF($Q137="","",", "&amp;$Q137)</f>
        <v/>
      </c>
      <c r="AQ137">
        <f>AP137&amp;IF($R137="","",", "&amp;$R137)</f>
        <v/>
      </c>
      <c r="AR137">
        <f>AQ137&amp;IF($S137="","",", "&amp;$S137)</f>
        <v/>
      </c>
      <c r="AS137">
        <f>AR137&amp;IF($T137="","",", "&amp;$T137)</f>
        <v/>
      </c>
      <c r="AT137">
        <f>AS137&amp;IF($U137="","",", "&amp;$U137)</f>
        <v/>
      </c>
      <c r="AU137">
        <f>AT137&amp;IF($V137="","",", "&amp;$V137)</f>
        <v/>
      </c>
      <c r="AV137">
        <f>AU137&amp;IF($W137="","",", "&amp;$W137)</f>
        <v/>
      </c>
      <c r="AW137">
        <f>AV137&amp;IF($X137="","",", "&amp;$X137)</f>
        <v/>
      </c>
      <c r="AX137">
        <f>AW137&amp;IF($Y137="","",", "&amp;$Y137)</f>
        <v/>
      </c>
    </row>
    <row r="138">
      <c r="A138" s="118">
        <f>IF($B138="","",COUNT($B$5:$B138))</f>
        <v/>
      </c>
      <c r="B138" s="80" t="n"/>
      <c r="C138" s="80" t="n"/>
      <c r="D138" s="74" t="n"/>
      <c r="E138" s="74" t="n"/>
      <c r="F138" s="74" t="n"/>
      <c r="G138" s="118">
        <f>IF($F138="","",COUNTIF($F$5:$F138,$F138))</f>
        <v/>
      </c>
      <c r="H138" s="33">
        <f>IF($F138="","",IFERROR(INDEX(사건마스터!$B$5:$B$64,MATCH($F138,사건마스터!$A$5:$A$64,0)),""))</f>
        <v/>
      </c>
      <c r="I138" s="130">
        <f>IF($F138="","",IFERROR(INDEX(사건마스터!$C$5:$C$64,MATCH($F138,사건마스터!$A$5:$A$64,0)),""))</f>
        <v/>
      </c>
      <c r="J138" s="136">
        <f>IF($F138="","",IFERROR(INDEX(사건마스터!$H$5:$H$64,MATCH($F138,사건마스터!$A$5:$A$64,0)),""))</f>
        <v/>
      </c>
      <c r="K138" s="136">
        <f>IF($F138="","",IFERROR(INDEX(사건마스터!$AH$5:$AH$64,MATCH($F138,사건마스터!$A$5:$A$64,0)),""))</f>
        <v/>
      </c>
      <c r="L138" s="136">
        <f>IF($F138="","",IFERROR(INDEX(사건마스터!$AI$5:$AI$64,MATCH($F138,사건마스터!$A$5:$A$64,0)),""))</f>
        <v/>
      </c>
      <c r="M138" s="136">
        <f>IF($F138="","",IFERROR(INDEX(사건마스터!$AJ$5:$AJ$64,MATCH($F138,사건마스터!$A$5:$A$64,0)),""))</f>
        <v/>
      </c>
      <c r="N138" s="136">
        <f>IF($F138="","",IFERROR(INDEX(사건마스터!$AK$5:$AK$64,MATCH($F138,사건마스터!$A$5:$A$64,0)),""))</f>
        <v/>
      </c>
      <c r="O138" s="136">
        <f>IF($F138="","",IFERROR(INDEX(사건마스터!$AL$5:$AL$64,MATCH($F138,사건마스터!$A$5:$A$64,0)),""))</f>
        <v/>
      </c>
      <c r="P138" s="136">
        <f>IF($F138="","",IFERROR(INDEX(사건마스터!$AM$5:$AM$64,MATCH($F138,사건마스터!$A$5:$A$64,0)),""))</f>
        <v/>
      </c>
      <c r="Q138" s="136">
        <f>IF($F138="","",IFERROR(INDEX(사건마스터!$AN$5:$AN$64,MATCH($F138,사건마스터!$A$5:$A$64,0)),""))</f>
        <v/>
      </c>
      <c r="R138" s="136">
        <f>IF($F138="","",IFERROR(INDEX(사건마스터!$AO$5:$AO$64,MATCH($F138,사건마스터!$A$5:$A$64,0)),""))</f>
        <v/>
      </c>
      <c r="S138" s="136">
        <f>IF($F138="","",IFERROR(INDEX(사건마스터!$AP$5:$AP$64,MATCH($F138,사건마스터!$A$5:$A$64,0)),""))</f>
        <v/>
      </c>
      <c r="T138" s="136">
        <f>IF($F138="","",IFERROR(INDEX(사건마스터!$AQ$5:$AQ$64,MATCH($F138,사건마스터!$A$5:$A$64,0)),""))</f>
        <v/>
      </c>
      <c r="U138" s="136">
        <f>IF($F138="","",IFERROR(INDEX(사건마스터!$AR$5:$AR$64,MATCH($F138,사건마스터!$A$5:$A$64,0)),""))</f>
        <v/>
      </c>
      <c r="V138" s="136">
        <f>IF($F138="","",IFERROR(INDEX(사건마스터!$AS$5:$AS$64,MATCH($F138,사건마스터!$A$5:$A$64,0)),""))</f>
        <v/>
      </c>
      <c r="W138" s="136">
        <f>IF($F138="","",IFERROR(INDEX(사건마스터!$AT$5:$AT$64,MATCH($F138,사건마스터!$A$5:$A$64,0)),""))</f>
        <v/>
      </c>
      <c r="X138" s="136">
        <f>IF($F138="","",IFERROR(INDEX(사건마스터!$AU$5:$AU$64,MATCH($F138,사건마스터!$A$5:$A$64,0)),""))</f>
        <v/>
      </c>
      <c r="Y138" s="136">
        <f>IF($F138="","",IFERROR(INDEX(사건마스터!$AV$5:$AV$64,MATCH($F138,사건마스터!$A$5:$A$64,0)),""))</f>
        <v/>
      </c>
      <c r="Z138" s="118">
        <f>IF(COUNTBLANK($J138:$Y138)=16,"",16-COUNTBLANK($J138:$Y138))</f>
        <v/>
      </c>
      <c r="AA138" s="33">
        <f>IF($J138="",MID($AX138,3,255),$J138&amp;$AX138)</f>
        <v/>
      </c>
      <c r="AB138" s="130">
        <f>IF($J138="","",IFERROR(INDEX(코드설정!$D$5:$D$24,MATCH($J138,코드설정!$C$5:$C$24,0)),""))</f>
        <v/>
      </c>
      <c r="AC138" s="36" t="n"/>
      <c r="AD138" s="37" t="n"/>
      <c r="AE138" s="38" t="n"/>
      <c r="AF138" s="118">
        <f>IF(OR($B138="",$C138=""),"",$C138-$B138+1)</f>
        <v/>
      </c>
      <c r="AG138" s="74" t="n"/>
      <c r="AH138" s="36" t="n"/>
      <c r="AJ138">
        <f>IF($K138="","",", "&amp;$K138)</f>
        <v/>
      </c>
      <c r="AK138">
        <f>AJ138&amp;IF($L138="","",", "&amp;$L138)</f>
        <v/>
      </c>
      <c r="AL138">
        <f>AK138&amp;IF($M138="","",", "&amp;$M138)</f>
        <v/>
      </c>
      <c r="AM138">
        <f>AL138&amp;IF($N138="","",", "&amp;$N138)</f>
        <v/>
      </c>
      <c r="AN138">
        <f>AM138&amp;IF($O138="","",", "&amp;$O138)</f>
        <v/>
      </c>
      <c r="AO138">
        <f>AN138&amp;IF($P138="","",", "&amp;$P138)</f>
        <v/>
      </c>
      <c r="AP138">
        <f>AO138&amp;IF($Q138="","",", "&amp;$Q138)</f>
        <v/>
      </c>
      <c r="AQ138">
        <f>AP138&amp;IF($R138="","",", "&amp;$R138)</f>
        <v/>
      </c>
      <c r="AR138">
        <f>AQ138&amp;IF($S138="","",", "&amp;$S138)</f>
        <v/>
      </c>
      <c r="AS138">
        <f>AR138&amp;IF($T138="","",", "&amp;$T138)</f>
        <v/>
      </c>
      <c r="AT138">
        <f>AS138&amp;IF($U138="","",", "&amp;$U138)</f>
        <v/>
      </c>
      <c r="AU138">
        <f>AT138&amp;IF($V138="","",", "&amp;$V138)</f>
        <v/>
      </c>
      <c r="AV138">
        <f>AU138&amp;IF($W138="","",", "&amp;$W138)</f>
        <v/>
      </c>
      <c r="AW138">
        <f>AV138&amp;IF($X138="","",", "&amp;$X138)</f>
        <v/>
      </c>
      <c r="AX138">
        <f>AW138&amp;IF($Y138="","",", "&amp;$Y138)</f>
        <v/>
      </c>
    </row>
    <row r="139">
      <c r="A139" s="118">
        <f>IF($B139="","",COUNT($B$5:$B139))</f>
        <v/>
      </c>
      <c r="B139" s="80" t="n"/>
      <c r="C139" s="80" t="n"/>
      <c r="D139" s="74" t="n"/>
      <c r="E139" s="74" t="n"/>
      <c r="F139" s="74" t="n"/>
      <c r="G139" s="118">
        <f>IF($F139="","",COUNTIF($F$5:$F139,$F139))</f>
        <v/>
      </c>
      <c r="H139" s="33">
        <f>IF($F139="","",IFERROR(INDEX(사건마스터!$B$5:$B$64,MATCH($F139,사건마스터!$A$5:$A$64,0)),""))</f>
        <v/>
      </c>
      <c r="I139" s="130">
        <f>IF($F139="","",IFERROR(INDEX(사건마스터!$C$5:$C$64,MATCH($F139,사건마스터!$A$5:$A$64,0)),""))</f>
        <v/>
      </c>
      <c r="J139" s="136">
        <f>IF($F139="","",IFERROR(INDEX(사건마스터!$H$5:$H$64,MATCH($F139,사건마스터!$A$5:$A$64,0)),""))</f>
        <v/>
      </c>
      <c r="K139" s="136">
        <f>IF($F139="","",IFERROR(INDEX(사건마스터!$AH$5:$AH$64,MATCH($F139,사건마스터!$A$5:$A$64,0)),""))</f>
        <v/>
      </c>
      <c r="L139" s="136">
        <f>IF($F139="","",IFERROR(INDEX(사건마스터!$AI$5:$AI$64,MATCH($F139,사건마스터!$A$5:$A$64,0)),""))</f>
        <v/>
      </c>
      <c r="M139" s="136">
        <f>IF($F139="","",IFERROR(INDEX(사건마스터!$AJ$5:$AJ$64,MATCH($F139,사건마스터!$A$5:$A$64,0)),""))</f>
        <v/>
      </c>
      <c r="N139" s="136">
        <f>IF($F139="","",IFERROR(INDEX(사건마스터!$AK$5:$AK$64,MATCH($F139,사건마스터!$A$5:$A$64,0)),""))</f>
        <v/>
      </c>
      <c r="O139" s="136">
        <f>IF($F139="","",IFERROR(INDEX(사건마스터!$AL$5:$AL$64,MATCH($F139,사건마스터!$A$5:$A$64,0)),""))</f>
        <v/>
      </c>
      <c r="P139" s="136">
        <f>IF($F139="","",IFERROR(INDEX(사건마스터!$AM$5:$AM$64,MATCH($F139,사건마스터!$A$5:$A$64,0)),""))</f>
        <v/>
      </c>
      <c r="Q139" s="136">
        <f>IF($F139="","",IFERROR(INDEX(사건마스터!$AN$5:$AN$64,MATCH($F139,사건마스터!$A$5:$A$64,0)),""))</f>
        <v/>
      </c>
      <c r="R139" s="136">
        <f>IF($F139="","",IFERROR(INDEX(사건마스터!$AO$5:$AO$64,MATCH($F139,사건마스터!$A$5:$A$64,0)),""))</f>
        <v/>
      </c>
      <c r="S139" s="136">
        <f>IF($F139="","",IFERROR(INDEX(사건마스터!$AP$5:$AP$64,MATCH($F139,사건마스터!$A$5:$A$64,0)),""))</f>
        <v/>
      </c>
      <c r="T139" s="136">
        <f>IF($F139="","",IFERROR(INDEX(사건마스터!$AQ$5:$AQ$64,MATCH($F139,사건마스터!$A$5:$A$64,0)),""))</f>
        <v/>
      </c>
      <c r="U139" s="136">
        <f>IF($F139="","",IFERROR(INDEX(사건마스터!$AR$5:$AR$64,MATCH($F139,사건마스터!$A$5:$A$64,0)),""))</f>
        <v/>
      </c>
      <c r="V139" s="136">
        <f>IF($F139="","",IFERROR(INDEX(사건마스터!$AS$5:$AS$64,MATCH($F139,사건마스터!$A$5:$A$64,0)),""))</f>
        <v/>
      </c>
      <c r="W139" s="136">
        <f>IF($F139="","",IFERROR(INDEX(사건마스터!$AT$5:$AT$64,MATCH($F139,사건마스터!$A$5:$A$64,0)),""))</f>
        <v/>
      </c>
      <c r="X139" s="136">
        <f>IF($F139="","",IFERROR(INDEX(사건마스터!$AU$5:$AU$64,MATCH($F139,사건마스터!$A$5:$A$64,0)),""))</f>
        <v/>
      </c>
      <c r="Y139" s="136">
        <f>IF($F139="","",IFERROR(INDEX(사건마스터!$AV$5:$AV$64,MATCH($F139,사건마스터!$A$5:$A$64,0)),""))</f>
        <v/>
      </c>
      <c r="Z139" s="118">
        <f>IF(COUNTBLANK($J139:$Y139)=16,"",16-COUNTBLANK($J139:$Y139))</f>
        <v/>
      </c>
      <c r="AA139" s="33">
        <f>IF($J139="",MID($AX139,3,255),$J139&amp;$AX139)</f>
        <v/>
      </c>
      <c r="AB139" s="130">
        <f>IF($J139="","",IFERROR(INDEX(코드설정!$D$5:$D$24,MATCH($J139,코드설정!$C$5:$C$24,0)),""))</f>
        <v/>
      </c>
      <c r="AC139" s="36" t="n"/>
      <c r="AD139" s="37" t="n"/>
      <c r="AE139" s="38" t="n"/>
      <c r="AF139" s="118">
        <f>IF(OR($B139="",$C139=""),"",$C139-$B139+1)</f>
        <v/>
      </c>
      <c r="AG139" s="74" t="n"/>
      <c r="AH139" s="36" t="n"/>
      <c r="AJ139">
        <f>IF($K139="","",", "&amp;$K139)</f>
        <v/>
      </c>
      <c r="AK139">
        <f>AJ139&amp;IF($L139="","",", "&amp;$L139)</f>
        <v/>
      </c>
      <c r="AL139">
        <f>AK139&amp;IF($M139="","",", "&amp;$M139)</f>
        <v/>
      </c>
      <c r="AM139">
        <f>AL139&amp;IF($N139="","",", "&amp;$N139)</f>
        <v/>
      </c>
      <c r="AN139">
        <f>AM139&amp;IF($O139="","",", "&amp;$O139)</f>
        <v/>
      </c>
      <c r="AO139">
        <f>AN139&amp;IF($P139="","",", "&amp;$P139)</f>
        <v/>
      </c>
      <c r="AP139">
        <f>AO139&amp;IF($Q139="","",", "&amp;$Q139)</f>
        <v/>
      </c>
      <c r="AQ139">
        <f>AP139&amp;IF($R139="","",", "&amp;$R139)</f>
        <v/>
      </c>
      <c r="AR139">
        <f>AQ139&amp;IF($S139="","",", "&amp;$S139)</f>
        <v/>
      </c>
      <c r="AS139">
        <f>AR139&amp;IF($T139="","",", "&amp;$T139)</f>
        <v/>
      </c>
      <c r="AT139">
        <f>AS139&amp;IF($U139="","",", "&amp;$U139)</f>
        <v/>
      </c>
      <c r="AU139">
        <f>AT139&amp;IF($V139="","",", "&amp;$V139)</f>
        <v/>
      </c>
      <c r="AV139">
        <f>AU139&amp;IF($W139="","",", "&amp;$W139)</f>
        <v/>
      </c>
      <c r="AW139">
        <f>AV139&amp;IF($X139="","",", "&amp;$X139)</f>
        <v/>
      </c>
      <c r="AX139">
        <f>AW139&amp;IF($Y139="","",", "&amp;$Y139)</f>
        <v/>
      </c>
    </row>
    <row r="140">
      <c r="A140" s="118">
        <f>IF($B140="","",COUNT($B$5:$B140))</f>
        <v/>
      </c>
      <c r="B140" s="80" t="n"/>
      <c r="C140" s="80" t="n"/>
      <c r="D140" s="74" t="n"/>
      <c r="E140" s="74" t="n"/>
      <c r="F140" s="74" t="n"/>
      <c r="G140" s="118">
        <f>IF($F140="","",COUNTIF($F$5:$F140,$F140))</f>
        <v/>
      </c>
      <c r="H140" s="33">
        <f>IF($F140="","",IFERROR(INDEX(사건마스터!$B$5:$B$64,MATCH($F140,사건마스터!$A$5:$A$64,0)),""))</f>
        <v/>
      </c>
      <c r="I140" s="130">
        <f>IF($F140="","",IFERROR(INDEX(사건마스터!$C$5:$C$64,MATCH($F140,사건마스터!$A$5:$A$64,0)),""))</f>
        <v/>
      </c>
      <c r="J140" s="136">
        <f>IF($F140="","",IFERROR(INDEX(사건마스터!$H$5:$H$64,MATCH($F140,사건마스터!$A$5:$A$64,0)),""))</f>
        <v/>
      </c>
      <c r="K140" s="136">
        <f>IF($F140="","",IFERROR(INDEX(사건마스터!$AH$5:$AH$64,MATCH($F140,사건마스터!$A$5:$A$64,0)),""))</f>
        <v/>
      </c>
      <c r="L140" s="136">
        <f>IF($F140="","",IFERROR(INDEX(사건마스터!$AI$5:$AI$64,MATCH($F140,사건마스터!$A$5:$A$64,0)),""))</f>
        <v/>
      </c>
      <c r="M140" s="136">
        <f>IF($F140="","",IFERROR(INDEX(사건마스터!$AJ$5:$AJ$64,MATCH($F140,사건마스터!$A$5:$A$64,0)),""))</f>
        <v/>
      </c>
      <c r="N140" s="136">
        <f>IF($F140="","",IFERROR(INDEX(사건마스터!$AK$5:$AK$64,MATCH($F140,사건마스터!$A$5:$A$64,0)),""))</f>
        <v/>
      </c>
      <c r="O140" s="136">
        <f>IF($F140="","",IFERROR(INDEX(사건마스터!$AL$5:$AL$64,MATCH($F140,사건마스터!$A$5:$A$64,0)),""))</f>
        <v/>
      </c>
      <c r="P140" s="136">
        <f>IF($F140="","",IFERROR(INDEX(사건마스터!$AM$5:$AM$64,MATCH($F140,사건마스터!$A$5:$A$64,0)),""))</f>
        <v/>
      </c>
      <c r="Q140" s="136">
        <f>IF($F140="","",IFERROR(INDEX(사건마스터!$AN$5:$AN$64,MATCH($F140,사건마스터!$A$5:$A$64,0)),""))</f>
        <v/>
      </c>
      <c r="R140" s="136">
        <f>IF($F140="","",IFERROR(INDEX(사건마스터!$AO$5:$AO$64,MATCH($F140,사건마스터!$A$5:$A$64,0)),""))</f>
        <v/>
      </c>
      <c r="S140" s="136">
        <f>IF($F140="","",IFERROR(INDEX(사건마스터!$AP$5:$AP$64,MATCH($F140,사건마스터!$A$5:$A$64,0)),""))</f>
        <v/>
      </c>
      <c r="T140" s="136">
        <f>IF($F140="","",IFERROR(INDEX(사건마스터!$AQ$5:$AQ$64,MATCH($F140,사건마스터!$A$5:$A$64,0)),""))</f>
        <v/>
      </c>
      <c r="U140" s="136">
        <f>IF($F140="","",IFERROR(INDEX(사건마스터!$AR$5:$AR$64,MATCH($F140,사건마스터!$A$5:$A$64,0)),""))</f>
        <v/>
      </c>
      <c r="V140" s="136">
        <f>IF($F140="","",IFERROR(INDEX(사건마스터!$AS$5:$AS$64,MATCH($F140,사건마스터!$A$5:$A$64,0)),""))</f>
        <v/>
      </c>
      <c r="W140" s="136">
        <f>IF($F140="","",IFERROR(INDEX(사건마스터!$AT$5:$AT$64,MATCH($F140,사건마스터!$A$5:$A$64,0)),""))</f>
        <v/>
      </c>
      <c r="X140" s="136">
        <f>IF($F140="","",IFERROR(INDEX(사건마스터!$AU$5:$AU$64,MATCH($F140,사건마스터!$A$5:$A$64,0)),""))</f>
        <v/>
      </c>
      <c r="Y140" s="136">
        <f>IF($F140="","",IFERROR(INDEX(사건마스터!$AV$5:$AV$64,MATCH($F140,사건마스터!$A$5:$A$64,0)),""))</f>
        <v/>
      </c>
      <c r="Z140" s="118">
        <f>IF(COUNTBLANK($J140:$Y140)=16,"",16-COUNTBLANK($J140:$Y140))</f>
        <v/>
      </c>
      <c r="AA140" s="33">
        <f>IF($J140="",MID($AX140,3,255),$J140&amp;$AX140)</f>
        <v/>
      </c>
      <c r="AB140" s="130">
        <f>IF($J140="","",IFERROR(INDEX(코드설정!$D$5:$D$24,MATCH($J140,코드설정!$C$5:$C$24,0)),""))</f>
        <v/>
      </c>
      <c r="AC140" s="36" t="n"/>
      <c r="AD140" s="37" t="n"/>
      <c r="AE140" s="38" t="n"/>
      <c r="AF140" s="118">
        <f>IF(OR($B140="",$C140=""),"",$C140-$B140+1)</f>
        <v/>
      </c>
      <c r="AG140" s="74" t="n"/>
      <c r="AH140" s="36" t="n"/>
      <c r="AJ140">
        <f>IF($K140="","",", "&amp;$K140)</f>
        <v/>
      </c>
      <c r="AK140">
        <f>AJ140&amp;IF($L140="","",", "&amp;$L140)</f>
        <v/>
      </c>
      <c r="AL140">
        <f>AK140&amp;IF($M140="","",", "&amp;$M140)</f>
        <v/>
      </c>
      <c r="AM140">
        <f>AL140&amp;IF($N140="","",", "&amp;$N140)</f>
        <v/>
      </c>
      <c r="AN140">
        <f>AM140&amp;IF($O140="","",", "&amp;$O140)</f>
        <v/>
      </c>
      <c r="AO140">
        <f>AN140&amp;IF($P140="","",", "&amp;$P140)</f>
        <v/>
      </c>
      <c r="AP140">
        <f>AO140&amp;IF($Q140="","",", "&amp;$Q140)</f>
        <v/>
      </c>
      <c r="AQ140">
        <f>AP140&amp;IF($R140="","",", "&amp;$R140)</f>
        <v/>
      </c>
      <c r="AR140">
        <f>AQ140&amp;IF($S140="","",", "&amp;$S140)</f>
        <v/>
      </c>
      <c r="AS140">
        <f>AR140&amp;IF($T140="","",", "&amp;$T140)</f>
        <v/>
      </c>
      <c r="AT140">
        <f>AS140&amp;IF($U140="","",", "&amp;$U140)</f>
        <v/>
      </c>
      <c r="AU140">
        <f>AT140&amp;IF($V140="","",", "&amp;$V140)</f>
        <v/>
      </c>
      <c r="AV140">
        <f>AU140&amp;IF($W140="","",", "&amp;$W140)</f>
        <v/>
      </c>
      <c r="AW140">
        <f>AV140&amp;IF($X140="","",", "&amp;$X140)</f>
        <v/>
      </c>
      <c r="AX140">
        <f>AW140&amp;IF($Y140="","",", "&amp;$Y140)</f>
        <v/>
      </c>
    </row>
    <row r="141">
      <c r="A141" s="118">
        <f>IF($B141="","",COUNT($B$5:$B141))</f>
        <v/>
      </c>
      <c r="B141" s="80" t="n"/>
      <c r="C141" s="80" t="n"/>
      <c r="D141" s="74" t="n"/>
      <c r="E141" s="74" t="n"/>
      <c r="F141" s="74" t="n"/>
      <c r="G141" s="118">
        <f>IF($F141="","",COUNTIF($F$5:$F141,$F141))</f>
        <v/>
      </c>
      <c r="H141" s="33">
        <f>IF($F141="","",IFERROR(INDEX(사건마스터!$B$5:$B$64,MATCH($F141,사건마스터!$A$5:$A$64,0)),""))</f>
        <v/>
      </c>
      <c r="I141" s="130">
        <f>IF($F141="","",IFERROR(INDEX(사건마스터!$C$5:$C$64,MATCH($F141,사건마스터!$A$5:$A$64,0)),""))</f>
        <v/>
      </c>
      <c r="J141" s="136">
        <f>IF($F141="","",IFERROR(INDEX(사건마스터!$H$5:$H$64,MATCH($F141,사건마스터!$A$5:$A$64,0)),""))</f>
        <v/>
      </c>
      <c r="K141" s="136">
        <f>IF($F141="","",IFERROR(INDEX(사건마스터!$AH$5:$AH$64,MATCH($F141,사건마스터!$A$5:$A$64,0)),""))</f>
        <v/>
      </c>
      <c r="L141" s="136">
        <f>IF($F141="","",IFERROR(INDEX(사건마스터!$AI$5:$AI$64,MATCH($F141,사건마스터!$A$5:$A$64,0)),""))</f>
        <v/>
      </c>
      <c r="M141" s="136">
        <f>IF($F141="","",IFERROR(INDEX(사건마스터!$AJ$5:$AJ$64,MATCH($F141,사건마스터!$A$5:$A$64,0)),""))</f>
        <v/>
      </c>
      <c r="N141" s="136">
        <f>IF($F141="","",IFERROR(INDEX(사건마스터!$AK$5:$AK$64,MATCH($F141,사건마스터!$A$5:$A$64,0)),""))</f>
        <v/>
      </c>
      <c r="O141" s="136">
        <f>IF($F141="","",IFERROR(INDEX(사건마스터!$AL$5:$AL$64,MATCH($F141,사건마스터!$A$5:$A$64,0)),""))</f>
        <v/>
      </c>
      <c r="P141" s="136">
        <f>IF($F141="","",IFERROR(INDEX(사건마스터!$AM$5:$AM$64,MATCH($F141,사건마스터!$A$5:$A$64,0)),""))</f>
        <v/>
      </c>
      <c r="Q141" s="136">
        <f>IF($F141="","",IFERROR(INDEX(사건마스터!$AN$5:$AN$64,MATCH($F141,사건마스터!$A$5:$A$64,0)),""))</f>
        <v/>
      </c>
      <c r="R141" s="136">
        <f>IF($F141="","",IFERROR(INDEX(사건마스터!$AO$5:$AO$64,MATCH($F141,사건마스터!$A$5:$A$64,0)),""))</f>
        <v/>
      </c>
      <c r="S141" s="136">
        <f>IF($F141="","",IFERROR(INDEX(사건마스터!$AP$5:$AP$64,MATCH($F141,사건마스터!$A$5:$A$64,0)),""))</f>
        <v/>
      </c>
      <c r="T141" s="136">
        <f>IF($F141="","",IFERROR(INDEX(사건마스터!$AQ$5:$AQ$64,MATCH($F141,사건마스터!$A$5:$A$64,0)),""))</f>
        <v/>
      </c>
      <c r="U141" s="136">
        <f>IF($F141="","",IFERROR(INDEX(사건마스터!$AR$5:$AR$64,MATCH($F141,사건마스터!$A$5:$A$64,0)),""))</f>
        <v/>
      </c>
      <c r="V141" s="136">
        <f>IF($F141="","",IFERROR(INDEX(사건마스터!$AS$5:$AS$64,MATCH($F141,사건마스터!$A$5:$A$64,0)),""))</f>
        <v/>
      </c>
      <c r="W141" s="136">
        <f>IF($F141="","",IFERROR(INDEX(사건마스터!$AT$5:$AT$64,MATCH($F141,사건마스터!$A$5:$A$64,0)),""))</f>
        <v/>
      </c>
      <c r="X141" s="136">
        <f>IF($F141="","",IFERROR(INDEX(사건마스터!$AU$5:$AU$64,MATCH($F141,사건마스터!$A$5:$A$64,0)),""))</f>
        <v/>
      </c>
      <c r="Y141" s="136">
        <f>IF($F141="","",IFERROR(INDEX(사건마스터!$AV$5:$AV$64,MATCH($F141,사건마스터!$A$5:$A$64,0)),""))</f>
        <v/>
      </c>
      <c r="Z141" s="118">
        <f>IF(COUNTBLANK($J141:$Y141)=16,"",16-COUNTBLANK($J141:$Y141))</f>
        <v/>
      </c>
      <c r="AA141" s="33">
        <f>IF($J141="",MID($AX141,3,255),$J141&amp;$AX141)</f>
        <v/>
      </c>
      <c r="AB141" s="130">
        <f>IF($J141="","",IFERROR(INDEX(코드설정!$D$5:$D$24,MATCH($J141,코드설정!$C$5:$C$24,0)),""))</f>
        <v/>
      </c>
      <c r="AC141" s="36" t="n"/>
      <c r="AD141" s="37" t="n"/>
      <c r="AE141" s="38" t="n"/>
      <c r="AF141" s="118">
        <f>IF(OR($B141="",$C141=""),"",$C141-$B141+1)</f>
        <v/>
      </c>
      <c r="AG141" s="74" t="n"/>
      <c r="AH141" s="36" t="n"/>
      <c r="AJ141">
        <f>IF($K141="","",", "&amp;$K141)</f>
        <v/>
      </c>
      <c r="AK141">
        <f>AJ141&amp;IF($L141="","",", "&amp;$L141)</f>
        <v/>
      </c>
      <c r="AL141">
        <f>AK141&amp;IF($M141="","",", "&amp;$M141)</f>
        <v/>
      </c>
      <c r="AM141">
        <f>AL141&amp;IF($N141="","",", "&amp;$N141)</f>
        <v/>
      </c>
      <c r="AN141">
        <f>AM141&amp;IF($O141="","",", "&amp;$O141)</f>
        <v/>
      </c>
      <c r="AO141">
        <f>AN141&amp;IF($P141="","",", "&amp;$P141)</f>
        <v/>
      </c>
      <c r="AP141">
        <f>AO141&amp;IF($Q141="","",", "&amp;$Q141)</f>
        <v/>
      </c>
      <c r="AQ141">
        <f>AP141&amp;IF($R141="","",", "&amp;$R141)</f>
        <v/>
      </c>
      <c r="AR141">
        <f>AQ141&amp;IF($S141="","",", "&amp;$S141)</f>
        <v/>
      </c>
      <c r="AS141">
        <f>AR141&amp;IF($T141="","",", "&amp;$T141)</f>
        <v/>
      </c>
      <c r="AT141">
        <f>AS141&amp;IF($U141="","",", "&amp;$U141)</f>
        <v/>
      </c>
      <c r="AU141">
        <f>AT141&amp;IF($V141="","",", "&amp;$V141)</f>
        <v/>
      </c>
      <c r="AV141">
        <f>AU141&amp;IF($W141="","",", "&amp;$W141)</f>
        <v/>
      </c>
      <c r="AW141">
        <f>AV141&amp;IF($X141="","",", "&amp;$X141)</f>
        <v/>
      </c>
      <c r="AX141">
        <f>AW141&amp;IF($Y141="","",", "&amp;$Y141)</f>
        <v/>
      </c>
    </row>
    <row r="142">
      <c r="A142" s="118">
        <f>IF($B142="","",COUNT($B$5:$B142))</f>
        <v/>
      </c>
      <c r="B142" s="80" t="n"/>
      <c r="C142" s="80" t="n"/>
      <c r="D142" s="74" t="n"/>
      <c r="E142" s="74" t="n"/>
      <c r="F142" s="74" t="n"/>
      <c r="G142" s="118">
        <f>IF($F142="","",COUNTIF($F$5:$F142,$F142))</f>
        <v/>
      </c>
      <c r="H142" s="33">
        <f>IF($F142="","",IFERROR(INDEX(사건마스터!$B$5:$B$64,MATCH($F142,사건마스터!$A$5:$A$64,0)),""))</f>
        <v/>
      </c>
      <c r="I142" s="130">
        <f>IF($F142="","",IFERROR(INDEX(사건마스터!$C$5:$C$64,MATCH($F142,사건마스터!$A$5:$A$64,0)),""))</f>
        <v/>
      </c>
      <c r="J142" s="136">
        <f>IF($F142="","",IFERROR(INDEX(사건마스터!$H$5:$H$64,MATCH($F142,사건마스터!$A$5:$A$64,0)),""))</f>
        <v/>
      </c>
      <c r="K142" s="136">
        <f>IF($F142="","",IFERROR(INDEX(사건마스터!$AH$5:$AH$64,MATCH($F142,사건마스터!$A$5:$A$64,0)),""))</f>
        <v/>
      </c>
      <c r="L142" s="136">
        <f>IF($F142="","",IFERROR(INDEX(사건마스터!$AI$5:$AI$64,MATCH($F142,사건마스터!$A$5:$A$64,0)),""))</f>
        <v/>
      </c>
      <c r="M142" s="136">
        <f>IF($F142="","",IFERROR(INDEX(사건마스터!$AJ$5:$AJ$64,MATCH($F142,사건마스터!$A$5:$A$64,0)),""))</f>
        <v/>
      </c>
      <c r="N142" s="136">
        <f>IF($F142="","",IFERROR(INDEX(사건마스터!$AK$5:$AK$64,MATCH($F142,사건마스터!$A$5:$A$64,0)),""))</f>
        <v/>
      </c>
      <c r="O142" s="136">
        <f>IF($F142="","",IFERROR(INDEX(사건마스터!$AL$5:$AL$64,MATCH($F142,사건마스터!$A$5:$A$64,0)),""))</f>
        <v/>
      </c>
      <c r="P142" s="136">
        <f>IF($F142="","",IFERROR(INDEX(사건마스터!$AM$5:$AM$64,MATCH($F142,사건마스터!$A$5:$A$64,0)),""))</f>
        <v/>
      </c>
      <c r="Q142" s="136">
        <f>IF($F142="","",IFERROR(INDEX(사건마스터!$AN$5:$AN$64,MATCH($F142,사건마스터!$A$5:$A$64,0)),""))</f>
        <v/>
      </c>
      <c r="R142" s="136">
        <f>IF($F142="","",IFERROR(INDEX(사건마스터!$AO$5:$AO$64,MATCH($F142,사건마스터!$A$5:$A$64,0)),""))</f>
        <v/>
      </c>
      <c r="S142" s="136">
        <f>IF($F142="","",IFERROR(INDEX(사건마스터!$AP$5:$AP$64,MATCH($F142,사건마스터!$A$5:$A$64,0)),""))</f>
        <v/>
      </c>
      <c r="T142" s="136">
        <f>IF($F142="","",IFERROR(INDEX(사건마스터!$AQ$5:$AQ$64,MATCH($F142,사건마스터!$A$5:$A$64,0)),""))</f>
        <v/>
      </c>
      <c r="U142" s="136">
        <f>IF($F142="","",IFERROR(INDEX(사건마스터!$AR$5:$AR$64,MATCH($F142,사건마스터!$A$5:$A$64,0)),""))</f>
        <v/>
      </c>
      <c r="V142" s="136">
        <f>IF($F142="","",IFERROR(INDEX(사건마스터!$AS$5:$AS$64,MATCH($F142,사건마스터!$A$5:$A$64,0)),""))</f>
        <v/>
      </c>
      <c r="W142" s="136">
        <f>IF($F142="","",IFERROR(INDEX(사건마스터!$AT$5:$AT$64,MATCH($F142,사건마스터!$A$5:$A$64,0)),""))</f>
        <v/>
      </c>
      <c r="X142" s="136">
        <f>IF($F142="","",IFERROR(INDEX(사건마스터!$AU$5:$AU$64,MATCH($F142,사건마스터!$A$5:$A$64,0)),""))</f>
        <v/>
      </c>
      <c r="Y142" s="136">
        <f>IF($F142="","",IFERROR(INDEX(사건마스터!$AV$5:$AV$64,MATCH($F142,사건마스터!$A$5:$A$64,0)),""))</f>
        <v/>
      </c>
      <c r="Z142" s="118">
        <f>IF(COUNTBLANK($J142:$Y142)=16,"",16-COUNTBLANK($J142:$Y142))</f>
        <v/>
      </c>
      <c r="AA142" s="33">
        <f>IF($J142="",MID($AX142,3,255),$J142&amp;$AX142)</f>
        <v/>
      </c>
      <c r="AB142" s="130">
        <f>IF($J142="","",IFERROR(INDEX(코드설정!$D$5:$D$24,MATCH($J142,코드설정!$C$5:$C$24,0)),""))</f>
        <v/>
      </c>
      <c r="AC142" s="36" t="n"/>
      <c r="AD142" s="37" t="n"/>
      <c r="AE142" s="38" t="n"/>
      <c r="AF142" s="118">
        <f>IF(OR($B142="",$C142=""),"",$C142-$B142+1)</f>
        <v/>
      </c>
      <c r="AG142" s="74" t="n"/>
      <c r="AH142" s="36" t="n"/>
      <c r="AJ142">
        <f>IF($K142="","",", "&amp;$K142)</f>
        <v/>
      </c>
      <c r="AK142">
        <f>AJ142&amp;IF($L142="","",", "&amp;$L142)</f>
        <v/>
      </c>
      <c r="AL142">
        <f>AK142&amp;IF($M142="","",", "&amp;$M142)</f>
        <v/>
      </c>
      <c r="AM142">
        <f>AL142&amp;IF($N142="","",", "&amp;$N142)</f>
        <v/>
      </c>
      <c r="AN142">
        <f>AM142&amp;IF($O142="","",", "&amp;$O142)</f>
        <v/>
      </c>
      <c r="AO142">
        <f>AN142&amp;IF($P142="","",", "&amp;$P142)</f>
        <v/>
      </c>
      <c r="AP142">
        <f>AO142&amp;IF($Q142="","",", "&amp;$Q142)</f>
        <v/>
      </c>
      <c r="AQ142">
        <f>AP142&amp;IF($R142="","",", "&amp;$R142)</f>
        <v/>
      </c>
      <c r="AR142">
        <f>AQ142&amp;IF($S142="","",", "&amp;$S142)</f>
        <v/>
      </c>
      <c r="AS142">
        <f>AR142&amp;IF($T142="","",", "&amp;$T142)</f>
        <v/>
      </c>
      <c r="AT142">
        <f>AS142&amp;IF($U142="","",", "&amp;$U142)</f>
        <v/>
      </c>
      <c r="AU142">
        <f>AT142&amp;IF($V142="","",", "&amp;$V142)</f>
        <v/>
      </c>
      <c r="AV142">
        <f>AU142&amp;IF($W142="","",", "&amp;$W142)</f>
        <v/>
      </c>
      <c r="AW142">
        <f>AV142&amp;IF($X142="","",", "&amp;$X142)</f>
        <v/>
      </c>
      <c r="AX142">
        <f>AW142&amp;IF($Y142="","",", "&amp;$Y142)</f>
        <v/>
      </c>
    </row>
    <row r="143">
      <c r="A143" s="118">
        <f>IF($B143="","",COUNT($B$5:$B143))</f>
        <v/>
      </c>
      <c r="B143" s="80" t="n"/>
      <c r="C143" s="80" t="n"/>
      <c r="D143" s="74" t="n"/>
      <c r="E143" s="74" t="n"/>
      <c r="F143" s="74" t="n"/>
      <c r="G143" s="118">
        <f>IF($F143="","",COUNTIF($F$5:$F143,$F143))</f>
        <v/>
      </c>
      <c r="H143" s="33">
        <f>IF($F143="","",IFERROR(INDEX(사건마스터!$B$5:$B$64,MATCH($F143,사건마스터!$A$5:$A$64,0)),""))</f>
        <v/>
      </c>
      <c r="I143" s="130">
        <f>IF($F143="","",IFERROR(INDEX(사건마스터!$C$5:$C$64,MATCH($F143,사건마스터!$A$5:$A$64,0)),""))</f>
        <v/>
      </c>
      <c r="J143" s="136">
        <f>IF($F143="","",IFERROR(INDEX(사건마스터!$H$5:$H$64,MATCH($F143,사건마스터!$A$5:$A$64,0)),""))</f>
        <v/>
      </c>
      <c r="K143" s="136">
        <f>IF($F143="","",IFERROR(INDEX(사건마스터!$AH$5:$AH$64,MATCH($F143,사건마스터!$A$5:$A$64,0)),""))</f>
        <v/>
      </c>
      <c r="L143" s="136">
        <f>IF($F143="","",IFERROR(INDEX(사건마스터!$AI$5:$AI$64,MATCH($F143,사건마스터!$A$5:$A$64,0)),""))</f>
        <v/>
      </c>
      <c r="M143" s="136">
        <f>IF($F143="","",IFERROR(INDEX(사건마스터!$AJ$5:$AJ$64,MATCH($F143,사건마스터!$A$5:$A$64,0)),""))</f>
        <v/>
      </c>
      <c r="N143" s="136">
        <f>IF($F143="","",IFERROR(INDEX(사건마스터!$AK$5:$AK$64,MATCH($F143,사건마스터!$A$5:$A$64,0)),""))</f>
        <v/>
      </c>
      <c r="O143" s="136">
        <f>IF($F143="","",IFERROR(INDEX(사건마스터!$AL$5:$AL$64,MATCH($F143,사건마스터!$A$5:$A$64,0)),""))</f>
        <v/>
      </c>
      <c r="P143" s="136">
        <f>IF($F143="","",IFERROR(INDEX(사건마스터!$AM$5:$AM$64,MATCH($F143,사건마스터!$A$5:$A$64,0)),""))</f>
        <v/>
      </c>
      <c r="Q143" s="136">
        <f>IF($F143="","",IFERROR(INDEX(사건마스터!$AN$5:$AN$64,MATCH($F143,사건마스터!$A$5:$A$64,0)),""))</f>
        <v/>
      </c>
      <c r="R143" s="136">
        <f>IF($F143="","",IFERROR(INDEX(사건마스터!$AO$5:$AO$64,MATCH($F143,사건마스터!$A$5:$A$64,0)),""))</f>
        <v/>
      </c>
      <c r="S143" s="136">
        <f>IF($F143="","",IFERROR(INDEX(사건마스터!$AP$5:$AP$64,MATCH($F143,사건마스터!$A$5:$A$64,0)),""))</f>
        <v/>
      </c>
      <c r="T143" s="136">
        <f>IF($F143="","",IFERROR(INDEX(사건마스터!$AQ$5:$AQ$64,MATCH($F143,사건마스터!$A$5:$A$64,0)),""))</f>
        <v/>
      </c>
      <c r="U143" s="136">
        <f>IF($F143="","",IFERROR(INDEX(사건마스터!$AR$5:$AR$64,MATCH($F143,사건마스터!$A$5:$A$64,0)),""))</f>
        <v/>
      </c>
      <c r="V143" s="136">
        <f>IF($F143="","",IFERROR(INDEX(사건마스터!$AS$5:$AS$64,MATCH($F143,사건마스터!$A$5:$A$64,0)),""))</f>
        <v/>
      </c>
      <c r="W143" s="136">
        <f>IF($F143="","",IFERROR(INDEX(사건마스터!$AT$5:$AT$64,MATCH($F143,사건마스터!$A$5:$A$64,0)),""))</f>
        <v/>
      </c>
      <c r="X143" s="136">
        <f>IF($F143="","",IFERROR(INDEX(사건마스터!$AU$5:$AU$64,MATCH($F143,사건마스터!$A$5:$A$64,0)),""))</f>
        <v/>
      </c>
      <c r="Y143" s="136">
        <f>IF($F143="","",IFERROR(INDEX(사건마스터!$AV$5:$AV$64,MATCH($F143,사건마스터!$A$5:$A$64,0)),""))</f>
        <v/>
      </c>
      <c r="Z143" s="118">
        <f>IF(COUNTBLANK($J143:$Y143)=16,"",16-COUNTBLANK($J143:$Y143))</f>
        <v/>
      </c>
      <c r="AA143" s="33">
        <f>IF($J143="",MID($AX143,3,255),$J143&amp;$AX143)</f>
        <v/>
      </c>
      <c r="AB143" s="130">
        <f>IF($J143="","",IFERROR(INDEX(코드설정!$D$5:$D$24,MATCH($J143,코드설정!$C$5:$C$24,0)),""))</f>
        <v/>
      </c>
      <c r="AC143" s="36" t="n"/>
      <c r="AD143" s="37" t="n"/>
      <c r="AE143" s="38" t="n"/>
      <c r="AF143" s="118">
        <f>IF(OR($B143="",$C143=""),"",$C143-$B143+1)</f>
        <v/>
      </c>
      <c r="AG143" s="74" t="n"/>
      <c r="AH143" s="36" t="n"/>
      <c r="AJ143">
        <f>IF($K143="","",", "&amp;$K143)</f>
        <v/>
      </c>
      <c r="AK143">
        <f>AJ143&amp;IF($L143="","",", "&amp;$L143)</f>
        <v/>
      </c>
      <c r="AL143">
        <f>AK143&amp;IF($M143="","",", "&amp;$M143)</f>
        <v/>
      </c>
      <c r="AM143">
        <f>AL143&amp;IF($N143="","",", "&amp;$N143)</f>
        <v/>
      </c>
      <c r="AN143">
        <f>AM143&amp;IF($O143="","",", "&amp;$O143)</f>
        <v/>
      </c>
      <c r="AO143">
        <f>AN143&amp;IF($P143="","",", "&amp;$P143)</f>
        <v/>
      </c>
      <c r="AP143">
        <f>AO143&amp;IF($Q143="","",", "&amp;$Q143)</f>
        <v/>
      </c>
      <c r="AQ143">
        <f>AP143&amp;IF($R143="","",", "&amp;$R143)</f>
        <v/>
      </c>
      <c r="AR143">
        <f>AQ143&amp;IF($S143="","",", "&amp;$S143)</f>
        <v/>
      </c>
      <c r="AS143">
        <f>AR143&amp;IF($T143="","",", "&amp;$T143)</f>
        <v/>
      </c>
      <c r="AT143">
        <f>AS143&amp;IF($U143="","",", "&amp;$U143)</f>
        <v/>
      </c>
      <c r="AU143">
        <f>AT143&amp;IF($V143="","",", "&amp;$V143)</f>
        <v/>
      </c>
      <c r="AV143">
        <f>AU143&amp;IF($W143="","",", "&amp;$W143)</f>
        <v/>
      </c>
      <c r="AW143">
        <f>AV143&amp;IF($X143="","",", "&amp;$X143)</f>
        <v/>
      </c>
      <c r="AX143">
        <f>AW143&amp;IF($Y143="","",", "&amp;$Y143)</f>
        <v/>
      </c>
    </row>
    <row r="144">
      <c r="A144" s="118">
        <f>IF($B144="","",COUNT($B$5:$B144))</f>
        <v/>
      </c>
      <c r="B144" s="80" t="n"/>
      <c r="C144" s="80" t="n"/>
      <c r="D144" s="74" t="n"/>
      <c r="E144" s="74" t="n"/>
      <c r="F144" s="74" t="n"/>
      <c r="G144" s="118">
        <f>IF($F144="","",COUNTIF($F$5:$F144,$F144))</f>
        <v/>
      </c>
      <c r="H144" s="33">
        <f>IF($F144="","",IFERROR(INDEX(사건마스터!$B$5:$B$64,MATCH($F144,사건마스터!$A$5:$A$64,0)),""))</f>
        <v/>
      </c>
      <c r="I144" s="130">
        <f>IF($F144="","",IFERROR(INDEX(사건마스터!$C$5:$C$64,MATCH($F144,사건마스터!$A$5:$A$64,0)),""))</f>
        <v/>
      </c>
      <c r="J144" s="136">
        <f>IF($F144="","",IFERROR(INDEX(사건마스터!$H$5:$H$64,MATCH($F144,사건마스터!$A$5:$A$64,0)),""))</f>
        <v/>
      </c>
      <c r="K144" s="136">
        <f>IF($F144="","",IFERROR(INDEX(사건마스터!$AH$5:$AH$64,MATCH($F144,사건마스터!$A$5:$A$64,0)),""))</f>
        <v/>
      </c>
      <c r="L144" s="136">
        <f>IF($F144="","",IFERROR(INDEX(사건마스터!$AI$5:$AI$64,MATCH($F144,사건마스터!$A$5:$A$64,0)),""))</f>
        <v/>
      </c>
      <c r="M144" s="136">
        <f>IF($F144="","",IFERROR(INDEX(사건마스터!$AJ$5:$AJ$64,MATCH($F144,사건마스터!$A$5:$A$64,0)),""))</f>
        <v/>
      </c>
      <c r="N144" s="136">
        <f>IF($F144="","",IFERROR(INDEX(사건마스터!$AK$5:$AK$64,MATCH($F144,사건마스터!$A$5:$A$64,0)),""))</f>
        <v/>
      </c>
      <c r="O144" s="136">
        <f>IF($F144="","",IFERROR(INDEX(사건마스터!$AL$5:$AL$64,MATCH($F144,사건마스터!$A$5:$A$64,0)),""))</f>
        <v/>
      </c>
      <c r="P144" s="136">
        <f>IF($F144="","",IFERROR(INDEX(사건마스터!$AM$5:$AM$64,MATCH($F144,사건마스터!$A$5:$A$64,0)),""))</f>
        <v/>
      </c>
      <c r="Q144" s="136">
        <f>IF($F144="","",IFERROR(INDEX(사건마스터!$AN$5:$AN$64,MATCH($F144,사건마스터!$A$5:$A$64,0)),""))</f>
        <v/>
      </c>
      <c r="R144" s="136">
        <f>IF($F144="","",IFERROR(INDEX(사건마스터!$AO$5:$AO$64,MATCH($F144,사건마스터!$A$5:$A$64,0)),""))</f>
        <v/>
      </c>
      <c r="S144" s="136">
        <f>IF($F144="","",IFERROR(INDEX(사건마스터!$AP$5:$AP$64,MATCH($F144,사건마스터!$A$5:$A$64,0)),""))</f>
        <v/>
      </c>
      <c r="T144" s="136">
        <f>IF($F144="","",IFERROR(INDEX(사건마스터!$AQ$5:$AQ$64,MATCH($F144,사건마스터!$A$5:$A$64,0)),""))</f>
        <v/>
      </c>
      <c r="U144" s="136">
        <f>IF($F144="","",IFERROR(INDEX(사건마스터!$AR$5:$AR$64,MATCH($F144,사건마스터!$A$5:$A$64,0)),""))</f>
        <v/>
      </c>
      <c r="V144" s="136">
        <f>IF($F144="","",IFERROR(INDEX(사건마스터!$AS$5:$AS$64,MATCH($F144,사건마스터!$A$5:$A$64,0)),""))</f>
        <v/>
      </c>
      <c r="W144" s="136">
        <f>IF($F144="","",IFERROR(INDEX(사건마스터!$AT$5:$AT$64,MATCH($F144,사건마스터!$A$5:$A$64,0)),""))</f>
        <v/>
      </c>
      <c r="X144" s="136">
        <f>IF($F144="","",IFERROR(INDEX(사건마스터!$AU$5:$AU$64,MATCH($F144,사건마스터!$A$5:$A$64,0)),""))</f>
        <v/>
      </c>
      <c r="Y144" s="136">
        <f>IF($F144="","",IFERROR(INDEX(사건마스터!$AV$5:$AV$64,MATCH($F144,사건마스터!$A$5:$A$64,0)),""))</f>
        <v/>
      </c>
      <c r="Z144" s="118">
        <f>IF(COUNTBLANK($J144:$Y144)=16,"",16-COUNTBLANK($J144:$Y144))</f>
        <v/>
      </c>
      <c r="AA144" s="33">
        <f>IF($J144="",MID($AX144,3,255),$J144&amp;$AX144)</f>
        <v/>
      </c>
      <c r="AB144" s="130">
        <f>IF($J144="","",IFERROR(INDEX(코드설정!$D$5:$D$24,MATCH($J144,코드설정!$C$5:$C$24,0)),""))</f>
        <v/>
      </c>
      <c r="AC144" s="36" t="n"/>
      <c r="AD144" s="37" t="n"/>
      <c r="AE144" s="38" t="n"/>
      <c r="AF144" s="118">
        <f>IF(OR($B144="",$C144=""),"",$C144-$B144+1)</f>
        <v/>
      </c>
      <c r="AG144" s="74" t="n"/>
      <c r="AH144" s="36" t="n"/>
      <c r="AJ144">
        <f>IF($K144="","",", "&amp;$K144)</f>
        <v/>
      </c>
      <c r="AK144">
        <f>AJ144&amp;IF($L144="","",", "&amp;$L144)</f>
        <v/>
      </c>
      <c r="AL144">
        <f>AK144&amp;IF($M144="","",", "&amp;$M144)</f>
        <v/>
      </c>
      <c r="AM144">
        <f>AL144&amp;IF($N144="","",", "&amp;$N144)</f>
        <v/>
      </c>
      <c r="AN144">
        <f>AM144&amp;IF($O144="","",", "&amp;$O144)</f>
        <v/>
      </c>
      <c r="AO144">
        <f>AN144&amp;IF($P144="","",", "&amp;$P144)</f>
        <v/>
      </c>
      <c r="AP144">
        <f>AO144&amp;IF($Q144="","",", "&amp;$Q144)</f>
        <v/>
      </c>
      <c r="AQ144">
        <f>AP144&amp;IF($R144="","",", "&amp;$R144)</f>
        <v/>
      </c>
      <c r="AR144">
        <f>AQ144&amp;IF($S144="","",", "&amp;$S144)</f>
        <v/>
      </c>
      <c r="AS144">
        <f>AR144&amp;IF($T144="","",", "&amp;$T144)</f>
        <v/>
      </c>
      <c r="AT144">
        <f>AS144&amp;IF($U144="","",", "&amp;$U144)</f>
        <v/>
      </c>
      <c r="AU144">
        <f>AT144&amp;IF($V144="","",", "&amp;$V144)</f>
        <v/>
      </c>
      <c r="AV144">
        <f>AU144&amp;IF($W144="","",", "&amp;$W144)</f>
        <v/>
      </c>
      <c r="AW144">
        <f>AV144&amp;IF($X144="","",", "&amp;$X144)</f>
        <v/>
      </c>
      <c r="AX144">
        <f>AW144&amp;IF($Y144="","",", "&amp;$Y144)</f>
        <v/>
      </c>
    </row>
    <row r="145">
      <c r="A145" s="118">
        <f>IF($B145="","",COUNT($B$5:$B145))</f>
        <v/>
      </c>
      <c r="B145" s="80" t="n"/>
      <c r="C145" s="80" t="n"/>
      <c r="D145" s="74" t="n"/>
      <c r="E145" s="74" t="n"/>
      <c r="F145" s="74" t="n"/>
      <c r="G145" s="118">
        <f>IF($F145="","",COUNTIF($F$5:$F145,$F145))</f>
        <v/>
      </c>
      <c r="H145" s="33">
        <f>IF($F145="","",IFERROR(INDEX(사건마스터!$B$5:$B$64,MATCH($F145,사건마스터!$A$5:$A$64,0)),""))</f>
        <v/>
      </c>
      <c r="I145" s="130">
        <f>IF($F145="","",IFERROR(INDEX(사건마스터!$C$5:$C$64,MATCH($F145,사건마스터!$A$5:$A$64,0)),""))</f>
        <v/>
      </c>
      <c r="J145" s="136">
        <f>IF($F145="","",IFERROR(INDEX(사건마스터!$H$5:$H$64,MATCH($F145,사건마스터!$A$5:$A$64,0)),""))</f>
        <v/>
      </c>
      <c r="K145" s="136">
        <f>IF($F145="","",IFERROR(INDEX(사건마스터!$AH$5:$AH$64,MATCH($F145,사건마스터!$A$5:$A$64,0)),""))</f>
        <v/>
      </c>
      <c r="L145" s="136">
        <f>IF($F145="","",IFERROR(INDEX(사건마스터!$AI$5:$AI$64,MATCH($F145,사건마스터!$A$5:$A$64,0)),""))</f>
        <v/>
      </c>
      <c r="M145" s="136">
        <f>IF($F145="","",IFERROR(INDEX(사건마스터!$AJ$5:$AJ$64,MATCH($F145,사건마스터!$A$5:$A$64,0)),""))</f>
        <v/>
      </c>
      <c r="N145" s="136">
        <f>IF($F145="","",IFERROR(INDEX(사건마스터!$AK$5:$AK$64,MATCH($F145,사건마스터!$A$5:$A$64,0)),""))</f>
        <v/>
      </c>
      <c r="O145" s="136">
        <f>IF($F145="","",IFERROR(INDEX(사건마스터!$AL$5:$AL$64,MATCH($F145,사건마스터!$A$5:$A$64,0)),""))</f>
        <v/>
      </c>
      <c r="P145" s="136">
        <f>IF($F145="","",IFERROR(INDEX(사건마스터!$AM$5:$AM$64,MATCH($F145,사건마스터!$A$5:$A$64,0)),""))</f>
        <v/>
      </c>
      <c r="Q145" s="136">
        <f>IF($F145="","",IFERROR(INDEX(사건마스터!$AN$5:$AN$64,MATCH($F145,사건마스터!$A$5:$A$64,0)),""))</f>
        <v/>
      </c>
      <c r="R145" s="136">
        <f>IF($F145="","",IFERROR(INDEX(사건마스터!$AO$5:$AO$64,MATCH($F145,사건마스터!$A$5:$A$64,0)),""))</f>
        <v/>
      </c>
      <c r="S145" s="136">
        <f>IF($F145="","",IFERROR(INDEX(사건마스터!$AP$5:$AP$64,MATCH($F145,사건마스터!$A$5:$A$64,0)),""))</f>
        <v/>
      </c>
      <c r="T145" s="136">
        <f>IF($F145="","",IFERROR(INDEX(사건마스터!$AQ$5:$AQ$64,MATCH($F145,사건마스터!$A$5:$A$64,0)),""))</f>
        <v/>
      </c>
      <c r="U145" s="136">
        <f>IF($F145="","",IFERROR(INDEX(사건마스터!$AR$5:$AR$64,MATCH($F145,사건마스터!$A$5:$A$64,0)),""))</f>
        <v/>
      </c>
      <c r="V145" s="136">
        <f>IF($F145="","",IFERROR(INDEX(사건마스터!$AS$5:$AS$64,MATCH($F145,사건마스터!$A$5:$A$64,0)),""))</f>
        <v/>
      </c>
      <c r="W145" s="136">
        <f>IF($F145="","",IFERROR(INDEX(사건마스터!$AT$5:$AT$64,MATCH($F145,사건마스터!$A$5:$A$64,0)),""))</f>
        <v/>
      </c>
      <c r="X145" s="136">
        <f>IF($F145="","",IFERROR(INDEX(사건마스터!$AU$5:$AU$64,MATCH($F145,사건마스터!$A$5:$A$64,0)),""))</f>
        <v/>
      </c>
      <c r="Y145" s="136">
        <f>IF($F145="","",IFERROR(INDEX(사건마스터!$AV$5:$AV$64,MATCH($F145,사건마스터!$A$5:$A$64,0)),""))</f>
        <v/>
      </c>
      <c r="Z145" s="118">
        <f>IF(COUNTBLANK($J145:$Y145)=16,"",16-COUNTBLANK($J145:$Y145))</f>
        <v/>
      </c>
      <c r="AA145" s="33">
        <f>IF($J145="",MID($AX145,3,255),$J145&amp;$AX145)</f>
        <v/>
      </c>
      <c r="AB145" s="130">
        <f>IF($J145="","",IFERROR(INDEX(코드설정!$D$5:$D$24,MATCH($J145,코드설정!$C$5:$C$24,0)),""))</f>
        <v/>
      </c>
      <c r="AC145" s="36" t="n"/>
      <c r="AD145" s="37" t="n"/>
      <c r="AE145" s="38" t="n"/>
      <c r="AF145" s="118">
        <f>IF(OR($B145="",$C145=""),"",$C145-$B145+1)</f>
        <v/>
      </c>
      <c r="AG145" s="74" t="n"/>
      <c r="AH145" s="36" t="n"/>
      <c r="AJ145">
        <f>IF($K145="","",", "&amp;$K145)</f>
        <v/>
      </c>
      <c r="AK145">
        <f>AJ145&amp;IF($L145="","",", "&amp;$L145)</f>
        <v/>
      </c>
      <c r="AL145">
        <f>AK145&amp;IF($M145="","",", "&amp;$M145)</f>
        <v/>
      </c>
      <c r="AM145">
        <f>AL145&amp;IF($N145="","",", "&amp;$N145)</f>
        <v/>
      </c>
      <c r="AN145">
        <f>AM145&amp;IF($O145="","",", "&amp;$O145)</f>
        <v/>
      </c>
      <c r="AO145">
        <f>AN145&amp;IF($P145="","",", "&amp;$P145)</f>
        <v/>
      </c>
      <c r="AP145">
        <f>AO145&amp;IF($Q145="","",", "&amp;$Q145)</f>
        <v/>
      </c>
      <c r="AQ145">
        <f>AP145&amp;IF($R145="","",", "&amp;$R145)</f>
        <v/>
      </c>
      <c r="AR145">
        <f>AQ145&amp;IF($S145="","",", "&amp;$S145)</f>
        <v/>
      </c>
      <c r="AS145">
        <f>AR145&amp;IF($T145="","",", "&amp;$T145)</f>
        <v/>
      </c>
      <c r="AT145">
        <f>AS145&amp;IF($U145="","",", "&amp;$U145)</f>
        <v/>
      </c>
      <c r="AU145">
        <f>AT145&amp;IF($V145="","",", "&amp;$V145)</f>
        <v/>
      </c>
      <c r="AV145">
        <f>AU145&amp;IF($W145="","",", "&amp;$W145)</f>
        <v/>
      </c>
      <c r="AW145">
        <f>AV145&amp;IF($X145="","",", "&amp;$X145)</f>
        <v/>
      </c>
      <c r="AX145">
        <f>AW145&amp;IF($Y145="","",", "&amp;$Y145)</f>
        <v/>
      </c>
    </row>
    <row r="146">
      <c r="A146" s="118">
        <f>IF($B146="","",COUNT($B$5:$B146))</f>
        <v/>
      </c>
      <c r="B146" s="80" t="n"/>
      <c r="C146" s="80" t="n"/>
      <c r="D146" s="74" t="n"/>
      <c r="E146" s="74" t="n"/>
      <c r="F146" s="74" t="n"/>
      <c r="G146" s="118">
        <f>IF($F146="","",COUNTIF($F$5:$F146,$F146))</f>
        <v/>
      </c>
      <c r="H146" s="33">
        <f>IF($F146="","",IFERROR(INDEX(사건마스터!$B$5:$B$64,MATCH($F146,사건마스터!$A$5:$A$64,0)),""))</f>
        <v/>
      </c>
      <c r="I146" s="130">
        <f>IF($F146="","",IFERROR(INDEX(사건마스터!$C$5:$C$64,MATCH($F146,사건마스터!$A$5:$A$64,0)),""))</f>
        <v/>
      </c>
      <c r="J146" s="136">
        <f>IF($F146="","",IFERROR(INDEX(사건마스터!$H$5:$H$64,MATCH($F146,사건마스터!$A$5:$A$64,0)),""))</f>
        <v/>
      </c>
      <c r="K146" s="136">
        <f>IF($F146="","",IFERROR(INDEX(사건마스터!$AH$5:$AH$64,MATCH($F146,사건마스터!$A$5:$A$64,0)),""))</f>
        <v/>
      </c>
      <c r="L146" s="136">
        <f>IF($F146="","",IFERROR(INDEX(사건마스터!$AI$5:$AI$64,MATCH($F146,사건마스터!$A$5:$A$64,0)),""))</f>
        <v/>
      </c>
      <c r="M146" s="136">
        <f>IF($F146="","",IFERROR(INDEX(사건마스터!$AJ$5:$AJ$64,MATCH($F146,사건마스터!$A$5:$A$64,0)),""))</f>
        <v/>
      </c>
      <c r="N146" s="136">
        <f>IF($F146="","",IFERROR(INDEX(사건마스터!$AK$5:$AK$64,MATCH($F146,사건마스터!$A$5:$A$64,0)),""))</f>
        <v/>
      </c>
      <c r="O146" s="136">
        <f>IF($F146="","",IFERROR(INDEX(사건마스터!$AL$5:$AL$64,MATCH($F146,사건마스터!$A$5:$A$64,0)),""))</f>
        <v/>
      </c>
      <c r="P146" s="136">
        <f>IF($F146="","",IFERROR(INDEX(사건마스터!$AM$5:$AM$64,MATCH($F146,사건마스터!$A$5:$A$64,0)),""))</f>
        <v/>
      </c>
      <c r="Q146" s="136">
        <f>IF($F146="","",IFERROR(INDEX(사건마스터!$AN$5:$AN$64,MATCH($F146,사건마스터!$A$5:$A$64,0)),""))</f>
        <v/>
      </c>
      <c r="R146" s="136">
        <f>IF($F146="","",IFERROR(INDEX(사건마스터!$AO$5:$AO$64,MATCH($F146,사건마스터!$A$5:$A$64,0)),""))</f>
        <v/>
      </c>
      <c r="S146" s="136">
        <f>IF($F146="","",IFERROR(INDEX(사건마스터!$AP$5:$AP$64,MATCH($F146,사건마스터!$A$5:$A$64,0)),""))</f>
        <v/>
      </c>
      <c r="T146" s="136">
        <f>IF($F146="","",IFERROR(INDEX(사건마스터!$AQ$5:$AQ$64,MATCH($F146,사건마스터!$A$5:$A$64,0)),""))</f>
        <v/>
      </c>
      <c r="U146" s="136">
        <f>IF($F146="","",IFERROR(INDEX(사건마스터!$AR$5:$AR$64,MATCH($F146,사건마스터!$A$5:$A$64,0)),""))</f>
        <v/>
      </c>
      <c r="V146" s="136">
        <f>IF($F146="","",IFERROR(INDEX(사건마스터!$AS$5:$AS$64,MATCH($F146,사건마스터!$A$5:$A$64,0)),""))</f>
        <v/>
      </c>
      <c r="W146" s="136">
        <f>IF($F146="","",IFERROR(INDEX(사건마스터!$AT$5:$AT$64,MATCH($F146,사건마스터!$A$5:$A$64,0)),""))</f>
        <v/>
      </c>
      <c r="X146" s="136">
        <f>IF($F146="","",IFERROR(INDEX(사건마스터!$AU$5:$AU$64,MATCH($F146,사건마스터!$A$5:$A$64,0)),""))</f>
        <v/>
      </c>
      <c r="Y146" s="136">
        <f>IF($F146="","",IFERROR(INDEX(사건마스터!$AV$5:$AV$64,MATCH($F146,사건마스터!$A$5:$A$64,0)),""))</f>
        <v/>
      </c>
      <c r="Z146" s="118">
        <f>IF(COUNTBLANK($J146:$Y146)=16,"",16-COUNTBLANK($J146:$Y146))</f>
        <v/>
      </c>
      <c r="AA146" s="33">
        <f>IF($J146="",MID($AX146,3,255),$J146&amp;$AX146)</f>
        <v/>
      </c>
      <c r="AB146" s="130">
        <f>IF($J146="","",IFERROR(INDEX(코드설정!$D$5:$D$24,MATCH($J146,코드설정!$C$5:$C$24,0)),""))</f>
        <v/>
      </c>
      <c r="AC146" s="36" t="n"/>
      <c r="AD146" s="37" t="n"/>
      <c r="AE146" s="38" t="n"/>
      <c r="AF146" s="118">
        <f>IF(OR($B146="",$C146=""),"",$C146-$B146+1)</f>
        <v/>
      </c>
      <c r="AG146" s="74" t="n"/>
      <c r="AH146" s="36" t="n"/>
      <c r="AJ146">
        <f>IF($K146="","",", "&amp;$K146)</f>
        <v/>
      </c>
      <c r="AK146">
        <f>AJ146&amp;IF($L146="","",", "&amp;$L146)</f>
        <v/>
      </c>
      <c r="AL146">
        <f>AK146&amp;IF($M146="","",", "&amp;$M146)</f>
        <v/>
      </c>
      <c r="AM146">
        <f>AL146&amp;IF($N146="","",", "&amp;$N146)</f>
        <v/>
      </c>
      <c r="AN146">
        <f>AM146&amp;IF($O146="","",", "&amp;$O146)</f>
        <v/>
      </c>
      <c r="AO146">
        <f>AN146&amp;IF($P146="","",", "&amp;$P146)</f>
        <v/>
      </c>
      <c r="AP146">
        <f>AO146&amp;IF($Q146="","",", "&amp;$Q146)</f>
        <v/>
      </c>
      <c r="AQ146">
        <f>AP146&amp;IF($R146="","",", "&amp;$R146)</f>
        <v/>
      </c>
      <c r="AR146">
        <f>AQ146&amp;IF($S146="","",", "&amp;$S146)</f>
        <v/>
      </c>
      <c r="AS146">
        <f>AR146&amp;IF($T146="","",", "&amp;$T146)</f>
        <v/>
      </c>
      <c r="AT146">
        <f>AS146&amp;IF($U146="","",", "&amp;$U146)</f>
        <v/>
      </c>
      <c r="AU146">
        <f>AT146&amp;IF($V146="","",", "&amp;$V146)</f>
        <v/>
      </c>
      <c r="AV146">
        <f>AU146&amp;IF($W146="","",", "&amp;$W146)</f>
        <v/>
      </c>
      <c r="AW146">
        <f>AV146&amp;IF($X146="","",", "&amp;$X146)</f>
        <v/>
      </c>
      <c r="AX146">
        <f>AW146&amp;IF($Y146="","",", "&amp;$Y146)</f>
        <v/>
      </c>
    </row>
    <row r="147">
      <c r="A147" s="118">
        <f>IF($B147="","",COUNT($B$5:$B147))</f>
        <v/>
      </c>
      <c r="B147" s="80" t="n"/>
      <c r="C147" s="80" t="n"/>
      <c r="D147" s="74" t="n"/>
      <c r="E147" s="74" t="n"/>
      <c r="F147" s="74" t="n"/>
      <c r="G147" s="118">
        <f>IF($F147="","",COUNTIF($F$5:$F147,$F147))</f>
        <v/>
      </c>
      <c r="H147" s="33">
        <f>IF($F147="","",IFERROR(INDEX(사건마스터!$B$5:$B$64,MATCH($F147,사건마스터!$A$5:$A$64,0)),""))</f>
        <v/>
      </c>
      <c r="I147" s="130">
        <f>IF($F147="","",IFERROR(INDEX(사건마스터!$C$5:$C$64,MATCH($F147,사건마스터!$A$5:$A$64,0)),""))</f>
        <v/>
      </c>
      <c r="J147" s="136">
        <f>IF($F147="","",IFERROR(INDEX(사건마스터!$H$5:$H$64,MATCH($F147,사건마스터!$A$5:$A$64,0)),""))</f>
        <v/>
      </c>
      <c r="K147" s="136">
        <f>IF($F147="","",IFERROR(INDEX(사건마스터!$AH$5:$AH$64,MATCH($F147,사건마스터!$A$5:$A$64,0)),""))</f>
        <v/>
      </c>
      <c r="L147" s="136">
        <f>IF($F147="","",IFERROR(INDEX(사건마스터!$AI$5:$AI$64,MATCH($F147,사건마스터!$A$5:$A$64,0)),""))</f>
        <v/>
      </c>
      <c r="M147" s="136">
        <f>IF($F147="","",IFERROR(INDEX(사건마스터!$AJ$5:$AJ$64,MATCH($F147,사건마스터!$A$5:$A$64,0)),""))</f>
        <v/>
      </c>
      <c r="N147" s="136">
        <f>IF($F147="","",IFERROR(INDEX(사건마스터!$AK$5:$AK$64,MATCH($F147,사건마스터!$A$5:$A$64,0)),""))</f>
        <v/>
      </c>
      <c r="O147" s="136">
        <f>IF($F147="","",IFERROR(INDEX(사건마스터!$AL$5:$AL$64,MATCH($F147,사건마스터!$A$5:$A$64,0)),""))</f>
        <v/>
      </c>
      <c r="P147" s="136">
        <f>IF($F147="","",IFERROR(INDEX(사건마스터!$AM$5:$AM$64,MATCH($F147,사건마스터!$A$5:$A$64,0)),""))</f>
        <v/>
      </c>
      <c r="Q147" s="136">
        <f>IF($F147="","",IFERROR(INDEX(사건마스터!$AN$5:$AN$64,MATCH($F147,사건마스터!$A$5:$A$64,0)),""))</f>
        <v/>
      </c>
      <c r="R147" s="136">
        <f>IF($F147="","",IFERROR(INDEX(사건마스터!$AO$5:$AO$64,MATCH($F147,사건마스터!$A$5:$A$64,0)),""))</f>
        <v/>
      </c>
      <c r="S147" s="136">
        <f>IF($F147="","",IFERROR(INDEX(사건마스터!$AP$5:$AP$64,MATCH($F147,사건마스터!$A$5:$A$64,0)),""))</f>
        <v/>
      </c>
      <c r="T147" s="136">
        <f>IF($F147="","",IFERROR(INDEX(사건마스터!$AQ$5:$AQ$64,MATCH($F147,사건마스터!$A$5:$A$64,0)),""))</f>
        <v/>
      </c>
      <c r="U147" s="136">
        <f>IF($F147="","",IFERROR(INDEX(사건마스터!$AR$5:$AR$64,MATCH($F147,사건마스터!$A$5:$A$64,0)),""))</f>
        <v/>
      </c>
      <c r="V147" s="136">
        <f>IF($F147="","",IFERROR(INDEX(사건마스터!$AS$5:$AS$64,MATCH($F147,사건마스터!$A$5:$A$64,0)),""))</f>
        <v/>
      </c>
      <c r="W147" s="136">
        <f>IF($F147="","",IFERROR(INDEX(사건마스터!$AT$5:$AT$64,MATCH($F147,사건마스터!$A$5:$A$64,0)),""))</f>
        <v/>
      </c>
      <c r="X147" s="136">
        <f>IF($F147="","",IFERROR(INDEX(사건마스터!$AU$5:$AU$64,MATCH($F147,사건마스터!$A$5:$A$64,0)),""))</f>
        <v/>
      </c>
      <c r="Y147" s="136">
        <f>IF($F147="","",IFERROR(INDEX(사건마스터!$AV$5:$AV$64,MATCH($F147,사건마스터!$A$5:$A$64,0)),""))</f>
        <v/>
      </c>
      <c r="Z147" s="118">
        <f>IF(COUNTBLANK($J147:$Y147)=16,"",16-COUNTBLANK($J147:$Y147))</f>
        <v/>
      </c>
      <c r="AA147" s="33">
        <f>IF($J147="",MID($AX147,3,255),$J147&amp;$AX147)</f>
        <v/>
      </c>
      <c r="AB147" s="130">
        <f>IF($J147="","",IFERROR(INDEX(코드설정!$D$5:$D$24,MATCH($J147,코드설정!$C$5:$C$24,0)),""))</f>
        <v/>
      </c>
      <c r="AC147" s="36" t="n"/>
      <c r="AD147" s="37" t="n"/>
      <c r="AE147" s="38" t="n"/>
      <c r="AF147" s="118">
        <f>IF(OR($B147="",$C147=""),"",$C147-$B147+1)</f>
        <v/>
      </c>
      <c r="AG147" s="74" t="n"/>
      <c r="AH147" s="36" t="n"/>
      <c r="AJ147">
        <f>IF($K147="","",", "&amp;$K147)</f>
        <v/>
      </c>
      <c r="AK147">
        <f>AJ147&amp;IF($L147="","",", "&amp;$L147)</f>
        <v/>
      </c>
      <c r="AL147">
        <f>AK147&amp;IF($M147="","",", "&amp;$M147)</f>
        <v/>
      </c>
      <c r="AM147">
        <f>AL147&amp;IF($N147="","",", "&amp;$N147)</f>
        <v/>
      </c>
      <c r="AN147">
        <f>AM147&amp;IF($O147="","",", "&amp;$O147)</f>
        <v/>
      </c>
      <c r="AO147">
        <f>AN147&amp;IF($P147="","",", "&amp;$P147)</f>
        <v/>
      </c>
      <c r="AP147">
        <f>AO147&amp;IF($Q147="","",", "&amp;$Q147)</f>
        <v/>
      </c>
      <c r="AQ147">
        <f>AP147&amp;IF($R147="","",", "&amp;$R147)</f>
        <v/>
      </c>
      <c r="AR147">
        <f>AQ147&amp;IF($S147="","",", "&amp;$S147)</f>
        <v/>
      </c>
      <c r="AS147">
        <f>AR147&amp;IF($T147="","",", "&amp;$T147)</f>
        <v/>
      </c>
      <c r="AT147">
        <f>AS147&amp;IF($U147="","",", "&amp;$U147)</f>
        <v/>
      </c>
      <c r="AU147">
        <f>AT147&amp;IF($V147="","",", "&amp;$V147)</f>
        <v/>
      </c>
      <c r="AV147">
        <f>AU147&amp;IF($W147="","",", "&amp;$W147)</f>
        <v/>
      </c>
      <c r="AW147">
        <f>AV147&amp;IF($X147="","",", "&amp;$X147)</f>
        <v/>
      </c>
      <c r="AX147">
        <f>AW147&amp;IF($Y147="","",", "&amp;$Y147)</f>
        <v/>
      </c>
    </row>
    <row r="148">
      <c r="A148" s="118">
        <f>IF($B148="","",COUNT($B$5:$B148))</f>
        <v/>
      </c>
      <c r="B148" s="80" t="n"/>
      <c r="C148" s="80" t="n"/>
      <c r="D148" s="74" t="n"/>
      <c r="E148" s="74" t="n"/>
      <c r="F148" s="74" t="n"/>
      <c r="G148" s="118">
        <f>IF($F148="","",COUNTIF($F$5:$F148,$F148))</f>
        <v/>
      </c>
      <c r="H148" s="33">
        <f>IF($F148="","",IFERROR(INDEX(사건마스터!$B$5:$B$64,MATCH($F148,사건마스터!$A$5:$A$64,0)),""))</f>
        <v/>
      </c>
      <c r="I148" s="130">
        <f>IF($F148="","",IFERROR(INDEX(사건마스터!$C$5:$C$64,MATCH($F148,사건마스터!$A$5:$A$64,0)),""))</f>
        <v/>
      </c>
      <c r="J148" s="136">
        <f>IF($F148="","",IFERROR(INDEX(사건마스터!$H$5:$H$64,MATCH($F148,사건마스터!$A$5:$A$64,0)),""))</f>
        <v/>
      </c>
      <c r="K148" s="136">
        <f>IF($F148="","",IFERROR(INDEX(사건마스터!$AH$5:$AH$64,MATCH($F148,사건마스터!$A$5:$A$64,0)),""))</f>
        <v/>
      </c>
      <c r="L148" s="136">
        <f>IF($F148="","",IFERROR(INDEX(사건마스터!$AI$5:$AI$64,MATCH($F148,사건마스터!$A$5:$A$64,0)),""))</f>
        <v/>
      </c>
      <c r="M148" s="136">
        <f>IF($F148="","",IFERROR(INDEX(사건마스터!$AJ$5:$AJ$64,MATCH($F148,사건마스터!$A$5:$A$64,0)),""))</f>
        <v/>
      </c>
      <c r="N148" s="136">
        <f>IF($F148="","",IFERROR(INDEX(사건마스터!$AK$5:$AK$64,MATCH($F148,사건마스터!$A$5:$A$64,0)),""))</f>
        <v/>
      </c>
      <c r="O148" s="136">
        <f>IF($F148="","",IFERROR(INDEX(사건마스터!$AL$5:$AL$64,MATCH($F148,사건마스터!$A$5:$A$64,0)),""))</f>
        <v/>
      </c>
      <c r="P148" s="136">
        <f>IF($F148="","",IFERROR(INDEX(사건마스터!$AM$5:$AM$64,MATCH($F148,사건마스터!$A$5:$A$64,0)),""))</f>
        <v/>
      </c>
      <c r="Q148" s="136">
        <f>IF($F148="","",IFERROR(INDEX(사건마스터!$AN$5:$AN$64,MATCH($F148,사건마스터!$A$5:$A$64,0)),""))</f>
        <v/>
      </c>
      <c r="R148" s="136">
        <f>IF($F148="","",IFERROR(INDEX(사건마스터!$AO$5:$AO$64,MATCH($F148,사건마스터!$A$5:$A$64,0)),""))</f>
        <v/>
      </c>
      <c r="S148" s="136">
        <f>IF($F148="","",IFERROR(INDEX(사건마스터!$AP$5:$AP$64,MATCH($F148,사건마스터!$A$5:$A$64,0)),""))</f>
        <v/>
      </c>
      <c r="T148" s="136">
        <f>IF($F148="","",IFERROR(INDEX(사건마스터!$AQ$5:$AQ$64,MATCH($F148,사건마스터!$A$5:$A$64,0)),""))</f>
        <v/>
      </c>
      <c r="U148" s="136">
        <f>IF($F148="","",IFERROR(INDEX(사건마스터!$AR$5:$AR$64,MATCH($F148,사건마스터!$A$5:$A$64,0)),""))</f>
        <v/>
      </c>
      <c r="V148" s="136">
        <f>IF($F148="","",IFERROR(INDEX(사건마스터!$AS$5:$AS$64,MATCH($F148,사건마스터!$A$5:$A$64,0)),""))</f>
        <v/>
      </c>
      <c r="W148" s="136">
        <f>IF($F148="","",IFERROR(INDEX(사건마스터!$AT$5:$AT$64,MATCH($F148,사건마스터!$A$5:$A$64,0)),""))</f>
        <v/>
      </c>
      <c r="X148" s="136">
        <f>IF($F148="","",IFERROR(INDEX(사건마스터!$AU$5:$AU$64,MATCH($F148,사건마스터!$A$5:$A$64,0)),""))</f>
        <v/>
      </c>
      <c r="Y148" s="136">
        <f>IF($F148="","",IFERROR(INDEX(사건마스터!$AV$5:$AV$64,MATCH($F148,사건마스터!$A$5:$A$64,0)),""))</f>
        <v/>
      </c>
      <c r="Z148" s="118">
        <f>IF(COUNTBLANK($J148:$Y148)=16,"",16-COUNTBLANK($J148:$Y148))</f>
        <v/>
      </c>
      <c r="AA148" s="33">
        <f>IF($J148="",MID($AX148,3,255),$J148&amp;$AX148)</f>
        <v/>
      </c>
      <c r="AB148" s="130">
        <f>IF($J148="","",IFERROR(INDEX(코드설정!$D$5:$D$24,MATCH($J148,코드설정!$C$5:$C$24,0)),""))</f>
        <v/>
      </c>
      <c r="AC148" s="36" t="n"/>
      <c r="AD148" s="37" t="n"/>
      <c r="AE148" s="38" t="n"/>
      <c r="AF148" s="118">
        <f>IF(OR($B148="",$C148=""),"",$C148-$B148+1)</f>
        <v/>
      </c>
      <c r="AG148" s="74" t="n"/>
      <c r="AH148" s="36" t="n"/>
      <c r="AJ148">
        <f>IF($K148="","",", "&amp;$K148)</f>
        <v/>
      </c>
      <c r="AK148">
        <f>AJ148&amp;IF($L148="","",", "&amp;$L148)</f>
        <v/>
      </c>
      <c r="AL148">
        <f>AK148&amp;IF($M148="","",", "&amp;$M148)</f>
        <v/>
      </c>
      <c r="AM148">
        <f>AL148&amp;IF($N148="","",", "&amp;$N148)</f>
        <v/>
      </c>
      <c r="AN148">
        <f>AM148&amp;IF($O148="","",", "&amp;$O148)</f>
        <v/>
      </c>
      <c r="AO148">
        <f>AN148&amp;IF($P148="","",", "&amp;$P148)</f>
        <v/>
      </c>
      <c r="AP148">
        <f>AO148&amp;IF($Q148="","",", "&amp;$Q148)</f>
        <v/>
      </c>
      <c r="AQ148">
        <f>AP148&amp;IF($R148="","",", "&amp;$R148)</f>
        <v/>
      </c>
      <c r="AR148">
        <f>AQ148&amp;IF($S148="","",", "&amp;$S148)</f>
        <v/>
      </c>
      <c r="AS148">
        <f>AR148&amp;IF($T148="","",", "&amp;$T148)</f>
        <v/>
      </c>
      <c r="AT148">
        <f>AS148&amp;IF($U148="","",", "&amp;$U148)</f>
        <v/>
      </c>
      <c r="AU148">
        <f>AT148&amp;IF($V148="","",", "&amp;$V148)</f>
        <v/>
      </c>
      <c r="AV148">
        <f>AU148&amp;IF($W148="","",", "&amp;$W148)</f>
        <v/>
      </c>
      <c r="AW148">
        <f>AV148&amp;IF($X148="","",", "&amp;$X148)</f>
        <v/>
      </c>
      <c r="AX148">
        <f>AW148&amp;IF($Y148="","",", "&amp;$Y148)</f>
        <v/>
      </c>
    </row>
    <row r="149">
      <c r="A149" s="118">
        <f>IF($B149="","",COUNT($B$5:$B149))</f>
        <v/>
      </c>
      <c r="B149" s="80" t="n"/>
      <c r="C149" s="80" t="n"/>
      <c r="D149" s="74" t="n"/>
      <c r="E149" s="74" t="n"/>
      <c r="F149" s="74" t="n"/>
      <c r="G149" s="118">
        <f>IF($F149="","",COUNTIF($F$5:$F149,$F149))</f>
        <v/>
      </c>
      <c r="H149" s="33">
        <f>IF($F149="","",IFERROR(INDEX(사건마스터!$B$5:$B$64,MATCH($F149,사건마스터!$A$5:$A$64,0)),""))</f>
        <v/>
      </c>
      <c r="I149" s="130">
        <f>IF($F149="","",IFERROR(INDEX(사건마스터!$C$5:$C$64,MATCH($F149,사건마스터!$A$5:$A$64,0)),""))</f>
        <v/>
      </c>
      <c r="J149" s="136">
        <f>IF($F149="","",IFERROR(INDEX(사건마스터!$H$5:$H$64,MATCH($F149,사건마스터!$A$5:$A$64,0)),""))</f>
        <v/>
      </c>
      <c r="K149" s="136">
        <f>IF($F149="","",IFERROR(INDEX(사건마스터!$AH$5:$AH$64,MATCH($F149,사건마스터!$A$5:$A$64,0)),""))</f>
        <v/>
      </c>
      <c r="L149" s="136">
        <f>IF($F149="","",IFERROR(INDEX(사건마스터!$AI$5:$AI$64,MATCH($F149,사건마스터!$A$5:$A$64,0)),""))</f>
        <v/>
      </c>
      <c r="M149" s="136">
        <f>IF($F149="","",IFERROR(INDEX(사건마스터!$AJ$5:$AJ$64,MATCH($F149,사건마스터!$A$5:$A$64,0)),""))</f>
        <v/>
      </c>
      <c r="N149" s="136">
        <f>IF($F149="","",IFERROR(INDEX(사건마스터!$AK$5:$AK$64,MATCH($F149,사건마스터!$A$5:$A$64,0)),""))</f>
        <v/>
      </c>
      <c r="O149" s="136">
        <f>IF($F149="","",IFERROR(INDEX(사건마스터!$AL$5:$AL$64,MATCH($F149,사건마스터!$A$5:$A$64,0)),""))</f>
        <v/>
      </c>
      <c r="P149" s="136">
        <f>IF($F149="","",IFERROR(INDEX(사건마스터!$AM$5:$AM$64,MATCH($F149,사건마스터!$A$5:$A$64,0)),""))</f>
        <v/>
      </c>
      <c r="Q149" s="136">
        <f>IF($F149="","",IFERROR(INDEX(사건마스터!$AN$5:$AN$64,MATCH($F149,사건마스터!$A$5:$A$64,0)),""))</f>
        <v/>
      </c>
      <c r="R149" s="136">
        <f>IF($F149="","",IFERROR(INDEX(사건마스터!$AO$5:$AO$64,MATCH($F149,사건마스터!$A$5:$A$64,0)),""))</f>
        <v/>
      </c>
      <c r="S149" s="136">
        <f>IF($F149="","",IFERROR(INDEX(사건마스터!$AP$5:$AP$64,MATCH($F149,사건마스터!$A$5:$A$64,0)),""))</f>
        <v/>
      </c>
      <c r="T149" s="136">
        <f>IF($F149="","",IFERROR(INDEX(사건마스터!$AQ$5:$AQ$64,MATCH($F149,사건마스터!$A$5:$A$64,0)),""))</f>
        <v/>
      </c>
      <c r="U149" s="136">
        <f>IF($F149="","",IFERROR(INDEX(사건마스터!$AR$5:$AR$64,MATCH($F149,사건마스터!$A$5:$A$64,0)),""))</f>
        <v/>
      </c>
      <c r="V149" s="136">
        <f>IF($F149="","",IFERROR(INDEX(사건마스터!$AS$5:$AS$64,MATCH($F149,사건마스터!$A$5:$A$64,0)),""))</f>
        <v/>
      </c>
      <c r="W149" s="136">
        <f>IF($F149="","",IFERROR(INDEX(사건마스터!$AT$5:$AT$64,MATCH($F149,사건마스터!$A$5:$A$64,0)),""))</f>
        <v/>
      </c>
      <c r="X149" s="136">
        <f>IF($F149="","",IFERROR(INDEX(사건마스터!$AU$5:$AU$64,MATCH($F149,사건마스터!$A$5:$A$64,0)),""))</f>
        <v/>
      </c>
      <c r="Y149" s="136">
        <f>IF($F149="","",IFERROR(INDEX(사건마스터!$AV$5:$AV$64,MATCH($F149,사건마스터!$A$5:$A$64,0)),""))</f>
        <v/>
      </c>
      <c r="Z149" s="118">
        <f>IF(COUNTBLANK($J149:$Y149)=16,"",16-COUNTBLANK($J149:$Y149))</f>
        <v/>
      </c>
      <c r="AA149" s="33">
        <f>IF($J149="",MID($AX149,3,255),$J149&amp;$AX149)</f>
        <v/>
      </c>
      <c r="AB149" s="130">
        <f>IF($J149="","",IFERROR(INDEX(코드설정!$D$5:$D$24,MATCH($J149,코드설정!$C$5:$C$24,0)),""))</f>
        <v/>
      </c>
      <c r="AC149" s="36" t="n"/>
      <c r="AD149" s="37" t="n"/>
      <c r="AE149" s="38" t="n"/>
      <c r="AF149" s="118">
        <f>IF(OR($B149="",$C149=""),"",$C149-$B149+1)</f>
        <v/>
      </c>
      <c r="AG149" s="74" t="n"/>
      <c r="AH149" s="36" t="n"/>
      <c r="AJ149">
        <f>IF($K149="","",", "&amp;$K149)</f>
        <v/>
      </c>
      <c r="AK149">
        <f>AJ149&amp;IF($L149="","",", "&amp;$L149)</f>
        <v/>
      </c>
      <c r="AL149">
        <f>AK149&amp;IF($M149="","",", "&amp;$M149)</f>
        <v/>
      </c>
      <c r="AM149">
        <f>AL149&amp;IF($N149="","",", "&amp;$N149)</f>
        <v/>
      </c>
      <c r="AN149">
        <f>AM149&amp;IF($O149="","",", "&amp;$O149)</f>
        <v/>
      </c>
      <c r="AO149">
        <f>AN149&amp;IF($P149="","",", "&amp;$P149)</f>
        <v/>
      </c>
      <c r="AP149">
        <f>AO149&amp;IF($Q149="","",", "&amp;$Q149)</f>
        <v/>
      </c>
      <c r="AQ149">
        <f>AP149&amp;IF($R149="","",", "&amp;$R149)</f>
        <v/>
      </c>
      <c r="AR149">
        <f>AQ149&amp;IF($S149="","",", "&amp;$S149)</f>
        <v/>
      </c>
      <c r="AS149">
        <f>AR149&amp;IF($T149="","",", "&amp;$T149)</f>
        <v/>
      </c>
      <c r="AT149">
        <f>AS149&amp;IF($U149="","",", "&amp;$U149)</f>
        <v/>
      </c>
      <c r="AU149">
        <f>AT149&amp;IF($V149="","",", "&amp;$V149)</f>
        <v/>
      </c>
      <c r="AV149">
        <f>AU149&amp;IF($W149="","",", "&amp;$W149)</f>
        <v/>
      </c>
      <c r="AW149">
        <f>AV149&amp;IF($X149="","",", "&amp;$X149)</f>
        <v/>
      </c>
      <c r="AX149">
        <f>AW149&amp;IF($Y149="","",", "&amp;$Y149)</f>
        <v/>
      </c>
    </row>
    <row r="150">
      <c r="A150" s="118">
        <f>IF($B150="","",COUNT($B$5:$B150))</f>
        <v/>
      </c>
      <c r="B150" s="80" t="n"/>
      <c r="C150" s="80" t="n"/>
      <c r="D150" s="74" t="n"/>
      <c r="E150" s="74" t="n"/>
      <c r="F150" s="74" t="n"/>
      <c r="G150" s="118">
        <f>IF($F150="","",COUNTIF($F$5:$F150,$F150))</f>
        <v/>
      </c>
      <c r="H150" s="33">
        <f>IF($F150="","",IFERROR(INDEX(사건마스터!$B$5:$B$64,MATCH($F150,사건마스터!$A$5:$A$64,0)),""))</f>
        <v/>
      </c>
      <c r="I150" s="130">
        <f>IF($F150="","",IFERROR(INDEX(사건마스터!$C$5:$C$64,MATCH($F150,사건마스터!$A$5:$A$64,0)),""))</f>
        <v/>
      </c>
      <c r="J150" s="136">
        <f>IF($F150="","",IFERROR(INDEX(사건마스터!$H$5:$H$64,MATCH($F150,사건마스터!$A$5:$A$64,0)),""))</f>
        <v/>
      </c>
      <c r="K150" s="136">
        <f>IF($F150="","",IFERROR(INDEX(사건마스터!$AH$5:$AH$64,MATCH($F150,사건마스터!$A$5:$A$64,0)),""))</f>
        <v/>
      </c>
      <c r="L150" s="136">
        <f>IF($F150="","",IFERROR(INDEX(사건마스터!$AI$5:$AI$64,MATCH($F150,사건마스터!$A$5:$A$64,0)),""))</f>
        <v/>
      </c>
      <c r="M150" s="136">
        <f>IF($F150="","",IFERROR(INDEX(사건마스터!$AJ$5:$AJ$64,MATCH($F150,사건마스터!$A$5:$A$64,0)),""))</f>
        <v/>
      </c>
      <c r="N150" s="136">
        <f>IF($F150="","",IFERROR(INDEX(사건마스터!$AK$5:$AK$64,MATCH($F150,사건마스터!$A$5:$A$64,0)),""))</f>
        <v/>
      </c>
      <c r="O150" s="136">
        <f>IF($F150="","",IFERROR(INDEX(사건마스터!$AL$5:$AL$64,MATCH($F150,사건마스터!$A$5:$A$64,0)),""))</f>
        <v/>
      </c>
      <c r="P150" s="136">
        <f>IF($F150="","",IFERROR(INDEX(사건마스터!$AM$5:$AM$64,MATCH($F150,사건마스터!$A$5:$A$64,0)),""))</f>
        <v/>
      </c>
      <c r="Q150" s="136">
        <f>IF($F150="","",IFERROR(INDEX(사건마스터!$AN$5:$AN$64,MATCH($F150,사건마스터!$A$5:$A$64,0)),""))</f>
        <v/>
      </c>
      <c r="R150" s="136">
        <f>IF($F150="","",IFERROR(INDEX(사건마스터!$AO$5:$AO$64,MATCH($F150,사건마스터!$A$5:$A$64,0)),""))</f>
        <v/>
      </c>
      <c r="S150" s="136">
        <f>IF($F150="","",IFERROR(INDEX(사건마스터!$AP$5:$AP$64,MATCH($F150,사건마스터!$A$5:$A$64,0)),""))</f>
        <v/>
      </c>
      <c r="T150" s="136">
        <f>IF($F150="","",IFERROR(INDEX(사건마스터!$AQ$5:$AQ$64,MATCH($F150,사건마스터!$A$5:$A$64,0)),""))</f>
        <v/>
      </c>
      <c r="U150" s="136">
        <f>IF($F150="","",IFERROR(INDEX(사건마스터!$AR$5:$AR$64,MATCH($F150,사건마스터!$A$5:$A$64,0)),""))</f>
        <v/>
      </c>
      <c r="V150" s="136">
        <f>IF($F150="","",IFERROR(INDEX(사건마스터!$AS$5:$AS$64,MATCH($F150,사건마스터!$A$5:$A$64,0)),""))</f>
        <v/>
      </c>
      <c r="W150" s="136">
        <f>IF($F150="","",IFERROR(INDEX(사건마스터!$AT$5:$AT$64,MATCH($F150,사건마스터!$A$5:$A$64,0)),""))</f>
        <v/>
      </c>
      <c r="X150" s="136">
        <f>IF($F150="","",IFERROR(INDEX(사건마스터!$AU$5:$AU$64,MATCH($F150,사건마스터!$A$5:$A$64,0)),""))</f>
        <v/>
      </c>
      <c r="Y150" s="136">
        <f>IF($F150="","",IFERROR(INDEX(사건마스터!$AV$5:$AV$64,MATCH($F150,사건마스터!$A$5:$A$64,0)),""))</f>
        <v/>
      </c>
      <c r="Z150" s="118">
        <f>IF(COUNTBLANK($J150:$Y150)=16,"",16-COUNTBLANK($J150:$Y150))</f>
        <v/>
      </c>
      <c r="AA150" s="33">
        <f>IF($J150="",MID($AX150,3,255),$J150&amp;$AX150)</f>
        <v/>
      </c>
      <c r="AB150" s="130">
        <f>IF($J150="","",IFERROR(INDEX(코드설정!$D$5:$D$24,MATCH($J150,코드설정!$C$5:$C$24,0)),""))</f>
        <v/>
      </c>
      <c r="AC150" s="36" t="n"/>
      <c r="AD150" s="37" t="n"/>
      <c r="AE150" s="38" t="n"/>
      <c r="AF150" s="118">
        <f>IF(OR($B150="",$C150=""),"",$C150-$B150+1)</f>
        <v/>
      </c>
      <c r="AG150" s="74" t="n"/>
      <c r="AH150" s="36" t="n"/>
      <c r="AJ150">
        <f>IF($K150="","",", "&amp;$K150)</f>
        <v/>
      </c>
      <c r="AK150">
        <f>AJ150&amp;IF($L150="","",", "&amp;$L150)</f>
        <v/>
      </c>
      <c r="AL150">
        <f>AK150&amp;IF($M150="","",", "&amp;$M150)</f>
        <v/>
      </c>
      <c r="AM150">
        <f>AL150&amp;IF($N150="","",", "&amp;$N150)</f>
        <v/>
      </c>
      <c r="AN150">
        <f>AM150&amp;IF($O150="","",", "&amp;$O150)</f>
        <v/>
      </c>
      <c r="AO150">
        <f>AN150&amp;IF($P150="","",", "&amp;$P150)</f>
        <v/>
      </c>
      <c r="AP150">
        <f>AO150&amp;IF($Q150="","",", "&amp;$Q150)</f>
        <v/>
      </c>
      <c r="AQ150">
        <f>AP150&amp;IF($R150="","",", "&amp;$R150)</f>
        <v/>
      </c>
      <c r="AR150">
        <f>AQ150&amp;IF($S150="","",", "&amp;$S150)</f>
        <v/>
      </c>
      <c r="AS150">
        <f>AR150&amp;IF($T150="","",", "&amp;$T150)</f>
        <v/>
      </c>
      <c r="AT150">
        <f>AS150&amp;IF($U150="","",", "&amp;$U150)</f>
        <v/>
      </c>
      <c r="AU150">
        <f>AT150&amp;IF($V150="","",", "&amp;$V150)</f>
        <v/>
      </c>
      <c r="AV150">
        <f>AU150&amp;IF($W150="","",", "&amp;$W150)</f>
        <v/>
      </c>
      <c r="AW150">
        <f>AV150&amp;IF($X150="","",", "&amp;$X150)</f>
        <v/>
      </c>
      <c r="AX150">
        <f>AW150&amp;IF($Y150="","",", "&amp;$Y150)</f>
        <v/>
      </c>
    </row>
    <row r="151">
      <c r="A151" s="118">
        <f>IF($B151="","",COUNT($B$5:$B151))</f>
        <v/>
      </c>
      <c r="B151" s="80" t="n"/>
      <c r="C151" s="80" t="n"/>
      <c r="D151" s="74" t="n"/>
      <c r="E151" s="74" t="n"/>
      <c r="F151" s="74" t="n"/>
      <c r="G151" s="118">
        <f>IF($F151="","",COUNTIF($F$5:$F151,$F151))</f>
        <v/>
      </c>
      <c r="H151" s="33">
        <f>IF($F151="","",IFERROR(INDEX(사건마스터!$B$5:$B$64,MATCH($F151,사건마스터!$A$5:$A$64,0)),""))</f>
        <v/>
      </c>
      <c r="I151" s="130">
        <f>IF($F151="","",IFERROR(INDEX(사건마스터!$C$5:$C$64,MATCH($F151,사건마스터!$A$5:$A$64,0)),""))</f>
        <v/>
      </c>
      <c r="J151" s="136">
        <f>IF($F151="","",IFERROR(INDEX(사건마스터!$H$5:$H$64,MATCH($F151,사건마스터!$A$5:$A$64,0)),""))</f>
        <v/>
      </c>
      <c r="K151" s="136">
        <f>IF($F151="","",IFERROR(INDEX(사건마스터!$AH$5:$AH$64,MATCH($F151,사건마스터!$A$5:$A$64,0)),""))</f>
        <v/>
      </c>
      <c r="L151" s="136">
        <f>IF($F151="","",IFERROR(INDEX(사건마스터!$AI$5:$AI$64,MATCH($F151,사건마스터!$A$5:$A$64,0)),""))</f>
        <v/>
      </c>
      <c r="M151" s="136">
        <f>IF($F151="","",IFERROR(INDEX(사건마스터!$AJ$5:$AJ$64,MATCH($F151,사건마스터!$A$5:$A$64,0)),""))</f>
        <v/>
      </c>
      <c r="N151" s="136">
        <f>IF($F151="","",IFERROR(INDEX(사건마스터!$AK$5:$AK$64,MATCH($F151,사건마스터!$A$5:$A$64,0)),""))</f>
        <v/>
      </c>
      <c r="O151" s="136">
        <f>IF($F151="","",IFERROR(INDEX(사건마스터!$AL$5:$AL$64,MATCH($F151,사건마스터!$A$5:$A$64,0)),""))</f>
        <v/>
      </c>
      <c r="P151" s="136">
        <f>IF($F151="","",IFERROR(INDEX(사건마스터!$AM$5:$AM$64,MATCH($F151,사건마스터!$A$5:$A$64,0)),""))</f>
        <v/>
      </c>
      <c r="Q151" s="136">
        <f>IF($F151="","",IFERROR(INDEX(사건마스터!$AN$5:$AN$64,MATCH($F151,사건마스터!$A$5:$A$64,0)),""))</f>
        <v/>
      </c>
      <c r="R151" s="136">
        <f>IF($F151="","",IFERROR(INDEX(사건마스터!$AO$5:$AO$64,MATCH($F151,사건마스터!$A$5:$A$64,0)),""))</f>
        <v/>
      </c>
      <c r="S151" s="136">
        <f>IF($F151="","",IFERROR(INDEX(사건마스터!$AP$5:$AP$64,MATCH($F151,사건마스터!$A$5:$A$64,0)),""))</f>
        <v/>
      </c>
      <c r="T151" s="136">
        <f>IF($F151="","",IFERROR(INDEX(사건마스터!$AQ$5:$AQ$64,MATCH($F151,사건마스터!$A$5:$A$64,0)),""))</f>
        <v/>
      </c>
      <c r="U151" s="136">
        <f>IF($F151="","",IFERROR(INDEX(사건마스터!$AR$5:$AR$64,MATCH($F151,사건마스터!$A$5:$A$64,0)),""))</f>
        <v/>
      </c>
      <c r="V151" s="136">
        <f>IF($F151="","",IFERROR(INDEX(사건마스터!$AS$5:$AS$64,MATCH($F151,사건마스터!$A$5:$A$64,0)),""))</f>
        <v/>
      </c>
      <c r="W151" s="136">
        <f>IF($F151="","",IFERROR(INDEX(사건마스터!$AT$5:$AT$64,MATCH($F151,사건마스터!$A$5:$A$64,0)),""))</f>
        <v/>
      </c>
      <c r="X151" s="136">
        <f>IF($F151="","",IFERROR(INDEX(사건마스터!$AU$5:$AU$64,MATCH($F151,사건마스터!$A$5:$A$64,0)),""))</f>
        <v/>
      </c>
      <c r="Y151" s="136">
        <f>IF($F151="","",IFERROR(INDEX(사건마스터!$AV$5:$AV$64,MATCH($F151,사건마스터!$A$5:$A$64,0)),""))</f>
        <v/>
      </c>
      <c r="Z151" s="118">
        <f>IF(COUNTBLANK($J151:$Y151)=16,"",16-COUNTBLANK($J151:$Y151))</f>
        <v/>
      </c>
      <c r="AA151" s="33">
        <f>IF($J151="",MID($AX151,3,255),$J151&amp;$AX151)</f>
        <v/>
      </c>
      <c r="AB151" s="130">
        <f>IF($J151="","",IFERROR(INDEX(코드설정!$D$5:$D$24,MATCH($J151,코드설정!$C$5:$C$24,0)),""))</f>
        <v/>
      </c>
      <c r="AC151" s="36" t="n"/>
      <c r="AD151" s="37" t="n"/>
      <c r="AE151" s="38" t="n"/>
      <c r="AF151" s="118">
        <f>IF(OR($B151="",$C151=""),"",$C151-$B151+1)</f>
        <v/>
      </c>
      <c r="AG151" s="74" t="n"/>
      <c r="AH151" s="36" t="n"/>
      <c r="AJ151">
        <f>IF($K151="","",", "&amp;$K151)</f>
        <v/>
      </c>
      <c r="AK151">
        <f>AJ151&amp;IF($L151="","",", "&amp;$L151)</f>
        <v/>
      </c>
      <c r="AL151">
        <f>AK151&amp;IF($M151="","",", "&amp;$M151)</f>
        <v/>
      </c>
      <c r="AM151">
        <f>AL151&amp;IF($N151="","",", "&amp;$N151)</f>
        <v/>
      </c>
      <c r="AN151">
        <f>AM151&amp;IF($O151="","",", "&amp;$O151)</f>
        <v/>
      </c>
      <c r="AO151">
        <f>AN151&amp;IF($P151="","",", "&amp;$P151)</f>
        <v/>
      </c>
      <c r="AP151">
        <f>AO151&amp;IF($Q151="","",", "&amp;$Q151)</f>
        <v/>
      </c>
      <c r="AQ151">
        <f>AP151&amp;IF($R151="","",", "&amp;$R151)</f>
        <v/>
      </c>
      <c r="AR151">
        <f>AQ151&amp;IF($S151="","",", "&amp;$S151)</f>
        <v/>
      </c>
      <c r="AS151">
        <f>AR151&amp;IF($T151="","",", "&amp;$T151)</f>
        <v/>
      </c>
      <c r="AT151">
        <f>AS151&amp;IF($U151="","",", "&amp;$U151)</f>
        <v/>
      </c>
      <c r="AU151">
        <f>AT151&amp;IF($V151="","",", "&amp;$V151)</f>
        <v/>
      </c>
      <c r="AV151">
        <f>AU151&amp;IF($W151="","",", "&amp;$W151)</f>
        <v/>
      </c>
      <c r="AW151">
        <f>AV151&amp;IF($X151="","",", "&amp;$X151)</f>
        <v/>
      </c>
      <c r="AX151">
        <f>AW151&amp;IF($Y151="","",", "&amp;$Y151)</f>
        <v/>
      </c>
    </row>
    <row r="152">
      <c r="A152" s="118">
        <f>IF($B152="","",COUNT($B$5:$B152))</f>
        <v/>
      </c>
      <c r="B152" s="80" t="n"/>
      <c r="C152" s="80" t="n"/>
      <c r="D152" s="74" t="n"/>
      <c r="E152" s="74" t="n"/>
      <c r="F152" s="74" t="n"/>
      <c r="G152" s="118">
        <f>IF($F152="","",COUNTIF($F$5:$F152,$F152))</f>
        <v/>
      </c>
      <c r="H152" s="33">
        <f>IF($F152="","",IFERROR(INDEX(사건마스터!$B$5:$B$64,MATCH($F152,사건마스터!$A$5:$A$64,0)),""))</f>
        <v/>
      </c>
      <c r="I152" s="130">
        <f>IF($F152="","",IFERROR(INDEX(사건마스터!$C$5:$C$64,MATCH($F152,사건마스터!$A$5:$A$64,0)),""))</f>
        <v/>
      </c>
      <c r="J152" s="136">
        <f>IF($F152="","",IFERROR(INDEX(사건마스터!$H$5:$H$64,MATCH($F152,사건마스터!$A$5:$A$64,0)),""))</f>
        <v/>
      </c>
      <c r="K152" s="136">
        <f>IF($F152="","",IFERROR(INDEX(사건마스터!$AH$5:$AH$64,MATCH($F152,사건마스터!$A$5:$A$64,0)),""))</f>
        <v/>
      </c>
      <c r="L152" s="136">
        <f>IF($F152="","",IFERROR(INDEX(사건마스터!$AI$5:$AI$64,MATCH($F152,사건마스터!$A$5:$A$64,0)),""))</f>
        <v/>
      </c>
      <c r="M152" s="136">
        <f>IF($F152="","",IFERROR(INDEX(사건마스터!$AJ$5:$AJ$64,MATCH($F152,사건마스터!$A$5:$A$64,0)),""))</f>
        <v/>
      </c>
      <c r="N152" s="136">
        <f>IF($F152="","",IFERROR(INDEX(사건마스터!$AK$5:$AK$64,MATCH($F152,사건마스터!$A$5:$A$64,0)),""))</f>
        <v/>
      </c>
      <c r="O152" s="136">
        <f>IF($F152="","",IFERROR(INDEX(사건마스터!$AL$5:$AL$64,MATCH($F152,사건마스터!$A$5:$A$64,0)),""))</f>
        <v/>
      </c>
      <c r="P152" s="136">
        <f>IF($F152="","",IFERROR(INDEX(사건마스터!$AM$5:$AM$64,MATCH($F152,사건마스터!$A$5:$A$64,0)),""))</f>
        <v/>
      </c>
      <c r="Q152" s="136">
        <f>IF($F152="","",IFERROR(INDEX(사건마스터!$AN$5:$AN$64,MATCH($F152,사건마스터!$A$5:$A$64,0)),""))</f>
        <v/>
      </c>
      <c r="R152" s="136">
        <f>IF($F152="","",IFERROR(INDEX(사건마스터!$AO$5:$AO$64,MATCH($F152,사건마스터!$A$5:$A$64,0)),""))</f>
        <v/>
      </c>
      <c r="S152" s="136">
        <f>IF($F152="","",IFERROR(INDEX(사건마스터!$AP$5:$AP$64,MATCH($F152,사건마스터!$A$5:$A$64,0)),""))</f>
        <v/>
      </c>
      <c r="T152" s="136">
        <f>IF($F152="","",IFERROR(INDEX(사건마스터!$AQ$5:$AQ$64,MATCH($F152,사건마스터!$A$5:$A$64,0)),""))</f>
        <v/>
      </c>
      <c r="U152" s="136">
        <f>IF($F152="","",IFERROR(INDEX(사건마스터!$AR$5:$AR$64,MATCH($F152,사건마스터!$A$5:$A$64,0)),""))</f>
        <v/>
      </c>
      <c r="V152" s="136">
        <f>IF($F152="","",IFERROR(INDEX(사건마스터!$AS$5:$AS$64,MATCH($F152,사건마스터!$A$5:$A$64,0)),""))</f>
        <v/>
      </c>
      <c r="W152" s="136">
        <f>IF($F152="","",IFERROR(INDEX(사건마스터!$AT$5:$AT$64,MATCH($F152,사건마스터!$A$5:$A$64,0)),""))</f>
        <v/>
      </c>
      <c r="X152" s="136">
        <f>IF($F152="","",IFERROR(INDEX(사건마스터!$AU$5:$AU$64,MATCH($F152,사건마스터!$A$5:$A$64,0)),""))</f>
        <v/>
      </c>
      <c r="Y152" s="136">
        <f>IF($F152="","",IFERROR(INDEX(사건마스터!$AV$5:$AV$64,MATCH($F152,사건마스터!$A$5:$A$64,0)),""))</f>
        <v/>
      </c>
      <c r="Z152" s="118">
        <f>IF(COUNTBLANK($J152:$Y152)=16,"",16-COUNTBLANK($J152:$Y152))</f>
        <v/>
      </c>
      <c r="AA152" s="33">
        <f>IF($J152="",MID($AX152,3,255),$J152&amp;$AX152)</f>
        <v/>
      </c>
      <c r="AB152" s="130">
        <f>IF($J152="","",IFERROR(INDEX(코드설정!$D$5:$D$24,MATCH($J152,코드설정!$C$5:$C$24,0)),""))</f>
        <v/>
      </c>
      <c r="AC152" s="36" t="n"/>
      <c r="AD152" s="37" t="n"/>
      <c r="AE152" s="38" t="n"/>
      <c r="AF152" s="118">
        <f>IF(OR($B152="",$C152=""),"",$C152-$B152+1)</f>
        <v/>
      </c>
      <c r="AG152" s="74" t="n"/>
      <c r="AH152" s="36" t="n"/>
      <c r="AJ152">
        <f>IF($K152="","",", "&amp;$K152)</f>
        <v/>
      </c>
      <c r="AK152">
        <f>AJ152&amp;IF($L152="","",", "&amp;$L152)</f>
        <v/>
      </c>
      <c r="AL152">
        <f>AK152&amp;IF($M152="","",", "&amp;$M152)</f>
        <v/>
      </c>
      <c r="AM152">
        <f>AL152&amp;IF($N152="","",", "&amp;$N152)</f>
        <v/>
      </c>
      <c r="AN152">
        <f>AM152&amp;IF($O152="","",", "&amp;$O152)</f>
        <v/>
      </c>
      <c r="AO152">
        <f>AN152&amp;IF($P152="","",", "&amp;$P152)</f>
        <v/>
      </c>
      <c r="AP152">
        <f>AO152&amp;IF($Q152="","",", "&amp;$Q152)</f>
        <v/>
      </c>
      <c r="AQ152">
        <f>AP152&amp;IF($R152="","",", "&amp;$R152)</f>
        <v/>
      </c>
      <c r="AR152">
        <f>AQ152&amp;IF($S152="","",", "&amp;$S152)</f>
        <v/>
      </c>
      <c r="AS152">
        <f>AR152&amp;IF($T152="","",", "&amp;$T152)</f>
        <v/>
      </c>
      <c r="AT152">
        <f>AS152&amp;IF($U152="","",", "&amp;$U152)</f>
        <v/>
      </c>
      <c r="AU152">
        <f>AT152&amp;IF($V152="","",", "&amp;$V152)</f>
        <v/>
      </c>
      <c r="AV152">
        <f>AU152&amp;IF($W152="","",", "&amp;$W152)</f>
        <v/>
      </c>
      <c r="AW152">
        <f>AV152&amp;IF($X152="","",", "&amp;$X152)</f>
        <v/>
      </c>
      <c r="AX152">
        <f>AW152&amp;IF($Y152="","",", "&amp;$Y152)</f>
        <v/>
      </c>
    </row>
    <row r="153">
      <c r="A153" s="118">
        <f>IF($B153="","",COUNT($B$5:$B153))</f>
        <v/>
      </c>
      <c r="B153" s="80" t="n"/>
      <c r="C153" s="80" t="n"/>
      <c r="D153" s="74" t="n"/>
      <c r="E153" s="74" t="n"/>
      <c r="F153" s="74" t="n"/>
      <c r="G153" s="118">
        <f>IF($F153="","",COUNTIF($F$5:$F153,$F153))</f>
        <v/>
      </c>
      <c r="H153" s="33">
        <f>IF($F153="","",IFERROR(INDEX(사건마스터!$B$5:$B$64,MATCH($F153,사건마스터!$A$5:$A$64,0)),""))</f>
        <v/>
      </c>
      <c r="I153" s="130">
        <f>IF($F153="","",IFERROR(INDEX(사건마스터!$C$5:$C$64,MATCH($F153,사건마스터!$A$5:$A$64,0)),""))</f>
        <v/>
      </c>
      <c r="J153" s="136">
        <f>IF($F153="","",IFERROR(INDEX(사건마스터!$H$5:$H$64,MATCH($F153,사건마스터!$A$5:$A$64,0)),""))</f>
        <v/>
      </c>
      <c r="K153" s="136">
        <f>IF($F153="","",IFERROR(INDEX(사건마스터!$AH$5:$AH$64,MATCH($F153,사건마스터!$A$5:$A$64,0)),""))</f>
        <v/>
      </c>
      <c r="L153" s="136">
        <f>IF($F153="","",IFERROR(INDEX(사건마스터!$AI$5:$AI$64,MATCH($F153,사건마스터!$A$5:$A$64,0)),""))</f>
        <v/>
      </c>
      <c r="M153" s="136">
        <f>IF($F153="","",IFERROR(INDEX(사건마스터!$AJ$5:$AJ$64,MATCH($F153,사건마스터!$A$5:$A$64,0)),""))</f>
        <v/>
      </c>
      <c r="N153" s="136">
        <f>IF($F153="","",IFERROR(INDEX(사건마스터!$AK$5:$AK$64,MATCH($F153,사건마스터!$A$5:$A$64,0)),""))</f>
        <v/>
      </c>
      <c r="O153" s="136">
        <f>IF($F153="","",IFERROR(INDEX(사건마스터!$AL$5:$AL$64,MATCH($F153,사건마스터!$A$5:$A$64,0)),""))</f>
        <v/>
      </c>
      <c r="P153" s="136">
        <f>IF($F153="","",IFERROR(INDEX(사건마스터!$AM$5:$AM$64,MATCH($F153,사건마스터!$A$5:$A$64,0)),""))</f>
        <v/>
      </c>
      <c r="Q153" s="136">
        <f>IF($F153="","",IFERROR(INDEX(사건마스터!$AN$5:$AN$64,MATCH($F153,사건마스터!$A$5:$A$64,0)),""))</f>
        <v/>
      </c>
      <c r="R153" s="136">
        <f>IF($F153="","",IFERROR(INDEX(사건마스터!$AO$5:$AO$64,MATCH($F153,사건마스터!$A$5:$A$64,0)),""))</f>
        <v/>
      </c>
      <c r="S153" s="136">
        <f>IF($F153="","",IFERROR(INDEX(사건마스터!$AP$5:$AP$64,MATCH($F153,사건마스터!$A$5:$A$64,0)),""))</f>
        <v/>
      </c>
      <c r="T153" s="136">
        <f>IF($F153="","",IFERROR(INDEX(사건마스터!$AQ$5:$AQ$64,MATCH($F153,사건마스터!$A$5:$A$64,0)),""))</f>
        <v/>
      </c>
      <c r="U153" s="136">
        <f>IF($F153="","",IFERROR(INDEX(사건마스터!$AR$5:$AR$64,MATCH($F153,사건마스터!$A$5:$A$64,0)),""))</f>
        <v/>
      </c>
      <c r="V153" s="136">
        <f>IF($F153="","",IFERROR(INDEX(사건마스터!$AS$5:$AS$64,MATCH($F153,사건마스터!$A$5:$A$64,0)),""))</f>
        <v/>
      </c>
      <c r="W153" s="136">
        <f>IF($F153="","",IFERROR(INDEX(사건마스터!$AT$5:$AT$64,MATCH($F153,사건마스터!$A$5:$A$64,0)),""))</f>
        <v/>
      </c>
      <c r="X153" s="136">
        <f>IF($F153="","",IFERROR(INDEX(사건마스터!$AU$5:$AU$64,MATCH($F153,사건마스터!$A$5:$A$64,0)),""))</f>
        <v/>
      </c>
      <c r="Y153" s="136">
        <f>IF($F153="","",IFERROR(INDEX(사건마스터!$AV$5:$AV$64,MATCH($F153,사건마스터!$A$5:$A$64,0)),""))</f>
        <v/>
      </c>
      <c r="Z153" s="118">
        <f>IF(COUNTBLANK($J153:$Y153)=16,"",16-COUNTBLANK($J153:$Y153))</f>
        <v/>
      </c>
      <c r="AA153" s="33">
        <f>IF($J153="",MID($AX153,3,255),$J153&amp;$AX153)</f>
        <v/>
      </c>
      <c r="AB153" s="130">
        <f>IF($J153="","",IFERROR(INDEX(코드설정!$D$5:$D$24,MATCH($J153,코드설정!$C$5:$C$24,0)),""))</f>
        <v/>
      </c>
      <c r="AC153" s="36" t="n"/>
      <c r="AD153" s="37" t="n"/>
      <c r="AE153" s="38" t="n"/>
      <c r="AF153" s="118">
        <f>IF(OR($B153="",$C153=""),"",$C153-$B153+1)</f>
        <v/>
      </c>
      <c r="AG153" s="74" t="n"/>
      <c r="AH153" s="36" t="n"/>
      <c r="AJ153">
        <f>IF($K153="","",", "&amp;$K153)</f>
        <v/>
      </c>
      <c r="AK153">
        <f>AJ153&amp;IF($L153="","",", "&amp;$L153)</f>
        <v/>
      </c>
      <c r="AL153">
        <f>AK153&amp;IF($M153="","",", "&amp;$M153)</f>
        <v/>
      </c>
      <c r="AM153">
        <f>AL153&amp;IF($N153="","",", "&amp;$N153)</f>
        <v/>
      </c>
      <c r="AN153">
        <f>AM153&amp;IF($O153="","",", "&amp;$O153)</f>
        <v/>
      </c>
      <c r="AO153">
        <f>AN153&amp;IF($P153="","",", "&amp;$P153)</f>
        <v/>
      </c>
      <c r="AP153">
        <f>AO153&amp;IF($Q153="","",", "&amp;$Q153)</f>
        <v/>
      </c>
      <c r="AQ153">
        <f>AP153&amp;IF($R153="","",", "&amp;$R153)</f>
        <v/>
      </c>
      <c r="AR153">
        <f>AQ153&amp;IF($S153="","",", "&amp;$S153)</f>
        <v/>
      </c>
      <c r="AS153">
        <f>AR153&amp;IF($T153="","",", "&amp;$T153)</f>
        <v/>
      </c>
      <c r="AT153">
        <f>AS153&amp;IF($U153="","",", "&amp;$U153)</f>
        <v/>
      </c>
      <c r="AU153">
        <f>AT153&amp;IF($V153="","",", "&amp;$V153)</f>
        <v/>
      </c>
      <c r="AV153">
        <f>AU153&amp;IF($W153="","",", "&amp;$W153)</f>
        <v/>
      </c>
      <c r="AW153">
        <f>AV153&amp;IF($X153="","",", "&amp;$X153)</f>
        <v/>
      </c>
      <c r="AX153">
        <f>AW153&amp;IF($Y153="","",", "&amp;$Y153)</f>
        <v/>
      </c>
    </row>
    <row r="154">
      <c r="A154" s="118">
        <f>IF($B154="","",COUNT($B$5:$B154))</f>
        <v/>
      </c>
      <c r="B154" s="80" t="n"/>
      <c r="C154" s="80" t="n"/>
      <c r="D154" s="74" t="n"/>
      <c r="E154" s="74" t="n"/>
      <c r="F154" s="74" t="n"/>
      <c r="G154" s="118">
        <f>IF($F154="","",COUNTIF($F$5:$F154,$F154))</f>
        <v/>
      </c>
      <c r="H154" s="33">
        <f>IF($F154="","",IFERROR(INDEX(사건마스터!$B$5:$B$64,MATCH($F154,사건마스터!$A$5:$A$64,0)),""))</f>
        <v/>
      </c>
      <c r="I154" s="130">
        <f>IF($F154="","",IFERROR(INDEX(사건마스터!$C$5:$C$64,MATCH($F154,사건마스터!$A$5:$A$64,0)),""))</f>
        <v/>
      </c>
      <c r="J154" s="136">
        <f>IF($F154="","",IFERROR(INDEX(사건마스터!$H$5:$H$64,MATCH($F154,사건마스터!$A$5:$A$64,0)),""))</f>
        <v/>
      </c>
      <c r="K154" s="136">
        <f>IF($F154="","",IFERROR(INDEX(사건마스터!$AH$5:$AH$64,MATCH($F154,사건마스터!$A$5:$A$64,0)),""))</f>
        <v/>
      </c>
      <c r="L154" s="136">
        <f>IF($F154="","",IFERROR(INDEX(사건마스터!$AI$5:$AI$64,MATCH($F154,사건마스터!$A$5:$A$64,0)),""))</f>
        <v/>
      </c>
      <c r="M154" s="136">
        <f>IF($F154="","",IFERROR(INDEX(사건마스터!$AJ$5:$AJ$64,MATCH($F154,사건마스터!$A$5:$A$64,0)),""))</f>
        <v/>
      </c>
      <c r="N154" s="136">
        <f>IF($F154="","",IFERROR(INDEX(사건마스터!$AK$5:$AK$64,MATCH($F154,사건마스터!$A$5:$A$64,0)),""))</f>
        <v/>
      </c>
      <c r="O154" s="136">
        <f>IF($F154="","",IFERROR(INDEX(사건마스터!$AL$5:$AL$64,MATCH($F154,사건마스터!$A$5:$A$64,0)),""))</f>
        <v/>
      </c>
      <c r="P154" s="136">
        <f>IF($F154="","",IFERROR(INDEX(사건마스터!$AM$5:$AM$64,MATCH($F154,사건마스터!$A$5:$A$64,0)),""))</f>
        <v/>
      </c>
      <c r="Q154" s="136">
        <f>IF($F154="","",IFERROR(INDEX(사건마스터!$AN$5:$AN$64,MATCH($F154,사건마스터!$A$5:$A$64,0)),""))</f>
        <v/>
      </c>
      <c r="R154" s="136">
        <f>IF($F154="","",IFERROR(INDEX(사건마스터!$AO$5:$AO$64,MATCH($F154,사건마스터!$A$5:$A$64,0)),""))</f>
        <v/>
      </c>
      <c r="S154" s="136">
        <f>IF($F154="","",IFERROR(INDEX(사건마스터!$AP$5:$AP$64,MATCH($F154,사건마스터!$A$5:$A$64,0)),""))</f>
        <v/>
      </c>
      <c r="T154" s="136">
        <f>IF($F154="","",IFERROR(INDEX(사건마스터!$AQ$5:$AQ$64,MATCH($F154,사건마스터!$A$5:$A$64,0)),""))</f>
        <v/>
      </c>
      <c r="U154" s="136">
        <f>IF($F154="","",IFERROR(INDEX(사건마스터!$AR$5:$AR$64,MATCH($F154,사건마스터!$A$5:$A$64,0)),""))</f>
        <v/>
      </c>
      <c r="V154" s="136">
        <f>IF($F154="","",IFERROR(INDEX(사건마스터!$AS$5:$AS$64,MATCH($F154,사건마스터!$A$5:$A$64,0)),""))</f>
        <v/>
      </c>
      <c r="W154" s="136">
        <f>IF($F154="","",IFERROR(INDEX(사건마스터!$AT$5:$AT$64,MATCH($F154,사건마스터!$A$5:$A$64,0)),""))</f>
        <v/>
      </c>
      <c r="X154" s="136">
        <f>IF($F154="","",IFERROR(INDEX(사건마스터!$AU$5:$AU$64,MATCH($F154,사건마스터!$A$5:$A$64,0)),""))</f>
        <v/>
      </c>
      <c r="Y154" s="136">
        <f>IF($F154="","",IFERROR(INDEX(사건마스터!$AV$5:$AV$64,MATCH($F154,사건마스터!$A$5:$A$64,0)),""))</f>
        <v/>
      </c>
      <c r="Z154" s="118">
        <f>IF(COUNTBLANK($J154:$Y154)=16,"",16-COUNTBLANK($J154:$Y154))</f>
        <v/>
      </c>
      <c r="AA154" s="33">
        <f>IF($J154="",MID($AX154,3,255),$J154&amp;$AX154)</f>
        <v/>
      </c>
      <c r="AB154" s="130">
        <f>IF($J154="","",IFERROR(INDEX(코드설정!$D$5:$D$24,MATCH($J154,코드설정!$C$5:$C$24,0)),""))</f>
        <v/>
      </c>
      <c r="AC154" s="36" t="n"/>
      <c r="AD154" s="37" t="n"/>
      <c r="AE154" s="38" t="n"/>
      <c r="AF154" s="118">
        <f>IF(OR($B154="",$C154=""),"",$C154-$B154+1)</f>
        <v/>
      </c>
      <c r="AG154" s="74" t="n"/>
      <c r="AH154" s="36" t="n"/>
      <c r="AJ154">
        <f>IF($K154="","",", "&amp;$K154)</f>
        <v/>
      </c>
      <c r="AK154">
        <f>AJ154&amp;IF($L154="","",", "&amp;$L154)</f>
        <v/>
      </c>
      <c r="AL154">
        <f>AK154&amp;IF($M154="","",", "&amp;$M154)</f>
        <v/>
      </c>
      <c r="AM154">
        <f>AL154&amp;IF($N154="","",", "&amp;$N154)</f>
        <v/>
      </c>
      <c r="AN154">
        <f>AM154&amp;IF($O154="","",", "&amp;$O154)</f>
        <v/>
      </c>
      <c r="AO154">
        <f>AN154&amp;IF($P154="","",", "&amp;$P154)</f>
        <v/>
      </c>
      <c r="AP154">
        <f>AO154&amp;IF($Q154="","",", "&amp;$Q154)</f>
        <v/>
      </c>
      <c r="AQ154">
        <f>AP154&amp;IF($R154="","",", "&amp;$R154)</f>
        <v/>
      </c>
      <c r="AR154">
        <f>AQ154&amp;IF($S154="","",", "&amp;$S154)</f>
        <v/>
      </c>
      <c r="AS154">
        <f>AR154&amp;IF($T154="","",", "&amp;$T154)</f>
        <v/>
      </c>
      <c r="AT154">
        <f>AS154&amp;IF($U154="","",", "&amp;$U154)</f>
        <v/>
      </c>
      <c r="AU154">
        <f>AT154&amp;IF($V154="","",", "&amp;$V154)</f>
        <v/>
      </c>
      <c r="AV154">
        <f>AU154&amp;IF($W154="","",", "&amp;$W154)</f>
        <v/>
      </c>
      <c r="AW154">
        <f>AV154&amp;IF($X154="","",", "&amp;$X154)</f>
        <v/>
      </c>
      <c r="AX154">
        <f>AW154&amp;IF($Y154="","",", "&amp;$Y154)</f>
        <v/>
      </c>
    </row>
    <row r="155">
      <c r="A155" s="118">
        <f>IF($B155="","",COUNT($B$5:$B155))</f>
        <v/>
      </c>
      <c r="B155" s="80" t="n"/>
      <c r="C155" s="80" t="n"/>
      <c r="D155" s="74" t="n"/>
      <c r="E155" s="74" t="n"/>
      <c r="F155" s="74" t="n"/>
      <c r="G155" s="118">
        <f>IF($F155="","",COUNTIF($F$5:$F155,$F155))</f>
        <v/>
      </c>
      <c r="H155" s="33">
        <f>IF($F155="","",IFERROR(INDEX(사건마스터!$B$5:$B$64,MATCH($F155,사건마스터!$A$5:$A$64,0)),""))</f>
        <v/>
      </c>
      <c r="I155" s="130">
        <f>IF($F155="","",IFERROR(INDEX(사건마스터!$C$5:$C$64,MATCH($F155,사건마스터!$A$5:$A$64,0)),""))</f>
        <v/>
      </c>
      <c r="J155" s="136">
        <f>IF($F155="","",IFERROR(INDEX(사건마스터!$H$5:$H$64,MATCH($F155,사건마스터!$A$5:$A$64,0)),""))</f>
        <v/>
      </c>
      <c r="K155" s="136">
        <f>IF($F155="","",IFERROR(INDEX(사건마스터!$AH$5:$AH$64,MATCH($F155,사건마스터!$A$5:$A$64,0)),""))</f>
        <v/>
      </c>
      <c r="L155" s="136">
        <f>IF($F155="","",IFERROR(INDEX(사건마스터!$AI$5:$AI$64,MATCH($F155,사건마스터!$A$5:$A$64,0)),""))</f>
        <v/>
      </c>
      <c r="M155" s="136">
        <f>IF($F155="","",IFERROR(INDEX(사건마스터!$AJ$5:$AJ$64,MATCH($F155,사건마스터!$A$5:$A$64,0)),""))</f>
        <v/>
      </c>
      <c r="N155" s="136">
        <f>IF($F155="","",IFERROR(INDEX(사건마스터!$AK$5:$AK$64,MATCH($F155,사건마스터!$A$5:$A$64,0)),""))</f>
        <v/>
      </c>
      <c r="O155" s="136">
        <f>IF($F155="","",IFERROR(INDEX(사건마스터!$AL$5:$AL$64,MATCH($F155,사건마스터!$A$5:$A$64,0)),""))</f>
        <v/>
      </c>
      <c r="P155" s="136">
        <f>IF($F155="","",IFERROR(INDEX(사건마스터!$AM$5:$AM$64,MATCH($F155,사건마스터!$A$5:$A$64,0)),""))</f>
        <v/>
      </c>
      <c r="Q155" s="136">
        <f>IF($F155="","",IFERROR(INDEX(사건마스터!$AN$5:$AN$64,MATCH($F155,사건마스터!$A$5:$A$64,0)),""))</f>
        <v/>
      </c>
      <c r="R155" s="136">
        <f>IF($F155="","",IFERROR(INDEX(사건마스터!$AO$5:$AO$64,MATCH($F155,사건마스터!$A$5:$A$64,0)),""))</f>
        <v/>
      </c>
      <c r="S155" s="136">
        <f>IF($F155="","",IFERROR(INDEX(사건마스터!$AP$5:$AP$64,MATCH($F155,사건마스터!$A$5:$A$64,0)),""))</f>
        <v/>
      </c>
      <c r="T155" s="136">
        <f>IF($F155="","",IFERROR(INDEX(사건마스터!$AQ$5:$AQ$64,MATCH($F155,사건마스터!$A$5:$A$64,0)),""))</f>
        <v/>
      </c>
      <c r="U155" s="136">
        <f>IF($F155="","",IFERROR(INDEX(사건마스터!$AR$5:$AR$64,MATCH($F155,사건마스터!$A$5:$A$64,0)),""))</f>
        <v/>
      </c>
      <c r="V155" s="136">
        <f>IF($F155="","",IFERROR(INDEX(사건마스터!$AS$5:$AS$64,MATCH($F155,사건마스터!$A$5:$A$64,0)),""))</f>
        <v/>
      </c>
      <c r="W155" s="136">
        <f>IF($F155="","",IFERROR(INDEX(사건마스터!$AT$5:$AT$64,MATCH($F155,사건마스터!$A$5:$A$64,0)),""))</f>
        <v/>
      </c>
      <c r="X155" s="136">
        <f>IF($F155="","",IFERROR(INDEX(사건마스터!$AU$5:$AU$64,MATCH($F155,사건마스터!$A$5:$A$64,0)),""))</f>
        <v/>
      </c>
      <c r="Y155" s="136">
        <f>IF($F155="","",IFERROR(INDEX(사건마스터!$AV$5:$AV$64,MATCH($F155,사건마스터!$A$5:$A$64,0)),""))</f>
        <v/>
      </c>
      <c r="Z155" s="118">
        <f>IF(COUNTBLANK($J155:$Y155)=16,"",16-COUNTBLANK($J155:$Y155))</f>
        <v/>
      </c>
      <c r="AA155" s="33">
        <f>IF($J155="",MID($AX155,3,255),$J155&amp;$AX155)</f>
        <v/>
      </c>
      <c r="AB155" s="130">
        <f>IF($J155="","",IFERROR(INDEX(코드설정!$D$5:$D$24,MATCH($J155,코드설정!$C$5:$C$24,0)),""))</f>
        <v/>
      </c>
      <c r="AC155" s="36" t="n"/>
      <c r="AD155" s="37" t="n"/>
      <c r="AE155" s="38" t="n"/>
      <c r="AF155" s="118">
        <f>IF(OR($B155="",$C155=""),"",$C155-$B155+1)</f>
        <v/>
      </c>
      <c r="AG155" s="74" t="n"/>
      <c r="AH155" s="36" t="n"/>
      <c r="AJ155">
        <f>IF($K155="","",", "&amp;$K155)</f>
        <v/>
      </c>
      <c r="AK155">
        <f>AJ155&amp;IF($L155="","",", "&amp;$L155)</f>
        <v/>
      </c>
      <c r="AL155">
        <f>AK155&amp;IF($M155="","",", "&amp;$M155)</f>
        <v/>
      </c>
      <c r="AM155">
        <f>AL155&amp;IF($N155="","",", "&amp;$N155)</f>
        <v/>
      </c>
      <c r="AN155">
        <f>AM155&amp;IF($O155="","",", "&amp;$O155)</f>
        <v/>
      </c>
      <c r="AO155">
        <f>AN155&amp;IF($P155="","",", "&amp;$P155)</f>
        <v/>
      </c>
      <c r="AP155">
        <f>AO155&amp;IF($Q155="","",", "&amp;$Q155)</f>
        <v/>
      </c>
      <c r="AQ155">
        <f>AP155&amp;IF($R155="","",", "&amp;$R155)</f>
        <v/>
      </c>
      <c r="AR155">
        <f>AQ155&amp;IF($S155="","",", "&amp;$S155)</f>
        <v/>
      </c>
      <c r="AS155">
        <f>AR155&amp;IF($T155="","",", "&amp;$T155)</f>
        <v/>
      </c>
      <c r="AT155">
        <f>AS155&amp;IF($U155="","",", "&amp;$U155)</f>
        <v/>
      </c>
      <c r="AU155">
        <f>AT155&amp;IF($V155="","",", "&amp;$V155)</f>
        <v/>
      </c>
      <c r="AV155">
        <f>AU155&amp;IF($W155="","",", "&amp;$W155)</f>
        <v/>
      </c>
      <c r="AW155">
        <f>AV155&amp;IF($X155="","",", "&amp;$X155)</f>
        <v/>
      </c>
      <c r="AX155">
        <f>AW155&amp;IF($Y155="","",", "&amp;$Y155)</f>
        <v/>
      </c>
    </row>
    <row r="156">
      <c r="A156" s="118">
        <f>IF($B156="","",COUNT($B$5:$B156))</f>
        <v/>
      </c>
      <c r="B156" s="80" t="n"/>
      <c r="C156" s="80" t="n"/>
      <c r="D156" s="74" t="n"/>
      <c r="E156" s="74" t="n"/>
      <c r="F156" s="74" t="n"/>
      <c r="G156" s="118">
        <f>IF($F156="","",COUNTIF($F$5:$F156,$F156))</f>
        <v/>
      </c>
      <c r="H156" s="33">
        <f>IF($F156="","",IFERROR(INDEX(사건마스터!$B$5:$B$64,MATCH($F156,사건마스터!$A$5:$A$64,0)),""))</f>
        <v/>
      </c>
      <c r="I156" s="130">
        <f>IF($F156="","",IFERROR(INDEX(사건마스터!$C$5:$C$64,MATCH($F156,사건마스터!$A$5:$A$64,0)),""))</f>
        <v/>
      </c>
      <c r="J156" s="136">
        <f>IF($F156="","",IFERROR(INDEX(사건마스터!$H$5:$H$64,MATCH($F156,사건마스터!$A$5:$A$64,0)),""))</f>
        <v/>
      </c>
      <c r="K156" s="136">
        <f>IF($F156="","",IFERROR(INDEX(사건마스터!$AH$5:$AH$64,MATCH($F156,사건마스터!$A$5:$A$64,0)),""))</f>
        <v/>
      </c>
      <c r="L156" s="136">
        <f>IF($F156="","",IFERROR(INDEX(사건마스터!$AI$5:$AI$64,MATCH($F156,사건마스터!$A$5:$A$64,0)),""))</f>
        <v/>
      </c>
      <c r="M156" s="136">
        <f>IF($F156="","",IFERROR(INDEX(사건마스터!$AJ$5:$AJ$64,MATCH($F156,사건마스터!$A$5:$A$64,0)),""))</f>
        <v/>
      </c>
      <c r="N156" s="136">
        <f>IF($F156="","",IFERROR(INDEX(사건마스터!$AK$5:$AK$64,MATCH($F156,사건마스터!$A$5:$A$64,0)),""))</f>
        <v/>
      </c>
      <c r="O156" s="136">
        <f>IF($F156="","",IFERROR(INDEX(사건마스터!$AL$5:$AL$64,MATCH($F156,사건마스터!$A$5:$A$64,0)),""))</f>
        <v/>
      </c>
      <c r="P156" s="136">
        <f>IF($F156="","",IFERROR(INDEX(사건마스터!$AM$5:$AM$64,MATCH($F156,사건마스터!$A$5:$A$64,0)),""))</f>
        <v/>
      </c>
      <c r="Q156" s="136">
        <f>IF($F156="","",IFERROR(INDEX(사건마스터!$AN$5:$AN$64,MATCH($F156,사건마스터!$A$5:$A$64,0)),""))</f>
        <v/>
      </c>
      <c r="R156" s="136">
        <f>IF($F156="","",IFERROR(INDEX(사건마스터!$AO$5:$AO$64,MATCH($F156,사건마스터!$A$5:$A$64,0)),""))</f>
        <v/>
      </c>
      <c r="S156" s="136">
        <f>IF($F156="","",IFERROR(INDEX(사건마스터!$AP$5:$AP$64,MATCH($F156,사건마스터!$A$5:$A$64,0)),""))</f>
        <v/>
      </c>
      <c r="T156" s="136">
        <f>IF($F156="","",IFERROR(INDEX(사건마스터!$AQ$5:$AQ$64,MATCH($F156,사건마스터!$A$5:$A$64,0)),""))</f>
        <v/>
      </c>
      <c r="U156" s="136">
        <f>IF($F156="","",IFERROR(INDEX(사건마스터!$AR$5:$AR$64,MATCH($F156,사건마스터!$A$5:$A$64,0)),""))</f>
        <v/>
      </c>
      <c r="V156" s="136">
        <f>IF($F156="","",IFERROR(INDEX(사건마스터!$AS$5:$AS$64,MATCH($F156,사건마스터!$A$5:$A$64,0)),""))</f>
        <v/>
      </c>
      <c r="W156" s="136">
        <f>IF($F156="","",IFERROR(INDEX(사건마스터!$AT$5:$AT$64,MATCH($F156,사건마스터!$A$5:$A$64,0)),""))</f>
        <v/>
      </c>
      <c r="X156" s="136">
        <f>IF($F156="","",IFERROR(INDEX(사건마스터!$AU$5:$AU$64,MATCH($F156,사건마스터!$A$5:$A$64,0)),""))</f>
        <v/>
      </c>
      <c r="Y156" s="136">
        <f>IF($F156="","",IFERROR(INDEX(사건마스터!$AV$5:$AV$64,MATCH($F156,사건마스터!$A$5:$A$64,0)),""))</f>
        <v/>
      </c>
      <c r="Z156" s="118">
        <f>IF(COUNTBLANK($J156:$Y156)=16,"",16-COUNTBLANK($J156:$Y156))</f>
        <v/>
      </c>
      <c r="AA156" s="33">
        <f>IF($J156="",MID($AX156,3,255),$J156&amp;$AX156)</f>
        <v/>
      </c>
      <c r="AB156" s="130">
        <f>IF($J156="","",IFERROR(INDEX(코드설정!$D$5:$D$24,MATCH($J156,코드설정!$C$5:$C$24,0)),""))</f>
        <v/>
      </c>
      <c r="AC156" s="36" t="n"/>
      <c r="AD156" s="37" t="n"/>
      <c r="AE156" s="38" t="n"/>
      <c r="AF156" s="118">
        <f>IF(OR($B156="",$C156=""),"",$C156-$B156+1)</f>
        <v/>
      </c>
      <c r="AG156" s="74" t="n"/>
      <c r="AH156" s="36" t="n"/>
      <c r="AJ156">
        <f>IF($K156="","",", "&amp;$K156)</f>
        <v/>
      </c>
      <c r="AK156">
        <f>AJ156&amp;IF($L156="","",", "&amp;$L156)</f>
        <v/>
      </c>
      <c r="AL156">
        <f>AK156&amp;IF($M156="","",", "&amp;$M156)</f>
        <v/>
      </c>
      <c r="AM156">
        <f>AL156&amp;IF($N156="","",", "&amp;$N156)</f>
        <v/>
      </c>
      <c r="AN156">
        <f>AM156&amp;IF($O156="","",", "&amp;$O156)</f>
        <v/>
      </c>
      <c r="AO156">
        <f>AN156&amp;IF($P156="","",", "&amp;$P156)</f>
        <v/>
      </c>
      <c r="AP156">
        <f>AO156&amp;IF($Q156="","",", "&amp;$Q156)</f>
        <v/>
      </c>
      <c r="AQ156">
        <f>AP156&amp;IF($R156="","",", "&amp;$R156)</f>
        <v/>
      </c>
      <c r="AR156">
        <f>AQ156&amp;IF($S156="","",", "&amp;$S156)</f>
        <v/>
      </c>
      <c r="AS156">
        <f>AR156&amp;IF($T156="","",", "&amp;$T156)</f>
        <v/>
      </c>
      <c r="AT156">
        <f>AS156&amp;IF($U156="","",", "&amp;$U156)</f>
        <v/>
      </c>
      <c r="AU156">
        <f>AT156&amp;IF($V156="","",", "&amp;$V156)</f>
        <v/>
      </c>
      <c r="AV156">
        <f>AU156&amp;IF($W156="","",", "&amp;$W156)</f>
        <v/>
      </c>
      <c r="AW156">
        <f>AV156&amp;IF($X156="","",", "&amp;$X156)</f>
        <v/>
      </c>
      <c r="AX156">
        <f>AW156&amp;IF($Y156="","",", "&amp;$Y156)</f>
        <v/>
      </c>
    </row>
    <row r="157">
      <c r="A157" s="118">
        <f>IF($B157="","",COUNT($B$5:$B157))</f>
        <v/>
      </c>
      <c r="B157" s="80" t="n"/>
      <c r="C157" s="80" t="n"/>
      <c r="D157" s="74" t="n"/>
      <c r="E157" s="74" t="n"/>
      <c r="F157" s="74" t="n"/>
      <c r="G157" s="118">
        <f>IF($F157="","",COUNTIF($F$5:$F157,$F157))</f>
        <v/>
      </c>
      <c r="H157" s="33">
        <f>IF($F157="","",IFERROR(INDEX(사건마스터!$B$5:$B$64,MATCH($F157,사건마스터!$A$5:$A$64,0)),""))</f>
        <v/>
      </c>
      <c r="I157" s="130">
        <f>IF($F157="","",IFERROR(INDEX(사건마스터!$C$5:$C$64,MATCH($F157,사건마스터!$A$5:$A$64,0)),""))</f>
        <v/>
      </c>
      <c r="J157" s="136">
        <f>IF($F157="","",IFERROR(INDEX(사건마스터!$H$5:$H$64,MATCH($F157,사건마스터!$A$5:$A$64,0)),""))</f>
        <v/>
      </c>
      <c r="K157" s="136">
        <f>IF($F157="","",IFERROR(INDEX(사건마스터!$AH$5:$AH$64,MATCH($F157,사건마스터!$A$5:$A$64,0)),""))</f>
        <v/>
      </c>
      <c r="L157" s="136">
        <f>IF($F157="","",IFERROR(INDEX(사건마스터!$AI$5:$AI$64,MATCH($F157,사건마스터!$A$5:$A$64,0)),""))</f>
        <v/>
      </c>
      <c r="M157" s="136">
        <f>IF($F157="","",IFERROR(INDEX(사건마스터!$AJ$5:$AJ$64,MATCH($F157,사건마스터!$A$5:$A$64,0)),""))</f>
        <v/>
      </c>
      <c r="N157" s="136">
        <f>IF($F157="","",IFERROR(INDEX(사건마스터!$AK$5:$AK$64,MATCH($F157,사건마스터!$A$5:$A$64,0)),""))</f>
        <v/>
      </c>
      <c r="O157" s="136">
        <f>IF($F157="","",IFERROR(INDEX(사건마스터!$AL$5:$AL$64,MATCH($F157,사건마스터!$A$5:$A$64,0)),""))</f>
        <v/>
      </c>
      <c r="P157" s="136">
        <f>IF($F157="","",IFERROR(INDEX(사건마스터!$AM$5:$AM$64,MATCH($F157,사건마스터!$A$5:$A$64,0)),""))</f>
        <v/>
      </c>
      <c r="Q157" s="136">
        <f>IF($F157="","",IFERROR(INDEX(사건마스터!$AN$5:$AN$64,MATCH($F157,사건마스터!$A$5:$A$64,0)),""))</f>
        <v/>
      </c>
      <c r="R157" s="136">
        <f>IF($F157="","",IFERROR(INDEX(사건마스터!$AO$5:$AO$64,MATCH($F157,사건마스터!$A$5:$A$64,0)),""))</f>
        <v/>
      </c>
      <c r="S157" s="136">
        <f>IF($F157="","",IFERROR(INDEX(사건마스터!$AP$5:$AP$64,MATCH($F157,사건마스터!$A$5:$A$64,0)),""))</f>
        <v/>
      </c>
      <c r="T157" s="136">
        <f>IF($F157="","",IFERROR(INDEX(사건마스터!$AQ$5:$AQ$64,MATCH($F157,사건마스터!$A$5:$A$64,0)),""))</f>
        <v/>
      </c>
      <c r="U157" s="136">
        <f>IF($F157="","",IFERROR(INDEX(사건마스터!$AR$5:$AR$64,MATCH($F157,사건마스터!$A$5:$A$64,0)),""))</f>
        <v/>
      </c>
      <c r="V157" s="136">
        <f>IF($F157="","",IFERROR(INDEX(사건마스터!$AS$5:$AS$64,MATCH($F157,사건마스터!$A$5:$A$64,0)),""))</f>
        <v/>
      </c>
      <c r="W157" s="136">
        <f>IF($F157="","",IFERROR(INDEX(사건마스터!$AT$5:$AT$64,MATCH($F157,사건마스터!$A$5:$A$64,0)),""))</f>
        <v/>
      </c>
      <c r="X157" s="136">
        <f>IF($F157="","",IFERROR(INDEX(사건마스터!$AU$5:$AU$64,MATCH($F157,사건마스터!$A$5:$A$64,0)),""))</f>
        <v/>
      </c>
      <c r="Y157" s="136">
        <f>IF($F157="","",IFERROR(INDEX(사건마스터!$AV$5:$AV$64,MATCH($F157,사건마스터!$A$5:$A$64,0)),""))</f>
        <v/>
      </c>
      <c r="Z157" s="118">
        <f>IF(COUNTBLANK($J157:$Y157)=16,"",16-COUNTBLANK($J157:$Y157))</f>
        <v/>
      </c>
      <c r="AA157" s="33">
        <f>IF($J157="",MID($AX157,3,255),$J157&amp;$AX157)</f>
        <v/>
      </c>
      <c r="AB157" s="130">
        <f>IF($J157="","",IFERROR(INDEX(코드설정!$D$5:$D$24,MATCH($J157,코드설정!$C$5:$C$24,0)),""))</f>
        <v/>
      </c>
      <c r="AC157" s="36" t="n"/>
      <c r="AD157" s="37" t="n"/>
      <c r="AE157" s="38" t="n"/>
      <c r="AF157" s="118">
        <f>IF(OR($B157="",$C157=""),"",$C157-$B157+1)</f>
        <v/>
      </c>
      <c r="AG157" s="74" t="n"/>
      <c r="AH157" s="36" t="n"/>
      <c r="AJ157">
        <f>IF($K157="","",", "&amp;$K157)</f>
        <v/>
      </c>
      <c r="AK157">
        <f>AJ157&amp;IF($L157="","",", "&amp;$L157)</f>
        <v/>
      </c>
      <c r="AL157">
        <f>AK157&amp;IF($M157="","",", "&amp;$M157)</f>
        <v/>
      </c>
      <c r="AM157">
        <f>AL157&amp;IF($N157="","",", "&amp;$N157)</f>
        <v/>
      </c>
      <c r="AN157">
        <f>AM157&amp;IF($O157="","",", "&amp;$O157)</f>
        <v/>
      </c>
      <c r="AO157">
        <f>AN157&amp;IF($P157="","",", "&amp;$P157)</f>
        <v/>
      </c>
      <c r="AP157">
        <f>AO157&amp;IF($Q157="","",", "&amp;$Q157)</f>
        <v/>
      </c>
      <c r="AQ157">
        <f>AP157&amp;IF($R157="","",", "&amp;$R157)</f>
        <v/>
      </c>
      <c r="AR157">
        <f>AQ157&amp;IF($S157="","",", "&amp;$S157)</f>
        <v/>
      </c>
      <c r="AS157">
        <f>AR157&amp;IF($T157="","",", "&amp;$T157)</f>
        <v/>
      </c>
      <c r="AT157">
        <f>AS157&amp;IF($U157="","",", "&amp;$U157)</f>
        <v/>
      </c>
      <c r="AU157">
        <f>AT157&amp;IF($V157="","",", "&amp;$V157)</f>
        <v/>
      </c>
      <c r="AV157">
        <f>AU157&amp;IF($W157="","",", "&amp;$W157)</f>
        <v/>
      </c>
      <c r="AW157">
        <f>AV157&amp;IF($X157="","",", "&amp;$X157)</f>
        <v/>
      </c>
      <c r="AX157">
        <f>AW157&amp;IF($Y157="","",", "&amp;$Y157)</f>
        <v/>
      </c>
    </row>
    <row r="158">
      <c r="A158" s="118">
        <f>IF($B158="","",COUNT($B$5:$B158))</f>
        <v/>
      </c>
      <c r="B158" s="80" t="n"/>
      <c r="C158" s="80" t="n"/>
      <c r="D158" s="74" t="n"/>
      <c r="E158" s="74" t="n"/>
      <c r="F158" s="74" t="n"/>
      <c r="G158" s="118">
        <f>IF($F158="","",COUNTIF($F$5:$F158,$F158))</f>
        <v/>
      </c>
      <c r="H158" s="33">
        <f>IF($F158="","",IFERROR(INDEX(사건마스터!$B$5:$B$64,MATCH($F158,사건마스터!$A$5:$A$64,0)),""))</f>
        <v/>
      </c>
      <c r="I158" s="130">
        <f>IF($F158="","",IFERROR(INDEX(사건마스터!$C$5:$C$64,MATCH($F158,사건마스터!$A$5:$A$64,0)),""))</f>
        <v/>
      </c>
      <c r="J158" s="136">
        <f>IF($F158="","",IFERROR(INDEX(사건마스터!$H$5:$H$64,MATCH($F158,사건마스터!$A$5:$A$64,0)),""))</f>
        <v/>
      </c>
      <c r="K158" s="136">
        <f>IF($F158="","",IFERROR(INDEX(사건마스터!$AH$5:$AH$64,MATCH($F158,사건마스터!$A$5:$A$64,0)),""))</f>
        <v/>
      </c>
      <c r="L158" s="136">
        <f>IF($F158="","",IFERROR(INDEX(사건마스터!$AI$5:$AI$64,MATCH($F158,사건마스터!$A$5:$A$64,0)),""))</f>
        <v/>
      </c>
      <c r="M158" s="136">
        <f>IF($F158="","",IFERROR(INDEX(사건마스터!$AJ$5:$AJ$64,MATCH($F158,사건마스터!$A$5:$A$64,0)),""))</f>
        <v/>
      </c>
      <c r="N158" s="136">
        <f>IF($F158="","",IFERROR(INDEX(사건마스터!$AK$5:$AK$64,MATCH($F158,사건마스터!$A$5:$A$64,0)),""))</f>
        <v/>
      </c>
      <c r="O158" s="136">
        <f>IF($F158="","",IFERROR(INDEX(사건마스터!$AL$5:$AL$64,MATCH($F158,사건마스터!$A$5:$A$64,0)),""))</f>
        <v/>
      </c>
      <c r="P158" s="136">
        <f>IF($F158="","",IFERROR(INDEX(사건마스터!$AM$5:$AM$64,MATCH($F158,사건마스터!$A$5:$A$64,0)),""))</f>
        <v/>
      </c>
      <c r="Q158" s="136">
        <f>IF($F158="","",IFERROR(INDEX(사건마스터!$AN$5:$AN$64,MATCH($F158,사건마스터!$A$5:$A$64,0)),""))</f>
        <v/>
      </c>
      <c r="R158" s="136">
        <f>IF($F158="","",IFERROR(INDEX(사건마스터!$AO$5:$AO$64,MATCH($F158,사건마스터!$A$5:$A$64,0)),""))</f>
        <v/>
      </c>
      <c r="S158" s="136">
        <f>IF($F158="","",IFERROR(INDEX(사건마스터!$AP$5:$AP$64,MATCH($F158,사건마스터!$A$5:$A$64,0)),""))</f>
        <v/>
      </c>
      <c r="T158" s="136">
        <f>IF($F158="","",IFERROR(INDEX(사건마스터!$AQ$5:$AQ$64,MATCH($F158,사건마스터!$A$5:$A$64,0)),""))</f>
        <v/>
      </c>
      <c r="U158" s="136">
        <f>IF($F158="","",IFERROR(INDEX(사건마스터!$AR$5:$AR$64,MATCH($F158,사건마스터!$A$5:$A$64,0)),""))</f>
        <v/>
      </c>
      <c r="V158" s="136">
        <f>IF($F158="","",IFERROR(INDEX(사건마스터!$AS$5:$AS$64,MATCH($F158,사건마스터!$A$5:$A$64,0)),""))</f>
        <v/>
      </c>
      <c r="W158" s="136">
        <f>IF($F158="","",IFERROR(INDEX(사건마스터!$AT$5:$AT$64,MATCH($F158,사건마스터!$A$5:$A$64,0)),""))</f>
        <v/>
      </c>
      <c r="X158" s="136">
        <f>IF($F158="","",IFERROR(INDEX(사건마스터!$AU$5:$AU$64,MATCH($F158,사건마스터!$A$5:$A$64,0)),""))</f>
        <v/>
      </c>
      <c r="Y158" s="136">
        <f>IF($F158="","",IFERROR(INDEX(사건마스터!$AV$5:$AV$64,MATCH($F158,사건마스터!$A$5:$A$64,0)),""))</f>
        <v/>
      </c>
      <c r="Z158" s="118">
        <f>IF(COUNTBLANK($J158:$Y158)=16,"",16-COUNTBLANK($J158:$Y158))</f>
        <v/>
      </c>
      <c r="AA158" s="33">
        <f>IF($J158="",MID($AX158,3,255),$J158&amp;$AX158)</f>
        <v/>
      </c>
      <c r="AB158" s="130">
        <f>IF($J158="","",IFERROR(INDEX(코드설정!$D$5:$D$24,MATCH($J158,코드설정!$C$5:$C$24,0)),""))</f>
        <v/>
      </c>
      <c r="AC158" s="36" t="n"/>
      <c r="AD158" s="37" t="n"/>
      <c r="AE158" s="38" t="n"/>
      <c r="AF158" s="118">
        <f>IF(OR($B158="",$C158=""),"",$C158-$B158+1)</f>
        <v/>
      </c>
      <c r="AG158" s="74" t="n"/>
      <c r="AH158" s="36" t="n"/>
      <c r="AJ158">
        <f>IF($K158="","",", "&amp;$K158)</f>
        <v/>
      </c>
      <c r="AK158">
        <f>AJ158&amp;IF($L158="","",", "&amp;$L158)</f>
        <v/>
      </c>
      <c r="AL158">
        <f>AK158&amp;IF($M158="","",", "&amp;$M158)</f>
        <v/>
      </c>
      <c r="AM158">
        <f>AL158&amp;IF($N158="","",", "&amp;$N158)</f>
        <v/>
      </c>
      <c r="AN158">
        <f>AM158&amp;IF($O158="","",", "&amp;$O158)</f>
        <v/>
      </c>
      <c r="AO158">
        <f>AN158&amp;IF($P158="","",", "&amp;$P158)</f>
        <v/>
      </c>
      <c r="AP158">
        <f>AO158&amp;IF($Q158="","",", "&amp;$Q158)</f>
        <v/>
      </c>
      <c r="AQ158">
        <f>AP158&amp;IF($R158="","",", "&amp;$R158)</f>
        <v/>
      </c>
      <c r="AR158">
        <f>AQ158&amp;IF($S158="","",", "&amp;$S158)</f>
        <v/>
      </c>
      <c r="AS158">
        <f>AR158&amp;IF($T158="","",", "&amp;$T158)</f>
        <v/>
      </c>
      <c r="AT158">
        <f>AS158&amp;IF($U158="","",", "&amp;$U158)</f>
        <v/>
      </c>
      <c r="AU158">
        <f>AT158&amp;IF($V158="","",", "&amp;$V158)</f>
        <v/>
      </c>
      <c r="AV158">
        <f>AU158&amp;IF($W158="","",", "&amp;$W158)</f>
        <v/>
      </c>
      <c r="AW158">
        <f>AV158&amp;IF($X158="","",", "&amp;$X158)</f>
        <v/>
      </c>
      <c r="AX158">
        <f>AW158&amp;IF($Y158="","",", "&amp;$Y158)</f>
        <v/>
      </c>
    </row>
    <row r="159">
      <c r="A159" s="118">
        <f>IF($B159="","",COUNT($B$5:$B159))</f>
        <v/>
      </c>
      <c r="B159" s="80" t="n"/>
      <c r="C159" s="80" t="n"/>
      <c r="D159" s="74" t="n"/>
      <c r="E159" s="74" t="n"/>
      <c r="F159" s="74" t="n"/>
      <c r="G159" s="118">
        <f>IF($F159="","",COUNTIF($F$5:$F159,$F159))</f>
        <v/>
      </c>
      <c r="H159" s="33">
        <f>IF($F159="","",IFERROR(INDEX(사건마스터!$B$5:$B$64,MATCH($F159,사건마스터!$A$5:$A$64,0)),""))</f>
        <v/>
      </c>
      <c r="I159" s="130">
        <f>IF($F159="","",IFERROR(INDEX(사건마스터!$C$5:$C$64,MATCH($F159,사건마스터!$A$5:$A$64,0)),""))</f>
        <v/>
      </c>
      <c r="J159" s="136">
        <f>IF($F159="","",IFERROR(INDEX(사건마스터!$H$5:$H$64,MATCH($F159,사건마스터!$A$5:$A$64,0)),""))</f>
        <v/>
      </c>
      <c r="K159" s="136">
        <f>IF($F159="","",IFERROR(INDEX(사건마스터!$AH$5:$AH$64,MATCH($F159,사건마스터!$A$5:$A$64,0)),""))</f>
        <v/>
      </c>
      <c r="L159" s="136">
        <f>IF($F159="","",IFERROR(INDEX(사건마스터!$AI$5:$AI$64,MATCH($F159,사건마스터!$A$5:$A$64,0)),""))</f>
        <v/>
      </c>
      <c r="M159" s="136">
        <f>IF($F159="","",IFERROR(INDEX(사건마스터!$AJ$5:$AJ$64,MATCH($F159,사건마스터!$A$5:$A$64,0)),""))</f>
        <v/>
      </c>
      <c r="N159" s="136">
        <f>IF($F159="","",IFERROR(INDEX(사건마스터!$AK$5:$AK$64,MATCH($F159,사건마스터!$A$5:$A$64,0)),""))</f>
        <v/>
      </c>
      <c r="O159" s="136">
        <f>IF($F159="","",IFERROR(INDEX(사건마스터!$AL$5:$AL$64,MATCH($F159,사건마스터!$A$5:$A$64,0)),""))</f>
        <v/>
      </c>
      <c r="P159" s="136">
        <f>IF($F159="","",IFERROR(INDEX(사건마스터!$AM$5:$AM$64,MATCH($F159,사건마스터!$A$5:$A$64,0)),""))</f>
        <v/>
      </c>
      <c r="Q159" s="136">
        <f>IF($F159="","",IFERROR(INDEX(사건마스터!$AN$5:$AN$64,MATCH($F159,사건마스터!$A$5:$A$64,0)),""))</f>
        <v/>
      </c>
      <c r="R159" s="136">
        <f>IF($F159="","",IFERROR(INDEX(사건마스터!$AO$5:$AO$64,MATCH($F159,사건마스터!$A$5:$A$64,0)),""))</f>
        <v/>
      </c>
      <c r="S159" s="136">
        <f>IF($F159="","",IFERROR(INDEX(사건마스터!$AP$5:$AP$64,MATCH($F159,사건마스터!$A$5:$A$64,0)),""))</f>
        <v/>
      </c>
      <c r="T159" s="136">
        <f>IF($F159="","",IFERROR(INDEX(사건마스터!$AQ$5:$AQ$64,MATCH($F159,사건마스터!$A$5:$A$64,0)),""))</f>
        <v/>
      </c>
      <c r="U159" s="136">
        <f>IF($F159="","",IFERROR(INDEX(사건마스터!$AR$5:$AR$64,MATCH($F159,사건마스터!$A$5:$A$64,0)),""))</f>
        <v/>
      </c>
      <c r="V159" s="136">
        <f>IF($F159="","",IFERROR(INDEX(사건마스터!$AS$5:$AS$64,MATCH($F159,사건마스터!$A$5:$A$64,0)),""))</f>
        <v/>
      </c>
      <c r="W159" s="136">
        <f>IF($F159="","",IFERROR(INDEX(사건마스터!$AT$5:$AT$64,MATCH($F159,사건마스터!$A$5:$A$64,0)),""))</f>
        <v/>
      </c>
      <c r="X159" s="136">
        <f>IF($F159="","",IFERROR(INDEX(사건마스터!$AU$5:$AU$64,MATCH($F159,사건마스터!$A$5:$A$64,0)),""))</f>
        <v/>
      </c>
      <c r="Y159" s="136">
        <f>IF($F159="","",IFERROR(INDEX(사건마스터!$AV$5:$AV$64,MATCH($F159,사건마스터!$A$5:$A$64,0)),""))</f>
        <v/>
      </c>
      <c r="Z159" s="118">
        <f>IF(COUNTBLANK($J159:$Y159)=16,"",16-COUNTBLANK($J159:$Y159))</f>
        <v/>
      </c>
      <c r="AA159" s="33">
        <f>IF($J159="",MID($AX159,3,255),$J159&amp;$AX159)</f>
        <v/>
      </c>
      <c r="AB159" s="130">
        <f>IF($J159="","",IFERROR(INDEX(코드설정!$D$5:$D$24,MATCH($J159,코드설정!$C$5:$C$24,0)),""))</f>
        <v/>
      </c>
      <c r="AC159" s="36" t="n"/>
      <c r="AD159" s="37" t="n"/>
      <c r="AE159" s="38" t="n"/>
      <c r="AF159" s="118">
        <f>IF(OR($B159="",$C159=""),"",$C159-$B159+1)</f>
        <v/>
      </c>
      <c r="AG159" s="74" t="n"/>
      <c r="AH159" s="36" t="n"/>
      <c r="AJ159">
        <f>IF($K159="","",", "&amp;$K159)</f>
        <v/>
      </c>
      <c r="AK159">
        <f>AJ159&amp;IF($L159="","",", "&amp;$L159)</f>
        <v/>
      </c>
      <c r="AL159">
        <f>AK159&amp;IF($M159="","",", "&amp;$M159)</f>
        <v/>
      </c>
      <c r="AM159">
        <f>AL159&amp;IF($N159="","",", "&amp;$N159)</f>
        <v/>
      </c>
      <c r="AN159">
        <f>AM159&amp;IF($O159="","",", "&amp;$O159)</f>
        <v/>
      </c>
      <c r="AO159">
        <f>AN159&amp;IF($P159="","",", "&amp;$P159)</f>
        <v/>
      </c>
      <c r="AP159">
        <f>AO159&amp;IF($Q159="","",", "&amp;$Q159)</f>
        <v/>
      </c>
      <c r="AQ159">
        <f>AP159&amp;IF($R159="","",", "&amp;$R159)</f>
        <v/>
      </c>
      <c r="AR159">
        <f>AQ159&amp;IF($S159="","",", "&amp;$S159)</f>
        <v/>
      </c>
      <c r="AS159">
        <f>AR159&amp;IF($T159="","",", "&amp;$T159)</f>
        <v/>
      </c>
      <c r="AT159">
        <f>AS159&amp;IF($U159="","",", "&amp;$U159)</f>
        <v/>
      </c>
      <c r="AU159">
        <f>AT159&amp;IF($V159="","",", "&amp;$V159)</f>
        <v/>
      </c>
      <c r="AV159">
        <f>AU159&amp;IF($W159="","",", "&amp;$W159)</f>
        <v/>
      </c>
      <c r="AW159">
        <f>AV159&amp;IF($X159="","",", "&amp;$X159)</f>
        <v/>
      </c>
      <c r="AX159">
        <f>AW159&amp;IF($Y159="","",", "&amp;$Y159)</f>
        <v/>
      </c>
    </row>
    <row r="160">
      <c r="A160" s="118">
        <f>IF($B160="","",COUNT($B$5:$B160))</f>
        <v/>
      </c>
      <c r="B160" s="80" t="n"/>
      <c r="C160" s="80" t="n"/>
      <c r="D160" s="74" t="n"/>
      <c r="E160" s="74" t="n"/>
      <c r="F160" s="74" t="n"/>
      <c r="G160" s="118">
        <f>IF($F160="","",COUNTIF($F$5:$F160,$F160))</f>
        <v/>
      </c>
      <c r="H160" s="33">
        <f>IF($F160="","",IFERROR(INDEX(사건마스터!$B$5:$B$64,MATCH($F160,사건마스터!$A$5:$A$64,0)),""))</f>
        <v/>
      </c>
      <c r="I160" s="130">
        <f>IF($F160="","",IFERROR(INDEX(사건마스터!$C$5:$C$64,MATCH($F160,사건마스터!$A$5:$A$64,0)),""))</f>
        <v/>
      </c>
      <c r="J160" s="136">
        <f>IF($F160="","",IFERROR(INDEX(사건마스터!$H$5:$H$64,MATCH($F160,사건마스터!$A$5:$A$64,0)),""))</f>
        <v/>
      </c>
      <c r="K160" s="136">
        <f>IF($F160="","",IFERROR(INDEX(사건마스터!$AH$5:$AH$64,MATCH($F160,사건마스터!$A$5:$A$64,0)),""))</f>
        <v/>
      </c>
      <c r="L160" s="136">
        <f>IF($F160="","",IFERROR(INDEX(사건마스터!$AI$5:$AI$64,MATCH($F160,사건마스터!$A$5:$A$64,0)),""))</f>
        <v/>
      </c>
      <c r="M160" s="136">
        <f>IF($F160="","",IFERROR(INDEX(사건마스터!$AJ$5:$AJ$64,MATCH($F160,사건마스터!$A$5:$A$64,0)),""))</f>
        <v/>
      </c>
      <c r="N160" s="136">
        <f>IF($F160="","",IFERROR(INDEX(사건마스터!$AK$5:$AK$64,MATCH($F160,사건마스터!$A$5:$A$64,0)),""))</f>
        <v/>
      </c>
      <c r="O160" s="136">
        <f>IF($F160="","",IFERROR(INDEX(사건마스터!$AL$5:$AL$64,MATCH($F160,사건마스터!$A$5:$A$64,0)),""))</f>
        <v/>
      </c>
      <c r="P160" s="136">
        <f>IF($F160="","",IFERROR(INDEX(사건마스터!$AM$5:$AM$64,MATCH($F160,사건마스터!$A$5:$A$64,0)),""))</f>
        <v/>
      </c>
      <c r="Q160" s="136">
        <f>IF($F160="","",IFERROR(INDEX(사건마스터!$AN$5:$AN$64,MATCH($F160,사건마스터!$A$5:$A$64,0)),""))</f>
        <v/>
      </c>
      <c r="R160" s="136">
        <f>IF($F160="","",IFERROR(INDEX(사건마스터!$AO$5:$AO$64,MATCH($F160,사건마스터!$A$5:$A$64,0)),""))</f>
        <v/>
      </c>
      <c r="S160" s="136">
        <f>IF($F160="","",IFERROR(INDEX(사건마스터!$AP$5:$AP$64,MATCH($F160,사건마스터!$A$5:$A$64,0)),""))</f>
        <v/>
      </c>
      <c r="T160" s="136">
        <f>IF($F160="","",IFERROR(INDEX(사건마스터!$AQ$5:$AQ$64,MATCH($F160,사건마스터!$A$5:$A$64,0)),""))</f>
        <v/>
      </c>
      <c r="U160" s="136">
        <f>IF($F160="","",IFERROR(INDEX(사건마스터!$AR$5:$AR$64,MATCH($F160,사건마스터!$A$5:$A$64,0)),""))</f>
        <v/>
      </c>
      <c r="V160" s="136">
        <f>IF($F160="","",IFERROR(INDEX(사건마스터!$AS$5:$AS$64,MATCH($F160,사건마스터!$A$5:$A$64,0)),""))</f>
        <v/>
      </c>
      <c r="W160" s="136">
        <f>IF($F160="","",IFERROR(INDEX(사건마스터!$AT$5:$AT$64,MATCH($F160,사건마스터!$A$5:$A$64,0)),""))</f>
        <v/>
      </c>
      <c r="X160" s="136">
        <f>IF($F160="","",IFERROR(INDEX(사건마스터!$AU$5:$AU$64,MATCH($F160,사건마스터!$A$5:$A$64,0)),""))</f>
        <v/>
      </c>
      <c r="Y160" s="136">
        <f>IF($F160="","",IFERROR(INDEX(사건마스터!$AV$5:$AV$64,MATCH($F160,사건마스터!$A$5:$A$64,0)),""))</f>
        <v/>
      </c>
      <c r="Z160" s="118">
        <f>IF(COUNTBLANK($J160:$Y160)=16,"",16-COUNTBLANK($J160:$Y160))</f>
        <v/>
      </c>
      <c r="AA160" s="33">
        <f>IF($J160="",MID($AX160,3,255),$J160&amp;$AX160)</f>
        <v/>
      </c>
      <c r="AB160" s="130">
        <f>IF($J160="","",IFERROR(INDEX(코드설정!$D$5:$D$24,MATCH($J160,코드설정!$C$5:$C$24,0)),""))</f>
        <v/>
      </c>
      <c r="AC160" s="36" t="n"/>
      <c r="AD160" s="37" t="n"/>
      <c r="AE160" s="38" t="n"/>
      <c r="AF160" s="118">
        <f>IF(OR($B160="",$C160=""),"",$C160-$B160+1)</f>
        <v/>
      </c>
      <c r="AG160" s="74" t="n"/>
      <c r="AH160" s="36" t="n"/>
      <c r="AJ160">
        <f>IF($K160="","",", "&amp;$K160)</f>
        <v/>
      </c>
      <c r="AK160">
        <f>AJ160&amp;IF($L160="","",", "&amp;$L160)</f>
        <v/>
      </c>
      <c r="AL160">
        <f>AK160&amp;IF($M160="","",", "&amp;$M160)</f>
        <v/>
      </c>
      <c r="AM160">
        <f>AL160&amp;IF($N160="","",", "&amp;$N160)</f>
        <v/>
      </c>
      <c r="AN160">
        <f>AM160&amp;IF($O160="","",", "&amp;$O160)</f>
        <v/>
      </c>
      <c r="AO160">
        <f>AN160&amp;IF($P160="","",", "&amp;$P160)</f>
        <v/>
      </c>
      <c r="AP160">
        <f>AO160&amp;IF($Q160="","",", "&amp;$Q160)</f>
        <v/>
      </c>
      <c r="AQ160">
        <f>AP160&amp;IF($R160="","",", "&amp;$R160)</f>
        <v/>
      </c>
      <c r="AR160">
        <f>AQ160&amp;IF($S160="","",", "&amp;$S160)</f>
        <v/>
      </c>
      <c r="AS160">
        <f>AR160&amp;IF($T160="","",", "&amp;$T160)</f>
        <v/>
      </c>
      <c r="AT160">
        <f>AS160&amp;IF($U160="","",", "&amp;$U160)</f>
        <v/>
      </c>
      <c r="AU160">
        <f>AT160&amp;IF($V160="","",", "&amp;$V160)</f>
        <v/>
      </c>
      <c r="AV160">
        <f>AU160&amp;IF($W160="","",", "&amp;$W160)</f>
        <v/>
      </c>
      <c r="AW160">
        <f>AV160&amp;IF($X160="","",", "&amp;$X160)</f>
        <v/>
      </c>
      <c r="AX160">
        <f>AW160&amp;IF($Y160="","",", "&amp;$Y160)</f>
        <v/>
      </c>
    </row>
    <row r="161">
      <c r="A161" s="118">
        <f>IF($B161="","",COUNT($B$5:$B161))</f>
        <v/>
      </c>
      <c r="B161" s="80" t="n"/>
      <c r="C161" s="80" t="n"/>
      <c r="D161" s="74" t="n"/>
      <c r="E161" s="74" t="n"/>
      <c r="F161" s="74" t="n"/>
      <c r="G161" s="118">
        <f>IF($F161="","",COUNTIF($F$5:$F161,$F161))</f>
        <v/>
      </c>
      <c r="H161" s="33">
        <f>IF($F161="","",IFERROR(INDEX(사건마스터!$B$5:$B$64,MATCH($F161,사건마스터!$A$5:$A$64,0)),""))</f>
        <v/>
      </c>
      <c r="I161" s="130">
        <f>IF($F161="","",IFERROR(INDEX(사건마스터!$C$5:$C$64,MATCH($F161,사건마스터!$A$5:$A$64,0)),""))</f>
        <v/>
      </c>
      <c r="J161" s="136">
        <f>IF($F161="","",IFERROR(INDEX(사건마스터!$H$5:$H$64,MATCH($F161,사건마스터!$A$5:$A$64,0)),""))</f>
        <v/>
      </c>
      <c r="K161" s="136">
        <f>IF($F161="","",IFERROR(INDEX(사건마스터!$AH$5:$AH$64,MATCH($F161,사건마스터!$A$5:$A$64,0)),""))</f>
        <v/>
      </c>
      <c r="L161" s="136">
        <f>IF($F161="","",IFERROR(INDEX(사건마스터!$AI$5:$AI$64,MATCH($F161,사건마스터!$A$5:$A$64,0)),""))</f>
        <v/>
      </c>
      <c r="M161" s="136">
        <f>IF($F161="","",IFERROR(INDEX(사건마스터!$AJ$5:$AJ$64,MATCH($F161,사건마스터!$A$5:$A$64,0)),""))</f>
        <v/>
      </c>
      <c r="N161" s="136">
        <f>IF($F161="","",IFERROR(INDEX(사건마스터!$AK$5:$AK$64,MATCH($F161,사건마스터!$A$5:$A$64,0)),""))</f>
        <v/>
      </c>
      <c r="O161" s="136">
        <f>IF($F161="","",IFERROR(INDEX(사건마스터!$AL$5:$AL$64,MATCH($F161,사건마스터!$A$5:$A$64,0)),""))</f>
        <v/>
      </c>
      <c r="P161" s="136">
        <f>IF($F161="","",IFERROR(INDEX(사건마스터!$AM$5:$AM$64,MATCH($F161,사건마스터!$A$5:$A$64,0)),""))</f>
        <v/>
      </c>
      <c r="Q161" s="136">
        <f>IF($F161="","",IFERROR(INDEX(사건마스터!$AN$5:$AN$64,MATCH($F161,사건마스터!$A$5:$A$64,0)),""))</f>
        <v/>
      </c>
      <c r="R161" s="136">
        <f>IF($F161="","",IFERROR(INDEX(사건마스터!$AO$5:$AO$64,MATCH($F161,사건마스터!$A$5:$A$64,0)),""))</f>
        <v/>
      </c>
      <c r="S161" s="136">
        <f>IF($F161="","",IFERROR(INDEX(사건마스터!$AP$5:$AP$64,MATCH($F161,사건마스터!$A$5:$A$64,0)),""))</f>
        <v/>
      </c>
      <c r="T161" s="136">
        <f>IF($F161="","",IFERROR(INDEX(사건마스터!$AQ$5:$AQ$64,MATCH($F161,사건마스터!$A$5:$A$64,0)),""))</f>
        <v/>
      </c>
      <c r="U161" s="136">
        <f>IF($F161="","",IFERROR(INDEX(사건마스터!$AR$5:$AR$64,MATCH($F161,사건마스터!$A$5:$A$64,0)),""))</f>
        <v/>
      </c>
      <c r="V161" s="136">
        <f>IF($F161="","",IFERROR(INDEX(사건마스터!$AS$5:$AS$64,MATCH($F161,사건마스터!$A$5:$A$64,0)),""))</f>
        <v/>
      </c>
      <c r="W161" s="136">
        <f>IF($F161="","",IFERROR(INDEX(사건마스터!$AT$5:$AT$64,MATCH($F161,사건마스터!$A$5:$A$64,0)),""))</f>
        <v/>
      </c>
      <c r="X161" s="136">
        <f>IF($F161="","",IFERROR(INDEX(사건마스터!$AU$5:$AU$64,MATCH($F161,사건마스터!$A$5:$A$64,0)),""))</f>
        <v/>
      </c>
      <c r="Y161" s="136">
        <f>IF($F161="","",IFERROR(INDEX(사건마스터!$AV$5:$AV$64,MATCH($F161,사건마스터!$A$5:$A$64,0)),""))</f>
        <v/>
      </c>
      <c r="Z161" s="118">
        <f>IF(COUNTBLANK($J161:$Y161)=16,"",16-COUNTBLANK($J161:$Y161))</f>
        <v/>
      </c>
      <c r="AA161" s="33">
        <f>IF($J161="",MID($AX161,3,255),$J161&amp;$AX161)</f>
        <v/>
      </c>
      <c r="AB161" s="130">
        <f>IF($J161="","",IFERROR(INDEX(코드설정!$D$5:$D$24,MATCH($J161,코드설정!$C$5:$C$24,0)),""))</f>
        <v/>
      </c>
      <c r="AC161" s="36" t="n"/>
      <c r="AD161" s="37" t="n"/>
      <c r="AE161" s="38" t="n"/>
      <c r="AF161" s="118">
        <f>IF(OR($B161="",$C161=""),"",$C161-$B161+1)</f>
        <v/>
      </c>
      <c r="AG161" s="74" t="n"/>
      <c r="AH161" s="36" t="n"/>
      <c r="AJ161">
        <f>IF($K161="","",", "&amp;$K161)</f>
        <v/>
      </c>
      <c r="AK161">
        <f>AJ161&amp;IF($L161="","",", "&amp;$L161)</f>
        <v/>
      </c>
      <c r="AL161">
        <f>AK161&amp;IF($M161="","",", "&amp;$M161)</f>
        <v/>
      </c>
      <c r="AM161">
        <f>AL161&amp;IF($N161="","",", "&amp;$N161)</f>
        <v/>
      </c>
      <c r="AN161">
        <f>AM161&amp;IF($O161="","",", "&amp;$O161)</f>
        <v/>
      </c>
      <c r="AO161">
        <f>AN161&amp;IF($P161="","",", "&amp;$P161)</f>
        <v/>
      </c>
      <c r="AP161">
        <f>AO161&amp;IF($Q161="","",", "&amp;$Q161)</f>
        <v/>
      </c>
      <c r="AQ161">
        <f>AP161&amp;IF($R161="","",", "&amp;$R161)</f>
        <v/>
      </c>
      <c r="AR161">
        <f>AQ161&amp;IF($S161="","",", "&amp;$S161)</f>
        <v/>
      </c>
      <c r="AS161">
        <f>AR161&amp;IF($T161="","",", "&amp;$T161)</f>
        <v/>
      </c>
      <c r="AT161">
        <f>AS161&amp;IF($U161="","",", "&amp;$U161)</f>
        <v/>
      </c>
      <c r="AU161">
        <f>AT161&amp;IF($V161="","",", "&amp;$V161)</f>
        <v/>
      </c>
      <c r="AV161">
        <f>AU161&amp;IF($W161="","",", "&amp;$W161)</f>
        <v/>
      </c>
      <c r="AW161">
        <f>AV161&amp;IF($X161="","",", "&amp;$X161)</f>
        <v/>
      </c>
      <c r="AX161">
        <f>AW161&amp;IF($Y161="","",", "&amp;$Y161)</f>
        <v/>
      </c>
    </row>
    <row r="162">
      <c r="A162" s="118">
        <f>IF($B162="","",COUNT($B$5:$B162))</f>
        <v/>
      </c>
      <c r="B162" s="80" t="n"/>
      <c r="C162" s="80" t="n"/>
      <c r="D162" s="74" t="n"/>
      <c r="E162" s="74" t="n"/>
      <c r="F162" s="74" t="n"/>
      <c r="G162" s="118">
        <f>IF($F162="","",COUNTIF($F$5:$F162,$F162))</f>
        <v/>
      </c>
      <c r="H162" s="33">
        <f>IF($F162="","",IFERROR(INDEX(사건마스터!$B$5:$B$64,MATCH($F162,사건마스터!$A$5:$A$64,0)),""))</f>
        <v/>
      </c>
      <c r="I162" s="130">
        <f>IF($F162="","",IFERROR(INDEX(사건마스터!$C$5:$C$64,MATCH($F162,사건마스터!$A$5:$A$64,0)),""))</f>
        <v/>
      </c>
      <c r="J162" s="136">
        <f>IF($F162="","",IFERROR(INDEX(사건마스터!$H$5:$H$64,MATCH($F162,사건마스터!$A$5:$A$64,0)),""))</f>
        <v/>
      </c>
      <c r="K162" s="136">
        <f>IF($F162="","",IFERROR(INDEX(사건마스터!$AH$5:$AH$64,MATCH($F162,사건마스터!$A$5:$A$64,0)),""))</f>
        <v/>
      </c>
      <c r="L162" s="136">
        <f>IF($F162="","",IFERROR(INDEX(사건마스터!$AI$5:$AI$64,MATCH($F162,사건마스터!$A$5:$A$64,0)),""))</f>
        <v/>
      </c>
      <c r="M162" s="136">
        <f>IF($F162="","",IFERROR(INDEX(사건마스터!$AJ$5:$AJ$64,MATCH($F162,사건마스터!$A$5:$A$64,0)),""))</f>
        <v/>
      </c>
      <c r="N162" s="136">
        <f>IF($F162="","",IFERROR(INDEX(사건마스터!$AK$5:$AK$64,MATCH($F162,사건마스터!$A$5:$A$64,0)),""))</f>
        <v/>
      </c>
      <c r="O162" s="136">
        <f>IF($F162="","",IFERROR(INDEX(사건마스터!$AL$5:$AL$64,MATCH($F162,사건마스터!$A$5:$A$64,0)),""))</f>
        <v/>
      </c>
      <c r="P162" s="136">
        <f>IF($F162="","",IFERROR(INDEX(사건마스터!$AM$5:$AM$64,MATCH($F162,사건마스터!$A$5:$A$64,0)),""))</f>
        <v/>
      </c>
      <c r="Q162" s="136">
        <f>IF($F162="","",IFERROR(INDEX(사건마스터!$AN$5:$AN$64,MATCH($F162,사건마스터!$A$5:$A$64,0)),""))</f>
        <v/>
      </c>
      <c r="R162" s="136">
        <f>IF($F162="","",IFERROR(INDEX(사건마스터!$AO$5:$AO$64,MATCH($F162,사건마스터!$A$5:$A$64,0)),""))</f>
        <v/>
      </c>
      <c r="S162" s="136">
        <f>IF($F162="","",IFERROR(INDEX(사건마스터!$AP$5:$AP$64,MATCH($F162,사건마스터!$A$5:$A$64,0)),""))</f>
        <v/>
      </c>
      <c r="T162" s="136">
        <f>IF($F162="","",IFERROR(INDEX(사건마스터!$AQ$5:$AQ$64,MATCH($F162,사건마스터!$A$5:$A$64,0)),""))</f>
        <v/>
      </c>
      <c r="U162" s="136">
        <f>IF($F162="","",IFERROR(INDEX(사건마스터!$AR$5:$AR$64,MATCH($F162,사건마스터!$A$5:$A$64,0)),""))</f>
        <v/>
      </c>
      <c r="V162" s="136">
        <f>IF($F162="","",IFERROR(INDEX(사건마스터!$AS$5:$AS$64,MATCH($F162,사건마스터!$A$5:$A$64,0)),""))</f>
        <v/>
      </c>
      <c r="W162" s="136">
        <f>IF($F162="","",IFERROR(INDEX(사건마스터!$AT$5:$AT$64,MATCH($F162,사건마스터!$A$5:$A$64,0)),""))</f>
        <v/>
      </c>
      <c r="X162" s="136">
        <f>IF($F162="","",IFERROR(INDEX(사건마스터!$AU$5:$AU$64,MATCH($F162,사건마스터!$A$5:$A$64,0)),""))</f>
        <v/>
      </c>
      <c r="Y162" s="136">
        <f>IF($F162="","",IFERROR(INDEX(사건마스터!$AV$5:$AV$64,MATCH($F162,사건마스터!$A$5:$A$64,0)),""))</f>
        <v/>
      </c>
      <c r="Z162" s="118">
        <f>IF(COUNTBLANK($J162:$Y162)=16,"",16-COUNTBLANK($J162:$Y162))</f>
        <v/>
      </c>
      <c r="AA162" s="33">
        <f>IF($J162="",MID($AX162,3,255),$J162&amp;$AX162)</f>
        <v/>
      </c>
      <c r="AB162" s="130">
        <f>IF($J162="","",IFERROR(INDEX(코드설정!$D$5:$D$24,MATCH($J162,코드설정!$C$5:$C$24,0)),""))</f>
        <v/>
      </c>
      <c r="AC162" s="36" t="n"/>
      <c r="AD162" s="37" t="n"/>
      <c r="AE162" s="38" t="n"/>
      <c r="AF162" s="118">
        <f>IF(OR($B162="",$C162=""),"",$C162-$B162+1)</f>
        <v/>
      </c>
      <c r="AG162" s="74" t="n"/>
      <c r="AH162" s="36" t="n"/>
      <c r="AJ162">
        <f>IF($K162="","",", "&amp;$K162)</f>
        <v/>
      </c>
      <c r="AK162">
        <f>AJ162&amp;IF($L162="","",", "&amp;$L162)</f>
        <v/>
      </c>
      <c r="AL162">
        <f>AK162&amp;IF($M162="","",", "&amp;$M162)</f>
        <v/>
      </c>
      <c r="AM162">
        <f>AL162&amp;IF($N162="","",", "&amp;$N162)</f>
        <v/>
      </c>
      <c r="AN162">
        <f>AM162&amp;IF($O162="","",", "&amp;$O162)</f>
        <v/>
      </c>
      <c r="AO162">
        <f>AN162&amp;IF($P162="","",", "&amp;$P162)</f>
        <v/>
      </c>
      <c r="AP162">
        <f>AO162&amp;IF($Q162="","",", "&amp;$Q162)</f>
        <v/>
      </c>
      <c r="AQ162">
        <f>AP162&amp;IF($R162="","",", "&amp;$R162)</f>
        <v/>
      </c>
      <c r="AR162">
        <f>AQ162&amp;IF($S162="","",", "&amp;$S162)</f>
        <v/>
      </c>
      <c r="AS162">
        <f>AR162&amp;IF($T162="","",", "&amp;$T162)</f>
        <v/>
      </c>
      <c r="AT162">
        <f>AS162&amp;IF($U162="","",", "&amp;$U162)</f>
        <v/>
      </c>
      <c r="AU162">
        <f>AT162&amp;IF($V162="","",", "&amp;$V162)</f>
        <v/>
      </c>
      <c r="AV162">
        <f>AU162&amp;IF($W162="","",", "&amp;$W162)</f>
        <v/>
      </c>
      <c r="AW162">
        <f>AV162&amp;IF($X162="","",", "&amp;$X162)</f>
        <v/>
      </c>
      <c r="AX162">
        <f>AW162&amp;IF($Y162="","",", "&amp;$Y162)</f>
        <v/>
      </c>
    </row>
    <row r="163">
      <c r="A163" s="118">
        <f>IF($B163="","",COUNT($B$5:$B163))</f>
        <v/>
      </c>
      <c r="B163" s="80" t="n"/>
      <c r="C163" s="80" t="n"/>
      <c r="D163" s="74" t="n"/>
      <c r="E163" s="74" t="n"/>
      <c r="F163" s="74" t="n"/>
      <c r="G163" s="118">
        <f>IF($F163="","",COUNTIF($F$5:$F163,$F163))</f>
        <v/>
      </c>
      <c r="H163" s="33">
        <f>IF($F163="","",IFERROR(INDEX(사건마스터!$B$5:$B$64,MATCH($F163,사건마스터!$A$5:$A$64,0)),""))</f>
        <v/>
      </c>
      <c r="I163" s="130">
        <f>IF($F163="","",IFERROR(INDEX(사건마스터!$C$5:$C$64,MATCH($F163,사건마스터!$A$5:$A$64,0)),""))</f>
        <v/>
      </c>
      <c r="J163" s="136">
        <f>IF($F163="","",IFERROR(INDEX(사건마스터!$H$5:$H$64,MATCH($F163,사건마스터!$A$5:$A$64,0)),""))</f>
        <v/>
      </c>
      <c r="K163" s="136">
        <f>IF($F163="","",IFERROR(INDEX(사건마스터!$AH$5:$AH$64,MATCH($F163,사건마스터!$A$5:$A$64,0)),""))</f>
        <v/>
      </c>
      <c r="L163" s="136">
        <f>IF($F163="","",IFERROR(INDEX(사건마스터!$AI$5:$AI$64,MATCH($F163,사건마스터!$A$5:$A$64,0)),""))</f>
        <v/>
      </c>
      <c r="M163" s="136">
        <f>IF($F163="","",IFERROR(INDEX(사건마스터!$AJ$5:$AJ$64,MATCH($F163,사건마스터!$A$5:$A$64,0)),""))</f>
        <v/>
      </c>
      <c r="N163" s="136">
        <f>IF($F163="","",IFERROR(INDEX(사건마스터!$AK$5:$AK$64,MATCH($F163,사건마스터!$A$5:$A$64,0)),""))</f>
        <v/>
      </c>
      <c r="O163" s="136">
        <f>IF($F163="","",IFERROR(INDEX(사건마스터!$AL$5:$AL$64,MATCH($F163,사건마스터!$A$5:$A$64,0)),""))</f>
        <v/>
      </c>
      <c r="P163" s="136">
        <f>IF($F163="","",IFERROR(INDEX(사건마스터!$AM$5:$AM$64,MATCH($F163,사건마스터!$A$5:$A$64,0)),""))</f>
        <v/>
      </c>
      <c r="Q163" s="136">
        <f>IF($F163="","",IFERROR(INDEX(사건마스터!$AN$5:$AN$64,MATCH($F163,사건마스터!$A$5:$A$64,0)),""))</f>
        <v/>
      </c>
      <c r="R163" s="136">
        <f>IF($F163="","",IFERROR(INDEX(사건마스터!$AO$5:$AO$64,MATCH($F163,사건마스터!$A$5:$A$64,0)),""))</f>
        <v/>
      </c>
      <c r="S163" s="136">
        <f>IF($F163="","",IFERROR(INDEX(사건마스터!$AP$5:$AP$64,MATCH($F163,사건마스터!$A$5:$A$64,0)),""))</f>
        <v/>
      </c>
      <c r="T163" s="136">
        <f>IF($F163="","",IFERROR(INDEX(사건마스터!$AQ$5:$AQ$64,MATCH($F163,사건마스터!$A$5:$A$64,0)),""))</f>
        <v/>
      </c>
      <c r="U163" s="136">
        <f>IF($F163="","",IFERROR(INDEX(사건마스터!$AR$5:$AR$64,MATCH($F163,사건마스터!$A$5:$A$64,0)),""))</f>
        <v/>
      </c>
      <c r="V163" s="136">
        <f>IF($F163="","",IFERROR(INDEX(사건마스터!$AS$5:$AS$64,MATCH($F163,사건마스터!$A$5:$A$64,0)),""))</f>
        <v/>
      </c>
      <c r="W163" s="136">
        <f>IF($F163="","",IFERROR(INDEX(사건마스터!$AT$5:$AT$64,MATCH($F163,사건마스터!$A$5:$A$64,0)),""))</f>
        <v/>
      </c>
      <c r="X163" s="136">
        <f>IF($F163="","",IFERROR(INDEX(사건마스터!$AU$5:$AU$64,MATCH($F163,사건마스터!$A$5:$A$64,0)),""))</f>
        <v/>
      </c>
      <c r="Y163" s="136">
        <f>IF($F163="","",IFERROR(INDEX(사건마스터!$AV$5:$AV$64,MATCH($F163,사건마스터!$A$5:$A$64,0)),""))</f>
        <v/>
      </c>
      <c r="Z163" s="118">
        <f>IF(COUNTBLANK($J163:$Y163)=16,"",16-COUNTBLANK($J163:$Y163))</f>
        <v/>
      </c>
      <c r="AA163" s="33">
        <f>IF($J163="",MID($AX163,3,255),$J163&amp;$AX163)</f>
        <v/>
      </c>
      <c r="AB163" s="130">
        <f>IF($J163="","",IFERROR(INDEX(코드설정!$D$5:$D$24,MATCH($J163,코드설정!$C$5:$C$24,0)),""))</f>
        <v/>
      </c>
      <c r="AC163" s="36" t="n"/>
      <c r="AD163" s="37" t="n"/>
      <c r="AE163" s="38" t="n"/>
      <c r="AF163" s="118">
        <f>IF(OR($B163="",$C163=""),"",$C163-$B163+1)</f>
        <v/>
      </c>
      <c r="AG163" s="74" t="n"/>
      <c r="AH163" s="36" t="n"/>
      <c r="AJ163">
        <f>IF($K163="","",", "&amp;$K163)</f>
        <v/>
      </c>
      <c r="AK163">
        <f>AJ163&amp;IF($L163="","",", "&amp;$L163)</f>
        <v/>
      </c>
      <c r="AL163">
        <f>AK163&amp;IF($M163="","",", "&amp;$M163)</f>
        <v/>
      </c>
      <c r="AM163">
        <f>AL163&amp;IF($N163="","",", "&amp;$N163)</f>
        <v/>
      </c>
      <c r="AN163">
        <f>AM163&amp;IF($O163="","",", "&amp;$O163)</f>
        <v/>
      </c>
      <c r="AO163">
        <f>AN163&amp;IF($P163="","",", "&amp;$P163)</f>
        <v/>
      </c>
      <c r="AP163">
        <f>AO163&amp;IF($Q163="","",", "&amp;$Q163)</f>
        <v/>
      </c>
      <c r="AQ163">
        <f>AP163&amp;IF($R163="","",", "&amp;$R163)</f>
        <v/>
      </c>
      <c r="AR163">
        <f>AQ163&amp;IF($S163="","",", "&amp;$S163)</f>
        <v/>
      </c>
      <c r="AS163">
        <f>AR163&amp;IF($T163="","",", "&amp;$T163)</f>
        <v/>
      </c>
      <c r="AT163">
        <f>AS163&amp;IF($U163="","",", "&amp;$U163)</f>
        <v/>
      </c>
      <c r="AU163">
        <f>AT163&amp;IF($V163="","",", "&amp;$V163)</f>
        <v/>
      </c>
      <c r="AV163">
        <f>AU163&amp;IF($W163="","",", "&amp;$W163)</f>
        <v/>
      </c>
      <c r="AW163">
        <f>AV163&amp;IF($X163="","",", "&amp;$X163)</f>
        <v/>
      </c>
      <c r="AX163">
        <f>AW163&amp;IF($Y163="","",", "&amp;$Y163)</f>
        <v/>
      </c>
    </row>
    <row r="164">
      <c r="A164" s="118">
        <f>IF($B164="","",COUNT($B$5:$B164))</f>
        <v/>
      </c>
      <c r="B164" s="80" t="n"/>
      <c r="C164" s="80" t="n"/>
      <c r="D164" s="74" t="n"/>
      <c r="E164" s="74" t="n"/>
      <c r="F164" s="74" t="n"/>
      <c r="G164" s="118">
        <f>IF($F164="","",COUNTIF($F$5:$F164,$F164))</f>
        <v/>
      </c>
      <c r="H164" s="33">
        <f>IF($F164="","",IFERROR(INDEX(사건마스터!$B$5:$B$64,MATCH($F164,사건마스터!$A$5:$A$64,0)),""))</f>
        <v/>
      </c>
      <c r="I164" s="130">
        <f>IF($F164="","",IFERROR(INDEX(사건마스터!$C$5:$C$64,MATCH($F164,사건마스터!$A$5:$A$64,0)),""))</f>
        <v/>
      </c>
      <c r="J164" s="136">
        <f>IF($F164="","",IFERROR(INDEX(사건마스터!$H$5:$H$64,MATCH($F164,사건마스터!$A$5:$A$64,0)),""))</f>
        <v/>
      </c>
      <c r="K164" s="136">
        <f>IF($F164="","",IFERROR(INDEX(사건마스터!$AH$5:$AH$64,MATCH($F164,사건마스터!$A$5:$A$64,0)),""))</f>
        <v/>
      </c>
      <c r="L164" s="136">
        <f>IF($F164="","",IFERROR(INDEX(사건마스터!$AI$5:$AI$64,MATCH($F164,사건마스터!$A$5:$A$64,0)),""))</f>
        <v/>
      </c>
      <c r="M164" s="136">
        <f>IF($F164="","",IFERROR(INDEX(사건마스터!$AJ$5:$AJ$64,MATCH($F164,사건마스터!$A$5:$A$64,0)),""))</f>
        <v/>
      </c>
      <c r="N164" s="136">
        <f>IF($F164="","",IFERROR(INDEX(사건마스터!$AK$5:$AK$64,MATCH($F164,사건마스터!$A$5:$A$64,0)),""))</f>
        <v/>
      </c>
      <c r="O164" s="136">
        <f>IF($F164="","",IFERROR(INDEX(사건마스터!$AL$5:$AL$64,MATCH($F164,사건마스터!$A$5:$A$64,0)),""))</f>
        <v/>
      </c>
      <c r="P164" s="136">
        <f>IF($F164="","",IFERROR(INDEX(사건마스터!$AM$5:$AM$64,MATCH($F164,사건마스터!$A$5:$A$64,0)),""))</f>
        <v/>
      </c>
      <c r="Q164" s="136">
        <f>IF($F164="","",IFERROR(INDEX(사건마스터!$AN$5:$AN$64,MATCH($F164,사건마스터!$A$5:$A$64,0)),""))</f>
        <v/>
      </c>
      <c r="R164" s="136">
        <f>IF($F164="","",IFERROR(INDEX(사건마스터!$AO$5:$AO$64,MATCH($F164,사건마스터!$A$5:$A$64,0)),""))</f>
        <v/>
      </c>
      <c r="S164" s="136">
        <f>IF($F164="","",IFERROR(INDEX(사건마스터!$AP$5:$AP$64,MATCH($F164,사건마스터!$A$5:$A$64,0)),""))</f>
        <v/>
      </c>
      <c r="T164" s="136">
        <f>IF($F164="","",IFERROR(INDEX(사건마스터!$AQ$5:$AQ$64,MATCH($F164,사건마스터!$A$5:$A$64,0)),""))</f>
        <v/>
      </c>
      <c r="U164" s="136">
        <f>IF($F164="","",IFERROR(INDEX(사건마스터!$AR$5:$AR$64,MATCH($F164,사건마스터!$A$5:$A$64,0)),""))</f>
        <v/>
      </c>
      <c r="V164" s="136">
        <f>IF($F164="","",IFERROR(INDEX(사건마스터!$AS$5:$AS$64,MATCH($F164,사건마스터!$A$5:$A$64,0)),""))</f>
        <v/>
      </c>
      <c r="W164" s="136">
        <f>IF($F164="","",IFERROR(INDEX(사건마스터!$AT$5:$AT$64,MATCH($F164,사건마스터!$A$5:$A$64,0)),""))</f>
        <v/>
      </c>
      <c r="X164" s="136">
        <f>IF($F164="","",IFERROR(INDEX(사건마스터!$AU$5:$AU$64,MATCH($F164,사건마스터!$A$5:$A$64,0)),""))</f>
        <v/>
      </c>
      <c r="Y164" s="136">
        <f>IF($F164="","",IFERROR(INDEX(사건마스터!$AV$5:$AV$64,MATCH($F164,사건마스터!$A$5:$A$64,0)),""))</f>
        <v/>
      </c>
      <c r="Z164" s="118">
        <f>IF(COUNTBLANK($J164:$Y164)=16,"",16-COUNTBLANK($J164:$Y164))</f>
        <v/>
      </c>
      <c r="AA164" s="33">
        <f>IF($J164="",MID($AX164,3,255),$J164&amp;$AX164)</f>
        <v/>
      </c>
      <c r="AB164" s="130">
        <f>IF($J164="","",IFERROR(INDEX(코드설정!$D$5:$D$24,MATCH($J164,코드설정!$C$5:$C$24,0)),""))</f>
        <v/>
      </c>
      <c r="AC164" s="36" t="n"/>
      <c r="AD164" s="37" t="n"/>
      <c r="AE164" s="38" t="n"/>
      <c r="AF164" s="118">
        <f>IF(OR($B164="",$C164=""),"",$C164-$B164+1)</f>
        <v/>
      </c>
      <c r="AG164" s="74" t="n"/>
      <c r="AH164" s="36" t="n"/>
      <c r="AJ164">
        <f>IF($K164="","",", "&amp;$K164)</f>
        <v/>
      </c>
      <c r="AK164">
        <f>AJ164&amp;IF($L164="","",", "&amp;$L164)</f>
        <v/>
      </c>
      <c r="AL164">
        <f>AK164&amp;IF($M164="","",", "&amp;$M164)</f>
        <v/>
      </c>
      <c r="AM164">
        <f>AL164&amp;IF($N164="","",", "&amp;$N164)</f>
        <v/>
      </c>
      <c r="AN164">
        <f>AM164&amp;IF($O164="","",", "&amp;$O164)</f>
        <v/>
      </c>
      <c r="AO164">
        <f>AN164&amp;IF($P164="","",", "&amp;$P164)</f>
        <v/>
      </c>
      <c r="AP164">
        <f>AO164&amp;IF($Q164="","",", "&amp;$Q164)</f>
        <v/>
      </c>
      <c r="AQ164">
        <f>AP164&amp;IF($R164="","",", "&amp;$R164)</f>
        <v/>
      </c>
      <c r="AR164">
        <f>AQ164&amp;IF($S164="","",", "&amp;$S164)</f>
        <v/>
      </c>
      <c r="AS164">
        <f>AR164&amp;IF($T164="","",", "&amp;$T164)</f>
        <v/>
      </c>
      <c r="AT164">
        <f>AS164&amp;IF($U164="","",", "&amp;$U164)</f>
        <v/>
      </c>
      <c r="AU164">
        <f>AT164&amp;IF($V164="","",", "&amp;$V164)</f>
        <v/>
      </c>
      <c r="AV164">
        <f>AU164&amp;IF($W164="","",", "&amp;$W164)</f>
        <v/>
      </c>
      <c r="AW164">
        <f>AV164&amp;IF($X164="","",", "&amp;$X164)</f>
        <v/>
      </c>
      <c r="AX164">
        <f>AW164&amp;IF($Y164="","",", "&amp;$Y164)</f>
        <v/>
      </c>
    </row>
    <row r="165">
      <c r="A165" s="118">
        <f>IF($B165="","",COUNT($B$5:$B165))</f>
        <v/>
      </c>
      <c r="B165" s="80" t="n"/>
      <c r="C165" s="80" t="n"/>
      <c r="D165" s="74" t="n"/>
      <c r="E165" s="74" t="n"/>
      <c r="F165" s="74" t="n"/>
      <c r="G165" s="118">
        <f>IF($F165="","",COUNTIF($F$5:$F165,$F165))</f>
        <v/>
      </c>
      <c r="H165" s="33">
        <f>IF($F165="","",IFERROR(INDEX(사건마스터!$B$5:$B$64,MATCH($F165,사건마스터!$A$5:$A$64,0)),""))</f>
        <v/>
      </c>
      <c r="I165" s="130">
        <f>IF($F165="","",IFERROR(INDEX(사건마스터!$C$5:$C$64,MATCH($F165,사건마스터!$A$5:$A$64,0)),""))</f>
        <v/>
      </c>
      <c r="J165" s="136">
        <f>IF($F165="","",IFERROR(INDEX(사건마스터!$H$5:$H$64,MATCH($F165,사건마스터!$A$5:$A$64,0)),""))</f>
        <v/>
      </c>
      <c r="K165" s="136">
        <f>IF($F165="","",IFERROR(INDEX(사건마스터!$AH$5:$AH$64,MATCH($F165,사건마스터!$A$5:$A$64,0)),""))</f>
        <v/>
      </c>
      <c r="L165" s="136">
        <f>IF($F165="","",IFERROR(INDEX(사건마스터!$AI$5:$AI$64,MATCH($F165,사건마스터!$A$5:$A$64,0)),""))</f>
        <v/>
      </c>
      <c r="M165" s="136">
        <f>IF($F165="","",IFERROR(INDEX(사건마스터!$AJ$5:$AJ$64,MATCH($F165,사건마스터!$A$5:$A$64,0)),""))</f>
        <v/>
      </c>
      <c r="N165" s="136">
        <f>IF($F165="","",IFERROR(INDEX(사건마스터!$AK$5:$AK$64,MATCH($F165,사건마스터!$A$5:$A$64,0)),""))</f>
        <v/>
      </c>
      <c r="O165" s="136">
        <f>IF($F165="","",IFERROR(INDEX(사건마스터!$AL$5:$AL$64,MATCH($F165,사건마스터!$A$5:$A$64,0)),""))</f>
        <v/>
      </c>
      <c r="P165" s="136">
        <f>IF($F165="","",IFERROR(INDEX(사건마스터!$AM$5:$AM$64,MATCH($F165,사건마스터!$A$5:$A$64,0)),""))</f>
        <v/>
      </c>
      <c r="Q165" s="136">
        <f>IF($F165="","",IFERROR(INDEX(사건마스터!$AN$5:$AN$64,MATCH($F165,사건마스터!$A$5:$A$64,0)),""))</f>
        <v/>
      </c>
      <c r="R165" s="136">
        <f>IF($F165="","",IFERROR(INDEX(사건마스터!$AO$5:$AO$64,MATCH($F165,사건마스터!$A$5:$A$64,0)),""))</f>
        <v/>
      </c>
      <c r="S165" s="136">
        <f>IF($F165="","",IFERROR(INDEX(사건마스터!$AP$5:$AP$64,MATCH($F165,사건마스터!$A$5:$A$64,0)),""))</f>
        <v/>
      </c>
      <c r="T165" s="136">
        <f>IF($F165="","",IFERROR(INDEX(사건마스터!$AQ$5:$AQ$64,MATCH($F165,사건마스터!$A$5:$A$64,0)),""))</f>
        <v/>
      </c>
      <c r="U165" s="136">
        <f>IF($F165="","",IFERROR(INDEX(사건마스터!$AR$5:$AR$64,MATCH($F165,사건마스터!$A$5:$A$64,0)),""))</f>
        <v/>
      </c>
      <c r="V165" s="136">
        <f>IF($F165="","",IFERROR(INDEX(사건마스터!$AS$5:$AS$64,MATCH($F165,사건마스터!$A$5:$A$64,0)),""))</f>
        <v/>
      </c>
      <c r="W165" s="136">
        <f>IF($F165="","",IFERROR(INDEX(사건마스터!$AT$5:$AT$64,MATCH($F165,사건마스터!$A$5:$A$64,0)),""))</f>
        <v/>
      </c>
      <c r="X165" s="136">
        <f>IF($F165="","",IFERROR(INDEX(사건마스터!$AU$5:$AU$64,MATCH($F165,사건마스터!$A$5:$A$64,0)),""))</f>
        <v/>
      </c>
      <c r="Y165" s="136">
        <f>IF($F165="","",IFERROR(INDEX(사건마스터!$AV$5:$AV$64,MATCH($F165,사건마스터!$A$5:$A$64,0)),""))</f>
        <v/>
      </c>
      <c r="Z165" s="118">
        <f>IF(COUNTBLANK($J165:$Y165)=16,"",16-COUNTBLANK($J165:$Y165))</f>
        <v/>
      </c>
      <c r="AA165" s="33">
        <f>IF($J165="",MID($AX165,3,255),$J165&amp;$AX165)</f>
        <v/>
      </c>
      <c r="AB165" s="130">
        <f>IF($J165="","",IFERROR(INDEX(코드설정!$D$5:$D$24,MATCH($J165,코드설정!$C$5:$C$24,0)),""))</f>
        <v/>
      </c>
      <c r="AC165" s="36" t="n"/>
      <c r="AD165" s="37" t="n"/>
      <c r="AE165" s="38" t="n"/>
      <c r="AF165" s="118">
        <f>IF(OR($B165="",$C165=""),"",$C165-$B165+1)</f>
        <v/>
      </c>
      <c r="AG165" s="74" t="n"/>
      <c r="AH165" s="36" t="n"/>
      <c r="AJ165">
        <f>IF($K165="","",", "&amp;$K165)</f>
        <v/>
      </c>
      <c r="AK165">
        <f>AJ165&amp;IF($L165="","",", "&amp;$L165)</f>
        <v/>
      </c>
      <c r="AL165">
        <f>AK165&amp;IF($M165="","",", "&amp;$M165)</f>
        <v/>
      </c>
      <c r="AM165">
        <f>AL165&amp;IF($N165="","",", "&amp;$N165)</f>
        <v/>
      </c>
      <c r="AN165">
        <f>AM165&amp;IF($O165="","",", "&amp;$O165)</f>
        <v/>
      </c>
      <c r="AO165">
        <f>AN165&amp;IF($P165="","",", "&amp;$P165)</f>
        <v/>
      </c>
      <c r="AP165">
        <f>AO165&amp;IF($Q165="","",", "&amp;$Q165)</f>
        <v/>
      </c>
      <c r="AQ165">
        <f>AP165&amp;IF($R165="","",", "&amp;$R165)</f>
        <v/>
      </c>
      <c r="AR165">
        <f>AQ165&amp;IF($S165="","",", "&amp;$S165)</f>
        <v/>
      </c>
      <c r="AS165">
        <f>AR165&amp;IF($T165="","",", "&amp;$T165)</f>
        <v/>
      </c>
      <c r="AT165">
        <f>AS165&amp;IF($U165="","",", "&amp;$U165)</f>
        <v/>
      </c>
      <c r="AU165">
        <f>AT165&amp;IF($V165="","",", "&amp;$V165)</f>
        <v/>
      </c>
      <c r="AV165">
        <f>AU165&amp;IF($W165="","",", "&amp;$W165)</f>
        <v/>
      </c>
      <c r="AW165">
        <f>AV165&amp;IF($X165="","",", "&amp;$X165)</f>
        <v/>
      </c>
      <c r="AX165">
        <f>AW165&amp;IF($Y165="","",", "&amp;$Y165)</f>
        <v/>
      </c>
    </row>
    <row r="166">
      <c r="A166" s="118">
        <f>IF($B166="","",COUNT($B$5:$B166))</f>
        <v/>
      </c>
      <c r="B166" s="80" t="n"/>
      <c r="C166" s="80" t="n"/>
      <c r="D166" s="74" t="n"/>
      <c r="E166" s="74" t="n"/>
      <c r="F166" s="74" t="n"/>
      <c r="G166" s="118">
        <f>IF($F166="","",COUNTIF($F$5:$F166,$F166))</f>
        <v/>
      </c>
      <c r="H166" s="33">
        <f>IF($F166="","",IFERROR(INDEX(사건마스터!$B$5:$B$64,MATCH($F166,사건마스터!$A$5:$A$64,0)),""))</f>
        <v/>
      </c>
      <c r="I166" s="130">
        <f>IF($F166="","",IFERROR(INDEX(사건마스터!$C$5:$C$64,MATCH($F166,사건마스터!$A$5:$A$64,0)),""))</f>
        <v/>
      </c>
      <c r="J166" s="136">
        <f>IF($F166="","",IFERROR(INDEX(사건마스터!$H$5:$H$64,MATCH($F166,사건마스터!$A$5:$A$64,0)),""))</f>
        <v/>
      </c>
      <c r="K166" s="136">
        <f>IF($F166="","",IFERROR(INDEX(사건마스터!$AH$5:$AH$64,MATCH($F166,사건마스터!$A$5:$A$64,0)),""))</f>
        <v/>
      </c>
      <c r="L166" s="136">
        <f>IF($F166="","",IFERROR(INDEX(사건마스터!$AI$5:$AI$64,MATCH($F166,사건마스터!$A$5:$A$64,0)),""))</f>
        <v/>
      </c>
      <c r="M166" s="136">
        <f>IF($F166="","",IFERROR(INDEX(사건마스터!$AJ$5:$AJ$64,MATCH($F166,사건마스터!$A$5:$A$64,0)),""))</f>
        <v/>
      </c>
      <c r="N166" s="136">
        <f>IF($F166="","",IFERROR(INDEX(사건마스터!$AK$5:$AK$64,MATCH($F166,사건마스터!$A$5:$A$64,0)),""))</f>
        <v/>
      </c>
      <c r="O166" s="136">
        <f>IF($F166="","",IFERROR(INDEX(사건마스터!$AL$5:$AL$64,MATCH($F166,사건마스터!$A$5:$A$64,0)),""))</f>
        <v/>
      </c>
      <c r="P166" s="136">
        <f>IF($F166="","",IFERROR(INDEX(사건마스터!$AM$5:$AM$64,MATCH($F166,사건마스터!$A$5:$A$64,0)),""))</f>
        <v/>
      </c>
      <c r="Q166" s="136">
        <f>IF($F166="","",IFERROR(INDEX(사건마스터!$AN$5:$AN$64,MATCH($F166,사건마스터!$A$5:$A$64,0)),""))</f>
        <v/>
      </c>
      <c r="R166" s="136">
        <f>IF($F166="","",IFERROR(INDEX(사건마스터!$AO$5:$AO$64,MATCH($F166,사건마스터!$A$5:$A$64,0)),""))</f>
        <v/>
      </c>
      <c r="S166" s="136">
        <f>IF($F166="","",IFERROR(INDEX(사건마스터!$AP$5:$AP$64,MATCH($F166,사건마스터!$A$5:$A$64,0)),""))</f>
        <v/>
      </c>
      <c r="T166" s="136">
        <f>IF($F166="","",IFERROR(INDEX(사건마스터!$AQ$5:$AQ$64,MATCH($F166,사건마스터!$A$5:$A$64,0)),""))</f>
        <v/>
      </c>
      <c r="U166" s="136">
        <f>IF($F166="","",IFERROR(INDEX(사건마스터!$AR$5:$AR$64,MATCH($F166,사건마스터!$A$5:$A$64,0)),""))</f>
        <v/>
      </c>
      <c r="V166" s="136">
        <f>IF($F166="","",IFERROR(INDEX(사건마스터!$AS$5:$AS$64,MATCH($F166,사건마스터!$A$5:$A$64,0)),""))</f>
        <v/>
      </c>
      <c r="W166" s="136">
        <f>IF($F166="","",IFERROR(INDEX(사건마스터!$AT$5:$AT$64,MATCH($F166,사건마스터!$A$5:$A$64,0)),""))</f>
        <v/>
      </c>
      <c r="X166" s="136">
        <f>IF($F166="","",IFERROR(INDEX(사건마스터!$AU$5:$AU$64,MATCH($F166,사건마스터!$A$5:$A$64,0)),""))</f>
        <v/>
      </c>
      <c r="Y166" s="136">
        <f>IF($F166="","",IFERROR(INDEX(사건마스터!$AV$5:$AV$64,MATCH($F166,사건마스터!$A$5:$A$64,0)),""))</f>
        <v/>
      </c>
      <c r="Z166" s="118">
        <f>IF(COUNTBLANK($J166:$Y166)=16,"",16-COUNTBLANK($J166:$Y166))</f>
        <v/>
      </c>
      <c r="AA166" s="33">
        <f>IF($J166="",MID($AX166,3,255),$J166&amp;$AX166)</f>
        <v/>
      </c>
      <c r="AB166" s="130">
        <f>IF($J166="","",IFERROR(INDEX(코드설정!$D$5:$D$24,MATCH($J166,코드설정!$C$5:$C$24,0)),""))</f>
        <v/>
      </c>
      <c r="AC166" s="36" t="n"/>
      <c r="AD166" s="37" t="n"/>
      <c r="AE166" s="38" t="n"/>
      <c r="AF166" s="118">
        <f>IF(OR($B166="",$C166=""),"",$C166-$B166+1)</f>
        <v/>
      </c>
      <c r="AG166" s="74" t="n"/>
      <c r="AH166" s="36" t="n"/>
      <c r="AJ166">
        <f>IF($K166="","",", "&amp;$K166)</f>
        <v/>
      </c>
      <c r="AK166">
        <f>AJ166&amp;IF($L166="","",", "&amp;$L166)</f>
        <v/>
      </c>
      <c r="AL166">
        <f>AK166&amp;IF($M166="","",", "&amp;$M166)</f>
        <v/>
      </c>
      <c r="AM166">
        <f>AL166&amp;IF($N166="","",", "&amp;$N166)</f>
        <v/>
      </c>
      <c r="AN166">
        <f>AM166&amp;IF($O166="","",", "&amp;$O166)</f>
        <v/>
      </c>
      <c r="AO166">
        <f>AN166&amp;IF($P166="","",", "&amp;$P166)</f>
        <v/>
      </c>
      <c r="AP166">
        <f>AO166&amp;IF($Q166="","",", "&amp;$Q166)</f>
        <v/>
      </c>
      <c r="AQ166">
        <f>AP166&amp;IF($R166="","",", "&amp;$R166)</f>
        <v/>
      </c>
      <c r="AR166">
        <f>AQ166&amp;IF($S166="","",", "&amp;$S166)</f>
        <v/>
      </c>
      <c r="AS166">
        <f>AR166&amp;IF($T166="","",", "&amp;$T166)</f>
        <v/>
      </c>
      <c r="AT166">
        <f>AS166&amp;IF($U166="","",", "&amp;$U166)</f>
        <v/>
      </c>
      <c r="AU166">
        <f>AT166&amp;IF($V166="","",", "&amp;$V166)</f>
        <v/>
      </c>
      <c r="AV166">
        <f>AU166&amp;IF($W166="","",", "&amp;$W166)</f>
        <v/>
      </c>
      <c r="AW166">
        <f>AV166&amp;IF($X166="","",", "&amp;$X166)</f>
        <v/>
      </c>
      <c r="AX166">
        <f>AW166&amp;IF($Y166="","",", "&amp;$Y166)</f>
        <v/>
      </c>
    </row>
    <row r="167">
      <c r="A167" s="118">
        <f>IF($B167="","",COUNT($B$5:$B167))</f>
        <v/>
      </c>
      <c r="B167" s="80" t="n"/>
      <c r="C167" s="80" t="n"/>
      <c r="D167" s="74" t="n"/>
      <c r="E167" s="74" t="n"/>
      <c r="F167" s="74" t="n"/>
      <c r="G167" s="118">
        <f>IF($F167="","",COUNTIF($F$5:$F167,$F167))</f>
        <v/>
      </c>
      <c r="H167" s="33">
        <f>IF($F167="","",IFERROR(INDEX(사건마스터!$B$5:$B$64,MATCH($F167,사건마스터!$A$5:$A$64,0)),""))</f>
        <v/>
      </c>
      <c r="I167" s="130">
        <f>IF($F167="","",IFERROR(INDEX(사건마스터!$C$5:$C$64,MATCH($F167,사건마스터!$A$5:$A$64,0)),""))</f>
        <v/>
      </c>
      <c r="J167" s="136">
        <f>IF($F167="","",IFERROR(INDEX(사건마스터!$H$5:$H$64,MATCH($F167,사건마스터!$A$5:$A$64,0)),""))</f>
        <v/>
      </c>
      <c r="K167" s="136">
        <f>IF($F167="","",IFERROR(INDEX(사건마스터!$AH$5:$AH$64,MATCH($F167,사건마스터!$A$5:$A$64,0)),""))</f>
        <v/>
      </c>
      <c r="L167" s="136">
        <f>IF($F167="","",IFERROR(INDEX(사건마스터!$AI$5:$AI$64,MATCH($F167,사건마스터!$A$5:$A$64,0)),""))</f>
        <v/>
      </c>
      <c r="M167" s="136">
        <f>IF($F167="","",IFERROR(INDEX(사건마스터!$AJ$5:$AJ$64,MATCH($F167,사건마스터!$A$5:$A$64,0)),""))</f>
        <v/>
      </c>
      <c r="N167" s="136">
        <f>IF($F167="","",IFERROR(INDEX(사건마스터!$AK$5:$AK$64,MATCH($F167,사건마스터!$A$5:$A$64,0)),""))</f>
        <v/>
      </c>
      <c r="O167" s="136">
        <f>IF($F167="","",IFERROR(INDEX(사건마스터!$AL$5:$AL$64,MATCH($F167,사건마스터!$A$5:$A$64,0)),""))</f>
        <v/>
      </c>
      <c r="P167" s="136">
        <f>IF($F167="","",IFERROR(INDEX(사건마스터!$AM$5:$AM$64,MATCH($F167,사건마스터!$A$5:$A$64,0)),""))</f>
        <v/>
      </c>
      <c r="Q167" s="136">
        <f>IF($F167="","",IFERROR(INDEX(사건마스터!$AN$5:$AN$64,MATCH($F167,사건마스터!$A$5:$A$64,0)),""))</f>
        <v/>
      </c>
      <c r="R167" s="136">
        <f>IF($F167="","",IFERROR(INDEX(사건마스터!$AO$5:$AO$64,MATCH($F167,사건마스터!$A$5:$A$64,0)),""))</f>
        <v/>
      </c>
      <c r="S167" s="136">
        <f>IF($F167="","",IFERROR(INDEX(사건마스터!$AP$5:$AP$64,MATCH($F167,사건마스터!$A$5:$A$64,0)),""))</f>
        <v/>
      </c>
      <c r="T167" s="136">
        <f>IF($F167="","",IFERROR(INDEX(사건마스터!$AQ$5:$AQ$64,MATCH($F167,사건마스터!$A$5:$A$64,0)),""))</f>
        <v/>
      </c>
      <c r="U167" s="136">
        <f>IF($F167="","",IFERROR(INDEX(사건마스터!$AR$5:$AR$64,MATCH($F167,사건마스터!$A$5:$A$64,0)),""))</f>
        <v/>
      </c>
      <c r="V167" s="136">
        <f>IF($F167="","",IFERROR(INDEX(사건마스터!$AS$5:$AS$64,MATCH($F167,사건마스터!$A$5:$A$64,0)),""))</f>
        <v/>
      </c>
      <c r="W167" s="136">
        <f>IF($F167="","",IFERROR(INDEX(사건마스터!$AT$5:$AT$64,MATCH($F167,사건마스터!$A$5:$A$64,0)),""))</f>
        <v/>
      </c>
      <c r="X167" s="136">
        <f>IF($F167="","",IFERROR(INDEX(사건마스터!$AU$5:$AU$64,MATCH($F167,사건마스터!$A$5:$A$64,0)),""))</f>
        <v/>
      </c>
      <c r="Y167" s="136">
        <f>IF($F167="","",IFERROR(INDEX(사건마스터!$AV$5:$AV$64,MATCH($F167,사건마스터!$A$5:$A$64,0)),""))</f>
        <v/>
      </c>
      <c r="Z167" s="118">
        <f>IF(COUNTBLANK($J167:$Y167)=16,"",16-COUNTBLANK($J167:$Y167))</f>
        <v/>
      </c>
      <c r="AA167" s="33">
        <f>IF($J167="",MID($AX167,3,255),$J167&amp;$AX167)</f>
        <v/>
      </c>
      <c r="AB167" s="130">
        <f>IF($J167="","",IFERROR(INDEX(코드설정!$D$5:$D$24,MATCH($J167,코드설정!$C$5:$C$24,0)),""))</f>
        <v/>
      </c>
      <c r="AC167" s="36" t="n"/>
      <c r="AD167" s="37" t="n"/>
      <c r="AE167" s="38" t="n"/>
      <c r="AF167" s="118">
        <f>IF(OR($B167="",$C167=""),"",$C167-$B167+1)</f>
        <v/>
      </c>
      <c r="AG167" s="74" t="n"/>
      <c r="AH167" s="36" t="n"/>
      <c r="AJ167">
        <f>IF($K167="","",", "&amp;$K167)</f>
        <v/>
      </c>
      <c r="AK167">
        <f>AJ167&amp;IF($L167="","",", "&amp;$L167)</f>
        <v/>
      </c>
      <c r="AL167">
        <f>AK167&amp;IF($M167="","",", "&amp;$M167)</f>
        <v/>
      </c>
      <c r="AM167">
        <f>AL167&amp;IF($N167="","",", "&amp;$N167)</f>
        <v/>
      </c>
      <c r="AN167">
        <f>AM167&amp;IF($O167="","",", "&amp;$O167)</f>
        <v/>
      </c>
      <c r="AO167">
        <f>AN167&amp;IF($P167="","",", "&amp;$P167)</f>
        <v/>
      </c>
      <c r="AP167">
        <f>AO167&amp;IF($Q167="","",", "&amp;$Q167)</f>
        <v/>
      </c>
      <c r="AQ167">
        <f>AP167&amp;IF($R167="","",", "&amp;$R167)</f>
        <v/>
      </c>
      <c r="AR167">
        <f>AQ167&amp;IF($S167="","",", "&amp;$S167)</f>
        <v/>
      </c>
      <c r="AS167">
        <f>AR167&amp;IF($T167="","",", "&amp;$T167)</f>
        <v/>
      </c>
      <c r="AT167">
        <f>AS167&amp;IF($U167="","",", "&amp;$U167)</f>
        <v/>
      </c>
      <c r="AU167">
        <f>AT167&amp;IF($V167="","",", "&amp;$V167)</f>
        <v/>
      </c>
      <c r="AV167">
        <f>AU167&amp;IF($W167="","",", "&amp;$W167)</f>
        <v/>
      </c>
      <c r="AW167">
        <f>AV167&amp;IF($X167="","",", "&amp;$X167)</f>
        <v/>
      </c>
      <c r="AX167">
        <f>AW167&amp;IF($Y167="","",", "&amp;$Y167)</f>
        <v/>
      </c>
    </row>
    <row r="168">
      <c r="A168" s="118">
        <f>IF($B168="","",COUNT($B$5:$B168))</f>
        <v/>
      </c>
      <c r="B168" s="80" t="n"/>
      <c r="C168" s="80" t="n"/>
      <c r="D168" s="74" t="n"/>
      <c r="E168" s="74" t="n"/>
      <c r="F168" s="74" t="n"/>
      <c r="G168" s="118">
        <f>IF($F168="","",COUNTIF($F$5:$F168,$F168))</f>
        <v/>
      </c>
      <c r="H168" s="33">
        <f>IF($F168="","",IFERROR(INDEX(사건마스터!$B$5:$B$64,MATCH($F168,사건마스터!$A$5:$A$64,0)),""))</f>
        <v/>
      </c>
      <c r="I168" s="130">
        <f>IF($F168="","",IFERROR(INDEX(사건마스터!$C$5:$C$64,MATCH($F168,사건마스터!$A$5:$A$64,0)),""))</f>
        <v/>
      </c>
      <c r="J168" s="136">
        <f>IF($F168="","",IFERROR(INDEX(사건마스터!$H$5:$H$64,MATCH($F168,사건마스터!$A$5:$A$64,0)),""))</f>
        <v/>
      </c>
      <c r="K168" s="136">
        <f>IF($F168="","",IFERROR(INDEX(사건마스터!$AH$5:$AH$64,MATCH($F168,사건마스터!$A$5:$A$64,0)),""))</f>
        <v/>
      </c>
      <c r="L168" s="136">
        <f>IF($F168="","",IFERROR(INDEX(사건마스터!$AI$5:$AI$64,MATCH($F168,사건마스터!$A$5:$A$64,0)),""))</f>
        <v/>
      </c>
      <c r="M168" s="136">
        <f>IF($F168="","",IFERROR(INDEX(사건마스터!$AJ$5:$AJ$64,MATCH($F168,사건마스터!$A$5:$A$64,0)),""))</f>
        <v/>
      </c>
      <c r="N168" s="136">
        <f>IF($F168="","",IFERROR(INDEX(사건마스터!$AK$5:$AK$64,MATCH($F168,사건마스터!$A$5:$A$64,0)),""))</f>
        <v/>
      </c>
      <c r="O168" s="136">
        <f>IF($F168="","",IFERROR(INDEX(사건마스터!$AL$5:$AL$64,MATCH($F168,사건마스터!$A$5:$A$64,0)),""))</f>
        <v/>
      </c>
      <c r="P168" s="136">
        <f>IF($F168="","",IFERROR(INDEX(사건마스터!$AM$5:$AM$64,MATCH($F168,사건마스터!$A$5:$A$64,0)),""))</f>
        <v/>
      </c>
      <c r="Q168" s="136">
        <f>IF($F168="","",IFERROR(INDEX(사건마스터!$AN$5:$AN$64,MATCH($F168,사건마스터!$A$5:$A$64,0)),""))</f>
        <v/>
      </c>
      <c r="R168" s="136">
        <f>IF($F168="","",IFERROR(INDEX(사건마스터!$AO$5:$AO$64,MATCH($F168,사건마스터!$A$5:$A$64,0)),""))</f>
        <v/>
      </c>
      <c r="S168" s="136">
        <f>IF($F168="","",IFERROR(INDEX(사건마스터!$AP$5:$AP$64,MATCH($F168,사건마스터!$A$5:$A$64,0)),""))</f>
        <v/>
      </c>
      <c r="T168" s="136">
        <f>IF($F168="","",IFERROR(INDEX(사건마스터!$AQ$5:$AQ$64,MATCH($F168,사건마스터!$A$5:$A$64,0)),""))</f>
        <v/>
      </c>
      <c r="U168" s="136">
        <f>IF($F168="","",IFERROR(INDEX(사건마스터!$AR$5:$AR$64,MATCH($F168,사건마스터!$A$5:$A$64,0)),""))</f>
        <v/>
      </c>
      <c r="V168" s="136">
        <f>IF($F168="","",IFERROR(INDEX(사건마스터!$AS$5:$AS$64,MATCH($F168,사건마스터!$A$5:$A$64,0)),""))</f>
        <v/>
      </c>
      <c r="W168" s="136">
        <f>IF($F168="","",IFERROR(INDEX(사건마스터!$AT$5:$AT$64,MATCH($F168,사건마스터!$A$5:$A$64,0)),""))</f>
        <v/>
      </c>
      <c r="X168" s="136">
        <f>IF($F168="","",IFERROR(INDEX(사건마스터!$AU$5:$AU$64,MATCH($F168,사건마스터!$A$5:$A$64,0)),""))</f>
        <v/>
      </c>
      <c r="Y168" s="136">
        <f>IF($F168="","",IFERROR(INDEX(사건마스터!$AV$5:$AV$64,MATCH($F168,사건마스터!$A$5:$A$64,0)),""))</f>
        <v/>
      </c>
      <c r="Z168" s="118">
        <f>IF(COUNTBLANK($J168:$Y168)=16,"",16-COUNTBLANK($J168:$Y168))</f>
        <v/>
      </c>
      <c r="AA168" s="33">
        <f>IF($J168="",MID($AX168,3,255),$J168&amp;$AX168)</f>
        <v/>
      </c>
      <c r="AB168" s="130">
        <f>IF($J168="","",IFERROR(INDEX(코드설정!$D$5:$D$24,MATCH($J168,코드설정!$C$5:$C$24,0)),""))</f>
        <v/>
      </c>
      <c r="AC168" s="36" t="n"/>
      <c r="AD168" s="37" t="n"/>
      <c r="AE168" s="38" t="n"/>
      <c r="AF168" s="118">
        <f>IF(OR($B168="",$C168=""),"",$C168-$B168+1)</f>
        <v/>
      </c>
      <c r="AG168" s="74" t="n"/>
      <c r="AH168" s="36" t="n"/>
      <c r="AJ168">
        <f>IF($K168="","",", "&amp;$K168)</f>
        <v/>
      </c>
      <c r="AK168">
        <f>AJ168&amp;IF($L168="","",", "&amp;$L168)</f>
        <v/>
      </c>
      <c r="AL168">
        <f>AK168&amp;IF($M168="","",", "&amp;$M168)</f>
        <v/>
      </c>
      <c r="AM168">
        <f>AL168&amp;IF($N168="","",", "&amp;$N168)</f>
        <v/>
      </c>
      <c r="AN168">
        <f>AM168&amp;IF($O168="","",", "&amp;$O168)</f>
        <v/>
      </c>
      <c r="AO168">
        <f>AN168&amp;IF($P168="","",", "&amp;$P168)</f>
        <v/>
      </c>
      <c r="AP168">
        <f>AO168&amp;IF($Q168="","",", "&amp;$Q168)</f>
        <v/>
      </c>
      <c r="AQ168">
        <f>AP168&amp;IF($R168="","",", "&amp;$R168)</f>
        <v/>
      </c>
      <c r="AR168">
        <f>AQ168&amp;IF($S168="","",", "&amp;$S168)</f>
        <v/>
      </c>
      <c r="AS168">
        <f>AR168&amp;IF($T168="","",", "&amp;$T168)</f>
        <v/>
      </c>
      <c r="AT168">
        <f>AS168&amp;IF($U168="","",", "&amp;$U168)</f>
        <v/>
      </c>
      <c r="AU168">
        <f>AT168&amp;IF($V168="","",", "&amp;$V168)</f>
        <v/>
      </c>
      <c r="AV168">
        <f>AU168&amp;IF($W168="","",", "&amp;$W168)</f>
        <v/>
      </c>
      <c r="AW168">
        <f>AV168&amp;IF($X168="","",", "&amp;$X168)</f>
        <v/>
      </c>
      <c r="AX168">
        <f>AW168&amp;IF($Y168="","",", "&amp;$Y168)</f>
        <v/>
      </c>
    </row>
    <row r="169">
      <c r="A169" s="118">
        <f>IF($B169="","",COUNT($B$5:$B169))</f>
        <v/>
      </c>
      <c r="B169" s="80" t="n"/>
      <c r="C169" s="80" t="n"/>
      <c r="D169" s="74" t="n"/>
      <c r="E169" s="74" t="n"/>
      <c r="F169" s="74" t="n"/>
      <c r="G169" s="118">
        <f>IF($F169="","",COUNTIF($F$5:$F169,$F169))</f>
        <v/>
      </c>
      <c r="H169" s="33">
        <f>IF($F169="","",IFERROR(INDEX(사건마스터!$B$5:$B$64,MATCH($F169,사건마스터!$A$5:$A$64,0)),""))</f>
        <v/>
      </c>
      <c r="I169" s="130">
        <f>IF($F169="","",IFERROR(INDEX(사건마스터!$C$5:$C$64,MATCH($F169,사건마스터!$A$5:$A$64,0)),""))</f>
        <v/>
      </c>
      <c r="J169" s="136">
        <f>IF($F169="","",IFERROR(INDEX(사건마스터!$H$5:$H$64,MATCH($F169,사건마스터!$A$5:$A$64,0)),""))</f>
        <v/>
      </c>
      <c r="K169" s="136">
        <f>IF($F169="","",IFERROR(INDEX(사건마스터!$AH$5:$AH$64,MATCH($F169,사건마스터!$A$5:$A$64,0)),""))</f>
        <v/>
      </c>
      <c r="L169" s="136">
        <f>IF($F169="","",IFERROR(INDEX(사건마스터!$AI$5:$AI$64,MATCH($F169,사건마스터!$A$5:$A$64,0)),""))</f>
        <v/>
      </c>
      <c r="M169" s="136">
        <f>IF($F169="","",IFERROR(INDEX(사건마스터!$AJ$5:$AJ$64,MATCH($F169,사건마스터!$A$5:$A$64,0)),""))</f>
        <v/>
      </c>
      <c r="N169" s="136">
        <f>IF($F169="","",IFERROR(INDEX(사건마스터!$AK$5:$AK$64,MATCH($F169,사건마스터!$A$5:$A$64,0)),""))</f>
        <v/>
      </c>
      <c r="O169" s="136">
        <f>IF($F169="","",IFERROR(INDEX(사건마스터!$AL$5:$AL$64,MATCH($F169,사건마스터!$A$5:$A$64,0)),""))</f>
        <v/>
      </c>
      <c r="P169" s="136">
        <f>IF($F169="","",IFERROR(INDEX(사건마스터!$AM$5:$AM$64,MATCH($F169,사건마스터!$A$5:$A$64,0)),""))</f>
        <v/>
      </c>
      <c r="Q169" s="136">
        <f>IF($F169="","",IFERROR(INDEX(사건마스터!$AN$5:$AN$64,MATCH($F169,사건마스터!$A$5:$A$64,0)),""))</f>
        <v/>
      </c>
      <c r="R169" s="136">
        <f>IF($F169="","",IFERROR(INDEX(사건마스터!$AO$5:$AO$64,MATCH($F169,사건마스터!$A$5:$A$64,0)),""))</f>
        <v/>
      </c>
      <c r="S169" s="136">
        <f>IF($F169="","",IFERROR(INDEX(사건마스터!$AP$5:$AP$64,MATCH($F169,사건마스터!$A$5:$A$64,0)),""))</f>
        <v/>
      </c>
      <c r="T169" s="136">
        <f>IF($F169="","",IFERROR(INDEX(사건마스터!$AQ$5:$AQ$64,MATCH($F169,사건마스터!$A$5:$A$64,0)),""))</f>
        <v/>
      </c>
      <c r="U169" s="136">
        <f>IF($F169="","",IFERROR(INDEX(사건마스터!$AR$5:$AR$64,MATCH($F169,사건마스터!$A$5:$A$64,0)),""))</f>
        <v/>
      </c>
      <c r="V169" s="136">
        <f>IF($F169="","",IFERROR(INDEX(사건마스터!$AS$5:$AS$64,MATCH($F169,사건마스터!$A$5:$A$64,0)),""))</f>
        <v/>
      </c>
      <c r="W169" s="136">
        <f>IF($F169="","",IFERROR(INDEX(사건마스터!$AT$5:$AT$64,MATCH($F169,사건마스터!$A$5:$A$64,0)),""))</f>
        <v/>
      </c>
      <c r="X169" s="136">
        <f>IF($F169="","",IFERROR(INDEX(사건마스터!$AU$5:$AU$64,MATCH($F169,사건마스터!$A$5:$A$64,0)),""))</f>
        <v/>
      </c>
      <c r="Y169" s="136">
        <f>IF($F169="","",IFERROR(INDEX(사건마스터!$AV$5:$AV$64,MATCH($F169,사건마스터!$A$5:$A$64,0)),""))</f>
        <v/>
      </c>
      <c r="Z169" s="118">
        <f>IF(COUNTBLANK($J169:$Y169)=16,"",16-COUNTBLANK($J169:$Y169))</f>
        <v/>
      </c>
      <c r="AA169" s="33">
        <f>IF($J169="",MID($AX169,3,255),$J169&amp;$AX169)</f>
        <v/>
      </c>
      <c r="AB169" s="130">
        <f>IF($J169="","",IFERROR(INDEX(코드설정!$D$5:$D$24,MATCH($J169,코드설정!$C$5:$C$24,0)),""))</f>
        <v/>
      </c>
      <c r="AC169" s="36" t="n"/>
      <c r="AD169" s="37" t="n"/>
      <c r="AE169" s="38" t="n"/>
      <c r="AF169" s="118">
        <f>IF(OR($B169="",$C169=""),"",$C169-$B169+1)</f>
        <v/>
      </c>
      <c r="AG169" s="74" t="n"/>
      <c r="AH169" s="36" t="n"/>
      <c r="AJ169">
        <f>IF($K169="","",", "&amp;$K169)</f>
        <v/>
      </c>
      <c r="AK169">
        <f>AJ169&amp;IF($L169="","",", "&amp;$L169)</f>
        <v/>
      </c>
      <c r="AL169">
        <f>AK169&amp;IF($M169="","",", "&amp;$M169)</f>
        <v/>
      </c>
      <c r="AM169">
        <f>AL169&amp;IF($N169="","",", "&amp;$N169)</f>
        <v/>
      </c>
      <c r="AN169">
        <f>AM169&amp;IF($O169="","",", "&amp;$O169)</f>
        <v/>
      </c>
      <c r="AO169">
        <f>AN169&amp;IF($P169="","",", "&amp;$P169)</f>
        <v/>
      </c>
      <c r="AP169">
        <f>AO169&amp;IF($Q169="","",", "&amp;$Q169)</f>
        <v/>
      </c>
      <c r="AQ169">
        <f>AP169&amp;IF($R169="","",", "&amp;$R169)</f>
        <v/>
      </c>
      <c r="AR169">
        <f>AQ169&amp;IF($S169="","",", "&amp;$S169)</f>
        <v/>
      </c>
      <c r="AS169">
        <f>AR169&amp;IF($T169="","",", "&amp;$T169)</f>
        <v/>
      </c>
      <c r="AT169">
        <f>AS169&amp;IF($U169="","",", "&amp;$U169)</f>
        <v/>
      </c>
      <c r="AU169">
        <f>AT169&amp;IF($V169="","",", "&amp;$V169)</f>
        <v/>
      </c>
      <c r="AV169">
        <f>AU169&amp;IF($W169="","",", "&amp;$W169)</f>
        <v/>
      </c>
      <c r="AW169">
        <f>AV169&amp;IF($X169="","",", "&amp;$X169)</f>
        <v/>
      </c>
      <c r="AX169">
        <f>AW169&amp;IF($Y169="","",", "&amp;$Y169)</f>
        <v/>
      </c>
    </row>
    <row r="170">
      <c r="A170" s="118">
        <f>IF($B170="","",COUNT($B$5:$B170))</f>
        <v/>
      </c>
      <c r="B170" s="80" t="n"/>
      <c r="C170" s="80" t="n"/>
      <c r="D170" s="74" t="n"/>
      <c r="E170" s="74" t="n"/>
      <c r="F170" s="74" t="n"/>
      <c r="G170" s="118">
        <f>IF($F170="","",COUNTIF($F$5:$F170,$F170))</f>
        <v/>
      </c>
      <c r="H170" s="33">
        <f>IF($F170="","",IFERROR(INDEX(사건마스터!$B$5:$B$64,MATCH($F170,사건마스터!$A$5:$A$64,0)),""))</f>
        <v/>
      </c>
      <c r="I170" s="130">
        <f>IF($F170="","",IFERROR(INDEX(사건마스터!$C$5:$C$64,MATCH($F170,사건마스터!$A$5:$A$64,0)),""))</f>
        <v/>
      </c>
      <c r="J170" s="136">
        <f>IF($F170="","",IFERROR(INDEX(사건마스터!$H$5:$H$64,MATCH($F170,사건마스터!$A$5:$A$64,0)),""))</f>
        <v/>
      </c>
      <c r="K170" s="136">
        <f>IF($F170="","",IFERROR(INDEX(사건마스터!$AH$5:$AH$64,MATCH($F170,사건마스터!$A$5:$A$64,0)),""))</f>
        <v/>
      </c>
      <c r="L170" s="136">
        <f>IF($F170="","",IFERROR(INDEX(사건마스터!$AI$5:$AI$64,MATCH($F170,사건마스터!$A$5:$A$64,0)),""))</f>
        <v/>
      </c>
      <c r="M170" s="136">
        <f>IF($F170="","",IFERROR(INDEX(사건마스터!$AJ$5:$AJ$64,MATCH($F170,사건마스터!$A$5:$A$64,0)),""))</f>
        <v/>
      </c>
      <c r="N170" s="136">
        <f>IF($F170="","",IFERROR(INDEX(사건마스터!$AK$5:$AK$64,MATCH($F170,사건마스터!$A$5:$A$64,0)),""))</f>
        <v/>
      </c>
      <c r="O170" s="136">
        <f>IF($F170="","",IFERROR(INDEX(사건마스터!$AL$5:$AL$64,MATCH($F170,사건마스터!$A$5:$A$64,0)),""))</f>
        <v/>
      </c>
      <c r="P170" s="136">
        <f>IF($F170="","",IFERROR(INDEX(사건마스터!$AM$5:$AM$64,MATCH($F170,사건마스터!$A$5:$A$64,0)),""))</f>
        <v/>
      </c>
      <c r="Q170" s="136">
        <f>IF($F170="","",IFERROR(INDEX(사건마스터!$AN$5:$AN$64,MATCH($F170,사건마스터!$A$5:$A$64,0)),""))</f>
        <v/>
      </c>
      <c r="R170" s="136">
        <f>IF($F170="","",IFERROR(INDEX(사건마스터!$AO$5:$AO$64,MATCH($F170,사건마스터!$A$5:$A$64,0)),""))</f>
        <v/>
      </c>
      <c r="S170" s="136">
        <f>IF($F170="","",IFERROR(INDEX(사건마스터!$AP$5:$AP$64,MATCH($F170,사건마스터!$A$5:$A$64,0)),""))</f>
        <v/>
      </c>
      <c r="T170" s="136">
        <f>IF($F170="","",IFERROR(INDEX(사건마스터!$AQ$5:$AQ$64,MATCH($F170,사건마스터!$A$5:$A$64,0)),""))</f>
        <v/>
      </c>
      <c r="U170" s="136">
        <f>IF($F170="","",IFERROR(INDEX(사건마스터!$AR$5:$AR$64,MATCH($F170,사건마스터!$A$5:$A$64,0)),""))</f>
        <v/>
      </c>
      <c r="V170" s="136">
        <f>IF($F170="","",IFERROR(INDEX(사건마스터!$AS$5:$AS$64,MATCH($F170,사건마스터!$A$5:$A$64,0)),""))</f>
        <v/>
      </c>
      <c r="W170" s="136">
        <f>IF($F170="","",IFERROR(INDEX(사건마스터!$AT$5:$AT$64,MATCH($F170,사건마스터!$A$5:$A$64,0)),""))</f>
        <v/>
      </c>
      <c r="X170" s="136">
        <f>IF($F170="","",IFERROR(INDEX(사건마스터!$AU$5:$AU$64,MATCH($F170,사건마스터!$A$5:$A$64,0)),""))</f>
        <v/>
      </c>
      <c r="Y170" s="136">
        <f>IF($F170="","",IFERROR(INDEX(사건마스터!$AV$5:$AV$64,MATCH($F170,사건마스터!$A$5:$A$64,0)),""))</f>
        <v/>
      </c>
      <c r="Z170" s="118">
        <f>IF(COUNTBLANK($J170:$Y170)=16,"",16-COUNTBLANK($J170:$Y170))</f>
        <v/>
      </c>
      <c r="AA170" s="33">
        <f>IF($J170="",MID($AX170,3,255),$J170&amp;$AX170)</f>
        <v/>
      </c>
      <c r="AB170" s="130">
        <f>IF($J170="","",IFERROR(INDEX(코드설정!$D$5:$D$24,MATCH($J170,코드설정!$C$5:$C$24,0)),""))</f>
        <v/>
      </c>
      <c r="AC170" s="36" t="n"/>
      <c r="AD170" s="37" t="n"/>
      <c r="AE170" s="38" t="n"/>
      <c r="AF170" s="118">
        <f>IF(OR($B170="",$C170=""),"",$C170-$B170+1)</f>
        <v/>
      </c>
      <c r="AG170" s="74" t="n"/>
      <c r="AH170" s="36" t="n"/>
      <c r="AJ170">
        <f>IF($K170="","",", "&amp;$K170)</f>
        <v/>
      </c>
      <c r="AK170">
        <f>AJ170&amp;IF($L170="","",", "&amp;$L170)</f>
        <v/>
      </c>
      <c r="AL170">
        <f>AK170&amp;IF($M170="","",", "&amp;$M170)</f>
        <v/>
      </c>
      <c r="AM170">
        <f>AL170&amp;IF($N170="","",", "&amp;$N170)</f>
        <v/>
      </c>
      <c r="AN170">
        <f>AM170&amp;IF($O170="","",", "&amp;$O170)</f>
        <v/>
      </c>
      <c r="AO170">
        <f>AN170&amp;IF($P170="","",", "&amp;$P170)</f>
        <v/>
      </c>
      <c r="AP170">
        <f>AO170&amp;IF($Q170="","",", "&amp;$Q170)</f>
        <v/>
      </c>
      <c r="AQ170">
        <f>AP170&amp;IF($R170="","",", "&amp;$R170)</f>
        <v/>
      </c>
      <c r="AR170">
        <f>AQ170&amp;IF($S170="","",", "&amp;$S170)</f>
        <v/>
      </c>
      <c r="AS170">
        <f>AR170&amp;IF($T170="","",", "&amp;$T170)</f>
        <v/>
      </c>
      <c r="AT170">
        <f>AS170&amp;IF($U170="","",", "&amp;$U170)</f>
        <v/>
      </c>
      <c r="AU170">
        <f>AT170&amp;IF($V170="","",", "&amp;$V170)</f>
        <v/>
      </c>
      <c r="AV170">
        <f>AU170&amp;IF($W170="","",", "&amp;$W170)</f>
        <v/>
      </c>
      <c r="AW170">
        <f>AV170&amp;IF($X170="","",", "&amp;$X170)</f>
        <v/>
      </c>
      <c r="AX170">
        <f>AW170&amp;IF($Y170="","",", "&amp;$Y170)</f>
        <v/>
      </c>
    </row>
    <row r="171">
      <c r="A171" s="118">
        <f>IF($B171="","",COUNT($B$5:$B171))</f>
        <v/>
      </c>
      <c r="B171" s="80" t="n"/>
      <c r="C171" s="80" t="n"/>
      <c r="D171" s="74" t="n"/>
      <c r="E171" s="74" t="n"/>
      <c r="F171" s="74" t="n"/>
      <c r="G171" s="118">
        <f>IF($F171="","",COUNTIF($F$5:$F171,$F171))</f>
        <v/>
      </c>
      <c r="H171" s="33">
        <f>IF($F171="","",IFERROR(INDEX(사건마스터!$B$5:$B$64,MATCH($F171,사건마스터!$A$5:$A$64,0)),""))</f>
        <v/>
      </c>
      <c r="I171" s="130">
        <f>IF($F171="","",IFERROR(INDEX(사건마스터!$C$5:$C$64,MATCH($F171,사건마스터!$A$5:$A$64,0)),""))</f>
        <v/>
      </c>
      <c r="J171" s="136">
        <f>IF($F171="","",IFERROR(INDEX(사건마스터!$H$5:$H$64,MATCH($F171,사건마스터!$A$5:$A$64,0)),""))</f>
        <v/>
      </c>
      <c r="K171" s="136">
        <f>IF($F171="","",IFERROR(INDEX(사건마스터!$AH$5:$AH$64,MATCH($F171,사건마스터!$A$5:$A$64,0)),""))</f>
        <v/>
      </c>
      <c r="L171" s="136">
        <f>IF($F171="","",IFERROR(INDEX(사건마스터!$AI$5:$AI$64,MATCH($F171,사건마스터!$A$5:$A$64,0)),""))</f>
        <v/>
      </c>
      <c r="M171" s="136">
        <f>IF($F171="","",IFERROR(INDEX(사건마스터!$AJ$5:$AJ$64,MATCH($F171,사건마스터!$A$5:$A$64,0)),""))</f>
        <v/>
      </c>
      <c r="N171" s="136">
        <f>IF($F171="","",IFERROR(INDEX(사건마스터!$AK$5:$AK$64,MATCH($F171,사건마스터!$A$5:$A$64,0)),""))</f>
        <v/>
      </c>
      <c r="O171" s="136">
        <f>IF($F171="","",IFERROR(INDEX(사건마스터!$AL$5:$AL$64,MATCH($F171,사건마스터!$A$5:$A$64,0)),""))</f>
        <v/>
      </c>
      <c r="P171" s="136">
        <f>IF($F171="","",IFERROR(INDEX(사건마스터!$AM$5:$AM$64,MATCH($F171,사건마스터!$A$5:$A$64,0)),""))</f>
        <v/>
      </c>
      <c r="Q171" s="136">
        <f>IF($F171="","",IFERROR(INDEX(사건마스터!$AN$5:$AN$64,MATCH($F171,사건마스터!$A$5:$A$64,0)),""))</f>
        <v/>
      </c>
      <c r="R171" s="136">
        <f>IF($F171="","",IFERROR(INDEX(사건마스터!$AO$5:$AO$64,MATCH($F171,사건마스터!$A$5:$A$64,0)),""))</f>
        <v/>
      </c>
      <c r="S171" s="136">
        <f>IF($F171="","",IFERROR(INDEX(사건마스터!$AP$5:$AP$64,MATCH($F171,사건마스터!$A$5:$A$64,0)),""))</f>
        <v/>
      </c>
      <c r="T171" s="136">
        <f>IF($F171="","",IFERROR(INDEX(사건마스터!$AQ$5:$AQ$64,MATCH($F171,사건마스터!$A$5:$A$64,0)),""))</f>
        <v/>
      </c>
      <c r="U171" s="136">
        <f>IF($F171="","",IFERROR(INDEX(사건마스터!$AR$5:$AR$64,MATCH($F171,사건마스터!$A$5:$A$64,0)),""))</f>
        <v/>
      </c>
      <c r="V171" s="136">
        <f>IF($F171="","",IFERROR(INDEX(사건마스터!$AS$5:$AS$64,MATCH($F171,사건마스터!$A$5:$A$64,0)),""))</f>
        <v/>
      </c>
      <c r="W171" s="136">
        <f>IF($F171="","",IFERROR(INDEX(사건마스터!$AT$5:$AT$64,MATCH($F171,사건마스터!$A$5:$A$64,0)),""))</f>
        <v/>
      </c>
      <c r="X171" s="136">
        <f>IF($F171="","",IFERROR(INDEX(사건마스터!$AU$5:$AU$64,MATCH($F171,사건마스터!$A$5:$A$64,0)),""))</f>
        <v/>
      </c>
      <c r="Y171" s="136">
        <f>IF($F171="","",IFERROR(INDEX(사건마스터!$AV$5:$AV$64,MATCH($F171,사건마스터!$A$5:$A$64,0)),""))</f>
        <v/>
      </c>
      <c r="Z171" s="118">
        <f>IF(COUNTBLANK($J171:$Y171)=16,"",16-COUNTBLANK($J171:$Y171))</f>
        <v/>
      </c>
      <c r="AA171" s="33">
        <f>IF($J171="",MID($AX171,3,255),$J171&amp;$AX171)</f>
        <v/>
      </c>
      <c r="AB171" s="130">
        <f>IF($J171="","",IFERROR(INDEX(코드설정!$D$5:$D$24,MATCH($J171,코드설정!$C$5:$C$24,0)),""))</f>
        <v/>
      </c>
      <c r="AC171" s="36" t="n"/>
      <c r="AD171" s="37" t="n"/>
      <c r="AE171" s="38" t="n"/>
      <c r="AF171" s="118">
        <f>IF(OR($B171="",$C171=""),"",$C171-$B171+1)</f>
        <v/>
      </c>
      <c r="AG171" s="74" t="n"/>
      <c r="AH171" s="36" t="n"/>
      <c r="AJ171">
        <f>IF($K171="","",", "&amp;$K171)</f>
        <v/>
      </c>
      <c r="AK171">
        <f>AJ171&amp;IF($L171="","",", "&amp;$L171)</f>
        <v/>
      </c>
      <c r="AL171">
        <f>AK171&amp;IF($M171="","",", "&amp;$M171)</f>
        <v/>
      </c>
      <c r="AM171">
        <f>AL171&amp;IF($N171="","",", "&amp;$N171)</f>
        <v/>
      </c>
      <c r="AN171">
        <f>AM171&amp;IF($O171="","",", "&amp;$O171)</f>
        <v/>
      </c>
      <c r="AO171">
        <f>AN171&amp;IF($P171="","",", "&amp;$P171)</f>
        <v/>
      </c>
      <c r="AP171">
        <f>AO171&amp;IF($Q171="","",", "&amp;$Q171)</f>
        <v/>
      </c>
      <c r="AQ171">
        <f>AP171&amp;IF($R171="","",", "&amp;$R171)</f>
        <v/>
      </c>
      <c r="AR171">
        <f>AQ171&amp;IF($S171="","",", "&amp;$S171)</f>
        <v/>
      </c>
      <c r="AS171">
        <f>AR171&amp;IF($T171="","",", "&amp;$T171)</f>
        <v/>
      </c>
      <c r="AT171">
        <f>AS171&amp;IF($U171="","",", "&amp;$U171)</f>
        <v/>
      </c>
      <c r="AU171">
        <f>AT171&amp;IF($V171="","",", "&amp;$V171)</f>
        <v/>
      </c>
      <c r="AV171">
        <f>AU171&amp;IF($W171="","",", "&amp;$W171)</f>
        <v/>
      </c>
      <c r="AW171">
        <f>AV171&amp;IF($X171="","",", "&amp;$X171)</f>
        <v/>
      </c>
      <c r="AX171">
        <f>AW171&amp;IF($Y171="","",", "&amp;$Y171)</f>
        <v/>
      </c>
    </row>
    <row r="172">
      <c r="A172" s="118">
        <f>IF($B172="","",COUNT($B$5:$B172))</f>
        <v/>
      </c>
      <c r="B172" s="80" t="n"/>
      <c r="C172" s="80" t="n"/>
      <c r="D172" s="74" t="n"/>
      <c r="E172" s="74" t="n"/>
      <c r="F172" s="74" t="n"/>
      <c r="G172" s="118">
        <f>IF($F172="","",COUNTIF($F$5:$F172,$F172))</f>
        <v/>
      </c>
      <c r="H172" s="33">
        <f>IF($F172="","",IFERROR(INDEX(사건마스터!$B$5:$B$64,MATCH($F172,사건마스터!$A$5:$A$64,0)),""))</f>
        <v/>
      </c>
      <c r="I172" s="130">
        <f>IF($F172="","",IFERROR(INDEX(사건마스터!$C$5:$C$64,MATCH($F172,사건마스터!$A$5:$A$64,0)),""))</f>
        <v/>
      </c>
      <c r="J172" s="136">
        <f>IF($F172="","",IFERROR(INDEX(사건마스터!$H$5:$H$64,MATCH($F172,사건마스터!$A$5:$A$64,0)),""))</f>
        <v/>
      </c>
      <c r="K172" s="136">
        <f>IF($F172="","",IFERROR(INDEX(사건마스터!$AH$5:$AH$64,MATCH($F172,사건마스터!$A$5:$A$64,0)),""))</f>
        <v/>
      </c>
      <c r="L172" s="136">
        <f>IF($F172="","",IFERROR(INDEX(사건마스터!$AI$5:$AI$64,MATCH($F172,사건마스터!$A$5:$A$64,0)),""))</f>
        <v/>
      </c>
      <c r="M172" s="136">
        <f>IF($F172="","",IFERROR(INDEX(사건마스터!$AJ$5:$AJ$64,MATCH($F172,사건마스터!$A$5:$A$64,0)),""))</f>
        <v/>
      </c>
      <c r="N172" s="136">
        <f>IF($F172="","",IFERROR(INDEX(사건마스터!$AK$5:$AK$64,MATCH($F172,사건마스터!$A$5:$A$64,0)),""))</f>
        <v/>
      </c>
      <c r="O172" s="136">
        <f>IF($F172="","",IFERROR(INDEX(사건마스터!$AL$5:$AL$64,MATCH($F172,사건마스터!$A$5:$A$64,0)),""))</f>
        <v/>
      </c>
      <c r="P172" s="136">
        <f>IF($F172="","",IFERROR(INDEX(사건마스터!$AM$5:$AM$64,MATCH($F172,사건마스터!$A$5:$A$64,0)),""))</f>
        <v/>
      </c>
      <c r="Q172" s="136">
        <f>IF($F172="","",IFERROR(INDEX(사건마스터!$AN$5:$AN$64,MATCH($F172,사건마스터!$A$5:$A$64,0)),""))</f>
        <v/>
      </c>
      <c r="R172" s="136">
        <f>IF($F172="","",IFERROR(INDEX(사건마스터!$AO$5:$AO$64,MATCH($F172,사건마스터!$A$5:$A$64,0)),""))</f>
        <v/>
      </c>
      <c r="S172" s="136">
        <f>IF($F172="","",IFERROR(INDEX(사건마스터!$AP$5:$AP$64,MATCH($F172,사건마스터!$A$5:$A$64,0)),""))</f>
        <v/>
      </c>
      <c r="T172" s="136">
        <f>IF($F172="","",IFERROR(INDEX(사건마스터!$AQ$5:$AQ$64,MATCH($F172,사건마스터!$A$5:$A$64,0)),""))</f>
        <v/>
      </c>
      <c r="U172" s="136">
        <f>IF($F172="","",IFERROR(INDEX(사건마스터!$AR$5:$AR$64,MATCH($F172,사건마스터!$A$5:$A$64,0)),""))</f>
        <v/>
      </c>
      <c r="V172" s="136">
        <f>IF($F172="","",IFERROR(INDEX(사건마스터!$AS$5:$AS$64,MATCH($F172,사건마스터!$A$5:$A$64,0)),""))</f>
        <v/>
      </c>
      <c r="W172" s="136">
        <f>IF($F172="","",IFERROR(INDEX(사건마스터!$AT$5:$AT$64,MATCH($F172,사건마스터!$A$5:$A$64,0)),""))</f>
        <v/>
      </c>
      <c r="X172" s="136">
        <f>IF($F172="","",IFERROR(INDEX(사건마스터!$AU$5:$AU$64,MATCH($F172,사건마스터!$A$5:$A$64,0)),""))</f>
        <v/>
      </c>
      <c r="Y172" s="136">
        <f>IF($F172="","",IFERROR(INDEX(사건마스터!$AV$5:$AV$64,MATCH($F172,사건마스터!$A$5:$A$64,0)),""))</f>
        <v/>
      </c>
      <c r="Z172" s="118">
        <f>IF(COUNTBLANK($J172:$Y172)=16,"",16-COUNTBLANK($J172:$Y172))</f>
        <v/>
      </c>
      <c r="AA172" s="33">
        <f>IF($J172="",MID($AX172,3,255),$J172&amp;$AX172)</f>
        <v/>
      </c>
      <c r="AB172" s="130">
        <f>IF($J172="","",IFERROR(INDEX(코드설정!$D$5:$D$24,MATCH($J172,코드설정!$C$5:$C$24,0)),""))</f>
        <v/>
      </c>
      <c r="AC172" s="36" t="n"/>
      <c r="AD172" s="37" t="n"/>
      <c r="AE172" s="38" t="n"/>
      <c r="AF172" s="118">
        <f>IF(OR($B172="",$C172=""),"",$C172-$B172+1)</f>
        <v/>
      </c>
      <c r="AG172" s="74" t="n"/>
      <c r="AH172" s="36" t="n"/>
      <c r="AJ172">
        <f>IF($K172="","",", "&amp;$K172)</f>
        <v/>
      </c>
      <c r="AK172">
        <f>AJ172&amp;IF($L172="","",", "&amp;$L172)</f>
        <v/>
      </c>
      <c r="AL172">
        <f>AK172&amp;IF($M172="","",", "&amp;$M172)</f>
        <v/>
      </c>
      <c r="AM172">
        <f>AL172&amp;IF($N172="","",", "&amp;$N172)</f>
        <v/>
      </c>
      <c r="AN172">
        <f>AM172&amp;IF($O172="","",", "&amp;$O172)</f>
        <v/>
      </c>
      <c r="AO172">
        <f>AN172&amp;IF($P172="","",", "&amp;$P172)</f>
        <v/>
      </c>
      <c r="AP172">
        <f>AO172&amp;IF($Q172="","",", "&amp;$Q172)</f>
        <v/>
      </c>
      <c r="AQ172">
        <f>AP172&amp;IF($R172="","",", "&amp;$R172)</f>
        <v/>
      </c>
      <c r="AR172">
        <f>AQ172&amp;IF($S172="","",", "&amp;$S172)</f>
        <v/>
      </c>
      <c r="AS172">
        <f>AR172&amp;IF($T172="","",", "&amp;$T172)</f>
        <v/>
      </c>
      <c r="AT172">
        <f>AS172&amp;IF($U172="","",", "&amp;$U172)</f>
        <v/>
      </c>
      <c r="AU172">
        <f>AT172&amp;IF($V172="","",", "&amp;$V172)</f>
        <v/>
      </c>
      <c r="AV172">
        <f>AU172&amp;IF($W172="","",", "&amp;$W172)</f>
        <v/>
      </c>
      <c r="AW172">
        <f>AV172&amp;IF($X172="","",", "&amp;$X172)</f>
        <v/>
      </c>
      <c r="AX172">
        <f>AW172&amp;IF($Y172="","",", "&amp;$Y172)</f>
        <v/>
      </c>
    </row>
    <row r="173">
      <c r="A173" s="118">
        <f>IF($B173="","",COUNT($B$5:$B173))</f>
        <v/>
      </c>
      <c r="B173" s="80" t="n"/>
      <c r="C173" s="80" t="n"/>
      <c r="D173" s="74" t="n"/>
      <c r="E173" s="74" t="n"/>
      <c r="F173" s="74" t="n"/>
      <c r="G173" s="118">
        <f>IF($F173="","",COUNTIF($F$5:$F173,$F173))</f>
        <v/>
      </c>
      <c r="H173" s="33">
        <f>IF($F173="","",IFERROR(INDEX(사건마스터!$B$5:$B$64,MATCH($F173,사건마스터!$A$5:$A$64,0)),""))</f>
        <v/>
      </c>
      <c r="I173" s="130">
        <f>IF($F173="","",IFERROR(INDEX(사건마스터!$C$5:$C$64,MATCH($F173,사건마스터!$A$5:$A$64,0)),""))</f>
        <v/>
      </c>
      <c r="J173" s="136">
        <f>IF($F173="","",IFERROR(INDEX(사건마스터!$H$5:$H$64,MATCH($F173,사건마스터!$A$5:$A$64,0)),""))</f>
        <v/>
      </c>
      <c r="K173" s="136">
        <f>IF($F173="","",IFERROR(INDEX(사건마스터!$AH$5:$AH$64,MATCH($F173,사건마스터!$A$5:$A$64,0)),""))</f>
        <v/>
      </c>
      <c r="L173" s="136">
        <f>IF($F173="","",IFERROR(INDEX(사건마스터!$AI$5:$AI$64,MATCH($F173,사건마스터!$A$5:$A$64,0)),""))</f>
        <v/>
      </c>
      <c r="M173" s="136">
        <f>IF($F173="","",IFERROR(INDEX(사건마스터!$AJ$5:$AJ$64,MATCH($F173,사건마스터!$A$5:$A$64,0)),""))</f>
        <v/>
      </c>
      <c r="N173" s="136">
        <f>IF($F173="","",IFERROR(INDEX(사건마스터!$AK$5:$AK$64,MATCH($F173,사건마스터!$A$5:$A$64,0)),""))</f>
        <v/>
      </c>
      <c r="O173" s="136">
        <f>IF($F173="","",IFERROR(INDEX(사건마스터!$AL$5:$AL$64,MATCH($F173,사건마스터!$A$5:$A$64,0)),""))</f>
        <v/>
      </c>
      <c r="P173" s="136">
        <f>IF($F173="","",IFERROR(INDEX(사건마스터!$AM$5:$AM$64,MATCH($F173,사건마스터!$A$5:$A$64,0)),""))</f>
        <v/>
      </c>
      <c r="Q173" s="136">
        <f>IF($F173="","",IFERROR(INDEX(사건마스터!$AN$5:$AN$64,MATCH($F173,사건마스터!$A$5:$A$64,0)),""))</f>
        <v/>
      </c>
      <c r="R173" s="136">
        <f>IF($F173="","",IFERROR(INDEX(사건마스터!$AO$5:$AO$64,MATCH($F173,사건마스터!$A$5:$A$64,0)),""))</f>
        <v/>
      </c>
      <c r="S173" s="136">
        <f>IF($F173="","",IFERROR(INDEX(사건마스터!$AP$5:$AP$64,MATCH($F173,사건마스터!$A$5:$A$64,0)),""))</f>
        <v/>
      </c>
      <c r="T173" s="136">
        <f>IF($F173="","",IFERROR(INDEX(사건마스터!$AQ$5:$AQ$64,MATCH($F173,사건마스터!$A$5:$A$64,0)),""))</f>
        <v/>
      </c>
      <c r="U173" s="136">
        <f>IF($F173="","",IFERROR(INDEX(사건마스터!$AR$5:$AR$64,MATCH($F173,사건마스터!$A$5:$A$64,0)),""))</f>
        <v/>
      </c>
      <c r="V173" s="136">
        <f>IF($F173="","",IFERROR(INDEX(사건마스터!$AS$5:$AS$64,MATCH($F173,사건마스터!$A$5:$A$64,0)),""))</f>
        <v/>
      </c>
      <c r="W173" s="136">
        <f>IF($F173="","",IFERROR(INDEX(사건마스터!$AT$5:$AT$64,MATCH($F173,사건마스터!$A$5:$A$64,0)),""))</f>
        <v/>
      </c>
      <c r="X173" s="136">
        <f>IF($F173="","",IFERROR(INDEX(사건마스터!$AU$5:$AU$64,MATCH($F173,사건마스터!$A$5:$A$64,0)),""))</f>
        <v/>
      </c>
      <c r="Y173" s="136">
        <f>IF($F173="","",IFERROR(INDEX(사건마스터!$AV$5:$AV$64,MATCH($F173,사건마스터!$A$5:$A$64,0)),""))</f>
        <v/>
      </c>
      <c r="Z173" s="118">
        <f>IF(COUNTBLANK($J173:$Y173)=16,"",16-COUNTBLANK($J173:$Y173))</f>
        <v/>
      </c>
      <c r="AA173" s="33">
        <f>IF($J173="",MID($AX173,3,255),$J173&amp;$AX173)</f>
        <v/>
      </c>
      <c r="AB173" s="130">
        <f>IF($J173="","",IFERROR(INDEX(코드설정!$D$5:$D$24,MATCH($J173,코드설정!$C$5:$C$24,0)),""))</f>
        <v/>
      </c>
      <c r="AC173" s="36" t="n"/>
      <c r="AD173" s="37" t="n"/>
      <c r="AE173" s="38" t="n"/>
      <c r="AF173" s="118">
        <f>IF(OR($B173="",$C173=""),"",$C173-$B173+1)</f>
        <v/>
      </c>
      <c r="AG173" s="74" t="n"/>
      <c r="AH173" s="36" t="n"/>
      <c r="AJ173">
        <f>IF($K173="","",", "&amp;$K173)</f>
        <v/>
      </c>
      <c r="AK173">
        <f>AJ173&amp;IF($L173="","",", "&amp;$L173)</f>
        <v/>
      </c>
      <c r="AL173">
        <f>AK173&amp;IF($M173="","",", "&amp;$M173)</f>
        <v/>
      </c>
      <c r="AM173">
        <f>AL173&amp;IF($N173="","",", "&amp;$N173)</f>
        <v/>
      </c>
      <c r="AN173">
        <f>AM173&amp;IF($O173="","",", "&amp;$O173)</f>
        <v/>
      </c>
      <c r="AO173">
        <f>AN173&amp;IF($P173="","",", "&amp;$P173)</f>
        <v/>
      </c>
      <c r="AP173">
        <f>AO173&amp;IF($Q173="","",", "&amp;$Q173)</f>
        <v/>
      </c>
      <c r="AQ173">
        <f>AP173&amp;IF($R173="","",", "&amp;$R173)</f>
        <v/>
      </c>
      <c r="AR173">
        <f>AQ173&amp;IF($S173="","",", "&amp;$S173)</f>
        <v/>
      </c>
      <c r="AS173">
        <f>AR173&amp;IF($T173="","",", "&amp;$T173)</f>
        <v/>
      </c>
      <c r="AT173">
        <f>AS173&amp;IF($U173="","",", "&amp;$U173)</f>
        <v/>
      </c>
      <c r="AU173">
        <f>AT173&amp;IF($V173="","",", "&amp;$V173)</f>
        <v/>
      </c>
      <c r="AV173">
        <f>AU173&amp;IF($W173="","",", "&amp;$W173)</f>
        <v/>
      </c>
      <c r="AW173">
        <f>AV173&amp;IF($X173="","",", "&amp;$X173)</f>
        <v/>
      </c>
      <c r="AX173">
        <f>AW173&amp;IF($Y173="","",", "&amp;$Y173)</f>
        <v/>
      </c>
    </row>
    <row r="174">
      <c r="A174" s="118">
        <f>IF($B174="","",COUNT($B$5:$B174))</f>
        <v/>
      </c>
      <c r="B174" s="80" t="n"/>
      <c r="C174" s="80" t="n"/>
      <c r="D174" s="74" t="n"/>
      <c r="E174" s="74" t="n"/>
      <c r="F174" s="74" t="n"/>
      <c r="G174" s="118">
        <f>IF($F174="","",COUNTIF($F$5:$F174,$F174))</f>
        <v/>
      </c>
      <c r="H174" s="33">
        <f>IF($F174="","",IFERROR(INDEX(사건마스터!$B$5:$B$64,MATCH($F174,사건마스터!$A$5:$A$64,0)),""))</f>
        <v/>
      </c>
      <c r="I174" s="130">
        <f>IF($F174="","",IFERROR(INDEX(사건마스터!$C$5:$C$64,MATCH($F174,사건마스터!$A$5:$A$64,0)),""))</f>
        <v/>
      </c>
      <c r="J174" s="136">
        <f>IF($F174="","",IFERROR(INDEX(사건마스터!$H$5:$H$64,MATCH($F174,사건마스터!$A$5:$A$64,0)),""))</f>
        <v/>
      </c>
      <c r="K174" s="136">
        <f>IF($F174="","",IFERROR(INDEX(사건마스터!$AH$5:$AH$64,MATCH($F174,사건마스터!$A$5:$A$64,0)),""))</f>
        <v/>
      </c>
      <c r="L174" s="136">
        <f>IF($F174="","",IFERROR(INDEX(사건마스터!$AI$5:$AI$64,MATCH($F174,사건마스터!$A$5:$A$64,0)),""))</f>
        <v/>
      </c>
      <c r="M174" s="136">
        <f>IF($F174="","",IFERROR(INDEX(사건마스터!$AJ$5:$AJ$64,MATCH($F174,사건마스터!$A$5:$A$64,0)),""))</f>
        <v/>
      </c>
      <c r="N174" s="136">
        <f>IF($F174="","",IFERROR(INDEX(사건마스터!$AK$5:$AK$64,MATCH($F174,사건마스터!$A$5:$A$64,0)),""))</f>
        <v/>
      </c>
      <c r="O174" s="136">
        <f>IF($F174="","",IFERROR(INDEX(사건마스터!$AL$5:$AL$64,MATCH($F174,사건마스터!$A$5:$A$64,0)),""))</f>
        <v/>
      </c>
      <c r="P174" s="136">
        <f>IF($F174="","",IFERROR(INDEX(사건마스터!$AM$5:$AM$64,MATCH($F174,사건마스터!$A$5:$A$64,0)),""))</f>
        <v/>
      </c>
      <c r="Q174" s="136">
        <f>IF($F174="","",IFERROR(INDEX(사건마스터!$AN$5:$AN$64,MATCH($F174,사건마스터!$A$5:$A$64,0)),""))</f>
        <v/>
      </c>
      <c r="R174" s="136">
        <f>IF($F174="","",IFERROR(INDEX(사건마스터!$AO$5:$AO$64,MATCH($F174,사건마스터!$A$5:$A$64,0)),""))</f>
        <v/>
      </c>
      <c r="S174" s="136">
        <f>IF($F174="","",IFERROR(INDEX(사건마스터!$AP$5:$AP$64,MATCH($F174,사건마스터!$A$5:$A$64,0)),""))</f>
        <v/>
      </c>
      <c r="T174" s="136">
        <f>IF($F174="","",IFERROR(INDEX(사건마스터!$AQ$5:$AQ$64,MATCH($F174,사건마스터!$A$5:$A$64,0)),""))</f>
        <v/>
      </c>
      <c r="U174" s="136">
        <f>IF($F174="","",IFERROR(INDEX(사건마스터!$AR$5:$AR$64,MATCH($F174,사건마스터!$A$5:$A$64,0)),""))</f>
        <v/>
      </c>
      <c r="V174" s="136">
        <f>IF($F174="","",IFERROR(INDEX(사건마스터!$AS$5:$AS$64,MATCH($F174,사건마스터!$A$5:$A$64,0)),""))</f>
        <v/>
      </c>
      <c r="W174" s="136">
        <f>IF($F174="","",IFERROR(INDEX(사건마스터!$AT$5:$AT$64,MATCH($F174,사건마스터!$A$5:$A$64,0)),""))</f>
        <v/>
      </c>
      <c r="X174" s="136">
        <f>IF($F174="","",IFERROR(INDEX(사건마스터!$AU$5:$AU$64,MATCH($F174,사건마스터!$A$5:$A$64,0)),""))</f>
        <v/>
      </c>
      <c r="Y174" s="136">
        <f>IF($F174="","",IFERROR(INDEX(사건마스터!$AV$5:$AV$64,MATCH($F174,사건마스터!$A$5:$A$64,0)),""))</f>
        <v/>
      </c>
      <c r="Z174" s="118">
        <f>IF(COUNTBLANK($J174:$Y174)=16,"",16-COUNTBLANK($J174:$Y174))</f>
        <v/>
      </c>
      <c r="AA174" s="33">
        <f>IF($J174="",MID($AX174,3,255),$J174&amp;$AX174)</f>
        <v/>
      </c>
      <c r="AB174" s="130">
        <f>IF($J174="","",IFERROR(INDEX(코드설정!$D$5:$D$24,MATCH($J174,코드설정!$C$5:$C$24,0)),""))</f>
        <v/>
      </c>
      <c r="AC174" s="36" t="n"/>
      <c r="AD174" s="37" t="n"/>
      <c r="AE174" s="38" t="n"/>
      <c r="AF174" s="118">
        <f>IF(OR($B174="",$C174=""),"",$C174-$B174+1)</f>
        <v/>
      </c>
      <c r="AG174" s="74" t="n"/>
      <c r="AH174" s="36" t="n"/>
      <c r="AJ174">
        <f>IF($K174="","",", "&amp;$K174)</f>
        <v/>
      </c>
      <c r="AK174">
        <f>AJ174&amp;IF($L174="","",", "&amp;$L174)</f>
        <v/>
      </c>
      <c r="AL174">
        <f>AK174&amp;IF($M174="","",", "&amp;$M174)</f>
        <v/>
      </c>
      <c r="AM174">
        <f>AL174&amp;IF($N174="","",", "&amp;$N174)</f>
        <v/>
      </c>
      <c r="AN174">
        <f>AM174&amp;IF($O174="","",", "&amp;$O174)</f>
        <v/>
      </c>
      <c r="AO174">
        <f>AN174&amp;IF($P174="","",", "&amp;$P174)</f>
        <v/>
      </c>
      <c r="AP174">
        <f>AO174&amp;IF($Q174="","",", "&amp;$Q174)</f>
        <v/>
      </c>
      <c r="AQ174">
        <f>AP174&amp;IF($R174="","",", "&amp;$R174)</f>
        <v/>
      </c>
      <c r="AR174">
        <f>AQ174&amp;IF($S174="","",", "&amp;$S174)</f>
        <v/>
      </c>
      <c r="AS174">
        <f>AR174&amp;IF($T174="","",", "&amp;$T174)</f>
        <v/>
      </c>
      <c r="AT174">
        <f>AS174&amp;IF($U174="","",", "&amp;$U174)</f>
        <v/>
      </c>
      <c r="AU174">
        <f>AT174&amp;IF($V174="","",", "&amp;$V174)</f>
        <v/>
      </c>
      <c r="AV174">
        <f>AU174&amp;IF($W174="","",", "&amp;$W174)</f>
        <v/>
      </c>
      <c r="AW174">
        <f>AV174&amp;IF($X174="","",", "&amp;$X174)</f>
        <v/>
      </c>
      <c r="AX174">
        <f>AW174&amp;IF($Y174="","",", "&amp;$Y174)</f>
        <v/>
      </c>
    </row>
    <row r="175">
      <c r="A175" s="118">
        <f>IF($B175="","",COUNT($B$5:$B175))</f>
        <v/>
      </c>
      <c r="B175" s="80" t="n"/>
      <c r="C175" s="80" t="n"/>
      <c r="D175" s="74" t="n"/>
      <c r="E175" s="74" t="n"/>
      <c r="F175" s="74" t="n"/>
      <c r="G175" s="118">
        <f>IF($F175="","",COUNTIF($F$5:$F175,$F175))</f>
        <v/>
      </c>
      <c r="H175" s="33">
        <f>IF($F175="","",IFERROR(INDEX(사건마스터!$B$5:$B$64,MATCH($F175,사건마스터!$A$5:$A$64,0)),""))</f>
        <v/>
      </c>
      <c r="I175" s="130">
        <f>IF($F175="","",IFERROR(INDEX(사건마스터!$C$5:$C$64,MATCH($F175,사건마스터!$A$5:$A$64,0)),""))</f>
        <v/>
      </c>
      <c r="J175" s="136">
        <f>IF($F175="","",IFERROR(INDEX(사건마스터!$H$5:$H$64,MATCH($F175,사건마스터!$A$5:$A$64,0)),""))</f>
        <v/>
      </c>
      <c r="K175" s="136">
        <f>IF($F175="","",IFERROR(INDEX(사건마스터!$AH$5:$AH$64,MATCH($F175,사건마스터!$A$5:$A$64,0)),""))</f>
        <v/>
      </c>
      <c r="L175" s="136">
        <f>IF($F175="","",IFERROR(INDEX(사건마스터!$AI$5:$AI$64,MATCH($F175,사건마스터!$A$5:$A$64,0)),""))</f>
        <v/>
      </c>
      <c r="M175" s="136">
        <f>IF($F175="","",IFERROR(INDEX(사건마스터!$AJ$5:$AJ$64,MATCH($F175,사건마스터!$A$5:$A$64,0)),""))</f>
        <v/>
      </c>
      <c r="N175" s="136">
        <f>IF($F175="","",IFERROR(INDEX(사건마스터!$AK$5:$AK$64,MATCH($F175,사건마스터!$A$5:$A$64,0)),""))</f>
        <v/>
      </c>
      <c r="O175" s="136">
        <f>IF($F175="","",IFERROR(INDEX(사건마스터!$AL$5:$AL$64,MATCH($F175,사건마스터!$A$5:$A$64,0)),""))</f>
        <v/>
      </c>
      <c r="P175" s="136">
        <f>IF($F175="","",IFERROR(INDEX(사건마스터!$AM$5:$AM$64,MATCH($F175,사건마스터!$A$5:$A$64,0)),""))</f>
        <v/>
      </c>
      <c r="Q175" s="136">
        <f>IF($F175="","",IFERROR(INDEX(사건마스터!$AN$5:$AN$64,MATCH($F175,사건마스터!$A$5:$A$64,0)),""))</f>
        <v/>
      </c>
      <c r="R175" s="136">
        <f>IF($F175="","",IFERROR(INDEX(사건마스터!$AO$5:$AO$64,MATCH($F175,사건마스터!$A$5:$A$64,0)),""))</f>
        <v/>
      </c>
      <c r="S175" s="136">
        <f>IF($F175="","",IFERROR(INDEX(사건마스터!$AP$5:$AP$64,MATCH($F175,사건마스터!$A$5:$A$64,0)),""))</f>
        <v/>
      </c>
      <c r="T175" s="136">
        <f>IF($F175="","",IFERROR(INDEX(사건마스터!$AQ$5:$AQ$64,MATCH($F175,사건마스터!$A$5:$A$64,0)),""))</f>
        <v/>
      </c>
      <c r="U175" s="136">
        <f>IF($F175="","",IFERROR(INDEX(사건마스터!$AR$5:$AR$64,MATCH($F175,사건마스터!$A$5:$A$64,0)),""))</f>
        <v/>
      </c>
      <c r="V175" s="136">
        <f>IF($F175="","",IFERROR(INDEX(사건마스터!$AS$5:$AS$64,MATCH($F175,사건마스터!$A$5:$A$64,0)),""))</f>
        <v/>
      </c>
      <c r="W175" s="136">
        <f>IF($F175="","",IFERROR(INDEX(사건마스터!$AT$5:$AT$64,MATCH($F175,사건마스터!$A$5:$A$64,0)),""))</f>
        <v/>
      </c>
      <c r="X175" s="136">
        <f>IF($F175="","",IFERROR(INDEX(사건마스터!$AU$5:$AU$64,MATCH($F175,사건마스터!$A$5:$A$64,0)),""))</f>
        <v/>
      </c>
      <c r="Y175" s="136">
        <f>IF($F175="","",IFERROR(INDEX(사건마스터!$AV$5:$AV$64,MATCH($F175,사건마스터!$A$5:$A$64,0)),""))</f>
        <v/>
      </c>
      <c r="Z175" s="118">
        <f>IF(COUNTBLANK($J175:$Y175)=16,"",16-COUNTBLANK($J175:$Y175))</f>
        <v/>
      </c>
      <c r="AA175" s="33">
        <f>IF($J175="",MID($AX175,3,255),$J175&amp;$AX175)</f>
        <v/>
      </c>
      <c r="AB175" s="130">
        <f>IF($J175="","",IFERROR(INDEX(코드설정!$D$5:$D$24,MATCH($J175,코드설정!$C$5:$C$24,0)),""))</f>
        <v/>
      </c>
      <c r="AC175" s="36" t="n"/>
      <c r="AD175" s="37" t="n"/>
      <c r="AE175" s="38" t="n"/>
      <c r="AF175" s="118">
        <f>IF(OR($B175="",$C175=""),"",$C175-$B175+1)</f>
        <v/>
      </c>
      <c r="AG175" s="74" t="n"/>
      <c r="AH175" s="36" t="n"/>
      <c r="AJ175">
        <f>IF($K175="","",", "&amp;$K175)</f>
        <v/>
      </c>
      <c r="AK175">
        <f>AJ175&amp;IF($L175="","",", "&amp;$L175)</f>
        <v/>
      </c>
      <c r="AL175">
        <f>AK175&amp;IF($M175="","",", "&amp;$M175)</f>
        <v/>
      </c>
      <c r="AM175">
        <f>AL175&amp;IF($N175="","",", "&amp;$N175)</f>
        <v/>
      </c>
      <c r="AN175">
        <f>AM175&amp;IF($O175="","",", "&amp;$O175)</f>
        <v/>
      </c>
      <c r="AO175">
        <f>AN175&amp;IF($P175="","",", "&amp;$P175)</f>
        <v/>
      </c>
      <c r="AP175">
        <f>AO175&amp;IF($Q175="","",", "&amp;$Q175)</f>
        <v/>
      </c>
      <c r="AQ175">
        <f>AP175&amp;IF($R175="","",", "&amp;$R175)</f>
        <v/>
      </c>
      <c r="AR175">
        <f>AQ175&amp;IF($S175="","",", "&amp;$S175)</f>
        <v/>
      </c>
      <c r="AS175">
        <f>AR175&amp;IF($T175="","",", "&amp;$T175)</f>
        <v/>
      </c>
      <c r="AT175">
        <f>AS175&amp;IF($U175="","",", "&amp;$U175)</f>
        <v/>
      </c>
      <c r="AU175">
        <f>AT175&amp;IF($V175="","",", "&amp;$V175)</f>
        <v/>
      </c>
      <c r="AV175">
        <f>AU175&amp;IF($W175="","",", "&amp;$W175)</f>
        <v/>
      </c>
      <c r="AW175">
        <f>AV175&amp;IF($X175="","",", "&amp;$X175)</f>
        <v/>
      </c>
      <c r="AX175">
        <f>AW175&amp;IF($Y175="","",", "&amp;$Y175)</f>
        <v/>
      </c>
    </row>
    <row r="176">
      <c r="A176" s="118">
        <f>IF($B176="","",COUNT($B$5:$B176))</f>
        <v/>
      </c>
      <c r="B176" s="80" t="n"/>
      <c r="C176" s="80" t="n"/>
      <c r="D176" s="74" t="n"/>
      <c r="E176" s="74" t="n"/>
      <c r="F176" s="74" t="n"/>
      <c r="G176" s="118">
        <f>IF($F176="","",COUNTIF($F$5:$F176,$F176))</f>
        <v/>
      </c>
      <c r="H176" s="33">
        <f>IF($F176="","",IFERROR(INDEX(사건마스터!$B$5:$B$64,MATCH($F176,사건마스터!$A$5:$A$64,0)),""))</f>
        <v/>
      </c>
      <c r="I176" s="130">
        <f>IF($F176="","",IFERROR(INDEX(사건마스터!$C$5:$C$64,MATCH($F176,사건마스터!$A$5:$A$64,0)),""))</f>
        <v/>
      </c>
      <c r="J176" s="136">
        <f>IF($F176="","",IFERROR(INDEX(사건마스터!$H$5:$H$64,MATCH($F176,사건마스터!$A$5:$A$64,0)),""))</f>
        <v/>
      </c>
      <c r="K176" s="136">
        <f>IF($F176="","",IFERROR(INDEX(사건마스터!$AH$5:$AH$64,MATCH($F176,사건마스터!$A$5:$A$64,0)),""))</f>
        <v/>
      </c>
      <c r="L176" s="136">
        <f>IF($F176="","",IFERROR(INDEX(사건마스터!$AI$5:$AI$64,MATCH($F176,사건마스터!$A$5:$A$64,0)),""))</f>
        <v/>
      </c>
      <c r="M176" s="136">
        <f>IF($F176="","",IFERROR(INDEX(사건마스터!$AJ$5:$AJ$64,MATCH($F176,사건마스터!$A$5:$A$64,0)),""))</f>
        <v/>
      </c>
      <c r="N176" s="136">
        <f>IF($F176="","",IFERROR(INDEX(사건마스터!$AK$5:$AK$64,MATCH($F176,사건마스터!$A$5:$A$64,0)),""))</f>
        <v/>
      </c>
      <c r="O176" s="136">
        <f>IF($F176="","",IFERROR(INDEX(사건마스터!$AL$5:$AL$64,MATCH($F176,사건마스터!$A$5:$A$64,0)),""))</f>
        <v/>
      </c>
      <c r="P176" s="136">
        <f>IF($F176="","",IFERROR(INDEX(사건마스터!$AM$5:$AM$64,MATCH($F176,사건마스터!$A$5:$A$64,0)),""))</f>
        <v/>
      </c>
      <c r="Q176" s="136">
        <f>IF($F176="","",IFERROR(INDEX(사건마스터!$AN$5:$AN$64,MATCH($F176,사건마스터!$A$5:$A$64,0)),""))</f>
        <v/>
      </c>
      <c r="R176" s="136">
        <f>IF($F176="","",IFERROR(INDEX(사건마스터!$AO$5:$AO$64,MATCH($F176,사건마스터!$A$5:$A$64,0)),""))</f>
        <v/>
      </c>
      <c r="S176" s="136">
        <f>IF($F176="","",IFERROR(INDEX(사건마스터!$AP$5:$AP$64,MATCH($F176,사건마스터!$A$5:$A$64,0)),""))</f>
        <v/>
      </c>
      <c r="T176" s="136">
        <f>IF($F176="","",IFERROR(INDEX(사건마스터!$AQ$5:$AQ$64,MATCH($F176,사건마스터!$A$5:$A$64,0)),""))</f>
        <v/>
      </c>
      <c r="U176" s="136">
        <f>IF($F176="","",IFERROR(INDEX(사건마스터!$AR$5:$AR$64,MATCH($F176,사건마스터!$A$5:$A$64,0)),""))</f>
        <v/>
      </c>
      <c r="V176" s="136">
        <f>IF($F176="","",IFERROR(INDEX(사건마스터!$AS$5:$AS$64,MATCH($F176,사건마스터!$A$5:$A$64,0)),""))</f>
        <v/>
      </c>
      <c r="W176" s="136">
        <f>IF($F176="","",IFERROR(INDEX(사건마스터!$AT$5:$AT$64,MATCH($F176,사건마스터!$A$5:$A$64,0)),""))</f>
        <v/>
      </c>
      <c r="X176" s="136">
        <f>IF($F176="","",IFERROR(INDEX(사건마스터!$AU$5:$AU$64,MATCH($F176,사건마스터!$A$5:$A$64,0)),""))</f>
        <v/>
      </c>
      <c r="Y176" s="136">
        <f>IF($F176="","",IFERROR(INDEX(사건마스터!$AV$5:$AV$64,MATCH($F176,사건마스터!$A$5:$A$64,0)),""))</f>
        <v/>
      </c>
      <c r="Z176" s="118">
        <f>IF(COUNTBLANK($J176:$Y176)=16,"",16-COUNTBLANK($J176:$Y176))</f>
        <v/>
      </c>
      <c r="AA176" s="33">
        <f>IF($J176="",MID($AX176,3,255),$J176&amp;$AX176)</f>
        <v/>
      </c>
      <c r="AB176" s="130">
        <f>IF($J176="","",IFERROR(INDEX(코드설정!$D$5:$D$24,MATCH($J176,코드설정!$C$5:$C$24,0)),""))</f>
        <v/>
      </c>
      <c r="AC176" s="36" t="n"/>
      <c r="AD176" s="37" t="n"/>
      <c r="AE176" s="38" t="n"/>
      <c r="AF176" s="118">
        <f>IF(OR($B176="",$C176=""),"",$C176-$B176+1)</f>
        <v/>
      </c>
      <c r="AG176" s="74" t="n"/>
      <c r="AH176" s="36" t="n"/>
      <c r="AJ176">
        <f>IF($K176="","",", "&amp;$K176)</f>
        <v/>
      </c>
      <c r="AK176">
        <f>AJ176&amp;IF($L176="","",", "&amp;$L176)</f>
        <v/>
      </c>
      <c r="AL176">
        <f>AK176&amp;IF($M176="","",", "&amp;$M176)</f>
        <v/>
      </c>
      <c r="AM176">
        <f>AL176&amp;IF($N176="","",", "&amp;$N176)</f>
        <v/>
      </c>
      <c r="AN176">
        <f>AM176&amp;IF($O176="","",", "&amp;$O176)</f>
        <v/>
      </c>
      <c r="AO176">
        <f>AN176&amp;IF($P176="","",", "&amp;$P176)</f>
        <v/>
      </c>
      <c r="AP176">
        <f>AO176&amp;IF($Q176="","",", "&amp;$Q176)</f>
        <v/>
      </c>
      <c r="AQ176">
        <f>AP176&amp;IF($R176="","",", "&amp;$R176)</f>
        <v/>
      </c>
      <c r="AR176">
        <f>AQ176&amp;IF($S176="","",", "&amp;$S176)</f>
        <v/>
      </c>
      <c r="AS176">
        <f>AR176&amp;IF($T176="","",", "&amp;$T176)</f>
        <v/>
      </c>
      <c r="AT176">
        <f>AS176&amp;IF($U176="","",", "&amp;$U176)</f>
        <v/>
      </c>
      <c r="AU176">
        <f>AT176&amp;IF($V176="","",", "&amp;$V176)</f>
        <v/>
      </c>
      <c r="AV176">
        <f>AU176&amp;IF($W176="","",", "&amp;$W176)</f>
        <v/>
      </c>
      <c r="AW176">
        <f>AV176&amp;IF($X176="","",", "&amp;$X176)</f>
        <v/>
      </c>
      <c r="AX176">
        <f>AW176&amp;IF($Y176="","",", "&amp;$Y176)</f>
        <v/>
      </c>
    </row>
    <row r="177">
      <c r="A177" s="118">
        <f>IF($B177="","",COUNT($B$5:$B177))</f>
        <v/>
      </c>
      <c r="B177" s="80" t="n"/>
      <c r="C177" s="80" t="n"/>
      <c r="D177" s="74" t="n"/>
      <c r="E177" s="74" t="n"/>
      <c r="F177" s="74" t="n"/>
      <c r="G177" s="118">
        <f>IF($F177="","",COUNTIF($F$5:$F177,$F177))</f>
        <v/>
      </c>
      <c r="H177" s="33">
        <f>IF($F177="","",IFERROR(INDEX(사건마스터!$B$5:$B$64,MATCH($F177,사건마스터!$A$5:$A$64,0)),""))</f>
        <v/>
      </c>
      <c r="I177" s="130">
        <f>IF($F177="","",IFERROR(INDEX(사건마스터!$C$5:$C$64,MATCH($F177,사건마스터!$A$5:$A$64,0)),""))</f>
        <v/>
      </c>
      <c r="J177" s="136">
        <f>IF($F177="","",IFERROR(INDEX(사건마스터!$H$5:$H$64,MATCH($F177,사건마스터!$A$5:$A$64,0)),""))</f>
        <v/>
      </c>
      <c r="K177" s="136">
        <f>IF($F177="","",IFERROR(INDEX(사건마스터!$AH$5:$AH$64,MATCH($F177,사건마스터!$A$5:$A$64,0)),""))</f>
        <v/>
      </c>
      <c r="L177" s="136">
        <f>IF($F177="","",IFERROR(INDEX(사건마스터!$AI$5:$AI$64,MATCH($F177,사건마스터!$A$5:$A$64,0)),""))</f>
        <v/>
      </c>
      <c r="M177" s="136">
        <f>IF($F177="","",IFERROR(INDEX(사건마스터!$AJ$5:$AJ$64,MATCH($F177,사건마스터!$A$5:$A$64,0)),""))</f>
        <v/>
      </c>
      <c r="N177" s="136">
        <f>IF($F177="","",IFERROR(INDEX(사건마스터!$AK$5:$AK$64,MATCH($F177,사건마스터!$A$5:$A$64,0)),""))</f>
        <v/>
      </c>
      <c r="O177" s="136">
        <f>IF($F177="","",IFERROR(INDEX(사건마스터!$AL$5:$AL$64,MATCH($F177,사건마스터!$A$5:$A$64,0)),""))</f>
        <v/>
      </c>
      <c r="P177" s="136">
        <f>IF($F177="","",IFERROR(INDEX(사건마스터!$AM$5:$AM$64,MATCH($F177,사건마스터!$A$5:$A$64,0)),""))</f>
        <v/>
      </c>
      <c r="Q177" s="136">
        <f>IF($F177="","",IFERROR(INDEX(사건마스터!$AN$5:$AN$64,MATCH($F177,사건마스터!$A$5:$A$64,0)),""))</f>
        <v/>
      </c>
      <c r="R177" s="136">
        <f>IF($F177="","",IFERROR(INDEX(사건마스터!$AO$5:$AO$64,MATCH($F177,사건마스터!$A$5:$A$64,0)),""))</f>
        <v/>
      </c>
      <c r="S177" s="136">
        <f>IF($F177="","",IFERROR(INDEX(사건마스터!$AP$5:$AP$64,MATCH($F177,사건마스터!$A$5:$A$64,0)),""))</f>
        <v/>
      </c>
      <c r="T177" s="136">
        <f>IF($F177="","",IFERROR(INDEX(사건마스터!$AQ$5:$AQ$64,MATCH($F177,사건마스터!$A$5:$A$64,0)),""))</f>
        <v/>
      </c>
      <c r="U177" s="136">
        <f>IF($F177="","",IFERROR(INDEX(사건마스터!$AR$5:$AR$64,MATCH($F177,사건마스터!$A$5:$A$64,0)),""))</f>
        <v/>
      </c>
      <c r="V177" s="136">
        <f>IF($F177="","",IFERROR(INDEX(사건마스터!$AS$5:$AS$64,MATCH($F177,사건마스터!$A$5:$A$64,0)),""))</f>
        <v/>
      </c>
      <c r="W177" s="136">
        <f>IF($F177="","",IFERROR(INDEX(사건마스터!$AT$5:$AT$64,MATCH($F177,사건마스터!$A$5:$A$64,0)),""))</f>
        <v/>
      </c>
      <c r="X177" s="136">
        <f>IF($F177="","",IFERROR(INDEX(사건마스터!$AU$5:$AU$64,MATCH($F177,사건마스터!$A$5:$A$64,0)),""))</f>
        <v/>
      </c>
      <c r="Y177" s="136">
        <f>IF($F177="","",IFERROR(INDEX(사건마스터!$AV$5:$AV$64,MATCH($F177,사건마스터!$A$5:$A$64,0)),""))</f>
        <v/>
      </c>
      <c r="Z177" s="118">
        <f>IF(COUNTBLANK($J177:$Y177)=16,"",16-COUNTBLANK($J177:$Y177))</f>
        <v/>
      </c>
      <c r="AA177" s="33">
        <f>IF($J177="",MID($AX177,3,255),$J177&amp;$AX177)</f>
        <v/>
      </c>
      <c r="AB177" s="130">
        <f>IF($J177="","",IFERROR(INDEX(코드설정!$D$5:$D$24,MATCH($J177,코드설정!$C$5:$C$24,0)),""))</f>
        <v/>
      </c>
      <c r="AC177" s="36" t="n"/>
      <c r="AD177" s="37" t="n"/>
      <c r="AE177" s="38" t="n"/>
      <c r="AF177" s="118">
        <f>IF(OR($B177="",$C177=""),"",$C177-$B177+1)</f>
        <v/>
      </c>
      <c r="AG177" s="74" t="n"/>
      <c r="AH177" s="36" t="n"/>
      <c r="AJ177">
        <f>IF($K177="","",", "&amp;$K177)</f>
        <v/>
      </c>
      <c r="AK177">
        <f>AJ177&amp;IF($L177="","",", "&amp;$L177)</f>
        <v/>
      </c>
      <c r="AL177">
        <f>AK177&amp;IF($M177="","",", "&amp;$M177)</f>
        <v/>
      </c>
      <c r="AM177">
        <f>AL177&amp;IF($N177="","",", "&amp;$N177)</f>
        <v/>
      </c>
      <c r="AN177">
        <f>AM177&amp;IF($O177="","",", "&amp;$O177)</f>
        <v/>
      </c>
      <c r="AO177">
        <f>AN177&amp;IF($P177="","",", "&amp;$P177)</f>
        <v/>
      </c>
      <c r="AP177">
        <f>AO177&amp;IF($Q177="","",", "&amp;$Q177)</f>
        <v/>
      </c>
      <c r="AQ177">
        <f>AP177&amp;IF($R177="","",", "&amp;$R177)</f>
        <v/>
      </c>
      <c r="AR177">
        <f>AQ177&amp;IF($S177="","",", "&amp;$S177)</f>
        <v/>
      </c>
      <c r="AS177">
        <f>AR177&amp;IF($T177="","",", "&amp;$T177)</f>
        <v/>
      </c>
      <c r="AT177">
        <f>AS177&amp;IF($U177="","",", "&amp;$U177)</f>
        <v/>
      </c>
      <c r="AU177">
        <f>AT177&amp;IF($V177="","",", "&amp;$V177)</f>
        <v/>
      </c>
      <c r="AV177">
        <f>AU177&amp;IF($W177="","",", "&amp;$W177)</f>
        <v/>
      </c>
      <c r="AW177">
        <f>AV177&amp;IF($X177="","",", "&amp;$X177)</f>
        <v/>
      </c>
      <c r="AX177">
        <f>AW177&amp;IF($Y177="","",", "&amp;$Y177)</f>
        <v/>
      </c>
    </row>
    <row r="178">
      <c r="A178" s="118">
        <f>IF($B178="","",COUNT($B$5:$B178))</f>
        <v/>
      </c>
      <c r="B178" s="80" t="n"/>
      <c r="C178" s="80" t="n"/>
      <c r="D178" s="74" t="n"/>
      <c r="E178" s="74" t="n"/>
      <c r="F178" s="74" t="n"/>
      <c r="G178" s="118">
        <f>IF($F178="","",COUNTIF($F$5:$F178,$F178))</f>
        <v/>
      </c>
      <c r="H178" s="33">
        <f>IF($F178="","",IFERROR(INDEX(사건마스터!$B$5:$B$64,MATCH($F178,사건마스터!$A$5:$A$64,0)),""))</f>
        <v/>
      </c>
      <c r="I178" s="130">
        <f>IF($F178="","",IFERROR(INDEX(사건마스터!$C$5:$C$64,MATCH($F178,사건마스터!$A$5:$A$64,0)),""))</f>
        <v/>
      </c>
      <c r="J178" s="136">
        <f>IF($F178="","",IFERROR(INDEX(사건마스터!$H$5:$H$64,MATCH($F178,사건마스터!$A$5:$A$64,0)),""))</f>
        <v/>
      </c>
      <c r="K178" s="136">
        <f>IF($F178="","",IFERROR(INDEX(사건마스터!$AH$5:$AH$64,MATCH($F178,사건마스터!$A$5:$A$64,0)),""))</f>
        <v/>
      </c>
      <c r="L178" s="136">
        <f>IF($F178="","",IFERROR(INDEX(사건마스터!$AI$5:$AI$64,MATCH($F178,사건마스터!$A$5:$A$64,0)),""))</f>
        <v/>
      </c>
      <c r="M178" s="136">
        <f>IF($F178="","",IFERROR(INDEX(사건마스터!$AJ$5:$AJ$64,MATCH($F178,사건마스터!$A$5:$A$64,0)),""))</f>
        <v/>
      </c>
      <c r="N178" s="136">
        <f>IF($F178="","",IFERROR(INDEX(사건마스터!$AK$5:$AK$64,MATCH($F178,사건마스터!$A$5:$A$64,0)),""))</f>
        <v/>
      </c>
      <c r="O178" s="136">
        <f>IF($F178="","",IFERROR(INDEX(사건마스터!$AL$5:$AL$64,MATCH($F178,사건마스터!$A$5:$A$64,0)),""))</f>
        <v/>
      </c>
      <c r="P178" s="136">
        <f>IF($F178="","",IFERROR(INDEX(사건마스터!$AM$5:$AM$64,MATCH($F178,사건마스터!$A$5:$A$64,0)),""))</f>
        <v/>
      </c>
      <c r="Q178" s="136">
        <f>IF($F178="","",IFERROR(INDEX(사건마스터!$AN$5:$AN$64,MATCH($F178,사건마스터!$A$5:$A$64,0)),""))</f>
        <v/>
      </c>
      <c r="R178" s="136">
        <f>IF($F178="","",IFERROR(INDEX(사건마스터!$AO$5:$AO$64,MATCH($F178,사건마스터!$A$5:$A$64,0)),""))</f>
        <v/>
      </c>
      <c r="S178" s="136">
        <f>IF($F178="","",IFERROR(INDEX(사건마스터!$AP$5:$AP$64,MATCH($F178,사건마스터!$A$5:$A$64,0)),""))</f>
        <v/>
      </c>
      <c r="T178" s="136">
        <f>IF($F178="","",IFERROR(INDEX(사건마스터!$AQ$5:$AQ$64,MATCH($F178,사건마스터!$A$5:$A$64,0)),""))</f>
        <v/>
      </c>
      <c r="U178" s="136">
        <f>IF($F178="","",IFERROR(INDEX(사건마스터!$AR$5:$AR$64,MATCH($F178,사건마스터!$A$5:$A$64,0)),""))</f>
        <v/>
      </c>
      <c r="V178" s="136">
        <f>IF($F178="","",IFERROR(INDEX(사건마스터!$AS$5:$AS$64,MATCH($F178,사건마스터!$A$5:$A$64,0)),""))</f>
        <v/>
      </c>
      <c r="W178" s="136">
        <f>IF($F178="","",IFERROR(INDEX(사건마스터!$AT$5:$AT$64,MATCH($F178,사건마스터!$A$5:$A$64,0)),""))</f>
        <v/>
      </c>
      <c r="X178" s="136">
        <f>IF($F178="","",IFERROR(INDEX(사건마스터!$AU$5:$AU$64,MATCH($F178,사건마스터!$A$5:$A$64,0)),""))</f>
        <v/>
      </c>
      <c r="Y178" s="136">
        <f>IF($F178="","",IFERROR(INDEX(사건마스터!$AV$5:$AV$64,MATCH($F178,사건마스터!$A$5:$A$64,0)),""))</f>
        <v/>
      </c>
      <c r="Z178" s="118">
        <f>IF(COUNTBLANK($J178:$Y178)=16,"",16-COUNTBLANK($J178:$Y178))</f>
        <v/>
      </c>
      <c r="AA178" s="33">
        <f>IF($J178="",MID($AX178,3,255),$J178&amp;$AX178)</f>
        <v/>
      </c>
      <c r="AB178" s="130">
        <f>IF($J178="","",IFERROR(INDEX(코드설정!$D$5:$D$24,MATCH($J178,코드설정!$C$5:$C$24,0)),""))</f>
        <v/>
      </c>
      <c r="AC178" s="36" t="n"/>
      <c r="AD178" s="37" t="n"/>
      <c r="AE178" s="38" t="n"/>
      <c r="AF178" s="118">
        <f>IF(OR($B178="",$C178=""),"",$C178-$B178+1)</f>
        <v/>
      </c>
      <c r="AG178" s="74" t="n"/>
      <c r="AH178" s="36" t="n"/>
      <c r="AJ178">
        <f>IF($K178="","",", "&amp;$K178)</f>
        <v/>
      </c>
      <c r="AK178">
        <f>AJ178&amp;IF($L178="","",", "&amp;$L178)</f>
        <v/>
      </c>
      <c r="AL178">
        <f>AK178&amp;IF($M178="","",", "&amp;$M178)</f>
        <v/>
      </c>
      <c r="AM178">
        <f>AL178&amp;IF($N178="","",", "&amp;$N178)</f>
        <v/>
      </c>
      <c r="AN178">
        <f>AM178&amp;IF($O178="","",", "&amp;$O178)</f>
        <v/>
      </c>
      <c r="AO178">
        <f>AN178&amp;IF($P178="","",", "&amp;$P178)</f>
        <v/>
      </c>
      <c r="AP178">
        <f>AO178&amp;IF($Q178="","",", "&amp;$Q178)</f>
        <v/>
      </c>
      <c r="AQ178">
        <f>AP178&amp;IF($R178="","",", "&amp;$R178)</f>
        <v/>
      </c>
      <c r="AR178">
        <f>AQ178&amp;IF($S178="","",", "&amp;$S178)</f>
        <v/>
      </c>
      <c r="AS178">
        <f>AR178&amp;IF($T178="","",", "&amp;$T178)</f>
        <v/>
      </c>
      <c r="AT178">
        <f>AS178&amp;IF($U178="","",", "&amp;$U178)</f>
        <v/>
      </c>
      <c r="AU178">
        <f>AT178&amp;IF($V178="","",", "&amp;$V178)</f>
        <v/>
      </c>
      <c r="AV178">
        <f>AU178&amp;IF($W178="","",", "&amp;$W178)</f>
        <v/>
      </c>
      <c r="AW178">
        <f>AV178&amp;IF($X178="","",", "&amp;$X178)</f>
        <v/>
      </c>
      <c r="AX178">
        <f>AW178&amp;IF($Y178="","",", "&amp;$Y178)</f>
        <v/>
      </c>
    </row>
    <row r="179">
      <c r="A179" s="118">
        <f>IF($B179="","",COUNT($B$5:$B179))</f>
        <v/>
      </c>
      <c r="B179" s="80" t="n"/>
      <c r="C179" s="80" t="n"/>
      <c r="D179" s="74" t="n"/>
      <c r="E179" s="74" t="n"/>
      <c r="F179" s="74" t="n"/>
      <c r="G179" s="118">
        <f>IF($F179="","",COUNTIF($F$5:$F179,$F179))</f>
        <v/>
      </c>
      <c r="H179" s="33">
        <f>IF($F179="","",IFERROR(INDEX(사건마스터!$B$5:$B$64,MATCH($F179,사건마스터!$A$5:$A$64,0)),""))</f>
        <v/>
      </c>
      <c r="I179" s="130">
        <f>IF($F179="","",IFERROR(INDEX(사건마스터!$C$5:$C$64,MATCH($F179,사건마스터!$A$5:$A$64,0)),""))</f>
        <v/>
      </c>
      <c r="J179" s="136">
        <f>IF($F179="","",IFERROR(INDEX(사건마스터!$H$5:$H$64,MATCH($F179,사건마스터!$A$5:$A$64,0)),""))</f>
        <v/>
      </c>
      <c r="K179" s="136">
        <f>IF($F179="","",IFERROR(INDEX(사건마스터!$AH$5:$AH$64,MATCH($F179,사건마스터!$A$5:$A$64,0)),""))</f>
        <v/>
      </c>
      <c r="L179" s="136">
        <f>IF($F179="","",IFERROR(INDEX(사건마스터!$AI$5:$AI$64,MATCH($F179,사건마스터!$A$5:$A$64,0)),""))</f>
        <v/>
      </c>
      <c r="M179" s="136">
        <f>IF($F179="","",IFERROR(INDEX(사건마스터!$AJ$5:$AJ$64,MATCH($F179,사건마스터!$A$5:$A$64,0)),""))</f>
        <v/>
      </c>
      <c r="N179" s="136">
        <f>IF($F179="","",IFERROR(INDEX(사건마스터!$AK$5:$AK$64,MATCH($F179,사건마스터!$A$5:$A$64,0)),""))</f>
        <v/>
      </c>
      <c r="O179" s="136">
        <f>IF($F179="","",IFERROR(INDEX(사건마스터!$AL$5:$AL$64,MATCH($F179,사건마스터!$A$5:$A$64,0)),""))</f>
        <v/>
      </c>
      <c r="P179" s="136">
        <f>IF($F179="","",IFERROR(INDEX(사건마스터!$AM$5:$AM$64,MATCH($F179,사건마스터!$A$5:$A$64,0)),""))</f>
        <v/>
      </c>
      <c r="Q179" s="136">
        <f>IF($F179="","",IFERROR(INDEX(사건마스터!$AN$5:$AN$64,MATCH($F179,사건마스터!$A$5:$A$64,0)),""))</f>
        <v/>
      </c>
      <c r="R179" s="136">
        <f>IF($F179="","",IFERROR(INDEX(사건마스터!$AO$5:$AO$64,MATCH($F179,사건마스터!$A$5:$A$64,0)),""))</f>
        <v/>
      </c>
      <c r="S179" s="136">
        <f>IF($F179="","",IFERROR(INDEX(사건마스터!$AP$5:$AP$64,MATCH($F179,사건마스터!$A$5:$A$64,0)),""))</f>
        <v/>
      </c>
      <c r="T179" s="136">
        <f>IF($F179="","",IFERROR(INDEX(사건마스터!$AQ$5:$AQ$64,MATCH($F179,사건마스터!$A$5:$A$64,0)),""))</f>
        <v/>
      </c>
      <c r="U179" s="136">
        <f>IF($F179="","",IFERROR(INDEX(사건마스터!$AR$5:$AR$64,MATCH($F179,사건마스터!$A$5:$A$64,0)),""))</f>
        <v/>
      </c>
      <c r="V179" s="136">
        <f>IF($F179="","",IFERROR(INDEX(사건마스터!$AS$5:$AS$64,MATCH($F179,사건마스터!$A$5:$A$64,0)),""))</f>
        <v/>
      </c>
      <c r="W179" s="136">
        <f>IF($F179="","",IFERROR(INDEX(사건마스터!$AT$5:$AT$64,MATCH($F179,사건마스터!$A$5:$A$64,0)),""))</f>
        <v/>
      </c>
      <c r="X179" s="136">
        <f>IF($F179="","",IFERROR(INDEX(사건마스터!$AU$5:$AU$64,MATCH($F179,사건마스터!$A$5:$A$64,0)),""))</f>
        <v/>
      </c>
      <c r="Y179" s="136">
        <f>IF($F179="","",IFERROR(INDEX(사건마스터!$AV$5:$AV$64,MATCH($F179,사건마스터!$A$5:$A$64,0)),""))</f>
        <v/>
      </c>
      <c r="Z179" s="118">
        <f>IF(COUNTBLANK($J179:$Y179)=16,"",16-COUNTBLANK($J179:$Y179))</f>
        <v/>
      </c>
      <c r="AA179" s="33">
        <f>IF($J179="",MID($AX179,3,255),$J179&amp;$AX179)</f>
        <v/>
      </c>
      <c r="AB179" s="130">
        <f>IF($J179="","",IFERROR(INDEX(코드설정!$D$5:$D$24,MATCH($J179,코드설정!$C$5:$C$24,0)),""))</f>
        <v/>
      </c>
      <c r="AC179" s="36" t="n"/>
      <c r="AD179" s="37" t="n"/>
      <c r="AE179" s="38" t="n"/>
      <c r="AF179" s="118">
        <f>IF(OR($B179="",$C179=""),"",$C179-$B179+1)</f>
        <v/>
      </c>
      <c r="AG179" s="74" t="n"/>
      <c r="AH179" s="36" t="n"/>
      <c r="AJ179">
        <f>IF($K179="","",", "&amp;$K179)</f>
        <v/>
      </c>
      <c r="AK179">
        <f>AJ179&amp;IF($L179="","",", "&amp;$L179)</f>
        <v/>
      </c>
      <c r="AL179">
        <f>AK179&amp;IF($M179="","",", "&amp;$M179)</f>
        <v/>
      </c>
      <c r="AM179">
        <f>AL179&amp;IF($N179="","",", "&amp;$N179)</f>
        <v/>
      </c>
      <c r="AN179">
        <f>AM179&amp;IF($O179="","",", "&amp;$O179)</f>
        <v/>
      </c>
      <c r="AO179">
        <f>AN179&amp;IF($P179="","",", "&amp;$P179)</f>
        <v/>
      </c>
      <c r="AP179">
        <f>AO179&amp;IF($Q179="","",", "&amp;$Q179)</f>
        <v/>
      </c>
      <c r="AQ179">
        <f>AP179&amp;IF($R179="","",", "&amp;$R179)</f>
        <v/>
      </c>
      <c r="AR179">
        <f>AQ179&amp;IF($S179="","",", "&amp;$S179)</f>
        <v/>
      </c>
      <c r="AS179">
        <f>AR179&amp;IF($T179="","",", "&amp;$T179)</f>
        <v/>
      </c>
      <c r="AT179">
        <f>AS179&amp;IF($U179="","",", "&amp;$U179)</f>
        <v/>
      </c>
      <c r="AU179">
        <f>AT179&amp;IF($V179="","",", "&amp;$V179)</f>
        <v/>
      </c>
      <c r="AV179">
        <f>AU179&amp;IF($W179="","",", "&amp;$W179)</f>
        <v/>
      </c>
      <c r="AW179">
        <f>AV179&amp;IF($X179="","",", "&amp;$X179)</f>
        <v/>
      </c>
      <c r="AX179">
        <f>AW179&amp;IF($Y179="","",", "&amp;$Y179)</f>
        <v/>
      </c>
    </row>
    <row r="180">
      <c r="A180" s="118">
        <f>IF($B180="","",COUNT($B$5:$B180))</f>
        <v/>
      </c>
      <c r="B180" s="80" t="n"/>
      <c r="C180" s="80" t="n"/>
      <c r="D180" s="74" t="n"/>
      <c r="E180" s="74" t="n"/>
      <c r="F180" s="74" t="n"/>
      <c r="G180" s="118">
        <f>IF($F180="","",COUNTIF($F$5:$F180,$F180))</f>
        <v/>
      </c>
      <c r="H180" s="33">
        <f>IF($F180="","",IFERROR(INDEX(사건마스터!$B$5:$B$64,MATCH($F180,사건마스터!$A$5:$A$64,0)),""))</f>
        <v/>
      </c>
      <c r="I180" s="130">
        <f>IF($F180="","",IFERROR(INDEX(사건마스터!$C$5:$C$64,MATCH($F180,사건마스터!$A$5:$A$64,0)),""))</f>
        <v/>
      </c>
      <c r="J180" s="136">
        <f>IF($F180="","",IFERROR(INDEX(사건마스터!$H$5:$H$64,MATCH($F180,사건마스터!$A$5:$A$64,0)),""))</f>
        <v/>
      </c>
      <c r="K180" s="136">
        <f>IF($F180="","",IFERROR(INDEX(사건마스터!$AH$5:$AH$64,MATCH($F180,사건마스터!$A$5:$A$64,0)),""))</f>
        <v/>
      </c>
      <c r="L180" s="136">
        <f>IF($F180="","",IFERROR(INDEX(사건마스터!$AI$5:$AI$64,MATCH($F180,사건마스터!$A$5:$A$64,0)),""))</f>
        <v/>
      </c>
      <c r="M180" s="136">
        <f>IF($F180="","",IFERROR(INDEX(사건마스터!$AJ$5:$AJ$64,MATCH($F180,사건마스터!$A$5:$A$64,0)),""))</f>
        <v/>
      </c>
      <c r="N180" s="136">
        <f>IF($F180="","",IFERROR(INDEX(사건마스터!$AK$5:$AK$64,MATCH($F180,사건마스터!$A$5:$A$64,0)),""))</f>
        <v/>
      </c>
      <c r="O180" s="136">
        <f>IF($F180="","",IFERROR(INDEX(사건마스터!$AL$5:$AL$64,MATCH($F180,사건마스터!$A$5:$A$64,0)),""))</f>
        <v/>
      </c>
      <c r="P180" s="136">
        <f>IF($F180="","",IFERROR(INDEX(사건마스터!$AM$5:$AM$64,MATCH($F180,사건마스터!$A$5:$A$64,0)),""))</f>
        <v/>
      </c>
      <c r="Q180" s="136">
        <f>IF($F180="","",IFERROR(INDEX(사건마스터!$AN$5:$AN$64,MATCH($F180,사건마스터!$A$5:$A$64,0)),""))</f>
        <v/>
      </c>
      <c r="R180" s="136">
        <f>IF($F180="","",IFERROR(INDEX(사건마스터!$AO$5:$AO$64,MATCH($F180,사건마스터!$A$5:$A$64,0)),""))</f>
        <v/>
      </c>
      <c r="S180" s="136">
        <f>IF($F180="","",IFERROR(INDEX(사건마스터!$AP$5:$AP$64,MATCH($F180,사건마스터!$A$5:$A$64,0)),""))</f>
        <v/>
      </c>
      <c r="T180" s="136">
        <f>IF($F180="","",IFERROR(INDEX(사건마스터!$AQ$5:$AQ$64,MATCH($F180,사건마스터!$A$5:$A$64,0)),""))</f>
        <v/>
      </c>
      <c r="U180" s="136">
        <f>IF($F180="","",IFERROR(INDEX(사건마스터!$AR$5:$AR$64,MATCH($F180,사건마스터!$A$5:$A$64,0)),""))</f>
        <v/>
      </c>
      <c r="V180" s="136">
        <f>IF($F180="","",IFERROR(INDEX(사건마스터!$AS$5:$AS$64,MATCH($F180,사건마스터!$A$5:$A$64,0)),""))</f>
        <v/>
      </c>
      <c r="W180" s="136">
        <f>IF($F180="","",IFERROR(INDEX(사건마스터!$AT$5:$AT$64,MATCH($F180,사건마스터!$A$5:$A$64,0)),""))</f>
        <v/>
      </c>
      <c r="X180" s="136">
        <f>IF($F180="","",IFERROR(INDEX(사건마스터!$AU$5:$AU$64,MATCH($F180,사건마스터!$A$5:$A$64,0)),""))</f>
        <v/>
      </c>
      <c r="Y180" s="136">
        <f>IF($F180="","",IFERROR(INDEX(사건마스터!$AV$5:$AV$64,MATCH($F180,사건마스터!$A$5:$A$64,0)),""))</f>
        <v/>
      </c>
      <c r="Z180" s="118">
        <f>IF(COUNTBLANK($J180:$Y180)=16,"",16-COUNTBLANK($J180:$Y180))</f>
        <v/>
      </c>
      <c r="AA180" s="33">
        <f>IF($J180="",MID($AX180,3,255),$J180&amp;$AX180)</f>
        <v/>
      </c>
      <c r="AB180" s="130">
        <f>IF($J180="","",IFERROR(INDEX(코드설정!$D$5:$D$24,MATCH($J180,코드설정!$C$5:$C$24,0)),""))</f>
        <v/>
      </c>
      <c r="AC180" s="36" t="n"/>
      <c r="AD180" s="37" t="n"/>
      <c r="AE180" s="38" t="n"/>
      <c r="AF180" s="118">
        <f>IF(OR($B180="",$C180=""),"",$C180-$B180+1)</f>
        <v/>
      </c>
      <c r="AG180" s="74" t="n"/>
      <c r="AH180" s="36" t="n"/>
      <c r="AJ180">
        <f>IF($K180="","",", "&amp;$K180)</f>
        <v/>
      </c>
      <c r="AK180">
        <f>AJ180&amp;IF($L180="","",", "&amp;$L180)</f>
        <v/>
      </c>
      <c r="AL180">
        <f>AK180&amp;IF($M180="","",", "&amp;$M180)</f>
        <v/>
      </c>
      <c r="AM180">
        <f>AL180&amp;IF($N180="","",", "&amp;$N180)</f>
        <v/>
      </c>
      <c r="AN180">
        <f>AM180&amp;IF($O180="","",", "&amp;$O180)</f>
        <v/>
      </c>
      <c r="AO180">
        <f>AN180&amp;IF($P180="","",", "&amp;$P180)</f>
        <v/>
      </c>
      <c r="AP180">
        <f>AO180&amp;IF($Q180="","",", "&amp;$Q180)</f>
        <v/>
      </c>
      <c r="AQ180">
        <f>AP180&amp;IF($R180="","",", "&amp;$R180)</f>
        <v/>
      </c>
      <c r="AR180">
        <f>AQ180&amp;IF($S180="","",", "&amp;$S180)</f>
        <v/>
      </c>
      <c r="AS180">
        <f>AR180&amp;IF($T180="","",", "&amp;$T180)</f>
        <v/>
      </c>
      <c r="AT180">
        <f>AS180&amp;IF($U180="","",", "&amp;$U180)</f>
        <v/>
      </c>
      <c r="AU180">
        <f>AT180&amp;IF($V180="","",", "&amp;$V180)</f>
        <v/>
      </c>
      <c r="AV180">
        <f>AU180&amp;IF($W180="","",", "&amp;$W180)</f>
        <v/>
      </c>
      <c r="AW180">
        <f>AV180&amp;IF($X180="","",", "&amp;$X180)</f>
        <v/>
      </c>
      <c r="AX180">
        <f>AW180&amp;IF($Y180="","",", "&amp;$Y180)</f>
        <v/>
      </c>
    </row>
    <row r="181">
      <c r="A181" s="118">
        <f>IF($B181="","",COUNT($B$5:$B181))</f>
        <v/>
      </c>
      <c r="B181" s="80" t="n"/>
      <c r="C181" s="80" t="n"/>
      <c r="D181" s="74" t="n"/>
      <c r="E181" s="74" t="n"/>
      <c r="F181" s="74" t="n"/>
      <c r="G181" s="118">
        <f>IF($F181="","",COUNTIF($F$5:$F181,$F181))</f>
        <v/>
      </c>
      <c r="H181" s="33">
        <f>IF($F181="","",IFERROR(INDEX(사건마스터!$B$5:$B$64,MATCH($F181,사건마스터!$A$5:$A$64,0)),""))</f>
        <v/>
      </c>
      <c r="I181" s="130">
        <f>IF($F181="","",IFERROR(INDEX(사건마스터!$C$5:$C$64,MATCH($F181,사건마스터!$A$5:$A$64,0)),""))</f>
        <v/>
      </c>
      <c r="J181" s="136">
        <f>IF($F181="","",IFERROR(INDEX(사건마스터!$H$5:$H$64,MATCH($F181,사건마스터!$A$5:$A$64,0)),""))</f>
        <v/>
      </c>
      <c r="K181" s="136">
        <f>IF($F181="","",IFERROR(INDEX(사건마스터!$AH$5:$AH$64,MATCH($F181,사건마스터!$A$5:$A$64,0)),""))</f>
        <v/>
      </c>
      <c r="L181" s="136">
        <f>IF($F181="","",IFERROR(INDEX(사건마스터!$AI$5:$AI$64,MATCH($F181,사건마스터!$A$5:$A$64,0)),""))</f>
        <v/>
      </c>
      <c r="M181" s="136">
        <f>IF($F181="","",IFERROR(INDEX(사건마스터!$AJ$5:$AJ$64,MATCH($F181,사건마스터!$A$5:$A$64,0)),""))</f>
        <v/>
      </c>
      <c r="N181" s="136">
        <f>IF($F181="","",IFERROR(INDEX(사건마스터!$AK$5:$AK$64,MATCH($F181,사건마스터!$A$5:$A$64,0)),""))</f>
        <v/>
      </c>
      <c r="O181" s="136">
        <f>IF($F181="","",IFERROR(INDEX(사건마스터!$AL$5:$AL$64,MATCH($F181,사건마스터!$A$5:$A$64,0)),""))</f>
        <v/>
      </c>
      <c r="P181" s="136">
        <f>IF($F181="","",IFERROR(INDEX(사건마스터!$AM$5:$AM$64,MATCH($F181,사건마스터!$A$5:$A$64,0)),""))</f>
        <v/>
      </c>
      <c r="Q181" s="136">
        <f>IF($F181="","",IFERROR(INDEX(사건마스터!$AN$5:$AN$64,MATCH($F181,사건마스터!$A$5:$A$64,0)),""))</f>
        <v/>
      </c>
      <c r="R181" s="136">
        <f>IF($F181="","",IFERROR(INDEX(사건마스터!$AO$5:$AO$64,MATCH($F181,사건마스터!$A$5:$A$64,0)),""))</f>
        <v/>
      </c>
      <c r="S181" s="136">
        <f>IF($F181="","",IFERROR(INDEX(사건마스터!$AP$5:$AP$64,MATCH($F181,사건마스터!$A$5:$A$64,0)),""))</f>
        <v/>
      </c>
      <c r="T181" s="136">
        <f>IF($F181="","",IFERROR(INDEX(사건마스터!$AQ$5:$AQ$64,MATCH($F181,사건마스터!$A$5:$A$64,0)),""))</f>
        <v/>
      </c>
      <c r="U181" s="136">
        <f>IF($F181="","",IFERROR(INDEX(사건마스터!$AR$5:$AR$64,MATCH($F181,사건마스터!$A$5:$A$64,0)),""))</f>
        <v/>
      </c>
      <c r="V181" s="136">
        <f>IF($F181="","",IFERROR(INDEX(사건마스터!$AS$5:$AS$64,MATCH($F181,사건마스터!$A$5:$A$64,0)),""))</f>
        <v/>
      </c>
      <c r="W181" s="136">
        <f>IF($F181="","",IFERROR(INDEX(사건마스터!$AT$5:$AT$64,MATCH($F181,사건마스터!$A$5:$A$64,0)),""))</f>
        <v/>
      </c>
      <c r="X181" s="136">
        <f>IF($F181="","",IFERROR(INDEX(사건마스터!$AU$5:$AU$64,MATCH($F181,사건마스터!$A$5:$A$64,0)),""))</f>
        <v/>
      </c>
      <c r="Y181" s="136">
        <f>IF($F181="","",IFERROR(INDEX(사건마스터!$AV$5:$AV$64,MATCH($F181,사건마스터!$A$5:$A$64,0)),""))</f>
        <v/>
      </c>
      <c r="Z181" s="118">
        <f>IF(COUNTBLANK($J181:$Y181)=16,"",16-COUNTBLANK($J181:$Y181))</f>
        <v/>
      </c>
      <c r="AA181" s="33">
        <f>IF($J181="",MID($AX181,3,255),$J181&amp;$AX181)</f>
        <v/>
      </c>
      <c r="AB181" s="130">
        <f>IF($J181="","",IFERROR(INDEX(코드설정!$D$5:$D$24,MATCH($J181,코드설정!$C$5:$C$24,0)),""))</f>
        <v/>
      </c>
      <c r="AC181" s="36" t="n"/>
      <c r="AD181" s="37" t="n"/>
      <c r="AE181" s="38" t="n"/>
      <c r="AF181" s="118">
        <f>IF(OR($B181="",$C181=""),"",$C181-$B181+1)</f>
        <v/>
      </c>
      <c r="AG181" s="74" t="n"/>
      <c r="AH181" s="36" t="n"/>
      <c r="AJ181">
        <f>IF($K181="","",", "&amp;$K181)</f>
        <v/>
      </c>
      <c r="AK181">
        <f>AJ181&amp;IF($L181="","",", "&amp;$L181)</f>
        <v/>
      </c>
      <c r="AL181">
        <f>AK181&amp;IF($M181="","",", "&amp;$M181)</f>
        <v/>
      </c>
      <c r="AM181">
        <f>AL181&amp;IF($N181="","",", "&amp;$N181)</f>
        <v/>
      </c>
      <c r="AN181">
        <f>AM181&amp;IF($O181="","",", "&amp;$O181)</f>
        <v/>
      </c>
      <c r="AO181">
        <f>AN181&amp;IF($P181="","",", "&amp;$P181)</f>
        <v/>
      </c>
      <c r="AP181">
        <f>AO181&amp;IF($Q181="","",", "&amp;$Q181)</f>
        <v/>
      </c>
      <c r="AQ181">
        <f>AP181&amp;IF($R181="","",", "&amp;$R181)</f>
        <v/>
      </c>
      <c r="AR181">
        <f>AQ181&amp;IF($S181="","",", "&amp;$S181)</f>
        <v/>
      </c>
      <c r="AS181">
        <f>AR181&amp;IF($T181="","",", "&amp;$T181)</f>
        <v/>
      </c>
      <c r="AT181">
        <f>AS181&amp;IF($U181="","",", "&amp;$U181)</f>
        <v/>
      </c>
      <c r="AU181">
        <f>AT181&amp;IF($V181="","",", "&amp;$V181)</f>
        <v/>
      </c>
      <c r="AV181">
        <f>AU181&amp;IF($W181="","",", "&amp;$W181)</f>
        <v/>
      </c>
      <c r="AW181">
        <f>AV181&amp;IF($X181="","",", "&amp;$X181)</f>
        <v/>
      </c>
      <c r="AX181">
        <f>AW181&amp;IF($Y181="","",", "&amp;$Y181)</f>
        <v/>
      </c>
    </row>
    <row r="182">
      <c r="A182" s="118">
        <f>IF($B182="","",COUNT($B$5:$B182))</f>
        <v/>
      </c>
      <c r="B182" s="80" t="n"/>
      <c r="C182" s="80" t="n"/>
      <c r="D182" s="74" t="n"/>
      <c r="E182" s="74" t="n"/>
      <c r="F182" s="74" t="n"/>
      <c r="G182" s="118">
        <f>IF($F182="","",COUNTIF($F$5:$F182,$F182))</f>
        <v/>
      </c>
      <c r="H182" s="33">
        <f>IF($F182="","",IFERROR(INDEX(사건마스터!$B$5:$B$64,MATCH($F182,사건마스터!$A$5:$A$64,0)),""))</f>
        <v/>
      </c>
      <c r="I182" s="130">
        <f>IF($F182="","",IFERROR(INDEX(사건마스터!$C$5:$C$64,MATCH($F182,사건마스터!$A$5:$A$64,0)),""))</f>
        <v/>
      </c>
      <c r="J182" s="136">
        <f>IF($F182="","",IFERROR(INDEX(사건마스터!$H$5:$H$64,MATCH($F182,사건마스터!$A$5:$A$64,0)),""))</f>
        <v/>
      </c>
      <c r="K182" s="136">
        <f>IF($F182="","",IFERROR(INDEX(사건마스터!$AH$5:$AH$64,MATCH($F182,사건마스터!$A$5:$A$64,0)),""))</f>
        <v/>
      </c>
      <c r="L182" s="136">
        <f>IF($F182="","",IFERROR(INDEX(사건마스터!$AI$5:$AI$64,MATCH($F182,사건마스터!$A$5:$A$64,0)),""))</f>
        <v/>
      </c>
      <c r="M182" s="136">
        <f>IF($F182="","",IFERROR(INDEX(사건마스터!$AJ$5:$AJ$64,MATCH($F182,사건마스터!$A$5:$A$64,0)),""))</f>
        <v/>
      </c>
      <c r="N182" s="136">
        <f>IF($F182="","",IFERROR(INDEX(사건마스터!$AK$5:$AK$64,MATCH($F182,사건마스터!$A$5:$A$64,0)),""))</f>
        <v/>
      </c>
      <c r="O182" s="136">
        <f>IF($F182="","",IFERROR(INDEX(사건마스터!$AL$5:$AL$64,MATCH($F182,사건마스터!$A$5:$A$64,0)),""))</f>
        <v/>
      </c>
      <c r="P182" s="136">
        <f>IF($F182="","",IFERROR(INDEX(사건마스터!$AM$5:$AM$64,MATCH($F182,사건마스터!$A$5:$A$64,0)),""))</f>
        <v/>
      </c>
      <c r="Q182" s="136">
        <f>IF($F182="","",IFERROR(INDEX(사건마스터!$AN$5:$AN$64,MATCH($F182,사건마스터!$A$5:$A$64,0)),""))</f>
        <v/>
      </c>
      <c r="R182" s="136">
        <f>IF($F182="","",IFERROR(INDEX(사건마스터!$AO$5:$AO$64,MATCH($F182,사건마스터!$A$5:$A$64,0)),""))</f>
        <v/>
      </c>
      <c r="S182" s="136">
        <f>IF($F182="","",IFERROR(INDEX(사건마스터!$AP$5:$AP$64,MATCH($F182,사건마스터!$A$5:$A$64,0)),""))</f>
        <v/>
      </c>
      <c r="T182" s="136">
        <f>IF($F182="","",IFERROR(INDEX(사건마스터!$AQ$5:$AQ$64,MATCH($F182,사건마스터!$A$5:$A$64,0)),""))</f>
        <v/>
      </c>
      <c r="U182" s="136">
        <f>IF($F182="","",IFERROR(INDEX(사건마스터!$AR$5:$AR$64,MATCH($F182,사건마스터!$A$5:$A$64,0)),""))</f>
        <v/>
      </c>
      <c r="V182" s="136">
        <f>IF($F182="","",IFERROR(INDEX(사건마스터!$AS$5:$AS$64,MATCH($F182,사건마스터!$A$5:$A$64,0)),""))</f>
        <v/>
      </c>
      <c r="W182" s="136">
        <f>IF($F182="","",IFERROR(INDEX(사건마스터!$AT$5:$AT$64,MATCH($F182,사건마스터!$A$5:$A$64,0)),""))</f>
        <v/>
      </c>
      <c r="X182" s="136">
        <f>IF($F182="","",IFERROR(INDEX(사건마스터!$AU$5:$AU$64,MATCH($F182,사건마스터!$A$5:$A$64,0)),""))</f>
        <v/>
      </c>
      <c r="Y182" s="136">
        <f>IF($F182="","",IFERROR(INDEX(사건마스터!$AV$5:$AV$64,MATCH($F182,사건마스터!$A$5:$A$64,0)),""))</f>
        <v/>
      </c>
      <c r="Z182" s="118">
        <f>IF(COUNTBLANK($J182:$Y182)=16,"",16-COUNTBLANK($J182:$Y182))</f>
        <v/>
      </c>
      <c r="AA182" s="33">
        <f>IF($J182="",MID($AX182,3,255),$J182&amp;$AX182)</f>
        <v/>
      </c>
      <c r="AB182" s="130">
        <f>IF($J182="","",IFERROR(INDEX(코드설정!$D$5:$D$24,MATCH($J182,코드설정!$C$5:$C$24,0)),""))</f>
        <v/>
      </c>
      <c r="AC182" s="36" t="n"/>
      <c r="AD182" s="37" t="n"/>
      <c r="AE182" s="38" t="n"/>
      <c r="AF182" s="118">
        <f>IF(OR($B182="",$C182=""),"",$C182-$B182+1)</f>
        <v/>
      </c>
      <c r="AG182" s="74" t="n"/>
      <c r="AH182" s="36" t="n"/>
      <c r="AJ182">
        <f>IF($K182="","",", "&amp;$K182)</f>
        <v/>
      </c>
      <c r="AK182">
        <f>AJ182&amp;IF($L182="","",", "&amp;$L182)</f>
        <v/>
      </c>
      <c r="AL182">
        <f>AK182&amp;IF($M182="","",", "&amp;$M182)</f>
        <v/>
      </c>
      <c r="AM182">
        <f>AL182&amp;IF($N182="","",", "&amp;$N182)</f>
        <v/>
      </c>
      <c r="AN182">
        <f>AM182&amp;IF($O182="","",", "&amp;$O182)</f>
        <v/>
      </c>
      <c r="AO182">
        <f>AN182&amp;IF($P182="","",", "&amp;$P182)</f>
        <v/>
      </c>
      <c r="AP182">
        <f>AO182&amp;IF($Q182="","",", "&amp;$Q182)</f>
        <v/>
      </c>
      <c r="AQ182">
        <f>AP182&amp;IF($R182="","",", "&amp;$R182)</f>
        <v/>
      </c>
      <c r="AR182">
        <f>AQ182&amp;IF($S182="","",", "&amp;$S182)</f>
        <v/>
      </c>
      <c r="AS182">
        <f>AR182&amp;IF($T182="","",", "&amp;$T182)</f>
        <v/>
      </c>
      <c r="AT182">
        <f>AS182&amp;IF($U182="","",", "&amp;$U182)</f>
        <v/>
      </c>
      <c r="AU182">
        <f>AT182&amp;IF($V182="","",", "&amp;$V182)</f>
        <v/>
      </c>
      <c r="AV182">
        <f>AU182&amp;IF($W182="","",", "&amp;$W182)</f>
        <v/>
      </c>
      <c r="AW182">
        <f>AV182&amp;IF($X182="","",", "&amp;$X182)</f>
        <v/>
      </c>
      <c r="AX182">
        <f>AW182&amp;IF($Y182="","",", "&amp;$Y182)</f>
        <v/>
      </c>
    </row>
    <row r="183">
      <c r="A183" s="118">
        <f>IF($B183="","",COUNT($B$5:$B183))</f>
        <v/>
      </c>
      <c r="B183" s="80" t="n"/>
      <c r="C183" s="80" t="n"/>
      <c r="D183" s="74" t="n"/>
      <c r="E183" s="74" t="n"/>
      <c r="F183" s="74" t="n"/>
      <c r="G183" s="118">
        <f>IF($F183="","",COUNTIF($F$5:$F183,$F183))</f>
        <v/>
      </c>
      <c r="H183" s="33">
        <f>IF($F183="","",IFERROR(INDEX(사건마스터!$B$5:$B$64,MATCH($F183,사건마스터!$A$5:$A$64,0)),""))</f>
        <v/>
      </c>
      <c r="I183" s="130">
        <f>IF($F183="","",IFERROR(INDEX(사건마스터!$C$5:$C$64,MATCH($F183,사건마스터!$A$5:$A$64,0)),""))</f>
        <v/>
      </c>
      <c r="J183" s="136">
        <f>IF($F183="","",IFERROR(INDEX(사건마스터!$H$5:$H$64,MATCH($F183,사건마스터!$A$5:$A$64,0)),""))</f>
        <v/>
      </c>
      <c r="K183" s="136">
        <f>IF($F183="","",IFERROR(INDEX(사건마스터!$AH$5:$AH$64,MATCH($F183,사건마스터!$A$5:$A$64,0)),""))</f>
        <v/>
      </c>
      <c r="L183" s="136">
        <f>IF($F183="","",IFERROR(INDEX(사건마스터!$AI$5:$AI$64,MATCH($F183,사건마스터!$A$5:$A$64,0)),""))</f>
        <v/>
      </c>
      <c r="M183" s="136">
        <f>IF($F183="","",IFERROR(INDEX(사건마스터!$AJ$5:$AJ$64,MATCH($F183,사건마스터!$A$5:$A$64,0)),""))</f>
        <v/>
      </c>
      <c r="N183" s="136">
        <f>IF($F183="","",IFERROR(INDEX(사건마스터!$AK$5:$AK$64,MATCH($F183,사건마스터!$A$5:$A$64,0)),""))</f>
        <v/>
      </c>
      <c r="O183" s="136">
        <f>IF($F183="","",IFERROR(INDEX(사건마스터!$AL$5:$AL$64,MATCH($F183,사건마스터!$A$5:$A$64,0)),""))</f>
        <v/>
      </c>
      <c r="P183" s="136">
        <f>IF($F183="","",IFERROR(INDEX(사건마스터!$AM$5:$AM$64,MATCH($F183,사건마스터!$A$5:$A$64,0)),""))</f>
        <v/>
      </c>
      <c r="Q183" s="136">
        <f>IF($F183="","",IFERROR(INDEX(사건마스터!$AN$5:$AN$64,MATCH($F183,사건마스터!$A$5:$A$64,0)),""))</f>
        <v/>
      </c>
      <c r="R183" s="136">
        <f>IF($F183="","",IFERROR(INDEX(사건마스터!$AO$5:$AO$64,MATCH($F183,사건마스터!$A$5:$A$64,0)),""))</f>
        <v/>
      </c>
      <c r="S183" s="136">
        <f>IF($F183="","",IFERROR(INDEX(사건마스터!$AP$5:$AP$64,MATCH($F183,사건마스터!$A$5:$A$64,0)),""))</f>
        <v/>
      </c>
      <c r="T183" s="136">
        <f>IF($F183="","",IFERROR(INDEX(사건마스터!$AQ$5:$AQ$64,MATCH($F183,사건마스터!$A$5:$A$64,0)),""))</f>
        <v/>
      </c>
      <c r="U183" s="136">
        <f>IF($F183="","",IFERROR(INDEX(사건마스터!$AR$5:$AR$64,MATCH($F183,사건마스터!$A$5:$A$64,0)),""))</f>
        <v/>
      </c>
      <c r="V183" s="136">
        <f>IF($F183="","",IFERROR(INDEX(사건마스터!$AS$5:$AS$64,MATCH($F183,사건마스터!$A$5:$A$64,0)),""))</f>
        <v/>
      </c>
      <c r="W183" s="136">
        <f>IF($F183="","",IFERROR(INDEX(사건마스터!$AT$5:$AT$64,MATCH($F183,사건마스터!$A$5:$A$64,0)),""))</f>
        <v/>
      </c>
      <c r="X183" s="136">
        <f>IF($F183="","",IFERROR(INDEX(사건마스터!$AU$5:$AU$64,MATCH($F183,사건마스터!$A$5:$A$64,0)),""))</f>
        <v/>
      </c>
      <c r="Y183" s="136">
        <f>IF($F183="","",IFERROR(INDEX(사건마스터!$AV$5:$AV$64,MATCH($F183,사건마스터!$A$5:$A$64,0)),""))</f>
        <v/>
      </c>
      <c r="Z183" s="118">
        <f>IF(COUNTBLANK($J183:$Y183)=16,"",16-COUNTBLANK($J183:$Y183))</f>
        <v/>
      </c>
      <c r="AA183" s="33">
        <f>IF($J183="",MID($AX183,3,255),$J183&amp;$AX183)</f>
        <v/>
      </c>
      <c r="AB183" s="130">
        <f>IF($J183="","",IFERROR(INDEX(코드설정!$D$5:$D$24,MATCH($J183,코드설정!$C$5:$C$24,0)),""))</f>
        <v/>
      </c>
      <c r="AC183" s="36" t="n"/>
      <c r="AD183" s="37" t="n"/>
      <c r="AE183" s="38" t="n"/>
      <c r="AF183" s="118">
        <f>IF(OR($B183="",$C183=""),"",$C183-$B183+1)</f>
        <v/>
      </c>
      <c r="AG183" s="74" t="n"/>
      <c r="AH183" s="36" t="n"/>
      <c r="AJ183">
        <f>IF($K183="","",", "&amp;$K183)</f>
        <v/>
      </c>
      <c r="AK183">
        <f>AJ183&amp;IF($L183="","",", "&amp;$L183)</f>
        <v/>
      </c>
      <c r="AL183">
        <f>AK183&amp;IF($M183="","",", "&amp;$M183)</f>
        <v/>
      </c>
      <c r="AM183">
        <f>AL183&amp;IF($N183="","",", "&amp;$N183)</f>
        <v/>
      </c>
      <c r="AN183">
        <f>AM183&amp;IF($O183="","",", "&amp;$O183)</f>
        <v/>
      </c>
      <c r="AO183">
        <f>AN183&amp;IF($P183="","",", "&amp;$P183)</f>
        <v/>
      </c>
      <c r="AP183">
        <f>AO183&amp;IF($Q183="","",", "&amp;$Q183)</f>
        <v/>
      </c>
      <c r="AQ183">
        <f>AP183&amp;IF($R183="","",", "&amp;$R183)</f>
        <v/>
      </c>
      <c r="AR183">
        <f>AQ183&amp;IF($S183="","",", "&amp;$S183)</f>
        <v/>
      </c>
      <c r="AS183">
        <f>AR183&amp;IF($T183="","",", "&amp;$T183)</f>
        <v/>
      </c>
      <c r="AT183">
        <f>AS183&amp;IF($U183="","",", "&amp;$U183)</f>
        <v/>
      </c>
      <c r="AU183">
        <f>AT183&amp;IF($V183="","",", "&amp;$V183)</f>
        <v/>
      </c>
      <c r="AV183">
        <f>AU183&amp;IF($W183="","",", "&amp;$W183)</f>
        <v/>
      </c>
      <c r="AW183">
        <f>AV183&amp;IF($X183="","",", "&amp;$X183)</f>
        <v/>
      </c>
      <c r="AX183">
        <f>AW183&amp;IF($Y183="","",", "&amp;$Y183)</f>
        <v/>
      </c>
    </row>
    <row r="184">
      <c r="A184" s="118">
        <f>IF($B184="","",COUNT($B$5:$B184))</f>
        <v/>
      </c>
      <c r="B184" s="80" t="n"/>
      <c r="C184" s="80" t="n"/>
      <c r="D184" s="74" t="n"/>
      <c r="E184" s="74" t="n"/>
      <c r="F184" s="74" t="n"/>
      <c r="G184" s="118">
        <f>IF($F184="","",COUNTIF($F$5:$F184,$F184))</f>
        <v/>
      </c>
      <c r="H184" s="33">
        <f>IF($F184="","",IFERROR(INDEX(사건마스터!$B$5:$B$64,MATCH($F184,사건마스터!$A$5:$A$64,0)),""))</f>
        <v/>
      </c>
      <c r="I184" s="130">
        <f>IF($F184="","",IFERROR(INDEX(사건마스터!$C$5:$C$64,MATCH($F184,사건마스터!$A$5:$A$64,0)),""))</f>
        <v/>
      </c>
      <c r="J184" s="136">
        <f>IF($F184="","",IFERROR(INDEX(사건마스터!$H$5:$H$64,MATCH($F184,사건마스터!$A$5:$A$64,0)),""))</f>
        <v/>
      </c>
      <c r="K184" s="136">
        <f>IF($F184="","",IFERROR(INDEX(사건마스터!$AH$5:$AH$64,MATCH($F184,사건마스터!$A$5:$A$64,0)),""))</f>
        <v/>
      </c>
      <c r="L184" s="136">
        <f>IF($F184="","",IFERROR(INDEX(사건마스터!$AI$5:$AI$64,MATCH($F184,사건마스터!$A$5:$A$64,0)),""))</f>
        <v/>
      </c>
      <c r="M184" s="136">
        <f>IF($F184="","",IFERROR(INDEX(사건마스터!$AJ$5:$AJ$64,MATCH($F184,사건마스터!$A$5:$A$64,0)),""))</f>
        <v/>
      </c>
      <c r="N184" s="136">
        <f>IF($F184="","",IFERROR(INDEX(사건마스터!$AK$5:$AK$64,MATCH($F184,사건마스터!$A$5:$A$64,0)),""))</f>
        <v/>
      </c>
      <c r="O184" s="136">
        <f>IF($F184="","",IFERROR(INDEX(사건마스터!$AL$5:$AL$64,MATCH($F184,사건마스터!$A$5:$A$64,0)),""))</f>
        <v/>
      </c>
      <c r="P184" s="136">
        <f>IF($F184="","",IFERROR(INDEX(사건마스터!$AM$5:$AM$64,MATCH($F184,사건마스터!$A$5:$A$64,0)),""))</f>
        <v/>
      </c>
      <c r="Q184" s="136">
        <f>IF($F184="","",IFERROR(INDEX(사건마스터!$AN$5:$AN$64,MATCH($F184,사건마스터!$A$5:$A$64,0)),""))</f>
        <v/>
      </c>
      <c r="R184" s="136">
        <f>IF($F184="","",IFERROR(INDEX(사건마스터!$AO$5:$AO$64,MATCH($F184,사건마스터!$A$5:$A$64,0)),""))</f>
        <v/>
      </c>
      <c r="S184" s="136">
        <f>IF($F184="","",IFERROR(INDEX(사건마스터!$AP$5:$AP$64,MATCH($F184,사건마스터!$A$5:$A$64,0)),""))</f>
        <v/>
      </c>
      <c r="T184" s="136">
        <f>IF($F184="","",IFERROR(INDEX(사건마스터!$AQ$5:$AQ$64,MATCH($F184,사건마스터!$A$5:$A$64,0)),""))</f>
        <v/>
      </c>
      <c r="U184" s="136">
        <f>IF($F184="","",IFERROR(INDEX(사건마스터!$AR$5:$AR$64,MATCH($F184,사건마스터!$A$5:$A$64,0)),""))</f>
        <v/>
      </c>
      <c r="V184" s="136">
        <f>IF($F184="","",IFERROR(INDEX(사건마스터!$AS$5:$AS$64,MATCH($F184,사건마스터!$A$5:$A$64,0)),""))</f>
        <v/>
      </c>
      <c r="W184" s="136">
        <f>IF($F184="","",IFERROR(INDEX(사건마스터!$AT$5:$AT$64,MATCH($F184,사건마스터!$A$5:$A$64,0)),""))</f>
        <v/>
      </c>
      <c r="X184" s="136">
        <f>IF($F184="","",IFERROR(INDEX(사건마스터!$AU$5:$AU$64,MATCH($F184,사건마스터!$A$5:$A$64,0)),""))</f>
        <v/>
      </c>
      <c r="Y184" s="136">
        <f>IF($F184="","",IFERROR(INDEX(사건마스터!$AV$5:$AV$64,MATCH($F184,사건마스터!$A$5:$A$64,0)),""))</f>
        <v/>
      </c>
      <c r="Z184" s="118">
        <f>IF(COUNTBLANK($J184:$Y184)=16,"",16-COUNTBLANK($J184:$Y184))</f>
        <v/>
      </c>
      <c r="AA184" s="33">
        <f>IF($J184="",MID($AX184,3,255),$J184&amp;$AX184)</f>
        <v/>
      </c>
      <c r="AB184" s="130">
        <f>IF($J184="","",IFERROR(INDEX(코드설정!$D$5:$D$24,MATCH($J184,코드설정!$C$5:$C$24,0)),""))</f>
        <v/>
      </c>
      <c r="AC184" s="36" t="n"/>
      <c r="AD184" s="37" t="n"/>
      <c r="AE184" s="38" t="n"/>
      <c r="AF184" s="118">
        <f>IF(OR($B184="",$C184=""),"",$C184-$B184+1)</f>
        <v/>
      </c>
      <c r="AG184" s="74" t="n"/>
      <c r="AH184" s="36" t="n"/>
      <c r="AJ184">
        <f>IF($K184="","",", "&amp;$K184)</f>
        <v/>
      </c>
      <c r="AK184">
        <f>AJ184&amp;IF($L184="","",", "&amp;$L184)</f>
        <v/>
      </c>
      <c r="AL184">
        <f>AK184&amp;IF($M184="","",", "&amp;$M184)</f>
        <v/>
      </c>
      <c r="AM184">
        <f>AL184&amp;IF($N184="","",", "&amp;$N184)</f>
        <v/>
      </c>
      <c r="AN184">
        <f>AM184&amp;IF($O184="","",", "&amp;$O184)</f>
        <v/>
      </c>
      <c r="AO184">
        <f>AN184&amp;IF($P184="","",", "&amp;$P184)</f>
        <v/>
      </c>
      <c r="AP184">
        <f>AO184&amp;IF($Q184="","",", "&amp;$Q184)</f>
        <v/>
      </c>
      <c r="AQ184">
        <f>AP184&amp;IF($R184="","",", "&amp;$R184)</f>
        <v/>
      </c>
      <c r="AR184">
        <f>AQ184&amp;IF($S184="","",", "&amp;$S184)</f>
        <v/>
      </c>
      <c r="AS184">
        <f>AR184&amp;IF($T184="","",", "&amp;$T184)</f>
        <v/>
      </c>
      <c r="AT184">
        <f>AS184&amp;IF($U184="","",", "&amp;$U184)</f>
        <v/>
      </c>
      <c r="AU184">
        <f>AT184&amp;IF($V184="","",", "&amp;$V184)</f>
        <v/>
      </c>
      <c r="AV184">
        <f>AU184&amp;IF($W184="","",", "&amp;$W184)</f>
        <v/>
      </c>
      <c r="AW184">
        <f>AV184&amp;IF($X184="","",", "&amp;$X184)</f>
        <v/>
      </c>
      <c r="AX184">
        <f>AW184&amp;IF($Y184="","",", "&amp;$Y184)</f>
        <v/>
      </c>
    </row>
    <row r="185">
      <c r="A185" s="118">
        <f>IF($B185="","",COUNT($B$5:$B185))</f>
        <v/>
      </c>
      <c r="B185" s="80" t="n"/>
      <c r="C185" s="80" t="n"/>
      <c r="D185" s="74" t="n"/>
      <c r="E185" s="74" t="n"/>
      <c r="F185" s="74" t="n"/>
      <c r="G185" s="118">
        <f>IF($F185="","",COUNTIF($F$5:$F185,$F185))</f>
        <v/>
      </c>
      <c r="H185" s="33">
        <f>IF($F185="","",IFERROR(INDEX(사건마스터!$B$5:$B$64,MATCH($F185,사건마스터!$A$5:$A$64,0)),""))</f>
        <v/>
      </c>
      <c r="I185" s="130">
        <f>IF($F185="","",IFERROR(INDEX(사건마스터!$C$5:$C$64,MATCH($F185,사건마스터!$A$5:$A$64,0)),""))</f>
        <v/>
      </c>
      <c r="J185" s="136">
        <f>IF($F185="","",IFERROR(INDEX(사건마스터!$H$5:$H$64,MATCH($F185,사건마스터!$A$5:$A$64,0)),""))</f>
        <v/>
      </c>
      <c r="K185" s="136">
        <f>IF($F185="","",IFERROR(INDEX(사건마스터!$AH$5:$AH$64,MATCH($F185,사건마스터!$A$5:$A$64,0)),""))</f>
        <v/>
      </c>
      <c r="L185" s="136">
        <f>IF($F185="","",IFERROR(INDEX(사건마스터!$AI$5:$AI$64,MATCH($F185,사건마스터!$A$5:$A$64,0)),""))</f>
        <v/>
      </c>
      <c r="M185" s="136">
        <f>IF($F185="","",IFERROR(INDEX(사건마스터!$AJ$5:$AJ$64,MATCH($F185,사건마스터!$A$5:$A$64,0)),""))</f>
        <v/>
      </c>
      <c r="N185" s="136">
        <f>IF($F185="","",IFERROR(INDEX(사건마스터!$AK$5:$AK$64,MATCH($F185,사건마스터!$A$5:$A$64,0)),""))</f>
        <v/>
      </c>
      <c r="O185" s="136">
        <f>IF($F185="","",IFERROR(INDEX(사건마스터!$AL$5:$AL$64,MATCH($F185,사건마스터!$A$5:$A$64,0)),""))</f>
        <v/>
      </c>
      <c r="P185" s="136">
        <f>IF($F185="","",IFERROR(INDEX(사건마스터!$AM$5:$AM$64,MATCH($F185,사건마스터!$A$5:$A$64,0)),""))</f>
        <v/>
      </c>
      <c r="Q185" s="136">
        <f>IF($F185="","",IFERROR(INDEX(사건마스터!$AN$5:$AN$64,MATCH($F185,사건마스터!$A$5:$A$64,0)),""))</f>
        <v/>
      </c>
      <c r="R185" s="136">
        <f>IF($F185="","",IFERROR(INDEX(사건마스터!$AO$5:$AO$64,MATCH($F185,사건마스터!$A$5:$A$64,0)),""))</f>
        <v/>
      </c>
      <c r="S185" s="136">
        <f>IF($F185="","",IFERROR(INDEX(사건마스터!$AP$5:$AP$64,MATCH($F185,사건마스터!$A$5:$A$64,0)),""))</f>
        <v/>
      </c>
      <c r="T185" s="136">
        <f>IF($F185="","",IFERROR(INDEX(사건마스터!$AQ$5:$AQ$64,MATCH($F185,사건마스터!$A$5:$A$64,0)),""))</f>
        <v/>
      </c>
      <c r="U185" s="136">
        <f>IF($F185="","",IFERROR(INDEX(사건마스터!$AR$5:$AR$64,MATCH($F185,사건마스터!$A$5:$A$64,0)),""))</f>
        <v/>
      </c>
      <c r="V185" s="136">
        <f>IF($F185="","",IFERROR(INDEX(사건마스터!$AS$5:$AS$64,MATCH($F185,사건마스터!$A$5:$A$64,0)),""))</f>
        <v/>
      </c>
      <c r="W185" s="136">
        <f>IF($F185="","",IFERROR(INDEX(사건마스터!$AT$5:$AT$64,MATCH($F185,사건마스터!$A$5:$A$64,0)),""))</f>
        <v/>
      </c>
      <c r="X185" s="136">
        <f>IF($F185="","",IFERROR(INDEX(사건마스터!$AU$5:$AU$64,MATCH($F185,사건마스터!$A$5:$A$64,0)),""))</f>
        <v/>
      </c>
      <c r="Y185" s="136">
        <f>IF($F185="","",IFERROR(INDEX(사건마스터!$AV$5:$AV$64,MATCH($F185,사건마스터!$A$5:$A$64,0)),""))</f>
        <v/>
      </c>
      <c r="Z185" s="118">
        <f>IF(COUNTBLANK($J185:$Y185)=16,"",16-COUNTBLANK($J185:$Y185))</f>
        <v/>
      </c>
      <c r="AA185" s="33">
        <f>IF($J185="",MID($AX185,3,255),$J185&amp;$AX185)</f>
        <v/>
      </c>
      <c r="AB185" s="130">
        <f>IF($J185="","",IFERROR(INDEX(코드설정!$D$5:$D$24,MATCH($J185,코드설정!$C$5:$C$24,0)),""))</f>
        <v/>
      </c>
      <c r="AC185" s="36" t="n"/>
      <c r="AD185" s="37" t="n"/>
      <c r="AE185" s="38" t="n"/>
      <c r="AF185" s="118">
        <f>IF(OR($B185="",$C185=""),"",$C185-$B185+1)</f>
        <v/>
      </c>
      <c r="AG185" s="74" t="n"/>
      <c r="AH185" s="36" t="n"/>
      <c r="AJ185">
        <f>IF($K185="","",", "&amp;$K185)</f>
        <v/>
      </c>
      <c r="AK185">
        <f>AJ185&amp;IF($L185="","",", "&amp;$L185)</f>
        <v/>
      </c>
      <c r="AL185">
        <f>AK185&amp;IF($M185="","",", "&amp;$M185)</f>
        <v/>
      </c>
      <c r="AM185">
        <f>AL185&amp;IF($N185="","",", "&amp;$N185)</f>
        <v/>
      </c>
      <c r="AN185">
        <f>AM185&amp;IF($O185="","",", "&amp;$O185)</f>
        <v/>
      </c>
      <c r="AO185">
        <f>AN185&amp;IF($P185="","",", "&amp;$P185)</f>
        <v/>
      </c>
      <c r="AP185">
        <f>AO185&amp;IF($Q185="","",", "&amp;$Q185)</f>
        <v/>
      </c>
      <c r="AQ185">
        <f>AP185&amp;IF($R185="","",", "&amp;$R185)</f>
        <v/>
      </c>
      <c r="AR185">
        <f>AQ185&amp;IF($S185="","",", "&amp;$S185)</f>
        <v/>
      </c>
      <c r="AS185">
        <f>AR185&amp;IF($T185="","",", "&amp;$T185)</f>
        <v/>
      </c>
      <c r="AT185">
        <f>AS185&amp;IF($U185="","",", "&amp;$U185)</f>
        <v/>
      </c>
      <c r="AU185">
        <f>AT185&amp;IF($V185="","",", "&amp;$V185)</f>
        <v/>
      </c>
      <c r="AV185">
        <f>AU185&amp;IF($W185="","",", "&amp;$W185)</f>
        <v/>
      </c>
      <c r="AW185">
        <f>AV185&amp;IF($X185="","",", "&amp;$X185)</f>
        <v/>
      </c>
      <c r="AX185">
        <f>AW185&amp;IF($Y185="","",", "&amp;$Y185)</f>
        <v/>
      </c>
    </row>
    <row r="186">
      <c r="A186" s="118">
        <f>IF($B186="","",COUNT($B$5:$B186))</f>
        <v/>
      </c>
      <c r="B186" s="80" t="n"/>
      <c r="C186" s="80" t="n"/>
      <c r="D186" s="74" t="n"/>
      <c r="E186" s="74" t="n"/>
      <c r="F186" s="74" t="n"/>
      <c r="G186" s="118">
        <f>IF($F186="","",COUNTIF($F$5:$F186,$F186))</f>
        <v/>
      </c>
      <c r="H186" s="33">
        <f>IF($F186="","",IFERROR(INDEX(사건마스터!$B$5:$B$64,MATCH($F186,사건마스터!$A$5:$A$64,0)),""))</f>
        <v/>
      </c>
      <c r="I186" s="130">
        <f>IF($F186="","",IFERROR(INDEX(사건마스터!$C$5:$C$64,MATCH($F186,사건마스터!$A$5:$A$64,0)),""))</f>
        <v/>
      </c>
      <c r="J186" s="136">
        <f>IF($F186="","",IFERROR(INDEX(사건마스터!$H$5:$H$64,MATCH($F186,사건마스터!$A$5:$A$64,0)),""))</f>
        <v/>
      </c>
      <c r="K186" s="136">
        <f>IF($F186="","",IFERROR(INDEX(사건마스터!$AH$5:$AH$64,MATCH($F186,사건마스터!$A$5:$A$64,0)),""))</f>
        <v/>
      </c>
      <c r="L186" s="136">
        <f>IF($F186="","",IFERROR(INDEX(사건마스터!$AI$5:$AI$64,MATCH($F186,사건마스터!$A$5:$A$64,0)),""))</f>
        <v/>
      </c>
      <c r="M186" s="136">
        <f>IF($F186="","",IFERROR(INDEX(사건마스터!$AJ$5:$AJ$64,MATCH($F186,사건마스터!$A$5:$A$64,0)),""))</f>
        <v/>
      </c>
      <c r="N186" s="136">
        <f>IF($F186="","",IFERROR(INDEX(사건마스터!$AK$5:$AK$64,MATCH($F186,사건마스터!$A$5:$A$64,0)),""))</f>
        <v/>
      </c>
      <c r="O186" s="136">
        <f>IF($F186="","",IFERROR(INDEX(사건마스터!$AL$5:$AL$64,MATCH($F186,사건마스터!$A$5:$A$64,0)),""))</f>
        <v/>
      </c>
      <c r="P186" s="136">
        <f>IF($F186="","",IFERROR(INDEX(사건마스터!$AM$5:$AM$64,MATCH($F186,사건마스터!$A$5:$A$64,0)),""))</f>
        <v/>
      </c>
      <c r="Q186" s="136">
        <f>IF($F186="","",IFERROR(INDEX(사건마스터!$AN$5:$AN$64,MATCH($F186,사건마스터!$A$5:$A$64,0)),""))</f>
        <v/>
      </c>
      <c r="R186" s="136">
        <f>IF($F186="","",IFERROR(INDEX(사건마스터!$AO$5:$AO$64,MATCH($F186,사건마스터!$A$5:$A$64,0)),""))</f>
        <v/>
      </c>
      <c r="S186" s="136">
        <f>IF($F186="","",IFERROR(INDEX(사건마스터!$AP$5:$AP$64,MATCH($F186,사건마스터!$A$5:$A$64,0)),""))</f>
        <v/>
      </c>
      <c r="T186" s="136">
        <f>IF($F186="","",IFERROR(INDEX(사건마스터!$AQ$5:$AQ$64,MATCH($F186,사건마스터!$A$5:$A$64,0)),""))</f>
        <v/>
      </c>
      <c r="U186" s="136">
        <f>IF($F186="","",IFERROR(INDEX(사건마스터!$AR$5:$AR$64,MATCH($F186,사건마스터!$A$5:$A$64,0)),""))</f>
        <v/>
      </c>
      <c r="V186" s="136">
        <f>IF($F186="","",IFERROR(INDEX(사건마스터!$AS$5:$AS$64,MATCH($F186,사건마스터!$A$5:$A$64,0)),""))</f>
        <v/>
      </c>
      <c r="W186" s="136">
        <f>IF($F186="","",IFERROR(INDEX(사건마스터!$AT$5:$AT$64,MATCH($F186,사건마스터!$A$5:$A$64,0)),""))</f>
        <v/>
      </c>
      <c r="X186" s="136">
        <f>IF($F186="","",IFERROR(INDEX(사건마스터!$AU$5:$AU$64,MATCH($F186,사건마스터!$A$5:$A$64,0)),""))</f>
        <v/>
      </c>
      <c r="Y186" s="136">
        <f>IF($F186="","",IFERROR(INDEX(사건마스터!$AV$5:$AV$64,MATCH($F186,사건마스터!$A$5:$A$64,0)),""))</f>
        <v/>
      </c>
      <c r="Z186" s="118">
        <f>IF(COUNTBLANK($J186:$Y186)=16,"",16-COUNTBLANK($J186:$Y186))</f>
        <v/>
      </c>
      <c r="AA186" s="33">
        <f>IF($J186="",MID($AX186,3,255),$J186&amp;$AX186)</f>
        <v/>
      </c>
      <c r="AB186" s="130">
        <f>IF($J186="","",IFERROR(INDEX(코드설정!$D$5:$D$24,MATCH($J186,코드설정!$C$5:$C$24,0)),""))</f>
        <v/>
      </c>
      <c r="AC186" s="36" t="n"/>
      <c r="AD186" s="37" t="n"/>
      <c r="AE186" s="38" t="n"/>
      <c r="AF186" s="118">
        <f>IF(OR($B186="",$C186=""),"",$C186-$B186+1)</f>
        <v/>
      </c>
      <c r="AG186" s="74" t="n"/>
      <c r="AH186" s="36" t="n"/>
      <c r="AJ186">
        <f>IF($K186="","",", "&amp;$K186)</f>
        <v/>
      </c>
      <c r="AK186">
        <f>AJ186&amp;IF($L186="","",", "&amp;$L186)</f>
        <v/>
      </c>
      <c r="AL186">
        <f>AK186&amp;IF($M186="","",", "&amp;$M186)</f>
        <v/>
      </c>
      <c r="AM186">
        <f>AL186&amp;IF($N186="","",", "&amp;$N186)</f>
        <v/>
      </c>
      <c r="AN186">
        <f>AM186&amp;IF($O186="","",", "&amp;$O186)</f>
        <v/>
      </c>
      <c r="AO186">
        <f>AN186&amp;IF($P186="","",", "&amp;$P186)</f>
        <v/>
      </c>
      <c r="AP186">
        <f>AO186&amp;IF($Q186="","",", "&amp;$Q186)</f>
        <v/>
      </c>
      <c r="AQ186">
        <f>AP186&amp;IF($R186="","",", "&amp;$R186)</f>
        <v/>
      </c>
      <c r="AR186">
        <f>AQ186&amp;IF($S186="","",", "&amp;$S186)</f>
        <v/>
      </c>
      <c r="AS186">
        <f>AR186&amp;IF($T186="","",", "&amp;$T186)</f>
        <v/>
      </c>
      <c r="AT186">
        <f>AS186&amp;IF($U186="","",", "&amp;$U186)</f>
        <v/>
      </c>
      <c r="AU186">
        <f>AT186&amp;IF($V186="","",", "&amp;$V186)</f>
        <v/>
      </c>
      <c r="AV186">
        <f>AU186&amp;IF($W186="","",", "&amp;$W186)</f>
        <v/>
      </c>
      <c r="AW186">
        <f>AV186&amp;IF($X186="","",", "&amp;$X186)</f>
        <v/>
      </c>
      <c r="AX186">
        <f>AW186&amp;IF($Y186="","",", "&amp;$Y186)</f>
        <v/>
      </c>
    </row>
    <row r="187">
      <c r="A187" s="118">
        <f>IF($B187="","",COUNT($B$5:$B187))</f>
        <v/>
      </c>
      <c r="B187" s="80" t="n"/>
      <c r="C187" s="80" t="n"/>
      <c r="D187" s="74" t="n"/>
      <c r="E187" s="74" t="n"/>
      <c r="F187" s="74" t="n"/>
      <c r="G187" s="118">
        <f>IF($F187="","",COUNTIF($F$5:$F187,$F187))</f>
        <v/>
      </c>
      <c r="H187" s="33">
        <f>IF($F187="","",IFERROR(INDEX(사건마스터!$B$5:$B$64,MATCH($F187,사건마스터!$A$5:$A$64,0)),""))</f>
        <v/>
      </c>
      <c r="I187" s="130">
        <f>IF($F187="","",IFERROR(INDEX(사건마스터!$C$5:$C$64,MATCH($F187,사건마스터!$A$5:$A$64,0)),""))</f>
        <v/>
      </c>
      <c r="J187" s="136">
        <f>IF($F187="","",IFERROR(INDEX(사건마스터!$H$5:$H$64,MATCH($F187,사건마스터!$A$5:$A$64,0)),""))</f>
        <v/>
      </c>
      <c r="K187" s="136">
        <f>IF($F187="","",IFERROR(INDEX(사건마스터!$AH$5:$AH$64,MATCH($F187,사건마스터!$A$5:$A$64,0)),""))</f>
        <v/>
      </c>
      <c r="L187" s="136">
        <f>IF($F187="","",IFERROR(INDEX(사건마스터!$AI$5:$AI$64,MATCH($F187,사건마스터!$A$5:$A$64,0)),""))</f>
        <v/>
      </c>
      <c r="M187" s="136">
        <f>IF($F187="","",IFERROR(INDEX(사건마스터!$AJ$5:$AJ$64,MATCH($F187,사건마스터!$A$5:$A$64,0)),""))</f>
        <v/>
      </c>
      <c r="N187" s="136">
        <f>IF($F187="","",IFERROR(INDEX(사건마스터!$AK$5:$AK$64,MATCH($F187,사건마스터!$A$5:$A$64,0)),""))</f>
        <v/>
      </c>
      <c r="O187" s="136">
        <f>IF($F187="","",IFERROR(INDEX(사건마스터!$AL$5:$AL$64,MATCH($F187,사건마스터!$A$5:$A$64,0)),""))</f>
        <v/>
      </c>
      <c r="P187" s="136">
        <f>IF($F187="","",IFERROR(INDEX(사건마스터!$AM$5:$AM$64,MATCH($F187,사건마스터!$A$5:$A$64,0)),""))</f>
        <v/>
      </c>
      <c r="Q187" s="136">
        <f>IF($F187="","",IFERROR(INDEX(사건마스터!$AN$5:$AN$64,MATCH($F187,사건마스터!$A$5:$A$64,0)),""))</f>
        <v/>
      </c>
      <c r="R187" s="136">
        <f>IF($F187="","",IFERROR(INDEX(사건마스터!$AO$5:$AO$64,MATCH($F187,사건마스터!$A$5:$A$64,0)),""))</f>
        <v/>
      </c>
      <c r="S187" s="136">
        <f>IF($F187="","",IFERROR(INDEX(사건마스터!$AP$5:$AP$64,MATCH($F187,사건마스터!$A$5:$A$64,0)),""))</f>
        <v/>
      </c>
      <c r="T187" s="136">
        <f>IF($F187="","",IFERROR(INDEX(사건마스터!$AQ$5:$AQ$64,MATCH($F187,사건마스터!$A$5:$A$64,0)),""))</f>
        <v/>
      </c>
      <c r="U187" s="136">
        <f>IF($F187="","",IFERROR(INDEX(사건마스터!$AR$5:$AR$64,MATCH($F187,사건마스터!$A$5:$A$64,0)),""))</f>
        <v/>
      </c>
      <c r="V187" s="136">
        <f>IF($F187="","",IFERROR(INDEX(사건마스터!$AS$5:$AS$64,MATCH($F187,사건마스터!$A$5:$A$64,0)),""))</f>
        <v/>
      </c>
      <c r="W187" s="136">
        <f>IF($F187="","",IFERROR(INDEX(사건마스터!$AT$5:$AT$64,MATCH($F187,사건마스터!$A$5:$A$64,0)),""))</f>
        <v/>
      </c>
      <c r="X187" s="136">
        <f>IF($F187="","",IFERROR(INDEX(사건마스터!$AU$5:$AU$64,MATCH($F187,사건마스터!$A$5:$A$64,0)),""))</f>
        <v/>
      </c>
      <c r="Y187" s="136">
        <f>IF($F187="","",IFERROR(INDEX(사건마스터!$AV$5:$AV$64,MATCH($F187,사건마스터!$A$5:$A$64,0)),""))</f>
        <v/>
      </c>
      <c r="Z187" s="118">
        <f>IF(COUNTBLANK($J187:$Y187)=16,"",16-COUNTBLANK($J187:$Y187))</f>
        <v/>
      </c>
      <c r="AA187" s="33">
        <f>IF($J187="",MID($AX187,3,255),$J187&amp;$AX187)</f>
        <v/>
      </c>
      <c r="AB187" s="130">
        <f>IF($J187="","",IFERROR(INDEX(코드설정!$D$5:$D$24,MATCH($J187,코드설정!$C$5:$C$24,0)),""))</f>
        <v/>
      </c>
      <c r="AC187" s="36" t="n"/>
      <c r="AD187" s="37" t="n"/>
      <c r="AE187" s="38" t="n"/>
      <c r="AF187" s="118">
        <f>IF(OR($B187="",$C187=""),"",$C187-$B187+1)</f>
        <v/>
      </c>
      <c r="AG187" s="74" t="n"/>
      <c r="AH187" s="36" t="n"/>
      <c r="AJ187">
        <f>IF($K187="","",", "&amp;$K187)</f>
        <v/>
      </c>
      <c r="AK187">
        <f>AJ187&amp;IF($L187="","",", "&amp;$L187)</f>
        <v/>
      </c>
      <c r="AL187">
        <f>AK187&amp;IF($M187="","",", "&amp;$M187)</f>
        <v/>
      </c>
      <c r="AM187">
        <f>AL187&amp;IF($N187="","",", "&amp;$N187)</f>
        <v/>
      </c>
      <c r="AN187">
        <f>AM187&amp;IF($O187="","",", "&amp;$O187)</f>
        <v/>
      </c>
      <c r="AO187">
        <f>AN187&amp;IF($P187="","",", "&amp;$P187)</f>
        <v/>
      </c>
      <c r="AP187">
        <f>AO187&amp;IF($Q187="","",", "&amp;$Q187)</f>
        <v/>
      </c>
      <c r="AQ187">
        <f>AP187&amp;IF($R187="","",", "&amp;$R187)</f>
        <v/>
      </c>
      <c r="AR187">
        <f>AQ187&amp;IF($S187="","",", "&amp;$S187)</f>
        <v/>
      </c>
      <c r="AS187">
        <f>AR187&amp;IF($T187="","",", "&amp;$T187)</f>
        <v/>
      </c>
      <c r="AT187">
        <f>AS187&amp;IF($U187="","",", "&amp;$U187)</f>
        <v/>
      </c>
      <c r="AU187">
        <f>AT187&amp;IF($V187="","",", "&amp;$V187)</f>
        <v/>
      </c>
      <c r="AV187">
        <f>AU187&amp;IF($W187="","",", "&amp;$W187)</f>
        <v/>
      </c>
      <c r="AW187">
        <f>AV187&amp;IF($X187="","",", "&amp;$X187)</f>
        <v/>
      </c>
      <c r="AX187">
        <f>AW187&amp;IF($Y187="","",", "&amp;$Y187)</f>
        <v/>
      </c>
    </row>
    <row r="188">
      <c r="A188" s="118">
        <f>IF($B188="","",COUNT($B$5:$B188))</f>
        <v/>
      </c>
      <c r="B188" s="80" t="n"/>
      <c r="C188" s="80" t="n"/>
      <c r="D188" s="74" t="n"/>
      <c r="E188" s="74" t="n"/>
      <c r="F188" s="74" t="n"/>
      <c r="G188" s="118">
        <f>IF($F188="","",COUNTIF($F$5:$F188,$F188))</f>
        <v/>
      </c>
      <c r="H188" s="33">
        <f>IF($F188="","",IFERROR(INDEX(사건마스터!$B$5:$B$64,MATCH($F188,사건마스터!$A$5:$A$64,0)),""))</f>
        <v/>
      </c>
      <c r="I188" s="130">
        <f>IF($F188="","",IFERROR(INDEX(사건마스터!$C$5:$C$64,MATCH($F188,사건마스터!$A$5:$A$64,0)),""))</f>
        <v/>
      </c>
      <c r="J188" s="136">
        <f>IF($F188="","",IFERROR(INDEX(사건마스터!$H$5:$H$64,MATCH($F188,사건마스터!$A$5:$A$64,0)),""))</f>
        <v/>
      </c>
      <c r="K188" s="136">
        <f>IF($F188="","",IFERROR(INDEX(사건마스터!$AH$5:$AH$64,MATCH($F188,사건마스터!$A$5:$A$64,0)),""))</f>
        <v/>
      </c>
      <c r="L188" s="136">
        <f>IF($F188="","",IFERROR(INDEX(사건마스터!$AI$5:$AI$64,MATCH($F188,사건마스터!$A$5:$A$64,0)),""))</f>
        <v/>
      </c>
      <c r="M188" s="136">
        <f>IF($F188="","",IFERROR(INDEX(사건마스터!$AJ$5:$AJ$64,MATCH($F188,사건마스터!$A$5:$A$64,0)),""))</f>
        <v/>
      </c>
      <c r="N188" s="136">
        <f>IF($F188="","",IFERROR(INDEX(사건마스터!$AK$5:$AK$64,MATCH($F188,사건마스터!$A$5:$A$64,0)),""))</f>
        <v/>
      </c>
      <c r="O188" s="136">
        <f>IF($F188="","",IFERROR(INDEX(사건마스터!$AL$5:$AL$64,MATCH($F188,사건마스터!$A$5:$A$64,0)),""))</f>
        <v/>
      </c>
      <c r="P188" s="136">
        <f>IF($F188="","",IFERROR(INDEX(사건마스터!$AM$5:$AM$64,MATCH($F188,사건마스터!$A$5:$A$64,0)),""))</f>
        <v/>
      </c>
      <c r="Q188" s="136">
        <f>IF($F188="","",IFERROR(INDEX(사건마스터!$AN$5:$AN$64,MATCH($F188,사건마스터!$A$5:$A$64,0)),""))</f>
        <v/>
      </c>
      <c r="R188" s="136">
        <f>IF($F188="","",IFERROR(INDEX(사건마스터!$AO$5:$AO$64,MATCH($F188,사건마스터!$A$5:$A$64,0)),""))</f>
        <v/>
      </c>
      <c r="S188" s="136">
        <f>IF($F188="","",IFERROR(INDEX(사건마스터!$AP$5:$AP$64,MATCH($F188,사건마스터!$A$5:$A$64,0)),""))</f>
        <v/>
      </c>
      <c r="T188" s="136">
        <f>IF($F188="","",IFERROR(INDEX(사건마스터!$AQ$5:$AQ$64,MATCH($F188,사건마스터!$A$5:$A$64,0)),""))</f>
        <v/>
      </c>
      <c r="U188" s="136">
        <f>IF($F188="","",IFERROR(INDEX(사건마스터!$AR$5:$AR$64,MATCH($F188,사건마스터!$A$5:$A$64,0)),""))</f>
        <v/>
      </c>
      <c r="V188" s="136">
        <f>IF($F188="","",IFERROR(INDEX(사건마스터!$AS$5:$AS$64,MATCH($F188,사건마스터!$A$5:$A$64,0)),""))</f>
        <v/>
      </c>
      <c r="W188" s="136">
        <f>IF($F188="","",IFERROR(INDEX(사건마스터!$AT$5:$AT$64,MATCH($F188,사건마스터!$A$5:$A$64,0)),""))</f>
        <v/>
      </c>
      <c r="X188" s="136">
        <f>IF($F188="","",IFERROR(INDEX(사건마스터!$AU$5:$AU$64,MATCH($F188,사건마스터!$A$5:$A$64,0)),""))</f>
        <v/>
      </c>
      <c r="Y188" s="136">
        <f>IF($F188="","",IFERROR(INDEX(사건마스터!$AV$5:$AV$64,MATCH($F188,사건마스터!$A$5:$A$64,0)),""))</f>
        <v/>
      </c>
      <c r="Z188" s="118">
        <f>IF(COUNTBLANK($J188:$Y188)=16,"",16-COUNTBLANK($J188:$Y188))</f>
        <v/>
      </c>
      <c r="AA188" s="33">
        <f>IF($J188="",MID($AX188,3,255),$J188&amp;$AX188)</f>
        <v/>
      </c>
      <c r="AB188" s="130">
        <f>IF($J188="","",IFERROR(INDEX(코드설정!$D$5:$D$24,MATCH($J188,코드설정!$C$5:$C$24,0)),""))</f>
        <v/>
      </c>
      <c r="AC188" s="36" t="n"/>
      <c r="AD188" s="37" t="n"/>
      <c r="AE188" s="38" t="n"/>
      <c r="AF188" s="118">
        <f>IF(OR($B188="",$C188=""),"",$C188-$B188+1)</f>
        <v/>
      </c>
      <c r="AG188" s="74" t="n"/>
      <c r="AH188" s="36" t="n"/>
      <c r="AJ188">
        <f>IF($K188="","",", "&amp;$K188)</f>
        <v/>
      </c>
      <c r="AK188">
        <f>AJ188&amp;IF($L188="","",", "&amp;$L188)</f>
        <v/>
      </c>
      <c r="AL188">
        <f>AK188&amp;IF($M188="","",", "&amp;$M188)</f>
        <v/>
      </c>
      <c r="AM188">
        <f>AL188&amp;IF($N188="","",", "&amp;$N188)</f>
        <v/>
      </c>
      <c r="AN188">
        <f>AM188&amp;IF($O188="","",", "&amp;$O188)</f>
        <v/>
      </c>
      <c r="AO188">
        <f>AN188&amp;IF($P188="","",", "&amp;$P188)</f>
        <v/>
      </c>
      <c r="AP188">
        <f>AO188&amp;IF($Q188="","",", "&amp;$Q188)</f>
        <v/>
      </c>
      <c r="AQ188">
        <f>AP188&amp;IF($R188="","",", "&amp;$R188)</f>
        <v/>
      </c>
      <c r="AR188">
        <f>AQ188&amp;IF($S188="","",", "&amp;$S188)</f>
        <v/>
      </c>
      <c r="AS188">
        <f>AR188&amp;IF($T188="","",", "&amp;$T188)</f>
        <v/>
      </c>
      <c r="AT188">
        <f>AS188&amp;IF($U188="","",", "&amp;$U188)</f>
        <v/>
      </c>
      <c r="AU188">
        <f>AT188&amp;IF($V188="","",", "&amp;$V188)</f>
        <v/>
      </c>
      <c r="AV188">
        <f>AU188&amp;IF($W188="","",", "&amp;$W188)</f>
        <v/>
      </c>
      <c r="AW188">
        <f>AV188&amp;IF($X188="","",", "&amp;$X188)</f>
        <v/>
      </c>
      <c r="AX188">
        <f>AW188&amp;IF($Y188="","",", "&amp;$Y188)</f>
        <v/>
      </c>
    </row>
    <row r="189">
      <c r="A189" s="118">
        <f>IF($B189="","",COUNT($B$5:$B189))</f>
        <v/>
      </c>
      <c r="B189" s="80" t="n"/>
      <c r="C189" s="80" t="n"/>
      <c r="D189" s="74" t="n"/>
      <c r="E189" s="74" t="n"/>
      <c r="F189" s="74" t="n"/>
      <c r="G189" s="118">
        <f>IF($F189="","",COUNTIF($F$5:$F189,$F189))</f>
        <v/>
      </c>
      <c r="H189" s="33">
        <f>IF($F189="","",IFERROR(INDEX(사건마스터!$B$5:$B$64,MATCH($F189,사건마스터!$A$5:$A$64,0)),""))</f>
        <v/>
      </c>
      <c r="I189" s="130">
        <f>IF($F189="","",IFERROR(INDEX(사건마스터!$C$5:$C$64,MATCH($F189,사건마스터!$A$5:$A$64,0)),""))</f>
        <v/>
      </c>
      <c r="J189" s="136">
        <f>IF($F189="","",IFERROR(INDEX(사건마스터!$H$5:$H$64,MATCH($F189,사건마스터!$A$5:$A$64,0)),""))</f>
        <v/>
      </c>
      <c r="K189" s="136">
        <f>IF($F189="","",IFERROR(INDEX(사건마스터!$AH$5:$AH$64,MATCH($F189,사건마스터!$A$5:$A$64,0)),""))</f>
        <v/>
      </c>
      <c r="L189" s="136">
        <f>IF($F189="","",IFERROR(INDEX(사건마스터!$AI$5:$AI$64,MATCH($F189,사건마스터!$A$5:$A$64,0)),""))</f>
        <v/>
      </c>
      <c r="M189" s="136">
        <f>IF($F189="","",IFERROR(INDEX(사건마스터!$AJ$5:$AJ$64,MATCH($F189,사건마스터!$A$5:$A$64,0)),""))</f>
        <v/>
      </c>
      <c r="N189" s="136">
        <f>IF($F189="","",IFERROR(INDEX(사건마스터!$AK$5:$AK$64,MATCH($F189,사건마스터!$A$5:$A$64,0)),""))</f>
        <v/>
      </c>
      <c r="O189" s="136">
        <f>IF($F189="","",IFERROR(INDEX(사건마스터!$AL$5:$AL$64,MATCH($F189,사건마스터!$A$5:$A$64,0)),""))</f>
        <v/>
      </c>
      <c r="P189" s="136">
        <f>IF($F189="","",IFERROR(INDEX(사건마스터!$AM$5:$AM$64,MATCH($F189,사건마스터!$A$5:$A$64,0)),""))</f>
        <v/>
      </c>
      <c r="Q189" s="136">
        <f>IF($F189="","",IFERROR(INDEX(사건마스터!$AN$5:$AN$64,MATCH($F189,사건마스터!$A$5:$A$64,0)),""))</f>
        <v/>
      </c>
      <c r="R189" s="136">
        <f>IF($F189="","",IFERROR(INDEX(사건마스터!$AO$5:$AO$64,MATCH($F189,사건마스터!$A$5:$A$64,0)),""))</f>
        <v/>
      </c>
      <c r="S189" s="136">
        <f>IF($F189="","",IFERROR(INDEX(사건마스터!$AP$5:$AP$64,MATCH($F189,사건마스터!$A$5:$A$64,0)),""))</f>
        <v/>
      </c>
      <c r="T189" s="136">
        <f>IF($F189="","",IFERROR(INDEX(사건마스터!$AQ$5:$AQ$64,MATCH($F189,사건마스터!$A$5:$A$64,0)),""))</f>
        <v/>
      </c>
      <c r="U189" s="136">
        <f>IF($F189="","",IFERROR(INDEX(사건마스터!$AR$5:$AR$64,MATCH($F189,사건마스터!$A$5:$A$64,0)),""))</f>
        <v/>
      </c>
      <c r="V189" s="136">
        <f>IF($F189="","",IFERROR(INDEX(사건마스터!$AS$5:$AS$64,MATCH($F189,사건마스터!$A$5:$A$64,0)),""))</f>
        <v/>
      </c>
      <c r="W189" s="136">
        <f>IF($F189="","",IFERROR(INDEX(사건마스터!$AT$5:$AT$64,MATCH($F189,사건마스터!$A$5:$A$64,0)),""))</f>
        <v/>
      </c>
      <c r="X189" s="136">
        <f>IF($F189="","",IFERROR(INDEX(사건마스터!$AU$5:$AU$64,MATCH($F189,사건마스터!$A$5:$A$64,0)),""))</f>
        <v/>
      </c>
      <c r="Y189" s="136">
        <f>IF($F189="","",IFERROR(INDEX(사건마스터!$AV$5:$AV$64,MATCH($F189,사건마스터!$A$5:$A$64,0)),""))</f>
        <v/>
      </c>
      <c r="Z189" s="118">
        <f>IF(COUNTBLANK($J189:$Y189)=16,"",16-COUNTBLANK($J189:$Y189))</f>
        <v/>
      </c>
      <c r="AA189" s="33">
        <f>IF($J189="",MID($AX189,3,255),$J189&amp;$AX189)</f>
        <v/>
      </c>
      <c r="AB189" s="130">
        <f>IF($J189="","",IFERROR(INDEX(코드설정!$D$5:$D$24,MATCH($J189,코드설정!$C$5:$C$24,0)),""))</f>
        <v/>
      </c>
      <c r="AC189" s="36" t="n"/>
      <c r="AD189" s="37" t="n"/>
      <c r="AE189" s="38" t="n"/>
      <c r="AF189" s="118">
        <f>IF(OR($B189="",$C189=""),"",$C189-$B189+1)</f>
        <v/>
      </c>
      <c r="AG189" s="74" t="n"/>
      <c r="AH189" s="36" t="n"/>
      <c r="AJ189">
        <f>IF($K189="","",", "&amp;$K189)</f>
        <v/>
      </c>
      <c r="AK189">
        <f>AJ189&amp;IF($L189="","",", "&amp;$L189)</f>
        <v/>
      </c>
      <c r="AL189">
        <f>AK189&amp;IF($M189="","",", "&amp;$M189)</f>
        <v/>
      </c>
      <c r="AM189">
        <f>AL189&amp;IF($N189="","",", "&amp;$N189)</f>
        <v/>
      </c>
      <c r="AN189">
        <f>AM189&amp;IF($O189="","",", "&amp;$O189)</f>
        <v/>
      </c>
      <c r="AO189">
        <f>AN189&amp;IF($P189="","",", "&amp;$P189)</f>
        <v/>
      </c>
      <c r="AP189">
        <f>AO189&amp;IF($Q189="","",", "&amp;$Q189)</f>
        <v/>
      </c>
      <c r="AQ189">
        <f>AP189&amp;IF($R189="","",", "&amp;$R189)</f>
        <v/>
      </c>
      <c r="AR189">
        <f>AQ189&amp;IF($S189="","",", "&amp;$S189)</f>
        <v/>
      </c>
      <c r="AS189">
        <f>AR189&amp;IF($T189="","",", "&amp;$T189)</f>
        <v/>
      </c>
      <c r="AT189">
        <f>AS189&amp;IF($U189="","",", "&amp;$U189)</f>
        <v/>
      </c>
      <c r="AU189">
        <f>AT189&amp;IF($V189="","",", "&amp;$V189)</f>
        <v/>
      </c>
      <c r="AV189">
        <f>AU189&amp;IF($W189="","",", "&amp;$W189)</f>
        <v/>
      </c>
      <c r="AW189">
        <f>AV189&amp;IF($X189="","",", "&amp;$X189)</f>
        <v/>
      </c>
      <c r="AX189">
        <f>AW189&amp;IF($Y189="","",", "&amp;$Y189)</f>
        <v/>
      </c>
    </row>
    <row r="190">
      <c r="A190" s="118">
        <f>IF($B190="","",COUNT($B$5:$B190))</f>
        <v/>
      </c>
      <c r="B190" s="80" t="n"/>
      <c r="C190" s="80" t="n"/>
      <c r="D190" s="74" t="n"/>
      <c r="E190" s="74" t="n"/>
      <c r="F190" s="74" t="n"/>
      <c r="G190" s="118">
        <f>IF($F190="","",COUNTIF($F$5:$F190,$F190))</f>
        <v/>
      </c>
      <c r="H190" s="33">
        <f>IF($F190="","",IFERROR(INDEX(사건마스터!$B$5:$B$64,MATCH($F190,사건마스터!$A$5:$A$64,0)),""))</f>
        <v/>
      </c>
      <c r="I190" s="130">
        <f>IF($F190="","",IFERROR(INDEX(사건마스터!$C$5:$C$64,MATCH($F190,사건마스터!$A$5:$A$64,0)),""))</f>
        <v/>
      </c>
      <c r="J190" s="136">
        <f>IF($F190="","",IFERROR(INDEX(사건마스터!$H$5:$H$64,MATCH($F190,사건마스터!$A$5:$A$64,0)),""))</f>
        <v/>
      </c>
      <c r="K190" s="136">
        <f>IF($F190="","",IFERROR(INDEX(사건마스터!$AH$5:$AH$64,MATCH($F190,사건마스터!$A$5:$A$64,0)),""))</f>
        <v/>
      </c>
      <c r="L190" s="136">
        <f>IF($F190="","",IFERROR(INDEX(사건마스터!$AI$5:$AI$64,MATCH($F190,사건마스터!$A$5:$A$64,0)),""))</f>
        <v/>
      </c>
      <c r="M190" s="136">
        <f>IF($F190="","",IFERROR(INDEX(사건마스터!$AJ$5:$AJ$64,MATCH($F190,사건마스터!$A$5:$A$64,0)),""))</f>
        <v/>
      </c>
      <c r="N190" s="136">
        <f>IF($F190="","",IFERROR(INDEX(사건마스터!$AK$5:$AK$64,MATCH($F190,사건마스터!$A$5:$A$64,0)),""))</f>
        <v/>
      </c>
      <c r="O190" s="136">
        <f>IF($F190="","",IFERROR(INDEX(사건마스터!$AL$5:$AL$64,MATCH($F190,사건마스터!$A$5:$A$64,0)),""))</f>
        <v/>
      </c>
      <c r="P190" s="136">
        <f>IF($F190="","",IFERROR(INDEX(사건마스터!$AM$5:$AM$64,MATCH($F190,사건마스터!$A$5:$A$64,0)),""))</f>
        <v/>
      </c>
      <c r="Q190" s="136">
        <f>IF($F190="","",IFERROR(INDEX(사건마스터!$AN$5:$AN$64,MATCH($F190,사건마스터!$A$5:$A$64,0)),""))</f>
        <v/>
      </c>
      <c r="R190" s="136">
        <f>IF($F190="","",IFERROR(INDEX(사건마스터!$AO$5:$AO$64,MATCH($F190,사건마스터!$A$5:$A$64,0)),""))</f>
        <v/>
      </c>
      <c r="S190" s="136">
        <f>IF($F190="","",IFERROR(INDEX(사건마스터!$AP$5:$AP$64,MATCH($F190,사건마스터!$A$5:$A$64,0)),""))</f>
        <v/>
      </c>
      <c r="T190" s="136">
        <f>IF($F190="","",IFERROR(INDEX(사건마스터!$AQ$5:$AQ$64,MATCH($F190,사건마스터!$A$5:$A$64,0)),""))</f>
        <v/>
      </c>
      <c r="U190" s="136">
        <f>IF($F190="","",IFERROR(INDEX(사건마스터!$AR$5:$AR$64,MATCH($F190,사건마스터!$A$5:$A$64,0)),""))</f>
        <v/>
      </c>
      <c r="V190" s="136">
        <f>IF($F190="","",IFERROR(INDEX(사건마스터!$AS$5:$AS$64,MATCH($F190,사건마스터!$A$5:$A$64,0)),""))</f>
        <v/>
      </c>
      <c r="W190" s="136">
        <f>IF($F190="","",IFERROR(INDEX(사건마스터!$AT$5:$AT$64,MATCH($F190,사건마스터!$A$5:$A$64,0)),""))</f>
        <v/>
      </c>
      <c r="X190" s="136">
        <f>IF($F190="","",IFERROR(INDEX(사건마스터!$AU$5:$AU$64,MATCH($F190,사건마스터!$A$5:$A$64,0)),""))</f>
        <v/>
      </c>
      <c r="Y190" s="136">
        <f>IF($F190="","",IFERROR(INDEX(사건마스터!$AV$5:$AV$64,MATCH($F190,사건마스터!$A$5:$A$64,0)),""))</f>
        <v/>
      </c>
      <c r="Z190" s="118">
        <f>IF(COUNTBLANK($J190:$Y190)=16,"",16-COUNTBLANK($J190:$Y190))</f>
        <v/>
      </c>
      <c r="AA190" s="33">
        <f>IF($J190="",MID($AX190,3,255),$J190&amp;$AX190)</f>
        <v/>
      </c>
      <c r="AB190" s="130">
        <f>IF($J190="","",IFERROR(INDEX(코드설정!$D$5:$D$24,MATCH($J190,코드설정!$C$5:$C$24,0)),""))</f>
        <v/>
      </c>
      <c r="AC190" s="36" t="n"/>
      <c r="AD190" s="37" t="n"/>
      <c r="AE190" s="38" t="n"/>
      <c r="AF190" s="118">
        <f>IF(OR($B190="",$C190=""),"",$C190-$B190+1)</f>
        <v/>
      </c>
      <c r="AG190" s="74" t="n"/>
      <c r="AH190" s="36" t="n"/>
      <c r="AJ190">
        <f>IF($K190="","",", "&amp;$K190)</f>
        <v/>
      </c>
      <c r="AK190">
        <f>AJ190&amp;IF($L190="","",", "&amp;$L190)</f>
        <v/>
      </c>
      <c r="AL190">
        <f>AK190&amp;IF($M190="","",", "&amp;$M190)</f>
        <v/>
      </c>
      <c r="AM190">
        <f>AL190&amp;IF($N190="","",", "&amp;$N190)</f>
        <v/>
      </c>
      <c r="AN190">
        <f>AM190&amp;IF($O190="","",", "&amp;$O190)</f>
        <v/>
      </c>
      <c r="AO190">
        <f>AN190&amp;IF($P190="","",", "&amp;$P190)</f>
        <v/>
      </c>
      <c r="AP190">
        <f>AO190&amp;IF($Q190="","",", "&amp;$Q190)</f>
        <v/>
      </c>
      <c r="AQ190">
        <f>AP190&amp;IF($R190="","",", "&amp;$R190)</f>
        <v/>
      </c>
      <c r="AR190">
        <f>AQ190&amp;IF($S190="","",", "&amp;$S190)</f>
        <v/>
      </c>
      <c r="AS190">
        <f>AR190&amp;IF($T190="","",", "&amp;$T190)</f>
        <v/>
      </c>
      <c r="AT190">
        <f>AS190&amp;IF($U190="","",", "&amp;$U190)</f>
        <v/>
      </c>
      <c r="AU190">
        <f>AT190&amp;IF($V190="","",", "&amp;$V190)</f>
        <v/>
      </c>
      <c r="AV190">
        <f>AU190&amp;IF($W190="","",", "&amp;$W190)</f>
        <v/>
      </c>
      <c r="AW190">
        <f>AV190&amp;IF($X190="","",", "&amp;$X190)</f>
        <v/>
      </c>
      <c r="AX190">
        <f>AW190&amp;IF($Y190="","",", "&amp;$Y190)</f>
        <v/>
      </c>
    </row>
    <row r="191">
      <c r="A191" s="118">
        <f>IF($B191="","",COUNT($B$5:$B191))</f>
        <v/>
      </c>
      <c r="B191" s="80" t="n"/>
      <c r="C191" s="80" t="n"/>
      <c r="D191" s="74" t="n"/>
      <c r="E191" s="74" t="n"/>
      <c r="F191" s="74" t="n"/>
      <c r="G191" s="118">
        <f>IF($F191="","",COUNTIF($F$5:$F191,$F191))</f>
        <v/>
      </c>
      <c r="H191" s="33">
        <f>IF($F191="","",IFERROR(INDEX(사건마스터!$B$5:$B$64,MATCH($F191,사건마스터!$A$5:$A$64,0)),""))</f>
        <v/>
      </c>
      <c r="I191" s="130">
        <f>IF($F191="","",IFERROR(INDEX(사건마스터!$C$5:$C$64,MATCH($F191,사건마스터!$A$5:$A$64,0)),""))</f>
        <v/>
      </c>
      <c r="J191" s="136">
        <f>IF($F191="","",IFERROR(INDEX(사건마스터!$H$5:$H$64,MATCH($F191,사건마스터!$A$5:$A$64,0)),""))</f>
        <v/>
      </c>
      <c r="K191" s="136">
        <f>IF($F191="","",IFERROR(INDEX(사건마스터!$AH$5:$AH$64,MATCH($F191,사건마스터!$A$5:$A$64,0)),""))</f>
        <v/>
      </c>
      <c r="L191" s="136">
        <f>IF($F191="","",IFERROR(INDEX(사건마스터!$AI$5:$AI$64,MATCH($F191,사건마스터!$A$5:$A$64,0)),""))</f>
        <v/>
      </c>
      <c r="M191" s="136">
        <f>IF($F191="","",IFERROR(INDEX(사건마스터!$AJ$5:$AJ$64,MATCH($F191,사건마스터!$A$5:$A$64,0)),""))</f>
        <v/>
      </c>
      <c r="N191" s="136">
        <f>IF($F191="","",IFERROR(INDEX(사건마스터!$AK$5:$AK$64,MATCH($F191,사건마스터!$A$5:$A$64,0)),""))</f>
        <v/>
      </c>
      <c r="O191" s="136">
        <f>IF($F191="","",IFERROR(INDEX(사건마스터!$AL$5:$AL$64,MATCH($F191,사건마스터!$A$5:$A$64,0)),""))</f>
        <v/>
      </c>
      <c r="P191" s="136">
        <f>IF($F191="","",IFERROR(INDEX(사건마스터!$AM$5:$AM$64,MATCH($F191,사건마스터!$A$5:$A$64,0)),""))</f>
        <v/>
      </c>
      <c r="Q191" s="136">
        <f>IF($F191="","",IFERROR(INDEX(사건마스터!$AN$5:$AN$64,MATCH($F191,사건마스터!$A$5:$A$64,0)),""))</f>
        <v/>
      </c>
      <c r="R191" s="136">
        <f>IF($F191="","",IFERROR(INDEX(사건마스터!$AO$5:$AO$64,MATCH($F191,사건마스터!$A$5:$A$64,0)),""))</f>
        <v/>
      </c>
      <c r="S191" s="136">
        <f>IF($F191="","",IFERROR(INDEX(사건마스터!$AP$5:$AP$64,MATCH($F191,사건마스터!$A$5:$A$64,0)),""))</f>
        <v/>
      </c>
      <c r="T191" s="136">
        <f>IF($F191="","",IFERROR(INDEX(사건마스터!$AQ$5:$AQ$64,MATCH($F191,사건마스터!$A$5:$A$64,0)),""))</f>
        <v/>
      </c>
      <c r="U191" s="136">
        <f>IF($F191="","",IFERROR(INDEX(사건마스터!$AR$5:$AR$64,MATCH($F191,사건마스터!$A$5:$A$64,0)),""))</f>
        <v/>
      </c>
      <c r="V191" s="136">
        <f>IF($F191="","",IFERROR(INDEX(사건마스터!$AS$5:$AS$64,MATCH($F191,사건마스터!$A$5:$A$64,0)),""))</f>
        <v/>
      </c>
      <c r="W191" s="136">
        <f>IF($F191="","",IFERROR(INDEX(사건마스터!$AT$5:$AT$64,MATCH($F191,사건마스터!$A$5:$A$64,0)),""))</f>
        <v/>
      </c>
      <c r="X191" s="136">
        <f>IF($F191="","",IFERROR(INDEX(사건마스터!$AU$5:$AU$64,MATCH($F191,사건마스터!$A$5:$A$64,0)),""))</f>
        <v/>
      </c>
      <c r="Y191" s="136">
        <f>IF($F191="","",IFERROR(INDEX(사건마스터!$AV$5:$AV$64,MATCH($F191,사건마스터!$A$5:$A$64,0)),""))</f>
        <v/>
      </c>
      <c r="Z191" s="118">
        <f>IF(COUNTBLANK($J191:$Y191)=16,"",16-COUNTBLANK($J191:$Y191))</f>
        <v/>
      </c>
      <c r="AA191" s="33">
        <f>IF($J191="",MID($AX191,3,255),$J191&amp;$AX191)</f>
        <v/>
      </c>
      <c r="AB191" s="130">
        <f>IF($J191="","",IFERROR(INDEX(코드설정!$D$5:$D$24,MATCH($J191,코드설정!$C$5:$C$24,0)),""))</f>
        <v/>
      </c>
      <c r="AC191" s="36" t="n"/>
      <c r="AD191" s="37" t="n"/>
      <c r="AE191" s="38" t="n"/>
      <c r="AF191" s="118">
        <f>IF(OR($B191="",$C191=""),"",$C191-$B191+1)</f>
        <v/>
      </c>
      <c r="AG191" s="74" t="n"/>
      <c r="AH191" s="36" t="n"/>
      <c r="AJ191">
        <f>IF($K191="","",", "&amp;$K191)</f>
        <v/>
      </c>
      <c r="AK191">
        <f>AJ191&amp;IF($L191="","",", "&amp;$L191)</f>
        <v/>
      </c>
      <c r="AL191">
        <f>AK191&amp;IF($M191="","",", "&amp;$M191)</f>
        <v/>
      </c>
      <c r="AM191">
        <f>AL191&amp;IF($N191="","",", "&amp;$N191)</f>
        <v/>
      </c>
      <c r="AN191">
        <f>AM191&amp;IF($O191="","",", "&amp;$O191)</f>
        <v/>
      </c>
      <c r="AO191">
        <f>AN191&amp;IF($P191="","",", "&amp;$P191)</f>
        <v/>
      </c>
      <c r="AP191">
        <f>AO191&amp;IF($Q191="","",", "&amp;$Q191)</f>
        <v/>
      </c>
      <c r="AQ191">
        <f>AP191&amp;IF($R191="","",", "&amp;$R191)</f>
        <v/>
      </c>
      <c r="AR191">
        <f>AQ191&amp;IF($S191="","",", "&amp;$S191)</f>
        <v/>
      </c>
      <c r="AS191">
        <f>AR191&amp;IF($T191="","",", "&amp;$T191)</f>
        <v/>
      </c>
      <c r="AT191">
        <f>AS191&amp;IF($U191="","",", "&amp;$U191)</f>
        <v/>
      </c>
      <c r="AU191">
        <f>AT191&amp;IF($V191="","",", "&amp;$V191)</f>
        <v/>
      </c>
      <c r="AV191">
        <f>AU191&amp;IF($W191="","",", "&amp;$W191)</f>
        <v/>
      </c>
      <c r="AW191">
        <f>AV191&amp;IF($X191="","",", "&amp;$X191)</f>
        <v/>
      </c>
      <c r="AX191">
        <f>AW191&amp;IF($Y191="","",", "&amp;$Y191)</f>
        <v/>
      </c>
    </row>
    <row r="192">
      <c r="A192" s="118">
        <f>IF($B192="","",COUNT($B$5:$B192))</f>
        <v/>
      </c>
      <c r="B192" s="80" t="n"/>
      <c r="C192" s="80" t="n"/>
      <c r="D192" s="74" t="n"/>
      <c r="E192" s="74" t="n"/>
      <c r="F192" s="74" t="n"/>
      <c r="G192" s="118">
        <f>IF($F192="","",COUNTIF($F$5:$F192,$F192))</f>
        <v/>
      </c>
      <c r="H192" s="33">
        <f>IF($F192="","",IFERROR(INDEX(사건마스터!$B$5:$B$64,MATCH($F192,사건마스터!$A$5:$A$64,0)),""))</f>
        <v/>
      </c>
      <c r="I192" s="130">
        <f>IF($F192="","",IFERROR(INDEX(사건마스터!$C$5:$C$64,MATCH($F192,사건마스터!$A$5:$A$64,0)),""))</f>
        <v/>
      </c>
      <c r="J192" s="136">
        <f>IF($F192="","",IFERROR(INDEX(사건마스터!$H$5:$H$64,MATCH($F192,사건마스터!$A$5:$A$64,0)),""))</f>
        <v/>
      </c>
      <c r="K192" s="136">
        <f>IF($F192="","",IFERROR(INDEX(사건마스터!$AH$5:$AH$64,MATCH($F192,사건마스터!$A$5:$A$64,0)),""))</f>
        <v/>
      </c>
      <c r="L192" s="136">
        <f>IF($F192="","",IFERROR(INDEX(사건마스터!$AI$5:$AI$64,MATCH($F192,사건마스터!$A$5:$A$64,0)),""))</f>
        <v/>
      </c>
      <c r="M192" s="136">
        <f>IF($F192="","",IFERROR(INDEX(사건마스터!$AJ$5:$AJ$64,MATCH($F192,사건마스터!$A$5:$A$64,0)),""))</f>
        <v/>
      </c>
      <c r="N192" s="136">
        <f>IF($F192="","",IFERROR(INDEX(사건마스터!$AK$5:$AK$64,MATCH($F192,사건마스터!$A$5:$A$64,0)),""))</f>
        <v/>
      </c>
      <c r="O192" s="136">
        <f>IF($F192="","",IFERROR(INDEX(사건마스터!$AL$5:$AL$64,MATCH($F192,사건마스터!$A$5:$A$64,0)),""))</f>
        <v/>
      </c>
      <c r="P192" s="136">
        <f>IF($F192="","",IFERROR(INDEX(사건마스터!$AM$5:$AM$64,MATCH($F192,사건마스터!$A$5:$A$64,0)),""))</f>
        <v/>
      </c>
      <c r="Q192" s="136">
        <f>IF($F192="","",IFERROR(INDEX(사건마스터!$AN$5:$AN$64,MATCH($F192,사건마스터!$A$5:$A$64,0)),""))</f>
        <v/>
      </c>
      <c r="R192" s="136">
        <f>IF($F192="","",IFERROR(INDEX(사건마스터!$AO$5:$AO$64,MATCH($F192,사건마스터!$A$5:$A$64,0)),""))</f>
        <v/>
      </c>
      <c r="S192" s="136">
        <f>IF($F192="","",IFERROR(INDEX(사건마스터!$AP$5:$AP$64,MATCH($F192,사건마스터!$A$5:$A$64,0)),""))</f>
        <v/>
      </c>
      <c r="T192" s="136">
        <f>IF($F192="","",IFERROR(INDEX(사건마스터!$AQ$5:$AQ$64,MATCH($F192,사건마스터!$A$5:$A$64,0)),""))</f>
        <v/>
      </c>
      <c r="U192" s="136">
        <f>IF($F192="","",IFERROR(INDEX(사건마스터!$AR$5:$AR$64,MATCH($F192,사건마스터!$A$5:$A$64,0)),""))</f>
        <v/>
      </c>
      <c r="V192" s="136">
        <f>IF($F192="","",IFERROR(INDEX(사건마스터!$AS$5:$AS$64,MATCH($F192,사건마스터!$A$5:$A$64,0)),""))</f>
        <v/>
      </c>
      <c r="W192" s="136">
        <f>IF($F192="","",IFERROR(INDEX(사건마스터!$AT$5:$AT$64,MATCH($F192,사건마스터!$A$5:$A$64,0)),""))</f>
        <v/>
      </c>
      <c r="X192" s="136">
        <f>IF($F192="","",IFERROR(INDEX(사건마스터!$AU$5:$AU$64,MATCH($F192,사건마스터!$A$5:$A$64,0)),""))</f>
        <v/>
      </c>
      <c r="Y192" s="136">
        <f>IF($F192="","",IFERROR(INDEX(사건마스터!$AV$5:$AV$64,MATCH($F192,사건마스터!$A$5:$A$64,0)),""))</f>
        <v/>
      </c>
      <c r="Z192" s="118">
        <f>IF(COUNTBLANK($J192:$Y192)=16,"",16-COUNTBLANK($J192:$Y192))</f>
        <v/>
      </c>
      <c r="AA192" s="33">
        <f>IF($J192="",MID($AX192,3,255),$J192&amp;$AX192)</f>
        <v/>
      </c>
      <c r="AB192" s="130">
        <f>IF($J192="","",IFERROR(INDEX(코드설정!$D$5:$D$24,MATCH($J192,코드설정!$C$5:$C$24,0)),""))</f>
        <v/>
      </c>
      <c r="AC192" s="36" t="n"/>
      <c r="AD192" s="37" t="n"/>
      <c r="AE192" s="38" t="n"/>
      <c r="AF192" s="118">
        <f>IF(OR($B192="",$C192=""),"",$C192-$B192+1)</f>
        <v/>
      </c>
      <c r="AG192" s="74" t="n"/>
      <c r="AH192" s="36" t="n"/>
      <c r="AJ192">
        <f>IF($K192="","",", "&amp;$K192)</f>
        <v/>
      </c>
      <c r="AK192">
        <f>AJ192&amp;IF($L192="","",", "&amp;$L192)</f>
        <v/>
      </c>
      <c r="AL192">
        <f>AK192&amp;IF($M192="","",", "&amp;$M192)</f>
        <v/>
      </c>
      <c r="AM192">
        <f>AL192&amp;IF($N192="","",", "&amp;$N192)</f>
        <v/>
      </c>
      <c r="AN192">
        <f>AM192&amp;IF($O192="","",", "&amp;$O192)</f>
        <v/>
      </c>
      <c r="AO192">
        <f>AN192&amp;IF($P192="","",", "&amp;$P192)</f>
        <v/>
      </c>
      <c r="AP192">
        <f>AO192&amp;IF($Q192="","",", "&amp;$Q192)</f>
        <v/>
      </c>
      <c r="AQ192">
        <f>AP192&amp;IF($R192="","",", "&amp;$R192)</f>
        <v/>
      </c>
      <c r="AR192">
        <f>AQ192&amp;IF($S192="","",", "&amp;$S192)</f>
        <v/>
      </c>
      <c r="AS192">
        <f>AR192&amp;IF($T192="","",", "&amp;$T192)</f>
        <v/>
      </c>
      <c r="AT192">
        <f>AS192&amp;IF($U192="","",", "&amp;$U192)</f>
        <v/>
      </c>
      <c r="AU192">
        <f>AT192&amp;IF($V192="","",", "&amp;$V192)</f>
        <v/>
      </c>
      <c r="AV192">
        <f>AU192&amp;IF($W192="","",", "&amp;$W192)</f>
        <v/>
      </c>
      <c r="AW192">
        <f>AV192&amp;IF($X192="","",", "&amp;$X192)</f>
        <v/>
      </c>
      <c r="AX192">
        <f>AW192&amp;IF($Y192="","",", "&amp;$Y192)</f>
        <v/>
      </c>
    </row>
    <row r="193">
      <c r="A193" s="118">
        <f>IF($B193="","",COUNT($B$5:$B193))</f>
        <v/>
      </c>
      <c r="B193" s="80" t="n"/>
      <c r="C193" s="80" t="n"/>
      <c r="D193" s="74" t="n"/>
      <c r="E193" s="74" t="n"/>
      <c r="F193" s="74" t="n"/>
      <c r="G193" s="118">
        <f>IF($F193="","",COUNTIF($F$5:$F193,$F193))</f>
        <v/>
      </c>
      <c r="H193" s="33">
        <f>IF($F193="","",IFERROR(INDEX(사건마스터!$B$5:$B$64,MATCH($F193,사건마스터!$A$5:$A$64,0)),""))</f>
        <v/>
      </c>
      <c r="I193" s="130">
        <f>IF($F193="","",IFERROR(INDEX(사건마스터!$C$5:$C$64,MATCH($F193,사건마스터!$A$5:$A$64,0)),""))</f>
        <v/>
      </c>
      <c r="J193" s="136">
        <f>IF($F193="","",IFERROR(INDEX(사건마스터!$H$5:$H$64,MATCH($F193,사건마스터!$A$5:$A$64,0)),""))</f>
        <v/>
      </c>
      <c r="K193" s="136">
        <f>IF($F193="","",IFERROR(INDEX(사건마스터!$AH$5:$AH$64,MATCH($F193,사건마스터!$A$5:$A$64,0)),""))</f>
        <v/>
      </c>
      <c r="L193" s="136">
        <f>IF($F193="","",IFERROR(INDEX(사건마스터!$AI$5:$AI$64,MATCH($F193,사건마스터!$A$5:$A$64,0)),""))</f>
        <v/>
      </c>
      <c r="M193" s="136">
        <f>IF($F193="","",IFERROR(INDEX(사건마스터!$AJ$5:$AJ$64,MATCH($F193,사건마스터!$A$5:$A$64,0)),""))</f>
        <v/>
      </c>
      <c r="N193" s="136">
        <f>IF($F193="","",IFERROR(INDEX(사건마스터!$AK$5:$AK$64,MATCH($F193,사건마스터!$A$5:$A$64,0)),""))</f>
        <v/>
      </c>
      <c r="O193" s="136">
        <f>IF($F193="","",IFERROR(INDEX(사건마스터!$AL$5:$AL$64,MATCH($F193,사건마스터!$A$5:$A$64,0)),""))</f>
        <v/>
      </c>
      <c r="P193" s="136">
        <f>IF($F193="","",IFERROR(INDEX(사건마스터!$AM$5:$AM$64,MATCH($F193,사건마스터!$A$5:$A$64,0)),""))</f>
        <v/>
      </c>
      <c r="Q193" s="136">
        <f>IF($F193="","",IFERROR(INDEX(사건마스터!$AN$5:$AN$64,MATCH($F193,사건마스터!$A$5:$A$64,0)),""))</f>
        <v/>
      </c>
      <c r="R193" s="136">
        <f>IF($F193="","",IFERROR(INDEX(사건마스터!$AO$5:$AO$64,MATCH($F193,사건마스터!$A$5:$A$64,0)),""))</f>
        <v/>
      </c>
      <c r="S193" s="136">
        <f>IF($F193="","",IFERROR(INDEX(사건마스터!$AP$5:$AP$64,MATCH($F193,사건마스터!$A$5:$A$64,0)),""))</f>
        <v/>
      </c>
      <c r="T193" s="136">
        <f>IF($F193="","",IFERROR(INDEX(사건마스터!$AQ$5:$AQ$64,MATCH($F193,사건마스터!$A$5:$A$64,0)),""))</f>
        <v/>
      </c>
      <c r="U193" s="136">
        <f>IF($F193="","",IFERROR(INDEX(사건마스터!$AR$5:$AR$64,MATCH($F193,사건마스터!$A$5:$A$64,0)),""))</f>
        <v/>
      </c>
      <c r="V193" s="136">
        <f>IF($F193="","",IFERROR(INDEX(사건마스터!$AS$5:$AS$64,MATCH($F193,사건마스터!$A$5:$A$64,0)),""))</f>
        <v/>
      </c>
      <c r="W193" s="136">
        <f>IF($F193="","",IFERROR(INDEX(사건마스터!$AT$5:$AT$64,MATCH($F193,사건마스터!$A$5:$A$64,0)),""))</f>
        <v/>
      </c>
      <c r="X193" s="136">
        <f>IF($F193="","",IFERROR(INDEX(사건마스터!$AU$5:$AU$64,MATCH($F193,사건마스터!$A$5:$A$64,0)),""))</f>
        <v/>
      </c>
      <c r="Y193" s="136">
        <f>IF($F193="","",IFERROR(INDEX(사건마스터!$AV$5:$AV$64,MATCH($F193,사건마스터!$A$5:$A$64,0)),""))</f>
        <v/>
      </c>
      <c r="Z193" s="118">
        <f>IF(COUNTBLANK($J193:$Y193)=16,"",16-COUNTBLANK($J193:$Y193))</f>
        <v/>
      </c>
      <c r="AA193" s="33">
        <f>IF($J193="",MID($AX193,3,255),$J193&amp;$AX193)</f>
        <v/>
      </c>
      <c r="AB193" s="130">
        <f>IF($J193="","",IFERROR(INDEX(코드설정!$D$5:$D$24,MATCH($J193,코드설정!$C$5:$C$24,0)),""))</f>
        <v/>
      </c>
      <c r="AC193" s="36" t="n"/>
      <c r="AD193" s="37" t="n"/>
      <c r="AE193" s="38" t="n"/>
      <c r="AF193" s="118">
        <f>IF(OR($B193="",$C193=""),"",$C193-$B193+1)</f>
        <v/>
      </c>
      <c r="AG193" s="74" t="n"/>
      <c r="AH193" s="36" t="n"/>
      <c r="AJ193">
        <f>IF($K193="","",", "&amp;$K193)</f>
        <v/>
      </c>
      <c r="AK193">
        <f>AJ193&amp;IF($L193="","",", "&amp;$L193)</f>
        <v/>
      </c>
      <c r="AL193">
        <f>AK193&amp;IF($M193="","",", "&amp;$M193)</f>
        <v/>
      </c>
      <c r="AM193">
        <f>AL193&amp;IF($N193="","",", "&amp;$N193)</f>
        <v/>
      </c>
      <c r="AN193">
        <f>AM193&amp;IF($O193="","",", "&amp;$O193)</f>
        <v/>
      </c>
      <c r="AO193">
        <f>AN193&amp;IF($P193="","",", "&amp;$P193)</f>
        <v/>
      </c>
      <c r="AP193">
        <f>AO193&amp;IF($Q193="","",", "&amp;$Q193)</f>
        <v/>
      </c>
      <c r="AQ193">
        <f>AP193&amp;IF($R193="","",", "&amp;$R193)</f>
        <v/>
      </c>
      <c r="AR193">
        <f>AQ193&amp;IF($S193="","",", "&amp;$S193)</f>
        <v/>
      </c>
      <c r="AS193">
        <f>AR193&amp;IF($T193="","",", "&amp;$T193)</f>
        <v/>
      </c>
      <c r="AT193">
        <f>AS193&amp;IF($U193="","",", "&amp;$U193)</f>
        <v/>
      </c>
      <c r="AU193">
        <f>AT193&amp;IF($V193="","",", "&amp;$V193)</f>
        <v/>
      </c>
      <c r="AV193">
        <f>AU193&amp;IF($W193="","",", "&amp;$W193)</f>
        <v/>
      </c>
      <c r="AW193">
        <f>AV193&amp;IF($X193="","",", "&amp;$X193)</f>
        <v/>
      </c>
      <c r="AX193">
        <f>AW193&amp;IF($Y193="","",", "&amp;$Y193)</f>
        <v/>
      </c>
    </row>
    <row r="194">
      <c r="A194" s="118">
        <f>IF($B194="","",COUNT($B$5:$B194))</f>
        <v/>
      </c>
      <c r="B194" s="80" t="n"/>
      <c r="C194" s="80" t="n"/>
      <c r="D194" s="74" t="n"/>
      <c r="E194" s="74" t="n"/>
      <c r="F194" s="74" t="n"/>
      <c r="G194" s="118">
        <f>IF($F194="","",COUNTIF($F$5:$F194,$F194))</f>
        <v/>
      </c>
      <c r="H194" s="33">
        <f>IF($F194="","",IFERROR(INDEX(사건마스터!$B$5:$B$64,MATCH($F194,사건마스터!$A$5:$A$64,0)),""))</f>
        <v/>
      </c>
      <c r="I194" s="130">
        <f>IF($F194="","",IFERROR(INDEX(사건마스터!$C$5:$C$64,MATCH($F194,사건마스터!$A$5:$A$64,0)),""))</f>
        <v/>
      </c>
      <c r="J194" s="136">
        <f>IF($F194="","",IFERROR(INDEX(사건마스터!$H$5:$H$64,MATCH($F194,사건마스터!$A$5:$A$64,0)),""))</f>
        <v/>
      </c>
      <c r="K194" s="136">
        <f>IF($F194="","",IFERROR(INDEX(사건마스터!$AH$5:$AH$64,MATCH($F194,사건마스터!$A$5:$A$64,0)),""))</f>
        <v/>
      </c>
      <c r="L194" s="136">
        <f>IF($F194="","",IFERROR(INDEX(사건마스터!$AI$5:$AI$64,MATCH($F194,사건마스터!$A$5:$A$64,0)),""))</f>
        <v/>
      </c>
      <c r="M194" s="136">
        <f>IF($F194="","",IFERROR(INDEX(사건마스터!$AJ$5:$AJ$64,MATCH($F194,사건마스터!$A$5:$A$64,0)),""))</f>
        <v/>
      </c>
      <c r="N194" s="136">
        <f>IF($F194="","",IFERROR(INDEX(사건마스터!$AK$5:$AK$64,MATCH($F194,사건마스터!$A$5:$A$64,0)),""))</f>
        <v/>
      </c>
      <c r="O194" s="136">
        <f>IF($F194="","",IFERROR(INDEX(사건마스터!$AL$5:$AL$64,MATCH($F194,사건마스터!$A$5:$A$64,0)),""))</f>
        <v/>
      </c>
      <c r="P194" s="136">
        <f>IF($F194="","",IFERROR(INDEX(사건마스터!$AM$5:$AM$64,MATCH($F194,사건마스터!$A$5:$A$64,0)),""))</f>
        <v/>
      </c>
      <c r="Q194" s="136">
        <f>IF($F194="","",IFERROR(INDEX(사건마스터!$AN$5:$AN$64,MATCH($F194,사건마스터!$A$5:$A$64,0)),""))</f>
        <v/>
      </c>
      <c r="R194" s="136">
        <f>IF($F194="","",IFERROR(INDEX(사건마스터!$AO$5:$AO$64,MATCH($F194,사건마스터!$A$5:$A$64,0)),""))</f>
        <v/>
      </c>
      <c r="S194" s="136">
        <f>IF($F194="","",IFERROR(INDEX(사건마스터!$AP$5:$AP$64,MATCH($F194,사건마스터!$A$5:$A$64,0)),""))</f>
        <v/>
      </c>
      <c r="T194" s="136">
        <f>IF($F194="","",IFERROR(INDEX(사건마스터!$AQ$5:$AQ$64,MATCH($F194,사건마스터!$A$5:$A$64,0)),""))</f>
        <v/>
      </c>
      <c r="U194" s="136">
        <f>IF($F194="","",IFERROR(INDEX(사건마스터!$AR$5:$AR$64,MATCH($F194,사건마스터!$A$5:$A$64,0)),""))</f>
        <v/>
      </c>
      <c r="V194" s="136">
        <f>IF($F194="","",IFERROR(INDEX(사건마스터!$AS$5:$AS$64,MATCH($F194,사건마스터!$A$5:$A$64,0)),""))</f>
        <v/>
      </c>
      <c r="W194" s="136">
        <f>IF($F194="","",IFERROR(INDEX(사건마스터!$AT$5:$AT$64,MATCH($F194,사건마스터!$A$5:$A$64,0)),""))</f>
        <v/>
      </c>
      <c r="X194" s="136">
        <f>IF($F194="","",IFERROR(INDEX(사건마스터!$AU$5:$AU$64,MATCH($F194,사건마스터!$A$5:$A$64,0)),""))</f>
        <v/>
      </c>
      <c r="Y194" s="136">
        <f>IF($F194="","",IFERROR(INDEX(사건마스터!$AV$5:$AV$64,MATCH($F194,사건마스터!$A$5:$A$64,0)),""))</f>
        <v/>
      </c>
      <c r="Z194" s="118">
        <f>IF(COUNTBLANK($J194:$Y194)=16,"",16-COUNTBLANK($J194:$Y194))</f>
        <v/>
      </c>
      <c r="AA194" s="33">
        <f>IF($J194="",MID($AX194,3,255),$J194&amp;$AX194)</f>
        <v/>
      </c>
      <c r="AB194" s="130">
        <f>IF($J194="","",IFERROR(INDEX(코드설정!$D$5:$D$24,MATCH($J194,코드설정!$C$5:$C$24,0)),""))</f>
        <v/>
      </c>
      <c r="AC194" s="36" t="n"/>
      <c r="AD194" s="37" t="n"/>
      <c r="AE194" s="38" t="n"/>
      <c r="AF194" s="118">
        <f>IF(OR($B194="",$C194=""),"",$C194-$B194+1)</f>
        <v/>
      </c>
      <c r="AG194" s="74" t="n"/>
      <c r="AH194" s="36" t="n"/>
      <c r="AJ194">
        <f>IF($K194="","",", "&amp;$K194)</f>
        <v/>
      </c>
      <c r="AK194">
        <f>AJ194&amp;IF($L194="","",", "&amp;$L194)</f>
        <v/>
      </c>
      <c r="AL194">
        <f>AK194&amp;IF($M194="","",", "&amp;$M194)</f>
        <v/>
      </c>
      <c r="AM194">
        <f>AL194&amp;IF($N194="","",", "&amp;$N194)</f>
        <v/>
      </c>
      <c r="AN194">
        <f>AM194&amp;IF($O194="","",", "&amp;$O194)</f>
        <v/>
      </c>
      <c r="AO194">
        <f>AN194&amp;IF($P194="","",", "&amp;$P194)</f>
        <v/>
      </c>
      <c r="AP194">
        <f>AO194&amp;IF($Q194="","",", "&amp;$Q194)</f>
        <v/>
      </c>
      <c r="AQ194">
        <f>AP194&amp;IF($R194="","",", "&amp;$R194)</f>
        <v/>
      </c>
      <c r="AR194">
        <f>AQ194&amp;IF($S194="","",", "&amp;$S194)</f>
        <v/>
      </c>
      <c r="AS194">
        <f>AR194&amp;IF($T194="","",", "&amp;$T194)</f>
        <v/>
      </c>
      <c r="AT194">
        <f>AS194&amp;IF($U194="","",", "&amp;$U194)</f>
        <v/>
      </c>
      <c r="AU194">
        <f>AT194&amp;IF($V194="","",", "&amp;$V194)</f>
        <v/>
      </c>
      <c r="AV194">
        <f>AU194&amp;IF($W194="","",", "&amp;$W194)</f>
        <v/>
      </c>
      <c r="AW194">
        <f>AV194&amp;IF($X194="","",", "&amp;$X194)</f>
        <v/>
      </c>
      <c r="AX194">
        <f>AW194&amp;IF($Y194="","",", "&amp;$Y194)</f>
        <v/>
      </c>
    </row>
    <row r="195">
      <c r="A195" s="118">
        <f>IF($B195="","",COUNT($B$5:$B195))</f>
        <v/>
      </c>
      <c r="B195" s="80" t="n"/>
      <c r="C195" s="80" t="n"/>
      <c r="D195" s="74" t="n"/>
      <c r="E195" s="74" t="n"/>
      <c r="F195" s="74" t="n"/>
      <c r="G195" s="118">
        <f>IF($F195="","",COUNTIF($F$5:$F195,$F195))</f>
        <v/>
      </c>
      <c r="H195" s="33">
        <f>IF($F195="","",IFERROR(INDEX(사건마스터!$B$5:$B$64,MATCH($F195,사건마스터!$A$5:$A$64,0)),""))</f>
        <v/>
      </c>
      <c r="I195" s="130">
        <f>IF($F195="","",IFERROR(INDEX(사건마스터!$C$5:$C$64,MATCH($F195,사건마스터!$A$5:$A$64,0)),""))</f>
        <v/>
      </c>
      <c r="J195" s="136">
        <f>IF($F195="","",IFERROR(INDEX(사건마스터!$H$5:$H$64,MATCH($F195,사건마스터!$A$5:$A$64,0)),""))</f>
        <v/>
      </c>
      <c r="K195" s="136">
        <f>IF($F195="","",IFERROR(INDEX(사건마스터!$AH$5:$AH$64,MATCH($F195,사건마스터!$A$5:$A$64,0)),""))</f>
        <v/>
      </c>
      <c r="L195" s="136">
        <f>IF($F195="","",IFERROR(INDEX(사건마스터!$AI$5:$AI$64,MATCH($F195,사건마스터!$A$5:$A$64,0)),""))</f>
        <v/>
      </c>
      <c r="M195" s="136">
        <f>IF($F195="","",IFERROR(INDEX(사건마스터!$AJ$5:$AJ$64,MATCH($F195,사건마스터!$A$5:$A$64,0)),""))</f>
        <v/>
      </c>
      <c r="N195" s="136">
        <f>IF($F195="","",IFERROR(INDEX(사건마스터!$AK$5:$AK$64,MATCH($F195,사건마스터!$A$5:$A$64,0)),""))</f>
        <v/>
      </c>
      <c r="O195" s="136">
        <f>IF($F195="","",IFERROR(INDEX(사건마스터!$AL$5:$AL$64,MATCH($F195,사건마스터!$A$5:$A$64,0)),""))</f>
        <v/>
      </c>
      <c r="P195" s="136">
        <f>IF($F195="","",IFERROR(INDEX(사건마스터!$AM$5:$AM$64,MATCH($F195,사건마스터!$A$5:$A$64,0)),""))</f>
        <v/>
      </c>
      <c r="Q195" s="136">
        <f>IF($F195="","",IFERROR(INDEX(사건마스터!$AN$5:$AN$64,MATCH($F195,사건마스터!$A$5:$A$64,0)),""))</f>
        <v/>
      </c>
      <c r="R195" s="136">
        <f>IF($F195="","",IFERROR(INDEX(사건마스터!$AO$5:$AO$64,MATCH($F195,사건마스터!$A$5:$A$64,0)),""))</f>
        <v/>
      </c>
      <c r="S195" s="136">
        <f>IF($F195="","",IFERROR(INDEX(사건마스터!$AP$5:$AP$64,MATCH($F195,사건마스터!$A$5:$A$64,0)),""))</f>
        <v/>
      </c>
      <c r="T195" s="136">
        <f>IF($F195="","",IFERROR(INDEX(사건마스터!$AQ$5:$AQ$64,MATCH($F195,사건마스터!$A$5:$A$64,0)),""))</f>
        <v/>
      </c>
      <c r="U195" s="136">
        <f>IF($F195="","",IFERROR(INDEX(사건마스터!$AR$5:$AR$64,MATCH($F195,사건마스터!$A$5:$A$64,0)),""))</f>
        <v/>
      </c>
      <c r="V195" s="136">
        <f>IF($F195="","",IFERROR(INDEX(사건마스터!$AS$5:$AS$64,MATCH($F195,사건마스터!$A$5:$A$64,0)),""))</f>
        <v/>
      </c>
      <c r="W195" s="136">
        <f>IF($F195="","",IFERROR(INDEX(사건마스터!$AT$5:$AT$64,MATCH($F195,사건마스터!$A$5:$A$64,0)),""))</f>
        <v/>
      </c>
      <c r="X195" s="136">
        <f>IF($F195="","",IFERROR(INDEX(사건마스터!$AU$5:$AU$64,MATCH($F195,사건마스터!$A$5:$A$64,0)),""))</f>
        <v/>
      </c>
      <c r="Y195" s="136">
        <f>IF($F195="","",IFERROR(INDEX(사건마스터!$AV$5:$AV$64,MATCH($F195,사건마스터!$A$5:$A$64,0)),""))</f>
        <v/>
      </c>
      <c r="Z195" s="118">
        <f>IF(COUNTBLANK($J195:$Y195)=16,"",16-COUNTBLANK($J195:$Y195))</f>
        <v/>
      </c>
      <c r="AA195" s="33">
        <f>IF($J195="",MID($AX195,3,255),$J195&amp;$AX195)</f>
        <v/>
      </c>
      <c r="AB195" s="130">
        <f>IF($J195="","",IFERROR(INDEX(코드설정!$D$5:$D$24,MATCH($J195,코드설정!$C$5:$C$24,0)),""))</f>
        <v/>
      </c>
      <c r="AC195" s="36" t="n"/>
      <c r="AD195" s="37" t="n"/>
      <c r="AE195" s="38" t="n"/>
      <c r="AF195" s="118">
        <f>IF(OR($B195="",$C195=""),"",$C195-$B195+1)</f>
        <v/>
      </c>
      <c r="AG195" s="74" t="n"/>
      <c r="AH195" s="36" t="n"/>
      <c r="AJ195">
        <f>IF($K195="","",", "&amp;$K195)</f>
        <v/>
      </c>
      <c r="AK195">
        <f>AJ195&amp;IF($L195="","",", "&amp;$L195)</f>
        <v/>
      </c>
      <c r="AL195">
        <f>AK195&amp;IF($M195="","",", "&amp;$M195)</f>
        <v/>
      </c>
      <c r="AM195">
        <f>AL195&amp;IF($N195="","",", "&amp;$N195)</f>
        <v/>
      </c>
      <c r="AN195">
        <f>AM195&amp;IF($O195="","",", "&amp;$O195)</f>
        <v/>
      </c>
      <c r="AO195">
        <f>AN195&amp;IF($P195="","",", "&amp;$P195)</f>
        <v/>
      </c>
      <c r="AP195">
        <f>AO195&amp;IF($Q195="","",", "&amp;$Q195)</f>
        <v/>
      </c>
      <c r="AQ195">
        <f>AP195&amp;IF($R195="","",", "&amp;$R195)</f>
        <v/>
      </c>
      <c r="AR195">
        <f>AQ195&amp;IF($S195="","",", "&amp;$S195)</f>
        <v/>
      </c>
      <c r="AS195">
        <f>AR195&amp;IF($T195="","",", "&amp;$T195)</f>
        <v/>
      </c>
      <c r="AT195">
        <f>AS195&amp;IF($U195="","",", "&amp;$U195)</f>
        <v/>
      </c>
      <c r="AU195">
        <f>AT195&amp;IF($V195="","",", "&amp;$V195)</f>
        <v/>
      </c>
      <c r="AV195">
        <f>AU195&amp;IF($W195="","",", "&amp;$W195)</f>
        <v/>
      </c>
      <c r="AW195">
        <f>AV195&amp;IF($X195="","",", "&amp;$X195)</f>
        <v/>
      </c>
      <c r="AX195">
        <f>AW195&amp;IF($Y195="","",", "&amp;$Y195)</f>
        <v/>
      </c>
    </row>
    <row r="196">
      <c r="A196" s="118">
        <f>IF($B196="","",COUNT($B$5:$B196))</f>
        <v/>
      </c>
      <c r="B196" s="80" t="n"/>
      <c r="C196" s="80" t="n"/>
      <c r="D196" s="74" t="n"/>
      <c r="E196" s="74" t="n"/>
      <c r="F196" s="74" t="n"/>
      <c r="G196" s="118">
        <f>IF($F196="","",COUNTIF($F$5:$F196,$F196))</f>
        <v/>
      </c>
      <c r="H196" s="33">
        <f>IF($F196="","",IFERROR(INDEX(사건마스터!$B$5:$B$64,MATCH($F196,사건마스터!$A$5:$A$64,0)),""))</f>
        <v/>
      </c>
      <c r="I196" s="130">
        <f>IF($F196="","",IFERROR(INDEX(사건마스터!$C$5:$C$64,MATCH($F196,사건마스터!$A$5:$A$64,0)),""))</f>
        <v/>
      </c>
      <c r="J196" s="136">
        <f>IF($F196="","",IFERROR(INDEX(사건마스터!$H$5:$H$64,MATCH($F196,사건마스터!$A$5:$A$64,0)),""))</f>
        <v/>
      </c>
      <c r="K196" s="136">
        <f>IF($F196="","",IFERROR(INDEX(사건마스터!$AH$5:$AH$64,MATCH($F196,사건마스터!$A$5:$A$64,0)),""))</f>
        <v/>
      </c>
      <c r="L196" s="136">
        <f>IF($F196="","",IFERROR(INDEX(사건마스터!$AI$5:$AI$64,MATCH($F196,사건마스터!$A$5:$A$64,0)),""))</f>
        <v/>
      </c>
      <c r="M196" s="136">
        <f>IF($F196="","",IFERROR(INDEX(사건마스터!$AJ$5:$AJ$64,MATCH($F196,사건마스터!$A$5:$A$64,0)),""))</f>
        <v/>
      </c>
      <c r="N196" s="136">
        <f>IF($F196="","",IFERROR(INDEX(사건마스터!$AK$5:$AK$64,MATCH($F196,사건마스터!$A$5:$A$64,0)),""))</f>
        <v/>
      </c>
      <c r="O196" s="136">
        <f>IF($F196="","",IFERROR(INDEX(사건마스터!$AL$5:$AL$64,MATCH($F196,사건마스터!$A$5:$A$64,0)),""))</f>
        <v/>
      </c>
      <c r="P196" s="136">
        <f>IF($F196="","",IFERROR(INDEX(사건마스터!$AM$5:$AM$64,MATCH($F196,사건마스터!$A$5:$A$64,0)),""))</f>
        <v/>
      </c>
      <c r="Q196" s="136">
        <f>IF($F196="","",IFERROR(INDEX(사건마스터!$AN$5:$AN$64,MATCH($F196,사건마스터!$A$5:$A$64,0)),""))</f>
        <v/>
      </c>
      <c r="R196" s="136">
        <f>IF($F196="","",IFERROR(INDEX(사건마스터!$AO$5:$AO$64,MATCH($F196,사건마스터!$A$5:$A$64,0)),""))</f>
        <v/>
      </c>
      <c r="S196" s="136">
        <f>IF($F196="","",IFERROR(INDEX(사건마스터!$AP$5:$AP$64,MATCH($F196,사건마스터!$A$5:$A$64,0)),""))</f>
        <v/>
      </c>
      <c r="T196" s="136">
        <f>IF($F196="","",IFERROR(INDEX(사건마스터!$AQ$5:$AQ$64,MATCH($F196,사건마스터!$A$5:$A$64,0)),""))</f>
        <v/>
      </c>
      <c r="U196" s="136">
        <f>IF($F196="","",IFERROR(INDEX(사건마스터!$AR$5:$AR$64,MATCH($F196,사건마스터!$A$5:$A$64,0)),""))</f>
        <v/>
      </c>
      <c r="V196" s="136">
        <f>IF($F196="","",IFERROR(INDEX(사건마스터!$AS$5:$AS$64,MATCH($F196,사건마스터!$A$5:$A$64,0)),""))</f>
        <v/>
      </c>
      <c r="W196" s="136">
        <f>IF($F196="","",IFERROR(INDEX(사건마스터!$AT$5:$AT$64,MATCH($F196,사건마스터!$A$5:$A$64,0)),""))</f>
        <v/>
      </c>
      <c r="X196" s="136">
        <f>IF($F196="","",IFERROR(INDEX(사건마스터!$AU$5:$AU$64,MATCH($F196,사건마스터!$A$5:$A$64,0)),""))</f>
        <v/>
      </c>
      <c r="Y196" s="136">
        <f>IF($F196="","",IFERROR(INDEX(사건마스터!$AV$5:$AV$64,MATCH($F196,사건마스터!$A$5:$A$64,0)),""))</f>
        <v/>
      </c>
      <c r="Z196" s="118">
        <f>IF(COUNTBLANK($J196:$Y196)=16,"",16-COUNTBLANK($J196:$Y196))</f>
        <v/>
      </c>
      <c r="AA196" s="33">
        <f>IF($J196="",MID($AX196,3,255),$J196&amp;$AX196)</f>
        <v/>
      </c>
      <c r="AB196" s="130">
        <f>IF($J196="","",IFERROR(INDEX(코드설정!$D$5:$D$24,MATCH($J196,코드설정!$C$5:$C$24,0)),""))</f>
        <v/>
      </c>
      <c r="AC196" s="36" t="n"/>
      <c r="AD196" s="37" t="n"/>
      <c r="AE196" s="38" t="n"/>
      <c r="AF196" s="118">
        <f>IF(OR($B196="",$C196=""),"",$C196-$B196+1)</f>
        <v/>
      </c>
      <c r="AG196" s="74" t="n"/>
      <c r="AH196" s="36" t="n"/>
      <c r="AJ196">
        <f>IF($K196="","",", "&amp;$K196)</f>
        <v/>
      </c>
      <c r="AK196">
        <f>AJ196&amp;IF($L196="","",", "&amp;$L196)</f>
        <v/>
      </c>
      <c r="AL196">
        <f>AK196&amp;IF($M196="","",", "&amp;$M196)</f>
        <v/>
      </c>
      <c r="AM196">
        <f>AL196&amp;IF($N196="","",", "&amp;$N196)</f>
        <v/>
      </c>
      <c r="AN196">
        <f>AM196&amp;IF($O196="","",", "&amp;$O196)</f>
        <v/>
      </c>
      <c r="AO196">
        <f>AN196&amp;IF($P196="","",", "&amp;$P196)</f>
        <v/>
      </c>
      <c r="AP196">
        <f>AO196&amp;IF($Q196="","",", "&amp;$Q196)</f>
        <v/>
      </c>
      <c r="AQ196">
        <f>AP196&amp;IF($R196="","",", "&amp;$R196)</f>
        <v/>
      </c>
      <c r="AR196">
        <f>AQ196&amp;IF($S196="","",", "&amp;$S196)</f>
        <v/>
      </c>
      <c r="AS196">
        <f>AR196&amp;IF($T196="","",", "&amp;$T196)</f>
        <v/>
      </c>
      <c r="AT196">
        <f>AS196&amp;IF($U196="","",", "&amp;$U196)</f>
        <v/>
      </c>
      <c r="AU196">
        <f>AT196&amp;IF($V196="","",", "&amp;$V196)</f>
        <v/>
      </c>
      <c r="AV196">
        <f>AU196&amp;IF($W196="","",", "&amp;$W196)</f>
        <v/>
      </c>
      <c r="AW196">
        <f>AV196&amp;IF($X196="","",", "&amp;$X196)</f>
        <v/>
      </c>
      <c r="AX196">
        <f>AW196&amp;IF($Y196="","",", "&amp;$Y196)</f>
        <v/>
      </c>
    </row>
    <row r="197">
      <c r="A197" s="118">
        <f>IF($B197="","",COUNT($B$5:$B197))</f>
        <v/>
      </c>
      <c r="B197" s="80" t="n"/>
      <c r="C197" s="80" t="n"/>
      <c r="D197" s="74" t="n"/>
      <c r="E197" s="74" t="n"/>
      <c r="F197" s="74" t="n"/>
      <c r="G197" s="118">
        <f>IF($F197="","",COUNTIF($F$5:$F197,$F197))</f>
        <v/>
      </c>
      <c r="H197" s="33">
        <f>IF($F197="","",IFERROR(INDEX(사건마스터!$B$5:$B$64,MATCH($F197,사건마스터!$A$5:$A$64,0)),""))</f>
        <v/>
      </c>
      <c r="I197" s="130">
        <f>IF($F197="","",IFERROR(INDEX(사건마스터!$C$5:$C$64,MATCH($F197,사건마스터!$A$5:$A$64,0)),""))</f>
        <v/>
      </c>
      <c r="J197" s="136">
        <f>IF($F197="","",IFERROR(INDEX(사건마스터!$H$5:$H$64,MATCH($F197,사건마스터!$A$5:$A$64,0)),""))</f>
        <v/>
      </c>
      <c r="K197" s="136">
        <f>IF($F197="","",IFERROR(INDEX(사건마스터!$AH$5:$AH$64,MATCH($F197,사건마스터!$A$5:$A$64,0)),""))</f>
        <v/>
      </c>
      <c r="L197" s="136">
        <f>IF($F197="","",IFERROR(INDEX(사건마스터!$AI$5:$AI$64,MATCH($F197,사건마스터!$A$5:$A$64,0)),""))</f>
        <v/>
      </c>
      <c r="M197" s="136">
        <f>IF($F197="","",IFERROR(INDEX(사건마스터!$AJ$5:$AJ$64,MATCH($F197,사건마스터!$A$5:$A$64,0)),""))</f>
        <v/>
      </c>
      <c r="N197" s="136">
        <f>IF($F197="","",IFERROR(INDEX(사건마스터!$AK$5:$AK$64,MATCH($F197,사건마스터!$A$5:$A$64,0)),""))</f>
        <v/>
      </c>
      <c r="O197" s="136">
        <f>IF($F197="","",IFERROR(INDEX(사건마스터!$AL$5:$AL$64,MATCH($F197,사건마스터!$A$5:$A$64,0)),""))</f>
        <v/>
      </c>
      <c r="P197" s="136">
        <f>IF($F197="","",IFERROR(INDEX(사건마스터!$AM$5:$AM$64,MATCH($F197,사건마스터!$A$5:$A$64,0)),""))</f>
        <v/>
      </c>
      <c r="Q197" s="136">
        <f>IF($F197="","",IFERROR(INDEX(사건마스터!$AN$5:$AN$64,MATCH($F197,사건마스터!$A$5:$A$64,0)),""))</f>
        <v/>
      </c>
      <c r="R197" s="136">
        <f>IF($F197="","",IFERROR(INDEX(사건마스터!$AO$5:$AO$64,MATCH($F197,사건마스터!$A$5:$A$64,0)),""))</f>
        <v/>
      </c>
      <c r="S197" s="136">
        <f>IF($F197="","",IFERROR(INDEX(사건마스터!$AP$5:$AP$64,MATCH($F197,사건마스터!$A$5:$A$64,0)),""))</f>
        <v/>
      </c>
      <c r="T197" s="136">
        <f>IF($F197="","",IFERROR(INDEX(사건마스터!$AQ$5:$AQ$64,MATCH($F197,사건마스터!$A$5:$A$64,0)),""))</f>
        <v/>
      </c>
      <c r="U197" s="136">
        <f>IF($F197="","",IFERROR(INDEX(사건마스터!$AR$5:$AR$64,MATCH($F197,사건마스터!$A$5:$A$64,0)),""))</f>
        <v/>
      </c>
      <c r="V197" s="136">
        <f>IF($F197="","",IFERROR(INDEX(사건마스터!$AS$5:$AS$64,MATCH($F197,사건마스터!$A$5:$A$64,0)),""))</f>
        <v/>
      </c>
      <c r="W197" s="136">
        <f>IF($F197="","",IFERROR(INDEX(사건마스터!$AT$5:$AT$64,MATCH($F197,사건마스터!$A$5:$A$64,0)),""))</f>
        <v/>
      </c>
      <c r="X197" s="136">
        <f>IF($F197="","",IFERROR(INDEX(사건마스터!$AU$5:$AU$64,MATCH($F197,사건마스터!$A$5:$A$64,0)),""))</f>
        <v/>
      </c>
      <c r="Y197" s="136">
        <f>IF($F197="","",IFERROR(INDEX(사건마스터!$AV$5:$AV$64,MATCH($F197,사건마스터!$A$5:$A$64,0)),""))</f>
        <v/>
      </c>
      <c r="Z197" s="118">
        <f>IF(COUNTBLANK($J197:$Y197)=16,"",16-COUNTBLANK($J197:$Y197))</f>
        <v/>
      </c>
      <c r="AA197" s="33">
        <f>IF($J197="",MID($AX197,3,255),$J197&amp;$AX197)</f>
        <v/>
      </c>
      <c r="AB197" s="130">
        <f>IF($J197="","",IFERROR(INDEX(코드설정!$D$5:$D$24,MATCH($J197,코드설정!$C$5:$C$24,0)),""))</f>
        <v/>
      </c>
      <c r="AC197" s="36" t="n"/>
      <c r="AD197" s="37" t="n"/>
      <c r="AE197" s="38" t="n"/>
      <c r="AF197" s="118">
        <f>IF(OR($B197="",$C197=""),"",$C197-$B197+1)</f>
        <v/>
      </c>
      <c r="AG197" s="74" t="n"/>
      <c r="AH197" s="36" t="n"/>
      <c r="AJ197">
        <f>IF($K197="","",", "&amp;$K197)</f>
        <v/>
      </c>
      <c r="AK197">
        <f>AJ197&amp;IF($L197="","",", "&amp;$L197)</f>
        <v/>
      </c>
      <c r="AL197">
        <f>AK197&amp;IF($M197="","",", "&amp;$M197)</f>
        <v/>
      </c>
      <c r="AM197">
        <f>AL197&amp;IF($N197="","",", "&amp;$N197)</f>
        <v/>
      </c>
      <c r="AN197">
        <f>AM197&amp;IF($O197="","",", "&amp;$O197)</f>
        <v/>
      </c>
      <c r="AO197">
        <f>AN197&amp;IF($P197="","",", "&amp;$P197)</f>
        <v/>
      </c>
      <c r="AP197">
        <f>AO197&amp;IF($Q197="","",", "&amp;$Q197)</f>
        <v/>
      </c>
      <c r="AQ197">
        <f>AP197&amp;IF($R197="","",", "&amp;$R197)</f>
        <v/>
      </c>
      <c r="AR197">
        <f>AQ197&amp;IF($S197="","",", "&amp;$S197)</f>
        <v/>
      </c>
      <c r="AS197">
        <f>AR197&amp;IF($T197="","",", "&amp;$T197)</f>
        <v/>
      </c>
      <c r="AT197">
        <f>AS197&amp;IF($U197="","",", "&amp;$U197)</f>
        <v/>
      </c>
      <c r="AU197">
        <f>AT197&amp;IF($V197="","",", "&amp;$V197)</f>
        <v/>
      </c>
      <c r="AV197">
        <f>AU197&amp;IF($W197="","",", "&amp;$W197)</f>
        <v/>
      </c>
      <c r="AW197">
        <f>AV197&amp;IF($X197="","",", "&amp;$X197)</f>
        <v/>
      </c>
      <c r="AX197">
        <f>AW197&amp;IF($Y197="","",", "&amp;$Y197)</f>
        <v/>
      </c>
    </row>
    <row r="198">
      <c r="A198" s="118">
        <f>IF($B198="","",COUNT($B$5:$B198))</f>
        <v/>
      </c>
      <c r="B198" s="80" t="n"/>
      <c r="C198" s="80" t="n"/>
      <c r="D198" s="74" t="n"/>
      <c r="E198" s="74" t="n"/>
      <c r="F198" s="74" t="n"/>
      <c r="G198" s="118">
        <f>IF($F198="","",COUNTIF($F$5:$F198,$F198))</f>
        <v/>
      </c>
      <c r="H198" s="33">
        <f>IF($F198="","",IFERROR(INDEX(사건마스터!$B$5:$B$64,MATCH($F198,사건마스터!$A$5:$A$64,0)),""))</f>
        <v/>
      </c>
      <c r="I198" s="130">
        <f>IF($F198="","",IFERROR(INDEX(사건마스터!$C$5:$C$64,MATCH($F198,사건마스터!$A$5:$A$64,0)),""))</f>
        <v/>
      </c>
      <c r="J198" s="136">
        <f>IF($F198="","",IFERROR(INDEX(사건마스터!$H$5:$H$64,MATCH($F198,사건마스터!$A$5:$A$64,0)),""))</f>
        <v/>
      </c>
      <c r="K198" s="136">
        <f>IF($F198="","",IFERROR(INDEX(사건마스터!$AH$5:$AH$64,MATCH($F198,사건마스터!$A$5:$A$64,0)),""))</f>
        <v/>
      </c>
      <c r="L198" s="136">
        <f>IF($F198="","",IFERROR(INDEX(사건마스터!$AI$5:$AI$64,MATCH($F198,사건마스터!$A$5:$A$64,0)),""))</f>
        <v/>
      </c>
      <c r="M198" s="136">
        <f>IF($F198="","",IFERROR(INDEX(사건마스터!$AJ$5:$AJ$64,MATCH($F198,사건마스터!$A$5:$A$64,0)),""))</f>
        <v/>
      </c>
      <c r="N198" s="136">
        <f>IF($F198="","",IFERROR(INDEX(사건마스터!$AK$5:$AK$64,MATCH($F198,사건마스터!$A$5:$A$64,0)),""))</f>
        <v/>
      </c>
      <c r="O198" s="136">
        <f>IF($F198="","",IFERROR(INDEX(사건마스터!$AL$5:$AL$64,MATCH($F198,사건마스터!$A$5:$A$64,0)),""))</f>
        <v/>
      </c>
      <c r="P198" s="136">
        <f>IF($F198="","",IFERROR(INDEX(사건마스터!$AM$5:$AM$64,MATCH($F198,사건마스터!$A$5:$A$64,0)),""))</f>
        <v/>
      </c>
      <c r="Q198" s="136">
        <f>IF($F198="","",IFERROR(INDEX(사건마스터!$AN$5:$AN$64,MATCH($F198,사건마스터!$A$5:$A$64,0)),""))</f>
        <v/>
      </c>
      <c r="R198" s="136">
        <f>IF($F198="","",IFERROR(INDEX(사건마스터!$AO$5:$AO$64,MATCH($F198,사건마스터!$A$5:$A$64,0)),""))</f>
        <v/>
      </c>
      <c r="S198" s="136">
        <f>IF($F198="","",IFERROR(INDEX(사건마스터!$AP$5:$AP$64,MATCH($F198,사건마스터!$A$5:$A$64,0)),""))</f>
        <v/>
      </c>
      <c r="T198" s="136">
        <f>IF($F198="","",IFERROR(INDEX(사건마스터!$AQ$5:$AQ$64,MATCH($F198,사건마스터!$A$5:$A$64,0)),""))</f>
        <v/>
      </c>
      <c r="U198" s="136">
        <f>IF($F198="","",IFERROR(INDEX(사건마스터!$AR$5:$AR$64,MATCH($F198,사건마스터!$A$5:$A$64,0)),""))</f>
        <v/>
      </c>
      <c r="V198" s="136">
        <f>IF($F198="","",IFERROR(INDEX(사건마스터!$AS$5:$AS$64,MATCH($F198,사건마스터!$A$5:$A$64,0)),""))</f>
        <v/>
      </c>
      <c r="W198" s="136">
        <f>IF($F198="","",IFERROR(INDEX(사건마스터!$AT$5:$AT$64,MATCH($F198,사건마스터!$A$5:$A$64,0)),""))</f>
        <v/>
      </c>
      <c r="X198" s="136">
        <f>IF($F198="","",IFERROR(INDEX(사건마스터!$AU$5:$AU$64,MATCH($F198,사건마스터!$A$5:$A$64,0)),""))</f>
        <v/>
      </c>
      <c r="Y198" s="136">
        <f>IF($F198="","",IFERROR(INDEX(사건마스터!$AV$5:$AV$64,MATCH($F198,사건마스터!$A$5:$A$64,0)),""))</f>
        <v/>
      </c>
      <c r="Z198" s="118">
        <f>IF(COUNTBLANK($J198:$Y198)=16,"",16-COUNTBLANK($J198:$Y198))</f>
        <v/>
      </c>
      <c r="AA198" s="33">
        <f>IF($J198="",MID($AX198,3,255),$J198&amp;$AX198)</f>
        <v/>
      </c>
      <c r="AB198" s="130">
        <f>IF($J198="","",IFERROR(INDEX(코드설정!$D$5:$D$24,MATCH($J198,코드설정!$C$5:$C$24,0)),""))</f>
        <v/>
      </c>
      <c r="AC198" s="36" t="n"/>
      <c r="AD198" s="37" t="n"/>
      <c r="AE198" s="38" t="n"/>
      <c r="AF198" s="118">
        <f>IF(OR($B198="",$C198=""),"",$C198-$B198+1)</f>
        <v/>
      </c>
      <c r="AG198" s="74" t="n"/>
      <c r="AH198" s="36" t="n"/>
      <c r="AJ198">
        <f>IF($K198="","",", "&amp;$K198)</f>
        <v/>
      </c>
      <c r="AK198">
        <f>AJ198&amp;IF($L198="","",", "&amp;$L198)</f>
        <v/>
      </c>
      <c r="AL198">
        <f>AK198&amp;IF($M198="","",", "&amp;$M198)</f>
        <v/>
      </c>
      <c r="AM198">
        <f>AL198&amp;IF($N198="","",", "&amp;$N198)</f>
        <v/>
      </c>
      <c r="AN198">
        <f>AM198&amp;IF($O198="","",", "&amp;$O198)</f>
        <v/>
      </c>
      <c r="AO198">
        <f>AN198&amp;IF($P198="","",", "&amp;$P198)</f>
        <v/>
      </c>
      <c r="AP198">
        <f>AO198&amp;IF($Q198="","",", "&amp;$Q198)</f>
        <v/>
      </c>
      <c r="AQ198">
        <f>AP198&amp;IF($R198="","",", "&amp;$R198)</f>
        <v/>
      </c>
      <c r="AR198">
        <f>AQ198&amp;IF($S198="","",", "&amp;$S198)</f>
        <v/>
      </c>
      <c r="AS198">
        <f>AR198&amp;IF($T198="","",", "&amp;$T198)</f>
        <v/>
      </c>
      <c r="AT198">
        <f>AS198&amp;IF($U198="","",", "&amp;$U198)</f>
        <v/>
      </c>
      <c r="AU198">
        <f>AT198&amp;IF($V198="","",", "&amp;$V198)</f>
        <v/>
      </c>
      <c r="AV198">
        <f>AU198&amp;IF($W198="","",", "&amp;$W198)</f>
        <v/>
      </c>
      <c r="AW198">
        <f>AV198&amp;IF($X198="","",", "&amp;$X198)</f>
        <v/>
      </c>
      <c r="AX198">
        <f>AW198&amp;IF($Y198="","",", "&amp;$Y198)</f>
        <v/>
      </c>
    </row>
    <row r="199">
      <c r="A199" s="118">
        <f>IF($B199="","",COUNT($B$5:$B199))</f>
        <v/>
      </c>
      <c r="B199" s="80" t="n"/>
      <c r="C199" s="80" t="n"/>
      <c r="D199" s="74" t="n"/>
      <c r="E199" s="74" t="n"/>
      <c r="F199" s="74" t="n"/>
      <c r="G199" s="118">
        <f>IF($F199="","",COUNTIF($F$5:$F199,$F199))</f>
        <v/>
      </c>
      <c r="H199" s="33">
        <f>IF($F199="","",IFERROR(INDEX(사건마스터!$B$5:$B$64,MATCH($F199,사건마스터!$A$5:$A$64,0)),""))</f>
        <v/>
      </c>
      <c r="I199" s="130">
        <f>IF($F199="","",IFERROR(INDEX(사건마스터!$C$5:$C$64,MATCH($F199,사건마스터!$A$5:$A$64,0)),""))</f>
        <v/>
      </c>
      <c r="J199" s="136">
        <f>IF($F199="","",IFERROR(INDEX(사건마스터!$H$5:$H$64,MATCH($F199,사건마스터!$A$5:$A$64,0)),""))</f>
        <v/>
      </c>
      <c r="K199" s="136">
        <f>IF($F199="","",IFERROR(INDEX(사건마스터!$AH$5:$AH$64,MATCH($F199,사건마스터!$A$5:$A$64,0)),""))</f>
        <v/>
      </c>
      <c r="L199" s="136">
        <f>IF($F199="","",IFERROR(INDEX(사건마스터!$AI$5:$AI$64,MATCH($F199,사건마스터!$A$5:$A$64,0)),""))</f>
        <v/>
      </c>
      <c r="M199" s="136">
        <f>IF($F199="","",IFERROR(INDEX(사건마스터!$AJ$5:$AJ$64,MATCH($F199,사건마스터!$A$5:$A$64,0)),""))</f>
        <v/>
      </c>
      <c r="N199" s="136">
        <f>IF($F199="","",IFERROR(INDEX(사건마스터!$AK$5:$AK$64,MATCH($F199,사건마스터!$A$5:$A$64,0)),""))</f>
        <v/>
      </c>
      <c r="O199" s="136">
        <f>IF($F199="","",IFERROR(INDEX(사건마스터!$AL$5:$AL$64,MATCH($F199,사건마스터!$A$5:$A$64,0)),""))</f>
        <v/>
      </c>
      <c r="P199" s="136">
        <f>IF($F199="","",IFERROR(INDEX(사건마스터!$AM$5:$AM$64,MATCH($F199,사건마스터!$A$5:$A$64,0)),""))</f>
        <v/>
      </c>
      <c r="Q199" s="136">
        <f>IF($F199="","",IFERROR(INDEX(사건마스터!$AN$5:$AN$64,MATCH($F199,사건마스터!$A$5:$A$64,0)),""))</f>
        <v/>
      </c>
      <c r="R199" s="136">
        <f>IF($F199="","",IFERROR(INDEX(사건마스터!$AO$5:$AO$64,MATCH($F199,사건마스터!$A$5:$A$64,0)),""))</f>
        <v/>
      </c>
      <c r="S199" s="136">
        <f>IF($F199="","",IFERROR(INDEX(사건마스터!$AP$5:$AP$64,MATCH($F199,사건마스터!$A$5:$A$64,0)),""))</f>
        <v/>
      </c>
      <c r="T199" s="136">
        <f>IF($F199="","",IFERROR(INDEX(사건마스터!$AQ$5:$AQ$64,MATCH($F199,사건마스터!$A$5:$A$64,0)),""))</f>
        <v/>
      </c>
      <c r="U199" s="136">
        <f>IF($F199="","",IFERROR(INDEX(사건마스터!$AR$5:$AR$64,MATCH($F199,사건마스터!$A$5:$A$64,0)),""))</f>
        <v/>
      </c>
      <c r="V199" s="136">
        <f>IF($F199="","",IFERROR(INDEX(사건마스터!$AS$5:$AS$64,MATCH($F199,사건마스터!$A$5:$A$64,0)),""))</f>
        <v/>
      </c>
      <c r="W199" s="136">
        <f>IF($F199="","",IFERROR(INDEX(사건마스터!$AT$5:$AT$64,MATCH($F199,사건마스터!$A$5:$A$64,0)),""))</f>
        <v/>
      </c>
      <c r="X199" s="136">
        <f>IF($F199="","",IFERROR(INDEX(사건마스터!$AU$5:$AU$64,MATCH($F199,사건마스터!$A$5:$A$64,0)),""))</f>
        <v/>
      </c>
      <c r="Y199" s="136">
        <f>IF($F199="","",IFERROR(INDEX(사건마스터!$AV$5:$AV$64,MATCH($F199,사건마스터!$A$5:$A$64,0)),""))</f>
        <v/>
      </c>
      <c r="Z199" s="118">
        <f>IF(COUNTBLANK($J199:$Y199)=16,"",16-COUNTBLANK($J199:$Y199))</f>
        <v/>
      </c>
      <c r="AA199" s="33">
        <f>IF($J199="",MID($AX199,3,255),$J199&amp;$AX199)</f>
        <v/>
      </c>
      <c r="AB199" s="130">
        <f>IF($J199="","",IFERROR(INDEX(코드설정!$D$5:$D$24,MATCH($J199,코드설정!$C$5:$C$24,0)),""))</f>
        <v/>
      </c>
      <c r="AC199" s="36" t="n"/>
      <c r="AD199" s="37" t="n"/>
      <c r="AE199" s="38" t="n"/>
      <c r="AF199" s="118">
        <f>IF(OR($B199="",$C199=""),"",$C199-$B199+1)</f>
        <v/>
      </c>
      <c r="AG199" s="74" t="n"/>
      <c r="AH199" s="36" t="n"/>
      <c r="AJ199">
        <f>IF($K199="","",", "&amp;$K199)</f>
        <v/>
      </c>
      <c r="AK199">
        <f>AJ199&amp;IF($L199="","",", "&amp;$L199)</f>
        <v/>
      </c>
      <c r="AL199">
        <f>AK199&amp;IF($M199="","",", "&amp;$M199)</f>
        <v/>
      </c>
      <c r="AM199">
        <f>AL199&amp;IF($N199="","",", "&amp;$N199)</f>
        <v/>
      </c>
      <c r="AN199">
        <f>AM199&amp;IF($O199="","",", "&amp;$O199)</f>
        <v/>
      </c>
      <c r="AO199">
        <f>AN199&amp;IF($P199="","",", "&amp;$P199)</f>
        <v/>
      </c>
      <c r="AP199">
        <f>AO199&amp;IF($Q199="","",", "&amp;$Q199)</f>
        <v/>
      </c>
      <c r="AQ199">
        <f>AP199&amp;IF($R199="","",", "&amp;$R199)</f>
        <v/>
      </c>
      <c r="AR199">
        <f>AQ199&amp;IF($S199="","",", "&amp;$S199)</f>
        <v/>
      </c>
      <c r="AS199">
        <f>AR199&amp;IF($T199="","",", "&amp;$T199)</f>
        <v/>
      </c>
      <c r="AT199">
        <f>AS199&amp;IF($U199="","",", "&amp;$U199)</f>
        <v/>
      </c>
      <c r="AU199">
        <f>AT199&amp;IF($V199="","",", "&amp;$V199)</f>
        <v/>
      </c>
      <c r="AV199">
        <f>AU199&amp;IF($W199="","",", "&amp;$W199)</f>
        <v/>
      </c>
      <c r="AW199">
        <f>AV199&amp;IF($X199="","",", "&amp;$X199)</f>
        <v/>
      </c>
      <c r="AX199">
        <f>AW199&amp;IF($Y199="","",", "&amp;$Y199)</f>
        <v/>
      </c>
    </row>
    <row r="200">
      <c r="A200" s="118">
        <f>IF($B200="","",COUNT($B$5:$B200))</f>
        <v/>
      </c>
      <c r="B200" s="80" t="n"/>
      <c r="C200" s="80" t="n"/>
      <c r="D200" s="74" t="n"/>
      <c r="E200" s="74" t="n"/>
      <c r="F200" s="74" t="n"/>
      <c r="G200" s="118">
        <f>IF($F200="","",COUNTIF($F$5:$F200,$F200))</f>
        <v/>
      </c>
      <c r="H200" s="33">
        <f>IF($F200="","",IFERROR(INDEX(사건마스터!$B$5:$B$64,MATCH($F200,사건마스터!$A$5:$A$64,0)),""))</f>
        <v/>
      </c>
      <c r="I200" s="130">
        <f>IF($F200="","",IFERROR(INDEX(사건마스터!$C$5:$C$64,MATCH($F200,사건마스터!$A$5:$A$64,0)),""))</f>
        <v/>
      </c>
      <c r="J200" s="136">
        <f>IF($F200="","",IFERROR(INDEX(사건마스터!$H$5:$H$64,MATCH($F200,사건마스터!$A$5:$A$64,0)),""))</f>
        <v/>
      </c>
      <c r="K200" s="136">
        <f>IF($F200="","",IFERROR(INDEX(사건마스터!$AH$5:$AH$64,MATCH($F200,사건마스터!$A$5:$A$64,0)),""))</f>
        <v/>
      </c>
      <c r="L200" s="136">
        <f>IF($F200="","",IFERROR(INDEX(사건마스터!$AI$5:$AI$64,MATCH($F200,사건마스터!$A$5:$A$64,0)),""))</f>
        <v/>
      </c>
      <c r="M200" s="136">
        <f>IF($F200="","",IFERROR(INDEX(사건마스터!$AJ$5:$AJ$64,MATCH($F200,사건마스터!$A$5:$A$64,0)),""))</f>
        <v/>
      </c>
      <c r="N200" s="136">
        <f>IF($F200="","",IFERROR(INDEX(사건마스터!$AK$5:$AK$64,MATCH($F200,사건마스터!$A$5:$A$64,0)),""))</f>
        <v/>
      </c>
      <c r="O200" s="136">
        <f>IF($F200="","",IFERROR(INDEX(사건마스터!$AL$5:$AL$64,MATCH($F200,사건마스터!$A$5:$A$64,0)),""))</f>
        <v/>
      </c>
      <c r="P200" s="136">
        <f>IF($F200="","",IFERROR(INDEX(사건마스터!$AM$5:$AM$64,MATCH($F200,사건마스터!$A$5:$A$64,0)),""))</f>
        <v/>
      </c>
      <c r="Q200" s="136">
        <f>IF($F200="","",IFERROR(INDEX(사건마스터!$AN$5:$AN$64,MATCH($F200,사건마스터!$A$5:$A$64,0)),""))</f>
        <v/>
      </c>
      <c r="R200" s="136">
        <f>IF($F200="","",IFERROR(INDEX(사건마스터!$AO$5:$AO$64,MATCH($F200,사건마스터!$A$5:$A$64,0)),""))</f>
        <v/>
      </c>
      <c r="S200" s="136">
        <f>IF($F200="","",IFERROR(INDEX(사건마스터!$AP$5:$AP$64,MATCH($F200,사건마스터!$A$5:$A$64,0)),""))</f>
        <v/>
      </c>
      <c r="T200" s="136">
        <f>IF($F200="","",IFERROR(INDEX(사건마스터!$AQ$5:$AQ$64,MATCH($F200,사건마스터!$A$5:$A$64,0)),""))</f>
        <v/>
      </c>
      <c r="U200" s="136">
        <f>IF($F200="","",IFERROR(INDEX(사건마스터!$AR$5:$AR$64,MATCH($F200,사건마스터!$A$5:$A$64,0)),""))</f>
        <v/>
      </c>
      <c r="V200" s="136">
        <f>IF($F200="","",IFERROR(INDEX(사건마스터!$AS$5:$AS$64,MATCH($F200,사건마스터!$A$5:$A$64,0)),""))</f>
        <v/>
      </c>
      <c r="W200" s="136">
        <f>IF($F200="","",IFERROR(INDEX(사건마스터!$AT$5:$AT$64,MATCH($F200,사건마스터!$A$5:$A$64,0)),""))</f>
        <v/>
      </c>
      <c r="X200" s="136">
        <f>IF($F200="","",IFERROR(INDEX(사건마스터!$AU$5:$AU$64,MATCH($F200,사건마스터!$A$5:$A$64,0)),""))</f>
        <v/>
      </c>
      <c r="Y200" s="136">
        <f>IF($F200="","",IFERROR(INDEX(사건마스터!$AV$5:$AV$64,MATCH($F200,사건마스터!$A$5:$A$64,0)),""))</f>
        <v/>
      </c>
      <c r="Z200" s="118">
        <f>IF(COUNTBLANK($J200:$Y200)=16,"",16-COUNTBLANK($J200:$Y200))</f>
        <v/>
      </c>
      <c r="AA200" s="33">
        <f>IF($J200="",MID($AX200,3,255),$J200&amp;$AX200)</f>
        <v/>
      </c>
      <c r="AB200" s="130">
        <f>IF($J200="","",IFERROR(INDEX(코드설정!$D$5:$D$24,MATCH($J200,코드설정!$C$5:$C$24,0)),""))</f>
        <v/>
      </c>
      <c r="AC200" s="36" t="n"/>
      <c r="AD200" s="37" t="n"/>
      <c r="AE200" s="38" t="n"/>
      <c r="AF200" s="118">
        <f>IF(OR($B200="",$C200=""),"",$C200-$B200+1)</f>
        <v/>
      </c>
      <c r="AG200" s="74" t="n"/>
      <c r="AH200" s="36" t="n"/>
      <c r="AJ200">
        <f>IF($K200="","",", "&amp;$K200)</f>
        <v/>
      </c>
      <c r="AK200">
        <f>AJ200&amp;IF($L200="","",", "&amp;$L200)</f>
        <v/>
      </c>
      <c r="AL200">
        <f>AK200&amp;IF($M200="","",", "&amp;$M200)</f>
        <v/>
      </c>
      <c r="AM200">
        <f>AL200&amp;IF($N200="","",", "&amp;$N200)</f>
        <v/>
      </c>
      <c r="AN200">
        <f>AM200&amp;IF($O200="","",", "&amp;$O200)</f>
        <v/>
      </c>
      <c r="AO200">
        <f>AN200&amp;IF($P200="","",", "&amp;$P200)</f>
        <v/>
      </c>
      <c r="AP200">
        <f>AO200&amp;IF($Q200="","",", "&amp;$Q200)</f>
        <v/>
      </c>
      <c r="AQ200">
        <f>AP200&amp;IF($R200="","",", "&amp;$R200)</f>
        <v/>
      </c>
      <c r="AR200">
        <f>AQ200&amp;IF($S200="","",", "&amp;$S200)</f>
        <v/>
      </c>
      <c r="AS200">
        <f>AR200&amp;IF($T200="","",", "&amp;$T200)</f>
        <v/>
      </c>
      <c r="AT200">
        <f>AS200&amp;IF($U200="","",", "&amp;$U200)</f>
        <v/>
      </c>
      <c r="AU200">
        <f>AT200&amp;IF($V200="","",", "&amp;$V200)</f>
        <v/>
      </c>
      <c r="AV200">
        <f>AU200&amp;IF($W200="","",", "&amp;$W200)</f>
        <v/>
      </c>
      <c r="AW200">
        <f>AV200&amp;IF($X200="","",", "&amp;$X200)</f>
        <v/>
      </c>
      <c r="AX200">
        <f>AW200&amp;IF($Y200="","",", "&amp;$Y200)</f>
        <v/>
      </c>
    </row>
    <row r="201">
      <c r="A201" s="118">
        <f>IF($B201="","",COUNT($B$5:$B201))</f>
        <v/>
      </c>
      <c r="B201" s="80" t="n"/>
      <c r="C201" s="80" t="n"/>
      <c r="D201" s="74" t="n"/>
      <c r="E201" s="74" t="n"/>
      <c r="F201" s="74" t="n"/>
      <c r="G201" s="118">
        <f>IF($F201="","",COUNTIF($F$5:$F201,$F201))</f>
        <v/>
      </c>
      <c r="H201" s="33">
        <f>IF($F201="","",IFERROR(INDEX(사건마스터!$B$5:$B$64,MATCH($F201,사건마스터!$A$5:$A$64,0)),""))</f>
        <v/>
      </c>
      <c r="I201" s="130">
        <f>IF($F201="","",IFERROR(INDEX(사건마스터!$C$5:$C$64,MATCH($F201,사건마스터!$A$5:$A$64,0)),""))</f>
        <v/>
      </c>
      <c r="J201" s="136">
        <f>IF($F201="","",IFERROR(INDEX(사건마스터!$H$5:$H$64,MATCH($F201,사건마스터!$A$5:$A$64,0)),""))</f>
        <v/>
      </c>
      <c r="K201" s="136">
        <f>IF($F201="","",IFERROR(INDEX(사건마스터!$AH$5:$AH$64,MATCH($F201,사건마스터!$A$5:$A$64,0)),""))</f>
        <v/>
      </c>
      <c r="L201" s="136">
        <f>IF($F201="","",IFERROR(INDEX(사건마스터!$AI$5:$AI$64,MATCH($F201,사건마스터!$A$5:$A$64,0)),""))</f>
        <v/>
      </c>
      <c r="M201" s="136">
        <f>IF($F201="","",IFERROR(INDEX(사건마스터!$AJ$5:$AJ$64,MATCH($F201,사건마스터!$A$5:$A$64,0)),""))</f>
        <v/>
      </c>
      <c r="N201" s="136">
        <f>IF($F201="","",IFERROR(INDEX(사건마스터!$AK$5:$AK$64,MATCH($F201,사건마스터!$A$5:$A$64,0)),""))</f>
        <v/>
      </c>
      <c r="O201" s="136">
        <f>IF($F201="","",IFERROR(INDEX(사건마스터!$AL$5:$AL$64,MATCH($F201,사건마스터!$A$5:$A$64,0)),""))</f>
        <v/>
      </c>
      <c r="P201" s="136">
        <f>IF($F201="","",IFERROR(INDEX(사건마스터!$AM$5:$AM$64,MATCH($F201,사건마스터!$A$5:$A$64,0)),""))</f>
        <v/>
      </c>
      <c r="Q201" s="136">
        <f>IF($F201="","",IFERROR(INDEX(사건마스터!$AN$5:$AN$64,MATCH($F201,사건마스터!$A$5:$A$64,0)),""))</f>
        <v/>
      </c>
      <c r="R201" s="136">
        <f>IF($F201="","",IFERROR(INDEX(사건마스터!$AO$5:$AO$64,MATCH($F201,사건마스터!$A$5:$A$64,0)),""))</f>
        <v/>
      </c>
      <c r="S201" s="136">
        <f>IF($F201="","",IFERROR(INDEX(사건마스터!$AP$5:$AP$64,MATCH($F201,사건마스터!$A$5:$A$64,0)),""))</f>
        <v/>
      </c>
      <c r="T201" s="136">
        <f>IF($F201="","",IFERROR(INDEX(사건마스터!$AQ$5:$AQ$64,MATCH($F201,사건마스터!$A$5:$A$64,0)),""))</f>
        <v/>
      </c>
      <c r="U201" s="136">
        <f>IF($F201="","",IFERROR(INDEX(사건마스터!$AR$5:$AR$64,MATCH($F201,사건마스터!$A$5:$A$64,0)),""))</f>
        <v/>
      </c>
      <c r="V201" s="136">
        <f>IF($F201="","",IFERROR(INDEX(사건마스터!$AS$5:$AS$64,MATCH($F201,사건마스터!$A$5:$A$64,0)),""))</f>
        <v/>
      </c>
      <c r="W201" s="136">
        <f>IF($F201="","",IFERROR(INDEX(사건마스터!$AT$5:$AT$64,MATCH($F201,사건마스터!$A$5:$A$64,0)),""))</f>
        <v/>
      </c>
      <c r="X201" s="136">
        <f>IF($F201="","",IFERROR(INDEX(사건마스터!$AU$5:$AU$64,MATCH($F201,사건마스터!$A$5:$A$64,0)),""))</f>
        <v/>
      </c>
      <c r="Y201" s="136">
        <f>IF($F201="","",IFERROR(INDEX(사건마스터!$AV$5:$AV$64,MATCH($F201,사건마스터!$A$5:$A$64,0)),""))</f>
        <v/>
      </c>
      <c r="Z201" s="118">
        <f>IF(COUNTBLANK($J201:$Y201)=16,"",16-COUNTBLANK($J201:$Y201))</f>
        <v/>
      </c>
      <c r="AA201" s="33">
        <f>IF($J201="",MID($AX201,3,255),$J201&amp;$AX201)</f>
        <v/>
      </c>
      <c r="AB201" s="130">
        <f>IF($J201="","",IFERROR(INDEX(코드설정!$D$5:$D$24,MATCH($J201,코드설정!$C$5:$C$24,0)),""))</f>
        <v/>
      </c>
      <c r="AC201" s="36" t="n"/>
      <c r="AD201" s="37" t="n"/>
      <c r="AE201" s="38" t="n"/>
      <c r="AF201" s="118">
        <f>IF(OR($B201="",$C201=""),"",$C201-$B201+1)</f>
        <v/>
      </c>
      <c r="AG201" s="74" t="n"/>
      <c r="AH201" s="36" t="n"/>
      <c r="AJ201">
        <f>IF($K201="","",", "&amp;$K201)</f>
        <v/>
      </c>
      <c r="AK201">
        <f>AJ201&amp;IF($L201="","",", "&amp;$L201)</f>
        <v/>
      </c>
      <c r="AL201">
        <f>AK201&amp;IF($M201="","",", "&amp;$M201)</f>
        <v/>
      </c>
      <c r="AM201">
        <f>AL201&amp;IF($N201="","",", "&amp;$N201)</f>
        <v/>
      </c>
      <c r="AN201">
        <f>AM201&amp;IF($O201="","",", "&amp;$O201)</f>
        <v/>
      </c>
      <c r="AO201">
        <f>AN201&amp;IF($P201="","",", "&amp;$P201)</f>
        <v/>
      </c>
      <c r="AP201">
        <f>AO201&amp;IF($Q201="","",", "&amp;$Q201)</f>
        <v/>
      </c>
      <c r="AQ201">
        <f>AP201&amp;IF($R201="","",", "&amp;$R201)</f>
        <v/>
      </c>
      <c r="AR201">
        <f>AQ201&amp;IF($S201="","",", "&amp;$S201)</f>
        <v/>
      </c>
      <c r="AS201">
        <f>AR201&amp;IF($T201="","",", "&amp;$T201)</f>
        <v/>
      </c>
      <c r="AT201">
        <f>AS201&amp;IF($U201="","",", "&amp;$U201)</f>
        <v/>
      </c>
      <c r="AU201">
        <f>AT201&amp;IF($V201="","",", "&amp;$V201)</f>
        <v/>
      </c>
      <c r="AV201">
        <f>AU201&amp;IF($W201="","",", "&amp;$W201)</f>
        <v/>
      </c>
      <c r="AW201">
        <f>AV201&amp;IF($X201="","",", "&amp;$X201)</f>
        <v/>
      </c>
      <c r="AX201">
        <f>AW201&amp;IF($Y201="","",", "&amp;$Y201)</f>
        <v/>
      </c>
    </row>
    <row r="202">
      <c r="A202" s="118">
        <f>IF($B202="","",COUNT($B$5:$B202))</f>
        <v/>
      </c>
      <c r="B202" s="80" t="n"/>
      <c r="C202" s="80" t="n"/>
      <c r="D202" s="74" t="n"/>
      <c r="E202" s="74" t="n"/>
      <c r="F202" s="74" t="n"/>
      <c r="G202" s="118">
        <f>IF($F202="","",COUNTIF($F$5:$F202,$F202))</f>
        <v/>
      </c>
      <c r="H202" s="33">
        <f>IF($F202="","",IFERROR(INDEX(사건마스터!$B$5:$B$64,MATCH($F202,사건마스터!$A$5:$A$64,0)),""))</f>
        <v/>
      </c>
      <c r="I202" s="130">
        <f>IF($F202="","",IFERROR(INDEX(사건마스터!$C$5:$C$64,MATCH($F202,사건마스터!$A$5:$A$64,0)),""))</f>
        <v/>
      </c>
      <c r="J202" s="136">
        <f>IF($F202="","",IFERROR(INDEX(사건마스터!$H$5:$H$64,MATCH($F202,사건마스터!$A$5:$A$64,0)),""))</f>
        <v/>
      </c>
      <c r="K202" s="136">
        <f>IF($F202="","",IFERROR(INDEX(사건마스터!$AH$5:$AH$64,MATCH($F202,사건마스터!$A$5:$A$64,0)),""))</f>
        <v/>
      </c>
      <c r="L202" s="136">
        <f>IF($F202="","",IFERROR(INDEX(사건마스터!$AI$5:$AI$64,MATCH($F202,사건마스터!$A$5:$A$64,0)),""))</f>
        <v/>
      </c>
      <c r="M202" s="136">
        <f>IF($F202="","",IFERROR(INDEX(사건마스터!$AJ$5:$AJ$64,MATCH($F202,사건마스터!$A$5:$A$64,0)),""))</f>
        <v/>
      </c>
      <c r="N202" s="136">
        <f>IF($F202="","",IFERROR(INDEX(사건마스터!$AK$5:$AK$64,MATCH($F202,사건마스터!$A$5:$A$64,0)),""))</f>
        <v/>
      </c>
      <c r="O202" s="136">
        <f>IF($F202="","",IFERROR(INDEX(사건마스터!$AL$5:$AL$64,MATCH($F202,사건마스터!$A$5:$A$64,0)),""))</f>
        <v/>
      </c>
      <c r="P202" s="136">
        <f>IF($F202="","",IFERROR(INDEX(사건마스터!$AM$5:$AM$64,MATCH($F202,사건마스터!$A$5:$A$64,0)),""))</f>
        <v/>
      </c>
      <c r="Q202" s="136">
        <f>IF($F202="","",IFERROR(INDEX(사건마스터!$AN$5:$AN$64,MATCH($F202,사건마스터!$A$5:$A$64,0)),""))</f>
        <v/>
      </c>
      <c r="R202" s="136">
        <f>IF($F202="","",IFERROR(INDEX(사건마스터!$AO$5:$AO$64,MATCH($F202,사건마스터!$A$5:$A$64,0)),""))</f>
        <v/>
      </c>
      <c r="S202" s="136">
        <f>IF($F202="","",IFERROR(INDEX(사건마스터!$AP$5:$AP$64,MATCH($F202,사건마스터!$A$5:$A$64,0)),""))</f>
        <v/>
      </c>
      <c r="T202" s="136">
        <f>IF($F202="","",IFERROR(INDEX(사건마스터!$AQ$5:$AQ$64,MATCH($F202,사건마스터!$A$5:$A$64,0)),""))</f>
        <v/>
      </c>
      <c r="U202" s="136">
        <f>IF($F202="","",IFERROR(INDEX(사건마스터!$AR$5:$AR$64,MATCH($F202,사건마스터!$A$5:$A$64,0)),""))</f>
        <v/>
      </c>
      <c r="V202" s="136">
        <f>IF($F202="","",IFERROR(INDEX(사건마스터!$AS$5:$AS$64,MATCH($F202,사건마스터!$A$5:$A$64,0)),""))</f>
        <v/>
      </c>
      <c r="W202" s="136">
        <f>IF($F202="","",IFERROR(INDEX(사건마스터!$AT$5:$AT$64,MATCH($F202,사건마스터!$A$5:$A$64,0)),""))</f>
        <v/>
      </c>
      <c r="X202" s="136">
        <f>IF($F202="","",IFERROR(INDEX(사건마스터!$AU$5:$AU$64,MATCH($F202,사건마스터!$A$5:$A$64,0)),""))</f>
        <v/>
      </c>
      <c r="Y202" s="136">
        <f>IF($F202="","",IFERROR(INDEX(사건마스터!$AV$5:$AV$64,MATCH($F202,사건마스터!$A$5:$A$64,0)),""))</f>
        <v/>
      </c>
      <c r="Z202" s="118">
        <f>IF(COUNTBLANK($J202:$Y202)=16,"",16-COUNTBLANK($J202:$Y202))</f>
        <v/>
      </c>
      <c r="AA202" s="33">
        <f>IF($J202="",MID($AX202,3,255),$J202&amp;$AX202)</f>
        <v/>
      </c>
      <c r="AB202" s="130">
        <f>IF($J202="","",IFERROR(INDEX(코드설정!$D$5:$D$24,MATCH($J202,코드설정!$C$5:$C$24,0)),""))</f>
        <v/>
      </c>
      <c r="AC202" s="36" t="n"/>
      <c r="AD202" s="37" t="n"/>
      <c r="AE202" s="38" t="n"/>
      <c r="AF202" s="118">
        <f>IF(OR($B202="",$C202=""),"",$C202-$B202+1)</f>
        <v/>
      </c>
      <c r="AG202" s="74" t="n"/>
      <c r="AH202" s="36" t="n"/>
      <c r="AJ202">
        <f>IF($K202="","",", "&amp;$K202)</f>
        <v/>
      </c>
      <c r="AK202">
        <f>AJ202&amp;IF($L202="","",", "&amp;$L202)</f>
        <v/>
      </c>
      <c r="AL202">
        <f>AK202&amp;IF($M202="","",", "&amp;$M202)</f>
        <v/>
      </c>
      <c r="AM202">
        <f>AL202&amp;IF($N202="","",", "&amp;$N202)</f>
        <v/>
      </c>
      <c r="AN202">
        <f>AM202&amp;IF($O202="","",", "&amp;$O202)</f>
        <v/>
      </c>
      <c r="AO202">
        <f>AN202&amp;IF($P202="","",", "&amp;$P202)</f>
        <v/>
      </c>
      <c r="AP202">
        <f>AO202&amp;IF($Q202="","",", "&amp;$Q202)</f>
        <v/>
      </c>
      <c r="AQ202">
        <f>AP202&amp;IF($R202="","",", "&amp;$R202)</f>
        <v/>
      </c>
      <c r="AR202">
        <f>AQ202&amp;IF($S202="","",", "&amp;$S202)</f>
        <v/>
      </c>
      <c r="AS202">
        <f>AR202&amp;IF($T202="","",", "&amp;$T202)</f>
        <v/>
      </c>
      <c r="AT202">
        <f>AS202&amp;IF($U202="","",", "&amp;$U202)</f>
        <v/>
      </c>
      <c r="AU202">
        <f>AT202&amp;IF($V202="","",", "&amp;$V202)</f>
        <v/>
      </c>
      <c r="AV202">
        <f>AU202&amp;IF($W202="","",", "&amp;$W202)</f>
        <v/>
      </c>
      <c r="AW202">
        <f>AV202&amp;IF($X202="","",", "&amp;$X202)</f>
        <v/>
      </c>
      <c r="AX202">
        <f>AW202&amp;IF($Y202="","",", "&amp;$Y202)</f>
        <v/>
      </c>
    </row>
    <row r="203">
      <c r="A203" s="118">
        <f>IF($B203="","",COUNT($B$5:$B203))</f>
        <v/>
      </c>
      <c r="B203" s="80" t="n"/>
      <c r="C203" s="80" t="n"/>
      <c r="D203" s="74" t="n"/>
      <c r="E203" s="74" t="n"/>
      <c r="F203" s="74" t="n"/>
      <c r="G203" s="118">
        <f>IF($F203="","",COUNTIF($F$5:$F203,$F203))</f>
        <v/>
      </c>
      <c r="H203" s="33">
        <f>IF($F203="","",IFERROR(INDEX(사건마스터!$B$5:$B$64,MATCH($F203,사건마스터!$A$5:$A$64,0)),""))</f>
        <v/>
      </c>
      <c r="I203" s="130">
        <f>IF($F203="","",IFERROR(INDEX(사건마스터!$C$5:$C$64,MATCH($F203,사건마스터!$A$5:$A$64,0)),""))</f>
        <v/>
      </c>
      <c r="J203" s="136">
        <f>IF($F203="","",IFERROR(INDEX(사건마스터!$H$5:$H$64,MATCH($F203,사건마스터!$A$5:$A$64,0)),""))</f>
        <v/>
      </c>
      <c r="K203" s="136">
        <f>IF($F203="","",IFERROR(INDEX(사건마스터!$AH$5:$AH$64,MATCH($F203,사건마스터!$A$5:$A$64,0)),""))</f>
        <v/>
      </c>
      <c r="L203" s="136">
        <f>IF($F203="","",IFERROR(INDEX(사건마스터!$AI$5:$AI$64,MATCH($F203,사건마스터!$A$5:$A$64,0)),""))</f>
        <v/>
      </c>
      <c r="M203" s="136">
        <f>IF($F203="","",IFERROR(INDEX(사건마스터!$AJ$5:$AJ$64,MATCH($F203,사건마스터!$A$5:$A$64,0)),""))</f>
        <v/>
      </c>
      <c r="N203" s="136">
        <f>IF($F203="","",IFERROR(INDEX(사건마스터!$AK$5:$AK$64,MATCH($F203,사건마스터!$A$5:$A$64,0)),""))</f>
        <v/>
      </c>
      <c r="O203" s="136">
        <f>IF($F203="","",IFERROR(INDEX(사건마스터!$AL$5:$AL$64,MATCH($F203,사건마스터!$A$5:$A$64,0)),""))</f>
        <v/>
      </c>
      <c r="P203" s="136">
        <f>IF($F203="","",IFERROR(INDEX(사건마스터!$AM$5:$AM$64,MATCH($F203,사건마스터!$A$5:$A$64,0)),""))</f>
        <v/>
      </c>
      <c r="Q203" s="136">
        <f>IF($F203="","",IFERROR(INDEX(사건마스터!$AN$5:$AN$64,MATCH($F203,사건마스터!$A$5:$A$64,0)),""))</f>
        <v/>
      </c>
      <c r="R203" s="136">
        <f>IF($F203="","",IFERROR(INDEX(사건마스터!$AO$5:$AO$64,MATCH($F203,사건마스터!$A$5:$A$64,0)),""))</f>
        <v/>
      </c>
      <c r="S203" s="136">
        <f>IF($F203="","",IFERROR(INDEX(사건마스터!$AP$5:$AP$64,MATCH($F203,사건마스터!$A$5:$A$64,0)),""))</f>
        <v/>
      </c>
      <c r="T203" s="136">
        <f>IF($F203="","",IFERROR(INDEX(사건마스터!$AQ$5:$AQ$64,MATCH($F203,사건마스터!$A$5:$A$64,0)),""))</f>
        <v/>
      </c>
      <c r="U203" s="136">
        <f>IF($F203="","",IFERROR(INDEX(사건마스터!$AR$5:$AR$64,MATCH($F203,사건마스터!$A$5:$A$64,0)),""))</f>
        <v/>
      </c>
      <c r="V203" s="136">
        <f>IF($F203="","",IFERROR(INDEX(사건마스터!$AS$5:$AS$64,MATCH($F203,사건마스터!$A$5:$A$64,0)),""))</f>
        <v/>
      </c>
      <c r="W203" s="136">
        <f>IF($F203="","",IFERROR(INDEX(사건마스터!$AT$5:$AT$64,MATCH($F203,사건마스터!$A$5:$A$64,0)),""))</f>
        <v/>
      </c>
      <c r="X203" s="136">
        <f>IF($F203="","",IFERROR(INDEX(사건마스터!$AU$5:$AU$64,MATCH($F203,사건마스터!$A$5:$A$64,0)),""))</f>
        <v/>
      </c>
      <c r="Y203" s="136">
        <f>IF($F203="","",IFERROR(INDEX(사건마스터!$AV$5:$AV$64,MATCH($F203,사건마스터!$A$5:$A$64,0)),""))</f>
        <v/>
      </c>
      <c r="Z203" s="118">
        <f>IF(COUNTBLANK($J203:$Y203)=16,"",16-COUNTBLANK($J203:$Y203))</f>
        <v/>
      </c>
      <c r="AA203" s="33">
        <f>IF($J203="",MID($AX203,3,255),$J203&amp;$AX203)</f>
        <v/>
      </c>
      <c r="AB203" s="130">
        <f>IF($J203="","",IFERROR(INDEX(코드설정!$D$5:$D$24,MATCH($J203,코드설정!$C$5:$C$24,0)),""))</f>
        <v/>
      </c>
      <c r="AC203" s="36" t="n"/>
      <c r="AD203" s="37" t="n"/>
      <c r="AE203" s="38" t="n"/>
      <c r="AF203" s="118">
        <f>IF(OR($B203="",$C203=""),"",$C203-$B203+1)</f>
        <v/>
      </c>
      <c r="AG203" s="74" t="n"/>
      <c r="AH203" s="36" t="n"/>
      <c r="AJ203">
        <f>IF($K203="","",", "&amp;$K203)</f>
        <v/>
      </c>
      <c r="AK203">
        <f>AJ203&amp;IF($L203="","",", "&amp;$L203)</f>
        <v/>
      </c>
      <c r="AL203">
        <f>AK203&amp;IF($M203="","",", "&amp;$M203)</f>
        <v/>
      </c>
      <c r="AM203">
        <f>AL203&amp;IF($N203="","",", "&amp;$N203)</f>
        <v/>
      </c>
      <c r="AN203">
        <f>AM203&amp;IF($O203="","",", "&amp;$O203)</f>
        <v/>
      </c>
      <c r="AO203">
        <f>AN203&amp;IF($P203="","",", "&amp;$P203)</f>
        <v/>
      </c>
      <c r="AP203">
        <f>AO203&amp;IF($Q203="","",", "&amp;$Q203)</f>
        <v/>
      </c>
      <c r="AQ203">
        <f>AP203&amp;IF($R203="","",", "&amp;$R203)</f>
        <v/>
      </c>
      <c r="AR203">
        <f>AQ203&amp;IF($S203="","",", "&amp;$S203)</f>
        <v/>
      </c>
      <c r="AS203">
        <f>AR203&amp;IF($T203="","",", "&amp;$T203)</f>
        <v/>
      </c>
      <c r="AT203">
        <f>AS203&amp;IF($U203="","",", "&amp;$U203)</f>
        <v/>
      </c>
      <c r="AU203">
        <f>AT203&amp;IF($V203="","",", "&amp;$V203)</f>
        <v/>
      </c>
      <c r="AV203">
        <f>AU203&amp;IF($W203="","",", "&amp;$W203)</f>
        <v/>
      </c>
      <c r="AW203">
        <f>AV203&amp;IF($X203="","",", "&amp;$X203)</f>
        <v/>
      </c>
      <c r="AX203">
        <f>AW203&amp;IF($Y203="","",", "&amp;$Y203)</f>
        <v/>
      </c>
    </row>
    <row r="204">
      <c r="A204" s="118">
        <f>IF($B204="","",COUNT($B$5:$B204))</f>
        <v/>
      </c>
      <c r="B204" s="80" t="n"/>
      <c r="C204" s="80" t="n"/>
      <c r="D204" s="74" t="n"/>
      <c r="E204" s="74" t="n"/>
      <c r="F204" s="74" t="n"/>
      <c r="G204" s="118">
        <f>IF($F204="","",COUNTIF($F$5:$F204,$F204))</f>
        <v/>
      </c>
      <c r="H204" s="33">
        <f>IF($F204="","",IFERROR(INDEX(사건마스터!$B$5:$B$64,MATCH($F204,사건마스터!$A$5:$A$64,0)),""))</f>
        <v/>
      </c>
      <c r="I204" s="130">
        <f>IF($F204="","",IFERROR(INDEX(사건마스터!$C$5:$C$64,MATCH($F204,사건마스터!$A$5:$A$64,0)),""))</f>
        <v/>
      </c>
      <c r="J204" s="136">
        <f>IF($F204="","",IFERROR(INDEX(사건마스터!$H$5:$H$64,MATCH($F204,사건마스터!$A$5:$A$64,0)),""))</f>
        <v/>
      </c>
      <c r="K204" s="136">
        <f>IF($F204="","",IFERROR(INDEX(사건마스터!$AH$5:$AH$64,MATCH($F204,사건마스터!$A$5:$A$64,0)),""))</f>
        <v/>
      </c>
      <c r="L204" s="136">
        <f>IF($F204="","",IFERROR(INDEX(사건마스터!$AI$5:$AI$64,MATCH($F204,사건마스터!$A$5:$A$64,0)),""))</f>
        <v/>
      </c>
      <c r="M204" s="136">
        <f>IF($F204="","",IFERROR(INDEX(사건마스터!$AJ$5:$AJ$64,MATCH($F204,사건마스터!$A$5:$A$64,0)),""))</f>
        <v/>
      </c>
      <c r="N204" s="136">
        <f>IF($F204="","",IFERROR(INDEX(사건마스터!$AK$5:$AK$64,MATCH($F204,사건마스터!$A$5:$A$64,0)),""))</f>
        <v/>
      </c>
      <c r="O204" s="136">
        <f>IF($F204="","",IFERROR(INDEX(사건마스터!$AL$5:$AL$64,MATCH($F204,사건마스터!$A$5:$A$64,0)),""))</f>
        <v/>
      </c>
      <c r="P204" s="136">
        <f>IF($F204="","",IFERROR(INDEX(사건마스터!$AM$5:$AM$64,MATCH($F204,사건마스터!$A$5:$A$64,0)),""))</f>
        <v/>
      </c>
      <c r="Q204" s="136">
        <f>IF($F204="","",IFERROR(INDEX(사건마스터!$AN$5:$AN$64,MATCH($F204,사건마스터!$A$5:$A$64,0)),""))</f>
        <v/>
      </c>
      <c r="R204" s="136">
        <f>IF($F204="","",IFERROR(INDEX(사건마스터!$AO$5:$AO$64,MATCH($F204,사건마스터!$A$5:$A$64,0)),""))</f>
        <v/>
      </c>
      <c r="S204" s="136">
        <f>IF($F204="","",IFERROR(INDEX(사건마스터!$AP$5:$AP$64,MATCH($F204,사건마스터!$A$5:$A$64,0)),""))</f>
        <v/>
      </c>
      <c r="T204" s="136">
        <f>IF($F204="","",IFERROR(INDEX(사건마스터!$AQ$5:$AQ$64,MATCH($F204,사건마스터!$A$5:$A$64,0)),""))</f>
        <v/>
      </c>
      <c r="U204" s="136">
        <f>IF($F204="","",IFERROR(INDEX(사건마스터!$AR$5:$AR$64,MATCH($F204,사건마스터!$A$5:$A$64,0)),""))</f>
        <v/>
      </c>
      <c r="V204" s="136">
        <f>IF($F204="","",IFERROR(INDEX(사건마스터!$AS$5:$AS$64,MATCH($F204,사건마스터!$A$5:$A$64,0)),""))</f>
        <v/>
      </c>
      <c r="W204" s="136">
        <f>IF($F204="","",IFERROR(INDEX(사건마스터!$AT$5:$AT$64,MATCH($F204,사건마스터!$A$5:$A$64,0)),""))</f>
        <v/>
      </c>
      <c r="X204" s="136">
        <f>IF($F204="","",IFERROR(INDEX(사건마스터!$AU$5:$AU$64,MATCH($F204,사건마스터!$A$5:$A$64,0)),""))</f>
        <v/>
      </c>
      <c r="Y204" s="136">
        <f>IF($F204="","",IFERROR(INDEX(사건마스터!$AV$5:$AV$64,MATCH($F204,사건마스터!$A$5:$A$64,0)),""))</f>
        <v/>
      </c>
      <c r="Z204" s="118">
        <f>IF(COUNTBLANK($J204:$Y204)=16,"",16-COUNTBLANK($J204:$Y204))</f>
        <v/>
      </c>
      <c r="AA204" s="33">
        <f>IF($J204="",MID($AX204,3,255),$J204&amp;$AX204)</f>
        <v/>
      </c>
      <c r="AB204" s="130">
        <f>IF($J204="","",IFERROR(INDEX(코드설정!$D$5:$D$24,MATCH($J204,코드설정!$C$5:$C$24,0)),""))</f>
        <v/>
      </c>
      <c r="AC204" s="36" t="n"/>
      <c r="AD204" s="37" t="n"/>
      <c r="AE204" s="38" t="n"/>
      <c r="AF204" s="118">
        <f>IF(OR($B204="",$C204=""),"",$C204-$B204+1)</f>
        <v/>
      </c>
      <c r="AG204" s="74" t="n"/>
      <c r="AH204" s="36" t="n"/>
      <c r="AJ204">
        <f>IF($K204="","",", "&amp;$K204)</f>
        <v/>
      </c>
      <c r="AK204">
        <f>AJ204&amp;IF($L204="","",", "&amp;$L204)</f>
        <v/>
      </c>
      <c r="AL204">
        <f>AK204&amp;IF($M204="","",", "&amp;$M204)</f>
        <v/>
      </c>
      <c r="AM204">
        <f>AL204&amp;IF($N204="","",", "&amp;$N204)</f>
        <v/>
      </c>
      <c r="AN204">
        <f>AM204&amp;IF($O204="","",", "&amp;$O204)</f>
        <v/>
      </c>
      <c r="AO204">
        <f>AN204&amp;IF($P204="","",", "&amp;$P204)</f>
        <v/>
      </c>
      <c r="AP204">
        <f>AO204&amp;IF($Q204="","",", "&amp;$Q204)</f>
        <v/>
      </c>
      <c r="AQ204">
        <f>AP204&amp;IF($R204="","",", "&amp;$R204)</f>
        <v/>
      </c>
      <c r="AR204">
        <f>AQ204&amp;IF($S204="","",", "&amp;$S204)</f>
        <v/>
      </c>
      <c r="AS204">
        <f>AR204&amp;IF($T204="","",", "&amp;$T204)</f>
        <v/>
      </c>
      <c r="AT204">
        <f>AS204&amp;IF($U204="","",", "&amp;$U204)</f>
        <v/>
      </c>
      <c r="AU204">
        <f>AT204&amp;IF($V204="","",", "&amp;$V204)</f>
        <v/>
      </c>
      <c r="AV204">
        <f>AU204&amp;IF($W204="","",", "&amp;$W204)</f>
        <v/>
      </c>
      <c r="AW204">
        <f>AV204&amp;IF($X204="","",", "&amp;$X204)</f>
        <v/>
      </c>
      <c r="AX204">
        <f>AW204&amp;IF($Y204="","",", "&amp;$Y204)</f>
        <v/>
      </c>
    </row>
    <row r="205">
      <c r="A205" s="118">
        <f>IF($B205="","",COUNT($B$5:$B205))</f>
        <v/>
      </c>
      <c r="B205" s="80" t="n"/>
      <c r="C205" s="80" t="n"/>
      <c r="D205" s="74" t="n"/>
      <c r="E205" s="74" t="n"/>
      <c r="F205" s="74" t="n"/>
      <c r="G205" s="118">
        <f>IF($F205="","",COUNTIF($F$5:$F205,$F205))</f>
        <v/>
      </c>
      <c r="H205" s="33">
        <f>IF($F205="","",IFERROR(INDEX(사건마스터!$B$5:$B$64,MATCH($F205,사건마스터!$A$5:$A$64,0)),""))</f>
        <v/>
      </c>
      <c r="I205" s="130">
        <f>IF($F205="","",IFERROR(INDEX(사건마스터!$C$5:$C$64,MATCH($F205,사건마스터!$A$5:$A$64,0)),""))</f>
        <v/>
      </c>
      <c r="J205" s="136">
        <f>IF($F205="","",IFERROR(INDEX(사건마스터!$H$5:$H$64,MATCH($F205,사건마스터!$A$5:$A$64,0)),""))</f>
        <v/>
      </c>
      <c r="K205" s="136">
        <f>IF($F205="","",IFERROR(INDEX(사건마스터!$AH$5:$AH$64,MATCH($F205,사건마스터!$A$5:$A$64,0)),""))</f>
        <v/>
      </c>
      <c r="L205" s="136">
        <f>IF($F205="","",IFERROR(INDEX(사건마스터!$AI$5:$AI$64,MATCH($F205,사건마스터!$A$5:$A$64,0)),""))</f>
        <v/>
      </c>
      <c r="M205" s="136">
        <f>IF($F205="","",IFERROR(INDEX(사건마스터!$AJ$5:$AJ$64,MATCH($F205,사건마스터!$A$5:$A$64,0)),""))</f>
        <v/>
      </c>
      <c r="N205" s="136">
        <f>IF($F205="","",IFERROR(INDEX(사건마스터!$AK$5:$AK$64,MATCH($F205,사건마스터!$A$5:$A$64,0)),""))</f>
        <v/>
      </c>
      <c r="O205" s="136">
        <f>IF($F205="","",IFERROR(INDEX(사건마스터!$AL$5:$AL$64,MATCH($F205,사건마스터!$A$5:$A$64,0)),""))</f>
        <v/>
      </c>
      <c r="P205" s="136">
        <f>IF($F205="","",IFERROR(INDEX(사건마스터!$AM$5:$AM$64,MATCH($F205,사건마스터!$A$5:$A$64,0)),""))</f>
        <v/>
      </c>
      <c r="Q205" s="136">
        <f>IF($F205="","",IFERROR(INDEX(사건마스터!$AN$5:$AN$64,MATCH($F205,사건마스터!$A$5:$A$64,0)),""))</f>
        <v/>
      </c>
      <c r="R205" s="136">
        <f>IF($F205="","",IFERROR(INDEX(사건마스터!$AO$5:$AO$64,MATCH($F205,사건마스터!$A$5:$A$64,0)),""))</f>
        <v/>
      </c>
      <c r="S205" s="136">
        <f>IF($F205="","",IFERROR(INDEX(사건마스터!$AP$5:$AP$64,MATCH($F205,사건마스터!$A$5:$A$64,0)),""))</f>
        <v/>
      </c>
      <c r="T205" s="136">
        <f>IF($F205="","",IFERROR(INDEX(사건마스터!$AQ$5:$AQ$64,MATCH($F205,사건마스터!$A$5:$A$64,0)),""))</f>
        <v/>
      </c>
      <c r="U205" s="136">
        <f>IF($F205="","",IFERROR(INDEX(사건마스터!$AR$5:$AR$64,MATCH($F205,사건마스터!$A$5:$A$64,0)),""))</f>
        <v/>
      </c>
      <c r="V205" s="136">
        <f>IF($F205="","",IFERROR(INDEX(사건마스터!$AS$5:$AS$64,MATCH($F205,사건마스터!$A$5:$A$64,0)),""))</f>
        <v/>
      </c>
      <c r="W205" s="136">
        <f>IF($F205="","",IFERROR(INDEX(사건마스터!$AT$5:$AT$64,MATCH($F205,사건마스터!$A$5:$A$64,0)),""))</f>
        <v/>
      </c>
      <c r="X205" s="136">
        <f>IF($F205="","",IFERROR(INDEX(사건마스터!$AU$5:$AU$64,MATCH($F205,사건마스터!$A$5:$A$64,0)),""))</f>
        <v/>
      </c>
      <c r="Y205" s="136">
        <f>IF($F205="","",IFERROR(INDEX(사건마스터!$AV$5:$AV$64,MATCH($F205,사건마스터!$A$5:$A$64,0)),""))</f>
        <v/>
      </c>
      <c r="Z205" s="118">
        <f>IF(COUNTBLANK($J205:$Y205)=16,"",16-COUNTBLANK($J205:$Y205))</f>
        <v/>
      </c>
      <c r="AA205" s="33">
        <f>IF($J205="",MID($AX205,3,255),$J205&amp;$AX205)</f>
        <v/>
      </c>
      <c r="AB205" s="130">
        <f>IF($J205="","",IFERROR(INDEX(코드설정!$D$5:$D$24,MATCH($J205,코드설정!$C$5:$C$24,0)),""))</f>
        <v/>
      </c>
      <c r="AC205" s="36" t="n"/>
      <c r="AD205" s="37" t="n"/>
      <c r="AE205" s="38" t="n"/>
      <c r="AF205" s="118">
        <f>IF(OR($B205="",$C205=""),"",$C205-$B205+1)</f>
        <v/>
      </c>
      <c r="AG205" s="74" t="n"/>
      <c r="AH205" s="36" t="n"/>
      <c r="AJ205">
        <f>IF($K205="","",", "&amp;$K205)</f>
        <v/>
      </c>
      <c r="AK205">
        <f>AJ205&amp;IF($L205="","",", "&amp;$L205)</f>
        <v/>
      </c>
      <c r="AL205">
        <f>AK205&amp;IF($M205="","",", "&amp;$M205)</f>
        <v/>
      </c>
      <c r="AM205">
        <f>AL205&amp;IF($N205="","",", "&amp;$N205)</f>
        <v/>
      </c>
      <c r="AN205">
        <f>AM205&amp;IF($O205="","",", "&amp;$O205)</f>
        <v/>
      </c>
      <c r="AO205">
        <f>AN205&amp;IF($P205="","",", "&amp;$P205)</f>
        <v/>
      </c>
      <c r="AP205">
        <f>AO205&amp;IF($Q205="","",", "&amp;$Q205)</f>
        <v/>
      </c>
      <c r="AQ205">
        <f>AP205&amp;IF($R205="","",", "&amp;$R205)</f>
        <v/>
      </c>
      <c r="AR205">
        <f>AQ205&amp;IF($S205="","",", "&amp;$S205)</f>
        <v/>
      </c>
      <c r="AS205">
        <f>AR205&amp;IF($T205="","",", "&amp;$T205)</f>
        <v/>
      </c>
      <c r="AT205">
        <f>AS205&amp;IF($U205="","",", "&amp;$U205)</f>
        <v/>
      </c>
      <c r="AU205">
        <f>AT205&amp;IF($V205="","",", "&amp;$V205)</f>
        <v/>
      </c>
      <c r="AV205">
        <f>AU205&amp;IF($W205="","",", "&amp;$W205)</f>
        <v/>
      </c>
      <c r="AW205">
        <f>AV205&amp;IF($X205="","",", "&amp;$X205)</f>
        <v/>
      </c>
      <c r="AX205">
        <f>AW205&amp;IF($Y205="","",", "&amp;$Y205)</f>
        <v/>
      </c>
    </row>
    <row r="206">
      <c r="A206" s="118">
        <f>IF($B206="","",COUNT($B$5:$B206))</f>
        <v/>
      </c>
      <c r="B206" s="80" t="n"/>
      <c r="C206" s="80" t="n"/>
      <c r="D206" s="74" t="n"/>
      <c r="E206" s="74" t="n"/>
      <c r="F206" s="74" t="n"/>
      <c r="G206" s="118">
        <f>IF($F206="","",COUNTIF($F$5:$F206,$F206))</f>
        <v/>
      </c>
      <c r="H206" s="33">
        <f>IF($F206="","",IFERROR(INDEX(사건마스터!$B$5:$B$64,MATCH($F206,사건마스터!$A$5:$A$64,0)),""))</f>
        <v/>
      </c>
      <c r="I206" s="130">
        <f>IF($F206="","",IFERROR(INDEX(사건마스터!$C$5:$C$64,MATCH($F206,사건마스터!$A$5:$A$64,0)),""))</f>
        <v/>
      </c>
      <c r="J206" s="136">
        <f>IF($F206="","",IFERROR(INDEX(사건마스터!$H$5:$H$64,MATCH($F206,사건마스터!$A$5:$A$64,0)),""))</f>
        <v/>
      </c>
      <c r="K206" s="136">
        <f>IF($F206="","",IFERROR(INDEX(사건마스터!$AH$5:$AH$64,MATCH($F206,사건마스터!$A$5:$A$64,0)),""))</f>
        <v/>
      </c>
      <c r="L206" s="136">
        <f>IF($F206="","",IFERROR(INDEX(사건마스터!$AI$5:$AI$64,MATCH($F206,사건마스터!$A$5:$A$64,0)),""))</f>
        <v/>
      </c>
      <c r="M206" s="136">
        <f>IF($F206="","",IFERROR(INDEX(사건마스터!$AJ$5:$AJ$64,MATCH($F206,사건마스터!$A$5:$A$64,0)),""))</f>
        <v/>
      </c>
      <c r="N206" s="136">
        <f>IF($F206="","",IFERROR(INDEX(사건마스터!$AK$5:$AK$64,MATCH($F206,사건마스터!$A$5:$A$64,0)),""))</f>
        <v/>
      </c>
      <c r="O206" s="136">
        <f>IF($F206="","",IFERROR(INDEX(사건마스터!$AL$5:$AL$64,MATCH($F206,사건마스터!$A$5:$A$64,0)),""))</f>
        <v/>
      </c>
      <c r="P206" s="136">
        <f>IF($F206="","",IFERROR(INDEX(사건마스터!$AM$5:$AM$64,MATCH($F206,사건마스터!$A$5:$A$64,0)),""))</f>
        <v/>
      </c>
      <c r="Q206" s="136">
        <f>IF($F206="","",IFERROR(INDEX(사건마스터!$AN$5:$AN$64,MATCH($F206,사건마스터!$A$5:$A$64,0)),""))</f>
        <v/>
      </c>
      <c r="R206" s="136">
        <f>IF($F206="","",IFERROR(INDEX(사건마스터!$AO$5:$AO$64,MATCH($F206,사건마스터!$A$5:$A$64,0)),""))</f>
        <v/>
      </c>
      <c r="S206" s="136">
        <f>IF($F206="","",IFERROR(INDEX(사건마스터!$AP$5:$AP$64,MATCH($F206,사건마스터!$A$5:$A$64,0)),""))</f>
        <v/>
      </c>
      <c r="T206" s="136">
        <f>IF($F206="","",IFERROR(INDEX(사건마스터!$AQ$5:$AQ$64,MATCH($F206,사건마스터!$A$5:$A$64,0)),""))</f>
        <v/>
      </c>
      <c r="U206" s="136">
        <f>IF($F206="","",IFERROR(INDEX(사건마스터!$AR$5:$AR$64,MATCH($F206,사건마스터!$A$5:$A$64,0)),""))</f>
        <v/>
      </c>
      <c r="V206" s="136">
        <f>IF($F206="","",IFERROR(INDEX(사건마스터!$AS$5:$AS$64,MATCH($F206,사건마스터!$A$5:$A$64,0)),""))</f>
        <v/>
      </c>
      <c r="W206" s="136">
        <f>IF($F206="","",IFERROR(INDEX(사건마스터!$AT$5:$AT$64,MATCH($F206,사건마스터!$A$5:$A$64,0)),""))</f>
        <v/>
      </c>
      <c r="X206" s="136">
        <f>IF($F206="","",IFERROR(INDEX(사건마스터!$AU$5:$AU$64,MATCH($F206,사건마스터!$A$5:$A$64,0)),""))</f>
        <v/>
      </c>
      <c r="Y206" s="136">
        <f>IF($F206="","",IFERROR(INDEX(사건마스터!$AV$5:$AV$64,MATCH($F206,사건마스터!$A$5:$A$64,0)),""))</f>
        <v/>
      </c>
      <c r="Z206" s="118">
        <f>IF(COUNTBLANK($J206:$Y206)=16,"",16-COUNTBLANK($J206:$Y206))</f>
        <v/>
      </c>
      <c r="AA206" s="33">
        <f>IF($J206="",MID($AX206,3,255),$J206&amp;$AX206)</f>
        <v/>
      </c>
      <c r="AB206" s="130">
        <f>IF($J206="","",IFERROR(INDEX(코드설정!$D$5:$D$24,MATCH($J206,코드설정!$C$5:$C$24,0)),""))</f>
        <v/>
      </c>
      <c r="AC206" s="36" t="n"/>
      <c r="AD206" s="37" t="n"/>
      <c r="AE206" s="38" t="n"/>
      <c r="AF206" s="118">
        <f>IF(OR($B206="",$C206=""),"",$C206-$B206+1)</f>
        <v/>
      </c>
      <c r="AG206" s="74" t="n"/>
      <c r="AH206" s="36" t="n"/>
      <c r="AJ206">
        <f>IF($K206="","",", "&amp;$K206)</f>
        <v/>
      </c>
      <c r="AK206">
        <f>AJ206&amp;IF($L206="","",", "&amp;$L206)</f>
        <v/>
      </c>
      <c r="AL206">
        <f>AK206&amp;IF($M206="","",", "&amp;$M206)</f>
        <v/>
      </c>
      <c r="AM206">
        <f>AL206&amp;IF($N206="","",", "&amp;$N206)</f>
        <v/>
      </c>
      <c r="AN206">
        <f>AM206&amp;IF($O206="","",", "&amp;$O206)</f>
        <v/>
      </c>
      <c r="AO206">
        <f>AN206&amp;IF($P206="","",", "&amp;$P206)</f>
        <v/>
      </c>
      <c r="AP206">
        <f>AO206&amp;IF($Q206="","",", "&amp;$Q206)</f>
        <v/>
      </c>
      <c r="AQ206">
        <f>AP206&amp;IF($R206="","",", "&amp;$R206)</f>
        <v/>
      </c>
      <c r="AR206">
        <f>AQ206&amp;IF($S206="","",", "&amp;$S206)</f>
        <v/>
      </c>
      <c r="AS206">
        <f>AR206&amp;IF($T206="","",", "&amp;$T206)</f>
        <v/>
      </c>
      <c r="AT206">
        <f>AS206&amp;IF($U206="","",", "&amp;$U206)</f>
        <v/>
      </c>
      <c r="AU206">
        <f>AT206&amp;IF($V206="","",", "&amp;$V206)</f>
        <v/>
      </c>
      <c r="AV206">
        <f>AU206&amp;IF($W206="","",", "&amp;$W206)</f>
        <v/>
      </c>
      <c r="AW206">
        <f>AV206&amp;IF($X206="","",", "&amp;$X206)</f>
        <v/>
      </c>
      <c r="AX206">
        <f>AW206&amp;IF($Y206="","",", "&amp;$Y206)</f>
        <v/>
      </c>
    </row>
    <row r="207">
      <c r="A207" s="118">
        <f>IF($B207="","",COUNT($B$5:$B207))</f>
        <v/>
      </c>
      <c r="B207" s="80" t="n"/>
      <c r="C207" s="80" t="n"/>
      <c r="D207" s="74" t="n"/>
      <c r="E207" s="74" t="n"/>
      <c r="F207" s="74" t="n"/>
      <c r="G207" s="118">
        <f>IF($F207="","",COUNTIF($F$5:$F207,$F207))</f>
        <v/>
      </c>
      <c r="H207" s="33">
        <f>IF($F207="","",IFERROR(INDEX(사건마스터!$B$5:$B$64,MATCH($F207,사건마스터!$A$5:$A$64,0)),""))</f>
        <v/>
      </c>
      <c r="I207" s="130">
        <f>IF($F207="","",IFERROR(INDEX(사건마스터!$C$5:$C$64,MATCH($F207,사건마스터!$A$5:$A$64,0)),""))</f>
        <v/>
      </c>
      <c r="J207" s="136">
        <f>IF($F207="","",IFERROR(INDEX(사건마스터!$H$5:$H$64,MATCH($F207,사건마스터!$A$5:$A$64,0)),""))</f>
        <v/>
      </c>
      <c r="K207" s="136">
        <f>IF($F207="","",IFERROR(INDEX(사건마스터!$AH$5:$AH$64,MATCH($F207,사건마스터!$A$5:$A$64,0)),""))</f>
        <v/>
      </c>
      <c r="L207" s="136">
        <f>IF($F207="","",IFERROR(INDEX(사건마스터!$AI$5:$AI$64,MATCH($F207,사건마스터!$A$5:$A$64,0)),""))</f>
        <v/>
      </c>
      <c r="M207" s="136">
        <f>IF($F207="","",IFERROR(INDEX(사건마스터!$AJ$5:$AJ$64,MATCH($F207,사건마스터!$A$5:$A$64,0)),""))</f>
        <v/>
      </c>
      <c r="N207" s="136">
        <f>IF($F207="","",IFERROR(INDEX(사건마스터!$AK$5:$AK$64,MATCH($F207,사건마스터!$A$5:$A$64,0)),""))</f>
        <v/>
      </c>
      <c r="O207" s="136">
        <f>IF($F207="","",IFERROR(INDEX(사건마스터!$AL$5:$AL$64,MATCH($F207,사건마스터!$A$5:$A$64,0)),""))</f>
        <v/>
      </c>
      <c r="P207" s="136">
        <f>IF($F207="","",IFERROR(INDEX(사건마스터!$AM$5:$AM$64,MATCH($F207,사건마스터!$A$5:$A$64,0)),""))</f>
        <v/>
      </c>
      <c r="Q207" s="136">
        <f>IF($F207="","",IFERROR(INDEX(사건마스터!$AN$5:$AN$64,MATCH($F207,사건마스터!$A$5:$A$64,0)),""))</f>
        <v/>
      </c>
      <c r="R207" s="136">
        <f>IF($F207="","",IFERROR(INDEX(사건마스터!$AO$5:$AO$64,MATCH($F207,사건마스터!$A$5:$A$64,0)),""))</f>
        <v/>
      </c>
      <c r="S207" s="136">
        <f>IF($F207="","",IFERROR(INDEX(사건마스터!$AP$5:$AP$64,MATCH($F207,사건마스터!$A$5:$A$64,0)),""))</f>
        <v/>
      </c>
      <c r="T207" s="136">
        <f>IF($F207="","",IFERROR(INDEX(사건마스터!$AQ$5:$AQ$64,MATCH($F207,사건마스터!$A$5:$A$64,0)),""))</f>
        <v/>
      </c>
      <c r="U207" s="136">
        <f>IF($F207="","",IFERROR(INDEX(사건마스터!$AR$5:$AR$64,MATCH($F207,사건마스터!$A$5:$A$64,0)),""))</f>
        <v/>
      </c>
      <c r="V207" s="136">
        <f>IF($F207="","",IFERROR(INDEX(사건마스터!$AS$5:$AS$64,MATCH($F207,사건마스터!$A$5:$A$64,0)),""))</f>
        <v/>
      </c>
      <c r="W207" s="136">
        <f>IF($F207="","",IFERROR(INDEX(사건마스터!$AT$5:$AT$64,MATCH($F207,사건마스터!$A$5:$A$64,0)),""))</f>
        <v/>
      </c>
      <c r="X207" s="136">
        <f>IF($F207="","",IFERROR(INDEX(사건마스터!$AU$5:$AU$64,MATCH($F207,사건마스터!$A$5:$A$64,0)),""))</f>
        <v/>
      </c>
      <c r="Y207" s="136">
        <f>IF($F207="","",IFERROR(INDEX(사건마스터!$AV$5:$AV$64,MATCH($F207,사건마스터!$A$5:$A$64,0)),""))</f>
        <v/>
      </c>
      <c r="Z207" s="118">
        <f>IF(COUNTBLANK($J207:$Y207)=16,"",16-COUNTBLANK($J207:$Y207))</f>
        <v/>
      </c>
      <c r="AA207" s="33">
        <f>IF($J207="",MID($AX207,3,255),$J207&amp;$AX207)</f>
        <v/>
      </c>
      <c r="AB207" s="130">
        <f>IF($J207="","",IFERROR(INDEX(코드설정!$D$5:$D$24,MATCH($J207,코드설정!$C$5:$C$24,0)),""))</f>
        <v/>
      </c>
      <c r="AC207" s="36" t="n"/>
      <c r="AD207" s="37" t="n"/>
      <c r="AE207" s="38" t="n"/>
      <c r="AF207" s="118">
        <f>IF(OR($B207="",$C207=""),"",$C207-$B207+1)</f>
        <v/>
      </c>
      <c r="AG207" s="74" t="n"/>
      <c r="AH207" s="36" t="n"/>
      <c r="AJ207">
        <f>IF($K207="","",", "&amp;$K207)</f>
        <v/>
      </c>
      <c r="AK207">
        <f>AJ207&amp;IF($L207="","",", "&amp;$L207)</f>
        <v/>
      </c>
      <c r="AL207">
        <f>AK207&amp;IF($M207="","",", "&amp;$M207)</f>
        <v/>
      </c>
      <c r="AM207">
        <f>AL207&amp;IF($N207="","",", "&amp;$N207)</f>
        <v/>
      </c>
      <c r="AN207">
        <f>AM207&amp;IF($O207="","",", "&amp;$O207)</f>
        <v/>
      </c>
      <c r="AO207">
        <f>AN207&amp;IF($P207="","",", "&amp;$P207)</f>
        <v/>
      </c>
      <c r="AP207">
        <f>AO207&amp;IF($Q207="","",", "&amp;$Q207)</f>
        <v/>
      </c>
      <c r="AQ207">
        <f>AP207&amp;IF($R207="","",", "&amp;$R207)</f>
        <v/>
      </c>
      <c r="AR207">
        <f>AQ207&amp;IF($S207="","",", "&amp;$S207)</f>
        <v/>
      </c>
      <c r="AS207">
        <f>AR207&amp;IF($T207="","",", "&amp;$T207)</f>
        <v/>
      </c>
      <c r="AT207">
        <f>AS207&amp;IF($U207="","",", "&amp;$U207)</f>
        <v/>
      </c>
      <c r="AU207">
        <f>AT207&amp;IF($V207="","",", "&amp;$V207)</f>
        <v/>
      </c>
      <c r="AV207">
        <f>AU207&amp;IF($W207="","",", "&amp;$W207)</f>
        <v/>
      </c>
      <c r="AW207">
        <f>AV207&amp;IF($X207="","",", "&amp;$X207)</f>
        <v/>
      </c>
      <c r="AX207">
        <f>AW207&amp;IF($Y207="","",", "&amp;$Y207)</f>
        <v/>
      </c>
    </row>
    <row r="208">
      <c r="A208" s="118">
        <f>IF($B208="","",COUNT($B$5:$B208))</f>
        <v/>
      </c>
      <c r="B208" s="80" t="n"/>
      <c r="C208" s="80" t="n"/>
      <c r="D208" s="74" t="n"/>
      <c r="E208" s="74" t="n"/>
      <c r="F208" s="74" t="n"/>
      <c r="G208" s="118">
        <f>IF($F208="","",COUNTIF($F$5:$F208,$F208))</f>
        <v/>
      </c>
      <c r="H208" s="33">
        <f>IF($F208="","",IFERROR(INDEX(사건마스터!$B$5:$B$64,MATCH($F208,사건마스터!$A$5:$A$64,0)),""))</f>
        <v/>
      </c>
      <c r="I208" s="130">
        <f>IF($F208="","",IFERROR(INDEX(사건마스터!$C$5:$C$64,MATCH($F208,사건마스터!$A$5:$A$64,0)),""))</f>
        <v/>
      </c>
      <c r="J208" s="136">
        <f>IF($F208="","",IFERROR(INDEX(사건마스터!$H$5:$H$64,MATCH($F208,사건마스터!$A$5:$A$64,0)),""))</f>
        <v/>
      </c>
      <c r="K208" s="136">
        <f>IF($F208="","",IFERROR(INDEX(사건마스터!$AH$5:$AH$64,MATCH($F208,사건마스터!$A$5:$A$64,0)),""))</f>
        <v/>
      </c>
      <c r="L208" s="136">
        <f>IF($F208="","",IFERROR(INDEX(사건마스터!$AI$5:$AI$64,MATCH($F208,사건마스터!$A$5:$A$64,0)),""))</f>
        <v/>
      </c>
      <c r="M208" s="136">
        <f>IF($F208="","",IFERROR(INDEX(사건마스터!$AJ$5:$AJ$64,MATCH($F208,사건마스터!$A$5:$A$64,0)),""))</f>
        <v/>
      </c>
      <c r="N208" s="136">
        <f>IF($F208="","",IFERROR(INDEX(사건마스터!$AK$5:$AK$64,MATCH($F208,사건마스터!$A$5:$A$64,0)),""))</f>
        <v/>
      </c>
      <c r="O208" s="136">
        <f>IF($F208="","",IFERROR(INDEX(사건마스터!$AL$5:$AL$64,MATCH($F208,사건마스터!$A$5:$A$64,0)),""))</f>
        <v/>
      </c>
      <c r="P208" s="136">
        <f>IF($F208="","",IFERROR(INDEX(사건마스터!$AM$5:$AM$64,MATCH($F208,사건마스터!$A$5:$A$64,0)),""))</f>
        <v/>
      </c>
      <c r="Q208" s="136">
        <f>IF($F208="","",IFERROR(INDEX(사건마스터!$AN$5:$AN$64,MATCH($F208,사건마스터!$A$5:$A$64,0)),""))</f>
        <v/>
      </c>
      <c r="R208" s="136">
        <f>IF($F208="","",IFERROR(INDEX(사건마스터!$AO$5:$AO$64,MATCH($F208,사건마스터!$A$5:$A$64,0)),""))</f>
        <v/>
      </c>
      <c r="S208" s="136">
        <f>IF($F208="","",IFERROR(INDEX(사건마스터!$AP$5:$AP$64,MATCH($F208,사건마스터!$A$5:$A$64,0)),""))</f>
        <v/>
      </c>
      <c r="T208" s="136">
        <f>IF($F208="","",IFERROR(INDEX(사건마스터!$AQ$5:$AQ$64,MATCH($F208,사건마스터!$A$5:$A$64,0)),""))</f>
        <v/>
      </c>
      <c r="U208" s="136">
        <f>IF($F208="","",IFERROR(INDEX(사건마스터!$AR$5:$AR$64,MATCH($F208,사건마스터!$A$5:$A$64,0)),""))</f>
        <v/>
      </c>
      <c r="V208" s="136">
        <f>IF($F208="","",IFERROR(INDEX(사건마스터!$AS$5:$AS$64,MATCH($F208,사건마스터!$A$5:$A$64,0)),""))</f>
        <v/>
      </c>
      <c r="W208" s="136">
        <f>IF($F208="","",IFERROR(INDEX(사건마스터!$AT$5:$AT$64,MATCH($F208,사건마스터!$A$5:$A$64,0)),""))</f>
        <v/>
      </c>
      <c r="X208" s="136">
        <f>IF($F208="","",IFERROR(INDEX(사건마스터!$AU$5:$AU$64,MATCH($F208,사건마스터!$A$5:$A$64,0)),""))</f>
        <v/>
      </c>
      <c r="Y208" s="136">
        <f>IF($F208="","",IFERROR(INDEX(사건마스터!$AV$5:$AV$64,MATCH($F208,사건마스터!$A$5:$A$64,0)),""))</f>
        <v/>
      </c>
      <c r="Z208" s="118">
        <f>IF(COUNTBLANK($J208:$Y208)=16,"",16-COUNTBLANK($J208:$Y208))</f>
        <v/>
      </c>
      <c r="AA208" s="33">
        <f>IF($J208="",MID($AX208,3,255),$J208&amp;$AX208)</f>
        <v/>
      </c>
      <c r="AB208" s="130">
        <f>IF($J208="","",IFERROR(INDEX(코드설정!$D$5:$D$24,MATCH($J208,코드설정!$C$5:$C$24,0)),""))</f>
        <v/>
      </c>
      <c r="AC208" s="36" t="n"/>
      <c r="AD208" s="37" t="n"/>
      <c r="AE208" s="38" t="n"/>
      <c r="AF208" s="118">
        <f>IF(OR($B208="",$C208=""),"",$C208-$B208+1)</f>
        <v/>
      </c>
      <c r="AG208" s="74" t="n"/>
      <c r="AH208" s="36" t="n"/>
      <c r="AJ208">
        <f>IF($K208="","",", "&amp;$K208)</f>
        <v/>
      </c>
      <c r="AK208">
        <f>AJ208&amp;IF($L208="","",", "&amp;$L208)</f>
        <v/>
      </c>
      <c r="AL208">
        <f>AK208&amp;IF($M208="","",", "&amp;$M208)</f>
        <v/>
      </c>
      <c r="AM208">
        <f>AL208&amp;IF($N208="","",", "&amp;$N208)</f>
        <v/>
      </c>
      <c r="AN208">
        <f>AM208&amp;IF($O208="","",", "&amp;$O208)</f>
        <v/>
      </c>
      <c r="AO208">
        <f>AN208&amp;IF($P208="","",", "&amp;$P208)</f>
        <v/>
      </c>
      <c r="AP208">
        <f>AO208&amp;IF($Q208="","",", "&amp;$Q208)</f>
        <v/>
      </c>
      <c r="AQ208">
        <f>AP208&amp;IF($R208="","",", "&amp;$R208)</f>
        <v/>
      </c>
      <c r="AR208">
        <f>AQ208&amp;IF($S208="","",", "&amp;$S208)</f>
        <v/>
      </c>
      <c r="AS208">
        <f>AR208&amp;IF($T208="","",", "&amp;$T208)</f>
        <v/>
      </c>
      <c r="AT208">
        <f>AS208&amp;IF($U208="","",", "&amp;$U208)</f>
        <v/>
      </c>
      <c r="AU208">
        <f>AT208&amp;IF($V208="","",", "&amp;$V208)</f>
        <v/>
      </c>
      <c r="AV208">
        <f>AU208&amp;IF($W208="","",", "&amp;$W208)</f>
        <v/>
      </c>
      <c r="AW208">
        <f>AV208&amp;IF($X208="","",", "&amp;$X208)</f>
        <v/>
      </c>
      <c r="AX208">
        <f>AW208&amp;IF($Y208="","",", "&amp;$Y208)</f>
        <v/>
      </c>
    </row>
    <row r="209">
      <c r="A209" s="118">
        <f>IF($B209="","",COUNT($B$5:$B209))</f>
        <v/>
      </c>
      <c r="B209" s="80" t="n"/>
      <c r="C209" s="80" t="n"/>
      <c r="D209" s="74" t="n"/>
      <c r="E209" s="74" t="n"/>
      <c r="F209" s="74" t="n"/>
      <c r="G209" s="118">
        <f>IF($F209="","",COUNTIF($F$5:$F209,$F209))</f>
        <v/>
      </c>
      <c r="H209" s="33">
        <f>IF($F209="","",IFERROR(INDEX(사건마스터!$B$5:$B$64,MATCH($F209,사건마스터!$A$5:$A$64,0)),""))</f>
        <v/>
      </c>
      <c r="I209" s="130">
        <f>IF($F209="","",IFERROR(INDEX(사건마스터!$C$5:$C$64,MATCH($F209,사건마스터!$A$5:$A$64,0)),""))</f>
        <v/>
      </c>
      <c r="J209" s="136">
        <f>IF($F209="","",IFERROR(INDEX(사건마스터!$H$5:$H$64,MATCH($F209,사건마스터!$A$5:$A$64,0)),""))</f>
        <v/>
      </c>
      <c r="K209" s="136">
        <f>IF($F209="","",IFERROR(INDEX(사건마스터!$AH$5:$AH$64,MATCH($F209,사건마스터!$A$5:$A$64,0)),""))</f>
        <v/>
      </c>
      <c r="L209" s="136">
        <f>IF($F209="","",IFERROR(INDEX(사건마스터!$AI$5:$AI$64,MATCH($F209,사건마스터!$A$5:$A$64,0)),""))</f>
        <v/>
      </c>
      <c r="M209" s="136">
        <f>IF($F209="","",IFERROR(INDEX(사건마스터!$AJ$5:$AJ$64,MATCH($F209,사건마스터!$A$5:$A$64,0)),""))</f>
        <v/>
      </c>
      <c r="N209" s="136">
        <f>IF($F209="","",IFERROR(INDEX(사건마스터!$AK$5:$AK$64,MATCH($F209,사건마스터!$A$5:$A$64,0)),""))</f>
        <v/>
      </c>
      <c r="O209" s="136">
        <f>IF($F209="","",IFERROR(INDEX(사건마스터!$AL$5:$AL$64,MATCH($F209,사건마스터!$A$5:$A$64,0)),""))</f>
        <v/>
      </c>
      <c r="P209" s="136">
        <f>IF($F209="","",IFERROR(INDEX(사건마스터!$AM$5:$AM$64,MATCH($F209,사건마스터!$A$5:$A$64,0)),""))</f>
        <v/>
      </c>
      <c r="Q209" s="136">
        <f>IF($F209="","",IFERROR(INDEX(사건마스터!$AN$5:$AN$64,MATCH($F209,사건마스터!$A$5:$A$64,0)),""))</f>
        <v/>
      </c>
      <c r="R209" s="136">
        <f>IF($F209="","",IFERROR(INDEX(사건마스터!$AO$5:$AO$64,MATCH($F209,사건마스터!$A$5:$A$64,0)),""))</f>
        <v/>
      </c>
      <c r="S209" s="136">
        <f>IF($F209="","",IFERROR(INDEX(사건마스터!$AP$5:$AP$64,MATCH($F209,사건마스터!$A$5:$A$64,0)),""))</f>
        <v/>
      </c>
      <c r="T209" s="136">
        <f>IF($F209="","",IFERROR(INDEX(사건마스터!$AQ$5:$AQ$64,MATCH($F209,사건마스터!$A$5:$A$64,0)),""))</f>
        <v/>
      </c>
      <c r="U209" s="136">
        <f>IF($F209="","",IFERROR(INDEX(사건마스터!$AR$5:$AR$64,MATCH($F209,사건마스터!$A$5:$A$64,0)),""))</f>
        <v/>
      </c>
      <c r="V209" s="136">
        <f>IF($F209="","",IFERROR(INDEX(사건마스터!$AS$5:$AS$64,MATCH($F209,사건마스터!$A$5:$A$64,0)),""))</f>
        <v/>
      </c>
      <c r="W209" s="136">
        <f>IF($F209="","",IFERROR(INDEX(사건마스터!$AT$5:$AT$64,MATCH($F209,사건마스터!$A$5:$A$64,0)),""))</f>
        <v/>
      </c>
      <c r="X209" s="136">
        <f>IF($F209="","",IFERROR(INDEX(사건마스터!$AU$5:$AU$64,MATCH($F209,사건마스터!$A$5:$A$64,0)),""))</f>
        <v/>
      </c>
      <c r="Y209" s="136">
        <f>IF($F209="","",IFERROR(INDEX(사건마스터!$AV$5:$AV$64,MATCH($F209,사건마스터!$A$5:$A$64,0)),""))</f>
        <v/>
      </c>
      <c r="Z209" s="118">
        <f>IF(COUNTBLANK($J209:$Y209)=16,"",16-COUNTBLANK($J209:$Y209))</f>
        <v/>
      </c>
      <c r="AA209" s="33">
        <f>IF($J209="",MID($AX209,3,255),$J209&amp;$AX209)</f>
        <v/>
      </c>
      <c r="AB209" s="130">
        <f>IF($J209="","",IFERROR(INDEX(코드설정!$D$5:$D$24,MATCH($J209,코드설정!$C$5:$C$24,0)),""))</f>
        <v/>
      </c>
      <c r="AC209" s="36" t="n"/>
      <c r="AD209" s="37" t="n"/>
      <c r="AE209" s="38" t="n"/>
      <c r="AF209" s="118">
        <f>IF(OR($B209="",$C209=""),"",$C209-$B209+1)</f>
        <v/>
      </c>
      <c r="AG209" s="74" t="n"/>
      <c r="AH209" s="36" t="n"/>
      <c r="AJ209">
        <f>IF($K209="","",", "&amp;$K209)</f>
        <v/>
      </c>
      <c r="AK209">
        <f>AJ209&amp;IF($L209="","",", "&amp;$L209)</f>
        <v/>
      </c>
      <c r="AL209">
        <f>AK209&amp;IF($M209="","",", "&amp;$M209)</f>
        <v/>
      </c>
      <c r="AM209">
        <f>AL209&amp;IF($N209="","",", "&amp;$N209)</f>
        <v/>
      </c>
      <c r="AN209">
        <f>AM209&amp;IF($O209="","",", "&amp;$O209)</f>
        <v/>
      </c>
      <c r="AO209">
        <f>AN209&amp;IF($P209="","",", "&amp;$P209)</f>
        <v/>
      </c>
      <c r="AP209">
        <f>AO209&amp;IF($Q209="","",", "&amp;$Q209)</f>
        <v/>
      </c>
      <c r="AQ209">
        <f>AP209&amp;IF($R209="","",", "&amp;$R209)</f>
        <v/>
      </c>
      <c r="AR209">
        <f>AQ209&amp;IF($S209="","",", "&amp;$S209)</f>
        <v/>
      </c>
      <c r="AS209">
        <f>AR209&amp;IF($T209="","",", "&amp;$T209)</f>
        <v/>
      </c>
      <c r="AT209">
        <f>AS209&amp;IF($U209="","",", "&amp;$U209)</f>
        <v/>
      </c>
      <c r="AU209">
        <f>AT209&amp;IF($V209="","",", "&amp;$V209)</f>
        <v/>
      </c>
      <c r="AV209">
        <f>AU209&amp;IF($W209="","",", "&amp;$W209)</f>
        <v/>
      </c>
      <c r="AW209">
        <f>AV209&amp;IF($X209="","",", "&amp;$X209)</f>
        <v/>
      </c>
      <c r="AX209">
        <f>AW209&amp;IF($Y209="","",", "&amp;$Y209)</f>
        <v/>
      </c>
    </row>
    <row r="210">
      <c r="A210" s="118">
        <f>IF($B210="","",COUNT($B$5:$B210))</f>
        <v/>
      </c>
      <c r="B210" s="80" t="n"/>
      <c r="C210" s="80" t="n"/>
      <c r="D210" s="74" t="n"/>
      <c r="E210" s="74" t="n"/>
      <c r="F210" s="74" t="n"/>
      <c r="G210" s="118">
        <f>IF($F210="","",COUNTIF($F$5:$F210,$F210))</f>
        <v/>
      </c>
      <c r="H210" s="33">
        <f>IF($F210="","",IFERROR(INDEX(사건마스터!$B$5:$B$64,MATCH($F210,사건마스터!$A$5:$A$64,0)),""))</f>
        <v/>
      </c>
      <c r="I210" s="130">
        <f>IF($F210="","",IFERROR(INDEX(사건마스터!$C$5:$C$64,MATCH($F210,사건마스터!$A$5:$A$64,0)),""))</f>
        <v/>
      </c>
      <c r="J210" s="136">
        <f>IF($F210="","",IFERROR(INDEX(사건마스터!$H$5:$H$64,MATCH($F210,사건마스터!$A$5:$A$64,0)),""))</f>
        <v/>
      </c>
      <c r="K210" s="136">
        <f>IF($F210="","",IFERROR(INDEX(사건마스터!$AH$5:$AH$64,MATCH($F210,사건마스터!$A$5:$A$64,0)),""))</f>
        <v/>
      </c>
      <c r="L210" s="136">
        <f>IF($F210="","",IFERROR(INDEX(사건마스터!$AI$5:$AI$64,MATCH($F210,사건마스터!$A$5:$A$64,0)),""))</f>
        <v/>
      </c>
      <c r="M210" s="136">
        <f>IF($F210="","",IFERROR(INDEX(사건마스터!$AJ$5:$AJ$64,MATCH($F210,사건마스터!$A$5:$A$64,0)),""))</f>
        <v/>
      </c>
      <c r="N210" s="136">
        <f>IF($F210="","",IFERROR(INDEX(사건마스터!$AK$5:$AK$64,MATCH($F210,사건마스터!$A$5:$A$64,0)),""))</f>
        <v/>
      </c>
      <c r="O210" s="136">
        <f>IF($F210="","",IFERROR(INDEX(사건마스터!$AL$5:$AL$64,MATCH($F210,사건마스터!$A$5:$A$64,0)),""))</f>
        <v/>
      </c>
      <c r="P210" s="136">
        <f>IF($F210="","",IFERROR(INDEX(사건마스터!$AM$5:$AM$64,MATCH($F210,사건마스터!$A$5:$A$64,0)),""))</f>
        <v/>
      </c>
      <c r="Q210" s="136">
        <f>IF($F210="","",IFERROR(INDEX(사건마스터!$AN$5:$AN$64,MATCH($F210,사건마스터!$A$5:$A$64,0)),""))</f>
        <v/>
      </c>
      <c r="R210" s="136">
        <f>IF($F210="","",IFERROR(INDEX(사건마스터!$AO$5:$AO$64,MATCH($F210,사건마스터!$A$5:$A$64,0)),""))</f>
        <v/>
      </c>
      <c r="S210" s="136">
        <f>IF($F210="","",IFERROR(INDEX(사건마스터!$AP$5:$AP$64,MATCH($F210,사건마스터!$A$5:$A$64,0)),""))</f>
        <v/>
      </c>
      <c r="T210" s="136">
        <f>IF($F210="","",IFERROR(INDEX(사건마스터!$AQ$5:$AQ$64,MATCH($F210,사건마스터!$A$5:$A$64,0)),""))</f>
        <v/>
      </c>
      <c r="U210" s="136">
        <f>IF($F210="","",IFERROR(INDEX(사건마스터!$AR$5:$AR$64,MATCH($F210,사건마스터!$A$5:$A$64,0)),""))</f>
        <v/>
      </c>
      <c r="V210" s="136">
        <f>IF($F210="","",IFERROR(INDEX(사건마스터!$AS$5:$AS$64,MATCH($F210,사건마스터!$A$5:$A$64,0)),""))</f>
        <v/>
      </c>
      <c r="W210" s="136">
        <f>IF($F210="","",IFERROR(INDEX(사건마스터!$AT$5:$AT$64,MATCH($F210,사건마스터!$A$5:$A$64,0)),""))</f>
        <v/>
      </c>
      <c r="X210" s="136">
        <f>IF($F210="","",IFERROR(INDEX(사건마스터!$AU$5:$AU$64,MATCH($F210,사건마스터!$A$5:$A$64,0)),""))</f>
        <v/>
      </c>
      <c r="Y210" s="136">
        <f>IF($F210="","",IFERROR(INDEX(사건마스터!$AV$5:$AV$64,MATCH($F210,사건마스터!$A$5:$A$64,0)),""))</f>
        <v/>
      </c>
      <c r="Z210" s="118">
        <f>IF(COUNTBLANK($J210:$Y210)=16,"",16-COUNTBLANK($J210:$Y210))</f>
        <v/>
      </c>
      <c r="AA210" s="33">
        <f>IF($J210="",MID($AX210,3,255),$J210&amp;$AX210)</f>
        <v/>
      </c>
      <c r="AB210" s="130">
        <f>IF($J210="","",IFERROR(INDEX(코드설정!$D$5:$D$24,MATCH($J210,코드설정!$C$5:$C$24,0)),""))</f>
        <v/>
      </c>
      <c r="AC210" s="36" t="n"/>
      <c r="AD210" s="37" t="n"/>
      <c r="AE210" s="38" t="n"/>
      <c r="AF210" s="118">
        <f>IF(OR($B210="",$C210=""),"",$C210-$B210+1)</f>
        <v/>
      </c>
      <c r="AG210" s="74" t="n"/>
      <c r="AH210" s="36" t="n"/>
      <c r="AJ210">
        <f>IF($K210="","",", "&amp;$K210)</f>
        <v/>
      </c>
      <c r="AK210">
        <f>AJ210&amp;IF($L210="","",", "&amp;$L210)</f>
        <v/>
      </c>
      <c r="AL210">
        <f>AK210&amp;IF($M210="","",", "&amp;$M210)</f>
        <v/>
      </c>
      <c r="AM210">
        <f>AL210&amp;IF($N210="","",", "&amp;$N210)</f>
        <v/>
      </c>
      <c r="AN210">
        <f>AM210&amp;IF($O210="","",", "&amp;$O210)</f>
        <v/>
      </c>
      <c r="AO210">
        <f>AN210&amp;IF($P210="","",", "&amp;$P210)</f>
        <v/>
      </c>
      <c r="AP210">
        <f>AO210&amp;IF($Q210="","",", "&amp;$Q210)</f>
        <v/>
      </c>
      <c r="AQ210">
        <f>AP210&amp;IF($R210="","",", "&amp;$R210)</f>
        <v/>
      </c>
      <c r="AR210">
        <f>AQ210&amp;IF($S210="","",", "&amp;$S210)</f>
        <v/>
      </c>
      <c r="AS210">
        <f>AR210&amp;IF($T210="","",", "&amp;$T210)</f>
        <v/>
      </c>
      <c r="AT210">
        <f>AS210&amp;IF($U210="","",", "&amp;$U210)</f>
        <v/>
      </c>
      <c r="AU210">
        <f>AT210&amp;IF($V210="","",", "&amp;$V210)</f>
        <v/>
      </c>
      <c r="AV210">
        <f>AU210&amp;IF($W210="","",", "&amp;$W210)</f>
        <v/>
      </c>
      <c r="AW210">
        <f>AV210&amp;IF($X210="","",", "&amp;$X210)</f>
        <v/>
      </c>
      <c r="AX210">
        <f>AW210&amp;IF($Y210="","",", "&amp;$Y210)</f>
        <v/>
      </c>
    </row>
    <row r="211">
      <c r="A211" s="118">
        <f>IF($B211="","",COUNT($B$5:$B211))</f>
        <v/>
      </c>
      <c r="B211" s="80" t="n"/>
      <c r="C211" s="80" t="n"/>
      <c r="D211" s="74" t="n"/>
      <c r="E211" s="74" t="n"/>
      <c r="F211" s="74" t="n"/>
      <c r="G211" s="118">
        <f>IF($F211="","",COUNTIF($F$5:$F211,$F211))</f>
        <v/>
      </c>
      <c r="H211" s="33">
        <f>IF($F211="","",IFERROR(INDEX(사건마스터!$B$5:$B$64,MATCH($F211,사건마스터!$A$5:$A$64,0)),""))</f>
        <v/>
      </c>
      <c r="I211" s="130">
        <f>IF($F211="","",IFERROR(INDEX(사건마스터!$C$5:$C$64,MATCH($F211,사건마스터!$A$5:$A$64,0)),""))</f>
        <v/>
      </c>
      <c r="J211" s="136">
        <f>IF($F211="","",IFERROR(INDEX(사건마스터!$H$5:$H$64,MATCH($F211,사건마스터!$A$5:$A$64,0)),""))</f>
        <v/>
      </c>
      <c r="K211" s="136">
        <f>IF($F211="","",IFERROR(INDEX(사건마스터!$AH$5:$AH$64,MATCH($F211,사건마스터!$A$5:$A$64,0)),""))</f>
        <v/>
      </c>
      <c r="L211" s="136">
        <f>IF($F211="","",IFERROR(INDEX(사건마스터!$AI$5:$AI$64,MATCH($F211,사건마스터!$A$5:$A$64,0)),""))</f>
        <v/>
      </c>
      <c r="M211" s="136">
        <f>IF($F211="","",IFERROR(INDEX(사건마스터!$AJ$5:$AJ$64,MATCH($F211,사건마스터!$A$5:$A$64,0)),""))</f>
        <v/>
      </c>
      <c r="N211" s="136">
        <f>IF($F211="","",IFERROR(INDEX(사건마스터!$AK$5:$AK$64,MATCH($F211,사건마스터!$A$5:$A$64,0)),""))</f>
        <v/>
      </c>
      <c r="O211" s="136">
        <f>IF($F211="","",IFERROR(INDEX(사건마스터!$AL$5:$AL$64,MATCH($F211,사건마스터!$A$5:$A$64,0)),""))</f>
        <v/>
      </c>
      <c r="P211" s="136">
        <f>IF($F211="","",IFERROR(INDEX(사건마스터!$AM$5:$AM$64,MATCH($F211,사건마스터!$A$5:$A$64,0)),""))</f>
        <v/>
      </c>
      <c r="Q211" s="136">
        <f>IF($F211="","",IFERROR(INDEX(사건마스터!$AN$5:$AN$64,MATCH($F211,사건마스터!$A$5:$A$64,0)),""))</f>
        <v/>
      </c>
      <c r="R211" s="136">
        <f>IF($F211="","",IFERROR(INDEX(사건마스터!$AO$5:$AO$64,MATCH($F211,사건마스터!$A$5:$A$64,0)),""))</f>
        <v/>
      </c>
      <c r="S211" s="136">
        <f>IF($F211="","",IFERROR(INDEX(사건마스터!$AP$5:$AP$64,MATCH($F211,사건마스터!$A$5:$A$64,0)),""))</f>
        <v/>
      </c>
      <c r="T211" s="136">
        <f>IF($F211="","",IFERROR(INDEX(사건마스터!$AQ$5:$AQ$64,MATCH($F211,사건마스터!$A$5:$A$64,0)),""))</f>
        <v/>
      </c>
      <c r="U211" s="136">
        <f>IF($F211="","",IFERROR(INDEX(사건마스터!$AR$5:$AR$64,MATCH($F211,사건마스터!$A$5:$A$64,0)),""))</f>
        <v/>
      </c>
      <c r="V211" s="136">
        <f>IF($F211="","",IFERROR(INDEX(사건마스터!$AS$5:$AS$64,MATCH($F211,사건마스터!$A$5:$A$64,0)),""))</f>
        <v/>
      </c>
      <c r="W211" s="136">
        <f>IF($F211="","",IFERROR(INDEX(사건마스터!$AT$5:$AT$64,MATCH($F211,사건마스터!$A$5:$A$64,0)),""))</f>
        <v/>
      </c>
      <c r="X211" s="136">
        <f>IF($F211="","",IFERROR(INDEX(사건마스터!$AU$5:$AU$64,MATCH($F211,사건마스터!$A$5:$A$64,0)),""))</f>
        <v/>
      </c>
      <c r="Y211" s="136">
        <f>IF($F211="","",IFERROR(INDEX(사건마스터!$AV$5:$AV$64,MATCH($F211,사건마스터!$A$5:$A$64,0)),""))</f>
        <v/>
      </c>
      <c r="Z211" s="118">
        <f>IF(COUNTBLANK($J211:$Y211)=16,"",16-COUNTBLANK($J211:$Y211))</f>
        <v/>
      </c>
      <c r="AA211" s="33">
        <f>IF($J211="",MID($AX211,3,255),$J211&amp;$AX211)</f>
        <v/>
      </c>
      <c r="AB211" s="130">
        <f>IF($J211="","",IFERROR(INDEX(코드설정!$D$5:$D$24,MATCH($J211,코드설정!$C$5:$C$24,0)),""))</f>
        <v/>
      </c>
      <c r="AC211" s="36" t="n"/>
      <c r="AD211" s="37" t="n"/>
      <c r="AE211" s="38" t="n"/>
      <c r="AF211" s="118">
        <f>IF(OR($B211="",$C211=""),"",$C211-$B211+1)</f>
        <v/>
      </c>
      <c r="AG211" s="74" t="n"/>
      <c r="AH211" s="36" t="n"/>
      <c r="AJ211">
        <f>IF($K211="","",", "&amp;$K211)</f>
        <v/>
      </c>
      <c r="AK211">
        <f>AJ211&amp;IF($L211="","",", "&amp;$L211)</f>
        <v/>
      </c>
      <c r="AL211">
        <f>AK211&amp;IF($M211="","",", "&amp;$M211)</f>
        <v/>
      </c>
      <c r="AM211">
        <f>AL211&amp;IF($N211="","",", "&amp;$N211)</f>
        <v/>
      </c>
      <c r="AN211">
        <f>AM211&amp;IF($O211="","",", "&amp;$O211)</f>
        <v/>
      </c>
      <c r="AO211">
        <f>AN211&amp;IF($P211="","",", "&amp;$P211)</f>
        <v/>
      </c>
      <c r="AP211">
        <f>AO211&amp;IF($Q211="","",", "&amp;$Q211)</f>
        <v/>
      </c>
      <c r="AQ211">
        <f>AP211&amp;IF($R211="","",", "&amp;$R211)</f>
        <v/>
      </c>
      <c r="AR211">
        <f>AQ211&amp;IF($S211="","",", "&amp;$S211)</f>
        <v/>
      </c>
      <c r="AS211">
        <f>AR211&amp;IF($T211="","",", "&amp;$T211)</f>
        <v/>
      </c>
      <c r="AT211">
        <f>AS211&amp;IF($U211="","",", "&amp;$U211)</f>
        <v/>
      </c>
      <c r="AU211">
        <f>AT211&amp;IF($V211="","",", "&amp;$V211)</f>
        <v/>
      </c>
      <c r="AV211">
        <f>AU211&amp;IF($W211="","",", "&amp;$W211)</f>
        <v/>
      </c>
      <c r="AW211">
        <f>AV211&amp;IF($X211="","",", "&amp;$X211)</f>
        <v/>
      </c>
      <c r="AX211">
        <f>AW211&amp;IF($Y211="","",", "&amp;$Y211)</f>
        <v/>
      </c>
    </row>
    <row r="212">
      <c r="A212" s="118">
        <f>IF($B212="","",COUNT($B$5:$B212))</f>
        <v/>
      </c>
      <c r="B212" s="80" t="n"/>
      <c r="C212" s="80" t="n"/>
      <c r="D212" s="74" t="n"/>
      <c r="E212" s="74" t="n"/>
      <c r="F212" s="74" t="n"/>
      <c r="G212" s="118">
        <f>IF($F212="","",COUNTIF($F$5:$F212,$F212))</f>
        <v/>
      </c>
      <c r="H212" s="33">
        <f>IF($F212="","",IFERROR(INDEX(사건마스터!$B$5:$B$64,MATCH($F212,사건마스터!$A$5:$A$64,0)),""))</f>
        <v/>
      </c>
      <c r="I212" s="130">
        <f>IF($F212="","",IFERROR(INDEX(사건마스터!$C$5:$C$64,MATCH($F212,사건마스터!$A$5:$A$64,0)),""))</f>
        <v/>
      </c>
      <c r="J212" s="136">
        <f>IF($F212="","",IFERROR(INDEX(사건마스터!$H$5:$H$64,MATCH($F212,사건마스터!$A$5:$A$64,0)),""))</f>
        <v/>
      </c>
      <c r="K212" s="136">
        <f>IF($F212="","",IFERROR(INDEX(사건마스터!$AH$5:$AH$64,MATCH($F212,사건마스터!$A$5:$A$64,0)),""))</f>
        <v/>
      </c>
      <c r="L212" s="136">
        <f>IF($F212="","",IFERROR(INDEX(사건마스터!$AI$5:$AI$64,MATCH($F212,사건마스터!$A$5:$A$64,0)),""))</f>
        <v/>
      </c>
      <c r="M212" s="136">
        <f>IF($F212="","",IFERROR(INDEX(사건마스터!$AJ$5:$AJ$64,MATCH($F212,사건마스터!$A$5:$A$64,0)),""))</f>
        <v/>
      </c>
      <c r="N212" s="136">
        <f>IF($F212="","",IFERROR(INDEX(사건마스터!$AK$5:$AK$64,MATCH($F212,사건마스터!$A$5:$A$64,0)),""))</f>
        <v/>
      </c>
      <c r="O212" s="136">
        <f>IF($F212="","",IFERROR(INDEX(사건마스터!$AL$5:$AL$64,MATCH($F212,사건마스터!$A$5:$A$64,0)),""))</f>
        <v/>
      </c>
      <c r="P212" s="136">
        <f>IF($F212="","",IFERROR(INDEX(사건마스터!$AM$5:$AM$64,MATCH($F212,사건마스터!$A$5:$A$64,0)),""))</f>
        <v/>
      </c>
      <c r="Q212" s="136">
        <f>IF($F212="","",IFERROR(INDEX(사건마스터!$AN$5:$AN$64,MATCH($F212,사건마스터!$A$5:$A$64,0)),""))</f>
        <v/>
      </c>
      <c r="R212" s="136">
        <f>IF($F212="","",IFERROR(INDEX(사건마스터!$AO$5:$AO$64,MATCH($F212,사건마스터!$A$5:$A$64,0)),""))</f>
        <v/>
      </c>
      <c r="S212" s="136">
        <f>IF($F212="","",IFERROR(INDEX(사건마스터!$AP$5:$AP$64,MATCH($F212,사건마스터!$A$5:$A$64,0)),""))</f>
        <v/>
      </c>
      <c r="T212" s="136">
        <f>IF($F212="","",IFERROR(INDEX(사건마스터!$AQ$5:$AQ$64,MATCH($F212,사건마스터!$A$5:$A$64,0)),""))</f>
        <v/>
      </c>
      <c r="U212" s="136">
        <f>IF($F212="","",IFERROR(INDEX(사건마스터!$AR$5:$AR$64,MATCH($F212,사건마스터!$A$5:$A$64,0)),""))</f>
        <v/>
      </c>
      <c r="V212" s="136">
        <f>IF($F212="","",IFERROR(INDEX(사건마스터!$AS$5:$AS$64,MATCH($F212,사건마스터!$A$5:$A$64,0)),""))</f>
        <v/>
      </c>
      <c r="W212" s="136">
        <f>IF($F212="","",IFERROR(INDEX(사건마스터!$AT$5:$AT$64,MATCH($F212,사건마스터!$A$5:$A$64,0)),""))</f>
        <v/>
      </c>
      <c r="X212" s="136">
        <f>IF($F212="","",IFERROR(INDEX(사건마스터!$AU$5:$AU$64,MATCH($F212,사건마스터!$A$5:$A$64,0)),""))</f>
        <v/>
      </c>
      <c r="Y212" s="136">
        <f>IF($F212="","",IFERROR(INDEX(사건마스터!$AV$5:$AV$64,MATCH($F212,사건마스터!$A$5:$A$64,0)),""))</f>
        <v/>
      </c>
      <c r="Z212" s="118">
        <f>IF(COUNTBLANK($J212:$Y212)=16,"",16-COUNTBLANK($J212:$Y212))</f>
        <v/>
      </c>
      <c r="AA212" s="33">
        <f>IF($J212="",MID($AX212,3,255),$J212&amp;$AX212)</f>
        <v/>
      </c>
      <c r="AB212" s="130">
        <f>IF($J212="","",IFERROR(INDEX(코드설정!$D$5:$D$24,MATCH($J212,코드설정!$C$5:$C$24,0)),""))</f>
        <v/>
      </c>
      <c r="AC212" s="36" t="n"/>
      <c r="AD212" s="37" t="n"/>
      <c r="AE212" s="38" t="n"/>
      <c r="AF212" s="118">
        <f>IF(OR($B212="",$C212=""),"",$C212-$B212+1)</f>
        <v/>
      </c>
      <c r="AG212" s="74" t="n"/>
      <c r="AH212" s="36" t="n"/>
      <c r="AJ212">
        <f>IF($K212="","",", "&amp;$K212)</f>
        <v/>
      </c>
      <c r="AK212">
        <f>AJ212&amp;IF($L212="","",", "&amp;$L212)</f>
        <v/>
      </c>
      <c r="AL212">
        <f>AK212&amp;IF($M212="","",", "&amp;$M212)</f>
        <v/>
      </c>
      <c r="AM212">
        <f>AL212&amp;IF($N212="","",", "&amp;$N212)</f>
        <v/>
      </c>
      <c r="AN212">
        <f>AM212&amp;IF($O212="","",", "&amp;$O212)</f>
        <v/>
      </c>
      <c r="AO212">
        <f>AN212&amp;IF($P212="","",", "&amp;$P212)</f>
        <v/>
      </c>
      <c r="AP212">
        <f>AO212&amp;IF($Q212="","",", "&amp;$Q212)</f>
        <v/>
      </c>
      <c r="AQ212">
        <f>AP212&amp;IF($R212="","",", "&amp;$R212)</f>
        <v/>
      </c>
      <c r="AR212">
        <f>AQ212&amp;IF($S212="","",", "&amp;$S212)</f>
        <v/>
      </c>
      <c r="AS212">
        <f>AR212&amp;IF($T212="","",", "&amp;$T212)</f>
        <v/>
      </c>
      <c r="AT212">
        <f>AS212&amp;IF($U212="","",", "&amp;$U212)</f>
        <v/>
      </c>
      <c r="AU212">
        <f>AT212&amp;IF($V212="","",", "&amp;$V212)</f>
        <v/>
      </c>
      <c r="AV212">
        <f>AU212&amp;IF($W212="","",", "&amp;$W212)</f>
        <v/>
      </c>
      <c r="AW212">
        <f>AV212&amp;IF($X212="","",", "&amp;$X212)</f>
        <v/>
      </c>
      <c r="AX212">
        <f>AW212&amp;IF($Y212="","",", "&amp;$Y212)</f>
        <v/>
      </c>
    </row>
    <row r="213">
      <c r="A213" s="118">
        <f>IF($B213="","",COUNT($B$5:$B213))</f>
        <v/>
      </c>
      <c r="B213" s="80" t="n"/>
      <c r="C213" s="80" t="n"/>
      <c r="D213" s="74" t="n"/>
      <c r="E213" s="74" t="n"/>
      <c r="F213" s="74" t="n"/>
      <c r="G213" s="118">
        <f>IF($F213="","",COUNTIF($F$5:$F213,$F213))</f>
        <v/>
      </c>
      <c r="H213" s="33">
        <f>IF($F213="","",IFERROR(INDEX(사건마스터!$B$5:$B$64,MATCH($F213,사건마스터!$A$5:$A$64,0)),""))</f>
        <v/>
      </c>
      <c r="I213" s="130">
        <f>IF($F213="","",IFERROR(INDEX(사건마스터!$C$5:$C$64,MATCH($F213,사건마스터!$A$5:$A$64,0)),""))</f>
        <v/>
      </c>
      <c r="J213" s="136">
        <f>IF($F213="","",IFERROR(INDEX(사건마스터!$H$5:$H$64,MATCH($F213,사건마스터!$A$5:$A$64,0)),""))</f>
        <v/>
      </c>
      <c r="K213" s="136">
        <f>IF($F213="","",IFERROR(INDEX(사건마스터!$AH$5:$AH$64,MATCH($F213,사건마스터!$A$5:$A$64,0)),""))</f>
        <v/>
      </c>
      <c r="L213" s="136">
        <f>IF($F213="","",IFERROR(INDEX(사건마스터!$AI$5:$AI$64,MATCH($F213,사건마스터!$A$5:$A$64,0)),""))</f>
        <v/>
      </c>
      <c r="M213" s="136">
        <f>IF($F213="","",IFERROR(INDEX(사건마스터!$AJ$5:$AJ$64,MATCH($F213,사건마스터!$A$5:$A$64,0)),""))</f>
        <v/>
      </c>
      <c r="N213" s="136">
        <f>IF($F213="","",IFERROR(INDEX(사건마스터!$AK$5:$AK$64,MATCH($F213,사건마스터!$A$5:$A$64,0)),""))</f>
        <v/>
      </c>
      <c r="O213" s="136">
        <f>IF($F213="","",IFERROR(INDEX(사건마스터!$AL$5:$AL$64,MATCH($F213,사건마스터!$A$5:$A$64,0)),""))</f>
        <v/>
      </c>
      <c r="P213" s="136">
        <f>IF($F213="","",IFERROR(INDEX(사건마스터!$AM$5:$AM$64,MATCH($F213,사건마스터!$A$5:$A$64,0)),""))</f>
        <v/>
      </c>
      <c r="Q213" s="136">
        <f>IF($F213="","",IFERROR(INDEX(사건마스터!$AN$5:$AN$64,MATCH($F213,사건마스터!$A$5:$A$64,0)),""))</f>
        <v/>
      </c>
      <c r="R213" s="136">
        <f>IF($F213="","",IFERROR(INDEX(사건마스터!$AO$5:$AO$64,MATCH($F213,사건마스터!$A$5:$A$64,0)),""))</f>
        <v/>
      </c>
      <c r="S213" s="136">
        <f>IF($F213="","",IFERROR(INDEX(사건마스터!$AP$5:$AP$64,MATCH($F213,사건마스터!$A$5:$A$64,0)),""))</f>
        <v/>
      </c>
      <c r="T213" s="136">
        <f>IF($F213="","",IFERROR(INDEX(사건마스터!$AQ$5:$AQ$64,MATCH($F213,사건마스터!$A$5:$A$64,0)),""))</f>
        <v/>
      </c>
      <c r="U213" s="136">
        <f>IF($F213="","",IFERROR(INDEX(사건마스터!$AR$5:$AR$64,MATCH($F213,사건마스터!$A$5:$A$64,0)),""))</f>
        <v/>
      </c>
      <c r="V213" s="136">
        <f>IF($F213="","",IFERROR(INDEX(사건마스터!$AS$5:$AS$64,MATCH($F213,사건마스터!$A$5:$A$64,0)),""))</f>
        <v/>
      </c>
      <c r="W213" s="136">
        <f>IF($F213="","",IFERROR(INDEX(사건마스터!$AT$5:$AT$64,MATCH($F213,사건마스터!$A$5:$A$64,0)),""))</f>
        <v/>
      </c>
      <c r="X213" s="136">
        <f>IF($F213="","",IFERROR(INDEX(사건마스터!$AU$5:$AU$64,MATCH($F213,사건마스터!$A$5:$A$64,0)),""))</f>
        <v/>
      </c>
      <c r="Y213" s="136">
        <f>IF($F213="","",IFERROR(INDEX(사건마스터!$AV$5:$AV$64,MATCH($F213,사건마스터!$A$5:$A$64,0)),""))</f>
        <v/>
      </c>
      <c r="Z213" s="118">
        <f>IF(COUNTBLANK($J213:$Y213)=16,"",16-COUNTBLANK($J213:$Y213))</f>
        <v/>
      </c>
      <c r="AA213" s="33">
        <f>IF($J213="",MID($AX213,3,255),$J213&amp;$AX213)</f>
        <v/>
      </c>
      <c r="AB213" s="130">
        <f>IF($J213="","",IFERROR(INDEX(코드설정!$D$5:$D$24,MATCH($J213,코드설정!$C$5:$C$24,0)),""))</f>
        <v/>
      </c>
      <c r="AC213" s="36" t="n"/>
      <c r="AD213" s="37" t="n"/>
      <c r="AE213" s="38" t="n"/>
      <c r="AF213" s="118">
        <f>IF(OR($B213="",$C213=""),"",$C213-$B213+1)</f>
        <v/>
      </c>
      <c r="AG213" s="74" t="n"/>
      <c r="AH213" s="36" t="n"/>
      <c r="AJ213">
        <f>IF($K213="","",", "&amp;$K213)</f>
        <v/>
      </c>
      <c r="AK213">
        <f>AJ213&amp;IF($L213="","",", "&amp;$L213)</f>
        <v/>
      </c>
      <c r="AL213">
        <f>AK213&amp;IF($M213="","",", "&amp;$M213)</f>
        <v/>
      </c>
      <c r="AM213">
        <f>AL213&amp;IF($N213="","",", "&amp;$N213)</f>
        <v/>
      </c>
      <c r="AN213">
        <f>AM213&amp;IF($O213="","",", "&amp;$O213)</f>
        <v/>
      </c>
      <c r="AO213">
        <f>AN213&amp;IF($P213="","",", "&amp;$P213)</f>
        <v/>
      </c>
      <c r="AP213">
        <f>AO213&amp;IF($Q213="","",", "&amp;$Q213)</f>
        <v/>
      </c>
      <c r="AQ213">
        <f>AP213&amp;IF($R213="","",", "&amp;$R213)</f>
        <v/>
      </c>
      <c r="AR213">
        <f>AQ213&amp;IF($S213="","",", "&amp;$S213)</f>
        <v/>
      </c>
      <c r="AS213">
        <f>AR213&amp;IF($T213="","",", "&amp;$T213)</f>
        <v/>
      </c>
      <c r="AT213">
        <f>AS213&amp;IF($U213="","",", "&amp;$U213)</f>
        <v/>
      </c>
      <c r="AU213">
        <f>AT213&amp;IF($V213="","",", "&amp;$V213)</f>
        <v/>
      </c>
      <c r="AV213">
        <f>AU213&amp;IF($W213="","",", "&amp;$W213)</f>
        <v/>
      </c>
      <c r="AW213">
        <f>AV213&amp;IF($X213="","",", "&amp;$X213)</f>
        <v/>
      </c>
      <c r="AX213">
        <f>AW213&amp;IF($Y213="","",", "&amp;$Y213)</f>
        <v/>
      </c>
    </row>
    <row r="214">
      <c r="A214" s="118">
        <f>IF($B214="","",COUNT($B$5:$B214))</f>
        <v/>
      </c>
      <c r="B214" s="80" t="n"/>
      <c r="C214" s="80" t="n"/>
      <c r="D214" s="74" t="n"/>
      <c r="E214" s="74" t="n"/>
      <c r="F214" s="74" t="n"/>
      <c r="G214" s="118">
        <f>IF($F214="","",COUNTIF($F$5:$F214,$F214))</f>
        <v/>
      </c>
      <c r="H214" s="33">
        <f>IF($F214="","",IFERROR(INDEX(사건마스터!$B$5:$B$64,MATCH($F214,사건마스터!$A$5:$A$64,0)),""))</f>
        <v/>
      </c>
      <c r="I214" s="130">
        <f>IF($F214="","",IFERROR(INDEX(사건마스터!$C$5:$C$64,MATCH($F214,사건마스터!$A$5:$A$64,0)),""))</f>
        <v/>
      </c>
      <c r="J214" s="136">
        <f>IF($F214="","",IFERROR(INDEX(사건마스터!$H$5:$H$64,MATCH($F214,사건마스터!$A$5:$A$64,0)),""))</f>
        <v/>
      </c>
      <c r="K214" s="136">
        <f>IF($F214="","",IFERROR(INDEX(사건마스터!$AH$5:$AH$64,MATCH($F214,사건마스터!$A$5:$A$64,0)),""))</f>
        <v/>
      </c>
      <c r="L214" s="136">
        <f>IF($F214="","",IFERROR(INDEX(사건마스터!$AI$5:$AI$64,MATCH($F214,사건마스터!$A$5:$A$64,0)),""))</f>
        <v/>
      </c>
      <c r="M214" s="136">
        <f>IF($F214="","",IFERROR(INDEX(사건마스터!$AJ$5:$AJ$64,MATCH($F214,사건마스터!$A$5:$A$64,0)),""))</f>
        <v/>
      </c>
      <c r="N214" s="136">
        <f>IF($F214="","",IFERROR(INDEX(사건마스터!$AK$5:$AK$64,MATCH($F214,사건마스터!$A$5:$A$64,0)),""))</f>
        <v/>
      </c>
      <c r="O214" s="136">
        <f>IF($F214="","",IFERROR(INDEX(사건마스터!$AL$5:$AL$64,MATCH($F214,사건마스터!$A$5:$A$64,0)),""))</f>
        <v/>
      </c>
      <c r="P214" s="136">
        <f>IF($F214="","",IFERROR(INDEX(사건마스터!$AM$5:$AM$64,MATCH($F214,사건마스터!$A$5:$A$64,0)),""))</f>
        <v/>
      </c>
      <c r="Q214" s="136">
        <f>IF($F214="","",IFERROR(INDEX(사건마스터!$AN$5:$AN$64,MATCH($F214,사건마스터!$A$5:$A$64,0)),""))</f>
        <v/>
      </c>
      <c r="R214" s="136">
        <f>IF($F214="","",IFERROR(INDEX(사건마스터!$AO$5:$AO$64,MATCH($F214,사건마스터!$A$5:$A$64,0)),""))</f>
        <v/>
      </c>
      <c r="S214" s="136">
        <f>IF($F214="","",IFERROR(INDEX(사건마스터!$AP$5:$AP$64,MATCH($F214,사건마스터!$A$5:$A$64,0)),""))</f>
        <v/>
      </c>
      <c r="T214" s="136">
        <f>IF($F214="","",IFERROR(INDEX(사건마스터!$AQ$5:$AQ$64,MATCH($F214,사건마스터!$A$5:$A$64,0)),""))</f>
        <v/>
      </c>
      <c r="U214" s="136">
        <f>IF($F214="","",IFERROR(INDEX(사건마스터!$AR$5:$AR$64,MATCH($F214,사건마스터!$A$5:$A$64,0)),""))</f>
        <v/>
      </c>
      <c r="V214" s="136">
        <f>IF($F214="","",IFERROR(INDEX(사건마스터!$AS$5:$AS$64,MATCH($F214,사건마스터!$A$5:$A$64,0)),""))</f>
        <v/>
      </c>
      <c r="W214" s="136">
        <f>IF($F214="","",IFERROR(INDEX(사건마스터!$AT$5:$AT$64,MATCH($F214,사건마스터!$A$5:$A$64,0)),""))</f>
        <v/>
      </c>
      <c r="X214" s="136">
        <f>IF($F214="","",IFERROR(INDEX(사건마스터!$AU$5:$AU$64,MATCH($F214,사건마스터!$A$5:$A$64,0)),""))</f>
        <v/>
      </c>
      <c r="Y214" s="136">
        <f>IF($F214="","",IFERROR(INDEX(사건마스터!$AV$5:$AV$64,MATCH($F214,사건마스터!$A$5:$A$64,0)),""))</f>
        <v/>
      </c>
      <c r="Z214" s="118">
        <f>IF(COUNTBLANK($J214:$Y214)=16,"",16-COUNTBLANK($J214:$Y214))</f>
        <v/>
      </c>
      <c r="AA214" s="33">
        <f>IF($J214="",MID($AX214,3,255),$J214&amp;$AX214)</f>
        <v/>
      </c>
      <c r="AB214" s="130">
        <f>IF($J214="","",IFERROR(INDEX(코드설정!$D$5:$D$24,MATCH($J214,코드설정!$C$5:$C$24,0)),""))</f>
        <v/>
      </c>
      <c r="AC214" s="36" t="n"/>
      <c r="AD214" s="37" t="n"/>
      <c r="AE214" s="38" t="n"/>
      <c r="AF214" s="118">
        <f>IF(OR($B214="",$C214=""),"",$C214-$B214+1)</f>
        <v/>
      </c>
      <c r="AG214" s="74" t="n"/>
      <c r="AH214" s="36" t="n"/>
      <c r="AJ214">
        <f>IF($K214="","",", "&amp;$K214)</f>
        <v/>
      </c>
      <c r="AK214">
        <f>AJ214&amp;IF($L214="","",", "&amp;$L214)</f>
        <v/>
      </c>
      <c r="AL214">
        <f>AK214&amp;IF($M214="","",", "&amp;$M214)</f>
        <v/>
      </c>
      <c r="AM214">
        <f>AL214&amp;IF($N214="","",", "&amp;$N214)</f>
        <v/>
      </c>
      <c r="AN214">
        <f>AM214&amp;IF($O214="","",", "&amp;$O214)</f>
        <v/>
      </c>
      <c r="AO214">
        <f>AN214&amp;IF($P214="","",", "&amp;$P214)</f>
        <v/>
      </c>
      <c r="AP214">
        <f>AO214&amp;IF($Q214="","",", "&amp;$Q214)</f>
        <v/>
      </c>
      <c r="AQ214">
        <f>AP214&amp;IF($R214="","",", "&amp;$R214)</f>
        <v/>
      </c>
      <c r="AR214">
        <f>AQ214&amp;IF($S214="","",", "&amp;$S214)</f>
        <v/>
      </c>
      <c r="AS214">
        <f>AR214&amp;IF($T214="","",", "&amp;$T214)</f>
        <v/>
      </c>
      <c r="AT214">
        <f>AS214&amp;IF($U214="","",", "&amp;$U214)</f>
        <v/>
      </c>
      <c r="AU214">
        <f>AT214&amp;IF($V214="","",", "&amp;$V214)</f>
        <v/>
      </c>
      <c r="AV214">
        <f>AU214&amp;IF($W214="","",", "&amp;$W214)</f>
        <v/>
      </c>
      <c r="AW214">
        <f>AV214&amp;IF($X214="","",", "&amp;$X214)</f>
        <v/>
      </c>
      <c r="AX214">
        <f>AW214&amp;IF($Y214="","",", "&amp;$Y214)</f>
        <v/>
      </c>
    </row>
    <row r="215">
      <c r="A215" s="118">
        <f>IF($B215="","",COUNT($B$5:$B215))</f>
        <v/>
      </c>
      <c r="B215" s="80" t="n"/>
      <c r="C215" s="80" t="n"/>
      <c r="D215" s="74" t="n"/>
      <c r="E215" s="74" t="n"/>
      <c r="F215" s="74" t="n"/>
      <c r="G215" s="118">
        <f>IF($F215="","",COUNTIF($F$5:$F215,$F215))</f>
        <v/>
      </c>
      <c r="H215" s="33">
        <f>IF($F215="","",IFERROR(INDEX(사건마스터!$B$5:$B$64,MATCH($F215,사건마스터!$A$5:$A$64,0)),""))</f>
        <v/>
      </c>
      <c r="I215" s="130">
        <f>IF($F215="","",IFERROR(INDEX(사건마스터!$C$5:$C$64,MATCH($F215,사건마스터!$A$5:$A$64,0)),""))</f>
        <v/>
      </c>
      <c r="J215" s="136">
        <f>IF($F215="","",IFERROR(INDEX(사건마스터!$H$5:$H$64,MATCH($F215,사건마스터!$A$5:$A$64,0)),""))</f>
        <v/>
      </c>
      <c r="K215" s="136">
        <f>IF($F215="","",IFERROR(INDEX(사건마스터!$AH$5:$AH$64,MATCH($F215,사건마스터!$A$5:$A$64,0)),""))</f>
        <v/>
      </c>
      <c r="L215" s="136">
        <f>IF($F215="","",IFERROR(INDEX(사건마스터!$AI$5:$AI$64,MATCH($F215,사건마스터!$A$5:$A$64,0)),""))</f>
        <v/>
      </c>
      <c r="M215" s="136">
        <f>IF($F215="","",IFERROR(INDEX(사건마스터!$AJ$5:$AJ$64,MATCH($F215,사건마스터!$A$5:$A$64,0)),""))</f>
        <v/>
      </c>
      <c r="N215" s="136">
        <f>IF($F215="","",IFERROR(INDEX(사건마스터!$AK$5:$AK$64,MATCH($F215,사건마스터!$A$5:$A$64,0)),""))</f>
        <v/>
      </c>
      <c r="O215" s="136">
        <f>IF($F215="","",IFERROR(INDEX(사건마스터!$AL$5:$AL$64,MATCH($F215,사건마스터!$A$5:$A$64,0)),""))</f>
        <v/>
      </c>
      <c r="P215" s="136">
        <f>IF($F215="","",IFERROR(INDEX(사건마스터!$AM$5:$AM$64,MATCH($F215,사건마스터!$A$5:$A$64,0)),""))</f>
        <v/>
      </c>
      <c r="Q215" s="136">
        <f>IF($F215="","",IFERROR(INDEX(사건마스터!$AN$5:$AN$64,MATCH($F215,사건마스터!$A$5:$A$64,0)),""))</f>
        <v/>
      </c>
      <c r="R215" s="136">
        <f>IF($F215="","",IFERROR(INDEX(사건마스터!$AO$5:$AO$64,MATCH($F215,사건마스터!$A$5:$A$64,0)),""))</f>
        <v/>
      </c>
      <c r="S215" s="136">
        <f>IF($F215="","",IFERROR(INDEX(사건마스터!$AP$5:$AP$64,MATCH($F215,사건마스터!$A$5:$A$64,0)),""))</f>
        <v/>
      </c>
      <c r="T215" s="136">
        <f>IF($F215="","",IFERROR(INDEX(사건마스터!$AQ$5:$AQ$64,MATCH($F215,사건마스터!$A$5:$A$64,0)),""))</f>
        <v/>
      </c>
      <c r="U215" s="136">
        <f>IF($F215="","",IFERROR(INDEX(사건마스터!$AR$5:$AR$64,MATCH($F215,사건마스터!$A$5:$A$64,0)),""))</f>
        <v/>
      </c>
      <c r="V215" s="136">
        <f>IF($F215="","",IFERROR(INDEX(사건마스터!$AS$5:$AS$64,MATCH($F215,사건마스터!$A$5:$A$64,0)),""))</f>
        <v/>
      </c>
      <c r="W215" s="136">
        <f>IF($F215="","",IFERROR(INDEX(사건마스터!$AT$5:$AT$64,MATCH($F215,사건마스터!$A$5:$A$64,0)),""))</f>
        <v/>
      </c>
      <c r="X215" s="136">
        <f>IF($F215="","",IFERROR(INDEX(사건마스터!$AU$5:$AU$64,MATCH($F215,사건마스터!$A$5:$A$64,0)),""))</f>
        <v/>
      </c>
      <c r="Y215" s="136">
        <f>IF($F215="","",IFERROR(INDEX(사건마스터!$AV$5:$AV$64,MATCH($F215,사건마스터!$A$5:$A$64,0)),""))</f>
        <v/>
      </c>
      <c r="Z215" s="118">
        <f>IF(COUNTBLANK($J215:$Y215)=16,"",16-COUNTBLANK($J215:$Y215))</f>
        <v/>
      </c>
      <c r="AA215" s="33">
        <f>IF($J215="",MID($AX215,3,255),$J215&amp;$AX215)</f>
        <v/>
      </c>
      <c r="AB215" s="130">
        <f>IF($J215="","",IFERROR(INDEX(코드설정!$D$5:$D$24,MATCH($J215,코드설정!$C$5:$C$24,0)),""))</f>
        <v/>
      </c>
      <c r="AC215" s="36" t="n"/>
      <c r="AD215" s="37" t="n"/>
      <c r="AE215" s="38" t="n"/>
      <c r="AF215" s="118">
        <f>IF(OR($B215="",$C215=""),"",$C215-$B215+1)</f>
        <v/>
      </c>
      <c r="AG215" s="74" t="n"/>
      <c r="AH215" s="36" t="n"/>
      <c r="AJ215">
        <f>IF($K215="","",", "&amp;$K215)</f>
        <v/>
      </c>
      <c r="AK215">
        <f>AJ215&amp;IF($L215="","",", "&amp;$L215)</f>
        <v/>
      </c>
      <c r="AL215">
        <f>AK215&amp;IF($M215="","",", "&amp;$M215)</f>
        <v/>
      </c>
      <c r="AM215">
        <f>AL215&amp;IF($N215="","",", "&amp;$N215)</f>
        <v/>
      </c>
      <c r="AN215">
        <f>AM215&amp;IF($O215="","",", "&amp;$O215)</f>
        <v/>
      </c>
      <c r="AO215">
        <f>AN215&amp;IF($P215="","",", "&amp;$P215)</f>
        <v/>
      </c>
      <c r="AP215">
        <f>AO215&amp;IF($Q215="","",", "&amp;$Q215)</f>
        <v/>
      </c>
      <c r="AQ215">
        <f>AP215&amp;IF($R215="","",", "&amp;$R215)</f>
        <v/>
      </c>
      <c r="AR215">
        <f>AQ215&amp;IF($S215="","",", "&amp;$S215)</f>
        <v/>
      </c>
      <c r="AS215">
        <f>AR215&amp;IF($T215="","",", "&amp;$T215)</f>
        <v/>
      </c>
      <c r="AT215">
        <f>AS215&amp;IF($U215="","",", "&amp;$U215)</f>
        <v/>
      </c>
      <c r="AU215">
        <f>AT215&amp;IF($V215="","",", "&amp;$V215)</f>
        <v/>
      </c>
      <c r="AV215">
        <f>AU215&amp;IF($W215="","",", "&amp;$W215)</f>
        <v/>
      </c>
      <c r="AW215">
        <f>AV215&amp;IF($X215="","",", "&amp;$X215)</f>
        <v/>
      </c>
      <c r="AX215">
        <f>AW215&amp;IF($Y215="","",", "&amp;$Y215)</f>
        <v/>
      </c>
    </row>
    <row r="216">
      <c r="A216" s="118">
        <f>IF($B216="","",COUNT($B$5:$B216))</f>
        <v/>
      </c>
      <c r="B216" s="80" t="n"/>
      <c r="C216" s="80" t="n"/>
      <c r="D216" s="74" t="n"/>
      <c r="E216" s="74" t="n"/>
      <c r="F216" s="74" t="n"/>
      <c r="G216" s="118">
        <f>IF($F216="","",COUNTIF($F$5:$F216,$F216))</f>
        <v/>
      </c>
      <c r="H216" s="33">
        <f>IF($F216="","",IFERROR(INDEX(사건마스터!$B$5:$B$64,MATCH($F216,사건마스터!$A$5:$A$64,0)),""))</f>
        <v/>
      </c>
      <c r="I216" s="130">
        <f>IF($F216="","",IFERROR(INDEX(사건마스터!$C$5:$C$64,MATCH($F216,사건마스터!$A$5:$A$64,0)),""))</f>
        <v/>
      </c>
      <c r="J216" s="136">
        <f>IF($F216="","",IFERROR(INDEX(사건마스터!$H$5:$H$64,MATCH($F216,사건마스터!$A$5:$A$64,0)),""))</f>
        <v/>
      </c>
      <c r="K216" s="136">
        <f>IF($F216="","",IFERROR(INDEX(사건마스터!$AH$5:$AH$64,MATCH($F216,사건마스터!$A$5:$A$64,0)),""))</f>
        <v/>
      </c>
      <c r="L216" s="136">
        <f>IF($F216="","",IFERROR(INDEX(사건마스터!$AI$5:$AI$64,MATCH($F216,사건마스터!$A$5:$A$64,0)),""))</f>
        <v/>
      </c>
      <c r="M216" s="136">
        <f>IF($F216="","",IFERROR(INDEX(사건마스터!$AJ$5:$AJ$64,MATCH($F216,사건마스터!$A$5:$A$64,0)),""))</f>
        <v/>
      </c>
      <c r="N216" s="136">
        <f>IF($F216="","",IFERROR(INDEX(사건마스터!$AK$5:$AK$64,MATCH($F216,사건마스터!$A$5:$A$64,0)),""))</f>
        <v/>
      </c>
      <c r="O216" s="136">
        <f>IF($F216="","",IFERROR(INDEX(사건마스터!$AL$5:$AL$64,MATCH($F216,사건마스터!$A$5:$A$64,0)),""))</f>
        <v/>
      </c>
      <c r="P216" s="136">
        <f>IF($F216="","",IFERROR(INDEX(사건마스터!$AM$5:$AM$64,MATCH($F216,사건마스터!$A$5:$A$64,0)),""))</f>
        <v/>
      </c>
      <c r="Q216" s="136">
        <f>IF($F216="","",IFERROR(INDEX(사건마스터!$AN$5:$AN$64,MATCH($F216,사건마스터!$A$5:$A$64,0)),""))</f>
        <v/>
      </c>
      <c r="R216" s="136">
        <f>IF($F216="","",IFERROR(INDEX(사건마스터!$AO$5:$AO$64,MATCH($F216,사건마스터!$A$5:$A$64,0)),""))</f>
        <v/>
      </c>
      <c r="S216" s="136">
        <f>IF($F216="","",IFERROR(INDEX(사건마스터!$AP$5:$AP$64,MATCH($F216,사건마스터!$A$5:$A$64,0)),""))</f>
        <v/>
      </c>
      <c r="T216" s="136">
        <f>IF($F216="","",IFERROR(INDEX(사건마스터!$AQ$5:$AQ$64,MATCH($F216,사건마스터!$A$5:$A$64,0)),""))</f>
        <v/>
      </c>
      <c r="U216" s="136">
        <f>IF($F216="","",IFERROR(INDEX(사건마스터!$AR$5:$AR$64,MATCH($F216,사건마스터!$A$5:$A$64,0)),""))</f>
        <v/>
      </c>
      <c r="V216" s="136">
        <f>IF($F216="","",IFERROR(INDEX(사건마스터!$AS$5:$AS$64,MATCH($F216,사건마스터!$A$5:$A$64,0)),""))</f>
        <v/>
      </c>
      <c r="W216" s="136">
        <f>IF($F216="","",IFERROR(INDEX(사건마스터!$AT$5:$AT$64,MATCH($F216,사건마스터!$A$5:$A$64,0)),""))</f>
        <v/>
      </c>
      <c r="X216" s="136">
        <f>IF($F216="","",IFERROR(INDEX(사건마스터!$AU$5:$AU$64,MATCH($F216,사건마스터!$A$5:$A$64,0)),""))</f>
        <v/>
      </c>
      <c r="Y216" s="136">
        <f>IF($F216="","",IFERROR(INDEX(사건마스터!$AV$5:$AV$64,MATCH($F216,사건마스터!$A$5:$A$64,0)),""))</f>
        <v/>
      </c>
      <c r="Z216" s="118">
        <f>IF(COUNTBLANK($J216:$Y216)=16,"",16-COUNTBLANK($J216:$Y216))</f>
        <v/>
      </c>
      <c r="AA216" s="33">
        <f>IF($J216="",MID($AX216,3,255),$J216&amp;$AX216)</f>
        <v/>
      </c>
      <c r="AB216" s="130">
        <f>IF($J216="","",IFERROR(INDEX(코드설정!$D$5:$D$24,MATCH($J216,코드설정!$C$5:$C$24,0)),""))</f>
        <v/>
      </c>
      <c r="AC216" s="36" t="n"/>
      <c r="AD216" s="37" t="n"/>
      <c r="AE216" s="38" t="n"/>
      <c r="AF216" s="118">
        <f>IF(OR($B216="",$C216=""),"",$C216-$B216+1)</f>
        <v/>
      </c>
      <c r="AG216" s="74" t="n"/>
      <c r="AH216" s="36" t="n"/>
      <c r="AJ216">
        <f>IF($K216="","",", "&amp;$K216)</f>
        <v/>
      </c>
      <c r="AK216">
        <f>AJ216&amp;IF($L216="","",", "&amp;$L216)</f>
        <v/>
      </c>
      <c r="AL216">
        <f>AK216&amp;IF($M216="","",", "&amp;$M216)</f>
        <v/>
      </c>
      <c r="AM216">
        <f>AL216&amp;IF($N216="","",", "&amp;$N216)</f>
        <v/>
      </c>
      <c r="AN216">
        <f>AM216&amp;IF($O216="","",", "&amp;$O216)</f>
        <v/>
      </c>
      <c r="AO216">
        <f>AN216&amp;IF($P216="","",", "&amp;$P216)</f>
        <v/>
      </c>
      <c r="AP216">
        <f>AO216&amp;IF($Q216="","",", "&amp;$Q216)</f>
        <v/>
      </c>
      <c r="AQ216">
        <f>AP216&amp;IF($R216="","",", "&amp;$R216)</f>
        <v/>
      </c>
      <c r="AR216">
        <f>AQ216&amp;IF($S216="","",", "&amp;$S216)</f>
        <v/>
      </c>
      <c r="AS216">
        <f>AR216&amp;IF($T216="","",", "&amp;$T216)</f>
        <v/>
      </c>
      <c r="AT216">
        <f>AS216&amp;IF($U216="","",", "&amp;$U216)</f>
        <v/>
      </c>
      <c r="AU216">
        <f>AT216&amp;IF($V216="","",", "&amp;$V216)</f>
        <v/>
      </c>
      <c r="AV216">
        <f>AU216&amp;IF($W216="","",", "&amp;$W216)</f>
        <v/>
      </c>
      <c r="AW216">
        <f>AV216&amp;IF($X216="","",", "&amp;$X216)</f>
        <v/>
      </c>
      <c r="AX216">
        <f>AW216&amp;IF($Y216="","",", "&amp;$Y216)</f>
        <v/>
      </c>
    </row>
    <row r="217">
      <c r="A217" s="118">
        <f>IF($B217="","",COUNT($B$5:$B217))</f>
        <v/>
      </c>
      <c r="B217" s="80" t="n"/>
      <c r="C217" s="80" t="n"/>
      <c r="D217" s="74" t="n"/>
      <c r="E217" s="74" t="n"/>
      <c r="F217" s="74" t="n"/>
      <c r="G217" s="118">
        <f>IF($F217="","",COUNTIF($F$5:$F217,$F217))</f>
        <v/>
      </c>
      <c r="H217" s="33">
        <f>IF($F217="","",IFERROR(INDEX(사건마스터!$B$5:$B$64,MATCH($F217,사건마스터!$A$5:$A$64,0)),""))</f>
        <v/>
      </c>
      <c r="I217" s="130">
        <f>IF($F217="","",IFERROR(INDEX(사건마스터!$C$5:$C$64,MATCH($F217,사건마스터!$A$5:$A$64,0)),""))</f>
        <v/>
      </c>
      <c r="J217" s="136">
        <f>IF($F217="","",IFERROR(INDEX(사건마스터!$H$5:$H$64,MATCH($F217,사건마스터!$A$5:$A$64,0)),""))</f>
        <v/>
      </c>
      <c r="K217" s="136">
        <f>IF($F217="","",IFERROR(INDEX(사건마스터!$AH$5:$AH$64,MATCH($F217,사건마스터!$A$5:$A$64,0)),""))</f>
        <v/>
      </c>
      <c r="L217" s="136">
        <f>IF($F217="","",IFERROR(INDEX(사건마스터!$AI$5:$AI$64,MATCH($F217,사건마스터!$A$5:$A$64,0)),""))</f>
        <v/>
      </c>
      <c r="M217" s="136">
        <f>IF($F217="","",IFERROR(INDEX(사건마스터!$AJ$5:$AJ$64,MATCH($F217,사건마스터!$A$5:$A$64,0)),""))</f>
        <v/>
      </c>
      <c r="N217" s="136">
        <f>IF($F217="","",IFERROR(INDEX(사건마스터!$AK$5:$AK$64,MATCH($F217,사건마스터!$A$5:$A$64,0)),""))</f>
        <v/>
      </c>
      <c r="O217" s="136">
        <f>IF($F217="","",IFERROR(INDEX(사건마스터!$AL$5:$AL$64,MATCH($F217,사건마스터!$A$5:$A$64,0)),""))</f>
        <v/>
      </c>
      <c r="P217" s="136">
        <f>IF($F217="","",IFERROR(INDEX(사건마스터!$AM$5:$AM$64,MATCH($F217,사건마스터!$A$5:$A$64,0)),""))</f>
        <v/>
      </c>
      <c r="Q217" s="136">
        <f>IF($F217="","",IFERROR(INDEX(사건마스터!$AN$5:$AN$64,MATCH($F217,사건마스터!$A$5:$A$64,0)),""))</f>
        <v/>
      </c>
      <c r="R217" s="136">
        <f>IF($F217="","",IFERROR(INDEX(사건마스터!$AO$5:$AO$64,MATCH($F217,사건마스터!$A$5:$A$64,0)),""))</f>
        <v/>
      </c>
      <c r="S217" s="136">
        <f>IF($F217="","",IFERROR(INDEX(사건마스터!$AP$5:$AP$64,MATCH($F217,사건마스터!$A$5:$A$64,0)),""))</f>
        <v/>
      </c>
      <c r="T217" s="136">
        <f>IF($F217="","",IFERROR(INDEX(사건마스터!$AQ$5:$AQ$64,MATCH($F217,사건마스터!$A$5:$A$64,0)),""))</f>
        <v/>
      </c>
      <c r="U217" s="136">
        <f>IF($F217="","",IFERROR(INDEX(사건마스터!$AR$5:$AR$64,MATCH($F217,사건마스터!$A$5:$A$64,0)),""))</f>
        <v/>
      </c>
      <c r="V217" s="136">
        <f>IF($F217="","",IFERROR(INDEX(사건마스터!$AS$5:$AS$64,MATCH($F217,사건마스터!$A$5:$A$64,0)),""))</f>
        <v/>
      </c>
      <c r="W217" s="136">
        <f>IF($F217="","",IFERROR(INDEX(사건마스터!$AT$5:$AT$64,MATCH($F217,사건마스터!$A$5:$A$64,0)),""))</f>
        <v/>
      </c>
      <c r="X217" s="136">
        <f>IF($F217="","",IFERROR(INDEX(사건마스터!$AU$5:$AU$64,MATCH($F217,사건마스터!$A$5:$A$64,0)),""))</f>
        <v/>
      </c>
      <c r="Y217" s="136">
        <f>IF($F217="","",IFERROR(INDEX(사건마스터!$AV$5:$AV$64,MATCH($F217,사건마스터!$A$5:$A$64,0)),""))</f>
        <v/>
      </c>
      <c r="Z217" s="118">
        <f>IF(COUNTBLANK($J217:$Y217)=16,"",16-COUNTBLANK($J217:$Y217))</f>
        <v/>
      </c>
      <c r="AA217" s="33">
        <f>IF($J217="",MID($AX217,3,255),$J217&amp;$AX217)</f>
        <v/>
      </c>
      <c r="AB217" s="130">
        <f>IF($J217="","",IFERROR(INDEX(코드설정!$D$5:$D$24,MATCH($J217,코드설정!$C$5:$C$24,0)),""))</f>
        <v/>
      </c>
      <c r="AC217" s="36" t="n"/>
      <c r="AD217" s="37" t="n"/>
      <c r="AE217" s="38" t="n"/>
      <c r="AF217" s="118">
        <f>IF(OR($B217="",$C217=""),"",$C217-$B217+1)</f>
        <v/>
      </c>
      <c r="AG217" s="74" t="n"/>
      <c r="AH217" s="36" t="n"/>
      <c r="AJ217">
        <f>IF($K217="","",", "&amp;$K217)</f>
        <v/>
      </c>
      <c r="AK217">
        <f>AJ217&amp;IF($L217="","",", "&amp;$L217)</f>
        <v/>
      </c>
      <c r="AL217">
        <f>AK217&amp;IF($M217="","",", "&amp;$M217)</f>
        <v/>
      </c>
      <c r="AM217">
        <f>AL217&amp;IF($N217="","",", "&amp;$N217)</f>
        <v/>
      </c>
      <c r="AN217">
        <f>AM217&amp;IF($O217="","",", "&amp;$O217)</f>
        <v/>
      </c>
      <c r="AO217">
        <f>AN217&amp;IF($P217="","",", "&amp;$P217)</f>
        <v/>
      </c>
      <c r="AP217">
        <f>AO217&amp;IF($Q217="","",", "&amp;$Q217)</f>
        <v/>
      </c>
      <c r="AQ217">
        <f>AP217&amp;IF($R217="","",", "&amp;$R217)</f>
        <v/>
      </c>
      <c r="AR217">
        <f>AQ217&amp;IF($S217="","",", "&amp;$S217)</f>
        <v/>
      </c>
      <c r="AS217">
        <f>AR217&amp;IF($T217="","",", "&amp;$T217)</f>
        <v/>
      </c>
      <c r="AT217">
        <f>AS217&amp;IF($U217="","",", "&amp;$U217)</f>
        <v/>
      </c>
      <c r="AU217">
        <f>AT217&amp;IF($V217="","",", "&amp;$V217)</f>
        <v/>
      </c>
      <c r="AV217">
        <f>AU217&amp;IF($W217="","",", "&amp;$W217)</f>
        <v/>
      </c>
      <c r="AW217">
        <f>AV217&amp;IF($X217="","",", "&amp;$X217)</f>
        <v/>
      </c>
      <c r="AX217">
        <f>AW217&amp;IF($Y217="","",", "&amp;$Y217)</f>
        <v/>
      </c>
    </row>
    <row r="218">
      <c r="A218" s="118">
        <f>IF($B218="","",COUNT($B$5:$B218))</f>
        <v/>
      </c>
      <c r="B218" s="80" t="n"/>
      <c r="C218" s="80" t="n"/>
      <c r="D218" s="74" t="n"/>
      <c r="E218" s="74" t="n"/>
      <c r="F218" s="74" t="n"/>
      <c r="G218" s="118">
        <f>IF($F218="","",COUNTIF($F$5:$F218,$F218))</f>
        <v/>
      </c>
      <c r="H218" s="33">
        <f>IF($F218="","",IFERROR(INDEX(사건마스터!$B$5:$B$64,MATCH($F218,사건마스터!$A$5:$A$64,0)),""))</f>
        <v/>
      </c>
      <c r="I218" s="130">
        <f>IF($F218="","",IFERROR(INDEX(사건마스터!$C$5:$C$64,MATCH($F218,사건마스터!$A$5:$A$64,0)),""))</f>
        <v/>
      </c>
      <c r="J218" s="136">
        <f>IF($F218="","",IFERROR(INDEX(사건마스터!$H$5:$H$64,MATCH($F218,사건마스터!$A$5:$A$64,0)),""))</f>
        <v/>
      </c>
      <c r="K218" s="136">
        <f>IF($F218="","",IFERROR(INDEX(사건마스터!$AH$5:$AH$64,MATCH($F218,사건마스터!$A$5:$A$64,0)),""))</f>
        <v/>
      </c>
      <c r="L218" s="136">
        <f>IF($F218="","",IFERROR(INDEX(사건마스터!$AI$5:$AI$64,MATCH($F218,사건마스터!$A$5:$A$64,0)),""))</f>
        <v/>
      </c>
      <c r="M218" s="136">
        <f>IF($F218="","",IFERROR(INDEX(사건마스터!$AJ$5:$AJ$64,MATCH($F218,사건마스터!$A$5:$A$64,0)),""))</f>
        <v/>
      </c>
      <c r="N218" s="136">
        <f>IF($F218="","",IFERROR(INDEX(사건마스터!$AK$5:$AK$64,MATCH($F218,사건마스터!$A$5:$A$64,0)),""))</f>
        <v/>
      </c>
      <c r="O218" s="136">
        <f>IF($F218="","",IFERROR(INDEX(사건마스터!$AL$5:$AL$64,MATCH($F218,사건마스터!$A$5:$A$64,0)),""))</f>
        <v/>
      </c>
      <c r="P218" s="136">
        <f>IF($F218="","",IFERROR(INDEX(사건마스터!$AM$5:$AM$64,MATCH($F218,사건마스터!$A$5:$A$64,0)),""))</f>
        <v/>
      </c>
      <c r="Q218" s="136">
        <f>IF($F218="","",IFERROR(INDEX(사건마스터!$AN$5:$AN$64,MATCH($F218,사건마스터!$A$5:$A$64,0)),""))</f>
        <v/>
      </c>
      <c r="R218" s="136">
        <f>IF($F218="","",IFERROR(INDEX(사건마스터!$AO$5:$AO$64,MATCH($F218,사건마스터!$A$5:$A$64,0)),""))</f>
        <v/>
      </c>
      <c r="S218" s="136">
        <f>IF($F218="","",IFERROR(INDEX(사건마스터!$AP$5:$AP$64,MATCH($F218,사건마스터!$A$5:$A$64,0)),""))</f>
        <v/>
      </c>
      <c r="T218" s="136">
        <f>IF($F218="","",IFERROR(INDEX(사건마스터!$AQ$5:$AQ$64,MATCH($F218,사건마스터!$A$5:$A$64,0)),""))</f>
        <v/>
      </c>
      <c r="U218" s="136">
        <f>IF($F218="","",IFERROR(INDEX(사건마스터!$AR$5:$AR$64,MATCH($F218,사건마스터!$A$5:$A$64,0)),""))</f>
        <v/>
      </c>
      <c r="V218" s="136">
        <f>IF($F218="","",IFERROR(INDEX(사건마스터!$AS$5:$AS$64,MATCH($F218,사건마스터!$A$5:$A$64,0)),""))</f>
        <v/>
      </c>
      <c r="W218" s="136">
        <f>IF($F218="","",IFERROR(INDEX(사건마스터!$AT$5:$AT$64,MATCH($F218,사건마스터!$A$5:$A$64,0)),""))</f>
        <v/>
      </c>
      <c r="X218" s="136">
        <f>IF($F218="","",IFERROR(INDEX(사건마스터!$AU$5:$AU$64,MATCH($F218,사건마스터!$A$5:$A$64,0)),""))</f>
        <v/>
      </c>
      <c r="Y218" s="136">
        <f>IF($F218="","",IFERROR(INDEX(사건마스터!$AV$5:$AV$64,MATCH($F218,사건마스터!$A$5:$A$64,0)),""))</f>
        <v/>
      </c>
      <c r="Z218" s="118">
        <f>IF(COUNTBLANK($J218:$Y218)=16,"",16-COUNTBLANK($J218:$Y218))</f>
        <v/>
      </c>
      <c r="AA218" s="33">
        <f>IF($J218="",MID($AX218,3,255),$J218&amp;$AX218)</f>
        <v/>
      </c>
      <c r="AB218" s="130">
        <f>IF($J218="","",IFERROR(INDEX(코드설정!$D$5:$D$24,MATCH($J218,코드설정!$C$5:$C$24,0)),""))</f>
        <v/>
      </c>
      <c r="AC218" s="36" t="n"/>
      <c r="AD218" s="37" t="n"/>
      <c r="AE218" s="38" t="n"/>
      <c r="AF218" s="118">
        <f>IF(OR($B218="",$C218=""),"",$C218-$B218+1)</f>
        <v/>
      </c>
      <c r="AG218" s="74" t="n"/>
      <c r="AH218" s="36" t="n"/>
      <c r="AJ218">
        <f>IF($K218="","",", "&amp;$K218)</f>
        <v/>
      </c>
      <c r="AK218">
        <f>AJ218&amp;IF($L218="","",", "&amp;$L218)</f>
        <v/>
      </c>
      <c r="AL218">
        <f>AK218&amp;IF($M218="","",", "&amp;$M218)</f>
        <v/>
      </c>
      <c r="AM218">
        <f>AL218&amp;IF($N218="","",", "&amp;$N218)</f>
        <v/>
      </c>
      <c r="AN218">
        <f>AM218&amp;IF($O218="","",", "&amp;$O218)</f>
        <v/>
      </c>
      <c r="AO218">
        <f>AN218&amp;IF($P218="","",", "&amp;$P218)</f>
        <v/>
      </c>
      <c r="AP218">
        <f>AO218&amp;IF($Q218="","",", "&amp;$Q218)</f>
        <v/>
      </c>
      <c r="AQ218">
        <f>AP218&amp;IF($R218="","",", "&amp;$R218)</f>
        <v/>
      </c>
      <c r="AR218">
        <f>AQ218&amp;IF($S218="","",", "&amp;$S218)</f>
        <v/>
      </c>
      <c r="AS218">
        <f>AR218&amp;IF($T218="","",", "&amp;$T218)</f>
        <v/>
      </c>
      <c r="AT218">
        <f>AS218&amp;IF($U218="","",", "&amp;$U218)</f>
        <v/>
      </c>
      <c r="AU218">
        <f>AT218&amp;IF($V218="","",", "&amp;$V218)</f>
        <v/>
      </c>
      <c r="AV218">
        <f>AU218&amp;IF($W218="","",", "&amp;$W218)</f>
        <v/>
      </c>
      <c r="AW218">
        <f>AV218&amp;IF($X218="","",", "&amp;$X218)</f>
        <v/>
      </c>
      <c r="AX218">
        <f>AW218&amp;IF($Y218="","",", "&amp;$Y218)</f>
        <v/>
      </c>
    </row>
    <row r="219">
      <c r="A219" s="118">
        <f>IF($B219="","",COUNT($B$5:$B219))</f>
        <v/>
      </c>
      <c r="B219" s="80" t="n"/>
      <c r="C219" s="80" t="n"/>
      <c r="D219" s="74" t="n"/>
      <c r="E219" s="74" t="n"/>
      <c r="F219" s="74" t="n"/>
      <c r="G219" s="118">
        <f>IF($F219="","",COUNTIF($F$5:$F219,$F219))</f>
        <v/>
      </c>
      <c r="H219" s="33">
        <f>IF($F219="","",IFERROR(INDEX(사건마스터!$B$5:$B$64,MATCH($F219,사건마스터!$A$5:$A$64,0)),""))</f>
        <v/>
      </c>
      <c r="I219" s="130">
        <f>IF($F219="","",IFERROR(INDEX(사건마스터!$C$5:$C$64,MATCH($F219,사건마스터!$A$5:$A$64,0)),""))</f>
        <v/>
      </c>
      <c r="J219" s="136">
        <f>IF($F219="","",IFERROR(INDEX(사건마스터!$H$5:$H$64,MATCH($F219,사건마스터!$A$5:$A$64,0)),""))</f>
        <v/>
      </c>
      <c r="K219" s="136">
        <f>IF($F219="","",IFERROR(INDEX(사건마스터!$AH$5:$AH$64,MATCH($F219,사건마스터!$A$5:$A$64,0)),""))</f>
        <v/>
      </c>
      <c r="L219" s="136">
        <f>IF($F219="","",IFERROR(INDEX(사건마스터!$AI$5:$AI$64,MATCH($F219,사건마스터!$A$5:$A$64,0)),""))</f>
        <v/>
      </c>
      <c r="M219" s="136">
        <f>IF($F219="","",IFERROR(INDEX(사건마스터!$AJ$5:$AJ$64,MATCH($F219,사건마스터!$A$5:$A$64,0)),""))</f>
        <v/>
      </c>
      <c r="N219" s="136">
        <f>IF($F219="","",IFERROR(INDEX(사건마스터!$AK$5:$AK$64,MATCH($F219,사건마스터!$A$5:$A$64,0)),""))</f>
        <v/>
      </c>
      <c r="O219" s="136">
        <f>IF($F219="","",IFERROR(INDEX(사건마스터!$AL$5:$AL$64,MATCH($F219,사건마스터!$A$5:$A$64,0)),""))</f>
        <v/>
      </c>
      <c r="P219" s="136">
        <f>IF($F219="","",IFERROR(INDEX(사건마스터!$AM$5:$AM$64,MATCH($F219,사건마스터!$A$5:$A$64,0)),""))</f>
        <v/>
      </c>
      <c r="Q219" s="136">
        <f>IF($F219="","",IFERROR(INDEX(사건마스터!$AN$5:$AN$64,MATCH($F219,사건마스터!$A$5:$A$64,0)),""))</f>
        <v/>
      </c>
      <c r="R219" s="136">
        <f>IF($F219="","",IFERROR(INDEX(사건마스터!$AO$5:$AO$64,MATCH($F219,사건마스터!$A$5:$A$64,0)),""))</f>
        <v/>
      </c>
      <c r="S219" s="136">
        <f>IF($F219="","",IFERROR(INDEX(사건마스터!$AP$5:$AP$64,MATCH($F219,사건마스터!$A$5:$A$64,0)),""))</f>
        <v/>
      </c>
      <c r="T219" s="136">
        <f>IF($F219="","",IFERROR(INDEX(사건마스터!$AQ$5:$AQ$64,MATCH($F219,사건마스터!$A$5:$A$64,0)),""))</f>
        <v/>
      </c>
      <c r="U219" s="136">
        <f>IF($F219="","",IFERROR(INDEX(사건마스터!$AR$5:$AR$64,MATCH($F219,사건마스터!$A$5:$A$64,0)),""))</f>
        <v/>
      </c>
      <c r="V219" s="136">
        <f>IF($F219="","",IFERROR(INDEX(사건마스터!$AS$5:$AS$64,MATCH($F219,사건마스터!$A$5:$A$64,0)),""))</f>
        <v/>
      </c>
      <c r="W219" s="136">
        <f>IF($F219="","",IFERROR(INDEX(사건마스터!$AT$5:$AT$64,MATCH($F219,사건마스터!$A$5:$A$64,0)),""))</f>
        <v/>
      </c>
      <c r="X219" s="136">
        <f>IF($F219="","",IFERROR(INDEX(사건마스터!$AU$5:$AU$64,MATCH($F219,사건마스터!$A$5:$A$64,0)),""))</f>
        <v/>
      </c>
      <c r="Y219" s="136">
        <f>IF($F219="","",IFERROR(INDEX(사건마스터!$AV$5:$AV$64,MATCH($F219,사건마스터!$A$5:$A$64,0)),""))</f>
        <v/>
      </c>
      <c r="Z219" s="118">
        <f>IF(COUNTBLANK($J219:$Y219)=16,"",16-COUNTBLANK($J219:$Y219))</f>
        <v/>
      </c>
      <c r="AA219" s="33">
        <f>IF($J219="",MID($AX219,3,255),$J219&amp;$AX219)</f>
        <v/>
      </c>
      <c r="AB219" s="130">
        <f>IF($J219="","",IFERROR(INDEX(코드설정!$D$5:$D$24,MATCH($J219,코드설정!$C$5:$C$24,0)),""))</f>
        <v/>
      </c>
      <c r="AC219" s="36" t="n"/>
      <c r="AD219" s="37" t="n"/>
      <c r="AE219" s="38" t="n"/>
      <c r="AF219" s="118">
        <f>IF(OR($B219="",$C219=""),"",$C219-$B219+1)</f>
        <v/>
      </c>
      <c r="AG219" s="74" t="n"/>
      <c r="AH219" s="36" t="n"/>
      <c r="AJ219">
        <f>IF($K219="","",", "&amp;$K219)</f>
        <v/>
      </c>
      <c r="AK219">
        <f>AJ219&amp;IF($L219="","",", "&amp;$L219)</f>
        <v/>
      </c>
      <c r="AL219">
        <f>AK219&amp;IF($M219="","",", "&amp;$M219)</f>
        <v/>
      </c>
      <c r="AM219">
        <f>AL219&amp;IF($N219="","",", "&amp;$N219)</f>
        <v/>
      </c>
      <c r="AN219">
        <f>AM219&amp;IF($O219="","",", "&amp;$O219)</f>
        <v/>
      </c>
      <c r="AO219">
        <f>AN219&amp;IF($P219="","",", "&amp;$P219)</f>
        <v/>
      </c>
      <c r="AP219">
        <f>AO219&amp;IF($Q219="","",", "&amp;$Q219)</f>
        <v/>
      </c>
      <c r="AQ219">
        <f>AP219&amp;IF($R219="","",", "&amp;$R219)</f>
        <v/>
      </c>
      <c r="AR219">
        <f>AQ219&amp;IF($S219="","",", "&amp;$S219)</f>
        <v/>
      </c>
      <c r="AS219">
        <f>AR219&amp;IF($T219="","",", "&amp;$T219)</f>
        <v/>
      </c>
      <c r="AT219">
        <f>AS219&amp;IF($U219="","",", "&amp;$U219)</f>
        <v/>
      </c>
      <c r="AU219">
        <f>AT219&amp;IF($V219="","",", "&amp;$V219)</f>
        <v/>
      </c>
      <c r="AV219">
        <f>AU219&amp;IF($W219="","",", "&amp;$W219)</f>
        <v/>
      </c>
      <c r="AW219">
        <f>AV219&amp;IF($X219="","",", "&amp;$X219)</f>
        <v/>
      </c>
      <c r="AX219">
        <f>AW219&amp;IF($Y219="","",", "&amp;$Y219)</f>
        <v/>
      </c>
    </row>
    <row r="220">
      <c r="A220" s="118">
        <f>IF($B220="","",COUNT($B$5:$B220))</f>
        <v/>
      </c>
      <c r="B220" s="80" t="n"/>
      <c r="C220" s="80" t="n"/>
      <c r="D220" s="74" t="n"/>
      <c r="E220" s="74" t="n"/>
      <c r="F220" s="74" t="n"/>
      <c r="G220" s="118">
        <f>IF($F220="","",COUNTIF($F$5:$F220,$F220))</f>
        <v/>
      </c>
      <c r="H220" s="33">
        <f>IF($F220="","",IFERROR(INDEX(사건마스터!$B$5:$B$64,MATCH($F220,사건마스터!$A$5:$A$64,0)),""))</f>
        <v/>
      </c>
      <c r="I220" s="130">
        <f>IF($F220="","",IFERROR(INDEX(사건마스터!$C$5:$C$64,MATCH($F220,사건마스터!$A$5:$A$64,0)),""))</f>
        <v/>
      </c>
      <c r="J220" s="136">
        <f>IF($F220="","",IFERROR(INDEX(사건마스터!$H$5:$H$64,MATCH($F220,사건마스터!$A$5:$A$64,0)),""))</f>
        <v/>
      </c>
      <c r="K220" s="136">
        <f>IF($F220="","",IFERROR(INDEX(사건마스터!$AH$5:$AH$64,MATCH($F220,사건마스터!$A$5:$A$64,0)),""))</f>
        <v/>
      </c>
      <c r="L220" s="136">
        <f>IF($F220="","",IFERROR(INDEX(사건마스터!$AI$5:$AI$64,MATCH($F220,사건마스터!$A$5:$A$64,0)),""))</f>
        <v/>
      </c>
      <c r="M220" s="136">
        <f>IF($F220="","",IFERROR(INDEX(사건마스터!$AJ$5:$AJ$64,MATCH($F220,사건마스터!$A$5:$A$64,0)),""))</f>
        <v/>
      </c>
      <c r="N220" s="136">
        <f>IF($F220="","",IFERROR(INDEX(사건마스터!$AK$5:$AK$64,MATCH($F220,사건마스터!$A$5:$A$64,0)),""))</f>
        <v/>
      </c>
      <c r="O220" s="136">
        <f>IF($F220="","",IFERROR(INDEX(사건마스터!$AL$5:$AL$64,MATCH($F220,사건마스터!$A$5:$A$64,0)),""))</f>
        <v/>
      </c>
      <c r="P220" s="136">
        <f>IF($F220="","",IFERROR(INDEX(사건마스터!$AM$5:$AM$64,MATCH($F220,사건마스터!$A$5:$A$64,0)),""))</f>
        <v/>
      </c>
      <c r="Q220" s="136">
        <f>IF($F220="","",IFERROR(INDEX(사건마스터!$AN$5:$AN$64,MATCH($F220,사건마스터!$A$5:$A$64,0)),""))</f>
        <v/>
      </c>
      <c r="R220" s="136">
        <f>IF($F220="","",IFERROR(INDEX(사건마스터!$AO$5:$AO$64,MATCH($F220,사건마스터!$A$5:$A$64,0)),""))</f>
        <v/>
      </c>
      <c r="S220" s="136">
        <f>IF($F220="","",IFERROR(INDEX(사건마스터!$AP$5:$AP$64,MATCH($F220,사건마스터!$A$5:$A$64,0)),""))</f>
        <v/>
      </c>
      <c r="T220" s="136">
        <f>IF($F220="","",IFERROR(INDEX(사건마스터!$AQ$5:$AQ$64,MATCH($F220,사건마스터!$A$5:$A$64,0)),""))</f>
        <v/>
      </c>
      <c r="U220" s="136">
        <f>IF($F220="","",IFERROR(INDEX(사건마스터!$AR$5:$AR$64,MATCH($F220,사건마스터!$A$5:$A$64,0)),""))</f>
        <v/>
      </c>
      <c r="V220" s="136">
        <f>IF($F220="","",IFERROR(INDEX(사건마스터!$AS$5:$AS$64,MATCH($F220,사건마스터!$A$5:$A$64,0)),""))</f>
        <v/>
      </c>
      <c r="W220" s="136">
        <f>IF($F220="","",IFERROR(INDEX(사건마스터!$AT$5:$AT$64,MATCH($F220,사건마스터!$A$5:$A$64,0)),""))</f>
        <v/>
      </c>
      <c r="X220" s="136">
        <f>IF($F220="","",IFERROR(INDEX(사건마스터!$AU$5:$AU$64,MATCH($F220,사건마스터!$A$5:$A$64,0)),""))</f>
        <v/>
      </c>
      <c r="Y220" s="136">
        <f>IF($F220="","",IFERROR(INDEX(사건마스터!$AV$5:$AV$64,MATCH($F220,사건마스터!$A$5:$A$64,0)),""))</f>
        <v/>
      </c>
      <c r="Z220" s="118">
        <f>IF(COUNTBLANK($J220:$Y220)=16,"",16-COUNTBLANK($J220:$Y220))</f>
        <v/>
      </c>
      <c r="AA220" s="33">
        <f>IF($J220="",MID($AX220,3,255),$J220&amp;$AX220)</f>
        <v/>
      </c>
      <c r="AB220" s="130">
        <f>IF($J220="","",IFERROR(INDEX(코드설정!$D$5:$D$24,MATCH($J220,코드설정!$C$5:$C$24,0)),""))</f>
        <v/>
      </c>
      <c r="AC220" s="36" t="n"/>
      <c r="AD220" s="37" t="n"/>
      <c r="AE220" s="38" t="n"/>
      <c r="AF220" s="118">
        <f>IF(OR($B220="",$C220=""),"",$C220-$B220+1)</f>
        <v/>
      </c>
      <c r="AG220" s="74" t="n"/>
      <c r="AH220" s="36" t="n"/>
      <c r="AJ220">
        <f>IF($K220="","",", "&amp;$K220)</f>
        <v/>
      </c>
      <c r="AK220">
        <f>AJ220&amp;IF($L220="","",", "&amp;$L220)</f>
        <v/>
      </c>
      <c r="AL220">
        <f>AK220&amp;IF($M220="","",", "&amp;$M220)</f>
        <v/>
      </c>
      <c r="AM220">
        <f>AL220&amp;IF($N220="","",", "&amp;$N220)</f>
        <v/>
      </c>
      <c r="AN220">
        <f>AM220&amp;IF($O220="","",", "&amp;$O220)</f>
        <v/>
      </c>
      <c r="AO220">
        <f>AN220&amp;IF($P220="","",", "&amp;$P220)</f>
        <v/>
      </c>
      <c r="AP220">
        <f>AO220&amp;IF($Q220="","",", "&amp;$Q220)</f>
        <v/>
      </c>
      <c r="AQ220">
        <f>AP220&amp;IF($R220="","",", "&amp;$R220)</f>
        <v/>
      </c>
      <c r="AR220">
        <f>AQ220&amp;IF($S220="","",", "&amp;$S220)</f>
        <v/>
      </c>
      <c r="AS220">
        <f>AR220&amp;IF($T220="","",", "&amp;$T220)</f>
        <v/>
      </c>
      <c r="AT220">
        <f>AS220&amp;IF($U220="","",", "&amp;$U220)</f>
        <v/>
      </c>
      <c r="AU220">
        <f>AT220&amp;IF($V220="","",", "&amp;$V220)</f>
        <v/>
      </c>
      <c r="AV220">
        <f>AU220&amp;IF($W220="","",", "&amp;$W220)</f>
        <v/>
      </c>
      <c r="AW220">
        <f>AV220&amp;IF($X220="","",", "&amp;$X220)</f>
        <v/>
      </c>
      <c r="AX220">
        <f>AW220&amp;IF($Y220="","",", "&amp;$Y220)</f>
        <v/>
      </c>
    </row>
    <row r="221">
      <c r="A221" s="118">
        <f>IF($B221="","",COUNT($B$5:$B221))</f>
        <v/>
      </c>
      <c r="B221" s="80" t="n"/>
      <c r="C221" s="80" t="n"/>
      <c r="D221" s="74" t="n"/>
      <c r="E221" s="74" t="n"/>
      <c r="F221" s="74" t="n"/>
      <c r="G221" s="118">
        <f>IF($F221="","",COUNTIF($F$5:$F221,$F221))</f>
        <v/>
      </c>
      <c r="H221" s="33">
        <f>IF($F221="","",IFERROR(INDEX(사건마스터!$B$5:$B$64,MATCH($F221,사건마스터!$A$5:$A$64,0)),""))</f>
        <v/>
      </c>
      <c r="I221" s="130">
        <f>IF($F221="","",IFERROR(INDEX(사건마스터!$C$5:$C$64,MATCH($F221,사건마스터!$A$5:$A$64,0)),""))</f>
        <v/>
      </c>
      <c r="J221" s="136">
        <f>IF($F221="","",IFERROR(INDEX(사건마스터!$H$5:$H$64,MATCH($F221,사건마스터!$A$5:$A$64,0)),""))</f>
        <v/>
      </c>
      <c r="K221" s="136">
        <f>IF($F221="","",IFERROR(INDEX(사건마스터!$AH$5:$AH$64,MATCH($F221,사건마스터!$A$5:$A$64,0)),""))</f>
        <v/>
      </c>
      <c r="L221" s="136">
        <f>IF($F221="","",IFERROR(INDEX(사건마스터!$AI$5:$AI$64,MATCH($F221,사건마스터!$A$5:$A$64,0)),""))</f>
        <v/>
      </c>
      <c r="M221" s="136">
        <f>IF($F221="","",IFERROR(INDEX(사건마스터!$AJ$5:$AJ$64,MATCH($F221,사건마스터!$A$5:$A$64,0)),""))</f>
        <v/>
      </c>
      <c r="N221" s="136">
        <f>IF($F221="","",IFERROR(INDEX(사건마스터!$AK$5:$AK$64,MATCH($F221,사건마스터!$A$5:$A$64,0)),""))</f>
        <v/>
      </c>
      <c r="O221" s="136">
        <f>IF($F221="","",IFERROR(INDEX(사건마스터!$AL$5:$AL$64,MATCH($F221,사건마스터!$A$5:$A$64,0)),""))</f>
        <v/>
      </c>
      <c r="P221" s="136">
        <f>IF($F221="","",IFERROR(INDEX(사건마스터!$AM$5:$AM$64,MATCH($F221,사건마스터!$A$5:$A$64,0)),""))</f>
        <v/>
      </c>
      <c r="Q221" s="136">
        <f>IF($F221="","",IFERROR(INDEX(사건마스터!$AN$5:$AN$64,MATCH($F221,사건마스터!$A$5:$A$64,0)),""))</f>
        <v/>
      </c>
      <c r="R221" s="136">
        <f>IF($F221="","",IFERROR(INDEX(사건마스터!$AO$5:$AO$64,MATCH($F221,사건마스터!$A$5:$A$64,0)),""))</f>
        <v/>
      </c>
      <c r="S221" s="136">
        <f>IF($F221="","",IFERROR(INDEX(사건마스터!$AP$5:$AP$64,MATCH($F221,사건마스터!$A$5:$A$64,0)),""))</f>
        <v/>
      </c>
      <c r="T221" s="136">
        <f>IF($F221="","",IFERROR(INDEX(사건마스터!$AQ$5:$AQ$64,MATCH($F221,사건마스터!$A$5:$A$64,0)),""))</f>
        <v/>
      </c>
      <c r="U221" s="136">
        <f>IF($F221="","",IFERROR(INDEX(사건마스터!$AR$5:$AR$64,MATCH($F221,사건마스터!$A$5:$A$64,0)),""))</f>
        <v/>
      </c>
      <c r="V221" s="136">
        <f>IF($F221="","",IFERROR(INDEX(사건마스터!$AS$5:$AS$64,MATCH($F221,사건마스터!$A$5:$A$64,0)),""))</f>
        <v/>
      </c>
      <c r="W221" s="136">
        <f>IF($F221="","",IFERROR(INDEX(사건마스터!$AT$5:$AT$64,MATCH($F221,사건마스터!$A$5:$A$64,0)),""))</f>
        <v/>
      </c>
      <c r="X221" s="136">
        <f>IF($F221="","",IFERROR(INDEX(사건마스터!$AU$5:$AU$64,MATCH($F221,사건마스터!$A$5:$A$64,0)),""))</f>
        <v/>
      </c>
      <c r="Y221" s="136">
        <f>IF($F221="","",IFERROR(INDEX(사건마스터!$AV$5:$AV$64,MATCH($F221,사건마스터!$A$5:$A$64,0)),""))</f>
        <v/>
      </c>
      <c r="Z221" s="118">
        <f>IF(COUNTBLANK($J221:$Y221)=16,"",16-COUNTBLANK($J221:$Y221))</f>
        <v/>
      </c>
      <c r="AA221" s="33">
        <f>IF($J221="",MID($AX221,3,255),$J221&amp;$AX221)</f>
        <v/>
      </c>
      <c r="AB221" s="130">
        <f>IF($J221="","",IFERROR(INDEX(코드설정!$D$5:$D$24,MATCH($J221,코드설정!$C$5:$C$24,0)),""))</f>
        <v/>
      </c>
      <c r="AC221" s="36" t="n"/>
      <c r="AD221" s="37" t="n"/>
      <c r="AE221" s="38" t="n"/>
      <c r="AF221" s="118">
        <f>IF(OR($B221="",$C221=""),"",$C221-$B221+1)</f>
        <v/>
      </c>
      <c r="AG221" s="74" t="n"/>
      <c r="AH221" s="36" t="n"/>
      <c r="AJ221">
        <f>IF($K221="","",", "&amp;$K221)</f>
        <v/>
      </c>
      <c r="AK221">
        <f>AJ221&amp;IF($L221="","",", "&amp;$L221)</f>
        <v/>
      </c>
      <c r="AL221">
        <f>AK221&amp;IF($M221="","",", "&amp;$M221)</f>
        <v/>
      </c>
      <c r="AM221">
        <f>AL221&amp;IF($N221="","",", "&amp;$N221)</f>
        <v/>
      </c>
      <c r="AN221">
        <f>AM221&amp;IF($O221="","",", "&amp;$O221)</f>
        <v/>
      </c>
      <c r="AO221">
        <f>AN221&amp;IF($P221="","",", "&amp;$P221)</f>
        <v/>
      </c>
      <c r="AP221">
        <f>AO221&amp;IF($Q221="","",", "&amp;$Q221)</f>
        <v/>
      </c>
      <c r="AQ221">
        <f>AP221&amp;IF($R221="","",", "&amp;$R221)</f>
        <v/>
      </c>
      <c r="AR221">
        <f>AQ221&amp;IF($S221="","",", "&amp;$S221)</f>
        <v/>
      </c>
      <c r="AS221">
        <f>AR221&amp;IF($T221="","",", "&amp;$T221)</f>
        <v/>
      </c>
      <c r="AT221">
        <f>AS221&amp;IF($U221="","",", "&amp;$U221)</f>
        <v/>
      </c>
      <c r="AU221">
        <f>AT221&amp;IF($V221="","",", "&amp;$V221)</f>
        <v/>
      </c>
      <c r="AV221">
        <f>AU221&amp;IF($W221="","",", "&amp;$W221)</f>
        <v/>
      </c>
      <c r="AW221">
        <f>AV221&amp;IF($X221="","",", "&amp;$X221)</f>
        <v/>
      </c>
      <c r="AX221">
        <f>AW221&amp;IF($Y221="","",", "&amp;$Y221)</f>
        <v/>
      </c>
    </row>
    <row r="222">
      <c r="A222" s="118">
        <f>IF($B222="","",COUNT($B$5:$B222))</f>
        <v/>
      </c>
      <c r="B222" s="80" t="n"/>
      <c r="C222" s="80" t="n"/>
      <c r="D222" s="74" t="n"/>
      <c r="E222" s="74" t="n"/>
      <c r="F222" s="74" t="n"/>
      <c r="G222" s="118">
        <f>IF($F222="","",COUNTIF($F$5:$F222,$F222))</f>
        <v/>
      </c>
      <c r="H222" s="33">
        <f>IF($F222="","",IFERROR(INDEX(사건마스터!$B$5:$B$64,MATCH($F222,사건마스터!$A$5:$A$64,0)),""))</f>
        <v/>
      </c>
      <c r="I222" s="130">
        <f>IF($F222="","",IFERROR(INDEX(사건마스터!$C$5:$C$64,MATCH($F222,사건마스터!$A$5:$A$64,0)),""))</f>
        <v/>
      </c>
      <c r="J222" s="136">
        <f>IF($F222="","",IFERROR(INDEX(사건마스터!$H$5:$H$64,MATCH($F222,사건마스터!$A$5:$A$64,0)),""))</f>
        <v/>
      </c>
      <c r="K222" s="136">
        <f>IF($F222="","",IFERROR(INDEX(사건마스터!$AH$5:$AH$64,MATCH($F222,사건마스터!$A$5:$A$64,0)),""))</f>
        <v/>
      </c>
      <c r="L222" s="136">
        <f>IF($F222="","",IFERROR(INDEX(사건마스터!$AI$5:$AI$64,MATCH($F222,사건마스터!$A$5:$A$64,0)),""))</f>
        <v/>
      </c>
      <c r="M222" s="136">
        <f>IF($F222="","",IFERROR(INDEX(사건마스터!$AJ$5:$AJ$64,MATCH($F222,사건마스터!$A$5:$A$64,0)),""))</f>
        <v/>
      </c>
      <c r="N222" s="136">
        <f>IF($F222="","",IFERROR(INDEX(사건마스터!$AK$5:$AK$64,MATCH($F222,사건마스터!$A$5:$A$64,0)),""))</f>
        <v/>
      </c>
      <c r="O222" s="136">
        <f>IF($F222="","",IFERROR(INDEX(사건마스터!$AL$5:$AL$64,MATCH($F222,사건마스터!$A$5:$A$64,0)),""))</f>
        <v/>
      </c>
      <c r="P222" s="136">
        <f>IF($F222="","",IFERROR(INDEX(사건마스터!$AM$5:$AM$64,MATCH($F222,사건마스터!$A$5:$A$64,0)),""))</f>
        <v/>
      </c>
      <c r="Q222" s="136">
        <f>IF($F222="","",IFERROR(INDEX(사건마스터!$AN$5:$AN$64,MATCH($F222,사건마스터!$A$5:$A$64,0)),""))</f>
        <v/>
      </c>
      <c r="R222" s="136">
        <f>IF($F222="","",IFERROR(INDEX(사건마스터!$AO$5:$AO$64,MATCH($F222,사건마스터!$A$5:$A$64,0)),""))</f>
        <v/>
      </c>
      <c r="S222" s="136">
        <f>IF($F222="","",IFERROR(INDEX(사건마스터!$AP$5:$AP$64,MATCH($F222,사건마스터!$A$5:$A$64,0)),""))</f>
        <v/>
      </c>
      <c r="T222" s="136">
        <f>IF($F222="","",IFERROR(INDEX(사건마스터!$AQ$5:$AQ$64,MATCH($F222,사건마스터!$A$5:$A$64,0)),""))</f>
        <v/>
      </c>
      <c r="U222" s="136">
        <f>IF($F222="","",IFERROR(INDEX(사건마스터!$AR$5:$AR$64,MATCH($F222,사건마스터!$A$5:$A$64,0)),""))</f>
        <v/>
      </c>
      <c r="V222" s="136">
        <f>IF($F222="","",IFERROR(INDEX(사건마스터!$AS$5:$AS$64,MATCH($F222,사건마스터!$A$5:$A$64,0)),""))</f>
        <v/>
      </c>
      <c r="W222" s="136">
        <f>IF($F222="","",IFERROR(INDEX(사건마스터!$AT$5:$AT$64,MATCH($F222,사건마스터!$A$5:$A$64,0)),""))</f>
        <v/>
      </c>
      <c r="X222" s="136">
        <f>IF($F222="","",IFERROR(INDEX(사건마스터!$AU$5:$AU$64,MATCH($F222,사건마스터!$A$5:$A$64,0)),""))</f>
        <v/>
      </c>
      <c r="Y222" s="136">
        <f>IF($F222="","",IFERROR(INDEX(사건마스터!$AV$5:$AV$64,MATCH($F222,사건마스터!$A$5:$A$64,0)),""))</f>
        <v/>
      </c>
      <c r="Z222" s="118">
        <f>IF(COUNTBLANK($J222:$Y222)=16,"",16-COUNTBLANK($J222:$Y222))</f>
        <v/>
      </c>
      <c r="AA222" s="33">
        <f>IF($J222="",MID($AX222,3,255),$J222&amp;$AX222)</f>
        <v/>
      </c>
      <c r="AB222" s="130">
        <f>IF($J222="","",IFERROR(INDEX(코드설정!$D$5:$D$24,MATCH($J222,코드설정!$C$5:$C$24,0)),""))</f>
        <v/>
      </c>
      <c r="AC222" s="36" t="n"/>
      <c r="AD222" s="37" t="n"/>
      <c r="AE222" s="38" t="n"/>
      <c r="AF222" s="118">
        <f>IF(OR($B222="",$C222=""),"",$C222-$B222+1)</f>
        <v/>
      </c>
      <c r="AG222" s="74" t="n"/>
      <c r="AH222" s="36" t="n"/>
      <c r="AJ222">
        <f>IF($K222="","",", "&amp;$K222)</f>
        <v/>
      </c>
      <c r="AK222">
        <f>AJ222&amp;IF($L222="","",", "&amp;$L222)</f>
        <v/>
      </c>
      <c r="AL222">
        <f>AK222&amp;IF($M222="","",", "&amp;$M222)</f>
        <v/>
      </c>
      <c r="AM222">
        <f>AL222&amp;IF($N222="","",", "&amp;$N222)</f>
        <v/>
      </c>
      <c r="AN222">
        <f>AM222&amp;IF($O222="","",", "&amp;$O222)</f>
        <v/>
      </c>
      <c r="AO222">
        <f>AN222&amp;IF($P222="","",", "&amp;$P222)</f>
        <v/>
      </c>
      <c r="AP222">
        <f>AO222&amp;IF($Q222="","",", "&amp;$Q222)</f>
        <v/>
      </c>
      <c r="AQ222">
        <f>AP222&amp;IF($R222="","",", "&amp;$R222)</f>
        <v/>
      </c>
      <c r="AR222">
        <f>AQ222&amp;IF($S222="","",", "&amp;$S222)</f>
        <v/>
      </c>
      <c r="AS222">
        <f>AR222&amp;IF($T222="","",", "&amp;$T222)</f>
        <v/>
      </c>
      <c r="AT222">
        <f>AS222&amp;IF($U222="","",", "&amp;$U222)</f>
        <v/>
      </c>
      <c r="AU222">
        <f>AT222&amp;IF($V222="","",", "&amp;$V222)</f>
        <v/>
      </c>
      <c r="AV222">
        <f>AU222&amp;IF($W222="","",", "&amp;$W222)</f>
        <v/>
      </c>
      <c r="AW222">
        <f>AV222&amp;IF($X222="","",", "&amp;$X222)</f>
        <v/>
      </c>
      <c r="AX222">
        <f>AW222&amp;IF($Y222="","",", "&amp;$Y222)</f>
        <v/>
      </c>
    </row>
    <row r="223">
      <c r="A223" s="118">
        <f>IF($B223="","",COUNT($B$5:$B223))</f>
        <v/>
      </c>
      <c r="B223" s="80" t="n"/>
      <c r="C223" s="80" t="n"/>
      <c r="D223" s="74" t="n"/>
      <c r="E223" s="74" t="n"/>
      <c r="F223" s="74" t="n"/>
      <c r="G223" s="118">
        <f>IF($F223="","",COUNTIF($F$5:$F223,$F223))</f>
        <v/>
      </c>
      <c r="H223" s="33">
        <f>IF($F223="","",IFERROR(INDEX(사건마스터!$B$5:$B$64,MATCH($F223,사건마스터!$A$5:$A$64,0)),""))</f>
        <v/>
      </c>
      <c r="I223" s="130">
        <f>IF($F223="","",IFERROR(INDEX(사건마스터!$C$5:$C$64,MATCH($F223,사건마스터!$A$5:$A$64,0)),""))</f>
        <v/>
      </c>
      <c r="J223" s="136">
        <f>IF($F223="","",IFERROR(INDEX(사건마스터!$H$5:$H$64,MATCH($F223,사건마스터!$A$5:$A$64,0)),""))</f>
        <v/>
      </c>
      <c r="K223" s="136">
        <f>IF($F223="","",IFERROR(INDEX(사건마스터!$AH$5:$AH$64,MATCH($F223,사건마스터!$A$5:$A$64,0)),""))</f>
        <v/>
      </c>
      <c r="L223" s="136">
        <f>IF($F223="","",IFERROR(INDEX(사건마스터!$AI$5:$AI$64,MATCH($F223,사건마스터!$A$5:$A$64,0)),""))</f>
        <v/>
      </c>
      <c r="M223" s="136">
        <f>IF($F223="","",IFERROR(INDEX(사건마스터!$AJ$5:$AJ$64,MATCH($F223,사건마스터!$A$5:$A$64,0)),""))</f>
        <v/>
      </c>
      <c r="N223" s="136">
        <f>IF($F223="","",IFERROR(INDEX(사건마스터!$AK$5:$AK$64,MATCH($F223,사건마스터!$A$5:$A$64,0)),""))</f>
        <v/>
      </c>
      <c r="O223" s="136">
        <f>IF($F223="","",IFERROR(INDEX(사건마스터!$AL$5:$AL$64,MATCH($F223,사건마스터!$A$5:$A$64,0)),""))</f>
        <v/>
      </c>
      <c r="P223" s="136">
        <f>IF($F223="","",IFERROR(INDEX(사건마스터!$AM$5:$AM$64,MATCH($F223,사건마스터!$A$5:$A$64,0)),""))</f>
        <v/>
      </c>
      <c r="Q223" s="136">
        <f>IF($F223="","",IFERROR(INDEX(사건마스터!$AN$5:$AN$64,MATCH($F223,사건마스터!$A$5:$A$64,0)),""))</f>
        <v/>
      </c>
      <c r="R223" s="136">
        <f>IF($F223="","",IFERROR(INDEX(사건마스터!$AO$5:$AO$64,MATCH($F223,사건마스터!$A$5:$A$64,0)),""))</f>
        <v/>
      </c>
      <c r="S223" s="136">
        <f>IF($F223="","",IFERROR(INDEX(사건마스터!$AP$5:$AP$64,MATCH($F223,사건마스터!$A$5:$A$64,0)),""))</f>
        <v/>
      </c>
      <c r="T223" s="136">
        <f>IF($F223="","",IFERROR(INDEX(사건마스터!$AQ$5:$AQ$64,MATCH($F223,사건마스터!$A$5:$A$64,0)),""))</f>
        <v/>
      </c>
      <c r="U223" s="136">
        <f>IF($F223="","",IFERROR(INDEX(사건마스터!$AR$5:$AR$64,MATCH($F223,사건마스터!$A$5:$A$64,0)),""))</f>
        <v/>
      </c>
      <c r="V223" s="136">
        <f>IF($F223="","",IFERROR(INDEX(사건마스터!$AS$5:$AS$64,MATCH($F223,사건마스터!$A$5:$A$64,0)),""))</f>
        <v/>
      </c>
      <c r="W223" s="136">
        <f>IF($F223="","",IFERROR(INDEX(사건마스터!$AT$5:$AT$64,MATCH($F223,사건마스터!$A$5:$A$64,0)),""))</f>
        <v/>
      </c>
      <c r="X223" s="136">
        <f>IF($F223="","",IFERROR(INDEX(사건마스터!$AU$5:$AU$64,MATCH($F223,사건마스터!$A$5:$A$64,0)),""))</f>
        <v/>
      </c>
      <c r="Y223" s="136">
        <f>IF($F223="","",IFERROR(INDEX(사건마스터!$AV$5:$AV$64,MATCH($F223,사건마스터!$A$5:$A$64,0)),""))</f>
        <v/>
      </c>
      <c r="Z223" s="118">
        <f>IF(COUNTBLANK($J223:$Y223)=16,"",16-COUNTBLANK($J223:$Y223))</f>
        <v/>
      </c>
      <c r="AA223" s="33">
        <f>IF($J223="",MID($AX223,3,255),$J223&amp;$AX223)</f>
        <v/>
      </c>
      <c r="AB223" s="130">
        <f>IF($J223="","",IFERROR(INDEX(코드설정!$D$5:$D$24,MATCH($J223,코드설정!$C$5:$C$24,0)),""))</f>
        <v/>
      </c>
      <c r="AC223" s="36" t="n"/>
      <c r="AD223" s="37" t="n"/>
      <c r="AE223" s="38" t="n"/>
      <c r="AF223" s="118">
        <f>IF(OR($B223="",$C223=""),"",$C223-$B223+1)</f>
        <v/>
      </c>
      <c r="AG223" s="74" t="n"/>
      <c r="AH223" s="36" t="n"/>
      <c r="AJ223">
        <f>IF($K223="","",", "&amp;$K223)</f>
        <v/>
      </c>
      <c r="AK223">
        <f>AJ223&amp;IF($L223="","",", "&amp;$L223)</f>
        <v/>
      </c>
      <c r="AL223">
        <f>AK223&amp;IF($M223="","",", "&amp;$M223)</f>
        <v/>
      </c>
      <c r="AM223">
        <f>AL223&amp;IF($N223="","",", "&amp;$N223)</f>
        <v/>
      </c>
      <c r="AN223">
        <f>AM223&amp;IF($O223="","",", "&amp;$O223)</f>
        <v/>
      </c>
      <c r="AO223">
        <f>AN223&amp;IF($P223="","",", "&amp;$P223)</f>
        <v/>
      </c>
      <c r="AP223">
        <f>AO223&amp;IF($Q223="","",", "&amp;$Q223)</f>
        <v/>
      </c>
      <c r="AQ223">
        <f>AP223&amp;IF($R223="","",", "&amp;$R223)</f>
        <v/>
      </c>
      <c r="AR223">
        <f>AQ223&amp;IF($S223="","",", "&amp;$S223)</f>
        <v/>
      </c>
      <c r="AS223">
        <f>AR223&amp;IF($T223="","",", "&amp;$T223)</f>
        <v/>
      </c>
      <c r="AT223">
        <f>AS223&amp;IF($U223="","",", "&amp;$U223)</f>
        <v/>
      </c>
      <c r="AU223">
        <f>AT223&amp;IF($V223="","",", "&amp;$V223)</f>
        <v/>
      </c>
      <c r="AV223">
        <f>AU223&amp;IF($W223="","",", "&amp;$W223)</f>
        <v/>
      </c>
      <c r="AW223">
        <f>AV223&amp;IF($X223="","",", "&amp;$X223)</f>
        <v/>
      </c>
      <c r="AX223">
        <f>AW223&amp;IF($Y223="","",", "&amp;$Y223)</f>
        <v/>
      </c>
    </row>
    <row r="224">
      <c r="A224" s="118">
        <f>IF($B224="","",COUNT($B$5:$B224))</f>
        <v/>
      </c>
      <c r="B224" s="80" t="n"/>
      <c r="C224" s="80" t="n"/>
      <c r="D224" s="74" t="n"/>
      <c r="E224" s="74" t="n"/>
      <c r="F224" s="74" t="n"/>
      <c r="G224" s="118">
        <f>IF($F224="","",COUNTIF($F$5:$F224,$F224))</f>
        <v/>
      </c>
      <c r="H224" s="33">
        <f>IF($F224="","",IFERROR(INDEX(사건마스터!$B$5:$B$64,MATCH($F224,사건마스터!$A$5:$A$64,0)),""))</f>
        <v/>
      </c>
      <c r="I224" s="130">
        <f>IF($F224="","",IFERROR(INDEX(사건마스터!$C$5:$C$64,MATCH($F224,사건마스터!$A$5:$A$64,0)),""))</f>
        <v/>
      </c>
      <c r="J224" s="136">
        <f>IF($F224="","",IFERROR(INDEX(사건마스터!$H$5:$H$64,MATCH($F224,사건마스터!$A$5:$A$64,0)),""))</f>
        <v/>
      </c>
      <c r="K224" s="136">
        <f>IF($F224="","",IFERROR(INDEX(사건마스터!$AH$5:$AH$64,MATCH($F224,사건마스터!$A$5:$A$64,0)),""))</f>
        <v/>
      </c>
      <c r="L224" s="136">
        <f>IF($F224="","",IFERROR(INDEX(사건마스터!$AI$5:$AI$64,MATCH($F224,사건마스터!$A$5:$A$64,0)),""))</f>
        <v/>
      </c>
      <c r="M224" s="136">
        <f>IF($F224="","",IFERROR(INDEX(사건마스터!$AJ$5:$AJ$64,MATCH($F224,사건마스터!$A$5:$A$64,0)),""))</f>
        <v/>
      </c>
      <c r="N224" s="136">
        <f>IF($F224="","",IFERROR(INDEX(사건마스터!$AK$5:$AK$64,MATCH($F224,사건마스터!$A$5:$A$64,0)),""))</f>
        <v/>
      </c>
      <c r="O224" s="136">
        <f>IF($F224="","",IFERROR(INDEX(사건마스터!$AL$5:$AL$64,MATCH($F224,사건마스터!$A$5:$A$64,0)),""))</f>
        <v/>
      </c>
      <c r="P224" s="136">
        <f>IF($F224="","",IFERROR(INDEX(사건마스터!$AM$5:$AM$64,MATCH($F224,사건마스터!$A$5:$A$64,0)),""))</f>
        <v/>
      </c>
      <c r="Q224" s="136">
        <f>IF($F224="","",IFERROR(INDEX(사건마스터!$AN$5:$AN$64,MATCH($F224,사건마스터!$A$5:$A$64,0)),""))</f>
        <v/>
      </c>
      <c r="R224" s="136">
        <f>IF($F224="","",IFERROR(INDEX(사건마스터!$AO$5:$AO$64,MATCH($F224,사건마스터!$A$5:$A$64,0)),""))</f>
        <v/>
      </c>
      <c r="S224" s="136">
        <f>IF($F224="","",IFERROR(INDEX(사건마스터!$AP$5:$AP$64,MATCH($F224,사건마스터!$A$5:$A$64,0)),""))</f>
        <v/>
      </c>
      <c r="T224" s="136">
        <f>IF($F224="","",IFERROR(INDEX(사건마스터!$AQ$5:$AQ$64,MATCH($F224,사건마스터!$A$5:$A$64,0)),""))</f>
        <v/>
      </c>
      <c r="U224" s="136">
        <f>IF($F224="","",IFERROR(INDEX(사건마스터!$AR$5:$AR$64,MATCH($F224,사건마스터!$A$5:$A$64,0)),""))</f>
        <v/>
      </c>
      <c r="V224" s="136">
        <f>IF($F224="","",IFERROR(INDEX(사건마스터!$AS$5:$AS$64,MATCH($F224,사건마스터!$A$5:$A$64,0)),""))</f>
        <v/>
      </c>
      <c r="W224" s="136">
        <f>IF($F224="","",IFERROR(INDEX(사건마스터!$AT$5:$AT$64,MATCH($F224,사건마스터!$A$5:$A$64,0)),""))</f>
        <v/>
      </c>
      <c r="X224" s="136">
        <f>IF($F224="","",IFERROR(INDEX(사건마스터!$AU$5:$AU$64,MATCH($F224,사건마스터!$A$5:$A$64,0)),""))</f>
        <v/>
      </c>
      <c r="Y224" s="136">
        <f>IF($F224="","",IFERROR(INDEX(사건마스터!$AV$5:$AV$64,MATCH($F224,사건마스터!$A$5:$A$64,0)),""))</f>
        <v/>
      </c>
      <c r="Z224" s="118">
        <f>IF(COUNTBLANK($J224:$Y224)=16,"",16-COUNTBLANK($J224:$Y224))</f>
        <v/>
      </c>
      <c r="AA224" s="33">
        <f>IF($J224="",MID($AX224,3,255),$J224&amp;$AX224)</f>
        <v/>
      </c>
      <c r="AB224" s="130">
        <f>IF($J224="","",IFERROR(INDEX(코드설정!$D$5:$D$24,MATCH($J224,코드설정!$C$5:$C$24,0)),""))</f>
        <v/>
      </c>
      <c r="AC224" s="36" t="n"/>
      <c r="AD224" s="37" t="n"/>
      <c r="AE224" s="38" t="n"/>
      <c r="AF224" s="118">
        <f>IF(OR($B224="",$C224=""),"",$C224-$B224+1)</f>
        <v/>
      </c>
      <c r="AG224" s="74" t="n"/>
      <c r="AH224" s="36" t="n"/>
      <c r="AJ224">
        <f>IF($K224="","",", "&amp;$K224)</f>
        <v/>
      </c>
      <c r="AK224">
        <f>AJ224&amp;IF($L224="","",", "&amp;$L224)</f>
        <v/>
      </c>
      <c r="AL224">
        <f>AK224&amp;IF($M224="","",", "&amp;$M224)</f>
        <v/>
      </c>
      <c r="AM224">
        <f>AL224&amp;IF($N224="","",", "&amp;$N224)</f>
        <v/>
      </c>
      <c r="AN224">
        <f>AM224&amp;IF($O224="","",", "&amp;$O224)</f>
        <v/>
      </c>
      <c r="AO224">
        <f>AN224&amp;IF($P224="","",", "&amp;$P224)</f>
        <v/>
      </c>
      <c r="AP224">
        <f>AO224&amp;IF($Q224="","",", "&amp;$Q224)</f>
        <v/>
      </c>
      <c r="AQ224">
        <f>AP224&amp;IF($R224="","",", "&amp;$R224)</f>
        <v/>
      </c>
      <c r="AR224">
        <f>AQ224&amp;IF($S224="","",", "&amp;$S224)</f>
        <v/>
      </c>
      <c r="AS224">
        <f>AR224&amp;IF($T224="","",", "&amp;$T224)</f>
        <v/>
      </c>
      <c r="AT224">
        <f>AS224&amp;IF($U224="","",", "&amp;$U224)</f>
        <v/>
      </c>
      <c r="AU224">
        <f>AT224&amp;IF($V224="","",", "&amp;$V224)</f>
        <v/>
      </c>
      <c r="AV224">
        <f>AU224&amp;IF($W224="","",", "&amp;$W224)</f>
        <v/>
      </c>
      <c r="AW224">
        <f>AV224&amp;IF($X224="","",", "&amp;$X224)</f>
        <v/>
      </c>
      <c r="AX224">
        <f>AW224&amp;IF($Y224="","",", "&amp;$Y224)</f>
        <v/>
      </c>
    </row>
    <row r="225">
      <c r="A225" s="118">
        <f>IF($B225="","",COUNT($B$5:$B225))</f>
        <v/>
      </c>
      <c r="B225" s="80" t="n"/>
      <c r="C225" s="80" t="n"/>
      <c r="D225" s="74" t="n"/>
      <c r="E225" s="74" t="n"/>
      <c r="F225" s="74" t="n"/>
      <c r="G225" s="118">
        <f>IF($F225="","",COUNTIF($F$5:$F225,$F225))</f>
        <v/>
      </c>
      <c r="H225" s="33">
        <f>IF($F225="","",IFERROR(INDEX(사건마스터!$B$5:$B$64,MATCH($F225,사건마스터!$A$5:$A$64,0)),""))</f>
        <v/>
      </c>
      <c r="I225" s="130">
        <f>IF($F225="","",IFERROR(INDEX(사건마스터!$C$5:$C$64,MATCH($F225,사건마스터!$A$5:$A$64,0)),""))</f>
        <v/>
      </c>
      <c r="J225" s="136">
        <f>IF($F225="","",IFERROR(INDEX(사건마스터!$H$5:$H$64,MATCH($F225,사건마스터!$A$5:$A$64,0)),""))</f>
        <v/>
      </c>
      <c r="K225" s="136">
        <f>IF($F225="","",IFERROR(INDEX(사건마스터!$AH$5:$AH$64,MATCH($F225,사건마스터!$A$5:$A$64,0)),""))</f>
        <v/>
      </c>
      <c r="L225" s="136">
        <f>IF($F225="","",IFERROR(INDEX(사건마스터!$AI$5:$AI$64,MATCH($F225,사건마스터!$A$5:$A$64,0)),""))</f>
        <v/>
      </c>
      <c r="M225" s="136">
        <f>IF($F225="","",IFERROR(INDEX(사건마스터!$AJ$5:$AJ$64,MATCH($F225,사건마스터!$A$5:$A$64,0)),""))</f>
        <v/>
      </c>
      <c r="N225" s="136">
        <f>IF($F225="","",IFERROR(INDEX(사건마스터!$AK$5:$AK$64,MATCH($F225,사건마스터!$A$5:$A$64,0)),""))</f>
        <v/>
      </c>
      <c r="O225" s="136">
        <f>IF($F225="","",IFERROR(INDEX(사건마스터!$AL$5:$AL$64,MATCH($F225,사건마스터!$A$5:$A$64,0)),""))</f>
        <v/>
      </c>
      <c r="P225" s="136">
        <f>IF($F225="","",IFERROR(INDEX(사건마스터!$AM$5:$AM$64,MATCH($F225,사건마스터!$A$5:$A$64,0)),""))</f>
        <v/>
      </c>
      <c r="Q225" s="136">
        <f>IF($F225="","",IFERROR(INDEX(사건마스터!$AN$5:$AN$64,MATCH($F225,사건마스터!$A$5:$A$64,0)),""))</f>
        <v/>
      </c>
      <c r="R225" s="136">
        <f>IF($F225="","",IFERROR(INDEX(사건마스터!$AO$5:$AO$64,MATCH($F225,사건마스터!$A$5:$A$64,0)),""))</f>
        <v/>
      </c>
      <c r="S225" s="136">
        <f>IF($F225="","",IFERROR(INDEX(사건마스터!$AP$5:$AP$64,MATCH($F225,사건마스터!$A$5:$A$64,0)),""))</f>
        <v/>
      </c>
      <c r="T225" s="136">
        <f>IF($F225="","",IFERROR(INDEX(사건마스터!$AQ$5:$AQ$64,MATCH($F225,사건마스터!$A$5:$A$64,0)),""))</f>
        <v/>
      </c>
      <c r="U225" s="136">
        <f>IF($F225="","",IFERROR(INDEX(사건마스터!$AR$5:$AR$64,MATCH($F225,사건마스터!$A$5:$A$64,0)),""))</f>
        <v/>
      </c>
      <c r="V225" s="136">
        <f>IF($F225="","",IFERROR(INDEX(사건마스터!$AS$5:$AS$64,MATCH($F225,사건마스터!$A$5:$A$64,0)),""))</f>
        <v/>
      </c>
      <c r="W225" s="136">
        <f>IF($F225="","",IFERROR(INDEX(사건마스터!$AT$5:$AT$64,MATCH($F225,사건마스터!$A$5:$A$64,0)),""))</f>
        <v/>
      </c>
      <c r="X225" s="136">
        <f>IF($F225="","",IFERROR(INDEX(사건마스터!$AU$5:$AU$64,MATCH($F225,사건마스터!$A$5:$A$64,0)),""))</f>
        <v/>
      </c>
      <c r="Y225" s="136">
        <f>IF($F225="","",IFERROR(INDEX(사건마스터!$AV$5:$AV$64,MATCH($F225,사건마스터!$A$5:$A$64,0)),""))</f>
        <v/>
      </c>
      <c r="Z225" s="118">
        <f>IF(COUNTBLANK($J225:$Y225)=16,"",16-COUNTBLANK($J225:$Y225))</f>
        <v/>
      </c>
      <c r="AA225" s="33">
        <f>IF($J225="",MID($AX225,3,255),$J225&amp;$AX225)</f>
        <v/>
      </c>
      <c r="AB225" s="130">
        <f>IF($J225="","",IFERROR(INDEX(코드설정!$D$5:$D$24,MATCH($J225,코드설정!$C$5:$C$24,0)),""))</f>
        <v/>
      </c>
      <c r="AC225" s="36" t="n"/>
      <c r="AD225" s="37" t="n"/>
      <c r="AE225" s="38" t="n"/>
      <c r="AF225" s="118">
        <f>IF(OR($B225="",$C225=""),"",$C225-$B225+1)</f>
        <v/>
      </c>
      <c r="AG225" s="74" t="n"/>
      <c r="AH225" s="36" t="n"/>
      <c r="AJ225">
        <f>IF($K225="","",", "&amp;$K225)</f>
        <v/>
      </c>
      <c r="AK225">
        <f>AJ225&amp;IF($L225="","",", "&amp;$L225)</f>
        <v/>
      </c>
      <c r="AL225">
        <f>AK225&amp;IF($M225="","",", "&amp;$M225)</f>
        <v/>
      </c>
      <c r="AM225">
        <f>AL225&amp;IF($N225="","",", "&amp;$N225)</f>
        <v/>
      </c>
      <c r="AN225">
        <f>AM225&amp;IF($O225="","",", "&amp;$O225)</f>
        <v/>
      </c>
      <c r="AO225">
        <f>AN225&amp;IF($P225="","",", "&amp;$P225)</f>
        <v/>
      </c>
      <c r="AP225">
        <f>AO225&amp;IF($Q225="","",", "&amp;$Q225)</f>
        <v/>
      </c>
      <c r="AQ225">
        <f>AP225&amp;IF($R225="","",", "&amp;$R225)</f>
        <v/>
      </c>
      <c r="AR225">
        <f>AQ225&amp;IF($S225="","",", "&amp;$S225)</f>
        <v/>
      </c>
      <c r="AS225">
        <f>AR225&amp;IF($T225="","",", "&amp;$T225)</f>
        <v/>
      </c>
      <c r="AT225">
        <f>AS225&amp;IF($U225="","",", "&amp;$U225)</f>
        <v/>
      </c>
      <c r="AU225">
        <f>AT225&amp;IF($V225="","",", "&amp;$V225)</f>
        <v/>
      </c>
      <c r="AV225">
        <f>AU225&amp;IF($W225="","",", "&amp;$W225)</f>
        <v/>
      </c>
      <c r="AW225">
        <f>AV225&amp;IF($X225="","",", "&amp;$X225)</f>
        <v/>
      </c>
      <c r="AX225">
        <f>AW225&amp;IF($Y225="","",", "&amp;$Y225)</f>
        <v/>
      </c>
    </row>
    <row r="226">
      <c r="A226" s="118">
        <f>IF($B226="","",COUNT($B$5:$B226))</f>
        <v/>
      </c>
      <c r="B226" s="80" t="n"/>
      <c r="C226" s="80" t="n"/>
      <c r="D226" s="74" t="n"/>
      <c r="E226" s="74" t="n"/>
      <c r="F226" s="74" t="n"/>
      <c r="G226" s="118">
        <f>IF($F226="","",COUNTIF($F$5:$F226,$F226))</f>
        <v/>
      </c>
      <c r="H226" s="33">
        <f>IF($F226="","",IFERROR(INDEX(사건마스터!$B$5:$B$64,MATCH($F226,사건마스터!$A$5:$A$64,0)),""))</f>
        <v/>
      </c>
      <c r="I226" s="130">
        <f>IF($F226="","",IFERROR(INDEX(사건마스터!$C$5:$C$64,MATCH($F226,사건마스터!$A$5:$A$64,0)),""))</f>
        <v/>
      </c>
      <c r="J226" s="136">
        <f>IF($F226="","",IFERROR(INDEX(사건마스터!$H$5:$H$64,MATCH($F226,사건마스터!$A$5:$A$64,0)),""))</f>
        <v/>
      </c>
      <c r="K226" s="136">
        <f>IF($F226="","",IFERROR(INDEX(사건마스터!$AH$5:$AH$64,MATCH($F226,사건마스터!$A$5:$A$64,0)),""))</f>
        <v/>
      </c>
      <c r="L226" s="136">
        <f>IF($F226="","",IFERROR(INDEX(사건마스터!$AI$5:$AI$64,MATCH($F226,사건마스터!$A$5:$A$64,0)),""))</f>
        <v/>
      </c>
      <c r="M226" s="136">
        <f>IF($F226="","",IFERROR(INDEX(사건마스터!$AJ$5:$AJ$64,MATCH($F226,사건마스터!$A$5:$A$64,0)),""))</f>
        <v/>
      </c>
      <c r="N226" s="136">
        <f>IF($F226="","",IFERROR(INDEX(사건마스터!$AK$5:$AK$64,MATCH($F226,사건마스터!$A$5:$A$64,0)),""))</f>
        <v/>
      </c>
      <c r="O226" s="136">
        <f>IF($F226="","",IFERROR(INDEX(사건마스터!$AL$5:$AL$64,MATCH($F226,사건마스터!$A$5:$A$64,0)),""))</f>
        <v/>
      </c>
      <c r="P226" s="136">
        <f>IF($F226="","",IFERROR(INDEX(사건마스터!$AM$5:$AM$64,MATCH($F226,사건마스터!$A$5:$A$64,0)),""))</f>
        <v/>
      </c>
      <c r="Q226" s="136">
        <f>IF($F226="","",IFERROR(INDEX(사건마스터!$AN$5:$AN$64,MATCH($F226,사건마스터!$A$5:$A$64,0)),""))</f>
        <v/>
      </c>
      <c r="R226" s="136">
        <f>IF($F226="","",IFERROR(INDEX(사건마스터!$AO$5:$AO$64,MATCH($F226,사건마스터!$A$5:$A$64,0)),""))</f>
        <v/>
      </c>
      <c r="S226" s="136">
        <f>IF($F226="","",IFERROR(INDEX(사건마스터!$AP$5:$AP$64,MATCH($F226,사건마스터!$A$5:$A$64,0)),""))</f>
        <v/>
      </c>
      <c r="T226" s="136">
        <f>IF($F226="","",IFERROR(INDEX(사건마스터!$AQ$5:$AQ$64,MATCH($F226,사건마스터!$A$5:$A$64,0)),""))</f>
        <v/>
      </c>
      <c r="U226" s="136">
        <f>IF($F226="","",IFERROR(INDEX(사건마스터!$AR$5:$AR$64,MATCH($F226,사건마스터!$A$5:$A$64,0)),""))</f>
        <v/>
      </c>
      <c r="V226" s="136">
        <f>IF($F226="","",IFERROR(INDEX(사건마스터!$AS$5:$AS$64,MATCH($F226,사건마스터!$A$5:$A$64,0)),""))</f>
        <v/>
      </c>
      <c r="W226" s="136">
        <f>IF($F226="","",IFERROR(INDEX(사건마스터!$AT$5:$AT$64,MATCH($F226,사건마스터!$A$5:$A$64,0)),""))</f>
        <v/>
      </c>
      <c r="X226" s="136">
        <f>IF($F226="","",IFERROR(INDEX(사건마스터!$AU$5:$AU$64,MATCH($F226,사건마스터!$A$5:$A$64,0)),""))</f>
        <v/>
      </c>
      <c r="Y226" s="136">
        <f>IF($F226="","",IFERROR(INDEX(사건마스터!$AV$5:$AV$64,MATCH($F226,사건마스터!$A$5:$A$64,0)),""))</f>
        <v/>
      </c>
      <c r="Z226" s="118">
        <f>IF(COUNTBLANK($J226:$Y226)=16,"",16-COUNTBLANK($J226:$Y226))</f>
        <v/>
      </c>
      <c r="AA226" s="33">
        <f>IF($J226="",MID($AX226,3,255),$J226&amp;$AX226)</f>
        <v/>
      </c>
      <c r="AB226" s="130">
        <f>IF($J226="","",IFERROR(INDEX(코드설정!$D$5:$D$24,MATCH($J226,코드설정!$C$5:$C$24,0)),""))</f>
        <v/>
      </c>
      <c r="AC226" s="36" t="n"/>
      <c r="AD226" s="37" t="n"/>
      <c r="AE226" s="38" t="n"/>
      <c r="AF226" s="118">
        <f>IF(OR($B226="",$C226=""),"",$C226-$B226+1)</f>
        <v/>
      </c>
      <c r="AG226" s="74" t="n"/>
      <c r="AH226" s="36" t="n"/>
      <c r="AJ226">
        <f>IF($K226="","",", "&amp;$K226)</f>
        <v/>
      </c>
      <c r="AK226">
        <f>AJ226&amp;IF($L226="","",", "&amp;$L226)</f>
        <v/>
      </c>
      <c r="AL226">
        <f>AK226&amp;IF($M226="","",", "&amp;$M226)</f>
        <v/>
      </c>
      <c r="AM226">
        <f>AL226&amp;IF($N226="","",", "&amp;$N226)</f>
        <v/>
      </c>
      <c r="AN226">
        <f>AM226&amp;IF($O226="","",", "&amp;$O226)</f>
        <v/>
      </c>
      <c r="AO226">
        <f>AN226&amp;IF($P226="","",", "&amp;$P226)</f>
        <v/>
      </c>
      <c r="AP226">
        <f>AO226&amp;IF($Q226="","",", "&amp;$Q226)</f>
        <v/>
      </c>
      <c r="AQ226">
        <f>AP226&amp;IF($R226="","",", "&amp;$R226)</f>
        <v/>
      </c>
      <c r="AR226">
        <f>AQ226&amp;IF($S226="","",", "&amp;$S226)</f>
        <v/>
      </c>
      <c r="AS226">
        <f>AR226&amp;IF($T226="","",", "&amp;$T226)</f>
        <v/>
      </c>
      <c r="AT226">
        <f>AS226&amp;IF($U226="","",", "&amp;$U226)</f>
        <v/>
      </c>
      <c r="AU226">
        <f>AT226&amp;IF($V226="","",", "&amp;$V226)</f>
        <v/>
      </c>
      <c r="AV226">
        <f>AU226&amp;IF($W226="","",", "&amp;$W226)</f>
        <v/>
      </c>
      <c r="AW226">
        <f>AV226&amp;IF($X226="","",", "&amp;$X226)</f>
        <v/>
      </c>
      <c r="AX226">
        <f>AW226&amp;IF($Y226="","",", "&amp;$Y226)</f>
        <v/>
      </c>
    </row>
    <row r="227">
      <c r="A227" s="118">
        <f>IF($B227="","",COUNT($B$5:$B227))</f>
        <v/>
      </c>
      <c r="B227" s="80" t="n"/>
      <c r="C227" s="80" t="n"/>
      <c r="D227" s="74" t="n"/>
      <c r="E227" s="74" t="n"/>
      <c r="F227" s="74" t="n"/>
      <c r="G227" s="118">
        <f>IF($F227="","",COUNTIF($F$5:$F227,$F227))</f>
        <v/>
      </c>
      <c r="H227" s="33">
        <f>IF($F227="","",IFERROR(INDEX(사건마스터!$B$5:$B$64,MATCH($F227,사건마스터!$A$5:$A$64,0)),""))</f>
        <v/>
      </c>
      <c r="I227" s="130">
        <f>IF($F227="","",IFERROR(INDEX(사건마스터!$C$5:$C$64,MATCH($F227,사건마스터!$A$5:$A$64,0)),""))</f>
        <v/>
      </c>
      <c r="J227" s="136">
        <f>IF($F227="","",IFERROR(INDEX(사건마스터!$H$5:$H$64,MATCH($F227,사건마스터!$A$5:$A$64,0)),""))</f>
        <v/>
      </c>
      <c r="K227" s="136">
        <f>IF($F227="","",IFERROR(INDEX(사건마스터!$AH$5:$AH$64,MATCH($F227,사건마스터!$A$5:$A$64,0)),""))</f>
        <v/>
      </c>
      <c r="L227" s="136">
        <f>IF($F227="","",IFERROR(INDEX(사건마스터!$AI$5:$AI$64,MATCH($F227,사건마스터!$A$5:$A$64,0)),""))</f>
        <v/>
      </c>
      <c r="M227" s="136">
        <f>IF($F227="","",IFERROR(INDEX(사건마스터!$AJ$5:$AJ$64,MATCH($F227,사건마스터!$A$5:$A$64,0)),""))</f>
        <v/>
      </c>
      <c r="N227" s="136">
        <f>IF($F227="","",IFERROR(INDEX(사건마스터!$AK$5:$AK$64,MATCH($F227,사건마스터!$A$5:$A$64,0)),""))</f>
        <v/>
      </c>
      <c r="O227" s="136">
        <f>IF($F227="","",IFERROR(INDEX(사건마스터!$AL$5:$AL$64,MATCH($F227,사건마스터!$A$5:$A$64,0)),""))</f>
        <v/>
      </c>
      <c r="P227" s="136">
        <f>IF($F227="","",IFERROR(INDEX(사건마스터!$AM$5:$AM$64,MATCH($F227,사건마스터!$A$5:$A$64,0)),""))</f>
        <v/>
      </c>
      <c r="Q227" s="136">
        <f>IF($F227="","",IFERROR(INDEX(사건마스터!$AN$5:$AN$64,MATCH($F227,사건마스터!$A$5:$A$64,0)),""))</f>
        <v/>
      </c>
      <c r="R227" s="136">
        <f>IF($F227="","",IFERROR(INDEX(사건마스터!$AO$5:$AO$64,MATCH($F227,사건마스터!$A$5:$A$64,0)),""))</f>
        <v/>
      </c>
      <c r="S227" s="136">
        <f>IF($F227="","",IFERROR(INDEX(사건마스터!$AP$5:$AP$64,MATCH($F227,사건마스터!$A$5:$A$64,0)),""))</f>
        <v/>
      </c>
      <c r="T227" s="136">
        <f>IF($F227="","",IFERROR(INDEX(사건마스터!$AQ$5:$AQ$64,MATCH($F227,사건마스터!$A$5:$A$64,0)),""))</f>
        <v/>
      </c>
      <c r="U227" s="136">
        <f>IF($F227="","",IFERROR(INDEX(사건마스터!$AR$5:$AR$64,MATCH($F227,사건마스터!$A$5:$A$64,0)),""))</f>
        <v/>
      </c>
      <c r="V227" s="136">
        <f>IF($F227="","",IFERROR(INDEX(사건마스터!$AS$5:$AS$64,MATCH($F227,사건마스터!$A$5:$A$64,0)),""))</f>
        <v/>
      </c>
      <c r="W227" s="136">
        <f>IF($F227="","",IFERROR(INDEX(사건마스터!$AT$5:$AT$64,MATCH($F227,사건마스터!$A$5:$A$64,0)),""))</f>
        <v/>
      </c>
      <c r="X227" s="136">
        <f>IF($F227="","",IFERROR(INDEX(사건마스터!$AU$5:$AU$64,MATCH($F227,사건마스터!$A$5:$A$64,0)),""))</f>
        <v/>
      </c>
      <c r="Y227" s="136">
        <f>IF($F227="","",IFERROR(INDEX(사건마스터!$AV$5:$AV$64,MATCH($F227,사건마스터!$A$5:$A$64,0)),""))</f>
        <v/>
      </c>
      <c r="Z227" s="118">
        <f>IF(COUNTBLANK($J227:$Y227)=16,"",16-COUNTBLANK($J227:$Y227))</f>
        <v/>
      </c>
      <c r="AA227" s="33">
        <f>IF($J227="",MID($AX227,3,255),$J227&amp;$AX227)</f>
        <v/>
      </c>
      <c r="AB227" s="130">
        <f>IF($J227="","",IFERROR(INDEX(코드설정!$D$5:$D$24,MATCH($J227,코드설정!$C$5:$C$24,0)),""))</f>
        <v/>
      </c>
      <c r="AC227" s="36" t="n"/>
      <c r="AD227" s="37" t="n"/>
      <c r="AE227" s="38" t="n"/>
      <c r="AF227" s="118">
        <f>IF(OR($B227="",$C227=""),"",$C227-$B227+1)</f>
        <v/>
      </c>
      <c r="AG227" s="74" t="n"/>
      <c r="AH227" s="36" t="n"/>
      <c r="AJ227">
        <f>IF($K227="","",", "&amp;$K227)</f>
        <v/>
      </c>
      <c r="AK227">
        <f>AJ227&amp;IF($L227="","",", "&amp;$L227)</f>
        <v/>
      </c>
      <c r="AL227">
        <f>AK227&amp;IF($M227="","",", "&amp;$M227)</f>
        <v/>
      </c>
      <c r="AM227">
        <f>AL227&amp;IF($N227="","",", "&amp;$N227)</f>
        <v/>
      </c>
      <c r="AN227">
        <f>AM227&amp;IF($O227="","",", "&amp;$O227)</f>
        <v/>
      </c>
      <c r="AO227">
        <f>AN227&amp;IF($P227="","",", "&amp;$P227)</f>
        <v/>
      </c>
      <c r="AP227">
        <f>AO227&amp;IF($Q227="","",", "&amp;$Q227)</f>
        <v/>
      </c>
      <c r="AQ227">
        <f>AP227&amp;IF($R227="","",", "&amp;$R227)</f>
        <v/>
      </c>
      <c r="AR227">
        <f>AQ227&amp;IF($S227="","",", "&amp;$S227)</f>
        <v/>
      </c>
      <c r="AS227">
        <f>AR227&amp;IF($T227="","",", "&amp;$T227)</f>
        <v/>
      </c>
      <c r="AT227">
        <f>AS227&amp;IF($U227="","",", "&amp;$U227)</f>
        <v/>
      </c>
      <c r="AU227">
        <f>AT227&amp;IF($V227="","",", "&amp;$V227)</f>
        <v/>
      </c>
      <c r="AV227">
        <f>AU227&amp;IF($W227="","",", "&amp;$W227)</f>
        <v/>
      </c>
      <c r="AW227">
        <f>AV227&amp;IF($X227="","",", "&amp;$X227)</f>
        <v/>
      </c>
      <c r="AX227">
        <f>AW227&amp;IF($Y227="","",", "&amp;$Y227)</f>
        <v/>
      </c>
    </row>
    <row r="228">
      <c r="A228" s="118">
        <f>IF($B228="","",COUNT($B$5:$B228))</f>
        <v/>
      </c>
      <c r="B228" s="80" t="n"/>
      <c r="C228" s="80" t="n"/>
      <c r="D228" s="74" t="n"/>
      <c r="E228" s="74" t="n"/>
      <c r="F228" s="74" t="n"/>
      <c r="G228" s="118">
        <f>IF($F228="","",COUNTIF($F$5:$F228,$F228))</f>
        <v/>
      </c>
      <c r="H228" s="33">
        <f>IF($F228="","",IFERROR(INDEX(사건마스터!$B$5:$B$64,MATCH($F228,사건마스터!$A$5:$A$64,0)),""))</f>
        <v/>
      </c>
      <c r="I228" s="130">
        <f>IF($F228="","",IFERROR(INDEX(사건마스터!$C$5:$C$64,MATCH($F228,사건마스터!$A$5:$A$64,0)),""))</f>
        <v/>
      </c>
      <c r="J228" s="136">
        <f>IF($F228="","",IFERROR(INDEX(사건마스터!$H$5:$H$64,MATCH($F228,사건마스터!$A$5:$A$64,0)),""))</f>
        <v/>
      </c>
      <c r="K228" s="136">
        <f>IF($F228="","",IFERROR(INDEX(사건마스터!$AH$5:$AH$64,MATCH($F228,사건마스터!$A$5:$A$64,0)),""))</f>
        <v/>
      </c>
      <c r="L228" s="136">
        <f>IF($F228="","",IFERROR(INDEX(사건마스터!$AI$5:$AI$64,MATCH($F228,사건마스터!$A$5:$A$64,0)),""))</f>
        <v/>
      </c>
      <c r="M228" s="136">
        <f>IF($F228="","",IFERROR(INDEX(사건마스터!$AJ$5:$AJ$64,MATCH($F228,사건마스터!$A$5:$A$64,0)),""))</f>
        <v/>
      </c>
      <c r="N228" s="136">
        <f>IF($F228="","",IFERROR(INDEX(사건마스터!$AK$5:$AK$64,MATCH($F228,사건마스터!$A$5:$A$64,0)),""))</f>
        <v/>
      </c>
      <c r="O228" s="136">
        <f>IF($F228="","",IFERROR(INDEX(사건마스터!$AL$5:$AL$64,MATCH($F228,사건마스터!$A$5:$A$64,0)),""))</f>
        <v/>
      </c>
      <c r="P228" s="136">
        <f>IF($F228="","",IFERROR(INDEX(사건마스터!$AM$5:$AM$64,MATCH($F228,사건마스터!$A$5:$A$64,0)),""))</f>
        <v/>
      </c>
      <c r="Q228" s="136">
        <f>IF($F228="","",IFERROR(INDEX(사건마스터!$AN$5:$AN$64,MATCH($F228,사건마스터!$A$5:$A$64,0)),""))</f>
        <v/>
      </c>
      <c r="R228" s="136">
        <f>IF($F228="","",IFERROR(INDEX(사건마스터!$AO$5:$AO$64,MATCH($F228,사건마스터!$A$5:$A$64,0)),""))</f>
        <v/>
      </c>
      <c r="S228" s="136">
        <f>IF($F228="","",IFERROR(INDEX(사건마스터!$AP$5:$AP$64,MATCH($F228,사건마스터!$A$5:$A$64,0)),""))</f>
        <v/>
      </c>
      <c r="T228" s="136">
        <f>IF($F228="","",IFERROR(INDEX(사건마스터!$AQ$5:$AQ$64,MATCH($F228,사건마스터!$A$5:$A$64,0)),""))</f>
        <v/>
      </c>
      <c r="U228" s="136">
        <f>IF($F228="","",IFERROR(INDEX(사건마스터!$AR$5:$AR$64,MATCH($F228,사건마스터!$A$5:$A$64,0)),""))</f>
        <v/>
      </c>
      <c r="V228" s="136">
        <f>IF($F228="","",IFERROR(INDEX(사건마스터!$AS$5:$AS$64,MATCH($F228,사건마스터!$A$5:$A$64,0)),""))</f>
        <v/>
      </c>
      <c r="W228" s="136">
        <f>IF($F228="","",IFERROR(INDEX(사건마스터!$AT$5:$AT$64,MATCH($F228,사건마스터!$A$5:$A$64,0)),""))</f>
        <v/>
      </c>
      <c r="X228" s="136">
        <f>IF($F228="","",IFERROR(INDEX(사건마스터!$AU$5:$AU$64,MATCH($F228,사건마스터!$A$5:$A$64,0)),""))</f>
        <v/>
      </c>
      <c r="Y228" s="136">
        <f>IF($F228="","",IFERROR(INDEX(사건마스터!$AV$5:$AV$64,MATCH($F228,사건마스터!$A$5:$A$64,0)),""))</f>
        <v/>
      </c>
      <c r="Z228" s="118">
        <f>IF(COUNTBLANK($J228:$Y228)=16,"",16-COUNTBLANK($J228:$Y228))</f>
        <v/>
      </c>
      <c r="AA228" s="33">
        <f>IF($J228="",MID($AX228,3,255),$J228&amp;$AX228)</f>
        <v/>
      </c>
      <c r="AB228" s="130">
        <f>IF($J228="","",IFERROR(INDEX(코드설정!$D$5:$D$24,MATCH($J228,코드설정!$C$5:$C$24,0)),""))</f>
        <v/>
      </c>
      <c r="AC228" s="36" t="n"/>
      <c r="AD228" s="37" t="n"/>
      <c r="AE228" s="38" t="n"/>
      <c r="AF228" s="118">
        <f>IF(OR($B228="",$C228=""),"",$C228-$B228+1)</f>
        <v/>
      </c>
      <c r="AG228" s="74" t="n"/>
      <c r="AH228" s="36" t="n"/>
      <c r="AJ228">
        <f>IF($K228="","",", "&amp;$K228)</f>
        <v/>
      </c>
      <c r="AK228">
        <f>AJ228&amp;IF($L228="","",", "&amp;$L228)</f>
        <v/>
      </c>
      <c r="AL228">
        <f>AK228&amp;IF($M228="","",", "&amp;$M228)</f>
        <v/>
      </c>
      <c r="AM228">
        <f>AL228&amp;IF($N228="","",", "&amp;$N228)</f>
        <v/>
      </c>
      <c r="AN228">
        <f>AM228&amp;IF($O228="","",", "&amp;$O228)</f>
        <v/>
      </c>
      <c r="AO228">
        <f>AN228&amp;IF($P228="","",", "&amp;$P228)</f>
        <v/>
      </c>
      <c r="AP228">
        <f>AO228&amp;IF($Q228="","",", "&amp;$Q228)</f>
        <v/>
      </c>
      <c r="AQ228">
        <f>AP228&amp;IF($R228="","",", "&amp;$R228)</f>
        <v/>
      </c>
      <c r="AR228">
        <f>AQ228&amp;IF($S228="","",", "&amp;$S228)</f>
        <v/>
      </c>
      <c r="AS228">
        <f>AR228&amp;IF($T228="","",", "&amp;$T228)</f>
        <v/>
      </c>
      <c r="AT228">
        <f>AS228&amp;IF($U228="","",", "&amp;$U228)</f>
        <v/>
      </c>
      <c r="AU228">
        <f>AT228&amp;IF($V228="","",", "&amp;$V228)</f>
        <v/>
      </c>
      <c r="AV228">
        <f>AU228&amp;IF($W228="","",", "&amp;$W228)</f>
        <v/>
      </c>
      <c r="AW228">
        <f>AV228&amp;IF($X228="","",", "&amp;$X228)</f>
        <v/>
      </c>
      <c r="AX228">
        <f>AW228&amp;IF($Y228="","",", "&amp;$Y228)</f>
        <v/>
      </c>
    </row>
    <row r="229">
      <c r="A229" s="118">
        <f>IF($B229="","",COUNT($B$5:$B229))</f>
        <v/>
      </c>
      <c r="B229" s="80" t="n"/>
      <c r="C229" s="80" t="n"/>
      <c r="D229" s="74" t="n"/>
      <c r="E229" s="74" t="n"/>
      <c r="F229" s="74" t="n"/>
      <c r="G229" s="118">
        <f>IF($F229="","",COUNTIF($F$5:$F229,$F229))</f>
        <v/>
      </c>
      <c r="H229" s="33">
        <f>IF($F229="","",IFERROR(INDEX(사건마스터!$B$5:$B$64,MATCH($F229,사건마스터!$A$5:$A$64,0)),""))</f>
        <v/>
      </c>
      <c r="I229" s="130">
        <f>IF($F229="","",IFERROR(INDEX(사건마스터!$C$5:$C$64,MATCH($F229,사건마스터!$A$5:$A$64,0)),""))</f>
        <v/>
      </c>
      <c r="J229" s="136">
        <f>IF($F229="","",IFERROR(INDEX(사건마스터!$H$5:$H$64,MATCH($F229,사건마스터!$A$5:$A$64,0)),""))</f>
        <v/>
      </c>
      <c r="K229" s="136">
        <f>IF($F229="","",IFERROR(INDEX(사건마스터!$AH$5:$AH$64,MATCH($F229,사건마스터!$A$5:$A$64,0)),""))</f>
        <v/>
      </c>
      <c r="L229" s="136">
        <f>IF($F229="","",IFERROR(INDEX(사건마스터!$AI$5:$AI$64,MATCH($F229,사건마스터!$A$5:$A$64,0)),""))</f>
        <v/>
      </c>
      <c r="M229" s="136">
        <f>IF($F229="","",IFERROR(INDEX(사건마스터!$AJ$5:$AJ$64,MATCH($F229,사건마스터!$A$5:$A$64,0)),""))</f>
        <v/>
      </c>
      <c r="N229" s="136">
        <f>IF($F229="","",IFERROR(INDEX(사건마스터!$AK$5:$AK$64,MATCH($F229,사건마스터!$A$5:$A$64,0)),""))</f>
        <v/>
      </c>
      <c r="O229" s="136">
        <f>IF($F229="","",IFERROR(INDEX(사건마스터!$AL$5:$AL$64,MATCH($F229,사건마스터!$A$5:$A$64,0)),""))</f>
        <v/>
      </c>
      <c r="P229" s="136">
        <f>IF($F229="","",IFERROR(INDEX(사건마스터!$AM$5:$AM$64,MATCH($F229,사건마스터!$A$5:$A$64,0)),""))</f>
        <v/>
      </c>
      <c r="Q229" s="136">
        <f>IF($F229="","",IFERROR(INDEX(사건마스터!$AN$5:$AN$64,MATCH($F229,사건마스터!$A$5:$A$64,0)),""))</f>
        <v/>
      </c>
      <c r="R229" s="136">
        <f>IF($F229="","",IFERROR(INDEX(사건마스터!$AO$5:$AO$64,MATCH($F229,사건마스터!$A$5:$A$64,0)),""))</f>
        <v/>
      </c>
      <c r="S229" s="136">
        <f>IF($F229="","",IFERROR(INDEX(사건마스터!$AP$5:$AP$64,MATCH($F229,사건마스터!$A$5:$A$64,0)),""))</f>
        <v/>
      </c>
      <c r="T229" s="136">
        <f>IF($F229="","",IFERROR(INDEX(사건마스터!$AQ$5:$AQ$64,MATCH($F229,사건마스터!$A$5:$A$64,0)),""))</f>
        <v/>
      </c>
      <c r="U229" s="136">
        <f>IF($F229="","",IFERROR(INDEX(사건마스터!$AR$5:$AR$64,MATCH($F229,사건마스터!$A$5:$A$64,0)),""))</f>
        <v/>
      </c>
      <c r="V229" s="136">
        <f>IF($F229="","",IFERROR(INDEX(사건마스터!$AS$5:$AS$64,MATCH($F229,사건마스터!$A$5:$A$64,0)),""))</f>
        <v/>
      </c>
      <c r="W229" s="136">
        <f>IF($F229="","",IFERROR(INDEX(사건마스터!$AT$5:$AT$64,MATCH($F229,사건마스터!$A$5:$A$64,0)),""))</f>
        <v/>
      </c>
      <c r="X229" s="136">
        <f>IF($F229="","",IFERROR(INDEX(사건마스터!$AU$5:$AU$64,MATCH($F229,사건마스터!$A$5:$A$64,0)),""))</f>
        <v/>
      </c>
      <c r="Y229" s="136">
        <f>IF($F229="","",IFERROR(INDEX(사건마스터!$AV$5:$AV$64,MATCH($F229,사건마스터!$A$5:$A$64,0)),""))</f>
        <v/>
      </c>
      <c r="Z229" s="118">
        <f>IF(COUNTBLANK($J229:$Y229)=16,"",16-COUNTBLANK($J229:$Y229))</f>
        <v/>
      </c>
      <c r="AA229" s="33">
        <f>IF($J229="",MID($AX229,3,255),$J229&amp;$AX229)</f>
        <v/>
      </c>
      <c r="AB229" s="130">
        <f>IF($J229="","",IFERROR(INDEX(코드설정!$D$5:$D$24,MATCH($J229,코드설정!$C$5:$C$24,0)),""))</f>
        <v/>
      </c>
      <c r="AC229" s="36" t="n"/>
      <c r="AD229" s="37" t="n"/>
      <c r="AE229" s="38" t="n"/>
      <c r="AF229" s="118">
        <f>IF(OR($B229="",$C229=""),"",$C229-$B229+1)</f>
        <v/>
      </c>
      <c r="AG229" s="74" t="n"/>
      <c r="AH229" s="36" t="n"/>
      <c r="AJ229">
        <f>IF($K229="","",", "&amp;$K229)</f>
        <v/>
      </c>
      <c r="AK229">
        <f>AJ229&amp;IF($L229="","",", "&amp;$L229)</f>
        <v/>
      </c>
      <c r="AL229">
        <f>AK229&amp;IF($M229="","",", "&amp;$M229)</f>
        <v/>
      </c>
      <c r="AM229">
        <f>AL229&amp;IF($N229="","",", "&amp;$N229)</f>
        <v/>
      </c>
      <c r="AN229">
        <f>AM229&amp;IF($O229="","",", "&amp;$O229)</f>
        <v/>
      </c>
      <c r="AO229">
        <f>AN229&amp;IF($P229="","",", "&amp;$P229)</f>
        <v/>
      </c>
      <c r="AP229">
        <f>AO229&amp;IF($Q229="","",", "&amp;$Q229)</f>
        <v/>
      </c>
      <c r="AQ229">
        <f>AP229&amp;IF($R229="","",", "&amp;$R229)</f>
        <v/>
      </c>
      <c r="AR229">
        <f>AQ229&amp;IF($S229="","",", "&amp;$S229)</f>
        <v/>
      </c>
      <c r="AS229">
        <f>AR229&amp;IF($T229="","",", "&amp;$T229)</f>
        <v/>
      </c>
      <c r="AT229">
        <f>AS229&amp;IF($U229="","",", "&amp;$U229)</f>
        <v/>
      </c>
      <c r="AU229">
        <f>AT229&amp;IF($V229="","",", "&amp;$V229)</f>
        <v/>
      </c>
      <c r="AV229">
        <f>AU229&amp;IF($W229="","",", "&amp;$W229)</f>
        <v/>
      </c>
      <c r="AW229">
        <f>AV229&amp;IF($X229="","",", "&amp;$X229)</f>
        <v/>
      </c>
      <c r="AX229">
        <f>AW229&amp;IF($Y229="","",", "&amp;$Y229)</f>
        <v/>
      </c>
    </row>
    <row r="230">
      <c r="A230" s="118">
        <f>IF($B230="","",COUNT($B$5:$B230))</f>
        <v/>
      </c>
      <c r="B230" s="80" t="n"/>
      <c r="C230" s="80" t="n"/>
      <c r="D230" s="74" t="n"/>
      <c r="E230" s="74" t="n"/>
      <c r="F230" s="74" t="n"/>
      <c r="G230" s="118">
        <f>IF($F230="","",COUNTIF($F$5:$F230,$F230))</f>
        <v/>
      </c>
      <c r="H230" s="33">
        <f>IF($F230="","",IFERROR(INDEX(사건마스터!$B$5:$B$64,MATCH($F230,사건마스터!$A$5:$A$64,0)),""))</f>
        <v/>
      </c>
      <c r="I230" s="130">
        <f>IF($F230="","",IFERROR(INDEX(사건마스터!$C$5:$C$64,MATCH($F230,사건마스터!$A$5:$A$64,0)),""))</f>
        <v/>
      </c>
      <c r="J230" s="136">
        <f>IF($F230="","",IFERROR(INDEX(사건마스터!$H$5:$H$64,MATCH($F230,사건마스터!$A$5:$A$64,0)),""))</f>
        <v/>
      </c>
      <c r="K230" s="136">
        <f>IF($F230="","",IFERROR(INDEX(사건마스터!$AH$5:$AH$64,MATCH($F230,사건마스터!$A$5:$A$64,0)),""))</f>
        <v/>
      </c>
      <c r="L230" s="136">
        <f>IF($F230="","",IFERROR(INDEX(사건마스터!$AI$5:$AI$64,MATCH($F230,사건마스터!$A$5:$A$64,0)),""))</f>
        <v/>
      </c>
      <c r="M230" s="136">
        <f>IF($F230="","",IFERROR(INDEX(사건마스터!$AJ$5:$AJ$64,MATCH($F230,사건마스터!$A$5:$A$64,0)),""))</f>
        <v/>
      </c>
      <c r="N230" s="136">
        <f>IF($F230="","",IFERROR(INDEX(사건마스터!$AK$5:$AK$64,MATCH($F230,사건마스터!$A$5:$A$64,0)),""))</f>
        <v/>
      </c>
      <c r="O230" s="136">
        <f>IF($F230="","",IFERROR(INDEX(사건마스터!$AL$5:$AL$64,MATCH($F230,사건마스터!$A$5:$A$64,0)),""))</f>
        <v/>
      </c>
      <c r="P230" s="136">
        <f>IF($F230="","",IFERROR(INDEX(사건마스터!$AM$5:$AM$64,MATCH($F230,사건마스터!$A$5:$A$64,0)),""))</f>
        <v/>
      </c>
      <c r="Q230" s="136">
        <f>IF($F230="","",IFERROR(INDEX(사건마스터!$AN$5:$AN$64,MATCH($F230,사건마스터!$A$5:$A$64,0)),""))</f>
        <v/>
      </c>
      <c r="R230" s="136">
        <f>IF($F230="","",IFERROR(INDEX(사건마스터!$AO$5:$AO$64,MATCH($F230,사건마스터!$A$5:$A$64,0)),""))</f>
        <v/>
      </c>
      <c r="S230" s="136">
        <f>IF($F230="","",IFERROR(INDEX(사건마스터!$AP$5:$AP$64,MATCH($F230,사건마스터!$A$5:$A$64,0)),""))</f>
        <v/>
      </c>
      <c r="T230" s="136">
        <f>IF($F230="","",IFERROR(INDEX(사건마스터!$AQ$5:$AQ$64,MATCH($F230,사건마스터!$A$5:$A$64,0)),""))</f>
        <v/>
      </c>
      <c r="U230" s="136">
        <f>IF($F230="","",IFERROR(INDEX(사건마스터!$AR$5:$AR$64,MATCH($F230,사건마스터!$A$5:$A$64,0)),""))</f>
        <v/>
      </c>
      <c r="V230" s="136">
        <f>IF($F230="","",IFERROR(INDEX(사건마스터!$AS$5:$AS$64,MATCH($F230,사건마스터!$A$5:$A$64,0)),""))</f>
        <v/>
      </c>
      <c r="W230" s="136">
        <f>IF($F230="","",IFERROR(INDEX(사건마스터!$AT$5:$AT$64,MATCH($F230,사건마스터!$A$5:$A$64,0)),""))</f>
        <v/>
      </c>
      <c r="X230" s="136">
        <f>IF($F230="","",IFERROR(INDEX(사건마스터!$AU$5:$AU$64,MATCH($F230,사건마스터!$A$5:$A$64,0)),""))</f>
        <v/>
      </c>
      <c r="Y230" s="136">
        <f>IF($F230="","",IFERROR(INDEX(사건마스터!$AV$5:$AV$64,MATCH($F230,사건마스터!$A$5:$A$64,0)),""))</f>
        <v/>
      </c>
      <c r="Z230" s="118">
        <f>IF(COUNTBLANK($J230:$Y230)=16,"",16-COUNTBLANK($J230:$Y230))</f>
        <v/>
      </c>
      <c r="AA230" s="33">
        <f>IF($J230="",MID($AX230,3,255),$J230&amp;$AX230)</f>
        <v/>
      </c>
      <c r="AB230" s="130">
        <f>IF($J230="","",IFERROR(INDEX(코드설정!$D$5:$D$24,MATCH($J230,코드설정!$C$5:$C$24,0)),""))</f>
        <v/>
      </c>
      <c r="AC230" s="36" t="n"/>
      <c r="AD230" s="37" t="n"/>
      <c r="AE230" s="38" t="n"/>
      <c r="AF230" s="118">
        <f>IF(OR($B230="",$C230=""),"",$C230-$B230+1)</f>
        <v/>
      </c>
      <c r="AG230" s="74" t="n"/>
      <c r="AH230" s="36" t="n"/>
      <c r="AJ230">
        <f>IF($K230="","",", "&amp;$K230)</f>
        <v/>
      </c>
      <c r="AK230">
        <f>AJ230&amp;IF($L230="","",", "&amp;$L230)</f>
        <v/>
      </c>
      <c r="AL230">
        <f>AK230&amp;IF($M230="","",", "&amp;$M230)</f>
        <v/>
      </c>
      <c r="AM230">
        <f>AL230&amp;IF($N230="","",", "&amp;$N230)</f>
        <v/>
      </c>
      <c r="AN230">
        <f>AM230&amp;IF($O230="","",", "&amp;$O230)</f>
        <v/>
      </c>
      <c r="AO230">
        <f>AN230&amp;IF($P230="","",", "&amp;$P230)</f>
        <v/>
      </c>
      <c r="AP230">
        <f>AO230&amp;IF($Q230="","",", "&amp;$Q230)</f>
        <v/>
      </c>
      <c r="AQ230">
        <f>AP230&amp;IF($R230="","",", "&amp;$R230)</f>
        <v/>
      </c>
      <c r="AR230">
        <f>AQ230&amp;IF($S230="","",", "&amp;$S230)</f>
        <v/>
      </c>
      <c r="AS230">
        <f>AR230&amp;IF($T230="","",", "&amp;$T230)</f>
        <v/>
      </c>
      <c r="AT230">
        <f>AS230&amp;IF($U230="","",", "&amp;$U230)</f>
        <v/>
      </c>
      <c r="AU230">
        <f>AT230&amp;IF($V230="","",", "&amp;$V230)</f>
        <v/>
      </c>
      <c r="AV230">
        <f>AU230&amp;IF($W230="","",", "&amp;$W230)</f>
        <v/>
      </c>
      <c r="AW230">
        <f>AV230&amp;IF($X230="","",", "&amp;$X230)</f>
        <v/>
      </c>
      <c r="AX230">
        <f>AW230&amp;IF($Y230="","",", "&amp;$Y230)</f>
        <v/>
      </c>
    </row>
    <row r="231">
      <c r="A231" s="118">
        <f>IF($B231="","",COUNT($B$5:$B231))</f>
        <v/>
      </c>
      <c r="B231" s="80" t="n"/>
      <c r="C231" s="80" t="n"/>
      <c r="D231" s="74" t="n"/>
      <c r="E231" s="74" t="n"/>
      <c r="F231" s="74" t="n"/>
      <c r="G231" s="118">
        <f>IF($F231="","",COUNTIF($F$5:$F231,$F231))</f>
        <v/>
      </c>
      <c r="H231" s="33">
        <f>IF($F231="","",IFERROR(INDEX(사건마스터!$B$5:$B$64,MATCH($F231,사건마스터!$A$5:$A$64,0)),""))</f>
        <v/>
      </c>
      <c r="I231" s="130">
        <f>IF($F231="","",IFERROR(INDEX(사건마스터!$C$5:$C$64,MATCH($F231,사건마스터!$A$5:$A$64,0)),""))</f>
        <v/>
      </c>
      <c r="J231" s="136">
        <f>IF($F231="","",IFERROR(INDEX(사건마스터!$H$5:$H$64,MATCH($F231,사건마스터!$A$5:$A$64,0)),""))</f>
        <v/>
      </c>
      <c r="K231" s="136">
        <f>IF($F231="","",IFERROR(INDEX(사건마스터!$AH$5:$AH$64,MATCH($F231,사건마스터!$A$5:$A$64,0)),""))</f>
        <v/>
      </c>
      <c r="L231" s="136">
        <f>IF($F231="","",IFERROR(INDEX(사건마스터!$AI$5:$AI$64,MATCH($F231,사건마스터!$A$5:$A$64,0)),""))</f>
        <v/>
      </c>
      <c r="M231" s="136">
        <f>IF($F231="","",IFERROR(INDEX(사건마스터!$AJ$5:$AJ$64,MATCH($F231,사건마스터!$A$5:$A$64,0)),""))</f>
        <v/>
      </c>
      <c r="N231" s="136">
        <f>IF($F231="","",IFERROR(INDEX(사건마스터!$AK$5:$AK$64,MATCH($F231,사건마스터!$A$5:$A$64,0)),""))</f>
        <v/>
      </c>
      <c r="O231" s="136">
        <f>IF($F231="","",IFERROR(INDEX(사건마스터!$AL$5:$AL$64,MATCH($F231,사건마스터!$A$5:$A$64,0)),""))</f>
        <v/>
      </c>
      <c r="P231" s="136">
        <f>IF($F231="","",IFERROR(INDEX(사건마스터!$AM$5:$AM$64,MATCH($F231,사건마스터!$A$5:$A$64,0)),""))</f>
        <v/>
      </c>
      <c r="Q231" s="136">
        <f>IF($F231="","",IFERROR(INDEX(사건마스터!$AN$5:$AN$64,MATCH($F231,사건마스터!$A$5:$A$64,0)),""))</f>
        <v/>
      </c>
      <c r="R231" s="136">
        <f>IF($F231="","",IFERROR(INDEX(사건마스터!$AO$5:$AO$64,MATCH($F231,사건마스터!$A$5:$A$64,0)),""))</f>
        <v/>
      </c>
      <c r="S231" s="136">
        <f>IF($F231="","",IFERROR(INDEX(사건마스터!$AP$5:$AP$64,MATCH($F231,사건마스터!$A$5:$A$64,0)),""))</f>
        <v/>
      </c>
      <c r="T231" s="136">
        <f>IF($F231="","",IFERROR(INDEX(사건마스터!$AQ$5:$AQ$64,MATCH($F231,사건마스터!$A$5:$A$64,0)),""))</f>
        <v/>
      </c>
      <c r="U231" s="136">
        <f>IF($F231="","",IFERROR(INDEX(사건마스터!$AR$5:$AR$64,MATCH($F231,사건마스터!$A$5:$A$64,0)),""))</f>
        <v/>
      </c>
      <c r="V231" s="136">
        <f>IF($F231="","",IFERROR(INDEX(사건마스터!$AS$5:$AS$64,MATCH($F231,사건마스터!$A$5:$A$64,0)),""))</f>
        <v/>
      </c>
      <c r="W231" s="136">
        <f>IF($F231="","",IFERROR(INDEX(사건마스터!$AT$5:$AT$64,MATCH($F231,사건마스터!$A$5:$A$64,0)),""))</f>
        <v/>
      </c>
      <c r="X231" s="136">
        <f>IF($F231="","",IFERROR(INDEX(사건마스터!$AU$5:$AU$64,MATCH($F231,사건마스터!$A$5:$A$64,0)),""))</f>
        <v/>
      </c>
      <c r="Y231" s="136">
        <f>IF($F231="","",IFERROR(INDEX(사건마스터!$AV$5:$AV$64,MATCH($F231,사건마스터!$A$5:$A$64,0)),""))</f>
        <v/>
      </c>
      <c r="Z231" s="118">
        <f>IF(COUNTBLANK($J231:$Y231)=16,"",16-COUNTBLANK($J231:$Y231))</f>
        <v/>
      </c>
      <c r="AA231" s="33">
        <f>IF($J231="",MID($AX231,3,255),$J231&amp;$AX231)</f>
        <v/>
      </c>
      <c r="AB231" s="130">
        <f>IF($J231="","",IFERROR(INDEX(코드설정!$D$5:$D$24,MATCH($J231,코드설정!$C$5:$C$24,0)),""))</f>
        <v/>
      </c>
      <c r="AC231" s="36" t="n"/>
      <c r="AD231" s="37" t="n"/>
      <c r="AE231" s="38" t="n"/>
      <c r="AF231" s="118">
        <f>IF(OR($B231="",$C231=""),"",$C231-$B231+1)</f>
        <v/>
      </c>
      <c r="AG231" s="74" t="n"/>
      <c r="AH231" s="36" t="n"/>
      <c r="AJ231">
        <f>IF($K231="","",", "&amp;$K231)</f>
        <v/>
      </c>
      <c r="AK231">
        <f>AJ231&amp;IF($L231="","",", "&amp;$L231)</f>
        <v/>
      </c>
      <c r="AL231">
        <f>AK231&amp;IF($M231="","",", "&amp;$M231)</f>
        <v/>
      </c>
      <c r="AM231">
        <f>AL231&amp;IF($N231="","",", "&amp;$N231)</f>
        <v/>
      </c>
      <c r="AN231">
        <f>AM231&amp;IF($O231="","",", "&amp;$O231)</f>
        <v/>
      </c>
      <c r="AO231">
        <f>AN231&amp;IF($P231="","",", "&amp;$P231)</f>
        <v/>
      </c>
      <c r="AP231">
        <f>AO231&amp;IF($Q231="","",", "&amp;$Q231)</f>
        <v/>
      </c>
      <c r="AQ231">
        <f>AP231&amp;IF($R231="","",", "&amp;$R231)</f>
        <v/>
      </c>
      <c r="AR231">
        <f>AQ231&amp;IF($S231="","",", "&amp;$S231)</f>
        <v/>
      </c>
      <c r="AS231">
        <f>AR231&amp;IF($T231="","",", "&amp;$T231)</f>
        <v/>
      </c>
      <c r="AT231">
        <f>AS231&amp;IF($U231="","",", "&amp;$U231)</f>
        <v/>
      </c>
      <c r="AU231">
        <f>AT231&amp;IF($V231="","",", "&amp;$V231)</f>
        <v/>
      </c>
      <c r="AV231">
        <f>AU231&amp;IF($W231="","",", "&amp;$W231)</f>
        <v/>
      </c>
      <c r="AW231">
        <f>AV231&amp;IF($X231="","",", "&amp;$X231)</f>
        <v/>
      </c>
      <c r="AX231">
        <f>AW231&amp;IF($Y231="","",", "&amp;$Y231)</f>
        <v/>
      </c>
    </row>
    <row r="232">
      <c r="A232" s="118">
        <f>IF($B232="","",COUNT($B$5:$B232))</f>
        <v/>
      </c>
      <c r="B232" s="80" t="n"/>
      <c r="C232" s="80" t="n"/>
      <c r="D232" s="74" t="n"/>
      <c r="E232" s="74" t="n"/>
      <c r="F232" s="74" t="n"/>
      <c r="G232" s="118">
        <f>IF($F232="","",COUNTIF($F$5:$F232,$F232))</f>
        <v/>
      </c>
      <c r="H232" s="33">
        <f>IF($F232="","",IFERROR(INDEX(사건마스터!$B$5:$B$64,MATCH($F232,사건마스터!$A$5:$A$64,0)),""))</f>
        <v/>
      </c>
      <c r="I232" s="130">
        <f>IF($F232="","",IFERROR(INDEX(사건마스터!$C$5:$C$64,MATCH($F232,사건마스터!$A$5:$A$64,0)),""))</f>
        <v/>
      </c>
      <c r="J232" s="136">
        <f>IF($F232="","",IFERROR(INDEX(사건마스터!$H$5:$H$64,MATCH($F232,사건마스터!$A$5:$A$64,0)),""))</f>
        <v/>
      </c>
      <c r="K232" s="136">
        <f>IF($F232="","",IFERROR(INDEX(사건마스터!$AH$5:$AH$64,MATCH($F232,사건마스터!$A$5:$A$64,0)),""))</f>
        <v/>
      </c>
      <c r="L232" s="136">
        <f>IF($F232="","",IFERROR(INDEX(사건마스터!$AI$5:$AI$64,MATCH($F232,사건마스터!$A$5:$A$64,0)),""))</f>
        <v/>
      </c>
      <c r="M232" s="136">
        <f>IF($F232="","",IFERROR(INDEX(사건마스터!$AJ$5:$AJ$64,MATCH($F232,사건마스터!$A$5:$A$64,0)),""))</f>
        <v/>
      </c>
      <c r="N232" s="136">
        <f>IF($F232="","",IFERROR(INDEX(사건마스터!$AK$5:$AK$64,MATCH($F232,사건마스터!$A$5:$A$64,0)),""))</f>
        <v/>
      </c>
      <c r="O232" s="136">
        <f>IF($F232="","",IFERROR(INDEX(사건마스터!$AL$5:$AL$64,MATCH($F232,사건마스터!$A$5:$A$64,0)),""))</f>
        <v/>
      </c>
      <c r="P232" s="136">
        <f>IF($F232="","",IFERROR(INDEX(사건마스터!$AM$5:$AM$64,MATCH($F232,사건마스터!$A$5:$A$64,0)),""))</f>
        <v/>
      </c>
      <c r="Q232" s="136">
        <f>IF($F232="","",IFERROR(INDEX(사건마스터!$AN$5:$AN$64,MATCH($F232,사건마스터!$A$5:$A$64,0)),""))</f>
        <v/>
      </c>
      <c r="R232" s="136">
        <f>IF($F232="","",IFERROR(INDEX(사건마스터!$AO$5:$AO$64,MATCH($F232,사건마스터!$A$5:$A$64,0)),""))</f>
        <v/>
      </c>
      <c r="S232" s="136">
        <f>IF($F232="","",IFERROR(INDEX(사건마스터!$AP$5:$AP$64,MATCH($F232,사건마스터!$A$5:$A$64,0)),""))</f>
        <v/>
      </c>
      <c r="T232" s="136">
        <f>IF($F232="","",IFERROR(INDEX(사건마스터!$AQ$5:$AQ$64,MATCH($F232,사건마스터!$A$5:$A$64,0)),""))</f>
        <v/>
      </c>
      <c r="U232" s="136">
        <f>IF($F232="","",IFERROR(INDEX(사건마스터!$AR$5:$AR$64,MATCH($F232,사건마스터!$A$5:$A$64,0)),""))</f>
        <v/>
      </c>
      <c r="V232" s="136">
        <f>IF($F232="","",IFERROR(INDEX(사건마스터!$AS$5:$AS$64,MATCH($F232,사건마스터!$A$5:$A$64,0)),""))</f>
        <v/>
      </c>
      <c r="W232" s="136">
        <f>IF($F232="","",IFERROR(INDEX(사건마스터!$AT$5:$AT$64,MATCH($F232,사건마스터!$A$5:$A$64,0)),""))</f>
        <v/>
      </c>
      <c r="X232" s="136">
        <f>IF($F232="","",IFERROR(INDEX(사건마스터!$AU$5:$AU$64,MATCH($F232,사건마스터!$A$5:$A$64,0)),""))</f>
        <v/>
      </c>
      <c r="Y232" s="136">
        <f>IF($F232="","",IFERROR(INDEX(사건마스터!$AV$5:$AV$64,MATCH($F232,사건마스터!$A$5:$A$64,0)),""))</f>
        <v/>
      </c>
      <c r="Z232" s="118">
        <f>IF(COUNTBLANK($J232:$Y232)=16,"",16-COUNTBLANK($J232:$Y232))</f>
        <v/>
      </c>
      <c r="AA232" s="33">
        <f>IF($J232="",MID($AX232,3,255),$J232&amp;$AX232)</f>
        <v/>
      </c>
      <c r="AB232" s="130">
        <f>IF($J232="","",IFERROR(INDEX(코드설정!$D$5:$D$24,MATCH($J232,코드설정!$C$5:$C$24,0)),""))</f>
        <v/>
      </c>
      <c r="AC232" s="36" t="n"/>
      <c r="AD232" s="37" t="n"/>
      <c r="AE232" s="38" t="n"/>
      <c r="AF232" s="118">
        <f>IF(OR($B232="",$C232=""),"",$C232-$B232+1)</f>
        <v/>
      </c>
      <c r="AG232" s="74" t="n"/>
      <c r="AH232" s="36" t="n"/>
      <c r="AJ232">
        <f>IF($K232="","",", "&amp;$K232)</f>
        <v/>
      </c>
      <c r="AK232">
        <f>AJ232&amp;IF($L232="","",", "&amp;$L232)</f>
        <v/>
      </c>
      <c r="AL232">
        <f>AK232&amp;IF($M232="","",", "&amp;$M232)</f>
        <v/>
      </c>
      <c r="AM232">
        <f>AL232&amp;IF($N232="","",", "&amp;$N232)</f>
        <v/>
      </c>
      <c r="AN232">
        <f>AM232&amp;IF($O232="","",", "&amp;$O232)</f>
        <v/>
      </c>
      <c r="AO232">
        <f>AN232&amp;IF($P232="","",", "&amp;$P232)</f>
        <v/>
      </c>
      <c r="AP232">
        <f>AO232&amp;IF($Q232="","",", "&amp;$Q232)</f>
        <v/>
      </c>
      <c r="AQ232">
        <f>AP232&amp;IF($R232="","",", "&amp;$R232)</f>
        <v/>
      </c>
      <c r="AR232">
        <f>AQ232&amp;IF($S232="","",", "&amp;$S232)</f>
        <v/>
      </c>
      <c r="AS232">
        <f>AR232&amp;IF($T232="","",", "&amp;$T232)</f>
        <v/>
      </c>
      <c r="AT232">
        <f>AS232&amp;IF($U232="","",", "&amp;$U232)</f>
        <v/>
      </c>
      <c r="AU232">
        <f>AT232&amp;IF($V232="","",", "&amp;$V232)</f>
        <v/>
      </c>
      <c r="AV232">
        <f>AU232&amp;IF($W232="","",", "&amp;$W232)</f>
        <v/>
      </c>
      <c r="AW232">
        <f>AV232&amp;IF($X232="","",", "&amp;$X232)</f>
        <v/>
      </c>
      <c r="AX232">
        <f>AW232&amp;IF($Y232="","",", "&amp;$Y232)</f>
        <v/>
      </c>
    </row>
    <row r="233">
      <c r="A233" s="118">
        <f>IF($B233="","",COUNT($B$5:$B233))</f>
        <v/>
      </c>
      <c r="B233" s="80" t="n"/>
      <c r="C233" s="80" t="n"/>
      <c r="D233" s="74" t="n"/>
      <c r="E233" s="74" t="n"/>
      <c r="F233" s="74" t="n"/>
      <c r="G233" s="118">
        <f>IF($F233="","",COUNTIF($F$5:$F233,$F233))</f>
        <v/>
      </c>
      <c r="H233" s="33">
        <f>IF($F233="","",IFERROR(INDEX(사건마스터!$B$5:$B$64,MATCH($F233,사건마스터!$A$5:$A$64,0)),""))</f>
        <v/>
      </c>
      <c r="I233" s="130">
        <f>IF($F233="","",IFERROR(INDEX(사건마스터!$C$5:$C$64,MATCH($F233,사건마스터!$A$5:$A$64,0)),""))</f>
        <v/>
      </c>
      <c r="J233" s="136">
        <f>IF($F233="","",IFERROR(INDEX(사건마스터!$H$5:$H$64,MATCH($F233,사건마스터!$A$5:$A$64,0)),""))</f>
        <v/>
      </c>
      <c r="K233" s="136">
        <f>IF($F233="","",IFERROR(INDEX(사건마스터!$AH$5:$AH$64,MATCH($F233,사건마스터!$A$5:$A$64,0)),""))</f>
        <v/>
      </c>
      <c r="L233" s="136">
        <f>IF($F233="","",IFERROR(INDEX(사건마스터!$AI$5:$AI$64,MATCH($F233,사건마스터!$A$5:$A$64,0)),""))</f>
        <v/>
      </c>
      <c r="M233" s="136">
        <f>IF($F233="","",IFERROR(INDEX(사건마스터!$AJ$5:$AJ$64,MATCH($F233,사건마스터!$A$5:$A$64,0)),""))</f>
        <v/>
      </c>
      <c r="N233" s="136">
        <f>IF($F233="","",IFERROR(INDEX(사건마스터!$AK$5:$AK$64,MATCH($F233,사건마스터!$A$5:$A$64,0)),""))</f>
        <v/>
      </c>
      <c r="O233" s="136">
        <f>IF($F233="","",IFERROR(INDEX(사건마스터!$AL$5:$AL$64,MATCH($F233,사건마스터!$A$5:$A$64,0)),""))</f>
        <v/>
      </c>
      <c r="P233" s="136">
        <f>IF($F233="","",IFERROR(INDEX(사건마스터!$AM$5:$AM$64,MATCH($F233,사건마스터!$A$5:$A$64,0)),""))</f>
        <v/>
      </c>
      <c r="Q233" s="136">
        <f>IF($F233="","",IFERROR(INDEX(사건마스터!$AN$5:$AN$64,MATCH($F233,사건마스터!$A$5:$A$64,0)),""))</f>
        <v/>
      </c>
      <c r="R233" s="136">
        <f>IF($F233="","",IFERROR(INDEX(사건마스터!$AO$5:$AO$64,MATCH($F233,사건마스터!$A$5:$A$64,0)),""))</f>
        <v/>
      </c>
      <c r="S233" s="136">
        <f>IF($F233="","",IFERROR(INDEX(사건마스터!$AP$5:$AP$64,MATCH($F233,사건마스터!$A$5:$A$64,0)),""))</f>
        <v/>
      </c>
      <c r="T233" s="136">
        <f>IF($F233="","",IFERROR(INDEX(사건마스터!$AQ$5:$AQ$64,MATCH($F233,사건마스터!$A$5:$A$64,0)),""))</f>
        <v/>
      </c>
      <c r="U233" s="136">
        <f>IF($F233="","",IFERROR(INDEX(사건마스터!$AR$5:$AR$64,MATCH($F233,사건마스터!$A$5:$A$64,0)),""))</f>
        <v/>
      </c>
      <c r="V233" s="136">
        <f>IF($F233="","",IFERROR(INDEX(사건마스터!$AS$5:$AS$64,MATCH($F233,사건마스터!$A$5:$A$64,0)),""))</f>
        <v/>
      </c>
      <c r="W233" s="136">
        <f>IF($F233="","",IFERROR(INDEX(사건마스터!$AT$5:$AT$64,MATCH($F233,사건마스터!$A$5:$A$64,0)),""))</f>
        <v/>
      </c>
      <c r="X233" s="136">
        <f>IF($F233="","",IFERROR(INDEX(사건마스터!$AU$5:$AU$64,MATCH($F233,사건마스터!$A$5:$A$64,0)),""))</f>
        <v/>
      </c>
      <c r="Y233" s="136">
        <f>IF($F233="","",IFERROR(INDEX(사건마스터!$AV$5:$AV$64,MATCH($F233,사건마스터!$A$5:$A$64,0)),""))</f>
        <v/>
      </c>
      <c r="Z233" s="118">
        <f>IF(COUNTBLANK($J233:$Y233)=16,"",16-COUNTBLANK($J233:$Y233))</f>
        <v/>
      </c>
      <c r="AA233" s="33">
        <f>IF($J233="",MID($AX233,3,255),$J233&amp;$AX233)</f>
        <v/>
      </c>
      <c r="AB233" s="130">
        <f>IF($J233="","",IFERROR(INDEX(코드설정!$D$5:$D$24,MATCH($J233,코드설정!$C$5:$C$24,0)),""))</f>
        <v/>
      </c>
      <c r="AC233" s="36" t="n"/>
      <c r="AD233" s="37" t="n"/>
      <c r="AE233" s="38" t="n"/>
      <c r="AF233" s="118">
        <f>IF(OR($B233="",$C233=""),"",$C233-$B233+1)</f>
        <v/>
      </c>
      <c r="AG233" s="74" t="n"/>
      <c r="AH233" s="36" t="n"/>
      <c r="AJ233">
        <f>IF($K233="","",", "&amp;$K233)</f>
        <v/>
      </c>
      <c r="AK233">
        <f>AJ233&amp;IF($L233="","",", "&amp;$L233)</f>
        <v/>
      </c>
      <c r="AL233">
        <f>AK233&amp;IF($M233="","",", "&amp;$M233)</f>
        <v/>
      </c>
      <c r="AM233">
        <f>AL233&amp;IF($N233="","",", "&amp;$N233)</f>
        <v/>
      </c>
      <c r="AN233">
        <f>AM233&amp;IF($O233="","",", "&amp;$O233)</f>
        <v/>
      </c>
      <c r="AO233">
        <f>AN233&amp;IF($P233="","",", "&amp;$P233)</f>
        <v/>
      </c>
      <c r="AP233">
        <f>AO233&amp;IF($Q233="","",", "&amp;$Q233)</f>
        <v/>
      </c>
      <c r="AQ233">
        <f>AP233&amp;IF($R233="","",", "&amp;$R233)</f>
        <v/>
      </c>
      <c r="AR233">
        <f>AQ233&amp;IF($S233="","",", "&amp;$S233)</f>
        <v/>
      </c>
      <c r="AS233">
        <f>AR233&amp;IF($T233="","",", "&amp;$T233)</f>
        <v/>
      </c>
      <c r="AT233">
        <f>AS233&amp;IF($U233="","",", "&amp;$U233)</f>
        <v/>
      </c>
      <c r="AU233">
        <f>AT233&amp;IF($V233="","",", "&amp;$V233)</f>
        <v/>
      </c>
      <c r="AV233">
        <f>AU233&amp;IF($W233="","",", "&amp;$W233)</f>
        <v/>
      </c>
      <c r="AW233">
        <f>AV233&amp;IF($X233="","",", "&amp;$X233)</f>
        <v/>
      </c>
      <c r="AX233">
        <f>AW233&amp;IF($Y233="","",", "&amp;$Y233)</f>
        <v/>
      </c>
    </row>
    <row r="234">
      <c r="A234" s="118">
        <f>IF($B234="","",COUNT($B$5:$B234))</f>
        <v/>
      </c>
      <c r="B234" s="80" t="n"/>
      <c r="C234" s="80" t="n"/>
      <c r="D234" s="74" t="n"/>
      <c r="E234" s="74" t="n"/>
      <c r="F234" s="74" t="n"/>
      <c r="G234" s="118">
        <f>IF($F234="","",COUNTIF($F$5:$F234,$F234))</f>
        <v/>
      </c>
      <c r="H234" s="33">
        <f>IF($F234="","",IFERROR(INDEX(사건마스터!$B$5:$B$64,MATCH($F234,사건마스터!$A$5:$A$64,0)),""))</f>
        <v/>
      </c>
      <c r="I234" s="130">
        <f>IF($F234="","",IFERROR(INDEX(사건마스터!$C$5:$C$64,MATCH($F234,사건마스터!$A$5:$A$64,0)),""))</f>
        <v/>
      </c>
      <c r="J234" s="136">
        <f>IF($F234="","",IFERROR(INDEX(사건마스터!$H$5:$H$64,MATCH($F234,사건마스터!$A$5:$A$64,0)),""))</f>
        <v/>
      </c>
      <c r="K234" s="136">
        <f>IF($F234="","",IFERROR(INDEX(사건마스터!$AH$5:$AH$64,MATCH($F234,사건마스터!$A$5:$A$64,0)),""))</f>
        <v/>
      </c>
      <c r="L234" s="136">
        <f>IF($F234="","",IFERROR(INDEX(사건마스터!$AI$5:$AI$64,MATCH($F234,사건마스터!$A$5:$A$64,0)),""))</f>
        <v/>
      </c>
      <c r="M234" s="136">
        <f>IF($F234="","",IFERROR(INDEX(사건마스터!$AJ$5:$AJ$64,MATCH($F234,사건마스터!$A$5:$A$64,0)),""))</f>
        <v/>
      </c>
      <c r="N234" s="136">
        <f>IF($F234="","",IFERROR(INDEX(사건마스터!$AK$5:$AK$64,MATCH($F234,사건마스터!$A$5:$A$64,0)),""))</f>
        <v/>
      </c>
      <c r="O234" s="136">
        <f>IF($F234="","",IFERROR(INDEX(사건마스터!$AL$5:$AL$64,MATCH($F234,사건마스터!$A$5:$A$64,0)),""))</f>
        <v/>
      </c>
      <c r="P234" s="136">
        <f>IF($F234="","",IFERROR(INDEX(사건마스터!$AM$5:$AM$64,MATCH($F234,사건마스터!$A$5:$A$64,0)),""))</f>
        <v/>
      </c>
      <c r="Q234" s="136">
        <f>IF($F234="","",IFERROR(INDEX(사건마스터!$AN$5:$AN$64,MATCH($F234,사건마스터!$A$5:$A$64,0)),""))</f>
        <v/>
      </c>
      <c r="R234" s="136">
        <f>IF($F234="","",IFERROR(INDEX(사건마스터!$AO$5:$AO$64,MATCH($F234,사건마스터!$A$5:$A$64,0)),""))</f>
        <v/>
      </c>
      <c r="S234" s="136">
        <f>IF($F234="","",IFERROR(INDEX(사건마스터!$AP$5:$AP$64,MATCH($F234,사건마스터!$A$5:$A$64,0)),""))</f>
        <v/>
      </c>
      <c r="T234" s="136">
        <f>IF($F234="","",IFERROR(INDEX(사건마스터!$AQ$5:$AQ$64,MATCH($F234,사건마스터!$A$5:$A$64,0)),""))</f>
        <v/>
      </c>
      <c r="U234" s="136">
        <f>IF($F234="","",IFERROR(INDEX(사건마스터!$AR$5:$AR$64,MATCH($F234,사건마스터!$A$5:$A$64,0)),""))</f>
        <v/>
      </c>
      <c r="V234" s="136">
        <f>IF($F234="","",IFERROR(INDEX(사건마스터!$AS$5:$AS$64,MATCH($F234,사건마스터!$A$5:$A$64,0)),""))</f>
        <v/>
      </c>
      <c r="W234" s="136">
        <f>IF($F234="","",IFERROR(INDEX(사건마스터!$AT$5:$AT$64,MATCH($F234,사건마스터!$A$5:$A$64,0)),""))</f>
        <v/>
      </c>
      <c r="X234" s="136">
        <f>IF($F234="","",IFERROR(INDEX(사건마스터!$AU$5:$AU$64,MATCH($F234,사건마스터!$A$5:$A$64,0)),""))</f>
        <v/>
      </c>
      <c r="Y234" s="136">
        <f>IF($F234="","",IFERROR(INDEX(사건마스터!$AV$5:$AV$64,MATCH($F234,사건마스터!$A$5:$A$64,0)),""))</f>
        <v/>
      </c>
      <c r="Z234" s="118">
        <f>IF(COUNTBLANK($J234:$Y234)=16,"",16-COUNTBLANK($J234:$Y234))</f>
        <v/>
      </c>
      <c r="AA234" s="33">
        <f>IF($J234="",MID($AX234,3,255),$J234&amp;$AX234)</f>
        <v/>
      </c>
      <c r="AB234" s="130">
        <f>IF($J234="","",IFERROR(INDEX(코드설정!$D$5:$D$24,MATCH($J234,코드설정!$C$5:$C$24,0)),""))</f>
        <v/>
      </c>
      <c r="AC234" s="36" t="n"/>
      <c r="AD234" s="37" t="n"/>
      <c r="AE234" s="38" t="n"/>
      <c r="AF234" s="118">
        <f>IF(OR($B234="",$C234=""),"",$C234-$B234+1)</f>
        <v/>
      </c>
      <c r="AG234" s="74" t="n"/>
      <c r="AH234" s="36" t="n"/>
      <c r="AJ234">
        <f>IF($K234="","",", "&amp;$K234)</f>
        <v/>
      </c>
      <c r="AK234">
        <f>AJ234&amp;IF($L234="","",", "&amp;$L234)</f>
        <v/>
      </c>
      <c r="AL234">
        <f>AK234&amp;IF($M234="","",", "&amp;$M234)</f>
        <v/>
      </c>
      <c r="AM234">
        <f>AL234&amp;IF($N234="","",", "&amp;$N234)</f>
        <v/>
      </c>
      <c r="AN234">
        <f>AM234&amp;IF($O234="","",", "&amp;$O234)</f>
        <v/>
      </c>
      <c r="AO234">
        <f>AN234&amp;IF($P234="","",", "&amp;$P234)</f>
        <v/>
      </c>
      <c r="AP234">
        <f>AO234&amp;IF($Q234="","",", "&amp;$Q234)</f>
        <v/>
      </c>
      <c r="AQ234">
        <f>AP234&amp;IF($R234="","",", "&amp;$R234)</f>
        <v/>
      </c>
      <c r="AR234">
        <f>AQ234&amp;IF($S234="","",", "&amp;$S234)</f>
        <v/>
      </c>
      <c r="AS234">
        <f>AR234&amp;IF($T234="","",", "&amp;$T234)</f>
        <v/>
      </c>
      <c r="AT234">
        <f>AS234&amp;IF($U234="","",", "&amp;$U234)</f>
        <v/>
      </c>
      <c r="AU234">
        <f>AT234&amp;IF($V234="","",", "&amp;$V234)</f>
        <v/>
      </c>
      <c r="AV234">
        <f>AU234&amp;IF($W234="","",", "&amp;$W234)</f>
        <v/>
      </c>
      <c r="AW234">
        <f>AV234&amp;IF($X234="","",", "&amp;$X234)</f>
        <v/>
      </c>
      <c r="AX234">
        <f>AW234&amp;IF($Y234="","",", "&amp;$Y234)</f>
        <v/>
      </c>
    </row>
    <row r="235">
      <c r="A235" s="118">
        <f>IF($B235="","",COUNT($B$5:$B235))</f>
        <v/>
      </c>
      <c r="B235" s="80" t="n"/>
      <c r="C235" s="80" t="n"/>
      <c r="D235" s="74" t="n"/>
      <c r="E235" s="74" t="n"/>
      <c r="F235" s="74" t="n"/>
      <c r="G235" s="118">
        <f>IF($F235="","",COUNTIF($F$5:$F235,$F235))</f>
        <v/>
      </c>
      <c r="H235" s="33">
        <f>IF($F235="","",IFERROR(INDEX(사건마스터!$B$5:$B$64,MATCH($F235,사건마스터!$A$5:$A$64,0)),""))</f>
        <v/>
      </c>
      <c r="I235" s="130">
        <f>IF($F235="","",IFERROR(INDEX(사건마스터!$C$5:$C$64,MATCH($F235,사건마스터!$A$5:$A$64,0)),""))</f>
        <v/>
      </c>
      <c r="J235" s="136">
        <f>IF($F235="","",IFERROR(INDEX(사건마스터!$H$5:$H$64,MATCH($F235,사건마스터!$A$5:$A$64,0)),""))</f>
        <v/>
      </c>
      <c r="K235" s="136">
        <f>IF($F235="","",IFERROR(INDEX(사건마스터!$AH$5:$AH$64,MATCH($F235,사건마스터!$A$5:$A$64,0)),""))</f>
        <v/>
      </c>
      <c r="L235" s="136">
        <f>IF($F235="","",IFERROR(INDEX(사건마스터!$AI$5:$AI$64,MATCH($F235,사건마스터!$A$5:$A$64,0)),""))</f>
        <v/>
      </c>
      <c r="M235" s="136">
        <f>IF($F235="","",IFERROR(INDEX(사건마스터!$AJ$5:$AJ$64,MATCH($F235,사건마스터!$A$5:$A$64,0)),""))</f>
        <v/>
      </c>
      <c r="N235" s="136">
        <f>IF($F235="","",IFERROR(INDEX(사건마스터!$AK$5:$AK$64,MATCH($F235,사건마스터!$A$5:$A$64,0)),""))</f>
        <v/>
      </c>
      <c r="O235" s="136">
        <f>IF($F235="","",IFERROR(INDEX(사건마스터!$AL$5:$AL$64,MATCH($F235,사건마스터!$A$5:$A$64,0)),""))</f>
        <v/>
      </c>
      <c r="P235" s="136">
        <f>IF($F235="","",IFERROR(INDEX(사건마스터!$AM$5:$AM$64,MATCH($F235,사건마스터!$A$5:$A$64,0)),""))</f>
        <v/>
      </c>
      <c r="Q235" s="136">
        <f>IF($F235="","",IFERROR(INDEX(사건마스터!$AN$5:$AN$64,MATCH($F235,사건마스터!$A$5:$A$64,0)),""))</f>
        <v/>
      </c>
      <c r="R235" s="136">
        <f>IF($F235="","",IFERROR(INDEX(사건마스터!$AO$5:$AO$64,MATCH($F235,사건마스터!$A$5:$A$64,0)),""))</f>
        <v/>
      </c>
      <c r="S235" s="136">
        <f>IF($F235="","",IFERROR(INDEX(사건마스터!$AP$5:$AP$64,MATCH($F235,사건마스터!$A$5:$A$64,0)),""))</f>
        <v/>
      </c>
      <c r="T235" s="136">
        <f>IF($F235="","",IFERROR(INDEX(사건마스터!$AQ$5:$AQ$64,MATCH($F235,사건마스터!$A$5:$A$64,0)),""))</f>
        <v/>
      </c>
      <c r="U235" s="136">
        <f>IF($F235="","",IFERROR(INDEX(사건마스터!$AR$5:$AR$64,MATCH($F235,사건마스터!$A$5:$A$64,0)),""))</f>
        <v/>
      </c>
      <c r="V235" s="136">
        <f>IF($F235="","",IFERROR(INDEX(사건마스터!$AS$5:$AS$64,MATCH($F235,사건마스터!$A$5:$A$64,0)),""))</f>
        <v/>
      </c>
      <c r="W235" s="136">
        <f>IF($F235="","",IFERROR(INDEX(사건마스터!$AT$5:$AT$64,MATCH($F235,사건마스터!$A$5:$A$64,0)),""))</f>
        <v/>
      </c>
      <c r="X235" s="136">
        <f>IF($F235="","",IFERROR(INDEX(사건마스터!$AU$5:$AU$64,MATCH($F235,사건마스터!$A$5:$A$64,0)),""))</f>
        <v/>
      </c>
      <c r="Y235" s="136">
        <f>IF($F235="","",IFERROR(INDEX(사건마스터!$AV$5:$AV$64,MATCH($F235,사건마스터!$A$5:$A$64,0)),""))</f>
        <v/>
      </c>
      <c r="Z235" s="118">
        <f>IF(COUNTBLANK($J235:$Y235)=16,"",16-COUNTBLANK($J235:$Y235))</f>
        <v/>
      </c>
      <c r="AA235" s="33">
        <f>IF($J235="",MID($AX235,3,255),$J235&amp;$AX235)</f>
        <v/>
      </c>
      <c r="AB235" s="130">
        <f>IF($J235="","",IFERROR(INDEX(코드설정!$D$5:$D$24,MATCH($J235,코드설정!$C$5:$C$24,0)),""))</f>
        <v/>
      </c>
      <c r="AC235" s="36" t="n"/>
      <c r="AD235" s="37" t="n"/>
      <c r="AE235" s="38" t="n"/>
      <c r="AF235" s="118">
        <f>IF(OR($B235="",$C235=""),"",$C235-$B235+1)</f>
        <v/>
      </c>
      <c r="AG235" s="74" t="n"/>
      <c r="AH235" s="36" t="n"/>
      <c r="AJ235">
        <f>IF($K235="","",", "&amp;$K235)</f>
        <v/>
      </c>
      <c r="AK235">
        <f>AJ235&amp;IF($L235="","",", "&amp;$L235)</f>
        <v/>
      </c>
      <c r="AL235">
        <f>AK235&amp;IF($M235="","",", "&amp;$M235)</f>
        <v/>
      </c>
      <c r="AM235">
        <f>AL235&amp;IF($N235="","",", "&amp;$N235)</f>
        <v/>
      </c>
      <c r="AN235">
        <f>AM235&amp;IF($O235="","",", "&amp;$O235)</f>
        <v/>
      </c>
      <c r="AO235">
        <f>AN235&amp;IF($P235="","",", "&amp;$P235)</f>
        <v/>
      </c>
      <c r="AP235">
        <f>AO235&amp;IF($Q235="","",", "&amp;$Q235)</f>
        <v/>
      </c>
      <c r="AQ235">
        <f>AP235&amp;IF($R235="","",", "&amp;$R235)</f>
        <v/>
      </c>
      <c r="AR235">
        <f>AQ235&amp;IF($S235="","",", "&amp;$S235)</f>
        <v/>
      </c>
      <c r="AS235">
        <f>AR235&amp;IF($T235="","",", "&amp;$T235)</f>
        <v/>
      </c>
      <c r="AT235">
        <f>AS235&amp;IF($U235="","",", "&amp;$U235)</f>
        <v/>
      </c>
      <c r="AU235">
        <f>AT235&amp;IF($V235="","",", "&amp;$V235)</f>
        <v/>
      </c>
      <c r="AV235">
        <f>AU235&amp;IF($W235="","",", "&amp;$W235)</f>
        <v/>
      </c>
      <c r="AW235">
        <f>AV235&amp;IF($X235="","",", "&amp;$X235)</f>
        <v/>
      </c>
      <c r="AX235">
        <f>AW235&amp;IF($Y235="","",", "&amp;$Y235)</f>
        <v/>
      </c>
    </row>
    <row r="236">
      <c r="A236" s="118">
        <f>IF($B236="","",COUNT($B$5:$B236))</f>
        <v/>
      </c>
      <c r="B236" s="80" t="n"/>
      <c r="C236" s="80" t="n"/>
      <c r="D236" s="74" t="n"/>
      <c r="E236" s="74" t="n"/>
      <c r="F236" s="74" t="n"/>
      <c r="G236" s="118">
        <f>IF($F236="","",COUNTIF($F$5:$F236,$F236))</f>
        <v/>
      </c>
      <c r="H236" s="33">
        <f>IF($F236="","",IFERROR(INDEX(사건마스터!$B$5:$B$64,MATCH($F236,사건마스터!$A$5:$A$64,0)),""))</f>
        <v/>
      </c>
      <c r="I236" s="130">
        <f>IF($F236="","",IFERROR(INDEX(사건마스터!$C$5:$C$64,MATCH($F236,사건마스터!$A$5:$A$64,0)),""))</f>
        <v/>
      </c>
      <c r="J236" s="136">
        <f>IF($F236="","",IFERROR(INDEX(사건마스터!$H$5:$H$64,MATCH($F236,사건마스터!$A$5:$A$64,0)),""))</f>
        <v/>
      </c>
      <c r="K236" s="136">
        <f>IF($F236="","",IFERROR(INDEX(사건마스터!$AH$5:$AH$64,MATCH($F236,사건마스터!$A$5:$A$64,0)),""))</f>
        <v/>
      </c>
      <c r="L236" s="136">
        <f>IF($F236="","",IFERROR(INDEX(사건마스터!$AI$5:$AI$64,MATCH($F236,사건마스터!$A$5:$A$64,0)),""))</f>
        <v/>
      </c>
      <c r="M236" s="136">
        <f>IF($F236="","",IFERROR(INDEX(사건마스터!$AJ$5:$AJ$64,MATCH($F236,사건마스터!$A$5:$A$64,0)),""))</f>
        <v/>
      </c>
      <c r="N236" s="136">
        <f>IF($F236="","",IFERROR(INDEX(사건마스터!$AK$5:$AK$64,MATCH($F236,사건마스터!$A$5:$A$64,0)),""))</f>
        <v/>
      </c>
      <c r="O236" s="136">
        <f>IF($F236="","",IFERROR(INDEX(사건마스터!$AL$5:$AL$64,MATCH($F236,사건마스터!$A$5:$A$64,0)),""))</f>
        <v/>
      </c>
      <c r="P236" s="136">
        <f>IF($F236="","",IFERROR(INDEX(사건마스터!$AM$5:$AM$64,MATCH($F236,사건마스터!$A$5:$A$64,0)),""))</f>
        <v/>
      </c>
      <c r="Q236" s="136">
        <f>IF($F236="","",IFERROR(INDEX(사건마스터!$AN$5:$AN$64,MATCH($F236,사건마스터!$A$5:$A$64,0)),""))</f>
        <v/>
      </c>
      <c r="R236" s="136">
        <f>IF($F236="","",IFERROR(INDEX(사건마스터!$AO$5:$AO$64,MATCH($F236,사건마스터!$A$5:$A$64,0)),""))</f>
        <v/>
      </c>
      <c r="S236" s="136">
        <f>IF($F236="","",IFERROR(INDEX(사건마스터!$AP$5:$AP$64,MATCH($F236,사건마스터!$A$5:$A$64,0)),""))</f>
        <v/>
      </c>
      <c r="T236" s="136">
        <f>IF($F236="","",IFERROR(INDEX(사건마스터!$AQ$5:$AQ$64,MATCH($F236,사건마스터!$A$5:$A$64,0)),""))</f>
        <v/>
      </c>
      <c r="U236" s="136">
        <f>IF($F236="","",IFERROR(INDEX(사건마스터!$AR$5:$AR$64,MATCH($F236,사건마스터!$A$5:$A$64,0)),""))</f>
        <v/>
      </c>
      <c r="V236" s="136">
        <f>IF($F236="","",IFERROR(INDEX(사건마스터!$AS$5:$AS$64,MATCH($F236,사건마스터!$A$5:$A$64,0)),""))</f>
        <v/>
      </c>
      <c r="W236" s="136">
        <f>IF($F236="","",IFERROR(INDEX(사건마스터!$AT$5:$AT$64,MATCH($F236,사건마스터!$A$5:$A$64,0)),""))</f>
        <v/>
      </c>
      <c r="X236" s="136">
        <f>IF($F236="","",IFERROR(INDEX(사건마스터!$AU$5:$AU$64,MATCH($F236,사건마스터!$A$5:$A$64,0)),""))</f>
        <v/>
      </c>
      <c r="Y236" s="136">
        <f>IF($F236="","",IFERROR(INDEX(사건마스터!$AV$5:$AV$64,MATCH($F236,사건마스터!$A$5:$A$64,0)),""))</f>
        <v/>
      </c>
      <c r="Z236" s="118">
        <f>IF(COUNTBLANK($J236:$Y236)=16,"",16-COUNTBLANK($J236:$Y236))</f>
        <v/>
      </c>
      <c r="AA236" s="33">
        <f>IF($J236="",MID($AX236,3,255),$J236&amp;$AX236)</f>
        <v/>
      </c>
      <c r="AB236" s="130">
        <f>IF($J236="","",IFERROR(INDEX(코드설정!$D$5:$D$24,MATCH($J236,코드설정!$C$5:$C$24,0)),""))</f>
        <v/>
      </c>
      <c r="AC236" s="36" t="n"/>
      <c r="AD236" s="37" t="n"/>
      <c r="AE236" s="38" t="n"/>
      <c r="AF236" s="118">
        <f>IF(OR($B236="",$C236=""),"",$C236-$B236+1)</f>
        <v/>
      </c>
      <c r="AG236" s="74" t="n"/>
      <c r="AH236" s="36" t="n"/>
      <c r="AJ236">
        <f>IF($K236="","",", "&amp;$K236)</f>
        <v/>
      </c>
      <c r="AK236">
        <f>AJ236&amp;IF($L236="","",", "&amp;$L236)</f>
        <v/>
      </c>
      <c r="AL236">
        <f>AK236&amp;IF($M236="","",", "&amp;$M236)</f>
        <v/>
      </c>
      <c r="AM236">
        <f>AL236&amp;IF($N236="","",", "&amp;$N236)</f>
        <v/>
      </c>
      <c r="AN236">
        <f>AM236&amp;IF($O236="","",", "&amp;$O236)</f>
        <v/>
      </c>
      <c r="AO236">
        <f>AN236&amp;IF($P236="","",", "&amp;$P236)</f>
        <v/>
      </c>
      <c r="AP236">
        <f>AO236&amp;IF($Q236="","",", "&amp;$Q236)</f>
        <v/>
      </c>
      <c r="AQ236">
        <f>AP236&amp;IF($R236="","",", "&amp;$R236)</f>
        <v/>
      </c>
      <c r="AR236">
        <f>AQ236&amp;IF($S236="","",", "&amp;$S236)</f>
        <v/>
      </c>
      <c r="AS236">
        <f>AR236&amp;IF($T236="","",", "&amp;$T236)</f>
        <v/>
      </c>
      <c r="AT236">
        <f>AS236&amp;IF($U236="","",", "&amp;$U236)</f>
        <v/>
      </c>
      <c r="AU236">
        <f>AT236&amp;IF($V236="","",", "&amp;$V236)</f>
        <v/>
      </c>
      <c r="AV236">
        <f>AU236&amp;IF($W236="","",", "&amp;$W236)</f>
        <v/>
      </c>
      <c r="AW236">
        <f>AV236&amp;IF($X236="","",", "&amp;$X236)</f>
        <v/>
      </c>
      <c r="AX236">
        <f>AW236&amp;IF($Y236="","",", "&amp;$Y236)</f>
        <v/>
      </c>
    </row>
    <row r="237">
      <c r="A237" s="118">
        <f>IF($B237="","",COUNT($B$5:$B237))</f>
        <v/>
      </c>
      <c r="B237" s="80" t="n"/>
      <c r="C237" s="80" t="n"/>
      <c r="D237" s="74" t="n"/>
      <c r="E237" s="74" t="n"/>
      <c r="F237" s="74" t="n"/>
      <c r="G237" s="118">
        <f>IF($F237="","",COUNTIF($F$5:$F237,$F237))</f>
        <v/>
      </c>
      <c r="H237" s="33">
        <f>IF($F237="","",IFERROR(INDEX(사건마스터!$B$5:$B$64,MATCH($F237,사건마스터!$A$5:$A$64,0)),""))</f>
        <v/>
      </c>
      <c r="I237" s="130">
        <f>IF($F237="","",IFERROR(INDEX(사건마스터!$C$5:$C$64,MATCH($F237,사건마스터!$A$5:$A$64,0)),""))</f>
        <v/>
      </c>
      <c r="J237" s="136">
        <f>IF($F237="","",IFERROR(INDEX(사건마스터!$H$5:$H$64,MATCH($F237,사건마스터!$A$5:$A$64,0)),""))</f>
        <v/>
      </c>
      <c r="K237" s="136">
        <f>IF($F237="","",IFERROR(INDEX(사건마스터!$AH$5:$AH$64,MATCH($F237,사건마스터!$A$5:$A$64,0)),""))</f>
        <v/>
      </c>
      <c r="L237" s="136">
        <f>IF($F237="","",IFERROR(INDEX(사건마스터!$AI$5:$AI$64,MATCH($F237,사건마스터!$A$5:$A$64,0)),""))</f>
        <v/>
      </c>
      <c r="M237" s="136">
        <f>IF($F237="","",IFERROR(INDEX(사건마스터!$AJ$5:$AJ$64,MATCH($F237,사건마스터!$A$5:$A$64,0)),""))</f>
        <v/>
      </c>
      <c r="N237" s="136">
        <f>IF($F237="","",IFERROR(INDEX(사건마스터!$AK$5:$AK$64,MATCH($F237,사건마스터!$A$5:$A$64,0)),""))</f>
        <v/>
      </c>
      <c r="O237" s="136">
        <f>IF($F237="","",IFERROR(INDEX(사건마스터!$AL$5:$AL$64,MATCH($F237,사건마스터!$A$5:$A$64,0)),""))</f>
        <v/>
      </c>
      <c r="P237" s="136">
        <f>IF($F237="","",IFERROR(INDEX(사건마스터!$AM$5:$AM$64,MATCH($F237,사건마스터!$A$5:$A$64,0)),""))</f>
        <v/>
      </c>
      <c r="Q237" s="136">
        <f>IF($F237="","",IFERROR(INDEX(사건마스터!$AN$5:$AN$64,MATCH($F237,사건마스터!$A$5:$A$64,0)),""))</f>
        <v/>
      </c>
      <c r="R237" s="136">
        <f>IF($F237="","",IFERROR(INDEX(사건마스터!$AO$5:$AO$64,MATCH($F237,사건마스터!$A$5:$A$64,0)),""))</f>
        <v/>
      </c>
      <c r="S237" s="136">
        <f>IF($F237="","",IFERROR(INDEX(사건마스터!$AP$5:$AP$64,MATCH($F237,사건마스터!$A$5:$A$64,0)),""))</f>
        <v/>
      </c>
      <c r="T237" s="136">
        <f>IF($F237="","",IFERROR(INDEX(사건마스터!$AQ$5:$AQ$64,MATCH($F237,사건마스터!$A$5:$A$64,0)),""))</f>
        <v/>
      </c>
      <c r="U237" s="136">
        <f>IF($F237="","",IFERROR(INDEX(사건마스터!$AR$5:$AR$64,MATCH($F237,사건마스터!$A$5:$A$64,0)),""))</f>
        <v/>
      </c>
      <c r="V237" s="136">
        <f>IF($F237="","",IFERROR(INDEX(사건마스터!$AS$5:$AS$64,MATCH($F237,사건마스터!$A$5:$A$64,0)),""))</f>
        <v/>
      </c>
      <c r="W237" s="136">
        <f>IF($F237="","",IFERROR(INDEX(사건마스터!$AT$5:$AT$64,MATCH($F237,사건마스터!$A$5:$A$64,0)),""))</f>
        <v/>
      </c>
      <c r="X237" s="136">
        <f>IF($F237="","",IFERROR(INDEX(사건마스터!$AU$5:$AU$64,MATCH($F237,사건마스터!$A$5:$A$64,0)),""))</f>
        <v/>
      </c>
      <c r="Y237" s="136">
        <f>IF($F237="","",IFERROR(INDEX(사건마스터!$AV$5:$AV$64,MATCH($F237,사건마스터!$A$5:$A$64,0)),""))</f>
        <v/>
      </c>
      <c r="Z237" s="118">
        <f>IF(COUNTBLANK($J237:$Y237)=16,"",16-COUNTBLANK($J237:$Y237))</f>
        <v/>
      </c>
      <c r="AA237" s="33">
        <f>IF($J237="",MID($AX237,3,255),$J237&amp;$AX237)</f>
        <v/>
      </c>
      <c r="AB237" s="130">
        <f>IF($J237="","",IFERROR(INDEX(코드설정!$D$5:$D$24,MATCH($J237,코드설정!$C$5:$C$24,0)),""))</f>
        <v/>
      </c>
      <c r="AC237" s="36" t="n"/>
      <c r="AD237" s="37" t="n"/>
      <c r="AE237" s="38" t="n"/>
      <c r="AF237" s="118">
        <f>IF(OR($B237="",$C237=""),"",$C237-$B237+1)</f>
        <v/>
      </c>
      <c r="AG237" s="74" t="n"/>
      <c r="AH237" s="36" t="n"/>
      <c r="AJ237">
        <f>IF($K237="","",", "&amp;$K237)</f>
        <v/>
      </c>
      <c r="AK237">
        <f>AJ237&amp;IF($L237="","",", "&amp;$L237)</f>
        <v/>
      </c>
      <c r="AL237">
        <f>AK237&amp;IF($M237="","",", "&amp;$M237)</f>
        <v/>
      </c>
      <c r="AM237">
        <f>AL237&amp;IF($N237="","",", "&amp;$N237)</f>
        <v/>
      </c>
      <c r="AN237">
        <f>AM237&amp;IF($O237="","",", "&amp;$O237)</f>
        <v/>
      </c>
      <c r="AO237">
        <f>AN237&amp;IF($P237="","",", "&amp;$P237)</f>
        <v/>
      </c>
      <c r="AP237">
        <f>AO237&amp;IF($Q237="","",", "&amp;$Q237)</f>
        <v/>
      </c>
      <c r="AQ237">
        <f>AP237&amp;IF($R237="","",", "&amp;$R237)</f>
        <v/>
      </c>
      <c r="AR237">
        <f>AQ237&amp;IF($S237="","",", "&amp;$S237)</f>
        <v/>
      </c>
      <c r="AS237">
        <f>AR237&amp;IF($T237="","",", "&amp;$T237)</f>
        <v/>
      </c>
      <c r="AT237">
        <f>AS237&amp;IF($U237="","",", "&amp;$U237)</f>
        <v/>
      </c>
      <c r="AU237">
        <f>AT237&amp;IF($V237="","",", "&amp;$V237)</f>
        <v/>
      </c>
      <c r="AV237">
        <f>AU237&amp;IF($W237="","",", "&amp;$W237)</f>
        <v/>
      </c>
      <c r="AW237">
        <f>AV237&amp;IF($X237="","",", "&amp;$X237)</f>
        <v/>
      </c>
      <c r="AX237">
        <f>AW237&amp;IF($Y237="","",", "&amp;$Y237)</f>
        <v/>
      </c>
    </row>
    <row r="238">
      <c r="A238" s="118">
        <f>IF($B238="","",COUNT($B$5:$B238))</f>
        <v/>
      </c>
      <c r="B238" s="80" t="n"/>
      <c r="C238" s="80" t="n"/>
      <c r="D238" s="74" t="n"/>
      <c r="E238" s="74" t="n"/>
      <c r="F238" s="74" t="n"/>
      <c r="G238" s="118">
        <f>IF($F238="","",COUNTIF($F$5:$F238,$F238))</f>
        <v/>
      </c>
      <c r="H238" s="33">
        <f>IF($F238="","",IFERROR(INDEX(사건마스터!$B$5:$B$64,MATCH($F238,사건마스터!$A$5:$A$64,0)),""))</f>
        <v/>
      </c>
      <c r="I238" s="130">
        <f>IF($F238="","",IFERROR(INDEX(사건마스터!$C$5:$C$64,MATCH($F238,사건마스터!$A$5:$A$64,0)),""))</f>
        <v/>
      </c>
      <c r="J238" s="136">
        <f>IF($F238="","",IFERROR(INDEX(사건마스터!$H$5:$H$64,MATCH($F238,사건마스터!$A$5:$A$64,0)),""))</f>
        <v/>
      </c>
      <c r="K238" s="136">
        <f>IF($F238="","",IFERROR(INDEX(사건마스터!$AH$5:$AH$64,MATCH($F238,사건마스터!$A$5:$A$64,0)),""))</f>
        <v/>
      </c>
      <c r="L238" s="136">
        <f>IF($F238="","",IFERROR(INDEX(사건마스터!$AI$5:$AI$64,MATCH($F238,사건마스터!$A$5:$A$64,0)),""))</f>
        <v/>
      </c>
      <c r="M238" s="136">
        <f>IF($F238="","",IFERROR(INDEX(사건마스터!$AJ$5:$AJ$64,MATCH($F238,사건마스터!$A$5:$A$64,0)),""))</f>
        <v/>
      </c>
      <c r="N238" s="136">
        <f>IF($F238="","",IFERROR(INDEX(사건마스터!$AK$5:$AK$64,MATCH($F238,사건마스터!$A$5:$A$64,0)),""))</f>
        <v/>
      </c>
      <c r="O238" s="136">
        <f>IF($F238="","",IFERROR(INDEX(사건마스터!$AL$5:$AL$64,MATCH($F238,사건마스터!$A$5:$A$64,0)),""))</f>
        <v/>
      </c>
      <c r="P238" s="136">
        <f>IF($F238="","",IFERROR(INDEX(사건마스터!$AM$5:$AM$64,MATCH($F238,사건마스터!$A$5:$A$64,0)),""))</f>
        <v/>
      </c>
      <c r="Q238" s="136">
        <f>IF($F238="","",IFERROR(INDEX(사건마스터!$AN$5:$AN$64,MATCH($F238,사건마스터!$A$5:$A$64,0)),""))</f>
        <v/>
      </c>
      <c r="R238" s="136">
        <f>IF($F238="","",IFERROR(INDEX(사건마스터!$AO$5:$AO$64,MATCH($F238,사건마스터!$A$5:$A$64,0)),""))</f>
        <v/>
      </c>
      <c r="S238" s="136">
        <f>IF($F238="","",IFERROR(INDEX(사건마스터!$AP$5:$AP$64,MATCH($F238,사건마스터!$A$5:$A$64,0)),""))</f>
        <v/>
      </c>
      <c r="T238" s="136">
        <f>IF($F238="","",IFERROR(INDEX(사건마스터!$AQ$5:$AQ$64,MATCH($F238,사건마스터!$A$5:$A$64,0)),""))</f>
        <v/>
      </c>
      <c r="U238" s="136">
        <f>IF($F238="","",IFERROR(INDEX(사건마스터!$AR$5:$AR$64,MATCH($F238,사건마스터!$A$5:$A$64,0)),""))</f>
        <v/>
      </c>
      <c r="V238" s="136">
        <f>IF($F238="","",IFERROR(INDEX(사건마스터!$AS$5:$AS$64,MATCH($F238,사건마스터!$A$5:$A$64,0)),""))</f>
        <v/>
      </c>
      <c r="W238" s="136">
        <f>IF($F238="","",IFERROR(INDEX(사건마스터!$AT$5:$AT$64,MATCH($F238,사건마스터!$A$5:$A$64,0)),""))</f>
        <v/>
      </c>
      <c r="X238" s="136">
        <f>IF($F238="","",IFERROR(INDEX(사건마스터!$AU$5:$AU$64,MATCH($F238,사건마스터!$A$5:$A$64,0)),""))</f>
        <v/>
      </c>
      <c r="Y238" s="136">
        <f>IF($F238="","",IFERROR(INDEX(사건마스터!$AV$5:$AV$64,MATCH($F238,사건마스터!$A$5:$A$64,0)),""))</f>
        <v/>
      </c>
      <c r="Z238" s="118">
        <f>IF(COUNTBLANK($J238:$Y238)=16,"",16-COUNTBLANK($J238:$Y238))</f>
        <v/>
      </c>
      <c r="AA238" s="33">
        <f>IF($J238="",MID($AX238,3,255),$J238&amp;$AX238)</f>
        <v/>
      </c>
      <c r="AB238" s="130">
        <f>IF($J238="","",IFERROR(INDEX(코드설정!$D$5:$D$24,MATCH($J238,코드설정!$C$5:$C$24,0)),""))</f>
        <v/>
      </c>
      <c r="AC238" s="36" t="n"/>
      <c r="AD238" s="37" t="n"/>
      <c r="AE238" s="38" t="n"/>
      <c r="AF238" s="118">
        <f>IF(OR($B238="",$C238=""),"",$C238-$B238+1)</f>
        <v/>
      </c>
      <c r="AG238" s="74" t="n"/>
      <c r="AH238" s="36" t="n"/>
      <c r="AJ238">
        <f>IF($K238="","",", "&amp;$K238)</f>
        <v/>
      </c>
      <c r="AK238">
        <f>AJ238&amp;IF($L238="","",", "&amp;$L238)</f>
        <v/>
      </c>
      <c r="AL238">
        <f>AK238&amp;IF($M238="","",", "&amp;$M238)</f>
        <v/>
      </c>
      <c r="AM238">
        <f>AL238&amp;IF($N238="","",", "&amp;$N238)</f>
        <v/>
      </c>
      <c r="AN238">
        <f>AM238&amp;IF($O238="","",", "&amp;$O238)</f>
        <v/>
      </c>
      <c r="AO238">
        <f>AN238&amp;IF($P238="","",", "&amp;$P238)</f>
        <v/>
      </c>
      <c r="AP238">
        <f>AO238&amp;IF($Q238="","",", "&amp;$Q238)</f>
        <v/>
      </c>
      <c r="AQ238">
        <f>AP238&amp;IF($R238="","",", "&amp;$R238)</f>
        <v/>
      </c>
      <c r="AR238">
        <f>AQ238&amp;IF($S238="","",", "&amp;$S238)</f>
        <v/>
      </c>
      <c r="AS238">
        <f>AR238&amp;IF($T238="","",", "&amp;$T238)</f>
        <v/>
      </c>
      <c r="AT238">
        <f>AS238&amp;IF($U238="","",", "&amp;$U238)</f>
        <v/>
      </c>
      <c r="AU238">
        <f>AT238&amp;IF($V238="","",", "&amp;$V238)</f>
        <v/>
      </c>
      <c r="AV238">
        <f>AU238&amp;IF($W238="","",", "&amp;$W238)</f>
        <v/>
      </c>
      <c r="AW238">
        <f>AV238&amp;IF($X238="","",", "&amp;$X238)</f>
        <v/>
      </c>
      <c r="AX238">
        <f>AW238&amp;IF($Y238="","",", "&amp;$Y238)</f>
        <v/>
      </c>
    </row>
    <row r="239">
      <c r="A239" s="118">
        <f>IF($B239="","",COUNT($B$5:$B239))</f>
        <v/>
      </c>
      <c r="B239" s="80" t="n"/>
      <c r="C239" s="80" t="n"/>
      <c r="D239" s="74" t="n"/>
      <c r="E239" s="74" t="n"/>
      <c r="F239" s="74" t="n"/>
      <c r="G239" s="118">
        <f>IF($F239="","",COUNTIF($F$5:$F239,$F239))</f>
        <v/>
      </c>
      <c r="H239" s="33">
        <f>IF($F239="","",IFERROR(INDEX(사건마스터!$B$5:$B$64,MATCH($F239,사건마스터!$A$5:$A$64,0)),""))</f>
        <v/>
      </c>
      <c r="I239" s="130">
        <f>IF($F239="","",IFERROR(INDEX(사건마스터!$C$5:$C$64,MATCH($F239,사건마스터!$A$5:$A$64,0)),""))</f>
        <v/>
      </c>
      <c r="J239" s="136">
        <f>IF($F239="","",IFERROR(INDEX(사건마스터!$H$5:$H$64,MATCH($F239,사건마스터!$A$5:$A$64,0)),""))</f>
        <v/>
      </c>
      <c r="K239" s="136">
        <f>IF($F239="","",IFERROR(INDEX(사건마스터!$AH$5:$AH$64,MATCH($F239,사건마스터!$A$5:$A$64,0)),""))</f>
        <v/>
      </c>
      <c r="L239" s="136">
        <f>IF($F239="","",IFERROR(INDEX(사건마스터!$AI$5:$AI$64,MATCH($F239,사건마스터!$A$5:$A$64,0)),""))</f>
        <v/>
      </c>
      <c r="M239" s="136">
        <f>IF($F239="","",IFERROR(INDEX(사건마스터!$AJ$5:$AJ$64,MATCH($F239,사건마스터!$A$5:$A$64,0)),""))</f>
        <v/>
      </c>
      <c r="N239" s="136">
        <f>IF($F239="","",IFERROR(INDEX(사건마스터!$AK$5:$AK$64,MATCH($F239,사건마스터!$A$5:$A$64,0)),""))</f>
        <v/>
      </c>
      <c r="O239" s="136">
        <f>IF($F239="","",IFERROR(INDEX(사건마스터!$AL$5:$AL$64,MATCH($F239,사건마스터!$A$5:$A$64,0)),""))</f>
        <v/>
      </c>
      <c r="P239" s="136">
        <f>IF($F239="","",IFERROR(INDEX(사건마스터!$AM$5:$AM$64,MATCH($F239,사건마스터!$A$5:$A$64,0)),""))</f>
        <v/>
      </c>
      <c r="Q239" s="136">
        <f>IF($F239="","",IFERROR(INDEX(사건마스터!$AN$5:$AN$64,MATCH($F239,사건마스터!$A$5:$A$64,0)),""))</f>
        <v/>
      </c>
      <c r="R239" s="136">
        <f>IF($F239="","",IFERROR(INDEX(사건마스터!$AO$5:$AO$64,MATCH($F239,사건마스터!$A$5:$A$64,0)),""))</f>
        <v/>
      </c>
      <c r="S239" s="136">
        <f>IF($F239="","",IFERROR(INDEX(사건마스터!$AP$5:$AP$64,MATCH($F239,사건마스터!$A$5:$A$64,0)),""))</f>
        <v/>
      </c>
      <c r="T239" s="136">
        <f>IF($F239="","",IFERROR(INDEX(사건마스터!$AQ$5:$AQ$64,MATCH($F239,사건마스터!$A$5:$A$64,0)),""))</f>
        <v/>
      </c>
      <c r="U239" s="136">
        <f>IF($F239="","",IFERROR(INDEX(사건마스터!$AR$5:$AR$64,MATCH($F239,사건마스터!$A$5:$A$64,0)),""))</f>
        <v/>
      </c>
      <c r="V239" s="136">
        <f>IF($F239="","",IFERROR(INDEX(사건마스터!$AS$5:$AS$64,MATCH($F239,사건마스터!$A$5:$A$64,0)),""))</f>
        <v/>
      </c>
      <c r="W239" s="136">
        <f>IF($F239="","",IFERROR(INDEX(사건마스터!$AT$5:$AT$64,MATCH($F239,사건마스터!$A$5:$A$64,0)),""))</f>
        <v/>
      </c>
      <c r="X239" s="136">
        <f>IF($F239="","",IFERROR(INDEX(사건마스터!$AU$5:$AU$64,MATCH($F239,사건마스터!$A$5:$A$64,0)),""))</f>
        <v/>
      </c>
      <c r="Y239" s="136">
        <f>IF($F239="","",IFERROR(INDEX(사건마스터!$AV$5:$AV$64,MATCH($F239,사건마스터!$A$5:$A$64,0)),""))</f>
        <v/>
      </c>
      <c r="Z239" s="118">
        <f>IF(COUNTBLANK($J239:$Y239)=16,"",16-COUNTBLANK($J239:$Y239))</f>
        <v/>
      </c>
      <c r="AA239" s="33">
        <f>IF($J239="",MID($AX239,3,255),$J239&amp;$AX239)</f>
        <v/>
      </c>
      <c r="AB239" s="130">
        <f>IF($J239="","",IFERROR(INDEX(코드설정!$D$5:$D$24,MATCH($J239,코드설정!$C$5:$C$24,0)),""))</f>
        <v/>
      </c>
      <c r="AC239" s="36" t="n"/>
      <c r="AD239" s="37" t="n"/>
      <c r="AE239" s="38" t="n"/>
      <c r="AF239" s="118">
        <f>IF(OR($B239="",$C239=""),"",$C239-$B239+1)</f>
        <v/>
      </c>
      <c r="AG239" s="74" t="n"/>
      <c r="AH239" s="36" t="n"/>
      <c r="AJ239">
        <f>IF($K239="","",", "&amp;$K239)</f>
        <v/>
      </c>
      <c r="AK239">
        <f>AJ239&amp;IF($L239="","",", "&amp;$L239)</f>
        <v/>
      </c>
      <c r="AL239">
        <f>AK239&amp;IF($M239="","",", "&amp;$M239)</f>
        <v/>
      </c>
      <c r="AM239">
        <f>AL239&amp;IF($N239="","",", "&amp;$N239)</f>
        <v/>
      </c>
      <c r="AN239">
        <f>AM239&amp;IF($O239="","",", "&amp;$O239)</f>
        <v/>
      </c>
      <c r="AO239">
        <f>AN239&amp;IF($P239="","",", "&amp;$P239)</f>
        <v/>
      </c>
      <c r="AP239">
        <f>AO239&amp;IF($Q239="","",", "&amp;$Q239)</f>
        <v/>
      </c>
      <c r="AQ239">
        <f>AP239&amp;IF($R239="","",", "&amp;$R239)</f>
        <v/>
      </c>
      <c r="AR239">
        <f>AQ239&amp;IF($S239="","",", "&amp;$S239)</f>
        <v/>
      </c>
      <c r="AS239">
        <f>AR239&amp;IF($T239="","",", "&amp;$T239)</f>
        <v/>
      </c>
      <c r="AT239">
        <f>AS239&amp;IF($U239="","",", "&amp;$U239)</f>
        <v/>
      </c>
      <c r="AU239">
        <f>AT239&amp;IF($V239="","",", "&amp;$V239)</f>
        <v/>
      </c>
      <c r="AV239">
        <f>AU239&amp;IF($W239="","",", "&amp;$W239)</f>
        <v/>
      </c>
      <c r="AW239">
        <f>AV239&amp;IF($X239="","",", "&amp;$X239)</f>
        <v/>
      </c>
      <c r="AX239">
        <f>AW239&amp;IF($Y239="","",", "&amp;$Y239)</f>
        <v/>
      </c>
    </row>
    <row r="240">
      <c r="A240" s="118">
        <f>IF($B240="","",COUNT($B$5:$B240))</f>
        <v/>
      </c>
      <c r="B240" s="80" t="n"/>
      <c r="C240" s="80" t="n"/>
      <c r="D240" s="74" t="n"/>
      <c r="E240" s="74" t="n"/>
      <c r="F240" s="74" t="n"/>
      <c r="G240" s="118">
        <f>IF($F240="","",COUNTIF($F$5:$F240,$F240))</f>
        <v/>
      </c>
      <c r="H240" s="33">
        <f>IF($F240="","",IFERROR(INDEX(사건마스터!$B$5:$B$64,MATCH($F240,사건마스터!$A$5:$A$64,0)),""))</f>
        <v/>
      </c>
      <c r="I240" s="130">
        <f>IF($F240="","",IFERROR(INDEX(사건마스터!$C$5:$C$64,MATCH($F240,사건마스터!$A$5:$A$64,0)),""))</f>
        <v/>
      </c>
      <c r="J240" s="136">
        <f>IF($F240="","",IFERROR(INDEX(사건마스터!$H$5:$H$64,MATCH($F240,사건마스터!$A$5:$A$64,0)),""))</f>
        <v/>
      </c>
      <c r="K240" s="136">
        <f>IF($F240="","",IFERROR(INDEX(사건마스터!$AH$5:$AH$64,MATCH($F240,사건마스터!$A$5:$A$64,0)),""))</f>
        <v/>
      </c>
      <c r="L240" s="136">
        <f>IF($F240="","",IFERROR(INDEX(사건마스터!$AI$5:$AI$64,MATCH($F240,사건마스터!$A$5:$A$64,0)),""))</f>
        <v/>
      </c>
      <c r="M240" s="136">
        <f>IF($F240="","",IFERROR(INDEX(사건마스터!$AJ$5:$AJ$64,MATCH($F240,사건마스터!$A$5:$A$64,0)),""))</f>
        <v/>
      </c>
      <c r="N240" s="136">
        <f>IF($F240="","",IFERROR(INDEX(사건마스터!$AK$5:$AK$64,MATCH($F240,사건마스터!$A$5:$A$64,0)),""))</f>
        <v/>
      </c>
      <c r="O240" s="136">
        <f>IF($F240="","",IFERROR(INDEX(사건마스터!$AL$5:$AL$64,MATCH($F240,사건마스터!$A$5:$A$64,0)),""))</f>
        <v/>
      </c>
      <c r="P240" s="136">
        <f>IF($F240="","",IFERROR(INDEX(사건마스터!$AM$5:$AM$64,MATCH($F240,사건마스터!$A$5:$A$64,0)),""))</f>
        <v/>
      </c>
      <c r="Q240" s="136">
        <f>IF($F240="","",IFERROR(INDEX(사건마스터!$AN$5:$AN$64,MATCH($F240,사건마스터!$A$5:$A$64,0)),""))</f>
        <v/>
      </c>
      <c r="R240" s="136">
        <f>IF($F240="","",IFERROR(INDEX(사건마스터!$AO$5:$AO$64,MATCH($F240,사건마스터!$A$5:$A$64,0)),""))</f>
        <v/>
      </c>
      <c r="S240" s="136">
        <f>IF($F240="","",IFERROR(INDEX(사건마스터!$AP$5:$AP$64,MATCH($F240,사건마스터!$A$5:$A$64,0)),""))</f>
        <v/>
      </c>
      <c r="T240" s="136">
        <f>IF($F240="","",IFERROR(INDEX(사건마스터!$AQ$5:$AQ$64,MATCH($F240,사건마스터!$A$5:$A$64,0)),""))</f>
        <v/>
      </c>
      <c r="U240" s="136">
        <f>IF($F240="","",IFERROR(INDEX(사건마스터!$AR$5:$AR$64,MATCH($F240,사건마스터!$A$5:$A$64,0)),""))</f>
        <v/>
      </c>
      <c r="V240" s="136">
        <f>IF($F240="","",IFERROR(INDEX(사건마스터!$AS$5:$AS$64,MATCH($F240,사건마스터!$A$5:$A$64,0)),""))</f>
        <v/>
      </c>
      <c r="W240" s="136">
        <f>IF($F240="","",IFERROR(INDEX(사건마스터!$AT$5:$AT$64,MATCH($F240,사건마스터!$A$5:$A$64,0)),""))</f>
        <v/>
      </c>
      <c r="X240" s="136">
        <f>IF($F240="","",IFERROR(INDEX(사건마스터!$AU$5:$AU$64,MATCH($F240,사건마스터!$A$5:$A$64,0)),""))</f>
        <v/>
      </c>
      <c r="Y240" s="136">
        <f>IF($F240="","",IFERROR(INDEX(사건마스터!$AV$5:$AV$64,MATCH($F240,사건마스터!$A$5:$A$64,0)),""))</f>
        <v/>
      </c>
      <c r="Z240" s="118">
        <f>IF(COUNTBLANK($J240:$Y240)=16,"",16-COUNTBLANK($J240:$Y240))</f>
        <v/>
      </c>
      <c r="AA240" s="33">
        <f>IF($J240="",MID($AX240,3,255),$J240&amp;$AX240)</f>
        <v/>
      </c>
      <c r="AB240" s="130">
        <f>IF($J240="","",IFERROR(INDEX(코드설정!$D$5:$D$24,MATCH($J240,코드설정!$C$5:$C$24,0)),""))</f>
        <v/>
      </c>
      <c r="AC240" s="36" t="n"/>
      <c r="AD240" s="37" t="n"/>
      <c r="AE240" s="38" t="n"/>
      <c r="AF240" s="118">
        <f>IF(OR($B240="",$C240=""),"",$C240-$B240+1)</f>
        <v/>
      </c>
      <c r="AG240" s="74" t="n"/>
      <c r="AH240" s="36" t="n"/>
      <c r="AJ240">
        <f>IF($K240="","",", "&amp;$K240)</f>
        <v/>
      </c>
      <c r="AK240">
        <f>AJ240&amp;IF($L240="","",", "&amp;$L240)</f>
        <v/>
      </c>
      <c r="AL240">
        <f>AK240&amp;IF($M240="","",", "&amp;$M240)</f>
        <v/>
      </c>
      <c r="AM240">
        <f>AL240&amp;IF($N240="","",", "&amp;$N240)</f>
        <v/>
      </c>
      <c r="AN240">
        <f>AM240&amp;IF($O240="","",", "&amp;$O240)</f>
        <v/>
      </c>
      <c r="AO240">
        <f>AN240&amp;IF($P240="","",", "&amp;$P240)</f>
        <v/>
      </c>
      <c r="AP240">
        <f>AO240&amp;IF($Q240="","",", "&amp;$Q240)</f>
        <v/>
      </c>
      <c r="AQ240">
        <f>AP240&amp;IF($R240="","",", "&amp;$R240)</f>
        <v/>
      </c>
      <c r="AR240">
        <f>AQ240&amp;IF($S240="","",", "&amp;$S240)</f>
        <v/>
      </c>
      <c r="AS240">
        <f>AR240&amp;IF($T240="","",", "&amp;$T240)</f>
        <v/>
      </c>
      <c r="AT240">
        <f>AS240&amp;IF($U240="","",", "&amp;$U240)</f>
        <v/>
      </c>
      <c r="AU240">
        <f>AT240&amp;IF($V240="","",", "&amp;$V240)</f>
        <v/>
      </c>
      <c r="AV240">
        <f>AU240&amp;IF($W240="","",", "&amp;$W240)</f>
        <v/>
      </c>
      <c r="AW240">
        <f>AV240&amp;IF($X240="","",", "&amp;$X240)</f>
        <v/>
      </c>
      <c r="AX240">
        <f>AW240&amp;IF($Y240="","",", "&amp;$Y240)</f>
        <v/>
      </c>
    </row>
    <row r="241">
      <c r="A241" s="118">
        <f>IF($B241="","",COUNT($B$5:$B241))</f>
        <v/>
      </c>
      <c r="B241" s="80" t="n"/>
      <c r="C241" s="80" t="n"/>
      <c r="D241" s="74" t="n"/>
      <c r="E241" s="74" t="n"/>
      <c r="F241" s="74" t="n"/>
      <c r="G241" s="118">
        <f>IF($F241="","",COUNTIF($F$5:$F241,$F241))</f>
        <v/>
      </c>
      <c r="H241" s="33">
        <f>IF($F241="","",IFERROR(INDEX(사건마스터!$B$5:$B$64,MATCH($F241,사건마스터!$A$5:$A$64,0)),""))</f>
        <v/>
      </c>
      <c r="I241" s="130">
        <f>IF($F241="","",IFERROR(INDEX(사건마스터!$C$5:$C$64,MATCH($F241,사건마스터!$A$5:$A$64,0)),""))</f>
        <v/>
      </c>
      <c r="J241" s="136">
        <f>IF($F241="","",IFERROR(INDEX(사건마스터!$H$5:$H$64,MATCH($F241,사건마스터!$A$5:$A$64,0)),""))</f>
        <v/>
      </c>
      <c r="K241" s="136">
        <f>IF($F241="","",IFERROR(INDEX(사건마스터!$AH$5:$AH$64,MATCH($F241,사건마스터!$A$5:$A$64,0)),""))</f>
        <v/>
      </c>
      <c r="L241" s="136">
        <f>IF($F241="","",IFERROR(INDEX(사건마스터!$AI$5:$AI$64,MATCH($F241,사건마스터!$A$5:$A$64,0)),""))</f>
        <v/>
      </c>
      <c r="M241" s="136">
        <f>IF($F241="","",IFERROR(INDEX(사건마스터!$AJ$5:$AJ$64,MATCH($F241,사건마스터!$A$5:$A$64,0)),""))</f>
        <v/>
      </c>
      <c r="N241" s="136">
        <f>IF($F241="","",IFERROR(INDEX(사건마스터!$AK$5:$AK$64,MATCH($F241,사건마스터!$A$5:$A$64,0)),""))</f>
        <v/>
      </c>
      <c r="O241" s="136">
        <f>IF($F241="","",IFERROR(INDEX(사건마스터!$AL$5:$AL$64,MATCH($F241,사건마스터!$A$5:$A$64,0)),""))</f>
        <v/>
      </c>
      <c r="P241" s="136">
        <f>IF($F241="","",IFERROR(INDEX(사건마스터!$AM$5:$AM$64,MATCH($F241,사건마스터!$A$5:$A$64,0)),""))</f>
        <v/>
      </c>
      <c r="Q241" s="136">
        <f>IF($F241="","",IFERROR(INDEX(사건마스터!$AN$5:$AN$64,MATCH($F241,사건마스터!$A$5:$A$64,0)),""))</f>
        <v/>
      </c>
      <c r="R241" s="136">
        <f>IF($F241="","",IFERROR(INDEX(사건마스터!$AO$5:$AO$64,MATCH($F241,사건마스터!$A$5:$A$64,0)),""))</f>
        <v/>
      </c>
      <c r="S241" s="136">
        <f>IF($F241="","",IFERROR(INDEX(사건마스터!$AP$5:$AP$64,MATCH($F241,사건마스터!$A$5:$A$64,0)),""))</f>
        <v/>
      </c>
      <c r="T241" s="136">
        <f>IF($F241="","",IFERROR(INDEX(사건마스터!$AQ$5:$AQ$64,MATCH($F241,사건마스터!$A$5:$A$64,0)),""))</f>
        <v/>
      </c>
      <c r="U241" s="136">
        <f>IF($F241="","",IFERROR(INDEX(사건마스터!$AR$5:$AR$64,MATCH($F241,사건마스터!$A$5:$A$64,0)),""))</f>
        <v/>
      </c>
      <c r="V241" s="136">
        <f>IF($F241="","",IFERROR(INDEX(사건마스터!$AS$5:$AS$64,MATCH($F241,사건마스터!$A$5:$A$64,0)),""))</f>
        <v/>
      </c>
      <c r="W241" s="136">
        <f>IF($F241="","",IFERROR(INDEX(사건마스터!$AT$5:$AT$64,MATCH($F241,사건마스터!$A$5:$A$64,0)),""))</f>
        <v/>
      </c>
      <c r="X241" s="136">
        <f>IF($F241="","",IFERROR(INDEX(사건마스터!$AU$5:$AU$64,MATCH($F241,사건마스터!$A$5:$A$64,0)),""))</f>
        <v/>
      </c>
      <c r="Y241" s="136">
        <f>IF($F241="","",IFERROR(INDEX(사건마스터!$AV$5:$AV$64,MATCH($F241,사건마스터!$A$5:$A$64,0)),""))</f>
        <v/>
      </c>
      <c r="Z241" s="118">
        <f>IF(COUNTBLANK($J241:$Y241)=16,"",16-COUNTBLANK($J241:$Y241))</f>
        <v/>
      </c>
      <c r="AA241" s="33">
        <f>IF($J241="",MID($AX241,3,255),$J241&amp;$AX241)</f>
        <v/>
      </c>
      <c r="AB241" s="130">
        <f>IF($J241="","",IFERROR(INDEX(코드설정!$D$5:$D$24,MATCH($J241,코드설정!$C$5:$C$24,0)),""))</f>
        <v/>
      </c>
      <c r="AC241" s="36" t="n"/>
      <c r="AD241" s="37" t="n"/>
      <c r="AE241" s="38" t="n"/>
      <c r="AF241" s="118">
        <f>IF(OR($B241="",$C241=""),"",$C241-$B241+1)</f>
        <v/>
      </c>
      <c r="AG241" s="74" t="n"/>
      <c r="AH241" s="36" t="n"/>
      <c r="AJ241">
        <f>IF($K241="","",", "&amp;$K241)</f>
        <v/>
      </c>
      <c r="AK241">
        <f>AJ241&amp;IF($L241="","",", "&amp;$L241)</f>
        <v/>
      </c>
      <c r="AL241">
        <f>AK241&amp;IF($M241="","",", "&amp;$M241)</f>
        <v/>
      </c>
      <c r="AM241">
        <f>AL241&amp;IF($N241="","",", "&amp;$N241)</f>
        <v/>
      </c>
      <c r="AN241">
        <f>AM241&amp;IF($O241="","",", "&amp;$O241)</f>
        <v/>
      </c>
      <c r="AO241">
        <f>AN241&amp;IF($P241="","",", "&amp;$P241)</f>
        <v/>
      </c>
      <c r="AP241">
        <f>AO241&amp;IF($Q241="","",", "&amp;$Q241)</f>
        <v/>
      </c>
      <c r="AQ241">
        <f>AP241&amp;IF($R241="","",", "&amp;$R241)</f>
        <v/>
      </c>
      <c r="AR241">
        <f>AQ241&amp;IF($S241="","",", "&amp;$S241)</f>
        <v/>
      </c>
      <c r="AS241">
        <f>AR241&amp;IF($T241="","",", "&amp;$T241)</f>
        <v/>
      </c>
      <c r="AT241">
        <f>AS241&amp;IF($U241="","",", "&amp;$U241)</f>
        <v/>
      </c>
      <c r="AU241">
        <f>AT241&amp;IF($V241="","",", "&amp;$V241)</f>
        <v/>
      </c>
      <c r="AV241">
        <f>AU241&amp;IF($W241="","",", "&amp;$W241)</f>
        <v/>
      </c>
      <c r="AW241">
        <f>AV241&amp;IF($X241="","",", "&amp;$X241)</f>
        <v/>
      </c>
      <c r="AX241">
        <f>AW241&amp;IF($Y241="","",", "&amp;$Y241)</f>
        <v/>
      </c>
    </row>
    <row r="242">
      <c r="A242" s="118">
        <f>IF($B242="","",COUNT($B$5:$B242))</f>
        <v/>
      </c>
      <c r="B242" s="80" t="n"/>
      <c r="C242" s="80" t="n"/>
      <c r="D242" s="74" t="n"/>
      <c r="E242" s="74" t="n"/>
      <c r="F242" s="74" t="n"/>
      <c r="G242" s="118">
        <f>IF($F242="","",COUNTIF($F$5:$F242,$F242))</f>
        <v/>
      </c>
      <c r="H242" s="33">
        <f>IF($F242="","",IFERROR(INDEX(사건마스터!$B$5:$B$64,MATCH($F242,사건마스터!$A$5:$A$64,0)),""))</f>
        <v/>
      </c>
      <c r="I242" s="130">
        <f>IF($F242="","",IFERROR(INDEX(사건마스터!$C$5:$C$64,MATCH($F242,사건마스터!$A$5:$A$64,0)),""))</f>
        <v/>
      </c>
      <c r="J242" s="136">
        <f>IF($F242="","",IFERROR(INDEX(사건마스터!$H$5:$H$64,MATCH($F242,사건마스터!$A$5:$A$64,0)),""))</f>
        <v/>
      </c>
      <c r="K242" s="136">
        <f>IF($F242="","",IFERROR(INDEX(사건마스터!$AH$5:$AH$64,MATCH($F242,사건마스터!$A$5:$A$64,0)),""))</f>
        <v/>
      </c>
      <c r="L242" s="136">
        <f>IF($F242="","",IFERROR(INDEX(사건마스터!$AI$5:$AI$64,MATCH($F242,사건마스터!$A$5:$A$64,0)),""))</f>
        <v/>
      </c>
      <c r="M242" s="136">
        <f>IF($F242="","",IFERROR(INDEX(사건마스터!$AJ$5:$AJ$64,MATCH($F242,사건마스터!$A$5:$A$64,0)),""))</f>
        <v/>
      </c>
      <c r="N242" s="136">
        <f>IF($F242="","",IFERROR(INDEX(사건마스터!$AK$5:$AK$64,MATCH($F242,사건마스터!$A$5:$A$64,0)),""))</f>
        <v/>
      </c>
      <c r="O242" s="136">
        <f>IF($F242="","",IFERROR(INDEX(사건마스터!$AL$5:$AL$64,MATCH($F242,사건마스터!$A$5:$A$64,0)),""))</f>
        <v/>
      </c>
      <c r="P242" s="136">
        <f>IF($F242="","",IFERROR(INDEX(사건마스터!$AM$5:$AM$64,MATCH($F242,사건마스터!$A$5:$A$64,0)),""))</f>
        <v/>
      </c>
      <c r="Q242" s="136">
        <f>IF($F242="","",IFERROR(INDEX(사건마스터!$AN$5:$AN$64,MATCH($F242,사건마스터!$A$5:$A$64,0)),""))</f>
        <v/>
      </c>
      <c r="R242" s="136">
        <f>IF($F242="","",IFERROR(INDEX(사건마스터!$AO$5:$AO$64,MATCH($F242,사건마스터!$A$5:$A$64,0)),""))</f>
        <v/>
      </c>
      <c r="S242" s="136">
        <f>IF($F242="","",IFERROR(INDEX(사건마스터!$AP$5:$AP$64,MATCH($F242,사건마스터!$A$5:$A$64,0)),""))</f>
        <v/>
      </c>
      <c r="T242" s="136">
        <f>IF($F242="","",IFERROR(INDEX(사건마스터!$AQ$5:$AQ$64,MATCH($F242,사건마스터!$A$5:$A$64,0)),""))</f>
        <v/>
      </c>
      <c r="U242" s="136">
        <f>IF($F242="","",IFERROR(INDEX(사건마스터!$AR$5:$AR$64,MATCH($F242,사건마스터!$A$5:$A$64,0)),""))</f>
        <v/>
      </c>
      <c r="V242" s="136">
        <f>IF($F242="","",IFERROR(INDEX(사건마스터!$AS$5:$AS$64,MATCH($F242,사건마스터!$A$5:$A$64,0)),""))</f>
        <v/>
      </c>
      <c r="W242" s="136">
        <f>IF($F242="","",IFERROR(INDEX(사건마스터!$AT$5:$AT$64,MATCH($F242,사건마스터!$A$5:$A$64,0)),""))</f>
        <v/>
      </c>
      <c r="X242" s="136">
        <f>IF($F242="","",IFERROR(INDEX(사건마스터!$AU$5:$AU$64,MATCH($F242,사건마스터!$A$5:$A$64,0)),""))</f>
        <v/>
      </c>
      <c r="Y242" s="136">
        <f>IF($F242="","",IFERROR(INDEX(사건마스터!$AV$5:$AV$64,MATCH($F242,사건마스터!$A$5:$A$64,0)),""))</f>
        <v/>
      </c>
      <c r="Z242" s="118">
        <f>IF(COUNTBLANK($J242:$Y242)=16,"",16-COUNTBLANK($J242:$Y242))</f>
        <v/>
      </c>
      <c r="AA242" s="33">
        <f>IF($J242="",MID($AX242,3,255),$J242&amp;$AX242)</f>
        <v/>
      </c>
      <c r="AB242" s="130">
        <f>IF($J242="","",IFERROR(INDEX(코드설정!$D$5:$D$24,MATCH($J242,코드설정!$C$5:$C$24,0)),""))</f>
        <v/>
      </c>
      <c r="AC242" s="36" t="n"/>
      <c r="AD242" s="37" t="n"/>
      <c r="AE242" s="38" t="n"/>
      <c r="AF242" s="118">
        <f>IF(OR($B242="",$C242=""),"",$C242-$B242+1)</f>
        <v/>
      </c>
      <c r="AG242" s="74" t="n"/>
      <c r="AH242" s="36" t="n"/>
      <c r="AJ242">
        <f>IF($K242="","",", "&amp;$K242)</f>
        <v/>
      </c>
      <c r="AK242">
        <f>AJ242&amp;IF($L242="","",", "&amp;$L242)</f>
        <v/>
      </c>
      <c r="AL242">
        <f>AK242&amp;IF($M242="","",", "&amp;$M242)</f>
        <v/>
      </c>
      <c r="AM242">
        <f>AL242&amp;IF($N242="","",", "&amp;$N242)</f>
        <v/>
      </c>
      <c r="AN242">
        <f>AM242&amp;IF($O242="","",", "&amp;$O242)</f>
        <v/>
      </c>
      <c r="AO242">
        <f>AN242&amp;IF($P242="","",", "&amp;$P242)</f>
        <v/>
      </c>
      <c r="AP242">
        <f>AO242&amp;IF($Q242="","",", "&amp;$Q242)</f>
        <v/>
      </c>
      <c r="AQ242">
        <f>AP242&amp;IF($R242="","",", "&amp;$R242)</f>
        <v/>
      </c>
      <c r="AR242">
        <f>AQ242&amp;IF($S242="","",", "&amp;$S242)</f>
        <v/>
      </c>
      <c r="AS242">
        <f>AR242&amp;IF($T242="","",", "&amp;$T242)</f>
        <v/>
      </c>
      <c r="AT242">
        <f>AS242&amp;IF($U242="","",", "&amp;$U242)</f>
        <v/>
      </c>
      <c r="AU242">
        <f>AT242&amp;IF($V242="","",", "&amp;$V242)</f>
        <v/>
      </c>
      <c r="AV242">
        <f>AU242&amp;IF($W242="","",", "&amp;$W242)</f>
        <v/>
      </c>
      <c r="AW242">
        <f>AV242&amp;IF($X242="","",", "&amp;$X242)</f>
        <v/>
      </c>
      <c r="AX242">
        <f>AW242&amp;IF($Y242="","",", "&amp;$Y242)</f>
        <v/>
      </c>
    </row>
    <row r="243">
      <c r="A243" s="118">
        <f>IF($B243="","",COUNT($B$5:$B243))</f>
        <v/>
      </c>
      <c r="B243" s="80" t="n"/>
      <c r="C243" s="80" t="n"/>
      <c r="D243" s="74" t="n"/>
      <c r="E243" s="74" t="n"/>
      <c r="F243" s="74" t="n"/>
      <c r="G243" s="118">
        <f>IF($F243="","",COUNTIF($F$5:$F243,$F243))</f>
        <v/>
      </c>
      <c r="H243" s="33">
        <f>IF($F243="","",IFERROR(INDEX(사건마스터!$B$5:$B$64,MATCH($F243,사건마스터!$A$5:$A$64,0)),""))</f>
        <v/>
      </c>
      <c r="I243" s="130">
        <f>IF($F243="","",IFERROR(INDEX(사건마스터!$C$5:$C$64,MATCH($F243,사건마스터!$A$5:$A$64,0)),""))</f>
        <v/>
      </c>
      <c r="J243" s="136">
        <f>IF($F243="","",IFERROR(INDEX(사건마스터!$H$5:$H$64,MATCH($F243,사건마스터!$A$5:$A$64,0)),""))</f>
        <v/>
      </c>
      <c r="K243" s="136">
        <f>IF($F243="","",IFERROR(INDEX(사건마스터!$AH$5:$AH$64,MATCH($F243,사건마스터!$A$5:$A$64,0)),""))</f>
        <v/>
      </c>
      <c r="L243" s="136">
        <f>IF($F243="","",IFERROR(INDEX(사건마스터!$AI$5:$AI$64,MATCH($F243,사건마스터!$A$5:$A$64,0)),""))</f>
        <v/>
      </c>
      <c r="M243" s="136">
        <f>IF($F243="","",IFERROR(INDEX(사건마스터!$AJ$5:$AJ$64,MATCH($F243,사건마스터!$A$5:$A$64,0)),""))</f>
        <v/>
      </c>
      <c r="N243" s="136">
        <f>IF($F243="","",IFERROR(INDEX(사건마스터!$AK$5:$AK$64,MATCH($F243,사건마스터!$A$5:$A$64,0)),""))</f>
        <v/>
      </c>
      <c r="O243" s="136">
        <f>IF($F243="","",IFERROR(INDEX(사건마스터!$AL$5:$AL$64,MATCH($F243,사건마스터!$A$5:$A$64,0)),""))</f>
        <v/>
      </c>
      <c r="P243" s="136">
        <f>IF($F243="","",IFERROR(INDEX(사건마스터!$AM$5:$AM$64,MATCH($F243,사건마스터!$A$5:$A$64,0)),""))</f>
        <v/>
      </c>
      <c r="Q243" s="136">
        <f>IF($F243="","",IFERROR(INDEX(사건마스터!$AN$5:$AN$64,MATCH($F243,사건마스터!$A$5:$A$64,0)),""))</f>
        <v/>
      </c>
      <c r="R243" s="136">
        <f>IF($F243="","",IFERROR(INDEX(사건마스터!$AO$5:$AO$64,MATCH($F243,사건마스터!$A$5:$A$64,0)),""))</f>
        <v/>
      </c>
      <c r="S243" s="136">
        <f>IF($F243="","",IFERROR(INDEX(사건마스터!$AP$5:$AP$64,MATCH($F243,사건마스터!$A$5:$A$64,0)),""))</f>
        <v/>
      </c>
      <c r="T243" s="136">
        <f>IF($F243="","",IFERROR(INDEX(사건마스터!$AQ$5:$AQ$64,MATCH($F243,사건마스터!$A$5:$A$64,0)),""))</f>
        <v/>
      </c>
      <c r="U243" s="136">
        <f>IF($F243="","",IFERROR(INDEX(사건마스터!$AR$5:$AR$64,MATCH($F243,사건마스터!$A$5:$A$64,0)),""))</f>
        <v/>
      </c>
      <c r="V243" s="136">
        <f>IF($F243="","",IFERROR(INDEX(사건마스터!$AS$5:$AS$64,MATCH($F243,사건마스터!$A$5:$A$64,0)),""))</f>
        <v/>
      </c>
      <c r="W243" s="136">
        <f>IF($F243="","",IFERROR(INDEX(사건마스터!$AT$5:$AT$64,MATCH($F243,사건마스터!$A$5:$A$64,0)),""))</f>
        <v/>
      </c>
      <c r="X243" s="136">
        <f>IF($F243="","",IFERROR(INDEX(사건마스터!$AU$5:$AU$64,MATCH($F243,사건마스터!$A$5:$A$64,0)),""))</f>
        <v/>
      </c>
      <c r="Y243" s="136">
        <f>IF($F243="","",IFERROR(INDEX(사건마스터!$AV$5:$AV$64,MATCH($F243,사건마스터!$A$5:$A$64,0)),""))</f>
        <v/>
      </c>
      <c r="Z243" s="118">
        <f>IF(COUNTBLANK($J243:$Y243)=16,"",16-COUNTBLANK($J243:$Y243))</f>
        <v/>
      </c>
      <c r="AA243" s="33">
        <f>IF($J243="",MID($AX243,3,255),$J243&amp;$AX243)</f>
        <v/>
      </c>
      <c r="AB243" s="130">
        <f>IF($J243="","",IFERROR(INDEX(코드설정!$D$5:$D$24,MATCH($J243,코드설정!$C$5:$C$24,0)),""))</f>
        <v/>
      </c>
      <c r="AC243" s="36" t="n"/>
      <c r="AD243" s="37" t="n"/>
      <c r="AE243" s="38" t="n"/>
      <c r="AF243" s="118">
        <f>IF(OR($B243="",$C243=""),"",$C243-$B243+1)</f>
        <v/>
      </c>
      <c r="AG243" s="74" t="n"/>
      <c r="AH243" s="36" t="n"/>
      <c r="AJ243">
        <f>IF($K243="","",", "&amp;$K243)</f>
        <v/>
      </c>
      <c r="AK243">
        <f>AJ243&amp;IF($L243="","",", "&amp;$L243)</f>
        <v/>
      </c>
      <c r="AL243">
        <f>AK243&amp;IF($M243="","",", "&amp;$M243)</f>
        <v/>
      </c>
      <c r="AM243">
        <f>AL243&amp;IF($N243="","",", "&amp;$N243)</f>
        <v/>
      </c>
      <c r="AN243">
        <f>AM243&amp;IF($O243="","",", "&amp;$O243)</f>
        <v/>
      </c>
      <c r="AO243">
        <f>AN243&amp;IF($P243="","",", "&amp;$P243)</f>
        <v/>
      </c>
      <c r="AP243">
        <f>AO243&amp;IF($Q243="","",", "&amp;$Q243)</f>
        <v/>
      </c>
      <c r="AQ243">
        <f>AP243&amp;IF($R243="","",", "&amp;$R243)</f>
        <v/>
      </c>
      <c r="AR243">
        <f>AQ243&amp;IF($S243="","",", "&amp;$S243)</f>
        <v/>
      </c>
      <c r="AS243">
        <f>AR243&amp;IF($T243="","",", "&amp;$T243)</f>
        <v/>
      </c>
      <c r="AT243">
        <f>AS243&amp;IF($U243="","",", "&amp;$U243)</f>
        <v/>
      </c>
      <c r="AU243">
        <f>AT243&amp;IF($V243="","",", "&amp;$V243)</f>
        <v/>
      </c>
      <c r="AV243">
        <f>AU243&amp;IF($W243="","",", "&amp;$W243)</f>
        <v/>
      </c>
      <c r="AW243">
        <f>AV243&amp;IF($X243="","",", "&amp;$X243)</f>
        <v/>
      </c>
      <c r="AX243">
        <f>AW243&amp;IF($Y243="","",", "&amp;$Y243)</f>
        <v/>
      </c>
    </row>
    <row r="244">
      <c r="A244" s="118">
        <f>IF($B244="","",COUNT($B$5:$B244))</f>
        <v/>
      </c>
      <c r="B244" s="80" t="n"/>
      <c r="C244" s="80" t="n"/>
      <c r="D244" s="74" t="n"/>
      <c r="E244" s="74" t="n"/>
      <c r="F244" s="74" t="n"/>
      <c r="G244" s="118">
        <f>IF($F244="","",COUNTIF($F$5:$F244,$F244))</f>
        <v/>
      </c>
      <c r="H244" s="33">
        <f>IF($F244="","",IFERROR(INDEX(사건마스터!$B$5:$B$64,MATCH($F244,사건마스터!$A$5:$A$64,0)),""))</f>
        <v/>
      </c>
      <c r="I244" s="130">
        <f>IF($F244="","",IFERROR(INDEX(사건마스터!$C$5:$C$64,MATCH($F244,사건마스터!$A$5:$A$64,0)),""))</f>
        <v/>
      </c>
      <c r="J244" s="136">
        <f>IF($F244="","",IFERROR(INDEX(사건마스터!$H$5:$H$64,MATCH($F244,사건마스터!$A$5:$A$64,0)),""))</f>
        <v/>
      </c>
      <c r="K244" s="136">
        <f>IF($F244="","",IFERROR(INDEX(사건마스터!$AH$5:$AH$64,MATCH($F244,사건마스터!$A$5:$A$64,0)),""))</f>
        <v/>
      </c>
      <c r="L244" s="136">
        <f>IF($F244="","",IFERROR(INDEX(사건마스터!$AI$5:$AI$64,MATCH($F244,사건마스터!$A$5:$A$64,0)),""))</f>
        <v/>
      </c>
      <c r="M244" s="136">
        <f>IF($F244="","",IFERROR(INDEX(사건마스터!$AJ$5:$AJ$64,MATCH($F244,사건마스터!$A$5:$A$64,0)),""))</f>
        <v/>
      </c>
      <c r="N244" s="136">
        <f>IF($F244="","",IFERROR(INDEX(사건마스터!$AK$5:$AK$64,MATCH($F244,사건마스터!$A$5:$A$64,0)),""))</f>
        <v/>
      </c>
      <c r="O244" s="136">
        <f>IF($F244="","",IFERROR(INDEX(사건마스터!$AL$5:$AL$64,MATCH($F244,사건마스터!$A$5:$A$64,0)),""))</f>
        <v/>
      </c>
      <c r="P244" s="136">
        <f>IF($F244="","",IFERROR(INDEX(사건마스터!$AM$5:$AM$64,MATCH($F244,사건마스터!$A$5:$A$64,0)),""))</f>
        <v/>
      </c>
      <c r="Q244" s="136">
        <f>IF($F244="","",IFERROR(INDEX(사건마스터!$AN$5:$AN$64,MATCH($F244,사건마스터!$A$5:$A$64,0)),""))</f>
        <v/>
      </c>
      <c r="R244" s="136">
        <f>IF($F244="","",IFERROR(INDEX(사건마스터!$AO$5:$AO$64,MATCH($F244,사건마스터!$A$5:$A$64,0)),""))</f>
        <v/>
      </c>
      <c r="S244" s="136">
        <f>IF($F244="","",IFERROR(INDEX(사건마스터!$AP$5:$AP$64,MATCH($F244,사건마스터!$A$5:$A$64,0)),""))</f>
        <v/>
      </c>
      <c r="T244" s="136">
        <f>IF($F244="","",IFERROR(INDEX(사건마스터!$AQ$5:$AQ$64,MATCH($F244,사건마스터!$A$5:$A$64,0)),""))</f>
        <v/>
      </c>
      <c r="U244" s="136">
        <f>IF($F244="","",IFERROR(INDEX(사건마스터!$AR$5:$AR$64,MATCH($F244,사건마스터!$A$5:$A$64,0)),""))</f>
        <v/>
      </c>
      <c r="V244" s="136">
        <f>IF($F244="","",IFERROR(INDEX(사건마스터!$AS$5:$AS$64,MATCH($F244,사건마스터!$A$5:$A$64,0)),""))</f>
        <v/>
      </c>
      <c r="W244" s="136">
        <f>IF($F244="","",IFERROR(INDEX(사건마스터!$AT$5:$AT$64,MATCH($F244,사건마스터!$A$5:$A$64,0)),""))</f>
        <v/>
      </c>
      <c r="X244" s="136">
        <f>IF($F244="","",IFERROR(INDEX(사건마스터!$AU$5:$AU$64,MATCH($F244,사건마스터!$A$5:$A$64,0)),""))</f>
        <v/>
      </c>
      <c r="Y244" s="136">
        <f>IF($F244="","",IFERROR(INDEX(사건마스터!$AV$5:$AV$64,MATCH($F244,사건마스터!$A$5:$A$64,0)),""))</f>
        <v/>
      </c>
      <c r="Z244" s="118">
        <f>IF(COUNTBLANK($J244:$Y244)=16,"",16-COUNTBLANK($J244:$Y244))</f>
        <v/>
      </c>
      <c r="AA244" s="33">
        <f>IF($J244="",MID($AX244,3,255),$J244&amp;$AX244)</f>
        <v/>
      </c>
      <c r="AB244" s="130">
        <f>IF($J244="","",IFERROR(INDEX(코드설정!$D$5:$D$24,MATCH($J244,코드설정!$C$5:$C$24,0)),""))</f>
        <v/>
      </c>
      <c r="AC244" s="36" t="n"/>
      <c r="AD244" s="37" t="n"/>
      <c r="AE244" s="38" t="n"/>
      <c r="AF244" s="118">
        <f>IF(OR($B244="",$C244=""),"",$C244-$B244+1)</f>
        <v/>
      </c>
      <c r="AG244" s="74" t="n"/>
      <c r="AH244" s="36" t="n"/>
      <c r="AJ244">
        <f>IF($K244="","",", "&amp;$K244)</f>
        <v/>
      </c>
      <c r="AK244">
        <f>AJ244&amp;IF($L244="","",", "&amp;$L244)</f>
        <v/>
      </c>
      <c r="AL244">
        <f>AK244&amp;IF($M244="","",", "&amp;$M244)</f>
        <v/>
      </c>
      <c r="AM244">
        <f>AL244&amp;IF($N244="","",", "&amp;$N244)</f>
        <v/>
      </c>
      <c r="AN244">
        <f>AM244&amp;IF($O244="","",", "&amp;$O244)</f>
        <v/>
      </c>
      <c r="AO244">
        <f>AN244&amp;IF($P244="","",", "&amp;$P244)</f>
        <v/>
      </c>
      <c r="AP244">
        <f>AO244&amp;IF($Q244="","",", "&amp;$Q244)</f>
        <v/>
      </c>
      <c r="AQ244">
        <f>AP244&amp;IF($R244="","",", "&amp;$R244)</f>
        <v/>
      </c>
      <c r="AR244">
        <f>AQ244&amp;IF($S244="","",", "&amp;$S244)</f>
        <v/>
      </c>
      <c r="AS244">
        <f>AR244&amp;IF($T244="","",", "&amp;$T244)</f>
        <v/>
      </c>
      <c r="AT244">
        <f>AS244&amp;IF($U244="","",", "&amp;$U244)</f>
        <v/>
      </c>
      <c r="AU244">
        <f>AT244&amp;IF($V244="","",", "&amp;$V244)</f>
        <v/>
      </c>
      <c r="AV244">
        <f>AU244&amp;IF($W244="","",", "&amp;$W244)</f>
        <v/>
      </c>
      <c r="AW244">
        <f>AV244&amp;IF($X244="","",", "&amp;$X244)</f>
        <v/>
      </c>
      <c r="AX244">
        <f>AW244&amp;IF($Y244="","",", "&amp;$Y244)</f>
        <v/>
      </c>
    </row>
    <row r="245">
      <c r="A245" s="118">
        <f>IF($B245="","",COUNT($B$5:$B245))</f>
        <v/>
      </c>
      <c r="B245" s="80" t="n"/>
      <c r="C245" s="80" t="n"/>
      <c r="D245" s="74" t="n"/>
      <c r="E245" s="74" t="n"/>
      <c r="F245" s="74" t="n"/>
      <c r="G245" s="118">
        <f>IF($F245="","",COUNTIF($F$5:$F245,$F245))</f>
        <v/>
      </c>
      <c r="H245" s="33">
        <f>IF($F245="","",IFERROR(INDEX(사건마스터!$B$5:$B$64,MATCH($F245,사건마스터!$A$5:$A$64,0)),""))</f>
        <v/>
      </c>
      <c r="I245" s="130">
        <f>IF($F245="","",IFERROR(INDEX(사건마스터!$C$5:$C$64,MATCH($F245,사건마스터!$A$5:$A$64,0)),""))</f>
        <v/>
      </c>
      <c r="J245" s="136">
        <f>IF($F245="","",IFERROR(INDEX(사건마스터!$H$5:$H$64,MATCH($F245,사건마스터!$A$5:$A$64,0)),""))</f>
        <v/>
      </c>
      <c r="K245" s="136">
        <f>IF($F245="","",IFERROR(INDEX(사건마스터!$AH$5:$AH$64,MATCH($F245,사건마스터!$A$5:$A$64,0)),""))</f>
        <v/>
      </c>
      <c r="L245" s="136">
        <f>IF($F245="","",IFERROR(INDEX(사건마스터!$AI$5:$AI$64,MATCH($F245,사건마스터!$A$5:$A$64,0)),""))</f>
        <v/>
      </c>
      <c r="M245" s="136">
        <f>IF($F245="","",IFERROR(INDEX(사건마스터!$AJ$5:$AJ$64,MATCH($F245,사건마스터!$A$5:$A$64,0)),""))</f>
        <v/>
      </c>
      <c r="N245" s="136">
        <f>IF($F245="","",IFERROR(INDEX(사건마스터!$AK$5:$AK$64,MATCH($F245,사건마스터!$A$5:$A$64,0)),""))</f>
        <v/>
      </c>
      <c r="O245" s="136">
        <f>IF($F245="","",IFERROR(INDEX(사건마스터!$AL$5:$AL$64,MATCH($F245,사건마스터!$A$5:$A$64,0)),""))</f>
        <v/>
      </c>
      <c r="P245" s="136">
        <f>IF($F245="","",IFERROR(INDEX(사건마스터!$AM$5:$AM$64,MATCH($F245,사건마스터!$A$5:$A$64,0)),""))</f>
        <v/>
      </c>
      <c r="Q245" s="136">
        <f>IF($F245="","",IFERROR(INDEX(사건마스터!$AN$5:$AN$64,MATCH($F245,사건마스터!$A$5:$A$64,0)),""))</f>
        <v/>
      </c>
      <c r="R245" s="136">
        <f>IF($F245="","",IFERROR(INDEX(사건마스터!$AO$5:$AO$64,MATCH($F245,사건마스터!$A$5:$A$64,0)),""))</f>
        <v/>
      </c>
      <c r="S245" s="136">
        <f>IF($F245="","",IFERROR(INDEX(사건마스터!$AP$5:$AP$64,MATCH($F245,사건마스터!$A$5:$A$64,0)),""))</f>
        <v/>
      </c>
      <c r="T245" s="136">
        <f>IF($F245="","",IFERROR(INDEX(사건마스터!$AQ$5:$AQ$64,MATCH($F245,사건마스터!$A$5:$A$64,0)),""))</f>
        <v/>
      </c>
      <c r="U245" s="136">
        <f>IF($F245="","",IFERROR(INDEX(사건마스터!$AR$5:$AR$64,MATCH($F245,사건마스터!$A$5:$A$64,0)),""))</f>
        <v/>
      </c>
      <c r="V245" s="136">
        <f>IF($F245="","",IFERROR(INDEX(사건마스터!$AS$5:$AS$64,MATCH($F245,사건마스터!$A$5:$A$64,0)),""))</f>
        <v/>
      </c>
      <c r="W245" s="136">
        <f>IF($F245="","",IFERROR(INDEX(사건마스터!$AT$5:$AT$64,MATCH($F245,사건마스터!$A$5:$A$64,0)),""))</f>
        <v/>
      </c>
      <c r="X245" s="136">
        <f>IF($F245="","",IFERROR(INDEX(사건마스터!$AU$5:$AU$64,MATCH($F245,사건마스터!$A$5:$A$64,0)),""))</f>
        <v/>
      </c>
      <c r="Y245" s="136">
        <f>IF($F245="","",IFERROR(INDEX(사건마스터!$AV$5:$AV$64,MATCH($F245,사건마스터!$A$5:$A$64,0)),""))</f>
        <v/>
      </c>
      <c r="Z245" s="118">
        <f>IF(COUNTBLANK($J245:$Y245)=16,"",16-COUNTBLANK($J245:$Y245))</f>
        <v/>
      </c>
      <c r="AA245" s="33">
        <f>IF($J245="",MID($AX245,3,255),$J245&amp;$AX245)</f>
        <v/>
      </c>
      <c r="AB245" s="130">
        <f>IF($J245="","",IFERROR(INDEX(코드설정!$D$5:$D$24,MATCH($J245,코드설정!$C$5:$C$24,0)),""))</f>
        <v/>
      </c>
      <c r="AC245" s="36" t="n"/>
      <c r="AD245" s="37" t="n"/>
      <c r="AE245" s="38" t="n"/>
      <c r="AF245" s="118">
        <f>IF(OR($B245="",$C245=""),"",$C245-$B245+1)</f>
        <v/>
      </c>
      <c r="AG245" s="74" t="n"/>
      <c r="AH245" s="36" t="n"/>
      <c r="AJ245">
        <f>IF($K245="","",", "&amp;$K245)</f>
        <v/>
      </c>
      <c r="AK245">
        <f>AJ245&amp;IF($L245="","",", "&amp;$L245)</f>
        <v/>
      </c>
      <c r="AL245">
        <f>AK245&amp;IF($M245="","",", "&amp;$M245)</f>
        <v/>
      </c>
      <c r="AM245">
        <f>AL245&amp;IF($N245="","",", "&amp;$N245)</f>
        <v/>
      </c>
      <c r="AN245">
        <f>AM245&amp;IF($O245="","",", "&amp;$O245)</f>
        <v/>
      </c>
      <c r="AO245">
        <f>AN245&amp;IF($P245="","",", "&amp;$P245)</f>
        <v/>
      </c>
      <c r="AP245">
        <f>AO245&amp;IF($Q245="","",", "&amp;$Q245)</f>
        <v/>
      </c>
      <c r="AQ245">
        <f>AP245&amp;IF($R245="","",", "&amp;$R245)</f>
        <v/>
      </c>
      <c r="AR245">
        <f>AQ245&amp;IF($S245="","",", "&amp;$S245)</f>
        <v/>
      </c>
      <c r="AS245">
        <f>AR245&amp;IF($T245="","",", "&amp;$T245)</f>
        <v/>
      </c>
      <c r="AT245">
        <f>AS245&amp;IF($U245="","",", "&amp;$U245)</f>
        <v/>
      </c>
      <c r="AU245">
        <f>AT245&amp;IF($V245="","",", "&amp;$V245)</f>
        <v/>
      </c>
      <c r="AV245">
        <f>AU245&amp;IF($W245="","",", "&amp;$W245)</f>
        <v/>
      </c>
      <c r="AW245">
        <f>AV245&amp;IF($X245="","",", "&amp;$X245)</f>
        <v/>
      </c>
      <c r="AX245">
        <f>AW245&amp;IF($Y245="","",", "&amp;$Y245)</f>
        <v/>
      </c>
    </row>
    <row r="246">
      <c r="A246" s="118">
        <f>IF($B246="","",COUNT($B$5:$B246))</f>
        <v/>
      </c>
      <c r="B246" s="80" t="n"/>
      <c r="C246" s="80" t="n"/>
      <c r="D246" s="74" t="n"/>
      <c r="E246" s="74" t="n"/>
      <c r="F246" s="74" t="n"/>
      <c r="G246" s="118">
        <f>IF($F246="","",COUNTIF($F$5:$F246,$F246))</f>
        <v/>
      </c>
      <c r="H246" s="33">
        <f>IF($F246="","",IFERROR(INDEX(사건마스터!$B$5:$B$64,MATCH($F246,사건마스터!$A$5:$A$64,0)),""))</f>
        <v/>
      </c>
      <c r="I246" s="130">
        <f>IF($F246="","",IFERROR(INDEX(사건마스터!$C$5:$C$64,MATCH($F246,사건마스터!$A$5:$A$64,0)),""))</f>
        <v/>
      </c>
      <c r="J246" s="136">
        <f>IF($F246="","",IFERROR(INDEX(사건마스터!$H$5:$H$64,MATCH($F246,사건마스터!$A$5:$A$64,0)),""))</f>
        <v/>
      </c>
      <c r="K246" s="136">
        <f>IF($F246="","",IFERROR(INDEX(사건마스터!$AH$5:$AH$64,MATCH($F246,사건마스터!$A$5:$A$64,0)),""))</f>
        <v/>
      </c>
      <c r="L246" s="136">
        <f>IF($F246="","",IFERROR(INDEX(사건마스터!$AI$5:$AI$64,MATCH($F246,사건마스터!$A$5:$A$64,0)),""))</f>
        <v/>
      </c>
      <c r="M246" s="136">
        <f>IF($F246="","",IFERROR(INDEX(사건마스터!$AJ$5:$AJ$64,MATCH($F246,사건마스터!$A$5:$A$64,0)),""))</f>
        <v/>
      </c>
      <c r="N246" s="136">
        <f>IF($F246="","",IFERROR(INDEX(사건마스터!$AK$5:$AK$64,MATCH($F246,사건마스터!$A$5:$A$64,0)),""))</f>
        <v/>
      </c>
      <c r="O246" s="136">
        <f>IF($F246="","",IFERROR(INDEX(사건마스터!$AL$5:$AL$64,MATCH($F246,사건마스터!$A$5:$A$64,0)),""))</f>
        <v/>
      </c>
      <c r="P246" s="136">
        <f>IF($F246="","",IFERROR(INDEX(사건마스터!$AM$5:$AM$64,MATCH($F246,사건마스터!$A$5:$A$64,0)),""))</f>
        <v/>
      </c>
      <c r="Q246" s="136">
        <f>IF($F246="","",IFERROR(INDEX(사건마스터!$AN$5:$AN$64,MATCH($F246,사건마스터!$A$5:$A$64,0)),""))</f>
        <v/>
      </c>
      <c r="R246" s="136">
        <f>IF($F246="","",IFERROR(INDEX(사건마스터!$AO$5:$AO$64,MATCH($F246,사건마스터!$A$5:$A$64,0)),""))</f>
        <v/>
      </c>
      <c r="S246" s="136">
        <f>IF($F246="","",IFERROR(INDEX(사건마스터!$AP$5:$AP$64,MATCH($F246,사건마스터!$A$5:$A$64,0)),""))</f>
        <v/>
      </c>
      <c r="T246" s="136">
        <f>IF($F246="","",IFERROR(INDEX(사건마스터!$AQ$5:$AQ$64,MATCH($F246,사건마스터!$A$5:$A$64,0)),""))</f>
        <v/>
      </c>
      <c r="U246" s="136">
        <f>IF($F246="","",IFERROR(INDEX(사건마스터!$AR$5:$AR$64,MATCH($F246,사건마스터!$A$5:$A$64,0)),""))</f>
        <v/>
      </c>
      <c r="V246" s="136">
        <f>IF($F246="","",IFERROR(INDEX(사건마스터!$AS$5:$AS$64,MATCH($F246,사건마스터!$A$5:$A$64,0)),""))</f>
        <v/>
      </c>
      <c r="W246" s="136">
        <f>IF($F246="","",IFERROR(INDEX(사건마스터!$AT$5:$AT$64,MATCH($F246,사건마스터!$A$5:$A$64,0)),""))</f>
        <v/>
      </c>
      <c r="X246" s="136">
        <f>IF($F246="","",IFERROR(INDEX(사건마스터!$AU$5:$AU$64,MATCH($F246,사건마스터!$A$5:$A$64,0)),""))</f>
        <v/>
      </c>
      <c r="Y246" s="136">
        <f>IF($F246="","",IFERROR(INDEX(사건마스터!$AV$5:$AV$64,MATCH($F246,사건마스터!$A$5:$A$64,0)),""))</f>
        <v/>
      </c>
      <c r="Z246" s="118">
        <f>IF(COUNTBLANK($J246:$Y246)=16,"",16-COUNTBLANK($J246:$Y246))</f>
        <v/>
      </c>
      <c r="AA246" s="33">
        <f>IF($J246="",MID($AX246,3,255),$J246&amp;$AX246)</f>
        <v/>
      </c>
      <c r="AB246" s="130">
        <f>IF($J246="","",IFERROR(INDEX(코드설정!$D$5:$D$24,MATCH($J246,코드설정!$C$5:$C$24,0)),""))</f>
        <v/>
      </c>
      <c r="AC246" s="36" t="n"/>
      <c r="AD246" s="37" t="n"/>
      <c r="AE246" s="38" t="n"/>
      <c r="AF246" s="118">
        <f>IF(OR($B246="",$C246=""),"",$C246-$B246+1)</f>
        <v/>
      </c>
      <c r="AG246" s="74" t="n"/>
      <c r="AH246" s="36" t="n"/>
      <c r="AJ246">
        <f>IF($K246="","",", "&amp;$K246)</f>
        <v/>
      </c>
      <c r="AK246">
        <f>AJ246&amp;IF($L246="","",", "&amp;$L246)</f>
        <v/>
      </c>
      <c r="AL246">
        <f>AK246&amp;IF($M246="","",", "&amp;$M246)</f>
        <v/>
      </c>
      <c r="AM246">
        <f>AL246&amp;IF($N246="","",", "&amp;$N246)</f>
        <v/>
      </c>
      <c r="AN246">
        <f>AM246&amp;IF($O246="","",", "&amp;$O246)</f>
        <v/>
      </c>
      <c r="AO246">
        <f>AN246&amp;IF($P246="","",", "&amp;$P246)</f>
        <v/>
      </c>
      <c r="AP246">
        <f>AO246&amp;IF($Q246="","",", "&amp;$Q246)</f>
        <v/>
      </c>
      <c r="AQ246">
        <f>AP246&amp;IF($R246="","",", "&amp;$R246)</f>
        <v/>
      </c>
      <c r="AR246">
        <f>AQ246&amp;IF($S246="","",", "&amp;$S246)</f>
        <v/>
      </c>
      <c r="AS246">
        <f>AR246&amp;IF($T246="","",", "&amp;$T246)</f>
        <v/>
      </c>
      <c r="AT246">
        <f>AS246&amp;IF($U246="","",", "&amp;$U246)</f>
        <v/>
      </c>
      <c r="AU246">
        <f>AT246&amp;IF($V246="","",", "&amp;$V246)</f>
        <v/>
      </c>
      <c r="AV246">
        <f>AU246&amp;IF($W246="","",", "&amp;$W246)</f>
        <v/>
      </c>
      <c r="AW246">
        <f>AV246&amp;IF($X246="","",", "&amp;$X246)</f>
        <v/>
      </c>
      <c r="AX246">
        <f>AW246&amp;IF($Y246="","",", "&amp;$Y246)</f>
        <v/>
      </c>
    </row>
    <row r="247">
      <c r="A247" s="118">
        <f>IF($B247="","",COUNT($B$5:$B247))</f>
        <v/>
      </c>
      <c r="B247" s="80" t="n"/>
      <c r="C247" s="80" t="n"/>
      <c r="D247" s="74" t="n"/>
      <c r="E247" s="74" t="n"/>
      <c r="F247" s="74" t="n"/>
      <c r="G247" s="118">
        <f>IF($F247="","",COUNTIF($F$5:$F247,$F247))</f>
        <v/>
      </c>
      <c r="H247" s="33">
        <f>IF($F247="","",IFERROR(INDEX(사건마스터!$B$5:$B$64,MATCH($F247,사건마스터!$A$5:$A$64,0)),""))</f>
        <v/>
      </c>
      <c r="I247" s="130">
        <f>IF($F247="","",IFERROR(INDEX(사건마스터!$C$5:$C$64,MATCH($F247,사건마스터!$A$5:$A$64,0)),""))</f>
        <v/>
      </c>
      <c r="J247" s="136">
        <f>IF($F247="","",IFERROR(INDEX(사건마스터!$H$5:$H$64,MATCH($F247,사건마스터!$A$5:$A$64,0)),""))</f>
        <v/>
      </c>
      <c r="K247" s="136">
        <f>IF($F247="","",IFERROR(INDEX(사건마스터!$AH$5:$AH$64,MATCH($F247,사건마스터!$A$5:$A$64,0)),""))</f>
        <v/>
      </c>
      <c r="L247" s="136">
        <f>IF($F247="","",IFERROR(INDEX(사건마스터!$AI$5:$AI$64,MATCH($F247,사건마스터!$A$5:$A$64,0)),""))</f>
        <v/>
      </c>
      <c r="M247" s="136">
        <f>IF($F247="","",IFERROR(INDEX(사건마스터!$AJ$5:$AJ$64,MATCH($F247,사건마스터!$A$5:$A$64,0)),""))</f>
        <v/>
      </c>
      <c r="N247" s="136">
        <f>IF($F247="","",IFERROR(INDEX(사건마스터!$AK$5:$AK$64,MATCH($F247,사건마스터!$A$5:$A$64,0)),""))</f>
        <v/>
      </c>
      <c r="O247" s="136">
        <f>IF($F247="","",IFERROR(INDEX(사건마스터!$AL$5:$AL$64,MATCH($F247,사건마스터!$A$5:$A$64,0)),""))</f>
        <v/>
      </c>
      <c r="P247" s="136">
        <f>IF($F247="","",IFERROR(INDEX(사건마스터!$AM$5:$AM$64,MATCH($F247,사건마스터!$A$5:$A$64,0)),""))</f>
        <v/>
      </c>
      <c r="Q247" s="136">
        <f>IF($F247="","",IFERROR(INDEX(사건마스터!$AN$5:$AN$64,MATCH($F247,사건마스터!$A$5:$A$64,0)),""))</f>
        <v/>
      </c>
      <c r="R247" s="136">
        <f>IF($F247="","",IFERROR(INDEX(사건마스터!$AO$5:$AO$64,MATCH($F247,사건마스터!$A$5:$A$64,0)),""))</f>
        <v/>
      </c>
      <c r="S247" s="136">
        <f>IF($F247="","",IFERROR(INDEX(사건마스터!$AP$5:$AP$64,MATCH($F247,사건마스터!$A$5:$A$64,0)),""))</f>
        <v/>
      </c>
      <c r="T247" s="136">
        <f>IF($F247="","",IFERROR(INDEX(사건마스터!$AQ$5:$AQ$64,MATCH($F247,사건마스터!$A$5:$A$64,0)),""))</f>
        <v/>
      </c>
      <c r="U247" s="136">
        <f>IF($F247="","",IFERROR(INDEX(사건마스터!$AR$5:$AR$64,MATCH($F247,사건마스터!$A$5:$A$64,0)),""))</f>
        <v/>
      </c>
      <c r="V247" s="136">
        <f>IF($F247="","",IFERROR(INDEX(사건마스터!$AS$5:$AS$64,MATCH($F247,사건마스터!$A$5:$A$64,0)),""))</f>
        <v/>
      </c>
      <c r="W247" s="136">
        <f>IF($F247="","",IFERROR(INDEX(사건마스터!$AT$5:$AT$64,MATCH($F247,사건마스터!$A$5:$A$64,0)),""))</f>
        <v/>
      </c>
      <c r="X247" s="136">
        <f>IF($F247="","",IFERROR(INDEX(사건마스터!$AU$5:$AU$64,MATCH($F247,사건마스터!$A$5:$A$64,0)),""))</f>
        <v/>
      </c>
      <c r="Y247" s="136">
        <f>IF($F247="","",IFERROR(INDEX(사건마스터!$AV$5:$AV$64,MATCH($F247,사건마스터!$A$5:$A$64,0)),""))</f>
        <v/>
      </c>
      <c r="Z247" s="118">
        <f>IF(COUNTBLANK($J247:$Y247)=16,"",16-COUNTBLANK($J247:$Y247))</f>
        <v/>
      </c>
      <c r="AA247" s="33">
        <f>IF($J247="",MID($AX247,3,255),$J247&amp;$AX247)</f>
        <v/>
      </c>
      <c r="AB247" s="130">
        <f>IF($J247="","",IFERROR(INDEX(코드설정!$D$5:$D$24,MATCH($J247,코드설정!$C$5:$C$24,0)),""))</f>
        <v/>
      </c>
      <c r="AC247" s="36" t="n"/>
      <c r="AD247" s="37" t="n"/>
      <c r="AE247" s="38" t="n"/>
      <c r="AF247" s="118">
        <f>IF(OR($B247="",$C247=""),"",$C247-$B247+1)</f>
        <v/>
      </c>
      <c r="AG247" s="74" t="n"/>
      <c r="AH247" s="36" t="n"/>
      <c r="AJ247">
        <f>IF($K247="","",", "&amp;$K247)</f>
        <v/>
      </c>
      <c r="AK247">
        <f>AJ247&amp;IF($L247="","",", "&amp;$L247)</f>
        <v/>
      </c>
      <c r="AL247">
        <f>AK247&amp;IF($M247="","",", "&amp;$M247)</f>
        <v/>
      </c>
      <c r="AM247">
        <f>AL247&amp;IF($N247="","",", "&amp;$N247)</f>
        <v/>
      </c>
      <c r="AN247">
        <f>AM247&amp;IF($O247="","",", "&amp;$O247)</f>
        <v/>
      </c>
      <c r="AO247">
        <f>AN247&amp;IF($P247="","",", "&amp;$P247)</f>
        <v/>
      </c>
      <c r="AP247">
        <f>AO247&amp;IF($Q247="","",", "&amp;$Q247)</f>
        <v/>
      </c>
      <c r="AQ247">
        <f>AP247&amp;IF($R247="","",", "&amp;$R247)</f>
        <v/>
      </c>
      <c r="AR247">
        <f>AQ247&amp;IF($S247="","",", "&amp;$S247)</f>
        <v/>
      </c>
      <c r="AS247">
        <f>AR247&amp;IF($T247="","",", "&amp;$T247)</f>
        <v/>
      </c>
      <c r="AT247">
        <f>AS247&amp;IF($U247="","",", "&amp;$U247)</f>
        <v/>
      </c>
      <c r="AU247">
        <f>AT247&amp;IF($V247="","",", "&amp;$V247)</f>
        <v/>
      </c>
      <c r="AV247">
        <f>AU247&amp;IF($W247="","",", "&amp;$W247)</f>
        <v/>
      </c>
      <c r="AW247">
        <f>AV247&amp;IF($X247="","",", "&amp;$X247)</f>
        <v/>
      </c>
      <c r="AX247">
        <f>AW247&amp;IF($Y247="","",", "&amp;$Y247)</f>
        <v/>
      </c>
    </row>
    <row r="248">
      <c r="A248" s="118">
        <f>IF($B248="","",COUNT($B$5:$B248))</f>
        <v/>
      </c>
      <c r="B248" s="80" t="n"/>
      <c r="C248" s="80" t="n"/>
      <c r="D248" s="74" t="n"/>
      <c r="E248" s="74" t="n"/>
      <c r="F248" s="74" t="n"/>
      <c r="G248" s="118">
        <f>IF($F248="","",COUNTIF($F$5:$F248,$F248))</f>
        <v/>
      </c>
      <c r="H248" s="33">
        <f>IF($F248="","",IFERROR(INDEX(사건마스터!$B$5:$B$64,MATCH($F248,사건마스터!$A$5:$A$64,0)),""))</f>
        <v/>
      </c>
      <c r="I248" s="130">
        <f>IF($F248="","",IFERROR(INDEX(사건마스터!$C$5:$C$64,MATCH($F248,사건마스터!$A$5:$A$64,0)),""))</f>
        <v/>
      </c>
      <c r="J248" s="136">
        <f>IF($F248="","",IFERROR(INDEX(사건마스터!$H$5:$H$64,MATCH($F248,사건마스터!$A$5:$A$64,0)),""))</f>
        <v/>
      </c>
      <c r="K248" s="136">
        <f>IF($F248="","",IFERROR(INDEX(사건마스터!$AH$5:$AH$64,MATCH($F248,사건마스터!$A$5:$A$64,0)),""))</f>
        <v/>
      </c>
      <c r="L248" s="136">
        <f>IF($F248="","",IFERROR(INDEX(사건마스터!$AI$5:$AI$64,MATCH($F248,사건마스터!$A$5:$A$64,0)),""))</f>
        <v/>
      </c>
      <c r="M248" s="136">
        <f>IF($F248="","",IFERROR(INDEX(사건마스터!$AJ$5:$AJ$64,MATCH($F248,사건마스터!$A$5:$A$64,0)),""))</f>
        <v/>
      </c>
      <c r="N248" s="136">
        <f>IF($F248="","",IFERROR(INDEX(사건마스터!$AK$5:$AK$64,MATCH($F248,사건마스터!$A$5:$A$64,0)),""))</f>
        <v/>
      </c>
      <c r="O248" s="136">
        <f>IF($F248="","",IFERROR(INDEX(사건마스터!$AL$5:$AL$64,MATCH($F248,사건마스터!$A$5:$A$64,0)),""))</f>
        <v/>
      </c>
      <c r="P248" s="136">
        <f>IF($F248="","",IFERROR(INDEX(사건마스터!$AM$5:$AM$64,MATCH($F248,사건마스터!$A$5:$A$64,0)),""))</f>
        <v/>
      </c>
      <c r="Q248" s="136">
        <f>IF($F248="","",IFERROR(INDEX(사건마스터!$AN$5:$AN$64,MATCH($F248,사건마스터!$A$5:$A$64,0)),""))</f>
        <v/>
      </c>
      <c r="R248" s="136">
        <f>IF($F248="","",IFERROR(INDEX(사건마스터!$AO$5:$AO$64,MATCH($F248,사건마스터!$A$5:$A$64,0)),""))</f>
        <v/>
      </c>
      <c r="S248" s="136">
        <f>IF($F248="","",IFERROR(INDEX(사건마스터!$AP$5:$AP$64,MATCH($F248,사건마스터!$A$5:$A$64,0)),""))</f>
        <v/>
      </c>
      <c r="T248" s="136">
        <f>IF($F248="","",IFERROR(INDEX(사건마스터!$AQ$5:$AQ$64,MATCH($F248,사건마스터!$A$5:$A$64,0)),""))</f>
        <v/>
      </c>
      <c r="U248" s="136">
        <f>IF($F248="","",IFERROR(INDEX(사건마스터!$AR$5:$AR$64,MATCH($F248,사건마스터!$A$5:$A$64,0)),""))</f>
        <v/>
      </c>
      <c r="V248" s="136">
        <f>IF($F248="","",IFERROR(INDEX(사건마스터!$AS$5:$AS$64,MATCH($F248,사건마스터!$A$5:$A$64,0)),""))</f>
        <v/>
      </c>
      <c r="W248" s="136">
        <f>IF($F248="","",IFERROR(INDEX(사건마스터!$AT$5:$AT$64,MATCH($F248,사건마스터!$A$5:$A$64,0)),""))</f>
        <v/>
      </c>
      <c r="X248" s="136">
        <f>IF($F248="","",IFERROR(INDEX(사건마스터!$AU$5:$AU$64,MATCH($F248,사건마스터!$A$5:$A$64,0)),""))</f>
        <v/>
      </c>
      <c r="Y248" s="136">
        <f>IF($F248="","",IFERROR(INDEX(사건마스터!$AV$5:$AV$64,MATCH($F248,사건마스터!$A$5:$A$64,0)),""))</f>
        <v/>
      </c>
      <c r="Z248" s="118">
        <f>IF(COUNTBLANK($J248:$Y248)=16,"",16-COUNTBLANK($J248:$Y248))</f>
        <v/>
      </c>
      <c r="AA248" s="33">
        <f>IF($J248="",MID($AX248,3,255),$J248&amp;$AX248)</f>
        <v/>
      </c>
      <c r="AB248" s="130">
        <f>IF($J248="","",IFERROR(INDEX(코드설정!$D$5:$D$24,MATCH($J248,코드설정!$C$5:$C$24,0)),""))</f>
        <v/>
      </c>
      <c r="AC248" s="36" t="n"/>
      <c r="AD248" s="37" t="n"/>
      <c r="AE248" s="38" t="n"/>
      <c r="AF248" s="118">
        <f>IF(OR($B248="",$C248=""),"",$C248-$B248+1)</f>
        <v/>
      </c>
      <c r="AG248" s="74" t="n"/>
      <c r="AH248" s="36" t="n"/>
      <c r="AJ248">
        <f>IF($K248="","",", "&amp;$K248)</f>
        <v/>
      </c>
      <c r="AK248">
        <f>AJ248&amp;IF($L248="","",", "&amp;$L248)</f>
        <v/>
      </c>
      <c r="AL248">
        <f>AK248&amp;IF($M248="","",", "&amp;$M248)</f>
        <v/>
      </c>
      <c r="AM248">
        <f>AL248&amp;IF($N248="","",", "&amp;$N248)</f>
        <v/>
      </c>
      <c r="AN248">
        <f>AM248&amp;IF($O248="","",", "&amp;$O248)</f>
        <v/>
      </c>
      <c r="AO248">
        <f>AN248&amp;IF($P248="","",", "&amp;$P248)</f>
        <v/>
      </c>
      <c r="AP248">
        <f>AO248&amp;IF($Q248="","",", "&amp;$Q248)</f>
        <v/>
      </c>
      <c r="AQ248">
        <f>AP248&amp;IF($R248="","",", "&amp;$R248)</f>
        <v/>
      </c>
      <c r="AR248">
        <f>AQ248&amp;IF($S248="","",", "&amp;$S248)</f>
        <v/>
      </c>
      <c r="AS248">
        <f>AR248&amp;IF($T248="","",", "&amp;$T248)</f>
        <v/>
      </c>
      <c r="AT248">
        <f>AS248&amp;IF($U248="","",", "&amp;$U248)</f>
        <v/>
      </c>
      <c r="AU248">
        <f>AT248&amp;IF($V248="","",", "&amp;$V248)</f>
        <v/>
      </c>
      <c r="AV248">
        <f>AU248&amp;IF($W248="","",", "&amp;$W248)</f>
        <v/>
      </c>
      <c r="AW248">
        <f>AV248&amp;IF($X248="","",", "&amp;$X248)</f>
        <v/>
      </c>
      <c r="AX248">
        <f>AW248&amp;IF($Y248="","",", "&amp;$Y248)</f>
        <v/>
      </c>
    </row>
    <row r="249">
      <c r="A249" s="118">
        <f>IF($B249="","",COUNT($B$5:$B249))</f>
        <v/>
      </c>
      <c r="B249" s="80" t="n"/>
      <c r="C249" s="80" t="n"/>
      <c r="D249" s="74" t="n"/>
      <c r="E249" s="74" t="n"/>
      <c r="F249" s="74" t="n"/>
      <c r="G249" s="118">
        <f>IF($F249="","",COUNTIF($F$5:$F249,$F249))</f>
        <v/>
      </c>
      <c r="H249" s="33">
        <f>IF($F249="","",IFERROR(INDEX(사건마스터!$B$5:$B$64,MATCH($F249,사건마스터!$A$5:$A$64,0)),""))</f>
        <v/>
      </c>
      <c r="I249" s="130">
        <f>IF($F249="","",IFERROR(INDEX(사건마스터!$C$5:$C$64,MATCH($F249,사건마스터!$A$5:$A$64,0)),""))</f>
        <v/>
      </c>
      <c r="J249" s="136">
        <f>IF($F249="","",IFERROR(INDEX(사건마스터!$H$5:$H$64,MATCH($F249,사건마스터!$A$5:$A$64,0)),""))</f>
        <v/>
      </c>
      <c r="K249" s="136">
        <f>IF($F249="","",IFERROR(INDEX(사건마스터!$AH$5:$AH$64,MATCH($F249,사건마스터!$A$5:$A$64,0)),""))</f>
        <v/>
      </c>
      <c r="L249" s="136">
        <f>IF($F249="","",IFERROR(INDEX(사건마스터!$AI$5:$AI$64,MATCH($F249,사건마스터!$A$5:$A$64,0)),""))</f>
        <v/>
      </c>
      <c r="M249" s="136">
        <f>IF($F249="","",IFERROR(INDEX(사건마스터!$AJ$5:$AJ$64,MATCH($F249,사건마스터!$A$5:$A$64,0)),""))</f>
        <v/>
      </c>
      <c r="N249" s="136">
        <f>IF($F249="","",IFERROR(INDEX(사건마스터!$AK$5:$AK$64,MATCH($F249,사건마스터!$A$5:$A$64,0)),""))</f>
        <v/>
      </c>
      <c r="O249" s="136">
        <f>IF($F249="","",IFERROR(INDEX(사건마스터!$AL$5:$AL$64,MATCH($F249,사건마스터!$A$5:$A$64,0)),""))</f>
        <v/>
      </c>
      <c r="P249" s="136">
        <f>IF($F249="","",IFERROR(INDEX(사건마스터!$AM$5:$AM$64,MATCH($F249,사건마스터!$A$5:$A$64,0)),""))</f>
        <v/>
      </c>
      <c r="Q249" s="136">
        <f>IF($F249="","",IFERROR(INDEX(사건마스터!$AN$5:$AN$64,MATCH($F249,사건마스터!$A$5:$A$64,0)),""))</f>
        <v/>
      </c>
      <c r="R249" s="136">
        <f>IF($F249="","",IFERROR(INDEX(사건마스터!$AO$5:$AO$64,MATCH($F249,사건마스터!$A$5:$A$64,0)),""))</f>
        <v/>
      </c>
      <c r="S249" s="136">
        <f>IF($F249="","",IFERROR(INDEX(사건마스터!$AP$5:$AP$64,MATCH($F249,사건마스터!$A$5:$A$64,0)),""))</f>
        <v/>
      </c>
      <c r="T249" s="136">
        <f>IF($F249="","",IFERROR(INDEX(사건마스터!$AQ$5:$AQ$64,MATCH($F249,사건마스터!$A$5:$A$64,0)),""))</f>
        <v/>
      </c>
      <c r="U249" s="136">
        <f>IF($F249="","",IFERROR(INDEX(사건마스터!$AR$5:$AR$64,MATCH($F249,사건마스터!$A$5:$A$64,0)),""))</f>
        <v/>
      </c>
      <c r="V249" s="136">
        <f>IF($F249="","",IFERROR(INDEX(사건마스터!$AS$5:$AS$64,MATCH($F249,사건마스터!$A$5:$A$64,0)),""))</f>
        <v/>
      </c>
      <c r="W249" s="136">
        <f>IF($F249="","",IFERROR(INDEX(사건마스터!$AT$5:$AT$64,MATCH($F249,사건마스터!$A$5:$A$64,0)),""))</f>
        <v/>
      </c>
      <c r="X249" s="136">
        <f>IF($F249="","",IFERROR(INDEX(사건마스터!$AU$5:$AU$64,MATCH($F249,사건마스터!$A$5:$A$64,0)),""))</f>
        <v/>
      </c>
      <c r="Y249" s="136">
        <f>IF($F249="","",IFERROR(INDEX(사건마스터!$AV$5:$AV$64,MATCH($F249,사건마스터!$A$5:$A$64,0)),""))</f>
        <v/>
      </c>
      <c r="Z249" s="118">
        <f>IF(COUNTBLANK($J249:$Y249)=16,"",16-COUNTBLANK($J249:$Y249))</f>
        <v/>
      </c>
      <c r="AA249" s="33">
        <f>IF($J249="",MID($AX249,3,255),$J249&amp;$AX249)</f>
        <v/>
      </c>
      <c r="AB249" s="130">
        <f>IF($J249="","",IFERROR(INDEX(코드설정!$D$5:$D$24,MATCH($J249,코드설정!$C$5:$C$24,0)),""))</f>
        <v/>
      </c>
      <c r="AC249" s="36" t="n"/>
      <c r="AD249" s="37" t="n"/>
      <c r="AE249" s="38" t="n"/>
      <c r="AF249" s="118">
        <f>IF(OR($B249="",$C249=""),"",$C249-$B249+1)</f>
        <v/>
      </c>
      <c r="AG249" s="74" t="n"/>
      <c r="AH249" s="36" t="n"/>
      <c r="AJ249">
        <f>IF($K249="","",", "&amp;$K249)</f>
        <v/>
      </c>
      <c r="AK249">
        <f>AJ249&amp;IF($L249="","",", "&amp;$L249)</f>
        <v/>
      </c>
      <c r="AL249">
        <f>AK249&amp;IF($M249="","",", "&amp;$M249)</f>
        <v/>
      </c>
      <c r="AM249">
        <f>AL249&amp;IF($N249="","",", "&amp;$N249)</f>
        <v/>
      </c>
      <c r="AN249">
        <f>AM249&amp;IF($O249="","",", "&amp;$O249)</f>
        <v/>
      </c>
      <c r="AO249">
        <f>AN249&amp;IF($P249="","",", "&amp;$P249)</f>
        <v/>
      </c>
      <c r="AP249">
        <f>AO249&amp;IF($Q249="","",", "&amp;$Q249)</f>
        <v/>
      </c>
      <c r="AQ249">
        <f>AP249&amp;IF($R249="","",", "&amp;$R249)</f>
        <v/>
      </c>
      <c r="AR249">
        <f>AQ249&amp;IF($S249="","",", "&amp;$S249)</f>
        <v/>
      </c>
      <c r="AS249">
        <f>AR249&amp;IF($T249="","",", "&amp;$T249)</f>
        <v/>
      </c>
      <c r="AT249">
        <f>AS249&amp;IF($U249="","",", "&amp;$U249)</f>
        <v/>
      </c>
      <c r="AU249">
        <f>AT249&amp;IF($V249="","",", "&amp;$V249)</f>
        <v/>
      </c>
      <c r="AV249">
        <f>AU249&amp;IF($W249="","",", "&amp;$W249)</f>
        <v/>
      </c>
      <c r="AW249">
        <f>AV249&amp;IF($X249="","",", "&amp;$X249)</f>
        <v/>
      </c>
      <c r="AX249">
        <f>AW249&amp;IF($Y249="","",", "&amp;$Y249)</f>
        <v/>
      </c>
    </row>
    <row r="250">
      <c r="A250" s="118">
        <f>IF($B250="","",COUNT($B$5:$B250))</f>
        <v/>
      </c>
      <c r="B250" s="80" t="n"/>
      <c r="C250" s="80" t="n"/>
      <c r="D250" s="74" t="n"/>
      <c r="E250" s="74" t="n"/>
      <c r="F250" s="74" t="n"/>
      <c r="G250" s="118">
        <f>IF($F250="","",COUNTIF($F$5:$F250,$F250))</f>
        <v/>
      </c>
      <c r="H250" s="33">
        <f>IF($F250="","",IFERROR(INDEX(사건마스터!$B$5:$B$64,MATCH($F250,사건마스터!$A$5:$A$64,0)),""))</f>
        <v/>
      </c>
      <c r="I250" s="130">
        <f>IF($F250="","",IFERROR(INDEX(사건마스터!$C$5:$C$64,MATCH($F250,사건마스터!$A$5:$A$64,0)),""))</f>
        <v/>
      </c>
      <c r="J250" s="136">
        <f>IF($F250="","",IFERROR(INDEX(사건마스터!$H$5:$H$64,MATCH($F250,사건마스터!$A$5:$A$64,0)),""))</f>
        <v/>
      </c>
      <c r="K250" s="136">
        <f>IF($F250="","",IFERROR(INDEX(사건마스터!$AH$5:$AH$64,MATCH($F250,사건마스터!$A$5:$A$64,0)),""))</f>
        <v/>
      </c>
      <c r="L250" s="136">
        <f>IF($F250="","",IFERROR(INDEX(사건마스터!$AI$5:$AI$64,MATCH($F250,사건마스터!$A$5:$A$64,0)),""))</f>
        <v/>
      </c>
      <c r="M250" s="136">
        <f>IF($F250="","",IFERROR(INDEX(사건마스터!$AJ$5:$AJ$64,MATCH($F250,사건마스터!$A$5:$A$64,0)),""))</f>
        <v/>
      </c>
      <c r="N250" s="136">
        <f>IF($F250="","",IFERROR(INDEX(사건마스터!$AK$5:$AK$64,MATCH($F250,사건마스터!$A$5:$A$64,0)),""))</f>
        <v/>
      </c>
      <c r="O250" s="136">
        <f>IF($F250="","",IFERROR(INDEX(사건마스터!$AL$5:$AL$64,MATCH($F250,사건마스터!$A$5:$A$64,0)),""))</f>
        <v/>
      </c>
      <c r="P250" s="136">
        <f>IF($F250="","",IFERROR(INDEX(사건마스터!$AM$5:$AM$64,MATCH($F250,사건마스터!$A$5:$A$64,0)),""))</f>
        <v/>
      </c>
      <c r="Q250" s="136">
        <f>IF($F250="","",IFERROR(INDEX(사건마스터!$AN$5:$AN$64,MATCH($F250,사건마스터!$A$5:$A$64,0)),""))</f>
        <v/>
      </c>
      <c r="R250" s="136">
        <f>IF($F250="","",IFERROR(INDEX(사건마스터!$AO$5:$AO$64,MATCH($F250,사건마스터!$A$5:$A$64,0)),""))</f>
        <v/>
      </c>
      <c r="S250" s="136">
        <f>IF($F250="","",IFERROR(INDEX(사건마스터!$AP$5:$AP$64,MATCH($F250,사건마스터!$A$5:$A$64,0)),""))</f>
        <v/>
      </c>
      <c r="T250" s="136">
        <f>IF($F250="","",IFERROR(INDEX(사건마스터!$AQ$5:$AQ$64,MATCH($F250,사건마스터!$A$5:$A$64,0)),""))</f>
        <v/>
      </c>
      <c r="U250" s="136">
        <f>IF($F250="","",IFERROR(INDEX(사건마스터!$AR$5:$AR$64,MATCH($F250,사건마스터!$A$5:$A$64,0)),""))</f>
        <v/>
      </c>
      <c r="V250" s="136">
        <f>IF($F250="","",IFERROR(INDEX(사건마스터!$AS$5:$AS$64,MATCH($F250,사건마스터!$A$5:$A$64,0)),""))</f>
        <v/>
      </c>
      <c r="W250" s="136">
        <f>IF($F250="","",IFERROR(INDEX(사건마스터!$AT$5:$AT$64,MATCH($F250,사건마스터!$A$5:$A$64,0)),""))</f>
        <v/>
      </c>
      <c r="X250" s="136">
        <f>IF($F250="","",IFERROR(INDEX(사건마스터!$AU$5:$AU$64,MATCH($F250,사건마스터!$A$5:$A$64,0)),""))</f>
        <v/>
      </c>
      <c r="Y250" s="136">
        <f>IF($F250="","",IFERROR(INDEX(사건마스터!$AV$5:$AV$64,MATCH($F250,사건마스터!$A$5:$A$64,0)),""))</f>
        <v/>
      </c>
      <c r="Z250" s="118">
        <f>IF(COUNTBLANK($J250:$Y250)=16,"",16-COUNTBLANK($J250:$Y250))</f>
        <v/>
      </c>
      <c r="AA250" s="33">
        <f>IF($J250="",MID($AX250,3,255),$J250&amp;$AX250)</f>
        <v/>
      </c>
      <c r="AB250" s="130">
        <f>IF($J250="","",IFERROR(INDEX(코드설정!$D$5:$D$24,MATCH($J250,코드설정!$C$5:$C$24,0)),""))</f>
        <v/>
      </c>
      <c r="AC250" s="36" t="n"/>
      <c r="AD250" s="37" t="n"/>
      <c r="AE250" s="38" t="n"/>
      <c r="AF250" s="118">
        <f>IF(OR($B250="",$C250=""),"",$C250-$B250+1)</f>
        <v/>
      </c>
      <c r="AG250" s="74" t="n"/>
      <c r="AH250" s="36" t="n"/>
      <c r="AJ250">
        <f>IF($K250="","",", "&amp;$K250)</f>
        <v/>
      </c>
      <c r="AK250">
        <f>AJ250&amp;IF($L250="","",", "&amp;$L250)</f>
        <v/>
      </c>
      <c r="AL250">
        <f>AK250&amp;IF($M250="","",", "&amp;$M250)</f>
        <v/>
      </c>
      <c r="AM250">
        <f>AL250&amp;IF($N250="","",", "&amp;$N250)</f>
        <v/>
      </c>
      <c r="AN250">
        <f>AM250&amp;IF($O250="","",", "&amp;$O250)</f>
        <v/>
      </c>
      <c r="AO250">
        <f>AN250&amp;IF($P250="","",", "&amp;$P250)</f>
        <v/>
      </c>
      <c r="AP250">
        <f>AO250&amp;IF($Q250="","",", "&amp;$Q250)</f>
        <v/>
      </c>
      <c r="AQ250">
        <f>AP250&amp;IF($R250="","",", "&amp;$R250)</f>
        <v/>
      </c>
      <c r="AR250">
        <f>AQ250&amp;IF($S250="","",", "&amp;$S250)</f>
        <v/>
      </c>
      <c r="AS250">
        <f>AR250&amp;IF($T250="","",", "&amp;$T250)</f>
        <v/>
      </c>
      <c r="AT250">
        <f>AS250&amp;IF($U250="","",", "&amp;$U250)</f>
        <v/>
      </c>
      <c r="AU250">
        <f>AT250&amp;IF($V250="","",", "&amp;$V250)</f>
        <v/>
      </c>
      <c r="AV250">
        <f>AU250&amp;IF($W250="","",", "&amp;$W250)</f>
        <v/>
      </c>
      <c r="AW250">
        <f>AV250&amp;IF($X250="","",", "&amp;$X250)</f>
        <v/>
      </c>
      <c r="AX250">
        <f>AW250&amp;IF($Y250="","",", "&amp;$Y250)</f>
        <v/>
      </c>
    </row>
    <row r="251">
      <c r="A251" s="118">
        <f>IF($B251="","",COUNT($B$5:$B251))</f>
        <v/>
      </c>
      <c r="B251" s="80" t="n"/>
      <c r="C251" s="80" t="n"/>
      <c r="D251" s="74" t="n"/>
      <c r="E251" s="74" t="n"/>
      <c r="F251" s="74" t="n"/>
      <c r="G251" s="118">
        <f>IF($F251="","",COUNTIF($F$5:$F251,$F251))</f>
        <v/>
      </c>
      <c r="H251" s="33">
        <f>IF($F251="","",IFERROR(INDEX(사건마스터!$B$5:$B$64,MATCH($F251,사건마스터!$A$5:$A$64,0)),""))</f>
        <v/>
      </c>
      <c r="I251" s="130">
        <f>IF($F251="","",IFERROR(INDEX(사건마스터!$C$5:$C$64,MATCH($F251,사건마스터!$A$5:$A$64,0)),""))</f>
        <v/>
      </c>
      <c r="J251" s="136">
        <f>IF($F251="","",IFERROR(INDEX(사건마스터!$H$5:$H$64,MATCH($F251,사건마스터!$A$5:$A$64,0)),""))</f>
        <v/>
      </c>
      <c r="K251" s="136">
        <f>IF($F251="","",IFERROR(INDEX(사건마스터!$AH$5:$AH$64,MATCH($F251,사건마스터!$A$5:$A$64,0)),""))</f>
        <v/>
      </c>
      <c r="L251" s="136">
        <f>IF($F251="","",IFERROR(INDEX(사건마스터!$AI$5:$AI$64,MATCH($F251,사건마스터!$A$5:$A$64,0)),""))</f>
        <v/>
      </c>
      <c r="M251" s="136">
        <f>IF($F251="","",IFERROR(INDEX(사건마스터!$AJ$5:$AJ$64,MATCH($F251,사건마스터!$A$5:$A$64,0)),""))</f>
        <v/>
      </c>
      <c r="N251" s="136">
        <f>IF($F251="","",IFERROR(INDEX(사건마스터!$AK$5:$AK$64,MATCH($F251,사건마스터!$A$5:$A$64,0)),""))</f>
        <v/>
      </c>
      <c r="O251" s="136">
        <f>IF($F251="","",IFERROR(INDEX(사건마스터!$AL$5:$AL$64,MATCH($F251,사건마스터!$A$5:$A$64,0)),""))</f>
        <v/>
      </c>
      <c r="P251" s="136">
        <f>IF($F251="","",IFERROR(INDEX(사건마스터!$AM$5:$AM$64,MATCH($F251,사건마스터!$A$5:$A$64,0)),""))</f>
        <v/>
      </c>
      <c r="Q251" s="136">
        <f>IF($F251="","",IFERROR(INDEX(사건마스터!$AN$5:$AN$64,MATCH($F251,사건마스터!$A$5:$A$64,0)),""))</f>
        <v/>
      </c>
      <c r="R251" s="136">
        <f>IF($F251="","",IFERROR(INDEX(사건마스터!$AO$5:$AO$64,MATCH($F251,사건마스터!$A$5:$A$64,0)),""))</f>
        <v/>
      </c>
      <c r="S251" s="136">
        <f>IF($F251="","",IFERROR(INDEX(사건마스터!$AP$5:$AP$64,MATCH($F251,사건마스터!$A$5:$A$64,0)),""))</f>
        <v/>
      </c>
      <c r="T251" s="136">
        <f>IF($F251="","",IFERROR(INDEX(사건마스터!$AQ$5:$AQ$64,MATCH($F251,사건마스터!$A$5:$A$64,0)),""))</f>
        <v/>
      </c>
      <c r="U251" s="136">
        <f>IF($F251="","",IFERROR(INDEX(사건마스터!$AR$5:$AR$64,MATCH($F251,사건마스터!$A$5:$A$64,0)),""))</f>
        <v/>
      </c>
      <c r="V251" s="136">
        <f>IF($F251="","",IFERROR(INDEX(사건마스터!$AS$5:$AS$64,MATCH($F251,사건마스터!$A$5:$A$64,0)),""))</f>
        <v/>
      </c>
      <c r="W251" s="136">
        <f>IF($F251="","",IFERROR(INDEX(사건마스터!$AT$5:$AT$64,MATCH($F251,사건마스터!$A$5:$A$64,0)),""))</f>
        <v/>
      </c>
      <c r="X251" s="136">
        <f>IF($F251="","",IFERROR(INDEX(사건마스터!$AU$5:$AU$64,MATCH($F251,사건마스터!$A$5:$A$64,0)),""))</f>
        <v/>
      </c>
      <c r="Y251" s="136">
        <f>IF($F251="","",IFERROR(INDEX(사건마스터!$AV$5:$AV$64,MATCH($F251,사건마스터!$A$5:$A$64,0)),""))</f>
        <v/>
      </c>
      <c r="Z251" s="118">
        <f>IF(COUNTBLANK($J251:$Y251)=16,"",16-COUNTBLANK($J251:$Y251))</f>
        <v/>
      </c>
      <c r="AA251" s="33">
        <f>IF($J251="",MID($AX251,3,255),$J251&amp;$AX251)</f>
        <v/>
      </c>
      <c r="AB251" s="130">
        <f>IF($J251="","",IFERROR(INDEX(코드설정!$D$5:$D$24,MATCH($J251,코드설정!$C$5:$C$24,0)),""))</f>
        <v/>
      </c>
      <c r="AC251" s="36" t="n"/>
      <c r="AD251" s="37" t="n"/>
      <c r="AE251" s="38" t="n"/>
      <c r="AF251" s="118">
        <f>IF(OR($B251="",$C251=""),"",$C251-$B251+1)</f>
        <v/>
      </c>
      <c r="AG251" s="74" t="n"/>
      <c r="AH251" s="36" t="n"/>
      <c r="AJ251">
        <f>IF($K251="","",", "&amp;$K251)</f>
        <v/>
      </c>
      <c r="AK251">
        <f>AJ251&amp;IF($L251="","",", "&amp;$L251)</f>
        <v/>
      </c>
      <c r="AL251">
        <f>AK251&amp;IF($M251="","",", "&amp;$M251)</f>
        <v/>
      </c>
      <c r="AM251">
        <f>AL251&amp;IF($N251="","",", "&amp;$N251)</f>
        <v/>
      </c>
      <c r="AN251">
        <f>AM251&amp;IF($O251="","",", "&amp;$O251)</f>
        <v/>
      </c>
      <c r="AO251">
        <f>AN251&amp;IF($P251="","",", "&amp;$P251)</f>
        <v/>
      </c>
      <c r="AP251">
        <f>AO251&amp;IF($Q251="","",", "&amp;$Q251)</f>
        <v/>
      </c>
      <c r="AQ251">
        <f>AP251&amp;IF($R251="","",", "&amp;$R251)</f>
        <v/>
      </c>
      <c r="AR251">
        <f>AQ251&amp;IF($S251="","",", "&amp;$S251)</f>
        <v/>
      </c>
      <c r="AS251">
        <f>AR251&amp;IF($T251="","",", "&amp;$T251)</f>
        <v/>
      </c>
      <c r="AT251">
        <f>AS251&amp;IF($U251="","",", "&amp;$U251)</f>
        <v/>
      </c>
      <c r="AU251">
        <f>AT251&amp;IF($V251="","",", "&amp;$V251)</f>
        <v/>
      </c>
      <c r="AV251">
        <f>AU251&amp;IF($W251="","",", "&amp;$W251)</f>
        <v/>
      </c>
      <c r="AW251">
        <f>AV251&amp;IF($X251="","",", "&amp;$X251)</f>
        <v/>
      </c>
      <c r="AX251">
        <f>AW251&amp;IF($Y251="","",", "&amp;$Y251)</f>
        <v/>
      </c>
    </row>
    <row r="252">
      <c r="A252" s="118">
        <f>IF($B252="","",COUNT($B$5:$B252))</f>
        <v/>
      </c>
      <c r="B252" s="80" t="n"/>
      <c r="C252" s="80" t="n"/>
      <c r="D252" s="74" t="n"/>
      <c r="E252" s="74" t="n"/>
      <c r="F252" s="74" t="n"/>
      <c r="G252" s="118">
        <f>IF($F252="","",COUNTIF($F$5:$F252,$F252))</f>
        <v/>
      </c>
      <c r="H252" s="33">
        <f>IF($F252="","",IFERROR(INDEX(사건마스터!$B$5:$B$64,MATCH($F252,사건마스터!$A$5:$A$64,0)),""))</f>
        <v/>
      </c>
      <c r="I252" s="130">
        <f>IF($F252="","",IFERROR(INDEX(사건마스터!$C$5:$C$64,MATCH($F252,사건마스터!$A$5:$A$64,0)),""))</f>
        <v/>
      </c>
      <c r="J252" s="136">
        <f>IF($F252="","",IFERROR(INDEX(사건마스터!$H$5:$H$64,MATCH($F252,사건마스터!$A$5:$A$64,0)),""))</f>
        <v/>
      </c>
      <c r="K252" s="136">
        <f>IF($F252="","",IFERROR(INDEX(사건마스터!$AH$5:$AH$64,MATCH($F252,사건마스터!$A$5:$A$64,0)),""))</f>
        <v/>
      </c>
      <c r="L252" s="136">
        <f>IF($F252="","",IFERROR(INDEX(사건마스터!$AI$5:$AI$64,MATCH($F252,사건마스터!$A$5:$A$64,0)),""))</f>
        <v/>
      </c>
      <c r="M252" s="136">
        <f>IF($F252="","",IFERROR(INDEX(사건마스터!$AJ$5:$AJ$64,MATCH($F252,사건마스터!$A$5:$A$64,0)),""))</f>
        <v/>
      </c>
      <c r="N252" s="136">
        <f>IF($F252="","",IFERROR(INDEX(사건마스터!$AK$5:$AK$64,MATCH($F252,사건마스터!$A$5:$A$64,0)),""))</f>
        <v/>
      </c>
      <c r="O252" s="136">
        <f>IF($F252="","",IFERROR(INDEX(사건마스터!$AL$5:$AL$64,MATCH($F252,사건마스터!$A$5:$A$64,0)),""))</f>
        <v/>
      </c>
      <c r="P252" s="136">
        <f>IF($F252="","",IFERROR(INDEX(사건마스터!$AM$5:$AM$64,MATCH($F252,사건마스터!$A$5:$A$64,0)),""))</f>
        <v/>
      </c>
      <c r="Q252" s="136">
        <f>IF($F252="","",IFERROR(INDEX(사건마스터!$AN$5:$AN$64,MATCH($F252,사건마스터!$A$5:$A$64,0)),""))</f>
        <v/>
      </c>
      <c r="R252" s="136">
        <f>IF($F252="","",IFERROR(INDEX(사건마스터!$AO$5:$AO$64,MATCH($F252,사건마스터!$A$5:$A$64,0)),""))</f>
        <v/>
      </c>
      <c r="S252" s="136">
        <f>IF($F252="","",IFERROR(INDEX(사건마스터!$AP$5:$AP$64,MATCH($F252,사건마스터!$A$5:$A$64,0)),""))</f>
        <v/>
      </c>
      <c r="T252" s="136">
        <f>IF($F252="","",IFERROR(INDEX(사건마스터!$AQ$5:$AQ$64,MATCH($F252,사건마스터!$A$5:$A$64,0)),""))</f>
        <v/>
      </c>
      <c r="U252" s="136">
        <f>IF($F252="","",IFERROR(INDEX(사건마스터!$AR$5:$AR$64,MATCH($F252,사건마스터!$A$5:$A$64,0)),""))</f>
        <v/>
      </c>
      <c r="V252" s="136">
        <f>IF($F252="","",IFERROR(INDEX(사건마스터!$AS$5:$AS$64,MATCH($F252,사건마스터!$A$5:$A$64,0)),""))</f>
        <v/>
      </c>
      <c r="W252" s="136">
        <f>IF($F252="","",IFERROR(INDEX(사건마스터!$AT$5:$AT$64,MATCH($F252,사건마스터!$A$5:$A$64,0)),""))</f>
        <v/>
      </c>
      <c r="X252" s="136">
        <f>IF($F252="","",IFERROR(INDEX(사건마스터!$AU$5:$AU$64,MATCH($F252,사건마스터!$A$5:$A$64,0)),""))</f>
        <v/>
      </c>
      <c r="Y252" s="136">
        <f>IF($F252="","",IFERROR(INDEX(사건마스터!$AV$5:$AV$64,MATCH($F252,사건마스터!$A$5:$A$64,0)),""))</f>
        <v/>
      </c>
      <c r="Z252" s="118">
        <f>IF(COUNTBLANK($J252:$Y252)=16,"",16-COUNTBLANK($J252:$Y252))</f>
        <v/>
      </c>
      <c r="AA252" s="33">
        <f>IF($J252="",MID($AX252,3,255),$J252&amp;$AX252)</f>
        <v/>
      </c>
      <c r="AB252" s="130">
        <f>IF($J252="","",IFERROR(INDEX(코드설정!$D$5:$D$24,MATCH($J252,코드설정!$C$5:$C$24,0)),""))</f>
        <v/>
      </c>
      <c r="AC252" s="36" t="n"/>
      <c r="AD252" s="37" t="n"/>
      <c r="AE252" s="38" t="n"/>
      <c r="AF252" s="118">
        <f>IF(OR($B252="",$C252=""),"",$C252-$B252+1)</f>
        <v/>
      </c>
      <c r="AG252" s="74" t="n"/>
      <c r="AH252" s="36" t="n"/>
      <c r="AJ252">
        <f>IF($K252="","",", "&amp;$K252)</f>
        <v/>
      </c>
      <c r="AK252">
        <f>AJ252&amp;IF($L252="","",", "&amp;$L252)</f>
        <v/>
      </c>
      <c r="AL252">
        <f>AK252&amp;IF($M252="","",", "&amp;$M252)</f>
        <v/>
      </c>
      <c r="AM252">
        <f>AL252&amp;IF($N252="","",", "&amp;$N252)</f>
        <v/>
      </c>
      <c r="AN252">
        <f>AM252&amp;IF($O252="","",", "&amp;$O252)</f>
        <v/>
      </c>
      <c r="AO252">
        <f>AN252&amp;IF($P252="","",", "&amp;$P252)</f>
        <v/>
      </c>
      <c r="AP252">
        <f>AO252&amp;IF($Q252="","",", "&amp;$Q252)</f>
        <v/>
      </c>
      <c r="AQ252">
        <f>AP252&amp;IF($R252="","",", "&amp;$R252)</f>
        <v/>
      </c>
      <c r="AR252">
        <f>AQ252&amp;IF($S252="","",", "&amp;$S252)</f>
        <v/>
      </c>
      <c r="AS252">
        <f>AR252&amp;IF($T252="","",", "&amp;$T252)</f>
        <v/>
      </c>
      <c r="AT252">
        <f>AS252&amp;IF($U252="","",", "&amp;$U252)</f>
        <v/>
      </c>
      <c r="AU252">
        <f>AT252&amp;IF($V252="","",", "&amp;$V252)</f>
        <v/>
      </c>
      <c r="AV252">
        <f>AU252&amp;IF($W252="","",", "&amp;$W252)</f>
        <v/>
      </c>
      <c r="AW252">
        <f>AV252&amp;IF($X252="","",", "&amp;$X252)</f>
        <v/>
      </c>
      <c r="AX252">
        <f>AW252&amp;IF($Y252="","",", "&amp;$Y252)</f>
        <v/>
      </c>
    </row>
    <row r="253">
      <c r="A253" s="118">
        <f>IF($B253="","",COUNT($B$5:$B253))</f>
        <v/>
      </c>
      <c r="B253" s="80" t="n"/>
      <c r="C253" s="80" t="n"/>
      <c r="D253" s="74" t="n"/>
      <c r="E253" s="74" t="n"/>
      <c r="F253" s="74" t="n"/>
      <c r="G253" s="118">
        <f>IF($F253="","",COUNTIF($F$5:$F253,$F253))</f>
        <v/>
      </c>
      <c r="H253" s="33">
        <f>IF($F253="","",IFERROR(INDEX(사건마스터!$B$5:$B$64,MATCH($F253,사건마스터!$A$5:$A$64,0)),""))</f>
        <v/>
      </c>
      <c r="I253" s="130">
        <f>IF($F253="","",IFERROR(INDEX(사건마스터!$C$5:$C$64,MATCH($F253,사건마스터!$A$5:$A$64,0)),""))</f>
        <v/>
      </c>
      <c r="J253" s="136">
        <f>IF($F253="","",IFERROR(INDEX(사건마스터!$H$5:$H$64,MATCH($F253,사건마스터!$A$5:$A$64,0)),""))</f>
        <v/>
      </c>
      <c r="K253" s="136">
        <f>IF($F253="","",IFERROR(INDEX(사건마스터!$AH$5:$AH$64,MATCH($F253,사건마스터!$A$5:$A$64,0)),""))</f>
        <v/>
      </c>
      <c r="L253" s="136">
        <f>IF($F253="","",IFERROR(INDEX(사건마스터!$AI$5:$AI$64,MATCH($F253,사건마스터!$A$5:$A$64,0)),""))</f>
        <v/>
      </c>
      <c r="M253" s="136">
        <f>IF($F253="","",IFERROR(INDEX(사건마스터!$AJ$5:$AJ$64,MATCH($F253,사건마스터!$A$5:$A$64,0)),""))</f>
        <v/>
      </c>
      <c r="N253" s="136">
        <f>IF($F253="","",IFERROR(INDEX(사건마스터!$AK$5:$AK$64,MATCH($F253,사건마스터!$A$5:$A$64,0)),""))</f>
        <v/>
      </c>
      <c r="O253" s="136">
        <f>IF($F253="","",IFERROR(INDEX(사건마스터!$AL$5:$AL$64,MATCH($F253,사건마스터!$A$5:$A$64,0)),""))</f>
        <v/>
      </c>
      <c r="P253" s="136">
        <f>IF($F253="","",IFERROR(INDEX(사건마스터!$AM$5:$AM$64,MATCH($F253,사건마스터!$A$5:$A$64,0)),""))</f>
        <v/>
      </c>
      <c r="Q253" s="136">
        <f>IF($F253="","",IFERROR(INDEX(사건마스터!$AN$5:$AN$64,MATCH($F253,사건마스터!$A$5:$A$64,0)),""))</f>
        <v/>
      </c>
      <c r="R253" s="136">
        <f>IF($F253="","",IFERROR(INDEX(사건마스터!$AO$5:$AO$64,MATCH($F253,사건마스터!$A$5:$A$64,0)),""))</f>
        <v/>
      </c>
      <c r="S253" s="136">
        <f>IF($F253="","",IFERROR(INDEX(사건마스터!$AP$5:$AP$64,MATCH($F253,사건마스터!$A$5:$A$64,0)),""))</f>
        <v/>
      </c>
      <c r="T253" s="136">
        <f>IF($F253="","",IFERROR(INDEX(사건마스터!$AQ$5:$AQ$64,MATCH($F253,사건마스터!$A$5:$A$64,0)),""))</f>
        <v/>
      </c>
      <c r="U253" s="136">
        <f>IF($F253="","",IFERROR(INDEX(사건마스터!$AR$5:$AR$64,MATCH($F253,사건마스터!$A$5:$A$64,0)),""))</f>
        <v/>
      </c>
      <c r="V253" s="136">
        <f>IF($F253="","",IFERROR(INDEX(사건마스터!$AS$5:$AS$64,MATCH($F253,사건마스터!$A$5:$A$64,0)),""))</f>
        <v/>
      </c>
      <c r="W253" s="136">
        <f>IF($F253="","",IFERROR(INDEX(사건마스터!$AT$5:$AT$64,MATCH($F253,사건마스터!$A$5:$A$64,0)),""))</f>
        <v/>
      </c>
      <c r="X253" s="136">
        <f>IF($F253="","",IFERROR(INDEX(사건마스터!$AU$5:$AU$64,MATCH($F253,사건마스터!$A$5:$A$64,0)),""))</f>
        <v/>
      </c>
      <c r="Y253" s="136">
        <f>IF($F253="","",IFERROR(INDEX(사건마스터!$AV$5:$AV$64,MATCH($F253,사건마스터!$A$5:$A$64,0)),""))</f>
        <v/>
      </c>
      <c r="Z253" s="118">
        <f>IF(COUNTBLANK($J253:$Y253)=16,"",16-COUNTBLANK($J253:$Y253))</f>
        <v/>
      </c>
      <c r="AA253" s="33">
        <f>IF($J253="",MID($AX253,3,255),$J253&amp;$AX253)</f>
        <v/>
      </c>
      <c r="AB253" s="130">
        <f>IF($J253="","",IFERROR(INDEX(코드설정!$D$5:$D$24,MATCH($J253,코드설정!$C$5:$C$24,0)),""))</f>
        <v/>
      </c>
      <c r="AC253" s="36" t="n"/>
      <c r="AD253" s="37" t="n"/>
      <c r="AE253" s="38" t="n"/>
      <c r="AF253" s="118">
        <f>IF(OR($B253="",$C253=""),"",$C253-$B253+1)</f>
        <v/>
      </c>
      <c r="AG253" s="74" t="n"/>
      <c r="AH253" s="36" t="n"/>
      <c r="AJ253">
        <f>IF($K253="","",", "&amp;$K253)</f>
        <v/>
      </c>
      <c r="AK253">
        <f>AJ253&amp;IF($L253="","",", "&amp;$L253)</f>
        <v/>
      </c>
      <c r="AL253">
        <f>AK253&amp;IF($M253="","",", "&amp;$M253)</f>
        <v/>
      </c>
      <c r="AM253">
        <f>AL253&amp;IF($N253="","",", "&amp;$N253)</f>
        <v/>
      </c>
      <c r="AN253">
        <f>AM253&amp;IF($O253="","",", "&amp;$O253)</f>
        <v/>
      </c>
      <c r="AO253">
        <f>AN253&amp;IF($P253="","",", "&amp;$P253)</f>
        <v/>
      </c>
      <c r="AP253">
        <f>AO253&amp;IF($Q253="","",", "&amp;$Q253)</f>
        <v/>
      </c>
      <c r="AQ253">
        <f>AP253&amp;IF($R253="","",", "&amp;$R253)</f>
        <v/>
      </c>
      <c r="AR253">
        <f>AQ253&amp;IF($S253="","",", "&amp;$S253)</f>
        <v/>
      </c>
      <c r="AS253">
        <f>AR253&amp;IF($T253="","",", "&amp;$T253)</f>
        <v/>
      </c>
      <c r="AT253">
        <f>AS253&amp;IF($U253="","",", "&amp;$U253)</f>
        <v/>
      </c>
      <c r="AU253">
        <f>AT253&amp;IF($V253="","",", "&amp;$V253)</f>
        <v/>
      </c>
      <c r="AV253">
        <f>AU253&amp;IF($W253="","",", "&amp;$W253)</f>
        <v/>
      </c>
      <c r="AW253">
        <f>AV253&amp;IF($X253="","",", "&amp;$X253)</f>
        <v/>
      </c>
      <c r="AX253">
        <f>AW253&amp;IF($Y253="","",", "&amp;$Y253)</f>
        <v/>
      </c>
    </row>
    <row r="254">
      <c r="A254" s="118">
        <f>IF($B254="","",COUNT($B$5:$B254))</f>
        <v/>
      </c>
      <c r="B254" s="80" t="n"/>
      <c r="C254" s="80" t="n"/>
      <c r="D254" s="74" t="n"/>
      <c r="E254" s="74" t="n"/>
      <c r="F254" s="74" t="n"/>
      <c r="G254" s="118">
        <f>IF($F254="","",COUNTIF($F$5:$F254,$F254))</f>
        <v/>
      </c>
      <c r="H254" s="33">
        <f>IF($F254="","",IFERROR(INDEX(사건마스터!$B$5:$B$64,MATCH($F254,사건마스터!$A$5:$A$64,0)),""))</f>
        <v/>
      </c>
      <c r="I254" s="130">
        <f>IF($F254="","",IFERROR(INDEX(사건마스터!$C$5:$C$64,MATCH($F254,사건마스터!$A$5:$A$64,0)),""))</f>
        <v/>
      </c>
      <c r="J254" s="136">
        <f>IF($F254="","",IFERROR(INDEX(사건마스터!$H$5:$H$64,MATCH($F254,사건마스터!$A$5:$A$64,0)),""))</f>
        <v/>
      </c>
      <c r="K254" s="136">
        <f>IF($F254="","",IFERROR(INDEX(사건마스터!$AH$5:$AH$64,MATCH($F254,사건마스터!$A$5:$A$64,0)),""))</f>
        <v/>
      </c>
      <c r="L254" s="136">
        <f>IF($F254="","",IFERROR(INDEX(사건마스터!$AI$5:$AI$64,MATCH($F254,사건마스터!$A$5:$A$64,0)),""))</f>
        <v/>
      </c>
      <c r="M254" s="136">
        <f>IF($F254="","",IFERROR(INDEX(사건마스터!$AJ$5:$AJ$64,MATCH($F254,사건마스터!$A$5:$A$64,0)),""))</f>
        <v/>
      </c>
      <c r="N254" s="136">
        <f>IF($F254="","",IFERROR(INDEX(사건마스터!$AK$5:$AK$64,MATCH($F254,사건마스터!$A$5:$A$64,0)),""))</f>
        <v/>
      </c>
      <c r="O254" s="136">
        <f>IF($F254="","",IFERROR(INDEX(사건마스터!$AL$5:$AL$64,MATCH($F254,사건마스터!$A$5:$A$64,0)),""))</f>
        <v/>
      </c>
      <c r="P254" s="136">
        <f>IF($F254="","",IFERROR(INDEX(사건마스터!$AM$5:$AM$64,MATCH($F254,사건마스터!$A$5:$A$64,0)),""))</f>
        <v/>
      </c>
      <c r="Q254" s="136">
        <f>IF($F254="","",IFERROR(INDEX(사건마스터!$AN$5:$AN$64,MATCH($F254,사건마스터!$A$5:$A$64,0)),""))</f>
        <v/>
      </c>
      <c r="R254" s="136">
        <f>IF($F254="","",IFERROR(INDEX(사건마스터!$AO$5:$AO$64,MATCH($F254,사건마스터!$A$5:$A$64,0)),""))</f>
        <v/>
      </c>
      <c r="S254" s="136">
        <f>IF($F254="","",IFERROR(INDEX(사건마스터!$AP$5:$AP$64,MATCH($F254,사건마스터!$A$5:$A$64,0)),""))</f>
        <v/>
      </c>
      <c r="T254" s="136">
        <f>IF($F254="","",IFERROR(INDEX(사건마스터!$AQ$5:$AQ$64,MATCH($F254,사건마스터!$A$5:$A$64,0)),""))</f>
        <v/>
      </c>
      <c r="U254" s="136">
        <f>IF($F254="","",IFERROR(INDEX(사건마스터!$AR$5:$AR$64,MATCH($F254,사건마스터!$A$5:$A$64,0)),""))</f>
        <v/>
      </c>
      <c r="V254" s="136">
        <f>IF($F254="","",IFERROR(INDEX(사건마스터!$AS$5:$AS$64,MATCH($F254,사건마스터!$A$5:$A$64,0)),""))</f>
        <v/>
      </c>
      <c r="W254" s="136">
        <f>IF($F254="","",IFERROR(INDEX(사건마스터!$AT$5:$AT$64,MATCH($F254,사건마스터!$A$5:$A$64,0)),""))</f>
        <v/>
      </c>
      <c r="X254" s="136">
        <f>IF($F254="","",IFERROR(INDEX(사건마스터!$AU$5:$AU$64,MATCH($F254,사건마스터!$A$5:$A$64,0)),""))</f>
        <v/>
      </c>
      <c r="Y254" s="136">
        <f>IF($F254="","",IFERROR(INDEX(사건마스터!$AV$5:$AV$64,MATCH($F254,사건마스터!$A$5:$A$64,0)),""))</f>
        <v/>
      </c>
      <c r="Z254" s="118">
        <f>IF(COUNTBLANK($J254:$Y254)=16,"",16-COUNTBLANK($J254:$Y254))</f>
        <v/>
      </c>
      <c r="AA254" s="33">
        <f>IF($J254="",MID($AX254,3,255),$J254&amp;$AX254)</f>
        <v/>
      </c>
      <c r="AB254" s="130">
        <f>IF($J254="","",IFERROR(INDEX(코드설정!$D$5:$D$24,MATCH($J254,코드설정!$C$5:$C$24,0)),""))</f>
        <v/>
      </c>
      <c r="AC254" s="36" t="n"/>
      <c r="AD254" s="37" t="n"/>
      <c r="AE254" s="38" t="n"/>
      <c r="AF254" s="118">
        <f>IF(OR($B254="",$C254=""),"",$C254-$B254+1)</f>
        <v/>
      </c>
      <c r="AG254" s="74" t="n"/>
      <c r="AH254" s="36" t="n"/>
      <c r="AJ254">
        <f>IF($K254="","",", "&amp;$K254)</f>
        <v/>
      </c>
      <c r="AK254">
        <f>AJ254&amp;IF($L254="","",", "&amp;$L254)</f>
        <v/>
      </c>
      <c r="AL254">
        <f>AK254&amp;IF($M254="","",", "&amp;$M254)</f>
        <v/>
      </c>
      <c r="AM254">
        <f>AL254&amp;IF($N254="","",", "&amp;$N254)</f>
        <v/>
      </c>
      <c r="AN254">
        <f>AM254&amp;IF($O254="","",", "&amp;$O254)</f>
        <v/>
      </c>
      <c r="AO254">
        <f>AN254&amp;IF($P254="","",", "&amp;$P254)</f>
        <v/>
      </c>
      <c r="AP254">
        <f>AO254&amp;IF($Q254="","",", "&amp;$Q254)</f>
        <v/>
      </c>
      <c r="AQ254">
        <f>AP254&amp;IF($R254="","",", "&amp;$R254)</f>
        <v/>
      </c>
      <c r="AR254">
        <f>AQ254&amp;IF($S254="","",", "&amp;$S254)</f>
        <v/>
      </c>
      <c r="AS254">
        <f>AR254&amp;IF($T254="","",", "&amp;$T254)</f>
        <v/>
      </c>
      <c r="AT254">
        <f>AS254&amp;IF($U254="","",", "&amp;$U254)</f>
        <v/>
      </c>
      <c r="AU254">
        <f>AT254&amp;IF($V254="","",", "&amp;$V254)</f>
        <v/>
      </c>
      <c r="AV254">
        <f>AU254&amp;IF($W254="","",", "&amp;$W254)</f>
        <v/>
      </c>
      <c r="AW254">
        <f>AV254&amp;IF($X254="","",", "&amp;$X254)</f>
        <v/>
      </c>
      <c r="AX254">
        <f>AW254&amp;IF($Y254="","",", "&amp;$Y254)</f>
        <v/>
      </c>
    </row>
    <row r="255">
      <c r="A255" s="118">
        <f>IF($B255="","",COUNT($B$5:$B255))</f>
        <v/>
      </c>
      <c r="B255" s="80" t="n"/>
      <c r="C255" s="80" t="n"/>
      <c r="D255" s="74" t="n"/>
      <c r="E255" s="74" t="n"/>
      <c r="F255" s="74" t="n"/>
      <c r="G255" s="118">
        <f>IF($F255="","",COUNTIF($F$5:$F255,$F255))</f>
        <v/>
      </c>
      <c r="H255" s="33">
        <f>IF($F255="","",IFERROR(INDEX(사건마스터!$B$5:$B$64,MATCH($F255,사건마스터!$A$5:$A$64,0)),""))</f>
        <v/>
      </c>
      <c r="I255" s="130">
        <f>IF($F255="","",IFERROR(INDEX(사건마스터!$C$5:$C$64,MATCH($F255,사건마스터!$A$5:$A$64,0)),""))</f>
        <v/>
      </c>
      <c r="J255" s="136">
        <f>IF($F255="","",IFERROR(INDEX(사건마스터!$H$5:$H$64,MATCH($F255,사건마스터!$A$5:$A$64,0)),""))</f>
        <v/>
      </c>
      <c r="K255" s="136">
        <f>IF($F255="","",IFERROR(INDEX(사건마스터!$AH$5:$AH$64,MATCH($F255,사건마스터!$A$5:$A$64,0)),""))</f>
        <v/>
      </c>
      <c r="L255" s="136">
        <f>IF($F255="","",IFERROR(INDEX(사건마스터!$AI$5:$AI$64,MATCH($F255,사건마스터!$A$5:$A$64,0)),""))</f>
        <v/>
      </c>
      <c r="M255" s="136">
        <f>IF($F255="","",IFERROR(INDEX(사건마스터!$AJ$5:$AJ$64,MATCH($F255,사건마스터!$A$5:$A$64,0)),""))</f>
        <v/>
      </c>
      <c r="N255" s="136">
        <f>IF($F255="","",IFERROR(INDEX(사건마스터!$AK$5:$AK$64,MATCH($F255,사건마스터!$A$5:$A$64,0)),""))</f>
        <v/>
      </c>
      <c r="O255" s="136">
        <f>IF($F255="","",IFERROR(INDEX(사건마스터!$AL$5:$AL$64,MATCH($F255,사건마스터!$A$5:$A$64,0)),""))</f>
        <v/>
      </c>
      <c r="P255" s="136">
        <f>IF($F255="","",IFERROR(INDEX(사건마스터!$AM$5:$AM$64,MATCH($F255,사건마스터!$A$5:$A$64,0)),""))</f>
        <v/>
      </c>
      <c r="Q255" s="136">
        <f>IF($F255="","",IFERROR(INDEX(사건마스터!$AN$5:$AN$64,MATCH($F255,사건마스터!$A$5:$A$64,0)),""))</f>
        <v/>
      </c>
      <c r="R255" s="136">
        <f>IF($F255="","",IFERROR(INDEX(사건마스터!$AO$5:$AO$64,MATCH($F255,사건마스터!$A$5:$A$64,0)),""))</f>
        <v/>
      </c>
      <c r="S255" s="136">
        <f>IF($F255="","",IFERROR(INDEX(사건마스터!$AP$5:$AP$64,MATCH($F255,사건마스터!$A$5:$A$64,0)),""))</f>
        <v/>
      </c>
      <c r="T255" s="136">
        <f>IF($F255="","",IFERROR(INDEX(사건마스터!$AQ$5:$AQ$64,MATCH($F255,사건마스터!$A$5:$A$64,0)),""))</f>
        <v/>
      </c>
      <c r="U255" s="136">
        <f>IF($F255="","",IFERROR(INDEX(사건마스터!$AR$5:$AR$64,MATCH($F255,사건마스터!$A$5:$A$64,0)),""))</f>
        <v/>
      </c>
      <c r="V255" s="136">
        <f>IF($F255="","",IFERROR(INDEX(사건마스터!$AS$5:$AS$64,MATCH($F255,사건마스터!$A$5:$A$64,0)),""))</f>
        <v/>
      </c>
      <c r="W255" s="136">
        <f>IF($F255="","",IFERROR(INDEX(사건마스터!$AT$5:$AT$64,MATCH($F255,사건마스터!$A$5:$A$64,0)),""))</f>
        <v/>
      </c>
      <c r="X255" s="136">
        <f>IF($F255="","",IFERROR(INDEX(사건마스터!$AU$5:$AU$64,MATCH($F255,사건마스터!$A$5:$A$64,0)),""))</f>
        <v/>
      </c>
      <c r="Y255" s="136">
        <f>IF($F255="","",IFERROR(INDEX(사건마스터!$AV$5:$AV$64,MATCH($F255,사건마스터!$A$5:$A$64,0)),""))</f>
        <v/>
      </c>
      <c r="Z255" s="118">
        <f>IF(COUNTBLANK($J255:$Y255)=16,"",16-COUNTBLANK($J255:$Y255))</f>
        <v/>
      </c>
      <c r="AA255" s="33">
        <f>IF($J255="",MID($AX255,3,255),$J255&amp;$AX255)</f>
        <v/>
      </c>
      <c r="AB255" s="130">
        <f>IF($J255="","",IFERROR(INDEX(코드설정!$D$5:$D$24,MATCH($J255,코드설정!$C$5:$C$24,0)),""))</f>
        <v/>
      </c>
      <c r="AC255" s="36" t="n"/>
      <c r="AD255" s="37" t="n"/>
      <c r="AE255" s="38" t="n"/>
      <c r="AF255" s="118">
        <f>IF(OR($B255="",$C255=""),"",$C255-$B255+1)</f>
        <v/>
      </c>
      <c r="AG255" s="74" t="n"/>
      <c r="AH255" s="36" t="n"/>
      <c r="AJ255">
        <f>IF($K255="","",", "&amp;$K255)</f>
        <v/>
      </c>
      <c r="AK255">
        <f>AJ255&amp;IF($L255="","",", "&amp;$L255)</f>
        <v/>
      </c>
      <c r="AL255">
        <f>AK255&amp;IF($M255="","",", "&amp;$M255)</f>
        <v/>
      </c>
      <c r="AM255">
        <f>AL255&amp;IF($N255="","",", "&amp;$N255)</f>
        <v/>
      </c>
      <c r="AN255">
        <f>AM255&amp;IF($O255="","",", "&amp;$O255)</f>
        <v/>
      </c>
      <c r="AO255">
        <f>AN255&amp;IF($P255="","",", "&amp;$P255)</f>
        <v/>
      </c>
      <c r="AP255">
        <f>AO255&amp;IF($Q255="","",", "&amp;$Q255)</f>
        <v/>
      </c>
      <c r="AQ255">
        <f>AP255&amp;IF($R255="","",", "&amp;$R255)</f>
        <v/>
      </c>
      <c r="AR255">
        <f>AQ255&amp;IF($S255="","",", "&amp;$S255)</f>
        <v/>
      </c>
      <c r="AS255">
        <f>AR255&amp;IF($T255="","",", "&amp;$T255)</f>
        <v/>
      </c>
      <c r="AT255">
        <f>AS255&amp;IF($U255="","",", "&amp;$U255)</f>
        <v/>
      </c>
      <c r="AU255">
        <f>AT255&amp;IF($V255="","",", "&amp;$V255)</f>
        <v/>
      </c>
      <c r="AV255">
        <f>AU255&amp;IF($W255="","",", "&amp;$W255)</f>
        <v/>
      </c>
      <c r="AW255">
        <f>AV255&amp;IF($X255="","",", "&amp;$X255)</f>
        <v/>
      </c>
      <c r="AX255">
        <f>AW255&amp;IF($Y255="","",", "&amp;$Y255)</f>
        <v/>
      </c>
    </row>
    <row r="256">
      <c r="A256" s="118">
        <f>IF($B256="","",COUNT($B$5:$B256))</f>
        <v/>
      </c>
      <c r="B256" s="80" t="n"/>
      <c r="C256" s="80" t="n"/>
      <c r="D256" s="74" t="n"/>
      <c r="E256" s="74" t="n"/>
      <c r="F256" s="74" t="n"/>
      <c r="G256" s="118">
        <f>IF($F256="","",COUNTIF($F$5:$F256,$F256))</f>
        <v/>
      </c>
      <c r="H256" s="33">
        <f>IF($F256="","",IFERROR(INDEX(사건마스터!$B$5:$B$64,MATCH($F256,사건마스터!$A$5:$A$64,0)),""))</f>
        <v/>
      </c>
      <c r="I256" s="130">
        <f>IF($F256="","",IFERROR(INDEX(사건마스터!$C$5:$C$64,MATCH($F256,사건마스터!$A$5:$A$64,0)),""))</f>
        <v/>
      </c>
      <c r="J256" s="136">
        <f>IF($F256="","",IFERROR(INDEX(사건마스터!$H$5:$H$64,MATCH($F256,사건마스터!$A$5:$A$64,0)),""))</f>
        <v/>
      </c>
      <c r="K256" s="136">
        <f>IF($F256="","",IFERROR(INDEX(사건마스터!$AH$5:$AH$64,MATCH($F256,사건마스터!$A$5:$A$64,0)),""))</f>
        <v/>
      </c>
      <c r="L256" s="136">
        <f>IF($F256="","",IFERROR(INDEX(사건마스터!$AI$5:$AI$64,MATCH($F256,사건마스터!$A$5:$A$64,0)),""))</f>
        <v/>
      </c>
      <c r="M256" s="136">
        <f>IF($F256="","",IFERROR(INDEX(사건마스터!$AJ$5:$AJ$64,MATCH($F256,사건마스터!$A$5:$A$64,0)),""))</f>
        <v/>
      </c>
      <c r="N256" s="136">
        <f>IF($F256="","",IFERROR(INDEX(사건마스터!$AK$5:$AK$64,MATCH($F256,사건마스터!$A$5:$A$64,0)),""))</f>
        <v/>
      </c>
      <c r="O256" s="136">
        <f>IF($F256="","",IFERROR(INDEX(사건마스터!$AL$5:$AL$64,MATCH($F256,사건마스터!$A$5:$A$64,0)),""))</f>
        <v/>
      </c>
      <c r="P256" s="136">
        <f>IF($F256="","",IFERROR(INDEX(사건마스터!$AM$5:$AM$64,MATCH($F256,사건마스터!$A$5:$A$64,0)),""))</f>
        <v/>
      </c>
      <c r="Q256" s="136">
        <f>IF($F256="","",IFERROR(INDEX(사건마스터!$AN$5:$AN$64,MATCH($F256,사건마스터!$A$5:$A$64,0)),""))</f>
        <v/>
      </c>
      <c r="R256" s="136">
        <f>IF($F256="","",IFERROR(INDEX(사건마스터!$AO$5:$AO$64,MATCH($F256,사건마스터!$A$5:$A$64,0)),""))</f>
        <v/>
      </c>
      <c r="S256" s="136">
        <f>IF($F256="","",IFERROR(INDEX(사건마스터!$AP$5:$AP$64,MATCH($F256,사건마스터!$A$5:$A$64,0)),""))</f>
        <v/>
      </c>
      <c r="T256" s="136">
        <f>IF($F256="","",IFERROR(INDEX(사건마스터!$AQ$5:$AQ$64,MATCH($F256,사건마스터!$A$5:$A$64,0)),""))</f>
        <v/>
      </c>
      <c r="U256" s="136">
        <f>IF($F256="","",IFERROR(INDEX(사건마스터!$AR$5:$AR$64,MATCH($F256,사건마스터!$A$5:$A$64,0)),""))</f>
        <v/>
      </c>
      <c r="V256" s="136">
        <f>IF($F256="","",IFERROR(INDEX(사건마스터!$AS$5:$AS$64,MATCH($F256,사건마스터!$A$5:$A$64,0)),""))</f>
        <v/>
      </c>
      <c r="W256" s="136">
        <f>IF($F256="","",IFERROR(INDEX(사건마스터!$AT$5:$AT$64,MATCH($F256,사건마스터!$A$5:$A$64,0)),""))</f>
        <v/>
      </c>
      <c r="X256" s="136">
        <f>IF($F256="","",IFERROR(INDEX(사건마스터!$AU$5:$AU$64,MATCH($F256,사건마스터!$A$5:$A$64,0)),""))</f>
        <v/>
      </c>
      <c r="Y256" s="136">
        <f>IF($F256="","",IFERROR(INDEX(사건마스터!$AV$5:$AV$64,MATCH($F256,사건마스터!$A$5:$A$64,0)),""))</f>
        <v/>
      </c>
      <c r="Z256" s="118">
        <f>IF(COUNTBLANK($J256:$Y256)=16,"",16-COUNTBLANK($J256:$Y256))</f>
        <v/>
      </c>
      <c r="AA256" s="33">
        <f>IF($J256="",MID($AX256,3,255),$J256&amp;$AX256)</f>
        <v/>
      </c>
      <c r="AB256" s="130">
        <f>IF($J256="","",IFERROR(INDEX(코드설정!$D$5:$D$24,MATCH($J256,코드설정!$C$5:$C$24,0)),""))</f>
        <v/>
      </c>
      <c r="AC256" s="36" t="n"/>
      <c r="AD256" s="37" t="n"/>
      <c r="AE256" s="38" t="n"/>
      <c r="AF256" s="118">
        <f>IF(OR($B256="",$C256=""),"",$C256-$B256+1)</f>
        <v/>
      </c>
      <c r="AG256" s="74" t="n"/>
      <c r="AH256" s="36" t="n"/>
      <c r="AJ256">
        <f>IF($K256="","",", "&amp;$K256)</f>
        <v/>
      </c>
      <c r="AK256">
        <f>AJ256&amp;IF($L256="","",", "&amp;$L256)</f>
        <v/>
      </c>
      <c r="AL256">
        <f>AK256&amp;IF($M256="","",", "&amp;$M256)</f>
        <v/>
      </c>
      <c r="AM256">
        <f>AL256&amp;IF($N256="","",", "&amp;$N256)</f>
        <v/>
      </c>
      <c r="AN256">
        <f>AM256&amp;IF($O256="","",", "&amp;$O256)</f>
        <v/>
      </c>
      <c r="AO256">
        <f>AN256&amp;IF($P256="","",", "&amp;$P256)</f>
        <v/>
      </c>
      <c r="AP256">
        <f>AO256&amp;IF($Q256="","",", "&amp;$Q256)</f>
        <v/>
      </c>
      <c r="AQ256">
        <f>AP256&amp;IF($R256="","",", "&amp;$R256)</f>
        <v/>
      </c>
      <c r="AR256">
        <f>AQ256&amp;IF($S256="","",", "&amp;$S256)</f>
        <v/>
      </c>
      <c r="AS256">
        <f>AR256&amp;IF($T256="","",", "&amp;$T256)</f>
        <v/>
      </c>
      <c r="AT256">
        <f>AS256&amp;IF($U256="","",", "&amp;$U256)</f>
        <v/>
      </c>
      <c r="AU256">
        <f>AT256&amp;IF($V256="","",", "&amp;$V256)</f>
        <v/>
      </c>
      <c r="AV256">
        <f>AU256&amp;IF($W256="","",", "&amp;$W256)</f>
        <v/>
      </c>
      <c r="AW256">
        <f>AV256&amp;IF($X256="","",", "&amp;$X256)</f>
        <v/>
      </c>
      <c r="AX256">
        <f>AW256&amp;IF($Y256="","",", "&amp;$Y256)</f>
        <v/>
      </c>
    </row>
    <row r="257">
      <c r="A257" s="118">
        <f>IF($B257="","",COUNT($B$5:$B257))</f>
        <v/>
      </c>
      <c r="B257" s="80" t="n"/>
      <c r="C257" s="80" t="n"/>
      <c r="D257" s="74" t="n"/>
      <c r="E257" s="74" t="n"/>
      <c r="F257" s="74" t="n"/>
      <c r="G257" s="118">
        <f>IF($F257="","",COUNTIF($F$5:$F257,$F257))</f>
        <v/>
      </c>
      <c r="H257" s="33">
        <f>IF($F257="","",IFERROR(INDEX(사건마스터!$B$5:$B$64,MATCH($F257,사건마스터!$A$5:$A$64,0)),""))</f>
        <v/>
      </c>
      <c r="I257" s="130">
        <f>IF($F257="","",IFERROR(INDEX(사건마스터!$C$5:$C$64,MATCH($F257,사건마스터!$A$5:$A$64,0)),""))</f>
        <v/>
      </c>
      <c r="J257" s="136">
        <f>IF($F257="","",IFERROR(INDEX(사건마스터!$H$5:$H$64,MATCH($F257,사건마스터!$A$5:$A$64,0)),""))</f>
        <v/>
      </c>
      <c r="K257" s="136">
        <f>IF($F257="","",IFERROR(INDEX(사건마스터!$AH$5:$AH$64,MATCH($F257,사건마스터!$A$5:$A$64,0)),""))</f>
        <v/>
      </c>
      <c r="L257" s="136">
        <f>IF($F257="","",IFERROR(INDEX(사건마스터!$AI$5:$AI$64,MATCH($F257,사건마스터!$A$5:$A$64,0)),""))</f>
        <v/>
      </c>
      <c r="M257" s="136">
        <f>IF($F257="","",IFERROR(INDEX(사건마스터!$AJ$5:$AJ$64,MATCH($F257,사건마스터!$A$5:$A$64,0)),""))</f>
        <v/>
      </c>
      <c r="N257" s="136">
        <f>IF($F257="","",IFERROR(INDEX(사건마스터!$AK$5:$AK$64,MATCH($F257,사건마스터!$A$5:$A$64,0)),""))</f>
        <v/>
      </c>
      <c r="O257" s="136">
        <f>IF($F257="","",IFERROR(INDEX(사건마스터!$AL$5:$AL$64,MATCH($F257,사건마스터!$A$5:$A$64,0)),""))</f>
        <v/>
      </c>
      <c r="P257" s="136">
        <f>IF($F257="","",IFERROR(INDEX(사건마스터!$AM$5:$AM$64,MATCH($F257,사건마스터!$A$5:$A$64,0)),""))</f>
        <v/>
      </c>
      <c r="Q257" s="136">
        <f>IF($F257="","",IFERROR(INDEX(사건마스터!$AN$5:$AN$64,MATCH($F257,사건마스터!$A$5:$A$64,0)),""))</f>
        <v/>
      </c>
      <c r="R257" s="136">
        <f>IF($F257="","",IFERROR(INDEX(사건마스터!$AO$5:$AO$64,MATCH($F257,사건마스터!$A$5:$A$64,0)),""))</f>
        <v/>
      </c>
      <c r="S257" s="136">
        <f>IF($F257="","",IFERROR(INDEX(사건마스터!$AP$5:$AP$64,MATCH($F257,사건마스터!$A$5:$A$64,0)),""))</f>
        <v/>
      </c>
      <c r="T257" s="136">
        <f>IF($F257="","",IFERROR(INDEX(사건마스터!$AQ$5:$AQ$64,MATCH($F257,사건마스터!$A$5:$A$64,0)),""))</f>
        <v/>
      </c>
      <c r="U257" s="136">
        <f>IF($F257="","",IFERROR(INDEX(사건마스터!$AR$5:$AR$64,MATCH($F257,사건마스터!$A$5:$A$64,0)),""))</f>
        <v/>
      </c>
      <c r="V257" s="136">
        <f>IF($F257="","",IFERROR(INDEX(사건마스터!$AS$5:$AS$64,MATCH($F257,사건마스터!$A$5:$A$64,0)),""))</f>
        <v/>
      </c>
      <c r="W257" s="136">
        <f>IF($F257="","",IFERROR(INDEX(사건마스터!$AT$5:$AT$64,MATCH($F257,사건마스터!$A$5:$A$64,0)),""))</f>
        <v/>
      </c>
      <c r="X257" s="136">
        <f>IF($F257="","",IFERROR(INDEX(사건마스터!$AU$5:$AU$64,MATCH($F257,사건마스터!$A$5:$A$64,0)),""))</f>
        <v/>
      </c>
      <c r="Y257" s="136">
        <f>IF($F257="","",IFERROR(INDEX(사건마스터!$AV$5:$AV$64,MATCH($F257,사건마스터!$A$5:$A$64,0)),""))</f>
        <v/>
      </c>
      <c r="Z257" s="118">
        <f>IF(COUNTBLANK($J257:$Y257)=16,"",16-COUNTBLANK($J257:$Y257))</f>
        <v/>
      </c>
      <c r="AA257" s="33">
        <f>IF($J257="",MID($AX257,3,255),$J257&amp;$AX257)</f>
        <v/>
      </c>
      <c r="AB257" s="130">
        <f>IF($J257="","",IFERROR(INDEX(코드설정!$D$5:$D$24,MATCH($J257,코드설정!$C$5:$C$24,0)),""))</f>
        <v/>
      </c>
      <c r="AC257" s="36" t="n"/>
      <c r="AD257" s="37" t="n"/>
      <c r="AE257" s="38" t="n"/>
      <c r="AF257" s="118">
        <f>IF(OR($B257="",$C257=""),"",$C257-$B257+1)</f>
        <v/>
      </c>
      <c r="AG257" s="74" t="n"/>
      <c r="AH257" s="36" t="n"/>
      <c r="AJ257">
        <f>IF($K257="","",", "&amp;$K257)</f>
        <v/>
      </c>
      <c r="AK257">
        <f>AJ257&amp;IF($L257="","",", "&amp;$L257)</f>
        <v/>
      </c>
      <c r="AL257">
        <f>AK257&amp;IF($M257="","",", "&amp;$M257)</f>
        <v/>
      </c>
      <c r="AM257">
        <f>AL257&amp;IF($N257="","",", "&amp;$N257)</f>
        <v/>
      </c>
      <c r="AN257">
        <f>AM257&amp;IF($O257="","",", "&amp;$O257)</f>
        <v/>
      </c>
      <c r="AO257">
        <f>AN257&amp;IF($P257="","",", "&amp;$P257)</f>
        <v/>
      </c>
      <c r="AP257">
        <f>AO257&amp;IF($Q257="","",", "&amp;$Q257)</f>
        <v/>
      </c>
      <c r="AQ257">
        <f>AP257&amp;IF($R257="","",", "&amp;$R257)</f>
        <v/>
      </c>
      <c r="AR257">
        <f>AQ257&amp;IF($S257="","",", "&amp;$S257)</f>
        <v/>
      </c>
      <c r="AS257">
        <f>AR257&amp;IF($T257="","",", "&amp;$T257)</f>
        <v/>
      </c>
      <c r="AT257">
        <f>AS257&amp;IF($U257="","",", "&amp;$U257)</f>
        <v/>
      </c>
      <c r="AU257">
        <f>AT257&amp;IF($V257="","",", "&amp;$V257)</f>
        <v/>
      </c>
      <c r="AV257">
        <f>AU257&amp;IF($W257="","",", "&amp;$W257)</f>
        <v/>
      </c>
      <c r="AW257">
        <f>AV257&amp;IF($X257="","",", "&amp;$X257)</f>
        <v/>
      </c>
      <c r="AX257">
        <f>AW257&amp;IF($Y257="","",", "&amp;$Y257)</f>
        <v/>
      </c>
    </row>
    <row r="258">
      <c r="A258" s="118">
        <f>IF($B258="","",COUNT($B$5:$B258))</f>
        <v/>
      </c>
      <c r="B258" s="80" t="n"/>
      <c r="C258" s="80" t="n"/>
      <c r="D258" s="74" t="n"/>
      <c r="E258" s="74" t="n"/>
      <c r="F258" s="74" t="n"/>
      <c r="G258" s="118">
        <f>IF($F258="","",COUNTIF($F$5:$F258,$F258))</f>
        <v/>
      </c>
      <c r="H258" s="33">
        <f>IF($F258="","",IFERROR(INDEX(사건마스터!$B$5:$B$64,MATCH($F258,사건마스터!$A$5:$A$64,0)),""))</f>
        <v/>
      </c>
      <c r="I258" s="130">
        <f>IF($F258="","",IFERROR(INDEX(사건마스터!$C$5:$C$64,MATCH($F258,사건마스터!$A$5:$A$64,0)),""))</f>
        <v/>
      </c>
      <c r="J258" s="136">
        <f>IF($F258="","",IFERROR(INDEX(사건마스터!$H$5:$H$64,MATCH($F258,사건마스터!$A$5:$A$64,0)),""))</f>
        <v/>
      </c>
      <c r="K258" s="136">
        <f>IF($F258="","",IFERROR(INDEX(사건마스터!$AH$5:$AH$64,MATCH($F258,사건마스터!$A$5:$A$64,0)),""))</f>
        <v/>
      </c>
      <c r="L258" s="136">
        <f>IF($F258="","",IFERROR(INDEX(사건마스터!$AI$5:$AI$64,MATCH($F258,사건마스터!$A$5:$A$64,0)),""))</f>
        <v/>
      </c>
      <c r="M258" s="136">
        <f>IF($F258="","",IFERROR(INDEX(사건마스터!$AJ$5:$AJ$64,MATCH($F258,사건마스터!$A$5:$A$64,0)),""))</f>
        <v/>
      </c>
      <c r="N258" s="136">
        <f>IF($F258="","",IFERROR(INDEX(사건마스터!$AK$5:$AK$64,MATCH($F258,사건마스터!$A$5:$A$64,0)),""))</f>
        <v/>
      </c>
      <c r="O258" s="136">
        <f>IF($F258="","",IFERROR(INDEX(사건마스터!$AL$5:$AL$64,MATCH($F258,사건마스터!$A$5:$A$64,0)),""))</f>
        <v/>
      </c>
      <c r="P258" s="136">
        <f>IF($F258="","",IFERROR(INDEX(사건마스터!$AM$5:$AM$64,MATCH($F258,사건마스터!$A$5:$A$64,0)),""))</f>
        <v/>
      </c>
      <c r="Q258" s="136">
        <f>IF($F258="","",IFERROR(INDEX(사건마스터!$AN$5:$AN$64,MATCH($F258,사건마스터!$A$5:$A$64,0)),""))</f>
        <v/>
      </c>
      <c r="R258" s="136">
        <f>IF($F258="","",IFERROR(INDEX(사건마스터!$AO$5:$AO$64,MATCH($F258,사건마스터!$A$5:$A$64,0)),""))</f>
        <v/>
      </c>
      <c r="S258" s="136">
        <f>IF($F258="","",IFERROR(INDEX(사건마스터!$AP$5:$AP$64,MATCH($F258,사건마스터!$A$5:$A$64,0)),""))</f>
        <v/>
      </c>
      <c r="T258" s="136">
        <f>IF($F258="","",IFERROR(INDEX(사건마스터!$AQ$5:$AQ$64,MATCH($F258,사건마스터!$A$5:$A$64,0)),""))</f>
        <v/>
      </c>
      <c r="U258" s="136">
        <f>IF($F258="","",IFERROR(INDEX(사건마스터!$AR$5:$AR$64,MATCH($F258,사건마스터!$A$5:$A$64,0)),""))</f>
        <v/>
      </c>
      <c r="V258" s="136">
        <f>IF($F258="","",IFERROR(INDEX(사건마스터!$AS$5:$AS$64,MATCH($F258,사건마스터!$A$5:$A$64,0)),""))</f>
        <v/>
      </c>
      <c r="W258" s="136">
        <f>IF($F258="","",IFERROR(INDEX(사건마스터!$AT$5:$AT$64,MATCH($F258,사건마스터!$A$5:$A$64,0)),""))</f>
        <v/>
      </c>
      <c r="X258" s="136">
        <f>IF($F258="","",IFERROR(INDEX(사건마스터!$AU$5:$AU$64,MATCH($F258,사건마스터!$A$5:$A$64,0)),""))</f>
        <v/>
      </c>
      <c r="Y258" s="136">
        <f>IF($F258="","",IFERROR(INDEX(사건마스터!$AV$5:$AV$64,MATCH($F258,사건마스터!$A$5:$A$64,0)),""))</f>
        <v/>
      </c>
      <c r="Z258" s="118">
        <f>IF(COUNTBLANK($J258:$Y258)=16,"",16-COUNTBLANK($J258:$Y258))</f>
        <v/>
      </c>
      <c r="AA258" s="33">
        <f>IF($J258="",MID($AX258,3,255),$J258&amp;$AX258)</f>
        <v/>
      </c>
      <c r="AB258" s="130">
        <f>IF($J258="","",IFERROR(INDEX(코드설정!$D$5:$D$24,MATCH($J258,코드설정!$C$5:$C$24,0)),""))</f>
        <v/>
      </c>
      <c r="AC258" s="36" t="n"/>
      <c r="AD258" s="37" t="n"/>
      <c r="AE258" s="38" t="n"/>
      <c r="AF258" s="118">
        <f>IF(OR($B258="",$C258=""),"",$C258-$B258+1)</f>
        <v/>
      </c>
      <c r="AG258" s="74" t="n"/>
      <c r="AH258" s="36" t="n"/>
      <c r="AJ258">
        <f>IF($K258="","",", "&amp;$K258)</f>
        <v/>
      </c>
      <c r="AK258">
        <f>AJ258&amp;IF($L258="","",", "&amp;$L258)</f>
        <v/>
      </c>
      <c r="AL258">
        <f>AK258&amp;IF($M258="","",", "&amp;$M258)</f>
        <v/>
      </c>
      <c r="AM258">
        <f>AL258&amp;IF($N258="","",", "&amp;$N258)</f>
        <v/>
      </c>
      <c r="AN258">
        <f>AM258&amp;IF($O258="","",", "&amp;$O258)</f>
        <v/>
      </c>
      <c r="AO258">
        <f>AN258&amp;IF($P258="","",", "&amp;$P258)</f>
        <v/>
      </c>
      <c r="AP258">
        <f>AO258&amp;IF($Q258="","",", "&amp;$Q258)</f>
        <v/>
      </c>
      <c r="AQ258">
        <f>AP258&amp;IF($R258="","",", "&amp;$R258)</f>
        <v/>
      </c>
      <c r="AR258">
        <f>AQ258&amp;IF($S258="","",", "&amp;$S258)</f>
        <v/>
      </c>
      <c r="AS258">
        <f>AR258&amp;IF($T258="","",", "&amp;$T258)</f>
        <v/>
      </c>
      <c r="AT258">
        <f>AS258&amp;IF($U258="","",", "&amp;$U258)</f>
        <v/>
      </c>
      <c r="AU258">
        <f>AT258&amp;IF($V258="","",", "&amp;$V258)</f>
        <v/>
      </c>
      <c r="AV258">
        <f>AU258&amp;IF($W258="","",", "&amp;$W258)</f>
        <v/>
      </c>
      <c r="AW258">
        <f>AV258&amp;IF($X258="","",", "&amp;$X258)</f>
        <v/>
      </c>
      <c r="AX258">
        <f>AW258&amp;IF($Y258="","",", "&amp;$Y258)</f>
        <v/>
      </c>
    </row>
    <row r="259">
      <c r="A259" s="118">
        <f>IF($B259="","",COUNT($B$5:$B259))</f>
        <v/>
      </c>
      <c r="B259" s="80" t="n"/>
      <c r="C259" s="80" t="n"/>
      <c r="D259" s="74" t="n"/>
      <c r="E259" s="74" t="n"/>
      <c r="F259" s="74" t="n"/>
      <c r="G259" s="118">
        <f>IF($F259="","",COUNTIF($F$5:$F259,$F259))</f>
        <v/>
      </c>
      <c r="H259" s="33">
        <f>IF($F259="","",IFERROR(INDEX(사건마스터!$B$5:$B$64,MATCH($F259,사건마스터!$A$5:$A$64,0)),""))</f>
        <v/>
      </c>
      <c r="I259" s="130">
        <f>IF($F259="","",IFERROR(INDEX(사건마스터!$C$5:$C$64,MATCH($F259,사건마스터!$A$5:$A$64,0)),""))</f>
        <v/>
      </c>
      <c r="J259" s="136">
        <f>IF($F259="","",IFERROR(INDEX(사건마스터!$H$5:$H$64,MATCH($F259,사건마스터!$A$5:$A$64,0)),""))</f>
        <v/>
      </c>
      <c r="K259" s="136">
        <f>IF($F259="","",IFERROR(INDEX(사건마스터!$AH$5:$AH$64,MATCH($F259,사건마스터!$A$5:$A$64,0)),""))</f>
        <v/>
      </c>
      <c r="L259" s="136">
        <f>IF($F259="","",IFERROR(INDEX(사건마스터!$AI$5:$AI$64,MATCH($F259,사건마스터!$A$5:$A$64,0)),""))</f>
        <v/>
      </c>
      <c r="M259" s="136">
        <f>IF($F259="","",IFERROR(INDEX(사건마스터!$AJ$5:$AJ$64,MATCH($F259,사건마스터!$A$5:$A$64,0)),""))</f>
        <v/>
      </c>
      <c r="N259" s="136">
        <f>IF($F259="","",IFERROR(INDEX(사건마스터!$AK$5:$AK$64,MATCH($F259,사건마스터!$A$5:$A$64,0)),""))</f>
        <v/>
      </c>
      <c r="O259" s="136">
        <f>IF($F259="","",IFERROR(INDEX(사건마스터!$AL$5:$AL$64,MATCH($F259,사건마스터!$A$5:$A$64,0)),""))</f>
        <v/>
      </c>
      <c r="P259" s="136">
        <f>IF($F259="","",IFERROR(INDEX(사건마스터!$AM$5:$AM$64,MATCH($F259,사건마스터!$A$5:$A$64,0)),""))</f>
        <v/>
      </c>
      <c r="Q259" s="136">
        <f>IF($F259="","",IFERROR(INDEX(사건마스터!$AN$5:$AN$64,MATCH($F259,사건마스터!$A$5:$A$64,0)),""))</f>
        <v/>
      </c>
      <c r="R259" s="136">
        <f>IF($F259="","",IFERROR(INDEX(사건마스터!$AO$5:$AO$64,MATCH($F259,사건마스터!$A$5:$A$64,0)),""))</f>
        <v/>
      </c>
      <c r="S259" s="136">
        <f>IF($F259="","",IFERROR(INDEX(사건마스터!$AP$5:$AP$64,MATCH($F259,사건마스터!$A$5:$A$64,0)),""))</f>
        <v/>
      </c>
      <c r="T259" s="136">
        <f>IF($F259="","",IFERROR(INDEX(사건마스터!$AQ$5:$AQ$64,MATCH($F259,사건마스터!$A$5:$A$64,0)),""))</f>
        <v/>
      </c>
      <c r="U259" s="136">
        <f>IF($F259="","",IFERROR(INDEX(사건마스터!$AR$5:$AR$64,MATCH($F259,사건마스터!$A$5:$A$64,0)),""))</f>
        <v/>
      </c>
      <c r="V259" s="136">
        <f>IF($F259="","",IFERROR(INDEX(사건마스터!$AS$5:$AS$64,MATCH($F259,사건마스터!$A$5:$A$64,0)),""))</f>
        <v/>
      </c>
      <c r="W259" s="136">
        <f>IF($F259="","",IFERROR(INDEX(사건마스터!$AT$5:$AT$64,MATCH($F259,사건마스터!$A$5:$A$64,0)),""))</f>
        <v/>
      </c>
      <c r="X259" s="136">
        <f>IF($F259="","",IFERROR(INDEX(사건마스터!$AU$5:$AU$64,MATCH($F259,사건마스터!$A$5:$A$64,0)),""))</f>
        <v/>
      </c>
      <c r="Y259" s="136">
        <f>IF($F259="","",IFERROR(INDEX(사건마스터!$AV$5:$AV$64,MATCH($F259,사건마스터!$A$5:$A$64,0)),""))</f>
        <v/>
      </c>
      <c r="Z259" s="118">
        <f>IF(COUNTBLANK($J259:$Y259)=16,"",16-COUNTBLANK($J259:$Y259))</f>
        <v/>
      </c>
      <c r="AA259" s="33">
        <f>IF($J259="",MID($AX259,3,255),$J259&amp;$AX259)</f>
        <v/>
      </c>
      <c r="AB259" s="130">
        <f>IF($J259="","",IFERROR(INDEX(코드설정!$D$5:$D$24,MATCH($J259,코드설정!$C$5:$C$24,0)),""))</f>
        <v/>
      </c>
      <c r="AC259" s="36" t="n"/>
      <c r="AD259" s="37" t="n"/>
      <c r="AE259" s="38" t="n"/>
      <c r="AF259" s="118">
        <f>IF(OR($B259="",$C259=""),"",$C259-$B259+1)</f>
        <v/>
      </c>
      <c r="AG259" s="74" t="n"/>
      <c r="AH259" s="36" t="n"/>
      <c r="AJ259">
        <f>IF($K259="","",", "&amp;$K259)</f>
        <v/>
      </c>
      <c r="AK259">
        <f>AJ259&amp;IF($L259="","",", "&amp;$L259)</f>
        <v/>
      </c>
      <c r="AL259">
        <f>AK259&amp;IF($M259="","",", "&amp;$M259)</f>
        <v/>
      </c>
      <c r="AM259">
        <f>AL259&amp;IF($N259="","",", "&amp;$N259)</f>
        <v/>
      </c>
      <c r="AN259">
        <f>AM259&amp;IF($O259="","",", "&amp;$O259)</f>
        <v/>
      </c>
      <c r="AO259">
        <f>AN259&amp;IF($P259="","",", "&amp;$P259)</f>
        <v/>
      </c>
      <c r="AP259">
        <f>AO259&amp;IF($Q259="","",", "&amp;$Q259)</f>
        <v/>
      </c>
      <c r="AQ259">
        <f>AP259&amp;IF($R259="","",", "&amp;$R259)</f>
        <v/>
      </c>
      <c r="AR259">
        <f>AQ259&amp;IF($S259="","",", "&amp;$S259)</f>
        <v/>
      </c>
      <c r="AS259">
        <f>AR259&amp;IF($T259="","",", "&amp;$T259)</f>
        <v/>
      </c>
      <c r="AT259">
        <f>AS259&amp;IF($U259="","",", "&amp;$U259)</f>
        <v/>
      </c>
      <c r="AU259">
        <f>AT259&amp;IF($V259="","",", "&amp;$V259)</f>
        <v/>
      </c>
      <c r="AV259">
        <f>AU259&amp;IF($W259="","",", "&amp;$W259)</f>
        <v/>
      </c>
      <c r="AW259">
        <f>AV259&amp;IF($X259="","",", "&amp;$X259)</f>
        <v/>
      </c>
      <c r="AX259">
        <f>AW259&amp;IF($Y259="","",", "&amp;$Y259)</f>
        <v/>
      </c>
    </row>
    <row r="260">
      <c r="A260" s="118">
        <f>IF($B260="","",COUNT($B$5:$B260))</f>
        <v/>
      </c>
      <c r="B260" s="80" t="n"/>
      <c r="C260" s="80" t="n"/>
      <c r="D260" s="74" t="n"/>
      <c r="E260" s="74" t="n"/>
      <c r="F260" s="74" t="n"/>
      <c r="G260" s="118">
        <f>IF($F260="","",COUNTIF($F$5:$F260,$F260))</f>
        <v/>
      </c>
      <c r="H260" s="33">
        <f>IF($F260="","",IFERROR(INDEX(사건마스터!$B$5:$B$64,MATCH($F260,사건마스터!$A$5:$A$64,0)),""))</f>
        <v/>
      </c>
      <c r="I260" s="130">
        <f>IF($F260="","",IFERROR(INDEX(사건마스터!$C$5:$C$64,MATCH($F260,사건마스터!$A$5:$A$64,0)),""))</f>
        <v/>
      </c>
      <c r="J260" s="136">
        <f>IF($F260="","",IFERROR(INDEX(사건마스터!$H$5:$H$64,MATCH($F260,사건마스터!$A$5:$A$64,0)),""))</f>
        <v/>
      </c>
      <c r="K260" s="136">
        <f>IF($F260="","",IFERROR(INDEX(사건마스터!$AH$5:$AH$64,MATCH($F260,사건마스터!$A$5:$A$64,0)),""))</f>
        <v/>
      </c>
      <c r="L260" s="136">
        <f>IF($F260="","",IFERROR(INDEX(사건마스터!$AI$5:$AI$64,MATCH($F260,사건마스터!$A$5:$A$64,0)),""))</f>
        <v/>
      </c>
      <c r="M260" s="136">
        <f>IF($F260="","",IFERROR(INDEX(사건마스터!$AJ$5:$AJ$64,MATCH($F260,사건마스터!$A$5:$A$64,0)),""))</f>
        <v/>
      </c>
      <c r="N260" s="136">
        <f>IF($F260="","",IFERROR(INDEX(사건마스터!$AK$5:$AK$64,MATCH($F260,사건마스터!$A$5:$A$64,0)),""))</f>
        <v/>
      </c>
      <c r="O260" s="136">
        <f>IF($F260="","",IFERROR(INDEX(사건마스터!$AL$5:$AL$64,MATCH($F260,사건마스터!$A$5:$A$64,0)),""))</f>
        <v/>
      </c>
      <c r="P260" s="136">
        <f>IF($F260="","",IFERROR(INDEX(사건마스터!$AM$5:$AM$64,MATCH($F260,사건마스터!$A$5:$A$64,0)),""))</f>
        <v/>
      </c>
      <c r="Q260" s="136">
        <f>IF($F260="","",IFERROR(INDEX(사건마스터!$AN$5:$AN$64,MATCH($F260,사건마스터!$A$5:$A$64,0)),""))</f>
        <v/>
      </c>
      <c r="R260" s="136">
        <f>IF($F260="","",IFERROR(INDEX(사건마스터!$AO$5:$AO$64,MATCH($F260,사건마스터!$A$5:$A$64,0)),""))</f>
        <v/>
      </c>
      <c r="S260" s="136">
        <f>IF($F260="","",IFERROR(INDEX(사건마스터!$AP$5:$AP$64,MATCH($F260,사건마스터!$A$5:$A$64,0)),""))</f>
        <v/>
      </c>
      <c r="T260" s="136">
        <f>IF($F260="","",IFERROR(INDEX(사건마스터!$AQ$5:$AQ$64,MATCH($F260,사건마스터!$A$5:$A$64,0)),""))</f>
        <v/>
      </c>
      <c r="U260" s="136">
        <f>IF($F260="","",IFERROR(INDEX(사건마스터!$AR$5:$AR$64,MATCH($F260,사건마스터!$A$5:$A$64,0)),""))</f>
        <v/>
      </c>
      <c r="V260" s="136">
        <f>IF($F260="","",IFERROR(INDEX(사건마스터!$AS$5:$AS$64,MATCH($F260,사건마스터!$A$5:$A$64,0)),""))</f>
        <v/>
      </c>
      <c r="W260" s="136">
        <f>IF($F260="","",IFERROR(INDEX(사건마스터!$AT$5:$AT$64,MATCH($F260,사건마스터!$A$5:$A$64,0)),""))</f>
        <v/>
      </c>
      <c r="X260" s="136">
        <f>IF($F260="","",IFERROR(INDEX(사건마스터!$AU$5:$AU$64,MATCH($F260,사건마스터!$A$5:$A$64,0)),""))</f>
        <v/>
      </c>
      <c r="Y260" s="136">
        <f>IF($F260="","",IFERROR(INDEX(사건마스터!$AV$5:$AV$64,MATCH($F260,사건마스터!$A$5:$A$64,0)),""))</f>
        <v/>
      </c>
      <c r="Z260" s="118">
        <f>IF(COUNTBLANK($J260:$Y260)=16,"",16-COUNTBLANK($J260:$Y260))</f>
        <v/>
      </c>
      <c r="AA260" s="33">
        <f>IF($J260="",MID($AX260,3,255),$J260&amp;$AX260)</f>
        <v/>
      </c>
      <c r="AB260" s="130">
        <f>IF($J260="","",IFERROR(INDEX(코드설정!$D$5:$D$24,MATCH($J260,코드설정!$C$5:$C$24,0)),""))</f>
        <v/>
      </c>
      <c r="AC260" s="36" t="n"/>
      <c r="AD260" s="37" t="n"/>
      <c r="AE260" s="38" t="n"/>
      <c r="AF260" s="118">
        <f>IF(OR($B260="",$C260=""),"",$C260-$B260+1)</f>
        <v/>
      </c>
      <c r="AG260" s="74" t="n"/>
      <c r="AH260" s="36" t="n"/>
      <c r="AJ260">
        <f>IF($K260="","",", "&amp;$K260)</f>
        <v/>
      </c>
      <c r="AK260">
        <f>AJ260&amp;IF($L260="","",", "&amp;$L260)</f>
        <v/>
      </c>
      <c r="AL260">
        <f>AK260&amp;IF($M260="","",", "&amp;$M260)</f>
        <v/>
      </c>
      <c r="AM260">
        <f>AL260&amp;IF($N260="","",", "&amp;$N260)</f>
        <v/>
      </c>
      <c r="AN260">
        <f>AM260&amp;IF($O260="","",", "&amp;$O260)</f>
        <v/>
      </c>
      <c r="AO260">
        <f>AN260&amp;IF($P260="","",", "&amp;$P260)</f>
        <v/>
      </c>
      <c r="AP260">
        <f>AO260&amp;IF($Q260="","",", "&amp;$Q260)</f>
        <v/>
      </c>
      <c r="AQ260">
        <f>AP260&amp;IF($R260="","",", "&amp;$R260)</f>
        <v/>
      </c>
      <c r="AR260">
        <f>AQ260&amp;IF($S260="","",", "&amp;$S260)</f>
        <v/>
      </c>
      <c r="AS260">
        <f>AR260&amp;IF($T260="","",", "&amp;$T260)</f>
        <v/>
      </c>
      <c r="AT260">
        <f>AS260&amp;IF($U260="","",", "&amp;$U260)</f>
        <v/>
      </c>
      <c r="AU260">
        <f>AT260&amp;IF($V260="","",", "&amp;$V260)</f>
        <v/>
      </c>
      <c r="AV260">
        <f>AU260&amp;IF($W260="","",", "&amp;$W260)</f>
        <v/>
      </c>
      <c r="AW260">
        <f>AV260&amp;IF($X260="","",", "&amp;$X260)</f>
        <v/>
      </c>
      <c r="AX260">
        <f>AW260&amp;IF($Y260="","",", "&amp;$Y260)</f>
        <v/>
      </c>
    </row>
    <row r="261">
      <c r="A261" s="118">
        <f>IF($B261="","",COUNT($B$5:$B261))</f>
        <v/>
      </c>
      <c r="B261" s="80" t="n"/>
      <c r="C261" s="80" t="n"/>
      <c r="D261" s="74" t="n"/>
      <c r="E261" s="74" t="n"/>
      <c r="F261" s="74" t="n"/>
      <c r="G261" s="118">
        <f>IF($F261="","",COUNTIF($F$5:$F261,$F261))</f>
        <v/>
      </c>
      <c r="H261" s="33">
        <f>IF($F261="","",IFERROR(INDEX(사건마스터!$B$5:$B$64,MATCH($F261,사건마스터!$A$5:$A$64,0)),""))</f>
        <v/>
      </c>
      <c r="I261" s="130">
        <f>IF($F261="","",IFERROR(INDEX(사건마스터!$C$5:$C$64,MATCH($F261,사건마스터!$A$5:$A$64,0)),""))</f>
        <v/>
      </c>
      <c r="J261" s="136">
        <f>IF($F261="","",IFERROR(INDEX(사건마스터!$H$5:$H$64,MATCH($F261,사건마스터!$A$5:$A$64,0)),""))</f>
        <v/>
      </c>
      <c r="K261" s="136">
        <f>IF($F261="","",IFERROR(INDEX(사건마스터!$AH$5:$AH$64,MATCH($F261,사건마스터!$A$5:$A$64,0)),""))</f>
        <v/>
      </c>
      <c r="L261" s="136">
        <f>IF($F261="","",IFERROR(INDEX(사건마스터!$AI$5:$AI$64,MATCH($F261,사건마스터!$A$5:$A$64,0)),""))</f>
        <v/>
      </c>
      <c r="M261" s="136">
        <f>IF($F261="","",IFERROR(INDEX(사건마스터!$AJ$5:$AJ$64,MATCH($F261,사건마스터!$A$5:$A$64,0)),""))</f>
        <v/>
      </c>
      <c r="N261" s="136">
        <f>IF($F261="","",IFERROR(INDEX(사건마스터!$AK$5:$AK$64,MATCH($F261,사건마스터!$A$5:$A$64,0)),""))</f>
        <v/>
      </c>
      <c r="O261" s="136">
        <f>IF($F261="","",IFERROR(INDEX(사건마스터!$AL$5:$AL$64,MATCH($F261,사건마스터!$A$5:$A$64,0)),""))</f>
        <v/>
      </c>
      <c r="P261" s="136">
        <f>IF($F261="","",IFERROR(INDEX(사건마스터!$AM$5:$AM$64,MATCH($F261,사건마스터!$A$5:$A$64,0)),""))</f>
        <v/>
      </c>
      <c r="Q261" s="136">
        <f>IF($F261="","",IFERROR(INDEX(사건마스터!$AN$5:$AN$64,MATCH($F261,사건마스터!$A$5:$A$64,0)),""))</f>
        <v/>
      </c>
      <c r="R261" s="136">
        <f>IF($F261="","",IFERROR(INDEX(사건마스터!$AO$5:$AO$64,MATCH($F261,사건마스터!$A$5:$A$64,0)),""))</f>
        <v/>
      </c>
      <c r="S261" s="136">
        <f>IF($F261="","",IFERROR(INDEX(사건마스터!$AP$5:$AP$64,MATCH($F261,사건마스터!$A$5:$A$64,0)),""))</f>
        <v/>
      </c>
      <c r="T261" s="136">
        <f>IF($F261="","",IFERROR(INDEX(사건마스터!$AQ$5:$AQ$64,MATCH($F261,사건마스터!$A$5:$A$64,0)),""))</f>
        <v/>
      </c>
      <c r="U261" s="136">
        <f>IF($F261="","",IFERROR(INDEX(사건마스터!$AR$5:$AR$64,MATCH($F261,사건마스터!$A$5:$A$64,0)),""))</f>
        <v/>
      </c>
      <c r="V261" s="136">
        <f>IF($F261="","",IFERROR(INDEX(사건마스터!$AS$5:$AS$64,MATCH($F261,사건마스터!$A$5:$A$64,0)),""))</f>
        <v/>
      </c>
      <c r="W261" s="136">
        <f>IF($F261="","",IFERROR(INDEX(사건마스터!$AT$5:$AT$64,MATCH($F261,사건마스터!$A$5:$A$64,0)),""))</f>
        <v/>
      </c>
      <c r="X261" s="136">
        <f>IF($F261="","",IFERROR(INDEX(사건마스터!$AU$5:$AU$64,MATCH($F261,사건마스터!$A$5:$A$64,0)),""))</f>
        <v/>
      </c>
      <c r="Y261" s="136">
        <f>IF($F261="","",IFERROR(INDEX(사건마스터!$AV$5:$AV$64,MATCH($F261,사건마스터!$A$5:$A$64,0)),""))</f>
        <v/>
      </c>
      <c r="Z261" s="118">
        <f>IF(COUNTBLANK($J261:$Y261)=16,"",16-COUNTBLANK($J261:$Y261))</f>
        <v/>
      </c>
      <c r="AA261" s="33">
        <f>IF($J261="",MID($AX261,3,255),$J261&amp;$AX261)</f>
        <v/>
      </c>
      <c r="AB261" s="130">
        <f>IF($J261="","",IFERROR(INDEX(코드설정!$D$5:$D$24,MATCH($J261,코드설정!$C$5:$C$24,0)),""))</f>
        <v/>
      </c>
      <c r="AC261" s="36" t="n"/>
      <c r="AD261" s="37" t="n"/>
      <c r="AE261" s="38" t="n"/>
      <c r="AF261" s="118">
        <f>IF(OR($B261="",$C261=""),"",$C261-$B261+1)</f>
        <v/>
      </c>
      <c r="AG261" s="74" t="n"/>
      <c r="AH261" s="36" t="n"/>
      <c r="AJ261">
        <f>IF($K261="","",", "&amp;$K261)</f>
        <v/>
      </c>
      <c r="AK261">
        <f>AJ261&amp;IF($L261="","",", "&amp;$L261)</f>
        <v/>
      </c>
      <c r="AL261">
        <f>AK261&amp;IF($M261="","",", "&amp;$M261)</f>
        <v/>
      </c>
      <c r="AM261">
        <f>AL261&amp;IF($N261="","",", "&amp;$N261)</f>
        <v/>
      </c>
      <c r="AN261">
        <f>AM261&amp;IF($O261="","",", "&amp;$O261)</f>
        <v/>
      </c>
      <c r="AO261">
        <f>AN261&amp;IF($P261="","",", "&amp;$P261)</f>
        <v/>
      </c>
      <c r="AP261">
        <f>AO261&amp;IF($Q261="","",", "&amp;$Q261)</f>
        <v/>
      </c>
      <c r="AQ261">
        <f>AP261&amp;IF($R261="","",", "&amp;$R261)</f>
        <v/>
      </c>
      <c r="AR261">
        <f>AQ261&amp;IF($S261="","",", "&amp;$S261)</f>
        <v/>
      </c>
      <c r="AS261">
        <f>AR261&amp;IF($T261="","",", "&amp;$T261)</f>
        <v/>
      </c>
      <c r="AT261">
        <f>AS261&amp;IF($U261="","",", "&amp;$U261)</f>
        <v/>
      </c>
      <c r="AU261">
        <f>AT261&amp;IF($V261="","",", "&amp;$V261)</f>
        <v/>
      </c>
      <c r="AV261">
        <f>AU261&amp;IF($W261="","",", "&amp;$W261)</f>
        <v/>
      </c>
      <c r="AW261">
        <f>AV261&amp;IF($X261="","",", "&amp;$X261)</f>
        <v/>
      </c>
      <c r="AX261">
        <f>AW261&amp;IF($Y261="","",", "&amp;$Y261)</f>
        <v/>
      </c>
    </row>
    <row r="262">
      <c r="A262" s="118">
        <f>IF($B262="","",COUNT($B$5:$B262))</f>
        <v/>
      </c>
      <c r="B262" s="80" t="n"/>
      <c r="C262" s="80" t="n"/>
      <c r="D262" s="74" t="n"/>
      <c r="E262" s="74" t="n"/>
      <c r="F262" s="74" t="n"/>
      <c r="G262" s="118">
        <f>IF($F262="","",COUNTIF($F$5:$F262,$F262))</f>
        <v/>
      </c>
      <c r="H262" s="33">
        <f>IF($F262="","",IFERROR(INDEX(사건마스터!$B$5:$B$64,MATCH($F262,사건마스터!$A$5:$A$64,0)),""))</f>
        <v/>
      </c>
      <c r="I262" s="130">
        <f>IF($F262="","",IFERROR(INDEX(사건마스터!$C$5:$C$64,MATCH($F262,사건마스터!$A$5:$A$64,0)),""))</f>
        <v/>
      </c>
      <c r="J262" s="136">
        <f>IF($F262="","",IFERROR(INDEX(사건마스터!$H$5:$H$64,MATCH($F262,사건마스터!$A$5:$A$64,0)),""))</f>
        <v/>
      </c>
      <c r="K262" s="136">
        <f>IF($F262="","",IFERROR(INDEX(사건마스터!$AH$5:$AH$64,MATCH($F262,사건마스터!$A$5:$A$64,0)),""))</f>
        <v/>
      </c>
      <c r="L262" s="136">
        <f>IF($F262="","",IFERROR(INDEX(사건마스터!$AI$5:$AI$64,MATCH($F262,사건마스터!$A$5:$A$64,0)),""))</f>
        <v/>
      </c>
      <c r="M262" s="136">
        <f>IF($F262="","",IFERROR(INDEX(사건마스터!$AJ$5:$AJ$64,MATCH($F262,사건마스터!$A$5:$A$64,0)),""))</f>
        <v/>
      </c>
      <c r="N262" s="136">
        <f>IF($F262="","",IFERROR(INDEX(사건마스터!$AK$5:$AK$64,MATCH($F262,사건마스터!$A$5:$A$64,0)),""))</f>
        <v/>
      </c>
      <c r="O262" s="136">
        <f>IF($F262="","",IFERROR(INDEX(사건마스터!$AL$5:$AL$64,MATCH($F262,사건마스터!$A$5:$A$64,0)),""))</f>
        <v/>
      </c>
      <c r="P262" s="136">
        <f>IF($F262="","",IFERROR(INDEX(사건마스터!$AM$5:$AM$64,MATCH($F262,사건마스터!$A$5:$A$64,0)),""))</f>
        <v/>
      </c>
      <c r="Q262" s="136">
        <f>IF($F262="","",IFERROR(INDEX(사건마스터!$AN$5:$AN$64,MATCH($F262,사건마스터!$A$5:$A$64,0)),""))</f>
        <v/>
      </c>
      <c r="R262" s="136">
        <f>IF($F262="","",IFERROR(INDEX(사건마스터!$AO$5:$AO$64,MATCH($F262,사건마스터!$A$5:$A$64,0)),""))</f>
        <v/>
      </c>
      <c r="S262" s="136">
        <f>IF($F262="","",IFERROR(INDEX(사건마스터!$AP$5:$AP$64,MATCH($F262,사건마스터!$A$5:$A$64,0)),""))</f>
        <v/>
      </c>
      <c r="T262" s="136">
        <f>IF($F262="","",IFERROR(INDEX(사건마스터!$AQ$5:$AQ$64,MATCH($F262,사건마스터!$A$5:$A$64,0)),""))</f>
        <v/>
      </c>
      <c r="U262" s="136">
        <f>IF($F262="","",IFERROR(INDEX(사건마스터!$AR$5:$AR$64,MATCH($F262,사건마스터!$A$5:$A$64,0)),""))</f>
        <v/>
      </c>
      <c r="V262" s="136">
        <f>IF($F262="","",IFERROR(INDEX(사건마스터!$AS$5:$AS$64,MATCH($F262,사건마스터!$A$5:$A$64,0)),""))</f>
        <v/>
      </c>
      <c r="W262" s="136">
        <f>IF($F262="","",IFERROR(INDEX(사건마스터!$AT$5:$AT$64,MATCH($F262,사건마스터!$A$5:$A$64,0)),""))</f>
        <v/>
      </c>
      <c r="X262" s="136">
        <f>IF($F262="","",IFERROR(INDEX(사건마스터!$AU$5:$AU$64,MATCH($F262,사건마스터!$A$5:$A$64,0)),""))</f>
        <v/>
      </c>
      <c r="Y262" s="136">
        <f>IF($F262="","",IFERROR(INDEX(사건마스터!$AV$5:$AV$64,MATCH($F262,사건마스터!$A$5:$A$64,0)),""))</f>
        <v/>
      </c>
      <c r="Z262" s="118">
        <f>IF(COUNTBLANK($J262:$Y262)=16,"",16-COUNTBLANK($J262:$Y262))</f>
        <v/>
      </c>
      <c r="AA262" s="33">
        <f>IF($J262="",MID($AX262,3,255),$J262&amp;$AX262)</f>
        <v/>
      </c>
      <c r="AB262" s="130">
        <f>IF($J262="","",IFERROR(INDEX(코드설정!$D$5:$D$24,MATCH($J262,코드설정!$C$5:$C$24,0)),""))</f>
        <v/>
      </c>
      <c r="AC262" s="36" t="n"/>
      <c r="AD262" s="37" t="n"/>
      <c r="AE262" s="38" t="n"/>
      <c r="AF262" s="118">
        <f>IF(OR($B262="",$C262=""),"",$C262-$B262+1)</f>
        <v/>
      </c>
      <c r="AG262" s="74" t="n"/>
      <c r="AH262" s="36" t="n"/>
      <c r="AJ262">
        <f>IF($K262="","",", "&amp;$K262)</f>
        <v/>
      </c>
      <c r="AK262">
        <f>AJ262&amp;IF($L262="","",", "&amp;$L262)</f>
        <v/>
      </c>
      <c r="AL262">
        <f>AK262&amp;IF($M262="","",", "&amp;$M262)</f>
        <v/>
      </c>
      <c r="AM262">
        <f>AL262&amp;IF($N262="","",", "&amp;$N262)</f>
        <v/>
      </c>
      <c r="AN262">
        <f>AM262&amp;IF($O262="","",", "&amp;$O262)</f>
        <v/>
      </c>
      <c r="AO262">
        <f>AN262&amp;IF($P262="","",", "&amp;$P262)</f>
        <v/>
      </c>
      <c r="AP262">
        <f>AO262&amp;IF($Q262="","",", "&amp;$Q262)</f>
        <v/>
      </c>
      <c r="AQ262">
        <f>AP262&amp;IF($R262="","",", "&amp;$R262)</f>
        <v/>
      </c>
      <c r="AR262">
        <f>AQ262&amp;IF($S262="","",", "&amp;$S262)</f>
        <v/>
      </c>
      <c r="AS262">
        <f>AR262&amp;IF($T262="","",", "&amp;$T262)</f>
        <v/>
      </c>
      <c r="AT262">
        <f>AS262&amp;IF($U262="","",", "&amp;$U262)</f>
        <v/>
      </c>
      <c r="AU262">
        <f>AT262&amp;IF($V262="","",", "&amp;$V262)</f>
        <v/>
      </c>
      <c r="AV262">
        <f>AU262&amp;IF($W262="","",", "&amp;$W262)</f>
        <v/>
      </c>
      <c r="AW262">
        <f>AV262&amp;IF($X262="","",", "&amp;$X262)</f>
        <v/>
      </c>
      <c r="AX262">
        <f>AW262&amp;IF($Y262="","",", "&amp;$Y262)</f>
        <v/>
      </c>
    </row>
    <row r="263">
      <c r="A263" s="118">
        <f>IF($B263="","",COUNT($B$5:$B263))</f>
        <v/>
      </c>
      <c r="B263" s="80" t="n"/>
      <c r="C263" s="80" t="n"/>
      <c r="D263" s="74" t="n"/>
      <c r="E263" s="74" t="n"/>
      <c r="F263" s="74" t="n"/>
      <c r="G263" s="118">
        <f>IF($F263="","",COUNTIF($F$5:$F263,$F263))</f>
        <v/>
      </c>
      <c r="H263" s="33">
        <f>IF($F263="","",IFERROR(INDEX(사건마스터!$B$5:$B$64,MATCH($F263,사건마스터!$A$5:$A$64,0)),""))</f>
        <v/>
      </c>
      <c r="I263" s="130">
        <f>IF($F263="","",IFERROR(INDEX(사건마스터!$C$5:$C$64,MATCH($F263,사건마스터!$A$5:$A$64,0)),""))</f>
        <v/>
      </c>
      <c r="J263" s="136">
        <f>IF($F263="","",IFERROR(INDEX(사건마스터!$H$5:$H$64,MATCH($F263,사건마스터!$A$5:$A$64,0)),""))</f>
        <v/>
      </c>
      <c r="K263" s="136">
        <f>IF($F263="","",IFERROR(INDEX(사건마스터!$AH$5:$AH$64,MATCH($F263,사건마스터!$A$5:$A$64,0)),""))</f>
        <v/>
      </c>
      <c r="L263" s="136">
        <f>IF($F263="","",IFERROR(INDEX(사건마스터!$AI$5:$AI$64,MATCH($F263,사건마스터!$A$5:$A$64,0)),""))</f>
        <v/>
      </c>
      <c r="M263" s="136">
        <f>IF($F263="","",IFERROR(INDEX(사건마스터!$AJ$5:$AJ$64,MATCH($F263,사건마스터!$A$5:$A$64,0)),""))</f>
        <v/>
      </c>
      <c r="N263" s="136">
        <f>IF($F263="","",IFERROR(INDEX(사건마스터!$AK$5:$AK$64,MATCH($F263,사건마스터!$A$5:$A$64,0)),""))</f>
        <v/>
      </c>
      <c r="O263" s="136">
        <f>IF($F263="","",IFERROR(INDEX(사건마스터!$AL$5:$AL$64,MATCH($F263,사건마스터!$A$5:$A$64,0)),""))</f>
        <v/>
      </c>
      <c r="P263" s="136">
        <f>IF($F263="","",IFERROR(INDEX(사건마스터!$AM$5:$AM$64,MATCH($F263,사건마스터!$A$5:$A$64,0)),""))</f>
        <v/>
      </c>
      <c r="Q263" s="136">
        <f>IF($F263="","",IFERROR(INDEX(사건마스터!$AN$5:$AN$64,MATCH($F263,사건마스터!$A$5:$A$64,0)),""))</f>
        <v/>
      </c>
      <c r="R263" s="136">
        <f>IF($F263="","",IFERROR(INDEX(사건마스터!$AO$5:$AO$64,MATCH($F263,사건마스터!$A$5:$A$64,0)),""))</f>
        <v/>
      </c>
      <c r="S263" s="136">
        <f>IF($F263="","",IFERROR(INDEX(사건마스터!$AP$5:$AP$64,MATCH($F263,사건마스터!$A$5:$A$64,0)),""))</f>
        <v/>
      </c>
      <c r="T263" s="136">
        <f>IF($F263="","",IFERROR(INDEX(사건마스터!$AQ$5:$AQ$64,MATCH($F263,사건마스터!$A$5:$A$64,0)),""))</f>
        <v/>
      </c>
      <c r="U263" s="136">
        <f>IF($F263="","",IFERROR(INDEX(사건마스터!$AR$5:$AR$64,MATCH($F263,사건마스터!$A$5:$A$64,0)),""))</f>
        <v/>
      </c>
      <c r="V263" s="136">
        <f>IF($F263="","",IFERROR(INDEX(사건마스터!$AS$5:$AS$64,MATCH($F263,사건마스터!$A$5:$A$64,0)),""))</f>
        <v/>
      </c>
      <c r="W263" s="136">
        <f>IF($F263="","",IFERROR(INDEX(사건마스터!$AT$5:$AT$64,MATCH($F263,사건마스터!$A$5:$A$64,0)),""))</f>
        <v/>
      </c>
      <c r="X263" s="136">
        <f>IF($F263="","",IFERROR(INDEX(사건마스터!$AU$5:$AU$64,MATCH($F263,사건마스터!$A$5:$A$64,0)),""))</f>
        <v/>
      </c>
      <c r="Y263" s="136">
        <f>IF($F263="","",IFERROR(INDEX(사건마스터!$AV$5:$AV$64,MATCH($F263,사건마스터!$A$5:$A$64,0)),""))</f>
        <v/>
      </c>
      <c r="Z263" s="118">
        <f>IF(COUNTBLANK($J263:$Y263)=16,"",16-COUNTBLANK($J263:$Y263))</f>
        <v/>
      </c>
      <c r="AA263" s="33">
        <f>IF($J263="",MID($AX263,3,255),$J263&amp;$AX263)</f>
        <v/>
      </c>
      <c r="AB263" s="130">
        <f>IF($J263="","",IFERROR(INDEX(코드설정!$D$5:$D$24,MATCH($J263,코드설정!$C$5:$C$24,0)),""))</f>
        <v/>
      </c>
      <c r="AC263" s="36" t="n"/>
      <c r="AD263" s="37" t="n"/>
      <c r="AE263" s="38" t="n"/>
      <c r="AF263" s="118">
        <f>IF(OR($B263="",$C263=""),"",$C263-$B263+1)</f>
        <v/>
      </c>
      <c r="AG263" s="74" t="n"/>
      <c r="AH263" s="36" t="n"/>
      <c r="AJ263">
        <f>IF($K263="","",", "&amp;$K263)</f>
        <v/>
      </c>
      <c r="AK263">
        <f>AJ263&amp;IF($L263="","",", "&amp;$L263)</f>
        <v/>
      </c>
      <c r="AL263">
        <f>AK263&amp;IF($M263="","",", "&amp;$M263)</f>
        <v/>
      </c>
      <c r="AM263">
        <f>AL263&amp;IF($N263="","",", "&amp;$N263)</f>
        <v/>
      </c>
      <c r="AN263">
        <f>AM263&amp;IF($O263="","",", "&amp;$O263)</f>
        <v/>
      </c>
      <c r="AO263">
        <f>AN263&amp;IF($P263="","",", "&amp;$P263)</f>
        <v/>
      </c>
      <c r="AP263">
        <f>AO263&amp;IF($Q263="","",", "&amp;$Q263)</f>
        <v/>
      </c>
      <c r="AQ263">
        <f>AP263&amp;IF($R263="","",", "&amp;$R263)</f>
        <v/>
      </c>
      <c r="AR263">
        <f>AQ263&amp;IF($S263="","",", "&amp;$S263)</f>
        <v/>
      </c>
      <c r="AS263">
        <f>AR263&amp;IF($T263="","",", "&amp;$T263)</f>
        <v/>
      </c>
      <c r="AT263">
        <f>AS263&amp;IF($U263="","",", "&amp;$U263)</f>
        <v/>
      </c>
      <c r="AU263">
        <f>AT263&amp;IF($V263="","",", "&amp;$V263)</f>
        <v/>
      </c>
      <c r="AV263">
        <f>AU263&amp;IF($W263="","",", "&amp;$W263)</f>
        <v/>
      </c>
      <c r="AW263">
        <f>AV263&amp;IF($X263="","",", "&amp;$X263)</f>
        <v/>
      </c>
      <c r="AX263">
        <f>AW263&amp;IF($Y263="","",", "&amp;$Y263)</f>
        <v/>
      </c>
    </row>
    <row r="264">
      <c r="A264" s="118">
        <f>IF($B264="","",COUNT($B$5:$B264))</f>
        <v/>
      </c>
      <c r="B264" s="80" t="n"/>
      <c r="C264" s="80" t="n"/>
      <c r="D264" s="74" t="n"/>
      <c r="E264" s="74" t="n"/>
      <c r="F264" s="74" t="n"/>
      <c r="G264" s="118">
        <f>IF($F264="","",COUNTIF($F$5:$F264,$F264))</f>
        <v/>
      </c>
      <c r="H264" s="33">
        <f>IF($F264="","",IFERROR(INDEX(사건마스터!$B$5:$B$64,MATCH($F264,사건마스터!$A$5:$A$64,0)),""))</f>
        <v/>
      </c>
      <c r="I264" s="130">
        <f>IF($F264="","",IFERROR(INDEX(사건마스터!$C$5:$C$64,MATCH($F264,사건마스터!$A$5:$A$64,0)),""))</f>
        <v/>
      </c>
      <c r="J264" s="136">
        <f>IF($F264="","",IFERROR(INDEX(사건마스터!$H$5:$H$64,MATCH($F264,사건마스터!$A$5:$A$64,0)),""))</f>
        <v/>
      </c>
      <c r="K264" s="136">
        <f>IF($F264="","",IFERROR(INDEX(사건마스터!$AH$5:$AH$64,MATCH($F264,사건마스터!$A$5:$A$64,0)),""))</f>
        <v/>
      </c>
      <c r="L264" s="136">
        <f>IF($F264="","",IFERROR(INDEX(사건마스터!$AI$5:$AI$64,MATCH($F264,사건마스터!$A$5:$A$64,0)),""))</f>
        <v/>
      </c>
      <c r="M264" s="136">
        <f>IF($F264="","",IFERROR(INDEX(사건마스터!$AJ$5:$AJ$64,MATCH($F264,사건마스터!$A$5:$A$64,0)),""))</f>
        <v/>
      </c>
      <c r="N264" s="136">
        <f>IF($F264="","",IFERROR(INDEX(사건마스터!$AK$5:$AK$64,MATCH($F264,사건마스터!$A$5:$A$64,0)),""))</f>
        <v/>
      </c>
      <c r="O264" s="136">
        <f>IF($F264="","",IFERROR(INDEX(사건마스터!$AL$5:$AL$64,MATCH($F264,사건마스터!$A$5:$A$64,0)),""))</f>
        <v/>
      </c>
      <c r="P264" s="136">
        <f>IF($F264="","",IFERROR(INDEX(사건마스터!$AM$5:$AM$64,MATCH($F264,사건마스터!$A$5:$A$64,0)),""))</f>
        <v/>
      </c>
      <c r="Q264" s="136">
        <f>IF($F264="","",IFERROR(INDEX(사건마스터!$AN$5:$AN$64,MATCH($F264,사건마스터!$A$5:$A$64,0)),""))</f>
        <v/>
      </c>
      <c r="R264" s="136">
        <f>IF($F264="","",IFERROR(INDEX(사건마스터!$AO$5:$AO$64,MATCH($F264,사건마스터!$A$5:$A$64,0)),""))</f>
        <v/>
      </c>
      <c r="S264" s="136">
        <f>IF($F264="","",IFERROR(INDEX(사건마스터!$AP$5:$AP$64,MATCH($F264,사건마스터!$A$5:$A$64,0)),""))</f>
        <v/>
      </c>
      <c r="T264" s="136">
        <f>IF($F264="","",IFERROR(INDEX(사건마스터!$AQ$5:$AQ$64,MATCH($F264,사건마스터!$A$5:$A$64,0)),""))</f>
        <v/>
      </c>
      <c r="U264" s="136">
        <f>IF($F264="","",IFERROR(INDEX(사건마스터!$AR$5:$AR$64,MATCH($F264,사건마스터!$A$5:$A$64,0)),""))</f>
        <v/>
      </c>
      <c r="V264" s="136">
        <f>IF($F264="","",IFERROR(INDEX(사건마스터!$AS$5:$AS$64,MATCH($F264,사건마스터!$A$5:$A$64,0)),""))</f>
        <v/>
      </c>
      <c r="W264" s="136">
        <f>IF($F264="","",IFERROR(INDEX(사건마스터!$AT$5:$AT$64,MATCH($F264,사건마스터!$A$5:$A$64,0)),""))</f>
        <v/>
      </c>
      <c r="X264" s="136">
        <f>IF($F264="","",IFERROR(INDEX(사건마스터!$AU$5:$AU$64,MATCH($F264,사건마스터!$A$5:$A$64,0)),""))</f>
        <v/>
      </c>
      <c r="Y264" s="136">
        <f>IF($F264="","",IFERROR(INDEX(사건마스터!$AV$5:$AV$64,MATCH($F264,사건마스터!$A$5:$A$64,0)),""))</f>
        <v/>
      </c>
      <c r="Z264" s="118">
        <f>IF(COUNTBLANK($J264:$Y264)=16,"",16-COUNTBLANK($J264:$Y264))</f>
        <v/>
      </c>
      <c r="AA264" s="33">
        <f>IF($J264="",MID($AX264,3,255),$J264&amp;$AX264)</f>
        <v/>
      </c>
      <c r="AB264" s="130">
        <f>IF($J264="","",IFERROR(INDEX(코드설정!$D$5:$D$24,MATCH($J264,코드설정!$C$5:$C$24,0)),""))</f>
        <v/>
      </c>
      <c r="AC264" s="36" t="n"/>
      <c r="AD264" s="37" t="n"/>
      <c r="AE264" s="38" t="n"/>
      <c r="AF264" s="118">
        <f>IF(OR($B264="",$C264=""),"",$C264-$B264+1)</f>
        <v/>
      </c>
      <c r="AG264" s="74" t="n"/>
      <c r="AH264" s="36" t="n"/>
      <c r="AJ264">
        <f>IF($K264="","",", "&amp;$K264)</f>
        <v/>
      </c>
      <c r="AK264">
        <f>AJ264&amp;IF($L264="","",", "&amp;$L264)</f>
        <v/>
      </c>
      <c r="AL264">
        <f>AK264&amp;IF($M264="","",", "&amp;$M264)</f>
        <v/>
      </c>
      <c r="AM264">
        <f>AL264&amp;IF($N264="","",", "&amp;$N264)</f>
        <v/>
      </c>
      <c r="AN264">
        <f>AM264&amp;IF($O264="","",", "&amp;$O264)</f>
        <v/>
      </c>
      <c r="AO264">
        <f>AN264&amp;IF($P264="","",", "&amp;$P264)</f>
        <v/>
      </c>
      <c r="AP264">
        <f>AO264&amp;IF($Q264="","",", "&amp;$Q264)</f>
        <v/>
      </c>
      <c r="AQ264">
        <f>AP264&amp;IF($R264="","",", "&amp;$R264)</f>
        <v/>
      </c>
      <c r="AR264">
        <f>AQ264&amp;IF($S264="","",", "&amp;$S264)</f>
        <v/>
      </c>
      <c r="AS264">
        <f>AR264&amp;IF($T264="","",", "&amp;$T264)</f>
        <v/>
      </c>
      <c r="AT264">
        <f>AS264&amp;IF($U264="","",", "&amp;$U264)</f>
        <v/>
      </c>
      <c r="AU264">
        <f>AT264&amp;IF($V264="","",", "&amp;$V264)</f>
        <v/>
      </c>
      <c r="AV264">
        <f>AU264&amp;IF($W264="","",", "&amp;$W264)</f>
        <v/>
      </c>
      <c r="AW264">
        <f>AV264&amp;IF($X264="","",", "&amp;$X264)</f>
        <v/>
      </c>
      <c r="AX264">
        <f>AW264&amp;IF($Y264="","",", "&amp;$Y264)</f>
        <v/>
      </c>
    </row>
    <row r="265">
      <c r="A265" s="118">
        <f>IF($B265="","",COUNT($B$5:$B265))</f>
        <v/>
      </c>
      <c r="B265" s="80" t="n"/>
      <c r="C265" s="80" t="n"/>
      <c r="D265" s="74" t="n"/>
      <c r="E265" s="74" t="n"/>
      <c r="F265" s="74" t="n"/>
      <c r="G265" s="118">
        <f>IF($F265="","",COUNTIF($F$5:$F265,$F265))</f>
        <v/>
      </c>
      <c r="H265" s="33">
        <f>IF($F265="","",IFERROR(INDEX(사건마스터!$B$5:$B$64,MATCH($F265,사건마스터!$A$5:$A$64,0)),""))</f>
        <v/>
      </c>
      <c r="I265" s="130">
        <f>IF($F265="","",IFERROR(INDEX(사건마스터!$C$5:$C$64,MATCH($F265,사건마스터!$A$5:$A$64,0)),""))</f>
        <v/>
      </c>
      <c r="J265" s="136">
        <f>IF($F265="","",IFERROR(INDEX(사건마스터!$H$5:$H$64,MATCH($F265,사건마스터!$A$5:$A$64,0)),""))</f>
        <v/>
      </c>
      <c r="K265" s="136">
        <f>IF($F265="","",IFERROR(INDEX(사건마스터!$AH$5:$AH$64,MATCH($F265,사건마스터!$A$5:$A$64,0)),""))</f>
        <v/>
      </c>
      <c r="L265" s="136">
        <f>IF($F265="","",IFERROR(INDEX(사건마스터!$AI$5:$AI$64,MATCH($F265,사건마스터!$A$5:$A$64,0)),""))</f>
        <v/>
      </c>
      <c r="M265" s="136">
        <f>IF($F265="","",IFERROR(INDEX(사건마스터!$AJ$5:$AJ$64,MATCH($F265,사건마스터!$A$5:$A$64,0)),""))</f>
        <v/>
      </c>
      <c r="N265" s="136">
        <f>IF($F265="","",IFERROR(INDEX(사건마스터!$AK$5:$AK$64,MATCH($F265,사건마스터!$A$5:$A$64,0)),""))</f>
        <v/>
      </c>
      <c r="O265" s="136">
        <f>IF($F265="","",IFERROR(INDEX(사건마스터!$AL$5:$AL$64,MATCH($F265,사건마스터!$A$5:$A$64,0)),""))</f>
        <v/>
      </c>
      <c r="P265" s="136">
        <f>IF($F265="","",IFERROR(INDEX(사건마스터!$AM$5:$AM$64,MATCH($F265,사건마스터!$A$5:$A$64,0)),""))</f>
        <v/>
      </c>
      <c r="Q265" s="136">
        <f>IF($F265="","",IFERROR(INDEX(사건마스터!$AN$5:$AN$64,MATCH($F265,사건마스터!$A$5:$A$64,0)),""))</f>
        <v/>
      </c>
      <c r="R265" s="136">
        <f>IF($F265="","",IFERROR(INDEX(사건마스터!$AO$5:$AO$64,MATCH($F265,사건마스터!$A$5:$A$64,0)),""))</f>
        <v/>
      </c>
      <c r="S265" s="136">
        <f>IF($F265="","",IFERROR(INDEX(사건마스터!$AP$5:$AP$64,MATCH($F265,사건마스터!$A$5:$A$64,0)),""))</f>
        <v/>
      </c>
      <c r="T265" s="136">
        <f>IF($F265="","",IFERROR(INDEX(사건마스터!$AQ$5:$AQ$64,MATCH($F265,사건마스터!$A$5:$A$64,0)),""))</f>
        <v/>
      </c>
      <c r="U265" s="136">
        <f>IF($F265="","",IFERROR(INDEX(사건마스터!$AR$5:$AR$64,MATCH($F265,사건마스터!$A$5:$A$64,0)),""))</f>
        <v/>
      </c>
      <c r="V265" s="136">
        <f>IF($F265="","",IFERROR(INDEX(사건마스터!$AS$5:$AS$64,MATCH($F265,사건마스터!$A$5:$A$64,0)),""))</f>
        <v/>
      </c>
      <c r="W265" s="136">
        <f>IF($F265="","",IFERROR(INDEX(사건마스터!$AT$5:$AT$64,MATCH($F265,사건마스터!$A$5:$A$64,0)),""))</f>
        <v/>
      </c>
      <c r="X265" s="136">
        <f>IF($F265="","",IFERROR(INDEX(사건마스터!$AU$5:$AU$64,MATCH($F265,사건마스터!$A$5:$A$64,0)),""))</f>
        <v/>
      </c>
      <c r="Y265" s="136">
        <f>IF($F265="","",IFERROR(INDEX(사건마스터!$AV$5:$AV$64,MATCH($F265,사건마스터!$A$5:$A$64,0)),""))</f>
        <v/>
      </c>
      <c r="Z265" s="118">
        <f>IF(COUNTBLANK($J265:$Y265)=16,"",16-COUNTBLANK($J265:$Y265))</f>
        <v/>
      </c>
      <c r="AA265" s="33">
        <f>IF($J265="",MID($AX265,3,255),$J265&amp;$AX265)</f>
        <v/>
      </c>
      <c r="AB265" s="130">
        <f>IF($J265="","",IFERROR(INDEX(코드설정!$D$5:$D$24,MATCH($J265,코드설정!$C$5:$C$24,0)),""))</f>
        <v/>
      </c>
      <c r="AC265" s="36" t="n"/>
      <c r="AD265" s="37" t="n"/>
      <c r="AE265" s="38" t="n"/>
      <c r="AF265" s="118">
        <f>IF(OR($B265="",$C265=""),"",$C265-$B265+1)</f>
        <v/>
      </c>
      <c r="AG265" s="74" t="n"/>
      <c r="AH265" s="36" t="n"/>
      <c r="AJ265">
        <f>IF($K265="","",", "&amp;$K265)</f>
        <v/>
      </c>
      <c r="AK265">
        <f>AJ265&amp;IF($L265="","",", "&amp;$L265)</f>
        <v/>
      </c>
      <c r="AL265">
        <f>AK265&amp;IF($M265="","",", "&amp;$M265)</f>
        <v/>
      </c>
      <c r="AM265">
        <f>AL265&amp;IF($N265="","",", "&amp;$N265)</f>
        <v/>
      </c>
      <c r="AN265">
        <f>AM265&amp;IF($O265="","",", "&amp;$O265)</f>
        <v/>
      </c>
      <c r="AO265">
        <f>AN265&amp;IF($P265="","",", "&amp;$P265)</f>
        <v/>
      </c>
      <c r="AP265">
        <f>AO265&amp;IF($Q265="","",", "&amp;$Q265)</f>
        <v/>
      </c>
      <c r="AQ265">
        <f>AP265&amp;IF($R265="","",", "&amp;$R265)</f>
        <v/>
      </c>
      <c r="AR265">
        <f>AQ265&amp;IF($S265="","",", "&amp;$S265)</f>
        <v/>
      </c>
      <c r="AS265">
        <f>AR265&amp;IF($T265="","",", "&amp;$T265)</f>
        <v/>
      </c>
      <c r="AT265">
        <f>AS265&amp;IF($U265="","",", "&amp;$U265)</f>
        <v/>
      </c>
      <c r="AU265">
        <f>AT265&amp;IF($V265="","",", "&amp;$V265)</f>
        <v/>
      </c>
      <c r="AV265">
        <f>AU265&amp;IF($W265="","",", "&amp;$W265)</f>
        <v/>
      </c>
      <c r="AW265">
        <f>AV265&amp;IF($X265="","",", "&amp;$X265)</f>
        <v/>
      </c>
      <c r="AX265">
        <f>AW265&amp;IF($Y265="","",", "&amp;$Y265)</f>
        <v/>
      </c>
    </row>
    <row r="266">
      <c r="A266" s="118">
        <f>IF($B266="","",COUNT($B$5:$B266))</f>
        <v/>
      </c>
      <c r="B266" s="80" t="n"/>
      <c r="C266" s="80" t="n"/>
      <c r="D266" s="74" t="n"/>
      <c r="E266" s="74" t="n"/>
      <c r="F266" s="74" t="n"/>
      <c r="G266" s="118">
        <f>IF($F266="","",COUNTIF($F$5:$F266,$F266))</f>
        <v/>
      </c>
      <c r="H266" s="33">
        <f>IF($F266="","",IFERROR(INDEX(사건마스터!$B$5:$B$64,MATCH($F266,사건마스터!$A$5:$A$64,0)),""))</f>
        <v/>
      </c>
      <c r="I266" s="130">
        <f>IF($F266="","",IFERROR(INDEX(사건마스터!$C$5:$C$64,MATCH($F266,사건마스터!$A$5:$A$64,0)),""))</f>
        <v/>
      </c>
      <c r="J266" s="136">
        <f>IF($F266="","",IFERROR(INDEX(사건마스터!$H$5:$H$64,MATCH($F266,사건마스터!$A$5:$A$64,0)),""))</f>
        <v/>
      </c>
      <c r="K266" s="136">
        <f>IF($F266="","",IFERROR(INDEX(사건마스터!$AH$5:$AH$64,MATCH($F266,사건마스터!$A$5:$A$64,0)),""))</f>
        <v/>
      </c>
      <c r="L266" s="136">
        <f>IF($F266="","",IFERROR(INDEX(사건마스터!$AI$5:$AI$64,MATCH($F266,사건마스터!$A$5:$A$64,0)),""))</f>
        <v/>
      </c>
      <c r="M266" s="136">
        <f>IF($F266="","",IFERROR(INDEX(사건마스터!$AJ$5:$AJ$64,MATCH($F266,사건마스터!$A$5:$A$64,0)),""))</f>
        <v/>
      </c>
      <c r="N266" s="136">
        <f>IF($F266="","",IFERROR(INDEX(사건마스터!$AK$5:$AK$64,MATCH($F266,사건마스터!$A$5:$A$64,0)),""))</f>
        <v/>
      </c>
      <c r="O266" s="136">
        <f>IF($F266="","",IFERROR(INDEX(사건마스터!$AL$5:$AL$64,MATCH($F266,사건마스터!$A$5:$A$64,0)),""))</f>
        <v/>
      </c>
      <c r="P266" s="136">
        <f>IF($F266="","",IFERROR(INDEX(사건마스터!$AM$5:$AM$64,MATCH($F266,사건마스터!$A$5:$A$64,0)),""))</f>
        <v/>
      </c>
      <c r="Q266" s="136">
        <f>IF($F266="","",IFERROR(INDEX(사건마스터!$AN$5:$AN$64,MATCH($F266,사건마스터!$A$5:$A$64,0)),""))</f>
        <v/>
      </c>
      <c r="R266" s="136">
        <f>IF($F266="","",IFERROR(INDEX(사건마스터!$AO$5:$AO$64,MATCH($F266,사건마스터!$A$5:$A$64,0)),""))</f>
        <v/>
      </c>
      <c r="S266" s="136">
        <f>IF($F266="","",IFERROR(INDEX(사건마스터!$AP$5:$AP$64,MATCH($F266,사건마스터!$A$5:$A$64,0)),""))</f>
        <v/>
      </c>
      <c r="T266" s="136">
        <f>IF($F266="","",IFERROR(INDEX(사건마스터!$AQ$5:$AQ$64,MATCH($F266,사건마스터!$A$5:$A$64,0)),""))</f>
        <v/>
      </c>
      <c r="U266" s="136">
        <f>IF($F266="","",IFERROR(INDEX(사건마스터!$AR$5:$AR$64,MATCH($F266,사건마스터!$A$5:$A$64,0)),""))</f>
        <v/>
      </c>
      <c r="V266" s="136">
        <f>IF($F266="","",IFERROR(INDEX(사건마스터!$AS$5:$AS$64,MATCH($F266,사건마스터!$A$5:$A$64,0)),""))</f>
        <v/>
      </c>
      <c r="W266" s="136">
        <f>IF($F266="","",IFERROR(INDEX(사건마스터!$AT$5:$AT$64,MATCH($F266,사건마스터!$A$5:$A$64,0)),""))</f>
        <v/>
      </c>
      <c r="X266" s="136">
        <f>IF($F266="","",IFERROR(INDEX(사건마스터!$AU$5:$AU$64,MATCH($F266,사건마스터!$A$5:$A$64,0)),""))</f>
        <v/>
      </c>
      <c r="Y266" s="136">
        <f>IF($F266="","",IFERROR(INDEX(사건마스터!$AV$5:$AV$64,MATCH($F266,사건마스터!$A$5:$A$64,0)),""))</f>
        <v/>
      </c>
      <c r="Z266" s="118">
        <f>IF(COUNTBLANK($J266:$Y266)=16,"",16-COUNTBLANK($J266:$Y266))</f>
        <v/>
      </c>
      <c r="AA266" s="33">
        <f>IF($J266="",MID($AX266,3,255),$J266&amp;$AX266)</f>
        <v/>
      </c>
      <c r="AB266" s="130">
        <f>IF($J266="","",IFERROR(INDEX(코드설정!$D$5:$D$24,MATCH($J266,코드설정!$C$5:$C$24,0)),""))</f>
        <v/>
      </c>
      <c r="AC266" s="36" t="n"/>
      <c r="AD266" s="37" t="n"/>
      <c r="AE266" s="38" t="n"/>
      <c r="AF266" s="118">
        <f>IF(OR($B266="",$C266=""),"",$C266-$B266+1)</f>
        <v/>
      </c>
      <c r="AG266" s="74" t="n"/>
      <c r="AH266" s="36" t="n"/>
      <c r="AJ266">
        <f>IF($K266="","",", "&amp;$K266)</f>
        <v/>
      </c>
      <c r="AK266">
        <f>AJ266&amp;IF($L266="","",", "&amp;$L266)</f>
        <v/>
      </c>
      <c r="AL266">
        <f>AK266&amp;IF($M266="","",", "&amp;$M266)</f>
        <v/>
      </c>
      <c r="AM266">
        <f>AL266&amp;IF($N266="","",", "&amp;$N266)</f>
        <v/>
      </c>
      <c r="AN266">
        <f>AM266&amp;IF($O266="","",", "&amp;$O266)</f>
        <v/>
      </c>
      <c r="AO266">
        <f>AN266&amp;IF($P266="","",", "&amp;$P266)</f>
        <v/>
      </c>
      <c r="AP266">
        <f>AO266&amp;IF($Q266="","",", "&amp;$Q266)</f>
        <v/>
      </c>
      <c r="AQ266">
        <f>AP266&amp;IF($R266="","",", "&amp;$R266)</f>
        <v/>
      </c>
      <c r="AR266">
        <f>AQ266&amp;IF($S266="","",", "&amp;$S266)</f>
        <v/>
      </c>
      <c r="AS266">
        <f>AR266&amp;IF($T266="","",", "&amp;$T266)</f>
        <v/>
      </c>
      <c r="AT266">
        <f>AS266&amp;IF($U266="","",", "&amp;$U266)</f>
        <v/>
      </c>
      <c r="AU266">
        <f>AT266&amp;IF($V266="","",", "&amp;$V266)</f>
        <v/>
      </c>
      <c r="AV266">
        <f>AU266&amp;IF($W266="","",", "&amp;$W266)</f>
        <v/>
      </c>
      <c r="AW266">
        <f>AV266&amp;IF($X266="","",", "&amp;$X266)</f>
        <v/>
      </c>
      <c r="AX266">
        <f>AW266&amp;IF($Y266="","",", "&amp;$Y266)</f>
        <v/>
      </c>
    </row>
    <row r="267">
      <c r="A267" s="118">
        <f>IF($B267="","",COUNT($B$5:$B267))</f>
        <v/>
      </c>
      <c r="B267" s="80" t="n"/>
      <c r="C267" s="80" t="n"/>
      <c r="D267" s="74" t="n"/>
      <c r="E267" s="74" t="n"/>
      <c r="F267" s="74" t="n"/>
      <c r="G267" s="118">
        <f>IF($F267="","",COUNTIF($F$5:$F267,$F267))</f>
        <v/>
      </c>
      <c r="H267" s="33">
        <f>IF($F267="","",IFERROR(INDEX(사건마스터!$B$5:$B$64,MATCH($F267,사건마스터!$A$5:$A$64,0)),""))</f>
        <v/>
      </c>
      <c r="I267" s="130">
        <f>IF($F267="","",IFERROR(INDEX(사건마스터!$C$5:$C$64,MATCH($F267,사건마스터!$A$5:$A$64,0)),""))</f>
        <v/>
      </c>
      <c r="J267" s="136">
        <f>IF($F267="","",IFERROR(INDEX(사건마스터!$H$5:$H$64,MATCH($F267,사건마스터!$A$5:$A$64,0)),""))</f>
        <v/>
      </c>
      <c r="K267" s="136">
        <f>IF($F267="","",IFERROR(INDEX(사건마스터!$AH$5:$AH$64,MATCH($F267,사건마스터!$A$5:$A$64,0)),""))</f>
        <v/>
      </c>
      <c r="L267" s="136">
        <f>IF($F267="","",IFERROR(INDEX(사건마스터!$AI$5:$AI$64,MATCH($F267,사건마스터!$A$5:$A$64,0)),""))</f>
        <v/>
      </c>
      <c r="M267" s="136">
        <f>IF($F267="","",IFERROR(INDEX(사건마스터!$AJ$5:$AJ$64,MATCH($F267,사건마스터!$A$5:$A$64,0)),""))</f>
        <v/>
      </c>
      <c r="N267" s="136">
        <f>IF($F267="","",IFERROR(INDEX(사건마스터!$AK$5:$AK$64,MATCH($F267,사건마스터!$A$5:$A$64,0)),""))</f>
        <v/>
      </c>
      <c r="O267" s="136">
        <f>IF($F267="","",IFERROR(INDEX(사건마스터!$AL$5:$AL$64,MATCH($F267,사건마스터!$A$5:$A$64,0)),""))</f>
        <v/>
      </c>
      <c r="P267" s="136">
        <f>IF($F267="","",IFERROR(INDEX(사건마스터!$AM$5:$AM$64,MATCH($F267,사건마스터!$A$5:$A$64,0)),""))</f>
        <v/>
      </c>
      <c r="Q267" s="136">
        <f>IF($F267="","",IFERROR(INDEX(사건마스터!$AN$5:$AN$64,MATCH($F267,사건마스터!$A$5:$A$64,0)),""))</f>
        <v/>
      </c>
      <c r="R267" s="136">
        <f>IF($F267="","",IFERROR(INDEX(사건마스터!$AO$5:$AO$64,MATCH($F267,사건마스터!$A$5:$A$64,0)),""))</f>
        <v/>
      </c>
      <c r="S267" s="136">
        <f>IF($F267="","",IFERROR(INDEX(사건마스터!$AP$5:$AP$64,MATCH($F267,사건마스터!$A$5:$A$64,0)),""))</f>
        <v/>
      </c>
      <c r="T267" s="136">
        <f>IF($F267="","",IFERROR(INDEX(사건마스터!$AQ$5:$AQ$64,MATCH($F267,사건마스터!$A$5:$A$64,0)),""))</f>
        <v/>
      </c>
      <c r="U267" s="136">
        <f>IF($F267="","",IFERROR(INDEX(사건마스터!$AR$5:$AR$64,MATCH($F267,사건마스터!$A$5:$A$64,0)),""))</f>
        <v/>
      </c>
      <c r="V267" s="136">
        <f>IF($F267="","",IFERROR(INDEX(사건마스터!$AS$5:$AS$64,MATCH($F267,사건마스터!$A$5:$A$64,0)),""))</f>
        <v/>
      </c>
      <c r="W267" s="136">
        <f>IF($F267="","",IFERROR(INDEX(사건마스터!$AT$5:$AT$64,MATCH($F267,사건마스터!$A$5:$A$64,0)),""))</f>
        <v/>
      </c>
      <c r="X267" s="136">
        <f>IF($F267="","",IFERROR(INDEX(사건마스터!$AU$5:$AU$64,MATCH($F267,사건마스터!$A$5:$A$64,0)),""))</f>
        <v/>
      </c>
      <c r="Y267" s="136">
        <f>IF($F267="","",IFERROR(INDEX(사건마스터!$AV$5:$AV$64,MATCH($F267,사건마스터!$A$5:$A$64,0)),""))</f>
        <v/>
      </c>
      <c r="Z267" s="118">
        <f>IF(COUNTBLANK($J267:$Y267)=16,"",16-COUNTBLANK($J267:$Y267))</f>
        <v/>
      </c>
      <c r="AA267" s="33">
        <f>IF($J267="",MID($AX267,3,255),$J267&amp;$AX267)</f>
        <v/>
      </c>
      <c r="AB267" s="130">
        <f>IF($J267="","",IFERROR(INDEX(코드설정!$D$5:$D$24,MATCH($J267,코드설정!$C$5:$C$24,0)),""))</f>
        <v/>
      </c>
      <c r="AC267" s="36" t="n"/>
      <c r="AD267" s="37" t="n"/>
      <c r="AE267" s="38" t="n"/>
      <c r="AF267" s="118">
        <f>IF(OR($B267="",$C267=""),"",$C267-$B267+1)</f>
        <v/>
      </c>
      <c r="AG267" s="74" t="n"/>
      <c r="AH267" s="36" t="n"/>
      <c r="AJ267">
        <f>IF($K267="","",", "&amp;$K267)</f>
        <v/>
      </c>
      <c r="AK267">
        <f>AJ267&amp;IF($L267="","",", "&amp;$L267)</f>
        <v/>
      </c>
      <c r="AL267">
        <f>AK267&amp;IF($M267="","",", "&amp;$M267)</f>
        <v/>
      </c>
      <c r="AM267">
        <f>AL267&amp;IF($N267="","",", "&amp;$N267)</f>
        <v/>
      </c>
      <c r="AN267">
        <f>AM267&amp;IF($O267="","",", "&amp;$O267)</f>
        <v/>
      </c>
      <c r="AO267">
        <f>AN267&amp;IF($P267="","",", "&amp;$P267)</f>
        <v/>
      </c>
      <c r="AP267">
        <f>AO267&amp;IF($Q267="","",", "&amp;$Q267)</f>
        <v/>
      </c>
      <c r="AQ267">
        <f>AP267&amp;IF($R267="","",", "&amp;$R267)</f>
        <v/>
      </c>
      <c r="AR267">
        <f>AQ267&amp;IF($S267="","",", "&amp;$S267)</f>
        <v/>
      </c>
      <c r="AS267">
        <f>AR267&amp;IF($T267="","",", "&amp;$T267)</f>
        <v/>
      </c>
      <c r="AT267">
        <f>AS267&amp;IF($U267="","",", "&amp;$U267)</f>
        <v/>
      </c>
      <c r="AU267">
        <f>AT267&amp;IF($V267="","",", "&amp;$V267)</f>
        <v/>
      </c>
      <c r="AV267">
        <f>AU267&amp;IF($W267="","",", "&amp;$W267)</f>
        <v/>
      </c>
      <c r="AW267">
        <f>AV267&amp;IF($X267="","",", "&amp;$X267)</f>
        <v/>
      </c>
      <c r="AX267">
        <f>AW267&amp;IF($Y267="","",", "&amp;$Y267)</f>
        <v/>
      </c>
    </row>
    <row r="268">
      <c r="A268" s="118">
        <f>IF($B268="","",COUNT($B$5:$B268))</f>
        <v/>
      </c>
      <c r="B268" s="80" t="n"/>
      <c r="C268" s="80" t="n"/>
      <c r="D268" s="74" t="n"/>
      <c r="E268" s="74" t="n"/>
      <c r="F268" s="74" t="n"/>
      <c r="G268" s="118">
        <f>IF($F268="","",COUNTIF($F$5:$F268,$F268))</f>
        <v/>
      </c>
      <c r="H268" s="33">
        <f>IF($F268="","",IFERROR(INDEX(사건마스터!$B$5:$B$64,MATCH($F268,사건마스터!$A$5:$A$64,0)),""))</f>
        <v/>
      </c>
      <c r="I268" s="130">
        <f>IF($F268="","",IFERROR(INDEX(사건마스터!$C$5:$C$64,MATCH($F268,사건마스터!$A$5:$A$64,0)),""))</f>
        <v/>
      </c>
      <c r="J268" s="136">
        <f>IF($F268="","",IFERROR(INDEX(사건마스터!$H$5:$H$64,MATCH($F268,사건마스터!$A$5:$A$64,0)),""))</f>
        <v/>
      </c>
      <c r="K268" s="136">
        <f>IF($F268="","",IFERROR(INDEX(사건마스터!$AH$5:$AH$64,MATCH($F268,사건마스터!$A$5:$A$64,0)),""))</f>
        <v/>
      </c>
      <c r="L268" s="136">
        <f>IF($F268="","",IFERROR(INDEX(사건마스터!$AI$5:$AI$64,MATCH($F268,사건마스터!$A$5:$A$64,0)),""))</f>
        <v/>
      </c>
      <c r="M268" s="136">
        <f>IF($F268="","",IFERROR(INDEX(사건마스터!$AJ$5:$AJ$64,MATCH($F268,사건마스터!$A$5:$A$64,0)),""))</f>
        <v/>
      </c>
      <c r="N268" s="136">
        <f>IF($F268="","",IFERROR(INDEX(사건마스터!$AK$5:$AK$64,MATCH($F268,사건마스터!$A$5:$A$64,0)),""))</f>
        <v/>
      </c>
      <c r="O268" s="136">
        <f>IF($F268="","",IFERROR(INDEX(사건마스터!$AL$5:$AL$64,MATCH($F268,사건마스터!$A$5:$A$64,0)),""))</f>
        <v/>
      </c>
      <c r="P268" s="136">
        <f>IF($F268="","",IFERROR(INDEX(사건마스터!$AM$5:$AM$64,MATCH($F268,사건마스터!$A$5:$A$64,0)),""))</f>
        <v/>
      </c>
      <c r="Q268" s="136">
        <f>IF($F268="","",IFERROR(INDEX(사건마스터!$AN$5:$AN$64,MATCH($F268,사건마스터!$A$5:$A$64,0)),""))</f>
        <v/>
      </c>
      <c r="R268" s="136">
        <f>IF($F268="","",IFERROR(INDEX(사건마스터!$AO$5:$AO$64,MATCH($F268,사건마스터!$A$5:$A$64,0)),""))</f>
        <v/>
      </c>
      <c r="S268" s="136">
        <f>IF($F268="","",IFERROR(INDEX(사건마스터!$AP$5:$AP$64,MATCH($F268,사건마스터!$A$5:$A$64,0)),""))</f>
        <v/>
      </c>
      <c r="T268" s="136">
        <f>IF($F268="","",IFERROR(INDEX(사건마스터!$AQ$5:$AQ$64,MATCH($F268,사건마스터!$A$5:$A$64,0)),""))</f>
        <v/>
      </c>
      <c r="U268" s="136">
        <f>IF($F268="","",IFERROR(INDEX(사건마스터!$AR$5:$AR$64,MATCH($F268,사건마스터!$A$5:$A$64,0)),""))</f>
        <v/>
      </c>
      <c r="V268" s="136">
        <f>IF($F268="","",IFERROR(INDEX(사건마스터!$AS$5:$AS$64,MATCH($F268,사건마스터!$A$5:$A$64,0)),""))</f>
        <v/>
      </c>
      <c r="W268" s="136">
        <f>IF($F268="","",IFERROR(INDEX(사건마스터!$AT$5:$AT$64,MATCH($F268,사건마스터!$A$5:$A$64,0)),""))</f>
        <v/>
      </c>
      <c r="X268" s="136">
        <f>IF($F268="","",IFERROR(INDEX(사건마스터!$AU$5:$AU$64,MATCH($F268,사건마스터!$A$5:$A$64,0)),""))</f>
        <v/>
      </c>
      <c r="Y268" s="136">
        <f>IF($F268="","",IFERROR(INDEX(사건마스터!$AV$5:$AV$64,MATCH($F268,사건마스터!$A$5:$A$64,0)),""))</f>
        <v/>
      </c>
      <c r="Z268" s="118">
        <f>IF(COUNTBLANK($J268:$Y268)=16,"",16-COUNTBLANK($J268:$Y268))</f>
        <v/>
      </c>
      <c r="AA268" s="33">
        <f>IF($J268="",MID($AX268,3,255),$J268&amp;$AX268)</f>
        <v/>
      </c>
      <c r="AB268" s="130">
        <f>IF($J268="","",IFERROR(INDEX(코드설정!$D$5:$D$24,MATCH($J268,코드설정!$C$5:$C$24,0)),""))</f>
        <v/>
      </c>
      <c r="AC268" s="36" t="n"/>
      <c r="AD268" s="37" t="n"/>
      <c r="AE268" s="38" t="n"/>
      <c r="AF268" s="118">
        <f>IF(OR($B268="",$C268=""),"",$C268-$B268+1)</f>
        <v/>
      </c>
      <c r="AG268" s="74" t="n"/>
      <c r="AH268" s="36" t="n"/>
      <c r="AJ268">
        <f>IF($K268="","",", "&amp;$K268)</f>
        <v/>
      </c>
      <c r="AK268">
        <f>AJ268&amp;IF($L268="","",", "&amp;$L268)</f>
        <v/>
      </c>
      <c r="AL268">
        <f>AK268&amp;IF($M268="","",", "&amp;$M268)</f>
        <v/>
      </c>
      <c r="AM268">
        <f>AL268&amp;IF($N268="","",", "&amp;$N268)</f>
        <v/>
      </c>
      <c r="AN268">
        <f>AM268&amp;IF($O268="","",", "&amp;$O268)</f>
        <v/>
      </c>
      <c r="AO268">
        <f>AN268&amp;IF($P268="","",", "&amp;$P268)</f>
        <v/>
      </c>
      <c r="AP268">
        <f>AO268&amp;IF($Q268="","",", "&amp;$Q268)</f>
        <v/>
      </c>
      <c r="AQ268">
        <f>AP268&amp;IF($R268="","",", "&amp;$R268)</f>
        <v/>
      </c>
      <c r="AR268">
        <f>AQ268&amp;IF($S268="","",", "&amp;$S268)</f>
        <v/>
      </c>
      <c r="AS268">
        <f>AR268&amp;IF($T268="","",", "&amp;$T268)</f>
        <v/>
      </c>
      <c r="AT268">
        <f>AS268&amp;IF($U268="","",", "&amp;$U268)</f>
        <v/>
      </c>
      <c r="AU268">
        <f>AT268&amp;IF($V268="","",", "&amp;$V268)</f>
        <v/>
      </c>
      <c r="AV268">
        <f>AU268&amp;IF($W268="","",", "&amp;$W268)</f>
        <v/>
      </c>
      <c r="AW268">
        <f>AV268&amp;IF($X268="","",", "&amp;$X268)</f>
        <v/>
      </c>
      <c r="AX268">
        <f>AW268&amp;IF($Y268="","",", "&amp;$Y268)</f>
        <v/>
      </c>
    </row>
    <row r="269">
      <c r="A269" s="118">
        <f>IF($B269="","",COUNT($B$5:$B269))</f>
        <v/>
      </c>
      <c r="B269" s="80" t="n"/>
      <c r="C269" s="80" t="n"/>
      <c r="D269" s="74" t="n"/>
      <c r="E269" s="74" t="n"/>
      <c r="F269" s="74" t="n"/>
      <c r="G269" s="118">
        <f>IF($F269="","",COUNTIF($F$5:$F269,$F269))</f>
        <v/>
      </c>
      <c r="H269" s="33">
        <f>IF($F269="","",IFERROR(INDEX(사건마스터!$B$5:$B$64,MATCH($F269,사건마스터!$A$5:$A$64,0)),""))</f>
        <v/>
      </c>
      <c r="I269" s="130">
        <f>IF($F269="","",IFERROR(INDEX(사건마스터!$C$5:$C$64,MATCH($F269,사건마스터!$A$5:$A$64,0)),""))</f>
        <v/>
      </c>
      <c r="J269" s="136">
        <f>IF($F269="","",IFERROR(INDEX(사건마스터!$H$5:$H$64,MATCH($F269,사건마스터!$A$5:$A$64,0)),""))</f>
        <v/>
      </c>
      <c r="K269" s="136">
        <f>IF($F269="","",IFERROR(INDEX(사건마스터!$AH$5:$AH$64,MATCH($F269,사건마스터!$A$5:$A$64,0)),""))</f>
        <v/>
      </c>
      <c r="L269" s="136">
        <f>IF($F269="","",IFERROR(INDEX(사건마스터!$AI$5:$AI$64,MATCH($F269,사건마스터!$A$5:$A$64,0)),""))</f>
        <v/>
      </c>
      <c r="M269" s="136">
        <f>IF($F269="","",IFERROR(INDEX(사건마스터!$AJ$5:$AJ$64,MATCH($F269,사건마스터!$A$5:$A$64,0)),""))</f>
        <v/>
      </c>
      <c r="N269" s="136">
        <f>IF($F269="","",IFERROR(INDEX(사건마스터!$AK$5:$AK$64,MATCH($F269,사건마스터!$A$5:$A$64,0)),""))</f>
        <v/>
      </c>
      <c r="O269" s="136">
        <f>IF($F269="","",IFERROR(INDEX(사건마스터!$AL$5:$AL$64,MATCH($F269,사건마스터!$A$5:$A$64,0)),""))</f>
        <v/>
      </c>
      <c r="P269" s="136">
        <f>IF($F269="","",IFERROR(INDEX(사건마스터!$AM$5:$AM$64,MATCH($F269,사건마스터!$A$5:$A$64,0)),""))</f>
        <v/>
      </c>
      <c r="Q269" s="136">
        <f>IF($F269="","",IFERROR(INDEX(사건마스터!$AN$5:$AN$64,MATCH($F269,사건마스터!$A$5:$A$64,0)),""))</f>
        <v/>
      </c>
      <c r="R269" s="136">
        <f>IF($F269="","",IFERROR(INDEX(사건마스터!$AO$5:$AO$64,MATCH($F269,사건마스터!$A$5:$A$64,0)),""))</f>
        <v/>
      </c>
      <c r="S269" s="136">
        <f>IF($F269="","",IFERROR(INDEX(사건마스터!$AP$5:$AP$64,MATCH($F269,사건마스터!$A$5:$A$64,0)),""))</f>
        <v/>
      </c>
      <c r="T269" s="136">
        <f>IF($F269="","",IFERROR(INDEX(사건마스터!$AQ$5:$AQ$64,MATCH($F269,사건마스터!$A$5:$A$64,0)),""))</f>
        <v/>
      </c>
      <c r="U269" s="136">
        <f>IF($F269="","",IFERROR(INDEX(사건마스터!$AR$5:$AR$64,MATCH($F269,사건마스터!$A$5:$A$64,0)),""))</f>
        <v/>
      </c>
      <c r="V269" s="136">
        <f>IF($F269="","",IFERROR(INDEX(사건마스터!$AS$5:$AS$64,MATCH($F269,사건마스터!$A$5:$A$64,0)),""))</f>
        <v/>
      </c>
      <c r="W269" s="136">
        <f>IF($F269="","",IFERROR(INDEX(사건마스터!$AT$5:$AT$64,MATCH($F269,사건마스터!$A$5:$A$64,0)),""))</f>
        <v/>
      </c>
      <c r="X269" s="136">
        <f>IF($F269="","",IFERROR(INDEX(사건마스터!$AU$5:$AU$64,MATCH($F269,사건마스터!$A$5:$A$64,0)),""))</f>
        <v/>
      </c>
      <c r="Y269" s="136">
        <f>IF($F269="","",IFERROR(INDEX(사건마스터!$AV$5:$AV$64,MATCH($F269,사건마스터!$A$5:$A$64,0)),""))</f>
        <v/>
      </c>
      <c r="Z269" s="118">
        <f>IF(COUNTBLANK($J269:$Y269)=16,"",16-COUNTBLANK($J269:$Y269))</f>
        <v/>
      </c>
      <c r="AA269" s="33">
        <f>IF($J269="",MID($AX269,3,255),$J269&amp;$AX269)</f>
        <v/>
      </c>
      <c r="AB269" s="130">
        <f>IF($J269="","",IFERROR(INDEX(코드설정!$D$5:$D$24,MATCH($J269,코드설정!$C$5:$C$24,0)),""))</f>
        <v/>
      </c>
      <c r="AC269" s="36" t="n"/>
      <c r="AD269" s="37" t="n"/>
      <c r="AE269" s="38" t="n"/>
      <c r="AF269" s="118">
        <f>IF(OR($B269="",$C269=""),"",$C269-$B269+1)</f>
        <v/>
      </c>
      <c r="AG269" s="74" t="n"/>
      <c r="AH269" s="36" t="n"/>
      <c r="AJ269">
        <f>IF($K269="","",", "&amp;$K269)</f>
        <v/>
      </c>
      <c r="AK269">
        <f>AJ269&amp;IF($L269="","",", "&amp;$L269)</f>
        <v/>
      </c>
      <c r="AL269">
        <f>AK269&amp;IF($M269="","",", "&amp;$M269)</f>
        <v/>
      </c>
      <c r="AM269">
        <f>AL269&amp;IF($N269="","",", "&amp;$N269)</f>
        <v/>
      </c>
      <c r="AN269">
        <f>AM269&amp;IF($O269="","",", "&amp;$O269)</f>
        <v/>
      </c>
      <c r="AO269">
        <f>AN269&amp;IF($P269="","",", "&amp;$P269)</f>
        <v/>
      </c>
      <c r="AP269">
        <f>AO269&amp;IF($Q269="","",", "&amp;$Q269)</f>
        <v/>
      </c>
      <c r="AQ269">
        <f>AP269&amp;IF($R269="","",", "&amp;$R269)</f>
        <v/>
      </c>
      <c r="AR269">
        <f>AQ269&amp;IF($S269="","",", "&amp;$S269)</f>
        <v/>
      </c>
      <c r="AS269">
        <f>AR269&amp;IF($T269="","",", "&amp;$T269)</f>
        <v/>
      </c>
      <c r="AT269">
        <f>AS269&amp;IF($U269="","",", "&amp;$U269)</f>
        <v/>
      </c>
      <c r="AU269">
        <f>AT269&amp;IF($V269="","",", "&amp;$V269)</f>
        <v/>
      </c>
      <c r="AV269">
        <f>AU269&amp;IF($W269="","",", "&amp;$W269)</f>
        <v/>
      </c>
      <c r="AW269">
        <f>AV269&amp;IF($X269="","",", "&amp;$X269)</f>
        <v/>
      </c>
      <c r="AX269">
        <f>AW269&amp;IF($Y269="","",", "&amp;$Y269)</f>
        <v/>
      </c>
    </row>
    <row r="270">
      <c r="A270" s="118">
        <f>IF($B270="","",COUNT($B$5:$B270))</f>
        <v/>
      </c>
      <c r="B270" s="80" t="n"/>
      <c r="C270" s="80" t="n"/>
      <c r="D270" s="74" t="n"/>
      <c r="E270" s="74" t="n"/>
      <c r="F270" s="74" t="n"/>
      <c r="G270" s="118">
        <f>IF($F270="","",COUNTIF($F$5:$F270,$F270))</f>
        <v/>
      </c>
      <c r="H270" s="33">
        <f>IF($F270="","",IFERROR(INDEX(사건마스터!$B$5:$B$64,MATCH($F270,사건마스터!$A$5:$A$64,0)),""))</f>
        <v/>
      </c>
      <c r="I270" s="130">
        <f>IF($F270="","",IFERROR(INDEX(사건마스터!$C$5:$C$64,MATCH($F270,사건마스터!$A$5:$A$64,0)),""))</f>
        <v/>
      </c>
      <c r="J270" s="136">
        <f>IF($F270="","",IFERROR(INDEX(사건마스터!$H$5:$H$64,MATCH($F270,사건마스터!$A$5:$A$64,0)),""))</f>
        <v/>
      </c>
      <c r="K270" s="136">
        <f>IF($F270="","",IFERROR(INDEX(사건마스터!$AH$5:$AH$64,MATCH($F270,사건마스터!$A$5:$A$64,0)),""))</f>
        <v/>
      </c>
      <c r="L270" s="136">
        <f>IF($F270="","",IFERROR(INDEX(사건마스터!$AI$5:$AI$64,MATCH($F270,사건마스터!$A$5:$A$64,0)),""))</f>
        <v/>
      </c>
      <c r="M270" s="136">
        <f>IF($F270="","",IFERROR(INDEX(사건마스터!$AJ$5:$AJ$64,MATCH($F270,사건마스터!$A$5:$A$64,0)),""))</f>
        <v/>
      </c>
      <c r="N270" s="136">
        <f>IF($F270="","",IFERROR(INDEX(사건마스터!$AK$5:$AK$64,MATCH($F270,사건마스터!$A$5:$A$64,0)),""))</f>
        <v/>
      </c>
      <c r="O270" s="136">
        <f>IF($F270="","",IFERROR(INDEX(사건마스터!$AL$5:$AL$64,MATCH($F270,사건마스터!$A$5:$A$64,0)),""))</f>
        <v/>
      </c>
      <c r="P270" s="136">
        <f>IF($F270="","",IFERROR(INDEX(사건마스터!$AM$5:$AM$64,MATCH($F270,사건마스터!$A$5:$A$64,0)),""))</f>
        <v/>
      </c>
      <c r="Q270" s="136">
        <f>IF($F270="","",IFERROR(INDEX(사건마스터!$AN$5:$AN$64,MATCH($F270,사건마스터!$A$5:$A$64,0)),""))</f>
        <v/>
      </c>
      <c r="R270" s="136">
        <f>IF($F270="","",IFERROR(INDEX(사건마스터!$AO$5:$AO$64,MATCH($F270,사건마스터!$A$5:$A$64,0)),""))</f>
        <v/>
      </c>
      <c r="S270" s="136">
        <f>IF($F270="","",IFERROR(INDEX(사건마스터!$AP$5:$AP$64,MATCH($F270,사건마스터!$A$5:$A$64,0)),""))</f>
        <v/>
      </c>
      <c r="T270" s="136">
        <f>IF($F270="","",IFERROR(INDEX(사건마스터!$AQ$5:$AQ$64,MATCH($F270,사건마스터!$A$5:$A$64,0)),""))</f>
        <v/>
      </c>
      <c r="U270" s="136">
        <f>IF($F270="","",IFERROR(INDEX(사건마스터!$AR$5:$AR$64,MATCH($F270,사건마스터!$A$5:$A$64,0)),""))</f>
        <v/>
      </c>
      <c r="V270" s="136">
        <f>IF($F270="","",IFERROR(INDEX(사건마스터!$AS$5:$AS$64,MATCH($F270,사건마스터!$A$5:$A$64,0)),""))</f>
        <v/>
      </c>
      <c r="W270" s="136">
        <f>IF($F270="","",IFERROR(INDEX(사건마스터!$AT$5:$AT$64,MATCH($F270,사건마스터!$A$5:$A$64,0)),""))</f>
        <v/>
      </c>
      <c r="X270" s="136">
        <f>IF($F270="","",IFERROR(INDEX(사건마스터!$AU$5:$AU$64,MATCH($F270,사건마스터!$A$5:$A$64,0)),""))</f>
        <v/>
      </c>
      <c r="Y270" s="136">
        <f>IF($F270="","",IFERROR(INDEX(사건마스터!$AV$5:$AV$64,MATCH($F270,사건마스터!$A$5:$A$64,0)),""))</f>
        <v/>
      </c>
      <c r="Z270" s="118">
        <f>IF(COUNTBLANK($J270:$Y270)=16,"",16-COUNTBLANK($J270:$Y270))</f>
        <v/>
      </c>
      <c r="AA270" s="33">
        <f>IF($J270="",MID($AX270,3,255),$J270&amp;$AX270)</f>
        <v/>
      </c>
      <c r="AB270" s="130">
        <f>IF($J270="","",IFERROR(INDEX(코드설정!$D$5:$D$24,MATCH($J270,코드설정!$C$5:$C$24,0)),""))</f>
        <v/>
      </c>
      <c r="AC270" s="36" t="n"/>
      <c r="AD270" s="37" t="n"/>
      <c r="AE270" s="38" t="n"/>
      <c r="AF270" s="118">
        <f>IF(OR($B270="",$C270=""),"",$C270-$B270+1)</f>
        <v/>
      </c>
      <c r="AG270" s="74" t="n"/>
      <c r="AH270" s="36" t="n"/>
      <c r="AJ270">
        <f>IF($K270="","",", "&amp;$K270)</f>
        <v/>
      </c>
      <c r="AK270">
        <f>AJ270&amp;IF($L270="","",", "&amp;$L270)</f>
        <v/>
      </c>
      <c r="AL270">
        <f>AK270&amp;IF($M270="","",", "&amp;$M270)</f>
        <v/>
      </c>
      <c r="AM270">
        <f>AL270&amp;IF($N270="","",", "&amp;$N270)</f>
        <v/>
      </c>
      <c r="AN270">
        <f>AM270&amp;IF($O270="","",", "&amp;$O270)</f>
        <v/>
      </c>
      <c r="AO270">
        <f>AN270&amp;IF($P270="","",", "&amp;$P270)</f>
        <v/>
      </c>
      <c r="AP270">
        <f>AO270&amp;IF($Q270="","",", "&amp;$Q270)</f>
        <v/>
      </c>
      <c r="AQ270">
        <f>AP270&amp;IF($R270="","",", "&amp;$R270)</f>
        <v/>
      </c>
      <c r="AR270">
        <f>AQ270&amp;IF($S270="","",", "&amp;$S270)</f>
        <v/>
      </c>
      <c r="AS270">
        <f>AR270&amp;IF($T270="","",", "&amp;$T270)</f>
        <v/>
      </c>
      <c r="AT270">
        <f>AS270&amp;IF($U270="","",", "&amp;$U270)</f>
        <v/>
      </c>
      <c r="AU270">
        <f>AT270&amp;IF($V270="","",", "&amp;$V270)</f>
        <v/>
      </c>
      <c r="AV270">
        <f>AU270&amp;IF($W270="","",", "&amp;$W270)</f>
        <v/>
      </c>
      <c r="AW270">
        <f>AV270&amp;IF($X270="","",", "&amp;$X270)</f>
        <v/>
      </c>
      <c r="AX270">
        <f>AW270&amp;IF($Y270="","",", "&amp;$Y270)</f>
        <v/>
      </c>
    </row>
    <row r="271">
      <c r="A271" s="118">
        <f>IF($B271="","",COUNT($B$5:$B271))</f>
        <v/>
      </c>
      <c r="B271" s="80" t="n"/>
      <c r="C271" s="80" t="n"/>
      <c r="D271" s="74" t="n"/>
      <c r="E271" s="74" t="n"/>
      <c r="F271" s="74" t="n"/>
      <c r="G271" s="118">
        <f>IF($F271="","",COUNTIF($F$5:$F271,$F271))</f>
        <v/>
      </c>
      <c r="H271" s="33">
        <f>IF($F271="","",IFERROR(INDEX(사건마스터!$B$5:$B$64,MATCH($F271,사건마스터!$A$5:$A$64,0)),""))</f>
        <v/>
      </c>
      <c r="I271" s="130">
        <f>IF($F271="","",IFERROR(INDEX(사건마스터!$C$5:$C$64,MATCH($F271,사건마스터!$A$5:$A$64,0)),""))</f>
        <v/>
      </c>
      <c r="J271" s="136">
        <f>IF($F271="","",IFERROR(INDEX(사건마스터!$H$5:$H$64,MATCH($F271,사건마스터!$A$5:$A$64,0)),""))</f>
        <v/>
      </c>
      <c r="K271" s="136">
        <f>IF($F271="","",IFERROR(INDEX(사건마스터!$AH$5:$AH$64,MATCH($F271,사건마스터!$A$5:$A$64,0)),""))</f>
        <v/>
      </c>
      <c r="L271" s="136">
        <f>IF($F271="","",IFERROR(INDEX(사건마스터!$AI$5:$AI$64,MATCH($F271,사건마스터!$A$5:$A$64,0)),""))</f>
        <v/>
      </c>
      <c r="M271" s="136">
        <f>IF($F271="","",IFERROR(INDEX(사건마스터!$AJ$5:$AJ$64,MATCH($F271,사건마스터!$A$5:$A$64,0)),""))</f>
        <v/>
      </c>
      <c r="N271" s="136">
        <f>IF($F271="","",IFERROR(INDEX(사건마스터!$AK$5:$AK$64,MATCH($F271,사건마스터!$A$5:$A$64,0)),""))</f>
        <v/>
      </c>
      <c r="O271" s="136">
        <f>IF($F271="","",IFERROR(INDEX(사건마스터!$AL$5:$AL$64,MATCH($F271,사건마스터!$A$5:$A$64,0)),""))</f>
        <v/>
      </c>
      <c r="P271" s="136">
        <f>IF($F271="","",IFERROR(INDEX(사건마스터!$AM$5:$AM$64,MATCH($F271,사건마스터!$A$5:$A$64,0)),""))</f>
        <v/>
      </c>
      <c r="Q271" s="136">
        <f>IF($F271="","",IFERROR(INDEX(사건마스터!$AN$5:$AN$64,MATCH($F271,사건마스터!$A$5:$A$64,0)),""))</f>
        <v/>
      </c>
      <c r="R271" s="136">
        <f>IF($F271="","",IFERROR(INDEX(사건마스터!$AO$5:$AO$64,MATCH($F271,사건마스터!$A$5:$A$64,0)),""))</f>
        <v/>
      </c>
      <c r="S271" s="136">
        <f>IF($F271="","",IFERROR(INDEX(사건마스터!$AP$5:$AP$64,MATCH($F271,사건마스터!$A$5:$A$64,0)),""))</f>
        <v/>
      </c>
      <c r="T271" s="136">
        <f>IF($F271="","",IFERROR(INDEX(사건마스터!$AQ$5:$AQ$64,MATCH($F271,사건마스터!$A$5:$A$64,0)),""))</f>
        <v/>
      </c>
      <c r="U271" s="136">
        <f>IF($F271="","",IFERROR(INDEX(사건마스터!$AR$5:$AR$64,MATCH($F271,사건마스터!$A$5:$A$64,0)),""))</f>
        <v/>
      </c>
      <c r="V271" s="136">
        <f>IF($F271="","",IFERROR(INDEX(사건마스터!$AS$5:$AS$64,MATCH($F271,사건마스터!$A$5:$A$64,0)),""))</f>
        <v/>
      </c>
      <c r="W271" s="136">
        <f>IF($F271="","",IFERROR(INDEX(사건마스터!$AT$5:$AT$64,MATCH($F271,사건마스터!$A$5:$A$64,0)),""))</f>
        <v/>
      </c>
      <c r="X271" s="136">
        <f>IF($F271="","",IFERROR(INDEX(사건마스터!$AU$5:$AU$64,MATCH($F271,사건마스터!$A$5:$A$64,0)),""))</f>
        <v/>
      </c>
      <c r="Y271" s="136">
        <f>IF($F271="","",IFERROR(INDEX(사건마스터!$AV$5:$AV$64,MATCH($F271,사건마스터!$A$5:$A$64,0)),""))</f>
        <v/>
      </c>
      <c r="Z271" s="118">
        <f>IF(COUNTBLANK($J271:$Y271)=16,"",16-COUNTBLANK($J271:$Y271))</f>
        <v/>
      </c>
      <c r="AA271" s="33">
        <f>IF($J271="",MID($AX271,3,255),$J271&amp;$AX271)</f>
        <v/>
      </c>
      <c r="AB271" s="130">
        <f>IF($J271="","",IFERROR(INDEX(코드설정!$D$5:$D$24,MATCH($J271,코드설정!$C$5:$C$24,0)),""))</f>
        <v/>
      </c>
      <c r="AC271" s="36" t="n"/>
      <c r="AD271" s="37" t="n"/>
      <c r="AE271" s="38" t="n"/>
      <c r="AF271" s="118">
        <f>IF(OR($B271="",$C271=""),"",$C271-$B271+1)</f>
        <v/>
      </c>
      <c r="AG271" s="74" t="n"/>
      <c r="AH271" s="36" t="n"/>
      <c r="AJ271">
        <f>IF($K271="","",", "&amp;$K271)</f>
        <v/>
      </c>
      <c r="AK271">
        <f>AJ271&amp;IF($L271="","",", "&amp;$L271)</f>
        <v/>
      </c>
      <c r="AL271">
        <f>AK271&amp;IF($M271="","",", "&amp;$M271)</f>
        <v/>
      </c>
      <c r="AM271">
        <f>AL271&amp;IF($N271="","",", "&amp;$N271)</f>
        <v/>
      </c>
      <c r="AN271">
        <f>AM271&amp;IF($O271="","",", "&amp;$O271)</f>
        <v/>
      </c>
      <c r="AO271">
        <f>AN271&amp;IF($P271="","",", "&amp;$P271)</f>
        <v/>
      </c>
      <c r="AP271">
        <f>AO271&amp;IF($Q271="","",", "&amp;$Q271)</f>
        <v/>
      </c>
      <c r="AQ271">
        <f>AP271&amp;IF($R271="","",", "&amp;$R271)</f>
        <v/>
      </c>
      <c r="AR271">
        <f>AQ271&amp;IF($S271="","",", "&amp;$S271)</f>
        <v/>
      </c>
      <c r="AS271">
        <f>AR271&amp;IF($T271="","",", "&amp;$T271)</f>
        <v/>
      </c>
      <c r="AT271">
        <f>AS271&amp;IF($U271="","",", "&amp;$U271)</f>
        <v/>
      </c>
      <c r="AU271">
        <f>AT271&amp;IF($V271="","",", "&amp;$V271)</f>
        <v/>
      </c>
      <c r="AV271">
        <f>AU271&amp;IF($W271="","",", "&amp;$W271)</f>
        <v/>
      </c>
      <c r="AW271">
        <f>AV271&amp;IF($X271="","",", "&amp;$X271)</f>
        <v/>
      </c>
      <c r="AX271">
        <f>AW271&amp;IF($Y271="","",", "&amp;$Y271)</f>
        <v/>
      </c>
    </row>
    <row r="272">
      <c r="A272" s="118">
        <f>IF($B272="","",COUNT($B$5:$B272))</f>
        <v/>
      </c>
      <c r="B272" s="80" t="n"/>
      <c r="C272" s="80" t="n"/>
      <c r="D272" s="74" t="n"/>
      <c r="E272" s="74" t="n"/>
      <c r="F272" s="74" t="n"/>
      <c r="G272" s="118">
        <f>IF($F272="","",COUNTIF($F$5:$F272,$F272))</f>
        <v/>
      </c>
      <c r="H272" s="33">
        <f>IF($F272="","",IFERROR(INDEX(사건마스터!$B$5:$B$64,MATCH($F272,사건마스터!$A$5:$A$64,0)),""))</f>
        <v/>
      </c>
      <c r="I272" s="130">
        <f>IF($F272="","",IFERROR(INDEX(사건마스터!$C$5:$C$64,MATCH($F272,사건마스터!$A$5:$A$64,0)),""))</f>
        <v/>
      </c>
      <c r="J272" s="136">
        <f>IF($F272="","",IFERROR(INDEX(사건마스터!$H$5:$H$64,MATCH($F272,사건마스터!$A$5:$A$64,0)),""))</f>
        <v/>
      </c>
      <c r="K272" s="136">
        <f>IF($F272="","",IFERROR(INDEX(사건마스터!$AH$5:$AH$64,MATCH($F272,사건마스터!$A$5:$A$64,0)),""))</f>
        <v/>
      </c>
      <c r="L272" s="136">
        <f>IF($F272="","",IFERROR(INDEX(사건마스터!$AI$5:$AI$64,MATCH($F272,사건마스터!$A$5:$A$64,0)),""))</f>
        <v/>
      </c>
      <c r="M272" s="136">
        <f>IF($F272="","",IFERROR(INDEX(사건마스터!$AJ$5:$AJ$64,MATCH($F272,사건마스터!$A$5:$A$64,0)),""))</f>
        <v/>
      </c>
      <c r="N272" s="136">
        <f>IF($F272="","",IFERROR(INDEX(사건마스터!$AK$5:$AK$64,MATCH($F272,사건마스터!$A$5:$A$64,0)),""))</f>
        <v/>
      </c>
      <c r="O272" s="136">
        <f>IF($F272="","",IFERROR(INDEX(사건마스터!$AL$5:$AL$64,MATCH($F272,사건마스터!$A$5:$A$64,0)),""))</f>
        <v/>
      </c>
      <c r="P272" s="136">
        <f>IF($F272="","",IFERROR(INDEX(사건마스터!$AM$5:$AM$64,MATCH($F272,사건마스터!$A$5:$A$64,0)),""))</f>
        <v/>
      </c>
      <c r="Q272" s="136">
        <f>IF($F272="","",IFERROR(INDEX(사건마스터!$AN$5:$AN$64,MATCH($F272,사건마스터!$A$5:$A$64,0)),""))</f>
        <v/>
      </c>
      <c r="R272" s="136">
        <f>IF($F272="","",IFERROR(INDEX(사건마스터!$AO$5:$AO$64,MATCH($F272,사건마스터!$A$5:$A$64,0)),""))</f>
        <v/>
      </c>
      <c r="S272" s="136">
        <f>IF($F272="","",IFERROR(INDEX(사건마스터!$AP$5:$AP$64,MATCH($F272,사건마스터!$A$5:$A$64,0)),""))</f>
        <v/>
      </c>
      <c r="T272" s="136">
        <f>IF($F272="","",IFERROR(INDEX(사건마스터!$AQ$5:$AQ$64,MATCH($F272,사건마스터!$A$5:$A$64,0)),""))</f>
        <v/>
      </c>
      <c r="U272" s="136">
        <f>IF($F272="","",IFERROR(INDEX(사건마스터!$AR$5:$AR$64,MATCH($F272,사건마스터!$A$5:$A$64,0)),""))</f>
        <v/>
      </c>
      <c r="V272" s="136">
        <f>IF($F272="","",IFERROR(INDEX(사건마스터!$AS$5:$AS$64,MATCH($F272,사건마스터!$A$5:$A$64,0)),""))</f>
        <v/>
      </c>
      <c r="W272" s="136">
        <f>IF($F272="","",IFERROR(INDEX(사건마스터!$AT$5:$AT$64,MATCH($F272,사건마스터!$A$5:$A$64,0)),""))</f>
        <v/>
      </c>
      <c r="X272" s="136">
        <f>IF($F272="","",IFERROR(INDEX(사건마스터!$AU$5:$AU$64,MATCH($F272,사건마스터!$A$5:$A$64,0)),""))</f>
        <v/>
      </c>
      <c r="Y272" s="136">
        <f>IF($F272="","",IFERROR(INDEX(사건마스터!$AV$5:$AV$64,MATCH($F272,사건마스터!$A$5:$A$64,0)),""))</f>
        <v/>
      </c>
      <c r="Z272" s="118">
        <f>IF(COUNTBLANK($J272:$Y272)=16,"",16-COUNTBLANK($J272:$Y272))</f>
        <v/>
      </c>
      <c r="AA272" s="33">
        <f>IF($J272="",MID($AX272,3,255),$J272&amp;$AX272)</f>
        <v/>
      </c>
      <c r="AB272" s="130">
        <f>IF($J272="","",IFERROR(INDEX(코드설정!$D$5:$D$24,MATCH($J272,코드설정!$C$5:$C$24,0)),""))</f>
        <v/>
      </c>
      <c r="AC272" s="36" t="n"/>
      <c r="AD272" s="37" t="n"/>
      <c r="AE272" s="38" t="n"/>
      <c r="AF272" s="118">
        <f>IF(OR($B272="",$C272=""),"",$C272-$B272+1)</f>
        <v/>
      </c>
      <c r="AG272" s="74" t="n"/>
      <c r="AH272" s="36" t="n"/>
      <c r="AJ272">
        <f>IF($K272="","",", "&amp;$K272)</f>
        <v/>
      </c>
      <c r="AK272">
        <f>AJ272&amp;IF($L272="","",", "&amp;$L272)</f>
        <v/>
      </c>
      <c r="AL272">
        <f>AK272&amp;IF($M272="","",", "&amp;$M272)</f>
        <v/>
      </c>
      <c r="AM272">
        <f>AL272&amp;IF($N272="","",", "&amp;$N272)</f>
        <v/>
      </c>
      <c r="AN272">
        <f>AM272&amp;IF($O272="","",", "&amp;$O272)</f>
        <v/>
      </c>
      <c r="AO272">
        <f>AN272&amp;IF($P272="","",", "&amp;$P272)</f>
        <v/>
      </c>
      <c r="AP272">
        <f>AO272&amp;IF($Q272="","",", "&amp;$Q272)</f>
        <v/>
      </c>
      <c r="AQ272">
        <f>AP272&amp;IF($R272="","",", "&amp;$R272)</f>
        <v/>
      </c>
      <c r="AR272">
        <f>AQ272&amp;IF($S272="","",", "&amp;$S272)</f>
        <v/>
      </c>
      <c r="AS272">
        <f>AR272&amp;IF($T272="","",", "&amp;$T272)</f>
        <v/>
      </c>
      <c r="AT272">
        <f>AS272&amp;IF($U272="","",", "&amp;$U272)</f>
        <v/>
      </c>
      <c r="AU272">
        <f>AT272&amp;IF($V272="","",", "&amp;$V272)</f>
        <v/>
      </c>
      <c r="AV272">
        <f>AU272&amp;IF($W272="","",", "&amp;$W272)</f>
        <v/>
      </c>
      <c r="AW272">
        <f>AV272&amp;IF($X272="","",", "&amp;$X272)</f>
        <v/>
      </c>
      <c r="AX272">
        <f>AW272&amp;IF($Y272="","",", "&amp;$Y272)</f>
        <v/>
      </c>
    </row>
    <row r="273">
      <c r="A273" s="118">
        <f>IF($B273="","",COUNT($B$5:$B273))</f>
        <v/>
      </c>
      <c r="B273" s="80" t="n"/>
      <c r="C273" s="80" t="n"/>
      <c r="D273" s="74" t="n"/>
      <c r="E273" s="74" t="n"/>
      <c r="F273" s="74" t="n"/>
      <c r="G273" s="118">
        <f>IF($F273="","",COUNTIF($F$5:$F273,$F273))</f>
        <v/>
      </c>
      <c r="H273" s="33">
        <f>IF($F273="","",IFERROR(INDEX(사건마스터!$B$5:$B$64,MATCH($F273,사건마스터!$A$5:$A$64,0)),""))</f>
        <v/>
      </c>
      <c r="I273" s="130">
        <f>IF($F273="","",IFERROR(INDEX(사건마스터!$C$5:$C$64,MATCH($F273,사건마스터!$A$5:$A$64,0)),""))</f>
        <v/>
      </c>
      <c r="J273" s="136">
        <f>IF($F273="","",IFERROR(INDEX(사건마스터!$H$5:$H$64,MATCH($F273,사건마스터!$A$5:$A$64,0)),""))</f>
        <v/>
      </c>
      <c r="K273" s="136">
        <f>IF($F273="","",IFERROR(INDEX(사건마스터!$AH$5:$AH$64,MATCH($F273,사건마스터!$A$5:$A$64,0)),""))</f>
        <v/>
      </c>
      <c r="L273" s="136">
        <f>IF($F273="","",IFERROR(INDEX(사건마스터!$AI$5:$AI$64,MATCH($F273,사건마스터!$A$5:$A$64,0)),""))</f>
        <v/>
      </c>
      <c r="M273" s="136">
        <f>IF($F273="","",IFERROR(INDEX(사건마스터!$AJ$5:$AJ$64,MATCH($F273,사건마스터!$A$5:$A$64,0)),""))</f>
        <v/>
      </c>
      <c r="N273" s="136">
        <f>IF($F273="","",IFERROR(INDEX(사건마스터!$AK$5:$AK$64,MATCH($F273,사건마스터!$A$5:$A$64,0)),""))</f>
        <v/>
      </c>
      <c r="O273" s="136">
        <f>IF($F273="","",IFERROR(INDEX(사건마스터!$AL$5:$AL$64,MATCH($F273,사건마스터!$A$5:$A$64,0)),""))</f>
        <v/>
      </c>
      <c r="P273" s="136">
        <f>IF($F273="","",IFERROR(INDEX(사건마스터!$AM$5:$AM$64,MATCH($F273,사건마스터!$A$5:$A$64,0)),""))</f>
        <v/>
      </c>
      <c r="Q273" s="136">
        <f>IF($F273="","",IFERROR(INDEX(사건마스터!$AN$5:$AN$64,MATCH($F273,사건마스터!$A$5:$A$64,0)),""))</f>
        <v/>
      </c>
      <c r="R273" s="136">
        <f>IF($F273="","",IFERROR(INDEX(사건마스터!$AO$5:$AO$64,MATCH($F273,사건마스터!$A$5:$A$64,0)),""))</f>
        <v/>
      </c>
      <c r="S273" s="136">
        <f>IF($F273="","",IFERROR(INDEX(사건마스터!$AP$5:$AP$64,MATCH($F273,사건마스터!$A$5:$A$64,0)),""))</f>
        <v/>
      </c>
      <c r="T273" s="136">
        <f>IF($F273="","",IFERROR(INDEX(사건마스터!$AQ$5:$AQ$64,MATCH($F273,사건마스터!$A$5:$A$64,0)),""))</f>
        <v/>
      </c>
      <c r="U273" s="136">
        <f>IF($F273="","",IFERROR(INDEX(사건마스터!$AR$5:$AR$64,MATCH($F273,사건마스터!$A$5:$A$64,0)),""))</f>
        <v/>
      </c>
      <c r="V273" s="136">
        <f>IF($F273="","",IFERROR(INDEX(사건마스터!$AS$5:$AS$64,MATCH($F273,사건마스터!$A$5:$A$64,0)),""))</f>
        <v/>
      </c>
      <c r="W273" s="136">
        <f>IF($F273="","",IFERROR(INDEX(사건마스터!$AT$5:$AT$64,MATCH($F273,사건마스터!$A$5:$A$64,0)),""))</f>
        <v/>
      </c>
      <c r="X273" s="136">
        <f>IF($F273="","",IFERROR(INDEX(사건마스터!$AU$5:$AU$64,MATCH($F273,사건마스터!$A$5:$A$64,0)),""))</f>
        <v/>
      </c>
      <c r="Y273" s="136">
        <f>IF($F273="","",IFERROR(INDEX(사건마스터!$AV$5:$AV$64,MATCH($F273,사건마스터!$A$5:$A$64,0)),""))</f>
        <v/>
      </c>
      <c r="Z273" s="118">
        <f>IF(COUNTBLANK($J273:$Y273)=16,"",16-COUNTBLANK($J273:$Y273))</f>
        <v/>
      </c>
      <c r="AA273" s="33">
        <f>IF($J273="",MID($AX273,3,255),$J273&amp;$AX273)</f>
        <v/>
      </c>
      <c r="AB273" s="130">
        <f>IF($J273="","",IFERROR(INDEX(코드설정!$D$5:$D$24,MATCH($J273,코드설정!$C$5:$C$24,0)),""))</f>
        <v/>
      </c>
      <c r="AC273" s="36" t="n"/>
      <c r="AD273" s="37" t="n"/>
      <c r="AE273" s="38" t="n"/>
      <c r="AF273" s="118">
        <f>IF(OR($B273="",$C273=""),"",$C273-$B273+1)</f>
        <v/>
      </c>
      <c r="AG273" s="74" t="n"/>
      <c r="AH273" s="36" t="n"/>
      <c r="AJ273">
        <f>IF($K273="","",", "&amp;$K273)</f>
        <v/>
      </c>
      <c r="AK273">
        <f>AJ273&amp;IF($L273="","",", "&amp;$L273)</f>
        <v/>
      </c>
      <c r="AL273">
        <f>AK273&amp;IF($M273="","",", "&amp;$M273)</f>
        <v/>
      </c>
      <c r="AM273">
        <f>AL273&amp;IF($N273="","",", "&amp;$N273)</f>
        <v/>
      </c>
      <c r="AN273">
        <f>AM273&amp;IF($O273="","",", "&amp;$O273)</f>
        <v/>
      </c>
      <c r="AO273">
        <f>AN273&amp;IF($P273="","",", "&amp;$P273)</f>
        <v/>
      </c>
      <c r="AP273">
        <f>AO273&amp;IF($Q273="","",", "&amp;$Q273)</f>
        <v/>
      </c>
      <c r="AQ273">
        <f>AP273&amp;IF($R273="","",", "&amp;$R273)</f>
        <v/>
      </c>
      <c r="AR273">
        <f>AQ273&amp;IF($S273="","",", "&amp;$S273)</f>
        <v/>
      </c>
      <c r="AS273">
        <f>AR273&amp;IF($T273="","",", "&amp;$T273)</f>
        <v/>
      </c>
      <c r="AT273">
        <f>AS273&amp;IF($U273="","",", "&amp;$U273)</f>
        <v/>
      </c>
      <c r="AU273">
        <f>AT273&amp;IF($V273="","",", "&amp;$V273)</f>
        <v/>
      </c>
      <c r="AV273">
        <f>AU273&amp;IF($W273="","",", "&amp;$W273)</f>
        <v/>
      </c>
      <c r="AW273">
        <f>AV273&amp;IF($X273="","",", "&amp;$X273)</f>
        <v/>
      </c>
      <c r="AX273">
        <f>AW273&amp;IF($Y273="","",", "&amp;$Y273)</f>
        <v/>
      </c>
    </row>
    <row r="274">
      <c r="A274" s="118">
        <f>IF($B274="","",COUNT($B$5:$B274))</f>
        <v/>
      </c>
      <c r="B274" s="80" t="n"/>
      <c r="C274" s="80" t="n"/>
      <c r="D274" s="74" t="n"/>
      <c r="E274" s="74" t="n"/>
      <c r="F274" s="74" t="n"/>
      <c r="G274" s="118">
        <f>IF($F274="","",COUNTIF($F$5:$F274,$F274))</f>
        <v/>
      </c>
      <c r="H274" s="33">
        <f>IF($F274="","",IFERROR(INDEX(사건마스터!$B$5:$B$64,MATCH($F274,사건마스터!$A$5:$A$64,0)),""))</f>
        <v/>
      </c>
      <c r="I274" s="130">
        <f>IF($F274="","",IFERROR(INDEX(사건마스터!$C$5:$C$64,MATCH($F274,사건마스터!$A$5:$A$64,0)),""))</f>
        <v/>
      </c>
      <c r="J274" s="136">
        <f>IF($F274="","",IFERROR(INDEX(사건마스터!$H$5:$H$64,MATCH($F274,사건마스터!$A$5:$A$64,0)),""))</f>
        <v/>
      </c>
      <c r="K274" s="136">
        <f>IF($F274="","",IFERROR(INDEX(사건마스터!$AH$5:$AH$64,MATCH($F274,사건마스터!$A$5:$A$64,0)),""))</f>
        <v/>
      </c>
      <c r="L274" s="136">
        <f>IF($F274="","",IFERROR(INDEX(사건마스터!$AI$5:$AI$64,MATCH($F274,사건마스터!$A$5:$A$64,0)),""))</f>
        <v/>
      </c>
      <c r="M274" s="136">
        <f>IF($F274="","",IFERROR(INDEX(사건마스터!$AJ$5:$AJ$64,MATCH($F274,사건마스터!$A$5:$A$64,0)),""))</f>
        <v/>
      </c>
      <c r="N274" s="136">
        <f>IF($F274="","",IFERROR(INDEX(사건마스터!$AK$5:$AK$64,MATCH($F274,사건마스터!$A$5:$A$64,0)),""))</f>
        <v/>
      </c>
      <c r="O274" s="136">
        <f>IF($F274="","",IFERROR(INDEX(사건마스터!$AL$5:$AL$64,MATCH($F274,사건마스터!$A$5:$A$64,0)),""))</f>
        <v/>
      </c>
      <c r="P274" s="136">
        <f>IF($F274="","",IFERROR(INDEX(사건마스터!$AM$5:$AM$64,MATCH($F274,사건마스터!$A$5:$A$64,0)),""))</f>
        <v/>
      </c>
      <c r="Q274" s="136">
        <f>IF($F274="","",IFERROR(INDEX(사건마스터!$AN$5:$AN$64,MATCH($F274,사건마스터!$A$5:$A$64,0)),""))</f>
        <v/>
      </c>
      <c r="R274" s="136">
        <f>IF($F274="","",IFERROR(INDEX(사건마스터!$AO$5:$AO$64,MATCH($F274,사건마스터!$A$5:$A$64,0)),""))</f>
        <v/>
      </c>
      <c r="S274" s="136">
        <f>IF($F274="","",IFERROR(INDEX(사건마스터!$AP$5:$AP$64,MATCH($F274,사건마스터!$A$5:$A$64,0)),""))</f>
        <v/>
      </c>
      <c r="T274" s="136">
        <f>IF($F274="","",IFERROR(INDEX(사건마스터!$AQ$5:$AQ$64,MATCH($F274,사건마스터!$A$5:$A$64,0)),""))</f>
        <v/>
      </c>
      <c r="U274" s="136">
        <f>IF($F274="","",IFERROR(INDEX(사건마스터!$AR$5:$AR$64,MATCH($F274,사건마스터!$A$5:$A$64,0)),""))</f>
        <v/>
      </c>
      <c r="V274" s="136">
        <f>IF($F274="","",IFERROR(INDEX(사건마스터!$AS$5:$AS$64,MATCH($F274,사건마스터!$A$5:$A$64,0)),""))</f>
        <v/>
      </c>
      <c r="W274" s="136">
        <f>IF($F274="","",IFERROR(INDEX(사건마스터!$AT$5:$AT$64,MATCH($F274,사건마스터!$A$5:$A$64,0)),""))</f>
        <v/>
      </c>
      <c r="X274" s="136">
        <f>IF($F274="","",IFERROR(INDEX(사건마스터!$AU$5:$AU$64,MATCH($F274,사건마스터!$A$5:$A$64,0)),""))</f>
        <v/>
      </c>
      <c r="Y274" s="136">
        <f>IF($F274="","",IFERROR(INDEX(사건마스터!$AV$5:$AV$64,MATCH($F274,사건마스터!$A$5:$A$64,0)),""))</f>
        <v/>
      </c>
      <c r="Z274" s="118">
        <f>IF(COUNTBLANK($J274:$Y274)=16,"",16-COUNTBLANK($J274:$Y274))</f>
        <v/>
      </c>
      <c r="AA274" s="33">
        <f>IF($J274="",MID($AX274,3,255),$J274&amp;$AX274)</f>
        <v/>
      </c>
      <c r="AB274" s="130">
        <f>IF($J274="","",IFERROR(INDEX(코드설정!$D$5:$D$24,MATCH($J274,코드설정!$C$5:$C$24,0)),""))</f>
        <v/>
      </c>
      <c r="AC274" s="36" t="n"/>
      <c r="AD274" s="37" t="n"/>
      <c r="AE274" s="38" t="n"/>
      <c r="AF274" s="118">
        <f>IF(OR($B274="",$C274=""),"",$C274-$B274+1)</f>
        <v/>
      </c>
      <c r="AG274" s="74" t="n"/>
      <c r="AH274" s="36" t="n"/>
      <c r="AJ274">
        <f>IF($K274="","",", "&amp;$K274)</f>
        <v/>
      </c>
      <c r="AK274">
        <f>AJ274&amp;IF($L274="","",", "&amp;$L274)</f>
        <v/>
      </c>
      <c r="AL274">
        <f>AK274&amp;IF($M274="","",", "&amp;$M274)</f>
        <v/>
      </c>
      <c r="AM274">
        <f>AL274&amp;IF($N274="","",", "&amp;$N274)</f>
        <v/>
      </c>
      <c r="AN274">
        <f>AM274&amp;IF($O274="","",", "&amp;$O274)</f>
        <v/>
      </c>
      <c r="AO274">
        <f>AN274&amp;IF($P274="","",", "&amp;$P274)</f>
        <v/>
      </c>
      <c r="AP274">
        <f>AO274&amp;IF($Q274="","",", "&amp;$Q274)</f>
        <v/>
      </c>
      <c r="AQ274">
        <f>AP274&amp;IF($R274="","",", "&amp;$R274)</f>
        <v/>
      </c>
      <c r="AR274">
        <f>AQ274&amp;IF($S274="","",", "&amp;$S274)</f>
        <v/>
      </c>
      <c r="AS274">
        <f>AR274&amp;IF($T274="","",", "&amp;$T274)</f>
        <v/>
      </c>
      <c r="AT274">
        <f>AS274&amp;IF($U274="","",", "&amp;$U274)</f>
        <v/>
      </c>
      <c r="AU274">
        <f>AT274&amp;IF($V274="","",", "&amp;$V274)</f>
        <v/>
      </c>
      <c r="AV274">
        <f>AU274&amp;IF($W274="","",", "&amp;$W274)</f>
        <v/>
      </c>
      <c r="AW274">
        <f>AV274&amp;IF($X274="","",", "&amp;$X274)</f>
        <v/>
      </c>
      <c r="AX274">
        <f>AW274&amp;IF($Y274="","",", "&amp;$Y274)</f>
        <v/>
      </c>
    </row>
    <row r="275">
      <c r="A275" s="118">
        <f>IF($B275="","",COUNT($B$5:$B275))</f>
        <v/>
      </c>
      <c r="B275" s="80" t="n"/>
      <c r="C275" s="80" t="n"/>
      <c r="D275" s="74" t="n"/>
      <c r="E275" s="74" t="n"/>
      <c r="F275" s="74" t="n"/>
      <c r="G275" s="118">
        <f>IF($F275="","",COUNTIF($F$5:$F275,$F275))</f>
        <v/>
      </c>
      <c r="H275" s="33">
        <f>IF($F275="","",IFERROR(INDEX(사건마스터!$B$5:$B$64,MATCH($F275,사건마스터!$A$5:$A$64,0)),""))</f>
        <v/>
      </c>
      <c r="I275" s="130">
        <f>IF($F275="","",IFERROR(INDEX(사건마스터!$C$5:$C$64,MATCH($F275,사건마스터!$A$5:$A$64,0)),""))</f>
        <v/>
      </c>
      <c r="J275" s="136">
        <f>IF($F275="","",IFERROR(INDEX(사건마스터!$H$5:$H$64,MATCH($F275,사건마스터!$A$5:$A$64,0)),""))</f>
        <v/>
      </c>
      <c r="K275" s="136">
        <f>IF($F275="","",IFERROR(INDEX(사건마스터!$AH$5:$AH$64,MATCH($F275,사건마스터!$A$5:$A$64,0)),""))</f>
        <v/>
      </c>
      <c r="L275" s="136">
        <f>IF($F275="","",IFERROR(INDEX(사건마스터!$AI$5:$AI$64,MATCH($F275,사건마스터!$A$5:$A$64,0)),""))</f>
        <v/>
      </c>
      <c r="M275" s="136">
        <f>IF($F275="","",IFERROR(INDEX(사건마스터!$AJ$5:$AJ$64,MATCH($F275,사건마스터!$A$5:$A$64,0)),""))</f>
        <v/>
      </c>
      <c r="N275" s="136">
        <f>IF($F275="","",IFERROR(INDEX(사건마스터!$AK$5:$AK$64,MATCH($F275,사건마스터!$A$5:$A$64,0)),""))</f>
        <v/>
      </c>
      <c r="O275" s="136">
        <f>IF($F275="","",IFERROR(INDEX(사건마스터!$AL$5:$AL$64,MATCH($F275,사건마스터!$A$5:$A$64,0)),""))</f>
        <v/>
      </c>
      <c r="P275" s="136">
        <f>IF($F275="","",IFERROR(INDEX(사건마스터!$AM$5:$AM$64,MATCH($F275,사건마스터!$A$5:$A$64,0)),""))</f>
        <v/>
      </c>
      <c r="Q275" s="136">
        <f>IF($F275="","",IFERROR(INDEX(사건마스터!$AN$5:$AN$64,MATCH($F275,사건마스터!$A$5:$A$64,0)),""))</f>
        <v/>
      </c>
      <c r="R275" s="136">
        <f>IF($F275="","",IFERROR(INDEX(사건마스터!$AO$5:$AO$64,MATCH($F275,사건마스터!$A$5:$A$64,0)),""))</f>
        <v/>
      </c>
      <c r="S275" s="136">
        <f>IF($F275="","",IFERROR(INDEX(사건마스터!$AP$5:$AP$64,MATCH($F275,사건마스터!$A$5:$A$64,0)),""))</f>
        <v/>
      </c>
      <c r="T275" s="136">
        <f>IF($F275="","",IFERROR(INDEX(사건마스터!$AQ$5:$AQ$64,MATCH($F275,사건마스터!$A$5:$A$64,0)),""))</f>
        <v/>
      </c>
      <c r="U275" s="136">
        <f>IF($F275="","",IFERROR(INDEX(사건마스터!$AR$5:$AR$64,MATCH($F275,사건마스터!$A$5:$A$64,0)),""))</f>
        <v/>
      </c>
      <c r="V275" s="136">
        <f>IF($F275="","",IFERROR(INDEX(사건마스터!$AS$5:$AS$64,MATCH($F275,사건마스터!$A$5:$A$64,0)),""))</f>
        <v/>
      </c>
      <c r="W275" s="136">
        <f>IF($F275="","",IFERROR(INDEX(사건마스터!$AT$5:$AT$64,MATCH($F275,사건마스터!$A$5:$A$64,0)),""))</f>
        <v/>
      </c>
      <c r="X275" s="136">
        <f>IF($F275="","",IFERROR(INDEX(사건마스터!$AU$5:$AU$64,MATCH($F275,사건마스터!$A$5:$A$64,0)),""))</f>
        <v/>
      </c>
      <c r="Y275" s="136">
        <f>IF($F275="","",IFERROR(INDEX(사건마스터!$AV$5:$AV$64,MATCH($F275,사건마스터!$A$5:$A$64,0)),""))</f>
        <v/>
      </c>
      <c r="Z275" s="118">
        <f>IF(COUNTBLANK($J275:$Y275)=16,"",16-COUNTBLANK($J275:$Y275))</f>
        <v/>
      </c>
      <c r="AA275" s="33">
        <f>IF($J275="",MID($AX275,3,255),$J275&amp;$AX275)</f>
        <v/>
      </c>
      <c r="AB275" s="130">
        <f>IF($J275="","",IFERROR(INDEX(코드설정!$D$5:$D$24,MATCH($J275,코드설정!$C$5:$C$24,0)),""))</f>
        <v/>
      </c>
      <c r="AC275" s="36" t="n"/>
      <c r="AD275" s="37" t="n"/>
      <c r="AE275" s="38" t="n"/>
      <c r="AF275" s="118">
        <f>IF(OR($B275="",$C275=""),"",$C275-$B275+1)</f>
        <v/>
      </c>
      <c r="AG275" s="74" t="n"/>
      <c r="AH275" s="36" t="n"/>
      <c r="AJ275">
        <f>IF($K275="","",", "&amp;$K275)</f>
        <v/>
      </c>
      <c r="AK275">
        <f>AJ275&amp;IF($L275="","",", "&amp;$L275)</f>
        <v/>
      </c>
      <c r="AL275">
        <f>AK275&amp;IF($M275="","",", "&amp;$M275)</f>
        <v/>
      </c>
      <c r="AM275">
        <f>AL275&amp;IF($N275="","",", "&amp;$N275)</f>
        <v/>
      </c>
      <c r="AN275">
        <f>AM275&amp;IF($O275="","",", "&amp;$O275)</f>
        <v/>
      </c>
      <c r="AO275">
        <f>AN275&amp;IF($P275="","",", "&amp;$P275)</f>
        <v/>
      </c>
      <c r="AP275">
        <f>AO275&amp;IF($Q275="","",", "&amp;$Q275)</f>
        <v/>
      </c>
      <c r="AQ275">
        <f>AP275&amp;IF($R275="","",", "&amp;$R275)</f>
        <v/>
      </c>
      <c r="AR275">
        <f>AQ275&amp;IF($S275="","",", "&amp;$S275)</f>
        <v/>
      </c>
      <c r="AS275">
        <f>AR275&amp;IF($T275="","",", "&amp;$T275)</f>
        <v/>
      </c>
      <c r="AT275">
        <f>AS275&amp;IF($U275="","",", "&amp;$U275)</f>
        <v/>
      </c>
      <c r="AU275">
        <f>AT275&amp;IF($V275="","",", "&amp;$V275)</f>
        <v/>
      </c>
      <c r="AV275">
        <f>AU275&amp;IF($W275="","",", "&amp;$W275)</f>
        <v/>
      </c>
      <c r="AW275">
        <f>AV275&amp;IF($X275="","",", "&amp;$X275)</f>
        <v/>
      </c>
      <c r="AX275">
        <f>AW275&amp;IF($Y275="","",", "&amp;$Y275)</f>
        <v/>
      </c>
    </row>
    <row r="276">
      <c r="A276" s="118">
        <f>IF($B276="","",COUNT($B$5:$B276))</f>
        <v/>
      </c>
      <c r="B276" s="80" t="n"/>
      <c r="C276" s="80" t="n"/>
      <c r="D276" s="74" t="n"/>
      <c r="E276" s="74" t="n"/>
      <c r="F276" s="74" t="n"/>
      <c r="G276" s="118">
        <f>IF($F276="","",COUNTIF($F$5:$F276,$F276))</f>
        <v/>
      </c>
      <c r="H276" s="33">
        <f>IF($F276="","",IFERROR(INDEX(사건마스터!$B$5:$B$64,MATCH($F276,사건마스터!$A$5:$A$64,0)),""))</f>
        <v/>
      </c>
      <c r="I276" s="130">
        <f>IF($F276="","",IFERROR(INDEX(사건마스터!$C$5:$C$64,MATCH($F276,사건마스터!$A$5:$A$64,0)),""))</f>
        <v/>
      </c>
      <c r="J276" s="136">
        <f>IF($F276="","",IFERROR(INDEX(사건마스터!$H$5:$H$64,MATCH($F276,사건마스터!$A$5:$A$64,0)),""))</f>
        <v/>
      </c>
      <c r="K276" s="136">
        <f>IF($F276="","",IFERROR(INDEX(사건마스터!$AH$5:$AH$64,MATCH($F276,사건마스터!$A$5:$A$64,0)),""))</f>
        <v/>
      </c>
      <c r="L276" s="136">
        <f>IF($F276="","",IFERROR(INDEX(사건마스터!$AI$5:$AI$64,MATCH($F276,사건마스터!$A$5:$A$64,0)),""))</f>
        <v/>
      </c>
      <c r="M276" s="136">
        <f>IF($F276="","",IFERROR(INDEX(사건마스터!$AJ$5:$AJ$64,MATCH($F276,사건마스터!$A$5:$A$64,0)),""))</f>
        <v/>
      </c>
      <c r="N276" s="136">
        <f>IF($F276="","",IFERROR(INDEX(사건마스터!$AK$5:$AK$64,MATCH($F276,사건마스터!$A$5:$A$64,0)),""))</f>
        <v/>
      </c>
      <c r="O276" s="136">
        <f>IF($F276="","",IFERROR(INDEX(사건마스터!$AL$5:$AL$64,MATCH($F276,사건마스터!$A$5:$A$64,0)),""))</f>
        <v/>
      </c>
      <c r="P276" s="136">
        <f>IF($F276="","",IFERROR(INDEX(사건마스터!$AM$5:$AM$64,MATCH($F276,사건마스터!$A$5:$A$64,0)),""))</f>
        <v/>
      </c>
      <c r="Q276" s="136">
        <f>IF($F276="","",IFERROR(INDEX(사건마스터!$AN$5:$AN$64,MATCH($F276,사건마스터!$A$5:$A$64,0)),""))</f>
        <v/>
      </c>
      <c r="R276" s="136">
        <f>IF($F276="","",IFERROR(INDEX(사건마스터!$AO$5:$AO$64,MATCH($F276,사건마스터!$A$5:$A$64,0)),""))</f>
        <v/>
      </c>
      <c r="S276" s="136">
        <f>IF($F276="","",IFERROR(INDEX(사건마스터!$AP$5:$AP$64,MATCH($F276,사건마스터!$A$5:$A$64,0)),""))</f>
        <v/>
      </c>
      <c r="T276" s="136">
        <f>IF($F276="","",IFERROR(INDEX(사건마스터!$AQ$5:$AQ$64,MATCH($F276,사건마스터!$A$5:$A$64,0)),""))</f>
        <v/>
      </c>
      <c r="U276" s="136">
        <f>IF($F276="","",IFERROR(INDEX(사건마스터!$AR$5:$AR$64,MATCH($F276,사건마스터!$A$5:$A$64,0)),""))</f>
        <v/>
      </c>
      <c r="V276" s="136">
        <f>IF($F276="","",IFERROR(INDEX(사건마스터!$AS$5:$AS$64,MATCH($F276,사건마스터!$A$5:$A$64,0)),""))</f>
        <v/>
      </c>
      <c r="W276" s="136">
        <f>IF($F276="","",IFERROR(INDEX(사건마스터!$AT$5:$AT$64,MATCH($F276,사건마스터!$A$5:$A$64,0)),""))</f>
        <v/>
      </c>
      <c r="X276" s="136">
        <f>IF($F276="","",IFERROR(INDEX(사건마스터!$AU$5:$AU$64,MATCH($F276,사건마스터!$A$5:$A$64,0)),""))</f>
        <v/>
      </c>
      <c r="Y276" s="136">
        <f>IF($F276="","",IFERROR(INDEX(사건마스터!$AV$5:$AV$64,MATCH($F276,사건마스터!$A$5:$A$64,0)),""))</f>
        <v/>
      </c>
      <c r="Z276" s="118">
        <f>IF(COUNTBLANK($J276:$Y276)=16,"",16-COUNTBLANK($J276:$Y276))</f>
        <v/>
      </c>
      <c r="AA276" s="33">
        <f>IF($J276="",MID($AX276,3,255),$J276&amp;$AX276)</f>
        <v/>
      </c>
      <c r="AB276" s="130">
        <f>IF($J276="","",IFERROR(INDEX(코드설정!$D$5:$D$24,MATCH($J276,코드설정!$C$5:$C$24,0)),""))</f>
        <v/>
      </c>
      <c r="AC276" s="36" t="n"/>
      <c r="AD276" s="37" t="n"/>
      <c r="AE276" s="38" t="n"/>
      <c r="AF276" s="118">
        <f>IF(OR($B276="",$C276=""),"",$C276-$B276+1)</f>
        <v/>
      </c>
      <c r="AG276" s="74" t="n"/>
      <c r="AH276" s="36" t="n"/>
      <c r="AJ276">
        <f>IF($K276="","",", "&amp;$K276)</f>
        <v/>
      </c>
      <c r="AK276">
        <f>AJ276&amp;IF($L276="","",", "&amp;$L276)</f>
        <v/>
      </c>
      <c r="AL276">
        <f>AK276&amp;IF($M276="","",", "&amp;$M276)</f>
        <v/>
      </c>
      <c r="AM276">
        <f>AL276&amp;IF($N276="","",", "&amp;$N276)</f>
        <v/>
      </c>
      <c r="AN276">
        <f>AM276&amp;IF($O276="","",", "&amp;$O276)</f>
        <v/>
      </c>
      <c r="AO276">
        <f>AN276&amp;IF($P276="","",", "&amp;$P276)</f>
        <v/>
      </c>
      <c r="AP276">
        <f>AO276&amp;IF($Q276="","",", "&amp;$Q276)</f>
        <v/>
      </c>
      <c r="AQ276">
        <f>AP276&amp;IF($R276="","",", "&amp;$R276)</f>
        <v/>
      </c>
      <c r="AR276">
        <f>AQ276&amp;IF($S276="","",", "&amp;$S276)</f>
        <v/>
      </c>
      <c r="AS276">
        <f>AR276&amp;IF($T276="","",", "&amp;$T276)</f>
        <v/>
      </c>
      <c r="AT276">
        <f>AS276&amp;IF($U276="","",", "&amp;$U276)</f>
        <v/>
      </c>
      <c r="AU276">
        <f>AT276&amp;IF($V276="","",", "&amp;$V276)</f>
        <v/>
      </c>
      <c r="AV276">
        <f>AU276&amp;IF($W276="","",", "&amp;$W276)</f>
        <v/>
      </c>
      <c r="AW276">
        <f>AV276&amp;IF($X276="","",", "&amp;$X276)</f>
        <v/>
      </c>
      <c r="AX276">
        <f>AW276&amp;IF($Y276="","",", "&amp;$Y276)</f>
        <v/>
      </c>
    </row>
    <row r="277">
      <c r="A277" s="118">
        <f>IF($B277="","",COUNT($B$5:$B277))</f>
        <v/>
      </c>
      <c r="B277" s="80" t="n"/>
      <c r="C277" s="80" t="n"/>
      <c r="D277" s="74" t="n"/>
      <c r="E277" s="74" t="n"/>
      <c r="F277" s="74" t="n"/>
      <c r="G277" s="118">
        <f>IF($F277="","",COUNTIF($F$5:$F277,$F277))</f>
        <v/>
      </c>
      <c r="H277" s="33">
        <f>IF($F277="","",IFERROR(INDEX(사건마스터!$B$5:$B$64,MATCH($F277,사건마스터!$A$5:$A$64,0)),""))</f>
        <v/>
      </c>
      <c r="I277" s="130">
        <f>IF($F277="","",IFERROR(INDEX(사건마스터!$C$5:$C$64,MATCH($F277,사건마스터!$A$5:$A$64,0)),""))</f>
        <v/>
      </c>
      <c r="J277" s="136">
        <f>IF($F277="","",IFERROR(INDEX(사건마스터!$H$5:$H$64,MATCH($F277,사건마스터!$A$5:$A$64,0)),""))</f>
        <v/>
      </c>
      <c r="K277" s="136">
        <f>IF($F277="","",IFERROR(INDEX(사건마스터!$AH$5:$AH$64,MATCH($F277,사건마스터!$A$5:$A$64,0)),""))</f>
        <v/>
      </c>
      <c r="L277" s="136">
        <f>IF($F277="","",IFERROR(INDEX(사건마스터!$AI$5:$AI$64,MATCH($F277,사건마스터!$A$5:$A$64,0)),""))</f>
        <v/>
      </c>
      <c r="M277" s="136">
        <f>IF($F277="","",IFERROR(INDEX(사건마스터!$AJ$5:$AJ$64,MATCH($F277,사건마스터!$A$5:$A$64,0)),""))</f>
        <v/>
      </c>
      <c r="N277" s="136">
        <f>IF($F277="","",IFERROR(INDEX(사건마스터!$AK$5:$AK$64,MATCH($F277,사건마스터!$A$5:$A$64,0)),""))</f>
        <v/>
      </c>
      <c r="O277" s="136">
        <f>IF($F277="","",IFERROR(INDEX(사건마스터!$AL$5:$AL$64,MATCH($F277,사건마스터!$A$5:$A$64,0)),""))</f>
        <v/>
      </c>
      <c r="P277" s="136">
        <f>IF($F277="","",IFERROR(INDEX(사건마스터!$AM$5:$AM$64,MATCH($F277,사건마스터!$A$5:$A$64,0)),""))</f>
        <v/>
      </c>
      <c r="Q277" s="136">
        <f>IF($F277="","",IFERROR(INDEX(사건마스터!$AN$5:$AN$64,MATCH($F277,사건마스터!$A$5:$A$64,0)),""))</f>
        <v/>
      </c>
      <c r="R277" s="136">
        <f>IF($F277="","",IFERROR(INDEX(사건마스터!$AO$5:$AO$64,MATCH($F277,사건마스터!$A$5:$A$64,0)),""))</f>
        <v/>
      </c>
      <c r="S277" s="136">
        <f>IF($F277="","",IFERROR(INDEX(사건마스터!$AP$5:$AP$64,MATCH($F277,사건마스터!$A$5:$A$64,0)),""))</f>
        <v/>
      </c>
      <c r="T277" s="136">
        <f>IF($F277="","",IFERROR(INDEX(사건마스터!$AQ$5:$AQ$64,MATCH($F277,사건마스터!$A$5:$A$64,0)),""))</f>
        <v/>
      </c>
      <c r="U277" s="136">
        <f>IF($F277="","",IFERROR(INDEX(사건마스터!$AR$5:$AR$64,MATCH($F277,사건마스터!$A$5:$A$64,0)),""))</f>
        <v/>
      </c>
      <c r="V277" s="136">
        <f>IF($F277="","",IFERROR(INDEX(사건마스터!$AS$5:$AS$64,MATCH($F277,사건마스터!$A$5:$A$64,0)),""))</f>
        <v/>
      </c>
      <c r="W277" s="136">
        <f>IF($F277="","",IFERROR(INDEX(사건마스터!$AT$5:$AT$64,MATCH($F277,사건마스터!$A$5:$A$64,0)),""))</f>
        <v/>
      </c>
      <c r="X277" s="136">
        <f>IF($F277="","",IFERROR(INDEX(사건마스터!$AU$5:$AU$64,MATCH($F277,사건마스터!$A$5:$A$64,0)),""))</f>
        <v/>
      </c>
      <c r="Y277" s="136">
        <f>IF($F277="","",IFERROR(INDEX(사건마스터!$AV$5:$AV$64,MATCH($F277,사건마스터!$A$5:$A$64,0)),""))</f>
        <v/>
      </c>
      <c r="Z277" s="118">
        <f>IF(COUNTBLANK($J277:$Y277)=16,"",16-COUNTBLANK($J277:$Y277))</f>
        <v/>
      </c>
      <c r="AA277" s="33">
        <f>IF($J277="",MID($AX277,3,255),$J277&amp;$AX277)</f>
        <v/>
      </c>
      <c r="AB277" s="130">
        <f>IF($J277="","",IFERROR(INDEX(코드설정!$D$5:$D$24,MATCH($J277,코드설정!$C$5:$C$24,0)),""))</f>
        <v/>
      </c>
      <c r="AC277" s="36" t="n"/>
      <c r="AD277" s="37" t="n"/>
      <c r="AE277" s="38" t="n"/>
      <c r="AF277" s="118">
        <f>IF(OR($B277="",$C277=""),"",$C277-$B277+1)</f>
        <v/>
      </c>
      <c r="AG277" s="74" t="n"/>
      <c r="AH277" s="36" t="n"/>
      <c r="AJ277">
        <f>IF($K277="","",", "&amp;$K277)</f>
        <v/>
      </c>
      <c r="AK277">
        <f>AJ277&amp;IF($L277="","",", "&amp;$L277)</f>
        <v/>
      </c>
      <c r="AL277">
        <f>AK277&amp;IF($M277="","",", "&amp;$M277)</f>
        <v/>
      </c>
      <c r="AM277">
        <f>AL277&amp;IF($N277="","",", "&amp;$N277)</f>
        <v/>
      </c>
      <c r="AN277">
        <f>AM277&amp;IF($O277="","",", "&amp;$O277)</f>
        <v/>
      </c>
      <c r="AO277">
        <f>AN277&amp;IF($P277="","",", "&amp;$P277)</f>
        <v/>
      </c>
      <c r="AP277">
        <f>AO277&amp;IF($Q277="","",", "&amp;$Q277)</f>
        <v/>
      </c>
      <c r="AQ277">
        <f>AP277&amp;IF($R277="","",", "&amp;$R277)</f>
        <v/>
      </c>
      <c r="AR277">
        <f>AQ277&amp;IF($S277="","",", "&amp;$S277)</f>
        <v/>
      </c>
      <c r="AS277">
        <f>AR277&amp;IF($T277="","",", "&amp;$T277)</f>
        <v/>
      </c>
      <c r="AT277">
        <f>AS277&amp;IF($U277="","",", "&amp;$U277)</f>
        <v/>
      </c>
      <c r="AU277">
        <f>AT277&amp;IF($V277="","",", "&amp;$V277)</f>
        <v/>
      </c>
      <c r="AV277">
        <f>AU277&amp;IF($W277="","",", "&amp;$W277)</f>
        <v/>
      </c>
      <c r="AW277">
        <f>AV277&amp;IF($X277="","",", "&amp;$X277)</f>
        <v/>
      </c>
      <c r="AX277">
        <f>AW277&amp;IF($Y277="","",", "&amp;$Y277)</f>
        <v/>
      </c>
    </row>
    <row r="278">
      <c r="A278" s="118">
        <f>IF($B278="","",COUNT($B$5:$B278))</f>
        <v/>
      </c>
      <c r="B278" s="80" t="n"/>
      <c r="C278" s="80" t="n"/>
      <c r="D278" s="74" t="n"/>
      <c r="E278" s="74" t="n"/>
      <c r="F278" s="74" t="n"/>
      <c r="G278" s="118">
        <f>IF($F278="","",COUNTIF($F$5:$F278,$F278))</f>
        <v/>
      </c>
      <c r="H278" s="33">
        <f>IF($F278="","",IFERROR(INDEX(사건마스터!$B$5:$B$64,MATCH($F278,사건마스터!$A$5:$A$64,0)),""))</f>
        <v/>
      </c>
      <c r="I278" s="130">
        <f>IF($F278="","",IFERROR(INDEX(사건마스터!$C$5:$C$64,MATCH($F278,사건마스터!$A$5:$A$64,0)),""))</f>
        <v/>
      </c>
      <c r="J278" s="136">
        <f>IF($F278="","",IFERROR(INDEX(사건마스터!$H$5:$H$64,MATCH($F278,사건마스터!$A$5:$A$64,0)),""))</f>
        <v/>
      </c>
      <c r="K278" s="136">
        <f>IF($F278="","",IFERROR(INDEX(사건마스터!$AH$5:$AH$64,MATCH($F278,사건마스터!$A$5:$A$64,0)),""))</f>
        <v/>
      </c>
      <c r="L278" s="136">
        <f>IF($F278="","",IFERROR(INDEX(사건마스터!$AI$5:$AI$64,MATCH($F278,사건마스터!$A$5:$A$64,0)),""))</f>
        <v/>
      </c>
      <c r="M278" s="136">
        <f>IF($F278="","",IFERROR(INDEX(사건마스터!$AJ$5:$AJ$64,MATCH($F278,사건마스터!$A$5:$A$64,0)),""))</f>
        <v/>
      </c>
      <c r="N278" s="136">
        <f>IF($F278="","",IFERROR(INDEX(사건마스터!$AK$5:$AK$64,MATCH($F278,사건마스터!$A$5:$A$64,0)),""))</f>
        <v/>
      </c>
      <c r="O278" s="136">
        <f>IF($F278="","",IFERROR(INDEX(사건마스터!$AL$5:$AL$64,MATCH($F278,사건마스터!$A$5:$A$64,0)),""))</f>
        <v/>
      </c>
      <c r="P278" s="136">
        <f>IF($F278="","",IFERROR(INDEX(사건마스터!$AM$5:$AM$64,MATCH($F278,사건마스터!$A$5:$A$64,0)),""))</f>
        <v/>
      </c>
      <c r="Q278" s="136">
        <f>IF($F278="","",IFERROR(INDEX(사건마스터!$AN$5:$AN$64,MATCH($F278,사건마스터!$A$5:$A$64,0)),""))</f>
        <v/>
      </c>
      <c r="R278" s="136">
        <f>IF($F278="","",IFERROR(INDEX(사건마스터!$AO$5:$AO$64,MATCH($F278,사건마스터!$A$5:$A$64,0)),""))</f>
        <v/>
      </c>
      <c r="S278" s="136">
        <f>IF($F278="","",IFERROR(INDEX(사건마스터!$AP$5:$AP$64,MATCH($F278,사건마스터!$A$5:$A$64,0)),""))</f>
        <v/>
      </c>
      <c r="T278" s="136">
        <f>IF($F278="","",IFERROR(INDEX(사건마스터!$AQ$5:$AQ$64,MATCH($F278,사건마스터!$A$5:$A$64,0)),""))</f>
        <v/>
      </c>
      <c r="U278" s="136">
        <f>IF($F278="","",IFERROR(INDEX(사건마스터!$AR$5:$AR$64,MATCH($F278,사건마스터!$A$5:$A$64,0)),""))</f>
        <v/>
      </c>
      <c r="V278" s="136">
        <f>IF($F278="","",IFERROR(INDEX(사건마스터!$AS$5:$AS$64,MATCH($F278,사건마스터!$A$5:$A$64,0)),""))</f>
        <v/>
      </c>
      <c r="W278" s="136">
        <f>IF($F278="","",IFERROR(INDEX(사건마스터!$AT$5:$AT$64,MATCH($F278,사건마스터!$A$5:$A$64,0)),""))</f>
        <v/>
      </c>
      <c r="X278" s="136">
        <f>IF($F278="","",IFERROR(INDEX(사건마스터!$AU$5:$AU$64,MATCH($F278,사건마스터!$A$5:$A$64,0)),""))</f>
        <v/>
      </c>
      <c r="Y278" s="136">
        <f>IF($F278="","",IFERROR(INDEX(사건마스터!$AV$5:$AV$64,MATCH($F278,사건마스터!$A$5:$A$64,0)),""))</f>
        <v/>
      </c>
      <c r="Z278" s="118">
        <f>IF(COUNTBLANK($J278:$Y278)=16,"",16-COUNTBLANK($J278:$Y278))</f>
        <v/>
      </c>
      <c r="AA278" s="33">
        <f>IF($J278="",MID($AX278,3,255),$J278&amp;$AX278)</f>
        <v/>
      </c>
      <c r="AB278" s="130">
        <f>IF($J278="","",IFERROR(INDEX(코드설정!$D$5:$D$24,MATCH($J278,코드설정!$C$5:$C$24,0)),""))</f>
        <v/>
      </c>
      <c r="AC278" s="36" t="n"/>
      <c r="AD278" s="37" t="n"/>
      <c r="AE278" s="38" t="n"/>
      <c r="AF278" s="118">
        <f>IF(OR($B278="",$C278=""),"",$C278-$B278+1)</f>
        <v/>
      </c>
      <c r="AG278" s="74" t="n"/>
      <c r="AH278" s="36" t="n"/>
      <c r="AJ278">
        <f>IF($K278="","",", "&amp;$K278)</f>
        <v/>
      </c>
      <c r="AK278">
        <f>AJ278&amp;IF($L278="","",", "&amp;$L278)</f>
        <v/>
      </c>
      <c r="AL278">
        <f>AK278&amp;IF($M278="","",", "&amp;$M278)</f>
        <v/>
      </c>
      <c r="AM278">
        <f>AL278&amp;IF($N278="","",", "&amp;$N278)</f>
        <v/>
      </c>
      <c r="AN278">
        <f>AM278&amp;IF($O278="","",", "&amp;$O278)</f>
        <v/>
      </c>
      <c r="AO278">
        <f>AN278&amp;IF($P278="","",", "&amp;$P278)</f>
        <v/>
      </c>
      <c r="AP278">
        <f>AO278&amp;IF($Q278="","",", "&amp;$Q278)</f>
        <v/>
      </c>
      <c r="AQ278">
        <f>AP278&amp;IF($R278="","",", "&amp;$R278)</f>
        <v/>
      </c>
      <c r="AR278">
        <f>AQ278&amp;IF($S278="","",", "&amp;$S278)</f>
        <v/>
      </c>
      <c r="AS278">
        <f>AR278&amp;IF($T278="","",", "&amp;$T278)</f>
        <v/>
      </c>
      <c r="AT278">
        <f>AS278&amp;IF($U278="","",", "&amp;$U278)</f>
        <v/>
      </c>
      <c r="AU278">
        <f>AT278&amp;IF($V278="","",", "&amp;$V278)</f>
        <v/>
      </c>
      <c r="AV278">
        <f>AU278&amp;IF($W278="","",", "&amp;$W278)</f>
        <v/>
      </c>
      <c r="AW278">
        <f>AV278&amp;IF($X278="","",", "&amp;$X278)</f>
        <v/>
      </c>
      <c r="AX278">
        <f>AW278&amp;IF($Y278="","",", "&amp;$Y278)</f>
        <v/>
      </c>
    </row>
    <row r="279">
      <c r="A279" s="118">
        <f>IF($B279="","",COUNT($B$5:$B279))</f>
        <v/>
      </c>
      <c r="B279" s="80" t="n"/>
      <c r="C279" s="80" t="n"/>
      <c r="D279" s="74" t="n"/>
      <c r="E279" s="74" t="n"/>
      <c r="F279" s="74" t="n"/>
      <c r="G279" s="118">
        <f>IF($F279="","",COUNTIF($F$5:$F279,$F279))</f>
        <v/>
      </c>
      <c r="H279" s="33">
        <f>IF($F279="","",IFERROR(INDEX(사건마스터!$B$5:$B$64,MATCH($F279,사건마스터!$A$5:$A$64,0)),""))</f>
        <v/>
      </c>
      <c r="I279" s="130">
        <f>IF($F279="","",IFERROR(INDEX(사건마스터!$C$5:$C$64,MATCH($F279,사건마스터!$A$5:$A$64,0)),""))</f>
        <v/>
      </c>
      <c r="J279" s="136">
        <f>IF($F279="","",IFERROR(INDEX(사건마스터!$H$5:$H$64,MATCH($F279,사건마스터!$A$5:$A$64,0)),""))</f>
        <v/>
      </c>
      <c r="K279" s="136">
        <f>IF($F279="","",IFERROR(INDEX(사건마스터!$AH$5:$AH$64,MATCH($F279,사건마스터!$A$5:$A$64,0)),""))</f>
        <v/>
      </c>
      <c r="L279" s="136">
        <f>IF($F279="","",IFERROR(INDEX(사건마스터!$AI$5:$AI$64,MATCH($F279,사건마스터!$A$5:$A$64,0)),""))</f>
        <v/>
      </c>
      <c r="M279" s="136">
        <f>IF($F279="","",IFERROR(INDEX(사건마스터!$AJ$5:$AJ$64,MATCH($F279,사건마스터!$A$5:$A$64,0)),""))</f>
        <v/>
      </c>
      <c r="N279" s="136">
        <f>IF($F279="","",IFERROR(INDEX(사건마스터!$AK$5:$AK$64,MATCH($F279,사건마스터!$A$5:$A$64,0)),""))</f>
        <v/>
      </c>
      <c r="O279" s="136">
        <f>IF($F279="","",IFERROR(INDEX(사건마스터!$AL$5:$AL$64,MATCH($F279,사건마스터!$A$5:$A$64,0)),""))</f>
        <v/>
      </c>
      <c r="P279" s="136">
        <f>IF($F279="","",IFERROR(INDEX(사건마스터!$AM$5:$AM$64,MATCH($F279,사건마스터!$A$5:$A$64,0)),""))</f>
        <v/>
      </c>
      <c r="Q279" s="136">
        <f>IF($F279="","",IFERROR(INDEX(사건마스터!$AN$5:$AN$64,MATCH($F279,사건마스터!$A$5:$A$64,0)),""))</f>
        <v/>
      </c>
      <c r="R279" s="136">
        <f>IF($F279="","",IFERROR(INDEX(사건마스터!$AO$5:$AO$64,MATCH($F279,사건마스터!$A$5:$A$64,0)),""))</f>
        <v/>
      </c>
      <c r="S279" s="136">
        <f>IF($F279="","",IFERROR(INDEX(사건마스터!$AP$5:$AP$64,MATCH($F279,사건마스터!$A$5:$A$64,0)),""))</f>
        <v/>
      </c>
      <c r="T279" s="136">
        <f>IF($F279="","",IFERROR(INDEX(사건마스터!$AQ$5:$AQ$64,MATCH($F279,사건마스터!$A$5:$A$64,0)),""))</f>
        <v/>
      </c>
      <c r="U279" s="136">
        <f>IF($F279="","",IFERROR(INDEX(사건마스터!$AR$5:$AR$64,MATCH($F279,사건마스터!$A$5:$A$64,0)),""))</f>
        <v/>
      </c>
      <c r="V279" s="136">
        <f>IF($F279="","",IFERROR(INDEX(사건마스터!$AS$5:$AS$64,MATCH($F279,사건마스터!$A$5:$A$64,0)),""))</f>
        <v/>
      </c>
      <c r="W279" s="136">
        <f>IF($F279="","",IFERROR(INDEX(사건마스터!$AT$5:$AT$64,MATCH($F279,사건마스터!$A$5:$A$64,0)),""))</f>
        <v/>
      </c>
      <c r="X279" s="136">
        <f>IF($F279="","",IFERROR(INDEX(사건마스터!$AU$5:$AU$64,MATCH($F279,사건마스터!$A$5:$A$64,0)),""))</f>
        <v/>
      </c>
      <c r="Y279" s="136">
        <f>IF($F279="","",IFERROR(INDEX(사건마스터!$AV$5:$AV$64,MATCH($F279,사건마스터!$A$5:$A$64,0)),""))</f>
        <v/>
      </c>
      <c r="Z279" s="118">
        <f>IF(COUNTBLANK($J279:$Y279)=16,"",16-COUNTBLANK($J279:$Y279))</f>
        <v/>
      </c>
      <c r="AA279" s="33">
        <f>IF($J279="",MID($AX279,3,255),$J279&amp;$AX279)</f>
        <v/>
      </c>
      <c r="AB279" s="130">
        <f>IF($J279="","",IFERROR(INDEX(코드설정!$D$5:$D$24,MATCH($J279,코드설정!$C$5:$C$24,0)),""))</f>
        <v/>
      </c>
      <c r="AC279" s="36" t="n"/>
      <c r="AD279" s="37" t="n"/>
      <c r="AE279" s="38" t="n"/>
      <c r="AF279" s="118">
        <f>IF(OR($B279="",$C279=""),"",$C279-$B279+1)</f>
        <v/>
      </c>
      <c r="AG279" s="74" t="n"/>
      <c r="AH279" s="36" t="n"/>
      <c r="AJ279">
        <f>IF($K279="","",", "&amp;$K279)</f>
        <v/>
      </c>
      <c r="AK279">
        <f>AJ279&amp;IF($L279="","",", "&amp;$L279)</f>
        <v/>
      </c>
      <c r="AL279">
        <f>AK279&amp;IF($M279="","",", "&amp;$M279)</f>
        <v/>
      </c>
      <c r="AM279">
        <f>AL279&amp;IF($N279="","",", "&amp;$N279)</f>
        <v/>
      </c>
      <c r="AN279">
        <f>AM279&amp;IF($O279="","",", "&amp;$O279)</f>
        <v/>
      </c>
      <c r="AO279">
        <f>AN279&amp;IF($P279="","",", "&amp;$P279)</f>
        <v/>
      </c>
      <c r="AP279">
        <f>AO279&amp;IF($Q279="","",", "&amp;$Q279)</f>
        <v/>
      </c>
      <c r="AQ279">
        <f>AP279&amp;IF($R279="","",", "&amp;$R279)</f>
        <v/>
      </c>
      <c r="AR279">
        <f>AQ279&amp;IF($S279="","",", "&amp;$S279)</f>
        <v/>
      </c>
      <c r="AS279">
        <f>AR279&amp;IF($T279="","",", "&amp;$T279)</f>
        <v/>
      </c>
      <c r="AT279">
        <f>AS279&amp;IF($U279="","",", "&amp;$U279)</f>
        <v/>
      </c>
      <c r="AU279">
        <f>AT279&amp;IF($V279="","",", "&amp;$V279)</f>
        <v/>
      </c>
      <c r="AV279">
        <f>AU279&amp;IF($W279="","",", "&amp;$W279)</f>
        <v/>
      </c>
      <c r="AW279">
        <f>AV279&amp;IF($X279="","",", "&amp;$X279)</f>
        <v/>
      </c>
      <c r="AX279">
        <f>AW279&amp;IF($Y279="","",", "&amp;$Y279)</f>
        <v/>
      </c>
    </row>
    <row r="280">
      <c r="A280" s="118">
        <f>IF($B280="","",COUNT($B$5:$B280))</f>
        <v/>
      </c>
      <c r="B280" s="80" t="n"/>
      <c r="C280" s="80" t="n"/>
      <c r="D280" s="74" t="n"/>
      <c r="E280" s="74" t="n"/>
      <c r="F280" s="74" t="n"/>
      <c r="G280" s="118">
        <f>IF($F280="","",COUNTIF($F$5:$F280,$F280))</f>
        <v/>
      </c>
      <c r="H280" s="33">
        <f>IF($F280="","",IFERROR(INDEX(사건마스터!$B$5:$B$64,MATCH($F280,사건마스터!$A$5:$A$64,0)),""))</f>
        <v/>
      </c>
      <c r="I280" s="130">
        <f>IF($F280="","",IFERROR(INDEX(사건마스터!$C$5:$C$64,MATCH($F280,사건마스터!$A$5:$A$64,0)),""))</f>
        <v/>
      </c>
      <c r="J280" s="136">
        <f>IF($F280="","",IFERROR(INDEX(사건마스터!$H$5:$H$64,MATCH($F280,사건마스터!$A$5:$A$64,0)),""))</f>
        <v/>
      </c>
      <c r="K280" s="136">
        <f>IF($F280="","",IFERROR(INDEX(사건마스터!$AH$5:$AH$64,MATCH($F280,사건마스터!$A$5:$A$64,0)),""))</f>
        <v/>
      </c>
      <c r="L280" s="136">
        <f>IF($F280="","",IFERROR(INDEX(사건마스터!$AI$5:$AI$64,MATCH($F280,사건마스터!$A$5:$A$64,0)),""))</f>
        <v/>
      </c>
      <c r="M280" s="136">
        <f>IF($F280="","",IFERROR(INDEX(사건마스터!$AJ$5:$AJ$64,MATCH($F280,사건마스터!$A$5:$A$64,0)),""))</f>
        <v/>
      </c>
      <c r="N280" s="136">
        <f>IF($F280="","",IFERROR(INDEX(사건마스터!$AK$5:$AK$64,MATCH($F280,사건마스터!$A$5:$A$64,0)),""))</f>
        <v/>
      </c>
      <c r="O280" s="136">
        <f>IF($F280="","",IFERROR(INDEX(사건마스터!$AL$5:$AL$64,MATCH($F280,사건마스터!$A$5:$A$64,0)),""))</f>
        <v/>
      </c>
      <c r="P280" s="136">
        <f>IF($F280="","",IFERROR(INDEX(사건마스터!$AM$5:$AM$64,MATCH($F280,사건마스터!$A$5:$A$64,0)),""))</f>
        <v/>
      </c>
      <c r="Q280" s="136">
        <f>IF($F280="","",IFERROR(INDEX(사건마스터!$AN$5:$AN$64,MATCH($F280,사건마스터!$A$5:$A$64,0)),""))</f>
        <v/>
      </c>
      <c r="R280" s="136">
        <f>IF($F280="","",IFERROR(INDEX(사건마스터!$AO$5:$AO$64,MATCH($F280,사건마스터!$A$5:$A$64,0)),""))</f>
        <v/>
      </c>
      <c r="S280" s="136">
        <f>IF($F280="","",IFERROR(INDEX(사건마스터!$AP$5:$AP$64,MATCH($F280,사건마스터!$A$5:$A$64,0)),""))</f>
        <v/>
      </c>
      <c r="T280" s="136">
        <f>IF($F280="","",IFERROR(INDEX(사건마스터!$AQ$5:$AQ$64,MATCH($F280,사건마스터!$A$5:$A$64,0)),""))</f>
        <v/>
      </c>
      <c r="U280" s="136">
        <f>IF($F280="","",IFERROR(INDEX(사건마스터!$AR$5:$AR$64,MATCH($F280,사건마스터!$A$5:$A$64,0)),""))</f>
        <v/>
      </c>
      <c r="V280" s="136">
        <f>IF($F280="","",IFERROR(INDEX(사건마스터!$AS$5:$AS$64,MATCH($F280,사건마스터!$A$5:$A$64,0)),""))</f>
        <v/>
      </c>
      <c r="W280" s="136">
        <f>IF($F280="","",IFERROR(INDEX(사건마스터!$AT$5:$AT$64,MATCH($F280,사건마스터!$A$5:$A$64,0)),""))</f>
        <v/>
      </c>
      <c r="X280" s="136">
        <f>IF($F280="","",IFERROR(INDEX(사건마스터!$AU$5:$AU$64,MATCH($F280,사건마스터!$A$5:$A$64,0)),""))</f>
        <v/>
      </c>
      <c r="Y280" s="136">
        <f>IF($F280="","",IFERROR(INDEX(사건마스터!$AV$5:$AV$64,MATCH($F280,사건마스터!$A$5:$A$64,0)),""))</f>
        <v/>
      </c>
      <c r="Z280" s="118">
        <f>IF(COUNTBLANK($J280:$Y280)=16,"",16-COUNTBLANK($J280:$Y280))</f>
        <v/>
      </c>
      <c r="AA280" s="33">
        <f>IF($J280="",MID($AX280,3,255),$J280&amp;$AX280)</f>
        <v/>
      </c>
      <c r="AB280" s="130">
        <f>IF($J280="","",IFERROR(INDEX(코드설정!$D$5:$D$24,MATCH($J280,코드설정!$C$5:$C$24,0)),""))</f>
        <v/>
      </c>
      <c r="AC280" s="36" t="n"/>
      <c r="AD280" s="37" t="n"/>
      <c r="AE280" s="38" t="n"/>
      <c r="AF280" s="118">
        <f>IF(OR($B280="",$C280=""),"",$C280-$B280+1)</f>
        <v/>
      </c>
      <c r="AG280" s="74" t="n"/>
      <c r="AH280" s="36" t="n"/>
      <c r="AJ280">
        <f>IF($K280="","",", "&amp;$K280)</f>
        <v/>
      </c>
      <c r="AK280">
        <f>AJ280&amp;IF($L280="","",", "&amp;$L280)</f>
        <v/>
      </c>
      <c r="AL280">
        <f>AK280&amp;IF($M280="","",", "&amp;$M280)</f>
        <v/>
      </c>
      <c r="AM280">
        <f>AL280&amp;IF($N280="","",", "&amp;$N280)</f>
        <v/>
      </c>
      <c r="AN280">
        <f>AM280&amp;IF($O280="","",", "&amp;$O280)</f>
        <v/>
      </c>
      <c r="AO280">
        <f>AN280&amp;IF($P280="","",", "&amp;$P280)</f>
        <v/>
      </c>
      <c r="AP280">
        <f>AO280&amp;IF($Q280="","",", "&amp;$Q280)</f>
        <v/>
      </c>
      <c r="AQ280">
        <f>AP280&amp;IF($R280="","",", "&amp;$R280)</f>
        <v/>
      </c>
      <c r="AR280">
        <f>AQ280&amp;IF($S280="","",", "&amp;$S280)</f>
        <v/>
      </c>
      <c r="AS280">
        <f>AR280&amp;IF($T280="","",", "&amp;$T280)</f>
        <v/>
      </c>
      <c r="AT280">
        <f>AS280&amp;IF($U280="","",", "&amp;$U280)</f>
        <v/>
      </c>
      <c r="AU280">
        <f>AT280&amp;IF($V280="","",", "&amp;$V280)</f>
        <v/>
      </c>
      <c r="AV280">
        <f>AU280&amp;IF($W280="","",", "&amp;$W280)</f>
        <v/>
      </c>
      <c r="AW280">
        <f>AV280&amp;IF($X280="","",", "&amp;$X280)</f>
        <v/>
      </c>
      <c r="AX280">
        <f>AW280&amp;IF($Y280="","",", "&amp;$Y280)</f>
        <v/>
      </c>
    </row>
    <row r="281">
      <c r="A281" s="118">
        <f>IF($B281="","",COUNT($B$5:$B281))</f>
        <v/>
      </c>
      <c r="B281" s="80" t="n"/>
      <c r="C281" s="80" t="n"/>
      <c r="D281" s="74" t="n"/>
      <c r="E281" s="74" t="n"/>
      <c r="F281" s="74" t="n"/>
      <c r="G281" s="118">
        <f>IF($F281="","",COUNTIF($F$5:$F281,$F281))</f>
        <v/>
      </c>
      <c r="H281" s="33">
        <f>IF($F281="","",IFERROR(INDEX(사건마스터!$B$5:$B$64,MATCH($F281,사건마스터!$A$5:$A$64,0)),""))</f>
        <v/>
      </c>
      <c r="I281" s="130">
        <f>IF($F281="","",IFERROR(INDEX(사건마스터!$C$5:$C$64,MATCH($F281,사건마스터!$A$5:$A$64,0)),""))</f>
        <v/>
      </c>
      <c r="J281" s="136">
        <f>IF($F281="","",IFERROR(INDEX(사건마스터!$H$5:$H$64,MATCH($F281,사건마스터!$A$5:$A$64,0)),""))</f>
        <v/>
      </c>
      <c r="K281" s="136">
        <f>IF($F281="","",IFERROR(INDEX(사건마스터!$AH$5:$AH$64,MATCH($F281,사건마스터!$A$5:$A$64,0)),""))</f>
        <v/>
      </c>
      <c r="L281" s="136">
        <f>IF($F281="","",IFERROR(INDEX(사건마스터!$AI$5:$AI$64,MATCH($F281,사건마스터!$A$5:$A$64,0)),""))</f>
        <v/>
      </c>
      <c r="M281" s="136">
        <f>IF($F281="","",IFERROR(INDEX(사건마스터!$AJ$5:$AJ$64,MATCH($F281,사건마스터!$A$5:$A$64,0)),""))</f>
        <v/>
      </c>
      <c r="N281" s="136">
        <f>IF($F281="","",IFERROR(INDEX(사건마스터!$AK$5:$AK$64,MATCH($F281,사건마스터!$A$5:$A$64,0)),""))</f>
        <v/>
      </c>
      <c r="O281" s="136">
        <f>IF($F281="","",IFERROR(INDEX(사건마스터!$AL$5:$AL$64,MATCH($F281,사건마스터!$A$5:$A$64,0)),""))</f>
        <v/>
      </c>
      <c r="P281" s="136">
        <f>IF($F281="","",IFERROR(INDEX(사건마스터!$AM$5:$AM$64,MATCH($F281,사건마스터!$A$5:$A$64,0)),""))</f>
        <v/>
      </c>
      <c r="Q281" s="136">
        <f>IF($F281="","",IFERROR(INDEX(사건마스터!$AN$5:$AN$64,MATCH($F281,사건마스터!$A$5:$A$64,0)),""))</f>
        <v/>
      </c>
      <c r="R281" s="136">
        <f>IF($F281="","",IFERROR(INDEX(사건마스터!$AO$5:$AO$64,MATCH($F281,사건마스터!$A$5:$A$64,0)),""))</f>
        <v/>
      </c>
      <c r="S281" s="136">
        <f>IF($F281="","",IFERROR(INDEX(사건마스터!$AP$5:$AP$64,MATCH($F281,사건마스터!$A$5:$A$64,0)),""))</f>
        <v/>
      </c>
      <c r="T281" s="136">
        <f>IF($F281="","",IFERROR(INDEX(사건마스터!$AQ$5:$AQ$64,MATCH($F281,사건마스터!$A$5:$A$64,0)),""))</f>
        <v/>
      </c>
      <c r="U281" s="136">
        <f>IF($F281="","",IFERROR(INDEX(사건마스터!$AR$5:$AR$64,MATCH($F281,사건마스터!$A$5:$A$64,0)),""))</f>
        <v/>
      </c>
      <c r="V281" s="136">
        <f>IF($F281="","",IFERROR(INDEX(사건마스터!$AS$5:$AS$64,MATCH($F281,사건마스터!$A$5:$A$64,0)),""))</f>
        <v/>
      </c>
      <c r="W281" s="136">
        <f>IF($F281="","",IFERROR(INDEX(사건마스터!$AT$5:$AT$64,MATCH($F281,사건마스터!$A$5:$A$64,0)),""))</f>
        <v/>
      </c>
      <c r="X281" s="136">
        <f>IF($F281="","",IFERROR(INDEX(사건마스터!$AU$5:$AU$64,MATCH($F281,사건마스터!$A$5:$A$64,0)),""))</f>
        <v/>
      </c>
      <c r="Y281" s="136">
        <f>IF($F281="","",IFERROR(INDEX(사건마스터!$AV$5:$AV$64,MATCH($F281,사건마스터!$A$5:$A$64,0)),""))</f>
        <v/>
      </c>
      <c r="Z281" s="118">
        <f>IF(COUNTBLANK($J281:$Y281)=16,"",16-COUNTBLANK($J281:$Y281))</f>
        <v/>
      </c>
      <c r="AA281" s="33">
        <f>IF($J281="",MID($AX281,3,255),$J281&amp;$AX281)</f>
        <v/>
      </c>
      <c r="AB281" s="130">
        <f>IF($J281="","",IFERROR(INDEX(코드설정!$D$5:$D$24,MATCH($J281,코드설정!$C$5:$C$24,0)),""))</f>
        <v/>
      </c>
      <c r="AC281" s="36" t="n"/>
      <c r="AD281" s="37" t="n"/>
      <c r="AE281" s="38" t="n"/>
      <c r="AF281" s="118">
        <f>IF(OR($B281="",$C281=""),"",$C281-$B281+1)</f>
        <v/>
      </c>
      <c r="AG281" s="74" t="n"/>
      <c r="AH281" s="36" t="n"/>
      <c r="AJ281">
        <f>IF($K281="","",", "&amp;$K281)</f>
        <v/>
      </c>
      <c r="AK281">
        <f>AJ281&amp;IF($L281="","",", "&amp;$L281)</f>
        <v/>
      </c>
      <c r="AL281">
        <f>AK281&amp;IF($M281="","",", "&amp;$M281)</f>
        <v/>
      </c>
      <c r="AM281">
        <f>AL281&amp;IF($N281="","",", "&amp;$N281)</f>
        <v/>
      </c>
      <c r="AN281">
        <f>AM281&amp;IF($O281="","",", "&amp;$O281)</f>
        <v/>
      </c>
      <c r="AO281">
        <f>AN281&amp;IF($P281="","",", "&amp;$P281)</f>
        <v/>
      </c>
      <c r="AP281">
        <f>AO281&amp;IF($Q281="","",", "&amp;$Q281)</f>
        <v/>
      </c>
      <c r="AQ281">
        <f>AP281&amp;IF($R281="","",", "&amp;$R281)</f>
        <v/>
      </c>
      <c r="AR281">
        <f>AQ281&amp;IF($S281="","",", "&amp;$S281)</f>
        <v/>
      </c>
      <c r="AS281">
        <f>AR281&amp;IF($T281="","",", "&amp;$T281)</f>
        <v/>
      </c>
      <c r="AT281">
        <f>AS281&amp;IF($U281="","",", "&amp;$U281)</f>
        <v/>
      </c>
      <c r="AU281">
        <f>AT281&amp;IF($V281="","",", "&amp;$V281)</f>
        <v/>
      </c>
      <c r="AV281">
        <f>AU281&amp;IF($W281="","",", "&amp;$W281)</f>
        <v/>
      </c>
      <c r="AW281">
        <f>AV281&amp;IF($X281="","",", "&amp;$X281)</f>
        <v/>
      </c>
      <c r="AX281">
        <f>AW281&amp;IF($Y281="","",", "&amp;$Y281)</f>
        <v/>
      </c>
    </row>
    <row r="282">
      <c r="A282" s="118">
        <f>IF($B282="","",COUNT($B$5:$B282))</f>
        <v/>
      </c>
      <c r="B282" s="80" t="n"/>
      <c r="C282" s="80" t="n"/>
      <c r="D282" s="74" t="n"/>
      <c r="E282" s="74" t="n"/>
      <c r="F282" s="74" t="n"/>
      <c r="G282" s="118">
        <f>IF($F282="","",COUNTIF($F$5:$F282,$F282))</f>
        <v/>
      </c>
      <c r="H282" s="33">
        <f>IF($F282="","",IFERROR(INDEX(사건마스터!$B$5:$B$64,MATCH($F282,사건마스터!$A$5:$A$64,0)),""))</f>
        <v/>
      </c>
      <c r="I282" s="130">
        <f>IF($F282="","",IFERROR(INDEX(사건마스터!$C$5:$C$64,MATCH($F282,사건마스터!$A$5:$A$64,0)),""))</f>
        <v/>
      </c>
      <c r="J282" s="136">
        <f>IF($F282="","",IFERROR(INDEX(사건마스터!$H$5:$H$64,MATCH($F282,사건마스터!$A$5:$A$64,0)),""))</f>
        <v/>
      </c>
      <c r="K282" s="136">
        <f>IF($F282="","",IFERROR(INDEX(사건마스터!$AH$5:$AH$64,MATCH($F282,사건마스터!$A$5:$A$64,0)),""))</f>
        <v/>
      </c>
      <c r="L282" s="136">
        <f>IF($F282="","",IFERROR(INDEX(사건마스터!$AI$5:$AI$64,MATCH($F282,사건마스터!$A$5:$A$64,0)),""))</f>
        <v/>
      </c>
      <c r="M282" s="136">
        <f>IF($F282="","",IFERROR(INDEX(사건마스터!$AJ$5:$AJ$64,MATCH($F282,사건마스터!$A$5:$A$64,0)),""))</f>
        <v/>
      </c>
      <c r="N282" s="136">
        <f>IF($F282="","",IFERROR(INDEX(사건마스터!$AK$5:$AK$64,MATCH($F282,사건마스터!$A$5:$A$64,0)),""))</f>
        <v/>
      </c>
      <c r="O282" s="136">
        <f>IF($F282="","",IFERROR(INDEX(사건마스터!$AL$5:$AL$64,MATCH($F282,사건마스터!$A$5:$A$64,0)),""))</f>
        <v/>
      </c>
      <c r="P282" s="136">
        <f>IF($F282="","",IFERROR(INDEX(사건마스터!$AM$5:$AM$64,MATCH($F282,사건마스터!$A$5:$A$64,0)),""))</f>
        <v/>
      </c>
      <c r="Q282" s="136">
        <f>IF($F282="","",IFERROR(INDEX(사건마스터!$AN$5:$AN$64,MATCH($F282,사건마스터!$A$5:$A$64,0)),""))</f>
        <v/>
      </c>
      <c r="R282" s="136">
        <f>IF($F282="","",IFERROR(INDEX(사건마스터!$AO$5:$AO$64,MATCH($F282,사건마스터!$A$5:$A$64,0)),""))</f>
        <v/>
      </c>
      <c r="S282" s="136">
        <f>IF($F282="","",IFERROR(INDEX(사건마스터!$AP$5:$AP$64,MATCH($F282,사건마스터!$A$5:$A$64,0)),""))</f>
        <v/>
      </c>
      <c r="T282" s="136">
        <f>IF($F282="","",IFERROR(INDEX(사건마스터!$AQ$5:$AQ$64,MATCH($F282,사건마스터!$A$5:$A$64,0)),""))</f>
        <v/>
      </c>
      <c r="U282" s="136">
        <f>IF($F282="","",IFERROR(INDEX(사건마스터!$AR$5:$AR$64,MATCH($F282,사건마스터!$A$5:$A$64,0)),""))</f>
        <v/>
      </c>
      <c r="V282" s="136">
        <f>IF($F282="","",IFERROR(INDEX(사건마스터!$AS$5:$AS$64,MATCH($F282,사건마스터!$A$5:$A$64,0)),""))</f>
        <v/>
      </c>
      <c r="W282" s="136">
        <f>IF($F282="","",IFERROR(INDEX(사건마스터!$AT$5:$AT$64,MATCH($F282,사건마스터!$A$5:$A$64,0)),""))</f>
        <v/>
      </c>
      <c r="X282" s="136">
        <f>IF($F282="","",IFERROR(INDEX(사건마스터!$AU$5:$AU$64,MATCH($F282,사건마스터!$A$5:$A$64,0)),""))</f>
        <v/>
      </c>
      <c r="Y282" s="136">
        <f>IF($F282="","",IFERROR(INDEX(사건마스터!$AV$5:$AV$64,MATCH($F282,사건마스터!$A$5:$A$64,0)),""))</f>
        <v/>
      </c>
      <c r="Z282" s="118">
        <f>IF(COUNTBLANK($J282:$Y282)=16,"",16-COUNTBLANK($J282:$Y282))</f>
        <v/>
      </c>
      <c r="AA282" s="33">
        <f>IF($J282="",MID($AX282,3,255),$J282&amp;$AX282)</f>
        <v/>
      </c>
      <c r="AB282" s="130">
        <f>IF($J282="","",IFERROR(INDEX(코드설정!$D$5:$D$24,MATCH($J282,코드설정!$C$5:$C$24,0)),""))</f>
        <v/>
      </c>
      <c r="AC282" s="36" t="n"/>
      <c r="AD282" s="37" t="n"/>
      <c r="AE282" s="38" t="n"/>
      <c r="AF282" s="118">
        <f>IF(OR($B282="",$C282=""),"",$C282-$B282+1)</f>
        <v/>
      </c>
      <c r="AG282" s="74" t="n"/>
      <c r="AH282" s="36" t="n"/>
      <c r="AJ282">
        <f>IF($K282="","",", "&amp;$K282)</f>
        <v/>
      </c>
      <c r="AK282">
        <f>AJ282&amp;IF($L282="","",", "&amp;$L282)</f>
        <v/>
      </c>
      <c r="AL282">
        <f>AK282&amp;IF($M282="","",", "&amp;$M282)</f>
        <v/>
      </c>
      <c r="AM282">
        <f>AL282&amp;IF($N282="","",", "&amp;$N282)</f>
        <v/>
      </c>
      <c r="AN282">
        <f>AM282&amp;IF($O282="","",", "&amp;$O282)</f>
        <v/>
      </c>
      <c r="AO282">
        <f>AN282&amp;IF($P282="","",", "&amp;$P282)</f>
        <v/>
      </c>
      <c r="AP282">
        <f>AO282&amp;IF($Q282="","",", "&amp;$Q282)</f>
        <v/>
      </c>
      <c r="AQ282">
        <f>AP282&amp;IF($R282="","",", "&amp;$R282)</f>
        <v/>
      </c>
      <c r="AR282">
        <f>AQ282&amp;IF($S282="","",", "&amp;$S282)</f>
        <v/>
      </c>
      <c r="AS282">
        <f>AR282&amp;IF($T282="","",", "&amp;$T282)</f>
        <v/>
      </c>
      <c r="AT282">
        <f>AS282&amp;IF($U282="","",", "&amp;$U282)</f>
        <v/>
      </c>
      <c r="AU282">
        <f>AT282&amp;IF($V282="","",", "&amp;$V282)</f>
        <v/>
      </c>
      <c r="AV282">
        <f>AU282&amp;IF($W282="","",", "&amp;$W282)</f>
        <v/>
      </c>
      <c r="AW282">
        <f>AV282&amp;IF($X282="","",", "&amp;$X282)</f>
        <v/>
      </c>
      <c r="AX282">
        <f>AW282&amp;IF($Y282="","",", "&amp;$Y282)</f>
        <v/>
      </c>
    </row>
    <row r="283">
      <c r="A283" s="118">
        <f>IF($B283="","",COUNT($B$5:$B283))</f>
        <v/>
      </c>
      <c r="B283" s="80" t="n"/>
      <c r="C283" s="80" t="n"/>
      <c r="D283" s="74" t="n"/>
      <c r="E283" s="74" t="n"/>
      <c r="F283" s="74" t="n"/>
      <c r="G283" s="118">
        <f>IF($F283="","",COUNTIF($F$5:$F283,$F283))</f>
        <v/>
      </c>
      <c r="H283" s="33">
        <f>IF($F283="","",IFERROR(INDEX(사건마스터!$B$5:$B$64,MATCH($F283,사건마스터!$A$5:$A$64,0)),""))</f>
        <v/>
      </c>
      <c r="I283" s="130">
        <f>IF($F283="","",IFERROR(INDEX(사건마스터!$C$5:$C$64,MATCH($F283,사건마스터!$A$5:$A$64,0)),""))</f>
        <v/>
      </c>
      <c r="J283" s="136">
        <f>IF($F283="","",IFERROR(INDEX(사건마스터!$H$5:$H$64,MATCH($F283,사건마스터!$A$5:$A$64,0)),""))</f>
        <v/>
      </c>
      <c r="K283" s="136">
        <f>IF($F283="","",IFERROR(INDEX(사건마스터!$AH$5:$AH$64,MATCH($F283,사건마스터!$A$5:$A$64,0)),""))</f>
        <v/>
      </c>
      <c r="L283" s="136">
        <f>IF($F283="","",IFERROR(INDEX(사건마스터!$AI$5:$AI$64,MATCH($F283,사건마스터!$A$5:$A$64,0)),""))</f>
        <v/>
      </c>
      <c r="M283" s="136">
        <f>IF($F283="","",IFERROR(INDEX(사건마스터!$AJ$5:$AJ$64,MATCH($F283,사건마스터!$A$5:$A$64,0)),""))</f>
        <v/>
      </c>
      <c r="N283" s="136">
        <f>IF($F283="","",IFERROR(INDEX(사건마스터!$AK$5:$AK$64,MATCH($F283,사건마스터!$A$5:$A$64,0)),""))</f>
        <v/>
      </c>
      <c r="O283" s="136">
        <f>IF($F283="","",IFERROR(INDEX(사건마스터!$AL$5:$AL$64,MATCH($F283,사건마스터!$A$5:$A$64,0)),""))</f>
        <v/>
      </c>
      <c r="P283" s="136">
        <f>IF($F283="","",IFERROR(INDEX(사건마스터!$AM$5:$AM$64,MATCH($F283,사건마스터!$A$5:$A$64,0)),""))</f>
        <v/>
      </c>
      <c r="Q283" s="136">
        <f>IF($F283="","",IFERROR(INDEX(사건마스터!$AN$5:$AN$64,MATCH($F283,사건마스터!$A$5:$A$64,0)),""))</f>
        <v/>
      </c>
      <c r="R283" s="136">
        <f>IF($F283="","",IFERROR(INDEX(사건마스터!$AO$5:$AO$64,MATCH($F283,사건마스터!$A$5:$A$64,0)),""))</f>
        <v/>
      </c>
      <c r="S283" s="136">
        <f>IF($F283="","",IFERROR(INDEX(사건마스터!$AP$5:$AP$64,MATCH($F283,사건마스터!$A$5:$A$64,0)),""))</f>
        <v/>
      </c>
      <c r="T283" s="136">
        <f>IF($F283="","",IFERROR(INDEX(사건마스터!$AQ$5:$AQ$64,MATCH($F283,사건마스터!$A$5:$A$64,0)),""))</f>
        <v/>
      </c>
      <c r="U283" s="136">
        <f>IF($F283="","",IFERROR(INDEX(사건마스터!$AR$5:$AR$64,MATCH($F283,사건마스터!$A$5:$A$64,0)),""))</f>
        <v/>
      </c>
      <c r="V283" s="136">
        <f>IF($F283="","",IFERROR(INDEX(사건마스터!$AS$5:$AS$64,MATCH($F283,사건마스터!$A$5:$A$64,0)),""))</f>
        <v/>
      </c>
      <c r="W283" s="136">
        <f>IF($F283="","",IFERROR(INDEX(사건마스터!$AT$5:$AT$64,MATCH($F283,사건마스터!$A$5:$A$64,0)),""))</f>
        <v/>
      </c>
      <c r="X283" s="136">
        <f>IF($F283="","",IFERROR(INDEX(사건마스터!$AU$5:$AU$64,MATCH($F283,사건마스터!$A$5:$A$64,0)),""))</f>
        <v/>
      </c>
      <c r="Y283" s="136">
        <f>IF($F283="","",IFERROR(INDEX(사건마스터!$AV$5:$AV$64,MATCH($F283,사건마스터!$A$5:$A$64,0)),""))</f>
        <v/>
      </c>
      <c r="Z283" s="118">
        <f>IF(COUNTBLANK($J283:$Y283)=16,"",16-COUNTBLANK($J283:$Y283))</f>
        <v/>
      </c>
      <c r="AA283" s="33">
        <f>IF($J283="",MID($AX283,3,255),$J283&amp;$AX283)</f>
        <v/>
      </c>
      <c r="AB283" s="130">
        <f>IF($J283="","",IFERROR(INDEX(코드설정!$D$5:$D$24,MATCH($J283,코드설정!$C$5:$C$24,0)),""))</f>
        <v/>
      </c>
      <c r="AC283" s="36" t="n"/>
      <c r="AD283" s="37" t="n"/>
      <c r="AE283" s="38" t="n"/>
      <c r="AF283" s="118">
        <f>IF(OR($B283="",$C283=""),"",$C283-$B283+1)</f>
        <v/>
      </c>
      <c r="AG283" s="74" t="n"/>
      <c r="AH283" s="36" t="n"/>
      <c r="AJ283">
        <f>IF($K283="","",", "&amp;$K283)</f>
        <v/>
      </c>
      <c r="AK283">
        <f>AJ283&amp;IF($L283="","",", "&amp;$L283)</f>
        <v/>
      </c>
      <c r="AL283">
        <f>AK283&amp;IF($M283="","",", "&amp;$M283)</f>
        <v/>
      </c>
      <c r="AM283">
        <f>AL283&amp;IF($N283="","",", "&amp;$N283)</f>
        <v/>
      </c>
      <c r="AN283">
        <f>AM283&amp;IF($O283="","",", "&amp;$O283)</f>
        <v/>
      </c>
      <c r="AO283">
        <f>AN283&amp;IF($P283="","",", "&amp;$P283)</f>
        <v/>
      </c>
      <c r="AP283">
        <f>AO283&amp;IF($Q283="","",", "&amp;$Q283)</f>
        <v/>
      </c>
      <c r="AQ283">
        <f>AP283&amp;IF($R283="","",", "&amp;$R283)</f>
        <v/>
      </c>
      <c r="AR283">
        <f>AQ283&amp;IF($S283="","",", "&amp;$S283)</f>
        <v/>
      </c>
      <c r="AS283">
        <f>AR283&amp;IF($T283="","",", "&amp;$T283)</f>
        <v/>
      </c>
      <c r="AT283">
        <f>AS283&amp;IF($U283="","",", "&amp;$U283)</f>
        <v/>
      </c>
      <c r="AU283">
        <f>AT283&amp;IF($V283="","",", "&amp;$V283)</f>
        <v/>
      </c>
      <c r="AV283">
        <f>AU283&amp;IF($W283="","",", "&amp;$W283)</f>
        <v/>
      </c>
      <c r="AW283">
        <f>AV283&amp;IF($X283="","",", "&amp;$X283)</f>
        <v/>
      </c>
      <c r="AX283">
        <f>AW283&amp;IF($Y283="","",", "&amp;$Y283)</f>
        <v/>
      </c>
    </row>
    <row r="284">
      <c r="A284" s="118">
        <f>IF($B284="","",COUNT($B$5:$B284))</f>
        <v/>
      </c>
      <c r="B284" s="80" t="n"/>
      <c r="C284" s="80" t="n"/>
      <c r="D284" s="74" t="n"/>
      <c r="E284" s="74" t="n"/>
      <c r="F284" s="74" t="n"/>
      <c r="G284" s="118">
        <f>IF($F284="","",COUNTIF($F$5:$F284,$F284))</f>
        <v/>
      </c>
      <c r="H284" s="33">
        <f>IF($F284="","",IFERROR(INDEX(사건마스터!$B$5:$B$64,MATCH($F284,사건마스터!$A$5:$A$64,0)),""))</f>
        <v/>
      </c>
      <c r="I284" s="130">
        <f>IF($F284="","",IFERROR(INDEX(사건마스터!$C$5:$C$64,MATCH($F284,사건마스터!$A$5:$A$64,0)),""))</f>
        <v/>
      </c>
      <c r="J284" s="136">
        <f>IF($F284="","",IFERROR(INDEX(사건마스터!$H$5:$H$64,MATCH($F284,사건마스터!$A$5:$A$64,0)),""))</f>
        <v/>
      </c>
      <c r="K284" s="136">
        <f>IF($F284="","",IFERROR(INDEX(사건마스터!$AH$5:$AH$64,MATCH($F284,사건마스터!$A$5:$A$64,0)),""))</f>
        <v/>
      </c>
      <c r="L284" s="136">
        <f>IF($F284="","",IFERROR(INDEX(사건마스터!$AI$5:$AI$64,MATCH($F284,사건마스터!$A$5:$A$64,0)),""))</f>
        <v/>
      </c>
      <c r="M284" s="136">
        <f>IF($F284="","",IFERROR(INDEX(사건마스터!$AJ$5:$AJ$64,MATCH($F284,사건마스터!$A$5:$A$64,0)),""))</f>
        <v/>
      </c>
      <c r="N284" s="136">
        <f>IF($F284="","",IFERROR(INDEX(사건마스터!$AK$5:$AK$64,MATCH($F284,사건마스터!$A$5:$A$64,0)),""))</f>
        <v/>
      </c>
      <c r="O284" s="136">
        <f>IF($F284="","",IFERROR(INDEX(사건마스터!$AL$5:$AL$64,MATCH($F284,사건마스터!$A$5:$A$64,0)),""))</f>
        <v/>
      </c>
      <c r="P284" s="136">
        <f>IF($F284="","",IFERROR(INDEX(사건마스터!$AM$5:$AM$64,MATCH($F284,사건마스터!$A$5:$A$64,0)),""))</f>
        <v/>
      </c>
      <c r="Q284" s="136">
        <f>IF($F284="","",IFERROR(INDEX(사건마스터!$AN$5:$AN$64,MATCH($F284,사건마스터!$A$5:$A$64,0)),""))</f>
        <v/>
      </c>
      <c r="R284" s="136">
        <f>IF($F284="","",IFERROR(INDEX(사건마스터!$AO$5:$AO$64,MATCH($F284,사건마스터!$A$5:$A$64,0)),""))</f>
        <v/>
      </c>
      <c r="S284" s="136">
        <f>IF($F284="","",IFERROR(INDEX(사건마스터!$AP$5:$AP$64,MATCH($F284,사건마스터!$A$5:$A$64,0)),""))</f>
        <v/>
      </c>
      <c r="T284" s="136">
        <f>IF($F284="","",IFERROR(INDEX(사건마스터!$AQ$5:$AQ$64,MATCH($F284,사건마스터!$A$5:$A$64,0)),""))</f>
        <v/>
      </c>
      <c r="U284" s="136">
        <f>IF($F284="","",IFERROR(INDEX(사건마스터!$AR$5:$AR$64,MATCH($F284,사건마스터!$A$5:$A$64,0)),""))</f>
        <v/>
      </c>
      <c r="V284" s="136">
        <f>IF($F284="","",IFERROR(INDEX(사건마스터!$AS$5:$AS$64,MATCH($F284,사건마스터!$A$5:$A$64,0)),""))</f>
        <v/>
      </c>
      <c r="W284" s="136">
        <f>IF($F284="","",IFERROR(INDEX(사건마스터!$AT$5:$AT$64,MATCH($F284,사건마스터!$A$5:$A$64,0)),""))</f>
        <v/>
      </c>
      <c r="X284" s="136">
        <f>IF($F284="","",IFERROR(INDEX(사건마스터!$AU$5:$AU$64,MATCH($F284,사건마스터!$A$5:$A$64,0)),""))</f>
        <v/>
      </c>
      <c r="Y284" s="136">
        <f>IF($F284="","",IFERROR(INDEX(사건마스터!$AV$5:$AV$64,MATCH($F284,사건마스터!$A$5:$A$64,0)),""))</f>
        <v/>
      </c>
      <c r="Z284" s="118">
        <f>IF(COUNTBLANK($J284:$Y284)=16,"",16-COUNTBLANK($J284:$Y284))</f>
        <v/>
      </c>
      <c r="AA284" s="33">
        <f>IF($J284="",MID($AX284,3,255),$J284&amp;$AX284)</f>
        <v/>
      </c>
      <c r="AB284" s="130">
        <f>IF($J284="","",IFERROR(INDEX(코드설정!$D$5:$D$24,MATCH($J284,코드설정!$C$5:$C$24,0)),""))</f>
        <v/>
      </c>
      <c r="AC284" s="36" t="n"/>
      <c r="AD284" s="37" t="n"/>
      <c r="AE284" s="38" t="n"/>
      <c r="AF284" s="118">
        <f>IF(OR($B284="",$C284=""),"",$C284-$B284+1)</f>
        <v/>
      </c>
      <c r="AG284" s="74" t="n"/>
      <c r="AH284" s="36" t="n"/>
      <c r="AJ284">
        <f>IF($K284="","",", "&amp;$K284)</f>
        <v/>
      </c>
      <c r="AK284">
        <f>AJ284&amp;IF($L284="","",", "&amp;$L284)</f>
        <v/>
      </c>
      <c r="AL284">
        <f>AK284&amp;IF($M284="","",", "&amp;$M284)</f>
        <v/>
      </c>
      <c r="AM284">
        <f>AL284&amp;IF($N284="","",", "&amp;$N284)</f>
        <v/>
      </c>
      <c r="AN284">
        <f>AM284&amp;IF($O284="","",", "&amp;$O284)</f>
        <v/>
      </c>
      <c r="AO284">
        <f>AN284&amp;IF($P284="","",", "&amp;$P284)</f>
        <v/>
      </c>
      <c r="AP284">
        <f>AO284&amp;IF($Q284="","",", "&amp;$Q284)</f>
        <v/>
      </c>
      <c r="AQ284">
        <f>AP284&amp;IF($R284="","",", "&amp;$R284)</f>
        <v/>
      </c>
      <c r="AR284">
        <f>AQ284&amp;IF($S284="","",", "&amp;$S284)</f>
        <v/>
      </c>
      <c r="AS284">
        <f>AR284&amp;IF($T284="","",", "&amp;$T284)</f>
        <v/>
      </c>
      <c r="AT284">
        <f>AS284&amp;IF($U284="","",", "&amp;$U284)</f>
        <v/>
      </c>
      <c r="AU284">
        <f>AT284&amp;IF($V284="","",", "&amp;$V284)</f>
        <v/>
      </c>
      <c r="AV284">
        <f>AU284&amp;IF($W284="","",", "&amp;$W284)</f>
        <v/>
      </c>
      <c r="AW284">
        <f>AV284&amp;IF($X284="","",", "&amp;$X284)</f>
        <v/>
      </c>
      <c r="AX284">
        <f>AW284&amp;IF($Y284="","",", "&amp;$Y284)</f>
        <v/>
      </c>
    </row>
    <row r="285">
      <c r="A285" s="118">
        <f>IF($B285="","",COUNT($B$5:$B285))</f>
        <v/>
      </c>
      <c r="B285" s="80" t="n"/>
      <c r="C285" s="80" t="n"/>
      <c r="D285" s="74" t="n"/>
      <c r="E285" s="74" t="n"/>
      <c r="F285" s="74" t="n"/>
      <c r="G285" s="118">
        <f>IF($F285="","",COUNTIF($F$5:$F285,$F285))</f>
        <v/>
      </c>
      <c r="H285" s="33">
        <f>IF($F285="","",IFERROR(INDEX(사건마스터!$B$5:$B$64,MATCH($F285,사건마스터!$A$5:$A$64,0)),""))</f>
        <v/>
      </c>
      <c r="I285" s="130">
        <f>IF($F285="","",IFERROR(INDEX(사건마스터!$C$5:$C$64,MATCH($F285,사건마스터!$A$5:$A$64,0)),""))</f>
        <v/>
      </c>
      <c r="J285" s="136">
        <f>IF($F285="","",IFERROR(INDEX(사건마스터!$H$5:$H$64,MATCH($F285,사건마스터!$A$5:$A$64,0)),""))</f>
        <v/>
      </c>
      <c r="K285" s="136">
        <f>IF($F285="","",IFERROR(INDEX(사건마스터!$AH$5:$AH$64,MATCH($F285,사건마스터!$A$5:$A$64,0)),""))</f>
        <v/>
      </c>
      <c r="L285" s="136">
        <f>IF($F285="","",IFERROR(INDEX(사건마스터!$AI$5:$AI$64,MATCH($F285,사건마스터!$A$5:$A$64,0)),""))</f>
        <v/>
      </c>
      <c r="M285" s="136">
        <f>IF($F285="","",IFERROR(INDEX(사건마스터!$AJ$5:$AJ$64,MATCH($F285,사건마스터!$A$5:$A$64,0)),""))</f>
        <v/>
      </c>
      <c r="N285" s="136">
        <f>IF($F285="","",IFERROR(INDEX(사건마스터!$AK$5:$AK$64,MATCH($F285,사건마스터!$A$5:$A$64,0)),""))</f>
        <v/>
      </c>
      <c r="O285" s="136">
        <f>IF($F285="","",IFERROR(INDEX(사건마스터!$AL$5:$AL$64,MATCH($F285,사건마스터!$A$5:$A$64,0)),""))</f>
        <v/>
      </c>
      <c r="P285" s="136">
        <f>IF($F285="","",IFERROR(INDEX(사건마스터!$AM$5:$AM$64,MATCH($F285,사건마스터!$A$5:$A$64,0)),""))</f>
        <v/>
      </c>
      <c r="Q285" s="136">
        <f>IF($F285="","",IFERROR(INDEX(사건마스터!$AN$5:$AN$64,MATCH($F285,사건마스터!$A$5:$A$64,0)),""))</f>
        <v/>
      </c>
      <c r="R285" s="136">
        <f>IF($F285="","",IFERROR(INDEX(사건마스터!$AO$5:$AO$64,MATCH($F285,사건마스터!$A$5:$A$64,0)),""))</f>
        <v/>
      </c>
      <c r="S285" s="136">
        <f>IF($F285="","",IFERROR(INDEX(사건마스터!$AP$5:$AP$64,MATCH($F285,사건마스터!$A$5:$A$64,0)),""))</f>
        <v/>
      </c>
      <c r="T285" s="136">
        <f>IF($F285="","",IFERROR(INDEX(사건마스터!$AQ$5:$AQ$64,MATCH($F285,사건마스터!$A$5:$A$64,0)),""))</f>
        <v/>
      </c>
      <c r="U285" s="136">
        <f>IF($F285="","",IFERROR(INDEX(사건마스터!$AR$5:$AR$64,MATCH($F285,사건마스터!$A$5:$A$64,0)),""))</f>
        <v/>
      </c>
      <c r="V285" s="136">
        <f>IF($F285="","",IFERROR(INDEX(사건마스터!$AS$5:$AS$64,MATCH($F285,사건마스터!$A$5:$A$64,0)),""))</f>
        <v/>
      </c>
      <c r="W285" s="136">
        <f>IF($F285="","",IFERROR(INDEX(사건마스터!$AT$5:$AT$64,MATCH($F285,사건마스터!$A$5:$A$64,0)),""))</f>
        <v/>
      </c>
      <c r="X285" s="136">
        <f>IF($F285="","",IFERROR(INDEX(사건마스터!$AU$5:$AU$64,MATCH($F285,사건마스터!$A$5:$A$64,0)),""))</f>
        <v/>
      </c>
      <c r="Y285" s="136">
        <f>IF($F285="","",IFERROR(INDEX(사건마스터!$AV$5:$AV$64,MATCH($F285,사건마스터!$A$5:$A$64,0)),""))</f>
        <v/>
      </c>
      <c r="Z285" s="118">
        <f>IF(COUNTBLANK($J285:$Y285)=16,"",16-COUNTBLANK($J285:$Y285))</f>
        <v/>
      </c>
      <c r="AA285" s="33">
        <f>IF($J285="",MID($AX285,3,255),$J285&amp;$AX285)</f>
        <v/>
      </c>
      <c r="AB285" s="130">
        <f>IF($J285="","",IFERROR(INDEX(코드설정!$D$5:$D$24,MATCH($J285,코드설정!$C$5:$C$24,0)),""))</f>
        <v/>
      </c>
      <c r="AC285" s="36" t="n"/>
      <c r="AD285" s="37" t="n"/>
      <c r="AE285" s="38" t="n"/>
      <c r="AF285" s="118">
        <f>IF(OR($B285="",$C285=""),"",$C285-$B285+1)</f>
        <v/>
      </c>
      <c r="AG285" s="74" t="n"/>
      <c r="AH285" s="36" t="n"/>
      <c r="AJ285">
        <f>IF($K285="","",", "&amp;$K285)</f>
        <v/>
      </c>
      <c r="AK285">
        <f>AJ285&amp;IF($L285="","",", "&amp;$L285)</f>
        <v/>
      </c>
      <c r="AL285">
        <f>AK285&amp;IF($M285="","",", "&amp;$M285)</f>
        <v/>
      </c>
      <c r="AM285">
        <f>AL285&amp;IF($N285="","",", "&amp;$N285)</f>
        <v/>
      </c>
      <c r="AN285">
        <f>AM285&amp;IF($O285="","",", "&amp;$O285)</f>
        <v/>
      </c>
      <c r="AO285">
        <f>AN285&amp;IF($P285="","",", "&amp;$P285)</f>
        <v/>
      </c>
      <c r="AP285">
        <f>AO285&amp;IF($Q285="","",", "&amp;$Q285)</f>
        <v/>
      </c>
      <c r="AQ285">
        <f>AP285&amp;IF($R285="","",", "&amp;$R285)</f>
        <v/>
      </c>
      <c r="AR285">
        <f>AQ285&amp;IF($S285="","",", "&amp;$S285)</f>
        <v/>
      </c>
      <c r="AS285">
        <f>AR285&amp;IF($T285="","",", "&amp;$T285)</f>
        <v/>
      </c>
      <c r="AT285">
        <f>AS285&amp;IF($U285="","",", "&amp;$U285)</f>
        <v/>
      </c>
      <c r="AU285">
        <f>AT285&amp;IF($V285="","",", "&amp;$V285)</f>
        <v/>
      </c>
      <c r="AV285">
        <f>AU285&amp;IF($W285="","",", "&amp;$W285)</f>
        <v/>
      </c>
      <c r="AW285">
        <f>AV285&amp;IF($X285="","",", "&amp;$X285)</f>
        <v/>
      </c>
      <c r="AX285">
        <f>AW285&amp;IF($Y285="","",", "&amp;$Y285)</f>
        <v/>
      </c>
    </row>
    <row r="286">
      <c r="A286" s="118">
        <f>IF($B286="","",COUNT($B$5:$B286))</f>
        <v/>
      </c>
      <c r="B286" s="80" t="n"/>
      <c r="C286" s="80" t="n"/>
      <c r="D286" s="74" t="n"/>
      <c r="E286" s="74" t="n"/>
      <c r="F286" s="74" t="n"/>
      <c r="G286" s="118">
        <f>IF($F286="","",COUNTIF($F$5:$F286,$F286))</f>
        <v/>
      </c>
      <c r="H286" s="33">
        <f>IF($F286="","",IFERROR(INDEX(사건마스터!$B$5:$B$64,MATCH($F286,사건마스터!$A$5:$A$64,0)),""))</f>
        <v/>
      </c>
      <c r="I286" s="130">
        <f>IF($F286="","",IFERROR(INDEX(사건마스터!$C$5:$C$64,MATCH($F286,사건마스터!$A$5:$A$64,0)),""))</f>
        <v/>
      </c>
      <c r="J286" s="136">
        <f>IF($F286="","",IFERROR(INDEX(사건마스터!$H$5:$H$64,MATCH($F286,사건마스터!$A$5:$A$64,0)),""))</f>
        <v/>
      </c>
      <c r="K286" s="136">
        <f>IF($F286="","",IFERROR(INDEX(사건마스터!$AH$5:$AH$64,MATCH($F286,사건마스터!$A$5:$A$64,0)),""))</f>
        <v/>
      </c>
      <c r="L286" s="136">
        <f>IF($F286="","",IFERROR(INDEX(사건마스터!$AI$5:$AI$64,MATCH($F286,사건마스터!$A$5:$A$64,0)),""))</f>
        <v/>
      </c>
      <c r="M286" s="136">
        <f>IF($F286="","",IFERROR(INDEX(사건마스터!$AJ$5:$AJ$64,MATCH($F286,사건마스터!$A$5:$A$64,0)),""))</f>
        <v/>
      </c>
      <c r="N286" s="136">
        <f>IF($F286="","",IFERROR(INDEX(사건마스터!$AK$5:$AK$64,MATCH($F286,사건마스터!$A$5:$A$64,0)),""))</f>
        <v/>
      </c>
      <c r="O286" s="136">
        <f>IF($F286="","",IFERROR(INDEX(사건마스터!$AL$5:$AL$64,MATCH($F286,사건마스터!$A$5:$A$64,0)),""))</f>
        <v/>
      </c>
      <c r="P286" s="136">
        <f>IF($F286="","",IFERROR(INDEX(사건마스터!$AM$5:$AM$64,MATCH($F286,사건마스터!$A$5:$A$64,0)),""))</f>
        <v/>
      </c>
      <c r="Q286" s="136">
        <f>IF($F286="","",IFERROR(INDEX(사건마스터!$AN$5:$AN$64,MATCH($F286,사건마스터!$A$5:$A$64,0)),""))</f>
        <v/>
      </c>
      <c r="R286" s="136">
        <f>IF($F286="","",IFERROR(INDEX(사건마스터!$AO$5:$AO$64,MATCH($F286,사건마스터!$A$5:$A$64,0)),""))</f>
        <v/>
      </c>
      <c r="S286" s="136">
        <f>IF($F286="","",IFERROR(INDEX(사건마스터!$AP$5:$AP$64,MATCH($F286,사건마스터!$A$5:$A$64,0)),""))</f>
        <v/>
      </c>
      <c r="T286" s="136">
        <f>IF($F286="","",IFERROR(INDEX(사건마스터!$AQ$5:$AQ$64,MATCH($F286,사건마스터!$A$5:$A$64,0)),""))</f>
        <v/>
      </c>
      <c r="U286" s="136">
        <f>IF($F286="","",IFERROR(INDEX(사건마스터!$AR$5:$AR$64,MATCH($F286,사건마스터!$A$5:$A$64,0)),""))</f>
        <v/>
      </c>
      <c r="V286" s="136">
        <f>IF($F286="","",IFERROR(INDEX(사건마스터!$AS$5:$AS$64,MATCH($F286,사건마스터!$A$5:$A$64,0)),""))</f>
        <v/>
      </c>
      <c r="W286" s="136">
        <f>IF($F286="","",IFERROR(INDEX(사건마스터!$AT$5:$AT$64,MATCH($F286,사건마스터!$A$5:$A$64,0)),""))</f>
        <v/>
      </c>
      <c r="X286" s="136">
        <f>IF($F286="","",IFERROR(INDEX(사건마스터!$AU$5:$AU$64,MATCH($F286,사건마스터!$A$5:$A$64,0)),""))</f>
        <v/>
      </c>
      <c r="Y286" s="136">
        <f>IF($F286="","",IFERROR(INDEX(사건마스터!$AV$5:$AV$64,MATCH($F286,사건마스터!$A$5:$A$64,0)),""))</f>
        <v/>
      </c>
      <c r="Z286" s="118">
        <f>IF(COUNTBLANK($J286:$Y286)=16,"",16-COUNTBLANK($J286:$Y286))</f>
        <v/>
      </c>
      <c r="AA286" s="33">
        <f>IF($J286="",MID($AX286,3,255),$J286&amp;$AX286)</f>
        <v/>
      </c>
      <c r="AB286" s="130">
        <f>IF($J286="","",IFERROR(INDEX(코드설정!$D$5:$D$24,MATCH($J286,코드설정!$C$5:$C$24,0)),""))</f>
        <v/>
      </c>
      <c r="AC286" s="36" t="n"/>
      <c r="AD286" s="37" t="n"/>
      <c r="AE286" s="38" t="n"/>
      <c r="AF286" s="118">
        <f>IF(OR($B286="",$C286=""),"",$C286-$B286+1)</f>
        <v/>
      </c>
      <c r="AG286" s="74" t="n"/>
      <c r="AH286" s="36" t="n"/>
      <c r="AJ286">
        <f>IF($K286="","",", "&amp;$K286)</f>
        <v/>
      </c>
      <c r="AK286">
        <f>AJ286&amp;IF($L286="","",", "&amp;$L286)</f>
        <v/>
      </c>
      <c r="AL286">
        <f>AK286&amp;IF($M286="","",", "&amp;$M286)</f>
        <v/>
      </c>
      <c r="AM286">
        <f>AL286&amp;IF($N286="","",", "&amp;$N286)</f>
        <v/>
      </c>
      <c r="AN286">
        <f>AM286&amp;IF($O286="","",", "&amp;$O286)</f>
        <v/>
      </c>
      <c r="AO286">
        <f>AN286&amp;IF($P286="","",", "&amp;$P286)</f>
        <v/>
      </c>
      <c r="AP286">
        <f>AO286&amp;IF($Q286="","",", "&amp;$Q286)</f>
        <v/>
      </c>
      <c r="AQ286">
        <f>AP286&amp;IF($R286="","",", "&amp;$R286)</f>
        <v/>
      </c>
      <c r="AR286">
        <f>AQ286&amp;IF($S286="","",", "&amp;$S286)</f>
        <v/>
      </c>
      <c r="AS286">
        <f>AR286&amp;IF($T286="","",", "&amp;$T286)</f>
        <v/>
      </c>
      <c r="AT286">
        <f>AS286&amp;IF($U286="","",", "&amp;$U286)</f>
        <v/>
      </c>
      <c r="AU286">
        <f>AT286&amp;IF($V286="","",", "&amp;$V286)</f>
        <v/>
      </c>
      <c r="AV286">
        <f>AU286&amp;IF($W286="","",", "&amp;$W286)</f>
        <v/>
      </c>
      <c r="AW286">
        <f>AV286&amp;IF($X286="","",", "&amp;$X286)</f>
        <v/>
      </c>
      <c r="AX286">
        <f>AW286&amp;IF($Y286="","",", "&amp;$Y286)</f>
        <v/>
      </c>
    </row>
    <row r="287">
      <c r="A287" s="118">
        <f>IF($B287="","",COUNT($B$5:$B287))</f>
        <v/>
      </c>
      <c r="B287" s="80" t="n"/>
      <c r="C287" s="80" t="n"/>
      <c r="D287" s="74" t="n"/>
      <c r="E287" s="74" t="n"/>
      <c r="F287" s="74" t="n"/>
      <c r="G287" s="118">
        <f>IF($F287="","",COUNTIF($F$5:$F287,$F287))</f>
        <v/>
      </c>
      <c r="H287" s="33">
        <f>IF($F287="","",IFERROR(INDEX(사건마스터!$B$5:$B$64,MATCH($F287,사건마스터!$A$5:$A$64,0)),""))</f>
        <v/>
      </c>
      <c r="I287" s="130">
        <f>IF($F287="","",IFERROR(INDEX(사건마스터!$C$5:$C$64,MATCH($F287,사건마스터!$A$5:$A$64,0)),""))</f>
        <v/>
      </c>
      <c r="J287" s="136">
        <f>IF($F287="","",IFERROR(INDEX(사건마스터!$H$5:$H$64,MATCH($F287,사건마스터!$A$5:$A$64,0)),""))</f>
        <v/>
      </c>
      <c r="K287" s="136">
        <f>IF($F287="","",IFERROR(INDEX(사건마스터!$AH$5:$AH$64,MATCH($F287,사건마스터!$A$5:$A$64,0)),""))</f>
        <v/>
      </c>
      <c r="L287" s="136">
        <f>IF($F287="","",IFERROR(INDEX(사건마스터!$AI$5:$AI$64,MATCH($F287,사건마스터!$A$5:$A$64,0)),""))</f>
        <v/>
      </c>
      <c r="M287" s="136">
        <f>IF($F287="","",IFERROR(INDEX(사건마스터!$AJ$5:$AJ$64,MATCH($F287,사건마스터!$A$5:$A$64,0)),""))</f>
        <v/>
      </c>
      <c r="N287" s="136">
        <f>IF($F287="","",IFERROR(INDEX(사건마스터!$AK$5:$AK$64,MATCH($F287,사건마스터!$A$5:$A$64,0)),""))</f>
        <v/>
      </c>
      <c r="O287" s="136">
        <f>IF($F287="","",IFERROR(INDEX(사건마스터!$AL$5:$AL$64,MATCH($F287,사건마스터!$A$5:$A$64,0)),""))</f>
        <v/>
      </c>
      <c r="P287" s="136">
        <f>IF($F287="","",IFERROR(INDEX(사건마스터!$AM$5:$AM$64,MATCH($F287,사건마스터!$A$5:$A$64,0)),""))</f>
        <v/>
      </c>
      <c r="Q287" s="136">
        <f>IF($F287="","",IFERROR(INDEX(사건마스터!$AN$5:$AN$64,MATCH($F287,사건마스터!$A$5:$A$64,0)),""))</f>
        <v/>
      </c>
      <c r="R287" s="136">
        <f>IF($F287="","",IFERROR(INDEX(사건마스터!$AO$5:$AO$64,MATCH($F287,사건마스터!$A$5:$A$64,0)),""))</f>
        <v/>
      </c>
      <c r="S287" s="136">
        <f>IF($F287="","",IFERROR(INDEX(사건마스터!$AP$5:$AP$64,MATCH($F287,사건마스터!$A$5:$A$64,0)),""))</f>
        <v/>
      </c>
      <c r="T287" s="136">
        <f>IF($F287="","",IFERROR(INDEX(사건마스터!$AQ$5:$AQ$64,MATCH($F287,사건마스터!$A$5:$A$64,0)),""))</f>
        <v/>
      </c>
      <c r="U287" s="136">
        <f>IF($F287="","",IFERROR(INDEX(사건마스터!$AR$5:$AR$64,MATCH($F287,사건마스터!$A$5:$A$64,0)),""))</f>
        <v/>
      </c>
      <c r="V287" s="136">
        <f>IF($F287="","",IFERROR(INDEX(사건마스터!$AS$5:$AS$64,MATCH($F287,사건마스터!$A$5:$A$64,0)),""))</f>
        <v/>
      </c>
      <c r="W287" s="136">
        <f>IF($F287="","",IFERROR(INDEX(사건마스터!$AT$5:$AT$64,MATCH($F287,사건마스터!$A$5:$A$64,0)),""))</f>
        <v/>
      </c>
      <c r="X287" s="136">
        <f>IF($F287="","",IFERROR(INDEX(사건마스터!$AU$5:$AU$64,MATCH($F287,사건마스터!$A$5:$A$64,0)),""))</f>
        <v/>
      </c>
      <c r="Y287" s="136">
        <f>IF($F287="","",IFERROR(INDEX(사건마스터!$AV$5:$AV$64,MATCH($F287,사건마스터!$A$5:$A$64,0)),""))</f>
        <v/>
      </c>
      <c r="Z287" s="118">
        <f>IF(COUNTBLANK($J287:$Y287)=16,"",16-COUNTBLANK($J287:$Y287))</f>
        <v/>
      </c>
      <c r="AA287" s="33">
        <f>IF($J287="",MID($AX287,3,255),$J287&amp;$AX287)</f>
        <v/>
      </c>
      <c r="AB287" s="130">
        <f>IF($J287="","",IFERROR(INDEX(코드설정!$D$5:$D$24,MATCH($J287,코드설정!$C$5:$C$24,0)),""))</f>
        <v/>
      </c>
      <c r="AC287" s="36" t="n"/>
      <c r="AD287" s="37" t="n"/>
      <c r="AE287" s="38" t="n"/>
      <c r="AF287" s="118">
        <f>IF(OR($B287="",$C287=""),"",$C287-$B287+1)</f>
        <v/>
      </c>
      <c r="AG287" s="74" t="n"/>
      <c r="AH287" s="36" t="n"/>
      <c r="AJ287">
        <f>IF($K287="","",", "&amp;$K287)</f>
        <v/>
      </c>
      <c r="AK287">
        <f>AJ287&amp;IF($L287="","",", "&amp;$L287)</f>
        <v/>
      </c>
      <c r="AL287">
        <f>AK287&amp;IF($M287="","",", "&amp;$M287)</f>
        <v/>
      </c>
      <c r="AM287">
        <f>AL287&amp;IF($N287="","",", "&amp;$N287)</f>
        <v/>
      </c>
      <c r="AN287">
        <f>AM287&amp;IF($O287="","",", "&amp;$O287)</f>
        <v/>
      </c>
      <c r="AO287">
        <f>AN287&amp;IF($P287="","",", "&amp;$P287)</f>
        <v/>
      </c>
      <c r="AP287">
        <f>AO287&amp;IF($Q287="","",", "&amp;$Q287)</f>
        <v/>
      </c>
      <c r="AQ287">
        <f>AP287&amp;IF($R287="","",", "&amp;$R287)</f>
        <v/>
      </c>
      <c r="AR287">
        <f>AQ287&amp;IF($S287="","",", "&amp;$S287)</f>
        <v/>
      </c>
      <c r="AS287">
        <f>AR287&amp;IF($T287="","",", "&amp;$T287)</f>
        <v/>
      </c>
      <c r="AT287">
        <f>AS287&amp;IF($U287="","",", "&amp;$U287)</f>
        <v/>
      </c>
      <c r="AU287">
        <f>AT287&amp;IF($V287="","",", "&amp;$V287)</f>
        <v/>
      </c>
      <c r="AV287">
        <f>AU287&amp;IF($W287="","",", "&amp;$W287)</f>
        <v/>
      </c>
      <c r="AW287">
        <f>AV287&amp;IF($X287="","",", "&amp;$X287)</f>
        <v/>
      </c>
      <c r="AX287">
        <f>AW287&amp;IF($Y287="","",", "&amp;$Y287)</f>
        <v/>
      </c>
    </row>
    <row r="288">
      <c r="A288" s="118">
        <f>IF($B288="","",COUNT($B$5:$B288))</f>
        <v/>
      </c>
      <c r="B288" s="80" t="n"/>
      <c r="C288" s="80" t="n"/>
      <c r="D288" s="74" t="n"/>
      <c r="E288" s="74" t="n"/>
      <c r="F288" s="74" t="n"/>
      <c r="G288" s="118">
        <f>IF($F288="","",COUNTIF($F$5:$F288,$F288))</f>
        <v/>
      </c>
      <c r="H288" s="33">
        <f>IF($F288="","",IFERROR(INDEX(사건마스터!$B$5:$B$64,MATCH($F288,사건마스터!$A$5:$A$64,0)),""))</f>
        <v/>
      </c>
      <c r="I288" s="130">
        <f>IF($F288="","",IFERROR(INDEX(사건마스터!$C$5:$C$64,MATCH($F288,사건마스터!$A$5:$A$64,0)),""))</f>
        <v/>
      </c>
      <c r="J288" s="136">
        <f>IF($F288="","",IFERROR(INDEX(사건마스터!$H$5:$H$64,MATCH($F288,사건마스터!$A$5:$A$64,0)),""))</f>
        <v/>
      </c>
      <c r="K288" s="136">
        <f>IF($F288="","",IFERROR(INDEX(사건마스터!$AH$5:$AH$64,MATCH($F288,사건마스터!$A$5:$A$64,0)),""))</f>
        <v/>
      </c>
      <c r="L288" s="136">
        <f>IF($F288="","",IFERROR(INDEX(사건마스터!$AI$5:$AI$64,MATCH($F288,사건마스터!$A$5:$A$64,0)),""))</f>
        <v/>
      </c>
      <c r="M288" s="136">
        <f>IF($F288="","",IFERROR(INDEX(사건마스터!$AJ$5:$AJ$64,MATCH($F288,사건마스터!$A$5:$A$64,0)),""))</f>
        <v/>
      </c>
      <c r="N288" s="136">
        <f>IF($F288="","",IFERROR(INDEX(사건마스터!$AK$5:$AK$64,MATCH($F288,사건마스터!$A$5:$A$64,0)),""))</f>
        <v/>
      </c>
      <c r="O288" s="136">
        <f>IF($F288="","",IFERROR(INDEX(사건마스터!$AL$5:$AL$64,MATCH($F288,사건마스터!$A$5:$A$64,0)),""))</f>
        <v/>
      </c>
      <c r="P288" s="136">
        <f>IF($F288="","",IFERROR(INDEX(사건마스터!$AM$5:$AM$64,MATCH($F288,사건마스터!$A$5:$A$64,0)),""))</f>
        <v/>
      </c>
      <c r="Q288" s="136">
        <f>IF($F288="","",IFERROR(INDEX(사건마스터!$AN$5:$AN$64,MATCH($F288,사건마스터!$A$5:$A$64,0)),""))</f>
        <v/>
      </c>
      <c r="R288" s="136">
        <f>IF($F288="","",IFERROR(INDEX(사건마스터!$AO$5:$AO$64,MATCH($F288,사건마스터!$A$5:$A$64,0)),""))</f>
        <v/>
      </c>
      <c r="S288" s="136">
        <f>IF($F288="","",IFERROR(INDEX(사건마스터!$AP$5:$AP$64,MATCH($F288,사건마스터!$A$5:$A$64,0)),""))</f>
        <v/>
      </c>
      <c r="T288" s="136">
        <f>IF($F288="","",IFERROR(INDEX(사건마스터!$AQ$5:$AQ$64,MATCH($F288,사건마스터!$A$5:$A$64,0)),""))</f>
        <v/>
      </c>
      <c r="U288" s="136">
        <f>IF($F288="","",IFERROR(INDEX(사건마스터!$AR$5:$AR$64,MATCH($F288,사건마스터!$A$5:$A$64,0)),""))</f>
        <v/>
      </c>
      <c r="V288" s="136">
        <f>IF($F288="","",IFERROR(INDEX(사건마스터!$AS$5:$AS$64,MATCH($F288,사건마스터!$A$5:$A$64,0)),""))</f>
        <v/>
      </c>
      <c r="W288" s="136">
        <f>IF($F288="","",IFERROR(INDEX(사건마스터!$AT$5:$AT$64,MATCH($F288,사건마스터!$A$5:$A$64,0)),""))</f>
        <v/>
      </c>
      <c r="X288" s="136">
        <f>IF($F288="","",IFERROR(INDEX(사건마스터!$AU$5:$AU$64,MATCH($F288,사건마스터!$A$5:$A$64,0)),""))</f>
        <v/>
      </c>
      <c r="Y288" s="136">
        <f>IF($F288="","",IFERROR(INDEX(사건마스터!$AV$5:$AV$64,MATCH($F288,사건마스터!$A$5:$A$64,0)),""))</f>
        <v/>
      </c>
      <c r="Z288" s="118">
        <f>IF(COUNTBLANK($J288:$Y288)=16,"",16-COUNTBLANK($J288:$Y288))</f>
        <v/>
      </c>
      <c r="AA288" s="33">
        <f>IF($J288="",MID($AX288,3,255),$J288&amp;$AX288)</f>
        <v/>
      </c>
      <c r="AB288" s="130">
        <f>IF($J288="","",IFERROR(INDEX(코드설정!$D$5:$D$24,MATCH($J288,코드설정!$C$5:$C$24,0)),""))</f>
        <v/>
      </c>
      <c r="AC288" s="36" t="n"/>
      <c r="AD288" s="37" t="n"/>
      <c r="AE288" s="38" t="n"/>
      <c r="AF288" s="118">
        <f>IF(OR($B288="",$C288=""),"",$C288-$B288+1)</f>
        <v/>
      </c>
      <c r="AG288" s="74" t="n"/>
      <c r="AH288" s="36" t="n"/>
      <c r="AJ288">
        <f>IF($K288="","",", "&amp;$K288)</f>
        <v/>
      </c>
      <c r="AK288">
        <f>AJ288&amp;IF($L288="","",", "&amp;$L288)</f>
        <v/>
      </c>
      <c r="AL288">
        <f>AK288&amp;IF($M288="","",", "&amp;$M288)</f>
        <v/>
      </c>
      <c r="AM288">
        <f>AL288&amp;IF($N288="","",", "&amp;$N288)</f>
        <v/>
      </c>
      <c r="AN288">
        <f>AM288&amp;IF($O288="","",", "&amp;$O288)</f>
        <v/>
      </c>
      <c r="AO288">
        <f>AN288&amp;IF($P288="","",", "&amp;$P288)</f>
        <v/>
      </c>
      <c r="AP288">
        <f>AO288&amp;IF($Q288="","",", "&amp;$Q288)</f>
        <v/>
      </c>
      <c r="AQ288">
        <f>AP288&amp;IF($R288="","",", "&amp;$R288)</f>
        <v/>
      </c>
      <c r="AR288">
        <f>AQ288&amp;IF($S288="","",", "&amp;$S288)</f>
        <v/>
      </c>
      <c r="AS288">
        <f>AR288&amp;IF($T288="","",", "&amp;$T288)</f>
        <v/>
      </c>
      <c r="AT288">
        <f>AS288&amp;IF($U288="","",", "&amp;$U288)</f>
        <v/>
      </c>
      <c r="AU288">
        <f>AT288&amp;IF($V288="","",", "&amp;$V288)</f>
        <v/>
      </c>
      <c r="AV288">
        <f>AU288&amp;IF($W288="","",", "&amp;$W288)</f>
        <v/>
      </c>
      <c r="AW288">
        <f>AV288&amp;IF($X288="","",", "&amp;$X288)</f>
        <v/>
      </c>
      <c r="AX288">
        <f>AW288&amp;IF($Y288="","",", "&amp;$Y288)</f>
        <v/>
      </c>
    </row>
    <row r="289">
      <c r="A289" s="118">
        <f>IF($B289="","",COUNT($B$5:$B289))</f>
        <v/>
      </c>
      <c r="B289" s="80" t="n"/>
      <c r="C289" s="80" t="n"/>
      <c r="D289" s="74" t="n"/>
      <c r="E289" s="74" t="n"/>
      <c r="F289" s="74" t="n"/>
      <c r="G289" s="118">
        <f>IF($F289="","",COUNTIF($F$5:$F289,$F289))</f>
        <v/>
      </c>
      <c r="H289" s="33">
        <f>IF($F289="","",IFERROR(INDEX(사건마스터!$B$5:$B$64,MATCH($F289,사건마스터!$A$5:$A$64,0)),""))</f>
        <v/>
      </c>
      <c r="I289" s="130">
        <f>IF($F289="","",IFERROR(INDEX(사건마스터!$C$5:$C$64,MATCH($F289,사건마스터!$A$5:$A$64,0)),""))</f>
        <v/>
      </c>
      <c r="J289" s="136">
        <f>IF($F289="","",IFERROR(INDEX(사건마스터!$H$5:$H$64,MATCH($F289,사건마스터!$A$5:$A$64,0)),""))</f>
        <v/>
      </c>
      <c r="K289" s="136">
        <f>IF($F289="","",IFERROR(INDEX(사건마스터!$AH$5:$AH$64,MATCH($F289,사건마스터!$A$5:$A$64,0)),""))</f>
        <v/>
      </c>
      <c r="L289" s="136">
        <f>IF($F289="","",IFERROR(INDEX(사건마스터!$AI$5:$AI$64,MATCH($F289,사건마스터!$A$5:$A$64,0)),""))</f>
        <v/>
      </c>
      <c r="M289" s="136">
        <f>IF($F289="","",IFERROR(INDEX(사건마스터!$AJ$5:$AJ$64,MATCH($F289,사건마스터!$A$5:$A$64,0)),""))</f>
        <v/>
      </c>
      <c r="N289" s="136">
        <f>IF($F289="","",IFERROR(INDEX(사건마스터!$AK$5:$AK$64,MATCH($F289,사건마스터!$A$5:$A$64,0)),""))</f>
        <v/>
      </c>
      <c r="O289" s="136">
        <f>IF($F289="","",IFERROR(INDEX(사건마스터!$AL$5:$AL$64,MATCH($F289,사건마스터!$A$5:$A$64,0)),""))</f>
        <v/>
      </c>
      <c r="P289" s="136">
        <f>IF($F289="","",IFERROR(INDEX(사건마스터!$AM$5:$AM$64,MATCH($F289,사건마스터!$A$5:$A$64,0)),""))</f>
        <v/>
      </c>
      <c r="Q289" s="136">
        <f>IF($F289="","",IFERROR(INDEX(사건마스터!$AN$5:$AN$64,MATCH($F289,사건마스터!$A$5:$A$64,0)),""))</f>
        <v/>
      </c>
      <c r="R289" s="136">
        <f>IF($F289="","",IFERROR(INDEX(사건마스터!$AO$5:$AO$64,MATCH($F289,사건마스터!$A$5:$A$64,0)),""))</f>
        <v/>
      </c>
      <c r="S289" s="136">
        <f>IF($F289="","",IFERROR(INDEX(사건마스터!$AP$5:$AP$64,MATCH($F289,사건마스터!$A$5:$A$64,0)),""))</f>
        <v/>
      </c>
      <c r="T289" s="136">
        <f>IF($F289="","",IFERROR(INDEX(사건마스터!$AQ$5:$AQ$64,MATCH($F289,사건마스터!$A$5:$A$64,0)),""))</f>
        <v/>
      </c>
      <c r="U289" s="136">
        <f>IF($F289="","",IFERROR(INDEX(사건마스터!$AR$5:$AR$64,MATCH($F289,사건마스터!$A$5:$A$64,0)),""))</f>
        <v/>
      </c>
      <c r="V289" s="136">
        <f>IF($F289="","",IFERROR(INDEX(사건마스터!$AS$5:$AS$64,MATCH($F289,사건마스터!$A$5:$A$64,0)),""))</f>
        <v/>
      </c>
      <c r="W289" s="136">
        <f>IF($F289="","",IFERROR(INDEX(사건마스터!$AT$5:$AT$64,MATCH($F289,사건마스터!$A$5:$A$64,0)),""))</f>
        <v/>
      </c>
      <c r="X289" s="136">
        <f>IF($F289="","",IFERROR(INDEX(사건마스터!$AU$5:$AU$64,MATCH($F289,사건마스터!$A$5:$A$64,0)),""))</f>
        <v/>
      </c>
      <c r="Y289" s="136">
        <f>IF($F289="","",IFERROR(INDEX(사건마스터!$AV$5:$AV$64,MATCH($F289,사건마스터!$A$5:$A$64,0)),""))</f>
        <v/>
      </c>
      <c r="Z289" s="118">
        <f>IF(COUNTBLANK($J289:$Y289)=16,"",16-COUNTBLANK($J289:$Y289))</f>
        <v/>
      </c>
      <c r="AA289" s="33">
        <f>IF($J289="",MID($AX289,3,255),$J289&amp;$AX289)</f>
        <v/>
      </c>
      <c r="AB289" s="130">
        <f>IF($J289="","",IFERROR(INDEX(코드설정!$D$5:$D$24,MATCH($J289,코드설정!$C$5:$C$24,0)),""))</f>
        <v/>
      </c>
      <c r="AC289" s="36" t="n"/>
      <c r="AD289" s="37" t="n"/>
      <c r="AE289" s="38" t="n"/>
      <c r="AF289" s="118">
        <f>IF(OR($B289="",$C289=""),"",$C289-$B289+1)</f>
        <v/>
      </c>
      <c r="AG289" s="74" t="n"/>
      <c r="AH289" s="36" t="n"/>
      <c r="AJ289">
        <f>IF($K289="","",", "&amp;$K289)</f>
        <v/>
      </c>
      <c r="AK289">
        <f>AJ289&amp;IF($L289="","",", "&amp;$L289)</f>
        <v/>
      </c>
      <c r="AL289">
        <f>AK289&amp;IF($M289="","",", "&amp;$M289)</f>
        <v/>
      </c>
      <c r="AM289">
        <f>AL289&amp;IF($N289="","",", "&amp;$N289)</f>
        <v/>
      </c>
      <c r="AN289">
        <f>AM289&amp;IF($O289="","",", "&amp;$O289)</f>
        <v/>
      </c>
      <c r="AO289">
        <f>AN289&amp;IF($P289="","",", "&amp;$P289)</f>
        <v/>
      </c>
      <c r="AP289">
        <f>AO289&amp;IF($Q289="","",", "&amp;$Q289)</f>
        <v/>
      </c>
      <c r="AQ289">
        <f>AP289&amp;IF($R289="","",", "&amp;$R289)</f>
        <v/>
      </c>
      <c r="AR289">
        <f>AQ289&amp;IF($S289="","",", "&amp;$S289)</f>
        <v/>
      </c>
      <c r="AS289">
        <f>AR289&amp;IF($T289="","",", "&amp;$T289)</f>
        <v/>
      </c>
      <c r="AT289">
        <f>AS289&amp;IF($U289="","",", "&amp;$U289)</f>
        <v/>
      </c>
      <c r="AU289">
        <f>AT289&amp;IF($V289="","",", "&amp;$V289)</f>
        <v/>
      </c>
      <c r="AV289">
        <f>AU289&amp;IF($W289="","",", "&amp;$W289)</f>
        <v/>
      </c>
      <c r="AW289">
        <f>AV289&amp;IF($X289="","",", "&amp;$X289)</f>
        <v/>
      </c>
      <c r="AX289">
        <f>AW289&amp;IF($Y289="","",", "&amp;$Y289)</f>
        <v/>
      </c>
    </row>
    <row r="290">
      <c r="A290" s="118">
        <f>IF($B290="","",COUNT($B$5:$B290))</f>
        <v/>
      </c>
      <c r="B290" s="80" t="n"/>
      <c r="C290" s="80" t="n"/>
      <c r="D290" s="74" t="n"/>
      <c r="E290" s="74" t="n"/>
      <c r="F290" s="74" t="n"/>
      <c r="G290" s="118">
        <f>IF($F290="","",COUNTIF($F$5:$F290,$F290))</f>
        <v/>
      </c>
      <c r="H290" s="33">
        <f>IF($F290="","",IFERROR(INDEX(사건마스터!$B$5:$B$64,MATCH($F290,사건마스터!$A$5:$A$64,0)),""))</f>
        <v/>
      </c>
      <c r="I290" s="130">
        <f>IF($F290="","",IFERROR(INDEX(사건마스터!$C$5:$C$64,MATCH($F290,사건마스터!$A$5:$A$64,0)),""))</f>
        <v/>
      </c>
      <c r="J290" s="136">
        <f>IF($F290="","",IFERROR(INDEX(사건마스터!$H$5:$H$64,MATCH($F290,사건마스터!$A$5:$A$64,0)),""))</f>
        <v/>
      </c>
      <c r="K290" s="136">
        <f>IF($F290="","",IFERROR(INDEX(사건마스터!$AH$5:$AH$64,MATCH($F290,사건마스터!$A$5:$A$64,0)),""))</f>
        <v/>
      </c>
      <c r="L290" s="136">
        <f>IF($F290="","",IFERROR(INDEX(사건마스터!$AI$5:$AI$64,MATCH($F290,사건마스터!$A$5:$A$64,0)),""))</f>
        <v/>
      </c>
      <c r="M290" s="136">
        <f>IF($F290="","",IFERROR(INDEX(사건마스터!$AJ$5:$AJ$64,MATCH($F290,사건마스터!$A$5:$A$64,0)),""))</f>
        <v/>
      </c>
      <c r="N290" s="136">
        <f>IF($F290="","",IFERROR(INDEX(사건마스터!$AK$5:$AK$64,MATCH($F290,사건마스터!$A$5:$A$64,0)),""))</f>
        <v/>
      </c>
      <c r="O290" s="136">
        <f>IF($F290="","",IFERROR(INDEX(사건마스터!$AL$5:$AL$64,MATCH($F290,사건마스터!$A$5:$A$64,0)),""))</f>
        <v/>
      </c>
      <c r="P290" s="136">
        <f>IF($F290="","",IFERROR(INDEX(사건마스터!$AM$5:$AM$64,MATCH($F290,사건마스터!$A$5:$A$64,0)),""))</f>
        <v/>
      </c>
      <c r="Q290" s="136">
        <f>IF($F290="","",IFERROR(INDEX(사건마스터!$AN$5:$AN$64,MATCH($F290,사건마스터!$A$5:$A$64,0)),""))</f>
        <v/>
      </c>
      <c r="R290" s="136">
        <f>IF($F290="","",IFERROR(INDEX(사건마스터!$AO$5:$AO$64,MATCH($F290,사건마스터!$A$5:$A$64,0)),""))</f>
        <v/>
      </c>
      <c r="S290" s="136">
        <f>IF($F290="","",IFERROR(INDEX(사건마스터!$AP$5:$AP$64,MATCH($F290,사건마스터!$A$5:$A$64,0)),""))</f>
        <v/>
      </c>
      <c r="T290" s="136">
        <f>IF($F290="","",IFERROR(INDEX(사건마스터!$AQ$5:$AQ$64,MATCH($F290,사건마스터!$A$5:$A$64,0)),""))</f>
        <v/>
      </c>
      <c r="U290" s="136">
        <f>IF($F290="","",IFERROR(INDEX(사건마스터!$AR$5:$AR$64,MATCH($F290,사건마스터!$A$5:$A$64,0)),""))</f>
        <v/>
      </c>
      <c r="V290" s="136">
        <f>IF($F290="","",IFERROR(INDEX(사건마스터!$AS$5:$AS$64,MATCH($F290,사건마스터!$A$5:$A$64,0)),""))</f>
        <v/>
      </c>
      <c r="W290" s="136">
        <f>IF($F290="","",IFERROR(INDEX(사건마스터!$AT$5:$AT$64,MATCH($F290,사건마스터!$A$5:$A$64,0)),""))</f>
        <v/>
      </c>
      <c r="X290" s="136">
        <f>IF($F290="","",IFERROR(INDEX(사건마스터!$AU$5:$AU$64,MATCH($F290,사건마스터!$A$5:$A$64,0)),""))</f>
        <v/>
      </c>
      <c r="Y290" s="136">
        <f>IF($F290="","",IFERROR(INDEX(사건마스터!$AV$5:$AV$64,MATCH($F290,사건마스터!$A$5:$A$64,0)),""))</f>
        <v/>
      </c>
      <c r="Z290" s="118">
        <f>IF(COUNTBLANK($J290:$Y290)=16,"",16-COUNTBLANK($J290:$Y290))</f>
        <v/>
      </c>
      <c r="AA290" s="33">
        <f>IF($J290="",MID($AX290,3,255),$J290&amp;$AX290)</f>
        <v/>
      </c>
      <c r="AB290" s="130">
        <f>IF($J290="","",IFERROR(INDEX(코드설정!$D$5:$D$24,MATCH($J290,코드설정!$C$5:$C$24,0)),""))</f>
        <v/>
      </c>
      <c r="AC290" s="36" t="n"/>
      <c r="AD290" s="37" t="n"/>
      <c r="AE290" s="38" t="n"/>
      <c r="AF290" s="118">
        <f>IF(OR($B290="",$C290=""),"",$C290-$B290+1)</f>
        <v/>
      </c>
      <c r="AG290" s="74" t="n"/>
      <c r="AH290" s="36" t="n"/>
      <c r="AJ290">
        <f>IF($K290="","",", "&amp;$K290)</f>
        <v/>
      </c>
      <c r="AK290">
        <f>AJ290&amp;IF($L290="","",", "&amp;$L290)</f>
        <v/>
      </c>
      <c r="AL290">
        <f>AK290&amp;IF($M290="","",", "&amp;$M290)</f>
        <v/>
      </c>
      <c r="AM290">
        <f>AL290&amp;IF($N290="","",", "&amp;$N290)</f>
        <v/>
      </c>
      <c r="AN290">
        <f>AM290&amp;IF($O290="","",", "&amp;$O290)</f>
        <v/>
      </c>
      <c r="AO290">
        <f>AN290&amp;IF($P290="","",", "&amp;$P290)</f>
        <v/>
      </c>
      <c r="AP290">
        <f>AO290&amp;IF($Q290="","",", "&amp;$Q290)</f>
        <v/>
      </c>
      <c r="AQ290">
        <f>AP290&amp;IF($R290="","",", "&amp;$R290)</f>
        <v/>
      </c>
      <c r="AR290">
        <f>AQ290&amp;IF($S290="","",", "&amp;$S290)</f>
        <v/>
      </c>
      <c r="AS290">
        <f>AR290&amp;IF($T290="","",", "&amp;$T290)</f>
        <v/>
      </c>
      <c r="AT290">
        <f>AS290&amp;IF($U290="","",", "&amp;$U290)</f>
        <v/>
      </c>
      <c r="AU290">
        <f>AT290&amp;IF($V290="","",", "&amp;$V290)</f>
        <v/>
      </c>
      <c r="AV290">
        <f>AU290&amp;IF($W290="","",", "&amp;$W290)</f>
        <v/>
      </c>
      <c r="AW290">
        <f>AV290&amp;IF($X290="","",", "&amp;$X290)</f>
        <v/>
      </c>
      <c r="AX290">
        <f>AW290&amp;IF($Y290="","",", "&amp;$Y290)</f>
        <v/>
      </c>
    </row>
    <row r="291">
      <c r="A291" s="118">
        <f>IF($B291="","",COUNT($B$5:$B291))</f>
        <v/>
      </c>
      <c r="B291" s="80" t="n"/>
      <c r="C291" s="80" t="n"/>
      <c r="D291" s="74" t="n"/>
      <c r="E291" s="74" t="n"/>
      <c r="F291" s="74" t="n"/>
      <c r="G291" s="118">
        <f>IF($F291="","",COUNTIF($F$5:$F291,$F291))</f>
        <v/>
      </c>
      <c r="H291" s="33">
        <f>IF($F291="","",IFERROR(INDEX(사건마스터!$B$5:$B$64,MATCH($F291,사건마스터!$A$5:$A$64,0)),""))</f>
        <v/>
      </c>
      <c r="I291" s="130">
        <f>IF($F291="","",IFERROR(INDEX(사건마스터!$C$5:$C$64,MATCH($F291,사건마스터!$A$5:$A$64,0)),""))</f>
        <v/>
      </c>
      <c r="J291" s="136">
        <f>IF($F291="","",IFERROR(INDEX(사건마스터!$H$5:$H$64,MATCH($F291,사건마스터!$A$5:$A$64,0)),""))</f>
        <v/>
      </c>
      <c r="K291" s="136">
        <f>IF($F291="","",IFERROR(INDEX(사건마스터!$AH$5:$AH$64,MATCH($F291,사건마스터!$A$5:$A$64,0)),""))</f>
        <v/>
      </c>
      <c r="L291" s="136">
        <f>IF($F291="","",IFERROR(INDEX(사건마스터!$AI$5:$AI$64,MATCH($F291,사건마스터!$A$5:$A$64,0)),""))</f>
        <v/>
      </c>
      <c r="M291" s="136">
        <f>IF($F291="","",IFERROR(INDEX(사건마스터!$AJ$5:$AJ$64,MATCH($F291,사건마스터!$A$5:$A$64,0)),""))</f>
        <v/>
      </c>
      <c r="N291" s="136">
        <f>IF($F291="","",IFERROR(INDEX(사건마스터!$AK$5:$AK$64,MATCH($F291,사건마스터!$A$5:$A$64,0)),""))</f>
        <v/>
      </c>
      <c r="O291" s="136">
        <f>IF($F291="","",IFERROR(INDEX(사건마스터!$AL$5:$AL$64,MATCH($F291,사건마스터!$A$5:$A$64,0)),""))</f>
        <v/>
      </c>
      <c r="P291" s="136">
        <f>IF($F291="","",IFERROR(INDEX(사건마스터!$AM$5:$AM$64,MATCH($F291,사건마스터!$A$5:$A$64,0)),""))</f>
        <v/>
      </c>
      <c r="Q291" s="136">
        <f>IF($F291="","",IFERROR(INDEX(사건마스터!$AN$5:$AN$64,MATCH($F291,사건마스터!$A$5:$A$64,0)),""))</f>
        <v/>
      </c>
      <c r="R291" s="136">
        <f>IF($F291="","",IFERROR(INDEX(사건마스터!$AO$5:$AO$64,MATCH($F291,사건마스터!$A$5:$A$64,0)),""))</f>
        <v/>
      </c>
      <c r="S291" s="136">
        <f>IF($F291="","",IFERROR(INDEX(사건마스터!$AP$5:$AP$64,MATCH($F291,사건마스터!$A$5:$A$64,0)),""))</f>
        <v/>
      </c>
      <c r="T291" s="136">
        <f>IF($F291="","",IFERROR(INDEX(사건마스터!$AQ$5:$AQ$64,MATCH($F291,사건마스터!$A$5:$A$64,0)),""))</f>
        <v/>
      </c>
      <c r="U291" s="136">
        <f>IF($F291="","",IFERROR(INDEX(사건마스터!$AR$5:$AR$64,MATCH($F291,사건마스터!$A$5:$A$64,0)),""))</f>
        <v/>
      </c>
      <c r="V291" s="136">
        <f>IF($F291="","",IFERROR(INDEX(사건마스터!$AS$5:$AS$64,MATCH($F291,사건마스터!$A$5:$A$64,0)),""))</f>
        <v/>
      </c>
      <c r="W291" s="136">
        <f>IF($F291="","",IFERROR(INDEX(사건마스터!$AT$5:$AT$64,MATCH($F291,사건마스터!$A$5:$A$64,0)),""))</f>
        <v/>
      </c>
      <c r="X291" s="136">
        <f>IF($F291="","",IFERROR(INDEX(사건마스터!$AU$5:$AU$64,MATCH($F291,사건마스터!$A$5:$A$64,0)),""))</f>
        <v/>
      </c>
      <c r="Y291" s="136">
        <f>IF($F291="","",IFERROR(INDEX(사건마스터!$AV$5:$AV$64,MATCH($F291,사건마스터!$A$5:$A$64,0)),""))</f>
        <v/>
      </c>
      <c r="Z291" s="118">
        <f>IF(COUNTBLANK($J291:$Y291)=16,"",16-COUNTBLANK($J291:$Y291))</f>
        <v/>
      </c>
      <c r="AA291" s="33">
        <f>IF($J291="",MID($AX291,3,255),$J291&amp;$AX291)</f>
        <v/>
      </c>
      <c r="AB291" s="130">
        <f>IF($J291="","",IFERROR(INDEX(코드설정!$D$5:$D$24,MATCH($J291,코드설정!$C$5:$C$24,0)),""))</f>
        <v/>
      </c>
      <c r="AC291" s="36" t="n"/>
      <c r="AD291" s="37" t="n"/>
      <c r="AE291" s="38" t="n"/>
      <c r="AF291" s="118">
        <f>IF(OR($B291="",$C291=""),"",$C291-$B291+1)</f>
        <v/>
      </c>
      <c r="AG291" s="74" t="n"/>
      <c r="AH291" s="36" t="n"/>
      <c r="AJ291">
        <f>IF($K291="","",", "&amp;$K291)</f>
        <v/>
      </c>
      <c r="AK291">
        <f>AJ291&amp;IF($L291="","",", "&amp;$L291)</f>
        <v/>
      </c>
      <c r="AL291">
        <f>AK291&amp;IF($M291="","",", "&amp;$M291)</f>
        <v/>
      </c>
      <c r="AM291">
        <f>AL291&amp;IF($N291="","",", "&amp;$N291)</f>
        <v/>
      </c>
      <c r="AN291">
        <f>AM291&amp;IF($O291="","",", "&amp;$O291)</f>
        <v/>
      </c>
      <c r="AO291">
        <f>AN291&amp;IF($P291="","",", "&amp;$P291)</f>
        <v/>
      </c>
      <c r="AP291">
        <f>AO291&amp;IF($Q291="","",", "&amp;$Q291)</f>
        <v/>
      </c>
      <c r="AQ291">
        <f>AP291&amp;IF($R291="","",", "&amp;$R291)</f>
        <v/>
      </c>
      <c r="AR291">
        <f>AQ291&amp;IF($S291="","",", "&amp;$S291)</f>
        <v/>
      </c>
      <c r="AS291">
        <f>AR291&amp;IF($T291="","",", "&amp;$T291)</f>
        <v/>
      </c>
      <c r="AT291">
        <f>AS291&amp;IF($U291="","",", "&amp;$U291)</f>
        <v/>
      </c>
      <c r="AU291">
        <f>AT291&amp;IF($V291="","",", "&amp;$V291)</f>
        <v/>
      </c>
      <c r="AV291">
        <f>AU291&amp;IF($W291="","",", "&amp;$W291)</f>
        <v/>
      </c>
      <c r="AW291">
        <f>AV291&amp;IF($X291="","",", "&amp;$X291)</f>
        <v/>
      </c>
      <c r="AX291">
        <f>AW291&amp;IF($Y291="","",", "&amp;$Y291)</f>
        <v/>
      </c>
    </row>
    <row r="292">
      <c r="A292" s="118">
        <f>IF($B292="","",COUNT($B$5:$B292))</f>
        <v/>
      </c>
      <c r="B292" s="80" t="n"/>
      <c r="C292" s="80" t="n"/>
      <c r="D292" s="74" t="n"/>
      <c r="E292" s="74" t="n"/>
      <c r="F292" s="74" t="n"/>
      <c r="G292" s="118">
        <f>IF($F292="","",COUNTIF($F$5:$F292,$F292))</f>
        <v/>
      </c>
      <c r="H292" s="33">
        <f>IF($F292="","",IFERROR(INDEX(사건마스터!$B$5:$B$64,MATCH($F292,사건마스터!$A$5:$A$64,0)),""))</f>
        <v/>
      </c>
      <c r="I292" s="130">
        <f>IF($F292="","",IFERROR(INDEX(사건마스터!$C$5:$C$64,MATCH($F292,사건마스터!$A$5:$A$64,0)),""))</f>
        <v/>
      </c>
      <c r="J292" s="136">
        <f>IF($F292="","",IFERROR(INDEX(사건마스터!$H$5:$H$64,MATCH($F292,사건마스터!$A$5:$A$64,0)),""))</f>
        <v/>
      </c>
      <c r="K292" s="136">
        <f>IF($F292="","",IFERROR(INDEX(사건마스터!$AH$5:$AH$64,MATCH($F292,사건마스터!$A$5:$A$64,0)),""))</f>
        <v/>
      </c>
      <c r="L292" s="136">
        <f>IF($F292="","",IFERROR(INDEX(사건마스터!$AI$5:$AI$64,MATCH($F292,사건마스터!$A$5:$A$64,0)),""))</f>
        <v/>
      </c>
      <c r="M292" s="136">
        <f>IF($F292="","",IFERROR(INDEX(사건마스터!$AJ$5:$AJ$64,MATCH($F292,사건마스터!$A$5:$A$64,0)),""))</f>
        <v/>
      </c>
      <c r="N292" s="136">
        <f>IF($F292="","",IFERROR(INDEX(사건마스터!$AK$5:$AK$64,MATCH($F292,사건마스터!$A$5:$A$64,0)),""))</f>
        <v/>
      </c>
      <c r="O292" s="136">
        <f>IF($F292="","",IFERROR(INDEX(사건마스터!$AL$5:$AL$64,MATCH($F292,사건마스터!$A$5:$A$64,0)),""))</f>
        <v/>
      </c>
      <c r="P292" s="136">
        <f>IF($F292="","",IFERROR(INDEX(사건마스터!$AM$5:$AM$64,MATCH($F292,사건마스터!$A$5:$A$64,0)),""))</f>
        <v/>
      </c>
      <c r="Q292" s="136">
        <f>IF($F292="","",IFERROR(INDEX(사건마스터!$AN$5:$AN$64,MATCH($F292,사건마스터!$A$5:$A$64,0)),""))</f>
        <v/>
      </c>
      <c r="R292" s="136">
        <f>IF($F292="","",IFERROR(INDEX(사건마스터!$AO$5:$AO$64,MATCH($F292,사건마스터!$A$5:$A$64,0)),""))</f>
        <v/>
      </c>
      <c r="S292" s="136">
        <f>IF($F292="","",IFERROR(INDEX(사건마스터!$AP$5:$AP$64,MATCH($F292,사건마스터!$A$5:$A$64,0)),""))</f>
        <v/>
      </c>
      <c r="T292" s="136">
        <f>IF($F292="","",IFERROR(INDEX(사건마스터!$AQ$5:$AQ$64,MATCH($F292,사건마스터!$A$5:$A$64,0)),""))</f>
        <v/>
      </c>
      <c r="U292" s="136">
        <f>IF($F292="","",IFERROR(INDEX(사건마스터!$AR$5:$AR$64,MATCH($F292,사건마스터!$A$5:$A$64,0)),""))</f>
        <v/>
      </c>
      <c r="V292" s="136">
        <f>IF($F292="","",IFERROR(INDEX(사건마스터!$AS$5:$AS$64,MATCH($F292,사건마스터!$A$5:$A$64,0)),""))</f>
        <v/>
      </c>
      <c r="W292" s="136">
        <f>IF($F292="","",IFERROR(INDEX(사건마스터!$AT$5:$AT$64,MATCH($F292,사건마스터!$A$5:$A$64,0)),""))</f>
        <v/>
      </c>
      <c r="X292" s="136">
        <f>IF($F292="","",IFERROR(INDEX(사건마스터!$AU$5:$AU$64,MATCH($F292,사건마스터!$A$5:$A$64,0)),""))</f>
        <v/>
      </c>
      <c r="Y292" s="136">
        <f>IF($F292="","",IFERROR(INDEX(사건마스터!$AV$5:$AV$64,MATCH($F292,사건마스터!$A$5:$A$64,0)),""))</f>
        <v/>
      </c>
      <c r="Z292" s="118">
        <f>IF(COUNTBLANK($J292:$Y292)=16,"",16-COUNTBLANK($J292:$Y292))</f>
        <v/>
      </c>
      <c r="AA292" s="33">
        <f>IF($J292="",MID($AX292,3,255),$J292&amp;$AX292)</f>
        <v/>
      </c>
      <c r="AB292" s="130">
        <f>IF($J292="","",IFERROR(INDEX(코드설정!$D$5:$D$24,MATCH($J292,코드설정!$C$5:$C$24,0)),""))</f>
        <v/>
      </c>
      <c r="AC292" s="36" t="n"/>
      <c r="AD292" s="37" t="n"/>
      <c r="AE292" s="38" t="n"/>
      <c r="AF292" s="118">
        <f>IF(OR($B292="",$C292=""),"",$C292-$B292+1)</f>
        <v/>
      </c>
      <c r="AG292" s="74" t="n"/>
      <c r="AH292" s="36" t="n"/>
      <c r="AJ292">
        <f>IF($K292="","",", "&amp;$K292)</f>
        <v/>
      </c>
      <c r="AK292">
        <f>AJ292&amp;IF($L292="","",", "&amp;$L292)</f>
        <v/>
      </c>
      <c r="AL292">
        <f>AK292&amp;IF($M292="","",", "&amp;$M292)</f>
        <v/>
      </c>
      <c r="AM292">
        <f>AL292&amp;IF($N292="","",", "&amp;$N292)</f>
        <v/>
      </c>
      <c r="AN292">
        <f>AM292&amp;IF($O292="","",", "&amp;$O292)</f>
        <v/>
      </c>
      <c r="AO292">
        <f>AN292&amp;IF($P292="","",", "&amp;$P292)</f>
        <v/>
      </c>
      <c r="AP292">
        <f>AO292&amp;IF($Q292="","",", "&amp;$Q292)</f>
        <v/>
      </c>
      <c r="AQ292">
        <f>AP292&amp;IF($R292="","",", "&amp;$R292)</f>
        <v/>
      </c>
      <c r="AR292">
        <f>AQ292&amp;IF($S292="","",", "&amp;$S292)</f>
        <v/>
      </c>
      <c r="AS292">
        <f>AR292&amp;IF($T292="","",", "&amp;$T292)</f>
        <v/>
      </c>
      <c r="AT292">
        <f>AS292&amp;IF($U292="","",", "&amp;$U292)</f>
        <v/>
      </c>
      <c r="AU292">
        <f>AT292&amp;IF($V292="","",", "&amp;$V292)</f>
        <v/>
      </c>
      <c r="AV292">
        <f>AU292&amp;IF($W292="","",", "&amp;$W292)</f>
        <v/>
      </c>
      <c r="AW292">
        <f>AV292&amp;IF($X292="","",", "&amp;$X292)</f>
        <v/>
      </c>
      <c r="AX292">
        <f>AW292&amp;IF($Y292="","",", "&amp;$Y292)</f>
        <v/>
      </c>
    </row>
    <row r="293">
      <c r="A293" s="118">
        <f>IF($B293="","",COUNT($B$5:$B293))</f>
        <v/>
      </c>
      <c r="B293" s="80" t="n"/>
      <c r="C293" s="80" t="n"/>
      <c r="D293" s="74" t="n"/>
      <c r="E293" s="74" t="n"/>
      <c r="F293" s="74" t="n"/>
      <c r="G293" s="118">
        <f>IF($F293="","",COUNTIF($F$5:$F293,$F293))</f>
        <v/>
      </c>
      <c r="H293" s="33">
        <f>IF($F293="","",IFERROR(INDEX(사건마스터!$B$5:$B$64,MATCH($F293,사건마스터!$A$5:$A$64,0)),""))</f>
        <v/>
      </c>
      <c r="I293" s="130">
        <f>IF($F293="","",IFERROR(INDEX(사건마스터!$C$5:$C$64,MATCH($F293,사건마스터!$A$5:$A$64,0)),""))</f>
        <v/>
      </c>
      <c r="J293" s="136">
        <f>IF($F293="","",IFERROR(INDEX(사건마스터!$H$5:$H$64,MATCH($F293,사건마스터!$A$5:$A$64,0)),""))</f>
        <v/>
      </c>
      <c r="K293" s="136">
        <f>IF($F293="","",IFERROR(INDEX(사건마스터!$AH$5:$AH$64,MATCH($F293,사건마스터!$A$5:$A$64,0)),""))</f>
        <v/>
      </c>
      <c r="L293" s="136">
        <f>IF($F293="","",IFERROR(INDEX(사건마스터!$AI$5:$AI$64,MATCH($F293,사건마스터!$A$5:$A$64,0)),""))</f>
        <v/>
      </c>
      <c r="M293" s="136">
        <f>IF($F293="","",IFERROR(INDEX(사건마스터!$AJ$5:$AJ$64,MATCH($F293,사건마스터!$A$5:$A$64,0)),""))</f>
        <v/>
      </c>
      <c r="N293" s="136">
        <f>IF($F293="","",IFERROR(INDEX(사건마스터!$AK$5:$AK$64,MATCH($F293,사건마스터!$A$5:$A$64,0)),""))</f>
        <v/>
      </c>
      <c r="O293" s="136">
        <f>IF($F293="","",IFERROR(INDEX(사건마스터!$AL$5:$AL$64,MATCH($F293,사건마스터!$A$5:$A$64,0)),""))</f>
        <v/>
      </c>
      <c r="P293" s="136">
        <f>IF($F293="","",IFERROR(INDEX(사건마스터!$AM$5:$AM$64,MATCH($F293,사건마스터!$A$5:$A$64,0)),""))</f>
        <v/>
      </c>
      <c r="Q293" s="136">
        <f>IF($F293="","",IFERROR(INDEX(사건마스터!$AN$5:$AN$64,MATCH($F293,사건마스터!$A$5:$A$64,0)),""))</f>
        <v/>
      </c>
      <c r="R293" s="136">
        <f>IF($F293="","",IFERROR(INDEX(사건마스터!$AO$5:$AO$64,MATCH($F293,사건마스터!$A$5:$A$64,0)),""))</f>
        <v/>
      </c>
      <c r="S293" s="136">
        <f>IF($F293="","",IFERROR(INDEX(사건마스터!$AP$5:$AP$64,MATCH($F293,사건마스터!$A$5:$A$64,0)),""))</f>
        <v/>
      </c>
      <c r="T293" s="136">
        <f>IF($F293="","",IFERROR(INDEX(사건마스터!$AQ$5:$AQ$64,MATCH($F293,사건마스터!$A$5:$A$64,0)),""))</f>
        <v/>
      </c>
      <c r="U293" s="136">
        <f>IF($F293="","",IFERROR(INDEX(사건마스터!$AR$5:$AR$64,MATCH($F293,사건마스터!$A$5:$A$64,0)),""))</f>
        <v/>
      </c>
      <c r="V293" s="136">
        <f>IF($F293="","",IFERROR(INDEX(사건마스터!$AS$5:$AS$64,MATCH($F293,사건마스터!$A$5:$A$64,0)),""))</f>
        <v/>
      </c>
      <c r="W293" s="136">
        <f>IF($F293="","",IFERROR(INDEX(사건마스터!$AT$5:$AT$64,MATCH($F293,사건마스터!$A$5:$A$64,0)),""))</f>
        <v/>
      </c>
      <c r="X293" s="136">
        <f>IF($F293="","",IFERROR(INDEX(사건마스터!$AU$5:$AU$64,MATCH($F293,사건마스터!$A$5:$A$64,0)),""))</f>
        <v/>
      </c>
      <c r="Y293" s="136">
        <f>IF($F293="","",IFERROR(INDEX(사건마스터!$AV$5:$AV$64,MATCH($F293,사건마스터!$A$5:$A$64,0)),""))</f>
        <v/>
      </c>
      <c r="Z293" s="118">
        <f>IF(COUNTBLANK($J293:$Y293)=16,"",16-COUNTBLANK($J293:$Y293))</f>
        <v/>
      </c>
      <c r="AA293" s="33">
        <f>IF($J293="",MID($AX293,3,255),$J293&amp;$AX293)</f>
        <v/>
      </c>
      <c r="AB293" s="130">
        <f>IF($J293="","",IFERROR(INDEX(코드설정!$D$5:$D$24,MATCH($J293,코드설정!$C$5:$C$24,0)),""))</f>
        <v/>
      </c>
      <c r="AC293" s="36" t="n"/>
      <c r="AD293" s="37" t="n"/>
      <c r="AE293" s="38" t="n"/>
      <c r="AF293" s="118">
        <f>IF(OR($B293="",$C293=""),"",$C293-$B293+1)</f>
        <v/>
      </c>
      <c r="AG293" s="74" t="n"/>
      <c r="AH293" s="36" t="n"/>
      <c r="AJ293">
        <f>IF($K293="","",", "&amp;$K293)</f>
        <v/>
      </c>
      <c r="AK293">
        <f>AJ293&amp;IF($L293="","",", "&amp;$L293)</f>
        <v/>
      </c>
      <c r="AL293">
        <f>AK293&amp;IF($M293="","",", "&amp;$M293)</f>
        <v/>
      </c>
      <c r="AM293">
        <f>AL293&amp;IF($N293="","",", "&amp;$N293)</f>
        <v/>
      </c>
      <c r="AN293">
        <f>AM293&amp;IF($O293="","",", "&amp;$O293)</f>
        <v/>
      </c>
      <c r="AO293">
        <f>AN293&amp;IF($P293="","",", "&amp;$P293)</f>
        <v/>
      </c>
      <c r="AP293">
        <f>AO293&amp;IF($Q293="","",", "&amp;$Q293)</f>
        <v/>
      </c>
      <c r="AQ293">
        <f>AP293&amp;IF($R293="","",", "&amp;$R293)</f>
        <v/>
      </c>
      <c r="AR293">
        <f>AQ293&amp;IF($S293="","",", "&amp;$S293)</f>
        <v/>
      </c>
      <c r="AS293">
        <f>AR293&amp;IF($T293="","",", "&amp;$T293)</f>
        <v/>
      </c>
      <c r="AT293">
        <f>AS293&amp;IF($U293="","",", "&amp;$U293)</f>
        <v/>
      </c>
      <c r="AU293">
        <f>AT293&amp;IF($V293="","",", "&amp;$V293)</f>
        <v/>
      </c>
      <c r="AV293">
        <f>AU293&amp;IF($W293="","",", "&amp;$W293)</f>
        <v/>
      </c>
      <c r="AW293">
        <f>AV293&amp;IF($X293="","",", "&amp;$X293)</f>
        <v/>
      </c>
      <c r="AX293">
        <f>AW293&amp;IF($Y293="","",", "&amp;$Y293)</f>
        <v/>
      </c>
    </row>
    <row r="294">
      <c r="A294" s="118">
        <f>IF($B294="","",COUNT($B$5:$B294))</f>
        <v/>
      </c>
      <c r="B294" s="80" t="n"/>
      <c r="C294" s="80" t="n"/>
      <c r="D294" s="74" t="n"/>
      <c r="E294" s="74" t="n"/>
      <c r="F294" s="74" t="n"/>
      <c r="G294" s="118">
        <f>IF($F294="","",COUNTIF($F$5:$F294,$F294))</f>
        <v/>
      </c>
      <c r="H294" s="33">
        <f>IF($F294="","",IFERROR(INDEX(사건마스터!$B$5:$B$64,MATCH($F294,사건마스터!$A$5:$A$64,0)),""))</f>
        <v/>
      </c>
      <c r="I294" s="130">
        <f>IF($F294="","",IFERROR(INDEX(사건마스터!$C$5:$C$64,MATCH($F294,사건마스터!$A$5:$A$64,0)),""))</f>
        <v/>
      </c>
      <c r="J294" s="136">
        <f>IF($F294="","",IFERROR(INDEX(사건마스터!$H$5:$H$64,MATCH($F294,사건마스터!$A$5:$A$64,0)),""))</f>
        <v/>
      </c>
      <c r="K294" s="136">
        <f>IF($F294="","",IFERROR(INDEX(사건마스터!$AH$5:$AH$64,MATCH($F294,사건마스터!$A$5:$A$64,0)),""))</f>
        <v/>
      </c>
      <c r="L294" s="136">
        <f>IF($F294="","",IFERROR(INDEX(사건마스터!$AI$5:$AI$64,MATCH($F294,사건마스터!$A$5:$A$64,0)),""))</f>
        <v/>
      </c>
      <c r="M294" s="136">
        <f>IF($F294="","",IFERROR(INDEX(사건마스터!$AJ$5:$AJ$64,MATCH($F294,사건마스터!$A$5:$A$64,0)),""))</f>
        <v/>
      </c>
      <c r="N294" s="136">
        <f>IF($F294="","",IFERROR(INDEX(사건마스터!$AK$5:$AK$64,MATCH($F294,사건마스터!$A$5:$A$64,0)),""))</f>
        <v/>
      </c>
      <c r="O294" s="136">
        <f>IF($F294="","",IFERROR(INDEX(사건마스터!$AL$5:$AL$64,MATCH($F294,사건마스터!$A$5:$A$64,0)),""))</f>
        <v/>
      </c>
      <c r="P294" s="136">
        <f>IF($F294="","",IFERROR(INDEX(사건마스터!$AM$5:$AM$64,MATCH($F294,사건마스터!$A$5:$A$64,0)),""))</f>
        <v/>
      </c>
      <c r="Q294" s="136">
        <f>IF($F294="","",IFERROR(INDEX(사건마스터!$AN$5:$AN$64,MATCH($F294,사건마스터!$A$5:$A$64,0)),""))</f>
        <v/>
      </c>
      <c r="R294" s="136">
        <f>IF($F294="","",IFERROR(INDEX(사건마스터!$AO$5:$AO$64,MATCH($F294,사건마스터!$A$5:$A$64,0)),""))</f>
        <v/>
      </c>
      <c r="S294" s="136">
        <f>IF($F294="","",IFERROR(INDEX(사건마스터!$AP$5:$AP$64,MATCH($F294,사건마스터!$A$5:$A$64,0)),""))</f>
        <v/>
      </c>
      <c r="T294" s="136">
        <f>IF($F294="","",IFERROR(INDEX(사건마스터!$AQ$5:$AQ$64,MATCH($F294,사건마스터!$A$5:$A$64,0)),""))</f>
        <v/>
      </c>
      <c r="U294" s="136">
        <f>IF($F294="","",IFERROR(INDEX(사건마스터!$AR$5:$AR$64,MATCH($F294,사건마스터!$A$5:$A$64,0)),""))</f>
        <v/>
      </c>
      <c r="V294" s="136">
        <f>IF($F294="","",IFERROR(INDEX(사건마스터!$AS$5:$AS$64,MATCH($F294,사건마스터!$A$5:$A$64,0)),""))</f>
        <v/>
      </c>
      <c r="W294" s="136">
        <f>IF($F294="","",IFERROR(INDEX(사건마스터!$AT$5:$AT$64,MATCH($F294,사건마스터!$A$5:$A$64,0)),""))</f>
        <v/>
      </c>
      <c r="X294" s="136">
        <f>IF($F294="","",IFERROR(INDEX(사건마스터!$AU$5:$AU$64,MATCH($F294,사건마스터!$A$5:$A$64,0)),""))</f>
        <v/>
      </c>
      <c r="Y294" s="136">
        <f>IF($F294="","",IFERROR(INDEX(사건마스터!$AV$5:$AV$64,MATCH($F294,사건마스터!$A$5:$A$64,0)),""))</f>
        <v/>
      </c>
      <c r="Z294" s="118">
        <f>IF(COUNTBLANK($J294:$Y294)=16,"",16-COUNTBLANK($J294:$Y294))</f>
        <v/>
      </c>
      <c r="AA294" s="33">
        <f>IF($J294="",MID($AX294,3,255),$J294&amp;$AX294)</f>
        <v/>
      </c>
      <c r="AB294" s="130">
        <f>IF($J294="","",IFERROR(INDEX(코드설정!$D$5:$D$24,MATCH($J294,코드설정!$C$5:$C$24,0)),""))</f>
        <v/>
      </c>
      <c r="AC294" s="36" t="n"/>
      <c r="AD294" s="37" t="n"/>
      <c r="AE294" s="38" t="n"/>
      <c r="AF294" s="118">
        <f>IF(OR($B294="",$C294=""),"",$C294-$B294+1)</f>
        <v/>
      </c>
      <c r="AG294" s="74" t="n"/>
      <c r="AH294" s="36" t="n"/>
      <c r="AJ294">
        <f>IF($K294="","",", "&amp;$K294)</f>
        <v/>
      </c>
      <c r="AK294">
        <f>AJ294&amp;IF($L294="","",", "&amp;$L294)</f>
        <v/>
      </c>
      <c r="AL294">
        <f>AK294&amp;IF($M294="","",", "&amp;$M294)</f>
        <v/>
      </c>
      <c r="AM294">
        <f>AL294&amp;IF($N294="","",", "&amp;$N294)</f>
        <v/>
      </c>
      <c r="AN294">
        <f>AM294&amp;IF($O294="","",", "&amp;$O294)</f>
        <v/>
      </c>
      <c r="AO294">
        <f>AN294&amp;IF($P294="","",", "&amp;$P294)</f>
        <v/>
      </c>
      <c r="AP294">
        <f>AO294&amp;IF($Q294="","",", "&amp;$Q294)</f>
        <v/>
      </c>
      <c r="AQ294">
        <f>AP294&amp;IF($R294="","",", "&amp;$R294)</f>
        <v/>
      </c>
      <c r="AR294">
        <f>AQ294&amp;IF($S294="","",", "&amp;$S294)</f>
        <v/>
      </c>
      <c r="AS294">
        <f>AR294&amp;IF($T294="","",", "&amp;$T294)</f>
        <v/>
      </c>
      <c r="AT294">
        <f>AS294&amp;IF($U294="","",", "&amp;$U294)</f>
        <v/>
      </c>
      <c r="AU294">
        <f>AT294&amp;IF($V294="","",", "&amp;$V294)</f>
        <v/>
      </c>
      <c r="AV294">
        <f>AU294&amp;IF($W294="","",", "&amp;$W294)</f>
        <v/>
      </c>
      <c r="AW294">
        <f>AV294&amp;IF($X294="","",", "&amp;$X294)</f>
        <v/>
      </c>
      <c r="AX294">
        <f>AW294&amp;IF($Y294="","",", "&amp;$Y294)</f>
        <v/>
      </c>
    </row>
    <row r="295">
      <c r="A295" s="118">
        <f>IF($B295="","",COUNT($B$5:$B295))</f>
        <v/>
      </c>
      <c r="B295" s="80" t="n"/>
      <c r="C295" s="80" t="n"/>
      <c r="D295" s="74" t="n"/>
      <c r="E295" s="74" t="n"/>
      <c r="F295" s="74" t="n"/>
      <c r="G295" s="118">
        <f>IF($F295="","",COUNTIF($F$5:$F295,$F295))</f>
        <v/>
      </c>
      <c r="H295" s="33">
        <f>IF($F295="","",IFERROR(INDEX(사건마스터!$B$5:$B$64,MATCH($F295,사건마스터!$A$5:$A$64,0)),""))</f>
        <v/>
      </c>
      <c r="I295" s="130">
        <f>IF($F295="","",IFERROR(INDEX(사건마스터!$C$5:$C$64,MATCH($F295,사건마스터!$A$5:$A$64,0)),""))</f>
        <v/>
      </c>
      <c r="J295" s="136">
        <f>IF($F295="","",IFERROR(INDEX(사건마스터!$H$5:$H$64,MATCH($F295,사건마스터!$A$5:$A$64,0)),""))</f>
        <v/>
      </c>
      <c r="K295" s="136">
        <f>IF($F295="","",IFERROR(INDEX(사건마스터!$AH$5:$AH$64,MATCH($F295,사건마스터!$A$5:$A$64,0)),""))</f>
        <v/>
      </c>
      <c r="L295" s="136">
        <f>IF($F295="","",IFERROR(INDEX(사건마스터!$AI$5:$AI$64,MATCH($F295,사건마스터!$A$5:$A$64,0)),""))</f>
        <v/>
      </c>
      <c r="M295" s="136">
        <f>IF($F295="","",IFERROR(INDEX(사건마스터!$AJ$5:$AJ$64,MATCH($F295,사건마스터!$A$5:$A$64,0)),""))</f>
        <v/>
      </c>
      <c r="N295" s="136">
        <f>IF($F295="","",IFERROR(INDEX(사건마스터!$AK$5:$AK$64,MATCH($F295,사건마스터!$A$5:$A$64,0)),""))</f>
        <v/>
      </c>
      <c r="O295" s="136">
        <f>IF($F295="","",IFERROR(INDEX(사건마스터!$AL$5:$AL$64,MATCH($F295,사건마스터!$A$5:$A$64,0)),""))</f>
        <v/>
      </c>
      <c r="P295" s="136">
        <f>IF($F295="","",IFERROR(INDEX(사건마스터!$AM$5:$AM$64,MATCH($F295,사건마스터!$A$5:$A$64,0)),""))</f>
        <v/>
      </c>
      <c r="Q295" s="136">
        <f>IF($F295="","",IFERROR(INDEX(사건마스터!$AN$5:$AN$64,MATCH($F295,사건마스터!$A$5:$A$64,0)),""))</f>
        <v/>
      </c>
      <c r="R295" s="136">
        <f>IF($F295="","",IFERROR(INDEX(사건마스터!$AO$5:$AO$64,MATCH($F295,사건마스터!$A$5:$A$64,0)),""))</f>
        <v/>
      </c>
      <c r="S295" s="136">
        <f>IF($F295="","",IFERROR(INDEX(사건마스터!$AP$5:$AP$64,MATCH($F295,사건마스터!$A$5:$A$64,0)),""))</f>
        <v/>
      </c>
      <c r="T295" s="136">
        <f>IF($F295="","",IFERROR(INDEX(사건마스터!$AQ$5:$AQ$64,MATCH($F295,사건마스터!$A$5:$A$64,0)),""))</f>
        <v/>
      </c>
      <c r="U295" s="136">
        <f>IF($F295="","",IFERROR(INDEX(사건마스터!$AR$5:$AR$64,MATCH($F295,사건마스터!$A$5:$A$64,0)),""))</f>
        <v/>
      </c>
      <c r="V295" s="136">
        <f>IF($F295="","",IFERROR(INDEX(사건마스터!$AS$5:$AS$64,MATCH($F295,사건마스터!$A$5:$A$64,0)),""))</f>
        <v/>
      </c>
      <c r="W295" s="136">
        <f>IF($F295="","",IFERROR(INDEX(사건마스터!$AT$5:$AT$64,MATCH($F295,사건마스터!$A$5:$A$64,0)),""))</f>
        <v/>
      </c>
      <c r="X295" s="136">
        <f>IF($F295="","",IFERROR(INDEX(사건마스터!$AU$5:$AU$64,MATCH($F295,사건마스터!$A$5:$A$64,0)),""))</f>
        <v/>
      </c>
      <c r="Y295" s="136">
        <f>IF($F295="","",IFERROR(INDEX(사건마스터!$AV$5:$AV$64,MATCH($F295,사건마스터!$A$5:$A$64,0)),""))</f>
        <v/>
      </c>
      <c r="Z295" s="118">
        <f>IF(COUNTBLANK($J295:$Y295)=16,"",16-COUNTBLANK($J295:$Y295))</f>
        <v/>
      </c>
      <c r="AA295" s="33">
        <f>IF($J295="",MID($AX295,3,255),$J295&amp;$AX295)</f>
        <v/>
      </c>
      <c r="AB295" s="130">
        <f>IF($J295="","",IFERROR(INDEX(코드설정!$D$5:$D$24,MATCH($J295,코드설정!$C$5:$C$24,0)),""))</f>
        <v/>
      </c>
      <c r="AC295" s="36" t="n"/>
      <c r="AD295" s="37" t="n"/>
      <c r="AE295" s="38" t="n"/>
      <c r="AF295" s="118">
        <f>IF(OR($B295="",$C295=""),"",$C295-$B295+1)</f>
        <v/>
      </c>
      <c r="AG295" s="74" t="n"/>
      <c r="AH295" s="36" t="n"/>
      <c r="AJ295">
        <f>IF($K295="","",", "&amp;$K295)</f>
        <v/>
      </c>
      <c r="AK295">
        <f>AJ295&amp;IF($L295="","",", "&amp;$L295)</f>
        <v/>
      </c>
      <c r="AL295">
        <f>AK295&amp;IF($M295="","",", "&amp;$M295)</f>
        <v/>
      </c>
      <c r="AM295">
        <f>AL295&amp;IF($N295="","",", "&amp;$N295)</f>
        <v/>
      </c>
      <c r="AN295">
        <f>AM295&amp;IF($O295="","",", "&amp;$O295)</f>
        <v/>
      </c>
      <c r="AO295">
        <f>AN295&amp;IF($P295="","",", "&amp;$P295)</f>
        <v/>
      </c>
      <c r="AP295">
        <f>AO295&amp;IF($Q295="","",", "&amp;$Q295)</f>
        <v/>
      </c>
      <c r="AQ295">
        <f>AP295&amp;IF($R295="","",", "&amp;$R295)</f>
        <v/>
      </c>
      <c r="AR295">
        <f>AQ295&amp;IF($S295="","",", "&amp;$S295)</f>
        <v/>
      </c>
      <c r="AS295">
        <f>AR295&amp;IF($T295="","",", "&amp;$T295)</f>
        <v/>
      </c>
      <c r="AT295">
        <f>AS295&amp;IF($U295="","",", "&amp;$U295)</f>
        <v/>
      </c>
      <c r="AU295">
        <f>AT295&amp;IF($V295="","",", "&amp;$V295)</f>
        <v/>
      </c>
      <c r="AV295">
        <f>AU295&amp;IF($W295="","",", "&amp;$W295)</f>
        <v/>
      </c>
      <c r="AW295">
        <f>AV295&amp;IF($X295="","",", "&amp;$X295)</f>
        <v/>
      </c>
      <c r="AX295">
        <f>AW295&amp;IF($Y295="","",", "&amp;$Y295)</f>
        <v/>
      </c>
    </row>
    <row r="296">
      <c r="A296" s="118">
        <f>IF($B296="","",COUNT($B$5:$B296))</f>
        <v/>
      </c>
      <c r="B296" s="80" t="n"/>
      <c r="C296" s="80" t="n"/>
      <c r="D296" s="74" t="n"/>
      <c r="E296" s="74" t="n"/>
      <c r="F296" s="74" t="n"/>
      <c r="G296" s="118">
        <f>IF($F296="","",COUNTIF($F$5:$F296,$F296))</f>
        <v/>
      </c>
      <c r="H296" s="33">
        <f>IF($F296="","",IFERROR(INDEX(사건마스터!$B$5:$B$64,MATCH($F296,사건마스터!$A$5:$A$64,0)),""))</f>
        <v/>
      </c>
      <c r="I296" s="130">
        <f>IF($F296="","",IFERROR(INDEX(사건마스터!$C$5:$C$64,MATCH($F296,사건마스터!$A$5:$A$64,0)),""))</f>
        <v/>
      </c>
      <c r="J296" s="136">
        <f>IF($F296="","",IFERROR(INDEX(사건마스터!$H$5:$H$64,MATCH($F296,사건마스터!$A$5:$A$64,0)),""))</f>
        <v/>
      </c>
      <c r="K296" s="136">
        <f>IF($F296="","",IFERROR(INDEX(사건마스터!$AH$5:$AH$64,MATCH($F296,사건마스터!$A$5:$A$64,0)),""))</f>
        <v/>
      </c>
      <c r="L296" s="136">
        <f>IF($F296="","",IFERROR(INDEX(사건마스터!$AI$5:$AI$64,MATCH($F296,사건마스터!$A$5:$A$64,0)),""))</f>
        <v/>
      </c>
      <c r="M296" s="136">
        <f>IF($F296="","",IFERROR(INDEX(사건마스터!$AJ$5:$AJ$64,MATCH($F296,사건마스터!$A$5:$A$64,0)),""))</f>
        <v/>
      </c>
      <c r="N296" s="136">
        <f>IF($F296="","",IFERROR(INDEX(사건마스터!$AK$5:$AK$64,MATCH($F296,사건마스터!$A$5:$A$64,0)),""))</f>
        <v/>
      </c>
      <c r="O296" s="136">
        <f>IF($F296="","",IFERROR(INDEX(사건마스터!$AL$5:$AL$64,MATCH($F296,사건마스터!$A$5:$A$64,0)),""))</f>
        <v/>
      </c>
      <c r="P296" s="136">
        <f>IF($F296="","",IFERROR(INDEX(사건마스터!$AM$5:$AM$64,MATCH($F296,사건마스터!$A$5:$A$64,0)),""))</f>
        <v/>
      </c>
      <c r="Q296" s="136">
        <f>IF($F296="","",IFERROR(INDEX(사건마스터!$AN$5:$AN$64,MATCH($F296,사건마스터!$A$5:$A$64,0)),""))</f>
        <v/>
      </c>
      <c r="R296" s="136">
        <f>IF($F296="","",IFERROR(INDEX(사건마스터!$AO$5:$AO$64,MATCH($F296,사건마스터!$A$5:$A$64,0)),""))</f>
        <v/>
      </c>
      <c r="S296" s="136">
        <f>IF($F296="","",IFERROR(INDEX(사건마스터!$AP$5:$AP$64,MATCH($F296,사건마스터!$A$5:$A$64,0)),""))</f>
        <v/>
      </c>
      <c r="T296" s="136">
        <f>IF($F296="","",IFERROR(INDEX(사건마스터!$AQ$5:$AQ$64,MATCH($F296,사건마스터!$A$5:$A$64,0)),""))</f>
        <v/>
      </c>
      <c r="U296" s="136">
        <f>IF($F296="","",IFERROR(INDEX(사건마스터!$AR$5:$AR$64,MATCH($F296,사건마스터!$A$5:$A$64,0)),""))</f>
        <v/>
      </c>
      <c r="V296" s="136">
        <f>IF($F296="","",IFERROR(INDEX(사건마스터!$AS$5:$AS$64,MATCH($F296,사건마스터!$A$5:$A$64,0)),""))</f>
        <v/>
      </c>
      <c r="W296" s="136">
        <f>IF($F296="","",IFERROR(INDEX(사건마스터!$AT$5:$AT$64,MATCH($F296,사건마스터!$A$5:$A$64,0)),""))</f>
        <v/>
      </c>
      <c r="X296" s="136">
        <f>IF($F296="","",IFERROR(INDEX(사건마스터!$AU$5:$AU$64,MATCH($F296,사건마스터!$A$5:$A$64,0)),""))</f>
        <v/>
      </c>
      <c r="Y296" s="136">
        <f>IF($F296="","",IFERROR(INDEX(사건마스터!$AV$5:$AV$64,MATCH($F296,사건마스터!$A$5:$A$64,0)),""))</f>
        <v/>
      </c>
      <c r="Z296" s="118">
        <f>IF(COUNTBLANK($J296:$Y296)=16,"",16-COUNTBLANK($J296:$Y296))</f>
        <v/>
      </c>
      <c r="AA296" s="33">
        <f>IF($J296="",MID($AX296,3,255),$J296&amp;$AX296)</f>
        <v/>
      </c>
      <c r="AB296" s="130">
        <f>IF($J296="","",IFERROR(INDEX(코드설정!$D$5:$D$24,MATCH($J296,코드설정!$C$5:$C$24,0)),""))</f>
        <v/>
      </c>
      <c r="AC296" s="36" t="n"/>
      <c r="AD296" s="37" t="n"/>
      <c r="AE296" s="38" t="n"/>
      <c r="AF296" s="118">
        <f>IF(OR($B296="",$C296=""),"",$C296-$B296+1)</f>
        <v/>
      </c>
      <c r="AG296" s="74" t="n"/>
      <c r="AH296" s="36" t="n"/>
      <c r="AJ296">
        <f>IF($K296="","",", "&amp;$K296)</f>
        <v/>
      </c>
      <c r="AK296">
        <f>AJ296&amp;IF($L296="","",", "&amp;$L296)</f>
        <v/>
      </c>
      <c r="AL296">
        <f>AK296&amp;IF($M296="","",", "&amp;$M296)</f>
        <v/>
      </c>
      <c r="AM296">
        <f>AL296&amp;IF($N296="","",", "&amp;$N296)</f>
        <v/>
      </c>
      <c r="AN296">
        <f>AM296&amp;IF($O296="","",", "&amp;$O296)</f>
        <v/>
      </c>
      <c r="AO296">
        <f>AN296&amp;IF($P296="","",", "&amp;$P296)</f>
        <v/>
      </c>
      <c r="AP296">
        <f>AO296&amp;IF($Q296="","",", "&amp;$Q296)</f>
        <v/>
      </c>
      <c r="AQ296">
        <f>AP296&amp;IF($R296="","",", "&amp;$R296)</f>
        <v/>
      </c>
      <c r="AR296">
        <f>AQ296&amp;IF($S296="","",", "&amp;$S296)</f>
        <v/>
      </c>
      <c r="AS296">
        <f>AR296&amp;IF($T296="","",", "&amp;$T296)</f>
        <v/>
      </c>
      <c r="AT296">
        <f>AS296&amp;IF($U296="","",", "&amp;$U296)</f>
        <v/>
      </c>
      <c r="AU296">
        <f>AT296&amp;IF($V296="","",", "&amp;$V296)</f>
        <v/>
      </c>
      <c r="AV296">
        <f>AU296&amp;IF($W296="","",", "&amp;$W296)</f>
        <v/>
      </c>
      <c r="AW296">
        <f>AV296&amp;IF($X296="","",", "&amp;$X296)</f>
        <v/>
      </c>
      <c r="AX296">
        <f>AW296&amp;IF($Y296="","",", "&amp;$Y296)</f>
        <v/>
      </c>
    </row>
    <row r="297">
      <c r="A297" s="118">
        <f>IF($B297="","",COUNT($B$5:$B297))</f>
        <v/>
      </c>
      <c r="B297" s="80" t="n"/>
      <c r="C297" s="80" t="n"/>
      <c r="D297" s="74" t="n"/>
      <c r="E297" s="74" t="n"/>
      <c r="F297" s="74" t="n"/>
      <c r="G297" s="118">
        <f>IF($F297="","",COUNTIF($F$5:$F297,$F297))</f>
        <v/>
      </c>
      <c r="H297" s="33">
        <f>IF($F297="","",IFERROR(INDEX(사건마스터!$B$5:$B$64,MATCH($F297,사건마스터!$A$5:$A$64,0)),""))</f>
        <v/>
      </c>
      <c r="I297" s="130">
        <f>IF($F297="","",IFERROR(INDEX(사건마스터!$C$5:$C$64,MATCH($F297,사건마스터!$A$5:$A$64,0)),""))</f>
        <v/>
      </c>
      <c r="J297" s="136">
        <f>IF($F297="","",IFERROR(INDEX(사건마스터!$H$5:$H$64,MATCH($F297,사건마스터!$A$5:$A$64,0)),""))</f>
        <v/>
      </c>
      <c r="K297" s="136">
        <f>IF($F297="","",IFERROR(INDEX(사건마스터!$AH$5:$AH$64,MATCH($F297,사건마스터!$A$5:$A$64,0)),""))</f>
        <v/>
      </c>
      <c r="L297" s="136">
        <f>IF($F297="","",IFERROR(INDEX(사건마스터!$AI$5:$AI$64,MATCH($F297,사건마스터!$A$5:$A$64,0)),""))</f>
        <v/>
      </c>
      <c r="M297" s="136">
        <f>IF($F297="","",IFERROR(INDEX(사건마스터!$AJ$5:$AJ$64,MATCH($F297,사건마스터!$A$5:$A$64,0)),""))</f>
        <v/>
      </c>
      <c r="N297" s="136">
        <f>IF($F297="","",IFERROR(INDEX(사건마스터!$AK$5:$AK$64,MATCH($F297,사건마스터!$A$5:$A$64,0)),""))</f>
        <v/>
      </c>
      <c r="O297" s="136">
        <f>IF($F297="","",IFERROR(INDEX(사건마스터!$AL$5:$AL$64,MATCH($F297,사건마스터!$A$5:$A$64,0)),""))</f>
        <v/>
      </c>
      <c r="P297" s="136">
        <f>IF($F297="","",IFERROR(INDEX(사건마스터!$AM$5:$AM$64,MATCH($F297,사건마스터!$A$5:$A$64,0)),""))</f>
        <v/>
      </c>
      <c r="Q297" s="136">
        <f>IF($F297="","",IFERROR(INDEX(사건마스터!$AN$5:$AN$64,MATCH($F297,사건마스터!$A$5:$A$64,0)),""))</f>
        <v/>
      </c>
      <c r="R297" s="136">
        <f>IF($F297="","",IFERROR(INDEX(사건마스터!$AO$5:$AO$64,MATCH($F297,사건마스터!$A$5:$A$64,0)),""))</f>
        <v/>
      </c>
      <c r="S297" s="136">
        <f>IF($F297="","",IFERROR(INDEX(사건마스터!$AP$5:$AP$64,MATCH($F297,사건마스터!$A$5:$A$64,0)),""))</f>
        <v/>
      </c>
      <c r="T297" s="136">
        <f>IF($F297="","",IFERROR(INDEX(사건마스터!$AQ$5:$AQ$64,MATCH($F297,사건마스터!$A$5:$A$64,0)),""))</f>
        <v/>
      </c>
      <c r="U297" s="136">
        <f>IF($F297="","",IFERROR(INDEX(사건마스터!$AR$5:$AR$64,MATCH($F297,사건마스터!$A$5:$A$64,0)),""))</f>
        <v/>
      </c>
      <c r="V297" s="136">
        <f>IF($F297="","",IFERROR(INDEX(사건마스터!$AS$5:$AS$64,MATCH($F297,사건마스터!$A$5:$A$64,0)),""))</f>
        <v/>
      </c>
      <c r="W297" s="136">
        <f>IF($F297="","",IFERROR(INDEX(사건마스터!$AT$5:$AT$64,MATCH($F297,사건마스터!$A$5:$A$64,0)),""))</f>
        <v/>
      </c>
      <c r="X297" s="136">
        <f>IF($F297="","",IFERROR(INDEX(사건마스터!$AU$5:$AU$64,MATCH($F297,사건마스터!$A$5:$A$64,0)),""))</f>
        <v/>
      </c>
      <c r="Y297" s="136">
        <f>IF($F297="","",IFERROR(INDEX(사건마스터!$AV$5:$AV$64,MATCH($F297,사건마스터!$A$5:$A$64,0)),""))</f>
        <v/>
      </c>
      <c r="Z297" s="118">
        <f>IF(COUNTBLANK($J297:$Y297)=16,"",16-COUNTBLANK($J297:$Y297))</f>
        <v/>
      </c>
      <c r="AA297" s="33">
        <f>IF($J297="",MID($AX297,3,255),$J297&amp;$AX297)</f>
        <v/>
      </c>
      <c r="AB297" s="130">
        <f>IF($J297="","",IFERROR(INDEX(코드설정!$D$5:$D$24,MATCH($J297,코드설정!$C$5:$C$24,0)),""))</f>
        <v/>
      </c>
      <c r="AC297" s="36" t="n"/>
      <c r="AD297" s="37" t="n"/>
      <c r="AE297" s="38" t="n"/>
      <c r="AF297" s="118">
        <f>IF(OR($B297="",$C297=""),"",$C297-$B297+1)</f>
        <v/>
      </c>
      <c r="AG297" s="74" t="n"/>
      <c r="AH297" s="36" t="n"/>
      <c r="AJ297">
        <f>IF($K297="","",", "&amp;$K297)</f>
        <v/>
      </c>
      <c r="AK297">
        <f>AJ297&amp;IF($L297="","",", "&amp;$L297)</f>
        <v/>
      </c>
      <c r="AL297">
        <f>AK297&amp;IF($M297="","",", "&amp;$M297)</f>
        <v/>
      </c>
      <c r="AM297">
        <f>AL297&amp;IF($N297="","",", "&amp;$N297)</f>
        <v/>
      </c>
      <c r="AN297">
        <f>AM297&amp;IF($O297="","",", "&amp;$O297)</f>
        <v/>
      </c>
      <c r="AO297">
        <f>AN297&amp;IF($P297="","",", "&amp;$P297)</f>
        <v/>
      </c>
      <c r="AP297">
        <f>AO297&amp;IF($Q297="","",", "&amp;$Q297)</f>
        <v/>
      </c>
      <c r="AQ297">
        <f>AP297&amp;IF($R297="","",", "&amp;$R297)</f>
        <v/>
      </c>
      <c r="AR297">
        <f>AQ297&amp;IF($S297="","",", "&amp;$S297)</f>
        <v/>
      </c>
      <c r="AS297">
        <f>AR297&amp;IF($T297="","",", "&amp;$T297)</f>
        <v/>
      </c>
      <c r="AT297">
        <f>AS297&amp;IF($U297="","",", "&amp;$U297)</f>
        <v/>
      </c>
      <c r="AU297">
        <f>AT297&amp;IF($V297="","",", "&amp;$V297)</f>
        <v/>
      </c>
      <c r="AV297">
        <f>AU297&amp;IF($W297="","",", "&amp;$W297)</f>
        <v/>
      </c>
      <c r="AW297">
        <f>AV297&amp;IF($X297="","",", "&amp;$X297)</f>
        <v/>
      </c>
      <c r="AX297">
        <f>AW297&amp;IF($Y297="","",", "&amp;$Y297)</f>
        <v/>
      </c>
    </row>
    <row r="298">
      <c r="A298" s="118">
        <f>IF($B298="","",COUNT($B$5:$B298))</f>
        <v/>
      </c>
      <c r="B298" s="80" t="n"/>
      <c r="C298" s="80" t="n"/>
      <c r="D298" s="74" t="n"/>
      <c r="E298" s="74" t="n"/>
      <c r="F298" s="74" t="n"/>
      <c r="G298" s="118">
        <f>IF($F298="","",COUNTIF($F$5:$F298,$F298))</f>
        <v/>
      </c>
      <c r="H298" s="33">
        <f>IF($F298="","",IFERROR(INDEX(사건마스터!$B$5:$B$64,MATCH($F298,사건마스터!$A$5:$A$64,0)),""))</f>
        <v/>
      </c>
      <c r="I298" s="130">
        <f>IF($F298="","",IFERROR(INDEX(사건마스터!$C$5:$C$64,MATCH($F298,사건마스터!$A$5:$A$64,0)),""))</f>
        <v/>
      </c>
      <c r="J298" s="136">
        <f>IF($F298="","",IFERROR(INDEX(사건마스터!$H$5:$H$64,MATCH($F298,사건마스터!$A$5:$A$64,0)),""))</f>
        <v/>
      </c>
      <c r="K298" s="136">
        <f>IF($F298="","",IFERROR(INDEX(사건마스터!$AH$5:$AH$64,MATCH($F298,사건마스터!$A$5:$A$64,0)),""))</f>
        <v/>
      </c>
      <c r="L298" s="136">
        <f>IF($F298="","",IFERROR(INDEX(사건마스터!$AI$5:$AI$64,MATCH($F298,사건마스터!$A$5:$A$64,0)),""))</f>
        <v/>
      </c>
      <c r="M298" s="136">
        <f>IF($F298="","",IFERROR(INDEX(사건마스터!$AJ$5:$AJ$64,MATCH($F298,사건마스터!$A$5:$A$64,0)),""))</f>
        <v/>
      </c>
      <c r="N298" s="136">
        <f>IF($F298="","",IFERROR(INDEX(사건마스터!$AK$5:$AK$64,MATCH($F298,사건마스터!$A$5:$A$64,0)),""))</f>
        <v/>
      </c>
      <c r="O298" s="136">
        <f>IF($F298="","",IFERROR(INDEX(사건마스터!$AL$5:$AL$64,MATCH($F298,사건마스터!$A$5:$A$64,0)),""))</f>
        <v/>
      </c>
      <c r="P298" s="136">
        <f>IF($F298="","",IFERROR(INDEX(사건마스터!$AM$5:$AM$64,MATCH($F298,사건마스터!$A$5:$A$64,0)),""))</f>
        <v/>
      </c>
      <c r="Q298" s="136">
        <f>IF($F298="","",IFERROR(INDEX(사건마스터!$AN$5:$AN$64,MATCH($F298,사건마스터!$A$5:$A$64,0)),""))</f>
        <v/>
      </c>
      <c r="R298" s="136">
        <f>IF($F298="","",IFERROR(INDEX(사건마스터!$AO$5:$AO$64,MATCH($F298,사건마스터!$A$5:$A$64,0)),""))</f>
        <v/>
      </c>
      <c r="S298" s="136">
        <f>IF($F298="","",IFERROR(INDEX(사건마스터!$AP$5:$AP$64,MATCH($F298,사건마스터!$A$5:$A$64,0)),""))</f>
        <v/>
      </c>
      <c r="T298" s="136">
        <f>IF($F298="","",IFERROR(INDEX(사건마스터!$AQ$5:$AQ$64,MATCH($F298,사건마스터!$A$5:$A$64,0)),""))</f>
        <v/>
      </c>
      <c r="U298" s="136">
        <f>IF($F298="","",IFERROR(INDEX(사건마스터!$AR$5:$AR$64,MATCH($F298,사건마스터!$A$5:$A$64,0)),""))</f>
        <v/>
      </c>
      <c r="V298" s="136">
        <f>IF($F298="","",IFERROR(INDEX(사건마스터!$AS$5:$AS$64,MATCH($F298,사건마스터!$A$5:$A$64,0)),""))</f>
        <v/>
      </c>
      <c r="W298" s="136">
        <f>IF($F298="","",IFERROR(INDEX(사건마스터!$AT$5:$AT$64,MATCH($F298,사건마스터!$A$5:$A$64,0)),""))</f>
        <v/>
      </c>
      <c r="X298" s="136">
        <f>IF($F298="","",IFERROR(INDEX(사건마스터!$AU$5:$AU$64,MATCH($F298,사건마스터!$A$5:$A$64,0)),""))</f>
        <v/>
      </c>
      <c r="Y298" s="136">
        <f>IF($F298="","",IFERROR(INDEX(사건마스터!$AV$5:$AV$64,MATCH($F298,사건마스터!$A$5:$A$64,0)),""))</f>
        <v/>
      </c>
      <c r="Z298" s="118">
        <f>IF(COUNTBLANK($J298:$Y298)=16,"",16-COUNTBLANK($J298:$Y298))</f>
        <v/>
      </c>
      <c r="AA298" s="33">
        <f>IF($J298="",MID($AX298,3,255),$J298&amp;$AX298)</f>
        <v/>
      </c>
      <c r="AB298" s="130">
        <f>IF($J298="","",IFERROR(INDEX(코드설정!$D$5:$D$24,MATCH($J298,코드설정!$C$5:$C$24,0)),""))</f>
        <v/>
      </c>
      <c r="AC298" s="36" t="n"/>
      <c r="AD298" s="37" t="n"/>
      <c r="AE298" s="38" t="n"/>
      <c r="AF298" s="118">
        <f>IF(OR($B298="",$C298=""),"",$C298-$B298+1)</f>
        <v/>
      </c>
      <c r="AG298" s="74" t="n"/>
      <c r="AH298" s="36" t="n"/>
      <c r="AJ298">
        <f>IF($K298="","",", "&amp;$K298)</f>
        <v/>
      </c>
      <c r="AK298">
        <f>AJ298&amp;IF($L298="","",", "&amp;$L298)</f>
        <v/>
      </c>
      <c r="AL298">
        <f>AK298&amp;IF($M298="","",", "&amp;$M298)</f>
        <v/>
      </c>
      <c r="AM298">
        <f>AL298&amp;IF($N298="","",", "&amp;$N298)</f>
        <v/>
      </c>
      <c r="AN298">
        <f>AM298&amp;IF($O298="","",", "&amp;$O298)</f>
        <v/>
      </c>
      <c r="AO298">
        <f>AN298&amp;IF($P298="","",", "&amp;$P298)</f>
        <v/>
      </c>
      <c r="AP298">
        <f>AO298&amp;IF($Q298="","",", "&amp;$Q298)</f>
        <v/>
      </c>
      <c r="AQ298">
        <f>AP298&amp;IF($R298="","",", "&amp;$R298)</f>
        <v/>
      </c>
      <c r="AR298">
        <f>AQ298&amp;IF($S298="","",", "&amp;$S298)</f>
        <v/>
      </c>
      <c r="AS298">
        <f>AR298&amp;IF($T298="","",", "&amp;$T298)</f>
        <v/>
      </c>
      <c r="AT298">
        <f>AS298&amp;IF($U298="","",", "&amp;$U298)</f>
        <v/>
      </c>
      <c r="AU298">
        <f>AT298&amp;IF($V298="","",", "&amp;$V298)</f>
        <v/>
      </c>
      <c r="AV298">
        <f>AU298&amp;IF($W298="","",", "&amp;$W298)</f>
        <v/>
      </c>
      <c r="AW298">
        <f>AV298&amp;IF($X298="","",", "&amp;$X298)</f>
        <v/>
      </c>
      <c r="AX298">
        <f>AW298&amp;IF($Y298="","",", "&amp;$Y298)</f>
        <v/>
      </c>
    </row>
    <row r="299">
      <c r="A299" s="118">
        <f>IF($B299="","",COUNT($B$5:$B299))</f>
        <v/>
      </c>
      <c r="B299" s="80" t="n"/>
      <c r="C299" s="80" t="n"/>
      <c r="D299" s="74" t="n"/>
      <c r="E299" s="74" t="n"/>
      <c r="F299" s="74" t="n"/>
      <c r="G299" s="118">
        <f>IF($F299="","",COUNTIF($F$5:$F299,$F299))</f>
        <v/>
      </c>
      <c r="H299" s="33">
        <f>IF($F299="","",IFERROR(INDEX(사건마스터!$B$5:$B$64,MATCH($F299,사건마스터!$A$5:$A$64,0)),""))</f>
        <v/>
      </c>
      <c r="I299" s="130">
        <f>IF($F299="","",IFERROR(INDEX(사건마스터!$C$5:$C$64,MATCH($F299,사건마스터!$A$5:$A$64,0)),""))</f>
        <v/>
      </c>
      <c r="J299" s="136">
        <f>IF($F299="","",IFERROR(INDEX(사건마스터!$H$5:$H$64,MATCH($F299,사건마스터!$A$5:$A$64,0)),""))</f>
        <v/>
      </c>
      <c r="K299" s="136">
        <f>IF($F299="","",IFERROR(INDEX(사건마스터!$AH$5:$AH$64,MATCH($F299,사건마스터!$A$5:$A$64,0)),""))</f>
        <v/>
      </c>
      <c r="L299" s="136">
        <f>IF($F299="","",IFERROR(INDEX(사건마스터!$AI$5:$AI$64,MATCH($F299,사건마스터!$A$5:$A$64,0)),""))</f>
        <v/>
      </c>
      <c r="M299" s="136">
        <f>IF($F299="","",IFERROR(INDEX(사건마스터!$AJ$5:$AJ$64,MATCH($F299,사건마스터!$A$5:$A$64,0)),""))</f>
        <v/>
      </c>
      <c r="N299" s="136">
        <f>IF($F299="","",IFERROR(INDEX(사건마스터!$AK$5:$AK$64,MATCH($F299,사건마스터!$A$5:$A$64,0)),""))</f>
        <v/>
      </c>
      <c r="O299" s="136">
        <f>IF($F299="","",IFERROR(INDEX(사건마스터!$AL$5:$AL$64,MATCH($F299,사건마스터!$A$5:$A$64,0)),""))</f>
        <v/>
      </c>
      <c r="P299" s="136">
        <f>IF($F299="","",IFERROR(INDEX(사건마스터!$AM$5:$AM$64,MATCH($F299,사건마스터!$A$5:$A$64,0)),""))</f>
        <v/>
      </c>
      <c r="Q299" s="136">
        <f>IF($F299="","",IFERROR(INDEX(사건마스터!$AN$5:$AN$64,MATCH($F299,사건마스터!$A$5:$A$64,0)),""))</f>
        <v/>
      </c>
      <c r="R299" s="136">
        <f>IF($F299="","",IFERROR(INDEX(사건마스터!$AO$5:$AO$64,MATCH($F299,사건마스터!$A$5:$A$64,0)),""))</f>
        <v/>
      </c>
      <c r="S299" s="136">
        <f>IF($F299="","",IFERROR(INDEX(사건마스터!$AP$5:$AP$64,MATCH($F299,사건마스터!$A$5:$A$64,0)),""))</f>
        <v/>
      </c>
      <c r="T299" s="136">
        <f>IF($F299="","",IFERROR(INDEX(사건마스터!$AQ$5:$AQ$64,MATCH($F299,사건마스터!$A$5:$A$64,0)),""))</f>
        <v/>
      </c>
      <c r="U299" s="136">
        <f>IF($F299="","",IFERROR(INDEX(사건마스터!$AR$5:$AR$64,MATCH($F299,사건마스터!$A$5:$A$64,0)),""))</f>
        <v/>
      </c>
      <c r="V299" s="136">
        <f>IF($F299="","",IFERROR(INDEX(사건마스터!$AS$5:$AS$64,MATCH($F299,사건마스터!$A$5:$A$64,0)),""))</f>
        <v/>
      </c>
      <c r="W299" s="136">
        <f>IF($F299="","",IFERROR(INDEX(사건마스터!$AT$5:$AT$64,MATCH($F299,사건마스터!$A$5:$A$64,0)),""))</f>
        <v/>
      </c>
      <c r="X299" s="136">
        <f>IF($F299="","",IFERROR(INDEX(사건마스터!$AU$5:$AU$64,MATCH($F299,사건마스터!$A$5:$A$64,0)),""))</f>
        <v/>
      </c>
      <c r="Y299" s="136">
        <f>IF($F299="","",IFERROR(INDEX(사건마스터!$AV$5:$AV$64,MATCH($F299,사건마스터!$A$5:$A$64,0)),""))</f>
        <v/>
      </c>
      <c r="Z299" s="118">
        <f>IF(COUNTBLANK($J299:$Y299)=16,"",16-COUNTBLANK($J299:$Y299))</f>
        <v/>
      </c>
      <c r="AA299" s="33">
        <f>IF($J299="",MID($AX299,3,255),$J299&amp;$AX299)</f>
        <v/>
      </c>
      <c r="AB299" s="130">
        <f>IF($J299="","",IFERROR(INDEX(코드설정!$D$5:$D$24,MATCH($J299,코드설정!$C$5:$C$24,0)),""))</f>
        <v/>
      </c>
      <c r="AC299" s="36" t="n"/>
      <c r="AD299" s="37" t="n"/>
      <c r="AE299" s="38" t="n"/>
      <c r="AF299" s="118">
        <f>IF(OR($B299="",$C299=""),"",$C299-$B299+1)</f>
        <v/>
      </c>
      <c r="AG299" s="74" t="n"/>
      <c r="AH299" s="36" t="n"/>
      <c r="AJ299">
        <f>IF($K299="","",", "&amp;$K299)</f>
        <v/>
      </c>
      <c r="AK299">
        <f>AJ299&amp;IF($L299="","",", "&amp;$L299)</f>
        <v/>
      </c>
      <c r="AL299">
        <f>AK299&amp;IF($M299="","",", "&amp;$M299)</f>
        <v/>
      </c>
      <c r="AM299">
        <f>AL299&amp;IF($N299="","",", "&amp;$N299)</f>
        <v/>
      </c>
      <c r="AN299">
        <f>AM299&amp;IF($O299="","",", "&amp;$O299)</f>
        <v/>
      </c>
      <c r="AO299">
        <f>AN299&amp;IF($P299="","",", "&amp;$P299)</f>
        <v/>
      </c>
      <c r="AP299">
        <f>AO299&amp;IF($Q299="","",", "&amp;$Q299)</f>
        <v/>
      </c>
      <c r="AQ299">
        <f>AP299&amp;IF($R299="","",", "&amp;$R299)</f>
        <v/>
      </c>
      <c r="AR299">
        <f>AQ299&amp;IF($S299="","",", "&amp;$S299)</f>
        <v/>
      </c>
      <c r="AS299">
        <f>AR299&amp;IF($T299="","",", "&amp;$T299)</f>
        <v/>
      </c>
      <c r="AT299">
        <f>AS299&amp;IF($U299="","",", "&amp;$U299)</f>
        <v/>
      </c>
      <c r="AU299">
        <f>AT299&amp;IF($V299="","",", "&amp;$V299)</f>
        <v/>
      </c>
      <c r="AV299">
        <f>AU299&amp;IF($W299="","",", "&amp;$W299)</f>
        <v/>
      </c>
      <c r="AW299">
        <f>AV299&amp;IF($X299="","",", "&amp;$X299)</f>
        <v/>
      </c>
      <c r="AX299">
        <f>AW299&amp;IF($Y299="","",", "&amp;$Y299)</f>
        <v/>
      </c>
    </row>
    <row r="300">
      <c r="A300" s="118">
        <f>IF($B300="","",COUNT($B$5:$B300))</f>
        <v/>
      </c>
      <c r="B300" s="80" t="n"/>
      <c r="C300" s="80" t="n"/>
      <c r="D300" s="74" t="n"/>
      <c r="E300" s="74" t="n"/>
      <c r="F300" s="74" t="n"/>
      <c r="G300" s="118">
        <f>IF($F300="","",COUNTIF($F$5:$F300,$F300))</f>
        <v/>
      </c>
      <c r="H300" s="33">
        <f>IF($F300="","",IFERROR(INDEX(사건마스터!$B$5:$B$64,MATCH($F300,사건마스터!$A$5:$A$64,0)),""))</f>
        <v/>
      </c>
      <c r="I300" s="130">
        <f>IF($F300="","",IFERROR(INDEX(사건마스터!$C$5:$C$64,MATCH($F300,사건마스터!$A$5:$A$64,0)),""))</f>
        <v/>
      </c>
      <c r="J300" s="136">
        <f>IF($F300="","",IFERROR(INDEX(사건마스터!$H$5:$H$64,MATCH($F300,사건마스터!$A$5:$A$64,0)),""))</f>
        <v/>
      </c>
      <c r="K300" s="136">
        <f>IF($F300="","",IFERROR(INDEX(사건마스터!$AH$5:$AH$64,MATCH($F300,사건마스터!$A$5:$A$64,0)),""))</f>
        <v/>
      </c>
      <c r="L300" s="136">
        <f>IF($F300="","",IFERROR(INDEX(사건마스터!$AI$5:$AI$64,MATCH($F300,사건마스터!$A$5:$A$64,0)),""))</f>
        <v/>
      </c>
      <c r="M300" s="136">
        <f>IF($F300="","",IFERROR(INDEX(사건마스터!$AJ$5:$AJ$64,MATCH($F300,사건마스터!$A$5:$A$64,0)),""))</f>
        <v/>
      </c>
      <c r="N300" s="136">
        <f>IF($F300="","",IFERROR(INDEX(사건마스터!$AK$5:$AK$64,MATCH($F300,사건마스터!$A$5:$A$64,0)),""))</f>
        <v/>
      </c>
      <c r="O300" s="136">
        <f>IF($F300="","",IFERROR(INDEX(사건마스터!$AL$5:$AL$64,MATCH($F300,사건마스터!$A$5:$A$64,0)),""))</f>
        <v/>
      </c>
      <c r="P300" s="136">
        <f>IF($F300="","",IFERROR(INDEX(사건마스터!$AM$5:$AM$64,MATCH($F300,사건마스터!$A$5:$A$64,0)),""))</f>
        <v/>
      </c>
      <c r="Q300" s="136">
        <f>IF($F300="","",IFERROR(INDEX(사건마스터!$AN$5:$AN$64,MATCH($F300,사건마스터!$A$5:$A$64,0)),""))</f>
        <v/>
      </c>
      <c r="R300" s="136">
        <f>IF($F300="","",IFERROR(INDEX(사건마스터!$AO$5:$AO$64,MATCH($F300,사건마스터!$A$5:$A$64,0)),""))</f>
        <v/>
      </c>
      <c r="S300" s="136">
        <f>IF($F300="","",IFERROR(INDEX(사건마스터!$AP$5:$AP$64,MATCH($F300,사건마스터!$A$5:$A$64,0)),""))</f>
        <v/>
      </c>
      <c r="T300" s="136">
        <f>IF($F300="","",IFERROR(INDEX(사건마스터!$AQ$5:$AQ$64,MATCH($F300,사건마스터!$A$5:$A$64,0)),""))</f>
        <v/>
      </c>
      <c r="U300" s="136">
        <f>IF($F300="","",IFERROR(INDEX(사건마스터!$AR$5:$AR$64,MATCH($F300,사건마스터!$A$5:$A$64,0)),""))</f>
        <v/>
      </c>
      <c r="V300" s="136">
        <f>IF($F300="","",IFERROR(INDEX(사건마스터!$AS$5:$AS$64,MATCH($F300,사건마스터!$A$5:$A$64,0)),""))</f>
        <v/>
      </c>
      <c r="W300" s="136">
        <f>IF($F300="","",IFERROR(INDEX(사건마스터!$AT$5:$AT$64,MATCH($F300,사건마스터!$A$5:$A$64,0)),""))</f>
        <v/>
      </c>
      <c r="X300" s="136">
        <f>IF($F300="","",IFERROR(INDEX(사건마스터!$AU$5:$AU$64,MATCH($F300,사건마스터!$A$5:$A$64,0)),""))</f>
        <v/>
      </c>
      <c r="Y300" s="136">
        <f>IF($F300="","",IFERROR(INDEX(사건마스터!$AV$5:$AV$64,MATCH($F300,사건마스터!$A$5:$A$64,0)),""))</f>
        <v/>
      </c>
      <c r="Z300" s="118">
        <f>IF(COUNTBLANK($J300:$Y300)=16,"",16-COUNTBLANK($J300:$Y300))</f>
        <v/>
      </c>
      <c r="AA300" s="33">
        <f>IF($J300="",MID($AX300,3,255),$J300&amp;$AX300)</f>
        <v/>
      </c>
      <c r="AB300" s="130">
        <f>IF($J300="","",IFERROR(INDEX(코드설정!$D$5:$D$24,MATCH($J300,코드설정!$C$5:$C$24,0)),""))</f>
        <v/>
      </c>
      <c r="AC300" s="36" t="n"/>
      <c r="AD300" s="37" t="n"/>
      <c r="AE300" s="38" t="n"/>
      <c r="AF300" s="118">
        <f>IF(OR($B300="",$C300=""),"",$C300-$B300+1)</f>
        <v/>
      </c>
      <c r="AG300" s="74" t="n"/>
      <c r="AH300" s="36" t="n"/>
      <c r="AJ300">
        <f>IF($K300="","",", "&amp;$K300)</f>
        <v/>
      </c>
      <c r="AK300">
        <f>AJ300&amp;IF($L300="","",", "&amp;$L300)</f>
        <v/>
      </c>
      <c r="AL300">
        <f>AK300&amp;IF($M300="","",", "&amp;$M300)</f>
        <v/>
      </c>
      <c r="AM300">
        <f>AL300&amp;IF($N300="","",", "&amp;$N300)</f>
        <v/>
      </c>
      <c r="AN300">
        <f>AM300&amp;IF($O300="","",", "&amp;$O300)</f>
        <v/>
      </c>
      <c r="AO300">
        <f>AN300&amp;IF($P300="","",", "&amp;$P300)</f>
        <v/>
      </c>
      <c r="AP300">
        <f>AO300&amp;IF($Q300="","",", "&amp;$Q300)</f>
        <v/>
      </c>
      <c r="AQ300">
        <f>AP300&amp;IF($R300="","",", "&amp;$R300)</f>
        <v/>
      </c>
      <c r="AR300">
        <f>AQ300&amp;IF($S300="","",", "&amp;$S300)</f>
        <v/>
      </c>
      <c r="AS300">
        <f>AR300&amp;IF($T300="","",", "&amp;$T300)</f>
        <v/>
      </c>
      <c r="AT300">
        <f>AS300&amp;IF($U300="","",", "&amp;$U300)</f>
        <v/>
      </c>
      <c r="AU300">
        <f>AT300&amp;IF($V300="","",", "&amp;$V300)</f>
        <v/>
      </c>
      <c r="AV300">
        <f>AU300&amp;IF($W300="","",", "&amp;$W300)</f>
        <v/>
      </c>
      <c r="AW300">
        <f>AV300&amp;IF($X300="","",", "&amp;$X300)</f>
        <v/>
      </c>
      <c r="AX300">
        <f>AW300&amp;IF($Y300="","",", "&amp;$Y300)</f>
        <v/>
      </c>
    </row>
    <row r="301">
      <c r="A301" s="118">
        <f>IF($B301="","",COUNT($B$5:$B301))</f>
        <v/>
      </c>
      <c r="B301" s="80" t="n"/>
      <c r="C301" s="80" t="n"/>
      <c r="D301" s="74" t="n"/>
      <c r="E301" s="74" t="n"/>
      <c r="F301" s="74" t="n"/>
      <c r="G301" s="118">
        <f>IF($F301="","",COUNTIF($F$5:$F301,$F301))</f>
        <v/>
      </c>
      <c r="H301" s="33">
        <f>IF($F301="","",IFERROR(INDEX(사건마스터!$B$5:$B$64,MATCH($F301,사건마스터!$A$5:$A$64,0)),""))</f>
        <v/>
      </c>
      <c r="I301" s="130">
        <f>IF($F301="","",IFERROR(INDEX(사건마스터!$C$5:$C$64,MATCH($F301,사건마스터!$A$5:$A$64,0)),""))</f>
        <v/>
      </c>
      <c r="J301" s="136">
        <f>IF($F301="","",IFERROR(INDEX(사건마스터!$H$5:$H$64,MATCH($F301,사건마스터!$A$5:$A$64,0)),""))</f>
        <v/>
      </c>
      <c r="K301" s="136">
        <f>IF($F301="","",IFERROR(INDEX(사건마스터!$AH$5:$AH$64,MATCH($F301,사건마스터!$A$5:$A$64,0)),""))</f>
        <v/>
      </c>
      <c r="L301" s="136">
        <f>IF($F301="","",IFERROR(INDEX(사건마스터!$AI$5:$AI$64,MATCH($F301,사건마스터!$A$5:$A$64,0)),""))</f>
        <v/>
      </c>
      <c r="M301" s="136">
        <f>IF($F301="","",IFERROR(INDEX(사건마스터!$AJ$5:$AJ$64,MATCH($F301,사건마스터!$A$5:$A$64,0)),""))</f>
        <v/>
      </c>
      <c r="N301" s="136">
        <f>IF($F301="","",IFERROR(INDEX(사건마스터!$AK$5:$AK$64,MATCH($F301,사건마스터!$A$5:$A$64,0)),""))</f>
        <v/>
      </c>
      <c r="O301" s="136">
        <f>IF($F301="","",IFERROR(INDEX(사건마스터!$AL$5:$AL$64,MATCH($F301,사건마스터!$A$5:$A$64,0)),""))</f>
        <v/>
      </c>
      <c r="P301" s="136">
        <f>IF($F301="","",IFERROR(INDEX(사건마스터!$AM$5:$AM$64,MATCH($F301,사건마스터!$A$5:$A$64,0)),""))</f>
        <v/>
      </c>
      <c r="Q301" s="136">
        <f>IF($F301="","",IFERROR(INDEX(사건마스터!$AN$5:$AN$64,MATCH($F301,사건마스터!$A$5:$A$64,0)),""))</f>
        <v/>
      </c>
      <c r="R301" s="136">
        <f>IF($F301="","",IFERROR(INDEX(사건마스터!$AO$5:$AO$64,MATCH($F301,사건마스터!$A$5:$A$64,0)),""))</f>
        <v/>
      </c>
      <c r="S301" s="136">
        <f>IF($F301="","",IFERROR(INDEX(사건마스터!$AP$5:$AP$64,MATCH($F301,사건마스터!$A$5:$A$64,0)),""))</f>
        <v/>
      </c>
      <c r="T301" s="136">
        <f>IF($F301="","",IFERROR(INDEX(사건마스터!$AQ$5:$AQ$64,MATCH($F301,사건마스터!$A$5:$A$64,0)),""))</f>
        <v/>
      </c>
      <c r="U301" s="136">
        <f>IF($F301="","",IFERROR(INDEX(사건마스터!$AR$5:$AR$64,MATCH($F301,사건마스터!$A$5:$A$64,0)),""))</f>
        <v/>
      </c>
      <c r="V301" s="136">
        <f>IF($F301="","",IFERROR(INDEX(사건마스터!$AS$5:$AS$64,MATCH($F301,사건마스터!$A$5:$A$64,0)),""))</f>
        <v/>
      </c>
      <c r="W301" s="136">
        <f>IF($F301="","",IFERROR(INDEX(사건마스터!$AT$5:$AT$64,MATCH($F301,사건마스터!$A$5:$A$64,0)),""))</f>
        <v/>
      </c>
      <c r="X301" s="136">
        <f>IF($F301="","",IFERROR(INDEX(사건마스터!$AU$5:$AU$64,MATCH($F301,사건마스터!$A$5:$A$64,0)),""))</f>
        <v/>
      </c>
      <c r="Y301" s="136">
        <f>IF($F301="","",IFERROR(INDEX(사건마스터!$AV$5:$AV$64,MATCH($F301,사건마스터!$A$5:$A$64,0)),""))</f>
        <v/>
      </c>
      <c r="Z301" s="118">
        <f>IF(COUNTBLANK($J301:$Y301)=16,"",16-COUNTBLANK($J301:$Y301))</f>
        <v/>
      </c>
      <c r="AA301" s="33">
        <f>IF($J301="",MID($AX301,3,255),$J301&amp;$AX301)</f>
        <v/>
      </c>
      <c r="AB301" s="130">
        <f>IF($J301="","",IFERROR(INDEX(코드설정!$D$5:$D$24,MATCH($J301,코드설정!$C$5:$C$24,0)),""))</f>
        <v/>
      </c>
      <c r="AC301" s="36" t="n"/>
      <c r="AD301" s="37" t="n"/>
      <c r="AE301" s="38" t="n"/>
      <c r="AF301" s="118">
        <f>IF(OR($B301="",$C301=""),"",$C301-$B301+1)</f>
        <v/>
      </c>
      <c r="AG301" s="74" t="n"/>
      <c r="AH301" s="36" t="n"/>
      <c r="AJ301">
        <f>IF($K301="","",", "&amp;$K301)</f>
        <v/>
      </c>
      <c r="AK301">
        <f>AJ301&amp;IF($L301="","",", "&amp;$L301)</f>
        <v/>
      </c>
      <c r="AL301">
        <f>AK301&amp;IF($M301="","",", "&amp;$M301)</f>
        <v/>
      </c>
      <c r="AM301">
        <f>AL301&amp;IF($N301="","",", "&amp;$N301)</f>
        <v/>
      </c>
      <c r="AN301">
        <f>AM301&amp;IF($O301="","",", "&amp;$O301)</f>
        <v/>
      </c>
      <c r="AO301">
        <f>AN301&amp;IF($P301="","",", "&amp;$P301)</f>
        <v/>
      </c>
      <c r="AP301">
        <f>AO301&amp;IF($Q301="","",", "&amp;$Q301)</f>
        <v/>
      </c>
      <c r="AQ301">
        <f>AP301&amp;IF($R301="","",", "&amp;$R301)</f>
        <v/>
      </c>
      <c r="AR301">
        <f>AQ301&amp;IF($S301="","",", "&amp;$S301)</f>
        <v/>
      </c>
      <c r="AS301">
        <f>AR301&amp;IF($T301="","",", "&amp;$T301)</f>
        <v/>
      </c>
      <c r="AT301">
        <f>AS301&amp;IF($U301="","",", "&amp;$U301)</f>
        <v/>
      </c>
      <c r="AU301">
        <f>AT301&amp;IF($V301="","",", "&amp;$V301)</f>
        <v/>
      </c>
      <c r="AV301">
        <f>AU301&amp;IF($W301="","",", "&amp;$W301)</f>
        <v/>
      </c>
      <c r="AW301">
        <f>AV301&amp;IF($X301="","",", "&amp;$X301)</f>
        <v/>
      </c>
      <c r="AX301">
        <f>AW301&amp;IF($Y301="","",", "&amp;$Y301)</f>
        <v/>
      </c>
    </row>
    <row r="302">
      <c r="A302" s="118">
        <f>IF($B302="","",COUNT($B$5:$B302))</f>
        <v/>
      </c>
      <c r="B302" s="80" t="n"/>
      <c r="C302" s="80" t="n"/>
      <c r="D302" s="74" t="n"/>
      <c r="E302" s="74" t="n"/>
      <c r="F302" s="74" t="n"/>
      <c r="G302" s="118">
        <f>IF($F302="","",COUNTIF($F$5:$F302,$F302))</f>
        <v/>
      </c>
      <c r="H302" s="33">
        <f>IF($F302="","",IFERROR(INDEX(사건마스터!$B$5:$B$64,MATCH($F302,사건마스터!$A$5:$A$64,0)),""))</f>
        <v/>
      </c>
      <c r="I302" s="130">
        <f>IF($F302="","",IFERROR(INDEX(사건마스터!$C$5:$C$64,MATCH($F302,사건마스터!$A$5:$A$64,0)),""))</f>
        <v/>
      </c>
      <c r="J302" s="136">
        <f>IF($F302="","",IFERROR(INDEX(사건마스터!$H$5:$H$64,MATCH($F302,사건마스터!$A$5:$A$64,0)),""))</f>
        <v/>
      </c>
      <c r="K302" s="136">
        <f>IF($F302="","",IFERROR(INDEX(사건마스터!$AH$5:$AH$64,MATCH($F302,사건마스터!$A$5:$A$64,0)),""))</f>
        <v/>
      </c>
      <c r="L302" s="136">
        <f>IF($F302="","",IFERROR(INDEX(사건마스터!$AI$5:$AI$64,MATCH($F302,사건마스터!$A$5:$A$64,0)),""))</f>
        <v/>
      </c>
      <c r="M302" s="136">
        <f>IF($F302="","",IFERROR(INDEX(사건마스터!$AJ$5:$AJ$64,MATCH($F302,사건마스터!$A$5:$A$64,0)),""))</f>
        <v/>
      </c>
      <c r="N302" s="136">
        <f>IF($F302="","",IFERROR(INDEX(사건마스터!$AK$5:$AK$64,MATCH($F302,사건마스터!$A$5:$A$64,0)),""))</f>
        <v/>
      </c>
      <c r="O302" s="136">
        <f>IF($F302="","",IFERROR(INDEX(사건마스터!$AL$5:$AL$64,MATCH($F302,사건마스터!$A$5:$A$64,0)),""))</f>
        <v/>
      </c>
      <c r="P302" s="136">
        <f>IF($F302="","",IFERROR(INDEX(사건마스터!$AM$5:$AM$64,MATCH($F302,사건마스터!$A$5:$A$64,0)),""))</f>
        <v/>
      </c>
      <c r="Q302" s="136">
        <f>IF($F302="","",IFERROR(INDEX(사건마스터!$AN$5:$AN$64,MATCH($F302,사건마스터!$A$5:$A$64,0)),""))</f>
        <v/>
      </c>
      <c r="R302" s="136">
        <f>IF($F302="","",IFERROR(INDEX(사건마스터!$AO$5:$AO$64,MATCH($F302,사건마스터!$A$5:$A$64,0)),""))</f>
        <v/>
      </c>
      <c r="S302" s="136">
        <f>IF($F302="","",IFERROR(INDEX(사건마스터!$AP$5:$AP$64,MATCH($F302,사건마스터!$A$5:$A$64,0)),""))</f>
        <v/>
      </c>
      <c r="T302" s="136">
        <f>IF($F302="","",IFERROR(INDEX(사건마스터!$AQ$5:$AQ$64,MATCH($F302,사건마스터!$A$5:$A$64,0)),""))</f>
        <v/>
      </c>
      <c r="U302" s="136">
        <f>IF($F302="","",IFERROR(INDEX(사건마스터!$AR$5:$AR$64,MATCH($F302,사건마스터!$A$5:$A$64,0)),""))</f>
        <v/>
      </c>
      <c r="V302" s="136">
        <f>IF($F302="","",IFERROR(INDEX(사건마스터!$AS$5:$AS$64,MATCH($F302,사건마스터!$A$5:$A$64,0)),""))</f>
        <v/>
      </c>
      <c r="W302" s="136">
        <f>IF($F302="","",IFERROR(INDEX(사건마스터!$AT$5:$AT$64,MATCH($F302,사건마스터!$A$5:$A$64,0)),""))</f>
        <v/>
      </c>
      <c r="X302" s="136">
        <f>IF($F302="","",IFERROR(INDEX(사건마스터!$AU$5:$AU$64,MATCH($F302,사건마스터!$A$5:$A$64,0)),""))</f>
        <v/>
      </c>
      <c r="Y302" s="136">
        <f>IF($F302="","",IFERROR(INDEX(사건마스터!$AV$5:$AV$64,MATCH($F302,사건마스터!$A$5:$A$64,0)),""))</f>
        <v/>
      </c>
      <c r="Z302" s="118">
        <f>IF(COUNTBLANK($J302:$Y302)=16,"",16-COUNTBLANK($J302:$Y302))</f>
        <v/>
      </c>
      <c r="AA302" s="33">
        <f>IF($J302="",MID($AX302,3,255),$J302&amp;$AX302)</f>
        <v/>
      </c>
      <c r="AB302" s="130">
        <f>IF($J302="","",IFERROR(INDEX(코드설정!$D$5:$D$24,MATCH($J302,코드설정!$C$5:$C$24,0)),""))</f>
        <v/>
      </c>
      <c r="AC302" s="36" t="n"/>
      <c r="AD302" s="37" t="n"/>
      <c r="AE302" s="38" t="n"/>
      <c r="AF302" s="118">
        <f>IF(OR($B302="",$C302=""),"",$C302-$B302+1)</f>
        <v/>
      </c>
      <c r="AG302" s="74" t="n"/>
      <c r="AH302" s="36" t="n"/>
      <c r="AJ302">
        <f>IF($K302="","",", "&amp;$K302)</f>
        <v/>
      </c>
      <c r="AK302">
        <f>AJ302&amp;IF($L302="","",", "&amp;$L302)</f>
        <v/>
      </c>
      <c r="AL302">
        <f>AK302&amp;IF($M302="","",", "&amp;$M302)</f>
        <v/>
      </c>
      <c r="AM302">
        <f>AL302&amp;IF($N302="","",", "&amp;$N302)</f>
        <v/>
      </c>
      <c r="AN302">
        <f>AM302&amp;IF($O302="","",", "&amp;$O302)</f>
        <v/>
      </c>
      <c r="AO302">
        <f>AN302&amp;IF($P302="","",", "&amp;$P302)</f>
        <v/>
      </c>
      <c r="AP302">
        <f>AO302&amp;IF($Q302="","",", "&amp;$Q302)</f>
        <v/>
      </c>
      <c r="AQ302">
        <f>AP302&amp;IF($R302="","",", "&amp;$R302)</f>
        <v/>
      </c>
      <c r="AR302">
        <f>AQ302&amp;IF($S302="","",", "&amp;$S302)</f>
        <v/>
      </c>
      <c r="AS302">
        <f>AR302&amp;IF($T302="","",", "&amp;$T302)</f>
        <v/>
      </c>
      <c r="AT302">
        <f>AS302&amp;IF($U302="","",", "&amp;$U302)</f>
        <v/>
      </c>
      <c r="AU302">
        <f>AT302&amp;IF($V302="","",", "&amp;$V302)</f>
        <v/>
      </c>
      <c r="AV302">
        <f>AU302&amp;IF($W302="","",", "&amp;$W302)</f>
        <v/>
      </c>
      <c r="AW302">
        <f>AV302&amp;IF($X302="","",", "&amp;$X302)</f>
        <v/>
      </c>
      <c r="AX302">
        <f>AW302&amp;IF($Y302="","",", "&amp;$Y302)</f>
        <v/>
      </c>
    </row>
    <row r="303">
      <c r="A303" s="118">
        <f>IF($B303="","",COUNT($B$5:$B303))</f>
        <v/>
      </c>
      <c r="B303" s="80" t="n"/>
      <c r="C303" s="80" t="n"/>
      <c r="D303" s="74" t="n"/>
      <c r="E303" s="74" t="n"/>
      <c r="F303" s="74" t="n"/>
      <c r="G303" s="118">
        <f>IF($F303="","",COUNTIF($F$5:$F303,$F303))</f>
        <v/>
      </c>
      <c r="H303" s="33">
        <f>IF($F303="","",IFERROR(INDEX(사건마스터!$B$5:$B$64,MATCH($F303,사건마스터!$A$5:$A$64,0)),""))</f>
        <v/>
      </c>
      <c r="I303" s="130">
        <f>IF($F303="","",IFERROR(INDEX(사건마스터!$C$5:$C$64,MATCH($F303,사건마스터!$A$5:$A$64,0)),""))</f>
        <v/>
      </c>
      <c r="J303" s="136">
        <f>IF($F303="","",IFERROR(INDEX(사건마스터!$H$5:$H$64,MATCH($F303,사건마스터!$A$5:$A$64,0)),""))</f>
        <v/>
      </c>
      <c r="K303" s="136">
        <f>IF($F303="","",IFERROR(INDEX(사건마스터!$AH$5:$AH$64,MATCH($F303,사건마스터!$A$5:$A$64,0)),""))</f>
        <v/>
      </c>
      <c r="L303" s="136">
        <f>IF($F303="","",IFERROR(INDEX(사건마스터!$AI$5:$AI$64,MATCH($F303,사건마스터!$A$5:$A$64,0)),""))</f>
        <v/>
      </c>
      <c r="M303" s="136">
        <f>IF($F303="","",IFERROR(INDEX(사건마스터!$AJ$5:$AJ$64,MATCH($F303,사건마스터!$A$5:$A$64,0)),""))</f>
        <v/>
      </c>
      <c r="N303" s="136">
        <f>IF($F303="","",IFERROR(INDEX(사건마스터!$AK$5:$AK$64,MATCH($F303,사건마스터!$A$5:$A$64,0)),""))</f>
        <v/>
      </c>
      <c r="O303" s="136">
        <f>IF($F303="","",IFERROR(INDEX(사건마스터!$AL$5:$AL$64,MATCH($F303,사건마스터!$A$5:$A$64,0)),""))</f>
        <v/>
      </c>
      <c r="P303" s="136">
        <f>IF($F303="","",IFERROR(INDEX(사건마스터!$AM$5:$AM$64,MATCH($F303,사건마스터!$A$5:$A$64,0)),""))</f>
        <v/>
      </c>
      <c r="Q303" s="136">
        <f>IF($F303="","",IFERROR(INDEX(사건마스터!$AN$5:$AN$64,MATCH($F303,사건마스터!$A$5:$A$64,0)),""))</f>
        <v/>
      </c>
      <c r="R303" s="136">
        <f>IF($F303="","",IFERROR(INDEX(사건마스터!$AO$5:$AO$64,MATCH($F303,사건마스터!$A$5:$A$64,0)),""))</f>
        <v/>
      </c>
      <c r="S303" s="136">
        <f>IF($F303="","",IFERROR(INDEX(사건마스터!$AP$5:$AP$64,MATCH($F303,사건마스터!$A$5:$A$64,0)),""))</f>
        <v/>
      </c>
      <c r="T303" s="136">
        <f>IF($F303="","",IFERROR(INDEX(사건마스터!$AQ$5:$AQ$64,MATCH($F303,사건마스터!$A$5:$A$64,0)),""))</f>
        <v/>
      </c>
      <c r="U303" s="136">
        <f>IF($F303="","",IFERROR(INDEX(사건마스터!$AR$5:$AR$64,MATCH($F303,사건마스터!$A$5:$A$64,0)),""))</f>
        <v/>
      </c>
      <c r="V303" s="136">
        <f>IF($F303="","",IFERROR(INDEX(사건마스터!$AS$5:$AS$64,MATCH($F303,사건마스터!$A$5:$A$64,0)),""))</f>
        <v/>
      </c>
      <c r="W303" s="136">
        <f>IF($F303="","",IFERROR(INDEX(사건마스터!$AT$5:$AT$64,MATCH($F303,사건마스터!$A$5:$A$64,0)),""))</f>
        <v/>
      </c>
      <c r="X303" s="136">
        <f>IF($F303="","",IFERROR(INDEX(사건마스터!$AU$5:$AU$64,MATCH($F303,사건마스터!$A$5:$A$64,0)),""))</f>
        <v/>
      </c>
      <c r="Y303" s="136">
        <f>IF($F303="","",IFERROR(INDEX(사건마스터!$AV$5:$AV$64,MATCH($F303,사건마스터!$A$5:$A$64,0)),""))</f>
        <v/>
      </c>
      <c r="Z303" s="118">
        <f>IF(COUNTBLANK($J303:$Y303)=16,"",16-COUNTBLANK($J303:$Y303))</f>
        <v/>
      </c>
      <c r="AA303" s="33">
        <f>IF($J303="",MID($AX303,3,255),$J303&amp;$AX303)</f>
        <v/>
      </c>
      <c r="AB303" s="130">
        <f>IF($J303="","",IFERROR(INDEX(코드설정!$D$5:$D$24,MATCH($J303,코드설정!$C$5:$C$24,0)),""))</f>
        <v/>
      </c>
      <c r="AC303" s="36" t="n"/>
      <c r="AD303" s="37" t="n"/>
      <c r="AE303" s="38" t="n"/>
      <c r="AF303" s="118">
        <f>IF(OR($B303="",$C303=""),"",$C303-$B303+1)</f>
        <v/>
      </c>
      <c r="AG303" s="74" t="n"/>
      <c r="AH303" s="36" t="n"/>
      <c r="AJ303">
        <f>IF($K303="","",", "&amp;$K303)</f>
        <v/>
      </c>
      <c r="AK303">
        <f>AJ303&amp;IF($L303="","",", "&amp;$L303)</f>
        <v/>
      </c>
      <c r="AL303">
        <f>AK303&amp;IF($M303="","",", "&amp;$M303)</f>
        <v/>
      </c>
      <c r="AM303">
        <f>AL303&amp;IF($N303="","",", "&amp;$N303)</f>
        <v/>
      </c>
      <c r="AN303">
        <f>AM303&amp;IF($O303="","",", "&amp;$O303)</f>
        <v/>
      </c>
      <c r="AO303">
        <f>AN303&amp;IF($P303="","",", "&amp;$P303)</f>
        <v/>
      </c>
      <c r="AP303">
        <f>AO303&amp;IF($Q303="","",", "&amp;$Q303)</f>
        <v/>
      </c>
      <c r="AQ303">
        <f>AP303&amp;IF($R303="","",", "&amp;$R303)</f>
        <v/>
      </c>
      <c r="AR303">
        <f>AQ303&amp;IF($S303="","",", "&amp;$S303)</f>
        <v/>
      </c>
      <c r="AS303">
        <f>AR303&amp;IF($T303="","",", "&amp;$T303)</f>
        <v/>
      </c>
      <c r="AT303">
        <f>AS303&amp;IF($U303="","",", "&amp;$U303)</f>
        <v/>
      </c>
      <c r="AU303">
        <f>AT303&amp;IF($V303="","",", "&amp;$V303)</f>
        <v/>
      </c>
      <c r="AV303">
        <f>AU303&amp;IF($W303="","",", "&amp;$W303)</f>
        <v/>
      </c>
      <c r="AW303">
        <f>AV303&amp;IF($X303="","",", "&amp;$X303)</f>
        <v/>
      </c>
      <c r="AX303">
        <f>AW303&amp;IF($Y303="","",", "&amp;$Y303)</f>
        <v/>
      </c>
    </row>
    <row r="304">
      <c r="A304" s="118">
        <f>IF($B304="","",COUNT($B$5:$B304))</f>
        <v/>
      </c>
      <c r="B304" s="80" t="n"/>
      <c r="C304" s="80" t="n"/>
      <c r="D304" s="74" t="n"/>
      <c r="E304" s="74" t="n"/>
      <c r="F304" s="74" t="n"/>
      <c r="G304" s="118">
        <f>IF($F304="","",COUNTIF($F$5:$F304,$F304))</f>
        <v/>
      </c>
      <c r="H304" s="33">
        <f>IF($F304="","",IFERROR(INDEX(사건마스터!$B$5:$B$64,MATCH($F304,사건마스터!$A$5:$A$64,0)),""))</f>
        <v/>
      </c>
      <c r="I304" s="130">
        <f>IF($F304="","",IFERROR(INDEX(사건마스터!$C$5:$C$64,MATCH($F304,사건마스터!$A$5:$A$64,0)),""))</f>
        <v/>
      </c>
      <c r="J304" s="136">
        <f>IF($F304="","",IFERROR(INDEX(사건마스터!$H$5:$H$64,MATCH($F304,사건마스터!$A$5:$A$64,0)),""))</f>
        <v/>
      </c>
      <c r="K304" s="136">
        <f>IF($F304="","",IFERROR(INDEX(사건마스터!$AH$5:$AH$64,MATCH($F304,사건마스터!$A$5:$A$64,0)),""))</f>
        <v/>
      </c>
      <c r="L304" s="136">
        <f>IF($F304="","",IFERROR(INDEX(사건마스터!$AI$5:$AI$64,MATCH($F304,사건마스터!$A$5:$A$64,0)),""))</f>
        <v/>
      </c>
      <c r="M304" s="136">
        <f>IF($F304="","",IFERROR(INDEX(사건마스터!$AJ$5:$AJ$64,MATCH($F304,사건마스터!$A$5:$A$64,0)),""))</f>
        <v/>
      </c>
      <c r="N304" s="136">
        <f>IF($F304="","",IFERROR(INDEX(사건마스터!$AK$5:$AK$64,MATCH($F304,사건마스터!$A$5:$A$64,0)),""))</f>
        <v/>
      </c>
      <c r="O304" s="136">
        <f>IF($F304="","",IFERROR(INDEX(사건마스터!$AL$5:$AL$64,MATCH($F304,사건마스터!$A$5:$A$64,0)),""))</f>
        <v/>
      </c>
      <c r="P304" s="136">
        <f>IF($F304="","",IFERROR(INDEX(사건마스터!$AM$5:$AM$64,MATCH($F304,사건마스터!$A$5:$A$64,0)),""))</f>
        <v/>
      </c>
      <c r="Q304" s="136">
        <f>IF($F304="","",IFERROR(INDEX(사건마스터!$AN$5:$AN$64,MATCH($F304,사건마스터!$A$5:$A$64,0)),""))</f>
        <v/>
      </c>
      <c r="R304" s="136">
        <f>IF($F304="","",IFERROR(INDEX(사건마스터!$AO$5:$AO$64,MATCH($F304,사건마스터!$A$5:$A$64,0)),""))</f>
        <v/>
      </c>
      <c r="S304" s="136">
        <f>IF($F304="","",IFERROR(INDEX(사건마스터!$AP$5:$AP$64,MATCH($F304,사건마스터!$A$5:$A$64,0)),""))</f>
        <v/>
      </c>
      <c r="T304" s="136">
        <f>IF($F304="","",IFERROR(INDEX(사건마스터!$AQ$5:$AQ$64,MATCH($F304,사건마스터!$A$5:$A$64,0)),""))</f>
        <v/>
      </c>
      <c r="U304" s="136">
        <f>IF($F304="","",IFERROR(INDEX(사건마스터!$AR$5:$AR$64,MATCH($F304,사건마스터!$A$5:$A$64,0)),""))</f>
        <v/>
      </c>
      <c r="V304" s="136">
        <f>IF($F304="","",IFERROR(INDEX(사건마스터!$AS$5:$AS$64,MATCH($F304,사건마스터!$A$5:$A$64,0)),""))</f>
        <v/>
      </c>
      <c r="W304" s="136">
        <f>IF($F304="","",IFERROR(INDEX(사건마스터!$AT$5:$AT$64,MATCH($F304,사건마스터!$A$5:$A$64,0)),""))</f>
        <v/>
      </c>
      <c r="X304" s="136">
        <f>IF($F304="","",IFERROR(INDEX(사건마스터!$AU$5:$AU$64,MATCH($F304,사건마스터!$A$5:$A$64,0)),""))</f>
        <v/>
      </c>
      <c r="Y304" s="136">
        <f>IF($F304="","",IFERROR(INDEX(사건마스터!$AV$5:$AV$64,MATCH($F304,사건마스터!$A$5:$A$64,0)),""))</f>
        <v/>
      </c>
      <c r="Z304" s="118">
        <f>IF(COUNTBLANK($J304:$Y304)=16,"",16-COUNTBLANK($J304:$Y304))</f>
        <v/>
      </c>
      <c r="AA304" s="33">
        <f>IF($J304="",MID($AX304,3,255),$J304&amp;$AX304)</f>
        <v/>
      </c>
      <c r="AB304" s="130">
        <f>IF($J304="","",IFERROR(INDEX(코드설정!$D$5:$D$24,MATCH($J304,코드설정!$C$5:$C$24,0)),""))</f>
        <v/>
      </c>
      <c r="AC304" s="36" t="n"/>
      <c r="AD304" s="37" t="n"/>
      <c r="AE304" s="38" t="n"/>
      <c r="AF304" s="118">
        <f>IF(OR($B304="",$C304=""),"",$C304-$B304+1)</f>
        <v/>
      </c>
      <c r="AG304" s="74" t="n"/>
      <c r="AH304" s="36" t="n"/>
      <c r="AJ304">
        <f>IF($K304="","",", "&amp;$K304)</f>
        <v/>
      </c>
      <c r="AK304">
        <f>AJ304&amp;IF($L304="","",", "&amp;$L304)</f>
        <v/>
      </c>
      <c r="AL304">
        <f>AK304&amp;IF($M304="","",", "&amp;$M304)</f>
        <v/>
      </c>
      <c r="AM304">
        <f>AL304&amp;IF($N304="","",", "&amp;$N304)</f>
        <v/>
      </c>
      <c r="AN304">
        <f>AM304&amp;IF($O304="","",", "&amp;$O304)</f>
        <v/>
      </c>
      <c r="AO304">
        <f>AN304&amp;IF($P304="","",", "&amp;$P304)</f>
        <v/>
      </c>
      <c r="AP304">
        <f>AO304&amp;IF($Q304="","",", "&amp;$Q304)</f>
        <v/>
      </c>
      <c r="AQ304">
        <f>AP304&amp;IF($R304="","",", "&amp;$R304)</f>
        <v/>
      </c>
      <c r="AR304">
        <f>AQ304&amp;IF($S304="","",", "&amp;$S304)</f>
        <v/>
      </c>
      <c r="AS304">
        <f>AR304&amp;IF($T304="","",", "&amp;$T304)</f>
        <v/>
      </c>
      <c r="AT304">
        <f>AS304&amp;IF($U304="","",", "&amp;$U304)</f>
        <v/>
      </c>
      <c r="AU304">
        <f>AT304&amp;IF($V304="","",", "&amp;$V304)</f>
        <v/>
      </c>
      <c r="AV304">
        <f>AU304&amp;IF($W304="","",", "&amp;$W304)</f>
        <v/>
      </c>
      <c r="AW304">
        <f>AV304&amp;IF($X304="","",", "&amp;$X304)</f>
        <v/>
      </c>
      <c r="AX304">
        <f>AW304&amp;IF($Y304="","",", "&amp;$Y304)</f>
        <v/>
      </c>
    </row>
    <row r="305">
      <c r="A305" s="118">
        <f>IF($B305="","",COUNT($B$5:$B305))</f>
        <v/>
      </c>
      <c r="B305" s="80" t="n"/>
      <c r="C305" s="80" t="n"/>
      <c r="D305" s="74" t="n"/>
      <c r="E305" s="74" t="n"/>
      <c r="F305" s="74" t="n"/>
      <c r="G305" s="118">
        <f>IF($F305="","",COUNTIF($F$5:$F305,$F305))</f>
        <v/>
      </c>
      <c r="H305" s="33">
        <f>IF($F305="","",IFERROR(INDEX(사건마스터!$B$5:$B$64,MATCH($F305,사건마스터!$A$5:$A$64,0)),""))</f>
        <v/>
      </c>
      <c r="I305" s="130">
        <f>IF($F305="","",IFERROR(INDEX(사건마스터!$C$5:$C$64,MATCH($F305,사건마스터!$A$5:$A$64,0)),""))</f>
        <v/>
      </c>
      <c r="J305" s="136">
        <f>IF($F305="","",IFERROR(INDEX(사건마스터!$H$5:$H$64,MATCH($F305,사건마스터!$A$5:$A$64,0)),""))</f>
        <v/>
      </c>
      <c r="K305" s="136">
        <f>IF($F305="","",IFERROR(INDEX(사건마스터!$AH$5:$AH$64,MATCH($F305,사건마스터!$A$5:$A$64,0)),""))</f>
        <v/>
      </c>
      <c r="L305" s="136">
        <f>IF($F305="","",IFERROR(INDEX(사건마스터!$AI$5:$AI$64,MATCH($F305,사건마스터!$A$5:$A$64,0)),""))</f>
        <v/>
      </c>
      <c r="M305" s="136">
        <f>IF($F305="","",IFERROR(INDEX(사건마스터!$AJ$5:$AJ$64,MATCH($F305,사건마스터!$A$5:$A$64,0)),""))</f>
        <v/>
      </c>
      <c r="N305" s="136">
        <f>IF($F305="","",IFERROR(INDEX(사건마스터!$AK$5:$AK$64,MATCH($F305,사건마스터!$A$5:$A$64,0)),""))</f>
        <v/>
      </c>
      <c r="O305" s="136">
        <f>IF($F305="","",IFERROR(INDEX(사건마스터!$AL$5:$AL$64,MATCH($F305,사건마스터!$A$5:$A$64,0)),""))</f>
        <v/>
      </c>
      <c r="P305" s="136">
        <f>IF($F305="","",IFERROR(INDEX(사건마스터!$AM$5:$AM$64,MATCH($F305,사건마스터!$A$5:$A$64,0)),""))</f>
        <v/>
      </c>
      <c r="Q305" s="136">
        <f>IF($F305="","",IFERROR(INDEX(사건마스터!$AN$5:$AN$64,MATCH($F305,사건마스터!$A$5:$A$64,0)),""))</f>
        <v/>
      </c>
      <c r="R305" s="136">
        <f>IF($F305="","",IFERROR(INDEX(사건마스터!$AO$5:$AO$64,MATCH($F305,사건마스터!$A$5:$A$64,0)),""))</f>
        <v/>
      </c>
      <c r="S305" s="136">
        <f>IF($F305="","",IFERROR(INDEX(사건마스터!$AP$5:$AP$64,MATCH($F305,사건마스터!$A$5:$A$64,0)),""))</f>
        <v/>
      </c>
      <c r="T305" s="136">
        <f>IF($F305="","",IFERROR(INDEX(사건마스터!$AQ$5:$AQ$64,MATCH($F305,사건마스터!$A$5:$A$64,0)),""))</f>
        <v/>
      </c>
      <c r="U305" s="136">
        <f>IF($F305="","",IFERROR(INDEX(사건마스터!$AR$5:$AR$64,MATCH($F305,사건마스터!$A$5:$A$64,0)),""))</f>
        <v/>
      </c>
      <c r="V305" s="136">
        <f>IF($F305="","",IFERROR(INDEX(사건마스터!$AS$5:$AS$64,MATCH($F305,사건마스터!$A$5:$A$64,0)),""))</f>
        <v/>
      </c>
      <c r="W305" s="136">
        <f>IF($F305="","",IFERROR(INDEX(사건마스터!$AT$5:$AT$64,MATCH($F305,사건마스터!$A$5:$A$64,0)),""))</f>
        <v/>
      </c>
      <c r="X305" s="136">
        <f>IF($F305="","",IFERROR(INDEX(사건마스터!$AU$5:$AU$64,MATCH($F305,사건마스터!$A$5:$A$64,0)),""))</f>
        <v/>
      </c>
      <c r="Y305" s="136">
        <f>IF($F305="","",IFERROR(INDEX(사건마스터!$AV$5:$AV$64,MATCH($F305,사건마스터!$A$5:$A$64,0)),""))</f>
        <v/>
      </c>
      <c r="Z305" s="118">
        <f>IF(COUNTBLANK($J305:$Y305)=16,"",16-COUNTBLANK($J305:$Y305))</f>
        <v/>
      </c>
      <c r="AA305" s="33">
        <f>IF($J305="",MID($AX305,3,255),$J305&amp;$AX305)</f>
        <v/>
      </c>
      <c r="AB305" s="130">
        <f>IF($J305="","",IFERROR(INDEX(코드설정!$D$5:$D$24,MATCH($J305,코드설정!$C$5:$C$24,0)),""))</f>
        <v/>
      </c>
      <c r="AC305" s="36" t="n"/>
      <c r="AD305" s="37" t="n"/>
      <c r="AE305" s="38" t="n"/>
      <c r="AF305" s="118">
        <f>IF(OR($B305="",$C305=""),"",$C305-$B305+1)</f>
        <v/>
      </c>
      <c r="AG305" s="74" t="n"/>
      <c r="AH305" s="36" t="n"/>
      <c r="AJ305">
        <f>IF($K305="","",", "&amp;$K305)</f>
        <v/>
      </c>
      <c r="AK305">
        <f>AJ305&amp;IF($L305="","",", "&amp;$L305)</f>
        <v/>
      </c>
      <c r="AL305">
        <f>AK305&amp;IF($M305="","",", "&amp;$M305)</f>
        <v/>
      </c>
      <c r="AM305">
        <f>AL305&amp;IF($N305="","",", "&amp;$N305)</f>
        <v/>
      </c>
      <c r="AN305">
        <f>AM305&amp;IF($O305="","",", "&amp;$O305)</f>
        <v/>
      </c>
      <c r="AO305">
        <f>AN305&amp;IF($P305="","",", "&amp;$P305)</f>
        <v/>
      </c>
      <c r="AP305">
        <f>AO305&amp;IF($Q305="","",", "&amp;$Q305)</f>
        <v/>
      </c>
      <c r="AQ305">
        <f>AP305&amp;IF($R305="","",", "&amp;$R305)</f>
        <v/>
      </c>
      <c r="AR305">
        <f>AQ305&amp;IF($S305="","",", "&amp;$S305)</f>
        <v/>
      </c>
      <c r="AS305">
        <f>AR305&amp;IF($T305="","",", "&amp;$T305)</f>
        <v/>
      </c>
      <c r="AT305">
        <f>AS305&amp;IF($U305="","",", "&amp;$U305)</f>
        <v/>
      </c>
      <c r="AU305">
        <f>AT305&amp;IF($V305="","",", "&amp;$V305)</f>
        <v/>
      </c>
      <c r="AV305">
        <f>AU305&amp;IF($W305="","",", "&amp;$W305)</f>
        <v/>
      </c>
      <c r="AW305">
        <f>AV305&amp;IF($X305="","",", "&amp;$X305)</f>
        <v/>
      </c>
      <c r="AX305">
        <f>AW305&amp;IF($Y305="","",", "&amp;$Y305)</f>
        <v/>
      </c>
    </row>
    <row r="306">
      <c r="A306" s="118">
        <f>IF($B306="","",COUNT($B$5:$B306))</f>
        <v/>
      </c>
      <c r="B306" s="80" t="n"/>
      <c r="C306" s="80" t="n"/>
      <c r="D306" s="74" t="n"/>
      <c r="E306" s="74" t="n"/>
      <c r="F306" s="74" t="n"/>
      <c r="G306" s="118">
        <f>IF($F306="","",COUNTIF($F$5:$F306,$F306))</f>
        <v/>
      </c>
      <c r="H306" s="33">
        <f>IF($F306="","",IFERROR(INDEX(사건마스터!$B$5:$B$64,MATCH($F306,사건마스터!$A$5:$A$64,0)),""))</f>
        <v/>
      </c>
      <c r="I306" s="130">
        <f>IF($F306="","",IFERROR(INDEX(사건마스터!$C$5:$C$64,MATCH($F306,사건마스터!$A$5:$A$64,0)),""))</f>
        <v/>
      </c>
      <c r="J306" s="136">
        <f>IF($F306="","",IFERROR(INDEX(사건마스터!$H$5:$H$64,MATCH($F306,사건마스터!$A$5:$A$64,0)),""))</f>
        <v/>
      </c>
      <c r="K306" s="136">
        <f>IF($F306="","",IFERROR(INDEX(사건마스터!$AH$5:$AH$64,MATCH($F306,사건마스터!$A$5:$A$64,0)),""))</f>
        <v/>
      </c>
      <c r="L306" s="136">
        <f>IF($F306="","",IFERROR(INDEX(사건마스터!$AI$5:$AI$64,MATCH($F306,사건마스터!$A$5:$A$64,0)),""))</f>
        <v/>
      </c>
      <c r="M306" s="136">
        <f>IF($F306="","",IFERROR(INDEX(사건마스터!$AJ$5:$AJ$64,MATCH($F306,사건마스터!$A$5:$A$64,0)),""))</f>
        <v/>
      </c>
      <c r="N306" s="136">
        <f>IF($F306="","",IFERROR(INDEX(사건마스터!$AK$5:$AK$64,MATCH($F306,사건마스터!$A$5:$A$64,0)),""))</f>
        <v/>
      </c>
      <c r="O306" s="136">
        <f>IF($F306="","",IFERROR(INDEX(사건마스터!$AL$5:$AL$64,MATCH($F306,사건마스터!$A$5:$A$64,0)),""))</f>
        <v/>
      </c>
      <c r="P306" s="136">
        <f>IF($F306="","",IFERROR(INDEX(사건마스터!$AM$5:$AM$64,MATCH($F306,사건마스터!$A$5:$A$64,0)),""))</f>
        <v/>
      </c>
      <c r="Q306" s="136">
        <f>IF($F306="","",IFERROR(INDEX(사건마스터!$AN$5:$AN$64,MATCH($F306,사건마스터!$A$5:$A$64,0)),""))</f>
        <v/>
      </c>
      <c r="R306" s="136">
        <f>IF($F306="","",IFERROR(INDEX(사건마스터!$AO$5:$AO$64,MATCH($F306,사건마스터!$A$5:$A$64,0)),""))</f>
        <v/>
      </c>
      <c r="S306" s="136">
        <f>IF($F306="","",IFERROR(INDEX(사건마스터!$AP$5:$AP$64,MATCH($F306,사건마스터!$A$5:$A$64,0)),""))</f>
        <v/>
      </c>
      <c r="T306" s="136">
        <f>IF($F306="","",IFERROR(INDEX(사건마스터!$AQ$5:$AQ$64,MATCH($F306,사건마스터!$A$5:$A$64,0)),""))</f>
        <v/>
      </c>
      <c r="U306" s="136">
        <f>IF($F306="","",IFERROR(INDEX(사건마스터!$AR$5:$AR$64,MATCH($F306,사건마스터!$A$5:$A$64,0)),""))</f>
        <v/>
      </c>
      <c r="V306" s="136">
        <f>IF($F306="","",IFERROR(INDEX(사건마스터!$AS$5:$AS$64,MATCH($F306,사건마스터!$A$5:$A$64,0)),""))</f>
        <v/>
      </c>
      <c r="W306" s="136">
        <f>IF($F306="","",IFERROR(INDEX(사건마스터!$AT$5:$AT$64,MATCH($F306,사건마스터!$A$5:$A$64,0)),""))</f>
        <v/>
      </c>
      <c r="X306" s="136">
        <f>IF($F306="","",IFERROR(INDEX(사건마스터!$AU$5:$AU$64,MATCH($F306,사건마스터!$A$5:$A$64,0)),""))</f>
        <v/>
      </c>
      <c r="Y306" s="136">
        <f>IF($F306="","",IFERROR(INDEX(사건마스터!$AV$5:$AV$64,MATCH($F306,사건마스터!$A$5:$A$64,0)),""))</f>
        <v/>
      </c>
      <c r="Z306" s="118">
        <f>IF(COUNTBLANK($J306:$Y306)=16,"",16-COUNTBLANK($J306:$Y306))</f>
        <v/>
      </c>
      <c r="AA306" s="33">
        <f>IF($J306="",MID($AX306,3,255),$J306&amp;$AX306)</f>
        <v/>
      </c>
      <c r="AB306" s="130">
        <f>IF($J306="","",IFERROR(INDEX(코드설정!$D$5:$D$24,MATCH($J306,코드설정!$C$5:$C$24,0)),""))</f>
        <v/>
      </c>
      <c r="AC306" s="36" t="n"/>
      <c r="AD306" s="37" t="n"/>
      <c r="AE306" s="38" t="n"/>
      <c r="AF306" s="118">
        <f>IF(OR($B306="",$C306=""),"",$C306-$B306+1)</f>
        <v/>
      </c>
      <c r="AG306" s="74" t="n"/>
      <c r="AH306" s="36" t="n"/>
      <c r="AJ306">
        <f>IF($K306="","",", "&amp;$K306)</f>
        <v/>
      </c>
      <c r="AK306">
        <f>AJ306&amp;IF($L306="","",", "&amp;$L306)</f>
        <v/>
      </c>
      <c r="AL306">
        <f>AK306&amp;IF($M306="","",", "&amp;$M306)</f>
        <v/>
      </c>
      <c r="AM306">
        <f>AL306&amp;IF($N306="","",", "&amp;$N306)</f>
        <v/>
      </c>
      <c r="AN306">
        <f>AM306&amp;IF($O306="","",", "&amp;$O306)</f>
        <v/>
      </c>
      <c r="AO306">
        <f>AN306&amp;IF($P306="","",", "&amp;$P306)</f>
        <v/>
      </c>
      <c r="AP306">
        <f>AO306&amp;IF($Q306="","",", "&amp;$Q306)</f>
        <v/>
      </c>
      <c r="AQ306">
        <f>AP306&amp;IF($R306="","",", "&amp;$R306)</f>
        <v/>
      </c>
      <c r="AR306">
        <f>AQ306&amp;IF($S306="","",", "&amp;$S306)</f>
        <v/>
      </c>
      <c r="AS306">
        <f>AR306&amp;IF($T306="","",", "&amp;$T306)</f>
        <v/>
      </c>
      <c r="AT306">
        <f>AS306&amp;IF($U306="","",", "&amp;$U306)</f>
        <v/>
      </c>
      <c r="AU306">
        <f>AT306&amp;IF($V306="","",", "&amp;$V306)</f>
        <v/>
      </c>
      <c r="AV306">
        <f>AU306&amp;IF($W306="","",", "&amp;$W306)</f>
        <v/>
      </c>
      <c r="AW306">
        <f>AV306&amp;IF($X306="","",", "&amp;$X306)</f>
        <v/>
      </c>
      <c r="AX306">
        <f>AW306&amp;IF($Y306="","",", "&amp;$Y306)</f>
        <v/>
      </c>
    </row>
    <row r="307">
      <c r="A307" s="118">
        <f>IF($B307="","",COUNT($B$5:$B307))</f>
        <v/>
      </c>
      <c r="B307" s="80" t="n"/>
      <c r="C307" s="80" t="n"/>
      <c r="D307" s="74" t="n"/>
      <c r="E307" s="74" t="n"/>
      <c r="F307" s="74" t="n"/>
      <c r="G307" s="118">
        <f>IF($F307="","",COUNTIF($F$5:$F307,$F307))</f>
        <v/>
      </c>
      <c r="H307" s="33">
        <f>IF($F307="","",IFERROR(INDEX(사건마스터!$B$5:$B$64,MATCH($F307,사건마스터!$A$5:$A$64,0)),""))</f>
        <v/>
      </c>
      <c r="I307" s="130">
        <f>IF($F307="","",IFERROR(INDEX(사건마스터!$C$5:$C$64,MATCH($F307,사건마스터!$A$5:$A$64,0)),""))</f>
        <v/>
      </c>
      <c r="J307" s="136">
        <f>IF($F307="","",IFERROR(INDEX(사건마스터!$H$5:$H$64,MATCH($F307,사건마스터!$A$5:$A$64,0)),""))</f>
        <v/>
      </c>
      <c r="K307" s="136">
        <f>IF($F307="","",IFERROR(INDEX(사건마스터!$AH$5:$AH$64,MATCH($F307,사건마스터!$A$5:$A$64,0)),""))</f>
        <v/>
      </c>
      <c r="L307" s="136">
        <f>IF($F307="","",IFERROR(INDEX(사건마스터!$AI$5:$AI$64,MATCH($F307,사건마스터!$A$5:$A$64,0)),""))</f>
        <v/>
      </c>
      <c r="M307" s="136">
        <f>IF($F307="","",IFERROR(INDEX(사건마스터!$AJ$5:$AJ$64,MATCH($F307,사건마스터!$A$5:$A$64,0)),""))</f>
        <v/>
      </c>
      <c r="N307" s="136">
        <f>IF($F307="","",IFERROR(INDEX(사건마스터!$AK$5:$AK$64,MATCH($F307,사건마스터!$A$5:$A$64,0)),""))</f>
        <v/>
      </c>
      <c r="O307" s="136">
        <f>IF($F307="","",IFERROR(INDEX(사건마스터!$AL$5:$AL$64,MATCH($F307,사건마스터!$A$5:$A$64,0)),""))</f>
        <v/>
      </c>
      <c r="P307" s="136">
        <f>IF($F307="","",IFERROR(INDEX(사건마스터!$AM$5:$AM$64,MATCH($F307,사건마스터!$A$5:$A$64,0)),""))</f>
        <v/>
      </c>
      <c r="Q307" s="136">
        <f>IF($F307="","",IFERROR(INDEX(사건마스터!$AN$5:$AN$64,MATCH($F307,사건마스터!$A$5:$A$64,0)),""))</f>
        <v/>
      </c>
      <c r="R307" s="136">
        <f>IF($F307="","",IFERROR(INDEX(사건마스터!$AO$5:$AO$64,MATCH($F307,사건마스터!$A$5:$A$64,0)),""))</f>
        <v/>
      </c>
      <c r="S307" s="136">
        <f>IF($F307="","",IFERROR(INDEX(사건마스터!$AP$5:$AP$64,MATCH($F307,사건마스터!$A$5:$A$64,0)),""))</f>
        <v/>
      </c>
      <c r="T307" s="136">
        <f>IF($F307="","",IFERROR(INDEX(사건마스터!$AQ$5:$AQ$64,MATCH($F307,사건마스터!$A$5:$A$64,0)),""))</f>
        <v/>
      </c>
      <c r="U307" s="136">
        <f>IF($F307="","",IFERROR(INDEX(사건마스터!$AR$5:$AR$64,MATCH($F307,사건마스터!$A$5:$A$64,0)),""))</f>
        <v/>
      </c>
      <c r="V307" s="136">
        <f>IF($F307="","",IFERROR(INDEX(사건마스터!$AS$5:$AS$64,MATCH($F307,사건마스터!$A$5:$A$64,0)),""))</f>
        <v/>
      </c>
      <c r="W307" s="136">
        <f>IF($F307="","",IFERROR(INDEX(사건마스터!$AT$5:$AT$64,MATCH($F307,사건마스터!$A$5:$A$64,0)),""))</f>
        <v/>
      </c>
      <c r="X307" s="136">
        <f>IF($F307="","",IFERROR(INDEX(사건마스터!$AU$5:$AU$64,MATCH($F307,사건마스터!$A$5:$A$64,0)),""))</f>
        <v/>
      </c>
      <c r="Y307" s="136">
        <f>IF($F307="","",IFERROR(INDEX(사건마스터!$AV$5:$AV$64,MATCH($F307,사건마스터!$A$5:$A$64,0)),""))</f>
        <v/>
      </c>
      <c r="Z307" s="118">
        <f>IF(COUNTBLANK($J307:$Y307)=16,"",16-COUNTBLANK($J307:$Y307))</f>
        <v/>
      </c>
      <c r="AA307" s="33">
        <f>IF($J307="",MID($AX307,3,255),$J307&amp;$AX307)</f>
        <v/>
      </c>
      <c r="AB307" s="130">
        <f>IF($J307="","",IFERROR(INDEX(코드설정!$D$5:$D$24,MATCH($J307,코드설정!$C$5:$C$24,0)),""))</f>
        <v/>
      </c>
      <c r="AC307" s="36" t="n"/>
      <c r="AD307" s="37" t="n"/>
      <c r="AE307" s="38" t="n"/>
      <c r="AF307" s="118">
        <f>IF(OR($B307="",$C307=""),"",$C307-$B307+1)</f>
        <v/>
      </c>
      <c r="AG307" s="74" t="n"/>
      <c r="AH307" s="36" t="n"/>
      <c r="AJ307">
        <f>IF($K307="","",", "&amp;$K307)</f>
        <v/>
      </c>
      <c r="AK307">
        <f>AJ307&amp;IF($L307="","",", "&amp;$L307)</f>
        <v/>
      </c>
      <c r="AL307">
        <f>AK307&amp;IF($M307="","",", "&amp;$M307)</f>
        <v/>
      </c>
      <c r="AM307">
        <f>AL307&amp;IF($N307="","",", "&amp;$N307)</f>
        <v/>
      </c>
      <c r="AN307">
        <f>AM307&amp;IF($O307="","",", "&amp;$O307)</f>
        <v/>
      </c>
      <c r="AO307">
        <f>AN307&amp;IF($P307="","",", "&amp;$P307)</f>
        <v/>
      </c>
      <c r="AP307">
        <f>AO307&amp;IF($Q307="","",", "&amp;$Q307)</f>
        <v/>
      </c>
      <c r="AQ307">
        <f>AP307&amp;IF($R307="","",", "&amp;$R307)</f>
        <v/>
      </c>
      <c r="AR307">
        <f>AQ307&amp;IF($S307="","",", "&amp;$S307)</f>
        <v/>
      </c>
      <c r="AS307">
        <f>AR307&amp;IF($T307="","",", "&amp;$T307)</f>
        <v/>
      </c>
      <c r="AT307">
        <f>AS307&amp;IF($U307="","",", "&amp;$U307)</f>
        <v/>
      </c>
      <c r="AU307">
        <f>AT307&amp;IF($V307="","",", "&amp;$V307)</f>
        <v/>
      </c>
      <c r="AV307">
        <f>AU307&amp;IF($W307="","",", "&amp;$W307)</f>
        <v/>
      </c>
      <c r="AW307">
        <f>AV307&amp;IF($X307="","",", "&amp;$X307)</f>
        <v/>
      </c>
      <c r="AX307">
        <f>AW307&amp;IF($Y307="","",", "&amp;$Y307)</f>
        <v/>
      </c>
    </row>
    <row r="308">
      <c r="A308" s="118">
        <f>IF($B308="","",COUNT($B$5:$B308))</f>
        <v/>
      </c>
      <c r="B308" s="80" t="n"/>
      <c r="C308" s="80" t="n"/>
      <c r="D308" s="74" t="n"/>
      <c r="E308" s="74" t="n"/>
      <c r="F308" s="74" t="n"/>
      <c r="G308" s="118">
        <f>IF($F308="","",COUNTIF($F$5:$F308,$F308))</f>
        <v/>
      </c>
      <c r="H308" s="33">
        <f>IF($F308="","",IFERROR(INDEX(사건마스터!$B$5:$B$64,MATCH($F308,사건마스터!$A$5:$A$64,0)),""))</f>
        <v/>
      </c>
      <c r="I308" s="130">
        <f>IF($F308="","",IFERROR(INDEX(사건마스터!$C$5:$C$64,MATCH($F308,사건마스터!$A$5:$A$64,0)),""))</f>
        <v/>
      </c>
      <c r="J308" s="136">
        <f>IF($F308="","",IFERROR(INDEX(사건마스터!$H$5:$H$64,MATCH($F308,사건마스터!$A$5:$A$64,0)),""))</f>
        <v/>
      </c>
      <c r="K308" s="136">
        <f>IF($F308="","",IFERROR(INDEX(사건마스터!$AH$5:$AH$64,MATCH($F308,사건마스터!$A$5:$A$64,0)),""))</f>
        <v/>
      </c>
      <c r="L308" s="136">
        <f>IF($F308="","",IFERROR(INDEX(사건마스터!$AI$5:$AI$64,MATCH($F308,사건마스터!$A$5:$A$64,0)),""))</f>
        <v/>
      </c>
      <c r="M308" s="136">
        <f>IF($F308="","",IFERROR(INDEX(사건마스터!$AJ$5:$AJ$64,MATCH($F308,사건마스터!$A$5:$A$64,0)),""))</f>
        <v/>
      </c>
      <c r="N308" s="136">
        <f>IF($F308="","",IFERROR(INDEX(사건마스터!$AK$5:$AK$64,MATCH($F308,사건마스터!$A$5:$A$64,0)),""))</f>
        <v/>
      </c>
      <c r="O308" s="136">
        <f>IF($F308="","",IFERROR(INDEX(사건마스터!$AL$5:$AL$64,MATCH($F308,사건마스터!$A$5:$A$64,0)),""))</f>
        <v/>
      </c>
      <c r="P308" s="136">
        <f>IF($F308="","",IFERROR(INDEX(사건마스터!$AM$5:$AM$64,MATCH($F308,사건마스터!$A$5:$A$64,0)),""))</f>
        <v/>
      </c>
      <c r="Q308" s="136">
        <f>IF($F308="","",IFERROR(INDEX(사건마스터!$AN$5:$AN$64,MATCH($F308,사건마스터!$A$5:$A$64,0)),""))</f>
        <v/>
      </c>
      <c r="R308" s="136">
        <f>IF($F308="","",IFERROR(INDEX(사건마스터!$AO$5:$AO$64,MATCH($F308,사건마스터!$A$5:$A$64,0)),""))</f>
        <v/>
      </c>
      <c r="S308" s="136">
        <f>IF($F308="","",IFERROR(INDEX(사건마스터!$AP$5:$AP$64,MATCH($F308,사건마스터!$A$5:$A$64,0)),""))</f>
        <v/>
      </c>
      <c r="T308" s="136">
        <f>IF($F308="","",IFERROR(INDEX(사건마스터!$AQ$5:$AQ$64,MATCH($F308,사건마스터!$A$5:$A$64,0)),""))</f>
        <v/>
      </c>
      <c r="U308" s="136">
        <f>IF($F308="","",IFERROR(INDEX(사건마스터!$AR$5:$AR$64,MATCH($F308,사건마스터!$A$5:$A$64,0)),""))</f>
        <v/>
      </c>
      <c r="V308" s="136">
        <f>IF($F308="","",IFERROR(INDEX(사건마스터!$AS$5:$AS$64,MATCH($F308,사건마스터!$A$5:$A$64,0)),""))</f>
        <v/>
      </c>
      <c r="W308" s="136">
        <f>IF($F308="","",IFERROR(INDEX(사건마스터!$AT$5:$AT$64,MATCH($F308,사건마스터!$A$5:$A$64,0)),""))</f>
        <v/>
      </c>
      <c r="X308" s="136">
        <f>IF($F308="","",IFERROR(INDEX(사건마스터!$AU$5:$AU$64,MATCH($F308,사건마스터!$A$5:$A$64,0)),""))</f>
        <v/>
      </c>
      <c r="Y308" s="136">
        <f>IF($F308="","",IFERROR(INDEX(사건마스터!$AV$5:$AV$64,MATCH($F308,사건마스터!$A$5:$A$64,0)),""))</f>
        <v/>
      </c>
      <c r="Z308" s="118">
        <f>IF(COUNTBLANK($J308:$Y308)=16,"",16-COUNTBLANK($J308:$Y308))</f>
        <v/>
      </c>
      <c r="AA308" s="33">
        <f>IF($J308="",MID($AX308,3,255),$J308&amp;$AX308)</f>
        <v/>
      </c>
      <c r="AB308" s="130">
        <f>IF($J308="","",IFERROR(INDEX(코드설정!$D$5:$D$24,MATCH($J308,코드설정!$C$5:$C$24,0)),""))</f>
        <v/>
      </c>
      <c r="AC308" s="36" t="n"/>
      <c r="AD308" s="37" t="n"/>
      <c r="AE308" s="38" t="n"/>
      <c r="AF308" s="118">
        <f>IF(OR($B308="",$C308=""),"",$C308-$B308+1)</f>
        <v/>
      </c>
      <c r="AG308" s="74" t="n"/>
      <c r="AH308" s="36" t="n"/>
      <c r="AJ308">
        <f>IF($K308="","",", "&amp;$K308)</f>
        <v/>
      </c>
      <c r="AK308">
        <f>AJ308&amp;IF($L308="","",", "&amp;$L308)</f>
        <v/>
      </c>
      <c r="AL308">
        <f>AK308&amp;IF($M308="","",", "&amp;$M308)</f>
        <v/>
      </c>
      <c r="AM308">
        <f>AL308&amp;IF($N308="","",", "&amp;$N308)</f>
        <v/>
      </c>
      <c r="AN308">
        <f>AM308&amp;IF($O308="","",", "&amp;$O308)</f>
        <v/>
      </c>
      <c r="AO308">
        <f>AN308&amp;IF($P308="","",", "&amp;$P308)</f>
        <v/>
      </c>
      <c r="AP308">
        <f>AO308&amp;IF($Q308="","",", "&amp;$Q308)</f>
        <v/>
      </c>
      <c r="AQ308">
        <f>AP308&amp;IF($R308="","",", "&amp;$R308)</f>
        <v/>
      </c>
      <c r="AR308">
        <f>AQ308&amp;IF($S308="","",", "&amp;$S308)</f>
        <v/>
      </c>
      <c r="AS308">
        <f>AR308&amp;IF($T308="","",", "&amp;$T308)</f>
        <v/>
      </c>
      <c r="AT308">
        <f>AS308&amp;IF($U308="","",", "&amp;$U308)</f>
        <v/>
      </c>
      <c r="AU308">
        <f>AT308&amp;IF($V308="","",", "&amp;$V308)</f>
        <v/>
      </c>
      <c r="AV308">
        <f>AU308&amp;IF($W308="","",", "&amp;$W308)</f>
        <v/>
      </c>
      <c r="AW308">
        <f>AV308&amp;IF($X308="","",", "&amp;$X308)</f>
        <v/>
      </c>
      <c r="AX308">
        <f>AW308&amp;IF($Y308="","",", "&amp;$Y308)</f>
        <v/>
      </c>
    </row>
    <row r="309">
      <c r="A309" s="118">
        <f>IF($B309="","",COUNT($B$5:$B309))</f>
        <v/>
      </c>
      <c r="B309" s="80" t="n"/>
      <c r="C309" s="80" t="n"/>
      <c r="D309" s="74" t="n"/>
      <c r="E309" s="74" t="n"/>
      <c r="F309" s="74" t="n"/>
      <c r="G309" s="118">
        <f>IF($F309="","",COUNTIF($F$5:$F309,$F309))</f>
        <v/>
      </c>
      <c r="H309" s="33">
        <f>IF($F309="","",IFERROR(INDEX(사건마스터!$B$5:$B$64,MATCH($F309,사건마스터!$A$5:$A$64,0)),""))</f>
        <v/>
      </c>
      <c r="I309" s="130">
        <f>IF($F309="","",IFERROR(INDEX(사건마스터!$C$5:$C$64,MATCH($F309,사건마스터!$A$5:$A$64,0)),""))</f>
        <v/>
      </c>
      <c r="J309" s="136">
        <f>IF($F309="","",IFERROR(INDEX(사건마스터!$H$5:$H$64,MATCH($F309,사건마스터!$A$5:$A$64,0)),""))</f>
        <v/>
      </c>
      <c r="K309" s="136">
        <f>IF($F309="","",IFERROR(INDEX(사건마스터!$AH$5:$AH$64,MATCH($F309,사건마스터!$A$5:$A$64,0)),""))</f>
        <v/>
      </c>
      <c r="L309" s="136">
        <f>IF($F309="","",IFERROR(INDEX(사건마스터!$AI$5:$AI$64,MATCH($F309,사건마스터!$A$5:$A$64,0)),""))</f>
        <v/>
      </c>
      <c r="M309" s="136">
        <f>IF($F309="","",IFERROR(INDEX(사건마스터!$AJ$5:$AJ$64,MATCH($F309,사건마스터!$A$5:$A$64,0)),""))</f>
        <v/>
      </c>
      <c r="N309" s="136">
        <f>IF($F309="","",IFERROR(INDEX(사건마스터!$AK$5:$AK$64,MATCH($F309,사건마스터!$A$5:$A$64,0)),""))</f>
        <v/>
      </c>
      <c r="O309" s="136">
        <f>IF($F309="","",IFERROR(INDEX(사건마스터!$AL$5:$AL$64,MATCH($F309,사건마스터!$A$5:$A$64,0)),""))</f>
        <v/>
      </c>
      <c r="P309" s="136">
        <f>IF($F309="","",IFERROR(INDEX(사건마스터!$AM$5:$AM$64,MATCH($F309,사건마스터!$A$5:$A$64,0)),""))</f>
        <v/>
      </c>
      <c r="Q309" s="136">
        <f>IF($F309="","",IFERROR(INDEX(사건마스터!$AN$5:$AN$64,MATCH($F309,사건마스터!$A$5:$A$64,0)),""))</f>
        <v/>
      </c>
      <c r="R309" s="136">
        <f>IF($F309="","",IFERROR(INDEX(사건마스터!$AO$5:$AO$64,MATCH($F309,사건마스터!$A$5:$A$64,0)),""))</f>
        <v/>
      </c>
      <c r="S309" s="136">
        <f>IF($F309="","",IFERROR(INDEX(사건마스터!$AP$5:$AP$64,MATCH($F309,사건마스터!$A$5:$A$64,0)),""))</f>
        <v/>
      </c>
      <c r="T309" s="136">
        <f>IF($F309="","",IFERROR(INDEX(사건마스터!$AQ$5:$AQ$64,MATCH($F309,사건마스터!$A$5:$A$64,0)),""))</f>
        <v/>
      </c>
      <c r="U309" s="136">
        <f>IF($F309="","",IFERROR(INDEX(사건마스터!$AR$5:$AR$64,MATCH($F309,사건마스터!$A$5:$A$64,0)),""))</f>
        <v/>
      </c>
      <c r="V309" s="136">
        <f>IF($F309="","",IFERROR(INDEX(사건마스터!$AS$5:$AS$64,MATCH($F309,사건마스터!$A$5:$A$64,0)),""))</f>
        <v/>
      </c>
      <c r="W309" s="136">
        <f>IF($F309="","",IFERROR(INDEX(사건마스터!$AT$5:$AT$64,MATCH($F309,사건마스터!$A$5:$A$64,0)),""))</f>
        <v/>
      </c>
      <c r="X309" s="136">
        <f>IF($F309="","",IFERROR(INDEX(사건마스터!$AU$5:$AU$64,MATCH($F309,사건마스터!$A$5:$A$64,0)),""))</f>
        <v/>
      </c>
      <c r="Y309" s="136">
        <f>IF($F309="","",IFERROR(INDEX(사건마스터!$AV$5:$AV$64,MATCH($F309,사건마스터!$A$5:$A$64,0)),""))</f>
        <v/>
      </c>
      <c r="Z309" s="118">
        <f>IF(COUNTBLANK($J309:$Y309)=16,"",16-COUNTBLANK($J309:$Y309))</f>
        <v/>
      </c>
      <c r="AA309" s="33">
        <f>IF($J309="",MID($AX309,3,255),$J309&amp;$AX309)</f>
        <v/>
      </c>
      <c r="AB309" s="130">
        <f>IF($J309="","",IFERROR(INDEX(코드설정!$D$5:$D$24,MATCH($J309,코드설정!$C$5:$C$24,0)),""))</f>
        <v/>
      </c>
      <c r="AC309" s="36" t="n"/>
      <c r="AD309" s="37" t="n"/>
      <c r="AE309" s="38" t="n"/>
      <c r="AF309" s="118">
        <f>IF(OR($B309="",$C309=""),"",$C309-$B309+1)</f>
        <v/>
      </c>
      <c r="AG309" s="74" t="n"/>
      <c r="AH309" s="36" t="n"/>
      <c r="AJ309">
        <f>IF($K309="","",", "&amp;$K309)</f>
        <v/>
      </c>
      <c r="AK309">
        <f>AJ309&amp;IF($L309="","",", "&amp;$L309)</f>
        <v/>
      </c>
      <c r="AL309">
        <f>AK309&amp;IF($M309="","",", "&amp;$M309)</f>
        <v/>
      </c>
      <c r="AM309">
        <f>AL309&amp;IF($N309="","",", "&amp;$N309)</f>
        <v/>
      </c>
      <c r="AN309">
        <f>AM309&amp;IF($O309="","",", "&amp;$O309)</f>
        <v/>
      </c>
      <c r="AO309">
        <f>AN309&amp;IF($P309="","",", "&amp;$P309)</f>
        <v/>
      </c>
      <c r="AP309">
        <f>AO309&amp;IF($Q309="","",", "&amp;$Q309)</f>
        <v/>
      </c>
      <c r="AQ309">
        <f>AP309&amp;IF($R309="","",", "&amp;$R309)</f>
        <v/>
      </c>
      <c r="AR309">
        <f>AQ309&amp;IF($S309="","",", "&amp;$S309)</f>
        <v/>
      </c>
      <c r="AS309">
        <f>AR309&amp;IF($T309="","",", "&amp;$T309)</f>
        <v/>
      </c>
      <c r="AT309">
        <f>AS309&amp;IF($U309="","",", "&amp;$U309)</f>
        <v/>
      </c>
      <c r="AU309">
        <f>AT309&amp;IF($V309="","",", "&amp;$V309)</f>
        <v/>
      </c>
      <c r="AV309">
        <f>AU309&amp;IF($W309="","",", "&amp;$W309)</f>
        <v/>
      </c>
      <c r="AW309">
        <f>AV309&amp;IF($X309="","",", "&amp;$X309)</f>
        <v/>
      </c>
      <c r="AX309">
        <f>AW309&amp;IF($Y309="","",", "&amp;$Y309)</f>
        <v/>
      </c>
    </row>
    <row r="310">
      <c r="A310" s="118">
        <f>IF($B310="","",COUNT($B$5:$B310))</f>
        <v/>
      </c>
      <c r="B310" s="80" t="n"/>
      <c r="C310" s="80" t="n"/>
      <c r="D310" s="74" t="n"/>
      <c r="E310" s="74" t="n"/>
      <c r="F310" s="74" t="n"/>
      <c r="G310" s="118">
        <f>IF($F310="","",COUNTIF($F$5:$F310,$F310))</f>
        <v/>
      </c>
      <c r="H310" s="33">
        <f>IF($F310="","",IFERROR(INDEX(사건마스터!$B$5:$B$64,MATCH($F310,사건마스터!$A$5:$A$64,0)),""))</f>
        <v/>
      </c>
      <c r="I310" s="130">
        <f>IF($F310="","",IFERROR(INDEX(사건마스터!$C$5:$C$64,MATCH($F310,사건마스터!$A$5:$A$64,0)),""))</f>
        <v/>
      </c>
      <c r="J310" s="136">
        <f>IF($F310="","",IFERROR(INDEX(사건마스터!$H$5:$H$64,MATCH($F310,사건마스터!$A$5:$A$64,0)),""))</f>
        <v/>
      </c>
      <c r="K310" s="136">
        <f>IF($F310="","",IFERROR(INDEX(사건마스터!$AH$5:$AH$64,MATCH($F310,사건마스터!$A$5:$A$64,0)),""))</f>
        <v/>
      </c>
      <c r="L310" s="136">
        <f>IF($F310="","",IFERROR(INDEX(사건마스터!$AI$5:$AI$64,MATCH($F310,사건마스터!$A$5:$A$64,0)),""))</f>
        <v/>
      </c>
      <c r="M310" s="136">
        <f>IF($F310="","",IFERROR(INDEX(사건마스터!$AJ$5:$AJ$64,MATCH($F310,사건마스터!$A$5:$A$64,0)),""))</f>
        <v/>
      </c>
      <c r="N310" s="136">
        <f>IF($F310="","",IFERROR(INDEX(사건마스터!$AK$5:$AK$64,MATCH($F310,사건마스터!$A$5:$A$64,0)),""))</f>
        <v/>
      </c>
      <c r="O310" s="136">
        <f>IF($F310="","",IFERROR(INDEX(사건마스터!$AL$5:$AL$64,MATCH($F310,사건마스터!$A$5:$A$64,0)),""))</f>
        <v/>
      </c>
      <c r="P310" s="136">
        <f>IF($F310="","",IFERROR(INDEX(사건마스터!$AM$5:$AM$64,MATCH($F310,사건마스터!$A$5:$A$64,0)),""))</f>
        <v/>
      </c>
      <c r="Q310" s="136">
        <f>IF($F310="","",IFERROR(INDEX(사건마스터!$AN$5:$AN$64,MATCH($F310,사건마스터!$A$5:$A$64,0)),""))</f>
        <v/>
      </c>
      <c r="R310" s="136">
        <f>IF($F310="","",IFERROR(INDEX(사건마스터!$AO$5:$AO$64,MATCH($F310,사건마스터!$A$5:$A$64,0)),""))</f>
        <v/>
      </c>
      <c r="S310" s="136">
        <f>IF($F310="","",IFERROR(INDEX(사건마스터!$AP$5:$AP$64,MATCH($F310,사건마스터!$A$5:$A$64,0)),""))</f>
        <v/>
      </c>
      <c r="T310" s="136">
        <f>IF($F310="","",IFERROR(INDEX(사건마스터!$AQ$5:$AQ$64,MATCH($F310,사건마스터!$A$5:$A$64,0)),""))</f>
        <v/>
      </c>
      <c r="U310" s="136">
        <f>IF($F310="","",IFERROR(INDEX(사건마스터!$AR$5:$AR$64,MATCH($F310,사건마스터!$A$5:$A$64,0)),""))</f>
        <v/>
      </c>
      <c r="V310" s="136">
        <f>IF($F310="","",IFERROR(INDEX(사건마스터!$AS$5:$AS$64,MATCH($F310,사건마스터!$A$5:$A$64,0)),""))</f>
        <v/>
      </c>
      <c r="W310" s="136">
        <f>IF($F310="","",IFERROR(INDEX(사건마스터!$AT$5:$AT$64,MATCH($F310,사건마스터!$A$5:$A$64,0)),""))</f>
        <v/>
      </c>
      <c r="X310" s="136">
        <f>IF($F310="","",IFERROR(INDEX(사건마스터!$AU$5:$AU$64,MATCH($F310,사건마스터!$A$5:$A$64,0)),""))</f>
        <v/>
      </c>
      <c r="Y310" s="136">
        <f>IF($F310="","",IFERROR(INDEX(사건마스터!$AV$5:$AV$64,MATCH($F310,사건마스터!$A$5:$A$64,0)),""))</f>
        <v/>
      </c>
      <c r="Z310" s="118">
        <f>IF(COUNTBLANK($J310:$Y310)=16,"",16-COUNTBLANK($J310:$Y310))</f>
        <v/>
      </c>
      <c r="AA310" s="33">
        <f>IF($J310="",MID($AX310,3,255),$J310&amp;$AX310)</f>
        <v/>
      </c>
      <c r="AB310" s="130">
        <f>IF($J310="","",IFERROR(INDEX(코드설정!$D$5:$D$24,MATCH($J310,코드설정!$C$5:$C$24,0)),""))</f>
        <v/>
      </c>
      <c r="AC310" s="36" t="n"/>
      <c r="AD310" s="37" t="n"/>
      <c r="AE310" s="38" t="n"/>
      <c r="AF310" s="118">
        <f>IF(OR($B310="",$C310=""),"",$C310-$B310+1)</f>
        <v/>
      </c>
      <c r="AG310" s="74" t="n"/>
      <c r="AH310" s="36" t="n"/>
      <c r="AJ310">
        <f>IF($K310="","",", "&amp;$K310)</f>
        <v/>
      </c>
      <c r="AK310">
        <f>AJ310&amp;IF($L310="","",", "&amp;$L310)</f>
        <v/>
      </c>
      <c r="AL310">
        <f>AK310&amp;IF($M310="","",", "&amp;$M310)</f>
        <v/>
      </c>
      <c r="AM310">
        <f>AL310&amp;IF($N310="","",", "&amp;$N310)</f>
        <v/>
      </c>
      <c r="AN310">
        <f>AM310&amp;IF($O310="","",", "&amp;$O310)</f>
        <v/>
      </c>
      <c r="AO310">
        <f>AN310&amp;IF($P310="","",", "&amp;$P310)</f>
        <v/>
      </c>
      <c r="AP310">
        <f>AO310&amp;IF($Q310="","",", "&amp;$Q310)</f>
        <v/>
      </c>
      <c r="AQ310">
        <f>AP310&amp;IF($R310="","",", "&amp;$R310)</f>
        <v/>
      </c>
      <c r="AR310">
        <f>AQ310&amp;IF($S310="","",", "&amp;$S310)</f>
        <v/>
      </c>
      <c r="AS310">
        <f>AR310&amp;IF($T310="","",", "&amp;$T310)</f>
        <v/>
      </c>
      <c r="AT310">
        <f>AS310&amp;IF($U310="","",", "&amp;$U310)</f>
        <v/>
      </c>
      <c r="AU310">
        <f>AT310&amp;IF($V310="","",", "&amp;$V310)</f>
        <v/>
      </c>
      <c r="AV310">
        <f>AU310&amp;IF($W310="","",", "&amp;$W310)</f>
        <v/>
      </c>
      <c r="AW310">
        <f>AV310&amp;IF($X310="","",", "&amp;$X310)</f>
        <v/>
      </c>
      <c r="AX310">
        <f>AW310&amp;IF($Y310="","",", "&amp;$Y310)</f>
        <v/>
      </c>
    </row>
    <row r="311">
      <c r="A311" s="118">
        <f>IF($B311="","",COUNT($B$5:$B311))</f>
        <v/>
      </c>
      <c r="B311" s="80" t="n"/>
      <c r="C311" s="80" t="n"/>
      <c r="D311" s="74" t="n"/>
      <c r="E311" s="74" t="n"/>
      <c r="F311" s="74" t="n"/>
      <c r="G311" s="118">
        <f>IF($F311="","",COUNTIF($F$5:$F311,$F311))</f>
        <v/>
      </c>
      <c r="H311" s="33">
        <f>IF($F311="","",IFERROR(INDEX(사건마스터!$B$5:$B$64,MATCH($F311,사건마스터!$A$5:$A$64,0)),""))</f>
        <v/>
      </c>
      <c r="I311" s="130">
        <f>IF($F311="","",IFERROR(INDEX(사건마스터!$C$5:$C$64,MATCH($F311,사건마스터!$A$5:$A$64,0)),""))</f>
        <v/>
      </c>
      <c r="J311" s="136">
        <f>IF($F311="","",IFERROR(INDEX(사건마스터!$H$5:$H$64,MATCH($F311,사건마스터!$A$5:$A$64,0)),""))</f>
        <v/>
      </c>
      <c r="K311" s="136">
        <f>IF($F311="","",IFERROR(INDEX(사건마스터!$AH$5:$AH$64,MATCH($F311,사건마스터!$A$5:$A$64,0)),""))</f>
        <v/>
      </c>
      <c r="L311" s="136">
        <f>IF($F311="","",IFERROR(INDEX(사건마스터!$AI$5:$AI$64,MATCH($F311,사건마스터!$A$5:$A$64,0)),""))</f>
        <v/>
      </c>
      <c r="M311" s="136">
        <f>IF($F311="","",IFERROR(INDEX(사건마스터!$AJ$5:$AJ$64,MATCH($F311,사건마스터!$A$5:$A$64,0)),""))</f>
        <v/>
      </c>
      <c r="N311" s="136">
        <f>IF($F311="","",IFERROR(INDEX(사건마스터!$AK$5:$AK$64,MATCH($F311,사건마스터!$A$5:$A$64,0)),""))</f>
        <v/>
      </c>
      <c r="O311" s="136">
        <f>IF($F311="","",IFERROR(INDEX(사건마스터!$AL$5:$AL$64,MATCH($F311,사건마스터!$A$5:$A$64,0)),""))</f>
        <v/>
      </c>
      <c r="P311" s="136">
        <f>IF($F311="","",IFERROR(INDEX(사건마스터!$AM$5:$AM$64,MATCH($F311,사건마스터!$A$5:$A$64,0)),""))</f>
        <v/>
      </c>
      <c r="Q311" s="136">
        <f>IF($F311="","",IFERROR(INDEX(사건마스터!$AN$5:$AN$64,MATCH($F311,사건마스터!$A$5:$A$64,0)),""))</f>
        <v/>
      </c>
      <c r="R311" s="136">
        <f>IF($F311="","",IFERROR(INDEX(사건마스터!$AO$5:$AO$64,MATCH($F311,사건마스터!$A$5:$A$64,0)),""))</f>
        <v/>
      </c>
      <c r="S311" s="136">
        <f>IF($F311="","",IFERROR(INDEX(사건마스터!$AP$5:$AP$64,MATCH($F311,사건마스터!$A$5:$A$64,0)),""))</f>
        <v/>
      </c>
      <c r="T311" s="136">
        <f>IF($F311="","",IFERROR(INDEX(사건마스터!$AQ$5:$AQ$64,MATCH($F311,사건마스터!$A$5:$A$64,0)),""))</f>
        <v/>
      </c>
      <c r="U311" s="136">
        <f>IF($F311="","",IFERROR(INDEX(사건마스터!$AR$5:$AR$64,MATCH($F311,사건마스터!$A$5:$A$64,0)),""))</f>
        <v/>
      </c>
      <c r="V311" s="136">
        <f>IF($F311="","",IFERROR(INDEX(사건마스터!$AS$5:$AS$64,MATCH($F311,사건마스터!$A$5:$A$64,0)),""))</f>
        <v/>
      </c>
      <c r="W311" s="136">
        <f>IF($F311="","",IFERROR(INDEX(사건마스터!$AT$5:$AT$64,MATCH($F311,사건마스터!$A$5:$A$64,0)),""))</f>
        <v/>
      </c>
      <c r="X311" s="136">
        <f>IF($F311="","",IFERROR(INDEX(사건마스터!$AU$5:$AU$64,MATCH($F311,사건마스터!$A$5:$A$64,0)),""))</f>
        <v/>
      </c>
      <c r="Y311" s="136">
        <f>IF($F311="","",IFERROR(INDEX(사건마스터!$AV$5:$AV$64,MATCH($F311,사건마스터!$A$5:$A$64,0)),""))</f>
        <v/>
      </c>
      <c r="Z311" s="118">
        <f>IF(COUNTBLANK($J311:$Y311)=16,"",16-COUNTBLANK($J311:$Y311))</f>
        <v/>
      </c>
      <c r="AA311" s="33">
        <f>IF($J311="",MID($AX311,3,255),$J311&amp;$AX311)</f>
        <v/>
      </c>
      <c r="AB311" s="130">
        <f>IF($J311="","",IFERROR(INDEX(코드설정!$D$5:$D$24,MATCH($J311,코드설정!$C$5:$C$24,0)),""))</f>
        <v/>
      </c>
      <c r="AC311" s="36" t="n"/>
      <c r="AD311" s="37" t="n"/>
      <c r="AE311" s="38" t="n"/>
      <c r="AF311" s="118">
        <f>IF(OR($B311="",$C311=""),"",$C311-$B311+1)</f>
        <v/>
      </c>
      <c r="AG311" s="74" t="n"/>
      <c r="AH311" s="36" t="n"/>
      <c r="AJ311">
        <f>IF($K311="","",", "&amp;$K311)</f>
        <v/>
      </c>
      <c r="AK311">
        <f>AJ311&amp;IF($L311="","",", "&amp;$L311)</f>
        <v/>
      </c>
      <c r="AL311">
        <f>AK311&amp;IF($M311="","",", "&amp;$M311)</f>
        <v/>
      </c>
      <c r="AM311">
        <f>AL311&amp;IF($N311="","",", "&amp;$N311)</f>
        <v/>
      </c>
      <c r="AN311">
        <f>AM311&amp;IF($O311="","",", "&amp;$O311)</f>
        <v/>
      </c>
      <c r="AO311">
        <f>AN311&amp;IF($P311="","",", "&amp;$P311)</f>
        <v/>
      </c>
      <c r="AP311">
        <f>AO311&amp;IF($Q311="","",", "&amp;$Q311)</f>
        <v/>
      </c>
      <c r="AQ311">
        <f>AP311&amp;IF($R311="","",", "&amp;$R311)</f>
        <v/>
      </c>
      <c r="AR311">
        <f>AQ311&amp;IF($S311="","",", "&amp;$S311)</f>
        <v/>
      </c>
      <c r="AS311">
        <f>AR311&amp;IF($T311="","",", "&amp;$T311)</f>
        <v/>
      </c>
      <c r="AT311">
        <f>AS311&amp;IF($U311="","",", "&amp;$U311)</f>
        <v/>
      </c>
      <c r="AU311">
        <f>AT311&amp;IF($V311="","",", "&amp;$V311)</f>
        <v/>
      </c>
      <c r="AV311">
        <f>AU311&amp;IF($W311="","",", "&amp;$W311)</f>
        <v/>
      </c>
      <c r="AW311">
        <f>AV311&amp;IF($X311="","",", "&amp;$X311)</f>
        <v/>
      </c>
      <c r="AX311">
        <f>AW311&amp;IF($Y311="","",", "&amp;$Y311)</f>
        <v/>
      </c>
    </row>
    <row r="312">
      <c r="A312" s="118">
        <f>IF($B312="","",COUNT($B$5:$B312))</f>
        <v/>
      </c>
      <c r="B312" s="80" t="n"/>
      <c r="C312" s="80" t="n"/>
      <c r="D312" s="74" t="n"/>
      <c r="E312" s="74" t="n"/>
      <c r="F312" s="74" t="n"/>
      <c r="G312" s="118">
        <f>IF($F312="","",COUNTIF($F$5:$F312,$F312))</f>
        <v/>
      </c>
      <c r="H312" s="33">
        <f>IF($F312="","",IFERROR(INDEX(사건마스터!$B$5:$B$64,MATCH($F312,사건마스터!$A$5:$A$64,0)),""))</f>
        <v/>
      </c>
      <c r="I312" s="130">
        <f>IF($F312="","",IFERROR(INDEX(사건마스터!$C$5:$C$64,MATCH($F312,사건마스터!$A$5:$A$64,0)),""))</f>
        <v/>
      </c>
      <c r="J312" s="136">
        <f>IF($F312="","",IFERROR(INDEX(사건마스터!$H$5:$H$64,MATCH($F312,사건마스터!$A$5:$A$64,0)),""))</f>
        <v/>
      </c>
      <c r="K312" s="136">
        <f>IF($F312="","",IFERROR(INDEX(사건마스터!$AH$5:$AH$64,MATCH($F312,사건마스터!$A$5:$A$64,0)),""))</f>
        <v/>
      </c>
      <c r="L312" s="136">
        <f>IF($F312="","",IFERROR(INDEX(사건마스터!$AI$5:$AI$64,MATCH($F312,사건마스터!$A$5:$A$64,0)),""))</f>
        <v/>
      </c>
      <c r="M312" s="136">
        <f>IF($F312="","",IFERROR(INDEX(사건마스터!$AJ$5:$AJ$64,MATCH($F312,사건마스터!$A$5:$A$64,0)),""))</f>
        <v/>
      </c>
      <c r="N312" s="136">
        <f>IF($F312="","",IFERROR(INDEX(사건마스터!$AK$5:$AK$64,MATCH($F312,사건마스터!$A$5:$A$64,0)),""))</f>
        <v/>
      </c>
      <c r="O312" s="136">
        <f>IF($F312="","",IFERROR(INDEX(사건마스터!$AL$5:$AL$64,MATCH($F312,사건마스터!$A$5:$A$64,0)),""))</f>
        <v/>
      </c>
      <c r="P312" s="136">
        <f>IF($F312="","",IFERROR(INDEX(사건마스터!$AM$5:$AM$64,MATCH($F312,사건마스터!$A$5:$A$64,0)),""))</f>
        <v/>
      </c>
      <c r="Q312" s="136">
        <f>IF($F312="","",IFERROR(INDEX(사건마스터!$AN$5:$AN$64,MATCH($F312,사건마스터!$A$5:$A$64,0)),""))</f>
        <v/>
      </c>
      <c r="R312" s="136">
        <f>IF($F312="","",IFERROR(INDEX(사건마스터!$AO$5:$AO$64,MATCH($F312,사건마스터!$A$5:$A$64,0)),""))</f>
        <v/>
      </c>
      <c r="S312" s="136">
        <f>IF($F312="","",IFERROR(INDEX(사건마스터!$AP$5:$AP$64,MATCH($F312,사건마스터!$A$5:$A$64,0)),""))</f>
        <v/>
      </c>
      <c r="T312" s="136">
        <f>IF($F312="","",IFERROR(INDEX(사건마스터!$AQ$5:$AQ$64,MATCH($F312,사건마스터!$A$5:$A$64,0)),""))</f>
        <v/>
      </c>
      <c r="U312" s="136">
        <f>IF($F312="","",IFERROR(INDEX(사건마스터!$AR$5:$AR$64,MATCH($F312,사건마스터!$A$5:$A$64,0)),""))</f>
        <v/>
      </c>
      <c r="V312" s="136">
        <f>IF($F312="","",IFERROR(INDEX(사건마스터!$AS$5:$AS$64,MATCH($F312,사건마스터!$A$5:$A$64,0)),""))</f>
        <v/>
      </c>
      <c r="W312" s="136">
        <f>IF($F312="","",IFERROR(INDEX(사건마스터!$AT$5:$AT$64,MATCH($F312,사건마스터!$A$5:$A$64,0)),""))</f>
        <v/>
      </c>
      <c r="X312" s="136">
        <f>IF($F312="","",IFERROR(INDEX(사건마스터!$AU$5:$AU$64,MATCH($F312,사건마스터!$A$5:$A$64,0)),""))</f>
        <v/>
      </c>
      <c r="Y312" s="136">
        <f>IF($F312="","",IFERROR(INDEX(사건마스터!$AV$5:$AV$64,MATCH($F312,사건마스터!$A$5:$A$64,0)),""))</f>
        <v/>
      </c>
      <c r="Z312" s="118">
        <f>IF(COUNTBLANK($J312:$Y312)=16,"",16-COUNTBLANK($J312:$Y312))</f>
        <v/>
      </c>
      <c r="AA312" s="33">
        <f>IF($J312="",MID($AX312,3,255),$J312&amp;$AX312)</f>
        <v/>
      </c>
      <c r="AB312" s="130">
        <f>IF($J312="","",IFERROR(INDEX(코드설정!$D$5:$D$24,MATCH($J312,코드설정!$C$5:$C$24,0)),""))</f>
        <v/>
      </c>
      <c r="AC312" s="36" t="n"/>
      <c r="AD312" s="37" t="n"/>
      <c r="AE312" s="38" t="n"/>
      <c r="AF312" s="118">
        <f>IF(OR($B312="",$C312=""),"",$C312-$B312+1)</f>
        <v/>
      </c>
      <c r="AG312" s="74" t="n"/>
      <c r="AH312" s="36" t="n"/>
      <c r="AJ312">
        <f>IF($K312="","",", "&amp;$K312)</f>
        <v/>
      </c>
      <c r="AK312">
        <f>AJ312&amp;IF($L312="","",", "&amp;$L312)</f>
        <v/>
      </c>
      <c r="AL312">
        <f>AK312&amp;IF($M312="","",", "&amp;$M312)</f>
        <v/>
      </c>
      <c r="AM312">
        <f>AL312&amp;IF($N312="","",", "&amp;$N312)</f>
        <v/>
      </c>
      <c r="AN312">
        <f>AM312&amp;IF($O312="","",", "&amp;$O312)</f>
        <v/>
      </c>
      <c r="AO312">
        <f>AN312&amp;IF($P312="","",", "&amp;$P312)</f>
        <v/>
      </c>
      <c r="AP312">
        <f>AO312&amp;IF($Q312="","",", "&amp;$Q312)</f>
        <v/>
      </c>
      <c r="AQ312">
        <f>AP312&amp;IF($R312="","",", "&amp;$R312)</f>
        <v/>
      </c>
      <c r="AR312">
        <f>AQ312&amp;IF($S312="","",", "&amp;$S312)</f>
        <v/>
      </c>
      <c r="AS312">
        <f>AR312&amp;IF($T312="","",", "&amp;$T312)</f>
        <v/>
      </c>
      <c r="AT312">
        <f>AS312&amp;IF($U312="","",", "&amp;$U312)</f>
        <v/>
      </c>
      <c r="AU312">
        <f>AT312&amp;IF($V312="","",", "&amp;$V312)</f>
        <v/>
      </c>
      <c r="AV312">
        <f>AU312&amp;IF($W312="","",", "&amp;$W312)</f>
        <v/>
      </c>
      <c r="AW312">
        <f>AV312&amp;IF($X312="","",", "&amp;$X312)</f>
        <v/>
      </c>
      <c r="AX312">
        <f>AW312&amp;IF($Y312="","",", "&amp;$Y312)</f>
        <v/>
      </c>
    </row>
    <row r="313">
      <c r="A313" s="118">
        <f>IF($B313="","",COUNT($B$5:$B313))</f>
        <v/>
      </c>
      <c r="B313" s="80" t="n"/>
      <c r="C313" s="80" t="n"/>
      <c r="D313" s="74" t="n"/>
      <c r="E313" s="74" t="n"/>
      <c r="F313" s="74" t="n"/>
      <c r="G313" s="118">
        <f>IF($F313="","",COUNTIF($F$5:$F313,$F313))</f>
        <v/>
      </c>
      <c r="H313" s="33">
        <f>IF($F313="","",IFERROR(INDEX(사건마스터!$B$5:$B$64,MATCH($F313,사건마스터!$A$5:$A$64,0)),""))</f>
        <v/>
      </c>
      <c r="I313" s="130">
        <f>IF($F313="","",IFERROR(INDEX(사건마스터!$C$5:$C$64,MATCH($F313,사건마스터!$A$5:$A$64,0)),""))</f>
        <v/>
      </c>
      <c r="J313" s="136">
        <f>IF($F313="","",IFERROR(INDEX(사건마스터!$H$5:$H$64,MATCH($F313,사건마스터!$A$5:$A$64,0)),""))</f>
        <v/>
      </c>
      <c r="K313" s="136">
        <f>IF($F313="","",IFERROR(INDEX(사건마스터!$AH$5:$AH$64,MATCH($F313,사건마스터!$A$5:$A$64,0)),""))</f>
        <v/>
      </c>
      <c r="L313" s="136">
        <f>IF($F313="","",IFERROR(INDEX(사건마스터!$AI$5:$AI$64,MATCH($F313,사건마스터!$A$5:$A$64,0)),""))</f>
        <v/>
      </c>
      <c r="M313" s="136">
        <f>IF($F313="","",IFERROR(INDEX(사건마스터!$AJ$5:$AJ$64,MATCH($F313,사건마스터!$A$5:$A$64,0)),""))</f>
        <v/>
      </c>
      <c r="N313" s="136">
        <f>IF($F313="","",IFERROR(INDEX(사건마스터!$AK$5:$AK$64,MATCH($F313,사건마스터!$A$5:$A$64,0)),""))</f>
        <v/>
      </c>
      <c r="O313" s="136">
        <f>IF($F313="","",IFERROR(INDEX(사건마스터!$AL$5:$AL$64,MATCH($F313,사건마스터!$A$5:$A$64,0)),""))</f>
        <v/>
      </c>
      <c r="P313" s="136">
        <f>IF($F313="","",IFERROR(INDEX(사건마스터!$AM$5:$AM$64,MATCH($F313,사건마스터!$A$5:$A$64,0)),""))</f>
        <v/>
      </c>
      <c r="Q313" s="136">
        <f>IF($F313="","",IFERROR(INDEX(사건마스터!$AN$5:$AN$64,MATCH($F313,사건마스터!$A$5:$A$64,0)),""))</f>
        <v/>
      </c>
      <c r="R313" s="136">
        <f>IF($F313="","",IFERROR(INDEX(사건마스터!$AO$5:$AO$64,MATCH($F313,사건마스터!$A$5:$A$64,0)),""))</f>
        <v/>
      </c>
      <c r="S313" s="136">
        <f>IF($F313="","",IFERROR(INDEX(사건마스터!$AP$5:$AP$64,MATCH($F313,사건마스터!$A$5:$A$64,0)),""))</f>
        <v/>
      </c>
      <c r="T313" s="136">
        <f>IF($F313="","",IFERROR(INDEX(사건마스터!$AQ$5:$AQ$64,MATCH($F313,사건마스터!$A$5:$A$64,0)),""))</f>
        <v/>
      </c>
      <c r="U313" s="136">
        <f>IF($F313="","",IFERROR(INDEX(사건마스터!$AR$5:$AR$64,MATCH($F313,사건마스터!$A$5:$A$64,0)),""))</f>
        <v/>
      </c>
      <c r="V313" s="136">
        <f>IF($F313="","",IFERROR(INDEX(사건마스터!$AS$5:$AS$64,MATCH($F313,사건마스터!$A$5:$A$64,0)),""))</f>
        <v/>
      </c>
      <c r="W313" s="136">
        <f>IF($F313="","",IFERROR(INDEX(사건마스터!$AT$5:$AT$64,MATCH($F313,사건마스터!$A$5:$A$64,0)),""))</f>
        <v/>
      </c>
      <c r="X313" s="136">
        <f>IF($F313="","",IFERROR(INDEX(사건마스터!$AU$5:$AU$64,MATCH($F313,사건마스터!$A$5:$A$64,0)),""))</f>
        <v/>
      </c>
      <c r="Y313" s="136">
        <f>IF($F313="","",IFERROR(INDEX(사건마스터!$AV$5:$AV$64,MATCH($F313,사건마스터!$A$5:$A$64,0)),""))</f>
        <v/>
      </c>
      <c r="Z313" s="118">
        <f>IF(COUNTBLANK($J313:$Y313)=16,"",16-COUNTBLANK($J313:$Y313))</f>
        <v/>
      </c>
      <c r="AA313" s="33">
        <f>IF($J313="",MID($AX313,3,255),$J313&amp;$AX313)</f>
        <v/>
      </c>
      <c r="AB313" s="130">
        <f>IF($J313="","",IFERROR(INDEX(코드설정!$D$5:$D$24,MATCH($J313,코드설정!$C$5:$C$24,0)),""))</f>
        <v/>
      </c>
      <c r="AC313" s="36" t="n"/>
      <c r="AD313" s="37" t="n"/>
      <c r="AE313" s="38" t="n"/>
      <c r="AF313" s="118">
        <f>IF(OR($B313="",$C313=""),"",$C313-$B313+1)</f>
        <v/>
      </c>
      <c r="AG313" s="74" t="n"/>
      <c r="AH313" s="36" t="n"/>
      <c r="AJ313">
        <f>IF($K313="","",", "&amp;$K313)</f>
        <v/>
      </c>
      <c r="AK313">
        <f>AJ313&amp;IF($L313="","",", "&amp;$L313)</f>
        <v/>
      </c>
      <c r="AL313">
        <f>AK313&amp;IF($M313="","",", "&amp;$M313)</f>
        <v/>
      </c>
      <c r="AM313">
        <f>AL313&amp;IF($N313="","",", "&amp;$N313)</f>
        <v/>
      </c>
      <c r="AN313">
        <f>AM313&amp;IF($O313="","",", "&amp;$O313)</f>
        <v/>
      </c>
      <c r="AO313">
        <f>AN313&amp;IF($P313="","",", "&amp;$P313)</f>
        <v/>
      </c>
      <c r="AP313">
        <f>AO313&amp;IF($Q313="","",", "&amp;$Q313)</f>
        <v/>
      </c>
      <c r="AQ313">
        <f>AP313&amp;IF($R313="","",", "&amp;$R313)</f>
        <v/>
      </c>
      <c r="AR313">
        <f>AQ313&amp;IF($S313="","",", "&amp;$S313)</f>
        <v/>
      </c>
      <c r="AS313">
        <f>AR313&amp;IF($T313="","",", "&amp;$T313)</f>
        <v/>
      </c>
      <c r="AT313">
        <f>AS313&amp;IF($U313="","",", "&amp;$U313)</f>
        <v/>
      </c>
      <c r="AU313">
        <f>AT313&amp;IF($V313="","",", "&amp;$V313)</f>
        <v/>
      </c>
      <c r="AV313">
        <f>AU313&amp;IF($W313="","",", "&amp;$W313)</f>
        <v/>
      </c>
      <c r="AW313">
        <f>AV313&amp;IF($X313="","",", "&amp;$X313)</f>
        <v/>
      </c>
      <c r="AX313">
        <f>AW313&amp;IF($Y313="","",", "&amp;$Y313)</f>
        <v/>
      </c>
    </row>
    <row r="314">
      <c r="A314" s="118">
        <f>IF($B314="","",COUNT($B$5:$B314))</f>
        <v/>
      </c>
      <c r="B314" s="80" t="n"/>
      <c r="C314" s="80" t="n"/>
      <c r="D314" s="74" t="n"/>
      <c r="E314" s="74" t="n"/>
      <c r="F314" s="74" t="n"/>
      <c r="G314" s="118">
        <f>IF($F314="","",COUNTIF($F$5:$F314,$F314))</f>
        <v/>
      </c>
      <c r="H314" s="33">
        <f>IF($F314="","",IFERROR(INDEX(사건마스터!$B$5:$B$64,MATCH($F314,사건마스터!$A$5:$A$64,0)),""))</f>
        <v/>
      </c>
      <c r="I314" s="130">
        <f>IF($F314="","",IFERROR(INDEX(사건마스터!$C$5:$C$64,MATCH($F314,사건마스터!$A$5:$A$64,0)),""))</f>
        <v/>
      </c>
      <c r="J314" s="136">
        <f>IF($F314="","",IFERROR(INDEX(사건마스터!$H$5:$H$64,MATCH($F314,사건마스터!$A$5:$A$64,0)),""))</f>
        <v/>
      </c>
      <c r="K314" s="136">
        <f>IF($F314="","",IFERROR(INDEX(사건마스터!$AH$5:$AH$64,MATCH($F314,사건마스터!$A$5:$A$64,0)),""))</f>
        <v/>
      </c>
      <c r="L314" s="136">
        <f>IF($F314="","",IFERROR(INDEX(사건마스터!$AI$5:$AI$64,MATCH($F314,사건마스터!$A$5:$A$64,0)),""))</f>
        <v/>
      </c>
      <c r="M314" s="136">
        <f>IF($F314="","",IFERROR(INDEX(사건마스터!$AJ$5:$AJ$64,MATCH($F314,사건마스터!$A$5:$A$64,0)),""))</f>
        <v/>
      </c>
      <c r="N314" s="136">
        <f>IF($F314="","",IFERROR(INDEX(사건마스터!$AK$5:$AK$64,MATCH($F314,사건마스터!$A$5:$A$64,0)),""))</f>
        <v/>
      </c>
      <c r="O314" s="136">
        <f>IF($F314="","",IFERROR(INDEX(사건마스터!$AL$5:$AL$64,MATCH($F314,사건마스터!$A$5:$A$64,0)),""))</f>
        <v/>
      </c>
      <c r="P314" s="136">
        <f>IF($F314="","",IFERROR(INDEX(사건마스터!$AM$5:$AM$64,MATCH($F314,사건마스터!$A$5:$A$64,0)),""))</f>
        <v/>
      </c>
      <c r="Q314" s="136">
        <f>IF($F314="","",IFERROR(INDEX(사건마스터!$AN$5:$AN$64,MATCH($F314,사건마스터!$A$5:$A$64,0)),""))</f>
        <v/>
      </c>
      <c r="R314" s="136">
        <f>IF($F314="","",IFERROR(INDEX(사건마스터!$AO$5:$AO$64,MATCH($F314,사건마스터!$A$5:$A$64,0)),""))</f>
        <v/>
      </c>
      <c r="S314" s="136">
        <f>IF($F314="","",IFERROR(INDEX(사건마스터!$AP$5:$AP$64,MATCH($F314,사건마스터!$A$5:$A$64,0)),""))</f>
        <v/>
      </c>
      <c r="T314" s="136">
        <f>IF($F314="","",IFERROR(INDEX(사건마스터!$AQ$5:$AQ$64,MATCH($F314,사건마스터!$A$5:$A$64,0)),""))</f>
        <v/>
      </c>
      <c r="U314" s="136">
        <f>IF($F314="","",IFERROR(INDEX(사건마스터!$AR$5:$AR$64,MATCH($F314,사건마스터!$A$5:$A$64,0)),""))</f>
        <v/>
      </c>
      <c r="V314" s="136">
        <f>IF($F314="","",IFERROR(INDEX(사건마스터!$AS$5:$AS$64,MATCH($F314,사건마스터!$A$5:$A$64,0)),""))</f>
        <v/>
      </c>
      <c r="W314" s="136">
        <f>IF($F314="","",IFERROR(INDEX(사건마스터!$AT$5:$AT$64,MATCH($F314,사건마스터!$A$5:$A$64,0)),""))</f>
        <v/>
      </c>
      <c r="X314" s="136">
        <f>IF($F314="","",IFERROR(INDEX(사건마스터!$AU$5:$AU$64,MATCH($F314,사건마스터!$A$5:$A$64,0)),""))</f>
        <v/>
      </c>
      <c r="Y314" s="136">
        <f>IF($F314="","",IFERROR(INDEX(사건마스터!$AV$5:$AV$64,MATCH($F314,사건마스터!$A$5:$A$64,0)),""))</f>
        <v/>
      </c>
      <c r="Z314" s="118">
        <f>IF(COUNTBLANK($J314:$Y314)=16,"",16-COUNTBLANK($J314:$Y314))</f>
        <v/>
      </c>
      <c r="AA314" s="33">
        <f>IF($J314="",MID($AX314,3,255),$J314&amp;$AX314)</f>
        <v/>
      </c>
      <c r="AB314" s="130">
        <f>IF($J314="","",IFERROR(INDEX(코드설정!$D$5:$D$24,MATCH($J314,코드설정!$C$5:$C$24,0)),""))</f>
        <v/>
      </c>
      <c r="AC314" s="36" t="n"/>
      <c r="AD314" s="37" t="n"/>
      <c r="AE314" s="38" t="n"/>
      <c r="AF314" s="118">
        <f>IF(OR($B314="",$C314=""),"",$C314-$B314+1)</f>
        <v/>
      </c>
      <c r="AG314" s="74" t="n"/>
      <c r="AH314" s="36" t="n"/>
      <c r="AJ314">
        <f>IF($K314="","",", "&amp;$K314)</f>
        <v/>
      </c>
      <c r="AK314">
        <f>AJ314&amp;IF($L314="","",", "&amp;$L314)</f>
        <v/>
      </c>
      <c r="AL314">
        <f>AK314&amp;IF($M314="","",", "&amp;$M314)</f>
        <v/>
      </c>
      <c r="AM314">
        <f>AL314&amp;IF($N314="","",", "&amp;$N314)</f>
        <v/>
      </c>
      <c r="AN314">
        <f>AM314&amp;IF($O314="","",", "&amp;$O314)</f>
        <v/>
      </c>
      <c r="AO314">
        <f>AN314&amp;IF($P314="","",", "&amp;$P314)</f>
        <v/>
      </c>
      <c r="AP314">
        <f>AO314&amp;IF($Q314="","",", "&amp;$Q314)</f>
        <v/>
      </c>
      <c r="AQ314">
        <f>AP314&amp;IF($R314="","",", "&amp;$R314)</f>
        <v/>
      </c>
      <c r="AR314">
        <f>AQ314&amp;IF($S314="","",", "&amp;$S314)</f>
        <v/>
      </c>
      <c r="AS314">
        <f>AR314&amp;IF($T314="","",", "&amp;$T314)</f>
        <v/>
      </c>
      <c r="AT314">
        <f>AS314&amp;IF($U314="","",", "&amp;$U314)</f>
        <v/>
      </c>
      <c r="AU314">
        <f>AT314&amp;IF($V314="","",", "&amp;$V314)</f>
        <v/>
      </c>
      <c r="AV314">
        <f>AU314&amp;IF($W314="","",", "&amp;$W314)</f>
        <v/>
      </c>
      <c r="AW314">
        <f>AV314&amp;IF($X314="","",", "&amp;$X314)</f>
        <v/>
      </c>
      <c r="AX314">
        <f>AW314&amp;IF($Y314="","",", "&amp;$Y314)</f>
        <v/>
      </c>
    </row>
    <row r="315">
      <c r="A315" s="118">
        <f>IF($B315="","",COUNT($B$5:$B315))</f>
        <v/>
      </c>
      <c r="B315" s="80" t="n"/>
      <c r="C315" s="80" t="n"/>
      <c r="D315" s="74" t="n"/>
      <c r="E315" s="74" t="n"/>
      <c r="F315" s="74" t="n"/>
      <c r="G315" s="118">
        <f>IF($F315="","",COUNTIF($F$5:$F315,$F315))</f>
        <v/>
      </c>
      <c r="H315" s="33">
        <f>IF($F315="","",IFERROR(INDEX(사건마스터!$B$5:$B$64,MATCH($F315,사건마스터!$A$5:$A$64,0)),""))</f>
        <v/>
      </c>
      <c r="I315" s="130">
        <f>IF($F315="","",IFERROR(INDEX(사건마스터!$C$5:$C$64,MATCH($F315,사건마스터!$A$5:$A$64,0)),""))</f>
        <v/>
      </c>
      <c r="J315" s="136">
        <f>IF($F315="","",IFERROR(INDEX(사건마스터!$H$5:$H$64,MATCH($F315,사건마스터!$A$5:$A$64,0)),""))</f>
        <v/>
      </c>
      <c r="K315" s="136">
        <f>IF($F315="","",IFERROR(INDEX(사건마스터!$AH$5:$AH$64,MATCH($F315,사건마스터!$A$5:$A$64,0)),""))</f>
        <v/>
      </c>
      <c r="L315" s="136">
        <f>IF($F315="","",IFERROR(INDEX(사건마스터!$AI$5:$AI$64,MATCH($F315,사건마스터!$A$5:$A$64,0)),""))</f>
        <v/>
      </c>
      <c r="M315" s="136">
        <f>IF($F315="","",IFERROR(INDEX(사건마스터!$AJ$5:$AJ$64,MATCH($F315,사건마스터!$A$5:$A$64,0)),""))</f>
        <v/>
      </c>
      <c r="N315" s="136">
        <f>IF($F315="","",IFERROR(INDEX(사건마스터!$AK$5:$AK$64,MATCH($F315,사건마스터!$A$5:$A$64,0)),""))</f>
        <v/>
      </c>
      <c r="O315" s="136">
        <f>IF($F315="","",IFERROR(INDEX(사건마스터!$AL$5:$AL$64,MATCH($F315,사건마스터!$A$5:$A$64,0)),""))</f>
        <v/>
      </c>
      <c r="P315" s="136">
        <f>IF($F315="","",IFERROR(INDEX(사건마스터!$AM$5:$AM$64,MATCH($F315,사건마스터!$A$5:$A$64,0)),""))</f>
        <v/>
      </c>
      <c r="Q315" s="136">
        <f>IF($F315="","",IFERROR(INDEX(사건마스터!$AN$5:$AN$64,MATCH($F315,사건마스터!$A$5:$A$64,0)),""))</f>
        <v/>
      </c>
      <c r="R315" s="136">
        <f>IF($F315="","",IFERROR(INDEX(사건마스터!$AO$5:$AO$64,MATCH($F315,사건마스터!$A$5:$A$64,0)),""))</f>
        <v/>
      </c>
      <c r="S315" s="136">
        <f>IF($F315="","",IFERROR(INDEX(사건마스터!$AP$5:$AP$64,MATCH($F315,사건마스터!$A$5:$A$64,0)),""))</f>
        <v/>
      </c>
      <c r="T315" s="136">
        <f>IF($F315="","",IFERROR(INDEX(사건마스터!$AQ$5:$AQ$64,MATCH($F315,사건마스터!$A$5:$A$64,0)),""))</f>
        <v/>
      </c>
      <c r="U315" s="136">
        <f>IF($F315="","",IFERROR(INDEX(사건마스터!$AR$5:$AR$64,MATCH($F315,사건마스터!$A$5:$A$64,0)),""))</f>
        <v/>
      </c>
      <c r="V315" s="136">
        <f>IF($F315="","",IFERROR(INDEX(사건마스터!$AS$5:$AS$64,MATCH($F315,사건마스터!$A$5:$A$64,0)),""))</f>
        <v/>
      </c>
      <c r="W315" s="136">
        <f>IF($F315="","",IFERROR(INDEX(사건마스터!$AT$5:$AT$64,MATCH($F315,사건마스터!$A$5:$A$64,0)),""))</f>
        <v/>
      </c>
      <c r="X315" s="136">
        <f>IF($F315="","",IFERROR(INDEX(사건마스터!$AU$5:$AU$64,MATCH($F315,사건마스터!$A$5:$A$64,0)),""))</f>
        <v/>
      </c>
      <c r="Y315" s="136">
        <f>IF($F315="","",IFERROR(INDEX(사건마스터!$AV$5:$AV$64,MATCH($F315,사건마스터!$A$5:$A$64,0)),""))</f>
        <v/>
      </c>
      <c r="Z315" s="118">
        <f>IF(COUNTBLANK($J315:$Y315)=16,"",16-COUNTBLANK($J315:$Y315))</f>
        <v/>
      </c>
      <c r="AA315" s="33">
        <f>IF($J315="",MID($AX315,3,255),$J315&amp;$AX315)</f>
        <v/>
      </c>
      <c r="AB315" s="130">
        <f>IF($J315="","",IFERROR(INDEX(코드설정!$D$5:$D$24,MATCH($J315,코드설정!$C$5:$C$24,0)),""))</f>
        <v/>
      </c>
      <c r="AC315" s="36" t="n"/>
      <c r="AD315" s="37" t="n"/>
      <c r="AE315" s="38" t="n"/>
      <c r="AF315" s="118">
        <f>IF(OR($B315="",$C315=""),"",$C315-$B315+1)</f>
        <v/>
      </c>
      <c r="AG315" s="74" t="n"/>
      <c r="AH315" s="36" t="n"/>
      <c r="AJ315">
        <f>IF($K315="","",", "&amp;$K315)</f>
        <v/>
      </c>
      <c r="AK315">
        <f>AJ315&amp;IF($L315="","",", "&amp;$L315)</f>
        <v/>
      </c>
      <c r="AL315">
        <f>AK315&amp;IF($M315="","",", "&amp;$M315)</f>
        <v/>
      </c>
      <c r="AM315">
        <f>AL315&amp;IF($N315="","",", "&amp;$N315)</f>
        <v/>
      </c>
      <c r="AN315">
        <f>AM315&amp;IF($O315="","",", "&amp;$O315)</f>
        <v/>
      </c>
      <c r="AO315">
        <f>AN315&amp;IF($P315="","",", "&amp;$P315)</f>
        <v/>
      </c>
      <c r="AP315">
        <f>AO315&amp;IF($Q315="","",", "&amp;$Q315)</f>
        <v/>
      </c>
      <c r="AQ315">
        <f>AP315&amp;IF($R315="","",", "&amp;$R315)</f>
        <v/>
      </c>
      <c r="AR315">
        <f>AQ315&amp;IF($S315="","",", "&amp;$S315)</f>
        <v/>
      </c>
      <c r="AS315">
        <f>AR315&amp;IF($T315="","",", "&amp;$T315)</f>
        <v/>
      </c>
      <c r="AT315">
        <f>AS315&amp;IF($U315="","",", "&amp;$U315)</f>
        <v/>
      </c>
      <c r="AU315">
        <f>AT315&amp;IF($V315="","",", "&amp;$V315)</f>
        <v/>
      </c>
      <c r="AV315">
        <f>AU315&amp;IF($W315="","",", "&amp;$W315)</f>
        <v/>
      </c>
      <c r="AW315">
        <f>AV315&amp;IF($X315="","",", "&amp;$X315)</f>
        <v/>
      </c>
      <c r="AX315">
        <f>AW315&amp;IF($Y315="","",", "&amp;$Y315)</f>
        <v/>
      </c>
    </row>
    <row r="316">
      <c r="A316" s="118">
        <f>IF($B316="","",COUNT($B$5:$B316))</f>
        <v/>
      </c>
      <c r="B316" s="80" t="n"/>
      <c r="C316" s="80" t="n"/>
      <c r="D316" s="74" t="n"/>
      <c r="E316" s="74" t="n"/>
      <c r="F316" s="74" t="n"/>
      <c r="G316" s="118">
        <f>IF($F316="","",COUNTIF($F$5:$F316,$F316))</f>
        <v/>
      </c>
      <c r="H316" s="33">
        <f>IF($F316="","",IFERROR(INDEX(사건마스터!$B$5:$B$64,MATCH($F316,사건마스터!$A$5:$A$64,0)),""))</f>
        <v/>
      </c>
      <c r="I316" s="130">
        <f>IF($F316="","",IFERROR(INDEX(사건마스터!$C$5:$C$64,MATCH($F316,사건마스터!$A$5:$A$64,0)),""))</f>
        <v/>
      </c>
      <c r="J316" s="136">
        <f>IF($F316="","",IFERROR(INDEX(사건마스터!$H$5:$H$64,MATCH($F316,사건마스터!$A$5:$A$64,0)),""))</f>
        <v/>
      </c>
      <c r="K316" s="136">
        <f>IF($F316="","",IFERROR(INDEX(사건마스터!$AH$5:$AH$64,MATCH($F316,사건마스터!$A$5:$A$64,0)),""))</f>
        <v/>
      </c>
      <c r="L316" s="136">
        <f>IF($F316="","",IFERROR(INDEX(사건마스터!$AI$5:$AI$64,MATCH($F316,사건마스터!$A$5:$A$64,0)),""))</f>
        <v/>
      </c>
      <c r="M316" s="136">
        <f>IF($F316="","",IFERROR(INDEX(사건마스터!$AJ$5:$AJ$64,MATCH($F316,사건마스터!$A$5:$A$64,0)),""))</f>
        <v/>
      </c>
      <c r="N316" s="136">
        <f>IF($F316="","",IFERROR(INDEX(사건마스터!$AK$5:$AK$64,MATCH($F316,사건마스터!$A$5:$A$64,0)),""))</f>
        <v/>
      </c>
      <c r="O316" s="136">
        <f>IF($F316="","",IFERROR(INDEX(사건마스터!$AL$5:$AL$64,MATCH($F316,사건마스터!$A$5:$A$64,0)),""))</f>
        <v/>
      </c>
      <c r="P316" s="136">
        <f>IF($F316="","",IFERROR(INDEX(사건마스터!$AM$5:$AM$64,MATCH($F316,사건마스터!$A$5:$A$64,0)),""))</f>
        <v/>
      </c>
      <c r="Q316" s="136">
        <f>IF($F316="","",IFERROR(INDEX(사건마스터!$AN$5:$AN$64,MATCH($F316,사건마스터!$A$5:$A$64,0)),""))</f>
        <v/>
      </c>
      <c r="R316" s="136">
        <f>IF($F316="","",IFERROR(INDEX(사건마스터!$AO$5:$AO$64,MATCH($F316,사건마스터!$A$5:$A$64,0)),""))</f>
        <v/>
      </c>
      <c r="S316" s="136">
        <f>IF($F316="","",IFERROR(INDEX(사건마스터!$AP$5:$AP$64,MATCH($F316,사건마스터!$A$5:$A$64,0)),""))</f>
        <v/>
      </c>
      <c r="T316" s="136">
        <f>IF($F316="","",IFERROR(INDEX(사건마스터!$AQ$5:$AQ$64,MATCH($F316,사건마스터!$A$5:$A$64,0)),""))</f>
        <v/>
      </c>
      <c r="U316" s="136">
        <f>IF($F316="","",IFERROR(INDEX(사건마스터!$AR$5:$AR$64,MATCH($F316,사건마스터!$A$5:$A$64,0)),""))</f>
        <v/>
      </c>
      <c r="V316" s="136">
        <f>IF($F316="","",IFERROR(INDEX(사건마스터!$AS$5:$AS$64,MATCH($F316,사건마스터!$A$5:$A$64,0)),""))</f>
        <v/>
      </c>
      <c r="W316" s="136">
        <f>IF($F316="","",IFERROR(INDEX(사건마스터!$AT$5:$AT$64,MATCH($F316,사건마스터!$A$5:$A$64,0)),""))</f>
        <v/>
      </c>
      <c r="X316" s="136">
        <f>IF($F316="","",IFERROR(INDEX(사건마스터!$AU$5:$AU$64,MATCH($F316,사건마스터!$A$5:$A$64,0)),""))</f>
        <v/>
      </c>
      <c r="Y316" s="136">
        <f>IF($F316="","",IFERROR(INDEX(사건마스터!$AV$5:$AV$64,MATCH($F316,사건마스터!$A$5:$A$64,0)),""))</f>
        <v/>
      </c>
      <c r="Z316" s="118">
        <f>IF(COUNTBLANK($J316:$Y316)=16,"",16-COUNTBLANK($J316:$Y316))</f>
        <v/>
      </c>
      <c r="AA316" s="33">
        <f>IF($J316="",MID($AX316,3,255),$J316&amp;$AX316)</f>
        <v/>
      </c>
      <c r="AB316" s="130">
        <f>IF($J316="","",IFERROR(INDEX(코드설정!$D$5:$D$24,MATCH($J316,코드설정!$C$5:$C$24,0)),""))</f>
        <v/>
      </c>
      <c r="AC316" s="36" t="n"/>
      <c r="AD316" s="37" t="n"/>
      <c r="AE316" s="38" t="n"/>
      <c r="AF316" s="118">
        <f>IF(OR($B316="",$C316=""),"",$C316-$B316+1)</f>
        <v/>
      </c>
      <c r="AG316" s="74" t="n"/>
      <c r="AH316" s="36" t="n"/>
      <c r="AJ316">
        <f>IF($K316="","",", "&amp;$K316)</f>
        <v/>
      </c>
      <c r="AK316">
        <f>AJ316&amp;IF($L316="","",", "&amp;$L316)</f>
        <v/>
      </c>
      <c r="AL316">
        <f>AK316&amp;IF($M316="","",", "&amp;$M316)</f>
        <v/>
      </c>
      <c r="AM316">
        <f>AL316&amp;IF($N316="","",", "&amp;$N316)</f>
        <v/>
      </c>
      <c r="AN316">
        <f>AM316&amp;IF($O316="","",", "&amp;$O316)</f>
        <v/>
      </c>
      <c r="AO316">
        <f>AN316&amp;IF($P316="","",", "&amp;$P316)</f>
        <v/>
      </c>
      <c r="AP316">
        <f>AO316&amp;IF($Q316="","",", "&amp;$Q316)</f>
        <v/>
      </c>
      <c r="AQ316">
        <f>AP316&amp;IF($R316="","",", "&amp;$R316)</f>
        <v/>
      </c>
      <c r="AR316">
        <f>AQ316&amp;IF($S316="","",", "&amp;$S316)</f>
        <v/>
      </c>
      <c r="AS316">
        <f>AR316&amp;IF($T316="","",", "&amp;$T316)</f>
        <v/>
      </c>
      <c r="AT316">
        <f>AS316&amp;IF($U316="","",", "&amp;$U316)</f>
        <v/>
      </c>
      <c r="AU316">
        <f>AT316&amp;IF($V316="","",", "&amp;$V316)</f>
        <v/>
      </c>
      <c r="AV316">
        <f>AU316&amp;IF($W316="","",", "&amp;$W316)</f>
        <v/>
      </c>
      <c r="AW316">
        <f>AV316&amp;IF($X316="","",", "&amp;$X316)</f>
        <v/>
      </c>
      <c r="AX316">
        <f>AW316&amp;IF($Y316="","",", "&amp;$Y316)</f>
        <v/>
      </c>
    </row>
    <row r="317">
      <c r="A317" s="118">
        <f>IF($B317="","",COUNT($B$5:$B317))</f>
        <v/>
      </c>
      <c r="B317" s="80" t="n"/>
      <c r="C317" s="80" t="n"/>
      <c r="D317" s="74" t="n"/>
      <c r="E317" s="74" t="n"/>
      <c r="F317" s="74" t="n"/>
      <c r="G317" s="118">
        <f>IF($F317="","",COUNTIF($F$5:$F317,$F317))</f>
        <v/>
      </c>
      <c r="H317" s="33">
        <f>IF($F317="","",IFERROR(INDEX(사건마스터!$B$5:$B$64,MATCH($F317,사건마스터!$A$5:$A$64,0)),""))</f>
        <v/>
      </c>
      <c r="I317" s="130">
        <f>IF($F317="","",IFERROR(INDEX(사건마스터!$C$5:$C$64,MATCH($F317,사건마스터!$A$5:$A$64,0)),""))</f>
        <v/>
      </c>
      <c r="J317" s="136">
        <f>IF($F317="","",IFERROR(INDEX(사건마스터!$H$5:$H$64,MATCH($F317,사건마스터!$A$5:$A$64,0)),""))</f>
        <v/>
      </c>
      <c r="K317" s="136">
        <f>IF($F317="","",IFERROR(INDEX(사건마스터!$AH$5:$AH$64,MATCH($F317,사건마스터!$A$5:$A$64,0)),""))</f>
        <v/>
      </c>
      <c r="L317" s="136">
        <f>IF($F317="","",IFERROR(INDEX(사건마스터!$AI$5:$AI$64,MATCH($F317,사건마스터!$A$5:$A$64,0)),""))</f>
        <v/>
      </c>
      <c r="M317" s="136">
        <f>IF($F317="","",IFERROR(INDEX(사건마스터!$AJ$5:$AJ$64,MATCH($F317,사건마스터!$A$5:$A$64,0)),""))</f>
        <v/>
      </c>
      <c r="N317" s="136">
        <f>IF($F317="","",IFERROR(INDEX(사건마스터!$AK$5:$AK$64,MATCH($F317,사건마스터!$A$5:$A$64,0)),""))</f>
        <v/>
      </c>
      <c r="O317" s="136">
        <f>IF($F317="","",IFERROR(INDEX(사건마스터!$AL$5:$AL$64,MATCH($F317,사건마스터!$A$5:$A$64,0)),""))</f>
        <v/>
      </c>
      <c r="P317" s="136">
        <f>IF($F317="","",IFERROR(INDEX(사건마스터!$AM$5:$AM$64,MATCH($F317,사건마스터!$A$5:$A$64,0)),""))</f>
        <v/>
      </c>
      <c r="Q317" s="136">
        <f>IF($F317="","",IFERROR(INDEX(사건마스터!$AN$5:$AN$64,MATCH($F317,사건마스터!$A$5:$A$64,0)),""))</f>
        <v/>
      </c>
      <c r="R317" s="136">
        <f>IF($F317="","",IFERROR(INDEX(사건마스터!$AO$5:$AO$64,MATCH($F317,사건마스터!$A$5:$A$64,0)),""))</f>
        <v/>
      </c>
      <c r="S317" s="136">
        <f>IF($F317="","",IFERROR(INDEX(사건마스터!$AP$5:$AP$64,MATCH($F317,사건마스터!$A$5:$A$64,0)),""))</f>
        <v/>
      </c>
      <c r="T317" s="136">
        <f>IF($F317="","",IFERROR(INDEX(사건마스터!$AQ$5:$AQ$64,MATCH($F317,사건마스터!$A$5:$A$64,0)),""))</f>
        <v/>
      </c>
      <c r="U317" s="136">
        <f>IF($F317="","",IFERROR(INDEX(사건마스터!$AR$5:$AR$64,MATCH($F317,사건마스터!$A$5:$A$64,0)),""))</f>
        <v/>
      </c>
      <c r="V317" s="136">
        <f>IF($F317="","",IFERROR(INDEX(사건마스터!$AS$5:$AS$64,MATCH($F317,사건마스터!$A$5:$A$64,0)),""))</f>
        <v/>
      </c>
      <c r="W317" s="136">
        <f>IF($F317="","",IFERROR(INDEX(사건마스터!$AT$5:$AT$64,MATCH($F317,사건마스터!$A$5:$A$64,0)),""))</f>
        <v/>
      </c>
      <c r="X317" s="136">
        <f>IF($F317="","",IFERROR(INDEX(사건마스터!$AU$5:$AU$64,MATCH($F317,사건마스터!$A$5:$A$64,0)),""))</f>
        <v/>
      </c>
      <c r="Y317" s="136">
        <f>IF($F317="","",IFERROR(INDEX(사건마스터!$AV$5:$AV$64,MATCH($F317,사건마스터!$A$5:$A$64,0)),""))</f>
        <v/>
      </c>
      <c r="Z317" s="118">
        <f>IF(COUNTBLANK($J317:$Y317)=16,"",16-COUNTBLANK($J317:$Y317))</f>
        <v/>
      </c>
      <c r="AA317" s="33">
        <f>IF($J317="",MID($AX317,3,255),$J317&amp;$AX317)</f>
        <v/>
      </c>
      <c r="AB317" s="130">
        <f>IF($J317="","",IFERROR(INDEX(코드설정!$D$5:$D$24,MATCH($J317,코드설정!$C$5:$C$24,0)),""))</f>
        <v/>
      </c>
      <c r="AC317" s="36" t="n"/>
      <c r="AD317" s="37" t="n"/>
      <c r="AE317" s="38" t="n"/>
      <c r="AF317" s="118">
        <f>IF(OR($B317="",$C317=""),"",$C317-$B317+1)</f>
        <v/>
      </c>
      <c r="AG317" s="74" t="n"/>
      <c r="AH317" s="36" t="n"/>
      <c r="AJ317">
        <f>IF($K317="","",", "&amp;$K317)</f>
        <v/>
      </c>
      <c r="AK317">
        <f>AJ317&amp;IF($L317="","",", "&amp;$L317)</f>
        <v/>
      </c>
      <c r="AL317">
        <f>AK317&amp;IF($M317="","",", "&amp;$M317)</f>
        <v/>
      </c>
      <c r="AM317">
        <f>AL317&amp;IF($N317="","",", "&amp;$N317)</f>
        <v/>
      </c>
      <c r="AN317">
        <f>AM317&amp;IF($O317="","",", "&amp;$O317)</f>
        <v/>
      </c>
      <c r="AO317">
        <f>AN317&amp;IF($P317="","",", "&amp;$P317)</f>
        <v/>
      </c>
      <c r="AP317">
        <f>AO317&amp;IF($Q317="","",", "&amp;$Q317)</f>
        <v/>
      </c>
      <c r="AQ317">
        <f>AP317&amp;IF($R317="","",", "&amp;$R317)</f>
        <v/>
      </c>
      <c r="AR317">
        <f>AQ317&amp;IF($S317="","",", "&amp;$S317)</f>
        <v/>
      </c>
      <c r="AS317">
        <f>AR317&amp;IF($T317="","",", "&amp;$T317)</f>
        <v/>
      </c>
      <c r="AT317">
        <f>AS317&amp;IF($U317="","",", "&amp;$U317)</f>
        <v/>
      </c>
      <c r="AU317">
        <f>AT317&amp;IF($V317="","",", "&amp;$V317)</f>
        <v/>
      </c>
      <c r="AV317">
        <f>AU317&amp;IF($W317="","",", "&amp;$W317)</f>
        <v/>
      </c>
      <c r="AW317">
        <f>AV317&amp;IF($X317="","",", "&amp;$X317)</f>
        <v/>
      </c>
      <c r="AX317">
        <f>AW317&amp;IF($Y317="","",", "&amp;$Y317)</f>
        <v/>
      </c>
    </row>
    <row r="318">
      <c r="A318" s="118">
        <f>IF($B318="","",COUNT($B$5:$B318))</f>
        <v/>
      </c>
      <c r="B318" s="80" t="n"/>
      <c r="C318" s="80" t="n"/>
      <c r="D318" s="74" t="n"/>
      <c r="E318" s="74" t="n"/>
      <c r="F318" s="74" t="n"/>
      <c r="G318" s="118">
        <f>IF($F318="","",COUNTIF($F$5:$F318,$F318))</f>
        <v/>
      </c>
      <c r="H318" s="33">
        <f>IF($F318="","",IFERROR(INDEX(사건마스터!$B$5:$B$64,MATCH($F318,사건마스터!$A$5:$A$64,0)),""))</f>
        <v/>
      </c>
      <c r="I318" s="130">
        <f>IF($F318="","",IFERROR(INDEX(사건마스터!$C$5:$C$64,MATCH($F318,사건마스터!$A$5:$A$64,0)),""))</f>
        <v/>
      </c>
      <c r="J318" s="136">
        <f>IF($F318="","",IFERROR(INDEX(사건마스터!$H$5:$H$64,MATCH($F318,사건마스터!$A$5:$A$64,0)),""))</f>
        <v/>
      </c>
      <c r="K318" s="136">
        <f>IF($F318="","",IFERROR(INDEX(사건마스터!$AH$5:$AH$64,MATCH($F318,사건마스터!$A$5:$A$64,0)),""))</f>
        <v/>
      </c>
      <c r="L318" s="136">
        <f>IF($F318="","",IFERROR(INDEX(사건마스터!$AI$5:$AI$64,MATCH($F318,사건마스터!$A$5:$A$64,0)),""))</f>
        <v/>
      </c>
      <c r="M318" s="136">
        <f>IF($F318="","",IFERROR(INDEX(사건마스터!$AJ$5:$AJ$64,MATCH($F318,사건마스터!$A$5:$A$64,0)),""))</f>
        <v/>
      </c>
      <c r="N318" s="136">
        <f>IF($F318="","",IFERROR(INDEX(사건마스터!$AK$5:$AK$64,MATCH($F318,사건마스터!$A$5:$A$64,0)),""))</f>
        <v/>
      </c>
      <c r="O318" s="136">
        <f>IF($F318="","",IFERROR(INDEX(사건마스터!$AL$5:$AL$64,MATCH($F318,사건마스터!$A$5:$A$64,0)),""))</f>
        <v/>
      </c>
      <c r="P318" s="136">
        <f>IF($F318="","",IFERROR(INDEX(사건마스터!$AM$5:$AM$64,MATCH($F318,사건마스터!$A$5:$A$64,0)),""))</f>
        <v/>
      </c>
      <c r="Q318" s="136">
        <f>IF($F318="","",IFERROR(INDEX(사건마스터!$AN$5:$AN$64,MATCH($F318,사건마스터!$A$5:$A$64,0)),""))</f>
        <v/>
      </c>
      <c r="R318" s="136">
        <f>IF($F318="","",IFERROR(INDEX(사건마스터!$AO$5:$AO$64,MATCH($F318,사건마스터!$A$5:$A$64,0)),""))</f>
        <v/>
      </c>
      <c r="S318" s="136">
        <f>IF($F318="","",IFERROR(INDEX(사건마스터!$AP$5:$AP$64,MATCH($F318,사건마스터!$A$5:$A$64,0)),""))</f>
        <v/>
      </c>
      <c r="T318" s="136">
        <f>IF($F318="","",IFERROR(INDEX(사건마스터!$AQ$5:$AQ$64,MATCH($F318,사건마스터!$A$5:$A$64,0)),""))</f>
        <v/>
      </c>
      <c r="U318" s="136">
        <f>IF($F318="","",IFERROR(INDEX(사건마스터!$AR$5:$AR$64,MATCH($F318,사건마스터!$A$5:$A$64,0)),""))</f>
        <v/>
      </c>
      <c r="V318" s="136">
        <f>IF($F318="","",IFERROR(INDEX(사건마스터!$AS$5:$AS$64,MATCH($F318,사건마스터!$A$5:$A$64,0)),""))</f>
        <v/>
      </c>
      <c r="W318" s="136">
        <f>IF($F318="","",IFERROR(INDEX(사건마스터!$AT$5:$AT$64,MATCH($F318,사건마스터!$A$5:$A$64,0)),""))</f>
        <v/>
      </c>
      <c r="X318" s="136">
        <f>IF($F318="","",IFERROR(INDEX(사건마스터!$AU$5:$AU$64,MATCH($F318,사건마스터!$A$5:$A$64,0)),""))</f>
        <v/>
      </c>
      <c r="Y318" s="136">
        <f>IF($F318="","",IFERROR(INDEX(사건마스터!$AV$5:$AV$64,MATCH($F318,사건마스터!$A$5:$A$64,0)),""))</f>
        <v/>
      </c>
      <c r="Z318" s="118">
        <f>IF(COUNTBLANK($J318:$Y318)=16,"",16-COUNTBLANK($J318:$Y318))</f>
        <v/>
      </c>
      <c r="AA318" s="33">
        <f>IF($J318="",MID($AX318,3,255),$J318&amp;$AX318)</f>
        <v/>
      </c>
      <c r="AB318" s="130">
        <f>IF($J318="","",IFERROR(INDEX(코드설정!$D$5:$D$24,MATCH($J318,코드설정!$C$5:$C$24,0)),""))</f>
        <v/>
      </c>
      <c r="AC318" s="36" t="n"/>
      <c r="AD318" s="37" t="n"/>
      <c r="AE318" s="38" t="n"/>
      <c r="AF318" s="118">
        <f>IF(OR($B318="",$C318=""),"",$C318-$B318+1)</f>
        <v/>
      </c>
      <c r="AG318" s="74" t="n"/>
      <c r="AH318" s="36" t="n"/>
      <c r="AJ318">
        <f>IF($K318="","",", "&amp;$K318)</f>
        <v/>
      </c>
      <c r="AK318">
        <f>AJ318&amp;IF($L318="","",", "&amp;$L318)</f>
        <v/>
      </c>
      <c r="AL318">
        <f>AK318&amp;IF($M318="","",", "&amp;$M318)</f>
        <v/>
      </c>
      <c r="AM318">
        <f>AL318&amp;IF($N318="","",", "&amp;$N318)</f>
        <v/>
      </c>
      <c r="AN318">
        <f>AM318&amp;IF($O318="","",", "&amp;$O318)</f>
        <v/>
      </c>
      <c r="AO318">
        <f>AN318&amp;IF($P318="","",", "&amp;$P318)</f>
        <v/>
      </c>
      <c r="AP318">
        <f>AO318&amp;IF($Q318="","",", "&amp;$Q318)</f>
        <v/>
      </c>
      <c r="AQ318">
        <f>AP318&amp;IF($R318="","",", "&amp;$R318)</f>
        <v/>
      </c>
      <c r="AR318">
        <f>AQ318&amp;IF($S318="","",", "&amp;$S318)</f>
        <v/>
      </c>
      <c r="AS318">
        <f>AR318&amp;IF($T318="","",", "&amp;$T318)</f>
        <v/>
      </c>
      <c r="AT318">
        <f>AS318&amp;IF($U318="","",", "&amp;$U318)</f>
        <v/>
      </c>
      <c r="AU318">
        <f>AT318&amp;IF($V318="","",", "&amp;$V318)</f>
        <v/>
      </c>
      <c r="AV318">
        <f>AU318&amp;IF($W318="","",", "&amp;$W318)</f>
        <v/>
      </c>
      <c r="AW318">
        <f>AV318&amp;IF($X318="","",", "&amp;$X318)</f>
        <v/>
      </c>
      <c r="AX318">
        <f>AW318&amp;IF($Y318="","",", "&amp;$Y318)</f>
        <v/>
      </c>
    </row>
    <row r="319">
      <c r="A319" s="118">
        <f>IF($B319="","",COUNT($B$5:$B319))</f>
        <v/>
      </c>
      <c r="B319" s="80" t="n"/>
      <c r="C319" s="80" t="n"/>
      <c r="D319" s="74" t="n"/>
      <c r="E319" s="74" t="n"/>
      <c r="F319" s="74" t="n"/>
      <c r="G319" s="118">
        <f>IF($F319="","",COUNTIF($F$5:$F319,$F319))</f>
        <v/>
      </c>
      <c r="H319" s="33">
        <f>IF($F319="","",IFERROR(INDEX(사건마스터!$B$5:$B$64,MATCH($F319,사건마스터!$A$5:$A$64,0)),""))</f>
        <v/>
      </c>
      <c r="I319" s="130">
        <f>IF($F319="","",IFERROR(INDEX(사건마스터!$C$5:$C$64,MATCH($F319,사건마스터!$A$5:$A$64,0)),""))</f>
        <v/>
      </c>
      <c r="J319" s="136">
        <f>IF($F319="","",IFERROR(INDEX(사건마스터!$H$5:$H$64,MATCH($F319,사건마스터!$A$5:$A$64,0)),""))</f>
        <v/>
      </c>
      <c r="K319" s="136">
        <f>IF($F319="","",IFERROR(INDEX(사건마스터!$AH$5:$AH$64,MATCH($F319,사건마스터!$A$5:$A$64,0)),""))</f>
        <v/>
      </c>
      <c r="L319" s="136">
        <f>IF($F319="","",IFERROR(INDEX(사건마스터!$AI$5:$AI$64,MATCH($F319,사건마스터!$A$5:$A$64,0)),""))</f>
        <v/>
      </c>
      <c r="M319" s="136">
        <f>IF($F319="","",IFERROR(INDEX(사건마스터!$AJ$5:$AJ$64,MATCH($F319,사건마스터!$A$5:$A$64,0)),""))</f>
        <v/>
      </c>
      <c r="N319" s="136">
        <f>IF($F319="","",IFERROR(INDEX(사건마스터!$AK$5:$AK$64,MATCH($F319,사건마스터!$A$5:$A$64,0)),""))</f>
        <v/>
      </c>
      <c r="O319" s="136">
        <f>IF($F319="","",IFERROR(INDEX(사건마스터!$AL$5:$AL$64,MATCH($F319,사건마스터!$A$5:$A$64,0)),""))</f>
        <v/>
      </c>
      <c r="P319" s="136">
        <f>IF($F319="","",IFERROR(INDEX(사건마스터!$AM$5:$AM$64,MATCH($F319,사건마스터!$A$5:$A$64,0)),""))</f>
        <v/>
      </c>
      <c r="Q319" s="136">
        <f>IF($F319="","",IFERROR(INDEX(사건마스터!$AN$5:$AN$64,MATCH($F319,사건마스터!$A$5:$A$64,0)),""))</f>
        <v/>
      </c>
      <c r="R319" s="136">
        <f>IF($F319="","",IFERROR(INDEX(사건마스터!$AO$5:$AO$64,MATCH($F319,사건마스터!$A$5:$A$64,0)),""))</f>
        <v/>
      </c>
      <c r="S319" s="136">
        <f>IF($F319="","",IFERROR(INDEX(사건마스터!$AP$5:$AP$64,MATCH($F319,사건마스터!$A$5:$A$64,0)),""))</f>
        <v/>
      </c>
      <c r="T319" s="136">
        <f>IF($F319="","",IFERROR(INDEX(사건마스터!$AQ$5:$AQ$64,MATCH($F319,사건마스터!$A$5:$A$64,0)),""))</f>
        <v/>
      </c>
      <c r="U319" s="136">
        <f>IF($F319="","",IFERROR(INDEX(사건마스터!$AR$5:$AR$64,MATCH($F319,사건마스터!$A$5:$A$64,0)),""))</f>
        <v/>
      </c>
      <c r="V319" s="136">
        <f>IF($F319="","",IFERROR(INDEX(사건마스터!$AS$5:$AS$64,MATCH($F319,사건마스터!$A$5:$A$64,0)),""))</f>
        <v/>
      </c>
      <c r="W319" s="136">
        <f>IF($F319="","",IFERROR(INDEX(사건마스터!$AT$5:$AT$64,MATCH($F319,사건마스터!$A$5:$A$64,0)),""))</f>
        <v/>
      </c>
      <c r="X319" s="136">
        <f>IF($F319="","",IFERROR(INDEX(사건마스터!$AU$5:$AU$64,MATCH($F319,사건마스터!$A$5:$A$64,0)),""))</f>
        <v/>
      </c>
      <c r="Y319" s="136">
        <f>IF($F319="","",IFERROR(INDEX(사건마스터!$AV$5:$AV$64,MATCH($F319,사건마스터!$A$5:$A$64,0)),""))</f>
        <v/>
      </c>
      <c r="Z319" s="118">
        <f>IF(COUNTBLANK($J319:$Y319)=16,"",16-COUNTBLANK($J319:$Y319))</f>
        <v/>
      </c>
      <c r="AA319" s="33">
        <f>IF($J319="",MID($AX319,3,255),$J319&amp;$AX319)</f>
        <v/>
      </c>
      <c r="AB319" s="130">
        <f>IF($J319="","",IFERROR(INDEX(코드설정!$D$5:$D$24,MATCH($J319,코드설정!$C$5:$C$24,0)),""))</f>
        <v/>
      </c>
      <c r="AC319" s="36" t="n"/>
      <c r="AD319" s="37" t="n"/>
      <c r="AE319" s="38" t="n"/>
      <c r="AF319" s="118">
        <f>IF(OR($B319="",$C319=""),"",$C319-$B319+1)</f>
        <v/>
      </c>
      <c r="AG319" s="74" t="n"/>
      <c r="AH319" s="36" t="n"/>
      <c r="AJ319">
        <f>IF($K319="","",", "&amp;$K319)</f>
        <v/>
      </c>
      <c r="AK319">
        <f>AJ319&amp;IF($L319="","",", "&amp;$L319)</f>
        <v/>
      </c>
      <c r="AL319">
        <f>AK319&amp;IF($M319="","",", "&amp;$M319)</f>
        <v/>
      </c>
      <c r="AM319">
        <f>AL319&amp;IF($N319="","",", "&amp;$N319)</f>
        <v/>
      </c>
      <c r="AN319">
        <f>AM319&amp;IF($O319="","",", "&amp;$O319)</f>
        <v/>
      </c>
      <c r="AO319">
        <f>AN319&amp;IF($P319="","",", "&amp;$P319)</f>
        <v/>
      </c>
      <c r="AP319">
        <f>AO319&amp;IF($Q319="","",", "&amp;$Q319)</f>
        <v/>
      </c>
      <c r="AQ319">
        <f>AP319&amp;IF($R319="","",", "&amp;$R319)</f>
        <v/>
      </c>
      <c r="AR319">
        <f>AQ319&amp;IF($S319="","",", "&amp;$S319)</f>
        <v/>
      </c>
      <c r="AS319">
        <f>AR319&amp;IF($T319="","",", "&amp;$T319)</f>
        <v/>
      </c>
      <c r="AT319">
        <f>AS319&amp;IF($U319="","",", "&amp;$U319)</f>
        <v/>
      </c>
      <c r="AU319">
        <f>AT319&amp;IF($V319="","",", "&amp;$V319)</f>
        <v/>
      </c>
      <c r="AV319">
        <f>AU319&amp;IF($W319="","",", "&amp;$W319)</f>
        <v/>
      </c>
      <c r="AW319">
        <f>AV319&amp;IF($X319="","",", "&amp;$X319)</f>
        <v/>
      </c>
      <c r="AX319">
        <f>AW319&amp;IF($Y319="","",", "&amp;$Y319)</f>
        <v/>
      </c>
    </row>
    <row r="320">
      <c r="A320" s="118">
        <f>IF($B320="","",COUNT($B$5:$B320))</f>
        <v/>
      </c>
      <c r="B320" s="80" t="n"/>
      <c r="C320" s="80" t="n"/>
      <c r="D320" s="74" t="n"/>
      <c r="E320" s="74" t="n"/>
      <c r="F320" s="74" t="n"/>
      <c r="G320" s="118">
        <f>IF($F320="","",COUNTIF($F$5:$F320,$F320))</f>
        <v/>
      </c>
      <c r="H320" s="33">
        <f>IF($F320="","",IFERROR(INDEX(사건마스터!$B$5:$B$64,MATCH($F320,사건마스터!$A$5:$A$64,0)),""))</f>
        <v/>
      </c>
      <c r="I320" s="130">
        <f>IF($F320="","",IFERROR(INDEX(사건마스터!$C$5:$C$64,MATCH($F320,사건마스터!$A$5:$A$64,0)),""))</f>
        <v/>
      </c>
      <c r="J320" s="136">
        <f>IF($F320="","",IFERROR(INDEX(사건마스터!$H$5:$H$64,MATCH($F320,사건마스터!$A$5:$A$64,0)),""))</f>
        <v/>
      </c>
      <c r="K320" s="136">
        <f>IF($F320="","",IFERROR(INDEX(사건마스터!$AH$5:$AH$64,MATCH($F320,사건마스터!$A$5:$A$64,0)),""))</f>
        <v/>
      </c>
      <c r="L320" s="136">
        <f>IF($F320="","",IFERROR(INDEX(사건마스터!$AI$5:$AI$64,MATCH($F320,사건마스터!$A$5:$A$64,0)),""))</f>
        <v/>
      </c>
      <c r="M320" s="136">
        <f>IF($F320="","",IFERROR(INDEX(사건마스터!$AJ$5:$AJ$64,MATCH($F320,사건마스터!$A$5:$A$64,0)),""))</f>
        <v/>
      </c>
      <c r="N320" s="136">
        <f>IF($F320="","",IFERROR(INDEX(사건마스터!$AK$5:$AK$64,MATCH($F320,사건마스터!$A$5:$A$64,0)),""))</f>
        <v/>
      </c>
      <c r="O320" s="136">
        <f>IF($F320="","",IFERROR(INDEX(사건마스터!$AL$5:$AL$64,MATCH($F320,사건마스터!$A$5:$A$64,0)),""))</f>
        <v/>
      </c>
      <c r="P320" s="136">
        <f>IF($F320="","",IFERROR(INDEX(사건마스터!$AM$5:$AM$64,MATCH($F320,사건마스터!$A$5:$A$64,0)),""))</f>
        <v/>
      </c>
      <c r="Q320" s="136">
        <f>IF($F320="","",IFERROR(INDEX(사건마스터!$AN$5:$AN$64,MATCH($F320,사건마스터!$A$5:$A$64,0)),""))</f>
        <v/>
      </c>
      <c r="R320" s="136">
        <f>IF($F320="","",IFERROR(INDEX(사건마스터!$AO$5:$AO$64,MATCH($F320,사건마스터!$A$5:$A$64,0)),""))</f>
        <v/>
      </c>
      <c r="S320" s="136">
        <f>IF($F320="","",IFERROR(INDEX(사건마스터!$AP$5:$AP$64,MATCH($F320,사건마스터!$A$5:$A$64,0)),""))</f>
        <v/>
      </c>
      <c r="T320" s="136">
        <f>IF($F320="","",IFERROR(INDEX(사건마스터!$AQ$5:$AQ$64,MATCH($F320,사건마스터!$A$5:$A$64,0)),""))</f>
        <v/>
      </c>
      <c r="U320" s="136">
        <f>IF($F320="","",IFERROR(INDEX(사건마스터!$AR$5:$AR$64,MATCH($F320,사건마스터!$A$5:$A$64,0)),""))</f>
        <v/>
      </c>
      <c r="V320" s="136">
        <f>IF($F320="","",IFERROR(INDEX(사건마스터!$AS$5:$AS$64,MATCH($F320,사건마스터!$A$5:$A$64,0)),""))</f>
        <v/>
      </c>
      <c r="W320" s="136">
        <f>IF($F320="","",IFERROR(INDEX(사건마스터!$AT$5:$AT$64,MATCH($F320,사건마스터!$A$5:$A$64,0)),""))</f>
        <v/>
      </c>
      <c r="X320" s="136">
        <f>IF($F320="","",IFERROR(INDEX(사건마스터!$AU$5:$AU$64,MATCH($F320,사건마스터!$A$5:$A$64,0)),""))</f>
        <v/>
      </c>
      <c r="Y320" s="136">
        <f>IF($F320="","",IFERROR(INDEX(사건마스터!$AV$5:$AV$64,MATCH($F320,사건마스터!$A$5:$A$64,0)),""))</f>
        <v/>
      </c>
      <c r="Z320" s="118">
        <f>IF(COUNTBLANK($J320:$Y320)=16,"",16-COUNTBLANK($J320:$Y320))</f>
        <v/>
      </c>
      <c r="AA320" s="33">
        <f>IF($J320="",MID($AX320,3,255),$J320&amp;$AX320)</f>
        <v/>
      </c>
      <c r="AB320" s="130">
        <f>IF($J320="","",IFERROR(INDEX(코드설정!$D$5:$D$24,MATCH($J320,코드설정!$C$5:$C$24,0)),""))</f>
        <v/>
      </c>
      <c r="AC320" s="36" t="n"/>
      <c r="AD320" s="37" t="n"/>
      <c r="AE320" s="38" t="n"/>
      <c r="AF320" s="118">
        <f>IF(OR($B320="",$C320=""),"",$C320-$B320+1)</f>
        <v/>
      </c>
      <c r="AG320" s="74" t="n"/>
      <c r="AH320" s="36" t="n"/>
      <c r="AJ320">
        <f>IF($K320="","",", "&amp;$K320)</f>
        <v/>
      </c>
      <c r="AK320">
        <f>AJ320&amp;IF($L320="","",", "&amp;$L320)</f>
        <v/>
      </c>
      <c r="AL320">
        <f>AK320&amp;IF($M320="","",", "&amp;$M320)</f>
        <v/>
      </c>
      <c r="AM320">
        <f>AL320&amp;IF($N320="","",", "&amp;$N320)</f>
        <v/>
      </c>
      <c r="AN320">
        <f>AM320&amp;IF($O320="","",", "&amp;$O320)</f>
        <v/>
      </c>
      <c r="AO320">
        <f>AN320&amp;IF($P320="","",", "&amp;$P320)</f>
        <v/>
      </c>
      <c r="AP320">
        <f>AO320&amp;IF($Q320="","",", "&amp;$Q320)</f>
        <v/>
      </c>
      <c r="AQ320">
        <f>AP320&amp;IF($R320="","",", "&amp;$R320)</f>
        <v/>
      </c>
      <c r="AR320">
        <f>AQ320&amp;IF($S320="","",", "&amp;$S320)</f>
        <v/>
      </c>
      <c r="AS320">
        <f>AR320&amp;IF($T320="","",", "&amp;$T320)</f>
        <v/>
      </c>
      <c r="AT320">
        <f>AS320&amp;IF($U320="","",", "&amp;$U320)</f>
        <v/>
      </c>
      <c r="AU320">
        <f>AT320&amp;IF($V320="","",", "&amp;$V320)</f>
        <v/>
      </c>
      <c r="AV320">
        <f>AU320&amp;IF($W320="","",", "&amp;$W320)</f>
        <v/>
      </c>
      <c r="AW320">
        <f>AV320&amp;IF($X320="","",", "&amp;$X320)</f>
        <v/>
      </c>
      <c r="AX320">
        <f>AW320&amp;IF($Y320="","",", "&amp;$Y320)</f>
        <v/>
      </c>
    </row>
    <row r="321">
      <c r="A321" s="118">
        <f>IF($B321="","",COUNT($B$5:$B321))</f>
        <v/>
      </c>
      <c r="B321" s="80" t="n"/>
      <c r="C321" s="80" t="n"/>
      <c r="D321" s="74" t="n"/>
      <c r="E321" s="74" t="n"/>
      <c r="F321" s="74" t="n"/>
      <c r="G321" s="118">
        <f>IF($F321="","",COUNTIF($F$5:$F321,$F321))</f>
        <v/>
      </c>
      <c r="H321" s="33">
        <f>IF($F321="","",IFERROR(INDEX(사건마스터!$B$5:$B$64,MATCH($F321,사건마스터!$A$5:$A$64,0)),""))</f>
        <v/>
      </c>
      <c r="I321" s="130">
        <f>IF($F321="","",IFERROR(INDEX(사건마스터!$C$5:$C$64,MATCH($F321,사건마스터!$A$5:$A$64,0)),""))</f>
        <v/>
      </c>
      <c r="J321" s="136">
        <f>IF($F321="","",IFERROR(INDEX(사건마스터!$H$5:$H$64,MATCH($F321,사건마스터!$A$5:$A$64,0)),""))</f>
        <v/>
      </c>
      <c r="K321" s="136">
        <f>IF($F321="","",IFERROR(INDEX(사건마스터!$AH$5:$AH$64,MATCH($F321,사건마스터!$A$5:$A$64,0)),""))</f>
        <v/>
      </c>
      <c r="L321" s="136">
        <f>IF($F321="","",IFERROR(INDEX(사건마스터!$AI$5:$AI$64,MATCH($F321,사건마스터!$A$5:$A$64,0)),""))</f>
        <v/>
      </c>
      <c r="M321" s="136">
        <f>IF($F321="","",IFERROR(INDEX(사건마스터!$AJ$5:$AJ$64,MATCH($F321,사건마스터!$A$5:$A$64,0)),""))</f>
        <v/>
      </c>
      <c r="N321" s="136">
        <f>IF($F321="","",IFERROR(INDEX(사건마스터!$AK$5:$AK$64,MATCH($F321,사건마스터!$A$5:$A$64,0)),""))</f>
        <v/>
      </c>
      <c r="O321" s="136">
        <f>IF($F321="","",IFERROR(INDEX(사건마스터!$AL$5:$AL$64,MATCH($F321,사건마스터!$A$5:$A$64,0)),""))</f>
        <v/>
      </c>
      <c r="P321" s="136">
        <f>IF($F321="","",IFERROR(INDEX(사건마스터!$AM$5:$AM$64,MATCH($F321,사건마스터!$A$5:$A$64,0)),""))</f>
        <v/>
      </c>
      <c r="Q321" s="136">
        <f>IF($F321="","",IFERROR(INDEX(사건마스터!$AN$5:$AN$64,MATCH($F321,사건마스터!$A$5:$A$64,0)),""))</f>
        <v/>
      </c>
      <c r="R321" s="136">
        <f>IF($F321="","",IFERROR(INDEX(사건마스터!$AO$5:$AO$64,MATCH($F321,사건마스터!$A$5:$A$64,0)),""))</f>
        <v/>
      </c>
      <c r="S321" s="136">
        <f>IF($F321="","",IFERROR(INDEX(사건마스터!$AP$5:$AP$64,MATCH($F321,사건마스터!$A$5:$A$64,0)),""))</f>
        <v/>
      </c>
      <c r="T321" s="136">
        <f>IF($F321="","",IFERROR(INDEX(사건마스터!$AQ$5:$AQ$64,MATCH($F321,사건마스터!$A$5:$A$64,0)),""))</f>
        <v/>
      </c>
      <c r="U321" s="136">
        <f>IF($F321="","",IFERROR(INDEX(사건마스터!$AR$5:$AR$64,MATCH($F321,사건마스터!$A$5:$A$64,0)),""))</f>
        <v/>
      </c>
      <c r="V321" s="136">
        <f>IF($F321="","",IFERROR(INDEX(사건마스터!$AS$5:$AS$64,MATCH($F321,사건마스터!$A$5:$A$64,0)),""))</f>
        <v/>
      </c>
      <c r="W321" s="136">
        <f>IF($F321="","",IFERROR(INDEX(사건마스터!$AT$5:$AT$64,MATCH($F321,사건마스터!$A$5:$A$64,0)),""))</f>
        <v/>
      </c>
      <c r="X321" s="136">
        <f>IF($F321="","",IFERROR(INDEX(사건마스터!$AU$5:$AU$64,MATCH($F321,사건마스터!$A$5:$A$64,0)),""))</f>
        <v/>
      </c>
      <c r="Y321" s="136">
        <f>IF($F321="","",IFERROR(INDEX(사건마스터!$AV$5:$AV$64,MATCH($F321,사건마스터!$A$5:$A$64,0)),""))</f>
        <v/>
      </c>
      <c r="Z321" s="118">
        <f>IF(COUNTBLANK($J321:$Y321)=16,"",16-COUNTBLANK($J321:$Y321))</f>
        <v/>
      </c>
      <c r="AA321" s="33">
        <f>IF($J321="",MID($AX321,3,255),$J321&amp;$AX321)</f>
        <v/>
      </c>
      <c r="AB321" s="130">
        <f>IF($J321="","",IFERROR(INDEX(코드설정!$D$5:$D$24,MATCH($J321,코드설정!$C$5:$C$24,0)),""))</f>
        <v/>
      </c>
      <c r="AC321" s="36" t="n"/>
      <c r="AD321" s="37" t="n"/>
      <c r="AE321" s="38" t="n"/>
      <c r="AF321" s="118">
        <f>IF(OR($B321="",$C321=""),"",$C321-$B321+1)</f>
        <v/>
      </c>
      <c r="AG321" s="74" t="n"/>
      <c r="AH321" s="36" t="n"/>
      <c r="AJ321">
        <f>IF($K321="","",", "&amp;$K321)</f>
        <v/>
      </c>
      <c r="AK321">
        <f>AJ321&amp;IF($L321="","",", "&amp;$L321)</f>
        <v/>
      </c>
      <c r="AL321">
        <f>AK321&amp;IF($M321="","",", "&amp;$M321)</f>
        <v/>
      </c>
      <c r="AM321">
        <f>AL321&amp;IF($N321="","",", "&amp;$N321)</f>
        <v/>
      </c>
      <c r="AN321">
        <f>AM321&amp;IF($O321="","",", "&amp;$O321)</f>
        <v/>
      </c>
      <c r="AO321">
        <f>AN321&amp;IF($P321="","",", "&amp;$P321)</f>
        <v/>
      </c>
      <c r="AP321">
        <f>AO321&amp;IF($Q321="","",", "&amp;$Q321)</f>
        <v/>
      </c>
      <c r="AQ321">
        <f>AP321&amp;IF($R321="","",", "&amp;$R321)</f>
        <v/>
      </c>
      <c r="AR321">
        <f>AQ321&amp;IF($S321="","",", "&amp;$S321)</f>
        <v/>
      </c>
      <c r="AS321">
        <f>AR321&amp;IF($T321="","",", "&amp;$T321)</f>
        <v/>
      </c>
      <c r="AT321">
        <f>AS321&amp;IF($U321="","",", "&amp;$U321)</f>
        <v/>
      </c>
      <c r="AU321">
        <f>AT321&amp;IF($V321="","",", "&amp;$V321)</f>
        <v/>
      </c>
      <c r="AV321">
        <f>AU321&amp;IF($W321="","",", "&amp;$W321)</f>
        <v/>
      </c>
      <c r="AW321">
        <f>AV321&amp;IF($X321="","",", "&amp;$X321)</f>
        <v/>
      </c>
      <c r="AX321">
        <f>AW321&amp;IF($Y321="","",", "&amp;$Y321)</f>
        <v/>
      </c>
    </row>
    <row r="322">
      <c r="A322" s="118">
        <f>IF($B322="","",COUNT($B$5:$B322))</f>
        <v/>
      </c>
      <c r="B322" s="80" t="n"/>
      <c r="C322" s="80" t="n"/>
      <c r="D322" s="74" t="n"/>
      <c r="E322" s="74" t="n"/>
      <c r="F322" s="74" t="n"/>
      <c r="G322" s="118">
        <f>IF($F322="","",COUNTIF($F$5:$F322,$F322))</f>
        <v/>
      </c>
      <c r="H322" s="33">
        <f>IF($F322="","",IFERROR(INDEX(사건마스터!$B$5:$B$64,MATCH($F322,사건마스터!$A$5:$A$64,0)),""))</f>
        <v/>
      </c>
      <c r="I322" s="130">
        <f>IF($F322="","",IFERROR(INDEX(사건마스터!$C$5:$C$64,MATCH($F322,사건마스터!$A$5:$A$64,0)),""))</f>
        <v/>
      </c>
      <c r="J322" s="136">
        <f>IF($F322="","",IFERROR(INDEX(사건마스터!$H$5:$H$64,MATCH($F322,사건마스터!$A$5:$A$64,0)),""))</f>
        <v/>
      </c>
      <c r="K322" s="136">
        <f>IF($F322="","",IFERROR(INDEX(사건마스터!$AH$5:$AH$64,MATCH($F322,사건마스터!$A$5:$A$64,0)),""))</f>
        <v/>
      </c>
      <c r="L322" s="136">
        <f>IF($F322="","",IFERROR(INDEX(사건마스터!$AI$5:$AI$64,MATCH($F322,사건마스터!$A$5:$A$64,0)),""))</f>
        <v/>
      </c>
      <c r="M322" s="136">
        <f>IF($F322="","",IFERROR(INDEX(사건마스터!$AJ$5:$AJ$64,MATCH($F322,사건마스터!$A$5:$A$64,0)),""))</f>
        <v/>
      </c>
      <c r="N322" s="136">
        <f>IF($F322="","",IFERROR(INDEX(사건마스터!$AK$5:$AK$64,MATCH($F322,사건마스터!$A$5:$A$64,0)),""))</f>
        <v/>
      </c>
      <c r="O322" s="136">
        <f>IF($F322="","",IFERROR(INDEX(사건마스터!$AL$5:$AL$64,MATCH($F322,사건마스터!$A$5:$A$64,0)),""))</f>
        <v/>
      </c>
      <c r="P322" s="136">
        <f>IF($F322="","",IFERROR(INDEX(사건마스터!$AM$5:$AM$64,MATCH($F322,사건마스터!$A$5:$A$64,0)),""))</f>
        <v/>
      </c>
      <c r="Q322" s="136">
        <f>IF($F322="","",IFERROR(INDEX(사건마스터!$AN$5:$AN$64,MATCH($F322,사건마스터!$A$5:$A$64,0)),""))</f>
        <v/>
      </c>
      <c r="R322" s="136">
        <f>IF($F322="","",IFERROR(INDEX(사건마스터!$AO$5:$AO$64,MATCH($F322,사건마스터!$A$5:$A$64,0)),""))</f>
        <v/>
      </c>
      <c r="S322" s="136">
        <f>IF($F322="","",IFERROR(INDEX(사건마스터!$AP$5:$AP$64,MATCH($F322,사건마스터!$A$5:$A$64,0)),""))</f>
        <v/>
      </c>
      <c r="T322" s="136">
        <f>IF($F322="","",IFERROR(INDEX(사건마스터!$AQ$5:$AQ$64,MATCH($F322,사건마스터!$A$5:$A$64,0)),""))</f>
        <v/>
      </c>
      <c r="U322" s="136">
        <f>IF($F322="","",IFERROR(INDEX(사건마스터!$AR$5:$AR$64,MATCH($F322,사건마스터!$A$5:$A$64,0)),""))</f>
        <v/>
      </c>
      <c r="V322" s="136">
        <f>IF($F322="","",IFERROR(INDEX(사건마스터!$AS$5:$AS$64,MATCH($F322,사건마스터!$A$5:$A$64,0)),""))</f>
        <v/>
      </c>
      <c r="W322" s="136">
        <f>IF($F322="","",IFERROR(INDEX(사건마스터!$AT$5:$AT$64,MATCH($F322,사건마스터!$A$5:$A$64,0)),""))</f>
        <v/>
      </c>
      <c r="X322" s="136">
        <f>IF($F322="","",IFERROR(INDEX(사건마스터!$AU$5:$AU$64,MATCH($F322,사건마스터!$A$5:$A$64,0)),""))</f>
        <v/>
      </c>
      <c r="Y322" s="136">
        <f>IF($F322="","",IFERROR(INDEX(사건마스터!$AV$5:$AV$64,MATCH($F322,사건마스터!$A$5:$A$64,0)),""))</f>
        <v/>
      </c>
      <c r="Z322" s="118">
        <f>IF(COUNTBLANK($J322:$Y322)=16,"",16-COUNTBLANK($J322:$Y322))</f>
        <v/>
      </c>
      <c r="AA322" s="33">
        <f>IF($J322="",MID($AX322,3,255),$J322&amp;$AX322)</f>
        <v/>
      </c>
      <c r="AB322" s="130">
        <f>IF($J322="","",IFERROR(INDEX(코드설정!$D$5:$D$24,MATCH($J322,코드설정!$C$5:$C$24,0)),""))</f>
        <v/>
      </c>
      <c r="AC322" s="36" t="n"/>
      <c r="AD322" s="37" t="n"/>
      <c r="AE322" s="38" t="n"/>
      <c r="AF322" s="118">
        <f>IF(OR($B322="",$C322=""),"",$C322-$B322+1)</f>
        <v/>
      </c>
      <c r="AG322" s="74" t="n"/>
      <c r="AH322" s="36" t="n"/>
      <c r="AJ322">
        <f>IF($K322="","",", "&amp;$K322)</f>
        <v/>
      </c>
      <c r="AK322">
        <f>AJ322&amp;IF($L322="","",", "&amp;$L322)</f>
        <v/>
      </c>
      <c r="AL322">
        <f>AK322&amp;IF($M322="","",", "&amp;$M322)</f>
        <v/>
      </c>
      <c r="AM322">
        <f>AL322&amp;IF($N322="","",", "&amp;$N322)</f>
        <v/>
      </c>
      <c r="AN322">
        <f>AM322&amp;IF($O322="","",", "&amp;$O322)</f>
        <v/>
      </c>
      <c r="AO322">
        <f>AN322&amp;IF($P322="","",", "&amp;$P322)</f>
        <v/>
      </c>
      <c r="AP322">
        <f>AO322&amp;IF($Q322="","",", "&amp;$Q322)</f>
        <v/>
      </c>
      <c r="AQ322">
        <f>AP322&amp;IF($R322="","",", "&amp;$R322)</f>
        <v/>
      </c>
      <c r="AR322">
        <f>AQ322&amp;IF($S322="","",", "&amp;$S322)</f>
        <v/>
      </c>
      <c r="AS322">
        <f>AR322&amp;IF($T322="","",", "&amp;$T322)</f>
        <v/>
      </c>
      <c r="AT322">
        <f>AS322&amp;IF($U322="","",", "&amp;$U322)</f>
        <v/>
      </c>
      <c r="AU322">
        <f>AT322&amp;IF($V322="","",", "&amp;$V322)</f>
        <v/>
      </c>
      <c r="AV322">
        <f>AU322&amp;IF($W322="","",", "&amp;$W322)</f>
        <v/>
      </c>
      <c r="AW322">
        <f>AV322&amp;IF($X322="","",", "&amp;$X322)</f>
        <v/>
      </c>
      <c r="AX322">
        <f>AW322&amp;IF($Y322="","",", "&amp;$Y322)</f>
        <v/>
      </c>
    </row>
    <row r="323">
      <c r="A323" s="118">
        <f>IF($B323="","",COUNT($B$5:$B323))</f>
        <v/>
      </c>
      <c r="B323" s="80" t="n"/>
      <c r="C323" s="80" t="n"/>
      <c r="D323" s="74" t="n"/>
      <c r="E323" s="74" t="n"/>
      <c r="F323" s="74" t="n"/>
      <c r="G323" s="118">
        <f>IF($F323="","",COUNTIF($F$5:$F323,$F323))</f>
        <v/>
      </c>
      <c r="H323" s="33">
        <f>IF($F323="","",IFERROR(INDEX(사건마스터!$B$5:$B$64,MATCH($F323,사건마스터!$A$5:$A$64,0)),""))</f>
        <v/>
      </c>
      <c r="I323" s="130">
        <f>IF($F323="","",IFERROR(INDEX(사건마스터!$C$5:$C$64,MATCH($F323,사건마스터!$A$5:$A$64,0)),""))</f>
        <v/>
      </c>
      <c r="J323" s="136">
        <f>IF($F323="","",IFERROR(INDEX(사건마스터!$H$5:$H$64,MATCH($F323,사건마스터!$A$5:$A$64,0)),""))</f>
        <v/>
      </c>
      <c r="K323" s="136">
        <f>IF($F323="","",IFERROR(INDEX(사건마스터!$AH$5:$AH$64,MATCH($F323,사건마스터!$A$5:$A$64,0)),""))</f>
        <v/>
      </c>
      <c r="L323" s="136">
        <f>IF($F323="","",IFERROR(INDEX(사건마스터!$AI$5:$AI$64,MATCH($F323,사건마스터!$A$5:$A$64,0)),""))</f>
        <v/>
      </c>
      <c r="M323" s="136">
        <f>IF($F323="","",IFERROR(INDEX(사건마스터!$AJ$5:$AJ$64,MATCH($F323,사건마스터!$A$5:$A$64,0)),""))</f>
        <v/>
      </c>
      <c r="N323" s="136">
        <f>IF($F323="","",IFERROR(INDEX(사건마스터!$AK$5:$AK$64,MATCH($F323,사건마스터!$A$5:$A$64,0)),""))</f>
        <v/>
      </c>
      <c r="O323" s="136">
        <f>IF($F323="","",IFERROR(INDEX(사건마스터!$AL$5:$AL$64,MATCH($F323,사건마스터!$A$5:$A$64,0)),""))</f>
        <v/>
      </c>
      <c r="P323" s="136">
        <f>IF($F323="","",IFERROR(INDEX(사건마스터!$AM$5:$AM$64,MATCH($F323,사건마스터!$A$5:$A$64,0)),""))</f>
        <v/>
      </c>
      <c r="Q323" s="136">
        <f>IF($F323="","",IFERROR(INDEX(사건마스터!$AN$5:$AN$64,MATCH($F323,사건마스터!$A$5:$A$64,0)),""))</f>
        <v/>
      </c>
      <c r="R323" s="136">
        <f>IF($F323="","",IFERROR(INDEX(사건마스터!$AO$5:$AO$64,MATCH($F323,사건마스터!$A$5:$A$64,0)),""))</f>
        <v/>
      </c>
      <c r="S323" s="136">
        <f>IF($F323="","",IFERROR(INDEX(사건마스터!$AP$5:$AP$64,MATCH($F323,사건마스터!$A$5:$A$64,0)),""))</f>
        <v/>
      </c>
      <c r="T323" s="136">
        <f>IF($F323="","",IFERROR(INDEX(사건마스터!$AQ$5:$AQ$64,MATCH($F323,사건마스터!$A$5:$A$64,0)),""))</f>
        <v/>
      </c>
      <c r="U323" s="136">
        <f>IF($F323="","",IFERROR(INDEX(사건마스터!$AR$5:$AR$64,MATCH($F323,사건마스터!$A$5:$A$64,0)),""))</f>
        <v/>
      </c>
      <c r="V323" s="136">
        <f>IF($F323="","",IFERROR(INDEX(사건마스터!$AS$5:$AS$64,MATCH($F323,사건마스터!$A$5:$A$64,0)),""))</f>
        <v/>
      </c>
      <c r="W323" s="136">
        <f>IF($F323="","",IFERROR(INDEX(사건마스터!$AT$5:$AT$64,MATCH($F323,사건마스터!$A$5:$A$64,0)),""))</f>
        <v/>
      </c>
      <c r="X323" s="136">
        <f>IF($F323="","",IFERROR(INDEX(사건마스터!$AU$5:$AU$64,MATCH($F323,사건마스터!$A$5:$A$64,0)),""))</f>
        <v/>
      </c>
      <c r="Y323" s="136">
        <f>IF($F323="","",IFERROR(INDEX(사건마스터!$AV$5:$AV$64,MATCH($F323,사건마스터!$A$5:$A$64,0)),""))</f>
        <v/>
      </c>
      <c r="Z323" s="118">
        <f>IF(COUNTBLANK($J323:$Y323)=16,"",16-COUNTBLANK($J323:$Y323))</f>
        <v/>
      </c>
      <c r="AA323" s="33">
        <f>IF($J323="",MID($AX323,3,255),$J323&amp;$AX323)</f>
        <v/>
      </c>
      <c r="AB323" s="130">
        <f>IF($J323="","",IFERROR(INDEX(코드설정!$D$5:$D$24,MATCH($J323,코드설정!$C$5:$C$24,0)),""))</f>
        <v/>
      </c>
      <c r="AC323" s="36" t="n"/>
      <c r="AD323" s="37" t="n"/>
      <c r="AE323" s="38" t="n"/>
      <c r="AF323" s="118">
        <f>IF(OR($B323="",$C323=""),"",$C323-$B323+1)</f>
        <v/>
      </c>
      <c r="AG323" s="74" t="n"/>
      <c r="AH323" s="36" t="n"/>
      <c r="AJ323">
        <f>IF($K323="","",", "&amp;$K323)</f>
        <v/>
      </c>
      <c r="AK323">
        <f>AJ323&amp;IF($L323="","",", "&amp;$L323)</f>
        <v/>
      </c>
      <c r="AL323">
        <f>AK323&amp;IF($M323="","",", "&amp;$M323)</f>
        <v/>
      </c>
      <c r="AM323">
        <f>AL323&amp;IF($N323="","",", "&amp;$N323)</f>
        <v/>
      </c>
      <c r="AN323">
        <f>AM323&amp;IF($O323="","",", "&amp;$O323)</f>
        <v/>
      </c>
      <c r="AO323">
        <f>AN323&amp;IF($P323="","",", "&amp;$P323)</f>
        <v/>
      </c>
      <c r="AP323">
        <f>AO323&amp;IF($Q323="","",", "&amp;$Q323)</f>
        <v/>
      </c>
      <c r="AQ323">
        <f>AP323&amp;IF($R323="","",", "&amp;$R323)</f>
        <v/>
      </c>
      <c r="AR323">
        <f>AQ323&amp;IF($S323="","",", "&amp;$S323)</f>
        <v/>
      </c>
      <c r="AS323">
        <f>AR323&amp;IF($T323="","",", "&amp;$T323)</f>
        <v/>
      </c>
      <c r="AT323">
        <f>AS323&amp;IF($U323="","",", "&amp;$U323)</f>
        <v/>
      </c>
      <c r="AU323">
        <f>AT323&amp;IF($V323="","",", "&amp;$V323)</f>
        <v/>
      </c>
      <c r="AV323">
        <f>AU323&amp;IF($W323="","",", "&amp;$W323)</f>
        <v/>
      </c>
      <c r="AW323">
        <f>AV323&amp;IF($X323="","",", "&amp;$X323)</f>
        <v/>
      </c>
      <c r="AX323">
        <f>AW323&amp;IF($Y323="","",", "&amp;$Y323)</f>
        <v/>
      </c>
    </row>
    <row r="324">
      <c r="A324" s="118">
        <f>IF($B324="","",COUNT($B$5:$B324))</f>
        <v/>
      </c>
      <c r="B324" s="80" t="n"/>
      <c r="C324" s="80" t="n"/>
      <c r="D324" s="74" t="n"/>
      <c r="E324" s="74" t="n"/>
      <c r="F324" s="74" t="n"/>
      <c r="G324" s="118">
        <f>IF($F324="","",COUNTIF($F$5:$F324,$F324))</f>
        <v/>
      </c>
      <c r="H324" s="33">
        <f>IF($F324="","",IFERROR(INDEX(사건마스터!$B$5:$B$64,MATCH($F324,사건마스터!$A$5:$A$64,0)),""))</f>
        <v/>
      </c>
      <c r="I324" s="130">
        <f>IF($F324="","",IFERROR(INDEX(사건마스터!$C$5:$C$64,MATCH($F324,사건마스터!$A$5:$A$64,0)),""))</f>
        <v/>
      </c>
      <c r="J324" s="136">
        <f>IF($F324="","",IFERROR(INDEX(사건마스터!$H$5:$H$64,MATCH($F324,사건마스터!$A$5:$A$64,0)),""))</f>
        <v/>
      </c>
      <c r="K324" s="136">
        <f>IF($F324="","",IFERROR(INDEX(사건마스터!$AH$5:$AH$64,MATCH($F324,사건마스터!$A$5:$A$64,0)),""))</f>
        <v/>
      </c>
      <c r="L324" s="136">
        <f>IF($F324="","",IFERROR(INDEX(사건마스터!$AI$5:$AI$64,MATCH($F324,사건마스터!$A$5:$A$64,0)),""))</f>
        <v/>
      </c>
      <c r="M324" s="136">
        <f>IF($F324="","",IFERROR(INDEX(사건마스터!$AJ$5:$AJ$64,MATCH($F324,사건마스터!$A$5:$A$64,0)),""))</f>
        <v/>
      </c>
      <c r="N324" s="136">
        <f>IF($F324="","",IFERROR(INDEX(사건마스터!$AK$5:$AK$64,MATCH($F324,사건마스터!$A$5:$A$64,0)),""))</f>
        <v/>
      </c>
      <c r="O324" s="136">
        <f>IF($F324="","",IFERROR(INDEX(사건마스터!$AL$5:$AL$64,MATCH($F324,사건마스터!$A$5:$A$64,0)),""))</f>
        <v/>
      </c>
      <c r="P324" s="136">
        <f>IF($F324="","",IFERROR(INDEX(사건마스터!$AM$5:$AM$64,MATCH($F324,사건마스터!$A$5:$A$64,0)),""))</f>
        <v/>
      </c>
      <c r="Q324" s="136">
        <f>IF($F324="","",IFERROR(INDEX(사건마스터!$AN$5:$AN$64,MATCH($F324,사건마스터!$A$5:$A$64,0)),""))</f>
        <v/>
      </c>
      <c r="R324" s="136">
        <f>IF($F324="","",IFERROR(INDEX(사건마스터!$AO$5:$AO$64,MATCH($F324,사건마스터!$A$5:$A$64,0)),""))</f>
        <v/>
      </c>
      <c r="S324" s="136">
        <f>IF($F324="","",IFERROR(INDEX(사건마스터!$AP$5:$AP$64,MATCH($F324,사건마스터!$A$5:$A$64,0)),""))</f>
        <v/>
      </c>
      <c r="T324" s="136">
        <f>IF($F324="","",IFERROR(INDEX(사건마스터!$AQ$5:$AQ$64,MATCH($F324,사건마스터!$A$5:$A$64,0)),""))</f>
        <v/>
      </c>
      <c r="U324" s="136">
        <f>IF($F324="","",IFERROR(INDEX(사건마스터!$AR$5:$AR$64,MATCH($F324,사건마스터!$A$5:$A$64,0)),""))</f>
        <v/>
      </c>
      <c r="V324" s="136">
        <f>IF($F324="","",IFERROR(INDEX(사건마스터!$AS$5:$AS$64,MATCH($F324,사건마스터!$A$5:$A$64,0)),""))</f>
        <v/>
      </c>
      <c r="W324" s="136">
        <f>IF($F324="","",IFERROR(INDEX(사건마스터!$AT$5:$AT$64,MATCH($F324,사건마스터!$A$5:$A$64,0)),""))</f>
        <v/>
      </c>
      <c r="X324" s="136">
        <f>IF($F324="","",IFERROR(INDEX(사건마스터!$AU$5:$AU$64,MATCH($F324,사건마스터!$A$5:$A$64,0)),""))</f>
        <v/>
      </c>
      <c r="Y324" s="136">
        <f>IF($F324="","",IFERROR(INDEX(사건마스터!$AV$5:$AV$64,MATCH($F324,사건마스터!$A$5:$A$64,0)),""))</f>
        <v/>
      </c>
      <c r="Z324" s="118">
        <f>IF(COUNTBLANK($J324:$Y324)=16,"",16-COUNTBLANK($J324:$Y324))</f>
        <v/>
      </c>
      <c r="AA324" s="33">
        <f>IF($J324="",MID($AX324,3,255),$J324&amp;$AX324)</f>
        <v/>
      </c>
      <c r="AB324" s="130">
        <f>IF($J324="","",IFERROR(INDEX(코드설정!$D$5:$D$24,MATCH($J324,코드설정!$C$5:$C$24,0)),""))</f>
        <v/>
      </c>
      <c r="AC324" s="36" t="n"/>
      <c r="AD324" s="37" t="n"/>
      <c r="AE324" s="38" t="n"/>
      <c r="AF324" s="118">
        <f>IF(OR($B324="",$C324=""),"",$C324-$B324+1)</f>
        <v/>
      </c>
      <c r="AG324" s="74" t="n"/>
      <c r="AH324" s="36" t="n"/>
      <c r="AJ324">
        <f>IF($K324="","",", "&amp;$K324)</f>
        <v/>
      </c>
      <c r="AK324">
        <f>AJ324&amp;IF($L324="","",", "&amp;$L324)</f>
        <v/>
      </c>
      <c r="AL324">
        <f>AK324&amp;IF($M324="","",", "&amp;$M324)</f>
        <v/>
      </c>
      <c r="AM324">
        <f>AL324&amp;IF($N324="","",", "&amp;$N324)</f>
        <v/>
      </c>
      <c r="AN324">
        <f>AM324&amp;IF($O324="","",", "&amp;$O324)</f>
        <v/>
      </c>
      <c r="AO324">
        <f>AN324&amp;IF($P324="","",", "&amp;$P324)</f>
        <v/>
      </c>
      <c r="AP324">
        <f>AO324&amp;IF($Q324="","",", "&amp;$Q324)</f>
        <v/>
      </c>
      <c r="AQ324">
        <f>AP324&amp;IF($R324="","",", "&amp;$R324)</f>
        <v/>
      </c>
      <c r="AR324">
        <f>AQ324&amp;IF($S324="","",", "&amp;$S324)</f>
        <v/>
      </c>
      <c r="AS324">
        <f>AR324&amp;IF($T324="","",", "&amp;$T324)</f>
        <v/>
      </c>
      <c r="AT324">
        <f>AS324&amp;IF($U324="","",", "&amp;$U324)</f>
        <v/>
      </c>
      <c r="AU324">
        <f>AT324&amp;IF($V324="","",", "&amp;$V324)</f>
        <v/>
      </c>
      <c r="AV324">
        <f>AU324&amp;IF($W324="","",", "&amp;$W324)</f>
        <v/>
      </c>
      <c r="AW324">
        <f>AV324&amp;IF($X324="","",", "&amp;$X324)</f>
        <v/>
      </c>
      <c r="AX324">
        <f>AW324&amp;IF($Y324="","",", "&amp;$Y324)</f>
        <v/>
      </c>
    </row>
    <row r="325">
      <c r="A325" s="118">
        <f>IF($B325="","",COUNT($B$5:$B325))</f>
        <v/>
      </c>
      <c r="B325" s="80" t="n"/>
      <c r="C325" s="80" t="n"/>
      <c r="D325" s="74" t="n"/>
      <c r="E325" s="74" t="n"/>
      <c r="F325" s="74" t="n"/>
      <c r="G325" s="118">
        <f>IF($F325="","",COUNTIF($F$5:$F325,$F325))</f>
        <v/>
      </c>
      <c r="H325" s="33">
        <f>IF($F325="","",IFERROR(INDEX(사건마스터!$B$5:$B$64,MATCH($F325,사건마스터!$A$5:$A$64,0)),""))</f>
        <v/>
      </c>
      <c r="I325" s="130">
        <f>IF($F325="","",IFERROR(INDEX(사건마스터!$C$5:$C$64,MATCH($F325,사건마스터!$A$5:$A$64,0)),""))</f>
        <v/>
      </c>
      <c r="J325" s="136">
        <f>IF($F325="","",IFERROR(INDEX(사건마스터!$H$5:$H$64,MATCH($F325,사건마스터!$A$5:$A$64,0)),""))</f>
        <v/>
      </c>
      <c r="K325" s="136">
        <f>IF($F325="","",IFERROR(INDEX(사건마스터!$AH$5:$AH$64,MATCH($F325,사건마스터!$A$5:$A$64,0)),""))</f>
        <v/>
      </c>
      <c r="L325" s="136">
        <f>IF($F325="","",IFERROR(INDEX(사건마스터!$AI$5:$AI$64,MATCH($F325,사건마스터!$A$5:$A$64,0)),""))</f>
        <v/>
      </c>
      <c r="M325" s="136">
        <f>IF($F325="","",IFERROR(INDEX(사건마스터!$AJ$5:$AJ$64,MATCH($F325,사건마스터!$A$5:$A$64,0)),""))</f>
        <v/>
      </c>
      <c r="N325" s="136">
        <f>IF($F325="","",IFERROR(INDEX(사건마스터!$AK$5:$AK$64,MATCH($F325,사건마스터!$A$5:$A$64,0)),""))</f>
        <v/>
      </c>
      <c r="O325" s="136">
        <f>IF($F325="","",IFERROR(INDEX(사건마스터!$AL$5:$AL$64,MATCH($F325,사건마스터!$A$5:$A$64,0)),""))</f>
        <v/>
      </c>
      <c r="P325" s="136">
        <f>IF($F325="","",IFERROR(INDEX(사건마스터!$AM$5:$AM$64,MATCH($F325,사건마스터!$A$5:$A$64,0)),""))</f>
        <v/>
      </c>
      <c r="Q325" s="136">
        <f>IF($F325="","",IFERROR(INDEX(사건마스터!$AN$5:$AN$64,MATCH($F325,사건마스터!$A$5:$A$64,0)),""))</f>
        <v/>
      </c>
      <c r="R325" s="136">
        <f>IF($F325="","",IFERROR(INDEX(사건마스터!$AO$5:$AO$64,MATCH($F325,사건마스터!$A$5:$A$64,0)),""))</f>
        <v/>
      </c>
      <c r="S325" s="136">
        <f>IF($F325="","",IFERROR(INDEX(사건마스터!$AP$5:$AP$64,MATCH($F325,사건마스터!$A$5:$A$64,0)),""))</f>
        <v/>
      </c>
      <c r="T325" s="136">
        <f>IF($F325="","",IFERROR(INDEX(사건마스터!$AQ$5:$AQ$64,MATCH($F325,사건마스터!$A$5:$A$64,0)),""))</f>
        <v/>
      </c>
      <c r="U325" s="136">
        <f>IF($F325="","",IFERROR(INDEX(사건마스터!$AR$5:$AR$64,MATCH($F325,사건마스터!$A$5:$A$64,0)),""))</f>
        <v/>
      </c>
      <c r="V325" s="136">
        <f>IF($F325="","",IFERROR(INDEX(사건마스터!$AS$5:$AS$64,MATCH($F325,사건마스터!$A$5:$A$64,0)),""))</f>
        <v/>
      </c>
      <c r="W325" s="136">
        <f>IF($F325="","",IFERROR(INDEX(사건마스터!$AT$5:$AT$64,MATCH($F325,사건마스터!$A$5:$A$64,0)),""))</f>
        <v/>
      </c>
      <c r="X325" s="136">
        <f>IF($F325="","",IFERROR(INDEX(사건마스터!$AU$5:$AU$64,MATCH($F325,사건마스터!$A$5:$A$64,0)),""))</f>
        <v/>
      </c>
      <c r="Y325" s="136">
        <f>IF($F325="","",IFERROR(INDEX(사건마스터!$AV$5:$AV$64,MATCH($F325,사건마스터!$A$5:$A$64,0)),""))</f>
        <v/>
      </c>
      <c r="Z325" s="118">
        <f>IF(COUNTBLANK($J325:$Y325)=16,"",16-COUNTBLANK($J325:$Y325))</f>
        <v/>
      </c>
      <c r="AA325" s="33">
        <f>IF($J325="",MID($AX325,3,255),$J325&amp;$AX325)</f>
        <v/>
      </c>
      <c r="AB325" s="130">
        <f>IF($J325="","",IFERROR(INDEX(코드설정!$D$5:$D$24,MATCH($J325,코드설정!$C$5:$C$24,0)),""))</f>
        <v/>
      </c>
      <c r="AC325" s="36" t="n"/>
      <c r="AD325" s="37" t="n"/>
      <c r="AE325" s="38" t="n"/>
      <c r="AF325" s="118">
        <f>IF(OR($B325="",$C325=""),"",$C325-$B325+1)</f>
        <v/>
      </c>
      <c r="AG325" s="74" t="n"/>
      <c r="AH325" s="36" t="n"/>
      <c r="AJ325">
        <f>IF($K325="","",", "&amp;$K325)</f>
        <v/>
      </c>
      <c r="AK325">
        <f>AJ325&amp;IF($L325="","",", "&amp;$L325)</f>
        <v/>
      </c>
      <c r="AL325">
        <f>AK325&amp;IF($M325="","",", "&amp;$M325)</f>
        <v/>
      </c>
      <c r="AM325">
        <f>AL325&amp;IF($N325="","",", "&amp;$N325)</f>
        <v/>
      </c>
      <c r="AN325">
        <f>AM325&amp;IF($O325="","",", "&amp;$O325)</f>
        <v/>
      </c>
      <c r="AO325">
        <f>AN325&amp;IF($P325="","",", "&amp;$P325)</f>
        <v/>
      </c>
      <c r="AP325">
        <f>AO325&amp;IF($Q325="","",", "&amp;$Q325)</f>
        <v/>
      </c>
      <c r="AQ325">
        <f>AP325&amp;IF($R325="","",", "&amp;$R325)</f>
        <v/>
      </c>
      <c r="AR325">
        <f>AQ325&amp;IF($S325="","",", "&amp;$S325)</f>
        <v/>
      </c>
      <c r="AS325">
        <f>AR325&amp;IF($T325="","",", "&amp;$T325)</f>
        <v/>
      </c>
      <c r="AT325">
        <f>AS325&amp;IF($U325="","",", "&amp;$U325)</f>
        <v/>
      </c>
      <c r="AU325">
        <f>AT325&amp;IF($V325="","",", "&amp;$V325)</f>
        <v/>
      </c>
      <c r="AV325">
        <f>AU325&amp;IF($W325="","",", "&amp;$W325)</f>
        <v/>
      </c>
      <c r="AW325">
        <f>AV325&amp;IF($X325="","",", "&amp;$X325)</f>
        <v/>
      </c>
      <c r="AX325">
        <f>AW325&amp;IF($Y325="","",", "&amp;$Y325)</f>
        <v/>
      </c>
    </row>
    <row r="326">
      <c r="A326" s="118">
        <f>IF($B326="","",COUNT($B$5:$B326))</f>
        <v/>
      </c>
      <c r="B326" s="80" t="n"/>
      <c r="C326" s="80" t="n"/>
      <c r="D326" s="74" t="n"/>
      <c r="E326" s="74" t="n"/>
      <c r="F326" s="74" t="n"/>
      <c r="G326" s="118">
        <f>IF($F326="","",COUNTIF($F$5:$F326,$F326))</f>
        <v/>
      </c>
      <c r="H326" s="33">
        <f>IF($F326="","",IFERROR(INDEX(사건마스터!$B$5:$B$64,MATCH($F326,사건마스터!$A$5:$A$64,0)),""))</f>
        <v/>
      </c>
      <c r="I326" s="130">
        <f>IF($F326="","",IFERROR(INDEX(사건마스터!$C$5:$C$64,MATCH($F326,사건마스터!$A$5:$A$64,0)),""))</f>
        <v/>
      </c>
      <c r="J326" s="136">
        <f>IF($F326="","",IFERROR(INDEX(사건마스터!$H$5:$H$64,MATCH($F326,사건마스터!$A$5:$A$64,0)),""))</f>
        <v/>
      </c>
      <c r="K326" s="136">
        <f>IF($F326="","",IFERROR(INDEX(사건마스터!$AH$5:$AH$64,MATCH($F326,사건마스터!$A$5:$A$64,0)),""))</f>
        <v/>
      </c>
      <c r="L326" s="136">
        <f>IF($F326="","",IFERROR(INDEX(사건마스터!$AI$5:$AI$64,MATCH($F326,사건마스터!$A$5:$A$64,0)),""))</f>
        <v/>
      </c>
      <c r="M326" s="136">
        <f>IF($F326="","",IFERROR(INDEX(사건마스터!$AJ$5:$AJ$64,MATCH($F326,사건마스터!$A$5:$A$64,0)),""))</f>
        <v/>
      </c>
      <c r="N326" s="136">
        <f>IF($F326="","",IFERROR(INDEX(사건마스터!$AK$5:$AK$64,MATCH($F326,사건마스터!$A$5:$A$64,0)),""))</f>
        <v/>
      </c>
      <c r="O326" s="136">
        <f>IF($F326="","",IFERROR(INDEX(사건마스터!$AL$5:$AL$64,MATCH($F326,사건마스터!$A$5:$A$64,0)),""))</f>
        <v/>
      </c>
      <c r="P326" s="136">
        <f>IF($F326="","",IFERROR(INDEX(사건마스터!$AM$5:$AM$64,MATCH($F326,사건마스터!$A$5:$A$64,0)),""))</f>
        <v/>
      </c>
      <c r="Q326" s="136">
        <f>IF($F326="","",IFERROR(INDEX(사건마스터!$AN$5:$AN$64,MATCH($F326,사건마스터!$A$5:$A$64,0)),""))</f>
        <v/>
      </c>
      <c r="R326" s="136">
        <f>IF($F326="","",IFERROR(INDEX(사건마스터!$AO$5:$AO$64,MATCH($F326,사건마스터!$A$5:$A$64,0)),""))</f>
        <v/>
      </c>
      <c r="S326" s="136">
        <f>IF($F326="","",IFERROR(INDEX(사건마스터!$AP$5:$AP$64,MATCH($F326,사건마스터!$A$5:$A$64,0)),""))</f>
        <v/>
      </c>
      <c r="T326" s="136">
        <f>IF($F326="","",IFERROR(INDEX(사건마스터!$AQ$5:$AQ$64,MATCH($F326,사건마스터!$A$5:$A$64,0)),""))</f>
        <v/>
      </c>
      <c r="U326" s="136">
        <f>IF($F326="","",IFERROR(INDEX(사건마스터!$AR$5:$AR$64,MATCH($F326,사건마스터!$A$5:$A$64,0)),""))</f>
        <v/>
      </c>
      <c r="V326" s="136">
        <f>IF($F326="","",IFERROR(INDEX(사건마스터!$AS$5:$AS$64,MATCH($F326,사건마스터!$A$5:$A$64,0)),""))</f>
        <v/>
      </c>
      <c r="W326" s="136">
        <f>IF($F326="","",IFERROR(INDEX(사건마스터!$AT$5:$AT$64,MATCH($F326,사건마스터!$A$5:$A$64,0)),""))</f>
        <v/>
      </c>
      <c r="X326" s="136">
        <f>IF($F326="","",IFERROR(INDEX(사건마스터!$AU$5:$AU$64,MATCH($F326,사건마스터!$A$5:$A$64,0)),""))</f>
        <v/>
      </c>
      <c r="Y326" s="136">
        <f>IF($F326="","",IFERROR(INDEX(사건마스터!$AV$5:$AV$64,MATCH($F326,사건마스터!$A$5:$A$64,0)),""))</f>
        <v/>
      </c>
      <c r="Z326" s="118">
        <f>IF(COUNTBLANK($J326:$Y326)=16,"",16-COUNTBLANK($J326:$Y326))</f>
        <v/>
      </c>
      <c r="AA326" s="33">
        <f>IF($J326="",MID($AX326,3,255),$J326&amp;$AX326)</f>
        <v/>
      </c>
      <c r="AB326" s="130">
        <f>IF($J326="","",IFERROR(INDEX(코드설정!$D$5:$D$24,MATCH($J326,코드설정!$C$5:$C$24,0)),""))</f>
        <v/>
      </c>
      <c r="AC326" s="36" t="n"/>
      <c r="AD326" s="37" t="n"/>
      <c r="AE326" s="38" t="n"/>
      <c r="AF326" s="118">
        <f>IF(OR($B326="",$C326=""),"",$C326-$B326+1)</f>
        <v/>
      </c>
      <c r="AG326" s="74" t="n"/>
      <c r="AH326" s="36" t="n"/>
      <c r="AJ326">
        <f>IF($K326="","",", "&amp;$K326)</f>
        <v/>
      </c>
      <c r="AK326">
        <f>AJ326&amp;IF($L326="","",", "&amp;$L326)</f>
        <v/>
      </c>
      <c r="AL326">
        <f>AK326&amp;IF($M326="","",", "&amp;$M326)</f>
        <v/>
      </c>
      <c r="AM326">
        <f>AL326&amp;IF($N326="","",", "&amp;$N326)</f>
        <v/>
      </c>
      <c r="AN326">
        <f>AM326&amp;IF($O326="","",", "&amp;$O326)</f>
        <v/>
      </c>
      <c r="AO326">
        <f>AN326&amp;IF($P326="","",", "&amp;$P326)</f>
        <v/>
      </c>
      <c r="AP326">
        <f>AO326&amp;IF($Q326="","",", "&amp;$Q326)</f>
        <v/>
      </c>
      <c r="AQ326">
        <f>AP326&amp;IF($R326="","",", "&amp;$R326)</f>
        <v/>
      </c>
      <c r="AR326">
        <f>AQ326&amp;IF($S326="","",", "&amp;$S326)</f>
        <v/>
      </c>
      <c r="AS326">
        <f>AR326&amp;IF($T326="","",", "&amp;$T326)</f>
        <v/>
      </c>
      <c r="AT326">
        <f>AS326&amp;IF($U326="","",", "&amp;$U326)</f>
        <v/>
      </c>
      <c r="AU326">
        <f>AT326&amp;IF($V326="","",", "&amp;$V326)</f>
        <v/>
      </c>
      <c r="AV326">
        <f>AU326&amp;IF($W326="","",", "&amp;$W326)</f>
        <v/>
      </c>
      <c r="AW326">
        <f>AV326&amp;IF($X326="","",", "&amp;$X326)</f>
        <v/>
      </c>
      <c r="AX326">
        <f>AW326&amp;IF($Y326="","",", "&amp;$Y326)</f>
        <v/>
      </c>
    </row>
    <row r="327">
      <c r="A327" s="118">
        <f>IF($B327="","",COUNT($B$5:$B327))</f>
        <v/>
      </c>
      <c r="B327" s="80" t="n"/>
      <c r="C327" s="80" t="n"/>
      <c r="D327" s="74" t="n"/>
      <c r="E327" s="74" t="n"/>
      <c r="F327" s="74" t="n"/>
      <c r="G327" s="118">
        <f>IF($F327="","",COUNTIF($F$5:$F327,$F327))</f>
        <v/>
      </c>
      <c r="H327" s="33">
        <f>IF($F327="","",IFERROR(INDEX(사건마스터!$B$5:$B$64,MATCH($F327,사건마스터!$A$5:$A$64,0)),""))</f>
        <v/>
      </c>
      <c r="I327" s="130">
        <f>IF($F327="","",IFERROR(INDEX(사건마스터!$C$5:$C$64,MATCH($F327,사건마스터!$A$5:$A$64,0)),""))</f>
        <v/>
      </c>
      <c r="J327" s="136">
        <f>IF($F327="","",IFERROR(INDEX(사건마스터!$H$5:$H$64,MATCH($F327,사건마스터!$A$5:$A$64,0)),""))</f>
        <v/>
      </c>
      <c r="K327" s="136">
        <f>IF($F327="","",IFERROR(INDEX(사건마스터!$AH$5:$AH$64,MATCH($F327,사건마스터!$A$5:$A$64,0)),""))</f>
        <v/>
      </c>
      <c r="L327" s="136">
        <f>IF($F327="","",IFERROR(INDEX(사건마스터!$AI$5:$AI$64,MATCH($F327,사건마스터!$A$5:$A$64,0)),""))</f>
        <v/>
      </c>
      <c r="M327" s="136">
        <f>IF($F327="","",IFERROR(INDEX(사건마스터!$AJ$5:$AJ$64,MATCH($F327,사건마스터!$A$5:$A$64,0)),""))</f>
        <v/>
      </c>
      <c r="N327" s="136">
        <f>IF($F327="","",IFERROR(INDEX(사건마스터!$AK$5:$AK$64,MATCH($F327,사건마스터!$A$5:$A$64,0)),""))</f>
        <v/>
      </c>
      <c r="O327" s="136">
        <f>IF($F327="","",IFERROR(INDEX(사건마스터!$AL$5:$AL$64,MATCH($F327,사건마스터!$A$5:$A$64,0)),""))</f>
        <v/>
      </c>
      <c r="P327" s="136">
        <f>IF($F327="","",IFERROR(INDEX(사건마스터!$AM$5:$AM$64,MATCH($F327,사건마스터!$A$5:$A$64,0)),""))</f>
        <v/>
      </c>
      <c r="Q327" s="136">
        <f>IF($F327="","",IFERROR(INDEX(사건마스터!$AN$5:$AN$64,MATCH($F327,사건마스터!$A$5:$A$64,0)),""))</f>
        <v/>
      </c>
      <c r="R327" s="136">
        <f>IF($F327="","",IFERROR(INDEX(사건마스터!$AO$5:$AO$64,MATCH($F327,사건마스터!$A$5:$A$64,0)),""))</f>
        <v/>
      </c>
      <c r="S327" s="136">
        <f>IF($F327="","",IFERROR(INDEX(사건마스터!$AP$5:$AP$64,MATCH($F327,사건마스터!$A$5:$A$64,0)),""))</f>
        <v/>
      </c>
      <c r="T327" s="136">
        <f>IF($F327="","",IFERROR(INDEX(사건마스터!$AQ$5:$AQ$64,MATCH($F327,사건마스터!$A$5:$A$64,0)),""))</f>
        <v/>
      </c>
      <c r="U327" s="136">
        <f>IF($F327="","",IFERROR(INDEX(사건마스터!$AR$5:$AR$64,MATCH($F327,사건마스터!$A$5:$A$64,0)),""))</f>
        <v/>
      </c>
      <c r="V327" s="136">
        <f>IF($F327="","",IFERROR(INDEX(사건마스터!$AS$5:$AS$64,MATCH($F327,사건마스터!$A$5:$A$64,0)),""))</f>
        <v/>
      </c>
      <c r="W327" s="136">
        <f>IF($F327="","",IFERROR(INDEX(사건마스터!$AT$5:$AT$64,MATCH($F327,사건마스터!$A$5:$A$64,0)),""))</f>
        <v/>
      </c>
      <c r="X327" s="136">
        <f>IF($F327="","",IFERROR(INDEX(사건마스터!$AU$5:$AU$64,MATCH($F327,사건마스터!$A$5:$A$64,0)),""))</f>
        <v/>
      </c>
      <c r="Y327" s="136">
        <f>IF($F327="","",IFERROR(INDEX(사건마스터!$AV$5:$AV$64,MATCH($F327,사건마스터!$A$5:$A$64,0)),""))</f>
        <v/>
      </c>
      <c r="Z327" s="118">
        <f>IF(COUNTBLANK($J327:$Y327)=16,"",16-COUNTBLANK($J327:$Y327))</f>
        <v/>
      </c>
      <c r="AA327" s="33">
        <f>IF($J327="",MID($AX327,3,255),$J327&amp;$AX327)</f>
        <v/>
      </c>
      <c r="AB327" s="130">
        <f>IF($J327="","",IFERROR(INDEX(코드설정!$D$5:$D$24,MATCH($J327,코드설정!$C$5:$C$24,0)),""))</f>
        <v/>
      </c>
      <c r="AC327" s="36" t="n"/>
      <c r="AD327" s="37" t="n"/>
      <c r="AE327" s="38" t="n"/>
      <c r="AF327" s="118">
        <f>IF(OR($B327="",$C327=""),"",$C327-$B327+1)</f>
        <v/>
      </c>
      <c r="AG327" s="74" t="n"/>
      <c r="AH327" s="36" t="n"/>
      <c r="AJ327">
        <f>IF($K327="","",", "&amp;$K327)</f>
        <v/>
      </c>
      <c r="AK327">
        <f>AJ327&amp;IF($L327="","",", "&amp;$L327)</f>
        <v/>
      </c>
      <c r="AL327">
        <f>AK327&amp;IF($M327="","",", "&amp;$M327)</f>
        <v/>
      </c>
      <c r="AM327">
        <f>AL327&amp;IF($N327="","",", "&amp;$N327)</f>
        <v/>
      </c>
      <c r="AN327">
        <f>AM327&amp;IF($O327="","",", "&amp;$O327)</f>
        <v/>
      </c>
      <c r="AO327">
        <f>AN327&amp;IF($P327="","",", "&amp;$P327)</f>
        <v/>
      </c>
      <c r="AP327">
        <f>AO327&amp;IF($Q327="","",", "&amp;$Q327)</f>
        <v/>
      </c>
      <c r="AQ327">
        <f>AP327&amp;IF($R327="","",", "&amp;$R327)</f>
        <v/>
      </c>
      <c r="AR327">
        <f>AQ327&amp;IF($S327="","",", "&amp;$S327)</f>
        <v/>
      </c>
      <c r="AS327">
        <f>AR327&amp;IF($T327="","",", "&amp;$T327)</f>
        <v/>
      </c>
      <c r="AT327">
        <f>AS327&amp;IF($U327="","",", "&amp;$U327)</f>
        <v/>
      </c>
      <c r="AU327">
        <f>AT327&amp;IF($V327="","",", "&amp;$V327)</f>
        <v/>
      </c>
      <c r="AV327">
        <f>AU327&amp;IF($W327="","",", "&amp;$W327)</f>
        <v/>
      </c>
      <c r="AW327">
        <f>AV327&amp;IF($X327="","",", "&amp;$X327)</f>
        <v/>
      </c>
      <c r="AX327">
        <f>AW327&amp;IF($Y327="","",", "&amp;$Y327)</f>
        <v/>
      </c>
    </row>
    <row r="328">
      <c r="A328" s="118">
        <f>IF($B328="","",COUNT($B$5:$B328))</f>
        <v/>
      </c>
      <c r="B328" s="80" t="n"/>
      <c r="C328" s="80" t="n"/>
      <c r="D328" s="74" t="n"/>
      <c r="E328" s="74" t="n"/>
      <c r="F328" s="74" t="n"/>
      <c r="G328" s="118">
        <f>IF($F328="","",COUNTIF($F$5:$F328,$F328))</f>
        <v/>
      </c>
      <c r="H328" s="33">
        <f>IF($F328="","",IFERROR(INDEX(사건마스터!$B$5:$B$64,MATCH($F328,사건마스터!$A$5:$A$64,0)),""))</f>
        <v/>
      </c>
      <c r="I328" s="130">
        <f>IF($F328="","",IFERROR(INDEX(사건마스터!$C$5:$C$64,MATCH($F328,사건마스터!$A$5:$A$64,0)),""))</f>
        <v/>
      </c>
      <c r="J328" s="136">
        <f>IF($F328="","",IFERROR(INDEX(사건마스터!$H$5:$H$64,MATCH($F328,사건마스터!$A$5:$A$64,0)),""))</f>
        <v/>
      </c>
      <c r="K328" s="136">
        <f>IF($F328="","",IFERROR(INDEX(사건마스터!$AH$5:$AH$64,MATCH($F328,사건마스터!$A$5:$A$64,0)),""))</f>
        <v/>
      </c>
      <c r="L328" s="136">
        <f>IF($F328="","",IFERROR(INDEX(사건마스터!$AI$5:$AI$64,MATCH($F328,사건마스터!$A$5:$A$64,0)),""))</f>
        <v/>
      </c>
      <c r="M328" s="136">
        <f>IF($F328="","",IFERROR(INDEX(사건마스터!$AJ$5:$AJ$64,MATCH($F328,사건마스터!$A$5:$A$64,0)),""))</f>
        <v/>
      </c>
      <c r="N328" s="136">
        <f>IF($F328="","",IFERROR(INDEX(사건마스터!$AK$5:$AK$64,MATCH($F328,사건마스터!$A$5:$A$64,0)),""))</f>
        <v/>
      </c>
      <c r="O328" s="136">
        <f>IF($F328="","",IFERROR(INDEX(사건마스터!$AL$5:$AL$64,MATCH($F328,사건마스터!$A$5:$A$64,0)),""))</f>
        <v/>
      </c>
      <c r="P328" s="136">
        <f>IF($F328="","",IFERROR(INDEX(사건마스터!$AM$5:$AM$64,MATCH($F328,사건마스터!$A$5:$A$64,0)),""))</f>
        <v/>
      </c>
      <c r="Q328" s="136">
        <f>IF($F328="","",IFERROR(INDEX(사건마스터!$AN$5:$AN$64,MATCH($F328,사건마스터!$A$5:$A$64,0)),""))</f>
        <v/>
      </c>
      <c r="R328" s="136">
        <f>IF($F328="","",IFERROR(INDEX(사건마스터!$AO$5:$AO$64,MATCH($F328,사건마스터!$A$5:$A$64,0)),""))</f>
        <v/>
      </c>
      <c r="S328" s="136">
        <f>IF($F328="","",IFERROR(INDEX(사건마스터!$AP$5:$AP$64,MATCH($F328,사건마스터!$A$5:$A$64,0)),""))</f>
        <v/>
      </c>
      <c r="T328" s="136">
        <f>IF($F328="","",IFERROR(INDEX(사건마스터!$AQ$5:$AQ$64,MATCH($F328,사건마스터!$A$5:$A$64,0)),""))</f>
        <v/>
      </c>
      <c r="U328" s="136">
        <f>IF($F328="","",IFERROR(INDEX(사건마스터!$AR$5:$AR$64,MATCH($F328,사건마스터!$A$5:$A$64,0)),""))</f>
        <v/>
      </c>
      <c r="V328" s="136">
        <f>IF($F328="","",IFERROR(INDEX(사건마스터!$AS$5:$AS$64,MATCH($F328,사건마스터!$A$5:$A$64,0)),""))</f>
        <v/>
      </c>
      <c r="W328" s="136">
        <f>IF($F328="","",IFERROR(INDEX(사건마스터!$AT$5:$AT$64,MATCH($F328,사건마스터!$A$5:$A$64,0)),""))</f>
        <v/>
      </c>
      <c r="X328" s="136">
        <f>IF($F328="","",IFERROR(INDEX(사건마스터!$AU$5:$AU$64,MATCH($F328,사건마스터!$A$5:$A$64,0)),""))</f>
        <v/>
      </c>
      <c r="Y328" s="136">
        <f>IF($F328="","",IFERROR(INDEX(사건마스터!$AV$5:$AV$64,MATCH($F328,사건마스터!$A$5:$A$64,0)),""))</f>
        <v/>
      </c>
      <c r="Z328" s="118">
        <f>IF(COUNTBLANK($J328:$Y328)=16,"",16-COUNTBLANK($J328:$Y328))</f>
        <v/>
      </c>
      <c r="AA328" s="33">
        <f>IF($J328="",MID($AX328,3,255),$J328&amp;$AX328)</f>
        <v/>
      </c>
      <c r="AB328" s="130">
        <f>IF($J328="","",IFERROR(INDEX(코드설정!$D$5:$D$24,MATCH($J328,코드설정!$C$5:$C$24,0)),""))</f>
        <v/>
      </c>
      <c r="AC328" s="36" t="n"/>
      <c r="AD328" s="37" t="n"/>
      <c r="AE328" s="38" t="n"/>
      <c r="AF328" s="118">
        <f>IF(OR($B328="",$C328=""),"",$C328-$B328+1)</f>
        <v/>
      </c>
      <c r="AG328" s="74" t="n"/>
      <c r="AH328" s="36" t="n"/>
      <c r="AJ328">
        <f>IF($K328="","",", "&amp;$K328)</f>
        <v/>
      </c>
      <c r="AK328">
        <f>AJ328&amp;IF($L328="","",", "&amp;$L328)</f>
        <v/>
      </c>
      <c r="AL328">
        <f>AK328&amp;IF($M328="","",", "&amp;$M328)</f>
        <v/>
      </c>
      <c r="AM328">
        <f>AL328&amp;IF($N328="","",", "&amp;$N328)</f>
        <v/>
      </c>
      <c r="AN328">
        <f>AM328&amp;IF($O328="","",", "&amp;$O328)</f>
        <v/>
      </c>
      <c r="AO328">
        <f>AN328&amp;IF($P328="","",", "&amp;$P328)</f>
        <v/>
      </c>
      <c r="AP328">
        <f>AO328&amp;IF($Q328="","",", "&amp;$Q328)</f>
        <v/>
      </c>
      <c r="AQ328">
        <f>AP328&amp;IF($R328="","",", "&amp;$R328)</f>
        <v/>
      </c>
      <c r="AR328">
        <f>AQ328&amp;IF($S328="","",", "&amp;$S328)</f>
        <v/>
      </c>
      <c r="AS328">
        <f>AR328&amp;IF($T328="","",", "&amp;$T328)</f>
        <v/>
      </c>
      <c r="AT328">
        <f>AS328&amp;IF($U328="","",", "&amp;$U328)</f>
        <v/>
      </c>
      <c r="AU328">
        <f>AT328&amp;IF($V328="","",", "&amp;$V328)</f>
        <v/>
      </c>
      <c r="AV328">
        <f>AU328&amp;IF($W328="","",", "&amp;$W328)</f>
        <v/>
      </c>
      <c r="AW328">
        <f>AV328&amp;IF($X328="","",", "&amp;$X328)</f>
        <v/>
      </c>
      <c r="AX328">
        <f>AW328&amp;IF($Y328="","",", "&amp;$Y328)</f>
        <v/>
      </c>
    </row>
    <row r="329">
      <c r="A329" s="118">
        <f>IF($B329="","",COUNT($B$5:$B329))</f>
        <v/>
      </c>
      <c r="B329" s="80" t="n"/>
      <c r="C329" s="80" t="n"/>
      <c r="D329" s="74" t="n"/>
      <c r="E329" s="74" t="n"/>
      <c r="F329" s="74" t="n"/>
      <c r="G329" s="118">
        <f>IF($F329="","",COUNTIF($F$5:$F329,$F329))</f>
        <v/>
      </c>
      <c r="H329" s="33">
        <f>IF($F329="","",IFERROR(INDEX(사건마스터!$B$5:$B$64,MATCH($F329,사건마스터!$A$5:$A$64,0)),""))</f>
        <v/>
      </c>
      <c r="I329" s="130">
        <f>IF($F329="","",IFERROR(INDEX(사건마스터!$C$5:$C$64,MATCH($F329,사건마스터!$A$5:$A$64,0)),""))</f>
        <v/>
      </c>
      <c r="J329" s="136">
        <f>IF($F329="","",IFERROR(INDEX(사건마스터!$H$5:$H$64,MATCH($F329,사건마스터!$A$5:$A$64,0)),""))</f>
        <v/>
      </c>
      <c r="K329" s="136">
        <f>IF($F329="","",IFERROR(INDEX(사건마스터!$AH$5:$AH$64,MATCH($F329,사건마스터!$A$5:$A$64,0)),""))</f>
        <v/>
      </c>
      <c r="L329" s="136">
        <f>IF($F329="","",IFERROR(INDEX(사건마스터!$AI$5:$AI$64,MATCH($F329,사건마스터!$A$5:$A$64,0)),""))</f>
        <v/>
      </c>
      <c r="M329" s="136">
        <f>IF($F329="","",IFERROR(INDEX(사건마스터!$AJ$5:$AJ$64,MATCH($F329,사건마스터!$A$5:$A$64,0)),""))</f>
        <v/>
      </c>
      <c r="N329" s="136">
        <f>IF($F329="","",IFERROR(INDEX(사건마스터!$AK$5:$AK$64,MATCH($F329,사건마스터!$A$5:$A$64,0)),""))</f>
        <v/>
      </c>
      <c r="O329" s="136">
        <f>IF($F329="","",IFERROR(INDEX(사건마스터!$AL$5:$AL$64,MATCH($F329,사건마스터!$A$5:$A$64,0)),""))</f>
        <v/>
      </c>
      <c r="P329" s="136">
        <f>IF($F329="","",IFERROR(INDEX(사건마스터!$AM$5:$AM$64,MATCH($F329,사건마스터!$A$5:$A$64,0)),""))</f>
        <v/>
      </c>
      <c r="Q329" s="136">
        <f>IF($F329="","",IFERROR(INDEX(사건마스터!$AN$5:$AN$64,MATCH($F329,사건마스터!$A$5:$A$64,0)),""))</f>
        <v/>
      </c>
      <c r="R329" s="136">
        <f>IF($F329="","",IFERROR(INDEX(사건마스터!$AO$5:$AO$64,MATCH($F329,사건마스터!$A$5:$A$64,0)),""))</f>
        <v/>
      </c>
      <c r="S329" s="136">
        <f>IF($F329="","",IFERROR(INDEX(사건마스터!$AP$5:$AP$64,MATCH($F329,사건마스터!$A$5:$A$64,0)),""))</f>
        <v/>
      </c>
      <c r="T329" s="136">
        <f>IF($F329="","",IFERROR(INDEX(사건마스터!$AQ$5:$AQ$64,MATCH($F329,사건마스터!$A$5:$A$64,0)),""))</f>
        <v/>
      </c>
      <c r="U329" s="136">
        <f>IF($F329="","",IFERROR(INDEX(사건마스터!$AR$5:$AR$64,MATCH($F329,사건마스터!$A$5:$A$64,0)),""))</f>
        <v/>
      </c>
      <c r="V329" s="136">
        <f>IF($F329="","",IFERROR(INDEX(사건마스터!$AS$5:$AS$64,MATCH($F329,사건마스터!$A$5:$A$64,0)),""))</f>
        <v/>
      </c>
      <c r="W329" s="136">
        <f>IF($F329="","",IFERROR(INDEX(사건마스터!$AT$5:$AT$64,MATCH($F329,사건마스터!$A$5:$A$64,0)),""))</f>
        <v/>
      </c>
      <c r="X329" s="136">
        <f>IF($F329="","",IFERROR(INDEX(사건마스터!$AU$5:$AU$64,MATCH($F329,사건마스터!$A$5:$A$64,0)),""))</f>
        <v/>
      </c>
      <c r="Y329" s="136">
        <f>IF($F329="","",IFERROR(INDEX(사건마스터!$AV$5:$AV$64,MATCH($F329,사건마스터!$A$5:$A$64,0)),""))</f>
        <v/>
      </c>
      <c r="Z329" s="118">
        <f>IF(COUNTBLANK($J329:$Y329)=16,"",16-COUNTBLANK($J329:$Y329))</f>
        <v/>
      </c>
      <c r="AA329" s="33">
        <f>IF($J329="",MID($AX329,3,255),$J329&amp;$AX329)</f>
        <v/>
      </c>
      <c r="AB329" s="130">
        <f>IF($J329="","",IFERROR(INDEX(코드설정!$D$5:$D$24,MATCH($J329,코드설정!$C$5:$C$24,0)),""))</f>
        <v/>
      </c>
      <c r="AC329" s="36" t="n"/>
      <c r="AD329" s="37" t="n"/>
      <c r="AE329" s="38" t="n"/>
      <c r="AF329" s="118">
        <f>IF(OR($B329="",$C329=""),"",$C329-$B329+1)</f>
        <v/>
      </c>
      <c r="AG329" s="74" t="n"/>
      <c r="AH329" s="36" t="n"/>
      <c r="AJ329">
        <f>IF($K329="","",", "&amp;$K329)</f>
        <v/>
      </c>
      <c r="AK329">
        <f>AJ329&amp;IF($L329="","",", "&amp;$L329)</f>
        <v/>
      </c>
      <c r="AL329">
        <f>AK329&amp;IF($M329="","",", "&amp;$M329)</f>
        <v/>
      </c>
      <c r="AM329">
        <f>AL329&amp;IF($N329="","",", "&amp;$N329)</f>
        <v/>
      </c>
      <c r="AN329">
        <f>AM329&amp;IF($O329="","",", "&amp;$O329)</f>
        <v/>
      </c>
      <c r="AO329">
        <f>AN329&amp;IF($P329="","",", "&amp;$P329)</f>
        <v/>
      </c>
      <c r="AP329">
        <f>AO329&amp;IF($Q329="","",", "&amp;$Q329)</f>
        <v/>
      </c>
      <c r="AQ329">
        <f>AP329&amp;IF($R329="","",", "&amp;$R329)</f>
        <v/>
      </c>
      <c r="AR329">
        <f>AQ329&amp;IF($S329="","",", "&amp;$S329)</f>
        <v/>
      </c>
      <c r="AS329">
        <f>AR329&amp;IF($T329="","",", "&amp;$T329)</f>
        <v/>
      </c>
      <c r="AT329">
        <f>AS329&amp;IF($U329="","",", "&amp;$U329)</f>
        <v/>
      </c>
      <c r="AU329">
        <f>AT329&amp;IF($V329="","",", "&amp;$V329)</f>
        <v/>
      </c>
      <c r="AV329">
        <f>AU329&amp;IF($W329="","",", "&amp;$W329)</f>
        <v/>
      </c>
      <c r="AW329">
        <f>AV329&amp;IF($X329="","",", "&amp;$X329)</f>
        <v/>
      </c>
      <c r="AX329">
        <f>AW329&amp;IF($Y329="","",", "&amp;$Y329)</f>
        <v/>
      </c>
    </row>
    <row r="330">
      <c r="A330" s="118">
        <f>IF($B330="","",COUNT($B$5:$B330))</f>
        <v/>
      </c>
      <c r="B330" s="80" t="n"/>
      <c r="C330" s="80" t="n"/>
      <c r="D330" s="74" t="n"/>
      <c r="E330" s="74" t="n"/>
      <c r="F330" s="74" t="n"/>
      <c r="G330" s="118">
        <f>IF($F330="","",COUNTIF($F$5:$F330,$F330))</f>
        <v/>
      </c>
      <c r="H330" s="33">
        <f>IF($F330="","",IFERROR(INDEX(사건마스터!$B$5:$B$64,MATCH($F330,사건마스터!$A$5:$A$64,0)),""))</f>
        <v/>
      </c>
      <c r="I330" s="130">
        <f>IF($F330="","",IFERROR(INDEX(사건마스터!$C$5:$C$64,MATCH($F330,사건마스터!$A$5:$A$64,0)),""))</f>
        <v/>
      </c>
      <c r="J330" s="136">
        <f>IF($F330="","",IFERROR(INDEX(사건마스터!$H$5:$H$64,MATCH($F330,사건마스터!$A$5:$A$64,0)),""))</f>
        <v/>
      </c>
      <c r="K330" s="136">
        <f>IF($F330="","",IFERROR(INDEX(사건마스터!$AH$5:$AH$64,MATCH($F330,사건마스터!$A$5:$A$64,0)),""))</f>
        <v/>
      </c>
      <c r="L330" s="136">
        <f>IF($F330="","",IFERROR(INDEX(사건마스터!$AI$5:$AI$64,MATCH($F330,사건마스터!$A$5:$A$64,0)),""))</f>
        <v/>
      </c>
      <c r="M330" s="136">
        <f>IF($F330="","",IFERROR(INDEX(사건마스터!$AJ$5:$AJ$64,MATCH($F330,사건마스터!$A$5:$A$64,0)),""))</f>
        <v/>
      </c>
      <c r="N330" s="136">
        <f>IF($F330="","",IFERROR(INDEX(사건마스터!$AK$5:$AK$64,MATCH($F330,사건마스터!$A$5:$A$64,0)),""))</f>
        <v/>
      </c>
      <c r="O330" s="136">
        <f>IF($F330="","",IFERROR(INDEX(사건마스터!$AL$5:$AL$64,MATCH($F330,사건마스터!$A$5:$A$64,0)),""))</f>
        <v/>
      </c>
      <c r="P330" s="136">
        <f>IF($F330="","",IFERROR(INDEX(사건마스터!$AM$5:$AM$64,MATCH($F330,사건마스터!$A$5:$A$64,0)),""))</f>
        <v/>
      </c>
      <c r="Q330" s="136">
        <f>IF($F330="","",IFERROR(INDEX(사건마스터!$AN$5:$AN$64,MATCH($F330,사건마스터!$A$5:$A$64,0)),""))</f>
        <v/>
      </c>
      <c r="R330" s="136">
        <f>IF($F330="","",IFERROR(INDEX(사건마스터!$AO$5:$AO$64,MATCH($F330,사건마스터!$A$5:$A$64,0)),""))</f>
        <v/>
      </c>
      <c r="S330" s="136">
        <f>IF($F330="","",IFERROR(INDEX(사건마스터!$AP$5:$AP$64,MATCH($F330,사건마스터!$A$5:$A$64,0)),""))</f>
        <v/>
      </c>
      <c r="T330" s="136">
        <f>IF($F330="","",IFERROR(INDEX(사건마스터!$AQ$5:$AQ$64,MATCH($F330,사건마스터!$A$5:$A$64,0)),""))</f>
        <v/>
      </c>
      <c r="U330" s="136">
        <f>IF($F330="","",IFERROR(INDEX(사건마스터!$AR$5:$AR$64,MATCH($F330,사건마스터!$A$5:$A$64,0)),""))</f>
        <v/>
      </c>
      <c r="V330" s="136">
        <f>IF($F330="","",IFERROR(INDEX(사건마스터!$AS$5:$AS$64,MATCH($F330,사건마스터!$A$5:$A$64,0)),""))</f>
        <v/>
      </c>
      <c r="W330" s="136">
        <f>IF($F330="","",IFERROR(INDEX(사건마스터!$AT$5:$AT$64,MATCH($F330,사건마스터!$A$5:$A$64,0)),""))</f>
        <v/>
      </c>
      <c r="X330" s="136">
        <f>IF($F330="","",IFERROR(INDEX(사건마스터!$AU$5:$AU$64,MATCH($F330,사건마스터!$A$5:$A$64,0)),""))</f>
        <v/>
      </c>
      <c r="Y330" s="136">
        <f>IF($F330="","",IFERROR(INDEX(사건마스터!$AV$5:$AV$64,MATCH($F330,사건마스터!$A$5:$A$64,0)),""))</f>
        <v/>
      </c>
      <c r="Z330" s="118">
        <f>IF(COUNTBLANK($J330:$Y330)=16,"",16-COUNTBLANK($J330:$Y330))</f>
        <v/>
      </c>
      <c r="AA330" s="33">
        <f>IF($J330="",MID($AX330,3,255),$J330&amp;$AX330)</f>
        <v/>
      </c>
      <c r="AB330" s="130">
        <f>IF($J330="","",IFERROR(INDEX(코드설정!$D$5:$D$24,MATCH($J330,코드설정!$C$5:$C$24,0)),""))</f>
        <v/>
      </c>
      <c r="AC330" s="36" t="n"/>
      <c r="AD330" s="37" t="n"/>
      <c r="AE330" s="38" t="n"/>
      <c r="AF330" s="118">
        <f>IF(OR($B330="",$C330=""),"",$C330-$B330+1)</f>
        <v/>
      </c>
      <c r="AG330" s="74" t="n"/>
      <c r="AH330" s="36" t="n"/>
      <c r="AJ330">
        <f>IF($K330="","",", "&amp;$K330)</f>
        <v/>
      </c>
      <c r="AK330">
        <f>AJ330&amp;IF($L330="","",", "&amp;$L330)</f>
        <v/>
      </c>
      <c r="AL330">
        <f>AK330&amp;IF($M330="","",", "&amp;$M330)</f>
        <v/>
      </c>
      <c r="AM330">
        <f>AL330&amp;IF($N330="","",", "&amp;$N330)</f>
        <v/>
      </c>
      <c r="AN330">
        <f>AM330&amp;IF($O330="","",", "&amp;$O330)</f>
        <v/>
      </c>
      <c r="AO330">
        <f>AN330&amp;IF($P330="","",", "&amp;$P330)</f>
        <v/>
      </c>
      <c r="AP330">
        <f>AO330&amp;IF($Q330="","",", "&amp;$Q330)</f>
        <v/>
      </c>
      <c r="AQ330">
        <f>AP330&amp;IF($R330="","",", "&amp;$R330)</f>
        <v/>
      </c>
      <c r="AR330">
        <f>AQ330&amp;IF($S330="","",", "&amp;$S330)</f>
        <v/>
      </c>
      <c r="AS330">
        <f>AR330&amp;IF($T330="","",", "&amp;$T330)</f>
        <v/>
      </c>
      <c r="AT330">
        <f>AS330&amp;IF($U330="","",", "&amp;$U330)</f>
        <v/>
      </c>
      <c r="AU330">
        <f>AT330&amp;IF($V330="","",", "&amp;$V330)</f>
        <v/>
      </c>
      <c r="AV330">
        <f>AU330&amp;IF($W330="","",", "&amp;$W330)</f>
        <v/>
      </c>
      <c r="AW330">
        <f>AV330&amp;IF($X330="","",", "&amp;$X330)</f>
        <v/>
      </c>
      <c r="AX330">
        <f>AW330&amp;IF($Y330="","",", "&amp;$Y330)</f>
        <v/>
      </c>
    </row>
    <row r="331">
      <c r="A331" s="118">
        <f>IF($B331="","",COUNT($B$5:$B331))</f>
        <v/>
      </c>
      <c r="B331" s="80" t="n"/>
      <c r="C331" s="80" t="n"/>
      <c r="D331" s="74" t="n"/>
      <c r="E331" s="74" t="n"/>
      <c r="F331" s="74" t="n"/>
      <c r="G331" s="118">
        <f>IF($F331="","",COUNTIF($F$5:$F331,$F331))</f>
        <v/>
      </c>
      <c r="H331" s="33">
        <f>IF($F331="","",IFERROR(INDEX(사건마스터!$B$5:$B$64,MATCH($F331,사건마스터!$A$5:$A$64,0)),""))</f>
        <v/>
      </c>
      <c r="I331" s="130">
        <f>IF($F331="","",IFERROR(INDEX(사건마스터!$C$5:$C$64,MATCH($F331,사건마스터!$A$5:$A$64,0)),""))</f>
        <v/>
      </c>
      <c r="J331" s="136">
        <f>IF($F331="","",IFERROR(INDEX(사건마스터!$H$5:$H$64,MATCH($F331,사건마스터!$A$5:$A$64,0)),""))</f>
        <v/>
      </c>
      <c r="K331" s="136">
        <f>IF($F331="","",IFERROR(INDEX(사건마스터!$AH$5:$AH$64,MATCH($F331,사건마스터!$A$5:$A$64,0)),""))</f>
        <v/>
      </c>
      <c r="L331" s="136">
        <f>IF($F331="","",IFERROR(INDEX(사건마스터!$AI$5:$AI$64,MATCH($F331,사건마스터!$A$5:$A$64,0)),""))</f>
        <v/>
      </c>
      <c r="M331" s="136">
        <f>IF($F331="","",IFERROR(INDEX(사건마스터!$AJ$5:$AJ$64,MATCH($F331,사건마스터!$A$5:$A$64,0)),""))</f>
        <v/>
      </c>
      <c r="N331" s="136">
        <f>IF($F331="","",IFERROR(INDEX(사건마스터!$AK$5:$AK$64,MATCH($F331,사건마스터!$A$5:$A$64,0)),""))</f>
        <v/>
      </c>
      <c r="O331" s="136">
        <f>IF($F331="","",IFERROR(INDEX(사건마스터!$AL$5:$AL$64,MATCH($F331,사건마스터!$A$5:$A$64,0)),""))</f>
        <v/>
      </c>
      <c r="P331" s="136">
        <f>IF($F331="","",IFERROR(INDEX(사건마스터!$AM$5:$AM$64,MATCH($F331,사건마스터!$A$5:$A$64,0)),""))</f>
        <v/>
      </c>
      <c r="Q331" s="136">
        <f>IF($F331="","",IFERROR(INDEX(사건마스터!$AN$5:$AN$64,MATCH($F331,사건마스터!$A$5:$A$64,0)),""))</f>
        <v/>
      </c>
      <c r="R331" s="136">
        <f>IF($F331="","",IFERROR(INDEX(사건마스터!$AO$5:$AO$64,MATCH($F331,사건마스터!$A$5:$A$64,0)),""))</f>
        <v/>
      </c>
      <c r="S331" s="136">
        <f>IF($F331="","",IFERROR(INDEX(사건마스터!$AP$5:$AP$64,MATCH($F331,사건마스터!$A$5:$A$64,0)),""))</f>
        <v/>
      </c>
      <c r="T331" s="136">
        <f>IF($F331="","",IFERROR(INDEX(사건마스터!$AQ$5:$AQ$64,MATCH($F331,사건마스터!$A$5:$A$64,0)),""))</f>
        <v/>
      </c>
      <c r="U331" s="136">
        <f>IF($F331="","",IFERROR(INDEX(사건마스터!$AR$5:$AR$64,MATCH($F331,사건마스터!$A$5:$A$64,0)),""))</f>
        <v/>
      </c>
      <c r="V331" s="136">
        <f>IF($F331="","",IFERROR(INDEX(사건마스터!$AS$5:$AS$64,MATCH($F331,사건마스터!$A$5:$A$64,0)),""))</f>
        <v/>
      </c>
      <c r="W331" s="136">
        <f>IF($F331="","",IFERROR(INDEX(사건마스터!$AT$5:$AT$64,MATCH($F331,사건마스터!$A$5:$A$64,0)),""))</f>
        <v/>
      </c>
      <c r="X331" s="136">
        <f>IF($F331="","",IFERROR(INDEX(사건마스터!$AU$5:$AU$64,MATCH($F331,사건마스터!$A$5:$A$64,0)),""))</f>
        <v/>
      </c>
      <c r="Y331" s="136">
        <f>IF($F331="","",IFERROR(INDEX(사건마스터!$AV$5:$AV$64,MATCH($F331,사건마스터!$A$5:$A$64,0)),""))</f>
        <v/>
      </c>
      <c r="Z331" s="118">
        <f>IF(COUNTBLANK($J331:$Y331)=16,"",16-COUNTBLANK($J331:$Y331))</f>
        <v/>
      </c>
      <c r="AA331" s="33">
        <f>IF($J331="",MID($AX331,3,255),$J331&amp;$AX331)</f>
        <v/>
      </c>
      <c r="AB331" s="130">
        <f>IF($J331="","",IFERROR(INDEX(코드설정!$D$5:$D$24,MATCH($J331,코드설정!$C$5:$C$24,0)),""))</f>
        <v/>
      </c>
      <c r="AC331" s="36" t="n"/>
      <c r="AD331" s="37" t="n"/>
      <c r="AE331" s="38" t="n"/>
      <c r="AF331" s="118">
        <f>IF(OR($B331="",$C331=""),"",$C331-$B331+1)</f>
        <v/>
      </c>
      <c r="AG331" s="74" t="n"/>
      <c r="AH331" s="36" t="n"/>
      <c r="AJ331">
        <f>IF($K331="","",", "&amp;$K331)</f>
        <v/>
      </c>
      <c r="AK331">
        <f>AJ331&amp;IF($L331="","",", "&amp;$L331)</f>
        <v/>
      </c>
      <c r="AL331">
        <f>AK331&amp;IF($M331="","",", "&amp;$M331)</f>
        <v/>
      </c>
      <c r="AM331">
        <f>AL331&amp;IF($N331="","",", "&amp;$N331)</f>
        <v/>
      </c>
      <c r="AN331">
        <f>AM331&amp;IF($O331="","",", "&amp;$O331)</f>
        <v/>
      </c>
      <c r="AO331">
        <f>AN331&amp;IF($P331="","",", "&amp;$P331)</f>
        <v/>
      </c>
      <c r="AP331">
        <f>AO331&amp;IF($Q331="","",", "&amp;$Q331)</f>
        <v/>
      </c>
      <c r="AQ331">
        <f>AP331&amp;IF($R331="","",", "&amp;$R331)</f>
        <v/>
      </c>
      <c r="AR331">
        <f>AQ331&amp;IF($S331="","",", "&amp;$S331)</f>
        <v/>
      </c>
      <c r="AS331">
        <f>AR331&amp;IF($T331="","",", "&amp;$T331)</f>
        <v/>
      </c>
      <c r="AT331">
        <f>AS331&amp;IF($U331="","",", "&amp;$U331)</f>
        <v/>
      </c>
      <c r="AU331">
        <f>AT331&amp;IF($V331="","",", "&amp;$V331)</f>
        <v/>
      </c>
      <c r="AV331">
        <f>AU331&amp;IF($W331="","",", "&amp;$W331)</f>
        <v/>
      </c>
      <c r="AW331">
        <f>AV331&amp;IF($X331="","",", "&amp;$X331)</f>
        <v/>
      </c>
      <c r="AX331">
        <f>AW331&amp;IF($Y331="","",", "&amp;$Y331)</f>
        <v/>
      </c>
    </row>
    <row r="332">
      <c r="A332" s="118">
        <f>IF($B332="","",COUNT($B$5:$B332))</f>
        <v/>
      </c>
      <c r="B332" s="80" t="n"/>
      <c r="C332" s="80" t="n"/>
      <c r="D332" s="74" t="n"/>
      <c r="E332" s="74" t="n"/>
      <c r="F332" s="74" t="n"/>
      <c r="G332" s="118">
        <f>IF($F332="","",COUNTIF($F$5:$F332,$F332))</f>
        <v/>
      </c>
      <c r="H332" s="33">
        <f>IF($F332="","",IFERROR(INDEX(사건마스터!$B$5:$B$64,MATCH($F332,사건마스터!$A$5:$A$64,0)),""))</f>
        <v/>
      </c>
      <c r="I332" s="130">
        <f>IF($F332="","",IFERROR(INDEX(사건마스터!$C$5:$C$64,MATCH($F332,사건마스터!$A$5:$A$64,0)),""))</f>
        <v/>
      </c>
      <c r="J332" s="136">
        <f>IF($F332="","",IFERROR(INDEX(사건마스터!$H$5:$H$64,MATCH($F332,사건마스터!$A$5:$A$64,0)),""))</f>
        <v/>
      </c>
      <c r="K332" s="136">
        <f>IF($F332="","",IFERROR(INDEX(사건마스터!$AH$5:$AH$64,MATCH($F332,사건마스터!$A$5:$A$64,0)),""))</f>
        <v/>
      </c>
      <c r="L332" s="136">
        <f>IF($F332="","",IFERROR(INDEX(사건마스터!$AI$5:$AI$64,MATCH($F332,사건마스터!$A$5:$A$64,0)),""))</f>
        <v/>
      </c>
      <c r="M332" s="136">
        <f>IF($F332="","",IFERROR(INDEX(사건마스터!$AJ$5:$AJ$64,MATCH($F332,사건마스터!$A$5:$A$64,0)),""))</f>
        <v/>
      </c>
      <c r="N332" s="136">
        <f>IF($F332="","",IFERROR(INDEX(사건마스터!$AK$5:$AK$64,MATCH($F332,사건마스터!$A$5:$A$64,0)),""))</f>
        <v/>
      </c>
      <c r="O332" s="136">
        <f>IF($F332="","",IFERROR(INDEX(사건마스터!$AL$5:$AL$64,MATCH($F332,사건마스터!$A$5:$A$64,0)),""))</f>
        <v/>
      </c>
      <c r="P332" s="136">
        <f>IF($F332="","",IFERROR(INDEX(사건마스터!$AM$5:$AM$64,MATCH($F332,사건마스터!$A$5:$A$64,0)),""))</f>
        <v/>
      </c>
      <c r="Q332" s="136">
        <f>IF($F332="","",IFERROR(INDEX(사건마스터!$AN$5:$AN$64,MATCH($F332,사건마스터!$A$5:$A$64,0)),""))</f>
        <v/>
      </c>
      <c r="R332" s="136">
        <f>IF($F332="","",IFERROR(INDEX(사건마스터!$AO$5:$AO$64,MATCH($F332,사건마스터!$A$5:$A$64,0)),""))</f>
        <v/>
      </c>
      <c r="S332" s="136">
        <f>IF($F332="","",IFERROR(INDEX(사건마스터!$AP$5:$AP$64,MATCH($F332,사건마스터!$A$5:$A$64,0)),""))</f>
        <v/>
      </c>
      <c r="T332" s="136">
        <f>IF($F332="","",IFERROR(INDEX(사건마스터!$AQ$5:$AQ$64,MATCH($F332,사건마스터!$A$5:$A$64,0)),""))</f>
        <v/>
      </c>
      <c r="U332" s="136">
        <f>IF($F332="","",IFERROR(INDEX(사건마스터!$AR$5:$AR$64,MATCH($F332,사건마스터!$A$5:$A$64,0)),""))</f>
        <v/>
      </c>
      <c r="V332" s="136">
        <f>IF($F332="","",IFERROR(INDEX(사건마스터!$AS$5:$AS$64,MATCH($F332,사건마스터!$A$5:$A$64,0)),""))</f>
        <v/>
      </c>
      <c r="W332" s="136">
        <f>IF($F332="","",IFERROR(INDEX(사건마스터!$AT$5:$AT$64,MATCH($F332,사건마스터!$A$5:$A$64,0)),""))</f>
        <v/>
      </c>
      <c r="X332" s="136">
        <f>IF($F332="","",IFERROR(INDEX(사건마스터!$AU$5:$AU$64,MATCH($F332,사건마스터!$A$5:$A$64,0)),""))</f>
        <v/>
      </c>
      <c r="Y332" s="136">
        <f>IF($F332="","",IFERROR(INDEX(사건마스터!$AV$5:$AV$64,MATCH($F332,사건마스터!$A$5:$A$64,0)),""))</f>
        <v/>
      </c>
      <c r="Z332" s="118">
        <f>IF(COUNTBLANK($J332:$Y332)=16,"",16-COUNTBLANK($J332:$Y332))</f>
        <v/>
      </c>
      <c r="AA332" s="33">
        <f>IF($J332="",MID($AX332,3,255),$J332&amp;$AX332)</f>
        <v/>
      </c>
      <c r="AB332" s="130">
        <f>IF($J332="","",IFERROR(INDEX(코드설정!$D$5:$D$24,MATCH($J332,코드설정!$C$5:$C$24,0)),""))</f>
        <v/>
      </c>
      <c r="AC332" s="36" t="n"/>
      <c r="AD332" s="37" t="n"/>
      <c r="AE332" s="38" t="n"/>
      <c r="AF332" s="118">
        <f>IF(OR($B332="",$C332=""),"",$C332-$B332+1)</f>
        <v/>
      </c>
      <c r="AG332" s="74" t="n"/>
      <c r="AH332" s="36" t="n"/>
      <c r="AJ332">
        <f>IF($K332="","",", "&amp;$K332)</f>
        <v/>
      </c>
      <c r="AK332">
        <f>AJ332&amp;IF($L332="","",", "&amp;$L332)</f>
        <v/>
      </c>
      <c r="AL332">
        <f>AK332&amp;IF($M332="","",", "&amp;$M332)</f>
        <v/>
      </c>
      <c r="AM332">
        <f>AL332&amp;IF($N332="","",", "&amp;$N332)</f>
        <v/>
      </c>
      <c r="AN332">
        <f>AM332&amp;IF($O332="","",", "&amp;$O332)</f>
        <v/>
      </c>
      <c r="AO332">
        <f>AN332&amp;IF($P332="","",", "&amp;$P332)</f>
        <v/>
      </c>
      <c r="AP332">
        <f>AO332&amp;IF($Q332="","",", "&amp;$Q332)</f>
        <v/>
      </c>
      <c r="AQ332">
        <f>AP332&amp;IF($R332="","",", "&amp;$R332)</f>
        <v/>
      </c>
      <c r="AR332">
        <f>AQ332&amp;IF($S332="","",", "&amp;$S332)</f>
        <v/>
      </c>
      <c r="AS332">
        <f>AR332&amp;IF($T332="","",", "&amp;$T332)</f>
        <v/>
      </c>
      <c r="AT332">
        <f>AS332&amp;IF($U332="","",", "&amp;$U332)</f>
        <v/>
      </c>
      <c r="AU332">
        <f>AT332&amp;IF($V332="","",", "&amp;$V332)</f>
        <v/>
      </c>
      <c r="AV332">
        <f>AU332&amp;IF($W332="","",", "&amp;$W332)</f>
        <v/>
      </c>
      <c r="AW332">
        <f>AV332&amp;IF($X332="","",", "&amp;$X332)</f>
        <v/>
      </c>
      <c r="AX332">
        <f>AW332&amp;IF($Y332="","",", "&amp;$Y332)</f>
        <v/>
      </c>
    </row>
    <row r="333">
      <c r="A333" s="118">
        <f>IF($B333="","",COUNT($B$5:$B333))</f>
        <v/>
      </c>
      <c r="B333" s="80" t="n"/>
      <c r="C333" s="80" t="n"/>
      <c r="D333" s="74" t="n"/>
      <c r="E333" s="74" t="n"/>
      <c r="F333" s="74" t="n"/>
      <c r="G333" s="118">
        <f>IF($F333="","",COUNTIF($F$5:$F333,$F333))</f>
        <v/>
      </c>
      <c r="H333" s="33">
        <f>IF($F333="","",IFERROR(INDEX(사건마스터!$B$5:$B$64,MATCH($F333,사건마스터!$A$5:$A$64,0)),""))</f>
        <v/>
      </c>
      <c r="I333" s="130">
        <f>IF($F333="","",IFERROR(INDEX(사건마스터!$C$5:$C$64,MATCH($F333,사건마스터!$A$5:$A$64,0)),""))</f>
        <v/>
      </c>
      <c r="J333" s="136">
        <f>IF($F333="","",IFERROR(INDEX(사건마스터!$H$5:$H$64,MATCH($F333,사건마스터!$A$5:$A$64,0)),""))</f>
        <v/>
      </c>
      <c r="K333" s="136">
        <f>IF($F333="","",IFERROR(INDEX(사건마스터!$AH$5:$AH$64,MATCH($F333,사건마스터!$A$5:$A$64,0)),""))</f>
        <v/>
      </c>
      <c r="L333" s="136">
        <f>IF($F333="","",IFERROR(INDEX(사건마스터!$AI$5:$AI$64,MATCH($F333,사건마스터!$A$5:$A$64,0)),""))</f>
        <v/>
      </c>
      <c r="M333" s="136">
        <f>IF($F333="","",IFERROR(INDEX(사건마스터!$AJ$5:$AJ$64,MATCH($F333,사건마스터!$A$5:$A$64,0)),""))</f>
        <v/>
      </c>
      <c r="N333" s="136">
        <f>IF($F333="","",IFERROR(INDEX(사건마스터!$AK$5:$AK$64,MATCH($F333,사건마스터!$A$5:$A$64,0)),""))</f>
        <v/>
      </c>
      <c r="O333" s="136">
        <f>IF($F333="","",IFERROR(INDEX(사건마스터!$AL$5:$AL$64,MATCH($F333,사건마스터!$A$5:$A$64,0)),""))</f>
        <v/>
      </c>
      <c r="P333" s="136">
        <f>IF($F333="","",IFERROR(INDEX(사건마스터!$AM$5:$AM$64,MATCH($F333,사건마스터!$A$5:$A$64,0)),""))</f>
        <v/>
      </c>
      <c r="Q333" s="136">
        <f>IF($F333="","",IFERROR(INDEX(사건마스터!$AN$5:$AN$64,MATCH($F333,사건마스터!$A$5:$A$64,0)),""))</f>
        <v/>
      </c>
      <c r="R333" s="136">
        <f>IF($F333="","",IFERROR(INDEX(사건마스터!$AO$5:$AO$64,MATCH($F333,사건마스터!$A$5:$A$64,0)),""))</f>
        <v/>
      </c>
      <c r="S333" s="136">
        <f>IF($F333="","",IFERROR(INDEX(사건마스터!$AP$5:$AP$64,MATCH($F333,사건마스터!$A$5:$A$64,0)),""))</f>
        <v/>
      </c>
      <c r="T333" s="136">
        <f>IF($F333="","",IFERROR(INDEX(사건마스터!$AQ$5:$AQ$64,MATCH($F333,사건마스터!$A$5:$A$64,0)),""))</f>
        <v/>
      </c>
      <c r="U333" s="136">
        <f>IF($F333="","",IFERROR(INDEX(사건마스터!$AR$5:$AR$64,MATCH($F333,사건마스터!$A$5:$A$64,0)),""))</f>
        <v/>
      </c>
      <c r="V333" s="136">
        <f>IF($F333="","",IFERROR(INDEX(사건마스터!$AS$5:$AS$64,MATCH($F333,사건마스터!$A$5:$A$64,0)),""))</f>
        <v/>
      </c>
      <c r="W333" s="136">
        <f>IF($F333="","",IFERROR(INDEX(사건마스터!$AT$5:$AT$64,MATCH($F333,사건마스터!$A$5:$A$64,0)),""))</f>
        <v/>
      </c>
      <c r="X333" s="136">
        <f>IF($F333="","",IFERROR(INDEX(사건마스터!$AU$5:$AU$64,MATCH($F333,사건마스터!$A$5:$A$64,0)),""))</f>
        <v/>
      </c>
      <c r="Y333" s="136">
        <f>IF($F333="","",IFERROR(INDEX(사건마스터!$AV$5:$AV$64,MATCH($F333,사건마스터!$A$5:$A$64,0)),""))</f>
        <v/>
      </c>
      <c r="Z333" s="118">
        <f>IF(COUNTBLANK($J333:$Y333)=16,"",16-COUNTBLANK($J333:$Y333))</f>
        <v/>
      </c>
      <c r="AA333" s="33">
        <f>IF($J333="",MID($AX333,3,255),$J333&amp;$AX333)</f>
        <v/>
      </c>
      <c r="AB333" s="130">
        <f>IF($J333="","",IFERROR(INDEX(코드설정!$D$5:$D$24,MATCH($J333,코드설정!$C$5:$C$24,0)),""))</f>
        <v/>
      </c>
      <c r="AC333" s="36" t="n"/>
      <c r="AD333" s="37" t="n"/>
      <c r="AE333" s="38" t="n"/>
      <c r="AF333" s="118">
        <f>IF(OR($B333="",$C333=""),"",$C333-$B333+1)</f>
        <v/>
      </c>
      <c r="AG333" s="74" t="n"/>
      <c r="AH333" s="36" t="n"/>
      <c r="AJ333">
        <f>IF($K333="","",", "&amp;$K333)</f>
        <v/>
      </c>
      <c r="AK333">
        <f>AJ333&amp;IF($L333="","",", "&amp;$L333)</f>
        <v/>
      </c>
      <c r="AL333">
        <f>AK333&amp;IF($M333="","",", "&amp;$M333)</f>
        <v/>
      </c>
      <c r="AM333">
        <f>AL333&amp;IF($N333="","",", "&amp;$N333)</f>
        <v/>
      </c>
      <c r="AN333">
        <f>AM333&amp;IF($O333="","",", "&amp;$O333)</f>
        <v/>
      </c>
      <c r="AO333">
        <f>AN333&amp;IF($P333="","",", "&amp;$P333)</f>
        <v/>
      </c>
      <c r="AP333">
        <f>AO333&amp;IF($Q333="","",", "&amp;$Q333)</f>
        <v/>
      </c>
      <c r="AQ333">
        <f>AP333&amp;IF($R333="","",", "&amp;$R333)</f>
        <v/>
      </c>
      <c r="AR333">
        <f>AQ333&amp;IF($S333="","",", "&amp;$S333)</f>
        <v/>
      </c>
      <c r="AS333">
        <f>AR333&amp;IF($T333="","",", "&amp;$T333)</f>
        <v/>
      </c>
      <c r="AT333">
        <f>AS333&amp;IF($U333="","",", "&amp;$U333)</f>
        <v/>
      </c>
      <c r="AU333">
        <f>AT333&amp;IF($V333="","",", "&amp;$V333)</f>
        <v/>
      </c>
      <c r="AV333">
        <f>AU333&amp;IF($W333="","",", "&amp;$W333)</f>
        <v/>
      </c>
      <c r="AW333">
        <f>AV333&amp;IF($X333="","",", "&amp;$X333)</f>
        <v/>
      </c>
      <c r="AX333">
        <f>AW333&amp;IF($Y333="","",", "&amp;$Y333)</f>
        <v/>
      </c>
    </row>
    <row r="334">
      <c r="A334" s="118">
        <f>IF($B334="","",COUNT($B$5:$B334))</f>
        <v/>
      </c>
      <c r="B334" s="80" t="n"/>
      <c r="C334" s="80" t="n"/>
      <c r="D334" s="74" t="n"/>
      <c r="E334" s="74" t="n"/>
      <c r="F334" s="74" t="n"/>
      <c r="G334" s="118">
        <f>IF($F334="","",COUNTIF($F$5:$F334,$F334))</f>
        <v/>
      </c>
      <c r="H334" s="33">
        <f>IF($F334="","",IFERROR(INDEX(사건마스터!$B$5:$B$64,MATCH($F334,사건마스터!$A$5:$A$64,0)),""))</f>
        <v/>
      </c>
      <c r="I334" s="130">
        <f>IF($F334="","",IFERROR(INDEX(사건마스터!$C$5:$C$64,MATCH($F334,사건마스터!$A$5:$A$64,0)),""))</f>
        <v/>
      </c>
      <c r="J334" s="136">
        <f>IF($F334="","",IFERROR(INDEX(사건마스터!$H$5:$H$64,MATCH($F334,사건마스터!$A$5:$A$64,0)),""))</f>
        <v/>
      </c>
      <c r="K334" s="136">
        <f>IF($F334="","",IFERROR(INDEX(사건마스터!$AH$5:$AH$64,MATCH($F334,사건마스터!$A$5:$A$64,0)),""))</f>
        <v/>
      </c>
      <c r="L334" s="136">
        <f>IF($F334="","",IFERROR(INDEX(사건마스터!$AI$5:$AI$64,MATCH($F334,사건마스터!$A$5:$A$64,0)),""))</f>
        <v/>
      </c>
      <c r="M334" s="136">
        <f>IF($F334="","",IFERROR(INDEX(사건마스터!$AJ$5:$AJ$64,MATCH($F334,사건마스터!$A$5:$A$64,0)),""))</f>
        <v/>
      </c>
      <c r="N334" s="136">
        <f>IF($F334="","",IFERROR(INDEX(사건마스터!$AK$5:$AK$64,MATCH($F334,사건마스터!$A$5:$A$64,0)),""))</f>
        <v/>
      </c>
      <c r="O334" s="136">
        <f>IF($F334="","",IFERROR(INDEX(사건마스터!$AL$5:$AL$64,MATCH($F334,사건마스터!$A$5:$A$64,0)),""))</f>
        <v/>
      </c>
      <c r="P334" s="136">
        <f>IF($F334="","",IFERROR(INDEX(사건마스터!$AM$5:$AM$64,MATCH($F334,사건마스터!$A$5:$A$64,0)),""))</f>
        <v/>
      </c>
      <c r="Q334" s="136">
        <f>IF($F334="","",IFERROR(INDEX(사건마스터!$AN$5:$AN$64,MATCH($F334,사건마스터!$A$5:$A$64,0)),""))</f>
        <v/>
      </c>
      <c r="R334" s="136">
        <f>IF($F334="","",IFERROR(INDEX(사건마스터!$AO$5:$AO$64,MATCH($F334,사건마스터!$A$5:$A$64,0)),""))</f>
        <v/>
      </c>
      <c r="S334" s="136">
        <f>IF($F334="","",IFERROR(INDEX(사건마스터!$AP$5:$AP$64,MATCH($F334,사건마스터!$A$5:$A$64,0)),""))</f>
        <v/>
      </c>
      <c r="T334" s="136">
        <f>IF($F334="","",IFERROR(INDEX(사건마스터!$AQ$5:$AQ$64,MATCH($F334,사건마스터!$A$5:$A$64,0)),""))</f>
        <v/>
      </c>
      <c r="U334" s="136">
        <f>IF($F334="","",IFERROR(INDEX(사건마스터!$AR$5:$AR$64,MATCH($F334,사건마스터!$A$5:$A$64,0)),""))</f>
        <v/>
      </c>
      <c r="V334" s="136">
        <f>IF($F334="","",IFERROR(INDEX(사건마스터!$AS$5:$AS$64,MATCH($F334,사건마스터!$A$5:$A$64,0)),""))</f>
        <v/>
      </c>
      <c r="W334" s="136">
        <f>IF($F334="","",IFERROR(INDEX(사건마스터!$AT$5:$AT$64,MATCH($F334,사건마스터!$A$5:$A$64,0)),""))</f>
        <v/>
      </c>
      <c r="X334" s="136">
        <f>IF($F334="","",IFERROR(INDEX(사건마스터!$AU$5:$AU$64,MATCH($F334,사건마스터!$A$5:$A$64,0)),""))</f>
        <v/>
      </c>
      <c r="Y334" s="136">
        <f>IF($F334="","",IFERROR(INDEX(사건마스터!$AV$5:$AV$64,MATCH($F334,사건마스터!$A$5:$A$64,0)),""))</f>
        <v/>
      </c>
      <c r="Z334" s="118">
        <f>IF(COUNTBLANK($J334:$Y334)=16,"",16-COUNTBLANK($J334:$Y334))</f>
        <v/>
      </c>
      <c r="AA334" s="33">
        <f>IF($J334="",MID($AX334,3,255),$J334&amp;$AX334)</f>
        <v/>
      </c>
      <c r="AB334" s="130">
        <f>IF($J334="","",IFERROR(INDEX(코드설정!$D$5:$D$24,MATCH($J334,코드설정!$C$5:$C$24,0)),""))</f>
        <v/>
      </c>
      <c r="AC334" s="36" t="n"/>
      <c r="AD334" s="37" t="n"/>
      <c r="AE334" s="38" t="n"/>
      <c r="AF334" s="118">
        <f>IF(OR($B334="",$C334=""),"",$C334-$B334+1)</f>
        <v/>
      </c>
      <c r="AG334" s="74" t="n"/>
      <c r="AH334" s="36" t="n"/>
      <c r="AJ334">
        <f>IF($K334="","",", "&amp;$K334)</f>
        <v/>
      </c>
      <c r="AK334">
        <f>AJ334&amp;IF($L334="","",", "&amp;$L334)</f>
        <v/>
      </c>
      <c r="AL334">
        <f>AK334&amp;IF($M334="","",", "&amp;$M334)</f>
        <v/>
      </c>
      <c r="AM334">
        <f>AL334&amp;IF($N334="","",", "&amp;$N334)</f>
        <v/>
      </c>
      <c r="AN334">
        <f>AM334&amp;IF($O334="","",", "&amp;$O334)</f>
        <v/>
      </c>
      <c r="AO334">
        <f>AN334&amp;IF($P334="","",", "&amp;$P334)</f>
        <v/>
      </c>
      <c r="AP334">
        <f>AO334&amp;IF($Q334="","",", "&amp;$Q334)</f>
        <v/>
      </c>
      <c r="AQ334">
        <f>AP334&amp;IF($R334="","",", "&amp;$R334)</f>
        <v/>
      </c>
      <c r="AR334">
        <f>AQ334&amp;IF($S334="","",", "&amp;$S334)</f>
        <v/>
      </c>
      <c r="AS334">
        <f>AR334&amp;IF($T334="","",", "&amp;$T334)</f>
        <v/>
      </c>
      <c r="AT334">
        <f>AS334&amp;IF($U334="","",", "&amp;$U334)</f>
        <v/>
      </c>
      <c r="AU334">
        <f>AT334&amp;IF($V334="","",", "&amp;$V334)</f>
        <v/>
      </c>
      <c r="AV334">
        <f>AU334&amp;IF($W334="","",", "&amp;$W334)</f>
        <v/>
      </c>
      <c r="AW334">
        <f>AV334&amp;IF($X334="","",", "&amp;$X334)</f>
        <v/>
      </c>
      <c r="AX334">
        <f>AW334&amp;IF($Y334="","",", "&amp;$Y334)</f>
        <v/>
      </c>
    </row>
    <row r="335">
      <c r="A335" s="118">
        <f>IF($B335="","",COUNT($B$5:$B335))</f>
        <v/>
      </c>
      <c r="B335" s="80" t="n"/>
      <c r="C335" s="80" t="n"/>
      <c r="D335" s="74" t="n"/>
      <c r="E335" s="74" t="n"/>
      <c r="F335" s="74" t="n"/>
      <c r="G335" s="118">
        <f>IF($F335="","",COUNTIF($F$5:$F335,$F335))</f>
        <v/>
      </c>
      <c r="H335" s="33">
        <f>IF($F335="","",IFERROR(INDEX(사건마스터!$B$5:$B$64,MATCH($F335,사건마스터!$A$5:$A$64,0)),""))</f>
        <v/>
      </c>
      <c r="I335" s="130">
        <f>IF($F335="","",IFERROR(INDEX(사건마스터!$C$5:$C$64,MATCH($F335,사건마스터!$A$5:$A$64,0)),""))</f>
        <v/>
      </c>
      <c r="J335" s="136">
        <f>IF($F335="","",IFERROR(INDEX(사건마스터!$H$5:$H$64,MATCH($F335,사건마스터!$A$5:$A$64,0)),""))</f>
        <v/>
      </c>
      <c r="K335" s="136">
        <f>IF($F335="","",IFERROR(INDEX(사건마스터!$AH$5:$AH$64,MATCH($F335,사건마스터!$A$5:$A$64,0)),""))</f>
        <v/>
      </c>
      <c r="L335" s="136">
        <f>IF($F335="","",IFERROR(INDEX(사건마스터!$AI$5:$AI$64,MATCH($F335,사건마스터!$A$5:$A$64,0)),""))</f>
        <v/>
      </c>
      <c r="M335" s="136">
        <f>IF($F335="","",IFERROR(INDEX(사건마스터!$AJ$5:$AJ$64,MATCH($F335,사건마스터!$A$5:$A$64,0)),""))</f>
        <v/>
      </c>
      <c r="N335" s="136">
        <f>IF($F335="","",IFERROR(INDEX(사건마스터!$AK$5:$AK$64,MATCH($F335,사건마스터!$A$5:$A$64,0)),""))</f>
        <v/>
      </c>
      <c r="O335" s="136">
        <f>IF($F335="","",IFERROR(INDEX(사건마스터!$AL$5:$AL$64,MATCH($F335,사건마스터!$A$5:$A$64,0)),""))</f>
        <v/>
      </c>
      <c r="P335" s="136">
        <f>IF($F335="","",IFERROR(INDEX(사건마스터!$AM$5:$AM$64,MATCH($F335,사건마스터!$A$5:$A$64,0)),""))</f>
        <v/>
      </c>
      <c r="Q335" s="136">
        <f>IF($F335="","",IFERROR(INDEX(사건마스터!$AN$5:$AN$64,MATCH($F335,사건마스터!$A$5:$A$64,0)),""))</f>
        <v/>
      </c>
      <c r="R335" s="136">
        <f>IF($F335="","",IFERROR(INDEX(사건마스터!$AO$5:$AO$64,MATCH($F335,사건마스터!$A$5:$A$64,0)),""))</f>
        <v/>
      </c>
      <c r="S335" s="136">
        <f>IF($F335="","",IFERROR(INDEX(사건마스터!$AP$5:$AP$64,MATCH($F335,사건마스터!$A$5:$A$64,0)),""))</f>
        <v/>
      </c>
      <c r="T335" s="136">
        <f>IF($F335="","",IFERROR(INDEX(사건마스터!$AQ$5:$AQ$64,MATCH($F335,사건마스터!$A$5:$A$64,0)),""))</f>
        <v/>
      </c>
      <c r="U335" s="136">
        <f>IF($F335="","",IFERROR(INDEX(사건마스터!$AR$5:$AR$64,MATCH($F335,사건마스터!$A$5:$A$64,0)),""))</f>
        <v/>
      </c>
      <c r="V335" s="136">
        <f>IF($F335="","",IFERROR(INDEX(사건마스터!$AS$5:$AS$64,MATCH($F335,사건마스터!$A$5:$A$64,0)),""))</f>
        <v/>
      </c>
      <c r="W335" s="136">
        <f>IF($F335="","",IFERROR(INDEX(사건마스터!$AT$5:$AT$64,MATCH($F335,사건마스터!$A$5:$A$64,0)),""))</f>
        <v/>
      </c>
      <c r="X335" s="136">
        <f>IF($F335="","",IFERROR(INDEX(사건마스터!$AU$5:$AU$64,MATCH($F335,사건마스터!$A$5:$A$64,0)),""))</f>
        <v/>
      </c>
      <c r="Y335" s="136">
        <f>IF($F335="","",IFERROR(INDEX(사건마스터!$AV$5:$AV$64,MATCH($F335,사건마스터!$A$5:$A$64,0)),""))</f>
        <v/>
      </c>
      <c r="Z335" s="118">
        <f>IF(COUNTBLANK($J335:$Y335)=16,"",16-COUNTBLANK($J335:$Y335))</f>
        <v/>
      </c>
      <c r="AA335" s="33">
        <f>IF($J335="",MID($AX335,3,255),$J335&amp;$AX335)</f>
        <v/>
      </c>
      <c r="AB335" s="130">
        <f>IF($J335="","",IFERROR(INDEX(코드설정!$D$5:$D$24,MATCH($J335,코드설정!$C$5:$C$24,0)),""))</f>
        <v/>
      </c>
      <c r="AC335" s="36" t="n"/>
      <c r="AD335" s="37" t="n"/>
      <c r="AE335" s="38" t="n"/>
      <c r="AF335" s="118">
        <f>IF(OR($B335="",$C335=""),"",$C335-$B335+1)</f>
        <v/>
      </c>
      <c r="AG335" s="74" t="n"/>
      <c r="AH335" s="36" t="n"/>
      <c r="AJ335">
        <f>IF($K335="","",", "&amp;$K335)</f>
        <v/>
      </c>
      <c r="AK335">
        <f>AJ335&amp;IF($L335="","",", "&amp;$L335)</f>
        <v/>
      </c>
      <c r="AL335">
        <f>AK335&amp;IF($M335="","",", "&amp;$M335)</f>
        <v/>
      </c>
      <c r="AM335">
        <f>AL335&amp;IF($N335="","",", "&amp;$N335)</f>
        <v/>
      </c>
      <c r="AN335">
        <f>AM335&amp;IF($O335="","",", "&amp;$O335)</f>
        <v/>
      </c>
      <c r="AO335">
        <f>AN335&amp;IF($P335="","",", "&amp;$P335)</f>
        <v/>
      </c>
      <c r="AP335">
        <f>AO335&amp;IF($Q335="","",", "&amp;$Q335)</f>
        <v/>
      </c>
      <c r="AQ335">
        <f>AP335&amp;IF($R335="","",", "&amp;$R335)</f>
        <v/>
      </c>
      <c r="AR335">
        <f>AQ335&amp;IF($S335="","",", "&amp;$S335)</f>
        <v/>
      </c>
      <c r="AS335">
        <f>AR335&amp;IF($T335="","",", "&amp;$T335)</f>
        <v/>
      </c>
      <c r="AT335">
        <f>AS335&amp;IF($U335="","",", "&amp;$U335)</f>
        <v/>
      </c>
      <c r="AU335">
        <f>AT335&amp;IF($V335="","",", "&amp;$V335)</f>
        <v/>
      </c>
      <c r="AV335">
        <f>AU335&amp;IF($W335="","",", "&amp;$W335)</f>
        <v/>
      </c>
      <c r="AW335">
        <f>AV335&amp;IF($X335="","",", "&amp;$X335)</f>
        <v/>
      </c>
      <c r="AX335">
        <f>AW335&amp;IF($Y335="","",", "&amp;$Y335)</f>
        <v/>
      </c>
    </row>
    <row r="336">
      <c r="A336" s="118">
        <f>IF($B336="","",COUNT($B$5:$B336))</f>
        <v/>
      </c>
      <c r="B336" s="80" t="n"/>
      <c r="C336" s="80" t="n"/>
      <c r="D336" s="74" t="n"/>
      <c r="E336" s="74" t="n"/>
      <c r="F336" s="74" t="n"/>
      <c r="G336" s="118">
        <f>IF($F336="","",COUNTIF($F$5:$F336,$F336))</f>
        <v/>
      </c>
      <c r="H336" s="33">
        <f>IF($F336="","",IFERROR(INDEX(사건마스터!$B$5:$B$64,MATCH($F336,사건마스터!$A$5:$A$64,0)),""))</f>
        <v/>
      </c>
      <c r="I336" s="130">
        <f>IF($F336="","",IFERROR(INDEX(사건마스터!$C$5:$C$64,MATCH($F336,사건마스터!$A$5:$A$64,0)),""))</f>
        <v/>
      </c>
      <c r="J336" s="136">
        <f>IF($F336="","",IFERROR(INDEX(사건마스터!$H$5:$H$64,MATCH($F336,사건마스터!$A$5:$A$64,0)),""))</f>
        <v/>
      </c>
      <c r="K336" s="136">
        <f>IF($F336="","",IFERROR(INDEX(사건마스터!$AH$5:$AH$64,MATCH($F336,사건마스터!$A$5:$A$64,0)),""))</f>
        <v/>
      </c>
      <c r="L336" s="136">
        <f>IF($F336="","",IFERROR(INDEX(사건마스터!$AI$5:$AI$64,MATCH($F336,사건마스터!$A$5:$A$64,0)),""))</f>
        <v/>
      </c>
      <c r="M336" s="136">
        <f>IF($F336="","",IFERROR(INDEX(사건마스터!$AJ$5:$AJ$64,MATCH($F336,사건마스터!$A$5:$A$64,0)),""))</f>
        <v/>
      </c>
      <c r="N336" s="136">
        <f>IF($F336="","",IFERROR(INDEX(사건마스터!$AK$5:$AK$64,MATCH($F336,사건마스터!$A$5:$A$64,0)),""))</f>
        <v/>
      </c>
      <c r="O336" s="136">
        <f>IF($F336="","",IFERROR(INDEX(사건마스터!$AL$5:$AL$64,MATCH($F336,사건마스터!$A$5:$A$64,0)),""))</f>
        <v/>
      </c>
      <c r="P336" s="136">
        <f>IF($F336="","",IFERROR(INDEX(사건마스터!$AM$5:$AM$64,MATCH($F336,사건마스터!$A$5:$A$64,0)),""))</f>
        <v/>
      </c>
      <c r="Q336" s="136">
        <f>IF($F336="","",IFERROR(INDEX(사건마스터!$AN$5:$AN$64,MATCH($F336,사건마스터!$A$5:$A$64,0)),""))</f>
        <v/>
      </c>
      <c r="R336" s="136">
        <f>IF($F336="","",IFERROR(INDEX(사건마스터!$AO$5:$AO$64,MATCH($F336,사건마스터!$A$5:$A$64,0)),""))</f>
        <v/>
      </c>
      <c r="S336" s="136">
        <f>IF($F336="","",IFERROR(INDEX(사건마스터!$AP$5:$AP$64,MATCH($F336,사건마스터!$A$5:$A$64,0)),""))</f>
        <v/>
      </c>
      <c r="T336" s="136">
        <f>IF($F336="","",IFERROR(INDEX(사건마스터!$AQ$5:$AQ$64,MATCH($F336,사건마스터!$A$5:$A$64,0)),""))</f>
        <v/>
      </c>
      <c r="U336" s="136">
        <f>IF($F336="","",IFERROR(INDEX(사건마스터!$AR$5:$AR$64,MATCH($F336,사건마스터!$A$5:$A$64,0)),""))</f>
        <v/>
      </c>
      <c r="V336" s="136">
        <f>IF($F336="","",IFERROR(INDEX(사건마스터!$AS$5:$AS$64,MATCH($F336,사건마스터!$A$5:$A$64,0)),""))</f>
        <v/>
      </c>
      <c r="W336" s="136">
        <f>IF($F336="","",IFERROR(INDEX(사건마스터!$AT$5:$AT$64,MATCH($F336,사건마스터!$A$5:$A$64,0)),""))</f>
        <v/>
      </c>
      <c r="X336" s="136">
        <f>IF($F336="","",IFERROR(INDEX(사건마스터!$AU$5:$AU$64,MATCH($F336,사건마스터!$A$5:$A$64,0)),""))</f>
        <v/>
      </c>
      <c r="Y336" s="136">
        <f>IF($F336="","",IFERROR(INDEX(사건마스터!$AV$5:$AV$64,MATCH($F336,사건마스터!$A$5:$A$64,0)),""))</f>
        <v/>
      </c>
      <c r="Z336" s="118">
        <f>IF(COUNTBLANK($J336:$Y336)=16,"",16-COUNTBLANK($J336:$Y336))</f>
        <v/>
      </c>
      <c r="AA336" s="33">
        <f>IF($J336="",MID($AX336,3,255),$J336&amp;$AX336)</f>
        <v/>
      </c>
      <c r="AB336" s="130">
        <f>IF($J336="","",IFERROR(INDEX(코드설정!$D$5:$D$24,MATCH($J336,코드설정!$C$5:$C$24,0)),""))</f>
        <v/>
      </c>
      <c r="AC336" s="36" t="n"/>
      <c r="AD336" s="37" t="n"/>
      <c r="AE336" s="38" t="n"/>
      <c r="AF336" s="118">
        <f>IF(OR($B336="",$C336=""),"",$C336-$B336+1)</f>
        <v/>
      </c>
      <c r="AG336" s="74" t="n"/>
      <c r="AH336" s="36" t="n"/>
      <c r="AJ336">
        <f>IF($K336="","",", "&amp;$K336)</f>
        <v/>
      </c>
      <c r="AK336">
        <f>AJ336&amp;IF($L336="","",", "&amp;$L336)</f>
        <v/>
      </c>
      <c r="AL336">
        <f>AK336&amp;IF($M336="","",", "&amp;$M336)</f>
        <v/>
      </c>
      <c r="AM336">
        <f>AL336&amp;IF($N336="","",", "&amp;$N336)</f>
        <v/>
      </c>
      <c r="AN336">
        <f>AM336&amp;IF($O336="","",", "&amp;$O336)</f>
        <v/>
      </c>
      <c r="AO336">
        <f>AN336&amp;IF($P336="","",", "&amp;$P336)</f>
        <v/>
      </c>
      <c r="AP336">
        <f>AO336&amp;IF($Q336="","",", "&amp;$Q336)</f>
        <v/>
      </c>
      <c r="AQ336">
        <f>AP336&amp;IF($R336="","",", "&amp;$R336)</f>
        <v/>
      </c>
      <c r="AR336">
        <f>AQ336&amp;IF($S336="","",", "&amp;$S336)</f>
        <v/>
      </c>
      <c r="AS336">
        <f>AR336&amp;IF($T336="","",", "&amp;$T336)</f>
        <v/>
      </c>
      <c r="AT336">
        <f>AS336&amp;IF($U336="","",", "&amp;$U336)</f>
        <v/>
      </c>
      <c r="AU336">
        <f>AT336&amp;IF($V336="","",", "&amp;$V336)</f>
        <v/>
      </c>
      <c r="AV336">
        <f>AU336&amp;IF($W336="","",", "&amp;$W336)</f>
        <v/>
      </c>
      <c r="AW336">
        <f>AV336&amp;IF($X336="","",", "&amp;$X336)</f>
        <v/>
      </c>
      <c r="AX336">
        <f>AW336&amp;IF($Y336="","",", "&amp;$Y336)</f>
        <v/>
      </c>
    </row>
    <row r="337">
      <c r="A337" s="118">
        <f>IF($B337="","",COUNT($B$5:$B337))</f>
        <v/>
      </c>
      <c r="B337" s="80" t="n"/>
      <c r="C337" s="80" t="n"/>
      <c r="D337" s="74" t="n"/>
      <c r="E337" s="74" t="n"/>
      <c r="F337" s="74" t="n"/>
      <c r="G337" s="118">
        <f>IF($F337="","",COUNTIF($F$5:$F337,$F337))</f>
        <v/>
      </c>
      <c r="H337" s="33">
        <f>IF($F337="","",IFERROR(INDEX(사건마스터!$B$5:$B$64,MATCH($F337,사건마스터!$A$5:$A$64,0)),""))</f>
        <v/>
      </c>
      <c r="I337" s="130">
        <f>IF($F337="","",IFERROR(INDEX(사건마스터!$C$5:$C$64,MATCH($F337,사건마스터!$A$5:$A$64,0)),""))</f>
        <v/>
      </c>
      <c r="J337" s="136">
        <f>IF($F337="","",IFERROR(INDEX(사건마스터!$H$5:$H$64,MATCH($F337,사건마스터!$A$5:$A$64,0)),""))</f>
        <v/>
      </c>
      <c r="K337" s="136">
        <f>IF($F337="","",IFERROR(INDEX(사건마스터!$AH$5:$AH$64,MATCH($F337,사건마스터!$A$5:$A$64,0)),""))</f>
        <v/>
      </c>
      <c r="L337" s="136">
        <f>IF($F337="","",IFERROR(INDEX(사건마스터!$AI$5:$AI$64,MATCH($F337,사건마스터!$A$5:$A$64,0)),""))</f>
        <v/>
      </c>
      <c r="M337" s="136">
        <f>IF($F337="","",IFERROR(INDEX(사건마스터!$AJ$5:$AJ$64,MATCH($F337,사건마스터!$A$5:$A$64,0)),""))</f>
        <v/>
      </c>
      <c r="N337" s="136">
        <f>IF($F337="","",IFERROR(INDEX(사건마스터!$AK$5:$AK$64,MATCH($F337,사건마스터!$A$5:$A$64,0)),""))</f>
        <v/>
      </c>
      <c r="O337" s="136">
        <f>IF($F337="","",IFERROR(INDEX(사건마스터!$AL$5:$AL$64,MATCH($F337,사건마스터!$A$5:$A$64,0)),""))</f>
        <v/>
      </c>
      <c r="P337" s="136">
        <f>IF($F337="","",IFERROR(INDEX(사건마스터!$AM$5:$AM$64,MATCH($F337,사건마스터!$A$5:$A$64,0)),""))</f>
        <v/>
      </c>
      <c r="Q337" s="136">
        <f>IF($F337="","",IFERROR(INDEX(사건마스터!$AN$5:$AN$64,MATCH($F337,사건마스터!$A$5:$A$64,0)),""))</f>
        <v/>
      </c>
      <c r="R337" s="136">
        <f>IF($F337="","",IFERROR(INDEX(사건마스터!$AO$5:$AO$64,MATCH($F337,사건마스터!$A$5:$A$64,0)),""))</f>
        <v/>
      </c>
      <c r="S337" s="136">
        <f>IF($F337="","",IFERROR(INDEX(사건마스터!$AP$5:$AP$64,MATCH($F337,사건마스터!$A$5:$A$64,0)),""))</f>
        <v/>
      </c>
      <c r="T337" s="136">
        <f>IF($F337="","",IFERROR(INDEX(사건마스터!$AQ$5:$AQ$64,MATCH($F337,사건마스터!$A$5:$A$64,0)),""))</f>
        <v/>
      </c>
      <c r="U337" s="136">
        <f>IF($F337="","",IFERROR(INDEX(사건마스터!$AR$5:$AR$64,MATCH($F337,사건마스터!$A$5:$A$64,0)),""))</f>
        <v/>
      </c>
      <c r="V337" s="136">
        <f>IF($F337="","",IFERROR(INDEX(사건마스터!$AS$5:$AS$64,MATCH($F337,사건마스터!$A$5:$A$64,0)),""))</f>
        <v/>
      </c>
      <c r="W337" s="136">
        <f>IF($F337="","",IFERROR(INDEX(사건마스터!$AT$5:$AT$64,MATCH($F337,사건마스터!$A$5:$A$64,0)),""))</f>
        <v/>
      </c>
      <c r="X337" s="136">
        <f>IF($F337="","",IFERROR(INDEX(사건마스터!$AU$5:$AU$64,MATCH($F337,사건마스터!$A$5:$A$64,0)),""))</f>
        <v/>
      </c>
      <c r="Y337" s="136">
        <f>IF($F337="","",IFERROR(INDEX(사건마스터!$AV$5:$AV$64,MATCH($F337,사건마스터!$A$5:$A$64,0)),""))</f>
        <v/>
      </c>
      <c r="Z337" s="118">
        <f>IF(COUNTBLANK($J337:$Y337)=16,"",16-COUNTBLANK($J337:$Y337))</f>
        <v/>
      </c>
      <c r="AA337" s="33">
        <f>IF($J337="",MID($AX337,3,255),$J337&amp;$AX337)</f>
        <v/>
      </c>
      <c r="AB337" s="130">
        <f>IF($J337="","",IFERROR(INDEX(코드설정!$D$5:$D$24,MATCH($J337,코드설정!$C$5:$C$24,0)),""))</f>
        <v/>
      </c>
      <c r="AC337" s="36" t="n"/>
      <c r="AD337" s="37" t="n"/>
      <c r="AE337" s="38" t="n"/>
      <c r="AF337" s="118">
        <f>IF(OR($B337="",$C337=""),"",$C337-$B337+1)</f>
        <v/>
      </c>
      <c r="AG337" s="74" t="n"/>
      <c r="AH337" s="36" t="n"/>
      <c r="AJ337">
        <f>IF($K337="","",", "&amp;$K337)</f>
        <v/>
      </c>
      <c r="AK337">
        <f>AJ337&amp;IF($L337="","",", "&amp;$L337)</f>
        <v/>
      </c>
      <c r="AL337">
        <f>AK337&amp;IF($M337="","",", "&amp;$M337)</f>
        <v/>
      </c>
      <c r="AM337">
        <f>AL337&amp;IF($N337="","",", "&amp;$N337)</f>
        <v/>
      </c>
      <c r="AN337">
        <f>AM337&amp;IF($O337="","",", "&amp;$O337)</f>
        <v/>
      </c>
      <c r="AO337">
        <f>AN337&amp;IF($P337="","",", "&amp;$P337)</f>
        <v/>
      </c>
      <c r="AP337">
        <f>AO337&amp;IF($Q337="","",", "&amp;$Q337)</f>
        <v/>
      </c>
      <c r="AQ337">
        <f>AP337&amp;IF($R337="","",", "&amp;$R337)</f>
        <v/>
      </c>
      <c r="AR337">
        <f>AQ337&amp;IF($S337="","",", "&amp;$S337)</f>
        <v/>
      </c>
      <c r="AS337">
        <f>AR337&amp;IF($T337="","",", "&amp;$T337)</f>
        <v/>
      </c>
      <c r="AT337">
        <f>AS337&amp;IF($U337="","",", "&amp;$U337)</f>
        <v/>
      </c>
      <c r="AU337">
        <f>AT337&amp;IF($V337="","",", "&amp;$V337)</f>
        <v/>
      </c>
      <c r="AV337">
        <f>AU337&amp;IF($W337="","",", "&amp;$W337)</f>
        <v/>
      </c>
      <c r="AW337">
        <f>AV337&amp;IF($X337="","",", "&amp;$X337)</f>
        <v/>
      </c>
      <c r="AX337">
        <f>AW337&amp;IF($Y337="","",", "&amp;$Y337)</f>
        <v/>
      </c>
    </row>
    <row r="338">
      <c r="A338" s="118">
        <f>IF($B338="","",COUNT($B$5:$B338))</f>
        <v/>
      </c>
      <c r="B338" s="80" t="n"/>
      <c r="C338" s="80" t="n"/>
      <c r="D338" s="74" t="n"/>
      <c r="E338" s="74" t="n"/>
      <c r="F338" s="74" t="n"/>
      <c r="G338" s="118">
        <f>IF($F338="","",COUNTIF($F$5:$F338,$F338))</f>
        <v/>
      </c>
      <c r="H338" s="33">
        <f>IF($F338="","",IFERROR(INDEX(사건마스터!$B$5:$B$64,MATCH($F338,사건마스터!$A$5:$A$64,0)),""))</f>
        <v/>
      </c>
      <c r="I338" s="130">
        <f>IF($F338="","",IFERROR(INDEX(사건마스터!$C$5:$C$64,MATCH($F338,사건마스터!$A$5:$A$64,0)),""))</f>
        <v/>
      </c>
      <c r="J338" s="136">
        <f>IF($F338="","",IFERROR(INDEX(사건마스터!$H$5:$H$64,MATCH($F338,사건마스터!$A$5:$A$64,0)),""))</f>
        <v/>
      </c>
      <c r="K338" s="136">
        <f>IF($F338="","",IFERROR(INDEX(사건마스터!$AH$5:$AH$64,MATCH($F338,사건마스터!$A$5:$A$64,0)),""))</f>
        <v/>
      </c>
      <c r="L338" s="136">
        <f>IF($F338="","",IFERROR(INDEX(사건마스터!$AI$5:$AI$64,MATCH($F338,사건마스터!$A$5:$A$64,0)),""))</f>
        <v/>
      </c>
      <c r="M338" s="136">
        <f>IF($F338="","",IFERROR(INDEX(사건마스터!$AJ$5:$AJ$64,MATCH($F338,사건마스터!$A$5:$A$64,0)),""))</f>
        <v/>
      </c>
      <c r="N338" s="136">
        <f>IF($F338="","",IFERROR(INDEX(사건마스터!$AK$5:$AK$64,MATCH($F338,사건마스터!$A$5:$A$64,0)),""))</f>
        <v/>
      </c>
      <c r="O338" s="136">
        <f>IF($F338="","",IFERROR(INDEX(사건마스터!$AL$5:$AL$64,MATCH($F338,사건마스터!$A$5:$A$64,0)),""))</f>
        <v/>
      </c>
      <c r="P338" s="136">
        <f>IF($F338="","",IFERROR(INDEX(사건마스터!$AM$5:$AM$64,MATCH($F338,사건마스터!$A$5:$A$64,0)),""))</f>
        <v/>
      </c>
      <c r="Q338" s="136">
        <f>IF($F338="","",IFERROR(INDEX(사건마스터!$AN$5:$AN$64,MATCH($F338,사건마스터!$A$5:$A$64,0)),""))</f>
        <v/>
      </c>
      <c r="R338" s="136">
        <f>IF($F338="","",IFERROR(INDEX(사건마스터!$AO$5:$AO$64,MATCH($F338,사건마스터!$A$5:$A$64,0)),""))</f>
        <v/>
      </c>
      <c r="S338" s="136">
        <f>IF($F338="","",IFERROR(INDEX(사건마스터!$AP$5:$AP$64,MATCH($F338,사건마스터!$A$5:$A$64,0)),""))</f>
        <v/>
      </c>
      <c r="T338" s="136">
        <f>IF($F338="","",IFERROR(INDEX(사건마스터!$AQ$5:$AQ$64,MATCH($F338,사건마스터!$A$5:$A$64,0)),""))</f>
        <v/>
      </c>
      <c r="U338" s="136">
        <f>IF($F338="","",IFERROR(INDEX(사건마스터!$AR$5:$AR$64,MATCH($F338,사건마스터!$A$5:$A$64,0)),""))</f>
        <v/>
      </c>
      <c r="V338" s="136">
        <f>IF($F338="","",IFERROR(INDEX(사건마스터!$AS$5:$AS$64,MATCH($F338,사건마스터!$A$5:$A$64,0)),""))</f>
        <v/>
      </c>
      <c r="W338" s="136">
        <f>IF($F338="","",IFERROR(INDEX(사건마스터!$AT$5:$AT$64,MATCH($F338,사건마스터!$A$5:$A$64,0)),""))</f>
        <v/>
      </c>
      <c r="X338" s="136">
        <f>IF($F338="","",IFERROR(INDEX(사건마스터!$AU$5:$AU$64,MATCH($F338,사건마스터!$A$5:$A$64,0)),""))</f>
        <v/>
      </c>
      <c r="Y338" s="136">
        <f>IF($F338="","",IFERROR(INDEX(사건마스터!$AV$5:$AV$64,MATCH($F338,사건마스터!$A$5:$A$64,0)),""))</f>
        <v/>
      </c>
      <c r="Z338" s="118">
        <f>IF(COUNTBLANK($J338:$Y338)=16,"",16-COUNTBLANK($J338:$Y338))</f>
        <v/>
      </c>
      <c r="AA338" s="33">
        <f>IF($J338="",MID($AX338,3,255),$J338&amp;$AX338)</f>
        <v/>
      </c>
      <c r="AB338" s="130">
        <f>IF($J338="","",IFERROR(INDEX(코드설정!$D$5:$D$24,MATCH($J338,코드설정!$C$5:$C$24,0)),""))</f>
        <v/>
      </c>
      <c r="AC338" s="36" t="n"/>
      <c r="AD338" s="37" t="n"/>
      <c r="AE338" s="38" t="n"/>
      <c r="AF338" s="118">
        <f>IF(OR($B338="",$C338=""),"",$C338-$B338+1)</f>
        <v/>
      </c>
      <c r="AG338" s="74" t="n"/>
      <c r="AH338" s="36" t="n"/>
      <c r="AJ338">
        <f>IF($K338="","",", "&amp;$K338)</f>
        <v/>
      </c>
      <c r="AK338">
        <f>AJ338&amp;IF($L338="","",", "&amp;$L338)</f>
        <v/>
      </c>
      <c r="AL338">
        <f>AK338&amp;IF($M338="","",", "&amp;$M338)</f>
        <v/>
      </c>
      <c r="AM338">
        <f>AL338&amp;IF($N338="","",", "&amp;$N338)</f>
        <v/>
      </c>
      <c r="AN338">
        <f>AM338&amp;IF($O338="","",", "&amp;$O338)</f>
        <v/>
      </c>
      <c r="AO338">
        <f>AN338&amp;IF($P338="","",", "&amp;$P338)</f>
        <v/>
      </c>
      <c r="AP338">
        <f>AO338&amp;IF($Q338="","",", "&amp;$Q338)</f>
        <v/>
      </c>
      <c r="AQ338">
        <f>AP338&amp;IF($R338="","",", "&amp;$R338)</f>
        <v/>
      </c>
      <c r="AR338">
        <f>AQ338&amp;IF($S338="","",", "&amp;$S338)</f>
        <v/>
      </c>
      <c r="AS338">
        <f>AR338&amp;IF($T338="","",", "&amp;$T338)</f>
        <v/>
      </c>
      <c r="AT338">
        <f>AS338&amp;IF($U338="","",", "&amp;$U338)</f>
        <v/>
      </c>
      <c r="AU338">
        <f>AT338&amp;IF($V338="","",", "&amp;$V338)</f>
        <v/>
      </c>
      <c r="AV338">
        <f>AU338&amp;IF($W338="","",", "&amp;$W338)</f>
        <v/>
      </c>
      <c r="AW338">
        <f>AV338&amp;IF($X338="","",", "&amp;$X338)</f>
        <v/>
      </c>
      <c r="AX338">
        <f>AW338&amp;IF($Y338="","",", "&amp;$Y338)</f>
        <v/>
      </c>
    </row>
    <row r="339">
      <c r="A339" s="118">
        <f>IF($B339="","",COUNT($B$5:$B339))</f>
        <v/>
      </c>
      <c r="B339" s="80" t="n"/>
      <c r="C339" s="80" t="n"/>
      <c r="D339" s="74" t="n"/>
      <c r="E339" s="74" t="n"/>
      <c r="F339" s="74" t="n"/>
      <c r="G339" s="118">
        <f>IF($F339="","",COUNTIF($F$5:$F339,$F339))</f>
        <v/>
      </c>
      <c r="H339" s="33">
        <f>IF($F339="","",IFERROR(INDEX(사건마스터!$B$5:$B$64,MATCH($F339,사건마스터!$A$5:$A$64,0)),""))</f>
        <v/>
      </c>
      <c r="I339" s="130">
        <f>IF($F339="","",IFERROR(INDEX(사건마스터!$C$5:$C$64,MATCH($F339,사건마스터!$A$5:$A$64,0)),""))</f>
        <v/>
      </c>
      <c r="J339" s="136">
        <f>IF($F339="","",IFERROR(INDEX(사건마스터!$H$5:$H$64,MATCH($F339,사건마스터!$A$5:$A$64,0)),""))</f>
        <v/>
      </c>
      <c r="K339" s="136">
        <f>IF($F339="","",IFERROR(INDEX(사건마스터!$AH$5:$AH$64,MATCH($F339,사건마스터!$A$5:$A$64,0)),""))</f>
        <v/>
      </c>
      <c r="L339" s="136">
        <f>IF($F339="","",IFERROR(INDEX(사건마스터!$AI$5:$AI$64,MATCH($F339,사건마스터!$A$5:$A$64,0)),""))</f>
        <v/>
      </c>
      <c r="M339" s="136">
        <f>IF($F339="","",IFERROR(INDEX(사건마스터!$AJ$5:$AJ$64,MATCH($F339,사건마스터!$A$5:$A$64,0)),""))</f>
        <v/>
      </c>
      <c r="N339" s="136">
        <f>IF($F339="","",IFERROR(INDEX(사건마스터!$AK$5:$AK$64,MATCH($F339,사건마스터!$A$5:$A$64,0)),""))</f>
        <v/>
      </c>
      <c r="O339" s="136">
        <f>IF($F339="","",IFERROR(INDEX(사건마스터!$AL$5:$AL$64,MATCH($F339,사건마스터!$A$5:$A$64,0)),""))</f>
        <v/>
      </c>
      <c r="P339" s="136">
        <f>IF($F339="","",IFERROR(INDEX(사건마스터!$AM$5:$AM$64,MATCH($F339,사건마스터!$A$5:$A$64,0)),""))</f>
        <v/>
      </c>
      <c r="Q339" s="136">
        <f>IF($F339="","",IFERROR(INDEX(사건마스터!$AN$5:$AN$64,MATCH($F339,사건마스터!$A$5:$A$64,0)),""))</f>
        <v/>
      </c>
      <c r="R339" s="136">
        <f>IF($F339="","",IFERROR(INDEX(사건마스터!$AO$5:$AO$64,MATCH($F339,사건마스터!$A$5:$A$64,0)),""))</f>
        <v/>
      </c>
      <c r="S339" s="136">
        <f>IF($F339="","",IFERROR(INDEX(사건마스터!$AP$5:$AP$64,MATCH($F339,사건마스터!$A$5:$A$64,0)),""))</f>
        <v/>
      </c>
      <c r="T339" s="136">
        <f>IF($F339="","",IFERROR(INDEX(사건마스터!$AQ$5:$AQ$64,MATCH($F339,사건마스터!$A$5:$A$64,0)),""))</f>
        <v/>
      </c>
      <c r="U339" s="136">
        <f>IF($F339="","",IFERROR(INDEX(사건마스터!$AR$5:$AR$64,MATCH($F339,사건마스터!$A$5:$A$64,0)),""))</f>
        <v/>
      </c>
      <c r="V339" s="136">
        <f>IF($F339="","",IFERROR(INDEX(사건마스터!$AS$5:$AS$64,MATCH($F339,사건마스터!$A$5:$A$64,0)),""))</f>
        <v/>
      </c>
      <c r="W339" s="136">
        <f>IF($F339="","",IFERROR(INDEX(사건마스터!$AT$5:$AT$64,MATCH($F339,사건마스터!$A$5:$A$64,0)),""))</f>
        <v/>
      </c>
      <c r="X339" s="136">
        <f>IF($F339="","",IFERROR(INDEX(사건마스터!$AU$5:$AU$64,MATCH($F339,사건마스터!$A$5:$A$64,0)),""))</f>
        <v/>
      </c>
      <c r="Y339" s="136">
        <f>IF($F339="","",IFERROR(INDEX(사건마스터!$AV$5:$AV$64,MATCH($F339,사건마스터!$A$5:$A$64,0)),""))</f>
        <v/>
      </c>
      <c r="Z339" s="118">
        <f>IF(COUNTBLANK($J339:$Y339)=16,"",16-COUNTBLANK($J339:$Y339))</f>
        <v/>
      </c>
      <c r="AA339" s="33">
        <f>IF($J339="",MID($AX339,3,255),$J339&amp;$AX339)</f>
        <v/>
      </c>
      <c r="AB339" s="130">
        <f>IF($J339="","",IFERROR(INDEX(코드설정!$D$5:$D$24,MATCH($J339,코드설정!$C$5:$C$24,0)),""))</f>
        <v/>
      </c>
      <c r="AC339" s="36" t="n"/>
      <c r="AD339" s="37" t="n"/>
      <c r="AE339" s="38" t="n"/>
      <c r="AF339" s="118">
        <f>IF(OR($B339="",$C339=""),"",$C339-$B339+1)</f>
        <v/>
      </c>
      <c r="AG339" s="74" t="n"/>
      <c r="AH339" s="36" t="n"/>
      <c r="AJ339">
        <f>IF($K339="","",", "&amp;$K339)</f>
        <v/>
      </c>
      <c r="AK339">
        <f>AJ339&amp;IF($L339="","",", "&amp;$L339)</f>
        <v/>
      </c>
      <c r="AL339">
        <f>AK339&amp;IF($M339="","",", "&amp;$M339)</f>
        <v/>
      </c>
      <c r="AM339">
        <f>AL339&amp;IF($N339="","",", "&amp;$N339)</f>
        <v/>
      </c>
      <c r="AN339">
        <f>AM339&amp;IF($O339="","",", "&amp;$O339)</f>
        <v/>
      </c>
      <c r="AO339">
        <f>AN339&amp;IF($P339="","",", "&amp;$P339)</f>
        <v/>
      </c>
      <c r="AP339">
        <f>AO339&amp;IF($Q339="","",", "&amp;$Q339)</f>
        <v/>
      </c>
      <c r="AQ339">
        <f>AP339&amp;IF($R339="","",", "&amp;$R339)</f>
        <v/>
      </c>
      <c r="AR339">
        <f>AQ339&amp;IF($S339="","",", "&amp;$S339)</f>
        <v/>
      </c>
      <c r="AS339">
        <f>AR339&amp;IF($T339="","",", "&amp;$T339)</f>
        <v/>
      </c>
      <c r="AT339">
        <f>AS339&amp;IF($U339="","",", "&amp;$U339)</f>
        <v/>
      </c>
      <c r="AU339">
        <f>AT339&amp;IF($V339="","",", "&amp;$V339)</f>
        <v/>
      </c>
      <c r="AV339">
        <f>AU339&amp;IF($W339="","",", "&amp;$W339)</f>
        <v/>
      </c>
      <c r="AW339">
        <f>AV339&amp;IF($X339="","",", "&amp;$X339)</f>
        <v/>
      </c>
      <c r="AX339">
        <f>AW339&amp;IF($Y339="","",", "&amp;$Y339)</f>
        <v/>
      </c>
    </row>
    <row r="340">
      <c r="A340" s="118">
        <f>IF($B340="","",COUNT($B$5:$B340))</f>
        <v/>
      </c>
      <c r="B340" s="80" t="n"/>
      <c r="C340" s="80" t="n"/>
      <c r="D340" s="74" t="n"/>
      <c r="E340" s="74" t="n"/>
      <c r="F340" s="74" t="n"/>
      <c r="G340" s="118">
        <f>IF($F340="","",COUNTIF($F$5:$F340,$F340))</f>
        <v/>
      </c>
      <c r="H340" s="33">
        <f>IF($F340="","",IFERROR(INDEX(사건마스터!$B$5:$B$64,MATCH($F340,사건마스터!$A$5:$A$64,0)),""))</f>
        <v/>
      </c>
      <c r="I340" s="130">
        <f>IF($F340="","",IFERROR(INDEX(사건마스터!$C$5:$C$64,MATCH($F340,사건마스터!$A$5:$A$64,0)),""))</f>
        <v/>
      </c>
      <c r="J340" s="136">
        <f>IF($F340="","",IFERROR(INDEX(사건마스터!$H$5:$H$64,MATCH($F340,사건마스터!$A$5:$A$64,0)),""))</f>
        <v/>
      </c>
      <c r="K340" s="136">
        <f>IF($F340="","",IFERROR(INDEX(사건마스터!$AH$5:$AH$64,MATCH($F340,사건마스터!$A$5:$A$64,0)),""))</f>
        <v/>
      </c>
      <c r="L340" s="136">
        <f>IF($F340="","",IFERROR(INDEX(사건마스터!$AI$5:$AI$64,MATCH($F340,사건마스터!$A$5:$A$64,0)),""))</f>
        <v/>
      </c>
      <c r="M340" s="136">
        <f>IF($F340="","",IFERROR(INDEX(사건마스터!$AJ$5:$AJ$64,MATCH($F340,사건마스터!$A$5:$A$64,0)),""))</f>
        <v/>
      </c>
      <c r="N340" s="136">
        <f>IF($F340="","",IFERROR(INDEX(사건마스터!$AK$5:$AK$64,MATCH($F340,사건마스터!$A$5:$A$64,0)),""))</f>
        <v/>
      </c>
      <c r="O340" s="136">
        <f>IF($F340="","",IFERROR(INDEX(사건마스터!$AL$5:$AL$64,MATCH($F340,사건마스터!$A$5:$A$64,0)),""))</f>
        <v/>
      </c>
      <c r="P340" s="136">
        <f>IF($F340="","",IFERROR(INDEX(사건마스터!$AM$5:$AM$64,MATCH($F340,사건마스터!$A$5:$A$64,0)),""))</f>
        <v/>
      </c>
      <c r="Q340" s="136">
        <f>IF($F340="","",IFERROR(INDEX(사건마스터!$AN$5:$AN$64,MATCH($F340,사건마스터!$A$5:$A$64,0)),""))</f>
        <v/>
      </c>
      <c r="R340" s="136">
        <f>IF($F340="","",IFERROR(INDEX(사건마스터!$AO$5:$AO$64,MATCH($F340,사건마스터!$A$5:$A$64,0)),""))</f>
        <v/>
      </c>
      <c r="S340" s="136">
        <f>IF($F340="","",IFERROR(INDEX(사건마스터!$AP$5:$AP$64,MATCH($F340,사건마스터!$A$5:$A$64,0)),""))</f>
        <v/>
      </c>
      <c r="T340" s="136">
        <f>IF($F340="","",IFERROR(INDEX(사건마스터!$AQ$5:$AQ$64,MATCH($F340,사건마스터!$A$5:$A$64,0)),""))</f>
        <v/>
      </c>
      <c r="U340" s="136">
        <f>IF($F340="","",IFERROR(INDEX(사건마스터!$AR$5:$AR$64,MATCH($F340,사건마스터!$A$5:$A$64,0)),""))</f>
        <v/>
      </c>
      <c r="V340" s="136">
        <f>IF($F340="","",IFERROR(INDEX(사건마스터!$AS$5:$AS$64,MATCH($F340,사건마스터!$A$5:$A$64,0)),""))</f>
        <v/>
      </c>
      <c r="W340" s="136">
        <f>IF($F340="","",IFERROR(INDEX(사건마스터!$AT$5:$AT$64,MATCH($F340,사건마스터!$A$5:$A$64,0)),""))</f>
        <v/>
      </c>
      <c r="X340" s="136">
        <f>IF($F340="","",IFERROR(INDEX(사건마스터!$AU$5:$AU$64,MATCH($F340,사건마스터!$A$5:$A$64,0)),""))</f>
        <v/>
      </c>
      <c r="Y340" s="136">
        <f>IF($F340="","",IFERROR(INDEX(사건마스터!$AV$5:$AV$64,MATCH($F340,사건마스터!$A$5:$A$64,0)),""))</f>
        <v/>
      </c>
      <c r="Z340" s="118">
        <f>IF(COUNTBLANK($J340:$Y340)=16,"",16-COUNTBLANK($J340:$Y340))</f>
        <v/>
      </c>
      <c r="AA340" s="33">
        <f>IF($J340="",MID($AX340,3,255),$J340&amp;$AX340)</f>
        <v/>
      </c>
      <c r="AB340" s="130">
        <f>IF($J340="","",IFERROR(INDEX(코드설정!$D$5:$D$24,MATCH($J340,코드설정!$C$5:$C$24,0)),""))</f>
        <v/>
      </c>
      <c r="AC340" s="36" t="n"/>
      <c r="AD340" s="37" t="n"/>
      <c r="AE340" s="38" t="n"/>
      <c r="AF340" s="118">
        <f>IF(OR($B340="",$C340=""),"",$C340-$B340+1)</f>
        <v/>
      </c>
      <c r="AG340" s="74" t="n"/>
      <c r="AH340" s="36" t="n"/>
      <c r="AJ340">
        <f>IF($K340="","",", "&amp;$K340)</f>
        <v/>
      </c>
      <c r="AK340">
        <f>AJ340&amp;IF($L340="","",", "&amp;$L340)</f>
        <v/>
      </c>
      <c r="AL340">
        <f>AK340&amp;IF($M340="","",", "&amp;$M340)</f>
        <v/>
      </c>
      <c r="AM340">
        <f>AL340&amp;IF($N340="","",", "&amp;$N340)</f>
        <v/>
      </c>
      <c r="AN340">
        <f>AM340&amp;IF($O340="","",", "&amp;$O340)</f>
        <v/>
      </c>
      <c r="AO340">
        <f>AN340&amp;IF($P340="","",", "&amp;$P340)</f>
        <v/>
      </c>
      <c r="AP340">
        <f>AO340&amp;IF($Q340="","",", "&amp;$Q340)</f>
        <v/>
      </c>
      <c r="AQ340">
        <f>AP340&amp;IF($R340="","",", "&amp;$R340)</f>
        <v/>
      </c>
      <c r="AR340">
        <f>AQ340&amp;IF($S340="","",", "&amp;$S340)</f>
        <v/>
      </c>
      <c r="AS340">
        <f>AR340&amp;IF($T340="","",", "&amp;$T340)</f>
        <v/>
      </c>
      <c r="AT340">
        <f>AS340&amp;IF($U340="","",", "&amp;$U340)</f>
        <v/>
      </c>
      <c r="AU340">
        <f>AT340&amp;IF($V340="","",", "&amp;$V340)</f>
        <v/>
      </c>
      <c r="AV340">
        <f>AU340&amp;IF($W340="","",", "&amp;$W340)</f>
        <v/>
      </c>
      <c r="AW340">
        <f>AV340&amp;IF($X340="","",", "&amp;$X340)</f>
        <v/>
      </c>
      <c r="AX340">
        <f>AW340&amp;IF($Y340="","",", "&amp;$Y340)</f>
        <v/>
      </c>
    </row>
    <row r="341">
      <c r="A341" s="118">
        <f>IF($B341="","",COUNT($B$5:$B341))</f>
        <v/>
      </c>
      <c r="B341" s="80" t="n"/>
      <c r="C341" s="80" t="n"/>
      <c r="D341" s="74" t="n"/>
      <c r="E341" s="74" t="n"/>
      <c r="F341" s="74" t="n"/>
      <c r="G341" s="118">
        <f>IF($F341="","",COUNTIF($F$5:$F341,$F341))</f>
        <v/>
      </c>
      <c r="H341" s="33">
        <f>IF($F341="","",IFERROR(INDEX(사건마스터!$B$5:$B$64,MATCH($F341,사건마스터!$A$5:$A$64,0)),""))</f>
        <v/>
      </c>
      <c r="I341" s="130">
        <f>IF($F341="","",IFERROR(INDEX(사건마스터!$C$5:$C$64,MATCH($F341,사건마스터!$A$5:$A$64,0)),""))</f>
        <v/>
      </c>
      <c r="J341" s="136">
        <f>IF($F341="","",IFERROR(INDEX(사건마스터!$H$5:$H$64,MATCH($F341,사건마스터!$A$5:$A$64,0)),""))</f>
        <v/>
      </c>
      <c r="K341" s="136">
        <f>IF($F341="","",IFERROR(INDEX(사건마스터!$AH$5:$AH$64,MATCH($F341,사건마스터!$A$5:$A$64,0)),""))</f>
        <v/>
      </c>
      <c r="L341" s="136">
        <f>IF($F341="","",IFERROR(INDEX(사건마스터!$AI$5:$AI$64,MATCH($F341,사건마스터!$A$5:$A$64,0)),""))</f>
        <v/>
      </c>
      <c r="M341" s="136">
        <f>IF($F341="","",IFERROR(INDEX(사건마스터!$AJ$5:$AJ$64,MATCH($F341,사건마스터!$A$5:$A$64,0)),""))</f>
        <v/>
      </c>
      <c r="N341" s="136">
        <f>IF($F341="","",IFERROR(INDEX(사건마스터!$AK$5:$AK$64,MATCH($F341,사건마스터!$A$5:$A$64,0)),""))</f>
        <v/>
      </c>
      <c r="O341" s="136">
        <f>IF($F341="","",IFERROR(INDEX(사건마스터!$AL$5:$AL$64,MATCH($F341,사건마스터!$A$5:$A$64,0)),""))</f>
        <v/>
      </c>
      <c r="P341" s="136">
        <f>IF($F341="","",IFERROR(INDEX(사건마스터!$AM$5:$AM$64,MATCH($F341,사건마스터!$A$5:$A$64,0)),""))</f>
        <v/>
      </c>
      <c r="Q341" s="136">
        <f>IF($F341="","",IFERROR(INDEX(사건마스터!$AN$5:$AN$64,MATCH($F341,사건마스터!$A$5:$A$64,0)),""))</f>
        <v/>
      </c>
      <c r="R341" s="136">
        <f>IF($F341="","",IFERROR(INDEX(사건마스터!$AO$5:$AO$64,MATCH($F341,사건마스터!$A$5:$A$64,0)),""))</f>
        <v/>
      </c>
      <c r="S341" s="136">
        <f>IF($F341="","",IFERROR(INDEX(사건마스터!$AP$5:$AP$64,MATCH($F341,사건마스터!$A$5:$A$64,0)),""))</f>
        <v/>
      </c>
      <c r="T341" s="136">
        <f>IF($F341="","",IFERROR(INDEX(사건마스터!$AQ$5:$AQ$64,MATCH($F341,사건마스터!$A$5:$A$64,0)),""))</f>
        <v/>
      </c>
      <c r="U341" s="136">
        <f>IF($F341="","",IFERROR(INDEX(사건마스터!$AR$5:$AR$64,MATCH($F341,사건마스터!$A$5:$A$64,0)),""))</f>
        <v/>
      </c>
      <c r="V341" s="136">
        <f>IF($F341="","",IFERROR(INDEX(사건마스터!$AS$5:$AS$64,MATCH($F341,사건마스터!$A$5:$A$64,0)),""))</f>
        <v/>
      </c>
      <c r="W341" s="136">
        <f>IF($F341="","",IFERROR(INDEX(사건마스터!$AT$5:$AT$64,MATCH($F341,사건마스터!$A$5:$A$64,0)),""))</f>
        <v/>
      </c>
      <c r="X341" s="136">
        <f>IF($F341="","",IFERROR(INDEX(사건마스터!$AU$5:$AU$64,MATCH($F341,사건마스터!$A$5:$A$64,0)),""))</f>
        <v/>
      </c>
      <c r="Y341" s="136">
        <f>IF($F341="","",IFERROR(INDEX(사건마스터!$AV$5:$AV$64,MATCH($F341,사건마스터!$A$5:$A$64,0)),""))</f>
        <v/>
      </c>
      <c r="Z341" s="118">
        <f>IF(COUNTBLANK($J341:$Y341)=16,"",16-COUNTBLANK($J341:$Y341))</f>
        <v/>
      </c>
      <c r="AA341" s="33">
        <f>IF($J341="",MID($AX341,3,255),$J341&amp;$AX341)</f>
        <v/>
      </c>
      <c r="AB341" s="130">
        <f>IF($J341="","",IFERROR(INDEX(코드설정!$D$5:$D$24,MATCH($J341,코드설정!$C$5:$C$24,0)),""))</f>
        <v/>
      </c>
      <c r="AC341" s="36" t="n"/>
      <c r="AD341" s="37" t="n"/>
      <c r="AE341" s="38" t="n"/>
      <c r="AF341" s="118">
        <f>IF(OR($B341="",$C341=""),"",$C341-$B341+1)</f>
        <v/>
      </c>
      <c r="AG341" s="74" t="n"/>
      <c r="AH341" s="36" t="n"/>
      <c r="AJ341">
        <f>IF($K341="","",", "&amp;$K341)</f>
        <v/>
      </c>
      <c r="AK341">
        <f>AJ341&amp;IF($L341="","",", "&amp;$L341)</f>
        <v/>
      </c>
      <c r="AL341">
        <f>AK341&amp;IF($M341="","",", "&amp;$M341)</f>
        <v/>
      </c>
      <c r="AM341">
        <f>AL341&amp;IF($N341="","",", "&amp;$N341)</f>
        <v/>
      </c>
      <c r="AN341">
        <f>AM341&amp;IF($O341="","",", "&amp;$O341)</f>
        <v/>
      </c>
      <c r="AO341">
        <f>AN341&amp;IF($P341="","",", "&amp;$P341)</f>
        <v/>
      </c>
      <c r="AP341">
        <f>AO341&amp;IF($Q341="","",", "&amp;$Q341)</f>
        <v/>
      </c>
      <c r="AQ341">
        <f>AP341&amp;IF($R341="","",", "&amp;$R341)</f>
        <v/>
      </c>
      <c r="AR341">
        <f>AQ341&amp;IF($S341="","",", "&amp;$S341)</f>
        <v/>
      </c>
      <c r="AS341">
        <f>AR341&amp;IF($T341="","",", "&amp;$T341)</f>
        <v/>
      </c>
      <c r="AT341">
        <f>AS341&amp;IF($U341="","",", "&amp;$U341)</f>
        <v/>
      </c>
      <c r="AU341">
        <f>AT341&amp;IF($V341="","",", "&amp;$V341)</f>
        <v/>
      </c>
      <c r="AV341">
        <f>AU341&amp;IF($W341="","",", "&amp;$W341)</f>
        <v/>
      </c>
      <c r="AW341">
        <f>AV341&amp;IF($X341="","",", "&amp;$X341)</f>
        <v/>
      </c>
      <c r="AX341">
        <f>AW341&amp;IF($Y341="","",", "&amp;$Y341)</f>
        <v/>
      </c>
    </row>
    <row r="342">
      <c r="A342" s="118">
        <f>IF($B342="","",COUNT($B$5:$B342))</f>
        <v/>
      </c>
      <c r="B342" s="80" t="n"/>
      <c r="C342" s="80" t="n"/>
      <c r="D342" s="74" t="n"/>
      <c r="E342" s="74" t="n"/>
      <c r="F342" s="74" t="n"/>
      <c r="G342" s="118">
        <f>IF($F342="","",COUNTIF($F$5:$F342,$F342))</f>
        <v/>
      </c>
      <c r="H342" s="33">
        <f>IF($F342="","",IFERROR(INDEX(사건마스터!$B$5:$B$64,MATCH($F342,사건마스터!$A$5:$A$64,0)),""))</f>
        <v/>
      </c>
      <c r="I342" s="130">
        <f>IF($F342="","",IFERROR(INDEX(사건마스터!$C$5:$C$64,MATCH($F342,사건마스터!$A$5:$A$64,0)),""))</f>
        <v/>
      </c>
      <c r="J342" s="136">
        <f>IF($F342="","",IFERROR(INDEX(사건마스터!$H$5:$H$64,MATCH($F342,사건마스터!$A$5:$A$64,0)),""))</f>
        <v/>
      </c>
      <c r="K342" s="136">
        <f>IF($F342="","",IFERROR(INDEX(사건마스터!$AH$5:$AH$64,MATCH($F342,사건마스터!$A$5:$A$64,0)),""))</f>
        <v/>
      </c>
      <c r="L342" s="136">
        <f>IF($F342="","",IFERROR(INDEX(사건마스터!$AI$5:$AI$64,MATCH($F342,사건마스터!$A$5:$A$64,0)),""))</f>
        <v/>
      </c>
      <c r="M342" s="136">
        <f>IF($F342="","",IFERROR(INDEX(사건마스터!$AJ$5:$AJ$64,MATCH($F342,사건마스터!$A$5:$A$64,0)),""))</f>
        <v/>
      </c>
      <c r="N342" s="136">
        <f>IF($F342="","",IFERROR(INDEX(사건마스터!$AK$5:$AK$64,MATCH($F342,사건마스터!$A$5:$A$64,0)),""))</f>
        <v/>
      </c>
      <c r="O342" s="136">
        <f>IF($F342="","",IFERROR(INDEX(사건마스터!$AL$5:$AL$64,MATCH($F342,사건마스터!$A$5:$A$64,0)),""))</f>
        <v/>
      </c>
      <c r="P342" s="136">
        <f>IF($F342="","",IFERROR(INDEX(사건마스터!$AM$5:$AM$64,MATCH($F342,사건마스터!$A$5:$A$64,0)),""))</f>
        <v/>
      </c>
      <c r="Q342" s="136">
        <f>IF($F342="","",IFERROR(INDEX(사건마스터!$AN$5:$AN$64,MATCH($F342,사건마스터!$A$5:$A$64,0)),""))</f>
        <v/>
      </c>
      <c r="R342" s="136">
        <f>IF($F342="","",IFERROR(INDEX(사건마스터!$AO$5:$AO$64,MATCH($F342,사건마스터!$A$5:$A$64,0)),""))</f>
        <v/>
      </c>
      <c r="S342" s="136">
        <f>IF($F342="","",IFERROR(INDEX(사건마스터!$AP$5:$AP$64,MATCH($F342,사건마스터!$A$5:$A$64,0)),""))</f>
        <v/>
      </c>
      <c r="T342" s="136">
        <f>IF($F342="","",IFERROR(INDEX(사건마스터!$AQ$5:$AQ$64,MATCH($F342,사건마스터!$A$5:$A$64,0)),""))</f>
        <v/>
      </c>
      <c r="U342" s="136">
        <f>IF($F342="","",IFERROR(INDEX(사건마스터!$AR$5:$AR$64,MATCH($F342,사건마스터!$A$5:$A$64,0)),""))</f>
        <v/>
      </c>
      <c r="V342" s="136">
        <f>IF($F342="","",IFERROR(INDEX(사건마스터!$AS$5:$AS$64,MATCH($F342,사건마스터!$A$5:$A$64,0)),""))</f>
        <v/>
      </c>
      <c r="W342" s="136">
        <f>IF($F342="","",IFERROR(INDEX(사건마스터!$AT$5:$AT$64,MATCH($F342,사건마스터!$A$5:$A$64,0)),""))</f>
        <v/>
      </c>
      <c r="X342" s="136">
        <f>IF($F342="","",IFERROR(INDEX(사건마스터!$AU$5:$AU$64,MATCH($F342,사건마스터!$A$5:$A$64,0)),""))</f>
        <v/>
      </c>
      <c r="Y342" s="136">
        <f>IF($F342="","",IFERROR(INDEX(사건마스터!$AV$5:$AV$64,MATCH($F342,사건마스터!$A$5:$A$64,0)),""))</f>
        <v/>
      </c>
      <c r="Z342" s="118">
        <f>IF(COUNTBLANK($J342:$Y342)=16,"",16-COUNTBLANK($J342:$Y342))</f>
        <v/>
      </c>
      <c r="AA342" s="33">
        <f>IF($J342="",MID($AX342,3,255),$J342&amp;$AX342)</f>
        <v/>
      </c>
      <c r="AB342" s="130">
        <f>IF($J342="","",IFERROR(INDEX(코드설정!$D$5:$D$24,MATCH($J342,코드설정!$C$5:$C$24,0)),""))</f>
        <v/>
      </c>
      <c r="AC342" s="36" t="n"/>
      <c r="AD342" s="37" t="n"/>
      <c r="AE342" s="38" t="n"/>
      <c r="AF342" s="118">
        <f>IF(OR($B342="",$C342=""),"",$C342-$B342+1)</f>
        <v/>
      </c>
      <c r="AG342" s="74" t="n"/>
      <c r="AH342" s="36" t="n"/>
      <c r="AJ342">
        <f>IF($K342="","",", "&amp;$K342)</f>
        <v/>
      </c>
      <c r="AK342">
        <f>AJ342&amp;IF($L342="","",", "&amp;$L342)</f>
        <v/>
      </c>
      <c r="AL342">
        <f>AK342&amp;IF($M342="","",", "&amp;$M342)</f>
        <v/>
      </c>
      <c r="AM342">
        <f>AL342&amp;IF($N342="","",", "&amp;$N342)</f>
        <v/>
      </c>
      <c r="AN342">
        <f>AM342&amp;IF($O342="","",", "&amp;$O342)</f>
        <v/>
      </c>
      <c r="AO342">
        <f>AN342&amp;IF($P342="","",", "&amp;$P342)</f>
        <v/>
      </c>
      <c r="AP342">
        <f>AO342&amp;IF($Q342="","",", "&amp;$Q342)</f>
        <v/>
      </c>
      <c r="AQ342">
        <f>AP342&amp;IF($R342="","",", "&amp;$R342)</f>
        <v/>
      </c>
      <c r="AR342">
        <f>AQ342&amp;IF($S342="","",", "&amp;$S342)</f>
        <v/>
      </c>
      <c r="AS342">
        <f>AR342&amp;IF($T342="","",", "&amp;$T342)</f>
        <v/>
      </c>
      <c r="AT342">
        <f>AS342&amp;IF($U342="","",", "&amp;$U342)</f>
        <v/>
      </c>
      <c r="AU342">
        <f>AT342&amp;IF($V342="","",", "&amp;$V342)</f>
        <v/>
      </c>
      <c r="AV342">
        <f>AU342&amp;IF($W342="","",", "&amp;$W342)</f>
        <v/>
      </c>
      <c r="AW342">
        <f>AV342&amp;IF($X342="","",", "&amp;$X342)</f>
        <v/>
      </c>
      <c r="AX342">
        <f>AW342&amp;IF($Y342="","",", "&amp;$Y342)</f>
        <v/>
      </c>
    </row>
    <row r="343">
      <c r="A343" s="118">
        <f>IF($B343="","",COUNT($B$5:$B343))</f>
        <v/>
      </c>
      <c r="B343" s="80" t="n"/>
      <c r="C343" s="80" t="n"/>
      <c r="D343" s="74" t="n"/>
      <c r="E343" s="74" t="n"/>
      <c r="F343" s="74" t="n"/>
      <c r="G343" s="118">
        <f>IF($F343="","",COUNTIF($F$5:$F343,$F343))</f>
        <v/>
      </c>
      <c r="H343" s="33">
        <f>IF($F343="","",IFERROR(INDEX(사건마스터!$B$5:$B$64,MATCH($F343,사건마스터!$A$5:$A$64,0)),""))</f>
        <v/>
      </c>
      <c r="I343" s="130">
        <f>IF($F343="","",IFERROR(INDEX(사건마스터!$C$5:$C$64,MATCH($F343,사건마스터!$A$5:$A$64,0)),""))</f>
        <v/>
      </c>
      <c r="J343" s="136">
        <f>IF($F343="","",IFERROR(INDEX(사건마스터!$H$5:$H$64,MATCH($F343,사건마스터!$A$5:$A$64,0)),""))</f>
        <v/>
      </c>
      <c r="K343" s="136">
        <f>IF($F343="","",IFERROR(INDEX(사건마스터!$AH$5:$AH$64,MATCH($F343,사건마스터!$A$5:$A$64,0)),""))</f>
        <v/>
      </c>
      <c r="L343" s="136">
        <f>IF($F343="","",IFERROR(INDEX(사건마스터!$AI$5:$AI$64,MATCH($F343,사건마스터!$A$5:$A$64,0)),""))</f>
        <v/>
      </c>
      <c r="M343" s="136">
        <f>IF($F343="","",IFERROR(INDEX(사건마스터!$AJ$5:$AJ$64,MATCH($F343,사건마스터!$A$5:$A$64,0)),""))</f>
        <v/>
      </c>
      <c r="N343" s="136">
        <f>IF($F343="","",IFERROR(INDEX(사건마스터!$AK$5:$AK$64,MATCH($F343,사건마스터!$A$5:$A$64,0)),""))</f>
        <v/>
      </c>
      <c r="O343" s="136">
        <f>IF($F343="","",IFERROR(INDEX(사건마스터!$AL$5:$AL$64,MATCH($F343,사건마스터!$A$5:$A$64,0)),""))</f>
        <v/>
      </c>
      <c r="P343" s="136">
        <f>IF($F343="","",IFERROR(INDEX(사건마스터!$AM$5:$AM$64,MATCH($F343,사건마스터!$A$5:$A$64,0)),""))</f>
        <v/>
      </c>
      <c r="Q343" s="136">
        <f>IF($F343="","",IFERROR(INDEX(사건마스터!$AN$5:$AN$64,MATCH($F343,사건마스터!$A$5:$A$64,0)),""))</f>
        <v/>
      </c>
      <c r="R343" s="136">
        <f>IF($F343="","",IFERROR(INDEX(사건마스터!$AO$5:$AO$64,MATCH($F343,사건마스터!$A$5:$A$64,0)),""))</f>
        <v/>
      </c>
      <c r="S343" s="136">
        <f>IF($F343="","",IFERROR(INDEX(사건마스터!$AP$5:$AP$64,MATCH($F343,사건마스터!$A$5:$A$64,0)),""))</f>
        <v/>
      </c>
      <c r="T343" s="136">
        <f>IF($F343="","",IFERROR(INDEX(사건마스터!$AQ$5:$AQ$64,MATCH($F343,사건마스터!$A$5:$A$64,0)),""))</f>
        <v/>
      </c>
      <c r="U343" s="136">
        <f>IF($F343="","",IFERROR(INDEX(사건마스터!$AR$5:$AR$64,MATCH($F343,사건마스터!$A$5:$A$64,0)),""))</f>
        <v/>
      </c>
      <c r="V343" s="136">
        <f>IF($F343="","",IFERROR(INDEX(사건마스터!$AS$5:$AS$64,MATCH($F343,사건마스터!$A$5:$A$64,0)),""))</f>
        <v/>
      </c>
      <c r="W343" s="136">
        <f>IF($F343="","",IFERROR(INDEX(사건마스터!$AT$5:$AT$64,MATCH($F343,사건마스터!$A$5:$A$64,0)),""))</f>
        <v/>
      </c>
      <c r="X343" s="136">
        <f>IF($F343="","",IFERROR(INDEX(사건마스터!$AU$5:$AU$64,MATCH($F343,사건마스터!$A$5:$A$64,0)),""))</f>
        <v/>
      </c>
      <c r="Y343" s="136">
        <f>IF($F343="","",IFERROR(INDEX(사건마스터!$AV$5:$AV$64,MATCH($F343,사건마스터!$A$5:$A$64,0)),""))</f>
        <v/>
      </c>
      <c r="Z343" s="118">
        <f>IF(COUNTBLANK($J343:$Y343)=16,"",16-COUNTBLANK($J343:$Y343))</f>
        <v/>
      </c>
      <c r="AA343" s="33">
        <f>IF($J343="",MID($AX343,3,255),$J343&amp;$AX343)</f>
        <v/>
      </c>
      <c r="AB343" s="130">
        <f>IF($J343="","",IFERROR(INDEX(코드설정!$D$5:$D$24,MATCH($J343,코드설정!$C$5:$C$24,0)),""))</f>
        <v/>
      </c>
      <c r="AC343" s="36" t="n"/>
      <c r="AD343" s="37" t="n"/>
      <c r="AE343" s="38" t="n"/>
      <c r="AF343" s="118">
        <f>IF(OR($B343="",$C343=""),"",$C343-$B343+1)</f>
        <v/>
      </c>
      <c r="AG343" s="74" t="n"/>
      <c r="AH343" s="36" t="n"/>
      <c r="AJ343">
        <f>IF($K343="","",", "&amp;$K343)</f>
        <v/>
      </c>
      <c r="AK343">
        <f>AJ343&amp;IF($L343="","",", "&amp;$L343)</f>
        <v/>
      </c>
      <c r="AL343">
        <f>AK343&amp;IF($M343="","",", "&amp;$M343)</f>
        <v/>
      </c>
      <c r="AM343">
        <f>AL343&amp;IF($N343="","",", "&amp;$N343)</f>
        <v/>
      </c>
      <c r="AN343">
        <f>AM343&amp;IF($O343="","",", "&amp;$O343)</f>
        <v/>
      </c>
      <c r="AO343">
        <f>AN343&amp;IF($P343="","",", "&amp;$P343)</f>
        <v/>
      </c>
      <c r="AP343">
        <f>AO343&amp;IF($Q343="","",", "&amp;$Q343)</f>
        <v/>
      </c>
      <c r="AQ343">
        <f>AP343&amp;IF($R343="","",", "&amp;$R343)</f>
        <v/>
      </c>
      <c r="AR343">
        <f>AQ343&amp;IF($S343="","",", "&amp;$S343)</f>
        <v/>
      </c>
      <c r="AS343">
        <f>AR343&amp;IF($T343="","",", "&amp;$T343)</f>
        <v/>
      </c>
      <c r="AT343">
        <f>AS343&amp;IF($U343="","",", "&amp;$U343)</f>
        <v/>
      </c>
      <c r="AU343">
        <f>AT343&amp;IF($V343="","",", "&amp;$V343)</f>
        <v/>
      </c>
      <c r="AV343">
        <f>AU343&amp;IF($W343="","",", "&amp;$W343)</f>
        <v/>
      </c>
      <c r="AW343">
        <f>AV343&amp;IF($X343="","",", "&amp;$X343)</f>
        <v/>
      </c>
      <c r="AX343">
        <f>AW343&amp;IF($Y343="","",", "&amp;$Y343)</f>
        <v/>
      </c>
    </row>
    <row r="344">
      <c r="A344" s="118">
        <f>IF($B344="","",COUNT($B$5:$B344))</f>
        <v/>
      </c>
      <c r="B344" s="80" t="n"/>
      <c r="C344" s="80" t="n"/>
      <c r="D344" s="74" t="n"/>
      <c r="E344" s="74" t="n"/>
      <c r="F344" s="74" t="n"/>
      <c r="G344" s="118">
        <f>IF($F344="","",COUNTIF($F$5:$F344,$F344))</f>
        <v/>
      </c>
      <c r="H344" s="33">
        <f>IF($F344="","",IFERROR(INDEX(사건마스터!$B$5:$B$64,MATCH($F344,사건마스터!$A$5:$A$64,0)),""))</f>
        <v/>
      </c>
      <c r="I344" s="130">
        <f>IF($F344="","",IFERROR(INDEX(사건마스터!$C$5:$C$64,MATCH($F344,사건마스터!$A$5:$A$64,0)),""))</f>
        <v/>
      </c>
      <c r="J344" s="136">
        <f>IF($F344="","",IFERROR(INDEX(사건마스터!$H$5:$H$64,MATCH($F344,사건마스터!$A$5:$A$64,0)),""))</f>
        <v/>
      </c>
      <c r="K344" s="136">
        <f>IF($F344="","",IFERROR(INDEX(사건마스터!$AH$5:$AH$64,MATCH($F344,사건마스터!$A$5:$A$64,0)),""))</f>
        <v/>
      </c>
      <c r="L344" s="136">
        <f>IF($F344="","",IFERROR(INDEX(사건마스터!$AI$5:$AI$64,MATCH($F344,사건마스터!$A$5:$A$64,0)),""))</f>
        <v/>
      </c>
      <c r="M344" s="136">
        <f>IF($F344="","",IFERROR(INDEX(사건마스터!$AJ$5:$AJ$64,MATCH($F344,사건마스터!$A$5:$A$64,0)),""))</f>
        <v/>
      </c>
      <c r="N344" s="136">
        <f>IF($F344="","",IFERROR(INDEX(사건마스터!$AK$5:$AK$64,MATCH($F344,사건마스터!$A$5:$A$64,0)),""))</f>
        <v/>
      </c>
      <c r="O344" s="136">
        <f>IF($F344="","",IFERROR(INDEX(사건마스터!$AL$5:$AL$64,MATCH($F344,사건마스터!$A$5:$A$64,0)),""))</f>
        <v/>
      </c>
      <c r="P344" s="136">
        <f>IF($F344="","",IFERROR(INDEX(사건마스터!$AM$5:$AM$64,MATCH($F344,사건마스터!$A$5:$A$64,0)),""))</f>
        <v/>
      </c>
      <c r="Q344" s="136">
        <f>IF($F344="","",IFERROR(INDEX(사건마스터!$AN$5:$AN$64,MATCH($F344,사건마스터!$A$5:$A$64,0)),""))</f>
        <v/>
      </c>
      <c r="R344" s="136">
        <f>IF($F344="","",IFERROR(INDEX(사건마스터!$AO$5:$AO$64,MATCH($F344,사건마스터!$A$5:$A$64,0)),""))</f>
        <v/>
      </c>
      <c r="S344" s="136">
        <f>IF($F344="","",IFERROR(INDEX(사건마스터!$AP$5:$AP$64,MATCH($F344,사건마스터!$A$5:$A$64,0)),""))</f>
        <v/>
      </c>
      <c r="T344" s="136">
        <f>IF($F344="","",IFERROR(INDEX(사건마스터!$AQ$5:$AQ$64,MATCH($F344,사건마스터!$A$5:$A$64,0)),""))</f>
        <v/>
      </c>
      <c r="U344" s="136">
        <f>IF($F344="","",IFERROR(INDEX(사건마스터!$AR$5:$AR$64,MATCH($F344,사건마스터!$A$5:$A$64,0)),""))</f>
        <v/>
      </c>
      <c r="V344" s="136">
        <f>IF($F344="","",IFERROR(INDEX(사건마스터!$AS$5:$AS$64,MATCH($F344,사건마스터!$A$5:$A$64,0)),""))</f>
        <v/>
      </c>
      <c r="W344" s="136">
        <f>IF($F344="","",IFERROR(INDEX(사건마스터!$AT$5:$AT$64,MATCH($F344,사건마스터!$A$5:$A$64,0)),""))</f>
        <v/>
      </c>
      <c r="X344" s="136">
        <f>IF($F344="","",IFERROR(INDEX(사건마스터!$AU$5:$AU$64,MATCH($F344,사건마스터!$A$5:$A$64,0)),""))</f>
        <v/>
      </c>
      <c r="Y344" s="136">
        <f>IF($F344="","",IFERROR(INDEX(사건마스터!$AV$5:$AV$64,MATCH($F344,사건마스터!$A$5:$A$64,0)),""))</f>
        <v/>
      </c>
      <c r="Z344" s="118">
        <f>IF(COUNTBLANK($J344:$Y344)=16,"",16-COUNTBLANK($J344:$Y344))</f>
        <v/>
      </c>
      <c r="AA344" s="33">
        <f>IF($J344="",MID($AX344,3,255),$J344&amp;$AX344)</f>
        <v/>
      </c>
      <c r="AB344" s="130">
        <f>IF($J344="","",IFERROR(INDEX(코드설정!$D$5:$D$24,MATCH($J344,코드설정!$C$5:$C$24,0)),""))</f>
        <v/>
      </c>
      <c r="AC344" s="36" t="n"/>
      <c r="AD344" s="37" t="n"/>
      <c r="AE344" s="38" t="n"/>
      <c r="AF344" s="118">
        <f>IF(OR($B344="",$C344=""),"",$C344-$B344+1)</f>
        <v/>
      </c>
      <c r="AG344" s="74" t="n"/>
      <c r="AH344" s="36" t="n"/>
      <c r="AJ344">
        <f>IF($K344="","",", "&amp;$K344)</f>
        <v/>
      </c>
      <c r="AK344">
        <f>AJ344&amp;IF($L344="","",", "&amp;$L344)</f>
        <v/>
      </c>
      <c r="AL344">
        <f>AK344&amp;IF($M344="","",", "&amp;$M344)</f>
        <v/>
      </c>
      <c r="AM344">
        <f>AL344&amp;IF($N344="","",", "&amp;$N344)</f>
        <v/>
      </c>
      <c r="AN344">
        <f>AM344&amp;IF($O344="","",", "&amp;$O344)</f>
        <v/>
      </c>
      <c r="AO344">
        <f>AN344&amp;IF($P344="","",", "&amp;$P344)</f>
        <v/>
      </c>
      <c r="AP344">
        <f>AO344&amp;IF($Q344="","",", "&amp;$Q344)</f>
        <v/>
      </c>
      <c r="AQ344">
        <f>AP344&amp;IF($R344="","",", "&amp;$R344)</f>
        <v/>
      </c>
      <c r="AR344">
        <f>AQ344&amp;IF($S344="","",", "&amp;$S344)</f>
        <v/>
      </c>
      <c r="AS344">
        <f>AR344&amp;IF($T344="","",", "&amp;$T344)</f>
        <v/>
      </c>
      <c r="AT344">
        <f>AS344&amp;IF($U344="","",", "&amp;$U344)</f>
        <v/>
      </c>
      <c r="AU344">
        <f>AT344&amp;IF($V344="","",", "&amp;$V344)</f>
        <v/>
      </c>
      <c r="AV344">
        <f>AU344&amp;IF($W344="","",", "&amp;$W344)</f>
        <v/>
      </c>
      <c r="AW344">
        <f>AV344&amp;IF($X344="","",", "&amp;$X344)</f>
        <v/>
      </c>
      <c r="AX344">
        <f>AW344&amp;IF($Y344="","",", "&amp;$Y344)</f>
        <v/>
      </c>
    </row>
    <row r="345">
      <c r="A345" s="118">
        <f>IF($B345="","",COUNT($B$5:$B345))</f>
        <v/>
      </c>
      <c r="B345" s="80" t="n"/>
      <c r="C345" s="80" t="n"/>
      <c r="D345" s="74" t="n"/>
      <c r="E345" s="74" t="n"/>
      <c r="F345" s="74" t="n"/>
      <c r="G345" s="118">
        <f>IF($F345="","",COUNTIF($F$5:$F345,$F345))</f>
        <v/>
      </c>
      <c r="H345" s="33">
        <f>IF($F345="","",IFERROR(INDEX(사건마스터!$B$5:$B$64,MATCH($F345,사건마스터!$A$5:$A$64,0)),""))</f>
        <v/>
      </c>
      <c r="I345" s="130">
        <f>IF($F345="","",IFERROR(INDEX(사건마스터!$C$5:$C$64,MATCH($F345,사건마스터!$A$5:$A$64,0)),""))</f>
        <v/>
      </c>
      <c r="J345" s="136">
        <f>IF($F345="","",IFERROR(INDEX(사건마스터!$H$5:$H$64,MATCH($F345,사건마스터!$A$5:$A$64,0)),""))</f>
        <v/>
      </c>
      <c r="K345" s="136">
        <f>IF($F345="","",IFERROR(INDEX(사건마스터!$AH$5:$AH$64,MATCH($F345,사건마스터!$A$5:$A$64,0)),""))</f>
        <v/>
      </c>
      <c r="L345" s="136">
        <f>IF($F345="","",IFERROR(INDEX(사건마스터!$AI$5:$AI$64,MATCH($F345,사건마스터!$A$5:$A$64,0)),""))</f>
        <v/>
      </c>
      <c r="M345" s="136">
        <f>IF($F345="","",IFERROR(INDEX(사건마스터!$AJ$5:$AJ$64,MATCH($F345,사건마스터!$A$5:$A$64,0)),""))</f>
        <v/>
      </c>
      <c r="N345" s="136">
        <f>IF($F345="","",IFERROR(INDEX(사건마스터!$AK$5:$AK$64,MATCH($F345,사건마스터!$A$5:$A$64,0)),""))</f>
        <v/>
      </c>
      <c r="O345" s="136">
        <f>IF($F345="","",IFERROR(INDEX(사건마스터!$AL$5:$AL$64,MATCH($F345,사건마스터!$A$5:$A$64,0)),""))</f>
        <v/>
      </c>
      <c r="P345" s="136">
        <f>IF($F345="","",IFERROR(INDEX(사건마스터!$AM$5:$AM$64,MATCH($F345,사건마스터!$A$5:$A$64,0)),""))</f>
        <v/>
      </c>
      <c r="Q345" s="136">
        <f>IF($F345="","",IFERROR(INDEX(사건마스터!$AN$5:$AN$64,MATCH($F345,사건마스터!$A$5:$A$64,0)),""))</f>
        <v/>
      </c>
      <c r="R345" s="136">
        <f>IF($F345="","",IFERROR(INDEX(사건마스터!$AO$5:$AO$64,MATCH($F345,사건마스터!$A$5:$A$64,0)),""))</f>
        <v/>
      </c>
      <c r="S345" s="136">
        <f>IF($F345="","",IFERROR(INDEX(사건마스터!$AP$5:$AP$64,MATCH($F345,사건마스터!$A$5:$A$64,0)),""))</f>
        <v/>
      </c>
      <c r="T345" s="136">
        <f>IF($F345="","",IFERROR(INDEX(사건마스터!$AQ$5:$AQ$64,MATCH($F345,사건마스터!$A$5:$A$64,0)),""))</f>
        <v/>
      </c>
      <c r="U345" s="136">
        <f>IF($F345="","",IFERROR(INDEX(사건마스터!$AR$5:$AR$64,MATCH($F345,사건마스터!$A$5:$A$64,0)),""))</f>
        <v/>
      </c>
      <c r="V345" s="136">
        <f>IF($F345="","",IFERROR(INDEX(사건마스터!$AS$5:$AS$64,MATCH($F345,사건마스터!$A$5:$A$64,0)),""))</f>
        <v/>
      </c>
      <c r="W345" s="136">
        <f>IF($F345="","",IFERROR(INDEX(사건마스터!$AT$5:$AT$64,MATCH($F345,사건마스터!$A$5:$A$64,0)),""))</f>
        <v/>
      </c>
      <c r="X345" s="136">
        <f>IF($F345="","",IFERROR(INDEX(사건마스터!$AU$5:$AU$64,MATCH($F345,사건마스터!$A$5:$A$64,0)),""))</f>
        <v/>
      </c>
      <c r="Y345" s="136">
        <f>IF($F345="","",IFERROR(INDEX(사건마스터!$AV$5:$AV$64,MATCH($F345,사건마스터!$A$5:$A$64,0)),""))</f>
        <v/>
      </c>
      <c r="Z345" s="118">
        <f>IF(COUNTBLANK($J345:$Y345)=16,"",16-COUNTBLANK($J345:$Y345))</f>
        <v/>
      </c>
      <c r="AA345" s="33">
        <f>IF($J345="",MID($AX345,3,255),$J345&amp;$AX345)</f>
        <v/>
      </c>
      <c r="AB345" s="130">
        <f>IF($J345="","",IFERROR(INDEX(코드설정!$D$5:$D$24,MATCH($J345,코드설정!$C$5:$C$24,0)),""))</f>
        <v/>
      </c>
      <c r="AC345" s="36" t="n"/>
      <c r="AD345" s="37" t="n"/>
      <c r="AE345" s="38" t="n"/>
      <c r="AF345" s="118">
        <f>IF(OR($B345="",$C345=""),"",$C345-$B345+1)</f>
        <v/>
      </c>
      <c r="AG345" s="74" t="n"/>
      <c r="AH345" s="36" t="n"/>
      <c r="AJ345">
        <f>IF($K345="","",", "&amp;$K345)</f>
        <v/>
      </c>
      <c r="AK345">
        <f>AJ345&amp;IF($L345="","",", "&amp;$L345)</f>
        <v/>
      </c>
      <c r="AL345">
        <f>AK345&amp;IF($M345="","",", "&amp;$M345)</f>
        <v/>
      </c>
      <c r="AM345">
        <f>AL345&amp;IF($N345="","",", "&amp;$N345)</f>
        <v/>
      </c>
      <c r="AN345">
        <f>AM345&amp;IF($O345="","",", "&amp;$O345)</f>
        <v/>
      </c>
      <c r="AO345">
        <f>AN345&amp;IF($P345="","",", "&amp;$P345)</f>
        <v/>
      </c>
      <c r="AP345">
        <f>AO345&amp;IF($Q345="","",", "&amp;$Q345)</f>
        <v/>
      </c>
      <c r="AQ345">
        <f>AP345&amp;IF($R345="","",", "&amp;$R345)</f>
        <v/>
      </c>
      <c r="AR345">
        <f>AQ345&amp;IF($S345="","",", "&amp;$S345)</f>
        <v/>
      </c>
      <c r="AS345">
        <f>AR345&amp;IF($T345="","",", "&amp;$T345)</f>
        <v/>
      </c>
      <c r="AT345">
        <f>AS345&amp;IF($U345="","",", "&amp;$U345)</f>
        <v/>
      </c>
      <c r="AU345">
        <f>AT345&amp;IF($V345="","",", "&amp;$V345)</f>
        <v/>
      </c>
      <c r="AV345">
        <f>AU345&amp;IF($W345="","",", "&amp;$W345)</f>
        <v/>
      </c>
      <c r="AW345">
        <f>AV345&amp;IF($X345="","",", "&amp;$X345)</f>
        <v/>
      </c>
      <c r="AX345">
        <f>AW345&amp;IF($Y345="","",", "&amp;$Y345)</f>
        <v/>
      </c>
    </row>
    <row r="346">
      <c r="A346" s="118">
        <f>IF($B346="","",COUNT($B$5:$B346))</f>
        <v/>
      </c>
      <c r="B346" s="80" t="n"/>
      <c r="C346" s="80" t="n"/>
      <c r="D346" s="74" t="n"/>
      <c r="E346" s="74" t="n"/>
      <c r="F346" s="74" t="n"/>
      <c r="G346" s="118">
        <f>IF($F346="","",COUNTIF($F$5:$F346,$F346))</f>
        <v/>
      </c>
      <c r="H346" s="33">
        <f>IF($F346="","",IFERROR(INDEX(사건마스터!$B$5:$B$64,MATCH($F346,사건마스터!$A$5:$A$64,0)),""))</f>
        <v/>
      </c>
      <c r="I346" s="130">
        <f>IF($F346="","",IFERROR(INDEX(사건마스터!$C$5:$C$64,MATCH($F346,사건마스터!$A$5:$A$64,0)),""))</f>
        <v/>
      </c>
      <c r="J346" s="136">
        <f>IF($F346="","",IFERROR(INDEX(사건마스터!$H$5:$H$64,MATCH($F346,사건마스터!$A$5:$A$64,0)),""))</f>
        <v/>
      </c>
      <c r="K346" s="136">
        <f>IF($F346="","",IFERROR(INDEX(사건마스터!$AH$5:$AH$64,MATCH($F346,사건마스터!$A$5:$A$64,0)),""))</f>
        <v/>
      </c>
      <c r="L346" s="136">
        <f>IF($F346="","",IFERROR(INDEX(사건마스터!$AI$5:$AI$64,MATCH($F346,사건마스터!$A$5:$A$64,0)),""))</f>
        <v/>
      </c>
      <c r="M346" s="136">
        <f>IF($F346="","",IFERROR(INDEX(사건마스터!$AJ$5:$AJ$64,MATCH($F346,사건마스터!$A$5:$A$64,0)),""))</f>
        <v/>
      </c>
      <c r="N346" s="136">
        <f>IF($F346="","",IFERROR(INDEX(사건마스터!$AK$5:$AK$64,MATCH($F346,사건마스터!$A$5:$A$64,0)),""))</f>
        <v/>
      </c>
      <c r="O346" s="136">
        <f>IF($F346="","",IFERROR(INDEX(사건마스터!$AL$5:$AL$64,MATCH($F346,사건마스터!$A$5:$A$64,0)),""))</f>
        <v/>
      </c>
      <c r="P346" s="136">
        <f>IF($F346="","",IFERROR(INDEX(사건마스터!$AM$5:$AM$64,MATCH($F346,사건마스터!$A$5:$A$64,0)),""))</f>
        <v/>
      </c>
      <c r="Q346" s="136">
        <f>IF($F346="","",IFERROR(INDEX(사건마스터!$AN$5:$AN$64,MATCH($F346,사건마스터!$A$5:$A$64,0)),""))</f>
        <v/>
      </c>
      <c r="R346" s="136">
        <f>IF($F346="","",IFERROR(INDEX(사건마스터!$AO$5:$AO$64,MATCH($F346,사건마스터!$A$5:$A$64,0)),""))</f>
        <v/>
      </c>
      <c r="S346" s="136">
        <f>IF($F346="","",IFERROR(INDEX(사건마스터!$AP$5:$AP$64,MATCH($F346,사건마스터!$A$5:$A$64,0)),""))</f>
        <v/>
      </c>
      <c r="T346" s="136">
        <f>IF($F346="","",IFERROR(INDEX(사건마스터!$AQ$5:$AQ$64,MATCH($F346,사건마스터!$A$5:$A$64,0)),""))</f>
        <v/>
      </c>
      <c r="U346" s="136">
        <f>IF($F346="","",IFERROR(INDEX(사건마스터!$AR$5:$AR$64,MATCH($F346,사건마스터!$A$5:$A$64,0)),""))</f>
        <v/>
      </c>
      <c r="V346" s="136">
        <f>IF($F346="","",IFERROR(INDEX(사건마스터!$AS$5:$AS$64,MATCH($F346,사건마스터!$A$5:$A$64,0)),""))</f>
        <v/>
      </c>
      <c r="W346" s="136">
        <f>IF($F346="","",IFERROR(INDEX(사건마스터!$AT$5:$AT$64,MATCH($F346,사건마스터!$A$5:$A$64,0)),""))</f>
        <v/>
      </c>
      <c r="X346" s="136">
        <f>IF($F346="","",IFERROR(INDEX(사건마스터!$AU$5:$AU$64,MATCH($F346,사건마스터!$A$5:$A$64,0)),""))</f>
        <v/>
      </c>
      <c r="Y346" s="136">
        <f>IF($F346="","",IFERROR(INDEX(사건마스터!$AV$5:$AV$64,MATCH($F346,사건마스터!$A$5:$A$64,0)),""))</f>
        <v/>
      </c>
      <c r="Z346" s="118">
        <f>IF(COUNTBLANK($J346:$Y346)=16,"",16-COUNTBLANK($J346:$Y346))</f>
        <v/>
      </c>
      <c r="AA346" s="33">
        <f>IF($J346="",MID($AX346,3,255),$J346&amp;$AX346)</f>
        <v/>
      </c>
      <c r="AB346" s="130">
        <f>IF($J346="","",IFERROR(INDEX(코드설정!$D$5:$D$24,MATCH($J346,코드설정!$C$5:$C$24,0)),""))</f>
        <v/>
      </c>
      <c r="AC346" s="36" t="n"/>
      <c r="AD346" s="37" t="n"/>
      <c r="AE346" s="38" t="n"/>
      <c r="AF346" s="118">
        <f>IF(OR($B346="",$C346=""),"",$C346-$B346+1)</f>
        <v/>
      </c>
      <c r="AG346" s="74" t="n"/>
      <c r="AH346" s="36" t="n"/>
      <c r="AJ346">
        <f>IF($K346="","",", "&amp;$K346)</f>
        <v/>
      </c>
      <c r="AK346">
        <f>AJ346&amp;IF($L346="","",", "&amp;$L346)</f>
        <v/>
      </c>
      <c r="AL346">
        <f>AK346&amp;IF($M346="","",", "&amp;$M346)</f>
        <v/>
      </c>
      <c r="AM346">
        <f>AL346&amp;IF($N346="","",", "&amp;$N346)</f>
        <v/>
      </c>
      <c r="AN346">
        <f>AM346&amp;IF($O346="","",", "&amp;$O346)</f>
        <v/>
      </c>
      <c r="AO346">
        <f>AN346&amp;IF($P346="","",", "&amp;$P346)</f>
        <v/>
      </c>
      <c r="AP346">
        <f>AO346&amp;IF($Q346="","",", "&amp;$Q346)</f>
        <v/>
      </c>
      <c r="AQ346">
        <f>AP346&amp;IF($R346="","",", "&amp;$R346)</f>
        <v/>
      </c>
      <c r="AR346">
        <f>AQ346&amp;IF($S346="","",", "&amp;$S346)</f>
        <v/>
      </c>
      <c r="AS346">
        <f>AR346&amp;IF($T346="","",", "&amp;$T346)</f>
        <v/>
      </c>
      <c r="AT346">
        <f>AS346&amp;IF($U346="","",", "&amp;$U346)</f>
        <v/>
      </c>
      <c r="AU346">
        <f>AT346&amp;IF($V346="","",", "&amp;$V346)</f>
        <v/>
      </c>
      <c r="AV346">
        <f>AU346&amp;IF($W346="","",", "&amp;$W346)</f>
        <v/>
      </c>
      <c r="AW346">
        <f>AV346&amp;IF($X346="","",", "&amp;$X346)</f>
        <v/>
      </c>
      <c r="AX346">
        <f>AW346&amp;IF($Y346="","",", "&amp;$Y346)</f>
        <v/>
      </c>
    </row>
    <row r="347">
      <c r="A347" s="118">
        <f>IF($B347="","",COUNT($B$5:$B347))</f>
        <v/>
      </c>
      <c r="B347" s="80" t="n"/>
      <c r="C347" s="80" t="n"/>
      <c r="D347" s="74" t="n"/>
      <c r="E347" s="74" t="n"/>
      <c r="F347" s="74" t="n"/>
      <c r="G347" s="118">
        <f>IF($F347="","",COUNTIF($F$5:$F347,$F347))</f>
        <v/>
      </c>
      <c r="H347" s="33">
        <f>IF($F347="","",IFERROR(INDEX(사건마스터!$B$5:$B$64,MATCH($F347,사건마스터!$A$5:$A$64,0)),""))</f>
        <v/>
      </c>
      <c r="I347" s="130">
        <f>IF($F347="","",IFERROR(INDEX(사건마스터!$C$5:$C$64,MATCH($F347,사건마스터!$A$5:$A$64,0)),""))</f>
        <v/>
      </c>
      <c r="J347" s="136">
        <f>IF($F347="","",IFERROR(INDEX(사건마스터!$H$5:$H$64,MATCH($F347,사건마스터!$A$5:$A$64,0)),""))</f>
        <v/>
      </c>
      <c r="K347" s="136">
        <f>IF($F347="","",IFERROR(INDEX(사건마스터!$AH$5:$AH$64,MATCH($F347,사건마스터!$A$5:$A$64,0)),""))</f>
        <v/>
      </c>
      <c r="L347" s="136">
        <f>IF($F347="","",IFERROR(INDEX(사건마스터!$AI$5:$AI$64,MATCH($F347,사건마스터!$A$5:$A$64,0)),""))</f>
        <v/>
      </c>
      <c r="M347" s="136">
        <f>IF($F347="","",IFERROR(INDEX(사건마스터!$AJ$5:$AJ$64,MATCH($F347,사건마스터!$A$5:$A$64,0)),""))</f>
        <v/>
      </c>
      <c r="N347" s="136">
        <f>IF($F347="","",IFERROR(INDEX(사건마스터!$AK$5:$AK$64,MATCH($F347,사건마스터!$A$5:$A$64,0)),""))</f>
        <v/>
      </c>
      <c r="O347" s="136">
        <f>IF($F347="","",IFERROR(INDEX(사건마스터!$AL$5:$AL$64,MATCH($F347,사건마스터!$A$5:$A$64,0)),""))</f>
        <v/>
      </c>
      <c r="P347" s="136">
        <f>IF($F347="","",IFERROR(INDEX(사건마스터!$AM$5:$AM$64,MATCH($F347,사건마스터!$A$5:$A$64,0)),""))</f>
        <v/>
      </c>
      <c r="Q347" s="136">
        <f>IF($F347="","",IFERROR(INDEX(사건마스터!$AN$5:$AN$64,MATCH($F347,사건마스터!$A$5:$A$64,0)),""))</f>
        <v/>
      </c>
      <c r="R347" s="136">
        <f>IF($F347="","",IFERROR(INDEX(사건마스터!$AO$5:$AO$64,MATCH($F347,사건마스터!$A$5:$A$64,0)),""))</f>
        <v/>
      </c>
      <c r="S347" s="136">
        <f>IF($F347="","",IFERROR(INDEX(사건마스터!$AP$5:$AP$64,MATCH($F347,사건마스터!$A$5:$A$64,0)),""))</f>
        <v/>
      </c>
      <c r="T347" s="136">
        <f>IF($F347="","",IFERROR(INDEX(사건마스터!$AQ$5:$AQ$64,MATCH($F347,사건마스터!$A$5:$A$64,0)),""))</f>
        <v/>
      </c>
      <c r="U347" s="136">
        <f>IF($F347="","",IFERROR(INDEX(사건마스터!$AR$5:$AR$64,MATCH($F347,사건마스터!$A$5:$A$64,0)),""))</f>
        <v/>
      </c>
      <c r="V347" s="136">
        <f>IF($F347="","",IFERROR(INDEX(사건마스터!$AS$5:$AS$64,MATCH($F347,사건마스터!$A$5:$A$64,0)),""))</f>
        <v/>
      </c>
      <c r="W347" s="136">
        <f>IF($F347="","",IFERROR(INDEX(사건마스터!$AT$5:$AT$64,MATCH($F347,사건마스터!$A$5:$A$64,0)),""))</f>
        <v/>
      </c>
      <c r="X347" s="136">
        <f>IF($F347="","",IFERROR(INDEX(사건마스터!$AU$5:$AU$64,MATCH($F347,사건마스터!$A$5:$A$64,0)),""))</f>
        <v/>
      </c>
      <c r="Y347" s="136">
        <f>IF($F347="","",IFERROR(INDEX(사건마스터!$AV$5:$AV$64,MATCH($F347,사건마스터!$A$5:$A$64,0)),""))</f>
        <v/>
      </c>
      <c r="Z347" s="118">
        <f>IF(COUNTBLANK($J347:$Y347)=16,"",16-COUNTBLANK($J347:$Y347))</f>
        <v/>
      </c>
      <c r="AA347" s="33">
        <f>IF($J347="",MID($AX347,3,255),$J347&amp;$AX347)</f>
        <v/>
      </c>
      <c r="AB347" s="130">
        <f>IF($J347="","",IFERROR(INDEX(코드설정!$D$5:$D$24,MATCH($J347,코드설정!$C$5:$C$24,0)),""))</f>
        <v/>
      </c>
      <c r="AC347" s="36" t="n"/>
      <c r="AD347" s="37" t="n"/>
      <c r="AE347" s="38" t="n"/>
      <c r="AF347" s="118">
        <f>IF(OR($B347="",$C347=""),"",$C347-$B347+1)</f>
        <v/>
      </c>
      <c r="AG347" s="74" t="n"/>
      <c r="AH347" s="36" t="n"/>
      <c r="AJ347">
        <f>IF($K347="","",", "&amp;$K347)</f>
        <v/>
      </c>
      <c r="AK347">
        <f>AJ347&amp;IF($L347="","",", "&amp;$L347)</f>
        <v/>
      </c>
      <c r="AL347">
        <f>AK347&amp;IF($M347="","",", "&amp;$M347)</f>
        <v/>
      </c>
      <c r="AM347">
        <f>AL347&amp;IF($N347="","",", "&amp;$N347)</f>
        <v/>
      </c>
      <c r="AN347">
        <f>AM347&amp;IF($O347="","",", "&amp;$O347)</f>
        <v/>
      </c>
      <c r="AO347">
        <f>AN347&amp;IF($P347="","",", "&amp;$P347)</f>
        <v/>
      </c>
      <c r="AP347">
        <f>AO347&amp;IF($Q347="","",", "&amp;$Q347)</f>
        <v/>
      </c>
      <c r="AQ347">
        <f>AP347&amp;IF($R347="","",", "&amp;$R347)</f>
        <v/>
      </c>
      <c r="AR347">
        <f>AQ347&amp;IF($S347="","",", "&amp;$S347)</f>
        <v/>
      </c>
      <c r="AS347">
        <f>AR347&amp;IF($T347="","",", "&amp;$T347)</f>
        <v/>
      </c>
      <c r="AT347">
        <f>AS347&amp;IF($U347="","",", "&amp;$U347)</f>
        <v/>
      </c>
      <c r="AU347">
        <f>AT347&amp;IF($V347="","",", "&amp;$V347)</f>
        <v/>
      </c>
      <c r="AV347">
        <f>AU347&amp;IF($W347="","",", "&amp;$W347)</f>
        <v/>
      </c>
      <c r="AW347">
        <f>AV347&amp;IF($X347="","",", "&amp;$X347)</f>
        <v/>
      </c>
      <c r="AX347">
        <f>AW347&amp;IF($Y347="","",", "&amp;$Y347)</f>
        <v/>
      </c>
    </row>
    <row r="348">
      <c r="A348" s="118">
        <f>IF($B348="","",COUNT($B$5:$B348))</f>
        <v/>
      </c>
      <c r="B348" s="80" t="n"/>
      <c r="C348" s="80" t="n"/>
      <c r="D348" s="74" t="n"/>
      <c r="E348" s="74" t="n"/>
      <c r="F348" s="74" t="n"/>
      <c r="G348" s="118">
        <f>IF($F348="","",COUNTIF($F$5:$F348,$F348))</f>
        <v/>
      </c>
      <c r="H348" s="33">
        <f>IF($F348="","",IFERROR(INDEX(사건마스터!$B$5:$B$64,MATCH($F348,사건마스터!$A$5:$A$64,0)),""))</f>
        <v/>
      </c>
      <c r="I348" s="130">
        <f>IF($F348="","",IFERROR(INDEX(사건마스터!$C$5:$C$64,MATCH($F348,사건마스터!$A$5:$A$64,0)),""))</f>
        <v/>
      </c>
      <c r="J348" s="136">
        <f>IF($F348="","",IFERROR(INDEX(사건마스터!$H$5:$H$64,MATCH($F348,사건마스터!$A$5:$A$64,0)),""))</f>
        <v/>
      </c>
      <c r="K348" s="136">
        <f>IF($F348="","",IFERROR(INDEX(사건마스터!$AH$5:$AH$64,MATCH($F348,사건마스터!$A$5:$A$64,0)),""))</f>
        <v/>
      </c>
      <c r="L348" s="136">
        <f>IF($F348="","",IFERROR(INDEX(사건마스터!$AI$5:$AI$64,MATCH($F348,사건마스터!$A$5:$A$64,0)),""))</f>
        <v/>
      </c>
      <c r="M348" s="136">
        <f>IF($F348="","",IFERROR(INDEX(사건마스터!$AJ$5:$AJ$64,MATCH($F348,사건마스터!$A$5:$A$64,0)),""))</f>
        <v/>
      </c>
      <c r="N348" s="136">
        <f>IF($F348="","",IFERROR(INDEX(사건마스터!$AK$5:$AK$64,MATCH($F348,사건마스터!$A$5:$A$64,0)),""))</f>
        <v/>
      </c>
      <c r="O348" s="136">
        <f>IF($F348="","",IFERROR(INDEX(사건마스터!$AL$5:$AL$64,MATCH($F348,사건마스터!$A$5:$A$64,0)),""))</f>
        <v/>
      </c>
      <c r="P348" s="136">
        <f>IF($F348="","",IFERROR(INDEX(사건마스터!$AM$5:$AM$64,MATCH($F348,사건마스터!$A$5:$A$64,0)),""))</f>
        <v/>
      </c>
      <c r="Q348" s="136">
        <f>IF($F348="","",IFERROR(INDEX(사건마스터!$AN$5:$AN$64,MATCH($F348,사건마스터!$A$5:$A$64,0)),""))</f>
        <v/>
      </c>
      <c r="R348" s="136">
        <f>IF($F348="","",IFERROR(INDEX(사건마스터!$AO$5:$AO$64,MATCH($F348,사건마스터!$A$5:$A$64,0)),""))</f>
        <v/>
      </c>
      <c r="S348" s="136">
        <f>IF($F348="","",IFERROR(INDEX(사건마스터!$AP$5:$AP$64,MATCH($F348,사건마스터!$A$5:$A$64,0)),""))</f>
        <v/>
      </c>
      <c r="T348" s="136">
        <f>IF($F348="","",IFERROR(INDEX(사건마스터!$AQ$5:$AQ$64,MATCH($F348,사건마스터!$A$5:$A$64,0)),""))</f>
        <v/>
      </c>
      <c r="U348" s="136">
        <f>IF($F348="","",IFERROR(INDEX(사건마스터!$AR$5:$AR$64,MATCH($F348,사건마스터!$A$5:$A$64,0)),""))</f>
        <v/>
      </c>
      <c r="V348" s="136">
        <f>IF($F348="","",IFERROR(INDEX(사건마스터!$AS$5:$AS$64,MATCH($F348,사건마스터!$A$5:$A$64,0)),""))</f>
        <v/>
      </c>
      <c r="W348" s="136">
        <f>IF($F348="","",IFERROR(INDEX(사건마스터!$AT$5:$AT$64,MATCH($F348,사건마스터!$A$5:$A$64,0)),""))</f>
        <v/>
      </c>
      <c r="X348" s="136">
        <f>IF($F348="","",IFERROR(INDEX(사건마스터!$AU$5:$AU$64,MATCH($F348,사건마스터!$A$5:$A$64,0)),""))</f>
        <v/>
      </c>
      <c r="Y348" s="136">
        <f>IF($F348="","",IFERROR(INDEX(사건마스터!$AV$5:$AV$64,MATCH($F348,사건마스터!$A$5:$A$64,0)),""))</f>
        <v/>
      </c>
      <c r="Z348" s="118">
        <f>IF(COUNTBLANK($J348:$Y348)=16,"",16-COUNTBLANK($J348:$Y348))</f>
        <v/>
      </c>
      <c r="AA348" s="33">
        <f>IF($J348="",MID($AX348,3,255),$J348&amp;$AX348)</f>
        <v/>
      </c>
      <c r="AB348" s="130">
        <f>IF($J348="","",IFERROR(INDEX(코드설정!$D$5:$D$24,MATCH($J348,코드설정!$C$5:$C$24,0)),""))</f>
        <v/>
      </c>
      <c r="AC348" s="36" t="n"/>
      <c r="AD348" s="37" t="n"/>
      <c r="AE348" s="38" t="n"/>
      <c r="AF348" s="118">
        <f>IF(OR($B348="",$C348=""),"",$C348-$B348+1)</f>
        <v/>
      </c>
      <c r="AG348" s="74" t="n"/>
      <c r="AH348" s="36" t="n"/>
      <c r="AJ348">
        <f>IF($K348="","",", "&amp;$K348)</f>
        <v/>
      </c>
      <c r="AK348">
        <f>AJ348&amp;IF($L348="","",", "&amp;$L348)</f>
        <v/>
      </c>
      <c r="AL348">
        <f>AK348&amp;IF($M348="","",", "&amp;$M348)</f>
        <v/>
      </c>
      <c r="AM348">
        <f>AL348&amp;IF($N348="","",", "&amp;$N348)</f>
        <v/>
      </c>
      <c r="AN348">
        <f>AM348&amp;IF($O348="","",", "&amp;$O348)</f>
        <v/>
      </c>
      <c r="AO348">
        <f>AN348&amp;IF($P348="","",", "&amp;$P348)</f>
        <v/>
      </c>
      <c r="AP348">
        <f>AO348&amp;IF($Q348="","",", "&amp;$Q348)</f>
        <v/>
      </c>
      <c r="AQ348">
        <f>AP348&amp;IF($R348="","",", "&amp;$R348)</f>
        <v/>
      </c>
      <c r="AR348">
        <f>AQ348&amp;IF($S348="","",", "&amp;$S348)</f>
        <v/>
      </c>
      <c r="AS348">
        <f>AR348&amp;IF($T348="","",", "&amp;$T348)</f>
        <v/>
      </c>
      <c r="AT348">
        <f>AS348&amp;IF($U348="","",", "&amp;$U348)</f>
        <v/>
      </c>
      <c r="AU348">
        <f>AT348&amp;IF($V348="","",", "&amp;$V348)</f>
        <v/>
      </c>
      <c r="AV348">
        <f>AU348&amp;IF($W348="","",", "&amp;$W348)</f>
        <v/>
      </c>
      <c r="AW348">
        <f>AV348&amp;IF($X348="","",", "&amp;$X348)</f>
        <v/>
      </c>
      <c r="AX348">
        <f>AW348&amp;IF($Y348="","",", "&amp;$Y348)</f>
        <v/>
      </c>
    </row>
    <row r="349">
      <c r="A349" s="118">
        <f>IF($B349="","",COUNT($B$5:$B349))</f>
        <v/>
      </c>
      <c r="B349" s="80" t="n"/>
      <c r="C349" s="80" t="n"/>
      <c r="D349" s="74" t="n"/>
      <c r="E349" s="74" t="n"/>
      <c r="F349" s="74" t="n"/>
      <c r="G349" s="118">
        <f>IF($F349="","",COUNTIF($F$5:$F349,$F349))</f>
        <v/>
      </c>
      <c r="H349" s="33">
        <f>IF($F349="","",IFERROR(INDEX(사건마스터!$B$5:$B$64,MATCH($F349,사건마스터!$A$5:$A$64,0)),""))</f>
        <v/>
      </c>
      <c r="I349" s="130">
        <f>IF($F349="","",IFERROR(INDEX(사건마스터!$C$5:$C$64,MATCH($F349,사건마스터!$A$5:$A$64,0)),""))</f>
        <v/>
      </c>
      <c r="J349" s="136">
        <f>IF($F349="","",IFERROR(INDEX(사건마스터!$H$5:$H$64,MATCH($F349,사건마스터!$A$5:$A$64,0)),""))</f>
        <v/>
      </c>
      <c r="K349" s="136">
        <f>IF($F349="","",IFERROR(INDEX(사건마스터!$AH$5:$AH$64,MATCH($F349,사건마스터!$A$5:$A$64,0)),""))</f>
        <v/>
      </c>
      <c r="L349" s="136">
        <f>IF($F349="","",IFERROR(INDEX(사건마스터!$AI$5:$AI$64,MATCH($F349,사건마스터!$A$5:$A$64,0)),""))</f>
        <v/>
      </c>
      <c r="M349" s="136">
        <f>IF($F349="","",IFERROR(INDEX(사건마스터!$AJ$5:$AJ$64,MATCH($F349,사건마스터!$A$5:$A$64,0)),""))</f>
        <v/>
      </c>
      <c r="N349" s="136">
        <f>IF($F349="","",IFERROR(INDEX(사건마스터!$AK$5:$AK$64,MATCH($F349,사건마스터!$A$5:$A$64,0)),""))</f>
        <v/>
      </c>
      <c r="O349" s="136">
        <f>IF($F349="","",IFERROR(INDEX(사건마스터!$AL$5:$AL$64,MATCH($F349,사건마스터!$A$5:$A$64,0)),""))</f>
        <v/>
      </c>
      <c r="P349" s="136">
        <f>IF($F349="","",IFERROR(INDEX(사건마스터!$AM$5:$AM$64,MATCH($F349,사건마스터!$A$5:$A$64,0)),""))</f>
        <v/>
      </c>
      <c r="Q349" s="136">
        <f>IF($F349="","",IFERROR(INDEX(사건마스터!$AN$5:$AN$64,MATCH($F349,사건마스터!$A$5:$A$64,0)),""))</f>
        <v/>
      </c>
      <c r="R349" s="136">
        <f>IF($F349="","",IFERROR(INDEX(사건마스터!$AO$5:$AO$64,MATCH($F349,사건마스터!$A$5:$A$64,0)),""))</f>
        <v/>
      </c>
      <c r="S349" s="136">
        <f>IF($F349="","",IFERROR(INDEX(사건마스터!$AP$5:$AP$64,MATCH($F349,사건마스터!$A$5:$A$64,0)),""))</f>
        <v/>
      </c>
      <c r="T349" s="136">
        <f>IF($F349="","",IFERROR(INDEX(사건마스터!$AQ$5:$AQ$64,MATCH($F349,사건마스터!$A$5:$A$64,0)),""))</f>
        <v/>
      </c>
      <c r="U349" s="136">
        <f>IF($F349="","",IFERROR(INDEX(사건마스터!$AR$5:$AR$64,MATCH($F349,사건마스터!$A$5:$A$64,0)),""))</f>
        <v/>
      </c>
      <c r="V349" s="136">
        <f>IF($F349="","",IFERROR(INDEX(사건마스터!$AS$5:$AS$64,MATCH($F349,사건마스터!$A$5:$A$64,0)),""))</f>
        <v/>
      </c>
      <c r="W349" s="136">
        <f>IF($F349="","",IFERROR(INDEX(사건마스터!$AT$5:$AT$64,MATCH($F349,사건마스터!$A$5:$A$64,0)),""))</f>
        <v/>
      </c>
      <c r="X349" s="136">
        <f>IF($F349="","",IFERROR(INDEX(사건마스터!$AU$5:$AU$64,MATCH($F349,사건마스터!$A$5:$A$64,0)),""))</f>
        <v/>
      </c>
      <c r="Y349" s="136">
        <f>IF($F349="","",IFERROR(INDEX(사건마스터!$AV$5:$AV$64,MATCH($F349,사건마스터!$A$5:$A$64,0)),""))</f>
        <v/>
      </c>
      <c r="Z349" s="118">
        <f>IF(COUNTBLANK($J349:$Y349)=16,"",16-COUNTBLANK($J349:$Y349))</f>
        <v/>
      </c>
      <c r="AA349" s="33">
        <f>IF($J349="",MID($AX349,3,255),$J349&amp;$AX349)</f>
        <v/>
      </c>
      <c r="AB349" s="130">
        <f>IF($J349="","",IFERROR(INDEX(코드설정!$D$5:$D$24,MATCH($J349,코드설정!$C$5:$C$24,0)),""))</f>
        <v/>
      </c>
      <c r="AC349" s="36" t="n"/>
      <c r="AD349" s="37" t="n"/>
      <c r="AE349" s="38" t="n"/>
      <c r="AF349" s="118">
        <f>IF(OR($B349="",$C349=""),"",$C349-$B349+1)</f>
        <v/>
      </c>
      <c r="AG349" s="74" t="n"/>
      <c r="AH349" s="36" t="n"/>
      <c r="AJ349">
        <f>IF($K349="","",", "&amp;$K349)</f>
        <v/>
      </c>
      <c r="AK349">
        <f>AJ349&amp;IF($L349="","",", "&amp;$L349)</f>
        <v/>
      </c>
      <c r="AL349">
        <f>AK349&amp;IF($M349="","",", "&amp;$M349)</f>
        <v/>
      </c>
      <c r="AM349">
        <f>AL349&amp;IF($N349="","",", "&amp;$N349)</f>
        <v/>
      </c>
      <c r="AN349">
        <f>AM349&amp;IF($O349="","",", "&amp;$O349)</f>
        <v/>
      </c>
      <c r="AO349">
        <f>AN349&amp;IF($P349="","",", "&amp;$P349)</f>
        <v/>
      </c>
      <c r="AP349">
        <f>AO349&amp;IF($Q349="","",", "&amp;$Q349)</f>
        <v/>
      </c>
      <c r="AQ349">
        <f>AP349&amp;IF($R349="","",", "&amp;$R349)</f>
        <v/>
      </c>
      <c r="AR349">
        <f>AQ349&amp;IF($S349="","",", "&amp;$S349)</f>
        <v/>
      </c>
      <c r="AS349">
        <f>AR349&amp;IF($T349="","",", "&amp;$T349)</f>
        <v/>
      </c>
      <c r="AT349">
        <f>AS349&amp;IF($U349="","",", "&amp;$U349)</f>
        <v/>
      </c>
      <c r="AU349">
        <f>AT349&amp;IF($V349="","",", "&amp;$V349)</f>
        <v/>
      </c>
      <c r="AV349">
        <f>AU349&amp;IF($W349="","",", "&amp;$W349)</f>
        <v/>
      </c>
      <c r="AW349">
        <f>AV349&amp;IF($X349="","",", "&amp;$X349)</f>
        <v/>
      </c>
      <c r="AX349">
        <f>AW349&amp;IF($Y349="","",", "&amp;$Y349)</f>
        <v/>
      </c>
    </row>
    <row r="350">
      <c r="A350" s="118">
        <f>IF($B350="","",COUNT($B$5:$B350))</f>
        <v/>
      </c>
      <c r="B350" s="80" t="n"/>
      <c r="C350" s="80" t="n"/>
      <c r="D350" s="74" t="n"/>
      <c r="E350" s="74" t="n"/>
      <c r="F350" s="74" t="n"/>
      <c r="G350" s="118">
        <f>IF($F350="","",COUNTIF($F$5:$F350,$F350))</f>
        <v/>
      </c>
      <c r="H350" s="33">
        <f>IF($F350="","",IFERROR(INDEX(사건마스터!$B$5:$B$64,MATCH($F350,사건마스터!$A$5:$A$64,0)),""))</f>
        <v/>
      </c>
      <c r="I350" s="130">
        <f>IF($F350="","",IFERROR(INDEX(사건마스터!$C$5:$C$64,MATCH($F350,사건마스터!$A$5:$A$64,0)),""))</f>
        <v/>
      </c>
      <c r="J350" s="136">
        <f>IF($F350="","",IFERROR(INDEX(사건마스터!$H$5:$H$64,MATCH($F350,사건마스터!$A$5:$A$64,0)),""))</f>
        <v/>
      </c>
      <c r="K350" s="136">
        <f>IF($F350="","",IFERROR(INDEX(사건마스터!$AH$5:$AH$64,MATCH($F350,사건마스터!$A$5:$A$64,0)),""))</f>
        <v/>
      </c>
      <c r="L350" s="136">
        <f>IF($F350="","",IFERROR(INDEX(사건마스터!$AI$5:$AI$64,MATCH($F350,사건마스터!$A$5:$A$64,0)),""))</f>
        <v/>
      </c>
      <c r="M350" s="136">
        <f>IF($F350="","",IFERROR(INDEX(사건마스터!$AJ$5:$AJ$64,MATCH($F350,사건마스터!$A$5:$A$64,0)),""))</f>
        <v/>
      </c>
      <c r="N350" s="136">
        <f>IF($F350="","",IFERROR(INDEX(사건마스터!$AK$5:$AK$64,MATCH($F350,사건마스터!$A$5:$A$64,0)),""))</f>
        <v/>
      </c>
      <c r="O350" s="136">
        <f>IF($F350="","",IFERROR(INDEX(사건마스터!$AL$5:$AL$64,MATCH($F350,사건마스터!$A$5:$A$64,0)),""))</f>
        <v/>
      </c>
      <c r="P350" s="136">
        <f>IF($F350="","",IFERROR(INDEX(사건마스터!$AM$5:$AM$64,MATCH($F350,사건마스터!$A$5:$A$64,0)),""))</f>
        <v/>
      </c>
      <c r="Q350" s="136">
        <f>IF($F350="","",IFERROR(INDEX(사건마스터!$AN$5:$AN$64,MATCH($F350,사건마스터!$A$5:$A$64,0)),""))</f>
        <v/>
      </c>
      <c r="R350" s="136">
        <f>IF($F350="","",IFERROR(INDEX(사건마스터!$AO$5:$AO$64,MATCH($F350,사건마스터!$A$5:$A$64,0)),""))</f>
        <v/>
      </c>
      <c r="S350" s="136">
        <f>IF($F350="","",IFERROR(INDEX(사건마스터!$AP$5:$AP$64,MATCH($F350,사건마스터!$A$5:$A$64,0)),""))</f>
        <v/>
      </c>
      <c r="T350" s="136">
        <f>IF($F350="","",IFERROR(INDEX(사건마스터!$AQ$5:$AQ$64,MATCH($F350,사건마스터!$A$5:$A$64,0)),""))</f>
        <v/>
      </c>
      <c r="U350" s="136">
        <f>IF($F350="","",IFERROR(INDEX(사건마스터!$AR$5:$AR$64,MATCH($F350,사건마스터!$A$5:$A$64,0)),""))</f>
        <v/>
      </c>
      <c r="V350" s="136">
        <f>IF($F350="","",IFERROR(INDEX(사건마스터!$AS$5:$AS$64,MATCH($F350,사건마스터!$A$5:$A$64,0)),""))</f>
        <v/>
      </c>
      <c r="W350" s="136">
        <f>IF($F350="","",IFERROR(INDEX(사건마스터!$AT$5:$AT$64,MATCH($F350,사건마스터!$A$5:$A$64,0)),""))</f>
        <v/>
      </c>
      <c r="X350" s="136">
        <f>IF($F350="","",IFERROR(INDEX(사건마스터!$AU$5:$AU$64,MATCH($F350,사건마스터!$A$5:$A$64,0)),""))</f>
        <v/>
      </c>
      <c r="Y350" s="136">
        <f>IF($F350="","",IFERROR(INDEX(사건마스터!$AV$5:$AV$64,MATCH($F350,사건마스터!$A$5:$A$64,0)),""))</f>
        <v/>
      </c>
      <c r="Z350" s="118">
        <f>IF(COUNTBLANK($J350:$Y350)=16,"",16-COUNTBLANK($J350:$Y350))</f>
        <v/>
      </c>
      <c r="AA350" s="33">
        <f>IF($J350="",MID($AX350,3,255),$J350&amp;$AX350)</f>
        <v/>
      </c>
      <c r="AB350" s="130">
        <f>IF($J350="","",IFERROR(INDEX(코드설정!$D$5:$D$24,MATCH($J350,코드설정!$C$5:$C$24,0)),""))</f>
        <v/>
      </c>
      <c r="AC350" s="36" t="n"/>
      <c r="AD350" s="37" t="n"/>
      <c r="AE350" s="38" t="n"/>
      <c r="AF350" s="118">
        <f>IF(OR($B350="",$C350=""),"",$C350-$B350+1)</f>
        <v/>
      </c>
      <c r="AG350" s="74" t="n"/>
      <c r="AH350" s="36" t="n"/>
      <c r="AJ350">
        <f>IF($K350="","",", "&amp;$K350)</f>
        <v/>
      </c>
      <c r="AK350">
        <f>AJ350&amp;IF($L350="","",", "&amp;$L350)</f>
        <v/>
      </c>
      <c r="AL350">
        <f>AK350&amp;IF($M350="","",", "&amp;$M350)</f>
        <v/>
      </c>
      <c r="AM350">
        <f>AL350&amp;IF($N350="","",", "&amp;$N350)</f>
        <v/>
      </c>
      <c r="AN350">
        <f>AM350&amp;IF($O350="","",", "&amp;$O350)</f>
        <v/>
      </c>
      <c r="AO350">
        <f>AN350&amp;IF($P350="","",", "&amp;$P350)</f>
        <v/>
      </c>
      <c r="AP350">
        <f>AO350&amp;IF($Q350="","",", "&amp;$Q350)</f>
        <v/>
      </c>
      <c r="AQ350">
        <f>AP350&amp;IF($R350="","",", "&amp;$R350)</f>
        <v/>
      </c>
      <c r="AR350">
        <f>AQ350&amp;IF($S350="","",", "&amp;$S350)</f>
        <v/>
      </c>
      <c r="AS350">
        <f>AR350&amp;IF($T350="","",", "&amp;$T350)</f>
        <v/>
      </c>
      <c r="AT350">
        <f>AS350&amp;IF($U350="","",", "&amp;$U350)</f>
        <v/>
      </c>
      <c r="AU350">
        <f>AT350&amp;IF($V350="","",", "&amp;$V350)</f>
        <v/>
      </c>
      <c r="AV350">
        <f>AU350&amp;IF($W350="","",", "&amp;$W350)</f>
        <v/>
      </c>
      <c r="AW350">
        <f>AV350&amp;IF($X350="","",", "&amp;$X350)</f>
        <v/>
      </c>
      <c r="AX350">
        <f>AW350&amp;IF($Y350="","",", "&amp;$Y350)</f>
        <v/>
      </c>
    </row>
    <row r="351">
      <c r="A351" s="118">
        <f>IF($B351="","",COUNT($B$5:$B351))</f>
        <v/>
      </c>
      <c r="B351" s="80" t="n"/>
      <c r="C351" s="80" t="n"/>
      <c r="D351" s="74" t="n"/>
      <c r="E351" s="74" t="n"/>
      <c r="F351" s="74" t="n"/>
      <c r="G351" s="118">
        <f>IF($F351="","",COUNTIF($F$5:$F351,$F351))</f>
        <v/>
      </c>
      <c r="H351" s="33">
        <f>IF($F351="","",IFERROR(INDEX(사건마스터!$B$5:$B$64,MATCH($F351,사건마스터!$A$5:$A$64,0)),""))</f>
        <v/>
      </c>
      <c r="I351" s="130">
        <f>IF($F351="","",IFERROR(INDEX(사건마스터!$C$5:$C$64,MATCH($F351,사건마스터!$A$5:$A$64,0)),""))</f>
        <v/>
      </c>
      <c r="J351" s="136">
        <f>IF($F351="","",IFERROR(INDEX(사건마스터!$H$5:$H$64,MATCH($F351,사건마스터!$A$5:$A$64,0)),""))</f>
        <v/>
      </c>
      <c r="K351" s="136">
        <f>IF($F351="","",IFERROR(INDEX(사건마스터!$AH$5:$AH$64,MATCH($F351,사건마스터!$A$5:$A$64,0)),""))</f>
        <v/>
      </c>
      <c r="L351" s="136">
        <f>IF($F351="","",IFERROR(INDEX(사건마스터!$AI$5:$AI$64,MATCH($F351,사건마스터!$A$5:$A$64,0)),""))</f>
        <v/>
      </c>
      <c r="M351" s="136">
        <f>IF($F351="","",IFERROR(INDEX(사건마스터!$AJ$5:$AJ$64,MATCH($F351,사건마스터!$A$5:$A$64,0)),""))</f>
        <v/>
      </c>
      <c r="N351" s="136">
        <f>IF($F351="","",IFERROR(INDEX(사건마스터!$AK$5:$AK$64,MATCH($F351,사건마스터!$A$5:$A$64,0)),""))</f>
        <v/>
      </c>
      <c r="O351" s="136">
        <f>IF($F351="","",IFERROR(INDEX(사건마스터!$AL$5:$AL$64,MATCH($F351,사건마스터!$A$5:$A$64,0)),""))</f>
        <v/>
      </c>
      <c r="P351" s="136">
        <f>IF($F351="","",IFERROR(INDEX(사건마스터!$AM$5:$AM$64,MATCH($F351,사건마스터!$A$5:$A$64,0)),""))</f>
        <v/>
      </c>
      <c r="Q351" s="136">
        <f>IF($F351="","",IFERROR(INDEX(사건마스터!$AN$5:$AN$64,MATCH($F351,사건마스터!$A$5:$A$64,0)),""))</f>
        <v/>
      </c>
      <c r="R351" s="136">
        <f>IF($F351="","",IFERROR(INDEX(사건마스터!$AO$5:$AO$64,MATCH($F351,사건마스터!$A$5:$A$64,0)),""))</f>
        <v/>
      </c>
      <c r="S351" s="136">
        <f>IF($F351="","",IFERROR(INDEX(사건마스터!$AP$5:$AP$64,MATCH($F351,사건마스터!$A$5:$A$64,0)),""))</f>
        <v/>
      </c>
      <c r="T351" s="136">
        <f>IF($F351="","",IFERROR(INDEX(사건마스터!$AQ$5:$AQ$64,MATCH($F351,사건마스터!$A$5:$A$64,0)),""))</f>
        <v/>
      </c>
      <c r="U351" s="136">
        <f>IF($F351="","",IFERROR(INDEX(사건마스터!$AR$5:$AR$64,MATCH($F351,사건마스터!$A$5:$A$64,0)),""))</f>
        <v/>
      </c>
      <c r="V351" s="136">
        <f>IF($F351="","",IFERROR(INDEX(사건마스터!$AS$5:$AS$64,MATCH($F351,사건마스터!$A$5:$A$64,0)),""))</f>
        <v/>
      </c>
      <c r="W351" s="136">
        <f>IF($F351="","",IFERROR(INDEX(사건마스터!$AT$5:$AT$64,MATCH($F351,사건마스터!$A$5:$A$64,0)),""))</f>
        <v/>
      </c>
      <c r="X351" s="136">
        <f>IF($F351="","",IFERROR(INDEX(사건마스터!$AU$5:$AU$64,MATCH($F351,사건마스터!$A$5:$A$64,0)),""))</f>
        <v/>
      </c>
      <c r="Y351" s="136">
        <f>IF($F351="","",IFERROR(INDEX(사건마스터!$AV$5:$AV$64,MATCH($F351,사건마스터!$A$5:$A$64,0)),""))</f>
        <v/>
      </c>
      <c r="Z351" s="118">
        <f>IF(COUNTBLANK($J351:$Y351)=16,"",16-COUNTBLANK($J351:$Y351))</f>
        <v/>
      </c>
      <c r="AA351" s="33">
        <f>IF($J351="",MID($AX351,3,255),$J351&amp;$AX351)</f>
        <v/>
      </c>
      <c r="AB351" s="130">
        <f>IF($J351="","",IFERROR(INDEX(코드설정!$D$5:$D$24,MATCH($J351,코드설정!$C$5:$C$24,0)),""))</f>
        <v/>
      </c>
      <c r="AC351" s="36" t="n"/>
      <c r="AD351" s="37" t="n"/>
      <c r="AE351" s="38" t="n"/>
      <c r="AF351" s="118">
        <f>IF(OR($B351="",$C351=""),"",$C351-$B351+1)</f>
        <v/>
      </c>
      <c r="AG351" s="74" t="n"/>
      <c r="AH351" s="36" t="n"/>
      <c r="AJ351">
        <f>IF($K351="","",", "&amp;$K351)</f>
        <v/>
      </c>
      <c r="AK351">
        <f>AJ351&amp;IF($L351="","",", "&amp;$L351)</f>
        <v/>
      </c>
      <c r="AL351">
        <f>AK351&amp;IF($M351="","",", "&amp;$M351)</f>
        <v/>
      </c>
      <c r="AM351">
        <f>AL351&amp;IF($N351="","",", "&amp;$N351)</f>
        <v/>
      </c>
      <c r="AN351">
        <f>AM351&amp;IF($O351="","",", "&amp;$O351)</f>
        <v/>
      </c>
      <c r="AO351">
        <f>AN351&amp;IF($P351="","",", "&amp;$P351)</f>
        <v/>
      </c>
      <c r="AP351">
        <f>AO351&amp;IF($Q351="","",", "&amp;$Q351)</f>
        <v/>
      </c>
      <c r="AQ351">
        <f>AP351&amp;IF($R351="","",", "&amp;$R351)</f>
        <v/>
      </c>
      <c r="AR351">
        <f>AQ351&amp;IF($S351="","",", "&amp;$S351)</f>
        <v/>
      </c>
      <c r="AS351">
        <f>AR351&amp;IF($T351="","",", "&amp;$T351)</f>
        <v/>
      </c>
      <c r="AT351">
        <f>AS351&amp;IF($U351="","",", "&amp;$U351)</f>
        <v/>
      </c>
      <c r="AU351">
        <f>AT351&amp;IF($V351="","",", "&amp;$V351)</f>
        <v/>
      </c>
      <c r="AV351">
        <f>AU351&amp;IF($W351="","",", "&amp;$W351)</f>
        <v/>
      </c>
      <c r="AW351">
        <f>AV351&amp;IF($X351="","",", "&amp;$X351)</f>
        <v/>
      </c>
      <c r="AX351">
        <f>AW351&amp;IF($Y351="","",", "&amp;$Y351)</f>
        <v/>
      </c>
    </row>
    <row r="352">
      <c r="A352" s="118">
        <f>IF($B352="","",COUNT($B$5:$B352))</f>
        <v/>
      </c>
      <c r="B352" s="80" t="n"/>
      <c r="C352" s="80" t="n"/>
      <c r="D352" s="74" t="n"/>
      <c r="E352" s="74" t="n"/>
      <c r="F352" s="74" t="n"/>
      <c r="G352" s="118">
        <f>IF($F352="","",COUNTIF($F$5:$F352,$F352))</f>
        <v/>
      </c>
      <c r="H352" s="33">
        <f>IF($F352="","",IFERROR(INDEX(사건마스터!$B$5:$B$64,MATCH($F352,사건마스터!$A$5:$A$64,0)),""))</f>
        <v/>
      </c>
      <c r="I352" s="130">
        <f>IF($F352="","",IFERROR(INDEX(사건마스터!$C$5:$C$64,MATCH($F352,사건마스터!$A$5:$A$64,0)),""))</f>
        <v/>
      </c>
      <c r="J352" s="136">
        <f>IF($F352="","",IFERROR(INDEX(사건마스터!$H$5:$H$64,MATCH($F352,사건마스터!$A$5:$A$64,0)),""))</f>
        <v/>
      </c>
      <c r="K352" s="136">
        <f>IF($F352="","",IFERROR(INDEX(사건마스터!$AH$5:$AH$64,MATCH($F352,사건마스터!$A$5:$A$64,0)),""))</f>
        <v/>
      </c>
      <c r="L352" s="136">
        <f>IF($F352="","",IFERROR(INDEX(사건마스터!$AI$5:$AI$64,MATCH($F352,사건마스터!$A$5:$A$64,0)),""))</f>
        <v/>
      </c>
      <c r="M352" s="136">
        <f>IF($F352="","",IFERROR(INDEX(사건마스터!$AJ$5:$AJ$64,MATCH($F352,사건마스터!$A$5:$A$64,0)),""))</f>
        <v/>
      </c>
      <c r="N352" s="136">
        <f>IF($F352="","",IFERROR(INDEX(사건마스터!$AK$5:$AK$64,MATCH($F352,사건마스터!$A$5:$A$64,0)),""))</f>
        <v/>
      </c>
      <c r="O352" s="136">
        <f>IF($F352="","",IFERROR(INDEX(사건마스터!$AL$5:$AL$64,MATCH($F352,사건마스터!$A$5:$A$64,0)),""))</f>
        <v/>
      </c>
      <c r="P352" s="136">
        <f>IF($F352="","",IFERROR(INDEX(사건마스터!$AM$5:$AM$64,MATCH($F352,사건마스터!$A$5:$A$64,0)),""))</f>
        <v/>
      </c>
      <c r="Q352" s="136">
        <f>IF($F352="","",IFERROR(INDEX(사건마스터!$AN$5:$AN$64,MATCH($F352,사건마스터!$A$5:$A$64,0)),""))</f>
        <v/>
      </c>
      <c r="R352" s="136">
        <f>IF($F352="","",IFERROR(INDEX(사건마스터!$AO$5:$AO$64,MATCH($F352,사건마스터!$A$5:$A$64,0)),""))</f>
        <v/>
      </c>
      <c r="S352" s="136">
        <f>IF($F352="","",IFERROR(INDEX(사건마스터!$AP$5:$AP$64,MATCH($F352,사건마스터!$A$5:$A$64,0)),""))</f>
        <v/>
      </c>
      <c r="T352" s="136">
        <f>IF($F352="","",IFERROR(INDEX(사건마스터!$AQ$5:$AQ$64,MATCH($F352,사건마스터!$A$5:$A$64,0)),""))</f>
        <v/>
      </c>
      <c r="U352" s="136">
        <f>IF($F352="","",IFERROR(INDEX(사건마스터!$AR$5:$AR$64,MATCH($F352,사건마스터!$A$5:$A$64,0)),""))</f>
        <v/>
      </c>
      <c r="V352" s="136">
        <f>IF($F352="","",IFERROR(INDEX(사건마스터!$AS$5:$AS$64,MATCH($F352,사건마스터!$A$5:$A$64,0)),""))</f>
        <v/>
      </c>
      <c r="W352" s="136">
        <f>IF($F352="","",IFERROR(INDEX(사건마스터!$AT$5:$AT$64,MATCH($F352,사건마스터!$A$5:$A$64,0)),""))</f>
        <v/>
      </c>
      <c r="X352" s="136">
        <f>IF($F352="","",IFERROR(INDEX(사건마스터!$AU$5:$AU$64,MATCH($F352,사건마스터!$A$5:$A$64,0)),""))</f>
        <v/>
      </c>
      <c r="Y352" s="136">
        <f>IF($F352="","",IFERROR(INDEX(사건마스터!$AV$5:$AV$64,MATCH($F352,사건마스터!$A$5:$A$64,0)),""))</f>
        <v/>
      </c>
      <c r="Z352" s="118">
        <f>IF(COUNTBLANK($J352:$Y352)=16,"",16-COUNTBLANK($J352:$Y352))</f>
        <v/>
      </c>
      <c r="AA352" s="33">
        <f>IF($J352="",MID($AX352,3,255),$J352&amp;$AX352)</f>
        <v/>
      </c>
      <c r="AB352" s="130">
        <f>IF($J352="","",IFERROR(INDEX(코드설정!$D$5:$D$24,MATCH($J352,코드설정!$C$5:$C$24,0)),""))</f>
        <v/>
      </c>
      <c r="AC352" s="36" t="n"/>
      <c r="AD352" s="37" t="n"/>
      <c r="AE352" s="38" t="n"/>
      <c r="AF352" s="118">
        <f>IF(OR($B352="",$C352=""),"",$C352-$B352+1)</f>
        <v/>
      </c>
      <c r="AG352" s="74" t="n"/>
      <c r="AH352" s="36" t="n"/>
      <c r="AJ352">
        <f>IF($K352="","",", "&amp;$K352)</f>
        <v/>
      </c>
      <c r="AK352">
        <f>AJ352&amp;IF($L352="","",", "&amp;$L352)</f>
        <v/>
      </c>
      <c r="AL352">
        <f>AK352&amp;IF($M352="","",", "&amp;$M352)</f>
        <v/>
      </c>
      <c r="AM352">
        <f>AL352&amp;IF($N352="","",", "&amp;$N352)</f>
        <v/>
      </c>
      <c r="AN352">
        <f>AM352&amp;IF($O352="","",", "&amp;$O352)</f>
        <v/>
      </c>
      <c r="AO352">
        <f>AN352&amp;IF($P352="","",", "&amp;$P352)</f>
        <v/>
      </c>
      <c r="AP352">
        <f>AO352&amp;IF($Q352="","",", "&amp;$Q352)</f>
        <v/>
      </c>
      <c r="AQ352">
        <f>AP352&amp;IF($R352="","",", "&amp;$R352)</f>
        <v/>
      </c>
      <c r="AR352">
        <f>AQ352&amp;IF($S352="","",", "&amp;$S352)</f>
        <v/>
      </c>
      <c r="AS352">
        <f>AR352&amp;IF($T352="","",", "&amp;$T352)</f>
        <v/>
      </c>
      <c r="AT352">
        <f>AS352&amp;IF($U352="","",", "&amp;$U352)</f>
        <v/>
      </c>
      <c r="AU352">
        <f>AT352&amp;IF($V352="","",", "&amp;$V352)</f>
        <v/>
      </c>
      <c r="AV352">
        <f>AU352&amp;IF($W352="","",", "&amp;$W352)</f>
        <v/>
      </c>
      <c r="AW352">
        <f>AV352&amp;IF($X352="","",", "&amp;$X352)</f>
        <v/>
      </c>
      <c r="AX352">
        <f>AW352&amp;IF($Y352="","",", "&amp;$Y352)</f>
        <v/>
      </c>
    </row>
    <row r="353">
      <c r="A353" s="118">
        <f>IF($B353="","",COUNT($B$5:$B353))</f>
        <v/>
      </c>
      <c r="B353" s="80" t="n"/>
      <c r="C353" s="80" t="n"/>
      <c r="D353" s="74" t="n"/>
      <c r="E353" s="74" t="n"/>
      <c r="F353" s="74" t="n"/>
      <c r="G353" s="118">
        <f>IF($F353="","",COUNTIF($F$5:$F353,$F353))</f>
        <v/>
      </c>
      <c r="H353" s="33">
        <f>IF($F353="","",IFERROR(INDEX(사건마스터!$B$5:$B$64,MATCH($F353,사건마스터!$A$5:$A$64,0)),""))</f>
        <v/>
      </c>
      <c r="I353" s="130">
        <f>IF($F353="","",IFERROR(INDEX(사건마스터!$C$5:$C$64,MATCH($F353,사건마스터!$A$5:$A$64,0)),""))</f>
        <v/>
      </c>
      <c r="J353" s="136">
        <f>IF($F353="","",IFERROR(INDEX(사건마스터!$H$5:$H$64,MATCH($F353,사건마스터!$A$5:$A$64,0)),""))</f>
        <v/>
      </c>
      <c r="K353" s="136">
        <f>IF($F353="","",IFERROR(INDEX(사건마스터!$AH$5:$AH$64,MATCH($F353,사건마스터!$A$5:$A$64,0)),""))</f>
        <v/>
      </c>
      <c r="L353" s="136">
        <f>IF($F353="","",IFERROR(INDEX(사건마스터!$AI$5:$AI$64,MATCH($F353,사건마스터!$A$5:$A$64,0)),""))</f>
        <v/>
      </c>
      <c r="M353" s="136">
        <f>IF($F353="","",IFERROR(INDEX(사건마스터!$AJ$5:$AJ$64,MATCH($F353,사건마스터!$A$5:$A$64,0)),""))</f>
        <v/>
      </c>
      <c r="N353" s="136">
        <f>IF($F353="","",IFERROR(INDEX(사건마스터!$AK$5:$AK$64,MATCH($F353,사건마스터!$A$5:$A$64,0)),""))</f>
        <v/>
      </c>
      <c r="O353" s="136">
        <f>IF($F353="","",IFERROR(INDEX(사건마스터!$AL$5:$AL$64,MATCH($F353,사건마스터!$A$5:$A$64,0)),""))</f>
        <v/>
      </c>
      <c r="P353" s="136">
        <f>IF($F353="","",IFERROR(INDEX(사건마스터!$AM$5:$AM$64,MATCH($F353,사건마스터!$A$5:$A$64,0)),""))</f>
        <v/>
      </c>
      <c r="Q353" s="136">
        <f>IF($F353="","",IFERROR(INDEX(사건마스터!$AN$5:$AN$64,MATCH($F353,사건마스터!$A$5:$A$64,0)),""))</f>
        <v/>
      </c>
      <c r="R353" s="136">
        <f>IF($F353="","",IFERROR(INDEX(사건마스터!$AO$5:$AO$64,MATCH($F353,사건마스터!$A$5:$A$64,0)),""))</f>
        <v/>
      </c>
      <c r="S353" s="136">
        <f>IF($F353="","",IFERROR(INDEX(사건마스터!$AP$5:$AP$64,MATCH($F353,사건마스터!$A$5:$A$64,0)),""))</f>
        <v/>
      </c>
      <c r="T353" s="136">
        <f>IF($F353="","",IFERROR(INDEX(사건마스터!$AQ$5:$AQ$64,MATCH($F353,사건마스터!$A$5:$A$64,0)),""))</f>
        <v/>
      </c>
      <c r="U353" s="136">
        <f>IF($F353="","",IFERROR(INDEX(사건마스터!$AR$5:$AR$64,MATCH($F353,사건마스터!$A$5:$A$64,0)),""))</f>
        <v/>
      </c>
      <c r="V353" s="136">
        <f>IF($F353="","",IFERROR(INDEX(사건마스터!$AS$5:$AS$64,MATCH($F353,사건마스터!$A$5:$A$64,0)),""))</f>
        <v/>
      </c>
      <c r="W353" s="136">
        <f>IF($F353="","",IFERROR(INDEX(사건마스터!$AT$5:$AT$64,MATCH($F353,사건마스터!$A$5:$A$64,0)),""))</f>
        <v/>
      </c>
      <c r="X353" s="136">
        <f>IF($F353="","",IFERROR(INDEX(사건마스터!$AU$5:$AU$64,MATCH($F353,사건마스터!$A$5:$A$64,0)),""))</f>
        <v/>
      </c>
      <c r="Y353" s="136">
        <f>IF($F353="","",IFERROR(INDEX(사건마스터!$AV$5:$AV$64,MATCH($F353,사건마스터!$A$5:$A$64,0)),""))</f>
        <v/>
      </c>
      <c r="Z353" s="118">
        <f>IF(COUNTBLANK($J353:$Y353)=16,"",16-COUNTBLANK($J353:$Y353))</f>
        <v/>
      </c>
      <c r="AA353" s="33">
        <f>IF($J353="",MID($AX353,3,255),$J353&amp;$AX353)</f>
        <v/>
      </c>
      <c r="AB353" s="130">
        <f>IF($J353="","",IFERROR(INDEX(코드설정!$D$5:$D$24,MATCH($J353,코드설정!$C$5:$C$24,0)),""))</f>
        <v/>
      </c>
      <c r="AC353" s="36" t="n"/>
      <c r="AD353" s="37" t="n"/>
      <c r="AE353" s="38" t="n"/>
      <c r="AF353" s="118">
        <f>IF(OR($B353="",$C353=""),"",$C353-$B353+1)</f>
        <v/>
      </c>
      <c r="AG353" s="74" t="n"/>
      <c r="AH353" s="36" t="n"/>
      <c r="AJ353">
        <f>IF($K353="","",", "&amp;$K353)</f>
        <v/>
      </c>
      <c r="AK353">
        <f>AJ353&amp;IF($L353="","",", "&amp;$L353)</f>
        <v/>
      </c>
      <c r="AL353">
        <f>AK353&amp;IF($M353="","",", "&amp;$M353)</f>
        <v/>
      </c>
      <c r="AM353">
        <f>AL353&amp;IF($N353="","",", "&amp;$N353)</f>
        <v/>
      </c>
      <c r="AN353">
        <f>AM353&amp;IF($O353="","",", "&amp;$O353)</f>
        <v/>
      </c>
      <c r="AO353">
        <f>AN353&amp;IF($P353="","",", "&amp;$P353)</f>
        <v/>
      </c>
      <c r="AP353">
        <f>AO353&amp;IF($Q353="","",", "&amp;$Q353)</f>
        <v/>
      </c>
      <c r="AQ353">
        <f>AP353&amp;IF($R353="","",", "&amp;$R353)</f>
        <v/>
      </c>
      <c r="AR353">
        <f>AQ353&amp;IF($S353="","",", "&amp;$S353)</f>
        <v/>
      </c>
      <c r="AS353">
        <f>AR353&amp;IF($T353="","",", "&amp;$T353)</f>
        <v/>
      </c>
      <c r="AT353">
        <f>AS353&amp;IF($U353="","",", "&amp;$U353)</f>
        <v/>
      </c>
      <c r="AU353">
        <f>AT353&amp;IF($V353="","",", "&amp;$V353)</f>
        <v/>
      </c>
      <c r="AV353">
        <f>AU353&amp;IF($W353="","",", "&amp;$W353)</f>
        <v/>
      </c>
      <c r="AW353">
        <f>AV353&amp;IF($X353="","",", "&amp;$X353)</f>
        <v/>
      </c>
      <c r="AX353">
        <f>AW353&amp;IF($Y353="","",", "&amp;$Y353)</f>
        <v/>
      </c>
    </row>
    <row r="354">
      <c r="A354" s="118">
        <f>IF($B354="","",COUNT($B$5:$B354))</f>
        <v/>
      </c>
      <c r="B354" s="80" t="n"/>
      <c r="C354" s="80" t="n"/>
      <c r="D354" s="74" t="n"/>
      <c r="E354" s="74" t="n"/>
      <c r="F354" s="74" t="n"/>
      <c r="G354" s="118">
        <f>IF($F354="","",COUNTIF($F$5:$F354,$F354))</f>
        <v/>
      </c>
      <c r="H354" s="33">
        <f>IF($F354="","",IFERROR(INDEX(사건마스터!$B$5:$B$64,MATCH($F354,사건마스터!$A$5:$A$64,0)),""))</f>
        <v/>
      </c>
      <c r="I354" s="130">
        <f>IF($F354="","",IFERROR(INDEX(사건마스터!$C$5:$C$64,MATCH($F354,사건마스터!$A$5:$A$64,0)),""))</f>
        <v/>
      </c>
      <c r="J354" s="136">
        <f>IF($F354="","",IFERROR(INDEX(사건마스터!$H$5:$H$64,MATCH($F354,사건마스터!$A$5:$A$64,0)),""))</f>
        <v/>
      </c>
      <c r="K354" s="136">
        <f>IF($F354="","",IFERROR(INDEX(사건마스터!$AH$5:$AH$64,MATCH($F354,사건마스터!$A$5:$A$64,0)),""))</f>
        <v/>
      </c>
      <c r="L354" s="136">
        <f>IF($F354="","",IFERROR(INDEX(사건마스터!$AI$5:$AI$64,MATCH($F354,사건마스터!$A$5:$A$64,0)),""))</f>
        <v/>
      </c>
      <c r="M354" s="136">
        <f>IF($F354="","",IFERROR(INDEX(사건마스터!$AJ$5:$AJ$64,MATCH($F354,사건마스터!$A$5:$A$64,0)),""))</f>
        <v/>
      </c>
      <c r="N354" s="136">
        <f>IF($F354="","",IFERROR(INDEX(사건마스터!$AK$5:$AK$64,MATCH($F354,사건마스터!$A$5:$A$64,0)),""))</f>
        <v/>
      </c>
      <c r="O354" s="136">
        <f>IF($F354="","",IFERROR(INDEX(사건마스터!$AL$5:$AL$64,MATCH($F354,사건마스터!$A$5:$A$64,0)),""))</f>
        <v/>
      </c>
      <c r="P354" s="136">
        <f>IF($F354="","",IFERROR(INDEX(사건마스터!$AM$5:$AM$64,MATCH($F354,사건마스터!$A$5:$A$64,0)),""))</f>
        <v/>
      </c>
      <c r="Q354" s="136">
        <f>IF($F354="","",IFERROR(INDEX(사건마스터!$AN$5:$AN$64,MATCH($F354,사건마스터!$A$5:$A$64,0)),""))</f>
        <v/>
      </c>
      <c r="R354" s="136">
        <f>IF($F354="","",IFERROR(INDEX(사건마스터!$AO$5:$AO$64,MATCH($F354,사건마스터!$A$5:$A$64,0)),""))</f>
        <v/>
      </c>
      <c r="S354" s="136">
        <f>IF($F354="","",IFERROR(INDEX(사건마스터!$AP$5:$AP$64,MATCH($F354,사건마스터!$A$5:$A$64,0)),""))</f>
        <v/>
      </c>
      <c r="T354" s="136">
        <f>IF($F354="","",IFERROR(INDEX(사건마스터!$AQ$5:$AQ$64,MATCH($F354,사건마스터!$A$5:$A$64,0)),""))</f>
        <v/>
      </c>
      <c r="U354" s="136">
        <f>IF($F354="","",IFERROR(INDEX(사건마스터!$AR$5:$AR$64,MATCH($F354,사건마스터!$A$5:$A$64,0)),""))</f>
        <v/>
      </c>
      <c r="V354" s="136">
        <f>IF($F354="","",IFERROR(INDEX(사건마스터!$AS$5:$AS$64,MATCH($F354,사건마스터!$A$5:$A$64,0)),""))</f>
        <v/>
      </c>
      <c r="W354" s="136">
        <f>IF($F354="","",IFERROR(INDEX(사건마스터!$AT$5:$AT$64,MATCH($F354,사건마스터!$A$5:$A$64,0)),""))</f>
        <v/>
      </c>
      <c r="X354" s="136">
        <f>IF($F354="","",IFERROR(INDEX(사건마스터!$AU$5:$AU$64,MATCH($F354,사건마스터!$A$5:$A$64,0)),""))</f>
        <v/>
      </c>
      <c r="Y354" s="136">
        <f>IF($F354="","",IFERROR(INDEX(사건마스터!$AV$5:$AV$64,MATCH($F354,사건마스터!$A$5:$A$64,0)),""))</f>
        <v/>
      </c>
      <c r="Z354" s="118">
        <f>IF(COUNTBLANK($J354:$Y354)=16,"",16-COUNTBLANK($J354:$Y354))</f>
        <v/>
      </c>
      <c r="AA354" s="33">
        <f>IF($J354="",MID($AX354,3,255),$J354&amp;$AX354)</f>
        <v/>
      </c>
      <c r="AB354" s="130">
        <f>IF($J354="","",IFERROR(INDEX(코드설정!$D$5:$D$24,MATCH($J354,코드설정!$C$5:$C$24,0)),""))</f>
        <v/>
      </c>
      <c r="AC354" s="36" t="n"/>
      <c r="AD354" s="37" t="n"/>
      <c r="AE354" s="38" t="n"/>
      <c r="AF354" s="118">
        <f>IF(OR($B354="",$C354=""),"",$C354-$B354+1)</f>
        <v/>
      </c>
      <c r="AG354" s="74" t="n"/>
      <c r="AH354" s="36" t="n"/>
      <c r="AJ354">
        <f>IF($K354="","",", "&amp;$K354)</f>
        <v/>
      </c>
      <c r="AK354">
        <f>AJ354&amp;IF($L354="","",", "&amp;$L354)</f>
        <v/>
      </c>
      <c r="AL354">
        <f>AK354&amp;IF($M354="","",", "&amp;$M354)</f>
        <v/>
      </c>
      <c r="AM354">
        <f>AL354&amp;IF($N354="","",", "&amp;$N354)</f>
        <v/>
      </c>
      <c r="AN354">
        <f>AM354&amp;IF($O354="","",", "&amp;$O354)</f>
        <v/>
      </c>
      <c r="AO354">
        <f>AN354&amp;IF($P354="","",", "&amp;$P354)</f>
        <v/>
      </c>
      <c r="AP354">
        <f>AO354&amp;IF($Q354="","",", "&amp;$Q354)</f>
        <v/>
      </c>
      <c r="AQ354">
        <f>AP354&amp;IF($R354="","",", "&amp;$R354)</f>
        <v/>
      </c>
      <c r="AR354">
        <f>AQ354&amp;IF($S354="","",", "&amp;$S354)</f>
        <v/>
      </c>
      <c r="AS354">
        <f>AR354&amp;IF($T354="","",", "&amp;$T354)</f>
        <v/>
      </c>
      <c r="AT354">
        <f>AS354&amp;IF($U354="","",", "&amp;$U354)</f>
        <v/>
      </c>
      <c r="AU354">
        <f>AT354&amp;IF($V354="","",", "&amp;$V354)</f>
        <v/>
      </c>
      <c r="AV354">
        <f>AU354&amp;IF($W354="","",", "&amp;$W354)</f>
        <v/>
      </c>
      <c r="AW354">
        <f>AV354&amp;IF($X354="","",", "&amp;$X354)</f>
        <v/>
      </c>
      <c r="AX354">
        <f>AW354&amp;IF($Y354="","",", "&amp;$Y354)</f>
        <v/>
      </c>
    </row>
    <row r="355">
      <c r="A355" s="118">
        <f>IF($B355="","",COUNT($B$5:$B355))</f>
        <v/>
      </c>
      <c r="B355" s="80" t="n"/>
      <c r="C355" s="80" t="n"/>
      <c r="D355" s="74" t="n"/>
      <c r="E355" s="74" t="n"/>
      <c r="F355" s="74" t="n"/>
      <c r="G355" s="118">
        <f>IF($F355="","",COUNTIF($F$5:$F355,$F355))</f>
        <v/>
      </c>
      <c r="H355" s="33">
        <f>IF($F355="","",IFERROR(INDEX(사건마스터!$B$5:$B$64,MATCH($F355,사건마스터!$A$5:$A$64,0)),""))</f>
        <v/>
      </c>
      <c r="I355" s="130">
        <f>IF($F355="","",IFERROR(INDEX(사건마스터!$C$5:$C$64,MATCH($F355,사건마스터!$A$5:$A$64,0)),""))</f>
        <v/>
      </c>
      <c r="J355" s="136">
        <f>IF($F355="","",IFERROR(INDEX(사건마스터!$H$5:$H$64,MATCH($F355,사건마스터!$A$5:$A$64,0)),""))</f>
        <v/>
      </c>
      <c r="K355" s="136">
        <f>IF($F355="","",IFERROR(INDEX(사건마스터!$AH$5:$AH$64,MATCH($F355,사건마스터!$A$5:$A$64,0)),""))</f>
        <v/>
      </c>
      <c r="L355" s="136">
        <f>IF($F355="","",IFERROR(INDEX(사건마스터!$AI$5:$AI$64,MATCH($F355,사건마스터!$A$5:$A$64,0)),""))</f>
        <v/>
      </c>
      <c r="M355" s="136">
        <f>IF($F355="","",IFERROR(INDEX(사건마스터!$AJ$5:$AJ$64,MATCH($F355,사건마스터!$A$5:$A$64,0)),""))</f>
        <v/>
      </c>
      <c r="N355" s="136">
        <f>IF($F355="","",IFERROR(INDEX(사건마스터!$AK$5:$AK$64,MATCH($F355,사건마스터!$A$5:$A$64,0)),""))</f>
        <v/>
      </c>
      <c r="O355" s="136">
        <f>IF($F355="","",IFERROR(INDEX(사건마스터!$AL$5:$AL$64,MATCH($F355,사건마스터!$A$5:$A$64,0)),""))</f>
        <v/>
      </c>
      <c r="P355" s="136">
        <f>IF($F355="","",IFERROR(INDEX(사건마스터!$AM$5:$AM$64,MATCH($F355,사건마스터!$A$5:$A$64,0)),""))</f>
        <v/>
      </c>
      <c r="Q355" s="136">
        <f>IF($F355="","",IFERROR(INDEX(사건마스터!$AN$5:$AN$64,MATCH($F355,사건마스터!$A$5:$A$64,0)),""))</f>
        <v/>
      </c>
      <c r="R355" s="136">
        <f>IF($F355="","",IFERROR(INDEX(사건마스터!$AO$5:$AO$64,MATCH($F355,사건마스터!$A$5:$A$64,0)),""))</f>
        <v/>
      </c>
      <c r="S355" s="136">
        <f>IF($F355="","",IFERROR(INDEX(사건마스터!$AP$5:$AP$64,MATCH($F355,사건마스터!$A$5:$A$64,0)),""))</f>
        <v/>
      </c>
      <c r="T355" s="136">
        <f>IF($F355="","",IFERROR(INDEX(사건마스터!$AQ$5:$AQ$64,MATCH($F355,사건마스터!$A$5:$A$64,0)),""))</f>
        <v/>
      </c>
      <c r="U355" s="136">
        <f>IF($F355="","",IFERROR(INDEX(사건마스터!$AR$5:$AR$64,MATCH($F355,사건마스터!$A$5:$A$64,0)),""))</f>
        <v/>
      </c>
      <c r="V355" s="136">
        <f>IF($F355="","",IFERROR(INDEX(사건마스터!$AS$5:$AS$64,MATCH($F355,사건마스터!$A$5:$A$64,0)),""))</f>
        <v/>
      </c>
      <c r="W355" s="136">
        <f>IF($F355="","",IFERROR(INDEX(사건마스터!$AT$5:$AT$64,MATCH($F355,사건마스터!$A$5:$A$64,0)),""))</f>
        <v/>
      </c>
      <c r="X355" s="136">
        <f>IF($F355="","",IFERROR(INDEX(사건마스터!$AU$5:$AU$64,MATCH($F355,사건마스터!$A$5:$A$64,0)),""))</f>
        <v/>
      </c>
      <c r="Y355" s="136">
        <f>IF($F355="","",IFERROR(INDEX(사건마스터!$AV$5:$AV$64,MATCH($F355,사건마스터!$A$5:$A$64,0)),""))</f>
        <v/>
      </c>
      <c r="Z355" s="118">
        <f>IF(COUNTBLANK($J355:$Y355)=16,"",16-COUNTBLANK($J355:$Y355))</f>
        <v/>
      </c>
      <c r="AA355" s="33">
        <f>IF($J355="",MID($AX355,3,255),$J355&amp;$AX355)</f>
        <v/>
      </c>
      <c r="AB355" s="130">
        <f>IF($J355="","",IFERROR(INDEX(코드설정!$D$5:$D$24,MATCH($J355,코드설정!$C$5:$C$24,0)),""))</f>
        <v/>
      </c>
      <c r="AC355" s="36" t="n"/>
      <c r="AD355" s="37" t="n"/>
      <c r="AE355" s="38" t="n"/>
      <c r="AF355" s="118">
        <f>IF(OR($B355="",$C355=""),"",$C355-$B355+1)</f>
        <v/>
      </c>
      <c r="AG355" s="74" t="n"/>
      <c r="AH355" s="36" t="n"/>
      <c r="AJ355">
        <f>IF($K355="","",", "&amp;$K355)</f>
        <v/>
      </c>
      <c r="AK355">
        <f>AJ355&amp;IF($L355="","",", "&amp;$L355)</f>
        <v/>
      </c>
      <c r="AL355">
        <f>AK355&amp;IF($M355="","",", "&amp;$M355)</f>
        <v/>
      </c>
      <c r="AM355">
        <f>AL355&amp;IF($N355="","",", "&amp;$N355)</f>
        <v/>
      </c>
      <c r="AN355">
        <f>AM355&amp;IF($O355="","",", "&amp;$O355)</f>
        <v/>
      </c>
      <c r="AO355">
        <f>AN355&amp;IF($P355="","",", "&amp;$P355)</f>
        <v/>
      </c>
      <c r="AP355">
        <f>AO355&amp;IF($Q355="","",", "&amp;$Q355)</f>
        <v/>
      </c>
      <c r="AQ355">
        <f>AP355&amp;IF($R355="","",", "&amp;$R355)</f>
        <v/>
      </c>
      <c r="AR355">
        <f>AQ355&amp;IF($S355="","",", "&amp;$S355)</f>
        <v/>
      </c>
      <c r="AS355">
        <f>AR355&amp;IF($T355="","",", "&amp;$T355)</f>
        <v/>
      </c>
      <c r="AT355">
        <f>AS355&amp;IF($U355="","",", "&amp;$U355)</f>
        <v/>
      </c>
      <c r="AU355">
        <f>AT355&amp;IF($V355="","",", "&amp;$V355)</f>
        <v/>
      </c>
      <c r="AV355">
        <f>AU355&amp;IF($W355="","",", "&amp;$W355)</f>
        <v/>
      </c>
      <c r="AW355">
        <f>AV355&amp;IF($X355="","",", "&amp;$X355)</f>
        <v/>
      </c>
      <c r="AX355">
        <f>AW355&amp;IF($Y355="","",", "&amp;$Y355)</f>
        <v/>
      </c>
    </row>
    <row r="356">
      <c r="A356" s="118">
        <f>IF($B356="","",COUNT($B$5:$B356))</f>
        <v/>
      </c>
      <c r="B356" s="80" t="n"/>
      <c r="C356" s="80" t="n"/>
      <c r="D356" s="74" t="n"/>
      <c r="E356" s="74" t="n"/>
      <c r="F356" s="74" t="n"/>
      <c r="G356" s="118">
        <f>IF($F356="","",COUNTIF($F$5:$F356,$F356))</f>
        <v/>
      </c>
      <c r="H356" s="33">
        <f>IF($F356="","",IFERROR(INDEX(사건마스터!$B$5:$B$64,MATCH($F356,사건마스터!$A$5:$A$64,0)),""))</f>
        <v/>
      </c>
      <c r="I356" s="130">
        <f>IF($F356="","",IFERROR(INDEX(사건마스터!$C$5:$C$64,MATCH($F356,사건마스터!$A$5:$A$64,0)),""))</f>
        <v/>
      </c>
      <c r="J356" s="136">
        <f>IF($F356="","",IFERROR(INDEX(사건마스터!$H$5:$H$64,MATCH($F356,사건마스터!$A$5:$A$64,0)),""))</f>
        <v/>
      </c>
      <c r="K356" s="136">
        <f>IF($F356="","",IFERROR(INDEX(사건마스터!$AH$5:$AH$64,MATCH($F356,사건마스터!$A$5:$A$64,0)),""))</f>
        <v/>
      </c>
      <c r="L356" s="136">
        <f>IF($F356="","",IFERROR(INDEX(사건마스터!$AI$5:$AI$64,MATCH($F356,사건마스터!$A$5:$A$64,0)),""))</f>
        <v/>
      </c>
      <c r="M356" s="136">
        <f>IF($F356="","",IFERROR(INDEX(사건마스터!$AJ$5:$AJ$64,MATCH($F356,사건마스터!$A$5:$A$64,0)),""))</f>
        <v/>
      </c>
      <c r="N356" s="136">
        <f>IF($F356="","",IFERROR(INDEX(사건마스터!$AK$5:$AK$64,MATCH($F356,사건마스터!$A$5:$A$64,0)),""))</f>
        <v/>
      </c>
      <c r="O356" s="136">
        <f>IF($F356="","",IFERROR(INDEX(사건마스터!$AL$5:$AL$64,MATCH($F356,사건마스터!$A$5:$A$64,0)),""))</f>
        <v/>
      </c>
      <c r="P356" s="136">
        <f>IF($F356="","",IFERROR(INDEX(사건마스터!$AM$5:$AM$64,MATCH($F356,사건마스터!$A$5:$A$64,0)),""))</f>
        <v/>
      </c>
      <c r="Q356" s="136">
        <f>IF($F356="","",IFERROR(INDEX(사건마스터!$AN$5:$AN$64,MATCH($F356,사건마스터!$A$5:$A$64,0)),""))</f>
        <v/>
      </c>
      <c r="R356" s="136">
        <f>IF($F356="","",IFERROR(INDEX(사건마스터!$AO$5:$AO$64,MATCH($F356,사건마스터!$A$5:$A$64,0)),""))</f>
        <v/>
      </c>
      <c r="S356" s="136">
        <f>IF($F356="","",IFERROR(INDEX(사건마스터!$AP$5:$AP$64,MATCH($F356,사건마스터!$A$5:$A$64,0)),""))</f>
        <v/>
      </c>
      <c r="T356" s="136">
        <f>IF($F356="","",IFERROR(INDEX(사건마스터!$AQ$5:$AQ$64,MATCH($F356,사건마스터!$A$5:$A$64,0)),""))</f>
        <v/>
      </c>
      <c r="U356" s="136">
        <f>IF($F356="","",IFERROR(INDEX(사건마스터!$AR$5:$AR$64,MATCH($F356,사건마스터!$A$5:$A$64,0)),""))</f>
        <v/>
      </c>
      <c r="V356" s="136">
        <f>IF($F356="","",IFERROR(INDEX(사건마스터!$AS$5:$AS$64,MATCH($F356,사건마스터!$A$5:$A$64,0)),""))</f>
        <v/>
      </c>
      <c r="W356" s="136">
        <f>IF($F356="","",IFERROR(INDEX(사건마스터!$AT$5:$AT$64,MATCH($F356,사건마스터!$A$5:$A$64,0)),""))</f>
        <v/>
      </c>
      <c r="X356" s="136">
        <f>IF($F356="","",IFERROR(INDEX(사건마스터!$AU$5:$AU$64,MATCH($F356,사건마스터!$A$5:$A$64,0)),""))</f>
        <v/>
      </c>
      <c r="Y356" s="136">
        <f>IF($F356="","",IFERROR(INDEX(사건마스터!$AV$5:$AV$64,MATCH($F356,사건마스터!$A$5:$A$64,0)),""))</f>
        <v/>
      </c>
      <c r="Z356" s="118">
        <f>IF(COUNTBLANK($J356:$Y356)=16,"",16-COUNTBLANK($J356:$Y356))</f>
        <v/>
      </c>
      <c r="AA356" s="33">
        <f>IF($J356="",MID($AX356,3,255),$J356&amp;$AX356)</f>
        <v/>
      </c>
      <c r="AB356" s="130">
        <f>IF($J356="","",IFERROR(INDEX(코드설정!$D$5:$D$24,MATCH($J356,코드설정!$C$5:$C$24,0)),""))</f>
        <v/>
      </c>
      <c r="AC356" s="36" t="n"/>
      <c r="AD356" s="37" t="n"/>
      <c r="AE356" s="38" t="n"/>
      <c r="AF356" s="118">
        <f>IF(OR($B356="",$C356=""),"",$C356-$B356+1)</f>
        <v/>
      </c>
      <c r="AG356" s="74" t="n"/>
      <c r="AH356" s="36" t="n"/>
      <c r="AJ356">
        <f>IF($K356="","",", "&amp;$K356)</f>
        <v/>
      </c>
      <c r="AK356">
        <f>AJ356&amp;IF($L356="","",", "&amp;$L356)</f>
        <v/>
      </c>
      <c r="AL356">
        <f>AK356&amp;IF($M356="","",", "&amp;$M356)</f>
        <v/>
      </c>
      <c r="AM356">
        <f>AL356&amp;IF($N356="","",", "&amp;$N356)</f>
        <v/>
      </c>
      <c r="AN356">
        <f>AM356&amp;IF($O356="","",", "&amp;$O356)</f>
        <v/>
      </c>
      <c r="AO356">
        <f>AN356&amp;IF($P356="","",", "&amp;$P356)</f>
        <v/>
      </c>
      <c r="AP356">
        <f>AO356&amp;IF($Q356="","",", "&amp;$Q356)</f>
        <v/>
      </c>
      <c r="AQ356">
        <f>AP356&amp;IF($R356="","",", "&amp;$R356)</f>
        <v/>
      </c>
      <c r="AR356">
        <f>AQ356&amp;IF($S356="","",", "&amp;$S356)</f>
        <v/>
      </c>
      <c r="AS356">
        <f>AR356&amp;IF($T356="","",", "&amp;$T356)</f>
        <v/>
      </c>
      <c r="AT356">
        <f>AS356&amp;IF($U356="","",", "&amp;$U356)</f>
        <v/>
      </c>
      <c r="AU356">
        <f>AT356&amp;IF($V356="","",", "&amp;$V356)</f>
        <v/>
      </c>
      <c r="AV356">
        <f>AU356&amp;IF($W356="","",", "&amp;$W356)</f>
        <v/>
      </c>
      <c r="AW356">
        <f>AV356&amp;IF($X356="","",", "&amp;$X356)</f>
        <v/>
      </c>
      <c r="AX356">
        <f>AW356&amp;IF($Y356="","",", "&amp;$Y356)</f>
        <v/>
      </c>
    </row>
    <row r="357">
      <c r="A357" s="118">
        <f>IF($B357="","",COUNT($B$5:$B357))</f>
        <v/>
      </c>
      <c r="B357" s="80" t="n"/>
      <c r="C357" s="80" t="n"/>
      <c r="D357" s="74" t="n"/>
      <c r="E357" s="74" t="n"/>
      <c r="F357" s="74" t="n"/>
      <c r="G357" s="118">
        <f>IF($F357="","",COUNTIF($F$5:$F357,$F357))</f>
        <v/>
      </c>
      <c r="H357" s="33">
        <f>IF($F357="","",IFERROR(INDEX(사건마스터!$B$5:$B$64,MATCH($F357,사건마스터!$A$5:$A$64,0)),""))</f>
        <v/>
      </c>
      <c r="I357" s="130">
        <f>IF($F357="","",IFERROR(INDEX(사건마스터!$C$5:$C$64,MATCH($F357,사건마스터!$A$5:$A$64,0)),""))</f>
        <v/>
      </c>
      <c r="J357" s="136">
        <f>IF($F357="","",IFERROR(INDEX(사건마스터!$H$5:$H$64,MATCH($F357,사건마스터!$A$5:$A$64,0)),""))</f>
        <v/>
      </c>
      <c r="K357" s="136">
        <f>IF($F357="","",IFERROR(INDEX(사건마스터!$AH$5:$AH$64,MATCH($F357,사건마스터!$A$5:$A$64,0)),""))</f>
        <v/>
      </c>
      <c r="L357" s="136">
        <f>IF($F357="","",IFERROR(INDEX(사건마스터!$AI$5:$AI$64,MATCH($F357,사건마스터!$A$5:$A$64,0)),""))</f>
        <v/>
      </c>
      <c r="M357" s="136">
        <f>IF($F357="","",IFERROR(INDEX(사건마스터!$AJ$5:$AJ$64,MATCH($F357,사건마스터!$A$5:$A$64,0)),""))</f>
        <v/>
      </c>
      <c r="N357" s="136">
        <f>IF($F357="","",IFERROR(INDEX(사건마스터!$AK$5:$AK$64,MATCH($F357,사건마스터!$A$5:$A$64,0)),""))</f>
        <v/>
      </c>
      <c r="O357" s="136">
        <f>IF($F357="","",IFERROR(INDEX(사건마스터!$AL$5:$AL$64,MATCH($F357,사건마스터!$A$5:$A$64,0)),""))</f>
        <v/>
      </c>
      <c r="P357" s="136">
        <f>IF($F357="","",IFERROR(INDEX(사건마스터!$AM$5:$AM$64,MATCH($F357,사건마스터!$A$5:$A$64,0)),""))</f>
        <v/>
      </c>
      <c r="Q357" s="136">
        <f>IF($F357="","",IFERROR(INDEX(사건마스터!$AN$5:$AN$64,MATCH($F357,사건마스터!$A$5:$A$64,0)),""))</f>
        <v/>
      </c>
      <c r="R357" s="136">
        <f>IF($F357="","",IFERROR(INDEX(사건마스터!$AO$5:$AO$64,MATCH($F357,사건마스터!$A$5:$A$64,0)),""))</f>
        <v/>
      </c>
      <c r="S357" s="136">
        <f>IF($F357="","",IFERROR(INDEX(사건마스터!$AP$5:$AP$64,MATCH($F357,사건마스터!$A$5:$A$64,0)),""))</f>
        <v/>
      </c>
      <c r="T357" s="136">
        <f>IF($F357="","",IFERROR(INDEX(사건마스터!$AQ$5:$AQ$64,MATCH($F357,사건마스터!$A$5:$A$64,0)),""))</f>
        <v/>
      </c>
      <c r="U357" s="136">
        <f>IF($F357="","",IFERROR(INDEX(사건마스터!$AR$5:$AR$64,MATCH($F357,사건마스터!$A$5:$A$64,0)),""))</f>
        <v/>
      </c>
      <c r="V357" s="136">
        <f>IF($F357="","",IFERROR(INDEX(사건마스터!$AS$5:$AS$64,MATCH($F357,사건마스터!$A$5:$A$64,0)),""))</f>
        <v/>
      </c>
      <c r="W357" s="136">
        <f>IF($F357="","",IFERROR(INDEX(사건마스터!$AT$5:$AT$64,MATCH($F357,사건마스터!$A$5:$A$64,0)),""))</f>
        <v/>
      </c>
      <c r="X357" s="136">
        <f>IF($F357="","",IFERROR(INDEX(사건마스터!$AU$5:$AU$64,MATCH($F357,사건마스터!$A$5:$A$64,0)),""))</f>
        <v/>
      </c>
      <c r="Y357" s="136">
        <f>IF($F357="","",IFERROR(INDEX(사건마스터!$AV$5:$AV$64,MATCH($F357,사건마스터!$A$5:$A$64,0)),""))</f>
        <v/>
      </c>
      <c r="Z357" s="118">
        <f>IF(COUNTBLANK($J357:$Y357)=16,"",16-COUNTBLANK($J357:$Y357))</f>
        <v/>
      </c>
      <c r="AA357" s="33">
        <f>IF($J357="",MID($AX357,3,255),$J357&amp;$AX357)</f>
        <v/>
      </c>
      <c r="AB357" s="130">
        <f>IF($J357="","",IFERROR(INDEX(코드설정!$D$5:$D$24,MATCH($J357,코드설정!$C$5:$C$24,0)),""))</f>
        <v/>
      </c>
      <c r="AC357" s="36" t="n"/>
      <c r="AD357" s="37" t="n"/>
      <c r="AE357" s="38" t="n"/>
      <c r="AF357" s="118">
        <f>IF(OR($B357="",$C357=""),"",$C357-$B357+1)</f>
        <v/>
      </c>
      <c r="AG357" s="74" t="n"/>
      <c r="AH357" s="36" t="n"/>
      <c r="AJ357">
        <f>IF($K357="","",", "&amp;$K357)</f>
        <v/>
      </c>
      <c r="AK357">
        <f>AJ357&amp;IF($L357="","",", "&amp;$L357)</f>
        <v/>
      </c>
      <c r="AL357">
        <f>AK357&amp;IF($M357="","",", "&amp;$M357)</f>
        <v/>
      </c>
      <c r="AM357">
        <f>AL357&amp;IF($N357="","",", "&amp;$N357)</f>
        <v/>
      </c>
      <c r="AN357">
        <f>AM357&amp;IF($O357="","",", "&amp;$O357)</f>
        <v/>
      </c>
      <c r="AO357">
        <f>AN357&amp;IF($P357="","",", "&amp;$P357)</f>
        <v/>
      </c>
      <c r="AP357">
        <f>AO357&amp;IF($Q357="","",", "&amp;$Q357)</f>
        <v/>
      </c>
      <c r="AQ357">
        <f>AP357&amp;IF($R357="","",", "&amp;$R357)</f>
        <v/>
      </c>
      <c r="AR357">
        <f>AQ357&amp;IF($S357="","",", "&amp;$S357)</f>
        <v/>
      </c>
      <c r="AS357">
        <f>AR357&amp;IF($T357="","",", "&amp;$T357)</f>
        <v/>
      </c>
      <c r="AT357">
        <f>AS357&amp;IF($U357="","",", "&amp;$U357)</f>
        <v/>
      </c>
      <c r="AU357">
        <f>AT357&amp;IF($V357="","",", "&amp;$V357)</f>
        <v/>
      </c>
      <c r="AV357">
        <f>AU357&amp;IF($W357="","",", "&amp;$W357)</f>
        <v/>
      </c>
      <c r="AW357">
        <f>AV357&amp;IF($X357="","",", "&amp;$X357)</f>
        <v/>
      </c>
      <c r="AX357">
        <f>AW357&amp;IF($Y357="","",", "&amp;$Y357)</f>
        <v/>
      </c>
    </row>
    <row r="358">
      <c r="A358" s="118">
        <f>IF($B358="","",COUNT($B$5:$B358))</f>
        <v/>
      </c>
      <c r="B358" s="80" t="n"/>
      <c r="C358" s="80" t="n"/>
      <c r="D358" s="74" t="n"/>
      <c r="E358" s="74" t="n"/>
      <c r="F358" s="74" t="n"/>
      <c r="G358" s="118">
        <f>IF($F358="","",COUNTIF($F$5:$F358,$F358))</f>
        <v/>
      </c>
      <c r="H358" s="33">
        <f>IF($F358="","",IFERROR(INDEX(사건마스터!$B$5:$B$64,MATCH($F358,사건마스터!$A$5:$A$64,0)),""))</f>
        <v/>
      </c>
      <c r="I358" s="130">
        <f>IF($F358="","",IFERROR(INDEX(사건마스터!$C$5:$C$64,MATCH($F358,사건마스터!$A$5:$A$64,0)),""))</f>
        <v/>
      </c>
      <c r="J358" s="136">
        <f>IF($F358="","",IFERROR(INDEX(사건마스터!$H$5:$H$64,MATCH($F358,사건마스터!$A$5:$A$64,0)),""))</f>
        <v/>
      </c>
      <c r="K358" s="136">
        <f>IF($F358="","",IFERROR(INDEX(사건마스터!$AH$5:$AH$64,MATCH($F358,사건마스터!$A$5:$A$64,0)),""))</f>
        <v/>
      </c>
      <c r="L358" s="136">
        <f>IF($F358="","",IFERROR(INDEX(사건마스터!$AI$5:$AI$64,MATCH($F358,사건마스터!$A$5:$A$64,0)),""))</f>
        <v/>
      </c>
      <c r="M358" s="136">
        <f>IF($F358="","",IFERROR(INDEX(사건마스터!$AJ$5:$AJ$64,MATCH($F358,사건마스터!$A$5:$A$64,0)),""))</f>
        <v/>
      </c>
      <c r="N358" s="136">
        <f>IF($F358="","",IFERROR(INDEX(사건마스터!$AK$5:$AK$64,MATCH($F358,사건마스터!$A$5:$A$64,0)),""))</f>
        <v/>
      </c>
      <c r="O358" s="136">
        <f>IF($F358="","",IFERROR(INDEX(사건마스터!$AL$5:$AL$64,MATCH($F358,사건마스터!$A$5:$A$64,0)),""))</f>
        <v/>
      </c>
      <c r="P358" s="136">
        <f>IF($F358="","",IFERROR(INDEX(사건마스터!$AM$5:$AM$64,MATCH($F358,사건마스터!$A$5:$A$64,0)),""))</f>
        <v/>
      </c>
      <c r="Q358" s="136">
        <f>IF($F358="","",IFERROR(INDEX(사건마스터!$AN$5:$AN$64,MATCH($F358,사건마스터!$A$5:$A$64,0)),""))</f>
        <v/>
      </c>
      <c r="R358" s="136">
        <f>IF($F358="","",IFERROR(INDEX(사건마스터!$AO$5:$AO$64,MATCH($F358,사건마스터!$A$5:$A$64,0)),""))</f>
        <v/>
      </c>
      <c r="S358" s="136">
        <f>IF($F358="","",IFERROR(INDEX(사건마스터!$AP$5:$AP$64,MATCH($F358,사건마스터!$A$5:$A$64,0)),""))</f>
        <v/>
      </c>
      <c r="T358" s="136">
        <f>IF($F358="","",IFERROR(INDEX(사건마스터!$AQ$5:$AQ$64,MATCH($F358,사건마스터!$A$5:$A$64,0)),""))</f>
        <v/>
      </c>
      <c r="U358" s="136">
        <f>IF($F358="","",IFERROR(INDEX(사건마스터!$AR$5:$AR$64,MATCH($F358,사건마스터!$A$5:$A$64,0)),""))</f>
        <v/>
      </c>
      <c r="V358" s="136">
        <f>IF($F358="","",IFERROR(INDEX(사건마스터!$AS$5:$AS$64,MATCH($F358,사건마스터!$A$5:$A$64,0)),""))</f>
        <v/>
      </c>
      <c r="W358" s="136">
        <f>IF($F358="","",IFERROR(INDEX(사건마스터!$AT$5:$AT$64,MATCH($F358,사건마스터!$A$5:$A$64,0)),""))</f>
        <v/>
      </c>
      <c r="X358" s="136">
        <f>IF($F358="","",IFERROR(INDEX(사건마스터!$AU$5:$AU$64,MATCH($F358,사건마스터!$A$5:$A$64,0)),""))</f>
        <v/>
      </c>
      <c r="Y358" s="136">
        <f>IF($F358="","",IFERROR(INDEX(사건마스터!$AV$5:$AV$64,MATCH($F358,사건마스터!$A$5:$A$64,0)),""))</f>
        <v/>
      </c>
      <c r="Z358" s="118">
        <f>IF(COUNTBLANK($J358:$Y358)=16,"",16-COUNTBLANK($J358:$Y358))</f>
        <v/>
      </c>
      <c r="AA358" s="33">
        <f>IF($J358="",MID($AX358,3,255),$J358&amp;$AX358)</f>
        <v/>
      </c>
      <c r="AB358" s="130">
        <f>IF($J358="","",IFERROR(INDEX(코드설정!$D$5:$D$24,MATCH($J358,코드설정!$C$5:$C$24,0)),""))</f>
        <v/>
      </c>
      <c r="AC358" s="36" t="n"/>
      <c r="AD358" s="37" t="n"/>
      <c r="AE358" s="38" t="n"/>
      <c r="AF358" s="118">
        <f>IF(OR($B358="",$C358=""),"",$C358-$B358+1)</f>
        <v/>
      </c>
      <c r="AG358" s="74" t="n"/>
      <c r="AH358" s="36" t="n"/>
      <c r="AJ358">
        <f>IF($K358="","",", "&amp;$K358)</f>
        <v/>
      </c>
      <c r="AK358">
        <f>AJ358&amp;IF($L358="","",", "&amp;$L358)</f>
        <v/>
      </c>
      <c r="AL358">
        <f>AK358&amp;IF($M358="","",", "&amp;$M358)</f>
        <v/>
      </c>
      <c r="AM358">
        <f>AL358&amp;IF($N358="","",", "&amp;$N358)</f>
        <v/>
      </c>
      <c r="AN358">
        <f>AM358&amp;IF($O358="","",", "&amp;$O358)</f>
        <v/>
      </c>
      <c r="AO358">
        <f>AN358&amp;IF($P358="","",", "&amp;$P358)</f>
        <v/>
      </c>
      <c r="AP358">
        <f>AO358&amp;IF($Q358="","",", "&amp;$Q358)</f>
        <v/>
      </c>
      <c r="AQ358">
        <f>AP358&amp;IF($R358="","",", "&amp;$R358)</f>
        <v/>
      </c>
      <c r="AR358">
        <f>AQ358&amp;IF($S358="","",", "&amp;$S358)</f>
        <v/>
      </c>
      <c r="AS358">
        <f>AR358&amp;IF($T358="","",", "&amp;$T358)</f>
        <v/>
      </c>
      <c r="AT358">
        <f>AS358&amp;IF($U358="","",", "&amp;$U358)</f>
        <v/>
      </c>
      <c r="AU358">
        <f>AT358&amp;IF($V358="","",", "&amp;$V358)</f>
        <v/>
      </c>
      <c r="AV358">
        <f>AU358&amp;IF($W358="","",", "&amp;$W358)</f>
        <v/>
      </c>
      <c r="AW358">
        <f>AV358&amp;IF($X358="","",", "&amp;$X358)</f>
        <v/>
      </c>
      <c r="AX358">
        <f>AW358&amp;IF($Y358="","",", "&amp;$Y358)</f>
        <v/>
      </c>
    </row>
    <row r="359">
      <c r="A359" s="118">
        <f>IF($B359="","",COUNT($B$5:$B359))</f>
        <v/>
      </c>
      <c r="B359" s="80" t="n"/>
      <c r="C359" s="80" t="n"/>
      <c r="D359" s="74" t="n"/>
      <c r="E359" s="74" t="n"/>
      <c r="F359" s="74" t="n"/>
      <c r="G359" s="118">
        <f>IF($F359="","",COUNTIF($F$5:$F359,$F359))</f>
        <v/>
      </c>
      <c r="H359" s="33">
        <f>IF($F359="","",IFERROR(INDEX(사건마스터!$B$5:$B$64,MATCH($F359,사건마스터!$A$5:$A$64,0)),""))</f>
        <v/>
      </c>
      <c r="I359" s="130">
        <f>IF($F359="","",IFERROR(INDEX(사건마스터!$C$5:$C$64,MATCH($F359,사건마스터!$A$5:$A$64,0)),""))</f>
        <v/>
      </c>
      <c r="J359" s="136">
        <f>IF($F359="","",IFERROR(INDEX(사건마스터!$H$5:$H$64,MATCH($F359,사건마스터!$A$5:$A$64,0)),""))</f>
        <v/>
      </c>
      <c r="K359" s="136">
        <f>IF($F359="","",IFERROR(INDEX(사건마스터!$AH$5:$AH$64,MATCH($F359,사건마스터!$A$5:$A$64,0)),""))</f>
        <v/>
      </c>
      <c r="L359" s="136">
        <f>IF($F359="","",IFERROR(INDEX(사건마스터!$AI$5:$AI$64,MATCH($F359,사건마스터!$A$5:$A$64,0)),""))</f>
        <v/>
      </c>
      <c r="M359" s="136">
        <f>IF($F359="","",IFERROR(INDEX(사건마스터!$AJ$5:$AJ$64,MATCH($F359,사건마스터!$A$5:$A$64,0)),""))</f>
        <v/>
      </c>
      <c r="N359" s="136">
        <f>IF($F359="","",IFERROR(INDEX(사건마스터!$AK$5:$AK$64,MATCH($F359,사건마스터!$A$5:$A$64,0)),""))</f>
        <v/>
      </c>
      <c r="O359" s="136">
        <f>IF($F359="","",IFERROR(INDEX(사건마스터!$AL$5:$AL$64,MATCH($F359,사건마스터!$A$5:$A$64,0)),""))</f>
        <v/>
      </c>
      <c r="P359" s="136">
        <f>IF($F359="","",IFERROR(INDEX(사건마스터!$AM$5:$AM$64,MATCH($F359,사건마스터!$A$5:$A$64,0)),""))</f>
        <v/>
      </c>
      <c r="Q359" s="136">
        <f>IF($F359="","",IFERROR(INDEX(사건마스터!$AN$5:$AN$64,MATCH($F359,사건마스터!$A$5:$A$64,0)),""))</f>
        <v/>
      </c>
      <c r="R359" s="136">
        <f>IF($F359="","",IFERROR(INDEX(사건마스터!$AO$5:$AO$64,MATCH($F359,사건마스터!$A$5:$A$64,0)),""))</f>
        <v/>
      </c>
      <c r="S359" s="136">
        <f>IF($F359="","",IFERROR(INDEX(사건마스터!$AP$5:$AP$64,MATCH($F359,사건마스터!$A$5:$A$64,0)),""))</f>
        <v/>
      </c>
      <c r="T359" s="136">
        <f>IF($F359="","",IFERROR(INDEX(사건마스터!$AQ$5:$AQ$64,MATCH($F359,사건마스터!$A$5:$A$64,0)),""))</f>
        <v/>
      </c>
      <c r="U359" s="136">
        <f>IF($F359="","",IFERROR(INDEX(사건마스터!$AR$5:$AR$64,MATCH($F359,사건마스터!$A$5:$A$64,0)),""))</f>
        <v/>
      </c>
      <c r="V359" s="136">
        <f>IF($F359="","",IFERROR(INDEX(사건마스터!$AS$5:$AS$64,MATCH($F359,사건마스터!$A$5:$A$64,0)),""))</f>
        <v/>
      </c>
      <c r="W359" s="136">
        <f>IF($F359="","",IFERROR(INDEX(사건마스터!$AT$5:$AT$64,MATCH($F359,사건마스터!$A$5:$A$64,0)),""))</f>
        <v/>
      </c>
      <c r="X359" s="136">
        <f>IF($F359="","",IFERROR(INDEX(사건마스터!$AU$5:$AU$64,MATCH($F359,사건마스터!$A$5:$A$64,0)),""))</f>
        <v/>
      </c>
      <c r="Y359" s="136">
        <f>IF($F359="","",IFERROR(INDEX(사건마스터!$AV$5:$AV$64,MATCH($F359,사건마스터!$A$5:$A$64,0)),""))</f>
        <v/>
      </c>
      <c r="Z359" s="118">
        <f>IF(COUNTBLANK($J359:$Y359)=16,"",16-COUNTBLANK($J359:$Y359))</f>
        <v/>
      </c>
      <c r="AA359" s="33">
        <f>IF($J359="",MID($AX359,3,255),$J359&amp;$AX359)</f>
        <v/>
      </c>
      <c r="AB359" s="130">
        <f>IF($J359="","",IFERROR(INDEX(코드설정!$D$5:$D$24,MATCH($J359,코드설정!$C$5:$C$24,0)),""))</f>
        <v/>
      </c>
      <c r="AC359" s="36" t="n"/>
      <c r="AD359" s="37" t="n"/>
      <c r="AE359" s="38" t="n"/>
      <c r="AF359" s="118">
        <f>IF(OR($B359="",$C359=""),"",$C359-$B359+1)</f>
        <v/>
      </c>
      <c r="AG359" s="74" t="n"/>
      <c r="AH359" s="36" t="n"/>
      <c r="AJ359">
        <f>IF($K359="","",", "&amp;$K359)</f>
        <v/>
      </c>
      <c r="AK359">
        <f>AJ359&amp;IF($L359="","",", "&amp;$L359)</f>
        <v/>
      </c>
      <c r="AL359">
        <f>AK359&amp;IF($M359="","",", "&amp;$M359)</f>
        <v/>
      </c>
      <c r="AM359">
        <f>AL359&amp;IF($N359="","",", "&amp;$N359)</f>
        <v/>
      </c>
      <c r="AN359">
        <f>AM359&amp;IF($O359="","",", "&amp;$O359)</f>
        <v/>
      </c>
      <c r="AO359">
        <f>AN359&amp;IF($P359="","",", "&amp;$P359)</f>
        <v/>
      </c>
      <c r="AP359">
        <f>AO359&amp;IF($Q359="","",", "&amp;$Q359)</f>
        <v/>
      </c>
      <c r="AQ359">
        <f>AP359&amp;IF($R359="","",", "&amp;$R359)</f>
        <v/>
      </c>
      <c r="AR359">
        <f>AQ359&amp;IF($S359="","",", "&amp;$S359)</f>
        <v/>
      </c>
      <c r="AS359">
        <f>AR359&amp;IF($T359="","",", "&amp;$T359)</f>
        <v/>
      </c>
      <c r="AT359">
        <f>AS359&amp;IF($U359="","",", "&amp;$U359)</f>
        <v/>
      </c>
      <c r="AU359">
        <f>AT359&amp;IF($V359="","",", "&amp;$V359)</f>
        <v/>
      </c>
      <c r="AV359">
        <f>AU359&amp;IF($W359="","",", "&amp;$W359)</f>
        <v/>
      </c>
      <c r="AW359">
        <f>AV359&amp;IF($X359="","",", "&amp;$X359)</f>
        <v/>
      </c>
      <c r="AX359">
        <f>AW359&amp;IF($Y359="","",", "&amp;$Y359)</f>
        <v/>
      </c>
    </row>
    <row r="360">
      <c r="A360" s="118">
        <f>IF($B360="","",COUNT($B$5:$B360))</f>
        <v/>
      </c>
      <c r="B360" s="80" t="n"/>
      <c r="C360" s="80" t="n"/>
      <c r="D360" s="74" t="n"/>
      <c r="E360" s="74" t="n"/>
      <c r="F360" s="74" t="n"/>
      <c r="G360" s="118">
        <f>IF($F360="","",COUNTIF($F$5:$F360,$F360))</f>
        <v/>
      </c>
      <c r="H360" s="33">
        <f>IF($F360="","",IFERROR(INDEX(사건마스터!$B$5:$B$64,MATCH($F360,사건마스터!$A$5:$A$64,0)),""))</f>
        <v/>
      </c>
      <c r="I360" s="130">
        <f>IF($F360="","",IFERROR(INDEX(사건마스터!$C$5:$C$64,MATCH($F360,사건마스터!$A$5:$A$64,0)),""))</f>
        <v/>
      </c>
      <c r="J360" s="136">
        <f>IF($F360="","",IFERROR(INDEX(사건마스터!$H$5:$H$64,MATCH($F360,사건마스터!$A$5:$A$64,0)),""))</f>
        <v/>
      </c>
      <c r="K360" s="136">
        <f>IF($F360="","",IFERROR(INDEX(사건마스터!$AH$5:$AH$64,MATCH($F360,사건마스터!$A$5:$A$64,0)),""))</f>
        <v/>
      </c>
      <c r="L360" s="136">
        <f>IF($F360="","",IFERROR(INDEX(사건마스터!$AI$5:$AI$64,MATCH($F360,사건마스터!$A$5:$A$64,0)),""))</f>
        <v/>
      </c>
      <c r="M360" s="136">
        <f>IF($F360="","",IFERROR(INDEX(사건마스터!$AJ$5:$AJ$64,MATCH($F360,사건마스터!$A$5:$A$64,0)),""))</f>
        <v/>
      </c>
      <c r="N360" s="136">
        <f>IF($F360="","",IFERROR(INDEX(사건마스터!$AK$5:$AK$64,MATCH($F360,사건마스터!$A$5:$A$64,0)),""))</f>
        <v/>
      </c>
      <c r="O360" s="136">
        <f>IF($F360="","",IFERROR(INDEX(사건마스터!$AL$5:$AL$64,MATCH($F360,사건마스터!$A$5:$A$64,0)),""))</f>
        <v/>
      </c>
      <c r="P360" s="136">
        <f>IF($F360="","",IFERROR(INDEX(사건마스터!$AM$5:$AM$64,MATCH($F360,사건마스터!$A$5:$A$64,0)),""))</f>
        <v/>
      </c>
      <c r="Q360" s="136">
        <f>IF($F360="","",IFERROR(INDEX(사건마스터!$AN$5:$AN$64,MATCH($F360,사건마스터!$A$5:$A$64,0)),""))</f>
        <v/>
      </c>
      <c r="R360" s="136">
        <f>IF($F360="","",IFERROR(INDEX(사건마스터!$AO$5:$AO$64,MATCH($F360,사건마스터!$A$5:$A$64,0)),""))</f>
        <v/>
      </c>
      <c r="S360" s="136">
        <f>IF($F360="","",IFERROR(INDEX(사건마스터!$AP$5:$AP$64,MATCH($F360,사건마스터!$A$5:$A$64,0)),""))</f>
        <v/>
      </c>
      <c r="T360" s="136">
        <f>IF($F360="","",IFERROR(INDEX(사건마스터!$AQ$5:$AQ$64,MATCH($F360,사건마스터!$A$5:$A$64,0)),""))</f>
        <v/>
      </c>
      <c r="U360" s="136">
        <f>IF($F360="","",IFERROR(INDEX(사건마스터!$AR$5:$AR$64,MATCH($F360,사건마스터!$A$5:$A$64,0)),""))</f>
        <v/>
      </c>
      <c r="V360" s="136">
        <f>IF($F360="","",IFERROR(INDEX(사건마스터!$AS$5:$AS$64,MATCH($F360,사건마스터!$A$5:$A$64,0)),""))</f>
        <v/>
      </c>
      <c r="W360" s="136">
        <f>IF($F360="","",IFERROR(INDEX(사건마스터!$AT$5:$AT$64,MATCH($F360,사건마스터!$A$5:$A$64,0)),""))</f>
        <v/>
      </c>
      <c r="X360" s="136">
        <f>IF($F360="","",IFERROR(INDEX(사건마스터!$AU$5:$AU$64,MATCH($F360,사건마스터!$A$5:$A$64,0)),""))</f>
        <v/>
      </c>
      <c r="Y360" s="136">
        <f>IF($F360="","",IFERROR(INDEX(사건마스터!$AV$5:$AV$64,MATCH($F360,사건마스터!$A$5:$A$64,0)),""))</f>
        <v/>
      </c>
      <c r="Z360" s="118">
        <f>IF(COUNTBLANK($J360:$Y360)=16,"",16-COUNTBLANK($J360:$Y360))</f>
        <v/>
      </c>
      <c r="AA360" s="33">
        <f>IF($J360="",MID($AX360,3,255),$J360&amp;$AX360)</f>
        <v/>
      </c>
      <c r="AB360" s="130">
        <f>IF($J360="","",IFERROR(INDEX(코드설정!$D$5:$D$24,MATCH($J360,코드설정!$C$5:$C$24,0)),""))</f>
        <v/>
      </c>
      <c r="AC360" s="36" t="n"/>
      <c r="AD360" s="37" t="n"/>
      <c r="AE360" s="38" t="n"/>
      <c r="AF360" s="118">
        <f>IF(OR($B360="",$C360=""),"",$C360-$B360+1)</f>
        <v/>
      </c>
      <c r="AG360" s="74" t="n"/>
      <c r="AH360" s="36" t="n"/>
      <c r="AJ360">
        <f>IF($K360="","",", "&amp;$K360)</f>
        <v/>
      </c>
      <c r="AK360">
        <f>AJ360&amp;IF($L360="","",", "&amp;$L360)</f>
        <v/>
      </c>
      <c r="AL360">
        <f>AK360&amp;IF($M360="","",", "&amp;$M360)</f>
        <v/>
      </c>
      <c r="AM360">
        <f>AL360&amp;IF($N360="","",", "&amp;$N360)</f>
        <v/>
      </c>
      <c r="AN360">
        <f>AM360&amp;IF($O360="","",", "&amp;$O360)</f>
        <v/>
      </c>
      <c r="AO360">
        <f>AN360&amp;IF($P360="","",", "&amp;$P360)</f>
        <v/>
      </c>
      <c r="AP360">
        <f>AO360&amp;IF($Q360="","",", "&amp;$Q360)</f>
        <v/>
      </c>
      <c r="AQ360">
        <f>AP360&amp;IF($R360="","",", "&amp;$R360)</f>
        <v/>
      </c>
      <c r="AR360">
        <f>AQ360&amp;IF($S360="","",", "&amp;$S360)</f>
        <v/>
      </c>
      <c r="AS360">
        <f>AR360&amp;IF($T360="","",", "&amp;$T360)</f>
        <v/>
      </c>
      <c r="AT360">
        <f>AS360&amp;IF($U360="","",", "&amp;$U360)</f>
        <v/>
      </c>
      <c r="AU360">
        <f>AT360&amp;IF($V360="","",", "&amp;$V360)</f>
        <v/>
      </c>
      <c r="AV360">
        <f>AU360&amp;IF($W360="","",", "&amp;$W360)</f>
        <v/>
      </c>
      <c r="AW360">
        <f>AV360&amp;IF($X360="","",", "&amp;$X360)</f>
        <v/>
      </c>
      <c r="AX360">
        <f>AW360&amp;IF($Y360="","",", "&amp;$Y360)</f>
        <v/>
      </c>
    </row>
    <row r="361">
      <c r="A361" s="118">
        <f>IF($B361="","",COUNT($B$5:$B361))</f>
        <v/>
      </c>
      <c r="B361" s="80" t="n"/>
      <c r="C361" s="80" t="n"/>
      <c r="D361" s="74" t="n"/>
      <c r="E361" s="74" t="n"/>
      <c r="F361" s="74" t="n"/>
      <c r="G361" s="118">
        <f>IF($F361="","",COUNTIF($F$5:$F361,$F361))</f>
        <v/>
      </c>
      <c r="H361" s="33">
        <f>IF($F361="","",IFERROR(INDEX(사건마스터!$B$5:$B$64,MATCH($F361,사건마스터!$A$5:$A$64,0)),""))</f>
        <v/>
      </c>
      <c r="I361" s="130">
        <f>IF($F361="","",IFERROR(INDEX(사건마스터!$C$5:$C$64,MATCH($F361,사건마스터!$A$5:$A$64,0)),""))</f>
        <v/>
      </c>
      <c r="J361" s="136">
        <f>IF($F361="","",IFERROR(INDEX(사건마스터!$H$5:$H$64,MATCH($F361,사건마스터!$A$5:$A$64,0)),""))</f>
        <v/>
      </c>
      <c r="K361" s="136">
        <f>IF($F361="","",IFERROR(INDEX(사건마스터!$AH$5:$AH$64,MATCH($F361,사건마스터!$A$5:$A$64,0)),""))</f>
        <v/>
      </c>
      <c r="L361" s="136">
        <f>IF($F361="","",IFERROR(INDEX(사건마스터!$AI$5:$AI$64,MATCH($F361,사건마스터!$A$5:$A$64,0)),""))</f>
        <v/>
      </c>
      <c r="M361" s="136">
        <f>IF($F361="","",IFERROR(INDEX(사건마스터!$AJ$5:$AJ$64,MATCH($F361,사건마스터!$A$5:$A$64,0)),""))</f>
        <v/>
      </c>
      <c r="N361" s="136">
        <f>IF($F361="","",IFERROR(INDEX(사건마스터!$AK$5:$AK$64,MATCH($F361,사건마스터!$A$5:$A$64,0)),""))</f>
        <v/>
      </c>
      <c r="O361" s="136">
        <f>IF($F361="","",IFERROR(INDEX(사건마스터!$AL$5:$AL$64,MATCH($F361,사건마스터!$A$5:$A$64,0)),""))</f>
        <v/>
      </c>
      <c r="P361" s="136">
        <f>IF($F361="","",IFERROR(INDEX(사건마스터!$AM$5:$AM$64,MATCH($F361,사건마스터!$A$5:$A$64,0)),""))</f>
        <v/>
      </c>
      <c r="Q361" s="136">
        <f>IF($F361="","",IFERROR(INDEX(사건마스터!$AN$5:$AN$64,MATCH($F361,사건마스터!$A$5:$A$64,0)),""))</f>
        <v/>
      </c>
      <c r="R361" s="136">
        <f>IF($F361="","",IFERROR(INDEX(사건마스터!$AO$5:$AO$64,MATCH($F361,사건마스터!$A$5:$A$64,0)),""))</f>
        <v/>
      </c>
      <c r="S361" s="136">
        <f>IF($F361="","",IFERROR(INDEX(사건마스터!$AP$5:$AP$64,MATCH($F361,사건마스터!$A$5:$A$64,0)),""))</f>
        <v/>
      </c>
      <c r="T361" s="136">
        <f>IF($F361="","",IFERROR(INDEX(사건마스터!$AQ$5:$AQ$64,MATCH($F361,사건마스터!$A$5:$A$64,0)),""))</f>
        <v/>
      </c>
      <c r="U361" s="136">
        <f>IF($F361="","",IFERROR(INDEX(사건마스터!$AR$5:$AR$64,MATCH($F361,사건마스터!$A$5:$A$64,0)),""))</f>
        <v/>
      </c>
      <c r="V361" s="136">
        <f>IF($F361="","",IFERROR(INDEX(사건마스터!$AS$5:$AS$64,MATCH($F361,사건마스터!$A$5:$A$64,0)),""))</f>
        <v/>
      </c>
      <c r="W361" s="136">
        <f>IF($F361="","",IFERROR(INDEX(사건마스터!$AT$5:$AT$64,MATCH($F361,사건마스터!$A$5:$A$64,0)),""))</f>
        <v/>
      </c>
      <c r="X361" s="136">
        <f>IF($F361="","",IFERROR(INDEX(사건마스터!$AU$5:$AU$64,MATCH($F361,사건마스터!$A$5:$A$64,0)),""))</f>
        <v/>
      </c>
      <c r="Y361" s="136">
        <f>IF($F361="","",IFERROR(INDEX(사건마스터!$AV$5:$AV$64,MATCH($F361,사건마스터!$A$5:$A$64,0)),""))</f>
        <v/>
      </c>
      <c r="Z361" s="118">
        <f>IF(COUNTBLANK($J361:$Y361)=16,"",16-COUNTBLANK($J361:$Y361))</f>
        <v/>
      </c>
      <c r="AA361" s="33">
        <f>IF($J361="",MID($AX361,3,255),$J361&amp;$AX361)</f>
        <v/>
      </c>
      <c r="AB361" s="130">
        <f>IF($J361="","",IFERROR(INDEX(코드설정!$D$5:$D$24,MATCH($J361,코드설정!$C$5:$C$24,0)),""))</f>
        <v/>
      </c>
      <c r="AC361" s="36" t="n"/>
      <c r="AD361" s="37" t="n"/>
      <c r="AE361" s="38" t="n"/>
      <c r="AF361" s="118">
        <f>IF(OR($B361="",$C361=""),"",$C361-$B361+1)</f>
        <v/>
      </c>
      <c r="AG361" s="74" t="n"/>
      <c r="AH361" s="36" t="n"/>
      <c r="AJ361">
        <f>IF($K361="","",", "&amp;$K361)</f>
        <v/>
      </c>
      <c r="AK361">
        <f>AJ361&amp;IF($L361="","",", "&amp;$L361)</f>
        <v/>
      </c>
      <c r="AL361">
        <f>AK361&amp;IF($M361="","",", "&amp;$M361)</f>
        <v/>
      </c>
      <c r="AM361">
        <f>AL361&amp;IF($N361="","",", "&amp;$N361)</f>
        <v/>
      </c>
      <c r="AN361">
        <f>AM361&amp;IF($O361="","",", "&amp;$O361)</f>
        <v/>
      </c>
      <c r="AO361">
        <f>AN361&amp;IF($P361="","",", "&amp;$P361)</f>
        <v/>
      </c>
      <c r="AP361">
        <f>AO361&amp;IF($Q361="","",", "&amp;$Q361)</f>
        <v/>
      </c>
      <c r="AQ361">
        <f>AP361&amp;IF($R361="","",", "&amp;$R361)</f>
        <v/>
      </c>
      <c r="AR361">
        <f>AQ361&amp;IF($S361="","",", "&amp;$S361)</f>
        <v/>
      </c>
      <c r="AS361">
        <f>AR361&amp;IF($T361="","",", "&amp;$T361)</f>
        <v/>
      </c>
      <c r="AT361">
        <f>AS361&amp;IF($U361="","",", "&amp;$U361)</f>
        <v/>
      </c>
      <c r="AU361">
        <f>AT361&amp;IF($V361="","",", "&amp;$V361)</f>
        <v/>
      </c>
      <c r="AV361">
        <f>AU361&amp;IF($W361="","",", "&amp;$W361)</f>
        <v/>
      </c>
      <c r="AW361">
        <f>AV361&amp;IF($X361="","",", "&amp;$X361)</f>
        <v/>
      </c>
      <c r="AX361">
        <f>AW361&amp;IF($Y361="","",", "&amp;$Y361)</f>
        <v/>
      </c>
    </row>
    <row r="362">
      <c r="A362" s="118">
        <f>IF($B362="","",COUNT($B$5:$B362))</f>
        <v/>
      </c>
      <c r="B362" s="80" t="n"/>
      <c r="C362" s="80" t="n"/>
      <c r="D362" s="74" t="n"/>
      <c r="E362" s="74" t="n"/>
      <c r="F362" s="74" t="n"/>
      <c r="G362" s="118">
        <f>IF($F362="","",COUNTIF($F$5:$F362,$F362))</f>
        <v/>
      </c>
      <c r="H362" s="33">
        <f>IF($F362="","",IFERROR(INDEX(사건마스터!$B$5:$B$64,MATCH($F362,사건마스터!$A$5:$A$64,0)),""))</f>
        <v/>
      </c>
      <c r="I362" s="130">
        <f>IF($F362="","",IFERROR(INDEX(사건마스터!$C$5:$C$64,MATCH($F362,사건마스터!$A$5:$A$64,0)),""))</f>
        <v/>
      </c>
      <c r="J362" s="136">
        <f>IF($F362="","",IFERROR(INDEX(사건마스터!$H$5:$H$64,MATCH($F362,사건마스터!$A$5:$A$64,0)),""))</f>
        <v/>
      </c>
      <c r="K362" s="136">
        <f>IF($F362="","",IFERROR(INDEX(사건마스터!$AH$5:$AH$64,MATCH($F362,사건마스터!$A$5:$A$64,0)),""))</f>
        <v/>
      </c>
      <c r="L362" s="136">
        <f>IF($F362="","",IFERROR(INDEX(사건마스터!$AI$5:$AI$64,MATCH($F362,사건마스터!$A$5:$A$64,0)),""))</f>
        <v/>
      </c>
      <c r="M362" s="136">
        <f>IF($F362="","",IFERROR(INDEX(사건마스터!$AJ$5:$AJ$64,MATCH($F362,사건마스터!$A$5:$A$64,0)),""))</f>
        <v/>
      </c>
      <c r="N362" s="136">
        <f>IF($F362="","",IFERROR(INDEX(사건마스터!$AK$5:$AK$64,MATCH($F362,사건마스터!$A$5:$A$64,0)),""))</f>
        <v/>
      </c>
      <c r="O362" s="136">
        <f>IF($F362="","",IFERROR(INDEX(사건마스터!$AL$5:$AL$64,MATCH($F362,사건마스터!$A$5:$A$64,0)),""))</f>
        <v/>
      </c>
      <c r="P362" s="136">
        <f>IF($F362="","",IFERROR(INDEX(사건마스터!$AM$5:$AM$64,MATCH($F362,사건마스터!$A$5:$A$64,0)),""))</f>
        <v/>
      </c>
      <c r="Q362" s="136">
        <f>IF($F362="","",IFERROR(INDEX(사건마스터!$AN$5:$AN$64,MATCH($F362,사건마스터!$A$5:$A$64,0)),""))</f>
        <v/>
      </c>
      <c r="R362" s="136">
        <f>IF($F362="","",IFERROR(INDEX(사건마스터!$AO$5:$AO$64,MATCH($F362,사건마스터!$A$5:$A$64,0)),""))</f>
        <v/>
      </c>
      <c r="S362" s="136">
        <f>IF($F362="","",IFERROR(INDEX(사건마스터!$AP$5:$AP$64,MATCH($F362,사건마스터!$A$5:$A$64,0)),""))</f>
        <v/>
      </c>
      <c r="T362" s="136">
        <f>IF($F362="","",IFERROR(INDEX(사건마스터!$AQ$5:$AQ$64,MATCH($F362,사건마스터!$A$5:$A$64,0)),""))</f>
        <v/>
      </c>
      <c r="U362" s="136">
        <f>IF($F362="","",IFERROR(INDEX(사건마스터!$AR$5:$AR$64,MATCH($F362,사건마스터!$A$5:$A$64,0)),""))</f>
        <v/>
      </c>
      <c r="V362" s="136">
        <f>IF($F362="","",IFERROR(INDEX(사건마스터!$AS$5:$AS$64,MATCH($F362,사건마스터!$A$5:$A$64,0)),""))</f>
        <v/>
      </c>
      <c r="W362" s="136">
        <f>IF($F362="","",IFERROR(INDEX(사건마스터!$AT$5:$AT$64,MATCH($F362,사건마스터!$A$5:$A$64,0)),""))</f>
        <v/>
      </c>
      <c r="X362" s="136">
        <f>IF($F362="","",IFERROR(INDEX(사건마스터!$AU$5:$AU$64,MATCH($F362,사건마스터!$A$5:$A$64,0)),""))</f>
        <v/>
      </c>
      <c r="Y362" s="136">
        <f>IF($F362="","",IFERROR(INDEX(사건마스터!$AV$5:$AV$64,MATCH($F362,사건마스터!$A$5:$A$64,0)),""))</f>
        <v/>
      </c>
      <c r="Z362" s="118">
        <f>IF(COUNTBLANK($J362:$Y362)=16,"",16-COUNTBLANK($J362:$Y362))</f>
        <v/>
      </c>
      <c r="AA362" s="33">
        <f>IF($J362="",MID($AX362,3,255),$J362&amp;$AX362)</f>
        <v/>
      </c>
      <c r="AB362" s="130">
        <f>IF($J362="","",IFERROR(INDEX(코드설정!$D$5:$D$24,MATCH($J362,코드설정!$C$5:$C$24,0)),""))</f>
        <v/>
      </c>
      <c r="AC362" s="36" t="n"/>
      <c r="AD362" s="37" t="n"/>
      <c r="AE362" s="38" t="n"/>
      <c r="AF362" s="118">
        <f>IF(OR($B362="",$C362=""),"",$C362-$B362+1)</f>
        <v/>
      </c>
      <c r="AG362" s="74" t="n"/>
      <c r="AH362" s="36" t="n"/>
      <c r="AJ362">
        <f>IF($K362="","",", "&amp;$K362)</f>
        <v/>
      </c>
      <c r="AK362">
        <f>AJ362&amp;IF($L362="","",", "&amp;$L362)</f>
        <v/>
      </c>
      <c r="AL362">
        <f>AK362&amp;IF($M362="","",", "&amp;$M362)</f>
        <v/>
      </c>
      <c r="AM362">
        <f>AL362&amp;IF($N362="","",", "&amp;$N362)</f>
        <v/>
      </c>
      <c r="AN362">
        <f>AM362&amp;IF($O362="","",", "&amp;$O362)</f>
        <v/>
      </c>
      <c r="AO362">
        <f>AN362&amp;IF($P362="","",", "&amp;$P362)</f>
        <v/>
      </c>
      <c r="AP362">
        <f>AO362&amp;IF($Q362="","",", "&amp;$Q362)</f>
        <v/>
      </c>
      <c r="AQ362">
        <f>AP362&amp;IF($R362="","",", "&amp;$R362)</f>
        <v/>
      </c>
      <c r="AR362">
        <f>AQ362&amp;IF($S362="","",", "&amp;$S362)</f>
        <v/>
      </c>
      <c r="AS362">
        <f>AR362&amp;IF($T362="","",", "&amp;$T362)</f>
        <v/>
      </c>
      <c r="AT362">
        <f>AS362&amp;IF($U362="","",", "&amp;$U362)</f>
        <v/>
      </c>
      <c r="AU362">
        <f>AT362&amp;IF($V362="","",", "&amp;$V362)</f>
        <v/>
      </c>
      <c r="AV362">
        <f>AU362&amp;IF($W362="","",", "&amp;$W362)</f>
        <v/>
      </c>
      <c r="AW362">
        <f>AV362&amp;IF($X362="","",", "&amp;$X362)</f>
        <v/>
      </c>
      <c r="AX362">
        <f>AW362&amp;IF($Y362="","",", "&amp;$Y362)</f>
        <v/>
      </c>
    </row>
    <row r="363">
      <c r="A363" s="118">
        <f>IF($B363="","",COUNT($B$5:$B363))</f>
        <v/>
      </c>
      <c r="B363" s="80" t="n"/>
      <c r="C363" s="80" t="n"/>
      <c r="D363" s="74" t="n"/>
      <c r="E363" s="74" t="n"/>
      <c r="F363" s="74" t="n"/>
      <c r="G363" s="118">
        <f>IF($F363="","",COUNTIF($F$5:$F363,$F363))</f>
        <v/>
      </c>
      <c r="H363" s="33">
        <f>IF($F363="","",IFERROR(INDEX(사건마스터!$B$5:$B$64,MATCH($F363,사건마스터!$A$5:$A$64,0)),""))</f>
        <v/>
      </c>
      <c r="I363" s="130">
        <f>IF($F363="","",IFERROR(INDEX(사건마스터!$C$5:$C$64,MATCH($F363,사건마스터!$A$5:$A$64,0)),""))</f>
        <v/>
      </c>
      <c r="J363" s="136">
        <f>IF($F363="","",IFERROR(INDEX(사건마스터!$H$5:$H$64,MATCH($F363,사건마스터!$A$5:$A$64,0)),""))</f>
        <v/>
      </c>
      <c r="K363" s="136">
        <f>IF($F363="","",IFERROR(INDEX(사건마스터!$AH$5:$AH$64,MATCH($F363,사건마스터!$A$5:$A$64,0)),""))</f>
        <v/>
      </c>
      <c r="L363" s="136">
        <f>IF($F363="","",IFERROR(INDEX(사건마스터!$AI$5:$AI$64,MATCH($F363,사건마스터!$A$5:$A$64,0)),""))</f>
        <v/>
      </c>
      <c r="M363" s="136">
        <f>IF($F363="","",IFERROR(INDEX(사건마스터!$AJ$5:$AJ$64,MATCH($F363,사건마스터!$A$5:$A$64,0)),""))</f>
        <v/>
      </c>
      <c r="N363" s="136">
        <f>IF($F363="","",IFERROR(INDEX(사건마스터!$AK$5:$AK$64,MATCH($F363,사건마스터!$A$5:$A$64,0)),""))</f>
        <v/>
      </c>
      <c r="O363" s="136">
        <f>IF($F363="","",IFERROR(INDEX(사건마스터!$AL$5:$AL$64,MATCH($F363,사건마스터!$A$5:$A$64,0)),""))</f>
        <v/>
      </c>
      <c r="P363" s="136">
        <f>IF($F363="","",IFERROR(INDEX(사건마스터!$AM$5:$AM$64,MATCH($F363,사건마스터!$A$5:$A$64,0)),""))</f>
        <v/>
      </c>
      <c r="Q363" s="136">
        <f>IF($F363="","",IFERROR(INDEX(사건마스터!$AN$5:$AN$64,MATCH($F363,사건마스터!$A$5:$A$64,0)),""))</f>
        <v/>
      </c>
      <c r="R363" s="136">
        <f>IF($F363="","",IFERROR(INDEX(사건마스터!$AO$5:$AO$64,MATCH($F363,사건마스터!$A$5:$A$64,0)),""))</f>
        <v/>
      </c>
      <c r="S363" s="136">
        <f>IF($F363="","",IFERROR(INDEX(사건마스터!$AP$5:$AP$64,MATCH($F363,사건마스터!$A$5:$A$64,0)),""))</f>
        <v/>
      </c>
      <c r="T363" s="136">
        <f>IF($F363="","",IFERROR(INDEX(사건마스터!$AQ$5:$AQ$64,MATCH($F363,사건마스터!$A$5:$A$64,0)),""))</f>
        <v/>
      </c>
      <c r="U363" s="136">
        <f>IF($F363="","",IFERROR(INDEX(사건마스터!$AR$5:$AR$64,MATCH($F363,사건마스터!$A$5:$A$64,0)),""))</f>
        <v/>
      </c>
      <c r="V363" s="136">
        <f>IF($F363="","",IFERROR(INDEX(사건마스터!$AS$5:$AS$64,MATCH($F363,사건마스터!$A$5:$A$64,0)),""))</f>
        <v/>
      </c>
      <c r="W363" s="136">
        <f>IF($F363="","",IFERROR(INDEX(사건마스터!$AT$5:$AT$64,MATCH($F363,사건마스터!$A$5:$A$64,0)),""))</f>
        <v/>
      </c>
      <c r="X363" s="136">
        <f>IF($F363="","",IFERROR(INDEX(사건마스터!$AU$5:$AU$64,MATCH($F363,사건마스터!$A$5:$A$64,0)),""))</f>
        <v/>
      </c>
      <c r="Y363" s="136">
        <f>IF($F363="","",IFERROR(INDEX(사건마스터!$AV$5:$AV$64,MATCH($F363,사건마스터!$A$5:$A$64,0)),""))</f>
        <v/>
      </c>
      <c r="Z363" s="118">
        <f>IF(COUNTBLANK($J363:$Y363)=16,"",16-COUNTBLANK($J363:$Y363))</f>
        <v/>
      </c>
      <c r="AA363" s="33">
        <f>IF($J363="",MID($AX363,3,255),$J363&amp;$AX363)</f>
        <v/>
      </c>
      <c r="AB363" s="130">
        <f>IF($J363="","",IFERROR(INDEX(코드설정!$D$5:$D$24,MATCH($J363,코드설정!$C$5:$C$24,0)),""))</f>
        <v/>
      </c>
      <c r="AC363" s="36" t="n"/>
      <c r="AD363" s="37" t="n"/>
      <c r="AE363" s="38" t="n"/>
      <c r="AF363" s="118">
        <f>IF(OR($B363="",$C363=""),"",$C363-$B363+1)</f>
        <v/>
      </c>
      <c r="AG363" s="74" t="n"/>
      <c r="AH363" s="36" t="n"/>
      <c r="AJ363">
        <f>IF($K363="","",", "&amp;$K363)</f>
        <v/>
      </c>
      <c r="AK363">
        <f>AJ363&amp;IF($L363="","",", "&amp;$L363)</f>
        <v/>
      </c>
      <c r="AL363">
        <f>AK363&amp;IF($M363="","",", "&amp;$M363)</f>
        <v/>
      </c>
      <c r="AM363">
        <f>AL363&amp;IF($N363="","",", "&amp;$N363)</f>
        <v/>
      </c>
      <c r="AN363">
        <f>AM363&amp;IF($O363="","",", "&amp;$O363)</f>
        <v/>
      </c>
      <c r="AO363">
        <f>AN363&amp;IF($P363="","",", "&amp;$P363)</f>
        <v/>
      </c>
      <c r="AP363">
        <f>AO363&amp;IF($Q363="","",", "&amp;$Q363)</f>
        <v/>
      </c>
      <c r="AQ363">
        <f>AP363&amp;IF($R363="","",", "&amp;$R363)</f>
        <v/>
      </c>
      <c r="AR363">
        <f>AQ363&amp;IF($S363="","",", "&amp;$S363)</f>
        <v/>
      </c>
      <c r="AS363">
        <f>AR363&amp;IF($T363="","",", "&amp;$T363)</f>
        <v/>
      </c>
      <c r="AT363">
        <f>AS363&amp;IF($U363="","",", "&amp;$U363)</f>
        <v/>
      </c>
      <c r="AU363">
        <f>AT363&amp;IF($V363="","",", "&amp;$V363)</f>
        <v/>
      </c>
      <c r="AV363">
        <f>AU363&amp;IF($W363="","",", "&amp;$W363)</f>
        <v/>
      </c>
      <c r="AW363">
        <f>AV363&amp;IF($X363="","",", "&amp;$X363)</f>
        <v/>
      </c>
      <c r="AX363">
        <f>AW363&amp;IF($Y363="","",", "&amp;$Y363)</f>
        <v/>
      </c>
    </row>
    <row r="364">
      <c r="A364" s="118">
        <f>IF($B364="","",COUNT($B$5:$B364))</f>
        <v/>
      </c>
      <c r="B364" s="80" t="n"/>
      <c r="C364" s="80" t="n"/>
      <c r="D364" s="74" t="n"/>
      <c r="E364" s="74" t="n"/>
      <c r="F364" s="74" t="n"/>
      <c r="G364" s="118">
        <f>IF($F364="","",COUNTIF($F$5:$F364,$F364))</f>
        <v/>
      </c>
      <c r="H364" s="33">
        <f>IF($F364="","",IFERROR(INDEX(사건마스터!$B$5:$B$64,MATCH($F364,사건마스터!$A$5:$A$64,0)),""))</f>
        <v/>
      </c>
      <c r="I364" s="130">
        <f>IF($F364="","",IFERROR(INDEX(사건마스터!$C$5:$C$64,MATCH($F364,사건마스터!$A$5:$A$64,0)),""))</f>
        <v/>
      </c>
      <c r="J364" s="136">
        <f>IF($F364="","",IFERROR(INDEX(사건마스터!$H$5:$H$64,MATCH($F364,사건마스터!$A$5:$A$64,0)),""))</f>
        <v/>
      </c>
      <c r="K364" s="136">
        <f>IF($F364="","",IFERROR(INDEX(사건마스터!$AH$5:$AH$64,MATCH($F364,사건마스터!$A$5:$A$64,0)),""))</f>
        <v/>
      </c>
      <c r="L364" s="136">
        <f>IF($F364="","",IFERROR(INDEX(사건마스터!$AI$5:$AI$64,MATCH($F364,사건마스터!$A$5:$A$64,0)),""))</f>
        <v/>
      </c>
      <c r="M364" s="136">
        <f>IF($F364="","",IFERROR(INDEX(사건마스터!$AJ$5:$AJ$64,MATCH($F364,사건마스터!$A$5:$A$64,0)),""))</f>
        <v/>
      </c>
      <c r="N364" s="136">
        <f>IF($F364="","",IFERROR(INDEX(사건마스터!$AK$5:$AK$64,MATCH($F364,사건마스터!$A$5:$A$64,0)),""))</f>
        <v/>
      </c>
      <c r="O364" s="136">
        <f>IF($F364="","",IFERROR(INDEX(사건마스터!$AL$5:$AL$64,MATCH($F364,사건마스터!$A$5:$A$64,0)),""))</f>
        <v/>
      </c>
      <c r="P364" s="136">
        <f>IF($F364="","",IFERROR(INDEX(사건마스터!$AM$5:$AM$64,MATCH($F364,사건마스터!$A$5:$A$64,0)),""))</f>
        <v/>
      </c>
      <c r="Q364" s="136">
        <f>IF($F364="","",IFERROR(INDEX(사건마스터!$AN$5:$AN$64,MATCH($F364,사건마스터!$A$5:$A$64,0)),""))</f>
        <v/>
      </c>
      <c r="R364" s="136">
        <f>IF($F364="","",IFERROR(INDEX(사건마스터!$AO$5:$AO$64,MATCH($F364,사건마스터!$A$5:$A$64,0)),""))</f>
        <v/>
      </c>
      <c r="S364" s="136">
        <f>IF($F364="","",IFERROR(INDEX(사건마스터!$AP$5:$AP$64,MATCH($F364,사건마스터!$A$5:$A$64,0)),""))</f>
        <v/>
      </c>
      <c r="T364" s="136">
        <f>IF($F364="","",IFERROR(INDEX(사건마스터!$AQ$5:$AQ$64,MATCH($F364,사건마스터!$A$5:$A$64,0)),""))</f>
        <v/>
      </c>
      <c r="U364" s="136">
        <f>IF($F364="","",IFERROR(INDEX(사건마스터!$AR$5:$AR$64,MATCH($F364,사건마스터!$A$5:$A$64,0)),""))</f>
        <v/>
      </c>
      <c r="V364" s="136">
        <f>IF($F364="","",IFERROR(INDEX(사건마스터!$AS$5:$AS$64,MATCH($F364,사건마스터!$A$5:$A$64,0)),""))</f>
        <v/>
      </c>
      <c r="W364" s="136">
        <f>IF($F364="","",IFERROR(INDEX(사건마스터!$AT$5:$AT$64,MATCH($F364,사건마스터!$A$5:$A$64,0)),""))</f>
        <v/>
      </c>
      <c r="X364" s="136">
        <f>IF($F364="","",IFERROR(INDEX(사건마스터!$AU$5:$AU$64,MATCH($F364,사건마스터!$A$5:$A$64,0)),""))</f>
        <v/>
      </c>
      <c r="Y364" s="136">
        <f>IF($F364="","",IFERROR(INDEX(사건마스터!$AV$5:$AV$64,MATCH($F364,사건마스터!$A$5:$A$64,0)),""))</f>
        <v/>
      </c>
      <c r="Z364" s="118">
        <f>IF(COUNTBLANK($J364:$Y364)=16,"",16-COUNTBLANK($J364:$Y364))</f>
        <v/>
      </c>
      <c r="AA364" s="33">
        <f>IF($J364="",MID($AX364,3,255),$J364&amp;$AX364)</f>
        <v/>
      </c>
      <c r="AB364" s="130">
        <f>IF($J364="","",IFERROR(INDEX(코드설정!$D$5:$D$24,MATCH($J364,코드설정!$C$5:$C$24,0)),""))</f>
        <v/>
      </c>
      <c r="AC364" s="36" t="n"/>
      <c r="AD364" s="37" t="n"/>
      <c r="AE364" s="38" t="n"/>
      <c r="AF364" s="118">
        <f>IF(OR($B364="",$C364=""),"",$C364-$B364+1)</f>
        <v/>
      </c>
      <c r="AG364" s="74" t="n"/>
      <c r="AH364" s="36" t="n"/>
      <c r="AJ364">
        <f>IF($K364="","",", "&amp;$K364)</f>
        <v/>
      </c>
      <c r="AK364">
        <f>AJ364&amp;IF($L364="","",", "&amp;$L364)</f>
        <v/>
      </c>
      <c r="AL364">
        <f>AK364&amp;IF($M364="","",", "&amp;$M364)</f>
        <v/>
      </c>
      <c r="AM364">
        <f>AL364&amp;IF($N364="","",", "&amp;$N364)</f>
        <v/>
      </c>
      <c r="AN364">
        <f>AM364&amp;IF($O364="","",", "&amp;$O364)</f>
        <v/>
      </c>
      <c r="AO364">
        <f>AN364&amp;IF($P364="","",", "&amp;$P364)</f>
        <v/>
      </c>
      <c r="AP364">
        <f>AO364&amp;IF($Q364="","",", "&amp;$Q364)</f>
        <v/>
      </c>
      <c r="AQ364">
        <f>AP364&amp;IF($R364="","",", "&amp;$R364)</f>
        <v/>
      </c>
      <c r="AR364">
        <f>AQ364&amp;IF($S364="","",", "&amp;$S364)</f>
        <v/>
      </c>
      <c r="AS364">
        <f>AR364&amp;IF($T364="","",", "&amp;$T364)</f>
        <v/>
      </c>
      <c r="AT364">
        <f>AS364&amp;IF($U364="","",", "&amp;$U364)</f>
        <v/>
      </c>
      <c r="AU364">
        <f>AT364&amp;IF($V364="","",", "&amp;$V364)</f>
        <v/>
      </c>
      <c r="AV364">
        <f>AU364&amp;IF($W364="","",", "&amp;$W364)</f>
        <v/>
      </c>
      <c r="AW364">
        <f>AV364&amp;IF($X364="","",", "&amp;$X364)</f>
        <v/>
      </c>
      <c r="AX364">
        <f>AW364&amp;IF($Y364="","",", "&amp;$Y364)</f>
        <v/>
      </c>
    </row>
    <row r="365">
      <c r="A365" s="118">
        <f>IF($B365="","",COUNT($B$5:$B365))</f>
        <v/>
      </c>
      <c r="B365" s="80" t="n"/>
      <c r="C365" s="80" t="n"/>
      <c r="D365" s="74" t="n"/>
      <c r="E365" s="74" t="n"/>
      <c r="F365" s="74" t="n"/>
      <c r="G365" s="118">
        <f>IF($F365="","",COUNTIF($F$5:$F365,$F365))</f>
        <v/>
      </c>
      <c r="H365" s="33">
        <f>IF($F365="","",IFERROR(INDEX(사건마스터!$B$5:$B$64,MATCH($F365,사건마스터!$A$5:$A$64,0)),""))</f>
        <v/>
      </c>
      <c r="I365" s="130">
        <f>IF($F365="","",IFERROR(INDEX(사건마스터!$C$5:$C$64,MATCH($F365,사건마스터!$A$5:$A$64,0)),""))</f>
        <v/>
      </c>
      <c r="J365" s="136">
        <f>IF($F365="","",IFERROR(INDEX(사건마스터!$H$5:$H$64,MATCH($F365,사건마스터!$A$5:$A$64,0)),""))</f>
        <v/>
      </c>
      <c r="K365" s="136">
        <f>IF($F365="","",IFERROR(INDEX(사건마스터!$AH$5:$AH$64,MATCH($F365,사건마스터!$A$5:$A$64,0)),""))</f>
        <v/>
      </c>
      <c r="L365" s="136">
        <f>IF($F365="","",IFERROR(INDEX(사건마스터!$AI$5:$AI$64,MATCH($F365,사건마스터!$A$5:$A$64,0)),""))</f>
        <v/>
      </c>
      <c r="M365" s="136">
        <f>IF($F365="","",IFERROR(INDEX(사건마스터!$AJ$5:$AJ$64,MATCH($F365,사건마스터!$A$5:$A$64,0)),""))</f>
        <v/>
      </c>
      <c r="N365" s="136">
        <f>IF($F365="","",IFERROR(INDEX(사건마스터!$AK$5:$AK$64,MATCH($F365,사건마스터!$A$5:$A$64,0)),""))</f>
        <v/>
      </c>
      <c r="O365" s="136">
        <f>IF($F365="","",IFERROR(INDEX(사건마스터!$AL$5:$AL$64,MATCH($F365,사건마스터!$A$5:$A$64,0)),""))</f>
        <v/>
      </c>
      <c r="P365" s="136">
        <f>IF($F365="","",IFERROR(INDEX(사건마스터!$AM$5:$AM$64,MATCH($F365,사건마스터!$A$5:$A$64,0)),""))</f>
        <v/>
      </c>
      <c r="Q365" s="136">
        <f>IF($F365="","",IFERROR(INDEX(사건마스터!$AN$5:$AN$64,MATCH($F365,사건마스터!$A$5:$A$64,0)),""))</f>
        <v/>
      </c>
      <c r="R365" s="136">
        <f>IF($F365="","",IFERROR(INDEX(사건마스터!$AO$5:$AO$64,MATCH($F365,사건마스터!$A$5:$A$64,0)),""))</f>
        <v/>
      </c>
      <c r="S365" s="136">
        <f>IF($F365="","",IFERROR(INDEX(사건마스터!$AP$5:$AP$64,MATCH($F365,사건마스터!$A$5:$A$64,0)),""))</f>
        <v/>
      </c>
      <c r="T365" s="136">
        <f>IF($F365="","",IFERROR(INDEX(사건마스터!$AQ$5:$AQ$64,MATCH($F365,사건마스터!$A$5:$A$64,0)),""))</f>
        <v/>
      </c>
      <c r="U365" s="136">
        <f>IF($F365="","",IFERROR(INDEX(사건마스터!$AR$5:$AR$64,MATCH($F365,사건마스터!$A$5:$A$64,0)),""))</f>
        <v/>
      </c>
      <c r="V365" s="136">
        <f>IF($F365="","",IFERROR(INDEX(사건마스터!$AS$5:$AS$64,MATCH($F365,사건마스터!$A$5:$A$64,0)),""))</f>
        <v/>
      </c>
      <c r="W365" s="136">
        <f>IF($F365="","",IFERROR(INDEX(사건마스터!$AT$5:$AT$64,MATCH($F365,사건마스터!$A$5:$A$64,0)),""))</f>
        <v/>
      </c>
      <c r="X365" s="136">
        <f>IF($F365="","",IFERROR(INDEX(사건마스터!$AU$5:$AU$64,MATCH($F365,사건마스터!$A$5:$A$64,0)),""))</f>
        <v/>
      </c>
      <c r="Y365" s="136">
        <f>IF($F365="","",IFERROR(INDEX(사건마스터!$AV$5:$AV$64,MATCH($F365,사건마스터!$A$5:$A$64,0)),""))</f>
        <v/>
      </c>
      <c r="Z365" s="118">
        <f>IF(COUNTBLANK($J365:$Y365)=16,"",16-COUNTBLANK($J365:$Y365))</f>
        <v/>
      </c>
      <c r="AA365" s="33">
        <f>IF($J365="",MID($AX365,3,255),$J365&amp;$AX365)</f>
        <v/>
      </c>
      <c r="AB365" s="130">
        <f>IF($J365="","",IFERROR(INDEX(코드설정!$D$5:$D$24,MATCH($J365,코드설정!$C$5:$C$24,0)),""))</f>
        <v/>
      </c>
      <c r="AC365" s="36" t="n"/>
      <c r="AD365" s="37" t="n"/>
      <c r="AE365" s="38" t="n"/>
      <c r="AF365" s="118">
        <f>IF(OR($B365="",$C365=""),"",$C365-$B365+1)</f>
        <v/>
      </c>
      <c r="AG365" s="74" t="n"/>
      <c r="AH365" s="36" t="n"/>
      <c r="AJ365">
        <f>IF($K365="","",", "&amp;$K365)</f>
        <v/>
      </c>
      <c r="AK365">
        <f>AJ365&amp;IF($L365="","",", "&amp;$L365)</f>
        <v/>
      </c>
      <c r="AL365">
        <f>AK365&amp;IF($M365="","",", "&amp;$M365)</f>
        <v/>
      </c>
      <c r="AM365">
        <f>AL365&amp;IF($N365="","",", "&amp;$N365)</f>
        <v/>
      </c>
      <c r="AN365">
        <f>AM365&amp;IF($O365="","",", "&amp;$O365)</f>
        <v/>
      </c>
      <c r="AO365">
        <f>AN365&amp;IF($P365="","",", "&amp;$P365)</f>
        <v/>
      </c>
      <c r="AP365">
        <f>AO365&amp;IF($Q365="","",", "&amp;$Q365)</f>
        <v/>
      </c>
      <c r="AQ365">
        <f>AP365&amp;IF($R365="","",", "&amp;$R365)</f>
        <v/>
      </c>
      <c r="AR365">
        <f>AQ365&amp;IF($S365="","",", "&amp;$S365)</f>
        <v/>
      </c>
      <c r="AS365">
        <f>AR365&amp;IF($T365="","",", "&amp;$T365)</f>
        <v/>
      </c>
      <c r="AT365">
        <f>AS365&amp;IF($U365="","",", "&amp;$U365)</f>
        <v/>
      </c>
      <c r="AU365">
        <f>AT365&amp;IF($V365="","",", "&amp;$V365)</f>
        <v/>
      </c>
      <c r="AV365">
        <f>AU365&amp;IF($W365="","",", "&amp;$W365)</f>
        <v/>
      </c>
      <c r="AW365">
        <f>AV365&amp;IF($X365="","",", "&amp;$X365)</f>
        <v/>
      </c>
      <c r="AX365">
        <f>AW365&amp;IF($Y365="","",", "&amp;$Y365)</f>
        <v/>
      </c>
    </row>
    <row r="366">
      <c r="A366" s="118">
        <f>IF($B366="","",COUNT($B$5:$B366))</f>
        <v/>
      </c>
      <c r="B366" s="80" t="n"/>
      <c r="C366" s="80" t="n"/>
      <c r="D366" s="74" t="n"/>
      <c r="E366" s="74" t="n"/>
      <c r="F366" s="74" t="n"/>
      <c r="G366" s="118">
        <f>IF($F366="","",COUNTIF($F$5:$F366,$F366))</f>
        <v/>
      </c>
      <c r="H366" s="33">
        <f>IF($F366="","",IFERROR(INDEX(사건마스터!$B$5:$B$64,MATCH($F366,사건마스터!$A$5:$A$64,0)),""))</f>
        <v/>
      </c>
      <c r="I366" s="130">
        <f>IF($F366="","",IFERROR(INDEX(사건마스터!$C$5:$C$64,MATCH($F366,사건마스터!$A$5:$A$64,0)),""))</f>
        <v/>
      </c>
      <c r="J366" s="136">
        <f>IF($F366="","",IFERROR(INDEX(사건마스터!$H$5:$H$64,MATCH($F366,사건마스터!$A$5:$A$64,0)),""))</f>
        <v/>
      </c>
      <c r="K366" s="136">
        <f>IF($F366="","",IFERROR(INDEX(사건마스터!$AH$5:$AH$64,MATCH($F366,사건마스터!$A$5:$A$64,0)),""))</f>
        <v/>
      </c>
      <c r="L366" s="136">
        <f>IF($F366="","",IFERROR(INDEX(사건마스터!$AI$5:$AI$64,MATCH($F366,사건마스터!$A$5:$A$64,0)),""))</f>
        <v/>
      </c>
      <c r="M366" s="136">
        <f>IF($F366="","",IFERROR(INDEX(사건마스터!$AJ$5:$AJ$64,MATCH($F366,사건마스터!$A$5:$A$64,0)),""))</f>
        <v/>
      </c>
      <c r="N366" s="136">
        <f>IF($F366="","",IFERROR(INDEX(사건마스터!$AK$5:$AK$64,MATCH($F366,사건마스터!$A$5:$A$64,0)),""))</f>
        <v/>
      </c>
      <c r="O366" s="136">
        <f>IF($F366="","",IFERROR(INDEX(사건마스터!$AL$5:$AL$64,MATCH($F366,사건마스터!$A$5:$A$64,0)),""))</f>
        <v/>
      </c>
      <c r="P366" s="136">
        <f>IF($F366="","",IFERROR(INDEX(사건마스터!$AM$5:$AM$64,MATCH($F366,사건마스터!$A$5:$A$64,0)),""))</f>
        <v/>
      </c>
      <c r="Q366" s="136">
        <f>IF($F366="","",IFERROR(INDEX(사건마스터!$AN$5:$AN$64,MATCH($F366,사건마스터!$A$5:$A$64,0)),""))</f>
        <v/>
      </c>
      <c r="R366" s="136">
        <f>IF($F366="","",IFERROR(INDEX(사건마스터!$AO$5:$AO$64,MATCH($F366,사건마스터!$A$5:$A$64,0)),""))</f>
        <v/>
      </c>
      <c r="S366" s="136">
        <f>IF($F366="","",IFERROR(INDEX(사건마스터!$AP$5:$AP$64,MATCH($F366,사건마스터!$A$5:$A$64,0)),""))</f>
        <v/>
      </c>
      <c r="T366" s="136">
        <f>IF($F366="","",IFERROR(INDEX(사건마스터!$AQ$5:$AQ$64,MATCH($F366,사건마스터!$A$5:$A$64,0)),""))</f>
        <v/>
      </c>
      <c r="U366" s="136">
        <f>IF($F366="","",IFERROR(INDEX(사건마스터!$AR$5:$AR$64,MATCH($F366,사건마스터!$A$5:$A$64,0)),""))</f>
        <v/>
      </c>
      <c r="V366" s="136">
        <f>IF($F366="","",IFERROR(INDEX(사건마스터!$AS$5:$AS$64,MATCH($F366,사건마스터!$A$5:$A$64,0)),""))</f>
        <v/>
      </c>
      <c r="W366" s="136">
        <f>IF($F366="","",IFERROR(INDEX(사건마스터!$AT$5:$AT$64,MATCH($F366,사건마스터!$A$5:$A$64,0)),""))</f>
        <v/>
      </c>
      <c r="X366" s="136">
        <f>IF($F366="","",IFERROR(INDEX(사건마스터!$AU$5:$AU$64,MATCH($F366,사건마스터!$A$5:$A$64,0)),""))</f>
        <v/>
      </c>
      <c r="Y366" s="136">
        <f>IF($F366="","",IFERROR(INDEX(사건마스터!$AV$5:$AV$64,MATCH($F366,사건마스터!$A$5:$A$64,0)),""))</f>
        <v/>
      </c>
      <c r="Z366" s="118">
        <f>IF(COUNTBLANK($J366:$Y366)=16,"",16-COUNTBLANK($J366:$Y366))</f>
        <v/>
      </c>
      <c r="AA366" s="33">
        <f>IF($J366="",MID($AX366,3,255),$J366&amp;$AX366)</f>
        <v/>
      </c>
      <c r="AB366" s="130">
        <f>IF($J366="","",IFERROR(INDEX(코드설정!$D$5:$D$24,MATCH($J366,코드설정!$C$5:$C$24,0)),""))</f>
        <v/>
      </c>
      <c r="AC366" s="36" t="n"/>
      <c r="AD366" s="37" t="n"/>
      <c r="AE366" s="38" t="n"/>
      <c r="AF366" s="118">
        <f>IF(OR($B366="",$C366=""),"",$C366-$B366+1)</f>
        <v/>
      </c>
      <c r="AG366" s="74" t="n"/>
      <c r="AH366" s="36" t="n"/>
      <c r="AJ366">
        <f>IF($K366="","",", "&amp;$K366)</f>
        <v/>
      </c>
      <c r="AK366">
        <f>AJ366&amp;IF($L366="","",", "&amp;$L366)</f>
        <v/>
      </c>
      <c r="AL366">
        <f>AK366&amp;IF($M366="","",", "&amp;$M366)</f>
        <v/>
      </c>
      <c r="AM366">
        <f>AL366&amp;IF($N366="","",", "&amp;$N366)</f>
        <v/>
      </c>
      <c r="AN366">
        <f>AM366&amp;IF($O366="","",", "&amp;$O366)</f>
        <v/>
      </c>
      <c r="AO366">
        <f>AN366&amp;IF($P366="","",", "&amp;$P366)</f>
        <v/>
      </c>
      <c r="AP366">
        <f>AO366&amp;IF($Q366="","",", "&amp;$Q366)</f>
        <v/>
      </c>
      <c r="AQ366">
        <f>AP366&amp;IF($R366="","",", "&amp;$R366)</f>
        <v/>
      </c>
      <c r="AR366">
        <f>AQ366&amp;IF($S366="","",", "&amp;$S366)</f>
        <v/>
      </c>
      <c r="AS366">
        <f>AR366&amp;IF($T366="","",", "&amp;$T366)</f>
        <v/>
      </c>
      <c r="AT366">
        <f>AS366&amp;IF($U366="","",", "&amp;$U366)</f>
        <v/>
      </c>
      <c r="AU366">
        <f>AT366&amp;IF($V366="","",", "&amp;$V366)</f>
        <v/>
      </c>
      <c r="AV366">
        <f>AU366&amp;IF($W366="","",", "&amp;$W366)</f>
        <v/>
      </c>
      <c r="AW366">
        <f>AV366&amp;IF($X366="","",", "&amp;$X366)</f>
        <v/>
      </c>
      <c r="AX366">
        <f>AW366&amp;IF($Y366="","",", "&amp;$Y366)</f>
        <v/>
      </c>
    </row>
    <row r="367">
      <c r="A367" s="118">
        <f>IF($B367="","",COUNT($B$5:$B367))</f>
        <v/>
      </c>
      <c r="B367" s="80" t="n"/>
      <c r="C367" s="80" t="n"/>
      <c r="D367" s="74" t="n"/>
      <c r="E367" s="74" t="n"/>
      <c r="F367" s="74" t="n"/>
      <c r="G367" s="118">
        <f>IF($F367="","",COUNTIF($F$5:$F367,$F367))</f>
        <v/>
      </c>
      <c r="H367" s="33">
        <f>IF($F367="","",IFERROR(INDEX(사건마스터!$B$5:$B$64,MATCH($F367,사건마스터!$A$5:$A$64,0)),""))</f>
        <v/>
      </c>
      <c r="I367" s="130">
        <f>IF($F367="","",IFERROR(INDEX(사건마스터!$C$5:$C$64,MATCH($F367,사건마스터!$A$5:$A$64,0)),""))</f>
        <v/>
      </c>
      <c r="J367" s="136">
        <f>IF($F367="","",IFERROR(INDEX(사건마스터!$H$5:$H$64,MATCH($F367,사건마스터!$A$5:$A$64,0)),""))</f>
        <v/>
      </c>
      <c r="K367" s="136">
        <f>IF($F367="","",IFERROR(INDEX(사건마스터!$AH$5:$AH$64,MATCH($F367,사건마스터!$A$5:$A$64,0)),""))</f>
        <v/>
      </c>
      <c r="L367" s="136">
        <f>IF($F367="","",IFERROR(INDEX(사건마스터!$AI$5:$AI$64,MATCH($F367,사건마스터!$A$5:$A$64,0)),""))</f>
        <v/>
      </c>
      <c r="M367" s="136">
        <f>IF($F367="","",IFERROR(INDEX(사건마스터!$AJ$5:$AJ$64,MATCH($F367,사건마스터!$A$5:$A$64,0)),""))</f>
        <v/>
      </c>
      <c r="N367" s="136">
        <f>IF($F367="","",IFERROR(INDEX(사건마스터!$AK$5:$AK$64,MATCH($F367,사건마스터!$A$5:$A$64,0)),""))</f>
        <v/>
      </c>
      <c r="O367" s="136">
        <f>IF($F367="","",IFERROR(INDEX(사건마스터!$AL$5:$AL$64,MATCH($F367,사건마스터!$A$5:$A$64,0)),""))</f>
        <v/>
      </c>
      <c r="P367" s="136">
        <f>IF($F367="","",IFERROR(INDEX(사건마스터!$AM$5:$AM$64,MATCH($F367,사건마스터!$A$5:$A$64,0)),""))</f>
        <v/>
      </c>
      <c r="Q367" s="136">
        <f>IF($F367="","",IFERROR(INDEX(사건마스터!$AN$5:$AN$64,MATCH($F367,사건마스터!$A$5:$A$64,0)),""))</f>
        <v/>
      </c>
      <c r="R367" s="136">
        <f>IF($F367="","",IFERROR(INDEX(사건마스터!$AO$5:$AO$64,MATCH($F367,사건마스터!$A$5:$A$64,0)),""))</f>
        <v/>
      </c>
      <c r="S367" s="136">
        <f>IF($F367="","",IFERROR(INDEX(사건마스터!$AP$5:$AP$64,MATCH($F367,사건마스터!$A$5:$A$64,0)),""))</f>
        <v/>
      </c>
      <c r="T367" s="136">
        <f>IF($F367="","",IFERROR(INDEX(사건마스터!$AQ$5:$AQ$64,MATCH($F367,사건마스터!$A$5:$A$64,0)),""))</f>
        <v/>
      </c>
      <c r="U367" s="136">
        <f>IF($F367="","",IFERROR(INDEX(사건마스터!$AR$5:$AR$64,MATCH($F367,사건마스터!$A$5:$A$64,0)),""))</f>
        <v/>
      </c>
      <c r="V367" s="136">
        <f>IF($F367="","",IFERROR(INDEX(사건마스터!$AS$5:$AS$64,MATCH($F367,사건마스터!$A$5:$A$64,0)),""))</f>
        <v/>
      </c>
      <c r="W367" s="136">
        <f>IF($F367="","",IFERROR(INDEX(사건마스터!$AT$5:$AT$64,MATCH($F367,사건마스터!$A$5:$A$64,0)),""))</f>
        <v/>
      </c>
      <c r="X367" s="136">
        <f>IF($F367="","",IFERROR(INDEX(사건마스터!$AU$5:$AU$64,MATCH($F367,사건마스터!$A$5:$A$64,0)),""))</f>
        <v/>
      </c>
      <c r="Y367" s="136">
        <f>IF($F367="","",IFERROR(INDEX(사건마스터!$AV$5:$AV$64,MATCH($F367,사건마스터!$A$5:$A$64,0)),""))</f>
        <v/>
      </c>
      <c r="Z367" s="118">
        <f>IF(COUNTBLANK($J367:$Y367)=16,"",16-COUNTBLANK($J367:$Y367))</f>
        <v/>
      </c>
      <c r="AA367" s="33">
        <f>IF($J367="",MID($AX367,3,255),$J367&amp;$AX367)</f>
        <v/>
      </c>
      <c r="AB367" s="130">
        <f>IF($J367="","",IFERROR(INDEX(코드설정!$D$5:$D$24,MATCH($J367,코드설정!$C$5:$C$24,0)),""))</f>
        <v/>
      </c>
      <c r="AC367" s="36" t="n"/>
      <c r="AD367" s="37" t="n"/>
      <c r="AE367" s="38" t="n"/>
      <c r="AF367" s="118">
        <f>IF(OR($B367="",$C367=""),"",$C367-$B367+1)</f>
        <v/>
      </c>
      <c r="AG367" s="74" t="n"/>
      <c r="AH367" s="36" t="n"/>
      <c r="AJ367">
        <f>IF($K367="","",", "&amp;$K367)</f>
        <v/>
      </c>
      <c r="AK367">
        <f>AJ367&amp;IF($L367="","",", "&amp;$L367)</f>
        <v/>
      </c>
      <c r="AL367">
        <f>AK367&amp;IF($M367="","",", "&amp;$M367)</f>
        <v/>
      </c>
      <c r="AM367">
        <f>AL367&amp;IF($N367="","",", "&amp;$N367)</f>
        <v/>
      </c>
      <c r="AN367">
        <f>AM367&amp;IF($O367="","",", "&amp;$O367)</f>
        <v/>
      </c>
      <c r="AO367">
        <f>AN367&amp;IF($P367="","",", "&amp;$P367)</f>
        <v/>
      </c>
      <c r="AP367">
        <f>AO367&amp;IF($Q367="","",", "&amp;$Q367)</f>
        <v/>
      </c>
      <c r="AQ367">
        <f>AP367&amp;IF($R367="","",", "&amp;$R367)</f>
        <v/>
      </c>
      <c r="AR367">
        <f>AQ367&amp;IF($S367="","",", "&amp;$S367)</f>
        <v/>
      </c>
      <c r="AS367">
        <f>AR367&amp;IF($T367="","",", "&amp;$T367)</f>
        <v/>
      </c>
      <c r="AT367">
        <f>AS367&amp;IF($U367="","",", "&amp;$U367)</f>
        <v/>
      </c>
      <c r="AU367">
        <f>AT367&amp;IF($V367="","",", "&amp;$V367)</f>
        <v/>
      </c>
      <c r="AV367">
        <f>AU367&amp;IF($W367="","",", "&amp;$W367)</f>
        <v/>
      </c>
      <c r="AW367">
        <f>AV367&amp;IF($X367="","",", "&amp;$X367)</f>
        <v/>
      </c>
      <c r="AX367">
        <f>AW367&amp;IF($Y367="","",", "&amp;$Y367)</f>
        <v/>
      </c>
    </row>
    <row r="368">
      <c r="A368" s="118">
        <f>IF($B368="","",COUNT($B$5:$B368))</f>
        <v/>
      </c>
      <c r="B368" s="80" t="n"/>
      <c r="C368" s="80" t="n"/>
      <c r="D368" s="74" t="n"/>
      <c r="E368" s="74" t="n"/>
      <c r="F368" s="74" t="n"/>
      <c r="G368" s="118">
        <f>IF($F368="","",COUNTIF($F$5:$F368,$F368))</f>
        <v/>
      </c>
      <c r="H368" s="33">
        <f>IF($F368="","",IFERROR(INDEX(사건마스터!$B$5:$B$64,MATCH($F368,사건마스터!$A$5:$A$64,0)),""))</f>
        <v/>
      </c>
      <c r="I368" s="130">
        <f>IF($F368="","",IFERROR(INDEX(사건마스터!$C$5:$C$64,MATCH($F368,사건마스터!$A$5:$A$64,0)),""))</f>
        <v/>
      </c>
      <c r="J368" s="136">
        <f>IF($F368="","",IFERROR(INDEX(사건마스터!$H$5:$H$64,MATCH($F368,사건마스터!$A$5:$A$64,0)),""))</f>
        <v/>
      </c>
      <c r="K368" s="136">
        <f>IF($F368="","",IFERROR(INDEX(사건마스터!$AH$5:$AH$64,MATCH($F368,사건마스터!$A$5:$A$64,0)),""))</f>
        <v/>
      </c>
      <c r="L368" s="136">
        <f>IF($F368="","",IFERROR(INDEX(사건마스터!$AI$5:$AI$64,MATCH($F368,사건마스터!$A$5:$A$64,0)),""))</f>
        <v/>
      </c>
      <c r="M368" s="136">
        <f>IF($F368="","",IFERROR(INDEX(사건마스터!$AJ$5:$AJ$64,MATCH($F368,사건마스터!$A$5:$A$64,0)),""))</f>
        <v/>
      </c>
      <c r="N368" s="136">
        <f>IF($F368="","",IFERROR(INDEX(사건마스터!$AK$5:$AK$64,MATCH($F368,사건마스터!$A$5:$A$64,0)),""))</f>
        <v/>
      </c>
      <c r="O368" s="136">
        <f>IF($F368="","",IFERROR(INDEX(사건마스터!$AL$5:$AL$64,MATCH($F368,사건마스터!$A$5:$A$64,0)),""))</f>
        <v/>
      </c>
      <c r="P368" s="136">
        <f>IF($F368="","",IFERROR(INDEX(사건마스터!$AM$5:$AM$64,MATCH($F368,사건마스터!$A$5:$A$64,0)),""))</f>
        <v/>
      </c>
      <c r="Q368" s="136">
        <f>IF($F368="","",IFERROR(INDEX(사건마스터!$AN$5:$AN$64,MATCH($F368,사건마스터!$A$5:$A$64,0)),""))</f>
        <v/>
      </c>
      <c r="R368" s="136">
        <f>IF($F368="","",IFERROR(INDEX(사건마스터!$AO$5:$AO$64,MATCH($F368,사건마스터!$A$5:$A$64,0)),""))</f>
        <v/>
      </c>
      <c r="S368" s="136">
        <f>IF($F368="","",IFERROR(INDEX(사건마스터!$AP$5:$AP$64,MATCH($F368,사건마스터!$A$5:$A$64,0)),""))</f>
        <v/>
      </c>
      <c r="T368" s="136">
        <f>IF($F368="","",IFERROR(INDEX(사건마스터!$AQ$5:$AQ$64,MATCH($F368,사건마스터!$A$5:$A$64,0)),""))</f>
        <v/>
      </c>
      <c r="U368" s="136">
        <f>IF($F368="","",IFERROR(INDEX(사건마스터!$AR$5:$AR$64,MATCH($F368,사건마스터!$A$5:$A$64,0)),""))</f>
        <v/>
      </c>
      <c r="V368" s="136">
        <f>IF($F368="","",IFERROR(INDEX(사건마스터!$AS$5:$AS$64,MATCH($F368,사건마스터!$A$5:$A$64,0)),""))</f>
        <v/>
      </c>
      <c r="W368" s="136">
        <f>IF($F368="","",IFERROR(INDEX(사건마스터!$AT$5:$AT$64,MATCH($F368,사건마스터!$A$5:$A$64,0)),""))</f>
        <v/>
      </c>
      <c r="X368" s="136">
        <f>IF($F368="","",IFERROR(INDEX(사건마스터!$AU$5:$AU$64,MATCH($F368,사건마스터!$A$5:$A$64,0)),""))</f>
        <v/>
      </c>
      <c r="Y368" s="136">
        <f>IF($F368="","",IFERROR(INDEX(사건마스터!$AV$5:$AV$64,MATCH($F368,사건마스터!$A$5:$A$64,0)),""))</f>
        <v/>
      </c>
      <c r="Z368" s="118">
        <f>IF(COUNTBLANK($J368:$Y368)=16,"",16-COUNTBLANK($J368:$Y368))</f>
        <v/>
      </c>
      <c r="AA368" s="33">
        <f>IF($J368="",MID($AX368,3,255),$J368&amp;$AX368)</f>
        <v/>
      </c>
      <c r="AB368" s="130">
        <f>IF($J368="","",IFERROR(INDEX(코드설정!$D$5:$D$24,MATCH($J368,코드설정!$C$5:$C$24,0)),""))</f>
        <v/>
      </c>
      <c r="AC368" s="36" t="n"/>
      <c r="AD368" s="37" t="n"/>
      <c r="AE368" s="38" t="n"/>
      <c r="AF368" s="118">
        <f>IF(OR($B368="",$C368=""),"",$C368-$B368+1)</f>
        <v/>
      </c>
      <c r="AG368" s="74" t="n"/>
      <c r="AH368" s="36" t="n"/>
      <c r="AJ368">
        <f>IF($K368="","",", "&amp;$K368)</f>
        <v/>
      </c>
      <c r="AK368">
        <f>AJ368&amp;IF($L368="","",", "&amp;$L368)</f>
        <v/>
      </c>
      <c r="AL368">
        <f>AK368&amp;IF($M368="","",", "&amp;$M368)</f>
        <v/>
      </c>
      <c r="AM368">
        <f>AL368&amp;IF($N368="","",", "&amp;$N368)</f>
        <v/>
      </c>
      <c r="AN368">
        <f>AM368&amp;IF($O368="","",", "&amp;$O368)</f>
        <v/>
      </c>
      <c r="AO368">
        <f>AN368&amp;IF($P368="","",", "&amp;$P368)</f>
        <v/>
      </c>
      <c r="AP368">
        <f>AO368&amp;IF($Q368="","",", "&amp;$Q368)</f>
        <v/>
      </c>
      <c r="AQ368">
        <f>AP368&amp;IF($R368="","",", "&amp;$R368)</f>
        <v/>
      </c>
      <c r="AR368">
        <f>AQ368&amp;IF($S368="","",", "&amp;$S368)</f>
        <v/>
      </c>
      <c r="AS368">
        <f>AR368&amp;IF($T368="","",", "&amp;$T368)</f>
        <v/>
      </c>
      <c r="AT368">
        <f>AS368&amp;IF($U368="","",", "&amp;$U368)</f>
        <v/>
      </c>
      <c r="AU368">
        <f>AT368&amp;IF($V368="","",", "&amp;$V368)</f>
        <v/>
      </c>
      <c r="AV368">
        <f>AU368&amp;IF($W368="","",", "&amp;$W368)</f>
        <v/>
      </c>
      <c r="AW368">
        <f>AV368&amp;IF($X368="","",", "&amp;$X368)</f>
        <v/>
      </c>
      <c r="AX368">
        <f>AW368&amp;IF($Y368="","",", "&amp;$Y368)</f>
        <v/>
      </c>
    </row>
    <row r="369">
      <c r="A369" s="118">
        <f>IF($B369="","",COUNT($B$5:$B369))</f>
        <v/>
      </c>
      <c r="B369" s="80" t="n"/>
      <c r="C369" s="80" t="n"/>
      <c r="D369" s="74" t="n"/>
      <c r="E369" s="74" t="n"/>
      <c r="F369" s="74" t="n"/>
      <c r="G369" s="118">
        <f>IF($F369="","",COUNTIF($F$5:$F369,$F369))</f>
        <v/>
      </c>
      <c r="H369" s="33">
        <f>IF($F369="","",IFERROR(INDEX(사건마스터!$B$5:$B$64,MATCH($F369,사건마스터!$A$5:$A$64,0)),""))</f>
        <v/>
      </c>
      <c r="I369" s="130">
        <f>IF($F369="","",IFERROR(INDEX(사건마스터!$C$5:$C$64,MATCH($F369,사건마스터!$A$5:$A$64,0)),""))</f>
        <v/>
      </c>
      <c r="J369" s="136">
        <f>IF($F369="","",IFERROR(INDEX(사건마스터!$H$5:$H$64,MATCH($F369,사건마스터!$A$5:$A$64,0)),""))</f>
        <v/>
      </c>
      <c r="K369" s="136">
        <f>IF($F369="","",IFERROR(INDEX(사건마스터!$AH$5:$AH$64,MATCH($F369,사건마스터!$A$5:$A$64,0)),""))</f>
        <v/>
      </c>
      <c r="L369" s="136">
        <f>IF($F369="","",IFERROR(INDEX(사건마스터!$AI$5:$AI$64,MATCH($F369,사건마스터!$A$5:$A$64,0)),""))</f>
        <v/>
      </c>
      <c r="M369" s="136">
        <f>IF($F369="","",IFERROR(INDEX(사건마스터!$AJ$5:$AJ$64,MATCH($F369,사건마스터!$A$5:$A$64,0)),""))</f>
        <v/>
      </c>
      <c r="N369" s="136">
        <f>IF($F369="","",IFERROR(INDEX(사건마스터!$AK$5:$AK$64,MATCH($F369,사건마스터!$A$5:$A$64,0)),""))</f>
        <v/>
      </c>
      <c r="O369" s="136">
        <f>IF($F369="","",IFERROR(INDEX(사건마스터!$AL$5:$AL$64,MATCH($F369,사건마스터!$A$5:$A$64,0)),""))</f>
        <v/>
      </c>
      <c r="P369" s="136">
        <f>IF($F369="","",IFERROR(INDEX(사건마스터!$AM$5:$AM$64,MATCH($F369,사건마스터!$A$5:$A$64,0)),""))</f>
        <v/>
      </c>
      <c r="Q369" s="136">
        <f>IF($F369="","",IFERROR(INDEX(사건마스터!$AN$5:$AN$64,MATCH($F369,사건마스터!$A$5:$A$64,0)),""))</f>
        <v/>
      </c>
      <c r="R369" s="136">
        <f>IF($F369="","",IFERROR(INDEX(사건마스터!$AO$5:$AO$64,MATCH($F369,사건마스터!$A$5:$A$64,0)),""))</f>
        <v/>
      </c>
      <c r="S369" s="136">
        <f>IF($F369="","",IFERROR(INDEX(사건마스터!$AP$5:$AP$64,MATCH($F369,사건마스터!$A$5:$A$64,0)),""))</f>
        <v/>
      </c>
      <c r="T369" s="136">
        <f>IF($F369="","",IFERROR(INDEX(사건마스터!$AQ$5:$AQ$64,MATCH($F369,사건마스터!$A$5:$A$64,0)),""))</f>
        <v/>
      </c>
      <c r="U369" s="136">
        <f>IF($F369="","",IFERROR(INDEX(사건마스터!$AR$5:$AR$64,MATCH($F369,사건마스터!$A$5:$A$64,0)),""))</f>
        <v/>
      </c>
      <c r="V369" s="136">
        <f>IF($F369="","",IFERROR(INDEX(사건마스터!$AS$5:$AS$64,MATCH($F369,사건마스터!$A$5:$A$64,0)),""))</f>
        <v/>
      </c>
      <c r="W369" s="136">
        <f>IF($F369="","",IFERROR(INDEX(사건마스터!$AT$5:$AT$64,MATCH($F369,사건마스터!$A$5:$A$64,0)),""))</f>
        <v/>
      </c>
      <c r="X369" s="136">
        <f>IF($F369="","",IFERROR(INDEX(사건마스터!$AU$5:$AU$64,MATCH($F369,사건마스터!$A$5:$A$64,0)),""))</f>
        <v/>
      </c>
      <c r="Y369" s="136">
        <f>IF($F369="","",IFERROR(INDEX(사건마스터!$AV$5:$AV$64,MATCH($F369,사건마스터!$A$5:$A$64,0)),""))</f>
        <v/>
      </c>
      <c r="Z369" s="118">
        <f>IF(COUNTBLANK($J369:$Y369)=16,"",16-COUNTBLANK($J369:$Y369))</f>
        <v/>
      </c>
      <c r="AA369" s="33">
        <f>IF($J369="",MID($AX369,3,255),$J369&amp;$AX369)</f>
        <v/>
      </c>
      <c r="AB369" s="130">
        <f>IF($J369="","",IFERROR(INDEX(코드설정!$D$5:$D$24,MATCH($J369,코드설정!$C$5:$C$24,0)),""))</f>
        <v/>
      </c>
      <c r="AC369" s="36" t="n"/>
      <c r="AD369" s="37" t="n"/>
      <c r="AE369" s="38" t="n"/>
      <c r="AF369" s="118">
        <f>IF(OR($B369="",$C369=""),"",$C369-$B369+1)</f>
        <v/>
      </c>
      <c r="AG369" s="74" t="n"/>
      <c r="AH369" s="36" t="n"/>
      <c r="AJ369">
        <f>IF($K369="","",", "&amp;$K369)</f>
        <v/>
      </c>
      <c r="AK369">
        <f>AJ369&amp;IF($L369="","",", "&amp;$L369)</f>
        <v/>
      </c>
      <c r="AL369">
        <f>AK369&amp;IF($M369="","",", "&amp;$M369)</f>
        <v/>
      </c>
      <c r="AM369">
        <f>AL369&amp;IF($N369="","",", "&amp;$N369)</f>
        <v/>
      </c>
      <c r="AN369">
        <f>AM369&amp;IF($O369="","",", "&amp;$O369)</f>
        <v/>
      </c>
      <c r="AO369">
        <f>AN369&amp;IF($P369="","",", "&amp;$P369)</f>
        <v/>
      </c>
      <c r="AP369">
        <f>AO369&amp;IF($Q369="","",", "&amp;$Q369)</f>
        <v/>
      </c>
      <c r="AQ369">
        <f>AP369&amp;IF($R369="","",", "&amp;$R369)</f>
        <v/>
      </c>
      <c r="AR369">
        <f>AQ369&amp;IF($S369="","",", "&amp;$S369)</f>
        <v/>
      </c>
      <c r="AS369">
        <f>AR369&amp;IF($T369="","",", "&amp;$T369)</f>
        <v/>
      </c>
      <c r="AT369">
        <f>AS369&amp;IF($U369="","",", "&amp;$U369)</f>
        <v/>
      </c>
      <c r="AU369">
        <f>AT369&amp;IF($V369="","",", "&amp;$V369)</f>
        <v/>
      </c>
      <c r="AV369">
        <f>AU369&amp;IF($W369="","",", "&amp;$W369)</f>
        <v/>
      </c>
      <c r="AW369">
        <f>AV369&amp;IF($X369="","",", "&amp;$X369)</f>
        <v/>
      </c>
      <c r="AX369">
        <f>AW369&amp;IF($Y369="","",", "&amp;$Y369)</f>
        <v/>
      </c>
    </row>
    <row r="370">
      <c r="A370" s="118">
        <f>IF($B370="","",COUNT($B$5:$B370))</f>
        <v/>
      </c>
      <c r="B370" s="80" t="n"/>
      <c r="C370" s="80" t="n"/>
      <c r="D370" s="74" t="n"/>
      <c r="E370" s="74" t="n"/>
      <c r="F370" s="74" t="n"/>
      <c r="G370" s="118">
        <f>IF($F370="","",COUNTIF($F$5:$F370,$F370))</f>
        <v/>
      </c>
      <c r="H370" s="33">
        <f>IF($F370="","",IFERROR(INDEX(사건마스터!$B$5:$B$64,MATCH($F370,사건마스터!$A$5:$A$64,0)),""))</f>
        <v/>
      </c>
      <c r="I370" s="130">
        <f>IF($F370="","",IFERROR(INDEX(사건마스터!$C$5:$C$64,MATCH($F370,사건마스터!$A$5:$A$64,0)),""))</f>
        <v/>
      </c>
      <c r="J370" s="136">
        <f>IF($F370="","",IFERROR(INDEX(사건마스터!$H$5:$H$64,MATCH($F370,사건마스터!$A$5:$A$64,0)),""))</f>
        <v/>
      </c>
      <c r="K370" s="136">
        <f>IF($F370="","",IFERROR(INDEX(사건마스터!$AH$5:$AH$64,MATCH($F370,사건마스터!$A$5:$A$64,0)),""))</f>
        <v/>
      </c>
      <c r="L370" s="136">
        <f>IF($F370="","",IFERROR(INDEX(사건마스터!$AI$5:$AI$64,MATCH($F370,사건마스터!$A$5:$A$64,0)),""))</f>
        <v/>
      </c>
      <c r="M370" s="136">
        <f>IF($F370="","",IFERROR(INDEX(사건마스터!$AJ$5:$AJ$64,MATCH($F370,사건마스터!$A$5:$A$64,0)),""))</f>
        <v/>
      </c>
      <c r="N370" s="136">
        <f>IF($F370="","",IFERROR(INDEX(사건마스터!$AK$5:$AK$64,MATCH($F370,사건마스터!$A$5:$A$64,0)),""))</f>
        <v/>
      </c>
      <c r="O370" s="136">
        <f>IF($F370="","",IFERROR(INDEX(사건마스터!$AL$5:$AL$64,MATCH($F370,사건마스터!$A$5:$A$64,0)),""))</f>
        <v/>
      </c>
      <c r="P370" s="136">
        <f>IF($F370="","",IFERROR(INDEX(사건마스터!$AM$5:$AM$64,MATCH($F370,사건마스터!$A$5:$A$64,0)),""))</f>
        <v/>
      </c>
      <c r="Q370" s="136">
        <f>IF($F370="","",IFERROR(INDEX(사건마스터!$AN$5:$AN$64,MATCH($F370,사건마스터!$A$5:$A$64,0)),""))</f>
        <v/>
      </c>
      <c r="R370" s="136">
        <f>IF($F370="","",IFERROR(INDEX(사건마스터!$AO$5:$AO$64,MATCH($F370,사건마스터!$A$5:$A$64,0)),""))</f>
        <v/>
      </c>
      <c r="S370" s="136">
        <f>IF($F370="","",IFERROR(INDEX(사건마스터!$AP$5:$AP$64,MATCH($F370,사건마스터!$A$5:$A$64,0)),""))</f>
        <v/>
      </c>
      <c r="T370" s="136">
        <f>IF($F370="","",IFERROR(INDEX(사건마스터!$AQ$5:$AQ$64,MATCH($F370,사건마스터!$A$5:$A$64,0)),""))</f>
        <v/>
      </c>
      <c r="U370" s="136">
        <f>IF($F370="","",IFERROR(INDEX(사건마스터!$AR$5:$AR$64,MATCH($F370,사건마스터!$A$5:$A$64,0)),""))</f>
        <v/>
      </c>
      <c r="V370" s="136">
        <f>IF($F370="","",IFERROR(INDEX(사건마스터!$AS$5:$AS$64,MATCH($F370,사건마스터!$A$5:$A$64,0)),""))</f>
        <v/>
      </c>
      <c r="W370" s="136">
        <f>IF($F370="","",IFERROR(INDEX(사건마스터!$AT$5:$AT$64,MATCH($F370,사건마스터!$A$5:$A$64,0)),""))</f>
        <v/>
      </c>
      <c r="X370" s="136">
        <f>IF($F370="","",IFERROR(INDEX(사건마스터!$AU$5:$AU$64,MATCH($F370,사건마스터!$A$5:$A$64,0)),""))</f>
        <v/>
      </c>
      <c r="Y370" s="136">
        <f>IF($F370="","",IFERROR(INDEX(사건마스터!$AV$5:$AV$64,MATCH($F370,사건마스터!$A$5:$A$64,0)),""))</f>
        <v/>
      </c>
      <c r="Z370" s="118">
        <f>IF(COUNTBLANK($J370:$Y370)=16,"",16-COUNTBLANK($J370:$Y370))</f>
        <v/>
      </c>
      <c r="AA370" s="33">
        <f>IF($J370="",MID($AX370,3,255),$J370&amp;$AX370)</f>
        <v/>
      </c>
      <c r="AB370" s="130">
        <f>IF($J370="","",IFERROR(INDEX(코드설정!$D$5:$D$24,MATCH($J370,코드설정!$C$5:$C$24,0)),""))</f>
        <v/>
      </c>
      <c r="AC370" s="36" t="n"/>
      <c r="AD370" s="37" t="n"/>
      <c r="AE370" s="38" t="n"/>
      <c r="AF370" s="118">
        <f>IF(OR($B370="",$C370=""),"",$C370-$B370+1)</f>
        <v/>
      </c>
      <c r="AG370" s="74" t="n"/>
      <c r="AH370" s="36" t="n"/>
      <c r="AJ370">
        <f>IF($K370="","",", "&amp;$K370)</f>
        <v/>
      </c>
      <c r="AK370">
        <f>AJ370&amp;IF($L370="","",", "&amp;$L370)</f>
        <v/>
      </c>
      <c r="AL370">
        <f>AK370&amp;IF($M370="","",", "&amp;$M370)</f>
        <v/>
      </c>
      <c r="AM370">
        <f>AL370&amp;IF($N370="","",", "&amp;$N370)</f>
        <v/>
      </c>
      <c r="AN370">
        <f>AM370&amp;IF($O370="","",", "&amp;$O370)</f>
        <v/>
      </c>
      <c r="AO370">
        <f>AN370&amp;IF($P370="","",", "&amp;$P370)</f>
        <v/>
      </c>
      <c r="AP370">
        <f>AO370&amp;IF($Q370="","",", "&amp;$Q370)</f>
        <v/>
      </c>
      <c r="AQ370">
        <f>AP370&amp;IF($R370="","",", "&amp;$R370)</f>
        <v/>
      </c>
      <c r="AR370">
        <f>AQ370&amp;IF($S370="","",", "&amp;$S370)</f>
        <v/>
      </c>
      <c r="AS370">
        <f>AR370&amp;IF($T370="","",", "&amp;$T370)</f>
        <v/>
      </c>
      <c r="AT370">
        <f>AS370&amp;IF($U370="","",", "&amp;$U370)</f>
        <v/>
      </c>
      <c r="AU370">
        <f>AT370&amp;IF($V370="","",", "&amp;$V370)</f>
        <v/>
      </c>
      <c r="AV370">
        <f>AU370&amp;IF($W370="","",", "&amp;$W370)</f>
        <v/>
      </c>
      <c r="AW370">
        <f>AV370&amp;IF($X370="","",", "&amp;$X370)</f>
        <v/>
      </c>
      <c r="AX370">
        <f>AW370&amp;IF($Y370="","",", "&amp;$Y370)</f>
        <v/>
      </c>
    </row>
    <row r="371">
      <c r="A371" s="118">
        <f>IF($B371="","",COUNT($B$5:$B371))</f>
        <v/>
      </c>
      <c r="B371" s="80" t="n"/>
      <c r="C371" s="80" t="n"/>
      <c r="D371" s="74" t="n"/>
      <c r="E371" s="74" t="n"/>
      <c r="F371" s="74" t="n"/>
      <c r="G371" s="118">
        <f>IF($F371="","",COUNTIF($F$5:$F371,$F371))</f>
        <v/>
      </c>
      <c r="H371" s="33">
        <f>IF($F371="","",IFERROR(INDEX(사건마스터!$B$5:$B$64,MATCH($F371,사건마스터!$A$5:$A$64,0)),""))</f>
        <v/>
      </c>
      <c r="I371" s="130">
        <f>IF($F371="","",IFERROR(INDEX(사건마스터!$C$5:$C$64,MATCH($F371,사건마스터!$A$5:$A$64,0)),""))</f>
        <v/>
      </c>
      <c r="J371" s="136">
        <f>IF($F371="","",IFERROR(INDEX(사건마스터!$H$5:$H$64,MATCH($F371,사건마스터!$A$5:$A$64,0)),""))</f>
        <v/>
      </c>
      <c r="K371" s="136">
        <f>IF($F371="","",IFERROR(INDEX(사건마스터!$AH$5:$AH$64,MATCH($F371,사건마스터!$A$5:$A$64,0)),""))</f>
        <v/>
      </c>
      <c r="L371" s="136">
        <f>IF($F371="","",IFERROR(INDEX(사건마스터!$AI$5:$AI$64,MATCH($F371,사건마스터!$A$5:$A$64,0)),""))</f>
        <v/>
      </c>
      <c r="M371" s="136">
        <f>IF($F371="","",IFERROR(INDEX(사건마스터!$AJ$5:$AJ$64,MATCH($F371,사건마스터!$A$5:$A$64,0)),""))</f>
        <v/>
      </c>
      <c r="N371" s="136">
        <f>IF($F371="","",IFERROR(INDEX(사건마스터!$AK$5:$AK$64,MATCH($F371,사건마스터!$A$5:$A$64,0)),""))</f>
        <v/>
      </c>
      <c r="O371" s="136">
        <f>IF($F371="","",IFERROR(INDEX(사건마스터!$AL$5:$AL$64,MATCH($F371,사건마스터!$A$5:$A$64,0)),""))</f>
        <v/>
      </c>
      <c r="P371" s="136">
        <f>IF($F371="","",IFERROR(INDEX(사건마스터!$AM$5:$AM$64,MATCH($F371,사건마스터!$A$5:$A$64,0)),""))</f>
        <v/>
      </c>
      <c r="Q371" s="136">
        <f>IF($F371="","",IFERROR(INDEX(사건마스터!$AN$5:$AN$64,MATCH($F371,사건마스터!$A$5:$A$64,0)),""))</f>
        <v/>
      </c>
      <c r="R371" s="136">
        <f>IF($F371="","",IFERROR(INDEX(사건마스터!$AO$5:$AO$64,MATCH($F371,사건마스터!$A$5:$A$64,0)),""))</f>
        <v/>
      </c>
      <c r="S371" s="136">
        <f>IF($F371="","",IFERROR(INDEX(사건마스터!$AP$5:$AP$64,MATCH($F371,사건마스터!$A$5:$A$64,0)),""))</f>
        <v/>
      </c>
      <c r="T371" s="136">
        <f>IF($F371="","",IFERROR(INDEX(사건마스터!$AQ$5:$AQ$64,MATCH($F371,사건마스터!$A$5:$A$64,0)),""))</f>
        <v/>
      </c>
      <c r="U371" s="136">
        <f>IF($F371="","",IFERROR(INDEX(사건마스터!$AR$5:$AR$64,MATCH($F371,사건마스터!$A$5:$A$64,0)),""))</f>
        <v/>
      </c>
      <c r="V371" s="136">
        <f>IF($F371="","",IFERROR(INDEX(사건마스터!$AS$5:$AS$64,MATCH($F371,사건마스터!$A$5:$A$64,0)),""))</f>
        <v/>
      </c>
      <c r="W371" s="136">
        <f>IF($F371="","",IFERROR(INDEX(사건마스터!$AT$5:$AT$64,MATCH($F371,사건마스터!$A$5:$A$64,0)),""))</f>
        <v/>
      </c>
      <c r="X371" s="136">
        <f>IF($F371="","",IFERROR(INDEX(사건마스터!$AU$5:$AU$64,MATCH($F371,사건마스터!$A$5:$A$64,0)),""))</f>
        <v/>
      </c>
      <c r="Y371" s="136">
        <f>IF($F371="","",IFERROR(INDEX(사건마스터!$AV$5:$AV$64,MATCH($F371,사건마스터!$A$5:$A$64,0)),""))</f>
        <v/>
      </c>
      <c r="Z371" s="118">
        <f>IF(COUNTBLANK($J371:$Y371)=16,"",16-COUNTBLANK($J371:$Y371))</f>
        <v/>
      </c>
      <c r="AA371" s="33">
        <f>IF($J371="",MID($AX371,3,255),$J371&amp;$AX371)</f>
        <v/>
      </c>
      <c r="AB371" s="130">
        <f>IF($J371="","",IFERROR(INDEX(코드설정!$D$5:$D$24,MATCH($J371,코드설정!$C$5:$C$24,0)),""))</f>
        <v/>
      </c>
      <c r="AC371" s="36" t="n"/>
      <c r="AD371" s="37" t="n"/>
      <c r="AE371" s="38" t="n"/>
      <c r="AF371" s="118">
        <f>IF(OR($B371="",$C371=""),"",$C371-$B371+1)</f>
        <v/>
      </c>
      <c r="AG371" s="74" t="n"/>
      <c r="AH371" s="36" t="n"/>
      <c r="AJ371">
        <f>IF($K371="","",", "&amp;$K371)</f>
        <v/>
      </c>
      <c r="AK371">
        <f>AJ371&amp;IF($L371="","",", "&amp;$L371)</f>
        <v/>
      </c>
      <c r="AL371">
        <f>AK371&amp;IF($M371="","",", "&amp;$M371)</f>
        <v/>
      </c>
      <c r="AM371">
        <f>AL371&amp;IF($N371="","",", "&amp;$N371)</f>
        <v/>
      </c>
      <c r="AN371">
        <f>AM371&amp;IF($O371="","",", "&amp;$O371)</f>
        <v/>
      </c>
      <c r="AO371">
        <f>AN371&amp;IF($P371="","",", "&amp;$P371)</f>
        <v/>
      </c>
      <c r="AP371">
        <f>AO371&amp;IF($Q371="","",", "&amp;$Q371)</f>
        <v/>
      </c>
      <c r="AQ371">
        <f>AP371&amp;IF($R371="","",", "&amp;$R371)</f>
        <v/>
      </c>
      <c r="AR371">
        <f>AQ371&amp;IF($S371="","",", "&amp;$S371)</f>
        <v/>
      </c>
      <c r="AS371">
        <f>AR371&amp;IF($T371="","",", "&amp;$T371)</f>
        <v/>
      </c>
      <c r="AT371">
        <f>AS371&amp;IF($U371="","",", "&amp;$U371)</f>
        <v/>
      </c>
      <c r="AU371">
        <f>AT371&amp;IF($V371="","",", "&amp;$V371)</f>
        <v/>
      </c>
      <c r="AV371">
        <f>AU371&amp;IF($W371="","",", "&amp;$W371)</f>
        <v/>
      </c>
      <c r="AW371">
        <f>AV371&amp;IF($X371="","",", "&amp;$X371)</f>
        <v/>
      </c>
      <c r="AX371">
        <f>AW371&amp;IF($Y371="","",", "&amp;$Y371)</f>
        <v/>
      </c>
    </row>
    <row r="372">
      <c r="A372" s="118">
        <f>IF($B372="","",COUNT($B$5:$B372))</f>
        <v/>
      </c>
      <c r="B372" s="80" t="n"/>
      <c r="C372" s="80" t="n"/>
      <c r="D372" s="74" t="n"/>
      <c r="E372" s="74" t="n"/>
      <c r="F372" s="74" t="n"/>
      <c r="G372" s="118">
        <f>IF($F372="","",COUNTIF($F$5:$F372,$F372))</f>
        <v/>
      </c>
      <c r="H372" s="33">
        <f>IF($F372="","",IFERROR(INDEX(사건마스터!$B$5:$B$64,MATCH($F372,사건마스터!$A$5:$A$64,0)),""))</f>
        <v/>
      </c>
      <c r="I372" s="130">
        <f>IF($F372="","",IFERROR(INDEX(사건마스터!$C$5:$C$64,MATCH($F372,사건마스터!$A$5:$A$64,0)),""))</f>
        <v/>
      </c>
      <c r="J372" s="136">
        <f>IF($F372="","",IFERROR(INDEX(사건마스터!$H$5:$H$64,MATCH($F372,사건마스터!$A$5:$A$64,0)),""))</f>
        <v/>
      </c>
      <c r="K372" s="136">
        <f>IF($F372="","",IFERROR(INDEX(사건마스터!$AH$5:$AH$64,MATCH($F372,사건마스터!$A$5:$A$64,0)),""))</f>
        <v/>
      </c>
      <c r="L372" s="136">
        <f>IF($F372="","",IFERROR(INDEX(사건마스터!$AI$5:$AI$64,MATCH($F372,사건마스터!$A$5:$A$64,0)),""))</f>
        <v/>
      </c>
      <c r="M372" s="136">
        <f>IF($F372="","",IFERROR(INDEX(사건마스터!$AJ$5:$AJ$64,MATCH($F372,사건마스터!$A$5:$A$64,0)),""))</f>
        <v/>
      </c>
      <c r="N372" s="136">
        <f>IF($F372="","",IFERROR(INDEX(사건마스터!$AK$5:$AK$64,MATCH($F372,사건마스터!$A$5:$A$64,0)),""))</f>
        <v/>
      </c>
      <c r="O372" s="136">
        <f>IF($F372="","",IFERROR(INDEX(사건마스터!$AL$5:$AL$64,MATCH($F372,사건마스터!$A$5:$A$64,0)),""))</f>
        <v/>
      </c>
      <c r="P372" s="136">
        <f>IF($F372="","",IFERROR(INDEX(사건마스터!$AM$5:$AM$64,MATCH($F372,사건마스터!$A$5:$A$64,0)),""))</f>
        <v/>
      </c>
      <c r="Q372" s="136">
        <f>IF($F372="","",IFERROR(INDEX(사건마스터!$AN$5:$AN$64,MATCH($F372,사건마스터!$A$5:$A$64,0)),""))</f>
        <v/>
      </c>
      <c r="R372" s="136">
        <f>IF($F372="","",IFERROR(INDEX(사건마스터!$AO$5:$AO$64,MATCH($F372,사건마스터!$A$5:$A$64,0)),""))</f>
        <v/>
      </c>
      <c r="S372" s="136">
        <f>IF($F372="","",IFERROR(INDEX(사건마스터!$AP$5:$AP$64,MATCH($F372,사건마스터!$A$5:$A$64,0)),""))</f>
        <v/>
      </c>
      <c r="T372" s="136">
        <f>IF($F372="","",IFERROR(INDEX(사건마스터!$AQ$5:$AQ$64,MATCH($F372,사건마스터!$A$5:$A$64,0)),""))</f>
        <v/>
      </c>
      <c r="U372" s="136">
        <f>IF($F372="","",IFERROR(INDEX(사건마스터!$AR$5:$AR$64,MATCH($F372,사건마스터!$A$5:$A$64,0)),""))</f>
        <v/>
      </c>
      <c r="V372" s="136">
        <f>IF($F372="","",IFERROR(INDEX(사건마스터!$AS$5:$AS$64,MATCH($F372,사건마스터!$A$5:$A$64,0)),""))</f>
        <v/>
      </c>
      <c r="W372" s="136">
        <f>IF($F372="","",IFERROR(INDEX(사건마스터!$AT$5:$AT$64,MATCH($F372,사건마스터!$A$5:$A$64,0)),""))</f>
        <v/>
      </c>
      <c r="X372" s="136">
        <f>IF($F372="","",IFERROR(INDEX(사건마스터!$AU$5:$AU$64,MATCH($F372,사건마스터!$A$5:$A$64,0)),""))</f>
        <v/>
      </c>
      <c r="Y372" s="136">
        <f>IF($F372="","",IFERROR(INDEX(사건마스터!$AV$5:$AV$64,MATCH($F372,사건마스터!$A$5:$A$64,0)),""))</f>
        <v/>
      </c>
      <c r="Z372" s="118">
        <f>IF(COUNTBLANK($J372:$Y372)=16,"",16-COUNTBLANK($J372:$Y372))</f>
        <v/>
      </c>
      <c r="AA372" s="33">
        <f>IF($J372="",MID($AX372,3,255),$J372&amp;$AX372)</f>
        <v/>
      </c>
      <c r="AB372" s="130">
        <f>IF($J372="","",IFERROR(INDEX(코드설정!$D$5:$D$24,MATCH($J372,코드설정!$C$5:$C$24,0)),""))</f>
        <v/>
      </c>
      <c r="AC372" s="36" t="n"/>
      <c r="AD372" s="37" t="n"/>
      <c r="AE372" s="38" t="n"/>
      <c r="AF372" s="118">
        <f>IF(OR($B372="",$C372=""),"",$C372-$B372+1)</f>
        <v/>
      </c>
      <c r="AG372" s="74" t="n"/>
      <c r="AH372" s="36" t="n"/>
      <c r="AJ372">
        <f>IF($K372="","",", "&amp;$K372)</f>
        <v/>
      </c>
      <c r="AK372">
        <f>AJ372&amp;IF($L372="","",", "&amp;$L372)</f>
        <v/>
      </c>
      <c r="AL372">
        <f>AK372&amp;IF($M372="","",", "&amp;$M372)</f>
        <v/>
      </c>
      <c r="AM372">
        <f>AL372&amp;IF($N372="","",", "&amp;$N372)</f>
        <v/>
      </c>
      <c r="AN372">
        <f>AM372&amp;IF($O372="","",", "&amp;$O372)</f>
        <v/>
      </c>
      <c r="AO372">
        <f>AN372&amp;IF($P372="","",", "&amp;$P372)</f>
        <v/>
      </c>
      <c r="AP372">
        <f>AO372&amp;IF($Q372="","",", "&amp;$Q372)</f>
        <v/>
      </c>
      <c r="AQ372">
        <f>AP372&amp;IF($R372="","",", "&amp;$R372)</f>
        <v/>
      </c>
      <c r="AR372">
        <f>AQ372&amp;IF($S372="","",", "&amp;$S372)</f>
        <v/>
      </c>
      <c r="AS372">
        <f>AR372&amp;IF($T372="","",", "&amp;$T372)</f>
        <v/>
      </c>
      <c r="AT372">
        <f>AS372&amp;IF($U372="","",", "&amp;$U372)</f>
        <v/>
      </c>
      <c r="AU372">
        <f>AT372&amp;IF($V372="","",", "&amp;$V372)</f>
        <v/>
      </c>
      <c r="AV372">
        <f>AU372&amp;IF($W372="","",", "&amp;$W372)</f>
        <v/>
      </c>
      <c r="AW372">
        <f>AV372&amp;IF($X372="","",", "&amp;$X372)</f>
        <v/>
      </c>
      <c r="AX372">
        <f>AW372&amp;IF($Y372="","",", "&amp;$Y372)</f>
        <v/>
      </c>
    </row>
    <row r="373">
      <c r="A373" s="118">
        <f>IF($B373="","",COUNT($B$5:$B373))</f>
        <v/>
      </c>
      <c r="B373" s="80" t="n"/>
      <c r="C373" s="80" t="n"/>
      <c r="D373" s="74" t="n"/>
      <c r="E373" s="74" t="n"/>
      <c r="F373" s="74" t="n"/>
      <c r="G373" s="118">
        <f>IF($F373="","",COUNTIF($F$5:$F373,$F373))</f>
        <v/>
      </c>
      <c r="H373" s="33">
        <f>IF($F373="","",IFERROR(INDEX(사건마스터!$B$5:$B$64,MATCH($F373,사건마스터!$A$5:$A$64,0)),""))</f>
        <v/>
      </c>
      <c r="I373" s="130">
        <f>IF($F373="","",IFERROR(INDEX(사건마스터!$C$5:$C$64,MATCH($F373,사건마스터!$A$5:$A$64,0)),""))</f>
        <v/>
      </c>
      <c r="J373" s="136">
        <f>IF($F373="","",IFERROR(INDEX(사건마스터!$H$5:$H$64,MATCH($F373,사건마스터!$A$5:$A$64,0)),""))</f>
        <v/>
      </c>
      <c r="K373" s="136">
        <f>IF($F373="","",IFERROR(INDEX(사건마스터!$AH$5:$AH$64,MATCH($F373,사건마스터!$A$5:$A$64,0)),""))</f>
        <v/>
      </c>
      <c r="L373" s="136">
        <f>IF($F373="","",IFERROR(INDEX(사건마스터!$AI$5:$AI$64,MATCH($F373,사건마스터!$A$5:$A$64,0)),""))</f>
        <v/>
      </c>
      <c r="M373" s="136">
        <f>IF($F373="","",IFERROR(INDEX(사건마스터!$AJ$5:$AJ$64,MATCH($F373,사건마스터!$A$5:$A$64,0)),""))</f>
        <v/>
      </c>
      <c r="N373" s="136">
        <f>IF($F373="","",IFERROR(INDEX(사건마스터!$AK$5:$AK$64,MATCH($F373,사건마스터!$A$5:$A$64,0)),""))</f>
        <v/>
      </c>
      <c r="O373" s="136">
        <f>IF($F373="","",IFERROR(INDEX(사건마스터!$AL$5:$AL$64,MATCH($F373,사건마스터!$A$5:$A$64,0)),""))</f>
        <v/>
      </c>
      <c r="P373" s="136">
        <f>IF($F373="","",IFERROR(INDEX(사건마스터!$AM$5:$AM$64,MATCH($F373,사건마스터!$A$5:$A$64,0)),""))</f>
        <v/>
      </c>
      <c r="Q373" s="136">
        <f>IF($F373="","",IFERROR(INDEX(사건마스터!$AN$5:$AN$64,MATCH($F373,사건마스터!$A$5:$A$64,0)),""))</f>
        <v/>
      </c>
      <c r="R373" s="136">
        <f>IF($F373="","",IFERROR(INDEX(사건마스터!$AO$5:$AO$64,MATCH($F373,사건마스터!$A$5:$A$64,0)),""))</f>
        <v/>
      </c>
      <c r="S373" s="136">
        <f>IF($F373="","",IFERROR(INDEX(사건마스터!$AP$5:$AP$64,MATCH($F373,사건마스터!$A$5:$A$64,0)),""))</f>
        <v/>
      </c>
      <c r="T373" s="136">
        <f>IF($F373="","",IFERROR(INDEX(사건마스터!$AQ$5:$AQ$64,MATCH($F373,사건마스터!$A$5:$A$64,0)),""))</f>
        <v/>
      </c>
      <c r="U373" s="136">
        <f>IF($F373="","",IFERROR(INDEX(사건마스터!$AR$5:$AR$64,MATCH($F373,사건마스터!$A$5:$A$64,0)),""))</f>
        <v/>
      </c>
      <c r="V373" s="136">
        <f>IF($F373="","",IFERROR(INDEX(사건마스터!$AS$5:$AS$64,MATCH($F373,사건마스터!$A$5:$A$64,0)),""))</f>
        <v/>
      </c>
      <c r="W373" s="136">
        <f>IF($F373="","",IFERROR(INDEX(사건마스터!$AT$5:$AT$64,MATCH($F373,사건마스터!$A$5:$A$64,0)),""))</f>
        <v/>
      </c>
      <c r="X373" s="136">
        <f>IF($F373="","",IFERROR(INDEX(사건마스터!$AU$5:$AU$64,MATCH($F373,사건마스터!$A$5:$A$64,0)),""))</f>
        <v/>
      </c>
      <c r="Y373" s="136">
        <f>IF($F373="","",IFERROR(INDEX(사건마스터!$AV$5:$AV$64,MATCH($F373,사건마스터!$A$5:$A$64,0)),""))</f>
        <v/>
      </c>
      <c r="Z373" s="118">
        <f>IF(COUNTBLANK($J373:$Y373)=16,"",16-COUNTBLANK($J373:$Y373))</f>
        <v/>
      </c>
      <c r="AA373" s="33">
        <f>IF($J373="",MID($AX373,3,255),$J373&amp;$AX373)</f>
        <v/>
      </c>
      <c r="AB373" s="130">
        <f>IF($J373="","",IFERROR(INDEX(코드설정!$D$5:$D$24,MATCH($J373,코드설정!$C$5:$C$24,0)),""))</f>
        <v/>
      </c>
      <c r="AC373" s="36" t="n"/>
      <c r="AD373" s="37" t="n"/>
      <c r="AE373" s="38" t="n"/>
      <c r="AF373" s="118">
        <f>IF(OR($B373="",$C373=""),"",$C373-$B373+1)</f>
        <v/>
      </c>
      <c r="AG373" s="74" t="n"/>
      <c r="AH373" s="36" t="n"/>
      <c r="AJ373">
        <f>IF($K373="","",", "&amp;$K373)</f>
        <v/>
      </c>
      <c r="AK373">
        <f>AJ373&amp;IF($L373="","",", "&amp;$L373)</f>
        <v/>
      </c>
      <c r="AL373">
        <f>AK373&amp;IF($M373="","",", "&amp;$M373)</f>
        <v/>
      </c>
      <c r="AM373">
        <f>AL373&amp;IF($N373="","",", "&amp;$N373)</f>
        <v/>
      </c>
      <c r="AN373">
        <f>AM373&amp;IF($O373="","",", "&amp;$O373)</f>
        <v/>
      </c>
      <c r="AO373">
        <f>AN373&amp;IF($P373="","",", "&amp;$P373)</f>
        <v/>
      </c>
      <c r="AP373">
        <f>AO373&amp;IF($Q373="","",", "&amp;$Q373)</f>
        <v/>
      </c>
      <c r="AQ373">
        <f>AP373&amp;IF($R373="","",", "&amp;$R373)</f>
        <v/>
      </c>
      <c r="AR373">
        <f>AQ373&amp;IF($S373="","",", "&amp;$S373)</f>
        <v/>
      </c>
      <c r="AS373">
        <f>AR373&amp;IF($T373="","",", "&amp;$T373)</f>
        <v/>
      </c>
      <c r="AT373">
        <f>AS373&amp;IF($U373="","",", "&amp;$U373)</f>
        <v/>
      </c>
      <c r="AU373">
        <f>AT373&amp;IF($V373="","",", "&amp;$V373)</f>
        <v/>
      </c>
      <c r="AV373">
        <f>AU373&amp;IF($W373="","",", "&amp;$W373)</f>
        <v/>
      </c>
      <c r="AW373">
        <f>AV373&amp;IF($X373="","",", "&amp;$X373)</f>
        <v/>
      </c>
      <c r="AX373">
        <f>AW373&amp;IF($Y373="","",", "&amp;$Y373)</f>
        <v/>
      </c>
    </row>
    <row r="374">
      <c r="A374" s="118">
        <f>IF($B374="","",COUNT($B$5:$B374))</f>
        <v/>
      </c>
      <c r="B374" s="80" t="n"/>
      <c r="C374" s="80" t="n"/>
      <c r="D374" s="74" t="n"/>
      <c r="E374" s="74" t="n"/>
      <c r="F374" s="74" t="n"/>
      <c r="G374" s="118">
        <f>IF($F374="","",COUNTIF($F$5:$F374,$F374))</f>
        <v/>
      </c>
      <c r="H374" s="33">
        <f>IF($F374="","",IFERROR(INDEX(사건마스터!$B$5:$B$64,MATCH($F374,사건마스터!$A$5:$A$64,0)),""))</f>
        <v/>
      </c>
      <c r="I374" s="130">
        <f>IF($F374="","",IFERROR(INDEX(사건마스터!$C$5:$C$64,MATCH($F374,사건마스터!$A$5:$A$64,0)),""))</f>
        <v/>
      </c>
      <c r="J374" s="136">
        <f>IF($F374="","",IFERROR(INDEX(사건마스터!$H$5:$H$64,MATCH($F374,사건마스터!$A$5:$A$64,0)),""))</f>
        <v/>
      </c>
      <c r="K374" s="136">
        <f>IF($F374="","",IFERROR(INDEX(사건마스터!$AH$5:$AH$64,MATCH($F374,사건마스터!$A$5:$A$64,0)),""))</f>
        <v/>
      </c>
      <c r="L374" s="136">
        <f>IF($F374="","",IFERROR(INDEX(사건마스터!$AI$5:$AI$64,MATCH($F374,사건마스터!$A$5:$A$64,0)),""))</f>
        <v/>
      </c>
      <c r="M374" s="136">
        <f>IF($F374="","",IFERROR(INDEX(사건마스터!$AJ$5:$AJ$64,MATCH($F374,사건마스터!$A$5:$A$64,0)),""))</f>
        <v/>
      </c>
      <c r="N374" s="136">
        <f>IF($F374="","",IFERROR(INDEX(사건마스터!$AK$5:$AK$64,MATCH($F374,사건마스터!$A$5:$A$64,0)),""))</f>
        <v/>
      </c>
      <c r="O374" s="136">
        <f>IF($F374="","",IFERROR(INDEX(사건마스터!$AL$5:$AL$64,MATCH($F374,사건마스터!$A$5:$A$64,0)),""))</f>
        <v/>
      </c>
      <c r="P374" s="136">
        <f>IF($F374="","",IFERROR(INDEX(사건마스터!$AM$5:$AM$64,MATCH($F374,사건마스터!$A$5:$A$64,0)),""))</f>
        <v/>
      </c>
      <c r="Q374" s="136">
        <f>IF($F374="","",IFERROR(INDEX(사건마스터!$AN$5:$AN$64,MATCH($F374,사건마스터!$A$5:$A$64,0)),""))</f>
        <v/>
      </c>
      <c r="R374" s="136">
        <f>IF($F374="","",IFERROR(INDEX(사건마스터!$AO$5:$AO$64,MATCH($F374,사건마스터!$A$5:$A$64,0)),""))</f>
        <v/>
      </c>
      <c r="S374" s="136">
        <f>IF($F374="","",IFERROR(INDEX(사건마스터!$AP$5:$AP$64,MATCH($F374,사건마스터!$A$5:$A$64,0)),""))</f>
        <v/>
      </c>
      <c r="T374" s="136">
        <f>IF($F374="","",IFERROR(INDEX(사건마스터!$AQ$5:$AQ$64,MATCH($F374,사건마스터!$A$5:$A$64,0)),""))</f>
        <v/>
      </c>
      <c r="U374" s="136">
        <f>IF($F374="","",IFERROR(INDEX(사건마스터!$AR$5:$AR$64,MATCH($F374,사건마스터!$A$5:$A$64,0)),""))</f>
        <v/>
      </c>
      <c r="V374" s="136">
        <f>IF($F374="","",IFERROR(INDEX(사건마스터!$AS$5:$AS$64,MATCH($F374,사건마스터!$A$5:$A$64,0)),""))</f>
        <v/>
      </c>
      <c r="W374" s="136">
        <f>IF($F374="","",IFERROR(INDEX(사건마스터!$AT$5:$AT$64,MATCH($F374,사건마스터!$A$5:$A$64,0)),""))</f>
        <v/>
      </c>
      <c r="X374" s="136">
        <f>IF($F374="","",IFERROR(INDEX(사건마스터!$AU$5:$AU$64,MATCH($F374,사건마스터!$A$5:$A$64,0)),""))</f>
        <v/>
      </c>
      <c r="Y374" s="136">
        <f>IF($F374="","",IFERROR(INDEX(사건마스터!$AV$5:$AV$64,MATCH($F374,사건마스터!$A$5:$A$64,0)),""))</f>
        <v/>
      </c>
      <c r="Z374" s="118">
        <f>IF(COUNTBLANK($J374:$Y374)=16,"",16-COUNTBLANK($J374:$Y374))</f>
        <v/>
      </c>
      <c r="AA374" s="33">
        <f>IF($J374="",MID($AX374,3,255),$J374&amp;$AX374)</f>
        <v/>
      </c>
      <c r="AB374" s="130">
        <f>IF($J374="","",IFERROR(INDEX(코드설정!$D$5:$D$24,MATCH($J374,코드설정!$C$5:$C$24,0)),""))</f>
        <v/>
      </c>
      <c r="AC374" s="36" t="n"/>
      <c r="AD374" s="37" t="n"/>
      <c r="AE374" s="38" t="n"/>
      <c r="AF374" s="118">
        <f>IF(OR($B374="",$C374=""),"",$C374-$B374+1)</f>
        <v/>
      </c>
      <c r="AG374" s="74" t="n"/>
      <c r="AH374" s="36" t="n"/>
      <c r="AJ374">
        <f>IF($K374="","",", "&amp;$K374)</f>
        <v/>
      </c>
      <c r="AK374">
        <f>AJ374&amp;IF($L374="","",", "&amp;$L374)</f>
        <v/>
      </c>
      <c r="AL374">
        <f>AK374&amp;IF($M374="","",", "&amp;$M374)</f>
        <v/>
      </c>
      <c r="AM374">
        <f>AL374&amp;IF($N374="","",", "&amp;$N374)</f>
        <v/>
      </c>
      <c r="AN374">
        <f>AM374&amp;IF($O374="","",", "&amp;$O374)</f>
        <v/>
      </c>
      <c r="AO374">
        <f>AN374&amp;IF($P374="","",", "&amp;$P374)</f>
        <v/>
      </c>
      <c r="AP374">
        <f>AO374&amp;IF($Q374="","",", "&amp;$Q374)</f>
        <v/>
      </c>
      <c r="AQ374">
        <f>AP374&amp;IF($R374="","",", "&amp;$R374)</f>
        <v/>
      </c>
      <c r="AR374">
        <f>AQ374&amp;IF($S374="","",", "&amp;$S374)</f>
        <v/>
      </c>
      <c r="AS374">
        <f>AR374&amp;IF($T374="","",", "&amp;$T374)</f>
        <v/>
      </c>
      <c r="AT374">
        <f>AS374&amp;IF($U374="","",", "&amp;$U374)</f>
        <v/>
      </c>
      <c r="AU374">
        <f>AT374&amp;IF($V374="","",", "&amp;$V374)</f>
        <v/>
      </c>
      <c r="AV374">
        <f>AU374&amp;IF($W374="","",", "&amp;$W374)</f>
        <v/>
      </c>
      <c r="AW374">
        <f>AV374&amp;IF($X374="","",", "&amp;$X374)</f>
        <v/>
      </c>
      <c r="AX374">
        <f>AW374&amp;IF($Y374="","",", "&amp;$Y374)</f>
        <v/>
      </c>
    </row>
    <row r="375">
      <c r="A375" s="118">
        <f>IF($B375="","",COUNT($B$5:$B375))</f>
        <v/>
      </c>
      <c r="B375" s="80" t="n"/>
      <c r="C375" s="80" t="n"/>
      <c r="D375" s="74" t="n"/>
      <c r="E375" s="74" t="n"/>
      <c r="F375" s="74" t="n"/>
      <c r="G375" s="118">
        <f>IF($F375="","",COUNTIF($F$5:$F375,$F375))</f>
        <v/>
      </c>
      <c r="H375" s="33">
        <f>IF($F375="","",IFERROR(INDEX(사건마스터!$B$5:$B$64,MATCH($F375,사건마스터!$A$5:$A$64,0)),""))</f>
        <v/>
      </c>
      <c r="I375" s="130">
        <f>IF($F375="","",IFERROR(INDEX(사건마스터!$C$5:$C$64,MATCH($F375,사건마스터!$A$5:$A$64,0)),""))</f>
        <v/>
      </c>
      <c r="J375" s="136">
        <f>IF($F375="","",IFERROR(INDEX(사건마스터!$H$5:$H$64,MATCH($F375,사건마스터!$A$5:$A$64,0)),""))</f>
        <v/>
      </c>
      <c r="K375" s="136">
        <f>IF($F375="","",IFERROR(INDEX(사건마스터!$AH$5:$AH$64,MATCH($F375,사건마스터!$A$5:$A$64,0)),""))</f>
        <v/>
      </c>
      <c r="L375" s="136">
        <f>IF($F375="","",IFERROR(INDEX(사건마스터!$AI$5:$AI$64,MATCH($F375,사건마스터!$A$5:$A$64,0)),""))</f>
        <v/>
      </c>
      <c r="M375" s="136">
        <f>IF($F375="","",IFERROR(INDEX(사건마스터!$AJ$5:$AJ$64,MATCH($F375,사건마스터!$A$5:$A$64,0)),""))</f>
        <v/>
      </c>
      <c r="N375" s="136">
        <f>IF($F375="","",IFERROR(INDEX(사건마스터!$AK$5:$AK$64,MATCH($F375,사건마스터!$A$5:$A$64,0)),""))</f>
        <v/>
      </c>
      <c r="O375" s="136">
        <f>IF($F375="","",IFERROR(INDEX(사건마스터!$AL$5:$AL$64,MATCH($F375,사건마스터!$A$5:$A$64,0)),""))</f>
        <v/>
      </c>
      <c r="P375" s="136">
        <f>IF($F375="","",IFERROR(INDEX(사건마스터!$AM$5:$AM$64,MATCH($F375,사건마스터!$A$5:$A$64,0)),""))</f>
        <v/>
      </c>
      <c r="Q375" s="136">
        <f>IF($F375="","",IFERROR(INDEX(사건마스터!$AN$5:$AN$64,MATCH($F375,사건마스터!$A$5:$A$64,0)),""))</f>
        <v/>
      </c>
      <c r="R375" s="136">
        <f>IF($F375="","",IFERROR(INDEX(사건마스터!$AO$5:$AO$64,MATCH($F375,사건마스터!$A$5:$A$64,0)),""))</f>
        <v/>
      </c>
      <c r="S375" s="136">
        <f>IF($F375="","",IFERROR(INDEX(사건마스터!$AP$5:$AP$64,MATCH($F375,사건마스터!$A$5:$A$64,0)),""))</f>
        <v/>
      </c>
      <c r="T375" s="136">
        <f>IF($F375="","",IFERROR(INDEX(사건마스터!$AQ$5:$AQ$64,MATCH($F375,사건마스터!$A$5:$A$64,0)),""))</f>
        <v/>
      </c>
      <c r="U375" s="136">
        <f>IF($F375="","",IFERROR(INDEX(사건마스터!$AR$5:$AR$64,MATCH($F375,사건마스터!$A$5:$A$64,0)),""))</f>
        <v/>
      </c>
      <c r="V375" s="136">
        <f>IF($F375="","",IFERROR(INDEX(사건마스터!$AS$5:$AS$64,MATCH($F375,사건마스터!$A$5:$A$64,0)),""))</f>
        <v/>
      </c>
      <c r="W375" s="136">
        <f>IF($F375="","",IFERROR(INDEX(사건마스터!$AT$5:$AT$64,MATCH($F375,사건마스터!$A$5:$A$64,0)),""))</f>
        <v/>
      </c>
      <c r="X375" s="136">
        <f>IF($F375="","",IFERROR(INDEX(사건마스터!$AU$5:$AU$64,MATCH($F375,사건마스터!$A$5:$A$64,0)),""))</f>
        <v/>
      </c>
      <c r="Y375" s="136">
        <f>IF($F375="","",IFERROR(INDEX(사건마스터!$AV$5:$AV$64,MATCH($F375,사건마스터!$A$5:$A$64,0)),""))</f>
        <v/>
      </c>
      <c r="Z375" s="118">
        <f>IF(COUNTBLANK($J375:$Y375)=16,"",16-COUNTBLANK($J375:$Y375))</f>
        <v/>
      </c>
      <c r="AA375" s="33">
        <f>IF($J375="",MID($AX375,3,255),$J375&amp;$AX375)</f>
        <v/>
      </c>
      <c r="AB375" s="130">
        <f>IF($J375="","",IFERROR(INDEX(코드설정!$D$5:$D$24,MATCH($J375,코드설정!$C$5:$C$24,0)),""))</f>
        <v/>
      </c>
      <c r="AC375" s="36" t="n"/>
      <c r="AD375" s="37" t="n"/>
      <c r="AE375" s="38" t="n"/>
      <c r="AF375" s="118">
        <f>IF(OR($B375="",$C375=""),"",$C375-$B375+1)</f>
        <v/>
      </c>
      <c r="AG375" s="74" t="n"/>
      <c r="AH375" s="36" t="n"/>
      <c r="AJ375">
        <f>IF($K375="","",", "&amp;$K375)</f>
        <v/>
      </c>
      <c r="AK375">
        <f>AJ375&amp;IF($L375="","",", "&amp;$L375)</f>
        <v/>
      </c>
      <c r="AL375">
        <f>AK375&amp;IF($M375="","",", "&amp;$M375)</f>
        <v/>
      </c>
      <c r="AM375">
        <f>AL375&amp;IF($N375="","",", "&amp;$N375)</f>
        <v/>
      </c>
      <c r="AN375">
        <f>AM375&amp;IF($O375="","",", "&amp;$O375)</f>
        <v/>
      </c>
      <c r="AO375">
        <f>AN375&amp;IF($P375="","",", "&amp;$P375)</f>
        <v/>
      </c>
      <c r="AP375">
        <f>AO375&amp;IF($Q375="","",", "&amp;$Q375)</f>
        <v/>
      </c>
      <c r="AQ375">
        <f>AP375&amp;IF($R375="","",", "&amp;$R375)</f>
        <v/>
      </c>
      <c r="AR375">
        <f>AQ375&amp;IF($S375="","",", "&amp;$S375)</f>
        <v/>
      </c>
      <c r="AS375">
        <f>AR375&amp;IF($T375="","",", "&amp;$T375)</f>
        <v/>
      </c>
      <c r="AT375">
        <f>AS375&amp;IF($U375="","",", "&amp;$U375)</f>
        <v/>
      </c>
      <c r="AU375">
        <f>AT375&amp;IF($V375="","",", "&amp;$V375)</f>
        <v/>
      </c>
      <c r="AV375">
        <f>AU375&amp;IF($W375="","",", "&amp;$W375)</f>
        <v/>
      </c>
      <c r="AW375">
        <f>AV375&amp;IF($X375="","",", "&amp;$X375)</f>
        <v/>
      </c>
      <c r="AX375">
        <f>AW375&amp;IF($Y375="","",", "&amp;$Y375)</f>
        <v/>
      </c>
    </row>
    <row r="376">
      <c r="A376" s="118">
        <f>IF($B376="","",COUNT($B$5:$B376))</f>
        <v/>
      </c>
      <c r="B376" s="80" t="n"/>
      <c r="C376" s="80" t="n"/>
      <c r="D376" s="74" t="n"/>
      <c r="E376" s="74" t="n"/>
      <c r="F376" s="74" t="n"/>
      <c r="G376" s="118">
        <f>IF($F376="","",COUNTIF($F$5:$F376,$F376))</f>
        <v/>
      </c>
      <c r="H376" s="33">
        <f>IF($F376="","",IFERROR(INDEX(사건마스터!$B$5:$B$64,MATCH($F376,사건마스터!$A$5:$A$64,0)),""))</f>
        <v/>
      </c>
      <c r="I376" s="130">
        <f>IF($F376="","",IFERROR(INDEX(사건마스터!$C$5:$C$64,MATCH($F376,사건마스터!$A$5:$A$64,0)),""))</f>
        <v/>
      </c>
      <c r="J376" s="136">
        <f>IF($F376="","",IFERROR(INDEX(사건마스터!$H$5:$H$64,MATCH($F376,사건마스터!$A$5:$A$64,0)),""))</f>
        <v/>
      </c>
      <c r="K376" s="136">
        <f>IF($F376="","",IFERROR(INDEX(사건마스터!$AH$5:$AH$64,MATCH($F376,사건마스터!$A$5:$A$64,0)),""))</f>
        <v/>
      </c>
      <c r="L376" s="136">
        <f>IF($F376="","",IFERROR(INDEX(사건마스터!$AI$5:$AI$64,MATCH($F376,사건마스터!$A$5:$A$64,0)),""))</f>
        <v/>
      </c>
      <c r="M376" s="136">
        <f>IF($F376="","",IFERROR(INDEX(사건마스터!$AJ$5:$AJ$64,MATCH($F376,사건마스터!$A$5:$A$64,0)),""))</f>
        <v/>
      </c>
      <c r="N376" s="136">
        <f>IF($F376="","",IFERROR(INDEX(사건마스터!$AK$5:$AK$64,MATCH($F376,사건마스터!$A$5:$A$64,0)),""))</f>
        <v/>
      </c>
      <c r="O376" s="136">
        <f>IF($F376="","",IFERROR(INDEX(사건마스터!$AL$5:$AL$64,MATCH($F376,사건마스터!$A$5:$A$64,0)),""))</f>
        <v/>
      </c>
      <c r="P376" s="136">
        <f>IF($F376="","",IFERROR(INDEX(사건마스터!$AM$5:$AM$64,MATCH($F376,사건마스터!$A$5:$A$64,0)),""))</f>
        <v/>
      </c>
      <c r="Q376" s="136">
        <f>IF($F376="","",IFERROR(INDEX(사건마스터!$AN$5:$AN$64,MATCH($F376,사건마스터!$A$5:$A$64,0)),""))</f>
        <v/>
      </c>
      <c r="R376" s="136">
        <f>IF($F376="","",IFERROR(INDEX(사건마스터!$AO$5:$AO$64,MATCH($F376,사건마스터!$A$5:$A$64,0)),""))</f>
        <v/>
      </c>
      <c r="S376" s="136">
        <f>IF($F376="","",IFERROR(INDEX(사건마스터!$AP$5:$AP$64,MATCH($F376,사건마스터!$A$5:$A$64,0)),""))</f>
        <v/>
      </c>
      <c r="T376" s="136">
        <f>IF($F376="","",IFERROR(INDEX(사건마스터!$AQ$5:$AQ$64,MATCH($F376,사건마스터!$A$5:$A$64,0)),""))</f>
        <v/>
      </c>
      <c r="U376" s="136">
        <f>IF($F376="","",IFERROR(INDEX(사건마스터!$AR$5:$AR$64,MATCH($F376,사건마스터!$A$5:$A$64,0)),""))</f>
        <v/>
      </c>
      <c r="V376" s="136">
        <f>IF($F376="","",IFERROR(INDEX(사건마스터!$AS$5:$AS$64,MATCH($F376,사건마스터!$A$5:$A$64,0)),""))</f>
        <v/>
      </c>
      <c r="W376" s="136">
        <f>IF($F376="","",IFERROR(INDEX(사건마스터!$AT$5:$AT$64,MATCH($F376,사건마스터!$A$5:$A$64,0)),""))</f>
        <v/>
      </c>
      <c r="X376" s="136">
        <f>IF($F376="","",IFERROR(INDEX(사건마스터!$AU$5:$AU$64,MATCH($F376,사건마스터!$A$5:$A$64,0)),""))</f>
        <v/>
      </c>
      <c r="Y376" s="136">
        <f>IF($F376="","",IFERROR(INDEX(사건마스터!$AV$5:$AV$64,MATCH($F376,사건마스터!$A$5:$A$64,0)),""))</f>
        <v/>
      </c>
      <c r="Z376" s="118">
        <f>IF(COUNTBLANK($J376:$Y376)=16,"",16-COUNTBLANK($J376:$Y376))</f>
        <v/>
      </c>
      <c r="AA376" s="33">
        <f>IF($J376="",MID($AX376,3,255),$J376&amp;$AX376)</f>
        <v/>
      </c>
      <c r="AB376" s="130">
        <f>IF($J376="","",IFERROR(INDEX(코드설정!$D$5:$D$24,MATCH($J376,코드설정!$C$5:$C$24,0)),""))</f>
        <v/>
      </c>
      <c r="AC376" s="36" t="n"/>
      <c r="AD376" s="37" t="n"/>
      <c r="AE376" s="38" t="n"/>
      <c r="AF376" s="118">
        <f>IF(OR($B376="",$C376=""),"",$C376-$B376+1)</f>
        <v/>
      </c>
      <c r="AG376" s="74" t="n"/>
      <c r="AH376" s="36" t="n"/>
      <c r="AJ376">
        <f>IF($K376="","",", "&amp;$K376)</f>
        <v/>
      </c>
      <c r="AK376">
        <f>AJ376&amp;IF($L376="","",", "&amp;$L376)</f>
        <v/>
      </c>
      <c r="AL376">
        <f>AK376&amp;IF($M376="","",", "&amp;$M376)</f>
        <v/>
      </c>
      <c r="AM376">
        <f>AL376&amp;IF($N376="","",", "&amp;$N376)</f>
        <v/>
      </c>
      <c r="AN376">
        <f>AM376&amp;IF($O376="","",", "&amp;$O376)</f>
        <v/>
      </c>
      <c r="AO376">
        <f>AN376&amp;IF($P376="","",", "&amp;$P376)</f>
        <v/>
      </c>
      <c r="AP376">
        <f>AO376&amp;IF($Q376="","",", "&amp;$Q376)</f>
        <v/>
      </c>
      <c r="AQ376">
        <f>AP376&amp;IF($R376="","",", "&amp;$R376)</f>
        <v/>
      </c>
      <c r="AR376">
        <f>AQ376&amp;IF($S376="","",", "&amp;$S376)</f>
        <v/>
      </c>
      <c r="AS376">
        <f>AR376&amp;IF($T376="","",", "&amp;$T376)</f>
        <v/>
      </c>
      <c r="AT376">
        <f>AS376&amp;IF($U376="","",", "&amp;$U376)</f>
        <v/>
      </c>
      <c r="AU376">
        <f>AT376&amp;IF($V376="","",", "&amp;$V376)</f>
        <v/>
      </c>
      <c r="AV376">
        <f>AU376&amp;IF($W376="","",", "&amp;$W376)</f>
        <v/>
      </c>
      <c r="AW376">
        <f>AV376&amp;IF($X376="","",", "&amp;$X376)</f>
        <v/>
      </c>
      <c r="AX376">
        <f>AW376&amp;IF($Y376="","",", "&amp;$Y376)</f>
        <v/>
      </c>
    </row>
    <row r="377">
      <c r="A377" s="118">
        <f>IF($B377="","",COUNT($B$5:$B377))</f>
        <v/>
      </c>
      <c r="B377" s="80" t="n"/>
      <c r="C377" s="80" t="n"/>
      <c r="D377" s="74" t="n"/>
      <c r="E377" s="74" t="n"/>
      <c r="F377" s="74" t="n"/>
      <c r="G377" s="118">
        <f>IF($F377="","",COUNTIF($F$5:$F377,$F377))</f>
        <v/>
      </c>
      <c r="H377" s="33">
        <f>IF($F377="","",IFERROR(INDEX(사건마스터!$B$5:$B$64,MATCH($F377,사건마스터!$A$5:$A$64,0)),""))</f>
        <v/>
      </c>
      <c r="I377" s="130">
        <f>IF($F377="","",IFERROR(INDEX(사건마스터!$C$5:$C$64,MATCH($F377,사건마스터!$A$5:$A$64,0)),""))</f>
        <v/>
      </c>
      <c r="J377" s="136">
        <f>IF($F377="","",IFERROR(INDEX(사건마스터!$H$5:$H$64,MATCH($F377,사건마스터!$A$5:$A$64,0)),""))</f>
        <v/>
      </c>
      <c r="K377" s="136">
        <f>IF($F377="","",IFERROR(INDEX(사건마스터!$AH$5:$AH$64,MATCH($F377,사건마스터!$A$5:$A$64,0)),""))</f>
        <v/>
      </c>
      <c r="L377" s="136">
        <f>IF($F377="","",IFERROR(INDEX(사건마스터!$AI$5:$AI$64,MATCH($F377,사건마스터!$A$5:$A$64,0)),""))</f>
        <v/>
      </c>
      <c r="M377" s="136">
        <f>IF($F377="","",IFERROR(INDEX(사건마스터!$AJ$5:$AJ$64,MATCH($F377,사건마스터!$A$5:$A$64,0)),""))</f>
        <v/>
      </c>
      <c r="N377" s="136">
        <f>IF($F377="","",IFERROR(INDEX(사건마스터!$AK$5:$AK$64,MATCH($F377,사건마스터!$A$5:$A$64,0)),""))</f>
        <v/>
      </c>
      <c r="O377" s="136">
        <f>IF($F377="","",IFERROR(INDEX(사건마스터!$AL$5:$AL$64,MATCH($F377,사건마스터!$A$5:$A$64,0)),""))</f>
        <v/>
      </c>
      <c r="P377" s="136">
        <f>IF($F377="","",IFERROR(INDEX(사건마스터!$AM$5:$AM$64,MATCH($F377,사건마스터!$A$5:$A$64,0)),""))</f>
        <v/>
      </c>
      <c r="Q377" s="136">
        <f>IF($F377="","",IFERROR(INDEX(사건마스터!$AN$5:$AN$64,MATCH($F377,사건마스터!$A$5:$A$64,0)),""))</f>
        <v/>
      </c>
      <c r="R377" s="136">
        <f>IF($F377="","",IFERROR(INDEX(사건마스터!$AO$5:$AO$64,MATCH($F377,사건마스터!$A$5:$A$64,0)),""))</f>
        <v/>
      </c>
      <c r="S377" s="136">
        <f>IF($F377="","",IFERROR(INDEX(사건마스터!$AP$5:$AP$64,MATCH($F377,사건마스터!$A$5:$A$64,0)),""))</f>
        <v/>
      </c>
      <c r="T377" s="136">
        <f>IF($F377="","",IFERROR(INDEX(사건마스터!$AQ$5:$AQ$64,MATCH($F377,사건마스터!$A$5:$A$64,0)),""))</f>
        <v/>
      </c>
      <c r="U377" s="136">
        <f>IF($F377="","",IFERROR(INDEX(사건마스터!$AR$5:$AR$64,MATCH($F377,사건마스터!$A$5:$A$64,0)),""))</f>
        <v/>
      </c>
      <c r="V377" s="136">
        <f>IF($F377="","",IFERROR(INDEX(사건마스터!$AS$5:$AS$64,MATCH($F377,사건마스터!$A$5:$A$64,0)),""))</f>
        <v/>
      </c>
      <c r="W377" s="136">
        <f>IF($F377="","",IFERROR(INDEX(사건마스터!$AT$5:$AT$64,MATCH($F377,사건마스터!$A$5:$A$64,0)),""))</f>
        <v/>
      </c>
      <c r="X377" s="136">
        <f>IF($F377="","",IFERROR(INDEX(사건마스터!$AU$5:$AU$64,MATCH($F377,사건마스터!$A$5:$A$64,0)),""))</f>
        <v/>
      </c>
      <c r="Y377" s="136">
        <f>IF($F377="","",IFERROR(INDEX(사건마스터!$AV$5:$AV$64,MATCH($F377,사건마스터!$A$5:$A$64,0)),""))</f>
        <v/>
      </c>
      <c r="Z377" s="118">
        <f>IF(COUNTBLANK($J377:$Y377)=16,"",16-COUNTBLANK($J377:$Y377))</f>
        <v/>
      </c>
      <c r="AA377" s="33">
        <f>IF($J377="",MID($AX377,3,255),$J377&amp;$AX377)</f>
        <v/>
      </c>
      <c r="AB377" s="130">
        <f>IF($J377="","",IFERROR(INDEX(코드설정!$D$5:$D$24,MATCH($J377,코드설정!$C$5:$C$24,0)),""))</f>
        <v/>
      </c>
      <c r="AC377" s="36" t="n"/>
      <c r="AD377" s="37" t="n"/>
      <c r="AE377" s="38" t="n"/>
      <c r="AF377" s="118">
        <f>IF(OR($B377="",$C377=""),"",$C377-$B377+1)</f>
        <v/>
      </c>
      <c r="AG377" s="74" t="n"/>
      <c r="AH377" s="36" t="n"/>
      <c r="AJ377">
        <f>IF($K377="","",", "&amp;$K377)</f>
        <v/>
      </c>
      <c r="AK377">
        <f>AJ377&amp;IF($L377="","",", "&amp;$L377)</f>
        <v/>
      </c>
      <c r="AL377">
        <f>AK377&amp;IF($M377="","",", "&amp;$M377)</f>
        <v/>
      </c>
      <c r="AM377">
        <f>AL377&amp;IF($N377="","",", "&amp;$N377)</f>
        <v/>
      </c>
      <c r="AN377">
        <f>AM377&amp;IF($O377="","",", "&amp;$O377)</f>
        <v/>
      </c>
      <c r="AO377">
        <f>AN377&amp;IF($P377="","",", "&amp;$P377)</f>
        <v/>
      </c>
      <c r="AP377">
        <f>AO377&amp;IF($Q377="","",", "&amp;$Q377)</f>
        <v/>
      </c>
      <c r="AQ377">
        <f>AP377&amp;IF($R377="","",", "&amp;$R377)</f>
        <v/>
      </c>
      <c r="AR377">
        <f>AQ377&amp;IF($S377="","",", "&amp;$S377)</f>
        <v/>
      </c>
      <c r="AS377">
        <f>AR377&amp;IF($T377="","",", "&amp;$T377)</f>
        <v/>
      </c>
      <c r="AT377">
        <f>AS377&amp;IF($U377="","",", "&amp;$U377)</f>
        <v/>
      </c>
      <c r="AU377">
        <f>AT377&amp;IF($V377="","",", "&amp;$V377)</f>
        <v/>
      </c>
      <c r="AV377">
        <f>AU377&amp;IF($W377="","",", "&amp;$W377)</f>
        <v/>
      </c>
      <c r="AW377">
        <f>AV377&amp;IF($X377="","",", "&amp;$X377)</f>
        <v/>
      </c>
      <c r="AX377">
        <f>AW377&amp;IF($Y377="","",", "&amp;$Y377)</f>
        <v/>
      </c>
    </row>
    <row r="378">
      <c r="A378" s="118">
        <f>IF($B378="","",COUNT($B$5:$B378))</f>
        <v/>
      </c>
      <c r="B378" s="80" t="n"/>
      <c r="C378" s="80" t="n"/>
      <c r="D378" s="74" t="n"/>
      <c r="E378" s="74" t="n"/>
      <c r="F378" s="74" t="n"/>
      <c r="G378" s="118">
        <f>IF($F378="","",COUNTIF($F$5:$F378,$F378))</f>
        <v/>
      </c>
      <c r="H378" s="33">
        <f>IF($F378="","",IFERROR(INDEX(사건마스터!$B$5:$B$64,MATCH($F378,사건마스터!$A$5:$A$64,0)),""))</f>
        <v/>
      </c>
      <c r="I378" s="130">
        <f>IF($F378="","",IFERROR(INDEX(사건마스터!$C$5:$C$64,MATCH($F378,사건마스터!$A$5:$A$64,0)),""))</f>
        <v/>
      </c>
      <c r="J378" s="136">
        <f>IF($F378="","",IFERROR(INDEX(사건마스터!$H$5:$H$64,MATCH($F378,사건마스터!$A$5:$A$64,0)),""))</f>
        <v/>
      </c>
      <c r="K378" s="136">
        <f>IF($F378="","",IFERROR(INDEX(사건마스터!$AH$5:$AH$64,MATCH($F378,사건마스터!$A$5:$A$64,0)),""))</f>
        <v/>
      </c>
      <c r="L378" s="136">
        <f>IF($F378="","",IFERROR(INDEX(사건마스터!$AI$5:$AI$64,MATCH($F378,사건마스터!$A$5:$A$64,0)),""))</f>
        <v/>
      </c>
      <c r="M378" s="136">
        <f>IF($F378="","",IFERROR(INDEX(사건마스터!$AJ$5:$AJ$64,MATCH($F378,사건마스터!$A$5:$A$64,0)),""))</f>
        <v/>
      </c>
      <c r="N378" s="136">
        <f>IF($F378="","",IFERROR(INDEX(사건마스터!$AK$5:$AK$64,MATCH($F378,사건마스터!$A$5:$A$64,0)),""))</f>
        <v/>
      </c>
      <c r="O378" s="136">
        <f>IF($F378="","",IFERROR(INDEX(사건마스터!$AL$5:$AL$64,MATCH($F378,사건마스터!$A$5:$A$64,0)),""))</f>
        <v/>
      </c>
      <c r="P378" s="136">
        <f>IF($F378="","",IFERROR(INDEX(사건마스터!$AM$5:$AM$64,MATCH($F378,사건마스터!$A$5:$A$64,0)),""))</f>
        <v/>
      </c>
      <c r="Q378" s="136">
        <f>IF($F378="","",IFERROR(INDEX(사건마스터!$AN$5:$AN$64,MATCH($F378,사건마스터!$A$5:$A$64,0)),""))</f>
        <v/>
      </c>
      <c r="R378" s="136">
        <f>IF($F378="","",IFERROR(INDEX(사건마스터!$AO$5:$AO$64,MATCH($F378,사건마스터!$A$5:$A$64,0)),""))</f>
        <v/>
      </c>
      <c r="S378" s="136">
        <f>IF($F378="","",IFERROR(INDEX(사건마스터!$AP$5:$AP$64,MATCH($F378,사건마스터!$A$5:$A$64,0)),""))</f>
        <v/>
      </c>
      <c r="T378" s="136">
        <f>IF($F378="","",IFERROR(INDEX(사건마스터!$AQ$5:$AQ$64,MATCH($F378,사건마스터!$A$5:$A$64,0)),""))</f>
        <v/>
      </c>
      <c r="U378" s="136">
        <f>IF($F378="","",IFERROR(INDEX(사건마스터!$AR$5:$AR$64,MATCH($F378,사건마스터!$A$5:$A$64,0)),""))</f>
        <v/>
      </c>
      <c r="V378" s="136">
        <f>IF($F378="","",IFERROR(INDEX(사건마스터!$AS$5:$AS$64,MATCH($F378,사건마스터!$A$5:$A$64,0)),""))</f>
        <v/>
      </c>
      <c r="W378" s="136">
        <f>IF($F378="","",IFERROR(INDEX(사건마스터!$AT$5:$AT$64,MATCH($F378,사건마스터!$A$5:$A$64,0)),""))</f>
        <v/>
      </c>
      <c r="X378" s="136">
        <f>IF($F378="","",IFERROR(INDEX(사건마스터!$AU$5:$AU$64,MATCH($F378,사건마스터!$A$5:$A$64,0)),""))</f>
        <v/>
      </c>
      <c r="Y378" s="136">
        <f>IF($F378="","",IFERROR(INDEX(사건마스터!$AV$5:$AV$64,MATCH($F378,사건마스터!$A$5:$A$64,0)),""))</f>
        <v/>
      </c>
      <c r="Z378" s="118">
        <f>IF(COUNTBLANK($J378:$Y378)=16,"",16-COUNTBLANK($J378:$Y378))</f>
        <v/>
      </c>
      <c r="AA378" s="33">
        <f>IF($J378="",MID($AX378,3,255),$J378&amp;$AX378)</f>
        <v/>
      </c>
      <c r="AB378" s="130">
        <f>IF($J378="","",IFERROR(INDEX(코드설정!$D$5:$D$24,MATCH($J378,코드설정!$C$5:$C$24,0)),""))</f>
        <v/>
      </c>
      <c r="AC378" s="36" t="n"/>
      <c r="AD378" s="37" t="n"/>
      <c r="AE378" s="38" t="n"/>
      <c r="AF378" s="118">
        <f>IF(OR($B378="",$C378=""),"",$C378-$B378+1)</f>
        <v/>
      </c>
      <c r="AG378" s="74" t="n"/>
      <c r="AH378" s="36" t="n"/>
      <c r="AJ378">
        <f>IF($K378="","",", "&amp;$K378)</f>
        <v/>
      </c>
      <c r="AK378">
        <f>AJ378&amp;IF($L378="","",", "&amp;$L378)</f>
        <v/>
      </c>
      <c r="AL378">
        <f>AK378&amp;IF($M378="","",", "&amp;$M378)</f>
        <v/>
      </c>
      <c r="AM378">
        <f>AL378&amp;IF($N378="","",", "&amp;$N378)</f>
        <v/>
      </c>
      <c r="AN378">
        <f>AM378&amp;IF($O378="","",", "&amp;$O378)</f>
        <v/>
      </c>
      <c r="AO378">
        <f>AN378&amp;IF($P378="","",", "&amp;$P378)</f>
        <v/>
      </c>
      <c r="AP378">
        <f>AO378&amp;IF($Q378="","",", "&amp;$Q378)</f>
        <v/>
      </c>
      <c r="AQ378">
        <f>AP378&amp;IF($R378="","",", "&amp;$R378)</f>
        <v/>
      </c>
      <c r="AR378">
        <f>AQ378&amp;IF($S378="","",", "&amp;$S378)</f>
        <v/>
      </c>
      <c r="AS378">
        <f>AR378&amp;IF($T378="","",", "&amp;$T378)</f>
        <v/>
      </c>
      <c r="AT378">
        <f>AS378&amp;IF($U378="","",", "&amp;$U378)</f>
        <v/>
      </c>
      <c r="AU378">
        <f>AT378&amp;IF($V378="","",", "&amp;$V378)</f>
        <v/>
      </c>
      <c r="AV378">
        <f>AU378&amp;IF($W378="","",", "&amp;$W378)</f>
        <v/>
      </c>
      <c r="AW378">
        <f>AV378&amp;IF($X378="","",", "&amp;$X378)</f>
        <v/>
      </c>
      <c r="AX378">
        <f>AW378&amp;IF($Y378="","",", "&amp;$Y378)</f>
        <v/>
      </c>
    </row>
    <row r="379">
      <c r="A379" s="118">
        <f>IF($B379="","",COUNT($B$5:$B379))</f>
        <v/>
      </c>
      <c r="B379" s="80" t="n"/>
      <c r="C379" s="80" t="n"/>
      <c r="D379" s="74" t="n"/>
      <c r="E379" s="74" t="n"/>
      <c r="F379" s="74" t="n"/>
      <c r="G379" s="118">
        <f>IF($F379="","",COUNTIF($F$5:$F379,$F379))</f>
        <v/>
      </c>
      <c r="H379" s="33">
        <f>IF($F379="","",IFERROR(INDEX(사건마스터!$B$5:$B$64,MATCH($F379,사건마스터!$A$5:$A$64,0)),""))</f>
        <v/>
      </c>
      <c r="I379" s="130">
        <f>IF($F379="","",IFERROR(INDEX(사건마스터!$C$5:$C$64,MATCH($F379,사건마스터!$A$5:$A$64,0)),""))</f>
        <v/>
      </c>
      <c r="J379" s="136">
        <f>IF($F379="","",IFERROR(INDEX(사건마스터!$H$5:$H$64,MATCH($F379,사건마스터!$A$5:$A$64,0)),""))</f>
        <v/>
      </c>
      <c r="K379" s="136">
        <f>IF($F379="","",IFERROR(INDEX(사건마스터!$AH$5:$AH$64,MATCH($F379,사건마스터!$A$5:$A$64,0)),""))</f>
        <v/>
      </c>
      <c r="L379" s="136">
        <f>IF($F379="","",IFERROR(INDEX(사건마스터!$AI$5:$AI$64,MATCH($F379,사건마스터!$A$5:$A$64,0)),""))</f>
        <v/>
      </c>
      <c r="M379" s="136">
        <f>IF($F379="","",IFERROR(INDEX(사건마스터!$AJ$5:$AJ$64,MATCH($F379,사건마스터!$A$5:$A$64,0)),""))</f>
        <v/>
      </c>
      <c r="N379" s="136">
        <f>IF($F379="","",IFERROR(INDEX(사건마스터!$AK$5:$AK$64,MATCH($F379,사건마스터!$A$5:$A$64,0)),""))</f>
        <v/>
      </c>
      <c r="O379" s="136">
        <f>IF($F379="","",IFERROR(INDEX(사건마스터!$AL$5:$AL$64,MATCH($F379,사건마스터!$A$5:$A$64,0)),""))</f>
        <v/>
      </c>
      <c r="P379" s="136">
        <f>IF($F379="","",IFERROR(INDEX(사건마스터!$AM$5:$AM$64,MATCH($F379,사건마스터!$A$5:$A$64,0)),""))</f>
        <v/>
      </c>
      <c r="Q379" s="136">
        <f>IF($F379="","",IFERROR(INDEX(사건마스터!$AN$5:$AN$64,MATCH($F379,사건마스터!$A$5:$A$64,0)),""))</f>
        <v/>
      </c>
      <c r="R379" s="136">
        <f>IF($F379="","",IFERROR(INDEX(사건마스터!$AO$5:$AO$64,MATCH($F379,사건마스터!$A$5:$A$64,0)),""))</f>
        <v/>
      </c>
      <c r="S379" s="136">
        <f>IF($F379="","",IFERROR(INDEX(사건마스터!$AP$5:$AP$64,MATCH($F379,사건마스터!$A$5:$A$64,0)),""))</f>
        <v/>
      </c>
      <c r="T379" s="136">
        <f>IF($F379="","",IFERROR(INDEX(사건마스터!$AQ$5:$AQ$64,MATCH($F379,사건마스터!$A$5:$A$64,0)),""))</f>
        <v/>
      </c>
      <c r="U379" s="136">
        <f>IF($F379="","",IFERROR(INDEX(사건마스터!$AR$5:$AR$64,MATCH($F379,사건마스터!$A$5:$A$64,0)),""))</f>
        <v/>
      </c>
      <c r="V379" s="136">
        <f>IF($F379="","",IFERROR(INDEX(사건마스터!$AS$5:$AS$64,MATCH($F379,사건마스터!$A$5:$A$64,0)),""))</f>
        <v/>
      </c>
      <c r="W379" s="136">
        <f>IF($F379="","",IFERROR(INDEX(사건마스터!$AT$5:$AT$64,MATCH($F379,사건마스터!$A$5:$A$64,0)),""))</f>
        <v/>
      </c>
      <c r="X379" s="136">
        <f>IF($F379="","",IFERROR(INDEX(사건마스터!$AU$5:$AU$64,MATCH($F379,사건마스터!$A$5:$A$64,0)),""))</f>
        <v/>
      </c>
      <c r="Y379" s="136">
        <f>IF($F379="","",IFERROR(INDEX(사건마스터!$AV$5:$AV$64,MATCH($F379,사건마스터!$A$5:$A$64,0)),""))</f>
        <v/>
      </c>
      <c r="Z379" s="118">
        <f>IF(COUNTBLANK($J379:$Y379)=16,"",16-COUNTBLANK($J379:$Y379))</f>
        <v/>
      </c>
      <c r="AA379" s="33">
        <f>IF($J379="",MID($AX379,3,255),$J379&amp;$AX379)</f>
        <v/>
      </c>
      <c r="AB379" s="130">
        <f>IF($J379="","",IFERROR(INDEX(코드설정!$D$5:$D$24,MATCH($J379,코드설정!$C$5:$C$24,0)),""))</f>
        <v/>
      </c>
      <c r="AC379" s="36" t="n"/>
      <c r="AD379" s="37" t="n"/>
      <c r="AE379" s="38" t="n"/>
      <c r="AF379" s="118">
        <f>IF(OR($B379="",$C379=""),"",$C379-$B379+1)</f>
        <v/>
      </c>
      <c r="AG379" s="74" t="n"/>
      <c r="AH379" s="36" t="n"/>
      <c r="AJ379">
        <f>IF($K379="","",", "&amp;$K379)</f>
        <v/>
      </c>
      <c r="AK379">
        <f>AJ379&amp;IF($L379="","",", "&amp;$L379)</f>
        <v/>
      </c>
      <c r="AL379">
        <f>AK379&amp;IF($M379="","",", "&amp;$M379)</f>
        <v/>
      </c>
      <c r="AM379">
        <f>AL379&amp;IF($N379="","",", "&amp;$N379)</f>
        <v/>
      </c>
      <c r="AN379">
        <f>AM379&amp;IF($O379="","",", "&amp;$O379)</f>
        <v/>
      </c>
      <c r="AO379">
        <f>AN379&amp;IF($P379="","",", "&amp;$P379)</f>
        <v/>
      </c>
      <c r="AP379">
        <f>AO379&amp;IF($Q379="","",", "&amp;$Q379)</f>
        <v/>
      </c>
      <c r="AQ379">
        <f>AP379&amp;IF($R379="","",", "&amp;$R379)</f>
        <v/>
      </c>
      <c r="AR379">
        <f>AQ379&amp;IF($S379="","",", "&amp;$S379)</f>
        <v/>
      </c>
      <c r="AS379">
        <f>AR379&amp;IF($T379="","",", "&amp;$T379)</f>
        <v/>
      </c>
      <c r="AT379">
        <f>AS379&amp;IF($U379="","",", "&amp;$U379)</f>
        <v/>
      </c>
      <c r="AU379">
        <f>AT379&amp;IF($V379="","",", "&amp;$V379)</f>
        <v/>
      </c>
      <c r="AV379">
        <f>AU379&amp;IF($W379="","",", "&amp;$W379)</f>
        <v/>
      </c>
      <c r="AW379">
        <f>AV379&amp;IF($X379="","",", "&amp;$X379)</f>
        <v/>
      </c>
      <c r="AX379">
        <f>AW379&amp;IF($Y379="","",", "&amp;$Y379)</f>
        <v/>
      </c>
    </row>
    <row r="380">
      <c r="A380" s="118">
        <f>IF($B380="","",COUNT($B$5:$B380))</f>
        <v/>
      </c>
      <c r="B380" s="80" t="n"/>
      <c r="C380" s="80" t="n"/>
      <c r="D380" s="74" t="n"/>
      <c r="E380" s="74" t="n"/>
      <c r="F380" s="74" t="n"/>
      <c r="G380" s="118">
        <f>IF($F380="","",COUNTIF($F$5:$F380,$F380))</f>
        <v/>
      </c>
      <c r="H380" s="33">
        <f>IF($F380="","",IFERROR(INDEX(사건마스터!$B$5:$B$64,MATCH($F380,사건마스터!$A$5:$A$64,0)),""))</f>
        <v/>
      </c>
      <c r="I380" s="130">
        <f>IF($F380="","",IFERROR(INDEX(사건마스터!$C$5:$C$64,MATCH($F380,사건마스터!$A$5:$A$64,0)),""))</f>
        <v/>
      </c>
      <c r="J380" s="136">
        <f>IF($F380="","",IFERROR(INDEX(사건마스터!$H$5:$H$64,MATCH($F380,사건마스터!$A$5:$A$64,0)),""))</f>
        <v/>
      </c>
      <c r="K380" s="136">
        <f>IF($F380="","",IFERROR(INDEX(사건마스터!$AH$5:$AH$64,MATCH($F380,사건마스터!$A$5:$A$64,0)),""))</f>
        <v/>
      </c>
      <c r="L380" s="136">
        <f>IF($F380="","",IFERROR(INDEX(사건마스터!$AI$5:$AI$64,MATCH($F380,사건마스터!$A$5:$A$64,0)),""))</f>
        <v/>
      </c>
      <c r="M380" s="136">
        <f>IF($F380="","",IFERROR(INDEX(사건마스터!$AJ$5:$AJ$64,MATCH($F380,사건마스터!$A$5:$A$64,0)),""))</f>
        <v/>
      </c>
      <c r="N380" s="136">
        <f>IF($F380="","",IFERROR(INDEX(사건마스터!$AK$5:$AK$64,MATCH($F380,사건마스터!$A$5:$A$64,0)),""))</f>
        <v/>
      </c>
      <c r="O380" s="136">
        <f>IF($F380="","",IFERROR(INDEX(사건마스터!$AL$5:$AL$64,MATCH($F380,사건마스터!$A$5:$A$64,0)),""))</f>
        <v/>
      </c>
      <c r="P380" s="136">
        <f>IF($F380="","",IFERROR(INDEX(사건마스터!$AM$5:$AM$64,MATCH($F380,사건마스터!$A$5:$A$64,0)),""))</f>
        <v/>
      </c>
      <c r="Q380" s="136">
        <f>IF($F380="","",IFERROR(INDEX(사건마스터!$AN$5:$AN$64,MATCH($F380,사건마스터!$A$5:$A$64,0)),""))</f>
        <v/>
      </c>
      <c r="R380" s="136">
        <f>IF($F380="","",IFERROR(INDEX(사건마스터!$AO$5:$AO$64,MATCH($F380,사건마스터!$A$5:$A$64,0)),""))</f>
        <v/>
      </c>
      <c r="S380" s="136">
        <f>IF($F380="","",IFERROR(INDEX(사건마스터!$AP$5:$AP$64,MATCH($F380,사건마스터!$A$5:$A$64,0)),""))</f>
        <v/>
      </c>
      <c r="T380" s="136">
        <f>IF($F380="","",IFERROR(INDEX(사건마스터!$AQ$5:$AQ$64,MATCH($F380,사건마스터!$A$5:$A$64,0)),""))</f>
        <v/>
      </c>
      <c r="U380" s="136">
        <f>IF($F380="","",IFERROR(INDEX(사건마스터!$AR$5:$AR$64,MATCH($F380,사건마스터!$A$5:$A$64,0)),""))</f>
        <v/>
      </c>
      <c r="V380" s="136">
        <f>IF($F380="","",IFERROR(INDEX(사건마스터!$AS$5:$AS$64,MATCH($F380,사건마스터!$A$5:$A$64,0)),""))</f>
        <v/>
      </c>
      <c r="W380" s="136">
        <f>IF($F380="","",IFERROR(INDEX(사건마스터!$AT$5:$AT$64,MATCH($F380,사건마스터!$A$5:$A$64,0)),""))</f>
        <v/>
      </c>
      <c r="X380" s="136">
        <f>IF($F380="","",IFERROR(INDEX(사건마스터!$AU$5:$AU$64,MATCH($F380,사건마스터!$A$5:$A$64,0)),""))</f>
        <v/>
      </c>
      <c r="Y380" s="136">
        <f>IF($F380="","",IFERROR(INDEX(사건마스터!$AV$5:$AV$64,MATCH($F380,사건마스터!$A$5:$A$64,0)),""))</f>
        <v/>
      </c>
      <c r="Z380" s="118">
        <f>IF(COUNTBLANK($J380:$Y380)=16,"",16-COUNTBLANK($J380:$Y380))</f>
        <v/>
      </c>
      <c r="AA380" s="33">
        <f>IF($J380="",MID($AX380,3,255),$J380&amp;$AX380)</f>
        <v/>
      </c>
      <c r="AB380" s="130">
        <f>IF($J380="","",IFERROR(INDEX(코드설정!$D$5:$D$24,MATCH($J380,코드설정!$C$5:$C$24,0)),""))</f>
        <v/>
      </c>
      <c r="AC380" s="36" t="n"/>
      <c r="AD380" s="37" t="n"/>
      <c r="AE380" s="38" t="n"/>
      <c r="AF380" s="118">
        <f>IF(OR($B380="",$C380=""),"",$C380-$B380+1)</f>
        <v/>
      </c>
      <c r="AG380" s="74" t="n"/>
      <c r="AH380" s="36" t="n"/>
      <c r="AJ380">
        <f>IF($K380="","",", "&amp;$K380)</f>
        <v/>
      </c>
      <c r="AK380">
        <f>AJ380&amp;IF($L380="","",", "&amp;$L380)</f>
        <v/>
      </c>
      <c r="AL380">
        <f>AK380&amp;IF($M380="","",", "&amp;$M380)</f>
        <v/>
      </c>
      <c r="AM380">
        <f>AL380&amp;IF($N380="","",", "&amp;$N380)</f>
        <v/>
      </c>
      <c r="AN380">
        <f>AM380&amp;IF($O380="","",", "&amp;$O380)</f>
        <v/>
      </c>
      <c r="AO380">
        <f>AN380&amp;IF($P380="","",", "&amp;$P380)</f>
        <v/>
      </c>
      <c r="AP380">
        <f>AO380&amp;IF($Q380="","",", "&amp;$Q380)</f>
        <v/>
      </c>
      <c r="AQ380">
        <f>AP380&amp;IF($R380="","",", "&amp;$R380)</f>
        <v/>
      </c>
      <c r="AR380">
        <f>AQ380&amp;IF($S380="","",", "&amp;$S380)</f>
        <v/>
      </c>
      <c r="AS380">
        <f>AR380&amp;IF($T380="","",", "&amp;$T380)</f>
        <v/>
      </c>
      <c r="AT380">
        <f>AS380&amp;IF($U380="","",", "&amp;$U380)</f>
        <v/>
      </c>
      <c r="AU380">
        <f>AT380&amp;IF($V380="","",", "&amp;$V380)</f>
        <v/>
      </c>
      <c r="AV380">
        <f>AU380&amp;IF($W380="","",", "&amp;$W380)</f>
        <v/>
      </c>
      <c r="AW380">
        <f>AV380&amp;IF($X380="","",", "&amp;$X380)</f>
        <v/>
      </c>
      <c r="AX380">
        <f>AW380&amp;IF($Y380="","",", "&amp;$Y380)</f>
        <v/>
      </c>
    </row>
    <row r="381">
      <c r="A381" s="118">
        <f>IF($B381="","",COUNT($B$5:$B381))</f>
        <v/>
      </c>
      <c r="B381" s="80" t="n"/>
      <c r="C381" s="80" t="n"/>
      <c r="D381" s="74" t="n"/>
      <c r="E381" s="74" t="n"/>
      <c r="F381" s="74" t="n"/>
      <c r="G381" s="118">
        <f>IF($F381="","",COUNTIF($F$5:$F381,$F381))</f>
        <v/>
      </c>
      <c r="H381" s="33">
        <f>IF($F381="","",IFERROR(INDEX(사건마스터!$B$5:$B$64,MATCH($F381,사건마스터!$A$5:$A$64,0)),""))</f>
        <v/>
      </c>
      <c r="I381" s="130">
        <f>IF($F381="","",IFERROR(INDEX(사건마스터!$C$5:$C$64,MATCH($F381,사건마스터!$A$5:$A$64,0)),""))</f>
        <v/>
      </c>
      <c r="J381" s="136">
        <f>IF($F381="","",IFERROR(INDEX(사건마스터!$H$5:$H$64,MATCH($F381,사건마스터!$A$5:$A$64,0)),""))</f>
        <v/>
      </c>
      <c r="K381" s="136">
        <f>IF($F381="","",IFERROR(INDEX(사건마스터!$AH$5:$AH$64,MATCH($F381,사건마스터!$A$5:$A$64,0)),""))</f>
        <v/>
      </c>
      <c r="L381" s="136">
        <f>IF($F381="","",IFERROR(INDEX(사건마스터!$AI$5:$AI$64,MATCH($F381,사건마스터!$A$5:$A$64,0)),""))</f>
        <v/>
      </c>
      <c r="M381" s="136">
        <f>IF($F381="","",IFERROR(INDEX(사건마스터!$AJ$5:$AJ$64,MATCH($F381,사건마스터!$A$5:$A$64,0)),""))</f>
        <v/>
      </c>
      <c r="N381" s="136">
        <f>IF($F381="","",IFERROR(INDEX(사건마스터!$AK$5:$AK$64,MATCH($F381,사건마스터!$A$5:$A$64,0)),""))</f>
        <v/>
      </c>
      <c r="O381" s="136">
        <f>IF($F381="","",IFERROR(INDEX(사건마스터!$AL$5:$AL$64,MATCH($F381,사건마스터!$A$5:$A$64,0)),""))</f>
        <v/>
      </c>
      <c r="P381" s="136">
        <f>IF($F381="","",IFERROR(INDEX(사건마스터!$AM$5:$AM$64,MATCH($F381,사건마스터!$A$5:$A$64,0)),""))</f>
        <v/>
      </c>
      <c r="Q381" s="136">
        <f>IF($F381="","",IFERROR(INDEX(사건마스터!$AN$5:$AN$64,MATCH($F381,사건마스터!$A$5:$A$64,0)),""))</f>
        <v/>
      </c>
      <c r="R381" s="136">
        <f>IF($F381="","",IFERROR(INDEX(사건마스터!$AO$5:$AO$64,MATCH($F381,사건마스터!$A$5:$A$64,0)),""))</f>
        <v/>
      </c>
      <c r="S381" s="136">
        <f>IF($F381="","",IFERROR(INDEX(사건마스터!$AP$5:$AP$64,MATCH($F381,사건마스터!$A$5:$A$64,0)),""))</f>
        <v/>
      </c>
      <c r="T381" s="136">
        <f>IF($F381="","",IFERROR(INDEX(사건마스터!$AQ$5:$AQ$64,MATCH($F381,사건마스터!$A$5:$A$64,0)),""))</f>
        <v/>
      </c>
      <c r="U381" s="136">
        <f>IF($F381="","",IFERROR(INDEX(사건마스터!$AR$5:$AR$64,MATCH($F381,사건마스터!$A$5:$A$64,0)),""))</f>
        <v/>
      </c>
      <c r="V381" s="136">
        <f>IF($F381="","",IFERROR(INDEX(사건마스터!$AS$5:$AS$64,MATCH($F381,사건마스터!$A$5:$A$64,0)),""))</f>
        <v/>
      </c>
      <c r="W381" s="136">
        <f>IF($F381="","",IFERROR(INDEX(사건마스터!$AT$5:$AT$64,MATCH($F381,사건마스터!$A$5:$A$64,0)),""))</f>
        <v/>
      </c>
      <c r="X381" s="136">
        <f>IF($F381="","",IFERROR(INDEX(사건마스터!$AU$5:$AU$64,MATCH($F381,사건마스터!$A$5:$A$64,0)),""))</f>
        <v/>
      </c>
      <c r="Y381" s="136">
        <f>IF($F381="","",IFERROR(INDEX(사건마스터!$AV$5:$AV$64,MATCH($F381,사건마스터!$A$5:$A$64,0)),""))</f>
        <v/>
      </c>
      <c r="Z381" s="118">
        <f>IF(COUNTBLANK($J381:$Y381)=16,"",16-COUNTBLANK($J381:$Y381))</f>
        <v/>
      </c>
      <c r="AA381" s="33">
        <f>IF($J381="",MID($AX381,3,255),$J381&amp;$AX381)</f>
        <v/>
      </c>
      <c r="AB381" s="130">
        <f>IF($J381="","",IFERROR(INDEX(코드설정!$D$5:$D$24,MATCH($J381,코드설정!$C$5:$C$24,0)),""))</f>
        <v/>
      </c>
      <c r="AC381" s="36" t="n"/>
      <c r="AD381" s="37" t="n"/>
      <c r="AE381" s="38" t="n"/>
      <c r="AF381" s="118">
        <f>IF(OR($B381="",$C381=""),"",$C381-$B381+1)</f>
        <v/>
      </c>
      <c r="AG381" s="74" t="n"/>
      <c r="AH381" s="36" t="n"/>
      <c r="AJ381">
        <f>IF($K381="","",", "&amp;$K381)</f>
        <v/>
      </c>
      <c r="AK381">
        <f>AJ381&amp;IF($L381="","",", "&amp;$L381)</f>
        <v/>
      </c>
      <c r="AL381">
        <f>AK381&amp;IF($M381="","",", "&amp;$M381)</f>
        <v/>
      </c>
      <c r="AM381">
        <f>AL381&amp;IF($N381="","",", "&amp;$N381)</f>
        <v/>
      </c>
      <c r="AN381">
        <f>AM381&amp;IF($O381="","",", "&amp;$O381)</f>
        <v/>
      </c>
      <c r="AO381">
        <f>AN381&amp;IF($P381="","",", "&amp;$P381)</f>
        <v/>
      </c>
      <c r="AP381">
        <f>AO381&amp;IF($Q381="","",", "&amp;$Q381)</f>
        <v/>
      </c>
      <c r="AQ381">
        <f>AP381&amp;IF($R381="","",", "&amp;$R381)</f>
        <v/>
      </c>
      <c r="AR381">
        <f>AQ381&amp;IF($S381="","",", "&amp;$S381)</f>
        <v/>
      </c>
      <c r="AS381">
        <f>AR381&amp;IF($T381="","",", "&amp;$T381)</f>
        <v/>
      </c>
      <c r="AT381">
        <f>AS381&amp;IF($U381="","",", "&amp;$U381)</f>
        <v/>
      </c>
      <c r="AU381">
        <f>AT381&amp;IF($V381="","",", "&amp;$V381)</f>
        <v/>
      </c>
      <c r="AV381">
        <f>AU381&amp;IF($W381="","",", "&amp;$W381)</f>
        <v/>
      </c>
      <c r="AW381">
        <f>AV381&amp;IF($X381="","",", "&amp;$X381)</f>
        <v/>
      </c>
      <c r="AX381">
        <f>AW381&amp;IF($Y381="","",", "&amp;$Y381)</f>
        <v/>
      </c>
    </row>
    <row r="382">
      <c r="A382" s="118">
        <f>IF($B382="","",COUNT($B$5:$B382))</f>
        <v/>
      </c>
      <c r="B382" s="80" t="n"/>
      <c r="C382" s="80" t="n"/>
      <c r="D382" s="74" t="n"/>
      <c r="E382" s="74" t="n"/>
      <c r="F382" s="74" t="n"/>
      <c r="G382" s="118">
        <f>IF($F382="","",COUNTIF($F$5:$F382,$F382))</f>
        <v/>
      </c>
      <c r="H382" s="33">
        <f>IF($F382="","",IFERROR(INDEX(사건마스터!$B$5:$B$64,MATCH($F382,사건마스터!$A$5:$A$64,0)),""))</f>
        <v/>
      </c>
      <c r="I382" s="130">
        <f>IF($F382="","",IFERROR(INDEX(사건마스터!$C$5:$C$64,MATCH($F382,사건마스터!$A$5:$A$64,0)),""))</f>
        <v/>
      </c>
      <c r="J382" s="136">
        <f>IF($F382="","",IFERROR(INDEX(사건마스터!$H$5:$H$64,MATCH($F382,사건마스터!$A$5:$A$64,0)),""))</f>
        <v/>
      </c>
      <c r="K382" s="136">
        <f>IF($F382="","",IFERROR(INDEX(사건마스터!$AH$5:$AH$64,MATCH($F382,사건마스터!$A$5:$A$64,0)),""))</f>
        <v/>
      </c>
      <c r="L382" s="136">
        <f>IF($F382="","",IFERROR(INDEX(사건마스터!$AI$5:$AI$64,MATCH($F382,사건마스터!$A$5:$A$64,0)),""))</f>
        <v/>
      </c>
      <c r="M382" s="136">
        <f>IF($F382="","",IFERROR(INDEX(사건마스터!$AJ$5:$AJ$64,MATCH($F382,사건마스터!$A$5:$A$64,0)),""))</f>
        <v/>
      </c>
      <c r="N382" s="136">
        <f>IF($F382="","",IFERROR(INDEX(사건마스터!$AK$5:$AK$64,MATCH($F382,사건마스터!$A$5:$A$64,0)),""))</f>
        <v/>
      </c>
      <c r="O382" s="136">
        <f>IF($F382="","",IFERROR(INDEX(사건마스터!$AL$5:$AL$64,MATCH($F382,사건마스터!$A$5:$A$64,0)),""))</f>
        <v/>
      </c>
      <c r="P382" s="136">
        <f>IF($F382="","",IFERROR(INDEX(사건마스터!$AM$5:$AM$64,MATCH($F382,사건마스터!$A$5:$A$64,0)),""))</f>
        <v/>
      </c>
      <c r="Q382" s="136">
        <f>IF($F382="","",IFERROR(INDEX(사건마스터!$AN$5:$AN$64,MATCH($F382,사건마스터!$A$5:$A$64,0)),""))</f>
        <v/>
      </c>
      <c r="R382" s="136">
        <f>IF($F382="","",IFERROR(INDEX(사건마스터!$AO$5:$AO$64,MATCH($F382,사건마스터!$A$5:$A$64,0)),""))</f>
        <v/>
      </c>
      <c r="S382" s="136">
        <f>IF($F382="","",IFERROR(INDEX(사건마스터!$AP$5:$AP$64,MATCH($F382,사건마스터!$A$5:$A$64,0)),""))</f>
        <v/>
      </c>
      <c r="T382" s="136">
        <f>IF($F382="","",IFERROR(INDEX(사건마스터!$AQ$5:$AQ$64,MATCH($F382,사건마스터!$A$5:$A$64,0)),""))</f>
        <v/>
      </c>
      <c r="U382" s="136">
        <f>IF($F382="","",IFERROR(INDEX(사건마스터!$AR$5:$AR$64,MATCH($F382,사건마스터!$A$5:$A$64,0)),""))</f>
        <v/>
      </c>
      <c r="V382" s="136">
        <f>IF($F382="","",IFERROR(INDEX(사건마스터!$AS$5:$AS$64,MATCH($F382,사건마스터!$A$5:$A$64,0)),""))</f>
        <v/>
      </c>
      <c r="W382" s="136">
        <f>IF($F382="","",IFERROR(INDEX(사건마스터!$AT$5:$AT$64,MATCH($F382,사건마스터!$A$5:$A$64,0)),""))</f>
        <v/>
      </c>
      <c r="X382" s="136">
        <f>IF($F382="","",IFERROR(INDEX(사건마스터!$AU$5:$AU$64,MATCH($F382,사건마스터!$A$5:$A$64,0)),""))</f>
        <v/>
      </c>
      <c r="Y382" s="136">
        <f>IF($F382="","",IFERROR(INDEX(사건마스터!$AV$5:$AV$64,MATCH($F382,사건마스터!$A$5:$A$64,0)),""))</f>
        <v/>
      </c>
      <c r="Z382" s="118">
        <f>IF(COUNTBLANK($J382:$Y382)=16,"",16-COUNTBLANK($J382:$Y382))</f>
        <v/>
      </c>
      <c r="AA382" s="33">
        <f>IF($J382="",MID($AX382,3,255),$J382&amp;$AX382)</f>
        <v/>
      </c>
      <c r="AB382" s="130">
        <f>IF($J382="","",IFERROR(INDEX(코드설정!$D$5:$D$24,MATCH($J382,코드설정!$C$5:$C$24,0)),""))</f>
        <v/>
      </c>
      <c r="AC382" s="36" t="n"/>
      <c r="AD382" s="37" t="n"/>
      <c r="AE382" s="38" t="n"/>
      <c r="AF382" s="118">
        <f>IF(OR($B382="",$C382=""),"",$C382-$B382+1)</f>
        <v/>
      </c>
      <c r="AG382" s="74" t="n"/>
      <c r="AH382" s="36" t="n"/>
      <c r="AJ382">
        <f>IF($K382="","",", "&amp;$K382)</f>
        <v/>
      </c>
      <c r="AK382">
        <f>AJ382&amp;IF($L382="","",", "&amp;$L382)</f>
        <v/>
      </c>
      <c r="AL382">
        <f>AK382&amp;IF($M382="","",", "&amp;$M382)</f>
        <v/>
      </c>
      <c r="AM382">
        <f>AL382&amp;IF($N382="","",", "&amp;$N382)</f>
        <v/>
      </c>
      <c r="AN382">
        <f>AM382&amp;IF($O382="","",", "&amp;$O382)</f>
        <v/>
      </c>
      <c r="AO382">
        <f>AN382&amp;IF($P382="","",", "&amp;$P382)</f>
        <v/>
      </c>
      <c r="AP382">
        <f>AO382&amp;IF($Q382="","",", "&amp;$Q382)</f>
        <v/>
      </c>
      <c r="AQ382">
        <f>AP382&amp;IF($R382="","",", "&amp;$R382)</f>
        <v/>
      </c>
      <c r="AR382">
        <f>AQ382&amp;IF($S382="","",", "&amp;$S382)</f>
        <v/>
      </c>
      <c r="AS382">
        <f>AR382&amp;IF($T382="","",", "&amp;$T382)</f>
        <v/>
      </c>
      <c r="AT382">
        <f>AS382&amp;IF($U382="","",", "&amp;$U382)</f>
        <v/>
      </c>
      <c r="AU382">
        <f>AT382&amp;IF($V382="","",", "&amp;$V382)</f>
        <v/>
      </c>
      <c r="AV382">
        <f>AU382&amp;IF($W382="","",", "&amp;$W382)</f>
        <v/>
      </c>
      <c r="AW382">
        <f>AV382&amp;IF($X382="","",", "&amp;$X382)</f>
        <v/>
      </c>
      <c r="AX382">
        <f>AW382&amp;IF($Y382="","",", "&amp;$Y382)</f>
        <v/>
      </c>
    </row>
    <row r="383">
      <c r="A383" s="118">
        <f>IF($B383="","",COUNT($B$5:$B383))</f>
        <v/>
      </c>
      <c r="B383" s="80" t="n"/>
      <c r="C383" s="80" t="n"/>
      <c r="D383" s="74" t="n"/>
      <c r="E383" s="74" t="n"/>
      <c r="F383" s="74" t="n"/>
      <c r="G383" s="118">
        <f>IF($F383="","",COUNTIF($F$5:$F383,$F383))</f>
        <v/>
      </c>
      <c r="H383" s="33">
        <f>IF($F383="","",IFERROR(INDEX(사건마스터!$B$5:$B$64,MATCH($F383,사건마스터!$A$5:$A$64,0)),""))</f>
        <v/>
      </c>
      <c r="I383" s="130">
        <f>IF($F383="","",IFERROR(INDEX(사건마스터!$C$5:$C$64,MATCH($F383,사건마스터!$A$5:$A$64,0)),""))</f>
        <v/>
      </c>
      <c r="J383" s="136">
        <f>IF($F383="","",IFERROR(INDEX(사건마스터!$H$5:$H$64,MATCH($F383,사건마스터!$A$5:$A$64,0)),""))</f>
        <v/>
      </c>
      <c r="K383" s="136">
        <f>IF($F383="","",IFERROR(INDEX(사건마스터!$AH$5:$AH$64,MATCH($F383,사건마스터!$A$5:$A$64,0)),""))</f>
        <v/>
      </c>
      <c r="L383" s="136">
        <f>IF($F383="","",IFERROR(INDEX(사건마스터!$AI$5:$AI$64,MATCH($F383,사건마스터!$A$5:$A$64,0)),""))</f>
        <v/>
      </c>
      <c r="M383" s="136">
        <f>IF($F383="","",IFERROR(INDEX(사건마스터!$AJ$5:$AJ$64,MATCH($F383,사건마스터!$A$5:$A$64,0)),""))</f>
        <v/>
      </c>
      <c r="N383" s="136">
        <f>IF($F383="","",IFERROR(INDEX(사건마스터!$AK$5:$AK$64,MATCH($F383,사건마스터!$A$5:$A$64,0)),""))</f>
        <v/>
      </c>
      <c r="O383" s="136">
        <f>IF($F383="","",IFERROR(INDEX(사건마스터!$AL$5:$AL$64,MATCH($F383,사건마스터!$A$5:$A$64,0)),""))</f>
        <v/>
      </c>
      <c r="P383" s="136">
        <f>IF($F383="","",IFERROR(INDEX(사건마스터!$AM$5:$AM$64,MATCH($F383,사건마스터!$A$5:$A$64,0)),""))</f>
        <v/>
      </c>
      <c r="Q383" s="136">
        <f>IF($F383="","",IFERROR(INDEX(사건마스터!$AN$5:$AN$64,MATCH($F383,사건마스터!$A$5:$A$64,0)),""))</f>
        <v/>
      </c>
      <c r="R383" s="136">
        <f>IF($F383="","",IFERROR(INDEX(사건마스터!$AO$5:$AO$64,MATCH($F383,사건마스터!$A$5:$A$64,0)),""))</f>
        <v/>
      </c>
      <c r="S383" s="136">
        <f>IF($F383="","",IFERROR(INDEX(사건마스터!$AP$5:$AP$64,MATCH($F383,사건마스터!$A$5:$A$64,0)),""))</f>
        <v/>
      </c>
      <c r="T383" s="136">
        <f>IF($F383="","",IFERROR(INDEX(사건마스터!$AQ$5:$AQ$64,MATCH($F383,사건마스터!$A$5:$A$64,0)),""))</f>
        <v/>
      </c>
      <c r="U383" s="136">
        <f>IF($F383="","",IFERROR(INDEX(사건마스터!$AR$5:$AR$64,MATCH($F383,사건마스터!$A$5:$A$64,0)),""))</f>
        <v/>
      </c>
      <c r="V383" s="136">
        <f>IF($F383="","",IFERROR(INDEX(사건마스터!$AS$5:$AS$64,MATCH($F383,사건마스터!$A$5:$A$64,0)),""))</f>
        <v/>
      </c>
      <c r="W383" s="136">
        <f>IF($F383="","",IFERROR(INDEX(사건마스터!$AT$5:$AT$64,MATCH($F383,사건마스터!$A$5:$A$64,0)),""))</f>
        <v/>
      </c>
      <c r="X383" s="136">
        <f>IF($F383="","",IFERROR(INDEX(사건마스터!$AU$5:$AU$64,MATCH($F383,사건마스터!$A$5:$A$64,0)),""))</f>
        <v/>
      </c>
      <c r="Y383" s="136">
        <f>IF($F383="","",IFERROR(INDEX(사건마스터!$AV$5:$AV$64,MATCH($F383,사건마스터!$A$5:$A$64,0)),""))</f>
        <v/>
      </c>
      <c r="Z383" s="118">
        <f>IF(COUNTBLANK($J383:$Y383)=16,"",16-COUNTBLANK($J383:$Y383))</f>
        <v/>
      </c>
      <c r="AA383" s="33">
        <f>IF($J383="",MID($AX383,3,255),$J383&amp;$AX383)</f>
        <v/>
      </c>
      <c r="AB383" s="130">
        <f>IF($J383="","",IFERROR(INDEX(코드설정!$D$5:$D$24,MATCH($J383,코드설정!$C$5:$C$24,0)),""))</f>
        <v/>
      </c>
      <c r="AC383" s="36" t="n"/>
      <c r="AD383" s="37" t="n"/>
      <c r="AE383" s="38" t="n"/>
      <c r="AF383" s="118">
        <f>IF(OR($B383="",$C383=""),"",$C383-$B383+1)</f>
        <v/>
      </c>
      <c r="AG383" s="74" t="n"/>
      <c r="AH383" s="36" t="n"/>
      <c r="AJ383">
        <f>IF($K383="","",", "&amp;$K383)</f>
        <v/>
      </c>
      <c r="AK383">
        <f>AJ383&amp;IF($L383="","",", "&amp;$L383)</f>
        <v/>
      </c>
      <c r="AL383">
        <f>AK383&amp;IF($M383="","",", "&amp;$M383)</f>
        <v/>
      </c>
      <c r="AM383">
        <f>AL383&amp;IF($N383="","",", "&amp;$N383)</f>
        <v/>
      </c>
      <c r="AN383">
        <f>AM383&amp;IF($O383="","",", "&amp;$O383)</f>
        <v/>
      </c>
      <c r="AO383">
        <f>AN383&amp;IF($P383="","",", "&amp;$P383)</f>
        <v/>
      </c>
      <c r="AP383">
        <f>AO383&amp;IF($Q383="","",", "&amp;$Q383)</f>
        <v/>
      </c>
      <c r="AQ383">
        <f>AP383&amp;IF($R383="","",", "&amp;$R383)</f>
        <v/>
      </c>
      <c r="AR383">
        <f>AQ383&amp;IF($S383="","",", "&amp;$S383)</f>
        <v/>
      </c>
      <c r="AS383">
        <f>AR383&amp;IF($T383="","",", "&amp;$T383)</f>
        <v/>
      </c>
      <c r="AT383">
        <f>AS383&amp;IF($U383="","",", "&amp;$U383)</f>
        <v/>
      </c>
      <c r="AU383">
        <f>AT383&amp;IF($V383="","",", "&amp;$V383)</f>
        <v/>
      </c>
      <c r="AV383">
        <f>AU383&amp;IF($W383="","",", "&amp;$W383)</f>
        <v/>
      </c>
      <c r="AW383">
        <f>AV383&amp;IF($X383="","",", "&amp;$X383)</f>
        <v/>
      </c>
      <c r="AX383">
        <f>AW383&amp;IF($Y383="","",", "&amp;$Y383)</f>
        <v/>
      </c>
    </row>
    <row r="384">
      <c r="A384" s="118">
        <f>IF($B384="","",COUNT($B$5:$B384))</f>
        <v/>
      </c>
      <c r="B384" s="80" t="n"/>
      <c r="C384" s="80" t="n"/>
      <c r="D384" s="74" t="n"/>
      <c r="E384" s="74" t="n"/>
      <c r="F384" s="74" t="n"/>
      <c r="G384" s="118">
        <f>IF($F384="","",COUNTIF($F$5:$F384,$F384))</f>
        <v/>
      </c>
      <c r="H384" s="33">
        <f>IF($F384="","",IFERROR(INDEX(사건마스터!$B$5:$B$64,MATCH($F384,사건마스터!$A$5:$A$64,0)),""))</f>
        <v/>
      </c>
      <c r="I384" s="130">
        <f>IF($F384="","",IFERROR(INDEX(사건마스터!$C$5:$C$64,MATCH($F384,사건마스터!$A$5:$A$64,0)),""))</f>
        <v/>
      </c>
      <c r="J384" s="136">
        <f>IF($F384="","",IFERROR(INDEX(사건마스터!$H$5:$H$64,MATCH($F384,사건마스터!$A$5:$A$64,0)),""))</f>
        <v/>
      </c>
      <c r="K384" s="136">
        <f>IF($F384="","",IFERROR(INDEX(사건마스터!$AH$5:$AH$64,MATCH($F384,사건마스터!$A$5:$A$64,0)),""))</f>
        <v/>
      </c>
      <c r="L384" s="136">
        <f>IF($F384="","",IFERROR(INDEX(사건마스터!$AI$5:$AI$64,MATCH($F384,사건마스터!$A$5:$A$64,0)),""))</f>
        <v/>
      </c>
      <c r="M384" s="136">
        <f>IF($F384="","",IFERROR(INDEX(사건마스터!$AJ$5:$AJ$64,MATCH($F384,사건마스터!$A$5:$A$64,0)),""))</f>
        <v/>
      </c>
      <c r="N384" s="136">
        <f>IF($F384="","",IFERROR(INDEX(사건마스터!$AK$5:$AK$64,MATCH($F384,사건마스터!$A$5:$A$64,0)),""))</f>
        <v/>
      </c>
      <c r="O384" s="136">
        <f>IF($F384="","",IFERROR(INDEX(사건마스터!$AL$5:$AL$64,MATCH($F384,사건마스터!$A$5:$A$64,0)),""))</f>
        <v/>
      </c>
      <c r="P384" s="136">
        <f>IF($F384="","",IFERROR(INDEX(사건마스터!$AM$5:$AM$64,MATCH($F384,사건마스터!$A$5:$A$64,0)),""))</f>
        <v/>
      </c>
      <c r="Q384" s="136">
        <f>IF($F384="","",IFERROR(INDEX(사건마스터!$AN$5:$AN$64,MATCH($F384,사건마스터!$A$5:$A$64,0)),""))</f>
        <v/>
      </c>
      <c r="R384" s="136">
        <f>IF($F384="","",IFERROR(INDEX(사건마스터!$AO$5:$AO$64,MATCH($F384,사건마스터!$A$5:$A$64,0)),""))</f>
        <v/>
      </c>
      <c r="S384" s="136">
        <f>IF($F384="","",IFERROR(INDEX(사건마스터!$AP$5:$AP$64,MATCH($F384,사건마스터!$A$5:$A$64,0)),""))</f>
        <v/>
      </c>
      <c r="T384" s="136">
        <f>IF($F384="","",IFERROR(INDEX(사건마스터!$AQ$5:$AQ$64,MATCH($F384,사건마스터!$A$5:$A$64,0)),""))</f>
        <v/>
      </c>
      <c r="U384" s="136">
        <f>IF($F384="","",IFERROR(INDEX(사건마스터!$AR$5:$AR$64,MATCH($F384,사건마스터!$A$5:$A$64,0)),""))</f>
        <v/>
      </c>
      <c r="V384" s="136">
        <f>IF($F384="","",IFERROR(INDEX(사건마스터!$AS$5:$AS$64,MATCH($F384,사건마스터!$A$5:$A$64,0)),""))</f>
        <v/>
      </c>
      <c r="W384" s="136">
        <f>IF($F384="","",IFERROR(INDEX(사건마스터!$AT$5:$AT$64,MATCH($F384,사건마스터!$A$5:$A$64,0)),""))</f>
        <v/>
      </c>
      <c r="X384" s="136">
        <f>IF($F384="","",IFERROR(INDEX(사건마스터!$AU$5:$AU$64,MATCH($F384,사건마스터!$A$5:$A$64,0)),""))</f>
        <v/>
      </c>
      <c r="Y384" s="136">
        <f>IF($F384="","",IFERROR(INDEX(사건마스터!$AV$5:$AV$64,MATCH($F384,사건마스터!$A$5:$A$64,0)),""))</f>
        <v/>
      </c>
      <c r="Z384" s="118">
        <f>IF(COUNTBLANK($J384:$Y384)=16,"",16-COUNTBLANK($J384:$Y384))</f>
        <v/>
      </c>
      <c r="AA384" s="33">
        <f>IF($J384="",MID($AX384,3,255),$J384&amp;$AX384)</f>
        <v/>
      </c>
      <c r="AB384" s="130">
        <f>IF($J384="","",IFERROR(INDEX(코드설정!$D$5:$D$24,MATCH($J384,코드설정!$C$5:$C$24,0)),""))</f>
        <v/>
      </c>
      <c r="AC384" s="36" t="n"/>
      <c r="AD384" s="37" t="n"/>
      <c r="AE384" s="38" t="n"/>
      <c r="AF384" s="118">
        <f>IF(OR($B384="",$C384=""),"",$C384-$B384+1)</f>
        <v/>
      </c>
      <c r="AG384" s="74" t="n"/>
      <c r="AH384" s="36" t="n"/>
      <c r="AJ384">
        <f>IF($K384="","",", "&amp;$K384)</f>
        <v/>
      </c>
      <c r="AK384">
        <f>AJ384&amp;IF($L384="","",", "&amp;$L384)</f>
        <v/>
      </c>
      <c r="AL384">
        <f>AK384&amp;IF($M384="","",", "&amp;$M384)</f>
        <v/>
      </c>
      <c r="AM384">
        <f>AL384&amp;IF($N384="","",", "&amp;$N384)</f>
        <v/>
      </c>
      <c r="AN384">
        <f>AM384&amp;IF($O384="","",", "&amp;$O384)</f>
        <v/>
      </c>
      <c r="AO384">
        <f>AN384&amp;IF($P384="","",", "&amp;$P384)</f>
        <v/>
      </c>
      <c r="AP384">
        <f>AO384&amp;IF($Q384="","",", "&amp;$Q384)</f>
        <v/>
      </c>
      <c r="AQ384">
        <f>AP384&amp;IF($R384="","",", "&amp;$R384)</f>
        <v/>
      </c>
      <c r="AR384">
        <f>AQ384&amp;IF($S384="","",", "&amp;$S384)</f>
        <v/>
      </c>
      <c r="AS384">
        <f>AR384&amp;IF($T384="","",", "&amp;$T384)</f>
        <v/>
      </c>
      <c r="AT384">
        <f>AS384&amp;IF($U384="","",", "&amp;$U384)</f>
        <v/>
      </c>
      <c r="AU384">
        <f>AT384&amp;IF($V384="","",", "&amp;$V384)</f>
        <v/>
      </c>
      <c r="AV384">
        <f>AU384&amp;IF($W384="","",", "&amp;$W384)</f>
        <v/>
      </c>
      <c r="AW384">
        <f>AV384&amp;IF($X384="","",", "&amp;$X384)</f>
        <v/>
      </c>
      <c r="AX384">
        <f>AW384&amp;IF($Y384="","",", "&amp;$Y384)</f>
        <v/>
      </c>
    </row>
    <row r="385">
      <c r="A385" s="118">
        <f>IF($B385="","",COUNT($B$5:$B385))</f>
        <v/>
      </c>
      <c r="B385" s="80" t="n"/>
      <c r="C385" s="80" t="n"/>
      <c r="D385" s="74" t="n"/>
      <c r="E385" s="74" t="n"/>
      <c r="F385" s="74" t="n"/>
      <c r="G385" s="118">
        <f>IF($F385="","",COUNTIF($F$5:$F385,$F385))</f>
        <v/>
      </c>
      <c r="H385" s="33">
        <f>IF($F385="","",IFERROR(INDEX(사건마스터!$B$5:$B$64,MATCH($F385,사건마스터!$A$5:$A$64,0)),""))</f>
        <v/>
      </c>
      <c r="I385" s="130">
        <f>IF($F385="","",IFERROR(INDEX(사건마스터!$C$5:$C$64,MATCH($F385,사건마스터!$A$5:$A$64,0)),""))</f>
        <v/>
      </c>
      <c r="J385" s="136">
        <f>IF($F385="","",IFERROR(INDEX(사건마스터!$H$5:$H$64,MATCH($F385,사건마스터!$A$5:$A$64,0)),""))</f>
        <v/>
      </c>
      <c r="K385" s="136">
        <f>IF($F385="","",IFERROR(INDEX(사건마스터!$AH$5:$AH$64,MATCH($F385,사건마스터!$A$5:$A$64,0)),""))</f>
        <v/>
      </c>
      <c r="L385" s="136">
        <f>IF($F385="","",IFERROR(INDEX(사건마스터!$AI$5:$AI$64,MATCH($F385,사건마스터!$A$5:$A$64,0)),""))</f>
        <v/>
      </c>
      <c r="M385" s="136">
        <f>IF($F385="","",IFERROR(INDEX(사건마스터!$AJ$5:$AJ$64,MATCH($F385,사건마스터!$A$5:$A$64,0)),""))</f>
        <v/>
      </c>
      <c r="N385" s="136">
        <f>IF($F385="","",IFERROR(INDEX(사건마스터!$AK$5:$AK$64,MATCH($F385,사건마스터!$A$5:$A$64,0)),""))</f>
        <v/>
      </c>
      <c r="O385" s="136">
        <f>IF($F385="","",IFERROR(INDEX(사건마스터!$AL$5:$AL$64,MATCH($F385,사건마스터!$A$5:$A$64,0)),""))</f>
        <v/>
      </c>
      <c r="P385" s="136">
        <f>IF($F385="","",IFERROR(INDEX(사건마스터!$AM$5:$AM$64,MATCH($F385,사건마스터!$A$5:$A$64,0)),""))</f>
        <v/>
      </c>
      <c r="Q385" s="136">
        <f>IF($F385="","",IFERROR(INDEX(사건마스터!$AN$5:$AN$64,MATCH($F385,사건마스터!$A$5:$A$64,0)),""))</f>
        <v/>
      </c>
      <c r="R385" s="136">
        <f>IF($F385="","",IFERROR(INDEX(사건마스터!$AO$5:$AO$64,MATCH($F385,사건마스터!$A$5:$A$64,0)),""))</f>
        <v/>
      </c>
      <c r="S385" s="136">
        <f>IF($F385="","",IFERROR(INDEX(사건마스터!$AP$5:$AP$64,MATCH($F385,사건마스터!$A$5:$A$64,0)),""))</f>
        <v/>
      </c>
      <c r="T385" s="136">
        <f>IF($F385="","",IFERROR(INDEX(사건마스터!$AQ$5:$AQ$64,MATCH($F385,사건마스터!$A$5:$A$64,0)),""))</f>
        <v/>
      </c>
      <c r="U385" s="136">
        <f>IF($F385="","",IFERROR(INDEX(사건마스터!$AR$5:$AR$64,MATCH($F385,사건마스터!$A$5:$A$64,0)),""))</f>
        <v/>
      </c>
      <c r="V385" s="136">
        <f>IF($F385="","",IFERROR(INDEX(사건마스터!$AS$5:$AS$64,MATCH($F385,사건마스터!$A$5:$A$64,0)),""))</f>
        <v/>
      </c>
      <c r="W385" s="136">
        <f>IF($F385="","",IFERROR(INDEX(사건마스터!$AT$5:$AT$64,MATCH($F385,사건마스터!$A$5:$A$64,0)),""))</f>
        <v/>
      </c>
      <c r="X385" s="136">
        <f>IF($F385="","",IFERROR(INDEX(사건마스터!$AU$5:$AU$64,MATCH($F385,사건마스터!$A$5:$A$64,0)),""))</f>
        <v/>
      </c>
      <c r="Y385" s="136">
        <f>IF($F385="","",IFERROR(INDEX(사건마스터!$AV$5:$AV$64,MATCH($F385,사건마스터!$A$5:$A$64,0)),""))</f>
        <v/>
      </c>
      <c r="Z385" s="118">
        <f>IF(COUNTBLANK($J385:$Y385)=16,"",16-COUNTBLANK($J385:$Y385))</f>
        <v/>
      </c>
      <c r="AA385" s="33">
        <f>IF($J385="",MID($AX385,3,255),$J385&amp;$AX385)</f>
        <v/>
      </c>
      <c r="AB385" s="130">
        <f>IF($J385="","",IFERROR(INDEX(코드설정!$D$5:$D$24,MATCH($J385,코드설정!$C$5:$C$24,0)),""))</f>
        <v/>
      </c>
      <c r="AC385" s="36" t="n"/>
      <c r="AD385" s="37" t="n"/>
      <c r="AE385" s="38" t="n"/>
      <c r="AF385" s="118">
        <f>IF(OR($B385="",$C385=""),"",$C385-$B385+1)</f>
        <v/>
      </c>
      <c r="AG385" s="74" t="n"/>
      <c r="AH385" s="36" t="n"/>
      <c r="AJ385">
        <f>IF($K385="","",", "&amp;$K385)</f>
        <v/>
      </c>
      <c r="AK385">
        <f>AJ385&amp;IF($L385="","",", "&amp;$L385)</f>
        <v/>
      </c>
      <c r="AL385">
        <f>AK385&amp;IF($M385="","",", "&amp;$M385)</f>
        <v/>
      </c>
      <c r="AM385">
        <f>AL385&amp;IF($N385="","",", "&amp;$N385)</f>
        <v/>
      </c>
      <c r="AN385">
        <f>AM385&amp;IF($O385="","",", "&amp;$O385)</f>
        <v/>
      </c>
      <c r="AO385">
        <f>AN385&amp;IF($P385="","",", "&amp;$P385)</f>
        <v/>
      </c>
      <c r="AP385">
        <f>AO385&amp;IF($Q385="","",", "&amp;$Q385)</f>
        <v/>
      </c>
      <c r="AQ385">
        <f>AP385&amp;IF($R385="","",", "&amp;$R385)</f>
        <v/>
      </c>
      <c r="AR385">
        <f>AQ385&amp;IF($S385="","",", "&amp;$S385)</f>
        <v/>
      </c>
      <c r="AS385">
        <f>AR385&amp;IF($T385="","",", "&amp;$T385)</f>
        <v/>
      </c>
      <c r="AT385">
        <f>AS385&amp;IF($U385="","",", "&amp;$U385)</f>
        <v/>
      </c>
      <c r="AU385">
        <f>AT385&amp;IF($V385="","",", "&amp;$V385)</f>
        <v/>
      </c>
      <c r="AV385">
        <f>AU385&amp;IF($W385="","",", "&amp;$W385)</f>
        <v/>
      </c>
      <c r="AW385">
        <f>AV385&amp;IF($X385="","",", "&amp;$X385)</f>
        <v/>
      </c>
      <c r="AX385">
        <f>AW385&amp;IF($Y385="","",", "&amp;$Y385)</f>
        <v/>
      </c>
    </row>
    <row r="386">
      <c r="A386" s="118">
        <f>IF($B386="","",COUNT($B$5:$B386))</f>
        <v/>
      </c>
      <c r="B386" s="80" t="n"/>
      <c r="C386" s="80" t="n"/>
      <c r="D386" s="74" t="n"/>
      <c r="E386" s="74" t="n"/>
      <c r="F386" s="74" t="n"/>
      <c r="G386" s="118">
        <f>IF($F386="","",COUNTIF($F$5:$F386,$F386))</f>
        <v/>
      </c>
      <c r="H386" s="33">
        <f>IF($F386="","",IFERROR(INDEX(사건마스터!$B$5:$B$64,MATCH($F386,사건마스터!$A$5:$A$64,0)),""))</f>
        <v/>
      </c>
      <c r="I386" s="130">
        <f>IF($F386="","",IFERROR(INDEX(사건마스터!$C$5:$C$64,MATCH($F386,사건마스터!$A$5:$A$64,0)),""))</f>
        <v/>
      </c>
      <c r="J386" s="136">
        <f>IF($F386="","",IFERROR(INDEX(사건마스터!$H$5:$H$64,MATCH($F386,사건마스터!$A$5:$A$64,0)),""))</f>
        <v/>
      </c>
      <c r="K386" s="136">
        <f>IF($F386="","",IFERROR(INDEX(사건마스터!$AH$5:$AH$64,MATCH($F386,사건마스터!$A$5:$A$64,0)),""))</f>
        <v/>
      </c>
      <c r="L386" s="136">
        <f>IF($F386="","",IFERROR(INDEX(사건마스터!$AI$5:$AI$64,MATCH($F386,사건마스터!$A$5:$A$64,0)),""))</f>
        <v/>
      </c>
      <c r="M386" s="136">
        <f>IF($F386="","",IFERROR(INDEX(사건마스터!$AJ$5:$AJ$64,MATCH($F386,사건마스터!$A$5:$A$64,0)),""))</f>
        <v/>
      </c>
      <c r="N386" s="136">
        <f>IF($F386="","",IFERROR(INDEX(사건마스터!$AK$5:$AK$64,MATCH($F386,사건마스터!$A$5:$A$64,0)),""))</f>
        <v/>
      </c>
      <c r="O386" s="136">
        <f>IF($F386="","",IFERROR(INDEX(사건마스터!$AL$5:$AL$64,MATCH($F386,사건마스터!$A$5:$A$64,0)),""))</f>
        <v/>
      </c>
      <c r="P386" s="136">
        <f>IF($F386="","",IFERROR(INDEX(사건마스터!$AM$5:$AM$64,MATCH($F386,사건마스터!$A$5:$A$64,0)),""))</f>
        <v/>
      </c>
      <c r="Q386" s="136">
        <f>IF($F386="","",IFERROR(INDEX(사건마스터!$AN$5:$AN$64,MATCH($F386,사건마스터!$A$5:$A$64,0)),""))</f>
        <v/>
      </c>
      <c r="R386" s="136">
        <f>IF($F386="","",IFERROR(INDEX(사건마스터!$AO$5:$AO$64,MATCH($F386,사건마스터!$A$5:$A$64,0)),""))</f>
        <v/>
      </c>
      <c r="S386" s="136">
        <f>IF($F386="","",IFERROR(INDEX(사건마스터!$AP$5:$AP$64,MATCH($F386,사건마스터!$A$5:$A$64,0)),""))</f>
        <v/>
      </c>
      <c r="T386" s="136">
        <f>IF($F386="","",IFERROR(INDEX(사건마스터!$AQ$5:$AQ$64,MATCH($F386,사건마스터!$A$5:$A$64,0)),""))</f>
        <v/>
      </c>
      <c r="U386" s="136">
        <f>IF($F386="","",IFERROR(INDEX(사건마스터!$AR$5:$AR$64,MATCH($F386,사건마스터!$A$5:$A$64,0)),""))</f>
        <v/>
      </c>
      <c r="V386" s="136">
        <f>IF($F386="","",IFERROR(INDEX(사건마스터!$AS$5:$AS$64,MATCH($F386,사건마스터!$A$5:$A$64,0)),""))</f>
        <v/>
      </c>
      <c r="W386" s="136">
        <f>IF($F386="","",IFERROR(INDEX(사건마스터!$AT$5:$AT$64,MATCH($F386,사건마스터!$A$5:$A$64,0)),""))</f>
        <v/>
      </c>
      <c r="X386" s="136">
        <f>IF($F386="","",IFERROR(INDEX(사건마스터!$AU$5:$AU$64,MATCH($F386,사건마스터!$A$5:$A$64,0)),""))</f>
        <v/>
      </c>
      <c r="Y386" s="136">
        <f>IF($F386="","",IFERROR(INDEX(사건마스터!$AV$5:$AV$64,MATCH($F386,사건마스터!$A$5:$A$64,0)),""))</f>
        <v/>
      </c>
      <c r="Z386" s="118">
        <f>IF(COUNTBLANK($J386:$Y386)=16,"",16-COUNTBLANK($J386:$Y386))</f>
        <v/>
      </c>
      <c r="AA386" s="33">
        <f>IF($J386="",MID($AX386,3,255),$J386&amp;$AX386)</f>
        <v/>
      </c>
      <c r="AB386" s="130">
        <f>IF($J386="","",IFERROR(INDEX(코드설정!$D$5:$D$24,MATCH($J386,코드설정!$C$5:$C$24,0)),""))</f>
        <v/>
      </c>
      <c r="AC386" s="36" t="n"/>
      <c r="AD386" s="37" t="n"/>
      <c r="AE386" s="38" t="n"/>
      <c r="AF386" s="118">
        <f>IF(OR($B386="",$C386=""),"",$C386-$B386+1)</f>
        <v/>
      </c>
      <c r="AG386" s="74" t="n"/>
      <c r="AH386" s="36" t="n"/>
      <c r="AJ386">
        <f>IF($K386="","",", "&amp;$K386)</f>
        <v/>
      </c>
      <c r="AK386">
        <f>AJ386&amp;IF($L386="","",", "&amp;$L386)</f>
        <v/>
      </c>
      <c r="AL386">
        <f>AK386&amp;IF($M386="","",", "&amp;$M386)</f>
        <v/>
      </c>
      <c r="AM386">
        <f>AL386&amp;IF($N386="","",", "&amp;$N386)</f>
        <v/>
      </c>
      <c r="AN386">
        <f>AM386&amp;IF($O386="","",", "&amp;$O386)</f>
        <v/>
      </c>
      <c r="AO386">
        <f>AN386&amp;IF($P386="","",", "&amp;$P386)</f>
        <v/>
      </c>
      <c r="AP386">
        <f>AO386&amp;IF($Q386="","",", "&amp;$Q386)</f>
        <v/>
      </c>
      <c r="AQ386">
        <f>AP386&amp;IF($R386="","",", "&amp;$R386)</f>
        <v/>
      </c>
      <c r="AR386">
        <f>AQ386&amp;IF($S386="","",", "&amp;$S386)</f>
        <v/>
      </c>
      <c r="AS386">
        <f>AR386&amp;IF($T386="","",", "&amp;$T386)</f>
        <v/>
      </c>
      <c r="AT386">
        <f>AS386&amp;IF($U386="","",", "&amp;$U386)</f>
        <v/>
      </c>
      <c r="AU386">
        <f>AT386&amp;IF($V386="","",", "&amp;$V386)</f>
        <v/>
      </c>
      <c r="AV386">
        <f>AU386&amp;IF($W386="","",", "&amp;$W386)</f>
        <v/>
      </c>
      <c r="AW386">
        <f>AV386&amp;IF($X386="","",", "&amp;$X386)</f>
        <v/>
      </c>
      <c r="AX386">
        <f>AW386&amp;IF($Y386="","",", "&amp;$Y386)</f>
        <v/>
      </c>
    </row>
    <row r="387">
      <c r="A387" s="118">
        <f>IF($B387="","",COUNT($B$5:$B387))</f>
        <v/>
      </c>
      <c r="B387" s="80" t="n"/>
      <c r="C387" s="80" t="n"/>
      <c r="D387" s="74" t="n"/>
      <c r="E387" s="74" t="n"/>
      <c r="F387" s="74" t="n"/>
      <c r="G387" s="118">
        <f>IF($F387="","",COUNTIF($F$5:$F387,$F387))</f>
        <v/>
      </c>
      <c r="H387" s="33">
        <f>IF($F387="","",IFERROR(INDEX(사건마스터!$B$5:$B$64,MATCH($F387,사건마스터!$A$5:$A$64,0)),""))</f>
        <v/>
      </c>
      <c r="I387" s="130">
        <f>IF($F387="","",IFERROR(INDEX(사건마스터!$C$5:$C$64,MATCH($F387,사건마스터!$A$5:$A$64,0)),""))</f>
        <v/>
      </c>
      <c r="J387" s="136">
        <f>IF($F387="","",IFERROR(INDEX(사건마스터!$H$5:$H$64,MATCH($F387,사건마스터!$A$5:$A$64,0)),""))</f>
        <v/>
      </c>
      <c r="K387" s="136">
        <f>IF($F387="","",IFERROR(INDEX(사건마스터!$AH$5:$AH$64,MATCH($F387,사건마스터!$A$5:$A$64,0)),""))</f>
        <v/>
      </c>
      <c r="L387" s="136">
        <f>IF($F387="","",IFERROR(INDEX(사건마스터!$AI$5:$AI$64,MATCH($F387,사건마스터!$A$5:$A$64,0)),""))</f>
        <v/>
      </c>
      <c r="M387" s="136">
        <f>IF($F387="","",IFERROR(INDEX(사건마스터!$AJ$5:$AJ$64,MATCH($F387,사건마스터!$A$5:$A$64,0)),""))</f>
        <v/>
      </c>
      <c r="N387" s="136">
        <f>IF($F387="","",IFERROR(INDEX(사건마스터!$AK$5:$AK$64,MATCH($F387,사건마스터!$A$5:$A$64,0)),""))</f>
        <v/>
      </c>
      <c r="O387" s="136">
        <f>IF($F387="","",IFERROR(INDEX(사건마스터!$AL$5:$AL$64,MATCH($F387,사건마스터!$A$5:$A$64,0)),""))</f>
        <v/>
      </c>
      <c r="P387" s="136">
        <f>IF($F387="","",IFERROR(INDEX(사건마스터!$AM$5:$AM$64,MATCH($F387,사건마스터!$A$5:$A$64,0)),""))</f>
        <v/>
      </c>
      <c r="Q387" s="136">
        <f>IF($F387="","",IFERROR(INDEX(사건마스터!$AN$5:$AN$64,MATCH($F387,사건마스터!$A$5:$A$64,0)),""))</f>
        <v/>
      </c>
      <c r="R387" s="136">
        <f>IF($F387="","",IFERROR(INDEX(사건마스터!$AO$5:$AO$64,MATCH($F387,사건마스터!$A$5:$A$64,0)),""))</f>
        <v/>
      </c>
      <c r="S387" s="136">
        <f>IF($F387="","",IFERROR(INDEX(사건마스터!$AP$5:$AP$64,MATCH($F387,사건마스터!$A$5:$A$64,0)),""))</f>
        <v/>
      </c>
      <c r="T387" s="136">
        <f>IF($F387="","",IFERROR(INDEX(사건마스터!$AQ$5:$AQ$64,MATCH($F387,사건마스터!$A$5:$A$64,0)),""))</f>
        <v/>
      </c>
      <c r="U387" s="136">
        <f>IF($F387="","",IFERROR(INDEX(사건마스터!$AR$5:$AR$64,MATCH($F387,사건마스터!$A$5:$A$64,0)),""))</f>
        <v/>
      </c>
      <c r="V387" s="136">
        <f>IF($F387="","",IFERROR(INDEX(사건마스터!$AS$5:$AS$64,MATCH($F387,사건마스터!$A$5:$A$64,0)),""))</f>
        <v/>
      </c>
      <c r="W387" s="136">
        <f>IF($F387="","",IFERROR(INDEX(사건마스터!$AT$5:$AT$64,MATCH($F387,사건마스터!$A$5:$A$64,0)),""))</f>
        <v/>
      </c>
      <c r="X387" s="136">
        <f>IF($F387="","",IFERROR(INDEX(사건마스터!$AU$5:$AU$64,MATCH($F387,사건마스터!$A$5:$A$64,0)),""))</f>
        <v/>
      </c>
      <c r="Y387" s="136">
        <f>IF($F387="","",IFERROR(INDEX(사건마스터!$AV$5:$AV$64,MATCH($F387,사건마스터!$A$5:$A$64,0)),""))</f>
        <v/>
      </c>
      <c r="Z387" s="118">
        <f>IF(COUNTBLANK($J387:$Y387)=16,"",16-COUNTBLANK($J387:$Y387))</f>
        <v/>
      </c>
      <c r="AA387" s="33">
        <f>IF($J387="",MID($AX387,3,255),$J387&amp;$AX387)</f>
        <v/>
      </c>
      <c r="AB387" s="130">
        <f>IF($J387="","",IFERROR(INDEX(코드설정!$D$5:$D$24,MATCH($J387,코드설정!$C$5:$C$24,0)),""))</f>
        <v/>
      </c>
      <c r="AC387" s="36" t="n"/>
      <c r="AD387" s="37" t="n"/>
      <c r="AE387" s="38" t="n"/>
      <c r="AF387" s="118">
        <f>IF(OR($B387="",$C387=""),"",$C387-$B387+1)</f>
        <v/>
      </c>
      <c r="AG387" s="74" t="n"/>
      <c r="AH387" s="36" t="n"/>
      <c r="AJ387">
        <f>IF($K387="","",", "&amp;$K387)</f>
        <v/>
      </c>
      <c r="AK387">
        <f>AJ387&amp;IF($L387="","",", "&amp;$L387)</f>
        <v/>
      </c>
      <c r="AL387">
        <f>AK387&amp;IF($M387="","",", "&amp;$M387)</f>
        <v/>
      </c>
      <c r="AM387">
        <f>AL387&amp;IF($N387="","",", "&amp;$N387)</f>
        <v/>
      </c>
      <c r="AN387">
        <f>AM387&amp;IF($O387="","",", "&amp;$O387)</f>
        <v/>
      </c>
      <c r="AO387">
        <f>AN387&amp;IF($P387="","",", "&amp;$P387)</f>
        <v/>
      </c>
      <c r="AP387">
        <f>AO387&amp;IF($Q387="","",", "&amp;$Q387)</f>
        <v/>
      </c>
      <c r="AQ387">
        <f>AP387&amp;IF($R387="","",", "&amp;$R387)</f>
        <v/>
      </c>
      <c r="AR387">
        <f>AQ387&amp;IF($S387="","",", "&amp;$S387)</f>
        <v/>
      </c>
      <c r="AS387">
        <f>AR387&amp;IF($T387="","",", "&amp;$T387)</f>
        <v/>
      </c>
      <c r="AT387">
        <f>AS387&amp;IF($U387="","",", "&amp;$U387)</f>
        <v/>
      </c>
      <c r="AU387">
        <f>AT387&amp;IF($V387="","",", "&amp;$V387)</f>
        <v/>
      </c>
      <c r="AV387">
        <f>AU387&amp;IF($W387="","",", "&amp;$W387)</f>
        <v/>
      </c>
      <c r="AW387">
        <f>AV387&amp;IF($X387="","",", "&amp;$X387)</f>
        <v/>
      </c>
      <c r="AX387">
        <f>AW387&amp;IF($Y387="","",", "&amp;$Y387)</f>
        <v/>
      </c>
    </row>
    <row r="388">
      <c r="A388" s="118">
        <f>IF($B388="","",COUNT($B$5:$B388))</f>
        <v/>
      </c>
      <c r="B388" s="80" t="n"/>
      <c r="C388" s="80" t="n"/>
      <c r="D388" s="74" t="n"/>
      <c r="E388" s="74" t="n"/>
      <c r="F388" s="74" t="n"/>
      <c r="G388" s="118">
        <f>IF($F388="","",COUNTIF($F$5:$F388,$F388))</f>
        <v/>
      </c>
      <c r="H388" s="33">
        <f>IF($F388="","",IFERROR(INDEX(사건마스터!$B$5:$B$64,MATCH($F388,사건마스터!$A$5:$A$64,0)),""))</f>
        <v/>
      </c>
      <c r="I388" s="130">
        <f>IF($F388="","",IFERROR(INDEX(사건마스터!$C$5:$C$64,MATCH($F388,사건마스터!$A$5:$A$64,0)),""))</f>
        <v/>
      </c>
      <c r="J388" s="136">
        <f>IF($F388="","",IFERROR(INDEX(사건마스터!$H$5:$H$64,MATCH($F388,사건마스터!$A$5:$A$64,0)),""))</f>
        <v/>
      </c>
      <c r="K388" s="136">
        <f>IF($F388="","",IFERROR(INDEX(사건마스터!$AH$5:$AH$64,MATCH($F388,사건마스터!$A$5:$A$64,0)),""))</f>
        <v/>
      </c>
      <c r="L388" s="136">
        <f>IF($F388="","",IFERROR(INDEX(사건마스터!$AI$5:$AI$64,MATCH($F388,사건마스터!$A$5:$A$64,0)),""))</f>
        <v/>
      </c>
      <c r="M388" s="136">
        <f>IF($F388="","",IFERROR(INDEX(사건마스터!$AJ$5:$AJ$64,MATCH($F388,사건마스터!$A$5:$A$64,0)),""))</f>
        <v/>
      </c>
      <c r="N388" s="136">
        <f>IF($F388="","",IFERROR(INDEX(사건마스터!$AK$5:$AK$64,MATCH($F388,사건마스터!$A$5:$A$64,0)),""))</f>
        <v/>
      </c>
      <c r="O388" s="136">
        <f>IF($F388="","",IFERROR(INDEX(사건마스터!$AL$5:$AL$64,MATCH($F388,사건마스터!$A$5:$A$64,0)),""))</f>
        <v/>
      </c>
      <c r="P388" s="136">
        <f>IF($F388="","",IFERROR(INDEX(사건마스터!$AM$5:$AM$64,MATCH($F388,사건마스터!$A$5:$A$64,0)),""))</f>
        <v/>
      </c>
      <c r="Q388" s="136">
        <f>IF($F388="","",IFERROR(INDEX(사건마스터!$AN$5:$AN$64,MATCH($F388,사건마스터!$A$5:$A$64,0)),""))</f>
        <v/>
      </c>
      <c r="R388" s="136">
        <f>IF($F388="","",IFERROR(INDEX(사건마스터!$AO$5:$AO$64,MATCH($F388,사건마스터!$A$5:$A$64,0)),""))</f>
        <v/>
      </c>
      <c r="S388" s="136">
        <f>IF($F388="","",IFERROR(INDEX(사건마스터!$AP$5:$AP$64,MATCH($F388,사건마스터!$A$5:$A$64,0)),""))</f>
        <v/>
      </c>
      <c r="T388" s="136">
        <f>IF($F388="","",IFERROR(INDEX(사건마스터!$AQ$5:$AQ$64,MATCH($F388,사건마스터!$A$5:$A$64,0)),""))</f>
        <v/>
      </c>
      <c r="U388" s="136">
        <f>IF($F388="","",IFERROR(INDEX(사건마스터!$AR$5:$AR$64,MATCH($F388,사건마스터!$A$5:$A$64,0)),""))</f>
        <v/>
      </c>
      <c r="V388" s="136">
        <f>IF($F388="","",IFERROR(INDEX(사건마스터!$AS$5:$AS$64,MATCH($F388,사건마스터!$A$5:$A$64,0)),""))</f>
        <v/>
      </c>
      <c r="W388" s="136">
        <f>IF($F388="","",IFERROR(INDEX(사건마스터!$AT$5:$AT$64,MATCH($F388,사건마스터!$A$5:$A$64,0)),""))</f>
        <v/>
      </c>
      <c r="X388" s="136">
        <f>IF($F388="","",IFERROR(INDEX(사건마스터!$AU$5:$AU$64,MATCH($F388,사건마스터!$A$5:$A$64,0)),""))</f>
        <v/>
      </c>
      <c r="Y388" s="136">
        <f>IF($F388="","",IFERROR(INDEX(사건마스터!$AV$5:$AV$64,MATCH($F388,사건마스터!$A$5:$A$64,0)),""))</f>
        <v/>
      </c>
      <c r="Z388" s="118">
        <f>IF(COUNTBLANK($J388:$Y388)=16,"",16-COUNTBLANK($J388:$Y388))</f>
        <v/>
      </c>
      <c r="AA388" s="33">
        <f>IF($J388="",MID($AX388,3,255),$J388&amp;$AX388)</f>
        <v/>
      </c>
      <c r="AB388" s="130">
        <f>IF($J388="","",IFERROR(INDEX(코드설정!$D$5:$D$24,MATCH($J388,코드설정!$C$5:$C$24,0)),""))</f>
        <v/>
      </c>
      <c r="AC388" s="36" t="n"/>
      <c r="AD388" s="37" t="n"/>
      <c r="AE388" s="38" t="n"/>
      <c r="AF388" s="118">
        <f>IF(OR($B388="",$C388=""),"",$C388-$B388+1)</f>
        <v/>
      </c>
      <c r="AG388" s="74" t="n"/>
      <c r="AH388" s="36" t="n"/>
      <c r="AJ388">
        <f>IF($K388="","",", "&amp;$K388)</f>
        <v/>
      </c>
      <c r="AK388">
        <f>AJ388&amp;IF($L388="","",", "&amp;$L388)</f>
        <v/>
      </c>
      <c r="AL388">
        <f>AK388&amp;IF($M388="","",", "&amp;$M388)</f>
        <v/>
      </c>
      <c r="AM388">
        <f>AL388&amp;IF($N388="","",", "&amp;$N388)</f>
        <v/>
      </c>
      <c r="AN388">
        <f>AM388&amp;IF($O388="","",", "&amp;$O388)</f>
        <v/>
      </c>
      <c r="AO388">
        <f>AN388&amp;IF($P388="","",", "&amp;$P388)</f>
        <v/>
      </c>
      <c r="AP388">
        <f>AO388&amp;IF($Q388="","",", "&amp;$Q388)</f>
        <v/>
      </c>
      <c r="AQ388">
        <f>AP388&amp;IF($R388="","",", "&amp;$R388)</f>
        <v/>
      </c>
      <c r="AR388">
        <f>AQ388&amp;IF($S388="","",", "&amp;$S388)</f>
        <v/>
      </c>
      <c r="AS388">
        <f>AR388&amp;IF($T388="","",", "&amp;$T388)</f>
        <v/>
      </c>
      <c r="AT388">
        <f>AS388&amp;IF($U388="","",", "&amp;$U388)</f>
        <v/>
      </c>
      <c r="AU388">
        <f>AT388&amp;IF($V388="","",", "&amp;$V388)</f>
        <v/>
      </c>
      <c r="AV388">
        <f>AU388&amp;IF($W388="","",", "&amp;$W388)</f>
        <v/>
      </c>
      <c r="AW388">
        <f>AV388&amp;IF($X388="","",", "&amp;$X388)</f>
        <v/>
      </c>
      <c r="AX388">
        <f>AW388&amp;IF($Y388="","",", "&amp;$Y388)</f>
        <v/>
      </c>
    </row>
    <row r="389">
      <c r="A389" s="118">
        <f>IF($B389="","",COUNT($B$5:$B389))</f>
        <v/>
      </c>
      <c r="B389" s="80" t="n"/>
      <c r="C389" s="80" t="n"/>
      <c r="D389" s="74" t="n"/>
      <c r="E389" s="74" t="n"/>
      <c r="F389" s="74" t="n"/>
      <c r="G389" s="118">
        <f>IF($F389="","",COUNTIF($F$5:$F389,$F389))</f>
        <v/>
      </c>
      <c r="H389" s="33">
        <f>IF($F389="","",IFERROR(INDEX(사건마스터!$B$5:$B$64,MATCH($F389,사건마스터!$A$5:$A$64,0)),""))</f>
        <v/>
      </c>
      <c r="I389" s="130">
        <f>IF($F389="","",IFERROR(INDEX(사건마스터!$C$5:$C$64,MATCH($F389,사건마스터!$A$5:$A$64,0)),""))</f>
        <v/>
      </c>
      <c r="J389" s="136">
        <f>IF($F389="","",IFERROR(INDEX(사건마스터!$H$5:$H$64,MATCH($F389,사건마스터!$A$5:$A$64,0)),""))</f>
        <v/>
      </c>
      <c r="K389" s="136">
        <f>IF($F389="","",IFERROR(INDEX(사건마스터!$AH$5:$AH$64,MATCH($F389,사건마스터!$A$5:$A$64,0)),""))</f>
        <v/>
      </c>
      <c r="L389" s="136">
        <f>IF($F389="","",IFERROR(INDEX(사건마스터!$AI$5:$AI$64,MATCH($F389,사건마스터!$A$5:$A$64,0)),""))</f>
        <v/>
      </c>
      <c r="M389" s="136">
        <f>IF($F389="","",IFERROR(INDEX(사건마스터!$AJ$5:$AJ$64,MATCH($F389,사건마스터!$A$5:$A$64,0)),""))</f>
        <v/>
      </c>
      <c r="N389" s="136">
        <f>IF($F389="","",IFERROR(INDEX(사건마스터!$AK$5:$AK$64,MATCH($F389,사건마스터!$A$5:$A$64,0)),""))</f>
        <v/>
      </c>
      <c r="O389" s="136">
        <f>IF($F389="","",IFERROR(INDEX(사건마스터!$AL$5:$AL$64,MATCH($F389,사건마스터!$A$5:$A$64,0)),""))</f>
        <v/>
      </c>
      <c r="P389" s="136">
        <f>IF($F389="","",IFERROR(INDEX(사건마스터!$AM$5:$AM$64,MATCH($F389,사건마스터!$A$5:$A$64,0)),""))</f>
        <v/>
      </c>
      <c r="Q389" s="136">
        <f>IF($F389="","",IFERROR(INDEX(사건마스터!$AN$5:$AN$64,MATCH($F389,사건마스터!$A$5:$A$64,0)),""))</f>
        <v/>
      </c>
      <c r="R389" s="136">
        <f>IF($F389="","",IFERROR(INDEX(사건마스터!$AO$5:$AO$64,MATCH($F389,사건마스터!$A$5:$A$64,0)),""))</f>
        <v/>
      </c>
      <c r="S389" s="136">
        <f>IF($F389="","",IFERROR(INDEX(사건마스터!$AP$5:$AP$64,MATCH($F389,사건마스터!$A$5:$A$64,0)),""))</f>
        <v/>
      </c>
      <c r="T389" s="136">
        <f>IF($F389="","",IFERROR(INDEX(사건마스터!$AQ$5:$AQ$64,MATCH($F389,사건마스터!$A$5:$A$64,0)),""))</f>
        <v/>
      </c>
      <c r="U389" s="136">
        <f>IF($F389="","",IFERROR(INDEX(사건마스터!$AR$5:$AR$64,MATCH($F389,사건마스터!$A$5:$A$64,0)),""))</f>
        <v/>
      </c>
      <c r="V389" s="136">
        <f>IF($F389="","",IFERROR(INDEX(사건마스터!$AS$5:$AS$64,MATCH($F389,사건마스터!$A$5:$A$64,0)),""))</f>
        <v/>
      </c>
      <c r="W389" s="136">
        <f>IF($F389="","",IFERROR(INDEX(사건마스터!$AT$5:$AT$64,MATCH($F389,사건마스터!$A$5:$A$64,0)),""))</f>
        <v/>
      </c>
      <c r="X389" s="136">
        <f>IF($F389="","",IFERROR(INDEX(사건마스터!$AU$5:$AU$64,MATCH($F389,사건마스터!$A$5:$A$64,0)),""))</f>
        <v/>
      </c>
      <c r="Y389" s="136">
        <f>IF($F389="","",IFERROR(INDEX(사건마스터!$AV$5:$AV$64,MATCH($F389,사건마스터!$A$5:$A$64,0)),""))</f>
        <v/>
      </c>
      <c r="Z389" s="118">
        <f>IF(COUNTBLANK($J389:$Y389)=16,"",16-COUNTBLANK($J389:$Y389))</f>
        <v/>
      </c>
      <c r="AA389" s="33">
        <f>IF($J389="",MID($AX389,3,255),$J389&amp;$AX389)</f>
        <v/>
      </c>
      <c r="AB389" s="130">
        <f>IF($J389="","",IFERROR(INDEX(코드설정!$D$5:$D$24,MATCH($J389,코드설정!$C$5:$C$24,0)),""))</f>
        <v/>
      </c>
      <c r="AC389" s="36" t="n"/>
      <c r="AD389" s="37" t="n"/>
      <c r="AE389" s="38" t="n"/>
      <c r="AF389" s="118">
        <f>IF(OR($B389="",$C389=""),"",$C389-$B389+1)</f>
        <v/>
      </c>
      <c r="AG389" s="74" t="n"/>
      <c r="AH389" s="36" t="n"/>
      <c r="AJ389">
        <f>IF($K389="","",", "&amp;$K389)</f>
        <v/>
      </c>
      <c r="AK389">
        <f>AJ389&amp;IF($L389="","",", "&amp;$L389)</f>
        <v/>
      </c>
      <c r="AL389">
        <f>AK389&amp;IF($M389="","",", "&amp;$M389)</f>
        <v/>
      </c>
      <c r="AM389">
        <f>AL389&amp;IF($N389="","",", "&amp;$N389)</f>
        <v/>
      </c>
      <c r="AN389">
        <f>AM389&amp;IF($O389="","",", "&amp;$O389)</f>
        <v/>
      </c>
      <c r="AO389">
        <f>AN389&amp;IF($P389="","",", "&amp;$P389)</f>
        <v/>
      </c>
      <c r="AP389">
        <f>AO389&amp;IF($Q389="","",", "&amp;$Q389)</f>
        <v/>
      </c>
      <c r="AQ389">
        <f>AP389&amp;IF($R389="","",", "&amp;$R389)</f>
        <v/>
      </c>
      <c r="AR389">
        <f>AQ389&amp;IF($S389="","",", "&amp;$S389)</f>
        <v/>
      </c>
      <c r="AS389">
        <f>AR389&amp;IF($T389="","",", "&amp;$T389)</f>
        <v/>
      </c>
      <c r="AT389">
        <f>AS389&amp;IF($U389="","",", "&amp;$U389)</f>
        <v/>
      </c>
      <c r="AU389">
        <f>AT389&amp;IF($V389="","",", "&amp;$V389)</f>
        <v/>
      </c>
      <c r="AV389">
        <f>AU389&amp;IF($W389="","",", "&amp;$W389)</f>
        <v/>
      </c>
      <c r="AW389">
        <f>AV389&amp;IF($X389="","",", "&amp;$X389)</f>
        <v/>
      </c>
      <c r="AX389">
        <f>AW389&amp;IF($Y389="","",", "&amp;$Y389)</f>
        <v/>
      </c>
    </row>
    <row r="390">
      <c r="A390" s="118">
        <f>IF($B390="","",COUNT($B$5:$B390))</f>
        <v/>
      </c>
      <c r="B390" s="80" t="n"/>
      <c r="C390" s="80" t="n"/>
      <c r="D390" s="74" t="n"/>
      <c r="E390" s="74" t="n"/>
      <c r="F390" s="74" t="n"/>
      <c r="G390" s="118">
        <f>IF($F390="","",COUNTIF($F$5:$F390,$F390))</f>
        <v/>
      </c>
      <c r="H390" s="33">
        <f>IF($F390="","",IFERROR(INDEX(사건마스터!$B$5:$B$64,MATCH($F390,사건마스터!$A$5:$A$64,0)),""))</f>
        <v/>
      </c>
      <c r="I390" s="130">
        <f>IF($F390="","",IFERROR(INDEX(사건마스터!$C$5:$C$64,MATCH($F390,사건마스터!$A$5:$A$64,0)),""))</f>
        <v/>
      </c>
      <c r="J390" s="136">
        <f>IF($F390="","",IFERROR(INDEX(사건마스터!$H$5:$H$64,MATCH($F390,사건마스터!$A$5:$A$64,0)),""))</f>
        <v/>
      </c>
      <c r="K390" s="136">
        <f>IF($F390="","",IFERROR(INDEX(사건마스터!$AH$5:$AH$64,MATCH($F390,사건마스터!$A$5:$A$64,0)),""))</f>
        <v/>
      </c>
      <c r="L390" s="136">
        <f>IF($F390="","",IFERROR(INDEX(사건마스터!$AI$5:$AI$64,MATCH($F390,사건마스터!$A$5:$A$64,0)),""))</f>
        <v/>
      </c>
      <c r="M390" s="136">
        <f>IF($F390="","",IFERROR(INDEX(사건마스터!$AJ$5:$AJ$64,MATCH($F390,사건마스터!$A$5:$A$64,0)),""))</f>
        <v/>
      </c>
      <c r="N390" s="136">
        <f>IF($F390="","",IFERROR(INDEX(사건마스터!$AK$5:$AK$64,MATCH($F390,사건마스터!$A$5:$A$64,0)),""))</f>
        <v/>
      </c>
      <c r="O390" s="136">
        <f>IF($F390="","",IFERROR(INDEX(사건마스터!$AL$5:$AL$64,MATCH($F390,사건마스터!$A$5:$A$64,0)),""))</f>
        <v/>
      </c>
      <c r="P390" s="136">
        <f>IF($F390="","",IFERROR(INDEX(사건마스터!$AM$5:$AM$64,MATCH($F390,사건마스터!$A$5:$A$64,0)),""))</f>
        <v/>
      </c>
      <c r="Q390" s="136">
        <f>IF($F390="","",IFERROR(INDEX(사건마스터!$AN$5:$AN$64,MATCH($F390,사건마스터!$A$5:$A$64,0)),""))</f>
        <v/>
      </c>
      <c r="R390" s="136">
        <f>IF($F390="","",IFERROR(INDEX(사건마스터!$AO$5:$AO$64,MATCH($F390,사건마스터!$A$5:$A$64,0)),""))</f>
        <v/>
      </c>
      <c r="S390" s="136">
        <f>IF($F390="","",IFERROR(INDEX(사건마스터!$AP$5:$AP$64,MATCH($F390,사건마스터!$A$5:$A$64,0)),""))</f>
        <v/>
      </c>
      <c r="T390" s="136">
        <f>IF($F390="","",IFERROR(INDEX(사건마스터!$AQ$5:$AQ$64,MATCH($F390,사건마스터!$A$5:$A$64,0)),""))</f>
        <v/>
      </c>
      <c r="U390" s="136">
        <f>IF($F390="","",IFERROR(INDEX(사건마스터!$AR$5:$AR$64,MATCH($F390,사건마스터!$A$5:$A$64,0)),""))</f>
        <v/>
      </c>
      <c r="V390" s="136">
        <f>IF($F390="","",IFERROR(INDEX(사건마스터!$AS$5:$AS$64,MATCH($F390,사건마스터!$A$5:$A$64,0)),""))</f>
        <v/>
      </c>
      <c r="W390" s="136">
        <f>IF($F390="","",IFERROR(INDEX(사건마스터!$AT$5:$AT$64,MATCH($F390,사건마스터!$A$5:$A$64,0)),""))</f>
        <v/>
      </c>
      <c r="X390" s="136">
        <f>IF($F390="","",IFERROR(INDEX(사건마스터!$AU$5:$AU$64,MATCH($F390,사건마스터!$A$5:$A$64,0)),""))</f>
        <v/>
      </c>
      <c r="Y390" s="136">
        <f>IF($F390="","",IFERROR(INDEX(사건마스터!$AV$5:$AV$64,MATCH($F390,사건마스터!$A$5:$A$64,0)),""))</f>
        <v/>
      </c>
      <c r="Z390" s="118">
        <f>IF(COUNTBLANK($J390:$Y390)=16,"",16-COUNTBLANK($J390:$Y390))</f>
        <v/>
      </c>
      <c r="AA390" s="33">
        <f>IF($J390="",MID($AX390,3,255),$J390&amp;$AX390)</f>
        <v/>
      </c>
      <c r="AB390" s="130">
        <f>IF($J390="","",IFERROR(INDEX(코드설정!$D$5:$D$24,MATCH($J390,코드설정!$C$5:$C$24,0)),""))</f>
        <v/>
      </c>
      <c r="AC390" s="36" t="n"/>
      <c r="AD390" s="37" t="n"/>
      <c r="AE390" s="38" t="n"/>
      <c r="AF390" s="118">
        <f>IF(OR($B390="",$C390=""),"",$C390-$B390+1)</f>
        <v/>
      </c>
      <c r="AG390" s="74" t="n"/>
      <c r="AH390" s="36" t="n"/>
      <c r="AJ390">
        <f>IF($K390="","",", "&amp;$K390)</f>
        <v/>
      </c>
      <c r="AK390">
        <f>AJ390&amp;IF($L390="","",", "&amp;$L390)</f>
        <v/>
      </c>
      <c r="AL390">
        <f>AK390&amp;IF($M390="","",", "&amp;$M390)</f>
        <v/>
      </c>
      <c r="AM390">
        <f>AL390&amp;IF($N390="","",", "&amp;$N390)</f>
        <v/>
      </c>
      <c r="AN390">
        <f>AM390&amp;IF($O390="","",", "&amp;$O390)</f>
        <v/>
      </c>
      <c r="AO390">
        <f>AN390&amp;IF($P390="","",", "&amp;$P390)</f>
        <v/>
      </c>
      <c r="AP390">
        <f>AO390&amp;IF($Q390="","",", "&amp;$Q390)</f>
        <v/>
      </c>
      <c r="AQ390">
        <f>AP390&amp;IF($R390="","",", "&amp;$R390)</f>
        <v/>
      </c>
      <c r="AR390">
        <f>AQ390&amp;IF($S390="","",", "&amp;$S390)</f>
        <v/>
      </c>
      <c r="AS390">
        <f>AR390&amp;IF($T390="","",", "&amp;$T390)</f>
        <v/>
      </c>
      <c r="AT390">
        <f>AS390&amp;IF($U390="","",", "&amp;$U390)</f>
        <v/>
      </c>
      <c r="AU390">
        <f>AT390&amp;IF($V390="","",", "&amp;$V390)</f>
        <v/>
      </c>
      <c r="AV390">
        <f>AU390&amp;IF($W390="","",", "&amp;$W390)</f>
        <v/>
      </c>
      <c r="AW390">
        <f>AV390&amp;IF($X390="","",", "&amp;$X390)</f>
        <v/>
      </c>
      <c r="AX390">
        <f>AW390&amp;IF($Y390="","",", "&amp;$Y390)</f>
        <v/>
      </c>
    </row>
    <row r="391">
      <c r="A391" s="118">
        <f>IF($B391="","",COUNT($B$5:$B391))</f>
        <v/>
      </c>
      <c r="B391" s="80" t="n"/>
      <c r="C391" s="80" t="n"/>
      <c r="D391" s="74" t="n"/>
      <c r="E391" s="74" t="n"/>
      <c r="F391" s="74" t="n"/>
      <c r="G391" s="118">
        <f>IF($F391="","",COUNTIF($F$5:$F391,$F391))</f>
        <v/>
      </c>
      <c r="H391" s="33">
        <f>IF($F391="","",IFERROR(INDEX(사건마스터!$B$5:$B$64,MATCH($F391,사건마스터!$A$5:$A$64,0)),""))</f>
        <v/>
      </c>
      <c r="I391" s="130">
        <f>IF($F391="","",IFERROR(INDEX(사건마스터!$C$5:$C$64,MATCH($F391,사건마스터!$A$5:$A$64,0)),""))</f>
        <v/>
      </c>
      <c r="J391" s="136">
        <f>IF($F391="","",IFERROR(INDEX(사건마스터!$H$5:$H$64,MATCH($F391,사건마스터!$A$5:$A$64,0)),""))</f>
        <v/>
      </c>
      <c r="K391" s="136">
        <f>IF($F391="","",IFERROR(INDEX(사건마스터!$AH$5:$AH$64,MATCH($F391,사건마스터!$A$5:$A$64,0)),""))</f>
        <v/>
      </c>
      <c r="L391" s="136">
        <f>IF($F391="","",IFERROR(INDEX(사건마스터!$AI$5:$AI$64,MATCH($F391,사건마스터!$A$5:$A$64,0)),""))</f>
        <v/>
      </c>
      <c r="M391" s="136">
        <f>IF($F391="","",IFERROR(INDEX(사건마스터!$AJ$5:$AJ$64,MATCH($F391,사건마스터!$A$5:$A$64,0)),""))</f>
        <v/>
      </c>
      <c r="N391" s="136">
        <f>IF($F391="","",IFERROR(INDEX(사건마스터!$AK$5:$AK$64,MATCH($F391,사건마스터!$A$5:$A$64,0)),""))</f>
        <v/>
      </c>
      <c r="O391" s="136">
        <f>IF($F391="","",IFERROR(INDEX(사건마스터!$AL$5:$AL$64,MATCH($F391,사건마스터!$A$5:$A$64,0)),""))</f>
        <v/>
      </c>
      <c r="P391" s="136">
        <f>IF($F391="","",IFERROR(INDEX(사건마스터!$AM$5:$AM$64,MATCH($F391,사건마스터!$A$5:$A$64,0)),""))</f>
        <v/>
      </c>
      <c r="Q391" s="136">
        <f>IF($F391="","",IFERROR(INDEX(사건마스터!$AN$5:$AN$64,MATCH($F391,사건마스터!$A$5:$A$64,0)),""))</f>
        <v/>
      </c>
      <c r="R391" s="136">
        <f>IF($F391="","",IFERROR(INDEX(사건마스터!$AO$5:$AO$64,MATCH($F391,사건마스터!$A$5:$A$64,0)),""))</f>
        <v/>
      </c>
      <c r="S391" s="136">
        <f>IF($F391="","",IFERROR(INDEX(사건마스터!$AP$5:$AP$64,MATCH($F391,사건마스터!$A$5:$A$64,0)),""))</f>
        <v/>
      </c>
      <c r="T391" s="136">
        <f>IF($F391="","",IFERROR(INDEX(사건마스터!$AQ$5:$AQ$64,MATCH($F391,사건마스터!$A$5:$A$64,0)),""))</f>
        <v/>
      </c>
      <c r="U391" s="136">
        <f>IF($F391="","",IFERROR(INDEX(사건마스터!$AR$5:$AR$64,MATCH($F391,사건마스터!$A$5:$A$64,0)),""))</f>
        <v/>
      </c>
      <c r="V391" s="136">
        <f>IF($F391="","",IFERROR(INDEX(사건마스터!$AS$5:$AS$64,MATCH($F391,사건마스터!$A$5:$A$64,0)),""))</f>
        <v/>
      </c>
      <c r="W391" s="136">
        <f>IF($F391="","",IFERROR(INDEX(사건마스터!$AT$5:$AT$64,MATCH($F391,사건마스터!$A$5:$A$64,0)),""))</f>
        <v/>
      </c>
      <c r="X391" s="136">
        <f>IF($F391="","",IFERROR(INDEX(사건마스터!$AU$5:$AU$64,MATCH($F391,사건마스터!$A$5:$A$64,0)),""))</f>
        <v/>
      </c>
      <c r="Y391" s="136">
        <f>IF($F391="","",IFERROR(INDEX(사건마스터!$AV$5:$AV$64,MATCH($F391,사건마스터!$A$5:$A$64,0)),""))</f>
        <v/>
      </c>
      <c r="Z391" s="118">
        <f>IF(COUNTBLANK($J391:$Y391)=16,"",16-COUNTBLANK($J391:$Y391))</f>
        <v/>
      </c>
      <c r="AA391" s="33">
        <f>IF($J391="",MID($AX391,3,255),$J391&amp;$AX391)</f>
        <v/>
      </c>
      <c r="AB391" s="130">
        <f>IF($J391="","",IFERROR(INDEX(코드설정!$D$5:$D$24,MATCH($J391,코드설정!$C$5:$C$24,0)),""))</f>
        <v/>
      </c>
      <c r="AC391" s="36" t="n"/>
      <c r="AD391" s="37" t="n"/>
      <c r="AE391" s="38" t="n"/>
      <c r="AF391" s="118">
        <f>IF(OR($B391="",$C391=""),"",$C391-$B391+1)</f>
        <v/>
      </c>
      <c r="AG391" s="74" t="n"/>
      <c r="AH391" s="36" t="n"/>
      <c r="AJ391">
        <f>IF($K391="","",", "&amp;$K391)</f>
        <v/>
      </c>
      <c r="AK391">
        <f>AJ391&amp;IF($L391="","",", "&amp;$L391)</f>
        <v/>
      </c>
      <c r="AL391">
        <f>AK391&amp;IF($M391="","",", "&amp;$M391)</f>
        <v/>
      </c>
      <c r="AM391">
        <f>AL391&amp;IF($N391="","",", "&amp;$N391)</f>
        <v/>
      </c>
      <c r="AN391">
        <f>AM391&amp;IF($O391="","",", "&amp;$O391)</f>
        <v/>
      </c>
      <c r="AO391">
        <f>AN391&amp;IF($P391="","",", "&amp;$P391)</f>
        <v/>
      </c>
      <c r="AP391">
        <f>AO391&amp;IF($Q391="","",", "&amp;$Q391)</f>
        <v/>
      </c>
      <c r="AQ391">
        <f>AP391&amp;IF($R391="","",", "&amp;$R391)</f>
        <v/>
      </c>
      <c r="AR391">
        <f>AQ391&amp;IF($S391="","",", "&amp;$S391)</f>
        <v/>
      </c>
      <c r="AS391">
        <f>AR391&amp;IF($T391="","",", "&amp;$T391)</f>
        <v/>
      </c>
      <c r="AT391">
        <f>AS391&amp;IF($U391="","",", "&amp;$U391)</f>
        <v/>
      </c>
      <c r="AU391">
        <f>AT391&amp;IF($V391="","",", "&amp;$V391)</f>
        <v/>
      </c>
      <c r="AV391">
        <f>AU391&amp;IF($W391="","",", "&amp;$W391)</f>
        <v/>
      </c>
      <c r="AW391">
        <f>AV391&amp;IF($X391="","",", "&amp;$X391)</f>
        <v/>
      </c>
      <c r="AX391">
        <f>AW391&amp;IF($Y391="","",", "&amp;$Y391)</f>
        <v/>
      </c>
    </row>
    <row r="392">
      <c r="A392" s="118">
        <f>IF($B392="","",COUNT($B$5:$B392))</f>
        <v/>
      </c>
      <c r="B392" s="80" t="n"/>
      <c r="C392" s="80" t="n"/>
      <c r="D392" s="74" t="n"/>
      <c r="E392" s="74" t="n"/>
      <c r="F392" s="74" t="n"/>
      <c r="G392" s="118">
        <f>IF($F392="","",COUNTIF($F$5:$F392,$F392))</f>
        <v/>
      </c>
      <c r="H392" s="33">
        <f>IF($F392="","",IFERROR(INDEX(사건마스터!$B$5:$B$64,MATCH($F392,사건마스터!$A$5:$A$64,0)),""))</f>
        <v/>
      </c>
      <c r="I392" s="130">
        <f>IF($F392="","",IFERROR(INDEX(사건마스터!$C$5:$C$64,MATCH($F392,사건마스터!$A$5:$A$64,0)),""))</f>
        <v/>
      </c>
      <c r="J392" s="136">
        <f>IF($F392="","",IFERROR(INDEX(사건마스터!$H$5:$H$64,MATCH($F392,사건마스터!$A$5:$A$64,0)),""))</f>
        <v/>
      </c>
      <c r="K392" s="136">
        <f>IF($F392="","",IFERROR(INDEX(사건마스터!$AH$5:$AH$64,MATCH($F392,사건마스터!$A$5:$A$64,0)),""))</f>
        <v/>
      </c>
      <c r="L392" s="136">
        <f>IF($F392="","",IFERROR(INDEX(사건마스터!$AI$5:$AI$64,MATCH($F392,사건마스터!$A$5:$A$64,0)),""))</f>
        <v/>
      </c>
      <c r="M392" s="136">
        <f>IF($F392="","",IFERROR(INDEX(사건마스터!$AJ$5:$AJ$64,MATCH($F392,사건마스터!$A$5:$A$64,0)),""))</f>
        <v/>
      </c>
      <c r="N392" s="136">
        <f>IF($F392="","",IFERROR(INDEX(사건마스터!$AK$5:$AK$64,MATCH($F392,사건마스터!$A$5:$A$64,0)),""))</f>
        <v/>
      </c>
      <c r="O392" s="136">
        <f>IF($F392="","",IFERROR(INDEX(사건마스터!$AL$5:$AL$64,MATCH($F392,사건마스터!$A$5:$A$64,0)),""))</f>
        <v/>
      </c>
      <c r="P392" s="136">
        <f>IF($F392="","",IFERROR(INDEX(사건마스터!$AM$5:$AM$64,MATCH($F392,사건마스터!$A$5:$A$64,0)),""))</f>
        <v/>
      </c>
      <c r="Q392" s="136">
        <f>IF($F392="","",IFERROR(INDEX(사건마스터!$AN$5:$AN$64,MATCH($F392,사건마스터!$A$5:$A$64,0)),""))</f>
        <v/>
      </c>
      <c r="R392" s="136">
        <f>IF($F392="","",IFERROR(INDEX(사건마스터!$AO$5:$AO$64,MATCH($F392,사건마스터!$A$5:$A$64,0)),""))</f>
        <v/>
      </c>
      <c r="S392" s="136">
        <f>IF($F392="","",IFERROR(INDEX(사건마스터!$AP$5:$AP$64,MATCH($F392,사건마스터!$A$5:$A$64,0)),""))</f>
        <v/>
      </c>
      <c r="T392" s="136">
        <f>IF($F392="","",IFERROR(INDEX(사건마스터!$AQ$5:$AQ$64,MATCH($F392,사건마스터!$A$5:$A$64,0)),""))</f>
        <v/>
      </c>
      <c r="U392" s="136">
        <f>IF($F392="","",IFERROR(INDEX(사건마스터!$AR$5:$AR$64,MATCH($F392,사건마스터!$A$5:$A$64,0)),""))</f>
        <v/>
      </c>
      <c r="V392" s="136">
        <f>IF($F392="","",IFERROR(INDEX(사건마스터!$AS$5:$AS$64,MATCH($F392,사건마스터!$A$5:$A$64,0)),""))</f>
        <v/>
      </c>
      <c r="W392" s="136">
        <f>IF($F392="","",IFERROR(INDEX(사건마스터!$AT$5:$AT$64,MATCH($F392,사건마스터!$A$5:$A$64,0)),""))</f>
        <v/>
      </c>
      <c r="X392" s="136">
        <f>IF($F392="","",IFERROR(INDEX(사건마스터!$AU$5:$AU$64,MATCH($F392,사건마스터!$A$5:$A$64,0)),""))</f>
        <v/>
      </c>
      <c r="Y392" s="136">
        <f>IF($F392="","",IFERROR(INDEX(사건마스터!$AV$5:$AV$64,MATCH($F392,사건마스터!$A$5:$A$64,0)),""))</f>
        <v/>
      </c>
      <c r="Z392" s="118">
        <f>IF(COUNTBLANK($J392:$Y392)=16,"",16-COUNTBLANK($J392:$Y392))</f>
        <v/>
      </c>
      <c r="AA392" s="33">
        <f>IF($J392="",MID($AX392,3,255),$J392&amp;$AX392)</f>
        <v/>
      </c>
      <c r="AB392" s="130">
        <f>IF($J392="","",IFERROR(INDEX(코드설정!$D$5:$D$24,MATCH($J392,코드설정!$C$5:$C$24,0)),""))</f>
        <v/>
      </c>
      <c r="AC392" s="36" t="n"/>
      <c r="AD392" s="37" t="n"/>
      <c r="AE392" s="38" t="n"/>
      <c r="AF392" s="118">
        <f>IF(OR($B392="",$C392=""),"",$C392-$B392+1)</f>
        <v/>
      </c>
      <c r="AG392" s="74" t="n"/>
      <c r="AH392" s="36" t="n"/>
      <c r="AJ392">
        <f>IF($K392="","",", "&amp;$K392)</f>
        <v/>
      </c>
      <c r="AK392">
        <f>AJ392&amp;IF($L392="","",", "&amp;$L392)</f>
        <v/>
      </c>
      <c r="AL392">
        <f>AK392&amp;IF($M392="","",", "&amp;$M392)</f>
        <v/>
      </c>
      <c r="AM392">
        <f>AL392&amp;IF($N392="","",", "&amp;$N392)</f>
        <v/>
      </c>
      <c r="AN392">
        <f>AM392&amp;IF($O392="","",", "&amp;$O392)</f>
        <v/>
      </c>
      <c r="AO392">
        <f>AN392&amp;IF($P392="","",", "&amp;$P392)</f>
        <v/>
      </c>
      <c r="AP392">
        <f>AO392&amp;IF($Q392="","",", "&amp;$Q392)</f>
        <v/>
      </c>
      <c r="AQ392">
        <f>AP392&amp;IF($R392="","",", "&amp;$R392)</f>
        <v/>
      </c>
      <c r="AR392">
        <f>AQ392&amp;IF($S392="","",", "&amp;$S392)</f>
        <v/>
      </c>
      <c r="AS392">
        <f>AR392&amp;IF($T392="","",", "&amp;$T392)</f>
        <v/>
      </c>
      <c r="AT392">
        <f>AS392&amp;IF($U392="","",", "&amp;$U392)</f>
        <v/>
      </c>
      <c r="AU392">
        <f>AT392&amp;IF($V392="","",", "&amp;$V392)</f>
        <v/>
      </c>
      <c r="AV392">
        <f>AU392&amp;IF($W392="","",", "&amp;$W392)</f>
        <v/>
      </c>
      <c r="AW392">
        <f>AV392&amp;IF($X392="","",", "&amp;$X392)</f>
        <v/>
      </c>
      <c r="AX392">
        <f>AW392&amp;IF($Y392="","",", "&amp;$Y392)</f>
        <v/>
      </c>
    </row>
    <row r="393">
      <c r="A393" s="118">
        <f>IF($B393="","",COUNT($B$5:$B393))</f>
        <v/>
      </c>
      <c r="B393" s="80" t="n"/>
      <c r="C393" s="80" t="n"/>
      <c r="D393" s="74" t="n"/>
      <c r="E393" s="74" t="n"/>
      <c r="F393" s="74" t="n"/>
      <c r="G393" s="118">
        <f>IF($F393="","",COUNTIF($F$5:$F393,$F393))</f>
        <v/>
      </c>
      <c r="H393" s="33">
        <f>IF($F393="","",IFERROR(INDEX(사건마스터!$B$5:$B$64,MATCH($F393,사건마스터!$A$5:$A$64,0)),""))</f>
        <v/>
      </c>
      <c r="I393" s="130">
        <f>IF($F393="","",IFERROR(INDEX(사건마스터!$C$5:$C$64,MATCH($F393,사건마스터!$A$5:$A$64,0)),""))</f>
        <v/>
      </c>
      <c r="J393" s="136">
        <f>IF($F393="","",IFERROR(INDEX(사건마스터!$H$5:$H$64,MATCH($F393,사건마스터!$A$5:$A$64,0)),""))</f>
        <v/>
      </c>
      <c r="K393" s="136">
        <f>IF($F393="","",IFERROR(INDEX(사건마스터!$AH$5:$AH$64,MATCH($F393,사건마스터!$A$5:$A$64,0)),""))</f>
        <v/>
      </c>
      <c r="L393" s="136">
        <f>IF($F393="","",IFERROR(INDEX(사건마스터!$AI$5:$AI$64,MATCH($F393,사건마스터!$A$5:$A$64,0)),""))</f>
        <v/>
      </c>
      <c r="M393" s="136">
        <f>IF($F393="","",IFERROR(INDEX(사건마스터!$AJ$5:$AJ$64,MATCH($F393,사건마스터!$A$5:$A$64,0)),""))</f>
        <v/>
      </c>
      <c r="N393" s="136">
        <f>IF($F393="","",IFERROR(INDEX(사건마스터!$AK$5:$AK$64,MATCH($F393,사건마스터!$A$5:$A$64,0)),""))</f>
        <v/>
      </c>
      <c r="O393" s="136">
        <f>IF($F393="","",IFERROR(INDEX(사건마스터!$AL$5:$AL$64,MATCH($F393,사건마스터!$A$5:$A$64,0)),""))</f>
        <v/>
      </c>
      <c r="P393" s="136">
        <f>IF($F393="","",IFERROR(INDEX(사건마스터!$AM$5:$AM$64,MATCH($F393,사건마스터!$A$5:$A$64,0)),""))</f>
        <v/>
      </c>
      <c r="Q393" s="136">
        <f>IF($F393="","",IFERROR(INDEX(사건마스터!$AN$5:$AN$64,MATCH($F393,사건마스터!$A$5:$A$64,0)),""))</f>
        <v/>
      </c>
      <c r="R393" s="136">
        <f>IF($F393="","",IFERROR(INDEX(사건마스터!$AO$5:$AO$64,MATCH($F393,사건마스터!$A$5:$A$64,0)),""))</f>
        <v/>
      </c>
      <c r="S393" s="136">
        <f>IF($F393="","",IFERROR(INDEX(사건마스터!$AP$5:$AP$64,MATCH($F393,사건마스터!$A$5:$A$64,0)),""))</f>
        <v/>
      </c>
      <c r="T393" s="136">
        <f>IF($F393="","",IFERROR(INDEX(사건마스터!$AQ$5:$AQ$64,MATCH($F393,사건마스터!$A$5:$A$64,0)),""))</f>
        <v/>
      </c>
      <c r="U393" s="136">
        <f>IF($F393="","",IFERROR(INDEX(사건마스터!$AR$5:$AR$64,MATCH($F393,사건마스터!$A$5:$A$64,0)),""))</f>
        <v/>
      </c>
      <c r="V393" s="136">
        <f>IF($F393="","",IFERROR(INDEX(사건마스터!$AS$5:$AS$64,MATCH($F393,사건마스터!$A$5:$A$64,0)),""))</f>
        <v/>
      </c>
      <c r="W393" s="136">
        <f>IF($F393="","",IFERROR(INDEX(사건마스터!$AT$5:$AT$64,MATCH($F393,사건마스터!$A$5:$A$64,0)),""))</f>
        <v/>
      </c>
      <c r="X393" s="136">
        <f>IF($F393="","",IFERROR(INDEX(사건마스터!$AU$5:$AU$64,MATCH($F393,사건마스터!$A$5:$A$64,0)),""))</f>
        <v/>
      </c>
      <c r="Y393" s="136">
        <f>IF($F393="","",IFERROR(INDEX(사건마스터!$AV$5:$AV$64,MATCH($F393,사건마스터!$A$5:$A$64,0)),""))</f>
        <v/>
      </c>
      <c r="Z393" s="118">
        <f>IF(COUNTBLANK($J393:$Y393)=16,"",16-COUNTBLANK($J393:$Y393))</f>
        <v/>
      </c>
      <c r="AA393" s="33">
        <f>IF($J393="",MID($AX393,3,255),$J393&amp;$AX393)</f>
        <v/>
      </c>
      <c r="AB393" s="130">
        <f>IF($J393="","",IFERROR(INDEX(코드설정!$D$5:$D$24,MATCH($J393,코드설정!$C$5:$C$24,0)),""))</f>
        <v/>
      </c>
      <c r="AC393" s="36" t="n"/>
      <c r="AD393" s="37" t="n"/>
      <c r="AE393" s="38" t="n"/>
      <c r="AF393" s="118">
        <f>IF(OR($B393="",$C393=""),"",$C393-$B393+1)</f>
        <v/>
      </c>
      <c r="AG393" s="74" t="n"/>
      <c r="AH393" s="36" t="n"/>
      <c r="AJ393">
        <f>IF($K393="","",", "&amp;$K393)</f>
        <v/>
      </c>
      <c r="AK393">
        <f>AJ393&amp;IF($L393="","",", "&amp;$L393)</f>
        <v/>
      </c>
      <c r="AL393">
        <f>AK393&amp;IF($M393="","",", "&amp;$M393)</f>
        <v/>
      </c>
      <c r="AM393">
        <f>AL393&amp;IF($N393="","",", "&amp;$N393)</f>
        <v/>
      </c>
      <c r="AN393">
        <f>AM393&amp;IF($O393="","",", "&amp;$O393)</f>
        <v/>
      </c>
      <c r="AO393">
        <f>AN393&amp;IF($P393="","",", "&amp;$P393)</f>
        <v/>
      </c>
      <c r="AP393">
        <f>AO393&amp;IF($Q393="","",", "&amp;$Q393)</f>
        <v/>
      </c>
      <c r="AQ393">
        <f>AP393&amp;IF($R393="","",", "&amp;$R393)</f>
        <v/>
      </c>
      <c r="AR393">
        <f>AQ393&amp;IF($S393="","",", "&amp;$S393)</f>
        <v/>
      </c>
      <c r="AS393">
        <f>AR393&amp;IF($T393="","",", "&amp;$T393)</f>
        <v/>
      </c>
      <c r="AT393">
        <f>AS393&amp;IF($U393="","",", "&amp;$U393)</f>
        <v/>
      </c>
      <c r="AU393">
        <f>AT393&amp;IF($V393="","",", "&amp;$V393)</f>
        <v/>
      </c>
      <c r="AV393">
        <f>AU393&amp;IF($W393="","",", "&amp;$W393)</f>
        <v/>
      </c>
      <c r="AW393">
        <f>AV393&amp;IF($X393="","",", "&amp;$X393)</f>
        <v/>
      </c>
      <c r="AX393">
        <f>AW393&amp;IF($Y393="","",", "&amp;$Y393)</f>
        <v/>
      </c>
    </row>
    <row r="394">
      <c r="A394" s="118">
        <f>IF($B394="","",COUNT($B$5:$B394))</f>
        <v/>
      </c>
      <c r="B394" s="80" t="n"/>
      <c r="C394" s="80" t="n"/>
      <c r="D394" s="74" t="n"/>
      <c r="E394" s="74" t="n"/>
      <c r="F394" s="74" t="n"/>
      <c r="G394" s="118">
        <f>IF($F394="","",COUNTIF($F$5:$F394,$F394))</f>
        <v/>
      </c>
      <c r="H394" s="33">
        <f>IF($F394="","",IFERROR(INDEX(사건마스터!$B$5:$B$64,MATCH($F394,사건마스터!$A$5:$A$64,0)),""))</f>
        <v/>
      </c>
      <c r="I394" s="130">
        <f>IF($F394="","",IFERROR(INDEX(사건마스터!$C$5:$C$64,MATCH($F394,사건마스터!$A$5:$A$64,0)),""))</f>
        <v/>
      </c>
      <c r="J394" s="136">
        <f>IF($F394="","",IFERROR(INDEX(사건마스터!$H$5:$H$64,MATCH($F394,사건마스터!$A$5:$A$64,0)),""))</f>
        <v/>
      </c>
      <c r="K394" s="136">
        <f>IF($F394="","",IFERROR(INDEX(사건마스터!$AH$5:$AH$64,MATCH($F394,사건마스터!$A$5:$A$64,0)),""))</f>
        <v/>
      </c>
      <c r="L394" s="136">
        <f>IF($F394="","",IFERROR(INDEX(사건마스터!$AI$5:$AI$64,MATCH($F394,사건마스터!$A$5:$A$64,0)),""))</f>
        <v/>
      </c>
      <c r="M394" s="136">
        <f>IF($F394="","",IFERROR(INDEX(사건마스터!$AJ$5:$AJ$64,MATCH($F394,사건마스터!$A$5:$A$64,0)),""))</f>
        <v/>
      </c>
      <c r="N394" s="136">
        <f>IF($F394="","",IFERROR(INDEX(사건마스터!$AK$5:$AK$64,MATCH($F394,사건마스터!$A$5:$A$64,0)),""))</f>
        <v/>
      </c>
      <c r="O394" s="136">
        <f>IF($F394="","",IFERROR(INDEX(사건마스터!$AL$5:$AL$64,MATCH($F394,사건마스터!$A$5:$A$64,0)),""))</f>
        <v/>
      </c>
      <c r="P394" s="136">
        <f>IF($F394="","",IFERROR(INDEX(사건마스터!$AM$5:$AM$64,MATCH($F394,사건마스터!$A$5:$A$64,0)),""))</f>
        <v/>
      </c>
      <c r="Q394" s="136">
        <f>IF($F394="","",IFERROR(INDEX(사건마스터!$AN$5:$AN$64,MATCH($F394,사건마스터!$A$5:$A$64,0)),""))</f>
        <v/>
      </c>
      <c r="R394" s="136">
        <f>IF($F394="","",IFERROR(INDEX(사건마스터!$AO$5:$AO$64,MATCH($F394,사건마스터!$A$5:$A$64,0)),""))</f>
        <v/>
      </c>
      <c r="S394" s="136">
        <f>IF($F394="","",IFERROR(INDEX(사건마스터!$AP$5:$AP$64,MATCH($F394,사건마스터!$A$5:$A$64,0)),""))</f>
        <v/>
      </c>
      <c r="T394" s="136">
        <f>IF($F394="","",IFERROR(INDEX(사건마스터!$AQ$5:$AQ$64,MATCH($F394,사건마스터!$A$5:$A$64,0)),""))</f>
        <v/>
      </c>
      <c r="U394" s="136">
        <f>IF($F394="","",IFERROR(INDEX(사건마스터!$AR$5:$AR$64,MATCH($F394,사건마스터!$A$5:$A$64,0)),""))</f>
        <v/>
      </c>
      <c r="V394" s="136">
        <f>IF($F394="","",IFERROR(INDEX(사건마스터!$AS$5:$AS$64,MATCH($F394,사건마스터!$A$5:$A$64,0)),""))</f>
        <v/>
      </c>
      <c r="W394" s="136">
        <f>IF($F394="","",IFERROR(INDEX(사건마스터!$AT$5:$AT$64,MATCH($F394,사건마스터!$A$5:$A$64,0)),""))</f>
        <v/>
      </c>
      <c r="X394" s="136">
        <f>IF($F394="","",IFERROR(INDEX(사건마스터!$AU$5:$AU$64,MATCH($F394,사건마스터!$A$5:$A$64,0)),""))</f>
        <v/>
      </c>
      <c r="Y394" s="136">
        <f>IF($F394="","",IFERROR(INDEX(사건마스터!$AV$5:$AV$64,MATCH($F394,사건마스터!$A$5:$A$64,0)),""))</f>
        <v/>
      </c>
      <c r="Z394" s="118">
        <f>IF(COUNTBLANK($J394:$Y394)=16,"",16-COUNTBLANK($J394:$Y394))</f>
        <v/>
      </c>
      <c r="AA394" s="33">
        <f>IF($J394="",MID($AX394,3,255),$J394&amp;$AX394)</f>
        <v/>
      </c>
      <c r="AB394" s="130">
        <f>IF($J394="","",IFERROR(INDEX(코드설정!$D$5:$D$24,MATCH($J394,코드설정!$C$5:$C$24,0)),""))</f>
        <v/>
      </c>
      <c r="AC394" s="36" t="n"/>
      <c r="AD394" s="37" t="n"/>
      <c r="AE394" s="38" t="n"/>
      <c r="AF394" s="118">
        <f>IF(OR($B394="",$C394=""),"",$C394-$B394+1)</f>
        <v/>
      </c>
      <c r="AG394" s="74" t="n"/>
      <c r="AH394" s="36" t="n"/>
      <c r="AJ394">
        <f>IF($K394="","",", "&amp;$K394)</f>
        <v/>
      </c>
      <c r="AK394">
        <f>AJ394&amp;IF($L394="","",", "&amp;$L394)</f>
        <v/>
      </c>
      <c r="AL394">
        <f>AK394&amp;IF($M394="","",", "&amp;$M394)</f>
        <v/>
      </c>
      <c r="AM394">
        <f>AL394&amp;IF($N394="","",", "&amp;$N394)</f>
        <v/>
      </c>
      <c r="AN394">
        <f>AM394&amp;IF($O394="","",", "&amp;$O394)</f>
        <v/>
      </c>
      <c r="AO394">
        <f>AN394&amp;IF($P394="","",", "&amp;$P394)</f>
        <v/>
      </c>
      <c r="AP394">
        <f>AO394&amp;IF($Q394="","",", "&amp;$Q394)</f>
        <v/>
      </c>
      <c r="AQ394">
        <f>AP394&amp;IF($R394="","",", "&amp;$R394)</f>
        <v/>
      </c>
      <c r="AR394">
        <f>AQ394&amp;IF($S394="","",", "&amp;$S394)</f>
        <v/>
      </c>
      <c r="AS394">
        <f>AR394&amp;IF($T394="","",", "&amp;$T394)</f>
        <v/>
      </c>
      <c r="AT394">
        <f>AS394&amp;IF($U394="","",", "&amp;$U394)</f>
        <v/>
      </c>
      <c r="AU394">
        <f>AT394&amp;IF($V394="","",", "&amp;$V394)</f>
        <v/>
      </c>
      <c r="AV394">
        <f>AU394&amp;IF($W394="","",", "&amp;$W394)</f>
        <v/>
      </c>
      <c r="AW394">
        <f>AV394&amp;IF($X394="","",", "&amp;$X394)</f>
        <v/>
      </c>
      <c r="AX394">
        <f>AW394&amp;IF($Y394="","",", "&amp;$Y394)</f>
        <v/>
      </c>
    </row>
    <row r="395">
      <c r="A395" s="118">
        <f>IF($B395="","",COUNT($B$5:$B395))</f>
        <v/>
      </c>
      <c r="B395" s="80" t="n"/>
      <c r="C395" s="80" t="n"/>
      <c r="D395" s="74" t="n"/>
      <c r="E395" s="74" t="n"/>
      <c r="F395" s="74" t="n"/>
      <c r="G395" s="118">
        <f>IF($F395="","",COUNTIF($F$5:$F395,$F395))</f>
        <v/>
      </c>
      <c r="H395" s="33">
        <f>IF($F395="","",IFERROR(INDEX(사건마스터!$B$5:$B$64,MATCH($F395,사건마스터!$A$5:$A$64,0)),""))</f>
        <v/>
      </c>
      <c r="I395" s="130">
        <f>IF($F395="","",IFERROR(INDEX(사건마스터!$C$5:$C$64,MATCH($F395,사건마스터!$A$5:$A$64,0)),""))</f>
        <v/>
      </c>
      <c r="J395" s="136">
        <f>IF($F395="","",IFERROR(INDEX(사건마스터!$H$5:$H$64,MATCH($F395,사건마스터!$A$5:$A$64,0)),""))</f>
        <v/>
      </c>
      <c r="K395" s="136">
        <f>IF($F395="","",IFERROR(INDEX(사건마스터!$AH$5:$AH$64,MATCH($F395,사건마스터!$A$5:$A$64,0)),""))</f>
        <v/>
      </c>
      <c r="L395" s="136">
        <f>IF($F395="","",IFERROR(INDEX(사건마스터!$AI$5:$AI$64,MATCH($F395,사건마스터!$A$5:$A$64,0)),""))</f>
        <v/>
      </c>
      <c r="M395" s="136">
        <f>IF($F395="","",IFERROR(INDEX(사건마스터!$AJ$5:$AJ$64,MATCH($F395,사건마스터!$A$5:$A$64,0)),""))</f>
        <v/>
      </c>
      <c r="N395" s="136">
        <f>IF($F395="","",IFERROR(INDEX(사건마스터!$AK$5:$AK$64,MATCH($F395,사건마스터!$A$5:$A$64,0)),""))</f>
        <v/>
      </c>
      <c r="O395" s="136">
        <f>IF($F395="","",IFERROR(INDEX(사건마스터!$AL$5:$AL$64,MATCH($F395,사건마스터!$A$5:$A$64,0)),""))</f>
        <v/>
      </c>
      <c r="P395" s="136">
        <f>IF($F395="","",IFERROR(INDEX(사건마스터!$AM$5:$AM$64,MATCH($F395,사건마스터!$A$5:$A$64,0)),""))</f>
        <v/>
      </c>
      <c r="Q395" s="136">
        <f>IF($F395="","",IFERROR(INDEX(사건마스터!$AN$5:$AN$64,MATCH($F395,사건마스터!$A$5:$A$64,0)),""))</f>
        <v/>
      </c>
      <c r="R395" s="136">
        <f>IF($F395="","",IFERROR(INDEX(사건마스터!$AO$5:$AO$64,MATCH($F395,사건마스터!$A$5:$A$64,0)),""))</f>
        <v/>
      </c>
      <c r="S395" s="136">
        <f>IF($F395="","",IFERROR(INDEX(사건마스터!$AP$5:$AP$64,MATCH($F395,사건마스터!$A$5:$A$64,0)),""))</f>
        <v/>
      </c>
      <c r="T395" s="136">
        <f>IF($F395="","",IFERROR(INDEX(사건마스터!$AQ$5:$AQ$64,MATCH($F395,사건마스터!$A$5:$A$64,0)),""))</f>
        <v/>
      </c>
      <c r="U395" s="136">
        <f>IF($F395="","",IFERROR(INDEX(사건마스터!$AR$5:$AR$64,MATCH($F395,사건마스터!$A$5:$A$64,0)),""))</f>
        <v/>
      </c>
      <c r="V395" s="136">
        <f>IF($F395="","",IFERROR(INDEX(사건마스터!$AS$5:$AS$64,MATCH($F395,사건마스터!$A$5:$A$64,0)),""))</f>
        <v/>
      </c>
      <c r="W395" s="136">
        <f>IF($F395="","",IFERROR(INDEX(사건마스터!$AT$5:$AT$64,MATCH($F395,사건마스터!$A$5:$A$64,0)),""))</f>
        <v/>
      </c>
      <c r="X395" s="136">
        <f>IF($F395="","",IFERROR(INDEX(사건마스터!$AU$5:$AU$64,MATCH($F395,사건마스터!$A$5:$A$64,0)),""))</f>
        <v/>
      </c>
      <c r="Y395" s="136">
        <f>IF($F395="","",IFERROR(INDEX(사건마스터!$AV$5:$AV$64,MATCH($F395,사건마스터!$A$5:$A$64,0)),""))</f>
        <v/>
      </c>
      <c r="Z395" s="118">
        <f>IF(COUNTBLANK($J395:$Y395)=16,"",16-COUNTBLANK($J395:$Y395))</f>
        <v/>
      </c>
      <c r="AA395" s="33">
        <f>IF($J395="",MID($AX395,3,255),$J395&amp;$AX395)</f>
        <v/>
      </c>
      <c r="AB395" s="130">
        <f>IF($J395="","",IFERROR(INDEX(코드설정!$D$5:$D$24,MATCH($J395,코드설정!$C$5:$C$24,0)),""))</f>
        <v/>
      </c>
      <c r="AC395" s="36" t="n"/>
      <c r="AD395" s="37" t="n"/>
      <c r="AE395" s="38" t="n"/>
      <c r="AF395" s="118">
        <f>IF(OR($B395="",$C395=""),"",$C395-$B395+1)</f>
        <v/>
      </c>
      <c r="AG395" s="74" t="n"/>
      <c r="AH395" s="36" t="n"/>
      <c r="AJ395">
        <f>IF($K395="","",", "&amp;$K395)</f>
        <v/>
      </c>
      <c r="AK395">
        <f>AJ395&amp;IF($L395="","",", "&amp;$L395)</f>
        <v/>
      </c>
      <c r="AL395">
        <f>AK395&amp;IF($M395="","",", "&amp;$M395)</f>
        <v/>
      </c>
      <c r="AM395">
        <f>AL395&amp;IF($N395="","",", "&amp;$N395)</f>
        <v/>
      </c>
      <c r="AN395">
        <f>AM395&amp;IF($O395="","",", "&amp;$O395)</f>
        <v/>
      </c>
      <c r="AO395">
        <f>AN395&amp;IF($P395="","",", "&amp;$P395)</f>
        <v/>
      </c>
      <c r="AP395">
        <f>AO395&amp;IF($Q395="","",", "&amp;$Q395)</f>
        <v/>
      </c>
      <c r="AQ395">
        <f>AP395&amp;IF($R395="","",", "&amp;$R395)</f>
        <v/>
      </c>
      <c r="AR395">
        <f>AQ395&amp;IF($S395="","",", "&amp;$S395)</f>
        <v/>
      </c>
      <c r="AS395">
        <f>AR395&amp;IF($T395="","",", "&amp;$T395)</f>
        <v/>
      </c>
      <c r="AT395">
        <f>AS395&amp;IF($U395="","",", "&amp;$U395)</f>
        <v/>
      </c>
      <c r="AU395">
        <f>AT395&amp;IF($V395="","",", "&amp;$V395)</f>
        <v/>
      </c>
      <c r="AV395">
        <f>AU395&amp;IF($W395="","",", "&amp;$W395)</f>
        <v/>
      </c>
      <c r="AW395">
        <f>AV395&amp;IF($X395="","",", "&amp;$X395)</f>
        <v/>
      </c>
      <c r="AX395">
        <f>AW395&amp;IF($Y395="","",", "&amp;$Y395)</f>
        <v/>
      </c>
    </row>
    <row r="396">
      <c r="A396" s="118">
        <f>IF($B396="","",COUNT($B$5:$B396))</f>
        <v/>
      </c>
      <c r="B396" s="80" t="n"/>
      <c r="C396" s="80" t="n"/>
      <c r="D396" s="74" t="n"/>
      <c r="E396" s="74" t="n"/>
      <c r="F396" s="74" t="n"/>
      <c r="G396" s="118">
        <f>IF($F396="","",COUNTIF($F$5:$F396,$F396))</f>
        <v/>
      </c>
      <c r="H396" s="33">
        <f>IF($F396="","",IFERROR(INDEX(사건마스터!$B$5:$B$64,MATCH($F396,사건마스터!$A$5:$A$64,0)),""))</f>
        <v/>
      </c>
      <c r="I396" s="130">
        <f>IF($F396="","",IFERROR(INDEX(사건마스터!$C$5:$C$64,MATCH($F396,사건마스터!$A$5:$A$64,0)),""))</f>
        <v/>
      </c>
      <c r="J396" s="136">
        <f>IF($F396="","",IFERROR(INDEX(사건마스터!$H$5:$H$64,MATCH($F396,사건마스터!$A$5:$A$64,0)),""))</f>
        <v/>
      </c>
      <c r="K396" s="136">
        <f>IF($F396="","",IFERROR(INDEX(사건마스터!$AH$5:$AH$64,MATCH($F396,사건마스터!$A$5:$A$64,0)),""))</f>
        <v/>
      </c>
      <c r="L396" s="136">
        <f>IF($F396="","",IFERROR(INDEX(사건마스터!$AI$5:$AI$64,MATCH($F396,사건마스터!$A$5:$A$64,0)),""))</f>
        <v/>
      </c>
      <c r="M396" s="136">
        <f>IF($F396="","",IFERROR(INDEX(사건마스터!$AJ$5:$AJ$64,MATCH($F396,사건마스터!$A$5:$A$64,0)),""))</f>
        <v/>
      </c>
      <c r="N396" s="136">
        <f>IF($F396="","",IFERROR(INDEX(사건마스터!$AK$5:$AK$64,MATCH($F396,사건마스터!$A$5:$A$64,0)),""))</f>
        <v/>
      </c>
      <c r="O396" s="136">
        <f>IF($F396="","",IFERROR(INDEX(사건마스터!$AL$5:$AL$64,MATCH($F396,사건마스터!$A$5:$A$64,0)),""))</f>
        <v/>
      </c>
      <c r="P396" s="136">
        <f>IF($F396="","",IFERROR(INDEX(사건마스터!$AM$5:$AM$64,MATCH($F396,사건마스터!$A$5:$A$64,0)),""))</f>
        <v/>
      </c>
      <c r="Q396" s="136">
        <f>IF($F396="","",IFERROR(INDEX(사건마스터!$AN$5:$AN$64,MATCH($F396,사건마스터!$A$5:$A$64,0)),""))</f>
        <v/>
      </c>
      <c r="R396" s="136">
        <f>IF($F396="","",IFERROR(INDEX(사건마스터!$AO$5:$AO$64,MATCH($F396,사건마스터!$A$5:$A$64,0)),""))</f>
        <v/>
      </c>
      <c r="S396" s="136">
        <f>IF($F396="","",IFERROR(INDEX(사건마스터!$AP$5:$AP$64,MATCH($F396,사건마스터!$A$5:$A$64,0)),""))</f>
        <v/>
      </c>
      <c r="T396" s="136">
        <f>IF($F396="","",IFERROR(INDEX(사건마스터!$AQ$5:$AQ$64,MATCH($F396,사건마스터!$A$5:$A$64,0)),""))</f>
        <v/>
      </c>
      <c r="U396" s="136">
        <f>IF($F396="","",IFERROR(INDEX(사건마스터!$AR$5:$AR$64,MATCH($F396,사건마스터!$A$5:$A$64,0)),""))</f>
        <v/>
      </c>
      <c r="V396" s="136">
        <f>IF($F396="","",IFERROR(INDEX(사건마스터!$AS$5:$AS$64,MATCH($F396,사건마스터!$A$5:$A$64,0)),""))</f>
        <v/>
      </c>
      <c r="W396" s="136">
        <f>IF($F396="","",IFERROR(INDEX(사건마스터!$AT$5:$AT$64,MATCH($F396,사건마스터!$A$5:$A$64,0)),""))</f>
        <v/>
      </c>
      <c r="X396" s="136">
        <f>IF($F396="","",IFERROR(INDEX(사건마스터!$AU$5:$AU$64,MATCH($F396,사건마스터!$A$5:$A$64,0)),""))</f>
        <v/>
      </c>
      <c r="Y396" s="136">
        <f>IF($F396="","",IFERROR(INDEX(사건마스터!$AV$5:$AV$64,MATCH($F396,사건마스터!$A$5:$A$64,0)),""))</f>
        <v/>
      </c>
      <c r="Z396" s="118">
        <f>IF(COUNTBLANK($J396:$Y396)=16,"",16-COUNTBLANK($J396:$Y396))</f>
        <v/>
      </c>
      <c r="AA396" s="33">
        <f>IF($J396="",MID($AX396,3,255),$J396&amp;$AX396)</f>
        <v/>
      </c>
      <c r="AB396" s="130">
        <f>IF($J396="","",IFERROR(INDEX(코드설정!$D$5:$D$24,MATCH($J396,코드설정!$C$5:$C$24,0)),""))</f>
        <v/>
      </c>
      <c r="AC396" s="36" t="n"/>
      <c r="AD396" s="37" t="n"/>
      <c r="AE396" s="38" t="n"/>
      <c r="AF396" s="118">
        <f>IF(OR($B396="",$C396=""),"",$C396-$B396+1)</f>
        <v/>
      </c>
      <c r="AG396" s="74" t="n"/>
      <c r="AH396" s="36" t="n"/>
      <c r="AJ396">
        <f>IF($K396="","",", "&amp;$K396)</f>
        <v/>
      </c>
      <c r="AK396">
        <f>AJ396&amp;IF($L396="","",", "&amp;$L396)</f>
        <v/>
      </c>
      <c r="AL396">
        <f>AK396&amp;IF($M396="","",", "&amp;$M396)</f>
        <v/>
      </c>
      <c r="AM396">
        <f>AL396&amp;IF($N396="","",", "&amp;$N396)</f>
        <v/>
      </c>
      <c r="AN396">
        <f>AM396&amp;IF($O396="","",", "&amp;$O396)</f>
        <v/>
      </c>
      <c r="AO396">
        <f>AN396&amp;IF($P396="","",", "&amp;$P396)</f>
        <v/>
      </c>
      <c r="AP396">
        <f>AO396&amp;IF($Q396="","",", "&amp;$Q396)</f>
        <v/>
      </c>
      <c r="AQ396">
        <f>AP396&amp;IF($R396="","",", "&amp;$R396)</f>
        <v/>
      </c>
      <c r="AR396">
        <f>AQ396&amp;IF($S396="","",", "&amp;$S396)</f>
        <v/>
      </c>
      <c r="AS396">
        <f>AR396&amp;IF($T396="","",", "&amp;$T396)</f>
        <v/>
      </c>
      <c r="AT396">
        <f>AS396&amp;IF($U396="","",", "&amp;$U396)</f>
        <v/>
      </c>
      <c r="AU396">
        <f>AT396&amp;IF($V396="","",", "&amp;$V396)</f>
        <v/>
      </c>
      <c r="AV396">
        <f>AU396&amp;IF($W396="","",", "&amp;$W396)</f>
        <v/>
      </c>
      <c r="AW396">
        <f>AV396&amp;IF($X396="","",", "&amp;$X396)</f>
        <v/>
      </c>
      <c r="AX396">
        <f>AW396&amp;IF($Y396="","",", "&amp;$Y396)</f>
        <v/>
      </c>
    </row>
    <row r="397">
      <c r="A397" s="118">
        <f>IF($B397="","",COUNT($B$5:$B397))</f>
        <v/>
      </c>
      <c r="B397" s="80" t="n"/>
      <c r="C397" s="80" t="n"/>
      <c r="D397" s="74" t="n"/>
      <c r="E397" s="74" t="n"/>
      <c r="F397" s="74" t="n"/>
      <c r="G397" s="118">
        <f>IF($F397="","",COUNTIF($F$5:$F397,$F397))</f>
        <v/>
      </c>
      <c r="H397" s="33">
        <f>IF($F397="","",IFERROR(INDEX(사건마스터!$B$5:$B$64,MATCH($F397,사건마스터!$A$5:$A$64,0)),""))</f>
        <v/>
      </c>
      <c r="I397" s="130">
        <f>IF($F397="","",IFERROR(INDEX(사건마스터!$C$5:$C$64,MATCH($F397,사건마스터!$A$5:$A$64,0)),""))</f>
        <v/>
      </c>
      <c r="J397" s="136">
        <f>IF($F397="","",IFERROR(INDEX(사건마스터!$H$5:$H$64,MATCH($F397,사건마스터!$A$5:$A$64,0)),""))</f>
        <v/>
      </c>
      <c r="K397" s="136">
        <f>IF($F397="","",IFERROR(INDEX(사건마스터!$AH$5:$AH$64,MATCH($F397,사건마스터!$A$5:$A$64,0)),""))</f>
        <v/>
      </c>
      <c r="L397" s="136">
        <f>IF($F397="","",IFERROR(INDEX(사건마스터!$AI$5:$AI$64,MATCH($F397,사건마스터!$A$5:$A$64,0)),""))</f>
        <v/>
      </c>
      <c r="M397" s="136">
        <f>IF($F397="","",IFERROR(INDEX(사건마스터!$AJ$5:$AJ$64,MATCH($F397,사건마스터!$A$5:$A$64,0)),""))</f>
        <v/>
      </c>
      <c r="N397" s="136">
        <f>IF($F397="","",IFERROR(INDEX(사건마스터!$AK$5:$AK$64,MATCH($F397,사건마스터!$A$5:$A$64,0)),""))</f>
        <v/>
      </c>
      <c r="O397" s="136">
        <f>IF($F397="","",IFERROR(INDEX(사건마스터!$AL$5:$AL$64,MATCH($F397,사건마스터!$A$5:$A$64,0)),""))</f>
        <v/>
      </c>
      <c r="P397" s="136">
        <f>IF($F397="","",IFERROR(INDEX(사건마스터!$AM$5:$AM$64,MATCH($F397,사건마스터!$A$5:$A$64,0)),""))</f>
        <v/>
      </c>
      <c r="Q397" s="136">
        <f>IF($F397="","",IFERROR(INDEX(사건마스터!$AN$5:$AN$64,MATCH($F397,사건마스터!$A$5:$A$64,0)),""))</f>
        <v/>
      </c>
      <c r="R397" s="136">
        <f>IF($F397="","",IFERROR(INDEX(사건마스터!$AO$5:$AO$64,MATCH($F397,사건마스터!$A$5:$A$64,0)),""))</f>
        <v/>
      </c>
      <c r="S397" s="136">
        <f>IF($F397="","",IFERROR(INDEX(사건마스터!$AP$5:$AP$64,MATCH($F397,사건마스터!$A$5:$A$64,0)),""))</f>
        <v/>
      </c>
      <c r="T397" s="136">
        <f>IF($F397="","",IFERROR(INDEX(사건마스터!$AQ$5:$AQ$64,MATCH($F397,사건마스터!$A$5:$A$64,0)),""))</f>
        <v/>
      </c>
      <c r="U397" s="136">
        <f>IF($F397="","",IFERROR(INDEX(사건마스터!$AR$5:$AR$64,MATCH($F397,사건마스터!$A$5:$A$64,0)),""))</f>
        <v/>
      </c>
      <c r="V397" s="136">
        <f>IF($F397="","",IFERROR(INDEX(사건마스터!$AS$5:$AS$64,MATCH($F397,사건마스터!$A$5:$A$64,0)),""))</f>
        <v/>
      </c>
      <c r="W397" s="136">
        <f>IF($F397="","",IFERROR(INDEX(사건마스터!$AT$5:$AT$64,MATCH($F397,사건마스터!$A$5:$A$64,0)),""))</f>
        <v/>
      </c>
      <c r="X397" s="136">
        <f>IF($F397="","",IFERROR(INDEX(사건마스터!$AU$5:$AU$64,MATCH($F397,사건마스터!$A$5:$A$64,0)),""))</f>
        <v/>
      </c>
      <c r="Y397" s="136">
        <f>IF($F397="","",IFERROR(INDEX(사건마스터!$AV$5:$AV$64,MATCH($F397,사건마스터!$A$5:$A$64,0)),""))</f>
        <v/>
      </c>
      <c r="Z397" s="118">
        <f>IF(COUNTBLANK($J397:$Y397)=16,"",16-COUNTBLANK($J397:$Y397))</f>
        <v/>
      </c>
      <c r="AA397" s="33">
        <f>IF($J397="",MID($AX397,3,255),$J397&amp;$AX397)</f>
        <v/>
      </c>
      <c r="AB397" s="130">
        <f>IF($J397="","",IFERROR(INDEX(코드설정!$D$5:$D$24,MATCH($J397,코드설정!$C$5:$C$24,0)),""))</f>
        <v/>
      </c>
      <c r="AC397" s="36" t="n"/>
      <c r="AD397" s="37" t="n"/>
      <c r="AE397" s="38" t="n"/>
      <c r="AF397" s="118">
        <f>IF(OR($B397="",$C397=""),"",$C397-$B397+1)</f>
        <v/>
      </c>
      <c r="AG397" s="74" t="n"/>
      <c r="AH397" s="36" t="n"/>
      <c r="AJ397">
        <f>IF($K397="","",", "&amp;$K397)</f>
        <v/>
      </c>
      <c r="AK397">
        <f>AJ397&amp;IF($L397="","",", "&amp;$L397)</f>
        <v/>
      </c>
      <c r="AL397">
        <f>AK397&amp;IF($M397="","",", "&amp;$M397)</f>
        <v/>
      </c>
      <c r="AM397">
        <f>AL397&amp;IF($N397="","",", "&amp;$N397)</f>
        <v/>
      </c>
      <c r="AN397">
        <f>AM397&amp;IF($O397="","",", "&amp;$O397)</f>
        <v/>
      </c>
      <c r="AO397">
        <f>AN397&amp;IF($P397="","",", "&amp;$P397)</f>
        <v/>
      </c>
      <c r="AP397">
        <f>AO397&amp;IF($Q397="","",", "&amp;$Q397)</f>
        <v/>
      </c>
      <c r="AQ397">
        <f>AP397&amp;IF($R397="","",", "&amp;$R397)</f>
        <v/>
      </c>
      <c r="AR397">
        <f>AQ397&amp;IF($S397="","",", "&amp;$S397)</f>
        <v/>
      </c>
      <c r="AS397">
        <f>AR397&amp;IF($T397="","",", "&amp;$T397)</f>
        <v/>
      </c>
      <c r="AT397">
        <f>AS397&amp;IF($U397="","",", "&amp;$U397)</f>
        <v/>
      </c>
      <c r="AU397">
        <f>AT397&amp;IF($V397="","",", "&amp;$V397)</f>
        <v/>
      </c>
      <c r="AV397">
        <f>AU397&amp;IF($W397="","",", "&amp;$W397)</f>
        <v/>
      </c>
      <c r="AW397">
        <f>AV397&amp;IF($X397="","",", "&amp;$X397)</f>
        <v/>
      </c>
      <c r="AX397">
        <f>AW397&amp;IF($Y397="","",", "&amp;$Y397)</f>
        <v/>
      </c>
    </row>
    <row r="398">
      <c r="A398" s="118">
        <f>IF($B398="","",COUNT($B$5:$B398))</f>
        <v/>
      </c>
      <c r="B398" s="80" t="n"/>
      <c r="C398" s="80" t="n"/>
      <c r="D398" s="74" t="n"/>
      <c r="E398" s="74" t="n"/>
      <c r="F398" s="74" t="n"/>
      <c r="G398" s="118">
        <f>IF($F398="","",COUNTIF($F$5:$F398,$F398))</f>
        <v/>
      </c>
      <c r="H398" s="33">
        <f>IF($F398="","",IFERROR(INDEX(사건마스터!$B$5:$B$64,MATCH($F398,사건마스터!$A$5:$A$64,0)),""))</f>
        <v/>
      </c>
      <c r="I398" s="130">
        <f>IF($F398="","",IFERROR(INDEX(사건마스터!$C$5:$C$64,MATCH($F398,사건마스터!$A$5:$A$64,0)),""))</f>
        <v/>
      </c>
      <c r="J398" s="136">
        <f>IF($F398="","",IFERROR(INDEX(사건마스터!$H$5:$H$64,MATCH($F398,사건마스터!$A$5:$A$64,0)),""))</f>
        <v/>
      </c>
      <c r="K398" s="136">
        <f>IF($F398="","",IFERROR(INDEX(사건마스터!$AH$5:$AH$64,MATCH($F398,사건마스터!$A$5:$A$64,0)),""))</f>
        <v/>
      </c>
      <c r="L398" s="136">
        <f>IF($F398="","",IFERROR(INDEX(사건마스터!$AI$5:$AI$64,MATCH($F398,사건마스터!$A$5:$A$64,0)),""))</f>
        <v/>
      </c>
      <c r="M398" s="136">
        <f>IF($F398="","",IFERROR(INDEX(사건마스터!$AJ$5:$AJ$64,MATCH($F398,사건마스터!$A$5:$A$64,0)),""))</f>
        <v/>
      </c>
      <c r="N398" s="136">
        <f>IF($F398="","",IFERROR(INDEX(사건마스터!$AK$5:$AK$64,MATCH($F398,사건마스터!$A$5:$A$64,0)),""))</f>
        <v/>
      </c>
      <c r="O398" s="136">
        <f>IF($F398="","",IFERROR(INDEX(사건마스터!$AL$5:$AL$64,MATCH($F398,사건마스터!$A$5:$A$64,0)),""))</f>
        <v/>
      </c>
      <c r="P398" s="136">
        <f>IF($F398="","",IFERROR(INDEX(사건마스터!$AM$5:$AM$64,MATCH($F398,사건마스터!$A$5:$A$64,0)),""))</f>
        <v/>
      </c>
      <c r="Q398" s="136">
        <f>IF($F398="","",IFERROR(INDEX(사건마스터!$AN$5:$AN$64,MATCH($F398,사건마스터!$A$5:$A$64,0)),""))</f>
        <v/>
      </c>
      <c r="R398" s="136">
        <f>IF($F398="","",IFERROR(INDEX(사건마스터!$AO$5:$AO$64,MATCH($F398,사건마스터!$A$5:$A$64,0)),""))</f>
        <v/>
      </c>
      <c r="S398" s="136">
        <f>IF($F398="","",IFERROR(INDEX(사건마스터!$AP$5:$AP$64,MATCH($F398,사건마스터!$A$5:$A$64,0)),""))</f>
        <v/>
      </c>
      <c r="T398" s="136">
        <f>IF($F398="","",IFERROR(INDEX(사건마스터!$AQ$5:$AQ$64,MATCH($F398,사건마스터!$A$5:$A$64,0)),""))</f>
        <v/>
      </c>
      <c r="U398" s="136">
        <f>IF($F398="","",IFERROR(INDEX(사건마스터!$AR$5:$AR$64,MATCH($F398,사건마스터!$A$5:$A$64,0)),""))</f>
        <v/>
      </c>
      <c r="V398" s="136">
        <f>IF($F398="","",IFERROR(INDEX(사건마스터!$AS$5:$AS$64,MATCH($F398,사건마스터!$A$5:$A$64,0)),""))</f>
        <v/>
      </c>
      <c r="W398" s="136">
        <f>IF($F398="","",IFERROR(INDEX(사건마스터!$AT$5:$AT$64,MATCH($F398,사건마스터!$A$5:$A$64,0)),""))</f>
        <v/>
      </c>
      <c r="X398" s="136">
        <f>IF($F398="","",IFERROR(INDEX(사건마스터!$AU$5:$AU$64,MATCH($F398,사건마스터!$A$5:$A$64,0)),""))</f>
        <v/>
      </c>
      <c r="Y398" s="136">
        <f>IF($F398="","",IFERROR(INDEX(사건마스터!$AV$5:$AV$64,MATCH($F398,사건마스터!$A$5:$A$64,0)),""))</f>
        <v/>
      </c>
      <c r="Z398" s="118">
        <f>IF(COUNTBLANK($J398:$Y398)=16,"",16-COUNTBLANK($J398:$Y398))</f>
        <v/>
      </c>
      <c r="AA398" s="33">
        <f>IF($J398="",MID($AX398,3,255),$J398&amp;$AX398)</f>
        <v/>
      </c>
      <c r="AB398" s="130">
        <f>IF($J398="","",IFERROR(INDEX(코드설정!$D$5:$D$24,MATCH($J398,코드설정!$C$5:$C$24,0)),""))</f>
        <v/>
      </c>
      <c r="AC398" s="36" t="n"/>
      <c r="AD398" s="37" t="n"/>
      <c r="AE398" s="38" t="n"/>
      <c r="AF398" s="118">
        <f>IF(OR($B398="",$C398=""),"",$C398-$B398+1)</f>
        <v/>
      </c>
      <c r="AG398" s="74" t="n"/>
      <c r="AH398" s="36" t="n"/>
      <c r="AJ398">
        <f>IF($K398="","",", "&amp;$K398)</f>
        <v/>
      </c>
      <c r="AK398">
        <f>AJ398&amp;IF($L398="","",", "&amp;$L398)</f>
        <v/>
      </c>
      <c r="AL398">
        <f>AK398&amp;IF($M398="","",", "&amp;$M398)</f>
        <v/>
      </c>
      <c r="AM398">
        <f>AL398&amp;IF($N398="","",", "&amp;$N398)</f>
        <v/>
      </c>
      <c r="AN398">
        <f>AM398&amp;IF($O398="","",", "&amp;$O398)</f>
        <v/>
      </c>
      <c r="AO398">
        <f>AN398&amp;IF($P398="","",", "&amp;$P398)</f>
        <v/>
      </c>
      <c r="AP398">
        <f>AO398&amp;IF($Q398="","",", "&amp;$Q398)</f>
        <v/>
      </c>
      <c r="AQ398">
        <f>AP398&amp;IF($R398="","",", "&amp;$R398)</f>
        <v/>
      </c>
      <c r="AR398">
        <f>AQ398&amp;IF($S398="","",", "&amp;$S398)</f>
        <v/>
      </c>
      <c r="AS398">
        <f>AR398&amp;IF($T398="","",", "&amp;$T398)</f>
        <v/>
      </c>
      <c r="AT398">
        <f>AS398&amp;IF($U398="","",", "&amp;$U398)</f>
        <v/>
      </c>
      <c r="AU398">
        <f>AT398&amp;IF($V398="","",", "&amp;$V398)</f>
        <v/>
      </c>
      <c r="AV398">
        <f>AU398&amp;IF($W398="","",", "&amp;$W398)</f>
        <v/>
      </c>
      <c r="AW398">
        <f>AV398&amp;IF($X398="","",", "&amp;$X398)</f>
        <v/>
      </c>
      <c r="AX398">
        <f>AW398&amp;IF($Y398="","",", "&amp;$Y398)</f>
        <v/>
      </c>
    </row>
    <row r="399">
      <c r="A399" s="118">
        <f>IF($B399="","",COUNT($B$5:$B399))</f>
        <v/>
      </c>
      <c r="B399" s="80" t="n"/>
      <c r="C399" s="80" t="n"/>
      <c r="D399" s="74" t="n"/>
      <c r="E399" s="74" t="n"/>
      <c r="F399" s="74" t="n"/>
      <c r="G399" s="118">
        <f>IF($F399="","",COUNTIF($F$5:$F399,$F399))</f>
        <v/>
      </c>
      <c r="H399" s="33">
        <f>IF($F399="","",IFERROR(INDEX(사건마스터!$B$5:$B$64,MATCH($F399,사건마스터!$A$5:$A$64,0)),""))</f>
        <v/>
      </c>
      <c r="I399" s="130">
        <f>IF($F399="","",IFERROR(INDEX(사건마스터!$C$5:$C$64,MATCH($F399,사건마스터!$A$5:$A$64,0)),""))</f>
        <v/>
      </c>
      <c r="J399" s="136">
        <f>IF($F399="","",IFERROR(INDEX(사건마스터!$H$5:$H$64,MATCH($F399,사건마스터!$A$5:$A$64,0)),""))</f>
        <v/>
      </c>
      <c r="K399" s="136">
        <f>IF($F399="","",IFERROR(INDEX(사건마스터!$AH$5:$AH$64,MATCH($F399,사건마스터!$A$5:$A$64,0)),""))</f>
        <v/>
      </c>
      <c r="L399" s="136">
        <f>IF($F399="","",IFERROR(INDEX(사건마스터!$AI$5:$AI$64,MATCH($F399,사건마스터!$A$5:$A$64,0)),""))</f>
        <v/>
      </c>
      <c r="M399" s="136">
        <f>IF($F399="","",IFERROR(INDEX(사건마스터!$AJ$5:$AJ$64,MATCH($F399,사건마스터!$A$5:$A$64,0)),""))</f>
        <v/>
      </c>
      <c r="N399" s="136">
        <f>IF($F399="","",IFERROR(INDEX(사건마스터!$AK$5:$AK$64,MATCH($F399,사건마스터!$A$5:$A$64,0)),""))</f>
        <v/>
      </c>
      <c r="O399" s="136">
        <f>IF($F399="","",IFERROR(INDEX(사건마스터!$AL$5:$AL$64,MATCH($F399,사건마스터!$A$5:$A$64,0)),""))</f>
        <v/>
      </c>
      <c r="P399" s="136">
        <f>IF($F399="","",IFERROR(INDEX(사건마스터!$AM$5:$AM$64,MATCH($F399,사건마스터!$A$5:$A$64,0)),""))</f>
        <v/>
      </c>
      <c r="Q399" s="136">
        <f>IF($F399="","",IFERROR(INDEX(사건마스터!$AN$5:$AN$64,MATCH($F399,사건마스터!$A$5:$A$64,0)),""))</f>
        <v/>
      </c>
      <c r="R399" s="136">
        <f>IF($F399="","",IFERROR(INDEX(사건마스터!$AO$5:$AO$64,MATCH($F399,사건마스터!$A$5:$A$64,0)),""))</f>
        <v/>
      </c>
      <c r="S399" s="136">
        <f>IF($F399="","",IFERROR(INDEX(사건마스터!$AP$5:$AP$64,MATCH($F399,사건마스터!$A$5:$A$64,0)),""))</f>
        <v/>
      </c>
      <c r="T399" s="136">
        <f>IF($F399="","",IFERROR(INDEX(사건마스터!$AQ$5:$AQ$64,MATCH($F399,사건마스터!$A$5:$A$64,0)),""))</f>
        <v/>
      </c>
      <c r="U399" s="136">
        <f>IF($F399="","",IFERROR(INDEX(사건마스터!$AR$5:$AR$64,MATCH($F399,사건마스터!$A$5:$A$64,0)),""))</f>
        <v/>
      </c>
      <c r="V399" s="136">
        <f>IF($F399="","",IFERROR(INDEX(사건마스터!$AS$5:$AS$64,MATCH($F399,사건마스터!$A$5:$A$64,0)),""))</f>
        <v/>
      </c>
      <c r="W399" s="136">
        <f>IF($F399="","",IFERROR(INDEX(사건마스터!$AT$5:$AT$64,MATCH($F399,사건마스터!$A$5:$A$64,0)),""))</f>
        <v/>
      </c>
      <c r="X399" s="136">
        <f>IF($F399="","",IFERROR(INDEX(사건마스터!$AU$5:$AU$64,MATCH($F399,사건마스터!$A$5:$A$64,0)),""))</f>
        <v/>
      </c>
      <c r="Y399" s="136">
        <f>IF($F399="","",IFERROR(INDEX(사건마스터!$AV$5:$AV$64,MATCH($F399,사건마스터!$A$5:$A$64,0)),""))</f>
        <v/>
      </c>
      <c r="Z399" s="118">
        <f>IF(COUNTBLANK($J399:$Y399)=16,"",16-COUNTBLANK($J399:$Y399))</f>
        <v/>
      </c>
      <c r="AA399" s="33">
        <f>IF($J399="",MID($AX399,3,255),$J399&amp;$AX399)</f>
        <v/>
      </c>
      <c r="AB399" s="130">
        <f>IF($J399="","",IFERROR(INDEX(코드설정!$D$5:$D$24,MATCH($J399,코드설정!$C$5:$C$24,0)),""))</f>
        <v/>
      </c>
      <c r="AC399" s="36" t="n"/>
      <c r="AD399" s="37" t="n"/>
      <c r="AE399" s="38" t="n"/>
      <c r="AF399" s="118">
        <f>IF(OR($B399="",$C399=""),"",$C399-$B399+1)</f>
        <v/>
      </c>
      <c r="AG399" s="74" t="n"/>
      <c r="AH399" s="36" t="n"/>
      <c r="AJ399">
        <f>IF($K399="","",", "&amp;$K399)</f>
        <v/>
      </c>
      <c r="AK399">
        <f>AJ399&amp;IF($L399="","",", "&amp;$L399)</f>
        <v/>
      </c>
      <c r="AL399">
        <f>AK399&amp;IF($M399="","",", "&amp;$M399)</f>
        <v/>
      </c>
      <c r="AM399">
        <f>AL399&amp;IF($N399="","",", "&amp;$N399)</f>
        <v/>
      </c>
      <c r="AN399">
        <f>AM399&amp;IF($O399="","",", "&amp;$O399)</f>
        <v/>
      </c>
      <c r="AO399">
        <f>AN399&amp;IF($P399="","",", "&amp;$P399)</f>
        <v/>
      </c>
      <c r="AP399">
        <f>AO399&amp;IF($Q399="","",", "&amp;$Q399)</f>
        <v/>
      </c>
      <c r="AQ399">
        <f>AP399&amp;IF($R399="","",", "&amp;$R399)</f>
        <v/>
      </c>
      <c r="AR399">
        <f>AQ399&amp;IF($S399="","",", "&amp;$S399)</f>
        <v/>
      </c>
      <c r="AS399">
        <f>AR399&amp;IF($T399="","",", "&amp;$T399)</f>
        <v/>
      </c>
      <c r="AT399">
        <f>AS399&amp;IF($U399="","",", "&amp;$U399)</f>
        <v/>
      </c>
      <c r="AU399">
        <f>AT399&amp;IF($V399="","",", "&amp;$V399)</f>
        <v/>
      </c>
      <c r="AV399">
        <f>AU399&amp;IF($W399="","",", "&amp;$W399)</f>
        <v/>
      </c>
      <c r="AW399">
        <f>AV399&amp;IF($X399="","",", "&amp;$X399)</f>
        <v/>
      </c>
      <c r="AX399">
        <f>AW399&amp;IF($Y399="","",", "&amp;$Y399)</f>
        <v/>
      </c>
    </row>
    <row r="400">
      <c r="A400" s="118">
        <f>IF($B400="","",COUNT($B$5:$B400))</f>
        <v/>
      </c>
      <c r="B400" s="80" t="n"/>
      <c r="C400" s="80" t="n"/>
      <c r="D400" s="74" t="n"/>
      <c r="E400" s="74" t="n"/>
      <c r="F400" s="74" t="n"/>
      <c r="G400" s="118">
        <f>IF($F400="","",COUNTIF($F$5:$F400,$F400))</f>
        <v/>
      </c>
      <c r="H400" s="33">
        <f>IF($F400="","",IFERROR(INDEX(사건마스터!$B$5:$B$64,MATCH($F400,사건마스터!$A$5:$A$64,0)),""))</f>
        <v/>
      </c>
      <c r="I400" s="130">
        <f>IF($F400="","",IFERROR(INDEX(사건마스터!$C$5:$C$64,MATCH($F400,사건마스터!$A$5:$A$64,0)),""))</f>
        <v/>
      </c>
      <c r="J400" s="136">
        <f>IF($F400="","",IFERROR(INDEX(사건마스터!$H$5:$H$64,MATCH($F400,사건마스터!$A$5:$A$64,0)),""))</f>
        <v/>
      </c>
      <c r="K400" s="136">
        <f>IF($F400="","",IFERROR(INDEX(사건마스터!$AH$5:$AH$64,MATCH($F400,사건마스터!$A$5:$A$64,0)),""))</f>
        <v/>
      </c>
      <c r="L400" s="136">
        <f>IF($F400="","",IFERROR(INDEX(사건마스터!$AI$5:$AI$64,MATCH($F400,사건마스터!$A$5:$A$64,0)),""))</f>
        <v/>
      </c>
      <c r="M400" s="136">
        <f>IF($F400="","",IFERROR(INDEX(사건마스터!$AJ$5:$AJ$64,MATCH($F400,사건마스터!$A$5:$A$64,0)),""))</f>
        <v/>
      </c>
      <c r="N400" s="136">
        <f>IF($F400="","",IFERROR(INDEX(사건마스터!$AK$5:$AK$64,MATCH($F400,사건마스터!$A$5:$A$64,0)),""))</f>
        <v/>
      </c>
      <c r="O400" s="136">
        <f>IF($F400="","",IFERROR(INDEX(사건마스터!$AL$5:$AL$64,MATCH($F400,사건마스터!$A$5:$A$64,0)),""))</f>
        <v/>
      </c>
      <c r="P400" s="136">
        <f>IF($F400="","",IFERROR(INDEX(사건마스터!$AM$5:$AM$64,MATCH($F400,사건마스터!$A$5:$A$64,0)),""))</f>
        <v/>
      </c>
      <c r="Q400" s="136">
        <f>IF($F400="","",IFERROR(INDEX(사건마스터!$AN$5:$AN$64,MATCH($F400,사건마스터!$A$5:$A$64,0)),""))</f>
        <v/>
      </c>
      <c r="R400" s="136">
        <f>IF($F400="","",IFERROR(INDEX(사건마스터!$AO$5:$AO$64,MATCH($F400,사건마스터!$A$5:$A$64,0)),""))</f>
        <v/>
      </c>
      <c r="S400" s="136">
        <f>IF($F400="","",IFERROR(INDEX(사건마스터!$AP$5:$AP$64,MATCH($F400,사건마스터!$A$5:$A$64,0)),""))</f>
        <v/>
      </c>
      <c r="T400" s="136">
        <f>IF($F400="","",IFERROR(INDEX(사건마스터!$AQ$5:$AQ$64,MATCH($F400,사건마스터!$A$5:$A$64,0)),""))</f>
        <v/>
      </c>
      <c r="U400" s="136">
        <f>IF($F400="","",IFERROR(INDEX(사건마스터!$AR$5:$AR$64,MATCH($F400,사건마스터!$A$5:$A$64,0)),""))</f>
        <v/>
      </c>
      <c r="V400" s="136">
        <f>IF($F400="","",IFERROR(INDEX(사건마스터!$AS$5:$AS$64,MATCH($F400,사건마스터!$A$5:$A$64,0)),""))</f>
        <v/>
      </c>
      <c r="W400" s="136">
        <f>IF($F400="","",IFERROR(INDEX(사건마스터!$AT$5:$AT$64,MATCH($F400,사건마스터!$A$5:$A$64,0)),""))</f>
        <v/>
      </c>
      <c r="X400" s="136">
        <f>IF($F400="","",IFERROR(INDEX(사건마스터!$AU$5:$AU$64,MATCH($F400,사건마스터!$A$5:$A$64,0)),""))</f>
        <v/>
      </c>
      <c r="Y400" s="136">
        <f>IF($F400="","",IFERROR(INDEX(사건마스터!$AV$5:$AV$64,MATCH($F400,사건마스터!$A$5:$A$64,0)),""))</f>
        <v/>
      </c>
      <c r="Z400" s="118">
        <f>IF(COUNTBLANK($J400:$Y400)=16,"",16-COUNTBLANK($J400:$Y400))</f>
        <v/>
      </c>
      <c r="AA400" s="33">
        <f>IF($J400="",MID($AX400,3,255),$J400&amp;$AX400)</f>
        <v/>
      </c>
      <c r="AB400" s="130">
        <f>IF($J400="","",IFERROR(INDEX(코드설정!$D$5:$D$24,MATCH($J400,코드설정!$C$5:$C$24,0)),""))</f>
        <v/>
      </c>
      <c r="AC400" s="36" t="n"/>
      <c r="AD400" s="37" t="n"/>
      <c r="AE400" s="38" t="n"/>
      <c r="AF400" s="118">
        <f>IF(OR($B400="",$C400=""),"",$C400-$B400+1)</f>
        <v/>
      </c>
      <c r="AG400" s="74" t="n"/>
      <c r="AH400" s="36" t="n"/>
      <c r="AJ400">
        <f>IF($K400="","",", "&amp;$K400)</f>
        <v/>
      </c>
      <c r="AK400">
        <f>AJ400&amp;IF($L400="","",", "&amp;$L400)</f>
        <v/>
      </c>
      <c r="AL400">
        <f>AK400&amp;IF($M400="","",", "&amp;$M400)</f>
        <v/>
      </c>
      <c r="AM400">
        <f>AL400&amp;IF($N400="","",", "&amp;$N400)</f>
        <v/>
      </c>
      <c r="AN400">
        <f>AM400&amp;IF($O400="","",", "&amp;$O400)</f>
        <v/>
      </c>
      <c r="AO400">
        <f>AN400&amp;IF($P400="","",", "&amp;$P400)</f>
        <v/>
      </c>
      <c r="AP400">
        <f>AO400&amp;IF($Q400="","",", "&amp;$Q400)</f>
        <v/>
      </c>
      <c r="AQ400">
        <f>AP400&amp;IF($R400="","",", "&amp;$R400)</f>
        <v/>
      </c>
      <c r="AR400">
        <f>AQ400&amp;IF($S400="","",", "&amp;$S400)</f>
        <v/>
      </c>
      <c r="AS400">
        <f>AR400&amp;IF($T400="","",", "&amp;$T400)</f>
        <v/>
      </c>
      <c r="AT400">
        <f>AS400&amp;IF($U400="","",", "&amp;$U400)</f>
        <v/>
      </c>
      <c r="AU400">
        <f>AT400&amp;IF($V400="","",", "&amp;$V400)</f>
        <v/>
      </c>
      <c r="AV400">
        <f>AU400&amp;IF($W400="","",", "&amp;$W400)</f>
        <v/>
      </c>
      <c r="AW400">
        <f>AV400&amp;IF($X400="","",", "&amp;$X400)</f>
        <v/>
      </c>
      <c r="AX400">
        <f>AW400&amp;IF($Y400="","",", "&amp;$Y400)</f>
        <v/>
      </c>
    </row>
    <row r="401">
      <c r="A401" s="118">
        <f>IF($B401="","",COUNT($B$5:$B401))</f>
        <v/>
      </c>
      <c r="B401" s="80" t="n"/>
      <c r="C401" s="80" t="n"/>
      <c r="D401" s="74" t="n"/>
      <c r="E401" s="74" t="n"/>
      <c r="F401" s="74" t="n"/>
      <c r="G401" s="118">
        <f>IF($F401="","",COUNTIF($F$5:$F401,$F401))</f>
        <v/>
      </c>
      <c r="H401" s="33">
        <f>IF($F401="","",IFERROR(INDEX(사건마스터!$B$5:$B$64,MATCH($F401,사건마스터!$A$5:$A$64,0)),""))</f>
        <v/>
      </c>
      <c r="I401" s="130">
        <f>IF($F401="","",IFERROR(INDEX(사건마스터!$C$5:$C$64,MATCH($F401,사건마스터!$A$5:$A$64,0)),""))</f>
        <v/>
      </c>
      <c r="J401" s="136">
        <f>IF($F401="","",IFERROR(INDEX(사건마스터!$H$5:$H$64,MATCH($F401,사건마스터!$A$5:$A$64,0)),""))</f>
        <v/>
      </c>
      <c r="K401" s="136">
        <f>IF($F401="","",IFERROR(INDEX(사건마스터!$AH$5:$AH$64,MATCH($F401,사건마스터!$A$5:$A$64,0)),""))</f>
        <v/>
      </c>
      <c r="L401" s="136">
        <f>IF($F401="","",IFERROR(INDEX(사건마스터!$AI$5:$AI$64,MATCH($F401,사건마스터!$A$5:$A$64,0)),""))</f>
        <v/>
      </c>
      <c r="M401" s="136">
        <f>IF($F401="","",IFERROR(INDEX(사건마스터!$AJ$5:$AJ$64,MATCH($F401,사건마스터!$A$5:$A$64,0)),""))</f>
        <v/>
      </c>
      <c r="N401" s="136">
        <f>IF($F401="","",IFERROR(INDEX(사건마스터!$AK$5:$AK$64,MATCH($F401,사건마스터!$A$5:$A$64,0)),""))</f>
        <v/>
      </c>
      <c r="O401" s="136">
        <f>IF($F401="","",IFERROR(INDEX(사건마스터!$AL$5:$AL$64,MATCH($F401,사건마스터!$A$5:$A$64,0)),""))</f>
        <v/>
      </c>
      <c r="P401" s="136">
        <f>IF($F401="","",IFERROR(INDEX(사건마스터!$AM$5:$AM$64,MATCH($F401,사건마스터!$A$5:$A$64,0)),""))</f>
        <v/>
      </c>
      <c r="Q401" s="136">
        <f>IF($F401="","",IFERROR(INDEX(사건마스터!$AN$5:$AN$64,MATCH($F401,사건마스터!$A$5:$A$64,0)),""))</f>
        <v/>
      </c>
      <c r="R401" s="136">
        <f>IF($F401="","",IFERROR(INDEX(사건마스터!$AO$5:$AO$64,MATCH($F401,사건마스터!$A$5:$A$64,0)),""))</f>
        <v/>
      </c>
      <c r="S401" s="136">
        <f>IF($F401="","",IFERROR(INDEX(사건마스터!$AP$5:$AP$64,MATCH($F401,사건마스터!$A$5:$A$64,0)),""))</f>
        <v/>
      </c>
      <c r="T401" s="136">
        <f>IF($F401="","",IFERROR(INDEX(사건마스터!$AQ$5:$AQ$64,MATCH($F401,사건마스터!$A$5:$A$64,0)),""))</f>
        <v/>
      </c>
      <c r="U401" s="136">
        <f>IF($F401="","",IFERROR(INDEX(사건마스터!$AR$5:$AR$64,MATCH($F401,사건마스터!$A$5:$A$64,0)),""))</f>
        <v/>
      </c>
      <c r="V401" s="136">
        <f>IF($F401="","",IFERROR(INDEX(사건마스터!$AS$5:$AS$64,MATCH($F401,사건마스터!$A$5:$A$64,0)),""))</f>
        <v/>
      </c>
      <c r="W401" s="136">
        <f>IF($F401="","",IFERROR(INDEX(사건마스터!$AT$5:$AT$64,MATCH($F401,사건마스터!$A$5:$A$64,0)),""))</f>
        <v/>
      </c>
      <c r="X401" s="136">
        <f>IF($F401="","",IFERROR(INDEX(사건마스터!$AU$5:$AU$64,MATCH($F401,사건마스터!$A$5:$A$64,0)),""))</f>
        <v/>
      </c>
      <c r="Y401" s="136">
        <f>IF($F401="","",IFERROR(INDEX(사건마스터!$AV$5:$AV$64,MATCH($F401,사건마스터!$A$5:$A$64,0)),""))</f>
        <v/>
      </c>
      <c r="Z401" s="118">
        <f>IF(COUNTBLANK($J401:$Y401)=16,"",16-COUNTBLANK($J401:$Y401))</f>
        <v/>
      </c>
      <c r="AA401" s="33">
        <f>IF($J401="",MID($AX401,3,255),$J401&amp;$AX401)</f>
        <v/>
      </c>
      <c r="AB401" s="130">
        <f>IF($J401="","",IFERROR(INDEX(코드설정!$D$5:$D$24,MATCH($J401,코드설정!$C$5:$C$24,0)),""))</f>
        <v/>
      </c>
      <c r="AC401" s="36" t="n"/>
      <c r="AD401" s="37" t="n"/>
      <c r="AE401" s="38" t="n"/>
      <c r="AF401" s="118">
        <f>IF(OR($B401="",$C401=""),"",$C401-$B401+1)</f>
        <v/>
      </c>
      <c r="AG401" s="74" t="n"/>
      <c r="AH401" s="36" t="n"/>
      <c r="AJ401">
        <f>IF($K401="","",", "&amp;$K401)</f>
        <v/>
      </c>
      <c r="AK401">
        <f>AJ401&amp;IF($L401="","",", "&amp;$L401)</f>
        <v/>
      </c>
      <c r="AL401">
        <f>AK401&amp;IF($M401="","",", "&amp;$M401)</f>
        <v/>
      </c>
      <c r="AM401">
        <f>AL401&amp;IF($N401="","",", "&amp;$N401)</f>
        <v/>
      </c>
      <c r="AN401">
        <f>AM401&amp;IF($O401="","",", "&amp;$O401)</f>
        <v/>
      </c>
      <c r="AO401">
        <f>AN401&amp;IF($P401="","",", "&amp;$P401)</f>
        <v/>
      </c>
      <c r="AP401">
        <f>AO401&amp;IF($Q401="","",", "&amp;$Q401)</f>
        <v/>
      </c>
      <c r="AQ401">
        <f>AP401&amp;IF($R401="","",", "&amp;$R401)</f>
        <v/>
      </c>
      <c r="AR401">
        <f>AQ401&amp;IF($S401="","",", "&amp;$S401)</f>
        <v/>
      </c>
      <c r="AS401">
        <f>AR401&amp;IF($T401="","",", "&amp;$T401)</f>
        <v/>
      </c>
      <c r="AT401">
        <f>AS401&amp;IF($U401="","",", "&amp;$U401)</f>
        <v/>
      </c>
      <c r="AU401">
        <f>AT401&amp;IF($V401="","",", "&amp;$V401)</f>
        <v/>
      </c>
      <c r="AV401">
        <f>AU401&amp;IF($W401="","",", "&amp;$W401)</f>
        <v/>
      </c>
      <c r="AW401">
        <f>AV401&amp;IF($X401="","",", "&amp;$X401)</f>
        <v/>
      </c>
      <c r="AX401">
        <f>AW401&amp;IF($Y401="","",", "&amp;$Y401)</f>
        <v/>
      </c>
    </row>
    <row r="402">
      <c r="A402" s="118">
        <f>IF($B402="","",COUNT($B$5:$B402))</f>
        <v/>
      </c>
      <c r="B402" s="80" t="n"/>
      <c r="C402" s="80" t="n"/>
      <c r="D402" s="74" t="n"/>
      <c r="E402" s="74" t="n"/>
      <c r="F402" s="74" t="n"/>
      <c r="G402" s="118">
        <f>IF($F402="","",COUNTIF($F$5:$F402,$F402))</f>
        <v/>
      </c>
      <c r="H402" s="33">
        <f>IF($F402="","",IFERROR(INDEX(사건마스터!$B$5:$B$64,MATCH($F402,사건마스터!$A$5:$A$64,0)),""))</f>
        <v/>
      </c>
      <c r="I402" s="130">
        <f>IF($F402="","",IFERROR(INDEX(사건마스터!$C$5:$C$64,MATCH($F402,사건마스터!$A$5:$A$64,0)),""))</f>
        <v/>
      </c>
      <c r="J402" s="136">
        <f>IF($F402="","",IFERROR(INDEX(사건마스터!$H$5:$H$64,MATCH($F402,사건마스터!$A$5:$A$64,0)),""))</f>
        <v/>
      </c>
      <c r="K402" s="136">
        <f>IF($F402="","",IFERROR(INDEX(사건마스터!$AH$5:$AH$64,MATCH($F402,사건마스터!$A$5:$A$64,0)),""))</f>
        <v/>
      </c>
      <c r="L402" s="136">
        <f>IF($F402="","",IFERROR(INDEX(사건마스터!$AI$5:$AI$64,MATCH($F402,사건마스터!$A$5:$A$64,0)),""))</f>
        <v/>
      </c>
      <c r="M402" s="136">
        <f>IF($F402="","",IFERROR(INDEX(사건마스터!$AJ$5:$AJ$64,MATCH($F402,사건마스터!$A$5:$A$64,0)),""))</f>
        <v/>
      </c>
      <c r="N402" s="136">
        <f>IF($F402="","",IFERROR(INDEX(사건마스터!$AK$5:$AK$64,MATCH($F402,사건마스터!$A$5:$A$64,0)),""))</f>
        <v/>
      </c>
      <c r="O402" s="136">
        <f>IF($F402="","",IFERROR(INDEX(사건마스터!$AL$5:$AL$64,MATCH($F402,사건마스터!$A$5:$A$64,0)),""))</f>
        <v/>
      </c>
      <c r="P402" s="136">
        <f>IF($F402="","",IFERROR(INDEX(사건마스터!$AM$5:$AM$64,MATCH($F402,사건마스터!$A$5:$A$64,0)),""))</f>
        <v/>
      </c>
      <c r="Q402" s="136">
        <f>IF($F402="","",IFERROR(INDEX(사건마스터!$AN$5:$AN$64,MATCH($F402,사건마스터!$A$5:$A$64,0)),""))</f>
        <v/>
      </c>
      <c r="R402" s="136">
        <f>IF($F402="","",IFERROR(INDEX(사건마스터!$AO$5:$AO$64,MATCH($F402,사건마스터!$A$5:$A$64,0)),""))</f>
        <v/>
      </c>
      <c r="S402" s="136">
        <f>IF($F402="","",IFERROR(INDEX(사건마스터!$AP$5:$AP$64,MATCH($F402,사건마스터!$A$5:$A$64,0)),""))</f>
        <v/>
      </c>
      <c r="T402" s="136">
        <f>IF($F402="","",IFERROR(INDEX(사건마스터!$AQ$5:$AQ$64,MATCH($F402,사건마스터!$A$5:$A$64,0)),""))</f>
        <v/>
      </c>
      <c r="U402" s="136">
        <f>IF($F402="","",IFERROR(INDEX(사건마스터!$AR$5:$AR$64,MATCH($F402,사건마스터!$A$5:$A$64,0)),""))</f>
        <v/>
      </c>
      <c r="V402" s="136">
        <f>IF($F402="","",IFERROR(INDEX(사건마스터!$AS$5:$AS$64,MATCH($F402,사건마스터!$A$5:$A$64,0)),""))</f>
        <v/>
      </c>
      <c r="W402" s="136">
        <f>IF($F402="","",IFERROR(INDEX(사건마스터!$AT$5:$AT$64,MATCH($F402,사건마스터!$A$5:$A$64,0)),""))</f>
        <v/>
      </c>
      <c r="X402" s="136">
        <f>IF($F402="","",IFERROR(INDEX(사건마스터!$AU$5:$AU$64,MATCH($F402,사건마스터!$A$5:$A$64,0)),""))</f>
        <v/>
      </c>
      <c r="Y402" s="136">
        <f>IF($F402="","",IFERROR(INDEX(사건마스터!$AV$5:$AV$64,MATCH($F402,사건마스터!$A$5:$A$64,0)),""))</f>
        <v/>
      </c>
      <c r="Z402" s="118">
        <f>IF(COUNTBLANK($J402:$Y402)=16,"",16-COUNTBLANK($J402:$Y402))</f>
        <v/>
      </c>
      <c r="AA402" s="33">
        <f>IF($J402="",MID($AX402,3,255),$J402&amp;$AX402)</f>
        <v/>
      </c>
      <c r="AB402" s="130">
        <f>IF($J402="","",IFERROR(INDEX(코드설정!$D$5:$D$24,MATCH($J402,코드설정!$C$5:$C$24,0)),""))</f>
        <v/>
      </c>
      <c r="AC402" s="36" t="n"/>
      <c r="AD402" s="37" t="n"/>
      <c r="AE402" s="38" t="n"/>
      <c r="AF402" s="118">
        <f>IF(OR($B402="",$C402=""),"",$C402-$B402+1)</f>
        <v/>
      </c>
      <c r="AG402" s="74" t="n"/>
      <c r="AH402" s="36" t="n"/>
      <c r="AJ402">
        <f>IF($K402="","",", "&amp;$K402)</f>
        <v/>
      </c>
      <c r="AK402">
        <f>AJ402&amp;IF($L402="","",", "&amp;$L402)</f>
        <v/>
      </c>
      <c r="AL402">
        <f>AK402&amp;IF($M402="","",", "&amp;$M402)</f>
        <v/>
      </c>
      <c r="AM402">
        <f>AL402&amp;IF($N402="","",", "&amp;$N402)</f>
        <v/>
      </c>
      <c r="AN402">
        <f>AM402&amp;IF($O402="","",", "&amp;$O402)</f>
        <v/>
      </c>
      <c r="AO402">
        <f>AN402&amp;IF($P402="","",", "&amp;$P402)</f>
        <v/>
      </c>
      <c r="AP402">
        <f>AO402&amp;IF($Q402="","",", "&amp;$Q402)</f>
        <v/>
      </c>
      <c r="AQ402">
        <f>AP402&amp;IF($R402="","",", "&amp;$R402)</f>
        <v/>
      </c>
      <c r="AR402">
        <f>AQ402&amp;IF($S402="","",", "&amp;$S402)</f>
        <v/>
      </c>
      <c r="AS402">
        <f>AR402&amp;IF($T402="","",", "&amp;$T402)</f>
        <v/>
      </c>
      <c r="AT402">
        <f>AS402&amp;IF($U402="","",", "&amp;$U402)</f>
        <v/>
      </c>
      <c r="AU402">
        <f>AT402&amp;IF($V402="","",", "&amp;$V402)</f>
        <v/>
      </c>
      <c r="AV402">
        <f>AU402&amp;IF($W402="","",", "&amp;$W402)</f>
        <v/>
      </c>
      <c r="AW402">
        <f>AV402&amp;IF($X402="","",", "&amp;$X402)</f>
        <v/>
      </c>
      <c r="AX402">
        <f>AW402&amp;IF($Y402="","",", "&amp;$Y402)</f>
        <v/>
      </c>
    </row>
    <row r="403">
      <c r="A403" s="118">
        <f>IF($B403="","",COUNT($B$5:$B403))</f>
        <v/>
      </c>
      <c r="B403" s="80" t="n"/>
      <c r="C403" s="80" t="n"/>
      <c r="D403" s="74" t="n"/>
      <c r="E403" s="74" t="n"/>
      <c r="F403" s="74" t="n"/>
      <c r="G403" s="118">
        <f>IF($F403="","",COUNTIF($F$5:$F403,$F403))</f>
        <v/>
      </c>
      <c r="H403" s="33">
        <f>IF($F403="","",IFERROR(INDEX(사건마스터!$B$5:$B$64,MATCH($F403,사건마스터!$A$5:$A$64,0)),""))</f>
        <v/>
      </c>
      <c r="I403" s="130">
        <f>IF($F403="","",IFERROR(INDEX(사건마스터!$C$5:$C$64,MATCH($F403,사건마스터!$A$5:$A$64,0)),""))</f>
        <v/>
      </c>
      <c r="J403" s="136">
        <f>IF($F403="","",IFERROR(INDEX(사건마스터!$H$5:$H$64,MATCH($F403,사건마스터!$A$5:$A$64,0)),""))</f>
        <v/>
      </c>
      <c r="K403" s="136">
        <f>IF($F403="","",IFERROR(INDEX(사건마스터!$AH$5:$AH$64,MATCH($F403,사건마스터!$A$5:$A$64,0)),""))</f>
        <v/>
      </c>
      <c r="L403" s="136">
        <f>IF($F403="","",IFERROR(INDEX(사건마스터!$AI$5:$AI$64,MATCH($F403,사건마스터!$A$5:$A$64,0)),""))</f>
        <v/>
      </c>
      <c r="M403" s="136">
        <f>IF($F403="","",IFERROR(INDEX(사건마스터!$AJ$5:$AJ$64,MATCH($F403,사건마스터!$A$5:$A$64,0)),""))</f>
        <v/>
      </c>
      <c r="N403" s="136">
        <f>IF($F403="","",IFERROR(INDEX(사건마스터!$AK$5:$AK$64,MATCH($F403,사건마스터!$A$5:$A$64,0)),""))</f>
        <v/>
      </c>
      <c r="O403" s="136">
        <f>IF($F403="","",IFERROR(INDEX(사건마스터!$AL$5:$AL$64,MATCH($F403,사건마스터!$A$5:$A$64,0)),""))</f>
        <v/>
      </c>
      <c r="P403" s="136">
        <f>IF($F403="","",IFERROR(INDEX(사건마스터!$AM$5:$AM$64,MATCH($F403,사건마스터!$A$5:$A$64,0)),""))</f>
        <v/>
      </c>
      <c r="Q403" s="136">
        <f>IF($F403="","",IFERROR(INDEX(사건마스터!$AN$5:$AN$64,MATCH($F403,사건마스터!$A$5:$A$64,0)),""))</f>
        <v/>
      </c>
      <c r="R403" s="136">
        <f>IF($F403="","",IFERROR(INDEX(사건마스터!$AO$5:$AO$64,MATCH($F403,사건마스터!$A$5:$A$64,0)),""))</f>
        <v/>
      </c>
      <c r="S403" s="136">
        <f>IF($F403="","",IFERROR(INDEX(사건마스터!$AP$5:$AP$64,MATCH($F403,사건마스터!$A$5:$A$64,0)),""))</f>
        <v/>
      </c>
      <c r="T403" s="136">
        <f>IF($F403="","",IFERROR(INDEX(사건마스터!$AQ$5:$AQ$64,MATCH($F403,사건마스터!$A$5:$A$64,0)),""))</f>
        <v/>
      </c>
      <c r="U403" s="136">
        <f>IF($F403="","",IFERROR(INDEX(사건마스터!$AR$5:$AR$64,MATCH($F403,사건마스터!$A$5:$A$64,0)),""))</f>
        <v/>
      </c>
      <c r="V403" s="136">
        <f>IF($F403="","",IFERROR(INDEX(사건마스터!$AS$5:$AS$64,MATCH($F403,사건마스터!$A$5:$A$64,0)),""))</f>
        <v/>
      </c>
      <c r="W403" s="136">
        <f>IF($F403="","",IFERROR(INDEX(사건마스터!$AT$5:$AT$64,MATCH($F403,사건마스터!$A$5:$A$64,0)),""))</f>
        <v/>
      </c>
      <c r="X403" s="136">
        <f>IF($F403="","",IFERROR(INDEX(사건마스터!$AU$5:$AU$64,MATCH($F403,사건마스터!$A$5:$A$64,0)),""))</f>
        <v/>
      </c>
      <c r="Y403" s="136">
        <f>IF($F403="","",IFERROR(INDEX(사건마스터!$AV$5:$AV$64,MATCH($F403,사건마스터!$A$5:$A$64,0)),""))</f>
        <v/>
      </c>
      <c r="Z403" s="118">
        <f>IF(COUNTBLANK($J403:$Y403)=16,"",16-COUNTBLANK($J403:$Y403))</f>
        <v/>
      </c>
      <c r="AA403" s="33">
        <f>IF($J403="",MID($AX403,3,255),$J403&amp;$AX403)</f>
        <v/>
      </c>
      <c r="AB403" s="130">
        <f>IF($J403="","",IFERROR(INDEX(코드설정!$D$5:$D$24,MATCH($J403,코드설정!$C$5:$C$24,0)),""))</f>
        <v/>
      </c>
      <c r="AC403" s="36" t="n"/>
      <c r="AD403" s="37" t="n"/>
      <c r="AE403" s="38" t="n"/>
      <c r="AF403" s="118">
        <f>IF(OR($B403="",$C403=""),"",$C403-$B403+1)</f>
        <v/>
      </c>
      <c r="AG403" s="74" t="n"/>
      <c r="AH403" s="36" t="n"/>
      <c r="AJ403">
        <f>IF($K403="","",", "&amp;$K403)</f>
        <v/>
      </c>
      <c r="AK403">
        <f>AJ403&amp;IF($L403="","",", "&amp;$L403)</f>
        <v/>
      </c>
      <c r="AL403">
        <f>AK403&amp;IF($M403="","",", "&amp;$M403)</f>
        <v/>
      </c>
      <c r="AM403">
        <f>AL403&amp;IF($N403="","",", "&amp;$N403)</f>
        <v/>
      </c>
      <c r="AN403">
        <f>AM403&amp;IF($O403="","",", "&amp;$O403)</f>
        <v/>
      </c>
      <c r="AO403">
        <f>AN403&amp;IF($P403="","",", "&amp;$P403)</f>
        <v/>
      </c>
      <c r="AP403">
        <f>AO403&amp;IF($Q403="","",", "&amp;$Q403)</f>
        <v/>
      </c>
      <c r="AQ403">
        <f>AP403&amp;IF($R403="","",", "&amp;$R403)</f>
        <v/>
      </c>
      <c r="AR403">
        <f>AQ403&amp;IF($S403="","",", "&amp;$S403)</f>
        <v/>
      </c>
      <c r="AS403">
        <f>AR403&amp;IF($T403="","",", "&amp;$T403)</f>
        <v/>
      </c>
      <c r="AT403">
        <f>AS403&amp;IF($U403="","",", "&amp;$U403)</f>
        <v/>
      </c>
      <c r="AU403">
        <f>AT403&amp;IF($V403="","",", "&amp;$V403)</f>
        <v/>
      </c>
      <c r="AV403">
        <f>AU403&amp;IF($W403="","",", "&amp;$W403)</f>
        <v/>
      </c>
      <c r="AW403">
        <f>AV403&amp;IF($X403="","",", "&amp;$X403)</f>
        <v/>
      </c>
      <c r="AX403">
        <f>AW403&amp;IF($Y403="","",", "&amp;$Y403)</f>
        <v/>
      </c>
    </row>
    <row r="404">
      <c r="A404" s="118">
        <f>IF($B404="","",COUNT($B$5:$B404))</f>
        <v/>
      </c>
      <c r="B404" s="80" t="n"/>
      <c r="C404" s="80" t="n"/>
      <c r="D404" s="74" t="n"/>
      <c r="E404" s="74" t="n"/>
      <c r="F404" s="74" t="n"/>
      <c r="G404" s="118">
        <f>IF($F404="","",COUNTIF($F$5:$F404,$F404))</f>
        <v/>
      </c>
      <c r="H404" s="33">
        <f>IF($F404="","",IFERROR(INDEX(사건마스터!$B$5:$B$64,MATCH($F404,사건마스터!$A$5:$A$64,0)),""))</f>
        <v/>
      </c>
      <c r="I404" s="130">
        <f>IF($F404="","",IFERROR(INDEX(사건마스터!$C$5:$C$64,MATCH($F404,사건마스터!$A$5:$A$64,0)),""))</f>
        <v/>
      </c>
      <c r="J404" s="136">
        <f>IF($F404="","",IFERROR(INDEX(사건마스터!$H$5:$H$64,MATCH($F404,사건마스터!$A$5:$A$64,0)),""))</f>
        <v/>
      </c>
      <c r="K404" s="136">
        <f>IF($F404="","",IFERROR(INDEX(사건마스터!$AH$5:$AH$64,MATCH($F404,사건마스터!$A$5:$A$64,0)),""))</f>
        <v/>
      </c>
      <c r="L404" s="136">
        <f>IF($F404="","",IFERROR(INDEX(사건마스터!$AI$5:$AI$64,MATCH($F404,사건마스터!$A$5:$A$64,0)),""))</f>
        <v/>
      </c>
      <c r="M404" s="136">
        <f>IF($F404="","",IFERROR(INDEX(사건마스터!$AJ$5:$AJ$64,MATCH($F404,사건마스터!$A$5:$A$64,0)),""))</f>
        <v/>
      </c>
      <c r="N404" s="136">
        <f>IF($F404="","",IFERROR(INDEX(사건마스터!$AK$5:$AK$64,MATCH($F404,사건마스터!$A$5:$A$64,0)),""))</f>
        <v/>
      </c>
      <c r="O404" s="136">
        <f>IF($F404="","",IFERROR(INDEX(사건마스터!$AL$5:$AL$64,MATCH($F404,사건마스터!$A$5:$A$64,0)),""))</f>
        <v/>
      </c>
      <c r="P404" s="136">
        <f>IF($F404="","",IFERROR(INDEX(사건마스터!$AM$5:$AM$64,MATCH($F404,사건마스터!$A$5:$A$64,0)),""))</f>
        <v/>
      </c>
      <c r="Q404" s="136">
        <f>IF($F404="","",IFERROR(INDEX(사건마스터!$AN$5:$AN$64,MATCH($F404,사건마스터!$A$5:$A$64,0)),""))</f>
        <v/>
      </c>
      <c r="R404" s="136">
        <f>IF($F404="","",IFERROR(INDEX(사건마스터!$AO$5:$AO$64,MATCH($F404,사건마스터!$A$5:$A$64,0)),""))</f>
        <v/>
      </c>
      <c r="S404" s="136">
        <f>IF($F404="","",IFERROR(INDEX(사건마스터!$AP$5:$AP$64,MATCH($F404,사건마스터!$A$5:$A$64,0)),""))</f>
        <v/>
      </c>
      <c r="T404" s="136">
        <f>IF($F404="","",IFERROR(INDEX(사건마스터!$AQ$5:$AQ$64,MATCH($F404,사건마스터!$A$5:$A$64,0)),""))</f>
        <v/>
      </c>
      <c r="U404" s="136">
        <f>IF($F404="","",IFERROR(INDEX(사건마스터!$AR$5:$AR$64,MATCH($F404,사건마스터!$A$5:$A$64,0)),""))</f>
        <v/>
      </c>
      <c r="V404" s="136">
        <f>IF($F404="","",IFERROR(INDEX(사건마스터!$AS$5:$AS$64,MATCH($F404,사건마스터!$A$5:$A$64,0)),""))</f>
        <v/>
      </c>
      <c r="W404" s="136">
        <f>IF($F404="","",IFERROR(INDEX(사건마스터!$AT$5:$AT$64,MATCH($F404,사건마스터!$A$5:$A$64,0)),""))</f>
        <v/>
      </c>
      <c r="X404" s="136">
        <f>IF($F404="","",IFERROR(INDEX(사건마스터!$AU$5:$AU$64,MATCH($F404,사건마스터!$A$5:$A$64,0)),""))</f>
        <v/>
      </c>
      <c r="Y404" s="136">
        <f>IF($F404="","",IFERROR(INDEX(사건마스터!$AV$5:$AV$64,MATCH($F404,사건마스터!$A$5:$A$64,0)),""))</f>
        <v/>
      </c>
      <c r="Z404" s="118">
        <f>IF(COUNTBLANK($J404:$Y404)=16,"",16-COUNTBLANK($J404:$Y404))</f>
        <v/>
      </c>
      <c r="AA404" s="33">
        <f>IF($J404="",MID($AX404,3,255),$J404&amp;$AX404)</f>
        <v/>
      </c>
      <c r="AB404" s="130">
        <f>IF($J404="","",IFERROR(INDEX(코드설정!$D$5:$D$24,MATCH($J404,코드설정!$C$5:$C$24,0)),""))</f>
        <v/>
      </c>
      <c r="AC404" s="36" t="n"/>
      <c r="AD404" s="37" t="n"/>
      <c r="AE404" s="38" t="n"/>
      <c r="AF404" s="118">
        <f>IF(OR($B404="",$C404=""),"",$C404-$B404+1)</f>
        <v/>
      </c>
      <c r="AG404" s="74" t="n"/>
      <c r="AH404" s="36" t="n"/>
      <c r="AJ404">
        <f>IF($K404="","",", "&amp;$K404)</f>
        <v/>
      </c>
      <c r="AK404">
        <f>AJ404&amp;IF($L404="","",", "&amp;$L404)</f>
        <v/>
      </c>
      <c r="AL404">
        <f>AK404&amp;IF($M404="","",", "&amp;$M404)</f>
        <v/>
      </c>
      <c r="AM404">
        <f>AL404&amp;IF($N404="","",", "&amp;$N404)</f>
        <v/>
      </c>
      <c r="AN404">
        <f>AM404&amp;IF($O404="","",", "&amp;$O404)</f>
        <v/>
      </c>
      <c r="AO404">
        <f>AN404&amp;IF($P404="","",", "&amp;$P404)</f>
        <v/>
      </c>
      <c r="AP404">
        <f>AO404&amp;IF($Q404="","",", "&amp;$Q404)</f>
        <v/>
      </c>
      <c r="AQ404">
        <f>AP404&amp;IF($R404="","",", "&amp;$R404)</f>
        <v/>
      </c>
      <c r="AR404">
        <f>AQ404&amp;IF($S404="","",", "&amp;$S404)</f>
        <v/>
      </c>
      <c r="AS404">
        <f>AR404&amp;IF($T404="","",", "&amp;$T404)</f>
        <v/>
      </c>
      <c r="AT404">
        <f>AS404&amp;IF($U404="","",", "&amp;$U404)</f>
        <v/>
      </c>
      <c r="AU404">
        <f>AT404&amp;IF($V404="","",", "&amp;$V404)</f>
        <v/>
      </c>
      <c r="AV404">
        <f>AU404&amp;IF($W404="","",", "&amp;$W404)</f>
        <v/>
      </c>
      <c r="AW404">
        <f>AV404&amp;IF($X404="","",", "&amp;$X404)</f>
        <v/>
      </c>
      <c r="AX404">
        <f>AW404&amp;IF($Y404="","",", "&amp;$Y404)</f>
        <v/>
      </c>
    </row>
    <row r="405">
      <c r="A405" s="118">
        <f>IF($B405="","",COUNT($B$5:$B405))</f>
        <v/>
      </c>
      <c r="B405" s="80" t="n"/>
      <c r="C405" s="80" t="n"/>
      <c r="D405" s="74" t="n"/>
      <c r="E405" s="74" t="n"/>
      <c r="F405" s="74" t="n"/>
      <c r="G405" s="118">
        <f>IF($F405="","",COUNTIF($F$5:$F405,$F405))</f>
        <v/>
      </c>
      <c r="H405" s="33">
        <f>IF($F405="","",IFERROR(INDEX(사건마스터!$B$5:$B$64,MATCH($F405,사건마스터!$A$5:$A$64,0)),""))</f>
        <v/>
      </c>
      <c r="I405" s="130">
        <f>IF($F405="","",IFERROR(INDEX(사건마스터!$C$5:$C$64,MATCH($F405,사건마스터!$A$5:$A$64,0)),""))</f>
        <v/>
      </c>
      <c r="J405" s="136">
        <f>IF($F405="","",IFERROR(INDEX(사건마스터!$H$5:$H$64,MATCH($F405,사건마스터!$A$5:$A$64,0)),""))</f>
        <v/>
      </c>
      <c r="K405" s="136">
        <f>IF($F405="","",IFERROR(INDEX(사건마스터!$AH$5:$AH$64,MATCH($F405,사건마스터!$A$5:$A$64,0)),""))</f>
        <v/>
      </c>
      <c r="L405" s="136">
        <f>IF($F405="","",IFERROR(INDEX(사건마스터!$AI$5:$AI$64,MATCH($F405,사건마스터!$A$5:$A$64,0)),""))</f>
        <v/>
      </c>
      <c r="M405" s="136">
        <f>IF($F405="","",IFERROR(INDEX(사건마스터!$AJ$5:$AJ$64,MATCH($F405,사건마스터!$A$5:$A$64,0)),""))</f>
        <v/>
      </c>
      <c r="N405" s="136">
        <f>IF($F405="","",IFERROR(INDEX(사건마스터!$AK$5:$AK$64,MATCH($F405,사건마스터!$A$5:$A$64,0)),""))</f>
        <v/>
      </c>
      <c r="O405" s="136">
        <f>IF($F405="","",IFERROR(INDEX(사건마스터!$AL$5:$AL$64,MATCH($F405,사건마스터!$A$5:$A$64,0)),""))</f>
        <v/>
      </c>
      <c r="P405" s="136">
        <f>IF($F405="","",IFERROR(INDEX(사건마스터!$AM$5:$AM$64,MATCH($F405,사건마스터!$A$5:$A$64,0)),""))</f>
        <v/>
      </c>
      <c r="Q405" s="136">
        <f>IF($F405="","",IFERROR(INDEX(사건마스터!$AN$5:$AN$64,MATCH($F405,사건마스터!$A$5:$A$64,0)),""))</f>
        <v/>
      </c>
      <c r="R405" s="136">
        <f>IF($F405="","",IFERROR(INDEX(사건마스터!$AO$5:$AO$64,MATCH($F405,사건마스터!$A$5:$A$64,0)),""))</f>
        <v/>
      </c>
      <c r="S405" s="136">
        <f>IF($F405="","",IFERROR(INDEX(사건마스터!$AP$5:$AP$64,MATCH($F405,사건마스터!$A$5:$A$64,0)),""))</f>
        <v/>
      </c>
      <c r="T405" s="136">
        <f>IF($F405="","",IFERROR(INDEX(사건마스터!$AQ$5:$AQ$64,MATCH($F405,사건마스터!$A$5:$A$64,0)),""))</f>
        <v/>
      </c>
      <c r="U405" s="136">
        <f>IF($F405="","",IFERROR(INDEX(사건마스터!$AR$5:$AR$64,MATCH($F405,사건마스터!$A$5:$A$64,0)),""))</f>
        <v/>
      </c>
      <c r="V405" s="136">
        <f>IF($F405="","",IFERROR(INDEX(사건마스터!$AS$5:$AS$64,MATCH($F405,사건마스터!$A$5:$A$64,0)),""))</f>
        <v/>
      </c>
      <c r="W405" s="136">
        <f>IF($F405="","",IFERROR(INDEX(사건마스터!$AT$5:$AT$64,MATCH($F405,사건마스터!$A$5:$A$64,0)),""))</f>
        <v/>
      </c>
      <c r="X405" s="136">
        <f>IF($F405="","",IFERROR(INDEX(사건마스터!$AU$5:$AU$64,MATCH($F405,사건마스터!$A$5:$A$64,0)),""))</f>
        <v/>
      </c>
      <c r="Y405" s="136">
        <f>IF($F405="","",IFERROR(INDEX(사건마스터!$AV$5:$AV$64,MATCH($F405,사건마스터!$A$5:$A$64,0)),""))</f>
        <v/>
      </c>
      <c r="Z405" s="118">
        <f>IF(COUNTBLANK($J405:$Y405)=16,"",16-COUNTBLANK($J405:$Y405))</f>
        <v/>
      </c>
      <c r="AA405" s="33">
        <f>IF($J405="",MID($AX405,3,255),$J405&amp;$AX405)</f>
        <v/>
      </c>
      <c r="AB405" s="130">
        <f>IF($J405="","",IFERROR(INDEX(코드설정!$D$5:$D$24,MATCH($J405,코드설정!$C$5:$C$24,0)),""))</f>
        <v/>
      </c>
      <c r="AC405" s="36" t="n"/>
      <c r="AD405" s="37" t="n"/>
      <c r="AE405" s="38" t="n"/>
      <c r="AF405" s="118">
        <f>IF(OR($B405="",$C405=""),"",$C405-$B405+1)</f>
        <v/>
      </c>
      <c r="AG405" s="74" t="n"/>
      <c r="AH405" s="36" t="n"/>
      <c r="AJ405">
        <f>IF($K405="","",", "&amp;$K405)</f>
        <v/>
      </c>
      <c r="AK405">
        <f>AJ405&amp;IF($L405="","",", "&amp;$L405)</f>
        <v/>
      </c>
      <c r="AL405">
        <f>AK405&amp;IF($M405="","",", "&amp;$M405)</f>
        <v/>
      </c>
      <c r="AM405">
        <f>AL405&amp;IF($N405="","",", "&amp;$N405)</f>
        <v/>
      </c>
      <c r="AN405">
        <f>AM405&amp;IF($O405="","",", "&amp;$O405)</f>
        <v/>
      </c>
      <c r="AO405">
        <f>AN405&amp;IF($P405="","",", "&amp;$P405)</f>
        <v/>
      </c>
      <c r="AP405">
        <f>AO405&amp;IF($Q405="","",", "&amp;$Q405)</f>
        <v/>
      </c>
      <c r="AQ405">
        <f>AP405&amp;IF($R405="","",", "&amp;$R405)</f>
        <v/>
      </c>
      <c r="AR405">
        <f>AQ405&amp;IF($S405="","",", "&amp;$S405)</f>
        <v/>
      </c>
      <c r="AS405">
        <f>AR405&amp;IF($T405="","",", "&amp;$T405)</f>
        <v/>
      </c>
      <c r="AT405">
        <f>AS405&amp;IF($U405="","",", "&amp;$U405)</f>
        <v/>
      </c>
      <c r="AU405">
        <f>AT405&amp;IF($V405="","",", "&amp;$V405)</f>
        <v/>
      </c>
      <c r="AV405">
        <f>AU405&amp;IF($W405="","",", "&amp;$W405)</f>
        <v/>
      </c>
      <c r="AW405">
        <f>AV405&amp;IF($X405="","",", "&amp;$X405)</f>
        <v/>
      </c>
      <c r="AX405">
        <f>AW405&amp;IF($Y405="","",", "&amp;$Y405)</f>
        <v/>
      </c>
    </row>
    <row r="406">
      <c r="A406" s="118">
        <f>IF($B406="","",COUNT($B$5:$B406))</f>
        <v/>
      </c>
      <c r="B406" s="80" t="n"/>
      <c r="C406" s="80" t="n"/>
      <c r="D406" s="74" t="n"/>
      <c r="E406" s="74" t="n"/>
      <c r="F406" s="74" t="n"/>
      <c r="G406" s="118">
        <f>IF($F406="","",COUNTIF($F$5:$F406,$F406))</f>
        <v/>
      </c>
      <c r="H406" s="33">
        <f>IF($F406="","",IFERROR(INDEX(사건마스터!$B$5:$B$64,MATCH($F406,사건마스터!$A$5:$A$64,0)),""))</f>
        <v/>
      </c>
      <c r="I406" s="130">
        <f>IF($F406="","",IFERROR(INDEX(사건마스터!$C$5:$C$64,MATCH($F406,사건마스터!$A$5:$A$64,0)),""))</f>
        <v/>
      </c>
      <c r="J406" s="136">
        <f>IF($F406="","",IFERROR(INDEX(사건마스터!$H$5:$H$64,MATCH($F406,사건마스터!$A$5:$A$64,0)),""))</f>
        <v/>
      </c>
      <c r="K406" s="136">
        <f>IF($F406="","",IFERROR(INDEX(사건마스터!$AH$5:$AH$64,MATCH($F406,사건마스터!$A$5:$A$64,0)),""))</f>
        <v/>
      </c>
      <c r="L406" s="136">
        <f>IF($F406="","",IFERROR(INDEX(사건마스터!$AI$5:$AI$64,MATCH($F406,사건마스터!$A$5:$A$64,0)),""))</f>
        <v/>
      </c>
      <c r="M406" s="136">
        <f>IF($F406="","",IFERROR(INDEX(사건마스터!$AJ$5:$AJ$64,MATCH($F406,사건마스터!$A$5:$A$64,0)),""))</f>
        <v/>
      </c>
      <c r="N406" s="136">
        <f>IF($F406="","",IFERROR(INDEX(사건마스터!$AK$5:$AK$64,MATCH($F406,사건마스터!$A$5:$A$64,0)),""))</f>
        <v/>
      </c>
      <c r="O406" s="136">
        <f>IF($F406="","",IFERROR(INDEX(사건마스터!$AL$5:$AL$64,MATCH($F406,사건마스터!$A$5:$A$64,0)),""))</f>
        <v/>
      </c>
      <c r="P406" s="136">
        <f>IF($F406="","",IFERROR(INDEX(사건마스터!$AM$5:$AM$64,MATCH($F406,사건마스터!$A$5:$A$64,0)),""))</f>
        <v/>
      </c>
      <c r="Q406" s="136">
        <f>IF($F406="","",IFERROR(INDEX(사건마스터!$AN$5:$AN$64,MATCH($F406,사건마스터!$A$5:$A$64,0)),""))</f>
        <v/>
      </c>
      <c r="R406" s="136">
        <f>IF($F406="","",IFERROR(INDEX(사건마스터!$AO$5:$AO$64,MATCH($F406,사건마스터!$A$5:$A$64,0)),""))</f>
        <v/>
      </c>
      <c r="S406" s="136">
        <f>IF($F406="","",IFERROR(INDEX(사건마스터!$AP$5:$AP$64,MATCH($F406,사건마스터!$A$5:$A$64,0)),""))</f>
        <v/>
      </c>
      <c r="T406" s="136">
        <f>IF($F406="","",IFERROR(INDEX(사건마스터!$AQ$5:$AQ$64,MATCH($F406,사건마스터!$A$5:$A$64,0)),""))</f>
        <v/>
      </c>
      <c r="U406" s="136">
        <f>IF($F406="","",IFERROR(INDEX(사건마스터!$AR$5:$AR$64,MATCH($F406,사건마스터!$A$5:$A$64,0)),""))</f>
        <v/>
      </c>
      <c r="V406" s="136">
        <f>IF($F406="","",IFERROR(INDEX(사건마스터!$AS$5:$AS$64,MATCH($F406,사건마스터!$A$5:$A$64,0)),""))</f>
        <v/>
      </c>
      <c r="W406" s="136">
        <f>IF($F406="","",IFERROR(INDEX(사건마스터!$AT$5:$AT$64,MATCH($F406,사건마스터!$A$5:$A$64,0)),""))</f>
        <v/>
      </c>
      <c r="X406" s="136">
        <f>IF($F406="","",IFERROR(INDEX(사건마스터!$AU$5:$AU$64,MATCH($F406,사건마스터!$A$5:$A$64,0)),""))</f>
        <v/>
      </c>
      <c r="Y406" s="136">
        <f>IF($F406="","",IFERROR(INDEX(사건마스터!$AV$5:$AV$64,MATCH($F406,사건마스터!$A$5:$A$64,0)),""))</f>
        <v/>
      </c>
      <c r="Z406" s="118">
        <f>IF(COUNTBLANK($J406:$Y406)=16,"",16-COUNTBLANK($J406:$Y406))</f>
        <v/>
      </c>
      <c r="AA406" s="33">
        <f>IF($J406="",MID($AX406,3,255),$J406&amp;$AX406)</f>
        <v/>
      </c>
      <c r="AB406" s="130">
        <f>IF($J406="","",IFERROR(INDEX(코드설정!$D$5:$D$24,MATCH($J406,코드설정!$C$5:$C$24,0)),""))</f>
        <v/>
      </c>
      <c r="AC406" s="36" t="n"/>
      <c r="AD406" s="37" t="n"/>
      <c r="AE406" s="38" t="n"/>
      <c r="AF406" s="118">
        <f>IF(OR($B406="",$C406=""),"",$C406-$B406+1)</f>
        <v/>
      </c>
      <c r="AG406" s="74" t="n"/>
      <c r="AH406" s="36" t="n"/>
      <c r="AJ406">
        <f>IF($K406="","",", "&amp;$K406)</f>
        <v/>
      </c>
      <c r="AK406">
        <f>AJ406&amp;IF($L406="","",", "&amp;$L406)</f>
        <v/>
      </c>
      <c r="AL406">
        <f>AK406&amp;IF($M406="","",", "&amp;$M406)</f>
        <v/>
      </c>
      <c r="AM406">
        <f>AL406&amp;IF($N406="","",", "&amp;$N406)</f>
        <v/>
      </c>
      <c r="AN406">
        <f>AM406&amp;IF($O406="","",", "&amp;$O406)</f>
        <v/>
      </c>
      <c r="AO406">
        <f>AN406&amp;IF($P406="","",", "&amp;$P406)</f>
        <v/>
      </c>
      <c r="AP406">
        <f>AO406&amp;IF($Q406="","",", "&amp;$Q406)</f>
        <v/>
      </c>
      <c r="AQ406">
        <f>AP406&amp;IF($R406="","",", "&amp;$R406)</f>
        <v/>
      </c>
      <c r="AR406">
        <f>AQ406&amp;IF($S406="","",", "&amp;$S406)</f>
        <v/>
      </c>
      <c r="AS406">
        <f>AR406&amp;IF($T406="","",", "&amp;$T406)</f>
        <v/>
      </c>
      <c r="AT406">
        <f>AS406&amp;IF($U406="","",", "&amp;$U406)</f>
        <v/>
      </c>
      <c r="AU406">
        <f>AT406&amp;IF($V406="","",", "&amp;$V406)</f>
        <v/>
      </c>
      <c r="AV406">
        <f>AU406&amp;IF($W406="","",", "&amp;$W406)</f>
        <v/>
      </c>
      <c r="AW406">
        <f>AV406&amp;IF($X406="","",", "&amp;$X406)</f>
        <v/>
      </c>
      <c r="AX406">
        <f>AW406&amp;IF($Y406="","",", "&amp;$Y406)</f>
        <v/>
      </c>
    </row>
    <row r="407">
      <c r="A407" s="118">
        <f>IF($B407="","",COUNT($B$5:$B407))</f>
        <v/>
      </c>
      <c r="B407" s="80" t="n"/>
      <c r="C407" s="80" t="n"/>
      <c r="D407" s="74" t="n"/>
      <c r="E407" s="74" t="n"/>
      <c r="F407" s="74" t="n"/>
      <c r="G407" s="118">
        <f>IF($F407="","",COUNTIF($F$5:$F407,$F407))</f>
        <v/>
      </c>
      <c r="H407" s="33">
        <f>IF($F407="","",IFERROR(INDEX(사건마스터!$B$5:$B$64,MATCH($F407,사건마스터!$A$5:$A$64,0)),""))</f>
        <v/>
      </c>
      <c r="I407" s="130">
        <f>IF($F407="","",IFERROR(INDEX(사건마스터!$C$5:$C$64,MATCH($F407,사건마스터!$A$5:$A$64,0)),""))</f>
        <v/>
      </c>
      <c r="J407" s="136">
        <f>IF($F407="","",IFERROR(INDEX(사건마스터!$H$5:$H$64,MATCH($F407,사건마스터!$A$5:$A$64,0)),""))</f>
        <v/>
      </c>
      <c r="K407" s="136">
        <f>IF($F407="","",IFERROR(INDEX(사건마스터!$AH$5:$AH$64,MATCH($F407,사건마스터!$A$5:$A$64,0)),""))</f>
        <v/>
      </c>
      <c r="L407" s="136">
        <f>IF($F407="","",IFERROR(INDEX(사건마스터!$AI$5:$AI$64,MATCH($F407,사건마스터!$A$5:$A$64,0)),""))</f>
        <v/>
      </c>
      <c r="M407" s="136">
        <f>IF($F407="","",IFERROR(INDEX(사건마스터!$AJ$5:$AJ$64,MATCH($F407,사건마스터!$A$5:$A$64,0)),""))</f>
        <v/>
      </c>
      <c r="N407" s="136">
        <f>IF($F407="","",IFERROR(INDEX(사건마스터!$AK$5:$AK$64,MATCH($F407,사건마스터!$A$5:$A$64,0)),""))</f>
        <v/>
      </c>
      <c r="O407" s="136">
        <f>IF($F407="","",IFERROR(INDEX(사건마스터!$AL$5:$AL$64,MATCH($F407,사건마스터!$A$5:$A$64,0)),""))</f>
        <v/>
      </c>
      <c r="P407" s="136">
        <f>IF($F407="","",IFERROR(INDEX(사건마스터!$AM$5:$AM$64,MATCH($F407,사건마스터!$A$5:$A$64,0)),""))</f>
        <v/>
      </c>
      <c r="Q407" s="136">
        <f>IF($F407="","",IFERROR(INDEX(사건마스터!$AN$5:$AN$64,MATCH($F407,사건마스터!$A$5:$A$64,0)),""))</f>
        <v/>
      </c>
      <c r="R407" s="136">
        <f>IF($F407="","",IFERROR(INDEX(사건마스터!$AO$5:$AO$64,MATCH($F407,사건마스터!$A$5:$A$64,0)),""))</f>
        <v/>
      </c>
      <c r="S407" s="136">
        <f>IF($F407="","",IFERROR(INDEX(사건마스터!$AP$5:$AP$64,MATCH($F407,사건마스터!$A$5:$A$64,0)),""))</f>
        <v/>
      </c>
      <c r="T407" s="136">
        <f>IF($F407="","",IFERROR(INDEX(사건마스터!$AQ$5:$AQ$64,MATCH($F407,사건마스터!$A$5:$A$64,0)),""))</f>
        <v/>
      </c>
      <c r="U407" s="136">
        <f>IF($F407="","",IFERROR(INDEX(사건마스터!$AR$5:$AR$64,MATCH($F407,사건마스터!$A$5:$A$64,0)),""))</f>
        <v/>
      </c>
      <c r="V407" s="136">
        <f>IF($F407="","",IFERROR(INDEX(사건마스터!$AS$5:$AS$64,MATCH($F407,사건마스터!$A$5:$A$64,0)),""))</f>
        <v/>
      </c>
      <c r="W407" s="136">
        <f>IF($F407="","",IFERROR(INDEX(사건마스터!$AT$5:$AT$64,MATCH($F407,사건마스터!$A$5:$A$64,0)),""))</f>
        <v/>
      </c>
      <c r="X407" s="136">
        <f>IF($F407="","",IFERROR(INDEX(사건마스터!$AU$5:$AU$64,MATCH($F407,사건마스터!$A$5:$A$64,0)),""))</f>
        <v/>
      </c>
      <c r="Y407" s="136">
        <f>IF($F407="","",IFERROR(INDEX(사건마스터!$AV$5:$AV$64,MATCH($F407,사건마스터!$A$5:$A$64,0)),""))</f>
        <v/>
      </c>
      <c r="Z407" s="118">
        <f>IF(COUNTBLANK($J407:$Y407)=16,"",16-COUNTBLANK($J407:$Y407))</f>
        <v/>
      </c>
      <c r="AA407" s="33">
        <f>IF($J407="",MID($AX407,3,255),$J407&amp;$AX407)</f>
        <v/>
      </c>
      <c r="AB407" s="130">
        <f>IF($J407="","",IFERROR(INDEX(코드설정!$D$5:$D$24,MATCH($J407,코드설정!$C$5:$C$24,0)),""))</f>
        <v/>
      </c>
      <c r="AC407" s="36" t="n"/>
      <c r="AD407" s="37" t="n"/>
      <c r="AE407" s="38" t="n"/>
      <c r="AF407" s="118">
        <f>IF(OR($B407="",$C407=""),"",$C407-$B407+1)</f>
        <v/>
      </c>
      <c r="AG407" s="74" t="n"/>
      <c r="AH407" s="36" t="n"/>
      <c r="AJ407">
        <f>IF($K407="","",", "&amp;$K407)</f>
        <v/>
      </c>
      <c r="AK407">
        <f>AJ407&amp;IF($L407="","",", "&amp;$L407)</f>
        <v/>
      </c>
      <c r="AL407">
        <f>AK407&amp;IF($M407="","",", "&amp;$M407)</f>
        <v/>
      </c>
      <c r="AM407">
        <f>AL407&amp;IF($N407="","",", "&amp;$N407)</f>
        <v/>
      </c>
      <c r="AN407">
        <f>AM407&amp;IF($O407="","",", "&amp;$O407)</f>
        <v/>
      </c>
      <c r="AO407">
        <f>AN407&amp;IF($P407="","",", "&amp;$P407)</f>
        <v/>
      </c>
      <c r="AP407">
        <f>AO407&amp;IF($Q407="","",", "&amp;$Q407)</f>
        <v/>
      </c>
      <c r="AQ407">
        <f>AP407&amp;IF($R407="","",", "&amp;$R407)</f>
        <v/>
      </c>
      <c r="AR407">
        <f>AQ407&amp;IF($S407="","",", "&amp;$S407)</f>
        <v/>
      </c>
      <c r="AS407">
        <f>AR407&amp;IF($T407="","",", "&amp;$T407)</f>
        <v/>
      </c>
      <c r="AT407">
        <f>AS407&amp;IF($U407="","",", "&amp;$U407)</f>
        <v/>
      </c>
      <c r="AU407">
        <f>AT407&amp;IF($V407="","",", "&amp;$V407)</f>
        <v/>
      </c>
      <c r="AV407">
        <f>AU407&amp;IF($W407="","",", "&amp;$W407)</f>
        <v/>
      </c>
      <c r="AW407">
        <f>AV407&amp;IF($X407="","",", "&amp;$X407)</f>
        <v/>
      </c>
      <c r="AX407">
        <f>AW407&amp;IF($Y407="","",", "&amp;$Y407)</f>
        <v/>
      </c>
    </row>
    <row r="408">
      <c r="A408" s="118">
        <f>IF($B408="","",COUNT($B$5:$B408))</f>
        <v/>
      </c>
      <c r="B408" s="80" t="n"/>
      <c r="C408" s="80" t="n"/>
      <c r="D408" s="74" t="n"/>
      <c r="E408" s="74" t="n"/>
      <c r="F408" s="74" t="n"/>
      <c r="G408" s="118">
        <f>IF($F408="","",COUNTIF($F$5:$F408,$F408))</f>
        <v/>
      </c>
      <c r="H408" s="33">
        <f>IF($F408="","",IFERROR(INDEX(사건마스터!$B$5:$B$64,MATCH($F408,사건마스터!$A$5:$A$64,0)),""))</f>
        <v/>
      </c>
      <c r="I408" s="130">
        <f>IF($F408="","",IFERROR(INDEX(사건마스터!$C$5:$C$64,MATCH($F408,사건마스터!$A$5:$A$64,0)),""))</f>
        <v/>
      </c>
      <c r="J408" s="136">
        <f>IF($F408="","",IFERROR(INDEX(사건마스터!$H$5:$H$64,MATCH($F408,사건마스터!$A$5:$A$64,0)),""))</f>
        <v/>
      </c>
      <c r="K408" s="136">
        <f>IF($F408="","",IFERROR(INDEX(사건마스터!$AH$5:$AH$64,MATCH($F408,사건마스터!$A$5:$A$64,0)),""))</f>
        <v/>
      </c>
      <c r="L408" s="136">
        <f>IF($F408="","",IFERROR(INDEX(사건마스터!$AI$5:$AI$64,MATCH($F408,사건마스터!$A$5:$A$64,0)),""))</f>
        <v/>
      </c>
      <c r="M408" s="136">
        <f>IF($F408="","",IFERROR(INDEX(사건마스터!$AJ$5:$AJ$64,MATCH($F408,사건마스터!$A$5:$A$64,0)),""))</f>
        <v/>
      </c>
      <c r="N408" s="136">
        <f>IF($F408="","",IFERROR(INDEX(사건마스터!$AK$5:$AK$64,MATCH($F408,사건마스터!$A$5:$A$64,0)),""))</f>
        <v/>
      </c>
      <c r="O408" s="136">
        <f>IF($F408="","",IFERROR(INDEX(사건마스터!$AL$5:$AL$64,MATCH($F408,사건마스터!$A$5:$A$64,0)),""))</f>
        <v/>
      </c>
      <c r="P408" s="136">
        <f>IF($F408="","",IFERROR(INDEX(사건마스터!$AM$5:$AM$64,MATCH($F408,사건마스터!$A$5:$A$64,0)),""))</f>
        <v/>
      </c>
      <c r="Q408" s="136">
        <f>IF($F408="","",IFERROR(INDEX(사건마스터!$AN$5:$AN$64,MATCH($F408,사건마스터!$A$5:$A$64,0)),""))</f>
        <v/>
      </c>
      <c r="R408" s="136">
        <f>IF($F408="","",IFERROR(INDEX(사건마스터!$AO$5:$AO$64,MATCH($F408,사건마스터!$A$5:$A$64,0)),""))</f>
        <v/>
      </c>
      <c r="S408" s="136">
        <f>IF($F408="","",IFERROR(INDEX(사건마스터!$AP$5:$AP$64,MATCH($F408,사건마스터!$A$5:$A$64,0)),""))</f>
        <v/>
      </c>
      <c r="T408" s="136">
        <f>IF($F408="","",IFERROR(INDEX(사건마스터!$AQ$5:$AQ$64,MATCH($F408,사건마스터!$A$5:$A$64,0)),""))</f>
        <v/>
      </c>
      <c r="U408" s="136">
        <f>IF($F408="","",IFERROR(INDEX(사건마스터!$AR$5:$AR$64,MATCH($F408,사건마스터!$A$5:$A$64,0)),""))</f>
        <v/>
      </c>
      <c r="V408" s="136">
        <f>IF($F408="","",IFERROR(INDEX(사건마스터!$AS$5:$AS$64,MATCH($F408,사건마스터!$A$5:$A$64,0)),""))</f>
        <v/>
      </c>
      <c r="W408" s="136">
        <f>IF($F408="","",IFERROR(INDEX(사건마스터!$AT$5:$AT$64,MATCH($F408,사건마스터!$A$5:$A$64,0)),""))</f>
        <v/>
      </c>
      <c r="X408" s="136">
        <f>IF($F408="","",IFERROR(INDEX(사건마스터!$AU$5:$AU$64,MATCH($F408,사건마스터!$A$5:$A$64,0)),""))</f>
        <v/>
      </c>
      <c r="Y408" s="136">
        <f>IF($F408="","",IFERROR(INDEX(사건마스터!$AV$5:$AV$64,MATCH($F408,사건마스터!$A$5:$A$64,0)),""))</f>
        <v/>
      </c>
      <c r="Z408" s="118">
        <f>IF(COUNTBLANK($J408:$Y408)=16,"",16-COUNTBLANK($J408:$Y408))</f>
        <v/>
      </c>
      <c r="AA408" s="33">
        <f>IF($J408="",MID($AX408,3,255),$J408&amp;$AX408)</f>
        <v/>
      </c>
      <c r="AB408" s="130">
        <f>IF($J408="","",IFERROR(INDEX(코드설정!$D$5:$D$24,MATCH($J408,코드설정!$C$5:$C$24,0)),""))</f>
        <v/>
      </c>
      <c r="AC408" s="36" t="n"/>
      <c r="AD408" s="37" t="n"/>
      <c r="AE408" s="38" t="n"/>
      <c r="AF408" s="118">
        <f>IF(OR($B408="",$C408=""),"",$C408-$B408+1)</f>
        <v/>
      </c>
      <c r="AG408" s="74" t="n"/>
      <c r="AH408" s="36" t="n"/>
      <c r="AJ408">
        <f>IF($K408="","",", "&amp;$K408)</f>
        <v/>
      </c>
      <c r="AK408">
        <f>AJ408&amp;IF($L408="","",", "&amp;$L408)</f>
        <v/>
      </c>
      <c r="AL408">
        <f>AK408&amp;IF($M408="","",", "&amp;$M408)</f>
        <v/>
      </c>
      <c r="AM408">
        <f>AL408&amp;IF($N408="","",", "&amp;$N408)</f>
        <v/>
      </c>
      <c r="AN408">
        <f>AM408&amp;IF($O408="","",", "&amp;$O408)</f>
        <v/>
      </c>
      <c r="AO408">
        <f>AN408&amp;IF($P408="","",", "&amp;$P408)</f>
        <v/>
      </c>
      <c r="AP408">
        <f>AO408&amp;IF($Q408="","",", "&amp;$Q408)</f>
        <v/>
      </c>
      <c r="AQ408">
        <f>AP408&amp;IF($R408="","",", "&amp;$R408)</f>
        <v/>
      </c>
      <c r="AR408">
        <f>AQ408&amp;IF($S408="","",", "&amp;$S408)</f>
        <v/>
      </c>
      <c r="AS408">
        <f>AR408&amp;IF($T408="","",", "&amp;$T408)</f>
        <v/>
      </c>
      <c r="AT408">
        <f>AS408&amp;IF($U408="","",", "&amp;$U408)</f>
        <v/>
      </c>
      <c r="AU408">
        <f>AT408&amp;IF($V408="","",", "&amp;$V408)</f>
        <v/>
      </c>
      <c r="AV408">
        <f>AU408&amp;IF($W408="","",", "&amp;$W408)</f>
        <v/>
      </c>
      <c r="AW408">
        <f>AV408&amp;IF($X408="","",", "&amp;$X408)</f>
        <v/>
      </c>
      <c r="AX408">
        <f>AW408&amp;IF($Y408="","",", "&amp;$Y408)</f>
        <v/>
      </c>
    </row>
    <row r="409">
      <c r="A409" s="118">
        <f>IF($B409="","",COUNT($B$5:$B409))</f>
        <v/>
      </c>
      <c r="B409" s="80" t="n"/>
      <c r="C409" s="80" t="n"/>
      <c r="D409" s="74" t="n"/>
      <c r="E409" s="74" t="n"/>
      <c r="F409" s="74" t="n"/>
      <c r="G409" s="118">
        <f>IF($F409="","",COUNTIF($F$5:$F409,$F409))</f>
        <v/>
      </c>
      <c r="H409" s="33">
        <f>IF($F409="","",IFERROR(INDEX(사건마스터!$B$5:$B$64,MATCH($F409,사건마스터!$A$5:$A$64,0)),""))</f>
        <v/>
      </c>
      <c r="I409" s="130">
        <f>IF($F409="","",IFERROR(INDEX(사건마스터!$C$5:$C$64,MATCH($F409,사건마스터!$A$5:$A$64,0)),""))</f>
        <v/>
      </c>
      <c r="J409" s="136">
        <f>IF($F409="","",IFERROR(INDEX(사건마스터!$H$5:$H$64,MATCH($F409,사건마스터!$A$5:$A$64,0)),""))</f>
        <v/>
      </c>
      <c r="K409" s="136">
        <f>IF($F409="","",IFERROR(INDEX(사건마스터!$AH$5:$AH$64,MATCH($F409,사건마스터!$A$5:$A$64,0)),""))</f>
        <v/>
      </c>
      <c r="L409" s="136">
        <f>IF($F409="","",IFERROR(INDEX(사건마스터!$AI$5:$AI$64,MATCH($F409,사건마스터!$A$5:$A$64,0)),""))</f>
        <v/>
      </c>
      <c r="M409" s="136">
        <f>IF($F409="","",IFERROR(INDEX(사건마스터!$AJ$5:$AJ$64,MATCH($F409,사건마스터!$A$5:$A$64,0)),""))</f>
        <v/>
      </c>
      <c r="N409" s="136">
        <f>IF($F409="","",IFERROR(INDEX(사건마스터!$AK$5:$AK$64,MATCH($F409,사건마스터!$A$5:$A$64,0)),""))</f>
        <v/>
      </c>
      <c r="O409" s="136">
        <f>IF($F409="","",IFERROR(INDEX(사건마스터!$AL$5:$AL$64,MATCH($F409,사건마스터!$A$5:$A$64,0)),""))</f>
        <v/>
      </c>
      <c r="P409" s="136">
        <f>IF($F409="","",IFERROR(INDEX(사건마스터!$AM$5:$AM$64,MATCH($F409,사건마스터!$A$5:$A$64,0)),""))</f>
        <v/>
      </c>
      <c r="Q409" s="136">
        <f>IF($F409="","",IFERROR(INDEX(사건마스터!$AN$5:$AN$64,MATCH($F409,사건마스터!$A$5:$A$64,0)),""))</f>
        <v/>
      </c>
      <c r="R409" s="136">
        <f>IF($F409="","",IFERROR(INDEX(사건마스터!$AO$5:$AO$64,MATCH($F409,사건마스터!$A$5:$A$64,0)),""))</f>
        <v/>
      </c>
      <c r="S409" s="136">
        <f>IF($F409="","",IFERROR(INDEX(사건마스터!$AP$5:$AP$64,MATCH($F409,사건마스터!$A$5:$A$64,0)),""))</f>
        <v/>
      </c>
      <c r="T409" s="136">
        <f>IF($F409="","",IFERROR(INDEX(사건마스터!$AQ$5:$AQ$64,MATCH($F409,사건마스터!$A$5:$A$64,0)),""))</f>
        <v/>
      </c>
      <c r="U409" s="136">
        <f>IF($F409="","",IFERROR(INDEX(사건마스터!$AR$5:$AR$64,MATCH($F409,사건마스터!$A$5:$A$64,0)),""))</f>
        <v/>
      </c>
      <c r="V409" s="136">
        <f>IF($F409="","",IFERROR(INDEX(사건마스터!$AS$5:$AS$64,MATCH($F409,사건마스터!$A$5:$A$64,0)),""))</f>
        <v/>
      </c>
      <c r="W409" s="136">
        <f>IF($F409="","",IFERROR(INDEX(사건마스터!$AT$5:$AT$64,MATCH($F409,사건마스터!$A$5:$A$64,0)),""))</f>
        <v/>
      </c>
      <c r="X409" s="136">
        <f>IF($F409="","",IFERROR(INDEX(사건마스터!$AU$5:$AU$64,MATCH($F409,사건마스터!$A$5:$A$64,0)),""))</f>
        <v/>
      </c>
      <c r="Y409" s="136">
        <f>IF($F409="","",IFERROR(INDEX(사건마스터!$AV$5:$AV$64,MATCH($F409,사건마스터!$A$5:$A$64,0)),""))</f>
        <v/>
      </c>
      <c r="Z409" s="118">
        <f>IF(COUNTBLANK($J409:$Y409)=16,"",16-COUNTBLANK($J409:$Y409))</f>
        <v/>
      </c>
      <c r="AA409" s="33">
        <f>IF($J409="",MID($AX409,3,255),$J409&amp;$AX409)</f>
        <v/>
      </c>
      <c r="AB409" s="130">
        <f>IF($J409="","",IFERROR(INDEX(코드설정!$D$5:$D$24,MATCH($J409,코드설정!$C$5:$C$24,0)),""))</f>
        <v/>
      </c>
      <c r="AC409" s="36" t="n"/>
      <c r="AD409" s="37" t="n"/>
      <c r="AE409" s="38" t="n"/>
      <c r="AF409" s="118">
        <f>IF(OR($B409="",$C409=""),"",$C409-$B409+1)</f>
        <v/>
      </c>
      <c r="AG409" s="74" t="n"/>
      <c r="AH409" s="36" t="n"/>
      <c r="AJ409">
        <f>IF($K409="","",", "&amp;$K409)</f>
        <v/>
      </c>
      <c r="AK409">
        <f>AJ409&amp;IF($L409="","",", "&amp;$L409)</f>
        <v/>
      </c>
      <c r="AL409">
        <f>AK409&amp;IF($M409="","",", "&amp;$M409)</f>
        <v/>
      </c>
      <c r="AM409">
        <f>AL409&amp;IF($N409="","",", "&amp;$N409)</f>
        <v/>
      </c>
      <c r="AN409">
        <f>AM409&amp;IF($O409="","",", "&amp;$O409)</f>
        <v/>
      </c>
      <c r="AO409">
        <f>AN409&amp;IF($P409="","",", "&amp;$P409)</f>
        <v/>
      </c>
      <c r="AP409">
        <f>AO409&amp;IF($Q409="","",", "&amp;$Q409)</f>
        <v/>
      </c>
      <c r="AQ409">
        <f>AP409&amp;IF($R409="","",", "&amp;$R409)</f>
        <v/>
      </c>
      <c r="AR409">
        <f>AQ409&amp;IF($S409="","",", "&amp;$S409)</f>
        <v/>
      </c>
      <c r="AS409">
        <f>AR409&amp;IF($T409="","",", "&amp;$T409)</f>
        <v/>
      </c>
      <c r="AT409">
        <f>AS409&amp;IF($U409="","",", "&amp;$U409)</f>
        <v/>
      </c>
      <c r="AU409">
        <f>AT409&amp;IF($V409="","",", "&amp;$V409)</f>
        <v/>
      </c>
      <c r="AV409">
        <f>AU409&amp;IF($W409="","",", "&amp;$W409)</f>
        <v/>
      </c>
      <c r="AW409">
        <f>AV409&amp;IF($X409="","",", "&amp;$X409)</f>
        <v/>
      </c>
      <c r="AX409">
        <f>AW409&amp;IF($Y409="","",", "&amp;$Y409)</f>
        <v/>
      </c>
    </row>
    <row r="410">
      <c r="A410" s="118">
        <f>IF($B410="","",COUNT($B$5:$B410))</f>
        <v/>
      </c>
      <c r="B410" s="80" t="n"/>
      <c r="C410" s="80" t="n"/>
      <c r="D410" s="74" t="n"/>
      <c r="E410" s="74" t="n"/>
      <c r="F410" s="74" t="n"/>
      <c r="G410" s="118">
        <f>IF($F410="","",COUNTIF($F$5:$F410,$F410))</f>
        <v/>
      </c>
      <c r="H410" s="33">
        <f>IF($F410="","",IFERROR(INDEX(사건마스터!$B$5:$B$64,MATCH($F410,사건마스터!$A$5:$A$64,0)),""))</f>
        <v/>
      </c>
      <c r="I410" s="130">
        <f>IF($F410="","",IFERROR(INDEX(사건마스터!$C$5:$C$64,MATCH($F410,사건마스터!$A$5:$A$64,0)),""))</f>
        <v/>
      </c>
      <c r="J410" s="136">
        <f>IF($F410="","",IFERROR(INDEX(사건마스터!$H$5:$H$64,MATCH($F410,사건마스터!$A$5:$A$64,0)),""))</f>
        <v/>
      </c>
      <c r="K410" s="136">
        <f>IF($F410="","",IFERROR(INDEX(사건마스터!$AH$5:$AH$64,MATCH($F410,사건마스터!$A$5:$A$64,0)),""))</f>
        <v/>
      </c>
      <c r="L410" s="136">
        <f>IF($F410="","",IFERROR(INDEX(사건마스터!$AI$5:$AI$64,MATCH($F410,사건마스터!$A$5:$A$64,0)),""))</f>
        <v/>
      </c>
      <c r="M410" s="136">
        <f>IF($F410="","",IFERROR(INDEX(사건마스터!$AJ$5:$AJ$64,MATCH($F410,사건마스터!$A$5:$A$64,0)),""))</f>
        <v/>
      </c>
      <c r="N410" s="136">
        <f>IF($F410="","",IFERROR(INDEX(사건마스터!$AK$5:$AK$64,MATCH($F410,사건마스터!$A$5:$A$64,0)),""))</f>
        <v/>
      </c>
      <c r="O410" s="136">
        <f>IF($F410="","",IFERROR(INDEX(사건마스터!$AL$5:$AL$64,MATCH($F410,사건마스터!$A$5:$A$64,0)),""))</f>
        <v/>
      </c>
      <c r="P410" s="136">
        <f>IF($F410="","",IFERROR(INDEX(사건마스터!$AM$5:$AM$64,MATCH($F410,사건마스터!$A$5:$A$64,0)),""))</f>
        <v/>
      </c>
      <c r="Q410" s="136">
        <f>IF($F410="","",IFERROR(INDEX(사건마스터!$AN$5:$AN$64,MATCH($F410,사건마스터!$A$5:$A$64,0)),""))</f>
        <v/>
      </c>
      <c r="R410" s="136">
        <f>IF($F410="","",IFERROR(INDEX(사건마스터!$AO$5:$AO$64,MATCH($F410,사건마스터!$A$5:$A$64,0)),""))</f>
        <v/>
      </c>
      <c r="S410" s="136">
        <f>IF($F410="","",IFERROR(INDEX(사건마스터!$AP$5:$AP$64,MATCH($F410,사건마스터!$A$5:$A$64,0)),""))</f>
        <v/>
      </c>
      <c r="T410" s="136">
        <f>IF($F410="","",IFERROR(INDEX(사건마스터!$AQ$5:$AQ$64,MATCH($F410,사건마스터!$A$5:$A$64,0)),""))</f>
        <v/>
      </c>
      <c r="U410" s="136">
        <f>IF($F410="","",IFERROR(INDEX(사건마스터!$AR$5:$AR$64,MATCH($F410,사건마스터!$A$5:$A$64,0)),""))</f>
        <v/>
      </c>
      <c r="V410" s="136">
        <f>IF($F410="","",IFERROR(INDEX(사건마스터!$AS$5:$AS$64,MATCH($F410,사건마스터!$A$5:$A$64,0)),""))</f>
        <v/>
      </c>
      <c r="W410" s="136">
        <f>IF($F410="","",IFERROR(INDEX(사건마스터!$AT$5:$AT$64,MATCH($F410,사건마스터!$A$5:$A$64,0)),""))</f>
        <v/>
      </c>
      <c r="X410" s="136">
        <f>IF($F410="","",IFERROR(INDEX(사건마스터!$AU$5:$AU$64,MATCH($F410,사건마스터!$A$5:$A$64,0)),""))</f>
        <v/>
      </c>
      <c r="Y410" s="136">
        <f>IF($F410="","",IFERROR(INDEX(사건마스터!$AV$5:$AV$64,MATCH($F410,사건마스터!$A$5:$A$64,0)),""))</f>
        <v/>
      </c>
      <c r="Z410" s="118">
        <f>IF(COUNTBLANK($J410:$Y410)=16,"",16-COUNTBLANK($J410:$Y410))</f>
        <v/>
      </c>
      <c r="AA410" s="33">
        <f>IF($J410="",MID($AX410,3,255),$J410&amp;$AX410)</f>
        <v/>
      </c>
      <c r="AB410" s="130">
        <f>IF($J410="","",IFERROR(INDEX(코드설정!$D$5:$D$24,MATCH($J410,코드설정!$C$5:$C$24,0)),""))</f>
        <v/>
      </c>
      <c r="AC410" s="36" t="n"/>
      <c r="AD410" s="37" t="n"/>
      <c r="AE410" s="38" t="n"/>
      <c r="AF410" s="118">
        <f>IF(OR($B410="",$C410=""),"",$C410-$B410+1)</f>
        <v/>
      </c>
      <c r="AG410" s="74" t="n"/>
      <c r="AH410" s="36" t="n"/>
      <c r="AJ410">
        <f>IF($K410="","",", "&amp;$K410)</f>
        <v/>
      </c>
      <c r="AK410">
        <f>AJ410&amp;IF($L410="","",", "&amp;$L410)</f>
        <v/>
      </c>
      <c r="AL410">
        <f>AK410&amp;IF($M410="","",", "&amp;$M410)</f>
        <v/>
      </c>
      <c r="AM410">
        <f>AL410&amp;IF($N410="","",", "&amp;$N410)</f>
        <v/>
      </c>
      <c r="AN410">
        <f>AM410&amp;IF($O410="","",", "&amp;$O410)</f>
        <v/>
      </c>
      <c r="AO410">
        <f>AN410&amp;IF($P410="","",", "&amp;$P410)</f>
        <v/>
      </c>
      <c r="AP410">
        <f>AO410&amp;IF($Q410="","",", "&amp;$Q410)</f>
        <v/>
      </c>
      <c r="AQ410">
        <f>AP410&amp;IF($R410="","",", "&amp;$R410)</f>
        <v/>
      </c>
      <c r="AR410">
        <f>AQ410&amp;IF($S410="","",", "&amp;$S410)</f>
        <v/>
      </c>
      <c r="AS410">
        <f>AR410&amp;IF($T410="","",", "&amp;$T410)</f>
        <v/>
      </c>
      <c r="AT410">
        <f>AS410&amp;IF($U410="","",", "&amp;$U410)</f>
        <v/>
      </c>
      <c r="AU410">
        <f>AT410&amp;IF($V410="","",", "&amp;$V410)</f>
        <v/>
      </c>
      <c r="AV410">
        <f>AU410&amp;IF($W410="","",", "&amp;$W410)</f>
        <v/>
      </c>
      <c r="AW410">
        <f>AV410&amp;IF($X410="","",", "&amp;$X410)</f>
        <v/>
      </c>
      <c r="AX410">
        <f>AW410&amp;IF($Y410="","",", "&amp;$Y410)</f>
        <v/>
      </c>
    </row>
    <row r="411">
      <c r="A411" s="118">
        <f>IF($B411="","",COUNT($B$5:$B411))</f>
        <v/>
      </c>
      <c r="B411" s="80" t="n"/>
      <c r="C411" s="80" t="n"/>
      <c r="D411" s="74" t="n"/>
      <c r="E411" s="74" t="n"/>
      <c r="F411" s="74" t="n"/>
      <c r="G411" s="118">
        <f>IF($F411="","",COUNTIF($F$5:$F411,$F411))</f>
        <v/>
      </c>
      <c r="H411" s="33">
        <f>IF($F411="","",IFERROR(INDEX(사건마스터!$B$5:$B$64,MATCH($F411,사건마스터!$A$5:$A$64,0)),""))</f>
        <v/>
      </c>
      <c r="I411" s="130">
        <f>IF($F411="","",IFERROR(INDEX(사건마스터!$C$5:$C$64,MATCH($F411,사건마스터!$A$5:$A$64,0)),""))</f>
        <v/>
      </c>
      <c r="J411" s="136">
        <f>IF($F411="","",IFERROR(INDEX(사건마스터!$H$5:$H$64,MATCH($F411,사건마스터!$A$5:$A$64,0)),""))</f>
        <v/>
      </c>
      <c r="K411" s="136">
        <f>IF($F411="","",IFERROR(INDEX(사건마스터!$AH$5:$AH$64,MATCH($F411,사건마스터!$A$5:$A$64,0)),""))</f>
        <v/>
      </c>
      <c r="L411" s="136">
        <f>IF($F411="","",IFERROR(INDEX(사건마스터!$AI$5:$AI$64,MATCH($F411,사건마스터!$A$5:$A$64,0)),""))</f>
        <v/>
      </c>
      <c r="M411" s="136">
        <f>IF($F411="","",IFERROR(INDEX(사건마스터!$AJ$5:$AJ$64,MATCH($F411,사건마스터!$A$5:$A$64,0)),""))</f>
        <v/>
      </c>
      <c r="N411" s="136">
        <f>IF($F411="","",IFERROR(INDEX(사건마스터!$AK$5:$AK$64,MATCH($F411,사건마스터!$A$5:$A$64,0)),""))</f>
        <v/>
      </c>
      <c r="O411" s="136">
        <f>IF($F411="","",IFERROR(INDEX(사건마스터!$AL$5:$AL$64,MATCH($F411,사건마스터!$A$5:$A$64,0)),""))</f>
        <v/>
      </c>
      <c r="P411" s="136">
        <f>IF($F411="","",IFERROR(INDEX(사건마스터!$AM$5:$AM$64,MATCH($F411,사건마스터!$A$5:$A$64,0)),""))</f>
        <v/>
      </c>
      <c r="Q411" s="136">
        <f>IF($F411="","",IFERROR(INDEX(사건마스터!$AN$5:$AN$64,MATCH($F411,사건마스터!$A$5:$A$64,0)),""))</f>
        <v/>
      </c>
      <c r="R411" s="136">
        <f>IF($F411="","",IFERROR(INDEX(사건마스터!$AO$5:$AO$64,MATCH($F411,사건마스터!$A$5:$A$64,0)),""))</f>
        <v/>
      </c>
      <c r="S411" s="136">
        <f>IF($F411="","",IFERROR(INDEX(사건마스터!$AP$5:$AP$64,MATCH($F411,사건마스터!$A$5:$A$64,0)),""))</f>
        <v/>
      </c>
      <c r="T411" s="136">
        <f>IF($F411="","",IFERROR(INDEX(사건마스터!$AQ$5:$AQ$64,MATCH($F411,사건마스터!$A$5:$A$64,0)),""))</f>
        <v/>
      </c>
      <c r="U411" s="136">
        <f>IF($F411="","",IFERROR(INDEX(사건마스터!$AR$5:$AR$64,MATCH($F411,사건마스터!$A$5:$A$64,0)),""))</f>
        <v/>
      </c>
      <c r="V411" s="136">
        <f>IF($F411="","",IFERROR(INDEX(사건마스터!$AS$5:$AS$64,MATCH($F411,사건마스터!$A$5:$A$64,0)),""))</f>
        <v/>
      </c>
      <c r="W411" s="136">
        <f>IF($F411="","",IFERROR(INDEX(사건마스터!$AT$5:$AT$64,MATCH($F411,사건마스터!$A$5:$A$64,0)),""))</f>
        <v/>
      </c>
      <c r="X411" s="136">
        <f>IF($F411="","",IFERROR(INDEX(사건마스터!$AU$5:$AU$64,MATCH($F411,사건마스터!$A$5:$A$64,0)),""))</f>
        <v/>
      </c>
      <c r="Y411" s="136">
        <f>IF($F411="","",IFERROR(INDEX(사건마스터!$AV$5:$AV$64,MATCH($F411,사건마스터!$A$5:$A$64,0)),""))</f>
        <v/>
      </c>
      <c r="Z411" s="118">
        <f>IF(COUNTBLANK($J411:$Y411)=16,"",16-COUNTBLANK($J411:$Y411))</f>
        <v/>
      </c>
      <c r="AA411" s="33">
        <f>IF($J411="",MID($AX411,3,255),$J411&amp;$AX411)</f>
        <v/>
      </c>
      <c r="AB411" s="130">
        <f>IF($J411="","",IFERROR(INDEX(코드설정!$D$5:$D$24,MATCH($J411,코드설정!$C$5:$C$24,0)),""))</f>
        <v/>
      </c>
      <c r="AC411" s="36" t="n"/>
      <c r="AD411" s="37" t="n"/>
      <c r="AE411" s="38" t="n"/>
      <c r="AF411" s="118">
        <f>IF(OR($B411="",$C411=""),"",$C411-$B411+1)</f>
        <v/>
      </c>
      <c r="AG411" s="74" t="n"/>
      <c r="AH411" s="36" t="n"/>
      <c r="AJ411">
        <f>IF($K411="","",", "&amp;$K411)</f>
        <v/>
      </c>
      <c r="AK411">
        <f>AJ411&amp;IF($L411="","",", "&amp;$L411)</f>
        <v/>
      </c>
      <c r="AL411">
        <f>AK411&amp;IF($M411="","",", "&amp;$M411)</f>
        <v/>
      </c>
      <c r="AM411">
        <f>AL411&amp;IF($N411="","",", "&amp;$N411)</f>
        <v/>
      </c>
      <c r="AN411">
        <f>AM411&amp;IF($O411="","",", "&amp;$O411)</f>
        <v/>
      </c>
      <c r="AO411">
        <f>AN411&amp;IF($P411="","",", "&amp;$P411)</f>
        <v/>
      </c>
      <c r="AP411">
        <f>AO411&amp;IF($Q411="","",", "&amp;$Q411)</f>
        <v/>
      </c>
      <c r="AQ411">
        <f>AP411&amp;IF($R411="","",", "&amp;$R411)</f>
        <v/>
      </c>
      <c r="AR411">
        <f>AQ411&amp;IF($S411="","",", "&amp;$S411)</f>
        <v/>
      </c>
      <c r="AS411">
        <f>AR411&amp;IF($T411="","",", "&amp;$T411)</f>
        <v/>
      </c>
      <c r="AT411">
        <f>AS411&amp;IF($U411="","",", "&amp;$U411)</f>
        <v/>
      </c>
      <c r="AU411">
        <f>AT411&amp;IF($V411="","",", "&amp;$V411)</f>
        <v/>
      </c>
      <c r="AV411">
        <f>AU411&amp;IF($W411="","",", "&amp;$W411)</f>
        <v/>
      </c>
      <c r="AW411">
        <f>AV411&amp;IF($X411="","",", "&amp;$X411)</f>
        <v/>
      </c>
      <c r="AX411">
        <f>AW411&amp;IF($Y411="","",", "&amp;$Y411)</f>
        <v/>
      </c>
    </row>
    <row r="412">
      <c r="A412" s="118">
        <f>IF($B412="","",COUNT($B$5:$B412))</f>
        <v/>
      </c>
      <c r="B412" s="80" t="n"/>
      <c r="C412" s="80" t="n"/>
      <c r="D412" s="74" t="n"/>
      <c r="E412" s="74" t="n"/>
      <c r="F412" s="74" t="n"/>
      <c r="G412" s="118">
        <f>IF($F412="","",COUNTIF($F$5:$F412,$F412))</f>
        <v/>
      </c>
      <c r="H412" s="33">
        <f>IF($F412="","",IFERROR(INDEX(사건마스터!$B$5:$B$64,MATCH($F412,사건마스터!$A$5:$A$64,0)),""))</f>
        <v/>
      </c>
      <c r="I412" s="130">
        <f>IF($F412="","",IFERROR(INDEX(사건마스터!$C$5:$C$64,MATCH($F412,사건마스터!$A$5:$A$64,0)),""))</f>
        <v/>
      </c>
      <c r="J412" s="136">
        <f>IF($F412="","",IFERROR(INDEX(사건마스터!$H$5:$H$64,MATCH($F412,사건마스터!$A$5:$A$64,0)),""))</f>
        <v/>
      </c>
      <c r="K412" s="136">
        <f>IF($F412="","",IFERROR(INDEX(사건마스터!$AH$5:$AH$64,MATCH($F412,사건마스터!$A$5:$A$64,0)),""))</f>
        <v/>
      </c>
      <c r="L412" s="136">
        <f>IF($F412="","",IFERROR(INDEX(사건마스터!$AI$5:$AI$64,MATCH($F412,사건마스터!$A$5:$A$64,0)),""))</f>
        <v/>
      </c>
      <c r="M412" s="136">
        <f>IF($F412="","",IFERROR(INDEX(사건마스터!$AJ$5:$AJ$64,MATCH($F412,사건마스터!$A$5:$A$64,0)),""))</f>
        <v/>
      </c>
      <c r="N412" s="136">
        <f>IF($F412="","",IFERROR(INDEX(사건마스터!$AK$5:$AK$64,MATCH($F412,사건마스터!$A$5:$A$64,0)),""))</f>
        <v/>
      </c>
      <c r="O412" s="136">
        <f>IF($F412="","",IFERROR(INDEX(사건마스터!$AL$5:$AL$64,MATCH($F412,사건마스터!$A$5:$A$64,0)),""))</f>
        <v/>
      </c>
      <c r="P412" s="136">
        <f>IF($F412="","",IFERROR(INDEX(사건마스터!$AM$5:$AM$64,MATCH($F412,사건마스터!$A$5:$A$64,0)),""))</f>
        <v/>
      </c>
      <c r="Q412" s="136">
        <f>IF($F412="","",IFERROR(INDEX(사건마스터!$AN$5:$AN$64,MATCH($F412,사건마스터!$A$5:$A$64,0)),""))</f>
        <v/>
      </c>
      <c r="R412" s="136">
        <f>IF($F412="","",IFERROR(INDEX(사건마스터!$AO$5:$AO$64,MATCH($F412,사건마스터!$A$5:$A$64,0)),""))</f>
        <v/>
      </c>
      <c r="S412" s="136">
        <f>IF($F412="","",IFERROR(INDEX(사건마스터!$AP$5:$AP$64,MATCH($F412,사건마스터!$A$5:$A$64,0)),""))</f>
        <v/>
      </c>
      <c r="T412" s="136">
        <f>IF($F412="","",IFERROR(INDEX(사건마스터!$AQ$5:$AQ$64,MATCH($F412,사건마스터!$A$5:$A$64,0)),""))</f>
        <v/>
      </c>
      <c r="U412" s="136">
        <f>IF($F412="","",IFERROR(INDEX(사건마스터!$AR$5:$AR$64,MATCH($F412,사건마스터!$A$5:$A$64,0)),""))</f>
        <v/>
      </c>
      <c r="V412" s="136">
        <f>IF($F412="","",IFERROR(INDEX(사건마스터!$AS$5:$AS$64,MATCH($F412,사건마스터!$A$5:$A$64,0)),""))</f>
        <v/>
      </c>
      <c r="W412" s="136">
        <f>IF($F412="","",IFERROR(INDEX(사건마스터!$AT$5:$AT$64,MATCH($F412,사건마스터!$A$5:$A$64,0)),""))</f>
        <v/>
      </c>
      <c r="X412" s="136">
        <f>IF($F412="","",IFERROR(INDEX(사건마스터!$AU$5:$AU$64,MATCH($F412,사건마스터!$A$5:$A$64,0)),""))</f>
        <v/>
      </c>
      <c r="Y412" s="136">
        <f>IF($F412="","",IFERROR(INDEX(사건마스터!$AV$5:$AV$64,MATCH($F412,사건마스터!$A$5:$A$64,0)),""))</f>
        <v/>
      </c>
      <c r="Z412" s="118">
        <f>IF(COUNTBLANK($J412:$Y412)=16,"",16-COUNTBLANK($J412:$Y412))</f>
        <v/>
      </c>
      <c r="AA412" s="33">
        <f>IF($J412="",MID($AX412,3,255),$J412&amp;$AX412)</f>
        <v/>
      </c>
      <c r="AB412" s="130">
        <f>IF($J412="","",IFERROR(INDEX(코드설정!$D$5:$D$24,MATCH($J412,코드설정!$C$5:$C$24,0)),""))</f>
        <v/>
      </c>
      <c r="AC412" s="36" t="n"/>
      <c r="AD412" s="37" t="n"/>
      <c r="AE412" s="38" t="n"/>
      <c r="AF412" s="118">
        <f>IF(OR($B412="",$C412=""),"",$C412-$B412+1)</f>
        <v/>
      </c>
      <c r="AG412" s="74" t="n"/>
      <c r="AH412" s="36" t="n"/>
      <c r="AJ412">
        <f>IF($K412="","",", "&amp;$K412)</f>
        <v/>
      </c>
      <c r="AK412">
        <f>AJ412&amp;IF($L412="","",", "&amp;$L412)</f>
        <v/>
      </c>
      <c r="AL412">
        <f>AK412&amp;IF($M412="","",", "&amp;$M412)</f>
        <v/>
      </c>
      <c r="AM412">
        <f>AL412&amp;IF($N412="","",", "&amp;$N412)</f>
        <v/>
      </c>
      <c r="AN412">
        <f>AM412&amp;IF($O412="","",", "&amp;$O412)</f>
        <v/>
      </c>
      <c r="AO412">
        <f>AN412&amp;IF($P412="","",", "&amp;$P412)</f>
        <v/>
      </c>
      <c r="AP412">
        <f>AO412&amp;IF($Q412="","",", "&amp;$Q412)</f>
        <v/>
      </c>
      <c r="AQ412">
        <f>AP412&amp;IF($R412="","",", "&amp;$R412)</f>
        <v/>
      </c>
      <c r="AR412">
        <f>AQ412&amp;IF($S412="","",", "&amp;$S412)</f>
        <v/>
      </c>
      <c r="AS412">
        <f>AR412&amp;IF($T412="","",", "&amp;$T412)</f>
        <v/>
      </c>
      <c r="AT412">
        <f>AS412&amp;IF($U412="","",", "&amp;$U412)</f>
        <v/>
      </c>
      <c r="AU412">
        <f>AT412&amp;IF($V412="","",", "&amp;$V412)</f>
        <v/>
      </c>
      <c r="AV412">
        <f>AU412&amp;IF($W412="","",", "&amp;$W412)</f>
        <v/>
      </c>
      <c r="AW412">
        <f>AV412&amp;IF($X412="","",", "&amp;$X412)</f>
        <v/>
      </c>
      <c r="AX412">
        <f>AW412&amp;IF($Y412="","",", "&amp;$Y412)</f>
        <v/>
      </c>
    </row>
    <row r="413">
      <c r="A413" s="118">
        <f>IF($B413="","",COUNT($B$5:$B413))</f>
        <v/>
      </c>
      <c r="B413" s="80" t="n"/>
      <c r="C413" s="80" t="n"/>
      <c r="D413" s="74" t="n"/>
      <c r="E413" s="74" t="n"/>
      <c r="F413" s="74" t="n"/>
      <c r="G413" s="118">
        <f>IF($F413="","",COUNTIF($F$5:$F413,$F413))</f>
        <v/>
      </c>
      <c r="H413" s="33">
        <f>IF($F413="","",IFERROR(INDEX(사건마스터!$B$5:$B$64,MATCH($F413,사건마스터!$A$5:$A$64,0)),""))</f>
        <v/>
      </c>
      <c r="I413" s="130">
        <f>IF($F413="","",IFERROR(INDEX(사건마스터!$C$5:$C$64,MATCH($F413,사건마스터!$A$5:$A$64,0)),""))</f>
        <v/>
      </c>
      <c r="J413" s="136">
        <f>IF($F413="","",IFERROR(INDEX(사건마스터!$H$5:$H$64,MATCH($F413,사건마스터!$A$5:$A$64,0)),""))</f>
        <v/>
      </c>
      <c r="K413" s="136">
        <f>IF($F413="","",IFERROR(INDEX(사건마스터!$AH$5:$AH$64,MATCH($F413,사건마스터!$A$5:$A$64,0)),""))</f>
        <v/>
      </c>
      <c r="L413" s="136">
        <f>IF($F413="","",IFERROR(INDEX(사건마스터!$AI$5:$AI$64,MATCH($F413,사건마스터!$A$5:$A$64,0)),""))</f>
        <v/>
      </c>
      <c r="M413" s="136">
        <f>IF($F413="","",IFERROR(INDEX(사건마스터!$AJ$5:$AJ$64,MATCH($F413,사건마스터!$A$5:$A$64,0)),""))</f>
        <v/>
      </c>
      <c r="N413" s="136">
        <f>IF($F413="","",IFERROR(INDEX(사건마스터!$AK$5:$AK$64,MATCH($F413,사건마스터!$A$5:$A$64,0)),""))</f>
        <v/>
      </c>
      <c r="O413" s="136">
        <f>IF($F413="","",IFERROR(INDEX(사건마스터!$AL$5:$AL$64,MATCH($F413,사건마스터!$A$5:$A$64,0)),""))</f>
        <v/>
      </c>
      <c r="P413" s="136">
        <f>IF($F413="","",IFERROR(INDEX(사건마스터!$AM$5:$AM$64,MATCH($F413,사건마스터!$A$5:$A$64,0)),""))</f>
        <v/>
      </c>
      <c r="Q413" s="136">
        <f>IF($F413="","",IFERROR(INDEX(사건마스터!$AN$5:$AN$64,MATCH($F413,사건마스터!$A$5:$A$64,0)),""))</f>
        <v/>
      </c>
      <c r="R413" s="136">
        <f>IF($F413="","",IFERROR(INDEX(사건마스터!$AO$5:$AO$64,MATCH($F413,사건마스터!$A$5:$A$64,0)),""))</f>
        <v/>
      </c>
      <c r="S413" s="136">
        <f>IF($F413="","",IFERROR(INDEX(사건마스터!$AP$5:$AP$64,MATCH($F413,사건마스터!$A$5:$A$64,0)),""))</f>
        <v/>
      </c>
      <c r="T413" s="136">
        <f>IF($F413="","",IFERROR(INDEX(사건마스터!$AQ$5:$AQ$64,MATCH($F413,사건마스터!$A$5:$A$64,0)),""))</f>
        <v/>
      </c>
      <c r="U413" s="136">
        <f>IF($F413="","",IFERROR(INDEX(사건마스터!$AR$5:$AR$64,MATCH($F413,사건마스터!$A$5:$A$64,0)),""))</f>
        <v/>
      </c>
      <c r="V413" s="136">
        <f>IF($F413="","",IFERROR(INDEX(사건마스터!$AS$5:$AS$64,MATCH($F413,사건마스터!$A$5:$A$64,0)),""))</f>
        <v/>
      </c>
      <c r="W413" s="136">
        <f>IF($F413="","",IFERROR(INDEX(사건마스터!$AT$5:$AT$64,MATCH($F413,사건마스터!$A$5:$A$64,0)),""))</f>
        <v/>
      </c>
      <c r="X413" s="136">
        <f>IF($F413="","",IFERROR(INDEX(사건마스터!$AU$5:$AU$64,MATCH($F413,사건마스터!$A$5:$A$64,0)),""))</f>
        <v/>
      </c>
      <c r="Y413" s="136">
        <f>IF($F413="","",IFERROR(INDEX(사건마스터!$AV$5:$AV$64,MATCH($F413,사건마스터!$A$5:$A$64,0)),""))</f>
        <v/>
      </c>
      <c r="Z413" s="118">
        <f>IF(COUNTBLANK($J413:$Y413)=16,"",16-COUNTBLANK($J413:$Y413))</f>
        <v/>
      </c>
      <c r="AA413" s="33">
        <f>IF($J413="",MID($AX413,3,255),$J413&amp;$AX413)</f>
        <v/>
      </c>
      <c r="AB413" s="130">
        <f>IF($J413="","",IFERROR(INDEX(코드설정!$D$5:$D$24,MATCH($J413,코드설정!$C$5:$C$24,0)),""))</f>
        <v/>
      </c>
      <c r="AC413" s="36" t="n"/>
      <c r="AD413" s="37" t="n"/>
      <c r="AE413" s="38" t="n"/>
      <c r="AF413" s="118">
        <f>IF(OR($B413="",$C413=""),"",$C413-$B413+1)</f>
        <v/>
      </c>
      <c r="AG413" s="74" t="n"/>
      <c r="AH413" s="36" t="n"/>
      <c r="AJ413">
        <f>IF($K413="","",", "&amp;$K413)</f>
        <v/>
      </c>
      <c r="AK413">
        <f>AJ413&amp;IF($L413="","",", "&amp;$L413)</f>
        <v/>
      </c>
      <c r="AL413">
        <f>AK413&amp;IF($M413="","",", "&amp;$M413)</f>
        <v/>
      </c>
      <c r="AM413">
        <f>AL413&amp;IF($N413="","",", "&amp;$N413)</f>
        <v/>
      </c>
      <c r="AN413">
        <f>AM413&amp;IF($O413="","",", "&amp;$O413)</f>
        <v/>
      </c>
      <c r="AO413">
        <f>AN413&amp;IF($P413="","",", "&amp;$P413)</f>
        <v/>
      </c>
      <c r="AP413">
        <f>AO413&amp;IF($Q413="","",", "&amp;$Q413)</f>
        <v/>
      </c>
      <c r="AQ413">
        <f>AP413&amp;IF($R413="","",", "&amp;$R413)</f>
        <v/>
      </c>
      <c r="AR413">
        <f>AQ413&amp;IF($S413="","",", "&amp;$S413)</f>
        <v/>
      </c>
      <c r="AS413">
        <f>AR413&amp;IF($T413="","",", "&amp;$T413)</f>
        <v/>
      </c>
      <c r="AT413">
        <f>AS413&amp;IF($U413="","",", "&amp;$U413)</f>
        <v/>
      </c>
      <c r="AU413">
        <f>AT413&amp;IF($V413="","",", "&amp;$V413)</f>
        <v/>
      </c>
      <c r="AV413">
        <f>AU413&amp;IF($W413="","",", "&amp;$W413)</f>
        <v/>
      </c>
      <c r="AW413">
        <f>AV413&amp;IF($X413="","",", "&amp;$X413)</f>
        <v/>
      </c>
      <c r="AX413">
        <f>AW413&amp;IF($Y413="","",", "&amp;$Y413)</f>
        <v/>
      </c>
    </row>
    <row r="414">
      <c r="A414" s="118">
        <f>IF($B414="","",COUNT($B$5:$B414))</f>
        <v/>
      </c>
      <c r="B414" s="80" t="n"/>
      <c r="C414" s="80" t="n"/>
      <c r="D414" s="74" t="n"/>
      <c r="E414" s="74" t="n"/>
      <c r="F414" s="74" t="n"/>
      <c r="G414" s="118">
        <f>IF($F414="","",COUNTIF($F$5:$F414,$F414))</f>
        <v/>
      </c>
      <c r="H414" s="33">
        <f>IF($F414="","",IFERROR(INDEX(사건마스터!$B$5:$B$64,MATCH($F414,사건마스터!$A$5:$A$64,0)),""))</f>
        <v/>
      </c>
      <c r="I414" s="130">
        <f>IF($F414="","",IFERROR(INDEX(사건마스터!$C$5:$C$64,MATCH($F414,사건마스터!$A$5:$A$64,0)),""))</f>
        <v/>
      </c>
      <c r="J414" s="136">
        <f>IF($F414="","",IFERROR(INDEX(사건마스터!$H$5:$H$64,MATCH($F414,사건마스터!$A$5:$A$64,0)),""))</f>
        <v/>
      </c>
      <c r="K414" s="136">
        <f>IF($F414="","",IFERROR(INDEX(사건마스터!$AH$5:$AH$64,MATCH($F414,사건마스터!$A$5:$A$64,0)),""))</f>
        <v/>
      </c>
      <c r="L414" s="136">
        <f>IF($F414="","",IFERROR(INDEX(사건마스터!$AI$5:$AI$64,MATCH($F414,사건마스터!$A$5:$A$64,0)),""))</f>
        <v/>
      </c>
      <c r="M414" s="136">
        <f>IF($F414="","",IFERROR(INDEX(사건마스터!$AJ$5:$AJ$64,MATCH($F414,사건마스터!$A$5:$A$64,0)),""))</f>
        <v/>
      </c>
      <c r="N414" s="136">
        <f>IF($F414="","",IFERROR(INDEX(사건마스터!$AK$5:$AK$64,MATCH($F414,사건마스터!$A$5:$A$64,0)),""))</f>
        <v/>
      </c>
      <c r="O414" s="136">
        <f>IF($F414="","",IFERROR(INDEX(사건마스터!$AL$5:$AL$64,MATCH($F414,사건마스터!$A$5:$A$64,0)),""))</f>
        <v/>
      </c>
      <c r="P414" s="136">
        <f>IF($F414="","",IFERROR(INDEX(사건마스터!$AM$5:$AM$64,MATCH($F414,사건마스터!$A$5:$A$64,0)),""))</f>
        <v/>
      </c>
      <c r="Q414" s="136">
        <f>IF($F414="","",IFERROR(INDEX(사건마스터!$AN$5:$AN$64,MATCH($F414,사건마스터!$A$5:$A$64,0)),""))</f>
        <v/>
      </c>
      <c r="R414" s="136">
        <f>IF($F414="","",IFERROR(INDEX(사건마스터!$AO$5:$AO$64,MATCH($F414,사건마스터!$A$5:$A$64,0)),""))</f>
        <v/>
      </c>
      <c r="S414" s="136">
        <f>IF($F414="","",IFERROR(INDEX(사건마스터!$AP$5:$AP$64,MATCH($F414,사건마스터!$A$5:$A$64,0)),""))</f>
        <v/>
      </c>
      <c r="T414" s="136">
        <f>IF($F414="","",IFERROR(INDEX(사건마스터!$AQ$5:$AQ$64,MATCH($F414,사건마스터!$A$5:$A$64,0)),""))</f>
        <v/>
      </c>
      <c r="U414" s="136">
        <f>IF($F414="","",IFERROR(INDEX(사건마스터!$AR$5:$AR$64,MATCH($F414,사건마스터!$A$5:$A$64,0)),""))</f>
        <v/>
      </c>
      <c r="V414" s="136">
        <f>IF($F414="","",IFERROR(INDEX(사건마스터!$AS$5:$AS$64,MATCH($F414,사건마스터!$A$5:$A$64,0)),""))</f>
        <v/>
      </c>
      <c r="W414" s="136">
        <f>IF($F414="","",IFERROR(INDEX(사건마스터!$AT$5:$AT$64,MATCH($F414,사건마스터!$A$5:$A$64,0)),""))</f>
        <v/>
      </c>
      <c r="X414" s="136">
        <f>IF($F414="","",IFERROR(INDEX(사건마스터!$AU$5:$AU$64,MATCH($F414,사건마스터!$A$5:$A$64,0)),""))</f>
        <v/>
      </c>
      <c r="Y414" s="136">
        <f>IF($F414="","",IFERROR(INDEX(사건마스터!$AV$5:$AV$64,MATCH($F414,사건마스터!$A$5:$A$64,0)),""))</f>
        <v/>
      </c>
      <c r="Z414" s="118">
        <f>IF(COUNTBLANK($J414:$Y414)=16,"",16-COUNTBLANK($J414:$Y414))</f>
        <v/>
      </c>
      <c r="AA414" s="33">
        <f>IF($J414="",MID($AX414,3,255),$J414&amp;$AX414)</f>
        <v/>
      </c>
      <c r="AB414" s="130">
        <f>IF($J414="","",IFERROR(INDEX(코드설정!$D$5:$D$24,MATCH($J414,코드설정!$C$5:$C$24,0)),""))</f>
        <v/>
      </c>
      <c r="AC414" s="36" t="n"/>
      <c r="AD414" s="37" t="n"/>
      <c r="AE414" s="38" t="n"/>
      <c r="AF414" s="118">
        <f>IF(OR($B414="",$C414=""),"",$C414-$B414+1)</f>
        <v/>
      </c>
      <c r="AG414" s="74" t="n"/>
      <c r="AH414" s="36" t="n"/>
      <c r="AJ414">
        <f>IF($K414="","",", "&amp;$K414)</f>
        <v/>
      </c>
      <c r="AK414">
        <f>AJ414&amp;IF($L414="","",", "&amp;$L414)</f>
        <v/>
      </c>
      <c r="AL414">
        <f>AK414&amp;IF($M414="","",", "&amp;$M414)</f>
        <v/>
      </c>
      <c r="AM414">
        <f>AL414&amp;IF($N414="","",", "&amp;$N414)</f>
        <v/>
      </c>
      <c r="AN414">
        <f>AM414&amp;IF($O414="","",", "&amp;$O414)</f>
        <v/>
      </c>
      <c r="AO414">
        <f>AN414&amp;IF($P414="","",", "&amp;$P414)</f>
        <v/>
      </c>
      <c r="AP414">
        <f>AO414&amp;IF($Q414="","",", "&amp;$Q414)</f>
        <v/>
      </c>
      <c r="AQ414">
        <f>AP414&amp;IF($R414="","",", "&amp;$R414)</f>
        <v/>
      </c>
      <c r="AR414">
        <f>AQ414&amp;IF($S414="","",", "&amp;$S414)</f>
        <v/>
      </c>
      <c r="AS414">
        <f>AR414&amp;IF($T414="","",", "&amp;$T414)</f>
        <v/>
      </c>
      <c r="AT414">
        <f>AS414&amp;IF($U414="","",", "&amp;$U414)</f>
        <v/>
      </c>
      <c r="AU414">
        <f>AT414&amp;IF($V414="","",", "&amp;$V414)</f>
        <v/>
      </c>
      <c r="AV414">
        <f>AU414&amp;IF($W414="","",", "&amp;$W414)</f>
        <v/>
      </c>
      <c r="AW414">
        <f>AV414&amp;IF($X414="","",", "&amp;$X414)</f>
        <v/>
      </c>
      <c r="AX414">
        <f>AW414&amp;IF($Y414="","",", "&amp;$Y414)</f>
        <v/>
      </c>
    </row>
    <row r="415">
      <c r="A415" s="118">
        <f>IF($B415="","",COUNT($B$5:$B415))</f>
        <v/>
      </c>
      <c r="B415" s="80" t="n"/>
      <c r="C415" s="80" t="n"/>
      <c r="D415" s="74" t="n"/>
      <c r="E415" s="74" t="n"/>
      <c r="F415" s="74" t="n"/>
      <c r="G415" s="118">
        <f>IF($F415="","",COUNTIF($F$5:$F415,$F415))</f>
        <v/>
      </c>
      <c r="H415" s="33">
        <f>IF($F415="","",IFERROR(INDEX(사건마스터!$B$5:$B$64,MATCH($F415,사건마스터!$A$5:$A$64,0)),""))</f>
        <v/>
      </c>
      <c r="I415" s="130">
        <f>IF($F415="","",IFERROR(INDEX(사건마스터!$C$5:$C$64,MATCH($F415,사건마스터!$A$5:$A$64,0)),""))</f>
        <v/>
      </c>
      <c r="J415" s="136">
        <f>IF($F415="","",IFERROR(INDEX(사건마스터!$H$5:$H$64,MATCH($F415,사건마스터!$A$5:$A$64,0)),""))</f>
        <v/>
      </c>
      <c r="K415" s="136">
        <f>IF($F415="","",IFERROR(INDEX(사건마스터!$AH$5:$AH$64,MATCH($F415,사건마스터!$A$5:$A$64,0)),""))</f>
        <v/>
      </c>
      <c r="L415" s="136">
        <f>IF($F415="","",IFERROR(INDEX(사건마스터!$AI$5:$AI$64,MATCH($F415,사건마스터!$A$5:$A$64,0)),""))</f>
        <v/>
      </c>
      <c r="M415" s="136">
        <f>IF($F415="","",IFERROR(INDEX(사건마스터!$AJ$5:$AJ$64,MATCH($F415,사건마스터!$A$5:$A$64,0)),""))</f>
        <v/>
      </c>
      <c r="N415" s="136">
        <f>IF($F415="","",IFERROR(INDEX(사건마스터!$AK$5:$AK$64,MATCH($F415,사건마스터!$A$5:$A$64,0)),""))</f>
        <v/>
      </c>
      <c r="O415" s="136">
        <f>IF($F415="","",IFERROR(INDEX(사건마스터!$AL$5:$AL$64,MATCH($F415,사건마스터!$A$5:$A$64,0)),""))</f>
        <v/>
      </c>
      <c r="P415" s="136">
        <f>IF($F415="","",IFERROR(INDEX(사건마스터!$AM$5:$AM$64,MATCH($F415,사건마스터!$A$5:$A$64,0)),""))</f>
        <v/>
      </c>
      <c r="Q415" s="136">
        <f>IF($F415="","",IFERROR(INDEX(사건마스터!$AN$5:$AN$64,MATCH($F415,사건마스터!$A$5:$A$64,0)),""))</f>
        <v/>
      </c>
      <c r="R415" s="136">
        <f>IF($F415="","",IFERROR(INDEX(사건마스터!$AO$5:$AO$64,MATCH($F415,사건마스터!$A$5:$A$64,0)),""))</f>
        <v/>
      </c>
      <c r="S415" s="136">
        <f>IF($F415="","",IFERROR(INDEX(사건마스터!$AP$5:$AP$64,MATCH($F415,사건마스터!$A$5:$A$64,0)),""))</f>
        <v/>
      </c>
      <c r="T415" s="136">
        <f>IF($F415="","",IFERROR(INDEX(사건마스터!$AQ$5:$AQ$64,MATCH($F415,사건마스터!$A$5:$A$64,0)),""))</f>
        <v/>
      </c>
      <c r="U415" s="136">
        <f>IF($F415="","",IFERROR(INDEX(사건마스터!$AR$5:$AR$64,MATCH($F415,사건마스터!$A$5:$A$64,0)),""))</f>
        <v/>
      </c>
      <c r="V415" s="136">
        <f>IF($F415="","",IFERROR(INDEX(사건마스터!$AS$5:$AS$64,MATCH($F415,사건마스터!$A$5:$A$64,0)),""))</f>
        <v/>
      </c>
      <c r="W415" s="136">
        <f>IF($F415="","",IFERROR(INDEX(사건마스터!$AT$5:$AT$64,MATCH($F415,사건마스터!$A$5:$A$64,0)),""))</f>
        <v/>
      </c>
      <c r="X415" s="136">
        <f>IF($F415="","",IFERROR(INDEX(사건마스터!$AU$5:$AU$64,MATCH($F415,사건마스터!$A$5:$A$64,0)),""))</f>
        <v/>
      </c>
      <c r="Y415" s="136">
        <f>IF($F415="","",IFERROR(INDEX(사건마스터!$AV$5:$AV$64,MATCH($F415,사건마스터!$A$5:$A$64,0)),""))</f>
        <v/>
      </c>
      <c r="Z415" s="118">
        <f>IF(COUNTBLANK($J415:$Y415)=16,"",16-COUNTBLANK($J415:$Y415))</f>
        <v/>
      </c>
      <c r="AA415" s="33">
        <f>IF($J415="",MID($AX415,3,255),$J415&amp;$AX415)</f>
        <v/>
      </c>
      <c r="AB415" s="130">
        <f>IF($J415="","",IFERROR(INDEX(코드설정!$D$5:$D$24,MATCH($J415,코드설정!$C$5:$C$24,0)),""))</f>
        <v/>
      </c>
      <c r="AC415" s="36" t="n"/>
      <c r="AD415" s="37" t="n"/>
      <c r="AE415" s="38" t="n"/>
      <c r="AF415" s="118">
        <f>IF(OR($B415="",$C415=""),"",$C415-$B415+1)</f>
        <v/>
      </c>
      <c r="AG415" s="74" t="n"/>
      <c r="AH415" s="36" t="n"/>
      <c r="AJ415">
        <f>IF($K415="","",", "&amp;$K415)</f>
        <v/>
      </c>
      <c r="AK415">
        <f>AJ415&amp;IF($L415="","",", "&amp;$L415)</f>
        <v/>
      </c>
      <c r="AL415">
        <f>AK415&amp;IF($M415="","",", "&amp;$M415)</f>
        <v/>
      </c>
      <c r="AM415">
        <f>AL415&amp;IF($N415="","",", "&amp;$N415)</f>
        <v/>
      </c>
      <c r="AN415">
        <f>AM415&amp;IF($O415="","",", "&amp;$O415)</f>
        <v/>
      </c>
      <c r="AO415">
        <f>AN415&amp;IF($P415="","",", "&amp;$P415)</f>
        <v/>
      </c>
      <c r="AP415">
        <f>AO415&amp;IF($Q415="","",", "&amp;$Q415)</f>
        <v/>
      </c>
      <c r="AQ415">
        <f>AP415&amp;IF($R415="","",", "&amp;$R415)</f>
        <v/>
      </c>
      <c r="AR415">
        <f>AQ415&amp;IF($S415="","",", "&amp;$S415)</f>
        <v/>
      </c>
      <c r="AS415">
        <f>AR415&amp;IF($T415="","",", "&amp;$T415)</f>
        <v/>
      </c>
      <c r="AT415">
        <f>AS415&amp;IF($U415="","",", "&amp;$U415)</f>
        <v/>
      </c>
      <c r="AU415">
        <f>AT415&amp;IF($V415="","",", "&amp;$V415)</f>
        <v/>
      </c>
      <c r="AV415">
        <f>AU415&amp;IF($W415="","",", "&amp;$W415)</f>
        <v/>
      </c>
      <c r="AW415">
        <f>AV415&amp;IF($X415="","",", "&amp;$X415)</f>
        <v/>
      </c>
      <c r="AX415">
        <f>AW415&amp;IF($Y415="","",", "&amp;$Y415)</f>
        <v/>
      </c>
    </row>
    <row r="416">
      <c r="A416" s="118">
        <f>IF($B416="","",COUNT($B$5:$B416))</f>
        <v/>
      </c>
      <c r="B416" s="80" t="n"/>
      <c r="C416" s="80" t="n"/>
      <c r="D416" s="74" t="n"/>
      <c r="E416" s="74" t="n"/>
      <c r="F416" s="74" t="n"/>
      <c r="G416" s="118">
        <f>IF($F416="","",COUNTIF($F$5:$F416,$F416))</f>
        <v/>
      </c>
      <c r="H416" s="33">
        <f>IF($F416="","",IFERROR(INDEX(사건마스터!$B$5:$B$64,MATCH($F416,사건마스터!$A$5:$A$64,0)),""))</f>
        <v/>
      </c>
      <c r="I416" s="130">
        <f>IF($F416="","",IFERROR(INDEX(사건마스터!$C$5:$C$64,MATCH($F416,사건마스터!$A$5:$A$64,0)),""))</f>
        <v/>
      </c>
      <c r="J416" s="136">
        <f>IF($F416="","",IFERROR(INDEX(사건마스터!$H$5:$H$64,MATCH($F416,사건마스터!$A$5:$A$64,0)),""))</f>
        <v/>
      </c>
      <c r="K416" s="136">
        <f>IF($F416="","",IFERROR(INDEX(사건마스터!$AH$5:$AH$64,MATCH($F416,사건마스터!$A$5:$A$64,0)),""))</f>
        <v/>
      </c>
      <c r="L416" s="136">
        <f>IF($F416="","",IFERROR(INDEX(사건마스터!$AI$5:$AI$64,MATCH($F416,사건마스터!$A$5:$A$64,0)),""))</f>
        <v/>
      </c>
      <c r="M416" s="136">
        <f>IF($F416="","",IFERROR(INDEX(사건마스터!$AJ$5:$AJ$64,MATCH($F416,사건마스터!$A$5:$A$64,0)),""))</f>
        <v/>
      </c>
      <c r="N416" s="136">
        <f>IF($F416="","",IFERROR(INDEX(사건마스터!$AK$5:$AK$64,MATCH($F416,사건마스터!$A$5:$A$64,0)),""))</f>
        <v/>
      </c>
      <c r="O416" s="136">
        <f>IF($F416="","",IFERROR(INDEX(사건마스터!$AL$5:$AL$64,MATCH($F416,사건마스터!$A$5:$A$64,0)),""))</f>
        <v/>
      </c>
      <c r="P416" s="136">
        <f>IF($F416="","",IFERROR(INDEX(사건마스터!$AM$5:$AM$64,MATCH($F416,사건마스터!$A$5:$A$64,0)),""))</f>
        <v/>
      </c>
      <c r="Q416" s="136">
        <f>IF($F416="","",IFERROR(INDEX(사건마스터!$AN$5:$AN$64,MATCH($F416,사건마스터!$A$5:$A$64,0)),""))</f>
        <v/>
      </c>
      <c r="R416" s="136">
        <f>IF($F416="","",IFERROR(INDEX(사건마스터!$AO$5:$AO$64,MATCH($F416,사건마스터!$A$5:$A$64,0)),""))</f>
        <v/>
      </c>
      <c r="S416" s="136">
        <f>IF($F416="","",IFERROR(INDEX(사건마스터!$AP$5:$AP$64,MATCH($F416,사건마스터!$A$5:$A$64,0)),""))</f>
        <v/>
      </c>
      <c r="T416" s="136">
        <f>IF($F416="","",IFERROR(INDEX(사건마스터!$AQ$5:$AQ$64,MATCH($F416,사건마스터!$A$5:$A$64,0)),""))</f>
        <v/>
      </c>
      <c r="U416" s="136">
        <f>IF($F416="","",IFERROR(INDEX(사건마스터!$AR$5:$AR$64,MATCH($F416,사건마스터!$A$5:$A$64,0)),""))</f>
        <v/>
      </c>
      <c r="V416" s="136">
        <f>IF($F416="","",IFERROR(INDEX(사건마스터!$AS$5:$AS$64,MATCH($F416,사건마스터!$A$5:$A$64,0)),""))</f>
        <v/>
      </c>
      <c r="W416" s="136">
        <f>IF($F416="","",IFERROR(INDEX(사건마스터!$AT$5:$AT$64,MATCH($F416,사건마스터!$A$5:$A$64,0)),""))</f>
        <v/>
      </c>
      <c r="X416" s="136">
        <f>IF($F416="","",IFERROR(INDEX(사건마스터!$AU$5:$AU$64,MATCH($F416,사건마스터!$A$5:$A$64,0)),""))</f>
        <v/>
      </c>
      <c r="Y416" s="136">
        <f>IF($F416="","",IFERROR(INDEX(사건마스터!$AV$5:$AV$64,MATCH($F416,사건마스터!$A$5:$A$64,0)),""))</f>
        <v/>
      </c>
      <c r="Z416" s="118">
        <f>IF(COUNTBLANK($J416:$Y416)=16,"",16-COUNTBLANK($J416:$Y416))</f>
        <v/>
      </c>
      <c r="AA416" s="33">
        <f>IF($J416="",MID($AX416,3,255),$J416&amp;$AX416)</f>
        <v/>
      </c>
      <c r="AB416" s="130">
        <f>IF($J416="","",IFERROR(INDEX(코드설정!$D$5:$D$24,MATCH($J416,코드설정!$C$5:$C$24,0)),""))</f>
        <v/>
      </c>
      <c r="AC416" s="36" t="n"/>
      <c r="AD416" s="37" t="n"/>
      <c r="AE416" s="38" t="n"/>
      <c r="AF416" s="118">
        <f>IF(OR($B416="",$C416=""),"",$C416-$B416+1)</f>
        <v/>
      </c>
      <c r="AG416" s="74" t="n"/>
      <c r="AH416" s="36" t="n"/>
      <c r="AJ416">
        <f>IF($K416="","",", "&amp;$K416)</f>
        <v/>
      </c>
      <c r="AK416">
        <f>AJ416&amp;IF($L416="","",", "&amp;$L416)</f>
        <v/>
      </c>
      <c r="AL416">
        <f>AK416&amp;IF($M416="","",", "&amp;$M416)</f>
        <v/>
      </c>
      <c r="AM416">
        <f>AL416&amp;IF($N416="","",", "&amp;$N416)</f>
        <v/>
      </c>
      <c r="AN416">
        <f>AM416&amp;IF($O416="","",", "&amp;$O416)</f>
        <v/>
      </c>
      <c r="AO416">
        <f>AN416&amp;IF($P416="","",", "&amp;$P416)</f>
        <v/>
      </c>
      <c r="AP416">
        <f>AO416&amp;IF($Q416="","",", "&amp;$Q416)</f>
        <v/>
      </c>
      <c r="AQ416">
        <f>AP416&amp;IF($R416="","",", "&amp;$R416)</f>
        <v/>
      </c>
      <c r="AR416">
        <f>AQ416&amp;IF($S416="","",", "&amp;$S416)</f>
        <v/>
      </c>
      <c r="AS416">
        <f>AR416&amp;IF($T416="","",", "&amp;$T416)</f>
        <v/>
      </c>
      <c r="AT416">
        <f>AS416&amp;IF($U416="","",", "&amp;$U416)</f>
        <v/>
      </c>
      <c r="AU416">
        <f>AT416&amp;IF($V416="","",", "&amp;$V416)</f>
        <v/>
      </c>
      <c r="AV416">
        <f>AU416&amp;IF($W416="","",", "&amp;$W416)</f>
        <v/>
      </c>
      <c r="AW416">
        <f>AV416&amp;IF($X416="","",", "&amp;$X416)</f>
        <v/>
      </c>
      <c r="AX416">
        <f>AW416&amp;IF($Y416="","",", "&amp;$Y416)</f>
        <v/>
      </c>
    </row>
    <row r="417">
      <c r="A417" s="118">
        <f>IF($B417="","",COUNT($B$5:$B417))</f>
        <v/>
      </c>
      <c r="B417" s="80" t="n"/>
      <c r="C417" s="80" t="n"/>
      <c r="D417" s="74" t="n"/>
      <c r="E417" s="74" t="n"/>
      <c r="F417" s="74" t="n"/>
      <c r="G417" s="118">
        <f>IF($F417="","",COUNTIF($F$5:$F417,$F417))</f>
        <v/>
      </c>
      <c r="H417" s="33">
        <f>IF($F417="","",IFERROR(INDEX(사건마스터!$B$5:$B$64,MATCH($F417,사건마스터!$A$5:$A$64,0)),""))</f>
        <v/>
      </c>
      <c r="I417" s="130">
        <f>IF($F417="","",IFERROR(INDEX(사건마스터!$C$5:$C$64,MATCH($F417,사건마스터!$A$5:$A$64,0)),""))</f>
        <v/>
      </c>
      <c r="J417" s="136">
        <f>IF($F417="","",IFERROR(INDEX(사건마스터!$H$5:$H$64,MATCH($F417,사건마스터!$A$5:$A$64,0)),""))</f>
        <v/>
      </c>
      <c r="K417" s="136">
        <f>IF($F417="","",IFERROR(INDEX(사건마스터!$AH$5:$AH$64,MATCH($F417,사건마스터!$A$5:$A$64,0)),""))</f>
        <v/>
      </c>
      <c r="L417" s="136">
        <f>IF($F417="","",IFERROR(INDEX(사건마스터!$AI$5:$AI$64,MATCH($F417,사건마스터!$A$5:$A$64,0)),""))</f>
        <v/>
      </c>
      <c r="M417" s="136">
        <f>IF($F417="","",IFERROR(INDEX(사건마스터!$AJ$5:$AJ$64,MATCH($F417,사건마스터!$A$5:$A$64,0)),""))</f>
        <v/>
      </c>
      <c r="N417" s="136">
        <f>IF($F417="","",IFERROR(INDEX(사건마스터!$AK$5:$AK$64,MATCH($F417,사건마스터!$A$5:$A$64,0)),""))</f>
        <v/>
      </c>
      <c r="O417" s="136">
        <f>IF($F417="","",IFERROR(INDEX(사건마스터!$AL$5:$AL$64,MATCH($F417,사건마스터!$A$5:$A$64,0)),""))</f>
        <v/>
      </c>
      <c r="P417" s="136">
        <f>IF($F417="","",IFERROR(INDEX(사건마스터!$AM$5:$AM$64,MATCH($F417,사건마스터!$A$5:$A$64,0)),""))</f>
        <v/>
      </c>
      <c r="Q417" s="136">
        <f>IF($F417="","",IFERROR(INDEX(사건마스터!$AN$5:$AN$64,MATCH($F417,사건마스터!$A$5:$A$64,0)),""))</f>
        <v/>
      </c>
      <c r="R417" s="136">
        <f>IF($F417="","",IFERROR(INDEX(사건마스터!$AO$5:$AO$64,MATCH($F417,사건마스터!$A$5:$A$64,0)),""))</f>
        <v/>
      </c>
      <c r="S417" s="136">
        <f>IF($F417="","",IFERROR(INDEX(사건마스터!$AP$5:$AP$64,MATCH($F417,사건마스터!$A$5:$A$64,0)),""))</f>
        <v/>
      </c>
      <c r="T417" s="136">
        <f>IF($F417="","",IFERROR(INDEX(사건마스터!$AQ$5:$AQ$64,MATCH($F417,사건마스터!$A$5:$A$64,0)),""))</f>
        <v/>
      </c>
      <c r="U417" s="136">
        <f>IF($F417="","",IFERROR(INDEX(사건마스터!$AR$5:$AR$64,MATCH($F417,사건마스터!$A$5:$A$64,0)),""))</f>
        <v/>
      </c>
      <c r="V417" s="136">
        <f>IF($F417="","",IFERROR(INDEX(사건마스터!$AS$5:$AS$64,MATCH($F417,사건마스터!$A$5:$A$64,0)),""))</f>
        <v/>
      </c>
      <c r="W417" s="136">
        <f>IF($F417="","",IFERROR(INDEX(사건마스터!$AT$5:$AT$64,MATCH($F417,사건마스터!$A$5:$A$64,0)),""))</f>
        <v/>
      </c>
      <c r="X417" s="136">
        <f>IF($F417="","",IFERROR(INDEX(사건마스터!$AU$5:$AU$64,MATCH($F417,사건마스터!$A$5:$A$64,0)),""))</f>
        <v/>
      </c>
      <c r="Y417" s="136">
        <f>IF($F417="","",IFERROR(INDEX(사건마스터!$AV$5:$AV$64,MATCH($F417,사건마스터!$A$5:$A$64,0)),""))</f>
        <v/>
      </c>
      <c r="Z417" s="118">
        <f>IF(COUNTBLANK($J417:$Y417)=16,"",16-COUNTBLANK($J417:$Y417))</f>
        <v/>
      </c>
      <c r="AA417" s="33">
        <f>IF($J417="",MID($AX417,3,255),$J417&amp;$AX417)</f>
        <v/>
      </c>
      <c r="AB417" s="130">
        <f>IF($J417="","",IFERROR(INDEX(코드설정!$D$5:$D$24,MATCH($J417,코드설정!$C$5:$C$24,0)),""))</f>
        <v/>
      </c>
      <c r="AC417" s="36" t="n"/>
      <c r="AD417" s="37" t="n"/>
      <c r="AE417" s="38" t="n"/>
      <c r="AF417" s="118">
        <f>IF(OR($B417="",$C417=""),"",$C417-$B417+1)</f>
        <v/>
      </c>
      <c r="AG417" s="74" t="n"/>
      <c r="AH417" s="36" t="n"/>
      <c r="AJ417">
        <f>IF($K417="","",", "&amp;$K417)</f>
        <v/>
      </c>
      <c r="AK417">
        <f>AJ417&amp;IF($L417="","",", "&amp;$L417)</f>
        <v/>
      </c>
      <c r="AL417">
        <f>AK417&amp;IF($M417="","",", "&amp;$M417)</f>
        <v/>
      </c>
      <c r="AM417">
        <f>AL417&amp;IF($N417="","",", "&amp;$N417)</f>
        <v/>
      </c>
      <c r="AN417">
        <f>AM417&amp;IF($O417="","",", "&amp;$O417)</f>
        <v/>
      </c>
      <c r="AO417">
        <f>AN417&amp;IF($P417="","",", "&amp;$P417)</f>
        <v/>
      </c>
      <c r="AP417">
        <f>AO417&amp;IF($Q417="","",", "&amp;$Q417)</f>
        <v/>
      </c>
      <c r="AQ417">
        <f>AP417&amp;IF($R417="","",", "&amp;$R417)</f>
        <v/>
      </c>
      <c r="AR417">
        <f>AQ417&amp;IF($S417="","",", "&amp;$S417)</f>
        <v/>
      </c>
      <c r="AS417">
        <f>AR417&amp;IF($T417="","",", "&amp;$T417)</f>
        <v/>
      </c>
      <c r="AT417">
        <f>AS417&amp;IF($U417="","",", "&amp;$U417)</f>
        <v/>
      </c>
      <c r="AU417">
        <f>AT417&amp;IF($V417="","",", "&amp;$V417)</f>
        <v/>
      </c>
      <c r="AV417">
        <f>AU417&amp;IF($W417="","",", "&amp;$W417)</f>
        <v/>
      </c>
      <c r="AW417">
        <f>AV417&amp;IF($X417="","",", "&amp;$X417)</f>
        <v/>
      </c>
      <c r="AX417">
        <f>AW417&amp;IF($Y417="","",", "&amp;$Y417)</f>
        <v/>
      </c>
    </row>
    <row r="418">
      <c r="A418" s="118">
        <f>IF($B418="","",COUNT($B$5:$B418))</f>
        <v/>
      </c>
      <c r="B418" s="80" t="n"/>
      <c r="C418" s="80" t="n"/>
      <c r="D418" s="74" t="n"/>
      <c r="E418" s="74" t="n"/>
      <c r="F418" s="74" t="n"/>
      <c r="G418" s="118">
        <f>IF($F418="","",COUNTIF($F$5:$F418,$F418))</f>
        <v/>
      </c>
      <c r="H418" s="33">
        <f>IF($F418="","",IFERROR(INDEX(사건마스터!$B$5:$B$64,MATCH($F418,사건마스터!$A$5:$A$64,0)),""))</f>
        <v/>
      </c>
      <c r="I418" s="130">
        <f>IF($F418="","",IFERROR(INDEX(사건마스터!$C$5:$C$64,MATCH($F418,사건마스터!$A$5:$A$64,0)),""))</f>
        <v/>
      </c>
      <c r="J418" s="136">
        <f>IF($F418="","",IFERROR(INDEX(사건마스터!$H$5:$H$64,MATCH($F418,사건마스터!$A$5:$A$64,0)),""))</f>
        <v/>
      </c>
      <c r="K418" s="136">
        <f>IF($F418="","",IFERROR(INDEX(사건마스터!$AH$5:$AH$64,MATCH($F418,사건마스터!$A$5:$A$64,0)),""))</f>
        <v/>
      </c>
      <c r="L418" s="136">
        <f>IF($F418="","",IFERROR(INDEX(사건마스터!$AI$5:$AI$64,MATCH($F418,사건마스터!$A$5:$A$64,0)),""))</f>
        <v/>
      </c>
      <c r="M418" s="136">
        <f>IF($F418="","",IFERROR(INDEX(사건마스터!$AJ$5:$AJ$64,MATCH($F418,사건마스터!$A$5:$A$64,0)),""))</f>
        <v/>
      </c>
      <c r="N418" s="136">
        <f>IF($F418="","",IFERROR(INDEX(사건마스터!$AK$5:$AK$64,MATCH($F418,사건마스터!$A$5:$A$64,0)),""))</f>
        <v/>
      </c>
      <c r="O418" s="136">
        <f>IF($F418="","",IFERROR(INDEX(사건마스터!$AL$5:$AL$64,MATCH($F418,사건마스터!$A$5:$A$64,0)),""))</f>
        <v/>
      </c>
      <c r="P418" s="136">
        <f>IF($F418="","",IFERROR(INDEX(사건마스터!$AM$5:$AM$64,MATCH($F418,사건마스터!$A$5:$A$64,0)),""))</f>
        <v/>
      </c>
      <c r="Q418" s="136">
        <f>IF($F418="","",IFERROR(INDEX(사건마스터!$AN$5:$AN$64,MATCH($F418,사건마스터!$A$5:$A$64,0)),""))</f>
        <v/>
      </c>
      <c r="R418" s="136">
        <f>IF($F418="","",IFERROR(INDEX(사건마스터!$AO$5:$AO$64,MATCH($F418,사건마스터!$A$5:$A$64,0)),""))</f>
        <v/>
      </c>
      <c r="S418" s="136">
        <f>IF($F418="","",IFERROR(INDEX(사건마스터!$AP$5:$AP$64,MATCH($F418,사건마스터!$A$5:$A$64,0)),""))</f>
        <v/>
      </c>
      <c r="T418" s="136">
        <f>IF($F418="","",IFERROR(INDEX(사건마스터!$AQ$5:$AQ$64,MATCH($F418,사건마스터!$A$5:$A$64,0)),""))</f>
        <v/>
      </c>
      <c r="U418" s="136">
        <f>IF($F418="","",IFERROR(INDEX(사건마스터!$AR$5:$AR$64,MATCH($F418,사건마스터!$A$5:$A$64,0)),""))</f>
        <v/>
      </c>
      <c r="V418" s="136">
        <f>IF($F418="","",IFERROR(INDEX(사건마스터!$AS$5:$AS$64,MATCH($F418,사건마스터!$A$5:$A$64,0)),""))</f>
        <v/>
      </c>
      <c r="W418" s="136">
        <f>IF($F418="","",IFERROR(INDEX(사건마스터!$AT$5:$AT$64,MATCH($F418,사건마스터!$A$5:$A$64,0)),""))</f>
        <v/>
      </c>
      <c r="X418" s="136">
        <f>IF($F418="","",IFERROR(INDEX(사건마스터!$AU$5:$AU$64,MATCH($F418,사건마스터!$A$5:$A$64,0)),""))</f>
        <v/>
      </c>
      <c r="Y418" s="136">
        <f>IF($F418="","",IFERROR(INDEX(사건마스터!$AV$5:$AV$64,MATCH($F418,사건마스터!$A$5:$A$64,0)),""))</f>
        <v/>
      </c>
      <c r="Z418" s="118">
        <f>IF(COUNTBLANK($J418:$Y418)=16,"",16-COUNTBLANK($J418:$Y418))</f>
        <v/>
      </c>
      <c r="AA418" s="33">
        <f>IF($J418="",MID($AX418,3,255),$J418&amp;$AX418)</f>
        <v/>
      </c>
      <c r="AB418" s="130">
        <f>IF($J418="","",IFERROR(INDEX(코드설정!$D$5:$D$24,MATCH($J418,코드설정!$C$5:$C$24,0)),""))</f>
        <v/>
      </c>
      <c r="AC418" s="36" t="n"/>
      <c r="AD418" s="37" t="n"/>
      <c r="AE418" s="38" t="n"/>
      <c r="AF418" s="118">
        <f>IF(OR($B418="",$C418=""),"",$C418-$B418+1)</f>
        <v/>
      </c>
      <c r="AG418" s="74" t="n"/>
      <c r="AH418" s="36" t="n"/>
      <c r="AJ418">
        <f>IF($K418="","",", "&amp;$K418)</f>
        <v/>
      </c>
      <c r="AK418">
        <f>AJ418&amp;IF($L418="","",", "&amp;$L418)</f>
        <v/>
      </c>
      <c r="AL418">
        <f>AK418&amp;IF($M418="","",", "&amp;$M418)</f>
        <v/>
      </c>
      <c r="AM418">
        <f>AL418&amp;IF($N418="","",", "&amp;$N418)</f>
        <v/>
      </c>
      <c r="AN418">
        <f>AM418&amp;IF($O418="","",", "&amp;$O418)</f>
        <v/>
      </c>
      <c r="AO418">
        <f>AN418&amp;IF($P418="","",", "&amp;$P418)</f>
        <v/>
      </c>
      <c r="AP418">
        <f>AO418&amp;IF($Q418="","",", "&amp;$Q418)</f>
        <v/>
      </c>
      <c r="AQ418">
        <f>AP418&amp;IF($R418="","",", "&amp;$R418)</f>
        <v/>
      </c>
      <c r="AR418">
        <f>AQ418&amp;IF($S418="","",", "&amp;$S418)</f>
        <v/>
      </c>
      <c r="AS418">
        <f>AR418&amp;IF($T418="","",", "&amp;$T418)</f>
        <v/>
      </c>
      <c r="AT418">
        <f>AS418&amp;IF($U418="","",", "&amp;$U418)</f>
        <v/>
      </c>
      <c r="AU418">
        <f>AT418&amp;IF($V418="","",", "&amp;$V418)</f>
        <v/>
      </c>
      <c r="AV418">
        <f>AU418&amp;IF($W418="","",", "&amp;$W418)</f>
        <v/>
      </c>
      <c r="AW418">
        <f>AV418&amp;IF($X418="","",", "&amp;$X418)</f>
        <v/>
      </c>
      <c r="AX418">
        <f>AW418&amp;IF($Y418="","",", "&amp;$Y418)</f>
        <v/>
      </c>
    </row>
    <row r="419">
      <c r="A419" s="118">
        <f>IF($B419="","",COUNT($B$5:$B419))</f>
        <v/>
      </c>
      <c r="B419" s="80" t="n"/>
      <c r="C419" s="80" t="n"/>
      <c r="D419" s="74" t="n"/>
      <c r="E419" s="74" t="n"/>
      <c r="F419" s="74" t="n"/>
      <c r="G419" s="118">
        <f>IF($F419="","",COUNTIF($F$5:$F419,$F419))</f>
        <v/>
      </c>
      <c r="H419" s="33">
        <f>IF($F419="","",IFERROR(INDEX(사건마스터!$B$5:$B$64,MATCH($F419,사건마스터!$A$5:$A$64,0)),""))</f>
        <v/>
      </c>
      <c r="I419" s="130">
        <f>IF($F419="","",IFERROR(INDEX(사건마스터!$C$5:$C$64,MATCH($F419,사건마스터!$A$5:$A$64,0)),""))</f>
        <v/>
      </c>
      <c r="J419" s="136">
        <f>IF($F419="","",IFERROR(INDEX(사건마스터!$H$5:$H$64,MATCH($F419,사건마스터!$A$5:$A$64,0)),""))</f>
        <v/>
      </c>
      <c r="K419" s="136">
        <f>IF($F419="","",IFERROR(INDEX(사건마스터!$AH$5:$AH$64,MATCH($F419,사건마스터!$A$5:$A$64,0)),""))</f>
        <v/>
      </c>
      <c r="L419" s="136">
        <f>IF($F419="","",IFERROR(INDEX(사건마스터!$AI$5:$AI$64,MATCH($F419,사건마스터!$A$5:$A$64,0)),""))</f>
        <v/>
      </c>
      <c r="M419" s="136">
        <f>IF($F419="","",IFERROR(INDEX(사건마스터!$AJ$5:$AJ$64,MATCH($F419,사건마스터!$A$5:$A$64,0)),""))</f>
        <v/>
      </c>
      <c r="N419" s="136">
        <f>IF($F419="","",IFERROR(INDEX(사건마스터!$AK$5:$AK$64,MATCH($F419,사건마스터!$A$5:$A$64,0)),""))</f>
        <v/>
      </c>
      <c r="O419" s="136">
        <f>IF($F419="","",IFERROR(INDEX(사건마스터!$AL$5:$AL$64,MATCH($F419,사건마스터!$A$5:$A$64,0)),""))</f>
        <v/>
      </c>
      <c r="P419" s="136">
        <f>IF($F419="","",IFERROR(INDEX(사건마스터!$AM$5:$AM$64,MATCH($F419,사건마스터!$A$5:$A$64,0)),""))</f>
        <v/>
      </c>
      <c r="Q419" s="136">
        <f>IF($F419="","",IFERROR(INDEX(사건마스터!$AN$5:$AN$64,MATCH($F419,사건마스터!$A$5:$A$64,0)),""))</f>
        <v/>
      </c>
      <c r="R419" s="136">
        <f>IF($F419="","",IFERROR(INDEX(사건마스터!$AO$5:$AO$64,MATCH($F419,사건마스터!$A$5:$A$64,0)),""))</f>
        <v/>
      </c>
      <c r="S419" s="136">
        <f>IF($F419="","",IFERROR(INDEX(사건마스터!$AP$5:$AP$64,MATCH($F419,사건마스터!$A$5:$A$64,0)),""))</f>
        <v/>
      </c>
      <c r="T419" s="136">
        <f>IF($F419="","",IFERROR(INDEX(사건마스터!$AQ$5:$AQ$64,MATCH($F419,사건마스터!$A$5:$A$64,0)),""))</f>
        <v/>
      </c>
      <c r="U419" s="136">
        <f>IF($F419="","",IFERROR(INDEX(사건마스터!$AR$5:$AR$64,MATCH($F419,사건마스터!$A$5:$A$64,0)),""))</f>
        <v/>
      </c>
      <c r="V419" s="136">
        <f>IF($F419="","",IFERROR(INDEX(사건마스터!$AS$5:$AS$64,MATCH($F419,사건마스터!$A$5:$A$64,0)),""))</f>
        <v/>
      </c>
      <c r="W419" s="136">
        <f>IF($F419="","",IFERROR(INDEX(사건마스터!$AT$5:$AT$64,MATCH($F419,사건마스터!$A$5:$A$64,0)),""))</f>
        <v/>
      </c>
      <c r="X419" s="136">
        <f>IF($F419="","",IFERROR(INDEX(사건마스터!$AU$5:$AU$64,MATCH($F419,사건마스터!$A$5:$A$64,0)),""))</f>
        <v/>
      </c>
      <c r="Y419" s="136">
        <f>IF($F419="","",IFERROR(INDEX(사건마스터!$AV$5:$AV$64,MATCH($F419,사건마스터!$A$5:$A$64,0)),""))</f>
        <v/>
      </c>
      <c r="Z419" s="118">
        <f>IF(COUNTBLANK($J419:$Y419)=16,"",16-COUNTBLANK($J419:$Y419))</f>
        <v/>
      </c>
      <c r="AA419" s="33">
        <f>IF($J419="",MID($AX419,3,255),$J419&amp;$AX419)</f>
        <v/>
      </c>
      <c r="AB419" s="130">
        <f>IF($J419="","",IFERROR(INDEX(코드설정!$D$5:$D$24,MATCH($J419,코드설정!$C$5:$C$24,0)),""))</f>
        <v/>
      </c>
      <c r="AC419" s="36" t="n"/>
      <c r="AD419" s="37" t="n"/>
      <c r="AE419" s="38" t="n"/>
      <c r="AF419" s="118">
        <f>IF(OR($B419="",$C419=""),"",$C419-$B419+1)</f>
        <v/>
      </c>
      <c r="AG419" s="74" t="n"/>
      <c r="AH419" s="36" t="n"/>
      <c r="AJ419">
        <f>IF($K419="","",", "&amp;$K419)</f>
        <v/>
      </c>
      <c r="AK419">
        <f>AJ419&amp;IF($L419="","",", "&amp;$L419)</f>
        <v/>
      </c>
      <c r="AL419">
        <f>AK419&amp;IF($M419="","",", "&amp;$M419)</f>
        <v/>
      </c>
      <c r="AM419">
        <f>AL419&amp;IF($N419="","",", "&amp;$N419)</f>
        <v/>
      </c>
      <c r="AN419">
        <f>AM419&amp;IF($O419="","",", "&amp;$O419)</f>
        <v/>
      </c>
      <c r="AO419">
        <f>AN419&amp;IF($P419="","",", "&amp;$P419)</f>
        <v/>
      </c>
      <c r="AP419">
        <f>AO419&amp;IF($Q419="","",", "&amp;$Q419)</f>
        <v/>
      </c>
      <c r="AQ419">
        <f>AP419&amp;IF($R419="","",", "&amp;$R419)</f>
        <v/>
      </c>
      <c r="AR419">
        <f>AQ419&amp;IF($S419="","",", "&amp;$S419)</f>
        <v/>
      </c>
      <c r="AS419">
        <f>AR419&amp;IF($T419="","",", "&amp;$T419)</f>
        <v/>
      </c>
      <c r="AT419">
        <f>AS419&amp;IF($U419="","",", "&amp;$U419)</f>
        <v/>
      </c>
      <c r="AU419">
        <f>AT419&amp;IF($V419="","",", "&amp;$V419)</f>
        <v/>
      </c>
      <c r="AV419">
        <f>AU419&amp;IF($W419="","",", "&amp;$W419)</f>
        <v/>
      </c>
      <c r="AW419">
        <f>AV419&amp;IF($X419="","",", "&amp;$X419)</f>
        <v/>
      </c>
      <c r="AX419">
        <f>AW419&amp;IF($Y419="","",", "&amp;$Y419)</f>
        <v/>
      </c>
    </row>
    <row r="420">
      <c r="A420" s="118">
        <f>IF($B420="","",COUNT($B$5:$B420))</f>
        <v/>
      </c>
      <c r="B420" s="80" t="n"/>
      <c r="C420" s="80" t="n"/>
      <c r="D420" s="74" t="n"/>
      <c r="E420" s="74" t="n"/>
      <c r="F420" s="74" t="n"/>
      <c r="G420" s="118">
        <f>IF($F420="","",COUNTIF($F$5:$F420,$F420))</f>
        <v/>
      </c>
      <c r="H420" s="33">
        <f>IF($F420="","",IFERROR(INDEX(사건마스터!$B$5:$B$64,MATCH($F420,사건마스터!$A$5:$A$64,0)),""))</f>
        <v/>
      </c>
      <c r="I420" s="130">
        <f>IF($F420="","",IFERROR(INDEX(사건마스터!$C$5:$C$64,MATCH($F420,사건마스터!$A$5:$A$64,0)),""))</f>
        <v/>
      </c>
      <c r="J420" s="136">
        <f>IF($F420="","",IFERROR(INDEX(사건마스터!$H$5:$H$64,MATCH($F420,사건마스터!$A$5:$A$64,0)),""))</f>
        <v/>
      </c>
      <c r="K420" s="136">
        <f>IF($F420="","",IFERROR(INDEX(사건마스터!$AH$5:$AH$64,MATCH($F420,사건마스터!$A$5:$A$64,0)),""))</f>
        <v/>
      </c>
      <c r="L420" s="136">
        <f>IF($F420="","",IFERROR(INDEX(사건마스터!$AI$5:$AI$64,MATCH($F420,사건마스터!$A$5:$A$64,0)),""))</f>
        <v/>
      </c>
      <c r="M420" s="136">
        <f>IF($F420="","",IFERROR(INDEX(사건마스터!$AJ$5:$AJ$64,MATCH($F420,사건마스터!$A$5:$A$64,0)),""))</f>
        <v/>
      </c>
      <c r="N420" s="136">
        <f>IF($F420="","",IFERROR(INDEX(사건마스터!$AK$5:$AK$64,MATCH($F420,사건마스터!$A$5:$A$64,0)),""))</f>
        <v/>
      </c>
      <c r="O420" s="136">
        <f>IF($F420="","",IFERROR(INDEX(사건마스터!$AL$5:$AL$64,MATCH($F420,사건마스터!$A$5:$A$64,0)),""))</f>
        <v/>
      </c>
      <c r="P420" s="136">
        <f>IF($F420="","",IFERROR(INDEX(사건마스터!$AM$5:$AM$64,MATCH($F420,사건마스터!$A$5:$A$64,0)),""))</f>
        <v/>
      </c>
      <c r="Q420" s="136">
        <f>IF($F420="","",IFERROR(INDEX(사건마스터!$AN$5:$AN$64,MATCH($F420,사건마스터!$A$5:$A$64,0)),""))</f>
        <v/>
      </c>
      <c r="R420" s="136">
        <f>IF($F420="","",IFERROR(INDEX(사건마스터!$AO$5:$AO$64,MATCH($F420,사건마스터!$A$5:$A$64,0)),""))</f>
        <v/>
      </c>
      <c r="S420" s="136">
        <f>IF($F420="","",IFERROR(INDEX(사건마스터!$AP$5:$AP$64,MATCH($F420,사건마스터!$A$5:$A$64,0)),""))</f>
        <v/>
      </c>
      <c r="T420" s="136">
        <f>IF($F420="","",IFERROR(INDEX(사건마스터!$AQ$5:$AQ$64,MATCH($F420,사건마스터!$A$5:$A$64,0)),""))</f>
        <v/>
      </c>
      <c r="U420" s="136">
        <f>IF($F420="","",IFERROR(INDEX(사건마스터!$AR$5:$AR$64,MATCH($F420,사건마스터!$A$5:$A$64,0)),""))</f>
        <v/>
      </c>
      <c r="V420" s="136">
        <f>IF($F420="","",IFERROR(INDEX(사건마스터!$AS$5:$AS$64,MATCH($F420,사건마스터!$A$5:$A$64,0)),""))</f>
        <v/>
      </c>
      <c r="W420" s="136">
        <f>IF($F420="","",IFERROR(INDEX(사건마스터!$AT$5:$AT$64,MATCH($F420,사건마스터!$A$5:$A$64,0)),""))</f>
        <v/>
      </c>
      <c r="X420" s="136">
        <f>IF($F420="","",IFERROR(INDEX(사건마스터!$AU$5:$AU$64,MATCH($F420,사건마스터!$A$5:$A$64,0)),""))</f>
        <v/>
      </c>
      <c r="Y420" s="136">
        <f>IF($F420="","",IFERROR(INDEX(사건마스터!$AV$5:$AV$64,MATCH($F420,사건마스터!$A$5:$A$64,0)),""))</f>
        <v/>
      </c>
      <c r="Z420" s="118">
        <f>IF(COUNTBLANK($J420:$Y420)=16,"",16-COUNTBLANK($J420:$Y420))</f>
        <v/>
      </c>
      <c r="AA420" s="33">
        <f>IF($J420="",MID($AX420,3,255),$J420&amp;$AX420)</f>
        <v/>
      </c>
      <c r="AB420" s="130">
        <f>IF($J420="","",IFERROR(INDEX(코드설정!$D$5:$D$24,MATCH($J420,코드설정!$C$5:$C$24,0)),""))</f>
        <v/>
      </c>
      <c r="AC420" s="36" t="n"/>
      <c r="AD420" s="37" t="n"/>
      <c r="AE420" s="38" t="n"/>
      <c r="AF420" s="118">
        <f>IF(OR($B420="",$C420=""),"",$C420-$B420+1)</f>
        <v/>
      </c>
      <c r="AG420" s="74" t="n"/>
      <c r="AH420" s="36" t="n"/>
      <c r="AJ420">
        <f>IF($K420="","",", "&amp;$K420)</f>
        <v/>
      </c>
      <c r="AK420">
        <f>AJ420&amp;IF($L420="","",", "&amp;$L420)</f>
        <v/>
      </c>
      <c r="AL420">
        <f>AK420&amp;IF($M420="","",", "&amp;$M420)</f>
        <v/>
      </c>
      <c r="AM420">
        <f>AL420&amp;IF($N420="","",", "&amp;$N420)</f>
        <v/>
      </c>
      <c r="AN420">
        <f>AM420&amp;IF($O420="","",", "&amp;$O420)</f>
        <v/>
      </c>
      <c r="AO420">
        <f>AN420&amp;IF($P420="","",", "&amp;$P420)</f>
        <v/>
      </c>
      <c r="AP420">
        <f>AO420&amp;IF($Q420="","",", "&amp;$Q420)</f>
        <v/>
      </c>
      <c r="AQ420">
        <f>AP420&amp;IF($R420="","",", "&amp;$R420)</f>
        <v/>
      </c>
      <c r="AR420">
        <f>AQ420&amp;IF($S420="","",", "&amp;$S420)</f>
        <v/>
      </c>
      <c r="AS420">
        <f>AR420&amp;IF($T420="","",", "&amp;$T420)</f>
        <v/>
      </c>
      <c r="AT420">
        <f>AS420&amp;IF($U420="","",", "&amp;$U420)</f>
        <v/>
      </c>
      <c r="AU420">
        <f>AT420&amp;IF($V420="","",", "&amp;$V420)</f>
        <v/>
      </c>
      <c r="AV420">
        <f>AU420&amp;IF($W420="","",", "&amp;$W420)</f>
        <v/>
      </c>
      <c r="AW420">
        <f>AV420&amp;IF($X420="","",", "&amp;$X420)</f>
        <v/>
      </c>
      <c r="AX420">
        <f>AW420&amp;IF($Y420="","",", "&amp;$Y420)</f>
        <v/>
      </c>
    </row>
    <row r="421">
      <c r="A421" s="118">
        <f>IF($B421="","",COUNT($B$5:$B421))</f>
        <v/>
      </c>
      <c r="B421" s="80" t="n"/>
      <c r="C421" s="80" t="n"/>
      <c r="D421" s="74" t="n"/>
      <c r="E421" s="74" t="n"/>
      <c r="F421" s="74" t="n"/>
      <c r="G421" s="118">
        <f>IF($F421="","",COUNTIF($F$5:$F421,$F421))</f>
        <v/>
      </c>
      <c r="H421" s="33">
        <f>IF($F421="","",IFERROR(INDEX(사건마스터!$B$5:$B$64,MATCH($F421,사건마스터!$A$5:$A$64,0)),""))</f>
        <v/>
      </c>
      <c r="I421" s="130">
        <f>IF($F421="","",IFERROR(INDEX(사건마스터!$C$5:$C$64,MATCH($F421,사건마스터!$A$5:$A$64,0)),""))</f>
        <v/>
      </c>
      <c r="J421" s="136">
        <f>IF($F421="","",IFERROR(INDEX(사건마스터!$H$5:$H$64,MATCH($F421,사건마스터!$A$5:$A$64,0)),""))</f>
        <v/>
      </c>
      <c r="K421" s="136">
        <f>IF($F421="","",IFERROR(INDEX(사건마스터!$AH$5:$AH$64,MATCH($F421,사건마스터!$A$5:$A$64,0)),""))</f>
        <v/>
      </c>
      <c r="L421" s="136">
        <f>IF($F421="","",IFERROR(INDEX(사건마스터!$AI$5:$AI$64,MATCH($F421,사건마스터!$A$5:$A$64,0)),""))</f>
        <v/>
      </c>
      <c r="M421" s="136">
        <f>IF($F421="","",IFERROR(INDEX(사건마스터!$AJ$5:$AJ$64,MATCH($F421,사건마스터!$A$5:$A$64,0)),""))</f>
        <v/>
      </c>
      <c r="N421" s="136">
        <f>IF($F421="","",IFERROR(INDEX(사건마스터!$AK$5:$AK$64,MATCH($F421,사건마스터!$A$5:$A$64,0)),""))</f>
        <v/>
      </c>
      <c r="O421" s="136">
        <f>IF($F421="","",IFERROR(INDEX(사건마스터!$AL$5:$AL$64,MATCH($F421,사건마스터!$A$5:$A$64,0)),""))</f>
        <v/>
      </c>
      <c r="P421" s="136">
        <f>IF($F421="","",IFERROR(INDEX(사건마스터!$AM$5:$AM$64,MATCH($F421,사건마스터!$A$5:$A$64,0)),""))</f>
        <v/>
      </c>
      <c r="Q421" s="136">
        <f>IF($F421="","",IFERROR(INDEX(사건마스터!$AN$5:$AN$64,MATCH($F421,사건마스터!$A$5:$A$64,0)),""))</f>
        <v/>
      </c>
      <c r="R421" s="136">
        <f>IF($F421="","",IFERROR(INDEX(사건마스터!$AO$5:$AO$64,MATCH($F421,사건마스터!$A$5:$A$64,0)),""))</f>
        <v/>
      </c>
      <c r="S421" s="136">
        <f>IF($F421="","",IFERROR(INDEX(사건마스터!$AP$5:$AP$64,MATCH($F421,사건마스터!$A$5:$A$64,0)),""))</f>
        <v/>
      </c>
      <c r="T421" s="136">
        <f>IF($F421="","",IFERROR(INDEX(사건마스터!$AQ$5:$AQ$64,MATCH($F421,사건마스터!$A$5:$A$64,0)),""))</f>
        <v/>
      </c>
      <c r="U421" s="136">
        <f>IF($F421="","",IFERROR(INDEX(사건마스터!$AR$5:$AR$64,MATCH($F421,사건마스터!$A$5:$A$64,0)),""))</f>
        <v/>
      </c>
      <c r="V421" s="136">
        <f>IF($F421="","",IFERROR(INDEX(사건마스터!$AS$5:$AS$64,MATCH($F421,사건마스터!$A$5:$A$64,0)),""))</f>
        <v/>
      </c>
      <c r="W421" s="136">
        <f>IF($F421="","",IFERROR(INDEX(사건마스터!$AT$5:$AT$64,MATCH($F421,사건마스터!$A$5:$A$64,0)),""))</f>
        <v/>
      </c>
      <c r="X421" s="136">
        <f>IF($F421="","",IFERROR(INDEX(사건마스터!$AU$5:$AU$64,MATCH($F421,사건마스터!$A$5:$A$64,0)),""))</f>
        <v/>
      </c>
      <c r="Y421" s="136">
        <f>IF($F421="","",IFERROR(INDEX(사건마스터!$AV$5:$AV$64,MATCH($F421,사건마스터!$A$5:$A$64,0)),""))</f>
        <v/>
      </c>
      <c r="Z421" s="118">
        <f>IF(COUNTBLANK($J421:$Y421)=16,"",16-COUNTBLANK($J421:$Y421))</f>
        <v/>
      </c>
      <c r="AA421" s="33">
        <f>IF($J421="",MID($AX421,3,255),$J421&amp;$AX421)</f>
        <v/>
      </c>
      <c r="AB421" s="130">
        <f>IF($J421="","",IFERROR(INDEX(코드설정!$D$5:$D$24,MATCH($J421,코드설정!$C$5:$C$24,0)),""))</f>
        <v/>
      </c>
      <c r="AC421" s="36" t="n"/>
      <c r="AD421" s="37" t="n"/>
      <c r="AE421" s="38" t="n"/>
      <c r="AF421" s="118">
        <f>IF(OR($B421="",$C421=""),"",$C421-$B421+1)</f>
        <v/>
      </c>
      <c r="AG421" s="74" t="n"/>
      <c r="AH421" s="36" t="n"/>
      <c r="AJ421">
        <f>IF($K421="","",", "&amp;$K421)</f>
        <v/>
      </c>
      <c r="AK421">
        <f>AJ421&amp;IF($L421="","",", "&amp;$L421)</f>
        <v/>
      </c>
      <c r="AL421">
        <f>AK421&amp;IF($M421="","",", "&amp;$M421)</f>
        <v/>
      </c>
      <c r="AM421">
        <f>AL421&amp;IF($N421="","",", "&amp;$N421)</f>
        <v/>
      </c>
      <c r="AN421">
        <f>AM421&amp;IF($O421="","",", "&amp;$O421)</f>
        <v/>
      </c>
      <c r="AO421">
        <f>AN421&amp;IF($P421="","",", "&amp;$P421)</f>
        <v/>
      </c>
      <c r="AP421">
        <f>AO421&amp;IF($Q421="","",", "&amp;$Q421)</f>
        <v/>
      </c>
      <c r="AQ421">
        <f>AP421&amp;IF($R421="","",", "&amp;$R421)</f>
        <v/>
      </c>
      <c r="AR421">
        <f>AQ421&amp;IF($S421="","",", "&amp;$S421)</f>
        <v/>
      </c>
      <c r="AS421">
        <f>AR421&amp;IF($T421="","",", "&amp;$T421)</f>
        <v/>
      </c>
      <c r="AT421">
        <f>AS421&amp;IF($U421="","",", "&amp;$U421)</f>
        <v/>
      </c>
      <c r="AU421">
        <f>AT421&amp;IF($V421="","",", "&amp;$V421)</f>
        <v/>
      </c>
      <c r="AV421">
        <f>AU421&amp;IF($W421="","",", "&amp;$W421)</f>
        <v/>
      </c>
      <c r="AW421">
        <f>AV421&amp;IF($X421="","",", "&amp;$X421)</f>
        <v/>
      </c>
      <c r="AX421">
        <f>AW421&amp;IF($Y421="","",", "&amp;$Y421)</f>
        <v/>
      </c>
    </row>
    <row r="422">
      <c r="A422" s="118">
        <f>IF($B422="","",COUNT($B$5:$B422))</f>
        <v/>
      </c>
      <c r="B422" s="80" t="n"/>
      <c r="C422" s="80" t="n"/>
      <c r="D422" s="74" t="n"/>
      <c r="E422" s="74" t="n"/>
      <c r="F422" s="74" t="n"/>
      <c r="G422" s="118">
        <f>IF($F422="","",COUNTIF($F$5:$F422,$F422))</f>
        <v/>
      </c>
      <c r="H422" s="33">
        <f>IF($F422="","",IFERROR(INDEX(사건마스터!$B$5:$B$64,MATCH($F422,사건마스터!$A$5:$A$64,0)),""))</f>
        <v/>
      </c>
      <c r="I422" s="130">
        <f>IF($F422="","",IFERROR(INDEX(사건마스터!$C$5:$C$64,MATCH($F422,사건마스터!$A$5:$A$64,0)),""))</f>
        <v/>
      </c>
      <c r="J422" s="136">
        <f>IF($F422="","",IFERROR(INDEX(사건마스터!$H$5:$H$64,MATCH($F422,사건마스터!$A$5:$A$64,0)),""))</f>
        <v/>
      </c>
      <c r="K422" s="136">
        <f>IF($F422="","",IFERROR(INDEX(사건마스터!$AH$5:$AH$64,MATCH($F422,사건마스터!$A$5:$A$64,0)),""))</f>
        <v/>
      </c>
      <c r="L422" s="136">
        <f>IF($F422="","",IFERROR(INDEX(사건마스터!$AI$5:$AI$64,MATCH($F422,사건마스터!$A$5:$A$64,0)),""))</f>
        <v/>
      </c>
      <c r="M422" s="136">
        <f>IF($F422="","",IFERROR(INDEX(사건마스터!$AJ$5:$AJ$64,MATCH($F422,사건마스터!$A$5:$A$64,0)),""))</f>
        <v/>
      </c>
      <c r="N422" s="136">
        <f>IF($F422="","",IFERROR(INDEX(사건마스터!$AK$5:$AK$64,MATCH($F422,사건마스터!$A$5:$A$64,0)),""))</f>
        <v/>
      </c>
      <c r="O422" s="136">
        <f>IF($F422="","",IFERROR(INDEX(사건마스터!$AL$5:$AL$64,MATCH($F422,사건마스터!$A$5:$A$64,0)),""))</f>
        <v/>
      </c>
      <c r="P422" s="136">
        <f>IF($F422="","",IFERROR(INDEX(사건마스터!$AM$5:$AM$64,MATCH($F422,사건마스터!$A$5:$A$64,0)),""))</f>
        <v/>
      </c>
      <c r="Q422" s="136">
        <f>IF($F422="","",IFERROR(INDEX(사건마스터!$AN$5:$AN$64,MATCH($F422,사건마스터!$A$5:$A$64,0)),""))</f>
        <v/>
      </c>
      <c r="R422" s="136">
        <f>IF($F422="","",IFERROR(INDEX(사건마스터!$AO$5:$AO$64,MATCH($F422,사건마스터!$A$5:$A$64,0)),""))</f>
        <v/>
      </c>
      <c r="S422" s="136">
        <f>IF($F422="","",IFERROR(INDEX(사건마스터!$AP$5:$AP$64,MATCH($F422,사건마스터!$A$5:$A$64,0)),""))</f>
        <v/>
      </c>
      <c r="T422" s="136">
        <f>IF($F422="","",IFERROR(INDEX(사건마스터!$AQ$5:$AQ$64,MATCH($F422,사건마스터!$A$5:$A$64,0)),""))</f>
        <v/>
      </c>
      <c r="U422" s="136">
        <f>IF($F422="","",IFERROR(INDEX(사건마스터!$AR$5:$AR$64,MATCH($F422,사건마스터!$A$5:$A$64,0)),""))</f>
        <v/>
      </c>
      <c r="V422" s="136">
        <f>IF($F422="","",IFERROR(INDEX(사건마스터!$AS$5:$AS$64,MATCH($F422,사건마스터!$A$5:$A$64,0)),""))</f>
        <v/>
      </c>
      <c r="W422" s="136">
        <f>IF($F422="","",IFERROR(INDEX(사건마스터!$AT$5:$AT$64,MATCH($F422,사건마스터!$A$5:$A$64,0)),""))</f>
        <v/>
      </c>
      <c r="X422" s="136">
        <f>IF($F422="","",IFERROR(INDEX(사건마스터!$AU$5:$AU$64,MATCH($F422,사건마스터!$A$5:$A$64,0)),""))</f>
        <v/>
      </c>
      <c r="Y422" s="136">
        <f>IF($F422="","",IFERROR(INDEX(사건마스터!$AV$5:$AV$64,MATCH($F422,사건마스터!$A$5:$A$64,0)),""))</f>
        <v/>
      </c>
      <c r="Z422" s="118">
        <f>IF(COUNTBLANK($J422:$Y422)=16,"",16-COUNTBLANK($J422:$Y422))</f>
        <v/>
      </c>
      <c r="AA422" s="33">
        <f>IF($J422="",MID($AX422,3,255),$J422&amp;$AX422)</f>
        <v/>
      </c>
      <c r="AB422" s="130">
        <f>IF($J422="","",IFERROR(INDEX(코드설정!$D$5:$D$24,MATCH($J422,코드설정!$C$5:$C$24,0)),""))</f>
        <v/>
      </c>
      <c r="AC422" s="36" t="n"/>
      <c r="AD422" s="37" t="n"/>
      <c r="AE422" s="38" t="n"/>
      <c r="AF422" s="118">
        <f>IF(OR($B422="",$C422=""),"",$C422-$B422+1)</f>
        <v/>
      </c>
      <c r="AG422" s="74" t="n"/>
      <c r="AH422" s="36" t="n"/>
      <c r="AJ422">
        <f>IF($K422="","",", "&amp;$K422)</f>
        <v/>
      </c>
      <c r="AK422">
        <f>AJ422&amp;IF($L422="","",", "&amp;$L422)</f>
        <v/>
      </c>
      <c r="AL422">
        <f>AK422&amp;IF($M422="","",", "&amp;$M422)</f>
        <v/>
      </c>
      <c r="AM422">
        <f>AL422&amp;IF($N422="","",", "&amp;$N422)</f>
        <v/>
      </c>
      <c r="AN422">
        <f>AM422&amp;IF($O422="","",", "&amp;$O422)</f>
        <v/>
      </c>
      <c r="AO422">
        <f>AN422&amp;IF($P422="","",", "&amp;$P422)</f>
        <v/>
      </c>
      <c r="AP422">
        <f>AO422&amp;IF($Q422="","",", "&amp;$Q422)</f>
        <v/>
      </c>
      <c r="AQ422">
        <f>AP422&amp;IF($R422="","",", "&amp;$R422)</f>
        <v/>
      </c>
      <c r="AR422">
        <f>AQ422&amp;IF($S422="","",", "&amp;$S422)</f>
        <v/>
      </c>
      <c r="AS422">
        <f>AR422&amp;IF($T422="","",", "&amp;$T422)</f>
        <v/>
      </c>
      <c r="AT422">
        <f>AS422&amp;IF($U422="","",", "&amp;$U422)</f>
        <v/>
      </c>
      <c r="AU422">
        <f>AT422&amp;IF($V422="","",", "&amp;$V422)</f>
        <v/>
      </c>
      <c r="AV422">
        <f>AU422&amp;IF($W422="","",", "&amp;$W422)</f>
        <v/>
      </c>
      <c r="AW422">
        <f>AV422&amp;IF($X422="","",", "&amp;$X422)</f>
        <v/>
      </c>
      <c r="AX422">
        <f>AW422&amp;IF($Y422="","",", "&amp;$Y422)</f>
        <v/>
      </c>
    </row>
    <row r="423">
      <c r="A423" s="118">
        <f>IF($B423="","",COUNT($B$5:$B423))</f>
        <v/>
      </c>
      <c r="B423" s="80" t="n"/>
      <c r="C423" s="80" t="n"/>
      <c r="D423" s="74" t="n"/>
      <c r="E423" s="74" t="n"/>
      <c r="F423" s="74" t="n"/>
      <c r="G423" s="118">
        <f>IF($F423="","",COUNTIF($F$5:$F423,$F423))</f>
        <v/>
      </c>
      <c r="H423" s="33">
        <f>IF($F423="","",IFERROR(INDEX(사건마스터!$B$5:$B$64,MATCH($F423,사건마스터!$A$5:$A$64,0)),""))</f>
        <v/>
      </c>
      <c r="I423" s="130">
        <f>IF($F423="","",IFERROR(INDEX(사건마스터!$C$5:$C$64,MATCH($F423,사건마스터!$A$5:$A$64,0)),""))</f>
        <v/>
      </c>
      <c r="J423" s="136">
        <f>IF($F423="","",IFERROR(INDEX(사건마스터!$H$5:$H$64,MATCH($F423,사건마스터!$A$5:$A$64,0)),""))</f>
        <v/>
      </c>
      <c r="K423" s="136">
        <f>IF($F423="","",IFERROR(INDEX(사건마스터!$AH$5:$AH$64,MATCH($F423,사건마스터!$A$5:$A$64,0)),""))</f>
        <v/>
      </c>
      <c r="L423" s="136">
        <f>IF($F423="","",IFERROR(INDEX(사건마스터!$AI$5:$AI$64,MATCH($F423,사건마스터!$A$5:$A$64,0)),""))</f>
        <v/>
      </c>
      <c r="M423" s="136">
        <f>IF($F423="","",IFERROR(INDEX(사건마스터!$AJ$5:$AJ$64,MATCH($F423,사건마스터!$A$5:$A$64,0)),""))</f>
        <v/>
      </c>
      <c r="N423" s="136">
        <f>IF($F423="","",IFERROR(INDEX(사건마스터!$AK$5:$AK$64,MATCH($F423,사건마스터!$A$5:$A$64,0)),""))</f>
        <v/>
      </c>
      <c r="O423" s="136">
        <f>IF($F423="","",IFERROR(INDEX(사건마스터!$AL$5:$AL$64,MATCH($F423,사건마스터!$A$5:$A$64,0)),""))</f>
        <v/>
      </c>
      <c r="P423" s="136">
        <f>IF($F423="","",IFERROR(INDEX(사건마스터!$AM$5:$AM$64,MATCH($F423,사건마스터!$A$5:$A$64,0)),""))</f>
        <v/>
      </c>
      <c r="Q423" s="136">
        <f>IF($F423="","",IFERROR(INDEX(사건마스터!$AN$5:$AN$64,MATCH($F423,사건마스터!$A$5:$A$64,0)),""))</f>
        <v/>
      </c>
      <c r="R423" s="136">
        <f>IF($F423="","",IFERROR(INDEX(사건마스터!$AO$5:$AO$64,MATCH($F423,사건마스터!$A$5:$A$64,0)),""))</f>
        <v/>
      </c>
      <c r="S423" s="136">
        <f>IF($F423="","",IFERROR(INDEX(사건마스터!$AP$5:$AP$64,MATCH($F423,사건마스터!$A$5:$A$64,0)),""))</f>
        <v/>
      </c>
      <c r="T423" s="136">
        <f>IF($F423="","",IFERROR(INDEX(사건마스터!$AQ$5:$AQ$64,MATCH($F423,사건마스터!$A$5:$A$64,0)),""))</f>
        <v/>
      </c>
      <c r="U423" s="136">
        <f>IF($F423="","",IFERROR(INDEX(사건마스터!$AR$5:$AR$64,MATCH($F423,사건마스터!$A$5:$A$64,0)),""))</f>
        <v/>
      </c>
      <c r="V423" s="136">
        <f>IF($F423="","",IFERROR(INDEX(사건마스터!$AS$5:$AS$64,MATCH($F423,사건마스터!$A$5:$A$64,0)),""))</f>
        <v/>
      </c>
      <c r="W423" s="136">
        <f>IF($F423="","",IFERROR(INDEX(사건마스터!$AT$5:$AT$64,MATCH($F423,사건마스터!$A$5:$A$64,0)),""))</f>
        <v/>
      </c>
      <c r="X423" s="136">
        <f>IF($F423="","",IFERROR(INDEX(사건마스터!$AU$5:$AU$64,MATCH($F423,사건마스터!$A$5:$A$64,0)),""))</f>
        <v/>
      </c>
      <c r="Y423" s="136">
        <f>IF($F423="","",IFERROR(INDEX(사건마스터!$AV$5:$AV$64,MATCH($F423,사건마스터!$A$5:$A$64,0)),""))</f>
        <v/>
      </c>
      <c r="Z423" s="118">
        <f>IF(COUNTBLANK($J423:$Y423)=16,"",16-COUNTBLANK($J423:$Y423))</f>
        <v/>
      </c>
      <c r="AA423" s="33">
        <f>IF($J423="",MID($AX423,3,255),$J423&amp;$AX423)</f>
        <v/>
      </c>
      <c r="AB423" s="130">
        <f>IF($J423="","",IFERROR(INDEX(코드설정!$D$5:$D$24,MATCH($J423,코드설정!$C$5:$C$24,0)),""))</f>
        <v/>
      </c>
      <c r="AC423" s="36" t="n"/>
      <c r="AD423" s="37" t="n"/>
      <c r="AE423" s="38" t="n"/>
      <c r="AF423" s="118">
        <f>IF(OR($B423="",$C423=""),"",$C423-$B423+1)</f>
        <v/>
      </c>
      <c r="AG423" s="74" t="n"/>
      <c r="AH423" s="36" t="n"/>
      <c r="AJ423">
        <f>IF($K423="","",", "&amp;$K423)</f>
        <v/>
      </c>
      <c r="AK423">
        <f>AJ423&amp;IF($L423="","",", "&amp;$L423)</f>
        <v/>
      </c>
      <c r="AL423">
        <f>AK423&amp;IF($M423="","",", "&amp;$M423)</f>
        <v/>
      </c>
      <c r="AM423">
        <f>AL423&amp;IF($N423="","",", "&amp;$N423)</f>
        <v/>
      </c>
      <c r="AN423">
        <f>AM423&amp;IF($O423="","",", "&amp;$O423)</f>
        <v/>
      </c>
      <c r="AO423">
        <f>AN423&amp;IF($P423="","",", "&amp;$P423)</f>
        <v/>
      </c>
      <c r="AP423">
        <f>AO423&amp;IF($Q423="","",", "&amp;$Q423)</f>
        <v/>
      </c>
      <c r="AQ423">
        <f>AP423&amp;IF($R423="","",", "&amp;$R423)</f>
        <v/>
      </c>
      <c r="AR423">
        <f>AQ423&amp;IF($S423="","",", "&amp;$S423)</f>
        <v/>
      </c>
      <c r="AS423">
        <f>AR423&amp;IF($T423="","",", "&amp;$T423)</f>
        <v/>
      </c>
      <c r="AT423">
        <f>AS423&amp;IF($U423="","",", "&amp;$U423)</f>
        <v/>
      </c>
      <c r="AU423">
        <f>AT423&amp;IF($V423="","",", "&amp;$V423)</f>
        <v/>
      </c>
      <c r="AV423">
        <f>AU423&amp;IF($W423="","",", "&amp;$W423)</f>
        <v/>
      </c>
      <c r="AW423">
        <f>AV423&amp;IF($X423="","",", "&amp;$X423)</f>
        <v/>
      </c>
      <c r="AX423">
        <f>AW423&amp;IF($Y423="","",", "&amp;$Y423)</f>
        <v/>
      </c>
    </row>
    <row r="424">
      <c r="A424" s="118">
        <f>IF($B424="","",COUNT($B$5:$B424))</f>
        <v/>
      </c>
      <c r="B424" s="80" t="n"/>
      <c r="C424" s="80" t="n"/>
      <c r="D424" s="74" t="n"/>
      <c r="E424" s="74" t="n"/>
      <c r="F424" s="74" t="n"/>
      <c r="G424" s="118">
        <f>IF($F424="","",COUNTIF($F$5:$F424,$F424))</f>
        <v/>
      </c>
      <c r="H424" s="33">
        <f>IF($F424="","",IFERROR(INDEX(사건마스터!$B$5:$B$64,MATCH($F424,사건마스터!$A$5:$A$64,0)),""))</f>
        <v/>
      </c>
      <c r="I424" s="130">
        <f>IF($F424="","",IFERROR(INDEX(사건마스터!$C$5:$C$64,MATCH($F424,사건마스터!$A$5:$A$64,0)),""))</f>
        <v/>
      </c>
      <c r="J424" s="136">
        <f>IF($F424="","",IFERROR(INDEX(사건마스터!$H$5:$H$64,MATCH($F424,사건마스터!$A$5:$A$64,0)),""))</f>
        <v/>
      </c>
      <c r="K424" s="136">
        <f>IF($F424="","",IFERROR(INDEX(사건마스터!$AH$5:$AH$64,MATCH($F424,사건마스터!$A$5:$A$64,0)),""))</f>
        <v/>
      </c>
      <c r="L424" s="136">
        <f>IF($F424="","",IFERROR(INDEX(사건마스터!$AI$5:$AI$64,MATCH($F424,사건마스터!$A$5:$A$64,0)),""))</f>
        <v/>
      </c>
      <c r="M424" s="136">
        <f>IF($F424="","",IFERROR(INDEX(사건마스터!$AJ$5:$AJ$64,MATCH($F424,사건마스터!$A$5:$A$64,0)),""))</f>
        <v/>
      </c>
      <c r="N424" s="136">
        <f>IF($F424="","",IFERROR(INDEX(사건마스터!$AK$5:$AK$64,MATCH($F424,사건마스터!$A$5:$A$64,0)),""))</f>
        <v/>
      </c>
      <c r="O424" s="136">
        <f>IF($F424="","",IFERROR(INDEX(사건마스터!$AL$5:$AL$64,MATCH($F424,사건마스터!$A$5:$A$64,0)),""))</f>
        <v/>
      </c>
      <c r="P424" s="136">
        <f>IF($F424="","",IFERROR(INDEX(사건마스터!$AM$5:$AM$64,MATCH($F424,사건마스터!$A$5:$A$64,0)),""))</f>
        <v/>
      </c>
      <c r="Q424" s="136">
        <f>IF($F424="","",IFERROR(INDEX(사건마스터!$AN$5:$AN$64,MATCH($F424,사건마스터!$A$5:$A$64,0)),""))</f>
        <v/>
      </c>
      <c r="R424" s="136">
        <f>IF($F424="","",IFERROR(INDEX(사건마스터!$AO$5:$AO$64,MATCH($F424,사건마스터!$A$5:$A$64,0)),""))</f>
        <v/>
      </c>
      <c r="S424" s="136">
        <f>IF($F424="","",IFERROR(INDEX(사건마스터!$AP$5:$AP$64,MATCH($F424,사건마스터!$A$5:$A$64,0)),""))</f>
        <v/>
      </c>
      <c r="T424" s="136">
        <f>IF($F424="","",IFERROR(INDEX(사건마스터!$AQ$5:$AQ$64,MATCH($F424,사건마스터!$A$5:$A$64,0)),""))</f>
        <v/>
      </c>
      <c r="U424" s="136">
        <f>IF($F424="","",IFERROR(INDEX(사건마스터!$AR$5:$AR$64,MATCH($F424,사건마스터!$A$5:$A$64,0)),""))</f>
        <v/>
      </c>
      <c r="V424" s="136">
        <f>IF($F424="","",IFERROR(INDEX(사건마스터!$AS$5:$AS$64,MATCH($F424,사건마스터!$A$5:$A$64,0)),""))</f>
        <v/>
      </c>
      <c r="W424" s="136">
        <f>IF($F424="","",IFERROR(INDEX(사건마스터!$AT$5:$AT$64,MATCH($F424,사건마스터!$A$5:$A$64,0)),""))</f>
        <v/>
      </c>
      <c r="X424" s="136">
        <f>IF($F424="","",IFERROR(INDEX(사건마스터!$AU$5:$AU$64,MATCH($F424,사건마스터!$A$5:$A$64,0)),""))</f>
        <v/>
      </c>
      <c r="Y424" s="136">
        <f>IF($F424="","",IFERROR(INDEX(사건마스터!$AV$5:$AV$64,MATCH($F424,사건마스터!$A$5:$A$64,0)),""))</f>
        <v/>
      </c>
      <c r="Z424" s="118">
        <f>IF(COUNTBLANK($J424:$Y424)=16,"",16-COUNTBLANK($J424:$Y424))</f>
        <v/>
      </c>
      <c r="AA424" s="33">
        <f>IF($J424="",MID($AX424,3,255),$J424&amp;$AX424)</f>
        <v/>
      </c>
      <c r="AB424" s="130">
        <f>IF($J424="","",IFERROR(INDEX(코드설정!$D$5:$D$24,MATCH($J424,코드설정!$C$5:$C$24,0)),""))</f>
        <v/>
      </c>
      <c r="AC424" s="36" t="n"/>
      <c r="AD424" s="37" t="n"/>
      <c r="AE424" s="38" t="n"/>
      <c r="AF424" s="118">
        <f>IF(OR($B424="",$C424=""),"",$C424-$B424+1)</f>
        <v/>
      </c>
      <c r="AG424" s="74" t="n"/>
      <c r="AH424" s="36" t="n"/>
      <c r="AJ424">
        <f>IF($K424="","",", "&amp;$K424)</f>
        <v/>
      </c>
      <c r="AK424">
        <f>AJ424&amp;IF($L424="","",", "&amp;$L424)</f>
        <v/>
      </c>
      <c r="AL424">
        <f>AK424&amp;IF($M424="","",", "&amp;$M424)</f>
        <v/>
      </c>
      <c r="AM424">
        <f>AL424&amp;IF($N424="","",", "&amp;$N424)</f>
        <v/>
      </c>
      <c r="AN424">
        <f>AM424&amp;IF($O424="","",", "&amp;$O424)</f>
        <v/>
      </c>
      <c r="AO424">
        <f>AN424&amp;IF($P424="","",", "&amp;$P424)</f>
        <v/>
      </c>
      <c r="AP424">
        <f>AO424&amp;IF($Q424="","",", "&amp;$Q424)</f>
        <v/>
      </c>
      <c r="AQ424">
        <f>AP424&amp;IF($R424="","",", "&amp;$R424)</f>
        <v/>
      </c>
      <c r="AR424">
        <f>AQ424&amp;IF($S424="","",", "&amp;$S424)</f>
        <v/>
      </c>
      <c r="AS424">
        <f>AR424&amp;IF($T424="","",", "&amp;$T424)</f>
        <v/>
      </c>
      <c r="AT424">
        <f>AS424&amp;IF($U424="","",", "&amp;$U424)</f>
        <v/>
      </c>
      <c r="AU424">
        <f>AT424&amp;IF($V424="","",", "&amp;$V424)</f>
        <v/>
      </c>
      <c r="AV424">
        <f>AU424&amp;IF($W424="","",", "&amp;$W424)</f>
        <v/>
      </c>
      <c r="AW424">
        <f>AV424&amp;IF($X424="","",", "&amp;$X424)</f>
        <v/>
      </c>
      <c r="AX424">
        <f>AW424&amp;IF($Y424="","",", "&amp;$Y424)</f>
        <v/>
      </c>
    </row>
    <row r="425">
      <c r="A425" s="118">
        <f>IF($B425="","",COUNT($B$5:$B425))</f>
        <v/>
      </c>
      <c r="B425" s="80" t="n"/>
      <c r="C425" s="80" t="n"/>
      <c r="D425" s="74" t="n"/>
      <c r="E425" s="74" t="n"/>
      <c r="F425" s="74" t="n"/>
      <c r="G425" s="118">
        <f>IF($F425="","",COUNTIF($F$5:$F425,$F425))</f>
        <v/>
      </c>
      <c r="H425" s="33">
        <f>IF($F425="","",IFERROR(INDEX(사건마스터!$B$5:$B$64,MATCH($F425,사건마스터!$A$5:$A$64,0)),""))</f>
        <v/>
      </c>
      <c r="I425" s="130">
        <f>IF($F425="","",IFERROR(INDEX(사건마스터!$C$5:$C$64,MATCH($F425,사건마스터!$A$5:$A$64,0)),""))</f>
        <v/>
      </c>
      <c r="J425" s="136">
        <f>IF($F425="","",IFERROR(INDEX(사건마스터!$H$5:$H$64,MATCH($F425,사건마스터!$A$5:$A$64,0)),""))</f>
        <v/>
      </c>
      <c r="K425" s="136">
        <f>IF($F425="","",IFERROR(INDEX(사건마스터!$AH$5:$AH$64,MATCH($F425,사건마스터!$A$5:$A$64,0)),""))</f>
        <v/>
      </c>
      <c r="L425" s="136">
        <f>IF($F425="","",IFERROR(INDEX(사건마스터!$AI$5:$AI$64,MATCH($F425,사건마스터!$A$5:$A$64,0)),""))</f>
        <v/>
      </c>
      <c r="M425" s="136">
        <f>IF($F425="","",IFERROR(INDEX(사건마스터!$AJ$5:$AJ$64,MATCH($F425,사건마스터!$A$5:$A$64,0)),""))</f>
        <v/>
      </c>
      <c r="N425" s="136">
        <f>IF($F425="","",IFERROR(INDEX(사건마스터!$AK$5:$AK$64,MATCH($F425,사건마스터!$A$5:$A$64,0)),""))</f>
        <v/>
      </c>
      <c r="O425" s="136">
        <f>IF($F425="","",IFERROR(INDEX(사건마스터!$AL$5:$AL$64,MATCH($F425,사건마스터!$A$5:$A$64,0)),""))</f>
        <v/>
      </c>
      <c r="P425" s="136">
        <f>IF($F425="","",IFERROR(INDEX(사건마스터!$AM$5:$AM$64,MATCH($F425,사건마스터!$A$5:$A$64,0)),""))</f>
        <v/>
      </c>
      <c r="Q425" s="136">
        <f>IF($F425="","",IFERROR(INDEX(사건마스터!$AN$5:$AN$64,MATCH($F425,사건마스터!$A$5:$A$64,0)),""))</f>
        <v/>
      </c>
      <c r="R425" s="136">
        <f>IF($F425="","",IFERROR(INDEX(사건마스터!$AO$5:$AO$64,MATCH($F425,사건마스터!$A$5:$A$64,0)),""))</f>
        <v/>
      </c>
      <c r="S425" s="136">
        <f>IF($F425="","",IFERROR(INDEX(사건마스터!$AP$5:$AP$64,MATCH($F425,사건마스터!$A$5:$A$64,0)),""))</f>
        <v/>
      </c>
      <c r="T425" s="136">
        <f>IF($F425="","",IFERROR(INDEX(사건마스터!$AQ$5:$AQ$64,MATCH($F425,사건마스터!$A$5:$A$64,0)),""))</f>
        <v/>
      </c>
      <c r="U425" s="136">
        <f>IF($F425="","",IFERROR(INDEX(사건마스터!$AR$5:$AR$64,MATCH($F425,사건마스터!$A$5:$A$64,0)),""))</f>
        <v/>
      </c>
      <c r="V425" s="136">
        <f>IF($F425="","",IFERROR(INDEX(사건마스터!$AS$5:$AS$64,MATCH($F425,사건마스터!$A$5:$A$64,0)),""))</f>
        <v/>
      </c>
      <c r="W425" s="136">
        <f>IF($F425="","",IFERROR(INDEX(사건마스터!$AT$5:$AT$64,MATCH($F425,사건마스터!$A$5:$A$64,0)),""))</f>
        <v/>
      </c>
      <c r="X425" s="136">
        <f>IF($F425="","",IFERROR(INDEX(사건마스터!$AU$5:$AU$64,MATCH($F425,사건마스터!$A$5:$A$64,0)),""))</f>
        <v/>
      </c>
      <c r="Y425" s="136">
        <f>IF($F425="","",IFERROR(INDEX(사건마스터!$AV$5:$AV$64,MATCH($F425,사건마스터!$A$5:$A$64,0)),""))</f>
        <v/>
      </c>
      <c r="Z425" s="118">
        <f>IF(COUNTBLANK($J425:$Y425)=16,"",16-COUNTBLANK($J425:$Y425))</f>
        <v/>
      </c>
      <c r="AA425" s="33">
        <f>IF($J425="",MID($AX425,3,255),$J425&amp;$AX425)</f>
        <v/>
      </c>
      <c r="AB425" s="130">
        <f>IF($J425="","",IFERROR(INDEX(코드설정!$D$5:$D$24,MATCH($J425,코드설정!$C$5:$C$24,0)),""))</f>
        <v/>
      </c>
      <c r="AC425" s="36" t="n"/>
      <c r="AD425" s="37" t="n"/>
      <c r="AE425" s="38" t="n"/>
      <c r="AF425" s="118">
        <f>IF(OR($B425="",$C425=""),"",$C425-$B425+1)</f>
        <v/>
      </c>
      <c r="AG425" s="74" t="n"/>
      <c r="AH425" s="36" t="n"/>
      <c r="AJ425">
        <f>IF($K425="","",", "&amp;$K425)</f>
        <v/>
      </c>
      <c r="AK425">
        <f>AJ425&amp;IF($L425="","",", "&amp;$L425)</f>
        <v/>
      </c>
      <c r="AL425">
        <f>AK425&amp;IF($M425="","",", "&amp;$M425)</f>
        <v/>
      </c>
      <c r="AM425">
        <f>AL425&amp;IF($N425="","",", "&amp;$N425)</f>
        <v/>
      </c>
      <c r="AN425">
        <f>AM425&amp;IF($O425="","",", "&amp;$O425)</f>
        <v/>
      </c>
      <c r="AO425">
        <f>AN425&amp;IF($P425="","",", "&amp;$P425)</f>
        <v/>
      </c>
      <c r="AP425">
        <f>AO425&amp;IF($Q425="","",", "&amp;$Q425)</f>
        <v/>
      </c>
      <c r="AQ425">
        <f>AP425&amp;IF($R425="","",", "&amp;$R425)</f>
        <v/>
      </c>
      <c r="AR425">
        <f>AQ425&amp;IF($S425="","",", "&amp;$S425)</f>
        <v/>
      </c>
      <c r="AS425">
        <f>AR425&amp;IF($T425="","",", "&amp;$T425)</f>
        <v/>
      </c>
      <c r="AT425">
        <f>AS425&amp;IF($U425="","",", "&amp;$U425)</f>
        <v/>
      </c>
      <c r="AU425">
        <f>AT425&amp;IF($V425="","",", "&amp;$V425)</f>
        <v/>
      </c>
      <c r="AV425">
        <f>AU425&amp;IF($W425="","",", "&amp;$W425)</f>
        <v/>
      </c>
      <c r="AW425">
        <f>AV425&amp;IF($X425="","",", "&amp;$X425)</f>
        <v/>
      </c>
      <c r="AX425">
        <f>AW425&amp;IF($Y425="","",", "&amp;$Y425)</f>
        <v/>
      </c>
    </row>
    <row r="426">
      <c r="A426" s="118">
        <f>IF($B426="","",COUNT($B$5:$B426))</f>
        <v/>
      </c>
      <c r="B426" s="80" t="n"/>
      <c r="C426" s="80" t="n"/>
      <c r="D426" s="74" t="n"/>
      <c r="E426" s="74" t="n"/>
      <c r="F426" s="74" t="n"/>
      <c r="G426" s="118">
        <f>IF($F426="","",COUNTIF($F$5:$F426,$F426))</f>
        <v/>
      </c>
      <c r="H426" s="33">
        <f>IF($F426="","",IFERROR(INDEX(사건마스터!$B$5:$B$64,MATCH($F426,사건마스터!$A$5:$A$64,0)),""))</f>
        <v/>
      </c>
      <c r="I426" s="130">
        <f>IF($F426="","",IFERROR(INDEX(사건마스터!$C$5:$C$64,MATCH($F426,사건마스터!$A$5:$A$64,0)),""))</f>
        <v/>
      </c>
      <c r="J426" s="136">
        <f>IF($F426="","",IFERROR(INDEX(사건마스터!$H$5:$H$64,MATCH($F426,사건마스터!$A$5:$A$64,0)),""))</f>
        <v/>
      </c>
      <c r="K426" s="136">
        <f>IF($F426="","",IFERROR(INDEX(사건마스터!$AH$5:$AH$64,MATCH($F426,사건마스터!$A$5:$A$64,0)),""))</f>
        <v/>
      </c>
      <c r="L426" s="136">
        <f>IF($F426="","",IFERROR(INDEX(사건마스터!$AI$5:$AI$64,MATCH($F426,사건마스터!$A$5:$A$64,0)),""))</f>
        <v/>
      </c>
      <c r="M426" s="136">
        <f>IF($F426="","",IFERROR(INDEX(사건마스터!$AJ$5:$AJ$64,MATCH($F426,사건마스터!$A$5:$A$64,0)),""))</f>
        <v/>
      </c>
      <c r="N426" s="136">
        <f>IF($F426="","",IFERROR(INDEX(사건마스터!$AK$5:$AK$64,MATCH($F426,사건마스터!$A$5:$A$64,0)),""))</f>
        <v/>
      </c>
      <c r="O426" s="136">
        <f>IF($F426="","",IFERROR(INDEX(사건마스터!$AL$5:$AL$64,MATCH($F426,사건마스터!$A$5:$A$64,0)),""))</f>
        <v/>
      </c>
      <c r="P426" s="136">
        <f>IF($F426="","",IFERROR(INDEX(사건마스터!$AM$5:$AM$64,MATCH($F426,사건마스터!$A$5:$A$64,0)),""))</f>
        <v/>
      </c>
      <c r="Q426" s="136">
        <f>IF($F426="","",IFERROR(INDEX(사건마스터!$AN$5:$AN$64,MATCH($F426,사건마스터!$A$5:$A$64,0)),""))</f>
        <v/>
      </c>
      <c r="R426" s="136">
        <f>IF($F426="","",IFERROR(INDEX(사건마스터!$AO$5:$AO$64,MATCH($F426,사건마스터!$A$5:$A$64,0)),""))</f>
        <v/>
      </c>
      <c r="S426" s="136">
        <f>IF($F426="","",IFERROR(INDEX(사건마스터!$AP$5:$AP$64,MATCH($F426,사건마스터!$A$5:$A$64,0)),""))</f>
        <v/>
      </c>
      <c r="T426" s="136">
        <f>IF($F426="","",IFERROR(INDEX(사건마스터!$AQ$5:$AQ$64,MATCH($F426,사건마스터!$A$5:$A$64,0)),""))</f>
        <v/>
      </c>
      <c r="U426" s="136">
        <f>IF($F426="","",IFERROR(INDEX(사건마스터!$AR$5:$AR$64,MATCH($F426,사건마스터!$A$5:$A$64,0)),""))</f>
        <v/>
      </c>
      <c r="V426" s="136">
        <f>IF($F426="","",IFERROR(INDEX(사건마스터!$AS$5:$AS$64,MATCH($F426,사건마스터!$A$5:$A$64,0)),""))</f>
        <v/>
      </c>
      <c r="W426" s="136">
        <f>IF($F426="","",IFERROR(INDEX(사건마스터!$AT$5:$AT$64,MATCH($F426,사건마스터!$A$5:$A$64,0)),""))</f>
        <v/>
      </c>
      <c r="X426" s="136">
        <f>IF($F426="","",IFERROR(INDEX(사건마스터!$AU$5:$AU$64,MATCH($F426,사건마스터!$A$5:$A$64,0)),""))</f>
        <v/>
      </c>
      <c r="Y426" s="136">
        <f>IF($F426="","",IFERROR(INDEX(사건마스터!$AV$5:$AV$64,MATCH($F426,사건마스터!$A$5:$A$64,0)),""))</f>
        <v/>
      </c>
      <c r="Z426" s="118">
        <f>IF(COUNTBLANK($J426:$Y426)=16,"",16-COUNTBLANK($J426:$Y426))</f>
        <v/>
      </c>
      <c r="AA426" s="33">
        <f>IF($J426="",MID($AX426,3,255),$J426&amp;$AX426)</f>
        <v/>
      </c>
      <c r="AB426" s="130">
        <f>IF($J426="","",IFERROR(INDEX(코드설정!$D$5:$D$24,MATCH($J426,코드설정!$C$5:$C$24,0)),""))</f>
        <v/>
      </c>
      <c r="AC426" s="36" t="n"/>
      <c r="AD426" s="37" t="n"/>
      <c r="AE426" s="38" t="n"/>
      <c r="AF426" s="118">
        <f>IF(OR($B426="",$C426=""),"",$C426-$B426+1)</f>
        <v/>
      </c>
      <c r="AG426" s="74" t="n"/>
      <c r="AH426" s="36" t="n"/>
      <c r="AJ426">
        <f>IF($K426="","",", "&amp;$K426)</f>
        <v/>
      </c>
      <c r="AK426">
        <f>AJ426&amp;IF($L426="","",", "&amp;$L426)</f>
        <v/>
      </c>
      <c r="AL426">
        <f>AK426&amp;IF($M426="","",", "&amp;$M426)</f>
        <v/>
      </c>
      <c r="AM426">
        <f>AL426&amp;IF($N426="","",", "&amp;$N426)</f>
        <v/>
      </c>
      <c r="AN426">
        <f>AM426&amp;IF($O426="","",", "&amp;$O426)</f>
        <v/>
      </c>
      <c r="AO426">
        <f>AN426&amp;IF($P426="","",", "&amp;$P426)</f>
        <v/>
      </c>
      <c r="AP426">
        <f>AO426&amp;IF($Q426="","",", "&amp;$Q426)</f>
        <v/>
      </c>
      <c r="AQ426">
        <f>AP426&amp;IF($R426="","",", "&amp;$R426)</f>
        <v/>
      </c>
      <c r="AR426">
        <f>AQ426&amp;IF($S426="","",", "&amp;$S426)</f>
        <v/>
      </c>
      <c r="AS426">
        <f>AR426&amp;IF($T426="","",", "&amp;$T426)</f>
        <v/>
      </c>
      <c r="AT426">
        <f>AS426&amp;IF($U426="","",", "&amp;$U426)</f>
        <v/>
      </c>
      <c r="AU426">
        <f>AT426&amp;IF($V426="","",", "&amp;$V426)</f>
        <v/>
      </c>
      <c r="AV426">
        <f>AU426&amp;IF($W426="","",", "&amp;$W426)</f>
        <v/>
      </c>
      <c r="AW426">
        <f>AV426&amp;IF($X426="","",", "&amp;$X426)</f>
        <v/>
      </c>
      <c r="AX426">
        <f>AW426&amp;IF($Y426="","",", "&amp;$Y426)</f>
        <v/>
      </c>
    </row>
    <row r="427">
      <c r="A427" s="118">
        <f>IF($B427="","",COUNT($B$5:$B427))</f>
        <v/>
      </c>
      <c r="B427" s="80" t="n"/>
      <c r="C427" s="80" t="n"/>
      <c r="D427" s="74" t="n"/>
      <c r="E427" s="74" t="n"/>
      <c r="F427" s="74" t="n"/>
      <c r="G427" s="118">
        <f>IF($F427="","",COUNTIF($F$5:$F427,$F427))</f>
        <v/>
      </c>
      <c r="H427" s="33">
        <f>IF($F427="","",IFERROR(INDEX(사건마스터!$B$5:$B$64,MATCH($F427,사건마스터!$A$5:$A$64,0)),""))</f>
        <v/>
      </c>
      <c r="I427" s="130">
        <f>IF($F427="","",IFERROR(INDEX(사건마스터!$C$5:$C$64,MATCH($F427,사건마스터!$A$5:$A$64,0)),""))</f>
        <v/>
      </c>
      <c r="J427" s="136">
        <f>IF($F427="","",IFERROR(INDEX(사건마스터!$H$5:$H$64,MATCH($F427,사건마스터!$A$5:$A$64,0)),""))</f>
        <v/>
      </c>
      <c r="K427" s="136">
        <f>IF($F427="","",IFERROR(INDEX(사건마스터!$AH$5:$AH$64,MATCH($F427,사건마스터!$A$5:$A$64,0)),""))</f>
        <v/>
      </c>
      <c r="L427" s="136">
        <f>IF($F427="","",IFERROR(INDEX(사건마스터!$AI$5:$AI$64,MATCH($F427,사건마스터!$A$5:$A$64,0)),""))</f>
        <v/>
      </c>
      <c r="M427" s="136">
        <f>IF($F427="","",IFERROR(INDEX(사건마스터!$AJ$5:$AJ$64,MATCH($F427,사건마스터!$A$5:$A$64,0)),""))</f>
        <v/>
      </c>
      <c r="N427" s="136">
        <f>IF($F427="","",IFERROR(INDEX(사건마스터!$AK$5:$AK$64,MATCH($F427,사건마스터!$A$5:$A$64,0)),""))</f>
        <v/>
      </c>
      <c r="O427" s="136">
        <f>IF($F427="","",IFERROR(INDEX(사건마스터!$AL$5:$AL$64,MATCH($F427,사건마스터!$A$5:$A$64,0)),""))</f>
        <v/>
      </c>
      <c r="P427" s="136">
        <f>IF($F427="","",IFERROR(INDEX(사건마스터!$AM$5:$AM$64,MATCH($F427,사건마스터!$A$5:$A$64,0)),""))</f>
        <v/>
      </c>
      <c r="Q427" s="136">
        <f>IF($F427="","",IFERROR(INDEX(사건마스터!$AN$5:$AN$64,MATCH($F427,사건마스터!$A$5:$A$64,0)),""))</f>
        <v/>
      </c>
      <c r="R427" s="136">
        <f>IF($F427="","",IFERROR(INDEX(사건마스터!$AO$5:$AO$64,MATCH($F427,사건마스터!$A$5:$A$64,0)),""))</f>
        <v/>
      </c>
      <c r="S427" s="136">
        <f>IF($F427="","",IFERROR(INDEX(사건마스터!$AP$5:$AP$64,MATCH($F427,사건마스터!$A$5:$A$64,0)),""))</f>
        <v/>
      </c>
      <c r="T427" s="136">
        <f>IF($F427="","",IFERROR(INDEX(사건마스터!$AQ$5:$AQ$64,MATCH($F427,사건마스터!$A$5:$A$64,0)),""))</f>
        <v/>
      </c>
      <c r="U427" s="136">
        <f>IF($F427="","",IFERROR(INDEX(사건마스터!$AR$5:$AR$64,MATCH($F427,사건마스터!$A$5:$A$64,0)),""))</f>
        <v/>
      </c>
      <c r="V427" s="136">
        <f>IF($F427="","",IFERROR(INDEX(사건마스터!$AS$5:$AS$64,MATCH($F427,사건마스터!$A$5:$A$64,0)),""))</f>
        <v/>
      </c>
      <c r="W427" s="136">
        <f>IF($F427="","",IFERROR(INDEX(사건마스터!$AT$5:$AT$64,MATCH($F427,사건마스터!$A$5:$A$64,0)),""))</f>
        <v/>
      </c>
      <c r="X427" s="136">
        <f>IF($F427="","",IFERROR(INDEX(사건마스터!$AU$5:$AU$64,MATCH($F427,사건마스터!$A$5:$A$64,0)),""))</f>
        <v/>
      </c>
      <c r="Y427" s="136">
        <f>IF($F427="","",IFERROR(INDEX(사건마스터!$AV$5:$AV$64,MATCH($F427,사건마스터!$A$5:$A$64,0)),""))</f>
        <v/>
      </c>
      <c r="Z427" s="118">
        <f>IF(COUNTBLANK($J427:$Y427)=16,"",16-COUNTBLANK($J427:$Y427))</f>
        <v/>
      </c>
      <c r="AA427" s="33">
        <f>IF($J427="",MID($AX427,3,255),$J427&amp;$AX427)</f>
        <v/>
      </c>
      <c r="AB427" s="130">
        <f>IF($J427="","",IFERROR(INDEX(코드설정!$D$5:$D$24,MATCH($J427,코드설정!$C$5:$C$24,0)),""))</f>
        <v/>
      </c>
      <c r="AC427" s="36" t="n"/>
      <c r="AD427" s="37" t="n"/>
      <c r="AE427" s="38" t="n"/>
      <c r="AF427" s="118">
        <f>IF(OR($B427="",$C427=""),"",$C427-$B427+1)</f>
        <v/>
      </c>
      <c r="AG427" s="74" t="n"/>
      <c r="AH427" s="36" t="n"/>
      <c r="AJ427">
        <f>IF($K427="","",", "&amp;$K427)</f>
        <v/>
      </c>
      <c r="AK427">
        <f>AJ427&amp;IF($L427="","",", "&amp;$L427)</f>
        <v/>
      </c>
      <c r="AL427">
        <f>AK427&amp;IF($M427="","",", "&amp;$M427)</f>
        <v/>
      </c>
      <c r="AM427">
        <f>AL427&amp;IF($N427="","",", "&amp;$N427)</f>
        <v/>
      </c>
      <c r="AN427">
        <f>AM427&amp;IF($O427="","",", "&amp;$O427)</f>
        <v/>
      </c>
      <c r="AO427">
        <f>AN427&amp;IF($P427="","",", "&amp;$P427)</f>
        <v/>
      </c>
      <c r="AP427">
        <f>AO427&amp;IF($Q427="","",", "&amp;$Q427)</f>
        <v/>
      </c>
      <c r="AQ427">
        <f>AP427&amp;IF($R427="","",", "&amp;$R427)</f>
        <v/>
      </c>
      <c r="AR427">
        <f>AQ427&amp;IF($S427="","",", "&amp;$S427)</f>
        <v/>
      </c>
      <c r="AS427">
        <f>AR427&amp;IF($T427="","",", "&amp;$T427)</f>
        <v/>
      </c>
      <c r="AT427">
        <f>AS427&amp;IF($U427="","",", "&amp;$U427)</f>
        <v/>
      </c>
      <c r="AU427">
        <f>AT427&amp;IF($V427="","",", "&amp;$V427)</f>
        <v/>
      </c>
      <c r="AV427">
        <f>AU427&amp;IF($W427="","",", "&amp;$W427)</f>
        <v/>
      </c>
      <c r="AW427">
        <f>AV427&amp;IF($X427="","",", "&amp;$X427)</f>
        <v/>
      </c>
      <c r="AX427">
        <f>AW427&amp;IF($Y427="","",", "&amp;$Y427)</f>
        <v/>
      </c>
    </row>
    <row r="428">
      <c r="A428" s="118">
        <f>IF($B428="","",COUNT($B$5:$B428))</f>
        <v/>
      </c>
      <c r="B428" s="80" t="n"/>
      <c r="C428" s="80" t="n"/>
      <c r="D428" s="74" t="n"/>
      <c r="E428" s="74" t="n"/>
      <c r="F428" s="74" t="n"/>
      <c r="G428" s="118">
        <f>IF($F428="","",COUNTIF($F$5:$F428,$F428))</f>
        <v/>
      </c>
      <c r="H428" s="33">
        <f>IF($F428="","",IFERROR(INDEX(사건마스터!$B$5:$B$64,MATCH($F428,사건마스터!$A$5:$A$64,0)),""))</f>
        <v/>
      </c>
      <c r="I428" s="130">
        <f>IF($F428="","",IFERROR(INDEX(사건마스터!$C$5:$C$64,MATCH($F428,사건마스터!$A$5:$A$64,0)),""))</f>
        <v/>
      </c>
      <c r="J428" s="136">
        <f>IF($F428="","",IFERROR(INDEX(사건마스터!$H$5:$H$64,MATCH($F428,사건마스터!$A$5:$A$64,0)),""))</f>
        <v/>
      </c>
      <c r="K428" s="136">
        <f>IF($F428="","",IFERROR(INDEX(사건마스터!$AH$5:$AH$64,MATCH($F428,사건마스터!$A$5:$A$64,0)),""))</f>
        <v/>
      </c>
      <c r="L428" s="136">
        <f>IF($F428="","",IFERROR(INDEX(사건마스터!$AI$5:$AI$64,MATCH($F428,사건마스터!$A$5:$A$64,0)),""))</f>
        <v/>
      </c>
      <c r="M428" s="136">
        <f>IF($F428="","",IFERROR(INDEX(사건마스터!$AJ$5:$AJ$64,MATCH($F428,사건마스터!$A$5:$A$64,0)),""))</f>
        <v/>
      </c>
      <c r="N428" s="136">
        <f>IF($F428="","",IFERROR(INDEX(사건마스터!$AK$5:$AK$64,MATCH($F428,사건마스터!$A$5:$A$64,0)),""))</f>
        <v/>
      </c>
      <c r="O428" s="136">
        <f>IF($F428="","",IFERROR(INDEX(사건마스터!$AL$5:$AL$64,MATCH($F428,사건마스터!$A$5:$A$64,0)),""))</f>
        <v/>
      </c>
      <c r="P428" s="136">
        <f>IF($F428="","",IFERROR(INDEX(사건마스터!$AM$5:$AM$64,MATCH($F428,사건마스터!$A$5:$A$64,0)),""))</f>
        <v/>
      </c>
      <c r="Q428" s="136">
        <f>IF($F428="","",IFERROR(INDEX(사건마스터!$AN$5:$AN$64,MATCH($F428,사건마스터!$A$5:$A$64,0)),""))</f>
        <v/>
      </c>
      <c r="R428" s="136">
        <f>IF($F428="","",IFERROR(INDEX(사건마스터!$AO$5:$AO$64,MATCH($F428,사건마스터!$A$5:$A$64,0)),""))</f>
        <v/>
      </c>
      <c r="S428" s="136">
        <f>IF($F428="","",IFERROR(INDEX(사건마스터!$AP$5:$AP$64,MATCH($F428,사건마스터!$A$5:$A$64,0)),""))</f>
        <v/>
      </c>
      <c r="T428" s="136">
        <f>IF($F428="","",IFERROR(INDEX(사건마스터!$AQ$5:$AQ$64,MATCH($F428,사건마스터!$A$5:$A$64,0)),""))</f>
        <v/>
      </c>
      <c r="U428" s="136">
        <f>IF($F428="","",IFERROR(INDEX(사건마스터!$AR$5:$AR$64,MATCH($F428,사건마스터!$A$5:$A$64,0)),""))</f>
        <v/>
      </c>
      <c r="V428" s="136">
        <f>IF($F428="","",IFERROR(INDEX(사건마스터!$AS$5:$AS$64,MATCH($F428,사건마스터!$A$5:$A$64,0)),""))</f>
        <v/>
      </c>
      <c r="W428" s="136">
        <f>IF($F428="","",IFERROR(INDEX(사건마스터!$AT$5:$AT$64,MATCH($F428,사건마스터!$A$5:$A$64,0)),""))</f>
        <v/>
      </c>
      <c r="X428" s="136">
        <f>IF($F428="","",IFERROR(INDEX(사건마스터!$AU$5:$AU$64,MATCH($F428,사건마스터!$A$5:$A$64,0)),""))</f>
        <v/>
      </c>
      <c r="Y428" s="136">
        <f>IF($F428="","",IFERROR(INDEX(사건마스터!$AV$5:$AV$64,MATCH($F428,사건마스터!$A$5:$A$64,0)),""))</f>
        <v/>
      </c>
      <c r="Z428" s="118">
        <f>IF(COUNTBLANK($J428:$Y428)=16,"",16-COUNTBLANK($J428:$Y428))</f>
        <v/>
      </c>
      <c r="AA428" s="33">
        <f>IF($J428="",MID($AX428,3,255),$J428&amp;$AX428)</f>
        <v/>
      </c>
      <c r="AB428" s="130">
        <f>IF($J428="","",IFERROR(INDEX(코드설정!$D$5:$D$24,MATCH($J428,코드설정!$C$5:$C$24,0)),""))</f>
        <v/>
      </c>
      <c r="AC428" s="36" t="n"/>
      <c r="AD428" s="37" t="n"/>
      <c r="AE428" s="38" t="n"/>
      <c r="AF428" s="118">
        <f>IF(OR($B428="",$C428=""),"",$C428-$B428+1)</f>
        <v/>
      </c>
      <c r="AG428" s="74" t="n"/>
      <c r="AH428" s="36" t="n"/>
      <c r="AJ428">
        <f>IF($K428="","",", "&amp;$K428)</f>
        <v/>
      </c>
      <c r="AK428">
        <f>AJ428&amp;IF($L428="","",", "&amp;$L428)</f>
        <v/>
      </c>
      <c r="AL428">
        <f>AK428&amp;IF($M428="","",", "&amp;$M428)</f>
        <v/>
      </c>
      <c r="AM428">
        <f>AL428&amp;IF($N428="","",", "&amp;$N428)</f>
        <v/>
      </c>
      <c r="AN428">
        <f>AM428&amp;IF($O428="","",", "&amp;$O428)</f>
        <v/>
      </c>
      <c r="AO428">
        <f>AN428&amp;IF($P428="","",", "&amp;$P428)</f>
        <v/>
      </c>
      <c r="AP428">
        <f>AO428&amp;IF($Q428="","",", "&amp;$Q428)</f>
        <v/>
      </c>
      <c r="AQ428">
        <f>AP428&amp;IF($R428="","",", "&amp;$R428)</f>
        <v/>
      </c>
      <c r="AR428">
        <f>AQ428&amp;IF($S428="","",", "&amp;$S428)</f>
        <v/>
      </c>
      <c r="AS428">
        <f>AR428&amp;IF($T428="","",", "&amp;$T428)</f>
        <v/>
      </c>
      <c r="AT428">
        <f>AS428&amp;IF($U428="","",", "&amp;$U428)</f>
        <v/>
      </c>
      <c r="AU428">
        <f>AT428&amp;IF($V428="","",", "&amp;$V428)</f>
        <v/>
      </c>
      <c r="AV428">
        <f>AU428&amp;IF($W428="","",", "&amp;$W428)</f>
        <v/>
      </c>
      <c r="AW428">
        <f>AV428&amp;IF($X428="","",", "&amp;$X428)</f>
        <v/>
      </c>
      <c r="AX428">
        <f>AW428&amp;IF($Y428="","",", "&amp;$Y428)</f>
        <v/>
      </c>
    </row>
    <row r="429">
      <c r="A429" s="118">
        <f>IF($B429="","",COUNT($B$5:$B429))</f>
        <v/>
      </c>
      <c r="B429" s="80" t="n"/>
      <c r="C429" s="80" t="n"/>
      <c r="D429" s="74" t="n"/>
      <c r="E429" s="74" t="n"/>
      <c r="F429" s="74" t="n"/>
      <c r="G429" s="118">
        <f>IF($F429="","",COUNTIF($F$5:$F429,$F429))</f>
        <v/>
      </c>
      <c r="H429" s="33">
        <f>IF($F429="","",IFERROR(INDEX(사건마스터!$B$5:$B$64,MATCH($F429,사건마스터!$A$5:$A$64,0)),""))</f>
        <v/>
      </c>
      <c r="I429" s="130">
        <f>IF($F429="","",IFERROR(INDEX(사건마스터!$C$5:$C$64,MATCH($F429,사건마스터!$A$5:$A$64,0)),""))</f>
        <v/>
      </c>
      <c r="J429" s="136">
        <f>IF($F429="","",IFERROR(INDEX(사건마스터!$H$5:$H$64,MATCH($F429,사건마스터!$A$5:$A$64,0)),""))</f>
        <v/>
      </c>
      <c r="K429" s="136">
        <f>IF($F429="","",IFERROR(INDEX(사건마스터!$AH$5:$AH$64,MATCH($F429,사건마스터!$A$5:$A$64,0)),""))</f>
        <v/>
      </c>
      <c r="L429" s="136">
        <f>IF($F429="","",IFERROR(INDEX(사건마스터!$AI$5:$AI$64,MATCH($F429,사건마스터!$A$5:$A$64,0)),""))</f>
        <v/>
      </c>
      <c r="M429" s="136">
        <f>IF($F429="","",IFERROR(INDEX(사건마스터!$AJ$5:$AJ$64,MATCH($F429,사건마스터!$A$5:$A$64,0)),""))</f>
        <v/>
      </c>
      <c r="N429" s="136">
        <f>IF($F429="","",IFERROR(INDEX(사건마스터!$AK$5:$AK$64,MATCH($F429,사건마스터!$A$5:$A$64,0)),""))</f>
        <v/>
      </c>
      <c r="O429" s="136">
        <f>IF($F429="","",IFERROR(INDEX(사건마스터!$AL$5:$AL$64,MATCH($F429,사건마스터!$A$5:$A$64,0)),""))</f>
        <v/>
      </c>
      <c r="P429" s="136">
        <f>IF($F429="","",IFERROR(INDEX(사건마스터!$AM$5:$AM$64,MATCH($F429,사건마스터!$A$5:$A$64,0)),""))</f>
        <v/>
      </c>
      <c r="Q429" s="136">
        <f>IF($F429="","",IFERROR(INDEX(사건마스터!$AN$5:$AN$64,MATCH($F429,사건마스터!$A$5:$A$64,0)),""))</f>
        <v/>
      </c>
      <c r="R429" s="136">
        <f>IF($F429="","",IFERROR(INDEX(사건마스터!$AO$5:$AO$64,MATCH($F429,사건마스터!$A$5:$A$64,0)),""))</f>
        <v/>
      </c>
      <c r="S429" s="136">
        <f>IF($F429="","",IFERROR(INDEX(사건마스터!$AP$5:$AP$64,MATCH($F429,사건마스터!$A$5:$A$64,0)),""))</f>
        <v/>
      </c>
      <c r="T429" s="136">
        <f>IF($F429="","",IFERROR(INDEX(사건마스터!$AQ$5:$AQ$64,MATCH($F429,사건마스터!$A$5:$A$64,0)),""))</f>
        <v/>
      </c>
      <c r="U429" s="136">
        <f>IF($F429="","",IFERROR(INDEX(사건마스터!$AR$5:$AR$64,MATCH($F429,사건마스터!$A$5:$A$64,0)),""))</f>
        <v/>
      </c>
      <c r="V429" s="136">
        <f>IF($F429="","",IFERROR(INDEX(사건마스터!$AS$5:$AS$64,MATCH($F429,사건마스터!$A$5:$A$64,0)),""))</f>
        <v/>
      </c>
      <c r="W429" s="136">
        <f>IF($F429="","",IFERROR(INDEX(사건마스터!$AT$5:$AT$64,MATCH($F429,사건마스터!$A$5:$A$64,0)),""))</f>
        <v/>
      </c>
      <c r="X429" s="136">
        <f>IF($F429="","",IFERROR(INDEX(사건마스터!$AU$5:$AU$64,MATCH($F429,사건마스터!$A$5:$A$64,0)),""))</f>
        <v/>
      </c>
      <c r="Y429" s="136">
        <f>IF($F429="","",IFERROR(INDEX(사건마스터!$AV$5:$AV$64,MATCH($F429,사건마스터!$A$5:$A$64,0)),""))</f>
        <v/>
      </c>
      <c r="Z429" s="118">
        <f>IF(COUNTBLANK($J429:$Y429)=16,"",16-COUNTBLANK($J429:$Y429))</f>
        <v/>
      </c>
      <c r="AA429" s="33">
        <f>IF($J429="",MID($AX429,3,255),$J429&amp;$AX429)</f>
        <v/>
      </c>
      <c r="AB429" s="130">
        <f>IF($J429="","",IFERROR(INDEX(코드설정!$D$5:$D$24,MATCH($J429,코드설정!$C$5:$C$24,0)),""))</f>
        <v/>
      </c>
      <c r="AC429" s="36" t="n"/>
      <c r="AD429" s="37" t="n"/>
      <c r="AE429" s="38" t="n"/>
      <c r="AF429" s="118">
        <f>IF(OR($B429="",$C429=""),"",$C429-$B429+1)</f>
        <v/>
      </c>
      <c r="AG429" s="74" t="n"/>
      <c r="AH429" s="36" t="n"/>
      <c r="AJ429">
        <f>IF($K429="","",", "&amp;$K429)</f>
        <v/>
      </c>
      <c r="AK429">
        <f>AJ429&amp;IF($L429="","",", "&amp;$L429)</f>
        <v/>
      </c>
      <c r="AL429">
        <f>AK429&amp;IF($M429="","",", "&amp;$M429)</f>
        <v/>
      </c>
      <c r="AM429">
        <f>AL429&amp;IF($N429="","",", "&amp;$N429)</f>
        <v/>
      </c>
      <c r="AN429">
        <f>AM429&amp;IF($O429="","",", "&amp;$O429)</f>
        <v/>
      </c>
      <c r="AO429">
        <f>AN429&amp;IF($P429="","",", "&amp;$P429)</f>
        <v/>
      </c>
      <c r="AP429">
        <f>AO429&amp;IF($Q429="","",", "&amp;$Q429)</f>
        <v/>
      </c>
      <c r="AQ429">
        <f>AP429&amp;IF($R429="","",", "&amp;$R429)</f>
        <v/>
      </c>
      <c r="AR429">
        <f>AQ429&amp;IF($S429="","",", "&amp;$S429)</f>
        <v/>
      </c>
      <c r="AS429">
        <f>AR429&amp;IF($T429="","",", "&amp;$T429)</f>
        <v/>
      </c>
      <c r="AT429">
        <f>AS429&amp;IF($U429="","",", "&amp;$U429)</f>
        <v/>
      </c>
      <c r="AU429">
        <f>AT429&amp;IF($V429="","",", "&amp;$V429)</f>
        <v/>
      </c>
      <c r="AV429">
        <f>AU429&amp;IF($W429="","",", "&amp;$W429)</f>
        <v/>
      </c>
      <c r="AW429">
        <f>AV429&amp;IF($X429="","",", "&amp;$X429)</f>
        <v/>
      </c>
      <c r="AX429">
        <f>AW429&amp;IF($Y429="","",", "&amp;$Y429)</f>
        <v/>
      </c>
    </row>
    <row r="430">
      <c r="A430" s="118">
        <f>IF($B430="","",COUNT($B$5:$B430))</f>
        <v/>
      </c>
      <c r="B430" s="80" t="n"/>
      <c r="C430" s="80" t="n"/>
      <c r="D430" s="74" t="n"/>
      <c r="E430" s="74" t="n"/>
      <c r="F430" s="74" t="n"/>
      <c r="G430" s="118">
        <f>IF($F430="","",COUNTIF($F$5:$F430,$F430))</f>
        <v/>
      </c>
      <c r="H430" s="33">
        <f>IF($F430="","",IFERROR(INDEX(사건마스터!$B$5:$B$64,MATCH($F430,사건마스터!$A$5:$A$64,0)),""))</f>
        <v/>
      </c>
      <c r="I430" s="130">
        <f>IF($F430="","",IFERROR(INDEX(사건마스터!$C$5:$C$64,MATCH($F430,사건마스터!$A$5:$A$64,0)),""))</f>
        <v/>
      </c>
      <c r="J430" s="136">
        <f>IF($F430="","",IFERROR(INDEX(사건마스터!$H$5:$H$64,MATCH($F430,사건마스터!$A$5:$A$64,0)),""))</f>
        <v/>
      </c>
      <c r="K430" s="136">
        <f>IF($F430="","",IFERROR(INDEX(사건마스터!$AH$5:$AH$64,MATCH($F430,사건마스터!$A$5:$A$64,0)),""))</f>
        <v/>
      </c>
      <c r="L430" s="136">
        <f>IF($F430="","",IFERROR(INDEX(사건마스터!$AI$5:$AI$64,MATCH($F430,사건마스터!$A$5:$A$64,0)),""))</f>
        <v/>
      </c>
      <c r="M430" s="136">
        <f>IF($F430="","",IFERROR(INDEX(사건마스터!$AJ$5:$AJ$64,MATCH($F430,사건마스터!$A$5:$A$64,0)),""))</f>
        <v/>
      </c>
      <c r="N430" s="136">
        <f>IF($F430="","",IFERROR(INDEX(사건마스터!$AK$5:$AK$64,MATCH($F430,사건마스터!$A$5:$A$64,0)),""))</f>
        <v/>
      </c>
      <c r="O430" s="136">
        <f>IF($F430="","",IFERROR(INDEX(사건마스터!$AL$5:$AL$64,MATCH($F430,사건마스터!$A$5:$A$64,0)),""))</f>
        <v/>
      </c>
      <c r="P430" s="136">
        <f>IF($F430="","",IFERROR(INDEX(사건마스터!$AM$5:$AM$64,MATCH($F430,사건마스터!$A$5:$A$64,0)),""))</f>
        <v/>
      </c>
      <c r="Q430" s="136">
        <f>IF($F430="","",IFERROR(INDEX(사건마스터!$AN$5:$AN$64,MATCH($F430,사건마스터!$A$5:$A$64,0)),""))</f>
        <v/>
      </c>
      <c r="R430" s="136">
        <f>IF($F430="","",IFERROR(INDEX(사건마스터!$AO$5:$AO$64,MATCH($F430,사건마스터!$A$5:$A$64,0)),""))</f>
        <v/>
      </c>
      <c r="S430" s="136">
        <f>IF($F430="","",IFERROR(INDEX(사건마스터!$AP$5:$AP$64,MATCH($F430,사건마스터!$A$5:$A$64,0)),""))</f>
        <v/>
      </c>
      <c r="T430" s="136">
        <f>IF($F430="","",IFERROR(INDEX(사건마스터!$AQ$5:$AQ$64,MATCH($F430,사건마스터!$A$5:$A$64,0)),""))</f>
        <v/>
      </c>
      <c r="U430" s="136">
        <f>IF($F430="","",IFERROR(INDEX(사건마스터!$AR$5:$AR$64,MATCH($F430,사건마스터!$A$5:$A$64,0)),""))</f>
        <v/>
      </c>
      <c r="V430" s="136">
        <f>IF($F430="","",IFERROR(INDEX(사건마스터!$AS$5:$AS$64,MATCH($F430,사건마스터!$A$5:$A$64,0)),""))</f>
        <v/>
      </c>
      <c r="W430" s="136">
        <f>IF($F430="","",IFERROR(INDEX(사건마스터!$AT$5:$AT$64,MATCH($F430,사건마스터!$A$5:$A$64,0)),""))</f>
        <v/>
      </c>
      <c r="X430" s="136">
        <f>IF($F430="","",IFERROR(INDEX(사건마스터!$AU$5:$AU$64,MATCH($F430,사건마스터!$A$5:$A$64,0)),""))</f>
        <v/>
      </c>
      <c r="Y430" s="136">
        <f>IF($F430="","",IFERROR(INDEX(사건마스터!$AV$5:$AV$64,MATCH($F430,사건마스터!$A$5:$A$64,0)),""))</f>
        <v/>
      </c>
      <c r="Z430" s="118">
        <f>IF(COUNTBLANK($J430:$Y430)=16,"",16-COUNTBLANK($J430:$Y430))</f>
        <v/>
      </c>
      <c r="AA430" s="33">
        <f>IF($J430="",MID($AX430,3,255),$J430&amp;$AX430)</f>
        <v/>
      </c>
      <c r="AB430" s="130">
        <f>IF($J430="","",IFERROR(INDEX(코드설정!$D$5:$D$24,MATCH($J430,코드설정!$C$5:$C$24,0)),""))</f>
        <v/>
      </c>
      <c r="AC430" s="36" t="n"/>
      <c r="AD430" s="37" t="n"/>
      <c r="AE430" s="38" t="n"/>
      <c r="AF430" s="118">
        <f>IF(OR($B430="",$C430=""),"",$C430-$B430+1)</f>
        <v/>
      </c>
      <c r="AG430" s="74" t="n"/>
      <c r="AH430" s="36" t="n"/>
      <c r="AJ430">
        <f>IF($K430="","",", "&amp;$K430)</f>
        <v/>
      </c>
      <c r="AK430">
        <f>AJ430&amp;IF($L430="","",", "&amp;$L430)</f>
        <v/>
      </c>
      <c r="AL430">
        <f>AK430&amp;IF($M430="","",", "&amp;$M430)</f>
        <v/>
      </c>
      <c r="AM430">
        <f>AL430&amp;IF($N430="","",", "&amp;$N430)</f>
        <v/>
      </c>
      <c r="AN430">
        <f>AM430&amp;IF($O430="","",", "&amp;$O430)</f>
        <v/>
      </c>
      <c r="AO430">
        <f>AN430&amp;IF($P430="","",", "&amp;$P430)</f>
        <v/>
      </c>
      <c r="AP430">
        <f>AO430&amp;IF($Q430="","",", "&amp;$Q430)</f>
        <v/>
      </c>
      <c r="AQ430">
        <f>AP430&amp;IF($R430="","",", "&amp;$R430)</f>
        <v/>
      </c>
      <c r="AR430">
        <f>AQ430&amp;IF($S430="","",", "&amp;$S430)</f>
        <v/>
      </c>
      <c r="AS430">
        <f>AR430&amp;IF($T430="","",", "&amp;$T430)</f>
        <v/>
      </c>
      <c r="AT430">
        <f>AS430&amp;IF($U430="","",", "&amp;$U430)</f>
        <v/>
      </c>
      <c r="AU430">
        <f>AT430&amp;IF($V430="","",", "&amp;$V430)</f>
        <v/>
      </c>
      <c r="AV430">
        <f>AU430&amp;IF($W430="","",", "&amp;$W430)</f>
        <v/>
      </c>
      <c r="AW430">
        <f>AV430&amp;IF($X430="","",", "&amp;$X430)</f>
        <v/>
      </c>
      <c r="AX430">
        <f>AW430&amp;IF($Y430="","",", "&amp;$Y430)</f>
        <v/>
      </c>
    </row>
    <row r="431">
      <c r="A431" s="118">
        <f>IF($B431="","",COUNT($B$5:$B431))</f>
        <v/>
      </c>
      <c r="B431" s="80" t="n"/>
      <c r="C431" s="80" t="n"/>
      <c r="D431" s="74" t="n"/>
      <c r="E431" s="74" t="n"/>
      <c r="F431" s="74" t="n"/>
      <c r="G431" s="118">
        <f>IF($F431="","",COUNTIF($F$5:$F431,$F431))</f>
        <v/>
      </c>
      <c r="H431" s="33">
        <f>IF($F431="","",IFERROR(INDEX(사건마스터!$B$5:$B$64,MATCH($F431,사건마스터!$A$5:$A$64,0)),""))</f>
        <v/>
      </c>
      <c r="I431" s="130">
        <f>IF($F431="","",IFERROR(INDEX(사건마스터!$C$5:$C$64,MATCH($F431,사건마스터!$A$5:$A$64,0)),""))</f>
        <v/>
      </c>
      <c r="J431" s="136">
        <f>IF($F431="","",IFERROR(INDEX(사건마스터!$H$5:$H$64,MATCH($F431,사건마스터!$A$5:$A$64,0)),""))</f>
        <v/>
      </c>
      <c r="K431" s="136">
        <f>IF($F431="","",IFERROR(INDEX(사건마스터!$AH$5:$AH$64,MATCH($F431,사건마스터!$A$5:$A$64,0)),""))</f>
        <v/>
      </c>
      <c r="L431" s="136">
        <f>IF($F431="","",IFERROR(INDEX(사건마스터!$AI$5:$AI$64,MATCH($F431,사건마스터!$A$5:$A$64,0)),""))</f>
        <v/>
      </c>
      <c r="M431" s="136">
        <f>IF($F431="","",IFERROR(INDEX(사건마스터!$AJ$5:$AJ$64,MATCH($F431,사건마스터!$A$5:$A$64,0)),""))</f>
        <v/>
      </c>
      <c r="N431" s="136">
        <f>IF($F431="","",IFERROR(INDEX(사건마스터!$AK$5:$AK$64,MATCH($F431,사건마스터!$A$5:$A$64,0)),""))</f>
        <v/>
      </c>
      <c r="O431" s="136">
        <f>IF($F431="","",IFERROR(INDEX(사건마스터!$AL$5:$AL$64,MATCH($F431,사건마스터!$A$5:$A$64,0)),""))</f>
        <v/>
      </c>
      <c r="P431" s="136">
        <f>IF($F431="","",IFERROR(INDEX(사건마스터!$AM$5:$AM$64,MATCH($F431,사건마스터!$A$5:$A$64,0)),""))</f>
        <v/>
      </c>
      <c r="Q431" s="136">
        <f>IF($F431="","",IFERROR(INDEX(사건마스터!$AN$5:$AN$64,MATCH($F431,사건마스터!$A$5:$A$64,0)),""))</f>
        <v/>
      </c>
      <c r="R431" s="136">
        <f>IF($F431="","",IFERROR(INDEX(사건마스터!$AO$5:$AO$64,MATCH($F431,사건마스터!$A$5:$A$64,0)),""))</f>
        <v/>
      </c>
      <c r="S431" s="136">
        <f>IF($F431="","",IFERROR(INDEX(사건마스터!$AP$5:$AP$64,MATCH($F431,사건마스터!$A$5:$A$64,0)),""))</f>
        <v/>
      </c>
      <c r="T431" s="136">
        <f>IF($F431="","",IFERROR(INDEX(사건마스터!$AQ$5:$AQ$64,MATCH($F431,사건마스터!$A$5:$A$64,0)),""))</f>
        <v/>
      </c>
      <c r="U431" s="136">
        <f>IF($F431="","",IFERROR(INDEX(사건마스터!$AR$5:$AR$64,MATCH($F431,사건마스터!$A$5:$A$64,0)),""))</f>
        <v/>
      </c>
      <c r="V431" s="136">
        <f>IF($F431="","",IFERROR(INDEX(사건마스터!$AS$5:$AS$64,MATCH($F431,사건마스터!$A$5:$A$64,0)),""))</f>
        <v/>
      </c>
      <c r="W431" s="136">
        <f>IF($F431="","",IFERROR(INDEX(사건마스터!$AT$5:$AT$64,MATCH($F431,사건마스터!$A$5:$A$64,0)),""))</f>
        <v/>
      </c>
      <c r="X431" s="136">
        <f>IF($F431="","",IFERROR(INDEX(사건마스터!$AU$5:$AU$64,MATCH($F431,사건마스터!$A$5:$A$64,0)),""))</f>
        <v/>
      </c>
      <c r="Y431" s="136">
        <f>IF($F431="","",IFERROR(INDEX(사건마스터!$AV$5:$AV$64,MATCH($F431,사건마스터!$A$5:$A$64,0)),""))</f>
        <v/>
      </c>
      <c r="Z431" s="118">
        <f>IF(COUNTBLANK($J431:$Y431)=16,"",16-COUNTBLANK($J431:$Y431))</f>
        <v/>
      </c>
      <c r="AA431" s="33">
        <f>IF($J431="",MID($AX431,3,255),$J431&amp;$AX431)</f>
        <v/>
      </c>
      <c r="AB431" s="130">
        <f>IF($J431="","",IFERROR(INDEX(코드설정!$D$5:$D$24,MATCH($J431,코드설정!$C$5:$C$24,0)),""))</f>
        <v/>
      </c>
      <c r="AC431" s="36" t="n"/>
      <c r="AD431" s="37" t="n"/>
      <c r="AE431" s="38" t="n"/>
      <c r="AF431" s="118">
        <f>IF(OR($B431="",$C431=""),"",$C431-$B431+1)</f>
        <v/>
      </c>
      <c r="AG431" s="74" t="n"/>
      <c r="AH431" s="36" t="n"/>
      <c r="AJ431">
        <f>IF($K431="","",", "&amp;$K431)</f>
        <v/>
      </c>
      <c r="AK431">
        <f>AJ431&amp;IF($L431="","",", "&amp;$L431)</f>
        <v/>
      </c>
      <c r="AL431">
        <f>AK431&amp;IF($M431="","",", "&amp;$M431)</f>
        <v/>
      </c>
      <c r="AM431">
        <f>AL431&amp;IF($N431="","",", "&amp;$N431)</f>
        <v/>
      </c>
      <c r="AN431">
        <f>AM431&amp;IF($O431="","",", "&amp;$O431)</f>
        <v/>
      </c>
      <c r="AO431">
        <f>AN431&amp;IF($P431="","",", "&amp;$P431)</f>
        <v/>
      </c>
      <c r="AP431">
        <f>AO431&amp;IF($Q431="","",", "&amp;$Q431)</f>
        <v/>
      </c>
      <c r="AQ431">
        <f>AP431&amp;IF($R431="","",", "&amp;$R431)</f>
        <v/>
      </c>
      <c r="AR431">
        <f>AQ431&amp;IF($S431="","",", "&amp;$S431)</f>
        <v/>
      </c>
      <c r="AS431">
        <f>AR431&amp;IF($T431="","",", "&amp;$T431)</f>
        <v/>
      </c>
      <c r="AT431">
        <f>AS431&amp;IF($U431="","",", "&amp;$U431)</f>
        <v/>
      </c>
      <c r="AU431">
        <f>AT431&amp;IF($V431="","",", "&amp;$V431)</f>
        <v/>
      </c>
      <c r="AV431">
        <f>AU431&amp;IF($W431="","",", "&amp;$W431)</f>
        <v/>
      </c>
      <c r="AW431">
        <f>AV431&amp;IF($X431="","",", "&amp;$X431)</f>
        <v/>
      </c>
      <c r="AX431">
        <f>AW431&amp;IF($Y431="","",", "&amp;$Y431)</f>
        <v/>
      </c>
    </row>
    <row r="432">
      <c r="A432" s="118">
        <f>IF($B432="","",COUNT($B$5:$B432))</f>
        <v/>
      </c>
      <c r="B432" s="80" t="n"/>
      <c r="C432" s="80" t="n"/>
      <c r="D432" s="74" t="n"/>
      <c r="E432" s="74" t="n"/>
      <c r="F432" s="74" t="n"/>
      <c r="G432" s="118">
        <f>IF($F432="","",COUNTIF($F$5:$F432,$F432))</f>
        <v/>
      </c>
      <c r="H432" s="33">
        <f>IF($F432="","",IFERROR(INDEX(사건마스터!$B$5:$B$64,MATCH($F432,사건마스터!$A$5:$A$64,0)),""))</f>
        <v/>
      </c>
      <c r="I432" s="130">
        <f>IF($F432="","",IFERROR(INDEX(사건마스터!$C$5:$C$64,MATCH($F432,사건마스터!$A$5:$A$64,0)),""))</f>
        <v/>
      </c>
      <c r="J432" s="136">
        <f>IF($F432="","",IFERROR(INDEX(사건마스터!$H$5:$H$64,MATCH($F432,사건마스터!$A$5:$A$64,0)),""))</f>
        <v/>
      </c>
      <c r="K432" s="136">
        <f>IF($F432="","",IFERROR(INDEX(사건마스터!$AH$5:$AH$64,MATCH($F432,사건마스터!$A$5:$A$64,0)),""))</f>
        <v/>
      </c>
      <c r="L432" s="136">
        <f>IF($F432="","",IFERROR(INDEX(사건마스터!$AI$5:$AI$64,MATCH($F432,사건마스터!$A$5:$A$64,0)),""))</f>
        <v/>
      </c>
      <c r="M432" s="136">
        <f>IF($F432="","",IFERROR(INDEX(사건마스터!$AJ$5:$AJ$64,MATCH($F432,사건마스터!$A$5:$A$64,0)),""))</f>
        <v/>
      </c>
      <c r="N432" s="136">
        <f>IF($F432="","",IFERROR(INDEX(사건마스터!$AK$5:$AK$64,MATCH($F432,사건마스터!$A$5:$A$64,0)),""))</f>
        <v/>
      </c>
      <c r="O432" s="136">
        <f>IF($F432="","",IFERROR(INDEX(사건마스터!$AL$5:$AL$64,MATCH($F432,사건마스터!$A$5:$A$64,0)),""))</f>
        <v/>
      </c>
      <c r="P432" s="136">
        <f>IF($F432="","",IFERROR(INDEX(사건마스터!$AM$5:$AM$64,MATCH($F432,사건마스터!$A$5:$A$64,0)),""))</f>
        <v/>
      </c>
      <c r="Q432" s="136">
        <f>IF($F432="","",IFERROR(INDEX(사건마스터!$AN$5:$AN$64,MATCH($F432,사건마스터!$A$5:$A$64,0)),""))</f>
        <v/>
      </c>
      <c r="R432" s="136">
        <f>IF($F432="","",IFERROR(INDEX(사건마스터!$AO$5:$AO$64,MATCH($F432,사건마스터!$A$5:$A$64,0)),""))</f>
        <v/>
      </c>
      <c r="S432" s="136">
        <f>IF($F432="","",IFERROR(INDEX(사건마스터!$AP$5:$AP$64,MATCH($F432,사건마스터!$A$5:$A$64,0)),""))</f>
        <v/>
      </c>
      <c r="T432" s="136">
        <f>IF($F432="","",IFERROR(INDEX(사건마스터!$AQ$5:$AQ$64,MATCH($F432,사건마스터!$A$5:$A$64,0)),""))</f>
        <v/>
      </c>
      <c r="U432" s="136">
        <f>IF($F432="","",IFERROR(INDEX(사건마스터!$AR$5:$AR$64,MATCH($F432,사건마스터!$A$5:$A$64,0)),""))</f>
        <v/>
      </c>
      <c r="V432" s="136">
        <f>IF($F432="","",IFERROR(INDEX(사건마스터!$AS$5:$AS$64,MATCH($F432,사건마스터!$A$5:$A$64,0)),""))</f>
        <v/>
      </c>
      <c r="W432" s="136">
        <f>IF($F432="","",IFERROR(INDEX(사건마스터!$AT$5:$AT$64,MATCH($F432,사건마스터!$A$5:$A$64,0)),""))</f>
        <v/>
      </c>
      <c r="X432" s="136">
        <f>IF($F432="","",IFERROR(INDEX(사건마스터!$AU$5:$AU$64,MATCH($F432,사건마스터!$A$5:$A$64,0)),""))</f>
        <v/>
      </c>
      <c r="Y432" s="136">
        <f>IF($F432="","",IFERROR(INDEX(사건마스터!$AV$5:$AV$64,MATCH($F432,사건마스터!$A$5:$A$64,0)),""))</f>
        <v/>
      </c>
      <c r="Z432" s="118">
        <f>IF(COUNTBLANK($J432:$Y432)=16,"",16-COUNTBLANK($J432:$Y432))</f>
        <v/>
      </c>
      <c r="AA432" s="33">
        <f>IF($J432="",MID($AX432,3,255),$J432&amp;$AX432)</f>
        <v/>
      </c>
      <c r="AB432" s="130">
        <f>IF($J432="","",IFERROR(INDEX(코드설정!$D$5:$D$24,MATCH($J432,코드설정!$C$5:$C$24,0)),""))</f>
        <v/>
      </c>
      <c r="AC432" s="36" t="n"/>
      <c r="AD432" s="37" t="n"/>
      <c r="AE432" s="38" t="n"/>
      <c r="AF432" s="118">
        <f>IF(OR($B432="",$C432=""),"",$C432-$B432+1)</f>
        <v/>
      </c>
      <c r="AG432" s="74" t="n"/>
      <c r="AH432" s="36" t="n"/>
      <c r="AJ432">
        <f>IF($K432="","",", "&amp;$K432)</f>
        <v/>
      </c>
      <c r="AK432">
        <f>AJ432&amp;IF($L432="","",", "&amp;$L432)</f>
        <v/>
      </c>
      <c r="AL432">
        <f>AK432&amp;IF($M432="","",", "&amp;$M432)</f>
        <v/>
      </c>
      <c r="AM432">
        <f>AL432&amp;IF($N432="","",", "&amp;$N432)</f>
        <v/>
      </c>
      <c r="AN432">
        <f>AM432&amp;IF($O432="","",", "&amp;$O432)</f>
        <v/>
      </c>
      <c r="AO432">
        <f>AN432&amp;IF($P432="","",", "&amp;$P432)</f>
        <v/>
      </c>
      <c r="AP432">
        <f>AO432&amp;IF($Q432="","",", "&amp;$Q432)</f>
        <v/>
      </c>
      <c r="AQ432">
        <f>AP432&amp;IF($R432="","",", "&amp;$R432)</f>
        <v/>
      </c>
      <c r="AR432">
        <f>AQ432&amp;IF($S432="","",", "&amp;$S432)</f>
        <v/>
      </c>
      <c r="AS432">
        <f>AR432&amp;IF($T432="","",", "&amp;$T432)</f>
        <v/>
      </c>
      <c r="AT432">
        <f>AS432&amp;IF($U432="","",", "&amp;$U432)</f>
        <v/>
      </c>
      <c r="AU432">
        <f>AT432&amp;IF($V432="","",", "&amp;$V432)</f>
        <v/>
      </c>
      <c r="AV432">
        <f>AU432&amp;IF($W432="","",", "&amp;$W432)</f>
        <v/>
      </c>
      <c r="AW432">
        <f>AV432&amp;IF($X432="","",", "&amp;$X432)</f>
        <v/>
      </c>
      <c r="AX432">
        <f>AW432&amp;IF($Y432="","",", "&amp;$Y432)</f>
        <v/>
      </c>
    </row>
    <row r="433">
      <c r="A433" s="118">
        <f>IF($B433="","",COUNT($B$5:$B433))</f>
        <v/>
      </c>
      <c r="B433" s="80" t="n"/>
      <c r="C433" s="80" t="n"/>
      <c r="D433" s="74" t="n"/>
      <c r="E433" s="74" t="n"/>
      <c r="F433" s="74" t="n"/>
      <c r="G433" s="118">
        <f>IF($F433="","",COUNTIF($F$5:$F433,$F433))</f>
        <v/>
      </c>
      <c r="H433" s="33">
        <f>IF($F433="","",IFERROR(INDEX(사건마스터!$B$5:$B$64,MATCH($F433,사건마스터!$A$5:$A$64,0)),""))</f>
        <v/>
      </c>
      <c r="I433" s="130">
        <f>IF($F433="","",IFERROR(INDEX(사건마스터!$C$5:$C$64,MATCH($F433,사건마스터!$A$5:$A$64,0)),""))</f>
        <v/>
      </c>
      <c r="J433" s="136">
        <f>IF($F433="","",IFERROR(INDEX(사건마스터!$H$5:$H$64,MATCH($F433,사건마스터!$A$5:$A$64,0)),""))</f>
        <v/>
      </c>
      <c r="K433" s="136">
        <f>IF($F433="","",IFERROR(INDEX(사건마스터!$AH$5:$AH$64,MATCH($F433,사건마스터!$A$5:$A$64,0)),""))</f>
        <v/>
      </c>
      <c r="L433" s="136">
        <f>IF($F433="","",IFERROR(INDEX(사건마스터!$AI$5:$AI$64,MATCH($F433,사건마스터!$A$5:$A$64,0)),""))</f>
        <v/>
      </c>
      <c r="M433" s="136">
        <f>IF($F433="","",IFERROR(INDEX(사건마스터!$AJ$5:$AJ$64,MATCH($F433,사건마스터!$A$5:$A$64,0)),""))</f>
        <v/>
      </c>
      <c r="N433" s="136">
        <f>IF($F433="","",IFERROR(INDEX(사건마스터!$AK$5:$AK$64,MATCH($F433,사건마스터!$A$5:$A$64,0)),""))</f>
        <v/>
      </c>
      <c r="O433" s="136">
        <f>IF($F433="","",IFERROR(INDEX(사건마스터!$AL$5:$AL$64,MATCH($F433,사건마스터!$A$5:$A$64,0)),""))</f>
        <v/>
      </c>
      <c r="P433" s="136">
        <f>IF($F433="","",IFERROR(INDEX(사건마스터!$AM$5:$AM$64,MATCH($F433,사건마스터!$A$5:$A$64,0)),""))</f>
        <v/>
      </c>
      <c r="Q433" s="136">
        <f>IF($F433="","",IFERROR(INDEX(사건마스터!$AN$5:$AN$64,MATCH($F433,사건마스터!$A$5:$A$64,0)),""))</f>
        <v/>
      </c>
      <c r="R433" s="136">
        <f>IF($F433="","",IFERROR(INDEX(사건마스터!$AO$5:$AO$64,MATCH($F433,사건마스터!$A$5:$A$64,0)),""))</f>
        <v/>
      </c>
      <c r="S433" s="136">
        <f>IF($F433="","",IFERROR(INDEX(사건마스터!$AP$5:$AP$64,MATCH($F433,사건마스터!$A$5:$A$64,0)),""))</f>
        <v/>
      </c>
      <c r="T433" s="136">
        <f>IF($F433="","",IFERROR(INDEX(사건마스터!$AQ$5:$AQ$64,MATCH($F433,사건마스터!$A$5:$A$64,0)),""))</f>
        <v/>
      </c>
      <c r="U433" s="136">
        <f>IF($F433="","",IFERROR(INDEX(사건마스터!$AR$5:$AR$64,MATCH($F433,사건마스터!$A$5:$A$64,0)),""))</f>
        <v/>
      </c>
      <c r="V433" s="136">
        <f>IF($F433="","",IFERROR(INDEX(사건마스터!$AS$5:$AS$64,MATCH($F433,사건마스터!$A$5:$A$64,0)),""))</f>
        <v/>
      </c>
      <c r="W433" s="136">
        <f>IF($F433="","",IFERROR(INDEX(사건마스터!$AT$5:$AT$64,MATCH($F433,사건마스터!$A$5:$A$64,0)),""))</f>
        <v/>
      </c>
      <c r="X433" s="136">
        <f>IF($F433="","",IFERROR(INDEX(사건마스터!$AU$5:$AU$64,MATCH($F433,사건마스터!$A$5:$A$64,0)),""))</f>
        <v/>
      </c>
      <c r="Y433" s="136">
        <f>IF($F433="","",IFERROR(INDEX(사건마스터!$AV$5:$AV$64,MATCH($F433,사건마스터!$A$5:$A$64,0)),""))</f>
        <v/>
      </c>
      <c r="Z433" s="118">
        <f>IF(COUNTBLANK($J433:$Y433)=16,"",16-COUNTBLANK($J433:$Y433))</f>
        <v/>
      </c>
      <c r="AA433" s="33">
        <f>IF($J433="",MID($AX433,3,255),$J433&amp;$AX433)</f>
        <v/>
      </c>
      <c r="AB433" s="130">
        <f>IF($J433="","",IFERROR(INDEX(코드설정!$D$5:$D$24,MATCH($J433,코드설정!$C$5:$C$24,0)),""))</f>
        <v/>
      </c>
      <c r="AC433" s="36" t="n"/>
      <c r="AD433" s="37" t="n"/>
      <c r="AE433" s="38" t="n"/>
      <c r="AF433" s="118">
        <f>IF(OR($B433="",$C433=""),"",$C433-$B433+1)</f>
        <v/>
      </c>
      <c r="AG433" s="74" t="n"/>
      <c r="AH433" s="36" t="n"/>
      <c r="AJ433">
        <f>IF($K433="","",", "&amp;$K433)</f>
        <v/>
      </c>
      <c r="AK433">
        <f>AJ433&amp;IF($L433="","",", "&amp;$L433)</f>
        <v/>
      </c>
      <c r="AL433">
        <f>AK433&amp;IF($M433="","",", "&amp;$M433)</f>
        <v/>
      </c>
      <c r="AM433">
        <f>AL433&amp;IF($N433="","",", "&amp;$N433)</f>
        <v/>
      </c>
      <c r="AN433">
        <f>AM433&amp;IF($O433="","",", "&amp;$O433)</f>
        <v/>
      </c>
      <c r="AO433">
        <f>AN433&amp;IF($P433="","",", "&amp;$P433)</f>
        <v/>
      </c>
      <c r="AP433">
        <f>AO433&amp;IF($Q433="","",", "&amp;$Q433)</f>
        <v/>
      </c>
      <c r="AQ433">
        <f>AP433&amp;IF($R433="","",", "&amp;$R433)</f>
        <v/>
      </c>
      <c r="AR433">
        <f>AQ433&amp;IF($S433="","",", "&amp;$S433)</f>
        <v/>
      </c>
      <c r="AS433">
        <f>AR433&amp;IF($T433="","",", "&amp;$T433)</f>
        <v/>
      </c>
      <c r="AT433">
        <f>AS433&amp;IF($U433="","",", "&amp;$U433)</f>
        <v/>
      </c>
      <c r="AU433">
        <f>AT433&amp;IF($V433="","",", "&amp;$V433)</f>
        <v/>
      </c>
      <c r="AV433">
        <f>AU433&amp;IF($W433="","",", "&amp;$W433)</f>
        <v/>
      </c>
      <c r="AW433">
        <f>AV433&amp;IF($X433="","",", "&amp;$X433)</f>
        <v/>
      </c>
      <c r="AX433">
        <f>AW433&amp;IF($Y433="","",", "&amp;$Y433)</f>
        <v/>
      </c>
    </row>
    <row r="434">
      <c r="A434" s="118">
        <f>IF($B434="","",COUNT($B$5:$B434))</f>
        <v/>
      </c>
      <c r="B434" s="80" t="n"/>
      <c r="C434" s="80" t="n"/>
      <c r="D434" s="74" t="n"/>
      <c r="E434" s="74" t="n"/>
      <c r="F434" s="74" t="n"/>
      <c r="G434" s="118">
        <f>IF($F434="","",COUNTIF($F$5:$F434,$F434))</f>
        <v/>
      </c>
      <c r="H434" s="33">
        <f>IF($F434="","",IFERROR(INDEX(사건마스터!$B$5:$B$64,MATCH($F434,사건마스터!$A$5:$A$64,0)),""))</f>
        <v/>
      </c>
      <c r="I434" s="130">
        <f>IF($F434="","",IFERROR(INDEX(사건마스터!$C$5:$C$64,MATCH($F434,사건마스터!$A$5:$A$64,0)),""))</f>
        <v/>
      </c>
      <c r="J434" s="136">
        <f>IF($F434="","",IFERROR(INDEX(사건마스터!$H$5:$H$64,MATCH($F434,사건마스터!$A$5:$A$64,0)),""))</f>
        <v/>
      </c>
      <c r="K434" s="136">
        <f>IF($F434="","",IFERROR(INDEX(사건마스터!$AH$5:$AH$64,MATCH($F434,사건마스터!$A$5:$A$64,0)),""))</f>
        <v/>
      </c>
      <c r="L434" s="136">
        <f>IF($F434="","",IFERROR(INDEX(사건마스터!$AI$5:$AI$64,MATCH($F434,사건마스터!$A$5:$A$64,0)),""))</f>
        <v/>
      </c>
      <c r="M434" s="136">
        <f>IF($F434="","",IFERROR(INDEX(사건마스터!$AJ$5:$AJ$64,MATCH($F434,사건마스터!$A$5:$A$64,0)),""))</f>
        <v/>
      </c>
      <c r="N434" s="136">
        <f>IF($F434="","",IFERROR(INDEX(사건마스터!$AK$5:$AK$64,MATCH($F434,사건마스터!$A$5:$A$64,0)),""))</f>
        <v/>
      </c>
      <c r="O434" s="136">
        <f>IF($F434="","",IFERROR(INDEX(사건마스터!$AL$5:$AL$64,MATCH($F434,사건마스터!$A$5:$A$64,0)),""))</f>
        <v/>
      </c>
      <c r="P434" s="136">
        <f>IF($F434="","",IFERROR(INDEX(사건마스터!$AM$5:$AM$64,MATCH($F434,사건마스터!$A$5:$A$64,0)),""))</f>
        <v/>
      </c>
      <c r="Q434" s="136">
        <f>IF($F434="","",IFERROR(INDEX(사건마스터!$AN$5:$AN$64,MATCH($F434,사건마스터!$A$5:$A$64,0)),""))</f>
        <v/>
      </c>
      <c r="R434" s="136">
        <f>IF($F434="","",IFERROR(INDEX(사건마스터!$AO$5:$AO$64,MATCH($F434,사건마스터!$A$5:$A$64,0)),""))</f>
        <v/>
      </c>
      <c r="S434" s="136">
        <f>IF($F434="","",IFERROR(INDEX(사건마스터!$AP$5:$AP$64,MATCH($F434,사건마스터!$A$5:$A$64,0)),""))</f>
        <v/>
      </c>
      <c r="T434" s="136">
        <f>IF($F434="","",IFERROR(INDEX(사건마스터!$AQ$5:$AQ$64,MATCH($F434,사건마스터!$A$5:$A$64,0)),""))</f>
        <v/>
      </c>
      <c r="U434" s="136">
        <f>IF($F434="","",IFERROR(INDEX(사건마스터!$AR$5:$AR$64,MATCH($F434,사건마스터!$A$5:$A$64,0)),""))</f>
        <v/>
      </c>
      <c r="V434" s="136">
        <f>IF($F434="","",IFERROR(INDEX(사건마스터!$AS$5:$AS$64,MATCH($F434,사건마스터!$A$5:$A$64,0)),""))</f>
        <v/>
      </c>
      <c r="W434" s="136">
        <f>IF($F434="","",IFERROR(INDEX(사건마스터!$AT$5:$AT$64,MATCH($F434,사건마스터!$A$5:$A$64,0)),""))</f>
        <v/>
      </c>
      <c r="X434" s="136">
        <f>IF($F434="","",IFERROR(INDEX(사건마스터!$AU$5:$AU$64,MATCH($F434,사건마스터!$A$5:$A$64,0)),""))</f>
        <v/>
      </c>
      <c r="Y434" s="136">
        <f>IF($F434="","",IFERROR(INDEX(사건마스터!$AV$5:$AV$64,MATCH($F434,사건마스터!$A$5:$A$64,0)),""))</f>
        <v/>
      </c>
      <c r="Z434" s="118">
        <f>IF(COUNTBLANK($J434:$Y434)=16,"",16-COUNTBLANK($J434:$Y434))</f>
        <v/>
      </c>
      <c r="AA434" s="33">
        <f>IF($J434="",MID($AX434,3,255),$J434&amp;$AX434)</f>
        <v/>
      </c>
      <c r="AB434" s="130">
        <f>IF($J434="","",IFERROR(INDEX(코드설정!$D$5:$D$24,MATCH($J434,코드설정!$C$5:$C$24,0)),""))</f>
        <v/>
      </c>
      <c r="AC434" s="36" t="n"/>
      <c r="AD434" s="37" t="n"/>
      <c r="AE434" s="38" t="n"/>
      <c r="AF434" s="118">
        <f>IF(OR($B434="",$C434=""),"",$C434-$B434+1)</f>
        <v/>
      </c>
      <c r="AG434" s="74" t="n"/>
      <c r="AH434" s="36" t="n"/>
      <c r="AJ434">
        <f>IF($K434="","",", "&amp;$K434)</f>
        <v/>
      </c>
      <c r="AK434">
        <f>AJ434&amp;IF($L434="","",", "&amp;$L434)</f>
        <v/>
      </c>
      <c r="AL434">
        <f>AK434&amp;IF($M434="","",", "&amp;$M434)</f>
        <v/>
      </c>
      <c r="AM434">
        <f>AL434&amp;IF($N434="","",", "&amp;$N434)</f>
        <v/>
      </c>
      <c r="AN434">
        <f>AM434&amp;IF($O434="","",", "&amp;$O434)</f>
        <v/>
      </c>
      <c r="AO434">
        <f>AN434&amp;IF($P434="","",", "&amp;$P434)</f>
        <v/>
      </c>
      <c r="AP434">
        <f>AO434&amp;IF($Q434="","",", "&amp;$Q434)</f>
        <v/>
      </c>
      <c r="AQ434">
        <f>AP434&amp;IF($R434="","",", "&amp;$R434)</f>
        <v/>
      </c>
      <c r="AR434">
        <f>AQ434&amp;IF($S434="","",", "&amp;$S434)</f>
        <v/>
      </c>
      <c r="AS434">
        <f>AR434&amp;IF($T434="","",", "&amp;$T434)</f>
        <v/>
      </c>
      <c r="AT434">
        <f>AS434&amp;IF($U434="","",", "&amp;$U434)</f>
        <v/>
      </c>
      <c r="AU434">
        <f>AT434&amp;IF($V434="","",", "&amp;$V434)</f>
        <v/>
      </c>
      <c r="AV434">
        <f>AU434&amp;IF($W434="","",", "&amp;$W434)</f>
        <v/>
      </c>
      <c r="AW434">
        <f>AV434&amp;IF($X434="","",", "&amp;$X434)</f>
        <v/>
      </c>
      <c r="AX434">
        <f>AW434&amp;IF($Y434="","",", "&amp;$Y434)</f>
        <v/>
      </c>
    </row>
    <row r="435">
      <c r="A435" s="118">
        <f>IF($B435="","",COUNT($B$5:$B435))</f>
        <v/>
      </c>
      <c r="B435" s="80" t="n"/>
      <c r="C435" s="80" t="n"/>
      <c r="D435" s="74" t="n"/>
      <c r="E435" s="74" t="n"/>
      <c r="F435" s="74" t="n"/>
      <c r="G435" s="118">
        <f>IF($F435="","",COUNTIF($F$5:$F435,$F435))</f>
        <v/>
      </c>
      <c r="H435" s="33">
        <f>IF($F435="","",IFERROR(INDEX(사건마스터!$B$5:$B$64,MATCH($F435,사건마스터!$A$5:$A$64,0)),""))</f>
        <v/>
      </c>
      <c r="I435" s="130">
        <f>IF($F435="","",IFERROR(INDEX(사건마스터!$C$5:$C$64,MATCH($F435,사건마스터!$A$5:$A$64,0)),""))</f>
        <v/>
      </c>
      <c r="J435" s="136">
        <f>IF($F435="","",IFERROR(INDEX(사건마스터!$H$5:$H$64,MATCH($F435,사건마스터!$A$5:$A$64,0)),""))</f>
        <v/>
      </c>
      <c r="K435" s="136">
        <f>IF($F435="","",IFERROR(INDEX(사건마스터!$AH$5:$AH$64,MATCH($F435,사건마스터!$A$5:$A$64,0)),""))</f>
        <v/>
      </c>
      <c r="L435" s="136">
        <f>IF($F435="","",IFERROR(INDEX(사건마스터!$AI$5:$AI$64,MATCH($F435,사건마스터!$A$5:$A$64,0)),""))</f>
        <v/>
      </c>
      <c r="M435" s="136">
        <f>IF($F435="","",IFERROR(INDEX(사건마스터!$AJ$5:$AJ$64,MATCH($F435,사건마스터!$A$5:$A$64,0)),""))</f>
        <v/>
      </c>
      <c r="N435" s="136">
        <f>IF($F435="","",IFERROR(INDEX(사건마스터!$AK$5:$AK$64,MATCH($F435,사건마스터!$A$5:$A$64,0)),""))</f>
        <v/>
      </c>
      <c r="O435" s="136">
        <f>IF($F435="","",IFERROR(INDEX(사건마스터!$AL$5:$AL$64,MATCH($F435,사건마스터!$A$5:$A$64,0)),""))</f>
        <v/>
      </c>
      <c r="P435" s="136">
        <f>IF($F435="","",IFERROR(INDEX(사건마스터!$AM$5:$AM$64,MATCH($F435,사건마스터!$A$5:$A$64,0)),""))</f>
        <v/>
      </c>
      <c r="Q435" s="136">
        <f>IF($F435="","",IFERROR(INDEX(사건마스터!$AN$5:$AN$64,MATCH($F435,사건마스터!$A$5:$A$64,0)),""))</f>
        <v/>
      </c>
      <c r="R435" s="136">
        <f>IF($F435="","",IFERROR(INDEX(사건마스터!$AO$5:$AO$64,MATCH($F435,사건마스터!$A$5:$A$64,0)),""))</f>
        <v/>
      </c>
      <c r="S435" s="136">
        <f>IF($F435="","",IFERROR(INDEX(사건마스터!$AP$5:$AP$64,MATCH($F435,사건마스터!$A$5:$A$64,0)),""))</f>
        <v/>
      </c>
      <c r="T435" s="136">
        <f>IF($F435="","",IFERROR(INDEX(사건마스터!$AQ$5:$AQ$64,MATCH($F435,사건마스터!$A$5:$A$64,0)),""))</f>
        <v/>
      </c>
      <c r="U435" s="136">
        <f>IF($F435="","",IFERROR(INDEX(사건마스터!$AR$5:$AR$64,MATCH($F435,사건마스터!$A$5:$A$64,0)),""))</f>
        <v/>
      </c>
      <c r="V435" s="136">
        <f>IF($F435="","",IFERROR(INDEX(사건마스터!$AS$5:$AS$64,MATCH($F435,사건마스터!$A$5:$A$64,0)),""))</f>
        <v/>
      </c>
      <c r="W435" s="136">
        <f>IF($F435="","",IFERROR(INDEX(사건마스터!$AT$5:$AT$64,MATCH($F435,사건마스터!$A$5:$A$64,0)),""))</f>
        <v/>
      </c>
      <c r="X435" s="136">
        <f>IF($F435="","",IFERROR(INDEX(사건마스터!$AU$5:$AU$64,MATCH($F435,사건마스터!$A$5:$A$64,0)),""))</f>
        <v/>
      </c>
      <c r="Y435" s="136">
        <f>IF($F435="","",IFERROR(INDEX(사건마스터!$AV$5:$AV$64,MATCH($F435,사건마스터!$A$5:$A$64,0)),""))</f>
        <v/>
      </c>
      <c r="Z435" s="118">
        <f>IF(COUNTBLANK($J435:$Y435)=16,"",16-COUNTBLANK($J435:$Y435))</f>
        <v/>
      </c>
      <c r="AA435" s="33">
        <f>IF($J435="",MID($AX435,3,255),$J435&amp;$AX435)</f>
        <v/>
      </c>
      <c r="AB435" s="130">
        <f>IF($J435="","",IFERROR(INDEX(코드설정!$D$5:$D$24,MATCH($J435,코드설정!$C$5:$C$24,0)),""))</f>
        <v/>
      </c>
      <c r="AC435" s="36" t="n"/>
      <c r="AD435" s="37" t="n"/>
      <c r="AE435" s="38" t="n"/>
      <c r="AF435" s="118">
        <f>IF(OR($B435="",$C435=""),"",$C435-$B435+1)</f>
        <v/>
      </c>
      <c r="AG435" s="74" t="n"/>
      <c r="AH435" s="36" t="n"/>
      <c r="AJ435">
        <f>IF($K435="","",", "&amp;$K435)</f>
        <v/>
      </c>
      <c r="AK435">
        <f>AJ435&amp;IF($L435="","",", "&amp;$L435)</f>
        <v/>
      </c>
      <c r="AL435">
        <f>AK435&amp;IF($M435="","",", "&amp;$M435)</f>
        <v/>
      </c>
      <c r="AM435">
        <f>AL435&amp;IF($N435="","",", "&amp;$N435)</f>
        <v/>
      </c>
      <c r="AN435">
        <f>AM435&amp;IF($O435="","",", "&amp;$O435)</f>
        <v/>
      </c>
      <c r="AO435">
        <f>AN435&amp;IF($P435="","",", "&amp;$P435)</f>
        <v/>
      </c>
      <c r="AP435">
        <f>AO435&amp;IF($Q435="","",", "&amp;$Q435)</f>
        <v/>
      </c>
      <c r="AQ435">
        <f>AP435&amp;IF($R435="","",", "&amp;$R435)</f>
        <v/>
      </c>
      <c r="AR435">
        <f>AQ435&amp;IF($S435="","",", "&amp;$S435)</f>
        <v/>
      </c>
      <c r="AS435">
        <f>AR435&amp;IF($T435="","",", "&amp;$T435)</f>
        <v/>
      </c>
      <c r="AT435">
        <f>AS435&amp;IF($U435="","",", "&amp;$U435)</f>
        <v/>
      </c>
      <c r="AU435">
        <f>AT435&amp;IF($V435="","",", "&amp;$V435)</f>
        <v/>
      </c>
      <c r="AV435">
        <f>AU435&amp;IF($W435="","",", "&amp;$W435)</f>
        <v/>
      </c>
      <c r="AW435">
        <f>AV435&amp;IF($X435="","",", "&amp;$X435)</f>
        <v/>
      </c>
      <c r="AX435">
        <f>AW435&amp;IF($Y435="","",", "&amp;$Y435)</f>
        <v/>
      </c>
    </row>
    <row r="436">
      <c r="A436" s="118">
        <f>IF($B436="","",COUNT($B$5:$B436))</f>
        <v/>
      </c>
      <c r="B436" s="80" t="n"/>
      <c r="C436" s="80" t="n"/>
      <c r="D436" s="74" t="n"/>
      <c r="E436" s="74" t="n"/>
      <c r="F436" s="74" t="n"/>
      <c r="G436" s="118">
        <f>IF($F436="","",COUNTIF($F$5:$F436,$F436))</f>
        <v/>
      </c>
      <c r="H436" s="33">
        <f>IF($F436="","",IFERROR(INDEX(사건마스터!$B$5:$B$64,MATCH($F436,사건마스터!$A$5:$A$64,0)),""))</f>
        <v/>
      </c>
      <c r="I436" s="130">
        <f>IF($F436="","",IFERROR(INDEX(사건마스터!$C$5:$C$64,MATCH($F436,사건마스터!$A$5:$A$64,0)),""))</f>
        <v/>
      </c>
      <c r="J436" s="136">
        <f>IF($F436="","",IFERROR(INDEX(사건마스터!$H$5:$H$64,MATCH($F436,사건마스터!$A$5:$A$64,0)),""))</f>
        <v/>
      </c>
      <c r="K436" s="136">
        <f>IF($F436="","",IFERROR(INDEX(사건마스터!$AH$5:$AH$64,MATCH($F436,사건마스터!$A$5:$A$64,0)),""))</f>
        <v/>
      </c>
      <c r="L436" s="136">
        <f>IF($F436="","",IFERROR(INDEX(사건마스터!$AI$5:$AI$64,MATCH($F436,사건마스터!$A$5:$A$64,0)),""))</f>
        <v/>
      </c>
      <c r="M436" s="136">
        <f>IF($F436="","",IFERROR(INDEX(사건마스터!$AJ$5:$AJ$64,MATCH($F436,사건마스터!$A$5:$A$64,0)),""))</f>
        <v/>
      </c>
      <c r="N436" s="136">
        <f>IF($F436="","",IFERROR(INDEX(사건마스터!$AK$5:$AK$64,MATCH($F436,사건마스터!$A$5:$A$64,0)),""))</f>
        <v/>
      </c>
      <c r="O436" s="136">
        <f>IF($F436="","",IFERROR(INDEX(사건마스터!$AL$5:$AL$64,MATCH($F436,사건마스터!$A$5:$A$64,0)),""))</f>
        <v/>
      </c>
      <c r="P436" s="136">
        <f>IF($F436="","",IFERROR(INDEX(사건마스터!$AM$5:$AM$64,MATCH($F436,사건마스터!$A$5:$A$64,0)),""))</f>
        <v/>
      </c>
      <c r="Q436" s="136">
        <f>IF($F436="","",IFERROR(INDEX(사건마스터!$AN$5:$AN$64,MATCH($F436,사건마스터!$A$5:$A$64,0)),""))</f>
        <v/>
      </c>
      <c r="R436" s="136">
        <f>IF($F436="","",IFERROR(INDEX(사건마스터!$AO$5:$AO$64,MATCH($F436,사건마스터!$A$5:$A$64,0)),""))</f>
        <v/>
      </c>
      <c r="S436" s="136">
        <f>IF($F436="","",IFERROR(INDEX(사건마스터!$AP$5:$AP$64,MATCH($F436,사건마스터!$A$5:$A$64,0)),""))</f>
        <v/>
      </c>
      <c r="T436" s="136">
        <f>IF($F436="","",IFERROR(INDEX(사건마스터!$AQ$5:$AQ$64,MATCH($F436,사건마스터!$A$5:$A$64,0)),""))</f>
        <v/>
      </c>
      <c r="U436" s="136">
        <f>IF($F436="","",IFERROR(INDEX(사건마스터!$AR$5:$AR$64,MATCH($F436,사건마스터!$A$5:$A$64,0)),""))</f>
        <v/>
      </c>
      <c r="V436" s="136">
        <f>IF($F436="","",IFERROR(INDEX(사건마스터!$AS$5:$AS$64,MATCH($F436,사건마스터!$A$5:$A$64,0)),""))</f>
        <v/>
      </c>
      <c r="W436" s="136">
        <f>IF($F436="","",IFERROR(INDEX(사건마스터!$AT$5:$AT$64,MATCH($F436,사건마스터!$A$5:$A$64,0)),""))</f>
        <v/>
      </c>
      <c r="X436" s="136">
        <f>IF($F436="","",IFERROR(INDEX(사건마스터!$AU$5:$AU$64,MATCH($F436,사건마스터!$A$5:$A$64,0)),""))</f>
        <v/>
      </c>
      <c r="Y436" s="136">
        <f>IF($F436="","",IFERROR(INDEX(사건마스터!$AV$5:$AV$64,MATCH($F436,사건마스터!$A$5:$A$64,0)),""))</f>
        <v/>
      </c>
      <c r="Z436" s="118">
        <f>IF(COUNTBLANK($J436:$Y436)=16,"",16-COUNTBLANK($J436:$Y436))</f>
        <v/>
      </c>
      <c r="AA436" s="33">
        <f>IF($J436="",MID($AX436,3,255),$J436&amp;$AX436)</f>
        <v/>
      </c>
      <c r="AB436" s="130">
        <f>IF($J436="","",IFERROR(INDEX(코드설정!$D$5:$D$24,MATCH($J436,코드설정!$C$5:$C$24,0)),""))</f>
        <v/>
      </c>
      <c r="AC436" s="36" t="n"/>
      <c r="AD436" s="37" t="n"/>
      <c r="AE436" s="38" t="n"/>
      <c r="AF436" s="118">
        <f>IF(OR($B436="",$C436=""),"",$C436-$B436+1)</f>
        <v/>
      </c>
      <c r="AG436" s="74" t="n"/>
      <c r="AH436" s="36" t="n"/>
      <c r="AJ436">
        <f>IF($K436="","",", "&amp;$K436)</f>
        <v/>
      </c>
      <c r="AK436">
        <f>AJ436&amp;IF($L436="","",", "&amp;$L436)</f>
        <v/>
      </c>
      <c r="AL436">
        <f>AK436&amp;IF($M436="","",", "&amp;$M436)</f>
        <v/>
      </c>
      <c r="AM436">
        <f>AL436&amp;IF($N436="","",", "&amp;$N436)</f>
        <v/>
      </c>
      <c r="AN436">
        <f>AM436&amp;IF($O436="","",", "&amp;$O436)</f>
        <v/>
      </c>
      <c r="AO436">
        <f>AN436&amp;IF($P436="","",", "&amp;$P436)</f>
        <v/>
      </c>
      <c r="AP436">
        <f>AO436&amp;IF($Q436="","",", "&amp;$Q436)</f>
        <v/>
      </c>
      <c r="AQ436">
        <f>AP436&amp;IF($R436="","",", "&amp;$R436)</f>
        <v/>
      </c>
      <c r="AR436">
        <f>AQ436&amp;IF($S436="","",", "&amp;$S436)</f>
        <v/>
      </c>
      <c r="AS436">
        <f>AR436&amp;IF($T436="","",", "&amp;$T436)</f>
        <v/>
      </c>
      <c r="AT436">
        <f>AS436&amp;IF($U436="","",", "&amp;$U436)</f>
        <v/>
      </c>
      <c r="AU436">
        <f>AT436&amp;IF($V436="","",", "&amp;$V436)</f>
        <v/>
      </c>
      <c r="AV436">
        <f>AU436&amp;IF($W436="","",", "&amp;$W436)</f>
        <v/>
      </c>
      <c r="AW436">
        <f>AV436&amp;IF($X436="","",", "&amp;$X436)</f>
        <v/>
      </c>
      <c r="AX436">
        <f>AW436&amp;IF($Y436="","",", "&amp;$Y436)</f>
        <v/>
      </c>
    </row>
    <row r="437">
      <c r="A437" s="118">
        <f>IF($B437="","",COUNT($B$5:$B437))</f>
        <v/>
      </c>
      <c r="B437" s="80" t="n"/>
      <c r="C437" s="80" t="n"/>
      <c r="D437" s="74" t="n"/>
      <c r="E437" s="74" t="n"/>
      <c r="F437" s="74" t="n"/>
      <c r="G437" s="118">
        <f>IF($F437="","",COUNTIF($F$5:$F437,$F437))</f>
        <v/>
      </c>
      <c r="H437" s="33">
        <f>IF($F437="","",IFERROR(INDEX(사건마스터!$B$5:$B$64,MATCH($F437,사건마스터!$A$5:$A$64,0)),""))</f>
        <v/>
      </c>
      <c r="I437" s="130">
        <f>IF($F437="","",IFERROR(INDEX(사건마스터!$C$5:$C$64,MATCH($F437,사건마스터!$A$5:$A$64,0)),""))</f>
        <v/>
      </c>
      <c r="J437" s="136">
        <f>IF($F437="","",IFERROR(INDEX(사건마스터!$H$5:$H$64,MATCH($F437,사건마스터!$A$5:$A$64,0)),""))</f>
        <v/>
      </c>
      <c r="K437" s="136">
        <f>IF($F437="","",IFERROR(INDEX(사건마스터!$AH$5:$AH$64,MATCH($F437,사건마스터!$A$5:$A$64,0)),""))</f>
        <v/>
      </c>
      <c r="L437" s="136">
        <f>IF($F437="","",IFERROR(INDEX(사건마스터!$AI$5:$AI$64,MATCH($F437,사건마스터!$A$5:$A$64,0)),""))</f>
        <v/>
      </c>
      <c r="M437" s="136">
        <f>IF($F437="","",IFERROR(INDEX(사건마스터!$AJ$5:$AJ$64,MATCH($F437,사건마스터!$A$5:$A$64,0)),""))</f>
        <v/>
      </c>
      <c r="N437" s="136">
        <f>IF($F437="","",IFERROR(INDEX(사건마스터!$AK$5:$AK$64,MATCH($F437,사건마스터!$A$5:$A$64,0)),""))</f>
        <v/>
      </c>
      <c r="O437" s="136">
        <f>IF($F437="","",IFERROR(INDEX(사건마스터!$AL$5:$AL$64,MATCH($F437,사건마스터!$A$5:$A$64,0)),""))</f>
        <v/>
      </c>
      <c r="P437" s="136">
        <f>IF($F437="","",IFERROR(INDEX(사건마스터!$AM$5:$AM$64,MATCH($F437,사건마스터!$A$5:$A$64,0)),""))</f>
        <v/>
      </c>
      <c r="Q437" s="136">
        <f>IF($F437="","",IFERROR(INDEX(사건마스터!$AN$5:$AN$64,MATCH($F437,사건마스터!$A$5:$A$64,0)),""))</f>
        <v/>
      </c>
      <c r="R437" s="136">
        <f>IF($F437="","",IFERROR(INDEX(사건마스터!$AO$5:$AO$64,MATCH($F437,사건마스터!$A$5:$A$64,0)),""))</f>
        <v/>
      </c>
      <c r="S437" s="136">
        <f>IF($F437="","",IFERROR(INDEX(사건마스터!$AP$5:$AP$64,MATCH($F437,사건마스터!$A$5:$A$64,0)),""))</f>
        <v/>
      </c>
      <c r="T437" s="136">
        <f>IF($F437="","",IFERROR(INDEX(사건마스터!$AQ$5:$AQ$64,MATCH($F437,사건마스터!$A$5:$A$64,0)),""))</f>
        <v/>
      </c>
      <c r="U437" s="136">
        <f>IF($F437="","",IFERROR(INDEX(사건마스터!$AR$5:$AR$64,MATCH($F437,사건마스터!$A$5:$A$64,0)),""))</f>
        <v/>
      </c>
      <c r="V437" s="136">
        <f>IF($F437="","",IFERROR(INDEX(사건마스터!$AS$5:$AS$64,MATCH($F437,사건마스터!$A$5:$A$64,0)),""))</f>
        <v/>
      </c>
      <c r="W437" s="136">
        <f>IF($F437="","",IFERROR(INDEX(사건마스터!$AT$5:$AT$64,MATCH($F437,사건마스터!$A$5:$A$64,0)),""))</f>
        <v/>
      </c>
      <c r="X437" s="136">
        <f>IF($F437="","",IFERROR(INDEX(사건마스터!$AU$5:$AU$64,MATCH($F437,사건마스터!$A$5:$A$64,0)),""))</f>
        <v/>
      </c>
      <c r="Y437" s="136">
        <f>IF($F437="","",IFERROR(INDEX(사건마스터!$AV$5:$AV$64,MATCH($F437,사건마스터!$A$5:$A$64,0)),""))</f>
        <v/>
      </c>
      <c r="Z437" s="118">
        <f>IF(COUNTBLANK($J437:$Y437)=16,"",16-COUNTBLANK($J437:$Y437))</f>
        <v/>
      </c>
      <c r="AA437" s="33">
        <f>IF($J437="",MID($AX437,3,255),$J437&amp;$AX437)</f>
        <v/>
      </c>
      <c r="AB437" s="130">
        <f>IF($J437="","",IFERROR(INDEX(코드설정!$D$5:$D$24,MATCH($J437,코드설정!$C$5:$C$24,0)),""))</f>
        <v/>
      </c>
      <c r="AC437" s="36" t="n"/>
      <c r="AD437" s="37" t="n"/>
      <c r="AE437" s="38" t="n"/>
      <c r="AF437" s="118">
        <f>IF(OR($B437="",$C437=""),"",$C437-$B437+1)</f>
        <v/>
      </c>
      <c r="AG437" s="74" t="n"/>
      <c r="AH437" s="36" t="n"/>
      <c r="AJ437">
        <f>IF($K437="","",", "&amp;$K437)</f>
        <v/>
      </c>
      <c r="AK437">
        <f>AJ437&amp;IF($L437="","",", "&amp;$L437)</f>
        <v/>
      </c>
      <c r="AL437">
        <f>AK437&amp;IF($M437="","",", "&amp;$M437)</f>
        <v/>
      </c>
      <c r="AM437">
        <f>AL437&amp;IF($N437="","",", "&amp;$N437)</f>
        <v/>
      </c>
      <c r="AN437">
        <f>AM437&amp;IF($O437="","",", "&amp;$O437)</f>
        <v/>
      </c>
      <c r="AO437">
        <f>AN437&amp;IF($P437="","",", "&amp;$P437)</f>
        <v/>
      </c>
      <c r="AP437">
        <f>AO437&amp;IF($Q437="","",", "&amp;$Q437)</f>
        <v/>
      </c>
      <c r="AQ437">
        <f>AP437&amp;IF($R437="","",", "&amp;$R437)</f>
        <v/>
      </c>
      <c r="AR437">
        <f>AQ437&amp;IF($S437="","",", "&amp;$S437)</f>
        <v/>
      </c>
      <c r="AS437">
        <f>AR437&amp;IF($T437="","",", "&amp;$T437)</f>
        <v/>
      </c>
      <c r="AT437">
        <f>AS437&amp;IF($U437="","",", "&amp;$U437)</f>
        <v/>
      </c>
      <c r="AU437">
        <f>AT437&amp;IF($V437="","",", "&amp;$V437)</f>
        <v/>
      </c>
      <c r="AV437">
        <f>AU437&amp;IF($W437="","",", "&amp;$W437)</f>
        <v/>
      </c>
      <c r="AW437">
        <f>AV437&amp;IF($X437="","",", "&amp;$X437)</f>
        <v/>
      </c>
      <c r="AX437">
        <f>AW437&amp;IF($Y437="","",", "&amp;$Y437)</f>
        <v/>
      </c>
    </row>
    <row r="438">
      <c r="A438" s="118">
        <f>IF($B438="","",COUNT($B$5:$B438))</f>
        <v/>
      </c>
      <c r="B438" s="80" t="n"/>
      <c r="C438" s="80" t="n"/>
      <c r="D438" s="74" t="n"/>
      <c r="E438" s="74" t="n"/>
      <c r="F438" s="74" t="n"/>
      <c r="G438" s="118">
        <f>IF($F438="","",COUNTIF($F$5:$F438,$F438))</f>
        <v/>
      </c>
      <c r="H438" s="33">
        <f>IF($F438="","",IFERROR(INDEX(사건마스터!$B$5:$B$64,MATCH($F438,사건마스터!$A$5:$A$64,0)),""))</f>
        <v/>
      </c>
      <c r="I438" s="130">
        <f>IF($F438="","",IFERROR(INDEX(사건마스터!$C$5:$C$64,MATCH($F438,사건마스터!$A$5:$A$64,0)),""))</f>
        <v/>
      </c>
      <c r="J438" s="136">
        <f>IF($F438="","",IFERROR(INDEX(사건마스터!$H$5:$H$64,MATCH($F438,사건마스터!$A$5:$A$64,0)),""))</f>
        <v/>
      </c>
      <c r="K438" s="136">
        <f>IF($F438="","",IFERROR(INDEX(사건마스터!$AH$5:$AH$64,MATCH($F438,사건마스터!$A$5:$A$64,0)),""))</f>
        <v/>
      </c>
      <c r="L438" s="136">
        <f>IF($F438="","",IFERROR(INDEX(사건마스터!$AI$5:$AI$64,MATCH($F438,사건마스터!$A$5:$A$64,0)),""))</f>
        <v/>
      </c>
      <c r="M438" s="136">
        <f>IF($F438="","",IFERROR(INDEX(사건마스터!$AJ$5:$AJ$64,MATCH($F438,사건마스터!$A$5:$A$64,0)),""))</f>
        <v/>
      </c>
      <c r="N438" s="136">
        <f>IF($F438="","",IFERROR(INDEX(사건마스터!$AK$5:$AK$64,MATCH($F438,사건마스터!$A$5:$A$64,0)),""))</f>
        <v/>
      </c>
      <c r="O438" s="136">
        <f>IF($F438="","",IFERROR(INDEX(사건마스터!$AL$5:$AL$64,MATCH($F438,사건마스터!$A$5:$A$64,0)),""))</f>
        <v/>
      </c>
      <c r="P438" s="136">
        <f>IF($F438="","",IFERROR(INDEX(사건마스터!$AM$5:$AM$64,MATCH($F438,사건마스터!$A$5:$A$64,0)),""))</f>
        <v/>
      </c>
      <c r="Q438" s="136">
        <f>IF($F438="","",IFERROR(INDEX(사건마스터!$AN$5:$AN$64,MATCH($F438,사건마스터!$A$5:$A$64,0)),""))</f>
        <v/>
      </c>
      <c r="R438" s="136">
        <f>IF($F438="","",IFERROR(INDEX(사건마스터!$AO$5:$AO$64,MATCH($F438,사건마스터!$A$5:$A$64,0)),""))</f>
        <v/>
      </c>
      <c r="S438" s="136">
        <f>IF($F438="","",IFERROR(INDEX(사건마스터!$AP$5:$AP$64,MATCH($F438,사건마스터!$A$5:$A$64,0)),""))</f>
        <v/>
      </c>
      <c r="T438" s="136">
        <f>IF($F438="","",IFERROR(INDEX(사건마스터!$AQ$5:$AQ$64,MATCH($F438,사건마스터!$A$5:$A$64,0)),""))</f>
        <v/>
      </c>
      <c r="U438" s="136">
        <f>IF($F438="","",IFERROR(INDEX(사건마스터!$AR$5:$AR$64,MATCH($F438,사건마스터!$A$5:$A$64,0)),""))</f>
        <v/>
      </c>
      <c r="V438" s="136">
        <f>IF($F438="","",IFERROR(INDEX(사건마스터!$AS$5:$AS$64,MATCH($F438,사건마스터!$A$5:$A$64,0)),""))</f>
        <v/>
      </c>
      <c r="W438" s="136">
        <f>IF($F438="","",IFERROR(INDEX(사건마스터!$AT$5:$AT$64,MATCH($F438,사건마스터!$A$5:$A$64,0)),""))</f>
        <v/>
      </c>
      <c r="X438" s="136">
        <f>IF($F438="","",IFERROR(INDEX(사건마스터!$AU$5:$AU$64,MATCH($F438,사건마스터!$A$5:$A$64,0)),""))</f>
        <v/>
      </c>
      <c r="Y438" s="136">
        <f>IF($F438="","",IFERROR(INDEX(사건마스터!$AV$5:$AV$64,MATCH($F438,사건마스터!$A$5:$A$64,0)),""))</f>
        <v/>
      </c>
      <c r="Z438" s="118">
        <f>IF(COUNTBLANK($J438:$Y438)=16,"",16-COUNTBLANK($J438:$Y438))</f>
        <v/>
      </c>
      <c r="AA438" s="33">
        <f>IF($J438="",MID($AX438,3,255),$J438&amp;$AX438)</f>
        <v/>
      </c>
      <c r="AB438" s="130">
        <f>IF($J438="","",IFERROR(INDEX(코드설정!$D$5:$D$24,MATCH($J438,코드설정!$C$5:$C$24,0)),""))</f>
        <v/>
      </c>
      <c r="AC438" s="36" t="n"/>
      <c r="AD438" s="37" t="n"/>
      <c r="AE438" s="38" t="n"/>
      <c r="AF438" s="118">
        <f>IF(OR($B438="",$C438=""),"",$C438-$B438+1)</f>
        <v/>
      </c>
      <c r="AG438" s="74" t="n"/>
      <c r="AH438" s="36" t="n"/>
      <c r="AJ438">
        <f>IF($K438="","",", "&amp;$K438)</f>
        <v/>
      </c>
      <c r="AK438">
        <f>AJ438&amp;IF($L438="","",", "&amp;$L438)</f>
        <v/>
      </c>
      <c r="AL438">
        <f>AK438&amp;IF($M438="","",", "&amp;$M438)</f>
        <v/>
      </c>
      <c r="AM438">
        <f>AL438&amp;IF($N438="","",", "&amp;$N438)</f>
        <v/>
      </c>
      <c r="AN438">
        <f>AM438&amp;IF($O438="","",", "&amp;$O438)</f>
        <v/>
      </c>
      <c r="AO438">
        <f>AN438&amp;IF($P438="","",", "&amp;$P438)</f>
        <v/>
      </c>
      <c r="AP438">
        <f>AO438&amp;IF($Q438="","",", "&amp;$Q438)</f>
        <v/>
      </c>
      <c r="AQ438">
        <f>AP438&amp;IF($R438="","",", "&amp;$R438)</f>
        <v/>
      </c>
      <c r="AR438">
        <f>AQ438&amp;IF($S438="","",", "&amp;$S438)</f>
        <v/>
      </c>
      <c r="AS438">
        <f>AR438&amp;IF($T438="","",", "&amp;$T438)</f>
        <v/>
      </c>
      <c r="AT438">
        <f>AS438&amp;IF($U438="","",", "&amp;$U438)</f>
        <v/>
      </c>
      <c r="AU438">
        <f>AT438&amp;IF($V438="","",", "&amp;$V438)</f>
        <v/>
      </c>
      <c r="AV438">
        <f>AU438&amp;IF($W438="","",", "&amp;$W438)</f>
        <v/>
      </c>
      <c r="AW438">
        <f>AV438&amp;IF($X438="","",", "&amp;$X438)</f>
        <v/>
      </c>
      <c r="AX438">
        <f>AW438&amp;IF($Y438="","",", "&amp;$Y438)</f>
        <v/>
      </c>
    </row>
    <row r="439">
      <c r="A439" s="118">
        <f>IF($B439="","",COUNT($B$5:$B439))</f>
        <v/>
      </c>
      <c r="B439" s="80" t="n"/>
      <c r="C439" s="80" t="n"/>
      <c r="D439" s="74" t="n"/>
      <c r="E439" s="74" t="n"/>
      <c r="F439" s="74" t="n"/>
      <c r="G439" s="118">
        <f>IF($F439="","",COUNTIF($F$5:$F439,$F439))</f>
        <v/>
      </c>
      <c r="H439" s="33">
        <f>IF($F439="","",IFERROR(INDEX(사건마스터!$B$5:$B$64,MATCH($F439,사건마스터!$A$5:$A$64,0)),""))</f>
        <v/>
      </c>
      <c r="I439" s="130">
        <f>IF($F439="","",IFERROR(INDEX(사건마스터!$C$5:$C$64,MATCH($F439,사건마스터!$A$5:$A$64,0)),""))</f>
        <v/>
      </c>
      <c r="J439" s="136">
        <f>IF($F439="","",IFERROR(INDEX(사건마스터!$H$5:$H$64,MATCH($F439,사건마스터!$A$5:$A$64,0)),""))</f>
        <v/>
      </c>
      <c r="K439" s="136">
        <f>IF($F439="","",IFERROR(INDEX(사건마스터!$AH$5:$AH$64,MATCH($F439,사건마스터!$A$5:$A$64,0)),""))</f>
        <v/>
      </c>
      <c r="L439" s="136">
        <f>IF($F439="","",IFERROR(INDEX(사건마스터!$AI$5:$AI$64,MATCH($F439,사건마스터!$A$5:$A$64,0)),""))</f>
        <v/>
      </c>
      <c r="M439" s="136">
        <f>IF($F439="","",IFERROR(INDEX(사건마스터!$AJ$5:$AJ$64,MATCH($F439,사건마스터!$A$5:$A$64,0)),""))</f>
        <v/>
      </c>
      <c r="N439" s="136">
        <f>IF($F439="","",IFERROR(INDEX(사건마스터!$AK$5:$AK$64,MATCH($F439,사건마스터!$A$5:$A$64,0)),""))</f>
        <v/>
      </c>
      <c r="O439" s="136">
        <f>IF($F439="","",IFERROR(INDEX(사건마스터!$AL$5:$AL$64,MATCH($F439,사건마스터!$A$5:$A$64,0)),""))</f>
        <v/>
      </c>
      <c r="P439" s="136">
        <f>IF($F439="","",IFERROR(INDEX(사건마스터!$AM$5:$AM$64,MATCH($F439,사건마스터!$A$5:$A$64,0)),""))</f>
        <v/>
      </c>
      <c r="Q439" s="136">
        <f>IF($F439="","",IFERROR(INDEX(사건마스터!$AN$5:$AN$64,MATCH($F439,사건마스터!$A$5:$A$64,0)),""))</f>
        <v/>
      </c>
      <c r="R439" s="136">
        <f>IF($F439="","",IFERROR(INDEX(사건마스터!$AO$5:$AO$64,MATCH($F439,사건마스터!$A$5:$A$64,0)),""))</f>
        <v/>
      </c>
      <c r="S439" s="136">
        <f>IF($F439="","",IFERROR(INDEX(사건마스터!$AP$5:$AP$64,MATCH($F439,사건마스터!$A$5:$A$64,0)),""))</f>
        <v/>
      </c>
      <c r="T439" s="136">
        <f>IF($F439="","",IFERROR(INDEX(사건마스터!$AQ$5:$AQ$64,MATCH($F439,사건마스터!$A$5:$A$64,0)),""))</f>
        <v/>
      </c>
      <c r="U439" s="136">
        <f>IF($F439="","",IFERROR(INDEX(사건마스터!$AR$5:$AR$64,MATCH($F439,사건마스터!$A$5:$A$64,0)),""))</f>
        <v/>
      </c>
      <c r="V439" s="136">
        <f>IF($F439="","",IFERROR(INDEX(사건마스터!$AS$5:$AS$64,MATCH($F439,사건마스터!$A$5:$A$64,0)),""))</f>
        <v/>
      </c>
      <c r="W439" s="136">
        <f>IF($F439="","",IFERROR(INDEX(사건마스터!$AT$5:$AT$64,MATCH($F439,사건마스터!$A$5:$A$64,0)),""))</f>
        <v/>
      </c>
      <c r="X439" s="136">
        <f>IF($F439="","",IFERROR(INDEX(사건마스터!$AU$5:$AU$64,MATCH($F439,사건마스터!$A$5:$A$64,0)),""))</f>
        <v/>
      </c>
      <c r="Y439" s="136">
        <f>IF($F439="","",IFERROR(INDEX(사건마스터!$AV$5:$AV$64,MATCH($F439,사건마스터!$A$5:$A$64,0)),""))</f>
        <v/>
      </c>
      <c r="Z439" s="118">
        <f>IF(COUNTBLANK($J439:$Y439)=16,"",16-COUNTBLANK($J439:$Y439))</f>
        <v/>
      </c>
      <c r="AA439" s="33">
        <f>IF($J439="",MID($AX439,3,255),$J439&amp;$AX439)</f>
        <v/>
      </c>
      <c r="AB439" s="130">
        <f>IF($J439="","",IFERROR(INDEX(코드설정!$D$5:$D$24,MATCH($J439,코드설정!$C$5:$C$24,0)),""))</f>
        <v/>
      </c>
      <c r="AC439" s="36" t="n"/>
      <c r="AD439" s="37" t="n"/>
      <c r="AE439" s="38" t="n"/>
      <c r="AF439" s="118">
        <f>IF(OR($B439="",$C439=""),"",$C439-$B439+1)</f>
        <v/>
      </c>
      <c r="AG439" s="74" t="n"/>
      <c r="AH439" s="36" t="n"/>
      <c r="AJ439">
        <f>IF($K439="","",", "&amp;$K439)</f>
        <v/>
      </c>
      <c r="AK439">
        <f>AJ439&amp;IF($L439="","",", "&amp;$L439)</f>
        <v/>
      </c>
      <c r="AL439">
        <f>AK439&amp;IF($M439="","",", "&amp;$M439)</f>
        <v/>
      </c>
      <c r="AM439">
        <f>AL439&amp;IF($N439="","",", "&amp;$N439)</f>
        <v/>
      </c>
      <c r="AN439">
        <f>AM439&amp;IF($O439="","",", "&amp;$O439)</f>
        <v/>
      </c>
      <c r="AO439">
        <f>AN439&amp;IF($P439="","",", "&amp;$P439)</f>
        <v/>
      </c>
      <c r="AP439">
        <f>AO439&amp;IF($Q439="","",", "&amp;$Q439)</f>
        <v/>
      </c>
      <c r="AQ439">
        <f>AP439&amp;IF($R439="","",", "&amp;$R439)</f>
        <v/>
      </c>
      <c r="AR439">
        <f>AQ439&amp;IF($S439="","",", "&amp;$S439)</f>
        <v/>
      </c>
      <c r="AS439">
        <f>AR439&amp;IF($T439="","",", "&amp;$T439)</f>
        <v/>
      </c>
      <c r="AT439">
        <f>AS439&amp;IF($U439="","",", "&amp;$U439)</f>
        <v/>
      </c>
      <c r="AU439">
        <f>AT439&amp;IF($V439="","",", "&amp;$V439)</f>
        <v/>
      </c>
      <c r="AV439">
        <f>AU439&amp;IF($W439="","",", "&amp;$W439)</f>
        <v/>
      </c>
      <c r="AW439">
        <f>AV439&amp;IF($X439="","",", "&amp;$X439)</f>
        <v/>
      </c>
      <c r="AX439">
        <f>AW439&amp;IF($Y439="","",", "&amp;$Y439)</f>
        <v/>
      </c>
    </row>
    <row r="440">
      <c r="A440" s="118">
        <f>IF($B440="","",COUNT($B$5:$B440))</f>
        <v/>
      </c>
      <c r="B440" s="80" t="n"/>
      <c r="C440" s="80" t="n"/>
      <c r="D440" s="74" t="n"/>
      <c r="E440" s="74" t="n"/>
      <c r="F440" s="74" t="n"/>
      <c r="G440" s="118">
        <f>IF($F440="","",COUNTIF($F$5:$F440,$F440))</f>
        <v/>
      </c>
      <c r="H440" s="33">
        <f>IF($F440="","",IFERROR(INDEX(사건마스터!$B$5:$B$64,MATCH($F440,사건마스터!$A$5:$A$64,0)),""))</f>
        <v/>
      </c>
      <c r="I440" s="130">
        <f>IF($F440="","",IFERROR(INDEX(사건마스터!$C$5:$C$64,MATCH($F440,사건마스터!$A$5:$A$64,0)),""))</f>
        <v/>
      </c>
      <c r="J440" s="136">
        <f>IF($F440="","",IFERROR(INDEX(사건마스터!$H$5:$H$64,MATCH($F440,사건마스터!$A$5:$A$64,0)),""))</f>
        <v/>
      </c>
      <c r="K440" s="136">
        <f>IF($F440="","",IFERROR(INDEX(사건마스터!$AH$5:$AH$64,MATCH($F440,사건마스터!$A$5:$A$64,0)),""))</f>
        <v/>
      </c>
      <c r="L440" s="136">
        <f>IF($F440="","",IFERROR(INDEX(사건마스터!$AI$5:$AI$64,MATCH($F440,사건마스터!$A$5:$A$64,0)),""))</f>
        <v/>
      </c>
      <c r="M440" s="136">
        <f>IF($F440="","",IFERROR(INDEX(사건마스터!$AJ$5:$AJ$64,MATCH($F440,사건마스터!$A$5:$A$64,0)),""))</f>
        <v/>
      </c>
      <c r="N440" s="136">
        <f>IF($F440="","",IFERROR(INDEX(사건마스터!$AK$5:$AK$64,MATCH($F440,사건마스터!$A$5:$A$64,0)),""))</f>
        <v/>
      </c>
      <c r="O440" s="136">
        <f>IF($F440="","",IFERROR(INDEX(사건마스터!$AL$5:$AL$64,MATCH($F440,사건마스터!$A$5:$A$64,0)),""))</f>
        <v/>
      </c>
      <c r="P440" s="136">
        <f>IF($F440="","",IFERROR(INDEX(사건마스터!$AM$5:$AM$64,MATCH($F440,사건마스터!$A$5:$A$64,0)),""))</f>
        <v/>
      </c>
      <c r="Q440" s="136">
        <f>IF($F440="","",IFERROR(INDEX(사건마스터!$AN$5:$AN$64,MATCH($F440,사건마스터!$A$5:$A$64,0)),""))</f>
        <v/>
      </c>
      <c r="R440" s="136">
        <f>IF($F440="","",IFERROR(INDEX(사건마스터!$AO$5:$AO$64,MATCH($F440,사건마스터!$A$5:$A$64,0)),""))</f>
        <v/>
      </c>
      <c r="S440" s="136">
        <f>IF($F440="","",IFERROR(INDEX(사건마스터!$AP$5:$AP$64,MATCH($F440,사건마스터!$A$5:$A$64,0)),""))</f>
        <v/>
      </c>
      <c r="T440" s="136">
        <f>IF($F440="","",IFERROR(INDEX(사건마스터!$AQ$5:$AQ$64,MATCH($F440,사건마스터!$A$5:$A$64,0)),""))</f>
        <v/>
      </c>
      <c r="U440" s="136">
        <f>IF($F440="","",IFERROR(INDEX(사건마스터!$AR$5:$AR$64,MATCH($F440,사건마스터!$A$5:$A$64,0)),""))</f>
        <v/>
      </c>
      <c r="V440" s="136">
        <f>IF($F440="","",IFERROR(INDEX(사건마스터!$AS$5:$AS$64,MATCH($F440,사건마스터!$A$5:$A$64,0)),""))</f>
        <v/>
      </c>
      <c r="W440" s="136">
        <f>IF($F440="","",IFERROR(INDEX(사건마스터!$AT$5:$AT$64,MATCH($F440,사건마스터!$A$5:$A$64,0)),""))</f>
        <v/>
      </c>
      <c r="X440" s="136">
        <f>IF($F440="","",IFERROR(INDEX(사건마스터!$AU$5:$AU$64,MATCH($F440,사건마스터!$A$5:$A$64,0)),""))</f>
        <v/>
      </c>
      <c r="Y440" s="136">
        <f>IF($F440="","",IFERROR(INDEX(사건마스터!$AV$5:$AV$64,MATCH($F440,사건마스터!$A$5:$A$64,0)),""))</f>
        <v/>
      </c>
      <c r="Z440" s="118">
        <f>IF(COUNTBLANK($J440:$Y440)=16,"",16-COUNTBLANK($J440:$Y440))</f>
        <v/>
      </c>
      <c r="AA440" s="33">
        <f>IF($J440="",MID($AX440,3,255),$J440&amp;$AX440)</f>
        <v/>
      </c>
      <c r="AB440" s="130">
        <f>IF($J440="","",IFERROR(INDEX(코드설정!$D$5:$D$24,MATCH($J440,코드설정!$C$5:$C$24,0)),""))</f>
        <v/>
      </c>
      <c r="AC440" s="36" t="n"/>
      <c r="AD440" s="37" t="n"/>
      <c r="AE440" s="38" t="n"/>
      <c r="AF440" s="118">
        <f>IF(OR($B440="",$C440=""),"",$C440-$B440+1)</f>
        <v/>
      </c>
      <c r="AG440" s="74" t="n"/>
      <c r="AH440" s="36" t="n"/>
      <c r="AJ440">
        <f>IF($K440="","",", "&amp;$K440)</f>
        <v/>
      </c>
      <c r="AK440">
        <f>AJ440&amp;IF($L440="","",", "&amp;$L440)</f>
        <v/>
      </c>
      <c r="AL440">
        <f>AK440&amp;IF($M440="","",", "&amp;$M440)</f>
        <v/>
      </c>
      <c r="AM440">
        <f>AL440&amp;IF($N440="","",", "&amp;$N440)</f>
        <v/>
      </c>
      <c r="AN440">
        <f>AM440&amp;IF($O440="","",", "&amp;$O440)</f>
        <v/>
      </c>
      <c r="AO440">
        <f>AN440&amp;IF($P440="","",", "&amp;$P440)</f>
        <v/>
      </c>
      <c r="AP440">
        <f>AO440&amp;IF($Q440="","",", "&amp;$Q440)</f>
        <v/>
      </c>
      <c r="AQ440">
        <f>AP440&amp;IF($R440="","",", "&amp;$R440)</f>
        <v/>
      </c>
      <c r="AR440">
        <f>AQ440&amp;IF($S440="","",", "&amp;$S440)</f>
        <v/>
      </c>
      <c r="AS440">
        <f>AR440&amp;IF($T440="","",", "&amp;$T440)</f>
        <v/>
      </c>
      <c r="AT440">
        <f>AS440&amp;IF($U440="","",", "&amp;$U440)</f>
        <v/>
      </c>
      <c r="AU440">
        <f>AT440&amp;IF($V440="","",", "&amp;$V440)</f>
        <v/>
      </c>
      <c r="AV440">
        <f>AU440&amp;IF($W440="","",", "&amp;$W440)</f>
        <v/>
      </c>
      <c r="AW440">
        <f>AV440&amp;IF($X440="","",", "&amp;$X440)</f>
        <v/>
      </c>
      <c r="AX440">
        <f>AW440&amp;IF($Y440="","",", "&amp;$Y440)</f>
        <v/>
      </c>
    </row>
    <row r="441">
      <c r="A441" s="118">
        <f>IF($B441="","",COUNT($B$5:$B441))</f>
        <v/>
      </c>
      <c r="B441" s="80" t="n"/>
      <c r="C441" s="80" t="n"/>
      <c r="D441" s="74" t="n"/>
      <c r="E441" s="74" t="n"/>
      <c r="F441" s="74" t="n"/>
      <c r="G441" s="118">
        <f>IF($F441="","",COUNTIF($F$5:$F441,$F441))</f>
        <v/>
      </c>
      <c r="H441" s="33">
        <f>IF($F441="","",IFERROR(INDEX(사건마스터!$B$5:$B$64,MATCH($F441,사건마스터!$A$5:$A$64,0)),""))</f>
        <v/>
      </c>
      <c r="I441" s="130">
        <f>IF($F441="","",IFERROR(INDEX(사건마스터!$C$5:$C$64,MATCH($F441,사건마스터!$A$5:$A$64,0)),""))</f>
        <v/>
      </c>
      <c r="J441" s="136">
        <f>IF($F441="","",IFERROR(INDEX(사건마스터!$H$5:$H$64,MATCH($F441,사건마스터!$A$5:$A$64,0)),""))</f>
        <v/>
      </c>
      <c r="K441" s="136">
        <f>IF($F441="","",IFERROR(INDEX(사건마스터!$AH$5:$AH$64,MATCH($F441,사건마스터!$A$5:$A$64,0)),""))</f>
        <v/>
      </c>
      <c r="L441" s="136">
        <f>IF($F441="","",IFERROR(INDEX(사건마스터!$AI$5:$AI$64,MATCH($F441,사건마스터!$A$5:$A$64,0)),""))</f>
        <v/>
      </c>
      <c r="M441" s="136">
        <f>IF($F441="","",IFERROR(INDEX(사건마스터!$AJ$5:$AJ$64,MATCH($F441,사건마스터!$A$5:$A$64,0)),""))</f>
        <v/>
      </c>
      <c r="N441" s="136">
        <f>IF($F441="","",IFERROR(INDEX(사건마스터!$AK$5:$AK$64,MATCH($F441,사건마스터!$A$5:$A$64,0)),""))</f>
        <v/>
      </c>
      <c r="O441" s="136">
        <f>IF($F441="","",IFERROR(INDEX(사건마스터!$AL$5:$AL$64,MATCH($F441,사건마스터!$A$5:$A$64,0)),""))</f>
        <v/>
      </c>
      <c r="P441" s="136">
        <f>IF($F441="","",IFERROR(INDEX(사건마스터!$AM$5:$AM$64,MATCH($F441,사건마스터!$A$5:$A$64,0)),""))</f>
        <v/>
      </c>
      <c r="Q441" s="136">
        <f>IF($F441="","",IFERROR(INDEX(사건마스터!$AN$5:$AN$64,MATCH($F441,사건마스터!$A$5:$A$64,0)),""))</f>
        <v/>
      </c>
      <c r="R441" s="136">
        <f>IF($F441="","",IFERROR(INDEX(사건마스터!$AO$5:$AO$64,MATCH($F441,사건마스터!$A$5:$A$64,0)),""))</f>
        <v/>
      </c>
      <c r="S441" s="136">
        <f>IF($F441="","",IFERROR(INDEX(사건마스터!$AP$5:$AP$64,MATCH($F441,사건마스터!$A$5:$A$64,0)),""))</f>
        <v/>
      </c>
      <c r="T441" s="136">
        <f>IF($F441="","",IFERROR(INDEX(사건마스터!$AQ$5:$AQ$64,MATCH($F441,사건마스터!$A$5:$A$64,0)),""))</f>
        <v/>
      </c>
      <c r="U441" s="136">
        <f>IF($F441="","",IFERROR(INDEX(사건마스터!$AR$5:$AR$64,MATCH($F441,사건마스터!$A$5:$A$64,0)),""))</f>
        <v/>
      </c>
      <c r="V441" s="136">
        <f>IF($F441="","",IFERROR(INDEX(사건마스터!$AS$5:$AS$64,MATCH($F441,사건마스터!$A$5:$A$64,0)),""))</f>
        <v/>
      </c>
      <c r="W441" s="136">
        <f>IF($F441="","",IFERROR(INDEX(사건마스터!$AT$5:$AT$64,MATCH($F441,사건마스터!$A$5:$A$64,0)),""))</f>
        <v/>
      </c>
      <c r="X441" s="136">
        <f>IF($F441="","",IFERROR(INDEX(사건마스터!$AU$5:$AU$64,MATCH($F441,사건마스터!$A$5:$A$64,0)),""))</f>
        <v/>
      </c>
      <c r="Y441" s="136">
        <f>IF($F441="","",IFERROR(INDEX(사건마스터!$AV$5:$AV$64,MATCH($F441,사건마스터!$A$5:$A$64,0)),""))</f>
        <v/>
      </c>
      <c r="Z441" s="118">
        <f>IF(COUNTBLANK($J441:$Y441)=16,"",16-COUNTBLANK($J441:$Y441))</f>
        <v/>
      </c>
      <c r="AA441" s="33">
        <f>IF($J441="",MID($AX441,3,255),$J441&amp;$AX441)</f>
        <v/>
      </c>
      <c r="AB441" s="130">
        <f>IF($J441="","",IFERROR(INDEX(코드설정!$D$5:$D$24,MATCH($J441,코드설정!$C$5:$C$24,0)),""))</f>
        <v/>
      </c>
      <c r="AC441" s="36" t="n"/>
      <c r="AD441" s="37" t="n"/>
      <c r="AE441" s="38" t="n"/>
      <c r="AF441" s="118">
        <f>IF(OR($B441="",$C441=""),"",$C441-$B441+1)</f>
        <v/>
      </c>
      <c r="AG441" s="74" t="n"/>
      <c r="AH441" s="36" t="n"/>
      <c r="AJ441">
        <f>IF($K441="","",", "&amp;$K441)</f>
        <v/>
      </c>
      <c r="AK441">
        <f>AJ441&amp;IF($L441="","",", "&amp;$L441)</f>
        <v/>
      </c>
      <c r="AL441">
        <f>AK441&amp;IF($M441="","",", "&amp;$M441)</f>
        <v/>
      </c>
      <c r="AM441">
        <f>AL441&amp;IF($N441="","",", "&amp;$N441)</f>
        <v/>
      </c>
      <c r="AN441">
        <f>AM441&amp;IF($O441="","",", "&amp;$O441)</f>
        <v/>
      </c>
      <c r="AO441">
        <f>AN441&amp;IF($P441="","",", "&amp;$P441)</f>
        <v/>
      </c>
      <c r="AP441">
        <f>AO441&amp;IF($Q441="","",", "&amp;$Q441)</f>
        <v/>
      </c>
      <c r="AQ441">
        <f>AP441&amp;IF($R441="","",", "&amp;$R441)</f>
        <v/>
      </c>
      <c r="AR441">
        <f>AQ441&amp;IF($S441="","",", "&amp;$S441)</f>
        <v/>
      </c>
      <c r="AS441">
        <f>AR441&amp;IF($T441="","",", "&amp;$T441)</f>
        <v/>
      </c>
      <c r="AT441">
        <f>AS441&amp;IF($U441="","",", "&amp;$U441)</f>
        <v/>
      </c>
      <c r="AU441">
        <f>AT441&amp;IF($V441="","",", "&amp;$V441)</f>
        <v/>
      </c>
      <c r="AV441">
        <f>AU441&amp;IF($W441="","",", "&amp;$W441)</f>
        <v/>
      </c>
      <c r="AW441">
        <f>AV441&amp;IF($X441="","",", "&amp;$X441)</f>
        <v/>
      </c>
      <c r="AX441">
        <f>AW441&amp;IF($Y441="","",", "&amp;$Y441)</f>
        <v/>
      </c>
    </row>
    <row r="442">
      <c r="A442" s="118">
        <f>IF($B442="","",COUNT($B$5:$B442))</f>
        <v/>
      </c>
      <c r="B442" s="80" t="n"/>
      <c r="C442" s="80" t="n"/>
      <c r="D442" s="74" t="n"/>
      <c r="E442" s="74" t="n"/>
      <c r="F442" s="74" t="n"/>
      <c r="G442" s="118">
        <f>IF($F442="","",COUNTIF($F$5:$F442,$F442))</f>
        <v/>
      </c>
      <c r="H442" s="33">
        <f>IF($F442="","",IFERROR(INDEX(사건마스터!$B$5:$B$64,MATCH($F442,사건마스터!$A$5:$A$64,0)),""))</f>
        <v/>
      </c>
      <c r="I442" s="130">
        <f>IF($F442="","",IFERROR(INDEX(사건마스터!$C$5:$C$64,MATCH($F442,사건마스터!$A$5:$A$64,0)),""))</f>
        <v/>
      </c>
      <c r="J442" s="136">
        <f>IF($F442="","",IFERROR(INDEX(사건마스터!$H$5:$H$64,MATCH($F442,사건마스터!$A$5:$A$64,0)),""))</f>
        <v/>
      </c>
      <c r="K442" s="136">
        <f>IF($F442="","",IFERROR(INDEX(사건마스터!$AH$5:$AH$64,MATCH($F442,사건마스터!$A$5:$A$64,0)),""))</f>
        <v/>
      </c>
      <c r="L442" s="136">
        <f>IF($F442="","",IFERROR(INDEX(사건마스터!$AI$5:$AI$64,MATCH($F442,사건마스터!$A$5:$A$64,0)),""))</f>
        <v/>
      </c>
      <c r="M442" s="136">
        <f>IF($F442="","",IFERROR(INDEX(사건마스터!$AJ$5:$AJ$64,MATCH($F442,사건마스터!$A$5:$A$64,0)),""))</f>
        <v/>
      </c>
      <c r="N442" s="136">
        <f>IF($F442="","",IFERROR(INDEX(사건마스터!$AK$5:$AK$64,MATCH($F442,사건마스터!$A$5:$A$64,0)),""))</f>
        <v/>
      </c>
      <c r="O442" s="136">
        <f>IF($F442="","",IFERROR(INDEX(사건마스터!$AL$5:$AL$64,MATCH($F442,사건마스터!$A$5:$A$64,0)),""))</f>
        <v/>
      </c>
      <c r="P442" s="136">
        <f>IF($F442="","",IFERROR(INDEX(사건마스터!$AM$5:$AM$64,MATCH($F442,사건마스터!$A$5:$A$64,0)),""))</f>
        <v/>
      </c>
      <c r="Q442" s="136">
        <f>IF($F442="","",IFERROR(INDEX(사건마스터!$AN$5:$AN$64,MATCH($F442,사건마스터!$A$5:$A$64,0)),""))</f>
        <v/>
      </c>
      <c r="R442" s="136">
        <f>IF($F442="","",IFERROR(INDEX(사건마스터!$AO$5:$AO$64,MATCH($F442,사건마스터!$A$5:$A$64,0)),""))</f>
        <v/>
      </c>
      <c r="S442" s="136">
        <f>IF($F442="","",IFERROR(INDEX(사건마스터!$AP$5:$AP$64,MATCH($F442,사건마스터!$A$5:$A$64,0)),""))</f>
        <v/>
      </c>
      <c r="T442" s="136">
        <f>IF($F442="","",IFERROR(INDEX(사건마스터!$AQ$5:$AQ$64,MATCH($F442,사건마스터!$A$5:$A$64,0)),""))</f>
        <v/>
      </c>
      <c r="U442" s="136">
        <f>IF($F442="","",IFERROR(INDEX(사건마스터!$AR$5:$AR$64,MATCH($F442,사건마스터!$A$5:$A$64,0)),""))</f>
        <v/>
      </c>
      <c r="V442" s="136">
        <f>IF($F442="","",IFERROR(INDEX(사건마스터!$AS$5:$AS$64,MATCH($F442,사건마스터!$A$5:$A$64,0)),""))</f>
        <v/>
      </c>
      <c r="W442" s="136">
        <f>IF($F442="","",IFERROR(INDEX(사건마스터!$AT$5:$AT$64,MATCH($F442,사건마스터!$A$5:$A$64,0)),""))</f>
        <v/>
      </c>
      <c r="X442" s="136">
        <f>IF($F442="","",IFERROR(INDEX(사건마스터!$AU$5:$AU$64,MATCH($F442,사건마스터!$A$5:$A$64,0)),""))</f>
        <v/>
      </c>
      <c r="Y442" s="136">
        <f>IF($F442="","",IFERROR(INDEX(사건마스터!$AV$5:$AV$64,MATCH($F442,사건마스터!$A$5:$A$64,0)),""))</f>
        <v/>
      </c>
      <c r="Z442" s="118">
        <f>IF(COUNTBLANK($J442:$Y442)=16,"",16-COUNTBLANK($J442:$Y442))</f>
        <v/>
      </c>
      <c r="AA442" s="33">
        <f>IF($J442="",MID($AX442,3,255),$J442&amp;$AX442)</f>
        <v/>
      </c>
      <c r="AB442" s="130">
        <f>IF($J442="","",IFERROR(INDEX(코드설정!$D$5:$D$24,MATCH($J442,코드설정!$C$5:$C$24,0)),""))</f>
        <v/>
      </c>
      <c r="AC442" s="36" t="n"/>
      <c r="AD442" s="37" t="n"/>
      <c r="AE442" s="38" t="n"/>
      <c r="AF442" s="118">
        <f>IF(OR($B442="",$C442=""),"",$C442-$B442+1)</f>
        <v/>
      </c>
      <c r="AG442" s="74" t="n"/>
      <c r="AH442" s="36" t="n"/>
      <c r="AJ442">
        <f>IF($K442="","",", "&amp;$K442)</f>
        <v/>
      </c>
      <c r="AK442">
        <f>AJ442&amp;IF($L442="","",", "&amp;$L442)</f>
        <v/>
      </c>
      <c r="AL442">
        <f>AK442&amp;IF($M442="","",", "&amp;$M442)</f>
        <v/>
      </c>
      <c r="AM442">
        <f>AL442&amp;IF($N442="","",", "&amp;$N442)</f>
        <v/>
      </c>
      <c r="AN442">
        <f>AM442&amp;IF($O442="","",", "&amp;$O442)</f>
        <v/>
      </c>
      <c r="AO442">
        <f>AN442&amp;IF($P442="","",", "&amp;$P442)</f>
        <v/>
      </c>
      <c r="AP442">
        <f>AO442&amp;IF($Q442="","",", "&amp;$Q442)</f>
        <v/>
      </c>
      <c r="AQ442">
        <f>AP442&amp;IF($R442="","",", "&amp;$R442)</f>
        <v/>
      </c>
      <c r="AR442">
        <f>AQ442&amp;IF($S442="","",", "&amp;$S442)</f>
        <v/>
      </c>
      <c r="AS442">
        <f>AR442&amp;IF($T442="","",", "&amp;$T442)</f>
        <v/>
      </c>
      <c r="AT442">
        <f>AS442&amp;IF($U442="","",", "&amp;$U442)</f>
        <v/>
      </c>
      <c r="AU442">
        <f>AT442&amp;IF($V442="","",", "&amp;$V442)</f>
        <v/>
      </c>
      <c r="AV442">
        <f>AU442&amp;IF($W442="","",", "&amp;$W442)</f>
        <v/>
      </c>
      <c r="AW442">
        <f>AV442&amp;IF($X442="","",", "&amp;$X442)</f>
        <v/>
      </c>
      <c r="AX442">
        <f>AW442&amp;IF($Y442="","",", "&amp;$Y442)</f>
        <v/>
      </c>
    </row>
    <row r="443">
      <c r="A443" s="118">
        <f>IF($B443="","",COUNT($B$5:$B443))</f>
        <v/>
      </c>
      <c r="B443" s="80" t="n"/>
      <c r="C443" s="80" t="n"/>
      <c r="D443" s="74" t="n"/>
      <c r="E443" s="74" t="n"/>
      <c r="F443" s="74" t="n"/>
      <c r="G443" s="118">
        <f>IF($F443="","",COUNTIF($F$5:$F443,$F443))</f>
        <v/>
      </c>
      <c r="H443" s="33">
        <f>IF($F443="","",IFERROR(INDEX(사건마스터!$B$5:$B$64,MATCH($F443,사건마스터!$A$5:$A$64,0)),""))</f>
        <v/>
      </c>
      <c r="I443" s="130">
        <f>IF($F443="","",IFERROR(INDEX(사건마스터!$C$5:$C$64,MATCH($F443,사건마스터!$A$5:$A$64,0)),""))</f>
        <v/>
      </c>
      <c r="J443" s="136">
        <f>IF($F443="","",IFERROR(INDEX(사건마스터!$H$5:$H$64,MATCH($F443,사건마스터!$A$5:$A$64,0)),""))</f>
        <v/>
      </c>
      <c r="K443" s="136">
        <f>IF($F443="","",IFERROR(INDEX(사건마스터!$AH$5:$AH$64,MATCH($F443,사건마스터!$A$5:$A$64,0)),""))</f>
        <v/>
      </c>
      <c r="L443" s="136">
        <f>IF($F443="","",IFERROR(INDEX(사건마스터!$AI$5:$AI$64,MATCH($F443,사건마스터!$A$5:$A$64,0)),""))</f>
        <v/>
      </c>
      <c r="M443" s="136">
        <f>IF($F443="","",IFERROR(INDEX(사건마스터!$AJ$5:$AJ$64,MATCH($F443,사건마스터!$A$5:$A$64,0)),""))</f>
        <v/>
      </c>
      <c r="N443" s="136">
        <f>IF($F443="","",IFERROR(INDEX(사건마스터!$AK$5:$AK$64,MATCH($F443,사건마스터!$A$5:$A$64,0)),""))</f>
        <v/>
      </c>
      <c r="O443" s="136">
        <f>IF($F443="","",IFERROR(INDEX(사건마스터!$AL$5:$AL$64,MATCH($F443,사건마스터!$A$5:$A$64,0)),""))</f>
        <v/>
      </c>
      <c r="P443" s="136">
        <f>IF($F443="","",IFERROR(INDEX(사건마스터!$AM$5:$AM$64,MATCH($F443,사건마스터!$A$5:$A$64,0)),""))</f>
        <v/>
      </c>
      <c r="Q443" s="136">
        <f>IF($F443="","",IFERROR(INDEX(사건마스터!$AN$5:$AN$64,MATCH($F443,사건마스터!$A$5:$A$64,0)),""))</f>
        <v/>
      </c>
      <c r="R443" s="136">
        <f>IF($F443="","",IFERROR(INDEX(사건마스터!$AO$5:$AO$64,MATCH($F443,사건마스터!$A$5:$A$64,0)),""))</f>
        <v/>
      </c>
      <c r="S443" s="136">
        <f>IF($F443="","",IFERROR(INDEX(사건마스터!$AP$5:$AP$64,MATCH($F443,사건마스터!$A$5:$A$64,0)),""))</f>
        <v/>
      </c>
      <c r="T443" s="136">
        <f>IF($F443="","",IFERROR(INDEX(사건마스터!$AQ$5:$AQ$64,MATCH($F443,사건마스터!$A$5:$A$64,0)),""))</f>
        <v/>
      </c>
      <c r="U443" s="136">
        <f>IF($F443="","",IFERROR(INDEX(사건마스터!$AR$5:$AR$64,MATCH($F443,사건마스터!$A$5:$A$64,0)),""))</f>
        <v/>
      </c>
      <c r="V443" s="136">
        <f>IF($F443="","",IFERROR(INDEX(사건마스터!$AS$5:$AS$64,MATCH($F443,사건마스터!$A$5:$A$64,0)),""))</f>
        <v/>
      </c>
      <c r="W443" s="136">
        <f>IF($F443="","",IFERROR(INDEX(사건마스터!$AT$5:$AT$64,MATCH($F443,사건마스터!$A$5:$A$64,0)),""))</f>
        <v/>
      </c>
      <c r="X443" s="136">
        <f>IF($F443="","",IFERROR(INDEX(사건마스터!$AU$5:$AU$64,MATCH($F443,사건마스터!$A$5:$A$64,0)),""))</f>
        <v/>
      </c>
      <c r="Y443" s="136">
        <f>IF($F443="","",IFERROR(INDEX(사건마스터!$AV$5:$AV$64,MATCH($F443,사건마스터!$A$5:$A$64,0)),""))</f>
        <v/>
      </c>
      <c r="Z443" s="118">
        <f>IF(COUNTBLANK($J443:$Y443)=16,"",16-COUNTBLANK($J443:$Y443))</f>
        <v/>
      </c>
      <c r="AA443" s="33">
        <f>IF($J443="",MID($AX443,3,255),$J443&amp;$AX443)</f>
        <v/>
      </c>
      <c r="AB443" s="130">
        <f>IF($J443="","",IFERROR(INDEX(코드설정!$D$5:$D$24,MATCH($J443,코드설정!$C$5:$C$24,0)),""))</f>
        <v/>
      </c>
      <c r="AC443" s="36" t="n"/>
      <c r="AD443" s="37" t="n"/>
      <c r="AE443" s="38" t="n"/>
      <c r="AF443" s="118">
        <f>IF(OR($B443="",$C443=""),"",$C443-$B443+1)</f>
        <v/>
      </c>
      <c r="AG443" s="74" t="n"/>
      <c r="AH443" s="36" t="n"/>
      <c r="AJ443">
        <f>IF($K443="","",", "&amp;$K443)</f>
        <v/>
      </c>
      <c r="AK443">
        <f>AJ443&amp;IF($L443="","",", "&amp;$L443)</f>
        <v/>
      </c>
      <c r="AL443">
        <f>AK443&amp;IF($M443="","",", "&amp;$M443)</f>
        <v/>
      </c>
      <c r="AM443">
        <f>AL443&amp;IF($N443="","",", "&amp;$N443)</f>
        <v/>
      </c>
      <c r="AN443">
        <f>AM443&amp;IF($O443="","",", "&amp;$O443)</f>
        <v/>
      </c>
      <c r="AO443">
        <f>AN443&amp;IF($P443="","",", "&amp;$P443)</f>
        <v/>
      </c>
      <c r="AP443">
        <f>AO443&amp;IF($Q443="","",", "&amp;$Q443)</f>
        <v/>
      </c>
      <c r="AQ443">
        <f>AP443&amp;IF($R443="","",", "&amp;$R443)</f>
        <v/>
      </c>
      <c r="AR443">
        <f>AQ443&amp;IF($S443="","",", "&amp;$S443)</f>
        <v/>
      </c>
      <c r="AS443">
        <f>AR443&amp;IF($T443="","",", "&amp;$T443)</f>
        <v/>
      </c>
      <c r="AT443">
        <f>AS443&amp;IF($U443="","",", "&amp;$U443)</f>
        <v/>
      </c>
      <c r="AU443">
        <f>AT443&amp;IF($V443="","",", "&amp;$V443)</f>
        <v/>
      </c>
      <c r="AV443">
        <f>AU443&amp;IF($W443="","",", "&amp;$W443)</f>
        <v/>
      </c>
      <c r="AW443">
        <f>AV443&amp;IF($X443="","",", "&amp;$X443)</f>
        <v/>
      </c>
      <c r="AX443">
        <f>AW443&amp;IF($Y443="","",", "&amp;$Y443)</f>
        <v/>
      </c>
    </row>
    <row r="444">
      <c r="A444" s="118">
        <f>IF($B444="","",COUNT($B$5:$B444))</f>
        <v/>
      </c>
      <c r="B444" s="80" t="n"/>
      <c r="C444" s="80" t="n"/>
      <c r="D444" s="74" t="n"/>
      <c r="E444" s="74" t="n"/>
      <c r="F444" s="74" t="n"/>
      <c r="G444" s="118">
        <f>IF($F444="","",COUNTIF($F$5:$F444,$F444))</f>
        <v/>
      </c>
      <c r="H444" s="33">
        <f>IF($F444="","",IFERROR(INDEX(사건마스터!$B$5:$B$64,MATCH($F444,사건마스터!$A$5:$A$64,0)),""))</f>
        <v/>
      </c>
      <c r="I444" s="130">
        <f>IF($F444="","",IFERROR(INDEX(사건마스터!$C$5:$C$64,MATCH($F444,사건마스터!$A$5:$A$64,0)),""))</f>
        <v/>
      </c>
      <c r="J444" s="136">
        <f>IF($F444="","",IFERROR(INDEX(사건마스터!$H$5:$H$64,MATCH($F444,사건마스터!$A$5:$A$64,0)),""))</f>
        <v/>
      </c>
      <c r="K444" s="136">
        <f>IF($F444="","",IFERROR(INDEX(사건마스터!$AH$5:$AH$64,MATCH($F444,사건마스터!$A$5:$A$64,0)),""))</f>
        <v/>
      </c>
      <c r="L444" s="136">
        <f>IF($F444="","",IFERROR(INDEX(사건마스터!$AI$5:$AI$64,MATCH($F444,사건마스터!$A$5:$A$64,0)),""))</f>
        <v/>
      </c>
      <c r="M444" s="136">
        <f>IF($F444="","",IFERROR(INDEX(사건마스터!$AJ$5:$AJ$64,MATCH($F444,사건마스터!$A$5:$A$64,0)),""))</f>
        <v/>
      </c>
      <c r="N444" s="136">
        <f>IF($F444="","",IFERROR(INDEX(사건마스터!$AK$5:$AK$64,MATCH($F444,사건마스터!$A$5:$A$64,0)),""))</f>
        <v/>
      </c>
      <c r="O444" s="136">
        <f>IF($F444="","",IFERROR(INDEX(사건마스터!$AL$5:$AL$64,MATCH($F444,사건마스터!$A$5:$A$64,0)),""))</f>
        <v/>
      </c>
      <c r="P444" s="136">
        <f>IF($F444="","",IFERROR(INDEX(사건마스터!$AM$5:$AM$64,MATCH($F444,사건마스터!$A$5:$A$64,0)),""))</f>
        <v/>
      </c>
      <c r="Q444" s="136">
        <f>IF($F444="","",IFERROR(INDEX(사건마스터!$AN$5:$AN$64,MATCH($F444,사건마스터!$A$5:$A$64,0)),""))</f>
        <v/>
      </c>
      <c r="R444" s="136">
        <f>IF($F444="","",IFERROR(INDEX(사건마스터!$AO$5:$AO$64,MATCH($F444,사건마스터!$A$5:$A$64,0)),""))</f>
        <v/>
      </c>
      <c r="S444" s="136">
        <f>IF($F444="","",IFERROR(INDEX(사건마스터!$AP$5:$AP$64,MATCH($F444,사건마스터!$A$5:$A$64,0)),""))</f>
        <v/>
      </c>
      <c r="T444" s="136">
        <f>IF($F444="","",IFERROR(INDEX(사건마스터!$AQ$5:$AQ$64,MATCH($F444,사건마스터!$A$5:$A$64,0)),""))</f>
        <v/>
      </c>
      <c r="U444" s="136">
        <f>IF($F444="","",IFERROR(INDEX(사건마스터!$AR$5:$AR$64,MATCH($F444,사건마스터!$A$5:$A$64,0)),""))</f>
        <v/>
      </c>
      <c r="V444" s="136">
        <f>IF($F444="","",IFERROR(INDEX(사건마스터!$AS$5:$AS$64,MATCH($F444,사건마스터!$A$5:$A$64,0)),""))</f>
        <v/>
      </c>
      <c r="W444" s="136">
        <f>IF($F444="","",IFERROR(INDEX(사건마스터!$AT$5:$AT$64,MATCH($F444,사건마스터!$A$5:$A$64,0)),""))</f>
        <v/>
      </c>
      <c r="X444" s="136">
        <f>IF($F444="","",IFERROR(INDEX(사건마스터!$AU$5:$AU$64,MATCH($F444,사건마스터!$A$5:$A$64,0)),""))</f>
        <v/>
      </c>
      <c r="Y444" s="136">
        <f>IF($F444="","",IFERROR(INDEX(사건마스터!$AV$5:$AV$64,MATCH($F444,사건마스터!$A$5:$A$64,0)),""))</f>
        <v/>
      </c>
      <c r="Z444" s="118">
        <f>IF(COUNTBLANK($J444:$Y444)=16,"",16-COUNTBLANK($J444:$Y444))</f>
        <v/>
      </c>
      <c r="AA444" s="33">
        <f>IF($J444="",MID($AX444,3,255),$J444&amp;$AX444)</f>
        <v/>
      </c>
      <c r="AB444" s="130">
        <f>IF($J444="","",IFERROR(INDEX(코드설정!$D$5:$D$24,MATCH($J444,코드설정!$C$5:$C$24,0)),""))</f>
        <v/>
      </c>
      <c r="AC444" s="36" t="n"/>
      <c r="AD444" s="37" t="n"/>
      <c r="AE444" s="38" t="n"/>
      <c r="AF444" s="118">
        <f>IF(OR($B444="",$C444=""),"",$C444-$B444+1)</f>
        <v/>
      </c>
      <c r="AG444" s="74" t="n"/>
      <c r="AH444" s="36" t="n"/>
      <c r="AJ444">
        <f>IF($K444="","",", "&amp;$K444)</f>
        <v/>
      </c>
      <c r="AK444">
        <f>AJ444&amp;IF($L444="","",", "&amp;$L444)</f>
        <v/>
      </c>
      <c r="AL444">
        <f>AK444&amp;IF($M444="","",", "&amp;$M444)</f>
        <v/>
      </c>
      <c r="AM444">
        <f>AL444&amp;IF($N444="","",", "&amp;$N444)</f>
        <v/>
      </c>
      <c r="AN444">
        <f>AM444&amp;IF($O444="","",", "&amp;$O444)</f>
        <v/>
      </c>
      <c r="AO444">
        <f>AN444&amp;IF($P444="","",", "&amp;$P444)</f>
        <v/>
      </c>
      <c r="AP444">
        <f>AO444&amp;IF($Q444="","",", "&amp;$Q444)</f>
        <v/>
      </c>
      <c r="AQ444">
        <f>AP444&amp;IF($R444="","",", "&amp;$R444)</f>
        <v/>
      </c>
      <c r="AR444">
        <f>AQ444&amp;IF($S444="","",", "&amp;$S444)</f>
        <v/>
      </c>
      <c r="AS444">
        <f>AR444&amp;IF($T444="","",", "&amp;$T444)</f>
        <v/>
      </c>
      <c r="AT444">
        <f>AS444&amp;IF($U444="","",", "&amp;$U444)</f>
        <v/>
      </c>
      <c r="AU444">
        <f>AT444&amp;IF($V444="","",", "&amp;$V444)</f>
        <v/>
      </c>
      <c r="AV444">
        <f>AU444&amp;IF($W444="","",", "&amp;$W444)</f>
        <v/>
      </c>
      <c r="AW444">
        <f>AV444&amp;IF($X444="","",", "&amp;$X444)</f>
        <v/>
      </c>
      <c r="AX444">
        <f>AW444&amp;IF($Y444="","",", "&amp;$Y444)</f>
        <v/>
      </c>
    </row>
    <row r="445">
      <c r="A445" s="118">
        <f>IF($B445="","",COUNT($B$5:$B445))</f>
        <v/>
      </c>
      <c r="B445" s="80" t="n"/>
      <c r="C445" s="80" t="n"/>
      <c r="D445" s="74" t="n"/>
      <c r="E445" s="74" t="n"/>
      <c r="F445" s="74" t="n"/>
      <c r="G445" s="118">
        <f>IF($F445="","",COUNTIF($F$5:$F445,$F445))</f>
        <v/>
      </c>
      <c r="H445" s="33">
        <f>IF($F445="","",IFERROR(INDEX(사건마스터!$B$5:$B$64,MATCH($F445,사건마스터!$A$5:$A$64,0)),""))</f>
        <v/>
      </c>
      <c r="I445" s="130">
        <f>IF($F445="","",IFERROR(INDEX(사건마스터!$C$5:$C$64,MATCH($F445,사건마스터!$A$5:$A$64,0)),""))</f>
        <v/>
      </c>
      <c r="J445" s="136">
        <f>IF($F445="","",IFERROR(INDEX(사건마스터!$H$5:$H$64,MATCH($F445,사건마스터!$A$5:$A$64,0)),""))</f>
        <v/>
      </c>
      <c r="K445" s="136">
        <f>IF($F445="","",IFERROR(INDEX(사건마스터!$AH$5:$AH$64,MATCH($F445,사건마스터!$A$5:$A$64,0)),""))</f>
        <v/>
      </c>
      <c r="L445" s="136">
        <f>IF($F445="","",IFERROR(INDEX(사건마스터!$AI$5:$AI$64,MATCH($F445,사건마스터!$A$5:$A$64,0)),""))</f>
        <v/>
      </c>
      <c r="M445" s="136">
        <f>IF($F445="","",IFERROR(INDEX(사건마스터!$AJ$5:$AJ$64,MATCH($F445,사건마스터!$A$5:$A$64,0)),""))</f>
        <v/>
      </c>
      <c r="N445" s="136">
        <f>IF($F445="","",IFERROR(INDEX(사건마스터!$AK$5:$AK$64,MATCH($F445,사건마스터!$A$5:$A$64,0)),""))</f>
        <v/>
      </c>
      <c r="O445" s="136">
        <f>IF($F445="","",IFERROR(INDEX(사건마스터!$AL$5:$AL$64,MATCH($F445,사건마스터!$A$5:$A$64,0)),""))</f>
        <v/>
      </c>
      <c r="P445" s="136">
        <f>IF($F445="","",IFERROR(INDEX(사건마스터!$AM$5:$AM$64,MATCH($F445,사건마스터!$A$5:$A$64,0)),""))</f>
        <v/>
      </c>
      <c r="Q445" s="136">
        <f>IF($F445="","",IFERROR(INDEX(사건마스터!$AN$5:$AN$64,MATCH($F445,사건마스터!$A$5:$A$64,0)),""))</f>
        <v/>
      </c>
      <c r="R445" s="136">
        <f>IF($F445="","",IFERROR(INDEX(사건마스터!$AO$5:$AO$64,MATCH($F445,사건마스터!$A$5:$A$64,0)),""))</f>
        <v/>
      </c>
      <c r="S445" s="136">
        <f>IF($F445="","",IFERROR(INDEX(사건마스터!$AP$5:$AP$64,MATCH($F445,사건마스터!$A$5:$A$64,0)),""))</f>
        <v/>
      </c>
      <c r="T445" s="136">
        <f>IF($F445="","",IFERROR(INDEX(사건마스터!$AQ$5:$AQ$64,MATCH($F445,사건마스터!$A$5:$A$64,0)),""))</f>
        <v/>
      </c>
      <c r="U445" s="136">
        <f>IF($F445="","",IFERROR(INDEX(사건마스터!$AR$5:$AR$64,MATCH($F445,사건마스터!$A$5:$A$64,0)),""))</f>
        <v/>
      </c>
      <c r="V445" s="136">
        <f>IF($F445="","",IFERROR(INDEX(사건마스터!$AS$5:$AS$64,MATCH($F445,사건마스터!$A$5:$A$64,0)),""))</f>
        <v/>
      </c>
      <c r="W445" s="136">
        <f>IF($F445="","",IFERROR(INDEX(사건마스터!$AT$5:$AT$64,MATCH($F445,사건마스터!$A$5:$A$64,0)),""))</f>
        <v/>
      </c>
      <c r="X445" s="136">
        <f>IF($F445="","",IFERROR(INDEX(사건마스터!$AU$5:$AU$64,MATCH($F445,사건마스터!$A$5:$A$64,0)),""))</f>
        <v/>
      </c>
      <c r="Y445" s="136">
        <f>IF($F445="","",IFERROR(INDEX(사건마스터!$AV$5:$AV$64,MATCH($F445,사건마스터!$A$5:$A$64,0)),""))</f>
        <v/>
      </c>
      <c r="Z445" s="118">
        <f>IF(COUNTBLANK($J445:$Y445)=16,"",16-COUNTBLANK($J445:$Y445))</f>
        <v/>
      </c>
      <c r="AA445" s="33">
        <f>IF($J445="",MID($AX445,3,255),$J445&amp;$AX445)</f>
        <v/>
      </c>
      <c r="AB445" s="130">
        <f>IF($J445="","",IFERROR(INDEX(코드설정!$D$5:$D$24,MATCH($J445,코드설정!$C$5:$C$24,0)),""))</f>
        <v/>
      </c>
      <c r="AC445" s="36" t="n"/>
      <c r="AD445" s="37" t="n"/>
      <c r="AE445" s="38" t="n"/>
      <c r="AF445" s="118">
        <f>IF(OR($B445="",$C445=""),"",$C445-$B445+1)</f>
        <v/>
      </c>
      <c r="AG445" s="74" t="n"/>
      <c r="AH445" s="36" t="n"/>
      <c r="AJ445">
        <f>IF($K445="","",", "&amp;$K445)</f>
        <v/>
      </c>
      <c r="AK445">
        <f>AJ445&amp;IF($L445="","",", "&amp;$L445)</f>
        <v/>
      </c>
      <c r="AL445">
        <f>AK445&amp;IF($M445="","",", "&amp;$M445)</f>
        <v/>
      </c>
      <c r="AM445">
        <f>AL445&amp;IF($N445="","",", "&amp;$N445)</f>
        <v/>
      </c>
      <c r="AN445">
        <f>AM445&amp;IF($O445="","",", "&amp;$O445)</f>
        <v/>
      </c>
      <c r="AO445">
        <f>AN445&amp;IF($P445="","",", "&amp;$P445)</f>
        <v/>
      </c>
      <c r="AP445">
        <f>AO445&amp;IF($Q445="","",", "&amp;$Q445)</f>
        <v/>
      </c>
      <c r="AQ445">
        <f>AP445&amp;IF($R445="","",", "&amp;$R445)</f>
        <v/>
      </c>
      <c r="AR445">
        <f>AQ445&amp;IF($S445="","",", "&amp;$S445)</f>
        <v/>
      </c>
      <c r="AS445">
        <f>AR445&amp;IF($T445="","",", "&amp;$T445)</f>
        <v/>
      </c>
      <c r="AT445">
        <f>AS445&amp;IF($U445="","",", "&amp;$U445)</f>
        <v/>
      </c>
      <c r="AU445">
        <f>AT445&amp;IF($V445="","",", "&amp;$V445)</f>
        <v/>
      </c>
      <c r="AV445">
        <f>AU445&amp;IF($W445="","",", "&amp;$W445)</f>
        <v/>
      </c>
      <c r="AW445">
        <f>AV445&amp;IF($X445="","",", "&amp;$X445)</f>
        <v/>
      </c>
      <c r="AX445">
        <f>AW445&amp;IF($Y445="","",", "&amp;$Y445)</f>
        <v/>
      </c>
    </row>
    <row r="446">
      <c r="A446" s="118">
        <f>IF($B446="","",COUNT($B$5:$B446))</f>
        <v/>
      </c>
      <c r="B446" s="80" t="n"/>
      <c r="C446" s="80" t="n"/>
      <c r="D446" s="74" t="n"/>
      <c r="E446" s="74" t="n"/>
      <c r="F446" s="74" t="n"/>
      <c r="G446" s="118">
        <f>IF($F446="","",COUNTIF($F$5:$F446,$F446))</f>
        <v/>
      </c>
      <c r="H446" s="33">
        <f>IF($F446="","",IFERROR(INDEX(사건마스터!$B$5:$B$64,MATCH($F446,사건마스터!$A$5:$A$64,0)),""))</f>
        <v/>
      </c>
      <c r="I446" s="130">
        <f>IF($F446="","",IFERROR(INDEX(사건마스터!$C$5:$C$64,MATCH($F446,사건마스터!$A$5:$A$64,0)),""))</f>
        <v/>
      </c>
      <c r="J446" s="136">
        <f>IF($F446="","",IFERROR(INDEX(사건마스터!$H$5:$H$64,MATCH($F446,사건마스터!$A$5:$A$64,0)),""))</f>
        <v/>
      </c>
      <c r="K446" s="136">
        <f>IF($F446="","",IFERROR(INDEX(사건마스터!$AH$5:$AH$64,MATCH($F446,사건마스터!$A$5:$A$64,0)),""))</f>
        <v/>
      </c>
      <c r="L446" s="136">
        <f>IF($F446="","",IFERROR(INDEX(사건마스터!$AI$5:$AI$64,MATCH($F446,사건마스터!$A$5:$A$64,0)),""))</f>
        <v/>
      </c>
      <c r="M446" s="136">
        <f>IF($F446="","",IFERROR(INDEX(사건마스터!$AJ$5:$AJ$64,MATCH($F446,사건마스터!$A$5:$A$64,0)),""))</f>
        <v/>
      </c>
      <c r="N446" s="136">
        <f>IF($F446="","",IFERROR(INDEX(사건마스터!$AK$5:$AK$64,MATCH($F446,사건마스터!$A$5:$A$64,0)),""))</f>
        <v/>
      </c>
      <c r="O446" s="136">
        <f>IF($F446="","",IFERROR(INDEX(사건마스터!$AL$5:$AL$64,MATCH($F446,사건마스터!$A$5:$A$64,0)),""))</f>
        <v/>
      </c>
      <c r="P446" s="136">
        <f>IF($F446="","",IFERROR(INDEX(사건마스터!$AM$5:$AM$64,MATCH($F446,사건마스터!$A$5:$A$64,0)),""))</f>
        <v/>
      </c>
      <c r="Q446" s="136">
        <f>IF($F446="","",IFERROR(INDEX(사건마스터!$AN$5:$AN$64,MATCH($F446,사건마스터!$A$5:$A$64,0)),""))</f>
        <v/>
      </c>
      <c r="R446" s="136">
        <f>IF($F446="","",IFERROR(INDEX(사건마스터!$AO$5:$AO$64,MATCH($F446,사건마스터!$A$5:$A$64,0)),""))</f>
        <v/>
      </c>
      <c r="S446" s="136">
        <f>IF($F446="","",IFERROR(INDEX(사건마스터!$AP$5:$AP$64,MATCH($F446,사건마스터!$A$5:$A$64,0)),""))</f>
        <v/>
      </c>
      <c r="T446" s="136">
        <f>IF($F446="","",IFERROR(INDEX(사건마스터!$AQ$5:$AQ$64,MATCH($F446,사건마스터!$A$5:$A$64,0)),""))</f>
        <v/>
      </c>
      <c r="U446" s="136">
        <f>IF($F446="","",IFERROR(INDEX(사건마스터!$AR$5:$AR$64,MATCH($F446,사건마스터!$A$5:$A$64,0)),""))</f>
        <v/>
      </c>
      <c r="V446" s="136">
        <f>IF($F446="","",IFERROR(INDEX(사건마스터!$AS$5:$AS$64,MATCH($F446,사건마스터!$A$5:$A$64,0)),""))</f>
        <v/>
      </c>
      <c r="W446" s="136">
        <f>IF($F446="","",IFERROR(INDEX(사건마스터!$AT$5:$AT$64,MATCH($F446,사건마스터!$A$5:$A$64,0)),""))</f>
        <v/>
      </c>
      <c r="X446" s="136">
        <f>IF($F446="","",IFERROR(INDEX(사건마스터!$AU$5:$AU$64,MATCH($F446,사건마스터!$A$5:$A$64,0)),""))</f>
        <v/>
      </c>
      <c r="Y446" s="136">
        <f>IF($F446="","",IFERROR(INDEX(사건마스터!$AV$5:$AV$64,MATCH($F446,사건마스터!$A$5:$A$64,0)),""))</f>
        <v/>
      </c>
      <c r="Z446" s="118">
        <f>IF(COUNTBLANK($J446:$Y446)=16,"",16-COUNTBLANK($J446:$Y446))</f>
        <v/>
      </c>
      <c r="AA446" s="33">
        <f>IF($J446="",MID($AX446,3,255),$J446&amp;$AX446)</f>
        <v/>
      </c>
      <c r="AB446" s="130">
        <f>IF($J446="","",IFERROR(INDEX(코드설정!$D$5:$D$24,MATCH($J446,코드설정!$C$5:$C$24,0)),""))</f>
        <v/>
      </c>
      <c r="AC446" s="36" t="n"/>
      <c r="AD446" s="37" t="n"/>
      <c r="AE446" s="38" t="n"/>
      <c r="AF446" s="118">
        <f>IF(OR($B446="",$C446=""),"",$C446-$B446+1)</f>
        <v/>
      </c>
      <c r="AG446" s="74" t="n"/>
      <c r="AH446" s="36" t="n"/>
      <c r="AJ446">
        <f>IF($K446="","",", "&amp;$K446)</f>
        <v/>
      </c>
      <c r="AK446">
        <f>AJ446&amp;IF($L446="","",", "&amp;$L446)</f>
        <v/>
      </c>
      <c r="AL446">
        <f>AK446&amp;IF($M446="","",", "&amp;$M446)</f>
        <v/>
      </c>
      <c r="AM446">
        <f>AL446&amp;IF($N446="","",", "&amp;$N446)</f>
        <v/>
      </c>
      <c r="AN446">
        <f>AM446&amp;IF($O446="","",", "&amp;$O446)</f>
        <v/>
      </c>
      <c r="AO446">
        <f>AN446&amp;IF($P446="","",", "&amp;$P446)</f>
        <v/>
      </c>
      <c r="AP446">
        <f>AO446&amp;IF($Q446="","",", "&amp;$Q446)</f>
        <v/>
      </c>
      <c r="AQ446">
        <f>AP446&amp;IF($R446="","",", "&amp;$R446)</f>
        <v/>
      </c>
      <c r="AR446">
        <f>AQ446&amp;IF($S446="","",", "&amp;$S446)</f>
        <v/>
      </c>
      <c r="AS446">
        <f>AR446&amp;IF($T446="","",", "&amp;$T446)</f>
        <v/>
      </c>
      <c r="AT446">
        <f>AS446&amp;IF($U446="","",", "&amp;$U446)</f>
        <v/>
      </c>
      <c r="AU446">
        <f>AT446&amp;IF($V446="","",", "&amp;$V446)</f>
        <v/>
      </c>
      <c r="AV446">
        <f>AU446&amp;IF($W446="","",", "&amp;$W446)</f>
        <v/>
      </c>
      <c r="AW446">
        <f>AV446&amp;IF($X446="","",", "&amp;$X446)</f>
        <v/>
      </c>
      <c r="AX446">
        <f>AW446&amp;IF($Y446="","",", "&amp;$Y446)</f>
        <v/>
      </c>
    </row>
    <row r="447">
      <c r="A447" s="118">
        <f>IF($B447="","",COUNT($B$5:$B447))</f>
        <v/>
      </c>
      <c r="B447" s="80" t="n"/>
      <c r="C447" s="80" t="n"/>
      <c r="D447" s="74" t="n"/>
      <c r="E447" s="74" t="n"/>
      <c r="F447" s="74" t="n"/>
      <c r="G447" s="118">
        <f>IF($F447="","",COUNTIF($F$5:$F447,$F447))</f>
        <v/>
      </c>
      <c r="H447" s="33">
        <f>IF($F447="","",IFERROR(INDEX(사건마스터!$B$5:$B$64,MATCH($F447,사건마스터!$A$5:$A$64,0)),""))</f>
        <v/>
      </c>
      <c r="I447" s="130">
        <f>IF($F447="","",IFERROR(INDEX(사건마스터!$C$5:$C$64,MATCH($F447,사건마스터!$A$5:$A$64,0)),""))</f>
        <v/>
      </c>
      <c r="J447" s="136">
        <f>IF($F447="","",IFERROR(INDEX(사건마스터!$H$5:$H$64,MATCH($F447,사건마스터!$A$5:$A$64,0)),""))</f>
        <v/>
      </c>
      <c r="K447" s="136">
        <f>IF($F447="","",IFERROR(INDEX(사건마스터!$AH$5:$AH$64,MATCH($F447,사건마스터!$A$5:$A$64,0)),""))</f>
        <v/>
      </c>
      <c r="L447" s="136">
        <f>IF($F447="","",IFERROR(INDEX(사건마스터!$AI$5:$AI$64,MATCH($F447,사건마스터!$A$5:$A$64,0)),""))</f>
        <v/>
      </c>
      <c r="M447" s="136">
        <f>IF($F447="","",IFERROR(INDEX(사건마스터!$AJ$5:$AJ$64,MATCH($F447,사건마스터!$A$5:$A$64,0)),""))</f>
        <v/>
      </c>
      <c r="N447" s="136">
        <f>IF($F447="","",IFERROR(INDEX(사건마스터!$AK$5:$AK$64,MATCH($F447,사건마스터!$A$5:$A$64,0)),""))</f>
        <v/>
      </c>
      <c r="O447" s="136">
        <f>IF($F447="","",IFERROR(INDEX(사건마스터!$AL$5:$AL$64,MATCH($F447,사건마스터!$A$5:$A$64,0)),""))</f>
        <v/>
      </c>
      <c r="P447" s="136">
        <f>IF($F447="","",IFERROR(INDEX(사건마스터!$AM$5:$AM$64,MATCH($F447,사건마스터!$A$5:$A$64,0)),""))</f>
        <v/>
      </c>
      <c r="Q447" s="136">
        <f>IF($F447="","",IFERROR(INDEX(사건마스터!$AN$5:$AN$64,MATCH($F447,사건마스터!$A$5:$A$64,0)),""))</f>
        <v/>
      </c>
      <c r="R447" s="136">
        <f>IF($F447="","",IFERROR(INDEX(사건마스터!$AO$5:$AO$64,MATCH($F447,사건마스터!$A$5:$A$64,0)),""))</f>
        <v/>
      </c>
      <c r="S447" s="136">
        <f>IF($F447="","",IFERROR(INDEX(사건마스터!$AP$5:$AP$64,MATCH($F447,사건마스터!$A$5:$A$64,0)),""))</f>
        <v/>
      </c>
      <c r="T447" s="136">
        <f>IF($F447="","",IFERROR(INDEX(사건마스터!$AQ$5:$AQ$64,MATCH($F447,사건마스터!$A$5:$A$64,0)),""))</f>
        <v/>
      </c>
      <c r="U447" s="136">
        <f>IF($F447="","",IFERROR(INDEX(사건마스터!$AR$5:$AR$64,MATCH($F447,사건마스터!$A$5:$A$64,0)),""))</f>
        <v/>
      </c>
      <c r="V447" s="136">
        <f>IF($F447="","",IFERROR(INDEX(사건마스터!$AS$5:$AS$64,MATCH($F447,사건마스터!$A$5:$A$64,0)),""))</f>
        <v/>
      </c>
      <c r="W447" s="136">
        <f>IF($F447="","",IFERROR(INDEX(사건마스터!$AT$5:$AT$64,MATCH($F447,사건마스터!$A$5:$A$64,0)),""))</f>
        <v/>
      </c>
      <c r="X447" s="136">
        <f>IF($F447="","",IFERROR(INDEX(사건마스터!$AU$5:$AU$64,MATCH($F447,사건마스터!$A$5:$A$64,0)),""))</f>
        <v/>
      </c>
      <c r="Y447" s="136">
        <f>IF($F447="","",IFERROR(INDEX(사건마스터!$AV$5:$AV$64,MATCH($F447,사건마스터!$A$5:$A$64,0)),""))</f>
        <v/>
      </c>
      <c r="Z447" s="118">
        <f>IF(COUNTBLANK($J447:$Y447)=16,"",16-COUNTBLANK($J447:$Y447))</f>
        <v/>
      </c>
      <c r="AA447" s="33">
        <f>IF($J447="",MID($AX447,3,255),$J447&amp;$AX447)</f>
        <v/>
      </c>
      <c r="AB447" s="130">
        <f>IF($J447="","",IFERROR(INDEX(코드설정!$D$5:$D$24,MATCH($J447,코드설정!$C$5:$C$24,0)),""))</f>
        <v/>
      </c>
      <c r="AC447" s="36" t="n"/>
      <c r="AD447" s="37" t="n"/>
      <c r="AE447" s="38" t="n"/>
      <c r="AF447" s="118">
        <f>IF(OR($B447="",$C447=""),"",$C447-$B447+1)</f>
        <v/>
      </c>
      <c r="AG447" s="74" t="n"/>
      <c r="AH447" s="36" t="n"/>
      <c r="AJ447">
        <f>IF($K447="","",", "&amp;$K447)</f>
        <v/>
      </c>
      <c r="AK447">
        <f>AJ447&amp;IF($L447="","",", "&amp;$L447)</f>
        <v/>
      </c>
      <c r="AL447">
        <f>AK447&amp;IF($M447="","",", "&amp;$M447)</f>
        <v/>
      </c>
      <c r="AM447">
        <f>AL447&amp;IF($N447="","",", "&amp;$N447)</f>
        <v/>
      </c>
      <c r="AN447">
        <f>AM447&amp;IF($O447="","",", "&amp;$O447)</f>
        <v/>
      </c>
      <c r="AO447">
        <f>AN447&amp;IF($P447="","",", "&amp;$P447)</f>
        <v/>
      </c>
      <c r="AP447">
        <f>AO447&amp;IF($Q447="","",", "&amp;$Q447)</f>
        <v/>
      </c>
      <c r="AQ447">
        <f>AP447&amp;IF($R447="","",", "&amp;$R447)</f>
        <v/>
      </c>
      <c r="AR447">
        <f>AQ447&amp;IF($S447="","",", "&amp;$S447)</f>
        <v/>
      </c>
      <c r="AS447">
        <f>AR447&amp;IF($T447="","",", "&amp;$T447)</f>
        <v/>
      </c>
      <c r="AT447">
        <f>AS447&amp;IF($U447="","",", "&amp;$U447)</f>
        <v/>
      </c>
      <c r="AU447">
        <f>AT447&amp;IF($V447="","",", "&amp;$V447)</f>
        <v/>
      </c>
      <c r="AV447">
        <f>AU447&amp;IF($W447="","",", "&amp;$W447)</f>
        <v/>
      </c>
      <c r="AW447">
        <f>AV447&amp;IF($X447="","",", "&amp;$X447)</f>
        <v/>
      </c>
      <c r="AX447">
        <f>AW447&amp;IF($Y447="","",", "&amp;$Y447)</f>
        <v/>
      </c>
    </row>
    <row r="448">
      <c r="A448" s="118">
        <f>IF($B448="","",COUNT($B$5:$B448))</f>
        <v/>
      </c>
      <c r="B448" s="80" t="n"/>
      <c r="C448" s="80" t="n"/>
      <c r="D448" s="74" t="n"/>
      <c r="E448" s="74" t="n"/>
      <c r="F448" s="74" t="n"/>
      <c r="G448" s="118">
        <f>IF($F448="","",COUNTIF($F$5:$F448,$F448))</f>
        <v/>
      </c>
      <c r="H448" s="33">
        <f>IF($F448="","",IFERROR(INDEX(사건마스터!$B$5:$B$64,MATCH($F448,사건마스터!$A$5:$A$64,0)),""))</f>
        <v/>
      </c>
      <c r="I448" s="130">
        <f>IF($F448="","",IFERROR(INDEX(사건마스터!$C$5:$C$64,MATCH($F448,사건마스터!$A$5:$A$64,0)),""))</f>
        <v/>
      </c>
      <c r="J448" s="136">
        <f>IF($F448="","",IFERROR(INDEX(사건마스터!$H$5:$H$64,MATCH($F448,사건마스터!$A$5:$A$64,0)),""))</f>
        <v/>
      </c>
      <c r="K448" s="136">
        <f>IF($F448="","",IFERROR(INDEX(사건마스터!$AH$5:$AH$64,MATCH($F448,사건마스터!$A$5:$A$64,0)),""))</f>
        <v/>
      </c>
      <c r="L448" s="136">
        <f>IF($F448="","",IFERROR(INDEX(사건마스터!$AI$5:$AI$64,MATCH($F448,사건마스터!$A$5:$A$64,0)),""))</f>
        <v/>
      </c>
      <c r="M448" s="136">
        <f>IF($F448="","",IFERROR(INDEX(사건마스터!$AJ$5:$AJ$64,MATCH($F448,사건마스터!$A$5:$A$64,0)),""))</f>
        <v/>
      </c>
      <c r="N448" s="136">
        <f>IF($F448="","",IFERROR(INDEX(사건마스터!$AK$5:$AK$64,MATCH($F448,사건마스터!$A$5:$A$64,0)),""))</f>
        <v/>
      </c>
      <c r="O448" s="136">
        <f>IF($F448="","",IFERROR(INDEX(사건마스터!$AL$5:$AL$64,MATCH($F448,사건마스터!$A$5:$A$64,0)),""))</f>
        <v/>
      </c>
      <c r="P448" s="136">
        <f>IF($F448="","",IFERROR(INDEX(사건마스터!$AM$5:$AM$64,MATCH($F448,사건마스터!$A$5:$A$64,0)),""))</f>
        <v/>
      </c>
      <c r="Q448" s="136">
        <f>IF($F448="","",IFERROR(INDEX(사건마스터!$AN$5:$AN$64,MATCH($F448,사건마스터!$A$5:$A$64,0)),""))</f>
        <v/>
      </c>
      <c r="R448" s="136">
        <f>IF($F448="","",IFERROR(INDEX(사건마스터!$AO$5:$AO$64,MATCH($F448,사건마스터!$A$5:$A$64,0)),""))</f>
        <v/>
      </c>
      <c r="S448" s="136">
        <f>IF($F448="","",IFERROR(INDEX(사건마스터!$AP$5:$AP$64,MATCH($F448,사건마스터!$A$5:$A$64,0)),""))</f>
        <v/>
      </c>
      <c r="T448" s="136">
        <f>IF($F448="","",IFERROR(INDEX(사건마스터!$AQ$5:$AQ$64,MATCH($F448,사건마스터!$A$5:$A$64,0)),""))</f>
        <v/>
      </c>
      <c r="U448" s="136">
        <f>IF($F448="","",IFERROR(INDEX(사건마스터!$AR$5:$AR$64,MATCH($F448,사건마스터!$A$5:$A$64,0)),""))</f>
        <v/>
      </c>
      <c r="V448" s="136">
        <f>IF($F448="","",IFERROR(INDEX(사건마스터!$AS$5:$AS$64,MATCH($F448,사건마스터!$A$5:$A$64,0)),""))</f>
        <v/>
      </c>
      <c r="W448" s="136">
        <f>IF($F448="","",IFERROR(INDEX(사건마스터!$AT$5:$AT$64,MATCH($F448,사건마스터!$A$5:$A$64,0)),""))</f>
        <v/>
      </c>
      <c r="X448" s="136">
        <f>IF($F448="","",IFERROR(INDEX(사건마스터!$AU$5:$AU$64,MATCH($F448,사건마스터!$A$5:$A$64,0)),""))</f>
        <v/>
      </c>
      <c r="Y448" s="136">
        <f>IF($F448="","",IFERROR(INDEX(사건마스터!$AV$5:$AV$64,MATCH($F448,사건마스터!$A$5:$A$64,0)),""))</f>
        <v/>
      </c>
      <c r="Z448" s="118">
        <f>IF(COUNTBLANK($J448:$Y448)=16,"",16-COUNTBLANK($J448:$Y448))</f>
        <v/>
      </c>
      <c r="AA448" s="33">
        <f>IF($J448="",MID($AX448,3,255),$J448&amp;$AX448)</f>
        <v/>
      </c>
      <c r="AB448" s="130">
        <f>IF($J448="","",IFERROR(INDEX(코드설정!$D$5:$D$24,MATCH($J448,코드설정!$C$5:$C$24,0)),""))</f>
        <v/>
      </c>
      <c r="AC448" s="36" t="n"/>
      <c r="AD448" s="37" t="n"/>
      <c r="AE448" s="38" t="n"/>
      <c r="AF448" s="118">
        <f>IF(OR($B448="",$C448=""),"",$C448-$B448+1)</f>
        <v/>
      </c>
      <c r="AG448" s="74" t="n"/>
      <c r="AH448" s="36" t="n"/>
      <c r="AJ448">
        <f>IF($K448="","",", "&amp;$K448)</f>
        <v/>
      </c>
      <c r="AK448">
        <f>AJ448&amp;IF($L448="","",", "&amp;$L448)</f>
        <v/>
      </c>
      <c r="AL448">
        <f>AK448&amp;IF($M448="","",", "&amp;$M448)</f>
        <v/>
      </c>
      <c r="AM448">
        <f>AL448&amp;IF($N448="","",", "&amp;$N448)</f>
        <v/>
      </c>
      <c r="AN448">
        <f>AM448&amp;IF($O448="","",", "&amp;$O448)</f>
        <v/>
      </c>
      <c r="AO448">
        <f>AN448&amp;IF($P448="","",", "&amp;$P448)</f>
        <v/>
      </c>
      <c r="AP448">
        <f>AO448&amp;IF($Q448="","",", "&amp;$Q448)</f>
        <v/>
      </c>
      <c r="AQ448">
        <f>AP448&amp;IF($R448="","",", "&amp;$R448)</f>
        <v/>
      </c>
      <c r="AR448">
        <f>AQ448&amp;IF($S448="","",", "&amp;$S448)</f>
        <v/>
      </c>
      <c r="AS448">
        <f>AR448&amp;IF($T448="","",", "&amp;$T448)</f>
        <v/>
      </c>
      <c r="AT448">
        <f>AS448&amp;IF($U448="","",", "&amp;$U448)</f>
        <v/>
      </c>
      <c r="AU448">
        <f>AT448&amp;IF($V448="","",", "&amp;$V448)</f>
        <v/>
      </c>
      <c r="AV448">
        <f>AU448&amp;IF($W448="","",", "&amp;$W448)</f>
        <v/>
      </c>
      <c r="AW448">
        <f>AV448&amp;IF($X448="","",", "&amp;$X448)</f>
        <v/>
      </c>
      <c r="AX448">
        <f>AW448&amp;IF($Y448="","",", "&amp;$Y448)</f>
        <v/>
      </c>
    </row>
    <row r="449">
      <c r="A449" s="118">
        <f>IF($B449="","",COUNT($B$5:$B449))</f>
        <v/>
      </c>
      <c r="B449" s="80" t="n"/>
      <c r="C449" s="80" t="n"/>
      <c r="D449" s="74" t="n"/>
      <c r="E449" s="74" t="n"/>
      <c r="F449" s="74" t="n"/>
      <c r="G449" s="118">
        <f>IF($F449="","",COUNTIF($F$5:$F449,$F449))</f>
        <v/>
      </c>
      <c r="H449" s="33">
        <f>IF($F449="","",IFERROR(INDEX(사건마스터!$B$5:$B$64,MATCH($F449,사건마스터!$A$5:$A$64,0)),""))</f>
        <v/>
      </c>
      <c r="I449" s="130">
        <f>IF($F449="","",IFERROR(INDEX(사건마스터!$C$5:$C$64,MATCH($F449,사건마스터!$A$5:$A$64,0)),""))</f>
        <v/>
      </c>
      <c r="J449" s="136">
        <f>IF($F449="","",IFERROR(INDEX(사건마스터!$H$5:$H$64,MATCH($F449,사건마스터!$A$5:$A$64,0)),""))</f>
        <v/>
      </c>
      <c r="K449" s="136">
        <f>IF($F449="","",IFERROR(INDEX(사건마스터!$AH$5:$AH$64,MATCH($F449,사건마스터!$A$5:$A$64,0)),""))</f>
        <v/>
      </c>
      <c r="L449" s="136">
        <f>IF($F449="","",IFERROR(INDEX(사건마스터!$AI$5:$AI$64,MATCH($F449,사건마스터!$A$5:$A$64,0)),""))</f>
        <v/>
      </c>
      <c r="M449" s="136">
        <f>IF($F449="","",IFERROR(INDEX(사건마스터!$AJ$5:$AJ$64,MATCH($F449,사건마스터!$A$5:$A$64,0)),""))</f>
        <v/>
      </c>
      <c r="N449" s="136">
        <f>IF($F449="","",IFERROR(INDEX(사건마스터!$AK$5:$AK$64,MATCH($F449,사건마스터!$A$5:$A$64,0)),""))</f>
        <v/>
      </c>
      <c r="O449" s="136">
        <f>IF($F449="","",IFERROR(INDEX(사건마스터!$AL$5:$AL$64,MATCH($F449,사건마스터!$A$5:$A$64,0)),""))</f>
        <v/>
      </c>
      <c r="P449" s="136">
        <f>IF($F449="","",IFERROR(INDEX(사건마스터!$AM$5:$AM$64,MATCH($F449,사건마스터!$A$5:$A$64,0)),""))</f>
        <v/>
      </c>
      <c r="Q449" s="136">
        <f>IF($F449="","",IFERROR(INDEX(사건마스터!$AN$5:$AN$64,MATCH($F449,사건마스터!$A$5:$A$64,0)),""))</f>
        <v/>
      </c>
      <c r="R449" s="136">
        <f>IF($F449="","",IFERROR(INDEX(사건마스터!$AO$5:$AO$64,MATCH($F449,사건마스터!$A$5:$A$64,0)),""))</f>
        <v/>
      </c>
      <c r="S449" s="136">
        <f>IF($F449="","",IFERROR(INDEX(사건마스터!$AP$5:$AP$64,MATCH($F449,사건마스터!$A$5:$A$64,0)),""))</f>
        <v/>
      </c>
      <c r="T449" s="136">
        <f>IF($F449="","",IFERROR(INDEX(사건마스터!$AQ$5:$AQ$64,MATCH($F449,사건마스터!$A$5:$A$64,0)),""))</f>
        <v/>
      </c>
      <c r="U449" s="136">
        <f>IF($F449="","",IFERROR(INDEX(사건마스터!$AR$5:$AR$64,MATCH($F449,사건마스터!$A$5:$A$64,0)),""))</f>
        <v/>
      </c>
      <c r="V449" s="136">
        <f>IF($F449="","",IFERROR(INDEX(사건마스터!$AS$5:$AS$64,MATCH($F449,사건마스터!$A$5:$A$64,0)),""))</f>
        <v/>
      </c>
      <c r="W449" s="136">
        <f>IF($F449="","",IFERROR(INDEX(사건마스터!$AT$5:$AT$64,MATCH($F449,사건마스터!$A$5:$A$64,0)),""))</f>
        <v/>
      </c>
      <c r="X449" s="136">
        <f>IF($F449="","",IFERROR(INDEX(사건마스터!$AU$5:$AU$64,MATCH($F449,사건마스터!$A$5:$A$64,0)),""))</f>
        <v/>
      </c>
      <c r="Y449" s="136">
        <f>IF($F449="","",IFERROR(INDEX(사건마스터!$AV$5:$AV$64,MATCH($F449,사건마스터!$A$5:$A$64,0)),""))</f>
        <v/>
      </c>
      <c r="Z449" s="118">
        <f>IF(COUNTBLANK($J449:$Y449)=16,"",16-COUNTBLANK($J449:$Y449))</f>
        <v/>
      </c>
      <c r="AA449" s="33">
        <f>IF($J449="",MID($AX449,3,255),$J449&amp;$AX449)</f>
        <v/>
      </c>
      <c r="AB449" s="130">
        <f>IF($J449="","",IFERROR(INDEX(코드설정!$D$5:$D$24,MATCH($J449,코드설정!$C$5:$C$24,0)),""))</f>
        <v/>
      </c>
      <c r="AC449" s="36" t="n"/>
      <c r="AD449" s="37" t="n"/>
      <c r="AE449" s="38" t="n"/>
      <c r="AF449" s="118">
        <f>IF(OR($B449="",$C449=""),"",$C449-$B449+1)</f>
        <v/>
      </c>
      <c r="AG449" s="74" t="n"/>
      <c r="AH449" s="36" t="n"/>
      <c r="AJ449">
        <f>IF($K449="","",", "&amp;$K449)</f>
        <v/>
      </c>
      <c r="AK449">
        <f>AJ449&amp;IF($L449="","",", "&amp;$L449)</f>
        <v/>
      </c>
      <c r="AL449">
        <f>AK449&amp;IF($M449="","",", "&amp;$M449)</f>
        <v/>
      </c>
      <c r="AM449">
        <f>AL449&amp;IF($N449="","",", "&amp;$N449)</f>
        <v/>
      </c>
      <c r="AN449">
        <f>AM449&amp;IF($O449="","",", "&amp;$O449)</f>
        <v/>
      </c>
      <c r="AO449">
        <f>AN449&amp;IF($P449="","",", "&amp;$P449)</f>
        <v/>
      </c>
      <c r="AP449">
        <f>AO449&amp;IF($Q449="","",", "&amp;$Q449)</f>
        <v/>
      </c>
      <c r="AQ449">
        <f>AP449&amp;IF($R449="","",", "&amp;$R449)</f>
        <v/>
      </c>
      <c r="AR449">
        <f>AQ449&amp;IF($S449="","",", "&amp;$S449)</f>
        <v/>
      </c>
      <c r="AS449">
        <f>AR449&amp;IF($T449="","",", "&amp;$T449)</f>
        <v/>
      </c>
      <c r="AT449">
        <f>AS449&amp;IF($U449="","",", "&amp;$U449)</f>
        <v/>
      </c>
      <c r="AU449">
        <f>AT449&amp;IF($V449="","",", "&amp;$V449)</f>
        <v/>
      </c>
      <c r="AV449">
        <f>AU449&amp;IF($W449="","",", "&amp;$W449)</f>
        <v/>
      </c>
      <c r="AW449">
        <f>AV449&amp;IF($X449="","",", "&amp;$X449)</f>
        <v/>
      </c>
      <c r="AX449">
        <f>AW449&amp;IF($Y449="","",", "&amp;$Y449)</f>
        <v/>
      </c>
    </row>
    <row r="450">
      <c r="A450" s="118">
        <f>IF($B450="","",COUNT($B$5:$B450))</f>
        <v/>
      </c>
      <c r="B450" s="80" t="n"/>
      <c r="C450" s="80" t="n"/>
      <c r="D450" s="74" t="n"/>
      <c r="E450" s="74" t="n"/>
      <c r="F450" s="74" t="n"/>
      <c r="G450" s="118">
        <f>IF($F450="","",COUNTIF($F$5:$F450,$F450))</f>
        <v/>
      </c>
      <c r="H450" s="33">
        <f>IF($F450="","",IFERROR(INDEX(사건마스터!$B$5:$B$64,MATCH($F450,사건마스터!$A$5:$A$64,0)),""))</f>
        <v/>
      </c>
      <c r="I450" s="130">
        <f>IF($F450="","",IFERROR(INDEX(사건마스터!$C$5:$C$64,MATCH($F450,사건마스터!$A$5:$A$64,0)),""))</f>
        <v/>
      </c>
      <c r="J450" s="136">
        <f>IF($F450="","",IFERROR(INDEX(사건마스터!$H$5:$H$64,MATCH($F450,사건마스터!$A$5:$A$64,0)),""))</f>
        <v/>
      </c>
      <c r="K450" s="136">
        <f>IF($F450="","",IFERROR(INDEX(사건마스터!$AH$5:$AH$64,MATCH($F450,사건마스터!$A$5:$A$64,0)),""))</f>
        <v/>
      </c>
      <c r="L450" s="136">
        <f>IF($F450="","",IFERROR(INDEX(사건마스터!$AI$5:$AI$64,MATCH($F450,사건마스터!$A$5:$A$64,0)),""))</f>
        <v/>
      </c>
      <c r="M450" s="136">
        <f>IF($F450="","",IFERROR(INDEX(사건마스터!$AJ$5:$AJ$64,MATCH($F450,사건마스터!$A$5:$A$64,0)),""))</f>
        <v/>
      </c>
      <c r="N450" s="136">
        <f>IF($F450="","",IFERROR(INDEX(사건마스터!$AK$5:$AK$64,MATCH($F450,사건마스터!$A$5:$A$64,0)),""))</f>
        <v/>
      </c>
      <c r="O450" s="136">
        <f>IF($F450="","",IFERROR(INDEX(사건마스터!$AL$5:$AL$64,MATCH($F450,사건마스터!$A$5:$A$64,0)),""))</f>
        <v/>
      </c>
      <c r="P450" s="136">
        <f>IF($F450="","",IFERROR(INDEX(사건마스터!$AM$5:$AM$64,MATCH($F450,사건마스터!$A$5:$A$64,0)),""))</f>
        <v/>
      </c>
      <c r="Q450" s="136">
        <f>IF($F450="","",IFERROR(INDEX(사건마스터!$AN$5:$AN$64,MATCH($F450,사건마스터!$A$5:$A$64,0)),""))</f>
        <v/>
      </c>
      <c r="R450" s="136">
        <f>IF($F450="","",IFERROR(INDEX(사건마스터!$AO$5:$AO$64,MATCH($F450,사건마스터!$A$5:$A$64,0)),""))</f>
        <v/>
      </c>
      <c r="S450" s="136">
        <f>IF($F450="","",IFERROR(INDEX(사건마스터!$AP$5:$AP$64,MATCH($F450,사건마스터!$A$5:$A$64,0)),""))</f>
        <v/>
      </c>
      <c r="T450" s="136">
        <f>IF($F450="","",IFERROR(INDEX(사건마스터!$AQ$5:$AQ$64,MATCH($F450,사건마스터!$A$5:$A$64,0)),""))</f>
        <v/>
      </c>
      <c r="U450" s="136">
        <f>IF($F450="","",IFERROR(INDEX(사건마스터!$AR$5:$AR$64,MATCH($F450,사건마스터!$A$5:$A$64,0)),""))</f>
        <v/>
      </c>
      <c r="V450" s="136">
        <f>IF($F450="","",IFERROR(INDEX(사건마스터!$AS$5:$AS$64,MATCH($F450,사건마스터!$A$5:$A$64,0)),""))</f>
        <v/>
      </c>
      <c r="W450" s="136">
        <f>IF($F450="","",IFERROR(INDEX(사건마스터!$AT$5:$AT$64,MATCH($F450,사건마스터!$A$5:$A$64,0)),""))</f>
        <v/>
      </c>
      <c r="X450" s="136">
        <f>IF($F450="","",IFERROR(INDEX(사건마스터!$AU$5:$AU$64,MATCH($F450,사건마스터!$A$5:$A$64,0)),""))</f>
        <v/>
      </c>
      <c r="Y450" s="136">
        <f>IF($F450="","",IFERROR(INDEX(사건마스터!$AV$5:$AV$64,MATCH($F450,사건마스터!$A$5:$A$64,0)),""))</f>
        <v/>
      </c>
      <c r="Z450" s="118">
        <f>IF(COUNTBLANK($J450:$Y450)=16,"",16-COUNTBLANK($J450:$Y450))</f>
        <v/>
      </c>
      <c r="AA450" s="33">
        <f>IF($J450="",MID($AX450,3,255),$J450&amp;$AX450)</f>
        <v/>
      </c>
      <c r="AB450" s="130">
        <f>IF($J450="","",IFERROR(INDEX(코드설정!$D$5:$D$24,MATCH($J450,코드설정!$C$5:$C$24,0)),""))</f>
        <v/>
      </c>
      <c r="AC450" s="36" t="n"/>
      <c r="AD450" s="37" t="n"/>
      <c r="AE450" s="38" t="n"/>
      <c r="AF450" s="118">
        <f>IF(OR($B450="",$C450=""),"",$C450-$B450+1)</f>
        <v/>
      </c>
      <c r="AG450" s="74" t="n"/>
      <c r="AH450" s="36" t="n"/>
      <c r="AJ450">
        <f>IF($K450="","",", "&amp;$K450)</f>
        <v/>
      </c>
      <c r="AK450">
        <f>AJ450&amp;IF($L450="","",", "&amp;$L450)</f>
        <v/>
      </c>
      <c r="AL450">
        <f>AK450&amp;IF($M450="","",", "&amp;$M450)</f>
        <v/>
      </c>
      <c r="AM450">
        <f>AL450&amp;IF($N450="","",", "&amp;$N450)</f>
        <v/>
      </c>
      <c r="AN450">
        <f>AM450&amp;IF($O450="","",", "&amp;$O450)</f>
        <v/>
      </c>
      <c r="AO450">
        <f>AN450&amp;IF($P450="","",", "&amp;$P450)</f>
        <v/>
      </c>
      <c r="AP450">
        <f>AO450&amp;IF($Q450="","",", "&amp;$Q450)</f>
        <v/>
      </c>
      <c r="AQ450">
        <f>AP450&amp;IF($R450="","",", "&amp;$R450)</f>
        <v/>
      </c>
      <c r="AR450">
        <f>AQ450&amp;IF($S450="","",", "&amp;$S450)</f>
        <v/>
      </c>
      <c r="AS450">
        <f>AR450&amp;IF($T450="","",", "&amp;$T450)</f>
        <v/>
      </c>
      <c r="AT450">
        <f>AS450&amp;IF($U450="","",", "&amp;$U450)</f>
        <v/>
      </c>
      <c r="AU450">
        <f>AT450&amp;IF($V450="","",", "&amp;$V450)</f>
        <v/>
      </c>
      <c r="AV450">
        <f>AU450&amp;IF($W450="","",", "&amp;$W450)</f>
        <v/>
      </c>
      <c r="AW450">
        <f>AV450&amp;IF($X450="","",", "&amp;$X450)</f>
        <v/>
      </c>
      <c r="AX450">
        <f>AW450&amp;IF($Y450="","",", "&amp;$Y450)</f>
        <v/>
      </c>
    </row>
    <row r="451">
      <c r="A451" s="118">
        <f>IF($B451="","",COUNT($B$5:$B451))</f>
        <v/>
      </c>
      <c r="B451" s="80" t="n"/>
      <c r="C451" s="80" t="n"/>
      <c r="D451" s="74" t="n"/>
      <c r="E451" s="74" t="n"/>
      <c r="F451" s="74" t="n"/>
      <c r="G451" s="118">
        <f>IF($F451="","",COUNTIF($F$5:$F451,$F451))</f>
        <v/>
      </c>
      <c r="H451" s="33">
        <f>IF($F451="","",IFERROR(INDEX(사건마스터!$B$5:$B$64,MATCH($F451,사건마스터!$A$5:$A$64,0)),""))</f>
        <v/>
      </c>
      <c r="I451" s="130">
        <f>IF($F451="","",IFERROR(INDEX(사건마스터!$C$5:$C$64,MATCH($F451,사건마스터!$A$5:$A$64,0)),""))</f>
        <v/>
      </c>
      <c r="J451" s="136">
        <f>IF($F451="","",IFERROR(INDEX(사건마스터!$H$5:$H$64,MATCH($F451,사건마스터!$A$5:$A$64,0)),""))</f>
        <v/>
      </c>
      <c r="K451" s="136">
        <f>IF($F451="","",IFERROR(INDEX(사건마스터!$AH$5:$AH$64,MATCH($F451,사건마스터!$A$5:$A$64,0)),""))</f>
        <v/>
      </c>
      <c r="L451" s="136">
        <f>IF($F451="","",IFERROR(INDEX(사건마스터!$AI$5:$AI$64,MATCH($F451,사건마스터!$A$5:$A$64,0)),""))</f>
        <v/>
      </c>
      <c r="M451" s="136">
        <f>IF($F451="","",IFERROR(INDEX(사건마스터!$AJ$5:$AJ$64,MATCH($F451,사건마스터!$A$5:$A$64,0)),""))</f>
        <v/>
      </c>
      <c r="N451" s="136">
        <f>IF($F451="","",IFERROR(INDEX(사건마스터!$AK$5:$AK$64,MATCH($F451,사건마스터!$A$5:$A$64,0)),""))</f>
        <v/>
      </c>
      <c r="O451" s="136">
        <f>IF($F451="","",IFERROR(INDEX(사건마스터!$AL$5:$AL$64,MATCH($F451,사건마스터!$A$5:$A$64,0)),""))</f>
        <v/>
      </c>
      <c r="P451" s="136">
        <f>IF($F451="","",IFERROR(INDEX(사건마스터!$AM$5:$AM$64,MATCH($F451,사건마스터!$A$5:$A$64,0)),""))</f>
        <v/>
      </c>
      <c r="Q451" s="136">
        <f>IF($F451="","",IFERROR(INDEX(사건마스터!$AN$5:$AN$64,MATCH($F451,사건마스터!$A$5:$A$64,0)),""))</f>
        <v/>
      </c>
      <c r="R451" s="136">
        <f>IF($F451="","",IFERROR(INDEX(사건마스터!$AO$5:$AO$64,MATCH($F451,사건마스터!$A$5:$A$64,0)),""))</f>
        <v/>
      </c>
      <c r="S451" s="136">
        <f>IF($F451="","",IFERROR(INDEX(사건마스터!$AP$5:$AP$64,MATCH($F451,사건마스터!$A$5:$A$64,0)),""))</f>
        <v/>
      </c>
      <c r="T451" s="136">
        <f>IF($F451="","",IFERROR(INDEX(사건마스터!$AQ$5:$AQ$64,MATCH($F451,사건마스터!$A$5:$A$64,0)),""))</f>
        <v/>
      </c>
      <c r="U451" s="136">
        <f>IF($F451="","",IFERROR(INDEX(사건마스터!$AR$5:$AR$64,MATCH($F451,사건마스터!$A$5:$A$64,0)),""))</f>
        <v/>
      </c>
      <c r="V451" s="136">
        <f>IF($F451="","",IFERROR(INDEX(사건마스터!$AS$5:$AS$64,MATCH($F451,사건마스터!$A$5:$A$64,0)),""))</f>
        <v/>
      </c>
      <c r="W451" s="136">
        <f>IF($F451="","",IFERROR(INDEX(사건마스터!$AT$5:$AT$64,MATCH($F451,사건마스터!$A$5:$A$64,0)),""))</f>
        <v/>
      </c>
      <c r="X451" s="136">
        <f>IF($F451="","",IFERROR(INDEX(사건마스터!$AU$5:$AU$64,MATCH($F451,사건마스터!$A$5:$A$64,0)),""))</f>
        <v/>
      </c>
      <c r="Y451" s="136">
        <f>IF($F451="","",IFERROR(INDEX(사건마스터!$AV$5:$AV$64,MATCH($F451,사건마스터!$A$5:$A$64,0)),""))</f>
        <v/>
      </c>
      <c r="Z451" s="118">
        <f>IF(COUNTBLANK($J451:$Y451)=16,"",16-COUNTBLANK($J451:$Y451))</f>
        <v/>
      </c>
      <c r="AA451" s="33">
        <f>IF($J451="",MID($AX451,3,255),$J451&amp;$AX451)</f>
        <v/>
      </c>
      <c r="AB451" s="130">
        <f>IF($J451="","",IFERROR(INDEX(코드설정!$D$5:$D$24,MATCH($J451,코드설정!$C$5:$C$24,0)),""))</f>
        <v/>
      </c>
      <c r="AC451" s="36" t="n"/>
      <c r="AD451" s="37" t="n"/>
      <c r="AE451" s="38" t="n"/>
      <c r="AF451" s="118">
        <f>IF(OR($B451="",$C451=""),"",$C451-$B451+1)</f>
        <v/>
      </c>
      <c r="AG451" s="74" t="n"/>
      <c r="AH451" s="36" t="n"/>
      <c r="AJ451">
        <f>IF($K451="","",", "&amp;$K451)</f>
        <v/>
      </c>
      <c r="AK451">
        <f>AJ451&amp;IF($L451="","",", "&amp;$L451)</f>
        <v/>
      </c>
      <c r="AL451">
        <f>AK451&amp;IF($M451="","",", "&amp;$M451)</f>
        <v/>
      </c>
      <c r="AM451">
        <f>AL451&amp;IF($N451="","",", "&amp;$N451)</f>
        <v/>
      </c>
      <c r="AN451">
        <f>AM451&amp;IF($O451="","",", "&amp;$O451)</f>
        <v/>
      </c>
      <c r="AO451">
        <f>AN451&amp;IF($P451="","",", "&amp;$P451)</f>
        <v/>
      </c>
      <c r="AP451">
        <f>AO451&amp;IF($Q451="","",", "&amp;$Q451)</f>
        <v/>
      </c>
      <c r="AQ451">
        <f>AP451&amp;IF($R451="","",", "&amp;$R451)</f>
        <v/>
      </c>
      <c r="AR451">
        <f>AQ451&amp;IF($S451="","",", "&amp;$S451)</f>
        <v/>
      </c>
      <c r="AS451">
        <f>AR451&amp;IF($T451="","",", "&amp;$T451)</f>
        <v/>
      </c>
      <c r="AT451">
        <f>AS451&amp;IF($U451="","",", "&amp;$U451)</f>
        <v/>
      </c>
      <c r="AU451">
        <f>AT451&amp;IF($V451="","",", "&amp;$V451)</f>
        <v/>
      </c>
      <c r="AV451">
        <f>AU451&amp;IF($W451="","",", "&amp;$W451)</f>
        <v/>
      </c>
      <c r="AW451">
        <f>AV451&amp;IF($X451="","",", "&amp;$X451)</f>
        <v/>
      </c>
      <c r="AX451">
        <f>AW451&amp;IF($Y451="","",", "&amp;$Y451)</f>
        <v/>
      </c>
    </row>
    <row r="452">
      <c r="A452" s="118">
        <f>IF($B452="","",COUNT($B$5:$B452))</f>
        <v/>
      </c>
      <c r="B452" s="80" t="n"/>
      <c r="C452" s="80" t="n"/>
      <c r="D452" s="74" t="n"/>
      <c r="E452" s="74" t="n"/>
      <c r="F452" s="74" t="n"/>
      <c r="G452" s="118">
        <f>IF($F452="","",COUNTIF($F$5:$F452,$F452))</f>
        <v/>
      </c>
      <c r="H452" s="33">
        <f>IF($F452="","",IFERROR(INDEX(사건마스터!$B$5:$B$64,MATCH($F452,사건마스터!$A$5:$A$64,0)),""))</f>
        <v/>
      </c>
      <c r="I452" s="130">
        <f>IF($F452="","",IFERROR(INDEX(사건마스터!$C$5:$C$64,MATCH($F452,사건마스터!$A$5:$A$64,0)),""))</f>
        <v/>
      </c>
      <c r="J452" s="136">
        <f>IF($F452="","",IFERROR(INDEX(사건마스터!$H$5:$H$64,MATCH($F452,사건마스터!$A$5:$A$64,0)),""))</f>
        <v/>
      </c>
      <c r="K452" s="136">
        <f>IF($F452="","",IFERROR(INDEX(사건마스터!$AH$5:$AH$64,MATCH($F452,사건마스터!$A$5:$A$64,0)),""))</f>
        <v/>
      </c>
      <c r="L452" s="136">
        <f>IF($F452="","",IFERROR(INDEX(사건마스터!$AI$5:$AI$64,MATCH($F452,사건마스터!$A$5:$A$64,0)),""))</f>
        <v/>
      </c>
      <c r="M452" s="136">
        <f>IF($F452="","",IFERROR(INDEX(사건마스터!$AJ$5:$AJ$64,MATCH($F452,사건마스터!$A$5:$A$64,0)),""))</f>
        <v/>
      </c>
      <c r="N452" s="136">
        <f>IF($F452="","",IFERROR(INDEX(사건마스터!$AK$5:$AK$64,MATCH($F452,사건마스터!$A$5:$A$64,0)),""))</f>
        <v/>
      </c>
      <c r="O452" s="136">
        <f>IF($F452="","",IFERROR(INDEX(사건마스터!$AL$5:$AL$64,MATCH($F452,사건마스터!$A$5:$A$64,0)),""))</f>
        <v/>
      </c>
      <c r="P452" s="136">
        <f>IF($F452="","",IFERROR(INDEX(사건마스터!$AM$5:$AM$64,MATCH($F452,사건마스터!$A$5:$A$64,0)),""))</f>
        <v/>
      </c>
      <c r="Q452" s="136">
        <f>IF($F452="","",IFERROR(INDEX(사건마스터!$AN$5:$AN$64,MATCH($F452,사건마스터!$A$5:$A$64,0)),""))</f>
        <v/>
      </c>
      <c r="R452" s="136">
        <f>IF($F452="","",IFERROR(INDEX(사건마스터!$AO$5:$AO$64,MATCH($F452,사건마스터!$A$5:$A$64,0)),""))</f>
        <v/>
      </c>
      <c r="S452" s="136">
        <f>IF($F452="","",IFERROR(INDEX(사건마스터!$AP$5:$AP$64,MATCH($F452,사건마스터!$A$5:$A$64,0)),""))</f>
        <v/>
      </c>
      <c r="T452" s="136">
        <f>IF($F452="","",IFERROR(INDEX(사건마스터!$AQ$5:$AQ$64,MATCH($F452,사건마스터!$A$5:$A$64,0)),""))</f>
        <v/>
      </c>
      <c r="U452" s="136">
        <f>IF($F452="","",IFERROR(INDEX(사건마스터!$AR$5:$AR$64,MATCH($F452,사건마스터!$A$5:$A$64,0)),""))</f>
        <v/>
      </c>
      <c r="V452" s="136">
        <f>IF($F452="","",IFERROR(INDEX(사건마스터!$AS$5:$AS$64,MATCH($F452,사건마스터!$A$5:$A$64,0)),""))</f>
        <v/>
      </c>
      <c r="W452" s="136">
        <f>IF($F452="","",IFERROR(INDEX(사건마스터!$AT$5:$AT$64,MATCH($F452,사건마스터!$A$5:$A$64,0)),""))</f>
        <v/>
      </c>
      <c r="X452" s="136">
        <f>IF($F452="","",IFERROR(INDEX(사건마스터!$AU$5:$AU$64,MATCH($F452,사건마스터!$A$5:$A$64,0)),""))</f>
        <v/>
      </c>
      <c r="Y452" s="136">
        <f>IF($F452="","",IFERROR(INDEX(사건마스터!$AV$5:$AV$64,MATCH($F452,사건마스터!$A$5:$A$64,0)),""))</f>
        <v/>
      </c>
      <c r="Z452" s="118">
        <f>IF(COUNTBLANK($J452:$Y452)=16,"",16-COUNTBLANK($J452:$Y452))</f>
        <v/>
      </c>
      <c r="AA452" s="33">
        <f>IF($J452="",MID($AX452,3,255),$J452&amp;$AX452)</f>
        <v/>
      </c>
      <c r="AB452" s="130">
        <f>IF($J452="","",IFERROR(INDEX(코드설정!$D$5:$D$24,MATCH($J452,코드설정!$C$5:$C$24,0)),""))</f>
        <v/>
      </c>
      <c r="AC452" s="36" t="n"/>
      <c r="AD452" s="37" t="n"/>
      <c r="AE452" s="38" t="n"/>
      <c r="AF452" s="118">
        <f>IF(OR($B452="",$C452=""),"",$C452-$B452+1)</f>
        <v/>
      </c>
      <c r="AG452" s="74" t="n"/>
      <c r="AH452" s="36" t="n"/>
      <c r="AJ452">
        <f>IF($K452="","",", "&amp;$K452)</f>
        <v/>
      </c>
      <c r="AK452">
        <f>AJ452&amp;IF($L452="","",", "&amp;$L452)</f>
        <v/>
      </c>
      <c r="AL452">
        <f>AK452&amp;IF($M452="","",", "&amp;$M452)</f>
        <v/>
      </c>
      <c r="AM452">
        <f>AL452&amp;IF($N452="","",", "&amp;$N452)</f>
        <v/>
      </c>
      <c r="AN452">
        <f>AM452&amp;IF($O452="","",", "&amp;$O452)</f>
        <v/>
      </c>
      <c r="AO452">
        <f>AN452&amp;IF($P452="","",", "&amp;$P452)</f>
        <v/>
      </c>
      <c r="AP452">
        <f>AO452&amp;IF($Q452="","",", "&amp;$Q452)</f>
        <v/>
      </c>
      <c r="AQ452">
        <f>AP452&amp;IF($R452="","",", "&amp;$R452)</f>
        <v/>
      </c>
      <c r="AR452">
        <f>AQ452&amp;IF($S452="","",", "&amp;$S452)</f>
        <v/>
      </c>
      <c r="AS452">
        <f>AR452&amp;IF($T452="","",", "&amp;$T452)</f>
        <v/>
      </c>
      <c r="AT452">
        <f>AS452&amp;IF($U452="","",", "&amp;$U452)</f>
        <v/>
      </c>
      <c r="AU452">
        <f>AT452&amp;IF($V452="","",", "&amp;$V452)</f>
        <v/>
      </c>
      <c r="AV452">
        <f>AU452&amp;IF($W452="","",", "&amp;$W452)</f>
        <v/>
      </c>
      <c r="AW452">
        <f>AV452&amp;IF($X452="","",", "&amp;$X452)</f>
        <v/>
      </c>
      <c r="AX452">
        <f>AW452&amp;IF($Y452="","",", "&amp;$Y452)</f>
        <v/>
      </c>
    </row>
    <row r="453">
      <c r="A453" s="118">
        <f>IF($B453="","",COUNT($B$5:$B453))</f>
        <v/>
      </c>
      <c r="B453" s="80" t="n"/>
      <c r="C453" s="80" t="n"/>
      <c r="D453" s="74" t="n"/>
      <c r="E453" s="74" t="n"/>
      <c r="F453" s="74" t="n"/>
      <c r="G453" s="118">
        <f>IF($F453="","",COUNTIF($F$5:$F453,$F453))</f>
        <v/>
      </c>
      <c r="H453" s="33">
        <f>IF($F453="","",IFERROR(INDEX(사건마스터!$B$5:$B$64,MATCH($F453,사건마스터!$A$5:$A$64,0)),""))</f>
        <v/>
      </c>
      <c r="I453" s="130">
        <f>IF($F453="","",IFERROR(INDEX(사건마스터!$C$5:$C$64,MATCH($F453,사건마스터!$A$5:$A$64,0)),""))</f>
        <v/>
      </c>
      <c r="J453" s="136">
        <f>IF($F453="","",IFERROR(INDEX(사건마스터!$H$5:$H$64,MATCH($F453,사건마스터!$A$5:$A$64,0)),""))</f>
        <v/>
      </c>
      <c r="K453" s="136">
        <f>IF($F453="","",IFERROR(INDEX(사건마스터!$AH$5:$AH$64,MATCH($F453,사건마스터!$A$5:$A$64,0)),""))</f>
        <v/>
      </c>
      <c r="L453" s="136">
        <f>IF($F453="","",IFERROR(INDEX(사건마스터!$AI$5:$AI$64,MATCH($F453,사건마스터!$A$5:$A$64,0)),""))</f>
        <v/>
      </c>
      <c r="M453" s="136">
        <f>IF($F453="","",IFERROR(INDEX(사건마스터!$AJ$5:$AJ$64,MATCH($F453,사건마스터!$A$5:$A$64,0)),""))</f>
        <v/>
      </c>
      <c r="N453" s="136">
        <f>IF($F453="","",IFERROR(INDEX(사건마스터!$AK$5:$AK$64,MATCH($F453,사건마스터!$A$5:$A$64,0)),""))</f>
        <v/>
      </c>
      <c r="O453" s="136">
        <f>IF($F453="","",IFERROR(INDEX(사건마스터!$AL$5:$AL$64,MATCH($F453,사건마스터!$A$5:$A$64,0)),""))</f>
        <v/>
      </c>
      <c r="P453" s="136">
        <f>IF($F453="","",IFERROR(INDEX(사건마스터!$AM$5:$AM$64,MATCH($F453,사건마스터!$A$5:$A$64,0)),""))</f>
        <v/>
      </c>
      <c r="Q453" s="136">
        <f>IF($F453="","",IFERROR(INDEX(사건마스터!$AN$5:$AN$64,MATCH($F453,사건마스터!$A$5:$A$64,0)),""))</f>
        <v/>
      </c>
      <c r="R453" s="136">
        <f>IF($F453="","",IFERROR(INDEX(사건마스터!$AO$5:$AO$64,MATCH($F453,사건마스터!$A$5:$A$64,0)),""))</f>
        <v/>
      </c>
      <c r="S453" s="136">
        <f>IF($F453="","",IFERROR(INDEX(사건마스터!$AP$5:$AP$64,MATCH($F453,사건마스터!$A$5:$A$64,0)),""))</f>
        <v/>
      </c>
      <c r="T453" s="136">
        <f>IF($F453="","",IFERROR(INDEX(사건마스터!$AQ$5:$AQ$64,MATCH($F453,사건마스터!$A$5:$A$64,0)),""))</f>
        <v/>
      </c>
      <c r="U453" s="136">
        <f>IF($F453="","",IFERROR(INDEX(사건마스터!$AR$5:$AR$64,MATCH($F453,사건마스터!$A$5:$A$64,0)),""))</f>
        <v/>
      </c>
      <c r="V453" s="136">
        <f>IF($F453="","",IFERROR(INDEX(사건마스터!$AS$5:$AS$64,MATCH($F453,사건마스터!$A$5:$A$64,0)),""))</f>
        <v/>
      </c>
      <c r="W453" s="136">
        <f>IF($F453="","",IFERROR(INDEX(사건마스터!$AT$5:$AT$64,MATCH($F453,사건마스터!$A$5:$A$64,0)),""))</f>
        <v/>
      </c>
      <c r="X453" s="136">
        <f>IF($F453="","",IFERROR(INDEX(사건마스터!$AU$5:$AU$64,MATCH($F453,사건마스터!$A$5:$A$64,0)),""))</f>
        <v/>
      </c>
      <c r="Y453" s="136">
        <f>IF($F453="","",IFERROR(INDEX(사건마스터!$AV$5:$AV$64,MATCH($F453,사건마스터!$A$5:$A$64,0)),""))</f>
        <v/>
      </c>
      <c r="Z453" s="118">
        <f>IF(COUNTBLANK($J453:$Y453)=16,"",16-COUNTBLANK($J453:$Y453))</f>
        <v/>
      </c>
      <c r="AA453" s="33">
        <f>IF($J453="",MID($AX453,3,255),$J453&amp;$AX453)</f>
        <v/>
      </c>
      <c r="AB453" s="130">
        <f>IF($J453="","",IFERROR(INDEX(코드설정!$D$5:$D$24,MATCH($J453,코드설정!$C$5:$C$24,0)),""))</f>
        <v/>
      </c>
      <c r="AC453" s="36" t="n"/>
      <c r="AD453" s="37" t="n"/>
      <c r="AE453" s="38" t="n"/>
      <c r="AF453" s="118">
        <f>IF(OR($B453="",$C453=""),"",$C453-$B453+1)</f>
        <v/>
      </c>
      <c r="AG453" s="74" t="n"/>
      <c r="AH453" s="36" t="n"/>
      <c r="AJ453">
        <f>IF($K453="","",", "&amp;$K453)</f>
        <v/>
      </c>
      <c r="AK453">
        <f>AJ453&amp;IF($L453="","",", "&amp;$L453)</f>
        <v/>
      </c>
      <c r="AL453">
        <f>AK453&amp;IF($M453="","",", "&amp;$M453)</f>
        <v/>
      </c>
      <c r="AM453">
        <f>AL453&amp;IF($N453="","",", "&amp;$N453)</f>
        <v/>
      </c>
      <c r="AN453">
        <f>AM453&amp;IF($O453="","",", "&amp;$O453)</f>
        <v/>
      </c>
      <c r="AO453">
        <f>AN453&amp;IF($P453="","",", "&amp;$P453)</f>
        <v/>
      </c>
      <c r="AP453">
        <f>AO453&amp;IF($Q453="","",", "&amp;$Q453)</f>
        <v/>
      </c>
      <c r="AQ453">
        <f>AP453&amp;IF($R453="","",", "&amp;$R453)</f>
        <v/>
      </c>
      <c r="AR453">
        <f>AQ453&amp;IF($S453="","",", "&amp;$S453)</f>
        <v/>
      </c>
      <c r="AS453">
        <f>AR453&amp;IF($T453="","",", "&amp;$T453)</f>
        <v/>
      </c>
      <c r="AT453">
        <f>AS453&amp;IF($U453="","",", "&amp;$U453)</f>
        <v/>
      </c>
      <c r="AU453">
        <f>AT453&amp;IF($V453="","",", "&amp;$V453)</f>
        <v/>
      </c>
      <c r="AV453">
        <f>AU453&amp;IF($W453="","",", "&amp;$W453)</f>
        <v/>
      </c>
      <c r="AW453">
        <f>AV453&amp;IF($X453="","",", "&amp;$X453)</f>
        <v/>
      </c>
      <c r="AX453">
        <f>AW453&amp;IF($Y453="","",", "&amp;$Y453)</f>
        <v/>
      </c>
    </row>
    <row r="454">
      <c r="A454" s="118">
        <f>IF($B454="","",COUNT($B$5:$B454))</f>
        <v/>
      </c>
      <c r="B454" s="80" t="n"/>
      <c r="C454" s="80" t="n"/>
      <c r="D454" s="74" t="n"/>
      <c r="E454" s="74" t="n"/>
      <c r="F454" s="74" t="n"/>
      <c r="G454" s="118">
        <f>IF($F454="","",COUNTIF($F$5:$F454,$F454))</f>
        <v/>
      </c>
      <c r="H454" s="33">
        <f>IF($F454="","",IFERROR(INDEX(사건마스터!$B$5:$B$64,MATCH($F454,사건마스터!$A$5:$A$64,0)),""))</f>
        <v/>
      </c>
      <c r="I454" s="130">
        <f>IF($F454="","",IFERROR(INDEX(사건마스터!$C$5:$C$64,MATCH($F454,사건마스터!$A$5:$A$64,0)),""))</f>
        <v/>
      </c>
      <c r="J454" s="136">
        <f>IF($F454="","",IFERROR(INDEX(사건마스터!$H$5:$H$64,MATCH($F454,사건마스터!$A$5:$A$64,0)),""))</f>
        <v/>
      </c>
      <c r="K454" s="136">
        <f>IF($F454="","",IFERROR(INDEX(사건마스터!$AH$5:$AH$64,MATCH($F454,사건마스터!$A$5:$A$64,0)),""))</f>
        <v/>
      </c>
      <c r="L454" s="136">
        <f>IF($F454="","",IFERROR(INDEX(사건마스터!$AI$5:$AI$64,MATCH($F454,사건마스터!$A$5:$A$64,0)),""))</f>
        <v/>
      </c>
      <c r="M454" s="136">
        <f>IF($F454="","",IFERROR(INDEX(사건마스터!$AJ$5:$AJ$64,MATCH($F454,사건마스터!$A$5:$A$64,0)),""))</f>
        <v/>
      </c>
      <c r="N454" s="136">
        <f>IF($F454="","",IFERROR(INDEX(사건마스터!$AK$5:$AK$64,MATCH($F454,사건마스터!$A$5:$A$64,0)),""))</f>
        <v/>
      </c>
      <c r="O454" s="136">
        <f>IF($F454="","",IFERROR(INDEX(사건마스터!$AL$5:$AL$64,MATCH($F454,사건마스터!$A$5:$A$64,0)),""))</f>
        <v/>
      </c>
      <c r="P454" s="136">
        <f>IF($F454="","",IFERROR(INDEX(사건마스터!$AM$5:$AM$64,MATCH($F454,사건마스터!$A$5:$A$64,0)),""))</f>
        <v/>
      </c>
      <c r="Q454" s="136">
        <f>IF($F454="","",IFERROR(INDEX(사건마스터!$AN$5:$AN$64,MATCH($F454,사건마스터!$A$5:$A$64,0)),""))</f>
        <v/>
      </c>
      <c r="R454" s="136">
        <f>IF($F454="","",IFERROR(INDEX(사건마스터!$AO$5:$AO$64,MATCH($F454,사건마스터!$A$5:$A$64,0)),""))</f>
        <v/>
      </c>
      <c r="S454" s="136">
        <f>IF($F454="","",IFERROR(INDEX(사건마스터!$AP$5:$AP$64,MATCH($F454,사건마스터!$A$5:$A$64,0)),""))</f>
        <v/>
      </c>
      <c r="T454" s="136">
        <f>IF($F454="","",IFERROR(INDEX(사건마스터!$AQ$5:$AQ$64,MATCH($F454,사건마스터!$A$5:$A$64,0)),""))</f>
        <v/>
      </c>
      <c r="U454" s="136">
        <f>IF($F454="","",IFERROR(INDEX(사건마스터!$AR$5:$AR$64,MATCH($F454,사건마스터!$A$5:$A$64,0)),""))</f>
        <v/>
      </c>
      <c r="V454" s="136">
        <f>IF($F454="","",IFERROR(INDEX(사건마스터!$AS$5:$AS$64,MATCH($F454,사건마스터!$A$5:$A$64,0)),""))</f>
        <v/>
      </c>
      <c r="W454" s="136">
        <f>IF($F454="","",IFERROR(INDEX(사건마스터!$AT$5:$AT$64,MATCH($F454,사건마스터!$A$5:$A$64,0)),""))</f>
        <v/>
      </c>
      <c r="X454" s="136">
        <f>IF($F454="","",IFERROR(INDEX(사건마스터!$AU$5:$AU$64,MATCH($F454,사건마스터!$A$5:$A$64,0)),""))</f>
        <v/>
      </c>
      <c r="Y454" s="136">
        <f>IF($F454="","",IFERROR(INDEX(사건마스터!$AV$5:$AV$64,MATCH($F454,사건마스터!$A$5:$A$64,0)),""))</f>
        <v/>
      </c>
      <c r="Z454" s="118">
        <f>IF(COUNTBLANK($J454:$Y454)=16,"",16-COUNTBLANK($J454:$Y454))</f>
        <v/>
      </c>
      <c r="AA454" s="33">
        <f>IF($J454="",MID($AX454,3,255),$J454&amp;$AX454)</f>
        <v/>
      </c>
      <c r="AB454" s="130">
        <f>IF($J454="","",IFERROR(INDEX(코드설정!$D$5:$D$24,MATCH($J454,코드설정!$C$5:$C$24,0)),""))</f>
        <v/>
      </c>
      <c r="AC454" s="36" t="n"/>
      <c r="AD454" s="37" t="n"/>
      <c r="AE454" s="38" t="n"/>
      <c r="AF454" s="118">
        <f>IF(OR($B454="",$C454=""),"",$C454-$B454+1)</f>
        <v/>
      </c>
      <c r="AG454" s="74" t="n"/>
      <c r="AH454" s="36" t="n"/>
      <c r="AJ454">
        <f>IF($K454="","",", "&amp;$K454)</f>
        <v/>
      </c>
      <c r="AK454">
        <f>AJ454&amp;IF($L454="","",", "&amp;$L454)</f>
        <v/>
      </c>
      <c r="AL454">
        <f>AK454&amp;IF($M454="","",", "&amp;$M454)</f>
        <v/>
      </c>
      <c r="AM454">
        <f>AL454&amp;IF($N454="","",", "&amp;$N454)</f>
        <v/>
      </c>
      <c r="AN454">
        <f>AM454&amp;IF($O454="","",", "&amp;$O454)</f>
        <v/>
      </c>
      <c r="AO454">
        <f>AN454&amp;IF($P454="","",", "&amp;$P454)</f>
        <v/>
      </c>
      <c r="AP454">
        <f>AO454&amp;IF($Q454="","",", "&amp;$Q454)</f>
        <v/>
      </c>
      <c r="AQ454">
        <f>AP454&amp;IF($R454="","",", "&amp;$R454)</f>
        <v/>
      </c>
      <c r="AR454">
        <f>AQ454&amp;IF($S454="","",", "&amp;$S454)</f>
        <v/>
      </c>
      <c r="AS454">
        <f>AR454&amp;IF($T454="","",", "&amp;$T454)</f>
        <v/>
      </c>
      <c r="AT454">
        <f>AS454&amp;IF($U454="","",", "&amp;$U454)</f>
        <v/>
      </c>
      <c r="AU454">
        <f>AT454&amp;IF($V454="","",", "&amp;$V454)</f>
        <v/>
      </c>
      <c r="AV454">
        <f>AU454&amp;IF($W454="","",", "&amp;$W454)</f>
        <v/>
      </c>
      <c r="AW454">
        <f>AV454&amp;IF($X454="","",", "&amp;$X454)</f>
        <v/>
      </c>
      <c r="AX454">
        <f>AW454&amp;IF($Y454="","",", "&amp;$Y454)</f>
        <v/>
      </c>
    </row>
    <row r="455">
      <c r="A455" s="118">
        <f>IF($B455="","",COUNT($B$5:$B455))</f>
        <v/>
      </c>
      <c r="B455" s="80" t="n"/>
      <c r="C455" s="80" t="n"/>
      <c r="D455" s="74" t="n"/>
      <c r="E455" s="74" t="n"/>
      <c r="F455" s="74" t="n"/>
      <c r="G455" s="118">
        <f>IF($F455="","",COUNTIF($F$5:$F455,$F455))</f>
        <v/>
      </c>
      <c r="H455" s="33">
        <f>IF($F455="","",IFERROR(INDEX(사건마스터!$B$5:$B$64,MATCH($F455,사건마스터!$A$5:$A$64,0)),""))</f>
        <v/>
      </c>
      <c r="I455" s="130">
        <f>IF($F455="","",IFERROR(INDEX(사건마스터!$C$5:$C$64,MATCH($F455,사건마스터!$A$5:$A$64,0)),""))</f>
        <v/>
      </c>
      <c r="J455" s="136">
        <f>IF($F455="","",IFERROR(INDEX(사건마스터!$H$5:$H$64,MATCH($F455,사건마스터!$A$5:$A$64,0)),""))</f>
        <v/>
      </c>
      <c r="K455" s="136">
        <f>IF($F455="","",IFERROR(INDEX(사건마스터!$AH$5:$AH$64,MATCH($F455,사건마스터!$A$5:$A$64,0)),""))</f>
        <v/>
      </c>
      <c r="L455" s="136">
        <f>IF($F455="","",IFERROR(INDEX(사건마스터!$AI$5:$AI$64,MATCH($F455,사건마스터!$A$5:$A$64,0)),""))</f>
        <v/>
      </c>
      <c r="M455" s="136">
        <f>IF($F455="","",IFERROR(INDEX(사건마스터!$AJ$5:$AJ$64,MATCH($F455,사건마스터!$A$5:$A$64,0)),""))</f>
        <v/>
      </c>
      <c r="N455" s="136">
        <f>IF($F455="","",IFERROR(INDEX(사건마스터!$AK$5:$AK$64,MATCH($F455,사건마스터!$A$5:$A$64,0)),""))</f>
        <v/>
      </c>
      <c r="O455" s="136">
        <f>IF($F455="","",IFERROR(INDEX(사건마스터!$AL$5:$AL$64,MATCH($F455,사건마스터!$A$5:$A$64,0)),""))</f>
        <v/>
      </c>
      <c r="P455" s="136">
        <f>IF($F455="","",IFERROR(INDEX(사건마스터!$AM$5:$AM$64,MATCH($F455,사건마스터!$A$5:$A$64,0)),""))</f>
        <v/>
      </c>
      <c r="Q455" s="136">
        <f>IF($F455="","",IFERROR(INDEX(사건마스터!$AN$5:$AN$64,MATCH($F455,사건마스터!$A$5:$A$64,0)),""))</f>
        <v/>
      </c>
      <c r="R455" s="136">
        <f>IF($F455="","",IFERROR(INDEX(사건마스터!$AO$5:$AO$64,MATCH($F455,사건마스터!$A$5:$A$64,0)),""))</f>
        <v/>
      </c>
      <c r="S455" s="136">
        <f>IF($F455="","",IFERROR(INDEX(사건마스터!$AP$5:$AP$64,MATCH($F455,사건마스터!$A$5:$A$64,0)),""))</f>
        <v/>
      </c>
      <c r="T455" s="136">
        <f>IF($F455="","",IFERROR(INDEX(사건마스터!$AQ$5:$AQ$64,MATCH($F455,사건마스터!$A$5:$A$64,0)),""))</f>
        <v/>
      </c>
      <c r="U455" s="136">
        <f>IF($F455="","",IFERROR(INDEX(사건마스터!$AR$5:$AR$64,MATCH($F455,사건마스터!$A$5:$A$64,0)),""))</f>
        <v/>
      </c>
      <c r="V455" s="136">
        <f>IF($F455="","",IFERROR(INDEX(사건마스터!$AS$5:$AS$64,MATCH($F455,사건마스터!$A$5:$A$64,0)),""))</f>
        <v/>
      </c>
      <c r="W455" s="136">
        <f>IF($F455="","",IFERROR(INDEX(사건마스터!$AT$5:$AT$64,MATCH($F455,사건마스터!$A$5:$A$64,0)),""))</f>
        <v/>
      </c>
      <c r="X455" s="136">
        <f>IF($F455="","",IFERROR(INDEX(사건마스터!$AU$5:$AU$64,MATCH($F455,사건마스터!$A$5:$A$64,0)),""))</f>
        <v/>
      </c>
      <c r="Y455" s="136">
        <f>IF($F455="","",IFERROR(INDEX(사건마스터!$AV$5:$AV$64,MATCH($F455,사건마스터!$A$5:$A$64,0)),""))</f>
        <v/>
      </c>
      <c r="Z455" s="118">
        <f>IF(COUNTBLANK($J455:$Y455)=16,"",16-COUNTBLANK($J455:$Y455))</f>
        <v/>
      </c>
      <c r="AA455" s="33">
        <f>IF($J455="",MID($AX455,3,255),$J455&amp;$AX455)</f>
        <v/>
      </c>
      <c r="AB455" s="130">
        <f>IF($J455="","",IFERROR(INDEX(코드설정!$D$5:$D$24,MATCH($J455,코드설정!$C$5:$C$24,0)),""))</f>
        <v/>
      </c>
      <c r="AC455" s="36" t="n"/>
      <c r="AD455" s="37" t="n"/>
      <c r="AE455" s="38" t="n"/>
      <c r="AF455" s="118">
        <f>IF(OR($B455="",$C455=""),"",$C455-$B455+1)</f>
        <v/>
      </c>
      <c r="AG455" s="74" t="n"/>
      <c r="AH455" s="36" t="n"/>
      <c r="AJ455">
        <f>IF($K455="","",", "&amp;$K455)</f>
        <v/>
      </c>
      <c r="AK455">
        <f>AJ455&amp;IF($L455="","",", "&amp;$L455)</f>
        <v/>
      </c>
      <c r="AL455">
        <f>AK455&amp;IF($M455="","",", "&amp;$M455)</f>
        <v/>
      </c>
      <c r="AM455">
        <f>AL455&amp;IF($N455="","",", "&amp;$N455)</f>
        <v/>
      </c>
      <c r="AN455">
        <f>AM455&amp;IF($O455="","",", "&amp;$O455)</f>
        <v/>
      </c>
      <c r="AO455">
        <f>AN455&amp;IF($P455="","",", "&amp;$P455)</f>
        <v/>
      </c>
      <c r="AP455">
        <f>AO455&amp;IF($Q455="","",", "&amp;$Q455)</f>
        <v/>
      </c>
      <c r="AQ455">
        <f>AP455&amp;IF($R455="","",", "&amp;$R455)</f>
        <v/>
      </c>
      <c r="AR455">
        <f>AQ455&amp;IF($S455="","",", "&amp;$S455)</f>
        <v/>
      </c>
      <c r="AS455">
        <f>AR455&amp;IF($T455="","",", "&amp;$T455)</f>
        <v/>
      </c>
      <c r="AT455">
        <f>AS455&amp;IF($U455="","",", "&amp;$U455)</f>
        <v/>
      </c>
      <c r="AU455">
        <f>AT455&amp;IF($V455="","",", "&amp;$V455)</f>
        <v/>
      </c>
      <c r="AV455">
        <f>AU455&amp;IF($W455="","",", "&amp;$W455)</f>
        <v/>
      </c>
      <c r="AW455">
        <f>AV455&amp;IF($X455="","",", "&amp;$X455)</f>
        <v/>
      </c>
      <c r="AX455">
        <f>AW455&amp;IF($Y455="","",", "&amp;$Y455)</f>
        <v/>
      </c>
    </row>
    <row r="456">
      <c r="A456" s="118">
        <f>IF($B456="","",COUNT($B$5:$B456))</f>
        <v/>
      </c>
      <c r="B456" s="80" t="n"/>
      <c r="C456" s="80" t="n"/>
      <c r="D456" s="74" t="n"/>
      <c r="E456" s="74" t="n"/>
      <c r="F456" s="74" t="n"/>
      <c r="G456" s="118">
        <f>IF($F456="","",COUNTIF($F$5:$F456,$F456))</f>
        <v/>
      </c>
      <c r="H456" s="33">
        <f>IF($F456="","",IFERROR(INDEX(사건마스터!$B$5:$B$64,MATCH($F456,사건마스터!$A$5:$A$64,0)),""))</f>
        <v/>
      </c>
      <c r="I456" s="130">
        <f>IF($F456="","",IFERROR(INDEX(사건마스터!$C$5:$C$64,MATCH($F456,사건마스터!$A$5:$A$64,0)),""))</f>
        <v/>
      </c>
      <c r="J456" s="136">
        <f>IF($F456="","",IFERROR(INDEX(사건마스터!$H$5:$H$64,MATCH($F456,사건마스터!$A$5:$A$64,0)),""))</f>
        <v/>
      </c>
      <c r="K456" s="136">
        <f>IF($F456="","",IFERROR(INDEX(사건마스터!$AH$5:$AH$64,MATCH($F456,사건마스터!$A$5:$A$64,0)),""))</f>
        <v/>
      </c>
      <c r="L456" s="136">
        <f>IF($F456="","",IFERROR(INDEX(사건마스터!$AI$5:$AI$64,MATCH($F456,사건마스터!$A$5:$A$64,0)),""))</f>
        <v/>
      </c>
      <c r="M456" s="136">
        <f>IF($F456="","",IFERROR(INDEX(사건마스터!$AJ$5:$AJ$64,MATCH($F456,사건마스터!$A$5:$A$64,0)),""))</f>
        <v/>
      </c>
      <c r="N456" s="136">
        <f>IF($F456="","",IFERROR(INDEX(사건마스터!$AK$5:$AK$64,MATCH($F456,사건마스터!$A$5:$A$64,0)),""))</f>
        <v/>
      </c>
      <c r="O456" s="136">
        <f>IF($F456="","",IFERROR(INDEX(사건마스터!$AL$5:$AL$64,MATCH($F456,사건마스터!$A$5:$A$64,0)),""))</f>
        <v/>
      </c>
      <c r="P456" s="136">
        <f>IF($F456="","",IFERROR(INDEX(사건마스터!$AM$5:$AM$64,MATCH($F456,사건마스터!$A$5:$A$64,0)),""))</f>
        <v/>
      </c>
      <c r="Q456" s="136">
        <f>IF($F456="","",IFERROR(INDEX(사건마스터!$AN$5:$AN$64,MATCH($F456,사건마스터!$A$5:$A$64,0)),""))</f>
        <v/>
      </c>
      <c r="R456" s="136">
        <f>IF($F456="","",IFERROR(INDEX(사건마스터!$AO$5:$AO$64,MATCH($F456,사건마스터!$A$5:$A$64,0)),""))</f>
        <v/>
      </c>
      <c r="S456" s="136">
        <f>IF($F456="","",IFERROR(INDEX(사건마스터!$AP$5:$AP$64,MATCH($F456,사건마스터!$A$5:$A$64,0)),""))</f>
        <v/>
      </c>
      <c r="T456" s="136">
        <f>IF($F456="","",IFERROR(INDEX(사건마스터!$AQ$5:$AQ$64,MATCH($F456,사건마스터!$A$5:$A$64,0)),""))</f>
        <v/>
      </c>
      <c r="U456" s="136">
        <f>IF($F456="","",IFERROR(INDEX(사건마스터!$AR$5:$AR$64,MATCH($F456,사건마스터!$A$5:$A$64,0)),""))</f>
        <v/>
      </c>
      <c r="V456" s="136">
        <f>IF($F456="","",IFERROR(INDEX(사건마스터!$AS$5:$AS$64,MATCH($F456,사건마스터!$A$5:$A$64,0)),""))</f>
        <v/>
      </c>
      <c r="W456" s="136">
        <f>IF($F456="","",IFERROR(INDEX(사건마스터!$AT$5:$AT$64,MATCH($F456,사건마스터!$A$5:$A$64,0)),""))</f>
        <v/>
      </c>
      <c r="X456" s="136">
        <f>IF($F456="","",IFERROR(INDEX(사건마스터!$AU$5:$AU$64,MATCH($F456,사건마스터!$A$5:$A$64,0)),""))</f>
        <v/>
      </c>
      <c r="Y456" s="136">
        <f>IF($F456="","",IFERROR(INDEX(사건마스터!$AV$5:$AV$64,MATCH($F456,사건마스터!$A$5:$A$64,0)),""))</f>
        <v/>
      </c>
      <c r="Z456" s="118">
        <f>IF(COUNTBLANK($J456:$Y456)=16,"",16-COUNTBLANK($J456:$Y456))</f>
        <v/>
      </c>
      <c r="AA456" s="33">
        <f>IF($J456="",MID($AX456,3,255),$J456&amp;$AX456)</f>
        <v/>
      </c>
      <c r="AB456" s="130">
        <f>IF($J456="","",IFERROR(INDEX(코드설정!$D$5:$D$24,MATCH($J456,코드설정!$C$5:$C$24,0)),""))</f>
        <v/>
      </c>
      <c r="AC456" s="36" t="n"/>
      <c r="AD456" s="37" t="n"/>
      <c r="AE456" s="38" t="n"/>
      <c r="AF456" s="118">
        <f>IF(OR($B456="",$C456=""),"",$C456-$B456+1)</f>
        <v/>
      </c>
      <c r="AG456" s="74" t="n"/>
      <c r="AH456" s="36" t="n"/>
      <c r="AJ456">
        <f>IF($K456="","",", "&amp;$K456)</f>
        <v/>
      </c>
      <c r="AK456">
        <f>AJ456&amp;IF($L456="","",", "&amp;$L456)</f>
        <v/>
      </c>
      <c r="AL456">
        <f>AK456&amp;IF($M456="","",", "&amp;$M456)</f>
        <v/>
      </c>
      <c r="AM456">
        <f>AL456&amp;IF($N456="","",", "&amp;$N456)</f>
        <v/>
      </c>
      <c r="AN456">
        <f>AM456&amp;IF($O456="","",", "&amp;$O456)</f>
        <v/>
      </c>
      <c r="AO456">
        <f>AN456&amp;IF($P456="","",", "&amp;$P456)</f>
        <v/>
      </c>
      <c r="AP456">
        <f>AO456&amp;IF($Q456="","",", "&amp;$Q456)</f>
        <v/>
      </c>
      <c r="AQ456">
        <f>AP456&amp;IF($R456="","",", "&amp;$R456)</f>
        <v/>
      </c>
      <c r="AR456">
        <f>AQ456&amp;IF($S456="","",", "&amp;$S456)</f>
        <v/>
      </c>
      <c r="AS456">
        <f>AR456&amp;IF($T456="","",", "&amp;$T456)</f>
        <v/>
      </c>
      <c r="AT456">
        <f>AS456&amp;IF($U456="","",", "&amp;$U456)</f>
        <v/>
      </c>
      <c r="AU456">
        <f>AT456&amp;IF($V456="","",", "&amp;$V456)</f>
        <v/>
      </c>
      <c r="AV456">
        <f>AU456&amp;IF($W456="","",", "&amp;$W456)</f>
        <v/>
      </c>
      <c r="AW456">
        <f>AV456&amp;IF($X456="","",", "&amp;$X456)</f>
        <v/>
      </c>
      <c r="AX456">
        <f>AW456&amp;IF($Y456="","",", "&amp;$Y456)</f>
        <v/>
      </c>
    </row>
    <row r="457">
      <c r="A457" s="118">
        <f>IF($B457="","",COUNT($B$5:$B457))</f>
        <v/>
      </c>
      <c r="B457" s="80" t="n"/>
      <c r="C457" s="80" t="n"/>
      <c r="D457" s="74" t="n"/>
      <c r="E457" s="74" t="n"/>
      <c r="F457" s="74" t="n"/>
      <c r="G457" s="118">
        <f>IF($F457="","",COUNTIF($F$5:$F457,$F457))</f>
        <v/>
      </c>
      <c r="H457" s="33">
        <f>IF($F457="","",IFERROR(INDEX(사건마스터!$B$5:$B$64,MATCH($F457,사건마스터!$A$5:$A$64,0)),""))</f>
        <v/>
      </c>
      <c r="I457" s="130">
        <f>IF($F457="","",IFERROR(INDEX(사건마스터!$C$5:$C$64,MATCH($F457,사건마스터!$A$5:$A$64,0)),""))</f>
        <v/>
      </c>
      <c r="J457" s="136">
        <f>IF($F457="","",IFERROR(INDEX(사건마스터!$H$5:$H$64,MATCH($F457,사건마스터!$A$5:$A$64,0)),""))</f>
        <v/>
      </c>
      <c r="K457" s="136">
        <f>IF($F457="","",IFERROR(INDEX(사건마스터!$AH$5:$AH$64,MATCH($F457,사건마스터!$A$5:$A$64,0)),""))</f>
        <v/>
      </c>
      <c r="L457" s="136">
        <f>IF($F457="","",IFERROR(INDEX(사건마스터!$AI$5:$AI$64,MATCH($F457,사건마스터!$A$5:$A$64,0)),""))</f>
        <v/>
      </c>
      <c r="M457" s="136">
        <f>IF($F457="","",IFERROR(INDEX(사건마스터!$AJ$5:$AJ$64,MATCH($F457,사건마스터!$A$5:$A$64,0)),""))</f>
        <v/>
      </c>
      <c r="N457" s="136">
        <f>IF($F457="","",IFERROR(INDEX(사건마스터!$AK$5:$AK$64,MATCH($F457,사건마스터!$A$5:$A$64,0)),""))</f>
        <v/>
      </c>
      <c r="O457" s="136">
        <f>IF($F457="","",IFERROR(INDEX(사건마스터!$AL$5:$AL$64,MATCH($F457,사건마스터!$A$5:$A$64,0)),""))</f>
        <v/>
      </c>
      <c r="P457" s="136">
        <f>IF($F457="","",IFERROR(INDEX(사건마스터!$AM$5:$AM$64,MATCH($F457,사건마스터!$A$5:$A$64,0)),""))</f>
        <v/>
      </c>
      <c r="Q457" s="136">
        <f>IF($F457="","",IFERROR(INDEX(사건마스터!$AN$5:$AN$64,MATCH($F457,사건마스터!$A$5:$A$64,0)),""))</f>
        <v/>
      </c>
      <c r="R457" s="136">
        <f>IF($F457="","",IFERROR(INDEX(사건마스터!$AO$5:$AO$64,MATCH($F457,사건마스터!$A$5:$A$64,0)),""))</f>
        <v/>
      </c>
      <c r="S457" s="136">
        <f>IF($F457="","",IFERROR(INDEX(사건마스터!$AP$5:$AP$64,MATCH($F457,사건마스터!$A$5:$A$64,0)),""))</f>
        <v/>
      </c>
      <c r="T457" s="136">
        <f>IF($F457="","",IFERROR(INDEX(사건마스터!$AQ$5:$AQ$64,MATCH($F457,사건마스터!$A$5:$A$64,0)),""))</f>
        <v/>
      </c>
      <c r="U457" s="136">
        <f>IF($F457="","",IFERROR(INDEX(사건마스터!$AR$5:$AR$64,MATCH($F457,사건마스터!$A$5:$A$64,0)),""))</f>
        <v/>
      </c>
      <c r="V457" s="136">
        <f>IF($F457="","",IFERROR(INDEX(사건마스터!$AS$5:$AS$64,MATCH($F457,사건마스터!$A$5:$A$64,0)),""))</f>
        <v/>
      </c>
      <c r="W457" s="136">
        <f>IF($F457="","",IFERROR(INDEX(사건마스터!$AT$5:$AT$64,MATCH($F457,사건마스터!$A$5:$A$64,0)),""))</f>
        <v/>
      </c>
      <c r="X457" s="136">
        <f>IF($F457="","",IFERROR(INDEX(사건마스터!$AU$5:$AU$64,MATCH($F457,사건마스터!$A$5:$A$64,0)),""))</f>
        <v/>
      </c>
      <c r="Y457" s="136">
        <f>IF($F457="","",IFERROR(INDEX(사건마스터!$AV$5:$AV$64,MATCH($F457,사건마스터!$A$5:$A$64,0)),""))</f>
        <v/>
      </c>
      <c r="Z457" s="118">
        <f>IF(COUNTBLANK($J457:$Y457)=16,"",16-COUNTBLANK($J457:$Y457))</f>
        <v/>
      </c>
      <c r="AA457" s="33">
        <f>IF($J457="",MID($AX457,3,255),$J457&amp;$AX457)</f>
        <v/>
      </c>
      <c r="AB457" s="130">
        <f>IF($J457="","",IFERROR(INDEX(코드설정!$D$5:$D$24,MATCH($J457,코드설정!$C$5:$C$24,0)),""))</f>
        <v/>
      </c>
      <c r="AC457" s="36" t="n"/>
      <c r="AD457" s="37" t="n"/>
      <c r="AE457" s="38" t="n"/>
      <c r="AF457" s="118">
        <f>IF(OR($B457="",$C457=""),"",$C457-$B457+1)</f>
        <v/>
      </c>
      <c r="AG457" s="74" t="n"/>
      <c r="AH457" s="36" t="n"/>
      <c r="AJ457">
        <f>IF($K457="","",", "&amp;$K457)</f>
        <v/>
      </c>
      <c r="AK457">
        <f>AJ457&amp;IF($L457="","",", "&amp;$L457)</f>
        <v/>
      </c>
      <c r="AL457">
        <f>AK457&amp;IF($M457="","",", "&amp;$M457)</f>
        <v/>
      </c>
      <c r="AM457">
        <f>AL457&amp;IF($N457="","",", "&amp;$N457)</f>
        <v/>
      </c>
      <c r="AN457">
        <f>AM457&amp;IF($O457="","",", "&amp;$O457)</f>
        <v/>
      </c>
      <c r="AO457">
        <f>AN457&amp;IF($P457="","",", "&amp;$P457)</f>
        <v/>
      </c>
      <c r="AP457">
        <f>AO457&amp;IF($Q457="","",", "&amp;$Q457)</f>
        <v/>
      </c>
      <c r="AQ457">
        <f>AP457&amp;IF($R457="","",", "&amp;$R457)</f>
        <v/>
      </c>
      <c r="AR457">
        <f>AQ457&amp;IF($S457="","",", "&amp;$S457)</f>
        <v/>
      </c>
      <c r="AS457">
        <f>AR457&amp;IF($T457="","",", "&amp;$T457)</f>
        <v/>
      </c>
      <c r="AT457">
        <f>AS457&amp;IF($U457="","",", "&amp;$U457)</f>
        <v/>
      </c>
      <c r="AU457">
        <f>AT457&amp;IF($V457="","",", "&amp;$V457)</f>
        <v/>
      </c>
      <c r="AV457">
        <f>AU457&amp;IF($W457="","",", "&amp;$W457)</f>
        <v/>
      </c>
      <c r="AW457">
        <f>AV457&amp;IF($X457="","",", "&amp;$X457)</f>
        <v/>
      </c>
      <c r="AX457">
        <f>AW457&amp;IF($Y457="","",", "&amp;$Y457)</f>
        <v/>
      </c>
    </row>
    <row r="458">
      <c r="A458" s="118">
        <f>IF($B458="","",COUNT($B$5:$B458))</f>
        <v/>
      </c>
      <c r="B458" s="80" t="n"/>
      <c r="C458" s="80" t="n"/>
      <c r="D458" s="74" t="n"/>
      <c r="E458" s="74" t="n"/>
      <c r="F458" s="74" t="n"/>
      <c r="G458" s="118">
        <f>IF($F458="","",COUNTIF($F$5:$F458,$F458))</f>
        <v/>
      </c>
      <c r="H458" s="33">
        <f>IF($F458="","",IFERROR(INDEX(사건마스터!$B$5:$B$64,MATCH($F458,사건마스터!$A$5:$A$64,0)),""))</f>
        <v/>
      </c>
      <c r="I458" s="130">
        <f>IF($F458="","",IFERROR(INDEX(사건마스터!$C$5:$C$64,MATCH($F458,사건마스터!$A$5:$A$64,0)),""))</f>
        <v/>
      </c>
      <c r="J458" s="136">
        <f>IF($F458="","",IFERROR(INDEX(사건마스터!$H$5:$H$64,MATCH($F458,사건마스터!$A$5:$A$64,0)),""))</f>
        <v/>
      </c>
      <c r="K458" s="136">
        <f>IF($F458="","",IFERROR(INDEX(사건마스터!$AH$5:$AH$64,MATCH($F458,사건마스터!$A$5:$A$64,0)),""))</f>
        <v/>
      </c>
      <c r="L458" s="136">
        <f>IF($F458="","",IFERROR(INDEX(사건마스터!$AI$5:$AI$64,MATCH($F458,사건마스터!$A$5:$A$64,0)),""))</f>
        <v/>
      </c>
      <c r="M458" s="136">
        <f>IF($F458="","",IFERROR(INDEX(사건마스터!$AJ$5:$AJ$64,MATCH($F458,사건마스터!$A$5:$A$64,0)),""))</f>
        <v/>
      </c>
      <c r="N458" s="136">
        <f>IF($F458="","",IFERROR(INDEX(사건마스터!$AK$5:$AK$64,MATCH($F458,사건마스터!$A$5:$A$64,0)),""))</f>
        <v/>
      </c>
      <c r="O458" s="136">
        <f>IF($F458="","",IFERROR(INDEX(사건마스터!$AL$5:$AL$64,MATCH($F458,사건마스터!$A$5:$A$64,0)),""))</f>
        <v/>
      </c>
      <c r="P458" s="136">
        <f>IF($F458="","",IFERROR(INDEX(사건마스터!$AM$5:$AM$64,MATCH($F458,사건마스터!$A$5:$A$64,0)),""))</f>
        <v/>
      </c>
      <c r="Q458" s="136">
        <f>IF($F458="","",IFERROR(INDEX(사건마스터!$AN$5:$AN$64,MATCH($F458,사건마스터!$A$5:$A$64,0)),""))</f>
        <v/>
      </c>
      <c r="R458" s="136">
        <f>IF($F458="","",IFERROR(INDEX(사건마스터!$AO$5:$AO$64,MATCH($F458,사건마스터!$A$5:$A$64,0)),""))</f>
        <v/>
      </c>
      <c r="S458" s="136">
        <f>IF($F458="","",IFERROR(INDEX(사건마스터!$AP$5:$AP$64,MATCH($F458,사건마스터!$A$5:$A$64,0)),""))</f>
        <v/>
      </c>
      <c r="T458" s="136">
        <f>IF($F458="","",IFERROR(INDEX(사건마스터!$AQ$5:$AQ$64,MATCH($F458,사건마스터!$A$5:$A$64,0)),""))</f>
        <v/>
      </c>
      <c r="U458" s="136">
        <f>IF($F458="","",IFERROR(INDEX(사건마스터!$AR$5:$AR$64,MATCH($F458,사건마스터!$A$5:$A$64,0)),""))</f>
        <v/>
      </c>
      <c r="V458" s="136">
        <f>IF($F458="","",IFERROR(INDEX(사건마스터!$AS$5:$AS$64,MATCH($F458,사건마스터!$A$5:$A$64,0)),""))</f>
        <v/>
      </c>
      <c r="W458" s="136">
        <f>IF($F458="","",IFERROR(INDEX(사건마스터!$AT$5:$AT$64,MATCH($F458,사건마스터!$A$5:$A$64,0)),""))</f>
        <v/>
      </c>
      <c r="X458" s="136">
        <f>IF($F458="","",IFERROR(INDEX(사건마스터!$AU$5:$AU$64,MATCH($F458,사건마스터!$A$5:$A$64,0)),""))</f>
        <v/>
      </c>
      <c r="Y458" s="136">
        <f>IF($F458="","",IFERROR(INDEX(사건마스터!$AV$5:$AV$64,MATCH($F458,사건마스터!$A$5:$A$64,0)),""))</f>
        <v/>
      </c>
      <c r="Z458" s="118">
        <f>IF(COUNTBLANK($J458:$Y458)=16,"",16-COUNTBLANK($J458:$Y458))</f>
        <v/>
      </c>
      <c r="AA458" s="33">
        <f>IF($J458="",MID($AX458,3,255),$J458&amp;$AX458)</f>
        <v/>
      </c>
      <c r="AB458" s="130">
        <f>IF($J458="","",IFERROR(INDEX(코드설정!$D$5:$D$24,MATCH($J458,코드설정!$C$5:$C$24,0)),""))</f>
        <v/>
      </c>
      <c r="AC458" s="36" t="n"/>
      <c r="AD458" s="37" t="n"/>
      <c r="AE458" s="38" t="n"/>
      <c r="AF458" s="118">
        <f>IF(OR($B458="",$C458=""),"",$C458-$B458+1)</f>
        <v/>
      </c>
      <c r="AG458" s="74" t="n"/>
      <c r="AH458" s="36" t="n"/>
      <c r="AJ458">
        <f>IF($K458="","",", "&amp;$K458)</f>
        <v/>
      </c>
      <c r="AK458">
        <f>AJ458&amp;IF($L458="","",", "&amp;$L458)</f>
        <v/>
      </c>
      <c r="AL458">
        <f>AK458&amp;IF($M458="","",", "&amp;$M458)</f>
        <v/>
      </c>
      <c r="AM458">
        <f>AL458&amp;IF($N458="","",", "&amp;$N458)</f>
        <v/>
      </c>
      <c r="AN458">
        <f>AM458&amp;IF($O458="","",", "&amp;$O458)</f>
        <v/>
      </c>
      <c r="AO458">
        <f>AN458&amp;IF($P458="","",", "&amp;$P458)</f>
        <v/>
      </c>
      <c r="AP458">
        <f>AO458&amp;IF($Q458="","",", "&amp;$Q458)</f>
        <v/>
      </c>
      <c r="AQ458">
        <f>AP458&amp;IF($R458="","",", "&amp;$R458)</f>
        <v/>
      </c>
      <c r="AR458">
        <f>AQ458&amp;IF($S458="","",", "&amp;$S458)</f>
        <v/>
      </c>
      <c r="AS458">
        <f>AR458&amp;IF($T458="","",", "&amp;$T458)</f>
        <v/>
      </c>
      <c r="AT458">
        <f>AS458&amp;IF($U458="","",", "&amp;$U458)</f>
        <v/>
      </c>
      <c r="AU458">
        <f>AT458&amp;IF($V458="","",", "&amp;$V458)</f>
        <v/>
      </c>
      <c r="AV458">
        <f>AU458&amp;IF($W458="","",", "&amp;$W458)</f>
        <v/>
      </c>
      <c r="AW458">
        <f>AV458&amp;IF($X458="","",", "&amp;$X458)</f>
        <v/>
      </c>
      <c r="AX458">
        <f>AW458&amp;IF($Y458="","",", "&amp;$Y458)</f>
        <v/>
      </c>
    </row>
    <row r="459">
      <c r="A459" s="118">
        <f>IF($B459="","",COUNT($B$5:$B459))</f>
        <v/>
      </c>
      <c r="B459" s="80" t="n"/>
      <c r="C459" s="80" t="n"/>
      <c r="D459" s="74" t="n"/>
      <c r="E459" s="74" t="n"/>
      <c r="F459" s="74" t="n"/>
      <c r="G459" s="118">
        <f>IF($F459="","",COUNTIF($F$5:$F459,$F459))</f>
        <v/>
      </c>
      <c r="H459" s="33">
        <f>IF($F459="","",IFERROR(INDEX(사건마스터!$B$5:$B$64,MATCH($F459,사건마스터!$A$5:$A$64,0)),""))</f>
        <v/>
      </c>
      <c r="I459" s="130">
        <f>IF($F459="","",IFERROR(INDEX(사건마스터!$C$5:$C$64,MATCH($F459,사건마스터!$A$5:$A$64,0)),""))</f>
        <v/>
      </c>
      <c r="J459" s="136">
        <f>IF($F459="","",IFERROR(INDEX(사건마스터!$H$5:$H$64,MATCH($F459,사건마스터!$A$5:$A$64,0)),""))</f>
        <v/>
      </c>
      <c r="K459" s="136">
        <f>IF($F459="","",IFERROR(INDEX(사건마스터!$AH$5:$AH$64,MATCH($F459,사건마스터!$A$5:$A$64,0)),""))</f>
        <v/>
      </c>
      <c r="L459" s="136">
        <f>IF($F459="","",IFERROR(INDEX(사건마스터!$AI$5:$AI$64,MATCH($F459,사건마스터!$A$5:$A$64,0)),""))</f>
        <v/>
      </c>
      <c r="M459" s="136">
        <f>IF($F459="","",IFERROR(INDEX(사건마스터!$AJ$5:$AJ$64,MATCH($F459,사건마스터!$A$5:$A$64,0)),""))</f>
        <v/>
      </c>
      <c r="N459" s="136">
        <f>IF($F459="","",IFERROR(INDEX(사건마스터!$AK$5:$AK$64,MATCH($F459,사건마스터!$A$5:$A$64,0)),""))</f>
        <v/>
      </c>
      <c r="O459" s="136">
        <f>IF($F459="","",IFERROR(INDEX(사건마스터!$AL$5:$AL$64,MATCH($F459,사건마스터!$A$5:$A$64,0)),""))</f>
        <v/>
      </c>
      <c r="P459" s="136">
        <f>IF($F459="","",IFERROR(INDEX(사건마스터!$AM$5:$AM$64,MATCH($F459,사건마스터!$A$5:$A$64,0)),""))</f>
        <v/>
      </c>
      <c r="Q459" s="136">
        <f>IF($F459="","",IFERROR(INDEX(사건마스터!$AN$5:$AN$64,MATCH($F459,사건마스터!$A$5:$A$64,0)),""))</f>
        <v/>
      </c>
      <c r="R459" s="136">
        <f>IF($F459="","",IFERROR(INDEX(사건마스터!$AO$5:$AO$64,MATCH($F459,사건마스터!$A$5:$A$64,0)),""))</f>
        <v/>
      </c>
      <c r="S459" s="136">
        <f>IF($F459="","",IFERROR(INDEX(사건마스터!$AP$5:$AP$64,MATCH($F459,사건마스터!$A$5:$A$64,0)),""))</f>
        <v/>
      </c>
      <c r="T459" s="136">
        <f>IF($F459="","",IFERROR(INDEX(사건마스터!$AQ$5:$AQ$64,MATCH($F459,사건마스터!$A$5:$A$64,0)),""))</f>
        <v/>
      </c>
      <c r="U459" s="136">
        <f>IF($F459="","",IFERROR(INDEX(사건마스터!$AR$5:$AR$64,MATCH($F459,사건마스터!$A$5:$A$64,0)),""))</f>
        <v/>
      </c>
      <c r="V459" s="136">
        <f>IF($F459="","",IFERROR(INDEX(사건마스터!$AS$5:$AS$64,MATCH($F459,사건마스터!$A$5:$A$64,0)),""))</f>
        <v/>
      </c>
      <c r="W459" s="136">
        <f>IF($F459="","",IFERROR(INDEX(사건마스터!$AT$5:$AT$64,MATCH($F459,사건마스터!$A$5:$A$64,0)),""))</f>
        <v/>
      </c>
      <c r="X459" s="136">
        <f>IF($F459="","",IFERROR(INDEX(사건마스터!$AU$5:$AU$64,MATCH($F459,사건마스터!$A$5:$A$64,0)),""))</f>
        <v/>
      </c>
      <c r="Y459" s="136">
        <f>IF($F459="","",IFERROR(INDEX(사건마스터!$AV$5:$AV$64,MATCH($F459,사건마스터!$A$5:$A$64,0)),""))</f>
        <v/>
      </c>
      <c r="Z459" s="118">
        <f>IF(COUNTBLANK($J459:$Y459)=16,"",16-COUNTBLANK($J459:$Y459))</f>
        <v/>
      </c>
      <c r="AA459" s="33">
        <f>IF($J459="",MID($AX459,3,255),$J459&amp;$AX459)</f>
        <v/>
      </c>
      <c r="AB459" s="130">
        <f>IF($J459="","",IFERROR(INDEX(코드설정!$D$5:$D$24,MATCH($J459,코드설정!$C$5:$C$24,0)),""))</f>
        <v/>
      </c>
      <c r="AC459" s="36" t="n"/>
      <c r="AD459" s="37" t="n"/>
      <c r="AE459" s="38" t="n"/>
      <c r="AF459" s="118">
        <f>IF(OR($B459="",$C459=""),"",$C459-$B459+1)</f>
        <v/>
      </c>
      <c r="AG459" s="74" t="n"/>
      <c r="AH459" s="36" t="n"/>
      <c r="AJ459">
        <f>IF($K459="","",", "&amp;$K459)</f>
        <v/>
      </c>
      <c r="AK459">
        <f>AJ459&amp;IF($L459="","",", "&amp;$L459)</f>
        <v/>
      </c>
      <c r="AL459">
        <f>AK459&amp;IF($M459="","",", "&amp;$M459)</f>
        <v/>
      </c>
      <c r="AM459">
        <f>AL459&amp;IF($N459="","",", "&amp;$N459)</f>
        <v/>
      </c>
      <c r="AN459">
        <f>AM459&amp;IF($O459="","",", "&amp;$O459)</f>
        <v/>
      </c>
      <c r="AO459">
        <f>AN459&amp;IF($P459="","",", "&amp;$P459)</f>
        <v/>
      </c>
      <c r="AP459">
        <f>AO459&amp;IF($Q459="","",", "&amp;$Q459)</f>
        <v/>
      </c>
      <c r="AQ459">
        <f>AP459&amp;IF($R459="","",", "&amp;$R459)</f>
        <v/>
      </c>
      <c r="AR459">
        <f>AQ459&amp;IF($S459="","",", "&amp;$S459)</f>
        <v/>
      </c>
      <c r="AS459">
        <f>AR459&amp;IF($T459="","",", "&amp;$T459)</f>
        <v/>
      </c>
      <c r="AT459">
        <f>AS459&amp;IF($U459="","",", "&amp;$U459)</f>
        <v/>
      </c>
      <c r="AU459">
        <f>AT459&amp;IF($V459="","",", "&amp;$V459)</f>
        <v/>
      </c>
      <c r="AV459">
        <f>AU459&amp;IF($W459="","",", "&amp;$W459)</f>
        <v/>
      </c>
      <c r="AW459">
        <f>AV459&amp;IF($X459="","",", "&amp;$X459)</f>
        <v/>
      </c>
      <c r="AX459">
        <f>AW459&amp;IF($Y459="","",", "&amp;$Y459)</f>
        <v/>
      </c>
    </row>
    <row r="460">
      <c r="A460" s="118">
        <f>IF($B460="","",COUNT($B$5:$B460))</f>
        <v/>
      </c>
      <c r="B460" s="80" t="n"/>
      <c r="C460" s="80" t="n"/>
      <c r="D460" s="74" t="n"/>
      <c r="E460" s="74" t="n"/>
      <c r="F460" s="74" t="n"/>
      <c r="G460" s="118">
        <f>IF($F460="","",COUNTIF($F$5:$F460,$F460))</f>
        <v/>
      </c>
      <c r="H460" s="33">
        <f>IF($F460="","",IFERROR(INDEX(사건마스터!$B$5:$B$64,MATCH($F460,사건마스터!$A$5:$A$64,0)),""))</f>
        <v/>
      </c>
      <c r="I460" s="130">
        <f>IF($F460="","",IFERROR(INDEX(사건마스터!$C$5:$C$64,MATCH($F460,사건마스터!$A$5:$A$64,0)),""))</f>
        <v/>
      </c>
      <c r="J460" s="136">
        <f>IF($F460="","",IFERROR(INDEX(사건마스터!$H$5:$H$64,MATCH($F460,사건마스터!$A$5:$A$64,0)),""))</f>
        <v/>
      </c>
      <c r="K460" s="136">
        <f>IF($F460="","",IFERROR(INDEX(사건마스터!$AH$5:$AH$64,MATCH($F460,사건마스터!$A$5:$A$64,0)),""))</f>
        <v/>
      </c>
      <c r="L460" s="136">
        <f>IF($F460="","",IFERROR(INDEX(사건마스터!$AI$5:$AI$64,MATCH($F460,사건마스터!$A$5:$A$64,0)),""))</f>
        <v/>
      </c>
      <c r="M460" s="136">
        <f>IF($F460="","",IFERROR(INDEX(사건마스터!$AJ$5:$AJ$64,MATCH($F460,사건마스터!$A$5:$A$64,0)),""))</f>
        <v/>
      </c>
      <c r="N460" s="136">
        <f>IF($F460="","",IFERROR(INDEX(사건마스터!$AK$5:$AK$64,MATCH($F460,사건마스터!$A$5:$A$64,0)),""))</f>
        <v/>
      </c>
      <c r="O460" s="136">
        <f>IF($F460="","",IFERROR(INDEX(사건마스터!$AL$5:$AL$64,MATCH($F460,사건마스터!$A$5:$A$64,0)),""))</f>
        <v/>
      </c>
      <c r="P460" s="136">
        <f>IF($F460="","",IFERROR(INDEX(사건마스터!$AM$5:$AM$64,MATCH($F460,사건마스터!$A$5:$A$64,0)),""))</f>
        <v/>
      </c>
      <c r="Q460" s="136">
        <f>IF($F460="","",IFERROR(INDEX(사건마스터!$AN$5:$AN$64,MATCH($F460,사건마스터!$A$5:$A$64,0)),""))</f>
        <v/>
      </c>
      <c r="R460" s="136">
        <f>IF($F460="","",IFERROR(INDEX(사건마스터!$AO$5:$AO$64,MATCH($F460,사건마스터!$A$5:$A$64,0)),""))</f>
        <v/>
      </c>
      <c r="S460" s="136">
        <f>IF($F460="","",IFERROR(INDEX(사건마스터!$AP$5:$AP$64,MATCH($F460,사건마스터!$A$5:$A$64,0)),""))</f>
        <v/>
      </c>
      <c r="T460" s="136">
        <f>IF($F460="","",IFERROR(INDEX(사건마스터!$AQ$5:$AQ$64,MATCH($F460,사건마스터!$A$5:$A$64,0)),""))</f>
        <v/>
      </c>
      <c r="U460" s="136">
        <f>IF($F460="","",IFERROR(INDEX(사건마스터!$AR$5:$AR$64,MATCH($F460,사건마스터!$A$5:$A$64,0)),""))</f>
        <v/>
      </c>
      <c r="V460" s="136">
        <f>IF($F460="","",IFERROR(INDEX(사건마스터!$AS$5:$AS$64,MATCH($F460,사건마스터!$A$5:$A$64,0)),""))</f>
        <v/>
      </c>
      <c r="W460" s="136">
        <f>IF($F460="","",IFERROR(INDEX(사건마스터!$AT$5:$AT$64,MATCH($F460,사건마스터!$A$5:$A$64,0)),""))</f>
        <v/>
      </c>
      <c r="X460" s="136">
        <f>IF($F460="","",IFERROR(INDEX(사건마스터!$AU$5:$AU$64,MATCH($F460,사건마스터!$A$5:$A$64,0)),""))</f>
        <v/>
      </c>
      <c r="Y460" s="136">
        <f>IF($F460="","",IFERROR(INDEX(사건마스터!$AV$5:$AV$64,MATCH($F460,사건마스터!$A$5:$A$64,0)),""))</f>
        <v/>
      </c>
      <c r="Z460" s="118">
        <f>IF(COUNTBLANK($J460:$Y460)=16,"",16-COUNTBLANK($J460:$Y460))</f>
        <v/>
      </c>
      <c r="AA460" s="33">
        <f>IF($J460="",MID($AX460,3,255),$J460&amp;$AX460)</f>
        <v/>
      </c>
      <c r="AB460" s="130">
        <f>IF($J460="","",IFERROR(INDEX(코드설정!$D$5:$D$24,MATCH($J460,코드설정!$C$5:$C$24,0)),""))</f>
        <v/>
      </c>
      <c r="AC460" s="36" t="n"/>
      <c r="AD460" s="37" t="n"/>
      <c r="AE460" s="38" t="n"/>
      <c r="AF460" s="118">
        <f>IF(OR($B460="",$C460=""),"",$C460-$B460+1)</f>
        <v/>
      </c>
      <c r="AG460" s="74" t="n"/>
      <c r="AH460" s="36" t="n"/>
      <c r="AJ460">
        <f>IF($K460="","",", "&amp;$K460)</f>
        <v/>
      </c>
      <c r="AK460">
        <f>AJ460&amp;IF($L460="","",", "&amp;$L460)</f>
        <v/>
      </c>
      <c r="AL460">
        <f>AK460&amp;IF($M460="","",", "&amp;$M460)</f>
        <v/>
      </c>
      <c r="AM460">
        <f>AL460&amp;IF($N460="","",", "&amp;$N460)</f>
        <v/>
      </c>
      <c r="AN460">
        <f>AM460&amp;IF($O460="","",", "&amp;$O460)</f>
        <v/>
      </c>
      <c r="AO460">
        <f>AN460&amp;IF($P460="","",", "&amp;$P460)</f>
        <v/>
      </c>
      <c r="AP460">
        <f>AO460&amp;IF($Q460="","",", "&amp;$Q460)</f>
        <v/>
      </c>
      <c r="AQ460">
        <f>AP460&amp;IF($R460="","",", "&amp;$R460)</f>
        <v/>
      </c>
      <c r="AR460">
        <f>AQ460&amp;IF($S460="","",", "&amp;$S460)</f>
        <v/>
      </c>
      <c r="AS460">
        <f>AR460&amp;IF($T460="","",", "&amp;$T460)</f>
        <v/>
      </c>
      <c r="AT460">
        <f>AS460&amp;IF($U460="","",", "&amp;$U460)</f>
        <v/>
      </c>
      <c r="AU460">
        <f>AT460&amp;IF($V460="","",", "&amp;$V460)</f>
        <v/>
      </c>
      <c r="AV460">
        <f>AU460&amp;IF($W460="","",", "&amp;$W460)</f>
        <v/>
      </c>
      <c r="AW460">
        <f>AV460&amp;IF($X460="","",", "&amp;$X460)</f>
        <v/>
      </c>
      <c r="AX460">
        <f>AW460&amp;IF($Y460="","",", "&amp;$Y460)</f>
        <v/>
      </c>
    </row>
    <row r="461">
      <c r="A461" s="118">
        <f>IF($B461="","",COUNT($B$5:$B461))</f>
        <v/>
      </c>
      <c r="B461" s="80" t="n"/>
      <c r="C461" s="80" t="n"/>
      <c r="D461" s="74" t="n"/>
      <c r="E461" s="74" t="n"/>
      <c r="F461" s="74" t="n"/>
      <c r="G461" s="118">
        <f>IF($F461="","",COUNTIF($F$5:$F461,$F461))</f>
        <v/>
      </c>
      <c r="H461" s="33">
        <f>IF($F461="","",IFERROR(INDEX(사건마스터!$B$5:$B$64,MATCH($F461,사건마스터!$A$5:$A$64,0)),""))</f>
        <v/>
      </c>
      <c r="I461" s="130">
        <f>IF($F461="","",IFERROR(INDEX(사건마스터!$C$5:$C$64,MATCH($F461,사건마스터!$A$5:$A$64,0)),""))</f>
        <v/>
      </c>
      <c r="J461" s="136">
        <f>IF($F461="","",IFERROR(INDEX(사건마스터!$H$5:$H$64,MATCH($F461,사건마스터!$A$5:$A$64,0)),""))</f>
        <v/>
      </c>
      <c r="K461" s="136">
        <f>IF($F461="","",IFERROR(INDEX(사건마스터!$AH$5:$AH$64,MATCH($F461,사건마스터!$A$5:$A$64,0)),""))</f>
        <v/>
      </c>
      <c r="L461" s="136">
        <f>IF($F461="","",IFERROR(INDEX(사건마스터!$AI$5:$AI$64,MATCH($F461,사건마스터!$A$5:$A$64,0)),""))</f>
        <v/>
      </c>
      <c r="M461" s="136">
        <f>IF($F461="","",IFERROR(INDEX(사건마스터!$AJ$5:$AJ$64,MATCH($F461,사건마스터!$A$5:$A$64,0)),""))</f>
        <v/>
      </c>
      <c r="N461" s="136">
        <f>IF($F461="","",IFERROR(INDEX(사건마스터!$AK$5:$AK$64,MATCH($F461,사건마스터!$A$5:$A$64,0)),""))</f>
        <v/>
      </c>
      <c r="O461" s="136">
        <f>IF($F461="","",IFERROR(INDEX(사건마스터!$AL$5:$AL$64,MATCH($F461,사건마스터!$A$5:$A$64,0)),""))</f>
        <v/>
      </c>
      <c r="P461" s="136">
        <f>IF($F461="","",IFERROR(INDEX(사건마스터!$AM$5:$AM$64,MATCH($F461,사건마스터!$A$5:$A$64,0)),""))</f>
        <v/>
      </c>
      <c r="Q461" s="136">
        <f>IF($F461="","",IFERROR(INDEX(사건마스터!$AN$5:$AN$64,MATCH($F461,사건마스터!$A$5:$A$64,0)),""))</f>
        <v/>
      </c>
      <c r="R461" s="136">
        <f>IF($F461="","",IFERROR(INDEX(사건마스터!$AO$5:$AO$64,MATCH($F461,사건마스터!$A$5:$A$64,0)),""))</f>
        <v/>
      </c>
      <c r="S461" s="136">
        <f>IF($F461="","",IFERROR(INDEX(사건마스터!$AP$5:$AP$64,MATCH($F461,사건마스터!$A$5:$A$64,0)),""))</f>
        <v/>
      </c>
      <c r="T461" s="136">
        <f>IF($F461="","",IFERROR(INDEX(사건마스터!$AQ$5:$AQ$64,MATCH($F461,사건마스터!$A$5:$A$64,0)),""))</f>
        <v/>
      </c>
      <c r="U461" s="136">
        <f>IF($F461="","",IFERROR(INDEX(사건마스터!$AR$5:$AR$64,MATCH($F461,사건마스터!$A$5:$A$64,0)),""))</f>
        <v/>
      </c>
      <c r="V461" s="136">
        <f>IF($F461="","",IFERROR(INDEX(사건마스터!$AS$5:$AS$64,MATCH($F461,사건마스터!$A$5:$A$64,0)),""))</f>
        <v/>
      </c>
      <c r="W461" s="136">
        <f>IF($F461="","",IFERROR(INDEX(사건마스터!$AT$5:$AT$64,MATCH($F461,사건마스터!$A$5:$A$64,0)),""))</f>
        <v/>
      </c>
      <c r="X461" s="136">
        <f>IF($F461="","",IFERROR(INDEX(사건마스터!$AU$5:$AU$64,MATCH($F461,사건마스터!$A$5:$A$64,0)),""))</f>
        <v/>
      </c>
      <c r="Y461" s="136">
        <f>IF($F461="","",IFERROR(INDEX(사건마스터!$AV$5:$AV$64,MATCH($F461,사건마스터!$A$5:$A$64,0)),""))</f>
        <v/>
      </c>
      <c r="Z461" s="118">
        <f>IF(COUNTBLANK($J461:$Y461)=16,"",16-COUNTBLANK($J461:$Y461))</f>
        <v/>
      </c>
      <c r="AA461" s="33">
        <f>IF($J461="",MID($AX461,3,255),$J461&amp;$AX461)</f>
        <v/>
      </c>
      <c r="AB461" s="130">
        <f>IF($J461="","",IFERROR(INDEX(코드설정!$D$5:$D$24,MATCH($J461,코드설정!$C$5:$C$24,0)),""))</f>
        <v/>
      </c>
      <c r="AC461" s="36" t="n"/>
      <c r="AD461" s="37" t="n"/>
      <c r="AE461" s="38" t="n"/>
      <c r="AF461" s="118">
        <f>IF(OR($B461="",$C461=""),"",$C461-$B461+1)</f>
        <v/>
      </c>
      <c r="AG461" s="74" t="n"/>
      <c r="AH461" s="36" t="n"/>
      <c r="AJ461">
        <f>IF($K461="","",", "&amp;$K461)</f>
        <v/>
      </c>
      <c r="AK461">
        <f>AJ461&amp;IF($L461="","",", "&amp;$L461)</f>
        <v/>
      </c>
      <c r="AL461">
        <f>AK461&amp;IF($M461="","",", "&amp;$M461)</f>
        <v/>
      </c>
      <c r="AM461">
        <f>AL461&amp;IF($N461="","",", "&amp;$N461)</f>
        <v/>
      </c>
      <c r="AN461">
        <f>AM461&amp;IF($O461="","",", "&amp;$O461)</f>
        <v/>
      </c>
      <c r="AO461">
        <f>AN461&amp;IF($P461="","",", "&amp;$P461)</f>
        <v/>
      </c>
      <c r="AP461">
        <f>AO461&amp;IF($Q461="","",", "&amp;$Q461)</f>
        <v/>
      </c>
      <c r="AQ461">
        <f>AP461&amp;IF($R461="","",", "&amp;$R461)</f>
        <v/>
      </c>
      <c r="AR461">
        <f>AQ461&amp;IF($S461="","",", "&amp;$S461)</f>
        <v/>
      </c>
      <c r="AS461">
        <f>AR461&amp;IF($T461="","",", "&amp;$T461)</f>
        <v/>
      </c>
      <c r="AT461">
        <f>AS461&amp;IF($U461="","",", "&amp;$U461)</f>
        <v/>
      </c>
      <c r="AU461">
        <f>AT461&amp;IF($V461="","",", "&amp;$V461)</f>
        <v/>
      </c>
      <c r="AV461">
        <f>AU461&amp;IF($W461="","",", "&amp;$W461)</f>
        <v/>
      </c>
      <c r="AW461">
        <f>AV461&amp;IF($X461="","",", "&amp;$X461)</f>
        <v/>
      </c>
      <c r="AX461">
        <f>AW461&amp;IF($Y461="","",", "&amp;$Y461)</f>
        <v/>
      </c>
    </row>
    <row r="462">
      <c r="A462" s="118">
        <f>IF($B462="","",COUNT($B$5:$B462))</f>
        <v/>
      </c>
      <c r="B462" s="80" t="n"/>
      <c r="C462" s="80" t="n"/>
      <c r="D462" s="74" t="n"/>
      <c r="E462" s="74" t="n"/>
      <c r="F462" s="74" t="n"/>
      <c r="G462" s="118">
        <f>IF($F462="","",COUNTIF($F$5:$F462,$F462))</f>
        <v/>
      </c>
      <c r="H462" s="33">
        <f>IF($F462="","",IFERROR(INDEX(사건마스터!$B$5:$B$64,MATCH($F462,사건마스터!$A$5:$A$64,0)),""))</f>
        <v/>
      </c>
      <c r="I462" s="130">
        <f>IF($F462="","",IFERROR(INDEX(사건마스터!$C$5:$C$64,MATCH($F462,사건마스터!$A$5:$A$64,0)),""))</f>
        <v/>
      </c>
      <c r="J462" s="136">
        <f>IF($F462="","",IFERROR(INDEX(사건마스터!$H$5:$H$64,MATCH($F462,사건마스터!$A$5:$A$64,0)),""))</f>
        <v/>
      </c>
      <c r="K462" s="136">
        <f>IF($F462="","",IFERROR(INDEX(사건마스터!$AH$5:$AH$64,MATCH($F462,사건마스터!$A$5:$A$64,0)),""))</f>
        <v/>
      </c>
      <c r="L462" s="136">
        <f>IF($F462="","",IFERROR(INDEX(사건마스터!$AI$5:$AI$64,MATCH($F462,사건마스터!$A$5:$A$64,0)),""))</f>
        <v/>
      </c>
      <c r="M462" s="136">
        <f>IF($F462="","",IFERROR(INDEX(사건마스터!$AJ$5:$AJ$64,MATCH($F462,사건마스터!$A$5:$A$64,0)),""))</f>
        <v/>
      </c>
      <c r="N462" s="136">
        <f>IF($F462="","",IFERROR(INDEX(사건마스터!$AK$5:$AK$64,MATCH($F462,사건마스터!$A$5:$A$64,0)),""))</f>
        <v/>
      </c>
      <c r="O462" s="136">
        <f>IF($F462="","",IFERROR(INDEX(사건마스터!$AL$5:$AL$64,MATCH($F462,사건마스터!$A$5:$A$64,0)),""))</f>
        <v/>
      </c>
      <c r="P462" s="136">
        <f>IF($F462="","",IFERROR(INDEX(사건마스터!$AM$5:$AM$64,MATCH($F462,사건마스터!$A$5:$A$64,0)),""))</f>
        <v/>
      </c>
      <c r="Q462" s="136">
        <f>IF($F462="","",IFERROR(INDEX(사건마스터!$AN$5:$AN$64,MATCH($F462,사건마스터!$A$5:$A$64,0)),""))</f>
        <v/>
      </c>
      <c r="R462" s="136">
        <f>IF($F462="","",IFERROR(INDEX(사건마스터!$AO$5:$AO$64,MATCH($F462,사건마스터!$A$5:$A$64,0)),""))</f>
        <v/>
      </c>
      <c r="S462" s="136">
        <f>IF($F462="","",IFERROR(INDEX(사건마스터!$AP$5:$AP$64,MATCH($F462,사건마스터!$A$5:$A$64,0)),""))</f>
        <v/>
      </c>
      <c r="T462" s="136">
        <f>IF($F462="","",IFERROR(INDEX(사건마스터!$AQ$5:$AQ$64,MATCH($F462,사건마스터!$A$5:$A$64,0)),""))</f>
        <v/>
      </c>
      <c r="U462" s="136">
        <f>IF($F462="","",IFERROR(INDEX(사건마스터!$AR$5:$AR$64,MATCH($F462,사건마스터!$A$5:$A$64,0)),""))</f>
        <v/>
      </c>
      <c r="V462" s="136">
        <f>IF($F462="","",IFERROR(INDEX(사건마스터!$AS$5:$AS$64,MATCH($F462,사건마스터!$A$5:$A$64,0)),""))</f>
        <v/>
      </c>
      <c r="W462" s="136">
        <f>IF($F462="","",IFERROR(INDEX(사건마스터!$AT$5:$AT$64,MATCH($F462,사건마스터!$A$5:$A$64,0)),""))</f>
        <v/>
      </c>
      <c r="X462" s="136">
        <f>IF($F462="","",IFERROR(INDEX(사건마스터!$AU$5:$AU$64,MATCH($F462,사건마스터!$A$5:$A$64,0)),""))</f>
        <v/>
      </c>
      <c r="Y462" s="136">
        <f>IF($F462="","",IFERROR(INDEX(사건마스터!$AV$5:$AV$64,MATCH($F462,사건마스터!$A$5:$A$64,0)),""))</f>
        <v/>
      </c>
      <c r="Z462" s="118">
        <f>IF(COUNTBLANK($J462:$Y462)=16,"",16-COUNTBLANK($J462:$Y462))</f>
        <v/>
      </c>
      <c r="AA462" s="33">
        <f>IF($J462="",MID($AX462,3,255),$J462&amp;$AX462)</f>
        <v/>
      </c>
      <c r="AB462" s="130">
        <f>IF($J462="","",IFERROR(INDEX(코드설정!$D$5:$D$24,MATCH($J462,코드설정!$C$5:$C$24,0)),""))</f>
        <v/>
      </c>
      <c r="AC462" s="36" t="n"/>
      <c r="AD462" s="37" t="n"/>
      <c r="AE462" s="38" t="n"/>
      <c r="AF462" s="118">
        <f>IF(OR($B462="",$C462=""),"",$C462-$B462+1)</f>
        <v/>
      </c>
      <c r="AG462" s="74" t="n"/>
      <c r="AH462" s="36" t="n"/>
      <c r="AJ462">
        <f>IF($K462="","",", "&amp;$K462)</f>
        <v/>
      </c>
      <c r="AK462">
        <f>AJ462&amp;IF($L462="","",", "&amp;$L462)</f>
        <v/>
      </c>
      <c r="AL462">
        <f>AK462&amp;IF($M462="","",", "&amp;$M462)</f>
        <v/>
      </c>
      <c r="AM462">
        <f>AL462&amp;IF($N462="","",", "&amp;$N462)</f>
        <v/>
      </c>
      <c r="AN462">
        <f>AM462&amp;IF($O462="","",", "&amp;$O462)</f>
        <v/>
      </c>
      <c r="AO462">
        <f>AN462&amp;IF($P462="","",", "&amp;$P462)</f>
        <v/>
      </c>
      <c r="AP462">
        <f>AO462&amp;IF($Q462="","",", "&amp;$Q462)</f>
        <v/>
      </c>
      <c r="AQ462">
        <f>AP462&amp;IF($R462="","",", "&amp;$R462)</f>
        <v/>
      </c>
      <c r="AR462">
        <f>AQ462&amp;IF($S462="","",", "&amp;$S462)</f>
        <v/>
      </c>
      <c r="AS462">
        <f>AR462&amp;IF($T462="","",", "&amp;$T462)</f>
        <v/>
      </c>
      <c r="AT462">
        <f>AS462&amp;IF($U462="","",", "&amp;$U462)</f>
        <v/>
      </c>
      <c r="AU462">
        <f>AT462&amp;IF($V462="","",", "&amp;$V462)</f>
        <v/>
      </c>
      <c r="AV462">
        <f>AU462&amp;IF($W462="","",", "&amp;$W462)</f>
        <v/>
      </c>
      <c r="AW462">
        <f>AV462&amp;IF($X462="","",", "&amp;$X462)</f>
        <v/>
      </c>
      <c r="AX462">
        <f>AW462&amp;IF($Y462="","",", "&amp;$Y462)</f>
        <v/>
      </c>
    </row>
    <row r="463">
      <c r="A463" s="118">
        <f>IF($B463="","",COUNT($B$5:$B463))</f>
        <v/>
      </c>
      <c r="B463" s="80" t="n"/>
      <c r="C463" s="80" t="n"/>
      <c r="D463" s="74" t="n"/>
      <c r="E463" s="74" t="n"/>
      <c r="F463" s="74" t="n"/>
      <c r="G463" s="118">
        <f>IF($F463="","",COUNTIF($F$5:$F463,$F463))</f>
        <v/>
      </c>
      <c r="H463" s="33">
        <f>IF($F463="","",IFERROR(INDEX(사건마스터!$B$5:$B$64,MATCH($F463,사건마스터!$A$5:$A$64,0)),""))</f>
        <v/>
      </c>
      <c r="I463" s="130">
        <f>IF($F463="","",IFERROR(INDEX(사건마스터!$C$5:$C$64,MATCH($F463,사건마스터!$A$5:$A$64,0)),""))</f>
        <v/>
      </c>
      <c r="J463" s="136">
        <f>IF($F463="","",IFERROR(INDEX(사건마스터!$H$5:$H$64,MATCH($F463,사건마스터!$A$5:$A$64,0)),""))</f>
        <v/>
      </c>
      <c r="K463" s="136">
        <f>IF($F463="","",IFERROR(INDEX(사건마스터!$AH$5:$AH$64,MATCH($F463,사건마스터!$A$5:$A$64,0)),""))</f>
        <v/>
      </c>
      <c r="L463" s="136">
        <f>IF($F463="","",IFERROR(INDEX(사건마스터!$AI$5:$AI$64,MATCH($F463,사건마스터!$A$5:$A$64,0)),""))</f>
        <v/>
      </c>
      <c r="M463" s="136">
        <f>IF($F463="","",IFERROR(INDEX(사건마스터!$AJ$5:$AJ$64,MATCH($F463,사건마스터!$A$5:$A$64,0)),""))</f>
        <v/>
      </c>
      <c r="N463" s="136">
        <f>IF($F463="","",IFERROR(INDEX(사건마스터!$AK$5:$AK$64,MATCH($F463,사건마스터!$A$5:$A$64,0)),""))</f>
        <v/>
      </c>
      <c r="O463" s="136">
        <f>IF($F463="","",IFERROR(INDEX(사건마스터!$AL$5:$AL$64,MATCH($F463,사건마스터!$A$5:$A$64,0)),""))</f>
        <v/>
      </c>
      <c r="P463" s="136">
        <f>IF($F463="","",IFERROR(INDEX(사건마스터!$AM$5:$AM$64,MATCH($F463,사건마스터!$A$5:$A$64,0)),""))</f>
        <v/>
      </c>
      <c r="Q463" s="136">
        <f>IF($F463="","",IFERROR(INDEX(사건마스터!$AN$5:$AN$64,MATCH($F463,사건마스터!$A$5:$A$64,0)),""))</f>
        <v/>
      </c>
      <c r="R463" s="136">
        <f>IF($F463="","",IFERROR(INDEX(사건마스터!$AO$5:$AO$64,MATCH($F463,사건마스터!$A$5:$A$64,0)),""))</f>
        <v/>
      </c>
      <c r="S463" s="136">
        <f>IF($F463="","",IFERROR(INDEX(사건마스터!$AP$5:$AP$64,MATCH($F463,사건마스터!$A$5:$A$64,0)),""))</f>
        <v/>
      </c>
      <c r="T463" s="136">
        <f>IF($F463="","",IFERROR(INDEX(사건마스터!$AQ$5:$AQ$64,MATCH($F463,사건마스터!$A$5:$A$64,0)),""))</f>
        <v/>
      </c>
      <c r="U463" s="136">
        <f>IF($F463="","",IFERROR(INDEX(사건마스터!$AR$5:$AR$64,MATCH($F463,사건마스터!$A$5:$A$64,0)),""))</f>
        <v/>
      </c>
      <c r="V463" s="136">
        <f>IF($F463="","",IFERROR(INDEX(사건마스터!$AS$5:$AS$64,MATCH($F463,사건마스터!$A$5:$A$64,0)),""))</f>
        <v/>
      </c>
      <c r="W463" s="136">
        <f>IF($F463="","",IFERROR(INDEX(사건마스터!$AT$5:$AT$64,MATCH($F463,사건마스터!$A$5:$A$64,0)),""))</f>
        <v/>
      </c>
      <c r="X463" s="136">
        <f>IF($F463="","",IFERROR(INDEX(사건마스터!$AU$5:$AU$64,MATCH($F463,사건마스터!$A$5:$A$64,0)),""))</f>
        <v/>
      </c>
      <c r="Y463" s="136">
        <f>IF($F463="","",IFERROR(INDEX(사건마스터!$AV$5:$AV$64,MATCH($F463,사건마스터!$A$5:$A$64,0)),""))</f>
        <v/>
      </c>
      <c r="Z463" s="118">
        <f>IF(COUNTBLANK($J463:$Y463)=16,"",16-COUNTBLANK($J463:$Y463))</f>
        <v/>
      </c>
      <c r="AA463" s="33">
        <f>IF($J463="",MID($AX463,3,255),$J463&amp;$AX463)</f>
        <v/>
      </c>
      <c r="AB463" s="130">
        <f>IF($J463="","",IFERROR(INDEX(코드설정!$D$5:$D$24,MATCH($J463,코드설정!$C$5:$C$24,0)),""))</f>
        <v/>
      </c>
      <c r="AC463" s="36" t="n"/>
      <c r="AD463" s="37" t="n"/>
      <c r="AE463" s="38" t="n"/>
      <c r="AF463" s="118">
        <f>IF(OR($B463="",$C463=""),"",$C463-$B463+1)</f>
        <v/>
      </c>
      <c r="AG463" s="74" t="n"/>
      <c r="AH463" s="36" t="n"/>
      <c r="AJ463">
        <f>IF($K463="","",", "&amp;$K463)</f>
        <v/>
      </c>
      <c r="AK463">
        <f>AJ463&amp;IF($L463="","",", "&amp;$L463)</f>
        <v/>
      </c>
      <c r="AL463">
        <f>AK463&amp;IF($M463="","",", "&amp;$M463)</f>
        <v/>
      </c>
      <c r="AM463">
        <f>AL463&amp;IF($N463="","",", "&amp;$N463)</f>
        <v/>
      </c>
      <c r="AN463">
        <f>AM463&amp;IF($O463="","",", "&amp;$O463)</f>
        <v/>
      </c>
      <c r="AO463">
        <f>AN463&amp;IF($P463="","",", "&amp;$P463)</f>
        <v/>
      </c>
      <c r="AP463">
        <f>AO463&amp;IF($Q463="","",", "&amp;$Q463)</f>
        <v/>
      </c>
      <c r="AQ463">
        <f>AP463&amp;IF($R463="","",", "&amp;$R463)</f>
        <v/>
      </c>
      <c r="AR463">
        <f>AQ463&amp;IF($S463="","",", "&amp;$S463)</f>
        <v/>
      </c>
      <c r="AS463">
        <f>AR463&amp;IF($T463="","",", "&amp;$T463)</f>
        <v/>
      </c>
      <c r="AT463">
        <f>AS463&amp;IF($U463="","",", "&amp;$U463)</f>
        <v/>
      </c>
      <c r="AU463">
        <f>AT463&amp;IF($V463="","",", "&amp;$V463)</f>
        <v/>
      </c>
      <c r="AV463">
        <f>AU463&amp;IF($W463="","",", "&amp;$W463)</f>
        <v/>
      </c>
      <c r="AW463">
        <f>AV463&amp;IF($X463="","",", "&amp;$X463)</f>
        <v/>
      </c>
      <c r="AX463">
        <f>AW463&amp;IF($Y463="","",", "&amp;$Y463)</f>
        <v/>
      </c>
    </row>
    <row r="464">
      <c r="A464" s="118">
        <f>IF($B464="","",COUNT($B$5:$B464))</f>
        <v/>
      </c>
      <c r="B464" s="80" t="n"/>
      <c r="C464" s="80" t="n"/>
      <c r="D464" s="74" t="n"/>
      <c r="E464" s="74" t="n"/>
      <c r="F464" s="74" t="n"/>
      <c r="G464" s="118">
        <f>IF($F464="","",COUNTIF($F$5:$F464,$F464))</f>
        <v/>
      </c>
      <c r="H464" s="33">
        <f>IF($F464="","",IFERROR(INDEX(사건마스터!$B$5:$B$64,MATCH($F464,사건마스터!$A$5:$A$64,0)),""))</f>
        <v/>
      </c>
      <c r="I464" s="130">
        <f>IF($F464="","",IFERROR(INDEX(사건마스터!$C$5:$C$64,MATCH($F464,사건마스터!$A$5:$A$64,0)),""))</f>
        <v/>
      </c>
      <c r="J464" s="136">
        <f>IF($F464="","",IFERROR(INDEX(사건마스터!$H$5:$H$64,MATCH($F464,사건마스터!$A$5:$A$64,0)),""))</f>
        <v/>
      </c>
      <c r="K464" s="136">
        <f>IF($F464="","",IFERROR(INDEX(사건마스터!$AH$5:$AH$64,MATCH($F464,사건마스터!$A$5:$A$64,0)),""))</f>
        <v/>
      </c>
      <c r="L464" s="136">
        <f>IF($F464="","",IFERROR(INDEX(사건마스터!$AI$5:$AI$64,MATCH($F464,사건마스터!$A$5:$A$64,0)),""))</f>
        <v/>
      </c>
      <c r="M464" s="136">
        <f>IF($F464="","",IFERROR(INDEX(사건마스터!$AJ$5:$AJ$64,MATCH($F464,사건마스터!$A$5:$A$64,0)),""))</f>
        <v/>
      </c>
      <c r="N464" s="136">
        <f>IF($F464="","",IFERROR(INDEX(사건마스터!$AK$5:$AK$64,MATCH($F464,사건마스터!$A$5:$A$64,0)),""))</f>
        <v/>
      </c>
      <c r="O464" s="136">
        <f>IF($F464="","",IFERROR(INDEX(사건마스터!$AL$5:$AL$64,MATCH($F464,사건마스터!$A$5:$A$64,0)),""))</f>
        <v/>
      </c>
      <c r="P464" s="136">
        <f>IF($F464="","",IFERROR(INDEX(사건마스터!$AM$5:$AM$64,MATCH($F464,사건마스터!$A$5:$A$64,0)),""))</f>
        <v/>
      </c>
      <c r="Q464" s="136">
        <f>IF($F464="","",IFERROR(INDEX(사건마스터!$AN$5:$AN$64,MATCH($F464,사건마스터!$A$5:$A$64,0)),""))</f>
        <v/>
      </c>
      <c r="R464" s="136">
        <f>IF($F464="","",IFERROR(INDEX(사건마스터!$AO$5:$AO$64,MATCH($F464,사건마스터!$A$5:$A$64,0)),""))</f>
        <v/>
      </c>
      <c r="S464" s="136">
        <f>IF($F464="","",IFERROR(INDEX(사건마스터!$AP$5:$AP$64,MATCH($F464,사건마스터!$A$5:$A$64,0)),""))</f>
        <v/>
      </c>
      <c r="T464" s="136">
        <f>IF($F464="","",IFERROR(INDEX(사건마스터!$AQ$5:$AQ$64,MATCH($F464,사건마스터!$A$5:$A$64,0)),""))</f>
        <v/>
      </c>
      <c r="U464" s="136">
        <f>IF($F464="","",IFERROR(INDEX(사건마스터!$AR$5:$AR$64,MATCH($F464,사건마스터!$A$5:$A$64,0)),""))</f>
        <v/>
      </c>
      <c r="V464" s="136">
        <f>IF($F464="","",IFERROR(INDEX(사건마스터!$AS$5:$AS$64,MATCH($F464,사건마스터!$A$5:$A$64,0)),""))</f>
        <v/>
      </c>
      <c r="W464" s="136">
        <f>IF($F464="","",IFERROR(INDEX(사건마스터!$AT$5:$AT$64,MATCH($F464,사건마스터!$A$5:$A$64,0)),""))</f>
        <v/>
      </c>
      <c r="X464" s="136">
        <f>IF($F464="","",IFERROR(INDEX(사건마스터!$AU$5:$AU$64,MATCH($F464,사건마스터!$A$5:$A$64,0)),""))</f>
        <v/>
      </c>
      <c r="Y464" s="136">
        <f>IF($F464="","",IFERROR(INDEX(사건마스터!$AV$5:$AV$64,MATCH($F464,사건마스터!$A$5:$A$64,0)),""))</f>
        <v/>
      </c>
      <c r="Z464" s="118">
        <f>IF(COUNTBLANK($J464:$Y464)=16,"",16-COUNTBLANK($J464:$Y464))</f>
        <v/>
      </c>
      <c r="AA464" s="33">
        <f>IF($J464="",MID($AX464,3,255),$J464&amp;$AX464)</f>
        <v/>
      </c>
      <c r="AB464" s="130">
        <f>IF($J464="","",IFERROR(INDEX(코드설정!$D$5:$D$24,MATCH($J464,코드설정!$C$5:$C$24,0)),""))</f>
        <v/>
      </c>
      <c r="AC464" s="36" t="n"/>
      <c r="AD464" s="37" t="n"/>
      <c r="AE464" s="38" t="n"/>
      <c r="AF464" s="118">
        <f>IF(OR($B464="",$C464=""),"",$C464-$B464+1)</f>
        <v/>
      </c>
      <c r="AG464" s="74" t="n"/>
      <c r="AH464" s="36" t="n"/>
      <c r="AJ464">
        <f>IF($K464="","",", "&amp;$K464)</f>
        <v/>
      </c>
      <c r="AK464">
        <f>AJ464&amp;IF($L464="","",", "&amp;$L464)</f>
        <v/>
      </c>
      <c r="AL464">
        <f>AK464&amp;IF($M464="","",", "&amp;$M464)</f>
        <v/>
      </c>
      <c r="AM464">
        <f>AL464&amp;IF($N464="","",", "&amp;$N464)</f>
        <v/>
      </c>
      <c r="AN464">
        <f>AM464&amp;IF($O464="","",", "&amp;$O464)</f>
        <v/>
      </c>
      <c r="AO464">
        <f>AN464&amp;IF($P464="","",", "&amp;$P464)</f>
        <v/>
      </c>
      <c r="AP464">
        <f>AO464&amp;IF($Q464="","",", "&amp;$Q464)</f>
        <v/>
      </c>
      <c r="AQ464">
        <f>AP464&amp;IF($R464="","",", "&amp;$R464)</f>
        <v/>
      </c>
      <c r="AR464">
        <f>AQ464&amp;IF($S464="","",", "&amp;$S464)</f>
        <v/>
      </c>
      <c r="AS464">
        <f>AR464&amp;IF($T464="","",", "&amp;$T464)</f>
        <v/>
      </c>
      <c r="AT464">
        <f>AS464&amp;IF($U464="","",", "&amp;$U464)</f>
        <v/>
      </c>
      <c r="AU464">
        <f>AT464&amp;IF($V464="","",", "&amp;$V464)</f>
        <v/>
      </c>
      <c r="AV464">
        <f>AU464&amp;IF($W464="","",", "&amp;$W464)</f>
        <v/>
      </c>
      <c r="AW464">
        <f>AV464&amp;IF($X464="","",", "&amp;$X464)</f>
        <v/>
      </c>
      <c r="AX464">
        <f>AW464&amp;IF($Y464="","",", "&amp;$Y464)</f>
        <v/>
      </c>
    </row>
    <row r="465">
      <c r="A465" s="118">
        <f>IF($B465="","",COUNT($B$5:$B465))</f>
        <v/>
      </c>
      <c r="B465" s="80" t="n"/>
      <c r="C465" s="80" t="n"/>
      <c r="D465" s="74" t="n"/>
      <c r="E465" s="74" t="n"/>
      <c r="F465" s="74" t="n"/>
      <c r="G465" s="118">
        <f>IF($F465="","",COUNTIF($F$5:$F465,$F465))</f>
        <v/>
      </c>
      <c r="H465" s="33">
        <f>IF($F465="","",IFERROR(INDEX(사건마스터!$B$5:$B$64,MATCH($F465,사건마스터!$A$5:$A$64,0)),""))</f>
        <v/>
      </c>
      <c r="I465" s="130">
        <f>IF($F465="","",IFERROR(INDEX(사건마스터!$C$5:$C$64,MATCH($F465,사건마스터!$A$5:$A$64,0)),""))</f>
        <v/>
      </c>
      <c r="J465" s="136">
        <f>IF($F465="","",IFERROR(INDEX(사건마스터!$H$5:$H$64,MATCH($F465,사건마스터!$A$5:$A$64,0)),""))</f>
        <v/>
      </c>
      <c r="K465" s="136">
        <f>IF($F465="","",IFERROR(INDEX(사건마스터!$AH$5:$AH$64,MATCH($F465,사건마스터!$A$5:$A$64,0)),""))</f>
        <v/>
      </c>
      <c r="L465" s="136">
        <f>IF($F465="","",IFERROR(INDEX(사건마스터!$AI$5:$AI$64,MATCH($F465,사건마스터!$A$5:$A$64,0)),""))</f>
        <v/>
      </c>
      <c r="M465" s="136">
        <f>IF($F465="","",IFERROR(INDEX(사건마스터!$AJ$5:$AJ$64,MATCH($F465,사건마스터!$A$5:$A$64,0)),""))</f>
        <v/>
      </c>
      <c r="N465" s="136">
        <f>IF($F465="","",IFERROR(INDEX(사건마스터!$AK$5:$AK$64,MATCH($F465,사건마스터!$A$5:$A$64,0)),""))</f>
        <v/>
      </c>
      <c r="O465" s="136">
        <f>IF($F465="","",IFERROR(INDEX(사건마스터!$AL$5:$AL$64,MATCH($F465,사건마스터!$A$5:$A$64,0)),""))</f>
        <v/>
      </c>
      <c r="P465" s="136">
        <f>IF($F465="","",IFERROR(INDEX(사건마스터!$AM$5:$AM$64,MATCH($F465,사건마스터!$A$5:$A$64,0)),""))</f>
        <v/>
      </c>
      <c r="Q465" s="136">
        <f>IF($F465="","",IFERROR(INDEX(사건마스터!$AN$5:$AN$64,MATCH($F465,사건마스터!$A$5:$A$64,0)),""))</f>
        <v/>
      </c>
      <c r="R465" s="136">
        <f>IF($F465="","",IFERROR(INDEX(사건마스터!$AO$5:$AO$64,MATCH($F465,사건마스터!$A$5:$A$64,0)),""))</f>
        <v/>
      </c>
      <c r="S465" s="136">
        <f>IF($F465="","",IFERROR(INDEX(사건마스터!$AP$5:$AP$64,MATCH($F465,사건마스터!$A$5:$A$64,0)),""))</f>
        <v/>
      </c>
      <c r="T465" s="136">
        <f>IF($F465="","",IFERROR(INDEX(사건마스터!$AQ$5:$AQ$64,MATCH($F465,사건마스터!$A$5:$A$64,0)),""))</f>
        <v/>
      </c>
      <c r="U465" s="136">
        <f>IF($F465="","",IFERROR(INDEX(사건마스터!$AR$5:$AR$64,MATCH($F465,사건마스터!$A$5:$A$64,0)),""))</f>
        <v/>
      </c>
      <c r="V465" s="136">
        <f>IF($F465="","",IFERROR(INDEX(사건마스터!$AS$5:$AS$64,MATCH($F465,사건마스터!$A$5:$A$64,0)),""))</f>
        <v/>
      </c>
      <c r="W465" s="136">
        <f>IF($F465="","",IFERROR(INDEX(사건마스터!$AT$5:$AT$64,MATCH($F465,사건마스터!$A$5:$A$64,0)),""))</f>
        <v/>
      </c>
      <c r="X465" s="136">
        <f>IF($F465="","",IFERROR(INDEX(사건마스터!$AU$5:$AU$64,MATCH($F465,사건마스터!$A$5:$A$64,0)),""))</f>
        <v/>
      </c>
      <c r="Y465" s="136">
        <f>IF($F465="","",IFERROR(INDEX(사건마스터!$AV$5:$AV$64,MATCH($F465,사건마스터!$A$5:$A$64,0)),""))</f>
        <v/>
      </c>
      <c r="Z465" s="118">
        <f>IF(COUNTBLANK($J465:$Y465)=16,"",16-COUNTBLANK($J465:$Y465))</f>
        <v/>
      </c>
      <c r="AA465" s="33">
        <f>IF($J465="",MID($AX465,3,255),$J465&amp;$AX465)</f>
        <v/>
      </c>
      <c r="AB465" s="130">
        <f>IF($J465="","",IFERROR(INDEX(코드설정!$D$5:$D$24,MATCH($J465,코드설정!$C$5:$C$24,0)),""))</f>
        <v/>
      </c>
      <c r="AC465" s="36" t="n"/>
      <c r="AD465" s="37" t="n"/>
      <c r="AE465" s="38" t="n"/>
      <c r="AF465" s="118">
        <f>IF(OR($B465="",$C465=""),"",$C465-$B465+1)</f>
        <v/>
      </c>
      <c r="AG465" s="74" t="n"/>
      <c r="AH465" s="36" t="n"/>
      <c r="AJ465">
        <f>IF($K465="","",", "&amp;$K465)</f>
        <v/>
      </c>
      <c r="AK465">
        <f>AJ465&amp;IF($L465="","",", "&amp;$L465)</f>
        <v/>
      </c>
      <c r="AL465">
        <f>AK465&amp;IF($M465="","",", "&amp;$M465)</f>
        <v/>
      </c>
      <c r="AM465">
        <f>AL465&amp;IF($N465="","",", "&amp;$N465)</f>
        <v/>
      </c>
      <c r="AN465">
        <f>AM465&amp;IF($O465="","",", "&amp;$O465)</f>
        <v/>
      </c>
      <c r="AO465">
        <f>AN465&amp;IF($P465="","",", "&amp;$P465)</f>
        <v/>
      </c>
      <c r="AP465">
        <f>AO465&amp;IF($Q465="","",", "&amp;$Q465)</f>
        <v/>
      </c>
      <c r="AQ465">
        <f>AP465&amp;IF($R465="","",", "&amp;$R465)</f>
        <v/>
      </c>
      <c r="AR465">
        <f>AQ465&amp;IF($S465="","",", "&amp;$S465)</f>
        <v/>
      </c>
      <c r="AS465">
        <f>AR465&amp;IF($T465="","",", "&amp;$T465)</f>
        <v/>
      </c>
      <c r="AT465">
        <f>AS465&amp;IF($U465="","",", "&amp;$U465)</f>
        <v/>
      </c>
      <c r="AU465">
        <f>AT465&amp;IF($V465="","",", "&amp;$V465)</f>
        <v/>
      </c>
      <c r="AV465">
        <f>AU465&amp;IF($W465="","",", "&amp;$W465)</f>
        <v/>
      </c>
      <c r="AW465">
        <f>AV465&amp;IF($X465="","",", "&amp;$X465)</f>
        <v/>
      </c>
      <c r="AX465">
        <f>AW465&amp;IF($Y465="","",", "&amp;$Y465)</f>
        <v/>
      </c>
    </row>
    <row r="466">
      <c r="A466" s="118">
        <f>IF($B466="","",COUNT($B$5:$B466))</f>
        <v/>
      </c>
      <c r="B466" s="80" t="n"/>
      <c r="C466" s="80" t="n"/>
      <c r="D466" s="74" t="n"/>
      <c r="E466" s="74" t="n"/>
      <c r="F466" s="74" t="n"/>
      <c r="G466" s="118">
        <f>IF($F466="","",COUNTIF($F$5:$F466,$F466))</f>
        <v/>
      </c>
      <c r="H466" s="33">
        <f>IF($F466="","",IFERROR(INDEX(사건마스터!$B$5:$B$64,MATCH($F466,사건마스터!$A$5:$A$64,0)),""))</f>
        <v/>
      </c>
      <c r="I466" s="130">
        <f>IF($F466="","",IFERROR(INDEX(사건마스터!$C$5:$C$64,MATCH($F466,사건마스터!$A$5:$A$64,0)),""))</f>
        <v/>
      </c>
      <c r="J466" s="136">
        <f>IF($F466="","",IFERROR(INDEX(사건마스터!$H$5:$H$64,MATCH($F466,사건마스터!$A$5:$A$64,0)),""))</f>
        <v/>
      </c>
      <c r="K466" s="136">
        <f>IF($F466="","",IFERROR(INDEX(사건마스터!$AH$5:$AH$64,MATCH($F466,사건마스터!$A$5:$A$64,0)),""))</f>
        <v/>
      </c>
      <c r="L466" s="136">
        <f>IF($F466="","",IFERROR(INDEX(사건마스터!$AI$5:$AI$64,MATCH($F466,사건마스터!$A$5:$A$64,0)),""))</f>
        <v/>
      </c>
      <c r="M466" s="136">
        <f>IF($F466="","",IFERROR(INDEX(사건마스터!$AJ$5:$AJ$64,MATCH($F466,사건마스터!$A$5:$A$64,0)),""))</f>
        <v/>
      </c>
      <c r="N466" s="136">
        <f>IF($F466="","",IFERROR(INDEX(사건마스터!$AK$5:$AK$64,MATCH($F466,사건마스터!$A$5:$A$64,0)),""))</f>
        <v/>
      </c>
      <c r="O466" s="136">
        <f>IF($F466="","",IFERROR(INDEX(사건마스터!$AL$5:$AL$64,MATCH($F466,사건마스터!$A$5:$A$64,0)),""))</f>
        <v/>
      </c>
      <c r="P466" s="136">
        <f>IF($F466="","",IFERROR(INDEX(사건마스터!$AM$5:$AM$64,MATCH($F466,사건마스터!$A$5:$A$64,0)),""))</f>
        <v/>
      </c>
      <c r="Q466" s="136">
        <f>IF($F466="","",IFERROR(INDEX(사건마스터!$AN$5:$AN$64,MATCH($F466,사건마스터!$A$5:$A$64,0)),""))</f>
        <v/>
      </c>
      <c r="R466" s="136">
        <f>IF($F466="","",IFERROR(INDEX(사건마스터!$AO$5:$AO$64,MATCH($F466,사건마스터!$A$5:$A$64,0)),""))</f>
        <v/>
      </c>
      <c r="S466" s="136">
        <f>IF($F466="","",IFERROR(INDEX(사건마스터!$AP$5:$AP$64,MATCH($F466,사건마스터!$A$5:$A$64,0)),""))</f>
        <v/>
      </c>
      <c r="T466" s="136">
        <f>IF($F466="","",IFERROR(INDEX(사건마스터!$AQ$5:$AQ$64,MATCH($F466,사건마스터!$A$5:$A$64,0)),""))</f>
        <v/>
      </c>
      <c r="U466" s="136">
        <f>IF($F466="","",IFERROR(INDEX(사건마스터!$AR$5:$AR$64,MATCH($F466,사건마스터!$A$5:$A$64,0)),""))</f>
        <v/>
      </c>
      <c r="V466" s="136">
        <f>IF($F466="","",IFERROR(INDEX(사건마스터!$AS$5:$AS$64,MATCH($F466,사건마스터!$A$5:$A$64,0)),""))</f>
        <v/>
      </c>
      <c r="W466" s="136">
        <f>IF($F466="","",IFERROR(INDEX(사건마스터!$AT$5:$AT$64,MATCH($F466,사건마스터!$A$5:$A$64,0)),""))</f>
        <v/>
      </c>
      <c r="X466" s="136">
        <f>IF($F466="","",IFERROR(INDEX(사건마스터!$AU$5:$AU$64,MATCH($F466,사건마스터!$A$5:$A$64,0)),""))</f>
        <v/>
      </c>
      <c r="Y466" s="136">
        <f>IF($F466="","",IFERROR(INDEX(사건마스터!$AV$5:$AV$64,MATCH($F466,사건마스터!$A$5:$A$64,0)),""))</f>
        <v/>
      </c>
      <c r="Z466" s="118">
        <f>IF(COUNTBLANK($J466:$Y466)=16,"",16-COUNTBLANK($J466:$Y466))</f>
        <v/>
      </c>
      <c r="AA466" s="33">
        <f>IF($J466="",MID($AX466,3,255),$J466&amp;$AX466)</f>
        <v/>
      </c>
      <c r="AB466" s="130">
        <f>IF($J466="","",IFERROR(INDEX(코드설정!$D$5:$D$24,MATCH($J466,코드설정!$C$5:$C$24,0)),""))</f>
        <v/>
      </c>
      <c r="AC466" s="36" t="n"/>
      <c r="AD466" s="37" t="n"/>
      <c r="AE466" s="38" t="n"/>
      <c r="AF466" s="118">
        <f>IF(OR($B466="",$C466=""),"",$C466-$B466+1)</f>
        <v/>
      </c>
      <c r="AG466" s="74" t="n"/>
      <c r="AH466" s="36" t="n"/>
      <c r="AJ466">
        <f>IF($K466="","",", "&amp;$K466)</f>
        <v/>
      </c>
      <c r="AK466">
        <f>AJ466&amp;IF($L466="","",", "&amp;$L466)</f>
        <v/>
      </c>
      <c r="AL466">
        <f>AK466&amp;IF($M466="","",", "&amp;$M466)</f>
        <v/>
      </c>
      <c r="AM466">
        <f>AL466&amp;IF($N466="","",", "&amp;$N466)</f>
        <v/>
      </c>
      <c r="AN466">
        <f>AM466&amp;IF($O466="","",", "&amp;$O466)</f>
        <v/>
      </c>
      <c r="AO466">
        <f>AN466&amp;IF($P466="","",", "&amp;$P466)</f>
        <v/>
      </c>
      <c r="AP466">
        <f>AO466&amp;IF($Q466="","",", "&amp;$Q466)</f>
        <v/>
      </c>
      <c r="AQ466">
        <f>AP466&amp;IF($R466="","",", "&amp;$R466)</f>
        <v/>
      </c>
      <c r="AR466">
        <f>AQ466&amp;IF($S466="","",", "&amp;$S466)</f>
        <v/>
      </c>
      <c r="AS466">
        <f>AR466&amp;IF($T466="","",", "&amp;$T466)</f>
        <v/>
      </c>
      <c r="AT466">
        <f>AS466&amp;IF($U466="","",", "&amp;$U466)</f>
        <v/>
      </c>
      <c r="AU466">
        <f>AT466&amp;IF($V466="","",", "&amp;$V466)</f>
        <v/>
      </c>
      <c r="AV466">
        <f>AU466&amp;IF($W466="","",", "&amp;$W466)</f>
        <v/>
      </c>
      <c r="AW466">
        <f>AV466&amp;IF($X466="","",", "&amp;$X466)</f>
        <v/>
      </c>
      <c r="AX466">
        <f>AW466&amp;IF($Y466="","",", "&amp;$Y466)</f>
        <v/>
      </c>
    </row>
    <row r="467">
      <c r="A467" s="118">
        <f>IF($B467="","",COUNT($B$5:$B467))</f>
        <v/>
      </c>
      <c r="B467" s="80" t="n"/>
      <c r="C467" s="80" t="n"/>
      <c r="D467" s="74" t="n"/>
      <c r="E467" s="74" t="n"/>
      <c r="F467" s="74" t="n"/>
      <c r="G467" s="118">
        <f>IF($F467="","",COUNTIF($F$5:$F467,$F467))</f>
        <v/>
      </c>
      <c r="H467" s="33">
        <f>IF($F467="","",IFERROR(INDEX(사건마스터!$B$5:$B$64,MATCH($F467,사건마스터!$A$5:$A$64,0)),""))</f>
        <v/>
      </c>
      <c r="I467" s="130">
        <f>IF($F467="","",IFERROR(INDEX(사건마스터!$C$5:$C$64,MATCH($F467,사건마스터!$A$5:$A$64,0)),""))</f>
        <v/>
      </c>
      <c r="J467" s="136">
        <f>IF($F467="","",IFERROR(INDEX(사건마스터!$H$5:$H$64,MATCH($F467,사건마스터!$A$5:$A$64,0)),""))</f>
        <v/>
      </c>
      <c r="K467" s="136">
        <f>IF($F467="","",IFERROR(INDEX(사건마스터!$AH$5:$AH$64,MATCH($F467,사건마스터!$A$5:$A$64,0)),""))</f>
        <v/>
      </c>
      <c r="L467" s="136">
        <f>IF($F467="","",IFERROR(INDEX(사건마스터!$AI$5:$AI$64,MATCH($F467,사건마스터!$A$5:$A$64,0)),""))</f>
        <v/>
      </c>
      <c r="M467" s="136">
        <f>IF($F467="","",IFERROR(INDEX(사건마스터!$AJ$5:$AJ$64,MATCH($F467,사건마스터!$A$5:$A$64,0)),""))</f>
        <v/>
      </c>
      <c r="N467" s="136">
        <f>IF($F467="","",IFERROR(INDEX(사건마스터!$AK$5:$AK$64,MATCH($F467,사건마스터!$A$5:$A$64,0)),""))</f>
        <v/>
      </c>
      <c r="O467" s="136">
        <f>IF($F467="","",IFERROR(INDEX(사건마스터!$AL$5:$AL$64,MATCH($F467,사건마스터!$A$5:$A$64,0)),""))</f>
        <v/>
      </c>
      <c r="P467" s="136">
        <f>IF($F467="","",IFERROR(INDEX(사건마스터!$AM$5:$AM$64,MATCH($F467,사건마스터!$A$5:$A$64,0)),""))</f>
        <v/>
      </c>
      <c r="Q467" s="136">
        <f>IF($F467="","",IFERROR(INDEX(사건마스터!$AN$5:$AN$64,MATCH($F467,사건마스터!$A$5:$A$64,0)),""))</f>
        <v/>
      </c>
      <c r="R467" s="136">
        <f>IF($F467="","",IFERROR(INDEX(사건마스터!$AO$5:$AO$64,MATCH($F467,사건마스터!$A$5:$A$64,0)),""))</f>
        <v/>
      </c>
      <c r="S467" s="136">
        <f>IF($F467="","",IFERROR(INDEX(사건마스터!$AP$5:$AP$64,MATCH($F467,사건마스터!$A$5:$A$64,0)),""))</f>
        <v/>
      </c>
      <c r="T467" s="136">
        <f>IF($F467="","",IFERROR(INDEX(사건마스터!$AQ$5:$AQ$64,MATCH($F467,사건마스터!$A$5:$A$64,0)),""))</f>
        <v/>
      </c>
      <c r="U467" s="136">
        <f>IF($F467="","",IFERROR(INDEX(사건마스터!$AR$5:$AR$64,MATCH($F467,사건마스터!$A$5:$A$64,0)),""))</f>
        <v/>
      </c>
      <c r="V467" s="136">
        <f>IF($F467="","",IFERROR(INDEX(사건마스터!$AS$5:$AS$64,MATCH($F467,사건마스터!$A$5:$A$64,0)),""))</f>
        <v/>
      </c>
      <c r="W467" s="136">
        <f>IF($F467="","",IFERROR(INDEX(사건마스터!$AT$5:$AT$64,MATCH($F467,사건마스터!$A$5:$A$64,0)),""))</f>
        <v/>
      </c>
      <c r="X467" s="136">
        <f>IF($F467="","",IFERROR(INDEX(사건마스터!$AU$5:$AU$64,MATCH($F467,사건마스터!$A$5:$A$64,0)),""))</f>
        <v/>
      </c>
      <c r="Y467" s="136">
        <f>IF($F467="","",IFERROR(INDEX(사건마스터!$AV$5:$AV$64,MATCH($F467,사건마스터!$A$5:$A$64,0)),""))</f>
        <v/>
      </c>
      <c r="Z467" s="118">
        <f>IF(COUNTBLANK($J467:$Y467)=16,"",16-COUNTBLANK($J467:$Y467))</f>
        <v/>
      </c>
      <c r="AA467" s="33">
        <f>IF($J467="",MID($AX467,3,255),$J467&amp;$AX467)</f>
        <v/>
      </c>
      <c r="AB467" s="130">
        <f>IF($J467="","",IFERROR(INDEX(코드설정!$D$5:$D$24,MATCH($J467,코드설정!$C$5:$C$24,0)),""))</f>
        <v/>
      </c>
      <c r="AC467" s="36" t="n"/>
      <c r="AD467" s="37" t="n"/>
      <c r="AE467" s="38" t="n"/>
      <c r="AF467" s="118">
        <f>IF(OR($B467="",$C467=""),"",$C467-$B467+1)</f>
        <v/>
      </c>
      <c r="AG467" s="74" t="n"/>
      <c r="AH467" s="36" t="n"/>
      <c r="AJ467">
        <f>IF($K467="","",", "&amp;$K467)</f>
        <v/>
      </c>
      <c r="AK467">
        <f>AJ467&amp;IF($L467="","",", "&amp;$L467)</f>
        <v/>
      </c>
      <c r="AL467">
        <f>AK467&amp;IF($M467="","",", "&amp;$M467)</f>
        <v/>
      </c>
      <c r="AM467">
        <f>AL467&amp;IF($N467="","",", "&amp;$N467)</f>
        <v/>
      </c>
      <c r="AN467">
        <f>AM467&amp;IF($O467="","",", "&amp;$O467)</f>
        <v/>
      </c>
      <c r="AO467">
        <f>AN467&amp;IF($P467="","",", "&amp;$P467)</f>
        <v/>
      </c>
      <c r="AP467">
        <f>AO467&amp;IF($Q467="","",", "&amp;$Q467)</f>
        <v/>
      </c>
      <c r="AQ467">
        <f>AP467&amp;IF($R467="","",", "&amp;$R467)</f>
        <v/>
      </c>
      <c r="AR467">
        <f>AQ467&amp;IF($S467="","",", "&amp;$S467)</f>
        <v/>
      </c>
      <c r="AS467">
        <f>AR467&amp;IF($T467="","",", "&amp;$T467)</f>
        <v/>
      </c>
      <c r="AT467">
        <f>AS467&amp;IF($U467="","",", "&amp;$U467)</f>
        <v/>
      </c>
      <c r="AU467">
        <f>AT467&amp;IF($V467="","",", "&amp;$V467)</f>
        <v/>
      </c>
      <c r="AV467">
        <f>AU467&amp;IF($W467="","",", "&amp;$W467)</f>
        <v/>
      </c>
      <c r="AW467">
        <f>AV467&amp;IF($X467="","",", "&amp;$X467)</f>
        <v/>
      </c>
      <c r="AX467">
        <f>AW467&amp;IF($Y467="","",", "&amp;$Y467)</f>
        <v/>
      </c>
    </row>
    <row r="468">
      <c r="A468" s="118">
        <f>IF($B468="","",COUNT($B$5:$B468))</f>
        <v/>
      </c>
      <c r="B468" s="80" t="n"/>
      <c r="C468" s="80" t="n"/>
      <c r="D468" s="74" t="n"/>
      <c r="E468" s="74" t="n"/>
      <c r="F468" s="74" t="n"/>
      <c r="G468" s="118">
        <f>IF($F468="","",COUNTIF($F$5:$F468,$F468))</f>
        <v/>
      </c>
      <c r="H468" s="33">
        <f>IF($F468="","",IFERROR(INDEX(사건마스터!$B$5:$B$64,MATCH($F468,사건마스터!$A$5:$A$64,0)),""))</f>
        <v/>
      </c>
      <c r="I468" s="130">
        <f>IF($F468="","",IFERROR(INDEX(사건마스터!$C$5:$C$64,MATCH($F468,사건마스터!$A$5:$A$64,0)),""))</f>
        <v/>
      </c>
      <c r="J468" s="136">
        <f>IF($F468="","",IFERROR(INDEX(사건마스터!$H$5:$H$64,MATCH($F468,사건마스터!$A$5:$A$64,0)),""))</f>
        <v/>
      </c>
      <c r="K468" s="136">
        <f>IF($F468="","",IFERROR(INDEX(사건마스터!$AH$5:$AH$64,MATCH($F468,사건마스터!$A$5:$A$64,0)),""))</f>
        <v/>
      </c>
      <c r="L468" s="136">
        <f>IF($F468="","",IFERROR(INDEX(사건마스터!$AI$5:$AI$64,MATCH($F468,사건마스터!$A$5:$A$64,0)),""))</f>
        <v/>
      </c>
      <c r="M468" s="136">
        <f>IF($F468="","",IFERROR(INDEX(사건마스터!$AJ$5:$AJ$64,MATCH($F468,사건마스터!$A$5:$A$64,0)),""))</f>
        <v/>
      </c>
      <c r="N468" s="136">
        <f>IF($F468="","",IFERROR(INDEX(사건마스터!$AK$5:$AK$64,MATCH($F468,사건마스터!$A$5:$A$64,0)),""))</f>
        <v/>
      </c>
      <c r="O468" s="136">
        <f>IF($F468="","",IFERROR(INDEX(사건마스터!$AL$5:$AL$64,MATCH($F468,사건마스터!$A$5:$A$64,0)),""))</f>
        <v/>
      </c>
      <c r="P468" s="136">
        <f>IF($F468="","",IFERROR(INDEX(사건마스터!$AM$5:$AM$64,MATCH($F468,사건마스터!$A$5:$A$64,0)),""))</f>
        <v/>
      </c>
      <c r="Q468" s="136">
        <f>IF($F468="","",IFERROR(INDEX(사건마스터!$AN$5:$AN$64,MATCH($F468,사건마스터!$A$5:$A$64,0)),""))</f>
        <v/>
      </c>
      <c r="R468" s="136">
        <f>IF($F468="","",IFERROR(INDEX(사건마스터!$AO$5:$AO$64,MATCH($F468,사건마스터!$A$5:$A$64,0)),""))</f>
        <v/>
      </c>
      <c r="S468" s="136">
        <f>IF($F468="","",IFERROR(INDEX(사건마스터!$AP$5:$AP$64,MATCH($F468,사건마스터!$A$5:$A$64,0)),""))</f>
        <v/>
      </c>
      <c r="T468" s="136">
        <f>IF($F468="","",IFERROR(INDEX(사건마스터!$AQ$5:$AQ$64,MATCH($F468,사건마스터!$A$5:$A$64,0)),""))</f>
        <v/>
      </c>
      <c r="U468" s="136">
        <f>IF($F468="","",IFERROR(INDEX(사건마스터!$AR$5:$AR$64,MATCH($F468,사건마스터!$A$5:$A$64,0)),""))</f>
        <v/>
      </c>
      <c r="V468" s="136">
        <f>IF($F468="","",IFERROR(INDEX(사건마스터!$AS$5:$AS$64,MATCH($F468,사건마스터!$A$5:$A$64,0)),""))</f>
        <v/>
      </c>
      <c r="W468" s="136">
        <f>IF($F468="","",IFERROR(INDEX(사건마스터!$AT$5:$AT$64,MATCH($F468,사건마스터!$A$5:$A$64,0)),""))</f>
        <v/>
      </c>
      <c r="X468" s="136">
        <f>IF($F468="","",IFERROR(INDEX(사건마스터!$AU$5:$AU$64,MATCH($F468,사건마스터!$A$5:$A$64,0)),""))</f>
        <v/>
      </c>
      <c r="Y468" s="136">
        <f>IF($F468="","",IFERROR(INDEX(사건마스터!$AV$5:$AV$64,MATCH($F468,사건마스터!$A$5:$A$64,0)),""))</f>
        <v/>
      </c>
      <c r="Z468" s="118">
        <f>IF(COUNTBLANK($J468:$Y468)=16,"",16-COUNTBLANK($J468:$Y468))</f>
        <v/>
      </c>
      <c r="AA468" s="33">
        <f>IF($J468="",MID($AX468,3,255),$J468&amp;$AX468)</f>
        <v/>
      </c>
      <c r="AB468" s="130">
        <f>IF($J468="","",IFERROR(INDEX(코드설정!$D$5:$D$24,MATCH($J468,코드설정!$C$5:$C$24,0)),""))</f>
        <v/>
      </c>
      <c r="AC468" s="36" t="n"/>
      <c r="AD468" s="37" t="n"/>
      <c r="AE468" s="38" t="n"/>
      <c r="AF468" s="118">
        <f>IF(OR($B468="",$C468=""),"",$C468-$B468+1)</f>
        <v/>
      </c>
      <c r="AG468" s="74" t="n"/>
      <c r="AH468" s="36" t="n"/>
      <c r="AJ468">
        <f>IF($K468="","",", "&amp;$K468)</f>
        <v/>
      </c>
      <c r="AK468">
        <f>AJ468&amp;IF($L468="","",", "&amp;$L468)</f>
        <v/>
      </c>
      <c r="AL468">
        <f>AK468&amp;IF($M468="","",", "&amp;$M468)</f>
        <v/>
      </c>
      <c r="AM468">
        <f>AL468&amp;IF($N468="","",", "&amp;$N468)</f>
        <v/>
      </c>
      <c r="AN468">
        <f>AM468&amp;IF($O468="","",", "&amp;$O468)</f>
        <v/>
      </c>
      <c r="AO468">
        <f>AN468&amp;IF($P468="","",", "&amp;$P468)</f>
        <v/>
      </c>
      <c r="AP468">
        <f>AO468&amp;IF($Q468="","",", "&amp;$Q468)</f>
        <v/>
      </c>
      <c r="AQ468">
        <f>AP468&amp;IF($R468="","",", "&amp;$R468)</f>
        <v/>
      </c>
      <c r="AR468">
        <f>AQ468&amp;IF($S468="","",", "&amp;$S468)</f>
        <v/>
      </c>
      <c r="AS468">
        <f>AR468&amp;IF($T468="","",", "&amp;$T468)</f>
        <v/>
      </c>
      <c r="AT468">
        <f>AS468&amp;IF($U468="","",", "&amp;$U468)</f>
        <v/>
      </c>
      <c r="AU468">
        <f>AT468&amp;IF($V468="","",", "&amp;$V468)</f>
        <v/>
      </c>
      <c r="AV468">
        <f>AU468&amp;IF($W468="","",", "&amp;$W468)</f>
        <v/>
      </c>
      <c r="AW468">
        <f>AV468&amp;IF($X468="","",", "&amp;$X468)</f>
        <v/>
      </c>
      <c r="AX468">
        <f>AW468&amp;IF($Y468="","",", "&amp;$Y468)</f>
        <v/>
      </c>
    </row>
    <row r="469">
      <c r="A469" s="118">
        <f>IF($B469="","",COUNT($B$5:$B469))</f>
        <v/>
      </c>
      <c r="B469" s="80" t="n"/>
      <c r="C469" s="80" t="n"/>
      <c r="D469" s="74" t="n"/>
      <c r="E469" s="74" t="n"/>
      <c r="F469" s="74" t="n"/>
      <c r="G469" s="118">
        <f>IF($F469="","",COUNTIF($F$5:$F469,$F469))</f>
        <v/>
      </c>
      <c r="H469" s="33">
        <f>IF($F469="","",IFERROR(INDEX(사건마스터!$B$5:$B$64,MATCH($F469,사건마스터!$A$5:$A$64,0)),""))</f>
        <v/>
      </c>
      <c r="I469" s="130">
        <f>IF($F469="","",IFERROR(INDEX(사건마스터!$C$5:$C$64,MATCH($F469,사건마스터!$A$5:$A$64,0)),""))</f>
        <v/>
      </c>
      <c r="J469" s="136">
        <f>IF($F469="","",IFERROR(INDEX(사건마스터!$H$5:$H$64,MATCH($F469,사건마스터!$A$5:$A$64,0)),""))</f>
        <v/>
      </c>
      <c r="K469" s="136">
        <f>IF($F469="","",IFERROR(INDEX(사건마스터!$AH$5:$AH$64,MATCH($F469,사건마스터!$A$5:$A$64,0)),""))</f>
        <v/>
      </c>
      <c r="L469" s="136">
        <f>IF($F469="","",IFERROR(INDEX(사건마스터!$AI$5:$AI$64,MATCH($F469,사건마스터!$A$5:$A$64,0)),""))</f>
        <v/>
      </c>
      <c r="M469" s="136">
        <f>IF($F469="","",IFERROR(INDEX(사건마스터!$AJ$5:$AJ$64,MATCH($F469,사건마스터!$A$5:$A$64,0)),""))</f>
        <v/>
      </c>
      <c r="N469" s="136">
        <f>IF($F469="","",IFERROR(INDEX(사건마스터!$AK$5:$AK$64,MATCH($F469,사건마스터!$A$5:$A$64,0)),""))</f>
        <v/>
      </c>
      <c r="O469" s="136">
        <f>IF($F469="","",IFERROR(INDEX(사건마스터!$AL$5:$AL$64,MATCH($F469,사건마스터!$A$5:$A$64,0)),""))</f>
        <v/>
      </c>
      <c r="P469" s="136">
        <f>IF($F469="","",IFERROR(INDEX(사건마스터!$AM$5:$AM$64,MATCH($F469,사건마스터!$A$5:$A$64,0)),""))</f>
        <v/>
      </c>
      <c r="Q469" s="136">
        <f>IF($F469="","",IFERROR(INDEX(사건마스터!$AN$5:$AN$64,MATCH($F469,사건마스터!$A$5:$A$64,0)),""))</f>
        <v/>
      </c>
      <c r="R469" s="136">
        <f>IF($F469="","",IFERROR(INDEX(사건마스터!$AO$5:$AO$64,MATCH($F469,사건마스터!$A$5:$A$64,0)),""))</f>
        <v/>
      </c>
      <c r="S469" s="136">
        <f>IF($F469="","",IFERROR(INDEX(사건마스터!$AP$5:$AP$64,MATCH($F469,사건마스터!$A$5:$A$64,0)),""))</f>
        <v/>
      </c>
      <c r="T469" s="136">
        <f>IF($F469="","",IFERROR(INDEX(사건마스터!$AQ$5:$AQ$64,MATCH($F469,사건마스터!$A$5:$A$64,0)),""))</f>
        <v/>
      </c>
      <c r="U469" s="136">
        <f>IF($F469="","",IFERROR(INDEX(사건마스터!$AR$5:$AR$64,MATCH($F469,사건마스터!$A$5:$A$64,0)),""))</f>
        <v/>
      </c>
      <c r="V469" s="136">
        <f>IF($F469="","",IFERROR(INDEX(사건마스터!$AS$5:$AS$64,MATCH($F469,사건마스터!$A$5:$A$64,0)),""))</f>
        <v/>
      </c>
      <c r="W469" s="136">
        <f>IF($F469="","",IFERROR(INDEX(사건마스터!$AT$5:$AT$64,MATCH($F469,사건마스터!$A$5:$A$64,0)),""))</f>
        <v/>
      </c>
      <c r="X469" s="136">
        <f>IF($F469="","",IFERROR(INDEX(사건마스터!$AU$5:$AU$64,MATCH($F469,사건마스터!$A$5:$A$64,0)),""))</f>
        <v/>
      </c>
      <c r="Y469" s="136">
        <f>IF($F469="","",IFERROR(INDEX(사건마스터!$AV$5:$AV$64,MATCH($F469,사건마스터!$A$5:$A$64,0)),""))</f>
        <v/>
      </c>
      <c r="Z469" s="118">
        <f>IF(COUNTBLANK($J469:$Y469)=16,"",16-COUNTBLANK($J469:$Y469))</f>
        <v/>
      </c>
      <c r="AA469" s="33">
        <f>IF($J469="",MID($AX469,3,255),$J469&amp;$AX469)</f>
        <v/>
      </c>
      <c r="AB469" s="130">
        <f>IF($J469="","",IFERROR(INDEX(코드설정!$D$5:$D$24,MATCH($J469,코드설정!$C$5:$C$24,0)),""))</f>
        <v/>
      </c>
      <c r="AC469" s="36" t="n"/>
      <c r="AD469" s="37" t="n"/>
      <c r="AE469" s="38" t="n"/>
      <c r="AF469" s="118">
        <f>IF(OR($B469="",$C469=""),"",$C469-$B469+1)</f>
        <v/>
      </c>
      <c r="AG469" s="74" t="n"/>
      <c r="AH469" s="36" t="n"/>
      <c r="AJ469">
        <f>IF($K469="","",", "&amp;$K469)</f>
        <v/>
      </c>
      <c r="AK469">
        <f>AJ469&amp;IF($L469="","",", "&amp;$L469)</f>
        <v/>
      </c>
      <c r="AL469">
        <f>AK469&amp;IF($M469="","",", "&amp;$M469)</f>
        <v/>
      </c>
      <c r="AM469">
        <f>AL469&amp;IF($N469="","",", "&amp;$N469)</f>
        <v/>
      </c>
      <c r="AN469">
        <f>AM469&amp;IF($O469="","",", "&amp;$O469)</f>
        <v/>
      </c>
      <c r="AO469">
        <f>AN469&amp;IF($P469="","",", "&amp;$P469)</f>
        <v/>
      </c>
      <c r="AP469">
        <f>AO469&amp;IF($Q469="","",", "&amp;$Q469)</f>
        <v/>
      </c>
      <c r="AQ469">
        <f>AP469&amp;IF($R469="","",", "&amp;$R469)</f>
        <v/>
      </c>
      <c r="AR469">
        <f>AQ469&amp;IF($S469="","",", "&amp;$S469)</f>
        <v/>
      </c>
      <c r="AS469">
        <f>AR469&amp;IF($T469="","",", "&amp;$T469)</f>
        <v/>
      </c>
      <c r="AT469">
        <f>AS469&amp;IF($U469="","",", "&amp;$U469)</f>
        <v/>
      </c>
      <c r="AU469">
        <f>AT469&amp;IF($V469="","",", "&amp;$V469)</f>
        <v/>
      </c>
      <c r="AV469">
        <f>AU469&amp;IF($W469="","",", "&amp;$W469)</f>
        <v/>
      </c>
      <c r="AW469">
        <f>AV469&amp;IF($X469="","",", "&amp;$X469)</f>
        <v/>
      </c>
      <c r="AX469">
        <f>AW469&amp;IF($Y469="","",", "&amp;$Y469)</f>
        <v/>
      </c>
    </row>
    <row r="470">
      <c r="A470" s="118">
        <f>IF($B470="","",COUNT($B$5:$B470))</f>
        <v/>
      </c>
      <c r="B470" s="80" t="n"/>
      <c r="C470" s="80" t="n"/>
      <c r="D470" s="74" t="n"/>
      <c r="E470" s="74" t="n"/>
      <c r="F470" s="74" t="n"/>
      <c r="G470" s="118">
        <f>IF($F470="","",COUNTIF($F$5:$F470,$F470))</f>
        <v/>
      </c>
      <c r="H470" s="33">
        <f>IF($F470="","",IFERROR(INDEX(사건마스터!$B$5:$B$64,MATCH($F470,사건마스터!$A$5:$A$64,0)),""))</f>
        <v/>
      </c>
      <c r="I470" s="130">
        <f>IF($F470="","",IFERROR(INDEX(사건마스터!$C$5:$C$64,MATCH($F470,사건마스터!$A$5:$A$64,0)),""))</f>
        <v/>
      </c>
      <c r="J470" s="136">
        <f>IF($F470="","",IFERROR(INDEX(사건마스터!$H$5:$H$64,MATCH($F470,사건마스터!$A$5:$A$64,0)),""))</f>
        <v/>
      </c>
      <c r="K470" s="136">
        <f>IF($F470="","",IFERROR(INDEX(사건마스터!$AH$5:$AH$64,MATCH($F470,사건마스터!$A$5:$A$64,0)),""))</f>
        <v/>
      </c>
      <c r="L470" s="136">
        <f>IF($F470="","",IFERROR(INDEX(사건마스터!$AI$5:$AI$64,MATCH($F470,사건마스터!$A$5:$A$64,0)),""))</f>
        <v/>
      </c>
      <c r="M470" s="136">
        <f>IF($F470="","",IFERROR(INDEX(사건마스터!$AJ$5:$AJ$64,MATCH($F470,사건마스터!$A$5:$A$64,0)),""))</f>
        <v/>
      </c>
      <c r="N470" s="136">
        <f>IF($F470="","",IFERROR(INDEX(사건마스터!$AK$5:$AK$64,MATCH($F470,사건마스터!$A$5:$A$64,0)),""))</f>
        <v/>
      </c>
      <c r="O470" s="136">
        <f>IF($F470="","",IFERROR(INDEX(사건마스터!$AL$5:$AL$64,MATCH($F470,사건마스터!$A$5:$A$64,0)),""))</f>
        <v/>
      </c>
      <c r="P470" s="136">
        <f>IF($F470="","",IFERROR(INDEX(사건마스터!$AM$5:$AM$64,MATCH($F470,사건마스터!$A$5:$A$64,0)),""))</f>
        <v/>
      </c>
      <c r="Q470" s="136">
        <f>IF($F470="","",IFERROR(INDEX(사건마스터!$AN$5:$AN$64,MATCH($F470,사건마스터!$A$5:$A$64,0)),""))</f>
        <v/>
      </c>
      <c r="R470" s="136">
        <f>IF($F470="","",IFERROR(INDEX(사건마스터!$AO$5:$AO$64,MATCH($F470,사건마스터!$A$5:$A$64,0)),""))</f>
        <v/>
      </c>
      <c r="S470" s="136">
        <f>IF($F470="","",IFERROR(INDEX(사건마스터!$AP$5:$AP$64,MATCH($F470,사건마스터!$A$5:$A$64,0)),""))</f>
        <v/>
      </c>
      <c r="T470" s="136">
        <f>IF($F470="","",IFERROR(INDEX(사건마스터!$AQ$5:$AQ$64,MATCH($F470,사건마스터!$A$5:$A$64,0)),""))</f>
        <v/>
      </c>
      <c r="U470" s="136">
        <f>IF($F470="","",IFERROR(INDEX(사건마스터!$AR$5:$AR$64,MATCH($F470,사건마스터!$A$5:$A$64,0)),""))</f>
        <v/>
      </c>
      <c r="V470" s="136">
        <f>IF($F470="","",IFERROR(INDEX(사건마스터!$AS$5:$AS$64,MATCH($F470,사건마스터!$A$5:$A$64,0)),""))</f>
        <v/>
      </c>
      <c r="W470" s="136">
        <f>IF($F470="","",IFERROR(INDEX(사건마스터!$AT$5:$AT$64,MATCH($F470,사건마스터!$A$5:$A$64,0)),""))</f>
        <v/>
      </c>
      <c r="X470" s="136">
        <f>IF($F470="","",IFERROR(INDEX(사건마스터!$AU$5:$AU$64,MATCH($F470,사건마스터!$A$5:$A$64,0)),""))</f>
        <v/>
      </c>
      <c r="Y470" s="136">
        <f>IF($F470="","",IFERROR(INDEX(사건마스터!$AV$5:$AV$64,MATCH($F470,사건마스터!$A$5:$A$64,0)),""))</f>
        <v/>
      </c>
      <c r="Z470" s="118">
        <f>IF(COUNTBLANK($J470:$Y470)=16,"",16-COUNTBLANK($J470:$Y470))</f>
        <v/>
      </c>
      <c r="AA470" s="33">
        <f>IF($J470="",MID($AX470,3,255),$J470&amp;$AX470)</f>
        <v/>
      </c>
      <c r="AB470" s="130">
        <f>IF($J470="","",IFERROR(INDEX(코드설정!$D$5:$D$24,MATCH($J470,코드설정!$C$5:$C$24,0)),""))</f>
        <v/>
      </c>
      <c r="AC470" s="36" t="n"/>
      <c r="AD470" s="37" t="n"/>
      <c r="AE470" s="38" t="n"/>
      <c r="AF470" s="118">
        <f>IF(OR($B470="",$C470=""),"",$C470-$B470+1)</f>
        <v/>
      </c>
      <c r="AG470" s="74" t="n"/>
      <c r="AH470" s="36" t="n"/>
      <c r="AJ470">
        <f>IF($K470="","",", "&amp;$K470)</f>
        <v/>
      </c>
      <c r="AK470">
        <f>AJ470&amp;IF($L470="","",", "&amp;$L470)</f>
        <v/>
      </c>
      <c r="AL470">
        <f>AK470&amp;IF($M470="","",", "&amp;$M470)</f>
        <v/>
      </c>
      <c r="AM470">
        <f>AL470&amp;IF($N470="","",", "&amp;$N470)</f>
        <v/>
      </c>
      <c r="AN470">
        <f>AM470&amp;IF($O470="","",", "&amp;$O470)</f>
        <v/>
      </c>
      <c r="AO470">
        <f>AN470&amp;IF($P470="","",", "&amp;$P470)</f>
        <v/>
      </c>
      <c r="AP470">
        <f>AO470&amp;IF($Q470="","",", "&amp;$Q470)</f>
        <v/>
      </c>
      <c r="AQ470">
        <f>AP470&amp;IF($R470="","",", "&amp;$R470)</f>
        <v/>
      </c>
      <c r="AR470">
        <f>AQ470&amp;IF($S470="","",", "&amp;$S470)</f>
        <v/>
      </c>
      <c r="AS470">
        <f>AR470&amp;IF($T470="","",", "&amp;$T470)</f>
        <v/>
      </c>
      <c r="AT470">
        <f>AS470&amp;IF($U470="","",", "&amp;$U470)</f>
        <v/>
      </c>
      <c r="AU470">
        <f>AT470&amp;IF($V470="","",", "&amp;$V470)</f>
        <v/>
      </c>
      <c r="AV470">
        <f>AU470&amp;IF($W470="","",", "&amp;$W470)</f>
        <v/>
      </c>
      <c r="AW470">
        <f>AV470&amp;IF($X470="","",", "&amp;$X470)</f>
        <v/>
      </c>
      <c r="AX470">
        <f>AW470&amp;IF($Y470="","",", "&amp;$Y470)</f>
        <v/>
      </c>
    </row>
    <row r="471">
      <c r="A471" s="118">
        <f>IF($B471="","",COUNT($B$5:$B471))</f>
        <v/>
      </c>
      <c r="B471" s="80" t="n"/>
      <c r="C471" s="80" t="n"/>
      <c r="D471" s="74" t="n"/>
      <c r="E471" s="74" t="n"/>
      <c r="F471" s="74" t="n"/>
      <c r="G471" s="118">
        <f>IF($F471="","",COUNTIF($F$5:$F471,$F471))</f>
        <v/>
      </c>
      <c r="H471" s="33">
        <f>IF($F471="","",IFERROR(INDEX(사건마스터!$B$5:$B$64,MATCH($F471,사건마스터!$A$5:$A$64,0)),""))</f>
        <v/>
      </c>
      <c r="I471" s="130">
        <f>IF($F471="","",IFERROR(INDEX(사건마스터!$C$5:$C$64,MATCH($F471,사건마스터!$A$5:$A$64,0)),""))</f>
        <v/>
      </c>
      <c r="J471" s="136">
        <f>IF($F471="","",IFERROR(INDEX(사건마스터!$H$5:$H$64,MATCH($F471,사건마스터!$A$5:$A$64,0)),""))</f>
        <v/>
      </c>
      <c r="K471" s="136">
        <f>IF($F471="","",IFERROR(INDEX(사건마스터!$AH$5:$AH$64,MATCH($F471,사건마스터!$A$5:$A$64,0)),""))</f>
        <v/>
      </c>
      <c r="L471" s="136">
        <f>IF($F471="","",IFERROR(INDEX(사건마스터!$AI$5:$AI$64,MATCH($F471,사건마스터!$A$5:$A$64,0)),""))</f>
        <v/>
      </c>
      <c r="M471" s="136">
        <f>IF($F471="","",IFERROR(INDEX(사건마스터!$AJ$5:$AJ$64,MATCH($F471,사건마스터!$A$5:$A$64,0)),""))</f>
        <v/>
      </c>
      <c r="N471" s="136">
        <f>IF($F471="","",IFERROR(INDEX(사건마스터!$AK$5:$AK$64,MATCH($F471,사건마스터!$A$5:$A$64,0)),""))</f>
        <v/>
      </c>
      <c r="O471" s="136">
        <f>IF($F471="","",IFERROR(INDEX(사건마스터!$AL$5:$AL$64,MATCH($F471,사건마스터!$A$5:$A$64,0)),""))</f>
        <v/>
      </c>
      <c r="P471" s="136">
        <f>IF($F471="","",IFERROR(INDEX(사건마스터!$AM$5:$AM$64,MATCH($F471,사건마스터!$A$5:$A$64,0)),""))</f>
        <v/>
      </c>
      <c r="Q471" s="136">
        <f>IF($F471="","",IFERROR(INDEX(사건마스터!$AN$5:$AN$64,MATCH($F471,사건마스터!$A$5:$A$64,0)),""))</f>
        <v/>
      </c>
      <c r="R471" s="136">
        <f>IF($F471="","",IFERROR(INDEX(사건마스터!$AO$5:$AO$64,MATCH($F471,사건마스터!$A$5:$A$64,0)),""))</f>
        <v/>
      </c>
      <c r="S471" s="136">
        <f>IF($F471="","",IFERROR(INDEX(사건마스터!$AP$5:$AP$64,MATCH($F471,사건마스터!$A$5:$A$64,0)),""))</f>
        <v/>
      </c>
      <c r="T471" s="136">
        <f>IF($F471="","",IFERROR(INDEX(사건마스터!$AQ$5:$AQ$64,MATCH($F471,사건마스터!$A$5:$A$64,0)),""))</f>
        <v/>
      </c>
      <c r="U471" s="136">
        <f>IF($F471="","",IFERROR(INDEX(사건마스터!$AR$5:$AR$64,MATCH($F471,사건마스터!$A$5:$A$64,0)),""))</f>
        <v/>
      </c>
      <c r="V471" s="136">
        <f>IF($F471="","",IFERROR(INDEX(사건마스터!$AS$5:$AS$64,MATCH($F471,사건마스터!$A$5:$A$64,0)),""))</f>
        <v/>
      </c>
      <c r="W471" s="136">
        <f>IF($F471="","",IFERROR(INDEX(사건마스터!$AT$5:$AT$64,MATCH($F471,사건마스터!$A$5:$A$64,0)),""))</f>
        <v/>
      </c>
      <c r="X471" s="136">
        <f>IF($F471="","",IFERROR(INDEX(사건마스터!$AU$5:$AU$64,MATCH($F471,사건마스터!$A$5:$A$64,0)),""))</f>
        <v/>
      </c>
      <c r="Y471" s="136">
        <f>IF($F471="","",IFERROR(INDEX(사건마스터!$AV$5:$AV$64,MATCH($F471,사건마스터!$A$5:$A$64,0)),""))</f>
        <v/>
      </c>
      <c r="Z471" s="118">
        <f>IF(COUNTBLANK($J471:$Y471)=16,"",16-COUNTBLANK($J471:$Y471))</f>
        <v/>
      </c>
      <c r="AA471" s="33">
        <f>IF($J471="",MID($AX471,3,255),$J471&amp;$AX471)</f>
        <v/>
      </c>
      <c r="AB471" s="130">
        <f>IF($J471="","",IFERROR(INDEX(코드설정!$D$5:$D$24,MATCH($J471,코드설정!$C$5:$C$24,0)),""))</f>
        <v/>
      </c>
      <c r="AC471" s="36" t="n"/>
      <c r="AD471" s="37" t="n"/>
      <c r="AE471" s="38" t="n"/>
      <c r="AF471" s="118">
        <f>IF(OR($B471="",$C471=""),"",$C471-$B471+1)</f>
        <v/>
      </c>
      <c r="AG471" s="74" t="n"/>
      <c r="AH471" s="36" t="n"/>
      <c r="AJ471">
        <f>IF($K471="","",", "&amp;$K471)</f>
        <v/>
      </c>
      <c r="AK471">
        <f>AJ471&amp;IF($L471="","",", "&amp;$L471)</f>
        <v/>
      </c>
      <c r="AL471">
        <f>AK471&amp;IF($M471="","",", "&amp;$M471)</f>
        <v/>
      </c>
      <c r="AM471">
        <f>AL471&amp;IF($N471="","",", "&amp;$N471)</f>
        <v/>
      </c>
      <c r="AN471">
        <f>AM471&amp;IF($O471="","",", "&amp;$O471)</f>
        <v/>
      </c>
      <c r="AO471">
        <f>AN471&amp;IF($P471="","",", "&amp;$P471)</f>
        <v/>
      </c>
      <c r="AP471">
        <f>AO471&amp;IF($Q471="","",", "&amp;$Q471)</f>
        <v/>
      </c>
      <c r="AQ471">
        <f>AP471&amp;IF($R471="","",", "&amp;$R471)</f>
        <v/>
      </c>
      <c r="AR471">
        <f>AQ471&amp;IF($S471="","",", "&amp;$S471)</f>
        <v/>
      </c>
      <c r="AS471">
        <f>AR471&amp;IF($T471="","",", "&amp;$T471)</f>
        <v/>
      </c>
      <c r="AT471">
        <f>AS471&amp;IF($U471="","",", "&amp;$U471)</f>
        <v/>
      </c>
      <c r="AU471">
        <f>AT471&amp;IF($V471="","",", "&amp;$V471)</f>
        <v/>
      </c>
      <c r="AV471">
        <f>AU471&amp;IF($W471="","",", "&amp;$W471)</f>
        <v/>
      </c>
      <c r="AW471">
        <f>AV471&amp;IF($X471="","",", "&amp;$X471)</f>
        <v/>
      </c>
      <c r="AX471">
        <f>AW471&amp;IF($Y471="","",", "&amp;$Y471)</f>
        <v/>
      </c>
    </row>
    <row r="472">
      <c r="A472" s="118">
        <f>IF($B472="","",COUNT($B$5:$B472))</f>
        <v/>
      </c>
      <c r="B472" s="80" t="n"/>
      <c r="C472" s="80" t="n"/>
      <c r="D472" s="74" t="n"/>
      <c r="E472" s="74" t="n"/>
      <c r="F472" s="74" t="n"/>
      <c r="G472" s="118">
        <f>IF($F472="","",COUNTIF($F$5:$F472,$F472))</f>
        <v/>
      </c>
      <c r="H472" s="33">
        <f>IF($F472="","",IFERROR(INDEX(사건마스터!$B$5:$B$64,MATCH($F472,사건마스터!$A$5:$A$64,0)),""))</f>
        <v/>
      </c>
      <c r="I472" s="130">
        <f>IF($F472="","",IFERROR(INDEX(사건마스터!$C$5:$C$64,MATCH($F472,사건마스터!$A$5:$A$64,0)),""))</f>
        <v/>
      </c>
      <c r="J472" s="136">
        <f>IF($F472="","",IFERROR(INDEX(사건마스터!$H$5:$H$64,MATCH($F472,사건마스터!$A$5:$A$64,0)),""))</f>
        <v/>
      </c>
      <c r="K472" s="136">
        <f>IF($F472="","",IFERROR(INDEX(사건마스터!$AH$5:$AH$64,MATCH($F472,사건마스터!$A$5:$A$64,0)),""))</f>
        <v/>
      </c>
      <c r="L472" s="136">
        <f>IF($F472="","",IFERROR(INDEX(사건마스터!$AI$5:$AI$64,MATCH($F472,사건마스터!$A$5:$A$64,0)),""))</f>
        <v/>
      </c>
      <c r="M472" s="136">
        <f>IF($F472="","",IFERROR(INDEX(사건마스터!$AJ$5:$AJ$64,MATCH($F472,사건마스터!$A$5:$A$64,0)),""))</f>
        <v/>
      </c>
      <c r="N472" s="136">
        <f>IF($F472="","",IFERROR(INDEX(사건마스터!$AK$5:$AK$64,MATCH($F472,사건마스터!$A$5:$A$64,0)),""))</f>
        <v/>
      </c>
      <c r="O472" s="136">
        <f>IF($F472="","",IFERROR(INDEX(사건마스터!$AL$5:$AL$64,MATCH($F472,사건마스터!$A$5:$A$64,0)),""))</f>
        <v/>
      </c>
      <c r="P472" s="136">
        <f>IF($F472="","",IFERROR(INDEX(사건마스터!$AM$5:$AM$64,MATCH($F472,사건마스터!$A$5:$A$64,0)),""))</f>
        <v/>
      </c>
      <c r="Q472" s="136">
        <f>IF($F472="","",IFERROR(INDEX(사건마스터!$AN$5:$AN$64,MATCH($F472,사건마스터!$A$5:$A$64,0)),""))</f>
        <v/>
      </c>
      <c r="R472" s="136">
        <f>IF($F472="","",IFERROR(INDEX(사건마스터!$AO$5:$AO$64,MATCH($F472,사건마스터!$A$5:$A$64,0)),""))</f>
        <v/>
      </c>
      <c r="S472" s="136">
        <f>IF($F472="","",IFERROR(INDEX(사건마스터!$AP$5:$AP$64,MATCH($F472,사건마스터!$A$5:$A$64,0)),""))</f>
        <v/>
      </c>
      <c r="T472" s="136">
        <f>IF($F472="","",IFERROR(INDEX(사건마스터!$AQ$5:$AQ$64,MATCH($F472,사건마스터!$A$5:$A$64,0)),""))</f>
        <v/>
      </c>
      <c r="U472" s="136">
        <f>IF($F472="","",IFERROR(INDEX(사건마스터!$AR$5:$AR$64,MATCH($F472,사건마스터!$A$5:$A$64,0)),""))</f>
        <v/>
      </c>
      <c r="V472" s="136">
        <f>IF($F472="","",IFERROR(INDEX(사건마스터!$AS$5:$AS$64,MATCH($F472,사건마스터!$A$5:$A$64,0)),""))</f>
        <v/>
      </c>
      <c r="W472" s="136">
        <f>IF($F472="","",IFERROR(INDEX(사건마스터!$AT$5:$AT$64,MATCH($F472,사건마스터!$A$5:$A$64,0)),""))</f>
        <v/>
      </c>
      <c r="X472" s="136">
        <f>IF($F472="","",IFERROR(INDEX(사건마스터!$AU$5:$AU$64,MATCH($F472,사건마스터!$A$5:$A$64,0)),""))</f>
        <v/>
      </c>
      <c r="Y472" s="136">
        <f>IF($F472="","",IFERROR(INDEX(사건마스터!$AV$5:$AV$64,MATCH($F472,사건마스터!$A$5:$A$64,0)),""))</f>
        <v/>
      </c>
      <c r="Z472" s="118">
        <f>IF(COUNTBLANK($J472:$Y472)=16,"",16-COUNTBLANK($J472:$Y472))</f>
        <v/>
      </c>
      <c r="AA472" s="33">
        <f>IF($J472="",MID($AX472,3,255),$J472&amp;$AX472)</f>
        <v/>
      </c>
      <c r="AB472" s="130">
        <f>IF($J472="","",IFERROR(INDEX(코드설정!$D$5:$D$24,MATCH($J472,코드설정!$C$5:$C$24,0)),""))</f>
        <v/>
      </c>
      <c r="AC472" s="36" t="n"/>
      <c r="AD472" s="37" t="n"/>
      <c r="AE472" s="38" t="n"/>
      <c r="AF472" s="118">
        <f>IF(OR($B472="",$C472=""),"",$C472-$B472+1)</f>
        <v/>
      </c>
      <c r="AG472" s="74" t="n"/>
      <c r="AH472" s="36" t="n"/>
      <c r="AJ472">
        <f>IF($K472="","",", "&amp;$K472)</f>
        <v/>
      </c>
      <c r="AK472">
        <f>AJ472&amp;IF($L472="","",", "&amp;$L472)</f>
        <v/>
      </c>
      <c r="AL472">
        <f>AK472&amp;IF($M472="","",", "&amp;$M472)</f>
        <v/>
      </c>
      <c r="AM472">
        <f>AL472&amp;IF($N472="","",", "&amp;$N472)</f>
        <v/>
      </c>
      <c r="AN472">
        <f>AM472&amp;IF($O472="","",", "&amp;$O472)</f>
        <v/>
      </c>
      <c r="AO472">
        <f>AN472&amp;IF($P472="","",", "&amp;$P472)</f>
        <v/>
      </c>
      <c r="AP472">
        <f>AO472&amp;IF($Q472="","",", "&amp;$Q472)</f>
        <v/>
      </c>
      <c r="AQ472">
        <f>AP472&amp;IF($R472="","",", "&amp;$R472)</f>
        <v/>
      </c>
      <c r="AR472">
        <f>AQ472&amp;IF($S472="","",", "&amp;$S472)</f>
        <v/>
      </c>
      <c r="AS472">
        <f>AR472&amp;IF($T472="","",", "&amp;$T472)</f>
        <v/>
      </c>
      <c r="AT472">
        <f>AS472&amp;IF($U472="","",", "&amp;$U472)</f>
        <v/>
      </c>
      <c r="AU472">
        <f>AT472&amp;IF($V472="","",", "&amp;$V472)</f>
        <v/>
      </c>
      <c r="AV472">
        <f>AU472&amp;IF($W472="","",", "&amp;$W472)</f>
        <v/>
      </c>
      <c r="AW472">
        <f>AV472&amp;IF($X472="","",", "&amp;$X472)</f>
        <v/>
      </c>
      <c r="AX472">
        <f>AW472&amp;IF($Y472="","",", "&amp;$Y472)</f>
        <v/>
      </c>
    </row>
    <row r="473">
      <c r="A473" s="118">
        <f>IF($B473="","",COUNT($B$5:$B473))</f>
        <v/>
      </c>
      <c r="B473" s="80" t="n"/>
      <c r="C473" s="80" t="n"/>
      <c r="D473" s="74" t="n"/>
      <c r="E473" s="74" t="n"/>
      <c r="F473" s="74" t="n"/>
      <c r="G473" s="118">
        <f>IF($F473="","",COUNTIF($F$5:$F473,$F473))</f>
        <v/>
      </c>
      <c r="H473" s="33">
        <f>IF($F473="","",IFERROR(INDEX(사건마스터!$B$5:$B$64,MATCH($F473,사건마스터!$A$5:$A$64,0)),""))</f>
        <v/>
      </c>
      <c r="I473" s="130">
        <f>IF($F473="","",IFERROR(INDEX(사건마스터!$C$5:$C$64,MATCH($F473,사건마스터!$A$5:$A$64,0)),""))</f>
        <v/>
      </c>
      <c r="J473" s="136">
        <f>IF($F473="","",IFERROR(INDEX(사건마스터!$H$5:$H$64,MATCH($F473,사건마스터!$A$5:$A$64,0)),""))</f>
        <v/>
      </c>
      <c r="K473" s="136">
        <f>IF($F473="","",IFERROR(INDEX(사건마스터!$AH$5:$AH$64,MATCH($F473,사건마스터!$A$5:$A$64,0)),""))</f>
        <v/>
      </c>
      <c r="L473" s="136">
        <f>IF($F473="","",IFERROR(INDEX(사건마스터!$AI$5:$AI$64,MATCH($F473,사건마스터!$A$5:$A$64,0)),""))</f>
        <v/>
      </c>
      <c r="M473" s="136">
        <f>IF($F473="","",IFERROR(INDEX(사건마스터!$AJ$5:$AJ$64,MATCH($F473,사건마스터!$A$5:$A$64,0)),""))</f>
        <v/>
      </c>
      <c r="N473" s="136">
        <f>IF($F473="","",IFERROR(INDEX(사건마스터!$AK$5:$AK$64,MATCH($F473,사건마스터!$A$5:$A$64,0)),""))</f>
        <v/>
      </c>
      <c r="O473" s="136">
        <f>IF($F473="","",IFERROR(INDEX(사건마스터!$AL$5:$AL$64,MATCH($F473,사건마스터!$A$5:$A$64,0)),""))</f>
        <v/>
      </c>
      <c r="P473" s="136">
        <f>IF($F473="","",IFERROR(INDEX(사건마스터!$AM$5:$AM$64,MATCH($F473,사건마스터!$A$5:$A$64,0)),""))</f>
        <v/>
      </c>
      <c r="Q473" s="136">
        <f>IF($F473="","",IFERROR(INDEX(사건마스터!$AN$5:$AN$64,MATCH($F473,사건마스터!$A$5:$A$64,0)),""))</f>
        <v/>
      </c>
      <c r="R473" s="136">
        <f>IF($F473="","",IFERROR(INDEX(사건마스터!$AO$5:$AO$64,MATCH($F473,사건마스터!$A$5:$A$64,0)),""))</f>
        <v/>
      </c>
      <c r="S473" s="136">
        <f>IF($F473="","",IFERROR(INDEX(사건마스터!$AP$5:$AP$64,MATCH($F473,사건마스터!$A$5:$A$64,0)),""))</f>
        <v/>
      </c>
      <c r="T473" s="136">
        <f>IF($F473="","",IFERROR(INDEX(사건마스터!$AQ$5:$AQ$64,MATCH($F473,사건마스터!$A$5:$A$64,0)),""))</f>
        <v/>
      </c>
      <c r="U473" s="136">
        <f>IF($F473="","",IFERROR(INDEX(사건마스터!$AR$5:$AR$64,MATCH($F473,사건마스터!$A$5:$A$64,0)),""))</f>
        <v/>
      </c>
      <c r="V473" s="136">
        <f>IF($F473="","",IFERROR(INDEX(사건마스터!$AS$5:$AS$64,MATCH($F473,사건마스터!$A$5:$A$64,0)),""))</f>
        <v/>
      </c>
      <c r="W473" s="136">
        <f>IF($F473="","",IFERROR(INDEX(사건마스터!$AT$5:$AT$64,MATCH($F473,사건마스터!$A$5:$A$64,0)),""))</f>
        <v/>
      </c>
      <c r="X473" s="136">
        <f>IF($F473="","",IFERROR(INDEX(사건마스터!$AU$5:$AU$64,MATCH($F473,사건마스터!$A$5:$A$64,0)),""))</f>
        <v/>
      </c>
      <c r="Y473" s="136">
        <f>IF($F473="","",IFERROR(INDEX(사건마스터!$AV$5:$AV$64,MATCH($F473,사건마스터!$A$5:$A$64,0)),""))</f>
        <v/>
      </c>
      <c r="Z473" s="118">
        <f>IF(COUNTBLANK($J473:$Y473)=16,"",16-COUNTBLANK($J473:$Y473))</f>
        <v/>
      </c>
      <c r="AA473" s="33">
        <f>IF($J473="",MID($AX473,3,255),$J473&amp;$AX473)</f>
        <v/>
      </c>
      <c r="AB473" s="130">
        <f>IF($J473="","",IFERROR(INDEX(코드설정!$D$5:$D$24,MATCH($J473,코드설정!$C$5:$C$24,0)),""))</f>
        <v/>
      </c>
      <c r="AC473" s="36" t="n"/>
      <c r="AD473" s="37" t="n"/>
      <c r="AE473" s="38" t="n"/>
      <c r="AF473" s="118">
        <f>IF(OR($B473="",$C473=""),"",$C473-$B473+1)</f>
        <v/>
      </c>
      <c r="AG473" s="74" t="n"/>
      <c r="AH473" s="36" t="n"/>
      <c r="AJ473">
        <f>IF($K473="","",", "&amp;$K473)</f>
        <v/>
      </c>
      <c r="AK473">
        <f>AJ473&amp;IF($L473="","",", "&amp;$L473)</f>
        <v/>
      </c>
      <c r="AL473">
        <f>AK473&amp;IF($M473="","",", "&amp;$M473)</f>
        <v/>
      </c>
      <c r="AM473">
        <f>AL473&amp;IF($N473="","",", "&amp;$N473)</f>
        <v/>
      </c>
      <c r="AN473">
        <f>AM473&amp;IF($O473="","",", "&amp;$O473)</f>
        <v/>
      </c>
      <c r="AO473">
        <f>AN473&amp;IF($P473="","",", "&amp;$P473)</f>
        <v/>
      </c>
      <c r="AP473">
        <f>AO473&amp;IF($Q473="","",", "&amp;$Q473)</f>
        <v/>
      </c>
      <c r="AQ473">
        <f>AP473&amp;IF($R473="","",", "&amp;$R473)</f>
        <v/>
      </c>
      <c r="AR473">
        <f>AQ473&amp;IF($S473="","",", "&amp;$S473)</f>
        <v/>
      </c>
      <c r="AS473">
        <f>AR473&amp;IF($T473="","",", "&amp;$T473)</f>
        <v/>
      </c>
      <c r="AT473">
        <f>AS473&amp;IF($U473="","",", "&amp;$U473)</f>
        <v/>
      </c>
      <c r="AU473">
        <f>AT473&amp;IF($V473="","",", "&amp;$V473)</f>
        <v/>
      </c>
      <c r="AV473">
        <f>AU473&amp;IF($W473="","",", "&amp;$W473)</f>
        <v/>
      </c>
      <c r="AW473">
        <f>AV473&amp;IF($X473="","",", "&amp;$X473)</f>
        <v/>
      </c>
      <c r="AX473">
        <f>AW473&amp;IF($Y473="","",", "&amp;$Y473)</f>
        <v/>
      </c>
    </row>
    <row r="474">
      <c r="A474" s="118">
        <f>IF($B474="","",COUNT($B$5:$B474))</f>
        <v/>
      </c>
      <c r="B474" s="80" t="n"/>
      <c r="C474" s="80" t="n"/>
      <c r="D474" s="74" t="n"/>
      <c r="E474" s="74" t="n"/>
      <c r="F474" s="74" t="n"/>
      <c r="G474" s="118">
        <f>IF($F474="","",COUNTIF($F$5:$F474,$F474))</f>
        <v/>
      </c>
      <c r="H474" s="33">
        <f>IF($F474="","",IFERROR(INDEX(사건마스터!$B$5:$B$64,MATCH($F474,사건마스터!$A$5:$A$64,0)),""))</f>
        <v/>
      </c>
      <c r="I474" s="130">
        <f>IF($F474="","",IFERROR(INDEX(사건마스터!$C$5:$C$64,MATCH($F474,사건마스터!$A$5:$A$64,0)),""))</f>
        <v/>
      </c>
      <c r="J474" s="136">
        <f>IF($F474="","",IFERROR(INDEX(사건마스터!$H$5:$H$64,MATCH($F474,사건마스터!$A$5:$A$64,0)),""))</f>
        <v/>
      </c>
      <c r="K474" s="136">
        <f>IF($F474="","",IFERROR(INDEX(사건마스터!$AH$5:$AH$64,MATCH($F474,사건마스터!$A$5:$A$64,0)),""))</f>
        <v/>
      </c>
      <c r="L474" s="136">
        <f>IF($F474="","",IFERROR(INDEX(사건마스터!$AI$5:$AI$64,MATCH($F474,사건마스터!$A$5:$A$64,0)),""))</f>
        <v/>
      </c>
      <c r="M474" s="136">
        <f>IF($F474="","",IFERROR(INDEX(사건마스터!$AJ$5:$AJ$64,MATCH($F474,사건마스터!$A$5:$A$64,0)),""))</f>
        <v/>
      </c>
      <c r="N474" s="136">
        <f>IF($F474="","",IFERROR(INDEX(사건마스터!$AK$5:$AK$64,MATCH($F474,사건마스터!$A$5:$A$64,0)),""))</f>
        <v/>
      </c>
      <c r="O474" s="136">
        <f>IF($F474="","",IFERROR(INDEX(사건마스터!$AL$5:$AL$64,MATCH($F474,사건마스터!$A$5:$A$64,0)),""))</f>
        <v/>
      </c>
      <c r="P474" s="136">
        <f>IF($F474="","",IFERROR(INDEX(사건마스터!$AM$5:$AM$64,MATCH($F474,사건마스터!$A$5:$A$64,0)),""))</f>
        <v/>
      </c>
      <c r="Q474" s="136">
        <f>IF($F474="","",IFERROR(INDEX(사건마스터!$AN$5:$AN$64,MATCH($F474,사건마스터!$A$5:$A$64,0)),""))</f>
        <v/>
      </c>
      <c r="R474" s="136">
        <f>IF($F474="","",IFERROR(INDEX(사건마스터!$AO$5:$AO$64,MATCH($F474,사건마스터!$A$5:$A$64,0)),""))</f>
        <v/>
      </c>
      <c r="S474" s="136">
        <f>IF($F474="","",IFERROR(INDEX(사건마스터!$AP$5:$AP$64,MATCH($F474,사건마스터!$A$5:$A$64,0)),""))</f>
        <v/>
      </c>
      <c r="T474" s="136">
        <f>IF($F474="","",IFERROR(INDEX(사건마스터!$AQ$5:$AQ$64,MATCH($F474,사건마스터!$A$5:$A$64,0)),""))</f>
        <v/>
      </c>
      <c r="U474" s="136">
        <f>IF($F474="","",IFERROR(INDEX(사건마스터!$AR$5:$AR$64,MATCH($F474,사건마스터!$A$5:$A$64,0)),""))</f>
        <v/>
      </c>
      <c r="V474" s="136">
        <f>IF($F474="","",IFERROR(INDEX(사건마스터!$AS$5:$AS$64,MATCH($F474,사건마스터!$A$5:$A$64,0)),""))</f>
        <v/>
      </c>
      <c r="W474" s="136">
        <f>IF($F474="","",IFERROR(INDEX(사건마스터!$AT$5:$AT$64,MATCH($F474,사건마스터!$A$5:$A$64,0)),""))</f>
        <v/>
      </c>
      <c r="X474" s="136">
        <f>IF($F474="","",IFERROR(INDEX(사건마스터!$AU$5:$AU$64,MATCH($F474,사건마스터!$A$5:$A$64,0)),""))</f>
        <v/>
      </c>
      <c r="Y474" s="136">
        <f>IF($F474="","",IFERROR(INDEX(사건마스터!$AV$5:$AV$64,MATCH($F474,사건마스터!$A$5:$A$64,0)),""))</f>
        <v/>
      </c>
      <c r="Z474" s="118">
        <f>IF(COUNTBLANK($J474:$Y474)=16,"",16-COUNTBLANK($J474:$Y474))</f>
        <v/>
      </c>
      <c r="AA474" s="33">
        <f>IF($J474="",MID($AX474,3,255),$J474&amp;$AX474)</f>
        <v/>
      </c>
      <c r="AB474" s="130">
        <f>IF($J474="","",IFERROR(INDEX(코드설정!$D$5:$D$24,MATCH($J474,코드설정!$C$5:$C$24,0)),""))</f>
        <v/>
      </c>
      <c r="AC474" s="36" t="n"/>
      <c r="AD474" s="37" t="n"/>
      <c r="AE474" s="38" t="n"/>
      <c r="AF474" s="118">
        <f>IF(OR($B474="",$C474=""),"",$C474-$B474+1)</f>
        <v/>
      </c>
      <c r="AG474" s="74" t="n"/>
      <c r="AH474" s="36" t="n"/>
      <c r="AJ474">
        <f>IF($K474="","",", "&amp;$K474)</f>
        <v/>
      </c>
      <c r="AK474">
        <f>AJ474&amp;IF($L474="","",", "&amp;$L474)</f>
        <v/>
      </c>
      <c r="AL474">
        <f>AK474&amp;IF($M474="","",", "&amp;$M474)</f>
        <v/>
      </c>
      <c r="AM474">
        <f>AL474&amp;IF($N474="","",", "&amp;$N474)</f>
        <v/>
      </c>
      <c r="AN474">
        <f>AM474&amp;IF($O474="","",", "&amp;$O474)</f>
        <v/>
      </c>
      <c r="AO474">
        <f>AN474&amp;IF($P474="","",", "&amp;$P474)</f>
        <v/>
      </c>
      <c r="AP474">
        <f>AO474&amp;IF($Q474="","",", "&amp;$Q474)</f>
        <v/>
      </c>
      <c r="AQ474">
        <f>AP474&amp;IF($R474="","",", "&amp;$R474)</f>
        <v/>
      </c>
      <c r="AR474">
        <f>AQ474&amp;IF($S474="","",", "&amp;$S474)</f>
        <v/>
      </c>
      <c r="AS474">
        <f>AR474&amp;IF($T474="","",", "&amp;$T474)</f>
        <v/>
      </c>
      <c r="AT474">
        <f>AS474&amp;IF($U474="","",", "&amp;$U474)</f>
        <v/>
      </c>
      <c r="AU474">
        <f>AT474&amp;IF($V474="","",", "&amp;$V474)</f>
        <v/>
      </c>
      <c r="AV474">
        <f>AU474&amp;IF($W474="","",", "&amp;$W474)</f>
        <v/>
      </c>
      <c r="AW474">
        <f>AV474&amp;IF($X474="","",", "&amp;$X474)</f>
        <v/>
      </c>
      <c r="AX474">
        <f>AW474&amp;IF($Y474="","",", "&amp;$Y474)</f>
        <v/>
      </c>
    </row>
    <row r="475">
      <c r="A475" s="118">
        <f>IF($B475="","",COUNT($B$5:$B475))</f>
        <v/>
      </c>
      <c r="B475" s="80" t="n"/>
      <c r="C475" s="80" t="n"/>
      <c r="D475" s="74" t="n"/>
      <c r="E475" s="74" t="n"/>
      <c r="F475" s="74" t="n"/>
      <c r="G475" s="118">
        <f>IF($F475="","",COUNTIF($F$5:$F475,$F475))</f>
        <v/>
      </c>
      <c r="H475" s="33">
        <f>IF($F475="","",IFERROR(INDEX(사건마스터!$B$5:$B$64,MATCH($F475,사건마스터!$A$5:$A$64,0)),""))</f>
        <v/>
      </c>
      <c r="I475" s="130">
        <f>IF($F475="","",IFERROR(INDEX(사건마스터!$C$5:$C$64,MATCH($F475,사건마스터!$A$5:$A$64,0)),""))</f>
        <v/>
      </c>
      <c r="J475" s="136">
        <f>IF($F475="","",IFERROR(INDEX(사건마스터!$H$5:$H$64,MATCH($F475,사건마스터!$A$5:$A$64,0)),""))</f>
        <v/>
      </c>
      <c r="K475" s="136">
        <f>IF($F475="","",IFERROR(INDEX(사건마스터!$AH$5:$AH$64,MATCH($F475,사건마스터!$A$5:$A$64,0)),""))</f>
        <v/>
      </c>
      <c r="L475" s="136">
        <f>IF($F475="","",IFERROR(INDEX(사건마스터!$AI$5:$AI$64,MATCH($F475,사건마스터!$A$5:$A$64,0)),""))</f>
        <v/>
      </c>
      <c r="M475" s="136">
        <f>IF($F475="","",IFERROR(INDEX(사건마스터!$AJ$5:$AJ$64,MATCH($F475,사건마스터!$A$5:$A$64,0)),""))</f>
        <v/>
      </c>
      <c r="N475" s="136">
        <f>IF($F475="","",IFERROR(INDEX(사건마스터!$AK$5:$AK$64,MATCH($F475,사건마스터!$A$5:$A$64,0)),""))</f>
        <v/>
      </c>
      <c r="O475" s="136">
        <f>IF($F475="","",IFERROR(INDEX(사건마스터!$AL$5:$AL$64,MATCH($F475,사건마스터!$A$5:$A$64,0)),""))</f>
        <v/>
      </c>
      <c r="P475" s="136">
        <f>IF($F475="","",IFERROR(INDEX(사건마스터!$AM$5:$AM$64,MATCH($F475,사건마스터!$A$5:$A$64,0)),""))</f>
        <v/>
      </c>
      <c r="Q475" s="136">
        <f>IF($F475="","",IFERROR(INDEX(사건마스터!$AN$5:$AN$64,MATCH($F475,사건마스터!$A$5:$A$64,0)),""))</f>
        <v/>
      </c>
      <c r="R475" s="136">
        <f>IF($F475="","",IFERROR(INDEX(사건마스터!$AO$5:$AO$64,MATCH($F475,사건마스터!$A$5:$A$64,0)),""))</f>
        <v/>
      </c>
      <c r="S475" s="136">
        <f>IF($F475="","",IFERROR(INDEX(사건마스터!$AP$5:$AP$64,MATCH($F475,사건마스터!$A$5:$A$64,0)),""))</f>
        <v/>
      </c>
      <c r="T475" s="136">
        <f>IF($F475="","",IFERROR(INDEX(사건마스터!$AQ$5:$AQ$64,MATCH($F475,사건마스터!$A$5:$A$64,0)),""))</f>
        <v/>
      </c>
      <c r="U475" s="136">
        <f>IF($F475="","",IFERROR(INDEX(사건마스터!$AR$5:$AR$64,MATCH($F475,사건마스터!$A$5:$A$64,0)),""))</f>
        <v/>
      </c>
      <c r="V475" s="136">
        <f>IF($F475="","",IFERROR(INDEX(사건마스터!$AS$5:$AS$64,MATCH($F475,사건마스터!$A$5:$A$64,0)),""))</f>
        <v/>
      </c>
      <c r="W475" s="136">
        <f>IF($F475="","",IFERROR(INDEX(사건마스터!$AT$5:$AT$64,MATCH($F475,사건마스터!$A$5:$A$64,0)),""))</f>
        <v/>
      </c>
      <c r="X475" s="136">
        <f>IF($F475="","",IFERROR(INDEX(사건마스터!$AU$5:$AU$64,MATCH($F475,사건마스터!$A$5:$A$64,0)),""))</f>
        <v/>
      </c>
      <c r="Y475" s="136">
        <f>IF($F475="","",IFERROR(INDEX(사건마스터!$AV$5:$AV$64,MATCH($F475,사건마스터!$A$5:$A$64,0)),""))</f>
        <v/>
      </c>
      <c r="Z475" s="118">
        <f>IF(COUNTBLANK($J475:$Y475)=16,"",16-COUNTBLANK($J475:$Y475))</f>
        <v/>
      </c>
      <c r="AA475" s="33">
        <f>IF($J475="",MID($AX475,3,255),$J475&amp;$AX475)</f>
        <v/>
      </c>
      <c r="AB475" s="130">
        <f>IF($J475="","",IFERROR(INDEX(코드설정!$D$5:$D$24,MATCH($J475,코드설정!$C$5:$C$24,0)),""))</f>
        <v/>
      </c>
      <c r="AC475" s="36" t="n"/>
      <c r="AD475" s="37" t="n"/>
      <c r="AE475" s="38" t="n"/>
      <c r="AF475" s="118">
        <f>IF(OR($B475="",$C475=""),"",$C475-$B475+1)</f>
        <v/>
      </c>
      <c r="AG475" s="74" t="n"/>
      <c r="AH475" s="36" t="n"/>
      <c r="AJ475">
        <f>IF($K475="","",", "&amp;$K475)</f>
        <v/>
      </c>
      <c r="AK475">
        <f>AJ475&amp;IF($L475="","",", "&amp;$L475)</f>
        <v/>
      </c>
      <c r="AL475">
        <f>AK475&amp;IF($M475="","",", "&amp;$M475)</f>
        <v/>
      </c>
      <c r="AM475">
        <f>AL475&amp;IF($N475="","",", "&amp;$N475)</f>
        <v/>
      </c>
      <c r="AN475">
        <f>AM475&amp;IF($O475="","",", "&amp;$O475)</f>
        <v/>
      </c>
      <c r="AO475">
        <f>AN475&amp;IF($P475="","",", "&amp;$P475)</f>
        <v/>
      </c>
      <c r="AP475">
        <f>AO475&amp;IF($Q475="","",", "&amp;$Q475)</f>
        <v/>
      </c>
      <c r="AQ475">
        <f>AP475&amp;IF($R475="","",", "&amp;$R475)</f>
        <v/>
      </c>
      <c r="AR475">
        <f>AQ475&amp;IF($S475="","",", "&amp;$S475)</f>
        <v/>
      </c>
      <c r="AS475">
        <f>AR475&amp;IF($T475="","",", "&amp;$T475)</f>
        <v/>
      </c>
      <c r="AT475">
        <f>AS475&amp;IF($U475="","",", "&amp;$U475)</f>
        <v/>
      </c>
      <c r="AU475">
        <f>AT475&amp;IF($V475="","",", "&amp;$V475)</f>
        <v/>
      </c>
      <c r="AV475">
        <f>AU475&amp;IF($W475="","",", "&amp;$W475)</f>
        <v/>
      </c>
      <c r="AW475">
        <f>AV475&amp;IF($X475="","",", "&amp;$X475)</f>
        <v/>
      </c>
      <c r="AX475">
        <f>AW475&amp;IF($Y475="","",", "&amp;$Y475)</f>
        <v/>
      </c>
    </row>
    <row r="476">
      <c r="A476" s="118">
        <f>IF($B476="","",COUNT($B$5:$B476))</f>
        <v/>
      </c>
      <c r="B476" s="80" t="n"/>
      <c r="C476" s="80" t="n"/>
      <c r="D476" s="74" t="n"/>
      <c r="E476" s="74" t="n"/>
      <c r="F476" s="74" t="n"/>
      <c r="G476" s="118">
        <f>IF($F476="","",COUNTIF($F$5:$F476,$F476))</f>
        <v/>
      </c>
      <c r="H476" s="33">
        <f>IF($F476="","",IFERROR(INDEX(사건마스터!$B$5:$B$64,MATCH($F476,사건마스터!$A$5:$A$64,0)),""))</f>
        <v/>
      </c>
      <c r="I476" s="130">
        <f>IF($F476="","",IFERROR(INDEX(사건마스터!$C$5:$C$64,MATCH($F476,사건마스터!$A$5:$A$64,0)),""))</f>
        <v/>
      </c>
      <c r="J476" s="136">
        <f>IF($F476="","",IFERROR(INDEX(사건마스터!$H$5:$H$64,MATCH($F476,사건마스터!$A$5:$A$64,0)),""))</f>
        <v/>
      </c>
      <c r="K476" s="136">
        <f>IF($F476="","",IFERROR(INDEX(사건마스터!$AH$5:$AH$64,MATCH($F476,사건마스터!$A$5:$A$64,0)),""))</f>
        <v/>
      </c>
      <c r="L476" s="136">
        <f>IF($F476="","",IFERROR(INDEX(사건마스터!$AI$5:$AI$64,MATCH($F476,사건마스터!$A$5:$A$64,0)),""))</f>
        <v/>
      </c>
      <c r="M476" s="136">
        <f>IF($F476="","",IFERROR(INDEX(사건마스터!$AJ$5:$AJ$64,MATCH($F476,사건마스터!$A$5:$A$64,0)),""))</f>
        <v/>
      </c>
      <c r="N476" s="136">
        <f>IF($F476="","",IFERROR(INDEX(사건마스터!$AK$5:$AK$64,MATCH($F476,사건마스터!$A$5:$A$64,0)),""))</f>
        <v/>
      </c>
      <c r="O476" s="136">
        <f>IF($F476="","",IFERROR(INDEX(사건마스터!$AL$5:$AL$64,MATCH($F476,사건마스터!$A$5:$A$64,0)),""))</f>
        <v/>
      </c>
      <c r="P476" s="136">
        <f>IF($F476="","",IFERROR(INDEX(사건마스터!$AM$5:$AM$64,MATCH($F476,사건마스터!$A$5:$A$64,0)),""))</f>
        <v/>
      </c>
      <c r="Q476" s="136">
        <f>IF($F476="","",IFERROR(INDEX(사건마스터!$AN$5:$AN$64,MATCH($F476,사건마스터!$A$5:$A$64,0)),""))</f>
        <v/>
      </c>
      <c r="R476" s="136">
        <f>IF($F476="","",IFERROR(INDEX(사건마스터!$AO$5:$AO$64,MATCH($F476,사건마스터!$A$5:$A$64,0)),""))</f>
        <v/>
      </c>
      <c r="S476" s="136">
        <f>IF($F476="","",IFERROR(INDEX(사건마스터!$AP$5:$AP$64,MATCH($F476,사건마스터!$A$5:$A$64,0)),""))</f>
        <v/>
      </c>
      <c r="T476" s="136">
        <f>IF($F476="","",IFERROR(INDEX(사건마스터!$AQ$5:$AQ$64,MATCH($F476,사건마스터!$A$5:$A$64,0)),""))</f>
        <v/>
      </c>
      <c r="U476" s="136">
        <f>IF($F476="","",IFERROR(INDEX(사건마스터!$AR$5:$AR$64,MATCH($F476,사건마스터!$A$5:$A$64,0)),""))</f>
        <v/>
      </c>
      <c r="V476" s="136">
        <f>IF($F476="","",IFERROR(INDEX(사건마스터!$AS$5:$AS$64,MATCH($F476,사건마스터!$A$5:$A$64,0)),""))</f>
        <v/>
      </c>
      <c r="W476" s="136">
        <f>IF($F476="","",IFERROR(INDEX(사건마스터!$AT$5:$AT$64,MATCH($F476,사건마스터!$A$5:$A$64,0)),""))</f>
        <v/>
      </c>
      <c r="X476" s="136">
        <f>IF($F476="","",IFERROR(INDEX(사건마스터!$AU$5:$AU$64,MATCH($F476,사건마스터!$A$5:$A$64,0)),""))</f>
        <v/>
      </c>
      <c r="Y476" s="136">
        <f>IF($F476="","",IFERROR(INDEX(사건마스터!$AV$5:$AV$64,MATCH($F476,사건마스터!$A$5:$A$64,0)),""))</f>
        <v/>
      </c>
      <c r="Z476" s="118">
        <f>IF(COUNTBLANK($J476:$Y476)=16,"",16-COUNTBLANK($J476:$Y476))</f>
        <v/>
      </c>
      <c r="AA476" s="33">
        <f>IF($J476="",MID($AX476,3,255),$J476&amp;$AX476)</f>
        <v/>
      </c>
      <c r="AB476" s="130">
        <f>IF($J476="","",IFERROR(INDEX(코드설정!$D$5:$D$24,MATCH($J476,코드설정!$C$5:$C$24,0)),""))</f>
        <v/>
      </c>
      <c r="AC476" s="36" t="n"/>
      <c r="AD476" s="37" t="n"/>
      <c r="AE476" s="38" t="n"/>
      <c r="AF476" s="118">
        <f>IF(OR($B476="",$C476=""),"",$C476-$B476+1)</f>
        <v/>
      </c>
      <c r="AG476" s="74" t="n"/>
      <c r="AH476" s="36" t="n"/>
      <c r="AJ476">
        <f>IF($K476="","",", "&amp;$K476)</f>
        <v/>
      </c>
      <c r="AK476">
        <f>AJ476&amp;IF($L476="","",", "&amp;$L476)</f>
        <v/>
      </c>
      <c r="AL476">
        <f>AK476&amp;IF($M476="","",", "&amp;$M476)</f>
        <v/>
      </c>
      <c r="AM476">
        <f>AL476&amp;IF($N476="","",", "&amp;$N476)</f>
        <v/>
      </c>
      <c r="AN476">
        <f>AM476&amp;IF($O476="","",", "&amp;$O476)</f>
        <v/>
      </c>
      <c r="AO476">
        <f>AN476&amp;IF($P476="","",", "&amp;$P476)</f>
        <v/>
      </c>
      <c r="AP476">
        <f>AO476&amp;IF($Q476="","",", "&amp;$Q476)</f>
        <v/>
      </c>
      <c r="AQ476">
        <f>AP476&amp;IF($R476="","",", "&amp;$R476)</f>
        <v/>
      </c>
      <c r="AR476">
        <f>AQ476&amp;IF($S476="","",", "&amp;$S476)</f>
        <v/>
      </c>
      <c r="AS476">
        <f>AR476&amp;IF($T476="","",", "&amp;$T476)</f>
        <v/>
      </c>
      <c r="AT476">
        <f>AS476&amp;IF($U476="","",", "&amp;$U476)</f>
        <v/>
      </c>
      <c r="AU476">
        <f>AT476&amp;IF($V476="","",", "&amp;$V476)</f>
        <v/>
      </c>
      <c r="AV476">
        <f>AU476&amp;IF($W476="","",", "&amp;$W476)</f>
        <v/>
      </c>
      <c r="AW476">
        <f>AV476&amp;IF($X476="","",", "&amp;$X476)</f>
        <v/>
      </c>
      <c r="AX476">
        <f>AW476&amp;IF($Y476="","",", "&amp;$Y476)</f>
        <v/>
      </c>
    </row>
    <row r="477">
      <c r="A477" s="118">
        <f>IF($B477="","",COUNT($B$5:$B477))</f>
        <v/>
      </c>
      <c r="B477" s="80" t="n"/>
      <c r="C477" s="80" t="n"/>
      <c r="D477" s="74" t="n"/>
      <c r="E477" s="74" t="n"/>
      <c r="F477" s="74" t="n"/>
      <c r="G477" s="118">
        <f>IF($F477="","",COUNTIF($F$5:$F477,$F477))</f>
        <v/>
      </c>
      <c r="H477" s="33">
        <f>IF($F477="","",IFERROR(INDEX(사건마스터!$B$5:$B$64,MATCH($F477,사건마스터!$A$5:$A$64,0)),""))</f>
        <v/>
      </c>
      <c r="I477" s="130">
        <f>IF($F477="","",IFERROR(INDEX(사건마스터!$C$5:$C$64,MATCH($F477,사건마스터!$A$5:$A$64,0)),""))</f>
        <v/>
      </c>
      <c r="J477" s="136">
        <f>IF($F477="","",IFERROR(INDEX(사건마스터!$H$5:$H$64,MATCH($F477,사건마스터!$A$5:$A$64,0)),""))</f>
        <v/>
      </c>
      <c r="K477" s="136">
        <f>IF($F477="","",IFERROR(INDEX(사건마스터!$AH$5:$AH$64,MATCH($F477,사건마스터!$A$5:$A$64,0)),""))</f>
        <v/>
      </c>
      <c r="L477" s="136">
        <f>IF($F477="","",IFERROR(INDEX(사건마스터!$AI$5:$AI$64,MATCH($F477,사건마스터!$A$5:$A$64,0)),""))</f>
        <v/>
      </c>
      <c r="M477" s="136">
        <f>IF($F477="","",IFERROR(INDEX(사건마스터!$AJ$5:$AJ$64,MATCH($F477,사건마스터!$A$5:$A$64,0)),""))</f>
        <v/>
      </c>
      <c r="N477" s="136">
        <f>IF($F477="","",IFERROR(INDEX(사건마스터!$AK$5:$AK$64,MATCH($F477,사건마스터!$A$5:$A$64,0)),""))</f>
        <v/>
      </c>
      <c r="O477" s="136">
        <f>IF($F477="","",IFERROR(INDEX(사건마스터!$AL$5:$AL$64,MATCH($F477,사건마스터!$A$5:$A$64,0)),""))</f>
        <v/>
      </c>
      <c r="P477" s="136">
        <f>IF($F477="","",IFERROR(INDEX(사건마스터!$AM$5:$AM$64,MATCH($F477,사건마스터!$A$5:$A$64,0)),""))</f>
        <v/>
      </c>
      <c r="Q477" s="136">
        <f>IF($F477="","",IFERROR(INDEX(사건마스터!$AN$5:$AN$64,MATCH($F477,사건마스터!$A$5:$A$64,0)),""))</f>
        <v/>
      </c>
      <c r="R477" s="136">
        <f>IF($F477="","",IFERROR(INDEX(사건마스터!$AO$5:$AO$64,MATCH($F477,사건마스터!$A$5:$A$64,0)),""))</f>
        <v/>
      </c>
      <c r="S477" s="136">
        <f>IF($F477="","",IFERROR(INDEX(사건마스터!$AP$5:$AP$64,MATCH($F477,사건마스터!$A$5:$A$64,0)),""))</f>
        <v/>
      </c>
      <c r="T477" s="136">
        <f>IF($F477="","",IFERROR(INDEX(사건마스터!$AQ$5:$AQ$64,MATCH($F477,사건마스터!$A$5:$A$64,0)),""))</f>
        <v/>
      </c>
      <c r="U477" s="136">
        <f>IF($F477="","",IFERROR(INDEX(사건마스터!$AR$5:$AR$64,MATCH($F477,사건마스터!$A$5:$A$64,0)),""))</f>
        <v/>
      </c>
      <c r="V477" s="136">
        <f>IF($F477="","",IFERROR(INDEX(사건마스터!$AS$5:$AS$64,MATCH($F477,사건마스터!$A$5:$A$64,0)),""))</f>
        <v/>
      </c>
      <c r="W477" s="136">
        <f>IF($F477="","",IFERROR(INDEX(사건마스터!$AT$5:$AT$64,MATCH($F477,사건마스터!$A$5:$A$64,0)),""))</f>
        <v/>
      </c>
      <c r="X477" s="136">
        <f>IF($F477="","",IFERROR(INDEX(사건마스터!$AU$5:$AU$64,MATCH($F477,사건마스터!$A$5:$A$64,0)),""))</f>
        <v/>
      </c>
      <c r="Y477" s="136">
        <f>IF($F477="","",IFERROR(INDEX(사건마스터!$AV$5:$AV$64,MATCH($F477,사건마스터!$A$5:$A$64,0)),""))</f>
        <v/>
      </c>
      <c r="Z477" s="118">
        <f>IF(COUNTBLANK($J477:$Y477)=16,"",16-COUNTBLANK($J477:$Y477))</f>
        <v/>
      </c>
      <c r="AA477" s="33">
        <f>IF($J477="",MID($AX477,3,255),$J477&amp;$AX477)</f>
        <v/>
      </c>
      <c r="AB477" s="130">
        <f>IF($J477="","",IFERROR(INDEX(코드설정!$D$5:$D$24,MATCH($J477,코드설정!$C$5:$C$24,0)),""))</f>
        <v/>
      </c>
      <c r="AC477" s="36" t="n"/>
      <c r="AD477" s="37" t="n"/>
      <c r="AE477" s="38" t="n"/>
      <c r="AF477" s="118">
        <f>IF(OR($B477="",$C477=""),"",$C477-$B477+1)</f>
        <v/>
      </c>
      <c r="AG477" s="74" t="n"/>
      <c r="AH477" s="36" t="n"/>
      <c r="AJ477">
        <f>IF($K477="","",", "&amp;$K477)</f>
        <v/>
      </c>
      <c r="AK477">
        <f>AJ477&amp;IF($L477="","",", "&amp;$L477)</f>
        <v/>
      </c>
      <c r="AL477">
        <f>AK477&amp;IF($M477="","",", "&amp;$M477)</f>
        <v/>
      </c>
      <c r="AM477">
        <f>AL477&amp;IF($N477="","",", "&amp;$N477)</f>
        <v/>
      </c>
      <c r="AN477">
        <f>AM477&amp;IF($O477="","",", "&amp;$O477)</f>
        <v/>
      </c>
      <c r="AO477">
        <f>AN477&amp;IF($P477="","",", "&amp;$P477)</f>
        <v/>
      </c>
      <c r="AP477">
        <f>AO477&amp;IF($Q477="","",", "&amp;$Q477)</f>
        <v/>
      </c>
      <c r="AQ477">
        <f>AP477&amp;IF($R477="","",", "&amp;$R477)</f>
        <v/>
      </c>
      <c r="AR477">
        <f>AQ477&amp;IF($S477="","",", "&amp;$S477)</f>
        <v/>
      </c>
      <c r="AS477">
        <f>AR477&amp;IF($T477="","",", "&amp;$T477)</f>
        <v/>
      </c>
      <c r="AT477">
        <f>AS477&amp;IF($U477="","",", "&amp;$U477)</f>
        <v/>
      </c>
      <c r="AU477">
        <f>AT477&amp;IF($V477="","",", "&amp;$V477)</f>
        <v/>
      </c>
      <c r="AV477">
        <f>AU477&amp;IF($W477="","",", "&amp;$W477)</f>
        <v/>
      </c>
      <c r="AW477">
        <f>AV477&amp;IF($X477="","",", "&amp;$X477)</f>
        <v/>
      </c>
      <c r="AX477">
        <f>AW477&amp;IF($Y477="","",", "&amp;$Y477)</f>
        <v/>
      </c>
    </row>
    <row r="478">
      <c r="A478" s="118">
        <f>IF($B478="","",COUNT($B$5:$B478))</f>
        <v/>
      </c>
      <c r="B478" s="80" t="n"/>
      <c r="C478" s="80" t="n"/>
      <c r="D478" s="74" t="n"/>
      <c r="E478" s="74" t="n"/>
      <c r="F478" s="74" t="n"/>
      <c r="G478" s="118">
        <f>IF($F478="","",COUNTIF($F$5:$F478,$F478))</f>
        <v/>
      </c>
      <c r="H478" s="33">
        <f>IF($F478="","",IFERROR(INDEX(사건마스터!$B$5:$B$64,MATCH($F478,사건마스터!$A$5:$A$64,0)),""))</f>
        <v/>
      </c>
      <c r="I478" s="130">
        <f>IF($F478="","",IFERROR(INDEX(사건마스터!$C$5:$C$64,MATCH($F478,사건마스터!$A$5:$A$64,0)),""))</f>
        <v/>
      </c>
      <c r="J478" s="136">
        <f>IF($F478="","",IFERROR(INDEX(사건마스터!$H$5:$H$64,MATCH($F478,사건마스터!$A$5:$A$64,0)),""))</f>
        <v/>
      </c>
      <c r="K478" s="136">
        <f>IF($F478="","",IFERROR(INDEX(사건마스터!$AH$5:$AH$64,MATCH($F478,사건마스터!$A$5:$A$64,0)),""))</f>
        <v/>
      </c>
      <c r="L478" s="136">
        <f>IF($F478="","",IFERROR(INDEX(사건마스터!$AI$5:$AI$64,MATCH($F478,사건마스터!$A$5:$A$64,0)),""))</f>
        <v/>
      </c>
      <c r="M478" s="136">
        <f>IF($F478="","",IFERROR(INDEX(사건마스터!$AJ$5:$AJ$64,MATCH($F478,사건마스터!$A$5:$A$64,0)),""))</f>
        <v/>
      </c>
      <c r="N478" s="136">
        <f>IF($F478="","",IFERROR(INDEX(사건마스터!$AK$5:$AK$64,MATCH($F478,사건마스터!$A$5:$A$64,0)),""))</f>
        <v/>
      </c>
      <c r="O478" s="136">
        <f>IF($F478="","",IFERROR(INDEX(사건마스터!$AL$5:$AL$64,MATCH($F478,사건마스터!$A$5:$A$64,0)),""))</f>
        <v/>
      </c>
      <c r="P478" s="136">
        <f>IF($F478="","",IFERROR(INDEX(사건마스터!$AM$5:$AM$64,MATCH($F478,사건마스터!$A$5:$A$64,0)),""))</f>
        <v/>
      </c>
      <c r="Q478" s="136">
        <f>IF($F478="","",IFERROR(INDEX(사건마스터!$AN$5:$AN$64,MATCH($F478,사건마스터!$A$5:$A$64,0)),""))</f>
        <v/>
      </c>
      <c r="R478" s="136">
        <f>IF($F478="","",IFERROR(INDEX(사건마스터!$AO$5:$AO$64,MATCH($F478,사건마스터!$A$5:$A$64,0)),""))</f>
        <v/>
      </c>
      <c r="S478" s="136">
        <f>IF($F478="","",IFERROR(INDEX(사건마스터!$AP$5:$AP$64,MATCH($F478,사건마스터!$A$5:$A$64,0)),""))</f>
        <v/>
      </c>
      <c r="T478" s="136">
        <f>IF($F478="","",IFERROR(INDEX(사건마스터!$AQ$5:$AQ$64,MATCH($F478,사건마스터!$A$5:$A$64,0)),""))</f>
        <v/>
      </c>
      <c r="U478" s="136">
        <f>IF($F478="","",IFERROR(INDEX(사건마스터!$AR$5:$AR$64,MATCH($F478,사건마스터!$A$5:$A$64,0)),""))</f>
        <v/>
      </c>
      <c r="V478" s="136">
        <f>IF($F478="","",IFERROR(INDEX(사건마스터!$AS$5:$AS$64,MATCH($F478,사건마스터!$A$5:$A$64,0)),""))</f>
        <v/>
      </c>
      <c r="W478" s="136">
        <f>IF($F478="","",IFERROR(INDEX(사건마스터!$AT$5:$AT$64,MATCH($F478,사건마스터!$A$5:$A$64,0)),""))</f>
        <v/>
      </c>
      <c r="X478" s="136">
        <f>IF($F478="","",IFERROR(INDEX(사건마스터!$AU$5:$AU$64,MATCH($F478,사건마스터!$A$5:$A$64,0)),""))</f>
        <v/>
      </c>
      <c r="Y478" s="136">
        <f>IF($F478="","",IFERROR(INDEX(사건마스터!$AV$5:$AV$64,MATCH($F478,사건마스터!$A$5:$A$64,0)),""))</f>
        <v/>
      </c>
      <c r="Z478" s="118">
        <f>IF(COUNTBLANK($J478:$Y478)=16,"",16-COUNTBLANK($J478:$Y478))</f>
        <v/>
      </c>
      <c r="AA478" s="33">
        <f>IF($J478="",MID($AX478,3,255),$J478&amp;$AX478)</f>
        <v/>
      </c>
      <c r="AB478" s="130">
        <f>IF($J478="","",IFERROR(INDEX(코드설정!$D$5:$D$24,MATCH($J478,코드설정!$C$5:$C$24,0)),""))</f>
        <v/>
      </c>
      <c r="AC478" s="36" t="n"/>
      <c r="AD478" s="37" t="n"/>
      <c r="AE478" s="38" t="n"/>
      <c r="AF478" s="118">
        <f>IF(OR($B478="",$C478=""),"",$C478-$B478+1)</f>
        <v/>
      </c>
      <c r="AG478" s="74" t="n"/>
      <c r="AH478" s="36" t="n"/>
      <c r="AJ478">
        <f>IF($K478="","",", "&amp;$K478)</f>
        <v/>
      </c>
      <c r="AK478">
        <f>AJ478&amp;IF($L478="","",", "&amp;$L478)</f>
        <v/>
      </c>
      <c r="AL478">
        <f>AK478&amp;IF($M478="","",", "&amp;$M478)</f>
        <v/>
      </c>
      <c r="AM478">
        <f>AL478&amp;IF($N478="","",", "&amp;$N478)</f>
        <v/>
      </c>
      <c r="AN478">
        <f>AM478&amp;IF($O478="","",", "&amp;$O478)</f>
        <v/>
      </c>
      <c r="AO478">
        <f>AN478&amp;IF($P478="","",", "&amp;$P478)</f>
        <v/>
      </c>
      <c r="AP478">
        <f>AO478&amp;IF($Q478="","",", "&amp;$Q478)</f>
        <v/>
      </c>
      <c r="AQ478">
        <f>AP478&amp;IF($R478="","",", "&amp;$R478)</f>
        <v/>
      </c>
      <c r="AR478">
        <f>AQ478&amp;IF($S478="","",", "&amp;$S478)</f>
        <v/>
      </c>
      <c r="AS478">
        <f>AR478&amp;IF($T478="","",", "&amp;$T478)</f>
        <v/>
      </c>
      <c r="AT478">
        <f>AS478&amp;IF($U478="","",", "&amp;$U478)</f>
        <v/>
      </c>
      <c r="AU478">
        <f>AT478&amp;IF($V478="","",", "&amp;$V478)</f>
        <v/>
      </c>
      <c r="AV478">
        <f>AU478&amp;IF($W478="","",", "&amp;$W478)</f>
        <v/>
      </c>
      <c r="AW478">
        <f>AV478&amp;IF($X478="","",", "&amp;$X478)</f>
        <v/>
      </c>
      <c r="AX478">
        <f>AW478&amp;IF($Y478="","",", "&amp;$Y478)</f>
        <v/>
      </c>
    </row>
    <row r="479">
      <c r="A479" s="118">
        <f>IF($B479="","",COUNT($B$5:$B479))</f>
        <v/>
      </c>
      <c r="B479" s="80" t="n"/>
      <c r="C479" s="80" t="n"/>
      <c r="D479" s="74" t="n"/>
      <c r="E479" s="74" t="n"/>
      <c r="F479" s="74" t="n"/>
      <c r="G479" s="118">
        <f>IF($F479="","",COUNTIF($F$5:$F479,$F479))</f>
        <v/>
      </c>
      <c r="H479" s="33">
        <f>IF($F479="","",IFERROR(INDEX(사건마스터!$B$5:$B$64,MATCH($F479,사건마스터!$A$5:$A$64,0)),""))</f>
        <v/>
      </c>
      <c r="I479" s="130">
        <f>IF($F479="","",IFERROR(INDEX(사건마스터!$C$5:$C$64,MATCH($F479,사건마스터!$A$5:$A$64,0)),""))</f>
        <v/>
      </c>
      <c r="J479" s="136">
        <f>IF($F479="","",IFERROR(INDEX(사건마스터!$H$5:$H$64,MATCH($F479,사건마스터!$A$5:$A$64,0)),""))</f>
        <v/>
      </c>
      <c r="K479" s="136">
        <f>IF($F479="","",IFERROR(INDEX(사건마스터!$AH$5:$AH$64,MATCH($F479,사건마스터!$A$5:$A$64,0)),""))</f>
        <v/>
      </c>
      <c r="L479" s="136">
        <f>IF($F479="","",IFERROR(INDEX(사건마스터!$AI$5:$AI$64,MATCH($F479,사건마스터!$A$5:$A$64,0)),""))</f>
        <v/>
      </c>
      <c r="M479" s="136">
        <f>IF($F479="","",IFERROR(INDEX(사건마스터!$AJ$5:$AJ$64,MATCH($F479,사건마스터!$A$5:$A$64,0)),""))</f>
        <v/>
      </c>
      <c r="N479" s="136">
        <f>IF($F479="","",IFERROR(INDEX(사건마스터!$AK$5:$AK$64,MATCH($F479,사건마스터!$A$5:$A$64,0)),""))</f>
        <v/>
      </c>
      <c r="O479" s="136">
        <f>IF($F479="","",IFERROR(INDEX(사건마스터!$AL$5:$AL$64,MATCH($F479,사건마스터!$A$5:$A$64,0)),""))</f>
        <v/>
      </c>
      <c r="P479" s="136">
        <f>IF($F479="","",IFERROR(INDEX(사건마스터!$AM$5:$AM$64,MATCH($F479,사건마스터!$A$5:$A$64,0)),""))</f>
        <v/>
      </c>
      <c r="Q479" s="136">
        <f>IF($F479="","",IFERROR(INDEX(사건마스터!$AN$5:$AN$64,MATCH($F479,사건마스터!$A$5:$A$64,0)),""))</f>
        <v/>
      </c>
      <c r="R479" s="136">
        <f>IF($F479="","",IFERROR(INDEX(사건마스터!$AO$5:$AO$64,MATCH($F479,사건마스터!$A$5:$A$64,0)),""))</f>
        <v/>
      </c>
      <c r="S479" s="136">
        <f>IF($F479="","",IFERROR(INDEX(사건마스터!$AP$5:$AP$64,MATCH($F479,사건마스터!$A$5:$A$64,0)),""))</f>
        <v/>
      </c>
      <c r="T479" s="136">
        <f>IF($F479="","",IFERROR(INDEX(사건마스터!$AQ$5:$AQ$64,MATCH($F479,사건마스터!$A$5:$A$64,0)),""))</f>
        <v/>
      </c>
      <c r="U479" s="136">
        <f>IF($F479="","",IFERROR(INDEX(사건마스터!$AR$5:$AR$64,MATCH($F479,사건마스터!$A$5:$A$64,0)),""))</f>
        <v/>
      </c>
      <c r="V479" s="136">
        <f>IF($F479="","",IFERROR(INDEX(사건마스터!$AS$5:$AS$64,MATCH($F479,사건마스터!$A$5:$A$64,0)),""))</f>
        <v/>
      </c>
      <c r="W479" s="136">
        <f>IF($F479="","",IFERROR(INDEX(사건마스터!$AT$5:$AT$64,MATCH($F479,사건마스터!$A$5:$A$64,0)),""))</f>
        <v/>
      </c>
      <c r="X479" s="136">
        <f>IF($F479="","",IFERROR(INDEX(사건마스터!$AU$5:$AU$64,MATCH($F479,사건마스터!$A$5:$A$64,0)),""))</f>
        <v/>
      </c>
      <c r="Y479" s="136">
        <f>IF($F479="","",IFERROR(INDEX(사건마스터!$AV$5:$AV$64,MATCH($F479,사건마스터!$A$5:$A$64,0)),""))</f>
        <v/>
      </c>
      <c r="Z479" s="118">
        <f>IF(COUNTBLANK($J479:$Y479)=16,"",16-COUNTBLANK($J479:$Y479))</f>
        <v/>
      </c>
      <c r="AA479" s="33">
        <f>IF($J479="",MID($AX479,3,255),$J479&amp;$AX479)</f>
        <v/>
      </c>
      <c r="AB479" s="130">
        <f>IF($J479="","",IFERROR(INDEX(코드설정!$D$5:$D$24,MATCH($J479,코드설정!$C$5:$C$24,0)),""))</f>
        <v/>
      </c>
      <c r="AC479" s="36" t="n"/>
      <c r="AD479" s="37" t="n"/>
      <c r="AE479" s="38" t="n"/>
      <c r="AF479" s="118">
        <f>IF(OR($B479="",$C479=""),"",$C479-$B479+1)</f>
        <v/>
      </c>
      <c r="AG479" s="74" t="n"/>
      <c r="AH479" s="36" t="n"/>
      <c r="AJ479">
        <f>IF($K479="","",", "&amp;$K479)</f>
        <v/>
      </c>
      <c r="AK479">
        <f>AJ479&amp;IF($L479="","",", "&amp;$L479)</f>
        <v/>
      </c>
      <c r="AL479">
        <f>AK479&amp;IF($M479="","",", "&amp;$M479)</f>
        <v/>
      </c>
      <c r="AM479">
        <f>AL479&amp;IF($N479="","",", "&amp;$N479)</f>
        <v/>
      </c>
      <c r="AN479">
        <f>AM479&amp;IF($O479="","",", "&amp;$O479)</f>
        <v/>
      </c>
      <c r="AO479">
        <f>AN479&amp;IF($P479="","",", "&amp;$P479)</f>
        <v/>
      </c>
      <c r="AP479">
        <f>AO479&amp;IF($Q479="","",", "&amp;$Q479)</f>
        <v/>
      </c>
      <c r="AQ479">
        <f>AP479&amp;IF($R479="","",", "&amp;$R479)</f>
        <v/>
      </c>
      <c r="AR479">
        <f>AQ479&amp;IF($S479="","",", "&amp;$S479)</f>
        <v/>
      </c>
      <c r="AS479">
        <f>AR479&amp;IF($T479="","",", "&amp;$T479)</f>
        <v/>
      </c>
      <c r="AT479">
        <f>AS479&amp;IF($U479="","",", "&amp;$U479)</f>
        <v/>
      </c>
      <c r="AU479">
        <f>AT479&amp;IF($V479="","",", "&amp;$V479)</f>
        <v/>
      </c>
      <c r="AV479">
        <f>AU479&amp;IF($W479="","",", "&amp;$W479)</f>
        <v/>
      </c>
      <c r="AW479">
        <f>AV479&amp;IF($X479="","",", "&amp;$X479)</f>
        <v/>
      </c>
      <c r="AX479">
        <f>AW479&amp;IF($Y479="","",", "&amp;$Y479)</f>
        <v/>
      </c>
    </row>
    <row r="480">
      <c r="A480" s="118">
        <f>IF($B480="","",COUNT($B$5:$B480))</f>
        <v/>
      </c>
      <c r="B480" s="80" t="n"/>
      <c r="C480" s="80" t="n"/>
      <c r="D480" s="74" t="n"/>
      <c r="E480" s="74" t="n"/>
      <c r="F480" s="74" t="n"/>
      <c r="G480" s="118">
        <f>IF($F480="","",COUNTIF($F$5:$F480,$F480))</f>
        <v/>
      </c>
      <c r="H480" s="33">
        <f>IF($F480="","",IFERROR(INDEX(사건마스터!$B$5:$B$64,MATCH($F480,사건마스터!$A$5:$A$64,0)),""))</f>
        <v/>
      </c>
      <c r="I480" s="130">
        <f>IF($F480="","",IFERROR(INDEX(사건마스터!$C$5:$C$64,MATCH($F480,사건마스터!$A$5:$A$64,0)),""))</f>
        <v/>
      </c>
      <c r="J480" s="136">
        <f>IF($F480="","",IFERROR(INDEX(사건마스터!$H$5:$H$64,MATCH($F480,사건마스터!$A$5:$A$64,0)),""))</f>
        <v/>
      </c>
      <c r="K480" s="136">
        <f>IF($F480="","",IFERROR(INDEX(사건마스터!$AH$5:$AH$64,MATCH($F480,사건마스터!$A$5:$A$64,0)),""))</f>
        <v/>
      </c>
      <c r="L480" s="136">
        <f>IF($F480="","",IFERROR(INDEX(사건마스터!$AI$5:$AI$64,MATCH($F480,사건마스터!$A$5:$A$64,0)),""))</f>
        <v/>
      </c>
      <c r="M480" s="136">
        <f>IF($F480="","",IFERROR(INDEX(사건마스터!$AJ$5:$AJ$64,MATCH($F480,사건마스터!$A$5:$A$64,0)),""))</f>
        <v/>
      </c>
      <c r="N480" s="136">
        <f>IF($F480="","",IFERROR(INDEX(사건마스터!$AK$5:$AK$64,MATCH($F480,사건마스터!$A$5:$A$64,0)),""))</f>
        <v/>
      </c>
      <c r="O480" s="136">
        <f>IF($F480="","",IFERROR(INDEX(사건마스터!$AL$5:$AL$64,MATCH($F480,사건마스터!$A$5:$A$64,0)),""))</f>
        <v/>
      </c>
      <c r="P480" s="136">
        <f>IF($F480="","",IFERROR(INDEX(사건마스터!$AM$5:$AM$64,MATCH($F480,사건마스터!$A$5:$A$64,0)),""))</f>
        <v/>
      </c>
      <c r="Q480" s="136">
        <f>IF($F480="","",IFERROR(INDEX(사건마스터!$AN$5:$AN$64,MATCH($F480,사건마스터!$A$5:$A$64,0)),""))</f>
        <v/>
      </c>
      <c r="R480" s="136">
        <f>IF($F480="","",IFERROR(INDEX(사건마스터!$AO$5:$AO$64,MATCH($F480,사건마스터!$A$5:$A$64,0)),""))</f>
        <v/>
      </c>
      <c r="S480" s="136">
        <f>IF($F480="","",IFERROR(INDEX(사건마스터!$AP$5:$AP$64,MATCH($F480,사건마스터!$A$5:$A$64,0)),""))</f>
        <v/>
      </c>
      <c r="T480" s="136">
        <f>IF($F480="","",IFERROR(INDEX(사건마스터!$AQ$5:$AQ$64,MATCH($F480,사건마스터!$A$5:$A$64,0)),""))</f>
        <v/>
      </c>
      <c r="U480" s="136">
        <f>IF($F480="","",IFERROR(INDEX(사건마스터!$AR$5:$AR$64,MATCH($F480,사건마스터!$A$5:$A$64,0)),""))</f>
        <v/>
      </c>
      <c r="V480" s="136">
        <f>IF($F480="","",IFERROR(INDEX(사건마스터!$AS$5:$AS$64,MATCH($F480,사건마스터!$A$5:$A$64,0)),""))</f>
        <v/>
      </c>
      <c r="W480" s="136">
        <f>IF($F480="","",IFERROR(INDEX(사건마스터!$AT$5:$AT$64,MATCH($F480,사건마스터!$A$5:$A$64,0)),""))</f>
        <v/>
      </c>
      <c r="X480" s="136">
        <f>IF($F480="","",IFERROR(INDEX(사건마스터!$AU$5:$AU$64,MATCH($F480,사건마스터!$A$5:$A$64,0)),""))</f>
        <v/>
      </c>
      <c r="Y480" s="136">
        <f>IF($F480="","",IFERROR(INDEX(사건마스터!$AV$5:$AV$64,MATCH($F480,사건마스터!$A$5:$A$64,0)),""))</f>
        <v/>
      </c>
      <c r="Z480" s="118">
        <f>IF(COUNTBLANK($J480:$Y480)=16,"",16-COUNTBLANK($J480:$Y480))</f>
        <v/>
      </c>
      <c r="AA480" s="33">
        <f>IF($J480="",MID($AX480,3,255),$J480&amp;$AX480)</f>
        <v/>
      </c>
      <c r="AB480" s="130">
        <f>IF($J480="","",IFERROR(INDEX(코드설정!$D$5:$D$24,MATCH($J480,코드설정!$C$5:$C$24,0)),""))</f>
        <v/>
      </c>
      <c r="AC480" s="36" t="n"/>
      <c r="AD480" s="37" t="n"/>
      <c r="AE480" s="38" t="n"/>
      <c r="AF480" s="118">
        <f>IF(OR($B480="",$C480=""),"",$C480-$B480+1)</f>
        <v/>
      </c>
      <c r="AG480" s="74" t="n"/>
      <c r="AH480" s="36" t="n"/>
      <c r="AJ480">
        <f>IF($K480="","",", "&amp;$K480)</f>
        <v/>
      </c>
      <c r="AK480">
        <f>AJ480&amp;IF($L480="","",", "&amp;$L480)</f>
        <v/>
      </c>
      <c r="AL480">
        <f>AK480&amp;IF($M480="","",", "&amp;$M480)</f>
        <v/>
      </c>
      <c r="AM480">
        <f>AL480&amp;IF($N480="","",", "&amp;$N480)</f>
        <v/>
      </c>
      <c r="AN480">
        <f>AM480&amp;IF($O480="","",", "&amp;$O480)</f>
        <v/>
      </c>
      <c r="AO480">
        <f>AN480&amp;IF($P480="","",", "&amp;$P480)</f>
        <v/>
      </c>
      <c r="AP480">
        <f>AO480&amp;IF($Q480="","",", "&amp;$Q480)</f>
        <v/>
      </c>
      <c r="AQ480">
        <f>AP480&amp;IF($R480="","",", "&amp;$R480)</f>
        <v/>
      </c>
      <c r="AR480">
        <f>AQ480&amp;IF($S480="","",", "&amp;$S480)</f>
        <v/>
      </c>
      <c r="AS480">
        <f>AR480&amp;IF($T480="","",", "&amp;$T480)</f>
        <v/>
      </c>
      <c r="AT480">
        <f>AS480&amp;IF($U480="","",", "&amp;$U480)</f>
        <v/>
      </c>
      <c r="AU480">
        <f>AT480&amp;IF($V480="","",", "&amp;$V480)</f>
        <v/>
      </c>
      <c r="AV480">
        <f>AU480&amp;IF($W480="","",", "&amp;$W480)</f>
        <v/>
      </c>
      <c r="AW480">
        <f>AV480&amp;IF($X480="","",", "&amp;$X480)</f>
        <v/>
      </c>
      <c r="AX480">
        <f>AW480&amp;IF($Y480="","",", "&amp;$Y480)</f>
        <v/>
      </c>
    </row>
    <row r="481">
      <c r="A481" s="118">
        <f>IF($B481="","",COUNT($B$5:$B481))</f>
        <v/>
      </c>
      <c r="B481" s="80" t="n"/>
      <c r="C481" s="80" t="n"/>
      <c r="D481" s="74" t="n"/>
      <c r="E481" s="74" t="n"/>
      <c r="F481" s="74" t="n"/>
      <c r="G481" s="118">
        <f>IF($F481="","",COUNTIF($F$5:$F481,$F481))</f>
        <v/>
      </c>
      <c r="H481" s="33">
        <f>IF($F481="","",IFERROR(INDEX(사건마스터!$B$5:$B$64,MATCH($F481,사건마스터!$A$5:$A$64,0)),""))</f>
        <v/>
      </c>
      <c r="I481" s="130">
        <f>IF($F481="","",IFERROR(INDEX(사건마스터!$C$5:$C$64,MATCH($F481,사건마스터!$A$5:$A$64,0)),""))</f>
        <v/>
      </c>
      <c r="J481" s="136">
        <f>IF($F481="","",IFERROR(INDEX(사건마스터!$H$5:$H$64,MATCH($F481,사건마스터!$A$5:$A$64,0)),""))</f>
        <v/>
      </c>
      <c r="K481" s="136">
        <f>IF($F481="","",IFERROR(INDEX(사건마스터!$AH$5:$AH$64,MATCH($F481,사건마스터!$A$5:$A$64,0)),""))</f>
        <v/>
      </c>
      <c r="L481" s="136">
        <f>IF($F481="","",IFERROR(INDEX(사건마스터!$AI$5:$AI$64,MATCH($F481,사건마스터!$A$5:$A$64,0)),""))</f>
        <v/>
      </c>
      <c r="M481" s="136">
        <f>IF($F481="","",IFERROR(INDEX(사건마스터!$AJ$5:$AJ$64,MATCH($F481,사건마스터!$A$5:$A$64,0)),""))</f>
        <v/>
      </c>
      <c r="N481" s="136">
        <f>IF($F481="","",IFERROR(INDEX(사건마스터!$AK$5:$AK$64,MATCH($F481,사건마스터!$A$5:$A$64,0)),""))</f>
        <v/>
      </c>
      <c r="O481" s="136">
        <f>IF($F481="","",IFERROR(INDEX(사건마스터!$AL$5:$AL$64,MATCH($F481,사건마스터!$A$5:$A$64,0)),""))</f>
        <v/>
      </c>
      <c r="P481" s="136">
        <f>IF($F481="","",IFERROR(INDEX(사건마스터!$AM$5:$AM$64,MATCH($F481,사건마스터!$A$5:$A$64,0)),""))</f>
        <v/>
      </c>
      <c r="Q481" s="136">
        <f>IF($F481="","",IFERROR(INDEX(사건마스터!$AN$5:$AN$64,MATCH($F481,사건마스터!$A$5:$A$64,0)),""))</f>
        <v/>
      </c>
      <c r="R481" s="136">
        <f>IF($F481="","",IFERROR(INDEX(사건마스터!$AO$5:$AO$64,MATCH($F481,사건마스터!$A$5:$A$64,0)),""))</f>
        <v/>
      </c>
      <c r="S481" s="136">
        <f>IF($F481="","",IFERROR(INDEX(사건마스터!$AP$5:$AP$64,MATCH($F481,사건마스터!$A$5:$A$64,0)),""))</f>
        <v/>
      </c>
      <c r="T481" s="136">
        <f>IF($F481="","",IFERROR(INDEX(사건마스터!$AQ$5:$AQ$64,MATCH($F481,사건마스터!$A$5:$A$64,0)),""))</f>
        <v/>
      </c>
      <c r="U481" s="136">
        <f>IF($F481="","",IFERROR(INDEX(사건마스터!$AR$5:$AR$64,MATCH($F481,사건마스터!$A$5:$A$64,0)),""))</f>
        <v/>
      </c>
      <c r="V481" s="136">
        <f>IF($F481="","",IFERROR(INDEX(사건마스터!$AS$5:$AS$64,MATCH($F481,사건마스터!$A$5:$A$64,0)),""))</f>
        <v/>
      </c>
      <c r="W481" s="136">
        <f>IF($F481="","",IFERROR(INDEX(사건마스터!$AT$5:$AT$64,MATCH($F481,사건마스터!$A$5:$A$64,0)),""))</f>
        <v/>
      </c>
      <c r="X481" s="136">
        <f>IF($F481="","",IFERROR(INDEX(사건마스터!$AU$5:$AU$64,MATCH($F481,사건마스터!$A$5:$A$64,0)),""))</f>
        <v/>
      </c>
      <c r="Y481" s="136">
        <f>IF($F481="","",IFERROR(INDEX(사건마스터!$AV$5:$AV$64,MATCH($F481,사건마스터!$A$5:$A$64,0)),""))</f>
        <v/>
      </c>
      <c r="Z481" s="118">
        <f>IF(COUNTBLANK($J481:$Y481)=16,"",16-COUNTBLANK($J481:$Y481))</f>
        <v/>
      </c>
      <c r="AA481" s="33">
        <f>IF($J481="",MID($AX481,3,255),$J481&amp;$AX481)</f>
        <v/>
      </c>
      <c r="AB481" s="130">
        <f>IF($J481="","",IFERROR(INDEX(코드설정!$D$5:$D$24,MATCH($J481,코드설정!$C$5:$C$24,0)),""))</f>
        <v/>
      </c>
      <c r="AC481" s="36" t="n"/>
      <c r="AD481" s="37" t="n"/>
      <c r="AE481" s="38" t="n"/>
      <c r="AF481" s="118">
        <f>IF(OR($B481="",$C481=""),"",$C481-$B481+1)</f>
        <v/>
      </c>
      <c r="AG481" s="74" t="n"/>
      <c r="AH481" s="36" t="n"/>
      <c r="AJ481">
        <f>IF($K481="","",", "&amp;$K481)</f>
        <v/>
      </c>
      <c r="AK481">
        <f>AJ481&amp;IF($L481="","",", "&amp;$L481)</f>
        <v/>
      </c>
      <c r="AL481">
        <f>AK481&amp;IF($M481="","",", "&amp;$M481)</f>
        <v/>
      </c>
      <c r="AM481">
        <f>AL481&amp;IF($N481="","",", "&amp;$N481)</f>
        <v/>
      </c>
      <c r="AN481">
        <f>AM481&amp;IF($O481="","",", "&amp;$O481)</f>
        <v/>
      </c>
      <c r="AO481">
        <f>AN481&amp;IF($P481="","",", "&amp;$P481)</f>
        <v/>
      </c>
      <c r="AP481">
        <f>AO481&amp;IF($Q481="","",", "&amp;$Q481)</f>
        <v/>
      </c>
      <c r="AQ481">
        <f>AP481&amp;IF($R481="","",", "&amp;$R481)</f>
        <v/>
      </c>
      <c r="AR481">
        <f>AQ481&amp;IF($S481="","",", "&amp;$S481)</f>
        <v/>
      </c>
      <c r="AS481">
        <f>AR481&amp;IF($T481="","",", "&amp;$T481)</f>
        <v/>
      </c>
      <c r="AT481">
        <f>AS481&amp;IF($U481="","",", "&amp;$U481)</f>
        <v/>
      </c>
      <c r="AU481">
        <f>AT481&amp;IF($V481="","",", "&amp;$V481)</f>
        <v/>
      </c>
      <c r="AV481">
        <f>AU481&amp;IF($W481="","",", "&amp;$W481)</f>
        <v/>
      </c>
      <c r="AW481">
        <f>AV481&amp;IF($X481="","",", "&amp;$X481)</f>
        <v/>
      </c>
      <c r="AX481">
        <f>AW481&amp;IF($Y481="","",", "&amp;$Y481)</f>
        <v/>
      </c>
    </row>
    <row r="482">
      <c r="A482" s="118">
        <f>IF($B482="","",COUNT($B$5:$B482))</f>
        <v/>
      </c>
      <c r="B482" s="80" t="n"/>
      <c r="C482" s="80" t="n"/>
      <c r="D482" s="74" t="n"/>
      <c r="E482" s="74" t="n"/>
      <c r="F482" s="74" t="n"/>
      <c r="G482" s="118">
        <f>IF($F482="","",COUNTIF($F$5:$F482,$F482))</f>
        <v/>
      </c>
      <c r="H482" s="33">
        <f>IF($F482="","",IFERROR(INDEX(사건마스터!$B$5:$B$64,MATCH($F482,사건마스터!$A$5:$A$64,0)),""))</f>
        <v/>
      </c>
      <c r="I482" s="130">
        <f>IF($F482="","",IFERROR(INDEX(사건마스터!$C$5:$C$64,MATCH($F482,사건마스터!$A$5:$A$64,0)),""))</f>
        <v/>
      </c>
      <c r="J482" s="136">
        <f>IF($F482="","",IFERROR(INDEX(사건마스터!$H$5:$H$64,MATCH($F482,사건마스터!$A$5:$A$64,0)),""))</f>
        <v/>
      </c>
      <c r="K482" s="136">
        <f>IF($F482="","",IFERROR(INDEX(사건마스터!$AH$5:$AH$64,MATCH($F482,사건마스터!$A$5:$A$64,0)),""))</f>
        <v/>
      </c>
      <c r="L482" s="136">
        <f>IF($F482="","",IFERROR(INDEX(사건마스터!$AI$5:$AI$64,MATCH($F482,사건마스터!$A$5:$A$64,0)),""))</f>
        <v/>
      </c>
      <c r="M482" s="136">
        <f>IF($F482="","",IFERROR(INDEX(사건마스터!$AJ$5:$AJ$64,MATCH($F482,사건마스터!$A$5:$A$64,0)),""))</f>
        <v/>
      </c>
      <c r="N482" s="136">
        <f>IF($F482="","",IFERROR(INDEX(사건마스터!$AK$5:$AK$64,MATCH($F482,사건마스터!$A$5:$A$64,0)),""))</f>
        <v/>
      </c>
      <c r="O482" s="136">
        <f>IF($F482="","",IFERROR(INDEX(사건마스터!$AL$5:$AL$64,MATCH($F482,사건마스터!$A$5:$A$64,0)),""))</f>
        <v/>
      </c>
      <c r="P482" s="136">
        <f>IF($F482="","",IFERROR(INDEX(사건마스터!$AM$5:$AM$64,MATCH($F482,사건마스터!$A$5:$A$64,0)),""))</f>
        <v/>
      </c>
      <c r="Q482" s="136">
        <f>IF($F482="","",IFERROR(INDEX(사건마스터!$AN$5:$AN$64,MATCH($F482,사건마스터!$A$5:$A$64,0)),""))</f>
        <v/>
      </c>
      <c r="R482" s="136">
        <f>IF($F482="","",IFERROR(INDEX(사건마스터!$AO$5:$AO$64,MATCH($F482,사건마스터!$A$5:$A$64,0)),""))</f>
        <v/>
      </c>
      <c r="S482" s="136">
        <f>IF($F482="","",IFERROR(INDEX(사건마스터!$AP$5:$AP$64,MATCH($F482,사건마스터!$A$5:$A$64,0)),""))</f>
        <v/>
      </c>
      <c r="T482" s="136">
        <f>IF($F482="","",IFERROR(INDEX(사건마스터!$AQ$5:$AQ$64,MATCH($F482,사건마스터!$A$5:$A$64,0)),""))</f>
        <v/>
      </c>
      <c r="U482" s="136">
        <f>IF($F482="","",IFERROR(INDEX(사건마스터!$AR$5:$AR$64,MATCH($F482,사건마스터!$A$5:$A$64,0)),""))</f>
        <v/>
      </c>
      <c r="V482" s="136">
        <f>IF($F482="","",IFERROR(INDEX(사건마스터!$AS$5:$AS$64,MATCH($F482,사건마스터!$A$5:$A$64,0)),""))</f>
        <v/>
      </c>
      <c r="W482" s="136">
        <f>IF($F482="","",IFERROR(INDEX(사건마스터!$AT$5:$AT$64,MATCH($F482,사건마스터!$A$5:$A$64,0)),""))</f>
        <v/>
      </c>
      <c r="X482" s="136">
        <f>IF($F482="","",IFERROR(INDEX(사건마스터!$AU$5:$AU$64,MATCH($F482,사건마스터!$A$5:$A$64,0)),""))</f>
        <v/>
      </c>
      <c r="Y482" s="136">
        <f>IF($F482="","",IFERROR(INDEX(사건마스터!$AV$5:$AV$64,MATCH($F482,사건마스터!$A$5:$A$64,0)),""))</f>
        <v/>
      </c>
      <c r="Z482" s="118">
        <f>IF(COUNTBLANK($J482:$Y482)=16,"",16-COUNTBLANK($J482:$Y482))</f>
        <v/>
      </c>
      <c r="AA482" s="33">
        <f>IF($J482="",MID($AX482,3,255),$J482&amp;$AX482)</f>
        <v/>
      </c>
      <c r="AB482" s="130">
        <f>IF($J482="","",IFERROR(INDEX(코드설정!$D$5:$D$24,MATCH($J482,코드설정!$C$5:$C$24,0)),""))</f>
        <v/>
      </c>
      <c r="AC482" s="36" t="n"/>
      <c r="AD482" s="37" t="n"/>
      <c r="AE482" s="38" t="n"/>
      <c r="AF482" s="118">
        <f>IF(OR($B482="",$C482=""),"",$C482-$B482+1)</f>
        <v/>
      </c>
      <c r="AG482" s="74" t="n"/>
      <c r="AH482" s="36" t="n"/>
      <c r="AJ482">
        <f>IF($K482="","",", "&amp;$K482)</f>
        <v/>
      </c>
      <c r="AK482">
        <f>AJ482&amp;IF($L482="","",", "&amp;$L482)</f>
        <v/>
      </c>
      <c r="AL482">
        <f>AK482&amp;IF($M482="","",", "&amp;$M482)</f>
        <v/>
      </c>
      <c r="AM482">
        <f>AL482&amp;IF($N482="","",", "&amp;$N482)</f>
        <v/>
      </c>
      <c r="AN482">
        <f>AM482&amp;IF($O482="","",", "&amp;$O482)</f>
        <v/>
      </c>
      <c r="AO482">
        <f>AN482&amp;IF($P482="","",", "&amp;$P482)</f>
        <v/>
      </c>
      <c r="AP482">
        <f>AO482&amp;IF($Q482="","",", "&amp;$Q482)</f>
        <v/>
      </c>
      <c r="AQ482">
        <f>AP482&amp;IF($R482="","",", "&amp;$R482)</f>
        <v/>
      </c>
      <c r="AR482">
        <f>AQ482&amp;IF($S482="","",", "&amp;$S482)</f>
        <v/>
      </c>
      <c r="AS482">
        <f>AR482&amp;IF($T482="","",", "&amp;$T482)</f>
        <v/>
      </c>
      <c r="AT482">
        <f>AS482&amp;IF($U482="","",", "&amp;$U482)</f>
        <v/>
      </c>
      <c r="AU482">
        <f>AT482&amp;IF($V482="","",", "&amp;$V482)</f>
        <v/>
      </c>
      <c r="AV482">
        <f>AU482&amp;IF($W482="","",", "&amp;$W482)</f>
        <v/>
      </c>
      <c r="AW482">
        <f>AV482&amp;IF($X482="","",", "&amp;$X482)</f>
        <v/>
      </c>
      <c r="AX482">
        <f>AW482&amp;IF($Y482="","",", "&amp;$Y482)</f>
        <v/>
      </c>
    </row>
    <row r="483">
      <c r="A483" s="118">
        <f>IF($B483="","",COUNT($B$5:$B483))</f>
        <v/>
      </c>
      <c r="B483" s="80" t="n"/>
      <c r="C483" s="80" t="n"/>
      <c r="D483" s="74" t="n"/>
      <c r="E483" s="74" t="n"/>
      <c r="F483" s="74" t="n"/>
      <c r="G483" s="118">
        <f>IF($F483="","",COUNTIF($F$5:$F483,$F483))</f>
        <v/>
      </c>
      <c r="H483" s="33">
        <f>IF($F483="","",IFERROR(INDEX(사건마스터!$B$5:$B$64,MATCH($F483,사건마스터!$A$5:$A$64,0)),""))</f>
        <v/>
      </c>
      <c r="I483" s="130">
        <f>IF($F483="","",IFERROR(INDEX(사건마스터!$C$5:$C$64,MATCH($F483,사건마스터!$A$5:$A$64,0)),""))</f>
        <v/>
      </c>
      <c r="J483" s="136">
        <f>IF($F483="","",IFERROR(INDEX(사건마스터!$H$5:$H$64,MATCH($F483,사건마스터!$A$5:$A$64,0)),""))</f>
        <v/>
      </c>
      <c r="K483" s="136">
        <f>IF($F483="","",IFERROR(INDEX(사건마스터!$AH$5:$AH$64,MATCH($F483,사건마스터!$A$5:$A$64,0)),""))</f>
        <v/>
      </c>
      <c r="L483" s="136">
        <f>IF($F483="","",IFERROR(INDEX(사건마스터!$AI$5:$AI$64,MATCH($F483,사건마스터!$A$5:$A$64,0)),""))</f>
        <v/>
      </c>
      <c r="M483" s="136">
        <f>IF($F483="","",IFERROR(INDEX(사건마스터!$AJ$5:$AJ$64,MATCH($F483,사건마스터!$A$5:$A$64,0)),""))</f>
        <v/>
      </c>
      <c r="N483" s="136">
        <f>IF($F483="","",IFERROR(INDEX(사건마스터!$AK$5:$AK$64,MATCH($F483,사건마스터!$A$5:$A$64,0)),""))</f>
        <v/>
      </c>
      <c r="O483" s="136">
        <f>IF($F483="","",IFERROR(INDEX(사건마스터!$AL$5:$AL$64,MATCH($F483,사건마스터!$A$5:$A$64,0)),""))</f>
        <v/>
      </c>
      <c r="P483" s="136">
        <f>IF($F483="","",IFERROR(INDEX(사건마스터!$AM$5:$AM$64,MATCH($F483,사건마스터!$A$5:$A$64,0)),""))</f>
        <v/>
      </c>
      <c r="Q483" s="136">
        <f>IF($F483="","",IFERROR(INDEX(사건마스터!$AN$5:$AN$64,MATCH($F483,사건마스터!$A$5:$A$64,0)),""))</f>
        <v/>
      </c>
      <c r="R483" s="136">
        <f>IF($F483="","",IFERROR(INDEX(사건마스터!$AO$5:$AO$64,MATCH($F483,사건마스터!$A$5:$A$64,0)),""))</f>
        <v/>
      </c>
      <c r="S483" s="136">
        <f>IF($F483="","",IFERROR(INDEX(사건마스터!$AP$5:$AP$64,MATCH($F483,사건마스터!$A$5:$A$64,0)),""))</f>
        <v/>
      </c>
      <c r="T483" s="136">
        <f>IF($F483="","",IFERROR(INDEX(사건마스터!$AQ$5:$AQ$64,MATCH($F483,사건마스터!$A$5:$A$64,0)),""))</f>
        <v/>
      </c>
      <c r="U483" s="136">
        <f>IF($F483="","",IFERROR(INDEX(사건마스터!$AR$5:$AR$64,MATCH($F483,사건마스터!$A$5:$A$64,0)),""))</f>
        <v/>
      </c>
      <c r="V483" s="136">
        <f>IF($F483="","",IFERROR(INDEX(사건마스터!$AS$5:$AS$64,MATCH($F483,사건마스터!$A$5:$A$64,0)),""))</f>
        <v/>
      </c>
      <c r="W483" s="136">
        <f>IF($F483="","",IFERROR(INDEX(사건마스터!$AT$5:$AT$64,MATCH($F483,사건마스터!$A$5:$A$64,0)),""))</f>
        <v/>
      </c>
      <c r="X483" s="136">
        <f>IF($F483="","",IFERROR(INDEX(사건마스터!$AU$5:$AU$64,MATCH($F483,사건마스터!$A$5:$A$64,0)),""))</f>
        <v/>
      </c>
      <c r="Y483" s="136">
        <f>IF($F483="","",IFERROR(INDEX(사건마스터!$AV$5:$AV$64,MATCH($F483,사건마스터!$A$5:$A$64,0)),""))</f>
        <v/>
      </c>
      <c r="Z483" s="118">
        <f>IF(COUNTBLANK($J483:$Y483)=16,"",16-COUNTBLANK($J483:$Y483))</f>
        <v/>
      </c>
      <c r="AA483" s="33">
        <f>IF($J483="",MID($AX483,3,255),$J483&amp;$AX483)</f>
        <v/>
      </c>
      <c r="AB483" s="130">
        <f>IF($J483="","",IFERROR(INDEX(코드설정!$D$5:$D$24,MATCH($J483,코드설정!$C$5:$C$24,0)),""))</f>
        <v/>
      </c>
      <c r="AC483" s="36" t="n"/>
      <c r="AD483" s="37" t="n"/>
      <c r="AE483" s="38" t="n"/>
      <c r="AF483" s="118">
        <f>IF(OR($B483="",$C483=""),"",$C483-$B483+1)</f>
        <v/>
      </c>
      <c r="AG483" s="74" t="n"/>
      <c r="AH483" s="36" t="n"/>
      <c r="AJ483">
        <f>IF($K483="","",", "&amp;$K483)</f>
        <v/>
      </c>
      <c r="AK483">
        <f>AJ483&amp;IF($L483="","",", "&amp;$L483)</f>
        <v/>
      </c>
      <c r="AL483">
        <f>AK483&amp;IF($M483="","",", "&amp;$M483)</f>
        <v/>
      </c>
      <c r="AM483">
        <f>AL483&amp;IF($N483="","",", "&amp;$N483)</f>
        <v/>
      </c>
      <c r="AN483">
        <f>AM483&amp;IF($O483="","",", "&amp;$O483)</f>
        <v/>
      </c>
      <c r="AO483">
        <f>AN483&amp;IF($P483="","",", "&amp;$P483)</f>
        <v/>
      </c>
      <c r="AP483">
        <f>AO483&amp;IF($Q483="","",", "&amp;$Q483)</f>
        <v/>
      </c>
      <c r="AQ483">
        <f>AP483&amp;IF($R483="","",", "&amp;$R483)</f>
        <v/>
      </c>
      <c r="AR483">
        <f>AQ483&amp;IF($S483="","",", "&amp;$S483)</f>
        <v/>
      </c>
      <c r="AS483">
        <f>AR483&amp;IF($T483="","",", "&amp;$T483)</f>
        <v/>
      </c>
      <c r="AT483">
        <f>AS483&amp;IF($U483="","",", "&amp;$U483)</f>
        <v/>
      </c>
      <c r="AU483">
        <f>AT483&amp;IF($V483="","",", "&amp;$V483)</f>
        <v/>
      </c>
      <c r="AV483">
        <f>AU483&amp;IF($W483="","",", "&amp;$W483)</f>
        <v/>
      </c>
      <c r="AW483">
        <f>AV483&amp;IF($X483="","",", "&amp;$X483)</f>
        <v/>
      </c>
      <c r="AX483">
        <f>AW483&amp;IF($Y483="","",", "&amp;$Y483)</f>
        <v/>
      </c>
    </row>
    <row r="484">
      <c r="A484" s="118">
        <f>IF($B484="","",COUNT($B$5:$B484))</f>
        <v/>
      </c>
      <c r="B484" s="80" t="n"/>
      <c r="C484" s="80" t="n"/>
      <c r="D484" s="74" t="n"/>
      <c r="E484" s="74" t="n"/>
      <c r="F484" s="74" t="n"/>
      <c r="G484" s="118">
        <f>IF($F484="","",COUNTIF($F$5:$F484,$F484))</f>
        <v/>
      </c>
      <c r="H484" s="33">
        <f>IF($F484="","",IFERROR(INDEX(사건마스터!$B$5:$B$64,MATCH($F484,사건마스터!$A$5:$A$64,0)),""))</f>
        <v/>
      </c>
      <c r="I484" s="130">
        <f>IF($F484="","",IFERROR(INDEX(사건마스터!$C$5:$C$64,MATCH($F484,사건마스터!$A$5:$A$64,0)),""))</f>
        <v/>
      </c>
      <c r="J484" s="136">
        <f>IF($F484="","",IFERROR(INDEX(사건마스터!$H$5:$H$64,MATCH($F484,사건마스터!$A$5:$A$64,0)),""))</f>
        <v/>
      </c>
      <c r="K484" s="136">
        <f>IF($F484="","",IFERROR(INDEX(사건마스터!$AH$5:$AH$64,MATCH($F484,사건마스터!$A$5:$A$64,0)),""))</f>
        <v/>
      </c>
      <c r="L484" s="136">
        <f>IF($F484="","",IFERROR(INDEX(사건마스터!$AI$5:$AI$64,MATCH($F484,사건마스터!$A$5:$A$64,0)),""))</f>
        <v/>
      </c>
      <c r="M484" s="136">
        <f>IF($F484="","",IFERROR(INDEX(사건마스터!$AJ$5:$AJ$64,MATCH($F484,사건마스터!$A$5:$A$64,0)),""))</f>
        <v/>
      </c>
      <c r="N484" s="136">
        <f>IF($F484="","",IFERROR(INDEX(사건마스터!$AK$5:$AK$64,MATCH($F484,사건마스터!$A$5:$A$64,0)),""))</f>
        <v/>
      </c>
      <c r="O484" s="136">
        <f>IF($F484="","",IFERROR(INDEX(사건마스터!$AL$5:$AL$64,MATCH($F484,사건마스터!$A$5:$A$64,0)),""))</f>
        <v/>
      </c>
      <c r="P484" s="136">
        <f>IF($F484="","",IFERROR(INDEX(사건마스터!$AM$5:$AM$64,MATCH($F484,사건마스터!$A$5:$A$64,0)),""))</f>
        <v/>
      </c>
      <c r="Q484" s="136">
        <f>IF($F484="","",IFERROR(INDEX(사건마스터!$AN$5:$AN$64,MATCH($F484,사건마스터!$A$5:$A$64,0)),""))</f>
        <v/>
      </c>
      <c r="R484" s="136">
        <f>IF($F484="","",IFERROR(INDEX(사건마스터!$AO$5:$AO$64,MATCH($F484,사건마스터!$A$5:$A$64,0)),""))</f>
        <v/>
      </c>
      <c r="S484" s="136">
        <f>IF($F484="","",IFERROR(INDEX(사건마스터!$AP$5:$AP$64,MATCH($F484,사건마스터!$A$5:$A$64,0)),""))</f>
        <v/>
      </c>
      <c r="T484" s="136">
        <f>IF($F484="","",IFERROR(INDEX(사건마스터!$AQ$5:$AQ$64,MATCH($F484,사건마스터!$A$5:$A$64,0)),""))</f>
        <v/>
      </c>
      <c r="U484" s="136">
        <f>IF($F484="","",IFERROR(INDEX(사건마스터!$AR$5:$AR$64,MATCH($F484,사건마스터!$A$5:$A$64,0)),""))</f>
        <v/>
      </c>
      <c r="V484" s="136">
        <f>IF($F484="","",IFERROR(INDEX(사건마스터!$AS$5:$AS$64,MATCH($F484,사건마스터!$A$5:$A$64,0)),""))</f>
        <v/>
      </c>
      <c r="W484" s="136">
        <f>IF($F484="","",IFERROR(INDEX(사건마스터!$AT$5:$AT$64,MATCH($F484,사건마스터!$A$5:$A$64,0)),""))</f>
        <v/>
      </c>
      <c r="X484" s="136">
        <f>IF($F484="","",IFERROR(INDEX(사건마스터!$AU$5:$AU$64,MATCH($F484,사건마스터!$A$5:$A$64,0)),""))</f>
        <v/>
      </c>
      <c r="Y484" s="136">
        <f>IF($F484="","",IFERROR(INDEX(사건마스터!$AV$5:$AV$64,MATCH($F484,사건마스터!$A$5:$A$64,0)),""))</f>
        <v/>
      </c>
      <c r="Z484" s="118">
        <f>IF(COUNTBLANK($J484:$Y484)=16,"",16-COUNTBLANK($J484:$Y484))</f>
        <v/>
      </c>
      <c r="AA484" s="33">
        <f>IF($J484="",MID($AX484,3,255),$J484&amp;$AX484)</f>
        <v/>
      </c>
      <c r="AB484" s="130">
        <f>IF($J484="","",IFERROR(INDEX(코드설정!$D$5:$D$24,MATCH($J484,코드설정!$C$5:$C$24,0)),""))</f>
        <v/>
      </c>
      <c r="AC484" s="36" t="n"/>
      <c r="AD484" s="37" t="n"/>
      <c r="AE484" s="38" t="n"/>
      <c r="AF484" s="118">
        <f>IF(OR($B484="",$C484=""),"",$C484-$B484+1)</f>
        <v/>
      </c>
      <c r="AG484" s="74" t="n"/>
      <c r="AH484" s="36" t="n"/>
      <c r="AJ484">
        <f>IF($K484="","",", "&amp;$K484)</f>
        <v/>
      </c>
      <c r="AK484">
        <f>AJ484&amp;IF($L484="","",", "&amp;$L484)</f>
        <v/>
      </c>
      <c r="AL484">
        <f>AK484&amp;IF($M484="","",", "&amp;$M484)</f>
        <v/>
      </c>
      <c r="AM484">
        <f>AL484&amp;IF($N484="","",", "&amp;$N484)</f>
        <v/>
      </c>
      <c r="AN484">
        <f>AM484&amp;IF($O484="","",", "&amp;$O484)</f>
        <v/>
      </c>
      <c r="AO484">
        <f>AN484&amp;IF($P484="","",", "&amp;$P484)</f>
        <v/>
      </c>
      <c r="AP484">
        <f>AO484&amp;IF($Q484="","",", "&amp;$Q484)</f>
        <v/>
      </c>
      <c r="AQ484">
        <f>AP484&amp;IF($R484="","",", "&amp;$R484)</f>
        <v/>
      </c>
      <c r="AR484">
        <f>AQ484&amp;IF($S484="","",", "&amp;$S484)</f>
        <v/>
      </c>
      <c r="AS484">
        <f>AR484&amp;IF($T484="","",", "&amp;$T484)</f>
        <v/>
      </c>
      <c r="AT484">
        <f>AS484&amp;IF($U484="","",", "&amp;$U484)</f>
        <v/>
      </c>
      <c r="AU484">
        <f>AT484&amp;IF($V484="","",", "&amp;$V484)</f>
        <v/>
      </c>
      <c r="AV484">
        <f>AU484&amp;IF($W484="","",", "&amp;$W484)</f>
        <v/>
      </c>
      <c r="AW484">
        <f>AV484&amp;IF($X484="","",", "&amp;$X484)</f>
        <v/>
      </c>
      <c r="AX484">
        <f>AW484&amp;IF($Y484="","",", "&amp;$Y484)</f>
        <v/>
      </c>
    </row>
    <row r="485">
      <c r="A485" s="118">
        <f>IF($B485="","",COUNT($B$5:$B485))</f>
        <v/>
      </c>
      <c r="B485" s="80" t="n"/>
      <c r="C485" s="80" t="n"/>
      <c r="D485" s="74" t="n"/>
      <c r="E485" s="74" t="n"/>
      <c r="F485" s="74" t="n"/>
      <c r="G485" s="118">
        <f>IF($F485="","",COUNTIF($F$5:$F485,$F485))</f>
        <v/>
      </c>
      <c r="H485" s="33">
        <f>IF($F485="","",IFERROR(INDEX(사건마스터!$B$5:$B$64,MATCH($F485,사건마스터!$A$5:$A$64,0)),""))</f>
        <v/>
      </c>
      <c r="I485" s="130">
        <f>IF($F485="","",IFERROR(INDEX(사건마스터!$C$5:$C$64,MATCH($F485,사건마스터!$A$5:$A$64,0)),""))</f>
        <v/>
      </c>
      <c r="J485" s="136">
        <f>IF($F485="","",IFERROR(INDEX(사건마스터!$H$5:$H$64,MATCH($F485,사건마스터!$A$5:$A$64,0)),""))</f>
        <v/>
      </c>
      <c r="K485" s="136">
        <f>IF($F485="","",IFERROR(INDEX(사건마스터!$AH$5:$AH$64,MATCH($F485,사건마스터!$A$5:$A$64,0)),""))</f>
        <v/>
      </c>
      <c r="L485" s="136">
        <f>IF($F485="","",IFERROR(INDEX(사건마스터!$AI$5:$AI$64,MATCH($F485,사건마스터!$A$5:$A$64,0)),""))</f>
        <v/>
      </c>
      <c r="M485" s="136">
        <f>IF($F485="","",IFERROR(INDEX(사건마스터!$AJ$5:$AJ$64,MATCH($F485,사건마스터!$A$5:$A$64,0)),""))</f>
        <v/>
      </c>
      <c r="N485" s="136">
        <f>IF($F485="","",IFERROR(INDEX(사건마스터!$AK$5:$AK$64,MATCH($F485,사건마스터!$A$5:$A$64,0)),""))</f>
        <v/>
      </c>
      <c r="O485" s="136">
        <f>IF($F485="","",IFERROR(INDEX(사건마스터!$AL$5:$AL$64,MATCH($F485,사건마스터!$A$5:$A$64,0)),""))</f>
        <v/>
      </c>
      <c r="P485" s="136">
        <f>IF($F485="","",IFERROR(INDEX(사건마스터!$AM$5:$AM$64,MATCH($F485,사건마스터!$A$5:$A$64,0)),""))</f>
        <v/>
      </c>
      <c r="Q485" s="136">
        <f>IF($F485="","",IFERROR(INDEX(사건마스터!$AN$5:$AN$64,MATCH($F485,사건마스터!$A$5:$A$64,0)),""))</f>
        <v/>
      </c>
      <c r="R485" s="136">
        <f>IF($F485="","",IFERROR(INDEX(사건마스터!$AO$5:$AO$64,MATCH($F485,사건마스터!$A$5:$A$64,0)),""))</f>
        <v/>
      </c>
      <c r="S485" s="136">
        <f>IF($F485="","",IFERROR(INDEX(사건마스터!$AP$5:$AP$64,MATCH($F485,사건마스터!$A$5:$A$64,0)),""))</f>
        <v/>
      </c>
      <c r="T485" s="136">
        <f>IF($F485="","",IFERROR(INDEX(사건마스터!$AQ$5:$AQ$64,MATCH($F485,사건마스터!$A$5:$A$64,0)),""))</f>
        <v/>
      </c>
      <c r="U485" s="136">
        <f>IF($F485="","",IFERROR(INDEX(사건마스터!$AR$5:$AR$64,MATCH($F485,사건마스터!$A$5:$A$64,0)),""))</f>
        <v/>
      </c>
      <c r="V485" s="136">
        <f>IF($F485="","",IFERROR(INDEX(사건마스터!$AS$5:$AS$64,MATCH($F485,사건마스터!$A$5:$A$64,0)),""))</f>
        <v/>
      </c>
      <c r="W485" s="136">
        <f>IF($F485="","",IFERROR(INDEX(사건마스터!$AT$5:$AT$64,MATCH($F485,사건마스터!$A$5:$A$64,0)),""))</f>
        <v/>
      </c>
      <c r="X485" s="136">
        <f>IF($F485="","",IFERROR(INDEX(사건마스터!$AU$5:$AU$64,MATCH($F485,사건마스터!$A$5:$A$64,0)),""))</f>
        <v/>
      </c>
      <c r="Y485" s="136">
        <f>IF($F485="","",IFERROR(INDEX(사건마스터!$AV$5:$AV$64,MATCH($F485,사건마스터!$A$5:$A$64,0)),""))</f>
        <v/>
      </c>
      <c r="Z485" s="118">
        <f>IF(COUNTBLANK($J485:$Y485)=16,"",16-COUNTBLANK($J485:$Y485))</f>
        <v/>
      </c>
      <c r="AA485" s="33">
        <f>IF($J485="",MID($AX485,3,255),$J485&amp;$AX485)</f>
        <v/>
      </c>
      <c r="AB485" s="130">
        <f>IF($J485="","",IFERROR(INDEX(코드설정!$D$5:$D$24,MATCH($J485,코드설정!$C$5:$C$24,0)),""))</f>
        <v/>
      </c>
      <c r="AC485" s="36" t="n"/>
      <c r="AD485" s="37" t="n"/>
      <c r="AE485" s="38" t="n"/>
      <c r="AF485" s="118">
        <f>IF(OR($B485="",$C485=""),"",$C485-$B485+1)</f>
        <v/>
      </c>
      <c r="AG485" s="74" t="n"/>
      <c r="AH485" s="36" t="n"/>
      <c r="AJ485">
        <f>IF($K485="","",", "&amp;$K485)</f>
        <v/>
      </c>
      <c r="AK485">
        <f>AJ485&amp;IF($L485="","",", "&amp;$L485)</f>
        <v/>
      </c>
      <c r="AL485">
        <f>AK485&amp;IF($M485="","",", "&amp;$M485)</f>
        <v/>
      </c>
      <c r="AM485">
        <f>AL485&amp;IF($N485="","",", "&amp;$N485)</f>
        <v/>
      </c>
      <c r="AN485">
        <f>AM485&amp;IF($O485="","",", "&amp;$O485)</f>
        <v/>
      </c>
      <c r="AO485">
        <f>AN485&amp;IF($P485="","",", "&amp;$P485)</f>
        <v/>
      </c>
      <c r="AP485">
        <f>AO485&amp;IF($Q485="","",", "&amp;$Q485)</f>
        <v/>
      </c>
      <c r="AQ485">
        <f>AP485&amp;IF($R485="","",", "&amp;$R485)</f>
        <v/>
      </c>
      <c r="AR485">
        <f>AQ485&amp;IF($S485="","",", "&amp;$S485)</f>
        <v/>
      </c>
      <c r="AS485">
        <f>AR485&amp;IF($T485="","",", "&amp;$T485)</f>
        <v/>
      </c>
      <c r="AT485">
        <f>AS485&amp;IF($U485="","",", "&amp;$U485)</f>
        <v/>
      </c>
      <c r="AU485">
        <f>AT485&amp;IF($V485="","",", "&amp;$V485)</f>
        <v/>
      </c>
      <c r="AV485">
        <f>AU485&amp;IF($W485="","",", "&amp;$W485)</f>
        <v/>
      </c>
      <c r="AW485">
        <f>AV485&amp;IF($X485="","",", "&amp;$X485)</f>
        <v/>
      </c>
      <c r="AX485">
        <f>AW485&amp;IF($Y485="","",", "&amp;$Y485)</f>
        <v/>
      </c>
    </row>
    <row r="486">
      <c r="A486" s="118">
        <f>IF($B486="","",COUNT($B$5:$B486))</f>
        <v/>
      </c>
      <c r="B486" s="80" t="n"/>
      <c r="C486" s="80" t="n"/>
      <c r="D486" s="74" t="n"/>
      <c r="E486" s="74" t="n"/>
      <c r="F486" s="74" t="n"/>
      <c r="G486" s="118">
        <f>IF($F486="","",COUNTIF($F$5:$F486,$F486))</f>
        <v/>
      </c>
      <c r="H486" s="33">
        <f>IF($F486="","",IFERROR(INDEX(사건마스터!$B$5:$B$64,MATCH($F486,사건마스터!$A$5:$A$64,0)),""))</f>
        <v/>
      </c>
      <c r="I486" s="130">
        <f>IF($F486="","",IFERROR(INDEX(사건마스터!$C$5:$C$64,MATCH($F486,사건마스터!$A$5:$A$64,0)),""))</f>
        <v/>
      </c>
      <c r="J486" s="136">
        <f>IF($F486="","",IFERROR(INDEX(사건마스터!$H$5:$H$64,MATCH($F486,사건마스터!$A$5:$A$64,0)),""))</f>
        <v/>
      </c>
      <c r="K486" s="136">
        <f>IF($F486="","",IFERROR(INDEX(사건마스터!$AH$5:$AH$64,MATCH($F486,사건마스터!$A$5:$A$64,0)),""))</f>
        <v/>
      </c>
      <c r="L486" s="136">
        <f>IF($F486="","",IFERROR(INDEX(사건마스터!$AI$5:$AI$64,MATCH($F486,사건마스터!$A$5:$A$64,0)),""))</f>
        <v/>
      </c>
      <c r="M486" s="136">
        <f>IF($F486="","",IFERROR(INDEX(사건마스터!$AJ$5:$AJ$64,MATCH($F486,사건마스터!$A$5:$A$64,0)),""))</f>
        <v/>
      </c>
      <c r="N486" s="136">
        <f>IF($F486="","",IFERROR(INDEX(사건마스터!$AK$5:$AK$64,MATCH($F486,사건마스터!$A$5:$A$64,0)),""))</f>
        <v/>
      </c>
      <c r="O486" s="136">
        <f>IF($F486="","",IFERROR(INDEX(사건마스터!$AL$5:$AL$64,MATCH($F486,사건마스터!$A$5:$A$64,0)),""))</f>
        <v/>
      </c>
      <c r="P486" s="136">
        <f>IF($F486="","",IFERROR(INDEX(사건마스터!$AM$5:$AM$64,MATCH($F486,사건마스터!$A$5:$A$64,0)),""))</f>
        <v/>
      </c>
      <c r="Q486" s="136">
        <f>IF($F486="","",IFERROR(INDEX(사건마스터!$AN$5:$AN$64,MATCH($F486,사건마스터!$A$5:$A$64,0)),""))</f>
        <v/>
      </c>
      <c r="R486" s="136">
        <f>IF($F486="","",IFERROR(INDEX(사건마스터!$AO$5:$AO$64,MATCH($F486,사건마스터!$A$5:$A$64,0)),""))</f>
        <v/>
      </c>
      <c r="S486" s="136">
        <f>IF($F486="","",IFERROR(INDEX(사건마스터!$AP$5:$AP$64,MATCH($F486,사건마스터!$A$5:$A$64,0)),""))</f>
        <v/>
      </c>
      <c r="T486" s="136">
        <f>IF($F486="","",IFERROR(INDEX(사건마스터!$AQ$5:$AQ$64,MATCH($F486,사건마스터!$A$5:$A$64,0)),""))</f>
        <v/>
      </c>
      <c r="U486" s="136">
        <f>IF($F486="","",IFERROR(INDEX(사건마스터!$AR$5:$AR$64,MATCH($F486,사건마스터!$A$5:$A$64,0)),""))</f>
        <v/>
      </c>
      <c r="V486" s="136">
        <f>IF($F486="","",IFERROR(INDEX(사건마스터!$AS$5:$AS$64,MATCH($F486,사건마스터!$A$5:$A$64,0)),""))</f>
        <v/>
      </c>
      <c r="W486" s="136">
        <f>IF($F486="","",IFERROR(INDEX(사건마스터!$AT$5:$AT$64,MATCH($F486,사건마스터!$A$5:$A$64,0)),""))</f>
        <v/>
      </c>
      <c r="X486" s="136">
        <f>IF($F486="","",IFERROR(INDEX(사건마스터!$AU$5:$AU$64,MATCH($F486,사건마스터!$A$5:$A$64,0)),""))</f>
        <v/>
      </c>
      <c r="Y486" s="136">
        <f>IF($F486="","",IFERROR(INDEX(사건마스터!$AV$5:$AV$64,MATCH($F486,사건마스터!$A$5:$A$64,0)),""))</f>
        <v/>
      </c>
      <c r="Z486" s="118">
        <f>IF(COUNTBLANK($J486:$Y486)=16,"",16-COUNTBLANK($J486:$Y486))</f>
        <v/>
      </c>
      <c r="AA486" s="33">
        <f>IF($J486="",MID($AX486,3,255),$J486&amp;$AX486)</f>
        <v/>
      </c>
      <c r="AB486" s="130">
        <f>IF($J486="","",IFERROR(INDEX(코드설정!$D$5:$D$24,MATCH($J486,코드설정!$C$5:$C$24,0)),""))</f>
        <v/>
      </c>
      <c r="AC486" s="36" t="n"/>
      <c r="AD486" s="37" t="n"/>
      <c r="AE486" s="38" t="n"/>
      <c r="AF486" s="118">
        <f>IF(OR($B486="",$C486=""),"",$C486-$B486+1)</f>
        <v/>
      </c>
      <c r="AG486" s="74" t="n"/>
      <c r="AH486" s="36" t="n"/>
      <c r="AJ486">
        <f>IF($K486="","",", "&amp;$K486)</f>
        <v/>
      </c>
      <c r="AK486">
        <f>AJ486&amp;IF($L486="","",", "&amp;$L486)</f>
        <v/>
      </c>
      <c r="AL486">
        <f>AK486&amp;IF($M486="","",", "&amp;$M486)</f>
        <v/>
      </c>
      <c r="AM486">
        <f>AL486&amp;IF($N486="","",", "&amp;$N486)</f>
        <v/>
      </c>
      <c r="AN486">
        <f>AM486&amp;IF($O486="","",", "&amp;$O486)</f>
        <v/>
      </c>
      <c r="AO486">
        <f>AN486&amp;IF($P486="","",", "&amp;$P486)</f>
        <v/>
      </c>
      <c r="AP486">
        <f>AO486&amp;IF($Q486="","",", "&amp;$Q486)</f>
        <v/>
      </c>
      <c r="AQ486">
        <f>AP486&amp;IF($R486="","",", "&amp;$R486)</f>
        <v/>
      </c>
      <c r="AR486">
        <f>AQ486&amp;IF($S486="","",", "&amp;$S486)</f>
        <v/>
      </c>
      <c r="AS486">
        <f>AR486&amp;IF($T486="","",", "&amp;$T486)</f>
        <v/>
      </c>
      <c r="AT486">
        <f>AS486&amp;IF($U486="","",", "&amp;$U486)</f>
        <v/>
      </c>
      <c r="AU486">
        <f>AT486&amp;IF($V486="","",", "&amp;$V486)</f>
        <v/>
      </c>
      <c r="AV486">
        <f>AU486&amp;IF($W486="","",", "&amp;$W486)</f>
        <v/>
      </c>
      <c r="AW486">
        <f>AV486&amp;IF($X486="","",", "&amp;$X486)</f>
        <v/>
      </c>
      <c r="AX486">
        <f>AW486&amp;IF($Y486="","",", "&amp;$Y486)</f>
        <v/>
      </c>
    </row>
    <row r="487">
      <c r="A487" s="118">
        <f>IF($B487="","",COUNT($B$5:$B487))</f>
        <v/>
      </c>
      <c r="B487" s="80" t="n"/>
      <c r="C487" s="80" t="n"/>
      <c r="D487" s="74" t="n"/>
      <c r="E487" s="74" t="n"/>
      <c r="F487" s="74" t="n"/>
      <c r="G487" s="118">
        <f>IF($F487="","",COUNTIF($F$5:$F487,$F487))</f>
        <v/>
      </c>
      <c r="H487" s="33">
        <f>IF($F487="","",IFERROR(INDEX(사건마스터!$B$5:$B$64,MATCH($F487,사건마스터!$A$5:$A$64,0)),""))</f>
        <v/>
      </c>
      <c r="I487" s="130">
        <f>IF($F487="","",IFERROR(INDEX(사건마스터!$C$5:$C$64,MATCH($F487,사건마스터!$A$5:$A$64,0)),""))</f>
        <v/>
      </c>
      <c r="J487" s="136">
        <f>IF($F487="","",IFERROR(INDEX(사건마스터!$H$5:$H$64,MATCH($F487,사건마스터!$A$5:$A$64,0)),""))</f>
        <v/>
      </c>
      <c r="K487" s="136">
        <f>IF($F487="","",IFERROR(INDEX(사건마스터!$AH$5:$AH$64,MATCH($F487,사건마스터!$A$5:$A$64,0)),""))</f>
        <v/>
      </c>
      <c r="L487" s="136">
        <f>IF($F487="","",IFERROR(INDEX(사건마스터!$AI$5:$AI$64,MATCH($F487,사건마스터!$A$5:$A$64,0)),""))</f>
        <v/>
      </c>
      <c r="M487" s="136">
        <f>IF($F487="","",IFERROR(INDEX(사건마스터!$AJ$5:$AJ$64,MATCH($F487,사건마스터!$A$5:$A$64,0)),""))</f>
        <v/>
      </c>
      <c r="N487" s="136">
        <f>IF($F487="","",IFERROR(INDEX(사건마스터!$AK$5:$AK$64,MATCH($F487,사건마스터!$A$5:$A$64,0)),""))</f>
        <v/>
      </c>
      <c r="O487" s="136">
        <f>IF($F487="","",IFERROR(INDEX(사건마스터!$AL$5:$AL$64,MATCH($F487,사건마스터!$A$5:$A$64,0)),""))</f>
        <v/>
      </c>
      <c r="P487" s="136">
        <f>IF($F487="","",IFERROR(INDEX(사건마스터!$AM$5:$AM$64,MATCH($F487,사건마스터!$A$5:$A$64,0)),""))</f>
        <v/>
      </c>
      <c r="Q487" s="136">
        <f>IF($F487="","",IFERROR(INDEX(사건마스터!$AN$5:$AN$64,MATCH($F487,사건마스터!$A$5:$A$64,0)),""))</f>
        <v/>
      </c>
      <c r="R487" s="136">
        <f>IF($F487="","",IFERROR(INDEX(사건마스터!$AO$5:$AO$64,MATCH($F487,사건마스터!$A$5:$A$64,0)),""))</f>
        <v/>
      </c>
      <c r="S487" s="136">
        <f>IF($F487="","",IFERROR(INDEX(사건마스터!$AP$5:$AP$64,MATCH($F487,사건마스터!$A$5:$A$64,0)),""))</f>
        <v/>
      </c>
      <c r="T487" s="136">
        <f>IF($F487="","",IFERROR(INDEX(사건마스터!$AQ$5:$AQ$64,MATCH($F487,사건마스터!$A$5:$A$64,0)),""))</f>
        <v/>
      </c>
      <c r="U487" s="136">
        <f>IF($F487="","",IFERROR(INDEX(사건마스터!$AR$5:$AR$64,MATCH($F487,사건마스터!$A$5:$A$64,0)),""))</f>
        <v/>
      </c>
      <c r="V487" s="136">
        <f>IF($F487="","",IFERROR(INDEX(사건마스터!$AS$5:$AS$64,MATCH($F487,사건마스터!$A$5:$A$64,0)),""))</f>
        <v/>
      </c>
      <c r="W487" s="136">
        <f>IF($F487="","",IFERROR(INDEX(사건마스터!$AT$5:$AT$64,MATCH($F487,사건마스터!$A$5:$A$64,0)),""))</f>
        <v/>
      </c>
      <c r="X487" s="136">
        <f>IF($F487="","",IFERROR(INDEX(사건마스터!$AU$5:$AU$64,MATCH($F487,사건마스터!$A$5:$A$64,0)),""))</f>
        <v/>
      </c>
      <c r="Y487" s="136">
        <f>IF($F487="","",IFERROR(INDEX(사건마스터!$AV$5:$AV$64,MATCH($F487,사건마스터!$A$5:$A$64,0)),""))</f>
        <v/>
      </c>
      <c r="Z487" s="118">
        <f>IF(COUNTBLANK($J487:$Y487)=16,"",16-COUNTBLANK($J487:$Y487))</f>
        <v/>
      </c>
      <c r="AA487" s="33">
        <f>IF($J487="",MID($AX487,3,255),$J487&amp;$AX487)</f>
        <v/>
      </c>
      <c r="AB487" s="130">
        <f>IF($J487="","",IFERROR(INDEX(코드설정!$D$5:$D$24,MATCH($J487,코드설정!$C$5:$C$24,0)),""))</f>
        <v/>
      </c>
      <c r="AC487" s="36" t="n"/>
      <c r="AD487" s="37" t="n"/>
      <c r="AE487" s="38" t="n"/>
      <c r="AF487" s="118">
        <f>IF(OR($B487="",$C487=""),"",$C487-$B487+1)</f>
        <v/>
      </c>
      <c r="AG487" s="74" t="n"/>
      <c r="AH487" s="36" t="n"/>
      <c r="AJ487">
        <f>IF($K487="","",", "&amp;$K487)</f>
        <v/>
      </c>
      <c r="AK487">
        <f>AJ487&amp;IF($L487="","",", "&amp;$L487)</f>
        <v/>
      </c>
      <c r="AL487">
        <f>AK487&amp;IF($M487="","",", "&amp;$M487)</f>
        <v/>
      </c>
      <c r="AM487">
        <f>AL487&amp;IF($N487="","",", "&amp;$N487)</f>
        <v/>
      </c>
      <c r="AN487">
        <f>AM487&amp;IF($O487="","",", "&amp;$O487)</f>
        <v/>
      </c>
      <c r="AO487">
        <f>AN487&amp;IF($P487="","",", "&amp;$P487)</f>
        <v/>
      </c>
      <c r="AP487">
        <f>AO487&amp;IF($Q487="","",", "&amp;$Q487)</f>
        <v/>
      </c>
      <c r="AQ487">
        <f>AP487&amp;IF($R487="","",", "&amp;$R487)</f>
        <v/>
      </c>
      <c r="AR487">
        <f>AQ487&amp;IF($S487="","",", "&amp;$S487)</f>
        <v/>
      </c>
      <c r="AS487">
        <f>AR487&amp;IF($T487="","",", "&amp;$T487)</f>
        <v/>
      </c>
      <c r="AT487">
        <f>AS487&amp;IF($U487="","",", "&amp;$U487)</f>
        <v/>
      </c>
      <c r="AU487">
        <f>AT487&amp;IF($V487="","",", "&amp;$V487)</f>
        <v/>
      </c>
      <c r="AV487">
        <f>AU487&amp;IF($W487="","",", "&amp;$W487)</f>
        <v/>
      </c>
      <c r="AW487">
        <f>AV487&amp;IF($X487="","",", "&amp;$X487)</f>
        <v/>
      </c>
      <c r="AX487">
        <f>AW487&amp;IF($Y487="","",", "&amp;$Y487)</f>
        <v/>
      </c>
    </row>
    <row r="488">
      <c r="A488" s="118">
        <f>IF($B488="","",COUNT($B$5:$B488))</f>
        <v/>
      </c>
      <c r="B488" s="80" t="n"/>
      <c r="C488" s="80" t="n"/>
      <c r="D488" s="74" t="n"/>
      <c r="E488" s="74" t="n"/>
      <c r="F488" s="74" t="n"/>
      <c r="G488" s="118">
        <f>IF($F488="","",COUNTIF($F$5:$F488,$F488))</f>
        <v/>
      </c>
      <c r="H488" s="33">
        <f>IF($F488="","",IFERROR(INDEX(사건마스터!$B$5:$B$64,MATCH($F488,사건마스터!$A$5:$A$64,0)),""))</f>
        <v/>
      </c>
      <c r="I488" s="130">
        <f>IF($F488="","",IFERROR(INDEX(사건마스터!$C$5:$C$64,MATCH($F488,사건마스터!$A$5:$A$64,0)),""))</f>
        <v/>
      </c>
      <c r="J488" s="136">
        <f>IF($F488="","",IFERROR(INDEX(사건마스터!$H$5:$H$64,MATCH($F488,사건마스터!$A$5:$A$64,0)),""))</f>
        <v/>
      </c>
      <c r="K488" s="136">
        <f>IF($F488="","",IFERROR(INDEX(사건마스터!$AH$5:$AH$64,MATCH($F488,사건마스터!$A$5:$A$64,0)),""))</f>
        <v/>
      </c>
      <c r="L488" s="136">
        <f>IF($F488="","",IFERROR(INDEX(사건마스터!$AI$5:$AI$64,MATCH($F488,사건마스터!$A$5:$A$64,0)),""))</f>
        <v/>
      </c>
      <c r="M488" s="136">
        <f>IF($F488="","",IFERROR(INDEX(사건마스터!$AJ$5:$AJ$64,MATCH($F488,사건마스터!$A$5:$A$64,0)),""))</f>
        <v/>
      </c>
      <c r="N488" s="136">
        <f>IF($F488="","",IFERROR(INDEX(사건마스터!$AK$5:$AK$64,MATCH($F488,사건마스터!$A$5:$A$64,0)),""))</f>
        <v/>
      </c>
      <c r="O488" s="136">
        <f>IF($F488="","",IFERROR(INDEX(사건마스터!$AL$5:$AL$64,MATCH($F488,사건마스터!$A$5:$A$64,0)),""))</f>
        <v/>
      </c>
      <c r="P488" s="136">
        <f>IF($F488="","",IFERROR(INDEX(사건마스터!$AM$5:$AM$64,MATCH($F488,사건마스터!$A$5:$A$64,0)),""))</f>
        <v/>
      </c>
      <c r="Q488" s="136">
        <f>IF($F488="","",IFERROR(INDEX(사건마스터!$AN$5:$AN$64,MATCH($F488,사건마스터!$A$5:$A$64,0)),""))</f>
        <v/>
      </c>
      <c r="R488" s="136">
        <f>IF($F488="","",IFERROR(INDEX(사건마스터!$AO$5:$AO$64,MATCH($F488,사건마스터!$A$5:$A$64,0)),""))</f>
        <v/>
      </c>
      <c r="S488" s="136">
        <f>IF($F488="","",IFERROR(INDEX(사건마스터!$AP$5:$AP$64,MATCH($F488,사건마스터!$A$5:$A$64,0)),""))</f>
        <v/>
      </c>
      <c r="T488" s="136">
        <f>IF($F488="","",IFERROR(INDEX(사건마스터!$AQ$5:$AQ$64,MATCH($F488,사건마스터!$A$5:$A$64,0)),""))</f>
        <v/>
      </c>
      <c r="U488" s="136">
        <f>IF($F488="","",IFERROR(INDEX(사건마스터!$AR$5:$AR$64,MATCH($F488,사건마스터!$A$5:$A$64,0)),""))</f>
        <v/>
      </c>
      <c r="V488" s="136">
        <f>IF($F488="","",IFERROR(INDEX(사건마스터!$AS$5:$AS$64,MATCH($F488,사건마스터!$A$5:$A$64,0)),""))</f>
        <v/>
      </c>
      <c r="W488" s="136">
        <f>IF($F488="","",IFERROR(INDEX(사건마스터!$AT$5:$AT$64,MATCH($F488,사건마스터!$A$5:$A$64,0)),""))</f>
        <v/>
      </c>
      <c r="X488" s="136">
        <f>IF($F488="","",IFERROR(INDEX(사건마스터!$AU$5:$AU$64,MATCH($F488,사건마스터!$A$5:$A$64,0)),""))</f>
        <v/>
      </c>
      <c r="Y488" s="136">
        <f>IF($F488="","",IFERROR(INDEX(사건마스터!$AV$5:$AV$64,MATCH($F488,사건마스터!$A$5:$A$64,0)),""))</f>
        <v/>
      </c>
      <c r="Z488" s="118">
        <f>IF(COUNTBLANK($J488:$Y488)=16,"",16-COUNTBLANK($J488:$Y488))</f>
        <v/>
      </c>
      <c r="AA488" s="33">
        <f>IF($J488="",MID($AX488,3,255),$J488&amp;$AX488)</f>
        <v/>
      </c>
      <c r="AB488" s="130">
        <f>IF($J488="","",IFERROR(INDEX(코드설정!$D$5:$D$24,MATCH($J488,코드설정!$C$5:$C$24,0)),""))</f>
        <v/>
      </c>
      <c r="AC488" s="36" t="n"/>
      <c r="AD488" s="37" t="n"/>
      <c r="AE488" s="38" t="n"/>
      <c r="AF488" s="118">
        <f>IF(OR($B488="",$C488=""),"",$C488-$B488+1)</f>
        <v/>
      </c>
      <c r="AG488" s="74" t="n"/>
      <c r="AH488" s="36" t="n"/>
      <c r="AJ488">
        <f>IF($K488="","",", "&amp;$K488)</f>
        <v/>
      </c>
      <c r="AK488">
        <f>AJ488&amp;IF($L488="","",", "&amp;$L488)</f>
        <v/>
      </c>
      <c r="AL488">
        <f>AK488&amp;IF($M488="","",", "&amp;$M488)</f>
        <v/>
      </c>
      <c r="AM488">
        <f>AL488&amp;IF($N488="","",", "&amp;$N488)</f>
        <v/>
      </c>
      <c r="AN488">
        <f>AM488&amp;IF($O488="","",", "&amp;$O488)</f>
        <v/>
      </c>
      <c r="AO488">
        <f>AN488&amp;IF($P488="","",", "&amp;$P488)</f>
        <v/>
      </c>
      <c r="AP488">
        <f>AO488&amp;IF($Q488="","",", "&amp;$Q488)</f>
        <v/>
      </c>
      <c r="AQ488">
        <f>AP488&amp;IF($R488="","",", "&amp;$R488)</f>
        <v/>
      </c>
      <c r="AR488">
        <f>AQ488&amp;IF($S488="","",", "&amp;$S488)</f>
        <v/>
      </c>
      <c r="AS488">
        <f>AR488&amp;IF($T488="","",", "&amp;$T488)</f>
        <v/>
      </c>
      <c r="AT488">
        <f>AS488&amp;IF($U488="","",", "&amp;$U488)</f>
        <v/>
      </c>
      <c r="AU488">
        <f>AT488&amp;IF($V488="","",", "&amp;$V488)</f>
        <v/>
      </c>
      <c r="AV488">
        <f>AU488&amp;IF($W488="","",", "&amp;$W488)</f>
        <v/>
      </c>
      <c r="AW488">
        <f>AV488&amp;IF($X488="","",", "&amp;$X488)</f>
        <v/>
      </c>
      <c r="AX488">
        <f>AW488&amp;IF($Y488="","",", "&amp;$Y488)</f>
        <v/>
      </c>
    </row>
    <row r="489">
      <c r="A489" s="118">
        <f>IF($B489="","",COUNT($B$5:$B489))</f>
        <v/>
      </c>
      <c r="B489" s="80" t="n"/>
      <c r="C489" s="80" t="n"/>
      <c r="D489" s="74" t="n"/>
      <c r="E489" s="74" t="n"/>
      <c r="F489" s="74" t="n"/>
      <c r="G489" s="118">
        <f>IF($F489="","",COUNTIF($F$5:$F489,$F489))</f>
        <v/>
      </c>
      <c r="H489" s="33">
        <f>IF($F489="","",IFERROR(INDEX(사건마스터!$B$5:$B$64,MATCH($F489,사건마스터!$A$5:$A$64,0)),""))</f>
        <v/>
      </c>
      <c r="I489" s="130">
        <f>IF($F489="","",IFERROR(INDEX(사건마스터!$C$5:$C$64,MATCH($F489,사건마스터!$A$5:$A$64,0)),""))</f>
        <v/>
      </c>
      <c r="J489" s="136">
        <f>IF($F489="","",IFERROR(INDEX(사건마스터!$H$5:$H$64,MATCH($F489,사건마스터!$A$5:$A$64,0)),""))</f>
        <v/>
      </c>
      <c r="K489" s="136">
        <f>IF($F489="","",IFERROR(INDEX(사건마스터!$AH$5:$AH$64,MATCH($F489,사건마스터!$A$5:$A$64,0)),""))</f>
        <v/>
      </c>
      <c r="L489" s="136">
        <f>IF($F489="","",IFERROR(INDEX(사건마스터!$AI$5:$AI$64,MATCH($F489,사건마스터!$A$5:$A$64,0)),""))</f>
        <v/>
      </c>
      <c r="M489" s="136">
        <f>IF($F489="","",IFERROR(INDEX(사건마스터!$AJ$5:$AJ$64,MATCH($F489,사건마스터!$A$5:$A$64,0)),""))</f>
        <v/>
      </c>
      <c r="N489" s="136">
        <f>IF($F489="","",IFERROR(INDEX(사건마스터!$AK$5:$AK$64,MATCH($F489,사건마스터!$A$5:$A$64,0)),""))</f>
        <v/>
      </c>
      <c r="O489" s="136">
        <f>IF($F489="","",IFERROR(INDEX(사건마스터!$AL$5:$AL$64,MATCH($F489,사건마스터!$A$5:$A$64,0)),""))</f>
        <v/>
      </c>
      <c r="P489" s="136">
        <f>IF($F489="","",IFERROR(INDEX(사건마스터!$AM$5:$AM$64,MATCH($F489,사건마스터!$A$5:$A$64,0)),""))</f>
        <v/>
      </c>
      <c r="Q489" s="136">
        <f>IF($F489="","",IFERROR(INDEX(사건마스터!$AN$5:$AN$64,MATCH($F489,사건마스터!$A$5:$A$64,0)),""))</f>
        <v/>
      </c>
      <c r="R489" s="136">
        <f>IF($F489="","",IFERROR(INDEX(사건마스터!$AO$5:$AO$64,MATCH($F489,사건마스터!$A$5:$A$64,0)),""))</f>
        <v/>
      </c>
      <c r="S489" s="136">
        <f>IF($F489="","",IFERROR(INDEX(사건마스터!$AP$5:$AP$64,MATCH($F489,사건마스터!$A$5:$A$64,0)),""))</f>
        <v/>
      </c>
      <c r="T489" s="136">
        <f>IF($F489="","",IFERROR(INDEX(사건마스터!$AQ$5:$AQ$64,MATCH($F489,사건마스터!$A$5:$A$64,0)),""))</f>
        <v/>
      </c>
      <c r="U489" s="136">
        <f>IF($F489="","",IFERROR(INDEX(사건마스터!$AR$5:$AR$64,MATCH($F489,사건마스터!$A$5:$A$64,0)),""))</f>
        <v/>
      </c>
      <c r="V489" s="136">
        <f>IF($F489="","",IFERROR(INDEX(사건마스터!$AS$5:$AS$64,MATCH($F489,사건마스터!$A$5:$A$64,0)),""))</f>
        <v/>
      </c>
      <c r="W489" s="136">
        <f>IF($F489="","",IFERROR(INDEX(사건마스터!$AT$5:$AT$64,MATCH($F489,사건마스터!$A$5:$A$64,0)),""))</f>
        <v/>
      </c>
      <c r="X489" s="136">
        <f>IF($F489="","",IFERROR(INDEX(사건마스터!$AU$5:$AU$64,MATCH($F489,사건마스터!$A$5:$A$64,0)),""))</f>
        <v/>
      </c>
      <c r="Y489" s="136">
        <f>IF($F489="","",IFERROR(INDEX(사건마스터!$AV$5:$AV$64,MATCH($F489,사건마스터!$A$5:$A$64,0)),""))</f>
        <v/>
      </c>
      <c r="Z489" s="118">
        <f>IF(COUNTBLANK($J489:$Y489)=16,"",16-COUNTBLANK($J489:$Y489))</f>
        <v/>
      </c>
      <c r="AA489" s="33">
        <f>IF($J489="",MID($AX489,3,255),$J489&amp;$AX489)</f>
        <v/>
      </c>
      <c r="AB489" s="130">
        <f>IF($J489="","",IFERROR(INDEX(코드설정!$D$5:$D$24,MATCH($J489,코드설정!$C$5:$C$24,0)),""))</f>
        <v/>
      </c>
      <c r="AC489" s="36" t="n"/>
      <c r="AD489" s="37" t="n"/>
      <c r="AE489" s="38" t="n"/>
      <c r="AF489" s="118">
        <f>IF(OR($B489="",$C489=""),"",$C489-$B489+1)</f>
        <v/>
      </c>
      <c r="AG489" s="74" t="n"/>
      <c r="AH489" s="36" t="n"/>
      <c r="AJ489">
        <f>IF($K489="","",", "&amp;$K489)</f>
        <v/>
      </c>
      <c r="AK489">
        <f>AJ489&amp;IF($L489="","",", "&amp;$L489)</f>
        <v/>
      </c>
      <c r="AL489">
        <f>AK489&amp;IF($M489="","",", "&amp;$M489)</f>
        <v/>
      </c>
      <c r="AM489">
        <f>AL489&amp;IF($N489="","",", "&amp;$N489)</f>
        <v/>
      </c>
      <c r="AN489">
        <f>AM489&amp;IF($O489="","",", "&amp;$O489)</f>
        <v/>
      </c>
      <c r="AO489">
        <f>AN489&amp;IF($P489="","",", "&amp;$P489)</f>
        <v/>
      </c>
      <c r="AP489">
        <f>AO489&amp;IF($Q489="","",", "&amp;$Q489)</f>
        <v/>
      </c>
      <c r="AQ489">
        <f>AP489&amp;IF($R489="","",", "&amp;$R489)</f>
        <v/>
      </c>
      <c r="AR489">
        <f>AQ489&amp;IF($S489="","",", "&amp;$S489)</f>
        <v/>
      </c>
      <c r="AS489">
        <f>AR489&amp;IF($T489="","",", "&amp;$T489)</f>
        <v/>
      </c>
      <c r="AT489">
        <f>AS489&amp;IF($U489="","",", "&amp;$U489)</f>
        <v/>
      </c>
      <c r="AU489">
        <f>AT489&amp;IF($V489="","",", "&amp;$V489)</f>
        <v/>
      </c>
      <c r="AV489">
        <f>AU489&amp;IF($W489="","",", "&amp;$W489)</f>
        <v/>
      </c>
      <c r="AW489">
        <f>AV489&amp;IF($X489="","",", "&amp;$X489)</f>
        <v/>
      </c>
      <c r="AX489">
        <f>AW489&amp;IF($Y489="","",", "&amp;$Y489)</f>
        <v/>
      </c>
    </row>
    <row r="490">
      <c r="A490" s="118">
        <f>IF($B490="","",COUNT($B$5:$B490))</f>
        <v/>
      </c>
      <c r="B490" s="80" t="n"/>
      <c r="C490" s="80" t="n"/>
      <c r="D490" s="74" t="n"/>
      <c r="E490" s="74" t="n"/>
      <c r="F490" s="74" t="n"/>
      <c r="G490" s="118">
        <f>IF($F490="","",COUNTIF($F$5:$F490,$F490))</f>
        <v/>
      </c>
      <c r="H490" s="33">
        <f>IF($F490="","",IFERROR(INDEX(사건마스터!$B$5:$B$64,MATCH($F490,사건마스터!$A$5:$A$64,0)),""))</f>
        <v/>
      </c>
      <c r="I490" s="130">
        <f>IF($F490="","",IFERROR(INDEX(사건마스터!$C$5:$C$64,MATCH($F490,사건마스터!$A$5:$A$64,0)),""))</f>
        <v/>
      </c>
      <c r="J490" s="136">
        <f>IF($F490="","",IFERROR(INDEX(사건마스터!$H$5:$H$64,MATCH($F490,사건마스터!$A$5:$A$64,0)),""))</f>
        <v/>
      </c>
      <c r="K490" s="136">
        <f>IF($F490="","",IFERROR(INDEX(사건마스터!$AH$5:$AH$64,MATCH($F490,사건마스터!$A$5:$A$64,0)),""))</f>
        <v/>
      </c>
      <c r="L490" s="136">
        <f>IF($F490="","",IFERROR(INDEX(사건마스터!$AI$5:$AI$64,MATCH($F490,사건마스터!$A$5:$A$64,0)),""))</f>
        <v/>
      </c>
      <c r="M490" s="136">
        <f>IF($F490="","",IFERROR(INDEX(사건마스터!$AJ$5:$AJ$64,MATCH($F490,사건마스터!$A$5:$A$64,0)),""))</f>
        <v/>
      </c>
      <c r="N490" s="136">
        <f>IF($F490="","",IFERROR(INDEX(사건마스터!$AK$5:$AK$64,MATCH($F490,사건마스터!$A$5:$A$64,0)),""))</f>
        <v/>
      </c>
      <c r="O490" s="136">
        <f>IF($F490="","",IFERROR(INDEX(사건마스터!$AL$5:$AL$64,MATCH($F490,사건마스터!$A$5:$A$64,0)),""))</f>
        <v/>
      </c>
      <c r="P490" s="136">
        <f>IF($F490="","",IFERROR(INDEX(사건마스터!$AM$5:$AM$64,MATCH($F490,사건마스터!$A$5:$A$64,0)),""))</f>
        <v/>
      </c>
      <c r="Q490" s="136">
        <f>IF($F490="","",IFERROR(INDEX(사건마스터!$AN$5:$AN$64,MATCH($F490,사건마스터!$A$5:$A$64,0)),""))</f>
        <v/>
      </c>
      <c r="R490" s="136">
        <f>IF($F490="","",IFERROR(INDEX(사건마스터!$AO$5:$AO$64,MATCH($F490,사건마스터!$A$5:$A$64,0)),""))</f>
        <v/>
      </c>
      <c r="S490" s="136">
        <f>IF($F490="","",IFERROR(INDEX(사건마스터!$AP$5:$AP$64,MATCH($F490,사건마스터!$A$5:$A$64,0)),""))</f>
        <v/>
      </c>
      <c r="T490" s="136">
        <f>IF($F490="","",IFERROR(INDEX(사건마스터!$AQ$5:$AQ$64,MATCH($F490,사건마스터!$A$5:$A$64,0)),""))</f>
        <v/>
      </c>
      <c r="U490" s="136">
        <f>IF($F490="","",IFERROR(INDEX(사건마스터!$AR$5:$AR$64,MATCH($F490,사건마스터!$A$5:$A$64,0)),""))</f>
        <v/>
      </c>
      <c r="V490" s="136">
        <f>IF($F490="","",IFERROR(INDEX(사건마스터!$AS$5:$AS$64,MATCH($F490,사건마스터!$A$5:$A$64,0)),""))</f>
        <v/>
      </c>
      <c r="W490" s="136">
        <f>IF($F490="","",IFERROR(INDEX(사건마스터!$AT$5:$AT$64,MATCH($F490,사건마스터!$A$5:$A$64,0)),""))</f>
        <v/>
      </c>
      <c r="X490" s="136">
        <f>IF($F490="","",IFERROR(INDEX(사건마스터!$AU$5:$AU$64,MATCH($F490,사건마스터!$A$5:$A$64,0)),""))</f>
        <v/>
      </c>
      <c r="Y490" s="136">
        <f>IF($F490="","",IFERROR(INDEX(사건마스터!$AV$5:$AV$64,MATCH($F490,사건마스터!$A$5:$A$64,0)),""))</f>
        <v/>
      </c>
      <c r="Z490" s="118">
        <f>IF(COUNTBLANK($J490:$Y490)=16,"",16-COUNTBLANK($J490:$Y490))</f>
        <v/>
      </c>
      <c r="AA490" s="33">
        <f>IF($J490="",MID($AX490,3,255),$J490&amp;$AX490)</f>
        <v/>
      </c>
      <c r="AB490" s="130">
        <f>IF($J490="","",IFERROR(INDEX(코드설정!$D$5:$D$24,MATCH($J490,코드설정!$C$5:$C$24,0)),""))</f>
        <v/>
      </c>
      <c r="AC490" s="36" t="n"/>
      <c r="AD490" s="37" t="n"/>
      <c r="AE490" s="38" t="n"/>
      <c r="AF490" s="118">
        <f>IF(OR($B490="",$C490=""),"",$C490-$B490+1)</f>
        <v/>
      </c>
      <c r="AG490" s="74" t="n"/>
      <c r="AH490" s="36" t="n"/>
      <c r="AJ490">
        <f>IF($K490="","",", "&amp;$K490)</f>
        <v/>
      </c>
      <c r="AK490">
        <f>AJ490&amp;IF($L490="","",", "&amp;$L490)</f>
        <v/>
      </c>
      <c r="AL490">
        <f>AK490&amp;IF($M490="","",", "&amp;$M490)</f>
        <v/>
      </c>
      <c r="AM490">
        <f>AL490&amp;IF($N490="","",", "&amp;$N490)</f>
        <v/>
      </c>
      <c r="AN490">
        <f>AM490&amp;IF($O490="","",", "&amp;$O490)</f>
        <v/>
      </c>
      <c r="AO490">
        <f>AN490&amp;IF($P490="","",", "&amp;$P490)</f>
        <v/>
      </c>
      <c r="AP490">
        <f>AO490&amp;IF($Q490="","",", "&amp;$Q490)</f>
        <v/>
      </c>
      <c r="AQ490">
        <f>AP490&amp;IF($R490="","",", "&amp;$R490)</f>
        <v/>
      </c>
      <c r="AR490">
        <f>AQ490&amp;IF($S490="","",", "&amp;$S490)</f>
        <v/>
      </c>
      <c r="AS490">
        <f>AR490&amp;IF($T490="","",", "&amp;$T490)</f>
        <v/>
      </c>
      <c r="AT490">
        <f>AS490&amp;IF($U490="","",", "&amp;$U490)</f>
        <v/>
      </c>
      <c r="AU490">
        <f>AT490&amp;IF($V490="","",", "&amp;$V490)</f>
        <v/>
      </c>
      <c r="AV490">
        <f>AU490&amp;IF($W490="","",", "&amp;$W490)</f>
        <v/>
      </c>
      <c r="AW490">
        <f>AV490&amp;IF($X490="","",", "&amp;$X490)</f>
        <v/>
      </c>
      <c r="AX490">
        <f>AW490&amp;IF($Y490="","",", "&amp;$Y490)</f>
        <v/>
      </c>
    </row>
    <row r="491">
      <c r="A491" s="118">
        <f>IF($B491="","",COUNT($B$5:$B491))</f>
        <v/>
      </c>
      <c r="B491" s="80" t="n"/>
      <c r="C491" s="80" t="n"/>
      <c r="D491" s="74" t="n"/>
      <c r="E491" s="74" t="n"/>
      <c r="F491" s="74" t="n"/>
      <c r="G491" s="118">
        <f>IF($F491="","",COUNTIF($F$5:$F491,$F491))</f>
        <v/>
      </c>
      <c r="H491" s="33">
        <f>IF($F491="","",IFERROR(INDEX(사건마스터!$B$5:$B$64,MATCH($F491,사건마스터!$A$5:$A$64,0)),""))</f>
        <v/>
      </c>
      <c r="I491" s="130">
        <f>IF($F491="","",IFERROR(INDEX(사건마스터!$C$5:$C$64,MATCH($F491,사건마스터!$A$5:$A$64,0)),""))</f>
        <v/>
      </c>
      <c r="J491" s="136">
        <f>IF($F491="","",IFERROR(INDEX(사건마스터!$H$5:$H$64,MATCH($F491,사건마스터!$A$5:$A$64,0)),""))</f>
        <v/>
      </c>
      <c r="K491" s="136">
        <f>IF($F491="","",IFERROR(INDEX(사건마스터!$AH$5:$AH$64,MATCH($F491,사건마스터!$A$5:$A$64,0)),""))</f>
        <v/>
      </c>
      <c r="L491" s="136">
        <f>IF($F491="","",IFERROR(INDEX(사건마스터!$AI$5:$AI$64,MATCH($F491,사건마스터!$A$5:$A$64,0)),""))</f>
        <v/>
      </c>
      <c r="M491" s="136">
        <f>IF($F491="","",IFERROR(INDEX(사건마스터!$AJ$5:$AJ$64,MATCH($F491,사건마스터!$A$5:$A$64,0)),""))</f>
        <v/>
      </c>
      <c r="N491" s="136">
        <f>IF($F491="","",IFERROR(INDEX(사건마스터!$AK$5:$AK$64,MATCH($F491,사건마스터!$A$5:$A$64,0)),""))</f>
        <v/>
      </c>
      <c r="O491" s="136">
        <f>IF($F491="","",IFERROR(INDEX(사건마스터!$AL$5:$AL$64,MATCH($F491,사건마스터!$A$5:$A$64,0)),""))</f>
        <v/>
      </c>
      <c r="P491" s="136">
        <f>IF($F491="","",IFERROR(INDEX(사건마스터!$AM$5:$AM$64,MATCH($F491,사건마스터!$A$5:$A$64,0)),""))</f>
        <v/>
      </c>
      <c r="Q491" s="136">
        <f>IF($F491="","",IFERROR(INDEX(사건마스터!$AN$5:$AN$64,MATCH($F491,사건마스터!$A$5:$A$64,0)),""))</f>
        <v/>
      </c>
      <c r="R491" s="136">
        <f>IF($F491="","",IFERROR(INDEX(사건마스터!$AO$5:$AO$64,MATCH($F491,사건마스터!$A$5:$A$64,0)),""))</f>
        <v/>
      </c>
      <c r="S491" s="136">
        <f>IF($F491="","",IFERROR(INDEX(사건마스터!$AP$5:$AP$64,MATCH($F491,사건마스터!$A$5:$A$64,0)),""))</f>
        <v/>
      </c>
      <c r="T491" s="136">
        <f>IF($F491="","",IFERROR(INDEX(사건마스터!$AQ$5:$AQ$64,MATCH($F491,사건마스터!$A$5:$A$64,0)),""))</f>
        <v/>
      </c>
      <c r="U491" s="136">
        <f>IF($F491="","",IFERROR(INDEX(사건마스터!$AR$5:$AR$64,MATCH($F491,사건마스터!$A$5:$A$64,0)),""))</f>
        <v/>
      </c>
      <c r="V491" s="136">
        <f>IF($F491="","",IFERROR(INDEX(사건마스터!$AS$5:$AS$64,MATCH($F491,사건마스터!$A$5:$A$64,0)),""))</f>
        <v/>
      </c>
      <c r="W491" s="136">
        <f>IF($F491="","",IFERROR(INDEX(사건마스터!$AT$5:$AT$64,MATCH($F491,사건마스터!$A$5:$A$64,0)),""))</f>
        <v/>
      </c>
      <c r="X491" s="136">
        <f>IF($F491="","",IFERROR(INDEX(사건마스터!$AU$5:$AU$64,MATCH($F491,사건마스터!$A$5:$A$64,0)),""))</f>
        <v/>
      </c>
      <c r="Y491" s="136">
        <f>IF($F491="","",IFERROR(INDEX(사건마스터!$AV$5:$AV$64,MATCH($F491,사건마스터!$A$5:$A$64,0)),""))</f>
        <v/>
      </c>
      <c r="Z491" s="118">
        <f>IF(COUNTBLANK($J491:$Y491)=16,"",16-COUNTBLANK($J491:$Y491))</f>
        <v/>
      </c>
      <c r="AA491" s="33">
        <f>IF($J491="",MID($AX491,3,255),$J491&amp;$AX491)</f>
        <v/>
      </c>
      <c r="AB491" s="130">
        <f>IF($J491="","",IFERROR(INDEX(코드설정!$D$5:$D$24,MATCH($J491,코드설정!$C$5:$C$24,0)),""))</f>
        <v/>
      </c>
      <c r="AC491" s="36" t="n"/>
      <c r="AD491" s="37" t="n"/>
      <c r="AE491" s="38" t="n"/>
      <c r="AF491" s="118">
        <f>IF(OR($B491="",$C491=""),"",$C491-$B491+1)</f>
        <v/>
      </c>
      <c r="AG491" s="74" t="n"/>
      <c r="AH491" s="36" t="n"/>
      <c r="AJ491">
        <f>IF($K491="","",", "&amp;$K491)</f>
        <v/>
      </c>
      <c r="AK491">
        <f>AJ491&amp;IF($L491="","",", "&amp;$L491)</f>
        <v/>
      </c>
      <c r="AL491">
        <f>AK491&amp;IF($M491="","",", "&amp;$M491)</f>
        <v/>
      </c>
      <c r="AM491">
        <f>AL491&amp;IF($N491="","",", "&amp;$N491)</f>
        <v/>
      </c>
      <c r="AN491">
        <f>AM491&amp;IF($O491="","",", "&amp;$O491)</f>
        <v/>
      </c>
      <c r="AO491">
        <f>AN491&amp;IF($P491="","",", "&amp;$P491)</f>
        <v/>
      </c>
      <c r="AP491">
        <f>AO491&amp;IF($Q491="","",", "&amp;$Q491)</f>
        <v/>
      </c>
      <c r="AQ491">
        <f>AP491&amp;IF($R491="","",", "&amp;$R491)</f>
        <v/>
      </c>
      <c r="AR491">
        <f>AQ491&amp;IF($S491="","",", "&amp;$S491)</f>
        <v/>
      </c>
      <c r="AS491">
        <f>AR491&amp;IF($T491="","",", "&amp;$T491)</f>
        <v/>
      </c>
      <c r="AT491">
        <f>AS491&amp;IF($U491="","",", "&amp;$U491)</f>
        <v/>
      </c>
      <c r="AU491">
        <f>AT491&amp;IF($V491="","",", "&amp;$V491)</f>
        <v/>
      </c>
      <c r="AV491">
        <f>AU491&amp;IF($W491="","",", "&amp;$W491)</f>
        <v/>
      </c>
      <c r="AW491">
        <f>AV491&amp;IF($X491="","",", "&amp;$X491)</f>
        <v/>
      </c>
      <c r="AX491">
        <f>AW491&amp;IF($Y491="","",", "&amp;$Y491)</f>
        <v/>
      </c>
    </row>
    <row r="492">
      <c r="A492" s="118">
        <f>IF($B492="","",COUNT($B$5:$B492))</f>
        <v/>
      </c>
      <c r="B492" s="80" t="n"/>
      <c r="C492" s="80" t="n"/>
      <c r="D492" s="74" t="n"/>
      <c r="E492" s="74" t="n"/>
      <c r="F492" s="74" t="n"/>
      <c r="G492" s="118">
        <f>IF($F492="","",COUNTIF($F$5:$F492,$F492))</f>
        <v/>
      </c>
      <c r="H492" s="33">
        <f>IF($F492="","",IFERROR(INDEX(사건마스터!$B$5:$B$64,MATCH($F492,사건마스터!$A$5:$A$64,0)),""))</f>
        <v/>
      </c>
      <c r="I492" s="130">
        <f>IF($F492="","",IFERROR(INDEX(사건마스터!$C$5:$C$64,MATCH($F492,사건마스터!$A$5:$A$64,0)),""))</f>
        <v/>
      </c>
      <c r="J492" s="136">
        <f>IF($F492="","",IFERROR(INDEX(사건마스터!$H$5:$H$64,MATCH($F492,사건마스터!$A$5:$A$64,0)),""))</f>
        <v/>
      </c>
      <c r="K492" s="136">
        <f>IF($F492="","",IFERROR(INDEX(사건마스터!$AH$5:$AH$64,MATCH($F492,사건마스터!$A$5:$A$64,0)),""))</f>
        <v/>
      </c>
      <c r="L492" s="136">
        <f>IF($F492="","",IFERROR(INDEX(사건마스터!$AI$5:$AI$64,MATCH($F492,사건마스터!$A$5:$A$64,0)),""))</f>
        <v/>
      </c>
      <c r="M492" s="136">
        <f>IF($F492="","",IFERROR(INDEX(사건마스터!$AJ$5:$AJ$64,MATCH($F492,사건마스터!$A$5:$A$64,0)),""))</f>
        <v/>
      </c>
      <c r="N492" s="136">
        <f>IF($F492="","",IFERROR(INDEX(사건마스터!$AK$5:$AK$64,MATCH($F492,사건마스터!$A$5:$A$64,0)),""))</f>
        <v/>
      </c>
      <c r="O492" s="136">
        <f>IF($F492="","",IFERROR(INDEX(사건마스터!$AL$5:$AL$64,MATCH($F492,사건마스터!$A$5:$A$64,0)),""))</f>
        <v/>
      </c>
      <c r="P492" s="136">
        <f>IF($F492="","",IFERROR(INDEX(사건마스터!$AM$5:$AM$64,MATCH($F492,사건마스터!$A$5:$A$64,0)),""))</f>
        <v/>
      </c>
      <c r="Q492" s="136">
        <f>IF($F492="","",IFERROR(INDEX(사건마스터!$AN$5:$AN$64,MATCH($F492,사건마스터!$A$5:$A$64,0)),""))</f>
        <v/>
      </c>
      <c r="R492" s="136">
        <f>IF($F492="","",IFERROR(INDEX(사건마스터!$AO$5:$AO$64,MATCH($F492,사건마스터!$A$5:$A$64,0)),""))</f>
        <v/>
      </c>
      <c r="S492" s="136">
        <f>IF($F492="","",IFERROR(INDEX(사건마스터!$AP$5:$AP$64,MATCH($F492,사건마스터!$A$5:$A$64,0)),""))</f>
        <v/>
      </c>
      <c r="T492" s="136">
        <f>IF($F492="","",IFERROR(INDEX(사건마스터!$AQ$5:$AQ$64,MATCH($F492,사건마스터!$A$5:$A$64,0)),""))</f>
        <v/>
      </c>
      <c r="U492" s="136">
        <f>IF($F492="","",IFERROR(INDEX(사건마스터!$AR$5:$AR$64,MATCH($F492,사건마스터!$A$5:$A$64,0)),""))</f>
        <v/>
      </c>
      <c r="V492" s="136">
        <f>IF($F492="","",IFERROR(INDEX(사건마스터!$AS$5:$AS$64,MATCH($F492,사건마스터!$A$5:$A$64,0)),""))</f>
        <v/>
      </c>
      <c r="W492" s="136">
        <f>IF($F492="","",IFERROR(INDEX(사건마스터!$AT$5:$AT$64,MATCH($F492,사건마스터!$A$5:$A$64,0)),""))</f>
        <v/>
      </c>
      <c r="X492" s="136">
        <f>IF($F492="","",IFERROR(INDEX(사건마스터!$AU$5:$AU$64,MATCH($F492,사건마스터!$A$5:$A$64,0)),""))</f>
        <v/>
      </c>
      <c r="Y492" s="136">
        <f>IF($F492="","",IFERROR(INDEX(사건마스터!$AV$5:$AV$64,MATCH($F492,사건마스터!$A$5:$A$64,0)),""))</f>
        <v/>
      </c>
      <c r="Z492" s="118">
        <f>IF(COUNTBLANK($J492:$Y492)=16,"",16-COUNTBLANK($J492:$Y492))</f>
        <v/>
      </c>
      <c r="AA492" s="33">
        <f>IF($J492="",MID($AX492,3,255),$J492&amp;$AX492)</f>
        <v/>
      </c>
      <c r="AB492" s="130">
        <f>IF($J492="","",IFERROR(INDEX(코드설정!$D$5:$D$24,MATCH($J492,코드설정!$C$5:$C$24,0)),""))</f>
        <v/>
      </c>
      <c r="AC492" s="36" t="n"/>
      <c r="AD492" s="37" t="n"/>
      <c r="AE492" s="38" t="n"/>
      <c r="AF492" s="118">
        <f>IF(OR($B492="",$C492=""),"",$C492-$B492+1)</f>
        <v/>
      </c>
      <c r="AG492" s="74" t="n"/>
      <c r="AH492" s="36" t="n"/>
      <c r="AJ492">
        <f>IF($K492="","",", "&amp;$K492)</f>
        <v/>
      </c>
      <c r="AK492">
        <f>AJ492&amp;IF($L492="","",", "&amp;$L492)</f>
        <v/>
      </c>
      <c r="AL492">
        <f>AK492&amp;IF($M492="","",", "&amp;$M492)</f>
        <v/>
      </c>
      <c r="AM492">
        <f>AL492&amp;IF($N492="","",", "&amp;$N492)</f>
        <v/>
      </c>
      <c r="AN492">
        <f>AM492&amp;IF($O492="","",", "&amp;$O492)</f>
        <v/>
      </c>
      <c r="AO492">
        <f>AN492&amp;IF($P492="","",", "&amp;$P492)</f>
        <v/>
      </c>
      <c r="AP492">
        <f>AO492&amp;IF($Q492="","",", "&amp;$Q492)</f>
        <v/>
      </c>
      <c r="AQ492">
        <f>AP492&amp;IF($R492="","",", "&amp;$R492)</f>
        <v/>
      </c>
      <c r="AR492">
        <f>AQ492&amp;IF($S492="","",", "&amp;$S492)</f>
        <v/>
      </c>
      <c r="AS492">
        <f>AR492&amp;IF($T492="","",", "&amp;$T492)</f>
        <v/>
      </c>
      <c r="AT492">
        <f>AS492&amp;IF($U492="","",", "&amp;$U492)</f>
        <v/>
      </c>
      <c r="AU492">
        <f>AT492&amp;IF($V492="","",", "&amp;$V492)</f>
        <v/>
      </c>
      <c r="AV492">
        <f>AU492&amp;IF($W492="","",", "&amp;$W492)</f>
        <v/>
      </c>
      <c r="AW492">
        <f>AV492&amp;IF($X492="","",", "&amp;$X492)</f>
        <v/>
      </c>
      <c r="AX492">
        <f>AW492&amp;IF($Y492="","",", "&amp;$Y492)</f>
        <v/>
      </c>
    </row>
    <row r="493">
      <c r="A493" s="118">
        <f>IF($B493="","",COUNT($B$5:$B493))</f>
        <v/>
      </c>
      <c r="B493" s="80" t="n"/>
      <c r="C493" s="80" t="n"/>
      <c r="D493" s="74" t="n"/>
      <c r="E493" s="74" t="n"/>
      <c r="F493" s="74" t="n"/>
      <c r="G493" s="118">
        <f>IF($F493="","",COUNTIF($F$5:$F493,$F493))</f>
        <v/>
      </c>
      <c r="H493" s="33">
        <f>IF($F493="","",IFERROR(INDEX(사건마스터!$B$5:$B$64,MATCH($F493,사건마스터!$A$5:$A$64,0)),""))</f>
        <v/>
      </c>
      <c r="I493" s="130">
        <f>IF($F493="","",IFERROR(INDEX(사건마스터!$C$5:$C$64,MATCH($F493,사건마스터!$A$5:$A$64,0)),""))</f>
        <v/>
      </c>
      <c r="J493" s="136">
        <f>IF($F493="","",IFERROR(INDEX(사건마스터!$H$5:$H$64,MATCH($F493,사건마스터!$A$5:$A$64,0)),""))</f>
        <v/>
      </c>
      <c r="K493" s="136">
        <f>IF($F493="","",IFERROR(INDEX(사건마스터!$AH$5:$AH$64,MATCH($F493,사건마스터!$A$5:$A$64,0)),""))</f>
        <v/>
      </c>
      <c r="L493" s="136">
        <f>IF($F493="","",IFERROR(INDEX(사건마스터!$AI$5:$AI$64,MATCH($F493,사건마스터!$A$5:$A$64,0)),""))</f>
        <v/>
      </c>
      <c r="M493" s="136">
        <f>IF($F493="","",IFERROR(INDEX(사건마스터!$AJ$5:$AJ$64,MATCH($F493,사건마스터!$A$5:$A$64,0)),""))</f>
        <v/>
      </c>
      <c r="N493" s="136">
        <f>IF($F493="","",IFERROR(INDEX(사건마스터!$AK$5:$AK$64,MATCH($F493,사건마스터!$A$5:$A$64,0)),""))</f>
        <v/>
      </c>
      <c r="O493" s="136">
        <f>IF($F493="","",IFERROR(INDEX(사건마스터!$AL$5:$AL$64,MATCH($F493,사건마스터!$A$5:$A$64,0)),""))</f>
        <v/>
      </c>
      <c r="P493" s="136">
        <f>IF($F493="","",IFERROR(INDEX(사건마스터!$AM$5:$AM$64,MATCH($F493,사건마스터!$A$5:$A$64,0)),""))</f>
        <v/>
      </c>
      <c r="Q493" s="136">
        <f>IF($F493="","",IFERROR(INDEX(사건마스터!$AN$5:$AN$64,MATCH($F493,사건마스터!$A$5:$A$64,0)),""))</f>
        <v/>
      </c>
      <c r="R493" s="136">
        <f>IF($F493="","",IFERROR(INDEX(사건마스터!$AO$5:$AO$64,MATCH($F493,사건마스터!$A$5:$A$64,0)),""))</f>
        <v/>
      </c>
      <c r="S493" s="136">
        <f>IF($F493="","",IFERROR(INDEX(사건마스터!$AP$5:$AP$64,MATCH($F493,사건마스터!$A$5:$A$64,0)),""))</f>
        <v/>
      </c>
      <c r="T493" s="136">
        <f>IF($F493="","",IFERROR(INDEX(사건마스터!$AQ$5:$AQ$64,MATCH($F493,사건마스터!$A$5:$A$64,0)),""))</f>
        <v/>
      </c>
      <c r="U493" s="136">
        <f>IF($F493="","",IFERROR(INDEX(사건마스터!$AR$5:$AR$64,MATCH($F493,사건마스터!$A$5:$A$64,0)),""))</f>
        <v/>
      </c>
      <c r="V493" s="136">
        <f>IF($F493="","",IFERROR(INDEX(사건마스터!$AS$5:$AS$64,MATCH($F493,사건마스터!$A$5:$A$64,0)),""))</f>
        <v/>
      </c>
      <c r="W493" s="136">
        <f>IF($F493="","",IFERROR(INDEX(사건마스터!$AT$5:$AT$64,MATCH($F493,사건마스터!$A$5:$A$64,0)),""))</f>
        <v/>
      </c>
      <c r="X493" s="136">
        <f>IF($F493="","",IFERROR(INDEX(사건마스터!$AU$5:$AU$64,MATCH($F493,사건마스터!$A$5:$A$64,0)),""))</f>
        <v/>
      </c>
      <c r="Y493" s="136">
        <f>IF($F493="","",IFERROR(INDEX(사건마스터!$AV$5:$AV$64,MATCH($F493,사건마스터!$A$5:$A$64,0)),""))</f>
        <v/>
      </c>
      <c r="Z493" s="118">
        <f>IF(COUNTBLANK($J493:$Y493)=16,"",16-COUNTBLANK($J493:$Y493))</f>
        <v/>
      </c>
      <c r="AA493" s="33">
        <f>IF($J493="",MID($AX493,3,255),$J493&amp;$AX493)</f>
        <v/>
      </c>
      <c r="AB493" s="130">
        <f>IF($J493="","",IFERROR(INDEX(코드설정!$D$5:$D$24,MATCH($J493,코드설정!$C$5:$C$24,0)),""))</f>
        <v/>
      </c>
      <c r="AC493" s="36" t="n"/>
      <c r="AD493" s="37" t="n"/>
      <c r="AE493" s="38" t="n"/>
      <c r="AF493" s="118">
        <f>IF(OR($B493="",$C493=""),"",$C493-$B493+1)</f>
        <v/>
      </c>
      <c r="AG493" s="74" t="n"/>
      <c r="AH493" s="36" t="n"/>
      <c r="AJ493">
        <f>IF($K493="","",", "&amp;$K493)</f>
        <v/>
      </c>
      <c r="AK493">
        <f>AJ493&amp;IF($L493="","",", "&amp;$L493)</f>
        <v/>
      </c>
      <c r="AL493">
        <f>AK493&amp;IF($M493="","",", "&amp;$M493)</f>
        <v/>
      </c>
      <c r="AM493">
        <f>AL493&amp;IF($N493="","",", "&amp;$N493)</f>
        <v/>
      </c>
      <c r="AN493">
        <f>AM493&amp;IF($O493="","",", "&amp;$O493)</f>
        <v/>
      </c>
      <c r="AO493">
        <f>AN493&amp;IF($P493="","",", "&amp;$P493)</f>
        <v/>
      </c>
      <c r="AP493">
        <f>AO493&amp;IF($Q493="","",", "&amp;$Q493)</f>
        <v/>
      </c>
      <c r="AQ493">
        <f>AP493&amp;IF($R493="","",", "&amp;$R493)</f>
        <v/>
      </c>
      <c r="AR493">
        <f>AQ493&amp;IF($S493="","",", "&amp;$S493)</f>
        <v/>
      </c>
      <c r="AS493">
        <f>AR493&amp;IF($T493="","",", "&amp;$T493)</f>
        <v/>
      </c>
      <c r="AT493">
        <f>AS493&amp;IF($U493="","",", "&amp;$U493)</f>
        <v/>
      </c>
      <c r="AU493">
        <f>AT493&amp;IF($V493="","",", "&amp;$V493)</f>
        <v/>
      </c>
      <c r="AV493">
        <f>AU493&amp;IF($W493="","",", "&amp;$W493)</f>
        <v/>
      </c>
      <c r="AW493">
        <f>AV493&amp;IF($X493="","",", "&amp;$X493)</f>
        <v/>
      </c>
      <c r="AX493">
        <f>AW493&amp;IF($Y493="","",", "&amp;$Y493)</f>
        <v/>
      </c>
    </row>
    <row r="494">
      <c r="A494" s="118">
        <f>IF($B494="","",COUNT($B$5:$B494))</f>
        <v/>
      </c>
      <c r="B494" s="80" t="n"/>
      <c r="C494" s="80" t="n"/>
      <c r="D494" s="74" t="n"/>
      <c r="E494" s="74" t="n"/>
      <c r="F494" s="74" t="n"/>
      <c r="G494" s="118">
        <f>IF($F494="","",COUNTIF($F$5:$F494,$F494))</f>
        <v/>
      </c>
      <c r="H494" s="33">
        <f>IF($F494="","",IFERROR(INDEX(사건마스터!$B$5:$B$64,MATCH($F494,사건마스터!$A$5:$A$64,0)),""))</f>
        <v/>
      </c>
      <c r="I494" s="130">
        <f>IF($F494="","",IFERROR(INDEX(사건마스터!$C$5:$C$64,MATCH($F494,사건마스터!$A$5:$A$64,0)),""))</f>
        <v/>
      </c>
      <c r="J494" s="136">
        <f>IF($F494="","",IFERROR(INDEX(사건마스터!$H$5:$H$64,MATCH($F494,사건마스터!$A$5:$A$64,0)),""))</f>
        <v/>
      </c>
      <c r="K494" s="136">
        <f>IF($F494="","",IFERROR(INDEX(사건마스터!$AH$5:$AH$64,MATCH($F494,사건마스터!$A$5:$A$64,0)),""))</f>
        <v/>
      </c>
      <c r="L494" s="136">
        <f>IF($F494="","",IFERROR(INDEX(사건마스터!$AI$5:$AI$64,MATCH($F494,사건마스터!$A$5:$A$64,0)),""))</f>
        <v/>
      </c>
      <c r="M494" s="136">
        <f>IF($F494="","",IFERROR(INDEX(사건마스터!$AJ$5:$AJ$64,MATCH($F494,사건마스터!$A$5:$A$64,0)),""))</f>
        <v/>
      </c>
      <c r="N494" s="136">
        <f>IF($F494="","",IFERROR(INDEX(사건마스터!$AK$5:$AK$64,MATCH($F494,사건마스터!$A$5:$A$64,0)),""))</f>
        <v/>
      </c>
      <c r="O494" s="136">
        <f>IF($F494="","",IFERROR(INDEX(사건마스터!$AL$5:$AL$64,MATCH($F494,사건마스터!$A$5:$A$64,0)),""))</f>
        <v/>
      </c>
      <c r="P494" s="136">
        <f>IF($F494="","",IFERROR(INDEX(사건마스터!$AM$5:$AM$64,MATCH($F494,사건마스터!$A$5:$A$64,0)),""))</f>
        <v/>
      </c>
      <c r="Q494" s="136">
        <f>IF($F494="","",IFERROR(INDEX(사건마스터!$AN$5:$AN$64,MATCH($F494,사건마스터!$A$5:$A$64,0)),""))</f>
        <v/>
      </c>
      <c r="R494" s="136">
        <f>IF($F494="","",IFERROR(INDEX(사건마스터!$AO$5:$AO$64,MATCH($F494,사건마스터!$A$5:$A$64,0)),""))</f>
        <v/>
      </c>
      <c r="S494" s="136">
        <f>IF($F494="","",IFERROR(INDEX(사건마스터!$AP$5:$AP$64,MATCH($F494,사건마스터!$A$5:$A$64,0)),""))</f>
        <v/>
      </c>
      <c r="T494" s="136">
        <f>IF($F494="","",IFERROR(INDEX(사건마스터!$AQ$5:$AQ$64,MATCH($F494,사건마스터!$A$5:$A$64,0)),""))</f>
        <v/>
      </c>
      <c r="U494" s="136">
        <f>IF($F494="","",IFERROR(INDEX(사건마스터!$AR$5:$AR$64,MATCH($F494,사건마스터!$A$5:$A$64,0)),""))</f>
        <v/>
      </c>
      <c r="V494" s="136">
        <f>IF($F494="","",IFERROR(INDEX(사건마스터!$AS$5:$AS$64,MATCH($F494,사건마스터!$A$5:$A$64,0)),""))</f>
        <v/>
      </c>
      <c r="W494" s="136">
        <f>IF($F494="","",IFERROR(INDEX(사건마스터!$AT$5:$AT$64,MATCH($F494,사건마스터!$A$5:$A$64,0)),""))</f>
        <v/>
      </c>
      <c r="X494" s="136">
        <f>IF($F494="","",IFERROR(INDEX(사건마스터!$AU$5:$AU$64,MATCH($F494,사건마스터!$A$5:$A$64,0)),""))</f>
        <v/>
      </c>
      <c r="Y494" s="136">
        <f>IF($F494="","",IFERROR(INDEX(사건마스터!$AV$5:$AV$64,MATCH($F494,사건마스터!$A$5:$A$64,0)),""))</f>
        <v/>
      </c>
      <c r="Z494" s="118">
        <f>IF(COUNTBLANK($J494:$Y494)=16,"",16-COUNTBLANK($J494:$Y494))</f>
        <v/>
      </c>
      <c r="AA494" s="33">
        <f>IF($J494="",MID($AX494,3,255),$J494&amp;$AX494)</f>
        <v/>
      </c>
      <c r="AB494" s="130">
        <f>IF($J494="","",IFERROR(INDEX(코드설정!$D$5:$D$24,MATCH($J494,코드설정!$C$5:$C$24,0)),""))</f>
        <v/>
      </c>
      <c r="AC494" s="36" t="n"/>
      <c r="AD494" s="37" t="n"/>
      <c r="AE494" s="38" t="n"/>
      <c r="AF494" s="118">
        <f>IF(OR($B494="",$C494=""),"",$C494-$B494+1)</f>
        <v/>
      </c>
      <c r="AG494" s="74" t="n"/>
      <c r="AH494" s="36" t="n"/>
      <c r="AJ494">
        <f>IF($K494="","",", "&amp;$K494)</f>
        <v/>
      </c>
      <c r="AK494">
        <f>AJ494&amp;IF($L494="","",", "&amp;$L494)</f>
        <v/>
      </c>
      <c r="AL494">
        <f>AK494&amp;IF($M494="","",", "&amp;$M494)</f>
        <v/>
      </c>
      <c r="AM494">
        <f>AL494&amp;IF($N494="","",", "&amp;$N494)</f>
        <v/>
      </c>
      <c r="AN494">
        <f>AM494&amp;IF($O494="","",", "&amp;$O494)</f>
        <v/>
      </c>
      <c r="AO494">
        <f>AN494&amp;IF($P494="","",", "&amp;$P494)</f>
        <v/>
      </c>
      <c r="AP494">
        <f>AO494&amp;IF($Q494="","",", "&amp;$Q494)</f>
        <v/>
      </c>
      <c r="AQ494">
        <f>AP494&amp;IF($R494="","",", "&amp;$R494)</f>
        <v/>
      </c>
      <c r="AR494">
        <f>AQ494&amp;IF($S494="","",", "&amp;$S494)</f>
        <v/>
      </c>
      <c r="AS494">
        <f>AR494&amp;IF($T494="","",", "&amp;$T494)</f>
        <v/>
      </c>
      <c r="AT494">
        <f>AS494&amp;IF($U494="","",", "&amp;$U494)</f>
        <v/>
      </c>
      <c r="AU494">
        <f>AT494&amp;IF($V494="","",", "&amp;$V494)</f>
        <v/>
      </c>
      <c r="AV494">
        <f>AU494&amp;IF($W494="","",", "&amp;$W494)</f>
        <v/>
      </c>
      <c r="AW494">
        <f>AV494&amp;IF($X494="","",", "&amp;$X494)</f>
        <v/>
      </c>
      <c r="AX494">
        <f>AW494&amp;IF($Y494="","",", "&amp;$Y494)</f>
        <v/>
      </c>
    </row>
    <row r="495">
      <c r="A495" s="118">
        <f>IF($B495="","",COUNT($B$5:$B495))</f>
        <v/>
      </c>
      <c r="B495" s="80" t="n"/>
      <c r="C495" s="80" t="n"/>
      <c r="D495" s="74" t="n"/>
      <c r="E495" s="74" t="n"/>
      <c r="F495" s="74" t="n"/>
      <c r="G495" s="118">
        <f>IF($F495="","",COUNTIF($F$5:$F495,$F495))</f>
        <v/>
      </c>
      <c r="H495" s="33">
        <f>IF($F495="","",IFERROR(INDEX(사건마스터!$B$5:$B$64,MATCH($F495,사건마스터!$A$5:$A$64,0)),""))</f>
        <v/>
      </c>
      <c r="I495" s="130">
        <f>IF($F495="","",IFERROR(INDEX(사건마스터!$C$5:$C$64,MATCH($F495,사건마스터!$A$5:$A$64,0)),""))</f>
        <v/>
      </c>
      <c r="J495" s="136">
        <f>IF($F495="","",IFERROR(INDEX(사건마스터!$H$5:$H$64,MATCH($F495,사건마스터!$A$5:$A$64,0)),""))</f>
        <v/>
      </c>
      <c r="K495" s="136">
        <f>IF($F495="","",IFERROR(INDEX(사건마스터!$AH$5:$AH$64,MATCH($F495,사건마스터!$A$5:$A$64,0)),""))</f>
        <v/>
      </c>
      <c r="L495" s="136">
        <f>IF($F495="","",IFERROR(INDEX(사건마스터!$AI$5:$AI$64,MATCH($F495,사건마스터!$A$5:$A$64,0)),""))</f>
        <v/>
      </c>
      <c r="M495" s="136">
        <f>IF($F495="","",IFERROR(INDEX(사건마스터!$AJ$5:$AJ$64,MATCH($F495,사건마스터!$A$5:$A$64,0)),""))</f>
        <v/>
      </c>
      <c r="N495" s="136">
        <f>IF($F495="","",IFERROR(INDEX(사건마스터!$AK$5:$AK$64,MATCH($F495,사건마스터!$A$5:$A$64,0)),""))</f>
        <v/>
      </c>
      <c r="O495" s="136">
        <f>IF($F495="","",IFERROR(INDEX(사건마스터!$AL$5:$AL$64,MATCH($F495,사건마스터!$A$5:$A$64,0)),""))</f>
        <v/>
      </c>
      <c r="P495" s="136">
        <f>IF($F495="","",IFERROR(INDEX(사건마스터!$AM$5:$AM$64,MATCH($F495,사건마스터!$A$5:$A$64,0)),""))</f>
        <v/>
      </c>
      <c r="Q495" s="136">
        <f>IF($F495="","",IFERROR(INDEX(사건마스터!$AN$5:$AN$64,MATCH($F495,사건마스터!$A$5:$A$64,0)),""))</f>
        <v/>
      </c>
      <c r="R495" s="136">
        <f>IF($F495="","",IFERROR(INDEX(사건마스터!$AO$5:$AO$64,MATCH($F495,사건마스터!$A$5:$A$64,0)),""))</f>
        <v/>
      </c>
      <c r="S495" s="136">
        <f>IF($F495="","",IFERROR(INDEX(사건마스터!$AP$5:$AP$64,MATCH($F495,사건마스터!$A$5:$A$64,0)),""))</f>
        <v/>
      </c>
      <c r="T495" s="136">
        <f>IF($F495="","",IFERROR(INDEX(사건마스터!$AQ$5:$AQ$64,MATCH($F495,사건마스터!$A$5:$A$64,0)),""))</f>
        <v/>
      </c>
      <c r="U495" s="136">
        <f>IF($F495="","",IFERROR(INDEX(사건마스터!$AR$5:$AR$64,MATCH($F495,사건마스터!$A$5:$A$64,0)),""))</f>
        <v/>
      </c>
      <c r="V495" s="136">
        <f>IF($F495="","",IFERROR(INDEX(사건마스터!$AS$5:$AS$64,MATCH($F495,사건마스터!$A$5:$A$64,0)),""))</f>
        <v/>
      </c>
      <c r="W495" s="136">
        <f>IF($F495="","",IFERROR(INDEX(사건마스터!$AT$5:$AT$64,MATCH($F495,사건마스터!$A$5:$A$64,0)),""))</f>
        <v/>
      </c>
      <c r="X495" s="136">
        <f>IF($F495="","",IFERROR(INDEX(사건마스터!$AU$5:$AU$64,MATCH($F495,사건마스터!$A$5:$A$64,0)),""))</f>
        <v/>
      </c>
      <c r="Y495" s="136">
        <f>IF($F495="","",IFERROR(INDEX(사건마스터!$AV$5:$AV$64,MATCH($F495,사건마스터!$A$5:$A$64,0)),""))</f>
        <v/>
      </c>
      <c r="Z495" s="118">
        <f>IF(COUNTBLANK($J495:$Y495)=16,"",16-COUNTBLANK($J495:$Y495))</f>
        <v/>
      </c>
      <c r="AA495" s="33">
        <f>IF($J495="",MID($AX495,3,255),$J495&amp;$AX495)</f>
        <v/>
      </c>
      <c r="AB495" s="130">
        <f>IF($J495="","",IFERROR(INDEX(코드설정!$D$5:$D$24,MATCH($J495,코드설정!$C$5:$C$24,0)),""))</f>
        <v/>
      </c>
      <c r="AC495" s="36" t="n"/>
      <c r="AD495" s="37" t="n"/>
      <c r="AE495" s="38" t="n"/>
      <c r="AF495" s="118">
        <f>IF(OR($B495="",$C495=""),"",$C495-$B495+1)</f>
        <v/>
      </c>
      <c r="AG495" s="74" t="n"/>
      <c r="AH495" s="36" t="n"/>
      <c r="AJ495">
        <f>IF($K495="","",", "&amp;$K495)</f>
        <v/>
      </c>
      <c r="AK495">
        <f>AJ495&amp;IF($L495="","",", "&amp;$L495)</f>
        <v/>
      </c>
      <c r="AL495">
        <f>AK495&amp;IF($M495="","",", "&amp;$M495)</f>
        <v/>
      </c>
      <c r="AM495">
        <f>AL495&amp;IF($N495="","",", "&amp;$N495)</f>
        <v/>
      </c>
      <c r="AN495">
        <f>AM495&amp;IF($O495="","",", "&amp;$O495)</f>
        <v/>
      </c>
      <c r="AO495">
        <f>AN495&amp;IF($P495="","",", "&amp;$P495)</f>
        <v/>
      </c>
      <c r="AP495">
        <f>AO495&amp;IF($Q495="","",", "&amp;$Q495)</f>
        <v/>
      </c>
      <c r="AQ495">
        <f>AP495&amp;IF($R495="","",", "&amp;$R495)</f>
        <v/>
      </c>
      <c r="AR495">
        <f>AQ495&amp;IF($S495="","",", "&amp;$S495)</f>
        <v/>
      </c>
      <c r="AS495">
        <f>AR495&amp;IF($T495="","",", "&amp;$T495)</f>
        <v/>
      </c>
      <c r="AT495">
        <f>AS495&amp;IF($U495="","",", "&amp;$U495)</f>
        <v/>
      </c>
      <c r="AU495">
        <f>AT495&amp;IF($V495="","",", "&amp;$V495)</f>
        <v/>
      </c>
      <c r="AV495">
        <f>AU495&amp;IF($W495="","",", "&amp;$W495)</f>
        <v/>
      </c>
      <c r="AW495">
        <f>AV495&amp;IF($X495="","",", "&amp;$X495)</f>
        <v/>
      </c>
      <c r="AX495">
        <f>AW495&amp;IF($Y495="","",", "&amp;$Y495)</f>
        <v/>
      </c>
    </row>
    <row r="496">
      <c r="A496" s="118">
        <f>IF($B496="","",COUNT($B$5:$B496))</f>
        <v/>
      </c>
      <c r="B496" s="80" t="n"/>
      <c r="C496" s="80" t="n"/>
      <c r="D496" s="74" t="n"/>
      <c r="E496" s="74" t="n"/>
      <c r="F496" s="74" t="n"/>
      <c r="G496" s="118">
        <f>IF($F496="","",COUNTIF($F$5:$F496,$F496))</f>
        <v/>
      </c>
      <c r="H496" s="33">
        <f>IF($F496="","",IFERROR(INDEX(사건마스터!$B$5:$B$64,MATCH($F496,사건마스터!$A$5:$A$64,0)),""))</f>
        <v/>
      </c>
      <c r="I496" s="130">
        <f>IF($F496="","",IFERROR(INDEX(사건마스터!$C$5:$C$64,MATCH($F496,사건마스터!$A$5:$A$64,0)),""))</f>
        <v/>
      </c>
      <c r="J496" s="136">
        <f>IF($F496="","",IFERROR(INDEX(사건마스터!$H$5:$H$64,MATCH($F496,사건마스터!$A$5:$A$64,0)),""))</f>
        <v/>
      </c>
      <c r="K496" s="136">
        <f>IF($F496="","",IFERROR(INDEX(사건마스터!$AH$5:$AH$64,MATCH($F496,사건마스터!$A$5:$A$64,0)),""))</f>
        <v/>
      </c>
      <c r="L496" s="136">
        <f>IF($F496="","",IFERROR(INDEX(사건마스터!$AI$5:$AI$64,MATCH($F496,사건마스터!$A$5:$A$64,0)),""))</f>
        <v/>
      </c>
      <c r="M496" s="136">
        <f>IF($F496="","",IFERROR(INDEX(사건마스터!$AJ$5:$AJ$64,MATCH($F496,사건마스터!$A$5:$A$64,0)),""))</f>
        <v/>
      </c>
      <c r="N496" s="136">
        <f>IF($F496="","",IFERROR(INDEX(사건마스터!$AK$5:$AK$64,MATCH($F496,사건마스터!$A$5:$A$64,0)),""))</f>
        <v/>
      </c>
      <c r="O496" s="136">
        <f>IF($F496="","",IFERROR(INDEX(사건마스터!$AL$5:$AL$64,MATCH($F496,사건마스터!$A$5:$A$64,0)),""))</f>
        <v/>
      </c>
      <c r="P496" s="136">
        <f>IF($F496="","",IFERROR(INDEX(사건마스터!$AM$5:$AM$64,MATCH($F496,사건마스터!$A$5:$A$64,0)),""))</f>
        <v/>
      </c>
      <c r="Q496" s="136">
        <f>IF($F496="","",IFERROR(INDEX(사건마스터!$AN$5:$AN$64,MATCH($F496,사건마스터!$A$5:$A$64,0)),""))</f>
        <v/>
      </c>
      <c r="R496" s="136">
        <f>IF($F496="","",IFERROR(INDEX(사건마스터!$AO$5:$AO$64,MATCH($F496,사건마스터!$A$5:$A$64,0)),""))</f>
        <v/>
      </c>
      <c r="S496" s="136">
        <f>IF($F496="","",IFERROR(INDEX(사건마스터!$AP$5:$AP$64,MATCH($F496,사건마스터!$A$5:$A$64,0)),""))</f>
        <v/>
      </c>
      <c r="T496" s="136">
        <f>IF($F496="","",IFERROR(INDEX(사건마스터!$AQ$5:$AQ$64,MATCH($F496,사건마스터!$A$5:$A$64,0)),""))</f>
        <v/>
      </c>
      <c r="U496" s="136">
        <f>IF($F496="","",IFERROR(INDEX(사건마스터!$AR$5:$AR$64,MATCH($F496,사건마스터!$A$5:$A$64,0)),""))</f>
        <v/>
      </c>
      <c r="V496" s="136">
        <f>IF($F496="","",IFERROR(INDEX(사건마스터!$AS$5:$AS$64,MATCH($F496,사건마스터!$A$5:$A$64,0)),""))</f>
        <v/>
      </c>
      <c r="W496" s="136">
        <f>IF($F496="","",IFERROR(INDEX(사건마스터!$AT$5:$AT$64,MATCH($F496,사건마스터!$A$5:$A$64,0)),""))</f>
        <v/>
      </c>
      <c r="X496" s="136">
        <f>IF($F496="","",IFERROR(INDEX(사건마스터!$AU$5:$AU$64,MATCH($F496,사건마스터!$A$5:$A$64,0)),""))</f>
        <v/>
      </c>
      <c r="Y496" s="136">
        <f>IF($F496="","",IFERROR(INDEX(사건마스터!$AV$5:$AV$64,MATCH($F496,사건마스터!$A$5:$A$64,0)),""))</f>
        <v/>
      </c>
      <c r="Z496" s="118">
        <f>IF(COUNTBLANK($J496:$Y496)=16,"",16-COUNTBLANK($J496:$Y496))</f>
        <v/>
      </c>
      <c r="AA496" s="33">
        <f>IF($J496="",MID($AX496,3,255),$J496&amp;$AX496)</f>
        <v/>
      </c>
      <c r="AB496" s="130">
        <f>IF($J496="","",IFERROR(INDEX(코드설정!$D$5:$D$24,MATCH($J496,코드설정!$C$5:$C$24,0)),""))</f>
        <v/>
      </c>
      <c r="AC496" s="36" t="n"/>
      <c r="AD496" s="37" t="n"/>
      <c r="AE496" s="38" t="n"/>
      <c r="AF496" s="118">
        <f>IF(OR($B496="",$C496=""),"",$C496-$B496+1)</f>
        <v/>
      </c>
      <c r="AG496" s="74" t="n"/>
      <c r="AH496" s="36" t="n"/>
      <c r="AJ496">
        <f>IF($K496="","",", "&amp;$K496)</f>
        <v/>
      </c>
      <c r="AK496">
        <f>AJ496&amp;IF($L496="","",", "&amp;$L496)</f>
        <v/>
      </c>
      <c r="AL496">
        <f>AK496&amp;IF($M496="","",", "&amp;$M496)</f>
        <v/>
      </c>
      <c r="AM496">
        <f>AL496&amp;IF($N496="","",", "&amp;$N496)</f>
        <v/>
      </c>
      <c r="AN496">
        <f>AM496&amp;IF($O496="","",", "&amp;$O496)</f>
        <v/>
      </c>
      <c r="AO496">
        <f>AN496&amp;IF($P496="","",", "&amp;$P496)</f>
        <v/>
      </c>
      <c r="AP496">
        <f>AO496&amp;IF($Q496="","",", "&amp;$Q496)</f>
        <v/>
      </c>
      <c r="AQ496">
        <f>AP496&amp;IF($R496="","",", "&amp;$R496)</f>
        <v/>
      </c>
      <c r="AR496">
        <f>AQ496&amp;IF($S496="","",", "&amp;$S496)</f>
        <v/>
      </c>
      <c r="AS496">
        <f>AR496&amp;IF($T496="","",", "&amp;$T496)</f>
        <v/>
      </c>
      <c r="AT496">
        <f>AS496&amp;IF($U496="","",", "&amp;$U496)</f>
        <v/>
      </c>
      <c r="AU496">
        <f>AT496&amp;IF($V496="","",", "&amp;$V496)</f>
        <v/>
      </c>
      <c r="AV496">
        <f>AU496&amp;IF($W496="","",", "&amp;$W496)</f>
        <v/>
      </c>
      <c r="AW496">
        <f>AV496&amp;IF($X496="","",", "&amp;$X496)</f>
        <v/>
      </c>
      <c r="AX496">
        <f>AW496&amp;IF($Y496="","",", "&amp;$Y496)</f>
        <v/>
      </c>
    </row>
    <row r="497">
      <c r="A497" s="118">
        <f>IF($B497="","",COUNT($B$5:$B497))</f>
        <v/>
      </c>
      <c r="B497" s="80" t="n"/>
      <c r="C497" s="80" t="n"/>
      <c r="D497" s="74" t="n"/>
      <c r="E497" s="74" t="n"/>
      <c r="F497" s="74" t="n"/>
      <c r="G497" s="118">
        <f>IF($F497="","",COUNTIF($F$5:$F497,$F497))</f>
        <v/>
      </c>
      <c r="H497" s="33">
        <f>IF($F497="","",IFERROR(INDEX(사건마스터!$B$5:$B$64,MATCH($F497,사건마스터!$A$5:$A$64,0)),""))</f>
        <v/>
      </c>
      <c r="I497" s="130">
        <f>IF($F497="","",IFERROR(INDEX(사건마스터!$C$5:$C$64,MATCH($F497,사건마스터!$A$5:$A$64,0)),""))</f>
        <v/>
      </c>
      <c r="J497" s="136">
        <f>IF($F497="","",IFERROR(INDEX(사건마스터!$H$5:$H$64,MATCH($F497,사건마스터!$A$5:$A$64,0)),""))</f>
        <v/>
      </c>
      <c r="K497" s="136">
        <f>IF($F497="","",IFERROR(INDEX(사건마스터!$AH$5:$AH$64,MATCH($F497,사건마스터!$A$5:$A$64,0)),""))</f>
        <v/>
      </c>
      <c r="L497" s="136">
        <f>IF($F497="","",IFERROR(INDEX(사건마스터!$AI$5:$AI$64,MATCH($F497,사건마스터!$A$5:$A$64,0)),""))</f>
        <v/>
      </c>
      <c r="M497" s="136">
        <f>IF($F497="","",IFERROR(INDEX(사건마스터!$AJ$5:$AJ$64,MATCH($F497,사건마스터!$A$5:$A$64,0)),""))</f>
        <v/>
      </c>
      <c r="N497" s="136">
        <f>IF($F497="","",IFERROR(INDEX(사건마스터!$AK$5:$AK$64,MATCH($F497,사건마스터!$A$5:$A$64,0)),""))</f>
        <v/>
      </c>
      <c r="O497" s="136">
        <f>IF($F497="","",IFERROR(INDEX(사건마스터!$AL$5:$AL$64,MATCH($F497,사건마스터!$A$5:$A$64,0)),""))</f>
        <v/>
      </c>
      <c r="P497" s="136">
        <f>IF($F497="","",IFERROR(INDEX(사건마스터!$AM$5:$AM$64,MATCH($F497,사건마스터!$A$5:$A$64,0)),""))</f>
        <v/>
      </c>
      <c r="Q497" s="136">
        <f>IF($F497="","",IFERROR(INDEX(사건마스터!$AN$5:$AN$64,MATCH($F497,사건마스터!$A$5:$A$64,0)),""))</f>
        <v/>
      </c>
      <c r="R497" s="136">
        <f>IF($F497="","",IFERROR(INDEX(사건마스터!$AO$5:$AO$64,MATCH($F497,사건마스터!$A$5:$A$64,0)),""))</f>
        <v/>
      </c>
      <c r="S497" s="136">
        <f>IF($F497="","",IFERROR(INDEX(사건마스터!$AP$5:$AP$64,MATCH($F497,사건마스터!$A$5:$A$64,0)),""))</f>
        <v/>
      </c>
      <c r="T497" s="136">
        <f>IF($F497="","",IFERROR(INDEX(사건마스터!$AQ$5:$AQ$64,MATCH($F497,사건마스터!$A$5:$A$64,0)),""))</f>
        <v/>
      </c>
      <c r="U497" s="136">
        <f>IF($F497="","",IFERROR(INDEX(사건마스터!$AR$5:$AR$64,MATCH($F497,사건마스터!$A$5:$A$64,0)),""))</f>
        <v/>
      </c>
      <c r="V497" s="136">
        <f>IF($F497="","",IFERROR(INDEX(사건마스터!$AS$5:$AS$64,MATCH($F497,사건마스터!$A$5:$A$64,0)),""))</f>
        <v/>
      </c>
      <c r="W497" s="136">
        <f>IF($F497="","",IFERROR(INDEX(사건마스터!$AT$5:$AT$64,MATCH($F497,사건마스터!$A$5:$A$64,0)),""))</f>
        <v/>
      </c>
      <c r="X497" s="136">
        <f>IF($F497="","",IFERROR(INDEX(사건마스터!$AU$5:$AU$64,MATCH($F497,사건마스터!$A$5:$A$64,0)),""))</f>
        <v/>
      </c>
      <c r="Y497" s="136">
        <f>IF($F497="","",IFERROR(INDEX(사건마스터!$AV$5:$AV$64,MATCH($F497,사건마스터!$A$5:$A$64,0)),""))</f>
        <v/>
      </c>
      <c r="Z497" s="118">
        <f>IF(COUNTBLANK($J497:$Y497)=16,"",16-COUNTBLANK($J497:$Y497))</f>
        <v/>
      </c>
      <c r="AA497" s="33">
        <f>IF($J497="",MID($AX497,3,255),$J497&amp;$AX497)</f>
        <v/>
      </c>
      <c r="AB497" s="130">
        <f>IF($J497="","",IFERROR(INDEX(코드설정!$D$5:$D$24,MATCH($J497,코드설정!$C$5:$C$24,0)),""))</f>
        <v/>
      </c>
      <c r="AC497" s="36" t="n"/>
      <c r="AD497" s="37" t="n"/>
      <c r="AE497" s="38" t="n"/>
      <c r="AF497" s="118">
        <f>IF(OR($B497="",$C497=""),"",$C497-$B497+1)</f>
        <v/>
      </c>
      <c r="AG497" s="74" t="n"/>
      <c r="AH497" s="36" t="n"/>
      <c r="AJ497">
        <f>IF($K497="","",", "&amp;$K497)</f>
        <v/>
      </c>
      <c r="AK497">
        <f>AJ497&amp;IF($L497="","",", "&amp;$L497)</f>
        <v/>
      </c>
      <c r="AL497">
        <f>AK497&amp;IF($M497="","",", "&amp;$M497)</f>
        <v/>
      </c>
      <c r="AM497">
        <f>AL497&amp;IF($N497="","",", "&amp;$N497)</f>
        <v/>
      </c>
      <c r="AN497">
        <f>AM497&amp;IF($O497="","",", "&amp;$O497)</f>
        <v/>
      </c>
      <c r="AO497">
        <f>AN497&amp;IF($P497="","",", "&amp;$P497)</f>
        <v/>
      </c>
      <c r="AP497">
        <f>AO497&amp;IF($Q497="","",", "&amp;$Q497)</f>
        <v/>
      </c>
      <c r="AQ497">
        <f>AP497&amp;IF($R497="","",", "&amp;$R497)</f>
        <v/>
      </c>
      <c r="AR497">
        <f>AQ497&amp;IF($S497="","",", "&amp;$S497)</f>
        <v/>
      </c>
      <c r="AS497">
        <f>AR497&amp;IF($T497="","",", "&amp;$T497)</f>
        <v/>
      </c>
      <c r="AT497">
        <f>AS497&amp;IF($U497="","",", "&amp;$U497)</f>
        <v/>
      </c>
      <c r="AU497">
        <f>AT497&amp;IF($V497="","",", "&amp;$V497)</f>
        <v/>
      </c>
      <c r="AV497">
        <f>AU497&amp;IF($W497="","",", "&amp;$W497)</f>
        <v/>
      </c>
      <c r="AW497">
        <f>AV497&amp;IF($X497="","",", "&amp;$X497)</f>
        <v/>
      </c>
      <c r="AX497">
        <f>AW497&amp;IF($Y497="","",", "&amp;$Y497)</f>
        <v/>
      </c>
    </row>
    <row r="498">
      <c r="A498" s="118">
        <f>IF($B498="","",COUNT($B$5:$B498))</f>
        <v/>
      </c>
      <c r="B498" s="80" t="n"/>
      <c r="C498" s="80" t="n"/>
      <c r="D498" s="74" t="n"/>
      <c r="E498" s="74" t="n"/>
      <c r="F498" s="74" t="n"/>
      <c r="G498" s="118">
        <f>IF($F498="","",COUNTIF($F$5:$F498,$F498))</f>
        <v/>
      </c>
      <c r="H498" s="33">
        <f>IF($F498="","",IFERROR(INDEX(사건마스터!$B$5:$B$64,MATCH($F498,사건마스터!$A$5:$A$64,0)),""))</f>
        <v/>
      </c>
      <c r="I498" s="130">
        <f>IF($F498="","",IFERROR(INDEX(사건마스터!$C$5:$C$64,MATCH($F498,사건마스터!$A$5:$A$64,0)),""))</f>
        <v/>
      </c>
      <c r="J498" s="136">
        <f>IF($F498="","",IFERROR(INDEX(사건마스터!$H$5:$H$64,MATCH($F498,사건마스터!$A$5:$A$64,0)),""))</f>
        <v/>
      </c>
      <c r="K498" s="136">
        <f>IF($F498="","",IFERROR(INDEX(사건마스터!$AH$5:$AH$64,MATCH($F498,사건마스터!$A$5:$A$64,0)),""))</f>
        <v/>
      </c>
      <c r="L498" s="136">
        <f>IF($F498="","",IFERROR(INDEX(사건마스터!$AI$5:$AI$64,MATCH($F498,사건마스터!$A$5:$A$64,0)),""))</f>
        <v/>
      </c>
      <c r="M498" s="136">
        <f>IF($F498="","",IFERROR(INDEX(사건마스터!$AJ$5:$AJ$64,MATCH($F498,사건마스터!$A$5:$A$64,0)),""))</f>
        <v/>
      </c>
      <c r="N498" s="136">
        <f>IF($F498="","",IFERROR(INDEX(사건마스터!$AK$5:$AK$64,MATCH($F498,사건마스터!$A$5:$A$64,0)),""))</f>
        <v/>
      </c>
      <c r="O498" s="136">
        <f>IF($F498="","",IFERROR(INDEX(사건마스터!$AL$5:$AL$64,MATCH($F498,사건마스터!$A$5:$A$64,0)),""))</f>
        <v/>
      </c>
      <c r="P498" s="136">
        <f>IF($F498="","",IFERROR(INDEX(사건마스터!$AM$5:$AM$64,MATCH($F498,사건마스터!$A$5:$A$64,0)),""))</f>
        <v/>
      </c>
      <c r="Q498" s="136">
        <f>IF($F498="","",IFERROR(INDEX(사건마스터!$AN$5:$AN$64,MATCH($F498,사건마스터!$A$5:$A$64,0)),""))</f>
        <v/>
      </c>
      <c r="R498" s="136">
        <f>IF($F498="","",IFERROR(INDEX(사건마스터!$AO$5:$AO$64,MATCH($F498,사건마스터!$A$5:$A$64,0)),""))</f>
        <v/>
      </c>
      <c r="S498" s="136">
        <f>IF($F498="","",IFERROR(INDEX(사건마스터!$AP$5:$AP$64,MATCH($F498,사건마스터!$A$5:$A$64,0)),""))</f>
        <v/>
      </c>
      <c r="T498" s="136">
        <f>IF($F498="","",IFERROR(INDEX(사건마스터!$AQ$5:$AQ$64,MATCH($F498,사건마스터!$A$5:$A$64,0)),""))</f>
        <v/>
      </c>
      <c r="U498" s="136">
        <f>IF($F498="","",IFERROR(INDEX(사건마스터!$AR$5:$AR$64,MATCH($F498,사건마스터!$A$5:$A$64,0)),""))</f>
        <v/>
      </c>
      <c r="V498" s="136">
        <f>IF($F498="","",IFERROR(INDEX(사건마스터!$AS$5:$AS$64,MATCH($F498,사건마스터!$A$5:$A$64,0)),""))</f>
        <v/>
      </c>
      <c r="W498" s="136">
        <f>IF($F498="","",IFERROR(INDEX(사건마스터!$AT$5:$AT$64,MATCH($F498,사건마스터!$A$5:$A$64,0)),""))</f>
        <v/>
      </c>
      <c r="X498" s="136">
        <f>IF($F498="","",IFERROR(INDEX(사건마스터!$AU$5:$AU$64,MATCH($F498,사건마스터!$A$5:$A$64,0)),""))</f>
        <v/>
      </c>
      <c r="Y498" s="136">
        <f>IF($F498="","",IFERROR(INDEX(사건마스터!$AV$5:$AV$64,MATCH($F498,사건마스터!$A$5:$A$64,0)),""))</f>
        <v/>
      </c>
      <c r="Z498" s="118">
        <f>IF(COUNTBLANK($J498:$Y498)=16,"",16-COUNTBLANK($J498:$Y498))</f>
        <v/>
      </c>
      <c r="AA498" s="33">
        <f>IF($J498="",MID($AX498,3,255),$J498&amp;$AX498)</f>
        <v/>
      </c>
      <c r="AB498" s="130">
        <f>IF($J498="","",IFERROR(INDEX(코드설정!$D$5:$D$24,MATCH($J498,코드설정!$C$5:$C$24,0)),""))</f>
        <v/>
      </c>
      <c r="AC498" s="36" t="n"/>
      <c r="AD498" s="37" t="n"/>
      <c r="AE498" s="38" t="n"/>
      <c r="AF498" s="118">
        <f>IF(OR($B498="",$C498=""),"",$C498-$B498+1)</f>
        <v/>
      </c>
      <c r="AG498" s="74" t="n"/>
      <c r="AH498" s="36" t="n"/>
      <c r="AJ498">
        <f>IF($K498="","",", "&amp;$K498)</f>
        <v/>
      </c>
      <c r="AK498">
        <f>AJ498&amp;IF($L498="","",", "&amp;$L498)</f>
        <v/>
      </c>
      <c r="AL498">
        <f>AK498&amp;IF($M498="","",", "&amp;$M498)</f>
        <v/>
      </c>
      <c r="AM498">
        <f>AL498&amp;IF($N498="","",", "&amp;$N498)</f>
        <v/>
      </c>
      <c r="AN498">
        <f>AM498&amp;IF($O498="","",", "&amp;$O498)</f>
        <v/>
      </c>
      <c r="AO498">
        <f>AN498&amp;IF($P498="","",", "&amp;$P498)</f>
        <v/>
      </c>
      <c r="AP498">
        <f>AO498&amp;IF($Q498="","",", "&amp;$Q498)</f>
        <v/>
      </c>
      <c r="AQ498">
        <f>AP498&amp;IF($R498="","",", "&amp;$R498)</f>
        <v/>
      </c>
      <c r="AR498">
        <f>AQ498&amp;IF($S498="","",", "&amp;$S498)</f>
        <v/>
      </c>
      <c r="AS498">
        <f>AR498&amp;IF($T498="","",", "&amp;$T498)</f>
        <v/>
      </c>
      <c r="AT498">
        <f>AS498&amp;IF($U498="","",", "&amp;$U498)</f>
        <v/>
      </c>
      <c r="AU498">
        <f>AT498&amp;IF($V498="","",", "&amp;$V498)</f>
        <v/>
      </c>
      <c r="AV498">
        <f>AU498&amp;IF($W498="","",", "&amp;$W498)</f>
        <v/>
      </c>
      <c r="AW498">
        <f>AV498&amp;IF($X498="","",", "&amp;$X498)</f>
        <v/>
      </c>
      <c r="AX498">
        <f>AW498&amp;IF($Y498="","",", "&amp;$Y498)</f>
        <v/>
      </c>
    </row>
    <row r="499">
      <c r="A499" s="118">
        <f>IF($B499="","",COUNT($B$5:$B499))</f>
        <v/>
      </c>
      <c r="B499" s="80" t="n"/>
      <c r="C499" s="80" t="n"/>
      <c r="D499" s="74" t="n"/>
      <c r="E499" s="74" t="n"/>
      <c r="F499" s="74" t="n"/>
      <c r="G499" s="118">
        <f>IF($F499="","",COUNTIF($F$5:$F499,$F499))</f>
        <v/>
      </c>
      <c r="H499" s="33">
        <f>IF($F499="","",IFERROR(INDEX(사건마스터!$B$5:$B$64,MATCH($F499,사건마스터!$A$5:$A$64,0)),""))</f>
        <v/>
      </c>
      <c r="I499" s="130">
        <f>IF($F499="","",IFERROR(INDEX(사건마스터!$C$5:$C$64,MATCH($F499,사건마스터!$A$5:$A$64,0)),""))</f>
        <v/>
      </c>
      <c r="J499" s="136">
        <f>IF($F499="","",IFERROR(INDEX(사건마스터!$H$5:$H$64,MATCH($F499,사건마스터!$A$5:$A$64,0)),""))</f>
        <v/>
      </c>
      <c r="K499" s="136">
        <f>IF($F499="","",IFERROR(INDEX(사건마스터!$AH$5:$AH$64,MATCH($F499,사건마스터!$A$5:$A$64,0)),""))</f>
        <v/>
      </c>
      <c r="L499" s="136">
        <f>IF($F499="","",IFERROR(INDEX(사건마스터!$AI$5:$AI$64,MATCH($F499,사건마스터!$A$5:$A$64,0)),""))</f>
        <v/>
      </c>
      <c r="M499" s="136">
        <f>IF($F499="","",IFERROR(INDEX(사건마스터!$AJ$5:$AJ$64,MATCH($F499,사건마스터!$A$5:$A$64,0)),""))</f>
        <v/>
      </c>
      <c r="N499" s="136">
        <f>IF($F499="","",IFERROR(INDEX(사건마스터!$AK$5:$AK$64,MATCH($F499,사건마스터!$A$5:$A$64,0)),""))</f>
        <v/>
      </c>
      <c r="O499" s="136">
        <f>IF($F499="","",IFERROR(INDEX(사건마스터!$AL$5:$AL$64,MATCH($F499,사건마스터!$A$5:$A$64,0)),""))</f>
        <v/>
      </c>
      <c r="P499" s="136">
        <f>IF($F499="","",IFERROR(INDEX(사건마스터!$AM$5:$AM$64,MATCH($F499,사건마스터!$A$5:$A$64,0)),""))</f>
        <v/>
      </c>
      <c r="Q499" s="136">
        <f>IF($F499="","",IFERROR(INDEX(사건마스터!$AN$5:$AN$64,MATCH($F499,사건마스터!$A$5:$A$64,0)),""))</f>
        <v/>
      </c>
      <c r="R499" s="136">
        <f>IF($F499="","",IFERROR(INDEX(사건마스터!$AO$5:$AO$64,MATCH($F499,사건마스터!$A$5:$A$64,0)),""))</f>
        <v/>
      </c>
      <c r="S499" s="136">
        <f>IF($F499="","",IFERROR(INDEX(사건마스터!$AP$5:$AP$64,MATCH($F499,사건마스터!$A$5:$A$64,0)),""))</f>
        <v/>
      </c>
      <c r="T499" s="136">
        <f>IF($F499="","",IFERROR(INDEX(사건마스터!$AQ$5:$AQ$64,MATCH($F499,사건마스터!$A$5:$A$64,0)),""))</f>
        <v/>
      </c>
      <c r="U499" s="136">
        <f>IF($F499="","",IFERROR(INDEX(사건마스터!$AR$5:$AR$64,MATCH($F499,사건마스터!$A$5:$A$64,0)),""))</f>
        <v/>
      </c>
      <c r="V499" s="136">
        <f>IF($F499="","",IFERROR(INDEX(사건마스터!$AS$5:$AS$64,MATCH($F499,사건마스터!$A$5:$A$64,0)),""))</f>
        <v/>
      </c>
      <c r="W499" s="136">
        <f>IF($F499="","",IFERROR(INDEX(사건마스터!$AT$5:$AT$64,MATCH($F499,사건마스터!$A$5:$A$64,0)),""))</f>
        <v/>
      </c>
      <c r="X499" s="136">
        <f>IF($F499="","",IFERROR(INDEX(사건마스터!$AU$5:$AU$64,MATCH($F499,사건마스터!$A$5:$A$64,0)),""))</f>
        <v/>
      </c>
      <c r="Y499" s="136">
        <f>IF($F499="","",IFERROR(INDEX(사건마스터!$AV$5:$AV$64,MATCH($F499,사건마스터!$A$5:$A$64,0)),""))</f>
        <v/>
      </c>
      <c r="Z499" s="118">
        <f>IF(COUNTBLANK($J499:$Y499)=16,"",16-COUNTBLANK($J499:$Y499))</f>
        <v/>
      </c>
      <c r="AA499" s="33">
        <f>IF($J499="",MID($AX499,3,255),$J499&amp;$AX499)</f>
        <v/>
      </c>
      <c r="AB499" s="130">
        <f>IF($J499="","",IFERROR(INDEX(코드설정!$D$5:$D$24,MATCH($J499,코드설정!$C$5:$C$24,0)),""))</f>
        <v/>
      </c>
      <c r="AC499" s="36" t="n"/>
      <c r="AD499" s="37" t="n"/>
      <c r="AE499" s="38" t="n"/>
      <c r="AF499" s="118">
        <f>IF(OR($B499="",$C499=""),"",$C499-$B499+1)</f>
        <v/>
      </c>
      <c r="AG499" s="74" t="n"/>
      <c r="AH499" s="36" t="n"/>
      <c r="AJ499">
        <f>IF($K499="","",", "&amp;$K499)</f>
        <v/>
      </c>
      <c r="AK499">
        <f>AJ499&amp;IF($L499="","",", "&amp;$L499)</f>
        <v/>
      </c>
      <c r="AL499">
        <f>AK499&amp;IF($M499="","",", "&amp;$M499)</f>
        <v/>
      </c>
      <c r="AM499">
        <f>AL499&amp;IF($N499="","",", "&amp;$N499)</f>
        <v/>
      </c>
      <c r="AN499">
        <f>AM499&amp;IF($O499="","",", "&amp;$O499)</f>
        <v/>
      </c>
      <c r="AO499">
        <f>AN499&amp;IF($P499="","",", "&amp;$P499)</f>
        <v/>
      </c>
      <c r="AP499">
        <f>AO499&amp;IF($Q499="","",", "&amp;$Q499)</f>
        <v/>
      </c>
      <c r="AQ499">
        <f>AP499&amp;IF($R499="","",", "&amp;$R499)</f>
        <v/>
      </c>
      <c r="AR499">
        <f>AQ499&amp;IF($S499="","",", "&amp;$S499)</f>
        <v/>
      </c>
      <c r="AS499">
        <f>AR499&amp;IF($T499="","",", "&amp;$T499)</f>
        <v/>
      </c>
      <c r="AT499">
        <f>AS499&amp;IF($U499="","",", "&amp;$U499)</f>
        <v/>
      </c>
      <c r="AU499">
        <f>AT499&amp;IF($V499="","",", "&amp;$V499)</f>
        <v/>
      </c>
      <c r="AV499">
        <f>AU499&amp;IF($W499="","",", "&amp;$W499)</f>
        <v/>
      </c>
      <c r="AW499">
        <f>AV499&amp;IF($X499="","",", "&amp;$X499)</f>
        <v/>
      </c>
      <c r="AX499">
        <f>AW499&amp;IF($Y499="","",", "&amp;$Y499)</f>
        <v/>
      </c>
    </row>
    <row r="500">
      <c r="A500" s="118">
        <f>IF($B500="","",COUNT($B$5:$B500))</f>
        <v/>
      </c>
      <c r="B500" s="80" t="n"/>
      <c r="C500" s="80" t="n"/>
      <c r="D500" s="74" t="n"/>
      <c r="E500" s="74" t="n"/>
      <c r="F500" s="74" t="n"/>
      <c r="G500" s="118">
        <f>IF($F500="","",COUNTIF($F$5:$F500,$F500))</f>
        <v/>
      </c>
      <c r="H500" s="33">
        <f>IF($F500="","",IFERROR(INDEX(사건마스터!$B$5:$B$64,MATCH($F500,사건마스터!$A$5:$A$64,0)),""))</f>
        <v/>
      </c>
      <c r="I500" s="130">
        <f>IF($F500="","",IFERROR(INDEX(사건마스터!$C$5:$C$64,MATCH($F500,사건마스터!$A$5:$A$64,0)),""))</f>
        <v/>
      </c>
      <c r="J500" s="136">
        <f>IF($F500="","",IFERROR(INDEX(사건마스터!$H$5:$H$64,MATCH($F500,사건마스터!$A$5:$A$64,0)),""))</f>
        <v/>
      </c>
      <c r="K500" s="136">
        <f>IF($F500="","",IFERROR(INDEX(사건마스터!$AH$5:$AH$64,MATCH($F500,사건마스터!$A$5:$A$64,0)),""))</f>
        <v/>
      </c>
      <c r="L500" s="136">
        <f>IF($F500="","",IFERROR(INDEX(사건마스터!$AI$5:$AI$64,MATCH($F500,사건마스터!$A$5:$A$64,0)),""))</f>
        <v/>
      </c>
      <c r="M500" s="136">
        <f>IF($F500="","",IFERROR(INDEX(사건마스터!$AJ$5:$AJ$64,MATCH($F500,사건마스터!$A$5:$A$64,0)),""))</f>
        <v/>
      </c>
      <c r="N500" s="136">
        <f>IF($F500="","",IFERROR(INDEX(사건마스터!$AK$5:$AK$64,MATCH($F500,사건마스터!$A$5:$A$64,0)),""))</f>
        <v/>
      </c>
      <c r="O500" s="136">
        <f>IF($F500="","",IFERROR(INDEX(사건마스터!$AL$5:$AL$64,MATCH($F500,사건마스터!$A$5:$A$64,0)),""))</f>
        <v/>
      </c>
      <c r="P500" s="136">
        <f>IF($F500="","",IFERROR(INDEX(사건마스터!$AM$5:$AM$64,MATCH($F500,사건마스터!$A$5:$A$64,0)),""))</f>
        <v/>
      </c>
      <c r="Q500" s="136">
        <f>IF($F500="","",IFERROR(INDEX(사건마스터!$AN$5:$AN$64,MATCH($F500,사건마스터!$A$5:$A$64,0)),""))</f>
        <v/>
      </c>
      <c r="R500" s="136">
        <f>IF($F500="","",IFERROR(INDEX(사건마스터!$AO$5:$AO$64,MATCH($F500,사건마스터!$A$5:$A$64,0)),""))</f>
        <v/>
      </c>
      <c r="S500" s="136">
        <f>IF($F500="","",IFERROR(INDEX(사건마스터!$AP$5:$AP$64,MATCH($F500,사건마스터!$A$5:$A$64,0)),""))</f>
        <v/>
      </c>
      <c r="T500" s="136">
        <f>IF($F500="","",IFERROR(INDEX(사건마스터!$AQ$5:$AQ$64,MATCH($F500,사건마스터!$A$5:$A$64,0)),""))</f>
        <v/>
      </c>
      <c r="U500" s="136">
        <f>IF($F500="","",IFERROR(INDEX(사건마스터!$AR$5:$AR$64,MATCH($F500,사건마스터!$A$5:$A$64,0)),""))</f>
        <v/>
      </c>
      <c r="V500" s="136">
        <f>IF($F500="","",IFERROR(INDEX(사건마스터!$AS$5:$AS$64,MATCH($F500,사건마스터!$A$5:$A$64,0)),""))</f>
        <v/>
      </c>
      <c r="W500" s="136">
        <f>IF($F500="","",IFERROR(INDEX(사건마스터!$AT$5:$AT$64,MATCH($F500,사건마스터!$A$5:$A$64,0)),""))</f>
        <v/>
      </c>
      <c r="X500" s="136">
        <f>IF($F500="","",IFERROR(INDEX(사건마스터!$AU$5:$AU$64,MATCH($F500,사건마스터!$A$5:$A$64,0)),""))</f>
        <v/>
      </c>
      <c r="Y500" s="136">
        <f>IF($F500="","",IFERROR(INDEX(사건마스터!$AV$5:$AV$64,MATCH($F500,사건마스터!$A$5:$A$64,0)),""))</f>
        <v/>
      </c>
      <c r="Z500" s="118">
        <f>IF(COUNTBLANK($J500:$Y500)=16,"",16-COUNTBLANK($J500:$Y500))</f>
        <v/>
      </c>
      <c r="AA500" s="33">
        <f>IF($J500="",MID($AX500,3,255),$J500&amp;$AX500)</f>
        <v/>
      </c>
      <c r="AB500" s="130">
        <f>IF($J500="","",IFERROR(INDEX(코드설정!$D$5:$D$24,MATCH($J500,코드설정!$C$5:$C$24,0)),""))</f>
        <v/>
      </c>
      <c r="AC500" s="36" t="n"/>
      <c r="AD500" s="37" t="n"/>
      <c r="AE500" s="38" t="n"/>
      <c r="AF500" s="118">
        <f>IF(OR($B500="",$C500=""),"",$C500-$B500+1)</f>
        <v/>
      </c>
      <c r="AG500" s="74" t="n"/>
      <c r="AH500" s="36" t="n"/>
      <c r="AJ500">
        <f>IF($K500="","",", "&amp;$K500)</f>
        <v/>
      </c>
      <c r="AK500">
        <f>AJ500&amp;IF($L500="","",", "&amp;$L500)</f>
        <v/>
      </c>
      <c r="AL500">
        <f>AK500&amp;IF($M500="","",", "&amp;$M500)</f>
        <v/>
      </c>
      <c r="AM500">
        <f>AL500&amp;IF($N500="","",", "&amp;$N500)</f>
        <v/>
      </c>
      <c r="AN500">
        <f>AM500&amp;IF($O500="","",", "&amp;$O500)</f>
        <v/>
      </c>
      <c r="AO500">
        <f>AN500&amp;IF($P500="","",", "&amp;$P500)</f>
        <v/>
      </c>
      <c r="AP500">
        <f>AO500&amp;IF($Q500="","",", "&amp;$Q500)</f>
        <v/>
      </c>
      <c r="AQ500">
        <f>AP500&amp;IF($R500="","",", "&amp;$R500)</f>
        <v/>
      </c>
      <c r="AR500">
        <f>AQ500&amp;IF($S500="","",", "&amp;$S500)</f>
        <v/>
      </c>
      <c r="AS500">
        <f>AR500&amp;IF($T500="","",", "&amp;$T500)</f>
        <v/>
      </c>
      <c r="AT500">
        <f>AS500&amp;IF($U500="","",", "&amp;$U500)</f>
        <v/>
      </c>
      <c r="AU500">
        <f>AT500&amp;IF($V500="","",", "&amp;$V500)</f>
        <v/>
      </c>
      <c r="AV500">
        <f>AU500&amp;IF($W500="","",", "&amp;$W500)</f>
        <v/>
      </c>
      <c r="AW500">
        <f>AV500&amp;IF($X500="","",", "&amp;$X500)</f>
        <v/>
      </c>
      <c r="AX500">
        <f>AW500&amp;IF($Y500="","",", "&amp;$Y500)</f>
        <v/>
      </c>
    </row>
    <row r="501">
      <c r="A501" s="118">
        <f>IF($B501="","",COUNT($B$5:$B501))</f>
        <v/>
      </c>
      <c r="B501" s="80" t="n"/>
      <c r="C501" s="80" t="n"/>
      <c r="D501" s="74" t="n"/>
      <c r="E501" s="74" t="n"/>
      <c r="F501" s="74" t="n"/>
      <c r="G501" s="118">
        <f>IF($F501="","",COUNTIF($F$5:$F501,$F501))</f>
        <v/>
      </c>
      <c r="H501" s="33">
        <f>IF($F501="","",IFERROR(INDEX(사건마스터!$B$5:$B$64,MATCH($F501,사건마스터!$A$5:$A$64,0)),""))</f>
        <v/>
      </c>
      <c r="I501" s="130">
        <f>IF($F501="","",IFERROR(INDEX(사건마스터!$C$5:$C$64,MATCH($F501,사건마스터!$A$5:$A$64,0)),""))</f>
        <v/>
      </c>
      <c r="J501" s="136">
        <f>IF($F501="","",IFERROR(INDEX(사건마스터!$H$5:$H$64,MATCH($F501,사건마스터!$A$5:$A$64,0)),""))</f>
        <v/>
      </c>
      <c r="K501" s="136">
        <f>IF($F501="","",IFERROR(INDEX(사건마스터!$AH$5:$AH$64,MATCH($F501,사건마스터!$A$5:$A$64,0)),""))</f>
        <v/>
      </c>
      <c r="L501" s="136">
        <f>IF($F501="","",IFERROR(INDEX(사건마스터!$AI$5:$AI$64,MATCH($F501,사건마스터!$A$5:$A$64,0)),""))</f>
        <v/>
      </c>
      <c r="M501" s="136">
        <f>IF($F501="","",IFERROR(INDEX(사건마스터!$AJ$5:$AJ$64,MATCH($F501,사건마스터!$A$5:$A$64,0)),""))</f>
        <v/>
      </c>
      <c r="N501" s="136">
        <f>IF($F501="","",IFERROR(INDEX(사건마스터!$AK$5:$AK$64,MATCH($F501,사건마스터!$A$5:$A$64,0)),""))</f>
        <v/>
      </c>
      <c r="O501" s="136">
        <f>IF($F501="","",IFERROR(INDEX(사건마스터!$AL$5:$AL$64,MATCH($F501,사건마스터!$A$5:$A$64,0)),""))</f>
        <v/>
      </c>
      <c r="P501" s="136">
        <f>IF($F501="","",IFERROR(INDEX(사건마스터!$AM$5:$AM$64,MATCH($F501,사건마스터!$A$5:$A$64,0)),""))</f>
        <v/>
      </c>
      <c r="Q501" s="136">
        <f>IF($F501="","",IFERROR(INDEX(사건마스터!$AN$5:$AN$64,MATCH($F501,사건마스터!$A$5:$A$64,0)),""))</f>
        <v/>
      </c>
      <c r="R501" s="136">
        <f>IF($F501="","",IFERROR(INDEX(사건마스터!$AO$5:$AO$64,MATCH($F501,사건마스터!$A$5:$A$64,0)),""))</f>
        <v/>
      </c>
      <c r="S501" s="136">
        <f>IF($F501="","",IFERROR(INDEX(사건마스터!$AP$5:$AP$64,MATCH($F501,사건마스터!$A$5:$A$64,0)),""))</f>
        <v/>
      </c>
      <c r="T501" s="136">
        <f>IF($F501="","",IFERROR(INDEX(사건마스터!$AQ$5:$AQ$64,MATCH($F501,사건마스터!$A$5:$A$64,0)),""))</f>
        <v/>
      </c>
      <c r="U501" s="136">
        <f>IF($F501="","",IFERROR(INDEX(사건마스터!$AR$5:$AR$64,MATCH($F501,사건마스터!$A$5:$A$64,0)),""))</f>
        <v/>
      </c>
      <c r="V501" s="136">
        <f>IF($F501="","",IFERROR(INDEX(사건마스터!$AS$5:$AS$64,MATCH($F501,사건마스터!$A$5:$A$64,0)),""))</f>
        <v/>
      </c>
      <c r="W501" s="136">
        <f>IF($F501="","",IFERROR(INDEX(사건마스터!$AT$5:$AT$64,MATCH($F501,사건마스터!$A$5:$A$64,0)),""))</f>
        <v/>
      </c>
      <c r="X501" s="136">
        <f>IF($F501="","",IFERROR(INDEX(사건마스터!$AU$5:$AU$64,MATCH($F501,사건마스터!$A$5:$A$64,0)),""))</f>
        <v/>
      </c>
      <c r="Y501" s="136">
        <f>IF($F501="","",IFERROR(INDEX(사건마스터!$AV$5:$AV$64,MATCH($F501,사건마스터!$A$5:$A$64,0)),""))</f>
        <v/>
      </c>
      <c r="Z501" s="118">
        <f>IF(COUNTBLANK($J501:$Y501)=16,"",16-COUNTBLANK($J501:$Y501))</f>
        <v/>
      </c>
      <c r="AA501" s="33">
        <f>IF($J501="",MID($AX501,3,255),$J501&amp;$AX501)</f>
        <v/>
      </c>
      <c r="AB501" s="130">
        <f>IF($J501="","",IFERROR(INDEX(코드설정!$D$5:$D$24,MATCH($J501,코드설정!$C$5:$C$24,0)),""))</f>
        <v/>
      </c>
      <c r="AC501" s="36" t="n"/>
      <c r="AD501" s="37" t="n"/>
      <c r="AE501" s="38" t="n"/>
      <c r="AF501" s="118">
        <f>IF(OR($B501="",$C501=""),"",$C501-$B501+1)</f>
        <v/>
      </c>
      <c r="AG501" s="74" t="n"/>
      <c r="AH501" s="36" t="n"/>
      <c r="AJ501">
        <f>IF($K501="","",", "&amp;$K501)</f>
        <v/>
      </c>
      <c r="AK501">
        <f>AJ501&amp;IF($L501="","",", "&amp;$L501)</f>
        <v/>
      </c>
      <c r="AL501">
        <f>AK501&amp;IF($M501="","",", "&amp;$M501)</f>
        <v/>
      </c>
      <c r="AM501">
        <f>AL501&amp;IF($N501="","",", "&amp;$N501)</f>
        <v/>
      </c>
      <c r="AN501">
        <f>AM501&amp;IF($O501="","",", "&amp;$O501)</f>
        <v/>
      </c>
      <c r="AO501">
        <f>AN501&amp;IF($P501="","",", "&amp;$P501)</f>
        <v/>
      </c>
      <c r="AP501">
        <f>AO501&amp;IF($Q501="","",", "&amp;$Q501)</f>
        <v/>
      </c>
      <c r="AQ501">
        <f>AP501&amp;IF($R501="","",", "&amp;$R501)</f>
        <v/>
      </c>
      <c r="AR501">
        <f>AQ501&amp;IF($S501="","",", "&amp;$S501)</f>
        <v/>
      </c>
      <c r="AS501">
        <f>AR501&amp;IF($T501="","",", "&amp;$T501)</f>
        <v/>
      </c>
      <c r="AT501">
        <f>AS501&amp;IF($U501="","",", "&amp;$U501)</f>
        <v/>
      </c>
      <c r="AU501">
        <f>AT501&amp;IF($V501="","",", "&amp;$V501)</f>
        <v/>
      </c>
      <c r="AV501">
        <f>AU501&amp;IF($W501="","",", "&amp;$W501)</f>
        <v/>
      </c>
      <c r="AW501">
        <f>AV501&amp;IF($X501="","",", "&amp;$X501)</f>
        <v/>
      </c>
      <c r="AX501">
        <f>AW501&amp;IF($Y501="","",", "&amp;$Y501)</f>
        <v/>
      </c>
    </row>
    <row r="502">
      <c r="A502" s="118">
        <f>IF($B502="","",COUNT($B$5:$B502))</f>
        <v/>
      </c>
      <c r="B502" s="80" t="n"/>
      <c r="C502" s="80" t="n"/>
      <c r="D502" s="74" t="n"/>
      <c r="E502" s="74" t="n"/>
      <c r="F502" s="74" t="n"/>
      <c r="G502" s="118">
        <f>IF($F502="","",COUNTIF($F$5:$F502,$F502))</f>
        <v/>
      </c>
      <c r="H502" s="33">
        <f>IF($F502="","",IFERROR(INDEX(사건마스터!$B$5:$B$64,MATCH($F502,사건마스터!$A$5:$A$64,0)),""))</f>
        <v/>
      </c>
      <c r="I502" s="130">
        <f>IF($F502="","",IFERROR(INDEX(사건마스터!$C$5:$C$64,MATCH($F502,사건마스터!$A$5:$A$64,0)),""))</f>
        <v/>
      </c>
      <c r="J502" s="136">
        <f>IF($F502="","",IFERROR(INDEX(사건마스터!$H$5:$H$64,MATCH($F502,사건마스터!$A$5:$A$64,0)),""))</f>
        <v/>
      </c>
      <c r="K502" s="136">
        <f>IF($F502="","",IFERROR(INDEX(사건마스터!$AH$5:$AH$64,MATCH($F502,사건마스터!$A$5:$A$64,0)),""))</f>
        <v/>
      </c>
      <c r="L502" s="136">
        <f>IF($F502="","",IFERROR(INDEX(사건마스터!$AI$5:$AI$64,MATCH($F502,사건마스터!$A$5:$A$64,0)),""))</f>
        <v/>
      </c>
      <c r="M502" s="136">
        <f>IF($F502="","",IFERROR(INDEX(사건마스터!$AJ$5:$AJ$64,MATCH($F502,사건마스터!$A$5:$A$64,0)),""))</f>
        <v/>
      </c>
      <c r="N502" s="136">
        <f>IF($F502="","",IFERROR(INDEX(사건마스터!$AK$5:$AK$64,MATCH($F502,사건마스터!$A$5:$A$64,0)),""))</f>
        <v/>
      </c>
      <c r="O502" s="136">
        <f>IF($F502="","",IFERROR(INDEX(사건마스터!$AL$5:$AL$64,MATCH($F502,사건마스터!$A$5:$A$64,0)),""))</f>
        <v/>
      </c>
      <c r="P502" s="136">
        <f>IF($F502="","",IFERROR(INDEX(사건마스터!$AM$5:$AM$64,MATCH($F502,사건마스터!$A$5:$A$64,0)),""))</f>
        <v/>
      </c>
      <c r="Q502" s="136">
        <f>IF($F502="","",IFERROR(INDEX(사건마스터!$AN$5:$AN$64,MATCH($F502,사건마스터!$A$5:$A$64,0)),""))</f>
        <v/>
      </c>
      <c r="R502" s="136">
        <f>IF($F502="","",IFERROR(INDEX(사건마스터!$AO$5:$AO$64,MATCH($F502,사건마스터!$A$5:$A$64,0)),""))</f>
        <v/>
      </c>
      <c r="S502" s="136">
        <f>IF($F502="","",IFERROR(INDEX(사건마스터!$AP$5:$AP$64,MATCH($F502,사건마스터!$A$5:$A$64,0)),""))</f>
        <v/>
      </c>
      <c r="T502" s="136">
        <f>IF($F502="","",IFERROR(INDEX(사건마스터!$AQ$5:$AQ$64,MATCH($F502,사건마스터!$A$5:$A$64,0)),""))</f>
        <v/>
      </c>
      <c r="U502" s="136">
        <f>IF($F502="","",IFERROR(INDEX(사건마스터!$AR$5:$AR$64,MATCH($F502,사건마스터!$A$5:$A$64,0)),""))</f>
        <v/>
      </c>
      <c r="V502" s="136">
        <f>IF($F502="","",IFERROR(INDEX(사건마스터!$AS$5:$AS$64,MATCH($F502,사건마스터!$A$5:$A$64,0)),""))</f>
        <v/>
      </c>
      <c r="W502" s="136">
        <f>IF($F502="","",IFERROR(INDEX(사건마스터!$AT$5:$AT$64,MATCH($F502,사건마스터!$A$5:$A$64,0)),""))</f>
        <v/>
      </c>
      <c r="X502" s="136">
        <f>IF($F502="","",IFERROR(INDEX(사건마스터!$AU$5:$AU$64,MATCH($F502,사건마스터!$A$5:$A$64,0)),""))</f>
        <v/>
      </c>
      <c r="Y502" s="136">
        <f>IF($F502="","",IFERROR(INDEX(사건마스터!$AV$5:$AV$64,MATCH($F502,사건마스터!$A$5:$A$64,0)),""))</f>
        <v/>
      </c>
      <c r="Z502" s="118">
        <f>IF(COUNTBLANK($J502:$Y502)=16,"",16-COUNTBLANK($J502:$Y502))</f>
        <v/>
      </c>
      <c r="AA502" s="33">
        <f>IF($J502="",MID($AX502,3,255),$J502&amp;$AX502)</f>
        <v/>
      </c>
      <c r="AB502" s="130">
        <f>IF($J502="","",IFERROR(INDEX(코드설정!$D$5:$D$24,MATCH($J502,코드설정!$C$5:$C$24,0)),""))</f>
        <v/>
      </c>
      <c r="AC502" s="36" t="n"/>
      <c r="AD502" s="37" t="n"/>
      <c r="AE502" s="38" t="n"/>
      <c r="AF502" s="118">
        <f>IF(OR($B502="",$C502=""),"",$C502-$B502+1)</f>
        <v/>
      </c>
      <c r="AG502" s="74" t="n"/>
      <c r="AH502" s="36" t="n"/>
      <c r="AJ502">
        <f>IF($K502="","",", "&amp;$K502)</f>
        <v/>
      </c>
      <c r="AK502">
        <f>AJ502&amp;IF($L502="","",", "&amp;$L502)</f>
        <v/>
      </c>
      <c r="AL502">
        <f>AK502&amp;IF($M502="","",", "&amp;$M502)</f>
        <v/>
      </c>
      <c r="AM502">
        <f>AL502&amp;IF($N502="","",", "&amp;$N502)</f>
        <v/>
      </c>
      <c r="AN502">
        <f>AM502&amp;IF($O502="","",", "&amp;$O502)</f>
        <v/>
      </c>
      <c r="AO502">
        <f>AN502&amp;IF($P502="","",", "&amp;$P502)</f>
        <v/>
      </c>
      <c r="AP502">
        <f>AO502&amp;IF($Q502="","",", "&amp;$Q502)</f>
        <v/>
      </c>
      <c r="AQ502">
        <f>AP502&amp;IF($R502="","",", "&amp;$R502)</f>
        <v/>
      </c>
      <c r="AR502">
        <f>AQ502&amp;IF($S502="","",", "&amp;$S502)</f>
        <v/>
      </c>
      <c r="AS502">
        <f>AR502&amp;IF($T502="","",", "&amp;$T502)</f>
        <v/>
      </c>
      <c r="AT502">
        <f>AS502&amp;IF($U502="","",", "&amp;$U502)</f>
        <v/>
      </c>
      <c r="AU502">
        <f>AT502&amp;IF($V502="","",", "&amp;$V502)</f>
        <v/>
      </c>
      <c r="AV502">
        <f>AU502&amp;IF($W502="","",", "&amp;$W502)</f>
        <v/>
      </c>
      <c r="AW502">
        <f>AV502&amp;IF($X502="","",", "&amp;$X502)</f>
        <v/>
      </c>
      <c r="AX502">
        <f>AW502&amp;IF($Y502="","",", "&amp;$Y502)</f>
        <v/>
      </c>
    </row>
    <row r="503">
      <c r="A503" s="118">
        <f>IF($B503="","",COUNT($B$5:$B503))</f>
        <v/>
      </c>
      <c r="B503" s="80" t="n"/>
      <c r="C503" s="80" t="n"/>
      <c r="D503" s="74" t="n"/>
      <c r="E503" s="74" t="n"/>
      <c r="F503" s="74" t="n"/>
      <c r="G503" s="118">
        <f>IF($F503="","",COUNTIF($F$5:$F503,$F503))</f>
        <v/>
      </c>
      <c r="H503" s="33">
        <f>IF($F503="","",IFERROR(INDEX(사건마스터!$B$5:$B$64,MATCH($F503,사건마스터!$A$5:$A$64,0)),""))</f>
        <v/>
      </c>
      <c r="I503" s="130">
        <f>IF($F503="","",IFERROR(INDEX(사건마스터!$C$5:$C$64,MATCH($F503,사건마스터!$A$5:$A$64,0)),""))</f>
        <v/>
      </c>
      <c r="J503" s="136">
        <f>IF($F503="","",IFERROR(INDEX(사건마스터!$H$5:$H$64,MATCH($F503,사건마스터!$A$5:$A$64,0)),""))</f>
        <v/>
      </c>
      <c r="K503" s="136">
        <f>IF($F503="","",IFERROR(INDEX(사건마스터!$AH$5:$AH$64,MATCH($F503,사건마스터!$A$5:$A$64,0)),""))</f>
        <v/>
      </c>
      <c r="L503" s="136">
        <f>IF($F503="","",IFERROR(INDEX(사건마스터!$AI$5:$AI$64,MATCH($F503,사건마스터!$A$5:$A$64,0)),""))</f>
        <v/>
      </c>
      <c r="M503" s="136">
        <f>IF($F503="","",IFERROR(INDEX(사건마스터!$AJ$5:$AJ$64,MATCH($F503,사건마스터!$A$5:$A$64,0)),""))</f>
        <v/>
      </c>
      <c r="N503" s="136">
        <f>IF($F503="","",IFERROR(INDEX(사건마스터!$AK$5:$AK$64,MATCH($F503,사건마스터!$A$5:$A$64,0)),""))</f>
        <v/>
      </c>
      <c r="O503" s="136">
        <f>IF($F503="","",IFERROR(INDEX(사건마스터!$AL$5:$AL$64,MATCH($F503,사건마스터!$A$5:$A$64,0)),""))</f>
        <v/>
      </c>
      <c r="P503" s="136">
        <f>IF($F503="","",IFERROR(INDEX(사건마스터!$AM$5:$AM$64,MATCH($F503,사건마스터!$A$5:$A$64,0)),""))</f>
        <v/>
      </c>
      <c r="Q503" s="136">
        <f>IF($F503="","",IFERROR(INDEX(사건마스터!$AN$5:$AN$64,MATCH($F503,사건마스터!$A$5:$A$64,0)),""))</f>
        <v/>
      </c>
      <c r="R503" s="136">
        <f>IF($F503="","",IFERROR(INDEX(사건마스터!$AO$5:$AO$64,MATCH($F503,사건마스터!$A$5:$A$64,0)),""))</f>
        <v/>
      </c>
      <c r="S503" s="136">
        <f>IF($F503="","",IFERROR(INDEX(사건마스터!$AP$5:$AP$64,MATCH($F503,사건마스터!$A$5:$A$64,0)),""))</f>
        <v/>
      </c>
      <c r="T503" s="136">
        <f>IF($F503="","",IFERROR(INDEX(사건마스터!$AQ$5:$AQ$64,MATCH($F503,사건마스터!$A$5:$A$64,0)),""))</f>
        <v/>
      </c>
      <c r="U503" s="136">
        <f>IF($F503="","",IFERROR(INDEX(사건마스터!$AR$5:$AR$64,MATCH($F503,사건마스터!$A$5:$A$64,0)),""))</f>
        <v/>
      </c>
      <c r="V503" s="136">
        <f>IF($F503="","",IFERROR(INDEX(사건마스터!$AS$5:$AS$64,MATCH($F503,사건마스터!$A$5:$A$64,0)),""))</f>
        <v/>
      </c>
      <c r="W503" s="136">
        <f>IF($F503="","",IFERROR(INDEX(사건마스터!$AT$5:$AT$64,MATCH($F503,사건마스터!$A$5:$A$64,0)),""))</f>
        <v/>
      </c>
      <c r="X503" s="136">
        <f>IF($F503="","",IFERROR(INDEX(사건마스터!$AU$5:$AU$64,MATCH($F503,사건마스터!$A$5:$A$64,0)),""))</f>
        <v/>
      </c>
      <c r="Y503" s="136">
        <f>IF($F503="","",IFERROR(INDEX(사건마스터!$AV$5:$AV$64,MATCH($F503,사건마스터!$A$5:$A$64,0)),""))</f>
        <v/>
      </c>
      <c r="Z503" s="118">
        <f>IF(COUNTBLANK($J503:$Y503)=16,"",16-COUNTBLANK($J503:$Y503))</f>
        <v/>
      </c>
      <c r="AA503" s="33">
        <f>IF($J503="",MID($AX503,3,255),$J503&amp;$AX503)</f>
        <v/>
      </c>
      <c r="AB503" s="130">
        <f>IF($J503="","",IFERROR(INDEX(코드설정!$D$5:$D$24,MATCH($J503,코드설정!$C$5:$C$24,0)),""))</f>
        <v/>
      </c>
      <c r="AC503" s="36" t="n"/>
      <c r="AD503" s="37" t="n"/>
      <c r="AE503" s="38" t="n"/>
      <c r="AF503" s="118">
        <f>IF(OR($B503="",$C503=""),"",$C503-$B503+1)</f>
        <v/>
      </c>
      <c r="AG503" s="74" t="n"/>
      <c r="AH503" s="36" t="n"/>
      <c r="AJ503">
        <f>IF($K503="","",", "&amp;$K503)</f>
        <v/>
      </c>
      <c r="AK503">
        <f>AJ503&amp;IF($L503="","",", "&amp;$L503)</f>
        <v/>
      </c>
      <c r="AL503">
        <f>AK503&amp;IF($M503="","",", "&amp;$M503)</f>
        <v/>
      </c>
      <c r="AM503">
        <f>AL503&amp;IF($N503="","",", "&amp;$N503)</f>
        <v/>
      </c>
      <c r="AN503">
        <f>AM503&amp;IF($O503="","",", "&amp;$O503)</f>
        <v/>
      </c>
      <c r="AO503">
        <f>AN503&amp;IF($P503="","",", "&amp;$P503)</f>
        <v/>
      </c>
      <c r="AP503">
        <f>AO503&amp;IF($Q503="","",", "&amp;$Q503)</f>
        <v/>
      </c>
      <c r="AQ503">
        <f>AP503&amp;IF($R503="","",", "&amp;$R503)</f>
        <v/>
      </c>
      <c r="AR503">
        <f>AQ503&amp;IF($S503="","",", "&amp;$S503)</f>
        <v/>
      </c>
      <c r="AS503">
        <f>AR503&amp;IF($T503="","",", "&amp;$T503)</f>
        <v/>
      </c>
      <c r="AT503">
        <f>AS503&amp;IF($U503="","",", "&amp;$U503)</f>
        <v/>
      </c>
      <c r="AU503">
        <f>AT503&amp;IF($V503="","",", "&amp;$V503)</f>
        <v/>
      </c>
      <c r="AV503">
        <f>AU503&amp;IF($W503="","",", "&amp;$W503)</f>
        <v/>
      </c>
      <c r="AW503">
        <f>AV503&amp;IF($X503="","",", "&amp;$X503)</f>
        <v/>
      </c>
      <c r="AX503">
        <f>AW503&amp;IF($Y503="","",", "&amp;$Y503)</f>
        <v/>
      </c>
    </row>
    <row r="504">
      <c r="A504" s="118">
        <f>IF($B504="","",COUNT($B$5:$B504))</f>
        <v/>
      </c>
      <c r="B504" s="80" t="n"/>
      <c r="C504" s="80" t="n"/>
      <c r="D504" s="74" t="n"/>
      <c r="E504" s="74" t="n"/>
      <c r="F504" s="74" t="n"/>
      <c r="G504" s="118">
        <f>IF($F504="","",COUNTIF($F$5:$F504,$F504))</f>
        <v/>
      </c>
      <c r="H504" s="33">
        <f>IF($F504="","",IFERROR(INDEX(사건마스터!$B$5:$B$64,MATCH($F504,사건마스터!$A$5:$A$64,0)),""))</f>
        <v/>
      </c>
      <c r="I504" s="130">
        <f>IF($F504="","",IFERROR(INDEX(사건마스터!$C$5:$C$64,MATCH($F504,사건마스터!$A$5:$A$64,0)),""))</f>
        <v/>
      </c>
      <c r="J504" s="136">
        <f>IF($F504="","",IFERROR(INDEX(사건마스터!$H$5:$H$64,MATCH($F504,사건마스터!$A$5:$A$64,0)),""))</f>
        <v/>
      </c>
      <c r="K504" s="136">
        <f>IF($F504="","",IFERROR(INDEX(사건마스터!$AH$5:$AH$64,MATCH($F504,사건마스터!$A$5:$A$64,0)),""))</f>
        <v/>
      </c>
      <c r="L504" s="136">
        <f>IF($F504="","",IFERROR(INDEX(사건마스터!$AI$5:$AI$64,MATCH($F504,사건마스터!$A$5:$A$64,0)),""))</f>
        <v/>
      </c>
      <c r="M504" s="136">
        <f>IF($F504="","",IFERROR(INDEX(사건마스터!$AJ$5:$AJ$64,MATCH($F504,사건마스터!$A$5:$A$64,0)),""))</f>
        <v/>
      </c>
      <c r="N504" s="136">
        <f>IF($F504="","",IFERROR(INDEX(사건마스터!$AK$5:$AK$64,MATCH($F504,사건마스터!$A$5:$A$64,0)),""))</f>
        <v/>
      </c>
      <c r="O504" s="136">
        <f>IF($F504="","",IFERROR(INDEX(사건마스터!$AL$5:$AL$64,MATCH($F504,사건마스터!$A$5:$A$64,0)),""))</f>
        <v/>
      </c>
      <c r="P504" s="136">
        <f>IF($F504="","",IFERROR(INDEX(사건마스터!$AM$5:$AM$64,MATCH($F504,사건마스터!$A$5:$A$64,0)),""))</f>
        <v/>
      </c>
      <c r="Q504" s="136">
        <f>IF($F504="","",IFERROR(INDEX(사건마스터!$AN$5:$AN$64,MATCH($F504,사건마스터!$A$5:$A$64,0)),""))</f>
        <v/>
      </c>
      <c r="R504" s="136">
        <f>IF($F504="","",IFERROR(INDEX(사건마스터!$AO$5:$AO$64,MATCH($F504,사건마스터!$A$5:$A$64,0)),""))</f>
        <v/>
      </c>
      <c r="S504" s="136">
        <f>IF($F504="","",IFERROR(INDEX(사건마스터!$AP$5:$AP$64,MATCH($F504,사건마스터!$A$5:$A$64,0)),""))</f>
        <v/>
      </c>
      <c r="T504" s="136">
        <f>IF($F504="","",IFERROR(INDEX(사건마스터!$AQ$5:$AQ$64,MATCH($F504,사건마스터!$A$5:$A$64,0)),""))</f>
        <v/>
      </c>
      <c r="U504" s="136">
        <f>IF($F504="","",IFERROR(INDEX(사건마스터!$AR$5:$AR$64,MATCH($F504,사건마스터!$A$5:$A$64,0)),""))</f>
        <v/>
      </c>
      <c r="V504" s="136">
        <f>IF($F504="","",IFERROR(INDEX(사건마스터!$AS$5:$AS$64,MATCH($F504,사건마스터!$A$5:$A$64,0)),""))</f>
        <v/>
      </c>
      <c r="W504" s="136">
        <f>IF($F504="","",IFERROR(INDEX(사건마스터!$AT$5:$AT$64,MATCH($F504,사건마스터!$A$5:$A$64,0)),""))</f>
        <v/>
      </c>
      <c r="X504" s="136">
        <f>IF($F504="","",IFERROR(INDEX(사건마스터!$AU$5:$AU$64,MATCH($F504,사건마스터!$A$5:$A$64,0)),""))</f>
        <v/>
      </c>
      <c r="Y504" s="136">
        <f>IF($F504="","",IFERROR(INDEX(사건마스터!$AV$5:$AV$64,MATCH($F504,사건마스터!$A$5:$A$64,0)),""))</f>
        <v/>
      </c>
      <c r="Z504" s="118">
        <f>IF(COUNTBLANK($J504:$Y504)=16,"",16-COUNTBLANK($J504:$Y504))</f>
        <v/>
      </c>
      <c r="AA504" s="33">
        <f>IF($J504="",MID($AX504,3,255),$J504&amp;$AX504)</f>
        <v/>
      </c>
      <c r="AB504" s="130">
        <f>IF($J504="","",IFERROR(INDEX(코드설정!$D$5:$D$24,MATCH($J504,코드설정!$C$5:$C$24,0)),""))</f>
        <v/>
      </c>
      <c r="AC504" s="36" t="n"/>
      <c r="AD504" s="37" t="n"/>
      <c r="AE504" s="38" t="n"/>
      <c r="AF504" s="118">
        <f>IF(OR($B504="",$C504=""),"",$C504-$B504+1)</f>
        <v/>
      </c>
      <c r="AG504" s="74" t="n"/>
      <c r="AH504" s="36" t="n"/>
      <c r="AJ504">
        <f>IF($K504="","",", "&amp;$K504)</f>
        <v/>
      </c>
      <c r="AK504">
        <f>AJ504&amp;IF($L504="","",", "&amp;$L504)</f>
        <v/>
      </c>
      <c r="AL504">
        <f>AK504&amp;IF($M504="","",", "&amp;$M504)</f>
        <v/>
      </c>
      <c r="AM504">
        <f>AL504&amp;IF($N504="","",", "&amp;$N504)</f>
        <v/>
      </c>
      <c r="AN504">
        <f>AM504&amp;IF($O504="","",", "&amp;$O504)</f>
        <v/>
      </c>
      <c r="AO504">
        <f>AN504&amp;IF($P504="","",", "&amp;$P504)</f>
        <v/>
      </c>
      <c r="AP504">
        <f>AO504&amp;IF($Q504="","",", "&amp;$Q504)</f>
        <v/>
      </c>
      <c r="AQ504">
        <f>AP504&amp;IF($R504="","",", "&amp;$R504)</f>
        <v/>
      </c>
      <c r="AR504">
        <f>AQ504&amp;IF($S504="","",", "&amp;$S504)</f>
        <v/>
      </c>
      <c r="AS504">
        <f>AR504&amp;IF($T504="","",", "&amp;$T504)</f>
        <v/>
      </c>
      <c r="AT504">
        <f>AS504&amp;IF($U504="","",", "&amp;$U504)</f>
        <v/>
      </c>
      <c r="AU504">
        <f>AT504&amp;IF($V504="","",", "&amp;$V504)</f>
        <v/>
      </c>
      <c r="AV504">
        <f>AU504&amp;IF($W504="","",", "&amp;$W504)</f>
        <v/>
      </c>
      <c r="AW504">
        <f>AV504&amp;IF($X504="","",", "&amp;$X504)</f>
        <v/>
      </c>
      <c r="AX504">
        <f>AW504&amp;IF($Y504="","",", "&amp;$Y504)</f>
        <v/>
      </c>
    </row>
    <row r="505">
      <c r="A505" s="118">
        <f>IF($B505="","",COUNT($B$5:$B505))</f>
        <v/>
      </c>
      <c r="B505" s="80" t="n"/>
      <c r="C505" s="80" t="n"/>
      <c r="D505" s="74" t="n"/>
      <c r="E505" s="74" t="n"/>
      <c r="F505" s="74" t="n"/>
      <c r="G505" s="118">
        <f>IF($F505="","",COUNTIF($F$5:$F505,$F505))</f>
        <v/>
      </c>
      <c r="H505" s="33">
        <f>IF($F505="","",IFERROR(INDEX(사건마스터!$B$5:$B$64,MATCH($F505,사건마스터!$A$5:$A$64,0)),""))</f>
        <v/>
      </c>
      <c r="I505" s="130">
        <f>IF($F505="","",IFERROR(INDEX(사건마스터!$C$5:$C$64,MATCH($F505,사건마스터!$A$5:$A$64,0)),""))</f>
        <v/>
      </c>
      <c r="J505" s="136">
        <f>IF($F505="","",IFERROR(INDEX(사건마스터!$H$5:$H$64,MATCH($F505,사건마스터!$A$5:$A$64,0)),""))</f>
        <v/>
      </c>
      <c r="K505" s="136">
        <f>IF($F505="","",IFERROR(INDEX(사건마스터!$AH$5:$AH$64,MATCH($F505,사건마스터!$A$5:$A$64,0)),""))</f>
        <v/>
      </c>
      <c r="L505" s="136">
        <f>IF($F505="","",IFERROR(INDEX(사건마스터!$AI$5:$AI$64,MATCH($F505,사건마스터!$A$5:$A$64,0)),""))</f>
        <v/>
      </c>
      <c r="M505" s="136">
        <f>IF($F505="","",IFERROR(INDEX(사건마스터!$AJ$5:$AJ$64,MATCH($F505,사건마스터!$A$5:$A$64,0)),""))</f>
        <v/>
      </c>
      <c r="N505" s="136">
        <f>IF($F505="","",IFERROR(INDEX(사건마스터!$AK$5:$AK$64,MATCH($F505,사건마스터!$A$5:$A$64,0)),""))</f>
        <v/>
      </c>
      <c r="O505" s="136">
        <f>IF($F505="","",IFERROR(INDEX(사건마스터!$AL$5:$AL$64,MATCH($F505,사건마스터!$A$5:$A$64,0)),""))</f>
        <v/>
      </c>
      <c r="P505" s="136">
        <f>IF($F505="","",IFERROR(INDEX(사건마스터!$AM$5:$AM$64,MATCH($F505,사건마스터!$A$5:$A$64,0)),""))</f>
        <v/>
      </c>
      <c r="Q505" s="136">
        <f>IF($F505="","",IFERROR(INDEX(사건마스터!$AN$5:$AN$64,MATCH($F505,사건마스터!$A$5:$A$64,0)),""))</f>
        <v/>
      </c>
      <c r="R505" s="136">
        <f>IF($F505="","",IFERROR(INDEX(사건마스터!$AO$5:$AO$64,MATCH($F505,사건마스터!$A$5:$A$64,0)),""))</f>
        <v/>
      </c>
      <c r="S505" s="136">
        <f>IF($F505="","",IFERROR(INDEX(사건마스터!$AP$5:$AP$64,MATCH($F505,사건마스터!$A$5:$A$64,0)),""))</f>
        <v/>
      </c>
      <c r="T505" s="136">
        <f>IF($F505="","",IFERROR(INDEX(사건마스터!$AQ$5:$AQ$64,MATCH($F505,사건마스터!$A$5:$A$64,0)),""))</f>
        <v/>
      </c>
      <c r="U505" s="136">
        <f>IF($F505="","",IFERROR(INDEX(사건마스터!$AR$5:$AR$64,MATCH($F505,사건마스터!$A$5:$A$64,0)),""))</f>
        <v/>
      </c>
      <c r="V505" s="136">
        <f>IF($F505="","",IFERROR(INDEX(사건마스터!$AS$5:$AS$64,MATCH($F505,사건마스터!$A$5:$A$64,0)),""))</f>
        <v/>
      </c>
      <c r="W505" s="136">
        <f>IF($F505="","",IFERROR(INDEX(사건마스터!$AT$5:$AT$64,MATCH($F505,사건마스터!$A$5:$A$64,0)),""))</f>
        <v/>
      </c>
      <c r="X505" s="136">
        <f>IF($F505="","",IFERROR(INDEX(사건마스터!$AU$5:$AU$64,MATCH($F505,사건마스터!$A$5:$A$64,0)),""))</f>
        <v/>
      </c>
      <c r="Y505" s="136">
        <f>IF($F505="","",IFERROR(INDEX(사건마스터!$AV$5:$AV$64,MATCH($F505,사건마스터!$A$5:$A$64,0)),""))</f>
        <v/>
      </c>
      <c r="Z505" s="118">
        <f>IF(COUNTBLANK($J505:$Y505)=16,"",16-COUNTBLANK($J505:$Y505))</f>
        <v/>
      </c>
      <c r="AA505" s="33">
        <f>IF($J505="",MID($AX505,3,255),$J505&amp;$AX505)</f>
        <v/>
      </c>
      <c r="AB505" s="130">
        <f>IF($J505="","",IFERROR(INDEX(코드설정!$D$5:$D$24,MATCH($J505,코드설정!$C$5:$C$24,0)),""))</f>
        <v/>
      </c>
      <c r="AC505" s="36" t="n"/>
      <c r="AD505" s="37" t="n"/>
      <c r="AE505" s="38" t="n"/>
      <c r="AF505" s="118">
        <f>IF(OR($B505="",$C505=""),"",$C505-$B505+1)</f>
        <v/>
      </c>
      <c r="AG505" s="74" t="n"/>
      <c r="AH505" s="36" t="n"/>
      <c r="AJ505">
        <f>IF($K505="","",", "&amp;$K505)</f>
        <v/>
      </c>
      <c r="AK505">
        <f>AJ505&amp;IF($L505="","",", "&amp;$L505)</f>
        <v/>
      </c>
      <c r="AL505">
        <f>AK505&amp;IF($M505="","",", "&amp;$M505)</f>
        <v/>
      </c>
      <c r="AM505">
        <f>AL505&amp;IF($N505="","",", "&amp;$N505)</f>
        <v/>
      </c>
      <c r="AN505">
        <f>AM505&amp;IF($O505="","",", "&amp;$O505)</f>
        <v/>
      </c>
      <c r="AO505">
        <f>AN505&amp;IF($P505="","",", "&amp;$P505)</f>
        <v/>
      </c>
      <c r="AP505">
        <f>AO505&amp;IF($Q505="","",", "&amp;$Q505)</f>
        <v/>
      </c>
      <c r="AQ505">
        <f>AP505&amp;IF($R505="","",", "&amp;$R505)</f>
        <v/>
      </c>
      <c r="AR505">
        <f>AQ505&amp;IF($S505="","",", "&amp;$S505)</f>
        <v/>
      </c>
      <c r="AS505">
        <f>AR505&amp;IF($T505="","",", "&amp;$T505)</f>
        <v/>
      </c>
      <c r="AT505">
        <f>AS505&amp;IF($U505="","",", "&amp;$U505)</f>
        <v/>
      </c>
      <c r="AU505">
        <f>AT505&amp;IF($V505="","",", "&amp;$V505)</f>
        <v/>
      </c>
      <c r="AV505">
        <f>AU505&amp;IF($W505="","",", "&amp;$W505)</f>
        <v/>
      </c>
      <c r="AW505">
        <f>AV505&amp;IF($X505="","",", "&amp;$X505)</f>
        <v/>
      </c>
      <c r="AX505">
        <f>AW505&amp;IF($Y505="","",", "&amp;$Y505)</f>
        <v/>
      </c>
    </row>
    <row r="506">
      <c r="A506" s="118">
        <f>IF($B506="","",COUNT($B$5:$B506))</f>
        <v/>
      </c>
      <c r="B506" s="80" t="n"/>
      <c r="C506" s="80" t="n"/>
      <c r="D506" s="74" t="n"/>
      <c r="E506" s="74" t="n"/>
      <c r="F506" s="74" t="n"/>
      <c r="G506" s="118">
        <f>IF($F506="","",COUNTIF($F$5:$F506,$F506))</f>
        <v/>
      </c>
      <c r="H506" s="33">
        <f>IF($F506="","",IFERROR(INDEX(사건마스터!$B$5:$B$64,MATCH($F506,사건마스터!$A$5:$A$64,0)),""))</f>
        <v/>
      </c>
      <c r="I506" s="130">
        <f>IF($F506="","",IFERROR(INDEX(사건마스터!$C$5:$C$64,MATCH($F506,사건마스터!$A$5:$A$64,0)),""))</f>
        <v/>
      </c>
      <c r="J506" s="136">
        <f>IF($F506="","",IFERROR(INDEX(사건마스터!$H$5:$H$64,MATCH($F506,사건마스터!$A$5:$A$64,0)),""))</f>
        <v/>
      </c>
      <c r="K506" s="136">
        <f>IF($F506="","",IFERROR(INDEX(사건마스터!$AH$5:$AH$64,MATCH($F506,사건마스터!$A$5:$A$64,0)),""))</f>
        <v/>
      </c>
      <c r="L506" s="136">
        <f>IF($F506="","",IFERROR(INDEX(사건마스터!$AI$5:$AI$64,MATCH($F506,사건마스터!$A$5:$A$64,0)),""))</f>
        <v/>
      </c>
      <c r="M506" s="136">
        <f>IF($F506="","",IFERROR(INDEX(사건마스터!$AJ$5:$AJ$64,MATCH($F506,사건마스터!$A$5:$A$64,0)),""))</f>
        <v/>
      </c>
      <c r="N506" s="136">
        <f>IF($F506="","",IFERROR(INDEX(사건마스터!$AK$5:$AK$64,MATCH($F506,사건마스터!$A$5:$A$64,0)),""))</f>
        <v/>
      </c>
      <c r="O506" s="136">
        <f>IF($F506="","",IFERROR(INDEX(사건마스터!$AL$5:$AL$64,MATCH($F506,사건마스터!$A$5:$A$64,0)),""))</f>
        <v/>
      </c>
      <c r="P506" s="136">
        <f>IF($F506="","",IFERROR(INDEX(사건마스터!$AM$5:$AM$64,MATCH($F506,사건마스터!$A$5:$A$64,0)),""))</f>
        <v/>
      </c>
      <c r="Q506" s="136">
        <f>IF($F506="","",IFERROR(INDEX(사건마스터!$AN$5:$AN$64,MATCH($F506,사건마스터!$A$5:$A$64,0)),""))</f>
        <v/>
      </c>
      <c r="R506" s="136">
        <f>IF($F506="","",IFERROR(INDEX(사건마스터!$AO$5:$AO$64,MATCH($F506,사건마스터!$A$5:$A$64,0)),""))</f>
        <v/>
      </c>
      <c r="S506" s="136">
        <f>IF($F506="","",IFERROR(INDEX(사건마스터!$AP$5:$AP$64,MATCH($F506,사건마스터!$A$5:$A$64,0)),""))</f>
        <v/>
      </c>
      <c r="T506" s="136">
        <f>IF($F506="","",IFERROR(INDEX(사건마스터!$AQ$5:$AQ$64,MATCH($F506,사건마스터!$A$5:$A$64,0)),""))</f>
        <v/>
      </c>
      <c r="U506" s="136">
        <f>IF($F506="","",IFERROR(INDEX(사건마스터!$AR$5:$AR$64,MATCH($F506,사건마스터!$A$5:$A$64,0)),""))</f>
        <v/>
      </c>
      <c r="V506" s="136">
        <f>IF($F506="","",IFERROR(INDEX(사건마스터!$AS$5:$AS$64,MATCH($F506,사건마스터!$A$5:$A$64,0)),""))</f>
        <v/>
      </c>
      <c r="W506" s="136">
        <f>IF($F506="","",IFERROR(INDEX(사건마스터!$AT$5:$AT$64,MATCH($F506,사건마스터!$A$5:$A$64,0)),""))</f>
        <v/>
      </c>
      <c r="X506" s="136">
        <f>IF($F506="","",IFERROR(INDEX(사건마스터!$AU$5:$AU$64,MATCH($F506,사건마스터!$A$5:$A$64,0)),""))</f>
        <v/>
      </c>
      <c r="Y506" s="136">
        <f>IF($F506="","",IFERROR(INDEX(사건마스터!$AV$5:$AV$64,MATCH($F506,사건마스터!$A$5:$A$64,0)),""))</f>
        <v/>
      </c>
      <c r="Z506" s="118">
        <f>IF(COUNTBLANK($J506:$Y506)=16,"",16-COUNTBLANK($J506:$Y506))</f>
        <v/>
      </c>
      <c r="AA506" s="33">
        <f>IF($J506="",MID($AX506,3,255),$J506&amp;$AX506)</f>
        <v/>
      </c>
      <c r="AB506" s="130">
        <f>IF($J506="","",IFERROR(INDEX(코드설정!$D$5:$D$24,MATCH($J506,코드설정!$C$5:$C$24,0)),""))</f>
        <v/>
      </c>
      <c r="AC506" s="36" t="n"/>
      <c r="AD506" s="37" t="n"/>
      <c r="AE506" s="38" t="n"/>
      <c r="AF506" s="118">
        <f>IF(OR($B506="",$C506=""),"",$C506-$B506+1)</f>
        <v/>
      </c>
      <c r="AG506" s="74" t="n"/>
      <c r="AH506" s="36" t="n"/>
      <c r="AJ506">
        <f>IF($K506="","",", "&amp;$K506)</f>
        <v/>
      </c>
      <c r="AK506">
        <f>AJ506&amp;IF($L506="","",", "&amp;$L506)</f>
        <v/>
      </c>
      <c r="AL506">
        <f>AK506&amp;IF($M506="","",", "&amp;$M506)</f>
        <v/>
      </c>
      <c r="AM506">
        <f>AL506&amp;IF($N506="","",", "&amp;$N506)</f>
        <v/>
      </c>
      <c r="AN506">
        <f>AM506&amp;IF($O506="","",", "&amp;$O506)</f>
        <v/>
      </c>
      <c r="AO506">
        <f>AN506&amp;IF($P506="","",", "&amp;$P506)</f>
        <v/>
      </c>
      <c r="AP506">
        <f>AO506&amp;IF($Q506="","",", "&amp;$Q506)</f>
        <v/>
      </c>
      <c r="AQ506">
        <f>AP506&amp;IF($R506="","",", "&amp;$R506)</f>
        <v/>
      </c>
      <c r="AR506">
        <f>AQ506&amp;IF($S506="","",", "&amp;$S506)</f>
        <v/>
      </c>
      <c r="AS506">
        <f>AR506&amp;IF($T506="","",", "&amp;$T506)</f>
        <v/>
      </c>
      <c r="AT506">
        <f>AS506&amp;IF($U506="","",", "&amp;$U506)</f>
        <v/>
      </c>
      <c r="AU506">
        <f>AT506&amp;IF($V506="","",", "&amp;$V506)</f>
        <v/>
      </c>
      <c r="AV506">
        <f>AU506&amp;IF($W506="","",", "&amp;$W506)</f>
        <v/>
      </c>
      <c r="AW506">
        <f>AV506&amp;IF($X506="","",", "&amp;$X506)</f>
        <v/>
      </c>
      <c r="AX506">
        <f>AW506&amp;IF($Y506="","",", "&amp;$Y506)</f>
        <v/>
      </c>
    </row>
    <row r="507">
      <c r="A507" s="118">
        <f>IF($B507="","",COUNT($B$5:$B507))</f>
        <v/>
      </c>
      <c r="B507" s="80" t="n"/>
      <c r="C507" s="80" t="n"/>
      <c r="D507" s="74" t="n"/>
      <c r="E507" s="74" t="n"/>
      <c r="F507" s="74" t="n"/>
      <c r="G507" s="118">
        <f>IF($F507="","",COUNTIF($F$5:$F507,$F507))</f>
        <v/>
      </c>
      <c r="H507" s="33">
        <f>IF($F507="","",IFERROR(INDEX(사건마스터!$B$5:$B$64,MATCH($F507,사건마스터!$A$5:$A$64,0)),""))</f>
        <v/>
      </c>
      <c r="I507" s="130">
        <f>IF($F507="","",IFERROR(INDEX(사건마스터!$C$5:$C$64,MATCH($F507,사건마스터!$A$5:$A$64,0)),""))</f>
        <v/>
      </c>
      <c r="J507" s="136">
        <f>IF($F507="","",IFERROR(INDEX(사건마스터!$H$5:$H$64,MATCH($F507,사건마스터!$A$5:$A$64,0)),""))</f>
        <v/>
      </c>
      <c r="K507" s="136">
        <f>IF($F507="","",IFERROR(INDEX(사건마스터!$AH$5:$AH$64,MATCH($F507,사건마스터!$A$5:$A$64,0)),""))</f>
        <v/>
      </c>
      <c r="L507" s="136">
        <f>IF($F507="","",IFERROR(INDEX(사건마스터!$AI$5:$AI$64,MATCH($F507,사건마스터!$A$5:$A$64,0)),""))</f>
        <v/>
      </c>
      <c r="M507" s="136">
        <f>IF($F507="","",IFERROR(INDEX(사건마스터!$AJ$5:$AJ$64,MATCH($F507,사건마스터!$A$5:$A$64,0)),""))</f>
        <v/>
      </c>
      <c r="N507" s="136">
        <f>IF($F507="","",IFERROR(INDEX(사건마스터!$AK$5:$AK$64,MATCH($F507,사건마스터!$A$5:$A$64,0)),""))</f>
        <v/>
      </c>
      <c r="O507" s="136">
        <f>IF($F507="","",IFERROR(INDEX(사건마스터!$AL$5:$AL$64,MATCH($F507,사건마스터!$A$5:$A$64,0)),""))</f>
        <v/>
      </c>
      <c r="P507" s="136">
        <f>IF($F507="","",IFERROR(INDEX(사건마스터!$AM$5:$AM$64,MATCH($F507,사건마스터!$A$5:$A$64,0)),""))</f>
        <v/>
      </c>
      <c r="Q507" s="136">
        <f>IF($F507="","",IFERROR(INDEX(사건마스터!$AN$5:$AN$64,MATCH($F507,사건마스터!$A$5:$A$64,0)),""))</f>
        <v/>
      </c>
      <c r="R507" s="136">
        <f>IF($F507="","",IFERROR(INDEX(사건마스터!$AO$5:$AO$64,MATCH($F507,사건마스터!$A$5:$A$64,0)),""))</f>
        <v/>
      </c>
      <c r="S507" s="136">
        <f>IF($F507="","",IFERROR(INDEX(사건마스터!$AP$5:$AP$64,MATCH($F507,사건마스터!$A$5:$A$64,0)),""))</f>
        <v/>
      </c>
      <c r="T507" s="136">
        <f>IF($F507="","",IFERROR(INDEX(사건마스터!$AQ$5:$AQ$64,MATCH($F507,사건마스터!$A$5:$A$64,0)),""))</f>
        <v/>
      </c>
      <c r="U507" s="136">
        <f>IF($F507="","",IFERROR(INDEX(사건마스터!$AR$5:$AR$64,MATCH($F507,사건마스터!$A$5:$A$64,0)),""))</f>
        <v/>
      </c>
      <c r="V507" s="136">
        <f>IF($F507="","",IFERROR(INDEX(사건마스터!$AS$5:$AS$64,MATCH($F507,사건마스터!$A$5:$A$64,0)),""))</f>
        <v/>
      </c>
      <c r="W507" s="136">
        <f>IF($F507="","",IFERROR(INDEX(사건마스터!$AT$5:$AT$64,MATCH($F507,사건마스터!$A$5:$A$64,0)),""))</f>
        <v/>
      </c>
      <c r="X507" s="136">
        <f>IF($F507="","",IFERROR(INDEX(사건마스터!$AU$5:$AU$64,MATCH($F507,사건마스터!$A$5:$A$64,0)),""))</f>
        <v/>
      </c>
      <c r="Y507" s="136">
        <f>IF($F507="","",IFERROR(INDEX(사건마스터!$AV$5:$AV$64,MATCH($F507,사건마스터!$A$5:$A$64,0)),""))</f>
        <v/>
      </c>
      <c r="Z507" s="118">
        <f>IF(COUNTBLANK($J507:$Y507)=16,"",16-COUNTBLANK($J507:$Y507))</f>
        <v/>
      </c>
      <c r="AA507" s="33">
        <f>IF($J507="",MID($AX507,3,255),$J507&amp;$AX507)</f>
        <v/>
      </c>
      <c r="AB507" s="130">
        <f>IF($J507="","",IFERROR(INDEX(코드설정!$D$5:$D$24,MATCH($J507,코드설정!$C$5:$C$24,0)),""))</f>
        <v/>
      </c>
      <c r="AC507" s="36" t="n"/>
      <c r="AD507" s="37" t="n"/>
      <c r="AE507" s="38" t="n"/>
      <c r="AF507" s="118">
        <f>IF(OR($B507="",$C507=""),"",$C507-$B507+1)</f>
        <v/>
      </c>
      <c r="AG507" s="74" t="n"/>
      <c r="AH507" s="36" t="n"/>
      <c r="AJ507">
        <f>IF($K507="","",", "&amp;$K507)</f>
        <v/>
      </c>
      <c r="AK507">
        <f>AJ507&amp;IF($L507="","",", "&amp;$L507)</f>
        <v/>
      </c>
      <c r="AL507">
        <f>AK507&amp;IF($M507="","",", "&amp;$M507)</f>
        <v/>
      </c>
      <c r="AM507">
        <f>AL507&amp;IF($N507="","",", "&amp;$N507)</f>
        <v/>
      </c>
      <c r="AN507">
        <f>AM507&amp;IF($O507="","",", "&amp;$O507)</f>
        <v/>
      </c>
      <c r="AO507">
        <f>AN507&amp;IF($P507="","",", "&amp;$P507)</f>
        <v/>
      </c>
      <c r="AP507">
        <f>AO507&amp;IF($Q507="","",", "&amp;$Q507)</f>
        <v/>
      </c>
      <c r="AQ507">
        <f>AP507&amp;IF($R507="","",", "&amp;$R507)</f>
        <v/>
      </c>
      <c r="AR507">
        <f>AQ507&amp;IF($S507="","",", "&amp;$S507)</f>
        <v/>
      </c>
      <c r="AS507">
        <f>AR507&amp;IF($T507="","",", "&amp;$T507)</f>
        <v/>
      </c>
      <c r="AT507">
        <f>AS507&amp;IF($U507="","",", "&amp;$U507)</f>
        <v/>
      </c>
      <c r="AU507">
        <f>AT507&amp;IF($V507="","",", "&amp;$V507)</f>
        <v/>
      </c>
      <c r="AV507">
        <f>AU507&amp;IF($W507="","",", "&amp;$W507)</f>
        <v/>
      </c>
      <c r="AW507">
        <f>AV507&amp;IF($X507="","",", "&amp;$X507)</f>
        <v/>
      </c>
      <c r="AX507">
        <f>AW507&amp;IF($Y507="","",", "&amp;$Y507)</f>
        <v/>
      </c>
    </row>
    <row r="508">
      <c r="A508" s="118">
        <f>IF($B508="","",COUNT($B$5:$B508))</f>
        <v/>
      </c>
      <c r="B508" s="80" t="n"/>
      <c r="C508" s="80" t="n"/>
      <c r="D508" s="74" t="n"/>
      <c r="E508" s="74" t="n"/>
      <c r="F508" s="74" t="n"/>
      <c r="G508" s="118">
        <f>IF($F508="","",COUNTIF($F$5:$F508,$F508))</f>
        <v/>
      </c>
      <c r="H508" s="33">
        <f>IF($F508="","",IFERROR(INDEX(사건마스터!$B$5:$B$64,MATCH($F508,사건마스터!$A$5:$A$64,0)),""))</f>
        <v/>
      </c>
      <c r="I508" s="130">
        <f>IF($F508="","",IFERROR(INDEX(사건마스터!$C$5:$C$64,MATCH($F508,사건마스터!$A$5:$A$64,0)),""))</f>
        <v/>
      </c>
      <c r="J508" s="136">
        <f>IF($F508="","",IFERROR(INDEX(사건마스터!$H$5:$H$64,MATCH($F508,사건마스터!$A$5:$A$64,0)),""))</f>
        <v/>
      </c>
      <c r="K508" s="136">
        <f>IF($F508="","",IFERROR(INDEX(사건마스터!$AH$5:$AH$64,MATCH($F508,사건마스터!$A$5:$A$64,0)),""))</f>
        <v/>
      </c>
      <c r="L508" s="136">
        <f>IF($F508="","",IFERROR(INDEX(사건마스터!$AI$5:$AI$64,MATCH($F508,사건마스터!$A$5:$A$64,0)),""))</f>
        <v/>
      </c>
      <c r="M508" s="136">
        <f>IF($F508="","",IFERROR(INDEX(사건마스터!$AJ$5:$AJ$64,MATCH($F508,사건마스터!$A$5:$A$64,0)),""))</f>
        <v/>
      </c>
      <c r="N508" s="136">
        <f>IF($F508="","",IFERROR(INDEX(사건마스터!$AK$5:$AK$64,MATCH($F508,사건마스터!$A$5:$A$64,0)),""))</f>
        <v/>
      </c>
      <c r="O508" s="136">
        <f>IF($F508="","",IFERROR(INDEX(사건마스터!$AL$5:$AL$64,MATCH($F508,사건마스터!$A$5:$A$64,0)),""))</f>
        <v/>
      </c>
      <c r="P508" s="136">
        <f>IF($F508="","",IFERROR(INDEX(사건마스터!$AM$5:$AM$64,MATCH($F508,사건마스터!$A$5:$A$64,0)),""))</f>
        <v/>
      </c>
      <c r="Q508" s="136">
        <f>IF($F508="","",IFERROR(INDEX(사건마스터!$AN$5:$AN$64,MATCH($F508,사건마스터!$A$5:$A$64,0)),""))</f>
        <v/>
      </c>
      <c r="R508" s="136">
        <f>IF($F508="","",IFERROR(INDEX(사건마스터!$AO$5:$AO$64,MATCH($F508,사건마스터!$A$5:$A$64,0)),""))</f>
        <v/>
      </c>
      <c r="S508" s="136">
        <f>IF($F508="","",IFERROR(INDEX(사건마스터!$AP$5:$AP$64,MATCH($F508,사건마스터!$A$5:$A$64,0)),""))</f>
        <v/>
      </c>
      <c r="T508" s="136">
        <f>IF($F508="","",IFERROR(INDEX(사건마스터!$AQ$5:$AQ$64,MATCH($F508,사건마스터!$A$5:$A$64,0)),""))</f>
        <v/>
      </c>
      <c r="U508" s="136">
        <f>IF($F508="","",IFERROR(INDEX(사건마스터!$AR$5:$AR$64,MATCH($F508,사건마스터!$A$5:$A$64,0)),""))</f>
        <v/>
      </c>
      <c r="V508" s="136">
        <f>IF($F508="","",IFERROR(INDEX(사건마스터!$AS$5:$AS$64,MATCH($F508,사건마스터!$A$5:$A$64,0)),""))</f>
        <v/>
      </c>
      <c r="W508" s="136">
        <f>IF($F508="","",IFERROR(INDEX(사건마스터!$AT$5:$AT$64,MATCH($F508,사건마스터!$A$5:$A$64,0)),""))</f>
        <v/>
      </c>
      <c r="X508" s="136">
        <f>IF($F508="","",IFERROR(INDEX(사건마스터!$AU$5:$AU$64,MATCH($F508,사건마스터!$A$5:$A$64,0)),""))</f>
        <v/>
      </c>
      <c r="Y508" s="136">
        <f>IF($F508="","",IFERROR(INDEX(사건마스터!$AV$5:$AV$64,MATCH($F508,사건마스터!$A$5:$A$64,0)),""))</f>
        <v/>
      </c>
      <c r="Z508" s="118">
        <f>IF(COUNTBLANK($J508:$Y508)=16,"",16-COUNTBLANK($J508:$Y508))</f>
        <v/>
      </c>
      <c r="AA508" s="33">
        <f>IF($J508="",MID($AX508,3,255),$J508&amp;$AX508)</f>
        <v/>
      </c>
      <c r="AB508" s="130">
        <f>IF($J508="","",IFERROR(INDEX(코드설정!$D$5:$D$24,MATCH($J508,코드설정!$C$5:$C$24,0)),""))</f>
        <v/>
      </c>
      <c r="AC508" s="36" t="n"/>
      <c r="AD508" s="37" t="n"/>
      <c r="AE508" s="38" t="n"/>
      <c r="AF508" s="118">
        <f>IF(OR($B508="",$C508=""),"",$C508-$B508+1)</f>
        <v/>
      </c>
      <c r="AG508" s="74" t="n"/>
      <c r="AH508" s="36" t="n"/>
      <c r="AJ508">
        <f>IF($K508="","",", "&amp;$K508)</f>
        <v/>
      </c>
      <c r="AK508">
        <f>AJ508&amp;IF($L508="","",", "&amp;$L508)</f>
        <v/>
      </c>
      <c r="AL508">
        <f>AK508&amp;IF($M508="","",", "&amp;$M508)</f>
        <v/>
      </c>
      <c r="AM508">
        <f>AL508&amp;IF($N508="","",", "&amp;$N508)</f>
        <v/>
      </c>
      <c r="AN508">
        <f>AM508&amp;IF($O508="","",", "&amp;$O508)</f>
        <v/>
      </c>
      <c r="AO508">
        <f>AN508&amp;IF($P508="","",", "&amp;$P508)</f>
        <v/>
      </c>
      <c r="AP508">
        <f>AO508&amp;IF($Q508="","",", "&amp;$Q508)</f>
        <v/>
      </c>
      <c r="AQ508">
        <f>AP508&amp;IF($R508="","",", "&amp;$R508)</f>
        <v/>
      </c>
      <c r="AR508">
        <f>AQ508&amp;IF($S508="","",", "&amp;$S508)</f>
        <v/>
      </c>
      <c r="AS508">
        <f>AR508&amp;IF($T508="","",", "&amp;$T508)</f>
        <v/>
      </c>
      <c r="AT508">
        <f>AS508&amp;IF($U508="","",", "&amp;$U508)</f>
        <v/>
      </c>
      <c r="AU508">
        <f>AT508&amp;IF($V508="","",", "&amp;$V508)</f>
        <v/>
      </c>
      <c r="AV508">
        <f>AU508&amp;IF($W508="","",", "&amp;$W508)</f>
        <v/>
      </c>
      <c r="AW508">
        <f>AV508&amp;IF($X508="","",", "&amp;$X508)</f>
        <v/>
      </c>
      <c r="AX508">
        <f>AW508&amp;IF($Y508="","",", "&amp;$Y508)</f>
        <v/>
      </c>
    </row>
    <row r="509">
      <c r="A509" s="118">
        <f>IF($B509="","",COUNT($B$5:$B509))</f>
        <v/>
      </c>
      <c r="B509" s="80" t="n"/>
      <c r="C509" s="80" t="n"/>
      <c r="D509" s="74" t="n"/>
      <c r="E509" s="74" t="n"/>
      <c r="F509" s="74" t="n"/>
      <c r="G509" s="118">
        <f>IF($F509="","",COUNTIF($F$5:$F509,$F509))</f>
        <v/>
      </c>
      <c r="H509" s="33">
        <f>IF($F509="","",IFERROR(INDEX(사건마스터!$B$5:$B$64,MATCH($F509,사건마스터!$A$5:$A$64,0)),""))</f>
        <v/>
      </c>
      <c r="I509" s="130">
        <f>IF($F509="","",IFERROR(INDEX(사건마스터!$C$5:$C$64,MATCH($F509,사건마스터!$A$5:$A$64,0)),""))</f>
        <v/>
      </c>
      <c r="J509" s="136">
        <f>IF($F509="","",IFERROR(INDEX(사건마스터!$H$5:$H$64,MATCH($F509,사건마스터!$A$5:$A$64,0)),""))</f>
        <v/>
      </c>
      <c r="K509" s="136">
        <f>IF($F509="","",IFERROR(INDEX(사건마스터!$AH$5:$AH$64,MATCH($F509,사건마스터!$A$5:$A$64,0)),""))</f>
        <v/>
      </c>
      <c r="L509" s="136">
        <f>IF($F509="","",IFERROR(INDEX(사건마스터!$AI$5:$AI$64,MATCH($F509,사건마스터!$A$5:$A$64,0)),""))</f>
        <v/>
      </c>
      <c r="M509" s="136">
        <f>IF($F509="","",IFERROR(INDEX(사건마스터!$AJ$5:$AJ$64,MATCH($F509,사건마스터!$A$5:$A$64,0)),""))</f>
        <v/>
      </c>
      <c r="N509" s="136">
        <f>IF($F509="","",IFERROR(INDEX(사건마스터!$AK$5:$AK$64,MATCH($F509,사건마스터!$A$5:$A$64,0)),""))</f>
        <v/>
      </c>
      <c r="O509" s="136">
        <f>IF($F509="","",IFERROR(INDEX(사건마스터!$AL$5:$AL$64,MATCH($F509,사건마스터!$A$5:$A$64,0)),""))</f>
        <v/>
      </c>
      <c r="P509" s="136">
        <f>IF($F509="","",IFERROR(INDEX(사건마스터!$AM$5:$AM$64,MATCH($F509,사건마스터!$A$5:$A$64,0)),""))</f>
        <v/>
      </c>
      <c r="Q509" s="136">
        <f>IF($F509="","",IFERROR(INDEX(사건마스터!$AN$5:$AN$64,MATCH($F509,사건마스터!$A$5:$A$64,0)),""))</f>
        <v/>
      </c>
      <c r="R509" s="136">
        <f>IF($F509="","",IFERROR(INDEX(사건마스터!$AO$5:$AO$64,MATCH($F509,사건마스터!$A$5:$A$64,0)),""))</f>
        <v/>
      </c>
      <c r="S509" s="136">
        <f>IF($F509="","",IFERROR(INDEX(사건마스터!$AP$5:$AP$64,MATCH($F509,사건마스터!$A$5:$A$64,0)),""))</f>
        <v/>
      </c>
      <c r="T509" s="136">
        <f>IF($F509="","",IFERROR(INDEX(사건마스터!$AQ$5:$AQ$64,MATCH($F509,사건마스터!$A$5:$A$64,0)),""))</f>
        <v/>
      </c>
      <c r="U509" s="136">
        <f>IF($F509="","",IFERROR(INDEX(사건마스터!$AR$5:$AR$64,MATCH($F509,사건마스터!$A$5:$A$64,0)),""))</f>
        <v/>
      </c>
      <c r="V509" s="136">
        <f>IF($F509="","",IFERROR(INDEX(사건마스터!$AS$5:$AS$64,MATCH($F509,사건마스터!$A$5:$A$64,0)),""))</f>
        <v/>
      </c>
      <c r="W509" s="136">
        <f>IF($F509="","",IFERROR(INDEX(사건마스터!$AT$5:$AT$64,MATCH($F509,사건마스터!$A$5:$A$64,0)),""))</f>
        <v/>
      </c>
      <c r="X509" s="136">
        <f>IF($F509="","",IFERROR(INDEX(사건마스터!$AU$5:$AU$64,MATCH($F509,사건마스터!$A$5:$A$64,0)),""))</f>
        <v/>
      </c>
      <c r="Y509" s="136">
        <f>IF($F509="","",IFERROR(INDEX(사건마스터!$AV$5:$AV$64,MATCH($F509,사건마스터!$A$5:$A$64,0)),""))</f>
        <v/>
      </c>
      <c r="Z509" s="118">
        <f>IF(COUNTBLANK($J509:$Y509)=16,"",16-COUNTBLANK($J509:$Y509))</f>
        <v/>
      </c>
      <c r="AA509" s="33">
        <f>IF($J509="",MID($AX509,3,255),$J509&amp;$AX509)</f>
        <v/>
      </c>
      <c r="AB509" s="130">
        <f>IF($J509="","",IFERROR(INDEX(코드설정!$D$5:$D$24,MATCH($J509,코드설정!$C$5:$C$24,0)),""))</f>
        <v/>
      </c>
      <c r="AC509" s="36" t="n"/>
      <c r="AD509" s="37" t="n"/>
      <c r="AE509" s="38" t="n"/>
      <c r="AF509" s="118">
        <f>IF(OR($B509="",$C509=""),"",$C509-$B509+1)</f>
        <v/>
      </c>
      <c r="AG509" s="74" t="n"/>
      <c r="AH509" s="36" t="n"/>
      <c r="AJ509">
        <f>IF($K509="","",", "&amp;$K509)</f>
        <v/>
      </c>
      <c r="AK509">
        <f>AJ509&amp;IF($L509="","",", "&amp;$L509)</f>
        <v/>
      </c>
      <c r="AL509">
        <f>AK509&amp;IF($M509="","",", "&amp;$M509)</f>
        <v/>
      </c>
      <c r="AM509">
        <f>AL509&amp;IF($N509="","",", "&amp;$N509)</f>
        <v/>
      </c>
      <c r="AN509">
        <f>AM509&amp;IF($O509="","",", "&amp;$O509)</f>
        <v/>
      </c>
      <c r="AO509">
        <f>AN509&amp;IF($P509="","",", "&amp;$P509)</f>
        <v/>
      </c>
      <c r="AP509">
        <f>AO509&amp;IF($Q509="","",", "&amp;$Q509)</f>
        <v/>
      </c>
      <c r="AQ509">
        <f>AP509&amp;IF($R509="","",", "&amp;$R509)</f>
        <v/>
      </c>
      <c r="AR509">
        <f>AQ509&amp;IF($S509="","",", "&amp;$S509)</f>
        <v/>
      </c>
      <c r="AS509">
        <f>AR509&amp;IF($T509="","",", "&amp;$T509)</f>
        <v/>
      </c>
      <c r="AT509">
        <f>AS509&amp;IF($U509="","",", "&amp;$U509)</f>
        <v/>
      </c>
      <c r="AU509">
        <f>AT509&amp;IF($V509="","",", "&amp;$V509)</f>
        <v/>
      </c>
      <c r="AV509">
        <f>AU509&amp;IF($W509="","",", "&amp;$W509)</f>
        <v/>
      </c>
      <c r="AW509">
        <f>AV509&amp;IF($X509="","",", "&amp;$X509)</f>
        <v/>
      </c>
      <c r="AX509">
        <f>AW509&amp;IF($Y509="","",", "&amp;$Y509)</f>
        <v/>
      </c>
    </row>
    <row r="510">
      <c r="A510" s="118">
        <f>IF($B510="","",COUNT($B$5:$B510))</f>
        <v/>
      </c>
      <c r="B510" s="80" t="n"/>
      <c r="C510" s="80" t="n"/>
      <c r="D510" s="74" t="n"/>
      <c r="E510" s="74" t="n"/>
      <c r="F510" s="74" t="n"/>
      <c r="G510" s="118">
        <f>IF($F510="","",COUNTIF($F$5:$F510,$F510))</f>
        <v/>
      </c>
      <c r="H510" s="33">
        <f>IF($F510="","",IFERROR(INDEX(사건마스터!$B$5:$B$64,MATCH($F510,사건마스터!$A$5:$A$64,0)),""))</f>
        <v/>
      </c>
      <c r="I510" s="130">
        <f>IF($F510="","",IFERROR(INDEX(사건마스터!$C$5:$C$64,MATCH($F510,사건마스터!$A$5:$A$64,0)),""))</f>
        <v/>
      </c>
      <c r="J510" s="136">
        <f>IF($F510="","",IFERROR(INDEX(사건마스터!$H$5:$H$64,MATCH($F510,사건마스터!$A$5:$A$64,0)),""))</f>
        <v/>
      </c>
      <c r="K510" s="136">
        <f>IF($F510="","",IFERROR(INDEX(사건마스터!$AH$5:$AH$64,MATCH($F510,사건마스터!$A$5:$A$64,0)),""))</f>
        <v/>
      </c>
      <c r="L510" s="136">
        <f>IF($F510="","",IFERROR(INDEX(사건마스터!$AI$5:$AI$64,MATCH($F510,사건마스터!$A$5:$A$64,0)),""))</f>
        <v/>
      </c>
      <c r="M510" s="136">
        <f>IF($F510="","",IFERROR(INDEX(사건마스터!$AJ$5:$AJ$64,MATCH($F510,사건마스터!$A$5:$A$64,0)),""))</f>
        <v/>
      </c>
      <c r="N510" s="136">
        <f>IF($F510="","",IFERROR(INDEX(사건마스터!$AK$5:$AK$64,MATCH($F510,사건마스터!$A$5:$A$64,0)),""))</f>
        <v/>
      </c>
      <c r="O510" s="136">
        <f>IF($F510="","",IFERROR(INDEX(사건마스터!$AL$5:$AL$64,MATCH($F510,사건마스터!$A$5:$A$64,0)),""))</f>
        <v/>
      </c>
      <c r="P510" s="136">
        <f>IF($F510="","",IFERROR(INDEX(사건마스터!$AM$5:$AM$64,MATCH($F510,사건마스터!$A$5:$A$64,0)),""))</f>
        <v/>
      </c>
      <c r="Q510" s="136">
        <f>IF($F510="","",IFERROR(INDEX(사건마스터!$AN$5:$AN$64,MATCH($F510,사건마스터!$A$5:$A$64,0)),""))</f>
        <v/>
      </c>
      <c r="R510" s="136">
        <f>IF($F510="","",IFERROR(INDEX(사건마스터!$AO$5:$AO$64,MATCH($F510,사건마스터!$A$5:$A$64,0)),""))</f>
        <v/>
      </c>
      <c r="S510" s="136">
        <f>IF($F510="","",IFERROR(INDEX(사건마스터!$AP$5:$AP$64,MATCH($F510,사건마스터!$A$5:$A$64,0)),""))</f>
        <v/>
      </c>
      <c r="T510" s="136">
        <f>IF($F510="","",IFERROR(INDEX(사건마스터!$AQ$5:$AQ$64,MATCH($F510,사건마스터!$A$5:$A$64,0)),""))</f>
        <v/>
      </c>
      <c r="U510" s="136">
        <f>IF($F510="","",IFERROR(INDEX(사건마스터!$AR$5:$AR$64,MATCH($F510,사건마스터!$A$5:$A$64,0)),""))</f>
        <v/>
      </c>
      <c r="V510" s="136">
        <f>IF($F510="","",IFERROR(INDEX(사건마스터!$AS$5:$AS$64,MATCH($F510,사건마스터!$A$5:$A$64,0)),""))</f>
        <v/>
      </c>
      <c r="W510" s="136">
        <f>IF($F510="","",IFERROR(INDEX(사건마스터!$AT$5:$AT$64,MATCH($F510,사건마스터!$A$5:$A$64,0)),""))</f>
        <v/>
      </c>
      <c r="X510" s="136">
        <f>IF($F510="","",IFERROR(INDEX(사건마스터!$AU$5:$AU$64,MATCH($F510,사건마스터!$A$5:$A$64,0)),""))</f>
        <v/>
      </c>
      <c r="Y510" s="136">
        <f>IF($F510="","",IFERROR(INDEX(사건마스터!$AV$5:$AV$64,MATCH($F510,사건마스터!$A$5:$A$64,0)),""))</f>
        <v/>
      </c>
      <c r="Z510" s="118">
        <f>IF(COUNTBLANK($J510:$Y510)=16,"",16-COUNTBLANK($J510:$Y510))</f>
        <v/>
      </c>
      <c r="AA510" s="33">
        <f>IF($J510="",MID($AX510,3,255),$J510&amp;$AX510)</f>
        <v/>
      </c>
      <c r="AB510" s="130">
        <f>IF($J510="","",IFERROR(INDEX(코드설정!$D$5:$D$24,MATCH($J510,코드설정!$C$5:$C$24,0)),""))</f>
        <v/>
      </c>
      <c r="AC510" s="36" t="n"/>
      <c r="AD510" s="37" t="n"/>
      <c r="AE510" s="38" t="n"/>
      <c r="AF510" s="118">
        <f>IF(OR($B510="",$C510=""),"",$C510-$B510+1)</f>
        <v/>
      </c>
      <c r="AG510" s="74" t="n"/>
      <c r="AH510" s="36" t="n"/>
      <c r="AJ510">
        <f>IF($K510="","",", "&amp;$K510)</f>
        <v/>
      </c>
      <c r="AK510">
        <f>AJ510&amp;IF($L510="","",", "&amp;$L510)</f>
        <v/>
      </c>
      <c r="AL510">
        <f>AK510&amp;IF($M510="","",", "&amp;$M510)</f>
        <v/>
      </c>
      <c r="AM510">
        <f>AL510&amp;IF($N510="","",", "&amp;$N510)</f>
        <v/>
      </c>
      <c r="AN510">
        <f>AM510&amp;IF($O510="","",", "&amp;$O510)</f>
        <v/>
      </c>
      <c r="AO510">
        <f>AN510&amp;IF($P510="","",", "&amp;$P510)</f>
        <v/>
      </c>
      <c r="AP510">
        <f>AO510&amp;IF($Q510="","",", "&amp;$Q510)</f>
        <v/>
      </c>
      <c r="AQ510">
        <f>AP510&amp;IF($R510="","",", "&amp;$R510)</f>
        <v/>
      </c>
      <c r="AR510">
        <f>AQ510&amp;IF($S510="","",", "&amp;$S510)</f>
        <v/>
      </c>
      <c r="AS510">
        <f>AR510&amp;IF($T510="","",", "&amp;$T510)</f>
        <v/>
      </c>
      <c r="AT510">
        <f>AS510&amp;IF($U510="","",", "&amp;$U510)</f>
        <v/>
      </c>
      <c r="AU510">
        <f>AT510&amp;IF($V510="","",", "&amp;$V510)</f>
        <v/>
      </c>
      <c r="AV510">
        <f>AU510&amp;IF($W510="","",", "&amp;$W510)</f>
        <v/>
      </c>
      <c r="AW510">
        <f>AV510&amp;IF($X510="","",", "&amp;$X510)</f>
        <v/>
      </c>
      <c r="AX510">
        <f>AW510&amp;IF($Y510="","",", "&amp;$Y510)</f>
        <v/>
      </c>
    </row>
    <row r="511">
      <c r="A511" s="118">
        <f>IF($B511="","",COUNT($B$5:$B511))</f>
        <v/>
      </c>
      <c r="B511" s="80" t="n"/>
      <c r="C511" s="80" t="n"/>
      <c r="D511" s="74" t="n"/>
      <c r="E511" s="74" t="n"/>
      <c r="F511" s="74" t="n"/>
      <c r="G511" s="118">
        <f>IF($F511="","",COUNTIF($F$5:$F511,$F511))</f>
        <v/>
      </c>
      <c r="H511" s="33">
        <f>IF($F511="","",IFERROR(INDEX(사건마스터!$B$5:$B$64,MATCH($F511,사건마스터!$A$5:$A$64,0)),""))</f>
        <v/>
      </c>
      <c r="I511" s="130">
        <f>IF($F511="","",IFERROR(INDEX(사건마스터!$C$5:$C$64,MATCH($F511,사건마스터!$A$5:$A$64,0)),""))</f>
        <v/>
      </c>
      <c r="J511" s="136">
        <f>IF($F511="","",IFERROR(INDEX(사건마스터!$H$5:$H$64,MATCH($F511,사건마스터!$A$5:$A$64,0)),""))</f>
        <v/>
      </c>
      <c r="K511" s="136">
        <f>IF($F511="","",IFERROR(INDEX(사건마스터!$AH$5:$AH$64,MATCH($F511,사건마스터!$A$5:$A$64,0)),""))</f>
        <v/>
      </c>
      <c r="L511" s="136">
        <f>IF($F511="","",IFERROR(INDEX(사건마스터!$AI$5:$AI$64,MATCH($F511,사건마스터!$A$5:$A$64,0)),""))</f>
        <v/>
      </c>
      <c r="M511" s="136">
        <f>IF($F511="","",IFERROR(INDEX(사건마스터!$AJ$5:$AJ$64,MATCH($F511,사건마스터!$A$5:$A$64,0)),""))</f>
        <v/>
      </c>
      <c r="N511" s="136">
        <f>IF($F511="","",IFERROR(INDEX(사건마스터!$AK$5:$AK$64,MATCH($F511,사건마스터!$A$5:$A$64,0)),""))</f>
        <v/>
      </c>
      <c r="O511" s="136">
        <f>IF($F511="","",IFERROR(INDEX(사건마스터!$AL$5:$AL$64,MATCH($F511,사건마스터!$A$5:$A$64,0)),""))</f>
        <v/>
      </c>
      <c r="P511" s="136">
        <f>IF($F511="","",IFERROR(INDEX(사건마스터!$AM$5:$AM$64,MATCH($F511,사건마스터!$A$5:$A$64,0)),""))</f>
        <v/>
      </c>
      <c r="Q511" s="136">
        <f>IF($F511="","",IFERROR(INDEX(사건마스터!$AN$5:$AN$64,MATCH($F511,사건마스터!$A$5:$A$64,0)),""))</f>
        <v/>
      </c>
      <c r="R511" s="136">
        <f>IF($F511="","",IFERROR(INDEX(사건마스터!$AO$5:$AO$64,MATCH($F511,사건마스터!$A$5:$A$64,0)),""))</f>
        <v/>
      </c>
      <c r="S511" s="136">
        <f>IF($F511="","",IFERROR(INDEX(사건마스터!$AP$5:$AP$64,MATCH($F511,사건마스터!$A$5:$A$64,0)),""))</f>
        <v/>
      </c>
      <c r="T511" s="136">
        <f>IF($F511="","",IFERROR(INDEX(사건마스터!$AQ$5:$AQ$64,MATCH($F511,사건마스터!$A$5:$A$64,0)),""))</f>
        <v/>
      </c>
      <c r="U511" s="136">
        <f>IF($F511="","",IFERROR(INDEX(사건마스터!$AR$5:$AR$64,MATCH($F511,사건마스터!$A$5:$A$64,0)),""))</f>
        <v/>
      </c>
      <c r="V511" s="136">
        <f>IF($F511="","",IFERROR(INDEX(사건마스터!$AS$5:$AS$64,MATCH($F511,사건마스터!$A$5:$A$64,0)),""))</f>
        <v/>
      </c>
      <c r="W511" s="136">
        <f>IF($F511="","",IFERROR(INDEX(사건마스터!$AT$5:$AT$64,MATCH($F511,사건마스터!$A$5:$A$64,0)),""))</f>
        <v/>
      </c>
      <c r="X511" s="136">
        <f>IF($F511="","",IFERROR(INDEX(사건마스터!$AU$5:$AU$64,MATCH($F511,사건마스터!$A$5:$A$64,0)),""))</f>
        <v/>
      </c>
      <c r="Y511" s="136">
        <f>IF($F511="","",IFERROR(INDEX(사건마스터!$AV$5:$AV$64,MATCH($F511,사건마스터!$A$5:$A$64,0)),""))</f>
        <v/>
      </c>
      <c r="Z511" s="118">
        <f>IF(COUNTBLANK($J511:$Y511)=16,"",16-COUNTBLANK($J511:$Y511))</f>
        <v/>
      </c>
      <c r="AA511" s="33">
        <f>IF($J511="",MID($AX511,3,255),$J511&amp;$AX511)</f>
        <v/>
      </c>
      <c r="AB511" s="130">
        <f>IF($J511="","",IFERROR(INDEX(코드설정!$D$5:$D$24,MATCH($J511,코드설정!$C$5:$C$24,0)),""))</f>
        <v/>
      </c>
      <c r="AC511" s="36" t="n"/>
      <c r="AD511" s="37" t="n"/>
      <c r="AE511" s="38" t="n"/>
      <c r="AF511" s="118">
        <f>IF(OR($B511="",$C511=""),"",$C511-$B511+1)</f>
        <v/>
      </c>
      <c r="AG511" s="74" t="n"/>
      <c r="AH511" s="36" t="n"/>
      <c r="AJ511">
        <f>IF($K511="","",", "&amp;$K511)</f>
        <v/>
      </c>
      <c r="AK511">
        <f>AJ511&amp;IF($L511="","",", "&amp;$L511)</f>
        <v/>
      </c>
      <c r="AL511">
        <f>AK511&amp;IF($M511="","",", "&amp;$M511)</f>
        <v/>
      </c>
      <c r="AM511">
        <f>AL511&amp;IF($N511="","",", "&amp;$N511)</f>
        <v/>
      </c>
      <c r="AN511">
        <f>AM511&amp;IF($O511="","",", "&amp;$O511)</f>
        <v/>
      </c>
      <c r="AO511">
        <f>AN511&amp;IF($P511="","",", "&amp;$P511)</f>
        <v/>
      </c>
      <c r="AP511">
        <f>AO511&amp;IF($Q511="","",", "&amp;$Q511)</f>
        <v/>
      </c>
      <c r="AQ511">
        <f>AP511&amp;IF($R511="","",", "&amp;$R511)</f>
        <v/>
      </c>
      <c r="AR511">
        <f>AQ511&amp;IF($S511="","",", "&amp;$S511)</f>
        <v/>
      </c>
      <c r="AS511">
        <f>AR511&amp;IF($T511="","",", "&amp;$T511)</f>
        <v/>
      </c>
      <c r="AT511">
        <f>AS511&amp;IF($U511="","",", "&amp;$U511)</f>
        <v/>
      </c>
      <c r="AU511">
        <f>AT511&amp;IF($V511="","",", "&amp;$V511)</f>
        <v/>
      </c>
      <c r="AV511">
        <f>AU511&amp;IF($W511="","",", "&amp;$W511)</f>
        <v/>
      </c>
      <c r="AW511">
        <f>AV511&amp;IF($X511="","",", "&amp;$X511)</f>
        <v/>
      </c>
      <c r="AX511">
        <f>AW511&amp;IF($Y511="","",", "&amp;$Y511)</f>
        <v/>
      </c>
    </row>
    <row r="512">
      <c r="A512" s="118">
        <f>IF($B512="","",COUNT($B$5:$B512))</f>
        <v/>
      </c>
      <c r="B512" s="80" t="n"/>
      <c r="C512" s="80" t="n"/>
      <c r="D512" s="74" t="n"/>
      <c r="E512" s="74" t="n"/>
      <c r="F512" s="74" t="n"/>
      <c r="G512" s="118">
        <f>IF($F512="","",COUNTIF($F$5:$F512,$F512))</f>
        <v/>
      </c>
      <c r="H512" s="33">
        <f>IF($F512="","",IFERROR(INDEX(사건마스터!$B$5:$B$64,MATCH($F512,사건마스터!$A$5:$A$64,0)),""))</f>
        <v/>
      </c>
      <c r="I512" s="130">
        <f>IF($F512="","",IFERROR(INDEX(사건마스터!$C$5:$C$64,MATCH($F512,사건마스터!$A$5:$A$64,0)),""))</f>
        <v/>
      </c>
      <c r="J512" s="136">
        <f>IF($F512="","",IFERROR(INDEX(사건마스터!$H$5:$H$64,MATCH($F512,사건마스터!$A$5:$A$64,0)),""))</f>
        <v/>
      </c>
      <c r="K512" s="136">
        <f>IF($F512="","",IFERROR(INDEX(사건마스터!$AH$5:$AH$64,MATCH($F512,사건마스터!$A$5:$A$64,0)),""))</f>
        <v/>
      </c>
      <c r="L512" s="136">
        <f>IF($F512="","",IFERROR(INDEX(사건마스터!$AI$5:$AI$64,MATCH($F512,사건마스터!$A$5:$A$64,0)),""))</f>
        <v/>
      </c>
      <c r="M512" s="136">
        <f>IF($F512="","",IFERROR(INDEX(사건마스터!$AJ$5:$AJ$64,MATCH($F512,사건마스터!$A$5:$A$64,0)),""))</f>
        <v/>
      </c>
      <c r="N512" s="136">
        <f>IF($F512="","",IFERROR(INDEX(사건마스터!$AK$5:$AK$64,MATCH($F512,사건마스터!$A$5:$A$64,0)),""))</f>
        <v/>
      </c>
      <c r="O512" s="136">
        <f>IF($F512="","",IFERROR(INDEX(사건마스터!$AL$5:$AL$64,MATCH($F512,사건마스터!$A$5:$A$64,0)),""))</f>
        <v/>
      </c>
      <c r="P512" s="136">
        <f>IF($F512="","",IFERROR(INDEX(사건마스터!$AM$5:$AM$64,MATCH($F512,사건마스터!$A$5:$A$64,0)),""))</f>
        <v/>
      </c>
      <c r="Q512" s="136">
        <f>IF($F512="","",IFERROR(INDEX(사건마스터!$AN$5:$AN$64,MATCH($F512,사건마스터!$A$5:$A$64,0)),""))</f>
        <v/>
      </c>
      <c r="R512" s="136">
        <f>IF($F512="","",IFERROR(INDEX(사건마스터!$AO$5:$AO$64,MATCH($F512,사건마스터!$A$5:$A$64,0)),""))</f>
        <v/>
      </c>
      <c r="S512" s="136">
        <f>IF($F512="","",IFERROR(INDEX(사건마스터!$AP$5:$AP$64,MATCH($F512,사건마스터!$A$5:$A$64,0)),""))</f>
        <v/>
      </c>
      <c r="T512" s="136">
        <f>IF($F512="","",IFERROR(INDEX(사건마스터!$AQ$5:$AQ$64,MATCH($F512,사건마스터!$A$5:$A$64,0)),""))</f>
        <v/>
      </c>
      <c r="U512" s="136">
        <f>IF($F512="","",IFERROR(INDEX(사건마스터!$AR$5:$AR$64,MATCH($F512,사건마스터!$A$5:$A$64,0)),""))</f>
        <v/>
      </c>
      <c r="V512" s="136">
        <f>IF($F512="","",IFERROR(INDEX(사건마스터!$AS$5:$AS$64,MATCH($F512,사건마스터!$A$5:$A$64,0)),""))</f>
        <v/>
      </c>
      <c r="W512" s="136">
        <f>IF($F512="","",IFERROR(INDEX(사건마스터!$AT$5:$AT$64,MATCH($F512,사건마스터!$A$5:$A$64,0)),""))</f>
        <v/>
      </c>
      <c r="X512" s="136">
        <f>IF($F512="","",IFERROR(INDEX(사건마스터!$AU$5:$AU$64,MATCH($F512,사건마스터!$A$5:$A$64,0)),""))</f>
        <v/>
      </c>
      <c r="Y512" s="136">
        <f>IF($F512="","",IFERROR(INDEX(사건마스터!$AV$5:$AV$64,MATCH($F512,사건마스터!$A$5:$A$64,0)),""))</f>
        <v/>
      </c>
      <c r="Z512" s="118">
        <f>IF(COUNTBLANK($J512:$Y512)=16,"",16-COUNTBLANK($J512:$Y512))</f>
        <v/>
      </c>
      <c r="AA512" s="33">
        <f>IF($J512="",MID($AX512,3,255),$J512&amp;$AX512)</f>
        <v/>
      </c>
      <c r="AB512" s="130">
        <f>IF($J512="","",IFERROR(INDEX(코드설정!$D$5:$D$24,MATCH($J512,코드설정!$C$5:$C$24,0)),""))</f>
        <v/>
      </c>
      <c r="AC512" s="36" t="n"/>
      <c r="AD512" s="37" t="n"/>
      <c r="AE512" s="38" t="n"/>
      <c r="AF512" s="118">
        <f>IF(OR($B512="",$C512=""),"",$C512-$B512+1)</f>
        <v/>
      </c>
      <c r="AG512" s="74" t="n"/>
      <c r="AH512" s="36" t="n"/>
      <c r="AJ512">
        <f>IF($K512="","",", "&amp;$K512)</f>
        <v/>
      </c>
      <c r="AK512">
        <f>AJ512&amp;IF($L512="","",", "&amp;$L512)</f>
        <v/>
      </c>
      <c r="AL512">
        <f>AK512&amp;IF($M512="","",", "&amp;$M512)</f>
        <v/>
      </c>
      <c r="AM512">
        <f>AL512&amp;IF($N512="","",", "&amp;$N512)</f>
        <v/>
      </c>
      <c r="AN512">
        <f>AM512&amp;IF($O512="","",", "&amp;$O512)</f>
        <v/>
      </c>
      <c r="AO512">
        <f>AN512&amp;IF($P512="","",", "&amp;$P512)</f>
        <v/>
      </c>
      <c r="AP512">
        <f>AO512&amp;IF($Q512="","",", "&amp;$Q512)</f>
        <v/>
      </c>
      <c r="AQ512">
        <f>AP512&amp;IF($R512="","",", "&amp;$R512)</f>
        <v/>
      </c>
      <c r="AR512">
        <f>AQ512&amp;IF($S512="","",", "&amp;$S512)</f>
        <v/>
      </c>
      <c r="AS512">
        <f>AR512&amp;IF($T512="","",", "&amp;$T512)</f>
        <v/>
      </c>
      <c r="AT512">
        <f>AS512&amp;IF($U512="","",", "&amp;$U512)</f>
        <v/>
      </c>
      <c r="AU512">
        <f>AT512&amp;IF($V512="","",", "&amp;$V512)</f>
        <v/>
      </c>
      <c r="AV512">
        <f>AU512&amp;IF($W512="","",", "&amp;$W512)</f>
        <v/>
      </c>
      <c r="AW512">
        <f>AV512&amp;IF($X512="","",", "&amp;$X512)</f>
        <v/>
      </c>
      <c r="AX512">
        <f>AW512&amp;IF($Y512="","",", "&amp;$Y512)</f>
        <v/>
      </c>
    </row>
    <row r="513">
      <c r="A513" s="118">
        <f>IF($B513="","",COUNT($B$5:$B513))</f>
        <v/>
      </c>
      <c r="B513" s="80" t="n"/>
      <c r="C513" s="80" t="n"/>
      <c r="D513" s="74" t="n"/>
      <c r="E513" s="74" t="n"/>
      <c r="F513" s="74" t="n"/>
      <c r="G513" s="118">
        <f>IF($F513="","",COUNTIF($F$5:$F513,$F513))</f>
        <v/>
      </c>
      <c r="H513" s="33">
        <f>IF($F513="","",IFERROR(INDEX(사건마스터!$B$5:$B$64,MATCH($F513,사건마스터!$A$5:$A$64,0)),""))</f>
        <v/>
      </c>
      <c r="I513" s="130">
        <f>IF($F513="","",IFERROR(INDEX(사건마스터!$C$5:$C$64,MATCH($F513,사건마스터!$A$5:$A$64,0)),""))</f>
        <v/>
      </c>
      <c r="J513" s="136">
        <f>IF($F513="","",IFERROR(INDEX(사건마스터!$H$5:$H$64,MATCH($F513,사건마스터!$A$5:$A$64,0)),""))</f>
        <v/>
      </c>
      <c r="K513" s="136">
        <f>IF($F513="","",IFERROR(INDEX(사건마스터!$AH$5:$AH$64,MATCH($F513,사건마스터!$A$5:$A$64,0)),""))</f>
        <v/>
      </c>
      <c r="L513" s="136">
        <f>IF($F513="","",IFERROR(INDEX(사건마스터!$AI$5:$AI$64,MATCH($F513,사건마스터!$A$5:$A$64,0)),""))</f>
        <v/>
      </c>
      <c r="M513" s="136">
        <f>IF($F513="","",IFERROR(INDEX(사건마스터!$AJ$5:$AJ$64,MATCH($F513,사건마스터!$A$5:$A$64,0)),""))</f>
        <v/>
      </c>
      <c r="N513" s="136">
        <f>IF($F513="","",IFERROR(INDEX(사건마스터!$AK$5:$AK$64,MATCH($F513,사건마스터!$A$5:$A$64,0)),""))</f>
        <v/>
      </c>
      <c r="O513" s="136">
        <f>IF($F513="","",IFERROR(INDEX(사건마스터!$AL$5:$AL$64,MATCH($F513,사건마스터!$A$5:$A$64,0)),""))</f>
        <v/>
      </c>
      <c r="P513" s="136">
        <f>IF($F513="","",IFERROR(INDEX(사건마스터!$AM$5:$AM$64,MATCH($F513,사건마스터!$A$5:$A$64,0)),""))</f>
        <v/>
      </c>
      <c r="Q513" s="136">
        <f>IF($F513="","",IFERROR(INDEX(사건마스터!$AN$5:$AN$64,MATCH($F513,사건마스터!$A$5:$A$64,0)),""))</f>
        <v/>
      </c>
      <c r="R513" s="136">
        <f>IF($F513="","",IFERROR(INDEX(사건마스터!$AO$5:$AO$64,MATCH($F513,사건마스터!$A$5:$A$64,0)),""))</f>
        <v/>
      </c>
      <c r="S513" s="136">
        <f>IF($F513="","",IFERROR(INDEX(사건마스터!$AP$5:$AP$64,MATCH($F513,사건마스터!$A$5:$A$64,0)),""))</f>
        <v/>
      </c>
      <c r="T513" s="136">
        <f>IF($F513="","",IFERROR(INDEX(사건마스터!$AQ$5:$AQ$64,MATCH($F513,사건마스터!$A$5:$A$64,0)),""))</f>
        <v/>
      </c>
      <c r="U513" s="136">
        <f>IF($F513="","",IFERROR(INDEX(사건마스터!$AR$5:$AR$64,MATCH($F513,사건마스터!$A$5:$A$64,0)),""))</f>
        <v/>
      </c>
      <c r="V513" s="136">
        <f>IF($F513="","",IFERROR(INDEX(사건마스터!$AS$5:$AS$64,MATCH($F513,사건마스터!$A$5:$A$64,0)),""))</f>
        <v/>
      </c>
      <c r="W513" s="136">
        <f>IF($F513="","",IFERROR(INDEX(사건마스터!$AT$5:$AT$64,MATCH($F513,사건마스터!$A$5:$A$64,0)),""))</f>
        <v/>
      </c>
      <c r="X513" s="136">
        <f>IF($F513="","",IFERROR(INDEX(사건마스터!$AU$5:$AU$64,MATCH($F513,사건마스터!$A$5:$A$64,0)),""))</f>
        <v/>
      </c>
      <c r="Y513" s="136">
        <f>IF($F513="","",IFERROR(INDEX(사건마스터!$AV$5:$AV$64,MATCH($F513,사건마스터!$A$5:$A$64,0)),""))</f>
        <v/>
      </c>
      <c r="Z513" s="118">
        <f>IF(COUNTBLANK($J513:$Y513)=16,"",16-COUNTBLANK($J513:$Y513))</f>
        <v/>
      </c>
      <c r="AA513" s="33">
        <f>IF($J513="",MID($AX513,3,255),$J513&amp;$AX513)</f>
        <v/>
      </c>
      <c r="AB513" s="130">
        <f>IF($J513="","",IFERROR(INDEX(코드설정!$D$5:$D$24,MATCH($J513,코드설정!$C$5:$C$24,0)),""))</f>
        <v/>
      </c>
      <c r="AC513" s="36" t="n"/>
      <c r="AD513" s="37" t="n"/>
      <c r="AE513" s="38" t="n"/>
      <c r="AF513" s="118">
        <f>IF(OR($B513="",$C513=""),"",$C513-$B513+1)</f>
        <v/>
      </c>
      <c r="AG513" s="74" t="n"/>
      <c r="AH513" s="36" t="n"/>
      <c r="AJ513">
        <f>IF($K513="","",", "&amp;$K513)</f>
        <v/>
      </c>
      <c r="AK513">
        <f>AJ513&amp;IF($L513="","",", "&amp;$L513)</f>
        <v/>
      </c>
      <c r="AL513">
        <f>AK513&amp;IF($M513="","",", "&amp;$M513)</f>
        <v/>
      </c>
      <c r="AM513">
        <f>AL513&amp;IF($N513="","",", "&amp;$N513)</f>
        <v/>
      </c>
      <c r="AN513">
        <f>AM513&amp;IF($O513="","",", "&amp;$O513)</f>
        <v/>
      </c>
      <c r="AO513">
        <f>AN513&amp;IF($P513="","",", "&amp;$P513)</f>
        <v/>
      </c>
      <c r="AP513">
        <f>AO513&amp;IF($Q513="","",", "&amp;$Q513)</f>
        <v/>
      </c>
      <c r="AQ513">
        <f>AP513&amp;IF($R513="","",", "&amp;$R513)</f>
        <v/>
      </c>
      <c r="AR513">
        <f>AQ513&amp;IF($S513="","",", "&amp;$S513)</f>
        <v/>
      </c>
      <c r="AS513">
        <f>AR513&amp;IF($T513="","",", "&amp;$T513)</f>
        <v/>
      </c>
      <c r="AT513">
        <f>AS513&amp;IF($U513="","",", "&amp;$U513)</f>
        <v/>
      </c>
      <c r="AU513">
        <f>AT513&amp;IF($V513="","",", "&amp;$V513)</f>
        <v/>
      </c>
      <c r="AV513">
        <f>AU513&amp;IF($W513="","",", "&amp;$W513)</f>
        <v/>
      </c>
      <c r="AW513">
        <f>AV513&amp;IF($X513="","",", "&amp;$X513)</f>
        <v/>
      </c>
      <c r="AX513">
        <f>AW513&amp;IF($Y513="","",", "&amp;$Y513)</f>
        <v/>
      </c>
    </row>
    <row r="514">
      <c r="A514" s="118">
        <f>IF($B514="","",COUNT($B$5:$B514))</f>
        <v/>
      </c>
      <c r="B514" s="80" t="n"/>
      <c r="C514" s="80" t="n"/>
      <c r="D514" s="74" t="n"/>
      <c r="E514" s="74" t="n"/>
      <c r="F514" s="74" t="n"/>
      <c r="G514" s="118">
        <f>IF($F514="","",COUNTIF($F$5:$F514,$F514))</f>
        <v/>
      </c>
      <c r="H514" s="33">
        <f>IF($F514="","",IFERROR(INDEX(사건마스터!$B$5:$B$64,MATCH($F514,사건마스터!$A$5:$A$64,0)),""))</f>
        <v/>
      </c>
      <c r="I514" s="130">
        <f>IF($F514="","",IFERROR(INDEX(사건마스터!$C$5:$C$64,MATCH($F514,사건마스터!$A$5:$A$64,0)),""))</f>
        <v/>
      </c>
      <c r="J514" s="136">
        <f>IF($F514="","",IFERROR(INDEX(사건마스터!$H$5:$H$64,MATCH($F514,사건마스터!$A$5:$A$64,0)),""))</f>
        <v/>
      </c>
      <c r="K514" s="136">
        <f>IF($F514="","",IFERROR(INDEX(사건마스터!$AH$5:$AH$64,MATCH($F514,사건마스터!$A$5:$A$64,0)),""))</f>
        <v/>
      </c>
      <c r="L514" s="136">
        <f>IF($F514="","",IFERROR(INDEX(사건마스터!$AI$5:$AI$64,MATCH($F514,사건마스터!$A$5:$A$64,0)),""))</f>
        <v/>
      </c>
      <c r="M514" s="136">
        <f>IF($F514="","",IFERROR(INDEX(사건마스터!$AJ$5:$AJ$64,MATCH($F514,사건마스터!$A$5:$A$64,0)),""))</f>
        <v/>
      </c>
      <c r="N514" s="136">
        <f>IF($F514="","",IFERROR(INDEX(사건마스터!$AK$5:$AK$64,MATCH($F514,사건마스터!$A$5:$A$64,0)),""))</f>
        <v/>
      </c>
      <c r="O514" s="136">
        <f>IF($F514="","",IFERROR(INDEX(사건마스터!$AL$5:$AL$64,MATCH($F514,사건마스터!$A$5:$A$64,0)),""))</f>
        <v/>
      </c>
      <c r="P514" s="136">
        <f>IF($F514="","",IFERROR(INDEX(사건마스터!$AM$5:$AM$64,MATCH($F514,사건마스터!$A$5:$A$64,0)),""))</f>
        <v/>
      </c>
      <c r="Q514" s="136">
        <f>IF($F514="","",IFERROR(INDEX(사건마스터!$AN$5:$AN$64,MATCH($F514,사건마스터!$A$5:$A$64,0)),""))</f>
        <v/>
      </c>
      <c r="R514" s="136">
        <f>IF($F514="","",IFERROR(INDEX(사건마스터!$AO$5:$AO$64,MATCH($F514,사건마스터!$A$5:$A$64,0)),""))</f>
        <v/>
      </c>
      <c r="S514" s="136">
        <f>IF($F514="","",IFERROR(INDEX(사건마스터!$AP$5:$AP$64,MATCH($F514,사건마스터!$A$5:$A$64,0)),""))</f>
        <v/>
      </c>
      <c r="T514" s="136">
        <f>IF($F514="","",IFERROR(INDEX(사건마스터!$AQ$5:$AQ$64,MATCH($F514,사건마스터!$A$5:$A$64,0)),""))</f>
        <v/>
      </c>
      <c r="U514" s="136">
        <f>IF($F514="","",IFERROR(INDEX(사건마스터!$AR$5:$AR$64,MATCH($F514,사건마스터!$A$5:$A$64,0)),""))</f>
        <v/>
      </c>
      <c r="V514" s="136">
        <f>IF($F514="","",IFERROR(INDEX(사건마스터!$AS$5:$AS$64,MATCH($F514,사건마스터!$A$5:$A$64,0)),""))</f>
        <v/>
      </c>
      <c r="W514" s="136">
        <f>IF($F514="","",IFERROR(INDEX(사건마스터!$AT$5:$AT$64,MATCH($F514,사건마스터!$A$5:$A$64,0)),""))</f>
        <v/>
      </c>
      <c r="X514" s="136">
        <f>IF($F514="","",IFERROR(INDEX(사건마스터!$AU$5:$AU$64,MATCH($F514,사건마스터!$A$5:$A$64,0)),""))</f>
        <v/>
      </c>
      <c r="Y514" s="136">
        <f>IF($F514="","",IFERROR(INDEX(사건마스터!$AV$5:$AV$64,MATCH($F514,사건마스터!$A$5:$A$64,0)),""))</f>
        <v/>
      </c>
      <c r="Z514" s="118">
        <f>IF(COUNTBLANK($J514:$Y514)=16,"",16-COUNTBLANK($J514:$Y514))</f>
        <v/>
      </c>
      <c r="AA514" s="33">
        <f>IF($J514="",MID($AX514,3,255),$J514&amp;$AX514)</f>
        <v/>
      </c>
      <c r="AB514" s="130">
        <f>IF($J514="","",IFERROR(INDEX(코드설정!$D$5:$D$24,MATCH($J514,코드설정!$C$5:$C$24,0)),""))</f>
        <v/>
      </c>
      <c r="AC514" s="36" t="n"/>
      <c r="AD514" s="37" t="n"/>
      <c r="AE514" s="38" t="n"/>
      <c r="AF514" s="118">
        <f>IF(OR($B514="",$C514=""),"",$C514-$B514+1)</f>
        <v/>
      </c>
      <c r="AG514" s="74" t="n"/>
      <c r="AH514" s="36" t="n"/>
      <c r="AJ514">
        <f>IF($K514="","",", "&amp;$K514)</f>
        <v/>
      </c>
      <c r="AK514">
        <f>AJ514&amp;IF($L514="","",", "&amp;$L514)</f>
        <v/>
      </c>
      <c r="AL514">
        <f>AK514&amp;IF($M514="","",", "&amp;$M514)</f>
        <v/>
      </c>
      <c r="AM514">
        <f>AL514&amp;IF($N514="","",", "&amp;$N514)</f>
        <v/>
      </c>
      <c r="AN514">
        <f>AM514&amp;IF($O514="","",", "&amp;$O514)</f>
        <v/>
      </c>
      <c r="AO514">
        <f>AN514&amp;IF($P514="","",", "&amp;$P514)</f>
        <v/>
      </c>
      <c r="AP514">
        <f>AO514&amp;IF($Q514="","",", "&amp;$Q514)</f>
        <v/>
      </c>
      <c r="AQ514">
        <f>AP514&amp;IF($R514="","",", "&amp;$R514)</f>
        <v/>
      </c>
      <c r="AR514">
        <f>AQ514&amp;IF($S514="","",", "&amp;$S514)</f>
        <v/>
      </c>
      <c r="AS514">
        <f>AR514&amp;IF($T514="","",", "&amp;$T514)</f>
        <v/>
      </c>
      <c r="AT514">
        <f>AS514&amp;IF($U514="","",", "&amp;$U514)</f>
        <v/>
      </c>
      <c r="AU514">
        <f>AT514&amp;IF($V514="","",", "&amp;$V514)</f>
        <v/>
      </c>
      <c r="AV514">
        <f>AU514&amp;IF($W514="","",", "&amp;$W514)</f>
        <v/>
      </c>
      <c r="AW514">
        <f>AV514&amp;IF($X514="","",", "&amp;$X514)</f>
        <v/>
      </c>
      <c r="AX514">
        <f>AW514&amp;IF($Y514="","",", "&amp;$Y514)</f>
        <v/>
      </c>
    </row>
    <row r="515">
      <c r="A515" s="118">
        <f>IF($B515="","",COUNT($B$5:$B515))</f>
        <v/>
      </c>
      <c r="B515" s="80" t="n"/>
      <c r="C515" s="80" t="n"/>
      <c r="D515" s="74" t="n"/>
      <c r="E515" s="74" t="n"/>
      <c r="F515" s="74" t="n"/>
      <c r="G515" s="118">
        <f>IF($F515="","",COUNTIF($F$5:$F515,$F515))</f>
        <v/>
      </c>
      <c r="H515" s="33">
        <f>IF($F515="","",IFERROR(INDEX(사건마스터!$B$5:$B$64,MATCH($F515,사건마스터!$A$5:$A$64,0)),""))</f>
        <v/>
      </c>
      <c r="I515" s="130">
        <f>IF($F515="","",IFERROR(INDEX(사건마스터!$C$5:$C$64,MATCH($F515,사건마스터!$A$5:$A$64,0)),""))</f>
        <v/>
      </c>
      <c r="J515" s="136">
        <f>IF($F515="","",IFERROR(INDEX(사건마스터!$H$5:$H$64,MATCH($F515,사건마스터!$A$5:$A$64,0)),""))</f>
        <v/>
      </c>
      <c r="K515" s="136">
        <f>IF($F515="","",IFERROR(INDEX(사건마스터!$AH$5:$AH$64,MATCH($F515,사건마스터!$A$5:$A$64,0)),""))</f>
        <v/>
      </c>
      <c r="L515" s="136">
        <f>IF($F515="","",IFERROR(INDEX(사건마스터!$AI$5:$AI$64,MATCH($F515,사건마스터!$A$5:$A$64,0)),""))</f>
        <v/>
      </c>
      <c r="M515" s="136">
        <f>IF($F515="","",IFERROR(INDEX(사건마스터!$AJ$5:$AJ$64,MATCH($F515,사건마스터!$A$5:$A$64,0)),""))</f>
        <v/>
      </c>
      <c r="N515" s="136">
        <f>IF($F515="","",IFERROR(INDEX(사건마스터!$AK$5:$AK$64,MATCH($F515,사건마스터!$A$5:$A$64,0)),""))</f>
        <v/>
      </c>
      <c r="O515" s="136">
        <f>IF($F515="","",IFERROR(INDEX(사건마스터!$AL$5:$AL$64,MATCH($F515,사건마스터!$A$5:$A$64,0)),""))</f>
        <v/>
      </c>
      <c r="P515" s="136">
        <f>IF($F515="","",IFERROR(INDEX(사건마스터!$AM$5:$AM$64,MATCH($F515,사건마스터!$A$5:$A$64,0)),""))</f>
        <v/>
      </c>
      <c r="Q515" s="136">
        <f>IF($F515="","",IFERROR(INDEX(사건마스터!$AN$5:$AN$64,MATCH($F515,사건마스터!$A$5:$A$64,0)),""))</f>
        <v/>
      </c>
      <c r="R515" s="136">
        <f>IF($F515="","",IFERROR(INDEX(사건마스터!$AO$5:$AO$64,MATCH($F515,사건마스터!$A$5:$A$64,0)),""))</f>
        <v/>
      </c>
      <c r="S515" s="136">
        <f>IF($F515="","",IFERROR(INDEX(사건마스터!$AP$5:$AP$64,MATCH($F515,사건마스터!$A$5:$A$64,0)),""))</f>
        <v/>
      </c>
      <c r="T515" s="136">
        <f>IF($F515="","",IFERROR(INDEX(사건마스터!$AQ$5:$AQ$64,MATCH($F515,사건마스터!$A$5:$A$64,0)),""))</f>
        <v/>
      </c>
      <c r="U515" s="136">
        <f>IF($F515="","",IFERROR(INDEX(사건마스터!$AR$5:$AR$64,MATCH($F515,사건마스터!$A$5:$A$64,0)),""))</f>
        <v/>
      </c>
      <c r="V515" s="136">
        <f>IF($F515="","",IFERROR(INDEX(사건마스터!$AS$5:$AS$64,MATCH($F515,사건마스터!$A$5:$A$64,0)),""))</f>
        <v/>
      </c>
      <c r="W515" s="136">
        <f>IF($F515="","",IFERROR(INDEX(사건마스터!$AT$5:$AT$64,MATCH($F515,사건마스터!$A$5:$A$64,0)),""))</f>
        <v/>
      </c>
      <c r="X515" s="136">
        <f>IF($F515="","",IFERROR(INDEX(사건마스터!$AU$5:$AU$64,MATCH($F515,사건마스터!$A$5:$A$64,0)),""))</f>
        <v/>
      </c>
      <c r="Y515" s="136">
        <f>IF($F515="","",IFERROR(INDEX(사건마스터!$AV$5:$AV$64,MATCH($F515,사건마스터!$A$5:$A$64,0)),""))</f>
        <v/>
      </c>
      <c r="Z515" s="118">
        <f>IF(COUNTBLANK($J515:$Y515)=16,"",16-COUNTBLANK($J515:$Y515))</f>
        <v/>
      </c>
      <c r="AA515" s="33">
        <f>IF($J515="",MID($AX515,3,255),$J515&amp;$AX515)</f>
        <v/>
      </c>
      <c r="AB515" s="130">
        <f>IF($J515="","",IFERROR(INDEX(코드설정!$D$5:$D$24,MATCH($J515,코드설정!$C$5:$C$24,0)),""))</f>
        <v/>
      </c>
      <c r="AC515" s="36" t="n"/>
      <c r="AD515" s="37" t="n"/>
      <c r="AE515" s="38" t="n"/>
      <c r="AF515" s="118">
        <f>IF(OR($B515="",$C515=""),"",$C515-$B515+1)</f>
        <v/>
      </c>
      <c r="AG515" s="74" t="n"/>
      <c r="AH515" s="36" t="n"/>
      <c r="AJ515">
        <f>IF($K515="","",", "&amp;$K515)</f>
        <v/>
      </c>
      <c r="AK515">
        <f>AJ515&amp;IF($L515="","",", "&amp;$L515)</f>
        <v/>
      </c>
      <c r="AL515">
        <f>AK515&amp;IF($M515="","",", "&amp;$M515)</f>
        <v/>
      </c>
      <c r="AM515">
        <f>AL515&amp;IF($N515="","",", "&amp;$N515)</f>
        <v/>
      </c>
      <c r="AN515">
        <f>AM515&amp;IF($O515="","",", "&amp;$O515)</f>
        <v/>
      </c>
      <c r="AO515">
        <f>AN515&amp;IF($P515="","",", "&amp;$P515)</f>
        <v/>
      </c>
      <c r="AP515">
        <f>AO515&amp;IF($Q515="","",", "&amp;$Q515)</f>
        <v/>
      </c>
      <c r="AQ515">
        <f>AP515&amp;IF($R515="","",", "&amp;$R515)</f>
        <v/>
      </c>
      <c r="AR515">
        <f>AQ515&amp;IF($S515="","",", "&amp;$S515)</f>
        <v/>
      </c>
      <c r="AS515">
        <f>AR515&amp;IF($T515="","",", "&amp;$T515)</f>
        <v/>
      </c>
      <c r="AT515">
        <f>AS515&amp;IF($U515="","",", "&amp;$U515)</f>
        <v/>
      </c>
      <c r="AU515">
        <f>AT515&amp;IF($V515="","",", "&amp;$V515)</f>
        <v/>
      </c>
      <c r="AV515">
        <f>AU515&amp;IF($W515="","",", "&amp;$W515)</f>
        <v/>
      </c>
      <c r="AW515">
        <f>AV515&amp;IF($X515="","",", "&amp;$X515)</f>
        <v/>
      </c>
      <c r="AX515">
        <f>AW515&amp;IF($Y515="","",", "&amp;$Y515)</f>
        <v/>
      </c>
    </row>
    <row r="516">
      <c r="A516" s="118">
        <f>IF($B516="","",COUNT($B$5:$B516))</f>
        <v/>
      </c>
      <c r="B516" s="80" t="n"/>
      <c r="C516" s="80" t="n"/>
      <c r="D516" s="74" t="n"/>
      <c r="E516" s="74" t="n"/>
      <c r="F516" s="74" t="n"/>
      <c r="G516" s="118">
        <f>IF($F516="","",COUNTIF($F$5:$F516,$F516))</f>
        <v/>
      </c>
      <c r="H516" s="33">
        <f>IF($F516="","",IFERROR(INDEX(사건마스터!$B$5:$B$64,MATCH($F516,사건마스터!$A$5:$A$64,0)),""))</f>
        <v/>
      </c>
      <c r="I516" s="130">
        <f>IF($F516="","",IFERROR(INDEX(사건마스터!$C$5:$C$64,MATCH($F516,사건마스터!$A$5:$A$64,0)),""))</f>
        <v/>
      </c>
      <c r="J516" s="136">
        <f>IF($F516="","",IFERROR(INDEX(사건마스터!$H$5:$H$64,MATCH($F516,사건마스터!$A$5:$A$64,0)),""))</f>
        <v/>
      </c>
      <c r="K516" s="136">
        <f>IF($F516="","",IFERROR(INDEX(사건마스터!$AH$5:$AH$64,MATCH($F516,사건마스터!$A$5:$A$64,0)),""))</f>
        <v/>
      </c>
      <c r="L516" s="136">
        <f>IF($F516="","",IFERROR(INDEX(사건마스터!$AI$5:$AI$64,MATCH($F516,사건마스터!$A$5:$A$64,0)),""))</f>
        <v/>
      </c>
      <c r="M516" s="136">
        <f>IF($F516="","",IFERROR(INDEX(사건마스터!$AJ$5:$AJ$64,MATCH($F516,사건마스터!$A$5:$A$64,0)),""))</f>
        <v/>
      </c>
      <c r="N516" s="136">
        <f>IF($F516="","",IFERROR(INDEX(사건마스터!$AK$5:$AK$64,MATCH($F516,사건마스터!$A$5:$A$64,0)),""))</f>
        <v/>
      </c>
      <c r="O516" s="136">
        <f>IF($F516="","",IFERROR(INDEX(사건마스터!$AL$5:$AL$64,MATCH($F516,사건마스터!$A$5:$A$64,0)),""))</f>
        <v/>
      </c>
      <c r="P516" s="136">
        <f>IF($F516="","",IFERROR(INDEX(사건마스터!$AM$5:$AM$64,MATCH($F516,사건마스터!$A$5:$A$64,0)),""))</f>
        <v/>
      </c>
      <c r="Q516" s="136">
        <f>IF($F516="","",IFERROR(INDEX(사건마스터!$AN$5:$AN$64,MATCH($F516,사건마스터!$A$5:$A$64,0)),""))</f>
        <v/>
      </c>
      <c r="R516" s="136">
        <f>IF($F516="","",IFERROR(INDEX(사건마스터!$AO$5:$AO$64,MATCH($F516,사건마스터!$A$5:$A$64,0)),""))</f>
        <v/>
      </c>
      <c r="S516" s="136">
        <f>IF($F516="","",IFERROR(INDEX(사건마스터!$AP$5:$AP$64,MATCH($F516,사건마스터!$A$5:$A$64,0)),""))</f>
        <v/>
      </c>
      <c r="T516" s="136">
        <f>IF($F516="","",IFERROR(INDEX(사건마스터!$AQ$5:$AQ$64,MATCH($F516,사건마스터!$A$5:$A$64,0)),""))</f>
        <v/>
      </c>
      <c r="U516" s="136">
        <f>IF($F516="","",IFERROR(INDEX(사건마스터!$AR$5:$AR$64,MATCH($F516,사건마스터!$A$5:$A$64,0)),""))</f>
        <v/>
      </c>
      <c r="V516" s="136">
        <f>IF($F516="","",IFERROR(INDEX(사건마스터!$AS$5:$AS$64,MATCH($F516,사건마스터!$A$5:$A$64,0)),""))</f>
        <v/>
      </c>
      <c r="W516" s="136">
        <f>IF($F516="","",IFERROR(INDEX(사건마스터!$AT$5:$AT$64,MATCH($F516,사건마스터!$A$5:$A$64,0)),""))</f>
        <v/>
      </c>
      <c r="X516" s="136">
        <f>IF($F516="","",IFERROR(INDEX(사건마스터!$AU$5:$AU$64,MATCH($F516,사건마스터!$A$5:$A$64,0)),""))</f>
        <v/>
      </c>
      <c r="Y516" s="136">
        <f>IF($F516="","",IFERROR(INDEX(사건마스터!$AV$5:$AV$64,MATCH($F516,사건마스터!$A$5:$A$64,0)),""))</f>
        <v/>
      </c>
      <c r="Z516" s="118">
        <f>IF(COUNTBLANK($J516:$Y516)=16,"",16-COUNTBLANK($J516:$Y516))</f>
        <v/>
      </c>
      <c r="AA516" s="33">
        <f>IF($J516="",MID($AX516,3,255),$J516&amp;$AX516)</f>
        <v/>
      </c>
      <c r="AB516" s="130">
        <f>IF($J516="","",IFERROR(INDEX(코드설정!$D$5:$D$24,MATCH($J516,코드설정!$C$5:$C$24,0)),""))</f>
        <v/>
      </c>
      <c r="AC516" s="36" t="n"/>
      <c r="AD516" s="37" t="n"/>
      <c r="AE516" s="38" t="n"/>
      <c r="AF516" s="118">
        <f>IF(OR($B516="",$C516=""),"",$C516-$B516+1)</f>
        <v/>
      </c>
      <c r="AG516" s="74" t="n"/>
      <c r="AH516" s="36" t="n"/>
      <c r="AJ516">
        <f>IF($K516="","",", "&amp;$K516)</f>
        <v/>
      </c>
      <c r="AK516">
        <f>AJ516&amp;IF($L516="","",", "&amp;$L516)</f>
        <v/>
      </c>
      <c r="AL516">
        <f>AK516&amp;IF($M516="","",", "&amp;$M516)</f>
        <v/>
      </c>
      <c r="AM516">
        <f>AL516&amp;IF($N516="","",", "&amp;$N516)</f>
        <v/>
      </c>
      <c r="AN516">
        <f>AM516&amp;IF($O516="","",", "&amp;$O516)</f>
        <v/>
      </c>
      <c r="AO516">
        <f>AN516&amp;IF($P516="","",", "&amp;$P516)</f>
        <v/>
      </c>
      <c r="AP516">
        <f>AO516&amp;IF($Q516="","",", "&amp;$Q516)</f>
        <v/>
      </c>
      <c r="AQ516">
        <f>AP516&amp;IF($R516="","",", "&amp;$R516)</f>
        <v/>
      </c>
      <c r="AR516">
        <f>AQ516&amp;IF($S516="","",", "&amp;$S516)</f>
        <v/>
      </c>
      <c r="AS516">
        <f>AR516&amp;IF($T516="","",", "&amp;$T516)</f>
        <v/>
      </c>
      <c r="AT516">
        <f>AS516&amp;IF($U516="","",", "&amp;$U516)</f>
        <v/>
      </c>
      <c r="AU516">
        <f>AT516&amp;IF($V516="","",", "&amp;$V516)</f>
        <v/>
      </c>
      <c r="AV516">
        <f>AU516&amp;IF($W516="","",", "&amp;$W516)</f>
        <v/>
      </c>
      <c r="AW516">
        <f>AV516&amp;IF($X516="","",", "&amp;$X516)</f>
        <v/>
      </c>
      <c r="AX516">
        <f>AW516&amp;IF($Y516="","",", "&amp;$Y516)</f>
        <v/>
      </c>
    </row>
    <row r="517">
      <c r="A517" s="118">
        <f>IF($B517="","",COUNT($B$5:$B517))</f>
        <v/>
      </c>
      <c r="B517" s="80" t="n"/>
      <c r="C517" s="80" t="n"/>
      <c r="D517" s="74" t="n"/>
      <c r="E517" s="74" t="n"/>
      <c r="F517" s="74" t="n"/>
      <c r="G517" s="118">
        <f>IF($F517="","",COUNTIF($F$5:$F517,$F517))</f>
        <v/>
      </c>
      <c r="H517" s="33">
        <f>IF($F517="","",IFERROR(INDEX(사건마스터!$B$5:$B$64,MATCH($F517,사건마스터!$A$5:$A$64,0)),""))</f>
        <v/>
      </c>
      <c r="I517" s="130">
        <f>IF($F517="","",IFERROR(INDEX(사건마스터!$C$5:$C$64,MATCH($F517,사건마스터!$A$5:$A$64,0)),""))</f>
        <v/>
      </c>
      <c r="J517" s="136">
        <f>IF($F517="","",IFERROR(INDEX(사건마스터!$H$5:$H$64,MATCH($F517,사건마스터!$A$5:$A$64,0)),""))</f>
        <v/>
      </c>
      <c r="K517" s="136">
        <f>IF($F517="","",IFERROR(INDEX(사건마스터!$AH$5:$AH$64,MATCH($F517,사건마스터!$A$5:$A$64,0)),""))</f>
        <v/>
      </c>
      <c r="L517" s="136">
        <f>IF($F517="","",IFERROR(INDEX(사건마스터!$AI$5:$AI$64,MATCH($F517,사건마스터!$A$5:$A$64,0)),""))</f>
        <v/>
      </c>
      <c r="M517" s="136">
        <f>IF($F517="","",IFERROR(INDEX(사건마스터!$AJ$5:$AJ$64,MATCH($F517,사건마스터!$A$5:$A$64,0)),""))</f>
        <v/>
      </c>
      <c r="N517" s="136">
        <f>IF($F517="","",IFERROR(INDEX(사건마스터!$AK$5:$AK$64,MATCH($F517,사건마스터!$A$5:$A$64,0)),""))</f>
        <v/>
      </c>
      <c r="O517" s="136">
        <f>IF($F517="","",IFERROR(INDEX(사건마스터!$AL$5:$AL$64,MATCH($F517,사건마스터!$A$5:$A$64,0)),""))</f>
        <v/>
      </c>
      <c r="P517" s="136">
        <f>IF($F517="","",IFERROR(INDEX(사건마스터!$AM$5:$AM$64,MATCH($F517,사건마스터!$A$5:$A$64,0)),""))</f>
        <v/>
      </c>
      <c r="Q517" s="136">
        <f>IF($F517="","",IFERROR(INDEX(사건마스터!$AN$5:$AN$64,MATCH($F517,사건마스터!$A$5:$A$64,0)),""))</f>
        <v/>
      </c>
      <c r="R517" s="136">
        <f>IF($F517="","",IFERROR(INDEX(사건마스터!$AO$5:$AO$64,MATCH($F517,사건마스터!$A$5:$A$64,0)),""))</f>
        <v/>
      </c>
      <c r="S517" s="136">
        <f>IF($F517="","",IFERROR(INDEX(사건마스터!$AP$5:$AP$64,MATCH($F517,사건마스터!$A$5:$A$64,0)),""))</f>
        <v/>
      </c>
      <c r="T517" s="136">
        <f>IF($F517="","",IFERROR(INDEX(사건마스터!$AQ$5:$AQ$64,MATCH($F517,사건마스터!$A$5:$A$64,0)),""))</f>
        <v/>
      </c>
      <c r="U517" s="136">
        <f>IF($F517="","",IFERROR(INDEX(사건마스터!$AR$5:$AR$64,MATCH($F517,사건마스터!$A$5:$A$64,0)),""))</f>
        <v/>
      </c>
      <c r="V517" s="136">
        <f>IF($F517="","",IFERROR(INDEX(사건마스터!$AS$5:$AS$64,MATCH($F517,사건마스터!$A$5:$A$64,0)),""))</f>
        <v/>
      </c>
      <c r="W517" s="136">
        <f>IF($F517="","",IFERROR(INDEX(사건마스터!$AT$5:$AT$64,MATCH($F517,사건마스터!$A$5:$A$64,0)),""))</f>
        <v/>
      </c>
      <c r="X517" s="136">
        <f>IF($F517="","",IFERROR(INDEX(사건마스터!$AU$5:$AU$64,MATCH($F517,사건마스터!$A$5:$A$64,0)),""))</f>
        <v/>
      </c>
      <c r="Y517" s="136">
        <f>IF($F517="","",IFERROR(INDEX(사건마스터!$AV$5:$AV$64,MATCH($F517,사건마스터!$A$5:$A$64,0)),""))</f>
        <v/>
      </c>
      <c r="Z517" s="118">
        <f>IF(COUNTBLANK($J517:$Y517)=16,"",16-COUNTBLANK($J517:$Y517))</f>
        <v/>
      </c>
      <c r="AA517" s="33">
        <f>IF($J517="",MID($AX517,3,255),$J517&amp;$AX517)</f>
        <v/>
      </c>
      <c r="AB517" s="130">
        <f>IF($J517="","",IFERROR(INDEX(코드설정!$D$5:$D$24,MATCH($J517,코드설정!$C$5:$C$24,0)),""))</f>
        <v/>
      </c>
      <c r="AC517" s="36" t="n"/>
      <c r="AD517" s="37" t="n"/>
      <c r="AE517" s="38" t="n"/>
      <c r="AF517" s="118">
        <f>IF(OR($B517="",$C517=""),"",$C517-$B517+1)</f>
        <v/>
      </c>
      <c r="AG517" s="74" t="n"/>
      <c r="AH517" s="36" t="n"/>
      <c r="AJ517">
        <f>IF($K517="","",", "&amp;$K517)</f>
        <v/>
      </c>
      <c r="AK517">
        <f>AJ517&amp;IF($L517="","",", "&amp;$L517)</f>
        <v/>
      </c>
      <c r="AL517">
        <f>AK517&amp;IF($M517="","",", "&amp;$M517)</f>
        <v/>
      </c>
      <c r="AM517">
        <f>AL517&amp;IF($N517="","",", "&amp;$N517)</f>
        <v/>
      </c>
      <c r="AN517">
        <f>AM517&amp;IF($O517="","",", "&amp;$O517)</f>
        <v/>
      </c>
      <c r="AO517">
        <f>AN517&amp;IF($P517="","",", "&amp;$P517)</f>
        <v/>
      </c>
      <c r="AP517">
        <f>AO517&amp;IF($Q517="","",", "&amp;$Q517)</f>
        <v/>
      </c>
      <c r="AQ517">
        <f>AP517&amp;IF($R517="","",", "&amp;$R517)</f>
        <v/>
      </c>
      <c r="AR517">
        <f>AQ517&amp;IF($S517="","",", "&amp;$S517)</f>
        <v/>
      </c>
      <c r="AS517">
        <f>AR517&amp;IF($T517="","",", "&amp;$T517)</f>
        <v/>
      </c>
      <c r="AT517">
        <f>AS517&amp;IF($U517="","",", "&amp;$U517)</f>
        <v/>
      </c>
      <c r="AU517">
        <f>AT517&amp;IF($V517="","",", "&amp;$V517)</f>
        <v/>
      </c>
      <c r="AV517">
        <f>AU517&amp;IF($W517="","",", "&amp;$W517)</f>
        <v/>
      </c>
      <c r="AW517">
        <f>AV517&amp;IF($X517="","",", "&amp;$X517)</f>
        <v/>
      </c>
      <c r="AX517">
        <f>AW517&amp;IF($Y517="","",", "&amp;$Y517)</f>
        <v/>
      </c>
    </row>
    <row r="518">
      <c r="A518" s="118">
        <f>IF($B518="","",COUNT($B$5:$B518))</f>
        <v/>
      </c>
      <c r="B518" s="80" t="n"/>
      <c r="C518" s="80" t="n"/>
      <c r="D518" s="74" t="n"/>
      <c r="E518" s="74" t="n"/>
      <c r="F518" s="74" t="n"/>
      <c r="G518" s="118">
        <f>IF($F518="","",COUNTIF($F$5:$F518,$F518))</f>
        <v/>
      </c>
      <c r="H518" s="33">
        <f>IF($F518="","",IFERROR(INDEX(사건마스터!$B$5:$B$64,MATCH($F518,사건마스터!$A$5:$A$64,0)),""))</f>
        <v/>
      </c>
      <c r="I518" s="130">
        <f>IF($F518="","",IFERROR(INDEX(사건마스터!$C$5:$C$64,MATCH($F518,사건마스터!$A$5:$A$64,0)),""))</f>
        <v/>
      </c>
      <c r="J518" s="136">
        <f>IF($F518="","",IFERROR(INDEX(사건마스터!$H$5:$H$64,MATCH($F518,사건마스터!$A$5:$A$64,0)),""))</f>
        <v/>
      </c>
      <c r="K518" s="136">
        <f>IF($F518="","",IFERROR(INDEX(사건마스터!$AH$5:$AH$64,MATCH($F518,사건마스터!$A$5:$A$64,0)),""))</f>
        <v/>
      </c>
      <c r="L518" s="136">
        <f>IF($F518="","",IFERROR(INDEX(사건마스터!$AI$5:$AI$64,MATCH($F518,사건마스터!$A$5:$A$64,0)),""))</f>
        <v/>
      </c>
      <c r="M518" s="136">
        <f>IF($F518="","",IFERROR(INDEX(사건마스터!$AJ$5:$AJ$64,MATCH($F518,사건마스터!$A$5:$A$64,0)),""))</f>
        <v/>
      </c>
      <c r="N518" s="136">
        <f>IF($F518="","",IFERROR(INDEX(사건마스터!$AK$5:$AK$64,MATCH($F518,사건마스터!$A$5:$A$64,0)),""))</f>
        <v/>
      </c>
      <c r="O518" s="136">
        <f>IF($F518="","",IFERROR(INDEX(사건마스터!$AL$5:$AL$64,MATCH($F518,사건마스터!$A$5:$A$64,0)),""))</f>
        <v/>
      </c>
      <c r="P518" s="136">
        <f>IF($F518="","",IFERROR(INDEX(사건마스터!$AM$5:$AM$64,MATCH($F518,사건마스터!$A$5:$A$64,0)),""))</f>
        <v/>
      </c>
      <c r="Q518" s="136">
        <f>IF($F518="","",IFERROR(INDEX(사건마스터!$AN$5:$AN$64,MATCH($F518,사건마스터!$A$5:$A$64,0)),""))</f>
        <v/>
      </c>
      <c r="R518" s="136">
        <f>IF($F518="","",IFERROR(INDEX(사건마스터!$AO$5:$AO$64,MATCH($F518,사건마스터!$A$5:$A$64,0)),""))</f>
        <v/>
      </c>
      <c r="S518" s="136">
        <f>IF($F518="","",IFERROR(INDEX(사건마스터!$AP$5:$AP$64,MATCH($F518,사건마스터!$A$5:$A$64,0)),""))</f>
        <v/>
      </c>
      <c r="T518" s="136">
        <f>IF($F518="","",IFERROR(INDEX(사건마스터!$AQ$5:$AQ$64,MATCH($F518,사건마스터!$A$5:$A$64,0)),""))</f>
        <v/>
      </c>
      <c r="U518" s="136">
        <f>IF($F518="","",IFERROR(INDEX(사건마스터!$AR$5:$AR$64,MATCH($F518,사건마스터!$A$5:$A$64,0)),""))</f>
        <v/>
      </c>
      <c r="V518" s="136">
        <f>IF($F518="","",IFERROR(INDEX(사건마스터!$AS$5:$AS$64,MATCH($F518,사건마스터!$A$5:$A$64,0)),""))</f>
        <v/>
      </c>
      <c r="W518" s="136">
        <f>IF($F518="","",IFERROR(INDEX(사건마스터!$AT$5:$AT$64,MATCH($F518,사건마스터!$A$5:$A$64,0)),""))</f>
        <v/>
      </c>
      <c r="X518" s="136">
        <f>IF($F518="","",IFERROR(INDEX(사건마스터!$AU$5:$AU$64,MATCH($F518,사건마스터!$A$5:$A$64,0)),""))</f>
        <v/>
      </c>
      <c r="Y518" s="136">
        <f>IF($F518="","",IFERROR(INDEX(사건마스터!$AV$5:$AV$64,MATCH($F518,사건마스터!$A$5:$A$64,0)),""))</f>
        <v/>
      </c>
      <c r="Z518" s="118">
        <f>IF(COUNTBLANK($J518:$Y518)=16,"",16-COUNTBLANK($J518:$Y518))</f>
        <v/>
      </c>
      <c r="AA518" s="33">
        <f>IF($J518="",MID($AX518,3,255),$J518&amp;$AX518)</f>
        <v/>
      </c>
      <c r="AB518" s="130">
        <f>IF($J518="","",IFERROR(INDEX(코드설정!$D$5:$D$24,MATCH($J518,코드설정!$C$5:$C$24,0)),""))</f>
        <v/>
      </c>
      <c r="AC518" s="36" t="n"/>
      <c r="AD518" s="37" t="n"/>
      <c r="AE518" s="38" t="n"/>
      <c r="AF518" s="118">
        <f>IF(OR($B518="",$C518=""),"",$C518-$B518+1)</f>
        <v/>
      </c>
      <c r="AG518" s="74" t="n"/>
      <c r="AH518" s="36" t="n"/>
      <c r="AJ518">
        <f>IF($K518="","",", "&amp;$K518)</f>
        <v/>
      </c>
      <c r="AK518">
        <f>AJ518&amp;IF($L518="","",", "&amp;$L518)</f>
        <v/>
      </c>
      <c r="AL518">
        <f>AK518&amp;IF($M518="","",", "&amp;$M518)</f>
        <v/>
      </c>
      <c r="AM518">
        <f>AL518&amp;IF($N518="","",", "&amp;$N518)</f>
        <v/>
      </c>
      <c r="AN518">
        <f>AM518&amp;IF($O518="","",", "&amp;$O518)</f>
        <v/>
      </c>
      <c r="AO518">
        <f>AN518&amp;IF($P518="","",", "&amp;$P518)</f>
        <v/>
      </c>
      <c r="AP518">
        <f>AO518&amp;IF($Q518="","",", "&amp;$Q518)</f>
        <v/>
      </c>
      <c r="AQ518">
        <f>AP518&amp;IF($R518="","",", "&amp;$R518)</f>
        <v/>
      </c>
      <c r="AR518">
        <f>AQ518&amp;IF($S518="","",", "&amp;$S518)</f>
        <v/>
      </c>
      <c r="AS518">
        <f>AR518&amp;IF($T518="","",", "&amp;$T518)</f>
        <v/>
      </c>
      <c r="AT518">
        <f>AS518&amp;IF($U518="","",", "&amp;$U518)</f>
        <v/>
      </c>
      <c r="AU518">
        <f>AT518&amp;IF($V518="","",", "&amp;$V518)</f>
        <v/>
      </c>
      <c r="AV518">
        <f>AU518&amp;IF($W518="","",", "&amp;$W518)</f>
        <v/>
      </c>
      <c r="AW518">
        <f>AV518&amp;IF($X518="","",", "&amp;$X518)</f>
        <v/>
      </c>
      <c r="AX518">
        <f>AW518&amp;IF($Y518="","",", "&amp;$Y518)</f>
        <v/>
      </c>
    </row>
    <row r="519">
      <c r="A519" s="118">
        <f>IF($B519="","",COUNT($B$5:$B519))</f>
        <v/>
      </c>
      <c r="B519" s="80" t="n"/>
      <c r="C519" s="80" t="n"/>
      <c r="D519" s="74" t="n"/>
      <c r="E519" s="74" t="n"/>
      <c r="F519" s="74" t="n"/>
      <c r="G519" s="118">
        <f>IF($F519="","",COUNTIF($F$5:$F519,$F519))</f>
        <v/>
      </c>
      <c r="H519" s="33">
        <f>IF($F519="","",IFERROR(INDEX(사건마스터!$B$5:$B$64,MATCH($F519,사건마스터!$A$5:$A$64,0)),""))</f>
        <v/>
      </c>
      <c r="I519" s="130">
        <f>IF($F519="","",IFERROR(INDEX(사건마스터!$C$5:$C$64,MATCH($F519,사건마스터!$A$5:$A$64,0)),""))</f>
        <v/>
      </c>
      <c r="J519" s="136">
        <f>IF($F519="","",IFERROR(INDEX(사건마스터!$H$5:$H$64,MATCH($F519,사건마스터!$A$5:$A$64,0)),""))</f>
        <v/>
      </c>
      <c r="K519" s="136">
        <f>IF($F519="","",IFERROR(INDEX(사건마스터!$AH$5:$AH$64,MATCH($F519,사건마스터!$A$5:$A$64,0)),""))</f>
        <v/>
      </c>
      <c r="L519" s="136">
        <f>IF($F519="","",IFERROR(INDEX(사건마스터!$AI$5:$AI$64,MATCH($F519,사건마스터!$A$5:$A$64,0)),""))</f>
        <v/>
      </c>
      <c r="M519" s="136">
        <f>IF($F519="","",IFERROR(INDEX(사건마스터!$AJ$5:$AJ$64,MATCH($F519,사건마스터!$A$5:$A$64,0)),""))</f>
        <v/>
      </c>
      <c r="N519" s="136">
        <f>IF($F519="","",IFERROR(INDEX(사건마스터!$AK$5:$AK$64,MATCH($F519,사건마스터!$A$5:$A$64,0)),""))</f>
        <v/>
      </c>
      <c r="O519" s="136">
        <f>IF($F519="","",IFERROR(INDEX(사건마스터!$AL$5:$AL$64,MATCH($F519,사건마스터!$A$5:$A$64,0)),""))</f>
        <v/>
      </c>
      <c r="P519" s="136">
        <f>IF($F519="","",IFERROR(INDEX(사건마스터!$AM$5:$AM$64,MATCH($F519,사건마스터!$A$5:$A$64,0)),""))</f>
        <v/>
      </c>
      <c r="Q519" s="136">
        <f>IF($F519="","",IFERROR(INDEX(사건마스터!$AN$5:$AN$64,MATCH($F519,사건마스터!$A$5:$A$64,0)),""))</f>
        <v/>
      </c>
      <c r="R519" s="136">
        <f>IF($F519="","",IFERROR(INDEX(사건마스터!$AO$5:$AO$64,MATCH($F519,사건마스터!$A$5:$A$64,0)),""))</f>
        <v/>
      </c>
      <c r="S519" s="136">
        <f>IF($F519="","",IFERROR(INDEX(사건마스터!$AP$5:$AP$64,MATCH($F519,사건마스터!$A$5:$A$64,0)),""))</f>
        <v/>
      </c>
      <c r="T519" s="136">
        <f>IF($F519="","",IFERROR(INDEX(사건마스터!$AQ$5:$AQ$64,MATCH($F519,사건마스터!$A$5:$A$64,0)),""))</f>
        <v/>
      </c>
      <c r="U519" s="136">
        <f>IF($F519="","",IFERROR(INDEX(사건마스터!$AR$5:$AR$64,MATCH($F519,사건마스터!$A$5:$A$64,0)),""))</f>
        <v/>
      </c>
      <c r="V519" s="136">
        <f>IF($F519="","",IFERROR(INDEX(사건마스터!$AS$5:$AS$64,MATCH($F519,사건마스터!$A$5:$A$64,0)),""))</f>
        <v/>
      </c>
      <c r="W519" s="136">
        <f>IF($F519="","",IFERROR(INDEX(사건마스터!$AT$5:$AT$64,MATCH($F519,사건마스터!$A$5:$A$64,0)),""))</f>
        <v/>
      </c>
      <c r="X519" s="136">
        <f>IF($F519="","",IFERROR(INDEX(사건마스터!$AU$5:$AU$64,MATCH($F519,사건마스터!$A$5:$A$64,0)),""))</f>
        <v/>
      </c>
      <c r="Y519" s="136">
        <f>IF($F519="","",IFERROR(INDEX(사건마스터!$AV$5:$AV$64,MATCH($F519,사건마스터!$A$5:$A$64,0)),""))</f>
        <v/>
      </c>
      <c r="Z519" s="118">
        <f>IF(COUNTBLANK($J519:$Y519)=16,"",16-COUNTBLANK($J519:$Y519))</f>
        <v/>
      </c>
      <c r="AA519" s="33">
        <f>IF($J519="",MID($AX519,3,255),$J519&amp;$AX519)</f>
        <v/>
      </c>
      <c r="AB519" s="130">
        <f>IF($J519="","",IFERROR(INDEX(코드설정!$D$5:$D$24,MATCH($J519,코드설정!$C$5:$C$24,0)),""))</f>
        <v/>
      </c>
      <c r="AC519" s="36" t="n"/>
      <c r="AD519" s="37" t="n"/>
      <c r="AE519" s="38" t="n"/>
      <c r="AF519" s="118">
        <f>IF(OR($B519="",$C519=""),"",$C519-$B519+1)</f>
        <v/>
      </c>
      <c r="AG519" s="74" t="n"/>
      <c r="AH519" s="36" t="n"/>
      <c r="AJ519">
        <f>IF($K519="","",", "&amp;$K519)</f>
        <v/>
      </c>
      <c r="AK519">
        <f>AJ519&amp;IF($L519="","",", "&amp;$L519)</f>
        <v/>
      </c>
      <c r="AL519">
        <f>AK519&amp;IF($M519="","",", "&amp;$M519)</f>
        <v/>
      </c>
      <c r="AM519">
        <f>AL519&amp;IF($N519="","",", "&amp;$N519)</f>
        <v/>
      </c>
      <c r="AN519">
        <f>AM519&amp;IF($O519="","",", "&amp;$O519)</f>
        <v/>
      </c>
      <c r="AO519">
        <f>AN519&amp;IF($P519="","",", "&amp;$P519)</f>
        <v/>
      </c>
      <c r="AP519">
        <f>AO519&amp;IF($Q519="","",", "&amp;$Q519)</f>
        <v/>
      </c>
      <c r="AQ519">
        <f>AP519&amp;IF($R519="","",", "&amp;$R519)</f>
        <v/>
      </c>
      <c r="AR519">
        <f>AQ519&amp;IF($S519="","",", "&amp;$S519)</f>
        <v/>
      </c>
      <c r="AS519">
        <f>AR519&amp;IF($T519="","",", "&amp;$T519)</f>
        <v/>
      </c>
      <c r="AT519">
        <f>AS519&amp;IF($U519="","",", "&amp;$U519)</f>
        <v/>
      </c>
      <c r="AU519">
        <f>AT519&amp;IF($V519="","",", "&amp;$V519)</f>
        <v/>
      </c>
      <c r="AV519">
        <f>AU519&amp;IF($W519="","",", "&amp;$W519)</f>
        <v/>
      </c>
      <c r="AW519">
        <f>AV519&amp;IF($X519="","",", "&amp;$X519)</f>
        <v/>
      </c>
      <c r="AX519">
        <f>AW519&amp;IF($Y519="","",", "&amp;$Y519)</f>
        <v/>
      </c>
    </row>
    <row r="520">
      <c r="A520" s="118">
        <f>IF($B520="","",COUNT($B$5:$B520))</f>
        <v/>
      </c>
      <c r="B520" s="80" t="n"/>
      <c r="C520" s="80" t="n"/>
      <c r="D520" s="74" t="n"/>
      <c r="E520" s="74" t="n"/>
      <c r="F520" s="74" t="n"/>
      <c r="G520" s="118">
        <f>IF($F520="","",COUNTIF($F$5:$F520,$F520))</f>
        <v/>
      </c>
      <c r="H520" s="33">
        <f>IF($F520="","",IFERROR(INDEX(사건마스터!$B$5:$B$64,MATCH($F520,사건마스터!$A$5:$A$64,0)),""))</f>
        <v/>
      </c>
      <c r="I520" s="130">
        <f>IF($F520="","",IFERROR(INDEX(사건마스터!$C$5:$C$64,MATCH($F520,사건마스터!$A$5:$A$64,0)),""))</f>
        <v/>
      </c>
      <c r="J520" s="136">
        <f>IF($F520="","",IFERROR(INDEX(사건마스터!$H$5:$H$64,MATCH($F520,사건마스터!$A$5:$A$64,0)),""))</f>
        <v/>
      </c>
      <c r="K520" s="136">
        <f>IF($F520="","",IFERROR(INDEX(사건마스터!$AH$5:$AH$64,MATCH($F520,사건마스터!$A$5:$A$64,0)),""))</f>
        <v/>
      </c>
      <c r="L520" s="136">
        <f>IF($F520="","",IFERROR(INDEX(사건마스터!$AI$5:$AI$64,MATCH($F520,사건마스터!$A$5:$A$64,0)),""))</f>
        <v/>
      </c>
      <c r="M520" s="136">
        <f>IF($F520="","",IFERROR(INDEX(사건마스터!$AJ$5:$AJ$64,MATCH($F520,사건마스터!$A$5:$A$64,0)),""))</f>
        <v/>
      </c>
      <c r="N520" s="136">
        <f>IF($F520="","",IFERROR(INDEX(사건마스터!$AK$5:$AK$64,MATCH($F520,사건마스터!$A$5:$A$64,0)),""))</f>
        <v/>
      </c>
      <c r="O520" s="136">
        <f>IF($F520="","",IFERROR(INDEX(사건마스터!$AL$5:$AL$64,MATCH($F520,사건마스터!$A$5:$A$64,0)),""))</f>
        <v/>
      </c>
      <c r="P520" s="136">
        <f>IF($F520="","",IFERROR(INDEX(사건마스터!$AM$5:$AM$64,MATCH($F520,사건마스터!$A$5:$A$64,0)),""))</f>
        <v/>
      </c>
      <c r="Q520" s="136">
        <f>IF($F520="","",IFERROR(INDEX(사건마스터!$AN$5:$AN$64,MATCH($F520,사건마스터!$A$5:$A$64,0)),""))</f>
        <v/>
      </c>
      <c r="R520" s="136">
        <f>IF($F520="","",IFERROR(INDEX(사건마스터!$AO$5:$AO$64,MATCH($F520,사건마스터!$A$5:$A$64,0)),""))</f>
        <v/>
      </c>
      <c r="S520" s="136">
        <f>IF($F520="","",IFERROR(INDEX(사건마스터!$AP$5:$AP$64,MATCH($F520,사건마스터!$A$5:$A$64,0)),""))</f>
        <v/>
      </c>
      <c r="T520" s="136">
        <f>IF($F520="","",IFERROR(INDEX(사건마스터!$AQ$5:$AQ$64,MATCH($F520,사건마스터!$A$5:$A$64,0)),""))</f>
        <v/>
      </c>
      <c r="U520" s="136">
        <f>IF($F520="","",IFERROR(INDEX(사건마스터!$AR$5:$AR$64,MATCH($F520,사건마스터!$A$5:$A$64,0)),""))</f>
        <v/>
      </c>
      <c r="V520" s="136">
        <f>IF($F520="","",IFERROR(INDEX(사건마스터!$AS$5:$AS$64,MATCH($F520,사건마스터!$A$5:$A$64,0)),""))</f>
        <v/>
      </c>
      <c r="W520" s="136">
        <f>IF($F520="","",IFERROR(INDEX(사건마스터!$AT$5:$AT$64,MATCH($F520,사건마스터!$A$5:$A$64,0)),""))</f>
        <v/>
      </c>
      <c r="X520" s="136">
        <f>IF($F520="","",IFERROR(INDEX(사건마스터!$AU$5:$AU$64,MATCH($F520,사건마스터!$A$5:$A$64,0)),""))</f>
        <v/>
      </c>
      <c r="Y520" s="136">
        <f>IF($F520="","",IFERROR(INDEX(사건마스터!$AV$5:$AV$64,MATCH($F520,사건마스터!$A$5:$A$64,0)),""))</f>
        <v/>
      </c>
      <c r="Z520" s="118">
        <f>IF(COUNTBLANK($J520:$Y520)=16,"",16-COUNTBLANK($J520:$Y520))</f>
        <v/>
      </c>
      <c r="AA520" s="33">
        <f>IF($J520="",MID($AX520,3,255),$J520&amp;$AX520)</f>
        <v/>
      </c>
      <c r="AB520" s="130">
        <f>IF($J520="","",IFERROR(INDEX(코드설정!$D$5:$D$24,MATCH($J520,코드설정!$C$5:$C$24,0)),""))</f>
        <v/>
      </c>
      <c r="AC520" s="36" t="n"/>
      <c r="AD520" s="37" t="n"/>
      <c r="AE520" s="38" t="n"/>
      <c r="AF520" s="118">
        <f>IF(OR($B520="",$C520=""),"",$C520-$B520+1)</f>
        <v/>
      </c>
      <c r="AG520" s="74" t="n"/>
      <c r="AH520" s="36" t="n"/>
      <c r="AJ520">
        <f>IF($K520="","",", "&amp;$K520)</f>
        <v/>
      </c>
      <c r="AK520">
        <f>AJ520&amp;IF($L520="","",", "&amp;$L520)</f>
        <v/>
      </c>
      <c r="AL520">
        <f>AK520&amp;IF($M520="","",", "&amp;$M520)</f>
        <v/>
      </c>
      <c r="AM520">
        <f>AL520&amp;IF($N520="","",", "&amp;$N520)</f>
        <v/>
      </c>
      <c r="AN520">
        <f>AM520&amp;IF($O520="","",", "&amp;$O520)</f>
        <v/>
      </c>
      <c r="AO520">
        <f>AN520&amp;IF($P520="","",", "&amp;$P520)</f>
        <v/>
      </c>
      <c r="AP520">
        <f>AO520&amp;IF($Q520="","",", "&amp;$Q520)</f>
        <v/>
      </c>
      <c r="AQ520">
        <f>AP520&amp;IF($R520="","",", "&amp;$R520)</f>
        <v/>
      </c>
      <c r="AR520">
        <f>AQ520&amp;IF($S520="","",", "&amp;$S520)</f>
        <v/>
      </c>
      <c r="AS520">
        <f>AR520&amp;IF($T520="","",", "&amp;$T520)</f>
        <v/>
      </c>
      <c r="AT520">
        <f>AS520&amp;IF($U520="","",", "&amp;$U520)</f>
        <v/>
      </c>
      <c r="AU520">
        <f>AT520&amp;IF($V520="","",", "&amp;$V520)</f>
        <v/>
      </c>
      <c r="AV520">
        <f>AU520&amp;IF($W520="","",", "&amp;$W520)</f>
        <v/>
      </c>
      <c r="AW520">
        <f>AV520&amp;IF($X520="","",", "&amp;$X520)</f>
        <v/>
      </c>
      <c r="AX520">
        <f>AW520&amp;IF($Y520="","",", "&amp;$Y520)</f>
        <v/>
      </c>
    </row>
    <row r="521">
      <c r="A521" s="118">
        <f>IF($B521="","",COUNT($B$5:$B521))</f>
        <v/>
      </c>
      <c r="B521" s="80" t="n"/>
      <c r="C521" s="80" t="n"/>
      <c r="D521" s="74" t="n"/>
      <c r="E521" s="74" t="n"/>
      <c r="F521" s="74" t="n"/>
      <c r="G521" s="118">
        <f>IF($F521="","",COUNTIF($F$5:$F521,$F521))</f>
        <v/>
      </c>
      <c r="H521" s="33">
        <f>IF($F521="","",IFERROR(INDEX(사건마스터!$B$5:$B$64,MATCH($F521,사건마스터!$A$5:$A$64,0)),""))</f>
        <v/>
      </c>
      <c r="I521" s="130">
        <f>IF($F521="","",IFERROR(INDEX(사건마스터!$C$5:$C$64,MATCH($F521,사건마스터!$A$5:$A$64,0)),""))</f>
        <v/>
      </c>
      <c r="J521" s="136">
        <f>IF($F521="","",IFERROR(INDEX(사건마스터!$H$5:$H$64,MATCH($F521,사건마스터!$A$5:$A$64,0)),""))</f>
        <v/>
      </c>
      <c r="K521" s="136">
        <f>IF($F521="","",IFERROR(INDEX(사건마스터!$AH$5:$AH$64,MATCH($F521,사건마스터!$A$5:$A$64,0)),""))</f>
        <v/>
      </c>
      <c r="L521" s="136">
        <f>IF($F521="","",IFERROR(INDEX(사건마스터!$AI$5:$AI$64,MATCH($F521,사건마스터!$A$5:$A$64,0)),""))</f>
        <v/>
      </c>
      <c r="M521" s="136">
        <f>IF($F521="","",IFERROR(INDEX(사건마스터!$AJ$5:$AJ$64,MATCH($F521,사건마스터!$A$5:$A$64,0)),""))</f>
        <v/>
      </c>
      <c r="N521" s="136">
        <f>IF($F521="","",IFERROR(INDEX(사건마스터!$AK$5:$AK$64,MATCH($F521,사건마스터!$A$5:$A$64,0)),""))</f>
        <v/>
      </c>
      <c r="O521" s="136">
        <f>IF($F521="","",IFERROR(INDEX(사건마스터!$AL$5:$AL$64,MATCH($F521,사건마스터!$A$5:$A$64,0)),""))</f>
        <v/>
      </c>
      <c r="P521" s="136">
        <f>IF($F521="","",IFERROR(INDEX(사건마스터!$AM$5:$AM$64,MATCH($F521,사건마스터!$A$5:$A$64,0)),""))</f>
        <v/>
      </c>
      <c r="Q521" s="136">
        <f>IF($F521="","",IFERROR(INDEX(사건마스터!$AN$5:$AN$64,MATCH($F521,사건마스터!$A$5:$A$64,0)),""))</f>
        <v/>
      </c>
      <c r="R521" s="136">
        <f>IF($F521="","",IFERROR(INDEX(사건마스터!$AO$5:$AO$64,MATCH($F521,사건마스터!$A$5:$A$64,0)),""))</f>
        <v/>
      </c>
      <c r="S521" s="136">
        <f>IF($F521="","",IFERROR(INDEX(사건마스터!$AP$5:$AP$64,MATCH($F521,사건마스터!$A$5:$A$64,0)),""))</f>
        <v/>
      </c>
      <c r="T521" s="136">
        <f>IF($F521="","",IFERROR(INDEX(사건마스터!$AQ$5:$AQ$64,MATCH($F521,사건마스터!$A$5:$A$64,0)),""))</f>
        <v/>
      </c>
      <c r="U521" s="136">
        <f>IF($F521="","",IFERROR(INDEX(사건마스터!$AR$5:$AR$64,MATCH($F521,사건마스터!$A$5:$A$64,0)),""))</f>
        <v/>
      </c>
      <c r="V521" s="136">
        <f>IF($F521="","",IFERROR(INDEX(사건마스터!$AS$5:$AS$64,MATCH($F521,사건마스터!$A$5:$A$64,0)),""))</f>
        <v/>
      </c>
      <c r="W521" s="136">
        <f>IF($F521="","",IFERROR(INDEX(사건마스터!$AT$5:$AT$64,MATCH($F521,사건마스터!$A$5:$A$64,0)),""))</f>
        <v/>
      </c>
      <c r="X521" s="136">
        <f>IF($F521="","",IFERROR(INDEX(사건마스터!$AU$5:$AU$64,MATCH($F521,사건마스터!$A$5:$A$64,0)),""))</f>
        <v/>
      </c>
      <c r="Y521" s="136">
        <f>IF($F521="","",IFERROR(INDEX(사건마스터!$AV$5:$AV$64,MATCH($F521,사건마스터!$A$5:$A$64,0)),""))</f>
        <v/>
      </c>
      <c r="Z521" s="118">
        <f>IF(COUNTBLANK($J521:$Y521)=16,"",16-COUNTBLANK($J521:$Y521))</f>
        <v/>
      </c>
      <c r="AA521" s="33">
        <f>IF($J521="",MID($AX521,3,255),$J521&amp;$AX521)</f>
        <v/>
      </c>
      <c r="AB521" s="130">
        <f>IF($J521="","",IFERROR(INDEX(코드설정!$D$5:$D$24,MATCH($J521,코드설정!$C$5:$C$24,0)),""))</f>
        <v/>
      </c>
      <c r="AC521" s="36" t="n"/>
      <c r="AD521" s="37" t="n"/>
      <c r="AE521" s="38" t="n"/>
      <c r="AF521" s="118">
        <f>IF(OR($B521="",$C521=""),"",$C521-$B521+1)</f>
        <v/>
      </c>
      <c r="AG521" s="74" t="n"/>
      <c r="AH521" s="36" t="n"/>
      <c r="AJ521">
        <f>IF($K521="","",", "&amp;$K521)</f>
        <v/>
      </c>
      <c r="AK521">
        <f>AJ521&amp;IF($L521="","",", "&amp;$L521)</f>
        <v/>
      </c>
      <c r="AL521">
        <f>AK521&amp;IF($M521="","",", "&amp;$M521)</f>
        <v/>
      </c>
      <c r="AM521">
        <f>AL521&amp;IF($N521="","",", "&amp;$N521)</f>
        <v/>
      </c>
      <c r="AN521">
        <f>AM521&amp;IF($O521="","",", "&amp;$O521)</f>
        <v/>
      </c>
      <c r="AO521">
        <f>AN521&amp;IF($P521="","",", "&amp;$P521)</f>
        <v/>
      </c>
      <c r="AP521">
        <f>AO521&amp;IF($Q521="","",", "&amp;$Q521)</f>
        <v/>
      </c>
      <c r="AQ521">
        <f>AP521&amp;IF($R521="","",", "&amp;$R521)</f>
        <v/>
      </c>
      <c r="AR521">
        <f>AQ521&amp;IF($S521="","",", "&amp;$S521)</f>
        <v/>
      </c>
      <c r="AS521">
        <f>AR521&amp;IF($T521="","",", "&amp;$T521)</f>
        <v/>
      </c>
      <c r="AT521">
        <f>AS521&amp;IF($U521="","",", "&amp;$U521)</f>
        <v/>
      </c>
      <c r="AU521">
        <f>AT521&amp;IF($V521="","",", "&amp;$V521)</f>
        <v/>
      </c>
      <c r="AV521">
        <f>AU521&amp;IF($W521="","",", "&amp;$W521)</f>
        <v/>
      </c>
      <c r="AW521">
        <f>AV521&amp;IF($X521="","",", "&amp;$X521)</f>
        <v/>
      </c>
      <c r="AX521">
        <f>AW521&amp;IF($Y521="","",", "&amp;$Y521)</f>
        <v/>
      </c>
    </row>
    <row r="522">
      <c r="A522" s="118">
        <f>IF($B522="","",COUNT($B$5:$B522))</f>
        <v/>
      </c>
      <c r="B522" s="80" t="n"/>
      <c r="C522" s="80" t="n"/>
      <c r="D522" s="74" t="n"/>
      <c r="E522" s="74" t="n"/>
      <c r="F522" s="74" t="n"/>
      <c r="G522" s="118">
        <f>IF($F522="","",COUNTIF($F$5:$F522,$F522))</f>
        <v/>
      </c>
      <c r="H522" s="33">
        <f>IF($F522="","",IFERROR(INDEX(사건마스터!$B$5:$B$64,MATCH($F522,사건마스터!$A$5:$A$64,0)),""))</f>
        <v/>
      </c>
      <c r="I522" s="130">
        <f>IF($F522="","",IFERROR(INDEX(사건마스터!$C$5:$C$64,MATCH($F522,사건마스터!$A$5:$A$64,0)),""))</f>
        <v/>
      </c>
      <c r="J522" s="136">
        <f>IF($F522="","",IFERROR(INDEX(사건마스터!$H$5:$H$64,MATCH($F522,사건마스터!$A$5:$A$64,0)),""))</f>
        <v/>
      </c>
      <c r="K522" s="136">
        <f>IF($F522="","",IFERROR(INDEX(사건마스터!$AH$5:$AH$64,MATCH($F522,사건마스터!$A$5:$A$64,0)),""))</f>
        <v/>
      </c>
      <c r="L522" s="136">
        <f>IF($F522="","",IFERROR(INDEX(사건마스터!$AI$5:$AI$64,MATCH($F522,사건마스터!$A$5:$A$64,0)),""))</f>
        <v/>
      </c>
      <c r="M522" s="136">
        <f>IF($F522="","",IFERROR(INDEX(사건마스터!$AJ$5:$AJ$64,MATCH($F522,사건마스터!$A$5:$A$64,0)),""))</f>
        <v/>
      </c>
      <c r="N522" s="136">
        <f>IF($F522="","",IFERROR(INDEX(사건마스터!$AK$5:$AK$64,MATCH($F522,사건마스터!$A$5:$A$64,0)),""))</f>
        <v/>
      </c>
      <c r="O522" s="136">
        <f>IF($F522="","",IFERROR(INDEX(사건마스터!$AL$5:$AL$64,MATCH($F522,사건마스터!$A$5:$A$64,0)),""))</f>
        <v/>
      </c>
      <c r="P522" s="136">
        <f>IF($F522="","",IFERROR(INDEX(사건마스터!$AM$5:$AM$64,MATCH($F522,사건마스터!$A$5:$A$64,0)),""))</f>
        <v/>
      </c>
      <c r="Q522" s="136">
        <f>IF($F522="","",IFERROR(INDEX(사건마스터!$AN$5:$AN$64,MATCH($F522,사건마스터!$A$5:$A$64,0)),""))</f>
        <v/>
      </c>
      <c r="R522" s="136">
        <f>IF($F522="","",IFERROR(INDEX(사건마스터!$AO$5:$AO$64,MATCH($F522,사건마스터!$A$5:$A$64,0)),""))</f>
        <v/>
      </c>
      <c r="S522" s="136">
        <f>IF($F522="","",IFERROR(INDEX(사건마스터!$AP$5:$AP$64,MATCH($F522,사건마스터!$A$5:$A$64,0)),""))</f>
        <v/>
      </c>
      <c r="T522" s="136">
        <f>IF($F522="","",IFERROR(INDEX(사건마스터!$AQ$5:$AQ$64,MATCH($F522,사건마스터!$A$5:$A$64,0)),""))</f>
        <v/>
      </c>
      <c r="U522" s="136">
        <f>IF($F522="","",IFERROR(INDEX(사건마스터!$AR$5:$AR$64,MATCH($F522,사건마스터!$A$5:$A$64,0)),""))</f>
        <v/>
      </c>
      <c r="V522" s="136">
        <f>IF($F522="","",IFERROR(INDEX(사건마스터!$AS$5:$AS$64,MATCH($F522,사건마스터!$A$5:$A$64,0)),""))</f>
        <v/>
      </c>
      <c r="W522" s="136">
        <f>IF($F522="","",IFERROR(INDEX(사건마스터!$AT$5:$AT$64,MATCH($F522,사건마스터!$A$5:$A$64,0)),""))</f>
        <v/>
      </c>
      <c r="X522" s="136">
        <f>IF($F522="","",IFERROR(INDEX(사건마스터!$AU$5:$AU$64,MATCH($F522,사건마스터!$A$5:$A$64,0)),""))</f>
        <v/>
      </c>
      <c r="Y522" s="136">
        <f>IF($F522="","",IFERROR(INDEX(사건마스터!$AV$5:$AV$64,MATCH($F522,사건마스터!$A$5:$A$64,0)),""))</f>
        <v/>
      </c>
      <c r="Z522" s="118">
        <f>IF(COUNTBLANK($J522:$Y522)=16,"",16-COUNTBLANK($J522:$Y522))</f>
        <v/>
      </c>
      <c r="AA522" s="33">
        <f>IF($J522="",MID($AX522,3,255),$J522&amp;$AX522)</f>
        <v/>
      </c>
      <c r="AB522" s="130">
        <f>IF($J522="","",IFERROR(INDEX(코드설정!$D$5:$D$24,MATCH($J522,코드설정!$C$5:$C$24,0)),""))</f>
        <v/>
      </c>
      <c r="AC522" s="36" t="n"/>
      <c r="AD522" s="37" t="n"/>
      <c r="AE522" s="38" t="n"/>
      <c r="AF522" s="118">
        <f>IF(OR($B522="",$C522=""),"",$C522-$B522+1)</f>
        <v/>
      </c>
      <c r="AG522" s="74" t="n"/>
      <c r="AH522" s="36" t="n"/>
      <c r="AJ522">
        <f>IF($K522="","",", "&amp;$K522)</f>
        <v/>
      </c>
      <c r="AK522">
        <f>AJ522&amp;IF($L522="","",", "&amp;$L522)</f>
        <v/>
      </c>
      <c r="AL522">
        <f>AK522&amp;IF($M522="","",", "&amp;$M522)</f>
        <v/>
      </c>
      <c r="AM522">
        <f>AL522&amp;IF($N522="","",", "&amp;$N522)</f>
        <v/>
      </c>
      <c r="AN522">
        <f>AM522&amp;IF($O522="","",", "&amp;$O522)</f>
        <v/>
      </c>
      <c r="AO522">
        <f>AN522&amp;IF($P522="","",", "&amp;$P522)</f>
        <v/>
      </c>
      <c r="AP522">
        <f>AO522&amp;IF($Q522="","",", "&amp;$Q522)</f>
        <v/>
      </c>
      <c r="AQ522">
        <f>AP522&amp;IF($R522="","",", "&amp;$R522)</f>
        <v/>
      </c>
      <c r="AR522">
        <f>AQ522&amp;IF($S522="","",", "&amp;$S522)</f>
        <v/>
      </c>
      <c r="AS522">
        <f>AR522&amp;IF($T522="","",", "&amp;$T522)</f>
        <v/>
      </c>
      <c r="AT522">
        <f>AS522&amp;IF($U522="","",", "&amp;$U522)</f>
        <v/>
      </c>
      <c r="AU522">
        <f>AT522&amp;IF($V522="","",", "&amp;$V522)</f>
        <v/>
      </c>
      <c r="AV522">
        <f>AU522&amp;IF($W522="","",", "&amp;$W522)</f>
        <v/>
      </c>
      <c r="AW522">
        <f>AV522&amp;IF($X522="","",", "&amp;$X522)</f>
        <v/>
      </c>
      <c r="AX522">
        <f>AW522&amp;IF($Y522="","",", "&amp;$Y522)</f>
        <v/>
      </c>
    </row>
    <row r="523">
      <c r="A523" s="118">
        <f>IF($B523="","",COUNT($B$5:$B523))</f>
        <v/>
      </c>
      <c r="B523" s="80" t="n"/>
      <c r="C523" s="80" t="n"/>
      <c r="D523" s="74" t="n"/>
      <c r="E523" s="74" t="n"/>
      <c r="F523" s="74" t="n"/>
      <c r="G523" s="118">
        <f>IF($F523="","",COUNTIF($F$5:$F523,$F523))</f>
        <v/>
      </c>
      <c r="H523" s="33">
        <f>IF($F523="","",IFERROR(INDEX(사건마스터!$B$5:$B$64,MATCH($F523,사건마스터!$A$5:$A$64,0)),""))</f>
        <v/>
      </c>
      <c r="I523" s="130">
        <f>IF($F523="","",IFERROR(INDEX(사건마스터!$C$5:$C$64,MATCH($F523,사건마스터!$A$5:$A$64,0)),""))</f>
        <v/>
      </c>
      <c r="J523" s="136">
        <f>IF($F523="","",IFERROR(INDEX(사건마스터!$H$5:$H$64,MATCH($F523,사건마스터!$A$5:$A$64,0)),""))</f>
        <v/>
      </c>
      <c r="K523" s="136">
        <f>IF($F523="","",IFERROR(INDEX(사건마스터!$AH$5:$AH$64,MATCH($F523,사건마스터!$A$5:$A$64,0)),""))</f>
        <v/>
      </c>
      <c r="L523" s="136">
        <f>IF($F523="","",IFERROR(INDEX(사건마스터!$AI$5:$AI$64,MATCH($F523,사건마스터!$A$5:$A$64,0)),""))</f>
        <v/>
      </c>
      <c r="M523" s="136">
        <f>IF($F523="","",IFERROR(INDEX(사건마스터!$AJ$5:$AJ$64,MATCH($F523,사건마스터!$A$5:$A$64,0)),""))</f>
        <v/>
      </c>
      <c r="N523" s="136">
        <f>IF($F523="","",IFERROR(INDEX(사건마스터!$AK$5:$AK$64,MATCH($F523,사건마스터!$A$5:$A$64,0)),""))</f>
        <v/>
      </c>
      <c r="O523" s="136">
        <f>IF($F523="","",IFERROR(INDEX(사건마스터!$AL$5:$AL$64,MATCH($F523,사건마스터!$A$5:$A$64,0)),""))</f>
        <v/>
      </c>
      <c r="P523" s="136">
        <f>IF($F523="","",IFERROR(INDEX(사건마스터!$AM$5:$AM$64,MATCH($F523,사건마스터!$A$5:$A$64,0)),""))</f>
        <v/>
      </c>
      <c r="Q523" s="136">
        <f>IF($F523="","",IFERROR(INDEX(사건마스터!$AN$5:$AN$64,MATCH($F523,사건마스터!$A$5:$A$64,0)),""))</f>
        <v/>
      </c>
      <c r="R523" s="136">
        <f>IF($F523="","",IFERROR(INDEX(사건마스터!$AO$5:$AO$64,MATCH($F523,사건마스터!$A$5:$A$64,0)),""))</f>
        <v/>
      </c>
      <c r="S523" s="136">
        <f>IF($F523="","",IFERROR(INDEX(사건마스터!$AP$5:$AP$64,MATCH($F523,사건마스터!$A$5:$A$64,0)),""))</f>
        <v/>
      </c>
      <c r="T523" s="136">
        <f>IF($F523="","",IFERROR(INDEX(사건마스터!$AQ$5:$AQ$64,MATCH($F523,사건마스터!$A$5:$A$64,0)),""))</f>
        <v/>
      </c>
      <c r="U523" s="136">
        <f>IF($F523="","",IFERROR(INDEX(사건마스터!$AR$5:$AR$64,MATCH($F523,사건마스터!$A$5:$A$64,0)),""))</f>
        <v/>
      </c>
      <c r="V523" s="136">
        <f>IF($F523="","",IFERROR(INDEX(사건마스터!$AS$5:$AS$64,MATCH($F523,사건마스터!$A$5:$A$64,0)),""))</f>
        <v/>
      </c>
      <c r="W523" s="136">
        <f>IF($F523="","",IFERROR(INDEX(사건마스터!$AT$5:$AT$64,MATCH($F523,사건마스터!$A$5:$A$64,0)),""))</f>
        <v/>
      </c>
      <c r="X523" s="136">
        <f>IF($F523="","",IFERROR(INDEX(사건마스터!$AU$5:$AU$64,MATCH($F523,사건마스터!$A$5:$A$64,0)),""))</f>
        <v/>
      </c>
      <c r="Y523" s="136">
        <f>IF($F523="","",IFERROR(INDEX(사건마스터!$AV$5:$AV$64,MATCH($F523,사건마스터!$A$5:$A$64,0)),""))</f>
        <v/>
      </c>
      <c r="Z523" s="118">
        <f>IF(COUNTBLANK($J523:$Y523)=16,"",16-COUNTBLANK($J523:$Y523))</f>
        <v/>
      </c>
      <c r="AA523" s="33">
        <f>IF($J523="",MID($AX523,3,255),$J523&amp;$AX523)</f>
        <v/>
      </c>
      <c r="AB523" s="130">
        <f>IF($J523="","",IFERROR(INDEX(코드설정!$D$5:$D$24,MATCH($J523,코드설정!$C$5:$C$24,0)),""))</f>
        <v/>
      </c>
      <c r="AC523" s="36" t="n"/>
      <c r="AD523" s="37" t="n"/>
      <c r="AE523" s="38" t="n"/>
      <c r="AF523" s="118">
        <f>IF(OR($B523="",$C523=""),"",$C523-$B523+1)</f>
        <v/>
      </c>
      <c r="AG523" s="74" t="n"/>
      <c r="AH523" s="36" t="n"/>
      <c r="AJ523">
        <f>IF($K523="","",", "&amp;$K523)</f>
        <v/>
      </c>
      <c r="AK523">
        <f>AJ523&amp;IF($L523="","",", "&amp;$L523)</f>
        <v/>
      </c>
      <c r="AL523">
        <f>AK523&amp;IF($M523="","",", "&amp;$M523)</f>
        <v/>
      </c>
      <c r="AM523">
        <f>AL523&amp;IF($N523="","",", "&amp;$N523)</f>
        <v/>
      </c>
      <c r="AN523">
        <f>AM523&amp;IF($O523="","",", "&amp;$O523)</f>
        <v/>
      </c>
      <c r="AO523">
        <f>AN523&amp;IF($P523="","",", "&amp;$P523)</f>
        <v/>
      </c>
      <c r="AP523">
        <f>AO523&amp;IF($Q523="","",", "&amp;$Q523)</f>
        <v/>
      </c>
      <c r="AQ523">
        <f>AP523&amp;IF($R523="","",", "&amp;$R523)</f>
        <v/>
      </c>
      <c r="AR523">
        <f>AQ523&amp;IF($S523="","",", "&amp;$S523)</f>
        <v/>
      </c>
      <c r="AS523">
        <f>AR523&amp;IF($T523="","",", "&amp;$T523)</f>
        <v/>
      </c>
      <c r="AT523">
        <f>AS523&amp;IF($U523="","",", "&amp;$U523)</f>
        <v/>
      </c>
      <c r="AU523">
        <f>AT523&amp;IF($V523="","",", "&amp;$V523)</f>
        <v/>
      </c>
      <c r="AV523">
        <f>AU523&amp;IF($W523="","",", "&amp;$W523)</f>
        <v/>
      </c>
      <c r="AW523">
        <f>AV523&amp;IF($X523="","",", "&amp;$X523)</f>
        <v/>
      </c>
      <c r="AX523">
        <f>AW523&amp;IF($Y523="","",", "&amp;$Y523)</f>
        <v/>
      </c>
    </row>
    <row r="524">
      <c r="A524" s="118">
        <f>IF($B524="","",COUNT($B$5:$B524))</f>
        <v/>
      </c>
      <c r="B524" s="80" t="n"/>
      <c r="C524" s="80" t="n"/>
      <c r="D524" s="74" t="n"/>
      <c r="E524" s="74" t="n"/>
      <c r="F524" s="74" t="n"/>
      <c r="G524" s="118">
        <f>IF($F524="","",COUNTIF($F$5:$F524,$F524))</f>
        <v/>
      </c>
      <c r="H524" s="33">
        <f>IF($F524="","",IFERROR(INDEX(사건마스터!$B$5:$B$64,MATCH($F524,사건마스터!$A$5:$A$64,0)),""))</f>
        <v/>
      </c>
      <c r="I524" s="130">
        <f>IF($F524="","",IFERROR(INDEX(사건마스터!$C$5:$C$64,MATCH($F524,사건마스터!$A$5:$A$64,0)),""))</f>
        <v/>
      </c>
      <c r="J524" s="136">
        <f>IF($F524="","",IFERROR(INDEX(사건마스터!$H$5:$H$64,MATCH($F524,사건마스터!$A$5:$A$64,0)),""))</f>
        <v/>
      </c>
      <c r="K524" s="136">
        <f>IF($F524="","",IFERROR(INDEX(사건마스터!$AH$5:$AH$64,MATCH($F524,사건마스터!$A$5:$A$64,0)),""))</f>
        <v/>
      </c>
      <c r="L524" s="136">
        <f>IF($F524="","",IFERROR(INDEX(사건마스터!$AI$5:$AI$64,MATCH($F524,사건마스터!$A$5:$A$64,0)),""))</f>
        <v/>
      </c>
      <c r="M524" s="136">
        <f>IF($F524="","",IFERROR(INDEX(사건마스터!$AJ$5:$AJ$64,MATCH($F524,사건마스터!$A$5:$A$64,0)),""))</f>
        <v/>
      </c>
      <c r="N524" s="136">
        <f>IF($F524="","",IFERROR(INDEX(사건마스터!$AK$5:$AK$64,MATCH($F524,사건마스터!$A$5:$A$64,0)),""))</f>
        <v/>
      </c>
      <c r="O524" s="136">
        <f>IF($F524="","",IFERROR(INDEX(사건마스터!$AL$5:$AL$64,MATCH($F524,사건마스터!$A$5:$A$64,0)),""))</f>
        <v/>
      </c>
      <c r="P524" s="136">
        <f>IF($F524="","",IFERROR(INDEX(사건마스터!$AM$5:$AM$64,MATCH($F524,사건마스터!$A$5:$A$64,0)),""))</f>
        <v/>
      </c>
      <c r="Q524" s="136">
        <f>IF($F524="","",IFERROR(INDEX(사건마스터!$AN$5:$AN$64,MATCH($F524,사건마스터!$A$5:$A$64,0)),""))</f>
        <v/>
      </c>
      <c r="R524" s="136">
        <f>IF($F524="","",IFERROR(INDEX(사건마스터!$AO$5:$AO$64,MATCH($F524,사건마스터!$A$5:$A$64,0)),""))</f>
        <v/>
      </c>
      <c r="S524" s="136">
        <f>IF($F524="","",IFERROR(INDEX(사건마스터!$AP$5:$AP$64,MATCH($F524,사건마스터!$A$5:$A$64,0)),""))</f>
        <v/>
      </c>
      <c r="T524" s="136">
        <f>IF($F524="","",IFERROR(INDEX(사건마스터!$AQ$5:$AQ$64,MATCH($F524,사건마스터!$A$5:$A$64,0)),""))</f>
        <v/>
      </c>
      <c r="U524" s="136">
        <f>IF($F524="","",IFERROR(INDEX(사건마스터!$AR$5:$AR$64,MATCH($F524,사건마스터!$A$5:$A$64,0)),""))</f>
        <v/>
      </c>
      <c r="V524" s="136">
        <f>IF($F524="","",IFERROR(INDEX(사건마스터!$AS$5:$AS$64,MATCH($F524,사건마스터!$A$5:$A$64,0)),""))</f>
        <v/>
      </c>
      <c r="W524" s="136">
        <f>IF($F524="","",IFERROR(INDEX(사건마스터!$AT$5:$AT$64,MATCH($F524,사건마스터!$A$5:$A$64,0)),""))</f>
        <v/>
      </c>
      <c r="X524" s="136">
        <f>IF($F524="","",IFERROR(INDEX(사건마스터!$AU$5:$AU$64,MATCH($F524,사건마스터!$A$5:$A$64,0)),""))</f>
        <v/>
      </c>
      <c r="Y524" s="136">
        <f>IF($F524="","",IFERROR(INDEX(사건마스터!$AV$5:$AV$64,MATCH($F524,사건마스터!$A$5:$A$64,0)),""))</f>
        <v/>
      </c>
      <c r="Z524" s="118">
        <f>IF(COUNTBLANK($J524:$Y524)=16,"",16-COUNTBLANK($J524:$Y524))</f>
        <v/>
      </c>
      <c r="AA524" s="33">
        <f>IF($J524="",MID($AX524,3,255),$J524&amp;$AX524)</f>
        <v/>
      </c>
      <c r="AB524" s="130">
        <f>IF($J524="","",IFERROR(INDEX(코드설정!$D$5:$D$24,MATCH($J524,코드설정!$C$5:$C$24,0)),""))</f>
        <v/>
      </c>
      <c r="AC524" s="36" t="n"/>
      <c r="AD524" s="37" t="n"/>
      <c r="AE524" s="38" t="n"/>
      <c r="AF524" s="118">
        <f>IF(OR($B524="",$C524=""),"",$C524-$B524+1)</f>
        <v/>
      </c>
      <c r="AG524" s="74" t="n"/>
      <c r="AH524" s="36" t="n"/>
      <c r="AJ524">
        <f>IF($K524="","",", "&amp;$K524)</f>
        <v/>
      </c>
      <c r="AK524">
        <f>AJ524&amp;IF($L524="","",", "&amp;$L524)</f>
        <v/>
      </c>
      <c r="AL524">
        <f>AK524&amp;IF($M524="","",", "&amp;$M524)</f>
        <v/>
      </c>
      <c r="AM524">
        <f>AL524&amp;IF($N524="","",", "&amp;$N524)</f>
        <v/>
      </c>
      <c r="AN524">
        <f>AM524&amp;IF($O524="","",", "&amp;$O524)</f>
        <v/>
      </c>
      <c r="AO524">
        <f>AN524&amp;IF($P524="","",", "&amp;$P524)</f>
        <v/>
      </c>
      <c r="AP524">
        <f>AO524&amp;IF($Q524="","",", "&amp;$Q524)</f>
        <v/>
      </c>
      <c r="AQ524">
        <f>AP524&amp;IF($R524="","",", "&amp;$R524)</f>
        <v/>
      </c>
      <c r="AR524">
        <f>AQ524&amp;IF($S524="","",", "&amp;$S524)</f>
        <v/>
      </c>
      <c r="AS524">
        <f>AR524&amp;IF($T524="","",", "&amp;$T524)</f>
        <v/>
      </c>
      <c r="AT524">
        <f>AS524&amp;IF($U524="","",", "&amp;$U524)</f>
        <v/>
      </c>
      <c r="AU524">
        <f>AT524&amp;IF($V524="","",", "&amp;$V524)</f>
        <v/>
      </c>
      <c r="AV524">
        <f>AU524&amp;IF($W524="","",", "&amp;$W524)</f>
        <v/>
      </c>
      <c r="AW524">
        <f>AV524&amp;IF($X524="","",", "&amp;$X524)</f>
        <v/>
      </c>
      <c r="AX524">
        <f>AW524&amp;IF($Y524="","",", "&amp;$Y524)</f>
        <v/>
      </c>
    </row>
    <row r="525">
      <c r="A525" s="118">
        <f>IF($B525="","",COUNT($B$5:$B525))</f>
        <v/>
      </c>
      <c r="B525" s="80" t="n"/>
      <c r="C525" s="80" t="n"/>
      <c r="D525" s="74" t="n"/>
      <c r="E525" s="74" t="n"/>
      <c r="F525" s="74" t="n"/>
      <c r="G525" s="118">
        <f>IF($F525="","",COUNTIF($F$5:$F525,$F525))</f>
        <v/>
      </c>
      <c r="H525" s="33">
        <f>IF($F525="","",IFERROR(INDEX(사건마스터!$B$5:$B$64,MATCH($F525,사건마스터!$A$5:$A$64,0)),""))</f>
        <v/>
      </c>
      <c r="I525" s="130">
        <f>IF($F525="","",IFERROR(INDEX(사건마스터!$C$5:$C$64,MATCH($F525,사건마스터!$A$5:$A$64,0)),""))</f>
        <v/>
      </c>
      <c r="J525" s="136">
        <f>IF($F525="","",IFERROR(INDEX(사건마스터!$H$5:$H$64,MATCH($F525,사건마스터!$A$5:$A$64,0)),""))</f>
        <v/>
      </c>
      <c r="K525" s="136">
        <f>IF($F525="","",IFERROR(INDEX(사건마스터!$AH$5:$AH$64,MATCH($F525,사건마스터!$A$5:$A$64,0)),""))</f>
        <v/>
      </c>
      <c r="L525" s="136">
        <f>IF($F525="","",IFERROR(INDEX(사건마스터!$AI$5:$AI$64,MATCH($F525,사건마스터!$A$5:$A$64,0)),""))</f>
        <v/>
      </c>
      <c r="M525" s="136">
        <f>IF($F525="","",IFERROR(INDEX(사건마스터!$AJ$5:$AJ$64,MATCH($F525,사건마스터!$A$5:$A$64,0)),""))</f>
        <v/>
      </c>
      <c r="N525" s="136">
        <f>IF($F525="","",IFERROR(INDEX(사건마스터!$AK$5:$AK$64,MATCH($F525,사건마스터!$A$5:$A$64,0)),""))</f>
        <v/>
      </c>
      <c r="O525" s="136">
        <f>IF($F525="","",IFERROR(INDEX(사건마스터!$AL$5:$AL$64,MATCH($F525,사건마스터!$A$5:$A$64,0)),""))</f>
        <v/>
      </c>
      <c r="P525" s="136">
        <f>IF($F525="","",IFERROR(INDEX(사건마스터!$AM$5:$AM$64,MATCH($F525,사건마스터!$A$5:$A$64,0)),""))</f>
        <v/>
      </c>
      <c r="Q525" s="136">
        <f>IF($F525="","",IFERROR(INDEX(사건마스터!$AN$5:$AN$64,MATCH($F525,사건마스터!$A$5:$A$64,0)),""))</f>
        <v/>
      </c>
      <c r="R525" s="136">
        <f>IF($F525="","",IFERROR(INDEX(사건마스터!$AO$5:$AO$64,MATCH($F525,사건마스터!$A$5:$A$64,0)),""))</f>
        <v/>
      </c>
      <c r="S525" s="136">
        <f>IF($F525="","",IFERROR(INDEX(사건마스터!$AP$5:$AP$64,MATCH($F525,사건마스터!$A$5:$A$64,0)),""))</f>
        <v/>
      </c>
      <c r="T525" s="136">
        <f>IF($F525="","",IFERROR(INDEX(사건마스터!$AQ$5:$AQ$64,MATCH($F525,사건마스터!$A$5:$A$64,0)),""))</f>
        <v/>
      </c>
      <c r="U525" s="136">
        <f>IF($F525="","",IFERROR(INDEX(사건마스터!$AR$5:$AR$64,MATCH($F525,사건마스터!$A$5:$A$64,0)),""))</f>
        <v/>
      </c>
      <c r="V525" s="136">
        <f>IF($F525="","",IFERROR(INDEX(사건마스터!$AS$5:$AS$64,MATCH($F525,사건마스터!$A$5:$A$64,0)),""))</f>
        <v/>
      </c>
      <c r="W525" s="136">
        <f>IF($F525="","",IFERROR(INDEX(사건마스터!$AT$5:$AT$64,MATCH($F525,사건마스터!$A$5:$A$64,0)),""))</f>
        <v/>
      </c>
      <c r="X525" s="136">
        <f>IF($F525="","",IFERROR(INDEX(사건마스터!$AU$5:$AU$64,MATCH($F525,사건마스터!$A$5:$A$64,0)),""))</f>
        <v/>
      </c>
      <c r="Y525" s="136">
        <f>IF($F525="","",IFERROR(INDEX(사건마스터!$AV$5:$AV$64,MATCH($F525,사건마스터!$A$5:$A$64,0)),""))</f>
        <v/>
      </c>
      <c r="Z525" s="118">
        <f>IF(COUNTBLANK($J525:$Y525)=16,"",16-COUNTBLANK($J525:$Y525))</f>
        <v/>
      </c>
      <c r="AA525" s="33">
        <f>IF($J525="",MID($AX525,3,255),$J525&amp;$AX525)</f>
        <v/>
      </c>
      <c r="AB525" s="130">
        <f>IF($J525="","",IFERROR(INDEX(코드설정!$D$5:$D$24,MATCH($J525,코드설정!$C$5:$C$24,0)),""))</f>
        <v/>
      </c>
      <c r="AC525" s="36" t="n"/>
      <c r="AD525" s="37" t="n"/>
      <c r="AE525" s="38" t="n"/>
      <c r="AF525" s="118">
        <f>IF(OR($B525="",$C525=""),"",$C525-$B525+1)</f>
        <v/>
      </c>
      <c r="AG525" s="74" t="n"/>
      <c r="AH525" s="36" t="n"/>
      <c r="AJ525">
        <f>IF($K525="","",", "&amp;$K525)</f>
        <v/>
      </c>
      <c r="AK525">
        <f>AJ525&amp;IF($L525="","",", "&amp;$L525)</f>
        <v/>
      </c>
      <c r="AL525">
        <f>AK525&amp;IF($M525="","",", "&amp;$M525)</f>
        <v/>
      </c>
      <c r="AM525">
        <f>AL525&amp;IF($N525="","",", "&amp;$N525)</f>
        <v/>
      </c>
      <c r="AN525">
        <f>AM525&amp;IF($O525="","",", "&amp;$O525)</f>
        <v/>
      </c>
      <c r="AO525">
        <f>AN525&amp;IF($P525="","",", "&amp;$P525)</f>
        <v/>
      </c>
      <c r="AP525">
        <f>AO525&amp;IF($Q525="","",", "&amp;$Q525)</f>
        <v/>
      </c>
      <c r="AQ525">
        <f>AP525&amp;IF($R525="","",", "&amp;$R525)</f>
        <v/>
      </c>
      <c r="AR525">
        <f>AQ525&amp;IF($S525="","",", "&amp;$S525)</f>
        <v/>
      </c>
      <c r="AS525">
        <f>AR525&amp;IF($T525="","",", "&amp;$T525)</f>
        <v/>
      </c>
      <c r="AT525">
        <f>AS525&amp;IF($U525="","",", "&amp;$U525)</f>
        <v/>
      </c>
      <c r="AU525">
        <f>AT525&amp;IF($V525="","",", "&amp;$V525)</f>
        <v/>
      </c>
      <c r="AV525">
        <f>AU525&amp;IF($W525="","",", "&amp;$W525)</f>
        <v/>
      </c>
      <c r="AW525">
        <f>AV525&amp;IF($X525="","",", "&amp;$X525)</f>
        <v/>
      </c>
      <c r="AX525">
        <f>AW525&amp;IF($Y525="","",", "&amp;$Y525)</f>
        <v/>
      </c>
    </row>
    <row r="526">
      <c r="A526" s="118">
        <f>IF($B526="","",COUNT($B$5:$B526))</f>
        <v/>
      </c>
      <c r="B526" s="80" t="n"/>
      <c r="C526" s="80" t="n"/>
      <c r="D526" s="74" t="n"/>
      <c r="E526" s="74" t="n"/>
      <c r="F526" s="74" t="n"/>
      <c r="G526" s="118">
        <f>IF($F526="","",COUNTIF($F$5:$F526,$F526))</f>
        <v/>
      </c>
      <c r="H526" s="33">
        <f>IF($F526="","",IFERROR(INDEX(사건마스터!$B$5:$B$64,MATCH($F526,사건마스터!$A$5:$A$64,0)),""))</f>
        <v/>
      </c>
      <c r="I526" s="130">
        <f>IF($F526="","",IFERROR(INDEX(사건마스터!$C$5:$C$64,MATCH($F526,사건마스터!$A$5:$A$64,0)),""))</f>
        <v/>
      </c>
      <c r="J526" s="136">
        <f>IF($F526="","",IFERROR(INDEX(사건마스터!$H$5:$H$64,MATCH($F526,사건마스터!$A$5:$A$64,0)),""))</f>
        <v/>
      </c>
      <c r="K526" s="136">
        <f>IF($F526="","",IFERROR(INDEX(사건마스터!$AH$5:$AH$64,MATCH($F526,사건마스터!$A$5:$A$64,0)),""))</f>
        <v/>
      </c>
      <c r="L526" s="136">
        <f>IF($F526="","",IFERROR(INDEX(사건마스터!$AI$5:$AI$64,MATCH($F526,사건마스터!$A$5:$A$64,0)),""))</f>
        <v/>
      </c>
      <c r="M526" s="136">
        <f>IF($F526="","",IFERROR(INDEX(사건마스터!$AJ$5:$AJ$64,MATCH($F526,사건마스터!$A$5:$A$64,0)),""))</f>
        <v/>
      </c>
      <c r="N526" s="136">
        <f>IF($F526="","",IFERROR(INDEX(사건마스터!$AK$5:$AK$64,MATCH($F526,사건마스터!$A$5:$A$64,0)),""))</f>
        <v/>
      </c>
      <c r="O526" s="136">
        <f>IF($F526="","",IFERROR(INDEX(사건마스터!$AL$5:$AL$64,MATCH($F526,사건마스터!$A$5:$A$64,0)),""))</f>
        <v/>
      </c>
      <c r="P526" s="136">
        <f>IF($F526="","",IFERROR(INDEX(사건마스터!$AM$5:$AM$64,MATCH($F526,사건마스터!$A$5:$A$64,0)),""))</f>
        <v/>
      </c>
      <c r="Q526" s="136">
        <f>IF($F526="","",IFERROR(INDEX(사건마스터!$AN$5:$AN$64,MATCH($F526,사건마스터!$A$5:$A$64,0)),""))</f>
        <v/>
      </c>
      <c r="R526" s="136">
        <f>IF($F526="","",IFERROR(INDEX(사건마스터!$AO$5:$AO$64,MATCH($F526,사건마스터!$A$5:$A$64,0)),""))</f>
        <v/>
      </c>
      <c r="S526" s="136">
        <f>IF($F526="","",IFERROR(INDEX(사건마스터!$AP$5:$AP$64,MATCH($F526,사건마스터!$A$5:$A$64,0)),""))</f>
        <v/>
      </c>
      <c r="T526" s="136">
        <f>IF($F526="","",IFERROR(INDEX(사건마스터!$AQ$5:$AQ$64,MATCH($F526,사건마스터!$A$5:$A$64,0)),""))</f>
        <v/>
      </c>
      <c r="U526" s="136">
        <f>IF($F526="","",IFERROR(INDEX(사건마스터!$AR$5:$AR$64,MATCH($F526,사건마스터!$A$5:$A$64,0)),""))</f>
        <v/>
      </c>
      <c r="V526" s="136">
        <f>IF($F526="","",IFERROR(INDEX(사건마스터!$AS$5:$AS$64,MATCH($F526,사건마스터!$A$5:$A$64,0)),""))</f>
        <v/>
      </c>
      <c r="W526" s="136">
        <f>IF($F526="","",IFERROR(INDEX(사건마스터!$AT$5:$AT$64,MATCH($F526,사건마스터!$A$5:$A$64,0)),""))</f>
        <v/>
      </c>
      <c r="X526" s="136">
        <f>IF($F526="","",IFERROR(INDEX(사건마스터!$AU$5:$AU$64,MATCH($F526,사건마스터!$A$5:$A$64,0)),""))</f>
        <v/>
      </c>
      <c r="Y526" s="136">
        <f>IF($F526="","",IFERROR(INDEX(사건마스터!$AV$5:$AV$64,MATCH($F526,사건마스터!$A$5:$A$64,0)),""))</f>
        <v/>
      </c>
      <c r="Z526" s="118">
        <f>IF(COUNTBLANK($J526:$Y526)=16,"",16-COUNTBLANK($J526:$Y526))</f>
        <v/>
      </c>
      <c r="AA526" s="33">
        <f>IF($J526="",MID($AX526,3,255),$J526&amp;$AX526)</f>
        <v/>
      </c>
      <c r="AB526" s="130">
        <f>IF($J526="","",IFERROR(INDEX(코드설정!$D$5:$D$24,MATCH($J526,코드설정!$C$5:$C$24,0)),""))</f>
        <v/>
      </c>
      <c r="AC526" s="36" t="n"/>
      <c r="AD526" s="37" t="n"/>
      <c r="AE526" s="38" t="n"/>
      <c r="AF526" s="118">
        <f>IF(OR($B526="",$C526=""),"",$C526-$B526+1)</f>
        <v/>
      </c>
      <c r="AG526" s="74" t="n"/>
      <c r="AH526" s="36" t="n"/>
      <c r="AJ526">
        <f>IF($K526="","",", "&amp;$K526)</f>
        <v/>
      </c>
      <c r="AK526">
        <f>AJ526&amp;IF($L526="","",", "&amp;$L526)</f>
        <v/>
      </c>
      <c r="AL526">
        <f>AK526&amp;IF($M526="","",", "&amp;$M526)</f>
        <v/>
      </c>
      <c r="AM526">
        <f>AL526&amp;IF($N526="","",", "&amp;$N526)</f>
        <v/>
      </c>
      <c r="AN526">
        <f>AM526&amp;IF($O526="","",", "&amp;$O526)</f>
        <v/>
      </c>
      <c r="AO526">
        <f>AN526&amp;IF($P526="","",", "&amp;$P526)</f>
        <v/>
      </c>
      <c r="AP526">
        <f>AO526&amp;IF($Q526="","",", "&amp;$Q526)</f>
        <v/>
      </c>
      <c r="AQ526">
        <f>AP526&amp;IF($R526="","",", "&amp;$R526)</f>
        <v/>
      </c>
      <c r="AR526">
        <f>AQ526&amp;IF($S526="","",", "&amp;$S526)</f>
        <v/>
      </c>
      <c r="AS526">
        <f>AR526&amp;IF($T526="","",", "&amp;$T526)</f>
        <v/>
      </c>
      <c r="AT526">
        <f>AS526&amp;IF($U526="","",", "&amp;$U526)</f>
        <v/>
      </c>
      <c r="AU526">
        <f>AT526&amp;IF($V526="","",", "&amp;$V526)</f>
        <v/>
      </c>
      <c r="AV526">
        <f>AU526&amp;IF($W526="","",", "&amp;$W526)</f>
        <v/>
      </c>
      <c r="AW526">
        <f>AV526&amp;IF($X526="","",", "&amp;$X526)</f>
        <v/>
      </c>
      <c r="AX526">
        <f>AW526&amp;IF($Y526="","",", "&amp;$Y526)</f>
        <v/>
      </c>
    </row>
    <row r="527">
      <c r="A527" s="118">
        <f>IF($B527="","",COUNT($B$5:$B527))</f>
        <v/>
      </c>
      <c r="B527" s="80" t="n"/>
      <c r="C527" s="80" t="n"/>
      <c r="D527" s="74" t="n"/>
      <c r="E527" s="74" t="n"/>
      <c r="F527" s="74" t="n"/>
      <c r="G527" s="118">
        <f>IF($F527="","",COUNTIF($F$5:$F527,$F527))</f>
        <v/>
      </c>
      <c r="H527" s="33">
        <f>IF($F527="","",IFERROR(INDEX(사건마스터!$B$5:$B$64,MATCH($F527,사건마스터!$A$5:$A$64,0)),""))</f>
        <v/>
      </c>
      <c r="I527" s="130">
        <f>IF($F527="","",IFERROR(INDEX(사건마스터!$C$5:$C$64,MATCH($F527,사건마스터!$A$5:$A$64,0)),""))</f>
        <v/>
      </c>
      <c r="J527" s="136">
        <f>IF($F527="","",IFERROR(INDEX(사건마스터!$H$5:$H$64,MATCH($F527,사건마스터!$A$5:$A$64,0)),""))</f>
        <v/>
      </c>
      <c r="K527" s="136">
        <f>IF($F527="","",IFERROR(INDEX(사건마스터!$AH$5:$AH$64,MATCH($F527,사건마스터!$A$5:$A$64,0)),""))</f>
        <v/>
      </c>
      <c r="L527" s="136">
        <f>IF($F527="","",IFERROR(INDEX(사건마스터!$AI$5:$AI$64,MATCH($F527,사건마스터!$A$5:$A$64,0)),""))</f>
        <v/>
      </c>
      <c r="M527" s="136">
        <f>IF($F527="","",IFERROR(INDEX(사건마스터!$AJ$5:$AJ$64,MATCH($F527,사건마스터!$A$5:$A$64,0)),""))</f>
        <v/>
      </c>
      <c r="N527" s="136">
        <f>IF($F527="","",IFERROR(INDEX(사건마스터!$AK$5:$AK$64,MATCH($F527,사건마스터!$A$5:$A$64,0)),""))</f>
        <v/>
      </c>
      <c r="O527" s="136">
        <f>IF($F527="","",IFERROR(INDEX(사건마스터!$AL$5:$AL$64,MATCH($F527,사건마스터!$A$5:$A$64,0)),""))</f>
        <v/>
      </c>
      <c r="P527" s="136">
        <f>IF($F527="","",IFERROR(INDEX(사건마스터!$AM$5:$AM$64,MATCH($F527,사건마스터!$A$5:$A$64,0)),""))</f>
        <v/>
      </c>
      <c r="Q527" s="136">
        <f>IF($F527="","",IFERROR(INDEX(사건마스터!$AN$5:$AN$64,MATCH($F527,사건마스터!$A$5:$A$64,0)),""))</f>
        <v/>
      </c>
      <c r="R527" s="136">
        <f>IF($F527="","",IFERROR(INDEX(사건마스터!$AO$5:$AO$64,MATCH($F527,사건마스터!$A$5:$A$64,0)),""))</f>
        <v/>
      </c>
      <c r="S527" s="136">
        <f>IF($F527="","",IFERROR(INDEX(사건마스터!$AP$5:$AP$64,MATCH($F527,사건마스터!$A$5:$A$64,0)),""))</f>
        <v/>
      </c>
      <c r="T527" s="136">
        <f>IF($F527="","",IFERROR(INDEX(사건마스터!$AQ$5:$AQ$64,MATCH($F527,사건마스터!$A$5:$A$64,0)),""))</f>
        <v/>
      </c>
      <c r="U527" s="136">
        <f>IF($F527="","",IFERROR(INDEX(사건마스터!$AR$5:$AR$64,MATCH($F527,사건마스터!$A$5:$A$64,0)),""))</f>
        <v/>
      </c>
      <c r="V527" s="136">
        <f>IF($F527="","",IFERROR(INDEX(사건마스터!$AS$5:$AS$64,MATCH($F527,사건마스터!$A$5:$A$64,0)),""))</f>
        <v/>
      </c>
      <c r="W527" s="136">
        <f>IF($F527="","",IFERROR(INDEX(사건마스터!$AT$5:$AT$64,MATCH($F527,사건마스터!$A$5:$A$64,0)),""))</f>
        <v/>
      </c>
      <c r="X527" s="136">
        <f>IF($F527="","",IFERROR(INDEX(사건마스터!$AU$5:$AU$64,MATCH($F527,사건마스터!$A$5:$A$64,0)),""))</f>
        <v/>
      </c>
      <c r="Y527" s="136">
        <f>IF($F527="","",IFERROR(INDEX(사건마스터!$AV$5:$AV$64,MATCH($F527,사건마스터!$A$5:$A$64,0)),""))</f>
        <v/>
      </c>
      <c r="Z527" s="118">
        <f>IF(COUNTBLANK($J527:$Y527)=16,"",16-COUNTBLANK($J527:$Y527))</f>
        <v/>
      </c>
      <c r="AA527" s="33">
        <f>IF($J527="",MID($AX527,3,255),$J527&amp;$AX527)</f>
        <v/>
      </c>
      <c r="AB527" s="130">
        <f>IF($J527="","",IFERROR(INDEX(코드설정!$D$5:$D$24,MATCH($J527,코드설정!$C$5:$C$24,0)),""))</f>
        <v/>
      </c>
      <c r="AC527" s="36" t="n"/>
      <c r="AD527" s="37" t="n"/>
      <c r="AE527" s="38" t="n"/>
      <c r="AF527" s="118">
        <f>IF(OR($B527="",$C527=""),"",$C527-$B527+1)</f>
        <v/>
      </c>
      <c r="AG527" s="74" t="n"/>
      <c r="AH527" s="36" t="n"/>
      <c r="AJ527">
        <f>IF($K527="","",", "&amp;$K527)</f>
        <v/>
      </c>
      <c r="AK527">
        <f>AJ527&amp;IF($L527="","",", "&amp;$L527)</f>
        <v/>
      </c>
      <c r="AL527">
        <f>AK527&amp;IF($M527="","",", "&amp;$M527)</f>
        <v/>
      </c>
      <c r="AM527">
        <f>AL527&amp;IF($N527="","",", "&amp;$N527)</f>
        <v/>
      </c>
      <c r="AN527">
        <f>AM527&amp;IF($O527="","",", "&amp;$O527)</f>
        <v/>
      </c>
      <c r="AO527">
        <f>AN527&amp;IF($P527="","",", "&amp;$P527)</f>
        <v/>
      </c>
      <c r="AP527">
        <f>AO527&amp;IF($Q527="","",", "&amp;$Q527)</f>
        <v/>
      </c>
      <c r="AQ527">
        <f>AP527&amp;IF($R527="","",", "&amp;$R527)</f>
        <v/>
      </c>
      <c r="AR527">
        <f>AQ527&amp;IF($S527="","",", "&amp;$S527)</f>
        <v/>
      </c>
      <c r="AS527">
        <f>AR527&amp;IF($T527="","",", "&amp;$T527)</f>
        <v/>
      </c>
      <c r="AT527">
        <f>AS527&amp;IF($U527="","",", "&amp;$U527)</f>
        <v/>
      </c>
      <c r="AU527">
        <f>AT527&amp;IF($V527="","",", "&amp;$V527)</f>
        <v/>
      </c>
      <c r="AV527">
        <f>AU527&amp;IF($W527="","",", "&amp;$W527)</f>
        <v/>
      </c>
      <c r="AW527">
        <f>AV527&amp;IF($X527="","",", "&amp;$X527)</f>
        <v/>
      </c>
      <c r="AX527">
        <f>AW527&amp;IF($Y527="","",", "&amp;$Y527)</f>
        <v/>
      </c>
    </row>
    <row r="528">
      <c r="A528" s="118">
        <f>IF($B528="","",COUNT($B$5:$B528))</f>
        <v/>
      </c>
      <c r="B528" s="80" t="n"/>
      <c r="C528" s="80" t="n"/>
      <c r="D528" s="74" t="n"/>
      <c r="E528" s="74" t="n"/>
      <c r="F528" s="74" t="n"/>
      <c r="G528" s="118">
        <f>IF($F528="","",COUNTIF($F$5:$F528,$F528))</f>
        <v/>
      </c>
      <c r="H528" s="33">
        <f>IF($F528="","",IFERROR(INDEX(사건마스터!$B$5:$B$64,MATCH($F528,사건마스터!$A$5:$A$64,0)),""))</f>
        <v/>
      </c>
      <c r="I528" s="130">
        <f>IF($F528="","",IFERROR(INDEX(사건마스터!$C$5:$C$64,MATCH($F528,사건마스터!$A$5:$A$64,0)),""))</f>
        <v/>
      </c>
      <c r="J528" s="136">
        <f>IF($F528="","",IFERROR(INDEX(사건마스터!$H$5:$H$64,MATCH($F528,사건마스터!$A$5:$A$64,0)),""))</f>
        <v/>
      </c>
      <c r="K528" s="136">
        <f>IF($F528="","",IFERROR(INDEX(사건마스터!$AH$5:$AH$64,MATCH($F528,사건마스터!$A$5:$A$64,0)),""))</f>
        <v/>
      </c>
      <c r="L528" s="136">
        <f>IF($F528="","",IFERROR(INDEX(사건마스터!$AI$5:$AI$64,MATCH($F528,사건마스터!$A$5:$A$64,0)),""))</f>
        <v/>
      </c>
      <c r="M528" s="136">
        <f>IF($F528="","",IFERROR(INDEX(사건마스터!$AJ$5:$AJ$64,MATCH($F528,사건마스터!$A$5:$A$64,0)),""))</f>
        <v/>
      </c>
      <c r="N528" s="136">
        <f>IF($F528="","",IFERROR(INDEX(사건마스터!$AK$5:$AK$64,MATCH($F528,사건마스터!$A$5:$A$64,0)),""))</f>
        <v/>
      </c>
      <c r="O528" s="136">
        <f>IF($F528="","",IFERROR(INDEX(사건마스터!$AL$5:$AL$64,MATCH($F528,사건마스터!$A$5:$A$64,0)),""))</f>
        <v/>
      </c>
      <c r="P528" s="136">
        <f>IF($F528="","",IFERROR(INDEX(사건마스터!$AM$5:$AM$64,MATCH($F528,사건마스터!$A$5:$A$64,0)),""))</f>
        <v/>
      </c>
      <c r="Q528" s="136">
        <f>IF($F528="","",IFERROR(INDEX(사건마스터!$AN$5:$AN$64,MATCH($F528,사건마스터!$A$5:$A$64,0)),""))</f>
        <v/>
      </c>
      <c r="R528" s="136">
        <f>IF($F528="","",IFERROR(INDEX(사건마스터!$AO$5:$AO$64,MATCH($F528,사건마스터!$A$5:$A$64,0)),""))</f>
        <v/>
      </c>
      <c r="S528" s="136">
        <f>IF($F528="","",IFERROR(INDEX(사건마스터!$AP$5:$AP$64,MATCH($F528,사건마스터!$A$5:$A$64,0)),""))</f>
        <v/>
      </c>
      <c r="T528" s="136">
        <f>IF($F528="","",IFERROR(INDEX(사건마스터!$AQ$5:$AQ$64,MATCH($F528,사건마스터!$A$5:$A$64,0)),""))</f>
        <v/>
      </c>
      <c r="U528" s="136">
        <f>IF($F528="","",IFERROR(INDEX(사건마스터!$AR$5:$AR$64,MATCH($F528,사건마스터!$A$5:$A$64,0)),""))</f>
        <v/>
      </c>
      <c r="V528" s="136">
        <f>IF($F528="","",IFERROR(INDEX(사건마스터!$AS$5:$AS$64,MATCH($F528,사건마스터!$A$5:$A$64,0)),""))</f>
        <v/>
      </c>
      <c r="W528" s="136">
        <f>IF($F528="","",IFERROR(INDEX(사건마스터!$AT$5:$AT$64,MATCH($F528,사건마스터!$A$5:$A$64,0)),""))</f>
        <v/>
      </c>
      <c r="X528" s="136">
        <f>IF($F528="","",IFERROR(INDEX(사건마스터!$AU$5:$AU$64,MATCH($F528,사건마스터!$A$5:$A$64,0)),""))</f>
        <v/>
      </c>
      <c r="Y528" s="136">
        <f>IF($F528="","",IFERROR(INDEX(사건마스터!$AV$5:$AV$64,MATCH($F528,사건마스터!$A$5:$A$64,0)),""))</f>
        <v/>
      </c>
      <c r="Z528" s="118">
        <f>IF(COUNTBLANK($J528:$Y528)=16,"",16-COUNTBLANK($J528:$Y528))</f>
        <v/>
      </c>
      <c r="AA528" s="33">
        <f>IF($J528="",MID($AX528,3,255),$J528&amp;$AX528)</f>
        <v/>
      </c>
      <c r="AB528" s="130">
        <f>IF($J528="","",IFERROR(INDEX(코드설정!$D$5:$D$24,MATCH($J528,코드설정!$C$5:$C$24,0)),""))</f>
        <v/>
      </c>
      <c r="AC528" s="36" t="n"/>
      <c r="AD528" s="37" t="n"/>
      <c r="AE528" s="38" t="n"/>
      <c r="AF528" s="118">
        <f>IF(OR($B528="",$C528=""),"",$C528-$B528+1)</f>
        <v/>
      </c>
      <c r="AG528" s="74" t="n"/>
      <c r="AH528" s="36" t="n"/>
      <c r="AJ528">
        <f>IF($K528="","",", "&amp;$K528)</f>
        <v/>
      </c>
      <c r="AK528">
        <f>AJ528&amp;IF($L528="","",", "&amp;$L528)</f>
        <v/>
      </c>
      <c r="AL528">
        <f>AK528&amp;IF($M528="","",", "&amp;$M528)</f>
        <v/>
      </c>
      <c r="AM528">
        <f>AL528&amp;IF($N528="","",", "&amp;$N528)</f>
        <v/>
      </c>
      <c r="AN528">
        <f>AM528&amp;IF($O528="","",", "&amp;$O528)</f>
        <v/>
      </c>
      <c r="AO528">
        <f>AN528&amp;IF($P528="","",", "&amp;$P528)</f>
        <v/>
      </c>
      <c r="AP528">
        <f>AO528&amp;IF($Q528="","",", "&amp;$Q528)</f>
        <v/>
      </c>
      <c r="AQ528">
        <f>AP528&amp;IF($R528="","",", "&amp;$R528)</f>
        <v/>
      </c>
      <c r="AR528">
        <f>AQ528&amp;IF($S528="","",", "&amp;$S528)</f>
        <v/>
      </c>
      <c r="AS528">
        <f>AR528&amp;IF($T528="","",", "&amp;$T528)</f>
        <v/>
      </c>
      <c r="AT528">
        <f>AS528&amp;IF($U528="","",", "&amp;$U528)</f>
        <v/>
      </c>
      <c r="AU528">
        <f>AT528&amp;IF($V528="","",", "&amp;$V528)</f>
        <v/>
      </c>
      <c r="AV528">
        <f>AU528&amp;IF($W528="","",", "&amp;$W528)</f>
        <v/>
      </c>
      <c r="AW528">
        <f>AV528&amp;IF($X528="","",", "&amp;$X528)</f>
        <v/>
      </c>
      <c r="AX528">
        <f>AW528&amp;IF($Y528="","",", "&amp;$Y528)</f>
        <v/>
      </c>
    </row>
    <row r="529">
      <c r="A529" s="118">
        <f>IF($B529="","",COUNT($B$5:$B529))</f>
        <v/>
      </c>
      <c r="B529" s="80" t="n"/>
      <c r="C529" s="80" t="n"/>
      <c r="D529" s="74" t="n"/>
      <c r="E529" s="74" t="n"/>
      <c r="F529" s="74" t="n"/>
      <c r="G529" s="118">
        <f>IF($F529="","",COUNTIF($F$5:$F529,$F529))</f>
        <v/>
      </c>
      <c r="H529" s="33">
        <f>IF($F529="","",IFERROR(INDEX(사건마스터!$B$5:$B$64,MATCH($F529,사건마스터!$A$5:$A$64,0)),""))</f>
        <v/>
      </c>
      <c r="I529" s="130">
        <f>IF($F529="","",IFERROR(INDEX(사건마스터!$C$5:$C$64,MATCH($F529,사건마스터!$A$5:$A$64,0)),""))</f>
        <v/>
      </c>
      <c r="J529" s="136">
        <f>IF($F529="","",IFERROR(INDEX(사건마스터!$H$5:$H$64,MATCH($F529,사건마스터!$A$5:$A$64,0)),""))</f>
        <v/>
      </c>
      <c r="K529" s="136">
        <f>IF($F529="","",IFERROR(INDEX(사건마스터!$AH$5:$AH$64,MATCH($F529,사건마스터!$A$5:$A$64,0)),""))</f>
        <v/>
      </c>
      <c r="L529" s="136">
        <f>IF($F529="","",IFERROR(INDEX(사건마스터!$AI$5:$AI$64,MATCH($F529,사건마스터!$A$5:$A$64,0)),""))</f>
        <v/>
      </c>
      <c r="M529" s="136">
        <f>IF($F529="","",IFERROR(INDEX(사건마스터!$AJ$5:$AJ$64,MATCH($F529,사건마스터!$A$5:$A$64,0)),""))</f>
        <v/>
      </c>
      <c r="N529" s="136">
        <f>IF($F529="","",IFERROR(INDEX(사건마스터!$AK$5:$AK$64,MATCH($F529,사건마스터!$A$5:$A$64,0)),""))</f>
        <v/>
      </c>
      <c r="O529" s="136">
        <f>IF($F529="","",IFERROR(INDEX(사건마스터!$AL$5:$AL$64,MATCH($F529,사건마스터!$A$5:$A$64,0)),""))</f>
        <v/>
      </c>
      <c r="P529" s="136">
        <f>IF($F529="","",IFERROR(INDEX(사건마스터!$AM$5:$AM$64,MATCH($F529,사건마스터!$A$5:$A$64,0)),""))</f>
        <v/>
      </c>
      <c r="Q529" s="136">
        <f>IF($F529="","",IFERROR(INDEX(사건마스터!$AN$5:$AN$64,MATCH($F529,사건마스터!$A$5:$A$64,0)),""))</f>
        <v/>
      </c>
      <c r="R529" s="136">
        <f>IF($F529="","",IFERROR(INDEX(사건마스터!$AO$5:$AO$64,MATCH($F529,사건마스터!$A$5:$A$64,0)),""))</f>
        <v/>
      </c>
      <c r="S529" s="136">
        <f>IF($F529="","",IFERROR(INDEX(사건마스터!$AP$5:$AP$64,MATCH($F529,사건마스터!$A$5:$A$64,0)),""))</f>
        <v/>
      </c>
      <c r="T529" s="136">
        <f>IF($F529="","",IFERROR(INDEX(사건마스터!$AQ$5:$AQ$64,MATCH($F529,사건마스터!$A$5:$A$64,0)),""))</f>
        <v/>
      </c>
      <c r="U529" s="136">
        <f>IF($F529="","",IFERROR(INDEX(사건마스터!$AR$5:$AR$64,MATCH($F529,사건마스터!$A$5:$A$64,0)),""))</f>
        <v/>
      </c>
      <c r="V529" s="136">
        <f>IF($F529="","",IFERROR(INDEX(사건마스터!$AS$5:$AS$64,MATCH($F529,사건마스터!$A$5:$A$64,0)),""))</f>
        <v/>
      </c>
      <c r="W529" s="136">
        <f>IF($F529="","",IFERROR(INDEX(사건마스터!$AT$5:$AT$64,MATCH($F529,사건마스터!$A$5:$A$64,0)),""))</f>
        <v/>
      </c>
      <c r="X529" s="136">
        <f>IF($F529="","",IFERROR(INDEX(사건마스터!$AU$5:$AU$64,MATCH($F529,사건마스터!$A$5:$A$64,0)),""))</f>
        <v/>
      </c>
      <c r="Y529" s="136">
        <f>IF($F529="","",IFERROR(INDEX(사건마스터!$AV$5:$AV$64,MATCH($F529,사건마스터!$A$5:$A$64,0)),""))</f>
        <v/>
      </c>
      <c r="Z529" s="118">
        <f>IF(COUNTBLANK($J529:$Y529)=16,"",16-COUNTBLANK($J529:$Y529))</f>
        <v/>
      </c>
      <c r="AA529" s="33">
        <f>IF($J529="",MID($AX529,3,255),$J529&amp;$AX529)</f>
        <v/>
      </c>
      <c r="AB529" s="130">
        <f>IF($J529="","",IFERROR(INDEX(코드설정!$D$5:$D$24,MATCH($J529,코드설정!$C$5:$C$24,0)),""))</f>
        <v/>
      </c>
      <c r="AC529" s="36" t="n"/>
      <c r="AD529" s="37" t="n"/>
      <c r="AE529" s="38" t="n"/>
      <c r="AF529" s="118">
        <f>IF(OR($B529="",$C529=""),"",$C529-$B529+1)</f>
        <v/>
      </c>
      <c r="AG529" s="74" t="n"/>
      <c r="AH529" s="36" t="n"/>
      <c r="AJ529">
        <f>IF($K529="","",", "&amp;$K529)</f>
        <v/>
      </c>
      <c r="AK529">
        <f>AJ529&amp;IF($L529="","",", "&amp;$L529)</f>
        <v/>
      </c>
      <c r="AL529">
        <f>AK529&amp;IF($M529="","",", "&amp;$M529)</f>
        <v/>
      </c>
      <c r="AM529">
        <f>AL529&amp;IF($N529="","",", "&amp;$N529)</f>
        <v/>
      </c>
      <c r="AN529">
        <f>AM529&amp;IF($O529="","",", "&amp;$O529)</f>
        <v/>
      </c>
      <c r="AO529">
        <f>AN529&amp;IF($P529="","",", "&amp;$P529)</f>
        <v/>
      </c>
      <c r="AP529">
        <f>AO529&amp;IF($Q529="","",", "&amp;$Q529)</f>
        <v/>
      </c>
      <c r="AQ529">
        <f>AP529&amp;IF($R529="","",", "&amp;$R529)</f>
        <v/>
      </c>
      <c r="AR529">
        <f>AQ529&amp;IF($S529="","",", "&amp;$S529)</f>
        <v/>
      </c>
      <c r="AS529">
        <f>AR529&amp;IF($T529="","",", "&amp;$T529)</f>
        <v/>
      </c>
      <c r="AT529">
        <f>AS529&amp;IF($U529="","",", "&amp;$U529)</f>
        <v/>
      </c>
      <c r="AU529">
        <f>AT529&amp;IF($V529="","",", "&amp;$V529)</f>
        <v/>
      </c>
      <c r="AV529">
        <f>AU529&amp;IF($W529="","",", "&amp;$W529)</f>
        <v/>
      </c>
      <c r="AW529">
        <f>AV529&amp;IF($X529="","",", "&amp;$X529)</f>
        <v/>
      </c>
      <c r="AX529">
        <f>AW529&amp;IF($Y529="","",", "&amp;$Y529)</f>
        <v/>
      </c>
    </row>
    <row r="530">
      <c r="A530" s="118">
        <f>IF($B530="","",COUNT($B$5:$B530))</f>
        <v/>
      </c>
      <c r="B530" s="80" t="n"/>
      <c r="C530" s="80" t="n"/>
      <c r="D530" s="74" t="n"/>
      <c r="E530" s="74" t="n"/>
      <c r="F530" s="74" t="n"/>
      <c r="G530" s="118">
        <f>IF($F530="","",COUNTIF($F$5:$F530,$F530))</f>
        <v/>
      </c>
      <c r="H530" s="33">
        <f>IF($F530="","",IFERROR(INDEX(사건마스터!$B$5:$B$64,MATCH($F530,사건마스터!$A$5:$A$64,0)),""))</f>
        <v/>
      </c>
      <c r="I530" s="130">
        <f>IF($F530="","",IFERROR(INDEX(사건마스터!$C$5:$C$64,MATCH($F530,사건마스터!$A$5:$A$64,0)),""))</f>
        <v/>
      </c>
      <c r="J530" s="136">
        <f>IF($F530="","",IFERROR(INDEX(사건마스터!$H$5:$H$64,MATCH($F530,사건마스터!$A$5:$A$64,0)),""))</f>
        <v/>
      </c>
      <c r="K530" s="136">
        <f>IF($F530="","",IFERROR(INDEX(사건마스터!$AH$5:$AH$64,MATCH($F530,사건마스터!$A$5:$A$64,0)),""))</f>
        <v/>
      </c>
      <c r="L530" s="136">
        <f>IF($F530="","",IFERROR(INDEX(사건마스터!$AI$5:$AI$64,MATCH($F530,사건마스터!$A$5:$A$64,0)),""))</f>
        <v/>
      </c>
      <c r="M530" s="136">
        <f>IF($F530="","",IFERROR(INDEX(사건마스터!$AJ$5:$AJ$64,MATCH($F530,사건마스터!$A$5:$A$64,0)),""))</f>
        <v/>
      </c>
      <c r="N530" s="136">
        <f>IF($F530="","",IFERROR(INDEX(사건마스터!$AK$5:$AK$64,MATCH($F530,사건마스터!$A$5:$A$64,0)),""))</f>
        <v/>
      </c>
      <c r="O530" s="136">
        <f>IF($F530="","",IFERROR(INDEX(사건마스터!$AL$5:$AL$64,MATCH($F530,사건마스터!$A$5:$A$64,0)),""))</f>
        <v/>
      </c>
      <c r="P530" s="136">
        <f>IF($F530="","",IFERROR(INDEX(사건마스터!$AM$5:$AM$64,MATCH($F530,사건마스터!$A$5:$A$64,0)),""))</f>
        <v/>
      </c>
      <c r="Q530" s="136">
        <f>IF($F530="","",IFERROR(INDEX(사건마스터!$AN$5:$AN$64,MATCH($F530,사건마스터!$A$5:$A$64,0)),""))</f>
        <v/>
      </c>
      <c r="R530" s="136">
        <f>IF($F530="","",IFERROR(INDEX(사건마스터!$AO$5:$AO$64,MATCH($F530,사건마스터!$A$5:$A$64,0)),""))</f>
        <v/>
      </c>
      <c r="S530" s="136">
        <f>IF($F530="","",IFERROR(INDEX(사건마스터!$AP$5:$AP$64,MATCH($F530,사건마스터!$A$5:$A$64,0)),""))</f>
        <v/>
      </c>
      <c r="T530" s="136">
        <f>IF($F530="","",IFERROR(INDEX(사건마스터!$AQ$5:$AQ$64,MATCH($F530,사건마스터!$A$5:$A$64,0)),""))</f>
        <v/>
      </c>
      <c r="U530" s="136">
        <f>IF($F530="","",IFERROR(INDEX(사건마스터!$AR$5:$AR$64,MATCH($F530,사건마스터!$A$5:$A$64,0)),""))</f>
        <v/>
      </c>
      <c r="V530" s="136">
        <f>IF($F530="","",IFERROR(INDEX(사건마스터!$AS$5:$AS$64,MATCH($F530,사건마스터!$A$5:$A$64,0)),""))</f>
        <v/>
      </c>
      <c r="W530" s="136">
        <f>IF($F530="","",IFERROR(INDEX(사건마스터!$AT$5:$AT$64,MATCH($F530,사건마스터!$A$5:$A$64,0)),""))</f>
        <v/>
      </c>
      <c r="X530" s="136">
        <f>IF($F530="","",IFERROR(INDEX(사건마스터!$AU$5:$AU$64,MATCH($F530,사건마스터!$A$5:$A$64,0)),""))</f>
        <v/>
      </c>
      <c r="Y530" s="136">
        <f>IF($F530="","",IFERROR(INDEX(사건마스터!$AV$5:$AV$64,MATCH($F530,사건마스터!$A$5:$A$64,0)),""))</f>
        <v/>
      </c>
      <c r="Z530" s="118">
        <f>IF(COUNTBLANK($J530:$Y530)=16,"",16-COUNTBLANK($J530:$Y530))</f>
        <v/>
      </c>
      <c r="AA530" s="33">
        <f>IF($J530="",MID($AX530,3,255),$J530&amp;$AX530)</f>
        <v/>
      </c>
      <c r="AB530" s="130">
        <f>IF($J530="","",IFERROR(INDEX(코드설정!$D$5:$D$24,MATCH($J530,코드설정!$C$5:$C$24,0)),""))</f>
        <v/>
      </c>
      <c r="AC530" s="36" t="n"/>
      <c r="AD530" s="37" t="n"/>
      <c r="AE530" s="38" t="n"/>
      <c r="AF530" s="118">
        <f>IF(OR($B530="",$C530=""),"",$C530-$B530+1)</f>
        <v/>
      </c>
      <c r="AG530" s="74" t="n"/>
      <c r="AH530" s="36" t="n"/>
      <c r="AJ530">
        <f>IF($K530="","",", "&amp;$K530)</f>
        <v/>
      </c>
      <c r="AK530">
        <f>AJ530&amp;IF($L530="","",", "&amp;$L530)</f>
        <v/>
      </c>
      <c r="AL530">
        <f>AK530&amp;IF($M530="","",", "&amp;$M530)</f>
        <v/>
      </c>
      <c r="AM530">
        <f>AL530&amp;IF($N530="","",", "&amp;$N530)</f>
        <v/>
      </c>
      <c r="AN530">
        <f>AM530&amp;IF($O530="","",", "&amp;$O530)</f>
        <v/>
      </c>
      <c r="AO530">
        <f>AN530&amp;IF($P530="","",", "&amp;$P530)</f>
        <v/>
      </c>
      <c r="AP530">
        <f>AO530&amp;IF($Q530="","",", "&amp;$Q530)</f>
        <v/>
      </c>
      <c r="AQ530">
        <f>AP530&amp;IF($R530="","",", "&amp;$R530)</f>
        <v/>
      </c>
      <c r="AR530">
        <f>AQ530&amp;IF($S530="","",", "&amp;$S530)</f>
        <v/>
      </c>
      <c r="AS530">
        <f>AR530&amp;IF($T530="","",", "&amp;$T530)</f>
        <v/>
      </c>
      <c r="AT530">
        <f>AS530&amp;IF($U530="","",", "&amp;$U530)</f>
        <v/>
      </c>
      <c r="AU530">
        <f>AT530&amp;IF($V530="","",", "&amp;$V530)</f>
        <v/>
      </c>
      <c r="AV530">
        <f>AU530&amp;IF($W530="","",", "&amp;$W530)</f>
        <v/>
      </c>
      <c r="AW530">
        <f>AV530&amp;IF($X530="","",", "&amp;$X530)</f>
        <v/>
      </c>
      <c r="AX530">
        <f>AW530&amp;IF($Y530="","",", "&amp;$Y530)</f>
        <v/>
      </c>
    </row>
    <row r="531">
      <c r="A531" s="118">
        <f>IF($B531="","",COUNT($B$5:$B531))</f>
        <v/>
      </c>
      <c r="B531" s="80" t="n"/>
      <c r="C531" s="80" t="n"/>
      <c r="D531" s="74" t="n"/>
      <c r="E531" s="74" t="n"/>
      <c r="F531" s="74" t="n"/>
      <c r="G531" s="118">
        <f>IF($F531="","",COUNTIF($F$5:$F531,$F531))</f>
        <v/>
      </c>
      <c r="H531" s="33">
        <f>IF($F531="","",IFERROR(INDEX(사건마스터!$B$5:$B$64,MATCH($F531,사건마스터!$A$5:$A$64,0)),""))</f>
        <v/>
      </c>
      <c r="I531" s="130">
        <f>IF($F531="","",IFERROR(INDEX(사건마스터!$C$5:$C$64,MATCH($F531,사건마스터!$A$5:$A$64,0)),""))</f>
        <v/>
      </c>
      <c r="J531" s="136">
        <f>IF($F531="","",IFERROR(INDEX(사건마스터!$H$5:$H$64,MATCH($F531,사건마스터!$A$5:$A$64,0)),""))</f>
        <v/>
      </c>
      <c r="K531" s="136">
        <f>IF($F531="","",IFERROR(INDEX(사건마스터!$AH$5:$AH$64,MATCH($F531,사건마스터!$A$5:$A$64,0)),""))</f>
        <v/>
      </c>
      <c r="L531" s="136">
        <f>IF($F531="","",IFERROR(INDEX(사건마스터!$AI$5:$AI$64,MATCH($F531,사건마스터!$A$5:$A$64,0)),""))</f>
        <v/>
      </c>
      <c r="M531" s="136">
        <f>IF($F531="","",IFERROR(INDEX(사건마스터!$AJ$5:$AJ$64,MATCH($F531,사건마스터!$A$5:$A$64,0)),""))</f>
        <v/>
      </c>
      <c r="N531" s="136">
        <f>IF($F531="","",IFERROR(INDEX(사건마스터!$AK$5:$AK$64,MATCH($F531,사건마스터!$A$5:$A$64,0)),""))</f>
        <v/>
      </c>
      <c r="O531" s="136">
        <f>IF($F531="","",IFERROR(INDEX(사건마스터!$AL$5:$AL$64,MATCH($F531,사건마스터!$A$5:$A$64,0)),""))</f>
        <v/>
      </c>
      <c r="P531" s="136">
        <f>IF($F531="","",IFERROR(INDEX(사건마스터!$AM$5:$AM$64,MATCH($F531,사건마스터!$A$5:$A$64,0)),""))</f>
        <v/>
      </c>
      <c r="Q531" s="136">
        <f>IF($F531="","",IFERROR(INDEX(사건마스터!$AN$5:$AN$64,MATCH($F531,사건마스터!$A$5:$A$64,0)),""))</f>
        <v/>
      </c>
      <c r="R531" s="136">
        <f>IF($F531="","",IFERROR(INDEX(사건마스터!$AO$5:$AO$64,MATCH($F531,사건마스터!$A$5:$A$64,0)),""))</f>
        <v/>
      </c>
      <c r="S531" s="136">
        <f>IF($F531="","",IFERROR(INDEX(사건마스터!$AP$5:$AP$64,MATCH($F531,사건마스터!$A$5:$A$64,0)),""))</f>
        <v/>
      </c>
      <c r="T531" s="136">
        <f>IF($F531="","",IFERROR(INDEX(사건마스터!$AQ$5:$AQ$64,MATCH($F531,사건마스터!$A$5:$A$64,0)),""))</f>
        <v/>
      </c>
      <c r="U531" s="136">
        <f>IF($F531="","",IFERROR(INDEX(사건마스터!$AR$5:$AR$64,MATCH($F531,사건마스터!$A$5:$A$64,0)),""))</f>
        <v/>
      </c>
      <c r="V531" s="136">
        <f>IF($F531="","",IFERROR(INDEX(사건마스터!$AS$5:$AS$64,MATCH($F531,사건마스터!$A$5:$A$64,0)),""))</f>
        <v/>
      </c>
      <c r="W531" s="136">
        <f>IF($F531="","",IFERROR(INDEX(사건마스터!$AT$5:$AT$64,MATCH($F531,사건마스터!$A$5:$A$64,0)),""))</f>
        <v/>
      </c>
      <c r="X531" s="136">
        <f>IF($F531="","",IFERROR(INDEX(사건마스터!$AU$5:$AU$64,MATCH($F531,사건마스터!$A$5:$A$64,0)),""))</f>
        <v/>
      </c>
      <c r="Y531" s="136">
        <f>IF($F531="","",IFERROR(INDEX(사건마스터!$AV$5:$AV$64,MATCH($F531,사건마스터!$A$5:$A$64,0)),""))</f>
        <v/>
      </c>
      <c r="Z531" s="118">
        <f>IF(COUNTBLANK($J531:$Y531)=16,"",16-COUNTBLANK($J531:$Y531))</f>
        <v/>
      </c>
      <c r="AA531" s="33">
        <f>IF($J531="",MID($AX531,3,255),$J531&amp;$AX531)</f>
        <v/>
      </c>
      <c r="AB531" s="130">
        <f>IF($J531="","",IFERROR(INDEX(코드설정!$D$5:$D$24,MATCH($J531,코드설정!$C$5:$C$24,0)),""))</f>
        <v/>
      </c>
      <c r="AC531" s="36" t="n"/>
      <c r="AD531" s="37" t="n"/>
      <c r="AE531" s="38" t="n"/>
      <c r="AF531" s="118">
        <f>IF(OR($B531="",$C531=""),"",$C531-$B531+1)</f>
        <v/>
      </c>
      <c r="AG531" s="74" t="n"/>
      <c r="AH531" s="36" t="n"/>
      <c r="AJ531">
        <f>IF($K531="","",", "&amp;$K531)</f>
        <v/>
      </c>
      <c r="AK531">
        <f>AJ531&amp;IF($L531="","",", "&amp;$L531)</f>
        <v/>
      </c>
      <c r="AL531">
        <f>AK531&amp;IF($M531="","",", "&amp;$M531)</f>
        <v/>
      </c>
      <c r="AM531">
        <f>AL531&amp;IF($N531="","",", "&amp;$N531)</f>
        <v/>
      </c>
      <c r="AN531">
        <f>AM531&amp;IF($O531="","",", "&amp;$O531)</f>
        <v/>
      </c>
      <c r="AO531">
        <f>AN531&amp;IF($P531="","",", "&amp;$P531)</f>
        <v/>
      </c>
      <c r="AP531">
        <f>AO531&amp;IF($Q531="","",", "&amp;$Q531)</f>
        <v/>
      </c>
      <c r="AQ531">
        <f>AP531&amp;IF($R531="","",", "&amp;$R531)</f>
        <v/>
      </c>
      <c r="AR531">
        <f>AQ531&amp;IF($S531="","",", "&amp;$S531)</f>
        <v/>
      </c>
      <c r="AS531">
        <f>AR531&amp;IF($T531="","",", "&amp;$T531)</f>
        <v/>
      </c>
      <c r="AT531">
        <f>AS531&amp;IF($U531="","",", "&amp;$U531)</f>
        <v/>
      </c>
      <c r="AU531">
        <f>AT531&amp;IF($V531="","",", "&amp;$V531)</f>
        <v/>
      </c>
      <c r="AV531">
        <f>AU531&amp;IF($W531="","",", "&amp;$W531)</f>
        <v/>
      </c>
      <c r="AW531">
        <f>AV531&amp;IF($X531="","",", "&amp;$X531)</f>
        <v/>
      </c>
      <c r="AX531">
        <f>AW531&amp;IF($Y531="","",", "&amp;$Y531)</f>
        <v/>
      </c>
    </row>
    <row r="532">
      <c r="A532" s="118">
        <f>IF($B532="","",COUNT($B$5:$B532))</f>
        <v/>
      </c>
      <c r="B532" s="80" t="n"/>
      <c r="C532" s="80" t="n"/>
      <c r="D532" s="74" t="n"/>
      <c r="E532" s="74" t="n"/>
      <c r="F532" s="74" t="n"/>
      <c r="G532" s="118">
        <f>IF($F532="","",COUNTIF($F$5:$F532,$F532))</f>
        <v/>
      </c>
      <c r="H532" s="33">
        <f>IF($F532="","",IFERROR(INDEX(사건마스터!$B$5:$B$64,MATCH($F532,사건마스터!$A$5:$A$64,0)),""))</f>
        <v/>
      </c>
      <c r="I532" s="130">
        <f>IF($F532="","",IFERROR(INDEX(사건마스터!$C$5:$C$64,MATCH($F532,사건마스터!$A$5:$A$64,0)),""))</f>
        <v/>
      </c>
      <c r="J532" s="136">
        <f>IF($F532="","",IFERROR(INDEX(사건마스터!$H$5:$H$64,MATCH($F532,사건마스터!$A$5:$A$64,0)),""))</f>
        <v/>
      </c>
      <c r="K532" s="136">
        <f>IF($F532="","",IFERROR(INDEX(사건마스터!$AH$5:$AH$64,MATCH($F532,사건마스터!$A$5:$A$64,0)),""))</f>
        <v/>
      </c>
      <c r="L532" s="136">
        <f>IF($F532="","",IFERROR(INDEX(사건마스터!$AI$5:$AI$64,MATCH($F532,사건마스터!$A$5:$A$64,0)),""))</f>
        <v/>
      </c>
      <c r="M532" s="136">
        <f>IF($F532="","",IFERROR(INDEX(사건마스터!$AJ$5:$AJ$64,MATCH($F532,사건마스터!$A$5:$A$64,0)),""))</f>
        <v/>
      </c>
      <c r="N532" s="136">
        <f>IF($F532="","",IFERROR(INDEX(사건마스터!$AK$5:$AK$64,MATCH($F532,사건마스터!$A$5:$A$64,0)),""))</f>
        <v/>
      </c>
      <c r="O532" s="136">
        <f>IF($F532="","",IFERROR(INDEX(사건마스터!$AL$5:$AL$64,MATCH($F532,사건마스터!$A$5:$A$64,0)),""))</f>
        <v/>
      </c>
      <c r="P532" s="136">
        <f>IF($F532="","",IFERROR(INDEX(사건마스터!$AM$5:$AM$64,MATCH($F532,사건마스터!$A$5:$A$64,0)),""))</f>
        <v/>
      </c>
      <c r="Q532" s="136">
        <f>IF($F532="","",IFERROR(INDEX(사건마스터!$AN$5:$AN$64,MATCH($F532,사건마스터!$A$5:$A$64,0)),""))</f>
        <v/>
      </c>
      <c r="R532" s="136">
        <f>IF($F532="","",IFERROR(INDEX(사건마스터!$AO$5:$AO$64,MATCH($F532,사건마스터!$A$5:$A$64,0)),""))</f>
        <v/>
      </c>
      <c r="S532" s="136">
        <f>IF($F532="","",IFERROR(INDEX(사건마스터!$AP$5:$AP$64,MATCH($F532,사건마스터!$A$5:$A$64,0)),""))</f>
        <v/>
      </c>
      <c r="T532" s="136">
        <f>IF($F532="","",IFERROR(INDEX(사건마스터!$AQ$5:$AQ$64,MATCH($F532,사건마스터!$A$5:$A$64,0)),""))</f>
        <v/>
      </c>
      <c r="U532" s="136">
        <f>IF($F532="","",IFERROR(INDEX(사건마스터!$AR$5:$AR$64,MATCH($F532,사건마스터!$A$5:$A$64,0)),""))</f>
        <v/>
      </c>
      <c r="V532" s="136">
        <f>IF($F532="","",IFERROR(INDEX(사건마스터!$AS$5:$AS$64,MATCH($F532,사건마스터!$A$5:$A$64,0)),""))</f>
        <v/>
      </c>
      <c r="W532" s="136">
        <f>IF($F532="","",IFERROR(INDEX(사건마스터!$AT$5:$AT$64,MATCH($F532,사건마스터!$A$5:$A$64,0)),""))</f>
        <v/>
      </c>
      <c r="X532" s="136">
        <f>IF($F532="","",IFERROR(INDEX(사건마스터!$AU$5:$AU$64,MATCH($F532,사건마스터!$A$5:$A$64,0)),""))</f>
        <v/>
      </c>
      <c r="Y532" s="136">
        <f>IF($F532="","",IFERROR(INDEX(사건마스터!$AV$5:$AV$64,MATCH($F532,사건마스터!$A$5:$A$64,0)),""))</f>
        <v/>
      </c>
      <c r="Z532" s="118">
        <f>IF(COUNTBLANK($J532:$Y532)=16,"",16-COUNTBLANK($J532:$Y532))</f>
        <v/>
      </c>
      <c r="AA532" s="33">
        <f>IF($J532="",MID($AX532,3,255),$J532&amp;$AX532)</f>
        <v/>
      </c>
      <c r="AB532" s="130">
        <f>IF($J532="","",IFERROR(INDEX(코드설정!$D$5:$D$24,MATCH($J532,코드설정!$C$5:$C$24,0)),""))</f>
        <v/>
      </c>
      <c r="AC532" s="36" t="n"/>
      <c r="AD532" s="37" t="n"/>
      <c r="AE532" s="38" t="n"/>
      <c r="AF532" s="118">
        <f>IF(OR($B532="",$C532=""),"",$C532-$B532+1)</f>
        <v/>
      </c>
      <c r="AG532" s="74" t="n"/>
      <c r="AH532" s="36" t="n"/>
      <c r="AJ532">
        <f>IF($K532="","",", "&amp;$K532)</f>
        <v/>
      </c>
      <c r="AK532">
        <f>AJ532&amp;IF($L532="","",", "&amp;$L532)</f>
        <v/>
      </c>
      <c r="AL532">
        <f>AK532&amp;IF($M532="","",", "&amp;$M532)</f>
        <v/>
      </c>
      <c r="AM532">
        <f>AL532&amp;IF($N532="","",", "&amp;$N532)</f>
        <v/>
      </c>
      <c r="AN532">
        <f>AM532&amp;IF($O532="","",", "&amp;$O532)</f>
        <v/>
      </c>
      <c r="AO532">
        <f>AN532&amp;IF($P532="","",", "&amp;$P532)</f>
        <v/>
      </c>
      <c r="AP532">
        <f>AO532&amp;IF($Q532="","",", "&amp;$Q532)</f>
        <v/>
      </c>
      <c r="AQ532">
        <f>AP532&amp;IF($R532="","",", "&amp;$R532)</f>
        <v/>
      </c>
      <c r="AR532">
        <f>AQ532&amp;IF($S532="","",", "&amp;$S532)</f>
        <v/>
      </c>
      <c r="AS532">
        <f>AR532&amp;IF($T532="","",", "&amp;$T532)</f>
        <v/>
      </c>
      <c r="AT532">
        <f>AS532&amp;IF($U532="","",", "&amp;$U532)</f>
        <v/>
      </c>
      <c r="AU532">
        <f>AT532&amp;IF($V532="","",", "&amp;$V532)</f>
        <v/>
      </c>
      <c r="AV532">
        <f>AU532&amp;IF($W532="","",", "&amp;$W532)</f>
        <v/>
      </c>
      <c r="AW532">
        <f>AV532&amp;IF($X532="","",", "&amp;$X532)</f>
        <v/>
      </c>
      <c r="AX532">
        <f>AW532&amp;IF($Y532="","",", "&amp;$Y532)</f>
        <v/>
      </c>
    </row>
    <row r="533">
      <c r="A533" s="118">
        <f>IF($B533="","",COUNT($B$5:$B533))</f>
        <v/>
      </c>
      <c r="B533" s="80" t="n"/>
      <c r="C533" s="80" t="n"/>
      <c r="D533" s="74" t="n"/>
      <c r="E533" s="74" t="n"/>
      <c r="F533" s="74" t="n"/>
      <c r="G533" s="118">
        <f>IF($F533="","",COUNTIF($F$5:$F533,$F533))</f>
        <v/>
      </c>
      <c r="H533" s="33">
        <f>IF($F533="","",IFERROR(INDEX(사건마스터!$B$5:$B$64,MATCH($F533,사건마스터!$A$5:$A$64,0)),""))</f>
        <v/>
      </c>
      <c r="I533" s="130">
        <f>IF($F533="","",IFERROR(INDEX(사건마스터!$C$5:$C$64,MATCH($F533,사건마스터!$A$5:$A$64,0)),""))</f>
        <v/>
      </c>
      <c r="J533" s="136">
        <f>IF($F533="","",IFERROR(INDEX(사건마스터!$H$5:$H$64,MATCH($F533,사건마스터!$A$5:$A$64,0)),""))</f>
        <v/>
      </c>
      <c r="K533" s="136">
        <f>IF($F533="","",IFERROR(INDEX(사건마스터!$AH$5:$AH$64,MATCH($F533,사건마스터!$A$5:$A$64,0)),""))</f>
        <v/>
      </c>
      <c r="L533" s="136">
        <f>IF($F533="","",IFERROR(INDEX(사건마스터!$AI$5:$AI$64,MATCH($F533,사건마스터!$A$5:$A$64,0)),""))</f>
        <v/>
      </c>
      <c r="M533" s="136">
        <f>IF($F533="","",IFERROR(INDEX(사건마스터!$AJ$5:$AJ$64,MATCH($F533,사건마스터!$A$5:$A$64,0)),""))</f>
        <v/>
      </c>
      <c r="N533" s="136">
        <f>IF($F533="","",IFERROR(INDEX(사건마스터!$AK$5:$AK$64,MATCH($F533,사건마스터!$A$5:$A$64,0)),""))</f>
        <v/>
      </c>
      <c r="O533" s="136">
        <f>IF($F533="","",IFERROR(INDEX(사건마스터!$AL$5:$AL$64,MATCH($F533,사건마스터!$A$5:$A$64,0)),""))</f>
        <v/>
      </c>
      <c r="P533" s="136">
        <f>IF($F533="","",IFERROR(INDEX(사건마스터!$AM$5:$AM$64,MATCH($F533,사건마스터!$A$5:$A$64,0)),""))</f>
        <v/>
      </c>
      <c r="Q533" s="136">
        <f>IF($F533="","",IFERROR(INDEX(사건마스터!$AN$5:$AN$64,MATCH($F533,사건마스터!$A$5:$A$64,0)),""))</f>
        <v/>
      </c>
      <c r="R533" s="136">
        <f>IF($F533="","",IFERROR(INDEX(사건마스터!$AO$5:$AO$64,MATCH($F533,사건마스터!$A$5:$A$64,0)),""))</f>
        <v/>
      </c>
      <c r="S533" s="136">
        <f>IF($F533="","",IFERROR(INDEX(사건마스터!$AP$5:$AP$64,MATCH($F533,사건마스터!$A$5:$A$64,0)),""))</f>
        <v/>
      </c>
      <c r="T533" s="136">
        <f>IF($F533="","",IFERROR(INDEX(사건마스터!$AQ$5:$AQ$64,MATCH($F533,사건마스터!$A$5:$A$64,0)),""))</f>
        <v/>
      </c>
      <c r="U533" s="136">
        <f>IF($F533="","",IFERROR(INDEX(사건마스터!$AR$5:$AR$64,MATCH($F533,사건마스터!$A$5:$A$64,0)),""))</f>
        <v/>
      </c>
      <c r="V533" s="136">
        <f>IF($F533="","",IFERROR(INDEX(사건마스터!$AS$5:$AS$64,MATCH($F533,사건마스터!$A$5:$A$64,0)),""))</f>
        <v/>
      </c>
      <c r="W533" s="136">
        <f>IF($F533="","",IFERROR(INDEX(사건마스터!$AT$5:$AT$64,MATCH($F533,사건마스터!$A$5:$A$64,0)),""))</f>
        <v/>
      </c>
      <c r="X533" s="136">
        <f>IF($F533="","",IFERROR(INDEX(사건마스터!$AU$5:$AU$64,MATCH($F533,사건마스터!$A$5:$A$64,0)),""))</f>
        <v/>
      </c>
      <c r="Y533" s="136">
        <f>IF($F533="","",IFERROR(INDEX(사건마스터!$AV$5:$AV$64,MATCH($F533,사건마스터!$A$5:$A$64,0)),""))</f>
        <v/>
      </c>
      <c r="Z533" s="118">
        <f>IF(COUNTBLANK($J533:$Y533)=16,"",16-COUNTBLANK($J533:$Y533))</f>
        <v/>
      </c>
      <c r="AA533" s="33">
        <f>IF($J533="",MID($AX533,3,255),$J533&amp;$AX533)</f>
        <v/>
      </c>
      <c r="AB533" s="130">
        <f>IF($J533="","",IFERROR(INDEX(코드설정!$D$5:$D$24,MATCH($J533,코드설정!$C$5:$C$24,0)),""))</f>
        <v/>
      </c>
      <c r="AC533" s="36" t="n"/>
      <c r="AD533" s="37" t="n"/>
      <c r="AE533" s="38" t="n"/>
      <c r="AF533" s="118">
        <f>IF(OR($B533="",$C533=""),"",$C533-$B533+1)</f>
        <v/>
      </c>
      <c r="AG533" s="74" t="n"/>
      <c r="AH533" s="36" t="n"/>
      <c r="AJ533">
        <f>IF($K533="","",", "&amp;$K533)</f>
        <v/>
      </c>
      <c r="AK533">
        <f>AJ533&amp;IF($L533="","",", "&amp;$L533)</f>
        <v/>
      </c>
      <c r="AL533">
        <f>AK533&amp;IF($M533="","",", "&amp;$M533)</f>
        <v/>
      </c>
      <c r="AM533">
        <f>AL533&amp;IF($N533="","",", "&amp;$N533)</f>
        <v/>
      </c>
      <c r="AN533">
        <f>AM533&amp;IF($O533="","",", "&amp;$O533)</f>
        <v/>
      </c>
      <c r="AO533">
        <f>AN533&amp;IF($P533="","",", "&amp;$P533)</f>
        <v/>
      </c>
      <c r="AP533">
        <f>AO533&amp;IF($Q533="","",", "&amp;$Q533)</f>
        <v/>
      </c>
      <c r="AQ533">
        <f>AP533&amp;IF($R533="","",", "&amp;$R533)</f>
        <v/>
      </c>
      <c r="AR533">
        <f>AQ533&amp;IF($S533="","",", "&amp;$S533)</f>
        <v/>
      </c>
      <c r="AS533">
        <f>AR533&amp;IF($T533="","",", "&amp;$T533)</f>
        <v/>
      </c>
      <c r="AT533">
        <f>AS533&amp;IF($U533="","",", "&amp;$U533)</f>
        <v/>
      </c>
      <c r="AU533">
        <f>AT533&amp;IF($V533="","",", "&amp;$V533)</f>
        <v/>
      </c>
      <c r="AV533">
        <f>AU533&amp;IF($W533="","",", "&amp;$W533)</f>
        <v/>
      </c>
      <c r="AW533">
        <f>AV533&amp;IF($X533="","",", "&amp;$X533)</f>
        <v/>
      </c>
      <c r="AX533">
        <f>AW533&amp;IF($Y533="","",", "&amp;$Y533)</f>
        <v/>
      </c>
    </row>
    <row r="534">
      <c r="A534" s="118">
        <f>IF($B534="","",COUNT($B$5:$B534))</f>
        <v/>
      </c>
      <c r="B534" s="80" t="n"/>
      <c r="C534" s="80" t="n"/>
      <c r="D534" s="74" t="n"/>
      <c r="E534" s="74" t="n"/>
      <c r="F534" s="74" t="n"/>
      <c r="G534" s="118">
        <f>IF($F534="","",COUNTIF($F$5:$F534,$F534))</f>
        <v/>
      </c>
      <c r="H534" s="33">
        <f>IF($F534="","",IFERROR(INDEX(사건마스터!$B$5:$B$64,MATCH($F534,사건마스터!$A$5:$A$64,0)),""))</f>
        <v/>
      </c>
      <c r="I534" s="130">
        <f>IF($F534="","",IFERROR(INDEX(사건마스터!$C$5:$C$64,MATCH($F534,사건마스터!$A$5:$A$64,0)),""))</f>
        <v/>
      </c>
      <c r="J534" s="136">
        <f>IF($F534="","",IFERROR(INDEX(사건마스터!$H$5:$H$64,MATCH($F534,사건마스터!$A$5:$A$64,0)),""))</f>
        <v/>
      </c>
      <c r="K534" s="136">
        <f>IF($F534="","",IFERROR(INDEX(사건마스터!$AH$5:$AH$64,MATCH($F534,사건마스터!$A$5:$A$64,0)),""))</f>
        <v/>
      </c>
      <c r="L534" s="136">
        <f>IF($F534="","",IFERROR(INDEX(사건마스터!$AI$5:$AI$64,MATCH($F534,사건마스터!$A$5:$A$64,0)),""))</f>
        <v/>
      </c>
      <c r="M534" s="136">
        <f>IF($F534="","",IFERROR(INDEX(사건마스터!$AJ$5:$AJ$64,MATCH($F534,사건마스터!$A$5:$A$64,0)),""))</f>
        <v/>
      </c>
      <c r="N534" s="136">
        <f>IF($F534="","",IFERROR(INDEX(사건마스터!$AK$5:$AK$64,MATCH($F534,사건마스터!$A$5:$A$64,0)),""))</f>
        <v/>
      </c>
      <c r="O534" s="136">
        <f>IF($F534="","",IFERROR(INDEX(사건마스터!$AL$5:$AL$64,MATCH($F534,사건마스터!$A$5:$A$64,0)),""))</f>
        <v/>
      </c>
      <c r="P534" s="136">
        <f>IF($F534="","",IFERROR(INDEX(사건마스터!$AM$5:$AM$64,MATCH($F534,사건마스터!$A$5:$A$64,0)),""))</f>
        <v/>
      </c>
      <c r="Q534" s="136">
        <f>IF($F534="","",IFERROR(INDEX(사건마스터!$AN$5:$AN$64,MATCH($F534,사건마스터!$A$5:$A$64,0)),""))</f>
        <v/>
      </c>
      <c r="R534" s="136">
        <f>IF($F534="","",IFERROR(INDEX(사건마스터!$AO$5:$AO$64,MATCH($F534,사건마스터!$A$5:$A$64,0)),""))</f>
        <v/>
      </c>
      <c r="S534" s="136">
        <f>IF($F534="","",IFERROR(INDEX(사건마스터!$AP$5:$AP$64,MATCH($F534,사건마스터!$A$5:$A$64,0)),""))</f>
        <v/>
      </c>
      <c r="T534" s="136">
        <f>IF($F534="","",IFERROR(INDEX(사건마스터!$AQ$5:$AQ$64,MATCH($F534,사건마스터!$A$5:$A$64,0)),""))</f>
        <v/>
      </c>
      <c r="U534" s="136">
        <f>IF($F534="","",IFERROR(INDEX(사건마스터!$AR$5:$AR$64,MATCH($F534,사건마스터!$A$5:$A$64,0)),""))</f>
        <v/>
      </c>
      <c r="V534" s="136">
        <f>IF($F534="","",IFERROR(INDEX(사건마스터!$AS$5:$AS$64,MATCH($F534,사건마스터!$A$5:$A$64,0)),""))</f>
        <v/>
      </c>
      <c r="W534" s="136">
        <f>IF($F534="","",IFERROR(INDEX(사건마스터!$AT$5:$AT$64,MATCH($F534,사건마스터!$A$5:$A$64,0)),""))</f>
        <v/>
      </c>
      <c r="X534" s="136">
        <f>IF($F534="","",IFERROR(INDEX(사건마스터!$AU$5:$AU$64,MATCH($F534,사건마스터!$A$5:$A$64,0)),""))</f>
        <v/>
      </c>
      <c r="Y534" s="136">
        <f>IF($F534="","",IFERROR(INDEX(사건마스터!$AV$5:$AV$64,MATCH($F534,사건마스터!$A$5:$A$64,0)),""))</f>
        <v/>
      </c>
      <c r="Z534" s="118">
        <f>IF(COUNTBLANK($J534:$Y534)=16,"",16-COUNTBLANK($J534:$Y534))</f>
        <v/>
      </c>
      <c r="AA534" s="33">
        <f>IF($J534="",MID($AX534,3,255),$J534&amp;$AX534)</f>
        <v/>
      </c>
      <c r="AB534" s="130">
        <f>IF($J534="","",IFERROR(INDEX(코드설정!$D$5:$D$24,MATCH($J534,코드설정!$C$5:$C$24,0)),""))</f>
        <v/>
      </c>
      <c r="AC534" s="36" t="n"/>
      <c r="AD534" s="37" t="n"/>
      <c r="AE534" s="38" t="n"/>
      <c r="AF534" s="118">
        <f>IF(OR($B534="",$C534=""),"",$C534-$B534+1)</f>
        <v/>
      </c>
      <c r="AG534" s="74" t="n"/>
      <c r="AH534" s="36" t="n"/>
      <c r="AJ534">
        <f>IF($K534="","",", "&amp;$K534)</f>
        <v/>
      </c>
      <c r="AK534">
        <f>AJ534&amp;IF($L534="","",", "&amp;$L534)</f>
        <v/>
      </c>
      <c r="AL534">
        <f>AK534&amp;IF($M534="","",", "&amp;$M534)</f>
        <v/>
      </c>
      <c r="AM534">
        <f>AL534&amp;IF($N534="","",", "&amp;$N534)</f>
        <v/>
      </c>
      <c r="AN534">
        <f>AM534&amp;IF($O534="","",", "&amp;$O534)</f>
        <v/>
      </c>
      <c r="AO534">
        <f>AN534&amp;IF($P534="","",", "&amp;$P534)</f>
        <v/>
      </c>
      <c r="AP534">
        <f>AO534&amp;IF($Q534="","",", "&amp;$Q534)</f>
        <v/>
      </c>
      <c r="AQ534">
        <f>AP534&amp;IF($R534="","",", "&amp;$R534)</f>
        <v/>
      </c>
      <c r="AR534">
        <f>AQ534&amp;IF($S534="","",", "&amp;$S534)</f>
        <v/>
      </c>
      <c r="AS534">
        <f>AR534&amp;IF($T534="","",", "&amp;$T534)</f>
        <v/>
      </c>
      <c r="AT534">
        <f>AS534&amp;IF($U534="","",", "&amp;$U534)</f>
        <v/>
      </c>
      <c r="AU534">
        <f>AT534&amp;IF($V534="","",", "&amp;$V534)</f>
        <v/>
      </c>
      <c r="AV534">
        <f>AU534&amp;IF($W534="","",", "&amp;$W534)</f>
        <v/>
      </c>
      <c r="AW534">
        <f>AV534&amp;IF($X534="","",", "&amp;$X534)</f>
        <v/>
      </c>
      <c r="AX534">
        <f>AW534&amp;IF($Y534="","",", "&amp;$Y534)</f>
        <v/>
      </c>
    </row>
    <row r="535">
      <c r="A535" s="118">
        <f>IF($B535="","",COUNT($B$5:$B535))</f>
        <v/>
      </c>
      <c r="B535" s="80" t="n"/>
      <c r="C535" s="80" t="n"/>
      <c r="D535" s="74" t="n"/>
      <c r="E535" s="74" t="n"/>
      <c r="F535" s="74" t="n"/>
      <c r="G535" s="118">
        <f>IF($F535="","",COUNTIF($F$5:$F535,$F535))</f>
        <v/>
      </c>
      <c r="H535" s="33">
        <f>IF($F535="","",IFERROR(INDEX(사건마스터!$B$5:$B$64,MATCH($F535,사건마스터!$A$5:$A$64,0)),""))</f>
        <v/>
      </c>
      <c r="I535" s="130">
        <f>IF($F535="","",IFERROR(INDEX(사건마스터!$C$5:$C$64,MATCH($F535,사건마스터!$A$5:$A$64,0)),""))</f>
        <v/>
      </c>
      <c r="J535" s="136">
        <f>IF($F535="","",IFERROR(INDEX(사건마스터!$H$5:$H$64,MATCH($F535,사건마스터!$A$5:$A$64,0)),""))</f>
        <v/>
      </c>
      <c r="K535" s="136">
        <f>IF($F535="","",IFERROR(INDEX(사건마스터!$AH$5:$AH$64,MATCH($F535,사건마스터!$A$5:$A$64,0)),""))</f>
        <v/>
      </c>
      <c r="L535" s="136">
        <f>IF($F535="","",IFERROR(INDEX(사건마스터!$AI$5:$AI$64,MATCH($F535,사건마스터!$A$5:$A$64,0)),""))</f>
        <v/>
      </c>
      <c r="M535" s="136">
        <f>IF($F535="","",IFERROR(INDEX(사건마스터!$AJ$5:$AJ$64,MATCH($F535,사건마스터!$A$5:$A$64,0)),""))</f>
        <v/>
      </c>
      <c r="N535" s="136">
        <f>IF($F535="","",IFERROR(INDEX(사건마스터!$AK$5:$AK$64,MATCH($F535,사건마스터!$A$5:$A$64,0)),""))</f>
        <v/>
      </c>
      <c r="O535" s="136">
        <f>IF($F535="","",IFERROR(INDEX(사건마스터!$AL$5:$AL$64,MATCH($F535,사건마스터!$A$5:$A$64,0)),""))</f>
        <v/>
      </c>
      <c r="P535" s="136">
        <f>IF($F535="","",IFERROR(INDEX(사건마스터!$AM$5:$AM$64,MATCH($F535,사건마스터!$A$5:$A$64,0)),""))</f>
        <v/>
      </c>
      <c r="Q535" s="136">
        <f>IF($F535="","",IFERROR(INDEX(사건마스터!$AN$5:$AN$64,MATCH($F535,사건마스터!$A$5:$A$64,0)),""))</f>
        <v/>
      </c>
      <c r="R535" s="136">
        <f>IF($F535="","",IFERROR(INDEX(사건마스터!$AO$5:$AO$64,MATCH($F535,사건마스터!$A$5:$A$64,0)),""))</f>
        <v/>
      </c>
      <c r="S535" s="136">
        <f>IF($F535="","",IFERROR(INDEX(사건마스터!$AP$5:$AP$64,MATCH($F535,사건마스터!$A$5:$A$64,0)),""))</f>
        <v/>
      </c>
      <c r="T535" s="136">
        <f>IF($F535="","",IFERROR(INDEX(사건마스터!$AQ$5:$AQ$64,MATCH($F535,사건마스터!$A$5:$A$64,0)),""))</f>
        <v/>
      </c>
      <c r="U535" s="136">
        <f>IF($F535="","",IFERROR(INDEX(사건마스터!$AR$5:$AR$64,MATCH($F535,사건마스터!$A$5:$A$64,0)),""))</f>
        <v/>
      </c>
      <c r="V535" s="136">
        <f>IF($F535="","",IFERROR(INDEX(사건마스터!$AS$5:$AS$64,MATCH($F535,사건마스터!$A$5:$A$64,0)),""))</f>
        <v/>
      </c>
      <c r="W535" s="136">
        <f>IF($F535="","",IFERROR(INDEX(사건마스터!$AT$5:$AT$64,MATCH($F535,사건마스터!$A$5:$A$64,0)),""))</f>
        <v/>
      </c>
      <c r="X535" s="136">
        <f>IF($F535="","",IFERROR(INDEX(사건마스터!$AU$5:$AU$64,MATCH($F535,사건마스터!$A$5:$A$64,0)),""))</f>
        <v/>
      </c>
      <c r="Y535" s="136">
        <f>IF($F535="","",IFERROR(INDEX(사건마스터!$AV$5:$AV$64,MATCH($F535,사건마스터!$A$5:$A$64,0)),""))</f>
        <v/>
      </c>
      <c r="Z535" s="118">
        <f>IF(COUNTBLANK($J535:$Y535)=16,"",16-COUNTBLANK($J535:$Y535))</f>
        <v/>
      </c>
      <c r="AA535" s="33">
        <f>IF($J535="",MID($AX535,3,255),$J535&amp;$AX535)</f>
        <v/>
      </c>
      <c r="AB535" s="130">
        <f>IF($J535="","",IFERROR(INDEX(코드설정!$D$5:$D$24,MATCH($J535,코드설정!$C$5:$C$24,0)),""))</f>
        <v/>
      </c>
      <c r="AC535" s="36" t="n"/>
      <c r="AD535" s="37" t="n"/>
      <c r="AE535" s="38" t="n"/>
      <c r="AF535" s="118">
        <f>IF(OR($B535="",$C535=""),"",$C535-$B535+1)</f>
        <v/>
      </c>
      <c r="AG535" s="74" t="n"/>
      <c r="AH535" s="36" t="n"/>
      <c r="AJ535">
        <f>IF($K535="","",", "&amp;$K535)</f>
        <v/>
      </c>
      <c r="AK535">
        <f>AJ535&amp;IF($L535="","",", "&amp;$L535)</f>
        <v/>
      </c>
      <c r="AL535">
        <f>AK535&amp;IF($M535="","",", "&amp;$M535)</f>
        <v/>
      </c>
      <c r="AM535">
        <f>AL535&amp;IF($N535="","",", "&amp;$N535)</f>
        <v/>
      </c>
      <c r="AN535">
        <f>AM535&amp;IF($O535="","",", "&amp;$O535)</f>
        <v/>
      </c>
      <c r="AO535">
        <f>AN535&amp;IF($P535="","",", "&amp;$P535)</f>
        <v/>
      </c>
      <c r="AP535">
        <f>AO535&amp;IF($Q535="","",", "&amp;$Q535)</f>
        <v/>
      </c>
      <c r="AQ535">
        <f>AP535&amp;IF($R535="","",", "&amp;$R535)</f>
        <v/>
      </c>
      <c r="AR535">
        <f>AQ535&amp;IF($S535="","",", "&amp;$S535)</f>
        <v/>
      </c>
      <c r="AS535">
        <f>AR535&amp;IF($T535="","",", "&amp;$T535)</f>
        <v/>
      </c>
      <c r="AT535">
        <f>AS535&amp;IF($U535="","",", "&amp;$U535)</f>
        <v/>
      </c>
      <c r="AU535">
        <f>AT535&amp;IF($V535="","",", "&amp;$V535)</f>
        <v/>
      </c>
      <c r="AV535">
        <f>AU535&amp;IF($W535="","",", "&amp;$W535)</f>
        <v/>
      </c>
      <c r="AW535">
        <f>AV535&amp;IF($X535="","",", "&amp;$X535)</f>
        <v/>
      </c>
      <c r="AX535">
        <f>AW535&amp;IF($Y535="","",", "&amp;$Y535)</f>
        <v/>
      </c>
    </row>
    <row r="536">
      <c r="A536" s="118">
        <f>IF($B536="","",COUNT($B$5:$B536))</f>
        <v/>
      </c>
      <c r="B536" s="80" t="n"/>
      <c r="C536" s="80" t="n"/>
      <c r="D536" s="74" t="n"/>
      <c r="E536" s="74" t="n"/>
      <c r="F536" s="74" t="n"/>
      <c r="G536" s="118">
        <f>IF($F536="","",COUNTIF($F$5:$F536,$F536))</f>
        <v/>
      </c>
      <c r="H536" s="33">
        <f>IF($F536="","",IFERROR(INDEX(사건마스터!$B$5:$B$64,MATCH($F536,사건마스터!$A$5:$A$64,0)),""))</f>
        <v/>
      </c>
      <c r="I536" s="130">
        <f>IF($F536="","",IFERROR(INDEX(사건마스터!$C$5:$C$64,MATCH($F536,사건마스터!$A$5:$A$64,0)),""))</f>
        <v/>
      </c>
      <c r="J536" s="136">
        <f>IF($F536="","",IFERROR(INDEX(사건마스터!$H$5:$H$64,MATCH($F536,사건마스터!$A$5:$A$64,0)),""))</f>
        <v/>
      </c>
      <c r="K536" s="136">
        <f>IF($F536="","",IFERROR(INDEX(사건마스터!$AH$5:$AH$64,MATCH($F536,사건마스터!$A$5:$A$64,0)),""))</f>
        <v/>
      </c>
      <c r="L536" s="136">
        <f>IF($F536="","",IFERROR(INDEX(사건마스터!$AI$5:$AI$64,MATCH($F536,사건마스터!$A$5:$A$64,0)),""))</f>
        <v/>
      </c>
      <c r="M536" s="136">
        <f>IF($F536="","",IFERROR(INDEX(사건마스터!$AJ$5:$AJ$64,MATCH($F536,사건마스터!$A$5:$A$64,0)),""))</f>
        <v/>
      </c>
      <c r="N536" s="136">
        <f>IF($F536="","",IFERROR(INDEX(사건마스터!$AK$5:$AK$64,MATCH($F536,사건마스터!$A$5:$A$64,0)),""))</f>
        <v/>
      </c>
      <c r="O536" s="136">
        <f>IF($F536="","",IFERROR(INDEX(사건마스터!$AL$5:$AL$64,MATCH($F536,사건마스터!$A$5:$A$64,0)),""))</f>
        <v/>
      </c>
      <c r="P536" s="136">
        <f>IF($F536="","",IFERROR(INDEX(사건마스터!$AM$5:$AM$64,MATCH($F536,사건마스터!$A$5:$A$64,0)),""))</f>
        <v/>
      </c>
      <c r="Q536" s="136">
        <f>IF($F536="","",IFERROR(INDEX(사건마스터!$AN$5:$AN$64,MATCH($F536,사건마스터!$A$5:$A$64,0)),""))</f>
        <v/>
      </c>
      <c r="R536" s="136">
        <f>IF($F536="","",IFERROR(INDEX(사건마스터!$AO$5:$AO$64,MATCH($F536,사건마스터!$A$5:$A$64,0)),""))</f>
        <v/>
      </c>
      <c r="S536" s="136">
        <f>IF($F536="","",IFERROR(INDEX(사건마스터!$AP$5:$AP$64,MATCH($F536,사건마스터!$A$5:$A$64,0)),""))</f>
        <v/>
      </c>
      <c r="T536" s="136">
        <f>IF($F536="","",IFERROR(INDEX(사건마스터!$AQ$5:$AQ$64,MATCH($F536,사건마스터!$A$5:$A$64,0)),""))</f>
        <v/>
      </c>
      <c r="U536" s="136">
        <f>IF($F536="","",IFERROR(INDEX(사건마스터!$AR$5:$AR$64,MATCH($F536,사건마스터!$A$5:$A$64,0)),""))</f>
        <v/>
      </c>
      <c r="V536" s="136">
        <f>IF($F536="","",IFERROR(INDEX(사건마스터!$AS$5:$AS$64,MATCH($F536,사건마스터!$A$5:$A$64,0)),""))</f>
        <v/>
      </c>
      <c r="W536" s="136">
        <f>IF($F536="","",IFERROR(INDEX(사건마스터!$AT$5:$AT$64,MATCH($F536,사건마스터!$A$5:$A$64,0)),""))</f>
        <v/>
      </c>
      <c r="X536" s="136">
        <f>IF($F536="","",IFERROR(INDEX(사건마스터!$AU$5:$AU$64,MATCH($F536,사건마스터!$A$5:$A$64,0)),""))</f>
        <v/>
      </c>
      <c r="Y536" s="136">
        <f>IF($F536="","",IFERROR(INDEX(사건마스터!$AV$5:$AV$64,MATCH($F536,사건마스터!$A$5:$A$64,0)),""))</f>
        <v/>
      </c>
      <c r="Z536" s="118">
        <f>IF(COUNTBLANK($J536:$Y536)=16,"",16-COUNTBLANK($J536:$Y536))</f>
        <v/>
      </c>
      <c r="AA536" s="33">
        <f>IF($J536="",MID($AX536,3,255),$J536&amp;$AX536)</f>
        <v/>
      </c>
      <c r="AB536" s="130">
        <f>IF($J536="","",IFERROR(INDEX(코드설정!$D$5:$D$24,MATCH($J536,코드설정!$C$5:$C$24,0)),""))</f>
        <v/>
      </c>
      <c r="AC536" s="36" t="n"/>
      <c r="AD536" s="37" t="n"/>
      <c r="AE536" s="38" t="n"/>
      <c r="AF536" s="118">
        <f>IF(OR($B536="",$C536=""),"",$C536-$B536+1)</f>
        <v/>
      </c>
      <c r="AG536" s="74" t="n"/>
      <c r="AH536" s="36" t="n"/>
      <c r="AJ536">
        <f>IF($K536="","",", "&amp;$K536)</f>
        <v/>
      </c>
      <c r="AK536">
        <f>AJ536&amp;IF($L536="","",", "&amp;$L536)</f>
        <v/>
      </c>
      <c r="AL536">
        <f>AK536&amp;IF($M536="","",", "&amp;$M536)</f>
        <v/>
      </c>
      <c r="AM536">
        <f>AL536&amp;IF($N536="","",", "&amp;$N536)</f>
        <v/>
      </c>
      <c r="AN536">
        <f>AM536&amp;IF($O536="","",", "&amp;$O536)</f>
        <v/>
      </c>
      <c r="AO536">
        <f>AN536&amp;IF($P536="","",", "&amp;$P536)</f>
        <v/>
      </c>
      <c r="AP536">
        <f>AO536&amp;IF($Q536="","",", "&amp;$Q536)</f>
        <v/>
      </c>
      <c r="AQ536">
        <f>AP536&amp;IF($R536="","",", "&amp;$R536)</f>
        <v/>
      </c>
      <c r="AR536">
        <f>AQ536&amp;IF($S536="","",", "&amp;$S536)</f>
        <v/>
      </c>
      <c r="AS536">
        <f>AR536&amp;IF($T536="","",", "&amp;$T536)</f>
        <v/>
      </c>
      <c r="AT536">
        <f>AS536&amp;IF($U536="","",", "&amp;$U536)</f>
        <v/>
      </c>
      <c r="AU536">
        <f>AT536&amp;IF($V536="","",", "&amp;$V536)</f>
        <v/>
      </c>
      <c r="AV536">
        <f>AU536&amp;IF($W536="","",", "&amp;$W536)</f>
        <v/>
      </c>
      <c r="AW536">
        <f>AV536&amp;IF($X536="","",", "&amp;$X536)</f>
        <v/>
      </c>
      <c r="AX536">
        <f>AW536&amp;IF($Y536="","",", "&amp;$Y536)</f>
        <v/>
      </c>
    </row>
    <row r="537">
      <c r="A537" s="118">
        <f>IF($B537="","",COUNT($B$5:$B537))</f>
        <v/>
      </c>
      <c r="B537" s="80" t="n"/>
      <c r="C537" s="80" t="n"/>
      <c r="D537" s="74" t="n"/>
      <c r="E537" s="74" t="n"/>
      <c r="F537" s="74" t="n"/>
      <c r="G537" s="118">
        <f>IF($F537="","",COUNTIF($F$5:$F537,$F537))</f>
        <v/>
      </c>
      <c r="H537" s="33">
        <f>IF($F537="","",IFERROR(INDEX(사건마스터!$B$5:$B$64,MATCH($F537,사건마스터!$A$5:$A$64,0)),""))</f>
        <v/>
      </c>
      <c r="I537" s="130">
        <f>IF($F537="","",IFERROR(INDEX(사건마스터!$C$5:$C$64,MATCH($F537,사건마스터!$A$5:$A$64,0)),""))</f>
        <v/>
      </c>
      <c r="J537" s="136">
        <f>IF($F537="","",IFERROR(INDEX(사건마스터!$H$5:$H$64,MATCH($F537,사건마스터!$A$5:$A$64,0)),""))</f>
        <v/>
      </c>
      <c r="K537" s="136">
        <f>IF($F537="","",IFERROR(INDEX(사건마스터!$AH$5:$AH$64,MATCH($F537,사건마스터!$A$5:$A$64,0)),""))</f>
        <v/>
      </c>
      <c r="L537" s="136">
        <f>IF($F537="","",IFERROR(INDEX(사건마스터!$AI$5:$AI$64,MATCH($F537,사건마스터!$A$5:$A$64,0)),""))</f>
        <v/>
      </c>
      <c r="M537" s="136">
        <f>IF($F537="","",IFERROR(INDEX(사건마스터!$AJ$5:$AJ$64,MATCH($F537,사건마스터!$A$5:$A$64,0)),""))</f>
        <v/>
      </c>
      <c r="N537" s="136">
        <f>IF($F537="","",IFERROR(INDEX(사건마스터!$AK$5:$AK$64,MATCH($F537,사건마스터!$A$5:$A$64,0)),""))</f>
        <v/>
      </c>
      <c r="O537" s="136">
        <f>IF($F537="","",IFERROR(INDEX(사건마스터!$AL$5:$AL$64,MATCH($F537,사건마스터!$A$5:$A$64,0)),""))</f>
        <v/>
      </c>
      <c r="P537" s="136">
        <f>IF($F537="","",IFERROR(INDEX(사건마스터!$AM$5:$AM$64,MATCH($F537,사건마스터!$A$5:$A$64,0)),""))</f>
        <v/>
      </c>
      <c r="Q537" s="136">
        <f>IF($F537="","",IFERROR(INDEX(사건마스터!$AN$5:$AN$64,MATCH($F537,사건마스터!$A$5:$A$64,0)),""))</f>
        <v/>
      </c>
      <c r="R537" s="136">
        <f>IF($F537="","",IFERROR(INDEX(사건마스터!$AO$5:$AO$64,MATCH($F537,사건마스터!$A$5:$A$64,0)),""))</f>
        <v/>
      </c>
      <c r="S537" s="136">
        <f>IF($F537="","",IFERROR(INDEX(사건마스터!$AP$5:$AP$64,MATCH($F537,사건마스터!$A$5:$A$64,0)),""))</f>
        <v/>
      </c>
      <c r="T537" s="136">
        <f>IF($F537="","",IFERROR(INDEX(사건마스터!$AQ$5:$AQ$64,MATCH($F537,사건마스터!$A$5:$A$64,0)),""))</f>
        <v/>
      </c>
      <c r="U537" s="136">
        <f>IF($F537="","",IFERROR(INDEX(사건마스터!$AR$5:$AR$64,MATCH($F537,사건마스터!$A$5:$A$64,0)),""))</f>
        <v/>
      </c>
      <c r="V537" s="136">
        <f>IF($F537="","",IFERROR(INDEX(사건마스터!$AS$5:$AS$64,MATCH($F537,사건마스터!$A$5:$A$64,0)),""))</f>
        <v/>
      </c>
      <c r="W537" s="136">
        <f>IF($F537="","",IFERROR(INDEX(사건마스터!$AT$5:$AT$64,MATCH($F537,사건마스터!$A$5:$A$64,0)),""))</f>
        <v/>
      </c>
      <c r="X537" s="136">
        <f>IF($F537="","",IFERROR(INDEX(사건마스터!$AU$5:$AU$64,MATCH($F537,사건마스터!$A$5:$A$64,0)),""))</f>
        <v/>
      </c>
      <c r="Y537" s="136">
        <f>IF($F537="","",IFERROR(INDEX(사건마스터!$AV$5:$AV$64,MATCH($F537,사건마스터!$A$5:$A$64,0)),""))</f>
        <v/>
      </c>
      <c r="Z537" s="118">
        <f>IF(COUNTBLANK($J537:$Y537)=16,"",16-COUNTBLANK($J537:$Y537))</f>
        <v/>
      </c>
      <c r="AA537" s="33">
        <f>IF($J537="",MID($AX537,3,255),$J537&amp;$AX537)</f>
        <v/>
      </c>
      <c r="AB537" s="130">
        <f>IF($J537="","",IFERROR(INDEX(코드설정!$D$5:$D$24,MATCH($J537,코드설정!$C$5:$C$24,0)),""))</f>
        <v/>
      </c>
      <c r="AC537" s="36" t="n"/>
      <c r="AD537" s="37" t="n"/>
      <c r="AE537" s="38" t="n"/>
      <c r="AF537" s="118">
        <f>IF(OR($B537="",$C537=""),"",$C537-$B537+1)</f>
        <v/>
      </c>
      <c r="AG537" s="74" t="n"/>
      <c r="AH537" s="36" t="n"/>
      <c r="AJ537">
        <f>IF($K537="","",", "&amp;$K537)</f>
        <v/>
      </c>
      <c r="AK537">
        <f>AJ537&amp;IF($L537="","",", "&amp;$L537)</f>
        <v/>
      </c>
      <c r="AL537">
        <f>AK537&amp;IF($M537="","",", "&amp;$M537)</f>
        <v/>
      </c>
      <c r="AM537">
        <f>AL537&amp;IF($N537="","",", "&amp;$N537)</f>
        <v/>
      </c>
      <c r="AN537">
        <f>AM537&amp;IF($O537="","",", "&amp;$O537)</f>
        <v/>
      </c>
      <c r="AO537">
        <f>AN537&amp;IF($P537="","",", "&amp;$P537)</f>
        <v/>
      </c>
      <c r="AP537">
        <f>AO537&amp;IF($Q537="","",", "&amp;$Q537)</f>
        <v/>
      </c>
      <c r="AQ537">
        <f>AP537&amp;IF($R537="","",", "&amp;$R537)</f>
        <v/>
      </c>
      <c r="AR537">
        <f>AQ537&amp;IF($S537="","",", "&amp;$S537)</f>
        <v/>
      </c>
      <c r="AS537">
        <f>AR537&amp;IF($T537="","",", "&amp;$T537)</f>
        <v/>
      </c>
      <c r="AT537">
        <f>AS537&amp;IF($U537="","",", "&amp;$U537)</f>
        <v/>
      </c>
      <c r="AU537">
        <f>AT537&amp;IF($V537="","",", "&amp;$V537)</f>
        <v/>
      </c>
      <c r="AV537">
        <f>AU537&amp;IF($W537="","",", "&amp;$W537)</f>
        <v/>
      </c>
      <c r="AW537">
        <f>AV537&amp;IF($X537="","",", "&amp;$X537)</f>
        <v/>
      </c>
      <c r="AX537">
        <f>AW537&amp;IF($Y537="","",", "&amp;$Y537)</f>
        <v/>
      </c>
    </row>
    <row r="538">
      <c r="A538" s="118">
        <f>IF($B538="","",COUNT($B$5:$B538))</f>
        <v/>
      </c>
      <c r="B538" s="80" t="n"/>
      <c r="C538" s="80" t="n"/>
      <c r="D538" s="74" t="n"/>
      <c r="E538" s="74" t="n"/>
      <c r="F538" s="74" t="n"/>
      <c r="G538" s="118">
        <f>IF($F538="","",COUNTIF($F$5:$F538,$F538))</f>
        <v/>
      </c>
      <c r="H538" s="33">
        <f>IF($F538="","",IFERROR(INDEX(사건마스터!$B$5:$B$64,MATCH($F538,사건마스터!$A$5:$A$64,0)),""))</f>
        <v/>
      </c>
      <c r="I538" s="130">
        <f>IF($F538="","",IFERROR(INDEX(사건마스터!$C$5:$C$64,MATCH($F538,사건마스터!$A$5:$A$64,0)),""))</f>
        <v/>
      </c>
      <c r="J538" s="136">
        <f>IF($F538="","",IFERROR(INDEX(사건마스터!$H$5:$H$64,MATCH($F538,사건마스터!$A$5:$A$64,0)),""))</f>
        <v/>
      </c>
      <c r="K538" s="136">
        <f>IF($F538="","",IFERROR(INDEX(사건마스터!$AH$5:$AH$64,MATCH($F538,사건마스터!$A$5:$A$64,0)),""))</f>
        <v/>
      </c>
      <c r="L538" s="136">
        <f>IF($F538="","",IFERROR(INDEX(사건마스터!$AI$5:$AI$64,MATCH($F538,사건마스터!$A$5:$A$64,0)),""))</f>
        <v/>
      </c>
      <c r="M538" s="136">
        <f>IF($F538="","",IFERROR(INDEX(사건마스터!$AJ$5:$AJ$64,MATCH($F538,사건마스터!$A$5:$A$64,0)),""))</f>
        <v/>
      </c>
      <c r="N538" s="136">
        <f>IF($F538="","",IFERROR(INDEX(사건마스터!$AK$5:$AK$64,MATCH($F538,사건마스터!$A$5:$A$64,0)),""))</f>
        <v/>
      </c>
      <c r="O538" s="136">
        <f>IF($F538="","",IFERROR(INDEX(사건마스터!$AL$5:$AL$64,MATCH($F538,사건마스터!$A$5:$A$64,0)),""))</f>
        <v/>
      </c>
      <c r="P538" s="136">
        <f>IF($F538="","",IFERROR(INDEX(사건마스터!$AM$5:$AM$64,MATCH($F538,사건마스터!$A$5:$A$64,0)),""))</f>
        <v/>
      </c>
      <c r="Q538" s="136">
        <f>IF($F538="","",IFERROR(INDEX(사건마스터!$AN$5:$AN$64,MATCH($F538,사건마스터!$A$5:$A$64,0)),""))</f>
        <v/>
      </c>
      <c r="R538" s="136">
        <f>IF($F538="","",IFERROR(INDEX(사건마스터!$AO$5:$AO$64,MATCH($F538,사건마스터!$A$5:$A$64,0)),""))</f>
        <v/>
      </c>
      <c r="S538" s="136">
        <f>IF($F538="","",IFERROR(INDEX(사건마스터!$AP$5:$AP$64,MATCH($F538,사건마스터!$A$5:$A$64,0)),""))</f>
        <v/>
      </c>
      <c r="T538" s="136">
        <f>IF($F538="","",IFERROR(INDEX(사건마스터!$AQ$5:$AQ$64,MATCH($F538,사건마스터!$A$5:$A$64,0)),""))</f>
        <v/>
      </c>
      <c r="U538" s="136">
        <f>IF($F538="","",IFERROR(INDEX(사건마스터!$AR$5:$AR$64,MATCH($F538,사건마스터!$A$5:$A$64,0)),""))</f>
        <v/>
      </c>
      <c r="V538" s="136">
        <f>IF($F538="","",IFERROR(INDEX(사건마스터!$AS$5:$AS$64,MATCH($F538,사건마스터!$A$5:$A$64,0)),""))</f>
        <v/>
      </c>
      <c r="W538" s="136">
        <f>IF($F538="","",IFERROR(INDEX(사건마스터!$AT$5:$AT$64,MATCH($F538,사건마스터!$A$5:$A$64,0)),""))</f>
        <v/>
      </c>
      <c r="X538" s="136">
        <f>IF($F538="","",IFERROR(INDEX(사건마스터!$AU$5:$AU$64,MATCH($F538,사건마스터!$A$5:$A$64,0)),""))</f>
        <v/>
      </c>
      <c r="Y538" s="136">
        <f>IF($F538="","",IFERROR(INDEX(사건마스터!$AV$5:$AV$64,MATCH($F538,사건마스터!$A$5:$A$64,0)),""))</f>
        <v/>
      </c>
      <c r="Z538" s="118">
        <f>IF(COUNTBLANK($J538:$Y538)=16,"",16-COUNTBLANK($J538:$Y538))</f>
        <v/>
      </c>
      <c r="AA538" s="33">
        <f>IF($J538="",MID($AX538,3,255),$J538&amp;$AX538)</f>
        <v/>
      </c>
      <c r="AB538" s="130">
        <f>IF($J538="","",IFERROR(INDEX(코드설정!$D$5:$D$24,MATCH($J538,코드설정!$C$5:$C$24,0)),""))</f>
        <v/>
      </c>
      <c r="AC538" s="36" t="n"/>
      <c r="AD538" s="37" t="n"/>
      <c r="AE538" s="38" t="n"/>
      <c r="AF538" s="118">
        <f>IF(OR($B538="",$C538=""),"",$C538-$B538+1)</f>
        <v/>
      </c>
      <c r="AG538" s="74" t="n"/>
      <c r="AH538" s="36" t="n"/>
      <c r="AJ538">
        <f>IF($K538="","",", "&amp;$K538)</f>
        <v/>
      </c>
      <c r="AK538">
        <f>AJ538&amp;IF($L538="","",", "&amp;$L538)</f>
        <v/>
      </c>
      <c r="AL538">
        <f>AK538&amp;IF($M538="","",", "&amp;$M538)</f>
        <v/>
      </c>
      <c r="AM538">
        <f>AL538&amp;IF($N538="","",", "&amp;$N538)</f>
        <v/>
      </c>
      <c r="AN538">
        <f>AM538&amp;IF($O538="","",", "&amp;$O538)</f>
        <v/>
      </c>
      <c r="AO538">
        <f>AN538&amp;IF($P538="","",", "&amp;$P538)</f>
        <v/>
      </c>
      <c r="AP538">
        <f>AO538&amp;IF($Q538="","",", "&amp;$Q538)</f>
        <v/>
      </c>
      <c r="AQ538">
        <f>AP538&amp;IF($R538="","",", "&amp;$R538)</f>
        <v/>
      </c>
      <c r="AR538">
        <f>AQ538&amp;IF($S538="","",", "&amp;$S538)</f>
        <v/>
      </c>
      <c r="AS538">
        <f>AR538&amp;IF($T538="","",", "&amp;$T538)</f>
        <v/>
      </c>
      <c r="AT538">
        <f>AS538&amp;IF($U538="","",", "&amp;$U538)</f>
        <v/>
      </c>
      <c r="AU538">
        <f>AT538&amp;IF($V538="","",", "&amp;$V538)</f>
        <v/>
      </c>
      <c r="AV538">
        <f>AU538&amp;IF($W538="","",", "&amp;$W538)</f>
        <v/>
      </c>
      <c r="AW538">
        <f>AV538&amp;IF($X538="","",", "&amp;$X538)</f>
        <v/>
      </c>
      <c r="AX538">
        <f>AW538&amp;IF($Y538="","",", "&amp;$Y538)</f>
        <v/>
      </c>
    </row>
    <row r="539">
      <c r="A539" s="118">
        <f>IF($B539="","",COUNT($B$5:$B539))</f>
        <v/>
      </c>
      <c r="B539" s="80" t="n"/>
      <c r="C539" s="80" t="n"/>
      <c r="D539" s="74" t="n"/>
      <c r="E539" s="74" t="n"/>
      <c r="F539" s="74" t="n"/>
      <c r="G539" s="118">
        <f>IF($F539="","",COUNTIF($F$5:$F539,$F539))</f>
        <v/>
      </c>
      <c r="H539" s="33">
        <f>IF($F539="","",IFERROR(INDEX(사건마스터!$B$5:$B$64,MATCH($F539,사건마스터!$A$5:$A$64,0)),""))</f>
        <v/>
      </c>
      <c r="I539" s="130">
        <f>IF($F539="","",IFERROR(INDEX(사건마스터!$C$5:$C$64,MATCH($F539,사건마스터!$A$5:$A$64,0)),""))</f>
        <v/>
      </c>
      <c r="J539" s="136">
        <f>IF($F539="","",IFERROR(INDEX(사건마스터!$H$5:$H$64,MATCH($F539,사건마스터!$A$5:$A$64,0)),""))</f>
        <v/>
      </c>
      <c r="K539" s="136">
        <f>IF($F539="","",IFERROR(INDEX(사건마스터!$AH$5:$AH$64,MATCH($F539,사건마스터!$A$5:$A$64,0)),""))</f>
        <v/>
      </c>
      <c r="L539" s="136">
        <f>IF($F539="","",IFERROR(INDEX(사건마스터!$AI$5:$AI$64,MATCH($F539,사건마스터!$A$5:$A$64,0)),""))</f>
        <v/>
      </c>
      <c r="M539" s="136">
        <f>IF($F539="","",IFERROR(INDEX(사건마스터!$AJ$5:$AJ$64,MATCH($F539,사건마스터!$A$5:$A$64,0)),""))</f>
        <v/>
      </c>
      <c r="N539" s="136">
        <f>IF($F539="","",IFERROR(INDEX(사건마스터!$AK$5:$AK$64,MATCH($F539,사건마스터!$A$5:$A$64,0)),""))</f>
        <v/>
      </c>
      <c r="O539" s="136">
        <f>IF($F539="","",IFERROR(INDEX(사건마스터!$AL$5:$AL$64,MATCH($F539,사건마스터!$A$5:$A$64,0)),""))</f>
        <v/>
      </c>
      <c r="P539" s="136">
        <f>IF($F539="","",IFERROR(INDEX(사건마스터!$AM$5:$AM$64,MATCH($F539,사건마스터!$A$5:$A$64,0)),""))</f>
        <v/>
      </c>
      <c r="Q539" s="136">
        <f>IF($F539="","",IFERROR(INDEX(사건마스터!$AN$5:$AN$64,MATCH($F539,사건마스터!$A$5:$A$64,0)),""))</f>
        <v/>
      </c>
      <c r="R539" s="136">
        <f>IF($F539="","",IFERROR(INDEX(사건마스터!$AO$5:$AO$64,MATCH($F539,사건마스터!$A$5:$A$64,0)),""))</f>
        <v/>
      </c>
      <c r="S539" s="136">
        <f>IF($F539="","",IFERROR(INDEX(사건마스터!$AP$5:$AP$64,MATCH($F539,사건마스터!$A$5:$A$64,0)),""))</f>
        <v/>
      </c>
      <c r="T539" s="136">
        <f>IF($F539="","",IFERROR(INDEX(사건마스터!$AQ$5:$AQ$64,MATCH($F539,사건마스터!$A$5:$A$64,0)),""))</f>
        <v/>
      </c>
      <c r="U539" s="136">
        <f>IF($F539="","",IFERROR(INDEX(사건마스터!$AR$5:$AR$64,MATCH($F539,사건마스터!$A$5:$A$64,0)),""))</f>
        <v/>
      </c>
      <c r="V539" s="136">
        <f>IF($F539="","",IFERROR(INDEX(사건마스터!$AS$5:$AS$64,MATCH($F539,사건마스터!$A$5:$A$64,0)),""))</f>
        <v/>
      </c>
      <c r="W539" s="136">
        <f>IF($F539="","",IFERROR(INDEX(사건마스터!$AT$5:$AT$64,MATCH($F539,사건마스터!$A$5:$A$64,0)),""))</f>
        <v/>
      </c>
      <c r="X539" s="136">
        <f>IF($F539="","",IFERROR(INDEX(사건마스터!$AU$5:$AU$64,MATCH($F539,사건마스터!$A$5:$A$64,0)),""))</f>
        <v/>
      </c>
      <c r="Y539" s="136">
        <f>IF($F539="","",IFERROR(INDEX(사건마스터!$AV$5:$AV$64,MATCH($F539,사건마스터!$A$5:$A$64,0)),""))</f>
        <v/>
      </c>
      <c r="Z539" s="118">
        <f>IF(COUNTBLANK($J539:$Y539)=16,"",16-COUNTBLANK($J539:$Y539))</f>
        <v/>
      </c>
      <c r="AA539" s="33">
        <f>IF($J539="",MID($AX539,3,255),$J539&amp;$AX539)</f>
        <v/>
      </c>
      <c r="AB539" s="130">
        <f>IF($J539="","",IFERROR(INDEX(코드설정!$D$5:$D$24,MATCH($J539,코드설정!$C$5:$C$24,0)),""))</f>
        <v/>
      </c>
      <c r="AC539" s="36" t="n"/>
      <c r="AD539" s="37" t="n"/>
      <c r="AE539" s="38" t="n"/>
      <c r="AF539" s="118">
        <f>IF(OR($B539="",$C539=""),"",$C539-$B539+1)</f>
        <v/>
      </c>
      <c r="AG539" s="74" t="n"/>
      <c r="AH539" s="36" t="n"/>
      <c r="AJ539">
        <f>IF($K539="","",", "&amp;$K539)</f>
        <v/>
      </c>
      <c r="AK539">
        <f>AJ539&amp;IF($L539="","",", "&amp;$L539)</f>
        <v/>
      </c>
      <c r="AL539">
        <f>AK539&amp;IF($M539="","",", "&amp;$M539)</f>
        <v/>
      </c>
      <c r="AM539">
        <f>AL539&amp;IF($N539="","",", "&amp;$N539)</f>
        <v/>
      </c>
      <c r="AN539">
        <f>AM539&amp;IF($O539="","",", "&amp;$O539)</f>
        <v/>
      </c>
      <c r="AO539">
        <f>AN539&amp;IF($P539="","",", "&amp;$P539)</f>
        <v/>
      </c>
      <c r="AP539">
        <f>AO539&amp;IF($Q539="","",", "&amp;$Q539)</f>
        <v/>
      </c>
      <c r="AQ539">
        <f>AP539&amp;IF($R539="","",", "&amp;$R539)</f>
        <v/>
      </c>
      <c r="AR539">
        <f>AQ539&amp;IF($S539="","",", "&amp;$S539)</f>
        <v/>
      </c>
      <c r="AS539">
        <f>AR539&amp;IF($T539="","",", "&amp;$T539)</f>
        <v/>
      </c>
      <c r="AT539">
        <f>AS539&amp;IF($U539="","",", "&amp;$U539)</f>
        <v/>
      </c>
      <c r="AU539">
        <f>AT539&amp;IF($V539="","",", "&amp;$V539)</f>
        <v/>
      </c>
      <c r="AV539">
        <f>AU539&amp;IF($W539="","",", "&amp;$W539)</f>
        <v/>
      </c>
      <c r="AW539">
        <f>AV539&amp;IF($X539="","",", "&amp;$X539)</f>
        <v/>
      </c>
      <c r="AX539">
        <f>AW539&amp;IF($Y539="","",", "&amp;$Y539)</f>
        <v/>
      </c>
    </row>
    <row r="540">
      <c r="A540" s="118">
        <f>IF($B540="","",COUNT($B$5:$B540))</f>
        <v/>
      </c>
      <c r="B540" s="80" t="n"/>
      <c r="C540" s="80" t="n"/>
      <c r="D540" s="74" t="n"/>
      <c r="E540" s="74" t="n"/>
      <c r="F540" s="74" t="n"/>
      <c r="G540" s="118">
        <f>IF($F540="","",COUNTIF($F$5:$F540,$F540))</f>
        <v/>
      </c>
      <c r="H540" s="33">
        <f>IF($F540="","",IFERROR(INDEX(사건마스터!$B$5:$B$64,MATCH($F540,사건마스터!$A$5:$A$64,0)),""))</f>
        <v/>
      </c>
      <c r="I540" s="130">
        <f>IF($F540="","",IFERROR(INDEX(사건마스터!$C$5:$C$64,MATCH($F540,사건마스터!$A$5:$A$64,0)),""))</f>
        <v/>
      </c>
      <c r="J540" s="136">
        <f>IF($F540="","",IFERROR(INDEX(사건마스터!$H$5:$H$64,MATCH($F540,사건마스터!$A$5:$A$64,0)),""))</f>
        <v/>
      </c>
      <c r="K540" s="136">
        <f>IF($F540="","",IFERROR(INDEX(사건마스터!$AH$5:$AH$64,MATCH($F540,사건마스터!$A$5:$A$64,0)),""))</f>
        <v/>
      </c>
      <c r="L540" s="136">
        <f>IF($F540="","",IFERROR(INDEX(사건마스터!$AI$5:$AI$64,MATCH($F540,사건마스터!$A$5:$A$64,0)),""))</f>
        <v/>
      </c>
      <c r="M540" s="136">
        <f>IF($F540="","",IFERROR(INDEX(사건마스터!$AJ$5:$AJ$64,MATCH($F540,사건마스터!$A$5:$A$64,0)),""))</f>
        <v/>
      </c>
      <c r="N540" s="136">
        <f>IF($F540="","",IFERROR(INDEX(사건마스터!$AK$5:$AK$64,MATCH($F540,사건마스터!$A$5:$A$64,0)),""))</f>
        <v/>
      </c>
      <c r="O540" s="136">
        <f>IF($F540="","",IFERROR(INDEX(사건마스터!$AL$5:$AL$64,MATCH($F540,사건마스터!$A$5:$A$64,0)),""))</f>
        <v/>
      </c>
      <c r="P540" s="136">
        <f>IF($F540="","",IFERROR(INDEX(사건마스터!$AM$5:$AM$64,MATCH($F540,사건마스터!$A$5:$A$64,0)),""))</f>
        <v/>
      </c>
      <c r="Q540" s="136">
        <f>IF($F540="","",IFERROR(INDEX(사건마스터!$AN$5:$AN$64,MATCH($F540,사건마스터!$A$5:$A$64,0)),""))</f>
        <v/>
      </c>
      <c r="R540" s="136">
        <f>IF($F540="","",IFERROR(INDEX(사건마스터!$AO$5:$AO$64,MATCH($F540,사건마스터!$A$5:$A$64,0)),""))</f>
        <v/>
      </c>
      <c r="S540" s="136">
        <f>IF($F540="","",IFERROR(INDEX(사건마스터!$AP$5:$AP$64,MATCH($F540,사건마스터!$A$5:$A$64,0)),""))</f>
        <v/>
      </c>
      <c r="T540" s="136">
        <f>IF($F540="","",IFERROR(INDEX(사건마스터!$AQ$5:$AQ$64,MATCH($F540,사건마스터!$A$5:$A$64,0)),""))</f>
        <v/>
      </c>
      <c r="U540" s="136">
        <f>IF($F540="","",IFERROR(INDEX(사건마스터!$AR$5:$AR$64,MATCH($F540,사건마스터!$A$5:$A$64,0)),""))</f>
        <v/>
      </c>
      <c r="V540" s="136">
        <f>IF($F540="","",IFERROR(INDEX(사건마스터!$AS$5:$AS$64,MATCH($F540,사건마스터!$A$5:$A$64,0)),""))</f>
        <v/>
      </c>
      <c r="W540" s="136">
        <f>IF($F540="","",IFERROR(INDEX(사건마스터!$AT$5:$AT$64,MATCH($F540,사건마스터!$A$5:$A$64,0)),""))</f>
        <v/>
      </c>
      <c r="X540" s="136">
        <f>IF($F540="","",IFERROR(INDEX(사건마스터!$AU$5:$AU$64,MATCH($F540,사건마스터!$A$5:$A$64,0)),""))</f>
        <v/>
      </c>
      <c r="Y540" s="136">
        <f>IF($F540="","",IFERROR(INDEX(사건마스터!$AV$5:$AV$64,MATCH($F540,사건마스터!$A$5:$A$64,0)),""))</f>
        <v/>
      </c>
      <c r="Z540" s="118">
        <f>IF(COUNTBLANK($J540:$Y540)=16,"",16-COUNTBLANK($J540:$Y540))</f>
        <v/>
      </c>
      <c r="AA540" s="33">
        <f>IF($J540="",MID($AX540,3,255),$J540&amp;$AX540)</f>
        <v/>
      </c>
      <c r="AB540" s="130">
        <f>IF($J540="","",IFERROR(INDEX(코드설정!$D$5:$D$24,MATCH($J540,코드설정!$C$5:$C$24,0)),""))</f>
        <v/>
      </c>
      <c r="AC540" s="36" t="n"/>
      <c r="AD540" s="37" t="n"/>
      <c r="AE540" s="38" t="n"/>
      <c r="AF540" s="118">
        <f>IF(OR($B540="",$C540=""),"",$C540-$B540+1)</f>
        <v/>
      </c>
      <c r="AG540" s="74" t="n"/>
      <c r="AH540" s="36" t="n"/>
      <c r="AJ540">
        <f>IF($K540="","",", "&amp;$K540)</f>
        <v/>
      </c>
      <c r="AK540">
        <f>AJ540&amp;IF($L540="","",", "&amp;$L540)</f>
        <v/>
      </c>
      <c r="AL540">
        <f>AK540&amp;IF($M540="","",", "&amp;$M540)</f>
        <v/>
      </c>
      <c r="AM540">
        <f>AL540&amp;IF($N540="","",", "&amp;$N540)</f>
        <v/>
      </c>
      <c r="AN540">
        <f>AM540&amp;IF($O540="","",", "&amp;$O540)</f>
        <v/>
      </c>
      <c r="AO540">
        <f>AN540&amp;IF($P540="","",", "&amp;$P540)</f>
        <v/>
      </c>
      <c r="AP540">
        <f>AO540&amp;IF($Q540="","",", "&amp;$Q540)</f>
        <v/>
      </c>
      <c r="AQ540">
        <f>AP540&amp;IF($R540="","",", "&amp;$R540)</f>
        <v/>
      </c>
      <c r="AR540">
        <f>AQ540&amp;IF($S540="","",", "&amp;$S540)</f>
        <v/>
      </c>
      <c r="AS540">
        <f>AR540&amp;IF($T540="","",", "&amp;$T540)</f>
        <v/>
      </c>
      <c r="AT540">
        <f>AS540&amp;IF($U540="","",", "&amp;$U540)</f>
        <v/>
      </c>
      <c r="AU540">
        <f>AT540&amp;IF($V540="","",", "&amp;$V540)</f>
        <v/>
      </c>
      <c r="AV540">
        <f>AU540&amp;IF($W540="","",", "&amp;$W540)</f>
        <v/>
      </c>
      <c r="AW540">
        <f>AV540&amp;IF($X540="","",", "&amp;$X540)</f>
        <v/>
      </c>
      <c r="AX540">
        <f>AW540&amp;IF($Y540="","",", "&amp;$Y540)</f>
        <v/>
      </c>
    </row>
    <row r="541">
      <c r="A541" s="118">
        <f>IF($B541="","",COUNT($B$5:$B541))</f>
        <v/>
      </c>
      <c r="B541" s="80" t="n"/>
      <c r="C541" s="80" t="n"/>
      <c r="D541" s="74" t="n"/>
      <c r="E541" s="74" t="n"/>
      <c r="F541" s="74" t="n"/>
      <c r="G541" s="118">
        <f>IF($F541="","",COUNTIF($F$5:$F541,$F541))</f>
        <v/>
      </c>
      <c r="H541" s="33">
        <f>IF($F541="","",IFERROR(INDEX(사건마스터!$B$5:$B$64,MATCH($F541,사건마스터!$A$5:$A$64,0)),""))</f>
        <v/>
      </c>
      <c r="I541" s="130">
        <f>IF($F541="","",IFERROR(INDEX(사건마스터!$C$5:$C$64,MATCH($F541,사건마스터!$A$5:$A$64,0)),""))</f>
        <v/>
      </c>
      <c r="J541" s="136">
        <f>IF($F541="","",IFERROR(INDEX(사건마스터!$H$5:$H$64,MATCH($F541,사건마스터!$A$5:$A$64,0)),""))</f>
        <v/>
      </c>
      <c r="K541" s="136">
        <f>IF($F541="","",IFERROR(INDEX(사건마스터!$AH$5:$AH$64,MATCH($F541,사건마스터!$A$5:$A$64,0)),""))</f>
        <v/>
      </c>
      <c r="L541" s="136">
        <f>IF($F541="","",IFERROR(INDEX(사건마스터!$AI$5:$AI$64,MATCH($F541,사건마스터!$A$5:$A$64,0)),""))</f>
        <v/>
      </c>
      <c r="M541" s="136">
        <f>IF($F541="","",IFERROR(INDEX(사건마스터!$AJ$5:$AJ$64,MATCH($F541,사건마스터!$A$5:$A$64,0)),""))</f>
        <v/>
      </c>
      <c r="N541" s="136">
        <f>IF($F541="","",IFERROR(INDEX(사건마스터!$AK$5:$AK$64,MATCH($F541,사건마스터!$A$5:$A$64,0)),""))</f>
        <v/>
      </c>
      <c r="O541" s="136">
        <f>IF($F541="","",IFERROR(INDEX(사건마스터!$AL$5:$AL$64,MATCH($F541,사건마스터!$A$5:$A$64,0)),""))</f>
        <v/>
      </c>
      <c r="P541" s="136">
        <f>IF($F541="","",IFERROR(INDEX(사건마스터!$AM$5:$AM$64,MATCH($F541,사건마스터!$A$5:$A$64,0)),""))</f>
        <v/>
      </c>
      <c r="Q541" s="136">
        <f>IF($F541="","",IFERROR(INDEX(사건마스터!$AN$5:$AN$64,MATCH($F541,사건마스터!$A$5:$A$64,0)),""))</f>
        <v/>
      </c>
      <c r="R541" s="136">
        <f>IF($F541="","",IFERROR(INDEX(사건마스터!$AO$5:$AO$64,MATCH($F541,사건마스터!$A$5:$A$64,0)),""))</f>
        <v/>
      </c>
      <c r="S541" s="136">
        <f>IF($F541="","",IFERROR(INDEX(사건마스터!$AP$5:$AP$64,MATCH($F541,사건마스터!$A$5:$A$64,0)),""))</f>
        <v/>
      </c>
      <c r="T541" s="136">
        <f>IF($F541="","",IFERROR(INDEX(사건마스터!$AQ$5:$AQ$64,MATCH($F541,사건마스터!$A$5:$A$64,0)),""))</f>
        <v/>
      </c>
      <c r="U541" s="136">
        <f>IF($F541="","",IFERROR(INDEX(사건마스터!$AR$5:$AR$64,MATCH($F541,사건마스터!$A$5:$A$64,0)),""))</f>
        <v/>
      </c>
      <c r="V541" s="136">
        <f>IF($F541="","",IFERROR(INDEX(사건마스터!$AS$5:$AS$64,MATCH($F541,사건마스터!$A$5:$A$64,0)),""))</f>
        <v/>
      </c>
      <c r="W541" s="136">
        <f>IF($F541="","",IFERROR(INDEX(사건마스터!$AT$5:$AT$64,MATCH($F541,사건마스터!$A$5:$A$64,0)),""))</f>
        <v/>
      </c>
      <c r="X541" s="136">
        <f>IF($F541="","",IFERROR(INDEX(사건마스터!$AU$5:$AU$64,MATCH($F541,사건마스터!$A$5:$A$64,0)),""))</f>
        <v/>
      </c>
      <c r="Y541" s="136">
        <f>IF($F541="","",IFERROR(INDEX(사건마스터!$AV$5:$AV$64,MATCH($F541,사건마스터!$A$5:$A$64,0)),""))</f>
        <v/>
      </c>
      <c r="Z541" s="118">
        <f>IF(COUNTBLANK($J541:$Y541)=16,"",16-COUNTBLANK($J541:$Y541))</f>
        <v/>
      </c>
      <c r="AA541" s="33">
        <f>IF($J541="",MID($AX541,3,255),$J541&amp;$AX541)</f>
        <v/>
      </c>
      <c r="AB541" s="130">
        <f>IF($J541="","",IFERROR(INDEX(코드설정!$D$5:$D$24,MATCH($J541,코드설정!$C$5:$C$24,0)),""))</f>
        <v/>
      </c>
      <c r="AC541" s="36" t="n"/>
      <c r="AD541" s="37" t="n"/>
      <c r="AE541" s="38" t="n"/>
      <c r="AF541" s="118">
        <f>IF(OR($B541="",$C541=""),"",$C541-$B541+1)</f>
        <v/>
      </c>
      <c r="AG541" s="74" t="n"/>
      <c r="AH541" s="36" t="n"/>
      <c r="AJ541">
        <f>IF($K541="","",", "&amp;$K541)</f>
        <v/>
      </c>
      <c r="AK541">
        <f>AJ541&amp;IF($L541="","",", "&amp;$L541)</f>
        <v/>
      </c>
      <c r="AL541">
        <f>AK541&amp;IF($M541="","",", "&amp;$M541)</f>
        <v/>
      </c>
      <c r="AM541">
        <f>AL541&amp;IF($N541="","",", "&amp;$N541)</f>
        <v/>
      </c>
      <c r="AN541">
        <f>AM541&amp;IF($O541="","",", "&amp;$O541)</f>
        <v/>
      </c>
      <c r="AO541">
        <f>AN541&amp;IF($P541="","",", "&amp;$P541)</f>
        <v/>
      </c>
      <c r="AP541">
        <f>AO541&amp;IF($Q541="","",", "&amp;$Q541)</f>
        <v/>
      </c>
      <c r="AQ541">
        <f>AP541&amp;IF($R541="","",", "&amp;$R541)</f>
        <v/>
      </c>
      <c r="AR541">
        <f>AQ541&amp;IF($S541="","",", "&amp;$S541)</f>
        <v/>
      </c>
      <c r="AS541">
        <f>AR541&amp;IF($T541="","",", "&amp;$T541)</f>
        <v/>
      </c>
      <c r="AT541">
        <f>AS541&amp;IF($U541="","",", "&amp;$U541)</f>
        <v/>
      </c>
      <c r="AU541">
        <f>AT541&amp;IF($V541="","",", "&amp;$V541)</f>
        <v/>
      </c>
      <c r="AV541">
        <f>AU541&amp;IF($W541="","",", "&amp;$W541)</f>
        <v/>
      </c>
      <c r="AW541">
        <f>AV541&amp;IF($X541="","",", "&amp;$X541)</f>
        <v/>
      </c>
      <c r="AX541">
        <f>AW541&amp;IF($Y541="","",", "&amp;$Y541)</f>
        <v/>
      </c>
    </row>
    <row r="542">
      <c r="A542" s="118">
        <f>IF($B542="","",COUNT($B$5:$B542))</f>
        <v/>
      </c>
      <c r="B542" s="80" t="n"/>
      <c r="C542" s="80" t="n"/>
      <c r="D542" s="74" t="n"/>
      <c r="E542" s="74" t="n"/>
      <c r="F542" s="74" t="n"/>
      <c r="G542" s="118">
        <f>IF($F542="","",COUNTIF($F$5:$F542,$F542))</f>
        <v/>
      </c>
      <c r="H542" s="33">
        <f>IF($F542="","",IFERROR(INDEX(사건마스터!$B$5:$B$64,MATCH($F542,사건마스터!$A$5:$A$64,0)),""))</f>
        <v/>
      </c>
      <c r="I542" s="130">
        <f>IF($F542="","",IFERROR(INDEX(사건마스터!$C$5:$C$64,MATCH($F542,사건마스터!$A$5:$A$64,0)),""))</f>
        <v/>
      </c>
      <c r="J542" s="136">
        <f>IF($F542="","",IFERROR(INDEX(사건마스터!$H$5:$H$64,MATCH($F542,사건마스터!$A$5:$A$64,0)),""))</f>
        <v/>
      </c>
      <c r="K542" s="136">
        <f>IF($F542="","",IFERROR(INDEX(사건마스터!$AH$5:$AH$64,MATCH($F542,사건마스터!$A$5:$A$64,0)),""))</f>
        <v/>
      </c>
      <c r="L542" s="136">
        <f>IF($F542="","",IFERROR(INDEX(사건마스터!$AI$5:$AI$64,MATCH($F542,사건마스터!$A$5:$A$64,0)),""))</f>
        <v/>
      </c>
      <c r="M542" s="136">
        <f>IF($F542="","",IFERROR(INDEX(사건마스터!$AJ$5:$AJ$64,MATCH($F542,사건마스터!$A$5:$A$64,0)),""))</f>
        <v/>
      </c>
      <c r="N542" s="136">
        <f>IF($F542="","",IFERROR(INDEX(사건마스터!$AK$5:$AK$64,MATCH($F542,사건마스터!$A$5:$A$64,0)),""))</f>
        <v/>
      </c>
      <c r="O542" s="136">
        <f>IF($F542="","",IFERROR(INDEX(사건마스터!$AL$5:$AL$64,MATCH($F542,사건마스터!$A$5:$A$64,0)),""))</f>
        <v/>
      </c>
      <c r="P542" s="136">
        <f>IF($F542="","",IFERROR(INDEX(사건마스터!$AM$5:$AM$64,MATCH($F542,사건마스터!$A$5:$A$64,0)),""))</f>
        <v/>
      </c>
      <c r="Q542" s="136">
        <f>IF($F542="","",IFERROR(INDEX(사건마스터!$AN$5:$AN$64,MATCH($F542,사건마스터!$A$5:$A$64,0)),""))</f>
        <v/>
      </c>
      <c r="R542" s="136">
        <f>IF($F542="","",IFERROR(INDEX(사건마스터!$AO$5:$AO$64,MATCH($F542,사건마스터!$A$5:$A$64,0)),""))</f>
        <v/>
      </c>
      <c r="S542" s="136">
        <f>IF($F542="","",IFERROR(INDEX(사건마스터!$AP$5:$AP$64,MATCH($F542,사건마스터!$A$5:$A$64,0)),""))</f>
        <v/>
      </c>
      <c r="T542" s="136">
        <f>IF($F542="","",IFERROR(INDEX(사건마스터!$AQ$5:$AQ$64,MATCH($F542,사건마스터!$A$5:$A$64,0)),""))</f>
        <v/>
      </c>
      <c r="U542" s="136">
        <f>IF($F542="","",IFERROR(INDEX(사건마스터!$AR$5:$AR$64,MATCH($F542,사건마스터!$A$5:$A$64,0)),""))</f>
        <v/>
      </c>
      <c r="V542" s="136">
        <f>IF($F542="","",IFERROR(INDEX(사건마스터!$AS$5:$AS$64,MATCH($F542,사건마스터!$A$5:$A$64,0)),""))</f>
        <v/>
      </c>
      <c r="W542" s="136">
        <f>IF($F542="","",IFERROR(INDEX(사건마스터!$AT$5:$AT$64,MATCH($F542,사건마스터!$A$5:$A$64,0)),""))</f>
        <v/>
      </c>
      <c r="X542" s="136">
        <f>IF($F542="","",IFERROR(INDEX(사건마스터!$AU$5:$AU$64,MATCH($F542,사건마스터!$A$5:$A$64,0)),""))</f>
        <v/>
      </c>
      <c r="Y542" s="136">
        <f>IF($F542="","",IFERROR(INDEX(사건마스터!$AV$5:$AV$64,MATCH($F542,사건마스터!$A$5:$A$64,0)),""))</f>
        <v/>
      </c>
      <c r="Z542" s="118">
        <f>IF(COUNTBLANK($J542:$Y542)=16,"",16-COUNTBLANK($J542:$Y542))</f>
        <v/>
      </c>
      <c r="AA542" s="33">
        <f>IF($J542="",MID($AX542,3,255),$J542&amp;$AX542)</f>
        <v/>
      </c>
      <c r="AB542" s="130">
        <f>IF($J542="","",IFERROR(INDEX(코드설정!$D$5:$D$24,MATCH($J542,코드설정!$C$5:$C$24,0)),""))</f>
        <v/>
      </c>
      <c r="AC542" s="36" t="n"/>
      <c r="AD542" s="37" t="n"/>
      <c r="AE542" s="38" t="n"/>
      <c r="AF542" s="118">
        <f>IF(OR($B542="",$C542=""),"",$C542-$B542+1)</f>
        <v/>
      </c>
      <c r="AG542" s="74" t="n"/>
      <c r="AH542" s="36" t="n"/>
      <c r="AJ542">
        <f>IF($K542="","",", "&amp;$K542)</f>
        <v/>
      </c>
      <c r="AK542">
        <f>AJ542&amp;IF($L542="","",", "&amp;$L542)</f>
        <v/>
      </c>
      <c r="AL542">
        <f>AK542&amp;IF($M542="","",", "&amp;$M542)</f>
        <v/>
      </c>
      <c r="AM542">
        <f>AL542&amp;IF($N542="","",", "&amp;$N542)</f>
        <v/>
      </c>
      <c r="AN542">
        <f>AM542&amp;IF($O542="","",", "&amp;$O542)</f>
        <v/>
      </c>
      <c r="AO542">
        <f>AN542&amp;IF($P542="","",", "&amp;$P542)</f>
        <v/>
      </c>
      <c r="AP542">
        <f>AO542&amp;IF($Q542="","",", "&amp;$Q542)</f>
        <v/>
      </c>
      <c r="AQ542">
        <f>AP542&amp;IF($R542="","",", "&amp;$R542)</f>
        <v/>
      </c>
      <c r="AR542">
        <f>AQ542&amp;IF($S542="","",", "&amp;$S542)</f>
        <v/>
      </c>
      <c r="AS542">
        <f>AR542&amp;IF($T542="","",", "&amp;$T542)</f>
        <v/>
      </c>
      <c r="AT542">
        <f>AS542&amp;IF($U542="","",", "&amp;$U542)</f>
        <v/>
      </c>
      <c r="AU542">
        <f>AT542&amp;IF($V542="","",", "&amp;$V542)</f>
        <v/>
      </c>
      <c r="AV542">
        <f>AU542&amp;IF($W542="","",", "&amp;$W542)</f>
        <v/>
      </c>
      <c r="AW542">
        <f>AV542&amp;IF($X542="","",", "&amp;$X542)</f>
        <v/>
      </c>
      <c r="AX542">
        <f>AW542&amp;IF($Y542="","",", "&amp;$Y542)</f>
        <v/>
      </c>
    </row>
    <row r="543">
      <c r="A543" s="118">
        <f>IF($B543="","",COUNT($B$5:$B543))</f>
        <v/>
      </c>
      <c r="B543" s="80" t="n"/>
      <c r="C543" s="80" t="n"/>
      <c r="D543" s="74" t="n"/>
      <c r="E543" s="74" t="n"/>
      <c r="F543" s="74" t="n"/>
      <c r="G543" s="118">
        <f>IF($F543="","",COUNTIF($F$5:$F543,$F543))</f>
        <v/>
      </c>
      <c r="H543" s="33">
        <f>IF($F543="","",IFERROR(INDEX(사건마스터!$B$5:$B$64,MATCH($F543,사건마스터!$A$5:$A$64,0)),""))</f>
        <v/>
      </c>
      <c r="I543" s="130">
        <f>IF($F543="","",IFERROR(INDEX(사건마스터!$C$5:$C$64,MATCH($F543,사건마스터!$A$5:$A$64,0)),""))</f>
        <v/>
      </c>
      <c r="J543" s="136">
        <f>IF($F543="","",IFERROR(INDEX(사건마스터!$H$5:$H$64,MATCH($F543,사건마스터!$A$5:$A$64,0)),""))</f>
        <v/>
      </c>
      <c r="K543" s="136">
        <f>IF($F543="","",IFERROR(INDEX(사건마스터!$AH$5:$AH$64,MATCH($F543,사건마스터!$A$5:$A$64,0)),""))</f>
        <v/>
      </c>
      <c r="L543" s="136">
        <f>IF($F543="","",IFERROR(INDEX(사건마스터!$AI$5:$AI$64,MATCH($F543,사건마스터!$A$5:$A$64,0)),""))</f>
        <v/>
      </c>
      <c r="M543" s="136">
        <f>IF($F543="","",IFERROR(INDEX(사건마스터!$AJ$5:$AJ$64,MATCH($F543,사건마스터!$A$5:$A$64,0)),""))</f>
        <v/>
      </c>
      <c r="N543" s="136">
        <f>IF($F543="","",IFERROR(INDEX(사건마스터!$AK$5:$AK$64,MATCH($F543,사건마스터!$A$5:$A$64,0)),""))</f>
        <v/>
      </c>
      <c r="O543" s="136">
        <f>IF($F543="","",IFERROR(INDEX(사건마스터!$AL$5:$AL$64,MATCH($F543,사건마스터!$A$5:$A$64,0)),""))</f>
        <v/>
      </c>
      <c r="P543" s="136">
        <f>IF($F543="","",IFERROR(INDEX(사건마스터!$AM$5:$AM$64,MATCH($F543,사건마스터!$A$5:$A$64,0)),""))</f>
        <v/>
      </c>
      <c r="Q543" s="136">
        <f>IF($F543="","",IFERROR(INDEX(사건마스터!$AN$5:$AN$64,MATCH($F543,사건마스터!$A$5:$A$64,0)),""))</f>
        <v/>
      </c>
      <c r="R543" s="136">
        <f>IF($F543="","",IFERROR(INDEX(사건마스터!$AO$5:$AO$64,MATCH($F543,사건마스터!$A$5:$A$64,0)),""))</f>
        <v/>
      </c>
      <c r="S543" s="136">
        <f>IF($F543="","",IFERROR(INDEX(사건마스터!$AP$5:$AP$64,MATCH($F543,사건마스터!$A$5:$A$64,0)),""))</f>
        <v/>
      </c>
      <c r="T543" s="136">
        <f>IF($F543="","",IFERROR(INDEX(사건마스터!$AQ$5:$AQ$64,MATCH($F543,사건마스터!$A$5:$A$64,0)),""))</f>
        <v/>
      </c>
      <c r="U543" s="136">
        <f>IF($F543="","",IFERROR(INDEX(사건마스터!$AR$5:$AR$64,MATCH($F543,사건마스터!$A$5:$A$64,0)),""))</f>
        <v/>
      </c>
      <c r="V543" s="136">
        <f>IF($F543="","",IFERROR(INDEX(사건마스터!$AS$5:$AS$64,MATCH($F543,사건마스터!$A$5:$A$64,0)),""))</f>
        <v/>
      </c>
      <c r="W543" s="136">
        <f>IF($F543="","",IFERROR(INDEX(사건마스터!$AT$5:$AT$64,MATCH($F543,사건마스터!$A$5:$A$64,0)),""))</f>
        <v/>
      </c>
      <c r="X543" s="136">
        <f>IF($F543="","",IFERROR(INDEX(사건마스터!$AU$5:$AU$64,MATCH($F543,사건마스터!$A$5:$A$64,0)),""))</f>
        <v/>
      </c>
      <c r="Y543" s="136">
        <f>IF($F543="","",IFERROR(INDEX(사건마스터!$AV$5:$AV$64,MATCH($F543,사건마스터!$A$5:$A$64,0)),""))</f>
        <v/>
      </c>
      <c r="Z543" s="118">
        <f>IF(COUNTBLANK($J543:$Y543)=16,"",16-COUNTBLANK($J543:$Y543))</f>
        <v/>
      </c>
      <c r="AA543" s="33">
        <f>IF($J543="",MID($AX543,3,255),$J543&amp;$AX543)</f>
        <v/>
      </c>
      <c r="AB543" s="130">
        <f>IF($J543="","",IFERROR(INDEX(코드설정!$D$5:$D$24,MATCH($J543,코드설정!$C$5:$C$24,0)),""))</f>
        <v/>
      </c>
      <c r="AC543" s="36" t="n"/>
      <c r="AD543" s="37" t="n"/>
      <c r="AE543" s="38" t="n"/>
      <c r="AF543" s="118">
        <f>IF(OR($B543="",$C543=""),"",$C543-$B543+1)</f>
        <v/>
      </c>
      <c r="AG543" s="74" t="n"/>
      <c r="AH543" s="36" t="n"/>
      <c r="AJ543">
        <f>IF($K543="","",", "&amp;$K543)</f>
        <v/>
      </c>
      <c r="AK543">
        <f>AJ543&amp;IF($L543="","",", "&amp;$L543)</f>
        <v/>
      </c>
      <c r="AL543">
        <f>AK543&amp;IF($M543="","",", "&amp;$M543)</f>
        <v/>
      </c>
      <c r="AM543">
        <f>AL543&amp;IF($N543="","",", "&amp;$N543)</f>
        <v/>
      </c>
      <c r="AN543">
        <f>AM543&amp;IF($O543="","",", "&amp;$O543)</f>
        <v/>
      </c>
      <c r="AO543">
        <f>AN543&amp;IF($P543="","",", "&amp;$P543)</f>
        <v/>
      </c>
      <c r="AP543">
        <f>AO543&amp;IF($Q543="","",", "&amp;$Q543)</f>
        <v/>
      </c>
      <c r="AQ543">
        <f>AP543&amp;IF($R543="","",", "&amp;$R543)</f>
        <v/>
      </c>
      <c r="AR543">
        <f>AQ543&amp;IF($S543="","",", "&amp;$S543)</f>
        <v/>
      </c>
      <c r="AS543">
        <f>AR543&amp;IF($T543="","",", "&amp;$T543)</f>
        <v/>
      </c>
      <c r="AT543">
        <f>AS543&amp;IF($U543="","",", "&amp;$U543)</f>
        <v/>
      </c>
      <c r="AU543">
        <f>AT543&amp;IF($V543="","",", "&amp;$V543)</f>
        <v/>
      </c>
      <c r="AV543">
        <f>AU543&amp;IF($W543="","",", "&amp;$W543)</f>
        <v/>
      </c>
      <c r="AW543">
        <f>AV543&amp;IF($X543="","",", "&amp;$X543)</f>
        <v/>
      </c>
      <c r="AX543">
        <f>AW543&amp;IF($Y543="","",", "&amp;$Y543)</f>
        <v/>
      </c>
    </row>
    <row r="544">
      <c r="A544" s="118">
        <f>IF($B544="","",COUNT($B$5:$B544))</f>
        <v/>
      </c>
      <c r="B544" s="80" t="n"/>
      <c r="C544" s="80" t="n"/>
      <c r="D544" s="74" t="n"/>
      <c r="E544" s="74" t="n"/>
      <c r="F544" s="74" t="n"/>
      <c r="G544" s="118">
        <f>IF($F544="","",COUNTIF($F$5:$F544,$F544))</f>
        <v/>
      </c>
      <c r="H544" s="33">
        <f>IF($F544="","",IFERROR(INDEX(사건마스터!$B$5:$B$64,MATCH($F544,사건마스터!$A$5:$A$64,0)),""))</f>
        <v/>
      </c>
      <c r="I544" s="130">
        <f>IF($F544="","",IFERROR(INDEX(사건마스터!$C$5:$C$64,MATCH($F544,사건마스터!$A$5:$A$64,0)),""))</f>
        <v/>
      </c>
      <c r="J544" s="136">
        <f>IF($F544="","",IFERROR(INDEX(사건마스터!$H$5:$H$64,MATCH($F544,사건마스터!$A$5:$A$64,0)),""))</f>
        <v/>
      </c>
      <c r="K544" s="136">
        <f>IF($F544="","",IFERROR(INDEX(사건마스터!$AH$5:$AH$64,MATCH($F544,사건마스터!$A$5:$A$64,0)),""))</f>
        <v/>
      </c>
      <c r="L544" s="136">
        <f>IF($F544="","",IFERROR(INDEX(사건마스터!$AI$5:$AI$64,MATCH($F544,사건마스터!$A$5:$A$64,0)),""))</f>
        <v/>
      </c>
      <c r="M544" s="136">
        <f>IF($F544="","",IFERROR(INDEX(사건마스터!$AJ$5:$AJ$64,MATCH($F544,사건마스터!$A$5:$A$64,0)),""))</f>
        <v/>
      </c>
      <c r="N544" s="136">
        <f>IF($F544="","",IFERROR(INDEX(사건마스터!$AK$5:$AK$64,MATCH($F544,사건마스터!$A$5:$A$64,0)),""))</f>
        <v/>
      </c>
      <c r="O544" s="136">
        <f>IF($F544="","",IFERROR(INDEX(사건마스터!$AL$5:$AL$64,MATCH($F544,사건마스터!$A$5:$A$64,0)),""))</f>
        <v/>
      </c>
      <c r="P544" s="136">
        <f>IF($F544="","",IFERROR(INDEX(사건마스터!$AM$5:$AM$64,MATCH($F544,사건마스터!$A$5:$A$64,0)),""))</f>
        <v/>
      </c>
      <c r="Q544" s="136">
        <f>IF($F544="","",IFERROR(INDEX(사건마스터!$AN$5:$AN$64,MATCH($F544,사건마스터!$A$5:$A$64,0)),""))</f>
        <v/>
      </c>
      <c r="R544" s="136">
        <f>IF($F544="","",IFERROR(INDEX(사건마스터!$AO$5:$AO$64,MATCH($F544,사건마스터!$A$5:$A$64,0)),""))</f>
        <v/>
      </c>
      <c r="S544" s="136">
        <f>IF($F544="","",IFERROR(INDEX(사건마스터!$AP$5:$AP$64,MATCH($F544,사건마스터!$A$5:$A$64,0)),""))</f>
        <v/>
      </c>
      <c r="T544" s="136">
        <f>IF($F544="","",IFERROR(INDEX(사건마스터!$AQ$5:$AQ$64,MATCH($F544,사건마스터!$A$5:$A$64,0)),""))</f>
        <v/>
      </c>
      <c r="U544" s="136">
        <f>IF($F544="","",IFERROR(INDEX(사건마스터!$AR$5:$AR$64,MATCH($F544,사건마스터!$A$5:$A$64,0)),""))</f>
        <v/>
      </c>
      <c r="V544" s="136">
        <f>IF($F544="","",IFERROR(INDEX(사건마스터!$AS$5:$AS$64,MATCH($F544,사건마스터!$A$5:$A$64,0)),""))</f>
        <v/>
      </c>
      <c r="W544" s="136">
        <f>IF($F544="","",IFERROR(INDEX(사건마스터!$AT$5:$AT$64,MATCH($F544,사건마스터!$A$5:$A$64,0)),""))</f>
        <v/>
      </c>
      <c r="X544" s="136">
        <f>IF($F544="","",IFERROR(INDEX(사건마스터!$AU$5:$AU$64,MATCH($F544,사건마스터!$A$5:$A$64,0)),""))</f>
        <v/>
      </c>
      <c r="Y544" s="136">
        <f>IF($F544="","",IFERROR(INDEX(사건마스터!$AV$5:$AV$64,MATCH($F544,사건마스터!$A$5:$A$64,0)),""))</f>
        <v/>
      </c>
      <c r="Z544" s="118">
        <f>IF(COUNTBLANK($J544:$Y544)=16,"",16-COUNTBLANK($J544:$Y544))</f>
        <v/>
      </c>
      <c r="AA544" s="33">
        <f>IF($J544="",MID($AX544,3,255),$J544&amp;$AX544)</f>
        <v/>
      </c>
      <c r="AB544" s="130">
        <f>IF($J544="","",IFERROR(INDEX(코드설정!$D$5:$D$24,MATCH($J544,코드설정!$C$5:$C$24,0)),""))</f>
        <v/>
      </c>
      <c r="AC544" s="36" t="n"/>
      <c r="AD544" s="37" t="n"/>
      <c r="AE544" s="38" t="n"/>
      <c r="AF544" s="118">
        <f>IF(OR($B544="",$C544=""),"",$C544-$B544+1)</f>
        <v/>
      </c>
      <c r="AG544" s="74" t="n"/>
      <c r="AH544" s="36" t="n"/>
      <c r="AJ544">
        <f>IF($K544="","",", "&amp;$K544)</f>
        <v/>
      </c>
      <c r="AK544">
        <f>AJ544&amp;IF($L544="","",", "&amp;$L544)</f>
        <v/>
      </c>
      <c r="AL544">
        <f>AK544&amp;IF($M544="","",", "&amp;$M544)</f>
        <v/>
      </c>
      <c r="AM544">
        <f>AL544&amp;IF($N544="","",", "&amp;$N544)</f>
        <v/>
      </c>
      <c r="AN544">
        <f>AM544&amp;IF($O544="","",", "&amp;$O544)</f>
        <v/>
      </c>
      <c r="AO544">
        <f>AN544&amp;IF($P544="","",", "&amp;$P544)</f>
        <v/>
      </c>
      <c r="AP544">
        <f>AO544&amp;IF($Q544="","",", "&amp;$Q544)</f>
        <v/>
      </c>
      <c r="AQ544">
        <f>AP544&amp;IF($R544="","",", "&amp;$R544)</f>
        <v/>
      </c>
      <c r="AR544">
        <f>AQ544&amp;IF($S544="","",", "&amp;$S544)</f>
        <v/>
      </c>
      <c r="AS544">
        <f>AR544&amp;IF($T544="","",", "&amp;$T544)</f>
        <v/>
      </c>
      <c r="AT544">
        <f>AS544&amp;IF($U544="","",", "&amp;$U544)</f>
        <v/>
      </c>
      <c r="AU544">
        <f>AT544&amp;IF($V544="","",", "&amp;$V544)</f>
        <v/>
      </c>
      <c r="AV544">
        <f>AU544&amp;IF($W544="","",", "&amp;$W544)</f>
        <v/>
      </c>
      <c r="AW544">
        <f>AV544&amp;IF($X544="","",", "&amp;$X544)</f>
        <v/>
      </c>
      <c r="AX544">
        <f>AW544&amp;IF($Y544="","",", "&amp;$Y544)</f>
        <v/>
      </c>
    </row>
    <row r="545">
      <c r="A545" s="118">
        <f>IF($B545="","",COUNT($B$5:$B545))</f>
        <v/>
      </c>
      <c r="B545" s="80" t="n"/>
      <c r="C545" s="80" t="n"/>
      <c r="D545" s="74" t="n"/>
      <c r="E545" s="74" t="n"/>
      <c r="F545" s="74" t="n"/>
      <c r="G545" s="118">
        <f>IF($F545="","",COUNTIF($F$5:$F545,$F545))</f>
        <v/>
      </c>
      <c r="H545" s="33">
        <f>IF($F545="","",IFERROR(INDEX(사건마스터!$B$5:$B$64,MATCH($F545,사건마스터!$A$5:$A$64,0)),""))</f>
        <v/>
      </c>
      <c r="I545" s="130">
        <f>IF($F545="","",IFERROR(INDEX(사건마스터!$C$5:$C$64,MATCH($F545,사건마스터!$A$5:$A$64,0)),""))</f>
        <v/>
      </c>
      <c r="J545" s="136">
        <f>IF($F545="","",IFERROR(INDEX(사건마스터!$H$5:$H$64,MATCH($F545,사건마스터!$A$5:$A$64,0)),""))</f>
        <v/>
      </c>
      <c r="K545" s="136">
        <f>IF($F545="","",IFERROR(INDEX(사건마스터!$AH$5:$AH$64,MATCH($F545,사건마스터!$A$5:$A$64,0)),""))</f>
        <v/>
      </c>
      <c r="L545" s="136">
        <f>IF($F545="","",IFERROR(INDEX(사건마스터!$AI$5:$AI$64,MATCH($F545,사건마스터!$A$5:$A$64,0)),""))</f>
        <v/>
      </c>
      <c r="M545" s="136">
        <f>IF($F545="","",IFERROR(INDEX(사건마스터!$AJ$5:$AJ$64,MATCH($F545,사건마스터!$A$5:$A$64,0)),""))</f>
        <v/>
      </c>
      <c r="N545" s="136">
        <f>IF($F545="","",IFERROR(INDEX(사건마스터!$AK$5:$AK$64,MATCH($F545,사건마스터!$A$5:$A$64,0)),""))</f>
        <v/>
      </c>
      <c r="O545" s="136">
        <f>IF($F545="","",IFERROR(INDEX(사건마스터!$AL$5:$AL$64,MATCH($F545,사건마스터!$A$5:$A$64,0)),""))</f>
        <v/>
      </c>
      <c r="P545" s="136">
        <f>IF($F545="","",IFERROR(INDEX(사건마스터!$AM$5:$AM$64,MATCH($F545,사건마스터!$A$5:$A$64,0)),""))</f>
        <v/>
      </c>
      <c r="Q545" s="136">
        <f>IF($F545="","",IFERROR(INDEX(사건마스터!$AN$5:$AN$64,MATCH($F545,사건마스터!$A$5:$A$64,0)),""))</f>
        <v/>
      </c>
      <c r="R545" s="136">
        <f>IF($F545="","",IFERROR(INDEX(사건마스터!$AO$5:$AO$64,MATCH($F545,사건마스터!$A$5:$A$64,0)),""))</f>
        <v/>
      </c>
      <c r="S545" s="136">
        <f>IF($F545="","",IFERROR(INDEX(사건마스터!$AP$5:$AP$64,MATCH($F545,사건마스터!$A$5:$A$64,0)),""))</f>
        <v/>
      </c>
      <c r="T545" s="136">
        <f>IF($F545="","",IFERROR(INDEX(사건마스터!$AQ$5:$AQ$64,MATCH($F545,사건마스터!$A$5:$A$64,0)),""))</f>
        <v/>
      </c>
      <c r="U545" s="136">
        <f>IF($F545="","",IFERROR(INDEX(사건마스터!$AR$5:$AR$64,MATCH($F545,사건마스터!$A$5:$A$64,0)),""))</f>
        <v/>
      </c>
      <c r="V545" s="136">
        <f>IF($F545="","",IFERROR(INDEX(사건마스터!$AS$5:$AS$64,MATCH($F545,사건마스터!$A$5:$A$64,0)),""))</f>
        <v/>
      </c>
      <c r="W545" s="136">
        <f>IF($F545="","",IFERROR(INDEX(사건마스터!$AT$5:$AT$64,MATCH($F545,사건마스터!$A$5:$A$64,0)),""))</f>
        <v/>
      </c>
      <c r="X545" s="136">
        <f>IF($F545="","",IFERROR(INDEX(사건마스터!$AU$5:$AU$64,MATCH($F545,사건마스터!$A$5:$A$64,0)),""))</f>
        <v/>
      </c>
      <c r="Y545" s="136">
        <f>IF($F545="","",IFERROR(INDEX(사건마스터!$AV$5:$AV$64,MATCH($F545,사건마스터!$A$5:$A$64,0)),""))</f>
        <v/>
      </c>
      <c r="Z545" s="118">
        <f>IF(COUNTBLANK($J545:$Y545)=16,"",16-COUNTBLANK($J545:$Y545))</f>
        <v/>
      </c>
      <c r="AA545" s="33">
        <f>IF($J545="",MID($AX545,3,255),$J545&amp;$AX545)</f>
        <v/>
      </c>
      <c r="AB545" s="130">
        <f>IF($J545="","",IFERROR(INDEX(코드설정!$D$5:$D$24,MATCH($J545,코드설정!$C$5:$C$24,0)),""))</f>
        <v/>
      </c>
      <c r="AC545" s="36" t="n"/>
      <c r="AD545" s="37" t="n"/>
      <c r="AE545" s="38" t="n"/>
      <c r="AF545" s="118">
        <f>IF(OR($B545="",$C545=""),"",$C545-$B545+1)</f>
        <v/>
      </c>
      <c r="AG545" s="74" t="n"/>
      <c r="AH545" s="36" t="n"/>
      <c r="AJ545">
        <f>IF($K545="","",", "&amp;$K545)</f>
        <v/>
      </c>
      <c r="AK545">
        <f>AJ545&amp;IF($L545="","",", "&amp;$L545)</f>
        <v/>
      </c>
      <c r="AL545">
        <f>AK545&amp;IF($M545="","",", "&amp;$M545)</f>
        <v/>
      </c>
      <c r="AM545">
        <f>AL545&amp;IF($N545="","",", "&amp;$N545)</f>
        <v/>
      </c>
      <c r="AN545">
        <f>AM545&amp;IF($O545="","",", "&amp;$O545)</f>
        <v/>
      </c>
      <c r="AO545">
        <f>AN545&amp;IF($P545="","",", "&amp;$P545)</f>
        <v/>
      </c>
      <c r="AP545">
        <f>AO545&amp;IF($Q545="","",", "&amp;$Q545)</f>
        <v/>
      </c>
      <c r="AQ545">
        <f>AP545&amp;IF($R545="","",", "&amp;$R545)</f>
        <v/>
      </c>
      <c r="AR545">
        <f>AQ545&amp;IF($S545="","",", "&amp;$S545)</f>
        <v/>
      </c>
      <c r="AS545">
        <f>AR545&amp;IF($T545="","",", "&amp;$T545)</f>
        <v/>
      </c>
      <c r="AT545">
        <f>AS545&amp;IF($U545="","",", "&amp;$U545)</f>
        <v/>
      </c>
      <c r="AU545">
        <f>AT545&amp;IF($V545="","",", "&amp;$V545)</f>
        <v/>
      </c>
      <c r="AV545">
        <f>AU545&amp;IF($W545="","",", "&amp;$W545)</f>
        <v/>
      </c>
      <c r="AW545">
        <f>AV545&amp;IF($X545="","",", "&amp;$X545)</f>
        <v/>
      </c>
      <c r="AX545">
        <f>AW545&amp;IF($Y545="","",", "&amp;$Y545)</f>
        <v/>
      </c>
    </row>
    <row r="546">
      <c r="A546" s="118">
        <f>IF($B546="","",COUNT($B$5:$B546))</f>
        <v/>
      </c>
      <c r="B546" s="80" t="n"/>
      <c r="C546" s="80" t="n"/>
      <c r="D546" s="74" t="n"/>
      <c r="E546" s="74" t="n"/>
      <c r="F546" s="74" t="n"/>
      <c r="G546" s="118">
        <f>IF($F546="","",COUNTIF($F$5:$F546,$F546))</f>
        <v/>
      </c>
      <c r="H546" s="33">
        <f>IF($F546="","",IFERROR(INDEX(사건마스터!$B$5:$B$64,MATCH($F546,사건마스터!$A$5:$A$64,0)),""))</f>
        <v/>
      </c>
      <c r="I546" s="130">
        <f>IF($F546="","",IFERROR(INDEX(사건마스터!$C$5:$C$64,MATCH($F546,사건마스터!$A$5:$A$64,0)),""))</f>
        <v/>
      </c>
      <c r="J546" s="136">
        <f>IF($F546="","",IFERROR(INDEX(사건마스터!$H$5:$H$64,MATCH($F546,사건마스터!$A$5:$A$64,0)),""))</f>
        <v/>
      </c>
      <c r="K546" s="136">
        <f>IF($F546="","",IFERROR(INDEX(사건마스터!$AH$5:$AH$64,MATCH($F546,사건마스터!$A$5:$A$64,0)),""))</f>
        <v/>
      </c>
      <c r="L546" s="136">
        <f>IF($F546="","",IFERROR(INDEX(사건마스터!$AI$5:$AI$64,MATCH($F546,사건마스터!$A$5:$A$64,0)),""))</f>
        <v/>
      </c>
      <c r="M546" s="136">
        <f>IF($F546="","",IFERROR(INDEX(사건마스터!$AJ$5:$AJ$64,MATCH($F546,사건마스터!$A$5:$A$64,0)),""))</f>
        <v/>
      </c>
      <c r="N546" s="136">
        <f>IF($F546="","",IFERROR(INDEX(사건마스터!$AK$5:$AK$64,MATCH($F546,사건마스터!$A$5:$A$64,0)),""))</f>
        <v/>
      </c>
      <c r="O546" s="136">
        <f>IF($F546="","",IFERROR(INDEX(사건마스터!$AL$5:$AL$64,MATCH($F546,사건마스터!$A$5:$A$64,0)),""))</f>
        <v/>
      </c>
      <c r="P546" s="136">
        <f>IF($F546="","",IFERROR(INDEX(사건마스터!$AM$5:$AM$64,MATCH($F546,사건마스터!$A$5:$A$64,0)),""))</f>
        <v/>
      </c>
      <c r="Q546" s="136">
        <f>IF($F546="","",IFERROR(INDEX(사건마스터!$AN$5:$AN$64,MATCH($F546,사건마스터!$A$5:$A$64,0)),""))</f>
        <v/>
      </c>
      <c r="R546" s="136">
        <f>IF($F546="","",IFERROR(INDEX(사건마스터!$AO$5:$AO$64,MATCH($F546,사건마스터!$A$5:$A$64,0)),""))</f>
        <v/>
      </c>
      <c r="S546" s="136">
        <f>IF($F546="","",IFERROR(INDEX(사건마스터!$AP$5:$AP$64,MATCH($F546,사건마스터!$A$5:$A$64,0)),""))</f>
        <v/>
      </c>
      <c r="T546" s="136">
        <f>IF($F546="","",IFERROR(INDEX(사건마스터!$AQ$5:$AQ$64,MATCH($F546,사건마스터!$A$5:$A$64,0)),""))</f>
        <v/>
      </c>
      <c r="U546" s="136">
        <f>IF($F546="","",IFERROR(INDEX(사건마스터!$AR$5:$AR$64,MATCH($F546,사건마스터!$A$5:$A$64,0)),""))</f>
        <v/>
      </c>
      <c r="V546" s="136">
        <f>IF($F546="","",IFERROR(INDEX(사건마스터!$AS$5:$AS$64,MATCH($F546,사건마스터!$A$5:$A$64,0)),""))</f>
        <v/>
      </c>
      <c r="W546" s="136">
        <f>IF($F546="","",IFERROR(INDEX(사건마스터!$AT$5:$AT$64,MATCH($F546,사건마스터!$A$5:$A$64,0)),""))</f>
        <v/>
      </c>
      <c r="X546" s="136">
        <f>IF($F546="","",IFERROR(INDEX(사건마스터!$AU$5:$AU$64,MATCH($F546,사건마스터!$A$5:$A$64,0)),""))</f>
        <v/>
      </c>
      <c r="Y546" s="136">
        <f>IF($F546="","",IFERROR(INDEX(사건마스터!$AV$5:$AV$64,MATCH($F546,사건마스터!$A$5:$A$64,0)),""))</f>
        <v/>
      </c>
      <c r="Z546" s="118">
        <f>IF(COUNTBLANK($J546:$Y546)=16,"",16-COUNTBLANK($J546:$Y546))</f>
        <v/>
      </c>
      <c r="AA546" s="33">
        <f>IF($J546="",MID($AX546,3,255),$J546&amp;$AX546)</f>
        <v/>
      </c>
      <c r="AB546" s="130">
        <f>IF($J546="","",IFERROR(INDEX(코드설정!$D$5:$D$24,MATCH($J546,코드설정!$C$5:$C$24,0)),""))</f>
        <v/>
      </c>
      <c r="AC546" s="36" t="n"/>
      <c r="AD546" s="37" t="n"/>
      <c r="AE546" s="38" t="n"/>
      <c r="AF546" s="118">
        <f>IF(OR($B546="",$C546=""),"",$C546-$B546+1)</f>
        <v/>
      </c>
      <c r="AG546" s="74" t="n"/>
      <c r="AH546" s="36" t="n"/>
      <c r="AJ546">
        <f>IF($K546="","",", "&amp;$K546)</f>
        <v/>
      </c>
      <c r="AK546">
        <f>AJ546&amp;IF($L546="","",", "&amp;$L546)</f>
        <v/>
      </c>
      <c r="AL546">
        <f>AK546&amp;IF($M546="","",", "&amp;$M546)</f>
        <v/>
      </c>
      <c r="AM546">
        <f>AL546&amp;IF($N546="","",", "&amp;$N546)</f>
        <v/>
      </c>
      <c r="AN546">
        <f>AM546&amp;IF($O546="","",", "&amp;$O546)</f>
        <v/>
      </c>
      <c r="AO546">
        <f>AN546&amp;IF($P546="","",", "&amp;$P546)</f>
        <v/>
      </c>
      <c r="AP546">
        <f>AO546&amp;IF($Q546="","",", "&amp;$Q546)</f>
        <v/>
      </c>
      <c r="AQ546">
        <f>AP546&amp;IF($R546="","",", "&amp;$R546)</f>
        <v/>
      </c>
      <c r="AR546">
        <f>AQ546&amp;IF($S546="","",", "&amp;$S546)</f>
        <v/>
      </c>
      <c r="AS546">
        <f>AR546&amp;IF($T546="","",", "&amp;$T546)</f>
        <v/>
      </c>
      <c r="AT546">
        <f>AS546&amp;IF($U546="","",", "&amp;$U546)</f>
        <v/>
      </c>
      <c r="AU546">
        <f>AT546&amp;IF($V546="","",", "&amp;$V546)</f>
        <v/>
      </c>
      <c r="AV546">
        <f>AU546&amp;IF($W546="","",", "&amp;$W546)</f>
        <v/>
      </c>
      <c r="AW546">
        <f>AV546&amp;IF($X546="","",", "&amp;$X546)</f>
        <v/>
      </c>
      <c r="AX546">
        <f>AW546&amp;IF($Y546="","",", "&amp;$Y546)</f>
        <v/>
      </c>
    </row>
    <row r="547">
      <c r="A547" s="118">
        <f>IF($B547="","",COUNT($B$5:$B547))</f>
        <v/>
      </c>
      <c r="B547" s="80" t="n"/>
      <c r="C547" s="80" t="n"/>
      <c r="D547" s="74" t="n"/>
      <c r="E547" s="74" t="n"/>
      <c r="F547" s="74" t="n"/>
      <c r="G547" s="118">
        <f>IF($F547="","",COUNTIF($F$5:$F547,$F547))</f>
        <v/>
      </c>
      <c r="H547" s="33">
        <f>IF($F547="","",IFERROR(INDEX(사건마스터!$B$5:$B$64,MATCH($F547,사건마스터!$A$5:$A$64,0)),""))</f>
        <v/>
      </c>
      <c r="I547" s="130">
        <f>IF($F547="","",IFERROR(INDEX(사건마스터!$C$5:$C$64,MATCH($F547,사건마스터!$A$5:$A$64,0)),""))</f>
        <v/>
      </c>
      <c r="J547" s="136">
        <f>IF($F547="","",IFERROR(INDEX(사건마스터!$H$5:$H$64,MATCH($F547,사건마스터!$A$5:$A$64,0)),""))</f>
        <v/>
      </c>
      <c r="K547" s="136">
        <f>IF($F547="","",IFERROR(INDEX(사건마스터!$AH$5:$AH$64,MATCH($F547,사건마스터!$A$5:$A$64,0)),""))</f>
        <v/>
      </c>
      <c r="L547" s="136">
        <f>IF($F547="","",IFERROR(INDEX(사건마스터!$AI$5:$AI$64,MATCH($F547,사건마스터!$A$5:$A$64,0)),""))</f>
        <v/>
      </c>
      <c r="M547" s="136">
        <f>IF($F547="","",IFERROR(INDEX(사건마스터!$AJ$5:$AJ$64,MATCH($F547,사건마스터!$A$5:$A$64,0)),""))</f>
        <v/>
      </c>
      <c r="N547" s="136">
        <f>IF($F547="","",IFERROR(INDEX(사건마스터!$AK$5:$AK$64,MATCH($F547,사건마스터!$A$5:$A$64,0)),""))</f>
        <v/>
      </c>
      <c r="O547" s="136">
        <f>IF($F547="","",IFERROR(INDEX(사건마스터!$AL$5:$AL$64,MATCH($F547,사건마스터!$A$5:$A$64,0)),""))</f>
        <v/>
      </c>
      <c r="P547" s="136">
        <f>IF($F547="","",IFERROR(INDEX(사건마스터!$AM$5:$AM$64,MATCH($F547,사건마스터!$A$5:$A$64,0)),""))</f>
        <v/>
      </c>
      <c r="Q547" s="136">
        <f>IF($F547="","",IFERROR(INDEX(사건마스터!$AN$5:$AN$64,MATCH($F547,사건마스터!$A$5:$A$64,0)),""))</f>
        <v/>
      </c>
      <c r="R547" s="136">
        <f>IF($F547="","",IFERROR(INDEX(사건마스터!$AO$5:$AO$64,MATCH($F547,사건마스터!$A$5:$A$64,0)),""))</f>
        <v/>
      </c>
      <c r="S547" s="136">
        <f>IF($F547="","",IFERROR(INDEX(사건마스터!$AP$5:$AP$64,MATCH($F547,사건마스터!$A$5:$A$64,0)),""))</f>
        <v/>
      </c>
      <c r="T547" s="136">
        <f>IF($F547="","",IFERROR(INDEX(사건마스터!$AQ$5:$AQ$64,MATCH($F547,사건마스터!$A$5:$A$64,0)),""))</f>
        <v/>
      </c>
      <c r="U547" s="136">
        <f>IF($F547="","",IFERROR(INDEX(사건마스터!$AR$5:$AR$64,MATCH($F547,사건마스터!$A$5:$A$64,0)),""))</f>
        <v/>
      </c>
      <c r="V547" s="136">
        <f>IF($F547="","",IFERROR(INDEX(사건마스터!$AS$5:$AS$64,MATCH($F547,사건마스터!$A$5:$A$64,0)),""))</f>
        <v/>
      </c>
      <c r="W547" s="136">
        <f>IF($F547="","",IFERROR(INDEX(사건마스터!$AT$5:$AT$64,MATCH($F547,사건마스터!$A$5:$A$64,0)),""))</f>
        <v/>
      </c>
      <c r="X547" s="136">
        <f>IF($F547="","",IFERROR(INDEX(사건마스터!$AU$5:$AU$64,MATCH($F547,사건마스터!$A$5:$A$64,0)),""))</f>
        <v/>
      </c>
      <c r="Y547" s="136">
        <f>IF($F547="","",IFERROR(INDEX(사건마스터!$AV$5:$AV$64,MATCH($F547,사건마스터!$A$5:$A$64,0)),""))</f>
        <v/>
      </c>
      <c r="Z547" s="118">
        <f>IF(COUNTBLANK($J547:$Y547)=16,"",16-COUNTBLANK($J547:$Y547))</f>
        <v/>
      </c>
      <c r="AA547" s="33">
        <f>IF($J547="",MID($AX547,3,255),$J547&amp;$AX547)</f>
        <v/>
      </c>
      <c r="AB547" s="130">
        <f>IF($J547="","",IFERROR(INDEX(코드설정!$D$5:$D$24,MATCH($J547,코드설정!$C$5:$C$24,0)),""))</f>
        <v/>
      </c>
      <c r="AC547" s="36" t="n"/>
      <c r="AD547" s="37" t="n"/>
      <c r="AE547" s="38" t="n"/>
      <c r="AF547" s="118">
        <f>IF(OR($B547="",$C547=""),"",$C547-$B547+1)</f>
        <v/>
      </c>
      <c r="AG547" s="74" t="n"/>
      <c r="AH547" s="36" t="n"/>
      <c r="AJ547">
        <f>IF($K547="","",", "&amp;$K547)</f>
        <v/>
      </c>
      <c r="AK547">
        <f>AJ547&amp;IF($L547="","",", "&amp;$L547)</f>
        <v/>
      </c>
      <c r="AL547">
        <f>AK547&amp;IF($M547="","",", "&amp;$M547)</f>
        <v/>
      </c>
      <c r="AM547">
        <f>AL547&amp;IF($N547="","",", "&amp;$N547)</f>
        <v/>
      </c>
      <c r="AN547">
        <f>AM547&amp;IF($O547="","",", "&amp;$O547)</f>
        <v/>
      </c>
      <c r="AO547">
        <f>AN547&amp;IF($P547="","",", "&amp;$P547)</f>
        <v/>
      </c>
      <c r="AP547">
        <f>AO547&amp;IF($Q547="","",", "&amp;$Q547)</f>
        <v/>
      </c>
      <c r="AQ547">
        <f>AP547&amp;IF($R547="","",", "&amp;$R547)</f>
        <v/>
      </c>
      <c r="AR547">
        <f>AQ547&amp;IF($S547="","",", "&amp;$S547)</f>
        <v/>
      </c>
      <c r="AS547">
        <f>AR547&amp;IF($T547="","",", "&amp;$T547)</f>
        <v/>
      </c>
      <c r="AT547">
        <f>AS547&amp;IF($U547="","",", "&amp;$U547)</f>
        <v/>
      </c>
      <c r="AU547">
        <f>AT547&amp;IF($V547="","",", "&amp;$V547)</f>
        <v/>
      </c>
      <c r="AV547">
        <f>AU547&amp;IF($W547="","",", "&amp;$W547)</f>
        <v/>
      </c>
      <c r="AW547">
        <f>AV547&amp;IF($X547="","",", "&amp;$X547)</f>
        <v/>
      </c>
      <c r="AX547">
        <f>AW547&amp;IF($Y547="","",", "&amp;$Y547)</f>
        <v/>
      </c>
    </row>
    <row r="548">
      <c r="A548" s="118">
        <f>IF($B548="","",COUNT($B$5:$B548))</f>
        <v/>
      </c>
      <c r="B548" s="80" t="n"/>
      <c r="C548" s="80" t="n"/>
      <c r="D548" s="74" t="n"/>
      <c r="E548" s="74" t="n"/>
      <c r="F548" s="74" t="n"/>
      <c r="G548" s="118">
        <f>IF($F548="","",COUNTIF($F$5:$F548,$F548))</f>
        <v/>
      </c>
      <c r="H548" s="33">
        <f>IF($F548="","",IFERROR(INDEX(사건마스터!$B$5:$B$64,MATCH($F548,사건마스터!$A$5:$A$64,0)),""))</f>
        <v/>
      </c>
      <c r="I548" s="130">
        <f>IF($F548="","",IFERROR(INDEX(사건마스터!$C$5:$C$64,MATCH($F548,사건마스터!$A$5:$A$64,0)),""))</f>
        <v/>
      </c>
      <c r="J548" s="136">
        <f>IF($F548="","",IFERROR(INDEX(사건마스터!$H$5:$H$64,MATCH($F548,사건마스터!$A$5:$A$64,0)),""))</f>
        <v/>
      </c>
      <c r="K548" s="136">
        <f>IF($F548="","",IFERROR(INDEX(사건마스터!$AH$5:$AH$64,MATCH($F548,사건마스터!$A$5:$A$64,0)),""))</f>
        <v/>
      </c>
      <c r="L548" s="136">
        <f>IF($F548="","",IFERROR(INDEX(사건마스터!$AI$5:$AI$64,MATCH($F548,사건마스터!$A$5:$A$64,0)),""))</f>
        <v/>
      </c>
      <c r="M548" s="136">
        <f>IF($F548="","",IFERROR(INDEX(사건마스터!$AJ$5:$AJ$64,MATCH($F548,사건마스터!$A$5:$A$64,0)),""))</f>
        <v/>
      </c>
      <c r="N548" s="136">
        <f>IF($F548="","",IFERROR(INDEX(사건마스터!$AK$5:$AK$64,MATCH($F548,사건마스터!$A$5:$A$64,0)),""))</f>
        <v/>
      </c>
      <c r="O548" s="136">
        <f>IF($F548="","",IFERROR(INDEX(사건마스터!$AL$5:$AL$64,MATCH($F548,사건마스터!$A$5:$A$64,0)),""))</f>
        <v/>
      </c>
      <c r="P548" s="136">
        <f>IF($F548="","",IFERROR(INDEX(사건마스터!$AM$5:$AM$64,MATCH($F548,사건마스터!$A$5:$A$64,0)),""))</f>
        <v/>
      </c>
      <c r="Q548" s="136">
        <f>IF($F548="","",IFERROR(INDEX(사건마스터!$AN$5:$AN$64,MATCH($F548,사건마스터!$A$5:$A$64,0)),""))</f>
        <v/>
      </c>
      <c r="R548" s="136">
        <f>IF($F548="","",IFERROR(INDEX(사건마스터!$AO$5:$AO$64,MATCH($F548,사건마스터!$A$5:$A$64,0)),""))</f>
        <v/>
      </c>
      <c r="S548" s="136">
        <f>IF($F548="","",IFERROR(INDEX(사건마스터!$AP$5:$AP$64,MATCH($F548,사건마스터!$A$5:$A$64,0)),""))</f>
        <v/>
      </c>
      <c r="T548" s="136">
        <f>IF($F548="","",IFERROR(INDEX(사건마스터!$AQ$5:$AQ$64,MATCH($F548,사건마스터!$A$5:$A$64,0)),""))</f>
        <v/>
      </c>
      <c r="U548" s="136">
        <f>IF($F548="","",IFERROR(INDEX(사건마스터!$AR$5:$AR$64,MATCH($F548,사건마스터!$A$5:$A$64,0)),""))</f>
        <v/>
      </c>
      <c r="V548" s="136">
        <f>IF($F548="","",IFERROR(INDEX(사건마스터!$AS$5:$AS$64,MATCH($F548,사건마스터!$A$5:$A$64,0)),""))</f>
        <v/>
      </c>
      <c r="W548" s="136">
        <f>IF($F548="","",IFERROR(INDEX(사건마스터!$AT$5:$AT$64,MATCH($F548,사건마스터!$A$5:$A$64,0)),""))</f>
        <v/>
      </c>
      <c r="X548" s="136">
        <f>IF($F548="","",IFERROR(INDEX(사건마스터!$AU$5:$AU$64,MATCH($F548,사건마스터!$A$5:$A$64,0)),""))</f>
        <v/>
      </c>
      <c r="Y548" s="136">
        <f>IF($F548="","",IFERROR(INDEX(사건마스터!$AV$5:$AV$64,MATCH($F548,사건마스터!$A$5:$A$64,0)),""))</f>
        <v/>
      </c>
      <c r="Z548" s="118">
        <f>IF(COUNTBLANK($J548:$Y548)=16,"",16-COUNTBLANK($J548:$Y548))</f>
        <v/>
      </c>
      <c r="AA548" s="33">
        <f>IF($J548="",MID($AX548,3,255),$J548&amp;$AX548)</f>
        <v/>
      </c>
      <c r="AB548" s="130">
        <f>IF($J548="","",IFERROR(INDEX(코드설정!$D$5:$D$24,MATCH($J548,코드설정!$C$5:$C$24,0)),""))</f>
        <v/>
      </c>
      <c r="AC548" s="36" t="n"/>
      <c r="AD548" s="37" t="n"/>
      <c r="AE548" s="38" t="n"/>
      <c r="AF548" s="118">
        <f>IF(OR($B548="",$C548=""),"",$C548-$B548+1)</f>
        <v/>
      </c>
      <c r="AG548" s="74" t="n"/>
      <c r="AH548" s="36" t="n"/>
      <c r="AJ548">
        <f>IF($K548="","",", "&amp;$K548)</f>
        <v/>
      </c>
      <c r="AK548">
        <f>AJ548&amp;IF($L548="","",", "&amp;$L548)</f>
        <v/>
      </c>
      <c r="AL548">
        <f>AK548&amp;IF($M548="","",", "&amp;$M548)</f>
        <v/>
      </c>
      <c r="AM548">
        <f>AL548&amp;IF($N548="","",", "&amp;$N548)</f>
        <v/>
      </c>
      <c r="AN548">
        <f>AM548&amp;IF($O548="","",", "&amp;$O548)</f>
        <v/>
      </c>
      <c r="AO548">
        <f>AN548&amp;IF($P548="","",", "&amp;$P548)</f>
        <v/>
      </c>
      <c r="AP548">
        <f>AO548&amp;IF($Q548="","",", "&amp;$Q548)</f>
        <v/>
      </c>
      <c r="AQ548">
        <f>AP548&amp;IF($R548="","",", "&amp;$R548)</f>
        <v/>
      </c>
      <c r="AR548">
        <f>AQ548&amp;IF($S548="","",", "&amp;$S548)</f>
        <v/>
      </c>
      <c r="AS548">
        <f>AR548&amp;IF($T548="","",", "&amp;$T548)</f>
        <v/>
      </c>
      <c r="AT548">
        <f>AS548&amp;IF($U548="","",", "&amp;$U548)</f>
        <v/>
      </c>
      <c r="AU548">
        <f>AT548&amp;IF($V548="","",", "&amp;$V548)</f>
        <v/>
      </c>
      <c r="AV548">
        <f>AU548&amp;IF($W548="","",", "&amp;$W548)</f>
        <v/>
      </c>
      <c r="AW548">
        <f>AV548&amp;IF($X548="","",", "&amp;$X548)</f>
        <v/>
      </c>
      <c r="AX548">
        <f>AW548&amp;IF($Y548="","",", "&amp;$Y548)</f>
        <v/>
      </c>
    </row>
    <row r="549">
      <c r="A549" s="118">
        <f>IF($B549="","",COUNT($B$5:$B549))</f>
        <v/>
      </c>
      <c r="B549" s="80" t="n"/>
      <c r="C549" s="80" t="n"/>
      <c r="D549" s="74" t="n"/>
      <c r="E549" s="74" t="n"/>
      <c r="F549" s="74" t="n"/>
      <c r="G549" s="118">
        <f>IF($F549="","",COUNTIF($F$5:$F549,$F549))</f>
        <v/>
      </c>
      <c r="H549" s="33">
        <f>IF($F549="","",IFERROR(INDEX(사건마스터!$B$5:$B$64,MATCH($F549,사건마스터!$A$5:$A$64,0)),""))</f>
        <v/>
      </c>
      <c r="I549" s="130">
        <f>IF($F549="","",IFERROR(INDEX(사건마스터!$C$5:$C$64,MATCH($F549,사건마스터!$A$5:$A$64,0)),""))</f>
        <v/>
      </c>
      <c r="J549" s="136">
        <f>IF($F549="","",IFERROR(INDEX(사건마스터!$H$5:$H$64,MATCH($F549,사건마스터!$A$5:$A$64,0)),""))</f>
        <v/>
      </c>
      <c r="K549" s="136">
        <f>IF($F549="","",IFERROR(INDEX(사건마스터!$AH$5:$AH$64,MATCH($F549,사건마스터!$A$5:$A$64,0)),""))</f>
        <v/>
      </c>
      <c r="L549" s="136">
        <f>IF($F549="","",IFERROR(INDEX(사건마스터!$AI$5:$AI$64,MATCH($F549,사건마스터!$A$5:$A$64,0)),""))</f>
        <v/>
      </c>
      <c r="M549" s="136">
        <f>IF($F549="","",IFERROR(INDEX(사건마스터!$AJ$5:$AJ$64,MATCH($F549,사건마스터!$A$5:$A$64,0)),""))</f>
        <v/>
      </c>
      <c r="N549" s="136">
        <f>IF($F549="","",IFERROR(INDEX(사건마스터!$AK$5:$AK$64,MATCH($F549,사건마스터!$A$5:$A$64,0)),""))</f>
        <v/>
      </c>
      <c r="O549" s="136">
        <f>IF($F549="","",IFERROR(INDEX(사건마스터!$AL$5:$AL$64,MATCH($F549,사건마스터!$A$5:$A$64,0)),""))</f>
        <v/>
      </c>
      <c r="P549" s="136">
        <f>IF($F549="","",IFERROR(INDEX(사건마스터!$AM$5:$AM$64,MATCH($F549,사건마스터!$A$5:$A$64,0)),""))</f>
        <v/>
      </c>
      <c r="Q549" s="136">
        <f>IF($F549="","",IFERROR(INDEX(사건마스터!$AN$5:$AN$64,MATCH($F549,사건마스터!$A$5:$A$64,0)),""))</f>
        <v/>
      </c>
      <c r="R549" s="136">
        <f>IF($F549="","",IFERROR(INDEX(사건마스터!$AO$5:$AO$64,MATCH($F549,사건마스터!$A$5:$A$64,0)),""))</f>
        <v/>
      </c>
      <c r="S549" s="136">
        <f>IF($F549="","",IFERROR(INDEX(사건마스터!$AP$5:$AP$64,MATCH($F549,사건마스터!$A$5:$A$64,0)),""))</f>
        <v/>
      </c>
      <c r="T549" s="136">
        <f>IF($F549="","",IFERROR(INDEX(사건마스터!$AQ$5:$AQ$64,MATCH($F549,사건마스터!$A$5:$A$64,0)),""))</f>
        <v/>
      </c>
      <c r="U549" s="136">
        <f>IF($F549="","",IFERROR(INDEX(사건마스터!$AR$5:$AR$64,MATCH($F549,사건마스터!$A$5:$A$64,0)),""))</f>
        <v/>
      </c>
      <c r="V549" s="136">
        <f>IF($F549="","",IFERROR(INDEX(사건마스터!$AS$5:$AS$64,MATCH($F549,사건마스터!$A$5:$A$64,0)),""))</f>
        <v/>
      </c>
      <c r="W549" s="136">
        <f>IF($F549="","",IFERROR(INDEX(사건마스터!$AT$5:$AT$64,MATCH($F549,사건마스터!$A$5:$A$64,0)),""))</f>
        <v/>
      </c>
      <c r="X549" s="136">
        <f>IF($F549="","",IFERROR(INDEX(사건마스터!$AU$5:$AU$64,MATCH($F549,사건마스터!$A$5:$A$64,0)),""))</f>
        <v/>
      </c>
      <c r="Y549" s="136">
        <f>IF($F549="","",IFERROR(INDEX(사건마스터!$AV$5:$AV$64,MATCH($F549,사건마스터!$A$5:$A$64,0)),""))</f>
        <v/>
      </c>
      <c r="Z549" s="118">
        <f>IF(COUNTBLANK($J549:$Y549)=16,"",16-COUNTBLANK($J549:$Y549))</f>
        <v/>
      </c>
      <c r="AA549" s="33">
        <f>IF($J549="",MID($AX549,3,255),$J549&amp;$AX549)</f>
        <v/>
      </c>
      <c r="AB549" s="130">
        <f>IF($J549="","",IFERROR(INDEX(코드설정!$D$5:$D$24,MATCH($J549,코드설정!$C$5:$C$24,0)),""))</f>
        <v/>
      </c>
      <c r="AC549" s="36" t="n"/>
      <c r="AD549" s="37" t="n"/>
      <c r="AE549" s="38" t="n"/>
      <c r="AF549" s="118">
        <f>IF(OR($B549="",$C549=""),"",$C549-$B549+1)</f>
        <v/>
      </c>
      <c r="AG549" s="74" t="n"/>
      <c r="AH549" s="36" t="n"/>
      <c r="AJ549">
        <f>IF($K549="","",", "&amp;$K549)</f>
        <v/>
      </c>
      <c r="AK549">
        <f>AJ549&amp;IF($L549="","",", "&amp;$L549)</f>
        <v/>
      </c>
      <c r="AL549">
        <f>AK549&amp;IF($M549="","",", "&amp;$M549)</f>
        <v/>
      </c>
      <c r="AM549">
        <f>AL549&amp;IF($N549="","",", "&amp;$N549)</f>
        <v/>
      </c>
      <c r="AN549">
        <f>AM549&amp;IF($O549="","",", "&amp;$O549)</f>
        <v/>
      </c>
      <c r="AO549">
        <f>AN549&amp;IF($P549="","",", "&amp;$P549)</f>
        <v/>
      </c>
      <c r="AP549">
        <f>AO549&amp;IF($Q549="","",", "&amp;$Q549)</f>
        <v/>
      </c>
      <c r="AQ549">
        <f>AP549&amp;IF($R549="","",", "&amp;$R549)</f>
        <v/>
      </c>
      <c r="AR549">
        <f>AQ549&amp;IF($S549="","",", "&amp;$S549)</f>
        <v/>
      </c>
      <c r="AS549">
        <f>AR549&amp;IF($T549="","",", "&amp;$T549)</f>
        <v/>
      </c>
      <c r="AT549">
        <f>AS549&amp;IF($U549="","",", "&amp;$U549)</f>
        <v/>
      </c>
      <c r="AU549">
        <f>AT549&amp;IF($V549="","",", "&amp;$V549)</f>
        <v/>
      </c>
      <c r="AV549">
        <f>AU549&amp;IF($W549="","",", "&amp;$W549)</f>
        <v/>
      </c>
      <c r="AW549">
        <f>AV549&amp;IF($X549="","",", "&amp;$X549)</f>
        <v/>
      </c>
      <c r="AX549">
        <f>AW549&amp;IF($Y549="","",", "&amp;$Y549)</f>
        <v/>
      </c>
    </row>
    <row r="550">
      <c r="A550" s="118">
        <f>IF($B550="","",COUNT($B$5:$B550))</f>
        <v/>
      </c>
      <c r="B550" s="80" t="n"/>
      <c r="C550" s="80" t="n"/>
      <c r="D550" s="74" t="n"/>
      <c r="E550" s="74" t="n"/>
      <c r="F550" s="74" t="n"/>
      <c r="G550" s="118">
        <f>IF($F550="","",COUNTIF($F$5:$F550,$F550))</f>
        <v/>
      </c>
      <c r="H550" s="33">
        <f>IF($F550="","",IFERROR(INDEX(사건마스터!$B$5:$B$64,MATCH($F550,사건마스터!$A$5:$A$64,0)),""))</f>
        <v/>
      </c>
      <c r="I550" s="130">
        <f>IF($F550="","",IFERROR(INDEX(사건마스터!$C$5:$C$64,MATCH($F550,사건마스터!$A$5:$A$64,0)),""))</f>
        <v/>
      </c>
      <c r="J550" s="136">
        <f>IF($F550="","",IFERROR(INDEX(사건마스터!$H$5:$H$64,MATCH($F550,사건마스터!$A$5:$A$64,0)),""))</f>
        <v/>
      </c>
      <c r="K550" s="136">
        <f>IF($F550="","",IFERROR(INDEX(사건마스터!$AH$5:$AH$64,MATCH($F550,사건마스터!$A$5:$A$64,0)),""))</f>
        <v/>
      </c>
      <c r="L550" s="136">
        <f>IF($F550="","",IFERROR(INDEX(사건마스터!$AI$5:$AI$64,MATCH($F550,사건마스터!$A$5:$A$64,0)),""))</f>
        <v/>
      </c>
      <c r="M550" s="136">
        <f>IF($F550="","",IFERROR(INDEX(사건마스터!$AJ$5:$AJ$64,MATCH($F550,사건마스터!$A$5:$A$64,0)),""))</f>
        <v/>
      </c>
      <c r="N550" s="136">
        <f>IF($F550="","",IFERROR(INDEX(사건마스터!$AK$5:$AK$64,MATCH($F550,사건마스터!$A$5:$A$64,0)),""))</f>
        <v/>
      </c>
      <c r="O550" s="136">
        <f>IF($F550="","",IFERROR(INDEX(사건마스터!$AL$5:$AL$64,MATCH($F550,사건마스터!$A$5:$A$64,0)),""))</f>
        <v/>
      </c>
      <c r="P550" s="136">
        <f>IF($F550="","",IFERROR(INDEX(사건마스터!$AM$5:$AM$64,MATCH($F550,사건마스터!$A$5:$A$64,0)),""))</f>
        <v/>
      </c>
      <c r="Q550" s="136">
        <f>IF($F550="","",IFERROR(INDEX(사건마스터!$AN$5:$AN$64,MATCH($F550,사건마스터!$A$5:$A$64,0)),""))</f>
        <v/>
      </c>
      <c r="R550" s="136">
        <f>IF($F550="","",IFERROR(INDEX(사건마스터!$AO$5:$AO$64,MATCH($F550,사건마스터!$A$5:$A$64,0)),""))</f>
        <v/>
      </c>
      <c r="S550" s="136">
        <f>IF($F550="","",IFERROR(INDEX(사건마스터!$AP$5:$AP$64,MATCH($F550,사건마스터!$A$5:$A$64,0)),""))</f>
        <v/>
      </c>
      <c r="T550" s="136">
        <f>IF($F550="","",IFERROR(INDEX(사건마스터!$AQ$5:$AQ$64,MATCH($F550,사건마스터!$A$5:$A$64,0)),""))</f>
        <v/>
      </c>
      <c r="U550" s="136">
        <f>IF($F550="","",IFERROR(INDEX(사건마스터!$AR$5:$AR$64,MATCH($F550,사건마스터!$A$5:$A$64,0)),""))</f>
        <v/>
      </c>
      <c r="V550" s="136">
        <f>IF($F550="","",IFERROR(INDEX(사건마스터!$AS$5:$AS$64,MATCH($F550,사건마스터!$A$5:$A$64,0)),""))</f>
        <v/>
      </c>
      <c r="W550" s="136">
        <f>IF($F550="","",IFERROR(INDEX(사건마스터!$AT$5:$AT$64,MATCH($F550,사건마스터!$A$5:$A$64,0)),""))</f>
        <v/>
      </c>
      <c r="X550" s="136">
        <f>IF($F550="","",IFERROR(INDEX(사건마스터!$AU$5:$AU$64,MATCH($F550,사건마스터!$A$5:$A$64,0)),""))</f>
        <v/>
      </c>
      <c r="Y550" s="136">
        <f>IF($F550="","",IFERROR(INDEX(사건마스터!$AV$5:$AV$64,MATCH($F550,사건마스터!$A$5:$A$64,0)),""))</f>
        <v/>
      </c>
      <c r="Z550" s="118">
        <f>IF(COUNTBLANK($J550:$Y550)=16,"",16-COUNTBLANK($J550:$Y550))</f>
        <v/>
      </c>
      <c r="AA550" s="33">
        <f>IF($J550="",MID($AX550,3,255),$J550&amp;$AX550)</f>
        <v/>
      </c>
      <c r="AB550" s="130">
        <f>IF($J550="","",IFERROR(INDEX(코드설정!$D$5:$D$24,MATCH($J550,코드설정!$C$5:$C$24,0)),""))</f>
        <v/>
      </c>
      <c r="AC550" s="36" t="n"/>
      <c r="AD550" s="37" t="n"/>
      <c r="AE550" s="38" t="n"/>
      <c r="AF550" s="118">
        <f>IF(OR($B550="",$C550=""),"",$C550-$B550+1)</f>
        <v/>
      </c>
      <c r="AG550" s="74" t="n"/>
      <c r="AH550" s="36" t="n"/>
      <c r="AJ550">
        <f>IF($K550="","",", "&amp;$K550)</f>
        <v/>
      </c>
      <c r="AK550">
        <f>AJ550&amp;IF($L550="","",", "&amp;$L550)</f>
        <v/>
      </c>
      <c r="AL550">
        <f>AK550&amp;IF($M550="","",", "&amp;$M550)</f>
        <v/>
      </c>
      <c r="AM550">
        <f>AL550&amp;IF($N550="","",", "&amp;$N550)</f>
        <v/>
      </c>
      <c r="AN550">
        <f>AM550&amp;IF($O550="","",", "&amp;$O550)</f>
        <v/>
      </c>
      <c r="AO550">
        <f>AN550&amp;IF($P550="","",", "&amp;$P550)</f>
        <v/>
      </c>
      <c r="AP550">
        <f>AO550&amp;IF($Q550="","",", "&amp;$Q550)</f>
        <v/>
      </c>
      <c r="AQ550">
        <f>AP550&amp;IF($R550="","",", "&amp;$R550)</f>
        <v/>
      </c>
      <c r="AR550">
        <f>AQ550&amp;IF($S550="","",", "&amp;$S550)</f>
        <v/>
      </c>
      <c r="AS550">
        <f>AR550&amp;IF($T550="","",", "&amp;$T550)</f>
        <v/>
      </c>
      <c r="AT550">
        <f>AS550&amp;IF($U550="","",", "&amp;$U550)</f>
        <v/>
      </c>
      <c r="AU550">
        <f>AT550&amp;IF($V550="","",", "&amp;$V550)</f>
        <v/>
      </c>
      <c r="AV550">
        <f>AU550&amp;IF($W550="","",", "&amp;$W550)</f>
        <v/>
      </c>
      <c r="AW550">
        <f>AV550&amp;IF($X550="","",", "&amp;$X550)</f>
        <v/>
      </c>
      <c r="AX550">
        <f>AW550&amp;IF($Y550="","",", "&amp;$Y550)</f>
        <v/>
      </c>
    </row>
    <row r="551">
      <c r="A551" s="118">
        <f>IF($B551="","",COUNT($B$5:$B551))</f>
        <v/>
      </c>
      <c r="B551" s="80" t="n"/>
      <c r="C551" s="80" t="n"/>
      <c r="D551" s="74" t="n"/>
      <c r="E551" s="74" t="n"/>
      <c r="F551" s="74" t="n"/>
      <c r="G551" s="118">
        <f>IF($F551="","",COUNTIF($F$5:$F551,$F551))</f>
        <v/>
      </c>
      <c r="H551" s="33">
        <f>IF($F551="","",IFERROR(INDEX(사건마스터!$B$5:$B$64,MATCH($F551,사건마스터!$A$5:$A$64,0)),""))</f>
        <v/>
      </c>
      <c r="I551" s="130">
        <f>IF($F551="","",IFERROR(INDEX(사건마스터!$C$5:$C$64,MATCH($F551,사건마스터!$A$5:$A$64,0)),""))</f>
        <v/>
      </c>
      <c r="J551" s="136">
        <f>IF($F551="","",IFERROR(INDEX(사건마스터!$H$5:$H$64,MATCH($F551,사건마스터!$A$5:$A$64,0)),""))</f>
        <v/>
      </c>
      <c r="K551" s="136">
        <f>IF($F551="","",IFERROR(INDEX(사건마스터!$AH$5:$AH$64,MATCH($F551,사건마스터!$A$5:$A$64,0)),""))</f>
        <v/>
      </c>
      <c r="L551" s="136">
        <f>IF($F551="","",IFERROR(INDEX(사건마스터!$AI$5:$AI$64,MATCH($F551,사건마스터!$A$5:$A$64,0)),""))</f>
        <v/>
      </c>
      <c r="M551" s="136">
        <f>IF($F551="","",IFERROR(INDEX(사건마스터!$AJ$5:$AJ$64,MATCH($F551,사건마스터!$A$5:$A$64,0)),""))</f>
        <v/>
      </c>
      <c r="N551" s="136">
        <f>IF($F551="","",IFERROR(INDEX(사건마스터!$AK$5:$AK$64,MATCH($F551,사건마스터!$A$5:$A$64,0)),""))</f>
        <v/>
      </c>
      <c r="O551" s="136">
        <f>IF($F551="","",IFERROR(INDEX(사건마스터!$AL$5:$AL$64,MATCH($F551,사건마스터!$A$5:$A$64,0)),""))</f>
        <v/>
      </c>
      <c r="P551" s="136">
        <f>IF($F551="","",IFERROR(INDEX(사건마스터!$AM$5:$AM$64,MATCH($F551,사건마스터!$A$5:$A$64,0)),""))</f>
        <v/>
      </c>
      <c r="Q551" s="136">
        <f>IF($F551="","",IFERROR(INDEX(사건마스터!$AN$5:$AN$64,MATCH($F551,사건마스터!$A$5:$A$64,0)),""))</f>
        <v/>
      </c>
      <c r="R551" s="136">
        <f>IF($F551="","",IFERROR(INDEX(사건마스터!$AO$5:$AO$64,MATCH($F551,사건마스터!$A$5:$A$64,0)),""))</f>
        <v/>
      </c>
      <c r="S551" s="136">
        <f>IF($F551="","",IFERROR(INDEX(사건마스터!$AP$5:$AP$64,MATCH($F551,사건마스터!$A$5:$A$64,0)),""))</f>
        <v/>
      </c>
      <c r="T551" s="136">
        <f>IF($F551="","",IFERROR(INDEX(사건마스터!$AQ$5:$AQ$64,MATCH($F551,사건마스터!$A$5:$A$64,0)),""))</f>
        <v/>
      </c>
      <c r="U551" s="136">
        <f>IF($F551="","",IFERROR(INDEX(사건마스터!$AR$5:$AR$64,MATCH($F551,사건마스터!$A$5:$A$64,0)),""))</f>
        <v/>
      </c>
      <c r="V551" s="136">
        <f>IF($F551="","",IFERROR(INDEX(사건마스터!$AS$5:$AS$64,MATCH($F551,사건마스터!$A$5:$A$64,0)),""))</f>
        <v/>
      </c>
      <c r="W551" s="136">
        <f>IF($F551="","",IFERROR(INDEX(사건마스터!$AT$5:$AT$64,MATCH($F551,사건마스터!$A$5:$A$64,0)),""))</f>
        <v/>
      </c>
      <c r="X551" s="136">
        <f>IF($F551="","",IFERROR(INDEX(사건마스터!$AU$5:$AU$64,MATCH($F551,사건마스터!$A$5:$A$64,0)),""))</f>
        <v/>
      </c>
      <c r="Y551" s="136">
        <f>IF($F551="","",IFERROR(INDEX(사건마스터!$AV$5:$AV$64,MATCH($F551,사건마스터!$A$5:$A$64,0)),""))</f>
        <v/>
      </c>
      <c r="Z551" s="118">
        <f>IF(COUNTBLANK($J551:$Y551)=16,"",16-COUNTBLANK($J551:$Y551))</f>
        <v/>
      </c>
      <c r="AA551" s="33">
        <f>IF($J551="",MID($AX551,3,255),$J551&amp;$AX551)</f>
        <v/>
      </c>
      <c r="AB551" s="130">
        <f>IF($J551="","",IFERROR(INDEX(코드설정!$D$5:$D$24,MATCH($J551,코드설정!$C$5:$C$24,0)),""))</f>
        <v/>
      </c>
      <c r="AC551" s="36" t="n"/>
      <c r="AD551" s="37" t="n"/>
      <c r="AE551" s="38" t="n"/>
      <c r="AF551" s="118">
        <f>IF(OR($B551="",$C551=""),"",$C551-$B551+1)</f>
        <v/>
      </c>
      <c r="AG551" s="74" t="n"/>
      <c r="AH551" s="36" t="n"/>
      <c r="AJ551">
        <f>IF($K551="","",", "&amp;$K551)</f>
        <v/>
      </c>
      <c r="AK551">
        <f>AJ551&amp;IF($L551="","",", "&amp;$L551)</f>
        <v/>
      </c>
      <c r="AL551">
        <f>AK551&amp;IF($M551="","",", "&amp;$M551)</f>
        <v/>
      </c>
      <c r="AM551">
        <f>AL551&amp;IF($N551="","",", "&amp;$N551)</f>
        <v/>
      </c>
      <c r="AN551">
        <f>AM551&amp;IF($O551="","",", "&amp;$O551)</f>
        <v/>
      </c>
      <c r="AO551">
        <f>AN551&amp;IF($P551="","",", "&amp;$P551)</f>
        <v/>
      </c>
      <c r="AP551">
        <f>AO551&amp;IF($Q551="","",", "&amp;$Q551)</f>
        <v/>
      </c>
      <c r="AQ551">
        <f>AP551&amp;IF($R551="","",", "&amp;$R551)</f>
        <v/>
      </c>
      <c r="AR551">
        <f>AQ551&amp;IF($S551="","",", "&amp;$S551)</f>
        <v/>
      </c>
      <c r="AS551">
        <f>AR551&amp;IF($T551="","",", "&amp;$T551)</f>
        <v/>
      </c>
      <c r="AT551">
        <f>AS551&amp;IF($U551="","",", "&amp;$U551)</f>
        <v/>
      </c>
      <c r="AU551">
        <f>AT551&amp;IF($V551="","",", "&amp;$V551)</f>
        <v/>
      </c>
      <c r="AV551">
        <f>AU551&amp;IF($W551="","",", "&amp;$W551)</f>
        <v/>
      </c>
      <c r="AW551">
        <f>AV551&amp;IF($X551="","",", "&amp;$X551)</f>
        <v/>
      </c>
      <c r="AX551">
        <f>AW551&amp;IF($Y551="","",", "&amp;$Y551)</f>
        <v/>
      </c>
    </row>
    <row r="552">
      <c r="A552" s="118">
        <f>IF($B552="","",COUNT($B$5:$B552))</f>
        <v/>
      </c>
      <c r="B552" s="80" t="n"/>
      <c r="C552" s="80" t="n"/>
      <c r="D552" s="74" t="n"/>
      <c r="E552" s="74" t="n"/>
      <c r="F552" s="74" t="n"/>
      <c r="G552" s="118">
        <f>IF($F552="","",COUNTIF($F$5:$F552,$F552))</f>
        <v/>
      </c>
      <c r="H552" s="33">
        <f>IF($F552="","",IFERROR(INDEX(사건마스터!$B$5:$B$64,MATCH($F552,사건마스터!$A$5:$A$64,0)),""))</f>
        <v/>
      </c>
      <c r="I552" s="130">
        <f>IF($F552="","",IFERROR(INDEX(사건마스터!$C$5:$C$64,MATCH($F552,사건마스터!$A$5:$A$64,0)),""))</f>
        <v/>
      </c>
      <c r="J552" s="136">
        <f>IF($F552="","",IFERROR(INDEX(사건마스터!$H$5:$H$64,MATCH($F552,사건마스터!$A$5:$A$64,0)),""))</f>
        <v/>
      </c>
      <c r="K552" s="136">
        <f>IF($F552="","",IFERROR(INDEX(사건마스터!$AH$5:$AH$64,MATCH($F552,사건마스터!$A$5:$A$64,0)),""))</f>
        <v/>
      </c>
      <c r="L552" s="136">
        <f>IF($F552="","",IFERROR(INDEX(사건마스터!$AI$5:$AI$64,MATCH($F552,사건마스터!$A$5:$A$64,0)),""))</f>
        <v/>
      </c>
      <c r="M552" s="136">
        <f>IF($F552="","",IFERROR(INDEX(사건마스터!$AJ$5:$AJ$64,MATCH($F552,사건마스터!$A$5:$A$64,0)),""))</f>
        <v/>
      </c>
      <c r="N552" s="136">
        <f>IF($F552="","",IFERROR(INDEX(사건마스터!$AK$5:$AK$64,MATCH($F552,사건마스터!$A$5:$A$64,0)),""))</f>
        <v/>
      </c>
      <c r="O552" s="136">
        <f>IF($F552="","",IFERROR(INDEX(사건마스터!$AL$5:$AL$64,MATCH($F552,사건마스터!$A$5:$A$64,0)),""))</f>
        <v/>
      </c>
      <c r="P552" s="136">
        <f>IF($F552="","",IFERROR(INDEX(사건마스터!$AM$5:$AM$64,MATCH($F552,사건마스터!$A$5:$A$64,0)),""))</f>
        <v/>
      </c>
      <c r="Q552" s="136">
        <f>IF($F552="","",IFERROR(INDEX(사건마스터!$AN$5:$AN$64,MATCH($F552,사건마스터!$A$5:$A$64,0)),""))</f>
        <v/>
      </c>
      <c r="R552" s="136">
        <f>IF($F552="","",IFERROR(INDEX(사건마스터!$AO$5:$AO$64,MATCH($F552,사건마스터!$A$5:$A$64,0)),""))</f>
        <v/>
      </c>
      <c r="S552" s="136">
        <f>IF($F552="","",IFERROR(INDEX(사건마스터!$AP$5:$AP$64,MATCH($F552,사건마스터!$A$5:$A$64,0)),""))</f>
        <v/>
      </c>
      <c r="T552" s="136">
        <f>IF($F552="","",IFERROR(INDEX(사건마스터!$AQ$5:$AQ$64,MATCH($F552,사건마스터!$A$5:$A$64,0)),""))</f>
        <v/>
      </c>
      <c r="U552" s="136">
        <f>IF($F552="","",IFERROR(INDEX(사건마스터!$AR$5:$AR$64,MATCH($F552,사건마스터!$A$5:$A$64,0)),""))</f>
        <v/>
      </c>
      <c r="V552" s="136">
        <f>IF($F552="","",IFERROR(INDEX(사건마스터!$AS$5:$AS$64,MATCH($F552,사건마스터!$A$5:$A$64,0)),""))</f>
        <v/>
      </c>
      <c r="W552" s="136">
        <f>IF($F552="","",IFERROR(INDEX(사건마스터!$AT$5:$AT$64,MATCH($F552,사건마스터!$A$5:$A$64,0)),""))</f>
        <v/>
      </c>
      <c r="X552" s="136">
        <f>IF($F552="","",IFERROR(INDEX(사건마스터!$AU$5:$AU$64,MATCH($F552,사건마스터!$A$5:$A$64,0)),""))</f>
        <v/>
      </c>
      <c r="Y552" s="136">
        <f>IF($F552="","",IFERROR(INDEX(사건마스터!$AV$5:$AV$64,MATCH($F552,사건마스터!$A$5:$A$64,0)),""))</f>
        <v/>
      </c>
      <c r="Z552" s="118">
        <f>IF(COUNTBLANK($J552:$Y552)=16,"",16-COUNTBLANK($J552:$Y552))</f>
        <v/>
      </c>
      <c r="AA552" s="33">
        <f>IF($J552="",MID($AX552,3,255),$J552&amp;$AX552)</f>
        <v/>
      </c>
      <c r="AB552" s="130">
        <f>IF($J552="","",IFERROR(INDEX(코드설정!$D$5:$D$24,MATCH($J552,코드설정!$C$5:$C$24,0)),""))</f>
        <v/>
      </c>
      <c r="AC552" s="36" t="n"/>
      <c r="AD552" s="37" t="n"/>
      <c r="AE552" s="38" t="n"/>
      <c r="AF552" s="118">
        <f>IF(OR($B552="",$C552=""),"",$C552-$B552+1)</f>
        <v/>
      </c>
      <c r="AG552" s="74" t="n"/>
      <c r="AH552" s="36" t="n"/>
      <c r="AJ552">
        <f>IF($K552="","",", "&amp;$K552)</f>
        <v/>
      </c>
      <c r="AK552">
        <f>AJ552&amp;IF($L552="","",", "&amp;$L552)</f>
        <v/>
      </c>
      <c r="AL552">
        <f>AK552&amp;IF($M552="","",", "&amp;$M552)</f>
        <v/>
      </c>
      <c r="AM552">
        <f>AL552&amp;IF($N552="","",", "&amp;$N552)</f>
        <v/>
      </c>
      <c r="AN552">
        <f>AM552&amp;IF($O552="","",", "&amp;$O552)</f>
        <v/>
      </c>
      <c r="AO552">
        <f>AN552&amp;IF($P552="","",", "&amp;$P552)</f>
        <v/>
      </c>
      <c r="AP552">
        <f>AO552&amp;IF($Q552="","",", "&amp;$Q552)</f>
        <v/>
      </c>
      <c r="AQ552">
        <f>AP552&amp;IF($R552="","",", "&amp;$R552)</f>
        <v/>
      </c>
      <c r="AR552">
        <f>AQ552&amp;IF($S552="","",", "&amp;$S552)</f>
        <v/>
      </c>
      <c r="AS552">
        <f>AR552&amp;IF($T552="","",", "&amp;$T552)</f>
        <v/>
      </c>
      <c r="AT552">
        <f>AS552&amp;IF($U552="","",", "&amp;$U552)</f>
        <v/>
      </c>
      <c r="AU552">
        <f>AT552&amp;IF($V552="","",", "&amp;$V552)</f>
        <v/>
      </c>
      <c r="AV552">
        <f>AU552&amp;IF($W552="","",", "&amp;$W552)</f>
        <v/>
      </c>
      <c r="AW552">
        <f>AV552&amp;IF($X552="","",", "&amp;$X552)</f>
        <v/>
      </c>
      <c r="AX552">
        <f>AW552&amp;IF($Y552="","",", "&amp;$Y552)</f>
        <v/>
      </c>
    </row>
    <row r="553">
      <c r="A553" s="118">
        <f>IF($B553="","",COUNT($B$5:$B553))</f>
        <v/>
      </c>
      <c r="B553" s="80" t="n"/>
      <c r="C553" s="80" t="n"/>
      <c r="D553" s="74" t="n"/>
      <c r="E553" s="74" t="n"/>
      <c r="F553" s="74" t="n"/>
      <c r="G553" s="118">
        <f>IF($F553="","",COUNTIF($F$5:$F553,$F553))</f>
        <v/>
      </c>
      <c r="H553" s="33">
        <f>IF($F553="","",IFERROR(INDEX(사건마스터!$B$5:$B$64,MATCH($F553,사건마스터!$A$5:$A$64,0)),""))</f>
        <v/>
      </c>
      <c r="I553" s="130">
        <f>IF($F553="","",IFERROR(INDEX(사건마스터!$C$5:$C$64,MATCH($F553,사건마스터!$A$5:$A$64,0)),""))</f>
        <v/>
      </c>
      <c r="J553" s="136">
        <f>IF($F553="","",IFERROR(INDEX(사건마스터!$H$5:$H$64,MATCH($F553,사건마스터!$A$5:$A$64,0)),""))</f>
        <v/>
      </c>
      <c r="K553" s="136">
        <f>IF($F553="","",IFERROR(INDEX(사건마스터!$AH$5:$AH$64,MATCH($F553,사건마스터!$A$5:$A$64,0)),""))</f>
        <v/>
      </c>
      <c r="L553" s="136">
        <f>IF($F553="","",IFERROR(INDEX(사건마스터!$AI$5:$AI$64,MATCH($F553,사건마스터!$A$5:$A$64,0)),""))</f>
        <v/>
      </c>
      <c r="M553" s="136">
        <f>IF($F553="","",IFERROR(INDEX(사건마스터!$AJ$5:$AJ$64,MATCH($F553,사건마스터!$A$5:$A$64,0)),""))</f>
        <v/>
      </c>
      <c r="N553" s="136">
        <f>IF($F553="","",IFERROR(INDEX(사건마스터!$AK$5:$AK$64,MATCH($F553,사건마스터!$A$5:$A$64,0)),""))</f>
        <v/>
      </c>
      <c r="O553" s="136">
        <f>IF($F553="","",IFERROR(INDEX(사건마스터!$AL$5:$AL$64,MATCH($F553,사건마스터!$A$5:$A$64,0)),""))</f>
        <v/>
      </c>
      <c r="P553" s="136">
        <f>IF($F553="","",IFERROR(INDEX(사건마스터!$AM$5:$AM$64,MATCH($F553,사건마스터!$A$5:$A$64,0)),""))</f>
        <v/>
      </c>
      <c r="Q553" s="136">
        <f>IF($F553="","",IFERROR(INDEX(사건마스터!$AN$5:$AN$64,MATCH($F553,사건마스터!$A$5:$A$64,0)),""))</f>
        <v/>
      </c>
      <c r="R553" s="136">
        <f>IF($F553="","",IFERROR(INDEX(사건마스터!$AO$5:$AO$64,MATCH($F553,사건마스터!$A$5:$A$64,0)),""))</f>
        <v/>
      </c>
      <c r="S553" s="136">
        <f>IF($F553="","",IFERROR(INDEX(사건마스터!$AP$5:$AP$64,MATCH($F553,사건마스터!$A$5:$A$64,0)),""))</f>
        <v/>
      </c>
      <c r="T553" s="136">
        <f>IF($F553="","",IFERROR(INDEX(사건마스터!$AQ$5:$AQ$64,MATCH($F553,사건마스터!$A$5:$A$64,0)),""))</f>
        <v/>
      </c>
      <c r="U553" s="136">
        <f>IF($F553="","",IFERROR(INDEX(사건마스터!$AR$5:$AR$64,MATCH($F553,사건마스터!$A$5:$A$64,0)),""))</f>
        <v/>
      </c>
      <c r="V553" s="136">
        <f>IF($F553="","",IFERROR(INDEX(사건마스터!$AS$5:$AS$64,MATCH($F553,사건마스터!$A$5:$A$64,0)),""))</f>
        <v/>
      </c>
      <c r="W553" s="136">
        <f>IF($F553="","",IFERROR(INDEX(사건마스터!$AT$5:$AT$64,MATCH($F553,사건마스터!$A$5:$A$64,0)),""))</f>
        <v/>
      </c>
      <c r="X553" s="136">
        <f>IF($F553="","",IFERROR(INDEX(사건마스터!$AU$5:$AU$64,MATCH($F553,사건마스터!$A$5:$A$64,0)),""))</f>
        <v/>
      </c>
      <c r="Y553" s="136">
        <f>IF($F553="","",IFERROR(INDEX(사건마스터!$AV$5:$AV$64,MATCH($F553,사건마스터!$A$5:$A$64,0)),""))</f>
        <v/>
      </c>
      <c r="Z553" s="118">
        <f>IF(COUNTBLANK($J553:$Y553)=16,"",16-COUNTBLANK($J553:$Y553))</f>
        <v/>
      </c>
      <c r="AA553" s="33">
        <f>IF($J553="",MID($AX553,3,255),$J553&amp;$AX553)</f>
        <v/>
      </c>
      <c r="AB553" s="130">
        <f>IF($J553="","",IFERROR(INDEX(코드설정!$D$5:$D$24,MATCH($J553,코드설정!$C$5:$C$24,0)),""))</f>
        <v/>
      </c>
      <c r="AC553" s="36" t="n"/>
      <c r="AD553" s="37" t="n"/>
      <c r="AE553" s="38" t="n"/>
      <c r="AF553" s="118">
        <f>IF(OR($B553="",$C553=""),"",$C553-$B553+1)</f>
        <v/>
      </c>
      <c r="AG553" s="74" t="n"/>
      <c r="AH553" s="36" t="n"/>
      <c r="AJ553">
        <f>IF($K553="","",", "&amp;$K553)</f>
        <v/>
      </c>
      <c r="AK553">
        <f>AJ553&amp;IF($L553="","",", "&amp;$L553)</f>
        <v/>
      </c>
      <c r="AL553">
        <f>AK553&amp;IF($M553="","",", "&amp;$M553)</f>
        <v/>
      </c>
      <c r="AM553">
        <f>AL553&amp;IF($N553="","",", "&amp;$N553)</f>
        <v/>
      </c>
      <c r="AN553">
        <f>AM553&amp;IF($O553="","",", "&amp;$O553)</f>
        <v/>
      </c>
      <c r="AO553">
        <f>AN553&amp;IF($P553="","",", "&amp;$P553)</f>
        <v/>
      </c>
      <c r="AP553">
        <f>AO553&amp;IF($Q553="","",", "&amp;$Q553)</f>
        <v/>
      </c>
      <c r="AQ553">
        <f>AP553&amp;IF($R553="","",", "&amp;$R553)</f>
        <v/>
      </c>
      <c r="AR553">
        <f>AQ553&amp;IF($S553="","",", "&amp;$S553)</f>
        <v/>
      </c>
      <c r="AS553">
        <f>AR553&amp;IF($T553="","",", "&amp;$T553)</f>
        <v/>
      </c>
      <c r="AT553">
        <f>AS553&amp;IF($U553="","",", "&amp;$U553)</f>
        <v/>
      </c>
      <c r="AU553">
        <f>AT553&amp;IF($V553="","",", "&amp;$V553)</f>
        <v/>
      </c>
      <c r="AV553">
        <f>AU553&amp;IF($W553="","",", "&amp;$W553)</f>
        <v/>
      </c>
      <c r="AW553">
        <f>AV553&amp;IF($X553="","",", "&amp;$X553)</f>
        <v/>
      </c>
      <c r="AX553">
        <f>AW553&amp;IF($Y553="","",", "&amp;$Y553)</f>
        <v/>
      </c>
    </row>
    <row r="554">
      <c r="A554" s="118">
        <f>IF($B554="","",COUNT($B$5:$B554))</f>
        <v/>
      </c>
      <c r="B554" s="80" t="n"/>
      <c r="C554" s="80" t="n"/>
      <c r="D554" s="74" t="n"/>
      <c r="E554" s="74" t="n"/>
      <c r="F554" s="74" t="n"/>
      <c r="G554" s="118">
        <f>IF($F554="","",COUNTIF($F$5:$F554,$F554))</f>
        <v/>
      </c>
      <c r="H554" s="33">
        <f>IF($F554="","",IFERROR(INDEX(사건마스터!$B$5:$B$64,MATCH($F554,사건마스터!$A$5:$A$64,0)),""))</f>
        <v/>
      </c>
      <c r="I554" s="130">
        <f>IF($F554="","",IFERROR(INDEX(사건마스터!$C$5:$C$64,MATCH($F554,사건마스터!$A$5:$A$64,0)),""))</f>
        <v/>
      </c>
      <c r="J554" s="136">
        <f>IF($F554="","",IFERROR(INDEX(사건마스터!$H$5:$H$64,MATCH($F554,사건마스터!$A$5:$A$64,0)),""))</f>
        <v/>
      </c>
      <c r="K554" s="136">
        <f>IF($F554="","",IFERROR(INDEX(사건마스터!$AH$5:$AH$64,MATCH($F554,사건마스터!$A$5:$A$64,0)),""))</f>
        <v/>
      </c>
      <c r="L554" s="136">
        <f>IF($F554="","",IFERROR(INDEX(사건마스터!$AI$5:$AI$64,MATCH($F554,사건마스터!$A$5:$A$64,0)),""))</f>
        <v/>
      </c>
      <c r="M554" s="136">
        <f>IF($F554="","",IFERROR(INDEX(사건마스터!$AJ$5:$AJ$64,MATCH($F554,사건마스터!$A$5:$A$64,0)),""))</f>
        <v/>
      </c>
      <c r="N554" s="136">
        <f>IF($F554="","",IFERROR(INDEX(사건마스터!$AK$5:$AK$64,MATCH($F554,사건마스터!$A$5:$A$64,0)),""))</f>
        <v/>
      </c>
      <c r="O554" s="136">
        <f>IF($F554="","",IFERROR(INDEX(사건마스터!$AL$5:$AL$64,MATCH($F554,사건마스터!$A$5:$A$64,0)),""))</f>
        <v/>
      </c>
      <c r="P554" s="136">
        <f>IF($F554="","",IFERROR(INDEX(사건마스터!$AM$5:$AM$64,MATCH($F554,사건마스터!$A$5:$A$64,0)),""))</f>
        <v/>
      </c>
      <c r="Q554" s="136">
        <f>IF($F554="","",IFERROR(INDEX(사건마스터!$AN$5:$AN$64,MATCH($F554,사건마스터!$A$5:$A$64,0)),""))</f>
        <v/>
      </c>
      <c r="R554" s="136">
        <f>IF($F554="","",IFERROR(INDEX(사건마스터!$AO$5:$AO$64,MATCH($F554,사건마스터!$A$5:$A$64,0)),""))</f>
        <v/>
      </c>
      <c r="S554" s="136">
        <f>IF($F554="","",IFERROR(INDEX(사건마스터!$AP$5:$AP$64,MATCH($F554,사건마스터!$A$5:$A$64,0)),""))</f>
        <v/>
      </c>
      <c r="T554" s="136">
        <f>IF($F554="","",IFERROR(INDEX(사건마스터!$AQ$5:$AQ$64,MATCH($F554,사건마스터!$A$5:$A$64,0)),""))</f>
        <v/>
      </c>
      <c r="U554" s="136">
        <f>IF($F554="","",IFERROR(INDEX(사건마스터!$AR$5:$AR$64,MATCH($F554,사건마스터!$A$5:$A$64,0)),""))</f>
        <v/>
      </c>
      <c r="V554" s="136">
        <f>IF($F554="","",IFERROR(INDEX(사건마스터!$AS$5:$AS$64,MATCH($F554,사건마스터!$A$5:$A$64,0)),""))</f>
        <v/>
      </c>
      <c r="W554" s="136">
        <f>IF($F554="","",IFERROR(INDEX(사건마스터!$AT$5:$AT$64,MATCH($F554,사건마스터!$A$5:$A$64,0)),""))</f>
        <v/>
      </c>
      <c r="X554" s="136">
        <f>IF($F554="","",IFERROR(INDEX(사건마스터!$AU$5:$AU$64,MATCH($F554,사건마스터!$A$5:$A$64,0)),""))</f>
        <v/>
      </c>
      <c r="Y554" s="136">
        <f>IF($F554="","",IFERROR(INDEX(사건마스터!$AV$5:$AV$64,MATCH($F554,사건마스터!$A$5:$A$64,0)),""))</f>
        <v/>
      </c>
      <c r="Z554" s="118">
        <f>IF(COUNTBLANK($J554:$Y554)=16,"",16-COUNTBLANK($J554:$Y554))</f>
        <v/>
      </c>
      <c r="AA554" s="33">
        <f>IF($J554="",MID($AX554,3,255),$J554&amp;$AX554)</f>
        <v/>
      </c>
      <c r="AB554" s="130">
        <f>IF($J554="","",IFERROR(INDEX(코드설정!$D$5:$D$24,MATCH($J554,코드설정!$C$5:$C$24,0)),""))</f>
        <v/>
      </c>
      <c r="AC554" s="36" t="n"/>
      <c r="AD554" s="37" t="n"/>
      <c r="AE554" s="38" t="n"/>
      <c r="AF554" s="118">
        <f>IF(OR($B554="",$C554=""),"",$C554-$B554+1)</f>
        <v/>
      </c>
      <c r="AG554" s="74" t="n"/>
      <c r="AH554" s="36" t="n"/>
      <c r="AJ554">
        <f>IF($K554="","",", "&amp;$K554)</f>
        <v/>
      </c>
      <c r="AK554">
        <f>AJ554&amp;IF($L554="","",", "&amp;$L554)</f>
        <v/>
      </c>
      <c r="AL554">
        <f>AK554&amp;IF($M554="","",", "&amp;$M554)</f>
        <v/>
      </c>
      <c r="AM554">
        <f>AL554&amp;IF($N554="","",", "&amp;$N554)</f>
        <v/>
      </c>
      <c r="AN554">
        <f>AM554&amp;IF($O554="","",", "&amp;$O554)</f>
        <v/>
      </c>
      <c r="AO554">
        <f>AN554&amp;IF($P554="","",", "&amp;$P554)</f>
        <v/>
      </c>
      <c r="AP554">
        <f>AO554&amp;IF($Q554="","",", "&amp;$Q554)</f>
        <v/>
      </c>
      <c r="AQ554">
        <f>AP554&amp;IF($R554="","",", "&amp;$R554)</f>
        <v/>
      </c>
      <c r="AR554">
        <f>AQ554&amp;IF($S554="","",", "&amp;$S554)</f>
        <v/>
      </c>
      <c r="AS554">
        <f>AR554&amp;IF($T554="","",", "&amp;$T554)</f>
        <v/>
      </c>
      <c r="AT554">
        <f>AS554&amp;IF($U554="","",", "&amp;$U554)</f>
        <v/>
      </c>
      <c r="AU554">
        <f>AT554&amp;IF($V554="","",", "&amp;$V554)</f>
        <v/>
      </c>
      <c r="AV554">
        <f>AU554&amp;IF($W554="","",", "&amp;$W554)</f>
        <v/>
      </c>
      <c r="AW554">
        <f>AV554&amp;IF($X554="","",", "&amp;$X554)</f>
        <v/>
      </c>
      <c r="AX554">
        <f>AW554&amp;IF($Y554="","",", "&amp;$Y554)</f>
        <v/>
      </c>
    </row>
    <row r="555">
      <c r="A555" s="118">
        <f>IF($B555="","",COUNT($B$5:$B555))</f>
        <v/>
      </c>
      <c r="B555" s="80" t="n"/>
      <c r="C555" s="80" t="n"/>
      <c r="D555" s="74" t="n"/>
      <c r="E555" s="74" t="n"/>
      <c r="F555" s="74" t="n"/>
      <c r="G555" s="118">
        <f>IF($F555="","",COUNTIF($F$5:$F555,$F555))</f>
        <v/>
      </c>
      <c r="H555" s="33">
        <f>IF($F555="","",IFERROR(INDEX(사건마스터!$B$5:$B$64,MATCH($F555,사건마스터!$A$5:$A$64,0)),""))</f>
        <v/>
      </c>
      <c r="I555" s="130">
        <f>IF($F555="","",IFERROR(INDEX(사건마스터!$C$5:$C$64,MATCH($F555,사건마스터!$A$5:$A$64,0)),""))</f>
        <v/>
      </c>
      <c r="J555" s="136">
        <f>IF($F555="","",IFERROR(INDEX(사건마스터!$H$5:$H$64,MATCH($F555,사건마스터!$A$5:$A$64,0)),""))</f>
        <v/>
      </c>
      <c r="K555" s="136">
        <f>IF($F555="","",IFERROR(INDEX(사건마스터!$AH$5:$AH$64,MATCH($F555,사건마스터!$A$5:$A$64,0)),""))</f>
        <v/>
      </c>
      <c r="L555" s="136">
        <f>IF($F555="","",IFERROR(INDEX(사건마스터!$AI$5:$AI$64,MATCH($F555,사건마스터!$A$5:$A$64,0)),""))</f>
        <v/>
      </c>
      <c r="M555" s="136">
        <f>IF($F555="","",IFERROR(INDEX(사건마스터!$AJ$5:$AJ$64,MATCH($F555,사건마스터!$A$5:$A$64,0)),""))</f>
        <v/>
      </c>
      <c r="N555" s="136">
        <f>IF($F555="","",IFERROR(INDEX(사건마스터!$AK$5:$AK$64,MATCH($F555,사건마스터!$A$5:$A$64,0)),""))</f>
        <v/>
      </c>
      <c r="O555" s="136">
        <f>IF($F555="","",IFERROR(INDEX(사건마스터!$AL$5:$AL$64,MATCH($F555,사건마스터!$A$5:$A$64,0)),""))</f>
        <v/>
      </c>
      <c r="P555" s="136">
        <f>IF($F555="","",IFERROR(INDEX(사건마스터!$AM$5:$AM$64,MATCH($F555,사건마스터!$A$5:$A$64,0)),""))</f>
        <v/>
      </c>
      <c r="Q555" s="136">
        <f>IF($F555="","",IFERROR(INDEX(사건마스터!$AN$5:$AN$64,MATCH($F555,사건마스터!$A$5:$A$64,0)),""))</f>
        <v/>
      </c>
      <c r="R555" s="136">
        <f>IF($F555="","",IFERROR(INDEX(사건마스터!$AO$5:$AO$64,MATCH($F555,사건마스터!$A$5:$A$64,0)),""))</f>
        <v/>
      </c>
      <c r="S555" s="136">
        <f>IF($F555="","",IFERROR(INDEX(사건마스터!$AP$5:$AP$64,MATCH($F555,사건마스터!$A$5:$A$64,0)),""))</f>
        <v/>
      </c>
      <c r="T555" s="136">
        <f>IF($F555="","",IFERROR(INDEX(사건마스터!$AQ$5:$AQ$64,MATCH($F555,사건마스터!$A$5:$A$64,0)),""))</f>
        <v/>
      </c>
      <c r="U555" s="136">
        <f>IF($F555="","",IFERROR(INDEX(사건마스터!$AR$5:$AR$64,MATCH($F555,사건마스터!$A$5:$A$64,0)),""))</f>
        <v/>
      </c>
      <c r="V555" s="136">
        <f>IF($F555="","",IFERROR(INDEX(사건마스터!$AS$5:$AS$64,MATCH($F555,사건마스터!$A$5:$A$64,0)),""))</f>
        <v/>
      </c>
      <c r="W555" s="136">
        <f>IF($F555="","",IFERROR(INDEX(사건마스터!$AT$5:$AT$64,MATCH($F555,사건마스터!$A$5:$A$64,0)),""))</f>
        <v/>
      </c>
      <c r="X555" s="136">
        <f>IF($F555="","",IFERROR(INDEX(사건마스터!$AU$5:$AU$64,MATCH($F555,사건마스터!$A$5:$A$64,0)),""))</f>
        <v/>
      </c>
      <c r="Y555" s="136">
        <f>IF($F555="","",IFERROR(INDEX(사건마스터!$AV$5:$AV$64,MATCH($F555,사건마스터!$A$5:$A$64,0)),""))</f>
        <v/>
      </c>
      <c r="Z555" s="118">
        <f>IF(COUNTBLANK($J555:$Y555)=16,"",16-COUNTBLANK($J555:$Y555))</f>
        <v/>
      </c>
      <c r="AA555" s="33">
        <f>IF($J555="",MID($AX555,3,255),$J555&amp;$AX555)</f>
        <v/>
      </c>
      <c r="AB555" s="130">
        <f>IF($J555="","",IFERROR(INDEX(코드설정!$D$5:$D$24,MATCH($J555,코드설정!$C$5:$C$24,0)),""))</f>
        <v/>
      </c>
      <c r="AC555" s="36" t="n"/>
      <c r="AD555" s="37" t="n"/>
      <c r="AE555" s="38" t="n"/>
      <c r="AF555" s="118">
        <f>IF(OR($B555="",$C555=""),"",$C555-$B555+1)</f>
        <v/>
      </c>
      <c r="AG555" s="74" t="n"/>
      <c r="AH555" s="36" t="n"/>
      <c r="AJ555">
        <f>IF($K555="","",", "&amp;$K555)</f>
        <v/>
      </c>
      <c r="AK555">
        <f>AJ555&amp;IF($L555="","",", "&amp;$L555)</f>
        <v/>
      </c>
      <c r="AL555">
        <f>AK555&amp;IF($M555="","",", "&amp;$M555)</f>
        <v/>
      </c>
      <c r="AM555">
        <f>AL555&amp;IF($N555="","",", "&amp;$N555)</f>
        <v/>
      </c>
      <c r="AN555">
        <f>AM555&amp;IF($O555="","",", "&amp;$O555)</f>
        <v/>
      </c>
      <c r="AO555">
        <f>AN555&amp;IF($P555="","",", "&amp;$P555)</f>
        <v/>
      </c>
      <c r="AP555">
        <f>AO555&amp;IF($Q555="","",", "&amp;$Q555)</f>
        <v/>
      </c>
      <c r="AQ555">
        <f>AP555&amp;IF($R555="","",", "&amp;$R555)</f>
        <v/>
      </c>
      <c r="AR555">
        <f>AQ555&amp;IF($S555="","",", "&amp;$S555)</f>
        <v/>
      </c>
      <c r="AS555">
        <f>AR555&amp;IF($T555="","",", "&amp;$T555)</f>
        <v/>
      </c>
      <c r="AT555">
        <f>AS555&amp;IF($U555="","",", "&amp;$U555)</f>
        <v/>
      </c>
      <c r="AU555">
        <f>AT555&amp;IF($V555="","",", "&amp;$V555)</f>
        <v/>
      </c>
      <c r="AV555">
        <f>AU555&amp;IF($W555="","",", "&amp;$W555)</f>
        <v/>
      </c>
      <c r="AW555">
        <f>AV555&amp;IF($X555="","",", "&amp;$X555)</f>
        <v/>
      </c>
      <c r="AX555">
        <f>AW555&amp;IF($Y555="","",", "&amp;$Y555)</f>
        <v/>
      </c>
    </row>
    <row r="556">
      <c r="A556" s="118">
        <f>IF($B556="","",COUNT($B$5:$B556))</f>
        <v/>
      </c>
      <c r="B556" s="80" t="n"/>
      <c r="C556" s="80" t="n"/>
      <c r="D556" s="74" t="n"/>
      <c r="E556" s="74" t="n"/>
      <c r="F556" s="74" t="n"/>
      <c r="G556" s="118">
        <f>IF($F556="","",COUNTIF($F$5:$F556,$F556))</f>
        <v/>
      </c>
      <c r="H556" s="33">
        <f>IF($F556="","",IFERROR(INDEX(사건마스터!$B$5:$B$64,MATCH($F556,사건마스터!$A$5:$A$64,0)),""))</f>
        <v/>
      </c>
      <c r="I556" s="130">
        <f>IF($F556="","",IFERROR(INDEX(사건마스터!$C$5:$C$64,MATCH($F556,사건마스터!$A$5:$A$64,0)),""))</f>
        <v/>
      </c>
      <c r="J556" s="136">
        <f>IF($F556="","",IFERROR(INDEX(사건마스터!$H$5:$H$64,MATCH($F556,사건마스터!$A$5:$A$64,0)),""))</f>
        <v/>
      </c>
      <c r="K556" s="136">
        <f>IF($F556="","",IFERROR(INDEX(사건마스터!$AH$5:$AH$64,MATCH($F556,사건마스터!$A$5:$A$64,0)),""))</f>
        <v/>
      </c>
      <c r="L556" s="136">
        <f>IF($F556="","",IFERROR(INDEX(사건마스터!$AI$5:$AI$64,MATCH($F556,사건마스터!$A$5:$A$64,0)),""))</f>
        <v/>
      </c>
      <c r="M556" s="136">
        <f>IF($F556="","",IFERROR(INDEX(사건마스터!$AJ$5:$AJ$64,MATCH($F556,사건마스터!$A$5:$A$64,0)),""))</f>
        <v/>
      </c>
      <c r="N556" s="136">
        <f>IF($F556="","",IFERROR(INDEX(사건마스터!$AK$5:$AK$64,MATCH($F556,사건마스터!$A$5:$A$64,0)),""))</f>
        <v/>
      </c>
      <c r="O556" s="136">
        <f>IF($F556="","",IFERROR(INDEX(사건마스터!$AL$5:$AL$64,MATCH($F556,사건마스터!$A$5:$A$64,0)),""))</f>
        <v/>
      </c>
      <c r="P556" s="136">
        <f>IF($F556="","",IFERROR(INDEX(사건마스터!$AM$5:$AM$64,MATCH($F556,사건마스터!$A$5:$A$64,0)),""))</f>
        <v/>
      </c>
      <c r="Q556" s="136">
        <f>IF($F556="","",IFERROR(INDEX(사건마스터!$AN$5:$AN$64,MATCH($F556,사건마스터!$A$5:$A$64,0)),""))</f>
        <v/>
      </c>
      <c r="R556" s="136">
        <f>IF($F556="","",IFERROR(INDEX(사건마스터!$AO$5:$AO$64,MATCH($F556,사건마스터!$A$5:$A$64,0)),""))</f>
        <v/>
      </c>
      <c r="S556" s="136">
        <f>IF($F556="","",IFERROR(INDEX(사건마스터!$AP$5:$AP$64,MATCH($F556,사건마스터!$A$5:$A$64,0)),""))</f>
        <v/>
      </c>
      <c r="T556" s="136">
        <f>IF($F556="","",IFERROR(INDEX(사건마스터!$AQ$5:$AQ$64,MATCH($F556,사건마스터!$A$5:$A$64,0)),""))</f>
        <v/>
      </c>
      <c r="U556" s="136">
        <f>IF($F556="","",IFERROR(INDEX(사건마스터!$AR$5:$AR$64,MATCH($F556,사건마스터!$A$5:$A$64,0)),""))</f>
        <v/>
      </c>
      <c r="V556" s="136">
        <f>IF($F556="","",IFERROR(INDEX(사건마스터!$AS$5:$AS$64,MATCH($F556,사건마스터!$A$5:$A$64,0)),""))</f>
        <v/>
      </c>
      <c r="W556" s="136">
        <f>IF($F556="","",IFERROR(INDEX(사건마스터!$AT$5:$AT$64,MATCH($F556,사건마스터!$A$5:$A$64,0)),""))</f>
        <v/>
      </c>
      <c r="X556" s="136">
        <f>IF($F556="","",IFERROR(INDEX(사건마스터!$AU$5:$AU$64,MATCH($F556,사건마스터!$A$5:$A$64,0)),""))</f>
        <v/>
      </c>
      <c r="Y556" s="136">
        <f>IF($F556="","",IFERROR(INDEX(사건마스터!$AV$5:$AV$64,MATCH($F556,사건마스터!$A$5:$A$64,0)),""))</f>
        <v/>
      </c>
      <c r="Z556" s="118">
        <f>IF(COUNTBLANK($J556:$Y556)=16,"",16-COUNTBLANK($J556:$Y556))</f>
        <v/>
      </c>
      <c r="AA556" s="33">
        <f>IF($J556="",MID($AX556,3,255),$J556&amp;$AX556)</f>
        <v/>
      </c>
      <c r="AB556" s="130">
        <f>IF($J556="","",IFERROR(INDEX(코드설정!$D$5:$D$24,MATCH($J556,코드설정!$C$5:$C$24,0)),""))</f>
        <v/>
      </c>
      <c r="AC556" s="36" t="n"/>
      <c r="AD556" s="37" t="n"/>
      <c r="AE556" s="38" t="n"/>
      <c r="AF556" s="118">
        <f>IF(OR($B556="",$C556=""),"",$C556-$B556+1)</f>
        <v/>
      </c>
      <c r="AG556" s="74" t="n"/>
      <c r="AH556" s="36" t="n"/>
      <c r="AJ556">
        <f>IF($K556="","",", "&amp;$K556)</f>
        <v/>
      </c>
      <c r="AK556">
        <f>AJ556&amp;IF($L556="","",", "&amp;$L556)</f>
        <v/>
      </c>
      <c r="AL556">
        <f>AK556&amp;IF($M556="","",", "&amp;$M556)</f>
        <v/>
      </c>
      <c r="AM556">
        <f>AL556&amp;IF($N556="","",", "&amp;$N556)</f>
        <v/>
      </c>
      <c r="AN556">
        <f>AM556&amp;IF($O556="","",", "&amp;$O556)</f>
        <v/>
      </c>
      <c r="AO556">
        <f>AN556&amp;IF($P556="","",", "&amp;$P556)</f>
        <v/>
      </c>
      <c r="AP556">
        <f>AO556&amp;IF($Q556="","",", "&amp;$Q556)</f>
        <v/>
      </c>
      <c r="AQ556">
        <f>AP556&amp;IF($R556="","",", "&amp;$R556)</f>
        <v/>
      </c>
      <c r="AR556">
        <f>AQ556&amp;IF($S556="","",", "&amp;$S556)</f>
        <v/>
      </c>
      <c r="AS556">
        <f>AR556&amp;IF($T556="","",", "&amp;$T556)</f>
        <v/>
      </c>
      <c r="AT556">
        <f>AS556&amp;IF($U556="","",", "&amp;$U556)</f>
        <v/>
      </c>
      <c r="AU556">
        <f>AT556&amp;IF($V556="","",", "&amp;$V556)</f>
        <v/>
      </c>
      <c r="AV556">
        <f>AU556&amp;IF($W556="","",", "&amp;$W556)</f>
        <v/>
      </c>
      <c r="AW556">
        <f>AV556&amp;IF($X556="","",", "&amp;$X556)</f>
        <v/>
      </c>
      <c r="AX556">
        <f>AW556&amp;IF($Y556="","",", "&amp;$Y556)</f>
        <v/>
      </c>
    </row>
    <row r="557">
      <c r="A557" s="118">
        <f>IF($B557="","",COUNT($B$5:$B557))</f>
        <v/>
      </c>
      <c r="B557" s="80" t="n"/>
      <c r="C557" s="80" t="n"/>
      <c r="D557" s="74" t="n"/>
      <c r="E557" s="74" t="n"/>
      <c r="F557" s="74" t="n"/>
      <c r="G557" s="118">
        <f>IF($F557="","",COUNTIF($F$5:$F557,$F557))</f>
        <v/>
      </c>
      <c r="H557" s="33">
        <f>IF($F557="","",IFERROR(INDEX(사건마스터!$B$5:$B$64,MATCH($F557,사건마스터!$A$5:$A$64,0)),""))</f>
        <v/>
      </c>
      <c r="I557" s="130">
        <f>IF($F557="","",IFERROR(INDEX(사건마스터!$C$5:$C$64,MATCH($F557,사건마스터!$A$5:$A$64,0)),""))</f>
        <v/>
      </c>
      <c r="J557" s="136">
        <f>IF($F557="","",IFERROR(INDEX(사건마스터!$H$5:$H$64,MATCH($F557,사건마스터!$A$5:$A$64,0)),""))</f>
        <v/>
      </c>
      <c r="K557" s="136">
        <f>IF($F557="","",IFERROR(INDEX(사건마스터!$AH$5:$AH$64,MATCH($F557,사건마스터!$A$5:$A$64,0)),""))</f>
        <v/>
      </c>
      <c r="L557" s="136">
        <f>IF($F557="","",IFERROR(INDEX(사건마스터!$AI$5:$AI$64,MATCH($F557,사건마스터!$A$5:$A$64,0)),""))</f>
        <v/>
      </c>
      <c r="M557" s="136">
        <f>IF($F557="","",IFERROR(INDEX(사건마스터!$AJ$5:$AJ$64,MATCH($F557,사건마스터!$A$5:$A$64,0)),""))</f>
        <v/>
      </c>
      <c r="N557" s="136">
        <f>IF($F557="","",IFERROR(INDEX(사건마스터!$AK$5:$AK$64,MATCH($F557,사건마스터!$A$5:$A$64,0)),""))</f>
        <v/>
      </c>
      <c r="O557" s="136">
        <f>IF($F557="","",IFERROR(INDEX(사건마스터!$AL$5:$AL$64,MATCH($F557,사건마스터!$A$5:$A$64,0)),""))</f>
        <v/>
      </c>
      <c r="P557" s="136">
        <f>IF($F557="","",IFERROR(INDEX(사건마스터!$AM$5:$AM$64,MATCH($F557,사건마스터!$A$5:$A$64,0)),""))</f>
        <v/>
      </c>
      <c r="Q557" s="136">
        <f>IF($F557="","",IFERROR(INDEX(사건마스터!$AN$5:$AN$64,MATCH($F557,사건마스터!$A$5:$A$64,0)),""))</f>
        <v/>
      </c>
      <c r="R557" s="136">
        <f>IF($F557="","",IFERROR(INDEX(사건마스터!$AO$5:$AO$64,MATCH($F557,사건마스터!$A$5:$A$64,0)),""))</f>
        <v/>
      </c>
      <c r="S557" s="136">
        <f>IF($F557="","",IFERROR(INDEX(사건마스터!$AP$5:$AP$64,MATCH($F557,사건마스터!$A$5:$A$64,0)),""))</f>
        <v/>
      </c>
      <c r="T557" s="136">
        <f>IF($F557="","",IFERROR(INDEX(사건마스터!$AQ$5:$AQ$64,MATCH($F557,사건마스터!$A$5:$A$64,0)),""))</f>
        <v/>
      </c>
      <c r="U557" s="136">
        <f>IF($F557="","",IFERROR(INDEX(사건마스터!$AR$5:$AR$64,MATCH($F557,사건마스터!$A$5:$A$64,0)),""))</f>
        <v/>
      </c>
      <c r="V557" s="136">
        <f>IF($F557="","",IFERROR(INDEX(사건마스터!$AS$5:$AS$64,MATCH($F557,사건마스터!$A$5:$A$64,0)),""))</f>
        <v/>
      </c>
      <c r="W557" s="136">
        <f>IF($F557="","",IFERROR(INDEX(사건마스터!$AT$5:$AT$64,MATCH($F557,사건마스터!$A$5:$A$64,0)),""))</f>
        <v/>
      </c>
      <c r="X557" s="136">
        <f>IF($F557="","",IFERROR(INDEX(사건마스터!$AU$5:$AU$64,MATCH($F557,사건마스터!$A$5:$A$64,0)),""))</f>
        <v/>
      </c>
      <c r="Y557" s="136">
        <f>IF($F557="","",IFERROR(INDEX(사건마스터!$AV$5:$AV$64,MATCH($F557,사건마스터!$A$5:$A$64,0)),""))</f>
        <v/>
      </c>
      <c r="Z557" s="118">
        <f>IF(COUNTBLANK($J557:$Y557)=16,"",16-COUNTBLANK($J557:$Y557))</f>
        <v/>
      </c>
      <c r="AA557" s="33">
        <f>IF($J557="",MID($AX557,3,255),$J557&amp;$AX557)</f>
        <v/>
      </c>
      <c r="AB557" s="130">
        <f>IF($J557="","",IFERROR(INDEX(코드설정!$D$5:$D$24,MATCH($J557,코드설정!$C$5:$C$24,0)),""))</f>
        <v/>
      </c>
      <c r="AC557" s="36" t="n"/>
      <c r="AD557" s="37" t="n"/>
      <c r="AE557" s="38" t="n"/>
      <c r="AF557" s="118">
        <f>IF(OR($B557="",$C557=""),"",$C557-$B557+1)</f>
        <v/>
      </c>
      <c r="AG557" s="74" t="n"/>
      <c r="AH557" s="36" t="n"/>
      <c r="AJ557">
        <f>IF($K557="","",", "&amp;$K557)</f>
        <v/>
      </c>
      <c r="AK557">
        <f>AJ557&amp;IF($L557="","",", "&amp;$L557)</f>
        <v/>
      </c>
      <c r="AL557">
        <f>AK557&amp;IF($M557="","",", "&amp;$M557)</f>
        <v/>
      </c>
      <c r="AM557">
        <f>AL557&amp;IF($N557="","",", "&amp;$N557)</f>
        <v/>
      </c>
      <c r="AN557">
        <f>AM557&amp;IF($O557="","",", "&amp;$O557)</f>
        <v/>
      </c>
      <c r="AO557">
        <f>AN557&amp;IF($P557="","",", "&amp;$P557)</f>
        <v/>
      </c>
      <c r="AP557">
        <f>AO557&amp;IF($Q557="","",", "&amp;$Q557)</f>
        <v/>
      </c>
      <c r="AQ557">
        <f>AP557&amp;IF($R557="","",", "&amp;$R557)</f>
        <v/>
      </c>
      <c r="AR557">
        <f>AQ557&amp;IF($S557="","",", "&amp;$S557)</f>
        <v/>
      </c>
      <c r="AS557">
        <f>AR557&amp;IF($T557="","",", "&amp;$T557)</f>
        <v/>
      </c>
      <c r="AT557">
        <f>AS557&amp;IF($U557="","",", "&amp;$U557)</f>
        <v/>
      </c>
      <c r="AU557">
        <f>AT557&amp;IF($V557="","",", "&amp;$V557)</f>
        <v/>
      </c>
      <c r="AV557">
        <f>AU557&amp;IF($W557="","",", "&amp;$W557)</f>
        <v/>
      </c>
      <c r="AW557">
        <f>AV557&amp;IF($X557="","",", "&amp;$X557)</f>
        <v/>
      </c>
      <c r="AX557">
        <f>AW557&amp;IF($Y557="","",", "&amp;$Y557)</f>
        <v/>
      </c>
    </row>
    <row r="558">
      <c r="A558" s="118">
        <f>IF($B558="","",COUNT($B$5:$B558))</f>
        <v/>
      </c>
      <c r="B558" s="80" t="n"/>
      <c r="C558" s="80" t="n"/>
      <c r="D558" s="74" t="n"/>
      <c r="E558" s="74" t="n"/>
      <c r="F558" s="74" t="n"/>
      <c r="G558" s="118">
        <f>IF($F558="","",COUNTIF($F$5:$F558,$F558))</f>
        <v/>
      </c>
      <c r="H558" s="33">
        <f>IF($F558="","",IFERROR(INDEX(사건마스터!$B$5:$B$64,MATCH($F558,사건마스터!$A$5:$A$64,0)),""))</f>
        <v/>
      </c>
      <c r="I558" s="130">
        <f>IF($F558="","",IFERROR(INDEX(사건마스터!$C$5:$C$64,MATCH($F558,사건마스터!$A$5:$A$64,0)),""))</f>
        <v/>
      </c>
      <c r="J558" s="136">
        <f>IF($F558="","",IFERROR(INDEX(사건마스터!$H$5:$H$64,MATCH($F558,사건마스터!$A$5:$A$64,0)),""))</f>
        <v/>
      </c>
      <c r="K558" s="136">
        <f>IF($F558="","",IFERROR(INDEX(사건마스터!$AH$5:$AH$64,MATCH($F558,사건마스터!$A$5:$A$64,0)),""))</f>
        <v/>
      </c>
      <c r="L558" s="136">
        <f>IF($F558="","",IFERROR(INDEX(사건마스터!$AI$5:$AI$64,MATCH($F558,사건마스터!$A$5:$A$64,0)),""))</f>
        <v/>
      </c>
      <c r="M558" s="136">
        <f>IF($F558="","",IFERROR(INDEX(사건마스터!$AJ$5:$AJ$64,MATCH($F558,사건마스터!$A$5:$A$64,0)),""))</f>
        <v/>
      </c>
      <c r="N558" s="136">
        <f>IF($F558="","",IFERROR(INDEX(사건마스터!$AK$5:$AK$64,MATCH($F558,사건마스터!$A$5:$A$64,0)),""))</f>
        <v/>
      </c>
      <c r="O558" s="136">
        <f>IF($F558="","",IFERROR(INDEX(사건마스터!$AL$5:$AL$64,MATCH($F558,사건마스터!$A$5:$A$64,0)),""))</f>
        <v/>
      </c>
      <c r="P558" s="136">
        <f>IF($F558="","",IFERROR(INDEX(사건마스터!$AM$5:$AM$64,MATCH($F558,사건마스터!$A$5:$A$64,0)),""))</f>
        <v/>
      </c>
      <c r="Q558" s="136">
        <f>IF($F558="","",IFERROR(INDEX(사건마스터!$AN$5:$AN$64,MATCH($F558,사건마스터!$A$5:$A$64,0)),""))</f>
        <v/>
      </c>
      <c r="R558" s="136">
        <f>IF($F558="","",IFERROR(INDEX(사건마스터!$AO$5:$AO$64,MATCH($F558,사건마스터!$A$5:$A$64,0)),""))</f>
        <v/>
      </c>
      <c r="S558" s="136">
        <f>IF($F558="","",IFERROR(INDEX(사건마스터!$AP$5:$AP$64,MATCH($F558,사건마스터!$A$5:$A$64,0)),""))</f>
        <v/>
      </c>
      <c r="T558" s="136">
        <f>IF($F558="","",IFERROR(INDEX(사건마스터!$AQ$5:$AQ$64,MATCH($F558,사건마스터!$A$5:$A$64,0)),""))</f>
        <v/>
      </c>
      <c r="U558" s="136">
        <f>IF($F558="","",IFERROR(INDEX(사건마스터!$AR$5:$AR$64,MATCH($F558,사건마스터!$A$5:$A$64,0)),""))</f>
        <v/>
      </c>
      <c r="V558" s="136">
        <f>IF($F558="","",IFERROR(INDEX(사건마스터!$AS$5:$AS$64,MATCH($F558,사건마스터!$A$5:$A$64,0)),""))</f>
        <v/>
      </c>
      <c r="W558" s="136">
        <f>IF($F558="","",IFERROR(INDEX(사건마스터!$AT$5:$AT$64,MATCH($F558,사건마스터!$A$5:$A$64,0)),""))</f>
        <v/>
      </c>
      <c r="X558" s="136">
        <f>IF($F558="","",IFERROR(INDEX(사건마스터!$AU$5:$AU$64,MATCH($F558,사건마스터!$A$5:$A$64,0)),""))</f>
        <v/>
      </c>
      <c r="Y558" s="136">
        <f>IF($F558="","",IFERROR(INDEX(사건마스터!$AV$5:$AV$64,MATCH($F558,사건마스터!$A$5:$A$64,0)),""))</f>
        <v/>
      </c>
      <c r="Z558" s="118">
        <f>IF(COUNTBLANK($J558:$Y558)=16,"",16-COUNTBLANK($J558:$Y558))</f>
        <v/>
      </c>
      <c r="AA558" s="33">
        <f>IF($J558="",MID($AX558,3,255),$J558&amp;$AX558)</f>
        <v/>
      </c>
      <c r="AB558" s="130">
        <f>IF($J558="","",IFERROR(INDEX(코드설정!$D$5:$D$24,MATCH($J558,코드설정!$C$5:$C$24,0)),""))</f>
        <v/>
      </c>
      <c r="AC558" s="36" t="n"/>
      <c r="AD558" s="37" t="n"/>
      <c r="AE558" s="38" t="n"/>
      <c r="AF558" s="118">
        <f>IF(OR($B558="",$C558=""),"",$C558-$B558+1)</f>
        <v/>
      </c>
      <c r="AG558" s="74" t="n"/>
      <c r="AH558" s="36" t="n"/>
      <c r="AJ558">
        <f>IF($K558="","",", "&amp;$K558)</f>
        <v/>
      </c>
      <c r="AK558">
        <f>AJ558&amp;IF($L558="","",", "&amp;$L558)</f>
        <v/>
      </c>
      <c r="AL558">
        <f>AK558&amp;IF($M558="","",", "&amp;$M558)</f>
        <v/>
      </c>
      <c r="AM558">
        <f>AL558&amp;IF($N558="","",", "&amp;$N558)</f>
        <v/>
      </c>
      <c r="AN558">
        <f>AM558&amp;IF($O558="","",", "&amp;$O558)</f>
        <v/>
      </c>
      <c r="AO558">
        <f>AN558&amp;IF($P558="","",", "&amp;$P558)</f>
        <v/>
      </c>
      <c r="AP558">
        <f>AO558&amp;IF($Q558="","",", "&amp;$Q558)</f>
        <v/>
      </c>
      <c r="AQ558">
        <f>AP558&amp;IF($R558="","",", "&amp;$R558)</f>
        <v/>
      </c>
      <c r="AR558">
        <f>AQ558&amp;IF($S558="","",", "&amp;$S558)</f>
        <v/>
      </c>
      <c r="AS558">
        <f>AR558&amp;IF($T558="","",", "&amp;$T558)</f>
        <v/>
      </c>
      <c r="AT558">
        <f>AS558&amp;IF($U558="","",", "&amp;$U558)</f>
        <v/>
      </c>
      <c r="AU558">
        <f>AT558&amp;IF($V558="","",", "&amp;$V558)</f>
        <v/>
      </c>
      <c r="AV558">
        <f>AU558&amp;IF($W558="","",", "&amp;$W558)</f>
        <v/>
      </c>
      <c r="AW558">
        <f>AV558&amp;IF($X558="","",", "&amp;$X558)</f>
        <v/>
      </c>
      <c r="AX558">
        <f>AW558&amp;IF($Y558="","",", "&amp;$Y558)</f>
        <v/>
      </c>
    </row>
    <row r="559">
      <c r="A559" s="118">
        <f>IF($B559="","",COUNT($B$5:$B559))</f>
        <v/>
      </c>
      <c r="B559" s="80" t="n"/>
      <c r="C559" s="80" t="n"/>
      <c r="D559" s="74" t="n"/>
      <c r="E559" s="74" t="n"/>
      <c r="F559" s="74" t="n"/>
      <c r="G559" s="118">
        <f>IF($F559="","",COUNTIF($F$5:$F559,$F559))</f>
        <v/>
      </c>
      <c r="H559" s="33">
        <f>IF($F559="","",IFERROR(INDEX(사건마스터!$B$5:$B$64,MATCH($F559,사건마스터!$A$5:$A$64,0)),""))</f>
        <v/>
      </c>
      <c r="I559" s="130">
        <f>IF($F559="","",IFERROR(INDEX(사건마스터!$C$5:$C$64,MATCH($F559,사건마스터!$A$5:$A$64,0)),""))</f>
        <v/>
      </c>
      <c r="J559" s="136">
        <f>IF($F559="","",IFERROR(INDEX(사건마스터!$H$5:$H$64,MATCH($F559,사건마스터!$A$5:$A$64,0)),""))</f>
        <v/>
      </c>
      <c r="K559" s="136">
        <f>IF($F559="","",IFERROR(INDEX(사건마스터!$AH$5:$AH$64,MATCH($F559,사건마스터!$A$5:$A$64,0)),""))</f>
        <v/>
      </c>
      <c r="L559" s="136">
        <f>IF($F559="","",IFERROR(INDEX(사건마스터!$AI$5:$AI$64,MATCH($F559,사건마스터!$A$5:$A$64,0)),""))</f>
        <v/>
      </c>
      <c r="M559" s="136">
        <f>IF($F559="","",IFERROR(INDEX(사건마스터!$AJ$5:$AJ$64,MATCH($F559,사건마스터!$A$5:$A$64,0)),""))</f>
        <v/>
      </c>
      <c r="N559" s="136">
        <f>IF($F559="","",IFERROR(INDEX(사건마스터!$AK$5:$AK$64,MATCH($F559,사건마스터!$A$5:$A$64,0)),""))</f>
        <v/>
      </c>
      <c r="O559" s="136">
        <f>IF($F559="","",IFERROR(INDEX(사건마스터!$AL$5:$AL$64,MATCH($F559,사건마스터!$A$5:$A$64,0)),""))</f>
        <v/>
      </c>
      <c r="P559" s="136">
        <f>IF($F559="","",IFERROR(INDEX(사건마스터!$AM$5:$AM$64,MATCH($F559,사건마스터!$A$5:$A$64,0)),""))</f>
        <v/>
      </c>
      <c r="Q559" s="136">
        <f>IF($F559="","",IFERROR(INDEX(사건마스터!$AN$5:$AN$64,MATCH($F559,사건마스터!$A$5:$A$64,0)),""))</f>
        <v/>
      </c>
      <c r="R559" s="136">
        <f>IF($F559="","",IFERROR(INDEX(사건마스터!$AO$5:$AO$64,MATCH($F559,사건마스터!$A$5:$A$64,0)),""))</f>
        <v/>
      </c>
      <c r="S559" s="136">
        <f>IF($F559="","",IFERROR(INDEX(사건마스터!$AP$5:$AP$64,MATCH($F559,사건마스터!$A$5:$A$64,0)),""))</f>
        <v/>
      </c>
      <c r="T559" s="136">
        <f>IF($F559="","",IFERROR(INDEX(사건마스터!$AQ$5:$AQ$64,MATCH($F559,사건마스터!$A$5:$A$64,0)),""))</f>
        <v/>
      </c>
      <c r="U559" s="136">
        <f>IF($F559="","",IFERROR(INDEX(사건마스터!$AR$5:$AR$64,MATCH($F559,사건마스터!$A$5:$A$64,0)),""))</f>
        <v/>
      </c>
      <c r="V559" s="136">
        <f>IF($F559="","",IFERROR(INDEX(사건마스터!$AS$5:$AS$64,MATCH($F559,사건마스터!$A$5:$A$64,0)),""))</f>
        <v/>
      </c>
      <c r="W559" s="136">
        <f>IF($F559="","",IFERROR(INDEX(사건마스터!$AT$5:$AT$64,MATCH($F559,사건마스터!$A$5:$A$64,0)),""))</f>
        <v/>
      </c>
      <c r="X559" s="136">
        <f>IF($F559="","",IFERROR(INDEX(사건마스터!$AU$5:$AU$64,MATCH($F559,사건마스터!$A$5:$A$64,0)),""))</f>
        <v/>
      </c>
      <c r="Y559" s="136">
        <f>IF($F559="","",IFERROR(INDEX(사건마스터!$AV$5:$AV$64,MATCH($F559,사건마스터!$A$5:$A$64,0)),""))</f>
        <v/>
      </c>
      <c r="Z559" s="118">
        <f>IF(COUNTBLANK($J559:$Y559)=16,"",16-COUNTBLANK($J559:$Y559))</f>
        <v/>
      </c>
      <c r="AA559" s="33">
        <f>IF($J559="",MID($AX559,3,255),$J559&amp;$AX559)</f>
        <v/>
      </c>
      <c r="AB559" s="130">
        <f>IF($J559="","",IFERROR(INDEX(코드설정!$D$5:$D$24,MATCH($J559,코드설정!$C$5:$C$24,0)),""))</f>
        <v/>
      </c>
      <c r="AC559" s="36" t="n"/>
      <c r="AD559" s="37" t="n"/>
      <c r="AE559" s="38" t="n"/>
      <c r="AF559" s="118">
        <f>IF(OR($B559="",$C559=""),"",$C559-$B559+1)</f>
        <v/>
      </c>
      <c r="AG559" s="74" t="n"/>
      <c r="AH559" s="36" t="n"/>
      <c r="AJ559">
        <f>IF($K559="","",", "&amp;$K559)</f>
        <v/>
      </c>
      <c r="AK559">
        <f>AJ559&amp;IF($L559="","",", "&amp;$L559)</f>
        <v/>
      </c>
      <c r="AL559">
        <f>AK559&amp;IF($M559="","",", "&amp;$M559)</f>
        <v/>
      </c>
      <c r="AM559">
        <f>AL559&amp;IF($N559="","",", "&amp;$N559)</f>
        <v/>
      </c>
      <c r="AN559">
        <f>AM559&amp;IF($O559="","",", "&amp;$O559)</f>
        <v/>
      </c>
      <c r="AO559">
        <f>AN559&amp;IF($P559="","",", "&amp;$P559)</f>
        <v/>
      </c>
      <c r="AP559">
        <f>AO559&amp;IF($Q559="","",", "&amp;$Q559)</f>
        <v/>
      </c>
      <c r="AQ559">
        <f>AP559&amp;IF($R559="","",", "&amp;$R559)</f>
        <v/>
      </c>
      <c r="AR559">
        <f>AQ559&amp;IF($S559="","",", "&amp;$S559)</f>
        <v/>
      </c>
      <c r="AS559">
        <f>AR559&amp;IF($T559="","",", "&amp;$T559)</f>
        <v/>
      </c>
      <c r="AT559">
        <f>AS559&amp;IF($U559="","",", "&amp;$U559)</f>
        <v/>
      </c>
      <c r="AU559">
        <f>AT559&amp;IF($V559="","",", "&amp;$V559)</f>
        <v/>
      </c>
      <c r="AV559">
        <f>AU559&amp;IF($W559="","",", "&amp;$W559)</f>
        <v/>
      </c>
      <c r="AW559">
        <f>AV559&amp;IF($X559="","",", "&amp;$X559)</f>
        <v/>
      </c>
      <c r="AX559">
        <f>AW559&amp;IF($Y559="","",", "&amp;$Y559)</f>
        <v/>
      </c>
    </row>
    <row r="560">
      <c r="A560" s="118">
        <f>IF($B560="","",COUNT($B$5:$B560))</f>
        <v/>
      </c>
      <c r="B560" s="80" t="n"/>
      <c r="C560" s="80" t="n"/>
      <c r="D560" s="74" t="n"/>
      <c r="E560" s="74" t="n"/>
      <c r="F560" s="74" t="n"/>
      <c r="G560" s="118">
        <f>IF($F560="","",COUNTIF($F$5:$F560,$F560))</f>
        <v/>
      </c>
      <c r="H560" s="33">
        <f>IF($F560="","",IFERROR(INDEX(사건마스터!$B$5:$B$64,MATCH($F560,사건마스터!$A$5:$A$64,0)),""))</f>
        <v/>
      </c>
      <c r="I560" s="130">
        <f>IF($F560="","",IFERROR(INDEX(사건마스터!$C$5:$C$64,MATCH($F560,사건마스터!$A$5:$A$64,0)),""))</f>
        <v/>
      </c>
      <c r="J560" s="136">
        <f>IF($F560="","",IFERROR(INDEX(사건마스터!$H$5:$H$64,MATCH($F560,사건마스터!$A$5:$A$64,0)),""))</f>
        <v/>
      </c>
      <c r="K560" s="136">
        <f>IF($F560="","",IFERROR(INDEX(사건마스터!$AH$5:$AH$64,MATCH($F560,사건마스터!$A$5:$A$64,0)),""))</f>
        <v/>
      </c>
      <c r="L560" s="136">
        <f>IF($F560="","",IFERROR(INDEX(사건마스터!$AI$5:$AI$64,MATCH($F560,사건마스터!$A$5:$A$64,0)),""))</f>
        <v/>
      </c>
      <c r="M560" s="136">
        <f>IF($F560="","",IFERROR(INDEX(사건마스터!$AJ$5:$AJ$64,MATCH($F560,사건마스터!$A$5:$A$64,0)),""))</f>
        <v/>
      </c>
      <c r="N560" s="136">
        <f>IF($F560="","",IFERROR(INDEX(사건마스터!$AK$5:$AK$64,MATCH($F560,사건마스터!$A$5:$A$64,0)),""))</f>
        <v/>
      </c>
      <c r="O560" s="136">
        <f>IF($F560="","",IFERROR(INDEX(사건마스터!$AL$5:$AL$64,MATCH($F560,사건마스터!$A$5:$A$64,0)),""))</f>
        <v/>
      </c>
      <c r="P560" s="136">
        <f>IF($F560="","",IFERROR(INDEX(사건마스터!$AM$5:$AM$64,MATCH($F560,사건마스터!$A$5:$A$64,0)),""))</f>
        <v/>
      </c>
      <c r="Q560" s="136">
        <f>IF($F560="","",IFERROR(INDEX(사건마스터!$AN$5:$AN$64,MATCH($F560,사건마스터!$A$5:$A$64,0)),""))</f>
        <v/>
      </c>
      <c r="R560" s="136">
        <f>IF($F560="","",IFERROR(INDEX(사건마스터!$AO$5:$AO$64,MATCH($F560,사건마스터!$A$5:$A$64,0)),""))</f>
        <v/>
      </c>
      <c r="S560" s="136">
        <f>IF($F560="","",IFERROR(INDEX(사건마스터!$AP$5:$AP$64,MATCH($F560,사건마스터!$A$5:$A$64,0)),""))</f>
        <v/>
      </c>
      <c r="T560" s="136">
        <f>IF($F560="","",IFERROR(INDEX(사건마스터!$AQ$5:$AQ$64,MATCH($F560,사건마스터!$A$5:$A$64,0)),""))</f>
        <v/>
      </c>
      <c r="U560" s="136">
        <f>IF($F560="","",IFERROR(INDEX(사건마스터!$AR$5:$AR$64,MATCH($F560,사건마스터!$A$5:$A$64,0)),""))</f>
        <v/>
      </c>
      <c r="V560" s="136">
        <f>IF($F560="","",IFERROR(INDEX(사건마스터!$AS$5:$AS$64,MATCH($F560,사건마스터!$A$5:$A$64,0)),""))</f>
        <v/>
      </c>
      <c r="W560" s="136">
        <f>IF($F560="","",IFERROR(INDEX(사건마스터!$AT$5:$AT$64,MATCH($F560,사건마스터!$A$5:$A$64,0)),""))</f>
        <v/>
      </c>
      <c r="X560" s="136">
        <f>IF($F560="","",IFERROR(INDEX(사건마스터!$AU$5:$AU$64,MATCH($F560,사건마스터!$A$5:$A$64,0)),""))</f>
        <v/>
      </c>
      <c r="Y560" s="136">
        <f>IF($F560="","",IFERROR(INDEX(사건마스터!$AV$5:$AV$64,MATCH($F560,사건마스터!$A$5:$A$64,0)),""))</f>
        <v/>
      </c>
      <c r="Z560" s="118">
        <f>IF(COUNTBLANK($J560:$Y560)=16,"",16-COUNTBLANK($J560:$Y560))</f>
        <v/>
      </c>
      <c r="AA560" s="33">
        <f>IF($J560="",MID($AX560,3,255),$J560&amp;$AX560)</f>
        <v/>
      </c>
      <c r="AB560" s="130">
        <f>IF($J560="","",IFERROR(INDEX(코드설정!$D$5:$D$24,MATCH($J560,코드설정!$C$5:$C$24,0)),""))</f>
        <v/>
      </c>
      <c r="AC560" s="36" t="n"/>
      <c r="AD560" s="37" t="n"/>
      <c r="AE560" s="38" t="n"/>
      <c r="AF560" s="118">
        <f>IF(OR($B560="",$C560=""),"",$C560-$B560+1)</f>
        <v/>
      </c>
      <c r="AG560" s="74" t="n"/>
      <c r="AH560" s="36" t="n"/>
      <c r="AJ560">
        <f>IF($K560="","",", "&amp;$K560)</f>
        <v/>
      </c>
      <c r="AK560">
        <f>AJ560&amp;IF($L560="","",", "&amp;$L560)</f>
        <v/>
      </c>
      <c r="AL560">
        <f>AK560&amp;IF($M560="","",", "&amp;$M560)</f>
        <v/>
      </c>
      <c r="AM560">
        <f>AL560&amp;IF($N560="","",", "&amp;$N560)</f>
        <v/>
      </c>
      <c r="AN560">
        <f>AM560&amp;IF($O560="","",", "&amp;$O560)</f>
        <v/>
      </c>
      <c r="AO560">
        <f>AN560&amp;IF($P560="","",", "&amp;$P560)</f>
        <v/>
      </c>
      <c r="AP560">
        <f>AO560&amp;IF($Q560="","",", "&amp;$Q560)</f>
        <v/>
      </c>
      <c r="AQ560">
        <f>AP560&amp;IF($R560="","",", "&amp;$R560)</f>
        <v/>
      </c>
      <c r="AR560">
        <f>AQ560&amp;IF($S560="","",", "&amp;$S560)</f>
        <v/>
      </c>
      <c r="AS560">
        <f>AR560&amp;IF($T560="","",", "&amp;$T560)</f>
        <v/>
      </c>
      <c r="AT560">
        <f>AS560&amp;IF($U560="","",", "&amp;$U560)</f>
        <v/>
      </c>
      <c r="AU560">
        <f>AT560&amp;IF($V560="","",", "&amp;$V560)</f>
        <v/>
      </c>
      <c r="AV560">
        <f>AU560&amp;IF($W560="","",", "&amp;$W560)</f>
        <v/>
      </c>
      <c r="AW560">
        <f>AV560&amp;IF($X560="","",", "&amp;$X560)</f>
        <v/>
      </c>
      <c r="AX560">
        <f>AW560&amp;IF($Y560="","",", "&amp;$Y560)</f>
        <v/>
      </c>
    </row>
    <row r="561">
      <c r="A561" s="118">
        <f>IF($B561="","",COUNT($B$5:$B561))</f>
        <v/>
      </c>
      <c r="B561" s="80" t="n"/>
      <c r="C561" s="80" t="n"/>
      <c r="D561" s="74" t="n"/>
      <c r="E561" s="74" t="n"/>
      <c r="F561" s="74" t="n"/>
      <c r="G561" s="118">
        <f>IF($F561="","",COUNTIF($F$5:$F561,$F561))</f>
        <v/>
      </c>
      <c r="H561" s="33">
        <f>IF($F561="","",IFERROR(INDEX(사건마스터!$B$5:$B$64,MATCH($F561,사건마스터!$A$5:$A$64,0)),""))</f>
        <v/>
      </c>
      <c r="I561" s="130">
        <f>IF($F561="","",IFERROR(INDEX(사건마스터!$C$5:$C$64,MATCH($F561,사건마스터!$A$5:$A$64,0)),""))</f>
        <v/>
      </c>
      <c r="J561" s="136">
        <f>IF($F561="","",IFERROR(INDEX(사건마스터!$H$5:$H$64,MATCH($F561,사건마스터!$A$5:$A$64,0)),""))</f>
        <v/>
      </c>
      <c r="K561" s="136">
        <f>IF($F561="","",IFERROR(INDEX(사건마스터!$AH$5:$AH$64,MATCH($F561,사건마스터!$A$5:$A$64,0)),""))</f>
        <v/>
      </c>
      <c r="L561" s="136">
        <f>IF($F561="","",IFERROR(INDEX(사건마스터!$AI$5:$AI$64,MATCH($F561,사건마스터!$A$5:$A$64,0)),""))</f>
        <v/>
      </c>
      <c r="M561" s="136">
        <f>IF($F561="","",IFERROR(INDEX(사건마스터!$AJ$5:$AJ$64,MATCH($F561,사건마스터!$A$5:$A$64,0)),""))</f>
        <v/>
      </c>
      <c r="N561" s="136">
        <f>IF($F561="","",IFERROR(INDEX(사건마스터!$AK$5:$AK$64,MATCH($F561,사건마스터!$A$5:$A$64,0)),""))</f>
        <v/>
      </c>
      <c r="O561" s="136">
        <f>IF($F561="","",IFERROR(INDEX(사건마스터!$AL$5:$AL$64,MATCH($F561,사건마스터!$A$5:$A$64,0)),""))</f>
        <v/>
      </c>
      <c r="P561" s="136">
        <f>IF($F561="","",IFERROR(INDEX(사건마스터!$AM$5:$AM$64,MATCH($F561,사건마스터!$A$5:$A$64,0)),""))</f>
        <v/>
      </c>
      <c r="Q561" s="136">
        <f>IF($F561="","",IFERROR(INDEX(사건마스터!$AN$5:$AN$64,MATCH($F561,사건마스터!$A$5:$A$64,0)),""))</f>
        <v/>
      </c>
      <c r="R561" s="136">
        <f>IF($F561="","",IFERROR(INDEX(사건마스터!$AO$5:$AO$64,MATCH($F561,사건마스터!$A$5:$A$64,0)),""))</f>
        <v/>
      </c>
      <c r="S561" s="136">
        <f>IF($F561="","",IFERROR(INDEX(사건마스터!$AP$5:$AP$64,MATCH($F561,사건마스터!$A$5:$A$64,0)),""))</f>
        <v/>
      </c>
      <c r="T561" s="136">
        <f>IF($F561="","",IFERROR(INDEX(사건마스터!$AQ$5:$AQ$64,MATCH($F561,사건마스터!$A$5:$A$64,0)),""))</f>
        <v/>
      </c>
      <c r="U561" s="136">
        <f>IF($F561="","",IFERROR(INDEX(사건마스터!$AR$5:$AR$64,MATCH($F561,사건마스터!$A$5:$A$64,0)),""))</f>
        <v/>
      </c>
      <c r="V561" s="136">
        <f>IF($F561="","",IFERROR(INDEX(사건마스터!$AS$5:$AS$64,MATCH($F561,사건마스터!$A$5:$A$64,0)),""))</f>
        <v/>
      </c>
      <c r="W561" s="136">
        <f>IF($F561="","",IFERROR(INDEX(사건마스터!$AT$5:$AT$64,MATCH($F561,사건마스터!$A$5:$A$64,0)),""))</f>
        <v/>
      </c>
      <c r="X561" s="136">
        <f>IF($F561="","",IFERROR(INDEX(사건마스터!$AU$5:$AU$64,MATCH($F561,사건마스터!$A$5:$A$64,0)),""))</f>
        <v/>
      </c>
      <c r="Y561" s="136">
        <f>IF($F561="","",IFERROR(INDEX(사건마스터!$AV$5:$AV$64,MATCH($F561,사건마스터!$A$5:$A$64,0)),""))</f>
        <v/>
      </c>
      <c r="Z561" s="118">
        <f>IF(COUNTBLANK($J561:$Y561)=16,"",16-COUNTBLANK($J561:$Y561))</f>
        <v/>
      </c>
      <c r="AA561" s="33">
        <f>IF($J561="",MID($AX561,3,255),$J561&amp;$AX561)</f>
        <v/>
      </c>
      <c r="AB561" s="130">
        <f>IF($J561="","",IFERROR(INDEX(코드설정!$D$5:$D$24,MATCH($J561,코드설정!$C$5:$C$24,0)),""))</f>
        <v/>
      </c>
      <c r="AC561" s="36" t="n"/>
      <c r="AD561" s="37" t="n"/>
      <c r="AE561" s="38" t="n"/>
      <c r="AF561" s="118">
        <f>IF(OR($B561="",$C561=""),"",$C561-$B561+1)</f>
        <v/>
      </c>
      <c r="AG561" s="74" t="n"/>
      <c r="AH561" s="36" t="n"/>
      <c r="AJ561">
        <f>IF($K561="","",", "&amp;$K561)</f>
        <v/>
      </c>
      <c r="AK561">
        <f>AJ561&amp;IF($L561="","",", "&amp;$L561)</f>
        <v/>
      </c>
      <c r="AL561">
        <f>AK561&amp;IF($M561="","",", "&amp;$M561)</f>
        <v/>
      </c>
      <c r="AM561">
        <f>AL561&amp;IF($N561="","",", "&amp;$N561)</f>
        <v/>
      </c>
      <c r="AN561">
        <f>AM561&amp;IF($O561="","",", "&amp;$O561)</f>
        <v/>
      </c>
      <c r="AO561">
        <f>AN561&amp;IF($P561="","",", "&amp;$P561)</f>
        <v/>
      </c>
      <c r="AP561">
        <f>AO561&amp;IF($Q561="","",", "&amp;$Q561)</f>
        <v/>
      </c>
      <c r="AQ561">
        <f>AP561&amp;IF($R561="","",", "&amp;$R561)</f>
        <v/>
      </c>
      <c r="AR561">
        <f>AQ561&amp;IF($S561="","",", "&amp;$S561)</f>
        <v/>
      </c>
      <c r="AS561">
        <f>AR561&amp;IF($T561="","",", "&amp;$T561)</f>
        <v/>
      </c>
      <c r="AT561">
        <f>AS561&amp;IF($U561="","",", "&amp;$U561)</f>
        <v/>
      </c>
      <c r="AU561">
        <f>AT561&amp;IF($V561="","",", "&amp;$V561)</f>
        <v/>
      </c>
      <c r="AV561">
        <f>AU561&amp;IF($W561="","",", "&amp;$W561)</f>
        <v/>
      </c>
      <c r="AW561">
        <f>AV561&amp;IF($X561="","",", "&amp;$X561)</f>
        <v/>
      </c>
      <c r="AX561">
        <f>AW561&amp;IF($Y561="","",", "&amp;$Y561)</f>
        <v/>
      </c>
    </row>
    <row r="562">
      <c r="A562" s="118">
        <f>IF($B562="","",COUNT($B$5:$B562))</f>
        <v/>
      </c>
      <c r="B562" s="80" t="n"/>
      <c r="C562" s="80" t="n"/>
      <c r="D562" s="74" t="n"/>
      <c r="E562" s="74" t="n"/>
      <c r="F562" s="74" t="n"/>
      <c r="G562" s="118">
        <f>IF($F562="","",COUNTIF($F$5:$F562,$F562))</f>
        <v/>
      </c>
      <c r="H562" s="33">
        <f>IF($F562="","",IFERROR(INDEX(사건마스터!$B$5:$B$64,MATCH($F562,사건마스터!$A$5:$A$64,0)),""))</f>
        <v/>
      </c>
      <c r="I562" s="130">
        <f>IF($F562="","",IFERROR(INDEX(사건마스터!$C$5:$C$64,MATCH($F562,사건마스터!$A$5:$A$64,0)),""))</f>
        <v/>
      </c>
      <c r="J562" s="136">
        <f>IF($F562="","",IFERROR(INDEX(사건마스터!$H$5:$H$64,MATCH($F562,사건마스터!$A$5:$A$64,0)),""))</f>
        <v/>
      </c>
      <c r="K562" s="136">
        <f>IF($F562="","",IFERROR(INDEX(사건마스터!$AH$5:$AH$64,MATCH($F562,사건마스터!$A$5:$A$64,0)),""))</f>
        <v/>
      </c>
      <c r="L562" s="136">
        <f>IF($F562="","",IFERROR(INDEX(사건마스터!$AI$5:$AI$64,MATCH($F562,사건마스터!$A$5:$A$64,0)),""))</f>
        <v/>
      </c>
      <c r="M562" s="136">
        <f>IF($F562="","",IFERROR(INDEX(사건마스터!$AJ$5:$AJ$64,MATCH($F562,사건마스터!$A$5:$A$64,0)),""))</f>
        <v/>
      </c>
      <c r="N562" s="136">
        <f>IF($F562="","",IFERROR(INDEX(사건마스터!$AK$5:$AK$64,MATCH($F562,사건마스터!$A$5:$A$64,0)),""))</f>
        <v/>
      </c>
      <c r="O562" s="136">
        <f>IF($F562="","",IFERROR(INDEX(사건마스터!$AL$5:$AL$64,MATCH($F562,사건마스터!$A$5:$A$64,0)),""))</f>
        <v/>
      </c>
      <c r="P562" s="136">
        <f>IF($F562="","",IFERROR(INDEX(사건마스터!$AM$5:$AM$64,MATCH($F562,사건마스터!$A$5:$A$64,0)),""))</f>
        <v/>
      </c>
      <c r="Q562" s="136">
        <f>IF($F562="","",IFERROR(INDEX(사건마스터!$AN$5:$AN$64,MATCH($F562,사건마스터!$A$5:$A$64,0)),""))</f>
        <v/>
      </c>
      <c r="R562" s="136">
        <f>IF($F562="","",IFERROR(INDEX(사건마스터!$AO$5:$AO$64,MATCH($F562,사건마스터!$A$5:$A$64,0)),""))</f>
        <v/>
      </c>
      <c r="S562" s="136">
        <f>IF($F562="","",IFERROR(INDEX(사건마스터!$AP$5:$AP$64,MATCH($F562,사건마스터!$A$5:$A$64,0)),""))</f>
        <v/>
      </c>
      <c r="T562" s="136">
        <f>IF($F562="","",IFERROR(INDEX(사건마스터!$AQ$5:$AQ$64,MATCH($F562,사건마스터!$A$5:$A$64,0)),""))</f>
        <v/>
      </c>
      <c r="U562" s="136">
        <f>IF($F562="","",IFERROR(INDEX(사건마스터!$AR$5:$AR$64,MATCH($F562,사건마스터!$A$5:$A$64,0)),""))</f>
        <v/>
      </c>
      <c r="V562" s="136">
        <f>IF($F562="","",IFERROR(INDEX(사건마스터!$AS$5:$AS$64,MATCH($F562,사건마스터!$A$5:$A$64,0)),""))</f>
        <v/>
      </c>
      <c r="W562" s="136">
        <f>IF($F562="","",IFERROR(INDEX(사건마스터!$AT$5:$AT$64,MATCH($F562,사건마스터!$A$5:$A$64,0)),""))</f>
        <v/>
      </c>
      <c r="X562" s="136">
        <f>IF($F562="","",IFERROR(INDEX(사건마스터!$AU$5:$AU$64,MATCH($F562,사건마스터!$A$5:$A$64,0)),""))</f>
        <v/>
      </c>
      <c r="Y562" s="136">
        <f>IF($F562="","",IFERROR(INDEX(사건마스터!$AV$5:$AV$64,MATCH($F562,사건마스터!$A$5:$A$64,0)),""))</f>
        <v/>
      </c>
      <c r="Z562" s="118">
        <f>IF(COUNTBLANK($J562:$Y562)=16,"",16-COUNTBLANK($J562:$Y562))</f>
        <v/>
      </c>
      <c r="AA562" s="33">
        <f>IF($J562="",MID($AX562,3,255),$J562&amp;$AX562)</f>
        <v/>
      </c>
      <c r="AB562" s="130">
        <f>IF($J562="","",IFERROR(INDEX(코드설정!$D$5:$D$24,MATCH($J562,코드설정!$C$5:$C$24,0)),""))</f>
        <v/>
      </c>
      <c r="AC562" s="36" t="n"/>
      <c r="AD562" s="37" t="n"/>
      <c r="AE562" s="38" t="n"/>
      <c r="AF562" s="118">
        <f>IF(OR($B562="",$C562=""),"",$C562-$B562+1)</f>
        <v/>
      </c>
      <c r="AG562" s="74" t="n"/>
      <c r="AH562" s="36" t="n"/>
      <c r="AJ562">
        <f>IF($K562="","",", "&amp;$K562)</f>
        <v/>
      </c>
      <c r="AK562">
        <f>AJ562&amp;IF($L562="","",", "&amp;$L562)</f>
        <v/>
      </c>
      <c r="AL562">
        <f>AK562&amp;IF($M562="","",", "&amp;$M562)</f>
        <v/>
      </c>
      <c r="AM562">
        <f>AL562&amp;IF($N562="","",", "&amp;$N562)</f>
        <v/>
      </c>
      <c r="AN562">
        <f>AM562&amp;IF($O562="","",", "&amp;$O562)</f>
        <v/>
      </c>
      <c r="AO562">
        <f>AN562&amp;IF($P562="","",", "&amp;$P562)</f>
        <v/>
      </c>
      <c r="AP562">
        <f>AO562&amp;IF($Q562="","",", "&amp;$Q562)</f>
        <v/>
      </c>
      <c r="AQ562">
        <f>AP562&amp;IF($R562="","",", "&amp;$R562)</f>
        <v/>
      </c>
      <c r="AR562">
        <f>AQ562&amp;IF($S562="","",", "&amp;$S562)</f>
        <v/>
      </c>
      <c r="AS562">
        <f>AR562&amp;IF($T562="","",", "&amp;$T562)</f>
        <v/>
      </c>
      <c r="AT562">
        <f>AS562&amp;IF($U562="","",", "&amp;$U562)</f>
        <v/>
      </c>
      <c r="AU562">
        <f>AT562&amp;IF($V562="","",", "&amp;$V562)</f>
        <v/>
      </c>
      <c r="AV562">
        <f>AU562&amp;IF($W562="","",", "&amp;$W562)</f>
        <v/>
      </c>
      <c r="AW562">
        <f>AV562&amp;IF($X562="","",", "&amp;$X562)</f>
        <v/>
      </c>
      <c r="AX562">
        <f>AW562&amp;IF($Y562="","",", "&amp;$Y562)</f>
        <v/>
      </c>
    </row>
    <row r="563">
      <c r="A563" s="118">
        <f>IF($B563="","",COUNT($B$5:$B563))</f>
        <v/>
      </c>
      <c r="B563" s="80" t="n"/>
      <c r="C563" s="80" t="n"/>
      <c r="D563" s="74" t="n"/>
      <c r="E563" s="74" t="n"/>
      <c r="F563" s="74" t="n"/>
      <c r="G563" s="118">
        <f>IF($F563="","",COUNTIF($F$5:$F563,$F563))</f>
        <v/>
      </c>
      <c r="H563" s="33">
        <f>IF($F563="","",IFERROR(INDEX(사건마스터!$B$5:$B$64,MATCH($F563,사건마스터!$A$5:$A$64,0)),""))</f>
        <v/>
      </c>
      <c r="I563" s="130">
        <f>IF($F563="","",IFERROR(INDEX(사건마스터!$C$5:$C$64,MATCH($F563,사건마스터!$A$5:$A$64,0)),""))</f>
        <v/>
      </c>
      <c r="J563" s="136">
        <f>IF($F563="","",IFERROR(INDEX(사건마스터!$H$5:$H$64,MATCH($F563,사건마스터!$A$5:$A$64,0)),""))</f>
        <v/>
      </c>
      <c r="K563" s="136">
        <f>IF($F563="","",IFERROR(INDEX(사건마스터!$AH$5:$AH$64,MATCH($F563,사건마스터!$A$5:$A$64,0)),""))</f>
        <v/>
      </c>
      <c r="L563" s="136">
        <f>IF($F563="","",IFERROR(INDEX(사건마스터!$AI$5:$AI$64,MATCH($F563,사건마스터!$A$5:$A$64,0)),""))</f>
        <v/>
      </c>
      <c r="M563" s="136">
        <f>IF($F563="","",IFERROR(INDEX(사건마스터!$AJ$5:$AJ$64,MATCH($F563,사건마스터!$A$5:$A$64,0)),""))</f>
        <v/>
      </c>
      <c r="N563" s="136">
        <f>IF($F563="","",IFERROR(INDEX(사건마스터!$AK$5:$AK$64,MATCH($F563,사건마스터!$A$5:$A$64,0)),""))</f>
        <v/>
      </c>
      <c r="O563" s="136">
        <f>IF($F563="","",IFERROR(INDEX(사건마스터!$AL$5:$AL$64,MATCH($F563,사건마스터!$A$5:$A$64,0)),""))</f>
        <v/>
      </c>
      <c r="P563" s="136">
        <f>IF($F563="","",IFERROR(INDEX(사건마스터!$AM$5:$AM$64,MATCH($F563,사건마스터!$A$5:$A$64,0)),""))</f>
        <v/>
      </c>
      <c r="Q563" s="136">
        <f>IF($F563="","",IFERROR(INDEX(사건마스터!$AN$5:$AN$64,MATCH($F563,사건마스터!$A$5:$A$64,0)),""))</f>
        <v/>
      </c>
      <c r="R563" s="136">
        <f>IF($F563="","",IFERROR(INDEX(사건마스터!$AO$5:$AO$64,MATCH($F563,사건마스터!$A$5:$A$64,0)),""))</f>
        <v/>
      </c>
      <c r="S563" s="136">
        <f>IF($F563="","",IFERROR(INDEX(사건마스터!$AP$5:$AP$64,MATCH($F563,사건마스터!$A$5:$A$64,0)),""))</f>
        <v/>
      </c>
      <c r="T563" s="136">
        <f>IF($F563="","",IFERROR(INDEX(사건마스터!$AQ$5:$AQ$64,MATCH($F563,사건마스터!$A$5:$A$64,0)),""))</f>
        <v/>
      </c>
      <c r="U563" s="136">
        <f>IF($F563="","",IFERROR(INDEX(사건마스터!$AR$5:$AR$64,MATCH($F563,사건마스터!$A$5:$A$64,0)),""))</f>
        <v/>
      </c>
      <c r="V563" s="136">
        <f>IF($F563="","",IFERROR(INDEX(사건마스터!$AS$5:$AS$64,MATCH($F563,사건마스터!$A$5:$A$64,0)),""))</f>
        <v/>
      </c>
      <c r="W563" s="136">
        <f>IF($F563="","",IFERROR(INDEX(사건마스터!$AT$5:$AT$64,MATCH($F563,사건마스터!$A$5:$A$64,0)),""))</f>
        <v/>
      </c>
      <c r="X563" s="136">
        <f>IF($F563="","",IFERROR(INDEX(사건마스터!$AU$5:$AU$64,MATCH($F563,사건마스터!$A$5:$A$64,0)),""))</f>
        <v/>
      </c>
      <c r="Y563" s="136">
        <f>IF($F563="","",IFERROR(INDEX(사건마스터!$AV$5:$AV$64,MATCH($F563,사건마스터!$A$5:$A$64,0)),""))</f>
        <v/>
      </c>
      <c r="Z563" s="118">
        <f>IF(COUNTBLANK($J563:$Y563)=16,"",16-COUNTBLANK($J563:$Y563))</f>
        <v/>
      </c>
      <c r="AA563" s="33">
        <f>IF($J563="",MID($AX563,3,255),$J563&amp;$AX563)</f>
        <v/>
      </c>
      <c r="AB563" s="130">
        <f>IF($J563="","",IFERROR(INDEX(코드설정!$D$5:$D$24,MATCH($J563,코드설정!$C$5:$C$24,0)),""))</f>
        <v/>
      </c>
      <c r="AC563" s="36" t="n"/>
      <c r="AD563" s="37" t="n"/>
      <c r="AE563" s="38" t="n"/>
      <c r="AF563" s="118">
        <f>IF(OR($B563="",$C563=""),"",$C563-$B563+1)</f>
        <v/>
      </c>
      <c r="AG563" s="74" t="n"/>
      <c r="AH563" s="36" t="n"/>
      <c r="AJ563">
        <f>IF($K563="","",", "&amp;$K563)</f>
        <v/>
      </c>
      <c r="AK563">
        <f>AJ563&amp;IF($L563="","",", "&amp;$L563)</f>
        <v/>
      </c>
      <c r="AL563">
        <f>AK563&amp;IF($M563="","",", "&amp;$M563)</f>
        <v/>
      </c>
      <c r="AM563">
        <f>AL563&amp;IF($N563="","",", "&amp;$N563)</f>
        <v/>
      </c>
      <c r="AN563">
        <f>AM563&amp;IF($O563="","",", "&amp;$O563)</f>
        <v/>
      </c>
      <c r="AO563">
        <f>AN563&amp;IF($P563="","",", "&amp;$P563)</f>
        <v/>
      </c>
      <c r="AP563">
        <f>AO563&amp;IF($Q563="","",", "&amp;$Q563)</f>
        <v/>
      </c>
      <c r="AQ563">
        <f>AP563&amp;IF($R563="","",", "&amp;$R563)</f>
        <v/>
      </c>
      <c r="AR563">
        <f>AQ563&amp;IF($S563="","",", "&amp;$S563)</f>
        <v/>
      </c>
      <c r="AS563">
        <f>AR563&amp;IF($T563="","",", "&amp;$T563)</f>
        <v/>
      </c>
      <c r="AT563">
        <f>AS563&amp;IF($U563="","",", "&amp;$U563)</f>
        <v/>
      </c>
      <c r="AU563">
        <f>AT563&amp;IF($V563="","",", "&amp;$V563)</f>
        <v/>
      </c>
      <c r="AV563">
        <f>AU563&amp;IF($W563="","",", "&amp;$W563)</f>
        <v/>
      </c>
      <c r="AW563">
        <f>AV563&amp;IF($X563="","",", "&amp;$X563)</f>
        <v/>
      </c>
      <c r="AX563">
        <f>AW563&amp;IF($Y563="","",", "&amp;$Y563)</f>
        <v/>
      </c>
    </row>
    <row r="564">
      <c r="A564" s="118">
        <f>IF($B564="","",COUNT($B$5:$B564))</f>
        <v/>
      </c>
      <c r="B564" s="80" t="n"/>
      <c r="C564" s="80" t="n"/>
      <c r="D564" s="74" t="n"/>
      <c r="E564" s="74" t="n"/>
      <c r="F564" s="74" t="n"/>
      <c r="G564" s="118">
        <f>IF($F564="","",COUNTIF($F$5:$F564,$F564))</f>
        <v/>
      </c>
      <c r="H564" s="33">
        <f>IF($F564="","",IFERROR(INDEX(사건마스터!$B$5:$B$64,MATCH($F564,사건마스터!$A$5:$A$64,0)),""))</f>
        <v/>
      </c>
      <c r="I564" s="130">
        <f>IF($F564="","",IFERROR(INDEX(사건마스터!$C$5:$C$64,MATCH($F564,사건마스터!$A$5:$A$64,0)),""))</f>
        <v/>
      </c>
      <c r="J564" s="136">
        <f>IF($F564="","",IFERROR(INDEX(사건마스터!$H$5:$H$64,MATCH($F564,사건마스터!$A$5:$A$64,0)),""))</f>
        <v/>
      </c>
      <c r="K564" s="136">
        <f>IF($F564="","",IFERROR(INDEX(사건마스터!$AH$5:$AH$64,MATCH($F564,사건마스터!$A$5:$A$64,0)),""))</f>
        <v/>
      </c>
      <c r="L564" s="136">
        <f>IF($F564="","",IFERROR(INDEX(사건마스터!$AI$5:$AI$64,MATCH($F564,사건마스터!$A$5:$A$64,0)),""))</f>
        <v/>
      </c>
      <c r="M564" s="136">
        <f>IF($F564="","",IFERROR(INDEX(사건마스터!$AJ$5:$AJ$64,MATCH($F564,사건마스터!$A$5:$A$64,0)),""))</f>
        <v/>
      </c>
      <c r="N564" s="136">
        <f>IF($F564="","",IFERROR(INDEX(사건마스터!$AK$5:$AK$64,MATCH($F564,사건마스터!$A$5:$A$64,0)),""))</f>
        <v/>
      </c>
      <c r="O564" s="136">
        <f>IF($F564="","",IFERROR(INDEX(사건마스터!$AL$5:$AL$64,MATCH($F564,사건마스터!$A$5:$A$64,0)),""))</f>
        <v/>
      </c>
      <c r="P564" s="136">
        <f>IF($F564="","",IFERROR(INDEX(사건마스터!$AM$5:$AM$64,MATCH($F564,사건마스터!$A$5:$A$64,0)),""))</f>
        <v/>
      </c>
      <c r="Q564" s="136">
        <f>IF($F564="","",IFERROR(INDEX(사건마스터!$AN$5:$AN$64,MATCH($F564,사건마스터!$A$5:$A$64,0)),""))</f>
        <v/>
      </c>
      <c r="R564" s="136">
        <f>IF($F564="","",IFERROR(INDEX(사건마스터!$AO$5:$AO$64,MATCH($F564,사건마스터!$A$5:$A$64,0)),""))</f>
        <v/>
      </c>
      <c r="S564" s="136">
        <f>IF($F564="","",IFERROR(INDEX(사건마스터!$AP$5:$AP$64,MATCH($F564,사건마스터!$A$5:$A$64,0)),""))</f>
        <v/>
      </c>
      <c r="T564" s="136">
        <f>IF($F564="","",IFERROR(INDEX(사건마스터!$AQ$5:$AQ$64,MATCH($F564,사건마스터!$A$5:$A$64,0)),""))</f>
        <v/>
      </c>
      <c r="U564" s="136">
        <f>IF($F564="","",IFERROR(INDEX(사건마스터!$AR$5:$AR$64,MATCH($F564,사건마스터!$A$5:$A$64,0)),""))</f>
        <v/>
      </c>
      <c r="V564" s="136">
        <f>IF($F564="","",IFERROR(INDEX(사건마스터!$AS$5:$AS$64,MATCH($F564,사건마스터!$A$5:$A$64,0)),""))</f>
        <v/>
      </c>
      <c r="W564" s="136">
        <f>IF($F564="","",IFERROR(INDEX(사건마스터!$AT$5:$AT$64,MATCH($F564,사건마스터!$A$5:$A$64,0)),""))</f>
        <v/>
      </c>
      <c r="X564" s="136">
        <f>IF($F564="","",IFERROR(INDEX(사건마스터!$AU$5:$AU$64,MATCH($F564,사건마스터!$A$5:$A$64,0)),""))</f>
        <v/>
      </c>
      <c r="Y564" s="136">
        <f>IF($F564="","",IFERROR(INDEX(사건마스터!$AV$5:$AV$64,MATCH($F564,사건마스터!$A$5:$A$64,0)),""))</f>
        <v/>
      </c>
      <c r="Z564" s="118">
        <f>IF(COUNTBLANK($J564:$Y564)=16,"",16-COUNTBLANK($J564:$Y564))</f>
        <v/>
      </c>
      <c r="AA564" s="33">
        <f>IF($J564="",MID($AX564,3,255),$J564&amp;$AX564)</f>
        <v/>
      </c>
      <c r="AB564" s="130">
        <f>IF($J564="","",IFERROR(INDEX(코드설정!$D$5:$D$24,MATCH($J564,코드설정!$C$5:$C$24,0)),""))</f>
        <v/>
      </c>
      <c r="AC564" s="36" t="n"/>
      <c r="AD564" s="37" t="n"/>
      <c r="AE564" s="38" t="n"/>
      <c r="AF564" s="118">
        <f>IF(OR($B564="",$C564=""),"",$C564-$B564+1)</f>
        <v/>
      </c>
      <c r="AG564" s="74" t="n"/>
      <c r="AH564" s="36" t="n"/>
      <c r="AJ564">
        <f>IF($K564="","",", "&amp;$K564)</f>
        <v/>
      </c>
      <c r="AK564">
        <f>AJ564&amp;IF($L564="","",", "&amp;$L564)</f>
        <v/>
      </c>
      <c r="AL564">
        <f>AK564&amp;IF($M564="","",", "&amp;$M564)</f>
        <v/>
      </c>
      <c r="AM564">
        <f>AL564&amp;IF($N564="","",", "&amp;$N564)</f>
        <v/>
      </c>
      <c r="AN564">
        <f>AM564&amp;IF($O564="","",", "&amp;$O564)</f>
        <v/>
      </c>
      <c r="AO564">
        <f>AN564&amp;IF($P564="","",", "&amp;$P564)</f>
        <v/>
      </c>
      <c r="AP564">
        <f>AO564&amp;IF($Q564="","",", "&amp;$Q564)</f>
        <v/>
      </c>
      <c r="AQ564">
        <f>AP564&amp;IF($R564="","",", "&amp;$R564)</f>
        <v/>
      </c>
      <c r="AR564">
        <f>AQ564&amp;IF($S564="","",", "&amp;$S564)</f>
        <v/>
      </c>
      <c r="AS564">
        <f>AR564&amp;IF($T564="","",", "&amp;$T564)</f>
        <v/>
      </c>
      <c r="AT564">
        <f>AS564&amp;IF($U564="","",", "&amp;$U564)</f>
        <v/>
      </c>
      <c r="AU564">
        <f>AT564&amp;IF($V564="","",", "&amp;$V564)</f>
        <v/>
      </c>
      <c r="AV564">
        <f>AU564&amp;IF($W564="","",", "&amp;$W564)</f>
        <v/>
      </c>
      <c r="AW564">
        <f>AV564&amp;IF($X564="","",", "&amp;$X564)</f>
        <v/>
      </c>
      <c r="AX564">
        <f>AW564&amp;IF($Y564="","",", "&amp;$Y564)</f>
        <v/>
      </c>
    </row>
    <row r="565">
      <c r="A565" s="118">
        <f>IF($B565="","",COUNT($B$5:$B565))</f>
        <v/>
      </c>
      <c r="B565" s="80" t="n"/>
      <c r="C565" s="80" t="n"/>
      <c r="D565" s="74" t="n"/>
      <c r="E565" s="74" t="n"/>
      <c r="F565" s="74" t="n"/>
      <c r="G565" s="118">
        <f>IF($F565="","",COUNTIF($F$5:$F565,$F565))</f>
        <v/>
      </c>
      <c r="H565" s="33">
        <f>IF($F565="","",IFERROR(INDEX(사건마스터!$B$5:$B$64,MATCH($F565,사건마스터!$A$5:$A$64,0)),""))</f>
        <v/>
      </c>
      <c r="I565" s="130">
        <f>IF($F565="","",IFERROR(INDEX(사건마스터!$C$5:$C$64,MATCH($F565,사건마스터!$A$5:$A$64,0)),""))</f>
        <v/>
      </c>
      <c r="J565" s="136">
        <f>IF($F565="","",IFERROR(INDEX(사건마스터!$H$5:$H$64,MATCH($F565,사건마스터!$A$5:$A$64,0)),""))</f>
        <v/>
      </c>
      <c r="K565" s="136">
        <f>IF($F565="","",IFERROR(INDEX(사건마스터!$AH$5:$AH$64,MATCH($F565,사건마스터!$A$5:$A$64,0)),""))</f>
        <v/>
      </c>
      <c r="L565" s="136">
        <f>IF($F565="","",IFERROR(INDEX(사건마스터!$AI$5:$AI$64,MATCH($F565,사건마스터!$A$5:$A$64,0)),""))</f>
        <v/>
      </c>
      <c r="M565" s="136">
        <f>IF($F565="","",IFERROR(INDEX(사건마스터!$AJ$5:$AJ$64,MATCH($F565,사건마스터!$A$5:$A$64,0)),""))</f>
        <v/>
      </c>
      <c r="N565" s="136">
        <f>IF($F565="","",IFERROR(INDEX(사건마스터!$AK$5:$AK$64,MATCH($F565,사건마스터!$A$5:$A$64,0)),""))</f>
        <v/>
      </c>
      <c r="O565" s="136">
        <f>IF($F565="","",IFERROR(INDEX(사건마스터!$AL$5:$AL$64,MATCH($F565,사건마스터!$A$5:$A$64,0)),""))</f>
        <v/>
      </c>
      <c r="P565" s="136">
        <f>IF($F565="","",IFERROR(INDEX(사건마스터!$AM$5:$AM$64,MATCH($F565,사건마스터!$A$5:$A$64,0)),""))</f>
        <v/>
      </c>
      <c r="Q565" s="136">
        <f>IF($F565="","",IFERROR(INDEX(사건마스터!$AN$5:$AN$64,MATCH($F565,사건마스터!$A$5:$A$64,0)),""))</f>
        <v/>
      </c>
      <c r="R565" s="136">
        <f>IF($F565="","",IFERROR(INDEX(사건마스터!$AO$5:$AO$64,MATCH($F565,사건마스터!$A$5:$A$64,0)),""))</f>
        <v/>
      </c>
      <c r="S565" s="136">
        <f>IF($F565="","",IFERROR(INDEX(사건마스터!$AP$5:$AP$64,MATCH($F565,사건마스터!$A$5:$A$64,0)),""))</f>
        <v/>
      </c>
      <c r="T565" s="136">
        <f>IF($F565="","",IFERROR(INDEX(사건마스터!$AQ$5:$AQ$64,MATCH($F565,사건마스터!$A$5:$A$64,0)),""))</f>
        <v/>
      </c>
      <c r="U565" s="136">
        <f>IF($F565="","",IFERROR(INDEX(사건마스터!$AR$5:$AR$64,MATCH($F565,사건마스터!$A$5:$A$64,0)),""))</f>
        <v/>
      </c>
      <c r="V565" s="136">
        <f>IF($F565="","",IFERROR(INDEX(사건마스터!$AS$5:$AS$64,MATCH($F565,사건마스터!$A$5:$A$64,0)),""))</f>
        <v/>
      </c>
      <c r="W565" s="136">
        <f>IF($F565="","",IFERROR(INDEX(사건마스터!$AT$5:$AT$64,MATCH($F565,사건마스터!$A$5:$A$64,0)),""))</f>
        <v/>
      </c>
      <c r="X565" s="136">
        <f>IF($F565="","",IFERROR(INDEX(사건마스터!$AU$5:$AU$64,MATCH($F565,사건마스터!$A$5:$A$64,0)),""))</f>
        <v/>
      </c>
      <c r="Y565" s="136">
        <f>IF($F565="","",IFERROR(INDEX(사건마스터!$AV$5:$AV$64,MATCH($F565,사건마스터!$A$5:$A$64,0)),""))</f>
        <v/>
      </c>
      <c r="Z565" s="118">
        <f>IF(COUNTBLANK($J565:$Y565)=16,"",16-COUNTBLANK($J565:$Y565))</f>
        <v/>
      </c>
      <c r="AA565" s="33">
        <f>IF($J565="",MID($AX565,3,255),$J565&amp;$AX565)</f>
        <v/>
      </c>
      <c r="AB565" s="130">
        <f>IF($J565="","",IFERROR(INDEX(코드설정!$D$5:$D$24,MATCH($J565,코드설정!$C$5:$C$24,0)),""))</f>
        <v/>
      </c>
      <c r="AC565" s="36" t="n"/>
      <c r="AD565" s="37" t="n"/>
      <c r="AE565" s="38" t="n"/>
      <c r="AF565" s="118">
        <f>IF(OR($B565="",$C565=""),"",$C565-$B565+1)</f>
        <v/>
      </c>
      <c r="AG565" s="74" t="n"/>
      <c r="AH565" s="36" t="n"/>
      <c r="AJ565">
        <f>IF($K565="","",", "&amp;$K565)</f>
        <v/>
      </c>
      <c r="AK565">
        <f>AJ565&amp;IF($L565="","",", "&amp;$L565)</f>
        <v/>
      </c>
      <c r="AL565">
        <f>AK565&amp;IF($M565="","",", "&amp;$M565)</f>
        <v/>
      </c>
      <c r="AM565">
        <f>AL565&amp;IF($N565="","",", "&amp;$N565)</f>
        <v/>
      </c>
      <c r="AN565">
        <f>AM565&amp;IF($O565="","",", "&amp;$O565)</f>
        <v/>
      </c>
      <c r="AO565">
        <f>AN565&amp;IF($P565="","",", "&amp;$P565)</f>
        <v/>
      </c>
      <c r="AP565">
        <f>AO565&amp;IF($Q565="","",", "&amp;$Q565)</f>
        <v/>
      </c>
      <c r="AQ565">
        <f>AP565&amp;IF($R565="","",", "&amp;$R565)</f>
        <v/>
      </c>
      <c r="AR565">
        <f>AQ565&amp;IF($S565="","",", "&amp;$S565)</f>
        <v/>
      </c>
      <c r="AS565">
        <f>AR565&amp;IF($T565="","",", "&amp;$T565)</f>
        <v/>
      </c>
      <c r="AT565">
        <f>AS565&amp;IF($U565="","",", "&amp;$U565)</f>
        <v/>
      </c>
      <c r="AU565">
        <f>AT565&amp;IF($V565="","",", "&amp;$V565)</f>
        <v/>
      </c>
      <c r="AV565">
        <f>AU565&amp;IF($W565="","",", "&amp;$W565)</f>
        <v/>
      </c>
      <c r="AW565">
        <f>AV565&amp;IF($X565="","",", "&amp;$X565)</f>
        <v/>
      </c>
      <c r="AX565">
        <f>AW565&amp;IF($Y565="","",", "&amp;$Y565)</f>
        <v/>
      </c>
    </row>
    <row r="566">
      <c r="A566" s="118">
        <f>IF($B566="","",COUNT($B$5:$B566))</f>
        <v/>
      </c>
      <c r="B566" s="80" t="n"/>
      <c r="C566" s="80" t="n"/>
      <c r="D566" s="74" t="n"/>
      <c r="E566" s="74" t="n"/>
      <c r="F566" s="74" t="n"/>
      <c r="G566" s="118">
        <f>IF($F566="","",COUNTIF($F$5:$F566,$F566))</f>
        <v/>
      </c>
      <c r="H566" s="33">
        <f>IF($F566="","",IFERROR(INDEX(사건마스터!$B$5:$B$64,MATCH($F566,사건마스터!$A$5:$A$64,0)),""))</f>
        <v/>
      </c>
      <c r="I566" s="130">
        <f>IF($F566="","",IFERROR(INDEX(사건마스터!$C$5:$C$64,MATCH($F566,사건마스터!$A$5:$A$64,0)),""))</f>
        <v/>
      </c>
      <c r="J566" s="136">
        <f>IF($F566="","",IFERROR(INDEX(사건마스터!$H$5:$H$64,MATCH($F566,사건마스터!$A$5:$A$64,0)),""))</f>
        <v/>
      </c>
      <c r="K566" s="136">
        <f>IF($F566="","",IFERROR(INDEX(사건마스터!$AH$5:$AH$64,MATCH($F566,사건마스터!$A$5:$A$64,0)),""))</f>
        <v/>
      </c>
      <c r="L566" s="136">
        <f>IF($F566="","",IFERROR(INDEX(사건마스터!$AI$5:$AI$64,MATCH($F566,사건마스터!$A$5:$A$64,0)),""))</f>
        <v/>
      </c>
      <c r="M566" s="136">
        <f>IF($F566="","",IFERROR(INDEX(사건마스터!$AJ$5:$AJ$64,MATCH($F566,사건마스터!$A$5:$A$64,0)),""))</f>
        <v/>
      </c>
      <c r="N566" s="136">
        <f>IF($F566="","",IFERROR(INDEX(사건마스터!$AK$5:$AK$64,MATCH($F566,사건마스터!$A$5:$A$64,0)),""))</f>
        <v/>
      </c>
      <c r="O566" s="136">
        <f>IF($F566="","",IFERROR(INDEX(사건마스터!$AL$5:$AL$64,MATCH($F566,사건마스터!$A$5:$A$64,0)),""))</f>
        <v/>
      </c>
      <c r="P566" s="136">
        <f>IF($F566="","",IFERROR(INDEX(사건마스터!$AM$5:$AM$64,MATCH($F566,사건마스터!$A$5:$A$64,0)),""))</f>
        <v/>
      </c>
      <c r="Q566" s="136">
        <f>IF($F566="","",IFERROR(INDEX(사건마스터!$AN$5:$AN$64,MATCH($F566,사건마스터!$A$5:$A$64,0)),""))</f>
        <v/>
      </c>
      <c r="R566" s="136">
        <f>IF($F566="","",IFERROR(INDEX(사건마스터!$AO$5:$AO$64,MATCH($F566,사건마스터!$A$5:$A$64,0)),""))</f>
        <v/>
      </c>
      <c r="S566" s="136">
        <f>IF($F566="","",IFERROR(INDEX(사건마스터!$AP$5:$AP$64,MATCH($F566,사건마스터!$A$5:$A$64,0)),""))</f>
        <v/>
      </c>
      <c r="T566" s="136">
        <f>IF($F566="","",IFERROR(INDEX(사건마스터!$AQ$5:$AQ$64,MATCH($F566,사건마스터!$A$5:$A$64,0)),""))</f>
        <v/>
      </c>
      <c r="U566" s="136">
        <f>IF($F566="","",IFERROR(INDEX(사건마스터!$AR$5:$AR$64,MATCH($F566,사건마스터!$A$5:$A$64,0)),""))</f>
        <v/>
      </c>
      <c r="V566" s="136">
        <f>IF($F566="","",IFERROR(INDEX(사건마스터!$AS$5:$AS$64,MATCH($F566,사건마스터!$A$5:$A$64,0)),""))</f>
        <v/>
      </c>
      <c r="W566" s="136">
        <f>IF($F566="","",IFERROR(INDEX(사건마스터!$AT$5:$AT$64,MATCH($F566,사건마스터!$A$5:$A$64,0)),""))</f>
        <v/>
      </c>
      <c r="X566" s="136">
        <f>IF($F566="","",IFERROR(INDEX(사건마스터!$AU$5:$AU$64,MATCH($F566,사건마스터!$A$5:$A$64,0)),""))</f>
        <v/>
      </c>
      <c r="Y566" s="136">
        <f>IF($F566="","",IFERROR(INDEX(사건마스터!$AV$5:$AV$64,MATCH($F566,사건마스터!$A$5:$A$64,0)),""))</f>
        <v/>
      </c>
      <c r="Z566" s="118">
        <f>IF(COUNTBLANK($J566:$Y566)=16,"",16-COUNTBLANK($J566:$Y566))</f>
        <v/>
      </c>
      <c r="AA566" s="33">
        <f>IF($J566="",MID($AX566,3,255),$J566&amp;$AX566)</f>
        <v/>
      </c>
      <c r="AB566" s="130">
        <f>IF($J566="","",IFERROR(INDEX(코드설정!$D$5:$D$24,MATCH($J566,코드설정!$C$5:$C$24,0)),""))</f>
        <v/>
      </c>
      <c r="AC566" s="36" t="n"/>
      <c r="AD566" s="37" t="n"/>
      <c r="AE566" s="38" t="n"/>
      <c r="AF566" s="118">
        <f>IF(OR($B566="",$C566=""),"",$C566-$B566+1)</f>
        <v/>
      </c>
      <c r="AG566" s="74" t="n"/>
      <c r="AH566" s="36" t="n"/>
      <c r="AJ566">
        <f>IF($K566="","",", "&amp;$K566)</f>
        <v/>
      </c>
      <c r="AK566">
        <f>AJ566&amp;IF($L566="","",", "&amp;$L566)</f>
        <v/>
      </c>
      <c r="AL566">
        <f>AK566&amp;IF($M566="","",", "&amp;$M566)</f>
        <v/>
      </c>
      <c r="AM566">
        <f>AL566&amp;IF($N566="","",", "&amp;$N566)</f>
        <v/>
      </c>
      <c r="AN566">
        <f>AM566&amp;IF($O566="","",", "&amp;$O566)</f>
        <v/>
      </c>
      <c r="AO566">
        <f>AN566&amp;IF($P566="","",", "&amp;$P566)</f>
        <v/>
      </c>
      <c r="AP566">
        <f>AO566&amp;IF($Q566="","",", "&amp;$Q566)</f>
        <v/>
      </c>
      <c r="AQ566">
        <f>AP566&amp;IF($R566="","",", "&amp;$R566)</f>
        <v/>
      </c>
      <c r="AR566">
        <f>AQ566&amp;IF($S566="","",", "&amp;$S566)</f>
        <v/>
      </c>
      <c r="AS566">
        <f>AR566&amp;IF($T566="","",", "&amp;$T566)</f>
        <v/>
      </c>
      <c r="AT566">
        <f>AS566&amp;IF($U566="","",", "&amp;$U566)</f>
        <v/>
      </c>
      <c r="AU566">
        <f>AT566&amp;IF($V566="","",", "&amp;$V566)</f>
        <v/>
      </c>
      <c r="AV566">
        <f>AU566&amp;IF($W566="","",", "&amp;$W566)</f>
        <v/>
      </c>
      <c r="AW566">
        <f>AV566&amp;IF($X566="","",", "&amp;$X566)</f>
        <v/>
      </c>
      <c r="AX566">
        <f>AW566&amp;IF($Y566="","",", "&amp;$Y566)</f>
        <v/>
      </c>
    </row>
    <row r="567">
      <c r="A567" s="118">
        <f>IF($B567="","",COUNT($B$5:$B567))</f>
        <v/>
      </c>
      <c r="B567" s="80" t="n"/>
      <c r="C567" s="80" t="n"/>
      <c r="D567" s="74" t="n"/>
      <c r="E567" s="74" t="n"/>
      <c r="F567" s="74" t="n"/>
      <c r="G567" s="118">
        <f>IF($F567="","",COUNTIF($F$5:$F567,$F567))</f>
        <v/>
      </c>
      <c r="H567" s="33">
        <f>IF($F567="","",IFERROR(INDEX(사건마스터!$B$5:$B$64,MATCH($F567,사건마스터!$A$5:$A$64,0)),""))</f>
        <v/>
      </c>
      <c r="I567" s="130">
        <f>IF($F567="","",IFERROR(INDEX(사건마스터!$C$5:$C$64,MATCH($F567,사건마스터!$A$5:$A$64,0)),""))</f>
        <v/>
      </c>
      <c r="J567" s="136">
        <f>IF($F567="","",IFERROR(INDEX(사건마스터!$H$5:$H$64,MATCH($F567,사건마스터!$A$5:$A$64,0)),""))</f>
        <v/>
      </c>
      <c r="K567" s="136">
        <f>IF($F567="","",IFERROR(INDEX(사건마스터!$AH$5:$AH$64,MATCH($F567,사건마스터!$A$5:$A$64,0)),""))</f>
        <v/>
      </c>
      <c r="L567" s="136">
        <f>IF($F567="","",IFERROR(INDEX(사건마스터!$AI$5:$AI$64,MATCH($F567,사건마스터!$A$5:$A$64,0)),""))</f>
        <v/>
      </c>
      <c r="M567" s="136">
        <f>IF($F567="","",IFERROR(INDEX(사건마스터!$AJ$5:$AJ$64,MATCH($F567,사건마스터!$A$5:$A$64,0)),""))</f>
        <v/>
      </c>
      <c r="N567" s="136">
        <f>IF($F567="","",IFERROR(INDEX(사건마스터!$AK$5:$AK$64,MATCH($F567,사건마스터!$A$5:$A$64,0)),""))</f>
        <v/>
      </c>
      <c r="O567" s="136">
        <f>IF($F567="","",IFERROR(INDEX(사건마스터!$AL$5:$AL$64,MATCH($F567,사건마스터!$A$5:$A$64,0)),""))</f>
        <v/>
      </c>
      <c r="P567" s="136">
        <f>IF($F567="","",IFERROR(INDEX(사건마스터!$AM$5:$AM$64,MATCH($F567,사건마스터!$A$5:$A$64,0)),""))</f>
        <v/>
      </c>
      <c r="Q567" s="136">
        <f>IF($F567="","",IFERROR(INDEX(사건마스터!$AN$5:$AN$64,MATCH($F567,사건마스터!$A$5:$A$64,0)),""))</f>
        <v/>
      </c>
      <c r="R567" s="136">
        <f>IF($F567="","",IFERROR(INDEX(사건마스터!$AO$5:$AO$64,MATCH($F567,사건마스터!$A$5:$A$64,0)),""))</f>
        <v/>
      </c>
      <c r="S567" s="136">
        <f>IF($F567="","",IFERROR(INDEX(사건마스터!$AP$5:$AP$64,MATCH($F567,사건마스터!$A$5:$A$64,0)),""))</f>
        <v/>
      </c>
      <c r="T567" s="136">
        <f>IF($F567="","",IFERROR(INDEX(사건마스터!$AQ$5:$AQ$64,MATCH($F567,사건마스터!$A$5:$A$64,0)),""))</f>
        <v/>
      </c>
      <c r="U567" s="136">
        <f>IF($F567="","",IFERROR(INDEX(사건마스터!$AR$5:$AR$64,MATCH($F567,사건마스터!$A$5:$A$64,0)),""))</f>
        <v/>
      </c>
      <c r="V567" s="136">
        <f>IF($F567="","",IFERROR(INDEX(사건마스터!$AS$5:$AS$64,MATCH($F567,사건마스터!$A$5:$A$64,0)),""))</f>
        <v/>
      </c>
      <c r="W567" s="136">
        <f>IF($F567="","",IFERROR(INDEX(사건마스터!$AT$5:$AT$64,MATCH($F567,사건마스터!$A$5:$A$64,0)),""))</f>
        <v/>
      </c>
      <c r="X567" s="136">
        <f>IF($F567="","",IFERROR(INDEX(사건마스터!$AU$5:$AU$64,MATCH($F567,사건마스터!$A$5:$A$64,0)),""))</f>
        <v/>
      </c>
      <c r="Y567" s="136">
        <f>IF($F567="","",IFERROR(INDEX(사건마스터!$AV$5:$AV$64,MATCH($F567,사건마스터!$A$5:$A$64,0)),""))</f>
        <v/>
      </c>
      <c r="Z567" s="118">
        <f>IF(COUNTBLANK($J567:$Y567)=16,"",16-COUNTBLANK($J567:$Y567))</f>
        <v/>
      </c>
      <c r="AA567" s="33">
        <f>IF($J567="",MID($AX567,3,255),$J567&amp;$AX567)</f>
        <v/>
      </c>
      <c r="AB567" s="130">
        <f>IF($J567="","",IFERROR(INDEX(코드설정!$D$5:$D$24,MATCH($J567,코드설정!$C$5:$C$24,0)),""))</f>
        <v/>
      </c>
      <c r="AC567" s="36" t="n"/>
      <c r="AD567" s="37" t="n"/>
      <c r="AE567" s="38" t="n"/>
      <c r="AF567" s="118">
        <f>IF(OR($B567="",$C567=""),"",$C567-$B567+1)</f>
        <v/>
      </c>
      <c r="AG567" s="74" t="n"/>
      <c r="AH567" s="36" t="n"/>
      <c r="AJ567">
        <f>IF($K567="","",", "&amp;$K567)</f>
        <v/>
      </c>
      <c r="AK567">
        <f>AJ567&amp;IF($L567="","",", "&amp;$L567)</f>
        <v/>
      </c>
      <c r="AL567">
        <f>AK567&amp;IF($M567="","",", "&amp;$M567)</f>
        <v/>
      </c>
      <c r="AM567">
        <f>AL567&amp;IF($N567="","",", "&amp;$N567)</f>
        <v/>
      </c>
      <c r="AN567">
        <f>AM567&amp;IF($O567="","",", "&amp;$O567)</f>
        <v/>
      </c>
      <c r="AO567">
        <f>AN567&amp;IF($P567="","",", "&amp;$P567)</f>
        <v/>
      </c>
      <c r="AP567">
        <f>AO567&amp;IF($Q567="","",", "&amp;$Q567)</f>
        <v/>
      </c>
      <c r="AQ567">
        <f>AP567&amp;IF($R567="","",", "&amp;$R567)</f>
        <v/>
      </c>
      <c r="AR567">
        <f>AQ567&amp;IF($S567="","",", "&amp;$S567)</f>
        <v/>
      </c>
      <c r="AS567">
        <f>AR567&amp;IF($T567="","",", "&amp;$T567)</f>
        <v/>
      </c>
      <c r="AT567">
        <f>AS567&amp;IF($U567="","",", "&amp;$U567)</f>
        <v/>
      </c>
      <c r="AU567">
        <f>AT567&amp;IF($V567="","",", "&amp;$V567)</f>
        <v/>
      </c>
      <c r="AV567">
        <f>AU567&amp;IF($W567="","",", "&amp;$W567)</f>
        <v/>
      </c>
      <c r="AW567">
        <f>AV567&amp;IF($X567="","",", "&amp;$X567)</f>
        <v/>
      </c>
      <c r="AX567">
        <f>AW567&amp;IF($Y567="","",", "&amp;$Y567)</f>
        <v/>
      </c>
    </row>
    <row r="568">
      <c r="A568" s="118">
        <f>IF($B568="","",COUNT($B$5:$B568))</f>
        <v/>
      </c>
      <c r="B568" s="80" t="n"/>
      <c r="C568" s="80" t="n"/>
      <c r="D568" s="74" t="n"/>
      <c r="E568" s="74" t="n"/>
      <c r="F568" s="74" t="n"/>
      <c r="G568" s="118">
        <f>IF($F568="","",COUNTIF($F$5:$F568,$F568))</f>
        <v/>
      </c>
      <c r="H568" s="33">
        <f>IF($F568="","",IFERROR(INDEX(사건마스터!$B$5:$B$64,MATCH($F568,사건마스터!$A$5:$A$64,0)),""))</f>
        <v/>
      </c>
      <c r="I568" s="130">
        <f>IF($F568="","",IFERROR(INDEX(사건마스터!$C$5:$C$64,MATCH($F568,사건마스터!$A$5:$A$64,0)),""))</f>
        <v/>
      </c>
      <c r="J568" s="136">
        <f>IF($F568="","",IFERROR(INDEX(사건마스터!$H$5:$H$64,MATCH($F568,사건마스터!$A$5:$A$64,0)),""))</f>
        <v/>
      </c>
      <c r="K568" s="136">
        <f>IF($F568="","",IFERROR(INDEX(사건마스터!$AH$5:$AH$64,MATCH($F568,사건마스터!$A$5:$A$64,0)),""))</f>
        <v/>
      </c>
      <c r="L568" s="136">
        <f>IF($F568="","",IFERROR(INDEX(사건마스터!$AI$5:$AI$64,MATCH($F568,사건마스터!$A$5:$A$64,0)),""))</f>
        <v/>
      </c>
      <c r="M568" s="136">
        <f>IF($F568="","",IFERROR(INDEX(사건마스터!$AJ$5:$AJ$64,MATCH($F568,사건마스터!$A$5:$A$64,0)),""))</f>
        <v/>
      </c>
      <c r="N568" s="136">
        <f>IF($F568="","",IFERROR(INDEX(사건마스터!$AK$5:$AK$64,MATCH($F568,사건마스터!$A$5:$A$64,0)),""))</f>
        <v/>
      </c>
      <c r="O568" s="136">
        <f>IF($F568="","",IFERROR(INDEX(사건마스터!$AL$5:$AL$64,MATCH($F568,사건마스터!$A$5:$A$64,0)),""))</f>
        <v/>
      </c>
      <c r="P568" s="136">
        <f>IF($F568="","",IFERROR(INDEX(사건마스터!$AM$5:$AM$64,MATCH($F568,사건마스터!$A$5:$A$64,0)),""))</f>
        <v/>
      </c>
      <c r="Q568" s="136">
        <f>IF($F568="","",IFERROR(INDEX(사건마스터!$AN$5:$AN$64,MATCH($F568,사건마스터!$A$5:$A$64,0)),""))</f>
        <v/>
      </c>
      <c r="R568" s="136">
        <f>IF($F568="","",IFERROR(INDEX(사건마스터!$AO$5:$AO$64,MATCH($F568,사건마스터!$A$5:$A$64,0)),""))</f>
        <v/>
      </c>
      <c r="S568" s="136">
        <f>IF($F568="","",IFERROR(INDEX(사건마스터!$AP$5:$AP$64,MATCH($F568,사건마스터!$A$5:$A$64,0)),""))</f>
        <v/>
      </c>
      <c r="T568" s="136">
        <f>IF($F568="","",IFERROR(INDEX(사건마스터!$AQ$5:$AQ$64,MATCH($F568,사건마스터!$A$5:$A$64,0)),""))</f>
        <v/>
      </c>
      <c r="U568" s="136">
        <f>IF($F568="","",IFERROR(INDEX(사건마스터!$AR$5:$AR$64,MATCH($F568,사건마스터!$A$5:$A$64,0)),""))</f>
        <v/>
      </c>
      <c r="V568" s="136">
        <f>IF($F568="","",IFERROR(INDEX(사건마스터!$AS$5:$AS$64,MATCH($F568,사건마스터!$A$5:$A$64,0)),""))</f>
        <v/>
      </c>
      <c r="W568" s="136">
        <f>IF($F568="","",IFERROR(INDEX(사건마스터!$AT$5:$AT$64,MATCH($F568,사건마스터!$A$5:$A$64,0)),""))</f>
        <v/>
      </c>
      <c r="X568" s="136">
        <f>IF($F568="","",IFERROR(INDEX(사건마스터!$AU$5:$AU$64,MATCH($F568,사건마스터!$A$5:$A$64,0)),""))</f>
        <v/>
      </c>
      <c r="Y568" s="136">
        <f>IF($F568="","",IFERROR(INDEX(사건마스터!$AV$5:$AV$64,MATCH($F568,사건마스터!$A$5:$A$64,0)),""))</f>
        <v/>
      </c>
      <c r="Z568" s="118">
        <f>IF(COUNTBLANK($J568:$Y568)=16,"",16-COUNTBLANK($J568:$Y568))</f>
        <v/>
      </c>
      <c r="AA568" s="33">
        <f>IF($J568="",MID($AX568,3,255),$J568&amp;$AX568)</f>
        <v/>
      </c>
      <c r="AB568" s="130">
        <f>IF($J568="","",IFERROR(INDEX(코드설정!$D$5:$D$24,MATCH($J568,코드설정!$C$5:$C$24,0)),""))</f>
        <v/>
      </c>
      <c r="AC568" s="36" t="n"/>
      <c r="AD568" s="37" t="n"/>
      <c r="AE568" s="38" t="n"/>
      <c r="AF568" s="118">
        <f>IF(OR($B568="",$C568=""),"",$C568-$B568+1)</f>
        <v/>
      </c>
      <c r="AG568" s="74" t="n"/>
      <c r="AH568" s="36" t="n"/>
      <c r="AJ568">
        <f>IF($K568="","",", "&amp;$K568)</f>
        <v/>
      </c>
      <c r="AK568">
        <f>AJ568&amp;IF($L568="","",", "&amp;$L568)</f>
        <v/>
      </c>
      <c r="AL568">
        <f>AK568&amp;IF($M568="","",", "&amp;$M568)</f>
        <v/>
      </c>
      <c r="AM568">
        <f>AL568&amp;IF($N568="","",", "&amp;$N568)</f>
        <v/>
      </c>
      <c r="AN568">
        <f>AM568&amp;IF($O568="","",", "&amp;$O568)</f>
        <v/>
      </c>
      <c r="AO568">
        <f>AN568&amp;IF($P568="","",", "&amp;$P568)</f>
        <v/>
      </c>
      <c r="AP568">
        <f>AO568&amp;IF($Q568="","",", "&amp;$Q568)</f>
        <v/>
      </c>
      <c r="AQ568">
        <f>AP568&amp;IF($R568="","",", "&amp;$R568)</f>
        <v/>
      </c>
      <c r="AR568">
        <f>AQ568&amp;IF($S568="","",", "&amp;$S568)</f>
        <v/>
      </c>
      <c r="AS568">
        <f>AR568&amp;IF($T568="","",", "&amp;$T568)</f>
        <v/>
      </c>
      <c r="AT568">
        <f>AS568&amp;IF($U568="","",", "&amp;$U568)</f>
        <v/>
      </c>
      <c r="AU568">
        <f>AT568&amp;IF($V568="","",", "&amp;$V568)</f>
        <v/>
      </c>
      <c r="AV568">
        <f>AU568&amp;IF($W568="","",", "&amp;$W568)</f>
        <v/>
      </c>
      <c r="AW568">
        <f>AV568&amp;IF($X568="","",", "&amp;$X568)</f>
        <v/>
      </c>
      <c r="AX568">
        <f>AW568&amp;IF($Y568="","",", "&amp;$Y568)</f>
        <v/>
      </c>
    </row>
    <row r="569">
      <c r="A569" s="118">
        <f>IF($B569="","",COUNT($B$5:$B569))</f>
        <v/>
      </c>
      <c r="B569" s="80" t="n"/>
      <c r="C569" s="80" t="n"/>
      <c r="D569" s="74" t="n"/>
      <c r="E569" s="74" t="n"/>
      <c r="F569" s="74" t="n"/>
      <c r="G569" s="118">
        <f>IF($F569="","",COUNTIF($F$5:$F569,$F569))</f>
        <v/>
      </c>
      <c r="H569" s="33">
        <f>IF($F569="","",IFERROR(INDEX(사건마스터!$B$5:$B$64,MATCH($F569,사건마스터!$A$5:$A$64,0)),""))</f>
        <v/>
      </c>
      <c r="I569" s="130">
        <f>IF($F569="","",IFERROR(INDEX(사건마스터!$C$5:$C$64,MATCH($F569,사건마스터!$A$5:$A$64,0)),""))</f>
        <v/>
      </c>
      <c r="J569" s="136">
        <f>IF($F569="","",IFERROR(INDEX(사건마스터!$H$5:$H$64,MATCH($F569,사건마스터!$A$5:$A$64,0)),""))</f>
        <v/>
      </c>
      <c r="K569" s="136">
        <f>IF($F569="","",IFERROR(INDEX(사건마스터!$AH$5:$AH$64,MATCH($F569,사건마스터!$A$5:$A$64,0)),""))</f>
        <v/>
      </c>
      <c r="L569" s="136">
        <f>IF($F569="","",IFERROR(INDEX(사건마스터!$AI$5:$AI$64,MATCH($F569,사건마스터!$A$5:$A$64,0)),""))</f>
        <v/>
      </c>
      <c r="M569" s="136">
        <f>IF($F569="","",IFERROR(INDEX(사건마스터!$AJ$5:$AJ$64,MATCH($F569,사건마스터!$A$5:$A$64,0)),""))</f>
        <v/>
      </c>
      <c r="N569" s="136">
        <f>IF($F569="","",IFERROR(INDEX(사건마스터!$AK$5:$AK$64,MATCH($F569,사건마스터!$A$5:$A$64,0)),""))</f>
        <v/>
      </c>
      <c r="O569" s="136">
        <f>IF($F569="","",IFERROR(INDEX(사건마스터!$AL$5:$AL$64,MATCH($F569,사건마스터!$A$5:$A$64,0)),""))</f>
        <v/>
      </c>
      <c r="P569" s="136">
        <f>IF($F569="","",IFERROR(INDEX(사건마스터!$AM$5:$AM$64,MATCH($F569,사건마스터!$A$5:$A$64,0)),""))</f>
        <v/>
      </c>
      <c r="Q569" s="136">
        <f>IF($F569="","",IFERROR(INDEX(사건마스터!$AN$5:$AN$64,MATCH($F569,사건마스터!$A$5:$A$64,0)),""))</f>
        <v/>
      </c>
      <c r="R569" s="136">
        <f>IF($F569="","",IFERROR(INDEX(사건마스터!$AO$5:$AO$64,MATCH($F569,사건마스터!$A$5:$A$64,0)),""))</f>
        <v/>
      </c>
      <c r="S569" s="136">
        <f>IF($F569="","",IFERROR(INDEX(사건마스터!$AP$5:$AP$64,MATCH($F569,사건마스터!$A$5:$A$64,0)),""))</f>
        <v/>
      </c>
      <c r="T569" s="136">
        <f>IF($F569="","",IFERROR(INDEX(사건마스터!$AQ$5:$AQ$64,MATCH($F569,사건마스터!$A$5:$A$64,0)),""))</f>
        <v/>
      </c>
      <c r="U569" s="136">
        <f>IF($F569="","",IFERROR(INDEX(사건마스터!$AR$5:$AR$64,MATCH($F569,사건마스터!$A$5:$A$64,0)),""))</f>
        <v/>
      </c>
      <c r="V569" s="136">
        <f>IF($F569="","",IFERROR(INDEX(사건마스터!$AS$5:$AS$64,MATCH($F569,사건마스터!$A$5:$A$64,0)),""))</f>
        <v/>
      </c>
      <c r="W569" s="136">
        <f>IF($F569="","",IFERROR(INDEX(사건마스터!$AT$5:$AT$64,MATCH($F569,사건마스터!$A$5:$A$64,0)),""))</f>
        <v/>
      </c>
      <c r="X569" s="136">
        <f>IF($F569="","",IFERROR(INDEX(사건마스터!$AU$5:$AU$64,MATCH($F569,사건마스터!$A$5:$A$64,0)),""))</f>
        <v/>
      </c>
      <c r="Y569" s="136">
        <f>IF($F569="","",IFERROR(INDEX(사건마스터!$AV$5:$AV$64,MATCH($F569,사건마스터!$A$5:$A$64,0)),""))</f>
        <v/>
      </c>
      <c r="Z569" s="118">
        <f>IF(COUNTBLANK($J569:$Y569)=16,"",16-COUNTBLANK($J569:$Y569))</f>
        <v/>
      </c>
      <c r="AA569" s="33">
        <f>IF($J569="",MID($AX569,3,255),$J569&amp;$AX569)</f>
        <v/>
      </c>
      <c r="AB569" s="130">
        <f>IF($J569="","",IFERROR(INDEX(코드설정!$D$5:$D$24,MATCH($J569,코드설정!$C$5:$C$24,0)),""))</f>
        <v/>
      </c>
      <c r="AC569" s="36" t="n"/>
      <c r="AD569" s="37" t="n"/>
      <c r="AE569" s="38" t="n"/>
      <c r="AF569" s="118">
        <f>IF(OR($B569="",$C569=""),"",$C569-$B569+1)</f>
        <v/>
      </c>
      <c r="AG569" s="74" t="n"/>
      <c r="AH569" s="36" t="n"/>
      <c r="AJ569">
        <f>IF($K569="","",", "&amp;$K569)</f>
        <v/>
      </c>
      <c r="AK569">
        <f>AJ569&amp;IF($L569="","",", "&amp;$L569)</f>
        <v/>
      </c>
      <c r="AL569">
        <f>AK569&amp;IF($M569="","",", "&amp;$M569)</f>
        <v/>
      </c>
      <c r="AM569">
        <f>AL569&amp;IF($N569="","",", "&amp;$N569)</f>
        <v/>
      </c>
      <c r="AN569">
        <f>AM569&amp;IF($O569="","",", "&amp;$O569)</f>
        <v/>
      </c>
      <c r="AO569">
        <f>AN569&amp;IF($P569="","",", "&amp;$P569)</f>
        <v/>
      </c>
      <c r="AP569">
        <f>AO569&amp;IF($Q569="","",", "&amp;$Q569)</f>
        <v/>
      </c>
      <c r="AQ569">
        <f>AP569&amp;IF($R569="","",", "&amp;$R569)</f>
        <v/>
      </c>
      <c r="AR569">
        <f>AQ569&amp;IF($S569="","",", "&amp;$S569)</f>
        <v/>
      </c>
      <c r="AS569">
        <f>AR569&amp;IF($T569="","",", "&amp;$T569)</f>
        <v/>
      </c>
      <c r="AT569">
        <f>AS569&amp;IF($U569="","",", "&amp;$U569)</f>
        <v/>
      </c>
      <c r="AU569">
        <f>AT569&amp;IF($V569="","",", "&amp;$V569)</f>
        <v/>
      </c>
      <c r="AV569">
        <f>AU569&amp;IF($W569="","",", "&amp;$W569)</f>
        <v/>
      </c>
      <c r="AW569">
        <f>AV569&amp;IF($X569="","",", "&amp;$X569)</f>
        <v/>
      </c>
      <c r="AX569">
        <f>AW569&amp;IF($Y569="","",", "&amp;$Y569)</f>
        <v/>
      </c>
    </row>
    <row r="570">
      <c r="A570" s="118">
        <f>IF($B570="","",COUNT($B$5:$B570))</f>
        <v/>
      </c>
      <c r="B570" s="80" t="n"/>
      <c r="C570" s="80" t="n"/>
      <c r="D570" s="74" t="n"/>
      <c r="E570" s="74" t="n"/>
      <c r="F570" s="74" t="n"/>
      <c r="G570" s="118">
        <f>IF($F570="","",COUNTIF($F$5:$F570,$F570))</f>
        <v/>
      </c>
      <c r="H570" s="33">
        <f>IF($F570="","",IFERROR(INDEX(사건마스터!$B$5:$B$64,MATCH($F570,사건마스터!$A$5:$A$64,0)),""))</f>
        <v/>
      </c>
      <c r="I570" s="130">
        <f>IF($F570="","",IFERROR(INDEX(사건마스터!$C$5:$C$64,MATCH($F570,사건마스터!$A$5:$A$64,0)),""))</f>
        <v/>
      </c>
      <c r="J570" s="136">
        <f>IF($F570="","",IFERROR(INDEX(사건마스터!$H$5:$H$64,MATCH($F570,사건마스터!$A$5:$A$64,0)),""))</f>
        <v/>
      </c>
      <c r="K570" s="136">
        <f>IF($F570="","",IFERROR(INDEX(사건마스터!$AH$5:$AH$64,MATCH($F570,사건마스터!$A$5:$A$64,0)),""))</f>
        <v/>
      </c>
      <c r="L570" s="136">
        <f>IF($F570="","",IFERROR(INDEX(사건마스터!$AI$5:$AI$64,MATCH($F570,사건마스터!$A$5:$A$64,0)),""))</f>
        <v/>
      </c>
      <c r="M570" s="136">
        <f>IF($F570="","",IFERROR(INDEX(사건마스터!$AJ$5:$AJ$64,MATCH($F570,사건마스터!$A$5:$A$64,0)),""))</f>
        <v/>
      </c>
      <c r="N570" s="136">
        <f>IF($F570="","",IFERROR(INDEX(사건마스터!$AK$5:$AK$64,MATCH($F570,사건마스터!$A$5:$A$64,0)),""))</f>
        <v/>
      </c>
      <c r="O570" s="136">
        <f>IF($F570="","",IFERROR(INDEX(사건마스터!$AL$5:$AL$64,MATCH($F570,사건마스터!$A$5:$A$64,0)),""))</f>
        <v/>
      </c>
      <c r="P570" s="136">
        <f>IF($F570="","",IFERROR(INDEX(사건마스터!$AM$5:$AM$64,MATCH($F570,사건마스터!$A$5:$A$64,0)),""))</f>
        <v/>
      </c>
      <c r="Q570" s="136">
        <f>IF($F570="","",IFERROR(INDEX(사건마스터!$AN$5:$AN$64,MATCH($F570,사건마스터!$A$5:$A$64,0)),""))</f>
        <v/>
      </c>
      <c r="R570" s="136">
        <f>IF($F570="","",IFERROR(INDEX(사건마스터!$AO$5:$AO$64,MATCH($F570,사건마스터!$A$5:$A$64,0)),""))</f>
        <v/>
      </c>
      <c r="S570" s="136">
        <f>IF($F570="","",IFERROR(INDEX(사건마스터!$AP$5:$AP$64,MATCH($F570,사건마스터!$A$5:$A$64,0)),""))</f>
        <v/>
      </c>
      <c r="T570" s="136">
        <f>IF($F570="","",IFERROR(INDEX(사건마스터!$AQ$5:$AQ$64,MATCH($F570,사건마스터!$A$5:$A$64,0)),""))</f>
        <v/>
      </c>
      <c r="U570" s="136">
        <f>IF($F570="","",IFERROR(INDEX(사건마스터!$AR$5:$AR$64,MATCH($F570,사건마스터!$A$5:$A$64,0)),""))</f>
        <v/>
      </c>
      <c r="V570" s="136">
        <f>IF($F570="","",IFERROR(INDEX(사건마스터!$AS$5:$AS$64,MATCH($F570,사건마스터!$A$5:$A$64,0)),""))</f>
        <v/>
      </c>
      <c r="W570" s="136">
        <f>IF($F570="","",IFERROR(INDEX(사건마스터!$AT$5:$AT$64,MATCH($F570,사건마스터!$A$5:$A$64,0)),""))</f>
        <v/>
      </c>
      <c r="X570" s="136">
        <f>IF($F570="","",IFERROR(INDEX(사건마스터!$AU$5:$AU$64,MATCH($F570,사건마스터!$A$5:$A$64,0)),""))</f>
        <v/>
      </c>
      <c r="Y570" s="136">
        <f>IF($F570="","",IFERROR(INDEX(사건마스터!$AV$5:$AV$64,MATCH($F570,사건마스터!$A$5:$A$64,0)),""))</f>
        <v/>
      </c>
      <c r="Z570" s="118">
        <f>IF(COUNTBLANK($J570:$Y570)=16,"",16-COUNTBLANK($J570:$Y570))</f>
        <v/>
      </c>
      <c r="AA570" s="33">
        <f>IF($J570="",MID($AX570,3,255),$J570&amp;$AX570)</f>
        <v/>
      </c>
      <c r="AB570" s="130">
        <f>IF($J570="","",IFERROR(INDEX(코드설정!$D$5:$D$24,MATCH($J570,코드설정!$C$5:$C$24,0)),""))</f>
        <v/>
      </c>
      <c r="AC570" s="36" t="n"/>
      <c r="AD570" s="37" t="n"/>
      <c r="AE570" s="38" t="n"/>
      <c r="AF570" s="118">
        <f>IF(OR($B570="",$C570=""),"",$C570-$B570+1)</f>
        <v/>
      </c>
      <c r="AG570" s="74" t="n"/>
      <c r="AH570" s="36" t="n"/>
      <c r="AJ570">
        <f>IF($K570="","",", "&amp;$K570)</f>
        <v/>
      </c>
      <c r="AK570">
        <f>AJ570&amp;IF($L570="","",", "&amp;$L570)</f>
        <v/>
      </c>
      <c r="AL570">
        <f>AK570&amp;IF($M570="","",", "&amp;$M570)</f>
        <v/>
      </c>
      <c r="AM570">
        <f>AL570&amp;IF($N570="","",", "&amp;$N570)</f>
        <v/>
      </c>
      <c r="AN570">
        <f>AM570&amp;IF($O570="","",", "&amp;$O570)</f>
        <v/>
      </c>
      <c r="AO570">
        <f>AN570&amp;IF($P570="","",", "&amp;$P570)</f>
        <v/>
      </c>
      <c r="AP570">
        <f>AO570&amp;IF($Q570="","",", "&amp;$Q570)</f>
        <v/>
      </c>
      <c r="AQ570">
        <f>AP570&amp;IF($R570="","",", "&amp;$R570)</f>
        <v/>
      </c>
      <c r="AR570">
        <f>AQ570&amp;IF($S570="","",", "&amp;$S570)</f>
        <v/>
      </c>
      <c r="AS570">
        <f>AR570&amp;IF($T570="","",", "&amp;$T570)</f>
        <v/>
      </c>
      <c r="AT570">
        <f>AS570&amp;IF($U570="","",", "&amp;$U570)</f>
        <v/>
      </c>
      <c r="AU570">
        <f>AT570&amp;IF($V570="","",", "&amp;$V570)</f>
        <v/>
      </c>
      <c r="AV570">
        <f>AU570&amp;IF($W570="","",", "&amp;$W570)</f>
        <v/>
      </c>
      <c r="AW570">
        <f>AV570&amp;IF($X570="","",", "&amp;$X570)</f>
        <v/>
      </c>
      <c r="AX570">
        <f>AW570&amp;IF($Y570="","",", "&amp;$Y570)</f>
        <v/>
      </c>
    </row>
    <row r="571">
      <c r="A571" s="118">
        <f>IF($B571="","",COUNT($B$5:$B571))</f>
        <v/>
      </c>
      <c r="B571" s="80" t="n"/>
      <c r="C571" s="80" t="n"/>
      <c r="D571" s="74" t="n"/>
      <c r="E571" s="74" t="n"/>
      <c r="F571" s="74" t="n"/>
      <c r="G571" s="118">
        <f>IF($F571="","",COUNTIF($F$5:$F571,$F571))</f>
        <v/>
      </c>
      <c r="H571" s="33">
        <f>IF($F571="","",IFERROR(INDEX(사건마스터!$B$5:$B$64,MATCH($F571,사건마스터!$A$5:$A$64,0)),""))</f>
        <v/>
      </c>
      <c r="I571" s="130">
        <f>IF($F571="","",IFERROR(INDEX(사건마스터!$C$5:$C$64,MATCH($F571,사건마스터!$A$5:$A$64,0)),""))</f>
        <v/>
      </c>
      <c r="J571" s="136">
        <f>IF($F571="","",IFERROR(INDEX(사건마스터!$H$5:$H$64,MATCH($F571,사건마스터!$A$5:$A$64,0)),""))</f>
        <v/>
      </c>
      <c r="K571" s="136">
        <f>IF($F571="","",IFERROR(INDEX(사건마스터!$AH$5:$AH$64,MATCH($F571,사건마스터!$A$5:$A$64,0)),""))</f>
        <v/>
      </c>
      <c r="L571" s="136">
        <f>IF($F571="","",IFERROR(INDEX(사건마스터!$AI$5:$AI$64,MATCH($F571,사건마스터!$A$5:$A$64,0)),""))</f>
        <v/>
      </c>
      <c r="M571" s="136">
        <f>IF($F571="","",IFERROR(INDEX(사건마스터!$AJ$5:$AJ$64,MATCH($F571,사건마스터!$A$5:$A$64,0)),""))</f>
        <v/>
      </c>
      <c r="N571" s="136">
        <f>IF($F571="","",IFERROR(INDEX(사건마스터!$AK$5:$AK$64,MATCH($F571,사건마스터!$A$5:$A$64,0)),""))</f>
        <v/>
      </c>
      <c r="O571" s="136">
        <f>IF($F571="","",IFERROR(INDEX(사건마스터!$AL$5:$AL$64,MATCH($F571,사건마스터!$A$5:$A$64,0)),""))</f>
        <v/>
      </c>
      <c r="P571" s="136">
        <f>IF($F571="","",IFERROR(INDEX(사건마스터!$AM$5:$AM$64,MATCH($F571,사건마스터!$A$5:$A$64,0)),""))</f>
        <v/>
      </c>
      <c r="Q571" s="136">
        <f>IF($F571="","",IFERROR(INDEX(사건마스터!$AN$5:$AN$64,MATCH($F571,사건마스터!$A$5:$A$64,0)),""))</f>
        <v/>
      </c>
      <c r="R571" s="136">
        <f>IF($F571="","",IFERROR(INDEX(사건마스터!$AO$5:$AO$64,MATCH($F571,사건마스터!$A$5:$A$64,0)),""))</f>
        <v/>
      </c>
      <c r="S571" s="136">
        <f>IF($F571="","",IFERROR(INDEX(사건마스터!$AP$5:$AP$64,MATCH($F571,사건마스터!$A$5:$A$64,0)),""))</f>
        <v/>
      </c>
      <c r="T571" s="136">
        <f>IF($F571="","",IFERROR(INDEX(사건마스터!$AQ$5:$AQ$64,MATCH($F571,사건마스터!$A$5:$A$64,0)),""))</f>
        <v/>
      </c>
      <c r="U571" s="136">
        <f>IF($F571="","",IFERROR(INDEX(사건마스터!$AR$5:$AR$64,MATCH($F571,사건마스터!$A$5:$A$64,0)),""))</f>
        <v/>
      </c>
      <c r="V571" s="136">
        <f>IF($F571="","",IFERROR(INDEX(사건마스터!$AS$5:$AS$64,MATCH($F571,사건마스터!$A$5:$A$64,0)),""))</f>
        <v/>
      </c>
      <c r="W571" s="136">
        <f>IF($F571="","",IFERROR(INDEX(사건마스터!$AT$5:$AT$64,MATCH($F571,사건마스터!$A$5:$A$64,0)),""))</f>
        <v/>
      </c>
      <c r="X571" s="136">
        <f>IF($F571="","",IFERROR(INDEX(사건마스터!$AU$5:$AU$64,MATCH($F571,사건마스터!$A$5:$A$64,0)),""))</f>
        <v/>
      </c>
      <c r="Y571" s="136">
        <f>IF($F571="","",IFERROR(INDEX(사건마스터!$AV$5:$AV$64,MATCH($F571,사건마스터!$A$5:$A$64,0)),""))</f>
        <v/>
      </c>
      <c r="Z571" s="118">
        <f>IF(COUNTBLANK($J571:$Y571)=16,"",16-COUNTBLANK($J571:$Y571))</f>
        <v/>
      </c>
      <c r="AA571" s="33">
        <f>IF($J571="",MID($AX571,3,255),$J571&amp;$AX571)</f>
        <v/>
      </c>
      <c r="AB571" s="130">
        <f>IF($J571="","",IFERROR(INDEX(코드설정!$D$5:$D$24,MATCH($J571,코드설정!$C$5:$C$24,0)),""))</f>
        <v/>
      </c>
      <c r="AC571" s="36" t="n"/>
      <c r="AD571" s="37" t="n"/>
      <c r="AE571" s="38" t="n"/>
      <c r="AF571" s="118">
        <f>IF(OR($B571="",$C571=""),"",$C571-$B571+1)</f>
        <v/>
      </c>
      <c r="AG571" s="74" t="n"/>
      <c r="AH571" s="36" t="n"/>
      <c r="AJ571">
        <f>IF($K571="","",", "&amp;$K571)</f>
        <v/>
      </c>
      <c r="AK571">
        <f>AJ571&amp;IF($L571="","",", "&amp;$L571)</f>
        <v/>
      </c>
      <c r="AL571">
        <f>AK571&amp;IF($M571="","",", "&amp;$M571)</f>
        <v/>
      </c>
      <c r="AM571">
        <f>AL571&amp;IF($N571="","",", "&amp;$N571)</f>
        <v/>
      </c>
      <c r="AN571">
        <f>AM571&amp;IF($O571="","",", "&amp;$O571)</f>
        <v/>
      </c>
      <c r="AO571">
        <f>AN571&amp;IF($P571="","",", "&amp;$P571)</f>
        <v/>
      </c>
      <c r="AP571">
        <f>AO571&amp;IF($Q571="","",", "&amp;$Q571)</f>
        <v/>
      </c>
      <c r="AQ571">
        <f>AP571&amp;IF($R571="","",", "&amp;$R571)</f>
        <v/>
      </c>
      <c r="AR571">
        <f>AQ571&amp;IF($S571="","",", "&amp;$S571)</f>
        <v/>
      </c>
      <c r="AS571">
        <f>AR571&amp;IF($T571="","",", "&amp;$T571)</f>
        <v/>
      </c>
      <c r="AT571">
        <f>AS571&amp;IF($U571="","",", "&amp;$U571)</f>
        <v/>
      </c>
      <c r="AU571">
        <f>AT571&amp;IF($V571="","",", "&amp;$V571)</f>
        <v/>
      </c>
      <c r="AV571">
        <f>AU571&amp;IF($W571="","",", "&amp;$W571)</f>
        <v/>
      </c>
      <c r="AW571">
        <f>AV571&amp;IF($X571="","",", "&amp;$X571)</f>
        <v/>
      </c>
      <c r="AX571">
        <f>AW571&amp;IF($Y571="","",", "&amp;$Y571)</f>
        <v/>
      </c>
    </row>
    <row r="572">
      <c r="A572" s="118">
        <f>IF($B572="","",COUNT($B$5:$B572))</f>
        <v/>
      </c>
      <c r="B572" s="80" t="n"/>
      <c r="C572" s="80" t="n"/>
      <c r="D572" s="74" t="n"/>
      <c r="E572" s="74" t="n"/>
      <c r="F572" s="74" t="n"/>
      <c r="G572" s="118">
        <f>IF($F572="","",COUNTIF($F$5:$F572,$F572))</f>
        <v/>
      </c>
      <c r="H572" s="33">
        <f>IF($F572="","",IFERROR(INDEX(사건마스터!$B$5:$B$64,MATCH($F572,사건마스터!$A$5:$A$64,0)),""))</f>
        <v/>
      </c>
      <c r="I572" s="130">
        <f>IF($F572="","",IFERROR(INDEX(사건마스터!$C$5:$C$64,MATCH($F572,사건마스터!$A$5:$A$64,0)),""))</f>
        <v/>
      </c>
      <c r="J572" s="136">
        <f>IF($F572="","",IFERROR(INDEX(사건마스터!$H$5:$H$64,MATCH($F572,사건마스터!$A$5:$A$64,0)),""))</f>
        <v/>
      </c>
      <c r="K572" s="136">
        <f>IF($F572="","",IFERROR(INDEX(사건마스터!$AH$5:$AH$64,MATCH($F572,사건마스터!$A$5:$A$64,0)),""))</f>
        <v/>
      </c>
      <c r="L572" s="136">
        <f>IF($F572="","",IFERROR(INDEX(사건마스터!$AI$5:$AI$64,MATCH($F572,사건마스터!$A$5:$A$64,0)),""))</f>
        <v/>
      </c>
      <c r="M572" s="136">
        <f>IF($F572="","",IFERROR(INDEX(사건마스터!$AJ$5:$AJ$64,MATCH($F572,사건마스터!$A$5:$A$64,0)),""))</f>
        <v/>
      </c>
      <c r="N572" s="136">
        <f>IF($F572="","",IFERROR(INDEX(사건마스터!$AK$5:$AK$64,MATCH($F572,사건마스터!$A$5:$A$64,0)),""))</f>
        <v/>
      </c>
      <c r="O572" s="136">
        <f>IF($F572="","",IFERROR(INDEX(사건마스터!$AL$5:$AL$64,MATCH($F572,사건마스터!$A$5:$A$64,0)),""))</f>
        <v/>
      </c>
      <c r="P572" s="136">
        <f>IF($F572="","",IFERROR(INDEX(사건마스터!$AM$5:$AM$64,MATCH($F572,사건마스터!$A$5:$A$64,0)),""))</f>
        <v/>
      </c>
      <c r="Q572" s="136">
        <f>IF($F572="","",IFERROR(INDEX(사건마스터!$AN$5:$AN$64,MATCH($F572,사건마스터!$A$5:$A$64,0)),""))</f>
        <v/>
      </c>
      <c r="R572" s="136">
        <f>IF($F572="","",IFERROR(INDEX(사건마스터!$AO$5:$AO$64,MATCH($F572,사건마스터!$A$5:$A$64,0)),""))</f>
        <v/>
      </c>
      <c r="S572" s="136">
        <f>IF($F572="","",IFERROR(INDEX(사건마스터!$AP$5:$AP$64,MATCH($F572,사건마스터!$A$5:$A$64,0)),""))</f>
        <v/>
      </c>
      <c r="T572" s="136">
        <f>IF($F572="","",IFERROR(INDEX(사건마스터!$AQ$5:$AQ$64,MATCH($F572,사건마스터!$A$5:$A$64,0)),""))</f>
        <v/>
      </c>
      <c r="U572" s="136">
        <f>IF($F572="","",IFERROR(INDEX(사건마스터!$AR$5:$AR$64,MATCH($F572,사건마스터!$A$5:$A$64,0)),""))</f>
        <v/>
      </c>
      <c r="V572" s="136">
        <f>IF($F572="","",IFERROR(INDEX(사건마스터!$AS$5:$AS$64,MATCH($F572,사건마스터!$A$5:$A$64,0)),""))</f>
        <v/>
      </c>
      <c r="W572" s="136">
        <f>IF($F572="","",IFERROR(INDEX(사건마스터!$AT$5:$AT$64,MATCH($F572,사건마스터!$A$5:$A$64,0)),""))</f>
        <v/>
      </c>
      <c r="X572" s="136">
        <f>IF($F572="","",IFERROR(INDEX(사건마스터!$AU$5:$AU$64,MATCH($F572,사건마스터!$A$5:$A$64,0)),""))</f>
        <v/>
      </c>
      <c r="Y572" s="136">
        <f>IF($F572="","",IFERROR(INDEX(사건마스터!$AV$5:$AV$64,MATCH($F572,사건마스터!$A$5:$A$64,0)),""))</f>
        <v/>
      </c>
      <c r="Z572" s="118">
        <f>IF(COUNTBLANK($J572:$Y572)=16,"",16-COUNTBLANK($J572:$Y572))</f>
        <v/>
      </c>
      <c r="AA572" s="33">
        <f>IF($J572="",MID($AX572,3,255),$J572&amp;$AX572)</f>
        <v/>
      </c>
      <c r="AB572" s="130">
        <f>IF($J572="","",IFERROR(INDEX(코드설정!$D$5:$D$24,MATCH($J572,코드설정!$C$5:$C$24,0)),""))</f>
        <v/>
      </c>
      <c r="AC572" s="36" t="n"/>
      <c r="AD572" s="37" t="n"/>
      <c r="AE572" s="38" t="n"/>
      <c r="AF572" s="118">
        <f>IF(OR($B572="",$C572=""),"",$C572-$B572+1)</f>
        <v/>
      </c>
      <c r="AG572" s="74" t="n"/>
      <c r="AH572" s="36" t="n"/>
      <c r="AJ572">
        <f>IF($K572="","",", "&amp;$K572)</f>
        <v/>
      </c>
      <c r="AK572">
        <f>AJ572&amp;IF($L572="","",", "&amp;$L572)</f>
        <v/>
      </c>
      <c r="AL572">
        <f>AK572&amp;IF($M572="","",", "&amp;$M572)</f>
        <v/>
      </c>
      <c r="AM572">
        <f>AL572&amp;IF($N572="","",", "&amp;$N572)</f>
        <v/>
      </c>
      <c r="AN572">
        <f>AM572&amp;IF($O572="","",", "&amp;$O572)</f>
        <v/>
      </c>
      <c r="AO572">
        <f>AN572&amp;IF($P572="","",", "&amp;$P572)</f>
        <v/>
      </c>
      <c r="AP572">
        <f>AO572&amp;IF($Q572="","",", "&amp;$Q572)</f>
        <v/>
      </c>
      <c r="AQ572">
        <f>AP572&amp;IF($R572="","",", "&amp;$R572)</f>
        <v/>
      </c>
      <c r="AR572">
        <f>AQ572&amp;IF($S572="","",", "&amp;$S572)</f>
        <v/>
      </c>
      <c r="AS572">
        <f>AR572&amp;IF($T572="","",", "&amp;$T572)</f>
        <v/>
      </c>
      <c r="AT572">
        <f>AS572&amp;IF($U572="","",", "&amp;$U572)</f>
        <v/>
      </c>
      <c r="AU572">
        <f>AT572&amp;IF($V572="","",", "&amp;$V572)</f>
        <v/>
      </c>
      <c r="AV572">
        <f>AU572&amp;IF($W572="","",", "&amp;$W572)</f>
        <v/>
      </c>
      <c r="AW572">
        <f>AV572&amp;IF($X572="","",", "&amp;$X572)</f>
        <v/>
      </c>
      <c r="AX572">
        <f>AW572&amp;IF($Y572="","",", "&amp;$Y572)</f>
        <v/>
      </c>
    </row>
    <row r="573">
      <c r="A573" s="118">
        <f>IF($B573="","",COUNT($B$5:$B573))</f>
        <v/>
      </c>
      <c r="B573" s="80" t="n"/>
      <c r="C573" s="80" t="n"/>
      <c r="D573" s="74" t="n"/>
      <c r="E573" s="74" t="n"/>
      <c r="F573" s="74" t="n"/>
      <c r="G573" s="118">
        <f>IF($F573="","",COUNTIF($F$5:$F573,$F573))</f>
        <v/>
      </c>
      <c r="H573" s="33">
        <f>IF($F573="","",IFERROR(INDEX(사건마스터!$B$5:$B$64,MATCH($F573,사건마스터!$A$5:$A$64,0)),""))</f>
        <v/>
      </c>
      <c r="I573" s="130">
        <f>IF($F573="","",IFERROR(INDEX(사건마스터!$C$5:$C$64,MATCH($F573,사건마스터!$A$5:$A$64,0)),""))</f>
        <v/>
      </c>
      <c r="J573" s="136">
        <f>IF($F573="","",IFERROR(INDEX(사건마스터!$H$5:$H$64,MATCH($F573,사건마스터!$A$5:$A$64,0)),""))</f>
        <v/>
      </c>
      <c r="K573" s="136">
        <f>IF($F573="","",IFERROR(INDEX(사건마스터!$AH$5:$AH$64,MATCH($F573,사건마스터!$A$5:$A$64,0)),""))</f>
        <v/>
      </c>
      <c r="L573" s="136">
        <f>IF($F573="","",IFERROR(INDEX(사건마스터!$AI$5:$AI$64,MATCH($F573,사건마스터!$A$5:$A$64,0)),""))</f>
        <v/>
      </c>
      <c r="M573" s="136">
        <f>IF($F573="","",IFERROR(INDEX(사건마스터!$AJ$5:$AJ$64,MATCH($F573,사건마스터!$A$5:$A$64,0)),""))</f>
        <v/>
      </c>
      <c r="N573" s="136">
        <f>IF($F573="","",IFERROR(INDEX(사건마스터!$AK$5:$AK$64,MATCH($F573,사건마스터!$A$5:$A$64,0)),""))</f>
        <v/>
      </c>
      <c r="O573" s="136">
        <f>IF($F573="","",IFERROR(INDEX(사건마스터!$AL$5:$AL$64,MATCH($F573,사건마스터!$A$5:$A$64,0)),""))</f>
        <v/>
      </c>
      <c r="P573" s="136">
        <f>IF($F573="","",IFERROR(INDEX(사건마스터!$AM$5:$AM$64,MATCH($F573,사건마스터!$A$5:$A$64,0)),""))</f>
        <v/>
      </c>
      <c r="Q573" s="136">
        <f>IF($F573="","",IFERROR(INDEX(사건마스터!$AN$5:$AN$64,MATCH($F573,사건마스터!$A$5:$A$64,0)),""))</f>
        <v/>
      </c>
      <c r="R573" s="136">
        <f>IF($F573="","",IFERROR(INDEX(사건마스터!$AO$5:$AO$64,MATCH($F573,사건마스터!$A$5:$A$64,0)),""))</f>
        <v/>
      </c>
      <c r="S573" s="136">
        <f>IF($F573="","",IFERROR(INDEX(사건마스터!$AP$5:$AP$64,MATCH($F573,사건마스터!$A$5:$A$64,0)),""))</f>
        <v/>
      </c>
      <c r="T573" s="136">
        <f>IF($F573="","",IFERROR(INDEX(사건마스터!$AQ$5:$AQ$64,MATCH($F573,사건마스터!$A$5:$A$64,0)),""))</f>
        <v/>
      </c>
      <c r="U573" s="136">
        <f>IF($F573="","",IFERROR(INDEX(사건마스터!$AR$5:$AR$64,MATCH($F573,사건마스터!$A$5:$A$64,0)),""))</f>
        <v/>
      </c>
      <c r="V573" s="136">
        <f>IF($F573="","",IFERROR(INDEX(사건마스터!$AS$5:$AS$64,MATCH($F573,사건마스터!$A$5:$A$64,0)),""))</f>
        <v/>
      </c>
      <c r="W573" s="136">
        <f>IF($F573="","",IFERROR(INDEX(사건마스터!$AT$5:$AT$64,MATCH($F573,사건마스터!$A$5:$A$64,0)),""))</f>
        <v/>
      </c>
      <c r="X573" s="136">
        <f>IF($F573="","",IFERROR(INDEX(사건마스터!$AU$5:$AU$64,MATCH($F573,사건마스터!$A$5:$A$64,0)),""))</f>
        <v/>
      </c>
      <c r="Y573" s="136">
        <f>IF($F573="","",IFERROR(INDEX(사건마스터!$AV$5:$AV$64,MATCH($F573,사건마스터!$A$5:$A$64,0)),""))</f>
        <v/>
      </c>
      <c r="Z573" s="118">
        <f>IF(COUNTBLANK($J573:$Y573)=16,"",16-COUNTBLANK($J573:$Y573))</f>
        <v/>
      </c>
      <c r="AA573" s="33">
        <f>IF($J573="",MID($AX573,3,255),$J573&amp;$AX573)</f>
        <v/>
      </c>
      <c r="AB573" s="130">
        <f>IF($J573="","",IFERROR(INDEX(코드설정!$D$5:$D$24,MATCH($J573,코드설정!$C$5:$C$24,0)),""))</f>
        <v/>
      </c>
      <c r="AC573" s="36" t="n"/>
      <c r="AD573" s="37" t="n"/>
      <c r="AE573" s="38" t="n"/>
      <c r="AF573" s="118">
        <f>IF(OR($B573="",$C573=""),"",$C573-$B573+1)</f>
        <v/>
      </c>
      <c r="AG573" s="74" t="n"/>
      <c r="AH573" s="36" t="n"/>
      <c r="AJ573">
        <f>IF($K573="","",", "&amp;$K573)</f>
        <v/>
      </c>
      <c r="AK573">
        <f>AJ573&amp;IF($L573="","",", "&amp;$L573)</f>
        <v/>
      </c>
      <c r="AL573">
        <f>AK573&amp;IF($M573="","",", "&amp;$M573)</f>
        <v/>
      </c>
      <c r="AM573">
        <f>AL573&amp;IF($N573="","",", "&amp;$N573)</f>
        <v/>
      </c>
      <c r="AN573">
        <f>AM573&amp;IF($O573="","",", "&amp;$O573)</f>
        <v/>
      </c>
      <c r="AO573">
        <f>AN573&amp;IF($P573="","",", "&amp;$P573)</f>
        <v/>
      </c>
      <c r="AP573">
        <f>AO573&amp;IF($Q573="","",", "&amp;$Q573)</f>
        <v/>
      </c>
      <c r="AQ573">
        <f>AP573&amp;IF($R573="","",", "&amp;$R573)</f>
        <v/>
      </c>
      <c r="AR573">
        <f>AQ573&amp;IF($S573="","",", "&amp;$S573)</f>
        <v/>
      </c>
      <c r="AS573">
        <f>AR573&amp;IF($T573="","",", "&amp;$T573)</f>
        <v/>
      </c>
      <c r="AT573">
        <f>AS573&amp;IF($U573="","",", "&amp;$U573)</f>
        <v/>
      </c>
      <c r="AU573">
        <f>AT573&amp;IF($V573="","",", "&amp;$V573)</f>
        <v/>
      </c>
      <c r="AV573">
        <f>AU573&amp;IF($W573="","",", "&amp;$W573)</f>
        <v/>
      </c>
      <c r="AW573">
        <f>AV573&amp;IF($X573="","",", "&amp;$X573)</f>
        <v/>
      </c>
      <c r="AX573">
        <f>AW573&amp;IF($Y573="","",", "&amp;$Y573)</f>
        <v/>
      </c>
    </row>
    <row r="574">
      <c r="A574" s="118">
        <f>IF($B574="","",COUNT($B$5:$B574))</f>
        <v/>
      </c>
      <c r="B574" s="80" t="n"/>
      <c r="C574" s="80" t="n"/>
      <c r="D574" s="74" t="n"/>
      <c r="E574" s="74" t="n"/>
      <c r="F574" s="74" t="n"/>
      <c r="G574" s="118">
        <f>IF($F574="","",COUNTIF($F$5:$F574,$F574))</f>
        <v/>
      </c>
      <c r="H574" s="33">
        <f>IF($F574="","",IFERROR(INDEX(사건마스터!$B$5:$B$64,MATCH($F574,사건마스터!$A$5:$A$64,0)),""))</f>
        <v/>
      </c>
      <c r="I574" s="130">
        <f>IF($F574="","",IFERROR(INDEX(사건마스터!$C$5:$C$64,MATCH($F574,사건마스터!$A$5:$A$64,0)),""))</f>
        <v/>
      </c>
      <c r="J574" s="136">
        <f>IF($F574="","",IFERROR(INDEX(사건마스터!$H$5:$H$64,MATCH($F574,사건마스터!$A$5:$A$64,0)),""))</f>
        <v/>
      </c>
      <c r="K574" s="136">
        <f>IF($F574="","",IFERROR(INDEX(사건마스터!$AH$5:$AH$64,MATCH($F574,사건마스터!$A$5:$A$64,0)),""))</f>
        <v/>
      </c>
      <c r="L574" s="136">
        <f>IF($F574="","",IFERROR(INDEX(사건마스터!$AI$5:$AI$64,MATCH($F574,사건마스터!$A$5:$A$64,0)),""))</f>
        <v/>
      </c>
      <c r="M574" s="136">
        <f>IF($F574="","",IFERROR(INDEX(사건마스터!$AJ$5:$AJ$64,MATCH($F574,사건마스터!$A$5:$A$64,0)),""))</f>
        <v/>
      </c>
      <c r="N574" s="136">
        <f>IF($F574="","",IFERROR(INDEX(사건마스터!$AK$5:$AK$64,MATCH($F574,사건마스터!$A$5:$A$64,0)),""))</f>
        <v/>
      </c>
      <c r="O574" s="136">
        <f>IF($F574="","",IFERROR(INDEX(사건마스터!$AL$5:$AL$64,MATCH($F574,사건마스터!$A$5:$A$64,0)),""))</f>
        <v/>
      </c>
      <c r="P574" s="136">
        <f>IF($F574="","",IFERROR(INDEX(사건마스터!$AM$5:$AM$64,MATCH($F574,사건마스터!$A$5:$A$64,0)),""))</f>
        <v/>
      </c>
      <c r="Q574" s="136">
        <f>IF($F574="","",IFERROR(INDEX(사건마스터!$AN$5:$AN$64,MATCH($F574,사건마스터!$A$5:$A$64,0)),""))</f>
        <v/>
      </c>
      <c r="R574" s="136">
        <f>IF($F574="","",IFERROR(INDEX(사건마스터!$AO$5:$AO$64,MATCH($F574,사건마스터!$A$5:$A$64,0)),""))</f>
        <v/>
      </c>
      <c r="S574" s="136">
        <f>IF($F574="","",IFERROR(INDEX(사건마스터!$AP$5:$AP$64,MATCH($F574,사건마스터!$A$5:$A$64,0)),""))</f>
        <v/>
      </c>
      <c r="T574" s="136">
        <f>IF($F574="","",IFERROR(INDEX(사건마스터!$AQ$5:$AQ$64,MATCH($F574,사건마스터!$A$5:$A$64,0)),""))</f>
        <v/>
      </c>
      <c r="U574" s="136">
        <f>IF($F574="","",IFERROR(INDEX(사건마스터!$AR$5:$AR$64,MATCH($F574,사건마스터!$A$5:$A$64,0)),""))</f>
        <v/>
      </c>
      <c r="V574" s="136">
        <f>IF($F574="","",IFERROR(INDEX(사건마스터!$AS$5:$AS$64,MATCH($F574,사건마스터!$A$5:$A$64,0)),""))</f>
        <v/>
      </c>
      <c r="W574" s="136">
        <f>IF($F574="","",IFERROR(INDEX(사건마스터!$AT$5:$AT$64,MATCH($F574,사건마스터!$A$5:$A$64,0)),""))</f>
        <v/>
      </c>
      <c r="X574" s="136">
        <f>IF($F574="","",IFERROR(INDEX(사건마스터!$AU$5:$AU$64,MATCH($F574,사건마스터!$A$5:$A$64,0)),""))</f>
        <v/>
      </c>
      <c r="Y574" s="136">
        <f>IF($F574="","",IFERROR(INDEX(사건마스터!$AV$5:$AV$64,MATCH($F574,사건마스터!$A$5:$A$64,0)),""))</f>
        <v/>
      </c>
      <c r="Z574" s="118">
        <f>IF(COUNTBLANK($J574:$Y574)=16,"",16-COUNTBLANK($J574:$Y574))</f>
        <v/>
      </c>
      <c r="AA574" s="33">
        <f>IF($J574="",MID($AX574,3,255),$J574&amp;$AX574)</f>
        <v/>
      </c>
      <c r="AB574" s="130">
        <f>IF($J574="","",IFERROR(INDEX(코드설정!$D$5:$D$24,MATCH($J574,코드설정!$C$5:$C$24,0)),""))</f>
        <v/>
      </c>
      <c r="AC574" s="36" t="n"/>
      <c r="AD574" s="37" t="n"/>
      <c r="AE574" s="38" t="n"/>
      <c r="AF574" s="118">
        <f>IF(OR($B574="",$C574=""),"",$C574-$B574+1)</f>
        <v/>
      </c>
      <c r="AG574" s="74" t="n"/>
      <c r="AH574" s="36" t="n"/>
      <c r="AJ574">
        <f>IF($K574="","",", "&amp;$K574)</f>
        <v/>
      </c>
      <c r="AK574">
        <f>AJ574&amp;IF($L574="","",", "&amp;$L574)</f>
        <v/>
      </c>
      <c r="AL574">
        <f>AK574&amp;IF($M574="","",", "&amp;$M574)</f>
        <v/>
      </c>
      <c r="AM574">
        <f>AL574&amp;IF($N574="","",", "&amp;$N574)</f>
        <v/>
      </c>
      <c r="AN574">
        <f>AM574&amp;IF($O574="","",", "&amp;$O574)</f>
        <v/>
      </c>
      <c r="AO574">
        <f>AN574&amp;IF($P574="","",", "&amp;$P574)</f>
        <v/>
      </c>
      <c r="AP574">
        <f>AO574&amp;IF($Q574="","",", "&amp;$Q574)</f>
        <v/>
      </c>
      <c r="AQ574">
        <f>AP574&amp;IF($R574="","",", "&amp;$R574)</f>
        <v/>
      </c>
      <c r="AR574">
        <f>AQ574&amp;IF($S574="","",", "&amp;$S574)</f>
        <v/>
      </c>
      <c r="AS574">
        <f>AR574&amp;IF($T574="","",", "&amp;$T574)</f>
        <v/>
      </c>
      <c r="AT574">
        <f>AS574&amp;IF($U574="","",", "&amp;$U574)</f>
        <v/>
      </c>
      <c r="AU574">
        <f>AT574&amp;IF($V574="","",", "&amp;$V574)</f>
        <v/>
      </c>
      <c r="AV574">
        <f>AU574&amp;IF($W574="","",", "&amp;$W574)</f>
        <v/>
      </c>
      <c r="AW574">
        <f>AV574&amp;IF($X574="","",", "&amp;$X574)</f>
        <v/>
      </c>
      <c r="AX574">
        <f>AW574&amp;IF($Y574="","",", "&amp;$Y574)</f>
        <v/>
      </c>
    </row>
    <row r="575">
      <c r="A575" s="118">
        <f>IF($B575="","",COUNT($B$5:$B575))</f>
        <v/>
      </c>
      <c r="B575" s="80" t="n"/>
      <c r="C575" s="80" t="n"/>
      <c r="D575" s="74" t="n"/>
      <c r="E575" s="74" t="n"/>
      <c r="F575" s="74" t="n"/>
      <c r="G575" s="118">
        <f>IF($F575="","",COUNTIF($F$5:$F575,$F575))</f>
        <v/>
      </c>
      <c r="H575" s="33">
        <f>IF($F575="","",IFERROR(INDEX(사건마스터!$B$5:$B$64,MATCH($F575,사건마스터!$A$5:$A$64,0)),""))</f>
        <v/>
      </c>
      <c r="I575" s="130">
        <f>IF($F575="","",IFERROR(INDEX(사건마스터!$C$5:$C$64,MATCH($F575,사건마스터!$A$5:$A$64,0)),""))</f>
        <v/>
      </c>
      <c r="J575" s="136">
        <f>IF($F575="","",IFERROR(INDEX(사건마스터!$H$5:$H$64,MATCH($F575,사건마스터!$A$5:$A$64,0)),""))</f>
        <v/>
      </c>
      <c r="K575" s="136">
        <f>IF($F575="","",IFERROR(INDEX(사건마스터!$AH$5:$AH$64,MATCH($F575,사건마스터!$A$5:$A$64,0)),""))</f>
        <v/>
      </c>
      <c r="L575" s="136">
        <f>IF($F575="","",IFERROR(INDEX(사건마스터!$AI$5:$AI$64,MATCH($F575,사건마스터!$A$5:$A$64,0)),""))</f>
        <v/>
      </c>
      <c r="M575" s="136">
        <f>IF($F575="","",IFERROR(INDEX(사건마스터!$AJ$5:$AJ$64,MATCH($F575,사건마스터!$A$5:$A$64,0)),""))</f>
        <v/>
      </c>
      <c r="N575" s="136">
        <f>IF($F575="","",IFERROR(INDEX(사건마스터!$AK$5:$AK$64,MATCH($F575,사건마스터!$A$5:$A$64,0)),""))</f>
        <v/>
      </c>
      <c r="O575" s="136">
        <f>IF($F575="","",IFERROR(INDEX(사건마스터!$AL$5:$AL$64,MATCH($F575,사건마스터!$A$5:$A$64,0)),""))</f>
        <v/>
      </c>
      <c r="P575" s="136">
        <f>IF($F575="","",IFERROR(INDEX(사건마스터!$AM$5:$AM$64,MATCH($F575,사건마스터!$A$5:$A$64,0)),""))</f>
        <v/>
      </c>
      <c r="Q575" s="136">
        <f>IF($F575="","",IFERROR(INDEX(사건마스터!$AN$5:$AN$64,MATCH($F575,사건마스터!$A$5:$A$64,0)),""))</f>
        <v/>
      </c>
      <c r="R575" s="136">
        <f>IF($F575="","",IFERROR(INDEX(사건마스터!$AO$5:$AO$64,MATCH($F575,사건마스터!$A$5:$A$64,0)),""))</f>
        <v/>
      </c>
      <c r="S575" s="136">
        <f>IF($F575="","",IFERROR(INDEX(사건마스터!$AP$5:$AP$64,MATCH($F575,사건마스터!$A$5:$A$64,0)),""))</f>
        <v/>
      </c>
      <c r="T575" s="136">
        <f>IF($F575="","",IFERROR(INDEX(사건마스터!$AQ$5:$AQ$64,MATCH($F575,사건마스터!$A$5:$A$64,0)),""))</f>
        <v/>
      </c>
      <c r="U575" s="136">
        <f>IF($F575="","",IFERROR(INDEX(사건마스터!$AR$5:$AR$64,MATCH($F575,사건마스터!$A$5:$A$64,0)),""))</f>
        <v/>
      </c>
      <c r="V575" s="136">
        <f>IF($F575="","",IFERROR(INDEX(사건마스터!$AS$5:$AS$64,MATCH($F575,사건마스터!$A$5:$A$64,0)),""))</f>
        <v/>
      </c>
      <c r="W575" s="136">
        <f>IF($F575="","",IFERROR(INDEX(사건마스터!$AT$5:$AT$64,MATCH($F575,사건마스터!$A$5:$A$64,0)),""))</f>
        <v/>
      </c>
      <c r="X575" s="136">
        <f>IF($F575="","",IFERROR(INDEX(사건마스터!$AU$5:$AU$64,MATCH($F575,사건마스터!$A$5:$A$64,0)),""))</f>
        <v/>
      </c>
      <c r="Y575" s="136">
        <f>IF($F575="","",IFERROR(INDEX(사건마스터!$AV$5:$AV$64,MATCH($F575,사건마스터!$A$5:$A$64,0)),""))</f>
        <v/>
      </c>
      <c r="Z575" s="118">
        <f>IF(COUNTBLANK($J575:$Y575)=16,"",16-COUNTBLANK($J575:$Y575))</f>
        <v/>
      </c>
      <c r="AA575" s="33">
        <f>IF($J575="",MID($AX575,3,255),$J575&amp;$AX575)</f>
        <v/>
      </c>
      <c r="AB575" s="130">
        <f>IF($J575="","",IFERROR(INDEX(코드설정!$D$5:$D$24,MATCH($J575,코드설정!$C$5:$C$24,0)),""))</f>
        <v/>
      </c>
      <c r="AC575" s="36" t="n"/>
      <c r="AD575" s="37" t="n"/>
      <c r="AE575" s="38" t="n"/>
      <c r="AF575" s="118">
        <f>IF(OR($B575="",$C575=""),"",$C575-$B575+1)</f>
        <v/>
      </c>
      <c r="AG575" s="74" t="n"/>
      <c r="AH575" s="36" t="n"/>
      <c r="AJ575">
        <f>IF($K575="","",", "&amp;$K575)</f>
        <v/>
      </c>
      <c r="AK575">
        <f>AJ575&amp;IF($L575="","",", "&amp;$L575)</f>
        <v/>
      </c>
      <c r="AL575">
        <f>AK575&amp;IF($M575="","",", "&amp;$M575)</f>
        <v/>
      </c>
      <c r="AM575">
        <f>AL575&amp;IF($N575="","",", "&amp;$N575)</f>
        <v/>
      </c>
      <c r="AN575">
        <f>AM575&amp;IF($O575="","",", "&amp;$O575)</f>
        <v/>
      </c>
      <c r="AO575">
        <f>AN575&amp;IF($P575="","",", "&amp;$P575)</f>
        <v/>
      </c>
      <c r="AP575">
        <f>AO575&amp;IF($Q575="","",", "&amp;$Q575)</f>
        <v/>
      </c>
      <c r="AQ575">
        <f>AP575&amp;IF($R575="","",", "&amp;$R575)</f>
        <v/>
      </c>
      <c r="AR575">
        <f>AQ575&amp;IF($S575="","",", "&amp;$S575)</f>
        <v/>
      </c>
      <c r="AS575">
        <f>AR575&amp;IF($T575="","",", "&amp;$T575)</f>
        <v/>
      </c>
      <c r="AT575">
        <f>AS575&amp;IF($U575="","",", "&amp;$U575)</f>
        <v/>
      </c>
      <c r="AU575">
        <f>AT575&amp;IF($V575="","",", "&amp;$V575)</f>
        <v/>
      </c>
      <c r="AV575">
        <f>AU575&amp;IF($W575="","",", "&amp;$W575)</f>
        <v/>
      </c>
      <c r="AW575">
        <f>AV575&amp;IF($X575="","",", "&amp;$X575)</f>
        <v/>
      </c>
      <c r="AX575">
        <f>AW575&amp;IF($Y575="","",", "&amp;$Y575)</f>
        <v/>
      </c>
    </row>
    <row r="576">
      <c r="A576" s="118">
        <f>IF($B576="","",COUNT($B$5:$B576))</f>
        <v/>
      </c>
      <c r="B576" s="80" t="n"/>
      <c r="C576" s="80" t="n"/>
      <c r="D576" s="74" t="n"/>
      <c r="E576" s="74" t="n"/>
      <c r="F576" s="74" t="n"/>
      <c r="G576" s="118">
        <f>IF($F576="","",COUNTIF($F$5:$F576,$F576))</f>
        <v/>
      </c>
      <c r="H576" s="33">
        <f>IF($F576="","",IFERROR(INDEX(사건마스터!$B$5:$B$64,MATCH($F576,사건마스터!$A$5:$A$64,0)),""))</f>
        <v/>
      </c>
      <c r="I576" s="130">
        <f>IF($F576="","",IFERROR(INDEX(사건마스터!$C$5:$C$64,MATCH($F576,사건마스터!$A$5:$A$64,0)),""))</f>
        <v/>
      </c>
      <c r="J576" s="136">
        <f>IF($F576="","",IFERROR(INDEX(사건마스터!$H$5:$H$64,MATCH($F576,사건마스터!$A$5:$A$64,0)),""))</f>
        <v/>
      </c>
      <c r="K576" s="136">
        <f>IF($F576="","",IFERROR(INDEX(사건마스터!$AH$5:$AH$64,MATCH($F576,사건마스터!$A$5:$A$64,0)),""))</f>
        <v/>
      </c>
      <c r="L576" s="136">
        <f>IF($F576="","",IFERROR(INDEX(사건마스터!$AI$5:$AI$64,MATCH($F576,사건마스터!$A$5:$A$64,0)),""))</f>
        <v/>
      </c>
      <c r="M576" s="136">
        <f>IF($F576="","",IFERROR(INDEX(사건마스터!$AJ$5:$AJ$64,MATCH($F576,사건마스터!$A$5:$A$64,0)),""))</f>
        <v/>
      </c>
      <c r="N576" s="136">
        <f>IF($F576="","",IFERROR(INDEX(사건마스터!$AK$5:$AK$64,MATCH($F576,사건마스터!$A$5:$A$64,0)),""))</f>
        <v/>
      </c>
      <c r="O576" s="136">
        <f>IF($F576="","",IFERROR(INDEX(사건마스터!$AL$5:$AL$64,MATCH($F576,사건마스터!$A$5:$A$64,0)),""))</f>
        <v/>
      </c>
      <c r="P576" s="136">
        <f>IF($F576="","",IFERROR(INDEX(사건마스터!$AM$5:$AM$64,MATCH($F576,사건마스터!$A$5:$A$64,0)),""))</f>
        <v/>
      </c>
      <c r="Q576" s="136">
        <f>IF($F576="","",IFERROR(INDEX(사건마스터!$AN$5:$AN$64,MATCH($F576,사건마스터!$A$5:$A$64,0)),""))</f>
        <v/>
      </c>
      <c r="R576" s="136">
        <f>IF($F576="","",IFERROR(INDEX(사건마스터!$AO$5:$AO$64,MATCH($F576,사건마스터!$A$5:$A$64,0)),""))</f>
        <v/>
      </c>
      <c r="S576" s="136">
        <f>IF($F576="","",IFERROR(INDEX(사건마스터!$AP$5:$AP$64,MATCH($F576,사건마스터!$A$5:$A$64,0)),""))</f>
        <v/>
      </c>
      <c r="T576" s="136">
        <f>IF($F576="","",IFERROR(INDEX(사건마스터!$AQ$5:$AQ$64,MATCH($F576,사건마스터!$A$5:$A$64,0)),""))</f>
        <v/>
      </c>
      <c r="U576" s="136">
        <f>IF($F576="","",IFERROR(INDEX(사건마스터!$AR$5:$AR$64,MATCH($F576,사건마스터!$A$5:$A$64,0)),""))</f>
        <v/>
      </c>
      <c r="V576" s="136">
        <f>IF($F576="","",IFERROR(INDEX(사건마스터!$AS$5:$AS$64,MATCH($F576,사건마스터!$A$5:$A$64,0)),""))</f>
        <v/>
      </c>
      <c r="W576" s="136">
        <f>IF($F576="","",IFERROR(INDEX(사건마스터!$AT$5:$AT$64,MATCH($F576,사건마스터!$A$5:$A$64,0)),""))</f>
        <v/>
      </c>
      <c r="X576" s="136">
        <f>IF($F576="","",IFERROR(INDEX(사건마스터!$AU$5:$AU$64,MATCH($F576,사건마스터!$A$5:$A$64,0)),""))</f>
        <v/>
      </c>
      <c r="Y576" s="136">
        <f>IF($F576="","",IFERROR(INDEX(사건마스터!$AV$5:$AV$64,MATCH($F576,사건마스터!$A$5:$A$64,0)),""))</f>
        <v/>
      </c>
      <c r="Z576" s="118">
        <f>IF(COUNTBLANK($J576:$Y576)=16,"",16-COUNTBLANK($J576:$Y576))</f>
        <v/>
      </c>
      <c r="AA576" s="33">
        <f>IF($J576="",MID($AX576,3,255),$J576&amp;$AX576)</f>
        <v/>
      </c>
      <c r="AB576" s="130">
        <f>IF($J576="","",IFERROR(INDEX(코드설정!$D$5:$D$24,MATCH($J576,코드설정!$C$5:$C$24,0)),""))</f>
        <v/>
      </c>
      <c r="AC576" s="36" t="n"/>
      <c r="AD576" s="37" t="n"/>
      <c r="AE576" s="38" t="n"/>
      <c r="AF576" s="118">
        <f>IF(OR($B576="",$C576=""),"",$C576-$B576+1)</f>
        <v/>
      </c>
      <c r="AG576" s="74" t="n"/>
      <c r="AH576" s="36" t="n"/>
      <c r="AJ576">
        <f>IF($K576="","",", "&amp;$K576)</f>
        <v/>
      </c>
      <c r="AK576">
        <f>AJ576&amp;IF($L576="","",", "&amp;$L576)</f>
        <v/>
      </c>
      <c r="AL576">
        <f>AK576&amp;IF($M576="","",", "&amp;$M576)</f>
        <v/>
      </c>
      <c r="AM576">
        <f>AL576&amp;IF($N576="","",", "&amp;$N576)</f>
        <v/>
      </c>
      <c r="AN576">
        <f>AM576&amp;IF($O576="","",", "&amp;$O576)</f>
        <v/>
      </c>
      <c r="AO576">
        <f>AN576&amp;IF($P576="","",", "&amp;$P576)</f>
        <v/>
      </c>
      <c r="AP576">
        <f>AO576&amp;IF($Q576="","",", "&amp;$Q576)</f>
        <v/>
      </c>
      <c r="AQ576">
        <f>AP576&amp;IF($R576="","",", "&amp;$R576)</f>
        <v/>
      </c>
      <c r="AR576">
        <f>AQ576&amp;IF($S576="","",", "&amp;$S576)</f>
        <v/>
      </c>
      <c r="AS576">
        <f>AR576&amp;IF($T576="","",", "&amp;$T576)</f>
        <v/>
      </c>
      <c r="AT576">
        <f>AS576&amp;IF($U576="","",", "&amp;$U576)</f>
        <v/>
      </c>
      <c r="AU576">
        <f>AT576&amp;IF($V576="","",", "&amp;$V576)</f>
        <v/>
      </c>
      <c r="AV576">
        <f>AU576&amp;IF($W576="","",", "&amp;$W576)</f>
        <v/>
      </c>
      <c r="AW576">
        <f>AV576&amp;IF($X576="","",", "&amp;$X576)</f>
        <v/>
      </c>
      <c r="AX576">
        <f>AW576&amp;IF($Y576="","",", "&amp;$Y576)</f>
        <v/>
      </c>
    </row>
    <row r="577">
      <c r="A577" s="118">
        <f>IF($B577="","",COUNT($B$5:$B577))</f>
        <v/>
      </c>
      <c r="B577" s="80" t="n"/>
      <c r="C577" s="80" t="n"/>
      <c r="D577" s="74" t="n"/>
      <c r="E577" s="74" t="n"/>
      <c r="F577" s="74" t="n"/>
      <c r="G577" s="118">
        <f>IF($F577="","",COUNTIF($F$5:$F577,$F577))</f>
        <v/>
      </c>
      <c r="H577" s="33">
        <f>IF($F577="","",IFERROR(INDEX(사건마스터!$B$5:$B$64,MATCH($F577,사건마스터!$A$5:$A$64,0)),""))</f>
        <v/>
      </c>
      <c r="I577" s="130">
        <f>IF($F577="","",IFERROR(INDEX(사건마스터!$C$5:$C$64,MATCH($F577,사건마스터!$A$5:$A$64,0)),""))</f>
        <v/>
      </c>
      <c r="J577" s="136">
        <f>IF($F577="","",IFERROR(INDEX(사건마스터!$H$5:$H$64,MATCH($F577,사건마스터!$A$5:$A$64,0)),""))</f>
        <v/>
      </c>
      <c r="K577" s="136">
        <f>IF($F577="","",IFERROR(INDEX(사건마스터!$AH$5:$AH$64,MATCH($F577,사건마스터!$A$5:$A$64,0)),""))</f>
        <v/>
      </c>
      <c r="L577" s="136">
        <f>IF($F577="","",IFERROR(INDEX(사건마스터!$AI$5:$AI$64,MATCH($F577,사건마스터!$A$5:$A$64,0)),""))</f>
        <v/>
      </c>
      <c r="M577" s="136">
        <f>IF($F577="","",IFERROR(INDEX(사건마스터!$AJ$5:$AJ$64,MATCH($F577,사건마스터!$A$5:$A$64,0)),""))</f>
        <v/>
      </c>
      <c r="N577" s="136">
        <f>IF($F577="","",IFERROR(INDEX(사건마스터!$AK$5:$AK$64,MATCH($F577,사건마스터!$A$5:$A$64,0)),""))</f>
        <v/>
      </c>
      <c r="O577" s="136">
        <f>IF($F577="","",IFERROR(INDEX(사건마스터!$AL$5:$AL$64,MATCH($F577,사건마스터!$A$5:$A$64,0)),""))</f>
        <v/>
      </c>
      <c r="P577" s="136">
        <f>IF($F577="","",IFERROR(INDEX(사건마스터!$AM$5:$AM$64,MATCH($F577,사건마스터!$A$5:$A$64,0)),""))</f>
        <v/>
      </c>
      <c r="Q577" s="136">
        <f>IF($F577="","",IFERROR(INDEX(사건마스터!$AN$5:$AN$64,MATCH($F577,사건마스터!$A$5:$A$64,0)),""))</f>
        <v/>
      </c>
      <c r="R577" s="136">
        <f>IF($F577="","",IFERROR(INDEX(사건마스터!$AO$5:$AO$64,MATCH($F577,사건마스터!$A$5:$A$64,0)),""))</f>
        <v/>
      </c>
      <c r="S577" s="136">
        <f>IF($F577="","",IFERROR(INDEX(사건마스터!$AP$5:$AP$64,MATCH($F577,사건마스터!$A$5:$A$64,0)),""))</f>
        <v/>
      </c>
      <c r="T577" s="136">
        <f>IF($F577="","",IFERROR(INDEX(사건마스터!$AQ$5:$AQ$64,MATCH($F577,사건마스터!$A$5:$A$64,0)),""))</f>
        <v/>
      </c>
      <c r="U577" s="136">
        <f>IF($F577="","",IFERROR(INDEX(사건마스터!$AR$5:$AR$64,MATCH($F577,사건마스터!$A$5:$A$64,0)),""))</f>
        <v/>
      </c>
      <c r="V577" s="136">
        <f>IF($F577="","",IFERROR(INDEX(사건마스터!$AS$5:$AS$64,MATCH($F577,사건마스터!$A$5:$A$64,0)),""))</f>
        <v/>
      </c>
      <c r="W577" s="136">
        <f>IF($F577="","",IFERROR(INDEX(사건마스터!$AT$5:$AT$64,MATCH($F577,사건마스터!$A$5:$A$64,0)),""))</f>
        <v/>
      </c>
      <c r="X577" s="136">
        <f>IF($F577="","",IFERROR(INDEX(사건마스터!$AU$5:$AU$64,MATCH($F577,사건마스터!$A$5:$A$64,0)),""))</f>
        <v/>
      </c>
      <c r="Y577" s="136">
        <f>IF($F577="","",IFERROR(INDEX(사건마스터!$AV$5:$AV$64,MATCH($F577,사건마스터!$A$5:$A$64,0)),""))</f>
        <v/>
      </c>
      <c r="Z577" s="118">
        <f>IF(COUNTBLANK($J577:$Y577)=16,"",16-COUNTBLANK($J577:$Y577))</f>
        <v/>
      </c>
      <c r="AA577" s="33">
        <f>IF($J577="",MID($AX577,3,255),$J577&amp;$AX577)</f>
        <v/>
      </c>
      <c r="AB577" s="130">
        <f>IF($J577="","",IFERROR(INDEX(코드설정!$D$5:$D$24,MATCH($J577,코드설정!$C$5:$C$24,0)),""))</f>
        <v/>
      </c>
      <c r="AC577" s="36" t="n"/>
      <c r="AD577" s="37" t="n"/>
      <c r="AE577" s="38" t="n"/>
      <c r="AF577" s="118">
        <f>IF(OR($B577="",$C577=""),"",$C577-$B577+1)</f>
        <v/>
      </c>
      <c r="AG577" s="74" t="n"/>
      <c r="AH577" s="36" t="n"/>
      <c r="AJ577">
        <f>IF($K577="","",", "&amp;$K577)</f>
        <v/>
      </c>
      <c r="AK577">
        <f>AJ577&amp;IF($L577="","",", "&amp;$L577)</f>
        <v/>
      </c>
      <c r="AL577">
        <f>AK577&amp;IF($M577="","",", "&amp;$M577)</f>
        <v/>
      </c>
      <c r="AM577">
        <f>AL577&amp;IF($N577="","",", "&amp;$N577)</f>
        <v/>
      </c>
      <c r="AN577">
        <f>AM577&amp;IF($O577="","",", "&amp;$O577)</f>
        <v/>
      </c>
      <c r="AO577">
        <f>AN577&amp;IF($P577="","",", "&amp;$P577)</f>
        <v/>
      </c>
      <c r="AP577">
        <f>AO577&amp;IF($Q577="","",", "&amp;$Q577)</f>
        <v/>
      </c>
      <c r="AQ577">
        <f>AP577&amp;IF($R577="","",", "&amp;$R577)</f>
        <v/>
      </c>
      <c r="AR577">
        <f>AQ577&amp;IF($S577="","",", "&amp;$S577)</f>
        <v/>
      </c>
      <c r="AS577">
        <f>AR577&amp;IF($T577="","",", "&amp;$T577)</f>
        <v/>
      </c>
      <c r="AT577">
        <f>AS577&amp;IF($U577="","",", "&amp;$U577)</f>
        <v/>
      </c>
      <c r="AU577">
        <f>AT577&amp;IF($V577="","",", "&amp;$V577)</f>
        <v/>
      </c>
      <c r="AV577">
        <f>AU577&amp;IF($W577="","",", "&amp;$W577)</f>
        <v/>
      </c>
      <c r="AW577">
        <f>AV577&amp;IF($X577="","",", "&amp;$X577)</f>
        <v/>
      </c>
      <c r="AX577">
        <f>AW577&amp;IF($Y577="","",", "&amp;$Y577)</f>
        <v/>
      </c>
    </row>
    <row r="578">
      <c r="A578" s="118">
        <f>IF($B578="","",COUNT($B$5:$B578))</f>
        <v/>
      </c>
      <c r="B578" s="80" t="n"/>
      <c r="C578" s="80" t="n"/>
      <c r="D578" s="74" t="n"/>
      <c r="E578" s="74" t="n"/>
      <c r="F578" s="74" t="n"/>
      <c r="G578" s="118">
        <f>IF($F578="","",COUNTIF($F$5:$F578,$F578))</f>
        <v/>
      </c>
      <c r="H578" s="33">
        <f>IF($F578="","",IFERROR(INDEX(사건마스터!$B$5:$B$64,MATCH($F578,사건마스터!$A$5:$A$64,0)),""))</f>
        <v/>
      </c>
      <c r="I578" s="130">
        <f>IF($F578="","",IFERROR(INDEX(사건마스터!$C$5:$C$64,MATCH($F578,사건마스터!$A$5:$A$64,0)),""))</f>
        <v/>
      </c>
      <c r="J578" s="136">
        <f>IF($F578="","",IFERROR(INDEX(사건마스터!$H$5:$H$64,MATCH($F578,사건마스터!$A$5:$A$64,0)),""))</f>
        <v/>
      </c>
      <c r="K578" s="136">
        <f>IF($F578="","",IFERROR(INDEX(사건마스터!$AH$5:$AH$64,MATCH($F578,사건마스터!$A$5:$A$64,0)),""))</f>
        <v/>
      </c>
      <c r="L578" s="136">
        <f>IF($F578="","",IFERROR(INDEX(사건마스터!$AI$5:$AI$64,MATCH($F578,사건마스터!$A$5:$A$64,0)),""))</f>
        <v/>
      </c>
      <c r="M578" s="136">
        <f>IF($F578="","",IFERROR(INDEX(사건마스터!$AJ$5:$AJ$64,MATCH($F578,사건마스터!$A$5:$A$64,0)),""))</f>
        <v/>
      </c>
      <c r="N578" s="136">
        <f>IF($F578="","",IFERROR(INDEX(사건마스터!$AK$5:$AK$64,MATCH($F578,사건마스터!$A$5:$A$64,0)),""))</f>
        <v/>
      </c>
      <c r="O578" s="136">
        <f>IF($F578="","",IFERROR(INDEX(사건마스터!$AL$5:$AL$64,MATCH($F578,사건마스터!$A$5:$A$64,0)),""))</f>
        <v/>
      </c>
      <c r="P578" s="136">
        <f>IF($F578="","",IFERROR(INDEX(사건마스터!$AM$5:$AM$64,MATCH($F578,사건마스터!$A$5:$A$64,0)),""))</f>
        <v/>
      </c>
      <c r="Q578" s="136">
        <f>IF($F578="","",IFERROR(INDEX(사건마스터!$AN$5:$AN$64,MATCH($F578,사건마스터!$A$5:$A$64,0)),""))</f>
        <v/>
      </c>
      <c r="R578" s="136">
        <f>IF($F578="","",IFERROR(INDEX(사건마스터!$AO$5:$AO$64,MATCH($F578,사건마스터!$A$5:$A$64,0)),""))</f>
        <v/>
      </c>
      <c r="S578" s="136">
        <f>IF($F578="","",IFERROR(INDEX(사건마스터!$AP$5:$AP$64,MATCH($F578,사건마스터!$A$5:$A$64,0)),""))</f>
        <v/>
      </c>
      <c r="T578" s="136">
        <f>IF($F578="","",IFERROR(INDEX(사건마스터!$AQ$5:$AQ$64,MATCH($F578,사건마스터!$A$5:$A$64,0)),""))</f>
        <v/>
      </c>
      <c r="U578" s="136">
        <f>IF($F578="","",IFERROR(INDEX(사건마스터!$AR$5:$AR$64,MATCH($F578,사건마스터!$A$5:$A$64,0)),""))</f>
        <v/>
      </c>
      <c r="V578" s="136">
        <f>IF($F578="","",IFERROR(INDEX(사건마스터!$AS$5:$AS$64,MATCH($F578,사건마스터!$A$5:$A$64,0)),""))</f>
        <v/>
      </c>
      <c r="W578" s="136">
        <f>IF($F578="","",IFERROR(INDEX(사건마스터!$AT$5:$AT$64,MATCH($F578,사건마스터!$A$5:$A$64,0)),""))</f>
        <v/>
      </c>
      <c r="X578" s="136">
        <f>IF($F578="","",IFERROR(INDEX(사건마스터!$AU$5:$AU$64,MATCH($F578,사건마스터!$A$5:$A$64,0)),""))</f>
        <v/>
      </c>
      <c r="Y578" s="136">
        <f>IF($F578="","",IFERROR(INDEX(사건마스터!$AV$5:$AV$64,MATCH($F578,사건마스터!$A$5:$A$64,0)),""))</f>
        <v/>
      </c>
      <c r="Z578" s="118">
        <f>IF(COUNTBLANK($J578:$Y578)=16,"",16-COUNTBLANK($J578:$Y578))</f>
        <v/>
      </c>
      <c r="AA578" s="33">
        <f>IF($J578="",MID($AX578,3,255),$J578&amp;$AX578)</f>
        <v/>
      </c>
      <c r="AB578" s="130">
        <f>IF($J578="","",IFERROR(INDEX(코드설정!$D$5:$D$24,MATCH($J578,코드설정!$C$5:$C$24,0)),""))</f>
        <v/>
      </c>
      <c r="AC578" s="36" t="n"/>
      <c r="AD578" s="37" t="n"/>
      <c r="AE578" s="38" t="n"/>
      <c r="AF578" s="118">
        <f>IF(OR($B578="",$C578=""),"",$C578-$B578+1)</f>
        <v/>
      </c>
      <c r="AG578" s="74" t="n"/>
      <c r="AH578" s="36" t="n"/>
      <c r="AJ578">
        <f>IF($K578="","",", "&amp;$K578)</f>
        <v/>
      </c>
      <c r="AK578">
        <f>AJ578&amp;IF($L578="","",", "&amp;$L578)</f>
        <v/>
      </c>
      <c r="AL578">
        <f>AK578&amp;IF($M578="","",", "&amp;$M578)</f>
        <v/>
      </c>
      <c r="AM578">
        <f>AL578&amp;IF($N578="","",", "&amp;$N578)</f>
        <v/>
      </c>
      <c r="AN578">
        <f>AM578&amp;IF($O578="","",", "&amp;$O578)</f>
        <v/>
      </c>
      <c r="AO578">
        <f>AN578&amp;IF($P578="","",", "&amp;$P578)</f>
        <v/>
      </c>
      <c r="AP578">
        <f>AO578&amp;IF($Q578="","",", "&amp;$Q578)</f>
        <v/>
      </c>
      <c r="AQ578">
        <f>AP578&amp;IF($R578="","",", "&amp;$R578)</f>
        <v/>
      </c>
      <c r="AR578">
        <f>AQ578&amp;IF($S578="","",", "&amp;$S578)</f>
        <v/>
      </c>
      <c r="AS578">
        <f>AR578&amp;IF($T578="","",", "&amp;$T578)</f>
        <v/>
      </c>
      <c r="AT578">
        <f>AS578&amp;IF($U578="","",", "&amp;$U578)</f>
        <v/>
      </c>
      <c r="AU578">
        <f>AT578&amp;IF($V578="","",", "&amp;$V578)</f>
        <v/>
      </c>
      <c r="AV578">
        <f>AU578&amp;IF($W578="","",", "&amp;$W578)</f>
        <v/>
      </c>
      <c r="AW578">
        <f>AV578&amp;IF($X578="","",", "&amp;$X578)</f>
        <v/>
      </c>
      <c r="AX578">
        <f>AW578&amp;IF($Y578="","",", "&amp;$Y578)</f>
        <v/>
      </c>
    </row>
    <row r="579">
      <c r="A579" s="118">
        <f>IF($B579="","",COUNT($B$5:$B579))</f>
        <v/>
      </c>
      <c r="B579" s="80" t="n"/>
      <c r="C579" s="80" t="n"/>
      <c r="D579" s="74" t="n"/>
      <c r="E579" s="74" t="n"/>
      <c r="F579" s="74" t="n"/>
      <c r="G579" s="118">
        <f>IF($F579="","",COUNTIF($F$5:$F579,$F579))</f>
        <v/>
      </c>
      <c r="H579" s="33">
        <f>IF($F579="","",IFERROR(INDEX(사건마스터!$B$5:$B$64,MATCH($F579,사건마스터!$A$5:$A$64,0)),""))</f>
        <v/>
      </c>
      <c r="I579" s="130">
        <f>IF($F579="","",IFERROR(INDEX(사건마스터!$C$5:$C$64,MATCH($F579,사건마스터!$A$5:$A$64,0)),""))</f>
        <v/>
      </c>
      <c r="J579" s="136">
        <f>IF($F579="","",IFERROR(INDEX(사건마스터!$H$5:$H$64,MATCH($F579,사건마스터!$A$5:$A$64,0)),""))</f>
        <v/>
      </c>
      <c r="K579" s="136">
        <f>IF($F579="","",IFERROR(INDEX(사건마스터!$AH$5:$AH$64,MATCH($F579,사건마스터!$A$5:$A$64,0)),""))</f>
        <v/>
      </c>
      <c r="L579" s="136">
        <f>IF($F579="","",IFERROR(INDEX(사건마스터!$AI$5:$AI$64,MATCH($F579,사건마스터!$A$5:$A$64,0)),""))</f>
        <v/>
      </c>
      <c r="M579" s="136">
        <f>IF($F579="","",IFERROR(INDEX(사건마스터!$AJ$5:$AJ$64,MATCH($F579,사건마스터!$A$5:$A$64,0)),""))</f>
        <v/>
      </c>
      <c r="N579" s="136">
        <f>IF($F579="","",IFERROR(INDEX(사건마스터!$AK$5:$AK$64,MATCH($F579,사건마스터!$A$5:$A$64,0)),""))</f>
        <v/>
      </c>
      <c r="O579" s="136">
        <f>IF($F579="","",IFERROR(INDEX(사건마스터!$AL$5:$AL$64,MATCH($F579,사건마스터!$A$5:$A$64,0)),""))</f>
        <v/>
      </c>
      <c r="P579" s="136">
        <f>IF($F579="","",IFERROR(INDEX(사건마스터!$AM$5:$AM$64,MATCH($F579,사건마스터!$A$5:$A$64,0)),""))</f>
        <v/>
      </c>
      <c r="Q579" s="136">
        <f>IF($F579="","",IFERROR(INDEX(사건마스터!$AN$5:$AN$64,MATCH($F579,사건마스터!$A$5:$A$64,0)),""))</f>
        <v/>
      </c>
      <c r="R579" s="136">
        <f>IF($F579="","",IFERROR(INDEX(사건마스터!$AO$5:$AO$64,MATCH($F579,사건마스터!$A$5:$A$64,0)),""))</f>
        <v/>
      </c>
      <c r="S579" s="136">
        <f>IF($F579="","",IFERROR(INDEX(사건마스터!$AP$5:$AP$64,MATCH($F579,사건마스터!$A$5:$A$64,0)),""))</f>
        <v/>
      </c>
      <c r="T579" s="136">
        <f>IF($F579="","",IFERROR(INDEX(사건마스터!$AQ$5:$AQ$64,MATCH($F579,사건마스터!$A$5:$A$64,0)),""))</f>
        <v/>
      </c>
      <c r="U579" s="136">
        <f>IF($F579="","",IFERROR(INDEX(사건마스터!$AR$5:$AR$64,MATCH($F579,사건마스터!$A$5:$A$64,0)),""))</f>
        <v/>
      </c>
      <c r="V579" s="136">
        <f>IF($F579="","",IFERROR(INDEX(사건마스터!$AS$5:$AS$64,MATCH($F579,사건마스터!$A$5:$A$64,0)),""))</f>
        <v/>
      </c>
      <c r="W579" s="136">
        <f>IF($F579="","",IFERROR(INDEX(사건마스터!$AT$5:$AT$64,MATCH($F579,사건마스터!$A$5:$A$64,0)),""))</f>
        <v/>
      </c>
      <c r="X579" s="136">
        <f>IF($F579="","",IFERROR(INDEX(사건마스터!$AU$5:$AU$64,MATCH($F579,사건마스터!$A$5:$A$64,0)),""))</f>
        <v/>
      </c>
      <c r="Y579" s="136">
        <f>IF($F579="","",IFERROR(INDEX(사건마스터!$AV$5:$AV$64,MATCH($F579,사건마스터!$A$5:$A$64,0)),""))</f>
        <v/>
      </c>
      <c r="Z579" s="118">
        <f>IF(COUNTBLANK($J579:$Y579)=16,"",16-COUNTBLANK($J579:$Y579))</f>
        <v/>
      </c>
      <c r="AA579" s="33">
        <f>IF($J579="",MID($AX579,3,255),$J579&amp;$AX579)</f>
        <v/>
      </c>
      <c r="AB579" s="130">
        <f>IF($J579="","",IFERROR(INDEX(코드설정!$D$5:$D$24,MATCH($J579,코드설정!$C$5:$C$24,0)),""))</f>
        <v/>
      </c>
      <c r="AC579" s="36" t="n"/>
      <c r="AD579" s="37" t="n"/>
      <c r="AE579" s="38" t="n"/>
      <c r="AF579" s="118">
        <f>IF(OR($B579="",$C579=""),"",$C579-$B579+1)</f>
        <v/>
      </c>
      <c r="AG579" s="74" t="n"/>
      <c r="AH579" s="36" t="n"/>
      <c r="AJ579">
        <f>IF($K579="","",", "&amp;$K579)</f>
        <v/>
      </c>
      <c r="AK579">
        <f>AJ579&amp;IF($L579="","",", "&amp;$L579)</f>
        <v/>
      </c>
      <c r="AL579">
        <f>AK579&amp;IF($M579="","",", "&amp;$M579)</f>
        <v/>
      </c>
      <c r="AM579">
        <f>AL579&amp;IF($N579="","",", "&amp;$N579)</f>
        <v/>
      </c>
      <c r="AN579">
        <f>AM579&amp;IF($O579="","",", "&amp;$O579)</f>
        <v/>
      </c>
      <c r="AO579">
        <f>AN579&amp;IF($P579="","",", "&amp;$P579)</f>
        <v/>
      </c>
      <c r="AP579">
        <f>AO579&amp;IF($Q579="","",", "&amp;$Q579)</f>
        <v/>
      </c>
      <c r="AQ579">
        <f>AP579&amp;IF($R579="","",", "&amp;$R579)</f>
        <v/>
      </c>
      <c r="AR579">
        <f>AQ579&amp;IF($S579="","",", "&amp;$S579)</f>
        <v/>
      </c>
      <c r="AS579">
        <f>AR579&amp;IF($T579="","",", "&amp;$T579)</f>
        <v/>
      </c>
      <c r="AT579">
        <f>AS579&amp;IF($U579="","",", "&amp;$U579)</f>
        <v/>
      </c>
      <c r="AU579">
        <f>AT579&amp;IF($V579="","",", "&amp;$V579)</f>
        <v/>
      </c>
      <c r="AV579">
        <f>AU579&amp;IF($W579="","",", "&amp;$W579)</f>
        <v/>
      </c>
      <c r="AW579">
        <f>AV579&amp;IF($X579="","",", "&amp;$X579)</f>
        <v/>
      </c>
      <c r="AX579">
        <f>AW579&amp;IF($Y579="","",", "&amp;$Y579)</f>
        <v/>
      </c>
    </row>
    <row r="580">
      <c r="A580" s="118">
        <f>IF($B580="","",COUNT($B$5:$B580))</f>
        <v/>
      </c>
      <c r="B580" s="80" t="n"/>
      <c r="C580" s="80" t="n"/>
      <c r="D580" s="74" t="n"/>
      <c r="E580" s="74" t="n"/>
      <c r="F580" s="74" t="n"/>
      <c r="G580" s="118">
        <f>IF($F580="","",COUNTIF($F$5:$F580,$F580))</f>
        <v/>
      </c>
      <c r="H580" s="33">
        <f>IF($F580="","",IFERROR(INDEX(사건마스터!$B$5:$B$64,MATCH($F580,사건마스터!$A$5:$A$64,0)),""))</f>
        <v/>
      </c>
      <c r="I580" s="130">
        <f>IF($F580="","",IFERROR(INDEX(사건마스터!$C$5:$C$64,MATCH($F580,사건마스터!$A$5:$A$64,0)),""))</f>
        <v/>
      </c>
      <c r="J580" s="136">
        <f>IF($F580="","",IFERROR(INDEX(사건마스터!$H$5:$H$64,MATCH($F580,사건마스터!$A$5:$A$64,0)),""))</f>
        <v/>
      </c>
      <c r="K580" s="136">
        <f>IF($F580="","",IFERROR(INDEX(사건마스터!$AH$5:$AH$64,MATCH($F580,사건마스터!$A$5:$A$64,0)),""))</f>
        <v/>
      </c>
      <c r="L580" s="136">
        <f>IF($F580="","",IFERROR(INDEX(사건마스터!$AI$5:$AI$64,MATCH($F580,사건마스터!$A$5:$A$64,0)),""))</f>
        <v/>
      </c>
      <c r="M580" s="136">
        <f>IF($F580="","",IFERROR(INDEX(사건마스터!$AJ$5:$AJ$64,MATCH($F580,사건마스터!$A$5:$A$64,0)),""))</f>
        <v/>
      </c>
      <c r="N580" s="136">
        <f>IF($F580="","",IFERROR(INDEX(사건마스터!$AK$5:$AK$64,MATCH($F580,사건마스터!$A$5:$A$64,0)),""))</f>
        <v/>
      </c>
      <c r="O580" s="136">
        <f>IF($F580="","",IFERROR(INDEX(사건마스터!$AL$5:$AL$64,MATCH($F580,사건마스터!$A$5:$A$64,0)),""))</f>
        <v/>
      </c>
      <c r="P580" s="136">
        <f>IF($F580="","",IFERROR(INDEX(사건마스터!$AM$5:$AM$64,MATCH($F580,사건마스터!$A$5:$A$64,0)),""))</f>
        <v/>
      </c>
      <c r="Q580" s="136">
        <f>IF($F580="","",IFERROR(INDEX(사건마스터!$AN$5:$AN$64,MATCH($F580,사건마스터!$A$5:$A$64,0)),""))</f>
        <v/>
      </c>
      <c r="R580" s="136">
        <f>IF($F580="","",IFERROR(INDEX(사건마스터!$AO$5:$AO$64,MATCH($F580,사건마스터!$A$5:$A$64,0)),""))</f>
        <v/>
      </c>
      <c r="S580" s="136">
        <f>IF($F580="","",IFERROR(INDEX(사건마스터!$AP$5:$AP$64,MATCH($F580,사건마스터!$A$5:$A$64,0)),""))</f>
        <v/>
      </c>
      <c r="T580" s="136">
        <f>IF($F580="","",IFERROR(INDEX(사건마스터!$AQ$5:$AQ$64,MATCH($F580,사건마스터!$A$5:$A$64,0)),""))</f>
        <v/>
      </c>
      <c r="U580" s="136">
        <f>IF($F580="","",IFERROR(INDEX(사건마스터!$AR$5:$AR$64,MATCH($F580,사건마스터!$A$5:$A$64,0)),""))</f>
        <v/>
      </c>
      <c r="V580" s="136">
        <f>IF($F580="","",IFERROR(INDEX(사건마스터!$AS$5:$AS$64,MATCH($F580,사건마스터!$A$5:$A$64,0)),""))</f>
        <v/>
      </c>
      <c r="W580" s="136">
        <f>IF($F580="","",IFERROR(INDEX(사건마스터!$AT$5:$AT$64,MATCH($F580,사건마스터!$A$5:$A$64,0)),""))</f>
        <v/>
      </c>
      <c r="X580" s="136">
        <f>IF($F580="","",IFERROR(INDEX(사건마스터!$AU$5:$AU$64,MATCH($F580,사건마스터!$A$5:$A$64,0)),""))</f>
        <v/>
      </c>
      <c r="Y580" s="136">
        <f>IF($F580="","",IFERROR(INDEX(사건마스터!$AV$5:$AV$64,MATCH($F580,사건마스터!$A$5:$A$64,0)),""))</f>
        <v/>
      </c>
      <c r="Z580" s="118">
        <f>IF(COUNTBLANK($J580:$Y580)=16,"",16-COUNTBLANK($J580:$Y580))</f>
        <v/>
      </c>
      <c r="AA580" s="33">
        <f>IF($J580="",MID($AX580,3,255),$J580&amp;$AX580)</f>
        <v/>
      </c>
      <c r="AB580" s="130">
        <f>IF($J580="","",IFERROR(INDEX(코드설정!$D$5:$D$24,MATCH($J580,코드설정!$C$5:$C$24,0)),""))</f>
        <v/>
      </c>
      <c r="AC580" s="36" t="n"/>
      <c r="AD580" s="37" t="n"/>
      <c r="AE580" s="38" t="n"/>
      <c r="AF580" s="118">
        <f>IF(OR($B580="",$C580=""),"",$C580-$B580+1)</f>
        <v/>
      </c>
      <c r="AG580" s="74" t="n"/>
      <c r="AH580" s="36" t="n"/>
      <c r="AJ580">
        <f>IF($K580="","",", "&amp;$K580)</f>
        <v/>
      </c>
      <c r="AK580">
        <f>AJ580&amp;IF($L580="","",", "&amp;$L580)</f>
        <v/>
      </c>
      <c r="AL580">
        <f>AK580&amp;IF($M580="","",", "&amp;$M580)</f>
        <v/>
      </c>
      <c r="AM580">
        <f>AL580&amp;IF($N580="","",", "&amp;$N580)</f>
        <v/>
      </c>
      <c r="AN580">
        <f>AM580&amp;IF($O580="","",", "&amp;$O580)</f>
        <v/>
      </c>
      <c r="AO580">
        <f>AN580&amp;IF($P580="","",", "&amp;$P580)</f>
        <v/>
      </c>
      <c r="AP580">
        <f>AO580&amp;IF($Q580="","",", "&amp;$Q580)</f>
        <v/>
      </c>
      <c r="AQ580">
        <f>AP580&amp;IF($R580="","",", "&amp;$R580)</f>
        <v/>
      </c>
      <c r="AR580">
        <f>AQ580&amp;IF($S580="","",", "&amp;$S580)</f>
        <v/>
      </c>
      <c r="AS580">
        <f>AR580&amp;IF($T580="","",", "&amp;$T580)</f>
        <v/>
      </c>
      <c r="AT580">
        <f>AS580&amp;IF($U580="","",", "&amp;$U580)</f>
        <v/>
      </c>
      <c r="AU580">
        <f>AT580&amp;IF($V580="","",", "&amp;$V580)</f>
        <v/>
      </c>
      <c r="AV580">
        <f>AU580&amp;IF($W580="","",", "&amp;$W580)</f>
        <v/>
      </c>
      <c r="AW580">
        <f>AV580&amp;IF($X580="","",", "&amp;$X580)</f>
        <v/>
      </c>
      <c r="AX580">
        <f>AW580&amp;IF($Y580="","",", "&amp;$Y580)</f>
        <v/>
      </c>
    </row>
    <row r="581">
      <c r="A581" s="118">
        <f>IF($B581="","",COUNT($B$5:$B581))</f>
        <v/>
      </c>
      <c r="B581" s="80" t="n"/>
      <c r="C581" s="80" t="n"/>
      <c r="D581" s="74" t="n"/>
      <c r="E581" s="74" t="n"/>
      <c r="F581" s="74" t="n"/>
      <c r="G581" s="118">
        <f>IF($F581="","",COUNTIF($F$5:$F581,$F581))</f>
        <v/>
      </c>
      <c r="H581" s="33">
        <f>IF($F581="","",IFERROR(INDEX(사건마스터!$B$5:$B$64,MATCH($F581,사건마스터!$A$5:$A$64,0)),""))</f>
        <v/>
      </c>
      <c r="I581" s="130">
        <f>IF($F581="","",IFERROR(INDEX(사건마스터!$C$5:$C$64,MATCH($F581,사건마스터!$A$5:$A$64,0)),""))</f>
        <v/>
      </c>
      <c r="J581" s="136">
        <f>IF($F581="","",IFERROR(INDEX(사건마스터!$H$5:$H$64,MATCH($F581,사건마스터!$A$5:$A$64,0)),""))</f>
        <v/>
      </c>
      <c r="K581" s="136">
        <f>IF($F581="","",IFERROR(INDEX(사건마스터!$AH$5:$AH$64,MATCH($F581,사건마스터!$A$5:$A$64,0)),""))</f>
        <v/>
      </c>
      <c r="L581" s="136">
        <f>IF($F581="","",IFERROR(INDEX(사건마스터!$AI$5:$AI$64,MATCH($F581,사건마스터!$A$5:$A$64,0)),""))</f>
        <v/>
      </c>
      <c r="M581" s="136">
        <f>IF($F581="","",IFERROR(INDEX(사건마스터!$AJ$5:$AJ$64,MATCH($F581,사건마스터!$A$5:$A$64,0)),""))</f>
        <v/>
      </c>
      <c r="N581" s="136">
        <f>IF($F581="","",IFERROR(INDEX(사건마스터!$AK$5:$AK$64,MATCH($F581,사건마스터!$A$5:$A$64,0)),""))</f>
        <v/>
      </c>
      <c r="O581" s="136">
        <f>IF($F581="","",IFERROR(INDEX(사건마스터!$AL$5:$AL$64,MATCH($F581,사건마스터!$A$5:$A$64,0)),""))</f>
        <v/>
      </c>
      <c r="P581" s="136">
        <f>IF($F581="","",IFERROR(INDEX(사건마스터!$AM$5:$AM$64,MATCH($F581,사건마스터!$A$5:$A$64,0)),""))</f>
        <v/>
      </c>
      <c r="Q581" s="136">
        <f>IF($F581="","",IFERROR(INDEX(사건마스터!$AN$5:$AN$64,MATCH($F581,사건마스터!$A$5:$A$64,0)),""))</f>
        <v/>
      </c>
      <c r="R581" s="136">
        <f>IF($F581="","",IFERROR(INDEX(사건마스터!$AO$5:$AO$64,MATCH($F581,사건마스터!$A$5:$A$64,0)),""))</f>
        <v/>
      </c>
      <c r="S581" s="136">
        <f>IF($F581="","",IFERROR(INDEX(사건마스터!$AP$5:$AP$64,MATCH($F581,사건마스터!$A$5:$A$64,0)),""))</f>
        <v/>
      </c>
      <c r="T581" s="136">
        <f>IF($F581="","",IFERROR(INDEX(사건마스터!$AQ$5:$AQ$64,MATCH($F581,사건마스터!$A$5:$A$64,0)),""))</f>
        <v/>
      </c>
      <c r="U581" s="136">
        <f>IF($F581="","",IFERROR(INDEX(사건마스터!$AR$5:$AR$64,MATCH($F581,사건마스터!$A$5:$A$64,0)),""))</f>
        <v/>
      </c>
      <c r="V581" s="136">
        <f>IF($F581="","",IFERROR(INDEX(사건마스터!$AS$5:$AS$64,MATCH($F581,사건마스터!$A$5:$A$64,0)),""))</f>
        <v/>
      </c>
      <c r="W581" s="136">
        <f>IF($F581="","",IFERROR(INDEX(사건마스터!$AT$5:$AT$64,MATCH($F581,사건마스터!$A$5:$A$64,0)),""))</f>
        <v/>
      </c>
      <c r="X581" s="136">
        <f>IF($F581="","",IFERROR(INDEX(사건마스터!$AU$5:$AU$64,MATCH($F581,사건마스터!$A$5:$A$64,0)),""))</f>
        <v/>
      </c>
      <c r="Y581" s="136">
        <f>IF($F581="","",IFERROR(INDEX(사건마스터!$AV$5:$AV$64,MATCH($F581,사건마스터!$A$5:$A$64,0)),""))</f>
        <v/>
      </c>
      <c r="Z581" s="118">
        <f>IF(COUNTBLANK($J581:$Y581)=16,"",16-COUNTBLANK($J581:$Y581))</f>
        <v/>
      </c>
      <c r="AA581" s="33">
        <f>IF($J581="",MID($AX581,3,255),$J581&amp;$AX581)</f>
        <v/>
      </c>
      <c r="AB581" s="130">
        <f>IF($J581="","",IFERROR(INDEX(코드설정!$D$5:$D$24,MATCH($J581,코드설정!$C$5:$C$24,0)),""))</f>
        <v/>
      </c>
      <c r="AC581" s="36" t="n"/>
      <c r="AD581" s="37" t="n"/>
      <c r="AE581" s="38" t="n"/>
      <c r="AF581" s="118">
        <f>IF(OR($B581="",$C581=""),"",$C581-$B581+1)</f>
        <v/>
      </c>
      <c r="AG581" s="74" t="n"/>
      <c r="AH581" s="36" t="n"/>
      <c r="AJ581">
        <f>IF($K581="","",", "&amp;$K581)</f>
        <v/>
      </c>
      <c r="AK581">
        <f>AJ581&amp;IF($L581="","",", "&amp;$L581)</f>
        <v/>
      </c>
      <c r="AL581">
        <f>AK581&amp;IF($M581="","",", "&amp;$M581)</f>
        <v/>
      </c>
      <c r="AM581">
        <f>AL581&amp;IF($N581="","",", "&amp;$N581)</f>
        <v/>
      </c>
      <c r="AN581">
        <f>AM581&amp;IF($O581="","",", "&amp;$O581)</f>
        <v/>
      </c>
      <c r="AO581">
        <f>AN581&amp;IF($P581="","",", "&amp;$P581)</f>
        <v/>
      </c>
      <c r="AP581">
        <f>AO581&amp;IF($Q581="","",", "&amp;$Q581)</f>
        <v/>
      </c>
      <c r="AQ581">
        <f>AP581&amp;IF($R581="","",", "&amp;$R581)</f>
        <v/>
      </c>
      <c r="AR581">
        <f>AQ581&amp;IF($S581="","",", "&amp;$S581)</f>
        <v/>
      </c>
      <c r="AS581">
        <f>AR581&amp;IF($T581="","",", "&amp;$T581)</f>
        <v/>
      </c>
      <c r="AT581">
        <f>AS581&amp;IF($U581="","",", "&amp;$U581)</f>
        <v/>
      </c>
      <c r="AU581">
        <f>AT581&amp;IF($V581="","",", "&amp;$V581)</f>
        <v/>
      </c>
      <c r="AV581">
        <f>AU581&amp;IF($W581="","",", "&amp;$W581)</f>
        <v/>
      </c>
      <c r="AW581">
        <f>AV581&amp;IF($X581="","",", "&amp;$X581)</f>
        <v/>
      </c>
      <c r="AX581">
        <f>AW581&amp;IF($Y581="","",", "&amp;$Y581)</f>
        <v/>
      </c>
    </row>
    <row r="582">
      <c r="A582" s="118">
        <f>IF($B582="","",COUNT($B$5:$B582))</f>
        <v/>
      </c>
      <c r="B582" s="80" t="n"/>
      <c r="C582" s="80" t="n"/>
      <c r="D582" s="74" t="n"/>
      <c r="E582" s="74" t="n"/>
      <c r="F582" s="74" t="n"/>
      <c r="G582" s="118">
        <f>IF($F582="","",COUNTIF($F$5:$F582,$F582))</f>
        <v/>
      </c>
      <c r="H582" s="33">
        <f>IF($F582="","",IFERROR(INDEX(사건마스터!$B$5:$B$64,MATCH($F582,사건마스터!$A$5:$A$64,0)),""))</f>
        <v/>
      </c>
      <c r="I582" s="130">
        <f>IF($F582="","",IFERROR(INDEX(사건마스터!$C$5:$C$64,MATCH($F582,사건마스터!$A$5:$A$64,0)),""))</f>
        <v/>
      </c>
      <c r="J582" s="136">
        <f>IF($F582="","",IFERROR(INDEX(사건마스터!$H$5:$H$64,MATCH($F582,사건마스터!$A$5:$A$64,0)),""))</f>
        <v/>
      </c>
      <c r="K582" s="136">
        <f>IF($F582="","",IFERROR(INDEX(사건마스터!$AH$5:$AH$64,MATCH($F582,사건마스터!$A$5:$A$64,0)),""))</f>
        <v/>
      </c>
      <c r="L582" s="136">
        <f>IF($F582="","",IFERROR(INDEX(사건마스터!$AI$5:$AI$64,MATCH($F582,사건마스터!$A$5:$A$64,0)),""))</f>
        <v/>
      </c>
      <c r="M582" s="136">
        <f>IF($F582="","",IFERROR(INDEX(사건마스터!$AJ$5:$AJ$64,MATCH($F582,사건마스터!$A$5:$A$64,0)),""))</f>
        <v/>
      </c>
      <c r="N582" s="136">
        <f>IF($F582="","",IFERROR(INDEX(사건마스터!$AK$5:$AK$64,MATCH($F582,사건마스터!$A$5:$A$64,0)),""))</f>
        <v/>
      </c>
      <c r="O582" s="136">
        <f>IF($F582="","",IFERROR(INDEX(사건마스터!$AL$5:$AL$64,MATCH($F582,사건마스터!$A$5:$A$64,0)),""))</f>
        <v/>
      </c>
      <c r="P582" s="136">
        <f>IF($F582="","",IFERROR(INDEX(사건마스터!$AM$5:$AM$64,MATCH($F582,사건마스터!$A$5:$A$64,0)),""))</f>
        <v/>
      </c>
      <c r="Q582" s="136">
        <f>IF($F582="","",IFERROR(INDEX(사건마스터!$AN$5:$AN$64,MATCH($F582,사건마스터!$A$5:$A$64,0)),""))</f>
        <v/>
      </c>
      <c r="R582" s="136">
        <f>IF($F582="","",IFERROR(INDEX(사건마스터!$AO$5:$AO$64,MATCH($F582,사건마스터!$A$5:$A$64,0)),""))</f>
        <v/>
      </c>
      <c r="S582" s="136">
        <f>IF($F582="","",IFERROR(INDEX(사건마스터!$AP$5:$AP$64,MATCH($F582,사건마스터!$A$5:$A$64,0)),""))</f>
        <v/>
      </c>
      <c r="T582" s="136">
        <f>IF($F582="","",IFERROR(INDEX(사건마스터!$AQ$5:$AQ$64,MATCH($F582,사건마스터!$A$5:$A$64,0)),""))</f>
        <v/>
      </c>
      <c r="U582" s="136">
        <f>IF($F582="","",IFERROR(INDEX(사건마스터!$AR$5:$AR$64,MATCH($F582,사건마스터!$A$5:$A$64,0)),""))</f>
        <v/>
      </c>
      <c r="V582" s="136">
        <f>IF($F582="","",IFERROR(INDEX(사건마스터!$AS$5:$AS$64,MATCH($F582,사건마스터!$A$5:$A$64,0)),""))</f>
        <v/>
      </c>
      <c r="W582" s="136">
        <f>IF($F582="","",IFERROR(INDEX(사건마스터!$AT$5:$AT$64,MATCH($F582,사건마스터!$A$5:$A$64,0)),""))</f>
        <v/>
      </c>
      <c r="X582" s="136">
        <f>IF($F582="","",IFERROR(INDEX(사건마스터!$AU$5:$AU$64,MATCH($F582,사건마스터!$A$5:$A$64,0)),""))</f>
        <v/>
      </c>
      <c r="Y582" s="136">
        <f>IF($F582="","",IFERROR(INDEX(사건마스터!$AV$5:$AV$64,MATCH($F582,사건마스터!$A$5:$A$64,0)),""))</f>
        <v/>
      </c>
      <c r="Z582" s="118">
        <f>IF(COUNTBLANK($J582:$Y582)=16,"",16-COUNTBLANK($J582:$Y582))</f>
        <v/>
      </c>
      <c r="AA582" s="33">
        <f>IF($J582="",MID($AX582,3,255),$J582&amp;$AX582)</f>
        <v/>
      </c>
      <c r="AB582" s="130">
        <f>IF($J582="","",IFERROR(INDEX(코드설정!$D$5:$D$24,MATCH($J582,코드설정!$C$5:$C$24,0)),""))</f>
        <v/>
      </c>
      <c r="AC582" s="36" t="n"/>
      <c r="AD582" s="37" t="n"/>
      <c r="AE582" s="38" t="n"/>
      <c r="AF582" s="118">
        <f>IF(OR($B582="",$C582=""),"",$C582-$B582+1)</f>
        <v/>
      </c>
      <c r="AG582" s="74" t="n"/>
      <c r="AH582" s="36" t="n"/>
      <c r="AJ582">
        <f>IF($K582="","",", "&amp;$K582)</f>
        <v/>
      </c>
      <c r="AK582">
        <f>AJ582&amp;IF($L582="","",", "&amp;$L582)</f>
        <v/>
      </c>
      <c r="AL582">
        <f>AK582&amp;IF($M582="","",", "&amp;$M582)</f>
        <v/>
      </c>
      <c r="AM582">
        <f>AL582&amp;IF($N582="","",", "&amp;$N582)</f>
        <v/>
      </c>
      <c r="AN582">
        <f>AM582&amp;IF($O582="","",", "&amp;$O582)</f>
        <v/>
      </c>
      <c r="AO582">
        <f>AN582&amp;IF($P582="","",", "&amp;$P582)</f>
        <v/>
      </c>
      <c r="AP582">
        <f>AO582&amp;IF($Q582="","",", "&amp;$Q582)</f>
        <v/>
      </c>
      <c r="AQ582">
        <f>AP582&amp;IF($R582="","",", "&amp;$R582)</f>
        <v/>
      </c>
      <c r="AR582">
        <f>AQ582&amp;IF($S582="","",", "&amp;$S582)</f>
        <v/>
      </c>
      <c r="AS582">
        <f>AR582&amp;IF($T582="","",", "&amp;$T582)</f>
        <v/>
      </c>
      <c r="AT582">
        <f>AS582&amp;IF($U582="","",", "&amp;$U582)</f>
        <v/>
      </c>
      <c r="AU582">
        <f>AT582&amp;IF($V582="","",", "&amp;$V582)</f>
        <v/>
      </c>
      <c r="AV582">
        <f>AU582&amp;IF($W582="","",", "&amp;$W582)</f>
        <v/>
      </c>
      <c r="AW582">
        <f>AV582&amp;IF($X582="","",", "&amp;$X582)</f>
        <v/>
      </c>
      <c r="AX582">
        <f>AW582&amp;IF($Y582="","",", "&amp;$Y582)</f>
        <v/>
      </c>
    </row>
    <row r="583">
      <c r="A583" s="118">
        <f>IF($B583="","",COUNT($B$5:$B583))</f>
        <v/>
      </c>
      <c r="B583" s="80" t="n"/>
      <c r="C583" s="80" t="n"/>
      <c r="D583" s="74" t="n"/>
      <c r="E583" s="74" t="n"/>
      <c r="F583" s="74" t="n"/>
      <c r="G583" s="118">
        <f>IF($F583="","",COUNTIF($F$5:$F583,$F583))</f>
        <v/>
      </c>
      <c r="H583" s="33">
        <f>IF($F583="","",IFERROR(INDEX(사건마스터!$B$5:$B$64,MATCH($F583,사건마스터!$A$5:$A$64,0)),""))</f>
        <v/>
      </c>
      <c r="I583" s="130">
        <f>IF($F583="","",IFERROR(INDEX(사건마스터!$C$5:$C$64,MATCH($F583,사건마스터!$A$5:$A$64,0)),""))</f>
        <v/>
      </c>
      <c r="J583" s="136">
        <f>IF($F583="","",IFERROR(INDEX(사건마스터!$H$5:$H$64,MATCH($F583,사건마스터!$A$5:$A$64,0)),""))</f>
        <v/>
      </c>
      <c r="K583" s="136">
        <f>IF($F583="","",IFERROR(INDEX(사건마스터!$AH$5:$AH$64,MATCH($F583,사건마스터!$A$5:$A$64,0)),""))</f>
        <v/>
      </c>
      <c r="L583" s="136">
        <f>IF($F583="","",IFERROR(INDEX(사건마스터!$AI$5:$AI$64,MATCH($F583,사건마스터!$A$5:$A$64,0)),""))</f>
        <v/>
      </c>
      <c r="M583" s="136">
        <f>IF($F583="","",IFERROR(INDEX(사건마스터!$AJ$5:$AJ$64,MATCH($F583,사건마스터!$A$5:$A$64,0)),""))</f>
        <v/>
      </c>
      <c r="N583" s="136">
        <f>IF($F583="","",IFERROR(INDEX(사건마스터!$AK$5:$AK$64,MATCH($F583,사건마스터!$A$5:$A$64,0)),""))</f>
        <v/>
      </c>
      <c r="O583" s="136">
        <f>IF($F583="","",IFERROR(INDEX(사건마스터!$AL$5:$AL$64,MATCH($F583,사건마스터!$A$5:$A$64,0)),""))</f>
        <v/>
      </c>
      <c r="P583" s="136">
        <f>IF($F583="","",IFERROR(INDEX(사건마스터!$AM$5:$AM$64,MATCH($F583,사건마스터!$A$5:$A$64,0)),""))</f>
        <v/>
      </c>
      <c r="Q583" s="136">
        <f>IF($F583="","",IFERROR(INDEX(사건마스터!$AN$5:$AN$64,MATCH($F583,사건마스터!$A$5:$A$64,0)),""))</f>
        <v/>
      </c>
      <c r="R583" s="136">
        <f>IF($F583="","",IFERROR(INDEX(사건마스터!$AO$5:$AO$64,MATCH($F583,사건마스터!$A$5:$A$64,0)),""))</f>
        <v/>
      </c>
      <c r="S583" s="136">
        <f>IF($F583="","",IFERROR(INDEX(사건마스터!$AP$5:$AP$64,MATCH($F583,사건마스터!$A$5:$A$64,0)),""))</f>
        <v/>
      </c>
      <c r="T583" s="136">
        <f>IF($F583="","",IFERROR(INDEX(사건마스터!$AQ$5:$AQ$64,MATCH($F583,사건마스터!$A$5:$A$64,0)),""))</f>
        <v/>
      </c>
      <c r="U583" s="136">
        <f>IF($F583="","",IFERROR(INDEX(사건마스터!$AR$5:$AR$64,MATCH($F583,사건마스터!$A$5:$A$64,0)),""))</f>
        <v/>
      </c>
      <c r="V583" s="136">
        <f>IF($F583="","",IFERROR(INDEX(사건마스터!$AS$5:$AS$64,MATCH($F583,사건마스터!$A$5:$A$64,0)),""))</f>
        <v/>
      </c>
      <c r="W583" s="136">
        <f>IF($F583="","",IFERROR(INDEX(사건마스터!$AT$5:$AT$64,MATCH($F583,사건마스터!$A$5:$A$64,0)),""))</f>
        <v/>
      </c>
      <c r="X583" s="136">
        <f>IF($F583="","",IFERROR(INDEX(사건마스터!$AU$5:$AU$64,MATCH($F583,사건마스터!$A$5:$A$64,0)),""))</f>
        <v/>
      </c>
      <c r="Y583" s="136">
        <f>IF($F583="","",IFERROR(INDEX(사건마스터!$AV$5:$AV$64,MATCH($F583,사건마스터!$A$5:$A$64,0)),""))</f>
        <v/>
      </c>
      <c r="Z583" s="118">
        <f>IF(COUNTBLANK($J583:$Y583)=16,"",16-COUNTBLANK($J583:$Y583))</f>
        <v/>
      </c>
      <c r="AA583" s="33">
        <f>IF($J583="",MID($AX583,3,255),$J583&amp;$AX583)</f>
        <v/>
      </c>
      <c r="AB583" s="130">
        <f>IF($J583="","",IFERROR(INDEX(코드설정!$D$5:$D$24,MATCH($J583,코드설정!$C$5:$C$24,0)),""))</f>
        <v/>
      </c>
      <c r="AC583" s="36" t="n"/>
      <c r="AD583" s="37" t="n"/>
      <c r="AE583" s="38" t="n"/>
      <c r="AF583" s="118">
        <f>IF(OR($B583="",$C583=""),"",$C583-$B583+1)</f>
        <v/>
      </c>
      <c r="AG583" s="74" t="n"/>
      <c r="AH583" s="36" t="n"/>
      <c r="AJ583">
        <f>IF($K583="","",", "&amp;$K583)</f>
        <v/>
      </c>
      <c r="AK583">
        <f>AJ583&amp;IF($L583="","",", "&amp;$L583)</f>
        <v/>
      </c>
      <c r="AL583">
        <f>AK583&amp;IF($M583="","",", "&amp;$M583)</f>
        <v/>
      </c>
      <c r="AM583">
        <f>AL583&amp;IF($N583="","",", "&amp;$N583)</f>
        <v/>
      </c>
      <c r="AN583">
        <f>AM583&amp;IF($O583="","",", "&amp;$O583)</f>
        <v/>
      </c>
      <c r="AO583">
        <f>AN583&amp;IF($P583="","",", "&amp;$P583)</f>
        <v/>
      </c>
      <c r="AP583">
        <f>AO583&amp;IF($Q583="","",", "&amp;$Q583)</f>
        <v/>
      </c>
      <c r="AQ583">
        <f>AP583&amp;IF($R583="","",", "&amp;$R583)</f>
        <v/>
      </c>
      <c r="AR583">
        <f>AQ583&amp;IF($S583="","",", "&amp;$S583)</f>
        <v/>
      </c>
      <c r="AS583">
        <f>AR583&amp;IF($T583="","",", "&amp;$T583)</f>
        <v/>
      </c>
      <c r="AT583">
        <f>AS583&amp;IF($U583="","",", "&amp;$U583)</f>
        <v/>
      </c>
      <c r="AU583">
        <f>AT583&amp;IF($V583="","",", "&amp;$V583)</f>
        <v/>
      </c>
      <c r="AV583">
        <f>AU583&amp;IF($W583="","",", "&amp;$W583)</f>
        <v/>
      </c>
      <c r="AW583">
        <f>AV583&amp;IF($X583="","",", "&amp;$X583)</f>
        <v/>
      </c>
      <c r="AX583">
        <f>AW583&amp;IF($Y583="","",", "&amp;$Y583)</f>
        <v/>
      </c>
    </row>
    <row r="584">
      <c r="A584" s="118">
        <f>IF($B584="","",COUNT($B$5:$B584))</f>
        <v/>
      </c>
      <c r="B584" s="80" t="n"/>
      <c r="C584" s="80" t="n"/>
      <c r="D584" s="74" t="n"/>
      <c r="E584" s="74" t="n"/>
      <c r="F584" s="74" t="n"/>
      <c r="G584" s="118">
        <f>IF($F584="","",COUNTIF($F$5:$F584,$F584))</f>
        <v/>
      </c>
      <c r="H584" s="33">
        <f>IF($F584="","",IFERROR(INDEX(사건마스터!$B$5:$B$64,MATCH($F584,사건마스터!$A$5:$A$64,0)),""))</f>
        <v/>
      </c>
      <c r="I584" s="130">
        <f>IF($F584="","",IFERROR(INDEX(사건마스터!$C$5:$C$64,MATCH($F584,사건마스터!$A$5:$A$64,0)),""))</f>
        <v/>
      </c>
      <c r="J584" s="136">
        <f>IF($F584="","",IFERROR(INDEX(사건마스터!$H$5:$H$64,MATCH($F584,사건마스터!$A$5:$A$64,0)),""))</f>
        <v/>
      </c>
      <c r="K584" s="136">
        <f>IF($F584="","",IFERROR(INDEX(사건마스터!$AH$5:$AH$64,MATCH($F584,사건마스터!$A$5:$A$64,0)),""))</f>
        <v/>
      </c>
      <c r="L584" s="136">
        <f>IF($F584="","",IFERROR(INDEX(사건마스터!$AI$5:$AI$64,MATCH($F584,사건마스터!$A$5:$A$64,0)),""))</f>
        <v/>
      </c>
      <c r="M584" s="136">
        <f>IF($F584="","",IFERROR(INDEX(사건마스터!$AJ$5:$AJ$64,MATCH($F584,사건마스터!$A$5:$A$64,0)),""))</f>
        <v/>
      </c>
      <c r="N584" s="136">
        <f>IF($F584="","",IFERROR(INDEX(사건마스터!$AK$5:$AK$64,MATCH($F584,사건마스터!$A$5:$A$64,0)),""))</f>
        <v/>
      </c>
      <c r="O584" s="136">
        <f>IF($F584="","",IFERROR(INDEX(사건마스터!$AL$5:$AL$64,MATCH($F584,사건마스터!$A$5:$A$64,0)),""))</f>
        <v/>
      </c>
      <c r="P584" s="136">
        <f>IF($F584="","",IFERROR(INDEX(사건마스터!$AM$5:$AM$64,MATCH($F584,사건마스터!$A$5:$A$64,0)),""))</f>
        <v/>
      </c>
      <c r="Q584" s="136">
        <f>IF($F584="","",IFERROR(INDEX(사건마스터!$AN$5:$AN$64,MATCH($F584,사건마스터!$A$5:$A$64,0)),""))</f>
        <v/>
      </c>
      <c r="R584" s="136">
        <f>IF($F584="","",IFERROR(INDEX(사건마스터!$AO$5:$AO$64,MATCH($F584,사건마스터!$A$5:$A$64,0)),""))</f>
        <v/>
      </c>
      <c r="S584" s="136">
        <f>IF($F584="","",IFERROR(INDEX(사건마스터!$AP$5:$AP$64,MATCH($F584,사건마스터!$A$5:$A$64,0)),""))</f>
        <v/>
      </c>
      <c r="T584" s="136">
        <f>IF($F584="","",IFERROR(INDEX(사건마스터!$AQ$5:$AQ$64,MATCH($F584,사건마스터!$A$5:$A$64,0)),""))</f>
        <v/>
      </c>
      <c r="U584" s="136">
        <f>IF($F584="","",IFERROR(INDEX(사건마스터!$AR$5:$AR$64,MATCH($F584,사건마스터!$A$5:$A$64,0)),""))</f>
        <v/>
      </c>
      <c r="V584" s="136">
        <f>IF($F584="","",IFERROR(INDEX(사건마스터!$AS$5:$AS$64,MATCH($F584,사건마스터!$A$5:$A$64,0)),""))</f>
        <v/>
      </c>
      <c r="W584" s="136">
        <f>IF($F584="","",IFERROR(INDEX(사건마스터!$AT$5:$AT$64,MATCH($F584,사건마스터!$A$5:$A$64,0)),""))</f>
        <v/>
      </c>
      <c r="X584" s="136">
        <f>IF($F584="","",IFERROR(INDEX(사건마스터!$AU$5:$AU$64,MATCH($F584,사건마스터!$A$5:$A$64,0)),""))</f>
        <v/>
      </c>
      <c r="Y584" s="136">
        <f>IF($F584="","",IFERROR(INDEX(사건마스터!$AV$5:$AV$64,MATCH($F584,사건마스터!$A$5:$A$64,0)),""))</f>
        <v/>
      </c>
      <c r="Z584" s="118">
        <f>IF(COUNTBLANK($J584:$Y584)=16,"",16-COUNTBLANK($J584:$Y584))</f>
        <v/>
      </c>
      <c r="AA584" s="33">
        <f>IF($J584="",MID($AX584,3,255),$J584&amp;$AX584)</f>
        <v/>
      </c>
      <c r="AB584" s="130">
        <f>IF($J584="","",IFERROR(INDEX(코드설정!$D$5:$D$24,MATCH($J584,코드설정!$C$5:$C$24,0)),""))</f>
        <v/>
      </c>
      <c r="AC584" s="36" t="n"/>
      <c r="AD584" s="37" t="n"/>
      <c r="AE584" s="38" t="n"/>
      <c r="AF584" s="118">
        <f>IF(OR($B584="",$C584=""),"",$C584-$B584+1)</f>
        <v/>
      </c>
      <c r="AG584" s="74" t="n"/>
      <c r="AH584" s="36" t="n"/>
      <c r="AJ584">
        <f>IF($K584="","",", "&amp;$K584)</f>
        <v/>
      </c>
      <c r="AK584">
        <f>AJ584&amp;IF($L584="","",", "&amp;$L584)</f>
        <v/>
      </c>
      <c r="AL584">
        <f>AK584&amp;IF($M584="","",", "&amp;$M584)</f>
        <v/>
      </c>
      <c r="AM584">
        <f>AL584&amp;IF($N584="","",", "&amp;$N584)</f>
        <v/>
      </c>
      <c r="AN584">
        <f>AM584&amp;IF($O584="","",", "&amp;$O584)</f>
        <v/>
      </c>
      <c r="AO584">
        <f>AN584&amp;IF($P584="","",", "&amp;$P584)</f>
        <v/>
      </c>
      <c r="AP584">
        <f>AO584&amp;IF($Q584="","",", "&amp;$Q584)</f>
        <v/>
      </c>
      <c r="AQ584">
        <f>AP584&amp;IF($R584="","",", "&amp;$R584)</f>
        <v/>
      </c>
      <c r="AR584">
        <f>AQ584&amp;IF($S584="","",", "&amp;$S584)</f>
        <v/>
      </c>
      <c r="AS584">
        <f>AR584&amp;IF($T584="","",", "&amp;$T584)</f>
        <v/>
      </c>
      <c r="AT584">
        <f>AS584&amp;IF($U584="","",", "&amp;$U584)</f>
        <v/>
      </c>
      <c r="AU584">
        <f>AT584&amp;IF($V584="","",", "&amp;$V584)</f>
        <v/>
      </c>
      <c r="AV584">
        <f>AU584&amp;IF($W584="","",", "&amp;$W584)</f>
        <v/>
      </c>
      <c r="AW584">
        <f>AV584&amp;IF($X584="","",", "&amp;$X584)</f>
        <v/>
      </c>
      <c r="AX584">
        <f>AW584&amp;IF($Y584="","",", "&amp;$Y584)</f>
        <v/>
      </c>
    </row>
    <row r="585">
      <c r="A585" s="118">
        <f>IF($B585="","",COUNT($B$5:$B585))</f>
        <v/>
      </c>
      <c r="B585" s="80" t="n"/>
      <c r="C585" s="80" t="n"/>
      <c r="D585" s="74" t="n"/>
      <c r="E585" s="74" t="n"/>
      <c r="F585" s="74" t="n"/>
      <c r="G585" s="118">
        <f>IF($F585="","",COUNTIF($F$5:$F585,$F585))</f>
        <v/>
      </c>
      <c r="H585" s="33">
        <f>IF($F585="","",IFERROR(INDEX(사건마스터!$B$5:$B$64,MATCH($F585,사건마스터!$A$5:$A$64,0)),""))</f>
        <v/>
      </c>
      <c r="I585" s="130">
        <f>IF($F585="","",IFERROR(INDEX(사건마스터!$C$5:$C$64,MATCH($F585,사건마스터!$A$5:$A$64,0)),""))</f>
        <v/>
      </c>
      <c r="J585" s="136">
        <f>IF($F585="","",IFERROR(INDEX(사건마스터!$H$5:$H$64,MATCH($F585,사건마스터!$A$5:$A$64,0)),""))</f>
        <v/>
      </c>
      <c r="K585" s="136">
        <f>IF($F585="","",IFERROR(INDEX(사건마스터!$AH$5:$AH$64,MATCH($F585,사건마스터!$A$5:$A$64,0)),""))</f>
        <v/>
      </c>
      <c r="L585" s="136">
        <f>IF($F585="","",IFERROR(INDEX(사건마스터!$AI$5:$AI$64,MATCH($F585,사건마스터!$A$5:$A$64,0)),""))</f>
        <v/>
      </c>
      <c r="M585" s="136">
        <f>IF($F585="","",IFERROR(INDEX(사건마스터!$AJ$5:$AJ$64,MATCH($F585,사건마스터!$A$5:$A$64,0)),""))</f>
        <v/>
      </c>
      <c r="N585" s="136">
        <f>IF($F585="","",IFERROR(INDEX(사건마스터!$AK$5:$AK$64,MATCH($F585,사건마스터!$A$5:$A$64,0)),""))</f>
        <v/>
      </c>
      <c r="O585" s="136">
        <f>IF($F585="","",IFERROR(INDEX(사건마스터!$AL$5:$AL$64,MATCH($F585,사건마스터!$A$5:$A$64,0)),""))</f>
        <v/>
      </c>
      <c r="P585" s="136">
        <f>IF($F585="","",IFERROR(INDEX(사건마스터!$AM$5:$AM$64,MATCH($F585,사건마스터!$A$5:$A$64,0)),""))</f>
        <v/>
      </c>
      <c r="Q585" s="136">
        <f>IF($F585="","",IFERROR(INDEX(사건마스터!$AN$5:$AN$64,MATCH($F585,사건마스터!$A$5:$A$64,0)),""))</f>
        <v/>
      </c>
      <c r="R585" s="136">
        <f>IF($F585="","",IFERROR(INDEX(사건마스터!$AO$5:$AO$64,MATCH($F585,사건마스터!$A$5:$A$64,0)),""))</f>
        <v/>
      </c>
      <c r="S585" s="136">
        <f>IF($F585="","",IFERROR(INDEX(사건마스터!$AP$5:$AP$64,MATCH($F585,사건마스터!$A$5:$A$64,0)),""))</f>
        <v/>
      </c>
      <c r="T585" s="136">
        <f>IF($F585="","",IFERROR(INDEX(사건마스터!$AQ$5:$AQ$64,MATCH($F585,사건마스터!$A$5:$A$64,0)),""))</f>
        <v/>
      </c>
      <c r="U585" s="136">
        <f>IF($F585="","",IFERROR(INDEX(사건마스터!$AR$5:$AR$64,MATCH($F585,사건마스터!$A$5:$A$64,0)),""))</f>
        <v/>
      </c>
      <c r="V585" s="136">
        <f>IF($F585="","",IFERROR(INDEX(사건마스터!$AS$5:$AS$64,MATCH($F585,사건마스터!$A$5:$A$64,0)),""))</f>
        <v/>
      </c>
      <c r="W585" s="136">
        <f>IF($F585="","",IFERROR(INDEX(사건마스터!$AT$5:$AT$64,MATCH($F585,사건마스터!$A$5:$A$64,0)),""))</f>
        <v/>
      </c>
      <c r="X585" s="136">
        <f>IF($F585="","",IFERROR(INDEX(사건마스터!$AU$5:$AU$64,MATCH($F585,사건마스터!$A$5:$A$64,0)),""))</f>
        <v/>
      </c>
      <c r="Y585" s="136">
        <f>IF($F585="","",IFERROR(INDEX(사건마스터!$AV$5:$AV$64,MATCH($F585,사건마스터!$A$5:$A$64,0)),""))</f>
        <v/>
      </c>
      <c r="Z585" s="118">
        <f>IF(COUNTBLANK($J585:$Y585)=16,"",16-COUNTBLANK($J585:$Y585))</f>
        <v/>
      </c>
      <c r="AA585" s="33">
        <f>IF($J585="",MID($AX585,3,255),$J585&amp;$AX585)</f>
        <v/>
      </c>
      <c r="AB585" s="130">
        <f>IF($J585="","",IFERROR(INDEX(코드설정!$D$5:$D$24,MATCH($J585,코드설정!$C$5:$C$24,0)),""))</f>
        <v/>
      </c>
      <c r="AC585" s="36" t="n"/>
      <c r="AD585" s="37" t="n"/>
      <c r="AE585" s="38" t="n"/>
      <c r="AF585" s="118">
        <f>IF(OR($B585="",$C585=""),"",$C585-$B585+1)</f>
        <v/>
      </c>
      <c r="AG585" s="74" t="n"/>
      <c r="AH585" s="36" t="n"/>
      <c r="AJ585">
        <f>IF($K585="","",", "&amp;$K585)</f>
        <v/>
      </c>
      <c r="AK585">
        <f>AJ585&amp;IF($L585="","",", "&amp;$L585)</f>
        <v/>
      </c>
      <c r="AL585">
        <f>AK585&amp;IF($M585="","",", "&amp;$M585)</f>
        <v/>
      </c>
      <c r="AM585">
        <f>AL585&amp;IF($N585="","",", "&amp;$N585)</f>
        <v/>
      </c>
      <c r="AN585">
        <f>AM585&amp;IF($O585="","",", "&amp;$O585)</f>
        <v/>
      </c>
      <c r="AO585">
        <f>AN585&amp;IF($P585="","",", "&amp;$P585)</f>
        <v/>
      </c>
      <c r="AP585">
        <f>AO585&amp;IF($Q585="","",", "&amp;$Q585)</f>
        <v/>
      </c>
      <c r="AQ585">
        <f>AP585&amp;IF($R585="","",", "&amp;$R585)</f>
        <v/>
      </c>
      <c r="AR585">
        <f>AQ585&amp;IF($S585="","",", "&amp;$S585)</f>
        <v/>
      </c>
      <c r="AS585">
        <f>AR585&amp;IF($T585="","",", "&amp;$T585)</f>
        <v/>
      </c>
      <c r="AT585">
        <f>AS585&amp;IF($U585="","",", "&amp;$U585)</f>
        <v/>
      </c>
      <c r="AU585">
        <f>AT585&amp;IF($V585="","",", "&amp;$V585)</f>
        <v/>
      </c>
      <c r="AV585">
        <f>AU585&amp;IF($W585="","",", "&amp;$W585)</f>
        <v/>
      </c>
      <c r="AW585">
        <f>AV585&amp;IF($X585="","",", "&amp;$X585)</f>
        <v/>
      </c>
      <c r="AX585">
        <f>AW585&amp;IF($Y585="","",", "&amp;$Y585)</f>
        <v/>
      </c>
    </row>
    <row r="586">
      <c r="A586" s="118">
        <f>IF($B586="","",COUNT($B$5:$B586))</f>
        <v/>
      </c>
      <c r="B586" s="80" t="n"/>
      <c r="C586" s="80" t="n"/>
      <c r="D586" s="74" t="n"/>
      <c r="E586" s="74" t="n"/>
      <c r="F586" s="74" t="n"/>
      <c r="G586" s="118">
        <f>IF($F586="","",COUNTIF($F$5:$F586,$F586))</f>
        <v/>
      </c>
      <c r="H586" s="33">
        <f>IF($F586="","",IFERROR(INDEX(사건마스터!$B$5:$B$64,MATCH($F586,사건마스터!$A$5:$A$64,0)),""))</f>
        <v/>
      </c>
      <c r="I586" s="130">
        <f>IF($F586="","",IFERROR(INDEX(사건마스터!$C$5:$C$64,MATCH($F586,사건마스터!$A$5:$A$64,0)),""))</f>
        <v/>
      </c>
      <c r="J586" s="136">
        <f>IF($F586="","",IFERROR(INDEX(사건마스터!$H$5:$H$64,MATCH($F586,사건마스터!$A$5:$A$64,0)),""))</f>
        <v/>
      </c>
      <c r="K586" s="136">
        <f>IF($F586="","",IFERROR(INDEX(사건마스터!$AH$5:$AH$64,MATCH($F586,사건마스터!$A$5:$A$64,0)),""))</f>
        <v/>
      </c>
      <c r="L586" s="136">
        <f>IF($F586="","",IFERROR(INDEX(사건마스터!$AI$5:$AI$64,MATCH($F586,사건마스터!$A$5:$A$64,0)),""))</f>
        <v/>
      </c>
      <c r="M586" s="136">
        <f>IF($F586="","",IFERROR(INDEX(사건마스터!$AJ$5:$AJ$64,MATCH($F586,사건마스터!$A$5:$A$64,0)),""))</f>
        <v/>
      </c>
      <c r="N586" s="136">
        <f>IF($F586="","",IFERROR(INDEX(사건마스터!$AK$5:$AK$64,MATCH($F586,사건마스터!$A$5:$A$64,0)),""))</f>
        <v/>
      </c>
      <c r="O586" s="136">
        <f>IF($F586="","",IFERROR(INDEX(사건마스터!$AL$5:$AL$64,MATCH($F586,사건마스터!$A$5:$A$64,0)),""))</f>
        <v/>
      </c>
      <c r="P586" s="136">
        <f>IF($F586="","",IFERROR(INDEX(사건마스터!$AM$5:$AM$64,MATCH($F586,사건마스터!$A$5:$A$64,0)),""))</f>
        <v/>
      </c>
      <c r="Q586" s="136">
        <f>IF($F586="","",IFERROR(INDEX(사건마스터!$AN$5:$AN$64,MATCH($F586,사건마스터!$A$5:$A$64,0)),""))</f>
        <v/>
      </c>
      <c r="R586" s="136">
        <f>IF($F586="","",IFERROR(INDEX(사건마스터!$AO$5:$AO$64,MATCH($F586,사건마스터!$A$5:$A$64,0)),""))</f>
        <v/>
      </c>
      <c r="S586" s="136">
        <f>IF($F586="","",IFERROR(INDEX(사건마스터!$AP$5:$AP$64,MATCH($F586,사건마스터!$A$5:$A$64,0)),""))</f>
        <v/>
      </c>
      <c r="T586" s="136">
        <f>IF($F586="","",IFERROR(INDEX(사건마스터!$AQ$5:$AQ$64,MATCH($F586,사건마스터!$A$5:$A$64,0)),""))</f>
        <v/>
      </c>
      <c r="U586" s="136">
        <f>IF($F586="","",IFERROR(INDEX(사건마스터!$AR$5:$AR$64,MATCH($F586,사건마스터!$A$5:$A$64,0)),""))</f>
        <v/>
      </c>
      <c r="V586" s="136">
        <f>IF($F586="","",IFERROR(INDEX(사건마스터!$AS$5:$AS$64,MATCH($F586,사건마스터!$A$5:$A$64,0)),""))</f>
        <v/>
      </c>
      <c r="W586" s="136">
        <f>IF($F586="","",IFERROR(INDEX(사건마스터!$AT$5:$AT$64,MATCH($F586,사건마스터!$A$5:$A$64,0)),""))</f>
        <v/>
      </c>
      <c r="X586" s="136">
        <f>IF($F586="","",IFERROR(INDEX(사건마스터!$AU$5:$AU$64,MATCH($F586,사건마스터!$A$5:$A$64,0)),""))</f>
        <v/>
      </c>
      <c r="Y586" s="136">
        <f>IF($F586="","",IFERROR(INDEX(사건마스터!$AV$5:$AV$64,MATCH($F586,사건마스터!$A$5:$A$64,0)),""))</f>
        <v/>
      </c>
      <c r="Z586" s="118">
        <f>IF(COUNTBLANK($J586:$Y586)=16,"",16-COUNTBLANK($J586:$Y586))</f>
        <v/>
      </c>
      <c r="AA586" s="33">
        <f>IF($J586="",MID($AX586,3,255),$J586&amp;$AX586)</f>
        <v/>
      </c>
      <c r="AB586" s="130">
        <f>IF($J586="","",IFERROR(INDEX(코드설정!$D$5:$D$24,MATCH($J586,코드설정!$C$5:$C$24,0)),""))</f>
        <v/>
      </c>
      <c r="AC586" s="36" t="n"/>
      <c r="AD586" s="37" t="n"/>
      <c r="AE586" s="38" t="n"/>
      <c r="AF586" s="118">
        <f>IF(OR($B586="",$C586=""),"",$C586-$B586+1)</f>
        <v/>
      </c>
      <c r="AG586" s="74" t="n"/>
      <c r="AH586" s="36" t="n"/>
      <c r="AJ586">
        <f>IF($K586="","",", "&amp;$K586)</f>
        <v/>
      </c>
      <c r="AK586">
        <f>AJ586&amp;IF($L586="","",", "&amp;$L586)</f>
        <v/>
      </c>
      <c r="AL586">
        <f>AK586&amp;IF($M586="","",", "&amp;$M586)</f>
        <v/>
      </c>
      <c r="AM586">
        <f>AL586&amp;IF($N586="","",", "&amp;$N586)</f>
        <v/>
      </c>
      <c r="AN586">
        <f>AM586&amp;IF($O586="","",", "&amp;$O586)</f>
        <v/>
      </c>
      <c r="AO586">
        <f>AN586&amp;IF($P586="","",", "&amp;$P586)</f>
        <v/>
      </c>
      <c r="AP586">
        <f>AO586&amp;IF($Q586="","",", "&amp;$Q586)</f>
        <v/>
      </c>
      <c r="AQ586">
        <f>AP586&amp;IF($R586="","",", "&amp;$R586)</f>
        <v/>
      </c>
      <c r="AR586">
        <f>AQ586&amp;IF($S586="","",", "&amp;$S586)</f>
        <v/>
      </c>
      <c r="AS586">
        <f>AR586&amp;IF($T586="","",", "&amp;$T586)</f>
        <v/>
      </c>
      <c r="AT586">
        <f>AS586&amp;IF($U586="","",", "&amp;$U586)</f>
        <v/>
      </c>
      <c r="AU586">
        <f>AT586&amp;IF($V586="","",", "&amp;$V586)</f>
        <v/>
      </c>
      <c r="AV586">
        <f>AU586&amp;IF($W586="","",", "&amp;$W586)</f>
        <v/>
      </c>
      <c r="AW586">
        <f>AV586&amp;IF($X586="","",", "&amp;$X586)</f>
        <v/>
      </c>
      <c r="AX586">
        <f>AW586&amp;IF($Y586="","",", "&amp;$Y586)</f>
        <v/>
      </c>
    </row>
    <row r="587">
      <c r="A587" s="118">
        <f>IF($B587="","",COUNT($B$5:$B587))</f>
        <v/>
      </c>
      <c r="B587" s="80" t="n"/>
      <c r="C587" s="80" t="n"/>
      <c r="D587" s="74" t="n"/>
      <c r="E587" s="74" t="n"/>
      <c r="F587" s="74" t="n"/>
      <c r="G587" s="118">
        <f>IF($F587="","",COUNTIF($F$5:$F587,$F587))</f>
        <v/>
      </c>
      <c r="H587" s="33">
        <f>IF($F587="","",IFERROR(INDEX(사건마스터!$B$5:$B$64,MATCH($F587,사건마스터!$A$5:$A$64,0)),""))</f>
        <v/>
      </c>
      <c r="I587" s="130">
        <f>IF($F587="","",IFERROR(INDEX(사건마스터!$C$5:$C$64,MATCH($F587,사건마스터!$A$5:$A$64,0)),""))</f>
        <v/>
      </c>
      <c r="J587" s="136">
        <f>IF($F587="","",IFERROR(INDEX(사건마스터!$H$5:$H$64,MATCH($F587,사건마스터!$A$5:$A$64,0)),""))</f>
        <v/>
      </c>
      <c r="K587" s="136">
        <f>IF($F587="","",IFERROR(INDEX(사건마스터!$AH$5:$AH$64,MATCH($F587,사건마스터!$A$5:$A$64,0)),""))</f>
        <v/>
      </c>
      <c r="L587" s="136">
        <f>IF($F587="","",IFERROR(INDEX(사건마스터!$AI$5:$AI$64,MATCH($F587,사건마스터!$A$5:$A$64,0)),""))</f>
        <v/>
      </c>
      <c r="M587" s="136">
        <f>IF($F587="","",IFERROR(INDEX(사건마스터!$AJ$5:$AJ$64,MATCH($F587,사건마스터!$A$5:$A$64,0)),""))</f>
        <v/>
      </c>
      <c r="N587" s="136">
        <f>IF($F587="","",IFERROR(INDEX(사건마스터!$AK$5:$AK$64,MATCH($F587,사건마스터!$A$5:$A$64,0)),""))</f>
        <v/>
      </c>
      <c r="O587" s="136">
        <f>IF($F587="","",IFERROR(INDEX(사건마스터!$AL$5:$AL$64,MATCH($F587,사건마스터!$A$5:$A$64,0)),""))</f>
        <v/>
      </c>
      <c r="P587" s="136">
        <f>IF($F587="","",IFERROR(INDEX(사건마스터!$AM$5:$AM$64,MATCH($F587,사건마스터!$A$5:$A$64,0)),""))</f>
        <v/>
      </c>
      <c r="Q587" s="136">
        <f>IF($F587="","",IFERROR(INDEX(사건마스터!$AN$5:$AN$64,MATCH($F587,사건마스터!$A$5:$A$64,0)),""))</f>
        <v/>
      </c>
      <c r="R587" s="136">
        <f>IF($F587="","",IFERROR(INDEX(사건마스터!$AO$5:$AO$64,MATCH($F587,사건마스터!$A$5:$A$64,0)),""))</f>
        <v/>
      </c>
      <c r="S587" s="136">
        <f>IF($F587="","",IFERROR(INDEX(사건마스터!$AP$5:$AP$64,MATCH($F587,사건마스터!$A$5:$A$64,0)),""))</f>
        <v/>
      </c>
      <c r="T587" s="136">
        <f>IF($F587="","",IFERROR(INDEX(사건마스터!$AQ$5:$AQ$64,MATCH($F587,사건마스터!$A$5:$A$64,0)),""))</f>
        <v/>
      </c>
      <c r="U587" s="136">
        <f>IF($F587="","",IFERROR(INDEX(사건마스터!$AR$5:$AR$64,MATCH($F587,사건마스터!$A$5:$A$64,0)),""))</f>
        <v/>
      </c>
      <c r="V587" s="136">
        <f>IF($F587="","",IFERROR(INDEX(사건마스터!$AS$5:$AS$64,MATCH($F587,사건마스터!$A$5:$A$64,0)),""))</f>
        <v/>
      </c>
      <c r="W587" s="136">
        <f>IF($F587="","",IFERROR(INDEX(사건마스터!$AT$5:$AT$64,MATCH($F587,사건마스터!$A$5:$A$64,0)),""))</f>
        <v/>
      </c>
      <c r="X587" s="136">
        <f>IF($F587="","",IFERROR(INDEX(사건마스터!$AU$5:$AU$64,MATCH($F587,사건마스터!$A$5:$A$64,0)),""))</f>
        <v/>
      </c>
      <c r="Y587" s="136">
        <f>IF($F587="","",IFERROR(INDEX(사건마스터!$AV$5:$AV$64,MATCH($F587,사건마스터!$A$5:$A$64,0)),""))</f>
        <v/>
      </c>
      <c r="Z587" s="118">
        <f>IF(COUNTBLANK($J587:$Y587)=16,"",16-COUNTBLANK($J587:$Y587))</f>
        <v/>
      </c>
      <c r="AA587" s="33">
        <f>IF($J587="",MID($AX587,3,255),$J587&amp;$AX587)</f>
        <v/>
      </c>
      <c r="AB587" s="130">
        <f>IF($J587="","",IFERROR(INDEX(코드설정!$D$5:$D$24,MATCH($J587,코드설정!$C$5:$C$24,0)),""))</f>
        <v/>
      </c>
      <c r="AC587" s="36" t="n"/>
      <c r="AD587" s="37" t="n"/>
      <c r="AE587" s="38" t="n"/>
      <c r="AF587" s="118">
        <f>IF(OR($B587="",$C587=""),"",$C587-$B587+1)</f>
        <v/>
      </c>
      <c r="AG587" s="74" t="n"/>
      <c r="AH587" s="36" t="n"/>
      <c r="AJ587">
        <f>IF($K587="","",", "&amp;$K587)</f>
        <v/>
      </c>
      <c r="AK587">
        <f>AJ587&amp;IF($L587="","",", "&amp;$L587)</f>
        <v/>
      </c>
      <c r="AL587">
        <f>AK587&amp;IF($M587="","",", "&amp;$M587)</f>
        <v/>
      </c>
      <c r="AM587">
        <f>AL587&amp;IF($N587="","",", "&amp;$N587)</f>
        <v/>
      </c>
      <c r="AN587">
        <f>AM587&amp;IF($O587="","",", "&amp;$O587)</f>
        <v/>
      </c>
      <c r="AO587">
        <f>AN587&amp;IF($P587="","",", "&amp;$P587)</f>
        <v/>
      </c>
      <c r="AP587">
        <f>AO587&amp;IF($Q587="","",", "&amp;$Q587)</f>
        <v/>
      </c>
      <c r="AQ587">
        <f>AP587&amp;IF($R587="","",", "&amp;$R587)</f>
        <v/>
      </c>
      <c r="AR587">
        <f>AQ587&amp;IF($S587="","",", "&amp;$S587)</f>
        <v/>
      </c>
      <c r="AS587">
        <f>AR587&amp;IF($T587="","",", "&amp;$T587)</f>
        <v/>
      </c>
      <c r="AT587">
        <f>AS587&amp;IF($U587="","",", "&amp;$U587)</f>
        <v/>
      </c>
      <c r="AU587">
        <f>AT587&amp;IF($V587="","",", "&amp;$V587)</f>
        <v/>
      </c>
      <c r="AV587">
        <f>AU587&amp;IF($W587="","",", "&amp;$W587)</f>
        <v/>
      </c>
      <c r="AW587">
        <f>AV587&amp;IF($X587="","",", "&amp;$X587)</f>
        <v/>
      </c>
      <c r="AX587">
        <f>AW587&amp;IF($Y587="","",", "&amp;$Y587)</f>
        <v/>
      </c>
    </row>
    <row r="588">
      <c r="A588" s="118">
        <f>IF($B588="","",COUNT($B$5:$B588))</f>
        <v/>
      </c>
      <c r="B588" s="80" t="n"/>
      <c r="C588" s="80" t="n"/>
      <c r="D588" s="74" t="n"/>
      <c r="E588" s="74" t="n"/>
      <c r="F588" s="74" t="n"/>
      <c r="G588" s="118">
        <f>IF($F588="","",COUNTIF($F$5:$F588,$F588))</f>
        <v/>
      </c>
      <c r="H588" s="33">
        <f>IF($F588="","",IFERROR(INDEX(사건마스터!$B$5:$B$64,MATCH($F588,사건마스터!$A$5:$A$64,0)),""))</f>
        <v/>
      </c>
      <c r="I588" s="130">
        <f>IF($F588="","",IFERROR(INDEX(사건마스터!$C$5:$C$64,MATCH($F588,사건마스터!$A$5:$A$64,0)),""))</f>
        <v/>
      </c>
      <c r="J588" s="136">
        <f>IF($F588="","",IFERROR(INDEX(사건마스터!$H$5:$H$64,MATCH($F588,사건마스터!$A$5:$A$64,0)),""))</f>
        <v/>
      </c>
      <c r="K588" s="136">
        <f>IF($F588="","",IFERROR(INDEX(사건마스터!$AH$5:$AH$64,MATCH($F588,사건마스터!$A$5:$A$64,0)),""))</f>
        <v/>
      </c>
      <c r="L588" s="136">
        <f>IF($F588="","",IFERROR(INDEX(사건마스터!$AI$5:$AI$64,MATCH($F588,사건마스터!$A$5:$A$64,0)),""))</f>
        <v/>
      </c>
      <c r="M588" s="136">
        <f>IF($F588="","",IFERROR(INDEX(사건마스터!$AJ$5:$AJ$64,MATCH($F588,사건마스터!$A$5:$A$64,0)),""))</f>
        <v/>
      </c>
      <c r="N588" s="136">
        <f>IF($F588="","",IFERROR(INDEX(사건마스터!$AK$5:$AK$64,MATCH($F588,사건마스터!$A$5:$A$64,0)),""))</f>
        <v/>
      </c>
      <c r="O588" s="136">
        <f>IF($F588="","",IFERROR(INDEX(사건마스터!$AL$5:$AL$64,MATCH($F588,사건마스터!$A$5:$A$64,0)),""))</f>
        <v/>
      </c>
      <c r="P588" s="136">
        <f>IF($F588="","",IFERROR(INDEX(사건마스터!$AM$5:$AM$64,MATCH($F588,사건마스터!$A$5:$A$64,0)),""))</f>
        <v/>
      </c>
      <c r="Q588" s="136">
        <f>IF($F588="","",IFERROR(INDEX(사건마스터!$AN$5:$AN$64,MATCH($F588,사건마스터!$A$5:$A$64,0)),""))</f>
        <v/>
      </c>
      <c r="R588" s="136">
        <f>IF($F588="","",IFERROR(INDEX(사건마스터!$AO$5:$AO$64,MATCH($F588,사건마스터!$A$5:$A$64,0)),""))</f>
        <v/>
      </c>
      <c r="S588" s="136">
        <f>IF($F588="","",IFERROR(INDEX(사건마스터!$AP$5:$AP$64,MATCH($F588,사건마스터!$A$5:$A$64,0)),""))</f>
        <v/>
      </c>
      <c r="T588" s="136">
        <f>IF($F588="","",IFERROR(INDEX(사건마스터!$AQ$5:$AQ$64,MATCH($F588,사건마스터!$A$5:$A$64,0)),""))</f>
        <v/>
      </c>
      <c r="U588" s="136">
        <f>IF($F588="","",IFERROR(INDEX(사건마스터!$AR$5:$AR$64,MATCH($F588,사건마스터!$A$5:$A$64,0)),""))</f>
        <v/>
      </c>
      <c r="V588" s="136">
        <f>IF($F588="","",IFERROR(INDEX(사건마스터!$AS$5:$AS$64,MATCH($F588,사건마스터!$A$5:$A$64,0)),""))</f>
        <v/>
      </c>
      <c r="W588" s="136">
        <f>IF($F588="","",IFERROR(INDEX(사건마스터!$AT$5:$AT$64,MATCH($F588,사건마스터!$A$5:$A$64,0)),""))</f>
        <v/>
      </c>
      <c r="X588" s="136">
        <f>IF($F588="","",IFERROR(INDEX(사건마스터!$AU$5:$AU$64,MATCH($F588,사건마스터!$A$5:$A$64,0)),""))</f>
        <v/>
      </c>
      <c r="Y588" s="136">
        <f>IF($F588="","",IFERROR(INDEX(사건마스터!$AV$5:$AV$64,MATCH($F588,사건마스터!$A$5:$A$64,0)),""))</f>
        <v/>
      </c>
      <c r="Z588" s="118">
        <f>IF(COUNTBLANK($J588:$Y588)=16,"",16-COUNTBLANK($J588:$Y588))</f>
        <v/>
      </c>
      <c r="AA588" s="33">
        <f>IF($J588="",MID($AX588,3,255),$J588&amp;$AX588)</f>
        <v/>
      </c>
      <c r="AB588" s="130">
        <f>IF($J588="","",IFERROR(INDEX(코드설정!$D$5:$D$24,MATCH($J588,코드설정!$C$5:$C$24,0)),""))</f>
        <v/>
      </c>
      <c r="AC588" s="36" t="n"/>
      <c r="AD588" s="37" t="n"/>
      <c r="AE588" s="38" t="n"/>
      <c r="AF588" s="118">
        <f>IF(OR($B588="",$C588=""),"",$C588-$B588+1)</f>
        <v/>
      </c>
      <c r="AG588" s="74" t="n"/>
      <c r="AH588" s="36" t="n"/>
      <c r="AJ588">
        <f>IF($K588="","",", "&amp;$K588)</f>
        <v/>
      </c>
      <c r="AK588">
        <f>AJ588&amp;IF($L588="","",", "&amp;$L588)</f>
        <v/>
      </c>
      <c r="AL588">
        <f>AK588&amp;IF($M588="","",", "&amp;$M588)</f>
        <v/>
      </c>
      <c r="AM588">
        <f>AL588&amp;IF($N588="","",", "&amp;$N588)</f>
        <v/>
      </c>
      <c r="AN588">
        <f>AM588&amp;IF($O588="","",", "&amp;$O588)</f>
        <v/>
      </c>
      <c r="AO588">
        <f>AN588&amp;IF($P588="","",", "&amp;$P588)</f>
        <v/>
      </c>
      <c r="AP588">
        <f>AO588&amp;IF($Q588="","",", "&amp;$Q588)</f>
        <v/>
      </c>
      <c r="AQ588">
        <f>AP588&amp;IF($R588="","",", "&amp;$R588)</f>
        <v/>
      </c>
      <c r="AR588">
        <f>AQ588&amp;IF($S588="","",", "&amp;$S588)</f>
        <v/>
      </c>
      <c r="AS588">
        <f>AR588&amp;IF($T588="","",", "&amp;$T588)</f>
        <v/>
      </c>
      <c r="AT588">
        <f>AS588&amp;IF($U588="","",", "&amp;$U588)</f>
        <v/>
      </c>
      <c r="AU588">
        <f>AT588&amp;IF($V588="","",", "&amp;$V588)</f>
        <v/>
      </c>
      <c r="AV588">
        <f>AU588&amp;IF($W588="","",", "&amp;$W588)</f>
        <v/>
      </c>
      <c r="AW588">
        <f>AV588&amp;IF($X588="","",", "&amp;$X588)</f>
        <v/>
      </c>
      <c r="AX588">
        <f>AW588&amp;IF($Y588="","",", "&amp;$Y588)</f>
        <v/>
      </c>
    </row>
    <row r="589">
      <c r="A589" s="118">
        <f>IF($B589="","",COUNT($B$5:$B589))</f>
        <v/>
      </c>
      <c r="B589" s="80" t="n"/>
      <c r="C589" s="80" t="n"/>
      <c r="D589" s="74" t="n"/>
      <c r="E589" s="74" t="n"/>
      <c r="F589" s="74" t="n"/>
      <c r="G589" s="118">
        <f>IF($F589="","",COUNTIF($F$5:$F589,$F589))</f>
        <v/>
      </c>
      <c r="H589" s="33">
        <f>IF($F589="","",IFERROR(INDEX(사건마스터!$B$5:$B$64,MATCH($F589,사건마스터!$A$5:$A$64,0)),""))</f>
        <v/>
      </c>
      <c r="I589" s="130">
        <f>IF($F589="","",IFERROR(INDEX(사건마스터!$C$5:$C$64,MATCH($F589,사건마스터!$A$5:$A$64,0)),""))</f>
        <v/>
      </c>
      <c r="J589" s="136">
        <f>IF($F589="","",IFERROR(INDEX(사건마스터!$H$5:$H$64,MATCH($F589,사건마스터!$A$5:$A$64,0)),""))</f>
        <v/>
      </c>
      <c r="K589" s="136">
        <f>IF($F589="","",IFERROR(INDEX(사건마스터!$AH$5:$AH$64,MATCH($F589,사건마스터!$A$5:$A$64,0)),""))</f>
        <v/>
      </c>
      <c r="L589" s="136">
        <f>IF($F589="","",IFERROR(INDEX(사건마스터!$AI$5:$AI$64,MATCH($F589,사건마스터!$A$5:$A$64,0)),""))</f>
        <v/>
      </c>
      <c r="M589" s="136">
        <f>IF($F589="","",IFERROR(INDEX(사건마스터!$AJ$5:$AJ$64,MATCH($F589,사건마스터!$A$5:$A$64,0)),""))</f>
        <v/>
      </c>
      <c r="N589" s="136">
        <f>IF($F589="","",IFERROR(INDEX(사건마스터!$AK$5:$AK$64,MATCH($F589,사건마스터!$A$5:$A$64,0)),""))</f>
        <v/>
      </c>
      <c r="O589" s="136">
        <f>IF($F589="","",IFERROR(INDEX(사건마스터!$AL$5:$AL$64,MATCH($F589,사건마스터!$A$5:$A$64,0)),""))</f>
        <v/>
      </c>
      <c r="P589" s="136">
        <f>IF($F589="","",IFERROR(INDEX(사건마스터!$AM$5:$AM$64,MATCH($F589,사건마스터!$A$5:$A$64,0)),""))</f>
        <v/>
      </c>
      <c r="Q589" s="136">
        <f>IF($F589="","",IFERROR(INDEX(사건마스터!$AN$5:$AN$64,MATCH($F589,사건마스터!$A$5:$A$64,0)),""))</f>
        <v/>
      </c>
      <c r="R589" s="136">
        <f>IF($F589="","",IFERROR(INDEX(사건마스터!$AO$5:$AO$64,MATCH($F589,사건마스터!$A$5:$A$64,0)),""))</f>
        <v/>
      </c>
      <c r="S589" s="136">
        <f>IF($F589="","",IFERROR(INDEX(사건마스터!$AP$5:$AP$64,MATCH($F589,사건마스터!$A$5:$A$64,0)),""))</f>
        <v/>
      </c>
      <c r="T589" s="136">
        <f>IF($F589="","",IFERROR(INDEX(사건마스터!$AQ$5:$AQ$64,MATCH($F589,사건마스터!$A$5:$A$64,0)),""))</f>
        <v/>
      </c>
      <c r="U589" s="136">
        <f>IF($F589="","",IFERROR(INDEX(사건마스터!$AR$5:$AR$64,MATCH($F589,사건마스터!$A$5:$A$64,0)),""))</f>
        <v/>
      </c>
      <c r="V589" s="136">
        <f>IF($F589="","",IFERROR(INDEX(사건마스터!$AS$5:$AS$64,MATCH($F589,사건마스터!$A$5:$A$64,0)),""))</f>
        <v/>
      </c>
      <c r="W589" s="136">
        <f>IF($F589="","",IFERROR(INDEX(사건마스터!$AT$5:$AT$64,MATCH($F589,사건마스터!$A$5:$A$64,0)),""))</f>
        <v/>
      </c>
      <c r="X589" s="136">
        <f>IF($F589="","",IFERROR(INDEX(사건마스터!$AU$5:$AU$64,MATCH($F589,사건마스터!$A$5:$A$64,0)),""))</f>
        <v/>
      </c>
      <c r="Y589" s="136">
        <f>IF($F589="","",IFERROR(INDEX(사건마스터!$AV$5:$AV$64,MATCH($F589,사건마스터!$A$5:$A$64,0)),""))</f>
        <v/>
      </c>
      <c r="Z589" s="118">
        <f>IF(COUNTBLANK($J589:$Y589)=16,"",16-COUNTBLANK($J589:$Y589))</f>
        <v/>
      </c>
      <c r="AA589" s="33">
        <f>IF($J589="",MID($AX589,3,255),$J589&amp;$AX589)</f>
        <v/>
      </c>
      <c r="AB589" s="130">
        <f>IF($J589="","",IFERROR(INDEX(코드설정!$D$5:$D$24,MATCH($J589,코드설정!$C$5:$C$24,0)),""))</f>
        <v/>
      </c>
      <c r="AC589" s="36" t="n"/>
      <c r="AD589" s="37" t="n"/>
      <c r="AE589" s="38" t="n"/>
      <c r="AF589" s="118">
        <f>IF(OR($B589="",$C589=""),"",$C589-$B589+1)</f>
        <v/>
      </c>
      <c r="AG589" s="74" t="n"/>
      <c r="AH589" s="36" t="n"/>
      <c r="AJ589">
        <f>IF($K589="","",", "&amp;$K589)</f>
        <v/>
      </c>
      <c r="AK589">
        <f>AJ589&amp;IF($L589="","",", "&amp;$L589)</f>
        <v/>
      </c>
      <c r="AL589">
        <f>AK589&amp;IF($M589="","",", "&amp;$M589)</f>
        <v/>
      </c>
      <c r="AM589">
        <f>AL589&amp;IF($N589="","",", "&amp;$N589)</f>
        <v/>
      </c>
      <c r="AN589">
        <f>AM589&amp;IF($O589="","",", "&amp;$O589)</f>
        <v/>
      </c>
      <c r="AO589">
        <f>AN589&amp;IF($P589="","",", "&amp;$P589)</f>
        <v/>
      </c>
      <c r="AP589">
        <f>AO589&amp;IF($Q589="","",", "&amp;$Q589)</f>
        <v/>
      </c>
      <c r="AQ589">
        <f>AP589&amp;IF($R589="","",", "&amp;$R589)</f>
        <v/>
      </c>
      <c r="AR589">
        <f>AQ589&amp;IF($S589="","",", "&amp;$S589)</f>
        <v/>
      </c>
      <c r="AS589">
        <f>AR589&amp;IF($T589="","",", "&amp;$T589)</f>
        <v/>
      </c>
      <c r="AT589">
        <f>AS589&amp;IF($U589="","",", "&amp;$U589)</f>
        <v/>
      </c>
      <c r="AU589">
        <f>AT589&amp;IF($V589="","",", "&amp;$V589)</f>
        <v/>
      </c>
      <c r="AV589">
        <f>AU589&amp;IF($W589="","",", "&amp;$W589)</f>
        <v/>
      </c>
      <c r="AW589">
        <f>AV589&amp;IF($X589="","",", "&amp;$X589)</f>
        <v/>
      </c>
      <c r="AX589">
        <f>AW589&amp;IF($Y589="","",", "&amp;$Y589)</f>
        <v/>
      </c>
    </row>
    <row r="590">
      <c r="A590" s="118">
        <f>IF($B590="","",COUNT($B$5:$B590))</f>
        <v/>
      </c>
      <c r="B590" s="80" t="n"/>
      <c r="C590" s="80" t="n"/>
      <c r="D590" s="74" t="n"/>
      <c r="E590" s="74" t="n"/>
      <c r="F590" s="74" t="n"/>
      <c r="G590" s="118">
        <f>IF($F590="","",COUNTIF($F$5:$F590,$F590))</f>
        <v/>
      </c>
      <c r="H590" s="33">
        <f>IF($F590="","",IFERROR(INDEX(사건마스터!$B$5:$B$64,MATCH($F590,사건마스터!$A$5:$A$64,0)),""))</f>
        <v/>
      </c>
      <c r="I590" s="130">
        <f>IF($F590="","",IFERROR(INDEX(사건마스터!$C$5:$C$64,MATCH($F590,사건마스터!$A$5:$A$64,0)),""))</f>
        <v/>
      </c>
      <c r="J590" s="136">
        <f>IF($F590="","",IFERROR(INDEX(사건마스터!$H$5:$H$64,MATCH($F590,사건마스터!$A$5:$A$64,0)),""))</f>
        <v/>
      </c>
      <c r="K590" s="136">
        <f>IF($F590="","",IFERROR(INDEX(사건마스터!$AH$5:$AH$64,MATCH($F590,사건마스터!$A$5:$A$64,0)),""))</f>
        <v/>
      </c>
      <c r="L590" s="136">
        <f>IF($F590="","",IFERROR(INDEX(사건마스터!$AI$5:$AI$64,MATCH($F590,사건마스터!$A$5:$A$64,0)),""))</f>
        <v/>
      </c>
      <c r="M590" s="136">
        <f>IF($F590="","",IFERROR(INDEX(사건마스터!$AJ$5:$AJ$64,MATCH($F590,사건마스터!$A$5:$A$64,0)),""))</f>
        <v/>
      </c>
      <c r="N590" s="136">
        <f>IF($F590="","",IFERROR(INDEX(사건마스터!$AK$5:$AK$64,MATCH($F590,사건마스터!$A$5:$A$64,0)),""))</f>
        <v/>
      </c>
      <c r="O590" s="136">
        <f>IF($F590="","",IFERROR(INDEX(사건마스터!$AL$5:$AL$64,MATCH($F590,사건마스터!$A$5:$A$64,0)),""))</f>
        <v/>
      </c>
      <c r="P590" s="136">
        <f>IF($F590="","",IFERROR(INDEX(사건마스터!$AM$5:$AM$64,MATCH($F590,사건마스터!$A$5:$A$64,0)),""))</f>
        <v/>
      </c>
      <c r="Q590" s="136">
        <f>IF($F590="","",IFERROR(INDEX(사건마스터!$AN$5:$AN$64,MATCH($F590,사건마스터!$A$5:$A$64,0)),""))</f>
        <v/>
      </c>
      <c r="R590" s="136">
        <f>IF($F590="","",IFERROR(INDEX(사건마스터!$AO$5:$AO$64,MATCH($F590,사건마스터!$A$5:$A$64,0)),""))</f>
        <v/>
      </c>
      <c r="S590" s="136">
        <f>IF($F590="","",IFERROR(INDEX(사건마스터!$AP$5:$AP$64,MATCH($F590,사건마스터!$A$5:$A$64,0)),""))</f>
        <v/>
      </c>
      <c r="T590" s="136">
        <f>IF($F590="","",IFERROR(INDEX(사건마스터!$AQ$5:$AQ$64,MATCH($F590,사건마스터!$A$5:$A$64,0)),""))</f>
        <v/>
      </c>
      <c r="U590" s="136">
        <f>IF($F590="","",IFERROR(INDEX(사건마스터!$AR$5:$AR$64,MATCH($F590,사건마스터!$A$5:$A$64,0)),""))</f>
        <v/>
      </c>
      <c r="V590" s="136">
        <f>IF($F590="","",IFERROR(INDEX(사건마스터!$AS$5:$AS$64,MATCH($F590,사건마스터!$A$5:$A$64,0)),""))</f>
        <v/>
      </c>
      <c r="W590" s="136">
        <f>IF($F590="","",IFERROR(INDEX(사건마스터!$AT$5:$AT$64,MATCH($F590,사건마스터!$A$5:$A$64,0)),""))</f>
        <v/>
      </c>
      <c r="X590" s="136">
        <f>IF($F590="","",IFERROR(INDEX(사건마스터!$AU$5:$AU$64,MATCH($F590,사건마스터!$A$5:$A$64,0)),""))</f>
        <v/>
      </c>
      <c r="Y590" s="136">
        <f>IF($F590="","",IFERROR(INDEX(사건마스터!$AV$5:$AV$64,MATCH($F590,사건마스터!$A$5:$A$64,0)),""))</f>
        <v/>
      </c>
      <c r="Z590" s="118">
        <f>IF(COUNTBLANK($J590:$Y590)=16,"",16-COUNTBLANK($J590:$Y590))</f>
        <v/>
      </c>
      <c r="AA590" s="33">
        <f>IF($J590="",MID($AX590,3,255),$J590&amp;$AX590)</f>
        <v/>
      </c>
      <c r="AB590" s="130">
        <f>IF($J590="","",IFERROR(INDEX(코드설정!$D$5:$D$24,MATCH($J590,코드설정!$C$5:$C$24,0)),""))</f>
        <v/>
      </c>
      <c r="AC590" s="36" t="n"/>
      <c r="AD590" s="37" t="n"/>
      <c r="AE590" s="38" t="n"/>
      <c r="AF590" s="118">
        <f>IF(OR($B590="",$C590=""),"",$C590-$B590+1)</f>
        <v/>
      </c>
      <c r="AG590" s="74" t="n"/>
      <c r="AH590" s="36" t="n"/>
      <c r="AJ590">
        <f>IF($K590="","",", "&amp;$K590)</f>
        <v/>
      </c>
      <c r="AK590">
        <f>AJ590&amp;IF($L590="","",", "&amp;$L590)</f>
        <v/>
      </c>
      <c r="AL590">
        <f>AK590&amp;IF($M590="","",", "&amp;$M590)</f>
        <v/>
      </c>
      <c r="AM590">
        <f>AL590&amp;IF($N590="","",", "&amp;$N590)</f>
        <v/>
      </c>
      <c r="AN590">
        <f>AM590&amp;IF($O590="","",", "&amp;$O590)</f>
        <v/>
      </c>
      <c r="AO590">
        <f>AN590&amp;IF($P590="","",", "&amp;$P590)</f>
        <v/>
      </c>
      <c r="AP590">
        <f>AO590&amp;IF($Q590="","",", "&amp;$Q590)</f>
        <v/>
      </c>
      <c r="AQ590">
        <f>AP590&amp;IF($R590="","",", "&amp;$R590)</f>
        <v/>
      </c>
      <c r="AR590">
        <f>AQ590&amp;IF($S590="","",", "&amp;$S590)</f>
        <v/>
      </c>
      <c r="AS590">
        <f>AR590&amp;IF($T590="","",", "&amp;$T590)</f>
        <v/>
      </c>
      <c r="AT590">
        <f>AS590&amp;IF($U590="","",", "&amp;$U590)</f>
        <v/>
      </c>
      <c r="AU590">
        <f>AT590&amp;IF($V590="","",", "&amp;$V590)</f>
        <v/>
      </c>
      <c r="AV590">
        <f>AU590&amp;IF($W590="","",", "&amp;$W590)</f>
        <v/>
      </c>
      <c r="AW590">
        <f>AV590&amp;IF($X590="","",", "&amp;$X590)</f>
        <v/>
      </c>
      <c r="AX590">
        <f>AW590&amp;IF($Y590="","",", "&amp;$Y590)</f>
        <v/>
      </c>
    </row>
    <row r="591">
      <c r="A591" s="118">
        <f>IF($B591="","",COUNT($B$5:$B591))</f>
        <v/>
      </c>
      <c r="B591" s="80" t="n"/>
      <c r="C591" s="80" t="n"/>
      <c r="D591" s="74" t="n"/>
      <c r="E591" s="74" t="n"/>
      <c r="F591" s="74" t="n"/>
      <c r="G591" s="118">
        <f>IF($F591="","",COUNTIF($F$5:$F591,$F591))</f>
        <v/>
      </c>
      <c r="H591" s="33">
        <f>IF($F591="","",IFERROR(INDEX(사건마스터!$B$5:$B$64,MATCH($F591,사건마스터!$A$5:$A$64,0)),""))</f>
        <v/>
      </c>
      <c r="I591" s="130">
        <f>IF($F591="","",IFERROR(INDEX(사건마스터!$C$5:$C$64,MATCH($F591,사건마스터!$A$5:$A$64,0)),""))</f>
        <v/>
      </c>
      <c r="J591" s="136">
        <f>IF($F591="","",IFERROR(INDEX(사건마스터!$H$5:$H$64,MATCH($F591,사건마스터!$A$5:$A$64,0)),""))</f>
        <v/>
      </c>
      <c r="K591" s="136">
        <f>IF($F591="","",IFERROR(INDEX(사건마스터!$AH$5:$AH$64,MATCH($F591,사건마스터!$A$5:$A$64,0)),""))</f>
        <v/>
      </c>
      <c r="L591" s="136">
        <f>IF($F591="","",IFERROR(INDEX(사건마스터!$AI$5:$AI$64,MATCH($F591,사건마스터!$A$5:$A$64,0)),""))</f>
        <v/>
      </c>
      <c r="M591" s="136">
        <f>IF($F591="","",IFERROR(INDEX(사건마스터!$AJ$5:$AJ$64,MATCH($F591,사건마스터!$A$5:$A$64,0)),""))</f>
        <v/>
      </c>
      <c r="N591" s="136">
        <f>IF($F591="","",IFERROR(INDEX(사건마스터!$AK$5:$AK$64,MATCH($F591,사건마스터!$A$5:$A$64,0)),""))</f>
        <v/>
      </c>
      <c r="O591" s="136">
        <f>IF($F591="","",IFERROR(INDEX(사건마스터!$AL$5:$AL$64,MATCH($F591,사건마스터!$A$5:$A$64,0)),""))</f>
        <v/>
      </c>
      <c r="P591" s="136">
        <f>IF($F591="","",IFERROR(INDEX(사건마스터!$AM$5:$AM$64,MATCH($F591,사건마스터!$A$5:$A$64,0)),""))</f>
        <v/>
      </c>
      <c r="Q591" s="136">
        <f>IF($F591="","",IFERROR(INDEX(사건마스터!$AN$5:$AN$64,MATCH($F591,사건마스터!$A$5:$A$64,0)),""))</f>
        <v/>
      </c>
      <c r="R591" s="136">
        <f>IF($F591="","",IFERROR(INDEX(사건마스터!$AO$5:$AO$64,MATCH($F591,사건마스터!$A$5:$A$64,0)),""))</f>
        <v/>
      </c>
      <c r="S591" s="136">
        <f>IF($F591="","",IFERROR(INDEX(사건마스터!$AP$5:$AP$64,MATCH($F591,사건마스터!$A$5:$A$64,0)),""))</f>
        <v/>
      </c>
      <c r="T591" s="136">
        <f>IF($F591="","",IFERROR(INDEX(사건마스터!$AQ$5:$AQ$64,MATCH($F591,사건마스터!$A$5:$A$64,0)),""))</f>
        <v/>
      </c>
      <c r="U591" s="136">
        <f>IF($F591="","",IFERROR(INDEX(사건마스터!$AR$5:$AR$64,MATCH($F591,사건마스터!$A$5:$A$64,0)),""))</f>
        <v/>
      </c>
      <c r="V591" s="136">
        <f>IF($F591="","",IFERROR(INDEX(사건마스터!$AS$5:$AS$64,MATCH($F591,사건마스터!$A$5:$A$64,0)),""))</f>
        <v/>
      </c>
      <c r="W591" s="136">
        <f>IF($F591="","",IFERROR(INDEX(사건마스터!$AT$5:$AT$64,MATCH($F591,사건마스터!$A$5:$A$64,0)),""))</f>
        <v/>
      </c>
      <c r="X591" s="136">
        <f>IF($F591="","",IFERROR(INDEX(사건마스터!$AU$5:$AU$64,MATCH($F591,사건마스터!$A$5:$A$64,0)),""))</f>
        <v/>
      </c>
      <c r="Y591" s="136">
        <f>IF($F591="","",IFERROR(INDEX(사건마스터!$AV$5:$AV$64,MATCH($F591,사건마스터!$A$5:$A$64,0)),""))</f>
        <v/>
      </c>
      <c r="Z591" s="118">
        <f>IF(COUNTBLANK($J591:$Y591)=16,"",16-COUNTBLANK($J591:$Y591))</f>
        <v/>
      </c>
      <c r="AA591" s="33">
        <f>IF($J591="",MID($AX591,3,255),$J591&amp;$AX591)</f>
        <v/>
      </c>
      <c r="AB591" s="130">
        <f>IF($J591="","",IFERROR(INDEX(코드설정!$D$5:$D$24,MATCH($J591,코드설정!$C$5:$C$24,0)),""))</f>
        <v/>
      </c>
      <c r="AC591" s="36" t="n"/>
      <c r="AD591" s="37" t="n"/>
      <c r="AE591" s="38" t="n"/>
      <c r="AF591" s="118">
        <f>IF(OR($B591="",$C591=""),"",$C591-$B591+1)</f>
        <v/>
      </c>
      <c r="AG591" s="74" t="n"/>
      <c r="AH591" s="36" t="n"/>
      <c r="AJ591">
        <f>IF($K591="","",", "&amp;$K591)</f>
        <v/>
      </c>
      <c r="AK591">
        <f>AJ591&amp;IF($L591="","",", "&amp;$L591)</f>
        <v/>
      </c>
      <c r="AL591">
        <f>AK591&amp;IF($M591="","",", "&amp;$M591)</f>
        <v/>
      </c>
      <c r="AM591">
        <f>AL591&amp;IF($N591="","",", "&amp;$N591)</f>
        <v/>
      </c>
      <c r="AN591">
        <f>AM591&amp;IF($O591="","",", "&amp;$O591)</f>
        <v/>
      </c>
      <c r="AO591">
        <f>AN591&amp;IF($P591="","",", "&amp;$P591)</f>
        <v/>
      </c>
      <c r="AP591">
        <f>AO591&amp;IF($Q591="","",", "&amp;$Q591)</f>
        <v/>
      </c>
      <c r="AQ591">
        <f>AP591&amp;IF($R591="","",", "&amp;$R591)</f>
        <v/>
      </c>
      <c r="AR591">
        <f>AQ591&amp;IF($S591="","",", "&amp;$S591)</f>
        <v/>
      </c>
      <c r="AS591">
        <f>AR591&amp;IF($T591="","",", "&amp;$T591)</f>
        <v/>
      </c>
      <c r="AT591">
        <f>AS591&amp;IF($U591="","",", "&amp;$U591)</f>
        <v/>
      </c>
      <c r="AU591">
        <f>AT591&amp;IF($V591="","",", "&amp;$V591)</f>
        <v/>
      </c>
      <c r="AV591">
        <f>AU591&amp;IF($W591="","",", "&amp;$W591)</f>
        <v/>
      </c>
      <c r="AW591">
        <f>AV591&amp;IF($X591="","",", "&amp;$X591)</f>
        <v/>
      </c>
      <c r="AX591">
        <f>AW591&amp;IF($Y591="","",", "&amp;$Y591)</f>
        <v/>
      </c>
    </row>
    <row r="592">
      <c r="A592" s="118">
        <f>IF($B592="","",COUNT($B$5:$B592))</f>
        <v/>
      </c>
      <c r="B592" s="80" t="n"/>
      <c r="C592" s="80" t="n"/>
      <c r="D592" s="74" t="n"/>
      <c r="E592" s="74" t="n"/>
      <c r="F592" s="74" t="n"/>
      <c r="G592" s="118">
        <f>IF($F592="","",COUNTIF($F$5:$F592,$F592))</f>
        <v/>
      </c>
      <c r="H592" s="33">
        <f>IF($F592="","",IFERROR(INDEX(사건마스터!$B$5:$B$64,MATCH($F592,사건마스터!$A$5:$A$64,0)),""))</f>
        <v/>
      </c>
      <c r="I592" s="130">
        <f>IF($F592="","",IFERROR(INDEX(사건마스터!$C$5:$C$64,MATCH($F592,사건마스터!$A$5:$A$64,0)),""))</f>
        <v/>
      </c>
      <c r="J592" s="136">
        <f>IF($F592="","",IFERROR(INDEX(사건마스터!$H$5:$H$64,MATCH($F592,사건마스터!$A$5:$A$64,0)),""))</f>
        <v/>
      </c>
      <c r="K592" s="136">
        <f>IF($F592="","",IFERROR(INDEX(사건마스터!$AH$5:$AH$64,MATCH($F592,사건마스터!$A$5:$A$64,0)),""))</f>
        <v/>
      </c>
      <c r="L592" s="136">
        <f>IF($F592="","",IFERROR(INDEX(사건마스터!$AI$5:$AI$64,MATCH($F592,사건마스터!$A$5:$A$64,0)),""))</f>
        <v/>
      </c>
      <c r="M592" s="136">
        <f>IF($F592="","",IFERROR(INDEX(사건마스터!$AJ$5:$AJ$64,MATCH($F592,사건마스터!$A$5:$A$64,0)),""))</f>
        <v/>
      </c>
      <c r="N592" s="136">
        <f>IF($F592="","",IFERROR(INDEX(사건마스터!$AK$5:$AK$64,MATCH($F592,사건마스터!$A$5:$A$64,0)),""))</f>
        <v/>
      </c>
      <c r="O592" s="136">
        <f>IF($F592="","",IFERROR(INDEX(사건마스터!$AL$5:$AL$64,MATCH($F592,사건마스터!$A$5:$A$64,0)),""))</f>
        <v/>
      </c>
      <c r="P592" s="136">
        <f>IF($F592="","",IFERROR(INDEX(사건마스터!$AM$5:$AM$64,MATCH($F592,사건마스터!$A$5:$A$64,0)),""))</f>
        <v/>
      </c>
      <c r="Q592" s="136">
        <f>IF($F592="","",IFERROR(INDEX(사건마스터!$AN$5:$AN$64,MATCH($F592,사건마스터!$A$5:$A$64,0)),""))</f>
        <v/>
      </c>
      <c r="R592" s="136">
        <f>IF($F592="","",IFERROR(INDEX(사건마스터!$AO$5:$AO$64,MATCH($F592,사건마스터!$A$5:$A$64,0)),""))</f>
        <v/>
      </c>
      <c r="S592" s="136">
        <f>IF($F592="","",IFERROR(INDEX(사건마스터!$AP$5:$AP$64,MATCH($F592,사건마스터!$A$5:$A$64,0)),""))</f>
        <v/>
      </c>
      <c r="T592" s="136">
        <f>IF($F592="","",IFERROR(INDEX(사건마스터!$AQ$5:$AQ$64,MATCH($F592,사건마스터!$A$5:$A$64,0)),""))</f>
        <v/>
      </c>
      <c r="U592" s="136">
        <f>IF($F592="","",IFERROR(INDEX(사건마스터!$AR$5:$AR$64,MATCH($F592,사건마스터!$A$5:$A$64,0)),""))</f>
        <v/>
      </c>
      <c r="V592" s="136">
        <f>IF($F592="","",IFERROR(INDEX(사건마스터!$AS$5:$AS$64,MATCH($F592,사건마스터!$A$5:$A$64,0)),""))</f>
        <v/>
      </c>
      <c r="W592" s="136">
        <f>IF($F592="","",IFERROR(INDEX(사건마스터!$AT$5:$AT$64,MATCH($F592,사건마스터!$A$5:$A$64,0)),""))</f>
        <v/>
      </c>
      <c r="X592" s="136">
        <f>IF($F592="","",IFERROR(INDEX(사건마스터!$AU$5:$AU$64,MATCH($F592,사건마스터!$A$5:$A$64,0)),""))</f>
        <v/>
      </c>
      <c r="Y592" s="136">
        <f>IF($F592="","",IFERROR(INDEX(사건마스터!$AV$5:$AV$64,MATCH($F592,사건마스터!$A$5:$A$64,0)),""))</f>
        <v/>
      </c>
      <c r="Z592" s="118">
        <f>IF(COUNTBLANK($J592:$Y592)=16,"",16-COUNTBLANK($J592:$Y592))</f>
        <v/>
      </c>
      <c r="AA592" s="33">
        <f>IF($J592="",MID($AX592,3,255),$J592&amp;$AX592)</f>
        <v/>
      </c>
      <c r="AB592" s="130">
        <f>IF($J592="","",IFERROR(INDEX(코드설정!$D$5:$D$24,MATCH($J592,코드설정!$C$5:$C$24,0)),""))</f>
        <v/>
      </c>
      <c r="AC592" s="36" t="n"/>
      <c r="AD592" s="37" t="n"/>
      <c r="AE592" s="38" t="n"/>
      <c r="AF592" s="118">
        <f>IF(OR($B592="",$C592=""),"",$C592-$B592+1)</f>
        <v/>
      </c>
      <c r="AG592" s="74" t="n"/>
      <c r="AH592" s="36" t="n"/>
      <c r="AJ592">
        <f>IF($K592="","",", "&amp;$K592)</f>
        <v/>
      </c>
      <c r="AK592">
        <f>AJ592&amp;IF($L592="","",", "&amp;$L592)</f>
        <v/>
      </c>
      <c r="AL592">
        <f>AK592&amp;IF($M592="","",", "&amp;$M592)</f>
        <v/>
      </c>
      <c r="AM592">
        <f>AL592&amp;IF($N592="","",", "&amp;$N592)</f>
        <v/>
      </c>
      <c r="AN592">
        <f>AM592&amp;IF($O592="","",", "&amp;$O592)</f>
        <v/>
      </c>
      <c r="AO592">
        <f>AN592&amp;IF($P592="","",", "&amp;$P592)</f>
        <v/>
      </c>
      <c r="AP592">
        <f>AO592&amp;IF($Q592="","",", "&amp;$Q592)</f>
        <v/>
      </c>
      <c r="AQ592">
        <f>AP592&amp;IF($R592="","",", "&amp;$R592)</f>
        <v/>
      </c>
      <c r="AR592">
        <f>AQ592&amp;IF($S592="","",", "&amp;$S592)</f>
        <v/>
      </c>
      <c r="AS592">
        <f>AR592&amp;IF($T592="","",", "&amp;$T592)</f>
        <v/>
      </c>
      <c r="AT592">
        <f>AS592&amp;IF($U592="","",", "&amp;$U592)</f>
        <v/>
      </c>
      <c r="AU592">
        <f>AT592&amp;IF($V592="","",", "&amp;$V592)</f>
        <v/>
      </c>
      <c r="AV592">
        <f>AU592&amp;IF($W592="","",", "&amp;$W592)</f>
        <v/>
      </c>
      <c r="AW592">
        <f>AV592&amp;IF($X592="","",", "&amp;$X592)</f>
        <v/>
      </c>
      <c r="AX592">
        <f>AW592&amp;IF($Y592="","",", "&amp;$Y592)</f>
        <v/>
      </c>
    </row>
    <row r="593">
      <c r="A593" s="118">
        <f>IF($B593="","",COUNT($B$5:$B593))</f>
        <v/>
      </c>
      <c r="B593" s="80" t="n"/>
      <c r="C593" s="80" t="n"/>
      <c r="D593" s="74" t="n"/>
      <c r="E593" s="74" t="n"/>
      <c r="F593" s="74" t="n"/>
      <c r="G593" s="118">
        <f>IF($F593="","",COUNTIF($F$5:$F593,$F593))</f>
        <v/>
      </c>
      <c r="H593" s="33">
        <f>IF($F593="","",IFERROR(INDEX(사건마스터!$B$5:$B$64,MATCH($F593,사건마스터!$A$5:$A$64,0)),""))</f>
        <v/>
      </c>
      <c r="I593" s="130">
        <f>IF($F593="","",IFERROR(INDEX(사건마스터!$C$5:$C$64,MATCH($F593,사건마스터!$A$5:$A$64,0)),""))</f>
        <v/>
      </c>
      <c r="J593" s="136">
        <f>IF($F593="","",IFERROR(INDEX(사건마스터!$H$5:$H$64,MATCH($F593,사건마스터!$A$5:$A$64,0)),""))</f>
        <v/>
      </c>
      <c r="K593" s="136">
        <f>IF($F593="","",IFERROR(INDEX(사건마스터!$AH$5:$AH$64,MATCH($F593,사건마스터!$A$5:$A$64,0)),""))</f>
        <v/>
      </c>
      <c r="L593" s="136">
        <f>IF($F593="","",IFERROR(INDEX(사건마스터!$AI$5:$AI$64,MATCH($F593,사건마스터!$A$5:$A$64,0)),""))</f>
        <v/>
      </c>
      <c r="M593" s="136">
        <f>IF($F593="","",IFERROR(INDEX(사건마스터!$AJ$5:$AJ$64,MATCH($F593,사건마스터!$A$5:$A$64,0)),""))</f>
        <v/>
      </c>
      <c r="N593" s="136">
        <f>IF($F593="","",IFERROR(INDEX(사건마스터!$AK$5:$AK$64,MATCH($F593,사건마스터!$A$5:$A$64,0)),""))</f>
        <v/>
      </c>
      <c r="O593" s="136">
        <f>IF($F593="","",IFERROR(INDEX(사건마스터!$AL$5:$AL$64,MATCH($F593,사건마스터!$A$5:$A$64,0)),""))</f>
        <v/>
      </c>
      <c r="P593" s="136">
        <f>IF($F593="","",IFERROR(INDEX(사건마스터!$AM$5:$AM$64,MATCH($F593,사건마스터!$A$5:$A$64,0)),""))</f>
        <v/>
      </c>
      <c r="Q593" s="136">
        <f>IF($F593="","",IFERROR(INDEX(사건마스터!$AN$5:$AN$64,MATCH($F593,사건마스터!$A$5:$A$64,0)),""))</f>
        <v/>
      </c>
      <c r="R593" s="136">
        <f>IF($F593="","",IFERROR(INDEX(사건마스터!$AO$5:$AO$64,MATCH($F593,사건마스터!$A$5:$A$64,0)),""))</f>
        <v/>
      </c>
      <c r="S593" s="136">
        <f>IF($F593="","",IFERROR(INDEX(사건마스터!$AP$5:$AP$64,MATCH($F593,사건마스터!$A$5:$A$64,0)),""))</f>
        <v/>
      </c>
      <c r="T593" s="136">
        <f>IF($F593="","",IFERROR(INDEX(사건마스터!$AQ$5:$AQ$64,MATCH($F593,사건마스터!$A$5:$A$64,0)),""))</f>
        <v/>
      </c>
      <c r="U593" s="136">
        <f>IF($F593="","",IFERROR(INDEX(사건마스터!$AR$5:$AR$64,MATCH($F593,사건마스터!$A$5:$A$64,0)),""))</f>
        <v/>
      </c>
      <c r="V593" s="136">
        <f>IF($F593="","",IFERROR(INDEX(사건마스터!$AS$5:$AS$64,MATCH($F593,사건마스터!$A$5:$A$64,0)),""))</f>
        <v/>
      </c>
      <c r="W593" s="136">
        <f>IF($F593="","",IFERROR(INDEX(사건마스터!$AT$5:$AT$64,MATCH($F593,사건마스터!$A$5:$A$64,0)),""))</f>
        <v/>
      </c>
      <c r="X593" s="136">
        <f>IF($F593="","",IFERROR(INDEX(사건마스터!$AU$5:$AU$64,MATCH($F593,사건마스터!$A$5:$A$64,0)),""))</f>
        <v/>
      </c>
      <c r="Y593" s="136">
        <f>IF($F593="","",IFERROR(INDEX(사건마스터!$AV$5:$AV$64,MATCH($F593,사건마스터!$A$5:$A$64,0)),""))</f>
        <v/>
      </c>
      <c r="Z593" s="118">
        <f>IF(COUNTBLANK($J593:$Y593)=16,"",16-COUNTBLANK($J593:$Y593))</f>
        <v/>
      </c>
      <c r="AA593" s="33">
        <f>IF($J593="",MID($AX593,3,255),$J593&amp;$AX593)</f>
        <v/>
      </c>
      <c r="AB593" s="130">
        <f>IF($J593="","",IFERROR(INDEX(코드설정!$D$5:$D$24,MATCH($J593,코드설정!$C$5:$C$24,0)),""))</f>
        <v/>
      </c>
      <c r="AC593" s="36" t="n"/>
      <c r="AD593" s="37" t="n"/>
      <c r="AE593" s="38" t="n"/>
      <c r="AF593" s="118">
        <f>IF(OR($B593="",$C593=""),"",$C593-$B593+1)</f>
        <v/>
      </c>
      <c r="AG593" s="74" t="n"/>
      <c r="AH593" s="36" t="n"/>
      <c r="AJ593">
        <f>IF($K593="","",", "&amp;$K593)</f>
        <v/>
      </c>
      <c r="AK593">
        <f>AJ593&amp;IF($L593="","",", "&amp;$L593)</f>
        <v/>
      </c>
      <c r="AL593">
        <f>AK593&amp;IF($M593="","",", "&amp;$M593)</f>
        <v/>
      </c>
      <c r="AM593">
        <f>AL593&amp;IF($N593="","",", "&amp;$N593)</f>
        <v/>
      </c>
      <c r="AN593">
        <f>AM593&amp;IF($O593="","",", "&amp;$O593)</f>
        <v/>
      </c>
      <c r="AO593">
        <f>AN593&amp;IF($P593="","",", "&amp;$P593)</f>
        <v/>
      </c>
      <c r="AP593">
        <f>AO593&amp;IF($Q593="","",", "&amp;$Q593)</f>
        <v/>
      </c>
      <c r="AQ593">
        <f>AP593&amp;IF($R593="","",", "&amp;$R593)</f>
        <v/>
      </c>
      <c r="AR593">
        <f>AQ593&amp;IF($S593="","",", "&amp;$S593)</f>
        <v/>
      </c>
      <c r="AS593">
        <f>AR593&amp;IF($T593="","",", "&amp;$T593)</f>
        <v/>
      </c>
      <c r="AT593">
        <f>AS593&amp;IF($U593="","",", "&amp;$U593)</f>
        <v/>
      </c>
      <c r="AU593">
        <f>AT593&amp;IF($V593="","",", "&amp;$V593)</f>
        <v/>
      </c>
      <c r="AV593">
        <f>AU593&amp;IF($W593="","",", "&amp;$W593)</f>
        <v/>
      </c>
      <c r="AW593">
        <f>AV593&amp;IF($X593="","",", "&amp;$X593)</f>
        <v/>
      </c>
      <c r="AX593">
        <f>AW593&amp;IF($Y593="","",", "&amp;$Y593)</f>
        <v/>
      </c>
    </row>
    <row r="594">
      <c r="A594" s="118">
        <f>IF($B594="","",COUNT($B$5:$B594))</f>
        <v/>
      </c>
      <c r="B594" s="80" t="n"/>
      <c r="C594" s="80" t="n"/>
      <c r="D594" s="74" t="n"/>
      <c r="E594" s="74" t="n"/>
      <c r="F594" s="74" t="n"/>
      <c r="G594" s="118">
        <f>IF($F594="","",COUNTIF($F$5:$F594,$F594))</f>
        <v/>
      </c>
      <c r="H594" s="33">
        <f>IF($F594="","",IFERROR(INDEX(사건마스터!$B$5:$B$64,MATCH($F594,사건마스터!$A$5:$A$64,0)),""))</f>
        <v/>
      </c>
      <c r="I594" s="130">
        <f>IF($F594="","",IFERROR(INDEX(사건마스터!$C$5:$C$64,MATCH($F594,사건마스터!$A$5:$A$64,0)),""))</f>
        <v/>
      </c>
      <c r="J594" s="136">
        <f>IF($F594="","",IFERROR(INDEX(사건마스터!$H$5:$H$64,MATCH($F594,사건마스터!$A$5:$A$64,0)),""))</f>
        <v/>
      </c>
      <c r="K594" s="136">
        <f>IF($F594="","",IFERROR(INDEX(사건마스터!$AH$5:$AH$64,MATCH($F594,사건마스터!$A$5:$A$64,0)),""))</f>
        <v/>
      </c>
      <c r="L594" s="136">
        <f>IF($F594="","",IFERROR(INDEX(사건마스터!$AI$5:$AI$64,MATCH($F594,사건마스터!$A$5:$A$64,0)),""))</f>
        <v/>
      </c>
      <c r="M594" s="136">
        <f>IF($F594="","",IFERROR(INDEX(사건마스터!$AJ$5:$AJ$64,MATCH($F594,사건마스터!$A$5:$A$64,0)),""))</f>
        <v/>
      </c>
      <c r="N594" s="136">
        <f>IF($F594="","",IFERROR(INDEX(사건마스터!$AK$5:$AK$64,MATCH($F594,사건마스터!$A$5:$A$64,0)),""))</f>
        <v/>
      </c>
      <c r="O594" s="136">
        <f>IF($F594="","",IFERROR(INDEX(사건마스터!$AL$5:$AL$64,MATCH($F594,사건마스터!$A$5:$A$64,0)),""))</f>
        <v/>
      </c>
      <c r="P594" s="136">
        <f>IF($F594="","",IFERROR(INDEX(사건마스터!$AM$5:$AM$64,MATCH($F594,사건마스터!$A$5:$A$64,0)),""))</f>
        <v/>
      </c>
      <c r="Q594" s="136">
        <f>IF($F594="","",IFERROR(INDEX(사건마스터!$AN$5:$AN$64,MATCH($F594,사건마스터!$A$5:$A$64,0)),""))</f>
        <v/>
      </c>
      <c r="R594" s="136">
        <f>IF($F594="","",IFERROR(INDEX(사건마스터!$AO$5:$AO$64,MATCH($F594,사건마스터!$A$5:$A$64,0)),""))</f>
        <v/>
      </c>
      <c r="S594" s="136">
        <f>IF($F594="","",IFERROR(INDEX(사건마스터!$AP$5:$AP$64,MATCH($F594,사건마스터!$A$5:$A$64,0)),""))</f>
        <v/>
      </c>
      <c r="T594" s="136">
        <f>IF($F594="","",IFERROR(INDEX(사건마스터!$AQ$5:$AQ$64,MATCH($F594,사건마스터!$A$5:$A$64,0)),""))</f>
        <v/>
      </c>
      <c r="U594" s="136">
        <f>IF($F594="","",IFERROR(INDEX(사건마스터!$AR$5:$AR$64,MATCH($F594,사건마스터!$A$5:$A$64,0)),""))</f>
        <v/>
      </c>
      <c r="V594" s="136">
        <f>IF($F594="","",IFERROR(INDEX(사건마스터!$AS$5:$AS$64,MATCH($F594,사건마스터!$A$5:$A$64,0)),""))</f>
        <v/>
      </c>
      <c r="W594" s="136">
        <f>IF($F594="","",IFERROR(INDEX(사건마스터!$AT$5:$AT$64,MATCH($F594,사건마스터!$A$5:$A$64,0)),""))</f>
        <v/>
      </c>
      <c r="X594" s="136">
        <f>IF($F594="","",IFERROR(INDEX(사건마스터!$AU$5:$AU$64,MATCH($F594,사건마스터!$A$5:$A$64,0)),""))</f>
        <v/>
      </c>
      <c r="Y594" s="136">
        <f>IF($F594="","",IFERROR(INDEX(사건마스터!$AV$5:$AV$64,MATCH($F594,사건마스터!$A$5:$A$64,0)),""))</f>
        <v/>
      </c>
      <c r="Z594" s="118">
        <f>IF(COUNTBLANK($J594:$Y594)=16,"",16-COUNTBLANK($J594:$Y594))</f>
        <v/>
      </c>
      <c r="AA594" s="33">
        <f>IF($J594="",MID($AX594,3,255),$J594&amp;$AX594)</f>
        <v/>
      </c>
      <c r="AB594" s="130">
        <f>IF($J594="","",IFERROR(INDEX(코드설정!$D$5:$D$24,MATCH($J594,코드설정!$C$5:$C$24,0)),""))</f>
        <v/>
      </c>
      <c r="AC594" s="36" t="n"/>
      <c r="AD594" s="37" t="n"/>
      <c r="AE594" s="38" t="n"/>
      <c r="AF594" s="118">
        <f>IF(OR($B594="",$C594=""),"",$C594-$B594+1)</f>
        <v/>
      </c>
      <c r="AG594" s="74" t="n"/>
      <c r="AH594" s="36" t="n"/>
      <c r="AJ594">
        <f>IF($K594="","",", "&amp;$K594)</f>
        <v/>
      </c>
      <c r="AK594">
        <f>AJ594&amp;IF($L594="","",", "&amp;$L594)</f>
        <v/>
      </c>
      <c r="AL594">
        <f>AK594&amp;IF($M594="","",", "&amp;$M594)</f>
        <v/>
      </c>
      <c r="AM594">
        <f>AL594&amp;IF($N594="","",", "&amp;$N594)</f>
        <v/>
      </c>
      <c r="AN594">
        <f>AM594&amp;IF($O594="","",", "&amp;$O594)</f>
        <v/>
      </c>
      <c r="AO594">
        <f>AN594&amp;IF($P594="","",", "&amp;$P594)</f>
        <v/>
      </c>
      <c r="AP594">
        <f>AO594&amp;IF($Q594="","",", "&amp;$Q594)</f>
        <v/>
      </c>
      <c r="AQ594">
        <f>AP594&amp;IF($R594="","",", "&amp;$R594)</f>
        <v/>
      </c>
      <c r="AR594">
        <f>AQ594&amp;IF($S594="","",", "&amp;$S594)</f>
        <v/>
      </c>
      <c r="AS594">
        <f>AR594&amp;IF($T594="","",", "&amp;$T594)</f>
        <v/>
      </c>
      <c r="AT594">
        <f>AS594&amp;IF($U594="","",", "&amp;$U594)</f>
        <v/>
      </c>
      <c r="AU594">
        <f>AT594&amp;IF($V594="","",", "&amp;$V594)</f>
        <v/>
      </c>
      <c r="AV594">
        <f>AU594&amp;IF($W594="","",", "&amp;$W594)</f>
        <v/>
      </c>
      <c r="AW594">
        <f>AV594&amp;IF($X594="","",", "&amp;$X594)</f>
        <v/>
      </c>
      <c r="AX594">
        <f>AW594&amp;IF($Y594="","",", "&amp;$Y594)</f>
        <v/>
      </c>
    </row>
    <row r="595">
      <c r="A595" s="118">
        <f>IF($B595="","",COUNT($B$5:$B595))</f>
        <v/>
      </c>
      <c r="B595" s="80" t="n"/>
      <c r="C595" s="80" t="n"/>
      <c r="D595" s="74" t="n"/>
      <c r="E595" s="74" t="n"/>
      <c r="F595" s="74" t="n"/>
      <c r="G595" s="118">
        <f>IF($F595="","",COUNTIF($F$5:$F595,$F595))</f>
        <v/>
      </c>
      <c r="H595" s="33">
        <f>IF($F595="","",IFERROR(INDEX(사건마스터!$B$5:$B$64,MATCH($F595,사건마스터!$A$5:$A$64,0)),""))</f>
        <v/>
      </c>
      <c r="I595" s="130">
        <f>IF($F595="","",IFERROR(INDEX(사건마스터!$C$5:$C$64,MATCH($F595,사건마스터!$A$5:$A$64,0)),""))</f>
        <v/>
      </c>
      <c r="J595" s="136">
        <f>IF($F595="","",IFERROR(INDEX(사건마스터!$H$5:$H$64,MATCH($F595,사건마스터!$A$5:$A$64,0)),""))</f>
        <v/>
      </c>
      <c r="K595" s="136">
        <f>IF($F595="","",IFERROR(INDEX(사건마스터!$AH$5:$AH$64,MATCH($F595,사건마스터!$A$5:$A$64,0)),""))</f>
        <v/>
      </c>
      <c r="L595" s="136">
        <f>IF($F595="","",IFERROR(INDEX(사건마스터!$AI$5:$AI$64,MATCH($F595,사건마스터!$A$5:$A$64,0)),""))</f>
        <v/>
      </c>
      <c r="M595" s="136">
        <f>IF($F595="","",IFERROR(INDEX(사건마스터!$AJ$5:$AJ$64,MATCH($F595,사건마스터!$A$5:$A$64,0)),""))</f>
        <v/>
      </c>
      <c r="N595" s="136">
        <f>IF($F595="","",IFERROR(INDEX(사건마스터!$AK$5:$AK$64,MATCH($F595,사건마스터!$A$5:$A$64,0)),""))</f>
        <v/>
      </c>
      <c r="O595" s="136">
        <f>IF($F595="","",IFERROR(INDEX(사건마스터!$AL$5:$AL$64,MATCH($F595,사건마스터!$A$5:$A$64,0)),""))</f>
        <v/>
      </c>
      <c r="P595" s="136">
        <f>IF($F595="","",IFERROR(INDEX(사건마스터!$AM$5:$AM$64,MATCH($F595,사건마스터!$A$5:$A$64,0)),""))</f>
        <v/>
      </c>
      <c r="Q595" s="136">
        <f>IF($F595="","",IFERROR(INDEX(사건마스터!$AN$5:$AN$64,MATCH($F595,사건마스터!$A$5:$A$64,0)),""))</f>
        <v/>
      </c>
      <c r="R595" s="136">
        <f>IF($F595="","",IFERROR(INDEX(사건마스터!$AO$5:$AO$64,MATCH($F595,사건마스터!$A$5:$A$64,0)),""))</f>
        <v/>
      </c>
      <c r="S595" s="136">
        <f>IF($F595="","",IFERROR(INDEX(사건마스터!$AP$5:$AP$64,MATCH($F595,사건마스터!$A$5:$A$64,0)),""))</f>
        <v/>
      </c>
      <c r="T595" s="136">
        <f>IF($F595="","",IFERROR(INDEX(사건마스터!$AQ$5:$AQ$64,MATCH($F595,사건마스터!$A$5:$A$64,0)),""))</f>
        <v/>
      </c>
      <c r="U595" s="136">
        <f>IF($F595="","",IFERROR(INDEX(사건마스터!$AR$5:$AR$64,MATCH($F595,사건마스터!$A$5:$A$64,0)),""))</f>
        <v/>
      </c>
      <c r="V595" s="136">
        <f>IF($F595="","",IFERROR(INDEX(사건마스터!$AS$5:$AS$64,MATCH($F595,사건마스터!$A$5:$A$64,0)),""))</f>
        <v/>
      </c>
      <c r="W595" s="136">
        <f>IF($F595="","",IFERROR(INDEX(사건마스터!$AT$5:$AT$64,MATCH($F595,사건마스터!$A$5:$A$64,0)),""))</f>
        <v/>
      </c>
      <c r="X595" s="136">
        <f>IF($F595="","",IFERROR(INDEX(사건마스터!$AU$5:$AU$64,MATCH($F595,사건마스터!$A$5:$A$64,0)),""))</f>
        <v/>
      </c>
      <c r="Y595" s="136">
        <f>IF($F595="","",IFERROR(INDEX(사건마스터!$AV$5:$AV$64,MATCH($F595,사건마스터!$A$5:$A$64,0)),""))</f>
        <v/>
      </c>
      <c r="Z595" s="118">
        <f>IF(COUNTBLANK($J595:$Y595)=16,"",16-COUNTBLANK($J595:$Y595))</f>
        <v/>
      </c>
      <c r="AA595" s="33">
        <f>IF($J595="",MID($AX595,3,255),$J595&amp;$AX595)</f>
        <v/>
      </c>
      <c r="AB595" s="130">
        <f>IF($J595="","",IFERROR(INDEX(코드설정!$D$5:$D$24,MATCH($J595,코드설정!$C$5:$C$24,0)),""))</f>
        <v/>
      </c>
      <c r="AC595" s="36" t="n"/>
      <c r="AD595" s="37" t="n"/>
      <c r="AE595" s="38" t="n"/>
      <c r="AF595" s="118">
        <f>IF(OR($B595="",$C595=""),"",$C595-$B595+1)</f>
        <v/>
      </c>
      <c r="AG595" s="74" t="n"/>
      <c r="AH595" s="36" t="n"/>
      <c r="AJ595">
        <f>IF($K595="","",", "&amp;$K595)</f>
        <v/>
      </c>
      <c r="AK595">
        <f>AJ595&amp;IF($L595="","",", "&amp;$L595)</f>
        <v/>
      </c>
      <c r="AL595">
        <f>AK595&amp;IF($M595="","",", "&amp;$M595)</f>
        <v/>
      </c>
      <c r="AM595">
        <f>AL595&amp;IF($N595="","",", "&amp;$N595)</f>
        <v/>
      </c>
      <c r="AN595">
        <f>AM595&amp;IF($O595="","",", "&amp;$O595)</f>
        <v/>
      </c>
      <c r="AO595">
        <f>AN595&amp;IF($P595="","",", "&amp;$P595)</f>
        <v/>
      </c>
      <c r="AP595">
        <f>AO595&amp;IF($Q595="","",", "&amp;$Q595)</f>
        <v/>
      </c>
      <c r="AQ595">
        <f>AP595&amp;IF($R595="","",", "&amp;$R595)</f>
        <v/>
      </c>
      <c r="AR595">
        <f>AQ595&amp;IF($S595="","",", "&amp;$S595)</f>
        <v/>
      </c>
      <c r="AS595">
        <f>AR595&amp;IF($T595="","",", "&amp;$T595)</f>
        <v/>
      </c>
      <c r="AT595">
        <f>AS595&amp;IF($U595="","",", "&amp;$U595)</f>
        <v/>
      </c>
      <c r="AU595">
        <f>AT595&amp;IF($V595="","",", "&amp;$V595)</f>
        <v/>
      </c>
      <c r="AV595">
        <f>AU595&amp;IF($W595="","",", "&amp;$W595)</f>
        <v/>
      </c>
      <c r="AW595">
        <f>AV595&amp;IF($X595="","",", "&amp;$X595)</f>
        <v/>
      </c>
      <c r="AX595">
        <f>AW595&amp;IF($Y595="","",", "&amp;$Y595)</f>
        <v/>
      </c>
    </row>
    <row r="596">
      <c r="A596" s="118">
        <f>IF($B596="","",COUNT($B$5:$B596))</f>
        <v/>
      </c>
      <c r="B596" s="80" t="n"/>
      <c r="C596" s="80" t="n"/>
      <c r="D596" s="74" t="n"/>
      <c r="E596" s="74" t="n"/>
      <c r="F596" s="74" t="n"/>
      <c r="G596" s="118">
        <f>IF($F596="","",COUNTIF($F$5:$F596,$F596))</f>
        <v/>
      </c>
      <c r="H596" s="33">
        <f>IF($F596="","",IFERROR(INDEX(사건마스터!$B$5:$B$64,MATCH($F596,사건마스터!$A$5:$A$64,0)),""))</f>
        <v/>
      </c>
      <c r="I596" s="130">
        <f>IF($F596="","",IFERROR(INDEX(사건마스터!$C$5:$C$64,MATCH($F596,사건마스터!$A$5:$A$64,0)),""))</f>
        <v/>
      </c>
      <c r="J596" s="136">
        <f>IF($F596="","",IFERROR(INDEX(사건마스터!$H$5:$H$64,MATCH($F596,사건마스터!$A$5:$A$64,0)),""))</f>
        <v/>
      </c>
      <c r="K596" s="136">
        <f>IF($F596="","",IFERROR(INDEX(사건마스터!$AH$5:$AH$64,MATCH($F596,사건마스터!$A$5:$A$64,0)),""))</f>
        <v/>
      </c>
      <c r="L596" s="136">
        <f>IF($F596="","",IFERROR(INDEX(사건마스터!$AI$5:$AI$64,MATCH($F596,사건마스터!$A$5:$A$64,0)),""))</f>
        <v/>
      </c>
      <c r="M596" s="136">
        <f>IF($F596="","",IFERROR(INDEX(사건마스터!$AJ$5:$AJ$64,MATCH($F596,사건마스터!$A$5:$A$64,0)),""))</f>
        <v/>
      </c>
      <c r="N596" s="136">
        <f>IF($F596="","",IFERROR(INDEX(사건마스터!$AK$5:$AK$64,MATCH($F596,사건마스터!$A$5:$A$64,0)),""))</f>
        <v/>
      </c>
      <c r="O596" s="136">
        <f>IF($F596="","",IFERROR(INDEX(사건마스터!$AL$5:$AL$64,MATCH($F596,사건마스터!$A$5:$A$64,0)),""))</f>
        <v/>
      </c>
      <c r="P596" s="136">
        <f>IF($F596="","",IFERROR(INDEX(사건마스터!$AM$5:$AM$64,MATCH($F596,사건마스터!$A$5:$A$64,0)),""))</f>
        <v/>
      </c>
      <c r="Q596" s="136">
        <f>IF($F596="","",IFERROR(INDEX(사건마스터!$AN$5:$AN$64,MATCH($F596,사건마스터!$A$5:$A$64,0)),""))</f>
        <v/>
      </c>
      <c r="R596" s="136">
        <f>IF($F596="","",IFERROR(INDEX(사건마스터!$AO$5:$AO$64,MATCH($F596,사건마스터!$A$5:$A$64,0)),""))</f>
        <v/>
      </c>
      <c r="S596" s="136">
        <f>IF($F596="","",IFERROR(INDEX(사건마스터!$AP$5:$AP$64,MATCH($F596,사건마스터!$A$5:$A$64,0)),""))</f>
        <v/>
      </c>
      <c r="T596" s="136">
        <f>IF($F596="","",IFERROR(INDEX(사건마스터!$AQ$5:$AQ$64,MATCH($F596,사건마스터!$A$5:$A$64,0)),""))</f>
        <v/>
      </c>
      <c r="U596" s="136">
        <f>IF($F596="","",IFERROR(INDEX(사건마스터!$AR$5:$AR$64,MATCH($F596,사건마스터!$A$5:$A$64,0)),""))</f>
        <v/>
      </c>
      <c r="V596" s="136">
        <f>IF($F596="","",IFERROR(INDEX(사건마스터!$AS$5:$AS$64,MATCH($F596,사건마스터!$A$5:$A$64,0)),""))</f>
        <v/>
      </c>
      <c r="W596" s="136">
        <f>IF($F596="","",IFERROR(INDEX(사건마스터!$AT$5:$AT$64,MATCH($F596,사건마스터!$A$5:$A$64,0)),""))</f>
        <v/>
      </c>
      <c r="X596" s="136">
        <f>IF($F596="","",IFERROR(INDEX(사건마스터!$AU$5:$AU$64,MATCH($F596,사건마스터!$A$5:$A$64,0)),""))</f>
        <v/>
      </c>
      <c r="Y596" s="136">
        <f>IF($F596="","",IFERROR(INDEX(사건마스터!$AV$5:$AV$64,MATCH($F596,사건마스터!$A$5:$A$64,0)),""))</f>
        <v/>
      </c>
      <c r="Z596" s="118">
        <f>IF(COUNTBLANK($J596:$Y596)=16,"",16-COUNTBLANK($J596:$Y596))</f>
        <v/>
      </c>
      <c r="AA596" s="33">
        <f>IF($J596="",MID($AX596,3,255),$J596&amp;$AX596)</f>
        <v/>
      </c>
      <c r="AB596" s="130">
        <f>IF($J596="","",IFERROR(INDEX(코드설정!$D$5:$D$24,MATCH($J596,코드설정!$C$5:$C$24,0)),""))</f>
        <v/>
      </c>
      <c r="AC596" s="36" t="n"/>
      <c r="AD596" s="37" t="n"/>
      <c r="AE596" s="38" t="n"/>
      <c r="AF596" s="118">
        <f>IF(OR($B596="",$C596=""),"",$C596-$B596+1)</f>
        <v/>
      </c>
      <c r="AG596" s="74" t="n"/>
      <c r="AH596" s="36" t="n"/>
      <c r="AJ596">
        <f>IF($K596="","",", "&amp;$K596)</f>
        <v/>
      </c>
      <c r="AK596">
        <f>AJ596&amp;IF($L596="","",", "&amp;$L596)</f>
        <v/>
      </c>
      <c r="AL596">
        <f>AK596&amp;IF($M596="","",", "&amp;$M596)</f>
        <v/>
      </c>
      <c r="AM596">
        <f>AL596&amp;IF($N596="","",", "&amp;$N596)</f>
        <v/>
      </c>
      <c r="AN596">
        <f>AM596&amp;IF($O596="","",", "&amp;$O596)</f>
        <v/>
      </c>
      <c r="AO596">
        <f>AN596&amp;IF($P596="","",", "&amp;$P596)</f>
        <v/>
      </c>
      <c r="AP596">
        <f>AO596&amp;IF($Q596="","",", "&amp;$Q596)</f>
        <v/>
      </c>
      <c r="AQ596">
        <f>AP596&amp;IF($R596="","",", "&amp;$R596)</f>
        <v/>
      </c>
      <c r="AR596">
        <f>AQ596&amp;IF($S596="","",", "&amp;$S596)</f>
        <v/>
      </c>
      <c r="AS596">
        <f>AR596&amp;IF($T596="","",", "&amp;$T596)</f>
        <v/>
      </c>
      <c r="AT596">
        <f>AS596&amp;IF($U596="","",", "&amp;$U596)</f>
        <v/>
      </c>
      <c r="AU596">
        <f>AT596&amp;IF($V596="","",", "&amp;$V596)</f>
        <v/>
      </c>
      <c r="AV596">
        <f>AU596&amp;IF($W596="","",", "&amp;$W596)</f>
        <v/>
      </c>
      <c r="AW596">
        <f>AV596&amp;IF($X596="","",", "&amp;$X596)</f>
        <v/>
      </c>
      <c r="AX596">
        <f>AW596&amp;IF($Y596="","",", "&amp;$Y596)</f>
        <v/>
      </c>
    </row>
    <row r="597">
      <c r="A597" s="118">
        <f>IF($B597="","",COUNT($B$5:$B597))</f>
        <v/>
      </c>
      <c r="B597" s="80" t="n"/>
      <c r="C597" s="80" t="n"/>
      <c r="D597" s="74" t="n"/>
      <c r="E597" s="74" t="n"/>
      <c r="F597" s="74" t="n"/>
      <c r="G597" s="118">
        <f>IF($F597="","",COUNTIF($F$5:$F597,$F597))</f>
        <v/>
      </c>
      <c r="H597" s="33">
        <f>IF($F597="","",IFERROR(INDEX(사건마스터!$B$5:$B$64,MATCH($F597,사건마스터!$A$5:$A$64,0)),""))</f>
        <v/>
      </c>
      <c r="I597" s="130">
        <f>IF($F597="","",IFERROR(INDEX(사건마스터!$C$5:$C$64,MATCH($F597,사건마스터!$A$5:$A$64,0)),""))</f>
        <v/>
      </c>
      <c r="J597" s="136">
        <f>IF($F597="","",IFERROR(INDEX(사건마스터!$H$5:$H$64,MATCH($F597,사건마스터!$A$5:$A$64,0)),""))</f>
        <v/>
      </c>
      <c r="K597" s="136">
        <f>IF($F597="","",IFERROR(INDEX(사건마스터!$AH$5:$AH$64,MATCH($F597,사건마스터!$A$5:$A$64,0)),""))</f>
        <v/>
      </c>
      <c r="L597" s="136">
        <f>IF($F597="","",IFERROR(INDEX(사건마스터!$AI$5:$AI$64,MATCH($F597,사건마스터!$A$5:$A$64,0)),""))</f>
        <v/>
      </c>
      <c r="M597" s="136">
        <f>IF($F597="","",IFERROR(INDEX(사건마스터!$AJ$5:$AJ$64,MATCH($F597,사건마스터!$A$5:$A$64,0)),""))</f>
        <v/>
      </c>
      <c r="N597" s="136">
        <f>IF($F597="","",IFERROR(INDEX(사건마스터!$AK$5:$AK$64,MATCH($F597,사건마스터!$A$5:$A$64,0)),""))</f>
        <v/>
      </c>
      <c r="O597" s="136">
        <f>IF($F597="","",IFERROR(INDEX(사건마스터!$AL$5:$AL$64,MATCH($F597,사건마스터!$A$5:$A$64,0)),""))</f>
        <v/>
      </c>
      <c r="P597" s="136">
        <f>IF($F597="","",IFERROR(INDEX(사건마스터!$AM$5:$AM$64,MATCH($F597,사건마스터!$A$5:$A$64,0)),""))</f>
        <v/>
      </c>
      <c r="Q597" s="136">
        <f>IF($F597="","",IFERROR(INDEX(사건마스터!$AN$5:$AN$64,MATCH($F597,사건마스터!$A$5:$A$64,0)),""))</f>
        <v/>
      </c>
      <c r="R597" s="136">
        <f>IF($F597="","",IFERROR(INDEX(사건마스터!$AO$5:$AO$64,MATCH($F597,사건마스터!$A$5:$A$64,0)),""))</f>
        <v/>
      </c>
      <c r="S597" s="136">
        <f>IF($F597="","",IFERROR(INDEX(사건마스터!$AP$5:$AP$64,MATCH($F597,사건마스터!$A$5:$A$64,0)),""))</f>
        <v/>
      </c>
      <c r="T597" s="136">
        <f>IF($F597="","",IFERROR(INDEX(사건마스터!$AQ$5:$AQ$64,MATCH($F597,사건마스터!$A$5:$A$64,0)),""))</f>
        <v/>
      </c>
      <c r="U597" s="136">
        <f>IF($F597="","",IFERROR(INDEX(사건마스터!$AR$5:$AR$64,MATCH($F597,사건마스터!$A$5:$A$64,0)),""))</f>
        <v/>
      </c>
      <c r="V597" s="136">
        <f>IF($F597="","",IFERROR(INDEX(사건마스터!$AS$5:$AS$64,MATCH($F597,사건마스터!$A$5:$A$64,0)),""))</f>
        <v/>
      </c>
      <c r="W597" s="136">
        <f>IF($F597="","",IFERROR(INDEX(사건마스터!$AT$5:$AT$64,MATCH($F597,사건마스터!$A$5:$A$64,0)),""))</f>
        <v/>
      </c>
      <c r="X597" s="136">
        <f>IF($F597="","",IFERROR(INDEX(사건마스터!$AU$5:$AU$64,MATCH($F597,사건마스터!$A$5:$A$64,0)),""))</f>
        <v/>
      </c>
      <c r="Y597" s="136">
        <f>IF($F597="","",IFERROR(INDEX(사건마스터!$AV$5:$AV$64,MATCH($F597,사건마스터!$A$5:$A$64,0)),""))</f>
        <v/>
      </c>
      <c r="Z597" s="118">
        <f>IF(COUNTBLANK($J597:$Y597)=16,"",16-COUNTBLANK($J597:$Y597))</f>
        <v/>
      </c>
      <c r="AA597" s="33">
        <f>IF($J597="",MID($AX597,3,255),$J597&amp;$AX597)</f>
        <v/>
      </c>
      <c r="AB597" s="130">
        <f>IF($J597="","",IFERROR(INDEX(코드설정!$D$5:$D$24,MATCH($J597,코드설정!$C$5:$C$24,0)),""))</f>
        <v/>
      </c>
      <c r="AC597" s="36" t="n"/>
      <c r="AD597" s="37" t="n"/>
      <c r="AE597" s="38" t="n"/>
      <c r="AF597" s="118">
        <f>IF(OR($B597="",$C597=""),"",$C597-$B597+1)</f>
        <v/>
      </c>
      <c r="AG597" s="74" t="n"/>
      <c r="AH597" s="36" t="n"/>
      <c r="AJ597">
        <f>IF($K597="","",", "&amp;$K597)</f>
        <v/>
      </c>
      <c r="AK597">
        <f>AJ597&amp;IF($L597="","",", "&amp;$L597)</f>
        <v/>
      </c>
      <c r="AL597">
        <f>AK597&amp;IF($M597="","",", "&amp;$M597)</f>
        <v/>
      </c>
      <c r="AM597">
        <f>AL597&amp;IF($N597="","",", "&amp;$N597)</f>
        <v/>
      </c>
      <c r="AN597">
        <f>AM597&amp;IF($O597="","",", "&amp;$O597)</f>
        <v/>
      </c>
      <c r="AO597">
        <f>AN597&amp;IF($P597="","",", "&amp;$P597)</f>
        <v/>
      </c>
      <c r="AP597">
        <f>AO597&amp;IF($Q597="","",", "&amp;$Q597)</f>
        <v/>
      </c>
      <c r="AQ597">
        <f>AP597&amp;IF($R597="","",", "&amp;$R597)</f>
        <v/>
      </c>
      <c r="AR597">
        <f>AQ597&amp;IF($S597="","",", "&amp;$S597)</f>
        <v/>
      </c>
      <c r="AS597">
        <f>AR597&amp;IF($T597="","",", "&amp;$T597)</f>
        <v/>
      </c>
      <c r="AT597">
        <f>AS597&amp;IF($U597="","",", "&amp;$U597)</f>
        <v/>
      </c>
      <c r="AU597">
        <f>AT597&amp;IF($V597="","",", "&amp;$V597)</f>
        <v/>
      </c>
      <c r="AV597">
        <f>AU597&amp;IF($W597="","",", "&amp;$W597)</f>
        <v/>
      </c>
      <c r="AW597">
        <f>AV597&amp;IF($X597="","",", "&amp;$X597)</f>
        <v/>
      </c>
      <c r="AX597">
        <f>AW597&amp;IF($Y597="","",", "&amp;$Y597)</f>
        <v/>
      </c>
    </row>
    <row r="598">
      <c r="A598" s="118">
        <f>IF($B598="","",COUNT($B$5:$B598))</f>
        <v/>
      </c>
      <c r="B598" s="80" t="n"/>
      <c r="C598" s="80" t="n"/>
      <c r="D598" s="74" t="n"/>
      <c r="E598" s="74" t="n"/>
      <c r="F598" s="74" t="n"/>
      <c r="G598" s="118">
        <f>IF($F598="","",COUNTIF($F$5:$F598,$F598))</f>
        <v/>
      </c>
      <c r="H598" s="33">
        <f>IF($F598="","",IFERROR(INDEX(사건마스터!$B$5:$B$64,MATCH($F598,사건마스터!$A$5:$A$64,0)),""))</f>
        <v/>
      </c>
      <c r="I598" s="130">
        <f>IF($F598="","",IFERROR(INDEX(사건마스터!$C$5:$C$64,MATCH($F598,사건마스터!$A$5:$A$64,0)),""))</f>
        <v/>
      </c>
      <c r="J598" s="136">
        <f>IF($F598="","",IFERROR(INDEX(사건마스터!$H$5:$H$64,MATCH($F598,사건마스터!$A$5:$A$64,0)),""))</f>
        <v/>
      </c>
      <c r="K598" s="136">
        <f>IF($F598="","",IFERROR(INDEX(사건마스터!$AH$5:$AH$64,MATCH($F598,사건마스터!$A$5:$A$64,0)),""))</f>
        <v/>
      </c>
      <c r="L598" s="136">
        <f>IF($F598="","",IFERROR(INDEX(사건마스터!$AI$5:$AI$64,MATCH($F598,사건마스터!$A$5:$A$64,0)),""))</f>
        <v/>
      </c>
      <c r="M598" s="136">
        <f>IF($F598="","",IFERROR(INDEX(사건마스터!$AJ$5:$AJ$64,MATCH($F598,사건마스터!$A$5:$A$64,0)),""))</f>
        <v/>
      </c>
      <c r="N598" s="136">
        <f>IF($F598="","",IFERROR(INDEX(사건마스터!$AK$5:$AK$64,MATCH($F598,사건마스터!$A$5:$A$64,0)),""))</f>
        <v/>
      </c>
      <c r="O598" s="136">
        <f>IF($F598="","",IFERROR(INDEX(사건마스터!$AL$5:$AL$64,MATCH($F598,사건마스터!$A$5:$A$64,0)),""))</f>
        <v/>
      </c>
      <c r="P598" s="136">
        <f>IF($F598="","",IFERROR(INDEX(사건마스터!$AM$5:$AM$64,MATCH($F598,사건마스터!$A$5:$A$64,0)),""))</f>
        <v/>
      </c>
      <c r="Q598" s="136">
        <f>IF($F598="","",IFERROR(INDEX(사건마스터!$AN$5:$AN$64,MATCH($F598,사건마스터!$A$5:$A$64,0)),""))</f>
        <v/>
      </c>
      <c r="R598" s="136">
        <f>IF($F598="","",IFERROR(INDEX(사건마스터!$AO$5:$AO$64,MATCH($F598,사건마스터!$A$5:$A$64,0)),""))</f>
        <v/>
      </c>
      <c r="S598" s="136">
        <f>IF($F598="","",IFERROR(INDEX(사건마스터!$AP$5:$AP$64,MATCH($F598,사건마스터!$A$5:$A$64,0)),""))</f>
        <v/>
      </c>
      <c r="T598" s="136">
        <f>IF($F598="","",IFERROR(INDEX(사건마스터!$AQ$5:$AQ$64,MATCH($F598,사건마스터!$A$5:$A$64,0)),""))</f>
        <v/>
      </c>
      <c r="U598" s="136">
        <f>IF($F598="","",IFERROR(INDEX(사건마스터!$AR$5:$AR$64,MATCH($F598,사건마스터!$A$5:$A$64,0)),""))</f>
        <v/>
      </c>
      <c r="V598" s="136">
        <f>IF($F598="","",IFERROR(INDEX(사건마스터!$AS$5:$AS$64,MATCH($F598,사건마스터!$A$5:$A$64,0)),""))</f>
        <v/>
      </c>
      <c r="W598" s="136">
        <f>IF($F598="","",IFERROR(INDEX(사건마스터!$AT$5:$AT$64,MATCH($F598,사건마스터!$A$5:$A$64,0)),""))</f>
        <v/>
      </c>
      <c r="X598" s="136">
        <f>IF($F598="","",IFERROR(INDEX(사건마스터!$AU$5:$AU$64,MATCH($F598,사건마스터!$A$5:$A$64,0)),""))</f>
        <v/>
      </c>
      <c r="Y598" s="136">
        <f>IF($F598="","",IFERROR(INDEX(사건마스터!$AV$5:$AV$64,MATCH($F598,사건마스터!$A$5:$A$64,0)),""))</f>
        <v/>
      </c>
      <c r="Z598" s="118">
        <f>IF(COUNTBLANK($J598:$Y598)=16,"",16-COUNTBLANK($J598:$Y598))</f>
        <v/>
      </c>
      <c r="AA598" s="33">
        <f>IF($J598="",MID($AX598,3,255),$J598&amp;$AX598)</f>
        <v/>
      </c>
      <c r="AB598" s="130">
        <f>IF($J598="","",IFERROR(INDEX(코드설정!$D$5:$D$24,MATCH($J598,코드설정!$C$5:$C$24,0)),""))</f>
        <v/>
      </c>
      <c r="AC598" s="36" t="n"/>
      <c r="AD598" s="37" t="n"/>
      <c r="AE598" s="38" t="n"/>
      <c r="AF598" s="118">
        <f>IF(OR($B598="",$C598=""),"",$C598-$B598+1)</f>
        <v/>
      </c>
      <c r="AG598" s="74" t="n"/>
      <c r="AH598" s="36" t="n"/>
      <c r="AJ598">
        <f>IF($K598="","",", "&amp;$K598)</f>
        <v/>
      </c>
      <c r="AK598">
        <f>AJ598&amp;IF($L598="","",", "&amp;$L598)</f>
        <v/>
      </c>
      <c r="AL598">
        <f>AK598&amp;IF($M598="","",", "&amp;$M598)</f>
        <v/>
      </c>
      <c r="AM598">
        <f>AL598&amp;IF($N598="","",", "&amp;$N598)</f>
        <v/>
      </c>
      <c r="AN598">
        <f>AM598&amp;IF($O598="","",", "&amp;$O598)</f>
        <v/>
      </c>
      <c r="AO598">
        <f>AN598&amp;IF($P598="","",", "&amp;$P598)</f>
        <v/>
      </c>
      <c r="AP598">
        <f>AO598&amp;IF($Q598="","",", "&amp;$Q598)</f>
        <v/>
      </c>
      <c r="AQ598">
        <f>AP598&amp;IF($R598="","",", "&amp;$R598)</f>
        <v/>
      </c>
      <c r="AR598">
        <f>AQ598&amp;IF($S598="","",", "&amp;$S598)</f>
        <v/>
      </c>
      <c r="AS598">
        <f>AR598&amp;IF($T598="","",", "&amp;$T598)</f>
        <v/>
      </c>
      <c r="AT598">
        <f>AS598&amp;IF($U598="","",", "&amp;$U598)</f>
        <v/>
      </c>
      <c r="AU598">
        <f>AT598&amp;IF($V598="","",", "&amp;$V598)</f>
        <v/>
      </c>
      <c r="AV598">
        <f>AU598&amp;IF($W598="","",", "&amp;$W598)</f>
        <v/>
      </c>
      <c r="AW598">
        <f>AV598&amp;IF($X598="","",", "&amp;$X598)</f>
        <v/>
      </c>
      <c r="AX598">
        <f>AW598&amp;IF($Y598="","",", "&amp;$Y598)</f>
        <v/>
      </c>
    </row>
    <row r="599">
      <c r="A599" s="118">
        <f>IF($B599="","",COUNT($B$5:$B599))</f>
        <v/>
      </c>
      <c r="B599" s="80" t="n"/>
      <c r="C599" s="80" t="n"/>
      <c r="D599" s="74" t="n"/>
      <c r="E599" s="74" t="n"/>
      <c r="F599" s="74" t="n"/>
      <c r="G599" s="118">
        <f>IF($F599="","",COUNTIF($F$5:$F599,$F599))</f>
        <v/>
      </c>
      <c r="H599" s="33">
        <f>IF($F599="","",IFERROR(INDEX(사건마스터!$B$5:$B$64,MATCH($F599,사건마스터!$A$5:$A$64,0)),""))</f>
        <v/>
      </c>
      <c r="I599" s="130">
        <f>IF($F599="","",IFERROR(INDEX(사건마스터!$C$5:$C$64,MATCH($F599,사건마스터!$A$5:$A$64,0)),""))</f>
        <v/>
      </c>
      <c r="J599" s="136">
        <f>IF($F599="","",IFERROR(INDEX(사건마스터!$H$5:$H$64,MATCH($F599,사건마스터!$A$5:$A$64,0)),""))</f>
        <v/>
      </c>
      <c r="K599" s="136">
        <f>IF($F599="","",IFERROR(INDEX(사건마스터!$AH$5:$AH$64,MATCH($F599,사건마스터!$A$5:$A$64,0)),""))</f>
        <v/>
      </c>
      <c r="L599" s="136">
        <f>IF($F599="","",IFERROR(INDEX(사건마스터!$AI$5:$AI$64,MATCH($F599,사건마스터!$A$5:$A$64,0)),""))</f>
        <v/>
      </c>
      <c r="M599" s="136">
        <f>IF($F599="","",IFERROR(INDEX(사건마스터!$AJ$5:$AJ$64,MATCH($F599,사건마스터!$A$5:$A$64,0)),""))</f>
        <v/>
      </c>
      <c r="N599" s="136">
        <f>IF($F599="","",IFERROR(INDEX(사건마스터!$AK$5:$AK$64,MATCH($F599,사건마스터!$A$5:$A$64,0)),""))</f>
        <v/>
      </c>
      <c r="O599" s="136">
        <f>IF($F599="","",IFERROR(INDEX(사건마스터!$AL$5:$AL$64,MATCH($F599,사건마스터!$A$5:$A$64,0)),""))</f>
        <v/>
      </c>
      <c r="P599" s="136">
        <f>IF($F599="","",IFERROR(INDEX(사건마스터!$AM$5:$AM$64,MATCH($F599,사건마스터!$A$5:$A$64,0)),""))</f>
        <v/>
      </c>
      <c r="Q599" s="136">
        <f>IF($F599="","",IFERROR(INDEX(사건마스터!$AN$5:$AN$64,MATCH($F599,사건마스터!$A$5:$A$64,0)),""))</f>
        <v/>
      </c>
      <c r="R599" s="136">
        <f>IF($F599="","",IFERROR(INDEX(사건마스터!$AO$5:$AO$64,MATCH($F599,사건마스터!$A$5:$A$64,0)),""))</f>
        <v/>
      </c>
      <c r="S599" s="136">
        <f>IF($F599="","",IFERROR(INDEX(사건마스터!$AP$5:$AP$64,MATCH($F599,사건마스터!$A$5:$A$64,0)),""))</f>
        <v/>
      </c>
      <c r="T599" s="136">
        <f>IF($F599="","",IFERROR(INDEX(사건마스터!$AQ$5:$AQ$64,MATCH($F599,사건마스터!$A$5:$A$64,0)),""))</f>
        <v/>
      </c>
      <c r="U599" s="136">
        <f>IF($F599="","",IFERROR(INDEX(사건마스터!$AR$5:$AR$64,MATCH($F599,사건마스터!$A$5:$A$64,0)),""))</f>
        <v/>
      </c>
      <c r="V599" s="136">
        <f>IF($F599="","",IFERROR(INDEX(사건마스터!$AS$5:$AS$64,MATCH($F599,사건마스터!$A$5:$A$64,0)),""))</f>
        <v/>
      </c>
      <c r="W599" s="136">
        <f>IF($F599="","",IFERROR(INDEX(사건마스터!$AT$5:$AT$64,MATCH($F599,사건마스터!$A$5:$A$64,0)),""))</f>
        <v/>
      </c>
      <c r="X599" s="136">
        <f>IF($F599="","",IFERROR(INDEX(사건마스터!$AU$5:$AU$64,MATCH($F599,사건마스터!$A$5:$A$64,0)),""))</f>
        <v/>
      </c>
      <c r="Y599" s="136">
        <f>IF($F599="","",IFERROR(INDEX(사건마스터!$AV$5:$AV$64,MATCH($F599,사건마스터!$A$5:$A$64,0)),""))</f>
        <v/>
      </c>
      <c r="Z599" s="118">
        <f>IF(COUNTBLANK($J599:$Y599)=16,"",16-COUNTBLANK($J599:$Y599))</f>
        <v/>
      </c>
      <c r="AA599" s="33">
        <f>IF($J599="",MID($AX599,3,255),$J599&amp;$AX599)</f>
        <v/>
      </c>
      <c r="AB599" s="130">
        <f>IF($J599="","",IFERROR(INDEX(코드설정!$D$5:$D$24,MATCH($J599,코드설정!$C$5:$C$24,0)),""))</f>
        <v/>
      </c>
      <c r="AC599" s="36" t="n"/>
      <c r="AD599" s="37" t="n"/>
      <c r="AE599" s="38" t="n"/>
      <c r="AF599" s="118">
        <f>IF(OR($B599="",$C599=""),"",$C599-$B599+1)</f>
        <v/>
      </c>
      <c r="AG599" s="74" t="n"/>
      <c r="AH599" s="36" t="n"/>
      <c r="AJ599">
        <f>IF($K599="","",", "&amp;$K599)</f>
        <v/>
      </c>
      <c r="AK599">
        <f>AJ599&amp;IF($L599="","",", "&amp;$L599)</f>
        <v/>
      </c>
      <c r="AL599">
        <f>AK599&amp;IF($M599="","",", "&amp;$M599)</f>
        <v/>
      </c>
      <c r="AM599">
        <f>AL599&amp;IF($N599="","",", "&amp;$N599)</f>
        <v/>
      </c>
      <c r="AN599">
        <f>AM599&amp;IF($O599="","",", "&amp;$O599)</f>
        <v/>
      </c>
      <c r="AO599">
        <f>AN599&amp;IF($P599="","",", "&amp;$P599)</f>
        <v/>
      </c>
      <c r="AP599">
        <f>AO599&amp;IF($Q599="","",", "&amp;$Q599)</f>
        <v/>
      </c>
      <c r="AQ599">
        <f>AP599&amp;IF($R599="","",", "&amp;$R599)</f>
        <v/>
      </c>
      <c r="AR599">
        <f>AQ599&amp;IF($S599="","",", "&amp;$S599)</f>
        <v/>
      </c>
      <c r="AS599">
        <f>AR599&amp;IF($T599="","",", "&amp;$T599)</f>
        <v/>
      </c>
      <c r="AT599">
        <f>AS599&amp;IF($U599="","",", "&amp;$U599)</f>
        <v/>
      </c>
      <c r="AU599">
        <f>AT599&amp;IF($V599="","",", "&amp;$V599)</f>
        <v/>
      </c>
      <c r="AV599">
        <f>AU599&amp;IF($W599="","",", "&amp;$W599)</f>
        <v/>
      </c>
      <c r="AW599">
        <f>AV599&amp;IF($X599="","",", "&amp;$X599)</f>
        <v/>
      </c>
      <c r="AX599">
        <f>AW599&amp;IF($Y599="","",", "&amp;$Y599)</f>
        <v/>
      </c>
    </row>
    <row r="600">
      <c r="A600" s="118">
        <f>IF($B600="","",COUNT($B$5:$B600))</f>
        <v/>
      </c>
      <c r="B600" s="80" t="n"/>
      <c r="C600" s="80" t="n"/>
      <c r="D600" s="74" t="n"/>
      <c r="E600" s="74" t="n"/>
      <c r="F600" s="74" t="n"/>
      <c r="G600" s="118">
        <f>IF($F600="","",COUNTIF($F$5:$F600,$F600))</f>
        <v/>
      </c>
      <c r="H600" s="33">
        <f>IF($F600="","",IFERROR(INDEX(사건마스터!$B$5:$B$64,MATCH($F600,사건마스터!$A$5:$A$64,0)),""))</f>
        <v/>
      </c>
      <c r="I600" s="130">
        <f>IF($F600="","",IFERROR(INDEX(사건마스터!$C$5:$C$64,MATCH($F600,사건마스터!$A$5:$A$64,0)),""))</f>
        <v/>
      </c>
      <c r="J600" s="136">
        <f>IF($F600="","",IFERROR(INDEX(사건마스터!$H$5:$H$64,MATCH($F600,사건마스터!$A$5:$A$64,0)),""))</f>
        <v/>
      </c>
      <c r="K600" s="136">
        <f>IF($F600="","",IFERROR(INDEX(사건마스터!$AH$5:$AH$64,MATCH($F600,사건마스터!$A$5:$A$64,0)),""))</f>
        <v/>
      </c>
      <c r="L600" s="136">
        <f>IF($F600="","",IFERROR(INDEX(사건마스터!$AI$5:$AI$64,MATCH($F600,사건마스터!$A$5:$A$64,0)),""))</f>
        <v/>
      </c>
      <c r="M600" s="136">
        <f>IF($F600="","",IFERROR(INDEX(사건마스터!$AJ$5:$AJ$64,MATCH($F600,사건마스터!$A$5:$A$64,0)),""))</f>
        <v/>
      </c>
      <c r="N600" s="136">
        <f>IF($F600="","",IFERROR(INDEX(사건마스터!$AK$5:$AK$64,MATCH($F600,사건마스터!$A$5:$A$64,0)),""))</f>
        <v/>
      </c>
      <c r="O600" s="136">
        <f>IF($F600="","",IFERROR(INDEX(사건마스터!$AL$5:$AL$64,MATCH($F600,사건마스터!$A$5:$A$64,0)),""))</f>
        <v/>
      </c>
      <c r="P600" s="136">
        <f>IF($F600="","",IFERROR(INDEX(사건마스터!$AM$5:$AM$64,MATCH($F600,사건마스터!$A$5:$A$64,0)),""))</f>
        <v/>
      </c>
      <c r="Q600" s="136">
        <f>IF($F600="","",IFERROR(INDEX(사건마스터!$AN$5:$AN$64,MATCH($F600,사건마스터!$A$5:$A$64,0)),""))</f>
        <v/>
      </c>
      <c r="R600" s="136">
        <f>IF($F600="","",IFERROR(INDEX(사건마스터!$AO$5:$AO$64,MATCH($F600,사건마스터!$A$5:$A$64,0)),""))</f>
        <v/>
      </c>
      <c r="S600" s="136">
        <f>IF($F600="","",IFERROR(INDEX(사건마스터!$AP$5:$AP$64,MATCH($F600,사건마스터!$A$5:$A$64,0)),""))</f>
        <v/>
      </c>
      <c r="T600" s="136">
        <f>IF($F600="","",IFERROR(INDEX(사건마스터!$AQ$5:$AQ$64,MATCH($F600,사건마스터!$A$5:$A$64,0)),""))</f>
        <v/>
      </c>
      <c r="U600" s="136">
        <f>IF($F600="","",IFERROR(INDEX(사건마스터!$AR$5:$AR$64,MATCH($F600,사건마스터!$A$5:$A$64,0)),""))</f>
        <v/>
      </c>
      <c r="V600" s="136">
        <f>IF($F600="","",IFERROR(INDEX(사건마스터!$AS$5:$AS$64,MATCH($F600,사건마스터!$A$5:$A$64,0)),""))</f>
        <v/>
      </c>
      <c r="W600" s="136">
        <f>IF($F600="","",IFERROR(INDEX(사건마스터!$AT$5:$AT$64,MATCH($F600,사건마스터!$A$5:$A$64,0)),""))</f>
        <v/>
      </c>
      <c r="X600" s="136">
        <f>IF($F600="","",IFERROR(INDEX(사건마스터!$AU$5:$AU$64,MATCH($F600,사건마스터!$A$5:$A$64,0)),""))</f>
        <v/>
      </c>
      <c r="Y600" s="136">
        <f>IF($F600="","",IFERROR(INDEX(사건마스터!$AV$5:$AV$64,MATCH($F600,사건마스터!$A$5:$A$64,0)),""))</f>
        <v/>
      </c>
      <c r="Z600" s="118">
        <f>IF(COUNTBLANK($J600:$Y600)=16,"",16-COUNTBLANK($J600:$Y600))</f>
        <v/>
      </c>
      <c r="AA600" s="33">
        <f>IF($J600="",MID($AX600,3,255),$J600&amp;$AX600)</f>
        <v/>
      </c>
      <c r="AB600" s="130">
        <f>IF($J600="","",IFERROR(INDEX(코드설정!$D$5:$D$24,MATCH($J600,코드설정!$C$5:$C$24,0)),""))</f>
        <v/>
      </c>
      <c r="AC600" s="36" t="n"/>
      <c r="AD600" s="37" t="n"/>
      <c r="AE600" s="38" t="n"/>
      <c r="AF600" s="118">
        <f>IF(OR($B600="",$C600=""),"",$C600-$B600+1)</f>
        <v/>
      </c>
      <c r="AG600" s="74" t="n"/>
      <c r="AH600" s="36" t="n"/>
      <c r="AJ600">
        <f>IF($K600="","",", "&amp;$K600)</f>
        <v/>
      </c>
      <c r="AK600">
        <f>AJ600&amp;IF($L600="","",", "&amp;$L600)</f>
        <v/>
      </c>
      <c r="AL600">
        <f>AK600&amp;IF($M600="","",", "&amp;$M600)</f>
        <v/>
      </c>
      <c r="AM600">
        <f>AL600&amp;IF($N600="","",", "&amp;$N600)</f>
        <v/>
      </c>
      <c r="AN600">
        <f>AM600&amp;IF($O600="","",", "&amp;$O600)</f>
        <v/>
      </c>
      <c r="AO600">
        <f>AN600&amp;IF($P600="","",", "&amp;$P600)</f>
        <v/>
      </c>
      <c r="AP600">
        <f>AO600&amp;IF($Q600="","",", "&amp;$Q600)</f>
        <v/>
      </c>
      <c r="AQ600">
        <f>AP600&amp;IF($R600="","",", "&amp;$R600)</f>
        <v/>
      </c>
      <c r="AR600">
        <f>AQ600&amp;IF($S600="","",", "&amp;$S600)</f>
        <v/>
      </c>
      <c r="AS600">
        <f>AR600&amp;IF($T600="","",", "&amp;$T600)</f>
        <v/>
      </c>
      <c r="AT600">
        <f>AS600&amp;IF($U600="","",", "&amp;$U600)</f>
        <v/>
      </c>
      <c r="AU600">
        <f>AT600&amp;IF($V600="","",", "&amp;$V600)</f>
        <v/>
      </c>
      <c r="AV600">
        <f>AU600&amp;IF($W600="","",", "&amp;$W600)</f>
        <v/>
      </c>
      <c r="AW600">
        <f>AV600&amp;IF($X600="","",", "&amp;$X600)</f>
        <v/>
      </c>
      <c r="AX600">
        <f>AW600&amp;IF($Y600="","",", "&amp;$Y600)</f>
        <v/>
      </c>
    </row>
    <row r="601">
      <c r="A601" s="118">
        <f>IF($B601="","",COUNT($B$5:$B601))</f>
        <v/>
      </c>
      <c r="B601" s="80" t="n"/>
      <c r="C601" s="80" t="n"/>
      <c r="D601" s="74" t="n"/>
      <c r="E601" s="74" t="n"/>
      <c r="F601" s="74" t="n"/>
      <c r="G601" s="118">
        <f>IF($F601="","",COUNTIF($F$5:$F601,$F601))</f>
        <v/>
      </c>
      <c r="H601" s="33">
        <f>IF($F601="","",IFERROR(INDEX(사건마스터!$B$5:$B$64,MATCH($F601,사건마스터!$A$5:$A$64,0)),""))</f>
        <v/>
      </c>
      <c r="I601" s="130">
        <f>IF($F601="","",IFERROR(INDEX(사건마스터!$C$5:$C$64,MATCH($F601,사건마스터!$A$5:$A$64,0)),""))</f>
        <v/>
      </c>
      <c r="J601" s="136">
        <f>IF($F601="","",IFERROR(INDEX(사건마스터!$H$5:$H$64,MATCH($F601,사건마스터!$A$5:$A$64,0)),""))</f>
        <v/>
      </c>
      <c r="K601" s="136">
        <f>IF($F601="","",IFERROR(INDEX(사건마스터!$AH$5:$AH$64,MATCH($F601,사건마스터!$A$5:$A$64,0)),""))</f>
        <v/>
      </c>
      <c r="L601" s="136">
        <f>IF($F601="","",IFERROR(INDEX(사건마스터!$AI$5:$AI$64,MATCH($F601,사건마스터!$A$5:$A$64,0)),""))</f>
        <v/>
      </c>
      <c r="M601" s="136">
        <f>IF($F601="","",IFERROR(INDEX(사건마스터!$AJ$5:$AJ$64,MATCH($F601,사건마스터!$A$5:$A$64,0)),""))</f>
        <v/>
      </c>
      <c r="N601" s="136">
        <f>IF($F601="","",IFERROR(INDEX(사건마스터!$AK$5:$AK$64,MATCH($F601,사건마스터!$A$5:$A$64,0)),""))</f>
        <v/>
      </c>
      <c r="O601" s="136">
        <f>IF($F601="","",IFERROR(INDEX(사건마스터!$AL$5:$AL$64,MATCH($F601,사건마스터!$A$5:$A$64,0)),""))</f>
        <v/>
      </c>
      <c r="P601" s="136">
        <f>IF($F601="","",IFERROR(INDEX(사건마스터!$AM$5:$AM$64,MATCH($F601,사건마스터!$A$5:$A$64,0)),""))</f>
        <v/>
      </c>
      <c r="Q601" s="136">
        <f>IF($F601="","",IFERROR(INDEX(사건마스터!$AN$5:$AN$64,MATCH($F601,사건마스터!$A$5:$A$64,0)),""))</f>
        <v/>
      </c>
      <c r="R601" s="136">
        <f>IF($F601="","",IFERROR(INDEX(사건마스터!$AO$5:$AO$64,MATCH($F601,사건마스터!$A$5:$A$64,0)),""))</f>
        <v/>
      </c>
      <c r="S601" s="136">
        <f>IF($F601="","",IFERROR(INDEX(사건마스터!$AP$5:$AP$64,MATCH($F601,사건마스터!$A$5:$A$64,0)),""))</f>
        <v/>
      </c>
      <c r="T601" s="136">
        <f>IF($F601="","",IFERROR(INDEX(사건마스터!$AQ$5:$AQ$64,MATCH($F601,사건마스터!$A$5:$A$64,0)),""))</f>
        <v/>
      </c>
      <c r="U601" s="136">
        <f>IF($F601="","",IFERROR(INDEX(사건마스터!$AR$5:$AR$64,MATCH($F601,사건마스터!$A$5:$A$64,0)),""))</f>
        <v/>
      </c>
      <c r="V601" s="136">
        <f>IF($F601="","",IFERROR(INDEX(사건마스터!$AS$5:$AS$64,MATCH($F601,사건마스터!$A$5:$A$64,0)),""))</f>
        <v/>
      </c>
      <c r="W601" s="136">
        <f>IF($F601="","",IFERROR(INDEX(사건마스터!$AT$5:$AT$64,MATCH($F601,사건마스터!$A$5:$A$64,0)),""))</f>
        <v/>
      </c>
      <c r="X601" s="136">
        <f>IF($F601="","",IFERROR(INDEX(사건마스터!$AU$5:$AU$64,MATCH($F601,사건마스터!$A$5:$A$64,0)),""))</f>
        <v/>
      </c>
      <c r="Y601" s="136">
        <f>IF($F601="","",IFERROR(INDEX(사건마스터!$AV$5:$AV$64,MATCH($F601,사건마스터!$A$5:$A$64,0)),""))</f>
        <v/>
      </c>
      <c r="Z601" s="118">
        <f>IF(COUNTBLANK($J601:$Y601)=16,"",16-COUNTBLANK($J601:$Y601))</f>
        <v/>
      </c>
      <c r="AA601" s="33">
        <f>IF($J601="",MID($AX601,3,255),$J601&amp;$AX601)</f>
        <v/>
      </c>
      <c r="AB601" s="130">
        <f>IF($J601="","",IFERROR(INDEX(코드설정!$D$5:$D$24,MATCH($J601,코드설정!$C$5:$C$24,0)),""))</f>
        <v/>
      </c>
      <c r="AC601" s="36" t="n"/>
      <c r="AD601" s="37" t="n"/>
      <c r="AE601" s="38" t="n"/>
      <c r="AF601" s="118">
        <f>IF(OR($B601="",$C601=""),"",$C601-$B601+1)</f>
        <v/>
      </c>
      <c r="AG601" s="74" t="n"/>
      <c r="AH601" s="36" t="n"/>
      <c r="AJ601">
        <f>IF($K601="","",", "&amp;$K601)</f>
        <v/>
      </c>
      <c r="AK601">
        <f>AJ601&amp;IF($L601="","",", "&amp;$L601)</f>
        <v/>
      </c>
      <c r="AL601">
        <f>AK601&amp;IF($M601="","",", "&amp;$M601)</f>
        <v/>
      </c>
      <c r="AM601">
        <f>AL601&amp;IF($N601="","",", "&amp;$N601)</f>
        <v/>
      </c>
      <c r="AN601">
        <f>AM601&amp;IF($O601="","",", "&amp;$O601)</f>
        <v/>
      </c>
      <c r="AO601">
        <f>AN601&amp;IF($P601="","",", "&amp;$P601)</f>
        <v/>
      </c>
      <c r="AP601">
        <f>AO601&amp;IF($Q601="","",", "&amp;$Q601)</f>
        <v/>
      </c>
      <c r="AQ601">
        <f>AP601&amp;IF($R601="","",", "&amp;$R601)</f>
        <v/>
      </c>
      <c r="AR601">
        <f>AQ601&amp;IF($S601="","",", "&amp;$S601)</f>
        <v/>
      </c>
      <c r="AS601">
        <f>AR601&amp;IF($T601="","",", "&amp;$T601)</f>
        <v/>
      </c>
      <c r="AT601">
        <f>AS601&amp;IF($U601="","",", "&amp;$U601)</f>
        <v/>
      </c>
      <c r="AU601">
        <f>AT601&amp;IF($V601="","",", "&amp;$V601)</f>
        <v/>
      </c>
      <c r="AV601">
        <f>AU601&amp;IF($W601="","",", "&amp;$W601)</f>
        <v/>
      </c>
      <c r="AW601">
        <f>AV601&amp;IF($X601="","",", "&amp;$X601)</f>
        <v/>
      </c>
      <c r="AX601">
        <f>AW601&amp;IF($Y601="","",", "&amp;$Y601)</f>
        <v/>
      </c>
    </row>
    <row r="602">
      <c r="A602" s="118">
        <f>IF($B602="","",COUNT($B$5:$B602))</f>
        <v/>
      </c>
      <c r="B602" s="80" t="n"/>
      <c r="C602" s="80" t="n"/>
      <c r="D602" s="74" t="n"/>
      <c r="E602" s="74" t="n"/>
      <c r="F602" s="74" t="n"/>
      <c r="G602" s="118">
        <f>IF($F602="","",COUNTIF($F$5:$F602,$F602))</f>
        <v/>
      </c>
      <c r="H602" s="33">
        <f>IF($F602="","",IFERROR(INDEX(사건마스터!$B$5:$B$64,MATCH($F602,사건마스터!$A$5:$A$64,0)),""))</f>
        <v/>
      </c>
      <c r="I602" s="130">
        <f>IF($F602="","",IFERROR(INDEX(사건마스터!$C$5:$C$64,MATCH($F602,사건마스터!$A$5:$A$64,0)),""))</f>
        <v/>
      </c>
      <c r="J602" s="136">
        <f>IF($F602="","",IFERROR(INDEX(사건마스터!$H$5:$H$64,MATCH($F602,사건마스터!$A$5:$A$64,0)),""))</f>
        <v/>
      </c>
      <c r="K602" s="136">
        <f>IF($F602="","",IFERROR(INDEX(사건마스터!$AH$5:$AH$64,MATCH($F602,사건마스터!$A$5:$A$64,0)),""))</f>
        <v/>
      </c>
      <c r="L602" s="136">
        <f>IF($F602="","",IFERROR(INDEX(사건마스터!$AI$5:$AI$64,MATCH($F602,사건마스터!$A$5:$A$64,0)),""))</f>
        <v/>
      </c>
      <c r="M602" s="136">
        <f>IF($F602="","",IFERROR(INDEX(사건마스터!$AJ$5:$AJ$64,MATCH($F602,사건마스터!$A$5:$A$64,0)),""))</f>
        <v/>
      </c>
      <c r="N602" s="136">
        <f>IF($F602="","",IFERROR(INDEX(사건마스터!$AK$5:$AK$64,MATCH($F602,사건마스터!$A$5:$A$64,0)),""))</f>
        <v/>
      </c>
      <c r="O602" s="136">
        <f>IF($F602="","",IFERROR(INDEX(사건마스터!$AL$5:$AL$64,MATCH($F602,사건마스터!$A$5:$A$64,0)),""))</f>
        <v/>
      </c>
      <c r="P602" s="136">
        <f>IF($F602="","",IFERROR(INDEX(사건마스터!$AM$5:$AM$64,MATCH($F602,사건마스터!$A$5:$A$64,0)),""))</f>
        <v/>
      </c>
      <c r="Q602" s="136">
        <f>IF($F602="","",IFERROR(INDEX(사건마스터!$AN$5:$AN$64,MATCH($F602,사건마스터!$A$5:$A$64,0)),""))</f>
        <v/>
      </c>
      <c r="R602" s="136">
        <f>IF($F602="","",IFERROR(INDEX(사건마스터!$AO$5:$AO$64,MATCH($F602,사건마스터!$A$5:$A$64,0)),""))</f>
        <v/>
      </c>
      <c r="S602" s="136">
        <f>IF($F602="","",IFERROR(INDEX(사건마스터!$AP$5:$AP$64,MATCH($F602,사건마스터!$A$5:$A$64,0)),""))</f>
        <v/>
      </c>
      <c r="T602" s="136">
        <f>IF($F602="","",IFERROR(INDEX(사건마스터!$AQ$5:$AQ$64,MATCH($F602,사건마스터!$A$5:$A$64,0)),""))</f>
        <v/>
      </c>
      <c r="U602" s="136">
        <f>IF($F602="","",IFERROR(INDEX(사건마스터!$AR$5:$AR$64,MATCH($F602,사건마스터!$A$5:$A$64,0)),""))</f>
        <v/>
      </c>
      <c r="V602" s="136">
        <f>IF($F602="","",IFERROR(INDEX(사건마스터!$AS$5:$AS$64,MATCH($F602,사건마스터!$A$5:$A$64,0)),""))</f>
        <v/>
      </c>
      <c r="W602" s="136">
        <f>IF($F602="","",IFERROR(INDEX(사건마스터!$AT$5:$AT$64,MATCH($F602,사건마스터!$A$5:$A$64,0)),""))</f>
        <v/>
      </c>
      <c r="X602" s="136">
        <f>IF($F602="","",IFERROR(INDEX(사건마스터!$AU$5:$AU$64,MATCH($F602,사건마스터!$A$5:$A$64,0)),""))</f>
        <v/>
      </c>
      <c r="Y602" s="136">
        <f>IF($F602="","",IFERROR(INDEX(사건마스터!$AV$5:$AV$64,MATCH($F602,사건마스터!$A$5:$A$64,0)),""))</f>
        <v/>
      </c>
      <c r="Z602" s="118">
        <f>IF(COUNTBLANK($J602:$Y602)=16,"",16-COUNTBLANK($J602:$Y602))</f>
        <v/>
      </c>
      <c r="AA602" s="33">
        <f>IF($J602="",MID($AX602,3,255),$J602&amp;$AX602)</f>
        <v/>
      </c>
      <c r="AB602" s="130">
        <f>IF($J602="","",IFERROR(INDEX(코드설정!$D$5:$D$24,MATCH($J602,코드설정!$C$5:$C$24,0)),""))</f>
        <v/>
      </c>
      <c r="AC602" s="36" t="n"/>
      <c r="AD602" s="37" t="n"/>
      <c r="AE602" s="38" t="n"/>
      <c r="AF602" s="118">
        <f>IF(OR($B602="",$C602=""),"",$C602-$B602+1)</f>
        <v/>
      </c>
      <c r="AG602" s="74" t="n"/>
      <c r="AH602" s="36" t="n"/>
      <c r="AJ602">
        <f>IF($K602="","",", "&amp;$K602)</f>
        <v/>
      </c>
      <c r="AK602">
        <f>AJ602&amp;IF($L602="","",", "&amp;$L602)</f>
        <v/>
      </c>
      <c r="AL602">
        <f>AK602&amp;IF($M602="","",", "&amp;$M602)</f>
        <v/>
      </c>
      <c r="AM602">
        <f>AL602&amp;IF($N602="","",", "&amp;$N602)</f>
        <v/>
      </c>
      <c r="AN602">
        <f>AM602&amp;IF($O602="","",", "&amp;$O602)</f>
        <v/>
      </c>
      <c r="AO602">
        <f>AN602&amp;IF($P602="","",", "&amp;$P602)</f>
        <v/>
      </c>
      <c r="AP602">
        <f>AO602&amp;IF($Q602="","",", "&amp;$Q602)</f>
        <v/>
      </c>
      <c r="AQ602">
        <f>AP602&amp;IF($R602="","",", "&amp;$R602)</f>
        <v/>
      </c>
      <c r="AR602">
        <f>AQ602&amp;IF($S602="","",", "&amp;$S602)</f>
        <v/>
      </c>
      <c r="AS602">
        <f>AR602&amp;IF($T602="","",", "&amp;$T602)</f>
        <v/>
      </c>
      <c r="AT602">
        <f>AS602&amp;IF($U602="","",", "&amp;$U602)</f>
        <v/>
      </c>
      <c r="AU602">
        <f>AT602&amp;IF($V602="","",", "&amp;$V602)</f>
        <v/>
      </c>
      <c r="AV602">
        <f>AU602&amp;IF($W602="","",", "&amp;$W602)</f>
        <v/>
      </c>
      <c r="AW602">
        <f>AV602&amp;IF($X602="","",", "&amp;$X602)</f>
        <v/>
      </c>
      <c r="AX602">
        <f>AW602&amp;IF($Y602="","",", "&amp;$Y602)</f>
        <v/>
      </c>
    </row>
    <row r="603">
      <c r="A603" s="118">
        <f>IF($B603="","",COUNT($B$5:$B603))</f>
        <v/>
      </c>
      <c r="B603" s="80" t="n"/>
      <c r="C603" s="80" t="n"/>
      <c r="D603" s="74" t="n"/>
      <c r="E603" s="74" t="n"/>
      <c r="F603" s="74" t="n"/>
      <c r="G603" s="118">
        <f>IF($F603="","",COUNTIF($F$5:$F603,$F603))</f>
        <v/>
      </c>
      <c r="H603" s="33">
        <f>IF($F603="","",IFERROR(INDEX(사건마스터!$B$5:$B$64,MATCH($F603,사건마스터!$A$5:$A$64,0)),""))</f>
        <v/>
      </c>
      <c r="I603" s="130">
        <f>IF($F603="","",IFERROR(INDEX(사건마스터!$C$5:$C$64,MATCH($F603,사건마스터!$A$5:$A$64,0)),""))</f>
        <v/>
      </c>
      <c r="J603" s="136">
        <f>IF($F603="","",IFERROR(INDEX(사건마스터!$H$5:$H$64,MATCH($F603,사건마스터!$A$5:$A$64,0)),""))</f>
        <v/>
      </c>
      <c r="K603" s="136">
        <f>IF($F603="","",IFERROR(INDEX(사건마스터!$AH$5:$AH$64,MATCH($F603,사건마스터!$A$5:$A$64,0)),""))</f>
        <v/>
      </c>
      <c r="L603" s="136">
        <f>IF($F603="","",IFERROR(INDEX(사건마스터!$AI$5:$AI$64,MATCH($F603,사건마스터!$A$5:$A$64,0)),""))</f>
        <v/>
      </c>
      <c r="M603" s="136">
        <f>IF($F603="","",IFERROR(INDEX(사건마스터!$AJ$5:$AJ$64,MATCH($F603,사건마스터!$A$5:$A$64,0)),""))</f>
        <v/>
      </c>
      <c r="N603" s="136">
        <f>IF($F603="","",IFERROR(INDEX(사건마스터!$AK$5:$AK$64,MATCH($F603,사건마스터!$A$5:$A$64,0)),""))</f>
        <v/>
      </c>
      <c r="O603" s="136">
        <f>IF($F603="","",IFERROR(INDEX(사건마스터!$AL$5:$AL$64,MATCH($F603,사건마스터!$A$5:$A$64,0)),""))</f>
        <v/>
      </c>
      <c r="P603" s="136">
        <f>IF($F603="","",IFERROR(INDEX(사건마스터!$AM$5:$AM$64,MATCH($F603,사건마스터!$A$5:$A$64,0)),""))</f>
        <v/>
      </c>
      <c r="Q603" s="136">
        <f>IF($F603="","",IFERROR(INDEX(사건마스터!$AN$5:$AN$64,MATCH($F603,사건마스터!$A$5:$A$64,0)),""))</f>
        <v/>
      </c>
      <c r="R603" s="136">
        <f>IF($F603="","",IFERROR(INDEX(사건마스터!$AO$5:$AO$64,MATCH($F603,사건마스터!$A$5:$A$64,0)),""))</f>
        <v/>
      </c>
      <c r="S603" s="136">
        <f>IF($F603="","",IFERROR(INDEX(사건마스터!$AP$5:$AP$64,MATCH($F603,사건마스터!$A$5:$A$64,0)),""))</f>
        <v/>
      </c>
      <c r="T603" s="136">
        <f>IF($F603="","",IFERROR(INDEX(사건마스터!$AQ$5:$AQ$64,MATCH($F603,사건마스터!$A$5:$A$64,0)),""))</f>
        <v/>
      </c>
      <c r="U603" s="136">
        <f>IF($F603="","",IFERROR(INDEX(사건마스터!$AR$5:$AR$64,MATCH($F603,사건마스터!$A$5:$A$64,0)),""))</f>
        <v/>
      </c>
      <c r="V603" s="136">
        <f>IF($F603="","",IFERROR(INDEX(사건마스터!$AS$5:$AS$64,MATCH($F603,사건마스터!$A$5:$A$64,0)),""))</f>
        <v/>
      </c>
      <c r="W603" s="136">
        <f>IF($F603="","",IFERROR(INDEX(사건마스터!$AT$5:$AT$64,MATCH($F603,사건마스터!$A$5:$A$64,0)),""))</f>
        <v/>
      </c>
      <c r="X603" s="136">
        <f>IF($F603="","",IFERROR(INDEX(사건마스터!$AU$5:$AU$64,MATCH($F603,사건마스터!$A$5:$A$64,0)),""))</f>
        <v/>
      </c>
      <c r="Y603" s="136">
        <f>IF($F603="","",IFERROR(INDEX(사건마스터!$AV$5:$AV$64,MATCH($F603,사건마스터!$A$5:$A$64,0)),""))</f>
        <v/>
      </c>
      <c r="Z603" s="118">
        <f>IF(COUNTBLANK($J603:$Y603)=16,"",16-COUNTBLANK($J603:$Y603))</f>
        <v/>
      </c>
      <c r="AA603" s="33">
        <f>IF($J603="",MID($AX603,3,255),$J603&amp;$AX603)</f>
        <v/>
      </c>
      <c r="AB603" s="130">
        <f>IF($J603="","",IFERROR(INDEX(코드설정!$D$5:$D$24,MATCH($J603,코드설정!$C$5:$C$24,0)),""))</f>
        <v/>
      </c>
      <c r="AC603" s="36" t="n"/>
      <c r="AD603" s="37" t="n"/>
      <c r="AE603" s="38" t="n"/>
      <c r="AF603" s="118">
        <f>IF(OR($B603="",$C603=""),"",$C603-$B603+1)</f>
        <v/>
      </c>
      <c r="AG603" s="74" t="n"/>
      <c r="AH603" s="36" t="n"/>
      <c r="AJ603">
        <f>IF($K603="","",", "&amp;$K603)</f>
        <v/>
      </c>
      <c r="AK603">
        <f>AJ603&amp;IF($L603="","",", "&amp;$L603)</f>
        <v/>
      </c>
      <c r="AL603">
        <f>AK603&amp;IF($M603="","",", "&amp;$M603)</f>
        <v/>
      </c>
      <c r="AM603">
        <f>AL603&amp;IF($N603="","",", "&amp;$N603)</f>
        <v/>
      </c>
      <c r="AN603">
        <f>AM603&amp;IF($O603="","",", "&amp;$O603)</f>
        <v/>
      </c>
      <c r="AO603">
        <f>AN603&amp;IF($P603="","",", "&amp;$P603)</f>
        <v/>
      </c>
      <c r="AP603">
        <f>AO603&amp;IF($Q603="","",", "&amp;$Q603)</f>
        <v/>
      </c>
      <c r="AQ603">
        <f>AP603&amp;IF($R603="","",", "&amp;$R603)</f>
        <v/>
      </c>
      <c r="AR603">
        <f>AQ603&amp;IF($S603="","",", "&amp;$S603)</f>
        <v/>
      </c>
      <c r="AS603">
        <f>AR603&amp;IF($T603="","",", "&amp;$T603)</f>
        <v/>
      </c>
      <c r="AT603">
        <f>AS603&amp;IF($U603="","",", "&amp;$U603)</f>
        <v/>
      </c>
      <c r="AU603">
        <f>AT603&amp;IF($V603="","",", "&amp;$V603)</f>
        <v/>
      </c>
      <c r="AV603">
        <f>AU603&amp;IF($W603="","",", "&amp;$W603)</f>
        <v/>
      </c>
      <c r="AW603">
        <f>AV603&amp;IF($X603="","",", "&amp;$X603)</f>
        <v/>
      </c>
      <c r="AX603">
        <f>AW603&amp;IF($Y603="","",", "&amp;$Y603)</f>
        <v/>
      </c>
    </row>
    <row r="604">
      <c r="A604" s="118">
        <f>IF($B604="","",COUNT($B$5:$B604))</f>
        <v/>
      </c>
      <c r="B604" s="80" t="n"/>
      <c r="C604" s="80" t="n"/>
      <c r="D604" s="74" t="n"/>
      <c r="E604" s="74" t="n"/>
      <c r="F604" s="74" t="n"/>
      <c r="G604" s="118">
        <f>IF($F604="","",COUNTIF($F$5:$F604,$F604))</f>
        <v/>
      </c>
      <c r="H604" s="33">
        <f>IF($F604="","",IFERROR(INDEX(사건마스터!$B$5:$B$64,MATCH($F604,사건마스터!$A$5:$A$64,0)),""))</f>
        <v/>
      </c>
      <c r="I604" s="130">
        <f>IF($F604="","",IFERROR(INDEX(사건마스터!$C$5:$C$64,MATCH($F604,사건마스터!$A$5:$A$64,0)),""))</f>
        <v/>
      </c>
      <c r="J604" s="136">
        <f>IF($F604="","",IFERROR(INDEX(사건마스터!$H$5:$H$64,MATCH($F604,사건마스터!$A$5:$A$64,0)),""))</f>
        <v/>
      </c>
      <c r="K604" s="136">
        <f>IF($F604="","",IFERROR(INDEX(사건마스터!$AH$5:$AH$64,MATCH($F604,사건마스터!$A$5:$A$64,0)),""))</f>
        <v/>
      </c>
      <c r="L604" s="136">
        <f>IF($F604="","",IFERROR(INDEX(사건마스터!$AI$5:$AI$64,MATCH($F604,사건마스터!$A$5:$A$64,0)),""))</f>
        <v/>
      </c>
      <c r="M604" s="136">
        <f>IF($F604="","",IFERROR(INDEX(사건마스터!$AJ$5:$AJ$64,MATCH($F604,사건마스터!$A$5:$A$64,0)),""))</f>
        <v/>
      </c>
      <c r="N604" s="136">
        <f>IF($F604="","",IFERROR(INDEX(사건마스터!$AK$5:$AK$64,MATCH($F604,사건마스터!$A$5:$A$64,0)),""))</f>
        <v/>
      </c>
      <c r="O604" s="136">
        <f>IF($F604="","",IFERROR(INDEX(사건마스터!$AL$5:$AL$64,MATCH($F604,사건마스터!$A$5:$A$64,0)),""))</f>
        <v/>
      </c>
      <c r="P604" s="136">
        <f>IF($F604="","",IFERROR(INDEX(사건마스터!$AM$5:$AM$64,MATCH($F604,사건마스터!$A$5:$A$64,0)),""))</f>
        <v/>
      </c>
      <c r="Q604" s="136">
        <f>IF($F604="","",IFERROR(INDEX(사건마스터!$AN$5:$AN$64,MATCH($F604,사건마스터!$A$5:$A$64,0)),""))</f>
        <v/>
      </c>
      <c r="R604" s="136">
        <f>IF($F604="","",IFERROR(INDEX(사건마스터!$AO$5:$AO$64,MATCH($F604,사건마스터!$A$5:$A$64,0)),""))</f>
        <v/>
      </c>
      <c r="S604" s="136">
        <f>IF($F604="","",IFERROR(INDEX(사건마스터!$AP$5:$AP$64,MATCH($F604,사건마스터!$A$5:$A$64,0)),""))</f>
        <v/>
      </c>
      <c r="T604" s="136">
        <f>IF($F604="","",IFERROR(INDEX(사건마스터!$AQ$5:$AQ$64,MATCH($F604,사건마스터!$A$5:$A$64,0)),""))</f>
        <v/>
      </c>
      <c r="U604" s="136">
        <f>IF($F604="","",IFERROR(INDEX(사건마스터!$AR$5:$AR$64,MATCH($F604,사건마스터!$A$5:$A$64,0)),""))</f>
        <v/>
      </c>
      <c r="V604" s="136">
        <f>IF($F604="","",IFERROR(INDEX(사건마스터!$AS$5:$AS$64,MATCH($F604,사건마스터!$A$5:$A$64,0)),""))</f>
        <v/>
      </c>
      <c r="W604" s="136">
        <f>IF($F604="","",IFERROR(INDEX(사건마스터!$AT$5:$AT$64,MATCH($F604,사건마스터!$A$5:$A$64,0)),""))</f>
        <v/>
      </c>
      <c r="X604" s="136">
        <f>IF($F604="","",IFERROR(INDEX(사건마스터!$AU$5:$AU$64,MATCH($F604,사건마스터!$A$5:$A$64,0)),""))</f>
        <v/>
      </c>
      <c r="Y604" s="136">
        <f>IF($F604="","",IFERROR(INDEX(사건마스터!$AV$5:$AV$64,MATCH($F604,사건마스터!$A$5:$A$64,0)),""))</f>
        <v/>
      </c>
      <c r="Z604" s="118">
        <f>IF(COUNTBLANK($J604:$Y604)=16,"",16-COUNTBLANK($J604:$Y604))</f>
        <v/>
      </c>
      <c r="AA604" s="33">
        <f>IF($J604="",MID($AX604,3,255),$J604&amp;$AX604)</f>
        <v/>
      </c>
      <c r="AB604" s="130">
        <f>IF($J604="","",IFERROR(INDEX(코드설정!$D$5:$D$24,MATCH($J604,코드설정!$C$5:$C$24,0)),""))</f>
        <v/>
      </c>
      <c r="AC604" s="36" t="n"/>
      <c r="AD604" s="37" t="n"/>
      <c r="AE604" s="38" t="n"/>
      <c r="AF604" s="118">
        <f>IF(OR($B604="",$C604=""),"",$C604-$B604+1)</f>
        <v/>
      </c>
      <c r="AG604" s="74" t="n"/>
      <c r="AH604" s="36" t="n"/>
      <c r="AJ604">
        <f>IF($K604="","",", "&amp;$K604)</f>
        <v/>
      </c>
      <c r="AK604">
        <f>AJ604&amp;IF($L604="","",", "&amp;$L604)</f>
        <v/>
      </c>
      <c r="AL604">
        <f>AK604&amp;IF($M604="","",", "&amp;$M604)</f>
        <v/>
      </c>
      <c r="AM604">
        <f>AL604&amp;IF($N604="","",", "&amp;$N604)</f>
        <v/>
      </c>
      <c r="AN604">
        <f>AM604&amp;IF($O604="","",", "&amp;$O604)</f>
        <v/>
      </c>
      <c r="AO604">
        <f>AN604&amp;IF($P604="","",", "&amp;$P604)</f>
        <v/>
      </c>
      <c r="AP604">
        <f>AO604&amp;IF($Q604="","",", "&amp;$Q604)</f>
        <v/>
      </c>
      <c r="AQ604">
        <f>AP604&amp;IF($R604="","",", "&amp;$R604)</f>
        <v/>
      </c>
      <c r="AR604">
        <f>AQ604&amp;IF($S604="","",", "&amp;$S604)</f>
        <v/>
      </c>
      <c r="AS604">
        <f>AR604&amp;IF($T604="","",", "&amp;$T604)</f>
        <v/>
      </c>
      <c r="AT604">
        <f>AS604&amp;IF($U604="","",", "&amp;$U604)</f>
        <v/>
      </c>
      <c r="AU604">
        <f>AT604&amp;IF($V604="","",", "&amp;$V604)</f>
        <v/>
      </c>
      <c r="AV604">
        <f>AU604&amp;IF($W604="","",", "&amp;$W604)</f>
        <v/>
      </c>
      <c r="AW604">
        <f>AV604&amp;IF($X604="","",", "&amp;$X604)</f>
        <v/>
      </c>
      <c r="AX604">
        <f>AW604&amp;IF($Y604="","",", "&amp;$Y604)</f>
        <v/>
      </c>
    </row>
    <row r="605">
      <c r="A605" s="118">
        <f>IF($B605="","",COUNT($B$5:$B605))</f>
        <v/>
      </c>
      <c r="B605" s="80" t="n"/>
      <c r="C605" s="80" t="n"/>
      <c r="D605" s="74" t="n"/>
      <c r="E605" s="74" t="n"/>
      <c r="F605" s="74" t="n"/>
      <c r="G605" s="118">
        <f>IF($F605="","",COUNTIF($F$5:$F605,$F605))</f>
        <v/>
      </c>
      <c r="H605" s="33">
        <f>IF($F605="","",IFERROR(INDEX(사건마스터!$B$5:$B$64,MATCH($F605,사건마스터!$A$5:$A$64,0)),""))</f>
        <v/>
      </c>
      <c r="I605" s="130">
        <f>IF($F605="","",IFERROR(INDEX(사건마스터!$C$5:$C$64,MATCH($F605,사건마스터!$A$5:$A$64,0)),""))</f>
        <v/>
      </c>
      <c r="J605" s="136">
        <f>IF($F605="","",IFERROR(INDEX(사건마스터!$H$5:$H$64,MATCH($F605,사건마스터!$A$5:$A$64,0)),""))</f>
        <v/>
      </c>
      <c r="K605" s="136">
        <f>IF($F605="","",IFERROR(INDEX(사건마스터!$AH$5:$AH$64,MATCH($F605,사건마스터!$A$5:$A$64,0)),""))</f>
        <v/>
      </c>
      <c r="L605" s="136">
        <f>IF($F605="","",IFERROR(INDEX(사건마스터!$AI$5:$AI$64,MATCH($F605,사건마스터!$A$5:$A$64,0)),""))</f>
        <v/>
      </c>
      <c r="M605" s="136">
        <f>IF($F605="","",IFERROR(INDEX(사건마스터!$AJ$5:$AJ$64,MATCH($F605,사건마스터!$A$5:$A$64,0)),""))</f>
        <v/>
      </c>
      <c r="N605" s="136">
        <f>IF($F605="","",IFERROR(INDEX(사건마스터!$AK$5:$AK$64,MATCH($F605,사건마스터!$A$5:$A$64,0)),""))</f>
        <v/>
      </c>
      <c r="O605" s="136">
        <f>IF($F605="","",IFERROR(INDEX(사건마스터!$AL$5:$AL$64,MATCH($F605,사건마스터!$A$5:$A$64,0)),""))</f>
        <v/>
      </c>
      <c r="P605" s="136">
        <f>IF($F605="","",IFERROR(INDEX(사건마스터!$AM$5:$AM$64,MATCH($F605,사건마스터!$A$5:$A$64,0)),""))</f>
        <v/>
      </c>
      <c r="Q605" s="136">
        <f>IF($F605="","",IFERROR(INDEX(사건마스터!$AN$5:$AN$64,MATCH($F605,사건마스터!$A$5:$A$64,0)),""))</f>
        <v/>
      </c>
      <c r="R605" s="136">
        <f>IF($F605="","",IFERROR(INDEX(사건마스터!$AO$5:$AO$64,MATCH($F605,사건마스터!$A$5:$A$64,0)),""))</f>
        <v/>
      </c>
      <c r="S605" s="136">
        <f>IF($F605="","",IFERROR(INDEX(사건마스터!$AP$5:$AP$64,MATCH($F605,사건마스터!$A$5:$A$64,0)),""))</f>
        <v/>
      </c>
      <c r="T605" s="136">
        <f>IF($F605="","",IFERROR(INDEX(사건마스터!$AQ$5:$AQ$64,MATCH($F605,사건마스터!$A$5:$A$64,0)),""))</f>
        <v/>
      </c>
      <c r="U605" s="136">
        <f>IF($F605="","",IFERROR(INDEX(사건마스터!$AR$5:$AR$64,MATCH($F605,사건마스터!$A$5:$A$64,0)),""))</f>
        <v/>
      </c>
      <c r="V605" s="136">
        <f>IF($F605="","",IFERROR(INDEX(사건마스터!$AS$5:$AS$64,MATCH($F605,사건마스터!$A$5:$A$64,0)),""))</f>
        <v/>
      </c>
      <c r="W605" s="136">
        <f>IF($F605="","",IFERROR(INDEX(사건마스터!$AT$5:$AT$64,MATCH($F605,사건마스터!$A$5:$A$64,0)),""))</f>
        <v/>
      </c>
      <c r="X605" s="136">
        <f>IF($F605="","",IFERROR(INDEX(사건마스터!$AU$5:$AU$64,MATCH($F605,사건마스터!$A$5:$A$64,0)),""))</f>
        <v/>
      </c>
      <c r="Y605" s="136">
        <f>IF($F605="","",IFERROR(INDEX(사건마스터!$AV$5:$AV$64,MATCH($F605,사건마스터!$A$5:$A$64,0)),""))</f>
        <v/>
      </c>
      <c r="Z605" s="118">
        <f>IF(COUNTBLANK($J605:$Y605)=16,"",16-COUNTBLANK($J605:$Y605))</f>
        <v/>
      </c>
      <c r="AA605" s="33">
        <f>IF($J605="",MID($AX605,3,255),$J605&amp;$AX605)</f>
        <v/>
      </c>
      <c r="AB605" s="130">
        <f>IF($J605="","",IFERROR(INDEX(코드설정!$D$5:$D$24,MATCH($J605,코드설정!$C$5:$C$24,0)),""))</f>
        <v/>
      </c>
      <c r="AC605" s="36" t="n"/>
      <c r="AD605" s="37" t="n"/>
      <c r="AE605" s="38" t="n"/>
      <c r="AF605" s="118">
        <f>IF(OR($B605="",$C605=""),"",$C605-$B605+1)</f>
        <v/>
      </c>
      <c r="AG605" s="74" t="n"/>
      <c r="AH605" s="36" t="n"/>
      <c r="AJ605">
        <f>IF($K605="","",", "&amp;$K605)</f>
        <v/>
      </c>
      <c r="AK605">
        <f>AJ605&amp;IF($L605="","",", "&amp;$L605)</f>
        <v/>
      </c>
      <c r="AL605">
        <f>AK605&amp;IF($M605="","",", "&amp;$M605)</f>
        <v/>
      </c>
      <c r="AM605">
        <f>AL605&amp;IF($N605="","",", "&amp;$N605)</f>
        <v/>
      </c>
      <c r="AN605">
        <f>AM605&amp;IF($O605="","",", "&amp;$O605)</f>
        <v/>
      </c>
      <c r="AO605">
        <f>AN605&amp;IF($P605="","",", "&amp;$P605)</f>
        <v/>
      </c>
      <c r="AP605">
        <f>AO605&amp;IF($Q605="","",", "&amp;$Q605)</f>
        <v/>
      </c>
      <c r="AQ605">
        <f>AP605&amp;IF($R605="","",", "&amp;$R605)</f>
        <v/>
      </c>
      <c r="AR605">
        <f>AQ605&amp;IF($S605="","",", "&amp;$S605)</f>
        <v/>
      </c>
      <c r="AS605">
        <f>AR605&amp;IF($T605="","",", "&amp;$T605)</f>
        <v/>
      </c>
      <c r="AT605">
        <f>AS605&amp;IF($U605="","",", "&amp;$U605)</f>
        <v/>
      </c>
      <c r="AU605">
        <f>AT605&amp;IF($V605="","",", "&amp;$V605)</f>
        <v/>
      </c>
      <c r="AV605">
        <f>AU605&amp;IF($W605="","",", "&amp;$W605)</f>
        <v/>
      </c>
      <c r="AW605">
        <f>AV605&amp;IF($X605="","",", "&amp;$X605)</f>
        <v/>
      </c>
      <c r="AX605">
        <f>AW605&amp;IF($Y605="","",", "&amp;$Y605)</f>
        <v/>
      </c>
    </row>
    <row r="606">
      <c r="A606" s="118">
        <f>IF($B606="","",COUNT($B$5:$B606))</f>
        <v/>
      </c>
      <c r="B606" s="80" t="n"/>
      <c r="C606" s="80" t="n"/>
      <c r="D606" s="74" t="n"/>
      <c r="E606" s="74" t="n"/>
      <c r="F606" s="74" t="n"/>
      <c r="G606" s="118">
        <f>IF($F606="","",COUNTIF($F$5:$F606,$F606))</f>
        <v/>
      </c>
      <c r="H606" s="33">
        <f>IF($F606="","",IFERROR(INDEX(사건마스터!$B$5:$B$64,MATCH($F606,사건마스터!$A$5:$A$64,0)),""))</f>
        <v/>
      </c>
      <c r="I606" s="130">
        <f>IF($F606="","",IFERROR(INDEX(사건마스터!$C$5:$C$64,MATCH($F606,사건마스터!$A$5:$A$64,0)),""))</f>
        <v/>
      </c>
      <c r="J606" s="136">
        <f>IF($F606="","",IFERROR(INDEX(사건마스터!$H$5:$H$64,MATCH($F606,사건마스터!$A$5:$A$64,0)),""))</f>
        <v/>
      </c>
      <c r="K606" s="136">
        <f>IF($F606="","",IFERROR(INDEX(사건마스터!$AH$5:$AH$64,MATCH($F606,사건마스터!$A$5:$A$64,0)),""))</f>
        <v/>
      </c>
      <c r="L606" s="136">
        <f>IF($F606="","",IFERROR(INDEX(사건마스터!$AI$5:$AI$64,MATCH($F606,사건마스터!$A$5:$A$64,0)),""))</f>
        <v/>
      </c>
      <c r="M606" s="136">
        <f>IF($F606="","",IFERROR(INDEX(사건마스터!$AJ$5:$AJ$64,MATCH($F606,사건마스터!$A$5:$A$64,0)),""))</f>
        <v/>
      </c>
      <c r="N606" s="136">
        <f>IF($F606="","",IFERROR(INDEX(사건마스터!$AK$5:$AK$64,MATCH($F606,사건마스터!$A$5:$A$64,0)),""))</f>
        <v/>
      </c>
      <c r="O606" s="136">
        <f>IF($F606="","",IFERROR(INDEX(사건마스터!$AL$5:$AL$64,MATCH($F606,사건마스터!$A$5:$A$64,0)),""))</f>
        <v/>
      </c>
      <c r="P606" s="136">
        <f>IF($F606="","",IFERROR(INDEX(사건마스터!$AM$5:$AM$64,MATCH($F606,사건마스터!$A$5:$A$64,0)),""))</f>
        <v/>
      </c>
      <c r="Q606" s="136">
        <f>IF($F606="","",IFERROR(INDEX(사건마스터!$AN$5:$AN$64,MATCH($F606,사건마스터!$A$5:$A$64,0)),""))</f>
        <v/>
      </c>
      <c r="R606" s="136">
        <f>IF($F606="","",IFERROR(INDEX(사건마스터!$AO$5:$AO$64,MATCH($F606,사건마스터!$A$5:$A$64,0)),""))</f>
        <v/>
      </c>
      <c r="S606" s="136">
        <f>IF($F606="","",IFERROR(INDEX(사건마스터!$AP$5:$AP$64,MATCH($F606,사건마스터!$A$5:$A$64,0)),""))</f>
        <v/>
      </c>
      <c r="T606" s="136">
        <f>IF($F606="","",IFERROR(INDEX(사건마스터!$AQ$5:$AQ$64,MATCH($F606,사건마스터!$A$5:$A$64,0)),""))</f>
        <v/>
      </c>
      <c r="U606" s="136">
        <f>IF($F606="","",IFERROR(INDEX(사건마스터!$AR$5:$AR$64,MATCH($F606,사건마스터!$A$5:$A$64,0)),""))</f>
        <v/>
      </c>
      <c r="V606" s="136">
        <f>IF($F606="","",IFERROR(INDEX(사건마스터!$AS$5:$AS$64,MATCH($F606,사건마스터!$A$5:$A$64,0)),""))</f>
        <v/>
      </c>
      <c r="W606" s="136">
        <f>IF($F606="","",IFERROR(INDEX(사건마스터!$AT$5:$AT$64,MATCH($F606,사건마스터!$A$5:$A$64,0)),""))</f>
        <v/>
      </c>
      <c r="X606" s="136">
        <f>IF($F606="","",IFERROR(INDEX(사건마스터!$AU$5:$AU$64,MATCH($F606,사건마스터!$A$5:$A$64,0)),""))</f>
        <v/>
      </c>
      <c r="Y606" s="136">
        <f>IF($F606="","",IFERROR(INDEX(사건마스터!$AV$5:$AV$64,MATCH($F606,사건마스터!$A$5:$A$64,0)),""))</f>
        <v/>
      </c>
      <c r="Z606" s="118">
        <f>IF(COUNTBLANK($J606:$Y606)=16,"",16-COUNTBLANK($J606:$Y606))</f>
        <v/>
      </c>
      <c r="AA606" s="33">
        <f>IF($J606="",MID($AX606,3,255),$J606&amp;$AX606)</f>
        <v/>
      </c>
      <c r="AB606" s="130">
        <f>IF($J606="","",IFERROR(INDEX(코드설정!$D$5:$D$24,MATCH($J606,코드설정!$C$5:$C$24,0)),""))</f>
        <v/>
      </c>
      <c r="AC606" s="36" t="n"/>
      <c r="AD606" s="37" t="n"/>
      <c r="AE606" s="38" t="n"/>
      <c r="AF606" s="118">
        <f>IF(OR($B606="",$C606=""),"",$C606-$B606+1)</f>
        <v/>
      </c>
      <c r="AG606" s="74" t="n"/>
      <c r="AH606" s="36" t="n"/>
      <c r="AJ606">
        <f>IF($K606="","",", "&amp;$K606)</f>
        <v/>
      </c>
      <c r="AK606">
        <f>AJ606&amp;IF($L606="","",", "&amp;$L606)</f>
        <v/>
      </c>
      <c r="AL606">
        <f>AK606&amp;IF($M606="","",", "&amp;$M606)</f>
        <v/>
      </c>
      <c r="AM606">
        <f>AL606&amp;IF($N606="","",", "&amp;$N606)</f>
        <v/>
      </c>
      <c r="AN606">
        <f>AM606&amp;IF($O606="","",", "&amp;$O606)</f>
        <v/>
      </c>
      <c r="AO606">
        <f>AN606&amp;IF($P606="","",", "&amp;$P606)</f>
        <v/>
      </c>
      <c r="AP606">
        <f>AO606&amp;IF($Q606="","",", "&amp;$Q606)</f>
        <v/>
      </c>
      <c r="AQ606">
        <f>AP606&amp;IF($R606="","",", "&amp;$R606)</f>
        <v/>
      </c>
      <c r="AR606">
        <f>AQ606&amp;IF($S606="","",", "&amp;$S606)</f>
        <v/>
      </c>
      <c r="AS606">
        <f>AR606&amp;IF($T606="","",", "&amp;$T606)</f>
        <v/>
      </c>
      <c r="AT606">
        <f>AS606&amp;IF($U606="","",", "&amp;$U606)</f>
        <v/>
      </c>
      <c r="AU606">
        <f>AT606&amp;IF($V606="","",", "&amp;$V606)</f>
        <v/>
      </c>
      <c r="AV606">
        <f>AU606&amp;IF($W606="","",", "&amp;$W606)</f>
        <v/>
      </c>
      <c r="AW606">
        <f>AV606&amp;IF($X606="","",", "&amp;$X606)</f>
        <v/>
      </c>
      <c r="AX606">
        <f>AW606&amp;IF($Y606="","",", "&amp;$Y606)</f>
        <v/>
      </c>
    </row>
    <row r="607">
      <c r="A607" s="118">
        <f>IF($B607="","",COUNT($B$5:$B607))</f>
        <v/>
      </c>
      <c r="B607" s="80" t="n"/>
      <c r="C607" s="80" t="n"/>
      <c r="D607" s="74" t="n"/>
      <c r="E607" s="74" t="n"/>
      <c r="F607" s="74" t="n"/>
      <c r="G607" s="118">
        <f>IF($F607="","",COUNTIF($F$5:$F607,$F607))</f>
        <v/>
      </c>
      <c r="H607" s="33">
        <f>IF($F607="","",IFERROR(INDEX(사건마스터!$B$5:$B$64,MATCH($F607,사건마스터!$A$5:$A$64,0)),""))</f>
        <v/>
      </c>
      <c r="I607" s="130">
        <f>IF($F607="","",IFERROR(INDEX(사건마스터!$C$5:$C$64,MATCH($F607,사건마스터!$A$5:$A$64,0)),""))</f>
        <v/>
      </c>
      <c r="J607" s="136">
        <f>IF($F607="","",IFERROR(INDEX(사건마스터!$H$5:$H$64,MATCH($F607,사건마스터!$A$5:$A$64,0)),""))</f>
        <v/>
      </c>
      <c r="K607" s="136">
        <f>IF($F607="","",IFERROR(INDEX(사건마스터!$AH$5:$AH$64,MATCH($F607,사건마스터!$A$5:$A$64,0)),""))</f>
        <v/>
      </c>
      <c r="L607" s="136">
        <f>IF($F607="","",IFERROR(INDEX(사건마스터!$AI$5:$AI$64,MATCH($F607,사건마스터!$A$5:$A$64,0)),""))</f>
        <v/>
      </c>
      <c r="M607" s="136">
        <f>IF($F607="","",IFERROR(INDEX(사건마스터!$AJ$5:$AJ$64,MATCH($F607,사건마스터!$A$5:$A$64,0)),""))</f>
        <v/>
      </c>
      <c r="N607" s="136">
        <f>IF($F607="","",IFERROR(INDEX(사건마스터!$AK$5:$AK$64,MATCH($F607,사건마스터!$A$5:$A$64,0)),""))</f>
        <v/>
      </c>
      <c r="O607" s="136">
        <f>IF($F607="","",IFERROR(INDEX(사건마스터!$AL$5:$AL$64,MATCH($F607,사건마스터!$A$5:$A$64,0)),""))</f>
        <v/>
      </c>
      <c r="P607" s="136">
        <f>IF($F607="","",IFERROR(INDEX(사건마스터!$AM$5:$AM$64,MATCH($F607,사건마스터!$A$5:$A$64,0)),""))</f>
        <v/>
      </c>
      <c r="Q607" s="136">
        <f>IF($F607="","",IFERROR(INDEX(사건마스터!$AN$5:$AN$64,MATCH($F607,사건마스터!$A$5:$A$64,0)),""))</f>
        <v/>
      </c>
      <c r="R607" s="136">
        <f>IF($F607="","",IFERROR(INDEX(사건마스터!$AO$5:$AO$64,MATCH($F607,사건마스터!$A$5:$A$64,0)),""))</f>
        <v/>
      </c>
      <c r="S607" s="136">
        <f>IF($F607="","",IFERROR(INDEX(사건마스터!$AP$5:$AP$64,MATCH($F607,사건마스터!$A$5:$A$64,0)),""))</f>
        <v/>
      </c>
      <c r="T607" s="136">
        <f>IF($F607="","",IFERROR(INDEX(사건마스터!$AQ$5:$AQ$64,MATCH($F607,사건마스터!$A$5:$A$64,0)),""))</f>
        <v/>
      </c>
      <c r="U607" s="136">
        <f>IF($F607="","",IFERROR(INDEX(사건마스터!$AR$5:$AR$64,MATCH($F607,사건마스터!$A$5:$A$64,0)),""))</f>
        <v/>
      </c>
      <c r="V607" s="136">
        <f>IF($F607="","",IFERROR(INDEX(사건마스터!$AS$5:$AS$64,MATCH($F607,사건마스터!$A$5:$A$64,0)),""))</f>
        <v/>
      </c>
      <c r="W607" s="136">
        <f>IF($F607="","",IFERROR(INDEX(사건마스터!$AT$5:$AT$64,MATCH($F607,사건마스터!$A$5:$A$64,0)),""))</f>
        <v/>
      </c>
      <c r="X607" s="136">
        <f>IF($F607="","",IFERROR(INDEX(사건마스터!$AU$5:$AU$64,MATCH($F607,사건마스터!$A$5:$A$64,0)),""))</f>
        <v/>
      </c>
      <c r="Y607" s="136">
        <f>IF($F607="","",IFERROR(INDEX(사건마스터!$AV$5:$AV$64,MATCH($F607,사건마스터!$A$5:$A$64,0)),""))</f>
        <v/>
      </c>
      <c r="Z607" s="118">
        <f>IF(COUNTBLANK($J607:$Y607)=16,"",16-COUNTBLANK($J607:$Y607))</f>
        <v/>
      </c>
      <c r="AA607" s="33">
        <f>IF($J607="",MID($AX607,3,255),$J607&amp;$AX607)</f>
        <v/>
      </c>
      <c r="AB607" s="130">
        <f>IF($J607="","",IFERROR(INDEX(코드설정!$D$5:$D$24,MATCH($J607,코드설정!$C$5:$C$24,0)),""))</f>
        <v/>
      </c>
      <c r="AC607" s="36" t="n"/>
      <c r="AD607" s="37" t="n"/>
      <c r="AE607" s="38" t="n"/>
      <c r="AF607" s="118">
        <f>IF(OR($B607="",$C607=""),"",$C607-$B607+1)</f>
        <v/>
      </c>
      <c r="AG607" s="74" t="n"/>
      <c r="AH607" s="36" t="n"/>
      <c r="AJ607">
        <f>IF($K607="","",", "&amp;$K607)</f>
        <v/>
      </c>
      <c r="AK607">
        <f>AJ607&amp;IF($L607="","",", "&amp;$L607)</f>
        <v/>
      </c>
      <c r="AL607">
        <f>AK607&amp;IF($M607="","",", "&amp;$M607)</f>
        <v/>
      </c>
      <c r="AM607">
        <f>AL607&amp;IF($N607="","",", "&amp;$N607)</f>
        <v/>
      </c>
      <c r="AN607">
        <f>AM607&amp;IF($O607="","",", "&amp;$O607)</f>
        <v/>
      </c>
      <c r="AO607">
        <f>AN607&amp;IF($P607="","",", "&amp;$P607)</f>
        <v/>
      </c>
      <c r="AP607">
        <f>AO607&amp;IF($Q607="","",", "&amp;$Q607)</f>
        <v/>
      </c>
      <c r="AQ607">
        <f>AP607&amp;IF($R607="","",", "&amp;$R607)</f>
        <v/>
      </c>
      <c r="AR607">
        <f>AQ607&amp;IF($S607="","",", "&amp;$S607)</f>
        <v/>
      </c>
      <c r="AS607">
        <f>AR607&amp;IF($T607="","",", "&amp;$T607)</f>
        <v/>
      </c>
      <c r="AT607">
        <f>AS607&amp;IF($U607="","",", "&amp;$U607)</f>
        <v/>
      </c>
      <c r="AU607">
        <f>AT607&amp;IF($V607="","",", "&amp;$V607)</f>
        <v/>
      </c>
      <c r="AV607">
        <f>AU607&amp;IF($W607="","",", "&amp;$W607)</f>
        <v/>
      </c>
      <c r="AW607">
        <f>AV607&amp;IF($X607="","",", "&amp;$X607)</f>
        <v/>
      </c>
      <c r="AX607">
        <f>AW607&amp;IF($Y607="","",", "&amp;$Y607)</f>
        <v/>
      </c>
    </row>
    <row r="608">
      <c r="A608" s="118">
        <f>IF($B608="","",COUNT($B$5:$B608))</f>
        <v/>
      </c>
      <c r="B608" s="80" t="n"/>
      <c r="C608" s="80" t="n"/>
      <c r="D608" s="74" t="n"/>
      <c r="E608" s="74" t="n"/>
      <c r="F608" s="74" t="n"/>
      <c r="G608" s="118">
        <f>IF($F608="","",COUNTIF($F$5:$F608,$F608))</f>
        <v/>
      </c>
      <c r="H608" s="33">
        <f>IF($F608="","",IFERROR(INDEX(사건마스터!$B$5:$B$64,MATCH($F608,사건마스터!$A$5:$A$64,0)),""))</f>
        <v/>
      </c>
      <c r="I608" s="130">
        <f>IF($F608="","",IFERROR(INDEX(사건마스터!$C$5:$C$64,MATCH($F608,사건마스터!$A$5:$A$64,0)),""))</f>
        <v/>
      </c>
      <c r="J608" s="136">
        <f>IF($F608="","",IFERROR(INDEX(사건마스터!$H$5:$H$64,MATCH($F608,사건마스터!$A$5:$A$64,0)),""))</f>
        <v/>
      </c>
      <c r="K608" s="136">
        <f>IF($F608="","",IFERROR(INDEX(사건마스터!$AH$5:$AH$64,MATCH($F608,사건마스터!$A$5:$A$64,0)),""))</f>
        <v/>
      </c>
      <c r="L608" s="136">
        <f>IF($F608="","",IFERROR(INDEX(사건마스터!$AI$5:$AI$64,MATCH($F608,사건마스터!$A$5:$A$64,0)),""))</f>
        <v/>
      </c>
      <c r="M608" s="136">
        <f>IF($F608="","",IFERROR(INDEX(사건마스터!$AJ$5:$AJ$64,MATCH($F608,사건마스터!$A$5:$A$64,0)),""))</f>
        <v/>
      </c>
      <c r="N608" s="136">
        <f>IF($F608="","",IFERROR(INDEX(사건마스터!$AK$5:$AK$64,MATCH($F608,사건마스터!$A$5:$A$64,0)),""))</f>
        <v/>
      </c>
      <c r="O608" s="136">
        <f>IF($F608="","",IFERROR(INDEX(사건마스터!$AL$5:$AL$64,MATCH($F608,사건마스터!$A$5:$A$64,0)),""))</f>
        <v/>
      </c>
      <c r="P608" s="136">
        <f>IF($F608="","",IFERROR(INDEX(사건마스터!$AM$5:$AM$64,MATCH($F608,사건마스터!$A$5:$A$64,0)),""))</f>
        <v/>
      </c>
      <c r="Q608" s="136">
        <f>IF($F608="","",IFERROR(INDEX(사건마스터!$AN$5:$AN$64,MATCH($F608,사건마스터!$A$5:$A$64,0)),""))</f>
        <v/>
      </c>
      <c r="R608" s="136">
        <f>IF($F608="","",IFERROR(INDEX(사건마스터!$AO$5:$AO$64,MATCH($F608,사건마스터!$A$5:$A$64,0)),""))</f>
        <v/>
      </c>
      <c r="S608" s="136">
        <f>IF($F608="","",IFERROR(INDEX(사건마스터!$AP$5:$AP$64,MATCH($F608,사건마스터!$A$5:$A$64,0)),""))</f>
        <v/>
      </c>
      <c r="T608" s="136">
        <f>IF($F608="","",IFERROR(INDEX(사건마스터!$AQ$5:$AQ$64,MATCH($F608,사건마스터!$A$5:$A$64,0)),""))</f>
        <v/>
      </c>
      <c r="U608" s="136">
        <f>IF($F608="","",IFERROR(INDEX(사건마스터!$AR$5:$AR$64,MATCH($F608,사건마스터!$A$5:$A$64,0)),""))</f>
        <v/>
      </c>
      <c r="V608" s="136">
        <f>IF($F608="","",IFERROR(INDEX(사건마스터!$AS$5:$AS$64,MATCH($F608,사건마스터!$A$5:$A$64,0)),""))</f>
        <v/>
      </c>
      <c r="W608" s="136">
        <f>IF($F608="","",IFERROR(INDEX(사건마스터!$AT$5:$AT$64,MATCH($F608,사건마스터!$A$5:$A$64,0)),""))</f>
        <v/>
      </c>
      <c r="X608" s="136">
        <f>IF($F608="","",IFERROR(INDEX(사건마스터!$AU$5:$AU$64,MATCH($F608,사건마스터!$A$5:$A$64,0)),""))</f>
        <v/>
      </c>
      <c r="Y608" s="136">
        <f>IF($F608="","",IFERROR(INDEX(사건마스터!$AV$5:$AV$64,MATCH($F608,사건마스터!$A$5:$A$64,0)),""))</f>
        <v/>
      </c>
      <c r="Z608" s="118">
        <f>IF(COUNTBLANK($J608:$Y608)=16,"",16-COUNTBLANK($J608:$Y608))</f>
        <v/>
      </c>
      <c r="AA608" s="33">
        <f>IF($J608="",MID($AX608,3,255),$J608&amp;$AX608)</f>
        <v/>
      </c>
      <c r="AB608" s="130">
        <f>IF($J608="","",IFERROR(INDEX(코드설정!$D$5:$D$24,MATCH($J608,코드설정!$C$5:$C$24,0)),""))</f>
        <v/>
      </c>
      <c r="AC608" s="36" t="n"/>
      <c r="AD608" s="37" t="n"/>
      <c r="AE608" s="38" t="n"/>
      <c r="AF608" s="118">
        <f>IF(OR($B608="",$C608=""),"",$C608-$B608+1)</f>
        <v/>
      </c>
      <c r="AG608" s="74" t="n"/>
      <c r="AH608" s="36" t="n"/>
      <c r="AJ608">
        <f>IF($K608="","",", "&amp;$K608)</f>
        <v/>
      </c>
      <c r="AK608">
        <f>AJ608&amp;IF($L608="","",", "&amp;$L608)</f>
        <v/>
      </c>
      <c r="AL608">
        <f>AK608&amp;IF($M608="","",", "&amp;$M608)</f>
        <v/>
      </c>
      <c r="AM608">
        <f>AL608&amp;IF($N608="","",", "&amp;$N608)</f>
        <v/>
      </c>
      <c r="AN608">
        <f>AM608&amp;IF($O608="","",", "&amp;$O608)</f>
        <v/>
      </c>
      <c r="AO608">
        <f>AN608&amp;IF($P608="","",", "&amp;$P608)</f>
        <v/>
      </c>
      <c r="AP608">
        <f>AO608&amp;IF($Q608="","",", "&amp;$Q608)</f>
        <v/>
      </c>
      <c r="AQ608">
        <f>AP608&amp;IF($R608="","",", "&amp;$R608)</f>
        <v/>
      </c>
      <c r="AR608">
        <f>AQ608&amp;IF($S608="","",", "&amp;$S608)</f>
        <v/>
      </c>
      <c r="AS608">
        <f>AR608&amp;IF($T608="","",", "&amp;$T608)</f>
        <v/>
      </c>
      <c r="AT608">
        <f>AS608&amp;IF($U608="","",", "&amp;$U608)</f>
        <v/>
      </c>
      <c r="AU608">
        <f>AT608&amp;IF($V608="","",", "&amp;$V608)</f>
        <v/>
      </c>
      <c r="AV608">
        <f>AU608&amp;IF($W608="","",", "&amp;$W608)</f>
        <v/>
      </c>
      <c r="AW608">
        <f>AV608&amp;IF($X608="","",", "&amp;$X608)</f>
        <v/>
      </c>
      <c r="AX608">
        <f>AW608&amp;IF($Y608="","",", "&amp;$Y608)</f>
        <v/>
      </c>
    </row>
    <row r="609">
      <c r="A609" s="118">
        <f>IF($B609="","",COUNT($B$5:$B609))</f>
        <v/>
      </c>
      <c r="B609" s="80" t="n"/>
      <c r="C609" s="80" t="n"/>
      <c r="D609" s="74" t="n"/>
      <c r="E609" s="74" t="n"/>
      <c r="F609" s="74" t="n"/>
      <c r="G609" s="118">
        <f>IF($F609="","",COUNTIF($F$5:$F609,$F609))</f>
        <v/>
      </c>
      <c r="H609" s="33">
        <f>IF($F609="","",IFERROR(INDEX(사건마스터!$B$5:$B$64,MATCH($F609,사건마스터!$A$5:$A$64,0)),""))</f>
        <v/>
      </c>
      <c r="I609" s="130">
        <f>IF($F609="","",IFERROR(INDEX(사건마스터!$C$5:$C$64,MATCH($F609,사건마스터!$A$5:$A$64,0)),""))</f>
        <v/>
      </c>
      <c r="J609" s="136">
        <f>IF($F609="","",IFERROR(INDEX(사건마스터!$H$5:$H$64,MATCH($F609,사건마스터!$A$5:$A$64,0)),""))</f>
        <v/>
      </c>
      <c r="K609" s="136">
        <f>IF($F609="","",IFERROR(INDEX(사건마스터!$AH$5:$AH$64,MATCH($F609,사건마스터!$A$5:$A$64,0)),""))</f>
        <v/>
      </c>
      <c r="L609" s="136">
        <f>IF($F609="","",IFERROR(INDEX(사건마스터!$AI$5:$AI$64,MATCH($F609,사건마스터!$A$5:$A$64,0)),""))</f>
        <v/>
      </c>
      <c r="M609" s="136">
        <f>IF($F609="","",IFERROR(INDEX(사건마스터!$AJ$5:$AJ$64,MATCH($F609,사건마스터!$A$5:$A$64,0)),""))</f>
        <v/>
      </c>
      <c r="N609" s="136">
        <f>IF($F609="","",IFERROR(INDEX(사건마스터!$AK$5:$AK$64,MATCH($F609,사건마스터!$A$5:$A$64,0)),""))</f>
        <v/>
      </c>
      <c r="O609" s="136">
        <f>IF($F609="","",IFERROR(INDEX(사건마스터!$AL$5:$AL$64,MATCH($F609,사건마스터!$A$5:$A$64,0)),""))</f>
        <v/>
      </c>
      <c r="P609" s="136">
        <f>IF($F609="","",IFERROR(INDEX(사건마스터!$AM$5:$AM$64,MATCH($F609,사건마스터!$A$5:$A$64,0)),""))</f>
        <v/>
      </c>
      <c r="Q609" s="136">
        <f>IF($F609="","",IFERROR(INDEX(사건마스터!$AN$5:$AN$64,MATCH($F609,사건마스터!$A$5:$A$64,0)),""))</f>
        <v/>
      </c>
      <c r="R609" s="136">
        <f>IF($F609="","",IFERROR(INDEX(사건마스터!$AO$5:$AO$64,MATCH($F609,사건마스터!$A$5:$A$64,0)),""))</f>
        <v/>
      </c>
      <c r="S609" s="136">
        <f>IF($F609="","",IFERROR(INDEX(사건마스터!$AP$5:$AP$64,MATCH($F609,사건마스터!$A$5:$A$64,0)),""))</f>
        <v/>
      </c>
      <c r="T609" s="136">
        <f>IF($F609="","",IFERROR(INDEX(사건마스터!$AQ$5:$AQ$64,MATCH($F609,사건마스터!$A$5:$A$64,0)),""))</f>
        <v/>
      </c>
      <c r="U609" s="136">
        <f>IF($F609="","",IFERROR(INDEX(사건마스터!$AR$5:$AR$64,MATCH($F609,사건마스터!$A$5:$A$64,0)),""))</f>
        <v/>
      </c>
      <c r="V609" s="136">
        <f>IF($F609="","",IFERROR(INDEX(사건마스터!$AS$5:$AS$64,MATCH($F609,사건마스터!$A$5:$A$64,0)),""))</f>
        <v/>
      </c>
      <c r="W609" s="136">
        <f>IF($F609="","",IFERROR(INDEX(사건마스터!$AT$5:$AT$64,MATCH($F609,사건마스터!$A$5:$A$64,0)),""))</f>
        <v/>
      </c>
      <c r="X609" s="136">
        <f>IF($F609="","",IFERROR(INDEX(사건마스터!$AU$5:$AU$64,MATCH($F609,사건마스터!$A$5:$A$64,0)),""))</f>
        <v/>
      </c>
      <c r="Y609" s="136">
        <f>IF($F609="","",IFERROR(INDEX(사건마스터!$AV$5:$AV$64,MATCH($F609,사건마스터!$A$5:$A$64,0)),""))</f>
        <v/>
      </c>
      <c r="Z609" s="118">
        <f>IF(COUNTBLANK($J609:$Y609)=16,"",16-COUNTBLANK($J609:$Y609))</f>
        <v/>
      </c>
      <c r="AA609" s="33">
        <f>IF($J609="",MID($AX609,3,255),$J609&amp;$AX609)</f>
        <v/>
      </c>
      <c r="AB609" s="130">
        <f>IF($J609="","",IFERROR(INDEX(코드설정!$D$5:$D$24,MATCH($J609,코드설정!$C$5:$C$24,0)),""))</f>
        <v/>
      </c>
      <c r="AC609" s="36" t="n"/>
      <c r="AD609" s="37" t="n"/>
      <c r="AE609" s="38" t="n"/>
      <c r="AF609" s="118">
        <f>IF(OR($B609="",$C609=""),"",$C609-$B609+1)</f>
        <v/>
      </c>
      <c r="AG609" s="74" t="n"/>
      <c r="AH609" s="36" t="n"/>
      <c r="AJ609">
        <f>IF($K609="","",", "&amp;$K609)</f>
        <v/>
      </c>
      <c r="AK609">
        <f>AJ609&amp;IF($L609="","",", "&amp;$L609)</f>
        <v/>
      </c>
      <c r="AL609">
        <f>AK609&amp;IF($M609="","",", "&amp;$M609)</f>
        <v/>
      </c>
      <c r="AM609">
        <f>AL609&amp;IF($N609="","",", "&amp;$N609)</f>
        <v/>
      </c>
      <c r="AN609">
        <f>AM609&amp;IF($O609="","",", "&amp;$O609)</f>
        <v/>
      </c>
      <c r="AO609">
        <f>AN609&amp;IF($P609="","",", "&amp;$P609)</f>
        <v/>
      </c>
      <c r="AP609">
        <f>AO609&amp;IF($Q609="","",", "&amp;$Q609)</f>
        <v/>
      </c>
      <c r="AQ609">
        <f>AP609&amp;IF($R609="","",", "&amp;$R609)</f>
        <v/>
      </c>
      <c r="AR609">
        <f>AQ609&amp;IF($S609="","",", "&amp;$S609)</f>
        <v/>
      </c>
      <c r="AS609">
        <f>AR609&amp;IF($T609="","",", "&amp;$T609)</f>
        <v/>
      </c>
      <c r="AT609">
        <f>AS609&amp;IF($U609="","",", "&amp;$U609)</f>
        <v/>
      </c>
      <c r="AU609">
        <f>AT609&amp;IF($V609="","",", "&amp;$V609)</f>
        <v/>
      </c>
      <c r="AV609">
        <f>AU609&amp;IF($W609="","",", "&amp;$W609)</f>
        <v/>
      </c>
      <c r="AW609">
        <f>AV609&amp;IF($X609="","",", "&amp;$X609)</f>
        <v/>
      </c>
      <c r="AX609">
        <f>AW609&amp;IF($Y609="","",", "&amp;$Y609)</f>
        <v/>
      </c>
    </row>
    <row r="610">
      <c r="A610" s="118">
        <f>IF($B610="","",COUNT($B$5:$B610))</f>
        <v/>
      </c>
      <c r="B610" s="80" t="n"/>
      <c r="C610" s="80" t="n"/>
      <c r="D610" s="74" t="n"/>
      <c r="E610" s="74" t="n"/>
      <c r="F610" s="74" t="n"/>
      <c r="G610" s="118">
        <f>IF($F610="","",COUNTIF($F$5:$F610,$F610))</f>
        <v/>
      </c>
      <c r="H610" s="33">
        <f>IF($F610="","",IFERROR(INDEX(사건마스터!$B$5:$B$64,MATCH($F610,사건마스터!$A$5:$A$64,0)),""))</f>
        <v/>
      </c>
      <c r="I610" s="130">
        <f>IF($F610="","",IFERROR(INDEX(사건마스터!$C$5:$C$64,MATCH($F610,사건마스터!$A$5:$A$64,0)),""))</f>
        <v/>
      </c>
      <c r="J610" s="136">
        <f>IF($F610="","",IFERROR(INDEX(사건마스터!$H$5:$H$64,MATCH($F610,사건마스터!$A$5:$A$64,0)),""))</f>
        <v/>
      </c>
      <c r="K610" s="136">
        <f>IF($F610="","",IFERROR(INDEX(사건마스터!$AH$5:$AH$64,MATCH($F610,사건마스터!$A$5:$A$64,0)),""))</f>
        <v/>
      </c>
      <c r="L610" s="136">
        <f>IF($F610="","",IFERROR(INDEX(사건마스터!$AI$5:$AI$64,MATCH($F610,사건마스터!$A$5:$A$64,0)),""))</f>
        <v/>
      </c>
      <c r="M610" s="136">
        <f>IF($F610="","",IFERROR(INDEX(사건마스터!$AJ$5:$AJ$64,MATCH($F610,사건마스터!$A$5:$A$64,0)),""))</f>
        <v/>
      </c>
      <c r="N610" s="136">
        <f>IF($F610="","",IFERROR(INDEX(사건마스터!$AK$5:$AK$64,MATCH($F610,사건마스터!$A$5:$A$64,0)),""))</f>
        <v/>
      </c>
      <c r="O610" s="136">
        <f>IF($F610="","",IFERROR(INDEX(사건마스터!$AL$5:$AL$64,MATCH($F610,사건마스터!$A$5:$A$64,0)),""))</f>
        <v/>
      </c>
      <c r="P610" s="136">
        <f>IF($F610="","",IFERROR(INDEX(사건마스터!$AM$5:$AM$64,MATCH($F610,사건마스터!$A$5:$A$64,0)),""))</f>
        <v/>
      </c>
      <c r="Q610" s="136">
        <f>IF($F610="","",IFERROR(INDEX(사건마스터!$AN$5:$AN$64,MATCH($F610,사건마스터!$A$5:$A$64,0)),""))</f>
        <v/>
      </c>
      <c r="R610" s="136">
        <f>IF($F610="","",IFERROR(INDEX(사건마스터!$AO$5:$AO$64,MATCH($F610,사건마스터!$A$5:$A$64,0)),""))</f>
        <v/>
      </c>
      <c r="S610" s="136">
        <f>IF($F610="","",IFERROR(INDEX(사건마스터!$AP$5:$AP$64,MATCH($F610,사건마스터!$A$5:$A$64,0)),""))</f>
        <v/>
      </c>
      <c r="T610" s="136">
        <f>IF($F610="","",IFERROR(INDEX(사건마스터!$AQ$5:$AQ$64,MATCH($F610,사건마스터!$A$5:$A$64,0)),""))</f>
        <v/>
      </c>
      <c r="U610" s="136">
        <f>IF($F610="","",IFERROR(INDEX(사건마스터!$AR$5:$AR$64,MATCH($F610,사건마스터!$A$5:$A$64,0)),""))</f>
        <v/>
      </c>
      <c r="V610" s="136">
        <f>IF($F610="","",IFERROR(INDEX(사건마스터!$AS$5:$AS$64,MATCH($F610,사건마스터!$A$5:$A$64,0)),""))</f>
        <v/>
      </c>
      <c r="W610" s="136">
        <f>IF($F610="","",IFERROR(INDEX(사건마스터!$AT$5:$AT$64,MATCH($F610,사건마스터!$A$5:$A$64,0)),""))</f>
        <v/>
      </c>
      <c r="X610" s="136">
        <f>IF($F610="","",IFERROR(INDEX(사건마스터!$AU$5:$AU$64,MATCH($F610,사건마스터!$A$5:$A$64,0)),""))</f>
        <v/>
      </c>
      <c r="Y610" s="136">
        <f>IF($F610="","",IFERROR(INDEX(사건마스터!$AV$5:$AV$64,MATCH($F610,사건마스터!$A$5:$A$64,0)),""))</f>
        <v/>
      </c>
      <c r="Z610" s="118">
        <f>IF(COUNTBLANK($J610:$Y610)=16,"",16-COUNTBLANK($J610:$Y610))</f>
        <v/>
      </c>
      <c r="AA610" s="33">
        <f>IF($J610="",MID($AX610,3,255),$J610&amp;$AX610)</f>
        <v/>
      </c>
      <c r="AB610" s="130">
        <f>IF($J610="","",IFERROR(INDEX(코드설정!$D$5:$D$24,MATCH($J610,코드설정!$C$5:$C$24,0)),""))</f>
        <v/>
      </c>
      <c r="AC610" s="36" t="n"/>
      <c r="AD610" s="37" t="n"/>
      <c r="AE610" s="38" t="n"/>
      <c r="AF610" s="118">
        <f>IF(OR($B610="",$C610=""),"",$C610-$B610+1)</f>
        <v/>
      </c>
      <c r="AG610" s="74" t="n"/>
      <c r="AH610" s="36" t="n"/>
      <c r="AJ610">
        <f>IF($K610="","",", "&amp;$K610)</f>
        <v/>
      </c>
      <c r="AK610">
        <f>AJ610&amp;IF($L610="","",", "&amp;$L610)</f>
        <v/>
      </c>
      <c r="AL610">
        <f>AK610&amp;IF($M610="","",", "&amp;$M610)</f>
        <v/>
      </c>
      <c r="AM610">
        <f>AL610&amp;IF($N610="","",", "&amp;$N610)</f>
        <v/>
      </c>
      <c r="AN610">
        <f>AM610&amp;IF($O610="","",", "&amp;$O610)</f>
        <v/>
      </c>
      <c r="AO610">
        <f>AN610&amp;IF($P610="","",", "&amp;$P610)</f>
        <v/>
      </c>
      <c r="AP610">
        <f>AO610&amp;IF($Q610="","",", "&amp;$Q610)</f>
        <v/>
      </c>
      <c r="AQ610">
        <f>AP610&amp;IF($R610="","",", "&amp;$R610)</f>
        <v/>
      </c>
      <c r="AR610">
        <f>AQ610&amp;IF($S610="","",", "&amp;$S610)</f>
        <v/>
      </c>
      <c r="AS610">
        <f>AR610&amp;IF($T610="","",", "&amp;$T610)</f>
        <v/>
      </c>
      <c r="AT610">
        <f>AS610&amp;IF($U610="","",", "&amp;$U610)</f>
        <v/>
      </c>
      <c r="AU610">
        <f>AT610&amp;IF($V610="","",", "&amp;$V610)</f>
        <v/>
      </c>
      <c r="AV610">
        <f>AU610&amp;IF($W610="","",", "&amp;$W610)</f>
        <v/>
      </c>
      <c r="AW610">
        <f>AV610&amp;IF($X610="","",", "&amp;$X610)</f>
        <v/>
      </c>
      <c r="AX610">
        <f>AW610&amp;IF($Y610="","",", "&amp;$Y610)</f>
        <v/>
      </c>
    </row>
    <row r="611">
      <c r="A611" s="118">
        <f>IF($B611="","",COUNT($B$5:$B611))</f>
        <v/>
      </c>
      <c r="B611" s="80" t="n"/>
      <c r="C611" s="80" t="n"/>
      <c r="D611" s="74" t="n"/>
      <c r="E611" s="74" t="n"/>
      <c r="F611" s="74" t="n"/>
      <c r="G611" s="118">
        <f>IF($F611="","",COUNTIF($F$5:$F611,$F611))</f>
        <v/>
      </c>
      <c r="H611" s="33">
        <f>IF($F611="","",IFERROR(INDEX(사건마스터!$B$5:$B$64,MATCH($F611,사건마스터!$A$5:$A$64,0)),""))</f>
        <v/>
      </c>
      <c r="I611" s="130">
        <f>IF($F611="","",IFERROR(INDEX(사건마스터!$C$5:$C$64,MATCH($F611,사건마스터!$A$5:$A$64,0)),""))</f>
        <v/>
      </c>
      <c r="J611" s="136">
        <f>IF($F611="","",IFERROR(INDEX(사건마스터!$H$5:$H$64,MATCH($F611,사건마스터!$A$5:$A$64,0)),""))</f>
        <v/>
      </c>
      <c r="K611" s="136">
        <f>IF($F611="","",IFERROR(INDEX(사건마스터!$AH$5:$AH$64,MATCH($F611,사건마스터!$A$5:$A$64,0)),""))</f>
        <v/>
      </c>
      <c r="L611" s="136">
        <f>IF($F611="","",IFERROR(INDEX(사건마스터!$AI$5:$AI$64,MATCH($F611,사건마스터!$A$5:$A$64,0)),""))</f>
        <v/>
      </c>
      <c r="M611" s="136">
        <f>IF($F611="","",IFERROR(INDEX(사건마스터!$AJ$5:$AJ$64,MATCH($F611,사건마스터!$A$5:$A$64,0)),""))</f>
        <v/>
      </c>
      <c r="N611" s="136">
        <f>IF($F611="","",IFERROR(INDEX(사건마스터!$AK$5:$AK$64,MATCH($F611,사건마스터!$A$5:$A$64,0)),""))</f>
        <v/>
      </c>
      <c r="O611" s="136">
        <f>IF($F611="","",IFERROR(INDEX(사건마스터!$AL$5:$AL$64,MATCH($F611,사건마스터!$A$5:$A$64,0)),""))</f>
        <v/>
      </c>
      <c r="P611" s="136">
        <f>IF($F611="","",IFERROR(INDEX(사건마스터!$AM$5:$AM$64,MATCH($F611,사건마스터!$A$5:$A$64,0)),""))</f>
        <v/>
      </c>
      <c r="Q611" s="136">
        <f>IF($F611="","",IFERROR(INDEX(사건마스터!$AN$5:$AN$64,MATCH($F611,사건마스터!$A$5:$A$64,0)),""))</f>
        <v/>
      </c>
      <c r="R611" s="136">
        <f>IF($F611="","",IFERROR(INDEX(사건마스터!$AO$5:$AO$64,MATCH($F611,사건마스터!$A$5:$A$64,0)),""))</f>
        <v/>
      </c>
      <c r="S611" s="136">
        <f>IF($F611="","",IFERROR(INDEX(사건마스터!$AP$5:$AP$64,MATCH($F611,사건마스터!$A$5:$A$64,0)),""))</f>
        <v/>
      </c>
      <c r="T611" s="136">
        <f>IF($F611="","",IFERROR(INDEX(사건마스터!$AQ$5:$AQ$64,MATCH($F611,사건마스터!$A$5:$A$64,0)),""))</f>
        <v/>
      </c>
      <c r="U611" s="136">
        <f>IF($F611="","",IFERROR(INDEX(사건마스터!$AR$5:$AR$64,MATCH($F611,사건마스터!$A$5:$A$64,0)),""))</f>
        <v/>
      </c>
      <c r="V611" s="136">
        <f>IF($F611="","",IFERROR(INDEX(사건마스터!$AS$5:$AS$64,MATCH($F611,사건마스터!$A$5:$A$64,0)),""))</f>
        <v/>
      </c>
      <c r="W611" s="136">
        <f>IF($F611="","",IFERROR(INDEX(사건마스터!$AT$5:$AT$64,MATCH($F611,사건마스터!$A$5:$A$64,0)),""))</f>
        <v/>
      </c>
      <c r="X611" s="136">
        <f>IF($F611="","",IFERROR(INDEX(사건마스터!$AU$5:$AU$64,MATCH($F611,사건마스터!$A$5:$A$64,0)),""))</f>
        <v/>
      </c>
      <c r="Y611" s="136">
        <f>IF($F611="","",IFERROR(INDEX(사건마스터!$AV$5:$AV$64,MATCH($F611,사건마스터!$A$5:$A$64,0)),""))</f>
        <v/>
      </c>
      <c r="Z611" s="118">
        <f>IF(COUNTBLANK($J611:$Y611)=16,"",16-COUNTBLANK($J611:$Y611))</f>
        <v/>
      </c>
      <c r="AA611" s="33">
        <f>IF($J611="",MID($AX611,3,255),$J611&amp;$AX611)</f>
        <v/>
      </c>
      <c r="AB611" s="130">
        <f>IF($J611="","",IFERROR(INDEX(코드설정!$D$5:$D$24,MATCH($J611,코드설정!$C$5:$C$24,0)),""))</f>
        <v/>
      </c>
      <c r="AC611" s="36" t="n"/>
      <c r="AD611" s="37" t="n"/>
      <c r="AE611" s="38" t="n"/>
      <c r="AF611" s="118">
        <f>IF(OR($B611="",$C611=""),"",$C611-$B611+1)</f>
        <v/>
      </c>
      <c r="AG611" s="74" t="n"/>
      <c r="AH611" s="36" t="n"/>
      <c r="AJ611">
        <f>IF($K611="","",", "&amp;$K611)</f>
        <v/>
      </c>
      <c r="AK611">
        <f>AJ611&amp;IF($L611="","",", "&amp;$L611)</f>
        <v/>
      </c>
      <c r="AL611">
        <f>AK611&amp;IF($M611="","",", "&amp;$M611)</f>
        <v/>
      </c>
      <c r="AM611">
        <f>AL611&amp;IF($N611="","",", "&amp;$N611)</f>
        <v/>
      </c>
      <c r="AN611">
        <f>AM611&amp;IF($O611="","",", "&amp;$O611)</f>
        <v/>
      </c>
      <c r="AO611">
        <f>AN611&amp;IF($P611="","",", "&amp;$P611)</f>
        <v/>
      </c>
      <c r="AP611">
        <f>AO611&amp;IF($Q611="","",", "&amp;$Q611)</f>
        <v/>
      </c>
      <c r="AQ611">
        <f>AP611&amp;IF($R611="","",", "&amp;$R611)</f>
        <v/>
      </c>
      <c r="AR611">
        <f>AQ611&amp;IF($S611="","",", "&amp;$S611)</f>
        <v/>
      </c>
      <c r="AS611">
        <f>AR611&amp;IF($T611="","",", "&amp;$T611)</f>
        <v/>
      </c>
      <c r="AT611">
        <f>AS611&amp;IF($U611="","",", "&amp;$U611)</f>
        <v/>
      </c>
      <c r="AU611">
        <f>AT611&amp;IF($V611="","",", "&amp;$V611)</f>
        <v/>
      </c>
      <c r="AV611">
        <f>AU611&amp;IF($W611="","",", "&amp;$W611)</f>
        <v/>
      </c>
      <c r="AW611">
        <f>AV611&amp;IF($X611="","",", "&amp;$X611)</f>
        <v/>
      </c>
      <c r="AX611">
        <f>AW611&amp;IF($Y611="","",", "&amp;$Y611)</f>
        <v/>
      </c>
    </row>
    <row r="612">
      <c r="A612" s="118">
        <f>IF($B612="","",COUNT($B$5:$B612))</f>
        <v/>
      </c>
      <c r="B612" s="80" t="n"/>
      <c r="C612" s="80" t="n"/>
      <c r="D612" s="74" t="n"/>
      <c r="E612" s="74" t="n"/>
      <c r="F612" s="74" t="n"/>
      <c r="G612" s="118">
        <f>IF($F612="","",COUNTIF($F$5:$F612,$F612))</f>
        <v/>
      </c>
      <c r="H612" s="33">
        <f>IF($F612="","",IFERROR(INDEX(사건마스터!$B$5:$B$64,MATCH($F612,사건마스터!$A$5:$A$64,0)),""))</f>
        <v/>
      </c>
      <c r="I612" s="130">
        <f>IF($F612="","",IFERROR(INDEX(사건마스터!$C$5:$C$64,MATCH($F612,사건마스터!$A$5:$A$64,0)),""))</f>
        <v/>
      </c>
      <c r="J612" s="136">
        <f>IF($F612="","",IFERROR(INDEX(사건마스터!$H$5:$H$64,MATCH($F612,사건마스터!$A$5:$A$64,0)),""))</f>
        <v/>
      </c>
      <c r="K612" s="136">
        <f>IF($F612="","",IFERROR(INDEX(사건마스터!$AH$5:$AH$64,MATCH($F612,사건마스터!$A$5:$A$64,0)),""))</f>
        <v/>
      </c>
      <c r="L612" s="136">
        <f>IF($F612="","",IFERROR(INDEX(사건마스터!$AI$5:$AI$64,MATCH($F612,사건마스터!$A$5:$A$64,0)),""))</f>
        <v/>
      </c>
      <c r="M612" s="136">
        <f>IF($F612="","",IFERROR(INDEX(사건마스터!$AJ$5:$AJ$64,MATCH($F612,사건마스터!$A$5:$A$64,0)),""))</f>
        <v/>
      </c>
      <c r="N612" s="136">
        <f>IF($F612="","",IFERROR(INDEX(사건마스터!$AK$5:$AK$64,MATCH($F612,사건마스터!$A$5:$A$64,0)),""))</f>
        <v/>
      </c>
      <c r="O612" s="136">
        <f>IF($F612="","",IFERROR(INDEX(사건마스터!$AL$5:$AL$64,MATCH($F612,사건마스터!$A$5:$A$64,0)),""))</f>
        <v/>
      </c>
      <c r="P612" s="136">
        <f>IF($F612="","",IFERROR(INDEX(사건마스터!$AM$5:$AM$64,MATCH($F612,사건마스터!$A$5:$A$64,0)),""))</f>
        <v/>
      </c>
      <c r="Q612" s="136">
        <f>IF($F612="","",IFERROR(INDEX(사건마스터!$AN$5:$AN$64,MATCH($F612,사건마스터!$A$5:$A$64,0)),""))</f>
        <v/>
      </c>
      <c r="R612" s="136">
        <f>IF($F612="","",IFERROR(INDEX(사건마스터!$AO$5:$AO$64,MATCH($F612,사건마스터!$A$5:$A$64,0)),""))</f>
        <v/>
      </c>
      <c r="S612" s="136">
        <f>IF($F612="","",IFERROR(INDEX(사건마스터!$AP$5:$AP$64,MATCH($F612,사건마스터!$A$5:$A$64,0)),""))</f>
        <v/>
      </c>
      <c r="T612" s="136">
        <f>IF($F612="","",IFERROR(INDEX(사건마스터!$AQ$5:$AQ$64,MATCH($F612,사건마스터!$A$5:$A$64,0)),""))</f>
        <v/>
      </c>
      <c r="U612" s="136">
        <f>IF($F612="","",IFERROR(INDEX(사건마스터!$AR$5:$AR$64,MATCH($F612,사건마스터!$A$5:$A$64,0)),""))</f>
        <v/>
      </c>
      <c r="V612" s="136">
        <f>IF($F612="","",IFERROR(INDEX(사건마스터!$AS$5:$AS$64,MATCH($F612,사건마스터!$A$5:$A$64,0)),""))</f>
        <v/>
      </c>
      <c r="W612" s="136">
        <f>IF($F612="","",IFERROR(INDEX(사건마스터!$AT$5:$AT$64,MATCH($F612,사건마스터!$A$5:$A$64,0)),""))</f>
        <v/>
      </c>
      <c r="X612" s="136">
        <f>IF($F612="","",IFERROR(INDEX(사건마스터!$AU$5:$AU$64,MATCH($F612,사건마스터!$A$5:$A$64,0)),""))</f>
        <v/>
      </c>
      <c r="Y612" s="136">
        <f>IF($F612="","",IFERROR(INDEX(사건마스터!$AV$5:$AV$64,MATCH($F612,사건마스터!$A$5:$A$64,0)),""))</f>
        <v/>
      </c>
      <c r="Z612" s="118">
        <f>IF(COUNTBLANK($J612:$Y612)=16,"",16-COUNTBLANK($J612:$Y612))</f>
        <v/>
      </c>
      <c r="AA612" s="33">
        <f>IF($J612="",MID($AX612,3,255),$J612&amp;$AX612)</f>
        <v/>
      </c>
      <c r="AB612" s="130">
        <f>IF($J612="","",IFERROR(INDEX(코드설정!$D$5:$D$24,MATCH($J612,코드설정!$C$5:$C$24,0)),""))</f>
        <v/>
      </c>
      <c r="AC612" s="36" t="n"/>
      <c r="AD612" s="37" t="n"/>
      <c r="AE612" s="38" t="n"/>
      <c r="AF612" s="118">
        <f>IF(OR($B612="",$C612=""),"",$C612-$B612+1)</f>
        <v/>
      </c>
      <c r="AG612" s="74" t="n"/>
      <c r="AH612" s="36" t="n"/>
      <c r="AJ612">
        <f>IF($K612="","",", "&amp;$K612)</f>
        <v/>
      </c>
      <c r="AK612">
        <f>AJ612&amp;IF($L612="","",", "&amp;$L612)</f>
        <v/>
      </c>
      <c r="AL612">
        <f>AK612&amp;IF($M612="","",", "&amp;$M612)</f>
        <v/>
      </c>
      <c r="AM612">
        <f>AL612&amp;IF($N612="","",", "&amp;$N612)</f>
        <v/>
      </c>
      <c r="AN612">
        <f>AM612&amp;IF($O612="","",", "&amp;$O612)</f>
        <v/>
      </c>
      <c r="AO612">
        <f>AN612&amp;IF($P612="","",", "&amp;$P612)</f>
        <v/>
      </c>
      <c r="AP612">
        <f>AO612&amp;IF($Q612="","",", "&amp;$Q612)</f>
        <v/>
      </c>
      <c r="AQ612">
        <f>AP612&amp;IF($R612="","",", "&amp;$R612)</f>
        <v/>
      </c>
      <c r="AR612">
        <f>AQ612&amp;IF($S612="","",", "&amp;$S612)</f>
        <v/>
      </c>
      <c r="AS612">
        <f>AR612&amp;IF($T612="","",", "&amp;$T612)</f>
        <v/>
      </c>
      <c r="AT612">
        <f>AS612&amp;IF($U612="","",", "&amp;$U612)</f>
        <v/>
      </c>
      <c r="AU612">
        <f>AT612&amp;IF($V612="","",", "&amp;$V612)</f>
        <v/>
      </c>
      <c r="AV612">
        <f>AU612&amp;IF($W612="","",", "&amp;$W612)</f>
        <v/>
      </c>
      <c r="AW612">
        <f>AV612&amp;IF($X612="","",", "&amp;$X612)</f>
        <v/>
      </c>
      <c r="AX612">
        <f>AW612&amp;IF($Y612="","",", "&amp;$Y612)</f>
        <v/>
      </c>
    </row>
    <row r="613">
      <c r="A613" s="118">
        <f>IF($B613="","",COUNT($B$5:$B613))</f>
        <v/>
      </c>
      <c r="B613" s="80" t="n"/>
      <c r="C613" s="80" t="n"/>
      <c r="D613" s="74" t="n"/>
      <c r="E613" s="74" t="n"/>
      <c r="F613" s="74" t="n"/>
      <c r="G613" s="118">
        <f>IF($F613="","",COUNTIF($F$5:$F613,$F613))</f>
        <v/>
      </c>
      <c r="H613" s="33">
        <f>IF($F613="","",IFERROR(INDEX(사건마스터!$B$5:$B$64,MATCH($F613,사건마스터!$A$5:$A$64,0)),""))</f>
        <v/>
      </c>
      <c r="I613" s="130">
        <f>IF($F613="","",IFERROR(INDEX(사건마스터!$C$5:$C$64,MATCH($F613,사건마스터!$A$5:$A$64,0)),""))</f>
        <v/>
      </c>
      <c r="J613" s="136">
        <f>IF($F613="","",IFERROR(INDEX(사건마스터!$H$5:$H$64,MATCH($F613,사건마스터!$A$5:$A$64,0)),""))</f>
        <v/>
      </c>
      <c r="K613" s="136">
        <f>IF($F613="","",IFERROR(INDEX(사건마스터!$AH$5:$AH$64,MATCH($F613,사건마스터!$A$5:$A$64,0)),""))</f>
        <v/>
      </c>
      <c r="L613" s="136">
        <f>IF($F613="","",IFERROR(INDEX(사건마스터!$AI$5:$AI$64,MATCH($F613,사건마스터!$A$5:$A$64,0)),""))</f>
        <v/>
      </c>
      <c r="M613" s="136">
        <f>IF($F613="","",IFERROR(INDEX(사건마스터!$AJ$5:$AJ$64,MATCH($F613,사건마스터!$A$5:$A$64,0)),""))</f>
        <v/>
      </c>
      <c r="N613" s="136">
        <f>IF($F613="","",IFERROR(INDEX(사건마스터!$AK$5:$AK$64,MATCH($F613,사건마스터!$A$5:$A$64,0)),""))</f>
        <v/>
      </c>
      <c r="O613" s="136">
        <f>IF($F613="","",IFERROR(INDEX(사건마스터!$AL$5:$AL$64,MATCH($F613,사건마스터!$A$5:$A$64,0)),""))</f>
        <v/>
      </c>
      <c r="P613" s="136">
        <f>IF($F613="","",IFERROR(INDEX(사건마스터!$AM$5:$AM$64,MATCH($F613,사건마스터!$A$5:$A$64,0)),""))</f>
        <v/>
      </c>
      <c r="Q613" s="136">
        <f>IF($F613="","",IFERROR(INDEX(사건마스터!$AN$5:$AN$64,MATCH($F613,사건마스터!$A$5:$A$64,0)),""))</f>
        <v/>
      </c>
      <c r="R613" s="136">
        <f>IF($F613="","",IFERROR(INDEX(사건마스터!$AO$5:$AO$64,MATCH($F613,사건마스터!$A$5:$A$64,0)),""))</f>
        <v/>
      </c>
      <c r="S613" s="136">
        <f>IF($F613="","",IFERROR(INDEX(사건마스터!$AP$5:$AP$64,MATCH($F613,사건마스터!$A$5:$A$64,0)),""))</f>
        <v/>
      </c>
      <c r="T613" s="136">
        <f>IF($F613="","",IFERROR(INDEX(사건마스터!$AQ$5:$AQ$64,MATCH($F613,사건마스터!$A$5:$A$64,0)),""))</f>
        <v/>
      </c>
      <c r="U613" s="136">
        <f>IF($F613="","",IFERROR(INDEX(사건마스터!$AR$5:$AR$64,MATCH($F613,사건마스터!$A$5:$A$64,0)),""))</f>
        <v/>
      </c>
      <c r="V613" s="136">
        <f>IF($F613="","",IFERROR(INDEX(사건마스터!$AS$5:$AS$64,MATCH($F613,사건마스터!$A$5:$A$64,0)),""))</f>
        <v/>
      </c>
      <c r="W613" s="136">
        <f>IF($F613="","",IFERROR(INDEX(사건마스터!$AT$5:$AT$64,MATCH($F613,사건마스터!$A$5:$A$64,0)),""))</f>
        <v/>
      </c>
      <c r="X613" s="136">
        <f>IF($F613="","",IFERROR(INDEX(사건마스터!$AU$5:$AU$64,MATCH($F613,사건마스터!$A$5:$A$64,0)),""))</f>
        <v/>
      </c>
      <c r="Y613" s="136">
        <f>IF($F613="","",IFERROR(INDEX(사건마스터!$AV$5:$AV$64,MATCH($F613,사건마스터!$A$5:$A$64,0)),""))</f>
        <v/>
      </c>
      <c r="Z613" s="118">
        <f>IF(COUNTBLANK($J613:$Y613)=16,"",16-COUNTBLANK($J613:$Y613))</f>
        <v/>
      </c>
      <c r="AA613" s="33">
        <f>IF($J613="",MID($AX613,3,255),$J613&amp;$AX613)</f>
        <v/>
      </c>
      <c r="AB613" s="130">
        <f>IF($J613="","",IFERROR(INDEX(코드설정!$D$5:$D$24,MATCH($J613,코드설정!$C$5:$C$24,0)),""))</f>
        <v/>
      </c>
      <c r="AC613" s="36" t="n"/>
      <c r="AD613" s="37" t="n"/>
      <c r="AE613" s="38" t="n"/>
      <c r="AF613" s="118">
        <f>IF(OR($B613="",$C613=""),"",$C613-$B613+1)</f>
        <v/>
      </c>
      <c r="AG613" s="74" t="n"/>
      <c r="AH613" s="36" t="n"/>
      <c r="AJ613">
        <f>IF($K613="","",", "&amp;$K613)</f>
        <v/>
      </c>
      <c r="AK613">
        <f>AJ613&amp;IF($L613="","",", "&amp;$L613)</f>
        <v/>
      </c>
      <c r="AL613">
        <f>AK613&amp;IF($M613="","",", "&amp;$M613)</f>
        <v/>
      </c>
      <c r="AM613">
        <f>AL613&amp;IF($N613="","",", "&amp;$N613)</f>
        <v/>
      </c>
      <c r="AN613">
        <f>AM613&amp;IF($O613="","",", "&amp;$O613)</f>
        <v/>
      </c>
      <c r="AO613">
        <f>AN613&amp;IF($P613="","",", "&amp;$P613)</f>
        <v/>
      </c>
      <c r="AP613">
        <f>AO613&amp;IF($Q613="","",", "&amp;$Q613)</f>
        <v/>
      </c>
      <c r="AQ613">
        <f>AP613&amp;IF($R613="","",", "&amp;$R613)</f>
        <v/>
      </c>
      <c r="AR613">
        <f>AQ613&amp;IF($S613="","",", "&amp;$S613)</f>
        <v/>
      </c>
      <c r="AS613">
        <f>AR613&amp;IF($T613="","",", "&amp;$T613)</f>
        <v/>
      </c>
      <c r="AT613">
        <f>AS613&amp;IF($U613="","",", "&amp;$U613)</f>
        <v/>
      </c>
      <c r="AU613">
        <f>AT613&amp;IF($V613="","",", "&amp;$V613)</f>
        <v/>
      </c>
      <c r="AV613">
        <f>AU613&amp;IF($W613="","",", "&amp;$W613)</f>
        <v/>
      </c>
      <c r="AW613">
        <f>AV613&amp;IF($X613="","",", "&amp;$X613)</f>
        <v/>
      </c>
      <c r="AX613">
        <f>AW613&amp;IF($Y613="","",", "&amp;$Y613)</f>
        <v/>
      </c>
    </row>
    <row r="614">
      <c r="A614" s="118">
        <f>IF($B614="","",COUNT($B$5:$B614))</f>
        <v/>
      </c>
      <c r="B614" s="80" t="n"/>
      <c r="C614" s="80" t="n"/>
      <c r="D614" s="74" t="n"/>
      <c r="E614" s="74" t="n"/>
      <c r="F614" s="74" t="n"/>
      <c r="G614" s="118">
        <f>IF($F614="","",COUNTIF($F$5:$F614,$F614))</f>
        <v/>
      </c>
      <c r="H614" s="33">
        <f>IF($F614="","",IFERROR(INDEX(사건마스터!$B$5:$B$64,MATCH($F614,사건마스터!$A$5:$A$64,0)),""))</f>
        <v/>
      </c>
      <c r="I614" s="130">
        <f>IF($F614="","",IFERROR(INDEX(사건마스터!$C$5:$C$64,MATCH($F614,사건마스터!$A$5:$A$64,0)),""))</f>
        <v/>
      </c>
      <c r="J614" s="136">
        <f>IF($F614="","",IFERROR(INDEX(사건마스터!$H$5:$H$64,MATCH($F614,사건마스터!$A$5:$A$64,0)),""))</f>
        <v/>
      </c>
      <c r="K614" s="136">
        <f>IF($F614="","",IFERROR(INDEX(사건마스터!$AH$5:$AH$64,MATCH($F614,사건마스터!$A$5:$A$64,0)),""))</f>
        <v/>
      </c>
      <c r="L614" s="136">
        <f>IF($F614="","",IFERROR(INDEX(사건마스터!$AI$5:$AI$64,MATCH($F614,사건마스터!$A$5:$A$64,0)),""))</f>
        <v/>
      </c>
      <c r="M614" s="136">
        <f>IF($F614="","",IFERROR(INDEX(사건마스터!$AJ$5:$AJ$64,MATCH($F614,사건마스터!$A$5:$A$64,0)),""))</f>
        <v/>
      </c>
      <c r="N614" s="136">
        <f>IF($F614="","",IFERROR(INDEX(사건마스터!$AK$5:$AK$64,MATCH($F614,사건마스터!$A$5:$A$64,0)),""))</f>
        <v/>
      </c>
      <c r="O614" s="136">
        <f>IF($F614="","",IFERROR(INDEX(사건마스터!$AL$5:$AL$64,MATCH($F614,사건마스터!$A$5:$A$64,0)),""))</f>
        <v/>
      </c>
      <c r="P614" s="136">
        <f>IF($F614="","",IFERROR(INDEX(사건마스터!$AM$5:$AM$64,MATCH($F614,사건마스터!$A$5:$A$64,0)),""))</f>
        <v/>
      </c>
      <c r="Q614" s="136">
        <f>IF($F614="","",IFERROR(INDEX(사건마스터!$AN$5:$AN$64,MATCH($F614,사건마스터!$A$5:$A$64,0)),""))</f>
        <v/>
      </c>
      <c r="R614" s="136">
        <f>IF($F614="","",IFERROR(INDEX(사건마스터!$AO$5:$AO$64,MATCH($F614,사건마스터!$A$5:$A$64,0)),""))</f>
        <v/>
      </c>
      <c r="S614" s="136">
        <f>IF($F614="","",IFERROR(INDEX(사건마스터!$AP$5:$AP$64,MATCH($F614,사건마스터!$A$5:$A$64,0)),""))</f>
        <v/>
      </c>
      <c r="T614" s="136">
        <f>IF($F614="","",IFERROR(INDEX(사건마스터!$AQ$5:$AQ$64,MATCH($F614,사건마스터!$A$5:$A$64,0)),""))</f>
        <v/>
      </c>
      <c r="U614" s="136">
        <f>IF($F614="","",IFERROR(INDEX(사건마스터!$AR$5:$AR$64,MATCH($F614,사건마스터!$A$5:$A$64,0)),""))</f>
        <v/>
      </c>
      <c r="V614" s="136">
        <f>IF($F614="","",IFERROR(INDEX(사건마스터!$AS$5:$AS$64,MATCH($F614,사건마스터!$A$5:$A$64,0)),""))</f>
        <v/>
      </c>
      <c r="W614" s="136">
        <f>IF($F614="","",IFERROR(INDEX(사건마스터!$AT$5:$AT$64,MATCH($F614,사건마스터!$A$5:$A$64,0)),""))</f>
        <v/>
      </c>
      <c r="X614" s="136">
        <f>IF($F614="","",IFERROR(INDEX(사건마스터!$AU$5:$AU$64,MATCH($F614,사건마스터!$A$5:$A$64,0)),""))</f>
        <v/>
      </c>
      <c r="Y614" s="136">
        <f>IF($F614="","",IFERROR(INDEX(사건마스터!$AV$5:$AV$64,MATCH($F614,사건마스터!$A$5:$A$64,0)),""))</f>
        <v/>
      </c>
      <c r="Z614" s="118">
        <f>IF(COUNTBLANK($J614:$Y614)=16,"",16-COUNTBLANK($J614:$Y614))</f>
        <v/>
      </c>
      <c r="AA614" s="33">
        <f>IF($J614="",MID($AX614,3,255),$J614&amp;$AX614)</f>
        <v/>
      </c>
      <c r="AB614" s="130">
        <f>IF($J614="","",IFERROR(INDEX(코드설정!$D$5:$D$24,MATCH($J614,코드설정!$C$5:$C$24,0)),""))</f>
        <v/>
      </c>
      <c r="AC614" s="36" t="n"/>
      <c r="AD614" s="37" t="n"/>
      <c r="AE614" s="38" t="n"/>
      <c r="AF614" s="118">
        <f>IF(OR($B614="",$C614=""),"",$C614-$B614+1)</f>
        <v/>
      </c>
      <c r="AG614" s="74" t="n"/>
      <c r="AH614" s="36" t="n"/>
      <c r="AJ614">
        <f>IF($K614="","",", "&amp;$K614)</f>
        <v/>
      </c>
      <c r="AK614">
        <f>AJ614&amp;IF($L614="","",", "&amp;$L614)</f>
        <v/>
      </c>
      <c r="AL614">
        <f>AK614&amp;IF($M614="","",", "&amp;$M614)</f>
        <v/>
      </c>
      <c r="AM614">
        <f>AL614&amp;IF($N614="","",", "&amp;$N614)</f>
        <v/>
      </c>
      <c r="AN614">
        <f>AM614&amp;IF($O614="","",", "&amp;$O614)</f>
        <v/>
      </c>
      <c r="AO614">
        <f>AN614&amp;IF($P614="","",", "&amp;$P614)</f>
        <v/>
      </c>
      <c r="AP614">
        <f>AO614&amp;IF($Q614="","",", "&amp;$Q614)</f>
        <v/>
      </c>
      <c r="AQ614">
        <f>AP614&amp;IF($R614="","",", "&amp;$R614)</f>
        <v/>
      </c>
      <c r="AR614">
        <f>AQ614&amp;IF($S614="","",", "&amp;$S614)</f>
        <v/>
      </c>
      <c r="AS614">
        <f>AR614&amp;IF($T614="","",", "&amp;$T614)</f>
        <v/>
      </c>
      <c r="AT614">
        <f>AS614&amp;IF($U614="","",", "&amp;$U614)</f>
        <v/>
      </c>
      <c r="AU614">
        <f>AT614&amp;IF($V614="","",", "&amp;$V614)</f>
        <v/>
      </c>
      <c r="AV614">
        <f>AU614&amp;IF($W614="","",", "&amp;$W614)</f>
        <v/>
      </c>
      <c r="AW614">
        <f>AV614&amp;IF($X614="","",", "&amp;$X614)</f>
        <v/>
      </c>
      <c r="AX614">
        <f>AW614&amp;IF($Y614="","",", "&amp;$Y614)</f>
        <v/>
      </c>
    </row>
    <row r="615">
      <c r="A615" s="118">
        <f>IF($B615="","",COUNT($B$5:$B615))</f>
        <v/>
      </c>
      <c r="B615" s="80" t="n"/>
      <c r="C615" s="80" t="n"/>
      <c r="D615" s="74" t="n"/>
      <c r="E615" s="74" t="n"/>
      <c r="F615" s="74" t="n"/>
      <c r="G615" s="118">
        <f>IF($F615="","",COUNTIF($F$5:$F615,$F615))</f>
        <v/>
      </c>
      <c r="H615" s="33">
        <f>IF($F615="","",IFERROR(INDEX(사건마스터!$B$5:$B$64,MATCH($F615,사건마스터!$A$5:$A$64,0)),""))</f>
        <v/>
      </c>
      <c r="I615" s="130">
        <f>IF($F615="","",IFERROR(INDEX(사건마스터!$C$5:$C$64,MATCH($F615,사건마스터!$A$5:$A$64,0)),""))</f>
        <v/>
      </c>
      <c r="J615" s="136">
        <f>IF($F615="","",IFERROR(INDEX(사건마스터!$H$5:$H$64,MATCH($F615,사건마스터!$A$5:$A$64,0)),""))</f>
        <v/>
      </c>
      <c r="K615" s="136">
        <f>IF($F615="","",IFERROR(INDEX(사건마스터!$AH$5:$AH$64,MATCH($F615,사건마스터!$A$5:$A$64,0)),""))</f>
        <v/>
      </c>
      <c r="L615" s="136">
        <f>IF($F615="","",IFERROR(INDEX(사건마스터!$AI$5:$AI$64,MATCH($F615,사건마스터!$A$5:$A$64,0)),""))</f>
        <v/>
      </c>
      <c r="M615" s="136">
        <f>IF($F615="","",IFERROR(INDEX(사건마스터!$AJ$5:$AJ$64,MATCH($F615,사건마스터!$A$5:$A$64,0)),""))</f>
        <v/>
      </c>
      <c r="N615" s="136">
        <f>IF($F615="","",IFERROR(INDEX(사건마스터!$AK$5:$AK$64,MATCH($F615,사건마스터!$A$5:$A$64,0)),""))</f>
        <v/>
      </c>
      <c r="O615" s="136">
        <f>IF($F615="","",IFERROR(INDEX(사건마스터!$AL$5:$AL$64,MATCH($F615,사건마스터!$A$5:$A$64,0)),""))</f>
        <v/>
      </c>
      <c r="P615" s="136">
        <f>IF($F615="","",IFERROR(INDEX(사건마스터!$AM$5:$AM$64,MATCH($F615,사건마스터!$A$5:$A$64,0)),""))</f>
        <v/>
      </c>
      <c r="Q615" s="136">
        <f>IF($F615="","",IFERROR(INDEX(사건마스터!$AN$5:$AN$64,MATCH($F615,사건마스터!$A$5:$A$64,0)),""))</f>
        <v/>
      </c>
      <c r="R615" s="136">
        <f>IF($F615="","",IFERROR(INDEX(사건마스터!$AO$5:$AO$64,MATCH($F615,사건마스터!$A$5:$A$64,0)),""))</f>
        <v/>
      </c>
      <c r="S615" s="136">
        <f>IF($F615="","",IFERROR(INDEX(사건마스터!$AP$5:$AP$64,MATCH($F615,사건마스터!$A$5:$A$64,0)),""))</f>
        <v/>
      </c>
      <c r="T615" s="136">
        <f>IF($F615="","",IFERROR(INDEX(사건마스터!$AQ$5:$AQ$64,MATCH($F615,사건마스터!$A$5:$A$64,0)),""))</f>
        <v/>
      </c>
      <c r="U615" s="136">
        <f>IF($F615="","",IFERROR(INDEX(사건마스터!$AR$5:$AR$64,MATCH($F615,사건마스터!$A$5:$A$64,0)),""))</f>
        <v/>
      </c>
      <c r="V615" s="136">
        <f>IF($F615="","",IFERROR(INDEX(사건마스터!$AS$5:$AS$64,MATCH($F615,사건마스터!$A$5:$A$64,0)),""))</f>
        <v/>
      </c>
      <c r="W615" s="136">
        <f>IF($F615="","",IFERROR(INDEX(사건마스터!$AT$5:$AT$64,MATCH($F615,사건마스터!$A$5:$A$64,0)),""))</f>
        <v/>
      </c>
      <c r="X615" s="136">
        <f>IF($F615="","",IFERROR(INDEX(사건마스터!$AU$5:$AU$64,MATCH($F615,사건마스터!$A$5:$A$64,0)),""))</f>
        <v/>
      </c>
      <c r="Y615" s="136">
        <f>IF($F615="","",IFERROR(INDEX(사건마스터!$AV$5:$AV$64,MATCH($F615,사건마스터!$A$5:$A$64,0)),""))</f>
        <v/>
      </c>
      <c r="Z615" s="118">
        <f>IF(COUNTBLANK($J615:$Y615)=16,"",16-COUNTBLANK($J615:$Y615))</f>
        <v/>
      </c>
      <c r="AA615" s="33">
        <f>IF($J615="",MID($AX615,3,255),$J615&amp;$AX615)</f>
        <v/>
      </c>
      <c r="AB615" s="130">
        <f>IF($J615="","",IFERROR(INDEX(코드설정!$D$5:$D$24,MATCH($J615,코드설정!$C$5:$C$24,0)),""))</f>
        <v/>
      </c>
      <c r="AC615" s="36" t="n"/>
      <c r="AD615" s="37" t="n"/>
      <c r="AE615" s="38" t="n"/>
      <c r="AF615" s="118">
        <f>IF(OR($B615="",$C615=""),"",$C615-$B615+1)</f>
        <v/>
      </c>
      <c r="AG615" s="74" t="n"/>
      <c r="AH615" s="36" t="n"/>
      <c r="AJ615">
        <f>IF($K615="","",", "&amp;$K615)</f>
        <v/>
      </c>
      <c r="AK615">
        <f>AJ615&amp;IF($L615="","",", "&amp;$L615)</f>
        <v/>
      </c>
      <c r="AL615">
        <f>AK615&amp;IF($M615="","",", "&amp;$M615)</f>
        <v/>
      </c>
      <c r="AM615">
        <f>AL615&amp;IF($N615="","",", "&amp;$N615)</f>
        <v/>
      </c>
      <c r="AN615">
        <f>AM615&amp;IF($O615="","",", "&amp;$O615)</f>
        <v/>
      </c>
      <c r="AO615">
        <f>AN615&amp;IF($P615="","",", "&amp;$P615)</f>
        <v/>
      </c>
      <c r="AP615">
        <f>AO615&amp;IF($Q615="","",", "&amp;$Q615)</f>
        <v/>
      </c>
      <c r="AQ615">
        <f>AP615&amp;IF($R615="","",", "&amp;$R615)</f>
        <v/>
      </c>
      <c r="AR615">
        <f>AQ615&amp;IF($S615="","",", "&amp;$S615)</f>
        <v/>
      </c>
      <c r="AS615">
        <f>AR615&amp;IF($T615="","",", "&amp;$T615)</f>
        <v/>
      </c>
      <c r="AT615">
        <f>AS615&amp;IF($U615="","",", "&amp;$U615)</f>
        <v/>
      </c>
      <c r="AU615">
        <f>AT615&amp;IF($V615="","",", "&amp;$V615)</f>
        <v/>
      </c>
      <c r="AV615">
        <f>AU615&amp;IF($W615="","",", "&amp;$W615)</f>
        <v/>
      </c>
      <c r="AW615">
        <f>AV615&amp;IF($X615="","",", "&amp;$X615)</f>
        <v/>
      </c>
      <c r="AX615">
        <f>AW615&amp;IF($Y615="","",", "&amp;$Y615)</f>
        <v/>
      </c>
    </row>
    <row r="616">
      <c r="A616" s="118">
        <f>IF($B616="","",COUNT($B$5:$B616))</f>
        <v/>
      </c>
      <c r="B616" s="80" t="n"/>
      <c r="C616" s="80" t="n"/>
      <c r="D616" s="74" t="n"/>
      <c r="E616" s="74" t="n"/>
      <c r="F616" s="74" t="n"/>
      <c r="G616" s="118">
        <f>IF($F616="","",COUNTIF($F$5:$F616,$F616))</f>
        <v/>
      </c>
      <c r="H616" s="33">
        <f>IF($F616="","",IFERROR(INDEX(사건마스터!$B$5:$B$64,MATCH($F616,사건마스터!$A$5:$A$64,0)),""))</f>
        <v/>
      </c>
      <c r="I616" s="130">
        <f>IF($F616="","",IFERROR(INDEX(사건마스터!$C$5:$C$64,MATCH($F616,사건마스터!$A$5:$A$64,0)),""))</f>
        <v/>
      </c>
      <c r="J616" s="136">
        <f>IF($F616="","",IFERROR(INDEX(사건마스터!$H$5:$H$64,MATCH($F616,사건마스터!$A$5:$A$64,0)),""))</f>
        <v/>
      </c>
      <c r="K616" s="136">
        <f>IF($F616="","",IFERROR(INDEX(사건마스터!$AH$5:$AH$64,MATCH($F616,사건마스터!$A$5:$A$64,0)),""))</f>
        <v/>
      </c>
      <c r="L616" s="136">
        <f>IF($F616="","",IFERROR(INDEX(사건마스터!$AI$5:$AI$64,MATCH($F616,사건마스터!$A$5:$A$64,0)),""))</f>
        <v/>
      </c>
      <c r="M616" s="136">
        <f>IF($F616="","",IFERROR(INDEX(사건마스터!$AJ$5:$AJ$64,MATCH($F616,사건마스터!$A$5:$A$64,0)),""))</f>
        <v/>
      </c>
      <c r="N616" s="136">
        <f>IF($F616="","",IFERROR(INDEX(사건마스터!$AK$5:$AK$64,MATCH($F616,사건마스터!$A$5:$A$64,0)),""))</f>
        <v/>
      </c>
      <c r="O616" s="136">
        <f>IF($F616="","",IFERROR(INDEX(사건마스터!$AL$5:$AL$64,MATCH($F616,사건마스터!$A$5:$A$64,0)),""))</f>
        <v/>
      </c>
      <c r="P616" s="136">
        <f>IF($F616="","",IFERROR(INDEX(사건마스터!$AM$5:$AM$64,MATCH($F616,사건마스터!$A$5:$A$64,0)),""))</f>
        <v/>
      </c>
      <c r="Q616" s="136">
        <f>IF($F616="","",IFERROR(INDEX(사건마스터!$AN$5:$AN$64,MATCH($F616,사건마스터!$A$5:$A$64,0)),""))</f>
        <v/>
      </c>
      <c r="R616" s="136">
        <f>IF($F616="","",IFERROR(INDEX(사건마스터!$AO$5:$AO$64,MATCH($F616,사건마스터!$A$5:$A$64,0)),""))</f>
        <v/>
      </c>
      <c r="S616" s="136">
        <f>IF($F616="","",IFERROR(INDEX(사건마스터!$AP$5:$AP$64,MATCH($F616,사건마스터!$A$5:$A$64,0)),""))</f>
        <v/>
      </c>
      <c r="T616" s="136">
        <f>IF($F616="","",IFERROR(INDEX(사건마스터!$AQ$5:$AQ$64,MATCH($F616,사건마스터!$A$5:$A$64,0)),""))</f>
        <v/>
      </c>
      <c r="U616" s="136">
        <f>IF($F616="","",IFERROR(INDEX(사건마스터!$AR$5:$AR$64,MATCH($F616,사건마스터!$A$5:$A$64,0)),""))</f>
        <v/>
      </c>
      <c r="V616" s="136">
        <f>IF($F616="","",IFERROR(INDEX(사건마스터!$AS$5:$AS$64,MATCH($F616,사건마스터!$A$5:$A$64,0)),""))</f>
        <v/>
      </c>
      <c r="W616" s="136">
        <f>IF($F616="","",IFERROR(INDEX(사건마스터!$AT$5:$AT$64,MATCH($F616,사건마스터!$A$5:$A$64,0)),""))</f>
        <v/>
      </c>
      <c r="X616" s="136">
        <f>IF($F616="","",IFERROR(INDEX(사건마스터!$AU$5:$AU$64,MATCH($F616,사건마스터!$A$5:$A$64,0)),""))</f>
        <v/>
      </c>
      <c r="Y616" s="136">
        <f>IF($F616="","",IFERROR(INDEX(사건마스터!$AV$5:$AV$64,MATCH($F616,사건마스터!$A$5:$A$64,0)),""))</f>
        <v/>
      </c>
      <c r="Z616" s="118">
        <f>IF(COUNTBLANK($J616:$Y616)=16,"",16-COUNTBLANK($J616:$Y616))</f>
        <v/>
      </c>
      <c r="AA616" s="33">
        <f>IF($J616="",MID($AX616,3,255),$J616&amp;$AX616)</f>
        <v/>
      </c>
      <c r="AB616" s="130">
        <f>IF($J616="","",IFERROR(INDEX(코드설정!$D$5:$D$24,MATCH($J616,코드설정!$C$5:$C$24,0)),""))</f>
        <v/>
      </c>
      <c r="AC616" s="36" t="n"/>
      <c r="AD616" s="37" t="n"/>
      <c r="AE616" s="38" t="n"/>
      <c r="AF616" s="118">
        <f>IF(OR($B616="",$C616=""),"",$C616-$B616+1)</f>
        <v/>
      </c>
      <c r="AG616" s="74" t="n"/>
      <c r="AH616" s="36" t="n"/>
      <c r="AJ616">
        <f>IF($K616="","",", "&amp;$K616)</f>
        <v/>
      </c>
      <c r="AK616">
        <f>AJ616&amp;IF($L616="","",", "&amp;$L616)</f>
        <v/>
      </c>
      <c r="AL616">
        <f>AK616&amp;IF($M616="","",", "&amp;$M616)</f>
        <v/>
      </c>
      <c r="AM616">
        <f>AL616&amp;IF($N616="","",", "&amp;$N616)</f>
        <v/>
      </c>
      <c r="AN616">
        <f>AM616&amp;IF($O616="","",", "&amp;$O616)</f>
        <v/>
      </c>
      <c r="AO616">
        <f>AN616&amp;IF($P616="","",", "&amp;$P616)</f>
        <v/>
      </c>
      <c r="AP616">
        <f>AO616&amp;IF($Q616="","",", "&amp;$Q616)</f>
        <v/>
      </c>
      <c r="AQ616">
        <f>AP616&amp;IF($R616="","",", "&amp;$R616)</f>
        <v/>
      </c>
      <c r="AR616">
        <f>AQ616&amp;IF($S616="","",", "&amp;$S616)</f>
        <v/>
      </c>
      <c r="AS616">
        <f>AR616&amp;IF($T616="","",", "&amp;$T616)</f>
        <v/>
      </c>
      <c r="AT616">
        <f>AS616&amp;IF($U616="","",", "&amp;$U616)</f>
        <v/>
      </c>
      <c r="AU616">
        <f>AT616&amp;IF($V616="","",", "&amp;$V616)</f>
        <v/>
      </c>
      <c r="AV616">
        <f>AU616&amp;IF($W616="","",", "&amp;$W616)</f>
        <v/>
      </c>
      <c r="AW616">
        <f>AV616&amp;IF($X616="","",", "&amp;$X616)</f>
        <v/>
      </c>
      <c r="AX616">
        <f>AW616&amp;IF($Y616="","",", "&amp;$Y616)</f>
        <v/>
      </c>
    </row>
    <row r="617">
      <c r="A617" s="118">
        <f>IF($B617="","",COUNT($B$5:$B617))</f>
        <v/>
      </c>
      <c r="B617" s="80" t="n"/>
      <c r="C617" s="80" t="n"/>
      <c r="D617" s="74" t="n"/>
      <c r="E617" s="74" t="n"/>
      <c r="F617" s="74" t="n"/>
      <c r="G617" s="118">
        <f>IF($F617="","",COUNTIF($F$5:$F617,$F617))</f>
        <v/>
      </c>
      <c r="H617" s="33">
        <f>IF($F617="","",IFERROR(INDEX(사건마스터!$B$5:$B$64,MATCH($F617,사건마스터!$A$5:$A$64,0)),""))</f>
        <v/>
      </c>
      <c r="I617" s="130">
        <f>IF($F617="","",IFERROR(INDEX(사건마스터!$C$5:$C$64,MATCH($F617,사건마스터!$A$5:$A$64,0)),""))</f>
        <v/>
      </c>
      <c r="J617" s="136">
        <f>IF($F617="","",IFERROR(INDEX(사건마스터!$H$5:$H$64,MATCH($F617,사건마스터!$A$5:$A$64,0)),""))</f>
        <v/>
      </c>
      <c r="K617" s="136">
        <f>IF($F617="","",IFERROR(INDEX(사건마스터!$AH$5:$AH$64,MATCH($F617,사건마스터!$A$5:$A$64,0)),""))</f>
        <v/>
      </c>
      <c r="L617" s="136">
        <f>IF($F617="","",IFERROR(INDEX(사건마스터!$AI$5:$AI$64,MATCH($F617,사건마스터!$A$5:$A$64,0)),""))</f>
        <v/>
      </c>
      <c r="M617" s="136">
        <f>IF($F617="","",IFERROR(INDEX(사건마스터!$AJ$5:$AJ$64,MATCH($F617,사건마스터!$A$5:$A$64,0)),""))</f>
        <v/>
      </c>
      <c r="N617" s="136">
        <f>IF($F617="","",IFERROR(INDEX(사건마스터!$AK$5:$AK$64,MATCH($F617,사건마스터!$A$5:$A$64,0)),""))</f>
        <v/>
      </c>
      <c r="O617" s="136">
        <f>IF($F617="","",IFERROR(INDEX(사건마스터!$AL$5:$AL$64,MATCH($F617,사건마스터!$A$5:$A$64,0)),""))</f>
        <v/>
      </c>
      <c r="P617" s="136">
        <f>IF($F617="","",IFERROR(INDEX(사건마스터!$AM$5:$AM$64,MATCH($F617,사건마스터!$A$5:$A$64,0)),""))</f>
        <v/>
      </c>
      <c r="Q617" s="136">
        <f>IF($F617="","",IFERROR(INDEX(사건마스터!$AN$5:$AN$64,MATCH($F617,사건마스터!$A$5:$A$64,0)),""))</f>
        <v/>
      </c>
      <c r="R617" s="136">
        <f>IF($F617="","",IFERROR(INDEX(사건마스터!$AO$5:$AO$64,MATCH($F617,사건마스터!$A$5:$A$64,0)),""))</f>
        <v/>
      </c>
      <c r="S617" s="136">
        <f>IF($F617="","",IFERROR(INDEX(사건마스터!$AP$5:$AP$64,MATCH($F617,사건마스터!$A$5:$A$64,0)),""))</f>
        <v/>
      </c>
      <c r="T617" s="136">
        <f>IF($F617="","",IFERROR(INDEX(사건마스터!$AQ$5:$AQ$64,MATCH($F617,사건마스터!$A$5:$A$64,0)),""))</f>
        <v/>
      </c>
      <c r="U617" s="136">
        <f>IF($F617="","",IFERROR(INDEX(사건마스터!$AR$5:$AR$64,MATCH($F617,사건마스터!$A$5:$A$64,0)),""))</f>
        <v/>
      </c>
      <c r="V617" s="136">
        <f>IF($F617="","",IFERROR(INDEX(사건마스터!$AS$5:$AS$64,MATCH($F617,사건마스터!$A$5:$A$64,0)),""))</f>
        <v/>
      </c>
      <c r="W617" s="136">
        <f>IF($F617="","",IFERROR(INDEX(사건마스터!$AT$5:$AT$64,MATCH($F617,사건마스터!$A$5:$A$64,0)),""))</f>
        <v/>
      </c>
      <c r="X617" s="136">
        <f>IF($F617="","",IFERROR(INDEX(사건마스터!$AU$5:$AU$64,MATCH($F617,사건마스터!$A$5:$A$64,0)),""))</f>
        <v/>
      </c>
      <c r="Y617" s="136">
        <f>IF($F617="","",IFERROR(INDEX(사건마스터!$AV$5:$AV$64,MATCH($F617,사건마스터!$A$5:$A$64,0)),""))</f>
        <v/>
      </c>
      <c r="Z617" s="118">
        <f>IF(COUNTBLANK($J617:$Y617)=16,"",16-COUNTBLANK($J617:$Y617))</f>
        <v/>
      </c>
      <c r="AA617" s="33">
        <f>IF($J617="",MID($AX617,3,255),$J617&amp;$AX617)</f>
        <v/>
      </c>
      <c r="AB617" s="130">
        <f>IF($J617="","",IFERROR(INDEX(코드설정!$D$5:$D$24,MATCH($J617,코드설정!$C$5:$C$24,0)),""))</f>
        <v/>
      </c>
      <c r="AC617" s="36" t="n"/>
      <c r="AD617" s="37" t="n"/>
      <c r="AE617" s="38" t="n"/>
      <c r="AF617" s="118">
        <f>IF(OR($B617="",$C617=""),"",$C617-$B617+1)</f>
        <v/>
      </c>
      <c r="AG617" s="74" t="n"/>
      <c r="AH617" s="36" t="n"/>
      <c r="AJ617">
        <f>IF($K617="","",", "&amp;$K617)</f>
        <v/>
      </c>
      <c r="AK617">
        <f>AJ617&amp;IF($L617="","",", "&amp;$L617)</f>
        <v/>
      </c>
      <c r="AL617">
        <f>AK617&amp;IF($M617="","",", "&amp;$M617)</f>
        <v/>
      </c>
      <c r="AM617">
        <f>AL617&amp;IF($N617="","",", "&amp;$N617)</f>
        <v/>
      </c>
      <c r="AN617">
        <f>AM617&amp;IF($O617="","",", "&amp;$O617)</f>
        <v/>
      </c>
      <c r="AO617">
        <f>AN617&amp;IF($P617="","",", "&amp;$P617)</f>
        <v/>
      </c>
      <c r="AP617">
        <f>AO617&amp;IF($Q617="","",", "&amp;$Q617)</f>
        <v/>
      </c>
      <c r="AQ617">
        <f>AP617&amp;IF($R617="","",", "&amp;$R617)</f>
        <v/>
      </c>
      <c r="AR617">
        <f>AQ617&amp;IF($S617="","",", "&amp;$S617)</f>
        <v/>
      </c>
      <c r="AS617">
        <f>AR617&amp;IF($T617="","",", "&amp;$T617)</f>
        <v/>
      </c>
      <c r="AT617">
        <f>AS617&amp;IF($U617="","",", "&amp;$U617)</f>
        <v/>
      </c>
      <c r="AU617">
        <f>AT617&amp;IF($V617="","",", "&amp;$V617)</f>
        <v/>
      </c>
      <c r="AV617">
        <f>AU617&amp;IF($W617="","",", "&amp;$W617)</f>
        <v/>
      </c>
      <c r="AW617">
        <f>AV617&amp;IF($X617="","",", "&amp;$X617)</f>
        <v/>
      </c>
      <c r="AX617">
        <f>AW617&amp;IF($Y617="","",", "&amp;$Y617)</f>
        <v/>
      </c>
    </row>
    <row r="618">
      <c r="A618" s="118">
        <f>IF($B618="","",COUNT($B$5:$B618))</f>
        <v/>
      </c>
      <c r="B618" s="80" t="n"/>
      <c r="C618" s="80" t="n"/>
      <c r="D618" s="74" t="n"/>
      <c r="E618" s="74" t="n"/>
      <c r="F618" s="74" t="n"/>
      <c r="G618" s="118">
        <f>IF($F618="","",COUNTIF($F$5:$F618,$F618))</f>
        <v/>
      </c>
      <c r="H618" s="33">
        <f>IF($F618="","",IFERROR(INDEX(사건마스터!$B$5:$B$64,MATCH($F618,사건마스터!$A$5:$A$64,0)),""))</f>
        <v/>
      </c>
      <c r="I618" s="130">
        <f>IF($F618="","",IFERROR(INDEX(사건마스터!$C$5:$C$64,MATCH($F618,사건마스터!$A$5:$A$64,0)),""))</f>
        <v/>
      </c>
      <c r="J618" s="136">
        <f>IF($F618="","",IFERROR(INDEX(사건마스터!$H$5:$H$64,MATCH($F618,사건마스터!$A$5:$A$64,0)),""))</f>
        <v/>
      </c>
      <c r="K618" s="136">
        <f>IF($F618="","",IFERROR(INDEX(사건마스터!$AH$5:$AH$64,MATCH($F618,사건마스터!$A$5:$A$64,0)),""))</f>
        <v/>
      </c>
      <c r="L618" s="136">
        <f>IF($F618="","",IFERROR(INDEX(사건마스터!$AI$5:$AI$64,MATCH($F618,사건마스터!$A$5:$A$64,0)),""))</f>
        <v/>
      </c>
      <c r="M618" s="136">
        <f>IF($F618="","",IFERROR(INDEX(사건마스터!$AJ$5:$AJ$64,MATCH($F618,사건마스터!$A$5:$A$64,0)),""))</f>
        <v/>
      </c>
      <c r="N618" s="136">
        <f>IF($F618="","",IFERROR(INDEX(사건마스터!$AK$5:$AK$64,MATCH($F618,사건마스터!$A$5:$A$64,0)),""))</f>
        <v/>
      </c>
      <c r="O618" s="136">
        <f>IF($F618="","",IFERROR(INDEX(사건마스터!$AL$5:$AL$64,MATCH($F618,사건마스터!$A$5:$A$64,0)),""))</f>
        <v/>
      </c>
      <c r="P618" s="136">
        <f>IF($F618="","",IFERROR(INDEX(사건마스터!$AM$5:$AM$64,MATCH($F618,사건마스터!$A$5:$A$64,0)),""))</f>
        <v/>
      </c>
      <c r="Q618" s="136">
        <f>IF($F618="","",IFERROR(INDEX(사건마스터!$AN$5:$AN$64,MATCH($F618,사건마스터!$A$5:$A$64,0)),""))</f>
        <v/>
      </c>
      <c r="R618" s="136">
        <f>IF($F618="","",IFERROR(INDEX(사건마스터!$AO$5:$AO$64,MATCH($F618,사건마스터!$A$5:$A$64,0)),""))</f>
        <v/>
      </c>
      <c r="S618" s="136">
        <f>IF($F618="","",IFERROR(INDEX(사건마스터!$AP$5:$AP$64,MATCH($F618,사건마스터!$A$5:$A$64,0)),""))</f>
        <v/>
      </c>
      <c r="T618" s="136">
        <f>IF($F618="","",IFERROR(INDEX(사건마스터!$AQ$5:$AQ$64,MATCH($F618,사건마스터!$A$5:$A$64,0)),""))</f>
        <v/>
      </c>
      <c r="U618" s="136">
        <f>IF($F618="","",IFERROR(INDEX(사건마스터!$AR$5:$AR$64,MATCH($F618,사건마스터!$A$5:$A$64,0)),""))</f>
        <v/>
      </c>
      <c r="V618" s="136">
        <f>IF($F618="","",IFERROR(INDEX(사건마스터!$AS$5:$AS$64,MATCH($F618,사건마스터!$A$5:$A$64,0)),""))</f>
        <v/>
      </c>
      <c r="W618" s="136">
        <f>IF($F618="","",IFERROR(INDEX(사건마스터!$AT$5:$AT$64,MATCH($F618,사건마스터!$A$5:$A$64,0)),""))</f>
        <v/>
      </c>
      <c r="X618" s="136">
        <f>IF($F618="","",IFERROR(INDEX(사건마스터!$AU$5:$AU$64,MATCH($F618,사건마스터!$A$5:$A$64,0)),""))</f>
        <v/>
      </c>
      <c r="Y618" s="136">
        <f>IF($F618="","",IFERROR(INDEX(사건마스터!$AV$5:$AV$64,MATCH($F618,사건마스터!$A$5:$A$64,0)),""))</f>
        <v/>
      </c>
      <c r="Z618" s="118">
        <f>IF(COUNTBLANK($J618:$Y618)=16,"",16-COUNTBLANK($J618:$Y618))</f>
        <v/>
      </c>
      <c r="AA618" s="33">
        <f>IF($J618="",MID($AX618,3,255),$J618&amp;$AX618)</f>
        <v/>
      </c>
      <c r="AB618" s="130">
        <f>IF($J618="","",IFERROR(INDEX(코드설정!$D$5:$D$24,MATCH($J618,코드설정!$C$5:$C$24,0)),""))</f>
        <v/>
      </c>
      <c r="AC618" s="36" t="n"/>
      <c r="AD618" s="37" t="n"/>
      <c r="AE618" s="38" t="n"/>
      <c r="AF618" s="118">
        <f>IF(OR($B618="",$C618=""),"",$C618-$B618+1)</f>
        <v/>
      </c>
      <c r="AG618" s="74" t="n"/>
      <c r="AH618" s="36" t="n"/>
      <c r="AJ618">
        <f>IF($K618="","",", "&amp;$K618)</f>
        <v/>
      </c>
      <c r="AK618">
        <f>AJ618&amp;IF($L618="","",", "&amp;$L618)</f>
        <v/>
      </c>
      <c r="AL618">
        <f>AK618&amp;IF($M618="","",", "&amp;$M618)</f>
        <v/>
      </c>
      <c r="AM618">
        <f>AL618&amp;IF($N618="","",", "&amp;$N618)</f>
        <v/>
      </c>
      <c r="AN618">
        <f>AM618&amp;IF($O618="","",", "&amp;$O618)</f>
        <v/>
      </c>
      <c r="AO618">
        <f>AN618&amp;IF($P618="","",", "&amp;$P618)</f>
        <v/>
      </c>
      <c r="AP618">
        <f>AO618&amp;IF($Q618="","",", "&amp;$Q618)</f>
        <v/>
      </c>
      <c r="AQ618">
        <f>AP618&amp;IF($R618="","",", "&amp;$R618)</f>
        <v/>
      </c>
      <c r="AR618">
        <f>AQ618&amp;IF($S618="","",", "&amp;$S618)</f>
        <v/>
      </c>
      <c r="AS618">
        <f>AR618&amp;IF($T618="","",", "&amp;$T618)</f>
        <v/>
      </c>
      <c r="AT618">
        <f>AS618&amp;IF($U618="","",", "&amp;$U618)</f>
        <v/>
      </c>
      <c r="AU618">
        <f>AT618&amp;IF($V618="","",", "&amp;$V618)</f>
        <v/>
      </c>
      <c r="AV618">
        <f>AU618&amp;IF($W618="","",", "&amp;$W618)</f>
        <v/>
      </c>
      <c r="AW618">
        <f>AV618&amp;IF($X618="","",", "&amp;$X618)</f>
        <v/>
      </c>
      <c r="AX618">
        <f>AW618&amp;IF($Y618="","",", "&amp;$Y618)</f>
        <v/>
      </c>
    </row>
    <row r="619">
      <c r="A619" s="118">
        <f>IF($B619="","",COUNT($B$5:$B619))</f>
        <v/>
      </c>
      <c r="B619" s="80" t="n"/>
      <c r="C619" s="80" t="n"/>
      <c r="D619" s="74" t="n"/>
      <c r="E619" s="74" t="n"/>
      <c r="F619" s="74" t="n"/>
      <c r="G619" s="118">
        <f>IF($F619="","",COUNTIF($F$5:$F619,$F619))</f>
        <v/>
      </c>
      <c r="H619" s="33">
        <f>IF($F619="","",IFERROR(INDEX(사건마스터!$B$5:$B$64,MATCH($F619,사건마스터!$A$5:$A$64,0)),""))</f>
        <v/>
      </c>
      <c r="I619" s="130">
        <f>IF($F619="","",IFERROR(INDEX(사건마스터!$C$5:$C$64,MATCH($F619,사건마스터!$A$5:$A$64,0)),""))</f>
        <v/>
      </c>
      <c r="J619" s="136">
        <f>IF($F619="","",IFERROR(INDEX(사건마스터!$H$5:$H$64,MATCH($F619,사건마스터!$A$5:$A$64,0)),""))</f>
        <v/>
      </c>
      <c r="K619" s="136">
        <f>IF($F619="","",IFERROR(INDEX(사건마스터!$AH$5:$AH$64,MATCH($F619,사건마스터!$A$5:$A$64,0)),""))</f>
        <v/>
      </c>
      <c r="L619" s="136">
        <f>IF($F619="","",IFERROR(INDEX(사건마스터!$AI$5:$AI$64,MATCH($F619,사건마스터!$A$5:$A$64,0)),""))</f>
        <v/>
      </c>
      <c r="M619" s="136">
        <f>IF($F619="","",IFERROR(INDEX(사건마스터!$AJ$5:$AJ$64,MATCH($F619,사건마스터!$A$5:$A$64,0)),""))</f>
        <v/>
      </c>
      <c r="N619" s="136">
        <f>IF($F619="","",IFERROR(INDEX(사건마스터!$AK$5:$AK$64,MATCH($F619,사건마스터!$A$5:$A$64,0)),""))</f>
        <v/>
      </c>
      <c r="O619" s="136">
        <f>IF($F619="","",IFERROR(INDEX(사건마스터!$AL$5:$AL$64,MATCH($F619,사건마스터!$A$5:$A$64,0)),""))</f>
        <v/>
      </c>
      <c r="P619" s="136">
        <f>IF($F619="","",IFERROR(INDEX(사건마스터!$AM$5:$AM$64,MATCH($F619,사건마스터!$A$5:$A$64,0)),""))</f>
        <v/>
      </c>
      <c r="Q619" s="136">
        <f>IF($F619="","",IFERROR(INDEX(사건마스터!$AN$5:$AN$64,MATCH($F619,사건마스터!$A$5:$A$64,0)),""))</f>
        <v/>
      </c>
      <c r="R619" s="136">
        <f>IF($F619="","",IFERROR(INDEX(사건마스터!$AO$5:$AO$64,MATCH($F619,사건마스터!$A$5:$A$64,0)),""))</f>
        <v/>
      </c>
      <c r="S619" s="136">
        <f>IF($F619="","",IFERROR(INDEX(사건마스터!$AP$5:$AP$64,MATCH($F619,사건마스터!$A$5:$A$64,0)),""))</f>
        <v/>
      </c>
      <c r="T619" s="136">
        <f>IF($F619="","",IFERROR(INDEX(사건마스터!$AQ$5:$AQ$64,MATCH($F619,사건마스터!$A$5:$A$64,0)),""))</f>
        <v/>
      </c>
      <c r="U619" s="136">
        <f>IF($F619="","",IFERROR(INDEX(사건마스터!$AR$5:$AR$64,MATCH($F619,사건마스터!$A$5:$A$64,0)),""))</f>
        <v/>
      </c>
      <c r="V619" s="136">
        <f>IF($F619="","",IFERROR(INDEX(사건마스터!$AS$5:$AS$64,MATCH($F619,사건마스터!$A$5:$A$64,0)),""))</f>
        <v/>
      </c>
      <c r="W619" s="136">
        <f>IF($F619="","",IFERROR(INDEX(사건마스터!$AT$5:$AT$64,MATCH($F619,사건마스터!$A$5:$A$64,0)),""))</f>
        <v/>
      </c>
      <c r="X619" s="136">
        <f>IF($F619="","",IFERROR(INDEX(사건마스터!$AU$5:$AU$64,MATCH($F619,사건마스터!$A$5:$A$64,0)),""))</f>
        <v/>
      </c>
      <c r="Y619" s="136">
        <f>IF($F619="","",IFERROR(INDEX(사건마스터!$AV$5:$AV$64,MATCH($F619,사건마스터!$A$5:$A$64,0)),""))</f>
        <v/>
      </c>
      <c r="Z619" s="118">
        <f>IF(COUNTBLANK($J619:$Y619)=16,"",16-COUNTBLANK($J619:$Y619))</f>
        <v/>
      </c>
      <c r="AA619" s="33">
        <f>IF($J619="",MID($AX619,3,255),$J619&amp;$AX619)</f>
        <v/>
      </c>
      <c r="AB619" s="130">
        <f>IF($J619="","",IFERROR(INDEX(코드설정!$D$5:$D$24,MATCH($J619,코드설정!$C$5:$C$24,0)),""))</f>
        <v/>
      </c>
      <c r="AC619" s="36" t="n"/>
      <c r="AD619" s="37" t="n"/>
      <c r="AE619" s="38" t="n"/>
      <c r="AF619" s="118">
        <f>IF(OR($B619="",$C619=""),"",$C619-$B619+1)</f>
        <v/>
      </c>
      <c r="AG619" s="74" t="n"/>
      <c r="AH619" s="36" t="n"/>
      <c r="AJ619">
        <f>IF($K619="","",", "&amp;$K619)</f>
        <v/>
      </c>
      <c r="AK619">
        <f>AJ619&amp;IF($L619="","",", "&amp;$L619)</f>
        <v/>
      </c>
      <c r="AL619">
        <f>AK619&amp;IF($M619="","",", "&amp;$M619)</f>
        <v/>
      </c>
      <c r="AM619">
        <f>AL619&amp;IF($N619="","",", "&amp;$N619)</f>
        <v/>
      </c>
      <c r="AN619">
        <f>AM619&amp;IF($O619="","",", "&amp;$O619)</f>
        <v/>
      </c>
      <c r="AO619">
        <f>AN619&amp;IF($P619="","",", "&amp;$P619)</f>
        <v/>
      </c>
      <c r="AP619">
        <f>AO619&amp;IF($Q619="","",", "&amp;$Q619)</f>
        <v/>
      </c>
      <c r="AQ619">
        <f>AP619&amp;IF($R619="","",", "&amp;$R619)</f>
        <v/>
      </c>
      <c r="AR619">
        <f>AQ619&amp;IF($S619="","",", "&amp;$S619)</f>
        <v/>
      </c>
      <c r="AS619">
        <f>AR619&amp;IF($T619="","",", "&amp;$T619)</f>
        <v/>
      </c>
      <c r="AT619">
        <f>AS619&amp;IF($U619="","",", "&amp;$U619)</f>
        <v/>
      </c>
      <c r="AU619">
        <f>AT619&amp;IF($V619="","",", "&amp;$V619)</f>
        <v/>
      </c>
      <c r="AV619">
        <f>AU619&amp;IF($W619="","",", "&amp;$W619)</f>
        <v/>
      </c>
      <c r="AW619">
        <f>AV619&amp;IF($X619="","",", "&amp;$X619)</f>
        <v/>
      </c>
      <c r="AX619">
        <f>AW619&amp;IF($Y619="","",", "&amp;$Y619)</f>
        <v/>
      </c>
    </row>
    <row r="620">
      <c r="A620" s="118">
        <f>IF($B620="","",COUNT($B$5:$B620))</f>
        <v/>
      </c>
      <c r="B620" s="80" t="n"/>
      <c r="C620" s="80" t="n"/>
      <c r="D620" s="74" t="n"/>
      <c r="E620" s="74" t="n"/>
      <c r="F620" s="74" t="n"/>
      <c r="G620" s="118">
        <f>IF($F620="","",COUNTIF($F$5:$F620,$F620))</f>
        <v/>
      </c>
      <c r="H620" s="33">
        <f>IF($F620="","",IFERROR(INDEX(사건마스터!$B$5:$B$64,MATCH($F620,사건마스터!$A$5:$A$64,0)),""))</f>
        <v/>
      </c>
      <c r="I620" s="130">
        <f>IF($F620="","",IFERROR(INDEX(사건마스터!$C$5:$C$64,MATCH($F620,사건마스터!$A$5:$A$64,0)),""))</f>
        <v/>
      </c>
      <c r="J620" s="136">
        <f>IF($F620="","",IFERROR(INDEX(사건마스터!$H$5:$H$64,MATCH($F620,사건마스터!$A$5:$A$64,0)),""))</f>
        <v/>
      </c>
      <c r="K620" s="136">
        <f>IF($F620="","",IFERROR(INDEX(사건마스터!$AH$5:$AH$64,MATCH($F620,사건마스터!$A$5:$A$64,0)),""))</f>
        <v/>
      </c>
      <c r="L620" s="136">
        <f>IF($F620="","",IFERROR(INDEX(사건마스터!$AI$5:$AI$64,MATCH($F620,사건마스터!$A$5:$A$64,0)),""))</f>
        <v/>
      </c>
      <c r="M620" s="136">
        <f>IF($F620="","",IFERROR(INDEX(사건마스터!$AJ$5:$AJ$64,MATCH($F620,사건마스터!$A$5:$A$64,0)),""))</f>
        <v/>
      </c>
      <c r="N620" s="136">
        <f>IF($F620="","",IFERROR(INDEX(사건마스터!$AK$5:$AK$64,MATCH($F620,사건마스터!$A$5:$A$64,0)),""))</f>
        <v/>
      </c>
      <c r="O620" s="136">
        <f>IF($F620="","",IFERROR(INDEX(사건마스터!$AL$5:$AL$64,MATCH($F620,사건마스터!$A$5:$A$64,0)),""))</f>
        <v/>
      </c>
      <c r="P620" s="136">
        <f>IF($F620="","",IFERROR(INDEX(사건마스터!$AM$5:$AM$64,MATCH($F620,사건마스터!$A$5:$A$64,0)),""))</f>
        <v/>
      </c>
      <c r="Q620" s="136">
        <f>IF($F620="","",IFERROR(INDEX(사건마스터!$AN$5:$AN$64,MATCH($F620,사건마스터!$A$5:$A$64,0)),""))</f>
        <v/>
      </c>
      <c r="R620" s="136">
        <f>IF($F620="","",IFERROR(INDEX(사건마스터!$AO$5:$AO$64,MATCH($F620,사건마스터!$A$5:$A$64,0)),""))</f>
        <v/>
      </c>
      <c r="S620" s="136">
        <f>IF($F620="","",IFERROR(INDEX(사건마스터!$AP$5:$AP$64,MATCH($F620,사건마스터!$A$5:$A$64,0)),""))</f>
        <v/>
      </c>
      <c r="T620" s="136">
        <f>IF($F620="","",IFERROR(INDEX(사건마스터!$AQ$5:$AQ$64,MATCH($F620,사건마스터!$A$5:$A$64,0)),""))</f>
        <v/>
      </c>
      <c r="U620" s="136">
        <f>IF($F620="","",IFERROR(INDEX(사건마스터!$AR$5:$AR$64,MATCH($F620,사건마스터!$A$5:$A$64,0)),""))</f>
        <v/>
      </c>
      <c r="V620" s="136">
        <f>IF($F620="","",IFERROR(INDEX(사건마스터!$AS$5:$AS$64,MATCH($F620,사건마스터!$A$5:$A$64,0)),""))</f>
        <v/>
      </c>
      <c r="W620" s="136">
        <f>IF($F620="","",IFERROR(INDEX(사건마스터!$AT$5:$AT$64,MATCH($F620,사건마스터!$A$5:$A$64,0)),""))</f>
        <v/>
      </c>
      <c r="X620" s="136">
        <f>IF($F620="","",IFERROR(INDEX(사건마스터!$AU$5:$AU$64,MATCH($F620,사건마스터!$A$5:$A$64,0)),""))</f>
        <v/>
      </c>
      <c r="Y620" s="136">
        <f>IF($F620="","",IFERROR(INDEX(사건마스터!$AV$5:$AV$64,MATCH($F620,사건마스터!$A$5:$A$64,0)),""))</f>
        <v/>
      </c>
      <c r="Z620" s="118">
        <f>IF(COUNTBLANK($J620:$Y620)=16,"",16-COUNTBLANK($J620:$Y620))</f>
        <v/>
      </c>
      <c r="AA620" s="33">
        <f>IF($J620="",MID($AX620,3,255),$J620&amp;$AX620)</f>
        <v/>
      </c>
      <c r="AB620" s="130">
        <f>IF($J620="","",IFERROR(INDEX(코드설정!$D$5:$D$24,MATCH($J620,코드설정!$C$5:$C$24,0)),""))</f>
        <v/>
      </c>
      <c r="AC620" s="36" t="n"/>
      <c r="AD620" s="37" t="n"/>
      <c r="AE620" s="38" t="n"/>
      <c r="AF620" s="118">
        <f>IF(OR($B620="",$C620=""),"",$C620-$B620+1)</f>
        <v/>
      </c>
      <c r="AG620" s="74" t="n"/>
      <c r="AH620" s="36" t="n"/>
      <c r="AJ620">
        <f>IF($K620="","",", "&amp;$K620)</f>
        <v/>
      </c>
      <c r="AK620">
        <f>AJ620&amp;IF($L620="","",", "&amp;$L620)</f>
        <v/>
      </c>
      <c r="AL620">
        <f>AK620&amp;IF($M620="","",", "&amp;$M620)</f>
        <v/>
      </c>
      <c r="AM620">
        <f>AL620&amp;IF($N620="","",", "&amp;$N620)</f>
        <v/>
      </c>
      <c r="AN620">
        <f>AM620&amp;IF($O620="","",", "&amp;$O620)</f>
        <v/>
      </c>
      <c r="AO620">
        <f>AN620&amp;IF($P620="","",", "&amp;$P620)</f>
        <v/>
      </c>
      <c r="AP620">
        <f>AO620&amp;IF($Q620="","",", "&amp;$Q620)</f>
        <v/>
      </c>
      <c r="AQ620">
        <f>AP620&amp;IF($R620="","",", "&amp;$R620)</f>
        <v/>
      </c>
      <c r="AR620">
        <f>AQ620&amp;IF($S620="","",", "&amp;$S620)</f>
        <v/>
      </c>
      <c r="AS620">
        <f>AR620&amp;IF($T620="","",", "&amp;$T620)</f>
        <v/>
      </c>
      <c r="AT620">
        <f>AS620&amp;IF($U620="","",", "&amp;$U620)</f>
        <v/>
      </c>
      <c r="AU620">
        <f>AT620&amp;IF($V620="","",", "&amp;$V620)</f>
        <v/>
      </c>
      <c r="AV620">
        <f>AU620&amp;IF($W620="","",", "&amp;$W620)</f>
        <v/>
      </c>
      <c r="AW620">
        <f>AV620&amp;IF($X620="","",", "&amp;$X620)</f>
        <v/>
      </c>
      <c r="AX620">
        <f>AW620&amp;IF($Y620="","",", "&amp;$Y620)</f>
        <v/>
      </c>
    </row>
    <row r="621">
      <c r="A621" s="118">
        <f>IF($B621="","",COUNT($B$5:$B621))</f>
        <v/>
      </c>
      <c r="B621" s="80" t="n"/>
      <c r="C621" s="80" t="n"/>
      <c r="D621" s="74" t="n"/>
      <c r="E621" s="74" t="n"/>
      <c r="F621" s="74" t="n"/>
      <c r="G621" s="118">
        <f>IF($F621="","",COUNTIF($F$5:$F621,$F621))</f>
        <v/>
      </c>
      <c r="H621" s="33">
        <f>IF($F621="","",IFERROR(INDEX(사건마스터!$B$5:$B$64,MATCH($F621,사건마스터!$A$5:$A$64,0)),""))</f>
        <v/>
      </c>
      <c r="I621" s="130">
        <f>IF($F621="","",IFERROR(INDEX(사건마스터!$C$5:$C$64,MATCH($F621,사건마스터!$A$5:$A$64,0)),""))</f>
        <v/>
      </c>
      <c r="J621" s="136">
        <f>IF($F621="","",IFERROR(INDEX(사건마스터!$H$5:$H$64,MATCH($F621,사건마스터!$A$5:$A$64,0)),""))</f>
        <v/>
      </c>
      <c r="K621" s="136">
        <f>IF($F621="","",IFERROR(INDEX(사건마스터!$AH$5:$AH$64,MATCH($F621,사건마스터!$A$5:$A$64,0)),""))</f>
        <v/>
      </c>
      <c r="L621" s="136">
        <f>IF($F621="","",IFERROR(INDEX(사건마스터!$AI$5:$AI$64,MATCH($F621,사건마스터!$A$5:$A$64,0)),""))</f>
        <v/>
      </c>
      <c r="M621" s="136">
        <f>IF($F621="","",IFERROR(INDEX(사건마스터!$AJ$5:$AJ$64,MATCH($F621,사건마스터!$A$5:$A$64,0)),""))</f>
        <v/>
      </c>
      <c r="N621" s="136">
        <f>IF($F621="","",IFERROR(INDEX(사건마스터!$AK$5:$AK$64,MATCH($F621,사건마스터!$A$5:$A$64,0)),""))</f>
        <v/>
      </c>
      <c r="O621" s="136">
        <f>IF($F621="","",IFERROR(INDEX(사건마스터!$AL$5:$AL$64,MATCH($F621,사건마스터!$A$5:$A$64,0)),""))</f>
        <v/>
      </c>
      <c r="P621" s="136">
        <f>IF($F621="","",IFERROR(INDEX(사건마스터!$AM$5:$AM$64,MATCH($F621,사건마스터!$A$5:$A$64,0)),""))</f>
        <v/>
      </c>
      <c r="Q621" s="136">
        <f>IF($F621="","",IFERROR(INDEX(사건마스터!$AN$5:$AN$64,MATCH($F621,사건마스터!$A$5:$A$64,0)),""))</f>
        <v/>
      </c>
      <c r="R621" s="136">
        <f>IF($F621="","",IFERROR(INDEX(사건마스터!$AO$5:$AO$64,MATCH($F621,사건마스터!$A$5:$A$64,0)),""))</f>
        <v/>
      </c>
      <c r="S621" s="136">
        <f>IF($F621="","",IFERROR(INDEX(사건마스터!$AP$5:$AP$64,MATCH($F621,사건마스터!$A$5:$A$64,0)),""))</f>
        <v/>
      </c>
      <c r="T621" s="136">
        <f>IF($F621="","",IFERROR(INDEX(사건마스터!$AQ$5:$AQ$64,MATCH($F621,사건마스터!$A$5:$A$64,0)),""))</f>
        <v/>
      </c>
      <c r="U621" s="136">
        <f>IF($F621="","",IFERROR(INDEX(사건마스터!$AR$5:$AR$64,MATCH($F621,사건마스터!$A$5:$A$64,0)),""))</f>
        <v/>
      </c>
      <c r="V621" s="136">
        <f>IF($F621="","",IFERROR(INDEX(사건마스터!$AS$5:$AS$64,MATCH($F621,사건마스터!$A$5:$A$64,0)),""))</f>
        <v/>
      </c>
      <c r="W621" s="136">
        <f>IF($F621="","",IFERROR(INDEX(사건마스터!$AT$5:$AT$64,MATCH($F621,사건마스터!$A$5:$A$64,0)),""))</f>
        <v/>
      </c>
      <c r="X621" s="136">
        <f>IF($F621="","",IFERROR(INDEX(사건마스터!$AU$5:$AU$64,MATCH($F621,사건마스터!$A$5:$A$64,0)),""))</f>
        <v/>
      </c>
      <c r="Y621" s="136">
        <f>IF($F621="","",IFERROR(INDEX(사건마스터!$AV$5:$AV$64,MATCH($F621,사건마스터!$A$5:$A$64,0)),""))</f>
        <v/>
      </c>
      <c r="Z621" s="118">
        <f>IF(COUNTBLANK($J621:$Y621)=16,"",16-COUNTBLANK($J621:$Y621))</f>
        <v/>
      </c>
      <c r="AA621" s="33">
        <f>IF($J621="",MID($AX621,3,255),$J621&amp;$AX621)</f>
        <v/>
      </c>
      <c r="AB621" s="130">
        <f>IF($J621="","",IFERROR(INDEX(코드설정!$D$5:$D$24,MATCH($J621,코드설정!$C$5:$C$24,0)),""))</f>
        <v/>
      </c>
      <c r="AC621" s="36" t="n"/>
      <c r="AD621" s="37" t="n"/>
      <c r="AE621" s="38" t="n"/>
      <c r="AF621" s="118">
        <f>IF(OR($B621="",$C621=""),"",$C621-$B621+1)</f>
        <v/>
      </c>
      <c r="AG621" s="74" t="n"/>
      <c r="AH621" s="36" t="n"/>
      <c r="AJ621">
        <f>IF($K621="","",", "&amp;$K621)</f>
        <v/>
      </c>
      <c r="AK621">
        <f>AJ621&amp;IF($L621="","",", "&amp;$L621)</f>
        <v/>
      </c>
      <c r="AL621">
        <f>AK621&amp;IF($M621="","",", "&amp;$M621)</f>
        <v/>
      </c>
      <c r="AM621">
        <f>AL621&amp;IF($N621="","",", "&amp;$N621)</f>
        <v/>
      </c>
      <c r="AN621">
        <f>AM621&amp;IF($O621="","",", "&amp;$O621)</f>
        <v/>
      </c>
      <c r="AO621">
        <f>AN621&amp;IF($P621="","",", "&amp;$P621)</f>
        <v/>
      </c>
      <c r="AP621">
        <f>AO621&amp;IF($Q621="","",", "&amp;$Q621)</f>
        <v/>
      </c>
      <c r="AQ621">
        <f>AP621&amp;IF($R621="","",", "&amp;$R621)</f>
        <v/>
      </c>
      <c r="AR621">
        <f>AQ621&amp;IF($S621="","",", "&amp;$S621)</f>
        <v/>
      </c>
      <c r="AS621">
        <f>AR621&amp;IF($T621="","",", "&amp;$T621)</f>
        <v/>
      </c>
      <c r="AT621">
        <f>AS621&amp;IF($U621="","",", "&amp;$U621)</f>
        <v/>
      </c>
      <c r="AU621">
        <f>AT621&amp;IF($V621="","",", "&amp;$V621)</f>
        <v/>
      </c>
      <c r="AV621">
        <f>AU621&amp;IF($W621="","",", "&amp;$W621)</f>
        <v/>
      </c>
      <c r="AW621">
        <f>AV621&amp;IF($X621="","",", "&amp;$X621)</f>
        <v/>
      </c>
      <c r="AX621">
        <f>AW621&amp;IF($Y621="","",", "&amp;$Y621)</f>
        <v/>
      </c>
    </row>
    <row r="622">
      <c r="A622" s="118">
        <f>IF($B622="","",COUNT($B$5:$B622))</f>
        <v/>
      </c>
      <c r="B622" s="80" t="n"/>
      <c r="C622" s="80" t="n"/>
      <c r="D622" s="74" t="n"/>
      <c r="E622" s="74" t="n"/>
      <c r="F622" s="74" t="n"/>
      <c r="G622" s="118">
        <f>IF($F622="","",COUNTIF($F$5:$F622,$F622))</f>
        <v/>
      </c>
      <c r="H622" s="33">
        <f>IF($F622="","",IFERROR(INDEX(사건마스터!$B$5:$B$64,MATCH($F622,사건마스터!$A$5:$A$64,0)),""))</f>
        <v/>
      </c>
      <c r="I622" s="130">
        <f>IF($F622="","",IFERROR(INDEX(사건마스터!$C$5:$C$64,MATCH($F622,사건마스터!$A$5:$A$64,0)),""))</f>
        <v/>
      </c>
      <c r="J622" s="136">
        <f>IF($F622="","",IFERROR(INDEX(사건마스터!$H$5:$H$64,MATCH($F622,사건마스터!$A$5:$A$64,0)),""))</f>
        <v/>
      </c>
      <c r="K622" s="136">
        <f>IF($F622="","",IFERROR(INDEX(사건마스터!$AH$5:$AH$64,MATCH($F622,사건마스터!$A$5:$A$64,0)),""))</f>
        <v/>
      </c>
      <c r="L622" s="136">
        <f>IF($F622="","",IFERROR(INDEX(사건마스터!$AI$5:$AI$64,MATCH($F622,사건마스터!$A$5:$A$64,0)),""))</f>
        <v/>
      </c>
      <c r="M622" s="136">
        <f>IF($F622="","",IFERROR(INDEX(사건마스터!$AJ$5:$AJ$64,MATCH($F622,사건마스터!$A$5:$A$64,0)),""))</f>
        <v/>
      </c>
      <c r="N622" s="136">
        <f>IF($F622="","",IFERROR(INDEX(사건마스터!$AK$5:$AK$64,MATCH($F622,사건마스터!$A$5:$A$64,0)),""))</f>
        <v/>
      </c>
      <c r="O622" s="136">
        <f>IF($F622="","",IFERROR(INDEX(사건마스터!$AL$5:$AL$64,MATCH($F622,사건마스터!$A$5:$A$64,0)),""))</f>
        <v/>
      </c>
      <c r="P622" s="136">
        <f>IF($F622="","",IFERROR(INDEX(사건마스터!$AM$5:$AM$64,MATCH($F622,사건마스터!$A$5:$A$64,0)),""))</f>
        <v/>
      </c>
      <c r="Q622" s="136">
        <f>IF($F622="","",IFERROR(INDEX(사건마스터!$AN$5:$AN$64,MATCH($F622,사건마스터!$A$5:$A$64,0)),""))</f>
        <v/>
      </c>
      <c r="R622" s="136">
        <f>IF($F622="","",IFERROR(INDEX(사건마스터!$AO$5:$AO$64,MATCH($F622,사건마스터!$A$5:$A$64,0)),""))</f>
        <v/>
      </c>
      <c r="S622" s="136">
        <f>IF($F622="","",IFERROR(INDEX(사건마스터!$AP$5:$AP$64,MATCH($F622,사건마스터!$A$5:$A$64,0)),""))</f>
        <v/>
      </c>
      <c r="T622" s="136">
        <f>IF($F622="","",IFERROR(INDEX(사건마스터!$AQ$5:$AQ$64,MATCH($F622,사건마스터!$A$5:$A$64,0)),""))</f>
        <v/>
      </c>
      <c r="U622" s="136">
        <f>IF($F622="","",IFERROR(INDEX(사건마스터!$AR$5:$AR$64,MATCH($F622,사건마스터!$A$5:$A$64,0)),""))</f>
        <v/>
      </c>
      <c r="V622" s="136">
        <f>IF($F622="","",IFERROR(INDEX(사건마스터!$AS$5:$AS$64,MATCH($F622,사건마스터!$A$5:$A$64,0)),""))</f>
        <v/>
      </c>
      <c r="W622" s="136">
        <f>IF($F622="","",IFERROR(INDEX(사건마스터!$AT$5:$AT$64,MATCH($F622,사건마스터!$A$5:$A$64,0)),""))</f>
        <v/>
      </c>
      <c r="X622" s="136">
        <f>IF($F622="","",IFERROR(INDEX(사건마스터!$AU$5:$AU$64,MATCH($F622,사건마스터!$A$5:$A$64,0)),""))</f>
        <v/>
      </c>
      <c r="Y622" s="136">
        <f>IF($F622="","",IFERROR(INDEX(사건마스터!$AV$5:$AV$64,MATCH($F622,사건마스터!$A$5:$A$64,0)),""))</f>
        <v/>
      </c>
      <c r="Z622" s="118">
        <f>IF(COUNTBLANK($J622:$Y622)=16,"",16-COUNTBLANK($J622:$Y622))</f>
        <v/>
      </c>
      <c r="AA622" s="33">
        <f>IF($J622="",MID($AX622,3,255),$J622&amp;$AX622)</f>
        <v/>
      </c>
      <c r="AB622" s="130">
        <f>IF($J622="","",IFERROR(INDEX(코드설정!$D$5:$D$24,MATCH($J622,코드설정!$C$5:$C$24,0)),""))</f>
        <v/>
      </c>
      <c r="AC622" s="36" t="n"/>
      <c r="AD622" s="37" t="n"/>
      <c r="AE622" s="38" t="n"/>
      <c r="AF622" s="118">
        <f>IF(OR($B622="",$C622=""),"",$C622-$B622+1)</f>
        <v/>
      </c>
      <c r="AG622" s="74" t="n"/>
      <c r="AH622" s="36" t="n"/>
      <c r="AJ622">
        <f>IF($K622="","",", "&amp;$K622)</f>
        <v/>
      </c>
      <c r="AK622">
        <f>AJ622&amp;IF($L622="","",", "&amp;$L622)</f>
        <v/>
      </c>
      <c r="AL622">
        <f>AK622&amp;IF($M622="","",", "&amp;$M622)</f>
        <v/>
      </c>
      <c r="AM622">
        <f>AL622&amp;IF($N622="","",", "&amp;$N622)</f>
        <v/>
      </c>
      <c r="AN622">
        <f>AM622&amp;IF($O622="","",", "&amp;$O622)</f>
        <v/>
      </c>
      <c r="AO622">
        <f>AN622&amp;IF($P622="","",", "&amp;$P622)</f>
        <v/>
      </c>
      <c r="AP622">
        <f>AO622&amp;IF($Q622="","",", "&amp;$Q622)</f>
        <v/>
      </c>
      <c r="AQ622">
        <f>AP622&amp;IF($R622="","",", "&amp;$R622)</f>
        <v/>
      </c>
      <c r="AR622">
        <f>AQ622&amp;IF($S622="","",", "&amp;$S622)</f>
        <v/>
      </c>
      <c r="AS622">
        <f>AR622&amp;IF($T622="","",", "&amp;$T622)</f>
        <v/>
      </c>
      <c r="AT622">
        <f>AS622&amp;IF($U622="","",", "&amp;$U622)</f>
        <v/>
      </c>
      <c r="AU622">
        <f>AT622&amp;IF($V622="","",", "&amp;$V622)</f>
        <v/>
      </c>
      <c r="AV622">
        <f>AU622&amp;IF($W622="","",", "&amp;$W622)</f>
        <v/>
      </c>
      <c r="AW622">
        <f>AV622&amp;IF($X622="","",", "&amp;$X622)</f>
        <v/>
      </c>
      <c r="AX622">
        <f>AW622&amp;IF($Y622="","",", "&amp;$Y622)</f>
        <v/>
      </c>
    </row>
    <row r="623">
      <c r="A623" s="118">
        <f>IF($B623="","",COUNT($B$5:$B623))</f>
        <v/>
      </c>
      <c r="B623" s="80" t="n"/>
      <c r="C623" s="80" t="n"/>
      <c r="D623" s="74" t="n"/>
      <c r="E623" s="74" t="n"/>
      <c r="F623" s="74" t="n"/>
      <c r="G623" s="118">
        <f>IF($F623="","",COUNTIF($F$5:$F623,$F623))</f>
        <v/>
      </c>
      <c r="H623" s="33">
        <f>IF($F623="","",IFERROR(INDEX(사건마스터!$B$5:$B$64,MATCH($F623,사건마스터!$A$5:$A$64,0)),""))</f>
        <v/>
      </c>
      <c r="I623" s="130">
        <f>IF($F623="","",IFERROR(INDEX(사건마스터!$C$5:$C$64,MATCH($F623,사건마스터!$A$5:$A$64,0)),""))</f>
        <v/>
      </c>
      <c r="J623" s="136">
        <f>IF($F623="","",IFERROR(INDEX(사건마스터!$H$5:$H$64,MATCH($F623,사건마스터!$A$5:$A$64,0)),""))</f>
        <v/>
      </c>
      <c r="K623" s="136">
        <f>IF($F623="","",IFERROR(INDEX(사건마스터!$AH$5:$AH$64,MATCH($F623,사건마스터!$A$5:$A$64,0)),""))</f>
        <v/>
      </c>
      <c r="L623" s="136">
        <f>IF($F623="","",IFERROR(INDEX(사건마스터!$AI$5:$AI$64,MATCH($F623,사건마스터!$A$5:$A$64,0)),""))</f>
        <v/>
      </c>
      <c r="M623" s="136">
        <f>IF($F623="","",IFERROR(INDEX(사건마스터!$AJ$5:$AJ$64,MATCH($F623,사건마스터!$A$5:$A$64,0)),""))</f>
        <v/>
      </c>
      <c r="N623" s="136">
        <f>IF($F623="","",IFERROR(INDEX(사건마스터!$AK$5:$AK$64,MATCH($F623,사건마스터!$A$5:$A$64,0)),""))</f>
        <v/>
      </c>
      <c r="O623" s="136">
        <f>IF($F623="","",IFERROR(INDEX(사건마스터!$AL$5:$AL$64,MATCH($F623,사건마스터!$A$5:$A$64,0)),""))</f>
        <v/>
      </c>
      <c r="P623" s="136">
        <f>IF($F623="","",IFERROR(INDEX(사건마스터!$AM$5:$AM$64,MATCH($F623,사건마스터!$A$5:$A$64,0)),""))</f>
        <v/>
      </c>
      <c r="Q623" s="136">
        <f>IF($F623="","",IFERROR(INDEX(사건마스터!$AN$5:$AN$64,MATCH($F623,사건마스터!$A$5:$A$64,0)),""))</f>
        <v/>
      </c>
      <c r="R623" s="136">
        <f>IF($F623="","",IFERROR(INDEX(사건마스터!$AO$5:$AO$64,MATCH($F623,사건마스터!$A$5:$A$64,0)),""))</f>
        <v/>
      </c>
      <c r="S623" s="136">
        <f>IF($F623="","",IFERROR(INDEX(사건마스터!$AP$5:$AP$64,MATCH($F623,사건마스터!$A$5:$A$64,0)),""))</f>
        <v/>
      </c>
      <c r="T623" s="136">
        <f>IF($F623="","",IFERROR(INDEX(사건마스터!$AQ$5:$AQ$64,MATCH($F623,사건마스터!$A$5:$A$64,0)),""))</f>
        <v/>
      </c>
      <c r="U623" s="136">
        <f>IF($F623="","",IFERROR(INDEX(사건마스터!$AR$5:$AR$64,MATCH($F623,사건마스터!$A$5:$A$64,0)),""))</f>
        <v/>
      </c>
      <c r="V623" s="136">
        <f>IF($F623="","",IFERROR(INDEX(사건마스터!$AS$5:$AS$64,MATCH($F623,사건마스터!$A$5:$A$64,0)),""))</f>
        <v/>
      </c>
      <c r="W623" s="136">
        <f>IF($F623="","",IFERROR(INDEX(사건마스터!$AT$5:$AT$64,MATCH($F623,사건마스터!$A$5:$A$64,0)),""))</f>
        <v/>
      </c>
      <c r="X623" s="136">
        <f>IF($F623="","",IFERROR(INDEX(사건마스터!$AU$5:$AU$64,MATCH($F623,사건마스터!$A$5:$A$64,0)),""))</f>
        <v/>
      </c>
      <c r="Y623" s="136">
        <f>IF($F623="","",IFERROR(INDEX(사건마스터!$AV$5:$AV$64,MATCH($F623,사건마스터!$A$5:$A$64,0)),""))</f>
        <v/>
      </c>
      <c r="Z623" s="118">
        <f>IF(COUNTBLANK($J623:$Y623)=16,"",16-COUNTBLANK($J623:$Y623))</f>
        <v/>
      </c>
      <c r="AA623" s="33">
        <f>IF($J623="",MID($AX623,3,255),$J623&amp;$AX623)</f>
        <v/>
      </c>
      <c r="AB623" s="130">
        <f>IF($J623="","",IFERROR(INDEX(코드설정!$D$5:$D$24,MATCH($J623,코드설정!$C$5:$C$24,0)),""))</f>
        <v/>
      </c>
      <c r="AC623" s="36" t="n"/>
      <c r="AD623" s="37" t="n"/>
      <c r="AE623" s="38" t="n"/>
      <c r="AF623" s="118">
        <f>IF(OR($B623="",$C623=""),"",$C623-$B623+1)</f>
        <v/>
      </c>
      <c r="AG623" s="74" t="n"/>
      <c r="AH623" s="36" t="n"/>
      <c r="AJ623">
        <f>IF($K623="","",", "&amp;$K623)</f>
        <v/>
      </c>
      <c r="AK623">
        <f>AJ623&amp;IF($L623="","",", "&amp;$L623)</f>
        <v/>
      </c>
      <c r="AL623">
        <f>AK623&amp;IF($M623="","",", "&amp;$M623)</f>
        <v/>
      </c>
      <c r="AM623">
        <f>AL623&amp;IF($N623="","",", "&amp;$N623)</f>
        <v/>
      </c>
      <c r="AN623">
        <f>AM623&amp;IF($O623="","",", "&amp;$O623)</f>
        <v/>
      </c>
      <c r="AO623">
        <f>AN623&amp;IF($P623="","",", "&amp;$P623)</f>
        <v/>
      </c>
      <c r="AP623">
        <f>AO623&amp;IF($Q623="","",", "&amp;$Q623)</f>
        <v/>
      </c>
      <c r="AQ623">
        <f>AP623&amp;IF($R623="","",", "&amp;$R623)</f>
        <v/>
      </c>
      <c r="AR623">
        <f>AQ623&amp;IF($S623="","",", "&amp;$S623)</f>
        <v/>
      </c>
      <c r="AS623">
        <f>AR623&amp;IF($T623="","",", "&amp;$T623)</f>
        <v/>
      </c>
      <c r="AT623">
        <f>AS623&amp;IF($U623="","",", "&amp;$U623)</f>
        <v/>
      </c>
      <c r="AU623">
        <f>AT623&amp;IF($V623="","",", "&amp;$V623)</f>
        <v/>
      </c>
      <c r="AV623">
        <f>AU623&amp;IF($W623="","",", "&amp;$W623)</f>
        <v/>
      </c>
      <c r="AW623">
        <f>AV623&amp;IF($X623="","",", "&amp;$X623)</f>
        <v/>
      </c>
      <c r="AX623">
        <f>AW623&amp;IF($Y623="","",", "&amp;$Y623)</f>
        <v/>
      </c>
    </row>
    <row r="624">
      <c r="A624" s="118">
        <f>IF($B624="","",COUNT($B$5:$B624))</f>
        <v/>
      </c>
      <c r="B624" s="80" t="n"/>
      <c r="C624" s="80" t="n"/>
      <c r="D624" s="74" t="n"/>
      <c r="E624" s="74" t="n"/>
      <c r="F624" s="74" t="n"/>
      <c r="G624" s="118">
        <f>IF($F624="","",COUNTIF($F$5:$F624,$F624))</f>
        <v/>
      </c>
      <c r="H624" s="33">
        <f>IF($F624="","",IFERROR(INDEX(사건마스터!$B$5:$B$64,MATCH($F624,사건마스터!$A$5:$A$64,0)),""))</f>
        <v/>
      </c>
      <c r="I624" s="130">
        <f>IF($F624="","",IFERROR(INDEX(사건마스터!$C$5:$C$64,MATCH($F624,사건마스터!$A$5:$A$64,0)),""))</f>
        <v/>
      </c>
      <c r="J624" s="136">
        <f>IF($F624="","",IFERROR(INDEX(사건마스터!$H$5:$H$64,MATCH($F624,사건마스터!$A$5:$A$64,0)),""))</f>
        <v/>
      </c>
      <c r="K624" s="136">
        <f>IF($F624="","",IFERROR(INDEX(사건마스터!$AH$5:$AH$64,MATCH($F624,사건마스터!$A$5:$A$64,0)),""))</f>
        <v/>
      </c>
      <c r="L624" s="136">
        <f>IF($F624="","",IFERROR(INDEX(사건마스터!$AI$5:$AI$64,MATCH($F624,사건마스터!$A$5:$A$64,0)),""))</f>
        <v/>
      </c>
      <c r="M624" s="136">
        <f>IF($F624="","",IFERROR(INDEX(사건마스터!$AJ$5:$AJ$64,MATCH($F624,사건마스터!$A$5:$A$64,0)),""))</f>
        <v/>
      </c>
      <c r="N624" s="136">
        <f>IF($F624="","",IFERROR(INDEX(사건마스터!$AK$5:$AK$64,MATCH($F624,사건마스터!$A$5:$A$64,0)),""))</f>
        <v/>
      </c>
      <c r="O624" s="136">
        <f>IF($F624="","",IFERROR(INDEX(사건마스터!$AL$5:$AL$64,MATCH($F624,사건마스터!$A$5:$A$64,0)),""))</f>
        <v/>
      </c>
      <c r="P624" s="136">
        <f>IF($F624="","",IFERROR(INDEX(사건마스터!$AM$5:$AM$64,MATCH($F624,사건마스터!$A$5:$A$64,0)),""))</f>
        <v/>
      </c>
      <c r="Q624" s="136">
        <f>IF($F624="","",IFERROR(INDEX(사건마스터!$AN$5:$AN$64,MATCH($F624,사건마스터!$A$5:$A$64,0)),""))</f>
        <v/>
      </c>
      <c r="R624" s="136">
        <f>IF($F624="","",IFERROR(INDEX(사건마스터!$AO$5:$AO$64,MATCH($F624,사건마스터!$A$5:$A$64,0)),""))</f>
        <v/>
      </c>
      <c r="S624" s="136">
        <f>IF($F624="","",IFERROR(INDEX(사건마스터!$AP$5:$AP$64,MATCH($F624,사건마스터!$A$5:$A$64,0)),""))</f>
        <v/>
      </c>
      <c r="T624" s="136">
        <f>IF($F624="","",IFERROR(INDEX(사건마스터!$AQ$5:$AQ$64,MATCH($F624,사건마스터!$A$5:$A$64,0)),""))</f>
        <v/>
      </c>
      <c r="U624" s="136">
        <f>IF($F624="","",IFERROR(INDEX(사건마스터!$AR$5:$AR$64,MATCH($F624,사건마스터!$A$5:$A$64,0)),""))</f>
        <v/>
      </c>
      <c r="V624" s="136">
        <f>IF($F624="","",IFERROR(INDEX(사건마스터!$AS$5:$AS$64,MATCH($F624,사건마스터!$A$5:$A$64,0)),""))</f>
        <v/>
      </c>
      <c r="W624" s="136">
        <f>IF($F624="","",IFERROR(INDEX(사건마스터!$AT$5:$AT$64,MATCH($F624,사건마스터!$A$5:$A$64,0)),""))</f>
        <v/>
      </c>
      <c r="X624" s="136">
        <f>IF($F624="","",IFERROR(INDEX(사건마스터!$AU$5:$AU$64,MATCH($F624,사건마스터!$A$5:$A$64,0)),""))</f>
        <v/>
      </c>
      <c r="Y624" s="136">
        <f>IF($F624="","",IFERROR(INDEX(사건마스터!$AV$5:$AV$64,MATCH($F624,사건마스터!$A$5:$A$64,0)),""))</f>
        <v/>
      </c>
      <c r="Z624" s="118">
        <f>IF(COUNTBLANK($J624:$Y624)=16,"",16-COUNTBLANK($J624:$Y624))</f>
        <v/>
      </c>
      <c r="AA624" s="33">
        <f>IF($J624="",MID($AX624,3,255),$J624&amp;$AX624)</f>
        <v/>
      </c>
      <c r="AB624" s="130">
        <f>IF($J624="","",IFERROR(INDEX(코드설정!$D$5:$D$24,MATCH($J624,코드설정!$C$5:$C$24,0)),""))</f>
        <v/>
      </c>
      <c r="AC624" s="36" t="n"/>
      <c r="AD624" s="37" t="n"/>
      <c r="AE624" s="38" t="n"/>
      <c r="AF624" s="118">
        <f>IF(OR($B624="",$C624=""),"",$C624-$B624+1)</f>
        <v/>
      </c>
      <c r="AG624" s="74" t="n"/>
      <c r="AH624" s="36" t="n"/>
      <c r="AJ624">
        <f>IF($K624="","",", "&amp;$K624)</f>
        <v/>
      </c>
      <c r="AK624">
        <f>AJ624&amp;IF($L624="","",", "&amp;$L624)</f>
        <v/>
      </c>
      <c r="AL624">
        <f>AK624&amp;IF($M624="","",", "&amp;$M624)</f>
        <v/>
      </c>
      <c r="AM624">
        <f>AL624&amp;IF($N624="","",", "&amp;$N624)</f>
        <v/>
      </c>
      <c r="AN624">
        <f>AM624&amp;IF($O624="","",", "&amp;$O624)</f>
        <v/>
      </c>
      <c r="AO624">
        <f>AN624&amp;IF($P624="","",", "&amp;$P624)</f>
        <v/>
      </c>
      <c r="AP624">
        <f>AO624&amp;IF($Q624="","",", "&amp;$Q624)</f>
        <v/>
      </c>
      <c r="AQ624">
        <f>AP624&amp;IF($R624="","",", "&amp;$R624)</f>
        <v/>
      </c>
      <c r="AR624">
        <f>AQ624&amp;IF($S624="","",", "&amp;$S624)</f>
        <v/>
      </c>
      <c r="AS624">
        <f>AR624&amp;IF($T624="","",", "&amp;$T624)</f>
        <v/>
      </c>
      <c r="AT624">
        <f>AS624&amp;IF($U624="","",", "&amp;$U624)</f>
        <v/>
      </c>
      <c r="AU624">
        <f>AT624&amp;IF($V624="","",", "&amp;$V624)</f>
        <v/>
      </c>
      <c r="AV624">
        <f>AU624&amp;IF($W624="","",", "&amp;$W624)</f>
        <v/>
      </c>
      <c r="AW624">
        <f>AV624&amp;IF($X624="","",", "&amp;$X624)</f>
        <v/>
      </c>
      <c r="AX624">
        <f>AW624&amp;IF($Y624="","",", "&amp;$Y624)</f>
        <v/>
      </c>
    </row>
    <row r="625">
      <c r="A625" s="118">
        <f>IF($B625="","",COUNT($B$5:$B625))</f>
        <v/>
      </c>
      <c r="B625" s="80" t="n"/>
      <c r="C625" s="80" t="n"/>
      <c r="D625" s="74" t="n"/>
      <c r="E625" s="74" t="n"/>
      <c r="F625" s="74" t="n"/>
      <c r="G625" s="118">
        <f>IF($F625="","",COUNTIF($F$5:$F625,$F625))</f>
        <v/>
      </c>
      <c r="H625" s="33">
        <f>IF($F625="","",IFERROR(INDEX(사건마스터!$B$5:$B$64,MATCH($F625,사건마스터!$A$5:$A$64,0)),""))</f>
        <v/>
      </c>
      <c r="I625" s="130">
        <f>IF($F625="","",IFERROR(INDEX(사건마스터!$C$5:$C$64,MATCH($F625,사건마스터!$A$5:$A$64,0)),""))</f>
        <v/>
      </c>
      <c r="J625" s="136">
        <f>IF($F625="","",IFERROR(INDEX(사건마스터!$H$5:$H$64,MATCH($F625,사건마스터!$A$5:$A$64,0)),""))</f>
        <v/>
      </c>
      <c r="K625" s="136">
        <f>IF($F625="","",IFERROR(INDEX(사건마스터!$AH$5:$AH$64,MATCH($F625,사건마스터!$A$5:$A$64,0)),""))</f>
        <v/>
      </c>
      <c r="L625" s="136">
        <f>IF($F625="","",IFERROR(INDEX(사건마스터!$AI$5:$AI$64,MATCH($F625,사건마스터!$A$5:$A$64,0)),""))</f>
        <v/>
      </c>
      <c r="M625" s="136">
        <f>IF($F625="","",IFERROR(INDEX(사건마스터!$AJ$5:$AJ$64,MATCH($F625,사건마스터!$A$5:$A$64,0)),""))</f>
        <v/>
      </c>
      <c r="N625" s="136">
        <f>IF($F625="","",IFERROR(INDEX(사건마스터!$AK$5:$AK$64,MATCH($F625,사건마스터!$A$5:$A$64,0)),""))</f>
        <v/>
      </c>
      <c r="O625" s="136">
        <f>IF($F625="","",IFERROR(INDEX(사건마스터!$AL$5:$AL$64,MATCH($F625,사건마스터!$A$5:$A$64,0)),""))</f>
        <v/>
      </c>
      <c r="P625" s="136">
        <f>IF($F625="","",IFERROR(INDEX(사건마스터!$AM$5:$AM$64,MATCH($F625,사건마스터!$A$5:$A$64,0)),""))</f>
        <v/>
      </c>
      <c r="Q625" s="136">
        <f>IF($F625="","",IFERROR(INDEX(사건마스터!$AN$5:$AN$64,MATCH($F625,사건마스터!$A$5:$A$64,0)),""))</f>
        <v/>
      </c>
      <c r="R625" s="136">
        <f>IF($F625="","",IFERROR(INDEX(사건마스터!$AO$5:$AO$64,MATCH($F625,사건마스터!$A$5:$A$64,0)),""))</f>
        <v/>
      </c>
      <c r="S625" s="136">
        <f>IF($F625="","",IFERROR(INDEX(사건마스터!$AP$5:$AP$64,MATCH($F625,사건마스터!$A$5:$A$64,0)),""))</f>
        <v/>
      </c>
      <c r="T625" s="136">
        <f>IF($F625="","",IFERROR(INDEX(사건마스터!$AQ$5:$AQ$64,MATCH($F625,사건마스터!$A$5:$A$64,0)),""))</f>
        <v/>
      </c>
      <c r="U625" s="136">
        <f>IF($F625="","",IFERROR(INDEX(사건마스터!$AR$5:$AR$64,MATCH($F625,사건마스터!$A$5:$A$64,0)),""))</f>
        <v/>
      </c>
      <c r="V625" s="136">
        <f>IF($F625="","",IFERROR(INDEX(사건마스터!$AS$5:$AS$64,MATCH($F625,사건마스터!$A$5:$A$64,0)),""))</f>
        <v/>
      </c>
      <c r="W625" s="136">
        <f>IF($F625="","",IFERROR(INDEX(사건마스터!$AT$5:$AT$64,MATCH($F625,사건마스터!$A$5:$A$64,0)),""))</f>
        <v/>
      </c>
      <c r="X625" s="136">
        <f>IF($F625="","",IFERROR(INDEX(사건마스터!$AU$5:$AU$64,MATCH($F625,사건마스터!$A$5:$A$64,0)),""))</f>
        <v/>
      </c>
      <c r="Y625" s="136">
        <f>IF($F625="","",IFERROR(INDEX(사건마스터!$AV$5:$AV$64,MATCH($F625,사건마스터!$A$5:$A$64,0)),""))</f>
        <v/>
      </c>
      <c r="Z625" s="118">
        <f>IF(COUNTBLANK($J625:$Y625)=16,"",16-COUNTBLANK($J625:$Y625))</f>
        <v/>
      </c>
      <c r="AA625" s="33">
        <f>IF($J625="",MID($AX625,3,255),$J625&amp;$AX625)</f>
        <v/>
      </c>
      <c r="AB625" s="130">
        <f>IF($J625="","",IFERROR(INDEX(코드설정!$D$5:$D$24,MATCH($J625,코드설정!$C$5:$C$24,0)),""))</f>
        <v/>
      </c>
      <c r="AC625" s="36" t="n"/>
      <c r="AD625" s="37" t="n"/>
      <c r="AE625" s="38" t="n"/>
      <c r="AF625" s="118">
        <f>IF(OR($B625="",$C625=""),"",$C625-$B625+1)</f>
        <v/>
      </c>
      <c r="AG625" s="74" t="n"/>
      <c r="AH625" s="36" t="n"/>
      <c r="AJ625">
        <f>IF($K625="","",", "&amp;$K625)</f>
        <v/>
      </c>
      <c r="AK625">
        <f>AJ625&amp;IF($L625="","",", "&amp;$L625)</f>
        <v/>
      </c>
      <c r="AL625">
        <f>AK625&amp;IF($M625="","",", "&amp;$M625)</f>
        <v/>
      </c>
      <c r="AM625">
        <f>AL625&amp;IF($N625="","",", "&amp;$N625)</f>
        <v/>
      </c>
      <c r="AN625">
        <f>AM625&amp;IF($O625="","",", "&amp;$O625)</f>
        <v/>
      </c>
      <c r="AO625">
        <f>AN625&amp;IF($P625="","",", "&amp;$P625)</f>
        <v/>
      </c>
      <c r="AP625">
        <f>AO625&amp;IF($Q625="","",", "&amp;$Q625)</f>
        <v/>
      </c>
      <c r="AQ625">
        <f>AP625&amp;IF($R625="","",", "&amp;$R625)</f>
        <v/>
      </c>
      <c r="AR625">
        <f>AQ625&amp;IF($S625="","",", "&amp;$S625)</f>
        <v/>
      </c>
      <c r="AS625">
        <f>AR625&amp;IF($T625="","",", "&amp;$T625)</f>
        <v/>
      </c>
      <c r="AT625">
        <f>AS625&amp;IF($U625="","",", "&amp;$U625)</f>
        <v/>
      </c>
      <c r="AU625">
        <f>AT625&amp;IF($V625="","",", "&amp;$V625)</f>
        <v/>
      </c>
      <c r="AV625">
        <f>AU625&amp;IF($W625="","",", "&amp;$W625)</f>
        <v/>
      </c>
      <c r="AW625">
        <f>AV625&amp;IF($X625="","",", "&amp;$X625)</f>
        <v/>
      </c>
      <c r="AX625">
        <f>AW625&amp;IF($Y625="","",", "&amp;$Y625)</f>
        <v/>
      </c>
    </row>
    <row r="626">
      <c r="A626" s="118">
        <f>IF($B626="","",COUNT($B$5:$B626))</f>
        <v/>
      </c>
      <c r="B626" s="80" t="n"/>
      <c r="C626" s="80" t="n"/>
      <c r="D626" s="74" t="n"/>
      <c r="E626" s="74" t="n"/>
      <c r="F626" s="74" t="n"/>
      <c r="G626" s="118">
        <f>IF($F626="","",COUNTIF($F$5:$F626,$F626))</f>
        <v/>
      </c>
      <c r="H626" s="33">
        <f>IF($F626="","",IFERROR(INDEX(사건마스터!$B$5:$B$64,MATCH($F626,사건마스터!$A$5:$A$64,0)),""))</f>
        <v/>
      </c>
      <c r="I626" s="130">
        <f>IF($F626="","",IFERROR(INDEX(사건마스터!$C$5:$C$64,MATCH($F626,사건마스터!$A$5:$A$64,0)),""))</f>
        <v/>
      </c>
      <c r="J626" s="136">
        <f>IF($F626="","",IFERROR(INDEX(사건마스터!$H$5:$H$64,MATCH($F626,사건마스터!$A$5:$A$64,0)),""))</f>
        <v/>
      </c>
      <c r="K626" s="136">
        <f>IF($F626="","",IFERROR(INDEX(사건마스터!$AH$5:$AH$64,MATCH($F626,사건마스터!$A$5:$A$64,0)),""))</f>
        <v/>
      </c>
      <c r="L626" s="136">
        <f>IF($F626="","",IFERROR(INDEX(사건마스터!$AI$5:$AI$64,MATCH($F626,사건마스터!$A$5:$A$64,0)),""))</f>
        <v/>
      </c>
      <c r="M626" s="136">
        <f>IF($F626="","",IFERROR(INDEX(사건마스터!$AJ$5:$AJ$64,MATCH($F626,사건마스터!$A$5:$A$64,0)),""))</f>
        <v/>
      </c>
      <c r="N626" s="136">
        <f>IF($F626="","",IFERROR(INDEX(사건마스터!$AK$5:$AK$64,MATCH($F626,사건마스터!$A$5:$A$64,0)),""))</f>
        <v/>
      </c>
      <c r="O626" s="136">
        <f>IF($F626="","",IFERROR(INDEX(사건마스터!$AL$5:$AL$64,MATCH($F626,사건마스터!$A$5:$A$64,0)),""))</f>
        <v/>
      </c>
      <c r="P626" s="136">
        <f>IF($F626="","",IFERROR(INDEX(사건마스터!$AM$5:$AM$64,MATCH($F626,사건마스터!$A$5:$A$64,0)),""))</f>
        <v/>
      </c>
      <c r="Q626" s="136">
        <f>IF($F626="","",IFERROR(INDEX(사건마스터!$AN$5:$AN$64,MATCH($F626,사건마스터!$A$5:$A$64,0)),""))</f>
        <v/>
      </c>
      <c r="R626" s="136">
        <f>IF($F626="","",IFERROR(INDEX(사건마스터!$AO$5:$AO$64,MATCH($F626,사건마스터!$A$5:$A$64,0)),""))</f>
        <v/>
      </c>
      <c r="S626" s="136">
        <f>IF($F626="","",IFERROR(INDEX(사건마스터!$AP$5:$AP$64,MATCH($F626,사건마스터!$A$5:$A$64,0)),""))</f>
        <v/>
      </c>
      <c r="T626" s="136">
        <f>IF($F626="","",IFERROR(INDEX(사건마스터!$AQ$5:$AQ$64,MATCH($F626,사건마스터!$A$5:$A$64,0)),""))</f>
        <v/>
      </c>
      <c r="U626" s="136">
        <f>IF($F626="","",IFERROR(INDEX(사건마스터!$AR$5:$AR$64,MATCH($F626,사건마스터!$A$5:$A$64,0)),""))</f>
        <v/>
      </c>
      <c r="V626" s="136">
        <f>IF($F626="","",IFERROR(INDEX(사건마스터!$AS$5:$AS$64,MATCH($F626,사건마스터!$A$5:$A$64,0)),""))</f>
        <v/>
      </c>
      <c r="W626" s="136">
        <f>IF($F626="","",IFERROR(INDEX(사건마스터!$AT$5:$AT$64,MATCH($F626,사건마스터!$A$5:$A$64,0)),""))</f>
        <v/>
      </c>
      <c r="X626" s="136">
        <f>IF($F626="","",IFERROR(INDEX(사건마스터!$AU$5:$AU$64,MATCH($F626,사건마스터!$A$5:$A$64,0)),""))</f>
        <v/>
      </c>
      <c r="Y626" s="136">
        <f>IF($F626="","",IFERROR(INDEX(사건마스터!$AV$5:$AV$64,MATCH($F626,사건마스터!$A$5:$A$64,0)),""))</f>
        <v/>
      </c>
      <c r="Z626" s="118">
        <f>IF(COUNTBLANK($J626:$Y626)=16,"",16-COUNTBLANK($J626:$Y626))</f>
        <v/>
      </c>
      <c r="AA626" s="33">
        <f>IF($J626="",MID($AX626,3,255),$J626&amp;$AX626)</f>
        <v/>
      </c>
      <c r="AB626" s="130">
        <f>IF($J626="","",IFERROR(INDEX(코드설정!$D$5:$D$24,MATCH($J626,코드설정!$C$5:$C$24,0)),""))</f>
        <v/>
      </c>
      <c r="AC626" s="36" t="n"/>
      <c r="AD626" s="37" t="n"/>
      <c r="AE626" s="38" t="n"/>
      <c r="AF626" s="118">
        <f>IF(OR($B626="",$C626=""),"",$C626-$B626+1)</f>
        <v/>
      </c>
      <c r="AG626" s="74" t="n"/>
      <c r="AH626" s="36" t="n"/>
      <c r="AJ626">
        <f>IF($K626="","",", "&amp;$K626)</f>
        <v/>
      </c>
      <c r="AK626">
        <f>AJ626&amp;IF($L626="","",", "&amp;$L626)</f>
        <v/>
      </c>
      <c r="AL626">
        <f>AK626&amp;IF($M626="","",", "&amp;$M626)</f>
        <v/>
      </c>
      <c r="AM626">
        <f>AL626&amp;IF($N626="","",", "&amp;$N626)</f>
        <v/>
      </c>
      <c r="AN626">
        <f>AM626&amp;IF($O626="","",", "&amp;$O626)</f>
        <v/>
      </c>
      <c r="AO626">
        <f>AN626&amp;IF($P626="","",", "&amp;$P626)</f>
        <v/>
      </c>
      <c r="AP626">
        <f>AO626&amp;IF($Q626="","",", "&amp;$Q626)</f>
        <v/>
      </c>
      <c r="AQ626">
        <f>AP626&amp;IF($R626="","",", "&amp;$R626)</f>
        <v/>
      </c>
      <c r="AR626">
        <f>AQ626&amp;IF($S626="","",", "&amp;$S626)</f>
        <v/>
      </c>
      <c r="AS626">
        <f>AR626&amp;IF($T626="","",", "&amp;$T626)</f>
        <v/>
      </c>
      <c r="AT626">
        <f>AS626&amp;IF($U626="","",", "&amp;$U626)</f>
        <v/>
      </c>
      <c r="AU626">
        <f>AT626&amp;IF($V626="","",", "&amp;$V626)</f>
        <v/>
      </c>
      <c r="AV626">
        <f>AU626&amp;IF($W626="","",", "&amp;$W626)</f>
        <v/>
      </c>
      <c r="AW626">
        <f>AV626&amp;IF($X626="","",", "&amp;$X626)</f>
        <v/>
      </c>
      <c r="AX626">
        <f>AW626&amp;IF($Y626="","",", "&amp;$Y626)</f>
        <v/>
      </c>
    </row>
    <row r="627">
      <c r="A627" s="118">
        <f>IF($B627="","",COUNT($B$5:$B627))</f>
        <v/>
      </c>
      <c r="B627" s="80" t="n"/>
      <c r="C627" s="80" t="n"/>
      <c r="D627" s="74" t="n"/>
      <c r="E627" s="74" t="n"/>
      <c r="F627" s="74" t="n"/>
      <c r="G627" s="118">
        <f>IF($F627="","",COUNTIF($F$5:$F627,$F627))</f>
        <v/>
      </c>
      <c r="H627" s="33">
        <f>IF($F627="","",IFERROR(INDEX(사건마스터!$B$5:$B$64,MATCH($F627,사건마스터!$A$5:$A$64,0)),""))</f>
        <v/>
      </c>
      <c r="I627" s="130">
        <f>IF($F627="","",IFERROR(INDEX(사건마스터!$C$5:$C$64,MATCH($F627,사건마스터!$A$5:$A$64,0)),""))</f>
        <v/>
      </c>
      <c r="J627" s="136">
        <f>IF($F627="","",IFERROR(INDEX(사건마스터!$H$5:$H$64,MATCH($F627,사건마스터!$A$5:$A$64,0)),""))</f>
        <v/>
      </c>
      <c r="K627" s="136">
        <f>IF($F627="","",IFERROR(INDEX(사건마스터!$AH$5:$AH$64,MATCH($F627,사건마스터!$A$5:$A$64,0)),""))</f>
        <v/>
      </c>
      <c r="L627" s="136">
        <f>IF($F627="","",IFERROR(INDEX(사건마스터!$AI$5:$AI$64,MATCH($F627,사건마스터!$A$5:$A$64,0)),""))</f>
        <v/>
      </c>
      <c r="M627" s="136">
        <f>IF($F627="","",IFERROR(INDEX(사건마스터!$AJ$5:$AJ$64,MATCH($F627,사건마스터!$A$5:$A$64,0)),""))</f>
        <v/>
      </c>
      <c r="N627" s="136">
        <f>IF($F627="","",IFERROR(INDEX(사건마스터!$AK$5:$AK$64,MATCH($F627,사건마스터!$A$5:$A$64,0)),""))</f>
        <v/>
      </c>
      <c r="O627" s="136">
        <f>IF($F627="","",IFERROR(INDEX(사건마스터!$AL$5:$AL$64,MATCH($F627,사건마스터!$A$5:$A$64,0)),""))</f>
        <v/>
      </c>
      <c r="P627" s="136">
        <f>IF($F627="","",IFERROR(INDEX(사건마스터!$AM$5:$AM$64,MATCH($F627,사건마스터!$A$5:$A$64,0)),""))</f>
        <v/>
      </c>
      <c r="Q627" s="136">
        <f>IF($F627="","",IFERROR(INDEX(사건마스터!$AN$5:$AN$64,MATCH($F627,사건마스터!$A$5:$A$64,0)),""))</f>
        <v/>
      </c>
      <c r="R627" s="136">
        <f>IF($F627="","",IFERROR(INDEX(사건마스터!$AO$5:$AO$64,MATCH($F627,사건마스터!$A$5:$A$64,0)),""))</f>
        <v/>
      </c>
      <c r="S627" s="136">
        <f>IF($F627="","",IFERROR(INDEX(사건마스터!$AP$5:$AP$64,MATCH($F627,사건마스터!$A$5:$A$64,0)),""))</f>
        <v/>
      </c>
      <c r="T627" s="136">
        <f>IF($F627="","",IFERROR(INDEX(사건마스터!$AQ$5:$AQ$64,MATCH($F627,사건마스터!$A$5:$A$64,0)),""))</f>
        <v/>
      </c>
      <c r="U627" s="136">
        <f>IF($F627="","",IFERROR(INDEX(사건마스터!$AR$5:$AR$64,MATCH($F627,사건마스터!$A$5:$A$64,0)),""))</f>
        <v/>
      </c>
      <c r="V627" s="136">
        <f>IF($F627="","",IFERROR(INDEX(사건마스터!$AS$5:$AS$64,MATCH($F627,사건마스터!$A$5:$A$64,0)),""))</f>
        <v/>
      </c>
      <c r="W627" s="136">
        <f>IF($F627="","",IFERROR(INDEX(사건마스터!$AT$5:$AT$64,MATCH($F627,사건마스터!$A$5:$A$64,0)),""))</f>
        <v/>
      </c>
      <c r="X627" s="136">
        <f>IF($F627="","",IFERROR(INDEX(사건마스터!$AU$5:$AU$64,MATCH($F627,사건마스터!$A$5:$A$64,0)),""))</f>
        <v/>
      </c>
      <c r="Y627" s="136">
        <f>IF($F627="","",IFERROR(INDEX(사건마스터!$AV$5:$AV$64,MATCH($F627,사건마스터!$A$5:$A$64,0)),""))</f>
        <v/>
      </c>
      <c r="Z627" s="118">
        <f>IF(COUNTBLANK($J627:$Y627)=16,"",16-COUNTBLANK($J627:$Y627))</f>
        <v/>
      </c>
      <c r="AA627" s="33">
        <f>IF($J627="",MID($AX627,3,255),$J627&amp;$AX627)</f>
        <v/>
      </c>
      <c r="AB627" s="130">
        <f>IF($J627="","",IFERROR(INDEX(코드설정!$D$5:$D$24,MATCH($J627,코드설정!$C$5:$C$24,0)),""))</f>
        <v/>
      </c>
      <c r="AC627" s="36" t="n"/>
      <c r="AD627" s="37" t="n"/>
      <c r="AE627" s="38" t="n"/>
      <c r="AF627" s="118">
        <f>IF(OR($B627="",$C627=""),"",$C627-$B627+1)</f>
        <v/>
      </c>
      <c r="AG627" s="74" t="n"/>
      <c r="AH627" s="36" t="n"/>
      <c r="AJ627">
        <f>IF($K627="","",", "&amp;$K627)</f>
        <v/>
      </c>
      <c r="AK627">
        <f>AJ627&amp;IF($L627="","",", "&amp;$L627)</f>
        <v/>
      </c>
      <c r="AL627">
        <f>AK627&amp;IF($M627="","",", "&amp;$M627)</f>
        <v/>
      </c>
      <c r="AM627">
        <f>AL627&amp;IF($N627="","",", "&amp;$N627)</f>
        <v/>
      </c>
      <c r="AN627">
        <f>AM627&amp;IF($O627="","",", "&amp;$O627)</f>
        <v/>
      </c>
      <c r="AO627">
        <f>AN627&amp;IF($P627="","",", "&amp;$P627)</f>
        <v/>
      </c>
      <c r="AP627">
        <f>AO627&amp;IF($Q627="","",", "&amp;$Q627)</f>
        <v/>
      </c>
      <c r="AQ627">
        <f>AP627&amp;IF($R627="","",", "&amp;$R627)</f>
        <v/>
      </c>
      <c r="AR627">
        <f>AQ627&amp;IF($S627="","",", "&amp;$S627)</f>
        <v/>
      </c>
      <c r="AS627">
        <f>AR627&amp;IF($T627="","",", "&amp;$T627)</f>
        <v/>
      </c>
      <c r="AT627">
        <f>AS627&amp;IF($U627="","",", "&amp;$U627)</f>
        <v/>
      </c>
      <c r="AU627">
        <f>AT627&amp;IF($V627="","",", "&amp;$V627)</f>
        <v/>
      </c>
      <c r="AV627">
        <f>AU627&amp;IF($W627="","",", "&amp;$W627)</f>
        <v/>
      </c>
      <c r="AW627">
        <f>AV627&amp;IF($X627="","",", "&amp;$X627)</f>
        <v/>
      </c>
      <c r="AX627">
        <f>AW627&amp;IF($Y627="","",", "&amp;$Y627)</f>
        <v/>
      </c>
    </row>
    <row r="628">
      <c r="A628" s="118">
        <f>IF($B628="","",COUNT($B$5:$B628))</f>
        <v/>
      </c>
      <c r="B628" s="80" t="n"/>
      <c r="C628" s="80" t="n"/>
      <c r="D628" s="74" t="n"/>
      <c r="E628" s="74" t="n"/>
      <c r="F628" s="74" t="n"/>
      <c r="G628" s="118">
        <f>IF($F628="","",COUNTIF($F$5:$F628,$F628))</f>
        <v/>
      </c>
      <c r="H628" s="33">
        <f>IF($F628="","",IFERROR(INDEX(사건마스터!$B$5:$B$64,MATCH($F628,사건마스터!$A$5:$A$64,0)),""))</f>
        <v/>
      </c>
      <c r="I628" s="130">
        <f>IF($F628="","",IFERROR(INDEX(사건마스터!$C$5:$C$64,MATCH($F628,사건마스터!$A$5:$A$64,0)),""))</f>
        <v/>
      </c>
      <c r="J628" s="136">
        <f>IF($F628="","",IFERROR(INDEX(사건마스터!$H$5:$H$64,MATCH($F628,사건마스터!$A$5:$A$64,0)),""))</f>
        <v/>
      </c>
      <c r="K628" s="136">
        <f>IF($F628="","",IFERROR(INDEX(사건마스터!$AH$5:$AH$64,MATCH($F628,사건마스터!$A$5:$A$64,0)),""))</f>
        <v/>
      </c>
      <c r="L628" s="136">
        <f>IF($F628="","",IFERROR(INDEX(사건마스터!$AI$5:$AI$64,MATCH($F628,사건마스터!$A$5:$A$64,0)),""))</f>
        <v/>
      </c>
      <c r="M628" s="136">
        <f>IF($F628="","",IFERROR(INDEX(사건마스터!$AJ$5:$AJ$64,MATCH($F628,사건마스터!$A$5:$A$64,0)),""))</f>
        <v/>
      </c>
      <c r="N628" s="136">
        <f>IF($F628="","",IFERROR(INDEX(사건마스터!$AK$5:$AK$64,MATCH($F628,사건마스터!$A$5:$A$64,0)),""))</f>
        <v/>
      </c>
      <c r="O628" s="136">
        <f>IF($F628="","",IFERROR(INDEX(사건마스터!$AL$5:$AL$64,MATCH($F628,사건마스터!$A$5:$A$64,0)),""))</f>
        <v/>
      </c>
      <c r="P628" s="136">
        <f>IF($F628="","",IFERROR(INDEX(사건마스터!$AM$5:$AM$64,MATCH($F628,사건마스터!$A$5:$A$64,0)),""))</f>
        <v/>
      </c>
      <c r="Q628" s="136">
        <f>IF($F628="","",IFERROR(INDEX(사건마스터!$AN$5:$AN$64,MATCH($F628,사건마스터!$A$5:$A$64,0)),""))</f>
        <v/>
      </c>
      <c r="R628" s="136">
        <f>IF($F628="","",IFERROR(INDEX(사건마스터!$AO$5:$AO$64,MATCH($F628,사건마스터!$A$5:$A$64,0)),""))</f>
        <v/>
      </c>
      <c r="S628" s="136">
        <f>IF($F628="","",IFERROR(INDEX(사건마스터!$AP$5:$AP$64,MATCH($F628,사건마스터!$A$5:$A$64,0)),""))</f>
        <v/>
      </c>
      <c r="T628" s="136">
        <f>IF($F628="","",IFERROR(INDEX(사건마스터!$AQ$5:$AQ$64,MATCH($F628,사건마스터!$A$5:$A$64,0)),""))</f>
        <v/>
      </c>
      <c r="U628" s="136">
        <f>IF($F628="","",IFERROR(INDEX(사건마스터!$AR$5:$AR$64,MATCH($F628,사건마스터!$A$5:$A$64,0)),""))</f>
        <v/>
      </c>
      <c r="V628" s="136">
        <f>IF($F628="","",IFERROR(INDEX(사건마스터!$AS$5:$AS$64,MATCH($F628,사건마스터!$A$5:$A$64,0)),""))</f>
        <v/>
      </c>
      <c r="W628" s="136">
        <f>IF($F628="","",IFERROR(INDEX(사건마스터!$AT$5:$AT$64,MATCH($F628,사건마스터!$A$5:$A$64,0)),""))</f>
        <v/>
      </c>
      <c r="X628" s="136">
        <f>IF($F628="","",IFERROR(INDEX(사건마스터!$AU$5:$AU$64,MATCH($F628,사건마스터!$A$5:$A$64,0)),""))</f>
        <v/>
      </c>
      <c r="Y628" s="136">
        <f>IF($F628="","",IFERROR(INDEX(사건마스터!$AV$5:$AV$64,MATCH($F628,사건마스터!$A$5:$A$64,0)),""))</f>
        <v/>
      </c>
      <c r="Z628" s="118">
        <f>IF(COUNTBLANK($J628:$Y628)=16,"",16-COUNTBLANK($J628:$Y628))</f>
        <v/>
      </c>
      <c r="AA628" s="33">
        <f>IF($J628="",MID($AX628,3,255),$J628&amp;$AX628)</f>
        <v/>
      </c>
      <c r="AB628" s="130">
        <f>IF($J628="","",IFERROR(INDEX(코드설정!$D$5:$D$24,MATCH($J628,코드설정!$C$5:$C$24,0)),""))</f>
        <v/>
      </c>
      <c r="AC628" s="36" t="n"/>
      <c r="AD628" s="37" t="n"/>
      <c r="AE628" s="38" t="n"/>
      <c r="AF628" s="118">
        <f>IF(OR($B628="",$C628=""),"",$C628-$B628+1)</f>
        <v/>
      </c>
      <c r="AG628" s="74" t="n"/>
      <c r="AH628" s="36" t="n"/>
      <c r="AJ628">
        <f>IF($K628="","",", "&amp;$K628)</f>
        <v/>
      </c>
      <c r="AK628">
        <f>AJ628&amp;IF($L628="","",", "&amp;$L628)</f>
        <v/>
      </c>
      <c r="AL628">
        <f>AK628&amp;IF($M628="","",", "&amp;$M628)</f>
        <v/>
      </c>
      <c r="AM628">
        <f>AL628&amp;IF($N628="","",", "&amp;$N628)</f>
        <v/>
      </c>
      <c r="AN628">
        <f>AM628&amp;IF($O628="","",", "&amp;$O628)</f>
        <v/>
      </c>
      <c r="AO628">
        <f>AN628&amp;IF($P628="","",", "&amp;$P628)</f>
        <v/>
      </c>
      <c r="AP628">
        <f>AO628&amp;IF($Q628="","",", "&amp;$Q628)</f>
        <v/>
      </c>
      <c r="AQ628">
        <f>AP628&amp;IF($R628="","",", "&amp;$R628)</f>
        <v/>
      </c>
      <c r="AR628">
        <f>AQ628&amp;IF($S628="","",", "&amp;$S628)</f>
        <v/>
      </c>
      <c r="AS628">
        <f>AR628&amp;IF($T628="","",", "&amp;$T628)</f>
        <v/>
      </c>
      <c r="AT628">
        <f>AS628&amp;IF($U628="","",", "&amp;$U628)</f>
        <v/>
      </c>
      <c r="AU628">
        <f>AT628&amp;IF($V628="","",", "&amp;$V628)</f>
        <v/>
      </c>
      <c r="AV628">
        <f>AU628&amp;IF($W628="","",", "&amp;$W628)</f>
        <v/>
      </c>
      <c r="AW628">
        <f>AV628&amp;IF($X628="","",", "&amp;$X628)</f>
        <v/>
      </c>
      <c r="AX628">
        <f>AW628&amp;IF($Y628="","",", "&amp;$Y628)</f>
        <v/>
      </c>
    </row>
    <row r="629">
      <c r="A629" s="118">
        <f>IF($B629="","",COUNT($B$5:$B629))</f>
        <v/>
      </c>
      <c r="B629" s="80" t="n"/>
      <c r="C629" s="80" t="n"/>
      <c r="D629" s="74" t="n"/>
      <c r="E629" s="74" t="n"/>
      <c r="F629" s="74" t="n"/>
      <c r="G629" s="118">
        <f>IF($F629="","",COUNTIF($F$5:$F629,$F629))</f>
        <v/>
      </c>
      <c r="H629" s="33">
        <f>IF($F629="","",IFERROR(INDEX(사건마스터!$B$5:$B$64,MATCH($F629,사건마스터!$A$5:$A$64,0)),""))</f>
        <v/>
      </c>
      <c r="I629" s="130">
        <f>IF($F629="","",IFERROR(INDEX(사건마스터!$C$5:$C$64,MATCH($F629,사건마스터!$A$5:$A$64,0)),""))</f>
        <v/>
      </c>
      <c r="J629" s="136">
        <f>IF($F629="","",IFERROR(INDEX(사건마스터!$H$5:$H$64,MATCH($F629,사건마스터!$A$5:$A$64,0)),""))</f>
        <v/>
      </c>
      <c r="K629" s="136">
        <f>IF($F629="","",IFERROR(INDEX(사건마스터!$AH$5:$AH$64,MATCH($F629,사건마스터!$A$5:$A$64,0)),""))</f>
        <v/>
      </c>
      <c r="L629" s="136">
        <f>IF($F629="","",IFERROR(INDEX(사건마스터!$AI$5:$AI$64,MATCH($F629,사건마스터!$A$5:$A$64,0)),""))</f>
        <v/>
      </c>
      <c r="M629" s="136">
        <f>IF($F629="","",IFERROR(INDEX(사건마스터!$AJ$5:$AJ$64,MATCH($F629,사건마스터!$A$5:$A$64,0)),""))</f>
        <v/>
      </c>
      <c r="N629" s="136">
        <f>IF($F629="","",IFERROR(INDEX(사건마스터!$AK$5:$AK$64,MATCH($F629,사건마스터!$A$5:$A$64,0)),""))</f>
        <v/>
      </c>
      <c r="O629" s="136">
        <f>IF($F629="","",IFERROR(INDEX(사건마스터!$AL$5:$AL$64,MATCH($F629,사건마스터!$A$5:$A$64,0)),""))</f>
        <v/>
      </c>
      <c r="P629" s="136">
        <f>IF($F629="","",IFERROR(INDEX(사건마스터!$AM$5:$AM$64,MATCH($F629,사건마스터!$A$5:$A$64,0)),""))</f>
        <v/>
      </c>
      <c r="Q629" s="136">
        <f>IF($F629="","",IFERROR(INDEX(사건마스터!$AN$5:$AN$64,MATCH($F629,사건마스터!$A$5:$A$64,0)),""))</f>
        <v/>
      </c>
      <c r="R629" s="136">
        <f>IF($F629="","",IFERROR(INDEX(사건마스터!$AO$5:$AO$64,MATCH($F629,사건마스터!$A$5:$A$64,0)),""))</f>
        <v/>
      </c>
      <c r="S629" s="136">
        <f>IF($F629="","",IFERROR(INDEX(사건마스터!$AP$5:$AP$64,MATCH($F629,사건마스터!$A$5:$A$64,0)),""))</f>
        <v/>
      </c>
      <c r="T629" s="136">
        <f>IF($F629="","",IFERROR(INDEX(사건마스터!$AQ$5:$AQ$64,MATCH($F629,사건마스터!$A$5:$A$64,0)),""))</f>
        <v/>
      </c>
      <c r="U629" s="136">
        <f>IF($F629="","",IFERROR(INDEX(사건마스터!$AR$5:$AR$64,MATCH($F629,사건마스터!$A$5:$A$64,0)),""))</f>
        <v/>
      </c>
      <c r="V629" s="136">
        <f>IF($F629="","",IFERROR(INDEX(사건마스터!$AS$5:$AS$64,MATCH($F629,사건마스터!$A$5:$A$64,0)),""))</f>
        <v/>
      </c>
      <c r="W629" s="136">
        <f>IF($F629="","",IFERROR(INDEX(사건마스터!$AT$5:$AT$64,MATCH($F629,사건마스터!$A$5:$A$64,0)),""))</f>
        <v/>
      </c>
      <c r="X629" s="136">
        <f>IF($F629="","",IFERROR(INDEX(사건마스터!$AU$5:$AU$64,MATCH($F629,사건마스터!$A$5:$A$64,0)),""))</f>
        <v/>
      </c>
      <c r="Y629" s="136">
        <f>IF($F629="","",IFERROR(INDEX(사건마스터!$AV$5:$AV$64,MATCH($F629,사건마스터!$A$5:$A$64,0)),""))</f>
        <v/>
      </c>
      <c r="Z629" s="118">
        <f>IF(COUNTBLANK($J629:$Y629)=16,"",16-COUNTBLANK($J629:$Y629))</f>
        <v/>
      </c>
      <c r="AA629" s="33">
        <f>IF($J629="",MID($AX629,3,255),$J629&amp;$AX629)</f>
        <v/>
      </c>
      <c r="AB629" s="130">
        <f>IF($J629="","",IFERROR(INDEX(코드설정!$D$5:$D$24,MATCH($J629,코드설정!$C$5:$C$24,0)),""))</f>
        <v/>
      </c>
      <c r="AC629" s="36" t="n"/>
      <c r="AD629" s="37" t="n"/>
      <c r="AE629" s="38" t="n"/>
      <c r="AF629" s="118">
        <f>IF(OR($B629="",$C629=""),"",$C629-$B629+1)</f>
        <v/>
      </c>
      <c r="AG629" s="74" t="n"/>
      <c r="AH629" s="36" t="n"/>
      <c r="AJ629">
        <f>IF($K629="","",", "&amp;$K629)</f>
        <v/>
      </c>
      <c r="AK629">
        <f>AJ629&amp;IF($L629="","",", "&amp;$L629)</f>
        <v/>
      </c>
      <c r="AL629">
        <f>AK629&amp;IF($M629="","",", "&amp;$M629)</f>
        <v/>
      </c>
      <c r="AM629">
        <f>AL629&amp;IF($N629="","",", "&amp;$N629)</f>
        <v/>
      </c>
      <c r="AN629">
        <f>AM629&amp;IF($O629="","",", "&amp;$O629)</f>
        <v/>
      </c>
      <c r="AO629">
        <f>AN629&amp;IF($P629="","",", "&amp;$P629)</f>
        <v/>
      </c>
      <c r="AP629">
        <f>AO629&amp;IF($Q629="","",", "&amp;$Q629)</f>
        <v/>
      </c>
      <c r="AQ629">
        <f>AP629&amp;IF($R629="","",", "&amp;$R629)</f>
        <v/>
      </c>
      <c r="AR629">
        <f>AQ629&amp;IF($S629="","",", "&amp;$S629)</f>
        <v/>
      </c>
      <c r="AS629">
        <f>AR629&amp;IF($T629="","",", "&amp;$T629)</f>
        <v/>
      </c>
      <c r="AT629">
        <f>AS629&amp;IF($U629="","",", "&amp;$U629)</f>
        <v/>
      </c>
      <c r="AU629">
        <f>AT629&amp;IF($V629="","",", "&amp;$V629)</f>
        <v/>
      </c>
      <c r="AV629">
        <f>AU629&amp;IF($W629="","",", "&amp;$W629)</f>
        <v/>
      </c>
      <c r="AW629">
        <f>AV629&amp;IF($X629="","",", "&amp;$X629)</f>
        <v/>
      </c>
      <c r="AX629">
        <f>AW629&amp;IF($Y629="","",", "&amp;$Y629)</f>
        <v/>
      </c>
    </row>
    <row r="630">
      <c r="A630" s="118">
        <f>IF($B630="","",COUNT($B$5:$B630))</f>
        <v/>
      </c>
      <c r="B630" s="80" t="n"/>
      <c r="C630" s="80" t="n"/>
      <c r="D630" s="74" t="n"/>
      <c r="E630" s="74" t="n"/>
      <c r="F630" s="74" t="n"/>
      <c r="G630" s="118">
        <f>IF($F630="","",COUNTIF($F$5:$F630,$F630))</f>
        <v/>
      </c>
      <c r="H630" s="33">
        <f>IF($F630="","",IFERROR(INDEX(사건마스터!$B$5:$B$64,MATCH($F630,사건마스터!$A$5:$A$64,0)),""))</f>
        <v/>
      </c>
      <c r="I630" s="130">
        <f>IF($F630="","",IFERROR(INDEX(사건마스터!$C$5:$C$64,MATCH($F630,사건마스터!$A$5:$A$64,0)),""))</f>
        <v/>
      </c>
      <c r="J630" s="136">
        <f>IF($F630="","",IFERROR(INDEX(사건마스터!$H$5:$H$64,MATCH($F630,사건마스터!$A$5:$A$64,0)),""))</f>
        <v/>
      </c>
      <c r="K630" s="136">
        <f>IF($F630="","",IFERROR(INDEX(사건마스터!$AH$5:$AH$64,MATCH($F630,사건마스터!$A$5:$A$64,0)),""))</f>
        <v/>
      </c>
      <c r="L630" s="136">
        <f>IF($F630="","",IFERROR(INDEX(사건마스터!$AI$5:$AI$64,MATCH($F630,사건마스터!$A$5:$A$64,0)),""))</f>
        <v/>
      </c>
      <c r="M630" s="136">
        <f>IF($F630="","",IFERROR(INDEX(사건마스터!$AJ$5:$AJ$64,MATCH($F630,사건마스터!$A$5:$A$64,0)),""))</f>
        <v/>
      </c>
      <c r="N630" s="136">
        <f>IF($F630="","",IFERROR(INDEX(사건마스터!$AK$5:$AK$64,MATCH($F630,사건마스터!$A$5:$A$64,0)),""))</f>
        <v/>
      </c>
      <c r="O630" s="136">
        <f>IF($F630="","",IFERROR(INDEX(사건마스터!$AL$5:$AL$64,MATCH($F630,사건마스터!$A$5:$A$64,0)),""))</f>
        <v/>
      </c>
      <c r="P630" s="136">
        <f>IF($F630="","",IFERROR(INDEX(사건마스터!$AM$5:$AM$64,MATCH($F630,사건마스터!$A$5:$A$64,0)),""))</f>
        <v/>
      </c>
      <c r="Q630" s="136">
        <f>IF($F630="","",IFERROR(INDEX(사건마스터!$AN$5:$AN$64,MATCH($F630,사건마스터!$A$5:$A$64,0)),""))</f>
        <v/>
      </c>
      <c r="R630" s="136">
        <f>IF($F630="","",IFERROR(INDEX(사건마스터!$AO$5:$AO$64,MATCH($F630,사건마스터!$A$5:$A$64,0)),""))</f>
        <v/>
      </c>
      <c r="S630" s="136">
        <f>IF($F630="","",IFERROR(INDEX(사건마스터!$AP$5:$AP$64,MATCH($F630,사건마스터!$A$5:$A$64,0)),""))</f>
        <v/>
      </c>
      <c r="T630" s="136">
        <f>IF($F630="","",IFERROR(INDEX(사건마스터!$AQ$5:$AQ$64,MATCH($F630,사건마스터!$A$5:$A$64,0)),""))</f>
        <v/>
      </c>
      <c r="U630" s="136">
        <f>IF($F630="","",IFERROR(INDEX(사건마스터!$AR$5:$AR$64,MATCH($F630,사건마스터!$A$5:$A$64,0)),""))</f>
        <v/>
      </c>
      <c r="V630" s="136">
        <f>IF($F630="","",IFERROR(INDEX(사건마스터!$AS$5:$AS$64,MATCH($F630,사건마스터!$A$5:$A$64,0)),""))</f>
        <v/>
      </c>
      <c r="W630" s="136">
        <f>IF($F630="","",IFERROR(INDEX(사건마스터!$AT$5:$AT$64,MATCH($F630,사건마스터!$A$5:$A$64,0)),""))</f>
        <v/>
      </c>
      <c r="X630" s="136">
        <f>IF($F630="","",IFERROR(INDEX(사건마스터!$AU$5:$AU$64,MATCH($F630,사건마스터!$A$5:$A$64,0)),""))</f>
        <v/>
      </c>
      <c r="Y630" s="136">
        <f>IF($F630="","",IFERROR(INDEX(사건마스터!$AV$5:$AV$64,MATCH($F630,사건마스터!$A$5:$A$64,0)),""))</f>
        <v/>
      </c>
      <c r="Z630" s="118">
        <f>IF(COUNTBLANK($J630:$Y630)=16,"",16-COUNTBLANK($J630:$Y630))</f>
        <v/>
      </c>
      <c r="AA630" s="33">
        <f>IF($J630="",MID($AX630,3,255),$J630&amp;$AX630)</f>
        <v/>
      </c>
      <c r="AB630" s="130">
        <f>IF($J630="","",IFERROR(INDEX(코드설정!$D$5:$D$24,MATCH($J630,코드설정!$C$5:$C$24,0)),""))</f>
        <v/>
      </c>
      <c r="AC630" s="36" t="n"/>
      <c r="AD630" s="37" t="n"/>
      <c r="AE630" s="38" t="n"/>
      <c r="AF630" s="118">
        <f>IF(OR($B630="",$C630=""),"",$C630-$B630+1)</f>
        <v/>
      </c>
      <c r="AG630" s="74" t="n"/>
      <c r="AH630" s="36" t="n"/>
      <c r="AJ630">
        <f>IF($K630="","",", "&amp;$K630)</f>
        <v/>
      </c>
      <c r="AK630">
        <f>AJ630&amp;IF($L630="","",", "&amp;$L630)</f>
        <v/>
      </c>
      <c r="AL630">
        <f>AK630&amp;IF($M630="","",", "&amp;$M630)</f>
        <v/>
      </c>
      <c r="AM630">
        <f>AL630&amp;IF($N630="","",", "&amp;$N630)</f>
        <v/>
      </c>
      <c r="AN630">
        <f>AM630&amp;IF($O630="","",", "&amp;$O630)</f>
        <v/>
      </c>
      <c r="AO630">
        <f>AN630&amp;IF($P630="","",", "&amp;$P630)</f>
        <v/>
      </c>
      <c r="AP630">
        <f>AO630&amp;IF($Q630="","",", "&amp;$Q630)</f>
        <v/>
      </c>
      <c r="AQ630">
        <f>AP630&amp;IF($R630="","",", "&amp;$R630)</f>
        <v/>
      </c>
      <c r="AR630">
        <f>AQ630&amp;IF($S630="","",", "&amp;$S630)</f>
        <v/>
      </c>
      <c r="AS630">
        <f>AR630&amp;IF($T630="","",", "&amp;$T630)</f>
        <v/>
      </c>
      <c r="AT630">
        <f>AS630&amp;IF($U630="","",", "&amp;$U630)</f>
        <v/>
      </c>
      <c r="AU630">
        <f>AT630&amp;IF($V630="","",", "&amp;$V630)</f>
        <v/>
      </c>
      <c r="AV630">
        <f>AU630&amp;IF($W630="","",", "&amp;$W630)</f>
        <v/>
      </c>
      <c r="AW630">
        <f>AV630&amp;IF($X630="","",", "&amp;$X630)</f>
        <v/>
      </c>
      <c r="AX630">
        <f>AW630&amp;IF($Y630="","",", "&amp;$Y630)</f>
        <v/>
      </c>
    </row>
    <row r="631">
      <c r="A631" s="118">
        <f>IF($B631="","",COUNT($B$5:$B631))</f>
        <v/>
      </c>
      <c r="B631" s="80" t="n"/>
      <c r="C631" s="80" t="n"/>
      <c r="D631" s="74" t="n"/>
      <c r="E631" s="74" t="n"/>
      <c r="F631" s="74" t="n"/>
      <c r="G631" s="118">
        <f>IF($F631="","",COUNTIF($F$5:$F631,$F631))</f>
        <v/>
      </c>
      <c r="H631" s="33">
        <f>IF($F631="","",IFERROR(INDEX(사건마스터!$B$5:$B$64,MATCH($F631,사건마스터!$A$5:$A$64,0)),""))</f>
        <v/>
      </c>
      <c r="I631" s="130">
        <f>IF($F631="","",IFERROR(INDEX(사건마스터!$C$5:$C$64,MATCH($F631,사건마스터!$A$5:$A$64,0)),""))</f>
        <v/>
      </c>
      <c r="J631" s="136">
        <f>IF($F631="","",IFERROR(INDEX(사건마스터!$H$5:$H$64,MATCH($F631,사건마스터!$A$5:$A$64,0)),""))</f>
        <v/>
      </c>
      <c r="K631" s="136">
        <f>IF($F631="","",IFERROR(INDEX(사건마스터!$AH$5:$AH$64,MATCH($F631,사건마스터!$A$5:$A$64,0)),""))</f>
        <v/>
      </c>
      <c r="L631" s="136">
        <f>IF($F631="","",IFERROR(INDEX(사건마스터!$AI$5:$AI$64,MATCH($F631,사건마스터!$A$5:$A$64,0)),""))</f>
        <v/>
      </c>
      <c r="M631" s="136">
        <f>IF($F631="","",IFERROR(INDEX(사건마스터!$AJ$5:$AJ$64,MATCH($F631,사건마스터!$A$5:$A$64,0)),""))</f>
        <v/>
      </c>
      <c r="N631" s="136">
        <f>IF($F631="","",IFERROR(INDEX(사건마스터!$AK$5:$AK$64,MATCH($F631,사건마스터!$A$5:$A$64,0)),""))</f>
        <v/>
      </c>
      <c r="O631" s="136">
        <f>IF($F631="","",IFERROR(INDEX(사건마스터!$AL$5:$AL$64,MATCH($F631,사건마스터!$A$5:$A$64,0)),""))</f>
        <v/>
      </c>
      <c r="P631" s="136">
        <f>IF($F631="","",IFERROR(INDEX(사건마스터!$AM$5:$AM$64,MATCH($F631,사건마스터!$A$5:$A$64,0)),""))</f>
        <v/>
      </c>
      <c r="Q631" s="136">
        <f>IF($F631="","",IFERROR(INDEX(사건마스터!$AN$5:$AN$64,MATCH($F631,사건마스터!$A$5:$A$64,0)),""))</f>
        <v/>
      </c>
      <c r="R631" s="136">
        <f>IF($F631="","",IFERROR(INDEX(사건마스터!$AO$5:$AO$64,MATCH($F631,사건마스터!$A$5:$A$64,0)),""))</f>
        <v/>
      </c>
      <c r="S631" s="136">
        <f>IF($F631="","",IFERROR(INDEX(사건마스터!$AP$5:$AP$64,MATCH($F631,사건마스터!$A$5:$A$64,0)),""))</f>
        <v/>
      </c>
      <c r="T631" s="136">
        <f>IF($F631="","",IFERROR(INDEX(사건마스터!$AQ$5:$AQ$64,MATCH($F631,사건마스터!$A$5:$A$64,0)),""))</f>
        <v/>
      </c>
      <c r="U631" s="136">
        <f>IF($F631="","",IFERROR(INDEX(사건마스터!$AR$5:$AR$64,MATCH($F631,사건마스터!$A$5:$A$64,0)),""))</f>
        <v/>
      </c>
      <c r="V631" s="136">
        <f>IF($F631="","",IFERROR(INDEX(사건마스터!$AS$5:$AS$64,MATCH($F631,사건마스터!$A$5:$A$64,0)),""))</f>
        <v/>
      </c>
      <c r="W631" s="136">
        <f>IF($F631="","",IFERROR(INDEX(사건마스터!$AT$5:$AT$64,MATCH($F631,사건마스터!$A$5:$A$64,0)),""))</f>
        <v/>
      </c>
      <c r="X631" s="136">
        <f>IF($F631="","",IFERROR(INDEX(사건마스터!$AU$5:$AU$64,MATCH($F631,사건마스터!$A$5:$A$64,0)),""))</f>
        <v/>
      </c>
      <c r="Y631" s="136">
        <f>IF($F631="","",IFERROR(INDEX(사건마스터!$AV$5:$AV$64,MATCH($F631,사건마스터!$A$5:$A$64,0)),""))</f>
        <v/>
      </c>
      <c r="Z631" s="118">
        <f>IF(COUNTBLANK($J631:$Y631)=16,"",16-COUNTBLANK($J631:$Y631))</f>
        <v/>
      </c>
      <c r="AA631" s="33">
        <f>IF($J631="",MID($AX631,3,255),$J631&amp;$AX631)</f>
        <v/>
      </c>
      <c r="AB631" s="130">
        <f>IF($J631="","",IFERROR(INDEX(코드설정!$D$5:$D$24,MATCH($J631,코드설정!$C$5:$C$24,0)),""))</f>
        <v/>
      </c>
      <c r="AC631" s="36" t="n"/>
      <c r="AD631" s="37" t="n"/>
      <c r="AE631" s="38" t="n"/>
      <c r="AF631" s="118">
        <f>IF(OR($B631="",$C631=""),"",$C631-$B631+1)</f>
        <v/>
      </c>
      <c r="AG631" s="74" t="n"/>
      <c r="AH631" s="36" t="n"/>
      <c r="AJ631">
        <f>IF($K631="","",", "&amp;$K631)</f>
        <v/>
      </c>
      <c r="AK631">
        <f>AJ631&amp;IF($L631="","",", "&amp;$L631)</f>
        <v/>
      </c>
      <c r="AL631">
        <f>AK631&amp;IF($M631="","",", "&amp;$M631)</f>
        <v/>
      </c>
      <c r="AM631">
        <f>AL631&amp;IF($N631="","",", "&amp;$N631)</f>
        <v/>
      </c>
      <c r="AN631">
        <f>AM631&amp;IF($O631="","",", "&amp;$O631)</f>
        <v/>
      </c>
      <c r="AO631">
        <f>AN631&amp;IF($P631="","",", "&amp;$P631)</f>
        <v/>
      </c>
      <c r="AP631">
        <f>AO631&amp;IF($Q631="","",", "&amp;$Q631)</f>
        <v/>
      </c>
      <c r="AQ631">
        <f>AP631&amp;IF($R631="","",", "&amp;$R631)</f>
        <v/>
      </c>
      <c r="AR631">
        <f>AQ631&amp;IF($S631="","",", "&amp;$S631)</f>
        <v/>
      </c>
      <c r="AS631">
        <f>AR631&amp;IF($T631="","",", "&amp;$T631)</f>
        <v/>
      </c>
      <c r="AT631">
        <f>AS631&amp;IF($U631="","",", "&amp;$U631)</f>
        <v/>
      </c>
      <c r="AU631">
        <f>AT631&amp;IF($V631="","",", "&amp;$V631)</f>
        <v/>
      </c>
      <c r="AV631">
        <f>AU631&amp;IF($W631="","",", "&amp;$W631)</f>
        <v/>
      </c>
      <c r="AW631">
        <f>AV631&amp;IF($X631="","",", "&amp;$X631)</f>
        <v/>
      </c>
      <c r="AX631">
        <f>AW631&amp;IF($Y631="","",", "&amp;$Y631)</f>
        <v/>
      </c>
    </row>
    <row r="632">
      <c r="A632" s="118">
        <f>IF($B632="","",COUNT($B$5:$B632))</f>
        <v/>
      </c>
      <c r="B632" s="80" t="n"/>
      <c r="C632" s="80" t="n"/>
      <c r="D632" s="74" t="n"/>
      <c r="E632" s="74" t="n"/>
      <c r="F632" s="74" t="n"/>
      <c r="G632" s="118">
        <f>IF($F632="","",COUNTIF($F$5:$F632,$F632))</f>
        <v/>
      </c>
      <c r="H632" s="33">
        <f>IF($F632="","",IFERROR(INDEX(사건마스터!$B$5:$B$64,MATCH($F632,사건마스터!$A$5:$A$64,0)),""))</f>
        <v/>
      </c>
      <c r="I632" s="130">
        <f>IF($F632="","",IFERROR(INDEX(사건마스터!$C$5:$C$64,MATCH($F632,사건마스터!$A$5:$A$64,0)),""))</f>
        <v/>
      </c>
      <c r="J632" s="136">
        <f>IF($F632="","",IFERROR(INDEX(사건마스터!$H$5:$H$64,MATCH($F632,사건마스터!$A$5:$A$64,0)),""))</f>
        <v/>
      </c>
      <c r="K632" s="136">
        <f>IF($F632="","",IFERROR(INDEX(사건마스터!$AH$5:$AH$64,MATCH($F632,사건마스터!$A$5:$A$64,0)),""))</f>
        <v/>
      </c>
      <c r="L632" s="136">
        <f>IF($F632="","",IFERROR(INDEX(사건마스터!$AI$5:$AI$64,MATCH($F632,사건마스터!$A$5:$A$64,0)),""))</f>
        <v/>
      </c>
      <c r="M632" s="136">
        <f>IF($F632="","",IFERROR(INDEX(사건마스터!$AJ$5:$AJ$64,MATCH($F632,사건마스터!$A$5:$A$64,0)),""))</f>
        <v/>
      </c>
      <c r="N632" s="136">
        <f>IF($F632="","",IFERROR(INDEX(사건마스터!$AK$5:$AK$64,MATCH($F632,사건마스터!$A$5:$A$64,0)),""))</f>
        <v/>
      </c>
      <c r="O632" s="136">
        <f>IF($F632="","",IFERROR(INDEX(사건마스터!$AL$5:$AL$64,MATCH($F632,사건마스터!$A$5:$A$64,0)),""))</f>
        <v/>
      </c>
      <c r="P632" s="136">
        <f>IF($F632="","",IFERROR(INDEX(사건마스터!$AM$5:$AM$64,MATCH($F632,사건마스터!$A$5:$A$64,0)),""))</f>
        <v/>
      </c>
      <c r="Q632" s="136">
        <f>IF($F632="","",IFERROR(INDEX(사건마스터!$AN$5:$AN$64,MATCH($F632,사건마스터!$A$5:$A$64,0)),""))</f>
        <v/>
      </c>
      <c r="R632" s="136">
        <f>IF($F632="","",IFERROR(INDEX(사건마스터!$AO$5:$AO$64,MATCH($F632,사건마스터!$A$5:$A$64,0)),""))</f>
        <v/>
      </c>
      <c r="S632" s="136">
        <f>IF($F632="","",IFERROR(INDEX(사건마스터!$AP$5:$AP$64,MATCH($F632,사건마스터!$A$5:$A$64,0)),""))</f>
        <v/>
      </c>
      <c r="T632" s="136">
        <f>IF($F632="","",IFERROR(INDEX(사건마스터!$AQ$5:$AQ$64,MATCH($F632,사건마스터!$A$5:$A$64,0)),""))</f>
        <v/>
      </c>
      <c r="U632" s="136">
        <f>IF($F632="","",IFERROR(INDEX(사건마스터!$AR$5:$AR$64,MATCH($F632,사건마스터!$A$5:$A$64,0)),""))</f>
        <v/>
      </c>
      <c r="V632" s="136">
        <f>IF($F632="","",IFERROR(INDEX(사건마스터!$AS$5:$AS$64,MATCH($F632,사건마스터!$A$5:$A$64,0)),""))</f>
        <v/>
      </c>
      <c r="W632" s="136">
        <f>IF($F632="","",IFERROR(INDEX(사건마스터!$AT$5:$AT$64,MATCH($F632,사건마스터!$A$5:$A$64,0)),""))</f>
        <v/>
      </c>
      <c r="X632" s="136">
        <f>IF($F632="","",IFERROR(INDEX(사건마스터!$AU$5:$AU$64,MATCH($F632,사건마스터!$A$5:$A$64,0)),""))</f>
        <v/>
      </c>
      <c r="Y632" s="136">
        <f>IF($F632="","",IFERROR(INDEX(사건마스터!$AV$5:$AV$64,MATCH($F632,사건마스터!$A$5:$A$64,0)),""))</f>
        <v/>
      </c>
      <c r="Z632" s="118">
        <f>IF(COUNTBLANK($J632:$Y632)=16,"",16-COUNTBLANK($J632:$Y632))</f>
        <v/>
      </c>
      <c r="AA632" s="33">
        <f>IF($J632="",MID($AX632,3,255),$J632&amp;$AX632)</f>
        <v/>
      </c>
      <c r="AB632" s="130">
        <f>IF($J632="","",IFERROR(INDEX(코드설정!$D$5:$D$24,MATCH($J632,코드설정!$C$5:$C$24,0)),""))</f>
        <v/>
      </c>
      <c r="AC632" s="36" t="n"/>
      <c r="AD632" s="37" t="n"/>
      <c r="AE632" s="38" t="n"/>
      <c r="AF632" s="118">
        <f>IF(OR($B632="",$C632=""),"",$C632-$B632+1)</f>
        <v/>
      </c>
      <c r="AG632" s="74" t="n"/>
      <c r="AH632" s="36" t="n"/>
      <c r="AJ632">
        <f>IF($K632="","",", "&amp;$K632)</f>
        <v/>
      </c>
      <c r="AK632">
        <f>AJ632&amp;IF($L632="","",", "&amp;$L632)</f>
        <v/>
      </c>
      <c r="AL632">
        <f>AK632&amp;IF($M632="","",", "&amp;$M632)</f>
        <v/>
      </c>
      <c r="AM632">
        <f>AL632&amp;IF($N632="","",", "&amp;$N632)</f>
        <v/>
      </c>
      <c r="AN632">
        <f>AM632&amp;IF($O632="","",", "&amp;$O632)</f>
        <v/>
      </c>
      <c r="AO632">
        <f>AN632&amp;IF($P632="","",", "&amp;$P632)</f>
        <v/>
      </c>
      <c r="AP632">
        <f>AO632&amp;IF($Q632="","",", "&amp;$Q632)</f>
        <v/>
      </c>
      <c r="AQ632">
        <f>AP632&amp;IF($R632="","",", "&amp;$R632)</f>
        <v/>
      </c>
      <c r="AR632">
        <f>AQ632&amp;IF($S632="","",", "&amp;$S632)</f>
        <v/>
      </c>
      <c r="AS632">
        <f>AR632&amp;IF($T632="","",", "&amp;$T632)</f>
        <v/>
      </c>
      <c r="AT632">
        <f>AS632&amp;IF($U632="","",", "&amp;$U632)</f>
        <v/>
      </c>
      <c r="AU632">
        <f>AT632&amp;IF($V632="","",", "&amp;$V632)</f>
        <v/>
      </c>
      <c r="AV632">
        <f>AU632&amp;IF($W632="","",", "&amp;$W632)</f>
        <v/>
      </c>
      <c r="AW632">
        <f>AV632&amp;IF($X632="","",", "&amp;$X632)</f>
        <v/>
      </c>
      <c r="AX632">
        <f>AW632&amp;IF($Y632="","",", "&amp;$Y632)</f>
        <v/>
      </c>
    </row>
    <row r="633">
      <c r="A633" s="118">
        <f>IF($B633="","",COUNT($B$5:$B633))</f>
        <v/>
      </c>
      <c r="B633" s="80" t="n"/>
      <c r="C633" s="80" t="n"/>
      <c r="D633" s="74" t="n"/>
      <c r="E633" s="74" t="n"/>
      <c r="F633" s="74" t="n"/>
      <c r="G633" s="118">
        <f>IF($F633="","",COUNTIF($F$5:$F633,$F633))</f>
        <v/>
      </c>
      <c r="H633" s="33">
        <f>IF($F633="","",IFERROR(INDEX(사건마스터!$B$5:$B$64,MATCH($F633,사건마스터!$A$5:$A$64,0)),""))</f>
        <v/>
      </c>
      <c r="I633" s="130">
        <f>IF($F633="","",IFERROR(INDEX(사건마스터!$C$5:$C$64,MATCH($F633,사건마스터!$A$5:$A$64,0)),""))</f>
        <v/>
      </c>
      <c r="J633" s="136">
        <f>IF($F633="","",IFERROR(INDEX(사건마스터!$H$5:$H$64,MATCH($F633,사건마스터!$A$5:$A$64,0)),""))</f>
        <v/>
      </c>
      <c r="K633" s="136">
        <f>IF($F633="","",IFERROR(INDEX(사건마스터!$AH$5:$AH$64,MATCH($F633,사건마스터!$A$5:$A$64,0)),""))</f>
        <v/>
      </c>
      <c r="L633" s="136">
        <f>IF($F633="","",IFERROR(INDEX(사건마스터!$AI$5:$AI$64,MATCH($F633,사건마스터!$A$5:$A$64,0)),""))</f>
        <v/>
      </c>
      <c r="M633" s="136">
        <f>IF($F633="","",IFERROR(INDEX(사건마스터!$AJ$5:$AJ$64,MATCH($F633,사건마스터!$A$5:$A$64,0)),""))</f>
        <v/>
      </c>
      <c r="N633" s="136">
        <f>IF($F633="","",IFERROR(INDEX(사건마스터!$AK$5:$AK$64,MATCH($F633,사건마스터!$A$5:$A$64,0)),""))</f>
        <v/>
      </c>
      <c r="O633" s="136">
        <f>IF($F633="","",IFERROR(INDEX(사건마스터!$AL$5:$AL$64,MATCH($F633,사건마스터!$A$5:$A$64,0)),""))</f>
        <v/>
      </c>
      <c r="P633" s="136">
        <f>IF($F633="","",IFERROR(INDEX(사건마스터!$AM$5:$AM$64,MATCH($F633,사건마스터!$A$5:$A$64,0)),""))</f>
        <v/>
      </c>
      <c r="Q633" s="136">
        <f>IF($F633="","",IFERROR(INDEX(사건마스터!$AN$5:$AN$64,MATCH($F633,사건마스터!$A$5:$A$64,0)),""))</f>
        <v/>
      </c>
      <c r="R633" s="136">
        <f>IF($F633="","",IFERROR(INDEX(사건마스터!$AO$5:$AO$64,MATCH($F633,사건마스터!$A$5:$A$64,0)),""))</f>
        <v/>
      </c>
      <c r="S633" s="136">
        <f>IF($F633="","",IFERROR(INDEX(사건마스터!$AP$5:$AP$64,MATCH($F633,사건마스터!$A$5:$A$64,0)),""))</f>
        <v/>
      </c>
      <c r="T633" s="136">
        <f>IF($F633="","",IFERROR(INDEX(사건마스터!$AQ$5:$AQ$64,MATCH($F633,사건마스터!$A$5:$A$64,0)),""))</f>
        <v/>
      </c>
      <c r="U633" s="136">
        <f>IF($F633="","",IFERROR(INDEX(사건마스터!$AR$5:$AR$64,MATCH($F633,사건마스터!$A$5:$A$64,0)),""))</f>
        <v/>
      </c>
      <c r="V633" s="136">
        <f>IF($F633="","",IFERROR(INDEX(사건마스터!$AS$5:$AS$64,MATCH($F633,사건마스터!$A$5:$A$64,0)),""))</f>
        <v/>
      </c>
      <c r="W633" s="136">
        <f>IF($F633="","",IFERROR(INDEX(사건마스터!$AT$5:$AT$64,MATCH($F633,사건마스터!$A$5:$A$64,0)),""))</f>
        <v/>
      </c>
      <c r="X633" s="136">
        <f>IF($F633="","",IFERROR(INDEX(사건마스터!$AU$5:$AU$64,MATCH($F633,사건마스터!$A$5:$A$64,0)),""))</f>
        <v/>
      </c>
      <c r="Y633" s="136">
        <f>IF($F633="","",IFERROR(INDEX(사건마스터!$AV$5:$AV$64,MATCH($F633,사건마스터!$A$5:$A$64,0)),""))</f>
        <v/>
      </c>
      <c r="Z633" s="118">
        <f>IF(COUNTBLANK($J633:$Y633)=16,"",16-COUNTBLANK($J633:$Y633))</f>
        <v/>
      </c>
      <c r="AA633" s="33">
        <f>IF($J633="",MID($AX633,3,255),$J633&amp;$AX633)</f>
        <v/>
      </c>
      <c r="AB633" s="130">
        <f>IF($J633="","",IFERROR(INDEX(코드설정!$D$5:$D$24,MATCH($J633,코드설정!$C$5:$C$24,0)),""))</f>
        <v/>
      </c>
      <c r="AC633" s="36" t="n"/>
      <c r="AD633" s="37" t="n"/>
      <c r="AE633" s="38" t="n"/>
      <c r="AF633" s="118">
        <f>IF(OR($B633="",$C633=""),"",$C633-$B633+1)</f>
        <v/>
      </c>
      <c r="AG633" s="74" t="n"/>
      <c r="AH633" s="36" t="n"/>
      <c r="AJ633">
        <f>IF($K633="","",", "&amp;$K633)</f>
        <v/>
      </c>
      <c r="AK633">
        <f>AJ633&amp;IF($L633="","",", "&amp;$L633)</f>
        <v/>
      </c>
      <c r="AL633">
        <f>AK633&amp;IF($M633="","",", "&amp;$M633)</f>
        <v/>
      </c>
      <c r="AM633">
        <f>AL633&amp;IF($N633="","",", "&amp;$N633)</f>
        <v/>
      </c>
      <c r="AN633">
        <f>AM633&amp;IF($O633="","",", "&amp;$O633)</f>
        <v/>
      </c>
      <c r="AO633">
        <f>AN633&amp;IF($P633="","",", "&amp;$P633)</f>
        <v/>
      </c>
      <c r="AP633">
        <f>AO633&amp;IF($Q633="","",", "&amp;$Q633)</f>
        <v/>
      </c>
      <c r="AQ633">
        <f>AP633&amp;IF($R633="","",", "&amp;$R633)</f>
        <v/>
      </c>
      <c r="AR633">
        <f>AQ633&amp;IF($S633="","",", "&amp;$S633)</f>
        <v/>
      </c>
      <c r="AS633">
        <f>AR633&amp;IF($T633="","",", "&amp;$T633)</f>
        <v/>
      </c>
      <c r="AT633">
        <f>AS633&amp;IF($U633="","",", "&amp;$U633)</f>
        <v/>
      </c>
      <c r="AU633">
        <f>AT633&amp;IF($V633="","",", "&amp;$V633)</f>
        <v/>
      </c>
      <c r="AV633">
        <f>AU633&amp;IF($W633="","",", "&amp;$W633)</f>
        <v/>
      </c>
      <c r="AW633">
        <f>AV633&amp;IF($X633="","",", "&amp;$X633)</f>
        <v/>
      </c>
      <c r="AX633">
        <f>AW633&amp;IF($Y633="","",", "&amp;$Y633)</f>
        <v/>
      </c>
    </row>
    <row r="634">
      <c r="A634" s="118">
        <f>IF($B634="","",COUNT($B$5:$B634))</f>
        <v/>
      </c>
      <c r="B634" s="80" t="n"/>
      <c r="C634" s="80" t="n"/>
      <c r="D634" s="74" t="n"/>
      <c r="E634" s="74" t="n"/>
      <c r="F634" s="74" t="n"/>
      <c r="G634" s="118">
        <f>IF($F634="","",COUNTIF($F$5:$F634,$F634))</f>
        <v/>
      </c>
      <c r="H634" s="33">
        <f>IF($F634="","",IFERROR(INDEX(사건마스터!$B$5:$B$64,MATCH($F634,사건마스터!$A$5:$A$64,0)),""))</f>
        <v/>
      </c>
      <c r="I634" s="130">
        <f>IF($F634="","",IFERROR(INDEX(사건마스터!$C$5:$C$64,MATCH($F634,사건마스터!$A$5:$A$64,0)),""))</f>
        <v/>
      </c>
      <c r="J634" s="136">
        <f>IF($F634="","",IFERROR(INDEX(사건마스터!$H$5:$H$64,MATCH($F634,사건마스터!$A$5:$A$64,0)),""))</f>
        <v/>
      </c>
      <c r="K634" s="136">
        <f>IF($F634="","",IFERROR(INDEX(사건마스터!$AH$5:$AH$64,MATCH($F634,사건마스터!$A$5:$A$64,0)),""))</f>
        <v/>
      </c>
      <c r="L634" s="136">
        <f>IF($F634="","",IFERROR(INDEX(사건마스터!$AI$5:$AI$64,MATCH($F634,사건마스터!$A$5:$A$64,0)),""))</f>
        <v/>
      </c>
      <c r="M634" s="136">
        <f>IF($F634="","",IFERROR(INDEX(사건마스터!$AJ$5:$AJ$64,MATCH($F634,사건마스터!$A$5:$A$64,0)),""))</f>
        <v/>
      </c>
      <c r="N634" s="136">
        <f>IF($F634="","",IFERROR(INDEX(사건마스터!$AK$5:$AK$64,MATCH($F634,사건마스터!$A$5:$A$64,0)),""))</f>
        <v/>
      </c>
      <c r="O634" s="136">
        <f>IF($F634="","",IFERROR(INDEX(사건마스터!$AL$5:$AL$64,MATCH($F634,사건마스터!$A$5:$A$64,0)),""))</f>
        <v/>
      </c>
      <c r="P634" s="136">
        <f>IF($F634="","",IFERROR(INDEX(사건마스터!$AM$5:$AM$64,MATCH($F634,사건마스터!$A$5:$A$64,0)),""))</f>
        <v/>
      </c>
      <c r="Q634" s="136">
        <f>IF($F634="","",IFERROR(INDEX(사건마스터!$AN$5:$AN$64,MATCH($F634,사건마스터!$A$5:$A$64,0)),""))</f>
        <v/>
      </c>
      <c r="R634" s="136">
        <f>IF($F634="","",IFERROR(INDEX(사건마스터!$AO$5:$AO$64,MATCH($F634,사건마스터!$A$5:$A$64,0)),""))</f>
        <v/>
      </c>
      <c r="S634" s="136">
        <f>IF($F634="","",IFERROR(INDEX(사건마스터!$AP$5:$AP$64,MATCH($F634,사건마스터!$A$5:$A$64,0)),""))</f>
        <v/>
      </c>
      <c r="T634" s="136">
        <f>IF($F634="","",IFERROR(INDEX(사건마스터!$AQ$5:$AQ$64,MATCH($F634,사건마스터!$A$5:$A$64,0)),""))</f>
        <v/>
      </c>
      <c r="U634" s="136">
        <f>IF($F634="","",IFERROR(INDEX(사건마스터!$AR$5:$AR$64,MATCH($F634,사건마스터!$A$5:$A$64,0)),""))</f>
        <v/>
      </c>
      <c r="V634" s="136">
        <f>IF($F634="","",IFERROR(INDEX(사건마스터!$AS$5:$AS$64,MATCH($F634,사건마스터!$A$5:$A$64,0)),""))</f>
        <v/>
      </c>
      <c r="W634" s="136">
        <f>IF($F634="","",IFERROR(INDEX(사건마스터!$AT$5:$AT$64,MATCH($F634,사건마스터!$A$5:$A$64,0)),""))</f>
        <v/>
      </c>
      <c r="X634" s="136">
        <f>IF($F634="","",IFERROR(INDEX(사건마스터!$AU$5:$AU$64,MATCH($F634,사건마스터!$A$5:$A$64,0)),""))</f>
        <v/>
      </c>
      <c r="Y634" s="136">
        <f>IF($F634="","",IFERROR(INDEX(사건마스터!$AV$5:$AV$64,MATCH($F634,사건마스터!$A$5:$A$64,0)),""))</f>
        <v/>
      </c>
      <c r="Z634" s="118">
        <f>IF(COUNTBLANK($J634:$Y634)=16,"",16-COUNTBLANK($J634:$Y634))</f>
        <v/>
      </c>
      <c r="AA634" s="33">
        <f>IF($J634="",MID($AX634,3,255),$J634&amp;$AX634)</f>
        <v/>
      </c>
      <c r="AB634" s="130">
        <f>IF($J634="","",IFERROR(INDEX(코드설정!$D$5:$D$24,MATCH($J634,코드설정!$C$5:$C$24,0)),""))</f>
        <v/>
      </c>
      <c r="AC634" s="36" t="n"/>
      <c r="AD634" s="37" t="n"/>
      <c r="AE634" s="38" t="n"/>
      <c r="AF634" s="118">
        <f>IF(OR($B634="",$C634=""),"",$C634-$B634+1)</f>
        <v/>
      </c>
      <c r="AG634" s="74" t="n"/>
      <c r="AH634" s="36" t="n"/>
      <c r="AJ634">
        <f>IF($K634="","",", "&amp;$K634)</f>
        <v/>
      </c>
      <c r="AK634">
        <f>AJ634&amp;IF($L634="","",", "&amp;$L634)</f>
        <v/>
      </c>
      <c r="AL634">
        <f>AK634&amp;IF($M634="","",", "&amp;$M634)</f>
        <v/>
      </c>
      <c r="AM634">
        <f>AL634&amp;IF($N634="","",", "&amp;$N634)</f>
        <v/>
      </c>
      <c r="AN634">
        <f>AM634&amp;IF($O634="","",", "&amp;$O634)</f>
        <v/>
      </c>
      <c r="AO634">
        <f>AN634&amp;IF($P634="","",", "&amp;$P634)</f>
        <v/>
      </c>
      <c r="AP634">
        <f>AO634&amp;IF($Q634="","",", "&amp;$Q634)</f>
        <v/>
      </c>
      <c r="AQ634">
        <f>AP634&amp;IF($R634="","",", "&amp;$R634)</f>
        <v/>
      </c>
      <c r="AR634">
        <f>AQ634&amp;IF($S634="","",", "&amp;$S634)</f>
        <v/>
      </c>
      <c r="AS634">
        <f>AR634&amp;IF($T634="","",", "&amp;$T634)</f>
        <v/>
      </c>
      <c r="AT634">
        <f>AS634&amp;IF($U634="","",", "&amp;$U634)</f>
        <v/>
      </c>
      <c r="AU634">
        <f>AT634&amp;IF($V634="","",", "&amp;$V634)</f>
        <v/>
      </c>
      <c r="AV634">
        <f>AU634&amp;IF($W634="","",", "&amp;$W634)</f>
        <v/>
      </c>
      <c r="AW634">
        <f>AV634&amp;IF($X634="","",", "&amp;$X634)</f>
        <v/>
      </c>
      <c r="AX634">
        <f>AW634&amp;IF($Y634="","",", "&amp;$Y634)</f>
        <v/>
      </c>
    </row>
    <row r="635">
      <c r="A635" s="118">
        <f>IF($B635="","",COUNT($B$5:$B635))</f>
        <v/>
      </c>
      <c r="B635" s="80" t="n"/>
      <c r="C635" s="80" t="n"/>
      <c r="D635" s="74" t="n"/>
      <c r="E635" s="74" t="n"/>
      <c r="F635" s="74" t="n"/>
      <c r="G635" s="118">
        <f>IF($F635="","",COUNTIF($F$5:$F635,$F635))</f>
        <v/>
      </c>
      <c r="H635" s="33">
        <f>IF($F635="","",IFERROR(INDEX(사건마스터!$B$5:$B$64,MATCH($F635,사건마스터!$A$5:$A$64,0)),""))</f>
        <v/>
      </c>
      <c r="I635" s="130">
        <f>IF($F635="","",IFERROR(INDEX(사건마스터!$C$5:$C$64,MATCH($F635,사건마스터!$A$5:$A$64,0)),""))</f>
        <v/>
      </c>
      <c r="J635" s="136">
        <f>IF($F635="","",IFERROR(INDEX(사건마스터!$H$5:$H$64,MATCH($F635,사건마스터!$A$5:$A$64,0)),""))</f>
        <v/>
      </c>
      <c r="K635" s="136">
        <f>IF($F635="","",IFERROR(INDEX(사건마스터!$AH$5:$AH$64,MATCH($F635,사건마스터!$A$5:$A$64,0)),""))</f>
        <v/>
      </c>
      <c r="L635" s="136">
        <f>IF($F635="","",IFERROR(INDEX(사건마스터!$AI$5:$AI$64,MATCH($F635,사건마스터!$A$5:$A$64,0)),""))</f>
        <v/>
      </c>
      <c r="M635" s="136">
        <f>IF($F635="","",IFERROR(INDEX(사건마스터!$AJ$5:$AJ$64,MATCH($F635,사건마스터!$A$5:$A$64,0)),""))</f>
        <v/>
      </c>
      <c r="N635" s="136">
        <f>IF($F635="","",IFERROR(INDEX(사건마스터!$AK$5:$AK$64,MATCH($F635,사건마스터!$A$5:$A$64,0)),""))</f>
        <v/>
      </c>
      <c r="O635" s="136">
        <f>IF($F635="","",IFERROR(INDEX(사건마스터!$AL$5:$AL$64,MATCH($F635,사건마스터!$A$5:$A$64,0)),""))</f>
        <v/>
      </c>
      <c r="P635" s="136">
        <f>IF($F635="","",IFERROR(INDEX(사건마스터!$AM$5:$AM$64,MATCH($F635,사건마스터!$A$5:$A$64,0)),""))</f>
        <v/>
      </c>
      <c r="Q635" s="136">
        <f>IF($F635="","",IFERROR(INDEX(사건마스터!$AN$5:$AN$64,MATCH($F635,사건마스터!$A$5:$A$64,0)),""))</f>
        <v/>
      </c>
      <c r="R635" s="136">
        <f>IF($F635="","",IFERROR(INDEX(사건마스터!$AO$5:$AO$64,MATCH($F635,사건마스터!$A$5:$A$64,0)),""))</f>
        <v/>
      </c>
      <c r="S635" s="136">
        <f>IF($F635="","",IFERROR(INDEX(사건마스터!$AP$5:$AP$64,MATCH($F635,사건마스터!$A$5:$A$64,0)),""))</f>
        <v/>
      </c>
      <c r="T635" s="136">
        <f>IF($F635="","",IFERROR(INDEX(사건마스터!$AQ$5:$AQ$64,MATCH($F635,사건마스터!$A$5:$A$64,0)),""))</f>
        <v/>
      </c>
      <c r="U635" s="136">
        <f>IF($F635="","",IFERROR(INDEX(사건마스터!$AR$5:$AR$64,MATCH($F635,사건마스터!$A$5:$A$64,0)),""))</f>
        <v/>
      </c>
      <c r="V635" s="136">
        <f>IF($F635="","",IFERROR(INDEX(사건마스터!$AS$5:$AS$64,MATCH($F635,사건마스터!$A$5:$A$64,0)),""))</f>
        <v/>
      </c>
      <c r="W635" s="136">
        <f>IF($F635="","",IFERROR(INDEX(사건마스터!$AT$5:$AT$64,MATCH($F635,사건마스터!$A$5:$A$64,0)),""))</f>
        <v/>
      </c>
      <c r="X635" s="136">
        <f>IF($F635="","",IFERROR(INDEX(사건마스터!$AU$5:$AU$64,MATCH($F635,사건마스터!$A$5:$A$64,0)),""))</f>
        <v/>
      </c>
      <c r="Y635" s="136">
        <f>IF($F635="","",IFERROR(INDEX(사건마스터!$AV$5:$AV$64,MATCH($F635,사건마스터!$A$5:$A$64,0)),""))</f>
        <v/>
      </c>
      <c r="Z635" s="118">
        <f>IF(COUNTBLANK($J635:$Y635)=16,"",16-COUNTBLANK($J635:$Y635))</f>
        <v/>
      </c>
      <c r="AA635" s="33">
        <f>IF($J635="",MID($AX635,3,255),$J635&amp;$AX635)</f>
        <v/>
      </c>
      <c r="AB635" s="130">
        <f>IF($J635="","",IFERROR(INDEX(코드설정!$D$5:$D$24,MATCH($J635,코드설정!$C$5:$C$24,0)),""))</f>
        <v/>
      </c>
      <c r="AC635" s="36" t="n"/>
      <c r="AD635" s="37" t="n"/>
      <c r="AE635" s="38" t="n"/>
      <c r="AF635" s="118">
        <f>IF(OR($B635="",$C635=""),"",$C635-$B635+1)</f>
        <v/>
      </c>
      <c r="AG635" s="74" t="n"/>
      <c r="AH635" s="36" t="n"/>
      <c r="AJ635">
        <f>IF($K635="","",", "&amp;$K635)</f>
        <v/>
      </c>
      <c r="AK635">
        <f>AJ635&amp;IF($L635="","",", "&amp;$L635)</f>
        <v/>
      </c>
      <c r="AL635">
        <f>AK635&amp;IF($M635="","",", "&amp;$M635)</f>
        <v/>
      </c>
      <c r="AM635">
        <f>AL635&amp;IF($N635="","",", "&amp;$N635)</f>
        <v/>
      </c>
      <c r="AN635">
        <f>AM635&amp;IF($O635="","",", "&amp;$O635)</f>
        <v/>
      </c>
      <c r="AO635">
        <f>AN635&amp;IF($P635="","",", "&amp;$P635)</f>
        <v/>
      </c>
      <c r="AP635">
        <f>AO635&amp;IF($Q635="","",", "&amp;$Q635)</f>
        <v/>
      </c>
      <c r="AQ635">
        <f>AP635&amp;IF($R635="","",", "&amp;$R635)</f>
        <v/>
      </c>
      <c r="AR635">
        <f>AQ635&amp;IF($S635="","",", "&amp;$S635)</f>
        <v/>
      </c>
      <c r="AS635">
        <f>AR635&amp;IF($T635="","",", "&amp;$T635)</f>
        <v/>
      </c>
      <c r="AT635">
        <f>AS635&amp;IF($U635="","",", "&amp;$U635)</f>
        <v/>
      </c>
      <c r="AU635">
        <f>AT635&amp;IF($V635="","",", "&amp;$V635)</f>
        <v/>
      </c>
      <c r="AV635">
        <f>AU635&amp;IF($W635="","",", "&amp;$W635)</f>
        <v/>
      </c>
      <c r="AW635">
        <f>AV635&amp;IF($X635="","",", "&amp;$X635)</f>
        <v/>
      </c>
      <c r="AX635">
        <f>AW635&amp;IF($Y635="","",", "&amp;$Y635)</f>
        <v/>
      </c>
    </row>
    <row r="636">
      <c r="A636" s="118">
        <f>IF($B636="","",COUNT($B$5:$B636))</f>
        <v/>
      </c>
      <c r="B636" s="80" t="n"/>
      <c r="C636" s="80" t="n"/>
      <c r="D636" s="74" t="n"/>
      <c r="E636" s="74" t="n"/>
      <c r="F636" s="74" t="n"/>
      <c r="G636" s="118">
        <f>IF($F636="","",COUNTIF($F$5:$F636,$F636))</f>
        <v/>
      </c>
      <c r="H636" s="33">
        <f>IF($F636="","",IFERROR(INDEX(사건마스터!$B$5:$B$64,MATCH($F636,사건마스터!$A$5:$A$64,0)),""))</f>
        <v/>
      </c>
      <c r="I636" s="130">
        <f>IF($F636="","",IFERROR(INDEX(사건마스터!$C$5:$C$64,MATCH($F636,사건마스터!$A$5:$A$64,0)),""))</f>
        <v/>
      </c>
      <c r="J636" s="136">
        <f>IF($F636="","",IFERROR(INDEX(사건마스터!$H$5:$H$64,MATCH($F636,사건마스터!$A$5:$A$64,0)),""))</f>
        <v/>
      </c>
      <c r="K636" s="136">
        <f>IF($F636="","",IFERROR(INDEX(사건마스터!$AH$5:$AH$64,MATCH($F636,사건마스터!$A$5:$A$64,0)),""))</f>
        <v/>
      </c>
      <c r="L636" s="136">
        <f>IF($F636="","",IFERROR(INDEX(사건마스터!$AI$5:$AI$64,MATCH($F636,사건마스터!$A$5:$A$64,0)),""))</f>
        <v/>
      </c>
      <c r="M636" s="136">
        <f>IF($F636="","",IFERROR(INDEX(사건마스터!$AJ$5:$AJ$64,MATCH($F636,사건마스터!$A$5:$A$64,0)),""))</f>
        <v/>
      </c>
      <c r="N636" s="136">
        <f>IF($F636="","",IFERROR(INDEX(사건마스터!$AK$5:$AK$64,MATCH($F636,사건마스터!$A$5:$A$64,0)),""))</f>
        <v/>
      </c>
      <c r="O636" s="136">
        <f>IF($F636="","",IFERROR(INDEX(사건마스터!$AL$5:$AL$64,MATCH($F636,사건마스터!$A$5:$A$64,0)),""))</f>
        <v/>
      </c>
      <c r="P636" s="136">
        <f>IF($F636="","",IFERROR(INDEX(사건마스터!$AM$5:$AM$64,MATCH($F636,사건마스터!$A$5:$A$64,0)),""))</f>
        <v/>
      </c>
      <c r="Q636" s="136">
        <f>IF($F636="","",IFERROR(INDEX(사건마스터!$AN$5:$AN$64,MATCH($F636,사건마스터!$A$5:$A$64,0)),""))</f>
        <v/>
      </c>
      <c r="R636" s="136">
        <f>IF($F636="","",IFERROR(INDEX(사건마스터!$AO$5:$AO$64,MATCH($F636,사건마스터!$A$5:$A$64,0)),""))</f>
        <v/>
      </c>
      <c r="S636" s="136">
        <f>IF($F636="","",IFERROR(INDEX(사건마스터!$AP$5:$AP$64,MATCH($F636,사건마스터!$A$5:$A$64,0)),""))</f>
        <v/>
      </c>
      <c r="T636" s="136">
        <f>IF($F636="","",IFERROR(INDEX(사건마스터!$AQ$5:$AQ$64,MATCH($F636,사건마스터!$A$5:$A$64,0)),""))</f>
        <v/>
      </c>
      <c r="U636" s="136">
        <f>IF($F636="","",IFERROR(INDEX(사건마스터!$AR$5:$AR$64,MATCH($F636,사건마스터!$A$5:$A$64,0)),""))</f>
        <v/>
      </c>
      <c r="V636" s="136">
        <f>IF($F636="","",IFERROR(INDEX(사건마스터!$AS$5:$AS$64,MATCH($F636,사건마스터!$A$5:$A$64,0)),""))</f>
        <v/>
      </c>
      <c r="W636" s="136">
        <f>IF($F636="","",IFERROR(INDEX(사건마스터!$AT$5:$AT$64,MATCH($F636,사건마스터!$A$5:$A$64,0)),""))</f>
        <v/>
      </c>
      <c r="X636" s="136">
        <f>IF($F636="","",IFERROR(INDEX(사건마스터!$AU$5:$AU$64,MATCH($F636,사건마스터!$A$5:$A$64,0)),""))</f>
        <v/>
      </c>
      <c r="Y636" s="136">
        <f>IF($F636="","",IFERROR(INDEX(사건마스터!$AV$5:$AV$64,MATCH($F636,사건마스터!$A$5:$A$64,0)),""))</f>
        <v/>
      </c>
      <c r="Z636" s="118">
        <f>IF(COUNTBLANK($J636:$Y636)=16,"",16-COUNTBLANK($J636:$Y636))</f>
        <v/>
      </c>
      <c r="AA636" s="33">
        <f>IF($J636="",MID($AX636,3,255),$J636&amp;$AX636)</f>
        <v/>
      </c>
      <c r="AB636" s="130">
        <f>IF($J636="","",IFERROR(INDEX(코드설정!$D$5:$D$24,MATCH($J636,코드설정!$C$5:$C$24,0)),""))</f>
        <v/>
      </c>
      <c r="AC636" s="36" t="n"/>
      <c r="AD636" s="37" t="n"/>
      <c r="AE636" s="38" t="n"/>
      <c r="AF636" s="118">
        <f>IF(OR($B636="",$C636=""),"",$C636-$B636+1)</f>
        <v/>
      </c>
      <c r="AG636" s="74" t="n"/>
      <c r="AH636" s="36" t="n"/>
      <c r="AJ636">
        <f>IF($K636="","",", "&amp;$K636)</f>
        <v/>
      </c>
      <c r="AK636">
        <f>AJ636&amp;IF($L636="","",", "&amp;$L636)</f>
        <v/>
      </c>
      <c r="AL636">
        <f>AK636&amp;IF($M636="","",", "&amp;$M636)</f>
        <v/>
      </c>
      <c r="AM636">
        <f>AL636&amp;IF($N636="","",", "&amp;$N636)</f>
        <v/>
      </c>
      <c r="AN636">
        <f>AM636&amp;IF($O636="","",", "&amp;$O636)</f>
        <v/>
      </c>
      <c r="AO636">
        <f>AN636&amp;IF($P636="","",", "&amp;$P636)</f>
        <v/>
      </c>
      <c r="AP636">
        <f>AO636&amp;IF($Q636="","",", "&amp;$Q636)</f>
        <v/>
      </c>
      <c r="AQ636">
        <f>AP636&amp;IF($R636="","",", "&amp;$R636)</f>
        <v/>
      </c>
      <c r="AR636">
        <f>AQ636&amp;IF($S636="","",", "&amp;$S636)</f>
        <v/>
      </c>
      <c r="AS636">
        <f>AR636&amp;IF($T636="","",", "&amp;$T636)</f>
        <v/>
      </c>
      <c r="AT636">
        <f>AS636&amp;IF($U636="","",", "&amp;$U636)</f>
        <v/>
      </c>
      <c r="AU636">
        <f>AT636&amp;IF($V636="","",", "&amp;$V636)</f>
        <v/>
      </c>
      <c r="AV636">
        <f>AU636&amp;IF($W636="","",", "&amp;$W636)</f>
        <v/>
      </c>
      <c r="AW636">
        <f>AV636&amp;IF($X636="","",", "&amp;$X636)</f>
        <v/>
      </c>
      <c r="AX636">
        <f>AW636&amp;IF($Y636="","",", "&amp;$Y636)</f>
        <v/>
      </c>
    </row>
    <row r="637">
      <c r="A637" s="118">
        <f>IF($B637="","",COUNT($B$5:$B637))</f>
        <v/>
      </c>
      <c r="B637" s="80" t="n"/>
      <c r="C637" s="80" t="n"/>
      <c r="D637" s="74" t="n"/>
      <c r="E637" s="74" t="n"/>
      <c r="F637" s="74" t="n"/>
      <c r="G637" s="118">
        <f>IF($F637="","",COUNTIF($F$5:$F637,$F637))</f>
        <v/>
      </c>
      <c r="H637" s="33">
        <f>IF($F637="","",IFERROR(INDEX(사건마스터!$B$5:$B$64,MATCH($F637,사건마스터!$A$5:$A$64,0)),""))</f>
        <v/>
      </c>
      <c r="I637" s="130">
        <f>IF($F637="","",IFERROR(INDEX(사건마스터!$C$5:$C$64,MATCH($F637,사건마스터!$A$5:$A$64,0)),""))</f>
        <v/>
      </c>
      <c r="J637" s="136">
        <f>IF($F637="","",IFERROR(INDEX(사건마스터!$H$5:$H$64,MATCH($F637,사건마스터!$A$5:$A$64,0)),""))</f>
        <v/>
      </c>
      <c r="K637" s="136">
        <f>IF($F637="","",IFERROR(INDEX(사건마스터!$AH$5:$AH$64,MATCH($F637,사건마스터!$A$5:$A$64,0)),""))</f>
        <v/>
      </c>
      <c r="L637" s="136">
        <f>IF($F637="","",IFERROR(INDEX(사건마스터!$AI$5:$AI$64,MATCH($F637,사건마스터!$A$5:$A$64,0)),""))</f>
        <v/>
      </c>
      <c r="M637" s="136">
        <f>IF($F637="","",IFERROR(INDEX(사건마스터!$AJ$5:$AJ$64,MATCH($F637,사건마스터!$A$5:$A$64,0)),""))</f>
        <v/>
      </c>
      <c r="N637" s="136">
        <f>IF($F637="","",IFERROR(INDEX(사건마스터!$AK$5:$AK$64,MATCH($F637,사건마스터!$A$5:$A$64,0)),""))</f>
        <v/>
      </c>
      <c r="O637" s="136">
        <f>IF($F637="","",IFERROR(INDEX(사건마스터!$AL$5:$AL$64,MATCH($F637,사건마스터!$A$5:$A$64,0)),""))</f>
        <v/>
      </c>
      <c r="P637" s="136">
        <f>IF($F637="","",IFERROR(INDEX(사건마스터!$AM$5:$AM$64,MATCH($F637,사건마스터!$A$5:$A$64,0)),""))</f>
        <v/>
      </c>
      <c r="Q637" s="136">
        <f>IF($F637="","",IFERROR(INDEX(사건마스터!$AN$5:$AN$64,MATCH($F637,사건마스터!$A$5:$A$64,0)),""))</f>
        <v/>
      </c>
      <c r="R637" s="136">
        <f>IF($F637="","",IFERROR(INDEX(사건마스터!$AO$5:$AO$64,MATCH($F637,사건마스터!$A$5:$A$64,0)),""))</f>
        <v/>
      </c>
      <c r="S637" s="136">
        <f>IF($F637="","",IFERROR(INDEX(사건마스터!$AP$5:$AP$64,MATCH($F637,사건마스터!$A$5:$A$64,0)),""))</f>
        <v/>
      </c>
      <c r="T637" s="136">
        <f>IF($F637="","",IFERROR(INDEX(사건마스터!$AQ$5:$AQ$64,MATCH($F637,사건마스터!$A$5:$A$64,0)),""))</f>
        <v/>
      </c>
      <c r="U637" s="136">
        <f>IF($F637="","",IFERROR(INDEX(사건마스터!$AR$5:$AR$64,MATCH($F637,사건마스터!$A$5:$A$64,0)),""))</f>
        <v/>
      </c>
      <c r="V637" s="136">
        <f>IF($F637="","",IFERROR(INDEX(사건마스터!$AS$5:$AS$64,MATCH($F637,사건마스터!$A$5:$A$64,0)),""))</f>
        <v/>
      </c>
      <c r="W637" s="136">
        <f>IF($F637="","",IFERROR(INDEX(사건마스터!$AT$5:$AT$64,MATCH($F637,사건마스터!$A$5:$A$64,0)),""))</f>
        <v/>
      </c>
      <c r="X637" s="136">
        <f>IF($F637="","",IFERROR(INDEX(사건마스터!$AU$5:$AU$64,MATCH($F637,사건마스터!$A$5:$A$64,0)),""))</f>
        <v/>
      </c>
      <c r="Y637" s="136">
        <f>IF($F637="","",IFERROR(INDEX(사건마스터!$AV$5:$AV$64,MATCH($F637,사건마스터!$A$5:$A$64,0)),""))</f>
        <v/>
      </c>
      <c r="Z637" s="118">
        <f>IF(COUNTBLANK($J637:$Y637)=16,"",16-COUNTBLANK($J637:$Y637))</f>
        <v/>
      </c>
      <c r="AA637" s="33">
        <f>IF($J637="",MID($AX637,3,255),$J637&amp;$AX637)</f>
        <v/>
      </c>
      <c r="AB637" s="130">
        <f>IF($J637="","",IFERROR(INDEX(코드설정!$D$5:$D$24,MATCH($J637,코드설정!$C$5:$C$24,0)),""))</f>
        <v/>
      </c>
      <c r="AC637" s="36" t="n"/>
      <c r="AD637" s="37" t="n"/>
      <c r="AE637" s="38" t="n"/>
      <c r="AF637" s="118">
        <f>IF(OR($B637="",$C637=""),"",$C637-$B637+1)</f>
        <v/>
      </c>
      <c r="AG637" s="74" t="n"/>
      <c r="AH637" s="36" t="n"/>
      <c r="AJ637">
        <f>IF($K637="","",", "&amp;$K637)</f>
        <v/>
      </c>
      <c r="AK637">
        <f>AJ637&amp;IF($L637="","",", "&amp;$L637)</f>
        <v/>
      </c>
      <c r="AL637">
        <f>AK637&amp;IF($M637="","",", "&amp;$M637)</f>
        <v/>
      </c>
      <c r="AM637">
        <f>AL637&amp;IF($N637="","",", "&amp;$N637)</f>
        <v/>
      </c>
      <c r="AN637">
        <f>AM637&amp;IF($O637="","",", "&amp;$O637)</f>
        <v/>
      </c>
      <c r="AO637">
        <f>AN637&amp;IF($P637="","",", "&amp;$P637)</f>
        <v/>
      </c>
      <c r="AP637">
        <f>AO637&amp;IF($Q637="","",", "&amp;$Q637)</f>
        <v/>
      </c>
      <c r="AQ637">
        <f>AP637&amp;IF($R637="","",", "&amp;$R637)</f>
        <v/>
      </c>
      <c r="AR637">
        <f>AQ637&amp;IF($S637="","",", "&amp;$S637)</f>
        <v/>
      </c>
      <c r="AS637">
        <f>AR637&amp;IF($T637="","",", "&amp;$T637)</f>
        <v/>
      </c>
      <c r="AT637">
        <f>AS637&amp;IF($U637="","",", "&amp;$U637)</f>
        <v/>
      </c>
      <c r="AU637">
        <f>AT637&amp;IF($V637="","",", "&amp;$V637)</f>
        <v/>
      </c>
      <c r="AV637">
        <f>AU637&amp;IF($W637="","",", "&amp;$W637)</f>
        <v/>
      </c>
      <c r="AW637">
        <f>AV637&amp;IF($X637="","",", "&amp;$X637)</f>
        <v/>
      </c>
      <c r="AX637">
        <f>AW637&amp;IF($Y637="","",", "&amp;$Y637)</f>
        <v/>
      </c>
    </row>
    <row r="638">
      <c r="A638" s="118">
        <f>IF($B638="","",COUNT($B$5:$B638))</f>
        <v/>
      </c>
      <c r="B638" s="80" t="n"/>
      <c r="C638" s="80" t="n"/>
      <c r="D638" s="74" t="n"/>
      <c r="E638" s="74" t="n"/>
      <c r="F638" s="74" t="n"/>
      <c r="G638" s="118">
        <f>IF($F638="","",COUNTIF($F$5:$F638,$F638))</f>
        <v/>
      </c>
      <c r="H638" s="33">
        <f>IF($F638="","",IFERROR(INDEX(사건마스터!$B$5:$B$64,MATCH($F638,사건마스터!$A$5:$A$64,0)),""))</f>
        <v/>
      </c>
      <c r="I638" s="130">
        <f>IF($F638="","",IFERROR(INDEX(사건마스터!$C$5:$C$64,MATCH($F638,사건마스터!$A$5:$A$64,0)),""))</f>
        <v/>
      </c>
      <c r="J638" s="136">
        <f>IF($F638="","",IFERROR(INDEX(사건마스터!$H$5:$H$64,MATCH($F638,사건마스터!$A$5:$A$64,0)),""))</f>
        <v/>
      </c>
      <c r="K638" s="136">
        <f>IF($F638="","",IFERROR(INDEX(사건마스터!$AH$5:$AH$64,MATCH($F638,사건마스터!$A$5:$A$64,0)),""))</f>
        <v/>
      </c>
      <c r="L638" s="136">
        <f>IF($F638="","",IFERROR(INDEX(사건마스터!$AI$5:$AI$64,MATCH($F638,사건마스터!$A$5:$A$64,0)),""))</f>
        <v/>
      </c>
      <c r="M638" s="136">
        <f>IF($F638="","",IFERROR(INDEX(사건마스터!$AJ$5:$AJ$64,MATCH($F638,사건마스터!$A$5:$A$64,0)),""))</f>
        <v/>
      </c>
      <c r="N638" s="136">
        <f>IF($F638="","",IFERROR(INDEX(사건마스터!$AK$5:$AK$64,MATCH($F638,사건마스터!$A$5:$A$64,0)),""))</f>
        <v/>
      </c>
      <c r="O638" s="136">
        <f>IF($F638="","",IFERROR(INDEX(사건마스터!$AL$5:$AL$64,MATCH($F638,사건마스터!$A$5:$A$64,0)),""))</f>
        <v/>
      </c>
      <c r="P638" s="136">
        <f>IF($F638="","",IFERROR(INDEX(사건마스터!$AM$5:$AM$64,MATCH($F638,사건마스터!$A$5:$A$64,0)),""))</f>
        <v/>
      </c>
      <c r="Q638" s="136">
        <f>IF($F638="","",IFERROR(INDEX(사건마스터!$AN$5:$AN$64,MATCH($F638,사건마스터!$A$5:$A$64,0)),""))</f>
        <v/>
      </c>
      <c r="R638" s="136">
        <f>IF($F638="","",IFERROR(INDEX(사건마스터!$AO$5:$AO$64,MATCH($F638,사건마스터!$A$5:$A$64,0)),""))</f>
        <v/>
      </c>
      <c r="S638" s="136">
        <f>IF($F638="","",IFERROR(INDEX(사건마스터!$AP$5:$AP$64,MATCH($F638,사건마스터!$A$5:$A$64,0)),""))</f>
        <v/>
      </c>
      <c r="T638" s="136">
        <f>IF($F638="","",IFERROR(INDEX(사건마스터!$AQ$5:$AQ$64,MATCH($F638,사건마스터!$A$5:$A$64,0)),""))</f>
        <v/>
      </c>
      <c r="U638" s="136">
        <f>IF($F638="","",IFERROR(INDEX(사건마스터!$AR$5:$AR$64,MATCH($F638,사건마스터!$A$5:$A$64,0)),""))</f>
        <v/>
      </c>
      <c r="V638" s="136">
        <f>IF($F638="","",IFERROR(INDEX(사건마스터!$AS$5:$AS$64,MATCH($F638,사건마스터!$A$5:$A$64,0)),""))</f>
        <v/>
      </c>
      <c r="W638" s="136">
        <f>IF($F638="","",IFERROR(INDEX(사건마스터!$AT$5:$AT$64,MATCH($F638,사건마스터!$A$5:$A$64,0)),""))</f>
        <v/>
      </c>
      <c r="X638" s="136">
        <f>IF($F638="","",IFERROR(INDEX(사건마스터!$AU$5:$AU$64,MATCH($F638,사건마스터!$A$5:$A$64,0)),""))</f>
        <v/>
      </c>
      <c r="Y638" s="136">
        <f>IF($F638="","",IFERROR(INDEX(사건마스터!$AV$5:$AV$64,MATCH($F638,사건마스터!$A$5:$A$64,0)),""))</f>
        <v/>
      </c>
      <c r="Z638" s="118">
        <f>IF(COUNTBLANK($J638:$Y638)=16,"",16-COUNTBLANK($J638:$Y638))</f>
        <v/>
      </c>
      <c r="AA638" s="33">
        <f>IF($J638="",MID($AX638,3,255),$J638&amp;$AX638)</f>
        <v/>
      </c>
      <c r="AB638" s="130">
        <f>IF($J638="","",IFERROR(INDEX(코드설정!$D$5:$D$24,MATCH($J638,코드설정!$C$5:$C$24,0)),""))</f>
        <v/>
      </c>
      <c r="AC638" s="36" t="n"/>
      <c r="AD638" s="37" t="n"/>
      <c r="AE638" s="38" t="n"/>
      <c r="AF638" s="118">
        <f>IF(OR($B638="",$C638=""),"",$C638-$B638+1)</f>
        <v/>
      </c>
      <c r="AG638" s="74" t="n"/>
      <c r="AH638" s="36" t="n"/>
      <c r="AJ638">
        <f>IF($K638="","",", "&amp;$K638)</f>
        <v/>
      </c>
      <c r="AK638">
        <f>AJ638&amp;IF($L638="","",", "&amp;$L638)</f>
        <v/>
      </c>
      <c r="AL638">
        <f>AK638&amp;IF($M638="","",", "&amp;$M638)</f>
        <v/>
      </c>
      <c r="AM638">
        <f>AL638&amp;IF($N638="","",", "&amp;$N638)</f>
        <v/>
      </c>
      <c r="AN638">
        <f>AM638&amp;IF($O638="","",", "&amp;$O638)</f>
        <v/>
      </c>
      <c r="AO638">
        <f>AN638&amp;IF($P638="","",", "&amp;$P638)</f>
        <v/>
      </c>
      <c r="AP638">
        <f>AO638&amp;IF($Q638="","",", "&amp;$Q638)</f>
        <v/>
      </c>
      <c r="AQ638">
        <f>AP638&amp;IF($R638="","",", "&amp;$R638)</f>
        <v/>
      </c>
      <c r="AR638">
        <f>AQ638&amp;IF($S638="","",", "&amp;$S638)</f>
        <v/>
      </c>
      <c r="AS638">
        <f>AR638&amp;IF($T638="","",", "&amp;$T638)</f>
        <v/>
      </c>
      <c r="AT638">
        <f>AS638&amp;IF($U638="","",", "&amp;$U638)</f>
        <v/>
      </c>
      <c r="AU638">
        <f>AT638&amp;IF($V638="","",", "&amp;$V638)</f>
        <v/>
      </c>
      <c r="AV638">
        <f>AU638&amp;IF($W638="","",", "&amp;$W638)</f>
        <v/>
      </c>
      <c r="AW638">
        <f>AV638&amp;IF($X638="","",", "&amp;$X638)</f>
        <v/>
      </c>
      <c r="AX638">
        <f>AW638&amp;IF($Y638="","",", "&amp;$Y638)</f>
        <v/>
      </c>
    </row>
    <row r="639">
      <c r="A639" s="118">
        <f>IF($B639="","",COUNT($B$5:$B639))</f>
        <v/>
      </c>
      <c r="B639" s="80" t="n"/>
      <c r="C639" s="80" t="n"/>
      <c r="D639" s="74" t="n"/>
      <c r="E639" s="74" t="n"/>
      <c r="F639" s="74" t="n"/>
      <c r="G639" s="118">
        <f>IF($F639="","",COUNTIF($F$5:$F639,$F639))</f>
        <v/>
      </c>
      <c r="H639" s="33">
        <f>IF($F639="","",IFERROR(INDEX(사건마스터!$B$5:$B$64,MATCH($F639,사건마스터!$A$5:$A$64,0)),""))</f>
        <v/>
      </c>
      <c r="I639" s="130">
        <f>IF($F639="","",IFERROR(INDEX(사건마스터!$C$5:$C$64,MATCH($F639,사건마스터!$A$5:$A$64,0)),""))</f>
        <v/>
      </c>
      <c r="J639" s="136">
        <f>IF($F639="","",IFERROR(INDEX(사건마스터!$H$5:$H$64,MATCH($F639,사건마스터!$A$5:$A$64,0)),""))</f>
        <v/>
      </c>
      <c r="K639" s="136">
        <f>IF($F639="","",IFERROR(INDEX(사건마스터!$AH$5:$AH$64,MATCH($F639,사건마스터!$A$5:$A$64,0)),""))</f>
        <v/>
      </c>
      <c r="L639" s="136">
        <f>IF($F639="","",IFERROR(INDEX(사건마스터!$AI$5:$AI$64,MATCH($F639,사건마스터!$A$5:$A$64,0)),""))</f>
        <v/>
      </c>
      <c r="M639" s="136">
        <f>IF($F639="","",IFERROR(INDEX(사건마스터!$AJ$5:$AJ$64,MATCH($F639,사건마스터!$A$5:$A$64,0)),""))</f>
        <v/>
      </c>
      <c r="N639" s="136">
        <f>IF($F639="","",IFERROR(INDEX(사건마스터!$AK$5:$AK$64,MATCH($F639,사건마스터!$A$5:$A$64,0)),""))</f>
        <v/>
      </c>
      <c r="O639" s="136">
        <f>IF($F639="","",IFERROR(INDEX(사건마스터!$AL$5:$AL$64,MATCH($F639,사건마스터!$A$5:$A$64,0)),""))</f>
        <v/>
      </c>
      <c r="P639" s="136">
        <f>IF($F639="","",IFERROR(INDEX(사건마스터!$AM$5:$AM$64,MATCH($F639,사건마스터!$A$5:$A$64,0)),""))</f>
        <v/>
      </c>
      <c r="Q639" s="136">
        <f>IF($F639="","",IFERROR(INDEX(사건마스터!$AN$5:$AN$64,MATCH($F639,사건마스터!$A$5:$A$64,0)),""))</f>
        <v/>
      </c>
      <c r="R639" s="136">
        <f>IF($F639="","",IFERROR(INDEX(사건마스터!$AO$5:$AO$64,MATCH($F639,사건마스터!$A$5:$A$64,0)),""))</f>
        <v/>
      </c>
      <c r="S639" s="136">
        <f>IF($F639="","",IFERROR(INDEX(사건마스터!$AP$5:$AP$64,MATCH($F639,사건마스터!$A$5:$A$64,0)),""))</f>
        <v/>
      </c>
      <c r="T639" s="136">
        <f>IF($F639="","",IFERROR(INDEX(사건마스터!$AQ$5:$AQ$64,MATCH($F639,사건마스터!$A$5:$A$64,0)),""))</f>
        <v/>
      </c>
      <c r="U639" s="136">
        <f>IF($F639="","",IFERROR(INDEX(사건마스터!$AR$5:$AR$64,MATCH($F639,사건마스터!$A$5:$A$64,0)),""))</f>
        <v/>
      </c>
      <c r="V639" s="136">
        <f>IF($F639="","",IFERROR(INDEX(사건마스터!$AS$5:$AS$64,MATCH($F639,사건마스터!$A$5:$A$64,0)),""))</f>
        <v/>
      </c>
      <c r="W639" s="136">
        <f>IF($F639="","",IFERROR(INDEX(사건마스터!$AT$5:$AT$64,MATCH($F639,사건마스터!$A$5:$A$64,0)),""))</f>
        <v/>
      </c>
      <c r="X639" s="136">
        <f>IF($F639="","",IFERROR(INDEX(사건마스터!$AU$5:$AU$64,MATCH($F639,사건마스터!$A$5:$A$64,0)),""))</f>
        <v/>
      </c>
      <c r="Y639" s="136">
        <f>IF($F639="","",IFERROR(INDEX(사건마스터!$AV$5:$AV$64,MATCH($F639,사건마스터!$A$5:$A$64,0)),""))</f>
        <v/>
      </c>
      <c r="Z639" s="118">
        <f>IF(COUNTBLANK($J639:$Y639)=16,"",16-COUNTBLANK($J639:$Y639))</f>
        <v/>
      </c>
      <c r="AA639" s="33">
        <f>IF($J639="",MID($AX639,3,255),$J639&amp;$AX639)</f>
        <v/>
      </c>
      <c r="AB639" s="130">
        <f>IF($J639="","",IFERROR(INDEX(코드설정!$D$5:$D$24,MATCH($J639,코드설정!$C$5:$C$24,0)),""))</f>
        <v/>
      </c>
      <c r="AC639" s="36" t="n"/>
      <c r="AD639" s="37" t="n"/>
      <c r="AE639" s="38" t="n"/>
      <c r="AF639" s="118">
        <f>IF(OR($B639="",$C639=""),"",$C639-$B639+1)</f>
        <v/>
      </c>
      <c r="AG639" s="74" t="n"/>
      <c r="AH639" s="36" t="n"/>
      <c r="AJ639">
        <f>IF($K639="","",", "&amp;$K639)</f>
        <v/>
      </c>
      <c r="AK639">
        <f>AJ639&amp;IF($L639="","",", "&amp;$L639)</f>
        <v/>
      </c>
      <c r="AL639">
        <f>AK639&amp;IF($M639="","",", "&amp;$M639)</f>
        <v/>
      </c>
      <c r="AM639">
        <f>AL639&amp;IF($N639="","",", "&amp;$N639)</f>
        <v/>
      </c>
      <c r="AN639">
        <f>AM639&amp;IF($O639="","",", "&amp;$O639)</f>
        <v/>
      </c>
      <c r="AO639">
        <f>AN639&amp;IF($P639="","",", "&amp;$P639)</f>
        <v/>
      </c>
      <c r="AP639">
        <f>AO639&amp;IF($Q639="","",", "&amp;$Q639)</f>
        <v/>
      </c>
      <c r="AQ639">
        <f>AP639&amp;IF($R639="","",", "&amp;$R639)</f>
        <v/>
      </c>
      <c r="AR639">
        <f>AQ639&amp;IF($S639="","",", "&amp;$S639)</f>
        <v/>
      </c>
      <c r="AS639">
        <f>AR639&amp;IF($T639="","",", "&amp;$T639)</f>
        <v/>
      </c>
      <c r="AT639">
        <f>AS639&amp;IF($U639="","",", "&amp;$U639)</f>
        <v/>
      </c>
      <c r="AU639">
        <f>AT639&amp;IF($V639="","",", "&amp;$V639)</f>
        <v/>
      </c>
      <c r="AV639">
        <f>AU639&amp;IF($W639="","",", "&amp;$W639)</f>
        <v/>
      </c>
      <c r="AW639">
        <f>AV639&amp;IF($X639="","",", "&amp;$X639)</f>
        <v/>
      </c>
      <c r="AX639">
        <f>AW639&amp;IF($Y639="","",", "&amp;$Y639)</f>
        <v/>
      </c>
    </row>
    <row r="640">
      <c r="A640" s="118">
        <f>IF($B640="","",COUNT($B$5:$B640))</f>
        <v/>
      </c>
      <c r="B640" s="80" t="n"/>
      <c r="C640" s="80" t="n"/>
      <c r="D640" s="74" t="n"/>
      <c r="E640" s="74" t="n"/>
      <c r="F640" s="74" t="n"/>
      <c r="G640" s="118">
        <f>IF($F640="","",COUNTIF($F$5:$F640,$F640))</f>
        <v/>
      </c>
      <c r="H640" s="33">
        <f>IF($F640="","",IFERROR(INDEX(사건마스터!$B$5:$B$64,MATCH($F640,사건마스터!$A$5:$A$64,0)),""))</f>
        <v/>
      </c>
      <c r="I640" s="130">
        <f>IF($F640="","",IFERROR(INDEX(사건마스터!$C$5:$C$64,MATCH($F640,사건마스터!$A$5:$A$64,0)),""))</f>
        <v/>
      </c>
      <c r="J640" s="136">
        <f>IF($F640="","",IFERROR(INDEX(사건마스터!$H$5:$H$64,MATCH($F640,사건마스터!$A$5:$A$64,0)),""))</f>
        <v/>
      </c>
      <c r="K640" s="136">
        <f>IF($F640="","",IFERROR(INDEX(사건마스터!$AH$5:$AH$64,MATCH($F640,사건마스터!$A$5:$A$64,0)),""))</f>
        <v/>
      </c>
      <c r="L640" s="136">
        <f>IF($F640="","",IFERROR(INDEX(사건마스터!$AI$5:$AI$64,MATCH($F640,사건마스터!$A$5:$A$64,0)),""))</f>
        <v/>
      </c>
      <c r="M640" s="136">
        <f>IF($F640="","",IFERROR(INDEX(사건마스터!$AJ$5:$AJ$64,MATCH($F640,사건마스터!$A$5:$A$64,0)),""))</f>
        <v/>
      </c>
      <c r="N640" s="136">
        <f>IF($F640="","",IFERROR(INDEX(사건마스터!$AK$5:$AK$64,MATCH($F640,사건마스터!$A$5:$A$64,0)),""))</f>
        <v/>
      </c>
      <c r="O640" s="136">
        <f>IF($F640="","",IFERROR(INDEX(사건마스터!$AL$5:$AL$64,MATCH($F640,사건마스터!$A$5:$A$64,0)),""))</f>
        <v/>
      </c>
      <c r="P640" s="136">
        <f>IF($F640="","",IFERROR(INDEX(사건마스터!$AM$5:$AM$64,MATCH($F640,사건마스터!$A$5:$A$64,0)),""))</f>
        <v/>
      </c>
      <c r="Q640" s="136">
        <f>IF($F640="","",IFERROR(INDEX(사건마스터!$AN$5:$AN$64,MATCH($F640,사건마스터!$A$5:$A$64,0)),""))</f>
        <v/>
      </c>
      <c r="R640" s="136">
        <f>IF($F640="","",IFERROR(INDEX(사건마스터!$AO$5:$AO$64,MATCH($F640,사건마스터!$A$5:$A$64,0)),""))</f>
        <v/>
      </c>
      <c r="S640" s="136">
        <f>IF($F640="","",IFERROR(INDEX(사건마스터!$AP$5:$AP$64,MATCH($F640,사건마스터!$A$5:$A$64,0)),""))</f>
        <v/>
      </c>
      <c r="T640" s="136">
        <f>IF($F640="","",IFERROR(INDEX(사건마스터!$AQ$5:$AQ$64,MATCH($F640,사건마스터!$A$5:$A$64,0)),""))</f>
        <v/>
      </c>
      <c r="U640" s="136">
        <f>IF($F640="","",IFERROR(INDEX(사건마스터!$AR$5:$AR$64,MATCH($F640,사건마스터!$A$5:$A$64,0)),""))</f>
        <v/>
      </c>
      <c r="V640" s="136">
        <f>IF($F640="","",IFERROR(INDEX(사건마스터!$AS$5:$AS$64,MATCH($F640,사건마스터!$A$5:$A$64,0)),""))</f>
        <v/>
      </c>
      <c r="W640" s="136">
        <f>IF($F640="","",IFERROR(INDEX(사건마스터!$AT$5:$AT$64,MATCH($F640,사건마스터!$A$5:$A$64,0)),""))</f>
        <v/>
      </c>
      <c r="X640" s="136">
        <f>IF($F640="","",IFERROR(INDEX(사건마스터!$AU$5:$AU$64,MATCH($F640,사건마스터!$A$5:$A$64,0)),""))</f>
        <v/>
      </c>
      <c r="Y640" s="136">
        <f>IF($F640="","",IFERROR(INDEX(사건마스터!$AV$5:$AV$64,MATCH($F640,사건마스터!$A$5:$A$64,0)),""))</f>
        <v/>
      </c>
      <c r="Z640" s="118">
        <f>IF(COUNTBLANK($J640:$Y640)=16,"",16-COUNTBLANK($J640:$Y640))</f>
        <v/>
      </c>
      <c r="AA640" s="33">
        <f>IF($J640="",MID($AX640,3,255),$J640&amp;$AX640)</f>
        <v/>
      </c>
      <c r="AB640" s="130">
        <f>IF($J640="","",IFERROR(INDEX(코드설정!$D$5:$D$24,MATCH($J640,코드설정!$C$5:$C$24,0)),""))</f>
        <v/>
      </c>
      <c r="AC640" s="36" t="n"/>
      <c r="AD640" s="37" t="n"/>
      <c r="AE640" s="38" t="n"/>
      <c r="AF640" s="118">
        <f>IF(OR($B640="",$C640=""),"",$C640-$B640+1)</f>
        <v/>
      </c>
      <c r="AG640" s="74" t="n"/>
      <c r="AH640" s="36" t="n"/>
      <c r="AJ640">
        <f>IF($K640="","",", "&amp;$K640)</f>
        <v/>
      </c>
      <c r="AK640">
        <f>AJ640&amp;IF($L640="","",", "&amp;$L640)</f>
        <v/>
      </c>
      <c r="AL640">
        <f>AK640&amp;IF($M640="","",", "&amp;$M640)</f>
        <v/>
      </c>
      <c r="AM640">
        <f>AL640&amp;IF($N640="","",", "&amp;$N640)</f>
        <v/>
      </c>
      <c r="AN640">
        <f>AM640&amp;IF($O640="","",", "&amp;$O640)</f>
        <v/>
      </c>
      <c r="AO640">
        <f>AN640&amp;IF($P640="","",", "&amp;$P640)</f>
        <v/>
      </c>
      <c r="AP640">
        <f>AO640&amp;IF($Q640="","",", "&amp;$Q640)</f>
        <v/>
      </c>
      <c r="AQ640">
        <f>AP640&amp;IF($R640="","",", "&amp;$R640)</f>
        <v/>
      </c>
      <c r="AR640">
        <f>AQ640&amp;IF($S640="","",", "&amp;$S640)</f>
        <v/>
      </c>
      <c r="AS640">
        <f>AR640&amp;IF($T640="","",", "&amp;$T640)</f>
        <v/>
      </c>
      <c r="AT640">
        <f>AS640&amp;IF($U640="","",", "&amp;$U640)</f>
        <v/>
      </c>
      <c r="AU640">
        <f>AT640&amp;IF($V640="","",", "&amp;$V640)</f>
        <v/>
      </c>
      <c r="AV640">
        <f>AU640&amp;IF($W640="","",", "&amp;$W640)</f>
        <v/>
      </c>
      <c r="AW640">
        <f>AV640&amp;IF($X640="","",", "&amp;$X640)</f>
        <v/>
      </c>
      <c r="AX640">
        <f>AW640&amp;IF($Y640="","",", "&amp;$Y640)</f>
        <v/>
      </c>
    </row>
    <row r="641">
      <c r="A641" s="118">
        <f>IF($B641="","",COUNT($B$5:$B641))</f>
        <v/>
      </c>
      <c r="B641" s="80" t="n"/>
      <c r="C641" s="80" t="n"/>
      <c r="D641" s="74" t="n"/>
      <c r="E641" s="74" t="n"/>
      <c r="F641" s="74" t="n"/>
      <c r="G641" s="118">
        <f>IF($F641="","",COUNTIF($F$5:$F641,$F641))</f>
        <v/>
      </c>
      <c r="H641" s="33">
        <f>IF($F641="","",IFERROR(INDEX(사건마스터!$B$5:$B$64,MATCH($F641,사건마스터!$A$5:$A$64,0)),""))</f>
        <v/>
      </c>
      <c r="I641" s="130">
        <f>IF($F641="","",IFERROR(INDEX(사건마스터!$C$5:$C$64,MATCH($F641,사건마스터!$A$5:$A$64,0)),""))</f>
        <v/>
      </c>
      <c r="J641" s="136">
        <f>IF($F641="","",IFERROR(INDEX(사건마스터!$H$5:$H$64,MATCH($F641,사건마스터!$A$5:$A$64,0)),""))</f>
        <v/>
      </c>
      <c r="K641" s="136">
        <f>IF($F641="","",IFERROR(INDEX(사건마스터!$AH$5:$AH$64,MATCH($F641,사건마스터!$A$5:$A$64,0)),""))</f>
        <v/>
      </c>
      <c r="L641" s="136">
        <f>IF($F641="","",IFERROR(INDEX(사건마스터!$AI$5:$AI$64,MATCH($F641,사건마스터!$A$5:$A$64,0)),""))</f>
        <v/>
      </c>
      <c r="M641" s="136">
        <f>IF($F641="","",IFERROR(INDEX(사건마스터!$AJ$5:$AJ$64,MATCH($F641,사건마스터!$A$5:$A$64,0)),""))</f>
        <v/>
      </c>
      <c r="N641" s="136">
        <f>IF($F641="","",IFERROR(INDEX(사건마스터!$AK$5:$AK$64,MATCH($F641,사건마스터!$A$5:$A$64,0)),""))</f>
        <v/>
      </c>
      <c r="O641" s="136">
        <f>IF($F641="","",IFERROR(INDEX(사건마스터!$AL$5:$AL$64,MATCH($F641,사건마스터!$A$5:$A$64,0)),""))</f>
        <v/>
      </c>
      <c r="P641" s="136">
        <f>IF($F641="","",IFERROR(INDEX(사건마스터!$AM$5:$AM$64,MATCH($F641,사건마스터!$A$5:$A$64,0)),""))</f>
        <v/>
      </c>
      <c r="Q641" s="136">
        <f>IF($F641="","",IFERROR(INDEX(사건마스터!$AN$5:$AN$64,MATCH($F641,사건마스터!$A$5:$A$64,0)),""))</f>
        <v/>
      </c>
      <c r="R641" s="136">
        <f>IF($F641="","",IFERROR(INDEX(사건마스터!$AO$5:$AO$64,MATCH($F641,사건마스터!$A$5:$A$64,0)),""))</f>
        <v/>
      </c>
      <c r="S641" s="136">
        <f>IF($F641="","",IFERROR(INDEX(사건마스터!$AP$5:$AP$64,MATCH($F641,사건마스터!$A$5:$A$64,0)),""))</f>
        <v/>
      </c>
      <c r="T641" s="136">
        <f>IF($F641="","",IFERROR(INDEX(사건마스터!$AQ$5:$AQ$64,MATCH($F641,사건마스터!$A$5:$A$64,0)),""))</f>
        <v/>
      </c>
      <c r="U641" s="136">
        <f>IF($F641="","",IFERROR(INDEX(사건마스터!$AR$5:$AR$64,MATCH($F641,사건마스터!$A$5:$A$64,0)),""))</f>
        <v/>
      </c>
      <c r="V641" s="136">
        <f>IF($F641="","",IFERROR(INDEX(사건마스터!$AS$5:$AS$64,MATCH($F641,사건마스터!$A$5:$A$64,0)),""))</f>
        <v/>
      </c>
      <c r="W641" s="136">
        <f>IF($F641="","",IFERROR(INDEX(사건마스터!$AT$5:$AT$64,MATCH($F641,사건마스터!$A$5:$A$64,0)),""))</f>
        <v/>
      </c>
      <c r="X641" s="136">
        <f>IF($F641="","",IFERROR(INDEX(사건마스터!$AU$5:$AU$64,MATCH($F641,사건마스터!$A$5:$A$64,0)),""))</f>
        <v/>
      </c>
      <c r="Y641" s="136">
        <f>IF($F641="","",IFERROR(INDEX(사건마스터!$AV$5:$AV$64,MATCH($F641,사건마스터!$A$5:$A$64,0)),""))</f>
        <v/>
      </c>
      <c r="Z641" s="118">
        <f>IF(COUNTBLANK($J641:$Y641)=16,"",16-COUNTBLANK($J641:$Y641))</f>
        <v/>
      </c>
      <c r="AA641" s="33">
        <f>IF($J641="",MID($AX641,3,255),$J641&amp;$AX641)</f>
        <v/>
      </c>
      <c r="AB641" s="130">
        <f>IF($J641="","",IFERROR(INDEX(코드설정!$D$5:$D$24,MATCH($J641,코드설정!$C$5:$C$24,0)),""))</f>
        <v/>
      </c>
      <c r="AC641" s="36" t="n"/>
      <c r="AD641" s="37" t="n"/>
      <c r="AE641" s="38" t="n"/>
      <c r="AF641" s="118">
        <f>IF(OR($B641="",$C641=""),"",$C641-$B641+1)</f>
        <v/>
      </c>
      <c r="AG641" s="74" t="n"/>
      <c r="AH641" s="36" t="n"/>
      <c r="AJ641">
        <f>IF($K641="","",", "&amp;$K641)</f>
        <v/>
      </c>
      <c r="AK641">
        <f>AJ641&amp;IF($L641="","",", "&amp;$L641)</f>
        <v/>
      </c>
      <c r="AL641">
        <f>AK641&amp;IF($M641="","",", "&amp;$M641)</f>
        <v/>
      </c>
      <c r="AM641">
        <f>AL641&amp;IF($N641="","",", "&amp;$N641)</f>
        <v/>
      </c>
      <c r="AN641">
        <f>AM641&amp;IF($O641="","",", "&amp;$O641)</f>
        <v/>
      </c>
      <c r="AO641">
        <f>AN641&amp;IF($P641="","",", "&amp;$P641)</f>
        <v/>
      </c>
      <c r="AP641">
        <f>AO641&amp;IF($Q641="","",", "&amp;$Q641)</f>
        <v/>
      </c>
      <c r="AQ641">
        <f>AP641&amp;IF($R641="","",", "&amp;$R641)</f>
        <v/>
      </c>
      <c r="AR641">
        <f>AQ641&amp;IF($S641="","",", "&amp;$S641)</f>
        <v/>
      </c>
      <c r="AS641">
        <f>AR641&amp;IF($T641="","",", "&amp;$T641)</f>
        <v/>
      </c>
      <c r="AT641">
        <f>AS641&amp;IF($U641="","",", "&amp;$U641)</f>
        <v/>
      </c>
      <c r="AU641">
        <f>AT641&amp;IF($V641="","",", "&amp;$V641)</f>
        <v/>
      </c>
      <c r="AV641">
        <f>AU641&amp;IF($W641="","",", "&amp;$W641)</f>
        <v/>
      </c>
      <c r="AW641">
        <f>AV641&amp;IF($X641="","",", "&amp;$X641)</f>
        <v/>
      </c>
      <c r="AX641">
        <f>AW641&amp;IF($Y641="","",", "&amp;$Y641)</f>
        <v/>
      </c>
    </row>
    <row r="642">
      <c r="A642" s="118">
        <f>IF($B642="","",COUNT($B$5:$B642))</f>
        <v/>
      </c>
      <c r="B642" s="80" t="n"/>
      <c r="C642" s="80" t="n"/>
      <c r="D642" s="74" t="n"/>
      <c r="E642" s="74" t="n"/>
      <c r="F642" s="74" t="n"/>
      <c r="G642" s="118">
        <f>IF($F642="","",COUNTIF($F$5:$F642,$F642))</f>
        <v/>
      </c>
      <c r="H642" s="33">
        <f>IF($F642="","",IFERROR(INDEX(사건마스터!$B$5:$B$64,MATCH($F642,사건마스터!$A$5:$A$64,0)),""))</f>
        <v/>
      </c>
      <c r="I642" s="130">
        <f>IF($F642="","",IFERROR(INDEX(사건마스터!$C$5:$C$64,MATCH($F642,사건마스터!$A$5:$A$64,0)),""))</f>
        <v/>
      </c>
      <c r="J642" s="136">
        <f>IF($F642="","",IFERROR(INDEX(사건마스터!$H$5:$H$64,MATCH($F642,사건마스터!$A$5:$A$64,0)),""))</f>
        <v/>
      </c>
      <c r="K642" s="136">
        <f>IF($F642="","",IFERROR(INDEX(사건마스터!$AH$5:$AH$64,MATCH($F642,사건마스터!$A$5:$A$64,0)),""))</f>
        <v/>
      </c>
      <c r="L642" s="136">
        <f>IF($F642="","",IFERROR(INDEX(사건마스터!$AI$5:$AI$64,MATCH($F642,사건마스터!$A$5:$A$64,0)),""))</f>
        <v/>
      </c>
      <c r="M642" s="136">
        <f>IF($F642="","",IFERROR(INDEX(사건마스터!$AJ$5:$AJ$64,MATCH($F642,사건마스터!$A$5:$A$64,0)),""))</f>
        <v/>
      </c>
      <c r="N642" s="136">
        <f>IF($F642="","",IFERROR(INDEX(사건마스터!$AK$5:$AK$64,MATCH($F642,사건마스터!$A$5:$A$64,0)),""))</f>
        <v/>
      </c>
      <c r="O642" s="136">
        <f>IF($F642="","",IFERROR(INDEX(사건마스터!$AL$5:$AL$64,MATCH($F642,사건마스터!$A$5:$A$64,0)),""))</f>
        <v/>
      </c>
      <c r="P642" s="136">
        <f>IF($F642="","",IFERROR(INDEX(사건마스터!$AM$5:$AM$64,MATCH($F642,사건마스터!$A$5:$A$64,0)),""))</f>
        <v/>
      </c>
      <c r="Q642" s="136">
        <f>IF($F642="","",IFERROR(INDEX(사건마스터!$AN$5:$AN$64,MATCH($F642,사건마스터!$A$5:$A$64,0)),""))</f>
        <v/>
      </c>
      <c r="R642" s="136">
        <f>IF($F642="","",IFERROR(INDEX(사건마스터!$AO$5:$AO$64,MATCH($F642,사건마스터!$A$5:$A$64,0)),""))</f>
        <v/>
      </c>
      <c r="S642" s="136">
        <f>IF($F642="","",IFERROR(INDEX(사건마스터!$AP$5:$AP$64,MATCH($F642,사건마스터!$A$5:$A$64,0)),""))</f>
        <v/>
      </c>
      <c r="T642" s="136">
        <f>IF($F642="","",IFERROR(INDEX(사건마스터!$AQ$5:$AQ$64,MATCH($F642,사건마스터!$A$5:$A$64,0)),""))</f>
        <v/>
      </c>
      <c r="U642" s="136">
        <f>IF($F642="","",IFERROR(INDEX(사건마스터!$AR$5:$AR$64,MATCH($F642,사건마스터!$A$5:$A$64,0)),""))</f>
        <v/>
      </c>
      <c r="V642" s="136">
        <f>IF($F642="","",IFERROR(INDEX(사건마스터!$AS$5:$AS$64,MATCH($F642,사건마스터!$A$5:$A$64,0)),""))</f>
        <v/>
      </c>
      <c r="W642" s="136">
        <f>IF($F642="","",IFERROR(INDEX(사건마스터!$AT$5:$AT$64,MATCH($F642,사건마스터!$A$5:$A$64,0)),""))</f>
        <v/>
      </c>
      <c r="X642" s="136">
        <f>IF($F642="","",IFERROR(INDEX(사건마스터!$AU$5:$AU$64,MATCH($F642,사건마스터!$A$5:$A$64,0)),""))</f>
        <v/>
      </c>
      <c r="Y642" s="136">
        <f>IF($F642="","",IFERROR(INDEX(사건마스터!$AV$5:$AV$64,MATCH($F642,사건마스터!$A$5:$A$64,0)),""))</f>
        <v/>
      </c>
      <c r="Z642" s="118">
        <f>IF(COUNTBLANK($J642:$Y642)=16,"",16-COUNTBLANK($J642:$Y642))</f>
        <v/>
      </c>
      <c r="AA642" s="33">
        <f>IF($J642="",MID($AX642,3,255),$J642&amp;$AX642)</f>
        <v/>
      </c>
      <c r="AB642" s="130">
        <f>IF($J642="","",IFERROR(INDEX(코드설정!$D$5:$D$24,MATCH($J642,코드설정!$C$5:$C$24,0)),""))</f>
        <v/>
      </c>
      <c r="AC642" s="36" t="n"/>
      <c r="AD642" s="37" t="n"/>
      <c r="AE642" s="38" t="n"/>
      <c r="AF642" s="118">
        <f>IF(OR($B642="",$C642=""),"",$C642-$B642+1)</f>
        <v/>
      </c>
      <c r="AG642" s="74" t="n"/>
      <c r="AH642" s="36" t="n"/>
      <c r="AJ642">
        <f>IF($K642="","",", "&amp;$K642)</f>
        <v/>
      </c>
      <c r="AK642">
        <f>AJ642&amp;IF($L642="","",", "&amp;$L642)</f>
        <v/>
      </c>
      <c r="AL642">
        <f>AK642&amp;IF($M642="","",", "&amp;$M642)</f>
        <v/>
      </c>
      <c r="AM642">
        <f>AL642&amp;IF($N642="","",", "&amp;$N642)</f>
        <v/>
      </c>
      <c r="AN642">
        <f>AM642&amp;IF($O642="","",", "&amp;$O642)</f>
        <v/>
      </c>
      <c r="AO642">
        <f>AN642&amp;IF($P642="","",", "&amp;$P642)</f>
        <v/>
      </c>
      <c r="AP642">
        <f>AO642&amp;IF($Q642="","",", "&amp;$Q642)</f>
        <v/>
      </c>
      <c r="AQ642">
        <f>AP642&amp;IF($R642="","",", "&amp;$R642)</f>
        <v/>
      </c>
      <c r="AR642">
        <f>AQ642&amp;IF($S642="","",", "&amp;$S642)</f>
        <v/>
      </c>
      <c r="AS642">
        <f>AR642&amp;IF($T642="","",", "&amp;$T642)</f>
        <v/>
      </c>
      <c r="AT642">
        <f>AS642&amp;IF($U642="","",", "&amp;$U642)</f>
        <v/>
      </c>
      <c r="AU642">
        <f>AT642&amp;IF($V642="","",", "&amp;$V642)</f>
        <v/>
      </c>
      <c r="AV642">
        <f>AU642&amp;IF($W642="","",", "&amp;$W642)</f>
        <v/>
      </c>
      <c r="AW642">
        <f>AV642&amp;IF($X642="","",", "&amp;$X642)</f>
        <v/>
      </c>
      <c r="AX642">
        <f>AW642&amp;IF($Y642="","",", "&amp;$Y642)</f>
        <v/>
      </c>
    </row>
    <row r="643">
      <c r="A643" s="118">
        <f>IF($B643="","",COUNT($B$5:$B643))</f>
        <v/>
      </c>
      <c r="B643" s="80" t="n"/>
      <c r="C643" s="80" t="n"/>
      <c r="D643" s="74" t="n"/>
      <c r="E643" s="74" t="n"/>
      <c r="F643" s="74" t="n"/>
      <c r="G643" s="118">
        <f>IF($F643="","",COUNTIF($F$5:$F643,$F643))</f>
        <v/>
      </c>
      <c r="H643" s="33">
        <f>IF($F643="","",IFERROR(INDEX(사건마스터!$B$5:$B$64,MATCH($F643,사건마스터!$A$5:$A$64,0)),""))</f>
        <v/>
      </c>
      <c r="I643" s="130">
        <f>IF($F643="","",IFERROR(INDEX(사건마스터!$C$5:$C$64,MATCH($F643,사건마스터!$A$5:$A$64,0)),""))</f>
        <v/>
      </c>
      <c r="J643" s="136">
        <f>IF($F643="","",IFERROR(INDEX(사건마스터!$H$5:$H$64,MATCH($F643,사건마스터!$A$5:$A$64,0)),""))</f>
        <v/>
      </c>
      <c r="K643" s="136">
        <f>IF($F643="","",IFERROR(INDEX(사건마스터!$AH$5:$AH$64,MATCH($F643,사건마스터!$A$5:$A$64,0)),""))</f>
        <v/>
      </c>
      <c r="L643" s="136">
        <f>IF($F643="","",IFERROR(INDEX(사건마스터!$AI$5:$AI$64,MATCH($F643,사건마스터!$A$5:$A$64,0)),""))</f>
        <v/>
      </c>
      <c r="M643" s="136">
        <f>IF($F643="","",IFERROR(INDEX(사건마스터!$AJ$5:$AJ$64,MATCH($F643,사건마스터!$A$5:$A$64,0)),""))</f>
        <v/>
      </c>
      <c r="N643" s="136">
        <f>IF($F643="","",IFERROR(INDEX(사건마스터!$AK$5:$AK$64,MATCH($F643,사건마스터!$A$5:$A$64,0)),""))</f>
        <v/>
      </c>
      <c r="O643" s="136">
        <f>IF($F643="","",IFERROR(INDEX(사건마스터!$AL$5:$AL$64,MATCH($F643,사건마스터!$A$5:$A$64,0)),""))</f>
        <v/>
      </c>
      <c r="P643" s="136">
        <f>IF($F643="","",IFERROR(INDEX(사건마스터!$AM$5:$AM$64,MATCH($F643,사건마스터!$A$5:$A$64,0)),""))</f>
        <v/>
      </c>
      <c r="Q643" s="136">
        <f>IF($F643="","",IFERROR(INDEX(사건마스터!$AN$5:$AN$64,MATCH($F643,사건마스터!$A$5:$A$64,0)),""))</f>
        <v/>
      </c>
      <c r="R643" s="136">
        <f>IF($F643="","",IFERROR(INDEX(사건마스터!$AO$5:$AO$64,MATCH($F643,사건마스터!$A$5:$A$64,0)),""))</f>
        <v/>
      </c>
      <c r="S643" s="136">
        <f>IF($F643="","",IFERROR(INDEX(사건마스터!$AP$5:$AP$64,MATCH($F643,사건마스터!$A$5:$A$64,0)),""))</f>
        <v/>
      </c>
      <c r="T643" s="136">
        <f>IF($F643="","",IFERROR(INDEX(사건마스터!$AQ$5:$AQ$64,MATCH($F643,사건마스터!$A$5:$A$64,0)),""))</f>
        <v/>
      </c>
      <c r="U643" s="136">
        <f>IF($F643="","",IFERROR(INDEX(사건마스터!$AR$5:$AR$64,MATCH($F643,사건마스터!$A$5:$A$64,0)),""))</f>
        <v/>
      </c>
      <c r="V643" s="136">
        <f>IF($F643="","",IFERROR(INDEX(사건마스터!$AS$5:$AS$64,MATCH($F643,사건마스터!$A$5:$A$64,0)),""))</f>
        <v/>
      </c>
      <c r="W643" s="136">
        <f>IF($F643="","",IFERROR(INDEX(사건마스터!$AT$5:$AT$64,MATCH($F643,사건마스터!$A$5:$A$64,0)),""))</f>
        <v/>
      </c>
      <c r="X643" s="136">
        <f>IF($F643="","",IFERROR(INDEX(사건마스터!$AU$5:$AU$64,MATCH($F643,사건마스터!$A$5:$A$64,0)),""))</f>
        <v/>
      </c>
      <c r="Y643" s="136">
        <f>IF($F643="","",IFERROR(INDEX(사건마스터!$AV$5:$AV$64,MATCH($F643,사건마스터!$A$5:$A$64,0)),""))</f>
        <v/>
      </c>
      <c r="Z643" s="118">
        <f>IF(COUNTBLANK($J643:$Y643)=16,"",16-COUNTBLANK($J643:$Y643))</f>
        <v/>
      </c>
      <c r="AA643" s="33">
        <f>IF($J643="",MID($AX643,3,255),$J643&amp;$AX643)</f>
        <v/>
      </c>
      <c r="AB643" s="130">
        <f>IF($J643="","",IFERROR(INDEX(코드설정!$D$5:$D$24,MATCH($J643,코드설정!$C$5:$C$24,0)),""))</f>
        <v/>
      </c>
      <c r="AC643" s="36" t="n"/>
      <c r="AD643" s="37" t="n"/>
      <c r="AE643" s="38" t="n"/>
      <c r="AF643" s="118">
        <f>IF(OR($B643="",$C643=""),"",$C643-$B643+1)</f>
        <v/>
      </c>
      <c r="AG643" s="74" t="n"/>
      <c r="AH643" s="36" t="n"/>
      <c r="AJ643">
        <f>IF($K643="","",", "&amp;$K643)</f>
        <v/>
      </c>
      <c r="AK643">
        <f>AJ643&amp;IF($L643="","",", "&amp;$L643)</f>
        <v/>
      </c>
      <c r="AL643">
        <f>AK643&amp;IF($M643="","",", "&amp;$M643)</f>
        <v/>
      </c>
      <c r="AM643">
        <f>AL643&amp;IF($N643="","",", "&amp;$N643)</f>
        <v/>
      </c>
      <c r="AN643">
        <f>AM643&amp;IF($O643="","",", "&amp;$O643)</f>
        <v/>
      </c>
      <c r="AO643">
        <f>AN643&amp;IF($P643="","",", "&amp;$P643)</f>
        <v/>
      </c>
      <c r="AP643">
        <f>AO643&amp;IF($Q643="","",", "&amp;$Q643)</f>
        <v/>
      </c>
      <c r="AQ643">
        <f>AP643&amp;IF($R643="","",", "&amp;$R643)</f>
        <v/>
      </c>
      <c r="AR643">
        <f>AQ643&amp;IF($S643="","",", "&amp;$S643)</f>
        <v/>
      </c>
      <c r="AS643">
        <f>AR643&amp;IF($T643="","",", "&amp;$T643)</f>
        <v/>
      </c>
      <c r="AT643">
        <f>AS643&amp;IF($U643="","",", "&amp;$U643)</f>
        <v/>
      </c>
      <c r="AU643">
        <f>AT643&amp;IF($V643="","",", "&amp;$V643)</f>
        <v/>
      </c>
      <c r="AV643">
        <f>AU643&amp;IF($W643="","",", "&amp;$W643)</f>
        <v/>
      </c>
      <c r="AW643">
        <f>AV643&amp;IF($X643="","",", "&amp;$X643)</f>
        <v/>
      </c>
      <c r="AX643">
        <f>AW643&amp;IF($Y643="","",", "&amp;$Y643)</f>
        <v/>
      </c>
    </row>
    <row r="644">
      <c r="A644" s="118">
        <f>IF($B644="","",COUNT($B$5:$B644))</f>
        <v/>
      </c>
      <c r="B644" s="80" t="n"/>
      <c r="C644" s="80" t="n"/>
      <c r="D644" s="74" t="n"/>
      <c r="E644" s="74" t="n"/>
      <c r="F644" s="74" t="n"/>
      <c r="G644" s="118">
        <f>IF($F644="","",COUNTIF($F$5:$F644,$F644))</f>
        <v/>
      </c>
      <c r="H644" s="33">
        <f>IF($F644="","",IFERROR(INDEX(사건마스터!$B$5:$B$64,MATCH($F644,사건마스터!$A$5:$A$64,0)),""))</f>
        <v/>
      </c>
      <c r="I644" s="130">
        <f>IF($F644="","",IFERROR(INDEX(사건마스터!$C$5:$C$64,MATCH($F644,사건마스터!$A$5:$A$64,0)),""))</f>
        <v/>
      </c>
      <c r="J644" s="136">
        <f>IF($F644="","",IFERROR(INDEX(사건마스터!$H$5:$H$64,MATCH($F644,사건마스터!$A$5:$A$64,0)),""))</f>
        <v/>
      </c>
      <c r="K644" s="136">
        <f>IF($F644="","",IFERROR(INDEX(사건마스터!$AH$5:$AH$64,MATCH($F644,사건마스터!$A$5:$A$64,0)),""))</f>
        <v/>
      </c>
      <c r="L644" s="136">
        <f>IF($F644="","",IFERROR(INDEX(사건마스터!$AI$5:$AI$64,MATCH($F644,사건마스터!$A$5:$A$64,0)),""))</f>
        <v/>
      </c>
      <c r="M644" s="136">
        <f>IF($F644="","",IFERROR(INDEX(사건마스터!$AJ$5:$AJ$64,MATCH($F644,사건마스터!$A$5:$A$64,0)),""))</f>
        <v/>
      </c>
      <c r="N644" s="136">
        <f>IF($F644="","",IFERROR(INDEX(사건마스터!$AK$5:$AK$64,MATCH($F644,사건마스터!$A$5:$A$64,0)),""))</f>
        <v/>
      </c>
      <c r="O644" s="136">
        <f>IF($F644="","",IFERROR(INDEX(사건마스터!$AL$5:$AL$64,MATCH($F644,사건마스터!$A$5:$A$64,0)),""))</f>
        <v/>
      </c>
      <c r="P644" s="136">
        <f>IF($F644="","",IFERROR(INDEX(사건마스터!$AM$5:$AM$64,MATCH($F644,사건마스터!$A$5:$A$64,0)),""))</f>
        <v/>
      </c>
      <c r="Q644" s="136">
        <f>IF($F644="","",IFERROR(INDEX(사건마스터!$AN$5:$AN$64,MATCH($F644,사건마스터!$A$5:$A$64,0)),""))</f>
        <v/>
      </c>
      <c r="R644" s="136">
        <f>IF($F644="","",IFERROR(INDEX(사건마스터!$AO$5:$AO$64,MATCH($F644,사건마스터!$A$5:$A$64,0)),""))</f>
        <v/>
      </c>
      <c r="S644" s="136">
        <f>IF($F644="","",IFERROR(INDEX(사건마스터!$AP$5:$AP$64,MATCH($F644,사건마스터!$A$5:$A$64,0)),""))</f>
        <v/>
      </c>
      <c r="T644" s="136">
        <f>IF($F644="","",IFERROR(INDEX(사건마스터!$AQ$5:$AQ$64,MATCH($F644,사건마스터!$A$5:$A$64,0)),""))</f>
        <v/>
      </c>
      <c r="U644" s="136">
        <f>IF($F644="","",IFERROR(INDEX(사건마스터!$AR$5:$AR$64,MATCH($F644,사건마스터!$A$5:$A$64,0)),""))</f>
        <v/>
      </c>
      <c r="V644" s="136">
        <f>IF($F644="","",IFERROR(INDEX(사건마스터!$AS$5:$AS$64,MATCH($F644,사건마스터!$A$5:$A$64,0)),""))</f>
        <v/>
      </c>
      <c r="W644" s="136">
        <f>IF($F644="","",IFERROR(INDEX(사건마스터!$AT$5:$AT$64,MATCH($F644,사건마스터!$A$5:$A$64,0)),""))</f>
        <v/>
      </c>
      <c r="X644" s="136">
        <f>IF($F644="","",IFERROR(INDEX(사건마스터!$AU$5:$AU$64,MATCH($F644,사건마스터!$A$5:$A$64,0)),""))</f>
        <v/>
      </c>
      <c r="Y644" s="136">
        <f>IF($F644="","",IFERROR(INDEX(사건마스터!$AV$5:$AV$64,MATCH($F644,사건마스터!$A$5:$A$64,0)),""))</f>
        <v/>
      </c>
      <c r="Z644" s="118">
        <f>IF(COUNTBLANK($J644:$Y644)=16,"",16-COUNTBLANK($J644:$Y644))</f>
        <v/>
      </c>
      <c r="AA644" s="33">
        <f>IF($J644="",MID($AX644,3,255),$J644&amp;$AX644)</f>
        <v/>
      </c>
      <c r="AB644" s="130">
        <f>IF($J644="","",IFERROR(INDEX(코드설정!$D$5:$D$24,MATCH($J644,코드설정!$C$5:$C$24,0)),""))</f>
        <v/>
      </c>
      <c r="AC644" s="36" t="n"/>
      <c r="AD644" s="37" t="n"/>
      <c r="AE644" s="38" t="n"/>
      <c r="AF644" s="118">
        <f>IF(OR($B644="",$C644=""),"",$C644-$B644+1)</f>
        <v/>
      </c>
      <c r="AG644" s="74" t="n"/>
      <c r="AH644" s="36" t="n"/>
      <c r="AJ644">
        <f>IF($K644="","",", "&amp;$K644)</f>
        <v/>
      </c>
      <c r="AK644">
        <f>AJ644&amp;IF($L644="","",", "&amp;$L644)</f>
        <v/>
      </c>
      <c r="AL644">
        <f>AK644&amp;IF($M644="","",", "&amp;$M644)</f>
        <v/>
      </c>
      <c r="AM644">
        <f>AL644&amp;IF($N644="","",", "&amp;$N644)</f>
        <v/>
      </c>
      <c r="AN644">
        <f>AM644&amp;IF($O644="","",", "&amp;$O644)</f>
        <v/>
      </c>
      <c r="AO644">
        <f>AN644&amp;IF($P644="","",", "&amp;$P644)</f>
        <v/>
      </c>
      <c r="AP644">
        <f>AO644&amp;IF($Q644="","",", "&amp;$Q644)</f>
        <v/>
      </c>
      <c r="AQ644">
        <f>AP644&amp;IF($R644="","",", "&amp;$R644)</f>
        <v/>
      </c>
      <c r="AR644">
        <f>AQ644&amp;IF($S644="","",", "&amp;$S644)</f>
        <v/>
      </c>
      <c r="AS644">
        <f>AR644&amp;IF($T644="","",", "&amp;$T644)</f>
        <v/>
      </c>
      <c r="AT644">
        <f>AS644&amp;IF($U644="","",", "&amp;$U644)</f>
        <v/>
      </c>
      <c r="AU644">
        <f>AT644&amp;IF($V644="","",", "&amp;$V644)</f>
        <v/>
      </c>
      <c r="AV644">
        <f>AU644&amp;IF($W644="","",", "&amp;$W644)</f>
        <v/>
      </c>
      <c r="AW644">
        <f>AV644&amp;IF($X644="","",", "&amp;$X644)</f>
        <v/>
      </c>
      <c r="AX644">
        <f>AW644&amp;IF($Y644="","",", "&amp;$Y644)</f>
        <v/>
      </c>
    </row>
    <row r="645">
      <c r="A645" s="118">
        <f>IF($B645="","",COUNT($B$5:$B645))</f>
        <v/>
      </c>
      <c r="B645" s="80" t="n"/>
      <c r="C645" s="80" t="n"/>
      <c r="D645" s="74" t="n"/>
      <c r="E645" s="74" t="n"/>
      <c r="F645" s="74" t="n"/>
      <c r="G645" s="118">
        <f>IF($F645="","",COUNTIF($F$5:$F645,$F645))</f>
        <v/>
      </c>
      <c r="H645" s="33">
        <f>IF($F645="","",IFERROR(INDEX(사건마스터!$B$5:$B$64,MATCH($F645,사건마스터!$A$5:$A$64,0)),""))</f>
        <v/>
      </c>
      <c r="I645" s="130">
        <f>IF($F645="","",IFERROR(INDEX(사건마스터!$C$5:$C$64,MATCH($F645,사건마스터!$A$5:$A$64,0)),""))</f>
        <v/>
      </c>
      <c r="J645" s="136">
        <f>IF($F645="","",IFERROR(INDEX(사건마스터!$H$5:$H$64,MATCH($F645,사건마스터!$A$5:$A$64,0)),""))</f>
        <v/>
      </c>
      <c r="K645" s="136">
        <f>IF($F645="","",IFERROR(INDEX(사건마스터!$AH$5:$AH$64,MATCH($F645,사건마스터!$A$5:$A$64,0)),""))</f>
        <v/>
      </c>
      <c r="L645" s="136">
        <f>IF($F645="","",IFERROR(INDEX(사건마스터!$AI$5:$AI$64,MATCH($F645,사건마스터!$A$5:$A$64,0)),""))</f>
        <v/>
      </c>
      <c r="M645" s="136">
        <f>IF($F645="","",IFERROR(INDEX(사건마스터!$AJ$5:$AJ$64,MATCH($F645,사건마스터!$A$5:$A$64,0)),""))</f>
        <v/>
      </c>
      <c r="N645" s="136">
        <f>IF($F645="","",IFERROR(INDEX(사건마스터!$AK$5:$AK$64,MATCH($F645,사건마스터!$A$5:$A$64,0)),""))</f>
        <v/>
      </c>
      <c r="O645" s="136">
        <f>IF($F645="","",IFERROR(INDEX(사건마스터!$AL$5:$AL$64,MATCH($F645,사건마스터!$A$5:$A$64,0)),""))</f>
        <v/>
      </c>
      <c r="P645" s="136">
        <f>IF($F645="","",IFERROR(INDEX(사건마스터!$AM$5:$AM$64,MATCH($F645,사건마스터!$A$5:$A$64,0)),""))</f>
        <v/>
      </c>
      <c r="Q645" s="136">
        <f>IF($F645="","",IFERROR(INDEX(사건마스터!$AN$5:$AN$64,MATCH($F645,사건마스터!$A$5:$A$64,0)),""))</f>
        <v/>
      </c>
      <c r="R645" s="136">
        <f>IF($F645="","",IFERROR(INDEX(사건마스터!$AO$5:$AO$64,MATCH($F645,사건마스터!$A$5:$A$64,0)),""))</f>
        <v/>
      </c>
      <c r="S645" s="136">
        <f>IF($F645="","",IFERROR(INDEX(사건마스터!$AP$5:$AP$64,MATCH($F645,사건마스터!$A$5:$A$64,0)),""))</f>
        <v/>
      </c>
      <c r="T645" s="136">
        <f>IF($F645="","",IFERROR(INDEX(사건마스터!$AQ$5:$AQ$64,MATCH($F645,사건마스터!$A$5:$A$64,0)),""))</f>
        <v/>
      </c>
      <c r="U645" s="136">
        <f>IF($F645="","",IFERROR(INDEX(사건마스터!$AR$5:$AR$64,MATCH($F645,사건마스터!$A$5:$A$64,0)),""))</f>
        <v/>
      </c>
      <c r="V645" s="136">
        <f>IF($F645="","",IFERROR(INDEX(사건마스터!$AS$5:$AS$64,MATCH($F645,사건마스터!$A$5:$A$64,0)),""))</f>
        <v/>
      </c>
      <c r="W645" s="136">
        <f>IF($F645="","",IFERROR(INDEX(사건마스터!$AT$5:$AT$64,MATCH($F645,사건마스터!$A$5:$A$64,0)),""))</f>
        <v/>
      </c>
      <c r="X645" s="136">
        <f>IF($F645="","",IFERROR(INDEX(사건마스터!$AU$5:$AU$64,MATCH($F645,사건마스터!$A$5:$A$64,0)),""))</f>
        <v/>
      </c>
      <c r="Y645" s="136">
        <f>IF($F645="","",IFERROR(INDEX(사건마스터!$AV$5:$AV$64,MATCH($F645,사건마스터!$A$5:$A$64,0)),""))</f>
        <v/>
      </c>
      <c r="Z645" s="118">
        <f>IF(COUNTBLANK($J645:$Y645)=16,"",16-COUNTBLANK($J645:$Y645))</f>
        <v/>
      </c>
      <c r="AA645" s="33">
        <f>IF($J645="",MID($AX645,3,255),$J645&amp;$AX645)</f>
        <v/>
      </c>
      <c r="AB645" s="130">
        <f>IF($J645="","",IFERROR(INDEX(코드설정!$D$5:$D$24,MATCH($J645,코드설정!$C$5:$C$24,0)),""))</f>
        <v/>
      </c>
      <c r="AC645" s="36" t="n"/>
      <c r="AD645" s="37" t="n"/>
      <c r="AE645" s="38" t="n"/>
      <c r="AF645" s="118">
        <f>IF(OR($B645="",$C645=""),"",$C645-$B645+1)</f>
        <v/>
      </c>
      <c r="AG645" s="74" t="n"/>
      <c r="AH645" s="36" t="n"/>
      <c r="AJ645">
        <f>IF($K645="","",", "&amp;$K645)</f>
        <v/>
      </c>
      <c r="AK645">
        <f>AJ645&amp;IF($L645="","",", "&amp;$L645)</f>
        <v/>
      </c>
      <c r="AL645">
        <f>AK645&amp;IF($M645="","",", "&amp;$M645)</f>
        <v/>
      </c>
      <c r="AM645">
        <f>AL645&amp;IF($N645="","",", "&amp;$N645)</f>
        <v/>
      </c>
      <c r="AN645">
        <f>AM645&amp;IF($O645="","",", "&amp;$O645)</f>
        <v/>
      </c>
      <c r="AO645">
        <f>AN645&amp;IF($P645="","",", "&amp;$P645)</f>
        <v/>
      </c>
      <c r="AP645">
        <f>AO645&amp;IF($Q645="","",", "&amp;$Q645)</f>
        <v/>
      </c>
      <c r="AQ645">
        <f>AP645&amp;IF($R645="","",", "&amp;$R645)</f>
        <v/>
      </c>
      <c r="AR645">
        <f>AQ645&amp;IF($S645="","",", "&amp;$S645)</f>
        <v/>
      </c>
      <c r="AS645">
        <f>AR645&amp;IF($T645="","",", "&amp;$T645)</f>
        <v/>
      </c>
      <c r="AT645">
        <f>AS645&amp;IF($U645="","",", "&amp;$U645)</f>
        <v/>
      </c>
      <c r="AU645">
        <f>AT645&amp;IF($V645="","",", "&amp;$V645)</f>
        <v/>
      </c>
      <c r="AV645">
        <f>AU645&amp;IF($W645="","",", "&amp;$W645)</f>
        <v/>
      </c>
      <c r="AW645">
        <f>AV645&amp;IF($X645="","",", "&amp;$X645)</f>
        <v/>
      </c>
      <c r="AX645">
        <f>AW645&amp;IF($Y645="","",", "&amp;$Y645)</f>
        <v/>
      </c>
    </row>
    <row r="646">
      <c r="A646" s="118">
        <f>IF($B646="","",COUNT($B$5:$B646))</f>
        <v/>
      </c>
      <c r="B646" s="80" t="n"/>
      <c r="C646" s="80" t="n"/>
      <c r="D646" s="74" t="n"/>
      <c r="E646" s="74" t="n"/>
      <c r="F646" s="74" t="n"/>
      <c r="G646" s="118">
        <f>IF($F646="","",COUNTIF($F$5:$F646,$F646))</f>
        <v/>
      </c>
      <c r="H646" s="33">
        <f>IF($F646="","",IFERROR(INDEX(사건마스터!$B$5:$B$64,MATCH($F646,사건마스터!$A$5:$A$64,0)),""))</f>
        <v/>
      </c>
      <c r="I646" s="130">
        <f>IF($F646="","",IFERROR(INDEX(사건마스터!$C$5:$C$64,MATCH($F646,사건마스터!$A$5:$A$64,0)),""))</f>
        <v/>
      </c>
      <c r="J646" s="136">
        <f>IF($F646="","",IFERROR(INDEX(사건마스터!$H$5:$H$64,MATCH($F646,사건마스터!$A$5:$A$64,0)),""))</f>
        <v/>
      </c>
      <c r="K646" s="136">
        <f>IF($F646="","",IFERROR(INDEX(사건마스터!$AH$5:$AH$64,MATCH($F646,사건마스터!$A$5:$A$64,0)),""))</f>
        <v/>
      </c>
      <c r="L646" s="136">
        <f>IF($F646="","",IFERROR(INDEX(사건마스터!$AI$5:$AI$64,MATCH($F646,사건마스터!$A$5:$A$64,0)),""))</f>
        <v/>
      </c>
      <c r="M646" s="136">
        <f>IF($F646="","",IFERROR(INDEX(사건마스터!$AJ$5:$AJ$64,MATCH($F646,사건마스터!$A$5:$A$64,0)),""))</f>
        <v/>
      </c>
      <c r="N646" s="136">
        <f>IF($F646="","",IFERROR(INDEX(사건마스터!$AK$5:$AK$64,MATCH($F646,사건마스터!$A$5:$A$64,0)),""))</f>
        <v/>
      </c>
      <c r="O646" s="136">
        <f>IF($F646="","",IFERROR(INDEX(사건마스터!$AL$5:$AL$64,MATCH($F646,사건마스터!$A$5:$A$64,0)),""))</f>
        <v/>
      </c>
      <c r="P646" s="136">
        <f>IF($F646="","",IFERROR(INDEX(사건마스터!$AM$5:$AM$64,MATCH($F646,사건마스터!$A$5:$A$64,0)),""))</f>
        <v/>
      </c>
      <c r="Q646" s="136">
        <f>IF($F646="","",IFERROR(INDEX(사건마스터!$AN$5:$AN$64,MATCH($F646,사건마스터!$A$5:$A$64,0)),""))</f>
        <v/>
      </c>
      <c r="R646" s="136">
        <f>IF($F646="","",IFERROR(INDEX(사건마스터!$AO$5:$AO$64,MATCH($F646,사건마스터!$A$5:$A$64,0)),""))</f>
        <v/>
      </c>
      <c r="S646" s="136">
        <f>IF($F646="","",IFERROR(INDEX(사건마스터!$AP$5:$AP$64,MATCH($F646,사건마스터!$A$5:$A$64,0)),""))</f>
        <v/>
      </c>
      <c r="T646" s="136">
        <f>IF($F646="","",IFERROR(INDEX(사건마스터!$AQ$5:$AQ$64,MATCH($F646,사건마스터!$A$5:$A$64,0)),""))</f>
        <v/>
      </c>
      <c r="U646" s="136">
        <f>IF($F646="","",IFERROR(INDEX(사건마스터!$AR$5:$AR$64,MATCH($F646,사건마스터!$A$5:$A$64,0)),""))</f>
        <v/>
      </c>
      <c r="V646" s="136">
        <f>IF($F646="","",IFERROR(INDEX(사건마스터!$AS$5:$AS$64,MATCH($F646,사건마스터!$A$5:$A$64,0)),""))</f>
        <v/>
      </c>
      <c r="W646" s="136">
        <f>IF($F646="","",IFERROR(INDEX(사건마스터!$AT$5:$AT$64,MATCH($F646,사건마스터!$A$5:$A$64,0)),""))</f>
        <v/>
      </c>
      <c r="X646" s="136">
        <f>IF($F646="","",IFERROR(INDEX(사건마스터!$AU$5:$AU$64,MATCH($F646,사건마스터!$A$5:$A$64,0)),""))</f>
        <v/>
      </c>
      <c r="Y646" s="136">
        <f>IF($F646="","",IFERROR(INDEX(사건마스터!$AV$5:$AV$64,MATCH($F646,사건마스터!$A$5:$A$64,0)),""))</f>
        <v/>
      </c>
      <c r="Z646" s="118">
        <f>IF(COUNTBLANK($J646:$Y646)=16,"",16-COUNTBLANK($J646:$Y646))</f>
        <v/>
      </c>
      <c r="AA646" s="33">
        <f>IF($J646="",MID($AX646,3,255),$J646&amp;$AX646)</f>
        <v/>
      </c>
      <c r="AB646" s="130">
        <f>IF($J646="","",IFERROR(INDEX(코드설정!$D$5:$D$24,MATCH($J646,코드설정!$C$5:$C$24,0)),""))</f>
        <v/>
      </c>
      <c r="AC646" s="36" t="n"/>
      <c r="AD646" s="37" t="n"/>
      <c r="AE646" s="38" t="n"/>
      <c r="AF646" s="118">
        <f>IF(OR($B646="",$C646=""),"",$C646-$B646+1)</f>
        <v/>
      </c>
      <c r="AG646" s="74" t="n"/>
      <c r="AH646" s="36" t="n"/>
      <c r="AJ646">
        <f>IF($K646="","",", "&amp;$K646)</f>
        <v/>
      </c>
      <c r="AK646">
        <f>AJ646&amp;IF($L646="","",", "&amp;$L646)</f>
        <v/>
      </c>
      <c r="AL646">
        <f>AK646&amp;IF($M646="","",", "&amp;$M646)</f>
        <v/>
      </c>
      <c r="AM646">
        <f>AL646&amp;IF($N646="","",", "&amp;$N646)</f>
        <v/>
      </c>
      <c r="AN646">
        <f>AM646&amp;IF($O646="","",", "&amp;$O646)</f>
        <v/>
      </c>
      <c r="AO646">
        <f>AN646&amp;IF($P646="","",", "&amp;$P646)</f>
        <v/>
      </c>
      <c r="AP646">
        <f>AO646&amp;IF($Q646="","",", "&amp;$Q646)</f>
        <v/>
      </c>
      <c r="AQ646">
        <f>AP646&amp;IF($R646="","",", "&amp;$R646)</f>
        <v/>
      </c>
      <c r="AR646">
        <f>AQ646&amp;IF($S646="","",", "&amp;$S646)</f>
        <v/>
      </c>
      <c r="AS646">
        <f>AR646&amp;IF($T646="","",", "&amp;$T646)</f>
        <v/>
      </c>
      <c r="AT646">
        <f>AS646&amp;IF($U646="","",", "&amp;$U646)</f>
        <v/>
      </c>
      <c r="AU646">
        <f>AT646&amp;IF($V646="","",", "&amp;$V646)</f>
        <v/>
      </c>
      <c r="AV646">
        <f>AU646&amp;IF($W646="","",", "&amp;$W646)</f>
        <v/>
      </c>
      <c r="AW646">
        <f>AV646&amp;IF($X646="","",", "&amp;$X646)</f>
        <v/>
      </c>
      <c r="AX646">
        <f>AW646&amp;IF($Y646="","",", "&amp;$Y646)</f>
        <v/>
      </c>
    </row>
    <row r="647">
      <c r="A647" s="118">
        <f>IF($B647="","",COUNT($B$5:$B647))</f>
        <v/>
      </c>
      <c r="B647" s="80" t="n"/>
      <c r="C647" s="80" t="n"/>
      <c r="D647" s="74" t="n"/>
      <c r="E647" s="74" t="n"/>
      <c r="F647" s="74" t="n"/>
      <c r="G647" s="118">
        <f>IF($F647="","",COUNTIF($F$5:$F647,$F647))</f>
        <v/>
      </c>
      <c r="H647" s="33">
        <f>IF($F647="","",IFERROR(INDEX(사건마스터!$B$5:$B$64,MATCH($F647,사건마스터!$A$5:$A$64,0)),""))</f>
        <v/>
      </c>
      <c r="I647" s="130">
        <f>IF($F647="","",IFERROR(INDEX(사건마스터!$C$5:$C$64,MATCH($F647,사건마스터!$A$5:$A$64,0)),""))</f>
        <v/>
      </c>
      <c r="J647" s="136">
        <f>IF($F647="","",IFERROR(INDEX(사건마스터!$H$5:$H$64,MATCH($F647,사건마스터!$A$5:$A$64,0)),""))</f>
        <v/>
      </c>
      <c r="K647" s="136">
        <f>IF($F647="","",IFERROR(INDEX(사건마스터!$AH$5:$AH$64,MATCH($F647,사건마스터!$A$5:$A$64,0)),""))</f>
        <v/>
      </c>
      <c r="L647" s="136">
        <f>IF($F647="","",IFERROR(INDEX(사건마스터!$AI$5:$AI$64,MATCH($F647,사건마스터!$A$5:$A$64,0)),""))</f>
        <v/>
      </c>
      <c r="M647" s="136">
        <f>IF($F647="","",IFERROR(INDEX(사건마스터!$AJ$5:$AJ$64,MATCH($F647,사건마스터!$A$5:$A$64,0)),""))</f>
        <v/>
      </c>
      <c r="N647" s="136">
        <f>IF($F647="","",IFERROR(INDEX(사건마스터!$AK$5:$AK$64,MATCH($F647,사건마스터!$A$5:$A$64,0)),""))</f>
        <v/>
      </c>
      <c r="O647" s="136">
        <f>IF($F647="","",IFERROR(INDEX(사건마스터!$AL$5:$AL$64,MATCH($F647,사건마스터!$A$5:$A$64,0)),""))</f>
        <v/>
      </c>
      <c r="P647" s="136">
        <f>IF($F647="","",IFERROR(INDEX(사건마스터!$AM$5:$AM$64,MATCH($F647,사건마스터!$A$5:$A$64,0)),""))</f>
        <v/>
      </c>
      <c r="Q647" s="136">
        <f>IF($F647="","",IFERROR(INDEX(사건마스터!$AN$5:$AN$64,MATCH($F647,사건마스터!$A$5:$A$64,0)),""))</f>
        <v/>
      </c>
      <c r="R647" s="136">
        <f>IF($F647="","",IFERROR(INDEX(사건마스터!$AO$5:$AO$64,MATCH($F647,사건마스터!$A$5:$A$64,0)),""))</f>
        <v/>
      </c>
      <c r="S647" s="136">
        <f>IF($F647="","",IFERROR(INDEX(사건마스터!$AP$5:$AP$64,MATCH($F647,사건마스터!$A$5:$A$64,0)),""))</f>
        <v/>
      </c>
      <c r="T647" s="136">
        <f>IF($F647="","",IFERROR(INDEX(사건마스터!$AQ$5:$AQ$64,MATCH($F647,사건마스터!$A$5:$A$64,0)),""))</f>
        <v/>
      </c>
      <c r="U647" s="136">
        <f>IF($F647="","",IFERROR(INDEX(사건마스터!$AR$5:$AR$64,MATCH($F647,사건마스터!$A$5:$A$64,0)),""))</f>
        <v/>
      </c>
      <c r="V647" s="136">
        <f>IF($F647="","",IFERROR(INDEX(사건마스터!$AS$5:$AS$64,MATCH($F647,사건마스터!$A$5:$A$64,0)),""))</f>
        <v/>
      </c>
      <c r="W647" s="136">
        <f>IF($F647="","",IFERROR(INDEX(사건마스터!$AT$5:$AT$64,MATCH($F647,사건마스터!$A$5:$A$64,0)),""))</f>
        <v/>
      </c>
      <c r="X647" s="136">
        <f>IF($F647="","",IFERROR(INDEX(사건마스터!$AU$5:$AU$64,MATCH($F647,사건마스터!$A$5:$A$64,0)),""))</f>
        <v/>
      </c>
      <c r="Y647" s="136">
        <f>IF($F647="","",IFERROR(INDEX(사건마스터!$AV$5:$AV$64,MATCH($F647,사건마스터!$A$5:$A$64,0)),""))</f>
        <v/>
      </c>
      <c r="Z647" s="118">
        <f>IF(COUNTBLANK($J647:$Y647)=16,"",16-COUNTBLANK($J647:$Y647))</f>
        <v/>
      </c>
      <c r="AA647" s="33">
        <f>IF($J647="",MID($AX647,3,255),$J647&amp;$AX647)</f>
        <v/>
      </c>
      <c r="AB647" s="130">
        <f>IF($J647="","",IFERROR(INDEX(코드설정!$D$5:$D$24,MATCH($J647,코드설정!$C$5:$C$24,0)),""))</f>
        <v/>
      </c>
      <c r="AC647" s="36" t="n"/>
      <c r="AD647" s="37" t="n"/>
      <c r="AE647" s="38" t="n"/>
      <c r="AF647" s="118">
        <f>IF(OR($B647="",$C647=""),"",$C647-$B647+1)</f>
        <v/>
      </c>
      <c r="AG647" s="74" t="n"/>
      <c r="AH647" s="36" t="n"/>
      <c r="AJ647">
        <f>IF($K647="","",", "&amp;$K647)</f>
        <v/>
      </c>
      <c r="AK647">
        <f>AJ647&amp;IF($L647="","",", "&amp;$L647)</f>
        <v/>
      </c>
      <c r="AL647">
        <f>AK647&amp;IF($M647="","",", "&amp;$M647)</f>
        <v/>
      </c>
      <c r="AM647">
        <f>AL647&amp;IF($N647="","",", "&amp;$N647)</f>
        <v/>
      </c>
      <c r="AN647">
        <f>AM647&amp;IF($O647="","",", "&amp;$O647)</f>
        <v/>
      </c>
      <c r="AO647">
        <f>AN647&amp;IF($P647="","",", "&amp;$P647)</f>
        <v/>
      </c>
      <c r="AP647">
        <f>AO647&amp;IF($Q647="","",", "&amp;$Q647)</f>
        <v/>
      </c>
      <c r="AQ647">
        <f>AP647&amp;IF($R647="","",", "&amp;$R647)</f>
        <v/>
      </c>
      <c r="AR647">
        <f>AQ647&amp;IF($S647="","",", "&amp;$S647)</f>
        <v/>
      </c>
      <c r="AS647">
        <f>AR647&amp;IF($T647="","",", "&amp;$T647)</f>
        <v/>
      </c>
      <c r="AT647">
        <f>AS647&amp;IF($U647="","",", "&amp;$U647)</f>
        <v/>
      </c>
      <c r="AU647">
        <f>AT647&amp;IF($V647="","",", "&amp;$V647)</f>
        <v/>
      </c>
      <c r="AV647">
        <f>AU647&amp;IF($W647="","",", "&amp;$W647)</f>
        <v/>
      </c>
      <c r="AW647">
        <f>AV647&amp;IF($X647="","",", "&amp;$X647)</f>
        <v/>
      </c>
      <c r="AX647">
        <f>AW647&amp;IF($Y647="","",", "&amp;$Y647)</f>
        <v/>
      </c>
    </row>
    <row r="648">
      <c r="A648" s="118">
        <f>IF($B648="","",COUNT($B$5:$B648))</f>
        <v/>
      </c>
      <c r="B648" s="80" t="n"/>
      <c r="C648" s="80" t="n"/>
      <c r="D648" s="74" t="n"/>
      <c r="E648" s="74" t="n"/>
      <c r="F648" s="74" t="n"/>
      <c r="G648" s="118">
        <f>IF($F648="","",COUNTIF($F$5:$F648,$F648))</f>
        <v/>
      </c>
      <c r="H648" s="33">
        <f>IF($F648="","",IFERROR(INDEX(사건마스터!$B$5:$B$64,MATCH($F648,사건마스터!$A$5:$A$64,0)),""))</f>
        <v/>
      </c>
      <c r="I648" s="130">
        <f>IF($F648="","",IFERROR(INDEX(사건마스터!$C$5:$C$64,MATCH($F648,사건마스터!$A$5:$A$64,0)),""))</f>
        <v/>
      </c>
      <c r="J648" s="136">
        <f>IF($F648="","",IFERROR(INDEX(사건마스터!$H$5:$H$64,MATCH($F648,사건마스터!$A$5:$A$64,0)),""))</f>
        <v/>
      </c>
      <c r="K648" s="136">
        <f>IF($F648="","",IFERROR(INDEX(사건마스터!$AH$5:$AH$64,MATCH($F648,사건마스터!$A$5:$A$64,0)),""))</f>
        <v/>
      </c>
      <c r="L648" s="136">
        <f>IF($F648="","",IFERROR(INDEX(사건마스터!$AI$5:$AI$64,MATCH($F648,사건마스터!$A$5:$A$64,0)),""))</f>
        <v/>
      </c>
      <c r="M648" s="136">
        <f>IF($F648="","",IFERROR(INDEX(사건마스터!$AJ$5:$AJ$64,MATCH($F648,사건마스터!$A$5:$A$64,0)),""))</f>
        <v/>
      </c>
      <c r="N648" s="136">
        <f>IF($F648="","",IFERROR(INDEX(사건마스터!$AK$5:$AK$64,MATCH($F648,사건마스터!$A$5:$A$64,0)),""))</f>
        <v/>
      </c>
      <c r="O648" s="136">
        <f>IF($F648="","",IFERROR(INDEX(사건마스터!$AL$5:$AL$64,MATCH($F648,사건마스터!$A$5:$A$64,0)),""))</f>
        <v/>
      </c>
      <c r="P648" s="136">
        <f>IF($F648="","",IFERROR(INDEX(사건마스터!$AM$5:$AM$64,MATCH($F648,사건마스터!$A$5:$A$64,0)),""))</f>
        <v/>
      </c>
      <c r="Q648" s="136">
        <f>IF($F648="","",IFERROR(INDEX(사건마스터!$AN$5:$AN$64,MATCH($F648,사건마스터!$A$5:$A$64,0)),""))</f>
        <v/>
      </c>
      <c r="R648" s="136">
        <f>IF($F648="","",IFERROR(INDEX(사건마스터!$AO$5:$AO$64,MATCH($F648,사건마스터!$A$5:$A$64,0)),""))</f>
        <v/>
      </c>
      <c r="S648" s="136">
        <f>IF($F648="","",IFERROR(INDEX(사건마스터!$AP$5:$AP$64,MATCH($F648,사건마스터!$A$5:$A$64,0)),""))</f>
        <v/>
      </c>
      <c r="T648" s="136">
        <f>IF($F648="","",IFERROR(INDEX(사건마스터!$AQ$5:$AQ$64,MATCH($F648,사건마스터!$A$5:$A$64,0)),""))</f>
        <v/>
      </c>
      <c r="U648" s="136">
        <f>IF($F648="","",IFERROR(INDEX(사건마스터!$AR$5:$AR$64,MATCH($F648,사건마스터!$A$5:$A$64,0)),""))</f>
        <v/>
      </c>
      <c r="V648" s="136">
        <f>IF($F648="","",IFERROR(INDEX(사건마스터!$AS$5:$AS$64,MATCH($F648,사건마스터!$A$5:$A$64,0)),""))</f>
        <v/>
      </c>
      <c r="W648" s="136">
        <f>IF($F648="","",IFERROR(INDEX(사건마스터!$AT$5:$AT$64,MATCH($F648,사건마스터!$A$5:$A$64,0)),""))</f>
        <v/>
      </c>
      <c r="X648" s="136">
        <f>IF($F648="","",IFERROR(INDEX(사건마스터!$AU$5:$AU$64,MATCH($F648,사건마스터!$A$5:$A$64,0)),""))</f>
        <v/>
      </c>
      <c r="Y648" s="136">
        <f>IF($F648="","",IFERROR(INDEX(사건마스터!$AV$5:$AV$64,MATCH($F648,사건마스터!$A$5:$A$64,0)),""))</f>
        <v/>
      </c>
      <c r="Z648" s="118">
        <f>IF(COUNTBLANK($J648:$Y648)=16,"",16-COUNTBLANK($J648:$Y648))</f>
        <v/>
      </c>
      <c r="AA648" s="33">
        <f>IF($J648="",MID($AX648,3,255),$J648&amp;$AX648)</f>
        <v/>
      </c>
      <c r="AB648" s="130">
        <f>IF($J648="","",IFERROR(INDEX(코드설정!$D$5:$D$24,MATCH($J648,코드설정!$C$5:$C$24,0)),""))</f>
        <v/>
      </c>
      <c r="AC648" s="36" t="n"/>
      <c r="AD648" s="37" t="n"/>
      <c r="AE648" s="38" t="n"/>
      <c r="AF648" s="118">
        <f>IF(OR($B648="",$C648=""),"",$C648-$B648+1)</f>
        <v/>
      </c>
      <c r="AG648" s="74" t="n"/>
      <c r="AH648" s="36" t="n"/>
      <c r="AJ648">
        <f>IF($K648="","",", "&amp;$K648)</f>
        <v/>
      </c>
      <c r="AK648">
        <f>AJ648&amp;IF($L648="","",", "&amp;$L648)</f>
        <v/>
      </c>
      <c r="AL648">
        <f>AK648&amp;IF($M648="","",", "&amp;$M648)</f>
        <v/>
      </c>
      <c r="AM648">
        <f>AL648&amp;IF($N648="","",", "&amp;$N648)</f>
        <v/>
      </c>
      <c r="AN648">
        <f>AM648&amp;IF($O648="","",", "&amp;$O648)</f>
        <v/>
      </c>
      <c r="AO648">
        <f>AN648&amp;IF($P648="","",", "&amp;$P648)</f>
        <v/>
      </c>
      <c r="AP648">
        <f>AO648&amp;IF($Q648="","",", "&amp;$Q648)</f>
        <v/>
      </c>
      <c r="AQ648">
        <f>AP648&amp;IF($R648="","",", "&amp;$R648)</f>
        <v/>
      </c>
      <c r="AR648">
        <f>AQ648&amp;IF($S648="","",", "&amp;$S648)</f>
        <v/>
      </c>
      <c r="AS648">
        <f>AR648&amp;IF($T648="","",", "&amp;$T648)</f>
        <v/>
      </c>
      <c r="AT648">
        <f>AS648&amp;IF($U648="","",", "&amp;$U648)</f>
        <v/>
      </c>
      <c r="AU648">
        <f>AT648&amp;IF($V648="","",", "&amp;$V648)</f>
        <v/>
      </c>
      <c r="AV648">
        <f>AU648&amp;IF($W648="","",", "&amp;$W648)</f>
        <v/>
      </c>
      <c r="AW648">
        <f>AV648&amp;IF($X648="","",", "&amp;$X648)</f>
        <v/>
      </c>
      <c r="AX648">
        <f>AW648&amp;IF($Y648="","",", "&amp;$Y648)</f>
        <v/>
      </c>
    </row>
    <row r="649">
      <c r="A649" s="118">
        <f>IF($B649="","",COUNT($B$5:$B649))</f>
        <v/>
      </c>
      <c r="B649" s="80" t="n"/>
      <c r="C649" s="80" t="n"/>
      <c r="D649" s="74" t="n"/>
      <c r="E649" s="74" t="n"/>
      <c r="F649" s="74" t="n"/>
      <c r="G649" s="118">
        <f>IF($F649="","",COUNTIF($F$5:$F649,$F649))</f>
        <v/>
      </c>
      <c r="H649" s="33">
        <f>IF($F649="","",IFERROR(INDEX(사건마스터!$B$5:$B$64,MATCH($F649,사건마스터!$A$5:$A$64,0)),""))</f>
        <v/>
      </c>
      <c r="I649" s="130">
        <f>IF($F649="","",IFERROR(INDEX(사건마스터!$C$5:$C$64,MATCH($F649,사건마스터!$A$5:$A$64,0)),""))</f>
        <v/>
      </c>
      <c r="J649" s="136">
        <f>IF($F649="","",IFERROR(INDEX(사건마스터!$H$5:$H$64,MATCH($F649,사건마스터!$A$5:$A$64,0)),""))</f>
        <v/>
      </c>
      <c r="K649" s="136">
        <f>IF($F649="","",IFERROR(INDEX(사건마스터!$AH$5:$AH$64,MATCH($F649,사건마스터!$A$5:$A$64,0)),""))</f>
        <v/>
      </c>
      <c r="L649" s="136">
        <f>IF($F649="","",IFERROR(INDEX(사건마스터!$AI$5:$AI$64,MATCH($F649,사건마스터!$A$5:$A$64,0)),""))</f>
        <v/>
      </c>
      <c r="M649" s="136">
        <f>IF($F649="","",IFERROR(INDEX(사건마스터!$AJ$5:$AJ$64,MATCH($F649,사건마스터!$A$5:$A$64,0)),""))</f>
        <v/>
      </c>
      <c r="N649" s="136">
        <f>IF($F649="","",IFERROR(INDEX(사건마스터!$AK$5:$AK$64,MATCH($F649,사건마스터!$A$5:$A$64,0)),""))</f>
        <v/>
      </c>
      <c r="O649" s="136">
        <f>IF($F649="","",IFERROR(INDEX(사건마스터!$AL$5:$AL$64,MATCH($F649,사건마스터!$A$5:$A$64,0)),""))</f>
        <v/>
      </c>
      <c r="P649" s="136">
        <f>IF($F649="","",IFERROR(INDEX(사건마스터!$AM$5:$AM$64,MATCH($F649,사건마스터!$A$5:$A$64,0)),""))</f>
        <v/>
      </c>
      <c r="Q649" s="136">
        <f>IF($F649="","",IFERROR(INDEX(사건마스터!$AN$5:$AN$64,MATCH($F649,사건마스터!$A$5:$A$64,0)),""))</f>
        <v/>
      </c>
      <c r="R649" s="136">
        <f>IF($F649="","",IFERROR(INDEX(사건마스터!$AO$5:$AO$64,MATCH($F649,사건마스터!$A$5:$A$64,0)),""))</f>
        <v/>
      </c>
      <c r="S649" s="136">
        <f>IF($F649="","",IFERROR(INDEX(사건마스터!$AP$5:$AP$64,MATCH($F649,사건마스터!$A$5:$A$64,0)),""))</f>
        <v/>
      </c>
      <c r="T649" s="136">
        <f>IF($F649="","",IFERROR(INDEX(사건마스터!$AQ$5:$AQ$64,MATCH($F649,사건마스터!$A$5:$A$64,0)),""))</f>
        <v/>
      </c>
      <c r="U649" s="136">
        <f>IF($F649="","",IFERROR(INDEX(사건마스터!$AR$5:$AR$64,MATCH($F649,사건마스터!$A$5:$A$64,0)),""))</f>
        <v/>
      </c>
      <c r="V649" s="136">
        <f>IF($F649="","",IFERROR(INDEX(사건마스터!$AS$5:$AS$64,MATCH($F649,사건마스터!$A$5:$A$64,0)),""))</f>
        <v/>
      </c>
      <c r="W649" s="136">
        <f>IF($F649="","",IFERROR(INDEX(사건마스터!$AT$5:$AT$64,MATCH($F649,사건마스터!$A$5:$A$64,0)),""))</f>
        <v/>
      </c>
      <c r="X649" s="136">
        <f>IF($F649="","",IFERROR(INDEX(사건마스터!$AU$5:$AU$64,MATCH($F649,사건마스터!$A$5:$A$64,0)),""))</f>
        <v/>
      </c>
      <c r="Y649" s="136">
        <f>IF($F649="","",IFERROR(INDEX(사건마스터!$AV$5:$AV$64,MATCH($F649,사건마스터!$A$5:$A$64,0)),""))</f>
        <v/>
      </c>
      <c r="Z649" s="118">
        <f>IF(COUNTBLANK($J649:$Y649)=16,"",16-COUNTBLANK($J649:$Y649))</f>
        <v/>
      </c>
      <c r="AA649" s="33">
        <f>IF($J649="",MID($AX649,3,255),$J649&amp;$AX649)</f>
        <v/>
      </c>
      <c r="AB649" s="130">
        <f>IF($J649="","",IFERROR(INDEX(코드설정!$D$5:$D$24,MATCH($J649,코드설정!$C$5:$C$24,0)),""))</f>
        <v/>
      </c>
      <c r="AC649" s="36" t="n"/>
      <c r="AD649" s="37" t="n"/>
      <c r="AE649" s="38" t="n"/>
      <c r="AF649" s="118">
        <f>IF(OR($B649="",$C649=""),"",$C649-$B649+1)</f>
        <v/>
      </c>
      <c r="AG649" s="74" t="n"/>
      <c r="AH649" s="36" t="n"/>
      <c r="AJ649">
        <f>IF($K649="","",", "&amp;$K649)</f>
        <v/>
      </c>
      <c r="AK649">
        <f>AJ649&amp;IF($L649="","",", "&amp;$L649)</f>
        <v/>
      </c>
      <c r="AL649">
        <f>AK649&amp;IF($M649="","",", "&amp;$M649)</f>
        <v/>
      </c>
      <c r="AM649">
        <f>AL649&amp;IF($N649="","",", "&amp;$N649)</f>
        <v/>
      </c>
      <c r="AN649">
        <f>AM649&amp;IF($O649="","",", "&amp;$O649)</f>
        <v/>
      </c>
      <c r="AO649">
        <f>AN649&amp;IF($P649="","",", "&amp;$P649)</f>
        <v/>
      </c>
      <c r="AP649">
        <f>AO649&amp;IF($Q649="","",", "&amp;$Q649)</f>
        <v/>
      </c>
      <c r="AQ649">
        <f>AP649&amp;IF($R649="","",", "&amp;$R649)</f>
        <v/>
      </c>
      <c r="AR649">
        <f>AQ649&amp;IF($S649="","",", "&amp;$S649)</f>
        <v/>
      </c>
      <c r="AS649">
        <f>AR649&amp;IF($T649="","",", "&amp;$T649)</f>
        <v/>
      </c>
      <c r="AT649">
        <f>AS649&amp;IF($U649="","",", "&amp;$U649)</f>
        <v/>
      </c>
      <c r="AU649">
        <f>AT649&amp;IF($V649="","",", "&amp;$V649)</f>
        <v/>
      </c>
      <c r="AV649">
        <f>AU649&amp;IF($W649="","",", "&amp;$W649)</f>
        <v/>
      </c>
      <c r="AW649">
        <f>AV649&amp;IF($X649="","",", "&amp;$X649)</f>
        <v/>
      </c>
      <c r="AX649">
        <f>AW649&amp;IF($Y649="","",", "&amp;$Y649)</f>
        <v/>
      </c>
    </row>
    <row r="650">
      <c r="A650" s="118">
        <f>IF($B650="","",COUNT($B$5:$B650))</f>
        <v/>
      </c>
      <c r="B650" s="80" t="n"/>
      <c r="C650" s="80" t="n"/>
      <c r="D650" s="74" t="n"/>
      <c r="E650" s="74" t="n"/>
      <c r="F650" s="74" t="n"/>
      <c r="G650" s="118">
        <f>IF($F650="","",COUNTIF($F$5:$F650,$F650))</f>
        <v/>
      </c>
      <c r="H650" s="33">
        <f>IF($F650="","",IFERROR(INDEX(사건마스터!$B$5:$B$64,MATCH($F650,사건마스터!$A$5:$A$64,0)),""))</f>
        <v/>
      </c>
      <c r="I650" s="130">
        <f>IF($F650="","",IFERROR(INDEX(사건마스터!$C$5:$C$64,MATCH($F650,사건마스터!$A$5:$A$64,0)),""))</f>
        <v/>
      </c>
      <c r="J650" s="136">
        <f>IF($F650="","",IFERROR(INDEX(사건마스터!$H$5:$H$64,MATCH($F650,사건마스터!$A$5:$A$64,0)),""))</f>
        <v/>
      </c>
      <c r="K650" s="136">
        <f>IF($F650="","",IFERROR(INDEX(사건마스터!$AH$5:$AH$64,MATCH($F650,사건마스터!$A$5:$A$64,0)),""))</f>
        <v/>
      </c>
      <c r="L650" s="136">
        <f>IF($F650="","",IFERROR(INDEX(사건마스터!$AI$5:$AI$64,MATCH($F650,사건마스터!$A$5:$A$64,0)),""))</f>
        <v/>
      </c>
      <c r="M650" s="136">
        <f>IF($F650="","",IFERROR(INDEX(사건마스터!$AJ$5:$AJ$64,MATCH($F650,사건마스터!$A$5:$A$64,0)),""))</f>
        <v/>
      </c>
      <c r="N650" s="136">
        <f>IF($F650="","",IFERROR(INDEX(사건마스터!$AK$5:$AK$64,MATCH($F650,사건마스터!$A$5:$A$64,0)),""))</f>
        <v/>
      </c>
      <c r="O650" s="136">
        <f>IF($F650="","",IFERROR(INDEX(사건마스터!$AL$5:$AL$64,MATCH($F650,사건마스터!$A$5:$A$64,0)),""))</f>
        <v/>
      </c>
      <c r="P650" s="136">
        <f>IF($F650="","",IFERROR(INDEX(사건마스터!$AM$5:$AM$64,MATCH($F650,사건마스터!$A$5:$A$64,0)),""))</f>
        <v/>
      </c>
      <c r="Q650" s="136">
        <f>IF($F650="","",IFERROR(INDEX(사건마스터!$AN$5:$AN$64,MATCH($F650,사건마스터!$A$5:$A$64,0)),""))</f>
        <v/>
      </c>
      <c r="R650" s="136">
        <f>IF($F650="","",IFERROR(INDEX(사건마스터!$AO$5:$AO$64,MATCH($F650,사건마스터!$A$5:$A$64,0)),""))</f>
        <v/>
      </c>
      <c r="S650" s="136">
        <f>IF($F650="","",IFERROR(INDEX(사건마스터!$AP$5:$AP$64,MATCH($F650,사건마스터!$A$5:$A$64,0)),""))</f>
        <v/>
      </c>
      <c r="T650" s="136">
        <f>IF($F650="","",IFERROR(INDEX(사건마스터!$AQ$5:$AQ$64,MATCH($F650,사건마스터!$A$5:$A$64,0)),""))</f>
        <v/>
      </c>
      <c r="U650" s="136">
        <f>IF($F650="","",IFERROR(INDEX(사건마스터!$AR$5:$AR$64,MATCH($F650,사건마스터!$A$5:$A$64,0)),""))</f>
        <v/>
      </c>
      <c r="V650" s="136">
        <f>IF($F650="","",IFERROR(INDEX(사건마스터!$AS$5:$AS$64,MATCH($F650,사건마스터!$A$5:$A$64,0)),""))</f>
        <v/>
      </c>
      <c r="W650" s="136">
        <f>IF($F650="","",IFERROR(INDEX(사건마스터!$AT$5:$AT$64,MATCH($F650,사건마스터!$A$5:$A$64,0)),""))</f>
        <v/>
      </c>
      <c r="X650" s="136">
        <f>IF($F650="","",IFERROR(INDEX(사건마스터!$AU$5:$AU$64,MATCH($F650,사건마스터!$A$5:$A$64,0)),""))</f>
        <v/>
      </c>
      <c r="Y650" s="136">
        <f>IF($F650="","",IFERROR(INDEX(사건마스터!$AV$5:$AV$64,MATCH($F650,사건마스터!$A$5:$A$64,0)),""))</f>
        <v/>
      </c>
      <c r="Z650" s="118">
        <f>IF(COUNTBLANK($J650:$Y650)=16,"",16-COUNTBLANK($J650:$Y650))</f>
        <v/>
      </c>
      <c r="AA650" s="33">
        <f>IF($J650="",MID($AX650,3,255),$J650&amp;$AX650)</f>
        <v/>
      </c>
      <c r="AB650" s="130">
        <f>IF($J650="","",IFERROR(INDEX(코드설정!$D$5:$D$24,MATCH($J650,코드설정!$C$5:$C$24,0)),""))</f>
        <v/>
      </c>
      <c r="AC650" s="36" t="n"/>
      <c r="AD650" s="37" t="n"/>
      <c r="AE650" s="38" t="n"/>
      <c r="AF650" s="118">
        <f>IF(OR($B650="",$C650=""),"",$C650-$B650+1)</f>
        <v/>
      </c>
      <c r="AG650" s="74" t="n"/>
      <c r="AH650" s="36" t="n"/>
      <c r="AJ650">
        <f>IF($K650="","",", "&amp;$K650)</f>
        <v/>
      </c>
      <c r="AK650">
        <f>AJ650&amp;IF($L650="","",", "&amp;$L650)</f>
        <v/>
      </c>
      <c r="AL650">
        <f>AK650&amp;IF($M650="","",", "&amp;$M650)</f>
        <v/>
      </c>
      <c r="AM650">
        <f>AL650&amp;IF($N650="","",", "&amp;$N650)</f>
        <v/>
      </c>
      <c r="AN650">
        <f>AM650&amp;IF($O650="","",", "&amp;$O650)</f>
        <v/>
      </c>
      <c r="AO650">
        <f>AN650&amp;IF($P650="","",", "&amp;$P650)</f>
        <v/>
      </c>
      <c r="AP650">
        <f>AO650&amp;IF($Q650="","",", "&amp;$Q650)</f>
        <v/>
      </c>
      <c r="AQ650">
        <f>AP650&amp;IF($R650="","",", "&amp;$R650)</f>
        <v/>
      </c>
      <c r="AR650">
        <f>AQ650&amp;IF($S650="","",", "&amp;$S650)</f>
        <v/>
      </c>
      <c r="AS650">
        <f>AR650&amp;IF($T650="","",", "&amp;$T650)</f>
        <v/>
      </c>
      <c r="AT650">
        <f>AS650&amp;IF($U650="","",", "&amp;$U650)</f>
        <v/>
      </c>
      <c r="AU650">
        <f>AT650&amp;IF($V650="","",", "&amp;$V650)</f>
        <v/>
      </c>
      <c r="AV650">
        <f>AU650&amp;IF($W650="","",", "&amp;$W650)</f>
        <v/>
      </c>
      <c r="AW650">
        <f>AV650&amp;IF($X650="","",", "&amp;$X650)</f>
        <v/>
      </c>
      <c r="AX650">
        <f>AW650&amp;IF($Y650="","",", "&amp;$Y650)</f>
        <v/>
      </c>
    </row>
    <row r="651">
      <c r="A651" s="118">
        <f>IF($B651="","",COUNT($B$5:$B651))</f>
        <v/>
      </c>
      <c r="B651" s="80" t="n"/>
      <c r="C651" s="80" t="n"/>
      <c r="D651" s="74" t="n"/>
      <c r="E651" s="74" t="n"/>
      <c r="F651" s="74" t="n"/>
      <c r="G651" s="118">
        <f>IF($F651="","",COUNTIF($F$5:$F651,$F651))</f>
        <v/>
      </c>
      <c r="H651" s="33">
        <f>IF($F651="","",IFERROR(INDEX(사건마스터!$B$5:$B$64,MATCH($F651,사건마스터!$A$5:$A$64,0)),""))</f>
        <v/>
      </c>
      <c r="I651" s="130">
        <f>IF($F651="","",IFERROR(INDEX(사건마스터!$C$5:$C$64,MATCH($F651,사건마스터!$A$5:$A$64,0)),""))</f>
        <v/>
      </c>
      <c r="J651" s="136">
        <f>IF($F651="","",IFERROR(INDEX(사건마스터!$H$5:$H$64,MATCH($F651,사건마스터!$A$5:$A$64,0)),""))</f>
        <v/>
      </c>
      <c r="K651" s="136">
        <f>IF($F651="","",IFERROR(INDEX(사건마스터!$AH$5:$AH$64,MATCH($F651,사건마스터!$A$5:$A$64,0)),""))</f>
        <v/>
      </c>
      <c r="L651" s="136">
        <f>IF($F651="","",IFERROR(INDEX(사건마스터!$AI$5:$AI$64,MATCH($F651,사건마스터!$A$5:$A$64,0)),""))</f>
        <v/>
      </c>
      <c r="M651" s="136">
        <f>IF($F651="","",IFERROR(INDEX(사건마스터!$AJ$5:$AJ$64,MATCH($F651,사건마스터!$A$5:$A$64,0)),""))</f>
        <v/>
      </c>
      <c r="N651" s="136">
        <f>IF($F651="","",IFERROR(INDEX(사건마스터!$AK$5:$AK$64,MATCH($F651,사건마스터!$A$5:$A$64,0)),""))</f>
        <v/>
      </c>
      <c r="O651" s="136">
        <f>IF($F651="","",IFERROR(INDEX(사건마스터!$AL$5:$AL$64,MATCH($F651,사건마스터!$A$5:$A$64,0)),""))</f>
        <v/>
      </c>
      <c r="P651" s="136">
        <f>IF($F651="","",IFERROR(INDEX(사건마스터!$AM$5:$AM$64,MATCH($F651,사건마스터!$A$5:$A$64,0)),""))</f>
        <v/>
      </c>
      <c r="Q651" s="136">
        <f>IF($F651="","",IFERROR(INDEX(사건마스터!$AN$5:$AN$64,MATCH($F651,사건마스터!$A$5:$A$64,0)),""))</f>
        <v/>
      </c>
      <c r="R651" s="136">
        <f>IF($F651="","",IFERROR(INDEX(사건마스터!$AO$5:$AO$64,MATCH($F651,사건마스터!$A$5:$A$64,0)),""))</f>
        <v/>
      </c>
      <c r="S651" s="136">
        <f>IF($F651="","",IFERROR(INDEX(사건마스터!$AP$5:$AP$64,MATCH($F651,사건마스터!$A$5:$A$64,0)),""))</f>
        <v/>
      </c>
      <c r="T651" s="136">
        <f>IF($F651="","",IFERROR(INDEX(사건마스터!$AQ$5:$AQ$64,MATCH($F651,사건마스터!$A$5:$A$64,0)),""))</f>
        <v/>
      </c>
      <c r="U651" s="136">
        <f>IF($F651="","",IFERROR(INDEX(사건마스터!$AR$5:$AR$64,MATCH($F651,사건마스터!$A$5:$A$64,0)),""))</f>
        <v/>
      </c>
      <c r="V651" s="136">
        <f>IF($F651="","",IFERROR(INDEX(사건마스터!$AS$5:$AS$64,MATCH($F651,사건마스터!$A$5:$A$64,0)),""))</f>
        <v/>
      </c>
      <c r="W651" s="136">
        <f>IF($F651="","",IFERROR(INDEX(사건마스터!$AT$5:$AT$64,MATCH($F651,사건마스터!$A$5:$A$64,0)),""))</f>
        <v/>
      </c>
      <c r="X651" s="136">
        <f>IF($F651="","",IFERROR(INDEX(사건마스터!$AU$5:$AU$64,MATCH($F651,사건마스터!$A$5:$A$64,0)),""))</f>
        <v/>
      </c>
      <c r="Y651" s="136">
        <f>IF($F651="","",IFERROR(INDEX(사건마스터!$AV$5:$AV$64,MATCH($F651,사건마스터!$A$5:$A$64,0)),""))</f>
        <v/>
      </c>
      <c r="Z651" s="118">
        <f>IF(COUNTBLANK($J651:$Y651)=16,"",16-COUNTBLANK($J651:$Y651))</f>
        <v/>
      </c>
      <c r="AA651" s="33">
        <f>IF($J651="",MID($AX651,3,255),$J651&amp;$AX651)</f>
        <v/>
      </c>
      <c r="AB651" s="130">
        <f>IF($J651="","",IFERROR(INDEX(코드설정!$D$5:$D$24,MATCH($J651,코드설정!$C$5:$C$24,0)),""))</f>
        <v/>
      </c>
      <c r="AC651" s="36" t="n"/>
      <c r="AD651" s="37" t="n"/>
      <c r="AE651" s="38" t="n"/>
      <c r="AF651" s="118">
        <f>IF(OR($B651="",$C651=""),"",$C651-$B651+1)</f>
        <v/>
      </c>
      <c r="AG651" s="74" t="n"/>
      <c r="AH651" s="36" t="n"/>
      <c r="AJ651">
        <f>IF($K651="","",", "&amp;$K651)</f>
        <v/>
      </c>
      <c r="AK651">
        <f>AJ651&amp;IF($L651="","",", "&amp;$L651)</f>
        <v/>
      </c>
      <c r="AL651">
        <f>AK651&amp;IF($M651="","",", "&amp;$M651)</f>
        <v/>
      </c>
      <c r="AM651">
        <f>AL651&amp;IF($N651="","",", "&amp;$N651)</f>
        <v/>
      </c>
      <c r="AN651">
        <f>AM651&amp;IF($O651="","",", "&amp;$O651)</f>
        <v/>
      </c>
      <c r="AO651">
        <f>AN651&amp;IF($P651="","",", "&amp;$P651)</f>
        <v/>
      </c>
      <c r="AP651">
        <f>AO651&amp;IF($Q651="","",", "&amp;$Q651)</f>
        <v/>
      </c>
      <c r="AQ651">
        <f>AP651&amp;IF($R651="","",", "&amp;$R651)</f>
        <v/>
      </c>
      <c r="AR651">
        <f>AQ651&amp;IF($S651="","",", "&amp;$S651)</f>
        <v/>
      </c>
      <c r="AS651">
        <f>AR651&amp;IF($T651="","",", "&amp;$T651)</f>
        <v/>
      </c>
      <c r="AT651">
        <f>AS651&amp;IF($U651="","",", "&amp;$U651)</f>
        <v/>
      </c>
      <c r="AU651">
        <f>AT651&amp;IF($V651="","",", "&amp;$V651)</f>
        <v/>
      </c>
      <c r="AV651">
        <f>AU651&amp;IF($W651="","",", "&amp;$W651)</f>
        <v/>
      </c>
      <c r="AW651">
        <f>AV651&amp;IF($X651="","",", "&amp;$X651)</f>
        <v/>
      </c>
      <c r="AX651">
        <f>AW651&amp;IF($Y651="","",", "&amp;$Y651)</f>
        <v/>
      </c>
    </row>
    <row r="652">
      <c r="A652" s="118">
        <f>IF($B652="","",COUNT($B$5:$B652))</f>
        <v/>
      </c>
      <c r="B652" s="80" t="n"/>
      <c r="C652" s="80" t="n"/>
      <c r="D652" s="74" t="n"/>
      <c r="E652" s="74" t="n"/>
      <c r="F652" s="74" t="n"/>
      <c r="G652" s="118">
        <f>IF($F652="","",COUNTIF($F$5:$F652,$F652))</f>
        <v/>
      </c>
      <c r="H652" s="33">
        <f>IF($F652="","",IFERROR(INDEX(사건마스터!$B$5:$B$64,MATCH($F652,사건마스터!$A$5:$A$64,0)),""))</f>
        <v/>
      </c>
      <c r="I652" s="130">
        <f>IF($F652="","",IFERROR(INDEX(사건마스터!$C$5:$C$64,MATCH($F652,사건마스터!$A$5:$A$64,0)),""))</f>
        <v/>
      </c>
      <c r="J652" s="136">
        <f>IF($F652="","",IFERROR(INDEX(사건마스터!$H$5:$H$64,MATCH($F652,사건마스터!$A$5:$A$64,0)),""))</f>
        <v/>
      </c>
      <c r="K652" s="136">
        <f>IF($F652="","",IFERROR(INDEX(사건마스터!$AH$5:$AH$64,MATCH($F652,사건마스터!$A$5:$A$64,0)),""))</f>
        <v/>
      </c>
      <c r="L652" s="136">
        <f>IF($F652="","",IFERROR(INDEX(사건마스터!$AI$5:$AI$64,MATCH($F652,사건마스터!$A$5:$A$64,0)),""))</f>
        <v/>
      </c>
      <c r="M652" s="136">
        <f>IF($F652="","",IFERROR(INDEX(사건마스터!$AJ$5:$AJ$64,MATCH($F652,사건마스터!$A$5:$A$64,0)),""))</f>
        <v/>
      </c>
      <c r="N652" s="136">
        <f>IF($F652="","",IFERROR(INDEX(사건마스터!$AK$5:$AK$64,MATCH($F652,사건마스터!$A$5:$A$64,0)),""))</f>
        <v/>
      </c>
      <c r="O652" s="136">
        <f>IF($F652="","",IFERROR(INDEX(사건마스터!$AL$5:$AL$64,MATCH($F652,사건마스터!$A$5:$A$64,0)),""))</f>
        <v/>
      </c>
      <c r="P652" s="136">
        <f>IF($F652="","",IFERROR(INDEX(사건마스터!$AM$5:$AM$64,MATCH($F652,사건마스터!$A$5:$A$64,0)),""))</f>
        <v/>
      </c>
      <c r="Q652" s="136">
        <f>IF($F652="","",IFERROR(INDEX(사건마스터!$AN$5:$AN$64,MATCH($F652,사건마스터!$A$5:$A$64,0)),""))</f>
        <v/>
      </c>
      <c r="R652" s="136">
        <f>IF($F652="","",IFERROR(INDEX(사건마스터!$AO$5:$AO$64,MATCH($F652,사건마스터!$A$5:$A$64,0)),""))</f>
        <v/>
      </c>
      <c r="S652" s="136">
        <f>IF($F652="","",IFERROR(INDEX(사건마스터!$AP$5:$AP$64,MATCH($F652,사건마스터!$A$5:$A$64,0)),""))</f>
        <v/>
      </c>
      <c r="T652" s="136">
        <f>IF($F652="","",IFERROR(INDEX(사건마스터!$AQ$5:$AQ$64,MATCH($F652,사건마스터!$A$5:$A$64,0)),""))</f>
        <v/>
      </c>
      <c r="U652" s="136">
        <f>IF($F652="","",IFERROR(INDEX(사건마스터!$AR$5:$AR$64,MATCH($F652,사건마스터!$A$5:$A$64,0)),""))</f>
        <v/>
      </c>
      <c r="V652" s="136">
        <f>IF($F652="","",IFERROR(INDEX(사건마스터!$AS$5:$AS$64,MATCH($F652,사건마스터!$A$5:$A$64,0)),""))</f>
        <v/>
      </c>
      <c r="W652" s="136">
        <f>IF($F652="","",IFERROR(INDEX(사건마스터!$AT$5:$AT$64,MATCH($F652,사건마스터!$A$5:$A$64,0)),""))</f>
        <v/>
      </c>
      <c r="X652" s="136">
        <f>IF($F652="","",IFERROR(INDEX(사건마스터!$AU$5:$AU$64,MATCH($F652,사건마스터!$A$5:$A$64,0)),""))</f>
        <v/>
      </c>
      <c r="Y652" s="136">
        <f>IF($F652="","",IFERROR(INDEX(사건마스터!$AV$5:$AV$64,MATCH($F652,사건마스터!$A$5:$A$64,0)),""))</f>
        <v/>
      </c>
      <c r="Z652" s="118">
        <f>IF(COUNTBLANK($J652:$Y652)=16,"",16-COUNTBLANK($J652:$Y652))</f>
        <v/>
      </c>
      <c r="AA652" s="33">
        <f>IF($J652="",MID($AX652,3,255),$J652&amp;$AX652)</f>
        <v/>
      </c>
      <c r="AB652" s="130">
        <f>IF($J652="","",IFERROR(INDEX(코드설정!$D$5:$D$24,MATCH($J652,코드설정!$C$5:$C$24,0)),""))</f>
        <v/>
      </c>
      <c r="AC652" s="36" t="n"/>
      <c r="AD652" s="37" t="n"/>
      <c r="AE652" s="38" t="n"/>
      <c r="AF652" s="118">
        <f>IF(OR($B652="",$C652=""),"",$C652-$B652+1)</f>
        <v/>
      </c>
      <c r="AG652" s="74" t="n"/>
      <c r="AH652" s="36" t="n"/>
      <c r="AJ652">
        <f>IF($K652="","",", "&amp;$K652)</f>
        <v/>
      </c>
      <c r="AK652">
        <f>AJ652&amp;IF($L652="","",", "&amp;$L652)</f>
        <v/>
      </c>
      <c r="AL652">
        <f>AK652&amp;IF($M652="","",", "&amp;$M652)</f>
        <v/>
      </c>
      <c r="AM652">
        <f>AL652&amp;IF($N652="","",", "&amp;$N652)</f>
        <v/>
      </c>
      <c r="AN652">
        <f>AM652&amp;IF($O652="","",", "&amp;$O652)</f>
        <v/>
      </c>
      <c r="AO652">
        <f>AN652&amp;IF($P652="","",", "&amp;$P652)</f>
        <v/>
      </c>
      <c r="AP652">
        <f>AO652&amp;IF($Q652="","",", "&amp;$Q652)</f>
        <v/>
      </c>
      <c r="AQ652">
        <f>AP652&amp;IF($R652="","",", "&amp;$R652)</f>
        <v/>
      </c>
      <c r="AR652">
        <f>AQ652&amp;IF($S652="","",", "&amp;$S652)</f>
        <v/>
      </c>
      <c r="AS652">
        <f>AR652&amp;IF($T652="","",", "&amp;$T652)</f>
        <v/>
      </c>
      <c r="AT652">
        <f>AS652&amp;IF($U652="","",", "&amp;$U652)</f>
        <v/>
      </c>
      <c r="AU652">
        <f>AT652&amp;IF($V652="","",", "&amp;$V652)</f>
        <v/>
      </c>
      <c r="AV652">
        <f>AU652&amp;IF($W652="","",", "&amp;$W652)</f>
        <v/>
      </c>
      <c r="AW652">
        <f>AV652&amp;IF($X652="","",", "&amp;$X652)</f>
        <v/>
      </c>
      <c r="AX652">
        <f>AW652&amp;IF($Y652="","",", "&amp;$Y652)</f>
        <v/>
      </c>
    </row>
    <row r="653">
      <c r="A653" s="118">
        <f>IF($B653="","",COUNT($B$5:$B653))</f>
        <v/>
      </c>
      <c r="B653" s="80" t="n"/>
      <c r="C653" s="80" t="n"/>
      <c r="D653" s="74" t="n"/>
      <c r="E653" s="74" t="n"/>
      <c r="F653" s="74" t="n"/>
      <c r="G653" s="118">
        <f>IF($F653="","",COUNTIF($F$5:$F653,$F653))</f>
        <v/>
      </c>
      <c r="H653" s="33">
        <f>IF($F653="","",IFERROR(INDEX(사건마스터!$B$5:$B$64,MATCH($F653,사건마스터!$A$5:$A$64,0)),""))</f>
        <v/>
      </c>
      <c r="I653" s="130">
        <f>IF($F653="","",IFERROR(INDEX(사건마스터!$C$5:$C$64,MATCH($F653,사건마스터!$A$5:$A$64,0)),""))</f>
        <v/>
      </c>
      <c r="J653" s="136">
        <f>IF($F653="","",IFERROR(INDEX(사건마스터!$H$5:$H$64,MATCH($F653,사건마스터!$A$5:$A$64,0)),""))</f>
        <v/>
      </c>
      <c r="K653" s="136">
        <f>IF($F653="","",IFERROR(INDEX(사건마스터!$AH$5:$AH$64,MATCH($F653,사건마스터!$A$5:$A$64,0)),""))</f>
        <v/>
      </c>
      <c r="L653" s="136">
        <f>IF($F653="","",IFERROR(INDEX(사건마스터!$AI$5:$AI$64,MATCH($F653,사건마스터!$A$5:$A$64,0)),""))</f>
        <v/>
      </c>
      <c r="M653" s="136">
        <f>IF($F653="","",IFERROR(INDEX(사건마스터!$AJ$5:$AJ$64,MATCH($F653,사건마스터!$A$5:$A$64,0)),""))</f>
        <v/>
      </c>
      <c r="N653" s="136">
        <f>IF($F653="","",IFERROR(INDEX(사건마스터!$AK$5:$AK$64,MATCH($F653,사건마스터!$A$5:$A$64,0)),""))</f>
        <v/>
      </c>
      <c r="O653" s="136">
        <f>IF($F653="","",IFERROR(INDEX(사건마스터!$AL$5:$AL$64,MATCH($F653,사건마스터!$A$5:$A$64,0)),""))</f>
        <v/>
      </c>
      <c r="P653" s="136">
        <f>IF($F653="","",IFERROR(INDEX(사건마스터!$AM$5:$AM$64,MATCH($F653,사건마스터!$A$5:$A$64,0)),""))</f>
        <v/>
      </c>
      <c r="Q653" s="136">
        <f>IF($F653="","",IFERROR(INDEX(사건마스터!$AN$5:$AN$64,MATCH($F653,사건마스터!$A$5:$A$64,0)),""))</f>
        <v/>
      </c>
      <c r="R653" s="136">
        <f>IF($F653="","",IFERROR(INDEX(사건마스터!$AO$5:$AO$64,MATCH($F653,사건마스터!$A$5:$A$64,0)),""))</f>
        <v/>
      </c>
      <c r="S653" s="136">
        <f>IF($F653="","",IFERROR(INDEX(사건마스터!$AP$5:$AP$64,MATCH($F653,사건마스터!$A$5:$A$64,0)),""))</f>
        <v/>
      </c>
      <c r="T653" s="136">
        <f>IF($F653="","",IFERROR(INDEX(사건마스터!$AQ$5:$AQ$64,MATCH($F653,사건마스터!$A$5:$A$64,0)),""))</f>
        <v/>
      </c>
      <c r="U653" s="136">
        <f>IF($F653="","",IFERROR(INDEX(사건마스터!$AR$5:$AR$64,MATCH($F653,사건마스터!$A$5:$A$64,0)),""))</f>
        <v/>
      </c>
      <c r="V653" s="136">
        <f>IF($F653="","",IFERROR(INDEX(사건마스터!$AS$5:$AS$64,MATCH($F653,사건마스터!$A$5:$A$64,0)),""))</f>
        <v/>
      </c>
      <c r="W653" s="136">
        <f>IF($F653="","",IFERROR(INDEX(사건마스터!$AT$5:$AT$64,MATCH($F653,사건마스터!$A$5:$A$64,0)),""))</f>
        <v/>
      </c>
      <c r="X653" s="136">
        <f>IF($F653="","",IFERROR(INDEX(사건마스터!$AU$5:$AU$64,MATCH($F653,사건마스터!$A$5:$A$64,0)),""))</f>
        <v/>
      </c>
      <c r="Y653" s="136">
        <f>IF($F653="","",IFERROR(INDEX(사건마스터!$AV$5:$AV$64,MATCH($F653,사건마스터!$A$5:$A$64,0)),""))</f>
        <v/>
      </c>
      <c r="Z653" s="118">
        <f>IF(COUNTBLANK($J653:$Y653)=16,"",16-COUNTBLANK($J653:$Y653))</f>
        <v/>
      </c>
      <c r="AA653" s="33">
        <f>IF($J653="",MID($AX653,3,255),$J653&amp;$AX653)</f>
        <v/>
      </c>
      <c r="AB653" s="130">
        <f>IF($J653="","",IFERROR(INDEX(코드설정!$D$5:$D$24,MATCH($J653,코드설정!$C$5:$C$24,0)),""))</f>
        <v/>
      </c>
      <c r="AC653" s="36" t="n"/>
      <c r="AD653" s="37" t="n"/>
      <c r="AE653" s="38" t="n"/>
      <c r="AF653" s="118">
        <f>IF(OR($B653="",$C653=""),"",$C653-$B653+1)</f>
        <v/>
      </c>
      <c r="AG653" s="74" t="n"/>
      <c r="AH653" s="36" t="n"/>
      <c r="AJ653">
        <f>IF($K653="","",", "&amp;$K653)</f>
        <v/>
      </c>
      <c r="AK653">
        <f>AJ653&amp;IF($L653="","",", "&amp;$L653)</f>
        <v/>
      </c>
      <c r="AL653">
        <f>AK653&amp;IF($M653="","",", "&amp;$M653)</f>
        <v/>
      </c>
      <c r="AM653">
        <f>AL653&amp;IF($N653="","",", "&amp;$N653)</f>
        <v/>
      </c>
      <c r="AN653">
        <f>AM653&amp;IF($O653="","",", "&amp;$O653)</f>
        <v/>
      </c>
      <c r="AO653">
        <f>AN653&amp;IF($P653="","",", "&amp;$P653)</f>
        <v/>
      </c>
      <c r="AP653">
        <f>AO653&amp;IF($Q653="","",", "&amp;$Q653)</f>
        <v/>
      </c>
      <c r="AQ653">
        <f>AP653&amp;IF($R653="","",", "&amp;$R653)</f>
        <v/>
      </c>
      <c r="AR653">
        <f>AQ653&amp;IF($S653="","",", "&amp;$S653)</f>
        <v/>
      </c>
      <c r="AS653">
        <f>AR653&amp;IF($T653="","",", "&amp;$T653)</f>
        <v/>
      </c>
      <c r="AT653">
        <f>AS653&amp;IF($U653="","",", "&amp;$U653)</f>
        <v/>
      </c>
      <c r="AU653">
        <f>AT653&amp;IF($V653="","",", "&amp;$V653)</f>
        <v/>
      </c>
      <c r="AV653">
        <f>AU653&amp;IF($W653="","",", "&amp;$W653)</f>
        <v/>
      </c>
      <c r="AW653">
        <f>AV653&amp;IF($X653="","",", "&amp;$X653)</f>
        <v/>
      </c>
      <c r="AX653">
        <f>AW653&amp;IF($Y653="","",", "&amp;$Y653)</f>
        <v/>
      </c>
    </row>
    <row r="654">
      <c r="A654" s="118">
        <f>IF($B654="","",COUNT($B$5:$B654))</f>
        <v/>
      </c>
      <c r="B654" s="80" t="n"/>
      <c r="C654" s="80" t="n"/>
      <c r="D654" s="74" t="n"/>
      <c r="E654" s="74" t="n"/>
      <c r="F654" s="74" t="n"/>
      <c r="G654" s="118">
        <f>IF($F654="","",COUNTIF($F$5:$F654,$F654))</f>
        <v/>
      </c>
      <c r="H654" s="33">
        <f>IF($F654="","",IFERROR(INDEX(사건마스터!$B$5:$B$64,MATCH($F654,사건마스터!$A$5:$A$64,0)),""))</f>
        <v/>
      </c>
      <c r="I654" s="130">
        <f>IF($F654="","",IFERROR(INDEX(사건마스터!$C$5:$C$64,MATCH($F654,사건마스터!$A$5:$A$64,0)),""))</f>
        <v/>
      </c>
      <c r="J654" s="136">
        <f>IF($F654="","",IFERROR(INDEX(사건마스터!$H$5:$H$64,MATCH($F654,사건마스터!$A$5:$A$64,0)),""))</f>
        <v/>
      </c>
      <c r="K654" s="136">
        <f>IF($F654="","",IFERROR(INDEX(사건마스터!$AH$5:$AH$64,MATCH($F654,사건마스터!$A$5:$A$64,0)),""))</f>
        <v/>
      </c>
      <c r="L654" s="136">
        <f>IF($F654="","",IFERROR(INDEX(사건마스터!$AI$5:$AI$64,MATCH($F654,사건마스터!$A$5:$A$64,0)),""))</f>
        <v/>
      </c>
      <c r="M654" s="136">
        <f>IF($F654="","",IFERROR(INDEX(사건마스터!$AJ$5:$AJ$64,MATCH($F654,사건마스터!$A$5:$A$64,0)),""))</f>
        <v/>
      </c>
      <c r="N654" s="136">
        <f>IF($F654="","",IFERROR(INDEX(사건마스터!$AK$5:$AK$64,MATCH($F654,사건마스터!$A$5:$A$64,0)),""))</f>
        <v/>
      </c>
      <c r="O654" s="136">
        <f>IF($F654="","",IFERROR(INDEX(사건마스터!$AL$5:$AL$64,MATCH($F654,사건마스터!$A$5:$A$64,0)),""))</f>
        <v/>
      </c>
      <c r="P654" s="136">
        <f>IF($F654="","",IFERROR(INDEX(사건마스터!$AM$5:$AM$64,MATCH($F654,사건마스터!$A$5:$A$64,0)),""))</f>
        <v/>
      </c>
      <c r="Q654" s="136">
        <f>IF($F654="","",IFERROR(INDEX(사건마스터!$AN$5:$AN$64,MATCH($F654,사건마스터!$A$5:$A$64,0)),""))</f>
        <v/>
      </c>
      <c r="R654" s="136">
        <f>IF($F654="","",IFERROR(INDEX(사건마스터!$AO$5:$AO$64,MATCH($F654,사건마스터!$A$5:$A$64,0)),""))</f>
        <v/>
      </c>
      <c r="S654" s="136">
        <f>IF($F654="","",IFERROR(INDEX(사건마스터!$AP$5:$AP$64,MATCH($F654,사건마스터!$A$5:$A$64,0)),""))</f>
        <v/>
      </c>
      <c r="T654" s="136">
        <f>IF($F654="","",IFERROR(INDEX(사건마스터!$AQ$5:$AQ$64,MATCH($F654,사건마스터!$A$5:$A$64,0)),""))</f>
        <v/>
      </c>
      <c r="U654" s="136">
        <f>IF($F654="","",IFERROR(INDEX(사건마스터!$AR$5:$AR$64,MATCH($F654,사건마스터!$A$5:$A$64,0)),""))</f>
        <v/>
      </c>
      <c r="V654" s="136">
        <f>IF($F654="","",IFERROR(INDEX(사건마스터!$AS$5:$AS$64,MATCH($F654,사건마스터!$A$5:$A$64,0)),""))</f>
        <v/>
      </c>
      <c r="W654" s="136">
        <f>IF($F654="","",IFERROR(INDEX(사건마스터!$AT$5:$AT$64,MATCH($F654,사건마스터!$A$5:$A$64,0)),""))</f>
        <v/>
      </c>
      <c r="X654" s="136">
        <f>IF($F654="","",IFERROR(INDEX(사건마스터!$AU$5:$AU$64,MATCH($F654,사건마스터!$A$5:$A$64,0)),""))</f>
        <v/>
      </c>
      <c r="Y654" s="136">
        <f>IF($F654="","",IFERROR(INDEX(사건마스터!$AV$5:$AV$64,MATCH($F654,사건마스터!$A$5:$A$64,0)),""))</f>
        <v/>
      </c>
      <c r="Z654" s="118">
        <f>IF(COUNTBLANK($J654:$Y654)=16,"",16-COUNTBLANK($J654:$Y654))</f>
        <v/>
      </c>
      <c r="AA654" s="33">
        <f>IF($J654="",MID($AX654,3,255),$J654&amp;$AX654)</f>
        <v/>
      </c>
      <c r="AB654" s="130">
        <f>IF($J654="","",IFERROR(INDEX(코드설정!$D$5:$D$24,MATCH($J654,코드설정!$C$5:$C$24,0)),""))</f>
        <v/>
      </c>
      <c r="AC654" s="36" t="n"/>
      <c r="AD654" s="37" t="n"/>
      <c r="AE654" s="38" t="n"/>
      <c r="AF654" s="118">
        <f>IF(OR($B654="",$C654=""),"",$C654-$B654+1)</f>
        <v/>
      </c>
      <c r="AG654" s="74" t="n"/>
      <c r="AH654" s="36" t="n"/>
      <c r="AJ654">
        <f>IF($K654="","",", "&amp;$K654)</f>
        <v/>
      </c>
      <c r="AK654">
        <f>AJ654&amp;IF($L654="","",", "&amp;$L654)</f>
        <v/>
      </c>
      <c r="AL654">
        <f>AK654&amp;IF($M654="","",", "&amp;$M654)</f>
        <v/>
      </c>
      <c r="AM654">
        <f>AL654&amp;IF($N654="","",", "&amp;$N654)</f>
        <v/>
      </c>
      <c r="AN654">
        <f>AM654&amp;IF($O654="","",", "&amp;$O654)</f>
        <v/>
      </c>
      <c r="AO654">
        <f>AN654&amp;IF($P654="","",", "&amp;$P654)</f>
        <v/>
      </c>
      <c r="AP654">
        <f>AO654&amp;IF($Q654="","",", "&amp;$Q654)</f>
        <v/>
      </c>
      <c r="AQ654">
        <f>AP654&amp;IF($R654="","",", "&amp;$R654)</f>
        <v/>
      </c>
      <c r="AR654">
        <f>AQ654&amp;IF($S654="","",", "&amp;$S654)</f>
        <v/>
      </c>
      <c r="AS654">
        <f>AR654&amp;IF($T654="","",", "&amp;$T654)</f>
        <v/>
      </c>
      <c r="AT654">
        <f>AS654&amp;IF($U654="","",", "&amp;$U654)</f>
        <v/>
      </c>
      <c r="AU654">
        <f>AT654&amp;IF($V654="","",", "&amp;$V654)</f>
        <v/>
      </c>
      <c r="AV654">
        <f>AU654&amp;IF($W654="","",", "&amp;$W654)</f>
        <v/>
      </c>
      <c r="AW654">
        <f>AV654&amp;IF($X654="","",", "&amp;$X654)</f>
        <v/>
      </c>
      <c r="AX654">
        <f>AW654&amp;IF($Y654="","",", "&amp;$Y654)</f>
        <v/>
      </c>
    </row>
    <row r="655">
      <c r="A655" s="118">
        <f>IF($B655="","",COUNT($B$5:$B655))</f>
        <v/>
      </c>
      <c r="B655" s="80" t="n"/>
      <c r="C655" s="80" t="n"/>
      <c r="D655" s="74" t="n"/>
      <c r="E655" s="74" t="n"/>
      <c r="F655" s="74" t="n"/>
      <c r="G655" s="118">
        <f>IF($F655="","",COUNTIF($F$5:$F655,$F655))</f>
        <v/>
      </c>
      <c r="H655" s="33">
        <f>IF($F655="","",IFERROR(INDEX(사건마스터!$B$5:$B$64,MATCH($F655,사건마스터!$A$5:$A$64,0)),""))</f>
        <v/>
      </c>
      <c r="I655" s="130">
        <f>IF($F655="","",IFERROR(INDEX(사건마스터!$C$5:$C$64,MATCH($F655,사건마스터!$A$5:$A$64,0)),""))</f>
        <v/>
      </c>
      <c r="J655" s="136">
        <f>IF($F655="","",IFERROR(INDEX(사건마스터!$H$5:$H$64,MATCH($F655,사건마스터!$A$5:$A$64,0)),""))</f>
        <v/>
      </c>
      <c r="K655" s="136">
        <f>IF($F655="","",IFERROR(INDEX(사건마스터!$AH$5:$AH$64,MATCH($F655,사건마스터!$A$5:$A$64,0)),""))</f>
        <v/>
      </c>
      <c r="L655" s="136">
        <f>IF($F655="","",IFERROR(INDEX(사건마스터!$AI$5:$AI$64,MATCH($F655,사건마스터!$A$5:$A$64,0)),""))</f>
        <v/>
      </c>
      <c r="M655" s="136">
        <f>IF($F655="","",IFERROR(INDEX(사건마스터!$AJ$5:$AJ$64,MATCH($F655,사건마스터!$A$5:$A$64,0)),""))</f>
        <v/>
      </c>
      <c r="N655" s="136">
        <f>IF($F655="","",IFERROR(INDEX(사건마스터!$AK$5:$AK$64,MATCH($F655,사건마스터!$A$5:$A$64,0)),""))</f>
        <v/>
      </c>
      <c r="O655" s="136">
        <f>IF($F655="","",IFERROR(INDEX(사건마스터!$AL$5:$AL$64,MATCH($F655,사건마스터!$A$5:$A$64,0)),""))</f>
        <v/>
      </c>
      <c r="P655" s="136">
        <f>IF($F655="","",IFERROR(INDEX(사건마스터!$AM$5:$AM$64,MATCH($F655,사건마스터!$A$5:$A$64,0)),""))</f>
        <v/>
      </c>
      <c r="Q655" s="136">
        <f>IF($F655="","",IFERROR(INDEX(사건마스터!$AN$5:$AN$64,MATCH($F655,사건마스터!$A$5:$A$64,0)),""))</f>
        <v/>
      </c>
      <c r="R655" s="136">
        <f>IF($F655="","",IFERROR(INDEX(사건마스터!$AO$5:$AO$64,MATCH($F655,사건마스터!$A$5:$A$64,0)),""))</f>
        <v/>
      </c>
      <c r="S655" s="136">
        <f>IF($F655="","",IFERROR(INDEX(사건마스터!$AP$5:$AP$64,MATCH($F655,사건마스터!$A$5:$A$64,0)),""))</f>
        <v/>
      </c>
      <c r="T655" s="136">
        <f>IF($F655="","",IFERROR(INDEX(사건마스터!$AQ$5:$AQ$64,MATCH($F655,사건마스터!$A$5:$A$64,0)),""))</f>
        <v/>
      </c>
      <c r="U655" s="136">
        <f>IF($F655="","",IFERROR(INDEX(사건마스터!$AR$5:$AR$64,MATCH($F655,사건마스터!$A$5:$A$64,0)),""))</f>
        <v/>
      </c>
      <c r="V655" s="136">
        <f>IF($F655="","",IFERROR(INDEX(사건마스터!$AS$5:$AS$64,MATCH($F655,사건마스터!$A$5:$A$64,0)),""))</f>
        <v/>
      </c>
      <c r="W655" s="136">
        <f>IF($F655="","",IFERROR(INDEX(사건마스터!$AT$5:$AT$64,MATCH($F655,사건마스터!$A$5:$A$64,0)),""))</f>
        <v/>
      </c>
      <c r="X655" s="136">
        <f>IF($F655="","",IFERROR(INDEX(사건마스터!$AU$5:$AU$64,MATCH($F655,사건마스터!$A$5:$A$64,0)),""))</f>
        <v/>
      </c>
      <c r="Y655" s="136">
        <f>IF($F655="","",IFERROR(INDEX(사건마스터!$AV$5:$AV$64,MATCH($F655,사건마스터!$A$5:$A$64,0)),""))</f>
        <v/>
      </c>
      <c r="Z655" s="118">
        <f>IF(COUNTBLANK($J655:$Y655)=16,"",16-COUNTBLANK($J655:$Y655))</f>
        <v/>
      </c>
      <c r="AA655" s="33">
        <f>IF($J655="",MID($AX655,3,255),$J655&amp;$AX655)</f>
        <v/>
      </c>
      <c r="AB655" s="130">
        <f>IF($J655="","",IFERROR(INDEX(코드설정!$D$5:$D$24,MATCH($J655,코드설정!$C$5:$C$24,0)),""))</f>
        <v/>
      </c>
      <c r="AC655" s="36" t="n"/>
      <c r="AD655" s="37" t="n"/>
      <c r="AE655" s="38" t="n"/>
      <c r="AF655" s="118">
        <f>IF(OR($B655="",$C655=""),"",$C655-$B655+1)</f>
        <v/>
      </c>
      <c r="AG655" s="74" t="n"/>
      <c r="AH655" s="36" t="n"/>
      <c r="AJ655">
        <f>IF($K655="","",", "&amp;$K655)</f>
        <v/>
      </c>
      <c r="AK655">
        <f>AJ655&amp;IF($L655="","",", "&amp;$L655)</f>
        <v/>
      </c>
      <c r="AL655">
        <f>AK655&amp;IF($M655="","",", "&amp;$M655)</f>
        <v/>
      </c>
      <c r="AM655">
        <f>AL655&amp;IF($N655="","",", "&amp;$N655)</f>
        <v/>
      </c>
      <c r="AN655">
        <f>AM655&amp;IF($O655="","",", "&amp;$O655)</f>
        <v/>
      </c>
      <c r="AO655">
        <f>AN655&amp;IF($P655="","",", "&amp;$P655)</f>
        <v/>
      </c>
      <c r="AP655">
        <f>AO655&amp;IF($Q655="","",", "&amp;$Q655)</f>
        <v/>
      </c>
      <c r="AQ655">
        <f>AP655&amp;IF($R655="","",", "&amp;$R655)</f>
        <v/>
      </c>
      <c r="AR655">
        <f>AQ655&amp;IF($S655="","",", "&amp;$S655)</f>
        <v/>
      </c>
      <c r="AS655">
        <f>AR655&amp;IF($T655="","",", "&amp;$T655)</f>
        <v/>
      </c>
      <c r="AT655">
        <f>AS655&amp;IF($U655="","",", "&amp;$U655)</f>
        <v/>
      </c>
      <c r="AU655">
        <f>AT655&amp;IF($V655="","",", "&amp;$V655)</f>
        <v/>
      </c>
      <c r="AV655">
        <f>AU655&amp;IF($W655="","",", "&amp;$W655)</f>
        <v/>
      </c>
      <c r="AW655">
        <f>AV655&amp;IF($X655="","",", "&amp;$X655)</f>
        <v/>
      </c>
      <c r="AX655">
        <f>AW655&amp;IF($Y655="","",", "&amp;$Y655)</f>
        <v/>
      </c>
    </row>
    <row r="656">
      <c r="A656" s="118">
        <f>IF($B656="","",COUNT($B$5:$B656))</f>
        <v/>
      </c>
      <c r="B656" s="80" t="n"/>
      <c r="C656" s="80" t="n"/>
      <c r="D656" s="74" t="n"/>
      <c r="E656" s="74" t="n"/>
      <c r="F656" s="74" t="n"/>
      <c r="G656" s="118">
        <f>IF($F656="","",COUNTIF($F$5:$F656,$F656))</f>
        <v/>
      </c>
      <c r="H656" s="33">
        <f>IF($F656="","",IFERROR(INDEX(사건마스터!$B$5:$B$64,MATCH($F656,사건마스터!$A$5:$A$64,0)),""))</f>
        <v/>
      </c>
      <c r="I656" s="130">
        <f>IF($F656="","",IFERROR(INDEX(사건마스터!$C$5:$C$64,MATCH($F656,사건마스터!$A$5:$A$64,0)),""))</f>
        <v/>
      </c>
      <c r="J656" s="136">
        <f>IF($F656="","",IFERROR(INDEX(사건마스터!$H$5:$H$64,MATCH($F656,사건마스터!$A$5:$A$64,0)),""))</f>
        <v/>
      </c>
      <c r="K656" s="136">
        <f>IF($F656="","",IFERROR(INDEX(사건마스터!$AH$5:$AH$64,MATCH($F656,사건마스터!$A$5:$A$64,0)),""))</f>
        <v/>
      </c>
      <c r="L656" s="136">
        <f>IF($F656="","",IFERROR(INDEX(사건마스터!$AI$5:$AI$64,MATCH($F656,사건마스터!$A$5:$A$64,0)),""))</f>
        <v/>
      </c>
      <c r="M656" s="136">
        <f>IF($F656="","",IFERROR(INDEX(사건마스터!$AJ$5:$AJ$64,MATCH($F656,사건마스터!$A$5:$A$64,0)),""))</f>
        <v/>
      </c>
      <c r="N656" s="136">
        <f>IF($F656="","",IFERROR(INDEX(사건마스터!$AK$5:$AK$64,MATCH($F656,사건마스터!$A$5:$A$64,0)),""))</f>
        <v/>
      </c>
      <c r="O656" s="136">
        <f>IF($F656="","",IFERROR(INDEX(사건마스터!$AL$5:$AL$64,MATCH($F656,사건마스터!$A$5:$A$64,0)),""))</f>
        <v/>
      </c>
      <c r="P656" s="136">
        <f>IF($F656="","",IFERROR(INDEX(사건마스터!$AM$5:$AM$64,MATCH($F656,사건마스터!$A$5:$A$64,0)),""))</f>
        <v/>
      </c>
      <c r="Q656" s="136">
        <f>IF($F656="","",IFERROR(INDEX(사건마스터!$AN$5:$AN$64,MATCH($F656,사건마스터!$A$5:$A$64,0)),""))</f>
        <v/>
      </c>
      <c r="R656" s="136">
        <f>IF($F656="","",IFERROR(INDEX(사건마스터!$AO$5:$AO$64,MATCH($F656,사건마스터!$A$5:$A$64,0)),""))</f>
        <v/>
      </c>
      <c r="S656" s="136">
        <f>IF($F656="","",IFERROR(INDEX(사건마스터!$AP$5:$AP$64,MATCH($F656,사건마스터!$A$5:$A$64,0)),""))</f>
        <v/>
      </c>
      <c r="T656" s="136">
        <f>IF($F656="","",IFERROR(INDEX(사건마스터!$AQ$5:$AQ$64,MATCH($F656,사건마스터!$A$5:$A$64,0)),""))</f>
        <v/>
      </c>
      <c r="U656" s="136">
        <f>IF($F656="","",IFERROR(INDEX(사건마스터!$AR$5:$AR$64,MATCH($F656,사건마스터!$A$5:$A$64,0)),""))</f>
        <v/>
      </c>
      <c r="V656" s="136">
        <f>IF($F656="","",IFERROR(INDEX(사건마스터!$AS$5:$AS$64,MATCH($F656,사건마스터!$A$5:$A$64,0)),""))</f>
        <v/>
      </c>
      <c r="W656" s="136">
        <f>IF($F656="","",IFERROR(INDEX(사건마스터!$AT$5:$AT$64,MATCH($F656,사건마스터!$A$5:$A$64,0)),""))</f>
        <v/>
      </c>
      <c r="X656" s="136">
        <f>IF($F656="","",IFERROR(INDEX(사건마스터!$AU$5:$AU$64,MATCH($F656,사건마스터!$A$5:$A$64,0)),""))</f>
        <v/>
      </c>
      <c r="Y656" s="136">
        <f>IF($F656="","",IFERROR(INDEX(사건마스터!$AV$5:$AV$64,MATCH($F656,사건마스터!$A$5:$A$64,0)),""))</f>
        <v/>
      </c>
      <c r="Z656" s="118">
        <f>IF(COUNTBLANK($J656:$Y656)=16,"",16-COUNTBLANK($J656:$Y656))</f>
        <v/>
      </c>
      <c r="AA656" s="33">
        <f>IF($J656="",MID($AX656,3,255),$J656&amp;$AX656)</f>
        <v/>
      </c>
      <c r="AB656" s="130">
        <f>IF($J656="","",IFERROR(INDEX(코드설정!$D$5:$D$24,MATCH($J656,코드설정!$C$5:$C$24,0)),""))</f>
        <v/>
      </c>
      <c r="AC656" s="36" t="n"/>
      <c r="AD656" s="37" t="n"/>
      <c r="AE656" s="38" t="n"/>
      <c r="AF656" s="118">
        <f>IF(OR($B656="",$C656=""),"",$C656-$B656+1)</f>
        <v/>
      </c>
      <c r="AG656" s="74" t="n"/>
      <c r="AH656" s="36" t="n"/>
      <c r="AJ656">
        <f>IF($K656="","",", "&amp;$K656)</f>
        <v/>
      </c>
      <c r="AK656">
        <f>AJ656&amp;IF($L656="","",", "&amp;$L656)</f>
        <v/>
      </c>
      <c r="AL656">
        <f>AK656&amp;IF($M656="","",", "&amp;$M656)</f>
        <v/>
      </c>
      <c r="AM656">
        <f>AL656&amp;IF($N656="","",", "&amp;$N656)</f>
        <v/>
      </c>
      <c r="AN656">
        <f>AM656&amp;IF($O656="","",", "&amp;$O656)</f>
        <v/>
      </c>
      <c r="AO656">
        <f>AN656&amp;IF($P656="","",", "&amp;$P656)</f>
        <v/>
      </c>
      <c r="AP656">
        <f>AO656&amp;IF($Q656="","",", "&amp;$Q656)</f>
        <v/>
      </c>
      <c r="AQ656">
        <f>AP656&amp;IF($R656="","",", "&amp;$R656)</f>
        <v/>
      </c>
      <c r="AR656">
        <f>AQ656&amp;IF($S656="","",", "&amp;$S656)</f>
        <v/>
      </c>
      <c r="AS656">
        <f>AR656&amp;IF($T656="","",", "&amp;$T656)</f>
        <v/>
      </c>
      <c r="AT656">
        <f>AS656&amp;IF($U656="","",", "&amp;$U656)</f>
        <v/>
      </c>
      <c r="AU656">
        <f>AT656&amp;IF($V656="","",", "&amp;$V656)</f>
        <v/>
      </c>
      <c r="AV656">
        <f>AU656&amp;IF($W656="","",", "&amp;$W656)</f>
        <v/>
      </c>
      <c r="AW656">
        <f>AV656&amp;IF($X656="","",", "&amp;$X656)</f>
        <v/>
      </c>
      <c r="AX656">
        <f>AW656&amp;IF($Y656="","",", "&amp;$Y656)</f>
        <v/>
      </c>
    </row>
    <row r="657">
      <c r="A657" s="118">
        <f>IF($B657="","",COUNT($B$5:$B657))</f>
        <v/>
      </c>
      <c r="B657" s="80" t="n"/>
      <c r="C657" s="80" t="n"/>
      <c r="D657" s="74" t="n"/>
      <c r="E657" s="74" t="n"/>
      <c r="F657" s="74" t="n"/>
      <c r="G657" s="118">
        <f>IF($F657="","",COUNTIF($F$5:$F657,$F657))</f>
        <v/>
      </c>
      <c r="H657" s="33">
        <f>IF($F657="","",IFERROR(INDEX(사건마스터!$B$5:$B$64,MATCH($F657,사건마스터!$A$5:$A$64,0)),""))</f>
        <v/>
      </c>
      <c r="I657" s="130">
        <f>IF($F657="","",IFERROR(INDEX(사건마스터!$C$5:$C$64,MATCH($F657,사건마스터!$A$5:$A$64,0)),""))</f>
        <v/>
      </c>
      <c r="J657" s="136">
        <f>IF($F657="","",IFERROR(INDEX(사건마스터!$H$5:$H$64,MATCH($F657,사건마스터!$A$5:$A$64,0)),""))</f>
        <v/>
      </c>
      <c r="K657" s="136">
        <f>IF($F657="","",IFERROR(INDEX(사건마스터!$AH$5:$AH$64,MATCH($F657,사건마스터!$A$5:$A$64,0)),""))</f>
        <v/>
      </c>
      <c r="L657" s="136">
        <f>IF($F657="","",IFERROR(INDEX(사건마스터!$AI$5:$AI$64,MATCH($F657,사건마스터!$A$5:$A$64,0)),""))</f>
        <v/>
      </c>
      <c r="M657" s="136">
        <f>IF($F657="","",IFERROR(INDEX(사건마스터!$AJ$5:$AJ$64,MATCH($F657,사건마스터!$A$5:$A$64,0)),""))</f>
        <v/>
      </c>
      <c r="N657" s="136">
        <f>IF($F657="","",IFERROR(INDEX(사건마스터!$AK$5:$AK$64,MATCH($F657,사건마스터!$A$5:$A$64,0)),""))</f>
        <v/>
      </c>
      <c r="O657" s="136">
        <f>IF($F657="","",IFERROR(INDEX(사건마스터!$AL$5:$AL$64,MATCH($F657,사건마스터!$A$5:$A$64,0)),""))</f>
        <v/>
      </c>
      <c r="P657" s="136">
        <f>IF($F657="","",IFERROR(INDEX(사건마스터!$AM$5:$AM$64,MATCH($F657,사건마스터!$A$5:$A$64,0)),""))</f>
        <v/>
      </c>
      <c r="Q657" s="136">
        <f>IF($F657="","",IFERROR(INDEX(사건마스터!$AN$5:$AN$64,MATCH($F657,사건마스터!$A$5:$A$64,0)),""))</f>
        <v/>
      </c>
      <c r="R657" s="136">
        <f>IF($F657="","",IFERROR(INDEX(사건마스터!$AO$5:$AO$64,MATCH($F657,사건마스터!$A$5:$A$64,0)),""))</f>
        <v/>
      </c>
      <c r="S657" s="136">
        <f>IF($F657="","",IFERROR(INDEX(사건마스터!$AP$5:$AP$64,MATCH($F657,사건마스터!$A$5:$A$64,0)),""))</f>
        <v/>
      </c>
      <c r="T657" s="136">
        <f>IF($F657="","",IFERROR(INDEX(사건마스터!$AQ$5:$AQ$64,MATCH($F657,사건마스터!$A$5:$A$64,0)),""))</f>
        <v/>
      </c>
      <c r="U657" s="136">
        <f>IF($F657="","",IFERROR(INDEX(사건마스터!$AR$5:$AR$64,MATCH($F657,사건마스터!$A$5:$A$64,0)),""))</f>
        <v/>
      </c>
      <c r="V657" s="136">
        <f>IF($F657="","",IFERROR(INDEX(사건마스터!$AS$5:$AS$64,MATCH($F657,사건마스터!$A$5:$A$64,0)),""))</f>
        <v/>
      </c>
      <c r="W657" s="136">
        <f>IF($F657="","",IFERROR(INDEX(사건마스터!$AT$5:$AT$64,MATCH($F657,사건마스터!$A$5:$A$64,0)),""))</f>
        <v/>
      </c>
      <c r="X657" s="136">
        <f>IF($F657="","",IFERROR(INDEX(사건마스터!$AU$5:$AU$64,MATCH($F657,사건마스터!$A$5:$A$64,0)),""))</f>
        <v/>
      </c>
      <c r="Y657" s="136">
        <f>IF($F657="","",IFERROR(INDEX(사건마스터!$AV$5:$AV$64,MATCH($F657,사건마스터!$A$5:$A$64,0)),""))</f>
        <v/>
      </c>
      <c r="Z657" s="118">
        <f>IF(COUNTBLANK($J657:$Y657)=16,"",16-COUNTBLANK($J657:$Y657))</f>
        <v/>
      </c>
      <c r="AA657" s="33">
        <f>IF($J657="",MID($AX657,3,255),$J657&amp;$AX657)</f>
        <v/>
      </c>
      <c r="AB657" s="130">
        <f>IF($J657="","",IFERROR(INDEX(코드설정!$D$5:$D$24,MATCH($J657,코드설정!$C$5:$C$24,0)),""))</f>
        <v/>
      </c>
      <c r="AC657" s="36" t="n"/>
      <c r="AD657" s="37" t="n"/>
      <c r="AE657" s="38" t="n"/>
      <c r="AF657" s="118">
        <f>IF(OR($B657="",$C657=""),"",$C657-$B657+1)</f>
        <v/>
      </c>
      <c r="AG657" s="74" t="n"/>
      <c r="AH657" s="36" t="n"/>
      <c r="AJ657">
        <f>IF($K657="","",", "&amp;$K657)</f>
        <v/>
      </c>
      <c r="AK657">
        <f>AJ657&amp;IF($L657="","",", "&amp;$L657)</f>
        <v/>
      </c>
      <c r="AL657">
        <f>AK657&amp;IF($M657="","",", "&amp;$M657)</f>
        <v/>
      </c>
      <c r="AM657">
        <f>AL657&amp;IF($N657="","",", "&amp;$N657)</f>
        <v/>
      </c>
      <c r="AN657">
        <f>AM657&amp;IF($O657="","",", "&amp;$O657)</f>
        <v/>
      </c>
      <c r="AO657">
        <f>AN657&amp;IF($P657="","",", "&amp;$P657)</f>
        <v/>
      </c>
      <c r="AP657">
        <f>AO657&amp;IF($Q657="","",", "&amp;$Q657)</f>
        <v/>
      </c>
      <c r="AQ657">
        <f>AP657&amp;IF($R657="","",", "&amp;$R657)</f>
        <v/>
      </c>
      <c r="AR657">
        <f>AQ657&amp;IF($S657="","",", "&amp;$S657)</f>
        <v/>
      </c>
      <c r="AS657">
        <f>AR657&amp;IF($T657="","",", "&amp;$T657)</f>
        <v/>
      </c>
      <c r="AT657">
        <f>AS657&amp;IF($U657="","",", "&amp;$U657)</f>
        <v/>
      </c>
      <c r="AU657">
        <f>AT657&amp;IF($V657="","",", "&amp;$V657)</f>
        <v/>
      </c>
      <c r="AV657">
        <f>AU657&amp;IF($W657="","",", "&amp;$W657)</f>
        <v/>
      </c>
      <c r="AW657">
        <f>AV657&amp;IF($X657="","",", "&amp;$X657)</f>
        <v/>
      </c>
      <c r="AX657">
        <f>AW657&amp;IF($Y657="","",", "&amp;$Y657)</f>
        <v/>
      </c>
    </row>
    <row r="658">
      <c r="A658" s="118">
        <f>IF($B658="","",COUNT($B$5:$B658))</f>
        <v/>
      </c>
      <c r="B658" s="80" t="n"/>
      <c r="C658" s="80" t="n"/>
      <c r="D658" s="74" t="n"/>
      <c r="E658" s="74" t="n"/>
      <c r="F658" s="74" t="n"/>
      <c r="G658" s="118">
        <f>IF($F658="","",COUNTIF($F$5:$F658,$F658))</f>
        <v/>
      </c>
      <c r="H658" s="33">
        <f>IF($F658="","",IFERROR(INDEX(사건마스터!$B$5:$B$64,MATCH($F658,사건마스터!$A$5:$A$64,0)),""))</f>
        <v/>
      </c>
      <c r="I658" s="130">
        <f>IF($F658="","",IFERROR(INDEX(사건마스터!$C$5:$C$64,MATCH($F658,사건마스터!$A$5:$A$64,0)),""))</f>
        <v/>
      </c>
      <c r="J658" s="136">
        <f>IF($F658="","",IFERROR(INDEX(사건마스터!$H$5:$H$64,MATCH($F658,사건마스터!$A$5:$A$64,0)),""))</f>
        <v/>
      </c>
      <c r="K658" s="136">
        <f>IF($F658="","",IFERROR(INDEX(사건마스터!$AH$5:$AH$64,MATCH($F658,사건마스터!$A$5:$A$64,0)),""))</f>
        <v/>
      </c>
      <c r="L658" s="136">
        <f>IF($F658="","",IFERROR(INDEX(사건마스터!$AI$5:$AI$64,MATCH($F658,사건마스터!$A$5:$A$64,0)),""))</f>
        <v/>
      </c>
      <c r="M658" s="136">
        <f>IF($F658="","",IFERROR(INDEX(사건마스터!$AJ$5:$AJ$64,MATCH($F658,사건마스터!$A$5:$A$64,0)),""))</f>
        <v/>
      </c>
      <c r="N658" s="136">
        <f>IF($F658="","",IFERROR(INDEX(사건마스터!$AK$5:$AK$64,MATCH($F658,사건마스터!$A$5:$A$64,0)),""))</f>
        <v/>
      </c>
      <c r="O658" s="136">
        <f>IF($F658="","",IFERROR(INDEX(사건마스터!$AL$5:$AL$64,MATCH($F658,사건마스터!$A$5:$A$64,0)),""))</f>
        <v/>
      </c>
      <c r="P658" s="136">
        <f>IF($F658="","",IFERROR(INDEX(사건마스터!$AM$5:$AM$64,MATCH($F658,사건마스터!$A$5:$A$64,0)),""))</f>
        <v/>
      </c>
      <c r="Q658" s="136">
        <f>IF($F658="","",IFERROR(INDEX(사건마스터!$AN$5:$AN$64,MATCH($F658,사건마스터!$A$5:$A$64,0)),""))</f>
        <v/>
      </c>
      <c r="R658" s="136">
        <f>IF($F658="","",IFERROR(INDEX(사건마스터!$AO$5:$AO$64,MATCH($F658,사건마스터!$A$5:$A$64,0)),""))</f>
        <v/>
      </c>
      <c r="S658" s="136">
        <f>IF($F658="","",IFERROR(INDEX(사건마스터!$AP$5:$AP$64,MATCH($F658,사건마스터!$A$5:$A$64,0)),""))</f>
        <v/>
      </c>
      <c r="T658" s="136">
        <f>IF($F658="","",IFERROR(INDEX(사건마스터!$AQ$5:$AQ$64,MATCH($F658,사건마스터!$A$5:$A$64,0)),""))</f>
        <v/>
      </c>
      <c r="U658" s="136">
        <f>IF($F658="","",IFERROR(INDEX(사건마스터!$AR$5:$AR$64,MATCH($F658,사건마스터!$A$5:$A$64,0)),""))</f>
        <v/>
      </c>
      <c r="V658" s="136">
        <f>IF($F658="","",IFERROR(INDEX(사건마스터!$AS$5:$AS$64,MATCH($F658,사건마스터!$A$5:$A$64,0)),""))</f>
        <v/>
      </c>
      <c r="W658" s="136">
        <f>IF($F658="","",IFERROR(INDEX(사건마스터!$AT$5:$AT$64,MATCH($F658,사건마스터!$A$5:$A$64,0)),""))</f>
        <v/>
      </c>
      <c r="X658" s="136">
        <f>IF($F658="","",IFERROR(INDEX(사건마스터!$AU$5:$AU$64,MATCH($F658,사건마스터!$A$5:$A$64,0)),""))</f>
        <v/>
      </c>
      <c r="Y658" s="136">
        <f>IF($F658="","",IFERROR(INDEX(사건마스터!$AV$5:$AV$64,MATCH($F658,사건마스터!$A$5:$A$64,0)),""))</f>
        <v/>
      </c>
      <c r="Z658" s="118">
        <f>IF(COUNTBLANK($J658:$Y658)=16,"",16-COUNTBLANK($J658:$Y658))</f>
        <v/>
      </c>
      <c r="AA658" s="33">
        <f>IF($J658="",MID($AX658,3,255),$J658&amp;$AX658)</f>
        <v/>
      </c>
      <c r="AB658" s="130">
        <f>IF($J658="","",IFERROR(INDEX(코드설정!$D$5:$D$24,MATCH($J658,코드설정!$C$5:$C$24,0)),""))</f>
        <v/>
      </c>
      <c r="AC658" s="36" t="n"/>
      <c r="AD658" s="37" t="n"/>
      <c r="AE658" s="38" t="n"/>
      <c r="AF658" s="118">
        <f>IF(OR($B658="",$C658=""),"",$C658-$B658+1)</f>
        <v/>
      </c>
      <c r="AG658" s="74" t="n"/>
      <c r="AH658" s="36" t="n"/>
      <c r="AJ658">
        <f>IF($K658="","",", "&amp;$K658)</f>
        <v/>
      </c>
      <c r="AK658">
        <f>AJ658&amp;IF($L658="","",", "&amp;$L658)</f>
        <v/>
      </c>
      <c r="AL658">
        <f>AK658&amp;IF($M658="","",", "&amp;$M658)</f>
        <v/>
      </c>
      <c r="AM658">
        <f>AL658&amp;IF($N658="","",", "&amp;$N658)</f>
        <v/>
      </c>
      <c r="AN658">
        <f>AM658&amp;IF($O658="","",", "&amp;$O658)</f>
        <v/>
      </c>
      <c r="AO658">
        <f>AN658&amp;IF($P658="","",", "&amp;$P658)</f>
        <v/>
      </c>
      <c r="AP658">
        <f>AO658&amp;IF($Q658="","",", "&amp;$Q658)</f>
        <v/>
      </c>
      <c r="AQ658">
        <f>AP658&amp;IF($R658="","",", "&amp;$R658)</f>
        <v/>
      </c>
      <c r="AR658">
        <f>AQ658&amp;IF($S658="","",", "&amp;$S658)</f>
        <v/>
      </c>
      <c r="AS658">
        <f>AR658&amp;IF($T658="","",", "&amp;$T658)</f>
        <v/>
      </c>
      <c r="AT658">
        <f>AS658&amp;IF($U658="","",", "&amp;$U658)</f>
        <v/>
      </c>
      <c r="AU658">
        <f>AT658&amp;IF($V658="","",", "&amp;$V658)</f>
        <v/>
      </c>
      <c r="AV658">
        <f>AU658&amp;IF($W658="","",", "&amp;$W658)</f>
        <v/>
      </c>
      <c r="AW658">
        <f>AV658&amp;IF($X658="","",", "&amp;$X658)</f>
        <v/>
      </c>
      <c r="AX658">
        <f>AW658&amp;IF($Y658="","",", "&amp;$Y658)</f>
        <v/>
      </c>
    </row>
    <row r="659">
      <c r="A659" s="118">
        <f>IF($B659="","",COUNT($B$5:$B659))</f>
        <v/>
      </c>
      <c r="B659" s="80" t="n"/>
      <c r="C659" s="80" t="n"/>
      <c r="D659" s="74" t="n"/>
      <c r="E659" s="74" t="n"/>
      <c r="F659" s="74" t="n"/>
      <c r="G659" s="118">
        <f>IF($F659="","",COUNTIF($F$5:$F659,$F659))</f>
        <v/>
      </c>
      <c r="H659" s="33">
        <f>IF($F659="","",IFERROR(INDEX(사건마스터!$B$5:$B$64,MATCH($F659,사건마스터!$A$5:$A$64,0)),""))</f>
        <v/>
      </c>
      <c r="I659" s="130">
        <f>IF($F659="","",IFERROR(INDEX(사건마스터!$C$5:$C$64,MATCH($F659,사건마스터!$A$5:$A$64,0)),""))</f>
        <v/>
      </c>
      <c r="J659" s="136">
        <f>IF($F659="","",IFERROR(INDEX(사건마스터!$H$5:$H$64,MATCH($F659,사건마스터!$A$5:$A$64,0)),""))</f>
        <v/>
      </c>
      <c r="K659" s="136">
        <f>IF($F659="","",IFERROR(INDEX(사건마스터!$AH$5:$AH$64,MATCH($F659,사건마스터!$A$5:$A$64,0)),""))</f>
        <v/>
      </c>
      <c r="L659" s="136">
        <f>IF($F659="","",IFERROR(INDEX(사건마스터!$AI$5:$AI$64,MATCH($F659,사건마스터!$A$5:$A$64,0)),""))</f>
        <v/>
      </c>
      <c r="M659" s="136">
        <f>IF($F659="","",IFERROR(INDEX(사건마스터!$AJ$5:$AJ$64,MATCH($F659,사건마스터!$A$5:$A$64,0)),""))</f>
        <v/>
      </c>
      <c r="N659" s="136">
        <f>IF($F659="","",IFERROR(INDEX(사건마스터!$AK$5:$AK$64,MATCH($F659,사건마스터!$A$5:$A$64,0)),""))</f>
        <v/>
      </c>
      <c r="O659" s="136">
        <f>IF($F659="","",IFERROR(INDEX(사건마스터!$AL$5:$AL$64,MATCH($F659,사건마스터!$A$5:$A$64,0)),""))</f>
        <v/>
      </c>
      <c r="P659" s="136">
        <f>IF($F659="","",IFERROR(INDEX(사건마스터!$AM$5:$AM$64,MATCH($F659,사건마스터!$A$5:$A$64,0)),""))</f>
        <v/>
      </c>
      <c r="Q659" s="136">
        <f>IF($F659="","",IFERROR(INDEX(사건마스터!$AN$5:$AN$64,MATCH($F659,사건마스터!$A$5:$A$64,0)),""))</f>
        <v/>
      </c>
      <c r="R659" s="136">
        <f>IF($F659="","",IFERROR(INDEX(사건마스터!$AO$5:$AO$64,MATCH($F659,사건마스터!$A$5:$A$64,0)),""))</f>
        <v/>
      </c>
      <c r="S659" s="136">
        <f>IF($F659="","",IFERROR(INDEX(사건마스터!$AP$5:$AP$64,MATCH($F659,사건마스터!$A$5:$A$64,0)),""))</f>
        <v/>
      </c>
      <c r="T659" s="136">
        <f>IF($F659="","",IFERROR(INDEX(사건마스터!$AQ$5:$AQ$64,MATCH($F659,사건마스터!$A$5:$A$64,0)),""))</f>
        <v/>
      </c>
      <c r="U659" s="136">
        <f>IF($F659="","",IFERROR(INDEX(사건마스터!$AR$5:$AR$64,MATCH($F659,사건마스터!$A$5:$A$64,0)),""))</f>
        <v/>
      </c>
      <c r="V659" s="136">
        <f>IF($F659="","",IFERROR(INDEX(사건마스터!$AS$5:$AS$64,MATCH($F659,사건마스터!$A$5:$A$64,0)),""))</f>
        <v/>
      </c>
      <c r="W659" s="136">
        <f>IF($F659="","",IFERROR(INDEX(사건마스터!$AT$5:$AT$64,MATCH($F659,사건마스터!$A$5:$A$64,0)),""))</f>
        <v/>
      </c>
      <c r="X659" s="136">
        <f>IF($F659="","",IFERROR(INDEX(사건마스터!$AU$5:$AU$64,MATCH($F659,사건마스터!$A$5:$A$64,0)),""))</f>
        <v/>
      </c>
      <c r="Y659" s="136">
        <f>IF($F659="","",IFERROR(INDEX(사건마스터!$AV$5:$AV$64,MATCH($F659,사건마스터!$A$5:$A$64,0)),""))</f>
        <v/>
      </c>
      <c r="Z659" s="118">
        <f>IF(COUNTBLANK($J659:$Y659)=16,"",16-COUNTBLANK($J659:$Y659))</f>
        <v/>
      </c>
      <c r="AA659" s="33">
        <f>IF($J659="",MID($AX659,3,255),$J659&amp;$AX659)</f>
        <v/>
      </c>
      <c r="AB659" s="130">
        <f>IF($J659="","",IFERROR(INDEX(코드설정!$D$5:$D$24,MATCH($J659,코드설정!$C$5:$C$24,0)),""))</f>
        <v/>
      </c>
      <c r="AC659" s="36" t="n"/>
      <c r="AD659" s="37" t="n"/>
      <c r="AE659" s="38" t="n"/>
      <c r="AF659" s="118">
        <f>IF(OR($B659="",$C659=""),"",$C659-$B659+1)</f>
        <v/>
      </c>
      <c r="AG659" s="74" t="n"/>
      <c r="AH659" s="36" t="n"/>
      <c r="AJ659">
        <f>IF($K659="","",", "&amp;$K659)</f>
        <v/>
      </c>
      <c r="AK659">
        <f>AJ659&amp;IF($L659="","",", "&amp;$L659)</f>
        <v/>
      </c>
      <c r="AL659">
        <f>AK659&amp;IF($M659="","",", "&amp;$M659)</f>
        <v/>
      </c>
      <c r="AM659">
        <f>AL659&amp;IF($N659="","",", "&amp;$N659)</f>
        <v/>
      </c>
      <c r="AN659">
        <f>AM659&amp;IF($O659="","",", "&amp;$O659)</f>
        <v/>
      </c>
      <c r="AO659">
        <f>AN659&amp;IF($P659="","",", "&amp;$P659)</f>
        <v/>
      </c>
      <c r="AP659">
        <f>AO659&amp;IF($Q659="","",", "&amp;$Q659)</f>
        <v/>
      </c>
      <c r="AQ659">
        <f>AP659&amp;IF($R659="","",", "&amp;$R659)</f>
        <v/>
      </c>
      <c r="AR659">
        <f>AQ659&amp;IF($S659="","",", "&amp;$S659)</f>
        <v/>
      </c>
      <c r="AS659">
        <f>AR659&amp;IF($T659="","",", "&amp;$T659)</f>
        <v/>
      </c>
      <c r="AT659">
        <f>AS659&amp;IF($U659="","",", "&amp;$U659)</f>
        <v/>
      </c>
      <c r="AU659">
        <f>AT659&amp;IF($V659="","",", "&amp;$V659)</f>
        <v/>
      </c>
      <c r="AV659">
        <f>AU659&amp;IF($W659="","",", "&amp;$W659)</f>
        <v/>
      </c>
      <c r="AW659">
        <f>AV659&amp;IF($X659="","",", "&amp;$X659)</f>
        <v/>
      </c>
      <c r="AX659">
        <f>AW659&amp;IF($Y659="","",", "&amp;$Y659)</f>
        <v/>
      </c>
    </row>
    <row r="660">
      <c r="A660" s="118">
        <f>IF($B660="","",COUNT($B$5:$B660))</f>
        <v/>
      </c>
      <c r="B660" s="80" t="n"/>
      <c r="C660" s="80" t="n"/>
      <c r="D660" s="74" t="n"/>
      <c r="E660" s="74" t="n"/>
      <c r="F660" s="74" t="n"/>
      <c r="G660" s="118">
        <f>IF($F660="","",COUNTIF($F$5:$F660,$F660))</f>
        <v/>
      </c>
      <c r="H660" s="33">
        <f>IF($F660="","",IFERROR(INDEX(사건마스터!$B$5:$B$64,MATCH($F660,사건마스터!$A$5:$A$64,0)),""))</f>
        <v/>
      </c>
      <c r="I660" s="130">
        <f>IF($F660="","",IFERROR(INDEX(사건마스터!$C$5:$C$64,MATCH($F660,사건마스터!$A$5:$A$64,0)),""))</f>
        <v/>
      </c>
      <c r="J660" s="136">
        <f>IF($F660="","",IFERROR(INDEX(사건마스터!$H$5:$H$64,MATCH($F660,사건마스터!$A$5:$A$64,0)),""))</f>
        <v/>
      </c>
      <c r="K660" s="136">
        <f>IF($F660="","",IFERROR(INDEX(사건마스터!$AH$5:$AH$64,MATCH($F660,사건마스터!$A$5:$A$64,0)),""))</f>
        <v/>
      </c>
      <c r="L660" s="136">
        <f>IF($F660="","",IFERROR(INDEX(사건마스터!$AI$5:$AI$64,MATCH($F660,사건마스터!$A$5:$A$64,0)),""))</f>
        <v/>
      </c>
      <c r="M660" s="136">
        <f>IF($F660="","",IFERROR(INDEX(사건마스터!$AJ$5:$AJ$64,MATCH($F660,사건마스터!$A$5:$A$64,0)),""))</f>
        <v/>
      </c>
      <c r="N660" s="136">
        <f>IF($F660="","",IFERROR(INDEX(사건마스터!$AK$5:$AK$64,MATCH($F660,사건마스터!$A$5:$A$64,0)),""))</f>
        <v/>
      </c>
      <c r="O660" s="136">
        <f>IF($F660="","",IFERROR(INDEX(사건마스터!$AL$5:$AL$64,MATCH($F660,사건마스터!$A$5:$A$64,0)),""))</f>
        <v/>
      </c>
      <c r="P660" s="136">
        <f>IF($F660="","",IFERROR(INDEX(사건마스터!$AM$5:$AM$64,MATCH($F660,사건마스터!$A$5:$A$64,0)),""))</f>
        <v/>
      </c>
      <c r="Q660" s="136">
        <f>IF($F660="","",IFERROR(INDEX(사건마스터!$AN$5:$AN$64,MATCH($F660,사건마스터!$A$5:$A$64,0)),""))</f>
        <v/>
      </c>
      <c r="R660" s="136">
        <f>IF($F660="","",IFERROR(INDEX(사건마스터!$AO$5:$AO$64,MATCH($F660,사건마스터!$A$5:$A$64,0)),""))</f>
        <v/>
      </c>
      <c r="S660" s="136">
        <f>IF($F660="","",IFERROR(INDEX(사건마스터!$AP$5:$AP$64,MATCH($F660,사건마스터!$A$5:$A$64,0)),""))</f>
        <v/>
      </c>
      <c r="T660" s="136">
        <f>IF($F660="","",IFERROR(INDEX(사건마스터!$AQ$5:$AQ$64,MATCH($F660,사건마스터!$A$5:$A$64,0)),""))</f>
        <v/>
      </c>
      <c r="U660" s="136">
        <f>IF($F660="","",IFERROR(INDEX(사건마스터!$AR$5:$AR$64,MATCH($F660,사건마스터!$A$5:$A$64,0)),""))</f>
        <v/>
      </c>
      <c r="V660" s="136">
        <f>IF($F660="","",IFERROR(INDEX(사건마스터!$AS$5:$AS$64,MATCH($F660,사건마스터!$A$5:$A$64,0)),""))</f>
        <v/>
      </c>
      <c r="W660" s="136">
        <f>IF($F660="","",IFERROR(INDEX(사건마스터!$AT$5:$AT$64,MATCH($F660,사건마스터!$A$5:$A$64,0)),""))</f>
        <v/>
      </c>
      <c r="X660" s="136">
        <f>IF($F660="","",IFERROR(INDEX(사건마스터!$AU$5:$AU$64,MATCH($F660,사건마스터!$A$5:$A$64,0)),""))</f>
        <v/>
      </c>
      <c r="Y660" s="136">
        <f>IF($F660="","",IFERROR(INDEX(사건마스터!$AV$5:$AV$64,MATCH($F660,사건마스터!$A$5:$A$64,0)),""))</f>
        <v/>
      </c>
      <c r="Z660" s="118">
        <f>IF(COUNTBLANK($J660:$Y660)=16,"",16-COUNTBLANK($J660:$Y660))</f>
        <v/>
      </c>
      <c r="AA660" s="33">
        <f>IF($J660="",MID($AX660,3,255),$J660&amp;$AX660)</f>
        <v/>
      </c>
      <c r="AB660" s="130">
        <f>IF($J660="","",IFERROR(INDEX(코드설정!$D$5:$D$24,MATCH($J660,코드설정!$C$5:$C$24,0)),""))</f>
        <v/>
      </c>
      <c r="AC660" s="36" t="n"/>
      <c r="AD660" s="37" t="n"/>
      <c r="AE660" s="38" t="n"/>
      <c r="AF660" s="118">
        <f>IF(OR($B660="",$C660=""),"",$C660-$B660+1)</f>
        <v/>
      </c>
      <c r="AG660" s="74" t="n"/>
      <c r="AH660" s="36" t="n"/>
      <c r="AJ660">
        <f>IF($K660="","",", "&amp;$K660)</f>
        <v/>
      </c>
      <c r="AK660">
        <f>AJ660&amp;IF($L660="","",", "&amp;$L660)</f>
        <v/>
      </c>
      <c r="AL660">
        <f>AK660&amp;IF($M660="","",", "&amp;$M660)</f>
        <v/>
      </c>
      <c r="AM660">
        <f>AL660&amp;IF($N660="","",", "&amp;$N660)</f>
        <v/>
      </c>
      <c r="AN660">
        <f>AM660&amp;IF($O660="","",", "&amp;$O660)</f>
        <v/>
      </c>
      <c r="AO660">
        <f>AN660&amp;IF($P660="","",", "&amp;$P660)</f>
        <v/>
      </c>
      <c r="AP660">
        <f>AO660&amp;IF($Q660="","",", "&amp;$Q660)</f>
        <v/>
      </c>
      <c r="AQ660">
        <f>AP660&amp;IF($R660="","",", "&amp;$R660)</f>
        <v/>
      </c>
      <c r="AR660">
        <f>AQ660&amp;IF($S660="","",", "&amp;$S660)</f>
        <v/>
      </c>
      <c r="AS660">
        <f>AR660&amp;IF($T660="","",", "&amp;$T660)</f>
        <v/>
      </c>
      <c r="AT660">
        <f>AS660&amp;IF($U660="","",", "&amp;$U660)</f>
        <v/>
      </c>
      <c r="AU660">
        <f>AT660&amp;IF($V660="","",", "&amp;$V660)</f>
        <v/>
      </c>
      <c r="AV660">
        <f>AU660&amp;IF($W660="","",", "&amp;$W660)</f>
        <v/>
      </c>
      <c r="AW660">
        <f>AV660&amp;IF($X660="","",", "&amp;$X660)</f>
        <v/>
      </c>
      <c r="AX660">
        <f>AW660&amp;IF($Y660="","",", "&amp;$Y660)</f>
        <v/>
      </c>
    </row>
    <row r="661">
      <c r="A661" s="118">
        <f>IF($B661="","",COUNT($B$5:$B661))</f>
        <v/>
      </c>
      <c r="B661" s="80" t="n"/>
      <c r="C661" s="80" t="n"/>
      <c r="D661" s="74" t="n"/>
      <c r="E661" s="74" t="n"/>
      <c r="F661" s="74" t="n"/>
      <c r="G661" s="118">
        <f>IF($F661="","",COUNTIF($F$5:$F661,$F661))</f>
        <v/>
      </c>
      <c r="H661" s="33">
        <f>IF($F661="","",IFERROR(INDEX(사건마스터!$B$5:$B$64,MATCH($F661,사건마스터!$A$5:$A$64,0)),""))</f>
        <v/>
      </c>
      <c r="I661" s="130">
        <f>IF($F661="","",IFERROR(INDEX(사건마스터!$C$5:$C$64,MATCH($F661,사건마스터!$A$5:$A$64,0)),""))</f>
        <v/>
      </c>
      <c r="J661" s="136">
        <f>IF($F661="","",IFERROR(INDEX(사건마스터!$H$5:$H$64,MATCH($F661,사건마스터!$A$5:$A$64,0)),""))</f>
        <v/>
      </c>
      <c r="K661" s="136">
        <f>IF($F661="","",IFERROR(INDEX(사건마스터!$AH$5:$AH$64,MATCH($F661,사건마스터!$A$5:$A$64,0)),""))</f>
        <v/>
      </c>
      <c r="L661" s="136">
        <f>IF($F661="","",IFERROR(INDEX(사건마스터!$AI$5:$AI$64,MATCH($F661,사건마스터!$A$5:$A$64,0)),""))</f>
        <v/>
      </c>
      <c r="M661" s="136">
        <f>IF($F661="","",IFERROR(INDEX(사건마스터!$AJ$5:$AJ$64,MATCH($F661,사건마스터!$A$5:$A$64,0)),""))</f>
        <v/>
      </c>
      <c r="N661" s="136">
        <f>IF($F661="","",IFERROR(INDEX(사건마스터!$AK$5:$AK$64,MATCH($F661,사건마스터!$A$5:$A$64,0)),""))</f>
        <v/>
      </c>
      <c r="O661" s="136">
        <f>IF($F661="","",IFERROR(INDEX(사건마스터!$AL$5:$AL$64,MATCH($F661,사건마스터!$A$5:$A$64,0)),""))</f>
        <v/>
      </c>
      <c r="P661" s="136">
        <f>IF($F661="","",IFERROR(INDEX(사건마스터!$AM$5:$AM$64,MATCH($F661,사건마스터!$A$5:$A$64,0)),""))</f>
        <v/>
      </c>
      <c r="Q661" s="136">
        <f>IF($F661="","",IFERROR(INDEX(사건마스터!$AN$5:$AN$64,MATCH($F661,사건마스터!$A$5:$A$64,0)),""))</f>
        <v/>
      </c>
      <c r="R661" s="136">
        <f>IF($F661="","",IFERROR(INDEX(사건마스터!$AO$5:$AO$64,MATCH($F661,사건마스터!$A$5:$A$64,0)),""))</f>
        <v/>
      </c>
      <c r="S661" s="136">
        <f>IF($F661="","",IFERROR(INDEX(사건마스터!$AP$5:$AP$64,MATCH($F661,사건마스터!$A$5:$A$64,0)),""))</f>
        <v/>
      </c>
      <c r="T661" s="136">
        <f>IF($F661="","",IFERROR(INDEX(사건마스터!$AQ$5:$AQ$64,MATCH($F661,사건마스터!$A$5:$A$64,0)),""))</f>
        <v/>
      </c>
      <c r="U661" s="136">
        <f>IF($F661="","",IFERROR(INDEX(사건마스터!$AR$5:$AR$64,MATCH($F661,사건마스터!$A$5:$A$64,0)),""))</f>
        <v/>
      </c>
      <c r="V661" s="136">
        <f>IF($F661="","",IFERROR(INDEX(사건마스터!$AS$5:$AS$64,MATCH($F661,사건마스터!$A$5:$A$64,0)),""))</f>
        <v/>
      </c>
      <c r="W661" s="136">
        <f>IF($F661="","",IFERROR(INDEX(사건마스터!$AT$5:$AT$64,MATCH($F661,사건마스터!$A$5:$A$64,0)),""))</f>
        <v/>
      </c>
      <c r="X661" s="136">
        <f>IF($F661="","",IFERROR(INDEX(사건마스터!$AU$5:$AU$64,MATCH($F661,사건마스터!$A$5:$A$64,0)),""))</f>
        <v/>
      </c>
      <c r="Y661" s="136">
        <f>IF($F661="","",IFERROR(INDEX(사건마스터!$AV$5:$AV$64,MATCH($F661,사건마스터!$A$5:$A$64,0)),""))</f>
        <v/>
      </c>
      <c r="Z661" s="118">
        <f>IF(COUNTBLANK($J661:$Y661)=16,"",16-COUNTBLANK($J661:$Y661))</f>
        <v/>
      </c>
      <c r="AA661" s="33">
        <f>IF($J661="",MID($AX661,3,255),$J661&amp;$AX661)</f>
        <v/>
      </c>
      <c r="AB661" s="130">
        <f>IF($J661="","",IFERROR(INDEX(코드설정!$D$5:$D$24,MATCH($J661,코드설정!$C$5:$C$24,0)),""))</f>
        <v/>
      </c>
      <c r="AC661" s="36" t="n"/>
      <c r="AD661" s="37" t="n"/>
      <c r="AE661" s="38" t="n"/>
      <c r="AF661" s="118">
        <f>IF(OR($B661="",$C661=""),"",$C661-$B661+1)</f>
        <v/>
      </c>
      <c r="AG661" s="74" t="n"/>
      <c r="AH661" s="36" t="n"/>
      <c r="AJ661">
        <f>IF($K661="","",", "&amp;$K661)</f>
        <v/>
      </c>
      <c r="AK661">
        <f>AJ661&amp;IF($L661="","",", "&amp;$L661)</f>
        <v/>
      </c>
      <c r="AL661">
        <f>AK661&amp;IF($M661="","",", "&amp;$M661)</f>
        <v/>
      </c>
      <c r="AM661">
        <f>AL661&amp;IF($N661="","",", "&amp;$N661)</f>
        <v/>
      </c>
      <c r="AN661">
        <f>AM661&amp;IF($O661="","",", "&amp;$O661)</f>
        <v/>
      </c>
      <c r="AO661">
        <f>AN661&amp;IF($P661="","",", "&amp;$P661)</f>
        <v/>
      </c>
      <c r="AP661">
        <f>AO661&amp;IF($Q661="","",", "&amp;$Q661)</f>
        <v/>
      </c>
      <c r="AQ661">
        <f>AP661&amp;IF($R661="","",", "&amp;$R661)</f>
        <v/>
      </c>
      <c r="AR661">
        <f>AQ661&amp;IF($S661="","",", "&amp;$S661)</f>
        <v/>
      </c>
      <c r="AS661">
        <f>AR661&amp;IF($T661="","",", "&amp;$T661)</f>
        <v/>
      </c>
      <c r="AT661">
        <f>AS661&amp;IF($U661="","",", "&amp;$U661)</f>
        <v/>
      </c>
      <c r="AU661">
        <f>AT661&amp;IF($V661="","",", "&amp;$V661)</f>
        <v/>
      </c>
      <c r="AV661">
        <f>AU661&amp;IF($W661="","",", "&amp;$W661)</f>
        <v/>
      </c>
      <c r="AW661">
        <f>AV661&amp;IF($X661="","",", "&amp;$X661)</f>
        <v/>
      </c>
      <c r="AX661">
        <f>AW661&amp;IF($Y661="","",", "&amp;$Y661)</f>
        <v/>
      </c>
    </row>
    <row r="662">
      <c r="A662" s="118">
        <f>IF($B662="","",COUNT($B$5:$B662))</f>
        <v/>
      </c>
      <c r="B662" s="80" t="n"/>
      <c r="C662" s="80" t="n"/>
      <c r="D662" s="74" t="n"/>
      <c r="E662" s="74" t="n"/>
      <c r="F662" s="74" t="n"/>
      <c r="G662" s="118">
        <f>IF($F662="","",COUNTIF($F$5:$F662,$F662))</f>
        <v/>
      </c>
      <c r="H662" s="33">
        <f>IF($F662="","",IFERROR(INDEX(사건마스터!$B$5:$B$64,MATCH($F662,사건마스터!$A$5:$A$64,0)),""))</f>
        <v/>
      </c>
      <c r="I662" s="130">
        <f>IF($F662="","",IFERROR(INDEX(사건마스터!$C$5:$C$64,MATCH($F662,사건마스터!$A$5:$A$64,0)),""))</f>
        <v/>
      </c>
      <c r="J662" s="136">
        <f>IF($F662="","",IFERROR(INDEX(사건마스터!$H$5:$H$64,MATCH($F662,사건마스터!$A$5:$A$64,0)),""))</f>
        <v/>
      </c>
      <c r="K662" s="136">
        <f>IF($F662="","",IFERROR(INDEX(사건마스터!$AH$5:$AH$64,MATCH($F662,사건마스터!$A$5:$A$64,0)),""))</f>
        <v/>
      </c>
      <c r="L662" s="136">
        <f>IF($F662="","",IFERROR(INDEX(사건마스터!$AI$5:$AI$64,MATCH($F662,사건마스터!$A$5:$A$64,0)),""))</f>
        <v/>
      </c>
      <c r="M662" s="136">
        <f>IF($F662="","",IFERROR(INDEX(사건마스터!$AJ$5:$AJ$64,MATCH($F662,사건마스터!$A$5:$A$64,0)),""))</f>
        <v/>
      </c>
      <c r="N662" s="136">
        <f>IF($F662="","",IFERROR(INDEX(사건마스터!$AK$5:$AK$64,MATCH($F662,사건마스터!$A$5:$A$64,0)),""))</f>
        <v/>
      </c>
      <c r="O662" s="136">
        <f>IF($F662="","",IFERROR(INDEX(사건마스터!$AL$5:$AL$64,MATCH($F662,사건마스터!$A$5:$A$64,0)),""))</f>
        <v/>
      </c>
      <c r="P662" s="136">
        <f>IF($F662="","",IFERROR(INDEX(사건마스터!$AM$5:$AM$64,MATCH($F662,사건마스터!$A$5:$A$64,0)),""))</f>
        <v/>
      </c>
      <c r="Q662" s="136">
        <f>IF($F662="","",IFERROR(INDEX(사건마스터!$AN$5:$AN$64,MATCH($F662,사건마스터!$A$5:$A$64,0)),""))</f>
        <v/>
      </c>
      <c r="R662" s="136">
        <f>IF($F662="","",IFERROR(INDEX(사건마스터!$AO$5:$AO$64,MATCH($F662,사건마스터!$A$5:$A$64,0)),""))</f>
        <v/>
      </c>
      <c r="S662" s="136">
        <f>IF($F662="","",IFERROR(INDEX(사건마스터!$AP$5:$AP$64,MATCH($F662,사건마스터!$A$5:$A$64,0)),""))</f>
        <v/>
      </c>
      <c r="T662" s="136">
        <f>IF($F662="","",IFERROR(INDEX(사건마스터!$AQ$5:$AQ$64,MATCH($F662,사건마스터!$A$5:$A$64,0)),""))</f>
        <v/>
      </c>
      <c r="U662" s="136">
        <f>IF($F662="","",IFERROR(INDEX(사건마스터!$AR$5:$AR$64,MATCH($F662,사건마스터!$A$5:$A$64,0)),""))</f>
        <v/>
      </c>
      <c r="V662" s="136">
        <f>IF($F662="","",IFERROR(INDEX(사건마스터!$AS$5:$AS$64,MATCH($F662,사건마스터!$A$5:$A$64,0)),""))</f>
        <v/>
      </c>
      <c r="W662" s="136">
        <f>IF($F662="","",IFERROR(INDEX(사건마스터!$AT$5:$AT$64,MATCH($F662,사건마스터!$A$5:$A$64,0)),""))</f>
        <v/>
      </c>
      <c r="X662" s="136">
        <f>IF($F662="","",IFERROR(INDEX(사건마스터!$AU$5:$AU$64,MATCH($F662,사건마스터!$A$5:$A$64,0)),""))</f>
        <v/>
      </c>
      <c r="Y662" s="136">
        <f>IF($F662="","",IFERROR(INDEX(사건마스터!$AV$5:$AV$64,MATCH($F662,사건마스터!$A$5:$A$64,0)),""))</f>
        <v/>
      </c>
      <c r="Z662" s="118">
        <f>IF(COUNTBLANK($J662:$Y662)=16,"",16-COUNTBLANK($J662:$Y662))</f>
        <v/>
      </c>
      <c r="AA662" s="33">
        <f>IF($J662="",MID($AX662,3,255),$J662&amp;$AX662)</f>
        <v/>
      </c>
      <c r="AB662" s="130">
        <f>IF($J662="","",IFERROR(INDEX(코드설정!$D$5:$D$24,MATCH($J662,코드설정!$C$5:$C$24,0)),""))</f>
        <v/>
      </c>
      <c r="AC662" s="36" t="n"/>
      <c r="AD662" s="37" t="n"/>
      <c r="AE662" s="38" t="n"/>
      <c r="AF662" s="118">
        <f>IF(OR($B662="",$C662=""),"",$C662-$B662+1)</f>
        <v/>
      </c>
      <c r="AG662" s="74" t="n"/>
      <c r="AH662" s="36" t="n"/>
      <c r="AJ662">
        <f>IF($K662="","",", "&amp;$K662)</f>
        <v/>
      </c>
      <c r="AK662">
        <f>AJ662&amp;IF($L662="","",", "&amp;$L662)</f>
        <v/>
      </c>
      <c r="AL662">
        <f>AK662&amp;IF($M662="","",", "&amp;$M662)</f>
        <v/>
      </c>
      <c r="AM662">
        <f>AL662&amp;IF($N662="","",", "&amp;$N662)</f>
        <v/>
      </c>
      <c r="AN662">
        <f>AM662&amp;IF($O662="","",", "&amp;$O662)</f>
        <v/>
      </c>
      <c r="AO662">
        <f>AN662&amp;IF($P662="","",", "&amp;$P662)</f>
        <v/>
      </c>
      <c r="AP662">
        <f>AO662&amp;IF($Q662="","",", "&amp;$Q662)</f>
        <v/>
      </c>
      <c r="AQ662">
        <f>AP662&amp;IF($R662="","",", "&amp;$R662)</f>
        <v/>
      </c>
      <c r="AR662">
        <f>AQ662&amp;IF($S662="","",", "&amp;$S662)</f>
        <v/>
      </c>
      <c r="AS662">
        <f>AR662&amp;IF($T662="","",", "&amp;$T662)</f>
        <v/>
      </c>
      <c r="AT662">
        <f>AS662&amp;IF($U662="","",", "&amp;$U662)</f>
        <v/>
      </c>
      <c r="AU662">
        <f>AT662&amp;IF($V662="","",", "&amp;$V662)</f>
        <v/>
      </c>
      <c r="AV662">
        <f>AU662&amp;IF($W662="","",", "&amp;$W662)</f>
        <v/>
      </c>
      <c r="AW662">
        <f>AV662&amp;IF($X662="","",", "&amp;$X662)</f>
        <v/>
      </c>
      <c r="AX662">
        <f>AW662&amp;IF($Y662="","",", "&amp;$Y662)</f>
        <v/>
      </c>
    </row>
    <row r="663">
      <c r="A663" s="118">
        <f>IF($B663="","",COUNT($B$5:$B663))</f>
        <v/>
      </c>
      <c r="B663" s="80" t="n"/>
      <c r="C663" s="80" t="n"/>
      <c r="D663" s="74" t="n"/>
      <c r="E663" s="74" t="n"/>
      <c r="F663" s="74" t="n"/>
      <c r="G663" s="118">
        <f>IF($F663="","",COUNTIF($F$5:$F663,$F663))</f>
        <v/>
      </c>
      <c r="H663" s="33">
        <f>IF($F663="","",IFERROR(INDEX(사건마스터!$B$5:$B$64,MATCH($F663,사건마스터!$A$5:$A$64,0)),""))</f>
        <v/>
      </c>
      <c r="I663" s="130">
        <f>IF($F663="","",IFERROR(INDEX(사건마스터!$C$5:$C$64,MATCH($F663,사건마스터!$A$5:$A$64,0)),""))</f>
        <v/>
      </c>
      <c r="J663" s="136">
        <f>IF($F663="","",IFERROR(INDEX(사건마스터!$H$5:$H$64,MATCH($F663,사건마스터!$A$5:$A$64,0)),""))</f>
        <v/>
      </c>
      <c r="K663" s="136">
        <f>IF($F663="","",IFERROR(INDEX(사건마스터!$AH$5:$AH$64,MATCH($F663,사건마스터!$A$5:$A$64,0)),""))</f>
        <v/>
      </c>
      <c r="L663" s="136">
        <f>IF($F663="","",IFERROR(INDEX(사건마스터!$AI$5:$AI$64,MATCH($F663,사건마스터!$A$5:$A$64,0)),""))</f>
        <v/>
      </c>
      <c r="M663" s="136">
        <f>IF($F663="","",IFERROR(INDEX(사건마스터!$AJ$5:$AJ$64,MATCH($F663,사건마스터!$A$5:$A$64,0)),""))</f>
        <v/>
      </c>
      <c r="N663" s="136">
        <f>IF($F663="","",IFERROR(INDEX(사건마스터!$AK$5:$AK$64,MATCH($F663,사건마스터!$A$5:$A$64,0)),""))</f>
        <v/>
      </c>
      <c r="O663" s="136">
        <f>IF($F663="","",IFERROR(INDEX(사건마스터!$AL$5:$AL$64,MATCH($F663,사건마스터!$A$5:$A$64,0)),""))</f>
        <v/>
      </c>
      <c r="P663" s="136">
        <f>IF($F663="","",IFERROR(INDEX(사건마스터!$AM$5:$AM$64,MATCH($F663,사건마스터!$A$5:$A$64,0)),""))</f>
        <v/>
      </c>
      <c r="Q663" s="136">
        <f>IF($F663="","",IFERROR(INDEX(사건마스터!$AN$5:$AN$64,MATCH($F663,사건마스터!$A$5:$A$64,0)),""))</f>
        <v/>
      </c>
      <c r="R663" s="136">
        <f>IF($F663="","",IFERROR(INDEX(사건마스터!$AO$5:$AO$64,MATCH($F663,사건마스터!$A$5:$A$64,0)),""))</f>
        <v/>
      </c>
      <c r="S663" s="136">
        <f>IF($F663="","",IFERROR(INDEX(사건마스터!$AP$5:$AP$64,MATCH($F663,사건마스터!$A$5:$A$64,0)),""))</f>
        <v/>
      </c>
      <c r="T663" s="136">
        <f>IF($F663="","",IFERROR(INDEX(사건마스터!$AQ$5:$AQ$64,MATCH($F663,사건마스터!$A$5:$A$64,0)),""))</f>
        <v/>
      </c>
      <c r="U663" s="136">
        <f>IF($F663="","",IFERROR(INDEX(사건마스터!$AR$5:$AR$64,MATCH($F663,사건마스터!$A$5:$A$64,0)),""))</f>
        <v/>
      </c>
      <c r="V663" s="136">
        <f>IF($F663="","",IFERROR(INDEX(사건마스터!$AS$5:$AS$64,MATCH($F663,사건마스터!$A$5:$A$64,0)),""))</f>
        <v/>
      </c>
      <c r="W663" s="136">
        <f>IF($F663="","",IFERROR(INDEX(사건마스터!$AT$5:$AT$64,MATCH($F663,사건마스터!$A$5:$A$64,0)),""))</f>
        <v/>
      </c>
      <c r="X663" s="136">
        <f>IF($F663="","",IFERROR(INDEX(사건마스터!$AU$5:$AU$64,MATCH($F663,사건마스터!$A$5:$A$64,0)),""))</f>
        <v/>
      </c>
      <c r="Y663" s="136">
        <f>IF($F663="","",IFERROR(INDEX(사건마스터!$AV$5:$AV$64,MATCH($F663,사건마스터!$A$5:$A$64,0)),""))</f>
        <v/>
      </c>
      <c r="Z663" s="118">
        <f>IF(COUNTBLANK($J663:$Y663)=16,"",16-COUNTBLANK($J663:$Y663))</f>
        <v/>
      </c>
      <c r="AA663" s="33">
        <f>IF($J663="",MID($AX663,3,255),$J663&amp;$AX663)</f>
        <v/>
      </c>
      <c r="AB663" s="130">
        <f>IF($J663="","",IFERROR(INDEX(코드설정!$D$5:$D$24,MATCH($J663,코드설정!$C$5:$C$24,0)),""))</f>
        <v/>
      </c>
      <c r="AC663" s="36" t="n"/>
      <c r="AD663" s="37" t="n"/>
      <c r="AE663" s="38" t="n"/>
      <c r="AF663" s="118">
        <f>IF(OR($B663="",$C663=""),"",$C663-$B663+1)</f>
        <v/>
      </c>
      <c r="AG663" s="74" t="n"/>
      <c r="AH663" s="36" t="n"/>
      <c r="AJ663">
        <f>IF($K663="","",", "&amp;$K663)</f>
        <v/>
      </c>
      <c r="AK663">
        <f>AJ663&amp;IF($L663="","",", "&amp;$L663)</f>
        <v/>
      </c>
      <c r="AL663">
        <f>AK663&amp;IF($M663="","",", "&amp;$M663)</f>
        <v/>
      </c>
      <c r="AM663">
        <f>AL663&amp;IF($N663="","",", "&amp;$N663)</f>
        <v/>
      </c>
      <c r="AN663">
        <f>AM663&amp;IF($O663="","",", "&amp;$O663)</f>
        <v/>
      </c>
      <c r="AO663">
        <f>AN663&amp;IF($P663="","",", "&amp;$P663)</f>
        <v/>
      </c>
      <c r="AP663">
        <f>AO663&amp;IF($Q663="","",", "&amp;$Q663)</f>
        <v/>
      </c>
      <c r="AQ663">
        <f>AP663&amp;IF($R663="","",", "&amp;$R663)</f>
        <v/>
      </c>
      <c r="AR663">
        <f>AQ663&amp;IF($S663="","",", "&amp;$S663)</f>
        <v/>
      </c>
      <c r="AS663">
        <f>AR663&amp;IF($T663="","",", "&amp;$T663)</f>
        <v/>
      </c>
      <c r="AT663">
        <f>AS663&amp;IF($U663="","",", "&amp;$U663)</f>
        <v/>
      </c>
      <c r="AU663">
        <f>AT663&amp;IF($V663="","",", "&amp;$V663)</f>
        <v/>
      </c>
      <c r="AV663">
        <f>AU663&amp;IF($W663="","",", "&amp;$W663)</f>
        <v/>
      </c>
      <c r="AW663">
        <f>AV663&amp;IF($X663="","",", "&amp;$X663)</f>
        <v/>
      </c>
      <c r="AX663">
        <f>AW663&amp;IF($Y663="","",", "&amp;$Y663)</f>
        <v/>
      </c>
    </row>
    <row r="664">
      <c r="A664" s="118">
        <f>IF($B664="","",COUNT($B$5:$B664))</f>
        <v/>
      </c>
      <c r="B664" s="80" t="n"/>
      <c r="C664" s="80" t="n"/>
      <c r="D664" s="74" t="n"/>
      <c r="E664" s="74" t="n"/>
      <c r="F664" s="74" t="n"/>
      <c r="G664" s="118">
        <f>IF($F664="","",COUNTIF($F$5:$F664,$F664))</f>
        <v/>
      </c>
      <c r="H664" s="33">
        <f>IF($F664="","",IFERROR(INDEX(사건마스터!$B$5:$B$64,MATCH($F664,사건마스터!$A$5:$A$64,0)),""))</f>
        <v/>
      </c>
      <c r="I664" s="130">
        <f>IF($F664="","",IFERROR(INDEX(사건마스터!$C$5:$C$64,MATCH($F664,사건마스터!$A$5:$A$64,0)),""))</f>
        <v/>
      </c>
      <c r="J664" s="136">
        <f>IF($F664="","",IFERROR(INDEX(사건마스터!$H$5:$H$64,MATCH($F664,사건마스터!$A$5:$A$64,0)),""))</f>
        <v/>
      </c>
      <c r="K664" s="136">
        <f>IF($F664="","",IFERROR(INDEX(사건마스터!$AH$5:$AH$64,MATCH($F664,사건마스터!$A$5:$A$64,0)),""))</f>
        <v/>
      </c>
      <c r="L664" s="136">
        <f>IF($F664="","",IFERROR(INDEX(사건마스터!$AI$5:$AI$64,MATCH($F664,사건마스터!$A$5:$A$64,0)),""))</f>
        <v/>
      </c>
      <c r="M664" s="136">
        <f>IF($F664="","",IFERROR(INDEX(사건마스터!$AJ$5:$AJ$64,MATCH($F664,사건마스터!$A$5:$A$64,0)),""))</f>
        <v/>
      </c>
      <c r="N664" s="136">
        <f>IF($F664="","",IFERROR(INDEX(사건마스터!$AK$5:$AK$64,MATCH($F664,사건마스터!$A$5:$A$64,0)),""))</f>
        <v/>
      </c>
      <c r="O664" s="136">
        <f>IF($F664="","",IFERROR(INDEX(사건마스터!$AL$5:$AL$64,MATCH($F664,사건마스터!$A$5:$A$64,0)),""))</f>
        <v/>
      </c>
      <c r="P664" s="136">
        <f>IF($F664="","",IFERROR(INDEX(사건마스터!$AM$5:$AM$64,MATCH($F664,사건마스터!$A$5:$A$64,0)),""))</f>
        <v/>
      </c>
      <c r="Q664" s="136">
        <f>IF($F664="","",IFERROR(INDEX(사건마스터!$AN$5:$AN$64,MATCH($F664,사건마스터!$A$5:$A$64,0)),""))</f>
        <v/>
      </c>
      <c r="R664" s="136">
        <f>IF($F664="","",IFERROR(INDEX(사건마스터!$AO$5:$AO$64,MATCH($F664,사건마스터!$A$5:$A$64,0)),""))</f>
        <v/>
      </c>
      <c r="S664" s="136">
        <f>IF($F664="","",IFERROR(INDEX(사건마스터!$AP$5:$AP$64,MATCH($F664,사건마스터!$A$5:$A$64,0)),""))</f>
        <v/>
      </c>
      <c r="T664" s="136">
        <f>IF($F664="","",IFERROR(INDEX(사건마스터!$AQ$5:$AQ$64,MATCH($F664,사건마스터!$A$5:$A$64,0)),""))</f>
        <v/>
      </c>
      <c r="U664" s="136">
        <f>IF($F664="","",IFERROR(INDEX(사건마스터!$AR$5:$AR$64,MATCH($F664,사건마스터!$A$5:$A$64,0)),""))</f>
        <v/>
      </c>
      <c r="V664" s="136">
        <f>IF($F664="","",IFERROR(INDEX(사건마스터!$AS$5:$AS$64,MATCH($F664,사건마스터!$A$5:$A$64,0)),""))</f>
        <v/>
      </c>
      <c r="W664" s="136">
        <f>IF($F664="","",IFERROR(INDEX(사건마스터!$AT$5:$AT$64,MATCH($F664,사건마스터!$A$5:$A$64,0)),""))</f>
        <v/>
      </c>
      <c r="X664" s="136">
        <f>IF($F664="","",IFERROR(INDEX(사건마스터!$AU$5:$AU$64,MATCH($F664,사건마스터!$A$5:$A$64,0)),""))</f>
        <v/>
      </c>
      <c r="Y664" s="136">
        <f>IF($F664="","",IFERROR(INDEX(사건마스터!$AV$5:$AV$64,MATCH($F664,사건마스터!$A$5:$A$64,0)),""))</f>
        <v/>
      </c>
      <c r="Z664" s="118">
        <f>IF(COUNTBLANK($J664:$Y664)=16,"",16-COUNTBLANK($J664:$Y664))</f>
        <v/>
      </c>
      <c r="AA664" s="33">
        <f>IF($J664="",MID($AX664,3,255),$J664&amp;$AX664)</f>
        <v/>
      </c>
      <c r="AB664" s="130">
        <f>IF($J664="","",IFERROR(INDEX(코드설정!$D$5:$D$24,MATCH($J664,코드설정!$C$5:$C$24,0)),""))</f>
        <v/>
      </c>
      <c r="AC664" s="36" t="n"/>
      <c r="AD664" s="37" t="n"/>
      <c r="AE664" s="38" t="n"/>
      <c r="AF664" s="118">
        <f>IF(OR($B664="",$C664=""),"",$C664-$B664+1)</f>
        <v/>
      </c>
      <c r="AG664" s="74" t="n"/>
      <c r="AH664" s="36" t="n"/>
      <c r="AJ664">
        <f>IF($K664="","",", "&amp;$K664)</f>
        <v/>
      </c>
      <c r="AK664">
        <f>AJ664&amp;IF($L664="","",", "&amp;$L664)</f>
        <v/>
      </c>
      <c r="AL664">
        <f>AK664&amp;IF($M664="","",", "&amp;$M664)</f>
        <v/>
      </c>
      <c r="AM664">
        <f>AL664&amp;IF($N664="","",", "&amp;$N664)</f>
        <v/>
      </c>
      <c r="AN664">
        <f>AM664&amp;IF($O664="","",", "&amp;$O664)</f>
        <v/>
      </c>
      <c r="AO664">
        <f>AN664&amp;IF($P664="","",", "&amp;$P664)</f>
        <v/>
      </c>
      <c r="AP664">
        <f>AO664&amp;IF($Q664="","",", "&amp;$Q664)</f>
        <v/>
      </c>
      <c r="AQ664">
        <f>AP664&amp;IF($R664="","",", "&amp;$R664)</f>
        <v/>
      </c>
      <c r="AR664">
        <f>AQ664&amp;IF($S664="","",", "&amp;$S664)</f>
        <v/>
      </c>
      <c r="AS664">
        <f>AR664&amp;IF($T664="","",", "&amp;$T664)</f>
        <v/>
      </c>
      <c r="AT664">
        <f>AS664&amp;IF($U664="","",", "&amp;$U664)</f>
        <v/>
      </c>
      <c r="AU664">
        <f>AT664&amp;IF($V664="","",", "&amp;$V664)</f>
        <v/>
      </c>
      <c r="AV664">
        <f>AU664&amp;IF($W664="","",", "&amp;$W664)</f>
        <v/>
      </c>
      <c r="AW664">
        <f>AV664&amp;IF($X664="","",", "&amp;$X664)</f>
        <v/>
      </c>
      <c r="AX664">
        <f>AW664&amp;IF($Y664="","",", "&amp;$Y664)</f>
        <v/>
      </c>
    </row>
    <row r="665">
      <c r="A665" s="118">
        <f>IF($B665="","",COUNT($B$5:$B665))</f>
        <v/>
      </c>
      <c r="B665" s="80" t="n"/>
      <c r="C665" s="80" t="n"/>
      <c r="D665" s="74" t="n"/>
      <c r="E665" s="74" t="n"/>
      <c r="F665" s="74" t="n"/>
      <c r="G665" s="118">
        <f>IF($F665="","",COUNTIF($F$5:$F665,$F665))</f>
        <v/>
      </c>
      <c r="H665" s="33">
        <f>IF($F665="","",IFERROR(INDEX(사건마스터!$B$5:$B$64,MATCH($F665,사건마스터!$A$5:$A$64,0)),""))</f>
        <v/>
      </c>
      <c r="I665" s="130">
        <f>IF($F665="","",IFERROR(INDEX(사건마스터!$C$5:$C$64,MATCH($F665,사건마스터!$A$5:$A$64,0)),""))</f>
        <v/>
      </c>
      <c r="J665" s="136">
        <f>IF($F665="","",IFERROR(INDEX(사건마스터!$H$5:$H$64,MATCH($F665,사건마스터!$A$5:$A$64,0)),""))</f>
        <v/>
      </c>
      <c r="K665" s="136">
        <f>IF($F665="","",IFERROR(INDEX(사건마스터!$AH$5:$AH$64,MATCH($F665,사건마스터!$A$5:$A$64,0)),""))</f>
        <v/>
      </c>
      <c r="L665" s="136">
        <f>IF($F665="","",IFERROR(INDEX(사건마스터!$AI$5:$AI$64,MATCH($F665,사건마스터!$A$5:$A$64,0)),""))</f>
        <v/>
      </c>
      <c r="M665" s="136">
        <f>IF($F665="","",IFERROR(INDEX(사건마스터!$AJ$5:$AJ$64,MATCH($F665,사건마스터!$A$5:$A$64,0)),""))</f>
        <v/>
      </c>
      <c r="N665" s="136">
        <f>IF($F665="","",IFERROR(INDEX(사건마스터!$AK$5:$AK$64,MATCH($F665,사건마스터!$A$5:$A$64,0)),""))</f>
        <v/>
      </c>
      <c r="O665" s="136">
        <f>IF($F665="","",IFERROR(INDEX(사건마스터!$AL$5:$AL$64,MATCH($F665,사건마스터!$A$5:$A$64,0)),""))</f>
        <v/>
      </c>
      <c r="P665" s="136">
        <f>IF($F665="","",IFERROR(INDEX(사건마스터!$AM$5:$AM$64,MATCH($F665,사건마스터!$A$5:$A$64,0)),""))</f>
        <v/>
      </c>
      <c r="Q665" s="136">
        <f>IF($F665="","",IFERROR(INDEX(사건마스터!$AN$5:$AN$64,MATCH($F665,사건마스터!$A$5:$A$64,0)),""))</f>
        <v/>
      </c>
      <c r="R665" s="136">
        <f>IF($F665="","",IFERROR(INDEX(사건마스터!$AO$5:$AO$64,MATCH($F665,사건마스터!$A$5:$A$64,0)),""))</f>
        <v/>
      </c>
      <c r="S665" s="136">
        <f>IF($F665="","",IFERROR(INDEX(사건마스터!$AP$5:$AP$64,MATCH($F665,사건마스터!$A$5:$A$64,0)),""))</f>
        <v/>
      </c>
      <c r="T665" s="136">
        <f>IF($F665="","",IFERROR(INDEX(사건마스터!$AQ$5:$AQ$64,MATCH($F665,사건마스터!$A$5:$A$64,0)),""))</f>
        <v/>
      </c>
      <c r="U665" s="136">
        <f>IF($F665="","",IFERROR(INDEX(사건마스터!$AR$5:$AR$64,MATCH($F665,사건마스터!$A$5:$A$64,0)),""))</f>
        <v/>
      </c>
      <c r="V665" s="136">
        <f>IF($F665="","",IFERROR(INDEX(사건마스터!$AS$5:$AS$64,MATCH($F665,사건마스터!$A$5:$A$64,0)),""))</f>
        <v/>
      </c>
      <c r="W665" s="136">
        <f>IF($F665="","",IFERROR(INDEX(사건마스터!$AT$5:$AT$64,MATCH($F665,사건마스터!$A$5:$A$64,0)),""))</f>
        <v/>
      </c>
      <c r="X665" s="136">
        <f>IF($F665="","",IFERROR(INDEX(사건마스터!$AU$5:$AU$64,MATCH($F665,사건마스터!$A$5:$A$64,0)),""))</f>
        <v/>
      </c>
      <c r="Y665" s="136">
        <f>IF($F665="","",IFERROR(INDEX(사건마스터!$AV$5:$AV$64,MATCH($F665,사건마스터!$A$5:$A$64,0)),""))</f>
        <v/>
      </c>
      <c r="Z665" s="118">
        <f>IF(COUNTBLANK($J665:$Y665)=16,"",16-COUNTBLANK($J665:$Y665))</f>
        <v/>
      </c>
      <c r="AA665" s="33">
        <f>IF($J665="",MID($AX665,3,255),$J665&amp;$AX665)</f>
        <v/>
      </c>
      <c r="AB665" s="130">
        <f>IF($J665="","",IFERROR(INDEX(코드설정!$D$5:$D$24,MATCH($J665,코드설정!$C$5:$C$24,0)),""))</f>
        <v/>
      </c>
      <c r="AC665" s="36" t="n"/>
      <c r="AD665" s="37" t="n"/>
      <c r="AE665" s="38" t="n"/>
      <c r="AF665" s="118">
        <f>IF(OR($B665="",$C665=""),"",$C665-$B665+1)</f>
        <v/>
      </c>
      <c r="AG665" s="74" t="n"/>
      <c r="AH665" s="36" t="n"/>
      <c r="AJ665">
        <f>IF($K665="","",", "&amp;$K665)</f>
        <v/>
      </c>
      <c r="AK665">
        <f>AJ665&amp;IF($L665="","",", "&amp;$L665)</f>
        <v/>
      </c>
      <c r="AL665">
        <f>AK665&amp;IF($M665="","",", "&amp;$M665)</f>
        <v/>
      </c>
      <c r="AM665">
        <f>AL665&amp;IF($N665="","",", "&amp;$N665)</f>
        <v/>
      </c>
      <c r="AN665">
        <f>AM665&amp;IF($O665="","",", "&amp;$O665)</f>
        <v/>
      </c>
      <c r="AO665">
        <f>AN665&amp;IF($P665="","",", "&amp;$P665)</f>
        <v/>
      </c>
      <c r="AP665">
        <f>AO665&amp;IF($Q665="","",", "&amp;$Q665)</f>
        <v/>
      </c>
      <c r="AQ665">
        <f>AP665&amp;IF($R665="","",", "&amp;$R665)</f>
        <v/>
      </c>
      <c r="AR665">
        <f>AQ665&amp;IF($S665="","",", "&amp;$S665)</f>
        <v/>
      </c>
      <c r="AS665">
        <f>AR665&amp;IF($T665="","",", "&amp;$T665)</f>
        <v/>
      </c>
      <c r="AT665">
        <f>AS665&amp;IF($U665="","",", "&amp;$U665)</f>
        <v/>
      </c>
      <c r="AU665">
        <f>AT665&amp;IF($V665="","",", "&amp;$V665)</f>
        <v/>
      </c>
      <c r="AV665">
        <f>AU665&amp;IF($W665="","",", "&amp;$W665)</f>
        <v/>
      </c>
      <c r="AW665">
        <f>AV665&amp;IF($X665="","",", "&amp;$X665)</f>
        <v/>
      </c>
      <c r="AX665">
        <f>AW665&amp;IF($Y665="","",", "&amp;$Y665)</f>
        <v/>
      </c>
    </row>
    <row r="666">
      <c r="A666" s="118">
        <f>IF($B666="","",COUNT($B$5:$B666))</f>
        <v/>
      </c>
      <c r="B666" s="80" t="n"/>
      <c r="C666" s="80" t="n"/>
      <c r="D666" s="74" t="n"/>
      <c r="E666" s="74" t="n"/>
      <c r="F666" s="74" t="n"/>
      <c r="G666" s="118">
        <f>IF($F666="","",COUNTIF($F$5:$F666,$F666))</f>
        <v/>
      </c>
      <c r="H666" s="33">
        <f>IF($F666="","",IFERROR(INDEX(사건마스터!$B$5:$B$64,MATCH($F666,사건마스터!$A$5:$A$64,0)),""))</f>
        <v/>
      </c>
      <c r="I666" s="130">
        <f>IF($F666="","",IFERROR(INDEX(사건마스터!$C$5:$C$64,MATCH($F666,사건마스터!$A$5:$A$64,0)),""))</f>
        <v/>
      </c>
      <c r="J666" s="136">
        <f>IF($F666="","",IFERROR(INDEX(사건마스터!$H$5:$H$64,MATCH($F666,사건마스터!$A$5:$A$64,0)),""))</f>
        <v/>
      </c>
      <c r="K666" s="136">
        <f>IF($F666="","",IFERROR(INDEX(사건마스터!$AH$5:$AH$64,MATCH($F666,사건마스터!$A$5:$A$64,0)),""))</f>
        <v/>
      </c>
      <c r="L666" s="136">
        <f>IF($F666="","",IFERROR(INDEX(사건마스터!$AI$5:$AI$64,MATCH($F666,사건마스터!$A$5:$A$64,0)),""))</f>
        <v/>
      </c>
      <c r="M666" s="136">
        <f>IF($F666="","",IFERROR(INDEX(사건마스터!$AJ$5:$AJ$64,MATCH($F666,사건마스터!$A$5:$A$64,0)),""))</f>
        <v/>
      </c>
      <c r="N666" s="136">
        <f>IF($F666="","",IFERROR(INDEX(사건마스터!$AK$5:$AK$64,MATCH($F666,사건마스터!$A$5:$A$64,0)),""))</f>
        <v/>
      </c>
      <c r="O666" s="136">
        <f>IF($F666="","",IFERROR(INDEX(사건마스터!$AL$5:$AL$64,MATCH($F666,사건마스터!$A$5:$A$64,0)),""))</f>
        <v/>
      </c>
      <c r="P666" s="136">
        <f>IF($F666="","",IFERROR(INDEX(사건마스터!$AM$5:$AM$64,MATCH($F666,사건마스터!$A$5:$A$64,0)),""))</f>
        <v/>
      </c>
      <c r="Q666" s="136">
        <f>IF($F666="","",IFERROR(INDEX(사건마스터!$AN$5:$AN$64,MATCH($F666,사건마스터!$A$5:$A$64,0)),""))</f>
        <v/>
      </c>
      <c r="R666" s="136">
        <f>IF($F666="","",IFERROR(INDEX(사건마스터!$AO$5:$AO$64,MATCH($F666,사건마스터!$A$5:$A$64,0)),""))</f>
        <v/>
      </c>
      <c r="S666" s="136">
        <f>IF($F666="","",IFERROR(INDEX(사건마스터!$AP$5:$AP$64,MATCH($F666,사건마스터!$A$5:$A$64,0)),""))</f>
        <v/>
      </c>
      <c r="T666" s="136">
        <f>IF($F666="","",IFERROR(INDEX(사건마스터!$AQ$5:$AQ$64,MATCH($F666,사건마스터!$A$5:$A$64,0)),""))</f>
        <v/>
      </c>
      <c r="U666" s="136">
        <f>IF($F666="","",IFERROR(INDEX(사건마스터!$AR$5:$AR$64,MATCH($F666,사건마스터!$A$5:$A$64,0)),""))</f>
        <v/>
      </c>
      <c r="V666" s="136">
        <f>IF($F666="","",IFERROR(INDEX(사건마스터!$AS$5:$AS$64,MATCH($F666,사건마스터!$A$5:$A$64,0)),""))</f>
        <v/>
      </c>
      <c r="W666" s="136">
        <f>IF($F666="","",IFERROR(INDEX(사건마스터!$AT$5:$AT$64,MATCH($F666,사건마스터!$A$5:$A$64,0)),""))</f>
        <v/>
      </c>
      <c r="X666" s="136">
        <f>IF($F666="","",IFERROR(INDEX(사건마스터!$AU$5:$AU$64,MATCH($F666,사건마스터!$A$5:$A$64,0)),""))</f>
        <v/>
      </c>
      <c r="Y666" s="136">
        <f>IF($F666="","",IFERROR(INDEX(사건마스터!$AV$5:$AV$64,MATCH($F666,사건마스터!$A$5:$A$64,0)),""))</f>
        <v/>
      </c>
      <c r="Z666" s="118">
        <f>IF(COUNTBLANK($J666:$Y666)=16,"",16-COUNTBLANK($J666:$Y666))</f>
        <v/>
      </c>
      <c r="AA666" s="33">
        <f>IF($J666="",MID($AX666,3,255),$J666&amp;$AX666)</f>
        <v/>
      </c>
      <c r="AB666" s="130">
        <f>IF($J666="","",IFERROR(INDEX(코드설정!$D$5:$D$24,MATCH($J666,코드설정!$C$5:$C$24,0)),""))</f>
        <v/>
      </c>
      <c r="AC666" s="36" t="n"/>
      <c r="AD666" s="37" t="n"/>
      <c r="AE666" s="38" t="n"/>
      <c r="AF666" s="118">
        <f>IF(OR($B666="",$C666=""),"",$C666-$B666+1)</f>
        <v/>
      </c>
      <c r="AG666" s="74" t="n"/>
      <c r="AH666" s="36" t="n"/>
      <c r="AJ666">
        <f>IF($K666="","",", "&amp;$K666)</f>
        <v/>
      </c>
      <c r="AK666">
        <f>AJ666&amp;IF($L666="","",", "&amp;$L666)</f>
        <v/>
      </c>
      <c r="AL666">
        <f>AK666&amp;IF($M666="","",", "&amp;$M666)</f>
        <v/>
      </c>
      <c r="AM666">
        <f>AL666&amp;IF($N666="","",", "&amp;$N666)</f>
        <v/>
      </c>
      <c r="AN666">
        <f>AM666&amp;IF($O666="","",", "&amp;$O666)</f>
        <v/>
      </c>
      <c r="AO666">
        <f>AN666&amp;IF($P666="","",", "&amp;$P666)</f>
        <v/>
      </c>
      <c r="AP666">
        <f>AO666&amp;IF($Q666="","",", "&amp;$Q666)</f>
        <v/>
      </c>
      <c r="AQ666">
        <f>AP666&amp;IF($R666="","",", "&amp;$R666)</f>
        <v/>
      </c>
      <c r="AR666">
        <f>AQ666&amp;IF($S666="","",", "&amp;$S666)</f>
        <v/>
      </c>
      <c r="AS666">
        <f>AR666&amp;IF($T666="","",", "&amp;$T666)</f>
        <v/>
      </c>
      <c r="AT666">
        <f>AS666&amp;IF($U666="","",", "&amp;$U666)</f>
        <v/>
      </c>
      <c r="AU666">
        <f>AT666&amp;IF($V666="","",", "&amp;$V666)</f>
        <v/>
      </c>
      <c r="AV666">
        <f>AU666&amp;IF($W666="","",", "&amp;$W666)</f>
        <v/>
      </c>
      <c r="AW666">
        <f>AV666&amp;IF($X666="","",", "&amp;$X666)</f>
        <v/>
      </c>
      <c r="AX666">
        <f>AW666&amp;IF($Y666="","",", "&amp;$Y666)</f>
        <v/>
      </c>
    </row>
    <row r="667">
      <c r="A667" s="118">
        <f>IF($B667="","",COUNT($B$5:$B667))</f>
        <v/>
      </c>
      <c r="B667" s="80" t="n"/>
      <c r="C667" s="80" t="n"/>
      <c r="D667" s="74" t="n"/>
      <c r="E667" s="74" t="n"/>
      <c r="F667" s="74" t="n"/>
      <c r="G667" s="118">
        <f>IF($F667="","",COUNTIF($F$5:$F667,$F667))</f>
        <v/>
      </c>
      <c r="H667" s="33">
        <f>IF($F667="","",IFERROR(INDEX(사건마스터!$B$5:$B$64,MATCH($F667,사건마스터!$A$5:$A$64,0)),""))</f>
        <v/>
      </c>
      <c r="I667" s="130">
        <f>IF($F667="","",IFERROR(INDEX(사건마스터!$C$5:$C$64,MATCH($F667,사건마스터!$A$5:$A$64,0)),""))</f>
        <v/>
      </c>
      <c r="J667" s="136">
        <f>IF($F667="","",IFERROR(INDEX(사건마스터!$H$5:$H$64,MATCH($F667,사건마스터!$A$5:$A$64,0)),""))</f>
        <v/>
      </c>
      <c r="K667" s="136">
        <f>IF($F667="","",IFERROR(INDEX(사건마스터!$AH$5:$AH$64,MATCH($F667,사건마스터!$A$5:$A$64,0)),""))</f>
        <v/>
      </c>
      <c r="L667" s="136">
        <f>IF($F667="","",IFERROR(INDEX(사건마스터!$AI$5:$AI$64,MATCH($F667,사건마스터!$A$5:$A$64,0)),""))</f>
        <v/>
      </c>
      <c r="M667" s="136">
        <f>IF($F667="","",IFERROR(INDEX(사건마스터!$AJ$5:$AJ$64,MATCH($F667,사건마스터!$A$5:$A$64,0)),""))</f>
        <v/>
      </c>
      <c r="N667" s="136">
        <f>IF($F667="","",IFERROR(INDEX(사건마스터!$AK$5:$AK$64,MATCH($F667,사건마스터!$A$5:$A$64,0)),""))</f>
        <v/>
      </c>
      <c r="O667" s="136">
        <f>IF($F667="","",IFERROR(INDEX(사건마스터!$AL$5:$AL$64,MATCH($F667,사건마스터!$A$5:$A$64,0)),""))</f>
        <v/>
      </c>
      <c r="P667" s="136">
        <f>IF($F667="","",IFERROR(INDEX(사건마스터!$AM$5:$AM$64,MATCH($F667,사건마스터!$A$5:$A$64,0)),""))</f>
        <v/>
      </c>
      <c r="Q667" s="136">
        <f>IF($F667="","",IFERROR(INDEX(사건마스터!$AN$5:$AN$64,MATCH($F667,사건마스터!$A$5:$A$64,0)),""))</f>
        <v/>
      </c>
      <c r="R667" s="136">
        <f>IF($F667="","",IFERROR(INDEX(사건마스터!$AO$5:$AO$64,MATCH($F667,사건마스터!$A$5:$A$64,0)),""))</f>
        <v/>
      </c>
      <c r="S667" s="136">
        <f>IF($F667="","",IFERROR(INDEX(사건마스터!$AP$5:$AP$64,MATCH($F667,사건마스터!$A$5:$A$64,0)),""))</f>
        <v/>
      </c>
      <c r="T667" s="136">
        <f>IF($F667="","",IFERROR(INDEX(사건마스터!$AQ$5:$AQ$64,MATCH($F667,사건마스터!$A$5:$A$64,0)),""))</f>
        <v/>
      </c>
      <c r="U667" s="136">
        <f>IF($F667="","",IFERROR(INDEX(사건마스터!$AR$5:$AR$64,MATCH($F667,사건마스터!$A$5:$A$64,0)),""))</f>
        <v/>
      </c>
      <c r="V667" s="136">
        <f>IF($F667="","",IFERROR(INDEX(사건마스터!$AS$5:$AS$64,MATCH($F667,사건마스터!$A$5:$A$64,0)),""))</f>
        <v/>
      </c>
      <c r="W667" s="136">
        <f>IF($F667="","",IFERROR(INDEX(사건마스터!$AT$5:$AT$64,MATCH($F667,사건마스터!$A$5:$A$64,0)),""))</f>
        <v/>
      </c>
      <c r="X667" s="136">
        <f>IF($F667="","",IFERROR(INDEX(사건마스터!$AU$5:$AU$64,MATCH($F667,사건마스터!$A$5:$A$64,0)),""))</f>
        <v/>
      </c>
      <c r="Y667" s="136">
        <f>IF($F667="","",IFERROR(INDEX(사건마스터!$AV$5:$AV$64,MATCH($F667,사건마스터!$A$5:$A$64,0)),""))</f>
        <v/>
      </c>
      <c r="Z667" s="118">
        <f>IF(COUNTBLANK($J667:$Y667)=16,"",16-COUNTBLANK($J667:$Y667))</f>
        <v/>
      </c>
      <c r="AA667" s="33">
        <f>IF($J667="",MID($AX667,3,255),$J667&amp;$AX667)</f>
        <v/>
      </c>
      <c r="AB667" s="130">
        <f>IF($J667="","",IFERROR(INDEX(코드설정!$D$5:$D$24,MATCH($J667,코드설정!$C$5:$C$24,0)),""))</f>
        <v/>
      </c>
      <c r="AC667" s="36" t="n"/>
      <c r="AD667" s="37" t="n"/>
      <c r="AE667" s="38" t="n"/>
      <c r="AF667" s="118">
        <f>IF(OR($B667="",$C667=""),"",$C667-$B667+1)</f>
        <v/>
      </c>
      <c r="AG667" s="74" t="n"/>
      <c r="AH667" s="36" t="n"/>
      <c r="AJ667">
        <f>IF($K667="","",", "&amp;$K667)</f>
        <v/>
      </c>
      <c r="AK667">
        <f>AJ667&amp;IF($L667="","",", "&amp;$L667)</f>
        <v/>
      </c>
      <c r="AL667">
        <f>AK667&amp;IF($M667="","",", "&amp;$M667)</f>
        <v/>
      </c>
      <c r="AM667">
        <f>AL667&amp;IF($N667="","",", "&amp;$N667)</f>
        <v/>
      </c>
      <c r="AN667">
        <f>AM667&amp;IF($O667="","",", "&amp;$O667)</f>
        <v/>
      </c>
      <c r="AO667">
        <f>AN667&amp;IF($P667="","",", "&amp;$P667)</f>
        <v/>
      </c>
      <c r="AP667">
        <f>AO667&amp;IF($Q667="","",", "&amp;$Q667)</f>
        <v/>
      </c>
      <c r="AQ667">
        <f>AP667&amp;IF($R667="","",", "&amp;$R667)</f>
        <v/>
      </c>
      <c r="AR667">
        <f>AQ667&amp;IF($S667="","",", "&amp;$S667)</f>
        <v/>
      </c>
      <c r="AS667">
        <f>AR667&amp;IF($T667="","",", "&amp;$T667)</f>
        <v/>
      </c>
      <c r="AT667">
        <f>AS667&amp;IF($U667="","",", "&amp;$U667)</f>
        <v/>
      </c>
      <c r="AU667">
        <f>AT667&amp;IF($V667="","",", "&amp;$V667)</f>
        <v/>
      </c>
      <c r="AV667">
        <f>AU667&amp;IF($W667="","",", "&amp;$W667)</f>
        <v/>
      </c>
      <c r="AW667">
        <f>AV667&amp;IF($X667="","",", "&amp;$X667)</f>
        <v/>
      </c>
      <c r="AX667">
        <f>AW667&amp;IF($Y667="","",", "&amp;$Y667)</f>
        <v/>
      </c>
    </row>
    <row r="668">
      <c r="A668" s="118">
        <f>IF($B668="","",COUNT($B$5:$B668))</f>
        <v/>
      </c>
      <c r="B668" s="80" t="n"/>
      <c r="C668" s="80" t="n"/>
      <c r="D668" s="74" t="n"/>
      <c r="E668" s="74" t="n"/>
      <c r="F668" s="74" t="n"/>
      <c r="G668" s="118">
        <f>IF($F668="","",COUNTIF($F$5:$F668,$F668))</f>
        <v/>
      </c>
      <c r="H668" s="33">
        <f>IF($F668="","",IFERROR(INDEX(사건마스터!$B$5:$B$64,MATCH($F668,사건마스터!$A$5:$A$64,0)),""))</f>
        <v/>
      </c>
      <c r="I668" s="130">
        <f>IF($F668="","",IFERROR(INDEX(사건마스터!$C$5:$C$64,MATCH($F668,사건마스터!$A$5:$A$64,0)),""))</f>
        <v/>
      </c>
      <c r="J668" s="136">
        <f>IF($F668="","",IFERROR(INDEX(사건마스터!$H$5:$H$64,MATCH($F668,사건마스터!$A$5:$A$64,0)),""))</f>
        <v/>
      </c>
      <c r="K668" s="136">
        <f>IF($F668="","",IFERROR(INDEX(사건마스터!$AH$5:$AH$64,MATCH($F668,사건마스터!$A$5:$A$64,0)),""))</f>
        <v/>
      </c>
      <c r="L668" s="136">
        <f>IF($F668="","",IFERROR(INDEX(사건마스터!$AI$5:$AI$64,MATCH($F668,사건마스터!$A$5:$A$64,0)),""))</f>
        <v/>
      </c>
      <c r="M668" s="136">
        <f>IF($F668="","",IFERROR(INDEX(사건마스터!$AJ$5:$AJ$64,MATCH($F668,사건마스터!$A$5:$A$64,0)),""))</f>
        <v/>
      </c>
      <c r="N668" s="136">
        <f>IF($F668="","",IFERROR(INDEX(사건마스터!$AK$5:$AK$64,MATCH($F668,사건마스터!$A$5:$A$64,0)),""))</f>
        <v/>
      </c>
      <c r="O668" s="136">
        <f>IF($F668="","",IFERROR(INDEX(사건마스터!$AL$5:$AL$64,MATCH($F668,사건마스터!$A$5:$A$64,0)),""))</f>
        <v/>
      </c>
      <c r="P668" s="136">
        <f>IF($F668="","",IFERROR(INDEX(사건마스터!$AM$5:$AM$64,MATCH($F668,사건마스터!$A$5:$A$64,0)),""))</f>
        <v/>
      </c>
      <c r="Q668" s="136">
        <f>IF($F668="","",IFERROR(INDEX(사건마스터!$AN$5:$AN$64,MATCH($F668,사건마스터!$A$5:$A$64,0)),""))</f>
        <v/>
      </c>
      <c r="R668" s="136">
        <f>IF($F668="","",IFERROR(INDEX(사건마스터!$AO$5:$AO$64,MATCH($F668,사건마스터!$A$5:$A$64,0)),""))</f>
        <v/>
      </c>
      <c r="S668" s="136">
        <f>IF($F668="","",IFERROR(INDEX(사건마스터!$AP$5:$AP$64,MATCH($F668,사건마스터!$A$5:$A$64,0)),""))</f>
        <v/>
      </c>
      <c r="T668" s="136">
        <f>IF($F668="","",IFERROR(INDEX(사건마스터!$AQ$5:$AQ$64,MATCH($F668,사건마스터!$A$5:$A$64,0)),""))</f>
        <v/>
      </c>
      <c r="U668" s="136">
        <f>IF($F668="","",IFERROR(INDEX(사건마스터!$AR$5:$AR$64,MATCH($F668,사건마스터!$A$5:$A$64,0)),""))</f>
        <v/>
      </c>
      <c r="V668" s="136">
        <f>IF($F668="","",IFERROR(INDEX(사건마스터!$AS$5:$AS$64,MATCH($F668,사건마스터!$A$5:$A$64,0)),""))</f>
        <v/>
      </c>
      <c r="W668" s="136">
        <f>IF($F668="","",IFERROR(INDEX(사건마스터!$AT$5:$AT$64,MATCH($F668,사건마스터!$A$5:$A$64,0)),""))</f>
        <v/>
      </c>
      <c r="X668" s="136">
        <f>IF($F668="","",IFERROR(INDEX(사건마스터!$AU$5:$AU$64,MATCH($F668,사건마스터!$A$5:$A$64,0)),""))</f>
        <v/>
      </c>
      <c r="Y668" s="136">
        <f>IF($F668="","",IFERROR(INDEX(사건마스터!$AV$5:$AV$64,MATCH($F668,사건마스터!$A$5:$A$64,0)),""))</f>
        <v/>
      </c>
      <c r="Z668" s="118">
        <f>IF(COUNTBLANK($J668:$Y668)=16,"",16-COUNTBLANK($J668:$Y668))</f>
        <v/>
      </c>
      <c r="AA668" s="33">
        <f>IF($J668="",MID($AX668,3,255),$J668&amp;$AX668)</f>
        <v/>
      </c>
      <c r="AB668" s="130">
        <f>IF($J668="","",IFERROR(INDEX(코드설정!$D$5:$D$24,MATCH($J668,코드설정!$C$5:$C$24,0)),""))</f>
        <v/>
      </c>
      <c r="AC668" s="36" t="n"/>
      <c r="AD668" s="37" t="n"/>
      <c r="AE668" s="38" t="n"/>
      <c r="AF668" s="118">
        <f>IF(OR($B668="",$C668=""),"",$C668-$B668+1)</f>
        <v/>
      </c>
      <c r="AG668" s="74" t="n"/>
      <c r="AH668" s="36" t="n"/>
      <c r="AJ668">
        <f>IF($K668="","",", "&amp;$K668)</f>
        <v/>
      </c>
      <c r="AK668">
        <f>AJ668&amp;IF($L668="","",", "&amp;$L668)</f>
        <v/>
      </c>
      <c r="AL668">
        <f>AK668&amp;IF($M668="","",", "&amp;$M668)</f>
        <v/>
      </c>
      <c r="AM668">
        <f>AL668&amp;IF($N668="","",", "&amp;$N668)</f>
        <v/>
      </c>
      <c r="AN668">
        <f>AM668&amp;IF($O668="","",", "&amp;$O668)</f>
        <v/>
      </c>
      <c r="AO668">
        <f>AN668&amp;IF($P668="","",", "&amp;$P668)</f>
        <v/>
      </c>
      <c r="AP668">
        <f>AO668&amp;IF($Q668="","",", "&amp;$Q668)</f>
        <v/>
      </c>
      <c r="AQ668">
        <f>AP668&amp;IF($R668="","",", "&amp;$R668)</f>
        <v/>
      </c>
      <c r="AR668">
        <f>AQ668&amp;IF($S668="","",", "&amp;$S668)</f>
        <v/>
      </c>
      <c r="AS668">
        <f>AR668&amp;IF($T668="","",", "&amp;$T668)</f>
        <v/>
      </c>
      <c r="AT668">
        <f>AS668&amp;IF($U668="","",", "&amp;$U668)</f>
        <v/>
      </c>
      <c r="AU668">
        <f>AT668&amp;IF($V668="","",", "&amp;$V668)</f>
        <v/>
      </c>
      <c r="AV668">
        <f>AU668&amp;IF($W668="","",", "&amp;$W668)</f>
        <v/>
      </c>
      <c r="AW668">
        <f>AV668&amp;IF($X668="","",", "&amp;$X668)</f>
        <v/>
      </c>
      <c r="AX668">
        <f>AW668&amp;IF($Y668="","",", "&amp;$Y668)</f>
        <v/>
      </c>
    </row>
    <row r="669">
      <c r="A669" s="118">
        <f>IF($B669="","",COUNT($B$5:$B669))</f>
        <v/>
      </c>
      <c r="B669" s="80" t="n"/>
      <c r="C669" s="80" t="n"/>
      <c r="D669" s="74" t="n"/>
      <c r="E669" s="74" t="n"/>
      <c r="F669" s="74" t="n"/>
      <c r="G669" s="118">
        <f>IF($F669="","",COUNTIF($F$5:$F669,$F669))</f>
        <v/>
      </c>
      <c r="H669" s="33">
        <f>IF($F669="","",IFERROR(INDEX(사건마스터!$B$5:$B$64,MATCH($F669,사건마스터!$A$5:$A$64,0)),""))</f>
        <v/>
      </c>
      <c r="I669" s="130">
        <f>IF($F669="","",IFERROR(INDEX(사건마스터!$C$5:$C$64,MATCH($F669,사건마스터!$A$5:$A$64,0)),""))</f>
        <v/>
      </c>
      <c r="J669" s="136">
        <f>IF($F669="","",IFERROR(INDEX(사건마스터!$H$5:$H$64,MATCH($F669,사건마스터!$A$5:$A$64,0)),""))</f>
        <v/>
      </c>
      <c r="K669" s="136">
        <f>IF($F669="","",IFERROR(INDEX(사건마스터!$AH$5:$AH$64,MATCH($F669,사건마스터!$A$5:$A$64,0)),""))</f>
        <v/>
      </c>
      <c r="L669" s="136">
        <f>IF($F669="","",IFERROR(INDEX(사건마스터!$AI$5:$AI$64,MATCH($F669,사건마스터!$A$5:$A$64,0)),""))</f>
        <v/>
      </c>
      <c r="M669" s="136">
        <f>IF($F669="","",IFERROR(INDEX(사건마스터!$AJ$5:$AJ$64,MATCH($F669,사건마스터!$A$5:$A$64,0)),""))</f>
        <v/>
      </c>
      <c r="N669" s="136">
        <f>IF($F669="","",IFERROR(INDEX(사건마스터!$AK$5:$AK$64,MATCH($F669,사건마스터!$A$5:$A$64,0)),""))</f>
        <v/>
      </c>
      <c r="O669" s="136">
        <f>IF($F669="","",IFERROR(INDEX(사건마스터!$AL$5:$AL$64,MATCH($F669,사건마스터!$A$5:$A$64,0)),""))</f>
        <v/>
      </c>
      <c r="P669" s="136">
        <f>IF($F669="","",IFERROR(INDEX(사건마스터!$AM$5:$AM$64,MATCH($F669,사건마스터!$A$5:$A$64,0)),""))</f>
        <v/>
      </c>
      <c r="Q669" s="136">
        <f>IF($F669="","",IFERROR(INDEX(사건마스터!$AN$5:$AN$64,MATCH($F669,사건마스터!$A$5:$A$64,0)),""))</f>
        <v/>
      </c>
      <c r="R669" s="136">
        <f>IF($F669="","",IFERROR(INDEX(사건마스터!$AO$5:$AO$64,MATCH($F669,사건마스터!$A$5:$A$64,0)),""))</f>
        <v/>
      </c>
      <c r="S669" s="136">
        <f>IF($F669="","",IFERROR(INDEX(사건마스터!$AP$5:$AP$64,MATCH($F669,사건마스터!$A$5:$A$64,0)),""))</f>
        <v/>
      </c>
      <c r="T669" s="136">
        <f>IF($F669="","",IFERROR(INDEX(사건마스터!$AQ$5:$AQ$64,MATCH($F669,사건마스터!$A$5:$A$64,0)),""))</f>
        <v/>
      </c>
      <c r="U669" s="136">
        <f>IF($F669="","",IFERROR(INDEX(사건마스터!$AR$5:$AR$64,MATCH($F669,사건마스터!$A$5:$A$64,0)),""))</f>
        <v/>
      </c>
      <c r="V669" s="136">
        <f>IF($F669="","",IFERROR(INDEX(사건마스터!$AS$5:$AS$64,MATCH($F669,사건마스터!$A$5:$A$64,0)),""))</f>
        <v/>
      </c>
      <c r="W669" s="136">
        <f>IF($F669="","",IFERROR(INDEX(사건마스터!$AT$5:$AT$64,MATCH($F669,사건마스터!$A$5:$A$64,0)),""))</f>
        <v/>
      </c>
      <c r="X669" s="136">
        <f>IF($F669="","",IFERROR(INDEX(사건마스터!$AU$5:$AU$64,MATCH($F669,사건마스터!$A$5:$A$64,0)),""))</f>
        <v/>
      </c>
      <c r="Y669" s="136">
        <f>IF($F669="","",IFERROR(INDEX(사건마스터!$AV$5:$AV$64,MATCH($F669,사건마스터!$A$5:$A$64,0)),""))</f>
        <v/>
      </c>
      <c r="Z669" s="118">
        <f>IF(COUNTBLANK($J669:$Y669)=16,"",16-COUNTBLANK($J669:$Y669))</f>
        <v/>
      </c>
      <c r="AA669" s="33">
        <f>IF($J669="",MID($AX669,3,255),$J669&amp;$AX669)</f>
        <v/>
      </c>
      <c r="AB669" s="130">
        <f>IF($J669="","",IFERROR(INDEX(코드설정!$D$5:$D$24,MATCH($J669,코드설정!$C$5:$C$24,0)),""))</f>
        <v/>
      </c>
      <c r="AC669" s="36" t="n"/>
      <c r="AD669" s="37" t="n"/>
      <c r="AE669" s="38" t="n"/>
      <c r="AF669" s="118">
        <f>IF(OR($B669="",$C669=""),"",$C669-$B669+1)</f>
        <v/>
      </c>
      <c r="AG669" s="74" t="n"/>
      <c r="AH669" s="36" t="n"/>
      <c r="AJ669">
        <f>IF($K669="","",", "&amp;$K669)</f>
        <v/>
      </c>
      <c r="AK669">
        <f>AJ669&amp;IF($L669="","",", "&amp;$L669)</f>
        <v/>
      </c>
      <c r="AL669">
        <f>AK669&amp;IF($M669="","",", "&amp;$M669)</f>
        <v/>
      </c>
      <c r="AM669">
        <f>AL669&amp;IF($N669="","",", "&amp;$N669)</f>
        <v/>
      </c>
      <c r="AN669">
        <f>AM669&amp;IF($O669="","",", "&amp;$O669)</f>
        <v/>
      </c>
      <c r="AO669">
        <f>AN669&amp;IF($P669="","",", "&amp;$P669)</f>
        <v/>
      </c>
      <c r="AP669">
        <f>AO669&amp;IF($Q669="","",", "&amp;$Q669)</f>
        <v/>
      </c>
      <c r="AQ669">
        <f>AP669&amp;IF($R669="","",", "&amp;$R669)</f>
        <v/>
      </c>
      <c r="AR669">
        <f>AQ669&amp;IF($S669="","",", "&amp;$S669)</f>
        <v/>
      </c>
      <c r="AS669">
        <f>AR669&amp;IF($T669="","",", "&amp;$T669)</f>
        <v/>
      </c>
      <c r="AT669">
        <f>AS669&amp;IF($U669="","",", "&amp;$U669)</f>
        <v/>
      </c>
      <c r="AU669">
        <f>AT669&amp;IF($V669="","",", "&amp;$V669)</f>
        <v/>
      </c>
      <c r="AV669">
        <f>AU669&amp;IF($W669="","",", "&amp;$W669)</f>
        <v/>
      </c>
      <c r="AW669">
        <f>AV669&amp;IF($X669="","",", "&amp;$X669)</f>
        <v/>
      </c>
      <c r="AX669">
        <f>AW669&amp;IF($Y669="","",", "&amp;$Y669)</f>
        <v/>
      </c>
    </row>
    <row r="670">
      <c r="A670" s="118">
        <f>IF($B670="","",COUNT($B$5:$B670))</f>
        <v/>
      </c>
      <c r="B670" s="80" t="n"/>
      <c r="C670" s="80" t="n"/>
      <c r="D670" s="74" t="n"/>
      <c r="E670" s="74" t="n"/>
      <c r="F670" s="74" t="n"/>
      <c r="G670" s="118">
        <f>IF($F670="","",COUNTIF($F$5:$F670,$F670))</f>
        <v/>
      </c>
      <c r="H670" s="33">
        <f>IF($F670="","",IFERROR(INDEX(사건마스터!$B$5:$B$64,MATCH($F670,사건마스터!$A$5:$A$64,0)),""))</f>
        <v/>
      </c>
      <c r="I670" s="130">
        <f>IF($F670="","",IFERROR(INDEX(사건마스터!$C$5:$C$64,MATCH($F670,사건마스터!$A$5:$A$64,0)),""))</f>
        <v/>
      </c>
      <c r="J670" s="136">
        <f>IF($F670="","",IFERROR(INDEX(사건마스터!$H$5:$H$64,MATCH($F670,사건마스터!$A$5:$A$64,0)),""))</f>
        <v/>
      </c>
      <c r="K670" s="136">
        <f>IF($F670="","",IFERROR(INDEX(사건마스터!$AH$5:$AH$64,MATCH($F670,사건마스터!$A$5:$A$64,0)),""))</f>
        <v/>
      </c>
      <c r="L670" s="136">
        <f>IF($F670="","",IFERROR(INDEX(사건마스터!$AI$5:$AI$64,MATCH($F670,사건마스터!$A$5:$A$64,0)),""))</f>
        <v/>
      </c>
      <c r="M670" s="136">
        <f>IF($F670="","",IFERROR(INDEX(사건마스터!$AJ$5:$AJ$64,MATCH($F670,사건마스터!$A$5:$A$64,0)),""))</f>
        <v/>
      </c>
      <c r="N670" s="136">
        <f>IF($F670="","",IFERROR(INDEX(사건마스터!$AK$5:$AK$64,MATCH($F670,사건마스터!$A$5:$A$64,0)),""))</f>
        <v/>
      </c>
      <c r="O670" s="136">
        <f>IF($F670="","",IFERROR(INDEX(사건마스터!$AL$5:$AL$64,MATCH($F670,사건마스터!$A$5:$A$64,0)),""))</f>
        <v/>
      </c>
      <c r="P670" s="136">
        <f>IF($F670="","",IFERROR(INDEX(사건마스터!$AM$5:$AM$64,MATCH($F670,사건마스터!$A$5:$A$64,0)),""))</f>
        <v/>
      </c>
      <c r="Q670" s="136">
        <f>IF($F670="","",IFERROR(INDEX(사건마스터!$AN$5:$AN$64,MATCH($F670,사건마스터!$A$5:$A$64,0)),""))</f>
        <v/>
      </c>
      <c r="R670" s="136">
        <f>IF($F670="","",IFERROR(INDEX(사건마스터!$AO$5:$AO$64,MATCH($F670,사건마스터!$A$5:$A$64,0)),""))</f>
        <v/>
      </c>
      <c r="S670" s="136">
        <f>IF($F670="","",IFERROR(INDEX(사건마스터!$AP$5:$AP$64,MATCH($F670,사건마스터!$A$5:$A$64,0)),""))</f>
        <v/>
      </c>
      <c r="T670" s="136">
        <f>IF($F670="","",IFERROR(INDEX(사건마스터!$AQ$5:$AQ$64,MATCH($F670,사건마스터!$A$5:$A$64,0)),""))</f>
        <v/>
      </c>
      <c r="U670" s="136">
        <f>IF($F670="","",IFERROR(INDEX(사건마스터!$AR$5:$AR$64,MATCH($F670,사건마스터!$A$5:$A$64,0)),""))</f>
        <v/>
      </c>
      <c r="V670" s="136">
        <f>IF($F670="","",IFERROR(INDEX(사건마스터!$AS$5:$AS$64,MATCH($F670,사건마스터!$A$5:$A$64,0)),""))</f>
        <v/>
      </c>
      <c r="W670" s="136">
        <f>IF($F670="","",IFERROR(INDEX(사건마스터!$AT$5:$AT$64,MATCH($F670,사건마스터!$A$5:$A$64,0)),""))</f>
        <v/>
      </c>
      <c r="X670" s="136">
        <f>IF($F670="","",IFERROR(INDEX(사건마스터!$AU$5:$AU$64,MATCH($F670,사건마스터!$A$5:$A$64,0)),""))</f>
        <v/>
      </c>
      <c r="Y670" s="136">
        <f>IF($F670="","",IFERROR(INDEX(사건마스터!$AV$5:$AV$64,MATCH($F670,사건마스터!$A$5:$A$64,0)),""))</f>
        <v/>
      </c>
      <c r="Z670" s="118">
        <f>IF(COUNTBLANK($J670:$Y670)=16,"",16-COUNTBLANK($J670:$Y670))</f>
        <v/>
      </c>
      <c r="AA670" s="33">
        <f>IF($J670="",MID($AX670,3,255),$J670&amp;$AX670)</f>
        <v/>
      </c>
      <c r="AB670" s="130">
        <f>IF($J670="","",IFERROR(INDEX(코드설정!$D$5:$D$24,MATCH($J670,코드설정!$C$5:$C$24,0)),""))</f>
        <v/>
      </c>
      <c r="AC670" s="36" t="n"/>
      <c r="AD670" s="37" t="n"/>
      <c r="AE670" s="38" t="n"/>
      <c r="AF670" s="118">
        <f>IF(OR($B670="",$C670=""),"",$C670-$B670+1)</f>
        <v/>
      </c>
      <c r="AG670" s="74" t="n"/>
      <c r="AH670" s="36" t="n"/>
      <c r="AJ670">
        <f>IF($K670="","",", "&amp;$K670)</f>
        <v/>
      </c>
      <c r="AK670">
        <f>AJ670&amp;IF($L670="","",", "&amp;$L670)</f>
        <v/>
      </c>
      <c r="AL670">
        <f>AK670&amp;IF($M670="","",", "&amp;$M670)</f>
        <v/>
      </c>
      <c r="AM670">
        <f>AL670&amp;IF($N670="","",", "&amp;$N670)</f>
        <v/>
      </c>
      <c r="AN670">
        <f>AM670&amp;IF($O670="","",", "&amp;$O670)</f>
        <v/>
      </c>
      <c r="AO670">
        <f>AN670&amp;IF($P670="","",", "&amp;$P670)</f>
        <v/>
      </c>
      <c r="AP670">
        <f>AO670&amp;IF($Q670="","",", "&amp;$Q670)</f>
        <v/>
      </c>
      <c r="AQ670">
        <f>AP670&amp;IF($R670="","",", "&amp;$R670)</f>
        <v/>
      </c>
      <c r="AR670">
        <f>AQ670&amp;IF($S670="","",", "&amp;$S670)</f>
        <v/>
      </c>
      <c r="AS670">
        <f>AR670&amp;IF($T670="","",", "&amp;$T670)</f>
        <v/>
      </c>
      <c r="AT670">
        <f>AS670&amp;IF($U670="","",", "&amp;$U670)</f>
        <v/>
      </c>
      <c r="AU670">
        <f>AT670&amp;IF($V670="","",", "&amp;$V670)</f>
        <v/>
      </c>
      <c r="AV670">
        <f>AU670&amp;IF($W670="","",", "&amp;$W670)</f>
        <v/>
      </c>
      <c r="AW670">
        <f>AV670&amp;IF($X670="","",", "&amp;$X670)</f>
        <v/>
      </c>
      <c r="AX670">
        <f>AW670&amp;IF($Y670="","",", "&amp;$Y670)</f>
        <v/>
      </c>
    </row>
    <row r="671">
      <c r="A671" s="118">
        <f>IF($B671="","",COUNT($B$5:$B671))</f>
        <v/>
      </c>
      <c r="B671" s="80" t="n"/>
      <c r="C671" s="80" t="n"/>
      <c r="D671" s="74" t="n"/>
      <c r="E671" s="74" t="n"/>
      <c r="F671" s="74" t="n"/>
      <c r="G671" s="118">
        <f>IF($F671="","",COUNTIF($F$5:$F671,$F671))</f>
        <v/>
      </c>
      <c r="H671" s="33">
        <f>IF($F671="","",IFERROR(INDEX(사건마스터!$B$5:$B$64,MATCH($F671,사건마스터!$A$5:$A$64,0)),""))</f>
        <v/>
      </c>
      <c r="I671" s="130">
        <f>IF($F671="","",IFERROR(INDEX(사건마스터!$C$5:$C$64,MATCH($F671,사건마스터!$A$5:$A$64,0)),""))</f>
        <v/>
      </c>
      <c r="J671" s="136">
        <f>IF($F671="","",IFERROR(INDEX(사건마스터!$H$5:$H$64,MATCH($F671,사건마스터!$A$5:$A$64,0)),""))</f>
        <v/>
      </c>
      <c r="K671" s="136">
        <f>IF($F671="","",IFERROR(INDEX(사건마스터!$AH$5:$AH$64,MATCH($F671,사건마스터!$A$5:$A$64,0)),""))</f>
        <v/>
      </c>
      <c r="L671" s="136">
        <f>IF($F671="","",IFERROR(INDEX(사건마스터!$AI$5:$AI$64,MATCH($F671,사건마스터!$A$5:$A$64,0)),""))</f>
        <v/>
      </c>
      <c r="M671" s="136">
        <f>IF($F671="","",IFERROR(INDEX(사건마스터!$AJ$5:$AJ$64,MATCH($F671,사건마스터!$A$5:$A$64,0)),""))</f>
        <v/>
      </c>
      <c r="N671" s="136">
        <f>IF($F671="","",IFERROR(INDEX(사건마스터!$AK$5:$AK$64,MATCH($F671,사건마스터!$A$5:$A$64,0)),""))</f>
        <v/>
      </c>
      <c r="O671" s="136">
        <f>IF($F671="","",IFERROR(INDEX(사건마스터!$AL$5:$AL$64,MATCH($F671,사건마스터!$A$5:$A$64,0)),""))</f>
        <v/>
      </c>
      <c r="P671" s="136">
        <f>IF($F671="","",IFERROR(INDEX(사건마스터!$AM$5:$AM$64,MATCH($F671,사건마스터!$A$5:$A$64,0)),""))</f>
        <v/>
      </c>
      <c r="Q671" s="136">
        <f>IF($F671="","",IFERROR(INDEX(사건마스터!$AN$5:$AN$64,MATCH($F671,사건마스터!$A$5:$A$64,0)),""))</f>
        <v/>
      </c>
      <c r="R671" s="136">
        <f>IF($F671="","",IFERROR(INDEX(사건마스터!$AO$5:$AO$64,MATCH($F671,사건마스터!$A$5:$A$64,0)),""))</f>
        <v/>
      </c>
      <c r="S671" s="136">
        <f>IF($F671="","",IFERROR(INDEX(사건마스터!$AP$5:$AP$64,MATCH($F671,사건마스터!$A$5:$A$64,0)),""))</f>
        <v/>
      </c>
      <c r="T671" s="136">
        <f>IF($F671="","",IFERROR(INDEX(사건마스터!$AQ$5:$AQ$64,MATCH($F671,사건마스터!$A$5:$A$64,0)),""))</f>
        <v/>
      </c>
      <c r="U671" s="136">
        <f>IF($F671="","",IFERROR(INDEX(사건마스터!$AR$5:$AR$64,MATCH($F671,사건마스터!$A$5:$A$64,0)),""))</f>
        <v/>
      </c>
      <c r="V671" s="136">
        <f>IF($F671="","",IFERROR(INDEX(사건마스터!$AS$5:$AS$64,MATCH($F671,사건마스터!$A$5:$A$64,0)),""))</f>
        <v/>
      </c>
      <c r="W671" s="136">
        <f>IF($F671="","",IFERROR(INDEX(사건마스터!$AT$5:$AT$64,MATCH($F671,사건마스터!$A$5:$A$64,0)),""))</f>
        <v/>
      </c>
      <c r="X671" s="136">
        <f>IF($F671="","",IFERROR(INDEX(사건마스터!$AU$5:$AU$64,MATCH($F671,사건마스터!$A$5:$A$64,0)),""))</f>
        <v/>
      </c>
      <c r="Y671" s="136">
        <f>IF($F671="","",IFERROR(INDEX(사건마스터!$AV$5:$AV$64,MATCH($F671,사건마스터!$A$5:$A$64,0)),""))</f>
        <v/>
      </c>
      <c r="Z671" s="118">
        <f>IF(COUNTBLANK($J671:$Y671)=16,"",16-COUNTBLANK($J671:$Y671))</f>
        <v/>
      </c>
      <c r="AA671" s="33">
        <f>IF($J671="",MID($AX671,3,255),$J671&amp;$AX671)</f>
        <v/>
      </c>
      <c r="AB671" s="130">
        <f>IF($J671="","",IFERROR(INDEX(코드설정!$D$5:$D$24,MATCH($J671,코드설정!$C$5:$C$24,0)),""))</f>
        <v/>
      </c>
      <c r="AC671" s="36" t="n"/>
      <c r="AD671" s="37" t="n"/>
      <c r="AE671" s="38" t="n"/>
      <c r="AF671" s="118">
        <f>IF(OR($B671="",$C671=""),"",$C671-$B671+1)</f>
        <v/>
      </c>
      <c r="AG671" s="74" t="n"/>
      <c r="AH671" s="36" t="n"/>
      <c r="AJ671">
        <f>IF($K671="","",", "&amp;$K671)</f>
        <v/>
      </c>
      <c r="AK671">
        <f>AJ671&amp;IF($L671="","",", "&amp;$L671)</f>
        <v/>
      </c>
      <c r="AL671">
        <f>AK671&amp;IF($M671="","",", "&amp;$M671)</f>
        <v/>
      </c>
      <c r="AM671">
        <f>AL671&amp;IF($N671="","",", "&amp;$N671)</f>
        <v/>
      </c>
      <c r="AN671">
        <f>AM671&amp;IF($O671="","",", "&amp;$O671)</f>
        <v/>
      </c>
      <c r="AO671">
        <f>AN671&amp;IF($P671="","",", "&amp;$P671)</f>
        <v/>
      </c>
      <c r="AP671">
        <f>AO671&amp;IF($Q671="","",", "&amp;$Q671)</f>
        <v/>
      </c>
      <c r="AQ671">
        <f>AP671&amp;IF($R671="","",", "&amp;$R671)</f>
        <v/>
      </c>
      <c r="AR671">
        <f>AQ671&amp;IF($S671="","",", "&amp;$S671)</f>
        <v/>
      </c>
      <c r="AS671">
        <f>AR671&amp;IF($T671="","",", "&amp;$T671)</f>
        <v/>
      </c>
      <c r="AT671">
        <f>AS671&amp;IF($U671="","",", "&amp;$U671)</f>
        <v/>
      </c>
      <c r="AU671">
        <f>AT671&amp;IF($V671="","",", "&amp;$V671)</f>
        <v/>
      </c>
      <c r="AV671">
        <f>AU671&amp;IF($W671="","",", "&amp;$W671)</f>
        <v/>
      </c>
      <c r="AW671">
        <f>AV671&amp;IF($X671="","",", "&amp;$X671)</f>
        <v/>
      </c>
      <c r="AX671">
        <f>AW671&amp;IF($Y671="","",", "&amp;$Y671)</f>
        <v/>
      </c>
    </row>
    <row r="672">
      <c r="A672" s="118">
        <f>IF($B672="","",COUNT($B$5:$B672))</f>
        <v/>
      </c>
      <c r="B672" s="80" t="n"/>
      <c r="C672" s="80" t="n"/>
      <c r="D672" s="74" t="n"/>
      <c r="E672" s="74" t="n"/>
      <c r="F672" s="74" t="n"/>
      <c r="G672" s="118">
        <f>IF($F672="","",COUNTIF($F$5:$F672,$F672))</f>
        <v/>
      </c>
      <c r="H672" s="33">
        <f>IF($F672="","",IFERROR(INDEX(사건마스터!$B$5:$B$64,MATCH($F672,사건마스터!$A$5:$A$64,0)),""))</f>
        <v/>
      </c>
      <c r="I672" s="130">
        <f>IF($F672="","",IFERROR(INDEX(사건마스터!$C$5:$C$64,MATCH($F672,사건마스터!$A$5:$A$64,0)),""))</f>
        <v/>
      </c>
      <c r="J672" s="136">
        <f>IF($F672="","",IFERROR(INDEX(사건마스터!$H$5:$H$64,MATCH($F672,사건마스터!$A$5:$A$64,0)),""))</f>
        <v/>
      </c>
      <c r="K672" s="136">
        <f>IF($F672="","",IFERROR(INDEX(사건마스터!$AH$5:$AH$64,MATCH($F672,사건마스터!$A$5:$A$64,0)),""))</f>
        <v/>
      </c>
      <c r="L672" s="136">
        <f>IF($F672="","",IFERROR(INDEX(사건마스터!$AI$5:$AI$64,MATCH($F672,사건마스터!$A$5:$A$64,0)),""))</f>
        <v/>
      </c>
      <c r="M672" s="136">
        <f>IF($F672="","",IFERROR(INDEX(사건마스터!$AJ$5:$AJ$64,MATCH($F672,사건마스터!$A$5:$A$64,0)),""))</f>
        <v/>
      </c>
      <c r="N672" s="136">
        <f>IF($F672="","",IFERROR(INDEX(사건마스터!$AK$5:$AK$64,MATCH($F672,사건마스터!$A$5:$A$64,0)),""))</f>
        <v/>
      </c>
      <c r="O672" s="136">
        <f>IF($F672="","",IFERROR(INDEX(사건마스터!$AL$5:$AL$64,MATCH($F672,사건마스터!$A$5:$A$64,0)),""))</f>
        <v/>
      </c>
      <c r="P672" s="136">
        <f>IF($F672="","",IFERROR(INDEX(사건마스터!$AM$5:$AM$64,MATCH($F672,사건마스터!$A$5:$A$64,0)),""))</f>
        <v/>
      </c>
      <c r="Q672" s="136">
        <f>IF($F672="","",IFERROR(INDEX(사건마스터!$AN$5:$AN$64,MATCH($F672,사건마스터!$A$5:$A$64,0)),""))</f>
        <v/>
      </c>
      <c r="R672" s="136">
        <f>IF($F672="","",IFERROR(INDEX(사건마스터!$AO$5:$AO$64,MATCH($F672,사건마스터!$A$5:$A$64,0)),""))</f>
        <v/>
      </c>
      <c r="S672" s="136">
        <f>IF($F672="","",IFERROR(INDEX(사건마스터!$AP$5:$AP$64,MATCH($F672,사건마스터!$A$5:$A$64,0)),""))</f>
        <v/>
      </c>
      <c r="T672" s="136">
        <f>IF($F672="","",IFERROR(INDEX(사건마스터!$AQ$5:$AQ$64,MATCH($F672,사건마스터!$A$5:$A$64,0)),""))</f>
        <v/>
      </c>
      <c r="U672" s="136">
        <f>IF($F672="","",IFERROR(INDEX(사건마스터!$AR$5:$AR$64,MATCH($F672,사건마스터!$A$5:$A$64,0)),""))</f>
        <v/>
      </c>
      <c r="V672" s="136">
        <f>IF($F672="","",IFERROR(INDEX(사건마스터!$AS$5:$AS$64,MATCH($F672,사건마스터!$A$5:$A$64,0)),""))</f>
        <v/>
      </c>
      <c r="W672" s="136">
        <f>IF($F672="","",IFERROR(INDEX(사건마스터!$AT$5:$AT$64,MATCH($F672,사건마스터!$A$5:$A$64,0)),""))</f>
        <v/>
      </c>
      <c r="X672" s="136">
        <f>IF($F672="","",IFERROR(INDEX(사건마스터!$AU$5:$AU$64,MATCH($F672,사건마스터!$A$5:$A$64,0)),""))</f>
        <v/>
      </c>
      <c r="Y672" s="136">
        <f>IF($F672="","",IFERROR(INDEX(사건마스터!$AV$5:$AV$64,MATCH($F672,사건마스터!$A$5:$A$64,0)),""))</f>
        <v/>
      </c>
      <c r="Z672" s="118">
        <f>IF(COUNTBLANK($J672:$Y672)=16,"",16-COUNTBLANK($J672:$Y672))</f>
        <v/>
      </c>
      <c r="AA672" s="33">
        <f>IF($J672="",MID($AX672,3,255),$J672&amp;$AX672)</f>
        <v/>
      </c>
      <c r="AB672" s="130">
        <f>IF($J672="","",IFERROR(INDEX(코드설정!$D$5:$D$24,MATCH($J672,코드설정!$C$5:$C$24,0)),""))</f>
        <v/>
      </c>
      <c r="AC672" s="36" t="n"/>
      <c r="AD672" s="37" t="n"/>
      <c r="AE672" s="38" t="n"/>
      <c r="AF672" s="118">
        <f>IF(OR($B672="",$C672=""),"",$C672-$B672+1)</f>
        <v/>
      </c>
      <c r="AG672" s="74" t="n"/>
      <c r="AH672" s="36" t="n"/>
      <c r="AJ672">
        <f>IF($K672="","",", "&amp;$K672)</f>
        <v/>
      </c>
      <c r="AK672">
        <f>AJ672&amp;IF($L672="","",", "&amp;$L672)</f>
        <v/>
      </c>
      <c r="AL672">
        <f>AK672&amp;IF($M672="","",", "&amp;$M672)</f>
        <v/>
      </c>
      <c r="AM672">
        <f>AL672&amp;IF($N672="","",", "&amp;$N672)</f>
        <v/>
      </c>
      <c r="AN672">
        <f>AM672&amp;IF($O672="","",", "&amp;$O672)</f>
        <v/>
      </c>
      <c r="AO672">
        <f>AN672&amp;IF($P672="","",", "&amp;$P672)</f>
        <v/>
      </c>
      <c r="AP672">
        <f>AO672&amp;IF($Q672="","",", "&amp;$Q672)</f>
        <v/>
      </c>
      <c r="AQ672">
        <f>AP672&amp;IF($R672="","",", "&amp;$R672)</f>
        <v/>
      </c>
      <c r="AR672">
        <f>AQ672&amp;IF($S672="","",", "&amp;$S672)</f>
        <v/>
      </c>
      <c r="AS672">
        <f>AR672&amp;IF($T672="","",", "&amp;$T672)</f>
        <v/>
      </c>
      <c r="AT672">
        <f>AS672&amp;IF($U672="","",", "&amp;$U672)</f>
        <v/>
      </c>
      <c r="AU672">
        <f>AT672&amp;IF($V672="","",", "&amp;$V672)</f>
        <v/>
      </c>
      <c r="AV672">
        <f>AU672&amp;IF($W672="","",", "&amp;$W672)</f>
        <v/>
      </c>
      <c r="AW672">
        <f>AV672&amp;IF($X672="","",", "&amp;$X672)</f>
        <v/>
      </c>
      <c r="AX672">
        <f>AW672&amp;IF($Y672="","",", "&amp;$Y672)</f>
        <v/>
      </c>
    </row>
    <row r="673">
      <c r="A673" s="118">
        <f>IF($B673="","",COUNT($B$5:$B673))</f>
        <v/>
      </c>
      <c r="B673" s="80" t="n"/>
      <c r="C673" s="80" t="n"/>
      <c r="D673" s="74" t="n"/>
      <c r="E673" s="74" t="n"/>
      <c r="F673" s="74" t="n"/>
      <c r="G673" s="118">
        <f>IF($F673="","",COUNTIF($F$5:$F673,$F673))</f>
        <v/>
      </c>
      <c r="H673" s="33">
        <f>IF($F673="","",IFERROR(INDEX(사건마스터!$B$5:$B$64,MATCH($F673,사건마스터!$A$5:$A$64,0)),""))</f>
        <v/>
      </c>
      <c r="I673" s="130">
        <f>IF($F673="","",IFERROR(INDEX(사건마스터!$C$5:$C$64,MATCH($F673,사건마스터!$A$5:$A$64,0)),""))</f>
        <v/>
      </c>
      <c r="J673" s="136">
        <f>IF($F673="","",IFERROR(INDEX(사건마스터!$H$5:$H$64,MATCH($F673,사건마스터!$A$5:$A$64,0)),""))</f>
        <v/>
      </c>
      <c r="K673" s="136">
        <f>IF($F673="","",IFERROR(INDEX(사건마스터!$AH$5:$AH$64,MATCH($F673,사건마스터!$A$5:$A$64,0)),""))</f>
        <v/>
      </c>
      <c r="L673" s="136">
        <f>IF($F673="","",IFERROR(INDEX(사건마스터!$AI$5:$AI$64,MATCH($F673,사건마스터!$A$5:$A$64,0)),""))</f>
        <v/>
      </c>
      <c r="M673" s="136">
        <f>IF($F673="","",IFERROR(INDEX(사건마스터!$AJ$5:$AJ$64,MATCH($F673,사건마스터!$A$5:$A$64,0)),""))</f>
        <v/>
      </c>
      <c r="N673" s="136">
        <f>IF($F673="","",IFERROR(INDEX(사건마스터!$AK$5:$AK$64,MATCH($F673,사건마스터!$A$5:$A$64,0)),""))</f>
        <v/>
      </c>
      <c r="O673" s="136">
        <f>IF($F673="","",IFERROR(INDEX(사건마스터!$AL$5:$AL$64,MATCH($F673,사건마스터!$A$5:$A$64,0)),""))</f>
        <v/>
      </c>
      <c r="P673" s="136">
        <f>IF($F673="","",IFERROR(INDEX(사건마스터!$AM$5:$AM$64,MATCH($F673,사건마스터!$A$5:$A$64,0)),""))</f>
        <v/>
      </c>
      <c r="Q673" s="136">
        <f>IF($F673="","",IFERROR(INDEX(사건마스터!$AN$5:$AN$64,MATCH($F673,사건마스터!$A$5:$A$64,0)),""))</f>
        <v/>
      </c>
      <c r="R673" s="136">
        <f>IF($F673="","",IFERROR(INDEX(사건마스터!$AO$5:$AO$64,MATCH($F673,사건마스터!$A$5:$A$64,0)),""))</f>
        <v/>
      </c>
      <c r="S673" s="136">
        <f>IF($F673="","",IFERROR(INDEX(사건마스터!$AP$5:$AP$64,MATCH($F673,사건마스터!$A$5:$A$64,0)),""))</f>
        <v/>
      </c>
      <c r="T673" s="136">
        <f>IF($F673="","",IFERROR(INDEX(사건마스터!$AQ$5:$AQ$64,MATCH($F673,사건마스터!$A$5:$A$64,0)),""))</f>
        <v/>
      </c>
      <c r="U673" s="136">
        <f>IF($F673="","",IFERROR(INDEX(사건마스터!$AR$5:$AR$64,MATCH($F673,사건마스터!$A$5:$A$64,0)),""))</f>
        <v/>
      </c>
      <c r="V673" s="136">
        <f>IF($F673="","",IFERROR(INDEX(사건마스터!$AS$5:$AS$64,MATCH($F673,사건마스터!$A$5:$A$64,0)),""))</f>
        <v/>
      </c>
      <c r="W673" s="136">
        <f>IF($F673="","",IFERROR(INDEX(사건마스터!$AT$5:$AT$64,MATCH($F673,사건마스터!$A$5:$A$64,0)),""))</f>
        <v/>
      </c>
      <c r="X673" s="136">
        <f>IF($F673="","",IFERROR(INDEX(사건마스터!$AU$5:$AU$64,MATCH($F673,사건마스터!$A$5:$A$64,0)),""))</f>
        <v/>
      </c>
      <c r="Y673" s="136">
        <f>IF($F673="","",IFERROR(INDEX(사건마스터!$AV$5:$AV$64,MATCH($F673,사건마스터!$A$5:$A$64,0)),""))</f>
        <v/>
      </c>
      <c r="Z673" s="118">
        <f>IF(COUNTBLANK($J673:$Y673)=16,"",16-COUNTBLANK($J673:$Y673))</f>
        <v/>
      </c>
      <c r="AA673" s="33">
        <f>IF($J673="",MID($AX673,3,255),$J673&amp;$AX673)</f>
        <v/>
      </c>
      <c r="AB673" s="130">
        <f>IF($J673="","",IFERROR(INDEX(코드설정!$D$5:$D$24,MATCH($J673,코드설정!$C$5:$C$24,0)),""))</f>
        <v/>
      </c>
      <c r="AC673" s="36" t="n"/>
      <c r="AD673" s="37" t="n"/>
      <c r="AE673" s="38" t="n"/>
      <c r="AF673" s="118">
        <f>IF(OR($B673="",$C673=""),"",$C673-$B673+1)</f>
        <v/>
      </c>
      <c r="AG673" s="74" t="n"/>
      <c r="AH673" s="36" t="n"/>
      <c r="AJ673">
        <f>IF($K673="","",", "&amp;$K673)</f>
        <v/>
      </c>
      <c r="AK673">
        <f>AJ673&amp;IF($L673="","",", "&amp;$L673)</f>
        <v/>
      </c>
      <c r="AL673">
        <f>AK673&amp;IF($M673="","",", "&amp;$M673)</f>
        <v/>
      </c>
      <c r="AM673">
        <f>AL673&amp;IF($N673="","",", "&amp;$N673)</f>
        <v/>
      </c>
      <c r="AN673">
        <f>AM673&amp;IF($O673="","",", "&amp;$O673)</f>
        <v/>
      </c>
      <c r="AO673">
        <f>AN673&amp;IF($P673="","",", "&amp;$P673)</f>
        <v/>
      </c>
      <c r="AP673">
        <f>AO673&amp;IF($Q673="","",", "&amp;$Q673)</f>
        <v/>
      </c>
      <c r="AQ673">
        <f>AP673&amp;IF($R673="","",", "&amp;$R673)</f>
        <v/>
      </c>
      <c r="AR673">
        <f>AQ673&amp;IF($S673="","",", "&amp;$S673)</f>
        <v/>
      </c>
      <c r="AS673">
        <f>AR673&amp;IF($T673="","",", "&amp;$T673)</f>
        <v/>
      </c>
      <c r="AT673">
        <f>AS673&amp;IF($U673="","",", "&amp;$U673)</f>
        <v/>
      </c>
      <c r="AU673">
        <f>AT673&amp;IF($V673="","",", "&amp;$V673)</f>
        <v/>
      </c>
      <c r="AV673">
        <f>AU673&amp;IF($W673="","",", "&amp;$W673)</f>
        <v/>
      </c>
      <c r="AW673">
        <f>AV673&amp;IF($X673="","",", "&amp;$X673)</f>
        <v/>
      </c>
      <c r="AX673">
        <f>AW673&amp;IF($Y673="","",", "&amp;$Y673)</f>
        <v/>
      </c>
    </row>
    <row r="674">
      <c r="A674" s="118">
        <f>IF($B674="","",COUNT($B$5:$B674))</f>
        <v/>
      </c>
      <c r="B674" s="80" t="n"/>
      <c r="C674" s="80" t="n"/>
      <c r="D674" s="74" t="n"/>
      <c r="E674" s="74" t="n"/>
      <c r="F674" s="74" t="n"/>
      <c r="G674" s="118">
        <f>IF($F674="","",COUNTIF($F$5:$F674,$F674))</f>
        <v/>
      </c>
      <c r="H674" s="33">
        <f>IF($F674="","",IFERROR(INDEX(사건마스터!$B$5:$B$64,MATCH($F674,사건마스터!$A$5:$A$64,0)),""))</f>
        <v/>
      </c>
      <c r="I674" s="130">
        <f>IF($F674="","",IFERROR(INDEX(사건마스터!$C$5:$C$64,MATCH($F674,사건마스터!$A$5:$A$64,0)),""))</f>
        <v/>
      </c>
      <c r="J674" s="136">
        <f>IF($F674="","",IFERROR(INDEX(사건마스터!$H$5:$H$64,MATCH($F674,사건마스터!$A$5:$A$64,0)),""))</f>
        <v/>
      </c>
      <c r="K674" s="136">
        <f>IF($F674="","",IFERROR(INDEX(사건마스터!$AH$5:$AH$64,MATCH($F674,사건마스터!$A$5:$A$64,0)),""))</f>
        <v/>
      </c>
      <c r="L674" s="136">
        <f>IF($F674="","",IFERROR(INDEX(사건마스터!$AI$5:$AI$64,MATCH($F674,사건마스터!$A$5:$A$64,0)),""))</f>
        <v/>
      </c>
      <c r="M674" s="136">
        <f>IF($F674="","",IFERROR(INDEX(사건마스터!$AJ$5:$AJ$64,MATCH($F674,사건마스터!$A$5:$A$64,0)),""))</f>
        <v/>
      </c>
      <c r="N674" s="136">
        <f>IF($F674="","",IFERROR(INDEX(사건마스터!$AK$5:$AK$64,MATCH($F674,사건마스터!$A$5:$A$64,0)),""))</f>
        <v/>
      </c>
      <c r="O674" s="136">
        <f>IF($F674="","",IFERROR(INDEX(사건마스터!$AL$5:$AL$64,MATCH($F674,사건마스터!$A$5:$A$64,0)),""))</f>
        <v/>
      </c>
      <c r="P674" s="136">
        <f>IF($F674="","",IFERROR(INDEX(사건마스터!$AM$5:$AM$64,MATCH($F674,사건마스터!$A$5:$A$64,0)),""))</f>
        <v/>
      </c>
      <c r="Q674" s="136">
        <f>IF($F674="","",IFERROR(INDEX(사건마스터!$AN$5:$AN$64,MATCH($F674,사건마스터!$A$5:$A$64,0)),""))</f>
        <v/>
      </c>
      <c r="R674" s="136">
        <f>IF($F674="","",IFERROR(INDEX(사건마스터!$AO$5:$AO$64,MATCH($F674,사건마스터!$A$5:$A$64,0)),""))</f>
        <v/>
      </c>
      <c r="S674" s="136">
        <f>IF($F674="","",IFERROR(INDEX(사건마스터!$AP$5:$AP$64,MATCH($F674,사건마스터!$A$5:$A$64,0)),""))</f>
        <v/>
      </c>
      <c r="T674" s="136">
        <f>IF($F674="","",IFERROR(INDEX(사건마스터!$AQ$5:$AQ$64,MATCH($F674,사건마스터!$A$5:$A$64,0)),""))</f>
        <v/>
      </c>
      <c r="U674" s="136">
        <f>IF($F674="","",IFERROR(INDEX(사건마스터!$AR$5:$AR$64,MATCH($F674,사건마스터!$A$5:$A$64,0)),""))</f>
        <v/>
      </c>
      <c r="V674" s="136">
        <f>IF($F674="","",IFERROR(INDEX(사건마스터!$AS$5:$AS$64,MATCH($F674,사건마스터!$A$5:$A$64,0)),""))</f>
        <v/>
      </c>
      <c r="W674" s="136">
        <f>IF($F674="","",IFERROR(INDEX(사건마스터!$AT$5:$AT$64,MATCH($F674,사건마스터!$A$5:$A$64,0)),""))</f>
        <v/>
      </c>
      <c r="X674" s="136">
        <f>IF($F674="","",IFERROR(INDEX(사건마스터!$AU$5:$AU$64,MATCH($F674,사건마스터!$A$5:$A$64,0)),""))</f>
        <v/>
      </c>
      <c r="Y674" s="136">
        <f>IF($F674="","",IFERROR(INDEX(사건마스터!$AV$5:$AV$64,MATCH($F674,사건마스터!$A$5:$A$64,0)),""))</f>
        <v/>
      </c>
      <c r="Z674" s="118">
        <f>IF(COUNTBLANK($J674:$Y674)=16,"",16-COUNTBLANK($J674:$Y674))</f>
        <v/>
      </c>
      <c r="AA674" s="33">
        <f>IF($J674="",MID($AX674,3,255),$J674&amp;$AX674)</f>
        <v/>
      </c>
      <c r="AB674" s="130">
        <f>IF($J674="","",IFERROR(INDEX(코드설정!$D$5:$D$24,MATCH($J674,코드설정!$C$5:$C$24,0)),""))</f>
        <v/>
      </c>
      <c r="AC674" s="36" t="n"/>
      <c r="AD674" s="37" t="n"/>
      <c r="AE674" s="38" t="n"/>
      <c r="AF674" s="118">
        <f>IF(OR($B674="",$C674=""),"",$C674-$B674+1)</f>
        <v/>
      </c>
      <c r="AG674" s="74" t="n"/>
      <c r="AH674" s="36" t="n"/>
      <c r="AJ674">
        <f>IF($K674="","",", "&amp;$K674)</f>
        <v/>
      </c>
      <c r="AK674">
        <f>AJ674&amp;IF($L674="","",", "&amp;$L674)</f>
        <v/>
      </c>
      <c r="AL674">
        <f>AK674&amp;IF($M674="","",", "&amp;$M674)</f>
        <v/>
      </c>
      <c r="AM674">
        <f>AL674&amp;IF($N674="","",", "&amp;$N674)</f>
        <v/>
      </c>
      <c r="AN674">
        <f>AM674&amp;IF($O674="","",", "&amp;$O674)</f>
        <v/>
      </c>
      <c r="AO674">
        <f>AN674&amp;IF($P674="","",", "&amp;$P674)</f>
        <v/>
      </c>
      <c r="AP674">
        <f>AO674&amp;IF($Q674="","",", "&amp;$Q674)</f>
        <v/>
      </c>
      <c r="AQ674">
        <f>AP674&amp;IF($R674="","",", "&amp;$R674)</f>
        <v/>
      </c>
      <c r="AR674">
        <f>AQ674&amp;IF($S674="","",", "&amp;$S674)</f>
        <v/>
      </c>
      <c r="AS674">
        <f>AR674&amp;IF($T674="","",", "&amp;$T674)</f>
        <v/>
      </c>
      <c r="AT674">
        <f>AS674&amp;IF($U674="","",", "&amp;$U674)</f>
        <v/>
      </c>
      <c r="AU674">
        <f>AT674&amp;IF($V674="","",", "&amp;$V674)</f>
        <v/>
      </c>
      <c r="AV674">
        <f>AU674&amp;IF($W674="","",", "&amp;$W674)</f>
        <v/>
      </c>
      <c r="AW674">
        <f>AV674&amp;IF($X674="","",", "&amp;$X674)</f>
        <v/>
      </c>
      <c r="AX674">
        <f>AW674&amp;IF($Y674="","",", "&amp;$Y674)</f>
        <v/>
      </c>
    </row>
    <row r="675">
      <c r="A675" s="118">
        <f>IF($B675="","",COUNT($B$5:$B675))</f>
        <v/>
      </c>
      <c r="B675" s="80" t="n"/>
      <c r="C675" s="80" t="n"/>
      <c r="D675" s="74" t="n"/>
      <c r="E675" s="74" t="n"/>
      <c r="F675" s="74" t="n"/>
      <c r="G675" s="118">
        <f>IF($F675="","",COUNTIF($F$5:$F675,$F675))</f>
        <v/>
      </c>
      <c r="H675" s="33">
        <f>IF($F675="","",IFERROR(INDEX(사건마스터!$B$5:$B$64,MATCH($F675,사건마스터!$A$5:$A$64,0)),""))</f>
        <v/>
      </c>
      <c r="I675" s="130">
        <f>IF($F675="","",IFERROR(INDEX(사건마스터!$C$5:$C$64,MATCH($F675,사건마스터!$A$5:$A$64,0)),""))</f>
        <v/>
      </c>
      <c r="J675" s="136">
        <f>IF($F675="","",IFERROR(INDEX(사건마스터!$H$5:$H$64,MATCH($F675,사건마스터!$A$5:$A$64,0)),""))</f>
        <v/>
      </c>
      <c r="K675" s="136">
        <f>IF($F675="","",IFERROR(INDEX(사건마스터!$AH$5:$AH$64,MATCH($F675,사건마스터!$A$5:$A$64,0)),""))</f>
        <v/>
      </c>
      <c r="L675" s="136">
        <f>IF($F675="","",IFERROR(INDEX(사건마스터!$AI$5:$AI$64,MATCH($F675,사건마스터!$A$5:$A$64,0)),""))</f>
        <v/>
      </c>
      <c r="M675" s="136">
        <f>IF($F675="","",IFERROR(INDEX(사건마스터!$AJ$5:$AJ$64,MATCH($F675,사건마스터!$A$5:$A$64,0)),""))</f>
        <v/>
      </c>
      <c r="N675" s="136">
        <f>IF($F675="","",IFERROR(INDEX(사건마스터!$AK$5:$AK$64,MATCH($F675,사건마스터!$A$5:$A$64,0)),""))</f>
        <v/>
      </c>
      <c r="O675" s="136">
        <f>IF($F675="","",IFERROR(INDEX(사건마스터!$AL$5:$AL$64,MATCH($F675,사건마스터!$A$5:$A$64,0)),""))</f>
        <v/>
      </c>
      <c r="P675" s="136">
        <f>IF($F675="","",IFERROR(INDEX(사건마스터!$AM$5:$AM$64,MATCH($F675,사건마스터!$A$5:$A$64,0)),""))</f>
        <v/>
      </c>
      <c r="Q675" s="136">
        <f>IF($F675="","",IFERROR(INDEX(사건마스터!$AN$5:$AN$64,MATCH($F675,사건마스터!$A$5:$A$64,0)),""))</f>
        <v/>
      </c>
      <c r="R675" s="136">
        <f>IF($F675="","",IFERROR(INDEX(사건마스터!$AO$5:$AO$64,MATCH($F675,사건마스터!$A$5:$A$64,0)),""))</f>
        <v/>
      </c>
      <c r="S675" s="136">
        <f>IF($F675="","",IFERROR(INDEX(사건마스터!$AP$5:$AP$64,MATCH($F675,사건마스터!$A$5:$A$64,0)),""))</f>
        <v/>
      </c>
      <c r="T675" s="136">
        <f>IF($F675="","",IFERROR(INDEX(사건마스터!$AQ$5:$AQ$64,MATCH($F675,사건마스터!$A$5:$A$64,0)),""))</f>
        <v/>
      </c>
      <c r="U675" s="136">
        <f>IF($F675="","",IFERROR(INDEX(사건마스터!$AR$5:$AR$64,MATCH($F675,사건마스터!$A$5:$A$64,0)),""))</f>
        <v/>
      </c>
      <c r="V675" s="136">
        <f>IF($F675="","",IFERROR(INDEX(사건마스터!$AS$5:$AS$64,MATCH($F675,사건마스터!$A$5:$A$64,0)),""))</f>
        <v/>
      </c>
      <c r="W675" s="136">
        <f>IF($F675="","",IFERROR(INDEX(사건마스터!$AT$5:$AT$64,MATCH($F675,사건마스터!$A$5:$A$64,0)),""))</f>
        <v/>
      </c>
      <c r="X675" s="136">
        <f>IF($F675="","",IFERROR(INDEX(사건마스터!$AU$5:$AU$64,MATCH($F675,사건마스터!$A$5:$A$64,0)),""))</f>
        <v/>
      </c>
      <c r="Y675" s="136">
        <f>IF($F675="","",IFERROR(INDEX(사건마스터!$AV$5:$AV$64,MATCH($F675,사건마스터!$A$5:$A$64,0)),""))</f>
        <v/>
      </c>
      <c r="Z675" s="118">
        <f>IF(COUNTBLANK($J675:$Y675)=16,"",16-COUNTBLANK($J675:$Y675))</f>
        <v/>
      </c>
      <c r="AA675" s="33">
        <f>IF($J675="",MID($AX675,3,255),$J675&amp;$AX675)</f>
        <v/>
      </c>
      <c r="AB675" s="130">
        <f>IF($J675="","",IFERROR(INDEX(코드설정!$D$5:$D$24,MATCH($J675,코드설정!$C$5:$C$24,0)),""))</f>
        <v/>
      </c>
      <c r="AC675" s="36" t="n"/>
      <c r="AD675" s="37" t="n"/>
      <c r="AE675" s="38" t="n"/>
      <c r="AF675" s="118">
        <f>IF(OR($B675="",$C675=""),"",$C675-$B675+1)</f>
        <v/>
      </c>
      <c r="AG675" s="74" t="n"/>
      <c r="AH675" s="36" t="n"/>
      <c r="AJ675">
        <f>IF($K675="","",", "&amp;$K675)</f>
        <v/>
      </c>
      <c r="AK675">
        <f>AJ675&amp;IF($L675="","",", "&amp;$L675)</f>
        <v/>
      </c>
      <c r="AL675">
        <f>AK675&amp;IF($M675="","",", "&amp;$M675)</f>
        <v/>
      </c>
      <c r="AM675">
        <f>AL675&amp;IF($N675="","",", "&amp;$N675)</f>
        <v/>
      </c>
      <c r="AN675">
        <f>AM675&amp;IF($O675="","",", "&amp;$O675)</f>
        <v/>
      </c>
      <c r="AO675">
        <f>AN675&amp;IF($P675="","",", "&amp;$P675)</f>
        <v/>
      </c>
      <c r="AP675">
        <f>AO675&amp;IF($Q675="","",", "&amp;$Q675)</f>
        <v/>
      </c>
      <c r="AQ675">
        <f>AP675&amp;IF($R675="","",", "&amp;$R675)</f>
        <v/>
      </c>
      <c r="AR675">
        <f>AQ675&amp;IF($S675="","",", "&amp;$S675)</f>
        <v/>
      </c>
      <c r="AS675">
        <f>AR675&amp;IF($T675="","",", "&amp;$T675)</f>
        <v/>
      </c>
      <c r="AT675">
        <f>AS675&amp;IF($U675="","",", "&amp;$U675)</f>
        <v/>
      </c>
      <c r="AU675">
        <f>AT675&amp;IF($V675="","",", "&amp;$V675)</f>
        <v/>
      </c>
      <c r="AV675">
        <f>AU675&amp;IF($W675="","",", "&amp;$W675)</f>
        <v/>
      </c>
      <c r="AW675">
        <f>AV675&amp;IF($X675="","",", "&amp;$X675)</f>
        <v/>
      </c>
      <c r="AX675">
        <f>AW675&amp;IF($Y675="","",", "&amp;$Y675)</f>
        <v/>
      </c>
    </row>
    <row r="676">
      <c r="A676" s="118">
        <f>IF($B676="","",COUNT($B$5:$B676))</f>
        <v/>
      </c>
      <c r="B676" s="80" t="n"/>
      <c r="C676" s="80" t="n"/>
      <c r="D676" s="74" t="n"/>
      <c r="E676" s="74" t="n"/>
      <c r="F676" s="74" t="n"/>
      <c r="G676" s="118">
        <f>IF($F676="","",COUNTIF($F$5:$F676,$F676))</f>
        <v/>
      </c>
      <c r="H676" s="33">
        <f>IF($F676="","",IFERROR(INDEX(사건마스터!$B$5:$B$64,MATCH($F676,사건마스터!$A$5:$A$64,0)),""))</f>
        <v/>
      </c>
      <c r="I676" s="130">
        <f>IF($F676="","",IFERROR(INDEX(사건마스터!$C$5:$C$64,MATCH($F676,사건마스터!$A$5:$A$64,0)),""))</f>
        <v/>
      </c>
      <c r="J676" s="136">
        <f>IF($F676="","",IFERROR(INDEX(사건마스터!$H$5:$H$64,MATCH($F676,사건마스터!$A$5:$A$64,0)),""))</f>
        <v/>
      </c>
      <c r="K676" s="136">
        <f>IF($F676="","",IFERROR(INDEX(사건마스터!$AH$5:$AH$64,MATCH($F676,사건마스터!$A$5:$A$64,0)),""))</f>
        <v/>
      </c>
      <c r="L676" s="136">
        <f>IF($F676="","",IFERROR(INDEX(사건마스터!$AI$5:$AI$64,MATCH($F676,사건마스터!$A$5:$A$64,0)),""))</f>
        <v/>
      </c>
      <c r="M676" s="136">
        <f>IF($F676="","",IFERROR(INDEX(사건마스터!$AJ$5:$AJ$64,MATCH($F676,사건마스터!$A$5:$A$64,0)),""))</f>
        <v/>
      </c>
      <c r="N676" s="136">
        <f>IF($F676="","",IFERROR(INDEX(사건마스터!$AK$5:$AK$64,MATCH($F676,사건마스터!$A$5:$A$64,0)),""))</f>
        <v/>
      </c>
      <c r="O676" s="136">
        <f>IF($F676="","",IFERROR(INDEX(사건마스터!$AL$5:$AL$64,MATCH($F676,사건마스터!$A$5:$A$64,0)),""))</f>
        <v/>
      </c>
      <c r="P676" s="136">
        <f>IF($F676="","",IFERROR(INDEX(사건마스터!$AM$5:$AM$64,MATCH($F676,사건마스터!$A$5:$A$64,0)),""))</f>
        <v/>
      </c>
      <c r="Q676" s="136">
        <f>IF($F676="","",IFERROR(INDEX(사건마스터!$AN$5:$AN$64,MATCH($F676,사건마스터!$A$5:$A$64,0)),""))</f>
        <v/>
      </c>
      <c r="R676" s="136">
        <f>IF($F676="","",IFERROR(INDEX(사건마스터!$AO$5:$AO$64,MATCH($F676,사건마스터!$A$5:$A$64,0)),""))</f>
        <v/>
      </c>
      <c r="S676" s="136">
        <f>IF($F676="","",IFERROR(INDEX(사건마스터!$AP$5:$AP$64,MATCH($F676,사건마스터!$A$5:$A$64,0)),""))</f>
        <v/>
      </c>
      <c r="T676" s="136">
        <f>IF($F676="","",IFERROR(INDEX(사건마스터!$AQ$5:$AQ$64,MATCH($F676,사건마스터!$A$5:$A$64,0)),""))</f>
        <v/>
      </c>
      <c r="U676" s="136">
        <f>IF($F676="","",IFERROR(INDEX(사건마스터!$AR$5:$AR$64,MATCH($F676,사건마스터!$A$5:$A$64,0)),""))</f>
        <v/>
      </c>
      <c r="V676" s="136">
        <f>IF($F676="","",IFERROR(INDEX(사건마스터!$AS$5:$AS$64,MATCH($F676,사건마스터!$A$5:$A$64,0)),""))</f>
        <v/>
      </c>
      <c r="W676" s="136">
        <f>IF($F676="","",IFERROR(INDEX(사건마스터!$AT$5:$AT$64,MATCH($F676,사건마스터!$A$5:$A$64,0)),""))</f>
        <v/>
      </c>
      <c r="X676" s="136">
        <f>IF($F676="","",IFERROR(INDEX(사건마스터!$AU$5:$AU$64,MATCH($F676,사건마스터!$A$5:$A$64,0)),""))</f>
        <v/>
      </c>
      <c r="Y676" s="136">
        <f>IF($F676="","",IFERROR(INDEX(사건마스터!$AV$5:$AV$64,MATCH($F676,사건마스터!$A$5:$A$64,0)),""))</f>
        <v/>
      </c>
      <c r="Z676" s="118">
        <f>IF(COUNTBLANK($J676:$Y676)=16,"",16-COUNTBLANK($J676:$Y676))</f>
        <v/>
      </c>
      <c r="AA676" s="33">
        <f>IF($J676="",MID($AX676,3,255),$J676&amp;$AX676)</f>
        <v/>
      </c>
      <c r="AB676" s="130">
        <f>IF($J676="","",IFERROR(INDEX(코드설정!$D$5:$D$24,MATCH($J676,코드설정!$C$5:$C$24,0)),""))</f>
        <v/>
      </c>
      <c r="AC676" s="36" t="n"/>
      <c r="AD676" s="37" t="n"/>
      <c r="AE676" s="38" t="n"/>
      <c r="AF676" s="118">
        <f>IF(OR($B676="",$C676=""),"",$C676-$B676+1)</f>
        <v/>
      </c>
      <c r="AG676" s="74" t="n"/>
      <c r="AH676" s="36" t="n"/>
      <c r="AJ676">
        <f>IF($K676="","",", "&amp;$K676)</f>
        <v/>
      </c>
      <c r="AK676">
        <f>AJ676&amp;IF($L676="","",", "&amp;$L676)</f>
        <v/>
      </c>
      <c r="AL676">
        <f>AK676&amp;IF($M676="","",", "&amp;$M676)</f>
        <v/>
      </c>
      <c r="AM676">
        <f>AL676&amp;IF($N676="","",", "&amp;$N676)</f>
        <v/>
      </c>
      <c r="AN676">
        <f>AM676&amp;IF($O676="","",", "&amp;$O676)</f>
        <v/>
      </c>
      <c r="AO676">
        <f>AN676&amp;IF($P676="","",", "&amp;$P676)</f>
        <v/>
      </c>
      <c r="AP676">
        <f>AO676&amp;IF($Q676="","",", "&amp;$Q676)</f>
        <v/>
      </c>
      <c r="AQ676">
        <f>AP676&amp;IF($R676="","",", "&amp;$R676)</f>
        <v/>
      </c>
      <c r="AR676">
        <f>AQ676&amp;IF($S676="","",", "&amp;$S676)</f>
        <v/>
      </c>
      <c r="AS676">
        <f>AR676&amp;IF($T676="","",", "&amp;$T676)</f>
        <v/>
      </c>
      <c r="AT676">
        <f>AS676&amp;IF($U676="","",", "&amp;$U676)</f>
        <v/>
      </c>
      <c r="AU676">
        <f>AT676&amp;IF($V676="","",", "&amp;$V676)</f>
        <v/>
      </c>
      <c r="AV676">
        <f>AU676&amp;IF($W676="","",", "&amp;$W676)</f>
        <v/>
      </c>
      <c r="AW676">
        <f>AV676&amp;IF($X676="","",", "&amp;$X676)</f>
        <v/>
      </c>
      <c r="AX676">
        <f>AW676&amp;IF($Y676="","",", "&amp;$Y676)</f>
        <v/>
      </c>
    </row>
    <row r="677">
      <c r="A677" s="118">
        <f>IF($B677="","",COUNT($B$5:$B677))</f>
        <v/>
      </c>
      <c r="B677" s="80" t="n"/>
      <c r="C677" s="80" t="n"/>
      <c r="D677" s="74" t="n"/>
      <c r="E677" s="74" t="n"/>
      <c r="F677" s="74" t="n"/>
      <c r="G677" s="118">
        <f>IF($F677="","",COUNTIF($F$5:$F677,$F677))</f>
        <v/>
      </c>
      <c r="H677" s="33">
        <f>IF($F677="","",IFERROR(INDEX(사건마스터!$B$5:$B$64,MATCH($F677,사건마스터!$A$5:$A$64,0)),""))</f>
        <v/>
      </c>
      <c r="I677" s="130">
        <f>IF($F677="","",IFERROR(INDEX(사건마스터!$C$5:$C$64,MATCH($F677,사건마스터!$A$5:$A$64,0)),""))</f>
        <v/>
      </c>
      <c r="J677" s="136">
        <f>IF($F677="","",IFERROR(INDEX(사건마스터!$H$5:$H$64,MATCH($F677,사건마스터!$A$5:$A$64,0)),""))</f>
        <v/>
      </c>
      <c r="K677" s="136">
        <f>IF($F677="","",IFERROR(INDEX(사건마스터!$AH$5:$AH$64,MATCH($F677,사건마스터!$A$5:$A$64,0)),""))</f>
        <v/>
      </c>
      <c r="L677" s="136">
        <f>IF($F677="","",IFERROR(INDEX(사건마스터!$AI$5:$AI$64,MATCH($F677,사건마스터!$A$5:$A$64,0)),""))</f>
        <v/>
      </c>
      <c r="M677" s="136">
        <f>IF($F677="","",IFERROR(INDEX(사건마스터!$AJ$5:$AJ$64,MATCH($F677,사건마스터!$A$5:$A$64,0)),""))</f>
        <v/>
      </c>
      <c r="N677" s="136">
        <f>IF($F677="","",IFERROR(INDEX(사건마스터!$AK$5:$AK$64,MATCH($F677,사건마스터!$A$5:$A$64,0)),""))</f>
        <v/>
      </c>
      <c r="O677" s="136">
        <f>IF($F677="","",IFERROR(INDEX(사건마스터!$AL$5:$AL$64,MATCH($F677,사건마스터!$A$5:$A$64,0)),""))</f>
        <v/>
      </c>
      <c r="P677" s="136">
        <f>IF($F677="","",IFERROR(INDEX(사건마스터!$AM$5:$AM$64,MATCH($F677,사건마스터!$A$5:$A$64,0)),""))</f>
        <v/>
      </c>
      <c r="Q677" s="136">
        <f>IF($F677="","",IFERROR(INDEX(사건마스터!$AN$5:$AN$64,MATCH($F677,사건마스터!$A$5:$A$64,0)),""))</f>
        <v/>
      </c>
      <c r="R677" s="136">
        <f>IF($F677="","",IFERROR(INDEX(사건마스터!$AO$5:$AO$64,MATCH($F677,사건마스터!$A$5:$A$64,0)),""))</f>
        <v/>
      </c>
      <c r="S677" s="136">
        <f>IF($F677="","",IFERROR(INDEX(사건마스터!$AP$5:$AP$64,MATCH($F677,사건마스터!$A$5:$A$64,0)),""))</f>
        <v/>
      </c>
      <c r="T677" s="136">
        <f>IF($F677="","",IFERROR(INDEX(사건마스터!$AQ$5:$AQ$64,MATCH($F677,사건마스터!$A$5:$A$64,0)),""))</f>
        <v/>
      </c>
      <c r="U677" s="136">
        <f>IF($F677="","",IFERROR(INDEX(사건마스터!$AR$5:$AR$64,MATCH($F677,사건마스터!$A$5:$A$64,0)),""))</f>
        <v/>
      </c>
      <c r="V677" s="136">
        <f>IF($F677="","",IFERROR(INDEX(사건마스터!$AS$5:$AS$64,MATCH($F677,사건마스터!$A$5:$A$64,0)),""))</f>
        <v/>
      </c>
      <c r="W677" s="136">
        <f>IF($F677="","",IFERROR(INDEX(사건마스터!$AT$5:$AT$64,MATCH($F677,사건마스터!$A$5:$A$64,0)),""))</f>
        <v/>
      </c>
      <c r="X677" s="136">
        <f>IF($F677="","",IFERROR(INDEX(사건마스터!$AU$5:$AU$64,MATCH($F677,사건마스터!$A$5:$A$64,0)),""))</f>
        <v/>
      </c>
      <c r="Y677" s="136">
        <f>IF($F677="","",IFERROR(INDEX(사건마스터!$AV$5:$AV$64,MATCH($F677,사건마스터!$A$5:$A$64,0)),""))</f>
        <v/>
      </c>
      <c r="Z677" s="118">
        <f>IF(COUNTBLANK($J677:$Y677)=16,"",16-COUNTBLANK($J677:$Y677))</f>
        <v/>
      </c>
      <c r="AA677" s="33">
        <f>IF($J677="",MID($AX677,3,255),$J677&amp;$AX677)</f>
        <v/>
      </c>
      <c r="AB677" s="130">
        <f>IF($J677="","",IFERROR(INDEX(코드설정!$D$5:$D$24,MATCH($J677,코드설정!$C$5:$C$24,0)),""))</f>
        <v/>
      </c>
      <c r="AC677" s="36" t="n"/>
      <c r="AD677" s="37" t="n"/>
      <c r="AE677" s="38" t="n"/>
      <c r="AF677" s="118">
        <f>IF(OR($B677="",$C677=""),"",$C677-$B677+1)</f>
        <v/>
      </c>
      <c r="AG677" s="74" t="n"/>
      <c r="AH677" s="36" t="n"/>
      <c r="AJ677">
        <f>IF($K677="","",", "&amp;$K677)</f>
        <v/>
      </c>
      <c r="AK677">
        <f>AJ677&amp;IF($L677="","",", "&amp;$L677)</f>
        <v/>
      </c>
      <c r="AL677">
        <f>AK677&amp;IF($M677="","",", "&amp;$M677)</f>
        <v/>
      </c>
      <c r="AM677">
        <f>AL677&amp;IF($N677="","",", "&amp;$N677)</f>
        <v/>
      </c>
      <c r="AN677">
        <f>AM677&amp;IF($O677="","",", "&amp;$O677)</f>
        <v/>
      </c>
      <c r="AO677">
        <f>AN677&amp;IF($P677="","",", "&amp;$P677)</f>
        <v/>
      </c>
      <c r="AP677">
        <f>AO677&amp;IF($Q677="","",", "&amp;$Q677)</f>
        <v/>
      </c>
      <c r="AQ677">
        <f>AP677&amp;IF($R677="","",", "&amp;$R677)</f>
        <v/>
      </c>
      <c r="AR677">
        <f>AQ677&amp;IF($S677="","",", "&amp;$S677)</f>
        <v/>
      </c>
      <c r="AS677">
        <f>AR677&amp;IF($T677="","",", "&amp;$T677)</f>
        <v/>
      </c>
      <c r="AT677">
        <f>AS677&amp;IF($U677="","",", "&amp;$U677)</f>
        <v/>
      </c>
      <c r="AU677">
        <f>AT677&amp;IF($V677="","",", "&amp;$V677)</f>
        <v/>
      </c>
      <c r="AV677">
        <f>AU677&amp;IF($W677="","",", "&amp;$W677)</f>
        <v/>
      </c>
      <c r="AW677">
        <f>AV677&amp;IF($X677="","",", "&amp;$X677)</f>
        <v/>
      </c>
      <c r="AX677">
        <f>AW677&amp;IF($Y677="","",", "&amp;$Y677)</f>
        <v/>
      </c>
    </row>
    <row r="678">
      <c r="A678" s="118">
        <f>IF($B678="","",COUNT($B$5:$B678))</f>
        <v/>
      </c>
      <c r="B678" s="80" t="n"/>
      <c r="C678" s="80" t="n"/>
      <c r="D678" s="74" t="n"/>
      <c r="E678" s="74" t="n"/>
      <c r="F678" s="74" t="n"/>
      <c r="G678" s="118">
        <f>IF($F678="","",COUNTIF($F$5:$F678,$F678))</f>
        <v/>
      </c>
      <c r="H678" s="33">
        <f>IF($F678="","",IFERROR(INDEX(사건마스터!$B$5:$B$64,MATCH($F678,사건마스터!$A$5:$A$64,0)),""))</f>
        <v/>
      </c>
      <c r="I678" s="130">
        <f>IF($F678="","",IFERROR(INDEX(사건마스터!$C$5:$C$64,MATCH($F678,사건마스터!$A$5:$A$64,0)),""))</f>
        <v/>
      </c>
      <c r="J678" s="136">
        <f>IF($F678="","",IFERROR(INDEX(사건마스터!$H$5:$H$64,MATCH($F678,사건마스터!$A$5:$A$64,0)),""))</f>
        <v/>
      </c>
      <c r="K678" s="136">
        <f>IF($F678="","",IFERROR(INDEX(사건마스터!$AH$5:$AH$64,MATCH($F678,사건마스터!$A$5:$A$64,0)),""))</f>
        <v/>
      </c>
      <c r="L678" s="136">
        <f>IF($F678="","",IFERROR(INDEX(사건마스터!$AI$5:$AI$64,MATCH($F678,사건마스터!$A$5:$A$64,0)),""))</f>
        <v/>
      </c>
      <c r="M678" s="136">
        <f>IF($F678="","",IFERROR(INDEX(사건마스터!$AJ$5:$AJ$64,MATCH($F678,사건마스터!$A$5:$A$64,0)),""))</f>
        <v/>
      </c>
      <c r="N678" s="136">
        <f>IF($F678="","",IFERROR(INDEX(사건마스터!$AK$5:$AK$64,MATCH($F678,사건마스터!$A$5:$A$64,0)),""))</f>
        <v/>
      </c>
      <c r="O678" s="136">
        <f>IF($F678="","",IFERROR(INDEX(사건마스터!$AL$5:$AL$64,MATCH($F678,사건마스터!$A$5:$A$64,0)),""))</f>
        <v/>
      </c>
      <c r="P678" s="136">
        <f>IF($F678="","",IFERROR(INDEX(사건마스터!$AM$5:$AM$64,MATCH($F678,사건마스터!$A$5:$A$64,0)),""))</f>
        <v/>
      </c>
      <c r="Q678" s="136">
        <f>IF($F678="","",IFERROR(INDEX(사건마스터!$AN$5:$AN$64,MATCH($F678,사건마스터!$A$5:$A$64,0)),""))</f>
        <v/>
      </c>
      <c r="R678" s="136">
        <f>IF($F678="","",IFERROR(INDEX(사건마스터!$AO$5:$AO$64,MATCH($F678,사건마스터!$A$5:$A$64,0)),""))</f>
        <v/>
      </c>
      <c r="S678" s="136">
        <f>IF($F678="","",IFERROR(INDEX(사건마스터!$AP$5:$AP$64,MATCH($F678,사건마스터!$A$5:$A$64,0)),""))</f>
        <v/>
      </c>
      <c r="T678" s="136">
        <f>IF($F678="","",IFERROR(INDEX(사건마스터!$AQ$5:$AQ$64,MATCH($F678,사건마스터!$A$5:$A$64,0)),""))</f>
        <v/>
      </c>
      <c r="U678" s="136">
        <f>IF($F678="","",IFERROR(INDEX(사건마스터!$AR$5:$AR$64,MATCH($F678,사건마스터!$A$5:$A$64,0)),""))</f>
        <v/>
      </c>
      <c r="V678" s="136">
        <f>IF($F678="","",IFERROR(INDEX(사건마스터!$AS$5:$AS$64,MATCH($F678,사건마스터!$A$5:$A$64,0)),""))</f>
        <v/>
      </c>
      <c r="W678" s="136">
        <f>IF($F678="","",IFERROR(INDEX(사건마스터!$AT$5:$AT$64,MATCH($F678,사건마스터!$A$5:$A$64,0)),""))</f>
        <v/>
      </c>
      <c r="X678" s="136">
        <f>IF($F678="","",IFERROR(INDEX(사건마스터!$AU$5:$AU$64,MATCH($F678,사건마스터!$A$5:$A$64,0)),""))</f>
        <v/>
      </c>
      <c r="Y678" s="136">
        <f>IF($F678="","",IFERROR(INDEX(사건마스터!$AV$5:$AV$64,MATCH($F678,사건마스터!$A$5:$A$64,0)),""))</f>
        <v/>
      </c>
      <c r="Z678" s="118">
        <f>IF(COUNTBLANK($J678:$Y678)=16,"",16-COUNTBLANK($J678:$Y678))</f>
        <v/>
      </c>
      <c r="AA678" s="33">
        <f>IF($J678="",MID($AX678,3,255),$J678&amp;$AX678)</f>
        <v/>
      </c>
      <c r="AB678" s="130">
        <f>IF($J678="","",IFERROR(INDEX(코드설정!$D$5:$D$24,MATCH($J678,코드설정!$C$5:$C$24,0)),""))</f>
        <v/>
      </c>
      <c r="AC678" s="36" t="n"/>
      <c r="AD678" s="37" t="n"/>
      <c r="AE678" s="38" t="n"/>
      <c r="AF678" s="118">
        <f>IF(OR($B678="",$C678=""),"",$C678-$B678+1)</f>
        <v/>
      </c>
      <c r="AG678" s="74" t="n"/>
      <c r="AH678" s="36" t="n"/>
      <c r="AJ678">
        <f>IF($K678="","",", "&amp;$K678)</f>
        <v/>
      </c>
      <c r="AK678">
        <f>AJ678&amp;IF($L678="","",", "&amp;$L678)</f>
        <v/>
      </c>
      <c r="AL678">
        <f>AK678&amp;IF($M678="","",", "&amp;$M678)</f>
        <v/>
      </c>
      <c r="AM678">
        <f>AL678&amp;IF($N678="","",", "&amp;$N678)</f>
        <v/>
      </c>
      <c r="AN678">
        <f>AM678&amp;IF($O678="","",", "&amp;$O678)</f>
        <v/>
      </c>
      <c r="AO678">
        <f>AN678&amp;IF($P678="","",", "&amp;$P678)</f>
        <v/>
      </c>
      <c r="AP678">
        <f>AO678&amp;IF($Q678="","",", "&amp;$Q678)</f>
        <v/>
      </c>
      <c r="AQ678">
        <f>AP678&amp;IF($R678="","",", "&amp;$R678)</f>
        <v/>
      </c>
      <c r="AR678">
        <f>AQ678&amp;IF($S678="","",", "&amp;$S678)</f>
        <v/>
      </c>
      <c r="AS678">
        <f>AR678&amp;IF($T678="","",", "&amp;$T678)</f>
        <v/>
      </c>
      <c r="AT678">
        <f>AS678&amp;IF($U678="","",", "&amp;$U678)</f>
        <v/>
      </c>
      <c r="AU678">
        <f>AT678&amp;IF($V678="","",", "&amp;$V678)</f>
        <v/>
      </c>
      <c r="AV678">
        <f>AU678&amp;IF($W678="","",", "&amp;$W678)</f>
        <v/>
      </c>
      <c r="AW678">
        <f>AV678&amp;IF($X678="","",", "&amp;$X678)</f>
        <v/>
      </c>
      <c r="AX678">
        <f>AW678&amp;IF($Y678="","",", "&amp;$Y678)</f>
        <v/>
      </c>
    </row>
    <row r="679">
      <c r="A679" s="118">
        <f>IF($B679="","",COUNT($B$5:$B679))</f>
        <v/>
      </c>
      <c r="B679" s="80" t="n"/>
      <c r="C679" s="80" t="n"/>
      <c r="D679" s="74" t="n"/>
      <c r="E679" s="74" t="n"/>
      <c r="F679" s="74" t="n"/>
      <c r="G679" s="118">
        <f>IF($F679="","",COUNTIF($F$5:$F679,$F679))</f>
        <v/>
      </c>
      <c r="H679" s="33">
        <f>IF($F679="","",IFERROR(INDEX(사건마스터!$B$5:$B$64,MATCH($F679,사건마스터!$A$5:$A$64,0)),""))</f>
        <v/>
      </c>
      <c r="I679" s="130">
        <f>IF($F679="","",IFERROR(INDEX(사건마스터!$C$5:$C$64,MATCH($F679,사건마스터!$A$5:$A$64,0)),""))</f>
        <v/>
      </c>
      <c r="J679" s="136">
        <f>IF($F679="","",IFERROR(INDEX(사건마스터!$H$5:$H$64,MATCH($F679,사건마스터!$A$5:$A$64,0)),""))</f>
        <v/>
      </c>
      <c r="K679" s="136">
        <f>IF($F679="","",IFERROR(INDEX(사건마스터!$AH$5:$AH$64,MATCH($F679,사건마스터!$A$5:$A$64,0)),""))</f>
        <v/>
      </c>
      <c r="L679" s="136">
        <f>IF($F679="","",IFERROR(INDEX(사건마스터!$AI$5:$AI$64,MATCH($F679,사건마스터!$A$5:$A$64,0)),""))</f>
        <v/>
      </c>
      <c r="M679" s="136">
        <f>IF($F679="","",IFERROR(INDEX(사건마스터!$AJ$5:$AJ$64,MATCH($F679,사건마스터!$A$5:$A$64,0)),""))</f>
        <v/>
      </c>
      <c r="N679" s="136">
        <f>IF($F679="","",IFERROR(INDEX(사건마스터!$AK$5:$AK$64,MATCH($F679,사건마스터!$A$5:$A$64,0)),""))</f>
        <v/>
      </c>
      <c r="O679" s="136">
        <f>IF($F679="","",IFERROR(INDEX(사건마스터!$AL$5:$AL$64,MATCH($F679,사건마스터!$A$5:$A$64,0)),""))</f>
        <v/>
      </c>
      <c r="P679" s="136">
        <f>IF($F679="","",IFERROR(INDEX(사건마스터!$AM$5:$AM$64,MATCH($F679,사건마스터!$A$5:$A$64,0)),""))</f>
        <v/>
      </c>
      <c r="Q679" s="136">
        <f>IF($F679="","",IFERROR(INDEX(사건마스터!$AN$5:$AN$64,MATCH($F679,사건마스터!$A$5:$A$64,0)),""))</f>
        <v/>
      </c>
      <c r="R679" s="136">
        <f>IF($F679="","",IFERROR(INDEX(사건마스터!$AO$5:$AO$64,MATCH($F679,사건마스터!$A$5:$A$64,0)),""))</f>
        <v/>
      </c>
      <c r="S679" s="136">
        <f>IF($F679="","",IFERROR(INDEX(사건마스터!$AP$5:$AP$64,MATCH($F679,사건마스터!$A$5:$A$64,0)),""))</f>
        <v/>
      </c>
      <c r="T679" s="136">
        <f>IF($F679="","",IFERROR(INDEX(사건마스터!$AQ$5:$AQ$64,MATCH($F679,사건마스터!$A$5:$A$64,0)),""))</f>
        <v/>
      </c>
      <c r="U679" s="136">
        <f>IF($F679="","",IFERROR(INDEX(사건마스터!$AR$5:$AR$64,MATCH($F679,사건마스터!$A$5:$A$64,0)),""))</f>
        <v/>
      </c>
      <c r="V679" s="136">
        <f>IF($F679="","",IFERROR(INDEX(사건마스터!$AS$5:$AS$64,MATCH($F679,사건마스터!$A$5:$A$64,0)),""))</f>
        <v/>
      </c>
      <c r="W679" s="136">
        <f>IF($F679="","",IFERROR(INDEX(사건마스터!$AT$5:$AT$64,MATCH($F679,사건마스터!$A$5:$A$64,0)),""))</f>
        <v/>
      </c>
      <c r="X679" s="136">
        <f>IF($F679="","",IFERROR(INDEX(사건마스터!$AU$5:$AU$64,MATCH($F679,사건마스터!$A$5:$A$64,0)),""))</f>
        <v/>
      </c>
      <c r="Y679" s="136">
        <f>IF($F679="","",IFERROR(INDEX(사건마스터!$AV$5:$AV$64,MATCH($F679,사건마스터!$A$5:$A$64,0)),""))</f>
        <v/>
      </c>
      <c r="Z679" s="118">
        <f>IF(COUNTBLANK($J679:$Y679)=16,"",16-COUNTBLANK($J679:$Y679))</f>
        <v/>
      </c>
      <c r="AA679" s="33">
        <f>IF($J679="",MID($AX679,3,255),$J679&amp;$AX679)</f>
        <v/>
      </c>
      <c r="AB679" s="130">
        <f>IF($J679="","",IFERROR(INDEX(코드설정!$D$5:$D$24,MATCH($J679,코드설정!$C$5:$C$24,0)),""))</f>
        <v/>
      </c>
      <c r="AC679" s="36" t="n"/>
      <c r="AD679" s="37" t="n"/>
      <c r="AE679" s="38" t="n"/>
      <c r="AF679" s="118">
        <f>IF(OR($B679="",$C679=""),"",$C679-$B679+1)</f>
        <v/>
      </c>
      <c r="AG679" s="74" t="n"/>
      <c r="AH679" s="36" t="n"/>
      <c r="AJ679">
        <f>IF($K679="","",", "&amp;$K679)</f>
        <v/>
      </c>
      <c r="AK679">
        <f>AJ679&amp;IF($L679="","",", "&amp;$L679)</f>
        <v/>
      </c>
      <c r="AL679">
        <f>AK679&amp;IF($M679="","",", "&amp;$M679)</f>
        <v/>
      </c>
      <c r="AM679">
        <f>AL679&amp;IF($N679="","",", "&amp;$N679)</f>
        <v/>
      </c>
      <c r="AN679">
        <f>AM679&amp;IF($O679="","",", "&amp;$O679)</f>
        <v/>
      </c>
      <c r="AO679">
        <f>AN679&amp;IF($P679="","",", "&amp;$P679)</f>
        <v/>
      </c>
      <c r="AP679">
        <f>AO679&amp;IF($Q679="","",", "&amp;$Q679)</f>
        <v/>
      </c>
      <c r="AQ679">
        <f>AP679&amp;IF($R679="","",", "&amp;$R679)</f>
        <v/>
      </c>
      <c r="AR679">
        <f>AQ679&amp;IF($S679="","",", "&amp;$S679)</f>
        <v/>
      </c>
      <c r="AS679">
        <f>AR679&amp;IF($T679="","",", "&amp;$T679)</f>
        <v/>
      </c>
      <c r="AT679">
        <f>AS679&amp;IF($U679="","",", "&amp;$U679)</f>
        <v/>
      </c>
      <c r="AU679">
        <f>AT679&amp;IF($V679="","",", "&amp;$V679)</f>
        <v/>
      </c>
      <c r="AV679">
        <f>AU679&amp;IF($W679="","",", "&amp;$W679)</f>
        <v/>
      </c>
      <c r="AW679">
        <f>AV679&amp;IF($X679="","",", "&amp;$X679)</f>
        <v/>
      </c>
      <c r="AX679">
        <f>AW679&amp;IF($Y679="","",", "&amp;$Y679)</f>
        <v/>
      </c>
    </row>
    <row r="680">
      <c r="A680" s="118">
        <f>IF($B680="","",COUNT($B$5:$B680))</f>
        <v/>
      </c>
      <c r="B680" s="80" t="n"/>
      <c r="C680" s="80" t="n"/>
      <c r="D680" s="74" t="n"/>
      <c r="E680" s="74" t="n"/>
      <c r="F680" s="74" t="n"/>
      <c r="G680" s="118">
        <f>IF($F680="","",COUNTIF($F$5:$F680,$F680))</f>
        <v/>
      </c>
      <c r="H680" s="33">
        <f>IF($F680="","",IFERROR(INDEX(사건마스터!$B$5:$B$64,MATCH($F680,사건마스터!$A$5:$A$64,0)),""))</f>
        <v/>
      </c>
      <c r="I680" s="130">
        <f>IF($F680="","",IFERROR(INDEX(사건마스터!$C$5:$C$64,MATCH($F680,사건마스터!$A$5:$A$64,0)),""))</f>
        <v/>
      </c>
      <c r="J680" s="136">
        <f>IF($F680="","",IFERROR(INDEX(사건마스터!$H$5:$H$64,MATCH($F680,사건마스터!$A$5:$A$64,0)),""))</f>
        <v/>
      </c>
      <c r="K680" s="136">
        <f>IF($F680="","",IFERROR(INDEX(사건마스터!$AH$5:$AH$64,MATCH($F680,사건마스터!$A$5:$A$64,0)),""))</f>
        <v/>
      </c>
      <c r="L680" s="136">
        <f>IF($F680="","",IFERROR(INDEX(사건마스터!$AI$5:$AI$64,MATCH($F680,사건마스터!$A$5:$A$64,0)),""))</f>
        <v/>
      </c>
      <c r="M680" s="136">
        <f>IF($F680="","",IFERROR(INDEX(사건마스터!$AJ$5:$AJ$64,MATCH($F680,사건마스터!$A$5:$A$64,0)),""))</f>
        <v/>
      </c>
      <c r="N680" s="136">
        <f>IF($F680="","",IFERROR(INDEX(사건마스터!$AK$5:$AK$64,MATCH($F680,사건마스터!$A$5:$A$64,0)),""))</f>
        <v/>
      </c>
      <c r="O680" s="136">
        <f>IF($F680="","",IFERROR(INDEX(사건마스터!$AL$5:$AL$64,MATCH($F680,사건마스터!$A$5:$A$64,0)),""))</f>
        <v/>
      </c>
      <c r="P680" s="136">
        <f>IF($F680="","",IFERROR(INDEX(사건마스터!$AM$5:$AM$64,MATCH($F680,사건마스터!$A$5:$A$64,0)),""))</f>
        <v/>
      </c>
      <c r="Q680" s="136">
        <f>IF($F680="","",IFERROR(INDEX(사건마스터!$AN$5:$AN$64,MATCH($F680,사건마스터!$A$5:$A$64,0)),""))</f>
        <v/>
      </c>
      <c r="R680" s="136">
        <f>IF($F680="","",IFERROR(INDEX(사건마스터!$AO$5:$AO$64,MATCH($F680,사건마스터!$A$5:$A$64,0)),""))</f>
        <v/>
      </c>
      <c r="S680" s="136">
        <f>IF($F680="","",IFERROR(INDEX(사건마스터!$AP$5:$AP$64,MATCH($F680,사건마스터!$A$5:$A$64,0)),""))</f>
        <v/>
      </c>
      <c r="T680" s="136">
        <f>IF($F680="","",IFERROR(INDEX(사건마스터!$AQ$5:$AQ$64,MATCH($F680,사건마스터!$A$5:$A$64,0)),""))</f>
        <v/>
      </c>
      <c r="U680" s="136">
        <f>IF($F680="","",IFERROR(INDEX(사건마스터!$AR$5:$AR$64,MATCH($F680,사건마스터!$A$5:$A$64,0)),""))</f>
        <v/>
      </c>
      <c r="V680" s="136">
        <f>IF($F680="","",IFERROR(INDEX(사건마스터!$AS$5:$AS$64,MATCH($F680,사건마스터!$A$5:$A$64,0)),""))</f>
        <v/>
      </c>
      <c r="W680" s="136">
        <f>IF($F680="","",IFERROR(INDEX(사건마스터!$AT$5:$AT$64,MATCH($F680,사건마스터!$A$5:$A$64,0)),""))</f>
        <v/>
      </c>
      <c r="X680" s="136">
        <f>IF($F680="","",IFERROR(INDEX(사건마스터!$AU$5:$AU$64,MATCH($F680,사건마스터!$A$5:$A$64,0)),""))</f>
        <v/>
      </c>
      <c r="Y680" s="136">
        <f>IF($F680="","",IFERROR(INDEX(사건마스터!$AV$5:$AV$64,MATCH($F680,사건마스터!$A$5:$A$64,0)),""))</f>
        <v/>
      </c>
      <c r="Z680" s="118">
        <f>IF(COUNTBLANK($J680:$Y680)=16,"",16-COUNTBLANK($J680:$Y680))</f>
        <v/>
      </c>
      <c r="AA680" s="33">
        <f>IF($J680="",MID($AX680,3,255),$J680&amp;$AX680)</f>
        <v/>
      </c>
      <c r="AB680" s="130">
        <f>IF($J680="","",IFERROR(INDEX(코드설정!$D$5:$D$24,MATCH($J680,코드설정!$C$5:$C$24,0)),""))</f>
        <v/>
      </c>
      <c r="AC680" s="36" t="n"/>
      <c r="AD680" s="37" t="n"/>
      <c r="AE680" s="38" t="n"/>
      <c r="AF680" s="118">
        <f>IF(OR($B680="",$C680=""),"",$C680-$B680+1)</f>
        <v/>
      </c>
      <c r="AG680" s="74" t="n"/>
      <c r="AH680" s="36" t="n"/>
      <c r="AJ680">
        <f>IF($K680="","",", "&amp;$K680)</f>
        <v/>
      </c>
      <c r="AK680">
        <f>AJ680&amp;IF($L680="","",", "&amp;$L680)</f>
        <v/>
      </c>
      <c r="AL680">
        <f>AK680&amp;IF($M680="","",", "&amp;$M680)</f>
        <v/>
      </c>
      <c r="AM680">
        <f>AL680&amp;IF($N680="","",", "&amp;$N680)</f>
        <v/>
      </c>
      <c r="AN680">
        <f>AM680&amp;IF($O680="","",", "&amp;$O680)</f>
        <v/>
      </c>
      <c r="AO680">
        <f>AN680&amp;IF($P680="","",", "&amp;$P680)</f>
        <v/>
      </c>
      <c r="AP680">
        <f>AO680&amp;IF($Q680="","",", "&amp;$Q680)</f>
        <v/>
      </c>
      <c r="AQ680">
        <f>AP680&amp;IF($R680="","",", "&amp;$R680)</f>
        <v/>
      </c>
      <c r="AR680">
        <f>AQ680&amp;IF($S680="","",", "&amp;$S680)</f>
        <v/>
      </c>
      <c r="AS680">
        <f>AR680&amp;IF($T680="","",", "&amp;$T680)</f>
        <v/>
      </c>
      <c r="AT680">
        <f>AS680&amp;IF($U680="","",", "&amp;$U680)</f>
        <v/>
      </c>
      <c r="AU680">
        <f>AT680&amp;IF($V680="","",", "&amp;$V680)</f>
        <v/>
      </c>
      <c r="AV680">
        <f>AU680&amp;IF($W680="","",", "&amp;$W680)</f>
        <v/>
      </c>
      <c r="AW680">
        <f>AV680&amp;IF($X680="","",", "&amp;$X680)</f>
        <v/>
      </c>
      <c r="AX680">
        <f>AW680&amp;IF($Y680="","",", "&amp;$Y680)</f>
        <v/>
      </c>
    </row>
    <row r="681">
      <c r="A681" s="118">
        <f>IF($B681="","",COUNT($B$5:$B681))</f>
        <v/>
      </c>
      <c r="B681" s="80" t="n"/>
      <c r="C681" s="80" t="n"/>
      <c r="D681" s="74" t="n"/>
      <c r="E681" s="74" t="n"/>
      <c r="F681" s="74" t="n"/>
      <c r="G681" s="118">
        <f>IF($F681="","",COUNTIF($F$5:$F681,$F681))</f>
        <v/>
      </c>
      <c r="H681" s="33">
        <f>IF($F681="","",IFERROR(INDEX(사건마스터!$B$5:$B$64,MATCH($F681,사건마스터!$A$5:$A$64,0)),""))</f>
        <v/>
      </c>
      <c r="I681" s="130">
        <f>IF($F681="","",IFERROR(INDEX(사건마스터!$C$5:$C$64,MATCH($F681,사건마스터!$A$5:$A$64,0)),""))</f>
        <v/>
      </c>
      <c r="J681" s="136">
        <f>IF($F681="","",IFERROR(INDEX(사건마스터!$H$5:$H$64,MATCH($F681,사건마스터!$A$5:$A$64,0)),""))</f>
        <v/>
      </c>
      <c r="K681" s="136">
        <f>IF($F681="","",IFERROR(INDEX(사건마스터!$AH$5:$AH$64,MATCH($F681,사건마스터!$A$5:$A$64,0)),""))</f>
        <v/>
      </c>
      <c r="L681" s="136">
        <f>IF($F681="","",IFERROR(INDEX(사건마스터!$AI$5:$AI$64,MATCH($F681,사건마스터!$A$5:$A$64,0)),""))</f>
        <v/>
      </c>
      <c r="M681" s="136">
        <f>IF($F681="","",IFERROR(INDEX(사건마스터!$AJ$5:$AJ$64,MATCH($F681,사건마스터!$A$5:$A$64,0)),""))</f>
        <v/>
      </c>
      <c r="N681" s="136">
        <f>IF($F681="","",IFERROR(INDEX(사건마스터!$AK$5:$AK$64,MATCH($F681,사건마스터!$A$5:$A$64,0)),""))</f>
        <v/>
      </c>
      <c r="O681" s="136">
        <f>IF($F681="","",IFERROR(INDEX(사건마스터!$AL$5:$AL$64,MATCH($F681,사건마스터!$A$5:$A$64,0)),""))</f>
        <v/>
      </c>
      <c r="P681" s="136">
        <f>IF($F681="","",IFERROR(INDEX(사건마스터!$AM$5:$AM$64,MATCH($F681,사건마스터!$A$5:$A$64,0)),""))</f>
        <v/>
      </c>
      <c r="Q681" s="136">
        <f>IF($F681="","",IFERROR(INDEX(사건마스터!$AN$5:$AN$64,MATCH($F681,사건마스터!$A$5:$A$64,0)),""))</f>
        <v/>
      </c>
      <c r="R681" s="136">
        <f>IF($F681="","",IFERROR(INDEX(사건마스터!$AO$5:$AO$64,MATCH($F681,사건마스터!$A$5:$A$64,0)),""))</f>
        <v/>
      </c>
      <c r="S681" s="136">
        <f>IF($F681="","",IFERROR(INDEX(사건마스터!$AP$5:$AP$64,MATCH($F681,사건마스터!$A$5:$A$64,0)),""))</f>
        <v/>
      </c>
      <c r="T681" s="136">
        <f>IF($F681="","",IFERROR(INDEX(사건마스터!$AQ$5:$AQ$64,MATCH($F681,사건마스터!$A$5:$A$64,0)),""))</f>
        <v/>
      </c>
      <c r="U681" s="136">
        <f>IF($F681="","",IFERROR(INDEX(사건마스터!$AR$5:$AR$64,MATCH($F681,사건마스터!$A$5:$A$64,0)),""))</f>
        <v/>
      </c>
      <c r="V681" s="136">
        <f>IF($F681="","",IFERROR(INDEX(사건마스터!$AS$5:$AS$64,MATCH($F681,사건마스터!$A$5:$A$64,0)),""))</f>
        <v/>
      </c>
      <c r="W681" s="136">
        <f>IF($F681="","",IFERROR(INDEX(사건마스터!$AT$5:$AT$64,MATCH($F681,사건마스터!$A$5:$A$64,0)),""))</f>
        <v/>
      </c>
      <c r="X681" s="136">
        <f>IF($F681="","",IFERROR(INDEX(사건마스터!$AU$5:$AU$64,MATCH($F681,사건마스터!$A$5:$A$64,0)),""))</f>
        <v/>
      </c>
      <c r="Y681" s="136">
        <f>IF($F681="","",IFERROR(INDEX(사건마스터!$AV$5:$AV$64,MATCH($F681,사건마스터!$A$5:$A$64,0)),""))</f>
        <v/>
      </c>
      <c r="Z681" s="118">
        <f>IF(COUNTBLANK($J681:$Y681)=16,"",16-COUNTBLANK($J681:$Y681))</f>
        <v/>
      </c>
      <c r="AA681" s="33">
        <f>IF($J681="",MID($AX681,3,255),$J681&amp;$AX681)</f>
        <v/>
      </c>
      <c r="AB681" s="130">
        <f>IF($J681="","",IFERROR(INDEX(코드설정!$D$5:$D$24,MATCH($J681,코드설정!$C$5:$C$24,0)),""))</f>
        <v/>
      </c>
      <c r="AC681" s="36" t="n"/>
      <c r="AD681" s="37" t="n"/>
      <c r="AE681" s="38" t="n"/>
      <c r="AF681" s="118">
        <f>IF(OR($B681="",$C681=""),"",$C681-$B681+1)</f>
        <v/>
      </c>
      <c r="AG681" s="74" t="n"/>
      <c r="AH681" s="36" t="n"/>
      <c r="AJ681">
        <f>IF($K681="","",", "&amp;$K681)</f>
        <v/>
      </c>
      <c r="AK681">
        <f>AJ681&amp;IF($L681="","",", "&amp;$L681)</f>
        <v/>
      </c>
      <c r="AL681">
        <f>AK681&amp;IF($M681="","",", "&amp;$M681)</f>
        <v/>
      </c>
      <c r="AM681">
        <f>AL681&amp;IF($N681="","",", "&amp;$N681)</f>
        <v/>
      </c>
      <c r="AN681">
        <f>AM681&amp;IF($O681="","",", "&amp;$O681)</f>
        <v/>
      </c>
      <c r="AO681">
        <f>AN681&amp;IF($P681="","",", "&amp;$P681)</f>
        <v/>
      </c>
      <c r="AP681">
        <f>AO681&amp;IF($Q681="","",", "&amp;$Q681)</f>
        <v/>
      </c>
      <c r="AQ681">
        <f>AP681&amp;IF($R681="","",", "&amp;$R681)</f>
        <v/>
      </c>
      <c r="AR681">
        <f>AQ681&amp;IF($S681="","",", "&amp;$S681)</f>
        <v/>
      </c>
      <c r="AS681">
        <f>AR681&amp;IF($T681="","",", "&amp;$T681)</f>
        <v/>
      </c>
      <c r="AT681">
        <f>AS681&amp;IF($U681="","",", "&amp;$U681)</f>
        <v/>
      </c>
      <c r="AU681">
        <f>AT681&amp;IF($V681="","",", "&amp;$V681)</f>
        <v/>
      </c>
      <c r="AV681">
        <f>AU681&amp;IF($W681="","",", "&amp;$W681)</f>
        <v/>
      </c>
      <c r="AW681">
        <f>AV681&amp;IF($X681="","",", "&amp;$X681)</f>
        <v/>
      </c>
      <c r="AX681">
        <f>AW681&amp;IF($Y681="","",", "&amp;$Y681)</f>
        <v/>
      </c>
    </row>
    <row r="682">
      <c r="A682" s="118">
        <f>IF($B682="","",COUNT($B$5:$B682))</f>
        <v/>
      </c>
      <c r="B682" s="80" t="n"/>
      <c r="C682" s="80" t="n"/>
      <c r="D682" s="74" t="n"/>
      <c r="E682" s="74" t="n"/>
      <c r="F682" s="74" t="n"/>
      <c r="G682" s="118">
        <f>IF($F682="","",COUNTIF($F$5:$F682,$F682))</f>
        <v/>
      </c>
      <c r="H682" s="33">
        <f>IF($F682="","",IFERROR(INDEX(사건마스터!$B$5:$B$64,MATCH($F682,사건마스터!$A$5:$A$64,0)),""))</f>
        <v/>
      </c>
      <c r="I682" s="130">
        <f>IF($F682="","",IFERROR(INDEX(사건마스터!$C$5:$C$64,MATCH($F682,사건마스터!$A$5:$A$64,0)),""))</f>
        <v/>
      </c>
      <c r="J682" s="136">
        <f>IF($F682="","",IFERROR(INDEX(사건마스터!$H$5:$H$64,MATCH($F682,사건마스터!$A$5:$A$64,0)),""))</f>
        <v/>
      </c>
      <c r="K682" s="136">
        <f>IF($F682="","",IFERROR(INDEX(사건마스터!$AH$5:$AH$64,MATCH($F682,사건마스터!$A$5:$A$64,0)),""))</f>
        <v/>
      </c>
      <c r="L682" s="136">
        <f>IF($F682="","",IFERROR(INDEX(사건마스터!$AI$5:$AI$64,MATCH($F682,사건마스터!$A$5:$A$64,0)),""))</f>
        <v/>
      </c>
      <c r="M682" s="136">
        <f>IF($F682="","",IFERROR(INDEX(사건마스터!$AJ$5:$AJ$64,MATCH($F682,사건마스터!$A$5:$A$64,0)),""))</f>
        <v/>
      </c>
      <c r="N682" s="136">
        <f>IF($F682="","",IFERROR(INDEX(사건마스터!$AK$5:$AK$64,MATCH($F682,사건마스터!$A$5:$A$64,0)),""))</f>
        <v/>
      </c>
      <c r="O682" s="136">
        <f>IF($F682="","",IFERROR(INDEX(사건마스터!$AL$5:$AL$64,MATCH($F682,사건마스터!$A$5:$A$64,0)),""))</f>
        <v/>
      </c>
      <c r="P682" s="136">
        <f>IF($F682="","",IFERROR(INDEX(사건마스터!$AM$5:$AM$64,MATCH($F682,사건마스터!$A$5:$A$64,0)),""))</f>
        <v/>
      </c>
      <c r="Q682" s="136">
        <f>IF($F682="","",IFERROR(INDEX(사건마스터!$AN$5:$AN$64,MATCH($F682,사건마스터!$A$5:$A$64,0)),""))</f>
        <v/>
      </c>
      <c r="R682" s="136">
        <f>IF($F682="","",IFERROR(INDEX(사건마스터!$AO$5:$AO$64,MATCH($F682,사건마스터!$A$5:$A$64,0)),""))</f>
        <v/>
      </c>
      <c r="S682" s="136">
        <f>IF($F682="","",IFERROR(INDEX(사건마스터!$AP$5:$AP$64,MATCH($F682,사건마스터!$A$5:$A$64,0)),""))</f>
        <v/>
      </c>
      <c r="T682" s="136">
        <f>IF($F682="","",IFERROR(INDEX(사건마스터!$AQ$5:$AQ$64,MATCH($F682,사건마스터!$A$5:$A$64,0)),""))</f>
        <v/>
      </c>
      <c r="U682" s="136">
        <f>IF($F682="","",IFERROR(INDEX(사건마스터!$AR$5:$AR$64,MATCH($F682,사건마스터!$A$5:$A$64,0)),""))</f>
        <v/>
      </c>
      <c r="V682" s="136">
        <f>IF($F682="","",IFERROR(INDEX(사건마스터!$AS$5:$AS$64,MATCH($F682,사건마스터!$A$5:$A$64,0)),""))</f>
        <v/>
      </c>
      <c r="W682" s="136">
        <f>IF($F682="","",IFERROR(INDEX(사건마스터!$AT$5:$AT$64,MATCH($F682,사건마스터!$A$5:$A$64,0)),""))</f>
        <v/>
      </c>
      <c r="X682" s="136">
        <f>IF($F682="","",IFERROR(INDEX(사건마스터!$AU$5:$AU$64,MATCH($F682,사건마스터!$A$5:$A$64,0)),""))</f>
        <v/>
      </c>
      <c r="Y682" s="136">
        <f>IF($F682="","",IFERROR(INDEX(사건마스터!$AV$5:$AV$64,MATCH($F682,사건마스터!$A$5:$A$64,0)),""))</f>
        <v/>
      </c>
      <c r="Z682" s="118">
        <f>IF(COUNTBLANK($J682:$Y682)=16,"",16-COUNTBLANK($J682:$Y682))</f>
        <v/>
      </c>
      <c r="AA682" s="33">
        <f>IF($J682="",MID($AX682,3,255),$J682&amp;$AX682)</f>
        <v/>
      </c>
      <c r="AB682" s="130">
        <f>IF($J682="","",IFERROR(INDEX(코드설정!$D$5:$D$24,MATCH($J682,코드설정!$C$5:$C$24,0)),""))</f>
        <v/>
      </c>
      <c r="AC682" s="36" t="n"/>
      <c r="AD682" s="37" t="n"/>
      <c r="AE682" s="38" t="n"/>
      <c r="AF682" s="118">
        <f>IF(OR($B682="",$C682=""),"",$C682-$B682+1)</f>
        <v/>
      </c>
      <c r="AG682" s="74" t="n"/>
      <c r="AH682" s="36" t="n"/>
      <c r="AJ682">
        <f>IF($K682="","",", "&amp;$K682)</f>
        <v/>
      </c>
      <c r="AK682">
        <f>AJ682&amp;IF($L682="","",", "&amp;$L682)</f>
        <v/>
      </c>
      <c r="AL682">
        <f>AK682&amp;IF($M682="","",", "&amp;$M682)</f>
        <v/>
      </c>
      <c r="AM682">
        <f>AL682&amp;IF($N682="","",", "&amp;$N682)</f>
        <v/>
      </c>
      <c r="AN682">
        <f>AM682&amp;IF($O682="","",", "&amp;$O682)</f>
        <v/>
      </c>
      <c r="AO682">
        <f>AN682&amp;IF($P682="","",", "&amp;$P682)</f>
        <v/>
      </c>
      <c r="AP682">
        <f>AO682&amp;IF($Q682="","",", "&amp;$Q682)</f>
        <v/>
      </c>
      <c r="AQ682">
        <f>AP682&amp;IF($R682="","",", "&amp;$R682)</f>
        <v/>
      </c>
      <c r="AR682">
        <f>AQ682&amp;IF($S682="","",", "&amp;$S682)</f>
        <v/>
      </c>
      <c r="AS682">
        <f>AR682&amp;IF($T682="","",", "&amp;$T682)</f>
        <v/>
      </c>
      <c r="AT682">
        <f>AS682&amp;IF($U682="","",", "&amp;$U682)</f>
        <v/>
      </c>
      <c r="AU682">
        <f>AT682&amp;IF($V682="","",", "&amp;$V682)</f>
        <v/>
      </c>
      <c r="AV682">
        <f>AU682&amp;IF($W682="","",", "&amp;$W682)</f>
        <v/>
      </c>
      <c r="AW682">
        <f>AV682&amp;IF($X682="","",", "&amp;$X682)</f>
        <v/>
      </c>
      <c r="AX682">
        <f>AW682&amp;IF($Y682="","",", "&amp;$Y682)</f>
        <v/>
      </c>
    </row>
    <row r="683">
      <c r="A683" s="118">
        <f>IF($B683="","",COUNT($B$5:$B683))</f>
        <v/>
      </c>
      <c r="B683" s="80" t="n"/>
      <c r="C683" s="80" t="n"/>
      <c r="D683" s="74" t="n"/>
      <c r="E683" s="74" t="n"/>
      <c r="F683" s="74" t="n"/>
      <c r="G683" s="118">
        <f>IF($F683="","",COUNTIF($F$5:$F683,$F683))</f>
        <v/>
      </c>
      <c r="H683" s="33">
        <f>IF($F683="","",IFERROR(INDEX(사건마스터!$B$5:$B$64,MATCH($F683,사건마스터!$A$5:$A$64,0)),""))</f>
        <v/>
      </c>
      <c r="I683" s="130">
        <f>IF($F683="","",IFERROR(INDEX(사건마스터!$C$5:$C$64,MATCH($F683,사건마스터!$A$5:$A$64,0)),""))</f>
        <v/>
      </c>
      <c r="J683" s="136">
        <f>IF($F683="","",IFERROR(INDEX(사건마스터!$H$5:$H$64,MATCH($F683,사건마스터!$A$5:$A$64,0)),""))</f>
        <v/>
      </c>
      <c r="K683" s="136">
        <f>IF($F683="","",IFERROR(INDEX(사건마스터!$AH$5:$AH$64,MATCH($F683,사건마스터!$A$5:$A$64,0)),""))</f>
        <v/>
      </c>
      <c r="L683" s="136">
        <f>IF($F683="","",IFERROR(INDEX(사건마스터!$AI$5:$AI$64,MATCH($F683,사건마스터!$A$5:$A$64,0)),""))</f>
        <v/>
      </c>
      <c r="M683" s="136">
        <f>IF($F683="","",IFERROR(INDEX(사건마스터!$AJ$5:$AJ$64,MATCH($F683,사건마스터!$A$5:$A$64,0)),""))</f>
        <v/>
      </c>
      <c r="N683" s="136">
        <f>IF($F683="","",IFERROR(INDEX(사건마스터!$AK$5:$AK$64,MATCH($F683,사건마스터!$A$5:$A$64,0)),""))</f>
        <v/>
      </c>
      <c r="O683" s="136">
        <f>IF($F683="","",IFERROR(INDEX(사건마스터!$AL$5:$AL$64,MATCH($F683,사건마스터!$A$5:$A$64,0)),""))</f>
        <v/>
      </c>
      <c r="P683" s="136">
        <f>IF($F683="","",IFERROR(INDEX(사건마스터!$AM$5:$AM$64,MATCH($F683,사건마스터!$A$5:$A$64,0)),""))</f>
        <v/>
      </c>
      <c r="Q683" s="136">
        <f>IF($F683="","",IFERROR(INDEX(사건마스터!$AN$5:$AN$64,MATCH($F683,사건마스터!$A$5:$A$64,0)),""))</f>
        <v/>
      </c>
      <c r="R683" s="136">
        <f>IF($F683="","",IFERROR(INDEX(사건마스터!$AO$5:$AO$64,MATCH($F683,사건마스터!$A$5:$A$64,0)),""))</f>
        <v/>
      </c>
      <c r="S683" s="136">
        <f>IF($F683="","",IFERROR(INDEX(사건마스터!$AP$5:$AP$64,MATCH($F683,사건마스터!$A$5:$A$64,0)),""))</f>
        <v/>
      </c>
      <c r="T683" s="136">
        <f>IF($F683="","",IFERROR(INDEX(사건마스터!$AQ$5:$AQ$64,MATCH($F683,사건마스터!$A$5:$A$64,0)),""))</f>
        <v/>
      </c>
      <c r="U683" s="136">
        <f>IF($F683="","",IFERROR(INDEX(사건마스터!$AR$5:$AR$64,MATCH($F683,사건마스터!$A$5:$A$64,0)),""))</f>
        <v/>
      </c>
      <c r="V683" s="136">
        <f>IF($F683="","",IFERROR(INDEX(사건마스터!$AS$5:$AS$64,MATCH($F683,사건마스터!$A$5:$A$64,0)),""))</f>
        <v/>
      </c>
      <c r="W683" s="136">
        <f>IF($F683="","",IFERROR(INDEX(사건마스터!$AT$5:$AT$64,MATCH($F683,사건마스터!$A$5:$A$64,0)),""))</f>
        <v/>
      </c>
      <c r="X683" s="136">
        <f>IF($F683="","",IFERROR(INDEX(사건마스터!$AU$5:$AU$64,MATCH($F683,사건마스터!$A$5:$A$64,0)),""))</f>
        <v/>
      </c>
      <c r="Y683" s="136">
        <f>IF($F683="","",IFERROR(INDEX(사건마스터!$AV$5:$AV$64,MATCH($F683,사건마스터!$A$5:$A$64,0)),""))</f>
        <v/>
      </c>
      <c r="Z683" s="118">
        <f>IF(COUNTBLANK($J683:$Y683)=16,"",16-COUNTBLANK($J683:$Y683))</f>
        <v/>
      </c>
      <c r="AA683" s="33">
        <f>IF($J683="",MID($AX683,3,255),$J683&amp;$AX683)</f>
        <v/>
      </c>
      <c r="AB683" s="130">
        <f>IF($J683="","",IFERROR(INDEX(코드설정!$D$5:$D$24,MATCH($J683,코드설정!$C$5:$C$24,0)),""))</f>
        <v/>
      </c>
      <c r="AC683" s="36" t="n"/>
      <c r="AD683" s="37" t="n"/>
      <c r="AE683" s="38" t="n"/>
      <c r="AF683" s="118">
        <f>IF(OR($B683="",$C683=""),"",$C683-$B683+1)</f>
        <v/>
      </c>
      <c r="AG683" s="74" t="n"/>
      <c r="AH683" s="36" t="n"/>
      <c r="AJ683">
        <f>IF($K683="","",", "&amp;$K683)</f>
        <v/>
      </c>
      <c r="AK683">
        <f>AJ683&amp;IF($L683="","",", "&amp;$L683)</f>
        <v/>
      </c>
      <c r="AL683">
        <f>AK683&amp;IF($M683="","",", "&amp;$M683)</f>
        <v/>
      </c>
      <c r="AM683">
        <f>AL683&amp;IF($N683="","",", "&amp;$N683)</f>
        <v/>
      </c>
      <c r="AN683">
        <f>AM683&amp;IF($O683="","",", "&amp;$O683)</f>
        <v/>
      </c>
      <c r="AO683">
        <f>AN683&amp;IF($P683="","",", "&amp;$P683)</f>
        <v/>
      </c>
      <c r="AP683">
        <f>AO683&amp;IF($Q683="","",", "&amp;$Q683)</f>
        <v/>
      </c>
      <c r="AQ683">
        <f>AP683&amp;IF($R683="","",", "&amp;$R683)</f>
        <v/>
      </c>
      <c r="AR683">
        <f>AQ683&amp;IF($S683="","",", "&amp;$S683)</f>
        <v/>
      </c>
      <c r="AS683">
        <f>AR683&amp;IF($T683="","",", "&amp;$T683)</f>
        <v/>
      </c>
      <c r="AT683">
        <f>AS683&amp;IF($U683="","",", "&amp;$U683)</f>
        <v/>
      </c>
      <c r="AU683">
        <f>AT683&amp;IF($V683="","",", "&amp;$V683)</f>
        <v/>
      </c>
      <c r="AV683">
        <f>AU683&amp;IF($W683="","",", "&amp;$W683)</f>
        <v/>
      </c>
      <c r="AW683">
        <f>AV683&amp;IF($X683="","",", "&amp;$X683)</f>
        <v/>
      </c>
      <c r="AX683">
        <f>AW683&amp;IF($Y683="","",", "&amp;$Y683)</f>
        <v/>
      </c>
    </row>
    <row r="684">
      <c r="A684" s="118">
        <f>IF($B684="","",COUNT($B$5:$B684))</f>
        <v/>
      </c>
      <c r="B684" s="80" t="n"/>
      <c r="C684" s="80" t="n"/>
      <c r="D684" s="74" t="n"/>
      <c r="E684" s="74" t="n"/>
      <c r="F684" s="74" t="n"/>
      <c r="G684" s="118">
        <f>IF($F684="","",COUNTIF($F$5:$F684,$F684))</f>
        <v/>
      </c>
      <c r="H684" s="33">
        <f>IF($F684="","",IFERROR(INDEX(사건마스터!$B$5:$B$64,MATCH($F684,사건마스터!$A$5:$A$64,0)),""))</f>
        <v/>
      </c>
      <c r="I684" s="130">
        <f>IF($F684="","",IFERROR(INDEX(사건마스터!$C$5:$C$64,MATCH($F684,사건마스터!$A$5:$A$64,0)),""))</f>
        <v/>
      </c>
      <c r="J684" s="136">
        <f>IF($F684="","",IFERROR(INDEX(사건마스터!$H$5:$H$64,MATCH($F684,사건마스터!$A$5:$A$64,0)),""))</f>
        <v/>
      </c>
      <c r="K684" s="136">
        <f>IF($F684="","",IFERROR(INDEX(사건마스터!$AH$5:$AH$64,MATCH($F684,사건마스터!$A$5:$A$64,0)),""))</f>
        <v/>
      </c>
      <c r="L684" s="136">
        <f>IF($F684="","",IFERROR(INDEX(사건마스터!$AI$5:$AI$64,MATCH($F684,사건마스터!$A$5:$A$64,0)),""))</f>
        <v/>
      </c>
      <c r="M684" s="136">
        <f>IF($F684="","",IFERROR(INDEX(사건마스터!$AJ$5:$AJ$64,MATCH($F684,사건마스터!$A$5:$A$64,0)),""))</f>
        <v/>
      </c>
      <c r="N684" s="136">
        <f>IF($F684="","",IFERROR(INDEX(사건마스터!$AK$5:$AK$64,MATCH($F684,사건마스터!$A$5:$A$64,0)),""))</f>
        <v/>
      </c>
      <c r="O684" s="136">
        <f>IF($F684="","",IFERROR(INDEX(사건마스터!$AL$5:$AL$64,MATCH($F684,사건마스터!$A$5:$A$64,0)),""))</f>
        <v/>
      </c>
      <c r="P684" s="136">
        <f>IF($F684="","",IFERROR(INDEX(사건마스터!$AM$5:$AM$64,MATCH($F684,사건마스터!$A$5:$A$64,0)),""))</f>
        <v/>
      </c>
      <c r="Q684" s="136">
        <f>IF($F684="","",IFERROR(INDEX(사건마스터!$AN$5:$AN$64,MATCH($F684,사건마스터!$A$5:$A$64,0)),""))</f>
        <v/>
      </c>
      <c r="R684" s="136">
        <f>IF($F684="","",IFERROR(INDEX(사건마스터!$AO$5:$AO$64,MATCH($F684,사건마스터!$A$5:$A$64,0)),""))</f>
        <v/>
      </c>
      <c r="S684" s="136">
        <f>IF($F684="","",IFERROR(INDEX(사건마스터!$AP$5:$AP$64,MATCH($F684,사건마스터!$A$5:$A$64,0)),""))</f>
        <v/>
      </c>
      <c r="T684" s="136">
        <f>IF($F684="","",IFERROR(INDEX(사건마스터!$AQ$5:$AQ$64,MATCH($F684,사건마스터!$A$5:$A$64,0)),""))</f>
        <v/>
      </c>
      <c r="U684" s="136">
        <f>IF($F684="","",IFERROR(INDEX(사건마스터!$AR$5:$AR$64,MATCH($F684,사건마스터!$A$5:$A$64,0)),""))</f>
        <v/>
      </c>
      <c r="V684" s="136">
        <f>IF($F684="","",IFERROR(INDEX(사건마스터!$AS$5:$AS$64,MATCH($F684,사건마스터!$A$5:$A$64,0)),""))</f>
        <v/>
      </c>
      <c r="W684" s="136">
        <f>IF($F684="","",IFERROR(INDEX(사건마스터!$AT$5:$AT$64,MATCH($F684,사건마스터!$A$5:$A$64,0)),""))</f>
        <v/>
      </c>
      <c r="X684" s="136">
        <f>IF($F684="","",IFERROR(INDEX(사건마스터!$AU$5:$AU$64,MATCH($F684,사건마스터!$A$5:$A$64,0)),""))</f>
        <v/>
      </c>
      <c r="Y684" s="136">
        <f>IF($F684="","",IFERROR(INDEX(사건마스터!$AV$5:$AV$64,MATCH($F684,사건마스터!$A$5:$A$64,0)),""))</f>
        <v/>
      </c>
      <c r="Z684" s="118">
        <f>IF(COUNTBLANK($J684:$Y684)=16,"",16-COUNTBLANK($J684:$Y684))</f>
        <v/>
      </c>
      <c r="AA684" s="33">
        <f>IF($J684="",MID($AX684,3,255),$J684&amp;$AX684)</f>
        <v/>
      </c>
      <c r="AB684" s="130">
        <f>IF($J684="","",IFERROR(INDEX(코드설정!$D$5:$D$24,MATCH($J684,코드설정!$C$5:$C$24,0)),""))</f>
        <v/>
      </c>
      <c r="AC684" s="36" t="n"/>
      <c r="AD684" s="37" t="n"/>
      <c r="AE684" s="38" t="n"/>
      <c r="AF684" s="118">
        <f>IF(OR($B684="",$C684=""),"",$C684-$B684+1)</f>
        <v/>
      </c>
      <c r="AG684" s="74" t="n"/>
      <c r="AH684" s="36" t="n"/>
      <c r="AJ684">
        <f>IF($K684="","",", "&amp;$K684)</f>
        <v/>
      </c>
      <c r="AK684">
        <f>AJ684&amp;IF($L684="","",", "&amp;$L684)</f>
        <v/>
      </c>
      <c r="AL684">
        <f>AK684&amp;IF($M684="","",", "&amp;$M684)</f>
        <v/>
      </c>
      <c r="AM684">
        <f>AL684&amp;IF($N684="","",", "&amp;$N684)</f>
        <v/>
      </c>
      <c r="AN684">
        <f>AM684&amp;IF($O684="","",", "&amp;$O684)</f>
        <v/>
      </c>
      <c r="AO684">
        <f>AN684&amp;IF($P684="","",", "&amp;$P684)</f>
        <v/>
      </c>
      <c r="AP684">
        <f>AO684&amp;IF($Q684="","",", "&amp;$Q684)</f>
        <v/>
      </c>
      <c r="AQ684">
        <f>AP684&amp;IF($R684="","",", "&amp;$R684)</f>
        <v/>
      </c>
      <c r="AR684">
        <f>AQ684&amp;IF($S684="","",", "&amp;$S684)</f>
        <v/>
      </c>
      <c r="AS684">
        <f>AR684&amp;IF($T684="","",", "&amp;$T684)</f>
        <v/>
      </c>
      <c r="AT684">
        <f>AS684&amp;IF($U684="","",", "&amp;$U684)</f>
        <v/>
      </c>
      <c r="AU684">
        <f>AT684&amp;IF($V684="","",", "&amp;$V684)</f>
        <v/>
      </c>
      <c r="AV684">
        <f>AU684&amp;IF($W684="","",", "&amp;$W684)</f>
        <v/>
      </c>
      <c r="AW684">
        <f>AV684&amp;IF($X684="","",", "&amp;$X684)</f>
        <v/>
      </c>
      <c r="AX684">
        <f>AW684&amp;IF($Y684="","",", "&amp;$Y684)</f>
        <v/>
      </c>
    </row>
    <row r="685">
      <c r="A685" s="118">
        <f>IF($B685="","",COUNT($B$5:$B685))</f>
        <v/>
      </c>
      <c r="B685" s="80" t="n"/>
      <c r="C685" s="80" t="n"/>
      <c r="D685" s="74" t="n"/>
      <c r="E685" s="74" t="n"/>
      <c r="F685" s="74" t="n"/>
      <c r="G685" s="118">
        <f>IF($F685="","",COUNTIF($F$5:$F685,$F685))</f>
        <v/>
      </c>
      <c r="H685" s="33">
        <f>IF($F685="","",IFERROR(INDEX(사건마스터!$B$5:$B$64,MATCH($F685,사건마스터!$A$5:$A$64,0)),""))</f>
        <v/>
      </c>
      <c r="I685" s="130">
        <f>IF($F685="","",IFERROR(INDEX(사건마스터!$C$5:$C$64,MATCH($F685,사건마스터!$A$5:$A$64,0)),""))</f>
        <v/>
      </c>
      <c r="J685" s="136">
        <f>IF($F685="","",IFERROR(INDEX(사건마스터!$H$5:$H$64,MATCH($F685,사건마스터!$A$5:$A$64,0)),""))</f>
        <v/>
      </c>
      <c r="K685" s="136">
        <f>IF($F685="","",IFERROR(INDEX(사건마스터!$AH$5:$AH$64,MATCH($F685,사건마스터!$A$5:$A$64,0)),""))</f>
        <v/>
      </c>
      <c r="L685" s="136">
        <f>IF($F685="","",IFERROR(INDEX(사건마스터!$AI$5:$AI$64,MATCH($F685,사건마스터!$A$5:$A$64,0)),""))</f>
        <v/>
      </c>
      <c r="M685" s="136">
        <f>IF($F685="","",IFERROR(INDEX(사건마스터!$AJ$5:$AJ$64,MATCH($F685,사건마스터!$A$5:$A$64,0)),""))</f>
        <v/>
      </c>
      <c r="N685" s="136">
        <f>IF($F685="","",IFERROR(INDEX(사건마스터!$AK$5:$AK$64,MATCH($F685,사건마스터!$A$5:$A$64,0)),""))</f>
        <v/>
      </c>
      <c r="O685" s="136">
        <f>IF($F685="","",IFERROR(INDEX(사건마스터!$AL$5:$AL$64,MATCH($F685,사건마스터!$A$5:$A$64,0)),""))</f>
        <v/>
      </c>
      <c r="P685" s="136">
        <f>IF($F685="","",IFERROR(INDEX(사건마스터!$AM$5:$AM$64,MATCH($F685,사건마스터!$A$5:$A$64,0)),""))</f>
        <v/>
      </c>
      <c r="Q685" s="136">
        <f>IF($F685="","",IFERROR(INDEX(사건마스터!$AN$5:$AN$64,MATCH($F685,사건마스터!$A$5:$A$64,0)),""))</f>
        <v/>
      </c>
      <c r="R685" s="136">
        <f>IF($F685="","",IFERROR(INDEX(사건마스터!$AO$5:$AO$64,MATCH($F685,사건마스터!$A$5:$A$64,0)),""))</f>
        <v/>
      </c>
      <c r="S685" s="136">
        <f>IF($F685="","",IFERROR(INDEX(사건마스터!$AP$5:$AP$64,MATCH($F685,사건마스터!$A$5:$A$64,0)),""))</f>
        <v/>
      </c>
      <c r="T685" s="136">
        <f>IF($F685="","",IFERROR(INDEX(사건마스터!$AQ$5:$AQ$64,MATCH($F685,사건마스터!$A$5:$A$64,0)),""))</f>
        <v/>
      </c>
      <c r="U685" s="136">
        <f>IF($F685="","",IFERROR(INDEX(사건마스터!$AR$5:$AR$64,MATCH($F685,사건마스터!$A$5:$A$64,0)),""))</f>
        <v/>
      </c>
      <c r="V685" s="136">
        <f>IF($F685="","",IFERROR(INDEX(사건마스터!$AS$5:$AS$64,MATCH($F685,사건마스터!$A$5:$A$64,0)),""))</f>
        <v/>
      </c>
      <c r="W685" s="136">
        <f>IF($F685="","",IFERROR(INDEX(사건마스터!$AT$5:$AT$64,MATCH($F685,사건마스터!$A$5:$A$64,0)),""))</f>
        <v/>
      </c>
      <c r="X685" s="136">
        <f>IF($F685="","",IFERROR(INDEX(사건마스터!$AU$5:$AU$64,MATCH($F685,사건마스터!$A$5:$A$64,0)),""))</f>
        <v/>
      </c>
      <c r="Y685" s="136">
        <f>IF($F685="","",IFERROR(INDEX(사건마스터!$AV$5:$AV$64,MATCH($F685,사건마스터!$A$5:$A$64,0)),""))</f>
        <v/>
      </c>
      <c r="Z685" s="118">
        <f>IF(COUNTBLANK($J685:$Y685)=16,"",16-COUNTBLANK($J685:$Y685))</f>
        <v/>
      </c>
      <c r="AA685" s="33">
        <f>IF($J685="",MID($AX685,3,255),$J685&amp;$AX685)</f>
        <v/>
      </c>
      <c r="AB685" s="130">
        <f>IF($J685="","",IFERROR(INDEX(코드설정!$D$5:$D$24,MATCH($J685,코드설정!$C$5:$C$24,0)),""))</f>
        <v/>
      </c>
      <c r="AC685" s="36" t="n"/>
      <c r="AD685" s="37" t="n"/>
      <c r="AE685" s="38" t="n"/>
      <c r="AF685" s="118">
        <f>IF(OR($B685="",$C685=""),"",$C685-$B685+1)</f>
        <v/>
      </c>
      <c r="AG685" s="74" t="n"/>
      <c r="AH685" s="36" t="n"/>
      <c r="AJ685">
        <f>IF($K685="","",", "&amp;$K685)</f>
        <v/>
      </c>
      <c r="AK685">
        <f>AJ685&amp;IF($L685="","",", "&amp;$L685)</f>
        <v/>
      </c>
      <c r="AL685">
        <f>AK685&amp;IF($M685="","",", "&amp;$M685)</f>
        <v/>
      </c>
      <c r="AM685">
        <f>AL685&amp;IF($N685="","",", "&amp;$N685)</f>
        <v/>
      </c>
      <c r="AN685">
        <f>AM685&amp;IF($O685="","",", "&amp;$O685)</f>
        <v/>
      </c>
      <c r="AO685">
        <f>AN685&amp;IF($P685="","",", "&amp;$P685)</f>
        <v/>
      </c>
      <c r="AP685">
        <f>AO685&amp;IF($Q685="","",", "&amp;$Q685)</f>
        <v/>
      </c>
      <c r="AQ685">
        <f>AP685&amp;IF($R685="","",", "&amp;$R685)</f>
        <v/>
      </c>
      <c r="AR685">
        <f>AQ685&amp;IF($S685="","",", "&amp;$S685)</f>
        <v/>
      </c>
      <c r="AS685">
        <f>AR685&amp;IF($T685="","",", "&amp;$T685)</f>
        <v/>
      </c>
      <c r="AT685">
        <f>AS685&amp;IF($U685="","",", "&amp;$U685)</f>
        <v/>
      </c>
      <c r="AU685">
        <f>AT685&amp;IF($V685="","",", "&amp;$V685)</f>
        <v/>
      </c>
      <c r="AV685">
        <f>AU685&amp;IF($W685="","",", "&amp;$W685)</f>
        <v/>
      </c>
      <c r="AW685">
        <f>AV685&amp;IF($X685="","",", "&amp;$X685)</f>
        <v/>
      </c>
      <c r="AX685">
        <f>AW685&amp;IF($Y685="","",", "&amp;$Y685)</f>
        <v/>
      </c>
    </row>
    <row r="686">
      <c r="A686" s="118">
        <f>IF($B686="","",COUNT($B$5:$B686))</f>
        <v/>
      </c>
      <c r="B686" s="80" t="n"/>
      <c r="C686" s="80" t="n"/>
      <c r="D686" s="74" t="n"/>
      <c r="E686" s="74" t="n"/>
      <c r="F686" s="74" t="n"/>
      <c r="G686" s="118">
        <f>IF($F686="","",COUNTIF($F$5:$F686,$F686))</f>
        <v/>
      </c>
      <c r="H686" s="33">
        <f>IF($F686="","",IFERROR(INDEX(사건마스터!$B$5:$B$64,MATCH($F686,사건마스터!$A$5:$A$64,0)),""))</f>
        <v/>
      </c>
      <c r="I686" s="130">
        <f>IF($F686="","",IFERROR(INDEX(사건마스터!$C$5:$C$64,MATCH($F686,사건마스터!$A$5:$A$64,0)),""))</f>
        <v/>
      </c>
      <c r="J686" s="136">
        <f>IF($F686="","",IFERROR(INDEX(사건마스터!$H$5:$H$64,MATCH($F686,사건마스터!$A$5:$A$64,0)),""))</f>
        <v/>
      </c>
      <c r="K686" s="136">
        <f>IF($F686="","",IFERROR(INDEX(사건마스터!$AH$5:$AH$64,MATCH($F686,사건마스터!$A$5:$A$64,0)),""))</f>
        <v/>
      </c>
      <c r="L686" s="136">
        <f>IF($F686="","",IFERROR(INDEX(사건마스터!$AI$5:$AI$64,MATCH($F686,사건마스터!$A$5:$A$64,0)),""))</f>
        <v/>
      </c>
      <c r="M686" s="136">
        <f>IF($F686="","",IFERROR(INDEX(사건마스터!$AJ$5:$AJ$64,MATCH($F686,사건마스터!$A$5:$A$64,0)),""))</f>
        <v/>
      </c>
      <c r="N686" s="136">
        <f>IF($F686="","",IFERROR(INDEX(사건마스터!$AK$5:$AK$64,MATCH($F686,사건마스터!$A$5:$A$64,0)),""))</f>
        <v/>
      </c>
      <c r="O686" s="136">
        <f>IF($F686="","",IFERROR(INDEX(사건마스터!$AL$5:$AL$64,MATCH($F686,사건마스터!$A$5:$A$64,0)),""))</f>
        <v/>
      </c>
      <c r="P686" s="136">
        <f>IF($F686="","",IFERROR(INDEX(사건마스터!$AM$5:$AM$64,MATCH($F686,사건마스터!$A$5:$A$64,0)),""))</f>
        <v/>
      </c>
      <c r="Q686" s="136">
        <f>IF($F686="","",IFERROR(INDEX(사건마스터!$AN$5:$AN$64,MATCH($F686,사건마스터!$A$5:$A$64,0)),""))</f>
        <v/>
      </c>
      <c r="R686" s="136">
        <f>IF($F686="","",IFERROR(INDEX(사건마스터!$AO$5:$AO$64,MATCH($F686,사건마스터!$A$5:$A$64,0)),""))</f>
        <v/>
      </c>
      <c r="S686" s="136">
        <f>IF($F686="","",IFERROR(INDEX(사건마스터!$AP$5:$AP$64,MATCH($F686,사건마스터!$A$5:$A$64,0)),""))</f>
        <v/>
      </c>
      <c r="T686" s="136">
        <f>IF($F686="","",IFERROR(INDEX(사건마스터!$AQ$5:$AQ$64,MATCH($F686,사건마스터!$A$5:$A$64,0)),""))</f>
        <v/>
      </c>
      <c r="U686" s="136">
        <f>IF($F686="","",IFERROR(INDEX(사건마스터!$AR$5:$AR$64,MATCH($F686,사건마스터!$A$5:$A$64,0)),""))</f>
        <v/>
      </c>
      <c r="V686" s="136">
        <f>IF($F686="","",IFERROR(INDEX(사건마스터!$AS$5:$AS$64,MATCH($F686,사건마스터!$A$5:$A$64,0)),""))</f>
        <v/>
      </c>
      <c r="W686" s="136">
        <f>IF($F686="","",IFERROR(INDEX(사건마스터!$AT$5:$AT$64,MATCH($F686,사건마스터!$A$5:$A$64,0)),""))</f>
        <v/>
      </c>
      <c r="X686" s="136">
        <f>IF($F686="","",IFERROR(INDEX(사건마스터!$AU$5:$AU$64,MATCH($F686,사건마스터!$A$5:$A$64,0)),""))</f>
        <v/>
      </c>
      <c r="Y686" s="136">
        <f>IF($F686="","",IFERROR(INDEX(사건마스터!$AV$5:$AV$64,MATCH($F686,사건마스터!$A$5:$A$64,0)),""))</f>
        <v/>
      </c>
      <c r="Z686" s="118">
        <f>IF(COUNTBLANK($J686:$Y686)=16,"",16-COUNTBLANK($J686:$Y686))</f>
        <v/>
      </c>
      <c r="AA686" s="33">
        <f>IF($J686="",MID($AX686,3,255),$J686&amp;$AX686)</f>
        <v/>
      </c>
      <c r="AB686" s="130">
        <f>IF($J686="","",IFERROR(INDEX(코드설정!$D$5:$D$24,MATCH($J686,코드설정!$C$5:$C$24,0)),""))</f>
        <v/>
      </c>
      <c r="AC686" s="36" t="n"/>
      <c r="AD686" s="37" t="n"/>
      <c r="AE686" s="38" t="n"/>
      <c r="AF686" s="118">
        <f>IF(OR($B686="",$C686=""),"",$C686-$B686+1)</f>
        <v/>
      </c>
      <c r="AG686" s="74" t="n"/>
      <c r="AH686" s="36" t="n"/>
      <c r="AJ686">
        <f>IF($K686="","",", "&amp;$K686)</f>
        <v/>
      </c>
      <c r="AK686">
        <f>AJ686&amp;IF($L686="","",", "&amp;$L686)</f>
        <v/>
      </c>
      <c r="AL686">
        <f>AK686&amp;IF($M686="","",", "&amp;$M686)</f>
        <v/>
      </c>
      <c r="AM686">
        <f>AL686&amp;IF($N686="","",", "&amp;$N686)</f>
        <v/>
      </c>
      <c r="AN686">
        <f>AM686&amp;IF($O686="","",", "&amp;$O686)</f>
        <v/>
      </c>
      <c r="AO686">
        <f>AN686&amp;IF($P686="","",", "&amp;$P686)</f>
        <v/>
      </c>
      <c r="AP686">
        <f>AO686&amp;IF($Q686="","",", "&amp;$Q686)</f>
        <v/>
      </c>
      <c r="AQ686">
        <f>AP686&amp;IF($R686="","",", "&amp;$R686)</f>
        <v/>
      </c>
      <c r="AR686">
        <f>AQ686&amp;IF($S686="","",", "&amp;$S686)</f>
        <v/>
      </c>
      <c r="AS686">
        <f>AR686&amp;IF($T686="","",", "&amp;$T686)</f>
        <v/>
      </c>
      <c r="AT686">
        <f>AS686&amp;IF($U686="","",", "&amp;$U686)</f>
        <v/>
      </c>
      <c r="AU686">
        <f>AT686&amp;IF($V686="","",", "&amp;$V686)</f>
        <v/>
      </c>
      <c r="AV686">
        <f>AU686&amp;IF($W686="","",", "&amp;$W686)</f>
        <v/>
      </c>
      <c r="AW686">
        <f>AV686&amp;IF($X686="","",", "&amp;$X686)</f>
        <v/>
      </c>
      <c r="AX686">
        <f>AW686&amp;IF($Y686="","",", "&amp;$Y686)</f>
        <v/>
      </c>
    </row>
    <row r="687">
      <c r="A687" s="118">
        <f>IF($B687="","",COUNT($B$5:$B687))</f>
        <v/>
      </c>
      <c r="B687" s="80" t="n"/>
      <c r="C687" s="80" t="n"/>
      <c r="D687" s="74" t="n"/>
      <c r="E687" s="74" t="n"/>
      <c r="F687" s="74" t="n"/>
      <c r="G687" s="118">
        <f>IF($F687="","",COUNTIF($F$5:$F687,$F687))</f>
        <v/>
      </c>
      <c r="H687" s="33">
        <f>IF($F687="","",IFERROR(INDEX(사건마스터!$B$5:$B$64,MATCH($F687,사건마스터!$A$5:$A$64,0)),""))</f>
        <v/>
      </c>
      <c r="I687" s="130">
        <f>IF($F687="","",IFERROR(INDEX(사건마스터!$C$5:$C$64,MATCH($F687,사건마스터!$A$5:$A$64,0)),""))</f>
        <v/>
      </c>
      <c r="J687" s="136">
        <f>IF($F687="","",IFERROR(INDEX(사건마스터!$H$5:$H$64,MATCH($F687,사건마스터!$A$5:$A$64,0)),""))</f>
        <v/>
      </c>
      <c r="K687" s="136">
        <f>IF($F687="","",IFERROR(INDEX(사건마스터!$AH$5:$AH$64,MATCH($F687,사건마스터!$A$5:$A$64,0)),""))</f>
        <v/>
      </c>
      <c r="L687" s="136">
        <f>IF($F687="","",IFERROR(INDEX(사건마스터!$AI$5:$AI$64,MATCH($F687,사건마스터!$A$5:$A$64,0)),""))</f>
        <v/>
      </c>
      <c r="M687" s="136">
        <f>IF($F687="","",IFERROR(INDEX(사건마스터!$AJ$5:$AJ$64,MATCH($F687,사건마스터!$A$5:$A$64,0)),""))</f>
        <v/>
      </c>
      <c r="N687" s="136">
        <f>IF($F687="","",IFERROR(INDEX(사건마스터!$AK$5:$AK$64,MATCH($F687,사건마스터!$A$5:$A$64,0)),""))</f>
        <v/>
      </c>
      <c r="O687" s="136">
        <f>IF($F687="","",IFERROR(INDEX(사건마스터!$AL$5:$AL$64,MATCH($F687,사건마스터!$A$5:$A$64,0)),""))</f>
        <v/>
      </c>
      <c r="P687" s="136">
        <f>IF($F687="","",IFERROR(INDEX(사건마스터!$AM$5:$AM$64,MATCH($F687,사건마스터!$A$5:$A$64,0)),""))</f>
        <v/>
      </c>
      <c r="Q687" s="136">
        <f>IF($F687="","",IFERROR(INDEX(사건마스터!$AN$5:$AN$64,MATCH($F687,사건마스터!$A$5:$A$64,0)),""))</f>
        <v/>
      </c>
      <c r="R687" s="136">
        <f>IF($F687="","",IFERROR(INDEX(사건마스터!$AO$5:$AO$64,MATCH($F687,사건마스터!$A$5:$A$64,0)),""))</f>
        <v/>
      </c>
      <c r="S687" s="136">
        <f>IF($F687="","",IFERROR(INDEX(사건마스터!$AP$5:$AP$64,MATCH($F687,사건마스터!$A$5:$A$64,0)),""))</f>
        <v/>
      </c>
      <c r="T687" s="136">
        <f>IF($F687="","",IFERROR(INDEX(사건마스터!$AQ$5:$AQ$64,MATCH($F687,사건마스터!$A$5:$A$64,0)),""))</f>
        <v/>
      </c>
      <c r="U687" s="136">
        <f>IF($F687="","",IFERROR(INDEX(사건마스터!$AR$5:$AR$64,MATCH($F687,사건마스터!$A$5:$A$64,0)),""))</f>
        <v/>
      </c>
      <c r="V687" s="136">
        <f>IF($F687="","",IFERROR(INDEX(사건마스터!$AS$5:$AS$64,MATCH($F687,사건마스터!$A$5:$A$64,0)),""))</f>
        <v/>
      </c>
      <c r="W687" s="136">
        <f>IF($F687="","",IFERROR(INDEX(사건마스터!$AT$5:$AT$64,MATCH($F687,사건마스터!$A$5:$A$64,0)),""))</f>
        <v/>
      </c>
      <c r="X687" s="136">
        <f>IF($F687="","",IFERROR(INDEX(사건마스터!$AU$5:$AU$64,MATCH($F687,사건마스터!$A$5:$A$64,0)),""))</f>
        <v/>
      </c>
      <c r="Y687" s="136">
        <f>IF($F687="","",IFERROR(INDEX(사건마스터!$AV$5:$AV$64,MATCH($F687,사건마스터!$A$5:$A$64,0)),""))</f>
        <v/>
      </c>
      <c r="Z687" s="118">
        <f>IF(COUNTBLANK($J687:$Y687)=16,"",16-COUNTBLANK($J687:$Y687))</f>
        <v/>
      </c>
      <c r="AA687" s="33">
        <f>IF($J687="",MID($AX687,3,255),$J687&amp;$AX687)</f>
        <v/>
      </c>
      <c r="AB687" s="130">
        <f>IF($J687="","",IFERROR(INDEX(코드설정!$D$5:$D$24,MATCH($J687,코드설정!$C$5:$C$24,0)),""))</f>
        <v/>
      </c>
      <c r="AC687" s="36" t="n"/>
      <c r="AD687" s="37" t="n"/>
      <c r="AE687" s="38" t="n"/>
      <c r="AF687" s="118">
        <f>IF(OR($B687="",$C687=""),"",$C687-$B687+1)</f>
        <v/>
      </c>
      <c r="AG687" s="74" t="n"/>
      <c r="AH687" s="36" t="n"/>
      <c r="AJ687">
        <f>IF($K687="","",", "&amp;$K687)</f>
        <v/>
      </c>
      <c r="AK687">
        <f>AJ687&amp;IF($L687="","",", "&amp;$L687)</f>
        <v/>
      </c>
      <c r="AL687">
        <f>AK687&amp;IF($M687="","",", "&amp;$M687)</f>
        <v/>
      </c>
      <c r="AM687">
        <f>AL687&amp;IF($N687="","",", "&amp;$N687)</f>
        <v/>
      </c>
      <c r="AN687">
        <f>AM687&amp;IF($O687="","",", "&amp;$O687)</f>
        <v/>
      </c>
      <c r="AO687">
        <f>AN687&amp;IF($P687="","",", "&amp;$P687)</f>
        <v/>
      </c>
      <c r="AP687">
        <f>AO687&amp;IF($Q687="","",", "&amp;$Q687)</f>
        <v/>
      </c>
      <c r="AQ687">
        <f>AP687&amp;IF($R687="","",", "&amp;$R687)</f>
        <v/>
      </c>
      <c r="AR687">
        <f>AQ687&amp;IF($S687="","",", "&amp;$S687)</f>
        <v/>
      </c>
      <c r="AS687">
        <f>AR687&amp;IF($T687="","",", "&amp;$T687)</f>
        <v/>
      </c>
      <c r="AT687">
        <f>AS687&amp;IF($U687="","",", "&amp;$U687)</f>
        <v/>
      </c>
      <c r="AU687">
        <f>AT687&amp;IF($V687="","",", "&amp;$V687)</f>
        <v/>
      </c>
      <c r="AV687">
        <f>AU687&amp;IF($W687="","",", "&amp;$W687)</f>
        <v/>
      </c>
      <c r="AW687">
        <f>AV687&amp;IF($X687="","",", "&amp;$X687)</f>
        <v/>
      </c>
      <c r="AX687">
        <f>AW687&amp;IF($Y687="","",", "&amp;$Y687)</f>
        <v/>
      </c>
    </row>
    <row r="688">
      <c r="A688" s="118">
        <f>IF($B688="","",COUNT($B$5:$B688))</f>
        <v/>
      </c>
      <c r="B688" s="80" t="n"/>
      <c r="C688" s="80" t="n"/>
      <c r="D688" s="74" t="n"/>
      <c r="E688" s="74" t="n"/>
      <c r="F688" s="74" t="n"/>
      <c r="G688" s="118">
        <f>IF($F688="","",COUNTIF($F$5:$F688,$F688))</f>
        <v/>
      </c>
      <c r="H688" s="33">
        <f>IF($F688="","",IFERROR(INDEX(사건마스터!$B$5:$B$64,MATCH($F688,사건마스터!$A$5:$A$64,0)),""))</f>
        <v/>
      </c>
      <c r="I688" s="130">
        <f>IF($F688="","",IFERROR(INDEX(사건마스터!$C$5:$C$64,MATCH($F688,사건마스터!$A$5:$A$64,0)),""))</f>
        <v/>
      </c>
      <c r="J688" s="136">
        <f>IF($F688="","",IFERROR(INDEX(사건마스터!$H$5:$H$64,MATCH($F688,사건마스터!$A$5:$A$64,0)),""))</f>
        <v/>
      </c>
      <c r="K688" s="136">
        <f>IF($F688="","",IFERROR(INDEX(사건마스터!$AH$5:$AH$64,MATCH($F688,사건마스터!$A$5:$A$64,0)),""))</f>
        <v/>
      </c>
      <c r="L688" s="136">
        <f>IF($F688="","",IFERROR(INDEX(사건마스터!$AI$5:$AI$64,MATCH($F688,사건마스터!$A$5:$A$64,0)),""))</f>
        <v/>
      </c>
      <c r="M688" s="136">
        <f>IF($F688="","",IFERROR(INDEX(사건마스터!$AJ$5:$AJ$64,MATCH($F688,사건마스터!$A$5:$A$64,0)),""))</f>
        <v/>
      </c>
      <c r="N688" s="136">
        <f>IF($F688="","",IFERROR(INDEX(사건마스터!$AK$5:$AK$64,MATCH($F688,사건마스터!$A$5:$A$64,0)),""))</f>
        <v/>
      </c>
      <c r="O688" s="136">
        <f>IF($F688="","",IFERROR(INDEX(사건마스터!$AL$5:$AL$64,MATCH($F688,사건마스터!$A$5:$A$64,0)),""))</f>
        <v/>
      </c>
      <c r="P688" s="136">
        <f>IF($F688="","",IFERROR(INDEX(사건마스터!$AM$5:$AM$64,MATCH($F688,사건마스터!$A$5:$A$64,0)),""))</f>
        <v/>
      </c>
      <c r="Q688" s="136">
        <f>IF($F688="","",IFERROR(INDEX(사건마스터!$AN$5:$AN$64,MATCH($F688,사건마스터!$A$5:$A$64,0)),""))</f>
        <v/>
      </c>
      <c r="R688" s="136">
        <f>IF($F688="","",IFERROR(INDEX(사건마스터!$AO$5:$AO$64,MATCH($F688,사건마스터!$A$5:$A$64,0)),""))</f>
        <v/>
      </c>
      <c r="S688" s="136">
        <f>IF($F688="","",IFERROR(INDEX(사건마스터!$AP$5:$AP$64,MATCH($F688,사건마스터!$A$5:$A$64,0)),""))</f>
        <v/>
      </c>
      <c r="T688" s="136">
        <f>IF($F688="","",IFERROR(INDEX(사건마스터!$AQ$5:$AQ$64,MATCH($F688,사건마스터!$A$5:$A$64,0)),""))</f>
        <v/>
      </c>
      <c r="U688" s="136">
        <f>IF($F688="","",IFERROR(INDEX(사건마스터!$AR$5:$AR$64,MATCH($F688,사건마스터!$A$5:$A$64,0)),""))</f>
        <v/>
      </c>
      <c r="V688" s="136">
        <f>IF($F688="","",IFERROR(INDEX(사건마스터!$AS$5:$AS$64,MATCH($F688,사건마스터!$A$5:$A$64,0)),""))</f>
        <v/>
      </c>
      <c r="W688" s="136">
        <f>IF($F688="","",IFERROR(INDEX(사건마스터!$AT$5:$AT$64,MATCH($F688,사건마스터!$A$5:$A$64,0)),""))</f>
        <v/>
      </c>
      <c r="X688" s="136">
        <f>IF($F688="","",IFERROR(INDEX(사건마스터!$AU$5:$AU$64,MATCH($F688,사건마스터!$A$5:$A$64,0)),""))</f>
        <v/>
      </c>
      <c r="Y688" s="136">
        <f>IF($F688="","",IFERROR(INDEX(사건마스터!$AV$5:$AV$64,MATCH($F688,사건마스터!$A$5:$A$64,0)),""))</f>
        <v/>
      </c>
      <c r="Z688" s="118">
        <f>IF(COUNTBLANK($J688:$Y688)=16,"",16-COUNTBLANK($J688:$Y688))</f>
        <v/>
      </c>
      <c r="AA688" s="33">
        <f>IF($J688="",MID($AX688,3,255),$J688&amp;$AX688)</f>
        <v/>
      </c>
      <c r="AB688" s="130">
        <f>IF($J688="","",IFERROR(INDEX(코드설정!$D$5:$D$24,MATCH($J688,코드설정!$C$5:$C$24,0)),""))</f>
        <v/>
      </c>
      <c r="AC688" s="36" t="n"/>
      <c r="AD688" s="37" t="n"/>
      <c r="AE688" s="38" t="n"/>
      <c r="AF688" s="118">
        <f>IF(OR($B688="",$C688=""),"",$C688-$B688+1)</f>
        <v/>
      </c>
      <c r="AG688" s="74" t="n"/>
      <c r="AH688" s="36" t="n"/>
      <c r="AJ688">
        <f>IF($K688="","",", "&amp;$K688)</f>
        <v/>
      </c>
      <c r="AK688">
        <f>AJ688&amp;IF($L688="","",", "&amp;$L688)</f>
        <v/>
      </c>
      <c r="AL688">
        <f>AK688&amp;IF($M688="","",", "&amp;$M688)</f>
        <v/>
      </c>
      <c r="AM688">
        <f>AL688&amp;IF($N688="","",", "&amp;$N688)</f>
        <v/>
      </c>
      <c r="AN688">
        <f>AM688&amp;IF($O688="","",", "&amp;$O688)</f>
        <v/>
      </c>
      <c r="AO688">
        <f>AN688&amp;IF($P688="","",", "&amp;$P688)</f>
        <v/>
      </c>
      <c r="AP688">
        <f>AO688&amp;IF($Q688="","",", "&amp;$Q688)</f>
        <v/>
      </c>
      <c r="AQ688">
        <f>AP688&amp;IF($R688="","",", "&amp;$R688)</f>
        <v/>
      </c>
      <c r="AR688">
        <f>AQ688&amp;IF($S688="","",", "&amp;$S688)</f>
        <v/>
      </c>
      <c r="AS688">
        <f>AR688&amp;IF($T688="","",", "&amp;$T688)</f>
        <v/>
      </c>
      <c r="AT688">
        <f>AS688&amp;IF($U688="","",", "&amp;$U688)</f>
        <v/>
      </c>
      <c r="AU688">
        <f>AT688&amp;IF($V688="","",", "&amp;$V688)</f>
        <v/>
      </c>
      <c r="AV688">
        <f>AU688&amp;IF($W688="","",", "&amp;$W688)</f>
        <v/>
      </c>
      <c r="AW688">
        <f>AV688&amp;IF($X688="","",", "&amp;$X688)</f>
        <v/>
      </c>
      <c r="AX688">
        <f>AW688&amp;IF($Y688="","",", "&amp;$Y688)</f>
        <v/>
      </c>
    </row>
    <row r="689">
      <c r="A689" s="118">
        <f>IF($B689="","",COUNT($B$5:$B689))</f>
        <v/>
      </c>
      <c r="B689" s="80" t="n"/>
      <c r="C689" s="80" t="n"/>
      <c r="D689" s="74" t="n"/>
      <c r="E689" s="74" t="n"/>
      <c r="F689" s="74" t="n"/>
      <c r="G689" s="118">
        <f>IF($F689="","",COUNTIF($F$5:$F689,$F689))</f>
        <v/>
      </c>
      <c r="H689" s="33">
        <f>IF($F689="","",IFERROR(INDEX(사건마스터!$B$5:$B$64,MATCH($F689,사건마스터!$A$5:$A$64,0)),""))</f>
        <v/>
      </c>
      <c r="I689" s="130">
        <f>IF($F689="","",IFERROR(INDEX(사건마스터!$C$5:$C$64,MATCH($F689,사건마스터!$A$5:$A$64,0)),""))</f>
        <v/>
      </c>
      <c r="J689" s="136">
        <f>IF($F689="","",IFERROR(INDEX(사건마스터!$H$5:$H$64,MATCH($F689,사건마스터!$A$5:$A$64,0)),""))</f>
        <v/>
      </c>
      <c r="K689" s="136">
        <f>IF($F689="","",IFERROR(INDEX(사건마스터!$AH$5:$AH$64,MATCH($F689,사건마스터!$A$5:$A$64,0)),""))</f>
        <v/>
      </c>
      <c r="L689" s="136">
        <f>IF($F689="","",IFERROR(INDEX(사건마스터!$AI$5:$AI$64,MATCH($F689,사건마스터!$A$5:$A$64,0)),""))</f>
        <v/>
      </c>
      <c r="M689" s="136">
        <f>IF($F689="","",IFERROR(INDEX(사건마스터!$AJ$5:$AJ$64,MATCH($F689,사건마스터!$A$5:$A$64,0)),""))</f>
        <v/>
      </c>
      <c r="N689" s="136">
        <f>IF($F689="","",IFERROR(INDEX(사건마스터!$AK$5:$AK$64,MATCH($F689,사건마스터!$A$5:$A$64,0)),""))</f>
        <v/>
      </c>
      <c r="O689" s="136">
        <f>IF($F689="","",IFERROR(INDEX(사건마스터!$AL$5:$AL$64,MATCH($F689,사건마스터!$A$5:$A$64,0)),""))</f>
        <v/>
      </c>
      <c r="P689" s="136">
        <f>IF($F689="","",IFERROR(INDEX(사건마스터!$AM$5:$AM$64,MATCH($F689,사건마스터!$A$5:$A$64,0)),""))</f>
        <v/>
      </c>
      <c r="Q689" s="136">
        <f>IF($F689="","",IFERROR(INDEX(사건마스터!$AN$5:$AN$64,MATCH($F689,사건마스터!$A$5:$A$64,0)),""))</f>
        <v/>
      </c>
      <c r="R689" s="136">
        <f>IF($F689="","",IFERROR(INDEX(사건마스터!$AO$5:$AO$64,MATCH($F689,사건마스터!$A$5:$A$64,0)),""))</f>
        <v/>
      </c>
      <c r="S689" s="136">
        <f>IF($F689="","",IFERROR(INDEX(사건마스터!$AP$5:$AP$64,MATCH($F689,사건마스터!$A$5:$A$64,0)),""))</f>
        <v/>
      </c>
      <c r="T689" s="136">
        <f>IF($F689="","",IFERROR(INDEX(사건마스터!$AQ$5:$AQ$64,MATCH($F689,사건마스터!$A$5:$A$64,0)),""))</f>
        <v/>
      </c>
      <c r="U689" s="136">
        <f>IF($F689="","",IFERROR(INDEX(사건마스터!$AR$5:$AR$64,MATCH($F689,사건마스터!$A$5:$A$64,0)),""))</f>
        <v/>
      </c>
      <c r="V689" s="136">
        <f>IF($F689="","",IFERROR(INDEX(사건마스터!$AS$5:$AS$64,MATCH($F689,사건마스터!$A$5:$A$64,0)),""))</f>
        <v/>
      </c>
      <c r="W689" s="136">
        <f>IF($F689="","",IFERROR(INDEX(사건마스터!$AT$5:$AT$64,MATCH($F689,사건마스터!$A$5:$A$64,0)),""))</f>
        <v/>
      </c>
      <c r="X689" s="136">
        <f>IF($F689="","",IFERROR(INDEX(사건마스터!$AU$5:$AU$64,MATCH($F689,사건마스터!$A$5:$A$64,0)),""))</f>
        <v/>
      </c>
      <c r="Y689" s="136">
        <f>IF($F689="","",IFERROR(INDEX(사건마스터!$AV$5:$AV$64,MATCH($F689,사건마스터!$A$5:$A$64,0)),""))</f>
        <v/>
      </c>
      <c r="Z689" s="118">
        <f>IF(COUNTBLANK($J689:$Y689)=16,"",16-COUNTBLANK($J689:$Y689))</f>
        <v/>
      </c>
      <c r="AA689" s="33">
        <f>IF($J689="",MID($AX689,3,255),$J689&amp;$AX689)</f>
        <v/>
      </c>
      <c r="AB689" s="130">
        <f>IF($J689="","",IFERROR(INDEX(코드설정!$D$5:$D$24,MATCH($J689,코드설정!$C$5:$C$24,0)),""))</f>
        <v/>
      </c>
      <c r="AC689" s="36" t="n"/>
      <c r="AD689" s="37" t="n"/>
      <c r="AE689" s="38" t="n"/>
      <c r="AF689" s="118">
        <f>IF(OR($B689="",$C689=""),"",$C689-$B689+1)</f>
        <v/>
      </c>
      <c r="AG689" s="74" t="n"/>
      <c r="AH689" s="36" t="n"/>
      <c r="AJ689">
        <f>IF($K689="","",", "&amp;$K689)</f>
        <v/>
      </c>
      <c r="AK689">
        <f>AJ689&amp;IF($L689="","",", "&amp;$L689)</f>
        <v/>
      </c>
      <c r="AL689">
        <f>AK689&amp;IF($M689="","",", "&amp;$M689)</f>
        <v/>
      </c>
      <c r="AM689">
        <f>AL689&amp;IF($N689="","",", "&amp;$N689)</f>
        <v/>
      </c>
      <c r="AN689">
        <f>AM689&amp;IF($O689="","",", "&amp;$O689)</f>
        <v/>
      </c>
      <c r="AO689">
        <f>AN689&amp;IF($P689="","",", "&amp;$P689)</f>
        <v/>
      </c>
      <c r="AP689">
        <f>AO689&amp;IF($Q689="","",", "&amp;$Q689)</f>
        <v/>
      </c>
      <c r="AQ689">
        <f>AP689&amp;IF($R689="","",", "&amp;$R689)</f>
        <v/>
      </c>
      <c r="AR689">
        <f>AQ689&amp;IF($S689="","",", "&amp;$S689)</f>
        <v/>
      </c>
      <c r="AS689">
        <f>AR689&amp;IF($T689="","",", "&amp;$T689)</f>
        <v/>
      </c>
      <c r="AT689">
        <f>AS689&amp;IF($U689="","",", "&amp;$U689)</f>
        <v/>
      </c>
      <c r="AU689">
        <f>AT689&amp;IF($V689="","",", "&amp;$V689)</f>
        <v/>
      </c>
      <c r="AV689">
        <f>AU689&amp;IF($W689="","",", "&amp;$W689)</f>
        <v/>
      </c>
      <c r="AW689">
        <f>AV689&amp;IF($X689="","",", "&amp;$X689)</f>
        <v/>
      </c>
      <c r="AX689">
        <f>AW689&amp;IF($Y689="","",", "&amp;$Y689)</f>
        <v/>
      </c>
    </row>
    <row r="690">
      <c r="A690" s="118">
        <f>IF($B690="","",COUNT($B$5:$B690))</f>
        <v/>
      </c>
      <c r="B690" s="80" t="n"/>
      <c r="C690" s="80" t="n"/>
      <c r="D690" s="74" t="n"/>
      <c r="E690" s="74" t="n"/>
      <c r="F690" s="74" t="n"/>
      <c r="G690" s="118">
        <f>IF($F690="","",COUNTIF($F$5:$F690,$F690))</f>
        <v/>
      </c>
      <c r="H690" s="33">
        <f>IF($F690="","",IFERROR(INDEX(사건마스터!$B$5:$B$64,MATCH($F690,사건마스터!$A$5:$A$64,0)),""))</f>
        <v/>
      </c>
      <c r="I690" s="130">
        <f>IF($F690="","",IFERROR(INDEX(사건마스터!$C$5:$C$64,MATCH($F690,사건마스터!$A$5:$A$64,0)),""))</f>
        <v/>
      </c>
      <c r="J690" s="136">
        <f>IF($F690="","",IFERROR(INDEX(사건마스터!$H$5:$H$64,MATCH($F690,사건마스터!$A$5:$A$64,0)),""))</f>
        <v/>
      </c>
      <c r="K690" s="136">
        <f>IF($F690="","",IFERROR(INDEX(사건마스터!$AH$5:$AH$64,MATCH($F690,사건마스터!$A$5:$A$64,0)),""))</f>
        <v/>
      </c>
      <c r="L690" s="136">
        <f>IF($F690="","",IFERROR(INDEX(사건마스터!$AI$5:$AI$64,MATCH($F690,사건마스터!$A$5:$A$64,0)),""))</f>
        <v/>
      </c>
      <c r="M690" s="136">
        <f>IF($F690="","",IFERROR(INDEX(사건마스터!$AJ$5:$AJ$64,MATCH($F690,사건마스터!$A$5:$A$64,0)),""))</f>
        <v/>
      </c>
      <c r="N690" s="136">
        <f>IF($F690="","",IFERROR(INDEX(사건마스터!$AK$5:$AK$64,MATCH($F690,사건마스터!$A$5:$A$64,0)),""))</f>
        <v/>
      </c>
      <c r="O690" s="136">
        <f>IF($F690="","",IFERROR(INDEX(사건마스터!$AL$5:$AL$64,MATCH($F690,사건마스터!$A$5:$A$64,0)),""))</f>
        <v/>
      </c>
      <c r="P690" s="136">
        <f>IF($F690="","",IFERROR(INDEX(사건마스터!$AM$5:$AM$64,MATCH($F690,사건마스터!$A$5:$A$64,0)),""))</f>
        <v/>
      </c>
      <c r="Q690" s="136">
        <f>IF($F690="","",IFERROR(INDEX(사건마스터!$AN$5:$AN$64,MATCH($F690,사건마스터!$A$5:$A$64,0)),""))</f>
        <v/>
      </c>
      <c r="R690" s="136">
        <f>IF($F690="","",IFERROR(INDEX(사건마스터!$AO$5:$AO$64,MATCH($F690,사건마스터!$A$5:$A$64,0)),""))</f>
        <v/>
      </c>
      <c r="S690" s="136">
        <f>IF($F690="","",IFERROR(INDEX(사건마스터!$AP$5:$AP$64,MATCH($F690,사건마스터!$A$5:$A$64,0)),""))</f>
        <v/>
      </c>
      <c r="T690" s="136">
        <f>IF($F690="","",IFERROR(INDEX(사건마스터!$AQ$5:$AQ$64,MATCH($F690,사건마스터!$A$5:$A$64,0)),""))</f>
        <v/>
      </c>
      <c r="U690" s="136">
        <f>IF($F690="","",IFERROR(INDEX(사건마스터!$AR$5:$AR$64,MATCH($F690,사건마스터!$A$5:$A$64,0)),""))</f>
        <v/>
      </c>
      <c r="V690" s="136">
        <f>IF($F690="","",IFERROR(INDEX(사건마스터!$AS$5:$AS$64,MATCH($F690,사건마스터!$A$5:$A$64,0)),""))</f>
        <v/>
      </c>
      <c r="W690" s="136">
        <f>IF($F690="","",IFERROR(INDEX(사건마스터!$AT$5:$AT$64,MATCH($F690,사건마스터!$A$5:$A$64,0)),""))</f>
        <v/>
      </c>
      <c r="X690" s="136">
        <f>IF($F690="","",IFERROR(INDEX(사건마스터!$AU$5:$AU$64,MATCH($F690,사건마스터!$A$5:$A$64,0)),""))</f>
        <v/>
      </c>
      <c r="Y690" s="136">
        <f>IF($F690="","",IFERROR(INDEX(사건마스터!$AV$5:$AV$64,MATCH($F690,사건마스터!$A$5:$A$64,0)),""))</f>
        <v/>
      </c>
      <c r="Z690" s="118">
        <f>IF(COUNTBLANK($J690:$Y690)=16,"",16-COUNTBLANK($J690:$Y690))</f>
        <v/>
      </c>
      <c r="AA690" s="33">
        <f>IF($J690="",MID($AX690,3,255),$J690&amp;$AX690)</f>
        <v/>
      </c>
      <c r="AB690" s="130">
        <f>IF($J690="","",IFERROR(INDEX(코드설정!$D$5:$D$24,MATCH($J690,코드설정!$C$5:$C$24,0)),""))</f>
        <v/>
      </c>
      <c r="AC690" s="36" t="n"/>
      <c r="AD690" s="37" t="n"/>
      <c r="AE690" s="38" t="n"/>
      <c r="AF690" s="118">
        <f>IF(OR($B690="",$C690=""),"",$C690-$B690+1)</f>
        <v/>
      </c>
      <c r="AG690" s="74" t="n"/>
      <c r="AH690" s="36" t="n"/>
      <c r="AJ690">
        <f>IF($K690="","",", "&amp;$K690)</f>
        <v/>
      </c>
      <c r="AK690">
        <f>AJ690&amp;IF($L690="","",", "&amp;$L690)</f>
        <v/>
      </c>
      <c r="AL690">
        <f>AK690&amp;IF($M690="","",", "&amp;$M690)</f>
        <v/>
      </c>
      <c r="AM690">
        <f>AL690&amp;IF($N690="","",", "&amp;$N690)</f>
        <v/>
      </c>
      <c r="AN690">
        <f>AM690&amp;IF($O690="","",", "&amp;$O690)</f>
        <v/>
      </c>
      <c r="AO690">
        <f>AN690&amp;IF($P690="","",", "&amp;$P690)</f>
        <v/>
      </c>
      <c r="AP690">
        <f>AO690&amp;IF($Q690="","",", "&amp;$Q690)</f>
        <v/>
      </c>
      <c r="AQ690">
        <f>AP690&amp;IF($R690="","",", "&amp;$R690)</f>
        <v/>
      </c>
      <c r="AR690">
        <f>AQ690&amp;IF($S690="","",", "&amp;$S690)</f>
        <v/>
      </c>
      <c r="AS690">
        <f>AR690&amp;IF($T690="","",", "&amp;$T690)</f>
        <v/>
      </c>
      <c r="AT690">
        <f>AS690&amp;IF($U690="","",", "&amp;$U690)</f>
        <v/>
      </c>
      <c r="AU690">
        <f>AT690&amp;IF($V690="","",", "&amp;$V690)</f>
        <v/>
      </c>
      <c r="AV690">
        <f>AU690&amp;IF($W690="","",", "&amp;$W690)</f>
        <v/>
      </c>
      <c r="AW690">
        <f>AV690&amp;IF($X690="","",", "&amp;$X690)</f>
        <v/>
      </c>
      <c r="AX690">
        <f>AW690&amp;IF($Y690="","",", "&amp;$Y690)</f>
        <v/>
      </c>
    </row>
    <row r="691">
      <c r="A691" s="118">
        <f>IF($B691="","",COUNT($B$5:$B691))</f>
        <v/>
      </c>
      <c r="B691" s="80" t="n"/>
      <c r="C691" s="80" t="n"/>
      <c r="D691" s="74" t="n"/>
      <c r="E691" s="74" t="n"/>
      <c r="F691" s="74" t="n"/>
      <c r="G691" s="118">
        <f>IF($F691="","",COUNTIF($F$5:$F691,$F691))</f>
        <v/>
      </c>
      <c r="H691" s="33">
        <f>IF($F691="","",IFERROR(INDEX(사건마스터!$B$5:$B$64,MATCH($F691,사건마스터!$A$5:$A$64,0)),""))</f>
        <v/>
      </c>
      <c r="I691" s="130">
        <f>IF($F691="","",IFERROR(INDEX(사건마스터!$C$5:$C$64,MATCH($F691,사건마스터!$A$5:$A$64,0)),""))</f>
        <v/>
      </c>
      <c r="J691" s="136">
        <f>IF($F691="","",IFERROR(INDEX(사건마스터!$H$5:$H$64,MATCH($F691,사건마스터!$A$5:$A$64,0)),""))</f>
        <v/>
      </c>
      <c r="K691" s="136">
        <f>IF($F691="","",IFERROR(INDEX(사건마스터!$AH$5:$AH$64,MATCH($F691,사건마스터!$A$5:$A$64,0)),""))</f>
        <v/>
      </c>
      <c r="L691" s="136">
        <f>IF($F691="","",IFERROR(INDEX(사건마스터!$AI$5:$AI$64,MATCH($F691,사건마스터!$A$5:$A$64,0)),""))</f>
        <v/>
      </c>
      <c r="M691" s="136">
        <f>IF($F691="","",IFERROR(INDEX(사건마스터!$AJ$5:$AJ$64,MATCH($F691,사건마스터!$A$5:$A$64,0)),""))</f>
        <v/>
      </c>
      <c r="N691" s="136">
        <f>IF($F691="","",IFERROR(INDEX(사건마스터!$AK$5:$AK$64,MATCH($F691,사건마스터!$A$5:$A$64,0)),""))</f>
        <v/>
      </c>
      <c r="O691" s="136">
        <f>IF($F691="","",IFERROR(INDEX(사건마스터!$AL$5:$AL$64,MATCH($F691,사건마스터!$A$5:$A$64,0)),""))</f>
        <v/>
      </c>
      <c r="P691" s="136">
        <f>IF($F691="","",IFERROR(INDEX(사건마스터!$AM$5:$AM$64,MATCH($F691,사건마스터!$A$5:$A$64,0)),""))</f>
        <v/>
      </c>
      <c r="Q691" s="136">
        <f>IF($F691="","",IFERROR(INDEX(사건마스터!$AN$5:$AN$64,MATCH($F691,사건마스터!$A$5:$A$64,0)),""))</f>
        <v/>
      </c>
      <c r="R691" s="136">
        <f>IF($F691="","",IFERROR(INDEX(사건마스터!$AO$5:$AO$64,MATCH($F691,사건마스터!$A$5:$A$64,0)),""))</f>
        <v/>
      </c>
      <c r="S691" s="136">
        <f>IF($F691="","",IFERROR(INDEX(사건마스터!$AP$5:$AP$64,MATCH($F691,사건마스터!$A$5:$A$64,0)),""))</f>
        <v/>
      </c>
      <c r="T691" s="136">
        <f>IF($F691="","",IFERROR(INDEX(사건마스터!$AQ$5:$AQ$64,MATCH($F691,사건마스터!$A$5:$A$64,0)),""))</f>
        <v/>
      </c>
      <c r="U691" s="136">
        <f>IF($F691="","",IFERROR(INDEX(사건마스터!$AR$5:$AR$64,MATCH($F691,사건마스터!$A$5:$A$64,0)),""))</f>
        <v/>
      </c>
      <c r="V691" s="136">
        <f>IF($F691="","",IFERROR(INDEX(사건마스터!$AS$5:$AS$64,MATCH($F691,사건마스터!$A$5:$A$64,0)),""))</f>
        <v/>
      </c>
      <c r="W691" s="136">
        <f>IF($F691="","",IFERROR(INDEX(사건마스터!$AT$5:$AT$64,MATCH($F691,사건마스터!$A$5:$A$64,0)),""))</f>
        <v/>
      </c>
      <c r="X691" s="136">
        <f>IF($F691="","",IFERROR(INDEX(사건마스터!$AU$5:$AU$64,MATCH($F691,사건마스터!$A$5:$A$64,0)),""))</f>
        <v/>
      </c>
      <c r="Y691" s="136">
        <f>IF($F691="","",IFERROR(INDEX(사건마스터!$AV$5:$AV$64,MATCH($F691,사건마스터!$A$5:$A$64,0)),""))</f>
        <v/>
      </c>
      <c r="Z691" s="118">
        <f>IF(COUNTBLANK($J691:$Y691)=16,"",16-COUNTBLANK($J691:$Y691))</f>
        <v/>
      </c>
      <c r="AA691" s="33">
        <f>IF($J691="",MID($AX691,3,255),$J691&amp;$AX691)</f>
        <v/>
      </c>
      <c r="AB691" s="130">
        <f>IF($J691="","",IFERROR(INDEX(코드설정!$D$5:$D$24,MATCH($J691,코드설정!$C$5:$C$24,0)),""))</f>
        <v/>
      </c>
      <c r="AC691" s="36" t="n"/>
      <c r="AD691" s="37" t="n"/>
      <c r="AE691" s="38" t="n"/>
      <c r="AF691" s="118">
        <f>IF(OR($B691="",$C691=""),"",$C691-$B691+1)</f>
        <v/>
      </c>
      <c r="AG691" s="74" t="n"/>
      <c r="AH691" s="36" t="n"/>
      <c r="AJ691">
        <f>IF($K691="","",", "&amp;$K691)</f>
        <v/>
      </c>
      <c r="AK691">
        <f>AJ691&amp;IF($L691="","",", "&amp;$L691)</f>
        <v/>
      </c>
      <c r="AL691">
        <f>AK691&amp;IF($M691="","",", "&amp;$M691)</f>
        <v/>
      </c>
      <c r="AM691">
        <f>AL691&amp;IF($N691="","",", "&amp;$N691)</f>
        <v/>
      </c>
      <c r="AN691">
        <f>AM691&amp;IF($O691="","",", "&amp;$O691)</f>
        <v/>
      </c>
      <c r="AO691">
        <f>AN691&amp;IF($P691="","",", "&amp;$P691)</f>
        <v/>
      </c>
      <c r="AP691">
        <f>AO691&amp;IF($Q691="","",", "&amp;$Q691)</f>
        <v/>
      </c>
      <c r="AQ691">
        <f>AP691&amp;IF($R691="","",", "&amp;$R691)</f>
        <v/>
      </c>
      <c r="AR691">
        <f>AQ691&amp;IF($S691="","",", "&amp;$S691)</f>
        <v/>
      </c>
      <c r="AS691">
        <f>AR691&amp;IF($T691="","",", "&amp;$T691)</f>
        <v/>
      </c>
      <c r="AT691">
        <f>AS691&amp;IF($U691="","",", "&amp;$U691)</f>
        <v/>
      </c>
      <c r="AU691">
        <f>AT691&amp;IF($V691="","",", "&amp;$V691)</f>
        <v/>
      </c>
      <c r="AV691">
        <f>AU691&amp;IF($W691="","",", "&amp;$W691)</f>
        <v/>
      </c>
      <c r="AW691">
        <f>AV691&amp;IF($X691="","",", "&amp;$X691)</f>
        <v/>
      </c>
      <c r="AX691">
        <f>AW691&amp;IF($Y691="","",", "&amp;$Y691)</f>
        <v/>
      </c>
    </row>
    <row r="692">
      <c r="A692" s="118">
        <f>IF($B692="","",COUNT($B$5:$B692))</f>
        <v/>
      </c>
      <c r="B692" s="80" t="n"/>
      <c r="C692" s="80" t="n"/>
      <c r="D692" s="74" t="n"/>
      <c r="E692" s="74" t="n"/>
      <c r="F692" s="74" t="n"/>
      <c r="G692" s="118">
        <f>IF($F692="","",COUNTIF($F$5:$F692,$F692))</f>
        <v/>
      </c>
      <c r="H692" s="33">
        <f>IF($F692="","",IFERROR(INDEX(사건마스터!$B$5:$B$64,MATCH($F692,사건마스터!$A$5:$A$64,0)),""))</f>
        <v/>
      </c>
      <c r="I692" s="130">
        <f>IF($F692="","",IFERROR(INDEX(사건마스터!$C$5:$C$64,MATCH($F692,사건마스터!$A$5:$A$64,0)),""))</f>
        <v/>
      </c>
      <c r="J692" s="136">
        <f>IF($F692="","",IFERROR(INDEX(사건마스터!$H$5:$H$64,MATCH($F692,사건마스터!$A$5:$A$64,0)),""))</f>
        <v/>
      </c>
      <c r="K692" s="136">
        <f>IF($F692="","",IFERROR(INDEX(사건마스터!$AH$5:$AH$64,MATCH($F692,사건마스터!$A$5:$A$64,0)),""))</f>
        <v/>
      </c>
      <c r="L692" s="136">
        <f>IF($F692="","",IFERROR(INDEX(사건마스터!$AI$5:$AI$64,MATCH($F692,사건마스터!$A$5:$A$64,0)),""))</f>
        <v/>
      </c>
      <c r="M692" s="136">
        <f>IF($F692="","",IFERROR(INDEX(사건마스터!$AJ$5:$AJ$64,MATCH($F692,사건마스터!$A$5:$A$64,0)),""))</f>
        <v/>
      </c>
      <c r="N692" s="136">
        <f>IF($F692="","",IFERROR(INDEX(사건마스터!$AK$5:$AK$64,MATCH($F692,사건마스터!$A$5:$A$64,0)),""))</f>
        <v/>
      </c>
      <c r="O692" s="136">
        <f>IF($F692="","",IFERROR(INDEX(사건마스터!$AL$5:$AL$64,MATCH($F692,사건마스터!$A$5:$A$64,0)),""))</f>
        <v/>
      </c>
      <c r="P692" s="136">
        <f>IF($F692="","",IFERROR(INDEX(사건마스터!$AM$5:$AM$64,MATCH($F692,사건마스터!$A$5:$A$64,0)),""))</f>
        <v/>
      </c>
      <c r="Q692" s="136">
        <f>IF($F692="","",IFERROR(INDEX(사건마스터!$AN$5:$AN$64,MATCH($F692,사건마스터!$A$5:$A$64,0)),""))</f>
        <v/>
      </c>
      <c r="R692" s="136">
        <f>IF($F692="","",IFERROR(INDEX(사건마스터!$AO$5:$AO$64,MATCH($F692,사건마스터!$A$5:$A$64,0)),""))</f>
        <v/>
      </c>
      <c r="S692" s="136">
        <f>IF($F692="","",IFERROR(INDEX(사건마스터!$AP$5:$AP$64,MATCH($F692,사건마스터!$A$5:$A$64,0)),""))</f>
        <v/>
      </c>
      <c r="T692" s="136">
        <f>IF($F692="","",IFERROR(INDEX(사건마스터!$AQ$5:$AQ$64,MATCH($F692,사건마스터!$A$5:$A$64,0)),""))</f>
        <v/>
      </c>
      <c r="U692" s="136">
        <f>IF($F692="","",IFERROR(INDEX(사건마스터!$AR$5:$AR$64,MATCH($F692,사건마스터!$A$5:$A$64,0)),""))</f>
        <v/>
      </c>
      <c r="V692" s="136">
        <f>IF($F692="","",IFERROR(INDEX(사건마스터!$AS$5:$AS$64,MATCH($F692,사건마스터!$A$5:$A$64,0)),""))</f>
        <v/>
      </c>
      <c r="W692" s="136">
        <f>IF($F692="","",IFERROR(INDEX(사건마스터!$AT$5:$AT$64,MATCH($F692,사건마스터!$A$5:$A$64,0)),""))</f>
        <v/>
      </c>
      <c r="X692" s="136">
        <f>IF($F692="","",IFERROR(INDEX(사건마스터!$AU$5:$AU$64,MATCH($F692,사건마스터!$A$5:$A$64,0)),""))</f>
        <v/>
      </c>
      <c r="Y692" s="136">
        <f>IF($F692="","",IFERROR(INDEX(사건마스터!$AV$5:$AV$64,MATCH($F692,사건마스터!$A$5:$A$64,0)),""))</f>
        <v/>
      </c>
      <c r="Z692" s="118">
        <f>IF(COUNTBLANK($J692:$Y692)=16,"",16-COUNTBLANK($J692:$Y692))</f>
        <v/>
      </c>
      <c r="AA692" s="33">
        <f>IF($J692="",MID($AX692,3,255),$J692&amp;$AX692)</f>
        <v/>
      </c>
      <c r="AB692" s="130">
        <f>IF($J692="","",IFERROR(INDEX(코드설정!$D$5:$D$24,MATCH($J692,코드설정!$C$5:$C$24,0)),""))</f>
        <v/>
      </c>
      <c r="AC692" s="36" t="n"/>
      <c r="AD692" s="37" t="n"/>
      <c r="AE692" s="38" t="n"/>
      <c r="AF692" s="118">
        <f>IF(OR($B692="",$C692=""),"",$C692-$B692+1)</f>
        <v/>
      </c>
      <c r="AG692" s="74" t="n"/>
      <c r="AH692" s="36" t="n"/>
      <c r="AJ692">
        <f>IF($K692="","",", "&amp;$K692)</f>
        <v/>
      </c>
      <c r="AK692">
        <f>AJ692&amp;IF($L692="","",", "&amp;$L692)</f>
        <v/>
      </c>
      <c r="AL692">
        <f>AK692&amp;IF($M692="","",", "&amp;$M692)</f>
        <v/>
      </c>
      <c r="AM692">
        <f>AL692&amp;IF($N692="","",", "&amp;$N692)</f>
        <v/>
      </c>
      <c r="AN692">
        <f>AM692&amp;IF($O692="","",", "&amp;$O692)</f>
        <v/>
      </c>
      <c r="AO692">
        <f>AN692&amp;IF($P692="","",", "&amp;$P692)</f>
        <v/>
      </c>
      <c r="AP692">
        <f>AO692&amp;IF($Q692="","",", "&amp;$Q692)</f>
        <v/>
      </c>
      <c r="AQ692">
        <f>AP692&amp;IF($R692="","",", "&amp;$R692)</f>
        <v/>
      </c>
      <c r="AR692">
        <f>AQ692&amp;IF($S692="","",", "&amp;$S692)</f>
        <v/>
      </c>
      <c r="AS692">
        <f>AR692&amp;IF($T692="","",", "&amp;$T692)</f>
        <v/>
      </c>
      <c r="AT692">
        <f>AS692&amp;IF($U692="","",", "&amp;$U692)</f>
        <v/>
      </c>
      <c r="AU692">
        <f>AT692&amp;IF($V692="","",", "&amp;$V692)</f>
        <v/>
      </c>
      <c r="AV692">
        <f>AU692&amp;IF($W692="","",", "&amp;$W692)</f>
        <v/>
      </c>
      <c r="AW692">
        <f>AV692&amp;IF($X692="","",", "&amp;$X692)</f>
        <v/>
      </c>
      <c r="AX692">
        <f>AW692&amp;IF($Y692="","",", "&amp;$Y692)</f>
        <v/>
      </c>
    </row>
    <row r="693">
      <c r="A693" s="118">
        <f>IF($B693="","",COUNT($B$5:$B693))</f>
        <v/>
      </c>
      <c r="B693" s="80" t="n"/>
      <c r="C693" s="80" t="n"/>
      <c r="D693" s="74" t="n"/>
      <c r="E693" s="74" t="n"/>
      <c r="F693" s="74" t="n"/>
      <c r="G693" s="118">
        <f>IF($F693="","",COUNTIF($F$5:$F693,$F693))</f>
        <v/>
      </c>
      <c r="H693" s="33">
        <f>IF($F693="","",IFERROR(INDEX(사건마스터!$B$5:$B$64,MATCH($F693,사건마스터!$A$5:$A$64,0)),""))</f>
        <v/>
      </c>
      <c r="I693" s="130">
        <f>IF($F693="","",IFERROR(INDEX(사건마스터!$C$5:$C$64,MATCH($F693,사건마스터!$A$5:$A$64,0)),""))</f>
        <v/>
      </c>
      <c r="J693" s="136">
        <f>IF($F693="","",IFERROR(INDEX(사건마스터!$H$5:$H$64,MATCH($F693,사건마스터!$A$5:$A$64,0)),""))</f>
        <v/>
      </c>
      <c r="K693" s="136">
        <f>IF($F693="","",IFERROR(INDEX(사건마스터!$AH$5:$AH$64,MATCH($F693,사건마스터!$A$5:$A$64,0)),""))</f>
        <v/>
      </c>
      <c r="L693" s="136">
        <f>IF($F693="","",IFERROR(INDEX(사건마스터!$AI$5:$AI$64,MATCH($F693,사건마스터!$A$5:$A$64,0)),""))</f>
        <v/>
      </c>
      <c r="M693" s="136">
        <f>IF($F693="","",IFERROR(INDEX(사건마스터!$AJ$5:$AJ$64,MATCH($F693,사건마스터!$A$5:$A$64,0)),""))</f>
        <v/>
      </c>
      <c r="N693" s="136">
        <f>IF($F693="","",IFERROR(INDEX(사건마스터!$AK$5:$AK$64,MATCH($F693,사건마스터!$A$5:$A$64,0)),""))</f>
        <v/>
      </c>
      <c r="O693" s="136">
        <f>IF($F693="","",IFERROR(INDEX(사건마스터!$AL$5:$AL$64,MATCH($F693,사건마스터!$A$5:$A$64,0)),""))</f>
        <v/>
      </c>
      <c r="P693" s="136">
        <f>IF($F693="","",IFERROR(INDEX(사건마스터!$AM$5:$AM$64,MATCH($F693,사건마스터!$A$5:$A$64,0)),""))</f>
        <v/>
      </c>
      <c r="Q693" s="136">
        <f>IF($F693="","",IFERROR(INDEX(사건마스터!$AN$5:$AN$64,MATCH($F693,사건마스터!$A$5:$A$64,0)),""))</f>
        <v/>
      </c>
      <c r="R693" s="136">
        <f>IF($F693="","",IFERROR(INDEX(사건마스터!$AO$5:$AO$64,MATCH($F693,사건마스터!$A$5:$A$64,0)),""))</f>
        <v/>
      </c>
      <c r="S693" s="136">
        <f>IF($F693="","",IFERROR(INDEX(사건마스터!$AP$5:$AP$64,MATCH($F693,사건마스터!$A$5:$A$64,0)),""))</f>
        <v/>
      </c>
      <c r="T693" s="136">
        <f>IF($F693="","",IFERROR(INDEX(사건마스터!$AQ$5:$AQ$64,MATCH($F693,사건마스터!$A$5:$A$64,0)),""))</f>
        <v/>
      </c>
      <c r="U693" s="136">
        <f>IF($F693="","",IFERROR(INDEX(사건마스터!$AR$5:$AR$64,MATCH($F693,사건마스터!$A$5:$A$64,0)),""))</f>
        <v/>
      </c>
      <c r="V693" s="136">
        <f>IF($F693="","",IFERROR(INDEX(사건마스터!$AS$5:$AS$64,MATCH($F693,사건마스터!$A$5:$A$64,0)),""))</f>
        <v/>
      </c>
      <c r="W693" s="136">
        <f>IF($F693="","",IFERROR(INDEX(사건마스터!$AT$5:$AT$64,MATCH($F693,사건마스터!$A$5:$A$64,0)),""))</f>
        <v/>
      </c>
      <c r="X693" s="136">
        <f>IF($F693="","",IFERROR(INDEX(사건마스터!$AU$5:$AU$64,MATCH($F693,사건마스터!$A$5:$A$64,0)),""))</f>
        <v/>
      </c>
      <c r="Y693" s="136">
        <f>IF($F693="","",IFERROR(INDEX(사건마스터!$AV$5:$AV$64,MATCH($F693,사건마스터!$A$5:$A$64,0)),""))</f>
        <v/>
      </c>
      <c r="Z693" s="118">
        <f>IF(COUNTBLANK($J693:$Y693)=16,"",16-COUNTBLANK($J693:$Y693))</f>
        <v/>
      </c>
      <c r="AA693" s="33">
        <f>IF($J693="",MID($AX693,3,255),$J693&amp;$AX693)</f>
        <v/>
      </c>
      <c r="AB693" s="130">
        <f>IF($J693="","",IFERROR(INDEX(코드설정!$D$5:$D$24,MATCH($J693,코드설정!$C$5:$C$24,0)),""))</f>
        <v/>
      </c>
      <c r="AC693" s="36" t="n"/>
      <c r="AD693" s="37" t="n"/>
      <c r="AE693" s="38" t="n"/>
      <c r="AF693" s="118">
        <f>IF(OR($B693="",$C693=""),"",$C693-$B693+1)</f>
        <v/>
      </c>
      <c r="AG693" s="74" t="n"/>
      <c r="AH693" s="36" t="n"/>
      <c r="AJ693">
        <f>IF($K693="","",", "&amp;$K693)</f>
        <v/>
      </c>
      <c r="AK693">
        <f>AJ693&amp;IF($L693="","",", "&amp;$L693)</f>
        <v/>
      </c>
      <c r="AL693">
        <f>AK693&amp;IF($M693="","",", "&amp;$M693)</f>
        <v/>
      </c>
      <c r="AM693">
        <f>AL693&amp;IF($N693="","",", "&amp;$N693)</f>
        <v/>
      </c>
      <c r="AN693">
        <f>AM693&amp;IF($O693="","",", "&amp;$O693)</f>
        <v/>
      </c>
      <c r="AO693">
        <f>AN693&amp;IF($P693="","",", "&amp;$P693)</f>
        <v/>
      </c>
      <c r="AP693">
        <f>AO693&amp;IF($Q693="","",", "&amp;$Q693)</f>
        <v/>
      </c>
      <c r="AQ693">
        <f>AP693&amp;IF($R693="","",", "&amp;$R693)</f>
        <v/>
      </c>
      <c r="AR693">
        <f>AQ693&amp;IF($S693="","",", "&amp;$S693)</f>
        <v/>
      </c>
      <c r="AS693">
        <f>AR693&amp;IF($T693="","",", "&amp;$T693)</f>
        <v/>
      </c>
      <c r="AT693">
        <f>AS693&amp;IF($U693="","",", "&amp;$U693)</f>
        <v/>
      </c>
      <c r="AU693">
        <f>AT693&amp;IF($V693="","",", "&amp;$V693)</f>
        <v/>
      </c>
      <c r="AV693">
        <f>AU693&amp;IF($W693="","",", "&amp;$W693)</f>
        <v/>
      </c>
      <c r="AW693">
        <f>AV693&amp;IF($X693="","",", "&amp;$X693)</f>
        <v/>
      </c>
      <c r="AX693">
        <f>AW693&amp;IF($Y693="","",", "&amp;$Y693)</f>
        <v/>
      </c>
    </row>
    <row r="694">
      <c r="A694" s="118">
        <f>IF($B694="","",COUNT($B$5:$B694))</f>
        <v/>
      </c>
      <c r="B694" s="80" t="n"/>
      <c r="C694" s="80" t="n"/>
      <c r="D694" s="74" t="n"/>
      <c r="E694" s="74" t="n"/>
      <c r="F694" s="74" t="n"/>
      <c r="G694" s="118">
        <f>IF($F694="","",COUNTIF($F$5:$F694,$F694))</f>
        <v/>
      </c>
      <c r="H694" s="33">
        <f>IF($F694="","",IFERROR(INDEX(사건마스터!$B$5:$B$64,MATCH($F694,사건마스터!$A$5:$A$64,0)),""))</f>
        <v/>
      </c>
      <c r="I694" s="130">
        <f>IF($F694="","",IFERROR(INDEX(사건마스터!$C$5:$C$64,MATCH($F694,사건마스터!$A$5:$A$64,0)),""))</f>
        <v/>
      </c>
      <c r="J694" s="136">
        <f>IF($F694="","",IFERROR(INDEX(사건마스터!$H$5:$H$64,MATCH($F694,사건마스터!$A$5:$A$64,0)),""))</f>
        <v/>
      </c>
      <c r="K694" s="136">
        <f>IF($F694="","",IFERROR(INDEX(사건마스터!$AH$5:$AH$64,MATCH($F694,사건마스터!$A$5:$A$64,0)),""))</f>
        <v/>
      </c>
      <c r="L694" s="136">
        <f>IF($F694="","",IFERROR(INDEX(사건마스터!$AI$5:$AI$64,MATCH($F694,사건마스터!$A$5:$A$64,0)),""))</f>
        <v/>
      </c>
      <c r="M694" s="136">
        <f>IF($F694="","",IFERROR(INDEX(사건마스터!$AJ$5:$AJ$64,MATCH($F694,사건마스터!$A$5:$A$64,0)),""))</f>
        <v/>
      </c>
      <c r="N694" s="136">
        <f>IF($F694="","",IFERROR(INDEX(사건마스터!$AK$5:$AK$64,MATCH($F694,사건마스터!$A$5:$A$64,0)),""))</f>
        <v/>
      </c>
      <c r="O694" s="136">
        <f>IF($F694="","",IFERROR(INDEX(사건마스터!$AL$5:$AL$64,MATCH($F694,사건마스터!$A$5:$A$64,0)),""))</f>
        <v/>
      </c>
      <c r="P694" s="136">
        <f>IF($F694="","",IFERROR(INDEX(사건마스터!$AM$5:$AM$64,MATCH($F694,사건마스터!$A$5:$A$64,0)),""))</f>
        <v/>
      </c>
      <c r="Q694" s="136">
        <f>IF($F694="","",IFERROR(INDEX(사건마스터!$AN$5:$AN$64,MATCH($F694,사건마스터!$A$5:$A$64,0)),""))</f>
        <v/>
      </c>
      <c r="R694" s="136">
        <f>IF($F694="","",IFERROR(INDEX(사건마스터!$AO$5:$AO$64,MATCH($F694,사건마스터!$A$5:$A$64,0)),""))</f>
        <v/>
      </c>
      <c r="S694" s="136">
        <f>IF($F694="","",IFERROR(INDEX(사건마스터!$AP$5:$AP$64,MATCH($F694,사건마스터!$A$5:$A$64,0)),""))</f>
        <v/>
      </c>
      <c r="T694" s="136">
        <f>IF($F694="","",IFERROR(INDEX(사건마스터!$AQ$5:$AQ$64,MATCH($F694,사건마스터!$A$5:$A$64,0)),""))</f>
        <v/>
      </c>
      <c r="U694" s="136">
        <f>IF($F694="","",IFERROR(INDEX(사건마스터!$AR$5:$AR$64,MATCH($F694,사건마스터!$A$5:$A$64,0)),""))</f>
        <v/>
      </c>
      <c r="V694" s="136">
        <f>IF($F694="","",IFERROR(INDEX(사건마스터!$AS$5:$AS$64,MATCH($F694,사건마스터!$A$5:$A$64,0)),""))</f>
        <v/>
      </c>
      <c r="W694" s="136">
        <f>IF($F694="","",IFERROR(INDEX(사건마스터!$AT$5:$AT$64,MATCH($F694,사건마스터!$A$5:$A$64,0)),""))</f>
        <v/>
      </c>
      <c r="X694" s="136">
        <f>IF($F694="","",IFERROR(INDEX(사건마스터!$AU$5:$AU$64,MATCH($F694,사건마스터!$A$5:$A$64,0)),""))</f>
        <v/>
      </c>
      <c r="Y694" s="136">
        <f>IF($F694="","",IFERROR(INDEX(사건마스터!$AV$5:$AV$64,MATCH($F694,사건마스터!$A$5:$A$64,0)),""))</f>
        <v/>
      </c>
      <c r="Z694" s="118">
        <f>IF(COUNTBLANK($J694:$Y694)=16,"",16-COUNTBLANK($J694:$Y694))</f>
        <v/>
      </c>
      <c r="AA694" s="33">
        <f>IF($J694="",MID($AX694,3,255),$J694&amp;$AX694)</f>
        <v/>
      </c>
      <c r="AB694" s="130">
        <f>IF($J694="","",IFERROR(INDEX(코드설정!$D$5:$D$24,MATCH($J694,코드설정!$C$5:$C$24,0)),""))</f>
        <v/>
      </c>
      <c r="AC694" s="36" t="n"/>
      <c r="AD694" s="37" t="n"/>
      <c r="AE694" s="38" t="n"/>
      <c r="AF694" s="118">
        <f>IF(OR($B694="",$C694=""),"",$C694-$B694+1)</f>
        <v/>
      </c>
      <c r="AG694" s="74" t="n"/>
      <c r="AH694" s="36" t="n"/>
      <c r="AJ694">
        <f>IF($K694="","",", "&amp;$K694)</f>
        <v/>
      </c>
      <c r="AK694">
        <f>AJ694&amp;IF($L694="","",", "&amp;$L694)</f>
        <v/>
      </c>
      <c r="AL694">
        <f>AK694&amp;IF($M694="","",", "&amp;$M694)</f>
        <v/>
      </c>
      <c r="AM694">
        <f>AL694&amp;IF($N694="","",", "&amp;$N694)</f>
        <v/>
      </c>
      <c r="AN694">
        <f>AM694&amp;IF($O694="","",", "&amp;$O694)</f>
        <v/>
      </c>
      <c r="AO694">
        <f>AN694&amp;IF($P694="","",", "&amp;$P694)</f>
        <v/>
      </c>
      <c r="AP694">
        <f>AO694&amp;IF($Q694="","",", "&amp;$Q694)</f>
        <v/>
      </c>
      <c r="AQ694">
        <f>AP694&amp;IF($R694="","",", "&amp;$R694)</f>
        <v/>
      </c>
      <c r="AR694">
        <f>AQ694&amp;IF($S694="","",", "&amp;$S694)</f>
        <v/>
      </c>
      <c r="AS694">
        <f>AR694&amp;IF($T694="","",", "&amp;$T694)</f>
        <v/>
      </c>
      <c r="AT694">
        <f>AS694&amp;IF($U694="","",", "&amp;$U694)</f>
        <v/>
      </c>
      <c r="AU694">
        <f>AT694&amp;IF($V694="","",", "&amp;$V694)</f>
        <v/>
      </c>
      <c r="AV694">
        <f>AU694&amp;IF($W694="","",", "&amp;$W694)</f>
        <v/>
      </c>
      <c r="AW694">
        <f>AV694&amp;IF($X694="","",", "&amp;$X694)</f>
        <v/>
      </c>
      <c r="AX694">
        <f>AW694&amp;IF($Y694="","",", "&amp;$Y694)</f>
        <v/>
      </c>
    </row>
    <row r="695">
      <c r="A695" s="118">
        <f>IF($B695="","",COUNT($B$5:$B695))</f>
        <v/>
      </c>
      <c r="B695" s="80" t="n"/>
      <c r="C695" s="80" t="n"/>
      <c r="D695" s="74" t="n"/>
      <c r="E695" s="74" t="n"/>
      <c r="F695" s="74" t="n"/>
      <c r="G695" s="118">
        <f>IF($F695="","",COUNTIF($F$5:$F695,$F695))</f>
        <v/>
      </c>
      <c r="H695" s="33">
        <f>IF($F695="","",IFERROR(INDEX(사건마스터!$B$5:$B$64,MATCH($F695,사건마스터!$A$5:$A$64,0)),""))</f>
        <v/>
      </c>
      <c r="I695" s="130">
        <f>IF($F695="","",IFERROR(INDEX(사건마스터!$C$5:$C$64,MATCH($F695,사건마스터!$A$5:$A$64,0)),""))</f>
        <v/>
      </c>
      <c r="J695" s="136">
        <f>IF($F695="","",IFERROR(INDEX(사건마스터!$H$5:$H$64,MATCH($F695,사건마스터!$A$5:$A$64,0)),""))</f>
        <v/>
      </c>
      <c r="K695" s="136">
        <f>IF($F695="","",IFERROR(INDEX(사건마스터!$AH$5:$AH$64,MATCH($F695,사건마스터!$A$5:$A$64,0)),""))</f>
        <v/>
      </c>
      <c r="L695" s="136">
        <f>IF($F695="","",IFERROR(INDEX(사건마스터!$AI$5:$AI$64,MATCH($F695,사건마스터!$A$5:$A$64,0)),""))</f>
        <v/>
      </c>
      <c r="M695" s="136">
        <f>IF($F695="","",IFERROR(INDEX(사건마스터!$AJ$5:$AJ$64,MATCH($F695,사건마스터!$A$5:$A$64,0)),""))</f>
        <v/>
      </c>
      <c r="N695" s="136">
        <f>IF($F695="","",IFERROR(INDEX(사건마스터!$AK$5:$AK$64,MATCH($F695,사건마스터!$A$5:$A$64,0)),""))</f>
        <v/>
      </c>
      <c r="O695" s="136">
        <f>IF($F695="","",IFERROR(INDEX(사건마스터!$AL$5:$AL$64,MATCH($F695,사건마스터!$A$5:$A$64,0)),""))</f>
        <v/>
      </c>
      <c r="P695" s="136">
        <f>IF($F695="","",IFERROR(INDEX(사건마스터!$AM$5:$AM$64,MATCH($F695,사건마스터!$A$5:$A$64,0)),""))</f>
        <v/>
      </c>
      <c r="Q695" s="136">
        <f>IF($F695="","",IFERROR(INDEX(사건마스터!$AN$5:$AN$64,MATCH($F695,사건마스터!$A$5:$A$64,0)),""))</f>
        <v/>
      </c>
      <c r="R695" s="136">
        <f>IF($F695="","",IFERROR(INDEX(사건마스터!$AO$5:$AO$64,MATCH($F695,사건마스터!$A$5:$A$64,0)),""))</f>
        <v/>
      </c>
      <c r="S695" s="136">
        <f>IF($F695="","",IFERROR(INDEX(사건마스터!$AP$5:$AP$64,MATCH($F695,사건마스터!$A$5:$A$64,0)),""))</f>
        <v/>
      </c>
      <c r="T695" s="136">
        <f>IF($F695="","",IFERROR(INDEX(사건마스터!$AQ$5:$AQ$64,MATCH($F695,사건마스터!$A$5:$A$64,0)),""))</f>
        <v/>
      </c>
      <c r="U695" s="136">
        <f>IF($F695="","",IFERROR(INDEX(사건마스터!$AR$5:$AR$64,MATCH($F695,사건마스터!$A$5:$A$64,0)),""))</f>
        <v/>
      </c>
      <c r="V695" s="136">
        <f>IF($F695="","",IFERROR(INDEX(사건마스터!$AS$5:$AS$64,MATCH($F695,사건마스터!$A$5:$A$64,0)),""))</f>
        <v/>
      </c>
      <c r="W695" s="136">
        <f>IF($F695="","",IFERROR(INDEX(사건마스터!$AT$5:$AT$64,MATCH($F695,사건마스터!$A$5:$A$64,0)),""))</f>
        <v/>
      </c>
      <c r="X695" s="136">
        <f>IF($F695="","",IFERROR(INDEX(사건마스터!$AU$5:$AU$64,MATCH($F695,사건마스터!$A$5:$A$64,0)),""))</f>
        <v/>
      </c>
      <c r="Y695" s="136">
        <f>IF($F695="","",IFERROR(INDEX(사건마스터!$AV$5:$AV$64,MATCH($F695,사건마스터!$A$5:$A$64,0)),""))</f>
        <v/>
      </c>
      <c r="Z695" s="118">
        <f>IF(COUNTBLANK($J695:$Y695)=16,"",16-COUNTBLANK($J695:$Y695))</f>
        <v/>
      </c>
      <c r="AA695" s="33">
        <f>IF($J695="",MID($AX695,3,255),$J695&amp;$AX695)</f>
        <v/>
      </c>
      <c r="AB695" s="130">
        <f>IF($J695="","",IFERROR(INDEX(코드설정!$D$5:$D$24,MATCH($J695,코드설정!$C$5:$C$24,0)),""))</f>
        <v/>
      </c>
      <c r="AC695" s="36" t="n"/>
      <c r="AD695" s="37" t="n"/>
      <c r="AE695" s="38" t="n"/>
      <c r="AF695" s="118">
        <f>IF(OR($B695="",$C695=""),"",$C695-$B695+1)</f>
        <v/>
      </c>
      <c r="AG695" s="74" t="n"/>
      <c r="AH695" s="36" t="n"/>
      <c r="AJ695">
        <f>IF($K695="","",", "&amp;$K695)</f>
        <v/>
      </c>
      <c r="AK695">
        <f>AJ695&amp;IF($L695="","",", "&amp;$L695)</f>
        <v/>
      </c>
      <c r="AL695">
        <f>AK695&amp;IF($M695="","",", "&amp;$M695)</f>
        <v/>
      </c>
      <c r="AM695">
        <f>AL695&amp;IF($N695="","",", "&amp;$N695)</f>
        <v/>
      </c>
      <c r="AN695">
        <f>AM695&amp;IF($O695="","",", "&amp;$O695)</f>
        <v/>
      </c>
      <c r="AO695">
        <f>AN695&amp;IF($P695="","",", "&amp;$P695)</f>
        <v/>
      </c>
      <c r="AP695">
        <f>AO695&amp;IF($Q695="","",", "&amp;$Q695)</f>
        <v/>
      </c>
      <c r="AQ695">
        <f>AP695&amp;IF($R695="","",", "&amp;$R695)</f>
        <v/>
      </c>
      <c r="AR695">
        <f>AQ695&amp;IF($S695="","",", "&amp;$S695)</f>
        <v/>
      </c>
      <c r="AS695">
        <f>AR695&amp;IF($T695="","",", "&amp;$T695)</f>
        <v/>
      </c>
      <c r="AT695">
        <f>AS695&amp;IF($U695="","",", "&amp;$U695)</f>
        <v/>
      </c>
      <c r="AU695">
        <f>AT695&amp;IF($V695="","",", "&amp;$V695)</f>
        <v/>
      </c>
      <c r="AV695">
        <f>AU695&amp;IF($W695="","",", "&amp;$W695)</f>
        <v/>
      </c>
      <c r="AW695">
        <f>AV695&amp;IF($X695="","",", "&amp;$X695)</f>
        <v/>
      </c>
      <c r="AX695">
        <f>AW695&amp;IF($Y695="","",", "&amp;$Y695)</f>
        <v/>
      </c>
    </row>
    <row r="696">
      <c r="A696" s="118">
        <f>IF($B696="","",COUNT($B$5:$B696))</f>
        <v/>
      </c>
      <c r="B696" s="80" t="n"/>
      <c r="C696" s="80" t="n"/>
      <c r="D696" s="74" t="n"/>
      <c r="E696" s="74" t="n"/>
      <c r="F696" s="74" t="n"/>
      <c r="G696" s="118">
        <f>IF($F696="","",COUNTIF($F$5:$F696,$F696))</f>
        <v/>
      </c>
      <c r="H696" s="33">
        <f>IF($F696="","",IFERROR(INDEX(사건마스터!$B$5:$B$64,MATCH($F696,사건마스터!$A$5:$A$64,0)),""))</f>
        <v/>
      </c>
      <c r="I696" s="130">
        <f>IF($F696="","",IFERROR(INDEX(사건마스터!$C$5:$C$64,MATCH($F696,사건마스터!$A$5:$A$64,0)),""))</f>
        <v/>
      </c>
      <c r="J696" s="136">
        <f>IF($F696="","",IFERROR(INDEX(사건마스터!$H$5:$H$64,MATCH($F696,사건마스터!$A$5:$A$64,0)),""))</f>
        <v/>
      </c>
      <c r="K696" s="136">
        <f>IF($F696="","",IFERROR(INDEX(사건마스터!$AH$5:$AH$64,MATCH($F696,사건마스터!$A$5:$A$64,0)),""))</f>
        <v/>
      </c>
      <c r="L696" s="136">
        <f>IF($F696="","",IFERROR(INDEX(사건마스터!$AI$5:$AI$64,MATCH($F696,사건마스터!$A$5:$A$64,0)),""))</f>
        <v/>
      </c>
      <c r="M696" s="136">
        <f>IF($F696="","",IFERROR(INDEX(사건마스터!$AJ$5:$AJ$64,MATCH($F696,사건마스터!$A$5:$A$64,0)),""))</f>
        <v/>
      </c>
      <c r="N696" s="136">
        <f>IF($F696="","",IFERROR(INDEX(사건마스터!$AK$5:$AK$64,MATCH($F696,사건마스터!$A$5:$A$64,0)),""))</f>
        <v/>
      </c>
      <c r="O696" s="136">
        <f>IF($F696="","",IFERROR(INDEX(사건마스터!$AL$5:$AL$64,MATCH($F696,사건마스터!$A$5:$A$64,0)),""))</f>
        <v/>
      </c>
      <c r="P696" s="136">
        <f>IF($F696="","",IFERROR(INDEX(사건마스터!$AM$5:$AM$64,MATCH($F696,사건마스터!$A$5:$A$64,0)),""))</f>
        <v/>
      </c>
      <c r="Q696" s="136">
        <f>IF($F696="","",IFERROR(INDEX(사건마스터!$AN$5:$AN$64,MATCH($F696,사건마스터!$A$5:$A$64,0)),""))</f>
        <v/>
      </c>
      <c r="R696" s="136">
        <f>IF($F696="","",IFERROR(INDEX(사건마스터!$AO$5:$AO$64,MATCH($F696,사건마스터!$A$5:$A$64,0)),""))</f>
        <v/>
      </c>
      <c r="S696" s="136">
        <f>IF($F696="","",IFERROR(INDEX(사건마스터!$AP$5:$AP$64,MATCH($F696,사건마스터!$A$5:$A$64,0)),""))</f>
        <v/>
      </c>
      <c r="T696" s="136">
        <f>IF($F696="","",IFERROR(INDEX(사건마스터!$AQ$5:$AQ$64,MATCH($F696,사건마스터!$A$5:$A$64,0)),""))</f>
        <v/>
      </c>
      <c r="U696" s="136">
        <f>IF($F696="","",IFERROR(INDEX(사건마스터!$AR$5:$AR$64,MATCH($F696,사건마스터!$A$5:$A$64,0)),""))</f>
        <v/>
      </c>
      <c r="V696" s="136">
        <f>IF($F696="","",IFERROR(INDEX(사건마스터!$AS$5:$AS$64,MATCH($F696,사건마스터!$A$5:$A$64,0)),""))</f>
        <v/>
      </c>
      <c r="W696" s="136">
        <f>IF($F696="","",IFERROR(INDEX(사건마스터!$AT$5:$AT$64,MATCH($F696,사건마스터!$A$5:$A$64,0)),""))</f>
        <v/>
      </c>
      <c r="X696" s="136">
        <f>IF($F696="","",IFERROR(INDEX(사건마스터!$AU$5:$AU$64,MATCH($F696,사건마스터!$A$5:$A$64,0)),""))</f>
        <v/>
      </c>
      <c r="Y696" s="136">
        <f>IF($F696="","",IFERROR(INDEX(사건마스터!$AV$5:$AV$64,MATCH($F696,사건마스터!$A$5:$A$64,0)),""))</f>
        <v/>
      </c>
      <c r="Z696" s="118">
        <f>IF(COUNTBLANK($J696:$Y696)=16,"",16-COUNTBLANK($J696:$Y696))</f>
        <v/>
      </c>
      <c r="AA696" s="33">
        <f>IF($J696="",MID($AX696,3,255),$J696&amp;$AX696)</f>
        <v/>
      </c>
      <c r="AB696" s="130">
        <f>IF($J696="","",IFERROR(INDEX(코드설정!$D$5:$D$24,MATCH($J696,코드설정!$C$5:$C$24,0)),""))</f>
        <v/>
      </c>
      <c r="AC696" s="36" t="n"/>
      <c r="AD696" s="37" t="n"/>
      <c r="AE696" s="38" t="n"/>
      <c r="AF696" s="118">
        <f>IF(OR($B696="",$C696=""),"",$C696-$B696+1)</f>
        <v/>
      </c>
      <c r="AG696" s="74" t="n"/>
      <c r="AH696" s="36" t="n"/>
      <c r="AJ696">
        <f>IF($K696="","",", "&amp;$K696)</f>
        <v/>
      </c>
      <c r="AK696">
        <f>AJ696&amp;IF($L696="","",", "&amp;$L696)</f>
        <v/>
      </c>
      <c r="AL696">
        <f>AK696&amp;IF($M696="","",", "&amp;$M696)</f>
        <v/>
      </c>
      <c r="AM696">
        <f>AL696&amp;IF($N696="","",", "&amp;$N696)</f>
        <v/>
      </c>
      <c r="AN696">
        <f>AM696&amp;IF($O696="","",", "&amp;$O696)</f>
        <v/>
      </c>
      <c r="AO696">
        <f>AN696&amp;IF($P696="","",", "&amp;$P696)</f>
        <v/>
      </c>
      <c r="AP696">
        <f>AO696&amp;IF($Q696="","",", "&amp;$Q696)</f>
        <v/>
      </c>
      <c r="AQ696">
        <f>AP696&amp;IF($R696="","",", "&amp;$R696)</f>
        <v/>
      </c>
      <c r="AR696">
        <f>AQ696&amp;IF($S696="","",", "&amp;$S696)</f>
        <v/>
      </c>
      <c r="AS696">
        <f>AR696&amp;IF($T696="","",", "&amp;$T696)</f>
        <v/>
      </c>
      <c r="AT696">
        <f>AS696&amp;IF($U696="","",", "&amp;$U696)</f>
        <v/>
      </c>
      <c r="AU696">
        <f>AT696&amp;IF($V696="","",", "&amp;$V696)</f>
        <v/>
      </c>
      <c r="AV696">
        <f>AU696&amp;IF($W696="","",", "&amp;$W696)</f>
        <v/>
      </c>
      <c r="AW696">
        <f>AV696&amp;IF($X696="","",", "&amp;$X696)</f>
        <v/>
      </c>
      <c r="AX696">
        <f>AW696&amp;IF($Y696="","",", "&amp;$Y696)</f>
        <v/>
      </c>
    </row>
    <row r="697">
      <c r="A697" s="118">
        <f>IF($B697="","",COUNT($B$5:$B697))</f>
        <v/>
      </c>
      <c r="B697" s="80" t="n"/>
      <c r="C697" s="80" t="n"/>
      <c r="D697" s="74" t="n"/>
      <c r="E697" s="74" t="n"/>
      <c r="F697" s="74" t="n"/>
      <c r="G697" s="118">
        <f>IF($F697="","",COUNTIF($F$5:$F697,$F697))</f>
        <v/>
      </c>
      <c r="H697" s="33">
        <f>IF($F697="","",IFERROR(INDEX(사건마스터!$B$5:$B$64,MATCH($F697,사건마스터!$A$5:$A$64,0)),""))</f>
        <v/>
      </c>
      <c r="I697" s="130">
        <f>IF($F697="","",IFERROR(INDEX(사건마스터!$C$5:$C$64,MATCH($F697,사건마스터!$A$5:$A$64,0)),""))</f>
        <v/>
      </c>
      <c r="J697" s="136">
        <f>IF($F697="","",IFERROR(INDEX(사건마스터!$H$5:$H$64,MATCH($F697,사건마스터!$A$5:$A$64,0)),""))</f>
        <v/>
      </c>
      <c r="K697" s="136">
        <f>IF($F697="","",IFERROR(INDEX(사건마스터!$AH$5:$AH$64,MATCH($F697,사건마스터!$A$5:$A$64,0)),""))</f>
        <v/>
      </c>
      <c r="L697" s="136">
        <f>IF($F697="","",IFERROR(INDEX(사건마스터!$AI$5:$AI$64,MATCH($F697,사건마스터!$A$5:$A$64,0)),""))</f>
        <v/>
      </c>
      <c r="M697" s="136">
        <f>IF($F697="","",IFERROR(INDEX(사건마스터!$AJ$5:$AJ$64,MATCH($F697,사건마스터!$A$5:$A$64,0)),""))</f>
        <v/>
      </c>
      <c r="N697" s="136">
        <f>IF($F697="","",IFERROR(INDEX(사건마스터!$AK$5:$AK$64,MATCH($F697,사건마스터!$A$5:$A$64,0)),""))</f>
        <v/>
      </c>
      <c r="O697" s="136">
        <f>IF($F697="","",IFERROR(INDEX(사건마스터!$AL$5:$AL$64,MATCH($F697,사건마스터!$A$5:$A$64,0)),""))</f>
        <v/>
      </c>
      <c r="P697" s="136">
        <f>IF($F697="","",IFERROR(INDEX(사건마스터!$AM$5:$AM$64,MATCH($F697,사건마스터!$A$5:$A$64,0)),""))</f>
        <v/>
      </c>
      <c r="Q697" s="136">
        <f>IF($F697="","",IFERROR(INDEX(사건마스터!$AN$5:$AN$64,MATCH($F697,사건마스터!$A$5:$A$64,0)),""))</f>
        <v/>
      </c>
      <c r="R697" s="136">
        <f>IF($F697="","",IFERROR(INDEX(사건마스터!$AO$5:$AO$64,MATCH($F697,사건마스터!$A$5:$A$64,0)),""))</f>
        <v/>
      </c>
      <c r="S697" s="136">
        <f>IF($F697="","",IFERROR(INDEX(사건마스터!$AP$5:$AP$64,MATCH($F697,사건마스터!$A$5:$A$64,0)),""))</f>
        <v/>
      </c>
      <c r="T697" s="136">
        <f>IF($F697="","",IFERROR(INDEX(사건마스터!$AQ$5:$AQ$64,MATCH($F697,사건마스터!$A$5:$A$64,0)),""))</f>
        <v/>
      </c>
      <c r="U697" s="136">
        <f>IF($F697="","",IFERROR(INDEX(사건마스터!$AR$5:$AR$64,MATCH($F697,사건마스터!$A$5:$A$64,0)),""))</f>
        <v/>
      </c>
      <c r="V697" s="136">
        <f>IF($F697="","",IFERROR(INDEX(사건마스터!$AS$5:$AS$64,MATCH($F697,사건마스터!$A$5:$A$64,0)),""))</f>
        <v/>
      </c>
      <c r="W697" s="136">
        <f>IF($F697="","",IFERROR(INDEX(사건마스터!$AT$5:$AT$64,MATCH($F697,사건마스터!$A$5:$A$64,0)),""))</f>
        <v/>
      </c>
      <c r="X697" s="136">
        <f>IF($F697="","",IFERROR(INDEX(사건마스터!$AU$5:$AU$64,MATCH($F697,사건마스터!$A$5:$A$64,0)),""))</f>
        <v/>
      </c>
      <c r="Y697" s="136">
        <f>IF($F697="","",IFERROR(INDEX(사건마스터!$AV$5:$AV$64,MATCH($F697,사건마스터!$A$5:$A$64,0)),""))</f>
        <v/>
      </c>
      <c r="Z697" s="118">
        <f>IF(COUNTBLANK($J697:$Y697)=16,"",16-COUNTBLANK($J697:$Y697))</f>
        <v/>
      </c>
      <c r="AA697" s="33">
        <f>IF($J697="",MID($AX697,3,255),$J697&amp;$AX697)</f>
        <v/>
      </c>
      <c r="AB697" s="130">
        <f>IF($J697="","",IFERROR(INDEX(코드설정!$D$5:$D$24,MATCH($J697,코드설정!$C$5:$C$24,0)),""))</f>
        <v/>
      </c>
      <c r="AC697" s="36" t="n"/>
      <c r="AD697" s="37" t="n"/>
      <c r="AE697" s="38" t="n"/>
      <c r="AF697" s="118">
        <f>IF(OR($B697="",$C697=""),"",$C697-$B697+1)</f>
        <v/>
      </c>
      <c r="AG697" s="74" t="n"/>
      <c r="AH697" s="36" t="n"/>
      <c r="AJ697">
        <f>IF($K697="","",", "&amp;$K697)</f>
        <v/>
      </c>
      <c r="AK697">
        <f>AJ697&amp;IF($L697="","",", "&amp;$L697)</f>
        <v/>
      </c>
      <c r="AL697">
        <f>AK697&amp;IF($M697="","",", "&amp;$M697)</f>
        <v/>
      </c>
      <c r="AM697">
        <f>AL697&amp;IF($N697="","",", "&amp;$N697)</f>
        <v/>
      </c>
      <c r="AN697">
        <f>AM697&amp;IF($O697="","",", "&amp;$O697)</f>
        <v/>
      </c>
      <c r="AO697">
        <f>AN697&amp;IF($P697="","",", "&amp;$P697)</f>
        <v/>
      </c>
      <c r="AP697">
        <f>AO697&amp;IF($Q697="","",", "&amp;$Q697)</f>
        <v/>
      </c>
      <c r="AQ697">
        <f>AP697&amp;IF($R697="","",", "&amp;$R697)</f>
        <v/>
      </c>
      <c r="AR697">
        <f>AQ697&amp;IF($S697="","",", "&amp;$S697)</f>
        <v/>
      </c>
      <c r="AS697">
        <f>AR697&amp;IF($T697="","",", "&amp;$T697)</f>
        <v/>
      </c>
      <c r="AT697">
        <f>AS697&amp;IF($U697="","",", "&amp;$U697)</f>
        <v/>
      </c>
      <c r="AU697">
        <f>AT697&amp;IF($V697="","",", "&amp;$V697)</f>
        <v/>
      </c>
      <c r="AV697">
        <f>AU697&amp;IF($W697="","",", "&amp;$W697)</f>
        <v/>
      </c>
      <c r="AW697">
        <f>AV697&amp;IF($X697="","",", "&amp;$X697)</f>
        <v/>
      </c>
      <c r="AX697">
        <f>AW697&amp;IF($Y697="","",", "&amp;$Y697)</f>
        <v/>
      </c>
    </row>
    <row r="698">
      <c r="A698" s="118">
        <f>IF($B698="","",COUNT($B$5:$B698))</f>
        <v/>
      </c>
      <c r="B698" s="80" t="n"/>
      <c r="C698" s="80" t="n"/>
      <c r="D698" s="74" t="n"/>
      <c r="E698" s="74" t="n"/>
      <c r="F698" s="74" t="n"/>
      <c r="G698" s="118">
        <f>IF($F698="","",COUNTIF($F$5:$F698,$F698))</f>
        <v/>
      </c>
      <c r="H698" s="33">
        <f>IF($F698="","",IFERROR(INDEX(사건마스터!$B$5:$B$64,MATCH($F698,사건마스터!$A$5:$A$64,0)),""))</f>
        <v/>
      </c>
      <c r="I698" s="130">
        <f>IF($F698="","",IFERROR(INDEX(사건마스터!$C$5:$C$64,MATCH($F698,사건마스터!$A$5:$A$64,0)),""))</f>
        <v/>
      </c>
      <c r="J698" s="136">
        <f>IF($F698="","",IFERROR(INDEX(사건마스터!$H$5:$H$64,MATCH($F698,사건마스터!$A$5:$A$64,0)),""))</f>
        <v/>
      </c>
      <c r="K698" s="136">
        <f>IF($F698="","",IFERROR(INDEX(사건마스터!$AH$5:$AH$64,MATCH($F698,사건마스터!$A$5:$A$64,0)),""))</f>
        <v/>
      </c>
      <c r="L698" s="136">
        <f>IF($F698="","",IFERROR(INDEX(사건마스터!$AI$5:$AI$64,MATCH($F698,사건마스터!$A$5:$A$64,0)),""))</f>
        <v/>
      </c>
      <c r="M698" s="136">
        <f>IF($F698="","",IFERROR(INDEX(사건마스터!$AJ$5:$AJ$64,MATCH($F698,사건마스터!$A$5:$A$64,0)),""))</f>
        <v/>
      </c>
      <c r="N698" s="136">
        <f>IF($F698="","",IFERROR(INDEX(사건마스터!$AK$5:$AK$64,MATCH($F698,사건마스터!$A$5:$A$64,0)),""))</f>
        <v/>
      </c>
      <c r="O698" s="136">
        <f>IF($F698="","",IFERROR(INDEX(사건마스터!$AL$5:$AL$64,MATCH($F698,사건마스터!$A$5:$A$64,0)),""))</f>
        <v/>
      </c>
      <c r="P698" s="136">
        <f>IF($F698="","",IFERROR(INDEX(사건마스터!$AM$5:$AM$64,MATCH($F698,사건마스터!$A$5:$A$64,0)),""))</f>
        <v/>
      </c>
      <c r="Q698" s="136">
        <f>IF($F698="","",IFERROR(INDEX(사건마스터!$AN$5:$AN$64,MATCH($F698,사건마스터!$A$5:$A$64,0)),""))</f>
        <v/>
      </c>
      <c r="R698" s="136">
        <f>IF($F698="","",IFERROR(INDEX(사건마스터!$AO$5:$AO$64,MATCH($F698,사건마스터!$A$5:$A$64,0)),""))</f>
        <v/>
      </c>
      <c r="S698" s="136">
        <f>IF($F698="","",IFERROR(INDEX(사건마스터!$AP$5:$AP$64,MATCH($F698,사건마스터!$A$5:$A$64,0)),""))</f>
        <v/>
      </c>
      <c r="T698" s="136">
        <f>IF($F698="","",IFERROR(INDEX(사건마스터!$AQ$5:$AQ$64,MATCH($F698,사건마스터!$A$5:$A$64,0)),""))</f>
        <v/>
      </c>
      <c r="U698" s="136">
        <f>IF($F698="","",IFERROR(INDEX(사건마스터!$AR$5:$AR$64,MATCH($F698,사건마스터!$A$5:$A$64,0)),""))</f>
        <v/>
      </c>
      <c r="V698" s="136">
        <f>IF($F698="","",IFERROR(INDEX(사건마스터!$AS$5:$AS$64,MATCH($F698,사건마스터!$A$5:$A$64,0)),""))</f>
        <v/>
      </c>
      <c r="W698" s="136">
        <f>IF($F698="","",IFERROR(INDEX(사건마스터!$AT$5:$AT$64,MATCH($F698,사건마스터!$A$5:$A$64,0)),""))</f>
        <v/>
      </c>
      <c r="X698" s="136">
        <f>IF($F698="","",IFERROR(INDEX(사건마스터!$AU$5:$AU$64,MATCH($F698,사건마스터!$A$5:$A$64,0)),""))</f>
        <v/>
      </c>
      <c r="Y698" s="136">
        <f>IF($F698="","",IFERROR(INDEX(사건마스터!$AV$5:$AV$64,MATCH($F698,사건마스터!$A$5:$A$64,0)),""))</f>
        <v/>
      </c>
      <c r="Z698" s="118">
        <f>IF(COUNTBLANK($J698:$Y698)=16,"",16-COUNTBLANK($J698:$Y698))</f>
        <v/>
      </c>
      <c r="AA698" s="33">
        <f>IF($J698="",MID($AX698,3,255),$J698&amp;$AX698)</f>
        <v/>
      </c>
      <c r="AB698" s="130">
        <f>IF($J698="","",IFERROR(INDEX(코드설정!$D$5:$D$24,MATCH($J698,코드설정!$C$5:$C$24,0)),""))</f>
        <v/>
      </c>
      <c r="AC698" s="36" t="n"/>
      <c r="AD698" s="37" t="n"/>
      <c r="AE698" s="38" t="n"/>
      <c r="AF698" s="118">
        <f>IF(OR($B698="",$C698=""),"",$C698-$B698+1)</f>
        <v/>
      </c>
      <c r="AG698" s="74" t="n"/>
      <c r="AH698" s="36" t="n"/>
      <c r="AJ698">
        <f>IF($K698="","",", "&amp;$K698)</f>
        <v/>
      </c>
      <c r="AK698">
        <f>AJ698&amp;IF($L698="","",", "&amp;$L698)</f>
        <v/>
      </c>
      <c r="AL698">
        <f>AK698&amp;IF($M698="","",", "&amp;$M698)</f>
        <v/>
      </c>
      <c r="AM698">
        <f>AL698&amp;IF($N698="","",", "&amp;$N698)</f>
        <v/>
      </c>
      <c r="AN698">
        <f>AM698&amp;IF($O698="","",", "&amp;$O698)</f>
        <v/>
      </c>
      <c r="AO698">
        <f>AN698&amp;IF($P698="","",", "&amp;$P698)</f>
        <v/>
      </c>
      <c r="AP698">
        <f>AO698&amp;IF($Q698="","",", "&amp;$Q698)</f>
        <v/>
      </c>
      <c r="AQ698">
        <f>AP698&amp;IF($R698="","",", "&amp;$R698)</f>
        <v/>
      </c>
      <c r="AR698">
        <f>AQ698&amp;IF($S698="","",", "&amp;$S698)</f>
        <v/>
      </c>
      <c r="AS698">
        <f>AR698&amp;IF($T698="","",", "&amp;$T698)</f>
        <v/>
      </c>
      <c r="AT698">
        <f>AS698&amp;IF($U698="","",", "&amp;$U698)</f>
        <v/>
      </c>
      <c r="AU698">
        <f>AT698&amp;IF($V698="","",", "&amp;$V698)</f>
        <v/>
      </c>
      <c r="AV698">
        <f>AU698&amp;IF($W698="","",", "&amp;$W698)</f>
        <v/>
      </c>
      <c r="AW698">
        <f>AV698&amp;IF($X698="","",", "&amp;$X698)</f>
        <v/>
      </c>
      <c r="AX698">
        <f>AW698&amp;IF($Y698="","",", "&amp;$Y698)</f>
        <v/>
      </c>
    </row>
    <row r="699">
      <c r="A699" s="118">
        <f>IF($B699="","",COUNT($B$5:$B699))</f>
        <v/>
      </c>
      <c r="B699" s="80" t="n"/>
      <c r="C699" s="80" t="n"/>
      <c r="D699" s="74" t="n"/>
      <c r="E699" s="74" t="n"/>
      <c r="F699" s="74" t="n"/>
      <c r="G699" s="118">
        <f>IF($F699="","",COUNTIF($F$5:$F699,$F699))</f>
        <v/>
      </c>
      <c r="H699" s="33">
        <f>IF($F699="","",IFERROR(INDEX(사건마스터!$B$5:$B$64,MATCH($F699,사건마스터!$A$5:$A$64,0)),""))</f>
        <v/>
      </c>
      <c r="I699" s="130">
        <f>IF($F699="","",IFERROR(INDEX(사건마스터!$C$5:$C$64,MATCH($F699,사건마스터!$A$5:$A$64,0)),""))</f>
        <v/>
      </c>
      <c r="J699" s="136">
        <f>IF($F699="","",IFERROR(INDEX(사건마스터!$H$5:$H$64,MATCH($F699,사건마스터!$A$5:$A$64,0)),""))</f>
        <v/>
      </c>
      <c r="K699" s="136">
        <f>IF($F699="","",IFERROR(INDEX(사건마스터!$AH$5:$AH$64,MATCH($F699,사건마스터!$A$5:$A$64,0)),""))</f>
        <v/>
      </c>
      <c r="L699" s="136">
        <f>IF($F699="","",IFERROR(INDEX(사건마스터!$AI$5:$AI$64,MATCH($F699,사건마스터!$A$5:$A$64,0)),""))</f>
        <v/>
      </c>
      <c r="M699" s="136">
        <f>IF($F699="","",IFERROR(INDEX(사건마스터!$AJ$5:$AJ$64,MATCH($F699,사건마스터!$A$5:$A$64,0)),""))</f>
        <v/>
      </c>
      <c r="N699" s="136">
        <f>IF($F699="","",IFERROR(INDEX(사건마스터!$AK$5:$AK$64,MATCH($F699,사건마스터!$A$5:$A$64,0)),""))</f>
        <v/>
      </c>
      <c r="O699" s="136">
        <f>IF($F699="","",IFERROR(INDEX(사건마스터!$AL$5:$AL$64,MATCH($F699,사건마스터!$A$5:$A$64,0)),""))</f>
        <v/>
      </c>
      <c r="P699" s="136">
        <f>IF($F699="","",IFERROR(INDEX(사건마스터!$AM$5:$AM$64,MATCH($F699,사건마스터!$A$5:$A$64,0)),""))</f>
        <v/>
      </c>
      <c r="Q699" s="136">
        <f>IF($F699="","",IFERROR(INDEX(사건마스터!$AN$5:$AN$64,MATCH($F699,사건마스터!$A$5:$A$64,0)),""))</f>
        <v/>
      </c>
      <c r="R699" s="136">
        <f>IF($F699="","",IFERROR(INDEX(사건마스터!$AO$5:$AO$64,MATCH($F699,사건마스터!$A$5:$A$64,0)),""))</f>
        <v/>
      </c>
      <c r="S699" s="136">
        <f>IF($F699="","",IFERROR(INDEX(사건마스터!$AP$5:$AP$64,MATCH($F699,사건마스터!$A$5:$A$64,0)),""))</f>
        <v/>
      </c>
      <c r="T699" s="136">
        <f>IF($F699="","",IFERROR(INDEX(사건마스터!$AQ$5:$AQ$64,MATCH($F699,사건마스터!$A$5:$A$64,0)),""))</f>
        <v/>
      </c>
      <c r="U699" s="136">
        <f>IF($F699="","",IFERROR(INDEX(사건마스터!$AR$5:$AR$64,MATCH($F699,사건마스터!$A$5:$A$64,0)),""))</f>
        <v/>
      </c>
      <c r="V699" s="136">
        <f>IF($F699="","",IFERROR(INDEX(사건마스터!$AS$5:$AS$64,MATCH($F699,사건마스터!$A$5:$A$64,0)),""))</f>
        <v/>
      </c>
      <c r="W699" s="136">
        <f>IF($F699="","",IFERROR(INDEX(사건마스터!$AT$5:$AT$64,MATCH($F699,사건마스터!$A$5:$A$64,0)),""))</f>
        <v/>
      </c>
      <c r="X699" s="136">
        <f>IF($F699="","",IFERROR(INDEX(사건마스터!$AU$5:$AU$64,MATCH($F699,사건마스터!$A$5:$A$64,0)),""))</f>
        <v/>
      </c>
      <c r="Y699" s="136">
        <f>IF($F699="","",IFERROR(INDEX(사건마스터!$AV$5:$AV$64,MATCH($F699,사건마스터!$A$5:$A$64,0)),""))</f>
        <v/>
      </c>
      <c r="Z699" s="118">
        <f>IF(COUNTBLANK($J699:$Y699)=16,"",16-COUNTBLANK($J699:$Y699))</f>
        <v/>
      </c>
      <c r="AA699" s="33">
        <f>IF($J699="",MID($AX699,3,255),$J699&amp;$AX699)</f>
        <v/>
      </c>
      <c r="AB699" s="130">
        <f>IF($J699="","",IFERROR(INDEX(코드설정!$D$5:$D$24,MATCH($J699,코드설정!$C$5:$C$24,0)),""))</f>
        <v/>
      </c>
      <c r="AC699" s="36" t="n"/>
      <c r="AD699" s="37" t="n"/>
      <c r="AE699" s="38" t="n"/>
      <c r="AF699" s="118">
        <f>IF(OR($B699="",$C699=""),"",$C699-$B699+1)</f>
        <v/>
      </c>
      <c r="AG699" s="74" t="n"/>
      <c r="AH699" s="36" t="n"/>
      <c r="AJ699">
        <f>IF($K699="","",", "&amp;$K699)</f>
        <v/>
      </c>
      <c r="AK699">
        <f>AJ699&amp;IF($L699="","",", "&amp;$L699)</f>
        <v/>
      </c>
      <c r="AL699">
        <f>AK699&amp;IF($M699="","",", "&amp;$M699)</f>
        <v/>
      </c>
      <c r="AM699">
        <f>AL699&amp;IF($N699="","",", "&amp;$N699)</f>
        <v/>
      </c>
      <c r="AN699">
        <f>AM699&amp;IF($O699="","",", "&amp;$O699)</f>
        <v/>
      </c>
      <c r="AO699">
        <f>AN699&amp;IF($P699="","",", "&amp;$P699)</f>
        <v/>
      </c>
      <c r="AP699">
        <f>AO699&amp;IF($Q699="","",", "&amp;$Q699)</f>
        <v/>
      </c>
      <c r="AQ699">
        <f>AP699&amp;IF($R699="","",", "&amp;$R699)</f>
        <v/>
      </c>
      <c r="AR699">
        <f>AQ699&amp;IF($S699="","",", "&amp;$S699)</f>
        <v/>
      </c>
      <c r="AS699">
        <f>AR699&amp;IF($T699="","",", "&amp;$T699)</f>
        <v/>
      </c>
      <c r="AT699">
        <f>AS699&amp;IF($U699="","",", "&amp;$U699)</f>
        <v/>
      </c>
      <c r="AU699">
        <f>AT699&amp;IF($V699="","",", "&amp;$V699)</f>
        <v/>
      </c>
      <c r="AV699">
        <f>AU699&amp;IF($W699="","",", "&amp;$W699)</f>
        <v/>
      </c>
      <c r="AW699">
        <f>AV699&amp;IF($X699="","",", "&amp;$X699)</f>
        <v/>
      </c>
      <c r="AX699">
        <f>AW699&amp;IF($Y699="","",", "&amp;$Y699)</f>
        <v/>
      </c>
    </row>
    <row r="700">
      <c r="A700" s="118">
        <f>IF($B700="","",COUNT($B$5:$B700))</f>
        <v/>
      </c>
      <c r="B700" s="80" t="n"/>
      <c r="C700" s="80" t="n"/>
      <c r="D700" s="74" t="n"/>
      <c r="E700" s="74" t="n"/>
      <c r="F700" s="74" t="n"/>
      <c r="G700" s="118">
        <f>IF($F700="","",COUNTIF($F$5:$F700,$F700))</f>
        <v/>
      </c>
      <c r="H700" s="33">
        <f>IF($F700="","",IFERROR(INDEX(사건마스터!$B$5:$B$64,MATCH($F700,사건마스터!$A$5:$A$64,0)),""))</f>
        <v/>
      </c>
      <c r="I700" s="130">
        <f>IF($F700="","",IFERROR(INDEX(사건마스터!$C$5:$C$64,MATCH($F700,사건마스터!$A$5:$A$64,0)),""))</f>
        <v/>
      </c>
      <c r="J700" s="136">
        <f>IF($F700="","",IFERROR(INDEX(사건마스터!$H$5:$H$64,MATCH($F700,사건마스터!$A$5:$A$64,0)),""))</f>
        <v/>
      </c>
      <c r="K700" s="136">
        <f>IF($F700="","",IFERROR(INDEX(사건마스터!$AH$5:$AH$64,MATCH($F700,사건마스터!$A$5:$A$64,0)),""))</f>
        <v/>
      </c>
      <c r="L700" s="136">
        <f>IF($F700="","",IFERROR(INDEX(사건마스터!$AI$5:$AI$64,MATCH($F700,사건마스터!$A$5:$A$64,0)),""))</f>
        <v/>
      </c>
      <c r="M700" s="136">
        <f>IF($F700="","",IFERROR(INDEX(사건마스터!$AJ$5:$AJ$64,MATCH($F700,사건마스터!$A$5:$A$64,0)),""))</f>
        <v/>
      </c>
      <c r="N700" s="136">
        <f>IF($F700="","",IFERROR(INDEX(사건마스터!$AK$5:$AK$64,MATCH($F700,사건마스터!$A$5:$A$64,0)),""))</f>
        <v/>
      </c>
      <c r="O700" s="136">
        <f>IF($F700="","",IFERROR(INDEX(사건마스터!$AL$5:$AL$64,MATCH($F700,사건마스터!$A$5:$A$64,0)),""))</f>
        <v/>
      </c>
      <c r="P700" s="136">
        <f>IF($F700="","",IFERROR(INDEX(사건마스터!$AM$5:$AM$64,MATCH($F700,사건마스터!$A$5:$A$64,0)),""))</f>
        <v/>
      </c>
      <c r="Q700" s="136">
        <f>IF($F700="","",IFERROR(INDEX(사건마스터!$AN$5:$AN$64,MATCH($F700,사건마스터!$A$5:$A$64,0)),""))</f>
        <v/>
      </c>
      <c r="R700" s="136">
        <f>IF($F700="","",IFERROR(INDEX(사건마스터!$AO$5:$AO$64,MATCH($F700,사건마스터!$A$5:$A$64,0)),""))</f>
        <v/>
      </c>
      <c r="S700" s="136">
        <f>IF($F700="","",IFERROR(INDEX(사건마스터!$AP$5:$AP$64,MATCH($F700,사건마스터!$A$5:$A$64,0)),""))</f>
        <v/>
      </c>
      <c r="T700" s="136">
        <f>IF($F700="","",IFERROR(INDEX(사건마스터!$AQ$5:$AQ$64,MATCH($F700,사건마스터!$A$5:$A$64,0)),""))</f>
        <v/>
      </c>
      <c r="U700" s="136">
        <f>IF($F700="","",IFERROR(INDEX(사건마스터!$AR$5:$AR$64,MATCH($F700,사건마스터!$A$5:$A$64,0)),""))</f>
        <v/>
      </c>
      <c r="V700" s="136">
        <f>IF($F700="","",IFERROR(INDEX(사건마스터!$AS$5:$AS$64,MATCH($F700,사건마스터!$A$5:$A$64,0)),""))</f>
        <v/>
      </c>
      <c r="W700" s="136">
        <f>IF($F700="","",IFERROR(INDEX(사건마스터!$AT$5:$AT$64,MATCH($F700,사건마스터!$A$5:$A$64,0)),""))</f>
        <v/>
      </c>
      <c r="X700" s="136">
        <f>IF($F700="","",IFERROR(INDEX(사건마스터!$AU$5:$AU$64,MATCH($F700,사건마스터!$A$5:$A$64,0)),""))</f>
        <v/>
      </c>
      <c r="Y700" s="136">
        <f>IF($F700="","",IFERROR(INDEX(사건마스터!$AV$5:$AV$64,MATCH($F700,사건마스터!$A$5:$A$64,0)),""))</f>
        <v/>
      </c>
      <c r="Z700" s="118">
        <f>IF(COUNTBLANK($J700:$Y700)=16,"",16-COUNTBLANK($J700:$Y700))</f>
        <v/>
      </c>
      <c r="AA700" s="33">
        <f>IF($J700="",MID($AX700,3,255),$J700&amp;$AX700)</f>
        <v/>
      </c>
      <c r="AB700" s="130">
        <f>IF($J700="","",IFERROR(INDEX(코드설정!$D$5:$D$24,MATCH($J700,코드설정!$C$5:$C$24,0)),""))</f>
        <v/>
      </c>
      <c r="AC700" s="36" t="n"/>
      <c r="AD700" s="37" t="n"/>
      <c r="AE700" s="38" t="n"/>
      <c r="AF700" s="118">
        <f>IF(OR($B700="",$C700=""),"",$C700-$B700+1)</f>
        <v/>
      </c>
      <c r="AG700" s="74" t="n"/>
      <c r="AH700" s="36" t="n"/>
      <c r="AJ700">
        <f>IF($K700="","",", "&amp;$K700)</f>
        <v/>
      </c>
      <c r="AK700">
        <f>AJ700&amp;IF($L700="","",", "&amp;$L700)</f>
        <v/>
      </c>
      <c r="AL700">
        <f>AK700&amp;IF($M700="","",", "&amp;$M700)</f>
        <v/>
      </c>
      <c r="AM700">
        <f>AL700&amp;IF($N700="","",", "&amp;$N700)</f>
        <v/>
      </c>
      <c r="AN700">
        <f>AM700&amp;IF($O700="","",", "&amp;$O700)</f>
        <v/>
      </c>
      <c r="AO700">
        <f>AN700&amp;IF($P700="","",", "&amp;$P700)</f>
        <v/>
      </c>
      <c r="AP700">
        <f>AO700&amp;IF($Q700="","",", "&amp;$Q700)</f>
        <v/>
      </c>
      <c r="AQ700">
        <f>AP700&amp;IF($R700="","",", "&amp;$R700)</f>
        <v/>
      </c>
      <c r="AR700">
        <f>AQ700&amp;IF($S700="","",", "&amp;$S700)</f>
        <v/>
      </c>
      <c r="AS700">
        <f>AR700&amp;IF($T700="","",", "&amp;$T700)</f>
        <v/>
      </c>
      <c r="AT700">
        <f>AS700&amp;IF($U700="","",", "&amp;$U700)</f>
        <v/>
      </c>
      <c r="AU700">
        <f>AT700&amp;IF($V700="","",", "&amp;$V700)</f>
        <v/>
      </c>
      <c r="AV700">
        <f>AU700&amp;IF($W700="","",", "&amp;$W700)</f>
        <v/>
      </c>
      <c r="AW700">
        <f>AV700&amp;IF($X700="","",", "&amp;$X700)</f>
        <v/>
      </c>
      <c r="AX700">
        <f>AW700&amp;IF($Y700="","",", "&amp;$Y700)</f>
        <v/>
      </c>
    </row>
    <row r="701">
      <c r="A701" s="118">
        <f>IF($B701="","",COUNT($B$5:$B701))</f>
        <v/>
      </c>
      <c r="B701" s="80" t="n"/>
      <c r="C701" s="80" t="n"/>
      <c r="D701" s="74" t="n"/>
      <c r="E701" s="74" t="n"/>
      <c r="F701" s="74" t="n"/>
      <c r="G701" s="118">
        <f>IF($F701="","",COUNTIF($F$5:$F701,$F701))</f>
        <v/>
      </c>
      <c r="H701" s="33">
        <f>IF($F701="","",IFERROR(INDEX(사건마스터!$B$5:$B$64,MATCH($F701,사건마스터!$A$5:$A$64,0)),""))</f>
        <v/>
      </c>
      <c r="I701" s="130">
        <f>IF($F701="","",IFERROR(INDEX(사건마스터!$C$5:$C$64,MATCH($F701,사건마스터!$A$5:$A$64,0)),""))</f>
        <v/>
      </c>
      <c r="J701" s="136">
        <f>IF($F701="","",IFERROR(INDEX(사건마스터!$H$5:$H$64,MATCH($F701,사건마스터!$A$5:$A$64,0)),""))</f>
        <v/>
      </c>
      <c r="K701" s="136">
        <f>IF($F701="","",IFERROR(INDEX(사건마스터!$AH$5:$AH$64,MATCH($F701,사건마스터!$A$5:$A$64,0)),""))</f>
        <v/>
      </c>
      <c r="L701" s="136">
        <f>IF($F701="","",IFERROR(INDEX(사건마스터!$AI$5:$AI$64,MATCH($F701,사건마스터!$A$5:$A$64,0)),""))</f>
        <v/>
      </c>
      <c r="M701" s="136">
        <f>IF($F701="","",IFERROR(INDEX(사건마스터!$AJ$5:$AJ$64,MATCH($F701,사건마스터!$A$5:$A$64,0)),""))</f>
        <v/>
      </c>
      <c r="N701" s="136">
        <f>IF($F701="","",IFERROR(INDEX(사건마스터!$AK$5:$AK$64,MATCH($F701,사건마스터!$A$5:$A$64,0)),""))</f>
        <v/>
      </c>
      <c r="O701" s="136">
        <f>IF($F701="","",IFERROR(INDEX(사건마스터!$AL$5:$AL$64,MATCH($F701,사건마스터!$A$5:$A$64,0)),""))</f>
        <v/>
      </c>
      <c r="P701" s="136">
        <f>IF($F701="","",IFERROR(INDEX(사건마스터!$AM$5:$AM$64,MATCH($F701,사건마스터!$A$5:$A$64,0)),""))</f>
        <v/>
      </c>
      <c r="Q701" s="136">
        <f>IF($F701="","",IFERROR(INDEX(사건마스터!$AN$5:$AN$64,MATCH($F701,사건마스터!$A$5:$A$64,0)),""))</f>
        <v/>
      </c>
      <c r="R701" s="136">
        <f>IF($F701="","",IFERROR(INDEX(사건마스터!$AO$5:$AO$64,MATCH($F701,사건마스터!$A$5:$A$64,0)),""))</f>
        <v/>
      </c>
      <c r="S701" s="136">
        <f>IF($F701="","",IFERROR(INDEX(사건마스터!$AP$5:$AP$64,MATCH($F701,사건마스터!$A$5:$A$64,0)),""))</f>
        <v/>
      </c>
      <c r="T701" s="136">
        <f>IF($F701="","",IFERROR(INDEX(사건마스터!$AQ$5:$AQ$64,MATCH($F701,사건마스터!$A$5:$A$64,0)),""))</f>
        <v/>
      </c>
      <c r="U701" s="136">
        <f>IF($F701="","",IFERROR(INDEX(사건마스터!$AR$5:$AR$64,MATCH($F701,사건마스터!$A$5:$A$64,0)),""))</f>
        <v/>
      </c>
      <c r="V701" s="136">
        <f>IF($F701="","",IFERROR(INDEX(사건마스터!$AS$5:$AS$64,MATCH($F701,사건마스터!$A$5:$A$64,0)),""))</f>
        <v/>
      </c>
      <c r="W701" s="136">
        <f>IF($F701="","",IFERROR(INDEX(사건마스터!$AT$5:$AT$64,MATCH($F701,사건마스터!$A$5:$A$64,0)),""))</f>
        <v/>
      </c>
      <c r="X701" s="136">
        <f>IF($F701="","",IFERROR(INDEX(사건마스터!$AU$5:$AU$64,MATCH($F701,사건마스터!$A$5:$A$64,0)),""))</f>
        <v/>
      </c>
      <c r="Y701" s="136">
        <f>IF($F701="","",IFERROR(INDEX(사건마스터!$AV$5:$AV$64,MATCH($F701,사건마스터!$A$5:$A$64,0)),""))</f>
        <v/>
      </c>
      <c r="Z701" s="118">
        <f>IF(COUNTBLANK($J701:$Y701)=16,"",16-COUNTBLANK($J701:$Y701))</f>
        <v/>
      </c>
      <c r="AA701" s="33">
        <f>IF($J701="",MID($AX701,3,255),$J701&amp;$AX701)</f>
        <v/>
      </c>
      <c r="AB701" s="130">
        <f>IF($J701="","",IFERROR(INDEX(코드설정!$D$5:$D$24,MATCH($J701,코드설정!$C$5:$C$24,0)),""))</f>
        <v/>
      </c>
      <c r="AC701" s="36" t="n"/>
      <c r="AD701" s="37" t="n"/>
      <c r="AE701" s="38" t="n"/>
      <c r="AF701" s="118">
        <f>IF(OR($B701="",$C701=""),"",$C701-$B701+1)</f>
        <v/>
      </c>
      <c r="AG701" s="74" t="n"/>
      <c r="AH701" s="36" t="n"/>
      <c r="AJ701">
        <f>IF($K701="","",", "&amp;$K701)</f>
        <v/>
      </c>
      <c r="AK701">
        <f>AJ701&amp;IF($L701="","",", "&amp;$L701)</f>
        <v/>
      </c>
      <c r="AL701">
        <f>AK701&amp;IF($M701="","",", "&amp;$M701)</f>
        <v/>
      </c>
      <c r="AM701">
        <f>AL701&amp;IF($N701="","",", "&amp;$N701)</f>
        <v/>
      </c>
      <c r="AN701">
        <f>AM701&amp;IF($O701="","",", "&amp;$O701)</f>
        <v/>
      </c>
      <c r="AO701">
        <f>AN701&amp;IF($P701="","",", "&amp;$P701)</f>
        <v/>
      </c>
      <c r="AP701">
        <f>AO701&amp;IF($Q701="","",", "&amp;$Q701)</f>
        <v/>
      </c>
      <c r="AQ701">
        <f>AP701&amp;IF($R701="","",", "&amp;$R701)</f>
        <v/>
      </c>
      <c r="AR701">
        <f>AQ701&amp;IF($S701="","",", "&amp;$S701)</f>
        <v/>
      </c>
      <c r="AS701">
        <f>AR701&amp;IF($T701="","",", "&amp;$T701)</f>
        <v/>
      </c>
      <c r="AT701">
        <f>AS701&amp;IF($U701="","",", "&amp;$U701)</f>
        <v/>
      </c>
      <c r="AU701">
        <f>AT701&amp;IF($V701="","",", "&amp;$V701)</f>
        <v/>
      </c>
      <c r="AV701">
        <f>AU701&amp;IF($W701="","",", "&amp;$W701)</f>
        <v/>
      </c>
      <c r="AW701">
        <f>AV701&amp;IF($X701="","",", "&amp;$X701)</f>
        <v/>
      </c>
      <c r="AX701">
        <f>AW701&amp;IF($Y701="","",", "&amp;$Y701)</f>
        <v/>
      </c>
    </row>
    <row r="702">
      <c r="A702" s="118">
        <f>IF($B702="","",COUNT($B$5:$B702))</f>
        <v/>
      </c>
      <c r="B702" s="80" t="n"/>
      <c r="C702" s="80" t="n"/>
      <c r="D702" s="74" t="n"/>
      <c r="E702" s="74" t="n"/>
      <c r="F702" s="74" t="n"/>
      <c r="G702" s="118">
        <f>IF($F702="","",COUNTIF($F$5:$F702,$F702))</f>
        <v/>
      </c>
      <c r="H702" s="33">
        <f>IF($F702="","",IFERROR(INDEX(사건마스터!$B$5:$B$64,MATCH($F702,사건마스터!$A$5:$A$64,0)),""))</f>
        <v/>
      </c>
      <c r="I702" s="130">
        <f>IF($F702="","",IFERROR(INDEX(사건마스터!$C$5:$C$64,MATCH($F702,사건마스터!$A$5:$A$64,0)),""))</f>
        <v/>
      </c>
      <c r="J702" s="136">
        <f>IF($F702="","",IFERROR(INDEX(사건마스터!$H$5:$H$64,MATCH($F702,사건마스터!$A$5:$A$64,0)),""))</f>
        <v/>
      </c>
      <c r="K702" s="136">
        <f>IF($F702="","",IFERROR(INDEX(사건마스터!$AH$5:$AH$64,MATCH($F702,사건마스터!$A$5:$A$64,0)),""))</f>
        <v/>
      </c>
      <c r="L702" s="136">
        <f>IF($F702="","",IFERROR(INDEX(사건마스터!$AI$5:$AI$64,MATCH($F702,사건마스터!$A$5:$A$64,0)),""))</f>
        <v/>
      </c>
      <c r="M702" s="136">
        <f>IF($F702="","",IFERROR(INDEX(사건마스터!$AJ$5:$AJ$64,MATCH($F702,사건마스터!$A$5:$A$64,0)),""))</f>
        <v/>
      </c>
      <c r="N702" s="136">
        <f>IF($F702="","",IFERROR(INDEX(사건마스터!$AK$5:$AK$64,MATCH($F702,사건마스터!$A$5:$A$64,0)),""))</f>
        <v/>
      </c>
      <c r="O702" s="136">
        <f>IF($F702="","",IFERROR(INDEX(사건마스터!$AL$5:$AL$64,MATCH($F702,사건마스터!$A$5:$A$64,0)),""))</f>
        <v/>
      </c>
      <c r="P702" s="136">
        <f>IF($F702="","",IFERROR(INDEX(사건마스터!$AM$5:$AM$64,MATCH($F702,사건마스터!$A$5:$A$64,0)),""))</f>
        <v/>
      </c>
      <c r="Q702" s="136">
        <f>IF($F702="","",IFERROR(INDEX(사건마스터!$AN$5:$AN$64,MATCH($F702,사건마스터!$A$5:$A$64,0)),""))</f>
        <v/>
      </c>
      <c r="R702" s="136">
        <f>IF($F702="","",IFERROR(INDEX(사건마스터!$AO$5:$AO$64,MATCH($F702,사건마스터!$A$5:$A$64,0)),""))</f>
        <v/>
      </c>
      <c r="S702" s="136">
        <f>IF($F702="","",IFERROR(INDEX(사건마스터!$AP$5:$AP$64,MATCH($F702,사건마스터!$A$5:$A$64,0)),""))</f>
        <v/>
      </c>
      <c r="T702" s="136">
        <f>IF($F702="","",IFERROR(INDEX(사건마스터!$AQ$5:$AQ$64,MATCH($F702,사건마스터!$A$5:$A$64,0)),""))</f>
        <v/>
      </c>
      <c r="U702" s="136">
        <f>IF($F702="","",IFERROR(INDEX(사건마스터!$AR$5:$AR$64,MATCH($F702,사건마스터!$A$5:$A$64,0)),""))</f>
        <v/>
      </c>
      <c r="V702" s="136">
        <f>IF($F702="","",IFERROR(INDEX(사건마스터!$AS$5:$AS$64,MATCH($F702,사건마스터!$A$5:$A$64,0)),""))</f>
        <v/>
      </c>
      <c r="W702" s="136">
        <f>IF($F702="","",IFERROR(INDEX(사건마스터!$AT$5:$AT$64,MATCH($F702,사건마스터!$A$5:$A$64,0)),""))</f>
        <v/>
      </c>
      <c r="X702" s="136">
        <f>IF($F702="","",IFERROR(INDEX(사건마스터!$AU$5:$AU$64,MATCH($F702,사건마스터!$A$5:$A$64,0)),""))</f>
        <v/>
      </c>
      <c r="Y702" s="136">
        <f>IF($F702="","",IFERROR(INDEX(사건마스터!$AV$5:$AV$64,MATCH($F702,사건마스터!$A$5:$A$64,0)),""))</f>
        <v/>
      </c>
      <c r="Z702" s="118">
        <f>IF(COUNTBLANK($J702:$Y702)=16,"",16-COUNTBLANK($J702:$Y702))</f>
        <v/>
      </c>
      <c r="AA702" s="33">
        <f>IF($J702="",MID($AX702,3,255),$J702&amp;$AX702)</f>
        <v/>
      </c>
      <c r="AB702" s="130">
        <f>IF($J702="","",IFERROR(INDEX(코드설정!$D$5:$D$24,MATCH($J702,코드설정!$C$5:$C$24,0)),""))</f>
        <v/>
      </c>
      <c r="AC702" s="36" t="n"/>
      <c r="AD702" s="37" t="n"/>
      <c r="AE702" s="38" t="n"/>
      <c r="AF702" s="118">
        <f>IF(OR($B702="",$C702=""),"",$C702-$B702+1)</f>
        <v/>
      </c>
      <c r="AG702" s="74" t="n"/>
      <c r="AH702" s="36" t="n"/>
      <c r="AJ702">
        <f>IF($K702="","",", "&amp;$K702)</f>
        <v/>
      </c>
      <c r="AK702">
        <f>AJ702&amp;IF($L702="","",", "&amp;$L702)</f>
        <v/>
      </c>
      <c r="AL702">
        <f>AK702&amp;IF($M702="","",", "&amp;$M702)</f>
        <v/>
      </c>
      <c r="AM702">
        <f>AL702&amp;IF($N702="","",", "&amp;$N702)</f>
        <v/>
      </c>
      <c r="AN702">
        <f>AM702&amp;IF($O702="","",", "&amp;$O702)</f>
        <v/>
      </c>
      <c r="AO702">
        <f>AN702&amp;IF($P702="","",", "&amp;$P702)</f>
        <v/>
      </c>
      <c r="AP702">
        <f>AO702&amp;IF($Q702="","",", "&amp;$Q702)</f>
        <v/>
      </c>
      <c r="AQ702">
        <f>AP702&amp;IF($R702="","",", "&amp;$R702)</f>
        <v/>
      </c>
      <c r="AR702">
        <f>AQ702&amp;IF($S702="","",", "&amp;$S702)</f>
        <v/>
      </c>
      <c r="AS702">
        <f>AR702&amp;IF($T702="","",", "&amp;$T702)</f>
        <v/>
      </c>
      <c r="AT702">
        <f>AS702&amp;IF($U702="","",", "&amp;$U702)</f>
        <v/>
      </c>
      <c r="AU702">
        <f>AT702&amp;IF($V702="","",", "&amp;$V702)</f>
        <v/>
      </c>
      <c r="AV702">
        <f>AU702&amp;IF($W702="","",", "&amp;$W702)</f>
        <v/>
      </c>
      <c r="AW702">
        <f>AV702&amp;IF($X702="","",", "&amp;$X702)</f>
        <v/>
      </c>
      <c r="AX702">
        <f>AW702&amp;IF($Y702="","",", "&amp;$Y702)</f>
        <v/>
      </c>
    </row>
    <row r="703">
      <c r="A703" s="118">
        <f>IF($B703="","",COUNT($B$5:$B703))</f>
        <v/>
      </c>
      <c r="B703" s="80" t="n"/>
      <c r="C703" s="80" t="n"/>
      <c r="D703" s="74" t="n"/>
      <c r="E703" s="74" t="n"/>
      <c r="F703" s="74" t="n"/>
      <c r="G703" s="118">
        <f>IF($F703="","",COUNTIF($F$5:$F703,$F703))</f>
        <v/>
      </c>
      <c r="H703" s="33">
        <f>IF($F703="","",IFERROR(INDEX(사건마스터!$B$5:$B$64,MATCH($F703,사건마스터!$A$5:$A$64,0)),""))</f>
        <v/>
      </c>
      <c r="I703" s="130">
        <f>IF($F703="","",IFERROR(INDEX(사건마스터!$C$5:$C$64,MATCH($F703,사건마스터!$A$5:$A$64,0)),""))</f>
        <v/>
      </c>
      <c r="J703" s="136">
        <f>IF($F703="","",IFERROR(INDEX(사건마스터!$H$5:$H$64,MATCH($F703,사건마스터!$A$5:$A$64,0)),""))</f>
        <v/>
      </c>
      <c r="K703" s="136">
        <f>IF($F703="","",IFERROR(INDEX(사건마스터!$AH$5:$AH$64,MATCH($F703,사건마스터!$A$5:$A$64,0)),""))</f>
        <v/>
      </c>
      <c r="L703" s="136">
        <f>IF($F703="","",IFERROR(INDEX(사건마스터!$AI$5:$AI$64,MATCH($F703,사건마스터!$A$5:$A$64,0)),""))</f>
        <v/>
      </c>
      <c r="M703" s="136">
        <f>IF($F703="","",IFERROR(INDEX(사건마스터!$AJ$5:$AJ$64,MATCH($F703,사건마스터!$A$5:$A$64,0)),""))</f>
        <v/>
      </c>
      <c r="N703" s="136">
        <f>IF($F703="","",IFERROR(INDEX(사건마스터!$AK$5:$AK$64,MATCH($F703,사건마스터!$A$5:$A$64,0)),""))</f>
        <v/>
      </c>
      <c r="O703" s="136">
        <f>IF($F703="","",IFERROR(INDEX(사건마스터!$AL$5:$AL$64,MATCH($F703,사건마스터!$A$5:$A$64,0)),""))</f>
        <v/>
      </c>
      <c r="P703" s="136">
        <f>IF($F703="","",IFERROR(INDEX(사건마스터!$AM$5:$AM$64,MATCH($F703,사건마스터!$A$5:$A$64,0)),""))</f>
        <v/>
      </c>
      <c r="Q703" s="136">
        <f>IF($F703="","",IFERROR(INDEX(사건마스터!$AN$5:$AN$64,MATCH($F703,사건마스터!$A$5:$A$64,0)),""))</f>
        <v/>
      </c>
      <c r="R703" s="136">
        <f>IF($F703="","",IFERROR(INDEX(사건마스터!$AO$5:$AO$64,MATCH($F703,사건마스터!$A$5:$A$64,0)),""))</f>
        <v/>
      </c>
      <c r="S703" s="136">
        <f>IF($F703="","",IFERROR(INDEX(사건마스터!$AP$5:$AP$64,MATCH($F703,사건마스터!$A$5:$A$64,0)),""))</f>
        <v/>
      </c>
      <c r="T703" s="136">
        <f>IF($F703="","",IFERROR(INDEX(사건마스터!$AQ$5:$AQ$64,MATCH($F703,사건마스터!$A$5:$A$64,0)),""))</f>
        <v/>
      </c>
      <c r="U703" s="136">
        <f>IF($F703="","",IFERROR(INDEX(사건마스터!$AR$5:$AR$64,MATCH($F703,사건마스터!$A$5:$A$64,0)),""))</f>
        <v/>
      </c>
      <c r="V703" s="136">
        <f>IF($F703="","",IFERROR(INDEX(사건마스터!$AS$5:$AS$64,MATCH($F703,사건마스터!$A$5:$A$64,0)),""))</f>
        <v/>
      </c>
      <c r="W703" s="136">
        <f>IF($F703="","",IFERROR(INDEX(사건마스터!$AT$5:$AT$64,MATCH($F703,사건마스터!$A$5:$A$64,0)),""))</f>
        <v/>
      </c>
      <c r="X703" s="136">
        <f>IF($F703="","",IFERROR(INDEX(사건마스터!$AU$5:$AU$64,MATCH($F703,사건마스터!$A$5:$A$64,0)),""))</f>
        <v/>
      </c>
      <c r="Y703" s="136">
        <f>IF($F703="","",IFERROR(INDEX(사건마스터!$AV$5:$AV$64,MATCH($F703,사건마스터!$A$5:$A$64,0)),""))</f>
        <v/>
      </c>
      <c r="Z703" s="118">
        <f>IF(COUNTBLANK($J703:$Y703)=16,"",16-COUNTBLANK($J703:$Y703))</f>
        <v/>
      </c>
      <c r="AA703" s="33">
        <f>IF($J703="",MID($AX703,3,255),$J703&amp;$AX703)</f>
        <v/>
      </c>
      <c r="AB703" s="130">
        <f>IF($J703="","",IFERROR(INDEX(코드설정!$D$5:$D$24,MATCH($J703,코드설정!$C$5:$C$24,0)),""))</f>
        <v/>
      </c>
      <c r="AC703" s="36" t="n"/>
      <c r="AD703" s="37" t="n"/>
      <c r="AE703" s="38" t="n"/>
      <c r="AF703" s="118">
        <f>IF(OR($B703="",$C703=""),"",$C703-$B703+1)</f>
        <v/>
      </c>
      <c r="AG703" s="74" t="n"/>
      <c r="AH703" s="36" t="n"/>
      <c r="AJ703">
        <f>IF($K703="","",", "&amp;$K703)</f>
        <v/>
      </c>
      <c r="AK703">
        <f>AJ703&amp;IF($L703="","",", "&amp;$L703)</f>
        <v/>
      </c>
      <c r="AL703">
        <f>AK703&amp;IF($M703="","",", "&amp;$M703)</f>
        <v/>
      </c>
      <c r="AM703">
        <f>AL703&amp;IF($N703="","",", "&amp;$N703)</f>
        <v/>
      </c>
      <c r="AN703">
        <f>AM703&amp;IF($O703="","",", "&amp;$O703)</f>
        <v/>
      </c>
      <c r="AO703">
        <f>AN703&amp;IF($P703="","",", "&amp;$P703)</f>
        <v/>
      </c>
      <c r="AP703">
        <f>AO703&amp;IF($Q703="","",", "&amp;$Q703)</f>
        <v/>
      </c>
      <c r="AQ703">
        <f>AP703&amp;IF($R703="","",", "&amp;$R703)</f>
        <v/>
      </c>
      <c r="AR703">
        <f>AQ703&amp;IF($S703="","",", "&amp;$S703)</f>
        <v/>
      </c>
      <c r="AS703">
        <f>AR703&amp;IF($T703="","",", "&amp;$T703)</f>
        <v/>
      </c>
      <c r="AT703">
        <f>AS703&amp;IF($U703="","",", "&amp;$U703)</f>
        <v/>
      </c>
      <c r="AU703">
        <f>AT703&amp;IF($V703="","",", "&amp;$V703)</f>
        <v/>
      </c>
      <c r="AV703">
        <f>AU703&amp;IF($W703="","",", "&amp;$W703)</f>
        <v/>
      </c>
      <c r="AW703">
        <f>AV703&amp;IF($X703="","",", "&amp;$X703)</f>
        <v/>
      </c>
      <c r="AX703">
        <f>AW703&amp;IF($Y703="","",", "&amp;$Y703)</f>
        <v/>
      </c>
    </row>
    <row r="704">
      <c r="A704" s="118">
        <f>IF($B704="","",COUNT($B$5:$B704))</f>
        <v/>
      </c>
      <c r="B704" s="80" t="n"/>
      <c r="C704" s="80" t="n"/>
      <c r="D704" s="74" t="n"/>
      <c r="E704" s="74" t="n"/>
      <c r="F704" s="74" t="n"/>
      <c r="G704" s="118">
        <f>IF($F704="","",COUNTIF($F$5:$F704,$F704))</f>
        <v/>
      </c>
      <c r="H704" s="33">
        <f>IF($F704="","",IFERROR(INDEX(사건마스터!$B$5:$B$64,MATCH($F704,사건마스터!$A$5:$A$64,0)),""))</f>
        <v/>
      </c>
      <c r="I704" s="130">
        <f>IF($F704="","",IFERROR(INDEX(사건마스터!$C$5:$C$64,MATCH($F704,사건마스터!$A$5:$A$64,0)),""))</f>
        <v/>
      </c>
      <c r="J704" s="136">
        <f>IF($F704="","",IFERROR(INDEX(사건마스터!$H$5:$H$64,MATCH($F704,사건마스터!$A$5:$A$64,0)),""))</f>
        <v/>
      </c>
      <c r="K704" s="136">
        <f>IF($F704="","",IFERROR(INDEX(사건마스터!$AH$5:$AH$64,MATCH($F704,사건마스터!$A$5:$A$64,0)),""))</f>
        <v/>
      </c>
      <c r="L704" s="136">
        <f>IF($F704="","",IFERROR(INDEX(사건마스터!$AI$5:$AI$64,MATCH($F704,사건마스터!$A$5:$A$64,0)),""))</f>
        <v/>
      </c>
      <c r="M704" s="136">
        <f>IF($F704="","",IFERROR(INDEX(사건마스터!$AJ$5:$AJ$64,MATCH($F704,사건마스터!$A$5:$A$64,0)),""))</f>
        <v/>
      </c>
      <c r="N704" s="136">
        <f>IF($F704="","",IFERROR(INDEX(사건마스터!$AK$5:$AK$64,MATCH($F704,사건마스터!$A$5:$A$64,0)),""))</f>
        <v/>
      </c>
      <c r="O704" s="136">
        <f>IF($F704="","",IFERROR(INDEX(사건마스터!$AL$5:$AL$64,MATCH($F704,사건마스터!$A$5:$A$64,0)),""))</f>
        <v/>
      </c>
      <c r="P704" s="136">
        <f>IF($F704="","",IFERROR(INDEX(사건마스터!$AM$5:$AM$64,MATCH($F704,사건마스터!$A$5:$A$64,0)),""))</f>
        <v/>
      </c>
      <c r="Q704" s="136">
        <f>IF($F704="","",IFERROR(INDEX(사건마스터!$AN$5:$AN$64,MATCH($F704,사건마스터!$A$5:$A$64,0)),""))</f>
        <v/>
      </c>
      <c r="R704" s="136">
        <f>IF($F704="","",IFERROR(INDEX(사건마스터!$AO$5:$AO$64,MATCH($F704,사건마스터!$A$5:$A$64,0)),""))</f>
        <v/>
      </c>
      <c r="S704" s="136">
        <f>IF($F704="","",IFERROR(INDEX(사건마스터!$AP$5:$AP$64,MATCH($F704,사건마스터!$A$5:$A$64,0)),""))</f>
        <v/>
      </c>
      <c r="T704" s="136">
        <f>IF($F704="","",IFERROR(INDEX(사건마스터!$AQ$5:$AQ$64,MATCH($F704,사건마스터!$A$5:$A$64,0)),""))</f>
        <v/>
      </c>
      <c r="U704" s="136">
        <f>IF($F704="","",IFERROR(INDEX(사건마스터!$AR$5:$AR$64,MATCH($F704,사건마스터!$A$5:$A$64,0)),""))</f>
        <v/>
      </c>
      <c r="V704" s="136">
        <f>IF($F704="","",IFERROR(INDEX(사건마스터!$AS$5:$AS$64,MATCH($F704,사건마스터!$A$5:$A$64,0)),""))</f>
        <v/>
      </c>
      <c r="W704" s="136">
        <f>IF($F704="","",IFERROR(INDEX(사건마스터!$AT$5:$AT$64,MATCH($F704,사건마스터!$A$5:$A$64,0)),""))</f>
        <v/>
      </c>
      <c r="X704" s="136">
        <f>IF($F704="","",IFERROR(INDEX(사건마스터!$AU$5:$AU$64,MATCH($F704,사건마스터!$A$5:$A$64,0)),""))</f>
        <v/>
      </c>
      <c r="Y704" s="136">
        <f>IF($F704="","",IFERROR(INDEX(사건마스터!$AV$5:$AV$64,MATCH($F704,사건마스터!$A$5:$A$64,0)),""))</f>
        <v/>
      </c>
      <c r="Z704" s="118">
        <f>IF(COUNTBLANK($J704:$Y704)=16,"",16-COUNTBLANK($J704:$Y704))</f>
        <v/>
      </c>
      <c r="AA704" s="33">
        <f>IF($J704="",MID($AX704,3,255),$J704&amp;$AX704)</f>
        <v/>
      </c>
      <c r="AB704" s="130">
        <f>IF($J704="","",IFERROR(INDEX(코드설정!$D$5:$D$24,MATCH($J704,코드설정!$C$5:$C$24,0)),""))</f>
        <v/>
      </c>
      <c r="AC704" s="36" t="n"/>
      <c r="AD704" s="37" t="n"/>
      <c r="AE704" s="38" t="n"/>
      <c r="AF704" s="118">
        <f>IF(OR($B704="",$C704=""),"",$C704-$B704+1)</f>
        <v/>
      </c>
      <c r="AG704" s="74" t="n"/>
      <c r="AH704" s="36" t="n"/>
      <c r="AJ704">
        <f>IF($K704="","",", "&amp;$K704)</f>
        <v/>
      </c>
      <c r="AK704">
        <f>AJ704&amp;IF($L704="","",", "&amp;$L704)</f>
        <v/>
      </c>
      <c r="AL704">
        <f>AK704&amp;IF($M704="","",", "&amp;$M704)</f>
        <v/>
      </c>
      <c r="AM704">
        <f>AL704&amp;IF($N704="","",", "&amp;$N704)</f>
        <v/>
      </c>
      <c r="AN704">
        <f>AM704&amp;IF($O704="","",", "&amp;$O704)</f>
        <v/>
      </c>
      <c r="AO704">
        <f>AN704&amp;IF($P704="","",", "&amp;$P704)</f>
        <v/>
      </c>
      <c r="AP704">
        <f>AO704&amp;IF($Q704="","",", "&amp;$Q704)</f>
        <v/>
      </c>
      <c r="AQ704">
        <f>AP704&amp;IF($R704="","",", "&amp;$R704)</f>
        <v/>
      </c>
      <c r="AR704">
        <f>AQ704&amp;IF($S704="","",", "&amp;$S704)</f>
        <v/>
      </c>
      <c r="AS704">
        <f>AR704&amp;IF($T704="","",", "&amp;$T704)</f>
        <v/>
      </c>
      <c r="AT704">
        <f>AS704&amp;IF($U704="","",", "&amp;$U704)</f>
        <v/>
      </c>
      <c r="AU704">
        <f>AT704&amp;IF($V704="","",", "&amp;$V704)</f>
        <v/>
      </c>
      <c r="AV704">
        <f>AU704&amp;IF($W704="","",", "&amp;$W704)</f>
        <v/>
      </c>
      <c r="AW704">
        <f>AV704&amp;IF($X704="","",", "&amp;$X704)</f>
        <v/>
      </c>
      <c r="AX704">
        <f>AW704&amp;IF($Y704="","",", "&amp;$Y704)</f>
        <v/>
      </c>
    </row>
    <row r="705">
      <c r="A705" s="118">
        <f>IF($B705="","",COUNT($B$5:$B705))</f>
        <v/>
      </c>
      <c r="B705" s="80" t="n"/>
      <c r="C705" s="80" t="n"/>
      <c r="D705" s="74" t="n"/>
      <c r="E705" s="74" t="n"/>
      <c r="F705" s="74" t="n"/>
      <c r="G705" s="118">
        <f>IF($F705="","",COUNTIF($F$5:$F705,$F705))</f>
        <v/>
      </c>
      <c r="H705" s="33">
        <f>IF($F705="","",IFERROR(INDEX(사건마스터!$B$5:$B$64,MATCH($F705,사건마스터!$A$5:$A$64,0)),""))</f>
        <v/>
      </c>
      <c r="I705" s="130">
        <f>IF($F705="","",IFERROR(INDEX(사건마스터!$C$5:$C$64,MATCH($F705,사건마스터!$A$5:$A$64,0)),""))</f>
        <v/>
      </c>
      <c r="J705" s="136">
        <f>IF($F705="","",IFERROR(INDEX(사건마스터!$H$5:$H$64,MATCH($F705,사건마스터!$A$5:$A$64,0)),""))</f>
        <v/>
      </c>
      <c r="K705" s="136">
        <f>IF($F705="","",IFERROR(INDEX(사건마스터!$AH$5:$AH$64,MATCH($F705,사건마스터!$A$5:$A$64,0)),""))</f>
        <v/>
      </c>
      <c r="L705" s="136">
        <f>IF($F705="","",IFERROR(INDEX(사건마스터!$AI$5:$AI$64,MATCH($F705,사건마스터!$A$5:$A$64,0)),""))</f>
        <v/>
      </c>
      <c r="M705" s="136">
        <f>IF($F705="","",IFERROR(INDEX(사건마스터!$AJ$5:$AJ$64,MATCH($F705,사건마스터!$A$5:$A$64,0)),""))</f>
        <v/>
      </c>
      <c r="N705" s="136">
        <f>IF($F705="","",IFERROR(INDEX(사건마스터!$AK$5:$AK$64,MATCH($F705,사건마스터!$A$5:$A$64,0)),""))</f>
        <v/>
      </c>
      <c r="O705" s="136">
        <f>IF($F705="","",IFERROR(INDEX(사건마스터!$AL$5:$AL$64,MATCH($F705,사건마스터!$A$5:$A$64,0)),""))</f>
        <v/>
      </c>
      <c r="P705" s="136">
        <f>IF($F705="","",IFERROR(INDEX(사건마스터!$AM$5:$AM$64,MATCH($F705,사건마스터!$A$5:$A$64,0)),""))</f>
        <v/>
      </c>
      <c r="Q705" s="136">
        <f>IF($F705="","",IFERROR(INDEX(사건마스터!$AN$5:$AN$64,MATCH($F705,사건마스터!$A$5:$A$64,0)),""))</f>
        <v/>
      </c>
      <c r="R705" s="136">
        <f>IF($F705="","",IFERROR(INDEX(사건마스터!$AO$5:$AO$64,MATCH($F705,사건마스터!$A$5:$A$64,0)),""))</f>
        <v/>
      </c>
      <c r="S705" s="136">
        <f>IF($F705="","",IFERROR(INDEX(사건마스터!$AP$5:$AP$64,MATCH($F705,사건마스터!$A$5:$A$64,0)),""))</f>
        <v/>
      </c>
      <c r="T705" s="136">
        <f>IF($F705="","",IFERROR(INDEX(사건마스터!$AQ$5:$AQ$64,MATCH($F705,사건마스터!$A$5:$A$64,0)),""))</f>
        <v/>
      </c>
      <c r="U705" s="136">
        <f>IF($F705="","",IFERROR(INDEX(사건마스터!$AR$5:$AR$64,MATCH($F705,사건마스터!$A$5:$A$64,0)),""))</f>
        <v/>
      </c>
      <c r="V705" s="136">
        <f>IF($F705="","",IFERROR(INDEX(사건마스터!$AS$5:$AS$64,MATCH($F705,사건마스터!$A$5:$A$64,0)),""))</f>
        <v/>
      </c>
      <c r="W705" s="136">
        <f>IF($F705="","",IFERROR(INDEX(사건마스터!$AT$5:$AT$64,MATCH($F705,사건마스터!$A$5:$A$64,0)),""))</f>
        <v/>
      </c>
      <c r="X705" s="136">
        <f>IF($F705="","",IFERROR(INDEX(사건마스터!$AU$5:$AU$64,MATCH($F705,사건마스터!$A$5:$A$64,0)),""))</f>
        <v/>
      </c>
      <c r="Y705" s="136">
        <f>IF($F705="","",IFERROR(INDEX(사건마스터!$AV$5:$AV$64,MATCH($F705,사건마스터!$A$5:$A$64,0)),""))</f>
        <v/>
      </c>
      <c r="Z705" s="118">
        <f>IF(COUNTBLANK($J705:$Y705)=16,"",16-COUNTBLANK($J705:$Y705))</f>
        <v/>
      </c>
      <c r="AA705" s="33">
        <f>IF($J705="",MID($AX705,3,255),$J705&amp;$AX705)</f>
        <v/>
      </c>
      <c r="AB705" s="130">
        <f>IF($J705="","",IFERROR(INDEX(코드설정!$D$5:$D$24,MATCH($J705,코드설정!$C$5:$C$24,0)),""))</f>
        <v/>
      </c>
      <c r="AC705" s="36" t="n"/>
      <c r="AD705" s="37" t="n"/>
      <c r="AE705" s="38" t="n"/>
      <c r="AF705" s="118">
        <f>IF(OR($B705="",$C705=""),"",$C705-$B705+1)</f>
        <v/>
      </c>
      <c r="AG705" s="74" t="n"/>
      <c r="AH705" s="36" t="n"/>
      <c r="AJ705">
        <f>IF($K705="","",", "&amp;$K705)</f>
        <v/>
      </c>
      <c r="AK705">
        <f>AJ705&amp;IF($L705="","",", "&amp;$L705)</f>
        <v/>
      </c>
      <c r="AL705">
        <f>AK705&amp;IF($M705="","",", "&amp;$M705)</f>
        <v/>
      </c>
      <c r="AM705">
        <f>AL705&amp;IF($N705="","",", "&amp;$N705)</f>
        <v/>
      </c>
      <c r="AN705">
        <f>AM705&amp;IF($O705="","",", "&amp;$O705)</f>
        <v/>
      </c>
      <c r="AO705">
        <f>AN705&amp;IF($P705="","",", "&amp;$P705)</f>
        <v/>
      </c>
      <c r="AP705">
        <f>AO705&amp;IF($Q705="","",", "&amp;$Q705)</f>
        <v/>
      </c>
      <c r="AQ705">
        <f>AP705&amp;IF($R705="","",", "&amp;$R705)</f>
        <v/>
      </c>
      <c r="AR705">
        <f>AQ705&amp;IF($S705="","",", "&amp;$S705)</f>
        <v/>
      </c>
      <c r="AS705">
        <f>AR705&amp;IF($T705="","",", "&amp;$T705)</f>
        <v/>
      </c>
      <c r="AT705">
        <f>AS705&amp;IF($U705="","",", "&amp;$U705)</f>
        <v/>
      </c>
      <c r="AU705">
        <f>AT705&amp;IF($V705="","",", "&amp;$V705)</f>
        <v/>
      </c>
      <c r="AV705">
        <f>AU705&amp;IF($W705="","",", "&amp;$W705)</f>
        <v/>
      </c>
      <c r="AW705">
        <f>AV705&amp;IF($X705="","",", "&amp;$X705)</f>
        <v/>
      </c>
      <c r="AX705">
        <f>AW705&amp;IF($Y705="","",", "&amp;$Y705)</f>
        <v/>
      </c>
    </row>
    <row r="706">
      <c r="A706" s="118">
        <f>IF($B706="","",COUNT($B$5:$B706))</f>
        <v/>
      </c>
      <c r="B706" s="80" t="n"/>
      <c r="C706" s="80" t="n"/>
      <c r="D706" s="74" t="n"/>
      <c r="E706" s="74" t="n"/>
      <c r="F706" s="74" t="n"/>
      <c r="G706" s="118">
        <f>IF($F706="","",COUNTIF($F$5:$F706,$F706))</f>
        <v/>
      </c>
      <c r="H706" s="33">
        <f>IF($F706="","",IFERROR(INDEX(사건마스터!$B$5:$B$64,MATCH($F706,사건마스터!$A$5:$A$64,0)),""))</f>
        <v/>
      </c>
      <c r="I706" s="130">
        <f>IF($F706="","",IFERROR(INDEX(사건마스터!$C$5:$C$64,MATCH($F706,사건마스터!$A$5:$A$64,0)),""))</f>
        <v/>
      </c>
      <c r="J706" s="136">
        <f>IF($F706="","",IFERROR(INDEX(사건마스터!$H$5:$H$64,MATCH($F706,사건마스터!$A$5:$A$64,0)),""))</f>
        <v/>
      </c>
      <c r="K706" s="136">
        <f>IF($F706="","",IFERROR(INDEX(사건마스터!$AH$5:$AH$64,MATCH($F706,사건마스터!$A$5:$A$64,0)),""))</f>
        <v/>
      </c>
      <c r="L706" s="136">
        <f>IF($F706="","",IFERROR(INDEX(사건마스터!$AI$5:$AI$64,MATCH($F706,사건마스터!$A$5:$A$64,0)),""))</f>
        <v/>
      </c>
      <c r="M706" s="136">
        <f>IF($F706="","",IFERROR(INDEX(사건마스터!$AJ$5:$AJ$64,MATCH($F706,사건마스터!$A$5:$A$64,0)),""))</f>
        <v/>
      </c>
      <c r="N706" s="136">
        <f>IF($F706="","",IFERROR(INDEX(사건마스터!$AK$5:$AK$64,MATCH($F706,사건마스터!$A$5:$A$64,0)),""))</f>
        <v/>
      </c>
      <c r="O706" s="136">
        <f>IF($F706="","",IFERROR(INDEX(사건마스터!$AL$5:$AL$64,MATCH($F706,사건마스터!$A$5:$A$64,0)),""))</f>
        <v/>
      </c>
      <c r="P706" s="136">
        <f>IF($F706="","",IFERROR(INDEX(사건마스터!$AM$5:$AM$64,MATCH($F706,사건마스터!$A$5:$A$64,0)),""))</f>
        <v/>
      </c>
      <c r="Q706" s="136">
        <f>IF($F706="","",IFERROR(INDEX(사건마스터!$AN$5:$AN$64,MATCH($F706,사건마스터!$A$5:$A$64,0)),""))</f>
        <v/>
      </c>
      <c r="R706" s="136">
        <f>IF($F706="","",IFERROR(INDEX(사건마스터!$AO$5:$AO$64,MATCH($F706,사건마스터!$A$5:$A$64,0)),""))</f>
        <v/>
      </c>
      <c r="S706" s="136">
        <f>IF($F706="","",IFERROR(INDEX(사건마스터!$AP$5:$AP$64,MATCH($F706,사건마스터!$A$5:$A$64,0)),""))</f>
        <v/>
      </c>
      <c r="T706" s="136">
        <f>IF($F706="","",IFERROR(INDEX(사건마스터!$AQ$5:$AQ$64,MATCH($F706,사건마스터!$A$5:$A$64,0)),""))</f>
        <v/>
      </c>
      <c r="U706" s="136">
        <f>IF($F706="","",IFERROR(INDEX(사건마스터!$AR$5:$AR$64,MATCH($F706,사건마스터!$A$5:$A$64,0)),""))</f>
        <v/>
      </c>
      <c r="V706" s="136">
        <f>IF($F706="","",IFERROR(INDEX(사건마스터!$AS$5:$AS$64,MATCH($F706,사건마스터!$A$5:$A$64,0)),""))</f>
        <v/>
      </c>
      <c r="W706" s="136">
        <f>IF($F706="","",IFERROR(INDEX(사건마스터!$AT$5:$AT$64,MATCH($F706,사건마스터!$A$5:$A$64,0)),""))</f>
        <v/>
      </c>
      <c r="X706" s="136">
        <f>IF($F706="","",IFERROR(INDEX(사건마스터!$AU$5:$AU$64,MATCH($F706,사건마스터!$A$5:$A$64,0)),""))</f>
        <v/>
      </c>
      <c r="Y706" s="136">
        <f>IF($F706="","",IFERROR(INDEX(사건마스터!$AV$5:$AV$64,MATCH($F706,사건마스터!$A$5:$A$64,0)),""))</f>
        <v/>
      </c>
      <c r="Z706" s="118">
        <f>IF(COUNTBLANK($J706:$Y706)=16,"",16-COUNTBLANK($J706:$Y706))</f>
        <v/>
      </c>
      <c r="AA706" s="33">
        <f>IF($J706="",MID($AX706,3,255),$J706&amp;$AX706)</f>
        <v/>
      </c>
      <c r="AB706" s="130">
        <f>IF($J706="","",IFERROR(INDEX(코드설정!$D$5:$D$24,MATCH($J706,코드설정!$C$5:$C$24,0)),""))</f>
        <v/>
      </c>
      <c r="AC706" s="36" t="n"/>
      <c r="AD706" s="37" t="n"/>
      <c r="AE706" s="38" t="n"/>
      <c r="AF706" s="118">
        <f>IF(OR($B706="",$C706=""),"",$C706-$B706+1)</f>
        <v/>
      </c>
      <c r="AG706" s="74" t="n"/>
      <c r="AH706" s="36" t="n"/>
      <c r="AJ706">
        <f>IF($K706="","",", "&amp;$K706)</f>
        <v/>
      </c>
      <c r="AK706">
        <f>AJ706&amp;IF($L706="","",", "&amp;$L706)</f>
        <v/>
      </c>
      <c r="AL706">
        <f>AK706&amp;IF($M706="","",", "&amp;$M706)</f>
        <v/>
      </c>
      <c r="AM706">
        <f>AL706&amp;IF($N706="","",", "&amp;$N706)</f>
        <v/>
      </c>
      <c r="AN706">
        <f>AM706&amp;IF($O706="","",", "&amp;$O706)</f>
        <v/>
      </c>
      <c r="AO706">
        <f>AN706&amp;IF($P706="","",", "&amp;$P706)</f>
        <v/>
      </c>
      <c r="AP706">
        <f>AO706&amp;IF($Q706="","",", "&amp;$Q706)</f>
        <v/>
      </c>
      <c r="AQ706">
        <f>AP706&amp;IF($R706="","",", "&amp;$R706)</f>
        <v/>
      </c>
      <c r="AR706">
        <f>AQ706&amp;IF($S706="","",", "&amp;$S706)</f>
        <v/>
      </c>
      <c r="AS706">
        <f>AR706&amp;IF($T706="","",", "&amp;$T706)</f>
        <v/>
      </c>
      <c r="AT706">
        <f>AS706&amp;IF($U706="","",", "&amp;$U706)</f>
        <v/>
      </c>
      <c r="AU706">
        <f>AT706&amp;IF($V706="","",", "&amp;$V706)</f>
        <v/>
      </c>
      <c r="AV706">
        <f>AU706&amp;IF($W706="","",", "&amp;$W706)</f>
        <v/>
      </c>
      <c r="AW706">
        <f>AV706&amp;IF($X706="","",", "&amp;$X706)</f>
        <v/>
      </c>
      <c r="AX706">
        <f>AW706&amp;IF($Y706="","",", "&amp;$Y706)</f>
        <v/>
      </c>
    </row>
    <row r="707">
      <c r="A707" s="118">
        <f>IF($B707="","",COUNT($B$5:$B707))</f>
        <v/>
      </c>
      <c r="B707" s="80" t="n"/>
      <c r="C707" s="80" t="n"/>
      <c r="D707" s="74" t="n"/>
      <c r="E707" s="74" t="n"/>
      <c r="F707" s="74" t="n"/>
      <c r="G707" s="118">
        <f>IF($F707="","",COUNTIF($F$5:$F707,$F707))</f>
        <v/>
      </c>
      <c r="H707" s="33">
        <f>IF($F707="","",IFERROR(INDEX(사건마스터!$B$5:$B$64,MATCH($F707,사건마스터!$A$5:$A$64,0)),""))</f>
        <v/>
      </c>
      <c r="I707" s="130">
        <f>IF($F707="","",IFERROR(INDEX(사건마스터!$C$5:$C$64,MATCH($F707,사건마스터!$A$5:$A$64,0)),""))</f>
        <v/>
      </c>
      <c r="J707" s="136">
        <f>IF($F707="","",IFERROR(INDEX(사건마스터!$H$5:$H$64,MATCH($F707,사건마스터!$A$5:$A$64,0)),""))</f>
        <v/>
      </c>
      <c r="K707" s="136">
        <f>IF($F707="","",IFERROR(INDEX(사건마스터!$AH$5:$AH$64,MATCH($F707,사건마스터!$A$5:$A$64,0)),""))</f>
        <v/>
      </c>
      <c r="L707" s="136">
        <f>IF($F707="","",IFERROR(INDEX(사건마스터!$AI$5:$AI$64,MATCH($F707,사건마스터!$A$5:$A$64,0)),""))</f>
        <v/>
      </c>
      <c r="M707" s="136">
        <f>IF($F707="","",IFERROR(INDEX(사건마스터!$AJ$5:$AJ$64,MATCH($F707,사건마스터!$A$5:$A$64,0)),""))</f>
        <v/>
      </c>
      <c r="N707" s="136">
        <f>IF($F707="","",IFERROR(INDEX(사건마스터!$AK$5:$AK$64,MATCH($F707,사건마스터!$A$5:$A$64,0)),""))</f>
        <v/>
      </c>
      <c r="O707" s="136">
        <f>IF($F707="","",IFERROR(INDEX(사건마스터!$AL$5:$AL$64,MATCH($F707,사건마스터!$A$5:$A$64,0)),""))</f>
        <v/>
      </c>
      <c r="P707" s="136">
        <f>IF($F707="","",IFERROR(INDEX(사건마스터!$AM$5:$AM$64,MATCH($F707,사건마스터!$A$5:$A$64,0)),""))</f>
        <v/>
      </c>
      <c r="Q707" s="136">
        <f>IF($F707="","",IFERROR(INDEX(사건마스터!$AN$5:$AN$64,MATCH($F707,사건마스터!$A$5:$A$64,0)),""))</f>
        <v/>
      </c>
      <c r="R707" s="136">
        <f>IF($F707="","",IFERROR(INDEX(사건마스터!$AO$5:$AO$64,MATCH($F707,사건마스터!$A$5:$A$64,0)),""))</f>
        <v/>
      </c>
      <c r="S707" s="136">
        <f>IF($F707="","",IFERROR(INDEX(사건마스터!$AP$5:$AP$64,MATCH($F707,사건마스터!$A$5:$A$64,0)),""))</f>
        <v/>
      </c>
      <c r="T707" s="136">
        <f>IF($F707="","",IFERROR(INDEX(사건마스터!$AQ$5:$AQ$64,MATCH($F707,사건마스터!$A$5:$A$64,0)),""))</f>
        <v/>
      </c>
      <c r="U707" s="136">
        <f>IF($F707="","",IFERROR(INDEX(사건마스터!$AR$5:$AR$64,MATCH($F707,사건마스터!$A$5:$A$64,0)),""))</f>
        <v/>
      </c>
      <c r="V707" s="136">
        <f>IF($F707="","",IFERROR(INDEX(사건마스터!$AS$5:$AS$64,MATCH($F707,사건마스터!$A$5:$A$64,0)),""))</f>
        <v/>
      </c>
      <c r="W707" s="136">
        <f>IF($F707="","",IFERROR(INDEX(사건마스터!$AT$5:$AT$64,MATCH($F707,사건마스터!$A$5:$A$64,0)),""))</f>
        <v/>
      </c>
      <c r="X707" s="136">
        <f>IF($F707="","",IFERROR(INDEX(사건마스터!$AU$5:$AU$64,MATCH($F707,사건마스터!$A$5:$A$64,0)),""))</f>
        <v/>
      </c>
      <c r="Y707" s="136">
        <f>IF($F707="","",IFERROR(INDEX(사건마스터!$AV$5:$AV$64,MATCH($F707,사건마스터!$A$5:$A$64,0)),""))</f>
        <v/>
      </c>
      <c r="Z707" s="118">
        <f>IF(COUNTBLANK($J707:$Y707)=16,"",16-COUNTBLANK($J707:$Y707))</f>
        <v/>
      </c>
      <c r="AA707" s="33">
        <f>IF($J707="",MID($AX707,3,255),$J707&amp;$AX707)</f>
        <v/>
      </c>
      <c r="AB707" s="130">
        <f>IF($J707="","",IFERROR(INDEX(코드설정!$D$5:$D$24,MATCH($J707,코드설정!$C$5:$C$24,0)),""))</f>
        <v/>
      </c>
      <c r="AC707" s="36" t="n"/>
      <c r="AD707" s="37" t="n"/>
      <c r="AE707" s="38" t="n"/>
      <c r="AF707" s="118">
        <f>IF(OR($B707="",$C707=""),"",$C707-$B707+1)</f>
        <v/>
      </c>
      <c r="AG707" s="74" t="n"/>
      <c r="AH707" s="36" t="n"/>
      <c r="AJ707">
        <f>IF($K707="","",", "&amp;$K707)</f>
        <v/>
      </c>
      <c r="AK707">
        <f>AJ707&amp;IF($L707="","",", "&amp;$L707)</f>
        <v/>
      </c>
      <c r="AL707">
        <f>AK707&amp;IF($M707="","",", "&amp;$M707)</f>
        <v/>
      </c>
      <c r="AM707">
        <f>AL707&amp;IF($N707="","",", "&amp;$N707)</f>
        <v/>
      </c>
      <c r="AN707">
        <f>AM707&amp;IF($O707="","",", "&amp;$O707)</f>
        <v/>
      </c>
      <c r="AO707">
        <f>AN707&amp;IF($P707="","",", "&amp;$P707)</f>
        <v/>
      </c>
      <c r="AP707">
        <f>AO707&amp;IF($Q707="","",", "&amp;$Q707)</f>
        <v/>
      </c>
      <c r="AQ707">
        <f>AP707&amp;IF($R707="","",", "&amp;$R707)</f>
        <v/>
      </c>
      <c r="AR707">
        <f>AQ707&amp;IF($S707="","",", "&amp;$S707)</f>
        <v/>
      </c>
      <c r="AS707">
        <f>AR707&amp;IF($T707="","",", "&amp;$T707)</f>
        <v/>
      </c>
      <c r="AT707">
        <f>AS707&amp;IF($U707="","",", "&amp;$U707)</f>
        <v/>
      </c>
      <c r="AU707">
        <f>AT707&amp;IF($V707="","",", "&amp;$V707)</f>
        <v/>
      </c>
      <c r="AV707">
        <f>AU707&amp;IF($W707="","",", "&amp;$W707)</f>
        <v/>
      </c>
      <c r="AW707">
        <f>AV707&amp;IF($X707="","",", "&amp;$X707)</f>
        <v/>
      </c>
      <c r="AX707">
        <f>AW707&amp;IF($Y707="","",", "&amp;$Y707)</f>
        <v/>
      </c>
    </row>
    <row r="708">
      <c r="A708" s="118">
        <f>IF($B708="","",COUNT($B$5:$B708))</f>
        <v/>
      </c>
      <c r="B708" s="80" t="n"/>
      <c r="C708" s="80" t="n"/>
      <c r="D708" s="74" t="n"/>
      <c r="E708" s="74" t="n"/>
      <c r="F708" s="74" t="n"/>
      <c r="G708" s="118">
        <f>IF($F708="","",COUNTIF($F$5:$F708,$F708))</f>
        <v/>
      </c>
      <c r="H708" s="33">
        <f>IF($F708="","",IFERROR(INDEX(사건마스터!$B$5:$B$64,MATCH($F708,사건마스터!$A$5:$A$64,0)),""))</f>
        <v/>
      </c>
      <c r="I708" s="130">
        <f>IF($F708="","",IFERROR(INDEX(사건마스터!$C$5:$C$64,MATCH($F708,사건마스터!$A$5:$A$64,0)),""))</f>
        <v/>
      </c>
      <c r="J708" s="136">
        <f>IF($F708="","",IFERROR(INDEX(사건마스터!$H$5:$H$64,MATCH($F708,사건마스터!$A$5:$A$64,0)),""))</f>
        <v/>
      </c>
      <c r="K708" s="136">
        <f>IF($F708="","",IFERROR(INDEX(사건마스터!$AH$5:$AH$64,MATCH($F708,사건마스터!$A$5:$A$64,0)),""))</f>
        <v/>
      </c>
      <c r="L708" s="136">
        <f>IF($F708="","",IFERROR(INDEX(사건마스터!$AI$5:$AI$64,MATCH($F708,사건마스터!$A$5:$A$64,0)),""))</f>
        <v/>
      </c>
      <c r="M708" s="136">
        <f>IF($F708="","",IFERROR(INDEX(사건마스터!$AJ$5:$AJ$64,MATCH($F708,사건마스터!$A$5:$A$64,0)),""))</f>
        <v/>
      </c>
      <c r="N708" s="136">
        <f>IF($F708="","",IFERROR(INDEX(사건마스터!$AK$5:$AK$64,MATCH($F708,사건마스터!$A$5:$A$64,0)),""))</f>
        <v/>
      </c>
      <c r="O708" s="136">
        <f>IF($F708="","",IFERROR(INDEX(사건마스터!$AL$5:$AL$64,MATCH($F708,사건마스터!$A$5:$A$64,0)),""))</f>
        <v/>
      </c>
      <c r="P708" s="136">
        <f>IF($F708="","",IFERROR(INDEX(사건마스터!$AM$5:$AM$64,MATCH($F708,사건마스터!$A$5:$A$64,0)),""))</f>
        <v/>
      </c>
      <c r="Q708" s="136">
        <f>IF($F708="","",IFERROR(INDEX(사건마스터!$AN$5:$AN$64,MATCH($F708,사건마스터!$A$5:$A$64,0)),""))</f>
        <v/>
      </c>
      <c r="R708" s="136">
        <f>IF($F708="","",IFERROR(INDEX(사건마스터!$AO$5:$AO$64,MATCH($F708,사건마스터!$A$5:$A$64,0)),""))</f>
        <v/>
      </c>
      <c r="S708" s="136">
        <f>IF($F708="","",IFERROR(INDEX(사건마스터!$AP$5:$AP$64,MATCH($F708,사건마스터!$A$5:$A$64,0)),""))</f>
        <v/>
      </c>
      <c r="T708" s="136">
        <f>IF($F708="","",IFERROR(INDEX(사건마스터!$AQ$5:$AQ$64,MATCH($F708,사건마스터!$A$5:$A$64,0)),""))</f>
        <v/>
      </c>
      <c r="U708" s="136">
        <f>IF($F708="","",IFERROR(INDEX(사건마스터!$AR$5:$AR$64,MATCH($F708,사건마스터!$A$5:$A$64,0)),""))</f>
        <v/>
      </c>
      <c r="V708" s="136">
        <f>IF($F708="","",IFERROR(INDEX(사건마스터!$AS$5:$AS$64,MATCH($F708,사건마스터!$A$5:$A$64,0)),""))</f>
        <v/>
      </c>
      <c r="W708" s="136">
        <f>IF($F708="","",IFERROR(INDEX(사건마스터!$AT$5:$AT$64,MATCH($F708,사건마스터!$A$5:$A$64,0)),""))</f>
        <v/>
      </c>
      <c r="X708" s="136">
        <f>IF($F708="","",IFERROR(INDEX(사건마스터!$AU$5:$AU$64,MATCH($F708,사건마스터!$A$5:$A$64,0)),""))</f>
        <v/>
      </c>
      <c r="Y708" s="136">
        <f>IF($F708="","",IFERROR(INDEX(사건마스터!$AV$5:$AV$64,MATCH($F708,사건마스터!$A$5:$A$64,0)),""))</f>
        <v/>
      </c>
      <c r="Z708" s="118">
        <f>IF(COUNTBLANK($J708:$Y708)=16,"",16-COUNTBLANK($J708:$Y708))</f>
        <v/>
      </c>
      <c r="AA708" s="33">
        <f>IF($J708="",MID($AX708,3,255),$J708&amp;$AX708)</f>
        <v/>
      </c>
      <c r="AB708" s="130">
        <f>IF($J708="","",IFERROR(INDEX(코드설정!$D$5:$D$24,MATCH($J708,코드설정!$C$5:$C$24,0)),""))</f>
        <v/>
      </c>
      <c r="AC708" s="36" t="n"/>
      <c r="AD708" s="37" t="n"/>
      <c r="AE708" s="38" t="n"/>
      <c r="AF708" s="118">
        <f>IF(OR($B708="",$C708=""),"",$C708-$B708+1)</f>
        <v/>
      </c>
      <c r="AG708" s="74" t="n"/>
      <c r="AH708" s="36" t="n"/>
      <c r="AJ708">
        <f>IF($K708="","",", "&amp;$K708)</f>
        <v/>
      </c>
      <c r="AK708">
        <f>AJ708&amp;IF($L708="","",", "&amp;$L708)</f>
        <v/>
      </c>
      <c r="AL708">
        <f>AK708&amp;IF($M708="","",", "&amp;$M708)</f>
        <v/>
      </c>
      <c r="AM708">
        <f>AL708&amp;IF($N708="","",", "&amp;$N708)</f>
        <v/>
      </c>
      <c r="AN708">
        <f>AM708&amp;IF($O708="","",", "&amp;$O708)</f>
        <v/>
      </c>
      <c r="AO708">
        <f>AN708&amp;IF($P708="","",", "&amp;$P708)</f>
        <v/>
      </c>
      <c r="AP708">
        <f>AO708&amp;IF($Q708="","",", "&amp;$Q708)</f>
        <v/>
      </c>
      <c r="AQ708">
        <f>AP708&amp;IF($R708="","",", "&amp;$R708)</f>
        <v/>
      </c>
      <c r="AR708">
        <f>AQ708&amp;IF($S708="","",", "&amp;$S708)</f>
        <v/>
      </c>
      <c r="AS708">
        <f>AR708&amp;IF($T708="","",", "&amp;$T708)</f>
        <v/>
      </c>
      <c r="AT708">
        <f>AS708&amp;IF($U708="","",", "&amp;$U708)</f>
        <v/>
      </c>
      <c r="AU708">
        <f>AT708&amp;IF($V708="","",", "&amp;$V708)</f>
        <v/>
      </c>
      <c r="AV708">
        <f>AU708&amp;IF($W708="","",", "&amp;$W708)</f>
        <v/>
      </c>
      <c r="AW708">
        <f>AV708&amp;IF($X708="","",", "&amp;$X708)</f>
        <v/>
      </c>
      <c r="AX708">
        <f>AW708&amp;IF($Y708="","",", "&amp;$Y708)</f>
        <v/>
      </c>
    </row>
    <row r="709">
      <c r="A709" s="118">
        <f>IF($B709="","",COUNT($B$5:$B709))</f>
        <v/>
      </c>
      <c r="B709" s="80" t="n"/>
      <c r="C709" s="80" t="n"/>
      <c r="D709" s="74" t="n"/>
      <c r="E709" s="74" t="n"/>
      <c r="F709" s="74" t="n"/>
      <c r="G709" s="118">
        <f>IF($F709="","",COUNTIF($F$5:$F709,$F709))</f>
        <v/>
      </c>
      <c r="H709" s="33">
        <f>IF($F709="","",IFERROR(INDEX(사건마스터!$B$5:$B$64,MATCH($F709,사건마스터!$A$5:$A$64,0)),""))</f>
        <v/>
      </c>
      <c r="I709" s="130">
        <f>IF($F709="","",IFERROR(INDEX(사건마스터!$C$5:$C$64,MATCH($F709,사건마스터!$A$5:$A$64,0)),""))</f>
        <v/>
      </c>
      <c r="J709" s="136">
        <f>IF($F709="","",IFERROR(INDEX(사건마스터!$H$5:$H$64,MATCH($F709,사건마스터!$A$5:$A$64,0)),""))</f>
        <v/>
      </c>
      <c r="K709" s="136">
        <f>IF($F709="","",IFERROR(INDEX(사건마스터!$AH$5:$AH$64,MATCH($F709,사건마스터!$A$5:$A$64,0)),""))</f>
        <v/>
      </c>
      <c r="L709" s="136">
        <f>IF($F709="","",IFERROR(INDEX(사건마스터!$AI$5:$AI$64,MATCH($F709,사건마스터!$A$5:$A$64,0)),""))</f>
        <v/>
      </c>
      <c r="M709" s="136">
        <f>IF($F709="","",IFERROR(INDEX(사건마스터!$AJ$5:$AJ$64,MATCH($F709,사건마스터!$A$5:$A$64,0)),""))</f>
        <v/>
      </c>
      <c r="N709" s="136">
        <f>IF($F709="","",IFERROR(INDEX(사건마스터!$AK$5:$AK$64,MATCH($F709,사건마스터!$A$5:$A$64,0)),""))</f>
        <v/>
      </c>
      <c r="O709" s="136">
        <f>IF($F709="","",IFERROR(INDEX(사건마스터!$AL$5:$AL$64,MATCH($F709,사건마스터!$A$5:$A$64,0)),""))</f>
        <v/>
      </c>
      <c r="P709" s="136">
        <f>IF($F709="","",IFERROR(INDEX(사건마스터!$AM$5:$AM$64,MATCH($F709,사건마스터!$A$5:$A$64,0)),""))</f>
        <v/>
      </c>
      <c r="Q709" s="136">
        <f>IF($F709="","",IFERROR(INDEX(사건마스터!$AN$5:$AN$64,MATCH($F709,사건마스터!$A$5:$A$64,0)),""))</f>
        <v/>
      </c>
      <c r="R709" s="136">
        <f>IF($F709="","",IFERROR(INDEX(사건마스터!$AO$5:$AO$64,MATCH($F709,사건마스터!$A$5:$A$64,0)),""))</f>
        <v/>
      </c>
      <c r="S709" s="136">
        <f>IF($F709="","",IFERROR(INDEX(사건마스터!$AP$5:$AP$64,MATCH($F709,사건마스터!$A$5:$A$64,0)),""))</f>
        <v/>
      </c>
      <c r="T709" s="136">
        <f>IF($F709="","",IFERROR(INDEX(사건마스터!$AQ$5:$AQ$64,MATCH($F709,사건마스터!$A$5:$A$64,0)),""))</f>
        <v/>
      </c>
      <c r="U709" s="136">
        <f>IF($F709="","",IFERROR(INDEX(사건마스터!$AR$5:$AR$64,MATCH($F709,사건마스터!$A$5:$A$64,0)),""))</f>
        <v/>
      </c>
      <c r="V709" s="136">
        <f>IF($F709="","",IFERROR(INDEX(사건마스터!$AS$5:$AS$64,MATCH($F709,사건마스터!$A$5:$A$64,0)),""))</f>
        <v/>
      </c>
      <c r="W709" s="136">
        <f>IF($F709="","",IFERROR(INDEX(사건마스터!$AT$5:$AT$64,MATCH($F709,사건마스터!$A$5:$A$64,0)),""))</f>
        <v/>
      </c>
      <c r="X709" s="136">
        <f>IF($F709="","",IFERROR(INDEX(사건마스터!$AU$5:$AU$64,MATCH($F709,사건마스터!$A$5:$A$64,0)),""))</f>
        <v/>
      </c>
      <c r="Y709" s="136">
        <f>IF($F709="","",IFERROR(INDEX(사건마스터!$AV$5:$AV$64,MATCH($F709,사건마스터!$A$5:$A$64,0)),""))</f>
        <v/>
      </c>
      <c r="Z709" s="118">
        <f>IF(COUNTBLANK($J709:$Y709)=16,"",16-COUNTBLANK($J709:$Y709))</f>
        <v/>
      </c>
      <c r="AA709" s="33">
        <f>IF($J709="",MID($AX709,3,255),$J709&amp;$AX709)</f>
        <v/>
      </c>
      <c r="AB709" s="130">
        <f>IF($J709="","",IFERROR(INDEX(코드설정!$D$5:$D$24,MATCH($J709,코드설정!$C$5:$C$24,0)),""))</f>
        <v/>
      </c>
      <c r="AC709" s="36" t="n"/>
      <c r="AD709" s="37" t="n"/>
      <c r="AE709" s="38" t="n"/>
      <c r="AF709" s="118">
        <f>IF(OR($B709="",$C709=""),"",$C709-$B709+1)</f>
        <v/>
      </c>
      <c r="AG709" s="74" t="n"/>
      <c r="AH709" s="36" t="n"/>
      <c r="AJ709">
        <f>IF($K709="","",", "&amp;$K709)</f>
        <v/>
      </c>
      <c r="AK709">
        <f>AJ709&amp;IF($L709="","",", "&amp;$L709)</f>
        <v/>
      </c>
      <c r="AL709">
        <f>AK709&amp;IF($M709="","",", "&amp;$M709)</f>
        <v/>
      </c>
      <c r="AM709">
        <f>AL709&amp;IF($N709="","",", "&amp;$N709)</f>
        <v/>
      </c>
      <c r="AN709">
        <f>AM709&amp;IF($O709="","",", "&amp;$O709)</f>
        <v/>
      </c>
      <c r="AO709">
        <f>AN709&amp;IF($P709="","",", "&amp;$P709)</f>
        <v/>
      </c>
      <c r="AP709">
        <f>AO709&amp;IF($Q709="","",", "&amp;$Q709)</f>
        <v/>
      </c>
      <c r="AQ709">
        <f>AP709&amp;IF($R709="","",", "&amp;$R709)</f>
        <v/>
      </c>
      <c r="AR709">
        <f>AQ709&amp;IF($S709="","",", "&amp;$S709)</f>
        <v/>
      </c>
      <c r="AS709">
        <f>AR709&amp;IF($T709="","",", "&amp;$T709)</f>
        <v/>
      </c>
      <c r="AT709">
        <f>AS709&amp;IF($U709="","",", "&amp;$U709)</f>
        <v/>
      </c>
      <c r="AU709">
        <f>AT709&amp;IF($V709="","",", "&amp;$V709)</f>
        <v/>
      </c>
      <c r="AV709">
        <f>AU709&amp;IF($W709="","",", "&amp;$W709)</f>
        <v/>
      </c>
      <c r="AW709">
        <f>AV709&amp;IF($X709="","",", "&amp;$X709)</f>
        <v/>
      </c>
      <c r="AX709">
        <f>AW709&amp;IF($Y709="","",", "&amp;$Y709)</f>
        <v/>
      </c>
    </row>
    <row r="710">
      <c r="A710" s="118">
        <f>IF($B710="","",COUNT($B$5:$B710))</f>
        <v/>
      </c>
      <c r="B710" s="80" t="n"/>
      <c r="C710" s="80" t="n"/>
      <c r="D710" s="74" t="n"/>
      <c r="E710" s="74" t="n"/>
      <c r="F710" s="74" t="n"/>
      <c r="G710" s="118">
        <f>IF($F710="","",COUNTIF($F$5:$F710,$F710))</f>
        <v/>
      </c>
      <c r="H710" s="33">
        <f>IF($F710="","",IFERROR(INDEX(사건마스터!$B$5:$B$64,MATCH($F710,사건마스터!$A$5:$A$64,0)),""))</f>
        <v/>
      </c>
      <c r="I710" s="130">
        <f>IF($F710="","",IFERROR(INDEX(사건마스터!$C$5:$C$64,MATCH($F710,사건마스터!$A$5:$A$64,0)),""))</f>
        <v/>
      </c>
      <c r="J710" s="136">
        <f>IF($F710="","",IFERROR(INDEX(사건마스터!$H$5:$H$64,MATCH($F710,사건마스터!$A$5:$A$64,0)),""))</f>
        <v/>
      </c>
      <c r="K710" s="136">
        <f>IF($F710="","",IFERROR(INDEX(사건마스터!$AH$5:$AH$64,MATCH($F710,사건마스터!$A$5:$A$64,0)),""))</f>
        <v/>
      </c>
      <c r="L710" s="136">
        <f>IF($F710="","",IFERROR(INDEX(사건마스터!$AI$5:$AI$64,MATCH($F710,사건마스터!$A$5:$A$64,0)),""))</f>
        <v/>
      </c>
      <c r="M710" s="136">
        <f>IF($F710="","",IFERROR(INDEX(사건마스터!$AJ$5:$AJ$64,MATCH($F710,사건마스터!$A$5:$A$64,0)),""))</f>
        <v/>
      </c>
      <c r="N710" s="136">
        <f>IF($F710="","",IFERROR(INDEX(사건마스터!$AK$5:$AK$64,MATCH($F710,사건마스터!$A$5:$A$64,0)),""))</f>
        <v/>
      </c>
      <c r="O710" s="136">
        <f>IF($F710="","",IFERROR(INDEX(사건마스터!$AL$5:$AL$64,MATCH($F710,사건마스터!$A$5:$A$64,0)),""))</f>
        <v/>
      </c>
      <c r="P710" s="136">
        <f>IF($F710="","",IFERROR(INDEX(사건마스터!$AM$5:$AM$64,MATCH($F710,사건마스터!$A$5:$A$64,0)),""))</f>
        <v/>
      </c>
      <c r="Q710" s="136">
        <f>IF($F710="","",IFERROR(INDEX(사건마스터!$AN$5:$AN$64,MATCH($F710,사건마스터!$A$5:$A$64,0)),""))</f>
        <v/>
      </c>
      <c r="R710" s="136">
        <f>IF($F710="","",IFERROR(INDEX(사건마스터!$AO$5:$AO$64,MATCH($F710,사건마스터!$A$5:$A$64,0)),""))</f>
        <v/>
      </c>
      <c r="S710" s="136">
        <f>IF($F710="","",IFERROR(INDEX(사건마스터!$AP$5:$AP$64,MATCH($F710,사건마스터!$A$5:$A$64,0)),""))</f>
        <v/>
      </c>
      <c r="T710" s="136">
        <f>IF($F710="","",IFERROR(INDEX(사건마스터!$AQ$5:$AQ$64,MATCH($F710,사건마스터!$A$5:$A$64,0)),""))</f>
        <v/>
      </c>
      <c r="U710" s="136">
        <f>IF($F710="","",IFERROR(INDEX(사건마스터!$AR$5:$AR$64,MATCH($F710,사건마스터!$A$5:$A$64,0)),""))</f>
        <v/>
      </c>
      <c r="V710" s="136">
        <f>IF($F710="","",IFERROR(INDEX(사건마스터!$AS$5:$AS$64,MATCH($F710,사건마스터!$A$5:$A$64,0)),""))</f>
        <v/>
      </c>
      <c r="W710" s="136">
        <f>IF($F710="","",IFERROR(INDEX(사건마스터!$AT$5:$AT$64,MATCH($F710,사건마스터!$A$5:$A$64,0)),""))</f>
        <v/>
      </c>
      <c r="X710" s="136">
        <f>IF($F710="","",IFERROR(INDEX(사건마스터!$AU$5:$AU$64,MATCH($F710,사건마스터!$A$5:$A$64,0)),""))</f>
        <v/>
      </c>
      <c r="Y710" s="136">
        <f>IF($F710="","",IFERROR(INDEX(사건마스터!$AV$5:$AV$64,MATCH($F710,사건마스터!$A$5:$A$64,0)),""))</f>
        <v/>
      </c>
      <c r="Z710" s="118">
        <f>IF(COUNTBLANK($J710:$Y710)=16,"",16-COUNTBLANK($J710:$Y710))</f>
        <v/>
      </c>
      <c r="AA710" s="33">
        <f>IF($J710="",MID($AX710,3,255),$J710&amp;$AX710)</f>
        <v/>
      </c>
      <c r="AB710" s="130">
        <f>IF($J710="","",IFERROR(INDEX(코드설정!$D$5:$D$24,MATCH($J710,코드설정!$C$5:$C$24,0)),""))</f>
        <v/>
      </c>
      <c r="AC710" s="36" t="n"/>
      <c r="AD710" s="37" t="n"/>
      <c r="AE710" s="38" t="n"/>
      <c r="AF710" s="118">
        <f>IF(OR($B710="",$C710=""),"",$C710-$B710+1)</f>
        <v/>
      </c>
      <c r="AG710" s="74" t="n"/>
      <c r="AH710" s="36" t="n"/>
      <c r="AJ710">
        <f>IF($K710="","",", "&amp;$K710)</f>
        <v/>
      </c>
      <c r="AK710">
        <f>AJ710&amp;IF($L710="","",", "&amp;$L710)</f>
        <v/>
      </c>
      <c r="AL710">
        <f>AK710&amp;IF($M710="","",", "&amp;$M710)</f>
        <v/>
      </c>
      <c r="AM710">
        <f>AL710&amp;IF($N710="","",", "&amp;$N710)</f>
        <v/>
      </c>
      <c r="AN710">
        <f>AM710&amp;IF($O710="","",", "&amp;$O710)</f>
        <v/>
      </c>
      <c r="AO710">
        <f>AN710&amp;IF($P710="","",", "&amp;$P710)</f>
        <v/>
      </c>
      <c r="AP710">
        <f>AO710&amp;IF($Q710="","",", "&amp;$Q710)</f>
        <v/>
      </c>
      <c r="AQ710">
        <f>AP710&amp;IF($R710="","",", "&amp;$R710)</f>
        <v/>
      </c>
      <c r="AR710">
        <f>AQ710&amp;IF($S710="","",", "&amp;$S710)</f>
        <v/>
      </c>
      <c r="AS710">
        <f>AR710&amp;IF($T710="","",", "&amp;$T710)</f>
        <v/>
      </c>
      <c r="AT710">
        <f>AS710&amp;IF($U710="","",", "&amp;$U710)</f>
        <v/>
      </c>
      <c r="AU710">
        <f>AT710&amp;IF($V710="","",", "&amp;$V710)</f>
        <v/>
      </c>
      <c r="AV710">
        <f>AU710&amp;IF($W710="","",", "&amp;$W710)</f>
        <v/>
      </c>
      <c r="AW710">
        <f>AV710&amp;IF($X710="","",", "&amp;$X710)</f>
        <v/>
      </c>
      <c r="AX710">
        <f>AW710&amp;IF($Y710="","",", "&amp;$Y710)</f>
        <v/>
      </c>
    </row>
    <row r="711">
      <c r="A711" s="118">
        <f>IF($B711="","",COUNT($B$5:$B711))</f>
        <v/>
      </c>
      <c r="B711" s="80" t="n"/>
      <c r="C711" s="80" t="n"/>
      <c r="D711" s="74" t="n"/>
      <c r="E711" s="74" t="n"/>
      <c r="F711" s="74" t="n"/>
      <c r="G711" s="118">
        <f>IF($F711="","",COUNTIF($F$5:$F711,$F711))</f>
        <v/>
      </c>
      <c r="H711" s="33">
        <f>IF($F711="","",IFERROR(INDEX(사건마스터!$B$5:$B$64,MATCH($F711,사건마스터!$A$5:$A$64,0)),""))</f>
        <v/>
      </c>
      <c r="I711" s="130">
        <f>IF($F711="","",IFERROR(INDEX(사건마스터!$C$5:$C$64,MATCH($F711,사건마스터!$A$5:$A$64,0)),""))</f>
        <v/>
      </c>
      <c r="J711" s="136">
        <f>IF($F711="","",IFERROR(INDEX(사건마스터!$H$5:$H$64,MATCH($F711,사건마스터!$A$5:$A$64,0)),""))</f>
        <v/>
      </c>
      <c r="K711" s="136">
        <f>IF($F711="","",IFERROR(INDEX(사건마스터!$AH$5:$AH$64,MATCH($F711,사건마스터!$A$5:$A$64,0)),""))</f>
        <v/>
      </c>
      <c r="L711" s="136">
        <f>IF($F711="","",IFERROR(INDEX(사건마스터!$AI$5:$AI$64,MATCH($F711,사건마스터!$A$5:$A$64,0)),""))</f>
        <v/>
      </c>
      <c r="M711" s="136">
        <f>IF($F711="","",IFERROR(INDEX(사건마스터!$AJ$5:$AJ$64,MATCH($F711,사건마스터!$A$5:$A$64,0)),""))</f>
        <v/>
      </c>
      <c r="N711" s="136">
        <f>IF($F711="","",IFERROR(INDEX(사건마스터!$AK$5:$AK$64,MATCH($F711,사건마스터!$A$5:$A$64,0)),""))</f>
        <v/>
      </c>
      <c r="O711" s="136">
        <f>IF($F711="","",IFERROR(INDEX(사건마스터!$AL$5:$AL$64,MATCH($F711,사건마스터!$A$5:$A$64,0)),""))</f>
        <v/>
      </c>
      <c r="P711" s="136">
        <f>IF($F711="","",IFERROR(INDEX(사건마스터!$AM$5:$AM$64,MATCH($F711,사건마스터!$A$5:$A$64,0)),""))</f>
        <v/>
      </c>
      <c r="Q711" s="136">
        <f>IF($F711="","",IFERROR(INDEX(사건마스터!$AN$5:$AN$64,MATCH($F711,사건마스터!$A$5:$A$64,0)),""))</f>
        <v/>
      </c>
      <c r="R711" s="136">
        <f>IF($F711="","",IFERROR(INDEX(사건마스터!$AO$5:$AO$64,MATCH($F711,사건마스터!$A$5:$A$64,0)),""))</f>
        <v/>
      </c>
      <c r="S711" s="136">
        <f>IF($F711="","",IFERROR(INDEX(사건마스터!$AP$5:$AP$64,MATCH($F711,사건마스터!$A$5:$A$64,0)),""))</f>
        <v/>
      </c>
      <c r="T711" s="136">
        <f>IF($F711="","",IFERROR(INDEX(사건마스터!$AQ$5:$AQ$64,MATCH($F711,사건마스터!$A$5:$A$64,0)),""))</f>
        <v/>
      </c>
      <c r="U711" s="136">
        <f>IF($F711="","",IFERROR(INDEX(사건마스터!$AR$5:$AR$64,MATCH($F711,사건마스터!$A$5:$A$64,0)),""))</f>
        <v/>
      </c>
      <c r="V711" s="136">
        <f>IF($F711="","",IFERROR(INDEX(사건마스터!$AS$5:$AS$64,MATCH($F711,사건마스터!$A$5:$A$64,0)),""))</f>
        <v/>
      </c>
      <c r="W711" s="136">
        <f>IF($F711="","",IFERROR(INDEX(사건마스터!$AT$5:$AT$64,MATCH($F711,사건마스터!$A$5:$A$64,0)),""))</f>
        <v/>
      </c>
      <c r="X711" s="136">
        <f>IF($F711="","",IFERROR(INDEX(사건마스터!$AU$5:$AU$64,MATCH($F711,사건마스터!$A$5:$A$64,0)),""))</f>
        <v/>
      </c>
      <c r="Y711" s="136">
        <f>IF($F711="","",IFERROR(INDEX(사건마스터!$AV$5:$AV$64,MATCH($F711,사건마스터!$A$5:$A$64,0)),""))</f>
        <v/>
      </c>
      <c r="Z711" s="118">
        <f>IF(COUNTBLANK($J711:$Y711)=16,"",16-COUNTBLANK($J711:$Y711))</f>
        <v/>
      </c>
      <c r="AA711" s="33">
        <f>IF($J711="",MID($AX711,3,255),$J711&amp;$AX711)</f>
        <v/>
      </c>
      <c r="AB711" s="130">
        <f>IF($J711="","",IFERROR(INDEX(코드설정!$D$5:$D$24,MATCH($J711,코드설정!$C$5:$C$24,0)),""))</f>
        <v/>
      </c>
      <c r="AC711" s="36" t="n"/>
      <c r="AD711" s="37" t="n"/>
      <c r="AE711" s="38" t="n"/>
      <c r="AF711" s="118">
        <f>IF(OR($B711="",$C711=""),"",$C711-$B711+1)</f>
        <v/>
      </c>
      <c r="AG711" s="74" t="n"/>
      <c r="AH711" s="36" t="n"/>
      <c r="AJ711">
        <f>IF($K711="","",", "&amp;$K711)</f>
        <v/>
      </c>
      <c r="AK711">
        <f>AJ711&amp;IF($L711="","",", "&amp;$L711)</f>
        <v/>
      </c>
      <c r="AL711">
        <f>AK711&amp;IF($M711="","",", "&amp;$M711)</f>
        <v/>
      </c>
      <c r="AM711">
        <f>AL711&amp;IF($N711="","",", "&amp;$N711)</f>
        <v/>
      </c>
      <c r="AN711">
        <f>AM711&amp;IF($O711="","",", "&amp;$O711)</f>
        <v/>
      </c>
      <c r="AO711">
        <f>AN711&amp;IF($P711="","",", "&amp;$P711)</f>
        <v/>
      </c>
      <c r="AP711">
        <f>AO711&amp;IF($Q711="","",", "&amp;$Q711)</f>
        <v/>
      </c>
      <c r="AQ711">
        <f>AP711&amp;IF($R711="","",", "&amp;$R711)</f>
        <v/>
      </c>
      <c r="AR711">
        <f>AQ711&amp;IF($S711="","",", "&amp;$S711)</f>
        <v/>
      </c>
      <c r="AS711">
        <f>AR711&amp;IF($T711="","",", "&amp;$T711)</f>
        <v/>
      </c>
      <c r="AT711">
        <f>AS711&amp;IF($U711="","",", "&amp;$U711)</f>
        <v/>
      </c>
      <c r="AU711">
        <f>AT711&amp;IF($V711="","",", "&amp;$V711)</f>
        <v/>
      </c>
      <c r="AV711">
        <f>AU711&amp;IF($W711="","",", "&amp;$W711)</f>
        <v/>
      </c>
      <c r="AW711">
        <f>AV711&amp;IF($X711="","",", "&amp;$X711)</f>
        <v/>
      </c>
      <c r="AX711">
        <f>AW711&amp;IF($Y711="","",", "&amp;$Y711)</f>
        <v/>
      </c>
    </row>
    <row r="712">
      <c r="A712" s="118">
        <f>IF($B712="","",COUNT($B$5:$B712))</f>
        <v/>
      </c>
      <c r="B712" s="80" t="n"/>
      <c r="C712" s="80" t="n"/>
      <c r="D712" s="74" t="n"/>
      <c r="E712" s="74" t="n"/>
      <c r="F712" s="74" t="n"/>
      <c r="G712" s="118">
        <f>IF($F712="","",COUNTIF($F$5:$F712,$F712))</f>
        <v/>
      </c>
      <c r="H712" s="33">
        <f>IF($F712="","",IFERROR(INDEX(사건마스터!$B$5:$B$64,MATCH($F712,사건마스터!$A$5:$A$64,0)),""))</f>
        <v/>
      </c>
      <c r="I712" s="130">
        <f>IF($F712="","",IFERROR(INDEX(사건마스터!$C$5:$C$64,MATCH($F712,사건마스터!$A$5:$A$64,0)),""))</f>
        <v/>
      </c>
      <c r="J712" s="136">
        <f>IF($F712="","",IFERROR(INDEX(사건마스터!$H$5:$H$64,MATCH($F712,사건마스터!$A$5:$A$64,0)),""))</f>
        <v/>
      </c>
      <c r="K712" s="136">
        <f>IF($F712="","",IFERROR(INDEX(사건마스터!$AH$5:$AH$64,MATCH($F712,사건마스터!$A$5:$A$64,0)),""))</f>
        <v/>
      </c>
      <c r="L712" s="136">
        <f>IF($F712="","",IFERROR(INDEX(사건마스터!$AI$5:$AI$64,MATCH($F712,사건마스터!$A$5:$A$64,0)),""))</f>
        <v/>
      </c>
      <c r="M712" s="136">
        <f>IF($F712="","",IFERROR(INDEX(사건마스터!$AJ$5:$AJ$64,MATCH($F712,사건마스터!$A$5:$A$64,0)),""))</f>
        <v/>
      </c>
      <c r="N712" s="136">
        <f>IF($F712="","",IFERROR(INDEX(사건마스터!$AK$5:$AK$64,MATCH($F712,사건마스터!$A$5:$A$64,0)),""))</f>
        <v/>
      </c>
      <c r="O712" s="136">
        <f>IF($F712="","",IFERROR(INDEX(사건마스터!$AL$5:$AL$64,MATCH($F712,사건마스터!$A$5:$A$64,0)),""))</f>
        <v/>
      </c>
      <c r="P712" s="136">
        <f>IF($F712="","",IFERROR(INDEX(사건마스터!$AM$5:$AM$64,MATCH($F712,사건마스터!$A$5:$A$64,0)),""))</f>
        <v/>
      </c>
      <c r="Q712" s="136">
        <f>IF($F712="","",IFERROR(INDEX(사건마스터!$AN$5:$AN$64,MATCH($F712,사건마스터!$A$5:$A$64,0)),""))</f>
        <v/>
      </c>
      <c r="R712" s="136">
        <f>IF($F712="","",IFERROR(INDEX(사건마스터!$AO$5:$AO$64,MATCH($F712,사건마스터!$A$5:$A$64,0)),""))</f>
        <v/>
      </c>
      <c r="S712" s="136">
        <f>IF($F712="","",IFERROR(INDEX(사건마스터!$AP$5:$AP$64,MATCH($F712,사건마스터!$A$5:$A$64,0)),""))</f>
        <v/>
      </c>
      <c r="T712" s="136">
        <f>IF($F712="","",IFERROR(INDEX(사건마스터!$AQ$5:$AQ$64,MATCH($F712,사건마스터!$A$5:$A$64,0)),""))</f>
        <v/>
      </c>
      <c r="U712" s="136">
        <f>IF($F712="","",IFERROR(INDEX(사건마스터!$AR$5:$AR$64,MATCH($F712,사건마스터!$A$5:$A$64,0)),""))</f>
        <v/>
      </c>
      <c r="V712" s="136">
        <f>IF($F712="","",IFERROR(INDEX(사건마스터!$AS$5:$AS$64,MATCH($F712,사건마스터!$A$5:$A$64,0)),""))</f>
        <v/>
      </c>
      <c r="W712" s="136">
        <f>IF($F712="","",IFERROR(INDEX(사건마스터!$AT$5:$AT$64,MATCH($F712,사건마스터!$A$5:$A$64,0)),""))</f>
        <v/>
      </c>
      <c r="X712" s="136">
        <f>IF($F712="","",IFERROR(INDEX(사건마스터!$AU$5:$AU$64,MATCH($F712,사건마스터!$A$5:$A$64,0)),""))</f>
        <v/>
      </c>
      <c r="Y712" s="136">
        <f>IF($F712="","",IFERROR(INDEX(사건마스터!$AV$5:$AV$64,MATCH($F712,사건마스터!$A$5:$A$64,0)),""))</f>
        <v/>
      </c>
      <c r="Z712" s="118">
        <f>IF(COUNTBLANK($J712:$Y712)=16,"",16-COUNTBLANK($J712:$Y712))</f>
        <v/>
      </c>
      <c r="AA712" s="33">
        <f>IF($J712="",MID($AX712,3,255),$J712&amp;$AX712)</f>
        <v/>
      </c>
      <c r="AB712" s="130">
        <f>IF($J712="","",IFERROR(INDEX(코드설정!$D$5:$D$24,MATCH($J712,코드설정!$C$5:$C$24,0)),""))</f>
        <v/>
      </c>
      <c r="AC712" s="36" t="n"/>
      <c r="AD712" s="37" t="n"/>
      <c r="AE712" s="38" t="n"/>
      <c r="AF712" s="118">
        <f>IF(OR($B712="",$C712=""),"",$C712-$B712+1)</f>
        <v/>
      </c>
      <c r="AG712" s="74" t="n"/>
      <c r="AH712" s="36" t="n"/>
      <c r="AJ712">
        <f>IF($K712="","",", "&amp;$K712)</f>
        <v/>
      </c>
      <c r="AK712">
        <f>AJ712&amp;IF($L712="","",", "&amp;$L712)</f>
        <v/>
      </c>
      <c r="AL712">
        <f>AK712&amp;IF($M712="","",", "&amp;$M712)</f>
        <v/>
      </c>
      <c r="AM712">
        <f>AL712&amp;IF($N712="","",", "&amp;$N712)</f>
        <v/>
      </c>
      <c r="AN712">
        <f>AM712&amp;IF($O712="","",", "&amp;$O712)</f>
        <v/>
      </c>
      <c r="AO712">
        <f>AN712&amp;IF($P712="","",", "&amp;$P712)</f>
        <v/>
      </c>
      <c r="AP712">
        <f>AO712&amp;IF($Q712="","",", "&amp;$Q712)</f>
        <v/>
      </c>
      <c r="AQ712">
        <f>AP712&amp;IF($R712="","",", "&amp;$R712)</f>
        <v/>
      </c>
      <c r="AR712">
        <f>AQ712&amp;IF($S712="","",", "&amp;$S712)</f>
        <v/>
      </c>
      <c r="AS712">
        <f>AR712&amp;IF($T712="","",", "&amp;$T712)</f>
        <v/>
      </c>
      <c r="AT712">
        <f>AS712&amp;IF($U712="","",", "&amp;$U712)</f>
        <v/>
      </c>
      <c r="AU712">
        <f>AT712&amp;IF($V712="","",", "&amp;$V712)</f>
        <v/>
      </c>
      <c r="AV712">
        <f>AU712&amp;IF($W712="","",", "&amp;$W712)</f>
        <v/>
      </c>
      <c r="AW712">
        <f>AV712&amp;IF($X712="","",", "&amp;$X712)</f>
        <v/>
      </c>
      <c r="AX712">
        <f>AW712&amp;IF($Y712="","",", "&amp;$Y712)</f>
        <v/>
      </c>
    </row>
    <row r="713">
      <c r="A713" s="118">
        <f>IF($B713="","",COUNT($B$5:$B713))</f>
        <v/>
      </c>
      <c r="B713" s="80" t="n"/>
      <c r="C713" s="80" t="n"/>
      <c r="D713" s="74" t="n"/>
      <c r="E713" s="74" t="n"/>
      <c r="F713" s="74" t="n"/>
      <c r="G713" s="118">
        <f>IF($F713="","",COUNTIF($F$5:$F713,$F713))</f>
        <v/>
      </c>
      <c r="H713" s="33">
        <f>IF($F713="","",IFERROR(INDEX(사건마스터!$B$5:$B$64,MATCH($F713,사건마스터!$A$5:$A$64,0)),""))</f>
        <v/>
      </c>
      <c r="I713" s="130">
        <f>IF($F713="","",IFERROR(INDEX(사건마스터!$C$5:$C$64,MATCH($F713,사건마스터!$A$5:$A$64,0)),""))</f>
        <v/>
      </c>
      <c r="J713" s="136">
        <f>IF($F713="","",IFERROR(INDEX(사건마스터!$H$5:$H$64,MATCH($F713,사건마스터!$A$5:$A$64,0)),""))</f>
        <v/>
      </c>
      <c r="K713" s="136">
        <f>IF($F713="","",IFERROR(INDEX(사건마스터!$AH$5:$AH$64,MATCH($F713,사건마스터!$A$5:$A$64,0)),""))</f>
        <v/>
      </c>
      <c r="L713" s="136">
        <f>IF($F713="","",IFERROR(INDEX(사건마스터!$AI$5:$AI$64,MATCH($F713,사건마스터!$A$5:$A$64,0)),""))</f>
        <v/>
      </c>
      <c r="M713" s="136">
        <f>IF($F713="","",IFERROR(INDEX(사건마스터!$AJ$5:$AJ$64,MATCH($F713,사건마스터!$A$5:$A$64,0)),""))</f>
        <v/>
      </c>
      <c r="N713" s="136">
        <f>IF($F713="","",IFERROR(INDEX(사건마스터!$AK$5:$AK$64,MATCH($F713,사건마스터!$A$5:$A$64,0)),""))</f>
        <v/>
      </c>
      <c r="O713" s="136">
        <f>IF($F713="","",IFERROR(INDEX(사건마스터!$AL$5:$AL$64,MATCH($F713,사건마스터!$A$5:$A$64,0)),""))</f>
        <v/>
      </c>
      <c r="P713" s="136">
        <f>IF($F713="","",IFERROR(INDEX(사건마스터!$AM$5:$AM$64,MATCH($F713,사건마스터!$A$5:$A$64,0)),""))</f>
        <v/>
      </c>
      <c r="Q713" s="136">
        <f>IF($F713="","",IFERROR(INDEX(사건마스터!$AN$5:$AN$64,MATCH($F713,사건마스터!$A$5:$A$64,0)),""))</f>
        <v/>
      </c>
      <c r="R713" s="136">
        <f>IF($F713="","",IFERROR(INDEX(사건마스터!$AO$5:$AO$64,MATCH($F713,사건마스터!$A$5:$A$64,0)),""))</f>
        <v/>
      </c>
      <c r="S713" s="136">
        <f>IF($F713="","",IFERROR(INDEX(사건마스터!$AP$5:$AP$64,MATCH($F713,사건마스터!$A$5:$A$64,0)),""))</f>
        <v/>
      </c>
      <c r="T713" s="136">
        <f>IF($F713="","",IFERROR(INDEX(사건마스터!$AQ$5:$AQ$64,MATCH($F713,사건마스터!$A$5:$A$64,0)),""))</f>
        <v/>
      </c>
      <c r="U713" s="136">
        <f>IF($F713="","",IFERROR(INDEX(사건마스터!$AR$5:$AR$64,MATCH($F713,사건마스터!$A$5:$A$64,0)),""))</f>
        <v/>
      </c>
      <c r="V713" s="136">
        <f>IF($F713="","",IFERROR(INDEX(사건마스터!$AS$5:$AS$64,MATCH($F713,사건마스터!$A$5:$A$64,0)),""))</f>
        <v/>
      </c>
      <c r="W713" s="136">
        <f>IF($F713="","",IFERROR(INDEX(사건마스터!$AT$5:$AT$64,MATCH($F713,사건마스터!$A$5:$A$64,0)),""))</f>
        <v/>
      </c>
      <c r="X713" s="136">
        <f>IF($F713="","",IFERROR(INDEX(사건마스터!$AU$5:$AU$64,MATCH($F713,사건마스터!$A$5:$A$64,0)),""))</f>
        <v/>
      </c>
      <c r="Y713" s="136">
        <f>IF($F713="","",IFERROR(INDEX(사건마스터!$AV$5:$AV$64,MATCH($F713,사건마스터!$A$5:$A$64,0)),""))</f>
        <v/>
      </c>
      <c r="Z713" s="118">
        <f>IF(COUNTBLANK($J713:$Y713)=16,"",16-COUNTBLANK($J713:$Y713))</f>
        <v/>
      </c>
      <c r="AA713" s="33">
        <f>IF($J713="",MID($AX713,3,255),$J713&amp;$AX713)</f>
        <v/>
      </c>
      <c r="AB713" s="130">
        <f>IF($J713="","",IFERROR(INDEX(코드설정!$D$5:$D$24,MATCH($J713,코드설정!$C$5:$C$24,0)),""))</f>
        <v/>
      </c>
      <c r="AC713" s="36" t="n"/>
      <c r="AD713" s="37" t="n"/>
      <c r="AE713" s="38" t="n"/>
      <c r="AF713" s="118">
        <f>IF(OR($B713="",$C713=""),"",$C713-$B713+1)</f>
        <v/>
      </c>
      <c r="AG713" s="74" t="n"/>
      <c r="AH713" s="36" t="n"/>
      <c r="AJ713">
        <f>IF($K713="","",", "&amp;$K713)</f>
        <v/>
      </c>
      <c r="AK713">
        <f>AJ713&amp;IF($L713="","",", "&amp;$L713)</f>
        <v/>
      </c>
      <c r="AL713">
        <f>AK713&amp;IF($M713="","",", "&amp;$M713)</f>
        <v/>
      </c>
      <c r="AM713">
        <f>AL713&amp;IF($N713="","",", "&amp;$N713)</f>
        <v/>
      </c>
      <c r="AN713">
        <f>AM713&amp;IF($O713="","",", "&amp;$O713)</f>
        <v/>
      </c>
      <c r="AO713">
        <f>AN713&amp;IF($P713="","",", "&amp;$P713)</f>
        <v/>
      </c>
      <c r="AP713">
        <f>AO713&amp;IF($Q713="","",", "&amp;$Q713)</f>
        <v/>
      </c>
      <c r="AQ713">
        <f>AP713&amp;IF($R713="","",", "&amp;$R713)</f>
        <v/>
      </c>
      <c r="AR713">
        <f>AQ713&amp;IF($S713="","",", "&amp;$S713)</f>
        <v/>
      </c>
      <c r="AS713">
        <f>AR713&amp;IF($T713="","",", "&amp;$T713)</f>
        <v/>
      </c>
      <c r="AT713">
        <f>AS713&amp;IF($U713="","",", "&amp;$U713)</f>
        <v/>
      </c>
      <c r="AU713">
        <f>AT713&amp;IF($V713="","",", "&amp;$V713)</f>
        <v/>
      </c>
      <c r="AV713">
        <f>AU713&amp;IF($W713="","",", "&amp;$W713)</f>
        <v/>
      </c>
      <c r="AW713">
        <f>AV713&amp;IF($X713="","",", "&amp;$X713)</f>
        <v/>
      </c>
      <c r="AX713">
        <f>AW713&amp;IF($Y713="","",", "&amp;$Y713)</f>
        <v/>
      </c>
    </row>
    <row r="714">
      <c r="A714" s="118">
        <f>IF($B714="","",COUNT($B$5:$B714))</f>
        <v/>
      </c>
      <c r="B714" s="80" t="n"/>
      <c r="C714" s="80" t="n"/>
      <c r="D714" s="74" t="n"/>
      <c r="E714" s="74" t="n"/>
      <c r="F714" s="74" t="n"/>
      <c r="G714" s="118">
        <f>IF($F714="","",COUNTIF($F$5:$F714,$F714))</f>
        <v/>
      </c>
      <c r="H714" s="33">
        <f>IF($F714="","",IFERROR(INDEX(사건마스터!$B$5:$B$64,MATCH($F714,사건마스터!$A$5:$A$64,0)),""))</f>
        <v/>
      </c>
      <c r="I714" s="130">
        <f>IF($F714="","",IFERROR(INDEX(사건마스터!$C$5:$C$64,MATCH($F714,사건마스터!$A$5:$A$64,0)),""))</f>
        <v/>
      </c>
      <c r="J714" s="136">
        <f>IF($F714="","",IFERROR(INDEX(사건마스터!$H$5:$H$64,MATCH($F714,사건마스터!$A$5:$A$64,0)),""))</f>
        <v/>
      </c>
      <c r="K714" s="136">
        <f>IF($F714="","",IFERROR(INDEX(사건마스터!$AH$5:$AH$64,MATCH($F714,사건마스터!$A$5:$A$64,0)),""))</f>
        <v/>
      </c>
      <c r="L714" s="136">
        <f>IF($F714="","",IFERROR(INDEX(사건마스터!$AI$5:$AI$64,MATCH($F714,사건마스터!$A$5:$A$64,0)),""))</f>
        <v/>
      </c>
      <c r="M714" s="136">
        <f>IF($F714="","",IFERROR(INDEX(사건마스터!$AJ$5:$AJ$64,MATCH($F714,사건마스터!$A$5:$A$64,0)),""))</f>
        <v/>
      </c>
      <c r="N714" s="136">
        <f>IF($F714="","",IFERROR(INDEX(사건마스터!$AK$5:$AK$64,MATCH($F714,사건마스터!$A$5:$A$64,0)),""))</f>
        <v/>
      </c>
      <c r="O714" s="136">
        <f>IF($F714="","",IFERROR(INDEX(사건마스터!$AL$5:$AL$64,MATCH($F714,사건마스터!$A$5:$A$64,0)),""))</f>
        <v/>
      </c>
      <c r="P714" s="136">
        <f>IF($F714="","",IFERROR(INDEX(사건마스터!$AM$5:$AM$64,MATCH($F714,사건마스터!$A$5:$A$64,0)),""))</f>
        <v/>
      </c>
      <c r="Q714" s="136">
        <f>IF($F714="","",IFERROR(INDEX(사건마스터!$AN$5:$AN$64,MATCH($F714,사건마스터!$A$5:$A$64,0)),""))</f>
        <v/>
      </c>
      <c r="R714" s="136">
        <f>IF($F714="","",IFERROR(INDEX(사건마스터!$AO$5:$AO$64,MATCH($F714,사건마스터!$A$5:$A$64,0)),""))</f>
        <v/>
      </c>
      <c r="S714" s="136">
        <f>IF($F714="","",IFERROR(INDEX(사건마스터!$AP$5:$AP$64,MATCH($F714,사건마스터!$A$5:$A$64,0)),""))</f>
        <v/>
      </c>
      <c r="T714" s="136">
        <f>IF($F714="","",IFERROR(INDEX(사건마스터!$AQ$5:$AQ$64,MATCH($F714,사건마스터!$A$5:$A$64,0)),""))</f>
        <v/>
      </c>
      <c r="U714" s="136">
        <f>IF($F714="","",IFERROR(INDEX(사건마스터!$AR$5:$AR$64,MATCH($F714,사건마스터!$A$5:$A$64,0)),""))</f>
        <v/>
      </c>
      <c r="V714" s="136">
        <f>IF($F714="","",IFERROR(INDEX(사건마스터!$AS$5:$AS$64,MATCH($F714,사건마스터!$A$5:$A$64,0)),""))</f>
        <v/>
      </c>
      <c r="W714" s="136">
        <f>IF($F714="","",IFERROR(INDEX(사건마스터!$AT$5:$AT$64,MATCH($F714,사건마스터!$A$5:$A$64,0)),""))</f>
        <v/>
      </c>
      <c r="X714" s="136">
        <f>IF($F714="","",IFERROR(INDEX(사건마스터!$AU$5:$AU$64,MATCH($F714,사건마스터!$A$5:$A$64,0)),""))</f>
        <v/>
      </c>
      <c r="Y714" s="136">
        <f>IF($F714="","",IFERROR(INDEX(사건마스터!$AV$5:$AV$64,MATCH($F714,사건마스터!$A$5:$A$64,0)),""))</f>
        <v/>
      </c>
      <c r="Z714" s="118">
        <f>IF(COUNTBLANK($J714:$Y714)=16,"",16-COUNTBLANK($J714:$Y714))</f>
        <v/>
      </c>
      <c r="AA714" s="33">
        <f>IF($J714="",MID($AX714,3,255),$J714&amp;$AX714)</f>
        <v/>
      </c>
      <c r="AB714" s="130">
        <f>IF($J714="","",IFERROR(INDEX(코드설정!$D$5:$D$24,MATCH($J714,코드설정!$C$5:$C$24,0)),""))</f>
        <v/>
      </c>
      <c r="AC714" s="36" t="n"/>
      <c r="AD714" s="37" t="n"/>
      <c r="AE714" s="38" t="n"/>
      <c r="AF714" s="118">
        <f>IF(OR($B714="",$C714=""),"",$C714-$B714+1)</f>
        <v/>
      </c>
      <c r="AG714" s="74" t="n"/>
      <c r="AH714" s="36" t="n"/>
      <c r="AJ714">
        <f>IF($K714="","",", "&amp;$K714)</f>
        <v/>
      </c>
      <c r="AK714">
        <f>AJ714&amp;IF($L714="","",", "&amp;$L714)</f>
        <v/>
      </c>
      <c r="AL714">
        <f>AK714&amp;IF($M714="","",", "&amp;$M714)</f>
        <v/>
      </c>
      <c r="AM714">
        <f>AL714&amp;IF($N714="","",", "&amp;$N714)</f>
        <v/>
      </c>
      <c r="AN714">
        <f>AM714&amp;IF($O714="","",", "&amp;$O714)</f>
        <v/>
      </c>
      <c r="AO714">
        <f>AN714&amp;IF($P714="","",", "&amp;$P714)</f>
        <v/>
      </c>
      <c r="AP714">
        <f>AO714&amp;IF($Q714="","",", "&amp;$Q714)</f>
        <v/>
      </c>
      <c r="AQ714">
        <f>AP714&amp;IF($R714="","",", "&amp;$R714)</f>
        <v/>
      </c>
      <c r="AR714">
        <f>AQ714&amp;IF($S714="","",", "&amp;$S714)</f>
        <v/>
      </c>
      <c r="AS714">
        <f>AR714&amp;IF($T714="","",", "&amp;$T714)</f>
        <v/>
      </c>
      <c r="AT714">
        <f>AS714&amp;IF($U714="","",", "&amp;$U714)</f>
        <v/>
      </c>
      <c r="AU714">
        <f>AT714&amp;IF($V714="","",", "&amp;$V714)</f>
        <v/>
      </c>
      <c r="AV714">
        <f>AU714&amp;IF($W714="","",", "&amp;$W714)</f>
        <v/>
      </c>
      <c r="AW714">
        <f>AV714&amp;IF($X714="","",", "&amp;$X714)</f>
        <v/>
      </c>
      <c r="AX714">
        <f>AW714&amp;IF($Y714="","",", "&amp;$Y714)</f>
        <v/>
      </c>
    </row>
    <row r="715">
      <c r="A715" s="118">
        <f>IF($B715="","",COUNT($B$5:$B715))</f>
        <v/>
      </c>
      <c r="B715" s="80" t="n"/>
      <c r="C715" s="80" t="n"/>
      <c r="D715" s="74" t="n"/>
      <c r="E715" s="74" t="n"/>
      <c r="F715" s="74" t="n"/>
      <c r="G715" s="118">
        <f>IF($F715="","",COUNTIF($F$5:$F715,$F715))</f>
        <v/>
      </c>
      <c r="H715" s="33">
        <f>IF($F715="","",IFERROR(INDEX(사건마스터!$B$5:$B$64,MATCH($F715,사건마스터!$A$5:$A$64,0)),""))</f>
        <v/>
      </c>
      <c r="I715" s="130">
        <f>IF($F715="","",IFERROR(INDEX(사건마스터!$C$5:$C$64,MATCH($F715,사건마스터!$A$5:$A$64,0)),""))</f>
        <v/>
      </c>
      <c r="J715" s="136">
        <f>IF($F715="","",IFERROR(INDEX(사건마스터!$H$5:$H$64,MATCH($F715,사건마스터!$A$5:$A$64,0)),""))</f>
        <v/>
      </c>
      <c r="K715" s="136">
        <f>IF($F715="","",IFERROR(INDEX(사건마스터!$AH$5:$AH$64,MATCH($F715,사건마스터!$A$5:$A$64,0)),""))</f>
        <v/>
      </c>
      <c r="L715" s="136">
        <f>IF($F715="","",IFERROR(INDEX(사건마스터!$AI$5:$AI$64,MATCH($F715,사건마스터!$A$5:$A$64,0)),""))</f>
        <v/>
      </c>
      <c r="M715" s="136">
        <f>IF($F715="","",IFERROR(INDEX(사건마스터!$AJ$5:$AJ$64,MATCH($F715,사건마스터!$A$5:$A$64,0)),""))</f>
        <v/>
      </c>
      <c r="N715" s="136">
        <f>IF($F715="","",IFERROR(INDEX(사건마스터!$AK$5:$AK$64,MATCH($F715,사건마스터!$A$5:$A$64,0)),""))</f>
        <v/>
      </c>
      <c r="O715" s="136">
        <f>IF($F715="","",IFERROR(INDEX(사건마스터!$AL$5:$AL$64,MATCH($F715,사건마스터!$A$5:$A$64,0)),""))</f>
        <v/>
      </c>
      <c r="P715" s="136">
        <f>IF($F715="","",IFERROR(INDEX(사건마스터!$AM$5:$AM$64,MATCH($F715,사건마스터!$A$5:$A$64,0)),""))</f>
        <v/>
      </c>
      <c r="Q715" s="136">
        <f>IF($F715="","",IFERROR(INDEX(사건마스터!$AN$5:$AN$64,MATCH($F715,사건마스터!$A$5:$A$64,0)),""))</f>
        <v/>
      </c>
      <c r="R715" s="136">
        <f>IF($F715="","",IFERROR(INDEX(사건마스터!$AO$5:$AO$64,MATCH($F715,사건마스터!$A$5:$A$64,0)),""))</f>
        <v/>
      </c>
      <c r="S715" s="136">
        <f>IF($F715="","",IFERROR(INDEX(사건마스터!$AP$5:$AP$64,MATCH($F715,사건마스터!$A$5:$A$64,0)),""))</f>
        <v/>
      </c>
      <c r="T715" s="136">
        <f>IF($F715="","",IFERROR(INDEX(사건마스터!$AQ$5:$AQ$64,MATCH($F715,사건마스터!$A$5:$A$64,0)),""))</f>
        <v/>
      </c>
      <c r="U715" s="136">
        <f>IF($F715="","",IFERROR(INDEX(사건마스터!$AR$5:$AR$64,MATCH($F715,사건마스터!$A$5:$A$64,0)),""))</f>
        <v/>
      </c>
      <c r="V715" s="136">
        <f>IF($F715="","",IFERROR(INDEX(사건마스터!$AS$5:$AS$64,MATCH($F715,사건마스터!$A$5:$A$64,0)),""))</f>
        <v/>
      </c>
      <c r="W715" s="136">
        <f>IF($F715="","",IFERROR(INDEX(사건마스터!$AT$5:$AT$64,MATCH($F715,사건마스터!$A$5:$A$64,0)),""))</f>
        <v/>
      </c>
      <c r="X715" s="136">
        <f>IF($F715="","",IFERROR(INDEX(사건마스터!$AU$5:$AU$64,MATCH($F715,사건마스터!$A$5:$A$64,0)),""))</f>
        <v/>
      </c>
      <c r="Y715" s="136">
        <f>IF($F715="","",IFERROR(INDEX(사건마스터!$AV$5:$AV$64,MATCH($F715,사건마스터!$A$5:$A$64,0)),""))</f>
        <v/>
      </c>
      <c r="Z715" s="118">
        <f>IF(COUNTBLANK($J715:$Y715)=16,"",16-COUNTBLANK($J715:$Y715))</f>
        <v/>
      </c>
      <c r="AA715" s="33">
        <f>IF($J715="",MID($AX715,3,255),$J715&amp;$AX715)</f>
        <v/>
      </c>
      <c r="AB715" s="130">
        <f>IF($J715="","",IFERROR(INDEX(코드설정!$D$5:$D$24,MATCH($J715,코드설정!$C$5:$C$24,0)),""))</f>
        <v/>
      </c>
      <c r="AC715" s="36" t="n"/>
      <c r="AD715" s="37" t="n"/>
      <c r="AE715" s="38" t="n"/>
      <c r="AF715" s="118">
        <f>IF(OR($B715="",$C715=""),"",$C715-$B715+1)</f>
        <v/>
      </c>
      <c r="AG715" s="74" t="n"/>
      <c r="AH715" s="36" t="n"/>
      <c r="AJ715">
        <f>IF($K715="","",", "&amp;$K715)</f>
        <v/>
      </c>
      <c r="AK715">
        <f>AJ715&amp;IF($L715="","",", "&amp;$L715)</f>
        <v/>
      </c>
      <c r="AL715">
        <f>AK715&amp;IF($M715="","",", "&amp;$M715)</f>
        <v/>
      </c>
      <c r="AM715">
        <f>AL715&amp;IF($N715="","",", "&amp;$N715)</f>
        <v/>
      </c>
      <c r="AN715">
        <f>AM715&amp;IF($O715="","",", "&amp;$O715)</f>
        <v/>
      </c>
      <c r="AO715">
        <f>AN715&amp;IF($P715="","",", "&amp;$P715)</f>
        <v/>
      </c>
      <c r="AP715">
        <f>AO715&amp;IF($Q715="","",", "&amp;$Q715)</f>
        <v/>
      </c>
      <c r="AQ715">
        <f>AP715&amp;IF($R715="","",", "&amp;$R715)</f>
        <v/>
      </c>
      <c r="AR715">
        <f>AQ715&amp;IF($S715="","",", "&amp;$S715)</f>
        <v/>
      </c>
      <c r="AS715">
        <f>AR715&amp;IF($T715="","",", "&amp;$T715)</f>
        <v/>
      </c>
      <c r="AT715">
        <f>AS715&amp;IF($U715="","",", "&amp;$U715)</f>
        <v/>
      </c>
      <c r="AU715">
        <f>AT715&amp;IF($V715="","",", "&amp;$V715)</f>
        <v/>
      </c>
      <c r="AV715">
        <f>AU715&amp;IF($W715="","",", "&amp;$W715)</f>
        <v/>
      </c>
      <c r="AW715">
        <f>AV715&amp;IF($X715="","",", "&amp;$X715)</f>
        <v/>
      </c>
      <c r="AX715">
        <f>AW715&amp;IF($Y715="","",", "&amp;$Y715)</f>
        <v/>
      </c>
    </row>
    <row r="716">
      <c r="A716" s="118">
        <f>IF($B716="","",COUNT($B$5:$B716))</f>
        <v/>
      </c>
      <c r="B716" s="80" t="n"/>
      <c r="C716" s="80" t="n"/>
      <c r="D716" s="74" t="n"/>
      <c r="E716" s="74" t="n"/>
      <c r="F716" s="74" t="n"/>
      <c r="G716" s="118">
        <f>IF($F716="","",COUNTIF($F$5:$F716,$F716))</f>
        <v/>
      </c>
      <c r="H716" s="33">
        <f>IF($F716="","",IFERROR(INDEX(사건마스터!$B$5:$B$64,MATCH($F716,사건마스터!$A$5:$A$64,0)),""))</f>
        <v/>
      </c>
      <c r="I716" s="130">
        <f>IF($F716="","",IFERROR(INDEX(사건마스터!$C$5:$C$64,MATCH($F716,사건마스터!$A$5:$A$64,0)),""))</f>
        <v/>
      </c>
      <c r="J716" s="136">
        <f>IF($F716="","",IFERROR(INDEX(사건마스터!$H$5:$H$64,MATCH($F716,사건마스터!$A$5:$A$64,0)),""))</f>
        <v/>
      </c>
      <c r="K716" s="136">
        <f>IF($F716="","",IFERROR(INDEX(사건마스터!$AH$5:$AH$64,MATCH($F716,사건마스터!$A$5:$A$64,0)),""))</f>
        <v/>
      </c>
      <c r="L716" s="136">
        <f>IF($F716="","",IFERROR(INDEX(사건마스터!$AI$5:$AI$64,MATCH($F716,사건마스터!$A$5:$A$64,0)),""))</f>
        <v/>
      </c>
      <c r="M716" s="136">
        <f>IF($F716="","",IFERROR(INDEX(사건마스터!$AJ$5:$AJ$64,MATCH($F716,사건마스터!$A$5:$A$64,0)),""))</f>
        <v/>
      </c>
      <c r="N716" s="136">
        <f>IF($F716="","",IFERROR(INDEX(사건마스터!$AK$5:$AK$64,MATCH($F716,사건마스터!$A$5:$A$64,0)),""))</f>
        <v/>
      </c>
      <c r="O716" s="136">
        <f>IF($F716="","",IFERROR(INDEX(사건마스터!$AL$5:$AL$64,MATCH($F716,사건마스터!$A$5:$A$64,0)),""))</f>
        <v/>
      </c>
      <c r="P716" s="136">
        <f>IF($F716="","",IFERROR(INDEX(사건마스터!$AM$5:$AM$64,MATCH($F716,사건마스터!$A$5:$A$64,0)),""))</f>
        <v/>
      </c>
      <c r="Q716" s="136">
        <f>IF($F716="","",IFERROR(INDEX(사건마스터!$AN$5:$AN$64,MATCH($F716,사건마스터!$A$5:$A$64,0)),""))</f>
        <v/>
      </c>
      <c r="R716" s="136">
        <f>IF($F716="","",IFERROR(INDEX(사건마스터!$AO$5:$AO$64,MATCH($F716,사건마스터!$A$5:$A$64,0)),""))</f>
        <v/>
      </c>
      <c r="S716" s="136">
        <f>IF($F716="","",IFERROR(INDEX(사건마스터!$AP$5:$AP$64,MATCH($F716,사건마스터!$A$5:$A$64,0)),""))</f>
        <v/>
      </c>
      <c r="T716" s="136">
        <f>IF($F716="","",IFERROR(INDEX(사건마스터!$AQ$5:$AQ$64,MATCH($F716,사건마스터!$A$5:$A$64,0)),""))</f>
        <v/>
      </c>
      <c r="U716" s="136">
        <f>IF($F716="","",IFERROR(INDEX(사건마스터!$AR$5:$AR$64,MATCH($F716,사건마스터!$A$5:$A$64,0)),""))</f>
        <v/>
      </c>
      <c r="V716" s="136">
        <f>IF($F716="","",IFERROR(INDEX(사건마스터!$AS$5:$AS$64,MATCH($F716,사건마스터!$A$5:$A$64,0)),""))</f>
        <v/>
      </c>
      <c r="W716" s="136">
        <f>IF($F716="","",IFERROR(INDEX(사건마스터!$AT$5:$AT$64,MATCH($F716,사건마스터!$A$5:$A$64,0)),""))</f>
        <v/>
      </c>
      <c r="X716" s="136">
        <f>IF($F716="","",IFERROR(INDEX(사건마스터!$AU$5:$AU$64,MATCH($F716,사건마스터!$A$5:$A$64,0)),""))</f>
        <v/>
      </c>
      <c r="Y716" s="136">
        <f>IF($F716="","",IFERROR(INDEX(사건마스터!$AV$5:$AV$64,MATCH($F716,사건마스터!$A$5:$A$64,0)),""))</f>
        <v/>
      </c>
      <c r="Z716" s="118">
        <f>IF(COUNTBLANK($J716:$Y716)=16,"",16-COUNTBLANK($J716:$Y716))</f>
        <v/>
      </c>
      <c r="AA716" s="33">
        <f>IF($J716="",MID($AX716,3,255),$J716&amp;$AX716)</f>
        <v/>
      </c>
      <c r="AB716" s="130">
        <f>IF($J716="","",IFERROR(INDEX(코드설정!$D$5:$D$24,MATCH($J716,코드설정!$C$5:$C$24,0)),""))</f>
        <v/>
      </c>
      <c r="AC716" s="36" t="n"/>
      <c r="AD716" s="37" t="n"/>
      <c r="AE716" s="38" t="n"/>
      <c r="AF716" s="118">
        <f>IF(OR($B716="",$C716=""),"",$C716-$B716+1)</f>
        <v/>
      </c>
      <c r="AG716" s="74" t="n"/>
      <c r="AH716" s="36" t="n"/>
      <c r="AJ716">
        <f>IF($K716="","",", "&amp;$K716)</f>
        <v/>
      </c>
      <c r="AK716">
        <f>AJ716&amp;IF($L716="","",", "&amp;$L716)</f>
        <v/>
      </c>
      <c r="AL716">
        <f>AK716&amp;IF($M716="","",", "&amp;$M716)</f>
        <v/>
      </c>
      <c r="AM716">
        <f>AL716&amp;IF($N716="","",", "&amp;$N716)</f>
        <v/>
      </c>
      <c r="AN716">
        <f>AM716&amp;IF($O716="","",", "&amp;$O716)</f>
        <v/>
      </c>
      <c r="AO716">
        <f>AN716&amp;IF($P716="","",", "&amp;$P716)</f>
        <v/>
      </c>
      <c r="AP716">
        <f>AO716&amp;IF($Q716="","",", "&amp;$Q716)</f>
        <v/>
      </c>
      <c r="AQ716">
        <f>AP716&amp;IF($R716="","",", "&amp;$R716)</f>
        <v/>
      </c>
      <c r="AR716">
        <f>AQ716&amp;IF($S716="","",", "&amp;$S716)</f>
        <v/>
      </c>
      <c r="AS716">
        <f>AR716&amp;IF($T716="","",", "&amp;$T716)</f>
        <v/>
      </c>
      <c r="AT716">
        <f>AS716&amp;IF($U716="","",", "&amp;$U716)</f>
        <v/>
      </c>
      <c r="AU716">
        <f>AT716&amp;IF($V716="","",", "&amp;$V716)</f>
        <v/>
      </c>
      <c r="AV716">
        <f>AU716&amp;IF($W716="","",", "&amp;$W716)</f>
        <v/>
      </c>
      <c r="AW716">
        <f>AV716&amp;IF($X716="","",", "&amp;$X716)</f>
        <v/>
      </c>
      <c r="AX716">
        <f>AW716&amp;IF($Y716="","",", "&amp;$Y716)</f>
        <v/>
      </c>
    </row>
    <row r="717">
      <c r="A717" s="118">
        <f>IF($B717="","",COUNT($B$5:$B717))</f>
        <v/>
      </c>
      <c r="B717" s="80" t="n"/>
      <c r="C717" s="80" t="n"/>
      <c r="D717" s="74" t="n"/>
      <c r="E717" s="74" t="n"/>
      <c r="F717" s="74" t="n"/>
      <c r="G717" s="118">
        <f>IF($F717="","",COUNTIF($F$5:$F717,$F717))</f>
        <v/>
      </c>
      <c r="H717" s="33">
        <f>IF($F717="","",IFERROR(INDEX(사건마스터!$B$5:$B$64,MATCH($F717,사건마스터!$A$5:$A$64,0)),""))</f>
        <v/>
      </c>
      <c r="I717" s="130">
        <f>IF($F717="","",IFERROR(INDEX(사건마스터!$C$5:$C$64,MATCH($F717,사건마스터!$A$5:$A$64,0)),""))</f>
        <v/>
      </c>
      <c r="J717" s="136">
        <f>IF($F717="","",IFERROR(INDEX(사건마스터!$H$5:$H$64,MATCH($F717,사건마스터!$A$5:$A$64,0)),""))</f>
        <v/>
      </c>
      <c r="K717" s="136">
        <f>IF($F717="","",IFERROR(INDEX(사건마스터!$AH$5:$AH$64,MATCH($F717,사건마스터!$A$5:$A$64,0)),""))</f>
        <v/>
      </c>
      <c r="L717" s="136">
        <f>IF($F717="","",IFERROR(INDEX(사건마스터!$AI$5:$AI$64,MATCH($F717,사건마스터!$A$5:$A$64,0)),""))</f>
        <v/>
      </c>
      <c r="M717" s="136">
        <f>IF($F717="","",IFERROR(INDEX(사건마스터!$AJ$5:$AJ$64,MATCH($F717,사건마스터!$A$5:$A$64,0)),""))</f>
        <v/>
      </c>
      <c r="N717" s="136">
        <f>IF($F717="","",IFERROR(INDEX(사건마스터!$AK$5:$AK$64,MATCH($F717,사건마스터!$A$5:$A$64,0)),""))</f>
        <v/>
      </c>
      <c r="O717" s="136">
        <f>IF($F717="","",IFERROR(INDEX(사건마스터!$AL$5:$AL$64,MATCH($F717,사건마스터!$A$5:$A$64,0)),""))</f>
        <v/>
      </c>
      <c r="P717" s="136">
        <f>IF($F717="","",IFERROR(INDEX(사건마스터!$AM$5:$AM$64,MATCH($F717,사건마스터!$A$5:$A$64,0)),""))</f>
        <v/>
      </c>
      <c r="Q717" s="136">
        <f>IF($F717="","",IFERROR(INDEX(사건마스터!$AN$5:$AN$64,MATCH($F717,사건마스터!$A$5:$A$64,0)),""))</f>
        <v/>
      </c>
      <c r="R717" s="136">
        <f>IF($F717="","",IFERROR(INDEX(사건마스터!$AO$5:$AO$64,MATCH($F717,사건마스터!$A$5:$A$64,0)),""))</f>
        <v/>
      </c>
      <c r="S717" s="136">
        <f>IF($F717="","",IFERROR(INDEX(사건마스터!$AP$5:$AP$64,MATCH($F717,사건마스터!$A$5:$A$64,0)),""))</f>
        <v/>
      </c>
      <c r="T717" s="136">
        <f>IF($F717="","",IFERROR(INDEX(사건마스터!$AQ$5:$AQ$64,MATCH($F717,사건마스터!$A$5:$A$64,0)),""))</f>
        <v/>
      </c>
      <c r="U717" s="136">
        <f>IF($F717="","",IFERROR(INDEX(사건마스터!$AR$5:$AR$64,MATCH($F717,사건마스터!$A$5:$A$64,0)),""))</f>
        <v/>
      </c>
      <c r="V717" s="136">
        <f>IF($F717="","",IFERROR(INDEX(사건마스터!$AS$5:$AS$64,MATCH($F717,사건마스터!$A$5:$A$64,0)),""))</f>
        <v/>
      </c>
      <c r="W717" s="136">
        <f>IF($F717="","",IFERROR(INDEX(사건마스터!$AT$5:$AT$64,MATCH($F717,사건마스터!$A$5:$A$64,0)),""))</f>
        <v/>
      </c>
      <c r="X717" s="136">
        <f>IF($F717="","",IFERROR(INDEX(사건마스터!$AU$5:$AU$64,MATCH($F717,사건마스터!$A$5:$A$64,0)),""))</f>
        <v/>
      </c>
      <c r="Y717" s="136">
        <f>IF($F717="","",IFERROR(INDEX(사건마스터!$AV$5:$AV$64,MATCH($F717,사건마스터!$A$5:$A$64,0)),""))</f>
        <v/>
      </c>
      <c r="Z717" s="118">
        <f>IF(COUNTBLANK($J717:$Y717)=16,"",16-COUNTBLANK($J717:$Y717))</f>
        <v/>
      </c>
      <c r="AA717" s="33">
        <f>IF($J717="",MID($AX717,3,255),$J717&amp;$AX717)</f>
        <v/>
      </c>
      <c r="AB717" s="130">
        <f>IF($J717="","",IFERROR(INDEX(코드설정!$D$5:$D$24,MATCH($J717,코드설정!$C$5:$C$24,0)),""))</f>
        <v/>
      </c>
      <c r="AC717" s="36" t="n"/>
      <c r="AD717" s="37" t="n"/>
      <c r="AE717" s="38" t="n"/>
      <c r="AF717" s="118">
        <f>IF(OR($B717="",$C717=""),"",$C717-$B717+1)</f>
        <v/>
      </c>
      <c r="AG717" s="74" t="n"/>
      <c r="AH717" s="36" t="n"/>
      <c r="AJ717">
        <f>IF($K717="","",", "&amp;$K717)</f>
        <v/>
      </c>
      <c r="AK717">
        <f>AJ717&amp;IF($L717="","",", "&amp;$L717)</f>
        <v/>
      </c>
      <c r="AL717">
        <f>AK717&amp;IF($M717="","",", "&amp;$M717)</f>
        <v/>
      </c>
      <c r="AM717">
        <f>AL717&amp;IF($N717="","",", "&amp;$N717)</f>
        <v/>
      </c>
      <c r="AN717">
        <f>AM717&amp;IF($O717="","",", "&amp;$O717)</f>
        <v/>
      </c>
      <c r="AO717">
        <f>AN717&amp;IF($P717="","",", "&amp;$P717)</f>
        <v/>
      </c>
      <c r="AP717">
        <f>AO717&amp;IF($Q717="","",", "&amp;$Q717)</f>
        <v/>
      </c>
      <c r="AQ717">
        <f>AP717&amp;IF($R717="","",", "&amp;$R717)</f>
        <v/>
      </c>
      <c r="AR717">
        <f>AQ717&amp;IF($S717="","",", "&amp;$S717)</f>
        <v/>
      </c>
      <c r="AS717">
        <f>AR717&amp;IF($T717="","",", "&amp;$T717)</f>
        <v/>
      </c>
      <c r="AT717">
        <f>AS717&amp;IF($U717="","",", "&amp;$U717)</f>
        <v/>
      </c>
      <c r="AU717">
        <f>AT717&amp;IF($V717="","",", "&amp;$V717)</f>
        <v/>
      </c>
      <c r="AV717">
        <f>AU717&amp;IF($W717="","",", "&amp;$W717)</f>
        <v/>
      </c>
      <c r="AW717">
        <f>AV717&amp;IF($X717="","",", "&amp;$X717)</f>
        <v/>
      </c>
      <c r="AX717">
        <f>AW717&amp;IF($Y717="","",", "&amp;$Y717)</f>
        <v/>
      </c>
    </row>
    <row r="718">
      <c r="A718" s="118">
        <f>IF($B718="","",COUNT($B$5:$B718))</f>
        <v/>
      </c>
      <c r="B718" s="80" t="n"/>
      <c r="C718" s="80" t="n"/>
      <c r="D718" s="74" t="n"/>
      <c r="E718" s="74" t="n"/>
      <c r="F718" s="74" t="n"/>
      <c r="G718" s="118">
        <f>IF($F718="","",COUNTIF($F$5:$F718,$F718))</f>
        <v/>
      </c>
      <c r="H718" s="33">
        <f>IF($F718="","",IFERROR(INDEX(사건마스터!$B$5:$B$64,MATCH($F718,사건마스터!$A$5:$A$64,0)),""))</f>
        <v/>
      </c>
      <c r="I718" s="130">
        <f>IF($F718="","",IFERROR(INDEX(사건마스터!$C$5:$C$64,MATCH($F718,사건마스터!$A$5:$A$64,0)),""))</f>
        <v/>
      </c>
      <c r="J718" s="136">
        <f>IF($F718="","",IFERROR(INDEX(사건마스터!$H$5:$H$64,MATCH($F718,사건마스터!$A$5:$A$64,0)),""))</f>
        <v/>
      </c>
      <c r="K718" s="136">
        <f>IF($F718="","",IFERROR(INDEX(사건마스터!$AH$5:$AH$64,MATCH($F718,사건마스터!$A$5:$A$64,0)),""))</f>
        <v/>
      </c>
      <c r="L718" s="136">
        <f>IF($F718="","",IFERROR(INDEX(사건마스터!$AI$5:$AI$64,MATCH($F718,사건마스터!$A$5:$A$64,0)),""))</f>
        <v/>
      </c>
      <c r="M718" s="136">
        <f>IF($F718="","",IFERROR(INDEX(사건마스터!$AJ$5:$AJ$64,MATCH($F718,사건마스터!$A$5:$A$64,0)),""))</f>
        <v/>
      </c>
      <c r="N718" s="136">
        <f>IF($F718="","",IFERROR(INDEX(사건마스터!$AK$5:$AK$64,MATCH($F718,사건마스터!$A$5:$A$64,0)),""))</f>
        <v/>
      </c>
      <c r="O718" s="136">
        <f>IF($F718="","",IFERROR(INDEX(사건마스터!$AL$5:$AL$64,MATCH($F718,사건마스터!$A$5:$A$64,0)),""))</f>
        <v/>
      </c>
      <c r="P718" s="136">
        <f>IF($F718="","",IFERROR(INDEX(사건마스터!$AM$5:$AM$64,MATCH($F718,사건마스터!$A$5:$A$64,0)),""))</f>
        <v/>
      </c>
      <c r="Q718" s="136">
        <f>IF($F718="","",IFERROR(INDEX(사건마스터!$AN$5:$AN$64,MATCH($F718,사건마스터!$A$5:$A$64,0)),""))</f>
        <v/>
      </c>
      <c r="R718" s="136">
        <f>IF($F718="","",IFERROR(INDEX(사건마스터!$AO$5:$AO$64,MATCH($F718,사건마스터!$A$5:$A$64,0)),""))</f>
        <v/>
      </c>
      <c r="S718" s="136">
        <f>IF($F718="","",IFERROR(INDEX(사건마스터!$AP$5:$AP$64,MATCH($F718,사건마스터!$A$5:$A$64,0)),""))</f>
        <v/>
      </c>
      <c r="T718" s="136">
        <f>IF($F718="","",IFERROR(INDEX(사건마스터!$AQ$5:$AQ$64,MATCH($F718,사건마스터!$A$5:$A$64,0)),""))</f>
        <v/>
      </c>
      <c r="U718" s="136">
        <f>IF($F718="","",IFERROR(INDEX(사건마스터!$AR$5:$AR$64,MATCH($F718,사건마스터!$A$5:$A$64,0)),""))</f>
        <v/>
      </c>
      <c r="V718" s="136">
        <f>IF($F718="","",IFERROR(INDEX(사건마스터!$AS$5:$AS$64,MATCH($F718,사건마스터!$A$5:$A$64,0)),""))</f>
        <v/>
      </c>
      <c r="W718" s="136">
        <f>IF($F718="","",IFERROR(INDEX(사건마스터!$AT$5:$AT$64,MATCH($F718,사건마스터!$A$5:$A$64,0)),""))</f>
        <v/>
      </c>
      <c r="X718" s="136">
        <f>IF($F718="","",IFERROR(INDEX(사건마스터!$AU$5:$AU$64,MATCH($F718,사건마스터!$A$5:$A$64,0)),""))</f>
        <v/>
      </c>
      <c r="Y718" s="136">
        <f>IF($F718="","",IFERROR(INDEX(사건마스터!$AV$5:$AV$64,MATCH($F718,사건마스터!$A$5:$A$64,0)),""))</f>
        <v/>
      </c>
      <c r="Z718" s="118">
        <f>IF(COUNTBLANK($J718:$Y718)=16,"",16-COUNTBLANK($J718:$Y718))</f>
        <v/>
      </c>
      <c r="AA718" s="33">
        <f>IF($J718="",MID($AX718,3,255),$J718&amp;$AX718)</f>
        <v/>
      </c>
      <c r="AB718" s="130">
        <f>IF($J718="","",IFERROR(INDEX(코드설정!$D$5:$D$24,MATCH($J718,코드설정!$C$5:$C$24,0)),""))</f>
        <v/>
      </c>
      <c r="AC718" s="36" t="n"/>
      <c r="AD718" s="37" t="n"/>
      <c r="AE718" s="38" t="n"/>
      <c r="AF718" s="118">
        <f>IF(OR($B718="",$C718=""),"",$C718-$B718+1)</f>
        <v/>
      </c>
      <c r="AG718" s="74" t="n"/>
      <c r="AH718" s="36" t="n"/>
      <c r="AJ718">
        <f>IF($K718="","",", "&amp;$K718)</f>
        <v/>
      </c>
      <c r="AK718">
        <f>AJ718&amp;IF($L718="","",", "&amp;$L718)</f>
        <v/>
      </c>
      <c r="AL718">
        <f>AK718&amp;IF($M718="","",", "&amp;$M718)</f>
        <v/>
      </c>
      <c r="AM718">
        <f>AL718&amp;IF($N718="","",", "&amp;$N718)</f>
        <v/>
      </c>
      <c r="AN718">
        <f>AM718&amp;IF($O718="","",", "&amp;$O718)</f>
        <v/>
      </c>
      <c r="AO718">
        <f>AN718&amp;IF($P718="","",", "&amp;$P718)</f>
        <v/>
      </c>
      <c r="AP718">
        <f>AO718&amp;IF($Q718="","",", "&amp;$Q718)</f>
        <v/>
      </c>
      <c r="AQ718">
        <f>AP718&amp;IF($R718="","",", "&amp;$R718)</f>
        <v/>
      </c>
      <c r="AR718">
        <f>AQ718&amp;IF($S718="","",", "&amp;$S718)</f>
        <v/>
      </c>
      <c r="AS718">
        <f>AR718&amp;IF($T718="","",", "&amp;$T718)</f>
        <v/>
      </c>
      <c r="AT718">
        <f>AS718&amp;IF($U718="","",", "&amp;$U718)</f>
        <v/>
      </c>
      <c r="AU718">
        <f>AT718&amp;IF($V718="","",", "&amp;$V718)</f>
        <v/>
      </c>
      <c r="AV718">
        <f>AU718&amp;IF($W718="","",", "&amp;$W718)</f>
        <v/>
      </c>
      <c r="AW718">
        <f>AV718&amp;IF($X718="","",", "&amp;$X718)</f>
        <v/>
      </c>
      <c r="AX718">
        <f>AW718&amp;IF($Y718="","",", "&amp;$Y718)</f>
        <v/>
      </c>
    </row>
    <row r="719">
      <c r="A719" s="118">
        <f>IF($B719="","",COUNT($B$5:$B719))</f>
        <v/>
      </c>
      <c r="B719" s="80" t="n"/>
      <c r="C719" s="80" t="n"/>
      <c r="D719" s="74" t="n"/>
      <c r="E719" s="74" t="n"/>
      <c r="F719" s="74" t="n"/>
      <c r="G719" s="118">
        <f>IF($F719="","",COUNTIF($F$5:$F719,$F719))</f>
        <v/>
      </c>
      <c r="H719" s="33">
        <f>IF($F719="","",IFERROR(INDEX(사건마스터!$B$5:$B$64,MATCH($F719,사건마스터!$A$5:$A$64,0)),""))</f>
        <v/>
      </c>
      <c r="I719" s="130">
        <f>IF($F719="","",IFERROR(INDEX(사건마스터!$C$5:$C$64,MATCH($F719,사건마스터!$A$5:$A$64,0)),""))</f>
        <v/>
      </c>
      <c r="J719" s="136">
        <f>IF($F719="","",IFERROR(INDEX(사건마스터!$H$5:$H$64,MATCH($F719,사건마스터!$A$5:$A$64,0)),""))</f>
        <v/>
      </c>
      <c r="K719" s="136">
        <f>IF($F719="","",IFERROR(INDEX(사건마스터!$AH$5:$AH$64,MATCH($F719,사건마스터!$A$5:$A$64,0)),""))</f>
        <v/>
      </c>
      <c r="L719" s="136">
        <f>IF($F719="","",IFERROR(INDEX(사건마스터!$AI$5:$AI$64,MATCH($F719,사건마스터!$A$5:$A$64,0)),""))</f>
        <v/>
      </c>
      <c r="M719" s="136">
        <f>IF($F719="","",IFERROR(INDEX(사건마스터!$AJ$5:$AJ$64,MATCH($F719,사건마스터!$A$5:$A$64,0)),""))</f>
        <v/>
      </c>
      <c r="N719" s="136">
        <f>IF($F719="","",IFERROR(INDEX(사건마스터!$AK$5:$AK$64,MATCH($F719,사건마스터!$A$5:$A$64,0)),""))</f>
        <v/>
      </c>
      <c r="O719" s="136">
        <f>IF($F719="","",IFERROR(INDEX(사건마스터!$AL$5:$AL$64,MATCH($F719,사건마스터!$A$5:$A$64,0)),""))</f>
        <v/>
      </c>
      <c r="P719" s="136">
        <f>IF($F719="","",IFERROR(INDEX(사건마스터!$AM$5:$AM$64,MATCH($F719,사건마스터!$A$5:$A$64,0)),""))</f>
        <v/>
      </c>
      <c r="Q719" s="136">
        <f>IF($F719="","",IFERROR(INDEX(사건마스터!$AN$5:$AN$64,MATCH($F719,사건마스터!$A$5:$A$64,0)),""))</f>
        <v/>
      </c>
      <c r="R719" s="136">
        <f>IF($F719="","",IFERROR(INDEX(사건마스터!$AO$5:$AO$64,MATCH($F719,사건마스터!$A$5:$A$64,0)),""))</f>
        <v/>
      </c>
      <c r="S719" s="136">
        <f>IF($F719="","",IFERROR(INDEX(사건마스터!$AP$5:$AP$64,MATCH($F719,사건마스터!$A$5:$A$64,0)),""))</f>
        <v/>
      </c>
      <c r="T719" s="136">
        <f>IF($F719="","",IFERROR(INDEX(사건마스터!$AQ$5:$AQ$64,MATCH($F719,사건마스터!$A$5:$A$64,0)),""))</f>
        <v/>
      </c>
      <c r="U719" s="136">
        <f>IF($F719="","",IFERROR(INDEX(사건마스터!$AR$5:$AR$64,MATCH($F719,사건마스터!$A$5:$A$64,0)),""))</f>
        <v/>
      </c>
      <c r="V719" s="136">
        <f>IF($F719="","",IFERROR(INDEX(사건마스터!$AS$5:$AS$64,MATCH($F719,사건마스터!$A$5:$A$64,0)),""))</f>
        <v/>
      </c>
      <c r="W719" s="136">
        <f>IF($F719="","",IFERROR(INDEX(사건마스터!$AT$5:$AT$64,MATCH($F719,사건마스터!$A$5:$A$64,0)),""))</f>
        <v/>
      </c>
      <c r="X719" s="136">
        <f>IF($F719="","",IFERROR(INDEX(사건마스터!$AU$5:$AU$64,MATCH($F719,사건마스터!$A$5:$A$64,0)),""))</f>
        <v/>
      </c>
      <c r="Y719" s="136">
        <f>IF($F719="","",IFERROR(INDEX(사건마스터!$AV$5:$AV$64,MATCH($F719,사건마스터!$A$5:$A$64,0)),""))</f>
        <v/>
      </c>
      <c r="Z719" s="118">
        <f>IF(COUNTBLANK($J719:$Y719)=16,"",16-COUNTBLANK($J719:$Y719))</f>
        <v/>
      </c>
      <c r="AA719" s="33">
        <f>IF($J719="",MID($AX719,3,255),$J719&amp;$AX719)</f>
        <v/>
      </c>
      <c r="AB719" s="130">
        <f>IF($J719="","",IFERROR(INDEX(코드설정!$D$5:$D$24,MATCH($J719,코드설정!$C$5:$C$24,0)),""))</f>
        <v/>
      </c>
      <c r="AC719" s="36" t="n"/>
      <c r="AD719" s="37" t="n"/>
      <c r="AE719" s="38" t="n"/>
      <c r="AF719" s="118">
        <f>IF(OR($B719="",$C719=""),"",$C719-$B719+1)</f>
        <v/>
      </c>
      <c r="AG719" s="74" t="n"/>
      <c r="AH719" s="36" t="n"/>
      <c r="AJ719">
        <f>IF($K719="","",", "&amp;$K719)</f>
        <v/>
      </c>
      <c r="AK719">
        <f>AJ719&amp;IF($L719="","",", "&amp;$L719)</f>
        <v/>
      </c>
      <c r="AL719">
        <f>AK719&amp;IF($M719="","",", "&amp;$M719)</f>
        <v/>
      </c>
      <c r="AM719">
        <f>AL719&amp;IF($N719="","",", "&amp;$N719)</f>
        <v/>
      </c>
      <c r="AN719">
        <f>AM719&amp;IF($O719="","",", "&amp;$O719)</f>
        <v/>
      </c>
      <c r="AO719">
        <f>AN719&amp;IF($P719="","",", "&amp;$P719)</f>
        <v/>
      </c>
      <c r="AP719">
        <f>AO719&amp;IF($Q719="","",", "&amp;$Q719)</f>
        <v/>
      </c>
      <c r="AQ719">
        <f>AP719&amp;IF($R719="","",", "&amp;$R719)</f>
        <v/>
      </c>
      <c r="AR719">
        <f>AQ719&amp;IF($S719="","",", "&amp;$S719)</f>
        <v/>
      </c>
      <c r="AS719">
        <f>AR719&amp;IF($T719="","",", "&amp;$T719)</f>
        <v/>
      </c>
      <c r="AT719">
        <f>AS719&amp;IF($U719="","",", "&amp;$U719)</f>
        <v/>
      </c>
      <c r="AU719">
        <f>AT719&amp;IF($V719="","",", "&amp;$V719)</f>
        <v/>
      </c>
      <c r="AV719">
        <f>AU719&amp;IF($W719="","",", "&amp;$W719)</f>
        <v/>
      </c>
      <c r="AW719">
        <f>AV719&amp;IF($X719="","",", "&amp;$X719)</f>
        <v/>
      </c>
      <c r="AX719">
        <f>AW719&amp;IF($Y719="","",", "&amp;$Y719)</f>
        <v/>
      </c>
    </row>
    <row r="720">
      <c r="A720" s="118">
        <f>IF($B720="","",COUNT($B$5:$B720))</f>
        <v/>
      </c>
      <c r="B720" s="80" t="n"/>
      <c r="C720" s="80" t="n"/>
      <c r="D720" s="74" t="n"/>
      <c r="E720" s="74" t="n"/>
      <c r="F720" s="74" t="n"/>
      <c r="G720" s="118">
        <f>IF($F720="","",COUNTIF($F$5:$F720,$F720))</f>
        <v/>
      </c>
      <c r="H720" s="33">
        <f>IF($F720="","",IFERROR(INDEX(사건마스터!$B$5:$B$64,MATCH($F720,사건마스터!$A$5:$A$64,0)),""))</f>
        <v/>
      </c>
      <c r="I720" s="130">
        <f>IF($F720="","",IFERROR(INDEX(사건마스터!$C$5:$C$64,MATCH($F720,사건마스터!$A$5:$A$64,0)),""))</f>
        <v/>
      </c>
      <c r="J720" s="136">
        <f>IF($F720="","",IFERROR(INDEX(사건마스터!$H$5:$H$64,MATCH($F720,사건마스터!$A$5:$A$64,0)),""))</f>
        <v/>
      </c>
      <c r="K720" s="136">
        <f>IF($F720="","",IFERROR(INDEX(사건마스터!$AH$5:$AH$64,MATCH($F720,사건마스터!$A$5:$A$64,0)),""))</f>
        <v/>
      </c>
      <c r="L720" s="136">
        <f>IF($F720="","",IFERROR(INDEX(사건마스터!$AI$5:$AI$64,MATCH($F720,사건마스터!$A$5:$A$64,0)),""))</f>
        <v/>
      </c>
      <c r="M720" s="136">
        <f>IF($F720="","",IFERROR(INDEX(사건마스터!$AJ$5:$AJ$64,MATCH($F720,사건마스터!$A$5:$A$64,0)),""))</f>
        <v/>
      </c>
      <c r="N720" s="136">
        <f>IF($F720="","",IFERROR(INDEX(사건마스터!$AK$5:$AK$64,MATCH($F720,사건마스터!$A$5:$A$64,0)),""))</f>
        <v/>
      </c>
      <c r="O720" s="136">
        <f>IF($F720="","",IFERROR(INDEX(사건마스터!$AL$5:$AL$64,MATCH($F720,사건마스터!$A$5:$A$64,0)),""))</f>
        <v/>
      </c>
      <c r="P720" s="136">
        <f>IF($F720="","",IFERROR(INDEX(사건마스터!$AM$5:$AM$64,MATCH($F720,사건마스터!$A$5:$A$64,0)),""))</f>
        <v/>
      </c>
      <c r="Q720" s="136">
        <f>IF($F720="","",IFERROR(INDEX(사건마스터!$AN$5:$AN$64,MATCH($F720,사건마스터!$A$5:$A$64,0)),""))</f>
        <v/>
      </c>
      <c r="R720" s="136">
        <f>IF($F720="","",IFERROR(INDEX(사건마스터!$AO$5:$AO$64,MATCH($F720,사건마스터!$A$5:$A$64,0)),""))</f>
        <v/>
      </c>
      <c r="S720" s="136">
        <f>IF($F720="","",IFERROR(INDEX(사건마스터!$AP$5:$AP$64,MATCH($F720,사건마스터!$A$5:$A$64,0)),""))</f>
        <v/>
      </c>
      <c r="T720" s="136">
        <f>IF($F720="","",IFERROR(INDEX(사건마스터!$AQ$5:$AQ$64,MATCH($F720,사건마스터!$A$5:$A$64,0)),""))</f>
        <v/>
      </c>
      <c r="U720" s="136">
        <f>IF($F720="","",IFERROR(INDEX(사건마스터!$AR$5:$AR$64,MATCH($F720,사건마스터!$A$5:$A$64,0)),""))</f>
        <v/>
      </c>
      <c r="V720" s="136">
        <f>IF($F720="","",IFERROR(INDEX(사건마스터!$AS$5:$AS$64,MATCH($F720,사건마스터!$A$5:$A$64,0)),""))</f>
        <v/>
      </c>
      <c r="W720" s="136">
        <f>IF($F720="","",IFERROR(INDEX(사건마스터!$AT$5:$AT$64,MATCH($F720,사건마스터!$A$5:$A$64,0)),""))</f>
        <v/>
      </c>
      <c r="X720" s="136">
        <f>IF($F720="","",IFERROR(INDEX(사건마스터!$AU$5:$AU$64,MATCH($F720,사건마스터!$A$5:$A$64,0)),""))</f>
        <v/>
      </c>
      <c r="Y720" s="136">
        <f>IF($F720="","",IFERROR(INDEX(사건마스터!$AV$5:$AV$64,MATCH($F720,사건마스터!$A$5:$A$64,0)),""))</f>
        <v/>
      </c>
      <c r="Z720" s="118">
        <f>IF(COUNTBLANK($J720:$Y720)=16,"",16-COUNTBLANK($J720:$Y720))</f>
        <v/>
      </c>
      <c r="AA720" s="33">
        <f>IF($J720="",MID($AX720,3,255),$J720&amp;$AX720)</f>
        <v/>
      </c>
      <c r="AB720" s="130">
        <f>IF($J720="","",IFERROR(INDEX(코드설정!$D$5:$D$24,MATCH($J720,코드설정!$C$5:$C$24,0)),""))</f>
        <v/>
      </c>
      <c r="AC720" s="36" t="n"/>
      <c r="AD720" s="37" t="n"/>
      <c r="AE720" s="38" t="n"/>
      <c r="AF720" s="118">
        <f>IF(OR($B720="",$C720=""),"",$C720-$B720+1)</f>
        <v/>
      </c>
      <c r="AG720" s="74" t="n"/>
      <c r="AH720" s="36" t="n"/>
      <c r="AJ720">
        <f>IF($K720="","",", "&amp;$K720)</f>
        <v/>
      </c>
      <c r="AK720">
        <f>AJ720&amp;IF($L720="","",", "&amp;$L720)</f>
        <v/>
      </c>
      <c r="AL720">
        <f>AK720&amp;IF($M720="","",", "&amp;$M720)</f>
        <v/>
      </c>
      <c r="AM720">
        <f>AL720&amp;IF($N720="","",", "&amp;$N720)</f>
        <v/>
      </c>
      <c r="AN720">
        <f>AM720&amp;IF($O720="","",", "&amp;$O720)</f>
        <v/>
      </c>
      <c r="AO720">
        <f>AN720&amp;IF($P720="","",", "&amp;$P720)</f>
        <v/>
      </c>
      <c r="AP720">
        <f>AO720&amp;IF($Q720="","",", "&amp;$Q720)</f>
        <v/>
      </c>
      <c r="AQ720">
        <f>AP720&amp;IF($R720="","",", "&amp;$R720)</f>
        <v/>
      </c>
      <c r="AR720">
        <f>AQ720&amp;IF($S720="","",", "&amp;$S720)</f>
        <v/>
      </c>
      <c r="AS720">
        <f>AR720&amp;IF($T720="","",", "&amp;$T720)</f>
        <v/>
      </c>
      <c r="AT720">
        <f>AS720&amp;IF($U720="","",", "&amp;$U720)</f>
        <v/>
      </c>
      <c r="AU720">
        <f>AT720&amp;IF($V720="","",", "&amp;$V720)</f>
        <v/>
      </c>
      <c r="AV720">
        <f>AU720&amp;IF($W720="","",", "&amp;$W720)</f>
        <v/>
      </c>
      <c r="AW720">
        <f>AV720&amp;IF($X720="","",", "&amp;$X720)</f>
        <v/>
      </c>
      <c r="AX720">
        <f>AW720&amp;IF($Y720="","",", "&amp;$Y720)</f>
        <v/>
      </c>
    </row>
    <row r="721">
      <c r="A721" s="118">
        <f>IF($B721="","",COUNT($B$5:$B721))</f>
        <v/>
      </c>
      <c r="B721" s="80" t="n"/>
      <c r="C721" s="80" t="n"/>
      <c r="D721" s="74" t="n"/>
      <c r="E721" s="74" t="n"/>
      <c r="F721" s="74" t="n"/>
      <c r="G721" s="118">
        <f>IF($F721="","",COUNTIF($F$5:$F721,$F721))</f>
        <v/>
      </c>
      <c r="H721" s="33">
        <f>IF($F721="","",IFERROR(INDEX(사건마스터!$B$5:$B$64,MATCH($F721,사건마스터!$A$5:$A$64,0)),""))</f>
        <v/>
      </c>
      <c r="I721" s="130">
        <f>IF($F721="","",IFERROR(INDEX(사건마스터!$C$5:$C$64,MATCH($F721,사건마스터!$A$5:$A$64,0)),""))</f>
        <v/>
      </c>
      <c r="J721" s="136">
        <f>IF($F721="","",IFERROR(INDEX(사건마스터!$H$5:$H$64,MATCH($F721,사건마스터!$A$5:$A$64,0)),""))</f>
        <v/>
      </c>
      <c r="K721" s="136">
        <f>IF($F721="","",IFERROR(INDEX(사건마스터!$AH$5:$AH$64,MATCH($F721,사건마스터!$A$5:$A$64,0)),""))</f>
        <v/>
      </c>
      <c r="L721" s="136">
        <f>IF($F721="","",IFERROR(INDEX(사건마스터!$AI$5:$AI$64,MATCH($F721,사건마스터!$A$5:$A$64,0)),""))</f>
        <v/>
      </c>
      <c r="M721" s="136">
        <f>IF($F721="","",IFERROR(INDEX(사건마스터!$AJ$5:$AJ$64,MATCH($F721,사건마스터!$A$5:$A$64,0)),""))</f>
        <v/>
      </c>
      <c r="N721" s="136">
        <f>IF($F721="","",IFERROR(INDEX(사건마스터!$AK$5:$AK$64,MATCH($F721,사건마스터!$A$5:$A$64,0)),""))</f>
        <v/>
      </c>
      <c r="O721" s="136">
        <f>IF($F721="","",IFERROR(INDEX(사건마스터!$AL$5:$AL$64,MATCH($F721,사건마스터!$A$5:$A$64,0)),""))</f>
        <v/>
      </c>
      <c r="P721" s="136">
        <f>IF($F721="","",IFERROR(INDEX(사건마스터!$AM$5:$AM$64,MATCH($F721,사건마스터!$A$5:$A$64,0)),""))</f>
        <v/>
      </c>
      <c r="Q721" s="136">
        <f>IF($F721="","",IFERROR(INDEX(사건마스터!$AN$5:$AN$64,MATCH($F721,사건마스터!$A$5:$A$64,0)),""))</f>
        <v/>
      </c>
      <c r="R721" s="136">
        <f>IF($F721="","",IFERROR(INDEX(사건마스터!$AO$5:$AO$64,MATCH($F721,사건마스터!$A$5:$A$64,0)),""))</f>
        <v/>
      </c>
      <c r="S721" s="136">
        <f>IF($F721="","",IFERROR(INDEX(사건마스터!$AP$5:$AP$64,MATCH($F721,사건마스터!$A$5:$A$64,0)),""))</f>
        <v/>
      </c>
      <c r="T721" s="136">
        <f>IF($F721="","",IFERROR(INDEX(사건마스터!$AQ$5:$AQ$64,MATCH($F721,사건마스터!$A$5:$A$64,0)),""))</f>
        <v/>
      </c>
      <c r="U721" s="136">
        <f>IF($F721="","",IFERROR(INDEX(사건마스터!$AR$5:$AR$64,MATCH($F721,사건마스터!$A$5:$A$64,0)),""))</f>
        <v/>
      </c>
      <c r="V721" s="136">
        <f>IF($F721="","",IFERROR(INDEX(사건마스터!$AS$5:$AS$64,MATCH($F721,사건마스터!$A$5:$A$64,0)),""))</f>
        <v/>
      </c>
      <c r="W721" s="136">
        <f>IF($F721="","",IFERROR(INDEX(사건마스터!$AT$5:$AT$64,MATCH($F721,사건마스터!$A$5:$A$64,0)),""))</f>
        <v/>
      </c>
      <c r="X721" s="136">
        <f>IF($F721="","",IFERROR(INDEX(사건마스터!$AU$5:$AU$64,MATCH($F721,사건마스터!$A$5:$A$64,0)),""))</f>
        <v/>
      </c>
      <c r="Y721" s="136">
        <f>IF($F721="","",IFERROR(INDEX(사건마스터!$AV$5:$AV$64,MATCH($F721,사건마스터!$A$5:$A$64,0)),""))</f>
        <v/>
      </c>
      <c r="Z721" s="118">
        <f>IF(COUNTBLANK($J721:$Y721)=16,"",16-COUNTBLANK($J721:$Y721))</f>
        <v/>
      </c>
      <c r="AA721" s="33">
        <f>IF($J721="",MID($AX721,3,255),$J721&amp;$AX721)</f>
        <v/>
      </c>
      <c r="AB721" s="130">
        <f>IF($J721="","",IFERROR(INDEX(코드설정!$D$5:$D$24,MATCH($J721,코드설정!$C$5:$C$24,0)),""))</f>
        <v/>
      </c>
      <c r="AC721" s="36" t="n"/>
      <c r="AD721" s="37" t="n"/>
      <c r="AE721" s="38" t="n"/>
      <c r="AF721" s="118">
        <f>IF(OR($B721="",$C721=""),"",$C721-$B721+1)</f>
        <v/>
      </c>
      <c r="AG721" s="74" t="n"/>
      <c r="AH721" s="36" t="n"/>
      <c r="AJ721">
        <f>IF($K721="","",", "&amp;$K721)</f>
        <v/>
      </c>
      <c r="AK721">
        <f>AJ721&amp;IF($L721="","",", "&amp;$L721)</f>
        <v/>
      </c>
      <c r="AL721">
        <f>AK721&amp;IF($M721="","",", "&amp;$M721)</f>
        <v/>
      </c>
      <c r="AM721">
        <f>AL721&amp;IF($N721="","",", "&amp;$N721)</f>
        <v/>
      </c>
      <c r="AN721">
        <f>AM721&amp;IF($O721="","",", "&amp;$O721)</f>
        <v/>
      </c>
      <c r="AO721">
        <f>AN721&amp;IF($P721="","",", "&amp;$P721)</f>
        <v/>
      </c>
      <c r="AP721">
        <f>AO721&amp;IF($Q721="","",", "&amp;$Q721)</f>
        <v/>
      </c>
      <c r="AQ721">
        <f>AP721&amp;IF($R721="","",", "&amp;$R721)</f>
        <v/>
      </c>
      <c r="AR721">
        <f>AQ721&amp;IF($S721="","",", "&amp;$S721)</f>
        <v/>
      </c>
      <c r="AS721">
        <f>AR721&amp;IF($T721="","",", "&amp;$T721)</f>
        <v/>
      </c>
      <c r="AT721">
        <f>AS721&amp;IF($U721="","",", "&amp;$U721)</f>
        <v/>
      </c>
      <c r="AU721">
        <f>AT721&amp;IF($V721="","",", "&amp;$V721)</f>
        <v/>
      </c>
      <c r="AV721">
        <f>AU721&amp;IF($W721="","",", "&amp;$W721)</f>
        <v/>
      </c>
      <c r="AW721">
        <f>AV721&amp;IF($X721="","",", "&amp;$X721)</f>
        <v/>
      </c>
      <c r="AX721">
        <f>AW721&amp;IF($Y721="","",", "&amp;$Y721)</f>
        <v/>
      </c>
    </row>
    <row r="722">
      <c r="A722" s="118">
        <f>IF($B722="","",COUNT($B$5:$B722))</f>
        <v/>
      </c>
      <c r="B722" s="80" t="n"/>
      <c r="C722" s="80" t="n"/>
      <c r="D722" s="74" t="n"/>
      <c r="E722" s="74" t="n"/>
      <c r="F722" s="74" t="n"/>
      <c r="G722" s="118">
        <f>IF($F722="","",COUNTIF($F$5:$F722,$F722))</f>
        <v/>
      </c>
      <c r="H722" s="33">
        <f>IF($F722="","",IFERROR(INDEX(사건마스터!$B$5:$B$64,MATCH($F722,사건마스터!$A$5:$A$64,0)),""))</f>
        <v/>
      </c>
      <c r="I722" s="130">
        <f>IF($F722="","",IFERROR(INDEX(사건마스터!$C$5:$C$64,MATCH($F722,사건마스터!$A$5:$A$64,0)),""))</f>
        <v/>
      </c>
      <c r="J722" s="136">
        <f>IF($F722="","",IFERROR(INDEX(사건마스터!$H$5:$H$64,MATCH($F722,사건마스터!$A$5:$A$64,0)),""))</f>
        <v/>
      </c>
      <c r="K722" s="136">
        <f>IF($F722="","",IFERROR(INDEX(사건마스터!$AH$5:$AH$64,MATCH($F722,사건마스터!$A$5:$A$64,0)),""))</f>
        <v/>
      </c>
      <c r="L722" s="136">
        <f>IF($F722="","",IFERROR(INDEX(사건마스터!$AI$5:$AI$64,MATCH($F722,사건마스터!$A$5:$A$64,0)),""))</f>
        <v/>
      </c>
      <c r="M722" s="136">
        <f>IF($F722="","",IFERROR(INDEX(사건마스터!$AJ$5:$AJ$64,MATCH($F722,사건마스터!$A$5:$A$64,0)),""))</f>
        <v/>
      </c>
      <c r="N722" s="136">
        <f>IF($F722="","",IFERROR(INDEX(사건마스터!$AK$5:$AK$64,MATCH($F722,사건마스터!$A$5:$A$64,0)),""))</f>
        <v/>
      </c>
      <c r="O722" s="136">
        <f>IF($F722="","",IFERROR(INDEX(사건마스터!$AL$5:$AL$64,MATCH($F722,사건마스터!$A$5:$A$64,0)),""))</f>
        <v/>
      </c>
      <c r="P722" s="136">
        <f>IF($F722="","",IFERROR(INDEX(사건마스터!$AM$5:$AM$64,MATCH($F722,사건마스터!$A$5:$A$64,0)),""))</f>
        <v/>
      </c>
      <c r="Q722" s="136">
        <f>IF($F722="","",IFERROR(INDEX(사건마스터!$AN$5:$AN$64,MATCH($F722,사건마스터!$A$5:$A$64,0)),""))</f>
        <v/>
      </c>
      <c r="R722" s="136">
        <f>IF($F722="","",IFERROR(INDEX(사건마스터!$AO$5:$AO$64,MATCH($F722,사건마스터!$A$5:$A$64,0)),""))</f>
        <v/>
      </c>
      <c r="S722" s="136">
        <f>IF($F722="","",IFERROR(INDEX(사건마스터!$AP$5:$AP$64,MATCH($F722,사건마스터!$A$5:$A$64,0)),""))</f>
        <v/>
      </c>
      <c r="T722" s="136">
        <f>IF($F722="","",IFERROR(INDEX(사건마스터!$AQ$5:$AQ$64,MATCH($F722,사건마스터!$A$5:$A$64,0)),""))</f>
        <v/>
      </c>
      <c r="U722" s="136">
        <f>IF($F722="","",IFERROR(INDEX(사건마스터!$AR$5:$AR$64,MATCH($F722,사건마스터!$A$5:$A$64,0)),""))</f>
        <v/>
      </c>
      <c r="V722" s="136">
        <f>IF($F722="","",IFERROR(INDEX(사건마스터!$AS$5:$AS$64,MATCH($F722,사건마스터!$A$5:$A$64,0)),""))</f>
        <v/>
      </c>
      <c r="W722" s="136">
        <f>IF($F722="","",IFERROR(INDEX(사건마스터!$AT$5:$AT$64,MATCH($F722,사건마스터!$A$5:$A$64,0)),""))</f>
        <v/>
      </c>
      <c r="X722" s="136">
        <f>IF($F722="","",IFERROR(INDEX(사건마스터!$AU$5:$AU$64,MATCH($F722,사건마스터!$A$5:$A$64,0)),""))</f>
        <v/>
      </c>
      <c r="Y722" s="136">
        <f>IF($F722="","",IFERROR(INDEX(사건마스터!$AV$5:$AV$64,MATCH($F722,사건마스터!$A$5:$A$64,0)),""))</f>
        <v/>
      </c>
      <c r="Z722" s="118">
        <f>IF(COUNTBLANK($J722:$Y722)=16,"",16-COUNTBLANK($J722:$Y722))</f>
        <v/>
      </c>
      <c r="AA722" s="33">
        <f>IF($J722="",MID($AX722,3,255),$J722&amp;$AX722)</f>
        <v/>
      </c>
      <c r="AB722" s="130">
        <f>IF($J722="","",IFERROR(INDEX(코드설정!$D$5:$D$24,MATCH($J722,코드설정!$C$5:$C$24,0)),""))</f>
        <v/>
      </c>
      <c r="AC722" s="36" t="n"/>
      <c r="AD722" s="37" t="n"/>
      <c r="AE722" s="38" t="n"/>
      <c r="AF722" s="118">
        <f>IF(OR($B722="",$C722=""),"",$C722-$B722+1)</f>
        <v/>
      </c>
      <c r="AG722" s="74" t="n"/>
      <c r="AH722" s="36" t="n"/>
      <c r="AJ722">
        <f>IF($K722="","",", "&amp;$K722)</f>
        <v/>
      </c>
      <c r="AK722">
        <f>AJ722&amp;IF($L722="","",", "&amp;$L722)</f>
        <v/>
      </c>
      <c r="AL722">
        <f>AK722&amp;IF($M722="","",", "&amp;$M722)</f>
        <v/>
      </c>
      <c r="AM722">
        <f>AL722&amp;IF($N722="","",", "&amp;$N722)</f>
        <v/>
      </c>
      <c r="AN722">
        <f>AM722&amp;IF($O722="","",", "&amp;$O722)</f>
        <v/>
      </c>
      <c r="AO722">
        <f>AN722&amp;IF($P722="","",", "&amp;$P722)</f>
        <v/>
      </c>
      <c r="AP722">
        <f>AO722&amp;IF($Q722="","",", "&amp;$Q722)</f>
        <v/>
      </c>
      <c r="AQ722">
        <f>AP722&amp;IF($R722="","",", "&amp;$R722)</f>
        <v/>
      </c>
      <c r="AR722">
        <f>AQ722&amp;IF($S722="","",", "&amp;$S722)</f>
        <v/>
      </c>
      <c r="AS722">
        <f>AR722&amp;IF($T722="","",", "&amp;$T722)</f>
        <v/>
      </c>
      <c r="AT722">
        <f>AS722&amp;IF($U722="","",", "&amp;$U722)</f>
        <v/>
      </c>
      <c r="AU722">
        <f>AT722&amp;IF($V722="","",", "&amp;$V722)</f>
        <v/>
      </c>
      <c r="AV722">
        <f>AU722&amp;IF($W722="","",", "&amp;$W722)</f>
        <v/>
      </c>
      <c r="AW722">
        <f>AV722&amp;IF($X722="","",", "&amp;$X722)</f>
        <v/>
      </c>
      <c r="AX722">
        <f>AW722&amp;IF($Y722="","",", "&amp;$Y722)</f>
        <v/>
      </c>
    </row>
    <row r="723">
      <c r="A723" s="118">
        <f>IF($B723="","",COUNT($B$5:$B723))</f>
        <v/>
      </c>
      <c r="B723" s="80" t="n"/>
      <c r="C723" s="80" t="n"/>
      <c r="D723" s="74" t="n"/>
      <c r="E723" s="74" t="n"/>
      <c r="F723" s="74" t="n"/>
      <c r="G723" s="118">
        <f>IF($F723="","",COUNTIF($F$5:$F723,$F723))</f>
        <v/>
      </c>
      <c r="H723" s="33">
        <f>IF($F723="","",IFERROR(INDEX(사건마스터!$B$5:$B$64,MATCH($F723,사건마스터!$A$5:$A$64,0)),""))</f>
        <v/>
      </c>
      <c r="I723" s="130">
        <f>IF($F723="","",IFERROR(INDEX(사건마스터!$C$5:$C$64,MATCH($F723,사건마스터!$A$5:$A$64,0)),""))</f>
        <v/>
      </c>
      <c r="J723" s="136">
        <f>IF($F723="","",IFERROR(INDEX(사건마스터!$H$5:$H$64,MATCH($F723,사건마스터!$A$5:$A$64,0)),""))</f>
        <v/>
      </c>
      <c r="K723" s="136">
        <f>IF($F723="","",IFERROR(INDEX(사건마스터!$AH$5:$AH$64,MATCH($F723,사건마스터!$A$5:$A$64,0)),""))</f>
        <v/>
      </c>
      <c r="L723" s="136">
        <f>IF($F723="","",IFERROR(INDEX(사건마스터!$AI$5:$AI$64,MATCH($F723,사건마스터!$A$5:$A$64,0)),""))</f>
        <v/>
      </c>
      <c r="M723" s="136">
        <f>IF($F723="","",IFERROR(INDEX(사건마스터!$AJ$5:$AJ$64,MATCH($F723,사건마스터!$A$5:$A$64,0)),""))</f>
        <v/>
      </c>
      <c r="N723" s="136">
        <f>IF($F723="","",IFERROR(INDEX(사건마스터!$AK$5:$AK$64,MATCH($F723,사건마스터!$A$5:$A$64,0)),""))</f>
        <v/>
      </c>
      <c r="O723" s="136">
        <f>IF($F723="","",IFERROR(INDEX(사건마스터!$AL$5:$AL$64,MATCH($F723,사건마스터!$A$5:$A$64,0)),""))</f>
        <v/>
      </c>
      <c r="P723" s="136">
        <f>IF($F723="","",IFERROR(INDEX(사건마스터!$AM$5:$AM$64,MATCH($F723,사건마스터!$A$5:$A$64,0)),""))</f>
        <v/>
      </c>
      <c r="Q723" s="136">
        <f>IF($F723="","",IFERROR(INDEX(사건마스터!$AN$5:$AN$64,MATCH($F723,사건마스터!$A$5:$A$64,0)),""))</f>
        <v/>
      </c>
      <c r="R723" s="136">
        <f>IF($F723="","",IFERROR(INDEX(사건마스터!$AO$5:$AO$64,MATCH($F723,사건마스터!$A$5:$A$64,0)),""))</f>
        <v/>
      </c>
      <c r="S723" s="136">
        <f>IF($F723="","",IFERROR(INDEX(사건마스터!$AP$5:$AP$64,MATCH($F723,사건마스터!$A$5:$A$64,0)),""))</f>
        <v/>
      </c>
      <c r="T723" s="136">
        <f>IF($F723="","",IFERROR(INDEX(사건마스터!$AQ$5:$AQ$64,MATCH($F723,사건마스터!$A$5:$A$64,0)),""))</f>
        <v/>
      </c>
      <c r="U723" s="136">
        <f>IF($F723="","",IFERROR(INDEX(사건마스터!$AR$5:$AR$64,MATCH($F723,사건마스터!$A$5:$A$64,0)),""))</f>
        <v/>
      </c>
      <c r="V723" s="136">
        <f>IF($F723="","",IFERROR(INDEX(사건마스터!$AS$5:$AS$64,MATCH($F723,사건마스터!$A$5:$A$64,0)),""))</f>
        <v/>
      </c>
      <c r="W723" s="136">
        <f>IF($F723="","",IFERROR(INDEX(사건마스터!$AT$5:$AT$64,MATCH($F723,사건마스터!$A$5:$A$64,0)),""))</f>
        <v/>
      </c>
      <c r="X723" s="136">
        <f>IF($F723="","",IFERROR(INDEX(사건마스터!$AU$5:$AU$64,MATCH($F723,사건마스터!$A$5:$A$64,0)),""))</f>
        <v/>
      </c>
      <c r="Y723" s="136">
        <f>IF($F723="","",IFERROR(INDEX(사건마스터!$AV$5:$AV$64,MATCH($F723,사건마스터!$A$5:$A$64,0)),""))</f>
        <v/>
      </c>
      <c r="Z723" s="118">
        <f>IF(COUNTBLANK($J723:$Y723)=16,"",16-COUNTBLANK($J723:$Y723))</f>
        <v/>
      </c>
      <c r="AA723" s="33">
        <f>IF($J723="",MID($AX723,3,255),$J723&amp;$AX723)</f>
        <v/>
      </c>
      <c r="AB723" s="130">
        <f>IF($J723="","",IFERROR(INDEX(코드설정!$D$5:$D$24,MATCH($J723,코드설정!$C$5:$C$24,0)),""))</f>
        <v/>
      </c>
      <c r="AC723" s="36" t="n"/>
      <c r="AD723" s="37" t="n"/>
      <c r="AE723" s="38" t="n"/>
      <c r="AF723" s="118">
        <f>IF(OR($B723="",$C723=""),"",$C723-$B723+1)</f>
        <v/>
      </c>
      <c r="AG723" s="74" t="n"/>
      <c r="AH723" s="36" t="n"/>
      <c r="AJ723">
        <f>IF($K723="","",", "&amp;$K723)</f>
        <v/>
      </c>
      <c r="AK723">
        <f>AJ723&amp;IF($L723="","",", "&amp;$L723)</f>
        <v/>
      </c>
      <c r="AL723">
        <f>AK723&amp;IF($M723="","",", "&amp;$M723)</f>
        <v/>
      </c>
      <c r="AM723">
        <f>AL723&amp;IF($N723="","",", "&amp;$N723)</f>
        <v/>
      </c>
      <c r="AN723">
        <f>AM723&amp;IF($O723="","",", "&amp;$O723)</f>
        <v/>
      </c>
      <c r="AO723">
        <f>AN723&amp;IF($P723="","",", "&amp;$P723)</f>
        <v/>
      </c>
      <c r="AP723">
        <f>AO723&amp;IF($Q723="","",", "&amp;$Q723)</f>
        <v/>
      </c>
      <c r="AQ723">
        <f>AP723&amp;IF($R723="","",", "&amp;$R723)</f>
        <v/>
      </c>
      <c r="AR723">
        <f>AQ723&amp;IF($S723="","",", "&amp;$S723)</f>
        <v/>
      </c>
      <c r="AS723">
        <f>AR723&amp;IF($T723="","",", "&amp;$T723)</f>
        <v/>
      </c>
      <c r="AT723">
        <f>AS723&amp;IF($U723="","",", "&amp;$U723)</f>
        <v/>
      </c>
      <c r="AU723">
        <f>AT723&amp;IF($V723="","",", "&amp;$V723)</f>
        <v/>
      </c>
      <c r="AV723">
        <f>AU723&amp;IF($W723="","",", "&amp;$W723)</f>
        <v/>
      </c>
      <c r="AW723">
        <f>AV723&amp;IF($X723="","",", "&amp;$X723)</f>
        <v/>
      </c>
      <c r="AX723">
        <f>AW723&amp;IF($Y723="","",", "&amp;$Y723)</f>
        <v/>
      </c>
    </row>
    <row r="724">
      <c r="A724" s="118">
        <f>IF($B724="","",COUNT($B$5:$B724))</f>
        <v/>
      </c>
      <c r="B724" s="80" t="n"/>
      <c r="C724" s="80" t="n"/>
      <c r="D724" s="74" t="n"/>
      <c r="E724" s="74" t="n"/>
      <c r="F724" s="74" t="n"/>
      <c r="G724" s="118">
        <f>IF($F724="","",COUNTIF($F$5:$F724,$F724))</f>
        <v/>
      </c>
      <c r="H724" s="33">
        <f>IF($F724="","",IFERROR(INDEX(사건마스터!$B$5:$B$64,MATCH($F724,사건마스터!$A$5:$A$64,0)),""))</f>
        <v/>
      </c>
      <c r="I724" s="130">
        <f>IF($F724="","",IFERROR(INDEX(사건마스터!$C$5:$C$64,MATCH($F724,사건마스터!$A$5:$A$64,0)),""))</f>
        <v/>
      </c>
      <c r="J724" s="136">
        <f>IF($F724="","",IFERROR(INDEX(사건마스터!$H$5:$H$64,MATCH($F724,사건마스터!$A$5:$A$64,0)),""))</f>
        <v/>
      </c>
      <c r="K724" s="136">
        <f>IF($F724="","",IFERROR(INDEX(사건마스터!$AH$5:$AH$64,MATCH($F724,사건마스터!$A$5:$A$64,0)),""))</f>
        <v/>
      </c>
      <c r="L724" s="136">
        <f>IF($F724="","",IFERROR(INDEX(사건마스터!$AI$5:$AI$64,MATCH($F724,사건마스터!$A$5:$A$64,0)),""))</f>
        <v/>
      </c>
      <c r="M724" s="136">
        <f>IF($F724="","",IFERROR(INDEX(사건마스터!$AJ$5:$AJ$64,MATCH($F724,사건마스터!$A$5:$A$64,0)),""))</f>
        <v/>
      </c>
      <c r="N724" s="136">
        <f>IF($F724="","",IFERROR(INDEX(사건마스터!$AK$5:$AK$64,MATCH($F724,사건마스터!$A$5:$A$64,0)),""))</f>
        <v/>
      </c>
      <c r="O724" s="136">
        <f>IF($F724="","",IFERROR(INDEX(사건마스터!$AL$5:$AL$64,MATCH($F724,사건마스터!$A$5:$A$64,0)),""))</f>
        <v/>
      </c>
      <c r="P724" s="136">
        <f>IF($F724="","",IFERROR(INDEX(사건마스터!$AM$5:$AM$64,MATCH($F724,사건마스터!$A$5:$A$64,0)),""))</f>
        <v/>
      </c>
      <c r="Q724" s="136">
        <f>IF($F724="","",IFERROR(INDEX(사건마스터!$AN$5:$AN$64,MATCH($F724,사건마스터!$A$5:$A$64,0)),""))</f>
        <v/>
      </c>
      <c r="R724" s="136">
        <f>IF($F724="","",IFERROR(INDEX(사건마스터!$AO$5:$AO$64,MATCH($F724,사건마스터!$A$5:$A$64,0)),""))</f>
        <v/>
      </c>
      <c r="S724" s="136">
        <f>IF($F724="","",IFERROR(INDEX(사건마스터!$AP$5:$AP$64,MATCH($F724,사건마스터!$A$5:$A$64,0)),""))</f>
        <v/>
      </c>
      <c r="T724" s="136">
        <f>IF($F724="","",IFERROR(INDEX(사건마스터!$AQ$5:$AQ$64,MATCH($F724,사건마스터!$A$5:$A$64,0)),""))</f>
        <v/>
      </c>
      <c r="U724" s="136">
        <f>IF($F724="","",IFERROR(INDEX(사건마스터!$AR$5:$AR$64,MATCH($F724,사건마스터!$A$5:$A$64,0)),""))</f>
        <v/>
      </c>
      <c r="V724" s="136">
        <f>IF($F724="","",IFERROR(INDEX(사건마스터!$AS$5:$AS$64,MATCH($F724,사건마스터!$A$5:$A$64,0)),""))</f>
        <v/>
      </c>
      <c r="W724" s="136">
        <f>IF($F724="","",IFERROR(INDEX(사건마스터!$AT$5:$AT$64,MATCH($F724,사건마스터!$A$5:$A$64,0)),""))</f>
        <v/>
      </c>
      <c r="X724" s="136">
        <f>IF($F724="","",IFERROR(INDEX(사건마스터!$AU$5:$AU$64,MATCH($F724,사건마스터!$A$5:$A$64,0)),""))</f>
        <v/>
      </c>
      <c r="Y724" s="136">
        <f>IF($F724="","",IFERROR(INDEX(사건마스터!$AV$5:$AV$64,MATCH($F724,사건마스터!$A$5:$A$64,0)),""))</f>
        <v/>
      </c>
      <c r="Z724" s="118">
        <f>IF(COUNTBLANK($J724:$Y724)=16,"",16-COUNTBLANK($J724:$Y724))</f>
        <v/>
      </c>
      <c r="AA724" s="33">
        <f>IF($J724="",MID($AX724,3,255),$J724&amp;$AX724)</f>
        <v/>
      </c>
      <c r="AB724" s="130">
        <f>IF($J724="","",IFERROR(INDEX(코드설정!$D$5:$D$24,MATCH($J724,코드설정!$C$5:$C$24,0)),""))</f>
        <v/>
      </c>
      <c r="AC724" s="36" t="n"/>
      <c r="AD724" s="37" t="n"/>
      <c r="AE724" s="38" t="n"/>
      <c r="AF724" s="118">
        <f>IF(OR($B724="",$C724=""),"",$C724-$B724+1)</f>
        <v/>
      </c>
      <c r="AG724" s="74" t="n"/>
      <c r="AH724" s="36" t="n"/>
      <c r="AJ724">
        <f>IF($K724="","",", "&amp;$K724)</f>
        <v/>
      </c>
      <c r="AK724">
        <f>AJ724&amp;IF($L724="","",", "&amp;$L724)</f>
        <v/>
      </c>
      <c r="AL724">
        <f>AK724&amp;IF($M724="","",", "&amp;$M724)</f>
        <v/>
      </c>
      <c r="AM724">
        <f>AL724&amp;IF($N724="","",", "&amp;$N724)</f>
        <v/>
      </c>
      <c r="AN724">
        <f>AM724&amp;IF($O724="","",", "&amp;$O724)</f>
        <v/>
      </c>
      <c r="AO724">
        <f>AN724&amp;IF($P724="","",", "&amp;$P724)</f>
        <v/>
      </c>
      <c r="AP724">
        <f>AO724&amp;IF($Q724="","",", "&amp;$Q724)</f>
        <v/>
      </c>
      <c r="AQ724">
        <f>AP724&amp;IF($R724="","",", "&amp;$R724)</f>
        <v/>
      </c>
      <c r="AR724">
        <f>AQ724&amp;IF($S724="","",", "&amp;$S724)</f>
        <v/>
      </c>
      <c r="AS724">
        <f>AR724&amp;IF($T724="","",", "&amp;$T724)</f>
        <v/>
      </c>
      <c r="AT724">
        <f>AS724&amp;IF($U724="","",", "&amp;$U724)</f>
        <v/>
      </c>
      <c r="AU724">
        <f>AT724&amp;IF($V724="","",", "&amp;$V724)</f>
        <v/>
      </c>
      <c r="AV724">
        <f>AU724&amp;IF($W724="","",", "&amp;$W724)</f>
        <v/>
      </c>
      <c r="AW724">
        <f>AV724&amp;IF($X724="","",", "&amp;$X724)</f>
        <v/>
      </c>
      <c r="AX724">
        <f>AW724&amp;IF($Y724="","",", "&amp;$Y724)</f>
        <v/>
      </c>
    </row>
    <row r="725">
      <c r="A725" s="118">
        <f>IF($B725="","",COUNT($B$5:$B725))</f>
        <v/>
      </c>
      <c r="B725" s="80" t="n"/>
      <c r="C725" s="80" t="n"/>
      <c r="D725" s="74" t="n"/>
      <c r="E725" s="74" t="n"/>
      <c r="F725" s="74" t="n"/>
      <c r="G725" s="118">
        <f>IF($F725="","",COUNTIF($F$5:$F725,$F725))</f>
        <v/>
      </c>
      <c r="H725" s="33">
        <f>IF($F725="","",IFERROR(INDEX(사건마스터!$B$5:$B$64,MATCH($F725,사건마스터!$A$5:$A$64,0)),""))</f>
        <v/>
      </c>
      <c r="I725" s="130">
        <f>IF($F725="","",IFERROR(INDEX(사건마스터!$C$5:$C$64,MATCH($F725,사건마스터!$A$5:$A$64,0)),""))</f>
        <v/>
      </c>
      <c r="J725" s="136">
        <f>IF($F725="","",IFERROR(INDEX(사건마스터!$H$5:$H$64,MATCH($F725,사건마스터!$A$5:$A$64,0)),""))</f>
        <v/>
      </c>
      <c r="K725" s="136">
        <f>IF($F725="","",IFERROR(INDEX(사건마스터!$AH$5:$AH$64,MATCH($F725,사건마스터!$A$5:$A$64,0)),""))</f>
        <v/>
      </c>
      <c r="L725" s="136">
        <f>IF($F725="","",IFERROR(INDEX(사건마스터!$AI$5:$AI$64,MATCH($F725,사건마스터!$A$5:$A$64,0)),""))</f>
        <v/>
      </c>
      <c r="M725" s="136">
        <f>IF($F725="","",IFERROR(INDEX(사건마스터!$AJ$5:$AJ$64,MATCH($F725,사건마스터!$A$5:$A$64,0)),""))</f>
        <v/>
      </c>
      <c r="N725" s="136">
        <f>IF($F725="","",IFERROR(INDEX(사건마스터!$AK$5:$AK$64,MATCH($F725,사건마스터!$A$5:$A$64,0)),""))</f>
        <v/>
      </c>
      <c r="O725" s="136">
        <f>IF($F725="","",IFERROR(INDEX(사건마스터!$AL$5:$AL$64,MATCH($F725,사건마스터!$A$5:$A$64,0)),""))</f>
        <v/>
      </c>
      <c r="P725" s="136">
        <f>IF($F725="","",IFERROR(INDEX(사건마스터!$AM$5:$AM$64,MATCH($F725,사건마스터!$A$5:$A$64,0)),""))</f>
        <v/>
      </c>
      <c r="Q725" s="136">
        <f>IF($F725="","",IFERROR(INDEX(사건마스터!$AN$5:$AN$64,MATCH($F725,사건마스터!$A$5:$A$64,0)),""))</f>
        <v/>
      </c>
      <c r="R725" s="136">
        <f>IF($F725="","",IFERROR(INDEX(사건마스터!$AO$5:$AO$64,MATCH($F725,사건마스터!$A$5:$A$64,0)),""))</f>
        <v/>
      </c>
      <c r="S725" s="136">
        <f>IF($F725="","",IFERROR(INDEX(사건마스터!$AP$5:$AP$64,MATCH($F725,사건마스터!$A$5:$A$64,0)),""))</f>
        <v/>
      </c>
      <c r="T725" s="136">
        <f>IF($F725="","",IFERROR(INDEX(사건마스터!$AQ$5:$AQ$64,MATCH($F725,사건마스터!$A$5:$A$64,0)),""))</f>
        <v/>
      </c>
      <c r="U725" s="136">
        <f>IF($F725="","",IFERROR(INDEX(사건마스터!$AR$5:$AR$64,MATCH($F725,사건마스터!$A$5:$A$64,0)),""))</f>
        <v/>
      </c>
      <c r="V725" s="136">
        <f>IF($F725="","",IFERROR(INDEX(사건마스터!$AS$5:$AS$64,MATCH($F725,사건마스터!$A$5:$A$64,0)),""))</f>
        <v/>
      </c>
      <c r="W725" s="136">
        <f>IF($F725="","",IFERROR(INDEX(사건마스터!$AT$5:$AT$64,MATCH($F725,사건마스터!$A$5:$A$64,0)),""))</f>
        <v/>
      </c>
      <c r="X725" s="136">
        <f>IF($F725="","",IFERROR(INDEX(사건마스터!$AU$5:$AU$64,MATCH($F725,사건마스터!$A$5:$A$64,0)),""))</f>
        <v/>
      </c>
      <c r="Y725" s="136">
        <f>IF($F725="","",IFERROR(INDEX(사건마스터!$AV$5:$AV$64,MATCH($F725,사건마스터!$A$5:$A$64,0)),""))</f>
        <v/>
      </c>
      <c r="Z725" s="118">
        <f>IF(COUNTBLANK($J725:$Y725)=16,"",16-COUNTBLANK($J725:$Y725))</f>
        <v/>
      </c>
      <c r="AA725" s="33">
        <f>IF($J725="",MID($AX725,3,255),$J725&amp;$AX725)</f>
        <v/>
      </c>
      <c r="AB725" s="130">
        <f>IF($J725="","",IFERROR(INDEX(코드설정!$D$5:$D$24,MATCH($J725,코드설정!$C$5:$C$24,0)),""))</f>
        <v/>
      </c>
      <c r="AC725" s="36" t="n"/>
      <c r="AD725" s="37" t="n"/>
      <c r="AE725" s="38" t="n"/>
      <c r="AF725" s="118">
        <f>IF(OR($B725="",$C725=""),"",$C725-$B725+1)</f>
        <v/>
      </c>
      <c r="AG725" s="74" t="n"/>
      <c r="AH725" s="36" t="n"/>
      <c r="AJ725">
        <f>IF($K725="","",", "&amp;$K725)</f>
        <v/>
      </c>
      <c r="AK725">
        <f>AJ725&amp;IF($L725="","",", "&amp;$L725)</f>
        <v/>
      </c>
      <c r="AL725">
        <f>AK725&amp;IF($M725="","",", "&amp;$M725)</f>
        <v/>
      </c>
      <c r="AM725">
        <f>AL725&amp;IF($N725="","",", "&amp;$N725)</f>
        <v/>
      </c>
      <c r="AN725">
        <f>AM725&amp;IF($O725="","",", "&amp;$O725)</f>
        <v/>
      </c>
      <c r="AO725">
        <f>AN725&amp;IF($P725="","",", "&amp;$P725)</f>
        <v/>
      </c>
      <c r="AP725">
        <f>AO725&amp;IF($Q725="","",", "&amp;$Q725)</f>
        <v/>
      </c>
      <c r="AQ725">
        <f>AP725&amp;IF($R725="","",", "&amp;$R725)</f>
        <v/>
      </c>
      <c r="AR725">
        <f>AQ725&amp;IF($S725="","",", "&amp;$S725)</f>
        <v/>
      </c>
      <c r="AS725">
        <f>AR725&amp;IF($T725="","",", "&amp;$T725)</f>
        <v/>
      </c>
      <c r="AT725">
        <f>AS725&amp;IF($U725="","",", "&amp;$U725)</f>
        <v/>
      </c>
      <c r="AU725">
        <f>AT725&amp;IF($V725="","",", "&amp;$V725)</f>
        <v/>
      </c>
      <c r="AV725">
        <f>AU725&amp;IF($W725="","",", "&amp;$W725)</f>
        <v/>
      </c>
      <c r="AW725">
        <f>AV725&amp;IF($X725="","",", "&amp;$X725)</f>
        <v/>
      </c>
      <c r="AX725">
        <f>AW725&amp;IF($Y725="","",", "&amp;$Y725)</f>
        <v/>
      </c>
    </row>
    <row r="726">
      <c r="A726" s="118">
        <f>IF($B726="","",COUNT($B$5:$B726))</f>
        <v/>
      </c>
      <c r="B726" s="80" t="n"/>
      <c r="C726" s="80" t="n"/>
      <c r="D726" s="74" t="n"/>
      <c r="E726" s="74" t="n"/>
      <c r="F726" s="74" t="n"/>
      <c r="G726" s="118">
        <f>IF($F726="","",COUNTIF($F$5:$F726,$F726))</f>
        <v/>
      </c>
      <c r="H726" s="33">
        <f>IF($F726="","",IFERROR(INDEX(사건마스터!$B$5:$B$64,MATCH($F726,사건마스터!$A$5:$A$64,0)),""))</f>
        <v/>
      </c>
      <c r="I726" s="130">
        <f>IF($F726="","",IFERROR(INDEX(사건마스터!$C$5:$C$64,MATCH($F726,사건마스터!$A$5:$A$64,0)),""))</f>
        <v/>
      </c>
      <c r="J726" s="136">
        <f>IF($F726="","",IFERROR(INDEX(사건마스터!$H$5:$H$64,MATCH($F726,사건마스터!$A$5:$A$64,0)),""))</f>
        <v/>
      </c>
      <c r="K726" s="136">
        <f>IF($F726="","",IFERROR(INDEX(사건마스터!$AH$5:$AH$64,MATCH($F726,사건마스터!$A$5:$A$64,0)),""))</f>
        <v/>
      </c>
      <c r="L726" s="136">
        <f>IF($F726="","",IFERROR(INDEX(사건마스터!$AI$5:$AI$64,MATCH($F726,사건마스터!$A$5:$A$64,0)),""))</f>
        <v/>
      </c>
      <c r="M726" s="136">
        <f>IF($F726="","",IFERROR(INDEX(사건마스터!$AJ$5:$AJ$64,MATCH($F726,사건마스터!$A$5:$A$64,0)),""))</f>
        <v/>
      </c>
      <c r="N726" s="136">
        <f>IF($F726="","",IFERROR(INDEX(사건마스터!$AK$5:$AK$64,MATCH($F726,사건마스터!$A$5:$A$64,0)),""))</f>
        <v/>
      </c>
      <c r="O726" s="136">
        <f>IF($F726="","",IFERROR(INDEX(사건마스터!$AL$5:$AL$64,MATCH($F726,사건마스터!$A$5:$A$64,0)),""))</f>
        <v/>
      </c>
      <c r="P726" s="136">
        <f>IF($F726="","",IFERROR(INDEX(사건마스터!$AM$5:$AM$64,MATCH($F726,사건마스터!$A$5:$A$64,0)),""))</f>
        <v/>
      </c>
      <c r="Q726" s="136">
        <f>IF($F726="","",IFERROR(INDEX(사건마스터!$AN$5:$AN$64,MATCH($F726,사건마스터!$A$5:$A$64,0)),""))</f>
        <v/>
      </c>
      <c r="R726" s="136">
        <f>IF($F726="","",IFERROR(INDEX(사건마스터!$AO$5:$AO$64,MATCH($F726,사건마스터!$A$5:$A$64,0)),""))</f>
        <v/>
      </c>
      <c r="S726" s="136">
        <f>IF($F726="","",IFERROR(INDEX(사건마스터!$AP$5:$AP$64,MATCH($F726,사건마스터!$A$5:$A$64,0)),""))</f>
        <v/>
      </c>
      <c r="T726" s="136">
        <f>IF($F726="","",IFERROR(INDEX(사건마스터!$AQ$5:$AQ$64,MATCH($F726,사건마스터!$A$5:$A$64,0)),""))</f>
        <v/>
      </c>
      <c r="U726" s="136">
        <f>IF($F726="","",IFERROR(INDEX(사건마스터!$AR$5:$AR$64,MATCH($F726,사건마스터!$A$5:$A$64,0)),""))</f>
        <v/>
      </c>
      <c r="V726" s="136">
        <f>IF($F726="","",IFERROR(INDEX(사건마스터!$AS$5:$AS$64,MATCH($F726,사건마스터!$A$5:$A$64,0)),""))</f>
        <v/>
      </c>
      <c r="W726" s="136">
        <f>IF($F726="","",IFERROR(INDEX(사건마스터!$AT$5:$AT$64,MATCH($F726,사건마스터!$A$5:$A$64,0)),""))</f>
        <v/>
      </c>
      <c r="X726" s="136">
        <f>IF($F726="","",IFERROR(INDEX(사건마스터!$AU$5:$AU$64,MATCH($F726,사건마스터!$A$5:$A$64,0)),""))</f>
        <v/>
      </c>
      <c r="Y726" s="136">
        <f>IF($F726="","",IFERROR(INDEX(사건마스터!$AV$5:$AV$64,MATCH($F726,사건마스터!$A$5:$A$64,0)),""))</f>
        <v/>
      </c>
      <c r="Z726" s="118">
        <f>IF(COUNTBLANK($J726:$Y726)=16,"",16-COUNTBLANK($J726:$Y726))</f>
        <v/>
      </c>
      <c r="AA726" s="33">
        <f>IF($J726="",MID($AX726,3,255),$J726&amp;$AX726)</f>
        <v/>
      </c>
      <c r="AB726" s="130">
        <f>IF($J726="","",IFERROR(INDEX(코드설정!$D$5:$D$24,MATCH($J726,코드설정!$C$5:$C$24,0)),""))</f>
        <v/>
      </c>
      <c r="AC726" s="36" t="n"/>
      <c r="AD726" s="37" t="n"/>
      <c r="AE726" s="38" t="n"/>
      <c r="AF726" s="118">
        <f>IF(OR($B726="",$C726=""),"",$C726-$B726+1)</f>
        <v/>
      </c>
      <c r="AG726" s="74" t="n"/>
      <c r="AH726" s="36" t="n"/>
      <c r="AJ726">
        <f>IF($K726="","",", "&amp;$K726)</f>
        <v/>
      </c>
      <c r="AK726">
        <f>AJ726&amp;IF($L726="","",", "&amp;$L726)</f>
        <v/>
      </c>
      <c r="AL726">
        <f>AK726&amp;IF($M726="","",", "&amp;$M726)</f>
        <v/>
      </c>
      <c r="AM726">
        <f>AL726&amp;IF($N726="","",", "&amp;$N726)</f>
        <v/>
      </c>
      <c r="AN726">
        <f>AM726&amp;IF($O726="","",", "&amp;$O726)</f>
        <v/>
      </c>
      <c r="AO726">
        <f>AN726&amp;IF($P726="","",", "&amp;$P726)</f>
        <v/>
      </c>
      <c r="AP726">
        <f>AO726&amp;IF($Q726="","",", "&amp;$Q726)</f>
        <v/>
      </c>
      <c r="AQ726">
        <f>AP726&amp;IF($R726="","",", "&amp;$R726)</f>
        <v/>
      </c>
      <c r="AR726">
        <f>AQ726&amp;IF($S726="","",", "&amp;$S726)</f>
        <v/>
      </c>
      <c r="AS726">
        <f>AR726&amp;IF($T726="","",", "&amp;$T726)</f>
        <v/>
      </c>
      <c r="AT726">
        <f>AS726&amp;IF($U726="","",", "&amp;$U726)</f>
        <v/>
      </c>
      <c r="AU726">
        <f>AT726&amp;IF($V726="","",", "&amp;$V726)</f>
        <v/>
      </c>
      <c r="AV726">
        <f>AU726&amp;IF($W726="","",", "&amp;$W726)</f>
        <v/>
      </c>
      <c r="AW726">
        <f>AV726&amp;IF($X726="","",", "&amp;$X726)</f>
        <v/>
      </c>
      <c r="AX726">
        <f>AW726&amp;IF($Y726="","",", "&amp;$Y726)</f>
        <v/>
      </c>
    </row>
    <row r="727">
      <c r="A727" s="118">
        <f>IF($B727="","",COUNT($B$5:$B727))</f>
        <v/>
      </c>
      <c r="B727" s="80" t="n"/>
      <c r="C727" s="80" t="n"/>
      <c r="D727" s="74" t="n"/>
      <c r="E727" s="74" t="n"/>
      <c r="F727" s="74" t="n"/>
      <c r="G727" s="118">
        <f>IF($F727="","",COUNTIF($F$5:$F727,$F727))</f>
        <v/>
      </c>
      <c r="H727" s="33">
        <f>IF($F727="","",IFERROR(INDEX(사건마스터!$B$5:$B$64,MATCH($F727,사건마스터!$A$5:$A$64,0)),""))</f>
        <v/>
      </c>
      <c r="I727" s="130">
        <f>IF($F727="","",IFERROR(INDEX(사건마스터!$C$5:$C$64,MATCH($F727,사건마스터!$A$5:$A$64,0)),""))</f>
        <v/>
      </c>
      <c r="J727" s="136">
        <f>IF($F727="","",IFERROR(INDEX(사건마스터!$H$5:$H$64,MATCH($F727,사건마스터!$A$5:$A$64,0)),""))</f>
        <v/>
      </c>
      <c r="K727" s="136">
        <f>IF($F727="","",IFERROR(INDEX(사건마스터!$AH$5:$AH$64,MATCH($F727,사건마스터!$A$5:$A$64,0)),""))</f>
        <v/>
      </c>
      <c r="L727" s="136">
        <f>IF($F727="","",IFERROR(INDEX(사건마스터!$AI$5:$AI$64,MATCH($F727,사건마스터!$A$5:$A$64,0)),""))</f>
        <v/>
      </c>
      <c r="M727" s="136">
        <f>IF($F727="","",IFERROR(INDEX(사건마스터!$AJ$5:$AJ$64,MATCH($F727,사건마스터!$A$5:$A$64,0)),""))</f>
        <v/>
      </c>
      <c r="N727" s="136">
        <f>IF($F727="","",IFERROR(INDEX(사건마스터!$AK$5:$AK$64,MATCH($F727,사건마스터!$A$5:$A$64,0)),""))</f>
        <v/>
      </c>
      <c r="O727" s="136">
        <f>IF($F727="","",IFERROR(INDEX(사건마스터!$AL$5:$AL$64,MATCH($F727,사건마스터!$A$5:$A$64,0)),""))</f>
        <v/>
      </c>
      <c r="P727" s="136">
        <f>IF($F727="","",IFERROR(INDEX(사건마스터!$AM$5:$AM$64,MATCH($F727,사건마스터!$A$5:$A$64,0)),""))</f>
        <v/>
      </c>
      <c r="Q727" s="136">
        <f>IF($F727="","",IFERROR(INDEX(사건마스터!$AN$5:$AN$64,MATCH($F727,사건마스터!$A$5:$A$64,0)),""))</f>
        <v/>
      </c>
      <c r="R727" s="136">
        <f>IF($F727="","",IFERROR(INDEX(사건마스터!$AO$5:$AO$64,MATCH($F727,사건마스터!$A$5:$A$64,0)),""))</f>
        <v/>
      </c>
      <c r="S727" s="136">
        <f>IF($F727="","",IFERROR(INDEX(사건마스터!$AP$5:$AP$64,MATCH($F727,사건마스터!$A$5:$A$64,0)),""))</f>
        <v/>
      </c>
      <c r="T727" s="136">
        <f>IF($F727="","",IFERROR(INDEX(사건마스터!$AQ$5:$AQ$64,MATCH($F727,사건마스터!$A$5:$A$64,0)),""))</f>
        <v/>
      </c>
      <c r="U727" s="136">
        <f>IF($F727="","",IFERROR(INDEX(사건마스터!$AR$5:$AR$64,MATCH($F727,사건마스터!$A$5:$A$64,0)),""))</f>
        <v/>
      </c>
      <c r="V727" s="136">
        <f>IF($F727="","",IFERROR(INDEX(사건마스터!$AS$5:$AS$64,MATCH($F727,사건마스터!$A$5:$A$64,0)),""))</f>
        <v/>
      </c>
      <c r="W727" s="136">
        <f>IF($F727="","",IFERROR(INDEX(사건마스터!$AT$5:$AT$64,MATCH($F727,사건마스터!$A$5:$A$64,0)),""))</f>
        <v/>
      </c>
      <c r="X727" s="136">
        <f>IF($F727="","",IFERROR(INDEX(사건마스터!$AU$5:$AU$64,MATCH($F727,사건마스터!$A$5:$A$64,0)),""))</f>
        <v/>
      </c>
      <c r="Y727" s="136">
        <f>IF($F727="","",IFERROR(INDEX(사건마스터!$AV$5:$AV$64,MATCH($F727,사건마스터!$A$5:$A$64,0)),""))</f>
        <v/>
      </c>
      <c r="Z727" s="118">
        <f>IF(COUNTBLANK($J727:$Y727)=16,"",16-COUNTBLANK($J727:$Y727))</f>
        <v/>
      </c>
      <c r="AA727" s="33">
        <f>IF($J727="",MID($AX727,3,255),$J727&amp;$AX727)</f>
        <v/>
      </c>
      <c r="AB727" s="130">
        <f>IF($J727="","",IFERROR(INDEX(코드설정!$D$5:$D$24,MATCH($J727,코드설정!$C$5:$C$24,0)),""))</f>
        <v/>
      </c>
      <c r="AC727" s="36" t="n"/>
      <c r="AD727" s="37" t="n"/>
      <c r="AE727" s="38" t="n"/>
      <c r="AF727" s="118">
        <f>IF(OR($B727="",$C727=""),"",$C727-$B727+1)</f>
        <v/>
      </c>
      <c r="AG727" s="74" t="n"/>
      <c r="AH727" s="36" t="n"/>
      <c r="AJ727">
        <f>IF($K727="","",", "&amp;$K727)</f>
        <v/>
      </c>
      <c r="AK727">
        <f>AJ727&amp;IF($L727="","",", "&amp;$L727)</f>
        <v/>
      </c>
      <c r="AL727">
        <f>AK727&amp;IF($M727="","",", "&amp;$M727)</f>
        <v/>
      </c>
      <c r="AM727">
        <f>AL727&amp;IF($N727="","",", "&amp;$N727)</f>
        <v/>
      </c>
      <c r="AN727">
        <f>AM727&amp;IF($O727="","",", "&amp;$O727)</f>
        <v/>
      </c>
      <c r="AO727">
        <f>AN727&amp;IF($P727="","",", "&amp;$P727)</f>
        <v/>
      </c>
      <c r="AP727">
        <f>AO727&amp;IF($Q727="","",", "&amp;$Q727)</f>
        <v/>
      </c>
      <c r="AQ727">
        <f>AP727&amp;IF($R727="","",", "&amp;$R727)</f>
        <v/>
      </c>
      <c r="AR727">
        <f>AQ727&amp;IF($S727="","",", "&amp;$S727)</f>
        <v/>
      </c>
      <c r="AS727">
        <f>AR727&amp;IF($T727="","",", "&amp;$T727)</f>
        <v/>
      </c>
      <c r="AT727">
        <f>AS727&amp;IF($U727="","",", "&amp;$U727)</f>
        <v/>
      </c>
      <c r="AU727">
        <f>AT727&amp;IF($V727="","",", "&amp;$V727)</f>
        <v/>
      </c>
      <c r="AV727">
        <f>AU727&amp;IF($W727="","",", "&amp;$W727)</f>
        <v/>
      </c>
      <c r="AW727">
        <f>AV727&amp;IF($X727="","",", "&amp;$X727)</f>
        <v/>
      </c>
      <c r="AX727">
        <f>AW727&amp;IF($Y727="","",", "&amp;$Y727)</f>
        <v/>
      </c>
    </row>
    <row r="728">
      <c r="A728" s="118">
        <f>IF($B728="","",COUNT($B$5:$B728))</f>
        <v/>
      </c>
      <c r="B728" s="80" t="n"/>
      <c r="C728" s="80" t="n"/>
      <c r="D728" s="74" t="n"/>
      <c r="E728" s="74" t="n"/>
      <c r="F728" s="74" t="n"/>
      <c r="G728" s="118">
        <f>IF($F728="","",COUNTIF($F$5:$F728,$F728))</f>
        <v/>
      </c>
      <c r="H728" s="33">
        <f>IF($F728="","",IFERROR(INDEX(사건마스터!$B$5:$B$64,MATCH($F728,사건마스터!$A$5:$A$64,0)),""))</f>
        <v/>
      </c>
      <c r="I728" s="130">
        <f>IF($F728="","",IFERROR(INDEX(사건마스터!$C$5:$C$64,MATCH($F728,사건마스터!$A$5:$A$64,0)),""))</f>
        <v/>
      </c>
      <c r="J728" s="136">
        <f>IF($F728="","",IFERROR(INDEX(사건마스터!$H$5:$H$64,MATCH($F728,사건마스터!$A$5:$A$64,0)),""))</f>
        <v/>
      </c>
      <c r="K728" s="136">
        <f>IF($F728="","",IFERROR(INDEX(사건마스터!$AH$5:$AH$64,MATCH($F728,사건마스터!$A$5:$A$64,0)),""))</f>
        <v/>
      </c>
      <c r="L728" s="136">
        <f>IF($F728="","",IFERROR(INDEX(사건마스터!$AI$5:$AI$64,MATCH($F728,사건마스터!$A$5:$A$64,0)),""))</f>
        <v/>
      </c>
      <c r="M728" s="136">
        <f>IF($F728="","",IFERROR(INDEX(사건마스터!$AJ$5:$AJ$64,MATCH($F728,사건마스터!$A$5:$A$64,0)),""))</f>
        <v/>
      </c>
      <c r="N728" s="136">
        <f>IF($F728="","",IFERROR(INDEX(사건마스터!$AK$5:$AK$64,MATCH($F728,사건마스터!$A$5:$A$64,0)),""))</f>
        <v/>
      </c>
      <c r="O728" s="136">
        <f>IF($F728="","",IFERROR(INDEX(사건마스터!$AL$5:$AL$64,MATCH($F728,사건마스터!$A$5:$A$64,0)),""))</f>
        <v/>
      </c>
      <c r="P728" s="136">
        <f>IF($F728="","",IFERROR(INDEX(사건마스터!$AM$5:$AM$64,MATCH($F728,사건마스터!$A$5:$A$64,0)),""))</f>
        <v/>
      </c>
      <c r="Q728" s="136">
        <f>IF($F728="","",IFERROR(INDEX(사건마스터!$AN$5:$AN$64,MATCH($F728,사건마스터!$A$5:$A$64,0)),""))</f>
        <v/>
      </c>
      <c r="R728" s="136">
        <f>IF($F728="","",IFERROR(INDEX(사건마스터!$AO$5:$AO$64,MATCH($F728,사건마스터!$A$5:$A$64,0)),""))</f>
        <v/>
      </c>
      <c r="S728" s="136">
        <f>IF($F728="","",IFERROR(INDEX(사건마스터!$AP$5:$AP$64,MATCH($F728,사건마스터!$A$5:$A$64,0)),""))</f>
        <v/>
      </c>
      <c r="T728" s="136">
        <f>IF($F728="","",IFERROR(INDEX(사건마스터!$AQ$5:$AQ$64,MATCH($F728,사건마스터!$A$5:$A$64,0)),""))</f>
        <v/>
      </c>
      <c r="U728" s="136">
        <f>IF($F728="","",IFERROR(INDEX(사건마스터!$AR$5:$AR$64,MATCH($F728,사건마스터!$A$5:$A$64,0)),""))</f>
        <v/>
      </c>
      <c r="V728" s="136">
        <f>IF($F728="","",IFERROR(INDEX(사건마스터!$AS$5:$AS$64,MATCH($F728,사건마스터!$A$5:$A$64,0)),""))</f>
        <v/>
      </c>
      <c r="W728" s="136">
        <f>IF($F728="","",IFERROR(INDEX(사건마스터!$AT$5:$AT$64,MATCH($F728,사건마스터!$A$5:$A$64,0)),""))</f>
        <v/>
      </c>
      <c r="X728" s="136">
        <f>IF($F728="","",IFERROR(INDEX(사건마스터!$AU$5:$AU$64,MATCH($F728,사건마스터!$A$5:$A$64,0)),""))</f>
        <v/>
      </c>
      <c r="Y728" s="136">
        <f>IF($F728="","",IFERROR(INDEX(사건마스터!$AV$5:$AV$64,MATCH($F728,사건마스터!$A$5:$A$64,0)),""))</f>
        <v/>
      </c>
      <c r="Z728" s="118">
        <f>IF(COUNTBLANK($J728:$Y728)=16,"",16-COUNTBLANK($J728:$Y728))</f>
        <v/>
      </c>
      <c r="AA728" s="33">
        <f>IF($J728="",MID($AX728,3,255),$J728&amp;$AX728)</f>
        <v/>
      </c>
      <c r="AB728" s="130">
        <f>IF($J728="","",IFERROR(INDEX(코드설정!$D$5:$D$24,MATCH($J728,코드설정!$C$5:$C$24,0)),""))</f>
        <v/>
      </c>
      <c r="AC728" s="36" t="n"/>
      <c r="AD728" s="37" t="n"/>
      <c r="AE728" s="38" t="n"/>
      <c r="AF728" s="118">
        <f>IF(OR($B728="",$C728=""),"",$C728-$B728+1)</f>
        <v/>
      </c>
      <c r="AG728" s="74" t="n"/>
      <c r="AH728" s="36" t="n"/>
      <c r="AJ728">
        <f>IF($K728="","",", "&amp;$K728)</f>
        <v/>
      </c>
      <c r="AK728">
        <f>AJ728&amp;IF($L728="","",", "&amp;$L728)</f>
        <v/>
      </c>
      <c r="AL728">
        <f>AK728&amp;IF($M728="","",", "&amp;$M728)</f>
        <v/>
      </c>
      <c r="AM728">
        <f>AL728&amp;IF($N728="","",", "&amp;$N728)</f>
        <v/>
      </c>
      <c r="AN728">
        <f>AM728&amp;IF($O728="","",", "&amp;$O728)</f>
        <v/>
      </c>
      <c r="AO728">
        <f>AN728&amp;IF($P728="","",", "&amp;$P728)</f>
        <v/>
      </c>
      <c r="AP728">
        <f>AO728&amp;IF($Q728="","",", "&amp;$Q728)</f>
        <v/>
      </c>
      <c r="AQ728">
        <f>AP728&amp;IF($R728="","",", "&amp;$R728)</f>
        <v/>
      </c>
      <c r="AR728">
        <f>AQ728&amp;IF($S728="","",", "&amp;$S728)</f>
        <v/>
      </c>
      <c r="AS728">
        <f>AR728&amp;IF($T728="","",", "&amp;$T728)</f>
        <v/>
      </c>
      <c r="AT728">
        <f>AS728&amp;IF($U728="","",", "&amp;$U728)</f>
        <v/>
      </c>
      <c r="AU728">
        <f>AT728&amp;IF($V728="","",", "&amp;$V728)</f>
        <v/>
      </c>
      <c r="AV728">
        <f>AU728&amp;IF($W728="","",", "&amp;$W728)</f>
        <v/>
      </c>
      <c r="AW728">
        <f>AV728&amp;IF($X728="","",", "&amp;$X728)</f>
        <v/>
      </c>
      <c r="AX728">
        <f>AW728&amp;IF($Y728="","",", "&amp;$Y728)</f>
        <v/>
      </c>
    </row>
    <row r="729">
      <c r="A729" s="118">
        <f>IF($B729="","",COUNT($B$5:$B729))</f>
        <v/>
      </c>
      <c r="B729" s="80" t="n"/>
      <c r="C729" s="80" t="n"/>
      <c r="D729" s="74" t="n"/>
      <c r="E729" s="74" t="n"/>
      <c r="F729" s="74" t="n"/>
      <c r="G729" s="118">
        <f>IF($F729="","",COUNTIF($F$5:$F729,$F729))</f>
        <v/>
      </c>
      <c r="H729" s="33">
        <f>IF($F729="","",IFERROR(INDEX(사건마스터!$B$5:$B$64,MATCH($F729,사건마스터!$A$5:$A$64,0)),""))</f>
        <v/>
      </c>
      <c r="I729" s="130">
        <f>IF($F729="","",IFERROR(INDEX(사건마스터!$C$5:$C$64,MATCH($F729,사건마스터!$A$5:$A$64,0)),""))</f>
        <v/>
      </c>
      <c r="J729" s="136">
        <f>IF($F729="","",IFERROR(INDEX(사건마스터!$H$5:$H$64,MATCH($F729,사건마스터!$A$5:$A$64,0)),""))</f>
        <v/>
      </c>
      <c r="K729" s="136">
        <f>IF($F729="","",IFERROR(INDEX(사건마스터!$AH$5:$AH$64,MATCH($F729,사건마스터!$A$5:$A$64,0)),""))</f>
        <v/>
      </c>
      <c r="L729" s="136">
        <f>IF($F729="","",IFERROR(INDEX(사건마스터!$AI$5:$AI$64,MATCH($F729,사건마스터!$A$5:$A$64,0)),""))</f>
        <v/>
      </c>
      <c r="M729" s="136">
        <f>IF($F729="","",IFERROR(INDEX(사건마스터!$AJ$5:$AJ$64,MATCH($F729,사건마스터!$A$5:$A$64,0)),""))</f>
        <v/>
      </c>
      <c r="N729" s="136">
        <f>IF($F729="","",IFERROR(INDEX(사건마스터!$AK$5:$AK$64,MATCH($F729,사건마스터!$A$5:$A$64,0)),""))</f>
        <v/>
      </c>
      <c r="O729" s="136">
        <f>IF($F729="","",IFERROR(INDEX(사건마스터!$AL$5:$AL$64,MATCH($F729,사건마스터!$A$5:$A$64,0)),""))</f>
        <v/>
      </c>
      <c r="P729" s="136">
        <f>IF($F729="","",IFERROR(INDEX(사건마스터!$AM$5:$AM$64,MATCH($F729,사건마스터!$A$5:$A$64,0)),""))</f>
        <v/>
      </c>
      <c r="Q729" s="136">
        <f>IF($F729="","",IFERROR(INDEX(사건마스터!$AN$5:$AN$64,MATCH($F729,사건마스터!$A$5:$A$64,0)),""))</f>
        <v/>
      </c>
      <c r="R729" s="136">
        <f>IF($F729="","",IFERROR(INDEX(사건마스터!$AO$5:$AO$64,MATCH($F729,사건마스터!$A$5:$A$64,0)),""))</f>
        <v/>
      </c>
      <c r="S729" s="136">
        <f>IF($F729="","",IFERROR(INDEX(사건마스터!$AP$5:$AP$64,MATCH($F729,사건마스터!$A$5:$A$64,0)),""))</f>
        <v/>
      </c>
      <c r="T729" s="136">
        <f>IF($F729="","",IFERROR(INDEX(사건마스터!$AQ$5:$AQ$64,MATCH($F729,사건마스터!$A$5:$A$64,0)),""))</f>
        <v/>
      </c>
      <c r="U729" s="136">
        <f>IF($F729="","",IFERROR(INDEX(사건마스터!$AR$5:$AR$64,MATCH($F729,사건마스터!$A$5:$A$64,0)),""))</f>
        <v/>
      </c>
      <c r="V729" s="136">
        <f>IF($F729="","",IFERROR(INDEX(사건마스터!$AS$5:$AS$64,MATCH($F729,사건마스터!$A$5:$A$64,0)),""))</f>
        <v/>
      </c>
      <c r="W729" s="136">
        <f>IF($F729="","",IFERROR(INDEX(사건마스터!$AT$5:$AT$64,MATCH($F729,사건마스터!$A$5:$A$64,0)),""))</f>
        <v/>
      </c>
      <c r="X729" s="136">
        <f>IF($F729="","",IFERROR(INDEX(사건마스터!$AU$5:$AU$64,MATCH($F729,사건마스터!$A$5:$A$64,0)),""))</f>
        <v/>
      </c>
      <c r="Y729" s="136">
        <f>IF($F729="","",IFERROR(INDEX(사건마스터!$AV$5:$AV$64,MATCH($F729,사건마스터!$A$5:$A$64,0)),""))</f>
        <v/>
      </c>
      <c r="Z729" s="118">
        <f>IF(COUNTBLANK($J729:$Y729)=16,"",16-COUNTBLANK($J729:$Y729))</f>
        <v/>
      </c>
      <c r="AA729" s="33">
        <f>IF($J729="",MID($AX729,3,255),$J729&amp;$AX729)</f>
        <v/>
      </c>
      <c r="AB729" s="130">
        <f>IF($J729="","",IFERROR(INDEX(코드설정!$D$5:$D$24,MATCH($J729,코드설정!$C$5:$C$24,0)),""))</f>
        <v/>
      </c>
      <c r="AC729" s="36" t="n"/>
      <c r="AD729" s="37" t="n"/>
      <c r="AE729" s="38" t="n"/>
      <c r="AF729" s="118">
        <f>IF(OR($B729="",$C729=""),"",$C729-$B729+1)</f>
        <v/>
      </c>
      <c r="AG729" s="74" t="n"/>
      <c r="AH729" s="36" t="n"/>
      <c r="AJ729">
        <f>IF($K729="","",", "&amp;$K729)</f>
        <v/>
      </c>
      <c r="AK729">
        <f>AJ729&amp;IF($L729="","",", "&amp;$L729)</f>
        <v/>
      </c>
      <c r="AL729">
        <f>AK729&amp;IF($M729="","",", "&amp;$M729)</f>
        <v/>
      </c>
      <c r="AM729">
        <f>AL729&amp;IF($N729="","",", "&amp;$N729)</f>
        <v/>
      </c>
      <c r="AN729">
        <f>AM729&amp;IF($O729="","",", "&amp;$O729)</f>
        <v/>
      </c>
      <c r="AO729">
        <f>AN729&amp;IF($P729="","",", "&amp;$P729)</f>
        <v/>
      </c>
      <c r="AP729">
        <f>AO729&amp;IF($Q729="","",", "&amp;$Q729)</f>
        <v/>
      </c>
      <c r="AQ729">
        <f>AP729&amp;IF($R729="","",", "&amp;$R729)</f>
        <v/>
      </c>
      <c r="AR729">
        <f>AQ729&amp;IF($S729="","",", "&amp;$S729)</f>
        <v/>
      </c>
      <c r="AS729">
        <f>AR729&amp;IF($T729="","",", "&amp;$T729)</f>
        <v/>
      </c>
      <c r="AT729">
        <f>AS729&amp;IF($U729="","",", "&amp;$U729)</f>
        <v/>
      </c>
      <c r="AU729">
        <f>AT729&amp;IF($V729="","",", "&amp;$V729)</f>
        <v/>
      </c>
      <c r="AV729">
        <f>AU729&amp;IF($W729="","",", "&amp;$W729)</f>
        <v/>
      </c>
      <c r="AW729">
        <f>AV729&amp;IF($X729="","",", "&amp;$X729)</f>
        <v/>
      </c>
      <c r="AX729">
        <f>AW729&amp;IF($Y729="","",", "&amp;$Y729)</f>
        <v/>
      </c>
    </row>
    <row r="730">
      <c r="A730" s="118">
        <f>IF($B730="","",COUNT($B$5:$B730))</f>
        <v/>
      </c>
      <c r="B730" s="80" t="n"/>
      <c r="C730" s="80" t="n"/>
      <c r="D730" s="74" t="n"/>
      <c r="E730" s="74" t="n"/>
      <c r="F730" s="74" t="n"/>
      <c r="G730" s="118">
        <f>IF($F730="","",COUNTIF($F$5:$F730,$F730))</f>
        <v/>
      </c>
      <c r="H730" s="33">
        <f>IF($F730="","",IFERROR(INDEX(사건마스터!$B$5:$B$64,MATCH($F730,사건마스터!$A$5:$A$64,0)),""))</f>
        <v/>
      </c>
      <c r="I730" s="130">
        <f>IF($F730="","",IFERROR(INDEX(사건마스터!$C$5:$C$64,MATCH($F730,사건마스터!$A$5:$A$64,0)),""))</f>
        <v/>
      </c>
      <c r="J730" s="136">
        <f>IF($F730="","",IFERROR(INDEX(사건마스터!$H$5:$H$64,MATCH($F730,사건마스터!$A$5:$A$64,0)),""))</f>
        <v/>
      </c>
      <c r="K730" s="136">
        <f>IF($F730="","",IFERROR(INDEX(사건마스터!$AH$5:$AH$64,MATCH($F730,사건마스터!$A$5:$A$64,0)),""))</f>
        <v/>
      </c>
      <c r="L730" s="136">
        <f>IF($F730="","",IFERROR(INDEX(사건마스터!$AI$5:$AI$64,MATCH($F730,사건마스터!$A$5:$A$64,0)),""))</f>
        <v/>
      </c>
      <c r="M730" s="136">
        <f>IF($F730="","",IFERROR(INDEX(사건마스터!$AJ$5:$AJ$64,MATCH($F730,사건마스터!$A$5:$A$64,0)),""))</f>
        <v/>
      </c>
      <c r="N730" s="136">
        <f>IF($F730="","",IFERROR(INDEX(사건마스터!$AK$5:$AK$64,MATCH($F730,사건마스터!$A$5:$A$64,0)),""))</f>
        <v/>
      </c>
      <c r="O730" s="136">
        <f>IF($F730="","",IFERROR(INDEX(사건마스터!$AL$5:$AL$64,MATCH($F730,사건마스터!$A$5:$A$64,0)),""))</f>
        <v/>
      </c>
      <c r="P730" s="136">
        <f>IF($F730="","",IFERROR(INDEX(사건마스터!$AM$5:$AM$64,MATCH($F730,사건마스터!$A$5:$A$64,0)),""))</f>
        <v/>
      </c>
      <c r="Q730" s="136">
        <f>IF($F730="","",IFERROR(INDEX(사건마스터!$AN$5:$AN$64,MATCH($F730,사건마스터!$A$5:$A$64,0)),""))</f>
        <v/>
      </c>
      <c r="R730" s="136">
        <f>IF($F730="","",IFERROR(INDEX(사건마스터!$AO$5:$AO$64,MATCH($F730,사건마스터!$A$5:$A$64,0)),""))</f>
        <v/>
      </c>
      <c r="S730" s="136">
        <f>IF($F730="","",IFERROR(INDEX(사건마스터!$AP$5:$AP$64,MATCH($F730,사건마스터!$A$5:$A$64,0)),""))</f>
        <v/>
      </c>
      <c r="T730" s="136">
        <f>IF($F730="","",IFERROR(INDEX(사건마스터!$AQ$5:$AQ$64,MATCH($F730,사건마스터!$A$5:$A$64,0)),""))</f>
        <v/>
      </c>
      <c r="U730" s="136">
        <f>IF($F730="","",IFERROR(INDEX(사건마스터!$AR$5:$AR$64,MATCH($F730,사건마스터!$A$5:$A$64,0)),""))</f>
        <v/>
      </c>
      <c r="V730" s="136">
        <f>IF($F730="","",IFERROR(INDEX(사건마스터!$AS$5:$AS$64,MATCH($F730,사건마스터!$A$5:$A$64,0)),""))</f>
        <v/>
      </c>
      <c r="W730" s="136">
        <f>IF($F730="","",IFERROR(INDEX(사건마스터!$AT$5:$AT$64,MATCH($F730,사건마스터!$A$5:$A$64,0)),""))</f>
        <v/>
      </c>
      <c r="X730" s="136">
        <f>IF($F730="","",IFERROR(INDEX(사건마스터!$AU$5:$AU$64,MATCH($F730,사건마스터!$A$5:$A$64,0)),""))</f>
        <v/>
      </c>
      <c r="Y730" s="136">
        <f>IF($F730="","",IFERROR(INDEX(사건마스터!$AV$5:$AV$64,MATCH($F730,사건마스터!$A$5:$A$64,0)),""))</f>
        <v/>
      </c>
      <c r="Z730" s="118">
        <f>IF(COUNTBLANK($J730:$Y730)=16,"",16-COUNTBLANK($J730:$Y730))</f>
        <v/>
      </c>
      <c r="AA730" s="33">
        <f>IF($J730="",MID($AX730,3,255),$J730&amp;$AX730)</f>
        <v/>
      </c>
      <c r="AB730" s="130">
        <f>IF($J730="","",IFERROR(INDEX(코드설정!$D$5:$D$24,MATCH($J730,코드설정!$C$5:$C$24,0)),""))</f>
        <v/>
      </c>
      <c r="AC730" s="36" t="n"/>
      <c r="AD730" s="37" t="n"/>
      <c r="AE730" s="38" t="n"/>
      <c r="AF730" s="118">
        <f>IF(OR($B730="",$C730=""),"",$C730-$B730+1)</f>
        <v/>
      </c>
      <c r="AG730" s="74" t="n"/>
      <c r="AH730" s="36" t="n"/>
      <c r="AJ730">
        <f>IF($K730="","",", "&amp;$K730)</f>
        <v/>
      </c>
      <c r="AK730">
        <f>AJ730&amp;IF($L730="","",", "&amp;$L730)</f>
        <v/>
      </c>
      <c r="AL730">
        <f>AK730&amp;IF($M730="","",", "&amp;$M730)</f>
        <v/>
      </c>
      <c r="AM730">
        <f>AL730&amp;IF($N730="","",", "&amp;$N730)</f>
        <v/>
      </c>
      <c r="AN730">
        <f>AM730&amp;IF($O730="","",", "&amp;$O730)</f>
        <v/>
      </c>
      <c r="AO730">
        <f>AN730&amp;IF($P730="","",", "&amp;$P730)</f>
        <v/>
      </c>
      <c r="AP730">
        <f>AO730&amp;IF($Q730="","",", "&amp;$Q730)</f>
        <v/>
      </c>
      <c r="AQ730">
        <f>AP730&amp;IF($R730="","",", "&amp;$R730)</f>
        <v/>
      </c>
      <c r="AR730">
        <f>AQ730&amp;IF($S730="","",", "&amp;$S730)</f>
        <v/>
      </c>
      <c r="AS730">
        <f>AR730&amp;IF($T730="","",", "&amp;$T730)</f>
        <v/>
      </c>
      <c r="AT730">
        <f>AS730&amp;IF($U730="","",", "&amp;$U730)</f>
        <v/>
      </c>
      <c r="AU730">
        <f>AT730&amp;IF($V730="","",", "&amp;$V730)</f>
        <v/>
      </c>
      <c r="AV730">
        <f>AU730&amp;IF($W730="","",", "&amp;$W730)</f>
        <v/>
      </c>
      <c r="AW730">
        <f>AV730&amp;IF($X730="","",", "&amp;$X730)</f>
        <v/>
      </c>
      <c r="AX730">
        <f>AW730&amp;IF($Y730="","",", "&amp;$Y730)</f>
        <v/>
      </c>
    </row>
    <row r="731">
      <c r="A731" s="118">
        <f>IF($B731="","",COUNT($B$5:$B731))</f>
        <v/>
      </c>
      <c r="B731" s="80" t="n"/>
      <c r="C731" s="80" t="n"/>
      <c r="D731" s="74" t="n"/>
      <c r="E731" s="74" t="n"/>
      <c r="F731" s="74" t="n"/>
      <c r="G731" s="118">
        <f>IF($F731="","",COUNTIF($F$5:$F731,$F731))</f>
        <v/>
      </c>
      <c r="H731" s="33">
        <f>IF($F731="","",IFERROR(INDEX(사건마스터!$B$5:$B$64,MATCH($F731,사건마스터!$A$5:$A$64,0)),""))</f>
        <v/>
      </c>
      <c r="I731" s="130">
        <f>IF($F731="","",IFERROR(INDEX(사건마스터!$C$5:$C$64,MATCH($F731,사건마스터!$A$5:$A$64,0)),""))</f>
        <v/>
      </c>
      <c r="J731" s="136">
        <f>IF($F731="","",IFERROR(INDEX(사건마스터!$H$5:$H$64,MATCH($F731,사건마스터!$A$5:$A$64,0)),""))</f>
        <v/>
      </c>
      <c r="K731" s="136">
        <f>IF($F731="","",IFERROR(INDEX(사건마스터!$AH$5:$AH$64,MATCH($F731,사건마스터!$A$5:$A$64,0)),""))</f>
        <v/>
      </c>
      <c r="L731" s="136">
        <f>IF($F731="","",IFERROR(INDEX(사건마스터!$AI$5:$AI$64,MATCH($F731,사건마스터!$A$5:$A$64,0)),""))</f>
        <v/>
      </c>
      <c r="M731" s="136">
        <f>IF($F731="","",IFERROR(INDEX(사건마스터!$AJ$5:$AJ$64,MATCH($F731,사건마스터!$A$5:$A$64,0)),""))</f>
        <v/>
      </c>
      <c r="N731" s="136">
        <f>IF($F731="","",IFERROR(INDEX(사건마스터!$AK$5:$AK$64,MATCH($F731,사건마스터!$A$5:$A$64,0)),""))</f>
        <v/>
      </c>
      <c r="O731" s="136">
        <f>IF($F731="","",IFERROR(INDEX(사건마스터!$AL$5:$AL$64,MATCH($F731,사건마스터!$A$5:$A$64,0)),""))</f>
        <v/>
      </c>
      <c r="P731" s="136">
        <f>IF($F731="","",IFERROR(INDEX(사건마스터!$AM$5:$AM$64,MATCH($F731,사건마스터!$A$5:$A$64,0)),""))</f>
        <v/>
      </c>
      <c r="Q731" s="136">
        <f>IF($F731="","",IFERROR(INDEX(사건마스터!$AN$5:$AN$64,MATCH($F731,사건마스터!$A$5:$A$64,0)),""))</f>
        <v/>
      </c>
      <c r="R731" s="136">
        <f>IF($F731="","",IFERROR(INDEX(사건마스터!$AO$5:$AO$64,MATCH($F731,사건마스터!$A$5:$A$64,0)),""))</f>
        <v/>
      </c>
      <c r="S731" s="136">
        <f>IF($F731="","",IFERROR(INDEX(사건마스터!$AP$5:$AP$64,MATCH($F731,사건마스터!$A$5:$A$64,0)),""))</f>
        <v/>
      </c>
      <c r="T731" s="136">
        <f>IF($F731="","",IFERROR(INDEX(사건마스터!$AQ$5:$AQ$64,MATCH($F731,사건마스터!$A$5:$A$64,0)),""))</f>
        <v/>
      </c>
      <c r="U731" s="136">
        <f>IF($F731="","",IFERROR(INDEX(사건마스터!$AR$5:$AR$64,MATCH($F731,사건마스터!$A$5:$A$64,0)),""))</f>
        <v/>
      </c>
      <c r="V731" s="136">
        <f>IF($F731="","",IFERROR(INDEX(사건마스터!$AS$5:$AS$64,MATCH($F731,사건마스터!$A$5:$A$64,0)),""))</f>
        <v/>
      </c>
      <c r="W731" s="136">
        <f>IF($F731="","",IFERROR(INDEX(사건마스터!$AT$5:$AT$64,MATCH($F731,사건마스터!$A$5:$A$64,0)),""))</f>
        <v/>
      </c>
      <c r="X731" s="136">
        <f>IF($F731="","",IFERROR(INDEX(사건마스터!$AU$5:$AU$64,MATCH($F731,사건마스터!$A$5:$A$64,0)),""))</f>
        <v/>
      </c>
      <c r="Y731" s="136">
        <f>IF($F731="","",IFERROR(INDEX(사건마스터!$AV$5:$AV$64,MATCH($F731,사건마스터!$A$5:$A$64,0)),""))</f>
        <v/>
      </c>
      <c r="Z731" s="118">
        <f>IF(COUNTBLANK($J731:$Y731)=16,"",16-COUNTBLANK($J731:$Y731))</f>
        <v/>
      </c>
      <c r="AA731" s="33">
        <f>IF($J731="",MID($AX731,3,255),$J731&amp;$AX731)</f>
        <v/>
      </c>
      <c r="AB731" s="130">
        <f>IF($J731="","",IFERROR(INDEX(코드설정!$D$5:$D$24,MATCH($J731,코드설정!$C$5:$C$24,0)),""))</f>
        <v/>
      </c>
      <c r="AC731" s="36" t="n"/>
      <c r="AD731" s="37" t="n"/>
      <c r="AE731" s="38" t="n"/>
      <c r="AF731" s="118">
        <f>IF(OR($B731="",$C731=""),"",$C731-$B731+1)</f>
        <v/>
      </c>
      <c r="AG731" s="74" t="n"/>
      <c r="AH731" s="36" t="n"/>
      <c r="AJ731">
        <f>IF($K731="","",", "&amp;$K731)</f>
        <v/>
      </c>
      <c r="AK731">
        <f>AJ731&amp;IF($L731="","",", "&amp;$L731)</f>
        <v/>
      </c>
      <c r="AL731">
        <f>AK731&amp;IF($M731="","",", "&amp;$M731)</f>
        <v/>
      </c>
      <c r="AM731">
        <f>AL731&amp;IF($N731="","",", "&amp;$N731)</f>
        <v/>
      </c>
      <c r="AN731">
        <f>AM731&amp;IF($O731="","",", "&amp;$O731)</f>
        <v/>
      </c>
      <c r="AO731">
        <f>AN731&amp;IF($P731="","",", "&amp;$P731)</f>
        <v/>
      </c>
      <c r="AP731">
        <f>AO731&amp;IF($Q731="","",", "&amp;$Q731)</f>
        <v/>
      </c>
      <c r="AQ731">
        <f>AP731&amp;IF($R731="","",", "&amp;$R731)</f>
        <v/>
      </c>
      <c r="AR731">
        <f>AQ731&amp;IF($S731="","",", "&amp;$S731)</f>
        <v/>
      </c>
      <c r="AS731">
        <f>AR731&amp;IF($T731="","",", "&amp;$T731)</f>
        <v/>
      </c>
      <c r="AT731">
        <f>AS731&amp;IF($U731="","",", "&amp;$U731)</f>
        <v/>
      </c>
      <c r="AU731">
        <f>AT731&amp;IF($V731="","",", "&amp;$V731)</f>
        <v/>
      </c>
      <c r="AV731">
        <f>AU731&amp;IF($W731="","",", "&amp;$W731)</f>
        <v/>
      </c>
      <c r="AW731">
        <f>AV731&amp;IF($X731="","",", "&amp;$X731)</f>
        <v/>
      </c>
      <c r="AX731">
        <f>AW731&amp;IF($Y731="","",", "&amp;$Y731)</f>
        <v/>
      </c>
    </row>
    <row r="732">
      <c r="A732" s="118">
        <f>IF($B732="","",COUNT($B$5:$B732))</f>
        <v/>
      </c>
      <c r="B732" s="80" t="n"/>
      <c r="C732" s="80" t="n"/>
      <c r="D732" s="74" t="n"/>
      <c r="E732" s="74" t="n"/>
      <c r="F732" s="74" t="n"/>
      <c r="G732" s="118">
        <f>IF($F732="","",COUNTIF($F$5:$F732,$F732))</f>
        <v/>
      </c>
      <c r="H732" s="33">
        <f>IF($F732="","",IFERROR(INDEX(사건마스터!$B$5:$B$64,MATCH($F732,사건마스터!$A$5:$A$64,0)),""))</f>
        <v/>
      </c>
      <c r="I732" s="130">
        <f>IF($F732="","",IFERROR(INDEX(사건마스터!$C$5:$C$64,MATCH($F732,사건마스터!$A$5:$A$64,0)),""))</f>
        <v/>
      </c>
      <c r="J732" s="136">
        <f>IF($F732="","",IFERROR(INDEX(사건마스터!$H$5:$H$64,MATCH($F732,사건마스터!$A$5:$A$64,0)),""))</f>
        <v/>
      </c>
      <c r="K732" s="136">
        <f>IF($F732="","",IFERROR(INDEX(사건마스터!$AH$5:$AH$64,MATCH($F732,사건마스터!$A$5:$A$64,0)),""))</f>
        <v/>
      </c>
      <c r="L732" s="136">
        <f>IF($F732="","",IFERROR(INDEX(사건마스터!$AI$5:$AI$64,MATCH($F732,사건마스터!$A$5:$A$64,0)),""))</f>
        <v/>
      </c>
      <c r="M732" s="136">
        <f>IF($F732="","",IFERROR(INDEX(사건마스터!$AJ$5:$AJ$64,MATCH($F732,사건마스터!$A$5:$A$64,0)),""))</f>
        <v/>
      </c>
      <c r="N732" s="136">
        <f>IF($F732="","",IFERROR(INDEX(사건마스터!$AK$5:$AK$64,MATCH($F732,사건마스터!$A$5:$A$64,0)),""))</f>
        <v/>
      </c>
      <c r="O732" s="136">
        <f>IF($F732="","",IFERROR(INDEX(사건마스터!$AL$5:$AL$64,MATCH($F732,사건마스터!$A$5:$A$64,0)),""))</f>
        <v/>
      </c>
      <c r="P732" s="136">
        <f>IF($F732="","",IFERROR(INDEX(사건마스터!$AM$5:$AM$64,MATCH($F732,사건마스터!$A$5:$A$64,0)),""))</f>
        <v/>
      </c>
      <c r="Q732" s="136">
        <f>IF($F732="","",IFERROR(INDEX(사건마스터!$AN$5:$AN$64,MATCH($F732,사건마스터!$A$5:$A$64,0)),""))</f>
        <v/>
      </c>
      <c r="R732" s="136">
        <f>IF($F732="","",IFERROR(INDEX(사건마스터!$AO$5:$AO$64,MATCH($F732,사건마스터!$A$5:$A$64,0)),""))</f>
        <v/>
      </c>
      <c r="S732" s="136">
        <f>IF($F732="","",IFERROR(INDEX(사건마스터!$AP$5:$AP$64,MATCH($F732,사건마스터!$A$5:$A$64,0)),""))</f>
        <v/>
      </c>
      <c r="T732" s="136">
        <f>IF($F732="","",IFERROR(INDEX(사건마스터!$AQ$5:$AQ$64,MATCH($F732,사건마스터!$A$5:$A$64,0)),""))</f>
        <v/>
      </c>
      <c r="U732" s="136">
        <f>IF($F732="","",IFERROR(INDEX(사건마스터!$AR$5:$AR$64,MATCH($F732,사건마스터!$A$5:$A$64,0)),""))</f>
        <v/>
      </c>
      <c r="V732" s="136">
        <f>IF($F732="","",IFERROR(INDEX(사건마스터!$AS$5:$AS$64,MATCH($F732,사건마스터!$A$5:$A$64,0)),""))</f>
        <v/>
      </c>
      <c r="W732" s="136">
        <f>IF($F732="","",IFERROR(INDEX(사건마스터!$AT$5:$AT$64,MATCH($F732,사건마스터!$A$5:$A$64,0)),""))</f>
        <v/>
      </c>
      <c r="X732" s="136">
        <f>IF($F732="","",IFERROR(INDEX(사건마스터!$AU$5:$AU$64,MATCH($F732,사건마스터!$A$5:$A$64,0)),""))</f>
        <v/>
      </c>
      <c r="Y732" s="136">
        <f>IF($F732="","",IFERROR(INDEX(사건마스터!$AV$5:$AV$64,MATCH($F732,사건마스터!$A$5:$A$64,0)),""))</f>
        <v/>
      </c>
      <c r="Z732" s="118">
        <f>IF(COUNTBLANK($J732:$Y732)=16,"",16-COUNTBLANK($J732:$Y732))</f>
        <v/>
      </c>
      <c r="AA732" s="33">
        <f>IF($J732="",MID($AX732,3,255),$J732&amp;$AX732)</f>
        <v/>
      </c>
      <c r="AB732" s="130">
        <f>IF($J732="","",IFERROR(INDEX(코드설정!$D$5:$D$24,MATCH($J732,코드설정!$C$5:$C$24,0)),""))</f>
        <v/>
      </c>
      <c r="AC732" s="36" t="n"/>
      <c r="AD732" s="37" t="n"/>
      <c r="AE732" s="38" t="n"/>
      <c r="AF732" s="118">
        <f>IF(OR($B732="",$C732=""),"",$C732-$B732+1)</f>
        <v/>
      </c>
      <c r="AG732" s="74" t="n"/>
      <c r="AH732" s="36" t="n"/>
      <c r="AJ732">
        <f>IF($K732="","",", "&amp;$K732)</f>
        <v/>
      </c>
      <c r="AK732">
        <f>AJ732&amp;IF($L732="","",", "&amp;$L732)</f>
        <v/>
      </c>
      <c r="AL732">
        <f>AK732&amp;IF($M732="","",", "&amp;$M732)</f>
        <v/>
      </c>
      <c r="AM732">
        <f>AL732&amp;IF($N732="","",", "&amp;$N732)</f>
        <v/>
      </c>
      <c r="AN732">
        <f>AM732&amp;IF($O732="","",", "&amp;$O732)</f>
        <v/>
      </c>
      <c r="AO732">
        <f>AN732&amp;IF($P732="","",", "&amp;$P732)</f>
        <v/>
      </c>
      <c r="AP732">
        <f>AO732&amp;IF($Q732="","",", "&amp;$Q732)</f>
        <v/>
      </c>
      <c r="AQ732">
        <f>AP732&amp;IF($R732="","",", "&amp;$R732)</f>
        <v/>
      </c>
      <c r="AR732">
        <f>AQ732&amp;IF($S732="","",", "&amp;$S732)</f>
        <v/>
      </c>
      <c r="AS732">
        <f>AR732&amp;IF($T732="","",", "&amp;$T732)</f>
        <v/>
      </c>
      <c r="AT732">
        <f>AS732&amp;IF($U732="","",", "&amp;$U732)</f>
        <v/>
      </c>
      <c r="AU732">
        <f>AT732&amp;IF($V732="","",", "&amp;$V732)</f>
        <v/>
      </c>
      <c r="AV732">
        <f>AU732&amp;IF($W732="","",", "&amp;$W732)</f>
        <v/>
      </c>
      <c r="AW732">
        <f>AV732&amp;IF($X732="","",", "&amp;$X732)</f>
        <v/>
      </c>
      <c r="AX732">
        <f>AW732&amp;IF($Y732="","",", "&amp;$Y732)</f>
        <v/>
      </c>
    </row>
    <row r="733">
      <c r="A733" s="118">
        <f>IF($B733="","",COUNT($B$5:$B733))</f>
        <v/>
      </c>
      <c r="B733" s="80" t="n"/>
      <c r="C733" s="80" t="n"/>
      <c r="D733" s="74" t="n"/>
      <c r="E733" s="74" t="n"/>
      <c r="F733" s="74" t="n"/>
      <c r="G733" s="118">
        <f>IF($F733="","",COUNTIF($F$5:$F733,$F733))</f>
        <v/>
      </c>
      <c r="H733" s="33">
        <f>IF($F733="","",IFERROR(INDEX(사건마스터!$B$5:$B$64,MATCH($F733,사건마스터!$A$5:$A$64,0)),""))</f>
        <v/>
      </c>
      <c r="I733" s="130">
        <f>IF($F733="","",IFERROR(INDEX(사건마스터!$C$5:$C$64,MATCH($F733,사건마스터!$A$5:$A$64,0)),""))</f>
        <v/>
      </c>
      <c r="J733" s="136">
        <f>IF($F733="","",IFERROR(INDEX(사건마스터!$H$5:$H$64,MATCH($F733,사건마스터!$A$5:$A$64,0)),""))</f>
        <v/>
      </c>
      <c r="K733" s="136">
        <f>IF($F733="","",IFERROR(INDEX(사건마스터!$AH$5:$AH$64,MATCH($F733,사건마스터!$A$5:$A$64,0)),""))</f>
        <v/>
      </c>
      <c r="L733" s="136">
        <f>IF($F733="","",IFERROR(INDEX(사건마스터!$AI$5:$AI$64,MATCH($F733,사건마스터!$A$5:$A$64,0)),""))</f>
        <v/>
      </c>
      <c r="M733" s="136">
        <f>IF($F733="","",IFERROR(INDEX(사건마스터!$AJ$5:$AJ$64,MATCH($F733,사건마스터!$A$5:$A$64,0)),""))</f>
        <v/>
      </c>
      <c r="N733" s="136">
        <f>IF($F733="","",IFERROR(INDEX(사건마스터!$AK$5:$AK$64,MATCH($F733,사건마스터!$A$5:$A$64,0)),""))</f>
        <v/>
      </c>
      <c r="O733" s="136">
        <f>IF($F733="","",IFERROR(INDEX(사건마스터!$AL$5:$AL$64,MATCH($F733,사건마스터!$A$5:$A$64,0)),""))</f>
        <v/>
      </c>
      <c r="P733" s="136">
        <f>IF($F733="","",IFERROR(INDEX(사건마스터!$AM$5:$AM$64,MATCH($F733,사건마스터!$A$5:$A$64,0)),""))</f>
        <v/>
      </c>
      <c r="Q733" s="136">
        <f>IF($F733="","",IFERROR(INDEX(사건마스터!$AN$5:$AN$64,MATCH($F733,사건마스터!$A$5:$A$64,0)),""))</f>
        <v/>
      </c>
      <c r="R733" s="136">
        <f>IF($F733="","",IFERROR(INDEX(사건마스터!$AO$5:$AO$64,MATCH($F733,사건마스터!$A$5:$A$64,0)),""))</f>
        <v/>
      </c>
      <c r="S733" s="136">
        <f>IF($F733="","",IFERROR(INDEX(사건마스터!$AP$5:$AP$64,MATCH($F733,사건마스터!$A$5:$A$64,0)),""))</f>
        <v/>
      </c>
      <c r="T733" s="136">
        <f>IF($F733="","",IFERROR(INDEX(사건마스터!$AQ$5:$AQ$64,MATCH($F733,사건마스터!$A$5:$A$64,0)),""))</f>
        <v/>
      </c>
      <c r="U733" s="136">
        <f>IF($F733="","",IFERROR(INDEX(사건마스터!$AR$5:$AR$64,MATCH($F733,사건마스터!$A$5:$A$64,0)),""))</f>
        <v/>
      </c>
      <c r="V733" s="136">
        <f>IF($F733="","",IFERROR(INDEX(사건마스터!$AS$5:$AS$64,MATCH($F733,사건마스터!$A$5:$A$64,0)),""))</f>
        <v/>
      </c>
      <c r="W733" s="136">
        <f>IF($F733="","",IFERROR(INDEX(사건마스터!$AT$5:$AT$64,MATCH($F733,사건마스터!$A$5:$A$64,0)),""))</f>
        <v/>
      </c>
      <c r="X733" s="136">
        <f>IF($F733="","",IFERROR(INDEX(사건마스터!$AU$5:$AU$64,MATCH($F733,사건마스터!$A$5:$A$64,0)),""))</f>
        <v/>
      </c>
      <c r="Y733" s="136">
        <f>IF($F733="","",IFERROR(INDEX(사건마스터!$AV$5:$AV$64,MATCH($F733,사건마스터!$A$5:$A$64,0)),""))</f>
        <v/>
      </c>
      <c r="Z733" s="118">
        <f>IF(COUNTBLANK($J733:$Y733)=16,"",16-COUNTBLANK($J733:$Y733))</f>
        <v/>
      </c>
      <c r="AA733" s="33">
        <f>IF($J733="",MID($AX733,3,255),$J733&amp;$AX733)</f>
        <v/>
      </c>
      <c r="AB733" s="130">
        <f>IF($J733="","",IFERROR(INDEX(코드설정!$D$5:$D$24,MATCH($J733,코드설정!$C$5:$C$24,0)),""))</f>
        <v/>
      </c>
      <c r="AC733" s="36" t="n"/>
      <c r="AD733" s="37" t="n"/>
      <c r="AE733" s="38" t="n"/>
      <c r="AF733" s="118">
        <f>IF(OR($B733="",$C733=""),"",$C733-$B733+1)</f>
        <v/>
      </c>
      <c r="AG733" s="74" t="n"/>
      <c r="AH733" s="36" t="n"/>
      <c r="AJ733">
        <f>IF($K733="","",", "&amp;$K733)</f>
        <v/>
      </c>
      <c r="AK733">
        <f>AJ733&amp;IF($L733="","",", "&amp;$L733)</f>
        <v/>
      </c>
      <c r="AL733">
        <f>AK733&amp;IF($M733="","",", "&amp;$M733)</f>
        <v/>
      </c>
      <c r="AM733">
        <f>AL733&amp;IF($N733="","",", "&amp;$N733)</f>
        <v/>
      </c>
      <c r="AN733">
        <f>AM733&amp;IF($O733="","",", "&amp;$O733)</f>
        <v/>
      </c>
      <c r="AO733">
        <f>AN733&amp;IF($P733="","",", "&amp;$P733)</f>
        <v/>
      </c>
      <c r="AP733">
        <f>AO733&amp;IF($Q733="","",", "&amp;$Q733)</f>
        <v/>
      </c>
      <c r="AQ733">
        <f>AP733&amp;IF($R733="","",", "&amp;$R733)</f>
        <v/>
      </c>
      <c r="AR733">
        <f>AQ733&amp;IF($S733="","",", "&amp;$S733)</f>
        <v/>
      </c>
      <c r="AS733">
        <f>AR733&amp;IF($T733="","",", "&amp;$T733)</f>
        <v/>
      </c>
      <c r="AT733">
        <f>AS733&amp;IF($U733="","",", "&amp;$U733)</f>
        <v/>
      </c>
      <c r="AU733">
        <f>AT733&amp;IF($V733="","",", "&amp;$V733)</f>
        <v/>
      </c>
      <c r="AV733">
        <f>AU733&amp;IF($W733="","",", "&amp;$W733)</f>
        <v/>
      </c>
      <c r="AW733">
        <f>AV733&amp;IF($X733="","",", "&amp;$X733)</f>
        <v/>
      </c>
      <c r="AX733">
        <f>AW733&amp;IF($Y733="","",", "&amp;$Y733)</f>
        <v/>
      </c>
    </row>
    <row r="734">
      <c r="A734" s="118">
        <f>IF($B734="","",COUNT($B$5:$B734))</f>
        <v/>
      </c>
      <c r="B734" s="80" t="n"/>
      <c r="C734" s="80" t="n"/>
      <c r="D734" s="74" t="n"/>
      <c r="E734" s="74" t="n"/>
      <c r="F734" s="74" t="n"/>
      <c r="G734" s="118">
        <f>IF($F734="","",COUNTIF($F$5:$F734,$F734))</f>
        <v/>
      </c>
      <c r="H734" s="33">
        <f>IF($F734="","",IFERROR(INDEX(사건마스터!$B$5:$B$64,MATCH($F734,사건마스터!$A$5:$A$64,0)),""))</f>
        <v/>
      </c>
      <c r="I734" s="130">
        <f>IF($F734="","",IFERROR(INDEX(사건마스터!$C$5:$C$64,MATCH($F734,사건마스터!$A$5:$A$64,0)),""))</f>
        <v/>
      </c>
      <c r="J734" s="136">
        <f>IF($F734="","",IFERROR(INDEX(사건마스터!$H$5:$H$64,MATCH($F734,사건마스터!$A$5:$A$64,0)),""))</f>
        <v/>
      </c>
      <c r="K734" s="136">
        <f>IF($F734="","",IFERROR(INDEX(사건마스터!$AH$5:$AH$64,MATCH($F734,사건마스터!$A$5:$A$64,0)),""))</f>
        <v/>
      </c>
      <c r="L734" s="136">
        <f>IF($F734="","",IFERROR(INDEX(사건마스터!$AI$5:$AI$64,MATCH($F734,사건마스터!$A$5:$A$64,0)),""))</f>
        <v/>
      </c>
      <c r="M734" s="136">
        <f>IF($F734="","",IFERROR(INDEX(사건마스터!$AJ$5:$AJ$64,MATCH($F734,사건마스터!$A$5:$A$64,0)),""))</f>
        <v/>
      </c>
      <c r="N734" s="136">
        <f>IF($F734="","",IFERROR(INDEX(사건마스터!$AK$5:$AK$64,MATCH($F734,사건마스터!$A$5:$A$64,0)),""))</f>
        <v/>
      </c>
      <c r="O734" s="136">
        <f>IF($F734="","",IFERROR(INDEX(사건마스터!$AL$5:$AL$64,MATCH($F734,사건마스터!$A$5:$A$64,0)),""))</f>
        <v/>
      </c>
      <c r="P734" s="136">
        <f>IF($F734="","",IFERROR(INDEX(사건마스터!$AM$5:$AM$64,MATCH($F734,사건마스터!$A$5:$A$64,0)),""))</f>
        <v/>
      </c>
      <c r="Q734" s="136">
        <f>IF($F734="","",IFERROR(INDEX(사건마스터!$AN$5:$AN$64,MATCH($F734,사건마스터!$A$5:$A$64,0)),""))</f>
        <v/>
      </c>
      <c r="R734" s="136">
        <f>IF($F734="","",IFERROR(INDEX(사건마스터!$AO$5:$AO$64,MATCH($F734,사건마스터!$A$5:$A$64,0)),""))</f>
        <v/>
      </c>
      <c r="S734" s="136">
        <f>IF($F734="","",IFERROR(INDEX(사건마스터!$AP$5:$AP$64,MATCH($F734,사건마스터!$A$5:$A$64,0)),""))</f>
        <v/>
      </c>
      <c r="T734" s="136">
        <f>IF($F734="","",IFERROR(INDEX(사건마스터!$AQ$5:$AQ$64,MATCH($F734,사건마스터!$A$5:$A$64,0)),""))</f>
        <v/>
      </c>
      <c r="U734" s="136">
        <f>IF($F734="","",IFERROR(INDEX(사건마스터!$AR$5:$AR$64,MATCH($F734,사건마스터!$A$5:$A$64,0)),""))</f>
        <v/>
      </c>
      <c r="V734" s="136">
        <f>IF($F734="","",IFERROR(INDEX(사건마스터!$AS$5:$AS$64,MATCH($F734,사건마스터!$A$5:$A$64,0)),""))</f>
        <v/>
      </c>
      <c r="W734" s="136">
        <f>IF($F734="","",IFERROR(INDEX(사건마스터!$AT$5:$AT$64,MATCH($F734,사건마스터!$A$5:$A$64,0)),""))</f>
        <v/>
      </c>
      <c r="X734" s="136">
        <f>IF($F734="","",IFERROR(INDEX(사건마스터!$AU$5:$AU$64,MATCH($F734,사건마스터!$A$5:$A$64,0)),""))</f>
        <v/>
      </c>
      <c r="Y734" s="136">
        <f>IF($F734="","",IFERROR(INDEX(사건마스터!$AV$5:$AV$64,MATCH($F734,사건마스터!$A$5:$A$64,0)),""))</f>
        <v/>
      </c>
      <c r="Z734" s="118">
        <f>IF(COUNTBLANK($J734:$Y734)=16,"",16-COUNTBLANK($J734:$Y734))</f>
        <v/>
      </c>
      <c r="AA734" s="33">
        <f>IF($J734="",MID($AX734,3,255),$J734&amp;$AX734)</f>
        <v/>
      </c>
      <c r="AB734" s="130">
        <f>IF($J734="","",IFERROR(INDEX(코드설정!$D$5:$D$24,MATCH($J734,코드설정!$C$5:$C$24,0)),""))</f>
        <v/>
      </c>
      <c r="AC734" s="36" t="n"/>
      <c r="AD734" s="37" t="n"/>
      <c r="AE734" s="38" t="n"/>
      <c r="AF734" s="118">
        <f>IF(OR($B734="",$C734=""),"",$C734-$B734+1)</f>
        <v/>
      </c>
      <c r="AG734" s="74" t="n"/>
      <c r="AH734" s="36" t="n"/>
      <c r="AJ734">
        <f>IF($K734="","",", "&amp;$K734)</f>
        <v/>
      </c>
      <c r="AK734">
        <f>AJ734&amp;IF($L734="","",", "&amp;$L734)</f>
        <v/>
      </c>
      <c r="AL734">
        <f>AK734&amp;IF($M734="","",", "&amp;$M734)</f>
        <v/>
      </c>
      <c r="AM734">
        <f>AL734&amp;IF($N734="","",", "&amp;$N734)</f>
        <v/>
      </c>
      <c r="AN734">
        <f>AM734&amp;IF($O734="","",", "&amp;$O734)</f>
        <v/>
      </c>
      <c r="AO734">
        <f>AN734&amp;IF($P734="","",", "&amp;$P734)</f>
        <v/>
      </c>
      <c r="AP734">
        <f>AO734&amp;IF($Q734="","",", "&amp;$Q734)</f>
        <v/>
      </c>
      <c r="AQ734">
        <f>AP734&amp;IF($R734="","",", "&amp;$R734)</f>
        <v/>
      </c>
      <c r="AR734">
        <f>AQ734&amp;IF($S734="","",", "&amp;$S734)</f>
        <v/>
      </c>
      <c r="AS734">
        <f>AR734&amp;IF($T734="","",", "&amp;$T734)</f>
        <v/>
      </c>
      <c r="AT734">
        <f>AS734&amp;IF($U734="","",", "&amp;$U734)</f>
        <v/>
      </c>
      <c r="AU734">
        <f>AT734&amp;IF($V734="","",", "&amp;$V734)</f>
        <v/>
      </c>
      <c r="AV734">
        <f>AU734&amp;IF($W734="","",", "&amp;$W734)</f>
        <v/>
      </c>
      <c r="AW734">
        <f>AV734&amp;IF($X734="","",", "&amp;$X734)</f>
        <v/>
      </c>
      <c r="AX734">
        <f>AW734&amp;IF($Y734="","",", "&amp;$Y734)</f>
        <v/>
      </c>
    </row>
    <row r="735">
      <c r="A735" s="118">
        <f>IF($B735="","",COUNT($B$5:$B735))</f>
        <v/>
      </c>
      <c r="B735" s="80" t="n"/>
      <c r="C735" s="80" t="n"/>
      <c r="D735" s="74" t="n"/>
      <c r="E735" s="74" t="n"/>
      <c r="F735" s="74" t="n"/>
      <c r="G735" s="118">
        <f>IF($F735="","",COUNTIF($F$5:$F735,$F735))</f>
        <v/>
      </c>
      <c r="H735" s="33">
        <f>IF($F735="","",IFERROR(INDEX(사건마스터!$B$5:$B$64,MATCH($F735,사건마스터!$A$5:$A$64,0)),""))</f>
        <v/>
      </c>
      <c r="I735" s="130">
        <f>IF($F735="","",IFERROR(INDEX(사건마스터!$C$5:$C$64,MATCH($F735,사건마스터!$A$5:$A$64,0)),""))</f>
        <v/>
      </c>
      <c r="J735" s="136">
        <f>IF($F735="","",IFERROR(INDEX(사건마스터!$H$5:$H$64,MATCH($F735,사건마스터!$A$5:$A$64,0)),""))</f>
        <v/>
      </c>
      <c r="K735" s="136">
        <f>IF($F735="","",IFERROR(INDEX(사건마스터!$AH$5:$AH$64,MATCH($F735,사건마스터!$A$5:$A$64,0)),""))</f>
        <v/>
      </c>
      <c r="L735" s="136">
        <f>IF($F735="","",IFERROR(INDEX(사건마스터!$AI$5:$AI$64,MATCH($F735,사건마스터!$A$5:$A$64,0)),""))</f>
        <v/>
      </c>
      <c r="M735" s="136">
        <f>IF($F735="","",IFERROR(INDEX(사건마스터!$AJ$5:$AJ$64,MATCH($F735,사건마스터!$A$5:$A$64,0)),""))</f>
        <v/>
      </c>
      <c r="N735" s="136">
        <f>IF($F735="","",IFERROR(INDEX(사건마스터!$AK$5:$AK$64,MATCH($F735,사건마스터!$A$5:$A$64,0)),""))</f>
        <v/>
      </c>
      <c r="O735" s="136">
        <f>IF($F735="","",IFERROR(INDEX(사건마스터!$AL$5:$AL$64,MATCH($F735,사건마스터!$A$5:$A$64,0)),""))</f>
        <v/>
      </c>
      <c r="P735" s="136">
        <f>IF($F735="","",IFERROR(INDEX(사건마스터!$AM$5:$AM$64,MATCH($F735,사건마스터!$A$5:$A$64,0)),""))</f>
        <v/>
      </c>
      <c r="Q735" s="136">
        <f>IF($F735="","",IFERROR(INDEX(사건마스터!$AN$5:$AN$64,MATCH($F735,사건마스터!$A$5:$A$64,0)),""))</f>
        <v/>
      </c>
      <c r="R735" s="136">
        <f>IF($F735="","",IFERROR(INDEX(사건마스터!$AO$5:$AO$64,MATCH($F735,사건마스터!$A$5:$A$64,0)),""))</f>
        <v/>
      </c>
      <c r="S735" s="136">
        <f>IF($F735="","",IFERROR(INDEX(사건마스터!$AP$5:$AP$64,MATCH($F735,사건마스터!$A$5:$A$64,0)),""))</f>
        <v/>
      </c>
      <c r="T735" s="136">
        <f>IF($F735="","",IFERROR(INDEX(사건마스터!$AQ$5:$AQ$64,MATCH($F735,사건마스터!$A$5:$A$64,0)),""))</f>
        <v/>
      </c>
      <c r="U735" s="136">
        <f>IF($F735="","",IFERROR(INDEX(사건마스터!$AR$5:$AR$64,MATCH($F735,사건마스터!$A$5:$A$64,0)),""))</f>
        <v/>
      </c>
      <c r="V735" s="136">
        <f>IF($F735="","",IFERROR(INDEX(사건마스터!$AS$5:$AS$64,MATCH($F735,사건마스터!$A$5:$A$64,0)),""))</f>
        <v/>
      </c>
      <c r="W735" s="136">
        <f>IF($F735="","",IFERROR(INDEX(사건마스터!$AT$5:$AT$64,MATCH($F735,사건마스터!$A$5:$A$64,0)),""))</f>
        <v/>
      </c>
      <c r="X735" s="136">
        <f>IF($F735="","",IFERROR(INDEX(사건마스터!$AU$5:$AU$64,MATCH($F735,사건마스터!$A$5:$A$64,0)),""))</f>
        <v/>
      </c>
      <c r="Y735" s="136">
        <f>IF($F735="","",IFERROR(INDEX(사건마스터!$AV$5:$AV$64,MATCH($F735,사건마스터!$A$5:$A$64,0)),""))</f>
        <v/>
      </c>
      <c r="Z735" s="118">
        <f>IF(COUNTBLANK($J735:$Y735)=16,"",16-COUNTBLANK($J735:$Y735))</f>
        <v/>
      </c>
      <c r="AA735" s="33">
        <f>IF($J735="",MID($AX735,3,255),$J735&amp;$AX735)</f>
        <v/>
      </c>
      <c r="AB735" s="130">
        <f>IF($J735="","",IFERROR(INDEX(코드설정!$D$5:$D$24,MATCH($J735,코드설정!$C$5:$C$24,0)),""))</f>
        <v/>
      </c>
      <c r="AC735" s="36" t="n"/>
      <c r="AD735" s="37" t="n"/>
      <c r="AE735" s="38" t="n"/>
      <c r="AF735" s="118">
        <f>IF(OR($B735="",$C735=""),"",$C735-$B735+1)</f>
        <v/>
      </c>
      <c r="AG735" s="74" t="n"/>
      <c r="AH735" s="36" t="n"/>
      <c r="AJ735">
        <f>IF($K735="","",", "&amp;$K735)</f>
        <v/>
      </c>
      <c r="AK735">
        <f>AJ735&amp;IF($L735="","",", "&amp;$L735)</f>
        <v/>
      </c>
      <c r="AL735">
        <f>AK735&amp;IF($M735="","",", "&amp;$M735)</f>
        <v/>
      </c>
      <c r="AM735">
        <f>AL735&amp;IF($N735="","",", "&amp;$N735)</f>
        <v/>
      </c>
      <c r="AN735">
        <f>AM735&amp;IF($O735="","",", "&amp;$O735)</f>
        <v/>
      </c>
      <c r="AO735">
        <f>AN735&amp;IF($P735="","",", "&amp;$P735)</f>
        <v/>
      </c>
      <c r="AP735">
        <f>AO735&amp;IF($Q735="","",", "&amp;$Q735)</f>
        <v/>
      </c>
      <c r="AQ735">
        <f>AP735&amp;IF($R735="","",", "&amp;$R735)</f>
        <v/>
      </c>
      <c r="AR735">
        <f>AQ735&amp;IF($S735="","",", "&amp;$S735)</f>
        <v/>
      </c>
      <c r="AS735">
        <f>AR735&amp;IF($T735="","",", "&amp;$T735)</f>
        <v/>
      </c>
      <c r="AT735">
        <f>AS735&amp;IF($U735="","",", "&amp;$U735)</f>
        <v/>
      </c>
      <c r="AU735">
        <f>AT735&amp;IF($V735="","",", "&amp;$V735)</f>
        <v/>
      </c>
      <c r="AV735">
        <f>AU735&amp;IF($W735="","",", "&amp;$W735)</f>
        <v/>
      </c>
      <c r="AW735">
        <f>AV735&amp;IF($X735="","",", "&amp;$X735)</f>
        <v/>
      </c>
      <c r="AX735">
        <f>AW735&amp;IF($Y735="","",", "&amp;$Y735)</f>
        <v/>
      </c>
    </row>
    <row r="736">
      <c r="A736" s="118">
        <f>IF($B736="","",COUNT($B$5:$B736))</f>
        <v/>
      </c>
      <c r="B736" s="80" t="n"/>
      <c r="C736" s="80" t="n"/>
      <c r="D736" s="74" t="n"/>
      <c r="E736" s="74" t="n"/>
      <c r="F736" s="74" t="n"/>
      <c r="G736" s="118">
        <f>IF($F736="","",COUNTIF($F$5:$F736,$F736))</f>
        <v/>
      </c>
      <c r="H736" s="33">
        <f>IF($F736="","",IFERROR(INDEX(사건마스터!$B$5:$B$64,MATCH($F736,사건마스터!$A$5:$A$64,0)),""))</f>
        <v/>
      </c>
      <c r="I736" s="130">
        <f>IF($F736="","",IFERROR(INDEX(사건마스터!$C$5:$C$64,MATCH($F736,사건마스터!$A$5:$A$64,0)),""))</f>
        <v/>
      </c>
      <c r="J736" s="136">
        <f>IF($F736="","",IFERROR(INDEX(사건마스터!$H$5:$H$64,MATCH($F736,사건마스터!$A$5:$A$64,0)),""))</f>
        <v/>
      </c>
      <c r="K736" s="136">
        <f>IF($F736="","",IFERROR(INDEX(사건마스터!$AH$5:$AH$64,MATCH($F736,사건마스터!$A$5:$A$64,0)),""))</f>
        <v/>
      </c>
      <c r="L736" s="136">
        <f>IF($F736="","",IFERROR(INDEX(사건마스터!$AI$5:$AI$64,MATCH($F736,사건마스터!$A$5:$A$64,0)),""))</f>
        <v/>
      </c>
      <c r="M736" s="136">
        <f>IF($F736="","",IFERROR(INDEX(사건마스터!$AJ$5:$AJ$64,MATCH($F736,사건마스터!$A$5:$A$64,0)),""))</f>
        <v/>
      </c>
      <c r="N736" s="136">
        <f>IF($F736="","",IFERROR(INDEX(사건마스터!$AK$5:$AK$64,MATCH($F736,사건마스터!$A$5:$A$64,0)),""))</f>
        <v/>
      </c>
      <c r="O736" s="136">
        <f>IF($F736="","",IFERROR(INDEX(사건마스터!$AL$5:$AL$64,MATCH($F736,사건마스터!$A$5:$A$64,0)),""))</f>
        <v/>
      </c>
      <c r="P736" s="136">
        <f>IF($F736="","",IFERROR(INDEX(사건마스터!$AM$5:$AM$64,MATCH($F736,사건마스터!$A$5:$A$64,0)),""))</f>
        <v/>
      </c>
      <c r="Q736" s="136">
        <f>IF($F736="","",IFERROR(INDEX(사건마스터!$AN$5:$AN$64,MATCH($F736,사건마스터!$A$5:$A$64,0)),""))</f>
        <v/>
      </c>
      <c r="R736" s="136">
        <f>IF($F736="","",IFERROR(INDEX(사건마스터!$AO$5:$AO$64,MATCH($F736,사건마스터!$A$5:$A$64,0)),""))</f>
        <v/>
      </c>
      <c r="S736" s="136">
        <f>IF($F736="","",IFERROR(INDEX(사건마스터!$AP$5:$AP$64,MATCH($F736,사건마스터!$A$5:$A$64,0)),""))</f>
        <v/>
      </c>
      <c r="T736" s="136">
        <f>IF($F736="","",IFERROR(INDEX(사건마스터!$AQ$5:$AQ$64,MATCH($F736,사건마스터!$A$5:$A$64,0)),""))</f>
        <v/>
      </c>
      <c r="U736" s="136">
        <f>IF($F736="","",IFERROR(INDEX(사건마스터!$AR$5:$AR$64,MATCH($F736,사건마스터!$A$5:$A$64,0)),""))</f>
        <v/>
      </c>
      <c r="V736" s="136">
        <f>IF($F736="","",IFERROR(INDEX(사건마스터!$AS$5:$AS$64,MATCH($F736,사건마스터!$A$5:$A$64,0)),""))</f>
        <v/>
      </c>
      <c r="W736" s="136">
        <f>IF($F736="","",IFERROR(INDEX(사건마스터!$AT$5:$AT$64,MATCH($F736,사건마스터!$A$5:$A$64,0)),""))</f>
        <v/>
      </c>
      <c r="X736" s="136">
        <f>IF($F736="","",IFERROR(INDEX(사건마스터!$AU$5:$AU$64,MATCH($F736,사건마스터!$A$5:$A$64,0)),""))</f>
        <v/>
      </c>
      <c r="Y736" s="136">
        <f>IF($F736="","",IFERROR(INDEX(사건마스터!$AV$5:$AV$64,MATCH($F736,사건마스터!$A$5:$A$64,0)),""))</f>
        <v/>
      </c>
      <c r="Z736" s="118">
        <f>IF(COUNTBLANK($J736:$Y736)=16,"",16-COUNTBLANK($J736:$Y736))</f>
        <v/>
      </c>
      <c r="AA736" s="33">
        <f>IF($J736="",MID($AX736,3,255),$J736&amp;$AX736)</f>
        <v/>
      </c>
      <c r="AB736" s="130">
        <f>IF($J736="","",IFERROR(INDEX(코드설정!$D$5:$D$24,MATCH($J736,코드설정!$C$5:$C$24,0)),""))</f>
        <v/>
      </c>
      <c r="AC736" s="36" t="n"/>
      <c r="AD736" s="37" t="n"/>
      <c r="AE736" s="38" t="n"/>
      <c r="AF736" s="118">
        <f>IF(OR($B736="",$C736=""),"",$C736-$B736+1)</f>
        <v/>
      </c>
      <c r="AG736" s="74" t="n"/>
      <c r="AH736" s="36" t="n"/>
      <c r="AJ736">
        <f>IF($K736="","",", "&amp;$K736)</f>
        <v/>
      </c>
      <c r="AK736">
        <f>AJ736&amp;IF($L736="","",", "&amp;$L736)</f>
        <v/>
      </c>
      <c r="AL736">
        <f>AK736&amp;IF($M736="","",", "&amp;$M736)</f>
        <v/>
      </c>
      <c r="AM736">
        <f>AL736&amp;IF($N736="","",", "&amp;$N736)</f>
        <v/>
      </c>
      <c r="AN736">
        <f>AM736&amp;IF($O736="","",", "&amp;$O736)</f>
        <v/>
      </c>
      <c r="AO736">
        <f>AN736&amp;IF($P736="","",", "&amp;$P736)</f>
        <v/>
      </c>
      <c r="AP736">
        <f>AO736&amp;IF($Q736="","",", "&amp;$Q736)</f>
        <v/>
      </c>
      <c r="AQ736">
        <f>AP736&amp;IF($R736="","",", "&amp;$R736)</f>
        <v/>
      </c>
      <c r="AR736">
        <f>AQ736&amp;IF($S736="","",", "&amp;$S736)</f>
        <v/>
      </c>
      <c r="AS736">
        <f>AR736&amp;IF($T736="","",", "&amp;$T736)</f>
        <v/>
      </c>
      <c r="AT736">
        <f>AS736&amp;IF($U736="","",", "&amp;$U736)</f>
        <v/>
      </c>
      <c r="AU736">
        <f>AT736&amp;IF($V736="","",", "&amp;$V736)</f>
        <v/>
      </c>
      <c r="AV736">
        <f>AU736&amp;IF($W736="","",", "&amp;$W736)</f>
        <v/>
      </c>
      <c r="AW736">
        <f>AV736&amp;IF($X736="","",", "&amp;$X736)</f>
        <v/>
      </c>
      <c r="AX736">
        <f>AW736&amp;IF($Y736="","",", "&amp;$Y736)</f>
        <v/>
      </c>
    </row>
    <row r="737">
      <c r="A737" s="118">
        <f>IF($B737="","",COUNT($B$5:$B737))</f>
        <v/>
      </c>
      <c r="B737" s="80" t="n"/>
      <c r="C737" s="80" t="n"/>
      <c r="D737" s="74" t="n"/>
      <c r="E737" s="74" t="n"/>
      <c r="F737" s="74" t="n"/>
      <c r="G737" s="118">
        <f>IF($F737="","",COUNTIF($F$5:$F737,$F737))</f>
        <v/>
      </c>
      <c r="H737" s="33">
        <f>IF($F737="","",IFERROR(INDEX(사건마스터!$B$5:$B$64,MATCH($F737,사건마스터!$A$5:$A$64,0)),""))</f>
        <v/>
      </c>
      <c r="I737" s="130">
        <f>IF($F737="","",IFERROR(INDEX(사건마스터!$C$5:$C$64,MATCH($F737,사건마스터!$A$5:$A$64,0)),""))</f>
        <v/>
      </c>
      <c r="J737" s="136">
        <f>IF($F737="","",IFERROR(INDEX(사건마스터!$H$5:$H$64,MATCH($F737,사건마스터!$A$5:$A$64,0)),""))</f>
        <v/>
      </c>
      <c r="K737" s="136">
        <f>IF($F737="","",IFERROR(INDEX(사건마스터!$AH$5:$AH$64,MATCH($F737,사건마스터!$A$5:$A$64,0)),""))</f>
        <v/>
      </c>
      <c r="L737" s="136">
        <f>IF($F737="","",IFERROR(INDEX(사건마스터!$AI$5:$AI$64,MATCH($F737,사건마스터!$A$5:$A$64,0)),""))</f>
        <v/>
      </c>
      <c r="M737" s="136">
        <f>IF($F737="","",IFERROR(INDEX(사건마스터!$AJ$5:$AJ$64,MATCH($F737,사건마스터!$A$5:$A$64,0)),""))</f>
        <v/>
      </c>
      <c r="N737" s="136">
        <f>IF($F737="","",IFERROR(INDEX(사건마스터!$AK$5:$AK$64,MATCH($F737,사건마스터!$A$5:$A$64,0)),""))</f>
        <v/>
      </c>
      <c r="O737" s="136">
        <f>IF($F737="","",IFERROR(INDEX(사건마스터!$AL$5:$AL$64,MATCH($F737,사건마스터!$A$5:$A$64,0)),""))</f>
        <v/>
      </c>
      <c r="P737" s="136">
        <f>IF($F737="","",IFERROR(INDEX(사건마스터!$AM$5:$AM$64,MATCH($F737,사건마스터!$A$5:$A$64,0)),""))</f>
        <v/>
      </c>
      <c r="Q737" s="136">
        <f>IF($F737="","",IFERROR(INDEX(사건마스터!$AN$5:$AN$64,MATCH($F737,사건마스터!$A$5:$A$64,0)),""))</f>
        <v/>
      </c>
      <c r="R737" s="136">
        <f>IF($F737="","",IFERROR(INDEX(사건마스터!$AO$5:$AO$64,MATCH($F737,사건마스터!$A$5:$A$64,0)),""))</f>
        <v/>
      </c>
      <c r="S737" s="136">
        <f>IF($F737="","",IFERROR(INDEX(사건마스터!$AP$5:$AP$64,MATCH($F737,사건마스터!$A$5:$A$64,0)),""))</f>
        <v/>
      </c>
      <c r="T737" s="136">
        <f>IF($F737="","",IFERROR(INDEX(사건마스터!$AQ$5:$AQ$64,MATCH($F737,사건마스터!$A$5:$A$64,0)),""))</f>
        <v/>
      </c>
      <c r="U737" s="136">
        <f>IF($F737="","",IFERROR(INDEX(사건마스터!$AR$5:$AR$64,MATCH($F737,사건마스터!$A$5:$A$64,0)),""))</f>
        <v/>
      </c>
      <c r="V737" s="136">
        <f>IF($F737="","",IFERROR(INDEX(사건마스터!$AS$5:$AS$64,MATCH($F737,사건마스터!$A$5:$A$64,0)),""))</f>
        <v/>
      </c>
      <c r="W737" s="136">
        <f>IF($F737="","",IFERROR(INDEX(사건마스터!$AT$5:$AT$64,MATCH($F737,사건마스터!$A$5:$A$64,0)),""))</f>
        <v/>
      </c>
      <c r="X737" s="136">
        <f>IF($F737="","",IFERROR(INDEX(사건마스터!$AU$5:$AU$64,MATCH($F737,사건마스터!$A$5:$A$64,0)),""))</f>
        <v/>
      </c>
      <c r="Y737" s="136">
        <f>IF($F737="","",IFERROR(INDEX(사건마스터!$AV$5:$AV$64,MATCH($F737,사건마스터!$A$5:$A$64,0)),""))</f>
        <v/>
      </c>
      <c r="Z737" s="118">
        <f>IF(COUNTBLANK($J737:$Y737)=16,"",16-COUNTBLANK($J737:$Y737))</f>
        <v/>
      </c>
      <c r="AA737" s="33">
        <f>IF($J737="",MID($AX737,3,255),$J737&amp;$AX737)</f>
        <v/>
      </c>
      <c r="AB737" s="130">
        <f>IF($J737="","",IFERROR(INDEX(코드설정!$D$5:$D$24,MATCH($J737,코드설정!$C$5:$C$24,0)),""))</f>
        <v/>
      </c>
      <c r="AC737" s="36" t="n"/>
      <c r="AD737" s="37" t="n"/>
      <c r="AE737" s="38" t="n"/>
      <c r="AF737" s="118">
        <f>IF(OR($B737="",$C737=""),"",$C737-$B737+1)</f>
        <v/>
      </c>
      <c r="AG737" s="74" t="n"/>
      <c r="AH737" s="36" t="n"/>
      <c r="AJ737">
        <f>IF($K737="","",", "&amp;$K737)</f>
        <v/>
      </c>
      <c r="AK737">
        <f>AJ737&amp;IF($L737="","",", "&amp;$L737)</f>
        <v/>
      </c>
      <c r="AL737">
        <f>AK737&amp;IF($M737="","",", "&amp;$M737)</f>
        <v/>
      </c>
      <c r="AM737">
        <f>AL737&amp;IF($N737="","",", "&amp;$N737)</f>
        <v/>
      </c>
      <c r="AN737">
        <f>AM737&amp;IF($O737="","",", "&amp;$O737)</f>
        <v/>
      </c>
      <c r="AO737">
        <f>AN737&amp;IF($P737="","",", "&amp;$P737)</f>
        <v/>
      </c>
      <c r="AP737">
        <f>AO737&amp;IF($Q737="","",", "&amp;$Q737)</f>
        <v/>
      </c>
      <c r="AQ737">
        <f>AP737&amp;IF($R737="","",", "&amp;$R737)</f>
        <v/>
      </c>
      <c r="AR737">
        <f>AQ737&amp;IF($S737="","",", "&amp;$S737)</f>
        <v/>
      </c>
      <c r="AS737">
        <f>AR737&amp;IF($T737="","",", "&amp;$T737)</f>
        <v/>
      </c>
      <c r="AT737">
        <f>AS737&amp;IF($U737="","",", "&amp;$U737)</f>
        <v/>
      </c>
      <c r="AU737">
        <f>AT737&amp;IF($V737="","",", "&amp;$V737)</f>
        <v/>
      </c>
      <c r="AV737">
        <f>AU737&amp;IF($W737="","",", "&amp;$W737)</f>
        <v/>
      </c>
      <c r="AW737">
        <f>AV737&amp;IF($X737="","",", "&amp;$X737)</f>
        <v/>
      </c>
      <c r="AX737">
        <f>AW737&amp;IF($Y737="","",", "&amp;$Y737)</f>
        <v/>
      </c>
    </row>
    <row r="738">
      <c r="A738" s="118">
        <f>IF($B738="","",COUNT($B$5:$B738))</f>
        <v/>
      </c>
      <c r="B738" s="80" t="n"/>
      <c r="C738" s="80" t="n"/>
      <c r="D738" s="74" t="n"/>
      <c r="E738" s="74" t="n"/>
      <c r="F738" s="74" t="n"/>
      <c r="G738" s="118">
        <f>IF($F738="","",COUNTIF($F$5:$F738,$F738))</f>
        <v/>
      </c>
      <c r="H738" s="33">
        <f>IF($F738="","",IFERROR(INDEX(사건마스터!$B$5:$B$64,MATCH($F738,사건마스터!$A$5:$A$64,0)),""))</f>
        <v/>
      </c>
      <c r="I738" s="130">
        <f>IF($F738="","",IFERROR(INDEX(사건마스터!$C$5:$C$64,MATCH($F738,사건마스터!$A$5:$A$64,0)),""))</f>
        <v/>
      </c>
      <c r="J738" s="136">
        <f>IF($F738="","",IFERROR(INDEX(사건마스터!$H$5:$H$64,MATCH($F738,사건마스터!$A$5:$A$64,0)),""))</f>
        <v/>
      </c>
      <c r="K738" s="136">
        <f>IF($F738="","",IFERROR(INDEX(사건마스터!$AH$5:$AH$64,MATCH($F738,사건마스터!$A$5:$A$64,0)),""))</f>
        <v/>
      </c>
      <c r="L738" s="136">
        <f>IF($F738="","",IFERROR(INDEX(사건마스터!$AI$5:$AI$64,MATCH($F738,사건마스터!$A$5:$A$64,0)),""))</f>
        <v/>
      </c>
      <c r="M738" s="136">
        <f>IF($F738="","",IFERROR(INDEX(사건마스터!$AJ$5:$AJ$64,MATCH($F738,사건마스터!$A$5:$A$64,0)),""))</f>
        <v/>
      </c>
      <c r="N738" s="136">
        <f>IF($F738="","",IFERROR(INDEX(사건마스터!$AK$5:$AK$64,MATCH($F738,사건마스터!$A$5:$A$64,0)),""))</f>
        <v/>
      </c>
      <c r="O738" s="136">
        <f>IF($F738="","",IFERROR(INDEX(사건마스터!$AL$5:$AL$64,MATCH($F738,사건마스터!$A$5:$A$64,0)),""))</f>
        <v/>
      </c>
      <c r="P738" s="136">
        <f>IF($F738="","",IFERROR(INDEX(사건마스터!$AM$5:$AM$64,MATCH($F738,사건마스터!$A$5:$A$64,0)),""))</f>
        <v/>
      </c>
      <c r="Q738" s="136">
        <f>IF($F738="","",IFERROR(INDEX(사건마스터!$AN$5:$AN$64,MATCH($F738,사건마스터!$A$5:$A$64,0)),""))</f>
        <v/>
      </c>
      <c r="R738" s="136">
        <f>IF($F738="","",IFERROR(INDEX(사건마스터!$AO$5:$AO$64,MATCH($F738,사건마스터!$A$5:$A$64,0)),""))</f>
        <v/>
      </c>
      <c r="S738" s="136">
        <f>IF($F738="","",IFERROR(INDEX(사건마스터!$AP$5:$AP$64,MATCH($F738,사건마스터!$A$5:$A$64,0)),""))</f>
        <v/>
      </c>
      <c r="T738" s="136">
        <f>IF($F738="","",IFERROR(INDEX(사건마스터!$AQ$5:$AQ$64,MATCH($F738,사건마스터!$A$5:$A$64,0)),""))</f>
        <v/>
      </c>
      <c r="U738" s="136">
        <f>IF($F738="","",IFERROR(INDEX(사건마스터!$AR$5:$AR$64,MATCH($F738,사건마스터!$A$5:$A$64,0)),""))</f>
        <v/>
      </c>
      <c r="V738" s="136">
        <f>IF($F738="","",IFERROR(INDEX(사건마스터!$AS$5:$AS$64,MATCH($F738,사건마스터!$A$5:$A$64,0)),""))</f>
        <v/>
      </c>
      <c r="W738" s="136">
        <f>IF($F738="","",IFERROR(INDEX(사건마스터!$AT$5:$AT$64,MATCH($F738,사건마스터!$A$5:$A$64,0)),""))</f>
        <v/>
      </c>
      <c r="X738" s="136">
        <f>IF($F738="","",IFERROR(INDEX(사건마스터!$AU$5:$AU$64,MATCH($F738,사건마스터!$A$5:$A$64,0)),""))</f>
        <v/>
      </c>
      <c r="Y738" s="136">
        <f>IF($F738="","",IFERROR(INDEX(사건마스터!$AV$5:$AV$64,MATCH($F738,사건마스터!$A$5:$A$64,0)),""))</f>
        <v/>
      </c>
      <c r="Z738" s="118">
        <f>IF(COUNTBLANK($J738:$Y738)=16,"",16-COUNTBLANK($J738:$Y738))</f>
        <v/>
      </c>
      <c r="AA738" s="33">
        <f>IF($J738="",MID($AX738,3,255),$J738&amp;$AX738)</f>
        <v/>
      </c>
      <c r="AB738" s="130">
        <f>IF($J738="","",IFERROR(INDEX(코드설정!$D$5:$D$24,MATCH($J738,코드설정!$C$5:$C$24,0)),""))</f>
        <v/>
      </c>
      <c r="AC738" s="36" t="n"/>
      <c r="AD738" s="37" t="n"/>
      <c r="AE738" s="38" t="n"/>
      <c r="AF738" s="118">
        <f>IF(OR($B738="",$C738=""),"",$C738-$B738+1)</f>
        <v/>
      </c>
      <c r="AG738" s="74" t="n"/>
      <c r="AH738" s="36" t="n"/>
      <c r="AJ738">
        <f>IF($K738="","",", "&amp;$K738)</f>
        <v/>
      </c>
      <c r="AK738">
        <f>AJ738&amp;IF($L738="","",", "&amp;$L738)</f>
        <v/>
      </c>
      <c r="AL738">
        <f>AK738&amp;IF($M738="","",", "&amp;$M738)</f>
        <v/>
      </c>
      <c r="AM738">
        <f>AL738&amp;IF($N738="","",", "&amp;$N738)</f>
        <v/>
      </c>
      <c r="AN738">
        <f>AM738&amp;IF($O738="","",", "&amp;$O738)</f>
        <v/>
      </c>
      <c r="AO738">
        <f>AN738&amp;IF($P738="","",", "&amp;$P738)</f>
        <v/>
      </c>
      <c r="AP738">
        <f>AO738&amp;IF($Q738="","",", "&amp;$Q738)</f>
        <v/>
      </c>
      <c r="AQ738">
        <f>AP738&amp;IF($R738="","",", "&amp;$R738)</f>
        <v/>
      </c>
      <c r="AR738">
        <f>AQ738&amp;IF($S738="","",", "&amp;$S738)</f>
        <v/>
      </c>
      <c r="AS738">
        <f>AR738&amp;IF($T738="","",", "&amp;$T738)</f>
        <v/>
      </c>
      <c r="AT738">
        <f>AS738&amp;IF($U738="","",", "&amp;$U738)</f>
        <v/>
      </c>
      <c r="AU738">
        <f>AT738&amp;IF($V738="","",", "&amp;$V738)</f>
        <v/>
      </c>
      <c r="AV738">
        <f>AU738&amp;IF($W738="","",", "&amp;$W738)</f>
        <v/>
      </c>
      <c r="AW738">
        <f>AV738&amp;IF($X738="","",", "&amp;$X738)</f>
        <v/>
      </c>
      <c r="AX738">
        <f>AW738&amp;IF($Y738="","",", "&amp;$Y738)</f>
        <v/>
      </c>
    </row>
    <row r="739">
      <c r="A739" s="118">
        <f>IF($B739="","",COUNT($B$5:$B739))</f>
        <v/>
      </c>
      <c r="B739" s="80" t="n"/>
      <c r="C739" s="80" t="n"/>
      <c r="D739" s="74" t="n"/>
      <c r="E739" s="74" t="n"/>
      <c r="F739" s="74" t="n"/>
      <c r="G739" s="118">
        <f>IF($F739="","",COUNTIF($F$5:$F739,$F739))</f>
        <v/>
      </c>
      <c r="H739" s="33">
        <f>IF($F739="","",IFERROR(INDEX(사건마스터!$B$5:$B$64,MATCH($F739,사건마스터!$A$5:$A$64,0)),""))</f>
        <v/>
      </c>
      <c r="I739" s="130">
        <f>IF($F739="","",IFERROR(INDEX(사건마스터!$C$5:$C$64,MATCH($F739,사건마스터!$A$5:$A$64,0)),""))</f>
        <v/>
      </c>
      <c r="J739" s="136">
        <f>IF($F739="","",IFERROR(INDEX(사건마스터!$H$5:$H$64,MATCH($F739,사건마스터!$A$5:$A$64,0)),""))</f>
        <v/>
      </c>
      <c r="K739" s="136">
        <f>IF($F739="","",IFERROR(INDEX(사건마스터!$AH$5:$AH$64,MATCH($F739,사건마스터!$A$5:$A$64,0)),""))</f>
        <v/>
      </c>
      <c r="L739" s="136">
        <f>IF($F739="","",IFERROR(INDEX(사건마스터!$AI$5:$AI$64,MATCH($F739,사건마스터!$A$5:$A$64,0)),""))</f>
        <v/>
      </c>
      <c r="M739" s="136">
        <f>IF($F739="","",IFERROR(INDEX(사건마스터!$AJ$5:$AJ$64,MATCH($F739,사건마스터!$A$5:$A$64,0)),""))</f>
        <v/>
      </c>
      <c r="N739" s="136">
        <f>IF($F739="","",IFERROR(INDEX(사건마스터!$AK$5:$AK$64,MATCH($F739,사건마스터!$A$5:$A$64,0)),""))</f>
        <v/>
      </c>
      <c r="O739" s="136">
        <f>IF($F739="","",IFERROR(INDEX(사건마스터!$AL$5:$AL$64,MATCH($F739,사건마스터!$A$5:$A$64,0)),""))</f>
        <v/>
      </c>
      <c r="P739" s="136">
        <f>IF($F739="","",IFERROR(INDEX(사건마스터!$AM$5:$AM$64,MATCH($F739,사건마스터!$A$5:$A$64,0)),""))</f>
        <v/>
      </c>
      <c r="Q739" s="136">
        <f>IF($F739="","",IFERROR(INDEX(사건마스터!$AN$5:$AN$64,MATCH($F739,사건마스터!$A$5:$A$64,0)),""))</f>
        <v/>
      </c>
      <c r="R739" s="136">
        <f>IF($F739="","",IFERROR(INDEX(사건마스터!$AO$5:$AO$64,MATCH($F739,사건마스터!$A$5:$A$64,0)),""))</f>
        <v/>
      </c>
      <c r="S739" s="136">
        <f>IF($F739="","",IFERROR(INDEX(사건마스터!$AP$5:$AP$64,MATCH($F739,사건마스터!$A$5:$A$64,0)),""))</f>
        <v/>
      </c>
      <c r="T739" s="136">
        <f>IF($F739="","",IFERROR(INDEX(사건마스터!$AQ$5:$AQ$64,MATCH($F739,사건마스터!$A$5:$A$64,0)),""))</f>
        <v/>
      </c>
      <c r="U739" s="136">
        <f>IF($F739="","",IFERROR(INDEX(사건마스터!$AR$5:$AR$64,MATCH($F739,사건마스터!$A$5:$A$64,0)),""))</f>
        <v/>
      </c>
      <c r="V739" s="136">
        <f>IF($F739="","",IFERROR(INDEX(사건마스터!$AS$5:$AS$64,MATCH($F739,사건마스터!$A$5:$A$64,0)),""))</f>
        <v/>
      </c>
      <c r="W739" s="136">
        <f>IF($F739="","",IFERROR(INDEX(사건마스터!$AT$5:$AT$64,MATCH($F739,사건마스터!$A$5:$A$64,0)),""))</f>
        <v/>
      </c>
      <c r="X739" s="136">
        <f>IF($F739="","",IFERROR(INDEX(사건마스터!$AU$5:$AU$64,MATCH($F739,사건마스터!$A$5:$A$64,0)),""))</f>
        <v/>
      </c>
      <c r="Y739" s="136">
        <f>IF($F739="","",IFERROR(INDEX(사건마스터!$AV$5:$AV$64,MATCH($F739,사건마스터!$A$5:$A$64,0)),""))</f>
        <v/>
      </c>
      <c r="Z739" s="118">
        <f>IF(COUNTBLANK($J739:$Y739)=16,"",16-COUNTBLANK($J739:$Y739))</f>
        <v/>
      </c>
      <c r="AA739" s="33">
        <f>IF($J739="",MID($AX739,3,255),$J739&amp;$AX739)</f>
        <v/>
      </c>
      <c r="AB739" s="130">
        <f>IF($J739="","",IFERROR(INDEX(코드설정!$D$5:$D$24,MATCH($J739,코드설정!$C$5:$C$24,0)),""))</f>
        <v/>
      </c>
      <c r="AC739" s="36" t="n"/>
      <c r="AD739" s="37" t="n"/>
      <c r="AE739" s="38" t="n"/>
      <c r="AF739" s="118">
        <f>IF(OR($B739="",$C739=""),"",$C739-$B739+1)</f>
        <v/>
      </c>
      <c r="AG739" s="74" t="n"/>
      <c r="AH739" s="36" t="n"/>
      <c r="AJ739">
        <f>IF($K739="","",", "&amp;$K739)</f>
        <v/>
      </c>
      <c r="AK739">
        <f>AJ739&amp;IF($L739="","",", "&amp;$L739)</f>
        <v/>
      </c>
      <c r="AL739">
        <f>AK739&amp;IF($M739="","",", "&amp;$M739)</f>
        <v/>
      </c>
      <c r="AM739">
        <f>AL739&amp;IF($N739="","",", "&amp;$N739)</f>
        <v/>
      </c>
      <c r="AN739">
        <f>AM739&amp;IF($O739="","",", "&amp;$O739)</f>
        <v/>
      </c>
      <c r="AO739">
        <f>AN739&amp;IF($P739="","",", "&amp;$P739)</f>
        <v/>
      </c>
      <c r="AP739">
        <f>AO739&amp;IF($Q739="","",", "&amp;$Q739)</f>
        <v/>
      </c>
      <c r="AQ739">
        <f>AP739&amp;IF($R739="","",", "&amp;$R739)</f>
        <v/>
      </c>
      <c r="AR739">
        <f>AQ739&amp;IF($S739="","",", "&amp;$S739)</f>
        <v/>
      </c>
      <c r="AS739">
        <f>AR739&amp;IF($T739="","",", "&amp;$T739)</f>
        <v/>
      </c>
      <c r="AT739">
        <f>AS739&amp;IF($U739="","",", "&amp;$U739)</f>
        <v/>
      </c>
      <c r="AU739">
        <f>AT739&amp;IF($V739="","",", "&amp;$V739)</f>
        <v/>
      </c>
      <c r="AV739">
        <f>AU739&amp;IF($W739="","",", "&amp;$W739)</f>
        <v/>
      </c>
      <c r="AW739">
        <f>AV739&amp;IF($X739="","",", "&amp;$X739)</f>
        <v/>
      </c>
      <c r="AX739">
        <f>AW739&amp;IF($Y739="","",", "&amp;$Y739)</f>
        <v/>
      </c>
    </row>
    <row r="740">
      <c r="A740" s="118">
        <f>IF($B740="","",COUNT($B$5:$B740))</f>
        <v/>
      </c>
      <c r="B740" s="80" t="n"/>
      <c r="C740" s="80" t="n"/>
      <c r="D740" s="74" t="n"/>
      <c r="E740" s="74" t="n"/>
      <c r="F740" s="74" t="n"/>
      <c r="G740" s="118">
        <f>IF($F740="","",COUNTIF($F$5:$F740,$F740))</f>
        <v/>
      </c>
      <c r="H740" s="33">
        <f>IF($F740="","",IFERROR(INDEX(사건마스터!$B$5:$B$64,MATCH($F740,사건마스터!$A$5:$A$64,0)),""))</f>
        <v/>
      </c>
      <c r="I740" s="130">
        <f>IF($F740="","",IFERROR(INDEX(사건마스터!$C$5:$C$64,MATCH($F740,사건마스터!$A$5:$A$64,0)),""))</f>
        <v/>
      </c>
      <c r="J740" s="136">
        <f>IF($F740="","",IFERROR(INDEX(사건마스터!$H$5:$H$64,MATCH($F740,사건마스터!$A$5:$A$64,0)),""))</f>
        <v/>
      </c>
      <c r="K740" s="136">
        <f>IF($F740="","",IFERROR(INDEX(사건마스터!$AH$5:$AH$64,MATCH($F740,사건마스터!$A$5:$A$64,0)),""))</f>
        <v/>
      </c>
      <c r="L740" s="136">
        <f>IF($F740="","",IFERROR(INDEX(사건마스터!$AI$5:$AI$64,MATCH($F740,사건마스터!$A$5:$A$64,0)),""))</f>
        <v/>
      </c>
      <c r="M740" s="136">
        <f>IF($F740="","",IFERROR(INDEX(사건마스터!$AJ$5:$AJ$64,MATCH($F740,사건마스터!$A$5:$A$64,0)),""))</f>
        <v/>
      </c>
      <c r="N740" s="136">
        <f>IF($F740="","",IFERROR(INDEX(사건마스터!$AK$5:$AK$64,MATCH($F740,사건마스터!$A$5:$A$64,0)),""))</f>
        <v/>
      </c>
      <c r="O740" s="136">
        <f>IF($F740="","",IFERROR(INDEX(사건마스터!$AL$5:$AL$64,MATCH($F740,사건마스터!$A$5:$A$64,0)),""))</f>
        <v/>
      </c>
      <c r="P740" s="136">
        <f>IF($F740="","",IFERROR(INDEX(사건마스터!$AM$5:$AM$64,MATCH($F740,사건마스터!$A$5:$A$64,0)),""))</f>
        <v/>
      </c>
      <c r="Q740" s="136">
        <f>IF($F740="","",IFERROR(INDEX(사건마스터!$AN$5:$AN$64,MATCH($F740,사건마스터!$A$5:$A$64,0)),""))</f>
        <v/>
      </c>
      <c r="R740" s="136">
        <f>IF($F740="","",IFERROR(INDEX(사건마스터!$AO$5:$AO$64,MATCH($F740,사건마스터!$A$5:$A$64,0)),""))</f>
        <v/>
      </c>
      <c r="S740" s="136">
        <f>IF($F740="","",IFERROR(INDEX(사건마스터!$AP$5:$AP$64,MATCH($F740,사건마스터!$A$5:$A$64,0)),""))</f>
        <v/>
      </c>
      <c r="T740" s="136">
        <f>IF($F740="","",IFERROR(INDEX(사건마스터!$AQ$5:$AQ$64,MATCH($F740,사건마스터!$A$5:$A$64,0)),""))</f>
        <v/>
      </c>
      <c r="U740" s="136">
        <f>IF($F740="","",IFERROR(INDEX(사건마스터!$AR$5:$AR$64,MATCH($F740,사건마스터!$A$5:$A$64,0)),""))</f>
        <v/>
      </c>
      <c r="V740" s="136">
        <f>IF($F740="","",IFERROR(INDEX(사건마스터!$AS$5:$AS$64,MATCH($F740,사건마스터!$A$5:$A$64,0)),""))</f>
        <v/>
      </c>
      <c r="W740" s="136">
        <f>IF($F740="","",IFERROR(INDEX(사건마스터!$AT$5:$AT$64,MATCH($F740,사건마스터!$A$5:$A$64,0)),""))</f>
        <v/>
      </c>
      <c r="X740" s="136">
        <f>IF($F740="","",IFERROR(INDEX(사건마스터!$AU$5:$AU$64,MATCH($F740,사건마스터!$A$5:$A$64,0)),""))</f>
        <v/>
      </c>
      <c r="Y740" s="136">
        <f>IF($F740="","",IFERROR(INDEX(사건마스터!$AV$5:$AV$64,MATCH($F740,사건마스터!$A$5:$A$64,0)),""))</f>
        <v/>
      </c>
      <c r="Z740" s="118">
        <f>IF(COUNTBLANK($J740:$Y740)=16,"",16-COUNTBLANK($J740:$Y740))</f>
        <v/>
      </c>
      <c r="AA740" s="33">
        <f>IF($J740="",MID($AX740,3,255),$J740&amp;$AX740)</f>
        <v/>
      </c>
      <c r="AB740" s="130">
        <f>IF($J740="","",IFERROR(INDEX(코드설정!$D$5:$D$24,MATCH($J740,코드설정!$C$5:$C$24,0)),""))</f>
        <v/>
      </c>
      <c r="AC740" s="36" t="n"/>
      <c r="AD740" s="37" t="n"/>
      <c r="AE740" s="38" t="n"/>
      <c r="AF740" s="118">
        <f>IF(OR($B740="",$C740=""),"",$C740-$B740+1)</f>
        <v/>
      </c>
      <c r="AG740" s="74" t="n"/>
      <c r="AH740" s="36" t="n"/>
      <c r="AJ740">
        <f>IF($K740="","",", "&amp;$K740)</f>
        <v/>
      </c>
      <c r="AK740">
        <f>AJ740&amp;IF($L740="","",", "&amp;$L740)</f>
        <v/>
      </c>
      <c r="AL740">
        <f>AK740&amp;IF($M740="","",", "&amp;$M740)</f>
        <v/>
      </c>
      <c r="AM740">
        <f>AL740&amp;IF($N740="","",", "&amp;$N740)</f>
        <v/>
      </c>
      <c r="AN740">
        <f>AM740&amp;IF($O740="","",", "&amp;$O740)</f>
        <v/>
      </c>
      <c r="AO740">
        <f>AN740&amp;IF($P740="","",", "&amp;$P740)</f>
        <v/>
      </c>
      <c r="AP740">
        <f>AO740&amp;IF($Q740="","",", "&amp;$Q740)</f>
        <v/>
      </c>
      <c r="AQ740">
        <f>AP740&amp;IF($R740="","",", "&amp;$R740)</f>
        <v/>
      </c>
      <c r="AR740">
        <f>AQ740&amp;IF($S740="","",", "&amp;$S740)</f>
        <v/>
      </c>
      <c r="AS740">
        <f>AR740&amp;IF($T740="","",", "&amp;$T740)</f>
        <v/>
      </c>
      <c r="AT740">
        <f>AS740&amp;IF($U740="","",", "&amp;$U740)</f>
        <v/>
      </c>
      <c r="AU740">
        <f>AT740&amp;IF($V740="","",", "&amp;$V740)</f>
        <v/>
      </c>
      <c r="AV740">
        <f>AU740&amp;IF($W740="","",", "&amp;$W740)</f>
        <v/>
      </c>
      <c r="AW740">
        <f>AV740&amp;IF($X740="","",", "&amp;$X740)</f>
        <v/>
      </c>
      <c r="AX740">
        <f>AW740&amp;IF($Y740="","",", "&amp;$Y740)</f>
        <v/>
      </c>
    </row>
    <row r="741">
      <c r="A741" s="118">
        <f>IF($B741="","",COUNT($B$5:$B741))</f>
        <v/>
      </c>
      <c r="B741" s="80" t="n"/>
      <c r="C741" s="80" t="n"/>
      <c r="D741" s="74" t="n"/>
      <c r="E741" s="74" t="n"/>
      <c r="F741" s="74" t="n"/>
      <c r="G741" s="118">
        <f>IF($F741="","",COUNTIF($F$5:$F741,$F741))</f>
        <v/>
      </c>
      <c r="H741" s="33">
        <f>IF($F741="","",IFERROR(INDEX(사건마스터!$B$5:$B$64,MATCH($F741,사건마스터!$A$5:$A$64,0)),""))</f>
        <v/>
      </c>
      <c r="I741" s="130">
        <f>IF($F741="","",IFERROR(INDEX(사건마스터!$C$5:$C$64,MATCH($F741,사건마스터!$A$5:$A$64,0)),""))</f>
        <v/>
      </c>
      <c r="J741" s="136">
        <f>IF($F741="","",IFERROR(INDEX(사건마스터!$H$5:$H$64,MATCH($F741,사건마스터!$A$5:$A$64,0)),""))</f>
        <v/>
      </c>
      <c r="K741" s="136">
        <f>IF($F741="","",IFERROR(INDEX(사건마스터!$AH$5:$AH$64,MATCH($F741,사건마스터!$A$5:$A$64,0)),""))</f>
        <v/>
      </c>
      <c r="L741" s="136">
        <f>IF($F741="","",IFERROR(INDEX(사건마스터!$AI$5:$AI$64,MATCH($F741,사건마스터!$A$5:$A$64,0)),""))</f>
        <v/>
      </c>
      <c r="M741" s="136">
        <f>IF($F741="","",IFERROR(INDEX(사건마스터!$AJ$5:$AJ$64,MATCH($F741,사건마스터!$A$5:$A$64,0)),""))</f>
        <v/>
      </c>
      <c r="N741" s="136">
        <f>IF($F741="","",IFERROR(INDEX(사건마스터!$AK$5:$AK$64,MATCH($F741,사건마스터!$A$5:$A$64,0)),""))</f>
        <v/>
      </c>
      <c r="O741" s="136">
        <f>IF($F741="","",IFERROR(INDEX(사건마스터!$AL$5:$AL$64,MATCH($F741,사건마스터!$A$5:$A$64,0)),""))</f>
        <v/>
      </c>
      <c r="P741" s="136">
        <f>IF($F741="","",IFERROR(INDEX(사건마스터!$AM$5:$AM$64,MATCH($F741,사건마스터!$A$5:$A$64,0)),""))</f>
        <v/>
      </c>
      <c r="Q741" s="136">
        <f>IF($F741="","",IFERROR(INDEX(사건마스터!$AN$5:$AN$64,MATCH($F741,사건마스터!$A$5:$A$64,0)),""))</f>
        <v/>
      </c>
      <c r="R741" s="136">
        <f>IF($F741="","",IFERROR(INDEX(사건마스터!$AO$5:$AO$64,MATCH($F741,사건마스터!$A$5:$A$64,0)),""))</f>
        <v/>
      </c>
      <c r="S741" s="136">
        <f>IF($F741="","",IFERROR(INDEX(사건마스터!$AP$5:$AP$64,MATCH($F741,사건마스터!$A$5:$A$64,0)),""))</f>
        <v/>
      </c>
      <c r="T741" s="136">
        <f>IF($F741="","",IFERROR(INDEX(사건마스터!$AQ$5:$AQ$64,MATCH($F741,사건마스터!$A$5:$A$64,0)),""))</f>
        <v/>
      </c>
      <c r="U741" s="136">
        <f>IF($F741="","",IFERROR(INDEX(사건마스터!$AR$5:$AR$64,MATCH($F741,사건마스터!$A$5:$A$64,0)),""))</f>
        <v/>
      </c>
      <c r="V741" s="136">
        <f>IF($F741="","",IFERROR(INDEX(사건마스터!$AS$5:$AS$64,MATCH($F741,사건마스터!$A$5:$A$64,0)),""))</f>
        <v/>
      </c>
      <c r="W741" s="136">
        <f>IF($F741="","",IFERROR(INDEX(사건마스터!$AT$5:$AT$64,MATCH($F741,사건마스터!$A$5:$A$64,0)),""))</f>
        <v/>
      </c>
      <c r="X741" s="136">
        <f>IF($F741="","",IFERROR(INDEX(사건마스터!$AU$5:$AU$64,MATCH($F741,사건마스터!$A$5:$A$64,0)),""))</f>
        <v/>
      </c>
      <c r="Y741" s="136">
        <f>IF($F741="","",IFERROR(INDEX(사건마스터!$AV$5:$AV$64,MATCH($F741,사건마스터!$A$5:$A$64,0)),""))</f>
        <v/>
      </c>
      <c r="Z741" s="118">
        <f>IF(COUNTBLANK($J741:$Y741)=16,"",16-COUNTBLANK($J741:$Y741))</f>
        <v/>
      </c>
      <c r="AA741" s="33">
        <f>IF($J741="",MID($AX741,3,255),$J741&amp;$AX741)</f>
        <v/>
      </c>
      <c r="AB741" s="130">
        <f>IF($J741="","",IFERROR(INDEX(코드설정!$D$5:$D$24,MATCH($J741,코드설정!$C$5:$C$24,0)),""))</f>
        <v/>
      </c>
      <c r="AC741" s="36" t="n"/>
      <c r="AD741" s="37" t="n"/>
      <c r="AE741" s="38" t="n"/>
      <c r="AF741" s="118">
        <f>IF(OR($B741="",$C741=""),"",$C741-$B741+1)</f>
        <v/>
      </c>
      <c r="AG741" s="74" t="n"/>
      <c r="AH741" s="36" t="n"/>
      <c r="AJ741">
        <f>IF($K741="","",", "&amp;$K741)</f>
        <v/>
      </c>
      <c r="AK741">
        <f>AJ741&amp;IF($L741="","",", "&amp;$L741)</f>
        <v/>
      </c>
      <c r="AL741">
        <f>AK741&amp;IF($M741="","",", "&amp;$M741)</f>
        <v/>
      </c>
      <c r="AM741">
        <f>AL741&amp;IF($N741="","",", "&amp;$N741)</f>
        <v/>
      </c>
      <c r="AN741">
        <f>AM741&amp;IF($O741="","",", "&amp;$O741)</f>
        <v/>
      </c>
      <c r="AO741">
        <f>AN741&amp;IF($P741="","",", "&amp;$P741)</f>
        <v/>
      </c>
      <c r="AP741">
        <f>AO741&amp;IF($Q741="","",", "&amp;$Q741)</f>
        <v/>
      </c>
      <c r="AQ741">
        <f>AP741&amp;IF($R741="","",", "&amp;$R741)</f>
        <v/>
      </c>
      <c r="AR741">
        <f>AQ741&amp;IF($S741="","",", "&amp;$S741)</f>
        <v/>
      </c>
      <c r="AS741">
        <f>AR741&amp;IF($T741="","",", "&amp;$T741)</f>
        <v/>
      </c>
      <c r="AT741">
        <f>AS741&amp;IF($U741="","",", "&amp;$U741)</f>
        <v/>
      </c>
      <c r="AU741">
        <f>AT741&amp;IF($V741="","",", "&amp;$V741)</f>
        <v/>
      </c>
      <c r="AV741">
        <f>AU741&amp;IF($W741="","",", "&amp;$W741)</f>
        <v/>
      </c>
      <c r="AW741">
        <f>AV741&amp;IF($X741="","",", "&amp;$X741)</f>
        <v/>
      </c>
      <c r="AX741">
        <f>AW741&amp;IF($Y741="","",", "&amp;$Y741)</f>
        <v/>
      </c>
    </row>
    <row r="742">
      <c r="A742" s="118">
        <f>IF($B742="","",COUNT($B$5:$B742))</f>
        <v/>
      </c>
      <c r="B742" s="80" t="n"/>
      <c r="C742" s="80" t="n"/>
      <c r="D742" s="74" t="n"/>
      <c r="E742" s="74" t="n"/>
      <c r="F742" s="74" t="n"/>
      <c r="G742" s="118">
        <f>IF($F742="","",COUNTIF($F$5:$F742,$F742))</f>
        <v/>
      </c>
      <c r="H742" s="33">
        <f>IF($F742="","",IFERROR(INDEX(사건마스터!$B$5:$B$64,MATCH($F742,사건마스터!$A$5:$A$64,0)),""))</f>
        <v/>
      </c>
      <c r="I742" s="130">
        <f>IF($F742="","",IFERROR(INDEX(사건마스터!$C$5:$C$64,MATCH($F742,사건마스터!$A$5:$A$64,0)),""))</f>
        <v/>
      </c>
      <c r="J742" s="136">
        <f>IF($F742="","",IFERROR(INDEX(사건마스터!$H$5:$H$64,MATCH($F742,사건마스터!$A$5:$A$64,0)),""))</f>
        <v/>
      </c>
      <c r="K742" s="136">
        <f>IF($F742="","",IFERROR(INDEX(사건마스터!$AH$5:$AH$64,MATCH($F742,사건마스터!$A$5:$A$64,0)),""))</f>
        <v/>
      </c>
      <c r="L742" s="136">
        <f>IF($F742="","",IFERROR(INDEX(사건마스터!$AI$5:$AI$64,MATCH($F742,사건마스터!$A$5:$A$64,0)),""))</f>
        <v/>
      </c>
      <c r="M742" s="136">
        <f>IF($F742="","",IFERROR(INDEX(사건마스터!$AJ$5:$AJ$64,MATCH($F742,사건마스터!$A$5:$A$64,0)),""))</f>
        <v/>
      </c>
      <c r="N742" s="136">
        <f>IF($F742="","",IFERROR(INDEX(사건마스터!$AK$5:$AK$64,MATCH($F742,사건마스터!$A$5:$A$64,0)),""))</f>
        <v/>
      </c>
      <c r="O742" s="136">
        <f>IF($F742="","",IFERROR(INDEX(사건마스터!$AL$5:$AL$64,MATCH($F742,사건마스터!$A$5:$A$64,0)),""))</f>
        <v/>
      </c>
      <c r="P742" s="136">
        <f>IF($F742="","",IFERROR(INDEX(사건마스터!$AM$5:$AM$64,MATCH($F742,사건마스터!$A$5:$A$64,0)),""))</f>
        <v/>
      </c>
      <c r="Q742" s="136">
        <f>IF($F742="","",IFERROR(INDEX(사건마스터!$AN$5:$AN$64,MATCH($F742,사건마스터!$A$5:$A$64,0)),""))</f>
        <v/>
      </c>
      <c r="R742" s="136">
        <f>IF($F742="","",IFERROR(INDEX(사건마스터!$AO$5:$AO$64,MATCH($F742,사건마스터!$A$5:$A$64,0)),""))</f>
        <v/>
      </c>
      <c r="S742" s="136">
        <f>IF($F742="","",IFERROR(INDEX(사건마스터!$AP$5:$AP$64,MATCH($F742,사건마스터!$A$5:$A$64,0)),""))</f>
        <v/>
      </c>
      <c r="T742" s="136">
        <f>IF($F742="","",IFERROR(INDEX(사건마스터!$AQ$5:$AQ$64,MATCH($F742,사건마스터!$A$5:$A$64,0)),""))</f>
        <v/>
      </c>
      <c r="U742" s="136">
        <f>IF($F742="","",IFERROR(INDEX(사건마스터!$AR$5:$AR$64,MATCH($F742,사건마스터!$A$5:$A$64,0)),""))</f>
        <v/>
      </c>
      <c r="V742" s="136">
        <f>IF($F742="","",IFERROR(INDEX(사건마스터!$AS$5:$AS$64,MATCH($F742,사건마스터!$A$5:$A$64,0)),""))</f>
        <v/>
      </c>
      <c r="W742" s="136">
        <f>IF($F742="","",IFERROR(INDEX(사건마스터!$AT$5:$AT$64,MATCH($F742,사건마스터!$A$5:$A$64,0)),""))</f>
        <v/>
      </c>
      <c r="X742" s="136">
        <f>IF($F742="","",IFERROR(INDEX(사건마스터!$AU$5:$AU$64,MATCH($F742,사건마스터!$A$5:$A$64,0)),""))</f>
        <v/>
      </c>
      <c r="Y742" s="136">
        <f>IF($F742="","",IFERROR(INDEX(사건마스터!$AV$5:$AV$64,MATCH($F742,사건마스터!$A$5:$A$64,0)),""))</f>
        <v/>
      </c>
      <c r="Z742" s="118">
        <f>IF(COUNTBLANK($J742:$Y742)=16,"",16-COUNTBLANK($J742:$Y742))</f>
        <v/>
      </c>
      <c r="AA742" s="33">
        <f>IF($J742="",MID($AX742,3,255),$J742&amp;$AX742)</f>
        <v/>
      </c>
      <c r="AB742" s="130">
        <f>IF($J742="","",IFERROR(INDEX(코드설정!$D$5:$D$24,MATCH($J742,코드설정!$C$5:$C$24,0)),""))</f>
        <v/>
      </c>
      <c r="AC742" s="36" t="n"/>
      <c r="AD742" s="37" t="n"/>
      <c r="AE742" s="38" t="n"/>
      <c r="AF742" s="118">
        <f>IF(OR($B742="",$C742=""),"",$C742-$B742+1)</f>
        <v/>
      </c>
      <c r="AG742" s="74" t="n"/>
      <c r="AH742" s="36" t="n"/>
      <c r="AJ742">
        <f>IF($K742="","",", "&amp;$K742)</f>
        <v/>
      </c>
      <c r="AK742">
        <f>AJ742&amp;IF($L742="","",", "&amp;$L742)</f>
        <v/>
      </c>
      <c r="AL742">
        <f>AK742&amp;IF($M742="","",", "&amp;$M742)</f>
        <v/>
      </c>
      <c r="AM742">
        <f>AL742&amp;IF($N742="","",", "&amp;$N742)</f>
        <v/>
      </c>
      <c r="AN742">
        <f>AM742&amp;IF($O742="","",", "&amp;$O742)</f>
        <v/>
      </c>
      <c r="AO742">
        <f>AN742&amp;IF($P742="","",", "&amp;$P742)</f>
        <v/>
      </c>
      <c r="AP742">
        <f>AO742&amp;IF($Q742="","",", "&amp;$Q742)</f>
        <v/>
      </c>
      <c r="AQ742">
        <f>AP742&amp;IF($R742="","",", "&amp;$R742)</f>
        <v/>
      </c>
      <c r="AR742">
        <f>AQ742&amp;IF($S742="","",", "&amp;$S742)</f>
        <v/>
      </c>
      <c r="AS742">
        <f>AR742&amp;IF($T742="","",", "&amp;$T742)</f>
        <v/>
      </c>
      <c r="AT742">
        <f>AS742&amp;IF($U742="","",", "&amp;$U742)</f>
        <v/>
      </c>
      <c r="AU742">
        <f>AT742&amp;IF($V742="","",", "&amp;$V742)</f>
        <v/>
      </c>
      <c r="AV742">
        <f>AU742&amp;IF($W742="","",", "&amp;$W742)</f>
        <v/>
      </c>
      <c r="AW742">
        <f>AV742&amp;IF($X742="","",", "&amp;$X742)</f>
        <v/>
      </c>
      <c r="AX742">
        <f>AW742&amp;IF($Y742="","",", "&amp;$Y742)</f>
        <v/>
      </c>
    </row>
    <row r="743">
      <c r="A743" s="118">
        <f>IF($B743="","",COUNT($B$5:$B743))</f>
        <v/>
      </c>
      <c r="B743" s="80" t="n"/>
      <c r="C743" s="80" t="n"/>
      <c r="D743" s="74" t="n"/>
      <c r="E743" s="74" t="n"/>
      <c r="F743" s="74" t="n"/>
      <c r="G743" s="118">
        <f>IF($F743="","",COUNTIF($F$5:$F743,$F743))</f>
        <v/>
      </c>
      <c r="H743" s="33">
        <f>IF($F743="","",IFERROR(INDEX(사건마스터!$B$5:$B$64,MATCH($F743,사건마스터!$A$5:$A$64,0)),""))</f>
        <v/>
      </c>
      <c r="I743" s="130">
        <f>IF($F743="","",IFERROR(INDEX(사건마스터!$C$5:$C$64,MATCH($F743,사건마스터!$A$5:$A$64,0)),""))</f>
        <v/>
      </c>
      <c r="J743" s="136">
        <f>IF($F743="","",IFERROR(INDEX(사건마스터!$H$5:$H$64,MATCH($F743,사건마스터!$A$5:$A$64,0)),""))</f>
        <v/>
      </c>
      <c r="K743" s="136">
        <f>IF($F743="","",IFERROR(INDEX(사건마스터!$AH$5:$AH$64,MATCH($F743,사건마스터!$A$5:$A$64,0)),""))</f>
        <v/>
      </c>
      <c r="L743" s="136">
        <f>IF($F743="","",IFERROR(INDEX(사건마스터!$AI$5:$AI$64,MATCH($F743,사건마스터!$A$5:$A$64,0)),""))</f>
        <v/>
      </c>
      <c r="M743" s="136">
        <f>IF($F743="","",IFERROR(INDEX(사건마스터!$AJ$5:$AJ$64,MATCH($F743,사건마스터!$A$5:$A$64,0)),""))</f>
        <v/>
      </c>
      <c r="N743" s="136">
        <f>IF($F743="","",IFERROR(INDEX(사건마스터!$AK$5:$AK$64,MATCH($F743,사건마스터!$A$5:$A$64,0)),""))</f>
        <v/>
      </c>
      <c r="O743" s="136">
        <f>IF($F743="","",IFERROR(INDEX(사건마스터!$AL$5:$AL$64,MATCH($F743,사건마스터!$A$5:$A$64,0)),""))</f>
        <v/>
      </c>
      <c r="P743" s="136">
        <f>IF($F743="","",IFERROR(INDEX(사건마스터!$AM$5:$AM$64,MATCH($F743,사건마스터!$A$5:$A$64,0)),""))</f>
        <v/>
      </c>
      <c r="Q743" s="136">
        <f>IF($F743="","",IFERROR(INDEX(사건마스터!$AN$5:$AN$64,MATCH($F743,사건마스터!$A$5:$A$64,0)),""))</f>
        <v/>
      </c>
      <c r="R743" s="136">
        <f>IF($F743="","",IFERROR(INDEX(사건마스터!$AO$5:$AO$64,MATCH($F743,사건마스터!$A$5:$A$64,0)),""))</f>
        <v/>
      </c>
      <c r="S743" s="136">
        <f>IF($F743="","",IFERROR(INDEX(사건마스터!$AP$5:$AP$64,MATCH($F743,사건마스터!$A$5:$A$64,0)),""))</f>
        <v/>
      </c>
      <c r="T743" s="136">
        <f>IF($F743="","",IFERROR(INDEX(사건마스터!$AQ$5:$AQ$64,MATCH($F743,사건마스터!$A$5:$A$64,0)),""))</f>
        <v/>
      </c>
      <c r="U743" s="136">
        <f>IF($F743="","",IFERROR(INDEX(사건마스터!$AR$5:$AR$64,MATCH($F743,사건마스터!$A$5:$A$64,0)),""))</f>
        <v/>
      </c>
      <c r="V743" s="136">
        <f>IF($F743="","",IFERROR(INDEX(사건마스터!$AS$5:$AS$64,MATCH($F743,사건마스터!$A$5:$A$64,0)),""))</f>
        <v/>
      </c>
      <c r="W743" s="136">
        <f>IF($F743="","",IFERROR(INDEX(사건마스터!$AT$5:$AT$64,MATCH($F743,사건마스터!$A$5:$A$64,0)),""))</f>
        <v/>
      </c>
      <c r="X743" s="136">
        <f>IF($F743="","",IFERROR(INDEX(사건마스터!$AU$5:$AU$64,MATCH($F743,사건마스터!$A$5:$A$64,0)),""))</f>
        <v/>
      </c>
      <c r="Y743" s="136">
        <f>IF($F743="","",IFERROR(INDEX(사건마스터!$AV$5:$AV$64,MATCH($F743,사건마스터!$A$5:$A$64,0)),""))</f>
        <v/>
      </c>
      <c r="Z743" s="118">
        <f>IF(COUNTBLANK($J743:$Y743)=16,"",16-COUNTBLANK($J743:$Y743))</f>
        <v/>
      </c>
      <c r="AA743" s="33">
        <f>IF($J743="",MID($AX743,3,255),$J743&amp;$AX743)</f>
        <v/>
      </c>
      <c r="AB743" s="130">
        <f>IF($J743="","",IFERROR(INDEX(코드설정!$D$5:$D$24,MATCH($J743,코드설정!$C$5:$C$24,0)),""))</f>
        <v/>
      </c>
      <c r="AC743" s="36" t="n"/>
      <c r="AD743" s="37" t="n"/>
      <c r="AE743" s="38" t="n"/>
      <c r="AF743" s="118">
        <f>IF(OR($B743="",$C743=""),"",$C743-$B743+1)</f>
        <v/>
      </c>
      <c r="AG743" s="74" t="n"/>
      <c r="AH743" s="36" t="n"/>
      <c r="AJ743">
        <f>IF($K743="","",", "&amp;$K743)</f>
        <v/>
      </c>
      <c r="AK743">
        <f>AJ743&amp;IF($L743="","",", "&amp;$L743)</f>
        <v/>
      </c>
      <c r="AL743">
        <f>AK743&amp;IF($M743="","",", "&amp;$M743)</f>
        <v/>
      </c>
      <c r="AM743">
        <f>AL743&amp;IF($N743="","",", "&amp;$N743)</f>
        <v/>
      </c>
      <c r="AN743">
        <f>AM743&amp;IF($O743="","",", "&amp;$O743)</f>
        <v/>
      </c>
      <c r="AO743">
        <f>AN743&amp;IF($P743="","",", "&amp;$P743)</f>
        <v/>
      </c>
      <c r="AP743">
        <f>AO743&amp;IF($Q743="","",", "&amp;$Q743)</f>
        <v/>
      </c>
      <c r="AQ743">
        <f>AP743&amp;IF($R743="","",", "&amp;$R743)</f>
        <v/>
      </c>
      <c r="AR743">
        <f>AQ743&amp;IF($S743="","",", "&amp;$S743)</f>
        <v/>
      </c>
      <c r="AS743">
        <f>AR743&amp;IF($T743="","",", "&amp;$T743)</f>
        <v/>
      </c>
      <c r="AT743">
        <f>AS743&amp;IF($U743="","",", "&amp;$U743)</f>
        <v/>
      </c>
      <c r="AU743">
        <f>AT743&amp;IF($V743="","",", "&amp;$V743)</f>
        <v/>
      </c>
      <c r="AV743">
        <f>AU743&amp;IF($W743="","",", "&amp;$W743)</f>
        <v/>
      </c>
      <c r="AW743">
        <f>AV743&amp;IF($X743="","",", "&amp;$X743)</f>
        <v/>
      </c>
      <c r="AX743">
        <f>AW743&amp;IF($Y743="","",", "&amp;$Y743)</f>
        <v/>
      </c>
    </row>
    <row r="744">
      <c r="A744" s="118">
        <f>IF($B744="","",COUNT($B$5:$B744))</f>
        <v/>
      </c>
      <c r="B744" s="80" t="n"/>
      <c r="C744" s="80" t="n"/>
      <c r="D744" s="74" t="n"/>
      <c r="E744" s="74" t="n"/>
      <c r="F744" s="74" t="n"/>
      <c r="G744" s="118">
        <f>IF($F744="","",COUNTIF($F$5:$F744,$F744))</f>
        <v/>
      </c>
      <c r="H744" s="33">
        <f>IF($F744="","",IFERROR(INDEX(사건마스터!$B$5:$B$64,MATCH($F744,사건마스터!$A$5:$A$64,0)),""))</f>
        <v/>
      </c>
      <c r="I744" s="130">
        <f>IF($F744="","",IFERROR(INDEX(사건마스터!$C$5:$C$64,MATCH($F744,사건마스터!$A$5:$A$64,0)),""))</f>
        <v/>
      </c>
      <c r="J744" s="136">
        <f>IF($F744="","",IFERROR(INDEX(사건마스터!$H$5:$H$64,MATCH($F744,사건마스터!$A$5:$A$64,0)),""))</f>
        <v/>
      </c>
      <c r="K744" s="136">
        <f>IF($F744="","",IFERROR(INDEX(사건마스터!$AH$5:$AH$64,MATCH($F744,사건마스터!$A$5:$A$64,0)),""))</f>
        <v/>
      </c>
      <c r="L744" s="136">
        <f>IF($F744="","",IFERROR(INDEX(사건마스터!$AI$5:$AI$64,MATCH($F744,사건마스터!$A$5:$A$64,0)),""))</f>
        <v/>
      </c>
      <c r="M744" s="136">
        <f>IF($F744="","",IFERROR(INDEX(사건마스터!$AJ$5:$AJ$64,MATCH($F744,사건마스터!$A$5:$A$64,0)),""))</f>
        <v/>
      </c>
      <c r="N744" s="136">
        <f>IF($F744="","",IFERROR(INDEX(사건마스터!$AK$5:$AK$64,MATCH($F744,사건마스터!$A$5:$A$64,0)),""))</f>
        <v/>
      </c>
      <c r="O744" s="136">
        <f>IF($F744="","",IFERROR(INDEX(사건마스터!$AL$5:$AL$64,MATCH($F744,사건마스터!$A$5:$A$64,0)),""))</f>
        <v/>
      </c>
      <c r="P744" s="136">
        <f>IF($F744="","",IFERROR(INDEX(사건마스터!$AM$5:$AM$64,MATCH($F744,사건마스터!$A$5:$A$64,0)),""))</f>
        <v/>
      </c>
      <c r="Q744" s="136">
        <f>IF($F744="","",IFERROR(INDEX(사건마스터!$AN$5:$AN$64,MATCH($F744,사건마스터!$A$5:$A$64,0)),""))</f>
        <v/>
      </c>
      <c r="R744" s="136">
        <f>IF($F744="","",IFERROR(INDEX(사건마스터!$AO$5:$AO$64,MATCH($F744,사건마스터!$A$5:$A$64,0)),""))</f>
        <v/>
      </c>
      <c r="S744" s="136">
        <f>IF($F744="","",IFERROR(INDEX(사건마스터!$AP$5:$AP$64,MATCH($F744,사건마스터!$A$5:$A$64,0)),""))</f>
        <v/>
      </c>
      <c r="T744" s="136">
        <f>IF($F744="","",IFERROR(INDEX(사건마스터!$AQ$5:$AQ$64,MATCH($F744,사건마스터!$A$5:$A$64,0)),""))</f>
        <v/>
      </c>
      <c r="U744" s="136">
        <f>IF($F744="","",IFERROR(INDEX(사건마스터!$AR$5:$AR$64,MATCH($F744,사건마스터!$A$5:$A$64,0)),""))</f>
        <v/>
      </c>
      <c r="V744" s="136">
        <f>IF($F744="","",IFERROR(INDEX(사건마스터!$AS$5:$AS$64,MATCH($F744,사건마스터!$A$5:$A$64,0)),""))</f>
        <v/>
      </c>
      <c r="W744" s="136">
        <f>IF($F744="","",IFERROR(INDEX(사건마스터!$AT$5:$AT$64,MATCH($F744,사건마스터!$A$5:$A$64,0)),""))</f>
        <v/>
      </c>
      <c r="X744" s="136">
        <f>IF($F744="","",IFERROR(INDEX(사건마스터!$AU$5:$AU$64,MATCH($F744,사건마스터!$A$5:$A$64,0)),""))</f>
        <v/>
      </c>
      <c r="Y744" s="136">
        <f>IF($F744="","",IFERROR(INDEX(사건마스터!$AV$5:$AV$64,MATCH($F744,사건마스터!$A$5:$A$64,0)),""))</f>
        <v/>
      </c>
      <c r="Z744" s="118">
        <f>IF(COUNTBLANK($J744:$Y744)=16,"",16-COUNTBLANK($J744:$Y744))</f>
        <v/>
      </c>
      <c r="AA744" s="33">
        <f>IF($J744="",MID($AX744,3,255),$J744&amp;$AX744)</f>
        <v/>
      </c>
      <c r="AB744" s="130">
        <f>IF($J744="","",IFERROR(INDEX(코드설정!$D$5:$D$24,MATCH($J744,코드설정!$C$5:$C$24,0)),""))</f>
        <v/>
      </c>
      <c r="AC744" s="36" t="n"/>
      <c r="AD744" s="37" t="n"/>
      <c r="AE744" s="38" t="n"/>
      <c r="AF744" s="118">
        <f>IF(OR($B744="",$C744=""),"",$C744-$B744+1)</f>
        <v/>
      </c>
      <c r="AG744" s="74" t="n"/>
      <c r="AH744" s="36" t="n"/>
      <c r="AJ744">
        <f>IF($K744="","",", "&amp;$K744)</f>
        <v/>
      </c>
      <c r="AK744">
        <f>AJ744&amp;IF($L744="","",", "&amp;$L744)</f>
        <v/>
      </c>
      <c r="AL744">
        <f>AK744&amp;IF($M744="","",", "&amp;$M744)</f>
        <v/>
      </c>
      <c r="AM744">
        <f>AL744&amp;IF($N744="","",", "&amp;$N744)</f>
        <v/>
      </c>
      <c r="AN744">
        <f>AM744&amp;IF($O744="","",", "&amp;$O744)</f>
        <v/>
      </c>
      <c r="AO744">
        <f>AN744&amp;IF($P744="","",", "&amp;$P744)</f>
        <v/>
      </c>
      <c r="AP744">
        <f>AO744&amp;IF($Q744="","",", "&amp;$Q744)</f>
        <v/>
      </c>
      <c r="AQ744">
        <f>AP744&amp;IF($R744="","",", "&amp;$R744)</f>
        <v/>
      </c>
      <c r="AR744">
        <f>AQ744&amp;IF($S744="","",", "&amp;$S744)</f>
        <v/>
      </c>
      <c r="AS744">
        <f>AR744&amp;IF($T744="","",", "&amp;$T744)</f>
        <v/>
      </c>
      <c r="AT744">
        <f>AS744&amp;IF($U744="","",", "&amp;$U744)</f>
        <v/>
      </c>
      <c r="AU744">
        <f>AT744&amp;IF($V744="","",", "&amp;$V744)</f>
        <v/>
      </c>
      <c r="AV744">
        <f>AU744&amp;IF($W744="","",", "&amp;$W744)</f>
        <v/>
      </c>
      <c r="AW744">
        <f>AV744&amp;IF($X744="","",", "&amp;$X744)</f>
        <v/>
      </c>
      <c r="AX744">
        <f>AW744&amp;IF($Y744="","",", "&amp;$Y744)</f>
        <v/>
      </c>
    </row>
    <row r="745">
      <c r="A745" s="118">
        <f>IF($B745="","",COUNT($B$5:$B745))</f>
        <v/>
      </c>
      <c r="B745" s="80" t="n"/>
      <c r="C745" s="80" t="n"/>
      <c r="D745" s="74" t="n"/>
      <c r="E745" s="74" t="n"/>
      <c r="F745" s="74" t="n"/>
      <c r="G745" s="118">
        <f>IF($F745="","",COUNTIF($F$5:$F745,$F745))</f>
        <v/>
      </c>
      <c r="H745" s="33">
        <f>IF($F745="","",IFERROR(INDEX(사건마스터!$B$5:$B$64,MATCH($F745,사건마스터!$A$5:$A$64,0)),""))</f>
        <v/>
      </c>
      <c r="I745" s="130">
        <f>IF($F745="","",IFERROR(INDEX(사건마스터!$C$5:$C$64,MATCH($F745,사건마스터!$A$5:$A$64,0)),""))</f>
        <v/>
      </c>
      <c r="J745" s="136">
        <f>IF($F745="","",IFERROR(INDEX(사건마스터!$H$5:$H$64,MATCH($F745,사건마스터!$A$5:$A$64,0)),""))</f>
        <v/>
      </c>
      <c r="K745" s="136">
        <f>IF($F745="","",IFERROR(INDEX(사건마스터!$AH$5:$AH$64,MATCH($F745,사건마스터!$A$5:$A$64,0)),""))</f>
        <v/>
      </c>
      <c r="L745" s="136">
        <f>IF($F745="","",IFERROR(INDEX(사건마스터!$AI$5:$AI$64,MATCH($F745,사건마스터!$A$5:$A$64,0)),""))</f>
        <v/>
      </c>
      <c r="M745" s="136">
        <f>IF($F745="","",IFERROR(INDEX(사건마스터!$AJ$5:$AJ$64,MATCH($F745,사건마스터!$A$5:$A$64,0)),""))</f>
        <v/>
      </c>
      <c r="N745" s="136">
        <f>IF($F745="","",IFERROR(INDEX(사건마스터!$AK$5:$AK$64,MATCH($F745,사건마스터!$A$5:$A$64,0)),""))</f>
        <v/>
      </c>
      <c r="O745" s="136">
        <f>IF($F745="","",IFERROR(INDEX(사건마스터!$AL$5:$AL$64,MATCH($F745,사건마스터!$A$5:$A$64,0)),""))</f>
        <v/>
      </c>
      <c r="P745" s="136">
        <f>IF($F745="","",IFERROR(INDEX(사건마스터!$AM$5:$AM$64,MATCH($F745,사건마스터!$A$5:$A$64,0)),""))</f>
        <v/>
      </c>
      <c r="Q745" s="136">
        <f>IF($F745="","",IFERROR(INDEX(사건마스터!$AN$5:$AN$64,MATCH($F745,사건마스터!$A$5:$A$64,0)),""))</f>
        <v/>
      </c>
      <c r="R745" s="136">
        <f>IF($F745="","",IFERROR(INDEX(사건마스터!$AO$5:$AO$64,MATCH($F745,사건마스터!$A$5:$A$64,0)),""))</f>
        <v/>
      </c>
      <c r="S745" s="136">
        <f>IF($F745="","",IFERROR(INDEX(사건마스터!$AP$5:$AP$64,MATCH($F745,사건마스터!$A$5:$A$64,0)),""))</f>
        <v/>
      </c>
      <c r="T745" s="136">
        <f>IF($F745="","",IFERROR(INDEX(사건마스터!$AQ$5:$AQ$64,MATCH($F745,사건마스터!$A$5:$A$64,0)),""))</f>
        <v/>
      </c>
      <c r="U745" s="136">
        <f>IF($F745="","",IFERROR(INDEX(사건마스터!$AR$5:$AR$64,MATCH($F745,사건마스터!$A$5:$A$64,0)),""))</f>
        <v/>
      </c>
      <c r="V745" s="136">
        <f>IF($F745="","",IFERROR(INDEX(사건마스터!$AS$5:$AS$64,MATCH($F745,사건마스터!$A$5:$A$64,0)),""))</f>
        <v/>
      </c>
      <c r="W745" s="136">
        <f>IF($F745="","",IFERROR(INDEX(사건마스터!$AT$5:$AT$64,MATCH($F745,사건마스터!$A$5:$A$64,0)),""))</f>
        <v/>
      </c>
      <c r="X745" s="136">
        <f>IF($F745="","",IFERROR(INDEX(사건마스터!$AU$5:$AU$64,MATCH($F745,사건마스터!$A$5:$A$64,0)),""))</f>
        <v/>
      </c>
      <c r="Y745" s="136">
        <f>IF($F745="","",IFERROR(INDEX(사건마스터!$AV$5:$AV$64,MATCH($F745,사건마스터!$A$5:$A$64,0)),""))</f>
        <v/>
      </c>
      <c r="Z745" s="118">
        <f>IF(COUNTBLANK($J745:$Y745)=16,"",16-COUNTBLANK($J745:$Y745))</f>
        <v/>
      </c>
      <c r="AA745" s="33">
        <f>IF($J745="",MID($AX745,3,255),$J745&amp;$AX745)</f>
        <v/>
      </c>
      <c r="AB745" s="130">
        <f>IF($J745="","",IFERROR(INDEX(코드설정!$D$5:$D$24,MATCH($J745,코드설정!$C$5:$C$24,0)),""))</f>
        <v/>
      </c>
      <c r="AC745" s="36" t="n"/>
      <c r="AD745" s="37" t="n"/>
      <c r="AE745" s="38" t="n"/>
      <c r="AF745" s="118">
        <f>IF(OR($B745="",$C745=""),"",$C745-$B745+1)</f>
        <v/>
      </c>
      <c r="AG745" s="74" t="n"/>
      <c r="AH745" s="36" t="n"/>
      <c r="AJ745">
        <f>IF($K745="","",", "&amp;$K745)</f>
        <v/>
      </c>
      <c r="AK745">
        <f>AJ745&amp;IF($L745="","",", "&amp;$L745)</f>
        <v/>
      </c>
      <c r="AL745">
        <f>AK745&amp;IF($M745="","",", "&amp;$M745)</f>
        <v/>
      </c>
      <c r="AM745">
        <f>AL745&amp;IF($N745="","",", "&amp;$N745)</f>
        <v/>
      </c>
      <c r="AN745">
        <f>AM745&amp;IF($O745="","",", "&amp;$O745)</f>
        <v/>
      </c>
      <c r="AO745">
        <f>AN745&amp;IF($P745="","",", "&amp;$P745)</f>
        <v/>
      </c>
      <c r="AP745">
        <f>AO745&amp;IF($Q745="","",", "&amp;$Q745)</f>
        <v/>
      </c>
      <c r="AQ745">
        <f>AP745&amp;IF($R745="","",", "&amp;$R745)</f>
        <v/>
      </c>
      <c r="AR745">
        <f>AQ745&amp;IF($S745="","",", "&amp;$S745)</f>
        <v/>
      </c>
      <c r="AS745">
        <f>AR745&amp;IF($T745="","",", "&amp;$T745)</f>
        <v/>
      </c>
      <c r="AT745">
        <f>AS745&amp;IF($U745="","",", "&amp;$U745)</f>
        <v/>
      </c>
      <c r="AU745">
        <f>AT745&amp;IF($V745="","",", "&amp;$V745)</f>
        <v/>
      </c>
      <c r="AV745">
        <f>AU745&amp;IF($W745="","",", "&amp;$W745)</f>
        <v/>
      </c>
      <c r="AW745">
        <f>AV745&amp;IF($X745="","",", "&amp;$X745)</f>
        <v/>
      </c>
      <c r="AX745">
        <f>AW745&amp;IF($Y745="","",", "&amp;$Y745)</f>
        <v/>
      </c>
    </row>
    <row r="746">
      <c r="A746" s="118">
        <f>IF($B746="","",COUNT($B$5:$B746))</f>
        <v/>
      </c>
      <c r="B746" s="80" t="n"/>
      <c r="C746" s="80" t="n"/>
      <c r="D746" s="74" t="n"/>
      <c r="E746" s="74" t="n"/>
      <c r="F746" s="74" t="n"/>
      <c r="G746" s="118">
        <f>IF($F746="","",COUNTIF($F$5:$F746,$F746))</f>
        <v/>
      </c>
      <c r="H746" s="33">
        <f>IF($F746="","",IFERROR(INDEX(사건마스터!$B$5:$B$64,MATCH($F746,사건마스터!$A$5:$A$64,0)),""))</f>
        <v/>
      </c>
      <c r="I746" s="130">
        <f>IF($F746="","",IFERROR(INDEX(사건마스터!$C$5:$C$64,MATCH($F746,사건마스터!$A$5:$A$64,0)),""))</f>
        <v/>
      </c>
      <c r="J746" s="136">
        <f>IF($F746="","",IFERROR(INDEX(사건마스터!$H$5:$H$64,MATCH($F746,사건마스터!$A$5:$A$64,0)),""))</f>
        <v/>
      </c>
      <c r="K746" s="136">
        <f>IF($F746="","",IFERROR(INDEX(사건마스터!$AH$5:$AH$64,MATCH($F746,사건마스터!$A$5:$A$64,0)),""))</f>
        <v/>
      </c>
      <c r="L746" s="136">
        <f>IF($F746="","",IFERROR(INDEX(사건마스터!$AI$5:$AI$64,MATCH($F746,사건마스터!$A$5:$A$64,0)),""))</f>
        <v/>
      </c>
      <c r="M746" s="136">
        <f>IF($F746="","",IFERROR(INDEX(사건마스터!$AJ$5:$AJ$64,MATCH($F746,사건마스터!$A$5:$A$64,0)),""))</f>
        <v/>
      </c>
      <c r="N746" s="136">
        <f>IF($F746="","",IFERROR(INDEX(사건마스터!$AK$5:$AK$64,MATCH($F746,사건마스터!$A$5:$A$64,0)),""))</f>
        <v/>
      </c>
      <c r="O746" s="136">
        <f>IF($F746="","",IFERROR(INDEX(사건마스터!$AL$5:$AL$64,MATCH($F746,사건마스터!$A$5:$A$64,0)),""))</f>
        <v/>
      </c>
      <c r="P746" s="136">
        <f>IF($F746="","",IFERROR(INDEX(사건마스터!$AM$5:$AM$64,MATCH($F746,사건마스터!$A$5:$A$64,0)),""))</f>
        <v/>
      </c>
      <c r="Q746" s="136">
        <f>IF($F746="","",IFERROR(INDEX(사건마스터!$AN$5:$AN$64,MATCH($F746,사건마스터!$A$5:$A$64,0)),""))</f>
        <v/>
      </c>
      <c r="R746" s="136">
        <f>IF($F746="","",IFERROR(INDEX(사건마스터!$AO$5:$AO$64,MATCH($F746,사건마스터!$A$5:$A$64,0)),""))</f>
        <v/>
      </c>
      <c r="S746" s="136">
        <f>IF($F746="","",IFERROR(INDEX(사건마스터!$AP$5:$AP$64,MATCH($F746,사건마스터!$A$5:$A$64,0)),""))</f>
        <v/>
      </c>
      <c r="T746" s="136">
        <f>IF($F746="","",IFERROR(INDEX(사건마스터!$AQ$5:$AQ$64,MATCH($F746,사건마스터!$A$5:$A$64,0)),""))</f>
        <v/>
      </c>
      <c r="U746" s="136">
        <f>IF($F746="","",IFERROR(INDEX(사건마스터!$AR$5:$AR$64,MATCH($F746,사건마스터!$A$5:$A$64,0)),""))</f>
        <v/>
      </c>
      <c r="V746" s="136">
        <f>IF($F746="","",IFERROR(INDEX(사건마스터!$AS$5:$AS$64,MATCH($F746,사건마스터!$A$5:$A$64,0)),""))</f>
        <v/>
      </c>
      <c r="W746" s="136">
        <f>IF($F746="","",IFERROR(INDEX(사건마스터!$AT$5:$AT$64,MATCH($F746,사건마스터!$A$5:$A$64,0)),""))</f>
        <v/>
      </c>
      <c r="X746" s="136">
        <f>IF($F746="","",IFERROR(INDEX(사건마스터!$AU$5:$AU$64,MATCH($F746,사건마스터!$A$5:$A$64,0)),""))</f>
        <v/>
      </c>
      <c r="Y746" s="136">
        <f>IF($F746="","",IFERROR(INDEX(사건마스터!$AV$5:$AV$64,MATCH($F746,사건마스터!$A$5:$A$64,0)),""))</f>
        <v/>
      </c>
      <c r="Z746" s="118">
        <f>IF(COUNTBLANK($J746:$Y746)=16,"",16-COUNTBLANK($J746:$Y746))</f>
        <v/>
      </c>
      <c r="AA746" s="33">
        <f>IF($J746="",MID($AX746,3,255),$J746&amp;$AX746)</f>
        <v/>
      </c>
      <c r="AB746" s="130">
        <f>IF($J746="","",IFERROR(INDEX(코드설정!$D$5:$D$24,MATCH($J746,코드설정!$C$5:$C$24,0)),""))</f>
        <v/>
      </c>
      <c r="AC746" s="36" t="n"/>
      <c r="AD746" s="37" t="n"/>
      <c r="AE746" s="38" t="n"/>
      <c r="AF746" s="118">
        <f>IF(OR($B746="",$C746=""),"",$C746-$B746+1)</f>
        <v/>
      </c>
      <c r="AG746" s="74" t="n"/>
      <c r="AH746" s="36" t="n"/>
      <c r="AJ746">
        <f>IF($K746="","",", "&amp;$K746)</f>
        <v/>
      </c>
      <c r="AK746">
        <f>AJ746&amp;IF($L746="","",", "&amp;$L746)</f>
        <v/>
      </c>
      <c r="AL746">
        <f>AK746&amp;IF($M746="","",", "&amp;$M746)</f>
        <v/>
      </c>
      <c r="AM746">
        <f>AL746&amp;IF($N746="","",", "&amp;$N746)</f>
        <v/>
      </c>
      <c r="AN746">
        <f>AM746&amp;IF($O746="","",", "&amp;$O746)</f>
        <v/>
      </c>
      <c r="AO746">
        <f>AN746&amp;IF($P746="","",", "&amp;$P746)</f>
        <v/>
      </c>
      <c r="AP746">
        <f>AO746&amp;IF($Q746="","",", "&amp;$Q746)</f>
        <v/>
      </c>
      <c r="AQ746">
        <f>AP746&amp;IF($R746="","",", "&amp;$R746)</f>
        <v/>
      </c>
      <c r="AR746">
        <f>AQ746&amp;IF($S746="","",", "&amp;$S746)</f>
        <v/>
      </c>
      <c r="AS746">
        <f>AR746&amp;IF($T746="","",", "&amp;$T746)</f>
        <v/>
      </c>
      <c r="AT746">
        <f>AS746&amp;IF($U746="","",", "&amp;$U746)</f>
        <v/>
      </c>
      <c r="AU746">
        <f>AT746&amp;IF($V746="","",", "&amp;$V746)</f>
        <v/>
      </c>
      <c r="AV746">
        <f>AU746&amp;IF($W746="","",", "&amp;$W746)</f>
        <v/>
      </c>
      <c r="AW746">
        <f>AV746&amp;IF($X746="","",", "&amp;$X746)</f>
        <v/>
      </c>
      <c r="AX746">
        <f>AW746&amp;IF($Y746="","",", "&amp;$Y746)</f>
        <v/>
      </c>
    </row>
    <row r="747">
      <c r="A747" s="118">
        <f>IF($B747="","",COUNT($B$5:$B747))</f>
        <v/>
      </c>
      <c r="B747" s="80" t="n"/>
      <c r="C747" s="80" t="n"/>
      <c r="D747" s="74" t="n"/>
      <c r="E747" s="74" t="n"/>
      <c r="F747" s="74" t="n"/>
      <c r="G747" s="118">
        <f>IF($F747="","",COUNTIF($F$5:$F747,$F747))</f>
        <v/>
      </c>
      <c r="H747" s="33">
        <f>IF($F747="","",IFERROR(INDEX(사건마스터!$B$5:$B$64,MATCH($F747,사건마스터!$A$5:$A$64,0)),""))</f>
        <v/>
      </c>
      <c r="I747" s="130">
        <f>IF($F747="","",IFERROR(INDEX(사건마스터!$C$5:$C$64,MATCH($F747,사건마스터!$A$5:$A$64,0)),""))</f>
        <v/>
      </c>
      <c r="J747" s="136">
        <f>IF($F747="","",IFERROR(INDEX(사건마스터!$H$5:$H$64,MATCH($F747,사건마스터!$A$5:$A$64,0)),""))</f>
        <v/>
      </c>
      <c r="K747" s="136">
        <f>IF($F747="","",IFERROR(INDEX(사건마스터!$AH$5:$AH$64,MATCH($F747,사건마스터!$A$5:$A$64,0)),""))</f>
        <v/>
      </c>
      <c r="L747" s="136">
        <f>IF($F747="","",IFERROR(INDEX(사건마스터!$AI$5:$AI$64,MATCH($F747,사건마스터!$A$5:$A$64,0)),""))</f>
        <v/>
      </c>
      <c r="M747" s="136">
        <f>IF($F747="","",IFERROR(INDEX(사건마스터!$AJ$5:$AJ$64,MATCH($F747,사건마스터!$A$5:$A$64,0)),""))</f>
        <v/>
      </c>
      <c r="N747" s="136">
        <f>IF($F747="","",IFERROR(INDEX(사건마스터!$AK$5:$AK$64,MATCH($F747,사건마스터!$A$5:$A$64,0)),""))</f>
        <v/>
      </c>
      <c r="O747" s="136">
        <f>IF($F747="","",IFERROR(INDEX(사건마스터!$AL$5:$AL$64,MATCH($F747,사건마스터!$A$5:$A$64,0)),""))</f>
        <v/>
      </c>
      <c r="P747" s="136">
        <f>IF($F747="","",IFERROR(INDEX(사건마스터!$AM$5:$AM$64,MATCH($F747,사건마스터!$A$5:$A$64,0)),""))</f>
        <v/>
      </c>
      <c r="Q747" s="136">
        <f>IF($F747="","",IFERROR(INDEX(사건마스터!$AN$5:$AN$64,MATCH($F747,사건마스터!$A$5:$A$64,0)),""))</f>
        <v/>
      </c>
      <c r="R747" s="136">
        <f>IF($F747="","",IFERROR(INDEX(사건마스터!$AO$5:$AO$64,MATCH($F747,사건마스터!$A$5:$A$64,0)),""))</f>
        <v/>
      </c>
      <c r="S747" s="136">
        <f>IF($F747="","",IFERROR(INDEX(사건마스터!$AP$5:$AP$64,MATCH($F747,사건마스터!$A$5:$A$64,0)),""))</f>
        <v/>
      </c>
      <c r="T747" s="136">
        <f>IF($F747="","",IFERROR(INDEX(사건마스터!$AQ$5:$AQ$64,MATCH($F747,사건마스터!$A$5:$A$64,0)),""))</f>
        <v/>
      </c>
      <c r="U747" s="136">
        <f>IF($F747="","",IFERROR(INDEX(사건마스터!$AR$5:$AR$64,MATCH($F747,사건마스터!$A$5:$A$64,0)),""))</f>
        <v/>
      </c>
      <c r="V747" s="136">
        <f>IF($F747="","",IFERROR(INDEX(사건마스터!$AS$5:$AS$64,MATCH($F747,사건마스터!$A$5:$A$64,0)),""))</f>
        <v/>
      </c>
      <c r="W747" s="136">
        <f>IF($F747="","",IFERROR(INDEX(사건마스터!$AT$5:$AT$64,MATCH($F747,사건마스터!$A$5:$A$64,0)),""))</f>
        <v/>
      </c>
      <c r="X747" s="136">
        <f>IF($F747="","",IFERROR(INDEX(사건마스터!$AU$5:$AU$64,MATCH($F747,사건마스터!$A$5:$A$64,0)),""))</f>
        <v/>
      </c>
      <c r="Y747" s="136">
        <f>IF($F747="","",IFERROR(INDEX(사건마스터!$AV$5:$AV$64,MATCH($F747,사건마스터!$A$5:$A$64,0)),""))</f>
        <v/>
      </c>
      <c r="Z747" s="118">
        <f>IF(COUNTBLANK($J747:$Y747)=16,"",16-COUNTBLANK($J747:$Y747))</f>
        <v/>
      </c>
      <c r="AA747" s="33">
        <f>IF($J747="",MID($AX747,3,255),$J747&amp;$AX747)</f>
        <v/>
      </c>
      <c r="AB747" s="130">
        <f>IF($J747="","",IFERROR(INDEX(코드설정!$D$5:$D$24,MATCH($J747,코드설정!$C$5:$C$24,0)),""))</f>
        <v/>
      </c>
      <c r="AC747" s="36" t="n"/>
      <c r="AD747" s="37" t="n"/>
      <c r="AE747" s="38" t="n"/>
      <c r="AF747" s="118">
        <f>IF(OR($B747="",$C747=""),"",$C747-$B747+1)</f>
        <v/>
      </c>
      <c r="AG747" s="74" t="n"/>
      <c r="AH747" s="36" t="n"/>
      <c r="AJ747">
        <f>IF($K747="","",", "&amp;$K747)</f>
        <v/>
      </c>
      <c r="AK747">
        <f>AJ747&amp;IF($L747="","",", "&amp;$L747)</f>
        <v/>
      </c>
      <c r="AL747">
        <f>AK747&amp;IF($M747="","",", "&amp;$M747)</f>
        <v/>
      </c>
      <c r="AM747">
        <f>AL747&amp;IF($N747="","",", "&amp;$N747)</f>
        <v/>
      </c>
      <c r="AN747">
        <f>AM747&amp;IF($O747="","",", "&amp;$O747)</f>
        <v/>
      </c>
      <c r="AO747">
        <f>AN747&amp;IF($P747="","",", "&amp;$P747)</f>
        <v/>
      </c>
      <c r="AP747">
        <f>AO747&amp;IF($Q747="","",", "&amp;$Q747)</f>
        <v/>
      </c>
      <c r="AQ747">
        <f>AP747&amp;IF($R747="","",", "&amp;$R747)</f>
        <v/>
      </c>
      <c r="AR747">
        <f>AQ747&amp;IF($S747="","",", "&amp;$S747)</f>
        <v/>
      </c>
      <c r="AS747">
        <f>AR747&amp;IF($T747="","",", "&amp;$T747)</f>
        <v/>
      </c>
      <c r="AT747">
        <f>AS747&amp;IF($U747="","",", "&amp;$U747)</f>
        <v/>
      </c>
      <c r="AU747">
        <f>AT747&amp;IF($V747="","",", "&amp;$V747)</f>
        <v/>
      </c>
      <c r="AV747">
        <f>AU747&amp;IF($W747="","",", "&amp;$W747)</f>
        <v/>
      </c>
      <c r="AW747">
        <f>AV747&amp;IF($X747="","",", "&amp;$X747)</f>
        <v/>
      </c>
      <c r="AX747">
        <f>AW747&amp;IF($Y747="","",", "&amp;$Y747)</f>
        <v/>
      </c>
    </row>
    <row r="748">
      <c r="A748" s="118">
        <f>IF($B748="","",COUNT($B$5:$B748))</f>
        <v/>
      </c>
      <c r="B748" s="80" t="n"/>
      <c r="C748" s="80" t="n"/>
      <c r="D748" s="74" t="n"/>
      <c r="E748" s="74" t="n"/>
      <c r="F748" s="74" t="n"/>
      <c r="G748" s="118">
        <f>IF($F748="","",COUNTIF($F$5:$F748,$F748))</f>
        <v/>
      </c>
      <c r="H748" s="33">
        <f>IF($F748="","",IFERROR(INDEX(사건마스터!$B$5:$B$64,MATCH($F748,사건마스터!$A$5:$A$64,0)),""))</f>
        <v/>
      </c>
      <c r="I748" s="130">
        <f>IF($F748="","",IFERROR(INDEX(사건마스터!$C$5:$C$64,MATCH($F748,사건마스터!$A$5:$A$64,0)),""))</f>
        <v/>
      </c>
      <c r="J748" s="136">
        <f>IF($F748="","",IFERROR(INDEX(사건마스터!$H$5:$H$64,MATCH($F748,사건마스터!$A$5:$A$64,0)),""))</f>
        <v/>
      </c>
      <c r="K748" s="136">
        <f>IF($F748="","",IFERROR(INDEX(사건마스터!$AH$5:$AH$64,MATCH($F748,사건마스터!$A$5:$A$64,0)),""))</f>
        <v/>
      </c>
      <c r="L748" s="136">
        <f>IF($F748="","",IFERROR(INDEX(사건마스터!$AI$5:$AI$64,MATCH($F748,사건마스터!$A$5:$A$64,0)),""))</f>
        <v/>
      </c>
      <c r="M748" s="136">
        <f>IF($F748="","",IFERROR(INDEX(사건마스터!$AJ$5:$AJ$64,MATCH($F748,사건마스터!$A$5:$A$64,0)),""))</f>
        <v/>
      </c>
      <c r="N748" s="136">
        <f>IF($F748="","",IFERROR(INDEX(사건마스터!$AK$5:$AK$64,MATCH($F748,사건마스터!$A$5:$A$64,0)),""))</f>
        <v/>
      </c>
      <c r="O748" s="136">
        <f>IF($F748="","",IFERROR(INDEX(사건마스터!$AL$5:$AL$64,MATCH($F748,사건마스터!$A$5:$A$64,0)),""))</f>
        <v/>
      </c>
      <c r="P748" s="136">
        <f>IF($F748="","",IFERROR(INDEX(사건마스터!$AM$5:$AM$64,MATCH($F748,사건마스터!$A$5:$A$64,0)),""))</f>
        <v/>
      </c>
      <c r="Q748" s="136">
        <f>IF($F748="","",IFERROR(INDEX(사건마스터!$AN$5:$AN$64,MATCH($F748,사건마스터!$A$5:$A$64,0)),""))</f>
        <v/>
      </c>
      <c r="R748" s="136">
        <f>IF($F748="","",IFERROR(INDEX(사건마스터!$AO$5:$AO$64,MATCH($F748,사건마스터!$A$5:$A$64,0)),""))</f>
        <v/>
      </c>
      <c r="S748" s="136">
        <f>IF($F748="","",IFERROR(INDEX(사건마스터!$AP$5:$AP$64,MATCH($F748,사건마스터!$A$5:$A$64,0)),""))</f>
        <v/>
      </c>
      <c r="T748" s="136">
        <f>IF($F748="","",IFERROR(INDEX(사건마스터!$AQ$5:$AQ$64,MATCH($F748,사건마스터!$A$5:$A$64,0)),""))</f>
        <v/>
      </c>
      <c r="U748" s="136">
        <f>IF($F748="","",IFERROR(INDEX(사건마스터!$AR$5:$AR$64,MATCH($F748,사건마스터!$A$5:$A$64,0)),""))</f>
        <v/>
      </c>
      <c r="V748" s="136">
        <f>IF($F748="","",IFERROR(INDEX(사건마스터!$AS$5:$AS$64,MATCH($F748,사건마스터!$A$5:$A$64,0)),""))</f>
        <v/>
      </c>
      <c r="W748" s="136">
        <f>IF($F748="","",IFERROR(INDEX(사건마스터!$AT$5:$AT$64,MATCH($F748,사건마스터!$A$5:$A$64,0)),""))</f>
        <v/>
      </c>
      <c r="X748" s="136">
        <f>IF($F748="","",IFERROR(INDEX(사건마스터!$AU$5:$AU$64,MATCH($F748,사건마스터!$A$5:$A$64,0)),""))</f>
        <v/>
      </c>
      <c r="Y748" s="136">
        <f>IF($F748="","",IFERROR(INDEX(사건마스터!$AV$5:$AV$64,MATCH($F748,사건마스터!$A$5:$A$64,0)),""))</f>
        <v/>
      </c>
      <c r="Z748" s="118">
        <f>IF(COUNTBLANK($J748:$Y748)=16,"",16-COUNTBLANK($J748:$Y748))</f>
        <v/>
      </c>
      <c r="AA748" s="33">
        <f>IF($J748="",MID($AX748,3,255),$J748&amp;$AX748)</f>
        <v/>
      </c>
      <c r="AB748" s="130">
        <f>IF($J748="","",IFERROR(INDEX(코드설정!$D$5:$D$24,MATCH($J748,코드설정!$C$5:$C$24,0)),""))</f>
        <v/>
      </c>
      <c r="AC748" s="36" t="n"/>
      <c r="AD748" s="37" t="n"/>
      <c r="AE748" s="38" t="n"/>
      <c r="AF748" s="118">
        <f>IF(OR($B748="",$C748=""),"",$C748-$B748+1)</f>
        <v/>
      </c>
      <c r="AG748" s="74" t="n"/>
      <c r="AH748" s="36" t="n"/>
      <c r="AJ748">
        <f>IF($K748="","",", "&amp;$K748)</f>
        <v/>
      </c>
      <c r="AK748">
        <f>AJ748&amp;IF($L748="","",", "&amp;$L748)</f>
        <v/>
      </c>
      <c r="AL748">
        <f>AK748&amp;IF($M748="","",", "&amp;$M748)</f>
        <v/>
      </c>
      <c r="AM748">
        <f>AL748&amp;IF($N748="","",", "&amp;$N748)</f>
        <v/>
      </c>
      <c r="AN748">
        <f>AM748&amp;IF($O748="","",", "&amp;$O748)</f>
        <v/>
      </c>
      <c r="AO748">
        <f>AN748&amp;IF($P748="","",", "&amp;$P748)</f>
        <v/>
      </c>
      <c r="AP748">
        <f>AO748&amp;IF($Q748="","",", "&amp;$Q748)</f>
        <v/>
      </c>
      <c r="AQ748">
        <f>AP748&amp;IF($R748="","",", "&amp;$R748)</f>
        <v/>
      </c>
      <c r="AR748">
        <f>AQ748&amp;IF($S748="","",", "&amp;$S748)</f>
        <v/>
      </c>
      <c r="AS748">
        <f>AR748&amp;IF($T748="","",", "&amp;$T748)</f>
        <v/>
      </c>
      <c r="AT748">
        <f>AS748&amp;IF($U748="","",", "&amp;$U748)</f>
        <v/>
      </c>
      <c r="AU748">
        <f>AT748&amp;IF($V748="","",", "&amp;$V748)</f>
        <v/>
      </c>
      <c r="AV748">
        <f>AU748&amp;IF($W748="","",", "&amp;$W748)</f>
        <v/>
      </c>
      <c r="AW748">
        <f>AV748&amp;IF($X748="","",", "&amp;$X748)</f>
        <v/>
      </c>
      <c r="AX748">
        <f>AW748&amp;IF($Y748="","",", "&amp;$Y748)</f>
        <v/>
      </c>
    </row>
    <row r="749">
      <c r="A749" s="118">
        <f>IF($B749="","",COUNT($B$5:$B749))</f>
        <v/>
      </c>
      <c r="B749" s="80" t="n"/>
      <c r="C749" s="80" t="n"/>
      <c r="D749" s="74" t="n"/>
      <c r="E749" s="74" t="n"/>
      <c r="F749" s="74" t="n"/>
      <c r="G749" s="118">
        <f>IF($F749="","",COUNTIF($F$5:$F749,$F749))</f>
        <v/>
      </c>
      <c r="H749" s="33">
        <f>IF($F749="","",IFERROR(INDEX(사건마스터!$B$5:$B$64,MATCH($F749,사건마스터!$A$5:$A$64,0)),""))</f>
        <v/>
      </c>
      <c r="I749" s="130">
        <f>IF($F749="","",IFERROR(INDEX(사건마스터!$C$5:$C$64,MATCH($F749,사건마스터!$A$5:$A$64,0)),""))</f>
        <v/>
      </c>
      <c r="J749" s="136">
        <f>IF($F749="","",IFERROR(INDEX(사건마스터!$H$5:$H$64,MATCH($F749,사건마스터!$A$5:$A$64,0)),""))</f>
        <v/>
      </c>
      <c r="K749" s="136">
        <f>IF($F749="","",IFERROR(INDEX(사건마스터!$AH$5:$AH$64,MATCH($F749,사건마스터!$A$5:$A$64,0)),""))</f>
        <v/>
      </c>
      <c r="L749" s="136">
        <f>IF($F749="","",IFERROR(INDEX(사건마스터!$AI$5:$AI$64,MATCH($F749,사건마스터!$A$5:$A$64,0)),""))</f>
        <v/>
      </c>
      <c r="M749" s="136">
        <f>IF($F749="","",IFERROR(INDEX(사건마스터!$AJ$5:$AJ$64,MATCH($F749,사건마스터!$A$5:$A$64,0)),""))</f>
        <v/>
      </c>
      <c r="N749" s="136">
        <f>IF($F749="","",IFERROR(INDEX(사건마스터!$AK$5:$AK$64,MATCH($F749,사건마스터!$A$5:$A$64,0)),""))</f>
        <v/>
      </c>
      <c r="O749" s="136">
        <f>IF($F749="","",IFERROR(INDEX(사건마스터!$AL$5:$AL$64,MATCH($F749,사건마스터!$A$5:$A$64,0)),""))</f>
        <v/>
      </c>
      <c r="P749" s="136">
        <f>IF($F749="","",IFERROR(INDEX(사건마스터!$AM$5:$AM$64,MATCH($F749,사건마스터!$A$5:$A$64,0)),""))</f>
        <v/>
      </c>
      <c r="Q749" s="136">
        <f>IF($F749="","",IFERROR(INDEX(사건마스터!$AN$5:$AN$64,MATCH($F749,사건마스터!$A$5:$A$64,0)),""))</f>
        <v/>
      </c>
      <c r="R749" s="136">
        <f>IF($F749="","",IFERROR(INDEX(사건마스터!$AO$5:$AO$64,MATCH($F749,사건마스터!$A$5:$A$64,0)),""))</f>
        <v/>
      </c>
      <c r="S749" s="136">
        <f>IF($F749="","",IFERROR(INDEX(사건마스터!$AP$5:$AP$64,MATCH($F749,사건마스터!$A$5:$A$64,0)),""))</f>
        <v/>
      </c>
      <c r="T749" s="136">
        <f>IF($F749="","",IFERROR(INDEX(사건마스터!$AQ$5:$AQ$64,MATCH($F749,사건마스터!$A$5:$A$64,0)),""))</f>
        <v/>
      </c>
      <c r="U749" s="136">
        <f>IF($F749="","",IFERROR(INDEX(사건마스터!$AR$5:$AR$64,MATCH($F749,사건마스터!$A$5:$A$64,0)),""))</f>
        <v/>
      </c>
      <c r="V749" s="136">
        <f>IF($F749="","",IFERROR(INDEX(사건마스터!$AS$5:$AS$64,MATCH($F749,사건마스터!$A$5:$A$64,0)),""))</f>
        <v/>
      </c>
      <c r="W749" s="136">
        <f>IF($F749="","",IFERROR(INDEX(사건마스터!$AT$5:$AT$64,MATCH($F749,사건마스터!$A$5:$A$64,0)),""))</f>
        <v/>
      </c>
      <c r="X749" s="136">
        <f>IF($F749="","",IFERROR(INDEX(사건마스터!$AU$5:$AU$64,MATCH($F749,사건마스터!$A$5:$A$64,0)),""))</f>
        <v/>
      </c>
      <c r="Y749" s="136">
        <f>IF($F749="","",IFERROR(INDEX(사건마스터!$AV$5:$AV$64,MATCH($F749,사건마스터!$A$5:$A$64,0)),""))</f>
        <v/>
      </c>
      <c r="Z749" s="118">
        <f>IF(COUNTBLANK($J749:$Y749)=16,"",16-COUNTBLANK($J749:$Y749))</f>
        <v/>
      </c>
      <c r="AA749" s="33">
        <f>IF($J749="",MID($AX749,3,255),$J749&amp;$AX749)</f>
        <v/>
      </c>
      <c r="AB749" s="130">
        <f>IF($J749="","",IFERROR(INDEX(코드설정!$D$5:$D$24,MATCH($J749,코드설정!$C$5:$C$24,0)),""))</f>
        <v/>
      </c>
      <c r="AC749" s="36" t="n"/>
      <c r="AD749" s="37" t="n"/>
      <c r="AE749" s="38" t="n"/>
      <c r="AF749" s="118">
        <f>IF(OR($B749="",$C749=""),"",$C749-$B749+1)</f>
        <v/>
      </c>
      <c r="AG749" s="74" t="n"/>
      <c r="AH749" s="36" t="n"/>
      <c r="AJ749">
        <f>IF($K749="","",", "&amp;$K749)</f>
        <v/>
      </c>
      <c r="AK749">
        <f>AJ749&amp;IF($L749="","",", "&amp;$L749)</f>
        <v/>
      </c>
      <c r="AL749">
        <f>AK749&amp;IF($M749="","",", "&amp;$M749)</f>
        <v/>
      </c>
      <c r="AM749">
        <f>AL749&amp;IF($N749="","",", "&amp;$N749)</f>
        <v/>
      </c>
      <c r="AN749">
        <f>AM749&amp;IF($O749="","",", "&amp;$O749)</f>
        <v/>
      </c>
      <c r="AO749">
        <f>AN749&amp;IF($P749="","",", "&amp;$P749)</f>
        <v/>
      </c>
      <c r="AP749">
        <f>AO749&amp;IF($Q749="","",", "&amp;$Q749)</f>
        <v/>
      </c>
      <c r="AQ749">
        <f>AP749&amp;IF($R749="","",", "&amp;$R749)</f>
        <v/>
      </c>
      <c r="AR749">
        <f>AQ749&amp;IF($S749="","",", "&amp;$S749)</f>
        <v/>
      </c>
      <c r="AS749">
        <f>AR749&amp;IF($T749="","",", "&amp;$T749)</f>
        <v/>
      </c>
      <c r="AT749">
        <f>AS749&amp;IF($U749="","",", "&amp;$U749)</f>
        <v/>
      </c>
      <c r="AU749">
        <f>AT749&amp;IF($V749="","",", "&amp;$V749)</f>
        <v/>
      </c>
      <c r="AV749">
        <f>AU749&amp;IF($W749="","",", "&amp;$W749)</f>
        <v/>
      </c>
      <c r="AW749">
        <f>AV749&amp;IF($X749="","",", "&amp;$X749)</f>
        <v/>
      </c>
      <c r="AX749">
        <f>AW749&amp;IF($Y749="","",", "&amp;$Y749)</f>
        <v/>
      </c>
    </row>
    <row r="750">
      <c r="A750" s="118">
        <f>IF($B750="","",COUNT($B$5:$B750))</f>
        <v/>
      </c>
      <c r="B750" s="80" t="n"/>
      <c r="C750" s="80" t="n"/>
      <c r="D750" s="74" t="n"/>
      <c r="E750" s="74" t="n"/>
      <c r="F750" s="74" t="n"/>
      <c r="G750" s="118">
        <f>IF($F750="","",COUNTIF($F$5:$F750,$F750))</f>
        <v/>
      </c>
      <c r="H750" s="33">
        <f>IF($F750="","",IFERROR(INDEX(사건마스터!$B$5:$B$64,MATCH($F750,사건마스터!$A$5:$A$64,0)),""))</f>
        <v/>
      </c>
      <c r="I750" s="130">
        <f>IF($F750="","",IFERROR(INDEX(사건마스터!$C$5:$C$64,MATCH($F750,사건마스터!$A$5:$A$64,0)),""))</f>
        <v/>
      </c>
      <c r="J750" s="136">
        <f>IF($F750="","",IFERROR(INDEX(사건마스터!$H$5:$H$64,MATCH($F750,사건마스터!$A$5:$A$64,0)),""))</f>
        <v/>
      </c>
      <c r="K750" s="136">
        <f>IF($F750="","",IFERROR(INDEX(사건마스터!$AH$5:$AH$64,MATCH($F750,사건마스터!$A$5:$A$64,0)),""))</f>
        <v/>
      </c>
      <c r="L750" s="136">
        <f>IF($F750="","",IFERROR(INDEX(사건마스터!$AI$5:$AI$64,MATCH($F750,사건마스터!$A$5:$A$64,0)),""))</f>
        <v/>
      </c>
      <c r="M750" s="136">
        <f>IF($F750="","",IFERROR(INDEX(사건마스터!$AJ$5:$AJ$64,MATCH($F750,사건마스터!$A$5:$A$64,0)),""))</f>
        <v/>
      </c>
      <c r="N750" s="136">
        <f>IF($F750="","",IFERROR(INDEX(사건마스터!$AK$5:$AK$64,MATCH($F750,사건마스터!$A$5:$A$64,0)),""))</f>
        <v/>
      </c>
      <c r="O750" s="136">
        <f>IF($F750="","",IFERROR(INDEX(사건마스터!$AL$5:$AL$64,MATCH($F750,사건마스터!$A$5:$A$64,0)),""))</f>
        <v/>
      </c>
      <c r="P750" s="136">
        <f>IF($F750="","",IFERROR(INDEX(사건마스터!$AM$5:$AM$64,MATCH($F750,사건마스터!$A$5:$A$64,0)),""))</f>
        <v/>
      </c>
      <c r="Q750" s="136">
        <f>IF($F750="","",IFERROR(INDEX(사건마스터!$AN$5:$AN$64,MATCH($F750,사건마스터!$A$5:$A$64,0)),""))</f>
        <v/>
      </c>
      <c r="R750" s="136">
        <f>IF($F750="","",IFERROR(INDEX(사건마스터!$AO$5:$AO$64,MATCH($F750,사건마스터!$A$5:$A$64,0)),""))</f>
        <v/>
      </c>
      <c r="S750" s="136">
        <f>IF($F750="","",IFERROR(INDEX(사건마스터!$AP$5:$AP$64,MATCH($F750,사건마스터!$A$5:$A$64,0)),""))</f>
        <v/>
      </c>
      <c r="T750" s="136">
        <f>IF($F750="","",IFERROR(INDEX(사건마스터!$AQ$5:$AQ$64,MATCH($F750,사건마스터!$A$5:$A$64,0)),""))</f>
        <v/>
      </c>
      <c r="U750" s="136">
        <f>IF($F750="","",IFERROR(INDEX(사건마스터!$AR$5:$AR$64,MATCH($F750,사건마스터!$A$5:$A$64,0)),""))</f>
        <v/>
      </c>
      <c r="V750" s="136">
        <f>IF($F750="","",IFERROR(INDEX(사건마스터!$AS$5:$AS$64,MATCH($F750,사건마스터!$A$5:$A$64,0)),""))</f>
        <v/>
      </c>
      <c r="W750" s="136">
        <f>IF($F750="","",IFERROR(INDEX(사건마스터!$AT$5:$AT$64,MATCH($F750,사건마스터!$A$5:$A$64,0)),""))</f>
        <v/>
      </c>
      <c r="X750" s="136">
        <f>IF($F750="","",IFERROR(INDEX(사건마스터!$AU$5:$AU$64,MATCH($F750,사건마스터!$A$5:$A$64,0)),""))</f>
        <v/>
      </c>
      <c r="Y750" s="136">
        <f>IF($F750="","",IFERROR(INDEX(사건마스터!$AV$5:$AV$64,MATCH($F750,사건마스터!$A$5:$A$64,0)),""))</f>
        <v/>
      </c>
      <c r="Z750" s="118">
        <f>IF(COUNTBLANK($J750:$Y750)=16,"",16-COUNTBLANK($J750:$Y750))</f>
        <v/>
      </c>
      <c r="AA750" s="33">
        <f>IF($J750="",MID($AX750,3,255),$J750&amp;$AX750)</f>
        <v/>
      </c>
      <c r="AB750" s="130">
        <f>IF($J750="","",IFERROR(INDEX(코드설정!$D$5:$D$24,MATCH($J750,코드설정!$C$5:$C$24,0)),""))</f>
        <v/>
      </c>
      <c r="AC750" s="36" t="n"/>
      <c r="AD750" s="37" t="n"/>
      <c r="AE750" s="38" t="n"/>
      <c r="AF750" s="118">
        <f>IF(OR($B750="",$C750=""),"",$C750-$B750+1)</f>
        <v/>
      </c>
      <c r="AG750" s="74" t="n"/>
      <c r="AH750" s="36" t="n"/>
      <c r="AJ750">
        <f>IF($K750="","",", "&amp;$K750)</f>
        <v/>
      </c>
      <c r="AK750">
        <f>AJ750&amp;IF($L750="","",", "&amp;$L750)</f>
        <v/>
      </c>
      <c r="AL750">
        <f>AK750&amp;IF($M750="","",", "&amp;$M750)</f>
        <v/>
      </c>
      <c r="AM750">
        <f>AL750&amp;IF($N750="","",", "&amp;$N750)</f>
        <v/>
      </c>
      <c r="AN750">
        <f>AM750&amp;IF($O750="","",", "&amp;$O750)</f>
        <v/>
      </c>
      <c r="AO750">
        <f>AN750&amp;IF($P750="","",", "&amp;$P750)</f>
        <v/>
      </c>
      <c r="AP750">
        <f>AO750&amp;IF($Q750="","",", "&amp;$Q750)</f>
        <v/>
      </c>
      <c r="AQ750">
        <f>AP750&amp;IF($R750="","",", "&amp;$R750)</f>
        <v/>
      </c>
      <c r="AR750">
        <f>AQ750&amp;IF($S750="","",", "&amp;$S750)</f>
        <v/>
      </c>
      <c r="AS750">
        <f>AR750&amp;IF($T750="","",", "&amp;$T750)</f>
        <v/>
      </c>
      <c r="AT750">
        <f>AS750&amp;IF($U750="","",", "&amp;$U750)</f>
        <v/>
      </c>
      <c r="AU750">
        <f>AT750&amp;IF($V750="","",", "&amp;$V750)</f>
        <v/>
      </c>
      <c r="AV750">
        <f>AU750&amp;IF($W750="","",", "&amp;$W750)</f>
        <v/>
      </c>
      <c r="AW750">
        <f>AV750&amp;IF($X750="","",", "&amp;$X750)</f>
        <v/>
      </c>
      <c r="AX750">
        <f>AW750&amp;IF($Y750="","",", "&amp;$Y750)</f>
        <v/>
      </c>
    </row>
    <row r="751">
      <c r="A751" s="118">
        <f>IF($B751="","",COUNT($B$5:$B751))</f>
        <v/>
      </c>
      <c r="B751" s="80" t="n"/>
      <c r="C751" s="80" t="n"/>
      <c r="D751" s="74" t="n"/>
      <c r="E751" s="74" t="n"/>
      <c r="F751" s="74" t="n"/>
      <c r="G751" s="118">
        <f>IF($F751="","",COUNTIF($F$5:$F751,$F751))</f>
        <v/>
      </c>
      <c r="H751" s="33">
        <f>IF($F751="","",IFERROR(INDEX(사건마스터!$B$5:$B$64,MATCH($F751,사건마스터!$A$5:$A$64,0)),""))</f>
        <v/>
      </c>
      <c r="I751" s="130">
        <f>IF($F751="","",IFERROR(INDEX(사건마스터!$C$5:$C$64,MATCH($F751,사건마스터!$A$5:$A$64,0)),""))</f>
        <v/>
      </c>
      <c r="J751" s="136">
        <f>IF($F751="","",IFERROR(INDEX(사건마스터!$H$5:$H$64,MATCH($F751,사건마스터!$A$5:$A$64,0)),""))</f>
        <v/>
      </c>
      <c r="K751" s="136">
        <f>IF($F751="","",IFERROR(INDEX(사건마스터!$AH$5:$AH$64,MATCH($F751,사건마스터!$A$5:$A$64,0)),""))</f>
        <v/>
      </c>
      <c r="L751" s="136">
        <f>IF($F751="","",IFERROR(INDEX(사건마스터!$AI$5:$AI$64,MATCH($F751,사건마스터!$A$5:$A$64,0)),""))</f>
        <v/>
      </c>
      <c r="M751" s="136">
        <f>IF($F751="","",IFERROR(INDEX(사건마스터!$AJ$5:$AJ$64,MATCH($F751,사건마스터!$A$5:$A$64,0)),""))</f>
        <v/>
      </c>
      <c r="N751" s="136">
        <f>IF($F751="","",IFERROR(INDEX(사건마스터!$AK$5:$AK$64,MATCH($F751,사건마스터!$A$5:$A$64,0)),""))</f>
        <v/>
      </c>
      <c r="O751" s="136">
        <f>IF($F751="","",IFERROR(INDEX(사건마스터!$AL$5:$AL$64,MATCH($F751,사건마스터!$A$5:$A$64,0)),""))</f>
        <v/>
      </c>
      <c r="P751" s="136">
        <f>IF($F751="","",IFERROR(INDEX(사건마스터!$AM$5:$AM$64,MATCH($F751,사건마스터!$A$5:$A$64,0)),""))</f>
        <v/>
      </c>
      <c r="Q751" s="136">
        <f>IF($F751="","",IFERROR(INDEX(사건마스터!$AN$5:$AN$64,MATCH($F751,사건마스터!$A$5:$A$64,0)),""))</f>
        <v/>
      </c>
      <c r="R751" s="136">
        <f>IF($F751="","",IFERROR(INDEX(사건마스터!$AO$5:$AO$64,MATCH($F751,사건마스터!$A$5:$A$64,0)),""))</f>
        <v/>
      </c>
      <c r="S751" s="136">
        <f>IF($F751="","",IFERROR(INDEX(사건마스터!$AP$5:$AP$64,MATCH($F751,사건마스터!$A$5:$A$64,0)),""))</f>
        <v/>
      </c>
      <c r="T751" s="136">
        <f>IF($F751="","",IFERROR(INDEX(사건마스터!$AQ$5:$AQ$64,MATCH($F751,사건마스터!$A$5:$A$64,0)),""))</f>
        <v/>
      </c>
      <c r="U751" s="136">
        <f>IF($F751="","",IFERROR(INDEX(사건마스터!$AR$5:$AR$64,MATCH($F751,사건마스터!$A$5:$A$64,0)),""))</f>
        <v/>
      </c>
      <c r="V751" s="136">
        <f>IF($F751="","",IFERROR(INDEX(사건마스터!$AS$5:$AS$64,MATCH($F751,사건마스터!$A$5:$A$64,0)),""))</f>
        <v/>
      </c>
      <c r="W751" s="136">
        <f>IF($F751="","",IFERROR(INDEX(사건마스터!$AT$5:$AT$64,MATCH($F751,사건마스터!$A$5:$A$64,0)),""))</f>
        <v/>
      </c>
      <c r="X751" s="136">
        <f>IF($F751="","",IFERROR(INDEX(사건마스터!$AU$5:$AU$64,MATCH($F751,사건마스터!$A$5:$A$64,0)),""))</f>
        <v/>
      </c>
      <c r="Y751" s="136">
        <f>IF($F751="","",IFERROR(INDEX(사건마스터!$AV$5:$AV$64,MATCH($F751,사건마스터!$A$5:$A$64,0)),""))</f>
        <v/>
      </c>
      <c r="Z751" s="118">
        <f>IF(COUNTBLANK($J751:$Y751)=16,"",16-COUNTBLANK($J751:$Y751))</f>
        <v/>
      </c>
      <c r="AA751" s="33">
        <f>IF($J751="",MID($AX751,3,255),$J751&amp;$AX751)</f>
        <v/>
      </c>
      <c r="AB751" s="130">
        <f>IF($J751="","",IFERROR(INDEX(코드설정!$D$5:$D$24,MATCH($J751,코드설정!$C$5:$C$24,0)),""))</f>
        <v/>
      </c>
      <c r="AC751" s="36" t="n"/>
      <c r="AD751" s="37" t="n"/>
      <c r="AE751" s="38" t="n"/>
      <c r="AF751" s="118">
        <f>IF(OR($B751="",$C751=""),"",$C751-$B751+1)</f>
        <v/>
      </c>
      <c r="AG751" s="74" t="n"/>
      <c r="AH751" s="36" t="n"/>
      <c r="AJ751">
        <f>IF($K751="","",", "&amp;$K751)</f>
        <v/>
      </c>
      <c r="AK751">
        <f>AJ751&amp;IF($L751="","",", "&amp;$L751)</f>
        <v/>
      </c>
      <c r="AL751">
        <f>AK751&amp;IF($M751="","",", "&amp;$M751)</f>
        <v/>
      </c>
      <c r="AM751">
        <f>AL751&amp;IF($N751="","",", "&amp;$N751)</f>
        <v/>
      </c>
      <c r="AN751">
        <f>AM751&amp;IF($O751="","",", "&amp;$O751)</f>
        <v/>
      </c>
      <c r="AO751">
        <f>AN751&amp;IF($P751="","",", "&amp;$P751)</f>
        <v/>
      </c>
      <c r="AP751">
        <f>AO751&amp;IF($Q751="","",", "&amp;$Q751)</f>
        <v/>
      </c>
      <c r="AQ751">
        <f>AP751&amp;IF($R751="","",", "&amp;$R751)</f>
        <v/>
      </c>
      <c r="AR751">
        <f>AQ751&amp;IF($S751="","",", "&amp;$S751)</f>
        <v/>
      </c>
      <c r="AS751">
        <f>AR751&amp;IF($T751="","",", "&amp;$T751)</f>
        <v/>
      </c>
      <c r="AT751">
        <f>AS751&amp;IF($U751="","",", "&amp;$U751)</f>
        <v/>
      </c>
      <c r="AU751">
        <f>AT751&amp;IF($V751="","",", "&amp;$V751)</f>
        <v/>
      </c>
      <c r="AV751">
        <f>AU751&amp;IF($W751="","",", "&amp;$W751)</f>
        <v/>
      </c>
      <c r="AW751">
        <f>AV751&amp;IF($X751="","",", "&amp;$X751)</f>
        <v/>
      </c>
      <c r="AX751">
        <f>AW751&amp;IF($Y751="","",", "&amp;$Y751)</f>
        <v/>
      </c>
    </row>
    <row r="752">
      <c r="A752" s="118">
        <f>IF($B752="","",COUNT($B$5:$B752))</f>
        <v/>
      </c>
      <c r="B752" s="80" t="n"/>
      <c r="C752" s="80" t="n"/>
      <c r="D752" s="74" t="n"/>
      <c r="E752" s="74" t="n"/>
      <c r="F752" s="74" t="n"/>
      <c r="G752" s="118">
        <f>IF($F752="","",COUNTIF($F$5:$F752,$F752))</f>
        <v/>
      </c>
      <c r="H752" s="33">
        <f>IF($F752="","",IFERROR(INDEX(사건마스터!$B$5:$B$64,MATCH($F752,사건마스터!$A$5:$A$64,0)),""))</f>
        <v/>
      </c>
      <c r="I752" s="130">
        <f>IF($F752="","",IFERROR(INDEX(사건마스터!$C$5:$C$64,MATCH($F752,사건마스터!$A$5:$A$64,0)),""))</f>
        <v/>
      </c>
      <c r="J752" s="136">
        <f>IF($F752="","",IFERROR(INDEX(사건마스터!$H$5:$H$64,MATCH($F752,사건마스터!$A$5:$A$64,0)),""))</f>
        <v/>
      </c>
      <c r="K752" s="136">
        <f>IF($F752="","",IFERROR(INDEX(사건마스터!$AH$5:$AH$64,MATCH($F752,사건마스터!$A$5:$A$64,0)),""))</f>
        <v/>
      </c>
      <c r="L752" s="136">
        <f>IF($F752="","",IFERROR(INDEX(사건마스터!$AI$5:$AI$64,MATCH($F752,사건마스터!$A$5:$A$64,0)),""))</f>
        <v/>
      </c>
      <c r="M752" s="136">
        <f>IF($F752="","",IFERROR(INDEX(사건마스터!$AJ$5:$AJ$64,MATCH($F752,사건마스터!$A$5:$A$64,0)),""))</f>
        <v/>
      </c>
      <c r="N752" s="136">
        <f>IF($F752="","",IFERROR(INDEX(사건마스터!$AK$5:$AK$64,MATCH($F752,사건마스터!$A$5:$A$64,0)),""))</f>
        <v/>
      </c>
      <c r="O752" s="136">
        <f>IF($F752="","",IFERROR(INDEX(사건마스터!$AL$5:$AL$64,MATCH($F752,사건마스터!$A$5:$A$64,0)),""))</f>
        <v/>
      </c>
      <c r="P752" s="136">
        <f>IF($F752="","",IFERROR(INDEX(사건마스터!$AM$5:$AM$64,MATCH($F752,사건마스터!$A$5:$A$64,0)),""))</f>
        <v/>
      </c>
      <c r="Q752" s="136">
        <f>IF($F752="","",IFERROR(INDEX(사건마스터!$AN$5:$AN$64,MATCH($F752,사건마스터!$A$5:$A$64,0)),""))</f>
        <v/>
      </c>
      <c r="R752" s="136">
        <f>IF($F752="","",IFERROR(INDEX(사건마스터!$AO$5:$AO$64,MATCH($F752,사건마스터!$A$5:$A$64,0)),""))</f>
        <v/>
      </c>
      <c r="S752" s="136">
        <f>IF($F752="","",IFERROR(INDEX(사건마스터!$AP$5:$AP$64,MATCH($F752,사건마스터!$A$5:$A$64,0)),""))</f>
        <v/>
      </c>
      <c r="T752" s="136">
        <f>IF($F752="","",IFERROR(INDEX(사건마스터!$AQ$5:$AQ$64,MATCH($F752,사건마스터!$A$5:$A$64,0)),""))</f>
        <v/>
      </c>
      <c r="U752" s="136">
        <f>IF($F752="","",IFERROR(INDEX(사건마스터!$AR$5:$AR$64,MATCH($F752,사건마스터!$A$5:$A$64,0)),""))</f>
        <v/>
      </c>
      <c r="V752" s="136">
        <f>IF($F752="","",IFERROR(INDEX(사건마스터!$AS$5:$AS$64,MATCH($F752,사건마스터!$A$5:$A$64,0)),""))</f>
        <v/>
      </c>
      <c r="W752" s="136">
        <f>IF($F752="","",IFERROR(INDEX(사건마스터!$AT$5:$AT$64,MATCH($F752,사건마스터!$A$5:$A$64,0)),""))</f>
        <v/>
      </c>
      <c r="X752" s="136">
        <f>IF($F752="","",IFERROR(INDEX(사건마스터!$AU$5:$AU$64,MATCH($F752,사건마스터!$A$5:$A$64,0)),""))</f>
        <v/>
      </c>
      <c r="Y752" s="136">
        <f>IF($F752="","",IFERROR(INDEX(사건마스터!$AV$5:$AV$64,MATCH($F752,사건마스터!$A$5:$A$64,0)),""))</f>
        <v/>
      </c>
      <c r="Z752" s="118">
        <f>IF(COUNTBLANK($J752:$Y752)=16,"",16-COUNTBLANK($J752:$Y752))</f>
        <v/>
      </c>
      <c r="AA752" s="33">
        <f>IF($J752="",MID($AX752,3,255),$J752&amp;$AX752)</f>
        <v/>
      </c>
      <c r="AB752" s="130">
        <f>IF($J752="","",IFERROR(INDEX(코드설정!$D$5:$D$24,MATCH($J752,코드설정!$C$5:$C$24,0)),""))</f>
        <v/>
      </c>
      <c r="AC752" s="36" t="n"/>
      <c r="AD752" s="37" t="n"/>
      <c r="AE752" s="38" t="n"/>
      <c r="AF752" s="118">
        <f>IF(OR($B752="",$C752=""),"",$C752-$B752+1)</f>
        <v/>
      </c>
      <c r="AG752" s="74" t="n"/>
      <c r="AH752" s="36" t="n"/>
      <c r="AJ752">
        <f>IF($K752="","",", "&amp;$K752)</f>
        <v/>
      </c>
      <c r="AK752">
        <f>AJ752&amp;IF($L752="","",", "&amp;$L752)</f>
        <v/>
      </c>
      <c r="AL752">
        <f>AK752&amp;IF($M752="","",", "&amp;$M752)</f>
        <v/>
      </c>
      <c r="AM752">
        <f>AL752&amp;IF($N752="","",", "&amp;$N752)</f>
        <v/>
      </c>
      <c r="AN752">
        <f>AM752&amp;IF($O752="","",", "&amp;$O752)</f>
        <v/>
      </c>
      <c r="AO752">
        <f>AN752&amp;IF($P752="","",", "&amp;$P752)</f>
        <v/>
      </c>
      <c r="AP752">
        <f>AO752&amp;IF($Q752="","",", "&amp;$Q752)</f>
        <v/>
      </c>
      <c r="AQ752">
        <f>AP752&amp;IF($R752="","",", "&amp;$R752)</f>
        <v/>
      </c>
      <c r="AR752">
        <f>AQ752&amp;IF($S752="","",", "&amp;$S752)</f>
        <v/>
      </c>
      <c r="AS752">
        <f>AR752&amp;IF($T752="","",", "&amp;$T752)</f>
        <v/>
      </c>
      <c r="AT752">
        <f>AS752&amp;IF($U752="","",", "&amp;$U752)</f>
        <v/>
      </c>
      <c r="AU752">
        <f>AT752&amp;IF($V752="","",", "&amp;$V752)</f>
        <v/>
      </c>
      <c r="AV752">
        <f>AU752&amp;IF($W752="","",", "&amp;$W752)</f>
        <v/>
      </c>
      <c r="AW752">
        <f>AV752&amp;IF($X752="","",", "&amp;$X752)</f>
        <v/>
      </c>
      <c r="AX752">
        <f>AW752&amp;IF($Y752="","",", "&amp;$Y752)</f>
        <v/>
      </c>
    </row>
    <row r="753">
      <c r="A753" s="118">
        <f>IF($B753="","",COUNT($B$5:$B753))</f>
        <v/>
      </c>
      <c r="B753" s="80" t="n"/>
      <c r="C753" s="80" t="n"/>
      <c r="D753" s="74" t="n"/>
      <c r="E753" s="74" t="n"/>
      <c r="F753" s="74" t="n"/>
      <c r="G753" s="118">
        <f>IF($F753="","",COUNTIF($F$5:$F753,$F753))</f>
        <v/>
      </c>
      <c r="H753" s="33">
        <f>IF($F753="","",IFERROR(INDEX(사건마스터!$B$5:$B$64,MATCH($F753,사건마스터!$A$5:$A$64,0)),""))</f>
        <v/>
      </c>
      <c r="I753" s="130">
        <f>IF($F753="","",IFERROR(INDEX(사건마스터!$C$5:$C$64,MATCH($F753,사건마스터!$A$5:$A$64,0)),""))</f>
        <v/>
      </c>
      <c r="J753" s="136">
        <f>IF($F753="","",IFERROR(INDEX(사건마스터!$H$5:$H$64,MATCH($F753,사건마스터!$A$5:$A$64,0)),""))</f>
        <v/>
      </c>
      <c r="K753" s="136">
        <f>IF($F753="","",IFERROR(INDEX(사건마스터!$AH$5:$AH$64,MATCH($F753,사건마스터!$A$5:$A$64,0)),""))</f>
        <v/>
      </c>
      <c r="L753" s="136">
        <f>IF($F753="","",IFERROR(INDEX(사건마스터!$AI$5:$AI$64,MATCH($F753,사건마스터!$A$5:$A$64,0)),""))</f>
        <v/>
      </c>
      <c r="M753" s="136">
        <f>IF($F753="","",IFERROR(INDEX(사건마스터!$AJ$5:$AJ$64,MATCH($F753,사건마스터!$A$5:$A$64,0)),""))</f>
        <v/>
      </c>
      <c r="N753" s="136">
        <f>IF($F753="","",IFERROR(INDEX(사건마스터!$AK$5:$AK$64,MATCH($F753,사건마스터!$A$5:$A$64,0)),""))</f>
        <v/>
      </c>
      <c r="O753" s="136">
        <f>IF($F753="","",IFERROR(INDEX(사건마스터!$AL$5:$AL$64,MATCH($F753,사건마스터!$A$5:$A$64,0)),""))</f>
        <v/>
      </c>
      <c r="P753" s="136">
        <f>IF($F753="","",IFERROR(INDEX(사건마스터!$AM$5:$AM$64,MATCH($F753,사건마스터!$A$5:$A$64,0)),""))</f>
        <v/>
      </c>
      <c r="Q753" s="136">
        <f>IF($F753="","",IFERROR(INDEX(사건마스터!$AN$5:$AN$64,MATCH($F753,사건마스터!$A$5:$A$64,0)),""))</f>
        <v/>
      </c>
      <c r="R753" s="136">
        <f>IF($F753="","",IFERROR(INDEX(사건마스터!$AO$5:$AO$64,MATCH($F753,사건마스터!$A$5:$A$64,0)),""))</f>
        <v/>
      </c>
      <c r="S753" s="136">
        <f>IF($F753="","",IFERROR(INDEX(사건마스터!$AP$5:$AP$64,MATCH($F753,사건마스터!$A$5:$A$64,0)),""))</f>
        <v/>
      </c>
      <c r="T753" s="136">
        <f>IF($F753="","",IFERROR(INDEX(사건마스터!$AQ$5:$AQ$64,MATCH($F753,사건마스터!$A$5:$A$64,0)),""))</f>
        <v/>
      </c>
      <c r="U753" s="136">
        <f>IF($F753="","",IFERROR(INDEX(사건마스터!$AR$5:$AR$64,MATCH($F753,사건마스터!$A$5:$A$64,0)),""))</f>
        <v/>
      </c>
      <c r="V753" s="136">
        <f>IF($F753="","",IFERROR(INDEX(사건마스터!$AS$5:$AS$64,MATCH($F753,사건마스터!$A$5:$A$64,0)),""))</f>
        <v/>
      </c>
      <c r="W753" s="136">
        <f>IF($F753="","",IFERROR(INDEX(사건마스터!$AT$5:$AT$64,MATCH($F753,사건마스터!$A$5:$A$64,0)),""))</f>
        <v/>
      </c>
      <c r="X753" s="136">
        <f>IF($F753="","",IFERROR(INDEX(사건마스터!$AU$5:$AU$64,MATCH($F753,사건마스터!$A$5:$A$64,0)),""))</f>
        <v/>
      </c>
      <c r="Y753" s="136">
        <f>IF($F753="","",IFERROR(INDEX(사건마스터!$AV$5:$AV$64,MATCH($F753,사건마스터!$A$5:$A$64,0)),""))</f>
        <v/>
      </c>
      <c r="Z753" s="118">
        <f>IF(COUNTBLANK($J753:$Y753)=16,"",16-COUNTBLANK($J753:$Y753))</f>
        <v/>
      </c>
      <c r="AA753" s="33">
        <f>IF($J753="",MID($AX753,3,255),$J753&amp;$AX753)</f>
        <v/>
      </c>
      <c r="AB753" s="130">
        <f>IF($J753="","",IFERROR(INDEX(코드설정!$D$5:$D$24,MATCH($J753,코드설정!$C$5:$C$24,0)),""))</f>
        <v/>
      </c>
      <c r="AC753" s="36" t="n"/>
      <c r="AD753" s="37" t="n"/>
      <c r="AE753" s="38" t="n"/>
      <c r="AF753" s="118">
        <f>IF(OR($B753="",$C753=""),"",$C753-$B753+1)</f>
        <v/>
      </c>
      <c r="AG753" s="74" t="n"/>
      <c r="AH753" s="36" t="n"/>
      <c r="AJ753">
        <f>IF($K753="","",", "&amp;$K753)</f>
        <v/>
      </c>
      <c r="AK753">
        <f>AJ753&amp;IF($L753="","",", "&amp;$L753)</f>
        <v/>
      </c>
      <c r="AL753">
        <f>AK753&amp;IF($M753="","",", "&amp;$M753)</f>
        <v/>
      </c>
      <c r="AM753">
        <f>AL753&amp;IF($N753="","",", "&amp;$N753)</f>
        <v/>
      </c>
      <c r="AN753">
        <f>AM753&amp;IF($O753="","",", "&amp;$O753)</f>
        <v/>
      </c>
      <c r="AO753">
        <f>AN753&amp;IF($P753="","",", "&amp;$P753)</f>
        <v/>
      </c>
      <c r="AP753">
        <f>AO753&amp;IF($Q753="","",", "&amp;$Q753)</f>
        <v/>
      </c>
      <c r="AQ753">
        <f>AP753&amp;IF($R753="","",", "&amp;$R753)</f>
        <v/>
      </c>
      <c r="AR753">
        <f>AQ753&amp;IF($S753="","",", "&amp;$S753)</f>
        <v/>
      </c>
      <c r="AS753">
        <f>AR753&amp;IF($T753="","",", "&amp;$T753)</f>
        <v/>
      </c>
      <c r="AT753">
        <f>AS753&amp;IF($U753="","",", "&amp;$U753)</f>
        <v/>
      </c>
      <c r="AU753">
        <f>AT753&amp;IF($V753="","",", "&amp;$V753)</f>
        <v/>
      </c>
      <c r="AV753">
        <f>AU753&amp;IF($W753="","",", "&amp;$W753)</f>
        <v/>
      </c>
      <c r="AW753">
        <f>AV753&amp;IF($X753="","",", "&amp;$X753)</f>
        <v/>
      </c>
      <c r="AX753">
        <f>AW753&amp;IF($Y753="","",", "&amp;$Y753)</f>
        <v/>
      </c>
    </row>
    <row r="754">
      <c r="A754" s="118">
        <f>IF($B754="","",COUNT($B$5:$B754))</f>
        <v/>
      </c>
      <c r="B754" s="80" t="n"/>
      <c r="C754" s="80" t="n"/>
      <c r="D754" s="74" t="n"/>
      <c r="E754" s="74" t="n"/>
      <c r="F754" s="74" t="n"/>
      <c r="G754" s="118">
        <f>IF($F754="","",COUNTIF($F$5:$F754,$F754))</f>
        <v/>
      </c>
      <c r="H754" s="33">
        <f>IF($F754="","",IFERROR(INDEX(사건마스터!$B$5:$B$64,MATCH($F754,사건마스터!$A$5:$A$64,0)),""))</f>
        <v/>
      </c>
      <c r="I754" s="130">
        <f>IF($F754="","",IFERROR(INDEX(사건마스터!$C$5:$C$64,MATCH($F754,사건마스터!$A$5:$A$64,0)),""))</f>
        <v/>
      </c>
      <c r="J754" s="136">
        <f>IF($F754="","",IFERROR(INDEX(사건마스터!$H$5:$H$64,MATCH($F754,사건마스터!$A$5:$A$64,0)),""))</f>
        <v/>
      </c>
      <c r="K754" s="136">
        <f>IF($F754="","",IFERROR(INDEX(사건마스터!$AH$5:$AH$64,MATCH($F754,사건마스터!$A$5:$A$64,0)),""))</f>
        <v/>
      </c>
      <c r="L754" s="136">
        <f>IF($F754="","",IFERROR(INDEX(사건마스터!$AI$5:$AI$64,MATCH($F754,사건마스터!$A$5:$A$64,0)),""))</f>
        <v/>
      </c>
      <c r="M754" s="136">
        <f>IF($F754="","",IFERROR(INDEX(사건마스터!$AJ$5:$AJ$64,MATCH($F754,사건마스터!$A$5:$A$64,0)),""))</f>
        <v/>
      </c>
      <c r="N754" s="136">
        <f>IF($F754="","",IFERROR(INDEX(사건마스터!$AK$5:$AK$64,MATCH($F754,사건마스터!$A$5:$A$64,0)),""))</f>
        <v/>
      </c>
      <c r="O754" s="136">
        <f>IF($F754="","",IFERROR(INDEX(사건마스터!$AL$5:$AL$64,MATCH($F754,사건마스터!$A$5:$A$64,0)),""))</f>
        <v/>
      </c>
      <c r="P754" s="136">
        <f>IF($F754="","",IFERROR(INDEX(사건마스터!$AM$5:$AM$64,MATCH($F754,사건마스터!$A$5:$A$64,0)),""))</f>
        <v/>
      </c>
      <c r="Q754" s="136">
        <f>IF($F754="","",IFERROR(INDEX(사건마스터!$AN$5:$AN$64,MATCH($F754,사건마스터!$A$5:$A$64,0)),""))</f>
        <v/>
      </c>
      <c r="R754" s="136">
        <f>IF($F754="","",IFERROR(INDEX(사건마스터!$AO$5:$AO$64,MATCH($F754,사건마스터!$A$5:$A$64,0)),""))</f>
        <v/>
      </c>
      <c r="S754" s="136">
        <f>IF($F754="","",IFERROR(INDEX(사건마스터!$AP$5:$AP$64,MATCH($F754,사건마스터!$A$5:$A$64,0)),""))</f>
        <v/>
      </c>
      <c r="T754" s="136">
        <f>IF($F754="","",IFERROR(INDEX(사건마스터!$AQ$5:$AQ$64,MATCH($F754,사건마스터!$A$5:$A$64,0)),""))</f>
        <v/>
      </c>
      <c r="U754" s="136">
        <f>IF($F754="","",IFERROR(INDEX(사건마스터!$AR$5:$AR$64,MATCH($F754,사건마스터!$A$5:$A$64,0)),""))</f>
        <v/>
      </c>
      <c r="V754" s="136">
        <f>IF($F754="","",IFERROR(INDEX(사건마스터!$AS$5:$AS$64,MATCH($F754,사건마스터!$A$5:$A$64,0)),""))</f>
        <v/>
      </c>
      <c r="W754" s="136">
        <f>IF($F754="","",IFERROR(INDEX(사건마스터!$AT$5:$AT$64,MATCH($F754,사건마스터!$A$5:$A$64,0)),""))</f>
        <v/>
      </c>
      <c r="X754" s="136">
        <f>IF($F754="","",IFERROR(INDEX(사건마스터!$AU$5:$AU$64,MATCH($F754,사건마스터!$A$5:$A$64,0)),""))</f>
        <v/>
      </c>
      <c r="Y754" s="136">
        <f>IF($F754="","",IFERROR(INDEX(사건마스터!$AV$5:$AV$64,MATCH($F754,사건마스터!$A$5:$A$64,0)),""))</f>
        <v/>
      </c>
      <c r="Z754" s="118">
        <f>IF(COUNTBLANK($J754:$Y754)=16,"",16-COUNTBLANK($J754:$Y754))</f>
        <v/>
      </c>
      <c r="AA754" s="33">
        <f>IF($J754="",MID($AX754,3,255),$J754&amp;$AX754)</f>
        <v/>
      </c>
      <c r="AB754" s="130">
        <f>IF($J754="","",IFERROR(INDEX(코드설정!$D$5:$D$24,MATCH($J754,코드설정!$C$5:$C$24,0)),""))</f>
        <v/>
      </c>
      <c r="AC754" s="36" t="n"/>
      <c r="AD754" s="37" t="n"/>
      <c r="AE754" s="38" t="n"/>
      <c r="AF754" s="118">
        <f>IF(OR($B754="",$C754=""),"",$C754-$B754+1)</f>
        <v/>
      </c>
      <c r="AG754" s="74" t="n"/>
      <c r="AH754" s="36" t="n"/>
      <c r="AJ754">
        <f>IF($K754="","",", "&amp;$K754)</f>
        <v/>
      </c>
      <c r="AK754">
        <f>AJ754&amp;IF($L754="","",", "&amp;$L754)</f>
        <v/>
      </c>
      <c r="AL754">
        <f>AK754&amp;IF($M754="","",", "&amp;$M754)</f>
        <v/>
      </c>
      <c r="AM754">
        <f>AL754&amp;IF($N754="","",", "&amp;$N754)</f>
        <v/>
      </c>
      <c r="AN754">
        <f>AM754&amp;IF($O754="","",", "&amp;$O754)</f>
        <v/>
      </c>
      <c r="AO754">
        <f>AN754&amp;IF($P754="","",", "&amp;$P754)</f>
        <v/>
      </c>
      <c r="AP754">
        <f>AO754&amp;IF($Q754="","",", "&amp;$Q754)</f>
        <v/>
      </c>
      <c r="AQ754">
        <f>AP754&amp;IF($R754="","",", "&amp;$R754)</f>
        <v/>
      </c>
      <c r="AR754">
        <f>AQ754&amp;IF($S754="","",", "&amp;$S754)</f>
        <v/>
      </c>
      <c r="AS754">
        <f>AR754&amp;IF($T754="","",", "&amp;$T754)</f>
        <v/>
      </c>
      <c r="AT754">
        <f>AS754&amp;IF($U754="","",", "&amp;$U754)</f>
        <v/>
      </c>
      <c r="AU754">
        <f>AT754&amp;IF($V754="","",", "&amp;$V754)</f>
        <v/>
      </c>
      <c r="AV754">
        <f>AU754&amp;IF($W754="","",", "&amp;$W754)</f>
        <v/>
      </c>
      <c r="AW754">
        <f>AV754&amp;IF($X754="","",", "&amp;$X754)</f>
        <v/>
      </c>
      <c r="AX754">
        <f>AW754&amp;IF($Y754="","",", "&amp;$Y754)</f>
        <v/>
      </c>
    </row>
    <row r="755">
      <c r="A755" s="118">
        <f>IF($B755="","",COUNT($B$5:$B755))</f>
        <v/>
      </c>
      <c r="B755" s="80" t="n"/>
      <c r="C755" s="80" t="n"/>
      <c r="D755" s="74" t="n"/>
      <c r="E755" s="74" t="n"/>
      <c r="F755" s="74" t="n"/>
      <c r="G755" s="118">
        <f>IF($F755="","",COUNTIF($F$5:$F755,$F755))</f>
        <v/>
      </c>
      <c r="H755" s="33">
        <f>IF($F755="","",IFERROR(INDEX(사건마스터!$B$5:$B$64,MATCH($F755,사건마스터!$A$5:$A$64,0)),""))</f>
        <v/>
      </c>
      <c r="I755" s="130">
        <f>IF($F755="","",IFERROR(INDEX(사건마스터!$C$5:$C$64,MATCH($F755,사건마스터!$A$5:$A$64,0)),""))</f>
        <v/>
      </c>
      <c r="J755" s="136">
        <f>IF($F755="","",IFERROR(INDEX(사건마스터!$H$5:$H$64,MATCH($F755,사건마스터!$A$5:$A$64,0)),""))</f>
        <v/>
      </c>
      <c r="K755" s="136">
        <f>IF($F755="","",IFERROR(INDEX(사건마스터!$AH$5:$AH$64,MATCH($F755,사건마스터!$A$5:$A$64,0)),""))</f>
        <v/>
      </c>
      <c r="L755" s="136">
        <f>IF($F755="","",IFERROR(INDEX(사건마스터!$AI$5:$AI$64,MATCH($F755,사건마스터!$A$5:$A$64,0)),""))</f>
        <v/>
      </c>
      <c r="M755" s="136">
        <f>IF($F755="","",IFERROR(INDEX(사건마스터!$AJ$5:$AJ$64,MATCH($F755,사건마스터!$A$5:$A$64,0)),""))</f>
        <v/>
      </c>
      <c r="N755" s="136">
        <f>IF($F755="","",IFERROR(INDEX(사건마스터!$AK$5:$AK$64,MATCH($F755,사건마스터!$A$5:$A$64,0)),""))</f>
        <v/>
      </c>
      <c r="O755" s="136">
        <f>IF($F755="","",IFERROR(INDEX(사건마스터!$AL$5:$AL$64,MATCH($F755,사건마스터!$A$5:$A$64,0)),""))</f>
        <v/>
      </c>
      <c r="P755" s="136">
        <f>IF($F755="","",IFERROR(INDEX(사건마스터!$AM$5:$AM$64,MATCH($F755,사건마스터!$A$5:$A$64,0)),""))</f>
        <v/>
      </c>
      <c r="Q755" s="136">
        <f>IF($F755="","",IFERROR(INDEX(사건마스터!$AN$5:$AN$64,MATCH($F755,사건마스터!$A$5:$A$64,0)),""))</f>
        <v/>
      </c>
      <c r="R755" s="136">
        <f>IF($F755="","",IFERROR(INDEX(사건마스터!$AO$5:$AO$64,MATCH($F755,사건마스터!$A$5:$A$64,0)),""))</f>
        <v/>
      </c>
      <c r="S755" s="136">
        <f>IF($F755="","",IFERROR(INDEX(사건마스터!$AP$5:$AP$64,MATCH($F755,사건마스터!$A$5:$A$64,0)),""))</f>
        <v/>
      </c>
      <c r="T755" s="136">
        <f>IF($F755="","",IFERROR(INDEX(사건마스터!$AQ$5:$AQ$64,MATCH($F755,사건마스터!$A$5:$A$64,0)),""))</f>
        <v/>
      </c>
      <c r="U755" s="136">
        <f>IF($F755="","",IFERROR(INDEX(사건마스터!$AR$5:$AR$64,MATCH($F755,사건마스터!$A$5:$A$64,0)),""))</f>
        <v/>
      </c>
      <c r="V755" s="136">
        <f>IF($F755="","",IFERROR(INDEX(사건마스터!$AS$5:$AS$64,MATCH($F755,사건마스터!$A$5:$A$64,0)),""))</f>
        <v/>
      </c>
      <c r="W755" s="136">
        <f>IF($F755="","",IFERROR(INDEX(사건마스터!$AT$5:$AT$64,MATCH($F755,사건마스터!$A$5:$A$64,0)),""))</f>
        <v/>
      </c>
      <c r="X755" s="136">
        <f>IF($F755="","",IFERROR(INDEX(사건마스터!$AU$5:$AU$64,MATCH($F755,사건마스터!$A$5:$A$64,0)),""))</f>
        <v/>
      </c>
      <c r="Y755" s="136">
        <f>IF($F755="","",IFERROR(INDEX(사건마스터!$AV$5:$AV$64,MATCH($F755,사건마스터!$A$5:$A$64,0)),""))</f>
        <v/>
      </c>
      <c r="Z755" s="118">
        <f>IF(COUNTBLANK($J755:$Y755)=16,"",16-COUNTBLANK($J755:$Y755))</f>
        <v/>
      </c>
      <c r="AA755" s="33">
        <f>IF($J755="",MID($AX755,3,255),$J755&amp;$AX755)</f>
        <v/>
      </c>
      <c r="AB755" s="130">
        <f>IF($J755="","",IFERROR(INDEX(코드설정!$D$5:$D$24,MATCH($J755,코드설정!$C$5:$C$24,0)),""))</f>
        <v/>
      </c>
      <c r="AC755" s="36" t="n"/>
      <c r="AD755" s="37" t="n"/>
      <c r="AE755" s="38" t="n"/>
      <c r="AF755" s="118">
        <f>IF(OR($B755="",$C755=""),"",$C755-$B755+1)</f>
        <v/>
      </c>
      <c r="AG755" s="74" t="n"/>
      <c r="AH755" s="36" t="n"/>
      <c r="AJ755">
        <f>IF($K755="","",", "&amp;$K755)</f>
        <v/>
      </c>
      <c r="AK755">
        <f>AJ755&amp;IF($L755="","",", "&amp;$L755)</f>
        <v/>
      </c>
      <c r="AL755">
        <f>AK755&amp;IF($M755="","",", "&amp;$M755)</f>
        <v/>
      </c>
      <c r="AM755">
        <f>AL755&amp;IF($N755="","",", "&amp;$N755)</f>
        <v/>
      </c>
      <c r="AN755">
        <f>AM755&amp;IF($O755="","",", "&amp;$O755)</f>
        <v/>
      </c>
      <c r="AO755">
        <f>AN755&amp;IF($P755="","",", "&amp;$P755)</f>
        <v/>
      </c>
      <c r="AP755">
        <f>AO755&amp;IF($Q755="","",", "&amp;$Q755)</f>
        <v/>
      </c>
      <c r="AQ755">
        <f>AP755&amp;IF($R755="","",", "&amp;$R755)</f>
        <v/>
      </c>
      <c r="AR755">
        <f>AQ755&amp;IF($S755="","",", "&amp;$S755)</f>
        <v/>
      </c>
      <c r="AS755">
        <f>AR755&amp;IF($T755="","",", "&amp;$T755)</f>
        <v/>
      </c>
      <c r="AT755">
        <f>AS755&amp;IF($U755="","",", "&amp;$U755)</f>
        <v/>
      </c>
      <c r="AU755">
        <f>AT755&amp;IF($V755="","",", "&amp;$V755)</f>
        <v/>
      </c>
      <c r="AV755">
        <f>AU755&amp;IF($W755="","",", "&amp;$W755)</f>
        <v/>
      </c>
      <c r="AW755">
        <f>AV755&amp;IF($X755="","",", "&amp;$X755)</f>
        <v/>
      </c>
      <c r="AX755">
        <f>AW755&amp;IF($Y755="","",", "&amp;$Y755)</f>
        <v/>
      </c>
    </row>
    <row r="756">
      <c r="A756" s="118">
        <f>IF($B756="","",COUNT($B$5:$B756))</f>
        <v/>
      </c>
      <c r="B756" s="80" t="n"/>
      <c r="C756" s="80" t="n"/>
      <c r="D756" s="74" t="n"/>
      <c r="E756" s="74" t="n"/>
      <c r="F756" s="74" t="n"/>
      <c r="G756" s="118">
        <f>IF($F756="","",COUNTIF($F$5:$F756,$F756))</f>
        <v/>
      </c>
      <c r="H756" s="33">
        <f>IF($F756="","",IFERROR(INDEX(사건마스터!$B$5:$B$64,MATCH($F756,사건마스터!$A$5:$A$64,0)),""))</f>
        <v/>
      </c>
      <c r="I756" s="130">
        <f>IF($F756="","",IFERROR(INDEX(사건마스터!$C$5:$C$64,MATCH($F756,사건마스터!$A$5:$A$64,0)),""))</f>
        <v/>
      </c>
      <c r="J756" s="136">
        <f>IF($F756="","",IFERROR(INDEX(사건마스터!$H$5:$H$64,MATCH($F756,사건마스터!$A$5:$A$64,0)),""))</f>
        <v/>
      </c>
      <c r="K756" s="136">
        <f>IF($F756="","",IFERROR(INDEX(사건마스터!$AH$5:$AH$64,MATCH($F756,사건마스터!$A$5:$A$64,0)),""))</f>
        <v/>
      </c>
      <c r="L756" s="136">
        <f>IF($F756="","",IFERROR(INDEX(사건마스터!$AI$5:$AI$64,MATCH($F756,사건마스터!$A$5:$A$64,0)),""))</f>
        <v/>
      </c>
      <c r="M756" s="136">
        <f>IF($F756="","",IFERROR(INDEX(사건마스터!$AJ$5:$AJ$64,MATCH($F756,사건마스터!$A$5:$A$64,0)),""))</f>
        <v/>
      </c>
      <c r="N756" s="136">
        <f>IF($F756="","",IFERROR(INDEX(사건마스터!$AK$5:$AK$64,MATCH($F756,사건마스터!$A$5:$A$64,0)),""))</f>
        <v/>
      </c>
      <c r="O756" s="136">
        <f>IF($F756="","",IFERROR(INDEX(사건마스터!$AL$5:$AL$64,MATCH($F756,사건마스터!$A$5:$A$64,0)),""))</f>
        <v/>
      </c>
      <c r="P756" s="136">
        <f>IF($F756="","",IFERROR(INDEX(사건마스터!$AM$5:$AM$64,MATCH($F756,사건마스터!$A$5:$A$64,0)),""))</f>
        <v/>
      </c>
      <c r="Q756" s="136">
        <f>IF($F756="","",IFERROR(INDEX(사건마스터!$AN$5:$AN$64,MATCH($F756,사건마스터!$A$5:$A$64,0)),""))</f>
        <v/>
      </c>
      <c r="R756" s="136">
        <f>IF($F756="","",IFERROR(INDEX(사건마스터!$AO$5:$AO$64,MATCH($F756,사건마스터!$A$5:$A$64,0)),""))</f>
        <v/>
      </c>
      <c r="S756" s="136">
        <f>IF($F756="","",IFERROR(INDEX(사건마스터!$AP$5:$AP$64,MATCH($F756,사건마스터!$A$5:$A$64,0)),""))</f>
        <v/>
      </c>
      <c r="T756" s="136">
        <f>IF($F756="","",IFERROR(INDEX(사건마스터!$AQ$5:$AQ$64,MATCH($F756,사건마스터!$A$5:$A$64,0)),""))</f>
        <v/>
      </c>
      <c r="U756" s="136">
        <f>IF($F756="","",IFERROR(INDEX(사건마스터!$AR$5:$AR$64,MATCH($F756,사건마스터!$A$5:$A$64,0)),""))</f>
        <v/>
      </c>
      <c r="V756" s="136">
        <f>IF($F756="","",IFERROR(INDEX(사건마스터!$AS$5:$AS$64,MATCH($F756,사건마스터!$A$5:$A$64,0)),""))</f>
        <v/>
      </c>
      <c r="W756" s="136">
        <f>IF($F756="","",IFERROR(INDEX(사건마스터!$AT$5:$AT$64,MATCH($F756,사건마스터!$A$5:$A$64,0)),""))</f>
        <v/>
      </c>
      <c r="X756" s="136">
        <f>IF($F756="","",IFERROR(INDEX(사건마스터!$AU$5:$AU$64,MATCH($F756,사건마스터!$A$5:$A$64,0)),""))</f>
        <v/>
      </c>
      <c r="Y756" s="136">
        <f>IF($F756="","",IFERROR(INDEX(사건마스터!$AV$5:$AV$64,MATCH($F756,사건마스터!$A$5:$A$64,0)),""))</f>
        <v/>
      </c>
      <c r="Z756" s="118">
        <f>IF(COUNTBLANK($J756:$Y756)=16,"",16-COUNTBLANK($J756:$Y756))</f>
        <v/>
      </c>
      <c r="AA756" s="33">
        <f>IF($J756="",MID($AX756,3,255),$J756&amp;$AX756)</f>
        <v/>
      </c>
      <c r="AB756" s="130">
        <f>IF($J756="","",IFERROR(INDEX(코드설정!$D$5:$D$24,MATCH($J756,코드설정!$C$5:$C$24,0)),""))</f>
        <v/>
      </c>
      <c r="AC756" s="36" t="n"/>
      <c r="AD756" s="37" t="n"/>
      <c r="AE756" s="38" t="n"/>
      <c r="AF756" s="118">
        <f>IF(OR($B756="",$C756=""),"",$C756-$B756+1)</f>
        <v/>
      </c>
      <c r="AG756" s="74" t="n"/>
      <c r="AH756" s="36" t="n"/>
      <c r="AJ756">
        <f>IF($K756="","",", "&amp;$K756)</f>
        <v/>
      </c>
      <c r="AK756">
        <f>AJ756&amp;IF($L756="","",", "&amp;$L756)</f>
        <v/>
      </c>
      <c r="AL756">
        <f>AK756&amp;IF($M756="","",", "&amp;$M756)</f>
        <v/>
      </c>
      <c r="AM756">
        <f>AL756&amp;IF($N756="","",", "&amp;$N756)</f>
        <v/>
      </c>
      <c r="AN756">
        <f>AM756&amp;IF($O756="","",", "&amp;$O756)</f>
        <v/>
      </c>
      <c r="AO756">
        <f>AN756&amp;IF($P756="","",", "&amp;$P756)</f>
        <v/>
      </c>
      <c r="AP756">
        <f>AO756&amp;IF($Q756="","",", "&amp;$Q756)</f>
        <v/>
      </c>
      <c r="AQ756">
        <f>AP756&amp;IF($R756="","",", "&amp;$R756)</f>
        <v/>
      </c>
      <c r="AR756">
        <f>AQ756&amp;IF($S756="","",", "&amp;$S756)</f>
        <v/>
      </c>
      <c r="AS756">
        <f>AR756&amp;IF($T756="","",", "&amp;$T756)</f>
        <v/>
      </c>
      <c r="AT756">
        <f>AS756&amp;IF($U756="","",", "&amp;$U756)</f>
        <v/>
      </c>
      <c r="AU756">
        <f>AT756&amp;IF($V756="","",", "&amp;$V756)</f>
        <v/>
      </c>
      <c r="AV756">
        <f>AU756&amp;IF($W756="","",", "&amp;$W756)</f>
        <v/>
      </c>
      <c r="AW756">
        <f>AV756&amp;IF($X756="","",", "&amp;$X756)</f>
        <v/>
      </c>
      <c r="AX756">
        <f>AW756&amp;IF($Y756="","",", "&amp;$Y756)</f>
        <v/>
      </c>
    </row>
    <row r="757">
      <c r="A757" s="118">
        <f>IF($B757="","",COUNT($B$5:$B757))</f>
        <v/>
      </c>
      <c r="B757" s="80" t="n"/>
      <c r="C757" s="80" t="n"/>
      <c r="D757" s="74" t="n"/>
      <c r="E757" s="74" t="n"/>
      <c r="F757" s="74" t="n"/>
      <c r="G757" s="118">
        <f>IF($F757="","",COUNTIF($F$5:$F757,$F757))</f>
        <v/>
      </c>
      <c r="H757" s="33">
        <f>IF($F757="","",IFERROR(INDEX(사건마스터!$B$5:$B$64,MATCH($F757,사건마스터!$A$5:$A$64,0)),""))</f>
        <v/>
      </c>
      <c r="I757" s="130">
        <f>IF($F757="","",IFERROR(INDEX(사건마스터!$C$5:$C$64,MATCH($F757,사건마스터!$A$5:$A$64,0)),""))</f>
        <v/>
      </c>
      <c r="J757" s="136">
        <f>IF($F757="","",IFERROR(INDEX(사건마스터!$H$5:$H$64,MATCH($F757,사건마스터!$A$5:$A$64,0)),""))</f>
        <v/>
      </c>
      <c r="K757" s="136">
        <f>IF($F757="","",IFERROR(INDEX(사건마스터!$AH$5:$AH$64,MATCH($F757,사건마스터!$A$5:$A$64,0)),""))</f>
        <v/>
      </c>
      <c r="L757" s="136">
        <f>IF($F757="","",IFERROR(INDEX(사건마스터!$AI$5:$AI$64,MATCH($F757,사건마스터!$A$5:$A$64,0)),""))</f>
        <v/>
      </c>
      <c r="M757" s="136">
        <f>IF($F757="","",IFERROR(INDEX(사건마스터!$AJ$5:$AJ$64,MATCH($F757,사건마스터!$A$5:$A$64,0)),""))</f>
        <v/>
      </c>
      <c r="N757" s="136">
        <f>IF($F757="","",IFERROR(INDEX(사건마스터!$AK$5:$AK$64,MATCH($F757,사건마스터!$A$5:$A$64,0)),""))</f>
        <v/>
      </c>
      <c r="O757" s="136">
        <f>IF($F757="","",IFERROR(INDEX(사건마스터!$AL$5:$AL$64,MATCH($F757,사건마스터!$A$5:$A$64,0)),""))</f>
        <v/>
      </c>
      <c r="P757" s="136">
        <f>IF($F757="","",IFERROR(INDEX(사건마스터!$AM$5:$AM$64,MATCH($F757,사건마스터!$A$5:$A$64,0)),""))</f>
        <v/>
      </c>
      <c r="Q757" s="136">
        <f>IF($F757="","",IFERROR(INDEX(사건마스터!$AN$5:$AN$64,MATCH($F757,사건마스터!$A$5:$A$64,0)),""))</f>
        <v/>
      </c>
      <c r="R757" s="136">
        <f>IF($F757="","",IFERROR(INDEX(사건마스터!$AO$5:$AO$64,MATCH($F757,사건마스터!$A$5:$A$64,0)),""))</f>
        <v/>
      </c>
      <c r="S757" s="136">
        <f>IF($F757="","",IFERROR(INDEX(사건마스터!$AP$5:$AP$64,MATCH($F757,사건마스터!$A$5:$A$64,0)),""))</f>
        <v/>
      </c>
      <c r="T757" s="136">
        <f>IF($F757="","",IFERROR(INDEX(사건마스터!$AQ$5:$AQ$64,MATCH($F757,사건마스터!$A$5:$A$64,0)),""))</f>
        <v/>
      </c>
      <c r="U757" s="136">
        <f>IF($F757="","",IFERROR(INDEX(사건마스터!$AR$5:$AR$64,MATCH($F757,사건마스터!$A$5:$A$64,0)),""))</f>
        <v/>
      </c>
      <c r="V757" s="136">
        <f>IF($F757="","",IFERROR(INDEX(사건마스터!$AS$5:$AS$64,MATCH($F757,사건마스터!$A$5:$A$64,0)),""))</f>
        <v/>
      </c>
      <c r="W757" s="136">
        <f>IF($F757="","",IFERROR(INDEX(사건마스터!$AT$5:$AT$64,MATCH($F757,사건마스터!$A$5:$A$64,0)),""))</f>
        <v/>
      </c>
      <c r="X757" s="136">
        <f>IF($F757="","",IFERROR(INDEX(사건마스터!$AU$5:$AU$64,MATCH($F757,사건마스터!$A$5:$A$64,0)),""))</f>
        <v/>
      </c>
      <c r="Y757" s="136">
        <f>IF($F757="","",IFERROR(INDEX(사건마스터!$AV$5:$AV$64,MATCH($F757,사건마스터!$A$5:$A$64,0)),""))</f>
        <v/>
      </c>
      <c r="Z757" s="118">
        <f>IF(COUNTBLANK($J757:$Y757)=16,"",16-COUNTBLANK($J757:$Y757))</f>
        <v/>
      </c>
      <c r="AA757" s="33">
        <f>IF($J757="",MID($AX757,3,255),$J757&amp;$AX757)</f>
        <v/>
      </c>
      <c r="AB757" s="130">
        <f>IF($J757="","",IFERROR(INDEX(코드설정!$D$5:$D$24,MATCH($J757,코드설정!$C$5:$C$24,0)),""))</f>
        <v/>
      </c>
      <c r="AC757" s="36" t="n"/>
      <c r="AD757" s="37" t="n"/>
      <c r="AE757" s="38" t="n"/>
      <c r="AF757" s="118">
        <f>IF(OR($B757="",$C757=""),"",$C757-$B757+1)</f>
        <v/>
      </c>
      <c r="AG757" s="74" t="n"/>
      <c r="AH757" s="36" t="n"/>
      <c r="AJ757">
        <f>IF($K757="","",", "&amp;$K757)</f>
        <v/>
      </c>
      <c r="AK757">
        <f>AJ757&amp;IF($L757="","",", "&amp;$L757)</f>
        <v/>
      </c>
      <c r="AL757">
        <f>AK757&amp;IF($M757="","",", "&amp;$M757)</f>
        <v/>
      </c>
      <c r="AM757">
        <f>AL757&amp;IF($N757="","",", "&amp;$N757)</f>
        <v/>
      </c>
      <c r="AN757">
        <f>AM757&amp;IF($O757="","",", "&amp;$O757)</f>
        <v/>
      </c>
      <c r="AO757">
        <f>AN757&amp;IF($P757="","",", "&amp;$P757)</f>
        <v/>
      </c>
      <c r="AP757">
        <f>AO757&amp;IF($Q757="","",", "&amp;$Q757)</f>
        <v/>
      </c>
      <c r="AQ757">
        <f>AP757&amp;IF($R757="","",", "&amp;$R757)</f>
        <v/>
      </c>
      <c r="AR757">
        <f>AQ757&amp;IF($S757="","",", "&amp;$S757)</f>
        <v/>
      </c>
      <c r="AS757">
        <f>AR757&amp;IF($T757="","",", "&amp;$T757)</f>
        <v/>
      </c>
      <c r="AT757">
        <f>AS757&amp;IF($U757="","",", "&amp;$U757)</f>
        <v/>
      </c>
      <c r="AU757">
        <f>AT757&amp;IF($V757="","",", "&amp;$V757)</f>
        <v/>
      </c>
      <c r="AV757">
        <f>AU757&amp;IF($W757="","",", "&amp;$W757)</f>
        <v/>
      </c>
      <c r="AW757">
        <f>AV757&amp;IF($X757="","",", "&amp;$X757)</f>
        <v/>
      </c>
      <c r="AX757">
        <f>AW757&amp;IF($Y757="","",", "&amp;$Y757)</f>
        <v/>
      </c>
    </row>
    <row r="758">
      <c r="A758" s="118">
        <f>IF($B758="","",COUNT($B$5:$B758))</f>
        <v/>
      </c>
      <c r="B758" s="80" t="n"/>
      <c r="C758" s="80" t="n"/>
      <c r="D758" s="74" t="n"/>
      <c r="E758" s="74" t="n"/>
      <c r="F758" s="74" t="n"/>
      <c r="G758" s="118">
        <f>IF($F758="","",COUNTIF($F$5:$F758,$F758))</f>
        <v/>
      </c>
      <c r="H758" s="33">
        <f>IF($F758="","",IFERROR(INDEX(사건마스터!$B$5:$B$64,MATCH($F758,사건마스터!$A$5:$A$64,0)),""))</f>
        <v/>
      </c>
      <c r="I758" s="130">
        <f>IF($F758="","",IFERROR(INDEX(사건마스터!$C$5:$C$64,MATCH($F758,사건마스터!$A$5:$A$64,0)),""))</f>
        <v/>
      </c>
      <c r="J758" s="136">
        <f>IF($F758="","",IFERROR(INDEX(사건마스터!$H$5:$H$64,MATCH($F758,사건마스터!$A$5:$A$64,0)),""))</f>
        <v/>
      </c>
      <c r="K758" s="136">
        <f>IF($F758="","",IFERROR(INDEX(사건마스터!$AH$5:$AH$64,MATCH($F758,사건마스터!$A$5:$A$64,0)),""))</f>
        <v/>
      </c>
      <c r="L758" s="136">
        <f>IF($F758="","",IFERROR(INDEX(사건마스터!$AI$5:$AI$64,MATCH($F758,사건마스터!$A$5:$A$64,0)),""))</f>
        <v/>
      </c>
      <c r="M758" s="136">
        <f>IF($F758="","",IFERROR(INDEX(사건마스터!$AJ$5:$AJ$64,MATCH($F758,사건마스터!$A$5:$A$64,0)),""))</f>
        <v/>
      </c>
      <c r="N758" s="136">
        <f>IF($F758="","",IFERROR(INDEX(사건마스터!$AK$5:$AK$64,MATCH($F758,사건마스터!$A$5:$A$64,0)),""))</f>
        <v/>
      </c>
      <c r="O758" s="136">
        <f>IF($F758="","",IFERROR(INDEX(사건마스터!$AL$5:$AL$64,MATCH($F758,사건마스터!$A$5:$A$64,0)),""))</f>
        <v/>
      </c>
      <c r="P758" s="136">
        <f>IF($F758="","",IFERROR(INDEX(사건마스터!$AM$5:$AM$64,MATCH($F758,사건마스터!$A$5:$A$64,0)),""))</f>
        <v/>
      </c>
      <c r="Q758" s="136">
        <f>IF($F758="","",IFERROR(INDEX(사건마스터!$AN$5:$AN$64,MATCH($F758,사건마스터!$A$5:$A$64,0)),""))</f>
        <v/>
      </c>
      <c r="R758" s="136">
        <f>IF($F758="","",IFERROR(INDEX(사건마스터!$AO$5:$AO$64,MATCH($F758,사건마스터!$A$5:$A$64,0)),""))</f>
        <v/>
      </c>
      <c r="S758" s="136">
        <f>IF($F758="","",IFERROR(INDEX(사건마스터!$AP$5:$AP$64,MATCH($F758,사건마스터!$A$5:$A$64,0)),""))</f>
        <v/>
      </c>
      <c r="T758" s="136">
        <f>IF($F758="","",IFERROR(INDEX(사건마스터!$AQ$5:$AQ$64,MATCH($F758,사건마스터!$A$5:$A$64,0)),""))</f>
        <v/>
      </c>
      <c r="U758" s="136">
        <f>IF($F758="","",IFERROR(INDEX(사건마스터!$AR$5:$AR$64,MATCH($F758,사건마스터!$A$5:$A$64,0)),""))</f>
        <v/>
      </c>
      <c r="V758" s="136">
        <f>IF($F758="","",IFERROR(INDEX(사건마스터!$AS$5:$AS$64,MATCH($F758,사건마스터!$A$5:$A$64,0)),""))</f>
        <v/>
      </c>
      <c r="W758" s="136">
        <f>IF($F758="","",IFERROR(INDEX(사건마스터!$AT$5:$AT$64,MATCH($F758,사건마스터!$A$5:$A$64,0)),""))</f>
        <v/>
      </c>
      <c r="X758" s="136">
        <f>IF($F758="","",IFERROR(INDEX(사건마스터!$AU$5:$AU$64,MATCH($F758,사건마스터!$A$5:$A$64,0)),""))</f>
        <v/>
      </c>
      <c r="Y758" s="136">
        <f>IF($F758="","",IFERROR(INDEX(사건마스터!$AV$5:$AV$64,MATCH($F758,사건마스터!$A$5:$A$64,0)),""))</f>
        <v/>
      </c>
      <c r="Z758" s="118">
        <f>IF(COUNTBLANK($J758:$Y758)=16,"",16-COUNTBLANK($J758:$Y758))</f>
        <v/>
      </c>
      <c r="AA758" s="33">
        <f>IF($J758="",MID($AX758,3,255),$J758&amp;$AX758)</f>
        <v/>
      </c>
      <c r="AB758" s="130">
        <f>IF($J758="","",IFERROR(INDEX(코드설정!$D$5:$D$24,MATCH($J758,코드설정!$C$5:$C$24,0)),""))</f>
        <v/>
      </c>
      <c r="AC758" s="36" t="n"/>
      <c r="AD758" s="37" t="n"/>
      <c r="AE758" s="38" t="n"/>
      <c r="AF758" s="118">
        <f>IF(OR($B758="",$C758=""),"",$C758-$B758+1)</f>
        <v/>
      </c>
      <c r="AG758" s="74" t="n"/>
      <c r="AH758" s="36" t="n"/>
      <c r="AJ758">
        <f>IF($K758="","",", "&amp;$K758)</f>
        <v/>
      </c>
      <c r="AK758">
        <f>AJ758&amp;IF($L758="","",", "&amp;$L758)</f>
        <v/>
      </c>
      <c r="AL758">
        <f>AK758&amp;IF($M758="","",", "&amp;$M758)</f>
        <v/>
      </c>
      <c r="AM758">
        <f>AL758&amp;IF($N758="","",", "&amp;$N758)</f>
        <v/>
      </c>
      <c r="AN758">
        <f>AM758&amp;IF($O758="","",", "&amp;$O758)</f>
        <v/>
      </c>
      <c r="AO758">
        <f>AN758&amp;IF($P758="","",", "&amp;$P758)</f>
        <v/>
      </c>
      <c r="AP758">
        <f>AO758&amp;IF($Q758="","",", "&amp;$Q758)</f>
        <v/>
      </c>
      <c r="AQ758">
        <f>AP758&amp;IF($R758="","",", "&amp;$R758)</f>
        <v/>
      </c>
      <c r="AR758">
        <f>AQ758&amp;IF($S758="","",", "&amp;$S758)</f>
        <v/>
      </c>
      <c r="AS758">
        <f>AR758&amp;IF($T758="","",", "&amp;$T758)</f>
        <v/>
      </c>
      <c r="AT758">
        <f>AS758&amp;IF($U758="","",", "&amp;$U758)</f>
        <v/>
      </c>
      <c r="AU758">
        <f>AT758&amp;IF($V758="","",", "&amp;$V758)</f>
        <v/>
      </c>
      <c r="AV758">
        <f>AU758&amp;IF($W758="","",", "&amp;$W758)</f>
        <v/>
      </c>
      <c r="AW758">
        <f>AV758&amp;IF($X758="","",", "&amp;$X758)</f>
        <v/>
      </c>
      <c r="AX758">
        <f>AW758&amp;IF($Y758="","",", "&amp;$Y758)</f>
        <v/>
      </c>
    </row>
    <row r="759">
      <c r="A759" s="118">
        <f>IF($B759="","",COUNT($B$5:$B759))</f>
        <v/>
      </c>
      <c r="B759" s="80" t="n"/>
      <c r="C759" s="80" t="n"/>
      <c r="D759" s="74" t="n"/>
      <c r="E759" s="74" t="n"/>
      <c r="F759" s="74" t="n"/>
      <c r="G759" s="118">
        <f>IF($F759="","",COUNTIF($F$5:$F759,$F759))</f>
        <v/>
      </c>
      <c r="H759" s="33">
        <f>IF($F759="","",IFERROR(INDEX(사건마스터!$B$5:$B$64,MATCH($F759,사건마스터!$A$5:$A$64,0)),""))</f>
        <v/>
      </c>
      <c r="I759" s="130">
        <f>IF($F759="","",IFERROR(INDEX(사건마스터!$C$5:$C$64,MATCH($F759,사건마스터!$A$5:$A$64,0)),""))</f>
        <v/>
      </c>
      <c r="J759" s="136">
        <f>IF($F759="","",IFERROR(INDEX(사건마스터!$H$5:$H$64,MATCH($F759,사건마스터!$A$5:$A$64,0)),""))</f>
        <v/>
      </c>
      <c r="K759" s="136">
        <f>IF($F759="","",IFERROR(INDEX(사건마스터!$AH$5:$AH$64,MATCH($F759,사건마스터!$A$5:$A$64,0)),""))</f>
        <v/>
      </c>
      <c r="L759" s="136">
        <f>IF($F759="","",IFERROR(INDEX(사건마스터!$AI$5:$AI$64,MATCH($F759,사건마스터!$A$5:$A$64,0)),""))</f>
        <v/>
      </c>
      <c r="M759" s="136">
        <f>IF($F759="","",IFERROR(INDEX(사건마스터!$AJ$5:$AJ$64,MATCH($F759,사건마스터!$A$5:$A$64,0)),""))</f>
        <v/>
      </c>
      <c r="N759" s="136">
        <f>IF($F759="","",IFERROR(INDEX(사건마스터!$AK$5:$AK$64,MATCH($F759,사건마스터!$A$5:$A$64,0)),""))</f>
        <v/>
      </c>
      <c r="O759" s="136">
        <f>IF($F759="","",IFERROR(INDEX(사건마스터!$AL$5:$AL$64,MATCH($F759,사건마스터!$A$5:$A$64,0)),""))</f>
        <v/>
      </c>
      <c r="P759" s="136">
        <f>IF($F759="","",IFERROR(INDEX(사건마스터!$AM$5:$AM$64,MATCH($F759,사건마스터!$A$5:$A$64,0)),""))</f>
        <v/>
      </c>
      <c r="Q759" s="136">
        <f>IF($F759="","",IFERROR(INDEX(사건마스터!$AN$5:$AN$64,MATCH($F759,사건마스터!$A$5:$A$64,0)),""))</f>
        <v/>
      </c>
      <c r="R759" s="136">
        <f>IF($F759="","",IFERROR(INDEX(사건마스터!$AO$5:$AO$64,MATCH($F759,사건마스터!$A$5:$A$64,0)),""))</f>
        <v/>
      </c>
      <c r="S759" s="136">
        <f>IF($F759="","",IFERROR(INDEX(사건마스터!$AP$5:$AP$64,MATCH($F759,사건마스터!$A$5:$A$64,0)),""))</f>
        <v/>
      </c>
      <c r="T759" s="136">
        <f>IF($F759="","",IFERROR(INDEX(사건마스터!$AQ$5:$AQ$64,MATCH($F759,사건마스터!$A$5:$A$64,0)),""))</f>
        <v/>
      </c>
      <c r="U759" s="136">
        <f>IF($F759="","",IFERROR(INDEX(사건마스터!$AR$5:$AR$64,MATCH($F759,사건마스터!$A$5:$A$64,0)),""))</f>
        <v/>
      </c>
      <c r="V759" s="136">
        <f>IF($F759="","",IFERROR(INDEX(사건마스터!$AS$5:$AS$64,MATCH($F759,사건마스터!$A$5:$A$64,0)),""))</f>
        <v/>
      </c>
      <c r="W759" s="136">
        <f>IF($F759="","",IFERROR(INDEX(사건마스터!$AT$5:$AT$64,MATCH($F759,사건마스터!$A$5:$A$64,0)),""))</f>
        <v/>
      </c>
      <c r="X759" s="136">
        <f>IF($F759="","",IFERROR(INDEX(사건마스터!$AU$5:$AU$64,MATCH($F759,사건마스터!$A$5:$A$64,0)),""))</f>
        <v/>
      </c>
      <c r="Y759" s="136">
        <f>IF($F759="","",IFERROR(INDEX(사건마스터!$AV$5:$AV$64,MATCH($F759,사건마스터!$A$5:$A$64,0)),""))</f>
        <v/>
      </c>
      <c r="Z759" s="118">
        <f>IF(COUNTBLANK($J759:$Y759)=16,"",16-COUNTBLANK($J759:$Y759))</f>
        <v/>
      </c>
      <c r="AA759" s="33">
        <f>IF($J759="",MID($AX759,3,255),$J759&amp;$AX759)</f>
        <v/>
      </c>
      <c r="AB759" s="130">
        <f>IF($J759="","",IFERROR(INDEX(코드설정!$D$5:$D$24,MATCH($J759,코드설정!$C$5:$C$24,0)),""))</f>
        <v/>
      </c>
      <c r="AC759" s="36" t="n"/>
      <c r="AD759" s="37" t="n"/>
      <c r="AE759" s="38" t="n"/>
      <c r="AF759" s="118">
        <f>IF(OR($B759="",$C759=""),"",$C759-$B759+1)</f>
        <v/>
      </c>
      <c r="AG759" s="74" t="n"/>
      <c r="AH759" s="36" t="n"/>
      <c r="AJ759">
        <f>IF($K759="","",", "&amp;$K759)</f>
        <v/>
      </c>
      <c r="AK759">
        <f>AJ759&amp;IF($L759="","",", "&amp;$L759)</f>
        <v/>
      </c>
      <c r="AL759">
        <f>AK759&amp;IF($M759="","",", "&amp;$M759)</f>
        <v/>
      </c>
      <c r="AM759">
        <f>AL759&amp;IF($N759="","",", "&amp;$N759)</f>
        <v/>
      </c>
      <c r="AN759">
        <f>AM759&amp;IF($O759="","",", "&amp;$O759)</f>
        <v/>
      </c>
      <c r="AO759">
        <f>AN759&amp;IF($P759="","",", "&amp;$P759)</f>
        <v/>
      </c>
      <c r="AP759">
        <f>AO759&amp;IF($Q759="","",", "&amp;$Q759)</f>
        <v/>
      </c>
      <c r="AQ759">
        <f>AP759&amp;IF($R759="","",", "&amp;$R759)</f>
        <v/>
      </c>
      <c r="AR759">
        <f>AQ759&amp;IF($S759="","",", "&amp;$S759)</f>
        <v/>
      </c>
      <c r="AS759">
        <f>AR759&amp;IF($T759="","",", "&amp;$T759)</f>
        <v/>
      </c>
      <c r="AT759">
        <f>AS759&amp;IF($U759="","",", "&amp;$U759)</f>
        <v/>
      </c>
      <c r="AU759">
        <f>AT759&amp;IF($V759="","",", "&amp;$V759)</f>
        <v/>
      </c>
      <c r="AV759">
        <f>AU759&amp;IF($W759="","",", "&amp;$W759)</f>
        <v/>
      </c>
      <c r="AW759">
        <f>AV759&amp;IF($X759="","",", "&amp;$X759)</f>
        <v/>
      </c>
      <c r="AX759">
        <f>AW759&amp;IF($Y759="","",", "&amp;$Y759)</f>
        <v/>
      </c>
    </row>
    <row r="760">
      <c r="A760" s="118">
        <f>IF($B760="","",COUNT($B$5:$B760))</f>
        <v/>
      </c>
      <c r="B760" s="80" t="n"/>
      <c r="C760" s="80" t="n"/>
      <c r="D760" s="74" t="n"/>
      <c r="E760" s="74" t="n"/>
      <c r="F760" s="74" t="n"/>
      <c r="G760" s="118">
        <f>IF($F760="","",COUNTIF($F$5:$F760,$F760))</f>
        <v/>
      </c>
      <c r="H760" s="33">
        <f>IF($F760="","",IFERROR(INDEX(사건마스터!$B$5:$B$64,MATCH($F760,사건마스터!$A$5:$A$64,0)),""))</f>
        <v/>
      </c>
      <c r="I760" s="130">
        <f>IF($F760="","",IFERROR(INDEX(사건마스터!$C$5:$C$64,MATCH($F760,사건마스터!$A$5:$A$64,0)),""))</f>
        <v/>
      </c>
      <c r="J760" s="136">
        <f>IF($F760="","",IFERROR(INDEX(사건마스터!$H$5:$H$64,MATCH($F760,사건마스터!$A$5:$A$64,0)),""))</f>
        <v/>
      </c>
      <c r="K760" s="136">
        <f>IF($F760="","",IFERROR(INDEX(사건마스터!$AH$5:$AH$64,MATCH($F760,사건마스터!$A$5:$A$64,0)),""))</f>
        <v/>
      </c>
      <c r="L760" s="136">
        <f>IF($F760="","",IFERROR(INDEX(사건마스터!$AI$5:$AI$64,MATCH($F760,사건마스터!$A$5:$A$64,0)),""))</f>
        <v/>
      </c>
      <c r="M760" s="136">
        <f>IF($F760="","",IFERROR(INDEX(사건마스터!$AJ$5:$AJ$64,MATCH($F760,사건마스터!$A$5:$A$64,0)),""))</f>
        <v/>
      </c>
      <c r="N760" s="136">
        <f>IF($F760="","",IFERROR(INDEX(사건마스터!$AK$5:$AK$64,MATCH($F760,사건마스터!$A$5:$A$64,0)),""))</f>
        <v/>
      </c>
      <c r="O760" s="136">
        <f>IF($F760="","",IFERROR(INDEX(사건마스터!$AL$5:$AL$64,MATCH($F760,사건마스터!$A$5:$A$64,0)),""))</f>
        <v/>
      </c>
      <c r="P760" s="136">
        <f>IF($F760="","",IFERROR(INDEX(사건마스터!$AM$5:$AM$64,MATCH($F760,사건마스터!$A$5:$A$64,0)),""))</f>
        <v/>
      </c>
      <c r="Q760" s="136">
        <f>IF($F760="","",IFERROR(INDEX(사건마스터!$AN$5:$AN$64,MATCH($F760,사건마스터!$A$5:$A$64,0)),""))</f>
        <v/>
      </c>
      <c r="R760" s="136">
        <f>IF($F760="","",IFERROR(INDEX(사건마스터!$AO$5:$AO$64,MATCH($F760,사건마스터!$A$5:$A$64,0)),""))</f>
        <v/>
      </c>
      <c r="S760" s="136">
        <f>IF($F760="","",IFERROR(INDEX(사건마스터!$AP$5:$AP$64,MATCH($F760,사건마스터!$A$5:$A$64,0)),""))</f>
        <v/>
      </c>
      <c r="T760" s="136">
        <f>IF($F760="","",IFERROR(INDEX(사건마스터!$AQ$5:$AQ$64,MATCH($F760,사건마스터!$A$5:$A$64,0)),""))</f>
        <v/>
      </c>
      <c r="U760" s="136">
        <f>IF($F760="","",IFERROR(INDEX(사건마스터!$AR$5:$AR$64,MATCH($F760,사건마스터!$A$5:$A$64,0)),""))</f>
        <v/>
      </c>
      <c r="V760" s="136">
        <f>IF($F760="","",IFERROR(INDEX(사건마스터!$AS$5:$AS$64,MATCH($F760,사건마스터!$A$5:$A$64,0)),""))</f>
        <v/>
      </c>
      <c r="W760" s="136">
        <f>IF($F760="","",IFERROR(INDEX(사건마스터!$AT$5:$AT$64,MATCH($F760,사건마스터!$A$5:$A$64,0)),""))</f>
        <v/>
      </c>
      <c r="X760" s="136">
        <f>IF($F760="","",IFERROR(INDEX(사건마스터!$AU$5:$AU$64,MATCH($F760,사건마스터!$A$5:$A$64,0)),""))</f>
        <v/>
      </c>
      <c r="Y760" s="136">
        <f>IF($F760="","",IFERROR(INDEX(사건마스터!$AV$5:$AV$64,MATCH($F760,사건마스터!$A$5:$A$64,0)),""))</f>
        <v/>
      </c>
      <c r="Z760" s="118">
        <f>IF(COUNTBLANK($J760:$Y760)=16,"",16-COUNTBLANK($J760:$Y760))</f>
        <v/>
      </c>
      <c r="AA760" s="33">
        <f>IF($J760="",MID($AX760,3,255),$J760&amp;$AX760)</f>
        <v/>
      </c>
      <c r="AB760" s="130">
        <f>IF($J760="","",IFERROR(INDEX(코드설정!$D$5:$D$24,MATCH($J760,코드설정!$C$5:$C$24,0)),""))</f>
        <v/>
      </c>
      <c r="AC760" s="36" t="n"/>
      <c r="AD760" s="37" t="n"/>
      <c r="AE760" s="38" t="n"/>
      <c r="AF760" s="118">
        <f>IF(OR($B760="",$C760=""),"",$C760-$B760+1)</f>
        <v/>
      </c>
      <c r="AG760" s="74" t="n"/>
      <c r="AH760" s="36" t="n"/>
      <c r="AJ760">
        <f>IF($K760="","",", "&amp;$K760)</f>
        <v/>
      </c>
      <c r="AK760">
        <f>AJ760&amp;IF($L760="","",", "&amp;$L760)</f>
        <v/>
      </c>
      <c r="AL760">
        <f>AK760&amp;IF($M760="","",", "&amp;$M760)</f>
        <v/>
      </c>
      <c r="AM760">
        <f>AL760&amp;IF($N760="","",", "&amp;$N760)</f>
        <v/>
      </c>
      <c r="AN760">
        <f>AM760&amp;IF($O760="","",", "&amp;$O760)</f>
        <v/>
      </c>
      <c r="AO760">
        <f>AN760&amp;IF($P760="","",", "&amp;$P760)</f>
        <v/>
      </c>
      <c r="AP760">
        <f>AO760&amp;IF($Q760="","",", "&amp;$Q760)</f>
        <v/>
      </c>
      <c r="AQ760">
        <f>AP760&amp;IF($R760="","",", "&amp;$R760)</f>
        <v/>
      </c>
      <c r="AR760">
        <f>AQ760&amp;IF($S760="","",", "&amp;$S760)</f>
        <v/>
      </c>
      <c r="AS760">
        <f>AR760&amp;IF($T760="","",", "&amp;$T760)</f>
        <v/>
      </c>
      <c r="AT760">
        <f>AS760&amp;IF($U760="","",", "&amp;$U760)</f>
        <v/>
      </c>
      <c r="AU760">
        <f>AT760&amp;IF($V760="","",", "&amp;$V760)</f>
        <v/>
      </c>
      <c r="AV760">
        <f>AU760&amp;IF($W760="","",", "&amp;$W760)</f>
        <v/>
      </c>
      <c r="AW760">
        <f>AV760&amp;IF($X760="","",", "&amp;$X760)</f>
        <v/>
      </c>
      <c r="AX760">
        <f>AW760&amp;IF($Y760="","",", "&amp;$Y760)</f>
        <v/>
      </c>
    </row>
    <row r="761">
      <c r="A761" s="118">
        <f>IF($B761="","",COUNT($B$5:$B761))</f>
        <v/>
      </c>
      <c r="B761" s="80" t="n"/>
      <c r="C761" s="80" t="n"/>
      <c r="D761" s="74" t="n"/>
      <c r="E761" s="74" t="n"/>
      <c r="F761" s="74" t="n"/>
      <c r="G761" s="118">
        <f>IF($F761="","",COUNTIF($F$5:$F761,$F761))</f>
        <v/>
      </c>
      <c r="H761" s="33">
        <f>IF($F761="","",IFERROR(INDEX(사건마스터!$B$5:$B$64,MATCH($F761,사건마스터!$A$5:$A$64,0)),""))</f>
        <v/>
      </c>
      <c r="I761" s="130">
        <f>IF($F761="","",IFERROR(INDEX(사건마스터!$C$5:$C$64,MATCH($F761,사건마스터!$A$5:$A$64,0)),""))</f>
        <v/>
      </c>
      <c r="J761" s="136">
        <f>IF($F761="","",IFERROR(INDEX(사건마스터!$H$5:$H$64,MATCH($F761,사건마스터!$A$5:$A$64,0)),""))</f>
        <v/>
      </c>
      <c r="K761" s="136">
        <f>IF($F761="","",IFERROR(INDEX(사건마스터!$AH$5:$AH$64,MATCH($F761,사건마스터!$A$5:$A$64,0)),""))</f>
        <v/>
      </c>
      <c r="L761" s="136">
        <f>IF($F761="","",IFERROR(INDEX(사건마스터!$AI$5:$AI$64,MATCH($F761,사건마스터!$A$5:$A$64,0)),""))</f>
        <v/>
      </c>
      <c r="M761" s="136">
        <f>IF($F761="","",IFERROR(INDEX(사건마스터!$AJ$5:$AJ$64,MATCH($F761,사건마스터!$A$5:$A$64,0)),""))</f>
        <v/>
      </c>
      <c r="N761" s="136">
        <f>IF($F761="","",IFERROR(INDEX(사건마스터!$AK$5:$AK$64,MATCH($F761,사건마스터!$A$5:$A$64,0)),""))</f>
        <v/>
      </c>
      <c r="O761" s="136">
        <f>IF($F761="","",IFERROR(INDEX(사건마스터!$AL$5:$AL$64,MATCH($F761,사건마스터!$A$5:$A$64,0)),""))</f>
        <v/>
      </c>
      <c r="P761" s="136">
        <f>IF($F761="","",IFERROR(INDEX(사건마스터!$AM$5:$AM$64,MATCH($F761,사건마스터!$A$5:$A$64,0)),""))</f>
        <v/>
      </c>
      <c r="Q761" s="136">
        <f>IF($F761="","",IFERROR(INDEX(사건마스터!$AN$5:$AN$64,MATCH($F761,사건마스터!$A$5:$A$64,0)),""))</f>
        <v/>
      </c>
      <c r="R761" s="136">
        <f>IF($F761="","",IFERROR(INDEX(사건마스터!$AO$5:$AO$64,MATCH($F761,사건마스터!$A$5:$A$64,0)),""))</f>
        <v/>
      </c>
      <c r="S761" s="136">
        <f>IF($F761="","",IFERROR(INDEX(사건마스터!$AP$5:$AP$64,MATCH($F761,사건마스터!$A$5:$A$64,0)),""))</f>
        <v/>
      </c>
      <c r="T761" s="136">
        <f>IF($F761="","",IFERROR(INDEX(사건마스터!$AQ$5:$AQ$64,MATCH($F761,사건마스터!$A$5:$A$64,0)),""))</f>
        <v/>
      </c>
      <c r="U761" s="136">
        <f>IF($F761="","",IFERROR(INDEX(사건마스터!$AR$5:$AR$64,MATCH($F761,사건마스터!$A$5:$A$64,0)),""))</f>
        <v/>
      </c>
      <c r="V761" s="136">
        <f>IF($F761="","",IFERROR(INDEX(사건마스터!$AS$5:$AS$64,MATCH($F761,사건마스터!$A$5:$A$64,0)),""))</f>
        <v/>
      </c>
      <c r="W761" s="136">
        <f>IF($F761="","",IFERROR(INDEX(사건마스터!$AT$5:$AT$64,MATCH($F761,사건마스터!$A$5:$A$64,0)),""))</f>
        <v/>
      </c>
      <c r="X761" s="136">
        <f>IF($F761="","",IFERROR(INDEX(사건마스터!$AU$5:$AU$64,MATCH($F761,사건마스터!$A$5:$A$64,0)),""))</f>
        <v/>
      </c>
      <c r="Y761" s="136">
        <f>IF($F761="","",IFERROR(INDEX(사건마스터!$AV$5:$AV$64,MATCH($F761,사건마스터!$A$5:$A$64,0)),""))</f>
        <v/>
      </c>
      <c r="Z761" s="118">
        <f>IF(COUNTBLANK($J761:$Y761)=16,"",16-COUNTBLANK($J761:$Y761))</f>
        <v/>
      </c>
      <c r="AA761" s="33">
        <f>IF($J761="",MID($AX761,3,255),$J761&amp;$AX761)</f>
        <v/>
      </c>
      <c r="AB761" s="130">
        <f>IF($J761="","",IFERROR(INDEX(코드설정!$D$5:$D$24,MATCH($J761,코드설정!$C$5:$C$24,0)),""))</f>
        <v/>
      </c>
      <c r="AC761" s="36" t="n"/>
      <c r="AD761" s="37" t="n"/>
      <c r="AE761" s="38" t="n"/>
      <c r="AF761" s="118">
        <f>IF(OR($B761="",$C761=""),"",$C761-$B761+1)</f>
        <v/>
      </c>
      <c r="AG761" s="74" t="n"/>
      <c r="AH761" s="36" t="n"/>
      <c r="AJ761">
        <f>IF($K761="","",", "&amp;$K761)</f>
        <v/>
      </c>
      <c r="AK761">
        <f>AJ761&amp;IF($L761="","",", "&amp;$L761)</f>
        <v/>
      </c>
      <c r="AL761">
        <f>AK761&amp;IF($M761="","",", "&amp;$M761)</f>
        <v/>
      </c>
      <c r="AM761">
        <f>AL761&amp;IF($N761="","",", "&amp;$N761)</f>
        <v/>
      </c>
      <c r="AN761">
        <f>AM761&amp;IF($O761="","",", "&amp;$O761)</f>
        <v/>
      </c>
      <c r="AO761">
        <f>AN761&amp;IF($P761="","",", "&amp;$P761)</f>
        <v/>
      </c>
      <c r="AP761">
        <f>AO761&amp;IF($Q761="","",", "&amp;$Q761)</f>
        <v/>
      </c>
      <c r="AQ761">
        <f>AP761&amp;IF($R761="","",", "&amp;$R761)</f>
        <v/>
      </c>
      <c r="AR761">
        <f>AQ761&amp;IF($S761="","",", "&amp;$S761)</f>
        <v/>
      </c>
      <c r="AS761">
        <f>AR761&amp;IF($T761="","",", "&amp;$T761)</f>
        <v/>
      </c>
      <c r="AT761">
        <f>AS761&amp;IF($U761="","",", "&amp;$U761)</f>
        <v/>
      </c>
      <c r="AU761">
        <f>AT761&amp;IF($V761="","",", "&amp;$V761)</f>
        <v/>
      </c>
      <c r="AV761">
        <f>AU761&amp;IF($W761="","",", "&amp;$W761)</f>
        <v/>
      </c>
      <c r="AW761">
        <f>AV761&amp;IF($X761="","",", "&amp;$X761)</f>
        <v/>
      </c>
      <c r="AX761">
        <f>AW761&amp;IF($Y761="","",", "&amp;$Y761)</f>
        <v/>
      </c>
    </row>
    <row r="762">
      <c r="A762" s="118">
        <f>IF($B762="","",COUNT($B$5:$B762))</f>
        <v/>
      </c>
      <c r="B762" s="80" t="n"/>
      <c r="C762" s="80" t="n"/>
      <c r="D762" s="74" t="n"/>
      <c r="E762" s="74" t="n"/>
      <c r="F762" s="74" t="n"/>
      <c r="G762" s="118">
        <f>IF($F762="","",COUNTIF($F$5:$F762,$F762))</f>
        <v/>
      </c>
      <c r="H762" s="33">
        <f>IF($F762="","",IFERROR(INDEX(사건마스터!$B$5:$B$64,MATCH($F762,사건마스터!$A$5:$A$64,0)),""))</f>
        <v/>
      </c>
      <c r="I762" s="130">
        <f>IF($F762="","",IFERROR(INDEX(사건마스터!$C$5:$C$64,MATCH($F762,사건마스터!$A$5:$A$64,0)),""))</f>
        <v/>
      </c>
      <c r="J762" s="136">
        <f>IF($F762="","",IFERROR(INDEX(사건마스터!$H$5:$H$64,MATCH($F762,사건마스터!$A$5:$A$64,0)),""))</f>
        <v/>
      </c>
      <c r="K762" s="136">
        <f>IF($F762="","",IFERROR(INDEX(사건마스터!$AH$5:$AH$64,MATCH($F762,사건마스터!$A$5:$A$64,0)),""))</f>
        <v/>
      </c>
      <c r="L762" s="136">
        <f>IF($F762="","",IFERROR(INDEX(사건마스터!$AI$5:$AI$64,MATCH($F762,사건마스터!$A$5:$A$64,0)),""))</f>
        <v/>
      </c>
      <c r="M762" s="136">
        <f>IF($F762="","",IFERROR(INDEX(사건마스터!$AJ$5:$AJ$64,MATCH($F762,사건마스터!$A$5:$A$64,0)),""))</f>
        <v/>
      </c>
      <c r="N762" s="136">
        <f>IF($F762="","",IFERROR(INDEX(사건마스터!$AK$5:$AK$64,MATCH($F762,사건마스터!$A$5:$A$64,0)),""))</f>
        <v/>
      </c>
      <c r="O762" s="136">
        <f>IF($F762="","",IFERROR(INDEX(사건마스터!$AL$5:$AL$64,MATCH($F762,사건마스터!$A$5:$A$64,0)),""))</f>
        <v/>
      </c>
      <c r="P762" s="136">
        <f>IF($F762="","",IFERROR(INDEX(사건마스터!$AM$5:$AM$64,MATCH($F762,사건마스터!$A$5:$A$64,0)),""))</f>
        <v/>
      </c>
      <c r="Q762" s="136">
        <f>IF($F762="","",IFERROR(INDEX(사건마스터!$AN$5:$AN$64,MATCH($F762,사건마스터!$A$5:$A$64,0)),""))</f>
        <v/>
      </c>
      <c r="R762" s="136">
        <f>IF($F762="","",IFERROR(INDEX(사건마스터!$AO$5:$AO$64,MATCH($F762,사건마스터!$A$5:$A$64,0)),""))</f>
        <v/>
      </c>
      <c r="S762" s="136">
        <f>IF($F762="","",IFERROR(INDEX(사건마스터!$AP$5:$AP$64,MATCH($F762,사건마스터!$A$5:$A$64,0)),""))</f>
        <v/>
      </c>
      <c r="T762" s="136">
        <f>IF($F762="","",IFERROR(INDEX(사건마스터!$AQ$5:$AQ$64,MATCH($F762,사건마스터!$A$5:$A$64,0)),""))</f>
        <v/>
      </c>
      <c r="U762" s="136">
        <f>IF($F762="","",IFERROR(INDEX(사건마스터!$AR$5:$AR$64,MATCH($F762,사건마스터!$A$5:$A$64,0)),""))</f>
        <v/>
      </c>
      <c r="V762" s="136">
        <f>IF($F762="","",IFERROR(INDEX(사건마스터!$AS$5:$AS$64,MATCH($F762,사건마스터!$A$5:$A$64,0)),""))</f>
        <v/>
      </c>
      <c r="W762" s="136">
        <f>IF($F762="","",IFERROR(INDEX(사건마스터!$AT$5:$AT$64,MATCH($F762,사건마스터!$A$5:$A$64,0)),""))</f>
        <v/>
      </c>
      <c r="X762" s="136">
        <f>IF($F762="","",IFERROR(INDEX(사건마스터!$AU$5:$AU$64,MATCH($F762,사건마스터!$A$5:$A$64,0)),""))</f>
        <v/>
      </c>
      <c r="Y762" s="136">
        <f>IF($F762="","",IFERROR(INDEX(사건마스터!$AV$5:$AV$64,MATCH($F762,사건마스터!$A$5:$A$64,0)),""))</f>
        <v/>
      </c>
      <c r="Z762" s="118">
        <f>IF(COUNTBLANK($J762:$Y762)=16,"",16-COUNTBLANK($J762:$Y762))</f>
        <v/>
      </c>
      <c r="AA762" s="33">
        <f>IF($J762="",MID($AX762,3,255),$J762&amp;$AX762)</f>
        <v/>
      </c>
      <c r="AB762" s="130">
        <f>IF($J762="","",IFERROR(INDEX(코드설정!$D$5:$D$24,MATCH($J762,코드설정!$C$5:$C$24,0)),""))</f>
        <v/>
      </c>
      <c r="AC762" s="36" t="n"/>
      <c r="AD762" s="37" t="n"/>
      <c r="AE762" s="38" t="n"/>
      <c r="AF762" s="118">
        <f>IF(OR($B762="",$C762=""),"",$C762-$B762+1)</f>
        <v/>
      </c>
      <c r="AG762" s="74" t="n"/>
      <c r="AH762" s="36" t="n"/>
      <c r="AJ762">
        <f>IF($K762="","",", "&amp;$K762)</f>
        <v/>
      </c>
      <c r="AK762">
        <f>AJ762&amp;IF($L762="","",", "&amp;$L762)</f>
        <v/>
      </c>
      <c r="AL762">
        <f>AK762&amp;IF($M762="","",", "&amp;$M762)</f>
        <v/>
      </c>
      <c r="AM762">
        <f>AL762&amp;IF($N762="","",", "&amp;$N762)</f>
        <v/>
      </c>
      <c r="AN762">
        <f>AM762&amp;IF($O762="","",", "&amp;$O762)</f>
        <v/>
      </c>
      <c r="AO762">
        <f>AN762&amp;IF($P762="","",", "&amp;$P762)</f>
        <v/>
      </c>
      <c r="AP762">
        <f>AO762&amp;IF($Q762="","",", "&amp;$Q762)</f>
        <v/>
      </c>
      <c r="AQ762">
        <f>AP762&amp;IF($R762="","",", "&amp;$R762)</f>
        <v/>
      </c>
      <c r="AR762">
        <f>AQ762&amp;IF($S762="","",", "&amp;$S762)</f>
        <v/>
      </c>
      <c r="AS762">
        <f>AR762&amp;IF($T762="","",", "&amp;$T762)</f>
        <v/>
      </c>
      <c r="AT762">
        <f>AS762&amp;IF($U762="","",", "&amp;$U762)</f>
        <v/>
      </c>
      <c r="AU762">
        <f>AT762&amp;IF($V762="","",", "&amp;$V762)</f>
        <v/>
      </c>
      <c r="AV762">
        <f>AU762&amp;IF($W762="","",", "&amp;$W762)</f>
        <v/>
      </c>
      <c r="AW762">
        <f>AV762&amp;IF($X762="","",", "&amp;$X762)</f>
        <v/>
      </c>
      <c r="AX762">
        <f>AW762&amp;IF($Y762="","",", "&amp;$Y762)</f>
        <v/>
      </c>
    </row>
    <row r="763">
      <c r="A763" s="118">
        <f>IF($B763="","",COUNT($B$5:$B763))</f>
        <v/>
      </c>
      <c r="B763" s="80" t="n"/>
      <c r="C763" s="80" t="n"/>
      <c r="D763" s="74" t="n"/>
      <c r="E763" s="74" t="n"/>
      <c r="F763" s="74" t="n"/>
      <c r="G763" s="118">
        <f>IF($F763="","",COUNTIF($F$5:$F763,$F763))</f>
        <v/>
      </c>
      <c r="H763" s="33">
        <f>IF($F763="","",IFERROR(INDEX(사건마스터!$B$5:$B$64,MATCH($F763,사건마스터!$A$5:$A$64,0)),""))</f>
        <v/>
      </c>
      <c r="I763" s="130">
        <f>IF($F763="","",IFERROR(INDEX(사건마스터!$C$5:$C$64,MATCH($F763,사건마스터!$A$5:$A$64,0)),""))</f>
        <v/>
      </c>
      <c r="J763" s="136">
        <f>IF($F763="","",IFERROR(INDEX(사건마스터!$H$5:$H$64,MATCH($F763,사건마스터!$A$5:$A$64,0)),""))</f>
        <v/>
      </c>
      <c r="K763" s="136">
        <f>IF($F763="","",IFERROR(INDEX(사건마스터!$AH$5:$AH$64,MATCH($F763,사건마스터!$A$5:$A$64,0)),""))</f>
        <v/>
      </c>
      <c r="L763" s="136">
        <f>IF($F763="","",IFERROR(INDEX(사건마스터!$AI$5:$AI$64,MATCH($F763,사건마스터!$A$5:$A$64,0)),""))</f>
        <v/>
      </c>
      <c r="M763" s="136">
        <f>IF($F763="","",IFERROR(INDEX(사건마스터!$AJ$5:$AJ$64,MATCH($F763,사건마스터!$A$5:$A$64,0)),""))</f>
        <v/>
      </c>
      <c r="N763" s="136">
        <f>IF($F763="","",IFERROR(INDEX(사건마스터!$AK$5:$AK$64,MATCH($F763,사건마스터!$A$5:$A$64,0)),""))</f>
        <v/>
      </c>
      <c r="O763" s="136">
        <f>IF($F763="","",IFERROR(INDEX(사건마스터!$AL$5:$AL$64,MATCH($F763,사건마스터!$A$5:$A$64,0)),""))</f>
        <v/>
      </c>
      <c r="P763" s="136">
        <f>IF($F763="","",IFERROR(INDEX(사건마스터!$AM$5:$AM$64,MATCH($F763,사건마스터!$A$5:$A$64,0)),""))</f>
        <v/>
      </c>
      <c r="Q763" s="136">
        <f>IF($F763="","",IFERROR(INDEX(사건마스터!$AN$5:$AN$64,MATCH($F763,사건마스터!$A$5:$A$64,0)),""))</f>
        <v/>
      </c>
      <c r="R763" s="136">
        <f>IF($F763="","",IFERROR(INDEX(사건마스터!$AO$5:$AO$64,MATCH($F763,사건마스터!$A$5:$A$64,0)),""))</f>
        <v/>
      </c>
      <c r="S763" s="136">
        <f>IF($F763="","",IFERROR(INDEX(사건마스터!$AP$5:$AP$64,MATCH($F763,사건마스터!$A$5:$A$64,0)),""))</f>
        <v/>
      </c>
      <c r="T763" s="136">
        <f>IF($F763="","",IFERROR(INDEX(사건마스터!$AQ$5:$AQ$64,MATCH($F763,사건마스터!$A$5:$A$64,0)),""))</f>
        <v/>
      </c>
      <c r="U763" s="136">
        <f>IF($F763="","",IFERROR(INDEX(사건마스터!$AR$5:$AR$64,MATCH($F763,사건마스터!$A$5:$A$64,0)),""))</f>
        <v/>
      </c>
      <c r="V763" s="136">
        <f>IF($F763="","",IFERROR(INDEX(사건마스터!$AS$5:$AS$64,MATCH($F763,사건마스터!$A$5:$A$64,0)),""))</f>
        <v/>
      </c>
      <c r="W763" s="136">
        <f>IF($F763="","",IFERROR(INDEX(사건마스터!$AT$5:$AT$64,MATCH($F763,사건마스터!$A$5:$A$64,0)),""))</f>
        <v/>
      </c>
      <c r="X763" s="136">
        <f>IF($F763="","",IFERROR(INDEX(사건마스터!$AU$5:$AU$64,MATCH($F763,사건마스터!$A$5:$A$64,0)),""))</f>
        <v/>
      </c>
      <c r="Y763" s="136">
        <f>IF($F763="","",IFERROR(INDEX(사건마스터!$AV$5:$AV$64,MATCH($F763,사건마스터!$A$5:$A$64,0)),""))</f>
        <v/>
      </c>
      <c r="Z763" s="118">
        <f>IF(COUNTBLANK($J763:$Y763)=16,"",16-COUNTBLANK($J763:$Y763))</f>
        <v/>
      </c>
      <c r="AA763" s="33">
        <f>IF($J763="",MID($AX763,3,255),$J763&amp;$AX763)</f>
        <v/>
      </c>
      <c r="AB763" s="130">
        <f>IF($J763="","",IFERROR(INDEX(코드설정!$D$5:$D$24,MATCH($J763,코드설정!$C$5:$C$24,0)),""))</f>
        <v/>
      </c>
      <c r="AC763" s="36" t="n"/>
      <c r="AD763" s="37" t="n"/>
      <c r="AE763" s="38" t="n"/>
      <c r="AF763" s="118">
        <f>IF(OR($B763="",$C763=""),"",$C763-$B763+1)</f>
        <v/>
      </c>
      <c r="AG763" s="74" t="n"/>
      <c r="AH763" s="36" t="n"/>
      <c r="AJ763">
        <f>IF($K763="","",", "&amp;$K763)</f>
        <v/>
      </c>
      <c r="AK763">
        <f>AJ763&amp;IF($L763="","",", "&amp;$L763)</f>
        <v/>
      </c>
      <c r="AL763">
        <f>AK763&amp;IF($M763="","",", "&amp;$M763)</f>
        <v/>
      </c>
      <c r="AM763">
        <f>AL763&amp;IF($N763="","",", "&amp;$N763)</f>
        <v/>
      </c>
      <c r="AN763">
        <f>AM763&amp;IF($O763="","",", "&amp;$O763)</f>
        <v/>
      </c>
      <c r="AO763">
        <f>AN763&amp;IF($P763="","",", "&amp;$P763)</f>
        <v/>
      </c>
      <c r="AP763">
        <f>AO763&amp;IF($Q763="","",", "&amp;$Q763)</f>
        <v/>
      </c>
      <c r="AQ763">
        <f>AP763&amp;IF($R763="","",", "&amp;$R763)</f>
        <v/>
      </c>
      <c r="AR763">
        <f>AQ763&amp;IF($S763="","",", "&amp;$S763)</f>
        <v/>
      </c>
      <c r="AS763">
        <f>AR763&amp;IF($T763="","",", "&amp;$T763)</f>
        <v/>
      </c>
      <c r="AT763">
        <f>AS763&amp;IF($U763="","",", "&amp;$U763)</f>
        <v/>
      </c>
      <c r="AU763">
        <f>AT763&amp;IF($V763="","",", "&amp;$V763)</f>
        <v/>
      </c>
      <c r="AV763">
        <f>AU763&amp;IF($W763="","",", "&amp;$W763)</f>
        <v/>
      </c>
      <c r="AW763">
        <f>AV763&amp;IF($X763="","",", "&amp;$X763)</f>
        <v/>
      </c>
      <c r="AX763">
        <f>AW763&amp;IF($Y763="","",", "&amp;$Y763)</f>
        <v/>
      </c>
    </row>
    <row r="764">
      <c r="A764" s="118">
        <f>IF($B764="","",COUNT($B$5:$B764))</f>
        <v/>
      </c>
      <c r="B764" s="80" t="n"/>
      <c r="C764" s="80" t="n"/>
      <c r="D764" s="74" t="n"/>
      <c r="E764" s="74" t="n"/>
      <c r="F764" s="74" t="n"/>
      <c r="G764" s="118">
        <f>IF($F764="","",COUNTIF($F$5:$F764,$F764))</f>
        <v/>
      </c>
      <c r="H764" s="33">
        <f>IF($F764="","",IFERROR(INDEX(사건마스터!$B$5:$B$64,MATCH($F764,사건마스터!$A$5:$A$64,0)),""))</f>
        <v/>
      </c>
      <c r="I764" s="130">
        <f>IF($F764="","",IFERROR(INDEX(사건마스터!$C$5:$C$64,MATCH($F764,사건마스터!$A$5:$A$64,0)),""))</f>
        <v/>
      </c>
      <c r="J764" s="136">
        <f>IF($F764="","",IFERROR(INDEX(사건마스터!$H$5:$H$64,MATCH($F764,사건마스터!$A$5:$A$64,0)),""))</f>
        <v/>
      </c>
      <c r="K764" s="136">
        <f>IF($F764="","",IFERROR(INDEX(사건마스터!$AH$5:$AH$64,MATCH($F764,사건마스터!$A$5:$A$64,0)),""))</f>
        <v/>
      </c>
      <c r="L764" s="136">
        <f>IF($F764="","",IFERROR(INDEX(사건마스터!$AI$5:$AI$64,MATCH($F764,사건마스터!$A$5:$A$64,0)),""))</f>
        <v/>
      </c>
      <c r="M764" s="136">
        <f>IF($F764="","",IFERROR(INDEX(사건마스터!$AJ$5:$AJ$64,MATCH($F764,사건마스터!$A$5:$A$64,0)),""))</f>
        <v/>
      </c>
      <c r="N764" s="136">
        <f>IF($F764="","",IFERROR(INDEX(사건마스터!$AK$5:$AK$64,MATCH($F764,사건마스터!$A$5:$A$64,0)),""))</f>
        <v/>
      </c>
      <c r="O764" s="136">
        <f>IF($F764="","",IFERROR(INDEX(사건마스터!$AL$5:$AL$64,MATCH($F764,사건마스터!$A$5:$A$64,0)),""))</f>
        <v/>
      </c>
      <c r="P764" s="136">
        <f>IF($F764="","",IFERROR(INDEX(사건마스터!$AM$5:$AM$64,MATCH($F764,사건마스터!$A$5:$A$64,0)),""))</f>
        <v/>
      </c>
      <c r="Q764" s="136">
        <f>IF($F764="","",IFERROR(INDEX(사건마스터!$AN$5:$AN$64,MATCH($F764,사건마스터!$A$5:$A$64,0)),""))</f>
        <v/>
      </c>
      <c r="R764" s="136">
        <f>IF($F764="","",IFERROR(INDEX(사건마스터!$AO$5:$AO$64,MATCH($F764,사건마스터!$A$5:$A$64,0)),""))</f>
        <v/>
      </c>
      <c r="S764" s="136">
        <f>IF($F764="","",IFERROR(INDEX(사건마스터!$AP$5:$AP$64,MATCH($F764,사건마스터!$A$5:$A$64,0)),""))</f>
        <v/>
      </c>
      <c r="T764" s="136">
        <f>IF($F764="","",IFERROR(INDEX(사건마스터!$AQ$5:$AQ$64,MATCH($F764,사건마스터!$A$5:$A$64,0)),""))</f>
        <v/>
      </c>
      <c r="U764" s="136">
        <f>IF($F764="","",IFERROR(INDEX(사건마스터!$AR$5:$AR$64,MATCH($F764,사건마스터!$A$5:$A$64,0)),""))</f>
        <v/>
      </c>
      <c r="V764" s="136">
        <f>IF($F764="","",IFERROR(INDEX(사건마스터!$AS$5:$AS$64,MATCH($F764,사건마스터!$A$5:$A$64,0)),""))</f>
        <v/>
      </c>
      <c r="W764" s="136">
        <f>IF($F764="","",IFERROR(INDEX(사건마스터!$AT$5:$AT$64,MATCH($F764,사건마스터!$A$5:$A$64,0)),""))</f>
        <v/>
      </c>
      <c r="X764" s="136">
        <f>IF($F764="","",IFERROR(INDEX(사건마스터!$AU$5:$AU$64,MATCH($F764,사건마스터!$A$5:$A$64,0)),""))</f>
        <v/>
      </c>
      <c r="Y764" s="136">
        <f>IF($F764="","",IFERROR(INDEX(사건마스터!$AV$5:$AV$64,MATCH($F764,사건마스터!$A$5:$A$64,0)),""))</f>
        <v/>
      </c>
      <c r="Z764" s="118">
        <f>IF(COUNTBLANK($J764:$Y764)=16,"",16-COUNTBLANK($J764:$Y764))</f>
        <v/>
      </c>
      <c r="AA764" s="33">
        <f>IF($J764="",MID($AX764,3,255),$J764&amp;$AX764)</f>
        <v/>
      </c>
      <c r="AB764" s="130">
        <f>IF($J764="","",IFERROR(INDEX(코드설정!$D$5:$D$24,MATCH($J764,코드설정!$C$5:$C$24,0)),""))</f>
        <v/>
      </c>
      <c r="AC764" s="36" t="n"/>
      <c r="AD764" s="37" t="n"/>
      <c r="AE764" s="38" t="n"/>
      <c r="AF764" s="118">
        <f>IF(OR($B764="",$C764=""),"",$C764-$B764+1)</f>
        <v/>
      </c>
      <c r="AG764" s="74" t="n"/>
      <c r="AH764" s="36" t="n"/>
      <c r="AJ764">
        <f>IF($K764="","",", "&amp;$K764)</f>
        <v/>
      </c>
      <c r="AK764">
        <f>AJ764&amp;IF($L764="","",", "&amp;$L764)</f>
        <v/>
      </c>
      <c r="AL764">
        <f>AK764&amp;IF($M764="","",", "&amp;$M764)</f>
        <v/>
      </c>
      <c r="AM764">
        <f>AL764&amp;IF($N764="","",", "&amp;$N764)</f>
        <v/>
      </c>
      <c r="AN764">
        <f>AM764&amp;IF($O764="","",", "&amp;$O764)</f>
        <v/>
      </c>
      <c r="AO764">
        <f>AN764&amp;IF($P764="","",", "&amp;$P764)</f>
        <v/>
      </c>
      <c r="AP764">
        <f>AO764&amp;IF($Q764="","",", "&amp;$Q764)</f>
        <v/>
      </c>
      <c r="AQ764">
        <f>AP764&amp;IF($R764="","",", "&amp;$R764)</f>
        <v/>
      </c>
      <c r="AR764">
        <f>AQ764&amp;IF($S764="","",", "&amp;$S764)</f>
        <v/>
      </c>
      <c r="AS764">
        <f>AR764&amp;IF($T764="","",", "&amp;$T764)</f>
        <v/>
      </c>
      <c r="AT764">
        <f>AS764&amp;IF($U764="","",", "&amp;$U764)</f>
        <v/>
      </c>
      <c r="AU764">
        <f>AT764&amp;IF($V764="","",", "&amp;$V764)</f>
        <v/>
      </c>
      <c r="AV764">
        <f>AU764&amp;IF($W764="","",", "&amp;$W764)</f>
        <v/>
      </c>
      <c r="AW764">
        <f>AV764&amp;IF($X764="","",", "&amp;$X764)</f>
        <v/>
      </c>
      <c r="AX764">
        <f>AW764&amp;IF($Y764="","",", "&amp;$Y764)</f>
        <v/>
      </c>
    </row>
    <row r="765">
      <c r="A765" s="118">
        <f>IF($B765="","",COUNT($B$5:$B765))</f>
        <v/>
      </c>
      <c r="B765" s="80" t="n"/>
      <c r="C765" s="80" t="n"/>
      <c r="D765" s="74" t="n"/>
      <c r="E765" s="74" t="n"/>
      <c r="F765" s="74" t="n"/>
      <c r="G765" s="118">
        <f>IF($F765="","",COUNTIF($F$5:$F765,$F765))</f>
        <v/>
      </c>
      <c r="H765" s="33">
        <f>IF($F765="","",IFERROR(INDEX(사건마스터!$B$5:$B$64,MATCH($F765,사건마스터!$A$5:$A$64,0)),""))</f>
        <v/>
      </c>
      <c r="I765" s="130">
        <f>IF($F765="","",IFERROR(INDEX(사건마스터!$C$5:$C$64,MATCH($F765,사건마스터!$A$5:$A$64,0)),""))</f>
        <v/>
      </c>
      <c r="J765" s="136">
        <f>IF($F765="","",IFERROR(INDEX(사건마스터!$H$5:$H$64,MATCH($F765,사건마스터!$A$5:$A$64,0)),""))</f>
        <v/>
      </c>
      <c r="K765" s="136">
        <f>IF($F765="","",IFERROR(INDEX(사건마스터!$AH$5:$AH$64,MATCH($F765,사건마스터!$A$5:$A$64,0)),""))</f>
        <v/>
      </c>
      <c r="L765" s="136">
        <f>IF($F765="","",IFERROR(INDEX(사건마스터!$AI$5:$AI$64,MATCH($F765,사건마스터!$A$5:$A$64,0)),""))</f>
        <v/>
      </c>
      <c r="M765" s="136">
        <f>IF($F765="","",IFERROR(INDEX(사건마스터!$AJ$5:$AJ$64,MATCH($F765,사건마스터!$A$5:$A$64,0)),""))</f>
        <v/>
      </c>
      <c r="N765" s="136">
        <f>IF($F765="","",IFERROR(INDEX(사건마스터!$AK$5:$AK$64,MATCH($F765,사건마스터!$A$5:$A$64,0)),""))</f>
        <v/>
      </c>
      <c r="O765" s="136">
        <f>IF($F765="","",IFERROR(INDEX(사건마스터!$AL$5:$AL$64,MATCH($F765,사건마스터!$A$5:$A$64,0)),""))</f>
        <v/>
      </c>
      <c r="P765" s="136">
        <f>IF($F765="","",IFERROR(INDEX(사건마스터!$AM$5:$AM$64,MATCH($F765,사건마스터!$A$5:$A$64,0)),""))</f>
        <v/>
      </c>
      <c r="Q765" s="136">
        <f>IF($F765="","",IFERROR(INDEX(사건마스터!$AN$5:$AN$64,MATCH($F765,사건마스터!$A$5:$A$64,0)),""))</f>
        <v/>
      </c>
      <c r="R765" s="136">
        <f>IF($F765="","",IFERROR(INDEX(사건마스터!$AO$5:$AO$64,MATCH($F765,사건마스터!$A$5:$A$64,0)),""))</f>
        <v/>
      </c>
      <c r="S765" s="136">
        <f>IF($F765="","",IFERROR(INDEX(사건마스터!$AP$5:$AP$64,MATCH($F765,사건마스터!$A$5:$A$64,0)),""))</f>
        <v/>
      </c>
      <c r="T765" s="136">
        <f>IF($F765="","",IFERROR(INDEX(사건마스터!$AQ$5:$AQ$64,MATCH($F765,사건마스터!$A$5:$A$64,0)),""))</f>
        <v/>
      </c>
      <c r="U765" s="136">
        <f>IF($F765="","",IFERROR(INDEX(사건마스터!$AR$5:$AR$64,MATCH($F765,사건마스터!$A$5:$A$64,0)),""))</f>
        <v/>
      </c>
      <c r="V765" s="136">
        <f>IF($F765="","",IFERROR(INDEX(사건마스터!$AS$5:$AS$64,MATCH($F765,사건마스터!$A$5:$A$64,0)),""))</f>
        <v/>
      </c>
      <c r="W765" s="136">
        <f>IF($F765="","",IFERROR(INDEX(사건마스터!$AT$5:$AT$64,MATCH($F765,사건마스터!$A$5:$A$64,0)),""))</f>
        <v/>
      </c>
      <c r="X765" s="136">
        <f>IF($F765="","",IFERROR(INDEX(사건마스터!$AU$5:$AU$64,MATCH($F765,사건마스터!$A$5:$A$64,0)),""))</f>
        <v/>
      </c>
      <c r="Y765" s="136">
        <f>IF($F765="","",IFERROR(INDEX(사건마스터!$AV$5:$AV$64,MATCH($F765,사건마스터!$A$5:$A$64,0)),""))</f>
        <v/>
      </c>
      <c r="Z765" s="118">
        <f>IF(COUNTBLANK($J765:$Y765)=16,"",16-COUNTBLANK($J765:$Y765))</f>
        <v/>
      </c>
      <c r="AA765" s="33">
        <f>IF($J765="",MID($AX765,3,255),$J765&amp;$AX765)</f>
        <v/>
      </c>
      <c r="AB765" s="130">
        <f>IF($J765="","",IFERROR(INDEX(코드설정!$D$5:$D$24,MATCH($J765,코드설정!$C$5:$C$24,0)),""))</f>
        <v/>
      </c>
      <c r="AC765" s="36" t="n"/>
      <c r="AD765" s="37" t="n"/>
      <c r="AE765" s="38" t="n"/>
      <c r="AF765" s="118">
        <f>IF(OR($B765="",$C765=""),"",$C765-$B765+1)</f>
        <v/>
      </c>
      <c r="AG765" s="74" t="n"/>
      <c r="AH765" s="36" t="n"/>
      <c r="AJ765">
        <f>IF($K765="","",", "&amp;$K765)</f>
        <v/>
      </c>
      <c r="AK765">
        <f>AJ765&amp;IF($L765="","",", "&amp;$L765)</f>
        <v/>
      </c>
      <c r="AL765">
        <f>AK765&amp;IF($M765="","",", "&amp;$M765)</f>
        <v/>
      </c>
      <c r="AM765">
        <f>AL765&amp;IF($N765="","",", "&amp;$N765)</f>
        <v/>
      </c>
      <c r="AN765">
        <f>AM765&amp;IF($O765="","",", "&amp;$O765)</f>
        <v/>
      </c>
      <c r="AO765">
        <f>AN765&amp;IF($P765="","",", "&amp;$P765)</f>
        <v/>
      </c>
      <c r="AP765">
        <f>AO765&amp;IF($Q765="","",", "&amp;$Q765)</f>
        <v/>
      </c>
      <c r="AQ765">
        <f>AP765&amp;IF($R765="","",", "&amp;$R765)</f>
        <v/>
      </c>
      <c r="AR765">
        <f>AQ765&amp;IF($S765="","",", "&amp;$S765)</f>
        <v/>
      </c>
      <c r="AS765">
        <f>AR765&amp;IF($T765="","",", "&amp;$T765)</f>
        <v/>
      </c>
      <c r="AT765">
        <f>AS765&amp;IF($U765="","",", "&amp;$U765)</f>
        <v/>
      </c>
      <c r="AU765">
        <f>AT765&amp;IF($V765="","",", "&amp;$V765)</f>
        <v/>
      </c>
      <c r="AV765">
        <f>AU765&amp;IF($W765="","",", "&amp;$W765)</f>
        <v/>
      </c>
      <c r="AW765">
        <f>AV765&amp;IF($X765="","",", "&amp;$X765)</f>
        <v/>
      </c>
      <c r="AX765">
        <f>AW765&amp;IF($Y765="","",", "&amp;$Y765)</f>
        <v/>
      </c>
    </row>
    <row r="766">
      <c r="A766" s="118">
        <f>IF($B766="","",COUNT($B$5:$B766))</f>
        <v/>
      </c>
      <c r="B766" s="80" t="n"/>
      <c r="C766" s="80" t="n"/>
      <c r="D766" s="74" t="n"/>
      <c r="E766" s="74" t="n"/>
      <c r="F766" s="74" t="n"/>
      <c r="G766" s="118">
        <f>IF($F766="","",COUNTIF($F$5:$F766,$F766))</f>
        <v/>
      </c>
      <c r="H766" s="33">
        <f>IF($F766="","",IFERROR(INDEX(사건마스터!$B$5:$B$64,MATCH($F766,사건마스터!$A$5:$A$64,0)),""))</f>
        <v/>
      </c>
      <c r="I766" s="130">
        <f>IF($F766="","",IFERROR(INDEX(사건마스터!$C$5:$C$64,MATCH($F766,사건마스터!$A$5:$A$64,0)),""))</f>
        <v/>
      </c>
      <c r="J766" s="136">
        <f>IF($F766="","",IFERROR(INDEX(사건마스터!$H$5:$H$64,MATCH($F766,사건마스터!$A$5:$A$64,0)),""))</f>
        <v/>
      </c>
      <c r="K766" s="136">
        <f>IF($F766="","",IFERROR(INDEX(사건마스터!$AH$5:$AH$64,MATCH($F766,사건마스터!$A$5:$A$64,0)),""))</f>
        <v/>
      </c>
      <c r="L766" s="136">
        <f>IF($F766="","",IFERROR(INDEX(사건마스터!$AI$5:$AI$64,MATCH($F766,사건마스터!$A$5:$A$64,0)),""))</f>
        <v/>
      </c>
      <c r="M766" s="136">
        <f>IF($F766="","",IFERROR(INDEX(사건마스터!$AJ$5:$AJ$64,MATCH($F766,사건마스터!$A$5:$A$64,0)),""))</f>
        <v/>
      </c>
      <c r="N766" s="136">
        <f>IF($F766="","",IFERROR(INDEX(사건마스터!$AK$5:$AK$64,MATCH($F766,사건마스터!$A$5:$A$64,0)),""))</f>
        <v/>
      </c>
      <c r="O766" s="136">
        <f>IF($F766="","",IFERROR(INDEX(사건마스터!$AL$5:$AL$64,MATCH($F766,사건마스터!$A$5:$A$64,0)),""))</f>
        <v/>
      </c>
      <c r="P766" s="136">
        <f>IF($F766="","",IFERROR(INDEX(사건마스터!$AM$5:$AM$64,MATCH($F766,사건마스터!$A$5:$A$64,0)),""))</f>
        <v/>
      </c>
      <c r="Q766" s="136">
        <f>IF($F766="","",IFERROR(INDEX(사건마스터!$AN$5:$AN$64,MATCH($F766,사건마스터!$A$5:$A$64,0)),""))</f>
        <v/>
      </c>
      <c r="R766" s="136">
        <f>IF($F766="","",IFERROR(INDEX(사건마스터!$AO$5:$AO$64,MATCH($F766,사건마스터!$A$5:$A$64,0)),""))</f>
        <v/>
      </c>
      <c r="S766" s="136">
        <f>IF($F766="","",IFERROR(INDEX(사건마스터!$AP$5:$AP$64,MATCH($F766,사건마스터!$A$5:$A$64,0)),""))</f>
        <v/>
      </c>
      <c r="T766" s="136">
        <f>IF($F766="","",IFERROR(INDEX(사건마스터!$AQ$5:$AQ$64,MATCH($F766,사건마스터!$A$5:$A$64,0)),""))</f>
        <v/>
      </c>
      <c r="U766" s="136">
        <f>IF($F766="","",IFERROR(INDEX(사건마스터!$AR$5:$AR$64,MATCH($F766,사건마스터!$A$5:$A$64,0)),""))</f>
        <v/>
      </c>
      <c r="V766" s="136">
        <f>IF($F766="","",IFERROR(INDEX(사건마스터!$AS$5:$AS$64,MATCH($F766,사건마스터!$A$5:$A$64,0)),""))</f>
        <v/>
      </c>
      <c r="W766" s="136">
        <f>IF($F766="","",IFERROR(INDEX(사건마스터!$AT$5:$AT$64,MATCH($F766,사건마스터!$A$5:$A$64,0)),""))</f>
        <v/>
      </c>
      <c r="X766" s="136">
        <f>IF($F766="","",IFERROR(INDEX(사건마스터!$AU$5:$AU$64,MATCH($F766,사건마스터!$A$5:$A$64,0)),""))</f>
        <v/>
      </c>
      <c r="Y766" s="136">
        <f>IF($F766="","",IFERROR(INDEX(사건마스터!$AV$5:$AV$64,MATCH($F766,사건마스터!$A$5:$A$64,0)),""))</f>
        <v/>
      </c>
      <c r="Z766" s="118">
        <f>IF(COUNTBLANK($J766:$Y766)=16,"",16-COUNTBLANK($J766:$Y766))</f>
        <v/>
      </c>
      <c r="AA766" s="33">
        <f>IF($J766="",MID($AX766,3,255),$J766&amp;$AX766)</f>
        <v/>
      </c>
      <c r="AB766" s="130">
        <f>IF($J766="","",IFERROR(INDEX(코드설정!$D$5:$D$24,MATCH($J766,코드설정!$C$5:$C$24,0)),""))</f>
        <v/>
      </c>
      <c r="AC766" s="36" t="n"/>
      <c r="AD766" s="37" t="n"/>
      <c r="AE766" s="38" t="n"/>
      <c r="AF766" s="118">
        <f>IF(OR($B766="",$C766=""),"",$C766-$B766+1)</f>
        <v/>
      </c>
      <c r="AG766" s="74" t="n"/>
      <c r="AH766" s="36" t="n"/>
      <c r="AJ766">
        <f>IF($K766="","",", "&amp;$K766)</f>
        <v/>
      </c>
      <c r="AK766">
        <f>AJ766&amp;IF($L766="","",", "&amp;$L766)</f>
        <v/>
      </c>
      <c r="AL766">
        <f>AK766&amp;IF($M766="","",", "&amp;$M766)</f>
        <v/>
      </c>
      <c r="AM766">
        <f>AL766&amp;IF($N766="","",", "&amp;$N766)</f>
        <v/>
      </c>
      <c r="AN766">
        <f>AM766&amp;IF($O766="","",", "&amp;$O766)</f>
        <v/>
      </c>
      <c r="AO766">
        <f>AN766&amp;IF($P766="","",", "&amp;$P766)</f>
        <v/>
      </c>
      <c r="AP766">
        <f>AO766&amp;IF($Q766="","",", "&amp;$Q766)</f>
        <v/>
      </c>
      <c r="AQ766">
        <f>AP766&amp;IF($R766="","",", "&amp;$R766)</f>
        <v/>
      </c>
      <c r="AR766">
        <f>AQ766&amp;IF($S766="","",", "&amp;$S766)</f>
        <v/>
      </c>
      <c r="AS766">
        <f>AR766&amp;IF($T766="","",", "&amp;$T766)</f>
        <v/>
      </c>
      <c r="AT766">
        <f>AS766&amp;IF($U766="","",", "&amp;$U766)</f>
        <v/>
      </c>
      <c r="AU766">
        <f>AT766&amp;IF($V766="","",", "&amp;$V766)</f>
        <v/>
      </c>
      <c r="AV766">
        <f>AU766&amp;IF($W766="","",", "&amp;$W766)</f>
        <v/>
      </c>
      <c r="AW766">
        <f>AV766&amp;IF($X766="","",", "&amp;$X766)</f>
        <v/>
      </c>
      <c r="AX766">
        <f>AW766&amp;IF($Y766="","",", "&amp;$Y766)</f>
        <v/>
      </c>
    </row>
    <row r="767">
      <c r="A767" s="118">
        <f>IF($B767="","",COUNT($B$5:$B767))</f>
        <v/>
      </c>
      <c r="B767" s="80" t="n"/>
      <c r="C767" s="80" t="n"/>
      <c r="D767" s="74" t="n"/>
      <c r="E767" s="74" t="n"/>
      <c r="F767" s="74" t="n"/>
      <c r="G767" s="118">
        <f>IF($F767="","",COUNTIF($F$5:$F767,$F767))</f>
        <v/>
      </c>
      <c r="H767" s="33">
        <f>IF($F767="","",IFERROR(INDEX(사건마스터!$B$5:$B$64,MATCH($F767,사건마스터!$A$5:$A$64,0)),""))</f>
        <v/>
      </c>
      <c r="I767" s="130">
        <f>IF($F767="","",IFERROR(INDEX(사건마스터!$C$5:$C$64,MATCH($F767,사건마스터!$A$5:$A$64,0)),""))</f>
        <v/>
      </c>
      <c r="J767" s="136">
        <f>IF($F767="","",IFERROR(INDEX(사건마스터!$H$5:$H$64,MATCH($F767,사건마스터!$A$5:$A$64,0)),""))</f>
        <v/>
      </c>
      <c r="K767" s="136">
        <f>IF($F767="","",IFERROR(INDEX(사건마스터!$AH$5:$AH$64,MATCH($F767,사건마스터!$A$5:$A$64,0)),""))</f>
        <v/>
      </c>
      <c r="L767" s="136">
        <f>IF($F767="","",IFERROR(INDEX(사건마스터!$AI$5:$AI$64,MATCH($F767,사건마스터!$A$5:$A$64,0)),""))</f>
        <v/>
      </c>
      <c r="M767" s="136">
        <f>IF($F767="","",IFERROR(INDEX(사건마스터!$AJ$5:$AJ$64,MATCH($F767,사건마스터!$A$5:$A$64,0)),""))</f>
        <v/>
      </c>
      <c r="N767" s="136">
        <f>IF($F767="","",IFERROR(INDEX(사건마스터!$AK$5:$AK$64,MATCH($F767,사건마스터!$A$5:$A$64,0)),""))</f>
        <v/>
      </c>
      <c r="O767" s="136">
        <f>IF($F767="","",IFERROR(INDEX(사건마스터!$AL$5:$AL$64,MATCH($F767,사건마스터!$A$5:$A$64,0)),""))</f>
        <v/>
      </c>
      <c r="P767" s="136">
        <f>IF($F767="","",IFERROR(INDEX(사건마스터!$AM$5:$AM$64,MATCH($F767,사건마스터!$A$5:$A$64,0)),""))</f>
        <v/>
      </c>
      <c r="Q767" s="136">
        <f>IF($F767="","",IFERROR(INDEX(사건마스터!$AN$5:$AN$64,MATCH($F767,사건마스터!$A$5:$A$64,0)),""))</f>
        <v/>
      </c>
      <c r="R767" s="136">
        <f>IF($F767="","",IFERROR(INDEX(사건마스터!$AO$5:$AO$64,MATCH($F767,사건마스터!$A$5:$A$64,0)),""))</f>
        <v/>
      </c>
      <c r="S767" s="136">
        <f>IF($F767="","",IFERROR(INDEX(사건마스터!$AP$5:$AP$64,MATCH($F767,사건마스터!$A$5:$A$64,0)),""))</f>
        <v/>
      </c>
      <c r="T767" s="136">
        <f>IF($F767="","",IFERROR(INDEX(사건마스터!$AQ$5:$AQ$64,MATCH($F767,사건마스터!$A$5:$A$64,0)),""))</f>
        <v/>
      </c>
      <c r="U767" s="136">
        <f>IF($F767="","",IFERROR(INDEX(사건마스터!$AR$5:$AR$64,MATCH($F767,사건마스터!$A$5:$A$64,0)),""))</f>
        <v/>
      </c>
      <c r="V767" s="136">
        <f>IF($F767="","",IFERROR(INDEX(사건마스터!$AS$5:$AS$64,MATCH($F767,사건마스터!$A$5:$A$64,0)),""))</f>
        <v/>
      </c>
      <c r="W767" s="136">
        <f>IF($F767="","",IFERROR(INDEX(사건마스터!$AT$5:$AT$64,MATCH($F767,사건마스터!$A$5:$A$64,0)),""))</f>
        <v/>
      </c>
      <c r="X767" s="136">
        <f>IF($F767="","",IFERROR(INDEX(사건마스터!$AU$5:$AU$64,MATCH($F767,사건마스터!$A$5:$A$64,0)),""))</f>
        <v/>
      </c>
      <c r="Y767" s="136">
        <f>IF($F767="","",IFERROR(INDEX(사건마스터!$AV$5:$AV$64,MATCH($F767,사건마스터!$A$5:$A$64,0)),""))</f>
        <v/>
      </c>
      <c r="Z767" s="118">
        <f>IF(COUNTBLANK($J767:$Y767)=16,"",16-COUNTBLANK($J767:$Y767))</f>
        <v/>
      </c>
      <c r="AA767" s="33">
        <f>IF($J767="",MID($AX767,3,255),$J767&amp;$AX767)</f>
        <v/>
      </c>
      <c r="AB767" s="130">
        <f>IF($J767="","",IFERROR(INDEX(코드설정!$D$5:$D$24,MATCH($J767,코드설정!$C$5:$C$24,0)),""))</f>
        <v/>
      </c>
      <c r="AC767" s="36" t="n"/>
      <c r="AD767" s="37" t="n"/>
      <c r="AE767" s="38" t="n"/>
      <c r="AF767" s="118">
        <f>IF(OR($B767="",$C767=""),"",$C767-$B767+1)</f>
        <v/>
      </c>
      <c r="AG767" s="74" t="n"/>
      <c r="AH767" s="36" t="n"/>
      <c r="AJ767">
        <f>IF($K767="","",", "&amp;$K767)</f>
        <v/>
      </c>
      <c r="AK767">
        <f>AJ767&amp;IF($L767="","",", "&amp;$L767)</f>
        <v/>
      </c>
      <c r="AL767">
        <f>AK767&amp;IF($M767="","",", "&amp;$M767)</f>
        <v/>
      </c>
      <c r="AM767">
        <f>AL767&amp;IF($N767="","",", "&amp;$N767)</f>
        <v/>
      </c>
      <c r="AN767">
        <f>AM767&amp;IF($O767="","",", "&amp;$O767)</f>
        <v/>
      </c>
      <c r="AO767">
        <f>AN767&amp;IF($P767="","",", "&amp;$P767)</f>
        <v/>
      </c>
      <c r="AP767">
        <f>AO767&amp;IF($Q767="","",", "&amp;$Q767)</f>
        <v/>
      </c>
      <c r="AQ767">
        <f>AP767&amp;IF($R767="","",", "&amp;$R767)</f>
        <v/>
      </c>
      <c r="AR767">
        <f>AQ767&amp;IF($S767="","",", "&amp;$S767)</f>
        <v/>
      </c>
      <c r="AS767">
        <f>AR767&amp;IF($T767="","",", "&amp;$T767)</f>
        <v/>
      </c>
      <c r="AT767">
        <f>AS767&amp;IF($U767="","",", "&amp;$U767)</f>
        <v/>
      </c>
      <c r="AU767">
        <f>AT767&amp;IF($V767="","",", "&amp;$V767)</f>
        <v/>
      </c>
      <c r="AV767">
        <f>AU767&amp;IF($W767="","",", "&amp;$W767)</f>
        <v/>
      </c>
      <c r="AW767">
        <f>AV767&amp;IF($X767="","",", "&amp;$X767)</f>
        <v/>
      </c>
      <c r="AX767">
        <f>AW767&amp;IF($Y767="","",", "&amp;$Y767)</f>
        <v/>
      </c>
    </row>
    <row r="768">
      <c r="A768" s="118">
        <f>IF($B768="","",COUNT($B$5:$B768))</f>
        <v/>
      </c>
      <c r="B768" s="80" t="n"/>
      <c r="C768" s="80" t="n"/>
      <c r="D768" s="74" t="n"/>
      <c r="E768" s="74" t="n"/>
      <c r="F768" s="74" t="n"/>
      <c r="G768" s="118">
        <f>IF($F768="","",COUNTIF($F$5:$F768,$F768))</f>
        <v/>
      </c>
      <c r="H768" s="33">
        <f>IF($F768="","",IFERROR(INDEX(사건마스터!$B$5:$B$64,MATCH($F768,사건마스터!$A$5:$A$64,0)),""))</f>
        <v/>
      </c>
      <c r="I768" s="130">
        <f>IF($F768="","",IFERROR(INDEX(사건마스터!$C$5:$C$64,MATCH($F768,사건마스터!$A$5:$A$64,0)),""))</f>
        <v/>
      </c>
      <c r="J768" s="136">
        <f>IF($F768="","",IFERROR(INDEX(사건마스터!$H$5:$H$64,MATCH($F768,사건마스터!$A$5:$A$64,0)),""))</f>
        <v/>
      </c>
      <c r="K768" s="136">
        <f>IF($F768="","",IFERROR(INDEX(사건마스터!$AH$5:$AH$64,MATCH($F768,사건마스터!$A$5:$A$64,0)),""))</f>
        <v/>
      </c>
      <c r="L768" s="136">
        <f>IF($F768="","",IFERROR(INDEX(사건마스터!$AI$5:$AI$64,MATCH($F768,사건마스터!$A$5:$A$64,0)),""))</f>
        <v/>
      </c>
      <c r="M768" s="136">
        <f>IF($F768="","",IFERROR(INDEX(사건마스터!$AJ$5:$AJ$64,MATCH($F768,사건마스터!$A$5:$A$64,0)),""))</f>
        <v/>
      </c>
      <c r="N768" s="136">
        <f>IF($F768="","",IFERROR(INDEX(사건마스터!$AK$5:$AK$64,MATCH($F768,사건마스터!$A$5:$A$64,0)),""))</f>
        <v/>
      </c>
      <c r="O768" s="136">
        <f>IF($F768="","",IFERROR(INDEX(사건마스터!$AL$5:$AL$64,MATCH($F768,사건마스터!$A$5:$A$64,0)),""))</f>
        <v/>
      </c>
      <c r="P768" s="136">
        <f>IF($F768="","",IFERROR(INDEX(사건마스터!$AM$5:$AM$64,MATCH($F768,사건마스터!$A$5:$A$64,0)),""))</f>
        <v/>
      </c>
      <c r="Q768" s="136">
        <f>IF($F768="","",IFERROR(INDEX(사건마스터!$AN$5:$AN$64,MATCH($F768,사건마스터!$A$5:$A$64,0)),""))</f>
        <v/>
      </c>
      <c r="R768" s="136">
        <f>IF($F768="","",IFERROR(INDEX(사건마스터!$AO$5:$AO$64,MATCH($F768,사건마스터!$A$5:$A$64,0)),""))</f>
        <v/>
      </c>
      <c r="S768" s="136">
        <f>IF($F768="","",IFERROR(INDEX(사건마스터!$AP$5:$AP$64,MATCH($F768,사건마스터!$A$5:$A$64,0)),""))</f>
        <v/>
      </c>
      <c r="T768" s="136">
        <f>IF($F768="","",IFERROR(INDEX(사건마스터!$AQ$5:$AQ$64,MATCH($F768,사건마스터!$A$5:$A$64,0)),""))</f>
        <v/>
      </c>
      <c r="U768" s="136">
        <f>IF($F768="","",IFERROR(INDEX(사건마스터!$AR$5:$AR$64,MATCH($F768,사건마스터!$A$5:$A$64,0)),""))</f>
        <v/>
      </c>
      <c r="V768" s="136">
        <f>IF($F768="","",IFERROR(INDEX(사건마스터!$AS$5:$AS$64,MATCH($F768,사건마스터!$A$5:$A$64,0)),""))</f>
        <v/>
      </c>
      <c r="W768" s="136">
        <f>IF($F768="","",IFERROR(INDEX(사건마스터!$AT$5:$AT$64,MATCH($F768,사건마스터!$A$5:$A$64,0)),""))</f>
        <v/>
      </c>
      <c r="X768" s="136">
        <f>IF($F768="","",IFERROR(INDEX(사건마스터!$AU$5:$AU$64,MATCH($F768,사건마스터!$A$5:$A$64,0)),""))</f>
        <v/>
      </c>
      <c r="Y768" s="136">
        <f>IF($F768="","",IFERROR(INDEX(사건마스터!$AV$5:$AV$64,MATCH($F768,사건마스터!$A$5:$A$64,0)),""))</f>
        <v/>
      </c>
      <c r="Z768" s="118">
        <f>IF(COUNTBLANK($J768:$Y768)=16,"",16-COUNTBLANK($J768:$Y768))</f>
        <v/>
      </c>
      <c r="AA768" s="33">
        <f>IF($J768="",MID($AX768,3,255),$J768&amp;$AX768)</f>
        <v/>
      </c>
      <c r="AB768" s="130">
        <f>IF($J768="","",IFERROR(INDEX(코드설정!$D$5:$D$24,MATCH($J768,코드설정!$C$5:$C$24,0)),""))</f>
        <v/>
      </c>
      <c r="AC768" s="36" t="n"/>
      <c r="AD768" s="37" t="n"/>
      <c r="AE768" s="38" t="n"/>
      <c r="AF768" s="118">
        <f>IF(OR($B768="",$C768=""),"",$C768-$B768+1)</f>
        <v/>
      </c>
      <c r="AG768" s="74" t="n"/>
      <c r="AH768" s="36" t="n"/>
      <c r="AJ768">
        <f>IF($K768="","",", "&amp;$K768)</f>
        <v/>
      </c>
      <c r="AK768">
        <f>AJ768&amp;IF($L768="","",", "&amp;$L768)</f>
        <v/>
      </c>
      <c r="AL768">
        <f>AK768&amp;IF($M768="","",", "&amp;$M768)</f>
        <v/>
      </c>
      <c r="AM768">
        <f>AL768&amp;IF($N768="","",", "&amp;$N768)</f>
        <v/>
      </c>
      <c r="AN768">
        <f>AM768&amp;IF($O768="","",", "&amp;$O768)</f>
        <v/>
      </c>
      <c r="AO768">
        <f>AN768&amp;IF($P768="","",", "&amp;$P768)</f>
        <v/>
      </c>
      <c r="AP768">
        <f>AO768&amp;IF($Q768="","",", "&amp;$Q768)</f>
        <v/>
      </c>
      <c r="AQ768">
        <f>AP768&amp;IF($R768="","",", "&amp;$R768)</f>
        <v/>
      </c>
      <c r="AR768">
        <f>AQ768&amp;IF($S768="","",", "&amp;$S768)</f>
        <v/>
      </c>
      <c r="AS768">
        <f>AR768&amp;IF($T768="","",", "&amp;$T768)</f>
        <v/>
      </c>
      <c r="AT768">
        <f>AS768&amp;IF($U768="","",", "&amp;$U768)</f>
        <v/>
      </c>
      <c r="AU768">
        <f>AT768&amp;IF($V768="","",", "&amp;$V768)</f>
        <v/>
      </c>
      <c r="AV768">
        <f>AU768&amp;IF($W768="","",", "&amp;$W768)</f>
        <v/>
      </c>
      <c r="AW768">
        <f>AV768&amp;IF($X768="","",", "&amp;$X768)</f>
        <v/>
      </c>
      <c r="AX768">
        <f>AW768&amp;IF($Y768="","",", "&amp;$Y768)</f>
        <v/>
      </c>
    </row>
    <row r="769">
      <c r="A769" s="118">
        <f>IF($B769="","",COUNT($B$5:$B769))</f>
        <v/>
      </c>
      <c r="B769" s="80" t="n"/>
      <c r="C769" s="80" t="n"/>
      <c r="D769" s="74" t="n"/>
      <c r="E769" s="74" t="n"/>
      <c r="F769" s="74" t="n"/>
      <c r="G769" s="118">
        <f>IF($F769="","",COUNTIF($F$5:$F769,$F769))</f>
        <v/>
      </c>
      <c r="H769" s="33">
        <f>IF($F769="","",IFERROR(INDEX(사건마스터!$B$5:$B$64,MATCH($F769,사건마스터!$A$5:$A$64,0)),""))</f>
        <v/>
      </c>
      <c r="I769" s="130">
        <f>IF($F769="","",IFERROR(INDEX(사건마스터!$C$5:$C$64,MATCH($F769,사건마스터!$A$5:$A$64,0)),""))</f>
        <v/>
      </c>
      <c r="J769" s="136">
        <f>IF($F769="","",IFERROR(INDEX(사건마스터!$H$5:$H$64,MATCH($F769,사건마스터!$A$5:$A$64,0)),""))</f>
        <v/>
      </c>
      <c r="K769" s="136">
        <f>IF($F769="","",IFERROR(INDEX(사건마스터!$AH$5:$AH$64,MATCH($F769,사건마스터!$A$5:$A$64,0)),""))</f>
        <v/>
      </c>
      <c r="L769" s="136">
        <f>IF($F769="","",IFERROR(INDEX(사건마스터!$AI$5:$AI$64,MATCH($F769,사건마스터!$A$5:$A$64,0)),""))</f>
        <v/>
      </c>
      <c r="M769" s="136">
        <f>IF($F769="","",IFERROR(INDEX(사건마스터!$AJ$5:$AJ$64,MATCH($F769,사건마스터!$A$5:$A$64,0)),""))</f>
        <v/>
      </c>
      <c r="N769" s="136">
        <f>IF($F769="","",IFERROR(INDEX(사건마스터!$AK$5:$AK$64,MATCH($F769,사건마스터!$A$5:$A$64,0)),""))</f>
        <v/>
      </c>
      <c r="O769" s="136">
        <f>IF($F769="","",IFERROR(INDEX(사건마스터!$AL$5:$AL$64,MATCH($F769,사건마스터!$A$5:$A$64,0)),""))</f>
        <v/>
      </c>
      <c r="P769" s="136">
        <f>IF($F769="","",IFERROR(INDEX(사건마스터!$AM$5:$AM$64,MATCH($F769,사건마스터!$A$5:$A$64,0)),""))</f>
        <v/>
      </c>
      <c r="Q769" s="136">
        <f>IF($F769="","",IFERROR(INDEX(사건마스터!$AN$5:$AN$64,MATCH($F769,사건마스터!$A$5:$A$64,0)),""))</f>
        <v/>
      </c>
      <c r="R769" s="136">
        <f>IF($F769="","",IFERROR(INDEX(사건마스터!$AO$5:$AO$64,MATCH($F769,사건마스터!$A$5:$A$64,0)),""))</f>
        <v/>
      </c>
      <c r="S769" s="136">
        <f>IF($F769="","",IFERROR(INDEX(사건마스터!$AP$5:$AP$64,MATCH($F769,사건마스터!$A$5:$A$64,0)),""))</f>
        <v/>
      </c>
      <c r="T769" s="136">
        <f>IF($F769="","",IFERROR(INDEX(사건마스터!$AQ$5:$AQ$64,MATCH($F769,사건마스터!$A$5:$A$64,0)),""))</f>
        <v/>
      </c>
      <c r="U769" s="136">
        <f>IF($F769="","",IFERROR(INDEX(사건마스터!$AR$5:$AR$64,MATCH($F769,사건마스터!$A$5:$A$64,0)),""))</f>
        <v/>
      </c>
      <c r="V769" s="136">
        <f>IF($F769="","",IFERROR(INDEX(사건마스터!$AS$5:$AS$64,MATCH($F769,사건마스터!$A$5:$A$64,0)),""))</f>
        <v/>
      </c>
      <c r="W769" s="136">
        <f>IF($F769="","",IFERROR(INDEX(사건마스터!$AT$5:$AT$64,MATCH($F769,사건마스터!$A$5:$A$64,0)),""))</f>
        <v/>
      </c>
      <c r="X769" s="136">
        <f>IF($F769="","",IFERROR(INDEX(사건마스터!$AU$5:$AU$64,MATCH($F769,사건마스터!$A$5:$A$64,0)),""))</f>
        <v/>
      </c>
      <c r="Y769" s="136">
        <f>IF($F769="","",IFERROR(INDEX(사건마스터!$AV$5:$AV$64,MATCH($F769,사건마스터!$A$5:$A$64,0)),""))</f>
        <v/>
      </c>
      <c r="Z769" s="118">
        <f>IF(COUNTBLANK($J769:$Y769)=16,"",16-COUNTBLANK($J769:$Y769))</f>
        <v/>
      </c>
      <c r="AA769" s="33">
        <f>IF($J769="",MID($AX769,3,255),$J769&amp;$AX769)</f>
        <v/>
      </c>
      <c r="AB769" s="130">
        <f>IF($J769="","",IFERROR(INDEX(코드설정!$D$5:$D$24,MATCH($J769,코드설정!$C$5:$C$24,0)),""))</f>
        <v/>
      </c>
      <c r="AC769" s="36" t="n"/>
      <c r="AD769" s="37" t="n"/>
      <c r="AE769" s="38" t="n"/>
      <c r="AF769" s="118">
        <f>IF(OR($B769="",$C769=""),"",$C769-$B769+1)</f>
        <v/>
      </c>
      <c r="AG769" s="74" t="n"/>
      <c r="AH769" s="36" t="n"/>
      <c r="AJ769">
        <f>IF($K769="","",", "&amp;$K769)</f>
        <v/>
      </c>
      <c r="AK769">
        <f>AJ769&amp;IF($L769="","",", "&amp;$L769)</f>
        <v/>
      </c>
      <c r="AL769">
        <f>AK769&amp;IF($M769="","",", "&amp;$M769)</f>
        <v/>
      </c>
      <c r="AM769">
        <f>AL769&amp;IF($N769="","",", "&amp;$N769)</f>
        <v/>
      </c>
      <c r="AN769">
        <f>AM769&amp;IF($O769="","",", "&amp;$O769)</f>
        <v/>
      </c>
      <c r="AO769">
        <f>AN769&amp;IF($P769="","",", "&amp;$P769)</f>
        <v/>
      </c>
      <c r="AP769">
        <f>AO769&amp;IF($Q769="","",", "&amp;$Q769)</f>
        <v/>
      </c>
      <c r="AQ769">
        <f>AP769&amp;IF($R769="","",", "&amp;$R769)</f>
        <v/>
      </c>
      <c r="AR769">
        <f>AQ769&amp;IF($S769="","",", "&amp;$S769)</f>
        <v/>
      </c>
      <c r="AS769">
        <f>AR769&amp;IF($T769="","",", "&amp;$T769)</f>
        <v/>
      </c>
      <c r="AT769">
        <f>AS769&amp;IF($U769="","",", "&amp;$U769)</f>
        <v/>
      </c>
      <c r="AU769">
        <f>AT769&amp;IF($V769="","",", "&amp;$V769)</f>
        <v/>
      </c>
      <c r="AV769">
        <f>AU769&amp;IF($W769="","",", "&amp;$W769)</f>
        <v/>
      </c>
      <c r="AW769">
        <f>AV769&amp;IF($X769="","",", "&amp;$X769)</f>
        <v/>
      </c>
      <c r="AX769">
        <f>AW769&amp;IF($Y769="","",", "&amp;$Y769)</f>
        <v/>
      </c>
    </row>
    <row r="770">
      <c r="A770" s="118">
        <f>IF($B770="","",COUNT($B$5:$B770))</f>
        <v/>
      </c>
      <c r="B770" s="80" t="n"/>
      <c r="C770" s="80" t="n"/>
      <c r="D770" s="74" t="n"/>
      <c r="E770" s="74" t="n"/>
      <c r="F770" s="74" t="n"/>
      <c r="G770" s="118">
        <f>IF($F770="","",COUNTIF($F$5:$F770,$F770))</f>
        <v/>
      </c>
      <c r="H770" s="33">
        <f>IF($F770="","",IFERROR(INDEX(사건마스터!$B$5:$B$64,MATCH($F770,사건마스터!$A$5:$A$64,0)),""))</f>
        <v/>
      </c>
      <c r="I770" s="130">
        <f>IF($F770="","",IFERROR(INDEX(사건마스터!$C$5:$C$64,MATCH($F770,사건마스터!$A$5:$A$64,0)),""))</f>
        <v/>
      </c>
      <c r="J770" s="136">
        <f>IF($F770="","",IFERROR(INDEX(사건마스터!$H$5:$H$64,MATCH($F770,사건마스터!$A$5:$A$64,0)),""))</f>
        <v/>
      </c>
      <c r="K770" s="136">
        <f>IF($F770="","",IFERROR(INDEX(사건마스터!$AH$5:$AH$64,MATCH($F770,사건마스터!$A$5:$A$64,0)),""))</f>
        <v/>
      </c>
      <c r="L770" s="136">
        <f>IF($F770="","",IFERROR(INDEX(사건마스터!$AI$5:$AI$64,MATCH($F770,사건마스터!$A$5:$A$64,0)),""))</f>
        <v/>
      </c>
      <c r="M770" s="136">
        <f>IF($F770="","",IFERROR(INDEX(사건마스터!$AJ$5:$AJ$64,MATCH($F770,사건마스터!$A$5:$A$64,0)),""))</f>
        <v/>
      </c>
      <c r="N770" s="136">
        <f>IF($F770="","",IFERROR(INDEX(사건마스터!$AK$5:$AK$64,MATCH($F770,사건마스터!$A$5:$A$64,0)),""))</f>
        <v/>
      </c>
      <c r="O770" s="136">
        <f>IF($F770="","",IFERROR(INDEX(사건마스터!$AL$5:$AL$64,MATCH($F770,사건마스터!$A$5:$A$64,0)),""))</f>
        <v/>
      </c>
      <c r="P770" s="136">
        <f>IF($F770="","",IFERROR(INDEX(사건마스터!$AM$5:$AM$64,MATCH($F770,사건마스터!$A$5:$A$64,0)),""))</f>
        <v/>
      </c>
      <c r="Q770" s="136">
        <f>IF($F770="","",IFERROR(INDEX(사건마스터!$AN$5:$AN$64,MATCH($F770,사건마스터!$A$5:$A$64,0)),""))</f>
        <v/>
      </c>
      <c r="R770" s="136">
        <f>IF($F770="","",IFERROR(INDEX(사건마스터!$AO$5:$AO$64,MATCH($F770,사건마스터!$A$5:$A$64,0)),""))</f>
        <v/>
      </c>
      <c r="S770" s="136">
        <f>IF($F770="","",IFERROR(INDEX(사건마스터!$AP$5:$AP$64,MATCH($F770,사건마스터!$A$5:$A$64,0)),""))</f>
        <v/>
      </c>
      <c r="T770" s="136">
        <f>IF($F770="","",IFERROR(INDEX(사건마스터!$AQ$5:$AQ$64,MATCH($F770,사건마스터!$A$5:$A$64,0)),""))</f>
        <v/>
      </c>
      <c r="U770" s="136">
        <f>IF($F770="","",IFERROR(INDEX(사건마스터!$AR$5:$AR$64,MATCH($F770,사건마스터!$A$5:$A$64,0)),""))</f>
        <v/>
      </c>
      <c r="V770" s="136">
        <f>IF($F770="","",IFERROR(INDEX(사건마스터!$AS$5:$AS$64,MATCH($F770,사건마스터!$A$5:$A$64,0)),""))</f>
        <v/>
      </c>
      <c r="W770" s="136">
        <f>IF($F770="","",IFERROR(INDEX(사건마스터!$AT$5:$AT$64,MATCH($F770,사건마스터!$A$5:$A$64,0)),""))</f>
        <v/>
      </c>
      <c r="X770" s="136">
        <f>IF($F770="","",IFERROR(INDEX(사건마스터!$AU$5:$AU$64,MATCH($F770,사건마스터!$A$5:$A$64,0)),""))</f>
        <v/>
      </c>
      <c r="Y770" s="136">
        <f>IF($F770="","",IFERROR(INDEX(사건마스터!$AV$5:$AV$64,MATCH($F770,사건마스터!$A$5:$A$64,0)),""))</f>
        <v/>
      </c>
      <c r="Z770" s="118">
        <f>IF(COUNTBLANK($J770:$Y770)=16,"",16-COUNTBLANK($J770:$Y770))</f>
        <v/>
      </c>
      <c r="AA770" s="33">
        <f>IF($J770="",MID($AX770,3,255),$J770&amp;$AX770)</f>
        <v/>
      </c>
      <c r="AB770" s="130">
        <f>IF($J770="","",IFERROR(INDEX(코드설정!$D$5:$D$24,MATCH($J770,코드설정!$C$5:$C$24,0)),""))</f>
        <v/>
      </c>
      <c r="AC770" s="36" t="n"/>
      <c r="AD770" s="37" t="n"/>
      <c r="AE770" s="38" t="n"/>
      <c r="AF770" s="118">
        <f>IF(OR($B770="",$C770=""),"",$C770-$B770+1)</f>
        <v/>
      </c>
      <c r="AG770" s="74" t="n"/>
      <c r="AH770" s="36" t="n"/>
      <c r="AJ770">
        <f>IF($K770="","",", "&amp;$K770)</f>
        <v/>
      </c>
      <c r="AK770">
        <f>AJ770&amp;IF($L770="","",", "&amp;$L770)</f>
        <v/>
      </c>
      <c r="AL770">
        <f>AK770&amp;IF($M770="","",", "&amp;$M770)</f>
        <v/>
      </c>
      <c r="AM770">
        <f>AL770&amp;IF($N770="","",", "&amp;$N770)</f>
        <v/>
      </c>
      <c r="AN770">
        <f>AM770&amp;IF($O770="","",", "&amp;$O770)</f>
        <v/>
      </c>
      <c r="AO770">
        <f>AN770&amp;IF($P770="","",", "&amp;$P770)</f>
        <v/>
      </c>
      <c r="AP770">
        <f>AO770&amp;IF($Q770="","",", "&amp;$Q770)</f>
        <v/>
      </c>
      <c r="AQ770">
        <f>AP770&amp;IF($R770="","",", "&amp;$R770)</f>
        <v/>
      </c>
      <c r="AR770">
        <f>AQ770&amp;IF($S770="","",", "&amp;$S770)</f>
        <v/>
      </c>
      <c r="AS770">
        <f>AR770&amp;IF($T770="","",", "&amp;$T770)</f>
        <v/>
      </c>
      <c r="AT770">
        <f>AS770&amp;IF($U770="","",", "&amp;$U770)</f>
        <v/>
      </c>
      <c r="AU770">
        <f>AT770&amp;IF($V770="","",", "&amp;$V770)</f>
        <v/>
      </c>
      <c r="AV770">
        <f>AU770&amp;IF($W770="","",", "&amp;$W770)</f>
        <v/>
      </c>
      <c r="AW770">
        <f>AV770&amp;IF($X770="","",", "&amp;$X770)</f>
        <v/>
      </c>
      <c r="AX770">
        <f>AW770&amp;IF($Y770="","",", "&amp;$Y770)</f>
        <v/>
      </c>
    </row>
    <row r="771">
      <c r="A771" s="118">
        <f>IF($B771="","",COUNT($B$5:$B771))</f>
        <v/>
      </c>
      <c r="B771" s="80" t="n"/>
      <c r="C771" s="80" t="n"/>
      <c r="D771" s="74" t="n"/>
      <c r="E771" s="74" t="n"/>
      <c r="F771" s="74" t="n"/>
      <c r="G771" s="118">
        <f>IF($F771="","",COUNTIF($F$5:$F771,$F771))</f>
        <v/>
      </c>
      <c r="H771" s="33">
        <f>IF($F771="","",IFERROR(INDEX(사건마스터!$B$5:$B$64,MATCH($F771,사건마스터!$A$5:$A$64,0)),""))</f>
        <v/>
      </c>
      <c r="I771" s="130">
        <f>IF($F771="","",IFERROR(INDEX(사건마스터!$C$5:$C$64,MATCH($F771,사건마스터!$A$5:$A$64,0)),""))</f>
        <v/>
      </c>
      <c r="J771" s="136">
        <f>IF($F771="","",IFERROR(INDEX(사건마스터!$H$5:$H$64,MATCH($F771,사건마스터!$A$5:$A$64,0)),""))</f>
        <v/>
      </c>
      <c r="K771" s="136">
        <f>IF($F771="","",IFERROR(INDEX(사건마스터!$AH$5:$AH$64,MATCH($F771,사건마스터!$A$5:$A$64,0)),""))</f>
        <v/>
      </c>
      <c r="L771" s="136">
        <f>IF($F771="","",IFERROR(INDEX(사건마스터!$AI$5:$AI$64,MATCH($F771,사건마스터!$A$5:$A$64,0)),""))</f>
        <v/>
      </c>
      <c r="M771" s="136">
        <f>IF($F771="","",IFERROR(INDEX(사건마스터!$AJ$5:$AJ$64,MATCH($F771,사건마스터!$A$5:$A$64,0)),""))</f>
        <v/>
      </c>
      <c r="N771" s="136">
        <f>IF($F771="","",IFERROR(INDEX(사건마스터!$AK$5:$AK$64,MATCH($F771,사건마스터!$A$5:$A$64,0)),""))</f>
        <v/>
      </c>
      <c r="O771" s="136">
        <f>IF($F771="","",IFERROR(INDEX(사건마스터!$AL$5:$AL$64,MATCH($F771,사건마스터!$A$5:$A$64,0)),""))</f>
        <v/>
      </c>
      <c r="P771" s="136">
        <f>IF($F771="","",IFERROR(INDEX(사건마스터!$AM$5:$AM$64,MATCH($F771,사건마스터!$A$5:$A$64,0)),""))</f>
        <v/>
      </c>
      <c r="Q771" s="136">
        <f>IF($F771="","",IFERROR(INDEX(사건마스터!$AN$5:$AN$64,MATCH($F771,사건마스터!$A$5:$A$64,0)),""))</f>
        <v/>
      </c>
      <c r="R771" s="136">
        <f>IF($F771="","",IFERROR(INDEX(사건마스터!$AO$5:$AO$64,MATCH($F771,사건마스터!$A$5:$A$64,0)),""))</f>
        <v/>
      </c>
      <c r="S771" s="136">
        <f>IF($F771="","",IFERROR(INDEX(사건마스터!$AP$5:$AP$64,MATCH($F771,사건마스터!$A$5:$A$64,0)),""))</f>
        <v/>
      </c>
      <c r="T771" s="136">
        <f>IF($F771="","",IFERROR(INDEX(사건마스터!$AQ$5:$AQ$64,MATCH($F771,사건마스터!$A$5:$A$64,0)),""))</f>
        <v/>
      </c>
      <c r="U771" s="136">
        <f>IF($F771="","",IFERROR(INDEX(사건마스터!$AR$5:$AR$64,MATCH($F771,사건마스터!$A$5:$A$64,0)),""))</f>
        <v/>
      </c>
      <c r="V771" s="136">
        <f>IF($F771="","",IFERROR(INDEX(사건마스터!$AS$5:$AS$64,MATCH($F771,사건마스터!$A$5:$A$64,0)),""))</f>
        <v/>
      </c>
      <c r="W771" s="136">
        <f>IF($F771="","",IFERROR(INDEX(사건마스터!$AT$5:$AT$64,MATCH($F771,사건마스터!$A$5:$A$64,0)),""))</f>
        <v/>
      </c>
      <c r="X771" s="136">
        <f>IF($F771="","",IFERROR(INDEX(사건마스터!$AU$5:$AU$64,MATCH($F771,사건마스터!$A$5:$A$64,0)),""))</f>
        <v/>
      </c>
      <c r="Y771" s="136">
        <f>IF($F771="","",IFERROR(INDEX(사건마스터!$AV$5:$AV$64,MATCH($F771,사건마스터!$A$5:$A$64,0)),""))</f>
        <v/>
      </c>
      <c r="Z771" s="118">
        <f>IF(COUNTBLANK($J771:$Y771)=16,"",16-COUNTBLANK($J771:$Y771))</f>
        <v/>
      </c>
      <c r="AA771" s="33">
        <f>IF($J771="",MID($AX771,3,255),$J771&amp;$AX771)</f>
        <v/>
      </c>
      <c r="AB771" s="130">
        <f>IF($J771="","",IFERROR(INDEX(코드설정!$D$5:$D$24,MATCH($J771,코드설정!$C$5:$C$24,0)),""))</f>
        <v/>
      </c>
      <c r="AC771" s="36" t="n"/>
      <c r="AD771" s="37" t="n"/>
      <c r="AE771" s="38" t="n"/>
      <c r="AF771" s="118">
        <f>IF(OR($B771="",$C771=""),"",$C771-$B771+1)</f>
        <v/>
      </c>
      <c r="AG771" s="74" t="n"/>
      <c r="AH771" s="36" t="n"/>
      <c r="AJ771">
        <f>IF($K771="","",", "&amp;$K771)</f>
        <v/>
      </c>
      <c r="AK771">
        <f>AJ771&amp;IF($L771="","",", "&amp;$L771)</f>
        <v/>
      </c>
      <c r="AL771">
        <f>AK771&amp;IF($M771="","",", "&amp;$M771)</f>
        <v/>
      </c>
      <c r="AM771">
        <f>AL771&amp;IF($N771="","",", "&amp;$N771)</f>
        <v/>
      </c>
      <c r="AN771">
        <f>AM771&amp;IF($O771="","",", "&amp;$O771)</f>
        <v/>
      </c>
      <c r="AO771">
        <f>AN771&amp;IF($P771="","",", "&amp;$P771)</f>
        <v/>
      </c>
      <c r="AP771">
        <f>AO771&amp;IF($Q771="","",", "&amp;$Q771)</f>
        <v/>
      </c>
      <c r="AQ771">
        <f>AP771&amp;IF($R771="","",", "&amp;$R771)</f>
        <v/>
      </c>
      <c r="AR771">
        <f>AQ771&amp;IF($S771="","",", "&amp;$S771)</f>
        <v/>
      </c>
      <c r="AS771">
        <f>AR771&amp;IF($T771="","",", "&amp;$T771)</f>
        <v/>
      </c>
      <c r="AT771">
        <f>AS771&amp;IF($U771="","",", "&amp;$U771)</f>
        <v/>
      </c>
      <c r="AU771">
        <f>AT771&amp;IF($V771="","",", "&amp;$V771)</f>
        <v/>
      </c>
      <c r="AV771">
        <f>AU771&amp;IF($W771="","",", "&amp;$W771)</f>
        <v/>
      </c>
      <c r="AW771">
        <f>AV771&amp;IF($X771="","",", "&amp;$X771)</f>
        <v/>
      </c>
      <c r="AX771">
        <f>AW771&amp;IF($Y771="","",", "&amp;$Y771)</f>
        <v/>
      </c>
    </row>
    <row r="772">
      <c r="A772" s="118">
        <f>IF($B772="","",COUNT($B$5:$B772))</f>
        <v/>
      </c>
      <c r="B772" s="80" t="n"/>
      <c r="C772" s="80" t="n"/>
      <c r="D772" s="74" t="n"/>
      <c r="E772" s="74" t="n"/>
      <c r="F772" s="74" t="n"/>
      <c r="G772" s="118">
        <f>IF($F772="","",COUNTIF($F$5:$F772,$F772))</f>
        <v/>
      </c>
      <c r="H772" s="33">
        <f>IF($F772="","",IFERROR(INDEX(사건마스터!$B$5:$B$64,MATCH($F772,사건마스터!$A$5:$A$64,0)),""))</f>
        <v/>
      </c>
      <c r="I772" s="130">
        <f>IF($F772="","",IFERROR(INDEX(사건마스터!$C$5:$C$64,MATCH($F772,사건마스터!$A$5:$A$64,0)),""))</f>
        <v/>
      </c>
      <c r="J772" s="136">
        <f>IF($F772="","",IFERROR(INDEX(사건마스터!$H$5:$H$64,MATCH($F772,사건마스터!$A$5:$A$64,0)),""))</f>
        <v/>
      </c>
      <c r="K772" s="136">
        <f>IF($F772="","",IFERROR(INDEX(사건마스터!$AH$5:$AH$64,MATCH($F772,사건마스터!$A$5:$A$64,0)),""))</f>
        <v/>
      </c>
      <c r="L772" s="136">
        <f>IF($F772="","",IFERROR(INDEX(사건마스터!$AI$5:$AI$64,MATCH($F772,사건마스터!$A$5:$A$64,0)),""))</f>
        <v/>
      </c>
      <c r="M772" s="136">
        <f>IF($F772="","",IFERROR(INDEX(사건마스터!$AJ$5:$AJ$64,MATCH($F772,사건마스터!$A$5:$A$64,0)),""))</f>
        <v/>
      </c>
      <c r="N772" s="136">
        <f>IF($F772="","",IFERROR(INDEX(사건마스터!$AK$5:$AK$64,MATCH($F772,사건마스터!$A$5:$A$64,0)),""))</f>
        <v/>
      </c>
      <c r="O772" s="136">
        <f>IF($F772="","",IFERROR(INDEX(사건마스터!$AL$5:$AL$64,MATCH($F772,사건마스터!$A$5:$A$64,0)),""))</f>
        <v/>
      </c>
      <c r="P772" s="136">
        <f>IF($F772="","",IFERROR(INDEX(사건마스터!$AM$5:$AM$64,MATCH($F772,사건마스터!$A$5:$A$64,0)),""))</f>
        <v/>
      </c>
      <c r="Q772" s="136">
        <f>IF($F772="","",IFERROR(INDEX(사건마스터!$AN$5:$AN$64,MATCH($F772,사건마스터!$A$5:$A$64,0)),""))</f>
        <v/>
      </c>
      <c r="R772" s="136">
        <f>IF($F772="","",IFERROR(INDEX(사건마스터!$AO$5:$AO$64,MATCH($F772,사건마스터!$A$5:$A$64,0)),""))</f>
        <v/>
      </c>
      <c r="S772" s="136">
        <f>IF($F772="","",IFERROR(INDEX(사건마스터!$AP$5:$AP$64,MATCH($F772,사건마스터!$A$5:$A$64,0)),""))</f>
        <v/>
      </c>
      <c r="T772" s="136">
        <f>IF($F772="","",IFERROR(INDEX(사건마스터!$AQ$5:$AQ$64,MATCH($F772,사건마스터!$A$5:$A$64,0)),""))</f>
        <v/>
      </c>
      <c r="U772" s="136">
        <f>IF($F772="","",IFERROR(INDEX(사건마스터!$AR$5:$AR$64,MATCH($F772,사건마스터!$A$5:$A$64,0)),""))</f>
        <v/>
      </c>
      <c r="V772" s="136">
        <f>IF($F772="","",IFERROR(INDEX(사건마스터!$AS$5:$AS$64,MATCH($F772,사건마스터!$A$5:$A$64,0)),""))</f>
        <v/>
      </c>
      <c r="W772" s="136">
        <f>IF($F772="","",IFERROR(INDEX(사건마스터!$AT$5:$AT$64,MATCH($F772,사건마스터!$A$5:$A$64,0)),""))</f>
        <v/>
      </c>
      <c r="X772" s="136">
        <f>IF($F772="","",IFERROR(INDEX(사건마스터!$AU$5:$AU$64,MATCH($F772,사건마스터!$A$5:$A$64,0)),""))</f>
        <v/>
      </c>
      <c r="Y772" s="136">
        <f>IF($F772="","",IFERROR(INDEX(사건마스터!$AV$5:$AV$64,MATCH($F772,사건마스터!$A$5:$A$64,0)),""))</f>
        <v/>
      </c>
      <c r="Z772" s="118">
        <f>IF(COUNTBLANK($J772:$Y772)=16,"",16-COUNTBLANK($J772:$Y772))</f>
        <v/>
      </c>
      <c r="AA772" s="33">
        <f>IF($J772="",MID($AX772,3,255),$J772&amp;$AX772)</f>
        <v/>
      </c>
      <c r="AB772" s="130">
        <f>IF($J772="","",IFERROR(INDEX(코드설정!$D$5:$D$24,MATCH($J772,코드설정!$C$5:$C$24,0)),""))</f>
        <v/>
      </c>
      <c r="AC772" s="36" t="n"/>
      <c r="AD772" s="37" t="n"/>
      <c r="AE772" s="38" t="n"/>
      <c r="AF772" s="118">
        <f>IF(OR($B772="",$C772=""),"",$C772-$B772+1)</f>
        <v/>
      </c>
      <c r="AG772" s="74" t="n"/>
      <c r="AH772" s="36" t="n"/>
      <c r="AJ772">
        <f>IF($K772="","",", "&amp;$K772)</f>
        <v/>
      </c>
      <c r="AK772">
        <f>AJ772&amp;IF($L772="","",", "&amp;$L772)</f>
        <v/>
      </c>
      <c r="AL772">
        <f>AK772&amp;IF($M772="","",", "&amp;$M772)</f>
        <v/>
      </c>
      <c r="AM772">
        <f>AL772&amp;IF($N772="","",", "&amp;$N772)</f>
        <v/>
      </c>
      <c r="AN772">
        <f>AM772&amp;IF($O772="","",", "&amp;$O772)</f>
        <v/>
      </c>
      <c r="AO772">
        <f>AN772&amp;IF($P772="","",", "&amp;$P772)</f>
        <v/>
      </c>
      <c r="AP772">
        <f>AO772&amp;IF($Q772="","",", "&amp;$Q772)</f>
        <v/>
      </c>
      <c r="AQ772">
        <f>AP772&amp;IF($R772="","",", "&amp;$R772)</f>
        <v/>
      </c>
      <c r="AR772">
        <f>AQ772&amp;IF($S772="","",", "&amp;$S772)</f>
        <v/>
      </c>
      <c r="AS772">
        <f>AR772&amp;IF($T772="","",", "&amp;$T772)</f>
        <v/>
      </c>
      <c r="AT772">
        <f>AS772&amp;IF($U772="","",", "&amp;$U772)</f>
        <v/>
      </c>
      <c r="AU772">
        <f>AT772&amp;IF($V772="","",", "&amp;$V772)</f>
        <v/>
      </c>
      <c r="AV772">
        <f>AU772&amp;IF($W772="","",", "&amp;$W772)</f>
        <v/>
      </c>
      <c r="AW772">
        <f>AV772&amp;IF($X772="","",", "&amp;$X772)</f>
        <v/>
      </c>
      <c r="AX772">
        <f>AW772&amp;IF($Y772="","",", "&amp;$Y772)</f>
        <v/>
      </c>
    </row>
    <row r="773">
      <c r="A773" s="118">
        <f>IF($B773="","",COUNT($B$5:$B773))</f>
        <v/>
      </c>
      <c r="B773" s="80" t="n"/>
      <c r="C773" s="80" t="n"/>
      <c r="D773" s="74" t="n"/>
      <c r="E773" s="74" t="n"/>
      <c r="F773" s="74" t="n"/>
      <c r="G773" s="118">
        <f>IF($F773="","",COUNTIF($F$5:$F773,$F773))</f>
        <v/>
      </c>
      <c r="H773" s="33">
        <f>IF($F773="","",IFERROR(INDEX(사건마스터!$B$5:$B$64,MATCH($F773,사건마스터!$A$5:$A$64,0)),""))</f>
        <v/>
      </c>
      <c r="I773" s="130">
        <f>IF($F773="","",IFERROR(INDEX(사건마스터!$C$5:$C$64,MATCH($F773,사건마스터!$A$5:$A$64,0)),""))</f>
        <v/>
      </c>
      <c r="J773" s="136">
        <f>IF($F773="","",IFERROR(INDEX(사건마스터!$H$5:$H$64,MATCH($F773,사건마스터!$A$5:$A$64,0)),""))</f>
        <v/>
      </c>
      <c r="K773" s="136">
        <f>IF($F773="","",IFERROR(INDEX(사건마스터!$AH$5:$AH$64,MATCH($F773,사건마스터!$A$5:$A$64,0)),""))</f>
        <v/>
      </c>
      <c r="L773" s="136">
        <f>IF($F773="","",IFERROR(INDEX(사건마스터!$AI$5:$AI$64,MATCH($F773,사건마스터!$A$5:$A$64,0)),""))</f>
        <v/>
      </c>
      <c r="M773" s="136">
        <f>IF($F773="","",IFERROR(INDEX(사건마스터!$AJ$5:$AJ$64,MATCH($F773,사건마스터!$A$5:$A$64,0)),""))</f>
        <v/>
      </c>
      <c r="N773" s="136">
        <f>IF($F773="","",IFERROR(INDEX(사건마스터!$AK$5:$AK$64,MATCH($F773,사건마스터!$A$5:$A$64,0)),""))</f>
        <v/>
      </c>
      <c r="O773" s="136">
        <f>IF($F773="","",IFERROR(INDEX(사건마스터!$AL$5:$AL$64,MATCH($F773,사건마스터!$A$5:$A$64,0)),""))</f>
        <v/>
      </c>
      <c r="P773" s="136">
        <f>IF($F773="","",IFERROR(INDEX(사건마스터!$AM$5:$AM$64,MATCH($F773,사건마스터!$A$5:$A$64,0)),""))</f>
        <v/>
      </c>
      <c r="Q773" s="136">
        <f>IF($F773="","",IFERROR(INDEX(사건마스터!$AN$5:$AN$64,MATCH($F773,사건마스터!$A$5:$A$64,0)),""))</f>
        <v/>
      </c>
      <c r="R773" s="136">
        <f>IF($F773="","",IFERROR(INDEX(사건마스터!$AO$5:$AO$64,MATCH($F773,사건마스터!$A$5:$A$64,0)),""))</f>
        <v/>
      </c>
      <c r="S773" s="136">
        <f>IF($F773="","",IFERROR(INDEX(사건마스터!$AP$5:$AP$64,MATCH($F773,사건마스터!$A$5:$A$64,0)),""))</f>
        <v/>
      </c>
      <c r="T773" s="136">
        <f>IF($F773="","",IFERROR(INDEX(사건마스터!$AQ$5:$AQ$64,MATCH($F773,사건마스터!$A$5:$A$64,0)),""))</f>
        <v/>
      </c>
      <c r="U773" s="136">
        <f>IF($F773="","",IFERROR(INDEX(사건마스터!$AR$5:$AR$64,MATCH($F773,사건마스터!$A$5:$A$64,0)),""))</f>
        <v/>
      </c>
      <c r="V773" s="136">
        <f>IF($F773="","",IFERROR(INDEX(사건마스터!$AS$5:$AS$64,MATCH($F773,사건마스터!$A$5:$A$64,0)),""))</f>
        <v/>
      </c>
      <c r="W773" s="136">
        <f>IF($F773="","",IFERROR(INDEX(사건마스터!$AT$5:$AT$64,MATCH($F773,사건마스터!$A$5:$A$64,0)),""))</f>
        <v/>
      </c>
      <c r="X773" s="136">
        <f>IF($F773="","",IFERROR(INDEX(사건마스터!$AU$5:$AU$64,MATCH($F773,사건마스터!$A$5:$A$64,0)),""))</f>
        <v/>
      </c>
      <c r="Y773" s="136">
        <f>IF($F773="","",IFERROR(INDEX(사건마스터!$AV$5:$AV$64,MATCH($F773,사건마스터!$A$5:$A$64,0)),""))</f>
        <v/>
      </c>
      <c r="Z773" s="118">
        <f>IF(COUNTBLANK($J773:$Y773)=16,"",16-COUNTBLANK($J773:$Y773))</f>
        <v/>
      </c>
      <c r="AA773" s="33">
        <f>IF($J773="",MID($AX773,3,255),$J773&amp;$AX773)</f>
        <v/>
      </c>
      <c r="AB773" s="130">
        <f>IF($J773="","",IFERROR(INDEX(코드설정!$D$5:$D$24,MATCH($J773,코드설정!$C$5:$C$24,0)),""))</f>
        <v/>
      </c>
      <c r="AC773" s="36" t="n"/>
      <c r="AD773" s="37" t="n"/>
      <c r="AE773" s="38" t="n"/>
      <c r="AF773" s="118">
        <f>IF(OR($B773="",$C773=""),"",$C773-$B773+1)</f>
        <v/>
      </c>
      <c r="AG773" s="74" t="n"/>
      <c r="AH773" s="36" t="n"/>
      <c r="AJ773">
        <f>IF($K773="","",", "&amp;$K773)</f>
        <v/>
      </c>
      <c r="AK773">
        <f>AJ773&amp;IF($L773="","",", "&amp;$L773)</f>
        <v/>
      </c>
      <c r="AL773">
        <f>AK773&amp;IF($M773="","",", "&amp;$M773)</f>
        <v/>
      </c>
      <c r="AM773">
        <f>AL773&amp;IF($N773="","",", "&amp;$N773)</f>
        <v/>
      </c>
      <c r="AN773">
        <f>AM773&amp;IF($O773="","",", "&amp;$O773)</f>
        <v/>
      </c>
      <c r="AO773">
        <f>AN773&amp;IF($P773="","",", "&amp;$P773)</f>
        <v/>
      </c>
      <c r="AP773">
        <f>AO773&amp;IF($Q773="","",", "&amp;$Q773)</f>
        <v/>
      </c>
      <c r="AQ773">
        <f>AP773&amp;IF($R773="","",", "&amp;$R773)</f>
        <v/>
      </c>
      <c r="AR773">
        <f>AQ773&amp;IF($S773="","",", "&amp;$S773)</f>
        <v/>
      </c>
      <c r="AS773">
        <f>AR773&amp;IF($T773="","",", "&amp;$T773)</f>
        <v/>
      </c>
      <c r="AT773">
        <f>AS773&amp;IF($U773="","",", "&amp;$U773)</f>
        <v/>
      </c>
      <c r="AU773">
        <f>AT773&amp;IF($V773="","",", "&amp;$V773)</f>
        <v/>
      </c>
      <c r="AV773">
        <f>AU773&amp;IF($W773="","",", "&amp;$W773)</f>
        <v/>
      </c>
      <c r="AW773">
        <f>AV773&amp;IF($X773="","",", "&amp;$X773)</f>
        <v/>
      </c>
      <c r="AX773">
        <f>AW773&amp;IF($Y773="","",", "&amp;$Y773)</f>
        <v/>
      </c>
    </row>
    <row r="774">
      <c r="A774" s="118">
        <f>IF($B774="","",COUNT($B$5:$B774))</f>
        <v/>
      </c>
      <c r="B774" s="80" t="n"/>
      <c r="C774" s="80" t="n"/>
      <c r="D774" s="74" t="n"/>
      <c r="E774" s="74" t="n"/>
      <c r="F774" s="74" t="n"/>
      <c r="G774" s="118">
        <f>IF($F774="","",COUNTIF($F$5:$F774,$F774))</f>
        <v/>
      </c>
      <c r="H774" s="33">
        <f>IF($F774="","",IFERROR(INDEX(사건마스터!$B$5:$B$64,MATCH($F774,사건마스터!$A$5:$A$64,0)),""))</f>
        <v/>
      </c>
      <c r="I774" s="130">
        <f>IF($F774="","",IFERROR(INDEX(사건마스터!$C$5:$C$64,MATCH($F774,사건마스터!$A$5:$A$64,0)),""))</f>
        <v/>
      </c>
      <c r="J774" s="136">
        <f>IF($F774="","",IFERROR(INDEX(사건마스터!$H$5:$H$64,MATCH($F774,사건마스터!$A$5:$A$64,0)),""))</f>
        <v/>
      </c>
      <c r="K774" s="136">
        <f>IF($F774="","",IFERROR(INDEX(사건마스터!$AH$5:$AH$64,MATCH($F774,사건마스터!$A$5:$A$64,0)),""))</f>
        <v/>
      </c>
      <c r="L774" s="136">
        <f>IF($F774="","",IFERROR(INDEX(사건마스터!$AI$5:$AI$64,MATCH($F774,사건마스터!$A$5:$A$64,0)),""))</f>
        <v/>
      </c>
      <c r="M774" s="136">
        <f>IF($F774="","",IFERROR(INDEX(사건마스터!$AJ$5:$AJ$64,MATCH($F774,사건마스터!$A$5:$A$64,0)),""))</f>
        <v/>
      </c>
      <c r="N774" s="136">
        <f>IF($F774="","",IFERROR(INDEX(사건마스터!$AK$5:$AK$64,MATCH($F774,사건마스터!$A$5:$A$64,0)),""))</f>
        <v/>
      </c>
      <c r="O774" s="136">
        <f>IF($F774="","",IFERROR(INDEX(사건마스터!$AL$5:$AL$64,MATCH($F774,사건마스터!$A$5:$A$64,0)),""))</f>
        <v/>
      </c>
      <c r="P774" s="136">
        <f>IF($F774="","",IFERROR(INDEX(사건마스터!$AM$5:$AM$64,MATCH($F774,사건마스터!$A$5:$A$64,0)),""))</f>
        <v/>
      </c>
      <c r="Q774" s="136">
        <f>IF($F774="","",IFERROR(INDEX(사건마스터!$AN$5:$AN$64,MATCH($F774,사건마스터!$A$5:$A$64,0)),""))</f>
        <v/>
      </c>
      <c r="R774" s="136">
        <f>IF($F774="","",IFERROR(INDEX(사건마스터!$AO$5:$AO$64,MATCH($F774,사건마스터!$A$5:$A$64,0)),""))</f>
        <v/>
      </c>
      <c r="S774" s="136">
        <f>IF($F774="","",IFERROR(INDEX(사건마스터!$AP$5:$AP$64,MATCH($F774,사건마스터!$A$5:$A$64,0)),""))</f>
        <v/>
      </c>
      <c r="T774" s="136">
        <f>IF($F774="","",IFERROR(INDEX(사건마스터!$AQ$5:$AQ$64,MATCH($F774,사건마스터!$A$5:$A$64,0)),""))</f>
        <v/>
      </c>
      <c r="U774" s="136">
        <f>IF($F774="","",IFERROR(INDEX(사건마스터!$AR$5:$AR$64,MATCH($F774,사건마스터!$A$5:$A$64,0)),""))</f>
        <v/>
      </c>
      <c r="V774" s="136">
        <f>IF($F774="","",IFERROR(INDEX(사건마스터!$AS$5:$AS$64,MATCH($F774,사건마스터!$A$5:$A$64,0)),""))</f>
        <v/>
      </c>
      <c r="W774" s="136">
        <f>IF($F774="","",IFERROR(INDEX(사건마스터!$AT$5:$AT$64,MATCH($F774,사건마스터!$A$5:$A$64,0)),""))</f>
        <v/>
      </c>
      <c r="X774" s="136">
        <f>IF($F774="","",IFERROR(INDEX(사건마스터!$AU$5:$AU$64,MATCH($F774,사건마스터!$A$5:$A$64,0)),""))</f>
        <v/>
      </c>
      <c r="Y774" s="136">
        <f>IF($F774="","",IFERROR(INDEX(사건마스터!$AV$5:$AV$64,MATCH($F774,사건마스터!$A$5:$A$64,0)),""))</f>
        <v/>
      </c>
      <c r="Z774" s="118">
        <f>IF(COUNTBLANK($J774:$Y774)=16,"",16-COUNTBLANK($J774:$Y774))</f>
        <v/>
      </c>
      <c r="AA774" s="33">
        <f>IF($J774="",MID($AX774,3,255),$J774&amp;$AX774)</f>
        <v/>
      </c>
      <c r="AB774" s="130">
        <f>IF($J774="","",IFERROR(INDEX(코드설정!$D$5:$D$24,MATCH($J774,코드설정!$C$5:$C$24,0)),""))</f>
        <v/>
      </c>
      <c r="AC774" s="36" t="n"/>
      <c r="AD774" s="37" t="n"/>
      <c r="AE774" s="38" t="n"/>
      <c r="AF774" s="118">
        <f>IF(OR($B774="",$C774=""),"",$C774-$B774+1)</f>
        <v/>
      </c>
      <c r="AG774" s="74" t="n"/>
      <c r="AH774" s="36" t="n"/>
      <c r="AJ774">
        <f>IF($K774="","",", "&amp;$K774)</f>
        <v/>
      </c>
      <c r="AK774">
        <f>AJ774&amp;IF($L774="","",", "&amp;$L774)</f>
        <v/>
      </c>
      <c r="AL774">
        <f>AK774&amp;IF($M774="","",", "&amp;$M774)</f>
        <v/>
      </c>
      <c r="AM774">
        <f>AL774&amp;IF($N774="","",", "&amp;$N774)</f>
        <v/>
      </c>
      <c r="AN774">
        <f>AM774&amp;IF($O774="","",", "&amp;$O774)</f>
        <v/>
      </c>
      <c r="AO774">
        <f>AN774&amp;IF($P774="","",", "&amp;$P774)</f>
        <v/>
      </c>
      <c r="AP774">
        <f>AO774&amp;IF($Q774="","",", "&amp;$Q774)</f>
        <v/>
      </c>
      <c r="AQ774">
        <f>AP774&amp;IF($R774="","",", "&amp;$R774)</f>
        <v/>
      </c>
      <c r="AR774">
        <f>AQ774&amp;IF($S774="","",", "&amp;$S774)</f>
        <v/>
      </c>
      <c r="AS774">
        <f>AR774&amp;IF($T774="","",", "&amp;$T774)</f>
        <v/>
      </c>
      <c r="AT774">
        <f>AS774&amp;IF($U774="","",", "&amp;$U774)</f>
        <v/>
      </c>
      <c r="AU774">
        <f>AT774&amp;IF($V774="","",", "&amp;$V774)</f>
        <v/>
      </c>
      <c r="AV774">
        <f>AU774&amp;IF($W774="","",", "&amp;$W774)</f>
        <v/>
      </c>
      <c r="AW774">
        <f>AV774&amp;IF($X774="","",", "&amp;$X774)</f>
        <v/>
      </c>
      <c r="AX774">
        <f>AW774&amp;IF($Y774="","",", "&amp;$Y774)</f>
        <v/>
      </c>
    </row>
    <row r="775">
      <c r="A775" s="118">
        <f>IF($B775="","",COUNT($B$5:$B775))</f>
        <v/>
      </c>
      <c r="B775" s="80" t="n"/>
      <c r="C775" s="80" t="n"/>
      <c r="D775" s="74" t="n"/>
      <c r="E775" s="74" t="n"/>
      <c r="F775" s="74" t="n"/>
      <c r="G775" s="118">
        <f>IF($F775="","",COUNTIF($F$5:$F775,$F775))</f>
        <v/>
      </c>
      <c r="H775" s="33">
        <f>IF($F775="","",IFERROR(INDEX(사건마스터!$B$5:$B$64,MATCH($F775,사건마스터!$A$5:$A$64,0)),""))</f>
        <v/>
      </c>
      <c r="I775" s="130">
        <f>IF($F775="","",IFERROR(INDEX(사건마스터!$C$5:$C$64,MATCH($F775,사건마스터!$A$5:$A$64,0)),""))</f>
        <v/>
      </c>
      <c r="J775" s="136">
        <f>IF($F775="","",IFERROR(INDEX(사건마스터!$H$5:$H$64,MATCH($F775,사건마스터!$A$5:$A$64,0)),""))</f>
        <v/>
      </c>
      <c r="K775" s="136">
        <f>IF($F775="","",IFERROR(INDEX(사건마스터!$AH$5:$AH$64,MATCH($F775,사건마스터!$A$5:$A$64,0)),""))</f>
        <v/>
      </c>
      <c r="L775" s="136">
        <f>IF($F775="","",IFERROR(INDEX(사건마스터!$AI$5:$AI$64,MATCH($F775,사건마스터!$A$5:$A$64,0)),""))</f>
        <v/>
      </c>
      <c r="M775" s="136">
        <f>IF($F775="","",IFERROR(INDEX(사건마스터!$AJ$5:$AJ$64,MATCH($F775,사건마스터!$A$5:$A$64,0)),""))</f>
        <v/>
      </c>
      <c r="N775" s="136">
        <f>IF($F775="","",IFERROR(INDEX(사건마스터!$AK$5:$AK$64,MATCH($F775,사건마스터!$A$5:$A$64,0)),""))</f>
        <v/>
      </c>
      <c r="O775" s="136">
        <f>IF($F775="","",IFERROR(INDEX(사건마스터!$AL$5:$AL$64,MATCH($F775,사건마스터!$A$5:$A$64,0)),""))</f>
        <v/>
      </c>
      <c r="P775" s="136">
        <f>IF($F775="","",IFERROR(INDEX(사건마스터!$AM$5:$AM$64,MATCH($F775,사건마스터!$A$5:$A$64,0)),""))</f>
        <v/>
      </c>
      <c r="Q775" s="136">
        <f>IF($F775="","",IFERROR(INDEX(사건마스터!$AN$5:$AN$64,MATCH($F775,사건마스터!$A$5:$A$64,0)),""))</f>
        <v/>
      </c>
      <c r="R775" s="136">
        <f>IF($F775="","",IFERROR(INDEX(사건마스터!$AO$5:$AO$64,MATCH($F775,사건마스터!$A$5:$A$64,0)),""))</f>
        <v/>
      </c>
      <c r="S775" s="136">
        <f>IF($F775="","",IFERROR(INDEX(사건마스터!$AP$5:$AP$64,MATCH($F775,사건마스터!$A$5:$A$64,0)),""))</f>
        <v/>
      </c>
      <c r="T775" s="136">
        <f>IF($F775="","",IFERROR(INDEX(사건마스터!$AQ$5:$AQ$64,MATCH($F775,사건마스터!$A$5:$A$64,0)),""))</f>
        <v/>
      </c>
      <c r="U775" s="136">
        <f>IF($F775="","",IFERROR(INDEX(사건마스터!$AR$5:$AR$64,MATCH($F775,사건마스터!$A$5:$A$64,0)),""))</f>
        <v/>
      </c>
      <c r="V775" s="136">
        <f>IF($F775="","",IFERROR(INDEX(사건마스터!$AS$5:$AS$64,MATCH($F775,사건마스터!$A$5:$A$64,0)),""))</f>
        <v/>
      </c>
      <c r="W775" s="136">
        <f>IF($F775="","",IFERROR(INDEX(사건마스터!$AT$5:$AT$64,MATCH($F775,사건마스터!$A$5:$A$64,0)),""))</f>
        <v/>
      </c>
      <c r="X775" s="136">
        <f>IF($F775="","",IFERROR(INDEX(사건마스터!$AU$5:$AU$64,MATCH($F775,사건마스터!$A$5:$A$64,0)),""))</f>
        <v/>
      </c>
      <c r="Y775" s="136">
        <f>IF($F775="","",IFERROR(INDEX(사건마스터!$AV$5:$AV$64,MATCH($F775,사건마스터!$A$5:$A$64,0)),""))</f>
        <v/>
      </c>
      <c r="Z775" s="118">
        <f>IF(COUNTBLANK($J775:$Y775)=16,"",16-COUNTBLANK($J775:$Y775))</f>
        <v/>
      </c>
      <c r="AA775" s="33">
        <f>IF($J775="",MID($AX775,3,255),$J775&amp;$AX775)</f>
        <v/>
      </c>
      <c r="AB775" s="130">
        <f>IF($J775="","",IFERROR(INDEX(코드설정!$D$5:$D$24,MATCH($J775,코드설정!$C$5:$C$24,0)),""))</f>
        <v/>
      </c>
      <c r="AC775" s="36" t="n"/>
      <c r="AD775" s="37" t="n"/>
      <c r="AE775" s="38" t="n"/>
      <c r="AF775" s="118">
        <f>IF(OR($B775="",$C775=""),"",$C775-$B775+1)</f>
        <v/>
      </c>
      <c r="AG775" s="74" t="n"/>
      <c r="AH775" s="36" t="n"/>
      <c r="AJ775">
        <f>IF($K775="","",", "&amp;$K775)</f>
        <v/>
      </c>
      <c r="AK775">
        <f>AJ775&amp;IF($L775="","",", "&amp;$L775)</f>
        <v/>
      </c>
      <c r="AL775">
        <f>AK775&amp;IF($M775="","",", "&amp;$M775)</f>
        <v/>
      </c>
      <c r="AM775">
        <f>AL775&amp;IF($N775="","",", "&amp;$N775)</f>
        <v/>
      </c>
      <c r="AN775">
        <f>AM775&amp;IF($O775="","",", "&amp;$O775)</f>
        <v/>
      </c>
      <c r="AO775">
        <f>AN775&amp;IF($P775="","",", "&amp;$P775)</f>
        <v/>
      </c>
      <c r="AP775">
        <f>AO775&amp;IF($Q775="","",", "&amp;$Q775)</f>
        <v/>
      </c>
      <c r="AQ775">
        <f>AP775&amp;IF($R775="","",", "&amp;$R775)</f>
        <v/>
      </c>
      <c r="AR775">
        <f>AQ775&amp;IF($S775="","",", "&amp;$S775)</f>
        <v/>
      </c>
      <c r="AS775">
        <f>AR775&amp;IF($T775="","",", "&amp;$T775)</f>
        <v/>
      </c>
      <c r="AT775">
        <f>AS775&amp;IF($U775="","",", "&amp;$U775)</f>
        <v/>
      </c>
      <c r="AU775">
        <f>AT775&amp;IF($V775="","",", "&amp;$V775)</f>
        <v/>
      </c>
      <c r="AV775">
        <f>AU775&amp;IF($W775="","",", "&amp;$W775)</f>
        <v/>
      </c>
      <c r="AW775">
        <f>AV775&amp;IF($X775="","",", "&amp;$X775)</f>
        <v/>
      </c>
      <c r="AX775">
        <f>AW775&amp;IF($Y775="","",", "&amp;$Y775)</f>
        <v/>
      </c>
    </row>
    <row r="776">
      <c r="A776" s="118">
        <f>IF($B776="","",COUNT($B$5:$B776))</f>
        <v/>
      </c>
      <c r="B776" s="80" t="n"/>
      <c r="C776" s="80" t="n"/>
      <c r="D776" s="74" t="n"/>
      <c r="E776" s="74" t="n"/>
      <c r="F776" s="74" t="n"/>
      <c r="G776" s="118">
        <f>IF($F776="","",COUNTIF($F$5:$F776,$F776))</f>
        <v/>
      </c>
      <c r="H776" s="33">
        <f>IF($F776="","",IFERROR(INDEX(사건마스터!$B$5:$B$64,MATCH($F776,사건마스터!$A$5:$A$64,0)),""))</f>
        <v/>
      </c>
      <c r="I776" s="130">
        <f>IF($F776="","",IFERROR(INDEX(사건마스터!$C$5:$C$64,MATCH($F776,사건마스터!$A$5:$A$64,0)),""))</f>
        <v/>
      </c>
      <c r="J776" s="136">
        <f>IF($F776="","",IFERROR(INDEX(사건마스터!$H$5:$H$64,MATCH($F776,사건마스터!$A$5:$A$64,0)),""))</f>
        <v/>
      </c>
      <c r="K776" s="136">
        <f>IF($F776="","",IFERROR(INDEX(사건마스터!$AH$5:$AH$64,MATCH($F776,사건마스터!$A$5:$A$64,0)),""))</f>
        <v/>
      </c>
      <c r="L776" s="136">
        <f>IF($F776="","",IFERROR(INDEX(사건마스터!$AI$5:$AI$64,MATCH($F776,사건마스터!$A$5:$A$64,0)),""))</f>
        <v/>
      </c>
      <c r="M776" s="136">
        <f>IF($F776="","",IFERROR(INDEX(사건마스터!$AJ$5:$AJ$64,MATCH($F776,사건마스터!$A$5:$A$64,0)),""))</f>
        <v/>
      </c>
      <c r="N776" s="136">
        <f>IF($F776="","",IFERROR(INDEX(사건마스터!$AK$5:$AK$64,MATCH($F776,사건마스터!$A$5:$A$64,0)),""))</f>
        <v/>
      </c>
      <c r="O776" s="136">
        <f>IF($F776="","",IFERROR(INDEX(사건마스터!$AL$5:$AL$64,MATCH($F776,사건마스터!$A$5:$A$64,0)),""))</f>
        <v/>
      </c>
      <c r="P776" s="136">
        <f>IF($F776="","",IFERROR(INDEX(사건마스터!$AM$5:$AM$64,MATCH($F776,사건마스터!$A$5:$A$64,0)),""))</f>
        <v/>
      </c>
      <c r="Q776" s="136">
        <f>IF($F776="","",IFERROR(INDEX(사건마스터!$AN$5:$AN$64,MATCH($F776,사건마스터!$A$5:$A$64,0)),""))</f>
        <v/>
      </c>
      <c r="R776" s="136">
        <f>IF($F776="","",IFERROR(INDEX(사건마스터!$AO$5:$AO$64,MATCH($F776,사건마스터!$A$5:$A$64,0)),""))</f>
        <v/>
      </c>
      <c r="S776" s="136">
        <f>IF($F776="","",IFERROR(INDEX(사건마스터!$AP$5:$AP$64,MATCH($F776,사건마스터!$A$5:$A$64,0)),""))</f>
        <v/>
      </c>
      <c r="T776" s="136">
        <f>IF($F776="","",IFERROR(INDEX(사건마스터!$AQ$5:$AQ$64,MATCH($F776,사건마스터!$A$5:$A$64,0)),""))</f>
        <v/>
      </c>
      <c r="U776" s="136">
        <f>IF($F776="","",IFERROR(INDEX(사건마스터!$AR$5:$AR$64,MATCH($F776,사건마스터!$A$5:$A$64,0)),""))</f>
        <v/>
      </c>
      <c r="V776" s="136">
        <f>IF($F776="","",IFERROR(INDEX(사건마스터!$AS$5:$AS$64,MATCH($F776,사건마스터!$A$5:$A$64,0)),""))</f>
        <v/>
      </c>
      <c r="W776" s="136">
        <f>IF($F776="","",IFERROR(INDEX(사건마스터!$AT$5:$AT$64,MATCH($F776,사건마스터!$A$5:$A$64,0)),""))</f>
        <v/>
      </c>
      <c r="X776" s="136">
        <f>IF($F776="","",IFERROR(INDEX(사건마스터!$AU$5:$AU$64,MATCH($F776,사건마스터!$A$5:$A$64,0)),""))</f>
        <v/>
      </c>
      <c r="Y776" s="136">
        <f>IF($F776="","",IFERROR(INDEX(사건마스터!$AV$5:$AV$64,MATCH($F776,사건마스터!$A$5:$A$64,0)),""))</f>
        <v/>
      </c>
      <c r="Z776" s="118">
        <f>IF(COUNTBLANK($J776:$Y776)=16,"",16-COUNTBLANK($J776:$Y776))</f>
        <v/>
      </c>
      <c r="AA776" s="33">
        <f>IF($J776="",MID($AX776,3,255),$J776&amp;$AX776)</f>
        <v/>
      </c>
      <c r="AB776" s="130">
        <f>IF($J776="","",IFERROR(INDEX(코드설정!$D$5:$D$24,MATCH($J776,코드설정!$C$5:$C$24,0)),""))</f>
        <v/>
      </c>
      <c r="AC776" s="36" t="n"/>
      <c r="AD776" s="37" t="n"/>
      <c r="AE776" s="38" t="n"/>
      <c r="AF776" s="118">
        <f>IF(OR($B776="",$C776=""),"",$C776-$B776+1)</f>
        <v/>
      </c>
      <c r="AG776" s="74" t="n"/>
      <c r="AH776" s="36" t="n"/>
      <c r="AJ776">
        <f>IF($K776="","",", "&amp;$K776)</f>
        <v/>
      </c>
      <c r="AK776">
        <f>AJ776&amp;IF($L776="","",", "&amp;$L776)</f>
        <v/>
      </c>
      <c r="AL776">
        <f>AK776&amp;IF($M776="","",", "&amp;$M776)</f>
        <v/>
      </c>
      <c r="AM776">
        <f>AL776&amp;IF($N776="","",", "&amp;$N776)</f>
        <v/>
      </c>
      <c r="AN776">
        <f>AM776&amp;IF($O776="","",", "&amp;$O776)</f>
        <v/>
      </c>
      <c r="AO776">
        <f>AN776&amp;IF($P776="","",", "&amp;$P776)</f>
        <v/>
      </c>
      <c r="AP776">
        <f>AO776&amp;IF($Q776="","",", "&amp;$Q776)</f>
        <v/>
      </c>
      <c r="AQ776">
        <f>AP776&amp;IF($R776="","",", "&amp;$R776)</f>
        <v/>
      </c>
      <c r="AR776">
        <f>AQ776&amp;IF($S776="","",", "&amp;$S776)</f>
        <v/>
      </c>
      <c r="AS776">
        <f>AR776&amp;IF($T776="","",", "&amp;$T776)</f>
        <v/>
      </c>
      <c r="AT776">
        <f>AS776&amp;IF($U776="","",", "&amp;$U776)</f>
        <v/>
      </c>
      <c r="AU776">
        <f>AT776&amp;IF($V776="","",", "&amp;$V776)</f>
        <v/>
      </c>
      <c r="AV776">
        <f>AU776&amp;IF($W776="","",", "&amp;$W776)</f>
        <v/>
      </c>
      <c r="AW776">
        <f>AV776&amp;IF($X776="","",", "&amp;$X776)</f>
        <v/>
      </c>
      <c r="AX776">
        <f>AW776&amp;IF($Y776="","",", "&amp;$Y776)</f>
        <v/>
      </c>
    </row>
    <row r="777">
      <c r="A777" s="118">
        <f>IF($B777="","",COUNT($B$5:$B777))</f>
        <v/>
      </c>
      <c r="B777" s="80" t="n"/>
      <c r="C777" s="80" t="n"/>
      <c r="D777" s="74" t="n"/>
      <c r="E777" s="74" t="n"/>
      <c r="F777" s="74" t="n"/>
      <c r="G777" s="118">
        <f>IF($F777="","",COUNTIF($F$5:$F777,$F777))</f>
        <v/>
      </c>
      <c r="H777" s="33">
        <f>IF($F777="","",IFERROR(INDEX(사건마스터!$B$5:$B$64,MATCH($F777,사건마스터!$A$5:$A$64,0)),""))</f>
        <v/>
      </c>
      <c r="I777" s="130">
        <f>IF($F777="","",IFERROR(INDEX(사건마스터!$C$5:$C$64,MATCH($F777,사건마스터!$A$5:$A$64,0)),""))</f>
        <v/>
      </c>
      <c r="J777" s="136">
        <f>IF($F777="","",IFERROR(INDEX(사건마스터!$H$5:$H$64,MATCH($F777,사건마스터!$A$5:$A$64,0)),""))</f>
        <v/>
      </c>
      <c r="K777" s="136">
        <f>IF($F777="","",IFERROR(INDEX(사건마스터!$AH$5:$AH$64,MATCH($F777,사건마스터!$A$5:$A$64,0)),""))</f>
        <v/>
      </c>
      <c r="L777" s="136">
        <f>IF($F777="","",IFERROR(INDEX(사건마스터!$AI$5:$AI$64,MATCH($F777,사건마스터!$A$5:$A$64,0)),""))</f>
        <v/>
      </c>
      <c r="M777" s="136">
        <f>IF($F777="","",IFERROR(INDEX(사건마스터!$AJ$5:$AJ$64,MATCH($F777,사건마스터!$A$5:$A$64,0)),""))</f>
        <v/>
      </c>
      <c r="N777" s="136">
        <f>IF($F777="","",IFERROR(INDEX(사건마스터!$AK$5:$AK$64,MATCH($F777,사건마스터!$A$5:$A$64,0)),""))</f>
        <v/>
      </c>
      <c r="O777" s="136">
        <f>IF($F777="","",IFERROR(INDEX(사건마스터!$AL$5:$AL$64,MATCH($F777,사건마스터!$A$5:$A$64,0)),""))</f>
        <v/>
      </c>
      <c r="P777" s="136">
        <f>IF($F777="","",IFERROR(INDEX(사건마스터!$AM$5:$AM$64,MATCH($F777,사건마스터!$A$5:$A$64,0)),""))</f>
        <v/>
      </c>
      <c r="Q777" s="136">
        <f>IF($F777="","",IFERROR(INDEX(사건마스터!$AN$5:$AN$64,MATCH($F777,사건마스터!$A$5:$A$64,0)),""))</f>
        <v/>
      </c>
      <c r="R777" s="136">
        <f>IF($F777="","",IFERROR(INDEX(사건마스터!$AO$5:$AO$64,MATCH($F777,사건마스터!$A$5:$A$64,0)),""))</f>
        <v/>
      </c>
      <c r="S777" s="136">
        <f>IF($F777="","",IFERROR(INDEX(사건마스터!$AP$5:$AP$64,MATCH($F777,사건마스터!$A$5:$A$64,0)),""))</f>
        <v/>
      </c>
      <c r="T777" s="136">
        <f>IF($F777="","",IFERROR(INDEX(사건마스터!$AQ$5:$AQ$64,MATCH($F777,사건마스터!$A$5:$A$64,0)),""))</f>
        <v/>
      </c>
      <c r="U777" s="136">
        <f>IF($F777="","",IFERROR(INDEX(사건마스터!$AR$5:$AR$64,MATCH($F777,사건마스터!$A$5:$A$64,0)),""))</f>
        <v/>
      </c>
      <c r="V777" s="136">
        <f>IF($F777="","",IFERROR(INDEX(사건마스터!$AS$5:$AS$64,MATCH($F777,사건마스터!$A$5:$A$64,0)),""))</f>
        <v/>
      </c>
      <c r="W777" s="136">
        <f>IF($F777="","",IFERROR(INDEX(사건마스터!$AT$5:$AT$64,MATCH($F777,사건마스터!$A$5:$A$64,0)),""))</f>
        <v/>
      </c>
      <c r="X777" s="136">
        <f>IF($F777="","",IFERROR(INDEX(사건마스터!$AU$5:$AU$64,MATCH($F777,사건마스터!$A$5:$A$64,0)),""))</f>
        <v/>
      </c>
      <c r="Y777" s="136">
        <f>IF($F777="","",IFERROR(INDEX(사건마스터!$AV$5:$AV$64,MATCH($F777,사건마스터!$A$5:$A$64,0)),""))</f>
        <v/>
      </c>
      <c r="Z777" s="118">
        <f>IF(COUNTBLANK($J777:$Y777)=16,"",16-COUNTBLANK($J777:$Y777))</f>
        <v/>
      </c>
      <c r="AA777" s="33">
        <f>IF($J777="",MID($AX777,3,255),$J777&amp;$AX777)</f>
        <v/>
      </c>
      <c r="AB777" s="130">
        <f>IF($J777="","",IFERROR(INDEX(코드설정!$D$5:$D$24,MATCH($J777,코드설정!$C$5:$C$24,0)),""))</f>
        <v/>
      </c>
      <c r="AC777" s="36" t="n"/>
      <c r="AD777" s="37" t="n"/>
      <c r="AE777" s="38" t="n"/>
      <c r="AF777" s="118">
        <f>IF(OR($B777="",$C777=""),"",$C777-$B777+1)</f>
        <v/>
      </c>
      <c r="AG777" s="74" t="n"/>
      <c r="AH777" s="36" t="n"/>
      <c r="AJ777">
        <f>IF($K777="","",", "&amp;$K777)</f>
        <v/>
      </c>
      <c r="AK777">
        <f>AJ777&amp;IF($L777="","",", "&amp;$L777)</f>
        <v/>
      </c>
      <c r="AL777">
        <f>AK777&amp;IF($M777="","",", "&amp;$M777)</f>
        <v/>
      </c>
      <c r="AM777">
        <f>AL777&amp;IF($N777="","",", "&amp;$N777)</f>
        <v/>
      </c>
      <c r="AN777">
        <f>AM777&amp;IF($O777="","",", "&amp;$O777)</f>
        <v/>
      </c>
      <c r="AO777">
        <f>AN777&amp;IF($P777="","",", "&amp;$P777)</f>
        <v/>
      </c>
      <c r="AP777">
        <f>AO777&amp;IF($Q777="","",", "&amp;$Q777)</f>
        <v/>
      </c>
      <c r="AQ777">
        <f>AP777&amp;IF($R777="","",", "&amp;$R777)</f>
        <v/>
      </c>
      <c r="AR777">
        <f>AQ777&amp;IF($S777="","",", "&amp;$S777)</f>
        <v/>
      </c>
      <c r="AS777">
        <f>AR777&amp;IF($T777="","",", "&amp;$T777)</f>
        <v/>
      </c>
      <c r="AT777">
        <f>AS777&amp;IF($U777="","",", "&amp;$U777)</f>
        <v/>
      </c>
      <c r="AU777">
        <f>AT777&amp;IF($V777="","",", "&amp;$V777)</f>
        <v/>
      </c>
      <c r="AV777">
        <f>AU777&amp;IF($W777="","",", "&amp;$W777)</f>
        <v/>
      </c>
      <c r="AW777">
        <f>AV777&amp;IF($X777="","",", "&amp;$X777)</f>
        <v/>
      </c>
      <c r="AX777">
        <f>AW777&amp;IF($Y777="","",", "&amp;$Y777)</f>
        <v/>
      </c>
    </row>
    <row r="778">
      <c r="A778" s="118">
        <f>IF($B778="","",COUNT($B$5:$B778))</f>
        <v/>
      </c>
      <c r="B778" s="80" t="n"/>
      <c r="C778" s="80" t="n"/>
      <c r="D778" s="74" t="n"/>
      <c r="E778" s="74" t="n"/>
      <c r="F778" s="74" t="n"/>
      <c r="G778" s="118">
        <f>IF($F778="","",COUNTIF($F$5:$F778,$F778))</f>
        <v/>
      </c>
      <c r="H778" s="33">
        <f>IF($F778="","",IFERROR(INDEX(사건마스터!$B$5:$B$64,MATCH($F778,사건마스터!$A$5:$A$64,0)),""))</f>
        <v/>
      </c>
      <c r="I778" s="130">
        <f>IF($F778="","",IFERROR(INDEX(사건마스터!$C$5:$C$64,MATCH($F778,사건마스터!$A$5:$A$64,0)),""))</f>
        <v/>
      </c>
      <c r="J778" s="136">
        <f>IF($F778="","",IFERROR(INDEX(사건마스터!$H$5:$H$64,MATCH($F778,사건마스터!$A$5:$A$64,0)),""))</f>
        <v/>
      </c>
      <c r="K778" s="136">
        <f>IF($F778="","",IFERROR(INDEX(사건마스터!$AH$5:$AH$64,MATCH($F778,사건마스터!$A$5:$A$64,0)),""))</f>
        <v/>
      </c>
      <c r="L778" s="136">
        <f>IF($F778="","",IFERROR(INDEX(사건마스터!$AI$5:$AI$64,MATCH($F778,사건마스터!$A$5:$A$64,0)),""))</f>
        <v/>
      </c>
      <c r="M778" s="136">
        <f>IF($F778="","",IFERROR(INDEX(사건마스터!$AJ$5:$AJ$64,MATCH($F778,사건마스터!$A$5:$A$64,0)),""))</f>
        <v/>
      </c>
      <c r="N778" s="136">
        <f>IF($F778="","",IFERROR(INDEX(사건마스터!$AK$5:$AK$64,MATCH($F778,사건마스터!$A$5:$A$64,0)),""))</f>
        <v/>
      </c>
      <c r="O778" s="136">
        <f>IF($F778="","",IFERROR(INDEX(사건마스터!$AL$5:$AL$64,MATCH($F778,사건마스터!$A$5:$A$64,0)),""))</f>
        <v/>
      </c>
      <c r="P778" s="136">
        <f>IF($F778="","",IFERROR(INDEX(사건마스터!$AM$5:$AM$64,MATCH($F778,사건마스터!$A$5:$A$64,0)),""))</f>
        <v/>
      </c>
      <c r="Q778" s="136">
        <f>IF($F778="","",IFERROR(INDEX(사건마스터!$AN$5:$AN$64,MATCH($F778,사건마스터!$A$5:$A$64,0)),""))</f>
        <v/>
      </c>
      <c r="R778" s="136">
        <f>IF($F778="","",IFERROR(INDEX(사건마스터!$AO$5:$AO$64,MATCH($F778,사건마스터!$A$5:$A$64,0)),""))</f>
        <v/>
      </c>
      <c r="S778" s="136">
        <f>IF($F778="","",IFERROR(INDEX(사건마스터!$AP$5:$AP$64,MATCH($F778,사건마스터!$A$5:$A$64,0)),""))</f>
        <v/>
      </c>
      <c r="T778" s="136">
        <f>IF($F778="","",IFERROR(INDEX(사건마스터!$AQ$5:$AQ$64,MATCH($F778,사건마스터!$A$5:$A$64,0)),""))</f>
        <v/>
      </c>
      <c r="U778" s="136">
        <f>IF($F778="","",IFERROR(INDEX(사건마스터!$AR$5:$AR$64,MATCH($F778,사건마스터!$A$5:$A$64,0)),""))</f>
        <v/>
      </c>
      <c r="V778" s="136">
        <f>IF($F778="","",IFERROR(INDEX(사건마스터!$AS$5:$AS$64,MATCH($F778,사건마스터!$A$5:$A$64,0)),""))</f>
        <v/>
      </c>
      <c r="W778" s="136">
        <f>IF($F778="","",IFERROR(INDEX(사건마스터!$AT$5:$AT$64,MATCH($F778,사건마스터!$A$5:$A$64,0)),""))</f>
        <v/>
      </c>
      <c r="X778" s="136">
        <f>IF($F778="","",IFERROR(INDEX(사건마스터!$AU$5:$AU$64,MATCH($F778,사건마스터!$A$5:$A$64,0)),""))</f>
        <v/>
      </c>
      <c r="Y778" s="136">
        <f>IF($F778="","",IFERROR(INDEX(사건마스터!$AV$5:$AV$64,MATCH($F778,사건마스터!$A$5:$A$64,0)),""))</f>
        <v/>
      </c>
      <c r="Z778" s="118">
        <f>IF(COUNTBLANK($J778:$Y778)=16,"",16-COUNTBLANK($J778:$Y778))</f>
        <v/>
      </c>
      <c r="AA778" s="33">
        <f>IF($J778="",MID($AX778,3,255),$J778&amp;$AX778)</f>
        <v/>
      </c>
      <c r="AB778" s="130">
        <f>IF($J778="","",IFERROR(INDEX(코드설정!$D$5:$D$24,MATCH($J778,코드설정!$C$5:$C$24,0)),""))</f>
        <v/>
      </c>
      <c r="AC778" s="36" t="n"/>
      <c r="AD778" s="37" t="n"/>
      <c r="AE778" s="38" t="n"/>
      <c r="AF778" s="118">
        <f>IF(OR($B778="",$C778=""),"",$C778-$B778+1)</f>
        <v/>
      </c>
      <c r="AG778" s="74" t="n"/>
      <c r="AH778" s="36" t="n"/>
      <c r="AJ778">
        <f>IF($K778="","",", "&amp;$K778)</f>
        <v/>
      </c>
      <c r="AK778">
        <f>AJ778&amp;IF($L778="","",", "&amp;$L778)</f>
        <v/>
      </c>
      <c r="AL778">
        <f>AK778&amp;IF($M778="","",", "&amp;$M778)</f>
        <v/>
      </c>
      <c r="AM778">
        <f>AL778&amp;IF($N778="","",", "&amp;$N778)</f>
        <v/>
      </c>
      <c r="AN778">
        <f>AM778&amp;IF($O778="","",", "&amp;$O778)</f>
        <v/>
      </c>
      <c r="AO778">
        <f>AN778&amp;IF($P778="","",", "&amp;$P778)</f>
        <v/>
      </c>
      <c r="AP778">
        <f>AO778&amp;IF($Q778="","",", "&amp;$Q778)</f>
        <v/>
      </c>
      <c r="AQ778">
        <f>AP778&amp;IF($R778="","",", "&amp;$R778)</f>
        <v/>
      </c>
      <c r="AR778">
        <f>AQ778&amp;IF($S778="","",", "&amp;$S778)</f>
        <v/>
      </c>
      <c r="AS778">
        <f>AR778&amp;IF($T778="","",", "&amp;$T778)</f>
        <v/>
      </c>
      <c r="AT778">
        <f>AS778&amp;IF($U778="","",", "&amp;$U778)</f>
        <v/>
      </c>
      <c r="AU778">
        <f>AT778&amp;IF($V778="","",", "&amp;$V778)</f>
        <v/>
      </c>
      <c r="AV778">
        <f>AU778&amp;IF($W778="","",", "&amp;$W778)</f>
        <v/>
      </c>
      <c r="AW778">
        <f>AV778&amp;IF($X778="","",", "&amp;$X778)</f>
        <v/>
      </c>
      <c r="AX778">
        <f>AW778&amp;IF($Y778="","",", "&amp;$Y778)</f>
        <v/>
      </c>
    </row>
    <row r="779">
      <c r="A779" s="118">
        <f>IF($B779="","",COUNT($B$5:$B779))</f>
        <v/>
      </c>
      <c r="B779" s="80" t="n"/>
      <c r="C779" s="80" t="n"/>
      <c r="D779" s="74" t="n"/>
      <c r="E779" s="74" t="n"/>
      <c r="F779" s="74" t="n"/>
      <c r="G779" s="118">
        <f>IF($F779="","",COUNTIF($F$5:$F779,$F779))</f>
        <v/>
      </c>
      <c r="H779" s="33">
        <f>IF($F779="","",IFERROR(INDEX(사건마스터!$B$5:$B$64,MATCH($F779,사건마스터!$A$5:$A$64,0)),""))</f>
        <v/>
      </c>
      <c r="I779" s="130">
        <f>IF($F779="","",IFERROR(INDEX(사건마스터!$C$5:$C$64,MATCH($F779,사건마스터!$A$5:$A$64,0)),""))</f>
        <v/>
      </c>
      <c r="J779" s="136">
        <f>IF($F779="","",IFERROR(INDEX(사건마스터!$H$5:$H$64,MATCH($F779,사건마스터!$A$5:$A$64,0)),""))</f>
        <v/>
      </c>
      <c r="K779" s="136">
        <f>IF($F779="","",IFERROR(INDEX(사건마스터!$AH$5:$AH$64,MATCH($F779,사건마스터!$A$5:$A$64,0)),""))</f>
        <v/>
      </c>
      <c r="L779" s="136">
        <f>IF($F779="","",IFERROR(INDEX(사건마스터!$AI$5:$AI$64,MATCH($F779,사건마스터!$A$5:$A$64,0)),""))</f>
        <v/>
      </c>
      <c r="M779" s="136">
        <f>IF($F779="","",IFERROR(INDEX(사건마스터!$AJ$5:$AJ$64,MATCH($F779,사건마스터!$A$5:$A$64,0)),""))</f>
        <v/>
      </c>
      <c r="N779" s="136">
        <f>IF($F779="","",IFERROR(INDEX(사건마스터!$AK$5:$AK$64,MATCH($F779,사건마스터!$A$5:$A$64,0)),""))</f>
        <v/>
      </c>
      <c r="O779" s="136">
        <f>IF($F779="","",IFERROR(INDEX(사건마스터!$AL$5:$AL$64,MATCH($F779,사건마스터!$A$5:$A$64,0)),""))</f>
        <v/>
      </c>
      <c r="P779" s="136">
        <f>IF($F779="","",IFERROR(INDEX(사건마스터!$AM$5:$AM$64,MATCH($F779,사건마스터!$A$5:$A$64,0)),""))</f>
        <v/>
      </c>
      <c r="Q779" s="136">
        <f>IF($F779="","",IFERROR(INDEX(사건마스터!$AN$5:$AN$64,MATCH($F779,사건마스터!$A$5:$A$64,0)),""))</f>
        <v/>
      </c>
      <c r="R779" s="136">
        <f>IF($F779="","",IFERROR(INDEX(사건마스터!$AO$5:$AO$64,MATCH($F779,사건마스터!$A$5:$A$64,0)),""))</f>
        <v/>
      </c>
      <c r="S779" s="136">
        <f>IF($F779="","",IFERROR(INDEX(사건마스터!$AP$5:$AP$64,MATCH($F779,사건마스터!$A$5:$A$64,0)),""))</f>
        <v/>
      </c>
      <c r="T779" s="136">
        <f>IF($F779="","",IFERROR(INDEX(사건마스터!$AQ$5:$AQ$64,MATCH($F779,사건마스터!$A$5:$A$64,0)),""))</f>
        <v/>
      </c>
      <c r="U779" s="136">
        <f>IF($F779="","",IFERROR(INDEX(사건마스터!$AR$5:$AR$64,MATCH($F779,사건마스터!$A$5:$A$64,0)),""))</f>
        <v/>
      </c>
      <c r="V779" s="136">
        <f>IF($F779="","",IFERROR(INDEX(사건마스터!$AS$5:$AS$64,MATCH($F779,사건마스터!$A$5:$A$64,0)),""))</f>
        <v/>
      </c>
      <c r="W779" s="136">
        <f>IF($F779="","",IFERROR(INDEX(사건마스터!$AT$5:$AT$64,MATCH($F779,사건마스터!$A$5:$A$64,0)),""))</f>
        <v/>
      </c>
      <c r="X779" s="136">
        <f>IF($F779="","",IFERROR(INDEX(사건마스터!$AU$5:$AU$64,MATCH($F779,사건마스터!$A$5:$A$64,0)),""))</f>
        <v/>
      </c>
      <c r="Y779" s="136">
        <f>IF($F779="","",IFERROR(INDEX(사건마스터!$AV$5:$AV$64,MATCH($F779,사건마스터!$A$5:$A$64,0)),""))</f>
        <v/>
      </c>
      <c r="Z779" s="118">
        <f>IF(COUNTBLANK($J779:$Y779)=16,"",16-COUNTBLANK($J779:$Y779))</f>
        <v/>
      </c>
      <c r="AA779" s="33">
        <f>IF($J779="",MID($AX779,3,255),$J779&amp;$AX779)</f>
        <v/>
      </c>
      <c r="AB779" s="130">
        <f>IF($J779="","",IFERROR(INDEX(코드설정!$D$5:$D$24,MATCH($J779,코드설정!$C$5:$C$24,0)),""))</f>
        <v/>
      </c>
      <c r="AC779" s="36" t="n"/>
      <c r="AD779" s="37" t="n"/>
      <c r="AE779" s="38" t="n"/>
      <c r="AF779" s="118">
        <f>IF(OR($B779="",$C779=""),"",$C779-$B779+1)</f>
        <v/>
      </c>
      <c r="AG779" s="74" t="n"/>
      <c r="AH779" s="36" t="n"/>
      <c r="AJ779">
        <f>IF($K779="","",", "&amp;$K779)</f>
        <v/>
      </c>
      <c r="AK779">
        <f>AJ779&amp;IF($L779="","",", "&amp;$L779)</f>
        <v/>
      </c>
      <c r="AL779">
        <f>AK779&amp;IF($M779="","",", "&amp;$M779)</f>
        <v/>
      </c>
      <c r="AM779">
        <f>AL779&amp;IF($N779="","",", "&amp;$N779)</f>
        <v/>
      </c>
      <c r="AN779">
        <f>AM779&amp;IF($O779="","",", "&amp;$O779)</f>
        <v/>
      </c>
      <c r="AO779">
        <f>AN779&amp;IF($P779="","",", "&amp;$P779)</f>
        <v/>
      </c>
      <c r="AP779">
        <f>AO779&amp;IF($Q779="","",", "&amp;$Q779)</f>
        <v/>
      </c>
      <c r="AQ779">
        <f>AP779&amp;IF($R779="","",", "&amp;$R779)</f>
        <v/>
      </c>
      <c r="AR779">
        <f>AQ779&amp;IF($S779="","",", "&amp;$S779)</f>
        <v/>
      </c>
      <c r="AS779">
        <f>AR779&amp;IF($T779="","",", "&amp;$T779)</f>
        <v/>
      </c>
      <c r="AT779">
        <f>AS779&amp;IF($U779="","",", "&amp;$U779)</f>
        <v/>
      </c>
      <c r="AU779">
        <f>AT779&amp;IF($V779="","",", "&amp;$V779)</f>
        <v/>
      </c>
      <c r="AV779">
        <f>AU779&amp;IF($W779="","",", "&amp;$W779)</f>
        <v/>
      </c>
      <c r="AW779">
        <f>AV779&amp;IF($X779="","",", "&amp;$X779)</f>
        <v/>
      </c>
      <c r="AX779">
        <f>AW779&amp;IF($Y779="","",", "&amp;$Y779)</f>
        <v/>
      </c>
    </row>
    <row r="780">
      <c r="A780" s="118">
        <f>IF($B780="","",COUNT($B$5:$B780))</f>
        <v/>
      </c>
      <c r="B780" s="80" t="n"/>
      <c r="C780" s="80" t="n"/>
      <c r="D780" s="74" t="n"/>
      <c r="E780" s="74" t="n"/>
      <c r="F780" s="74" t="n"/>
      <c r="G780" s="118">
        <f>IF($F780="","",COUNTIF($F$5:$F780,$F780))</f>
        <v/>
      </c>
      <c r="H780" s="33">
        <f>IF($F780="","",IFERROR(INDEX(사건마스터!$B$5:$B$64,MATCH($F780,사건마스터!$A$5:$A$64,0)),""))</f>
        <v/>
      </c>
      <c r="I780" s="130">
        <f>IF($F780="","",IFERROR(INDEX(사건마스터!$C$5:$C$64,MATCH($F780,사건마스터!$A$5:$A$64,0)),""))</f>
        <v/>
      </c>
      <c r="J780" s="136">
        <f>IF($F780="","",IFERROR(INDEX(사건마스터!$H$5:$H$64,MATCH($F780,사건마스터!$A$5:$A$64,0)),""))</f>
        <v/>
      </c>
      <c r="K780" s="136">
        <f>IF($F780="","",IFERROR(INDEX(사건마스터!$AH$5:$AH$64,MATCH($F780,사건마스터!$A$5:$A$64,0)),""))</f>
        <v/>
      </c>
      <c r="L780" s="136">
        <f>IF($F780="","",IFERROR(INDEX(사건마스터!$AI$5:$AI$64,MATCH($F780,사건마스터!$A$5:$A$64,0)),""))</f>
        <v/>
      </c>
      <c r="M780" s="136">
        <f>IF($F780="","",IFERROR(INDEX(사건마스터!$AJ$5:$AJ$64,MATCH($F780,사건마스터!$A$5:$A$64,0)),""))</f>
        <v/>
      </c>
      <c r="N780" s="136">
        <f>IF($F780="","",IFERROR(INDEX(사건마스터!$AK$5:$AK$64,MATCH($F780,사건마스터!$A$5:$A$64,0)),""))</f>
        <v/>
      </c>
      <c r="O780" s="136">
        <f>IF($F780="","",IFERROR(INDEX(사건마스터!$AL$5:$AL$64,MATCH($F780,사건마스터!$A$5:$A$64,0)),""))</f>
        <v/>
      </c>
      <c r="P780" s="136">
        <f>IF($F780="","",IFERROR(INDEX(사건마스터!$AM$5:$AM$64,MATCH($F780,사건마스터!$A$5:$A$64,0)),""))</f>
        <v/>
      </c>
      <c r="Q780" s="136">
        <f>IF($F780="","",IFERROR(INDEX(사건마스터!$AN$5:$AN$64,MATCH($F780,사건마스터!$A$5:$A$64,0)),""))</f>
        <v/>
      </c>
      <c r="R780" s="136">
        <f>IF($F780="","",IFERROR(INDEX(사건마스터!$AO$5:$AO$64,MATCH($F780,사건마스터!$A$5:$A$64,0)),""))</f>
        <v/>
      </c>
      <c r="S780" s="136">
        <f>IF($F780="","",IFERROR(INDEX(사건마스터!$AP$5:$AP$64,MATCH($F780,사건마스터!$A$5:$A$64,0)),""))</f>
        <v/>
      </c>
      <c r="T780" s="136">
        <f>IF($F780="","",IFERROR(INDEX(사건마스터!$AQ$5:$AQ$64,MATCH($F780,사건마스터!$A$5:$A$64,0)),""))</f>
        <v/>
      </c>
      <c r="U780" s="136">
        <f>IF($F780="","",IFERROR(INDEX(사건마스터!$AR$5:$AR$64,MATCH($F780,사건마스터!$A$5:$A$64,0)),""))</f>
        <v/>
      </c>
      <c r="V780" s="136">
        <f>IF($F780="","",IFERROR(INDEX(사건마스터!$AS$5:$AS$64,MATCH($F780,사건마스터!$A$5:$A$64,0)),""))</f>
        <v/>
      </c>
      <c r="W780" s="136">
        <f>IF($F780="","",IFERROR(INDEX(사건마스터!$AT$5:$AT$64,MATCH($F780,사건마스터!$A$5:$A$64,0)),""))</f>
        <v/>
      </c>
      <c r="X780" s="136">
        <f>IF($F780="","",IFERROR(INDEX(사건마스터!$AU$5:$AU$64,MATCH($F780,사건마스터!$A$5:$A$64,0)),""))</f>
        <v/>
      </c>
      <c r="Y780" s="136">
        <f>IF($F780="","",IFERROR(INDEX(사건마스터!$AV$5:$AV$64,MATCH($F780,사건마스터!$A$5:$A$64,0)),""))</f>
        <v/>
      </c>
      <c r="Z780" s="118">
        <f>IF(COUNTBLANK($J780:$Y780)=16,"",16-COUNTBLANK($J780:$Y780))</f>
        <v/>
      </c>
      <c r="AA780" s="33">
        <f>IF($J780="",MID($AX780,3,255),$J780&amp;$AX780)</f>
        <v/>
      </c>
      <c r="AB780" s="130">
        <f>IF($J780="","",IFERROR(INDEX(코드설정!$D$5:$D$24,MATCH($J780,코드설정!$C$5:$C$24,0)),""))</f>
        <v/>
      </c>
      <c r="AC780" s="36" t="n"/>
      <c r="AD780" s="37" t="n"/>
      <c r="AE780" s="38" t="n"/>
      <c r="AF780" s="118">
        <f>IF(OR($B780="",$C780=""),"",$C780-$B780+1)</f>
        <v/>
      </c>
      <c r="AG780" s="74" t="n"/>
      <c r="AH780" s="36" t="n"/>
      <c r="AJ780">
        <f>IF($K780="","",", "&amp;$K780)</f>
        <v/>
      </c>
      <c r="AK780">
        <f>AJ780&amp;IF($L780="","",", "&amp;$L780)</f>
        <v/>
      </c>
      <c r="AL780">
        <f>AK780&amp;IF($M780="","",", "&amp;$M780)</f>
        <v/>
      </c>
      <c r="AM780">
        <f>AL780&amp;IF($N780="","",", "&amp;$N780)</f>
        <v/>
      </c>
      <c r="AN780">
        <f>AM780&amp;IF($O780="","",", "&amp;$O780)</f>
        <v/>
      </c>
      <c r="AO780">
        <f>AN780&amp;IF($P780="","",", "&amp;$P780)</f>
        <v/>
      </c>
      <c r="AP780">
        <f>AO780&amp;IF($Q780="","",", "&amp;$Q780)</f>
        <v/>
      </c>
      <c r="AQ780">
        <f>AP780&amp;IF($R780="","",", "&amp;$R780)</f>
        <v/>
      </c>
      <c r="AR780">
        <f>AQ780&amp;IF($S780="","",", "&amp;$S780)</f>
        <v/>
      </c>
      <c r="AS780">
        <f>AR780&amp;IF($T780="","",", "&amp;$T780)</f>
        <v/>
      </c>
      <c r="AT780">
        <f>AS780&amp;IF($U780="","",", "&amp;$U780)</f>
        <v/>
      </c>
      <c r="AU780">
        <f>AT780&amp;IF($V780="","",", "&amp;$V780)</f>
        <v/>
      </c>
      <c r="AV780">
        <f>AU780&amp;IF($W780="","",", "&amp;$W780)</f>
        <v/>
      </c>
      <c r="AW780">
        <f>AV780&amp;IF($X780="","",", "&amp;$X780)</f>
        <v/>
      </c>
      <c r="AX780">
        <f>AW780&amp;IF($Y780="","",", "&amp;$Y780)</f>
        <v/>
      </c>
    </row>
    <row r="781">
      <c r="A781" s="118">
        <f>IF($B781="","",COUNT($B$5:$B781))</f>
        <v/>
      </c>
      <c r="B781" s="80" t="n"/>
      <c r="C781" s="80" t="n"/>
      <c r="D781" s="74" t="n"/>
      <c r="E781" s="74" t="n"/>
      <c r="F781" s="74" t="n"/>
      <c r="G781" s="118">
        <f>IF($F781="","",COUNTIF($F$5:$F781,$F781))</f>
        <v/>
      </c>
      <c r="H781" s="33">
        <f>IF($F781="","",IFERROR(INDEX(사건마스터!$B$5:$B$64,MATCH($F781,사건마스터!$A$5:$A$64,0)),""))</f>
        <v/>
      </c>
      <c r="I781" s="130">
        <f>IF($F781="","",IFERROR(INDEX(사건마스터!$C$5:$C$64,MATCH($F781,사건마스터!$A$5:$A$64,0)),""))</f>
        <v/>
      </c>
      <c r="J781" s="136">
        <f>IF($F781="","",IFERROR(INDEX(사건마스터!$H$5:$H$64,MATCH($F781,사건마스터!$A$5:$A$64,0)),""))</f>
        <v/>
      </c>
      <c r="K781" s="136">
        <f>IF($F781="","",IFERROR(INDEX(사건마스터!$AH$5:$AH$64,MATCH($F781,사건마스터!$A$5:$A$64,0)),""))</f>
        <v/>
      </c>
      <c r="L781" s="136">
        <f>IF($F781="","",IFERROR(INDEX(사건마스터!$AI$5:$AI$64,MATCH($F781,사건마스터!$A$5:$A$64,0)),""))</f>
        <v/>
      </c>
      <c r="M781" s="136">
        <f>IF($F781="","",IFERROR(INDEX(사건마스터!$AJ$5:$AJ$64,MATCH($F781,사건마스터!$A$5:$A$64,0)),""))</f>
        <v/>
      </c>
      <c r="N781" s="136">
        <f>IF($F781="","",IFERROR(INDEX(사건마스터!$AK$5:$AK$64,MATCH($F781,사건마스터!$A$5:$A$64,0)),""))</f>
        <v/>
      </c>
      <c r="O781" s="136">
        <f>IF($F781="","",IFERROR(INDEX(사건마스터!$AL$5:$AL$64,MATCH($F781,사건마스터!$A$5:$A$64,0)),""))</f>
        <v/>
      </c>
      <c r="P781" s="136">
        <f>IF($F781="","",IFERROR(INDEX(사건마스터!$AM$5:$AM$64,MATCH($F781,사건마스터!$A$5:$A$64,0)),""))</f>
        <v/>
      </c>
      <c r="Q781" s="136">
        <f>IF($F781="","",IFERROR(INDEX(사건마스터!$AN$5:$AN$64,MATCH($F781,사건마스터!$A$5:$A$64,0)),""))</f>
        <v/>
      </c>
      <c r="R781" s="136">
        <f>IF($F781="","",IFERROR(INDEX(사건마스터!$AO$5:$AO$64,MATCH($F781,사건마스터!$A$5:$A$64,0)),""))</f>
        <v/>
      </c>
      <c r="S781" s="136">
        <f>IF($F781="","",IFERROR(INDEX(사건마스터!$AP$5:$AP$64,MATCH($F781,사건마스터!$A$5:$A$64,0)),""))</f>
        <v/>
      </c>
      <c r="T781" s="136">
        <f>IF($F781="","",IFERROR(INDEX(사건마스터!$AQ$5:$AQ$64,MATCH($F781,사건마스터!$A$5:$A$64,0)),""))</f>
        <v/>
      </c>
      <c r="U781" s="136">
        <f>IF($F781="","",IFERROR(INDEX(사건마스터!$AR$5:$AR$64,MATCH($F781,사건마스터!$A$5:$A$64,0)),""))</f>
        <v/>
      </c>
      <c r="V781" s="136">
        <f>IF($F781="","",IFERROR(INDEX(사건마스터!$AS$5:$AS$64,MATCH($F781,사건마스터!$A$5:$A$64,0)),""))</f>
        <v/>
      </c>
      <c r="W781" s="136">
        <f>IF($F781="","",IFERROR(INDEX(사건마스터!$AT$5:$AT$64,MATCH($F781,사건마스터!$A$5:$A$64,0)),""))</f>
        <v/>
      </c>
      <c r="X781" s="136">
        <f>IF($F781="","",IFERROR(INDEX(사건마스터!$AU$5:$AU$64,MATCH($F781,사건마스터!$A$5:$A$64,0)),""))</f>
        <v/>
      </c>
      <c r="Y781" s="136">
        <f>IF($F781="","",IFERROR(INDEX(사건마스터!$AV$5:$AV$64,MATCH($F781,사건마스터!$A$5:$A$64,0)),""))</f>
        <v/>
      </c>
      <c r="Z781" s="118">
        <f>IF(COUNTBLANK($J781:$Y781)=16,"",16-COUNTBLANK($J781:$Y781))</f>
        <v/>
      </c>
      <c r="AA781" s="33">
        <f>IF($J781="",MID($AX781,3,255),$J781&amp;$AX781)</f>
        <v/>
      </c>
      <c r="AB781" s="130">
        <f>IF($J781="","",IFERROR(INDEX(코드설정!$D$5:$D$24,MATCH($J781,코드설정!$C$5:$C$24,0)),""))</f>
        <v/>
      </c>
      <c r="AC781" s="36" t="n"/>
      <c r="AD781" s="37" t="n"/>
      <c r="AE781" s="38" t="n"/>
      <c r="AF781" s="118">
        <f>IF(OR($B781="",$C781=""),"",$C781-$B781+1)</f>
        <v/>
      </c>
      <c r="AG781" s="74" t="n"/>
      <c r="AH781" s="36" t="n"/>
      <c r="AJ781">
        <f>IF($K781="","",", "&amp;$K781)</f>
        <v/>
      </c>
      <c r="AK781">
        <f>AJ781&amp;IF($L781="","",", "&amp;$L781)</f>
        <v/>
      </c>
      <c r="AL781">
        <f>AK781&amp;IF($M781="","",", "&amp;$M781)</f>
        <v/>
      </c>
      <c r="AM781">
        <f>AL781&amp;IF($N781="","",", "&amp;$N781)</f>
        <v/>
      </c>
      <c r="AN781">
        <f>AM781&amp;IF($O781="","",", "&amp;$O781)</f>
        <v/>
      </c>
      <c r="AO781">
        <f>AN781&amp;IF($P781="","",", "&amp;$P781)</f>
        <v/>
      </c>
      <c r="AP781">
        <f>AO781&amp;IF($Q781="","",", "&amp;$Q781)</f>
        <v/>
      </c>
      <c r="AQ781">
        <f>AP781&amp;IF($R781="","",", "&amp;$R781)</f>
        <v/>
      </c>
      <c r="AR781">
        <f>AQ781&amp;IF($S781="","",", "&amp;$S781)</f>
        <v/>
      </c>
      <c r="AS781">
        <f>AR781&amp;IF($T781="","",", "&amp;$T781)</f>
        <v/>
      </c>
      <c r="AT781">
        <f>AS781&amp;IF($U781="","",", "&amp;$U781)</f>
        <v/>
      </c>
      <c r="AU781">
        <f>AT781&amp;IF($V781="","",", "&amp;$V781)</f>
        <v/>
      </c>
      <c r="AV781">
        <f>AU781&amp;IF($W781="","",", "&amp;$W781)</f>
        <v/>
      </c>
      <c r="AW781">
        <f>AV781&amp;IF($X781="","",", "&amp;$X781)</f>
        <v/>
      </c>
      <c r="AX781">
        <f>AW781&amp;IF($Y781="","",", "&amp;$Y781)</f>
        <v/>
      </c>
    </row>
    <row r="782">
      <c r="A782" s="118">
        <f>IF($B782="","",COUNT($B$5:$B782))</f>
        <v/>
      </c>
      <c r="B782" s="80" t="n"/>
      <c r="C782" s="80" t="n"/>
      <c r="D782" s="74" t="n"/>
      <c r="E782" s="74" t="n"/>
      <c r="F782" s="74" t="n"/>
      <c r="G782" s="118">
        <f>IF($F782="","",COUNTIF($F$5:$F782,$F782))</f>
        <v/>
      </c>
      <c r="H782" s="33">
        <f>IF($F782="","",IFERROR(INDEX(사건마스터!$B$5:$B$64,MATCH($F782,사건마스터!$A$5:$A$64,0)),""))</f>
        <v/>
      </c>
      <c r="I782" s="130">
        <f>IF($F782="","",IFERROR(INDEX(사건마스터!$C$5:$C$64,MATCH($F782,사건마스터!$A$5:$A$64,0)),""))</f>
        <v/>
      </c>
      <c r="J782" s="136">
        <f>IF($F782="","",IFERROR(INDEX(사건마스터!$H$5:$H$64,MATCH($F782,사건마스터!$A$5:$A$64,0)),""))</f>
        <v/>
      </c>
      <c r="K782" s="136">
        <f>IF($F782="","",IFERROR(INDEX(사건마스터!$AH$5:$AH$64,MATCH($F782,사건마스터!$A$5:$A$64,0)),""))</f>
        <v/>
      </c>
      <c r="L782" s="136">
        <f>IF($F782="","",IFERROR(INDEX(사건마스터!$AI$5:$AI$64,MATCH($F782,사건마스터!$A$5:$A$64,0)),""))</f>
        <v/>
      </c>
      <c r="M782" s="136">
        <f>IF($F782="","",IFERROR(INDEX(사건마스터!$AJ$5:$AJ$64,MATCH($F782,사건마스터!$A$5:$A$64,0)),""))</f>
        <v/>
      </c>
      <c r="N782" s="136">
        <f>IF($F782="","",IFERROR(INDEX(사건마스터!$AK$5:$AK$64,MATCH($F782,사건마스터!$A$5:$A$64,0)),""))</f>
        <v/>
      </c>
      <c r="O782" s="136">
        <f>IF($F782="","",IFERROR(INDEX(사건마스터!$AL$5:$AL$64,MATCH($F782,사건마스터!$A$5:$A$64,0)),""))</f>
        <v/>
      </c>
      <c r="P782" s="136">
        <f>IF($F782="","",IFERROR(INDEX(사건마스터!$AM$5:$AM$64,MATCH($F782,사건마스터!$A$5:$A$64,0)),""))</f>
        <v/>
      </c>
      <c r="Q782" s="136">
        <f>IF($F782="","",IFERROR(INDEX(사건마스터!$AN$5:$AN$64,MATCH($F782,사건마스터!$A$5:$A$64,0)),""))</f>
        <v/>
      </c>
      <c r="R782" s="136">
        <f>IF($F782="","",IFERROR(INDEX(사건마스터!$AO$5:$AO$64,MATCH($F782,사건마스터!$A$5:$A$64,0)),""))</f>
        <v/>
      </c>
      <c r="S782" s="136">
        <f>IF($F782="","",IFERROR(INDEX(사건마스터!$AP$5:$AP$64,MATCH($F782,사건마스터!$A$5:$A$64,0)),""))</f>
        <v/>
      </c>
      <c r="T782" s="136">
        <f>IF($F782="","",IFERROR(INDEX(사건마스터!$AQ$5:$AQ$64,MATCH($F782,사건마스터!$A$5:$A$64,0)),""))</f>
        <v/>
      </c>
      <c r="U782" s="136">
        <f>IF($F782="","",IFERROR(INDEX(사건마스터!$AR$5:$AR$64,MATCH($F782,사건마스터!$A$5:$A$64,0)),""))</f>
        <v/>
      </c>
      <c r="V782" s="136">
        <f>IF($F782="","",IFERROR(INDEX(사건마스터!$AS$5:$AS$64,MATCH($F782,사건마스터!$A$5:$A$64,0)),""))</f>
        <v/>
      </c>
      <c r="W782" s="136">
        <f>IF($F782="","",IFERROR(INDEX(사건마스터!$AT$5:$AT$64,MATCH($F782,사건마스터!$A$5:$A$64,0)),""))</f>
        <v/>
      </c>
      <c r="X782" s="136">
        <f>IF($F782="","",IFERROR(INDEX(사건마스터!$AU$5:$AU$64,MATCH($F782,사건마스터!$A$5:$A$64,0)),""))</f>
        <v/>
      </c>
      <c r="Y782" s="136">
        <f>IF($F782="","",IFERROR(INDEX(사건마스터!$AV$5:$AV$64,MATCH($F782,사건마스터!$A$5:$A$64,0)),""))</f>
        <v/>
      </c>
      <c r="Z782" s="118">
        <f>IF(COUNTBLANK($J782:$Y782)=16,"",16-COUNTBLANK($J782:$Y782))</f>
        <v/>
      </c>
      <c r="AA782" s="33">
        <f>IF($J782="",MID($AX782,3,255),$J782&amp;$AX782)</f>
        <v/>
      </c>
      <c r="AB782" s="130">
        <f>IF($J782="","",IFERROR(INDEX(코드설정!$D$5:$D$24,MATCH($J782,코드설정!$C$5:$C$24,0)),""))</f>
        <v/>
      </c>
      <c r="AC782" s="36" t="n"/>
      <c r="AD782" s="37" t="n"/>
      <c r="AE782" s="38" t="n"/>
      <c r="AF782" s="118">
        <f>IF(OR($B782="",$C782=""),"",$C782-$B782+1)</f>
        <v/>
      </c>
      <c r="AG782" s="74" t="n"/>
      <c r="AH782" s="36" t="n"/>
      <c r="AJ782">
        <f>IF($K782="","",", "&amp;$K782)</f>
        <v/>
      </c>
      <c r="AK782">
        <f>AJ782&amp;IF($L782="","",", "&amp;$L782)</f>
        <v/>
      </c>
      <c r="AL782">
        <f>AK782&amp;IF($M782="","",", "&amp;$M782)</f>
        <v/>
      </c>
      <c r="AM782">
        <f>AL782&amp;IF($N782="","",", "&amp;$N782)</f>
        <v/>
      </c>
      <c r="AN782">
        <f>AM782&amp;IF($O782="","",", "&amp;$O782)</f>
        <v/>
      </c>
      <c r="AO782">
        <f>AN782&amp;IF($P782="","",", "&amp;$P782)</f>
        <v/>
      </c>
      <c r="AP782">
        <f>AO782&amp;IF($Q782="","",", "&amp;$Q782)</f>
        <v/>
      </c>
      <c r="AQ782">
        <f>AP782&amp;IF($R782="","",", "&amp;$R782)</f>
        <v/>
      </c>
      <c r="AR782">
        <f>AQ782&amp;IF($S782="","",", "&amp;$S782)</f>
        <v/>
      </c>
      <c r="AS782">
        <f>AR782&amp;IF($T782="","",", "&amp;$T782)</f>
        <v/>
      </c>
      <c r="AT782">
        <f>AS782&amp;IF($U782="","",", "&amp;$U782)</f>
        <v/>
      </c>
      <c r="AU782">
        <f>AT782&amp;IF($V782="","",", "&amp;$V782)</f>
        <v/>
      </c>
      <c r="AV782">
        <f>AU782&amp;IF($W782="","",", "&amp;$W782)</f>
        <v/>
      </c>
      <c r="AW782">
        <f>AV782&amp;IF($X782="","",", "&amp;$X782)</f>
        <v/>
      </c>
      <c r="AX782">
        <f>AW782&amp;IF($Y782="","",", "&amp;$Y782)</f>
        <v/>
      </c>
    </row>
    <row r="783">
      <c r="A783" s="118">
        <f>IF($B783="","",COUNT($B$5:$B783))</f>
        <v/>
      </c>
      <c r="B783" s="80" t="n"/>
      <c r="C783" s="80" t="n"/>
      <c r="D783" s="74" t="n"/>
      <c r="E783" s="74" t="n"/>
      <c r="F783" s="74" t="n"/>
      <c r="G783" s="118">
        <f>IF($F783="","",COUNTIF($F$5:$F783,$F783))</f>
        <v/>
      </c>
      <c r="H783" s="33">
        <f>IF($F783="","",IFERROR(INDEX(사건마스터!$B$5:$B$64,MATCH($F783,사건마스터!$A$5:$A$64,0)),""))</f>
        <v/>
      </c>
      <c r="I783" s="130">
        <f>IF($F783="","",IFERROR(INDEX(사건마스터!$C$5:$C$64,MATCH($F783,사건마스터!$A$5:$A$64,0)),""))</f>
        <v/>
      </c>
      <c r="J783" s="136">
        <f>IF($F783="","",IFERROR(INDEX(사건마스터!$H$5:$H$64,MATCH($F783,사건마스터!$A$5:$A$64,0)),""))</f>
        <v/>
      </c>
      <c r="K783" s="136">
        <f>IF($F783="","",IFERROR(INDEX(사건마스터!$AH$5:$AH$64,MATCH($F783,사건마스터!$A$5:$A$64,0)),""))</f>
        <v/>
      </c>
      <c r="L783" s="136">
        <f>IF($F783="","",IFERROR(INDEX(사건마스터!$AI$5:$AI$64,MATCH($F783,사건마스터!$A$5:$A$64,0)),""))</f>
        <v/>
      </c>
      <c r="M783" s="136">
        <f>IF($F783="","",IFERROR(INDEX(사건마스터!$AJ$5:$AJ$64,MATCH($F783,사건마스터!$A$5:$A$64,0)),""))</f>
        <v/>
      </c>
      <c r="N783" s="136">
        <f>IF($F783="","",IFERROR(INDEX(사건마스터!$AK$5:$AK$64,MATCH($F783,사건마스터!$A$5:$A$64,0)),""))</f>
        <v/>
      </c>
      <c r="O783" s="136">
        <f>IF($F783="","",IFERROR(INDEX(사건마스터!$AL$5:$AL$64,MATCH($F783,사건마스터!$A$5:$A$64,0)),""))</f>
        <v/>
      </c>
      <c r="P783" s="136">
        <f>IF($F783="","",IFERROR(INDEX(사건마스터!$AM$5:$AM$64,MATCH($F783,사건마스터!$A$5:$A$64,0)),""))</f>
        <v/>
      </c>
      <c r="Q783" s="136">
        <f>IF($F783="","",IFERROR(INDEX(사건마스터!$AN$5:$AN$64,MATCH($F783,사건마스터!$A$5:$A$64,0)),""))</f>
        <v/>
      </c>
      <c r="R783" s="136">
        <f>IF($F783="","",IFERROR(INDEX(사건마스터!$AO$5:$AO$64,MATCH($F783,사건마스터!$A$5:$A$64,0)),""))</f>
        <v/>
      </c>
      <c r="S783" s="136">
        <f>IF($F783="","",IFERROR(INDEX(사건마스터!$AP$5:$AP$64,MATCH($F783,사건마스터!$A$5:$A$64,0)),""))</f>
        <v/>
      </c>
      <c r="T783" s="136">
        <f>IF($F783="","",IFERROR(INDEX(사건마스터!$AQ$5:$AQ$64,MATCH($F783,사건마스터!$A$5:$A$64,0)),""))</f>
        <v/>
      </c>
      <c r="U783" s="136">
        <f>IF($F783="","",IFERROR(INDEX(사건마스터!$AR$5:$AR$64,MATCH($F783,사건마스터!$A$5:$A$64,0)),""))</f>
        <v/>
      </c>
      <c r="V783" s="136">
        <f>IF($F783="","",IFERROR(INDEX(사건마스터!$AS$5:$AS$64,MATCH($F783,사건마스터!$A$5:$A$64,0)),""))</f>
        <v/>
      </c>
      <c r="W783" s="136">
        <f>IF($F783="","",IFERROR(INDEX(사건마스터!$AT$5:$AT$64,MATCH($F783,사건마스터!$A$5:$A$64,0)),""))</f>
        <v/>
      </c>
      <c r="X783" s="136">
        <f>IF($F783="","",IFERROR(INDEX(사건마스터!$AU$5:$AU$64,MATCH($F783,사건마스터!$A$5:$A$64,0)),""))</f>
        <v/>
      </c>
      <c r="Y783" s="136">
        <f>IF($F783="","",IFERROR(INDEX(사건마스터!$AV$5:$AV$64,MATCH($F783,사건마스터!$A$5:$A$64,0)),""))</f>
        <v/>
      </c>
      <c r="Z783" s="118">
        <f>IF(COUNTBLANK($J783:$Y783)=16,"",16-COUNTBLANK($J783:$Y783))</f>
        <v/>
      </c>
      <c r="AA783" s="33">
        <f>IF($J783="",MID($AX783,3,255),$J783&amp;$AX783)</f>
        <v/>
      </c>
      <c r="AB783" s="130">
        <f>IF($J783="","",IFERROR(INDEX(코드설정!$D$5:$D$24,MATCH($J783,코드설정!$C$5:$C$24,0)),""))</f>
        <v/>
      </c>
      <c r="AC783" s="36" t="n"/>
      <c r="AD783" s="37" t="n"/>
      <c r="AE783" s="38" t="n"/>
      <c r="AF783" s="118">
        <f>IF(OR($B783="",$C783=""),"",$C783-$B783+1)</f>
        <v/>
      </c>
      <c r="AG783" s="74" t="n"/>
      <c r="AH783" s="36" t="n"/>
      <c r="AJ783">
        <f>IF($K783="","",", "&amp;$K783)</f>
        <v/>
      </c>
      <c r="AK783">
        <f>AJ783&amp;IF($L783="","",", "&amp;$L783)</f>
        <v/>
      </c>
      <c r="AL783">
        <f>AK783&amp;IF($M783="","",", "&amp;$M783)</f>
        <v/>
      </c>
      <c r="AM783">
        <f>AL783&amp;IF($N783="","",", "&amp;$N783)</f>
        <v/>
      </c>
      <c r="AN783">
        <f>AM783&amp;IF($O783="","",", "&amp;$O783)</f>
        <v/>
      </c>
      <c r="AO783">
        <f>AN783&amp;IF($P783="","",", "&amp;$P783)</f>
        <v/>
      </c>
      <c r="AP783">
        <f>AO783&amp;IF($Q783="","",", "&amp;$Q783)</f>
        <v/>
      </c>
      <c r="AQ783">
        <f>AP783&amp;IF($R783="","",", "&amp;$R783)</f>
        <v/>
      </c>
      <c r="AR783">
        <f>AQ783&amp;IF($S783="","",", "&amp;$S783)</f>
        <v/>
      </c>
      <c r="AS783">
        <f>AR783&amp;IF($T783="","",", "&amp;$T783)</f>
        <v/>
      </c>
      <c r="AT783">
        <f>AS783&amp;IF($U783="","",", "&amp;$U783)</f>
        <v/>
      </c>
      <c r="AU783">
        <f>AT783&amp;IF($V783="","",", "&amp;$V783)</f>
        <v/>
      </c>
      <c r="AV783">
        <f>AU783&amp;IF($W783="","",", "&amp;$W783)</f>
        <v/>
      </c>
      <c r="AW783">
        <f>AV783&amp;IF($X783="","",", "&amp;$X783)</f>
        <v/>
      </c>
      <c r="AX783">
        <f>AW783&amp;IF($Y783="","",", "&amp;$Y783)</f>
        <v/>
      </c>
    </row>
    <row r="784">
      <c r="A784" s="118">
        <f>IF($B784="","",COUNT($B$5:$B784))</f>
        <v/>
      </c>
      <c r="B784" s="80" t="n"/>
      <c r="C784" s="80" t="n"/>
      <c r="D784" s="74" t="n"/>
      <c r="E784" s="74" t="n"/>
      <c r="F784" s="74" t="n"/>
      <c r="G784" s="118">
        <f>IF($F784="","",COUNTIF($F$5:$F784,$F784))</f>
        <v/>
      </c>
      <c r="H784" s="33">
        <f>IF($F784="","",IFERROR(INDEX(사건마스터!$B$5:$B$64,MATCH($F784,사건마스터!$A$5:$A$64,0)),""))</f>
        <v/>
      </c>
      <c r="I784" s="130">
        <f>IF($F784="","",IFERROR(INDEX(사건마스터!$C$5:$C$64,MATCH($F784,사건마스터!$A$5:$A$64,0)),""))</f>
        <v/>
      </c>
      <c r="J784" s="136">
        <f>IF($F784="","",IFERROR(INDEX(사건마스터!$H$5:$H$64,MATCH($F784,사건마스터!$A$5:$A$64,0)),""))</f>
        <v/>
      </c>
      <c r="K784" s="136">
        <f>IF($F784="","",IFERROR(INDEX(사건마스터!$AH$5:$AH$64,MATCH($F784,사건마스터!$A$5:$A$64,0)),""))</f>
        <v/>
      </c>
      <c r="L784" s="136">
        <f>IF($F784="","",IFERROR(INDEX(사건마스터!$AI$5:$AI$64,MATCH($F784,사건마스터!$A$5:$A$64,0)),""))</f>
        <v/>
      </c>
      <c r="M784" s="136">
        <f>IF($F784="","",IFERROR(INDEX(사건마스터!$AJ$5:$AJ$64,MATCH($F784,사건마스터!$A$5:$A$64,0)),""))</f>
        <v/>
      </c>
      <c r="N784" s="136">
        <f>IF($F784="","",IFERROR(INDEX(사건마스터!$AK$5:$AK$64,MATCH($F784,사건마스터!$A$5:$A$64,0)),""))</f>
        <v/>
      </c>
      <c r="O784" s="136">
        <f>IF($F784="","",IFERROR(INDEX(사건마스터!$AL$5:$AL$64,MATCH($F784,사건마스터!$A$5:$A$64,0)),""))</f>
        <v/>
      </c>
      <c r="P784" s="136">
        <f>IF($F784="","",IFERROR(INDEX(사건마스터!$AM$5:$AM$64,MATCH($F784,사건마스터!$A$5:$A$64,0)),""))</f>
        <v/>
      </c>
      <c r="Q784" s="136">
        <f>IF($F784="","",IFERROR(INDEX(사건마스터!$AN$5:$AN$64,MATCH($F784,사건마스터!$A$5:$A$64,0)),""))</f>
        <v/>
      </c>
      <c r="R784" s="136">
        <f>IF($F784="","",IFERROR(INDEX(사건마스터!$AO$5:$AO$64,MATCH($F784,사건마스터!$A$5:$A$64,0)),""))</f>
        <v/>
      </c>
      <c r="S784" s="136">
        <f>IF($F784="","",IFERROR(INDEX(사건마스터!$AP$5:$AP$64,MATCH($F784,사건마스터!$A$5:$A$64,0)),""))</f>
        <v/>
      </c>
      <c r="T784" s="136">
        <f>IF($F784="","",IFERROR(INDEX(사건마스터!$AQ$5:$AQ$64,MATCH($F784,사건마스터!$A$5:$A$64,0)),""))</f>
        <v/>
      </c>
      <c r="U784" s="136">
        <f>IF($F784="","",IFERROR(INDEX(사건마스터!$AR$5:$AR$64,MATCH($F784,사건마스터!$A$5:$A$64,0)),""))</f>
        <v/>
      </c>
      <c r="V784" s="136">
        <f>IF($F784="","",IFERROR(INDEX(사건마스터!$AS$5:$AS$64,MATCH($F784,사건마스터!$A$5:$A$64,0)),""))</f>
        <v/>
      </c>
      <c r="W784" s="136">
        <f>IF($F784="","",IFERROR(INDEX(사건마스터!$AT$5:$AT$64,MATCH($F784,사건마스터!$A$5:$A$64,0)),""))</f>
        <v/>
      </c>
      <c r="X784" s="136">
        <f>IF($F784="","",IFERROR(INDEX(사건마스터!$AU$5:$AU$64,MATCH($F784,사건마스터!$A$5:$A$64,0)),""))</f>
        <v/>
      </c>
      <c r="Y784" s="136">
        <f>IF($F784="","",IFERROR(INDEX(사건마스터!$AV$5:$AV$64,MATCH($F784,사건마스터!$A$5:$A$64,0)),""))</f>
        <v/>
      </c>
      <c r="Z784" s="118">
        <f>IF(COUNTBLANK($J784:$Y784)=16,"",16-COUNTBLANK($J784:$Y784))</f>
        <v/>
      </c>
      <c r="AA784" s="33">
        <f>IF($J784="",MID($AX784,3,255),$J784&amp;$AX784)</f>
        <v/>
      </c>
      <c r="AB784" s="130">
        <f>IF($J784="","",IFERROR(INDEX(코드설정!$D$5:$D$24,MATCH($J784,코드설정!$C$5:$C$24,0)),""))</f>
        <v/>
      </c>
      <c r="AC784" s="36" t="n"/>
      <c r="AD784" s="37" t="n"/>
      <c r="AE784" s="38" t="n"/>
      <c r="AF784" s="118">
        <f>IF(OR($B784="",$C784=""),"",$C784-$B784+1)</f>
        <v/>
      </c>
      <c r="AG784" s="74" t="n"/>
      <c r="AH784" s="36" t="n"/>
      <c r="AJ784">
        <f>IF($K784="","",", "&amp;$K784)</f>
        <v/>
      </c>
      <c r="AK784">
        <f>AJ784&amp;IF($L784="","",", "&amp;$L784)</f>
        <v/>
      </c>
      <c r="AL784">
        <f>AK784&amp;IF($M784="","",", "&amp;$M784)</f>
        <v/>
      </c>
      <c r="AM784">
        <f>AL784&amp;IF($N784="","",", "&amp;$N784)</f>
        <v/>
      </c>
      <c r="AN784">
        <f>AM784&amp;IF($O784="","",", "&amp;$O784)</f>
        <v/>
      </c>
      <c r="AO784">
        <f>AN784&amp;IF($P784="","",", "&amp;$P784)</f>
        <v/>
      </c>
      <c r="AP784">
        <f>AO784&amp;IF($Q784="","",", "&amp;$Q784)</f>
        <v/>
      </c>
      <c r="AQ784">
        <f>AP784&amp;IF($R784="","",", "&amp;$R784)</f>
        <v/>
      </c>
      <c r="AR784">
        <f>AQ784&amp;IF($S784="","",", "&amp;$S784)</f>
        <v/>
      </c>
      <c r="AS784">
        <f>AR784&amp;IF($T784="","",", "&amp;$T784)</f>
        <v/>
      </c>
      <c r="AT784">
        <f>AS784&amp;IF($U784="","",", "&amp;$U784)</f>
        <v/>
      </c>
      <c r="AU784">
        <f>AT784&amp;IF($V784="","",", "&amp;$V784)</f>
        <v/>
      </c>
      <c r="AV784">
        <f>AU784&amp;IF($W784="","",", "&amp;$W784)</f>
        <v/>
      </c>
      <c r="AW784">
        <f>AV784&amp;IF($X784="","",", "&amp;$X784)</f>
        <v/>
      </c>
      <c r="AX784">
        <f>AW784&amp;IF($Y784="","",", "&amp;$Y784)</f>
        <v/>
      </c>
    </row>
    <row r="785">
      <c r="A785" s="118">
        <f>IF($B785="","",COUNT($B$5:$B785))</f>
        <v/>
      </c>
      <c r="B785" s="80" t="n"/>
      <c r="C785" s="80" t="n"/>
      <c r="D785" s="74" t="n"/>
      <c r="E785" s="74" t="n"/>
      <c r="F785" s="74" t="n"/>
      <c r="G785" s="118">
        <f>IF($F785="","",COUNTIF($F$5:$F785,$F785))</f>
        <v/>
      </c>
      <c r="H785" s="33">
        <f>IF($F785="","",IFERROR(INDEX(사건마스터!$B$5:$B$64,MATCH($F785,사건마스터!$A$5:$A$64,0)),""))</f>
        <v/>
      </c>
      <c r="I785" s="130">
        <f>IF($F785="","",IFERROR(INDEX(사건마스터!$C$5:$C$64,MATCH($F785,사건마스터!$A$5:$A$64,0)),""))</f>
        <v/>
      </c>
      <c r="J785" s="136">
        <f>IF($F785="","",IFERROR(INDEX(사건마스터!$H$5:$H$64,MATCH($F785,사건마스터!$A$5:$A$64,0)),""))</f>
        <v/>
      </c>
      <c r="K785" s="136">
        <f>IF($F785="","",IFERROR(INDEX(사건마스터!$AH$5:$AH$64,MATCH($F785,사건마스터!$A$5:$A$64,0)),""))</f>
        <v/>
      </c>
      <c r="L785" s="136">
        <f>IF($F785="","",IFERROR(INDEX(사건마스터!$AI$5:$AI$64,MATCH($F785,사건마스터!$A$5:$A$64,0)),""))</f>
        <v/>
      </c>
      <c r="M785" s="136">
        <f>IF($F785="","",IFERROR(INDEX(사건마스터!$AJ$5:$AJ$64,MATCH($F785,사건마스터!$A$5:$A$64,0)),""))</f>
        <v/>
      </c>
      <c r="N785" s="136">
        <f>IF($F785="","",IFERROR(INDEX(사건마스터!$AK$5:$AK$64,MATCH($F785,사건마스터!$A$5:$A$64,0)),""))</f>
        <v/>
      </c>
      <c r="O785" s="136">
        <f>IF($F785="","",IFERROR(INDEX(사건마스터!$AL$5:$AL$64,MATCH($F785,사건마스터!$A$5:$A$64,0)),""))</f>
        <v/>
      </c>
      <c r="P785" s="136">
        <f>IF($F785="","",IFERROR(INDEX(사건마스터!$AM$5:$AM$64,MATCH($F785,사건마스터!$A$5:$A$64,0)),""))</f>
        <v/>
      </c>
      <c r="Q785" s="136">
        <f>IF($F785="","",IFERROR(INDEX(사건마스터!$AN$5:$AN$64,MATCH($F785,사건마스터!$A$5:$A$64,0)),""))</f>
        <v/>
      </c>
      <c r="R785" s="136">
        <f>IF($F785="","",IFERROR(INDEX(사건마스터!$AO$5:$AO$64,MATCH($F785,사건마스터!$A$5:$A$64,0)),""))</f>
        <v/>
      </c>
      <c r="S785" s="136">
        <f>IF($F785="","",IFERROR(INDEX(사건마스터!$AP$5:$AP$64,MATCH($F785,사건마스터!$A$5:$A$64,0)),""))</f>
        <v/>
      </c>
      <c r="T785" s="136">
        <f>IF($F785="","",IFERROR(INDEX(사건마스터!$AQ$5:$AQ$64,MATCH($F785,사건마스터!$A$5:$A$64,0)),""))</f>
        <v/>
      </c>
      <c r="U785" s="136">
        <f>IF($F785="","",IFERROR(INDEX(사건마스터!$AR$5:$AR$64,MATCH($F785,사건마스터!$A$5:$A$64,0)),""))</f>
        <v/>
      </c>
      <c r="V785" s="136">
        <f>IF($F785="","",IFERROR(INDEX(사건마스터!$AS$5:$AS$64,MATCH($F785,사건마스터!$A$5:$A$64,0)),""))</f>
        <v/>
      </c>
      <c r="W785" s="136">
        <f>IF($F785="","",IFERROR(INDEX(사건마스터!$AT$5:$AT$64,MATCH($F785,사건마스터!$A$5:$A$64,0)),""))</f>
        <v/>
      </c>
      <c r="X785" s="136">
        <f>IF($F785="","",IFERROR(INDEX(사건마스터!$AU$5:$AU$64,MATCH($F785,사건마스터!$A$5:$A$64,0)),""))</f>
        <v/>
      </c>
      <c r="Y785" s="136">
        <f>IF($F785="","",IFERROR(INDEX(사건마스터!$AV$5:$AV$64,MATCH($F785,사건마스터!$A$5:$A$64,0)),""))</f>
        <v/>
      </c>
      <c r="Z785" s="118">
        <f>IF(COUNTBLANK($J785:$Y785)=16,"",16-COUNTBLANK($J785:$Y785))</f>
        <v/>
      </c>
      <c r="AA785" s="33">
        <f>IF($J785="",MID($AX785,3,255),$J785&amp;$AX785)</f>
        <v/>
      </c>
      <c r="AB785" s="130">
        <f>IF($J785="","",IFERROR(INDEX(코드설정!$D$5:$D$24,MATCH($J785,코드설정!$C$5:$C$24,0)),""))</f>
        <v/>
      </c>
      <c r="AC785" s="36" t="n"/>
      <c r="AD785" s="37" t="n"/>
      <c r="AE785" s="38" t="n"/>
      <c r="AF785" s="118">
        <f>IF(OR($B785="",$C785=""),"",$C785-$B785+1)</f>
        <v/>
      </c>
      <c r="AG785" s="74" t="n"/>
      <c r="AH785" s="36" t="n"/>
      <c r="AJ785">
        <f>IF($K785="","",", "&amp;$K785)</f>
        <v/>
      </c>
      <c r="AK785">
        <f>AJ785&amp;IF($L785="","",", "&amp;$L785)</f>
        <v/>
      </c>
      <c r="AL785">
        <f>AK785&amp;IF($M785="","",", "&amp;$M785)</f>
        <v/>
      </c>
      <c r="AM785">
        <f>AL785&amp;IF($N785="","",", "&amp;$N785)</f>
        <v/>
      </c>
      <c r="AN785">
        <f>AM785&amp;IF($O785="","",", "&amp;$O785)</f>
        <v/>
      </c>
      <c r="AO785">
        <f>AN785&amp;IF($P785="","",", "&amp;$P785)</f>
        <v/>
      </c>
      <c r="AP785">
        <f>AO785&amp;IF($Q785="","",", "&amp;$Q785)</f>
        <v/>
      </c>
      <c r="AQ785">
        <f>AP785&amp;IF($R785="","",", "&amp;$R785)</f>
        <v/>
      </c>
      <c r="AR785">
        <f>AQ785&amp;IF($S785="","",", "&amp;$S785)</f>
        <v/>
      </c>
      <c r="AS785">
        <f>AR785&amp;IF($T785="","",", "&amp;$T785)</f>
        <v/>
      </c>
      <c r="AT785">
        <f>AS785&amp;IF($U785="","",", "&amp;$U785)</f>
        <v/>
      </c>
      <c r="AU785">
        <f>AT785&amp;IF($V785="","",", "&amp;$V785)</f>
        <v/>
      </c>
      <c r="AV785">
        <f>AU785&amp;IF($W785="","",", "&amp;$W785)</f>
        <v/>
      </c>
      <c r="AW785">
        <f>AV785&amp;IF($X785="","",", "&amp;$X785)</f>
        <v/>
      </c>
      <c r="AX785">
        <f>AW785&amp;IF($Y785="","",", "&amp;$Y785)</f>
        <v/>
      </c>
    </row>
    <row r="786">
      <c r="A786" s="118">
        <f>IF($B786="","",COUNT($B$5:$B786))</f>
        <v/>
      </c>
      <c r="B786" s="80" t="n"/>
      <c r="C786" s="80" t="n"/>
      <c r="D786" s="74" t="n"/>
      <c r="E786" s="74" t="n"/>
      <c r="F786" s="74" t="n"/>
      <c r="G786" s="118">
        <f>IF($F786="","",COUNTIF($F$5:$F786,$F786))</f>
        <v/>
      </c>
      <c r="H786" s="33">
        <f>IF($F786="","",IFERROR(INDEX(사건마스터!$B$5:$B$64,MATCH($F786,사건마스터!$A$5:$A$64,0)),""))</f>
        <v/>
      </c>
      <c r="I786" s="130">
        <f>IF($F786="","",IFERROR(INDEX(사건마스터!$C$5:$C$64,MATCH($F786,사건마스터!$A$5:$A$64,0)),""))</f>
        <v/>
      </c>
      <c r="J786" s="136">
        <f>IF($F786="","",IFERROR(INDEX(사건마스터!$H$5:$H$64,MATCH($F786,사건마스터!$A$5:$A$64,0)),""))</f>
        <v/>
      </c>
      <c r="K786" s="136">
        <f>IF($F786="","",IFERROR(INDEX(사건마스터!$AH$5:$AH$64,MATCH($F786,사건마스터!$A$5:$A$64,0)),""))</f>
        <v/>
      </c>
      <c r="L786" s="136">
        <f>IF($F786="","",IFERROR(INDEX(사건마스터!$AI$5:$AI$64,MATCH($F786,사건마스터!$A$5:$A$64,0)),""))</f>
        <v/>
      </c>
      <c r="M786" s="136">
        <f>IF($F786="","",IFERROR(INDEX(사건마스터!$AJ$5:$AJ$64,MATCH($F786,사건마스터!$A$5:$A$64,0)),""))</f>
        <v/>
      </c>
      <c r="N786" s="136">
        <f>IF($F786="","",IFERROR(INDEX(사건마스터!$AK$5:$AK$64,MATCH($F786,사건마스터!$A$5:$A$64,0)),""))</f>
        <v/>
      </c>
      <c r="O786" s="136">
        <f>IF($F786="","",IFERROR(INDEX(사건마스터!$AL$5:$AL$64,MATCH($F786,사건마스터!$A$5:$A$64,0)),""))</f>
        <v/>
      </c>
      <c r="P786" s="136">
        <f>IF($F786="","",IFERROR(INDEX(사건마스터!$AM$5:$AM$64,MATCH($F786,사건마스터!$A$5:$A$64,0)),""))</f>
        <v/>
      </c>
      <c r="Q786" s="136">
        <f>IF($F786="","",IFERROR(INDEX(사건마스터!$AN$5:$AN$64,MATCH($F786,사건마스터!$A$5:$A$64,0)),""))</f>
        <v/>
      </c>
      <c r="R786" s="136">
        <f>IF($F786="","",IFERROR(INDEX(사건마스터!$AO$5:$AO$64,MATCH($F786,사건마스터!$A$5:$A$64,0)),""))</f>
        <v/>
      </c>
      <c r="S786" s="136">
        <f>IF($F786="","",IFERROR(INDEX(사건마스터!$AP$5:$AP$64,MATCH($F786,사건마스터!$A$5:$A$64,0)),""))</f>
        <v/>
      </c>
      <c r="T786" s="136">
        <f>IF($F786="","",IFERROR(INDEX(사건마스터!$AQ$5:$AQ$64,MATCH($F786,사건마스터!$A$5:$A$64,0)),""))</f>
        <v/>
      </c>
      <c r="U786" s="136">
        <f>IF($F786="","",IFERROR(INDEX(사건마스터!$AR$5:$AR$64,MATCH($F786,사건마스터!$A$5:$A$64,0)),""))</f>
        <v/>
      </c>
      <c r="V786" s="136">
        <f>IF($F786="","",IFERROR(INDEX(사건마스터!$AS$5:$AS$64,MATCH($F786,사건마스터!$A$5:$A$64,0)),""))</f>
        <v/>
      </c>
      <c r="W786" s="136">
        <f>IF($F786="","",IFERROR(INDEX(사건마스터!$AT$5:$AT$64,MATCH($F786,사건마스터!$A$5:$A$64,0)),""))</f>
        <v/>
      </c>
      <c r="X786" s="136">
        <f>IF($F786="","",IFERROR(INDEX(사건마스터!$AU$5:$AU$64,MATCH($F786,사건마스터!$A$5:$A$64,0)),""))</f>
        <v/>
      </c>
      <c r="Y786" s="136">
        <f>IF($F786="","",IFERROR(INDEX(사건마스터!$AV$5:$AV$64,MATCH($F786,사건마스터!$A$5:$A$64,0)),""))</f>
        <v/>
      </c>
      <c r="Z786" s="118">
        <f>IF(COUNTBLANK($J786:$Y786)=16,"",16-COUNTBLANK($J786:$Y786))</f>
        <v/>
      </c>
      <c r="AA786" s="33">
        <f>IF($J786="",MID($AX786,3,255),$J786&amp;$AX786)</f>
        <v/>
      </c>
      <c r="AB786" s="130">
        <f>IF($J786="","",IFERROR(INDEX(코드설정!$D$5:$D$24,MATCH($J786,코드설정!$C$5:$C$24,0)),""))</f>
        <v/>
      </c>
      <c r="AC786" s="36" t="n"/>
      <c r="AD786" s="37" t="n"/>
      <c r="AE786" s="38" t="n"/>
      <c r="AF786" s="118">
        <f>IF(OR($B786="",$C786=""),"",$C786-$B786+1)</f>
        <v/>
      </c>
      <c r="AG786" s="74" t="n"/>
      <c r="AH786" s="36" t="n"/>
      <c r="AJ786">
        <f>IF($K786="","",", "&amp;$K786)</f>
        <v/>
      </c>
      <c r="AK786">
        <f>AJ786&amp;IF($L786="","",", "&amp;$L786)</f>
        <v/>
      </c>
      <c r="AL786">
        <f>AK786&amp;IF($M786="","",", "&amp;$M786)</f>
        <v/>
      </c>
      <c r="AM786">
        <f>AL786&amp;IF($N786="","",", "&amp;$N786)</f>
        <v/>
      </c>
      <c r="AN786">
        <f>AM786&amp;IF($O786="","",", "&amp;$O786)</f>
        <v/>
      </c>
      <c r="AO786">
        <f>AN786&amp;IF($P786="","",", "&amp;$P786)</f>
        <v/>
      </c>
      <c r="AP786">
        <f>AO786&amp;IF($Q786="","",", "&amp;$Q786)</f>
        <v/>
      </c>
      <c r="AQ786">
        <f>AP786&amp;IF($R786="","",", "&amp;$R786)</f>
        <v/>
      </c>
      <c r="AR786">
        <f>AQ786&amp;IF($S786="","",", "&amp;$S786)</f>
        <v/>
      </c>
      <c r="AS786">
        <f>AR786&amp;IF($T786="","",", "&amp;$T786)</f>
        <v/>
      </c>
      <c r="AT786">
        <f>AS786&amp;IF($U786="","",", "&amp;$U786)</f>
        <v/>
      </c>
      <c r="AU786">
        <f>AT786&amp;IF($V786="","",", "&amp;$V786)</f>
        <v/>
      </c>
      <c r="AV786">
        <f>AU786&amp;IF($W786="","",", "&amp;$W786)</f>
        <v/>
      </c>
      <c r="AW786">
        <f>AV786&amp;IF($X786="","",", "&amp;$X786)</f>
        <v/>
      </c>
      <c r="AX786">
        <f>AW786&amp;IF($Y786="","",", "&amp;$Y786)</f>
        <v/>
      </c>
    </row>
    <row r="787">
      <c r="A787" s="118">
        <f>IF($B787="","",COUNT($B$5:$B787))</f>
        <v/>
      </c>
      <c r="B787" s="80" t="n"/>
      <c r="C787" s="80" t="n"/>
      <c r="D787" s="74" t="n"/>
      <c r="E787" s="74" t="n"/>
      <c r="F787" s="74" t="n"/>
      <c r="G787" s="118">
        <f>IF($F787="","",COUNTIF($F$5:$F787,$F787))</f>
        <v/>
      </c>
      <c r="H787" s="33">
        <f>IF($F787="","",IFERROR(INDEX(사건마스터!$B$5:$B$64,MATCH($F787,사건마스터!$A$5:$A$64,0)),""))</f>
        <v/>
      </c>
      <c r="I787" s="130">
        <f>IF($F787="","",IFERROR(INDEX(사건마스터!$C$5:$C$64,MATCH($F787,사건마스터!$A$5:$A$64,0)),""))</f>
        <v/>
      </c>
      <c r="J787" s="136">
        <f>IF($F787="","",IFERROR(INDEX(사건마스터!$H$5:$H$64,MATCH($F787,사건마스터!$A$5:$A$64,0)),""))</f>
        <v/>
      </c>
      <c r="K787" s="136">
        <f>IF($F787="","",IFERROR(INDEX(사건마스터!$AH$5:$AH$64,MATCH($F787,사건마스터!$A$5:$A$64,0)),""))</f>
        <v/>
      </c>
      <c r="L787" s="136">
        <f>IF($F787="","",IFERROR(INDEX(사건마스터!$AI$5:$AI$64,MATCH($F787,사건마스터!$A$5:$A$64,0)),""))</f>
        <v/>
      </c>
      <c r="M787" s="136">
        <f>IF($F787="","",IFERROR(INDEX(사건마스터!$AJ$5:$AJ$64,MATCH($F787,사건마스터!$A$5:$A$64,0)),""))</f>
        <v/>
      </c>
      <c r="N787" s="136">
        <f>IF($F787="","",IFERROR(INDEX(사건마스터!$AK$5:$AK$64,MATCH($F787,사건마스터!$A$5:$A$64,0)),""))</f>
        <v/>
      </c>
      <c r="O787" s="136">
        <f>IF($F787="","",IFERROR(INDEX(사건마스터!$AL$5:$AL$64,MATCH($F787,사건마스터!$A$5:$A$64,0)),""))</f>
        <v/>
      </c>
      <c r="P787" s="136">
        <f>IF($F787="","",IFERROR(INDEX(사건마스터!$AM$5:$AM$64,MATCH($F787,사건마스터!$A$5:$A$64,0)),""))</f>
        <v/>
      </c>
      <c r="Q787" s="136">
        <f>IF($F787="","",IFERROR(INDEX(사건마스터!$AN$5:$AN$64,MATCH($F787,사건마스터!$A$5:$A$64,0)),""))</f>
        <v/>
      </c>
      <c r="R787" s="136">
        <f>IF($F787="","",IFERROR(INDEX(사건마스터!$AO$5:$AO$64,MATCH($F787,사건마스터!$A$5:$A$64,0)),""))</f>
        <v/>
      </c>
      <c r="S787" s="136">
        <f>IF($F787="","",IFERROR(INDEX(사건마스터!$AP$5:$AP$64,MATCH($F787,사건마스터!$A$5:$A$64,0)),""))</f>
        <v/>
      </c>
      <c r="T787" s="136">
        <f>IF($F787="","",IFERROR(INDEX(사건마스터!$AQ$5:$AQ$64,MATCH($F787,사건마스터!$A$5:$A$64,0)),""))</f>
        <v/>
      </c>
      <c r="U787" s="136">
        <f>IF($F787="","",IFERROR(INDEX(사건마스터!$AR$5:$AR$64,MATCH($F787,사건마스터!$A$5:$A$64,0)),""))</f>
        <v/>
      </c>
      <c r="V787" s="136">
        <f>IF($F787="","",IFERROR(INDEX(사건마스터!$AS$5:$AS$64,MATCH($F787,사건마스터!$A$5:$A$64,0)),""))</f>
        <v/>
      </c>
      <c r="W787" s="136">
        <f>IF($F787="","",IFERROR(INDEX(사건마스터!$AT$5:$AT$64,MATCH($F787,사건마스터!$A$5:$A$64,0)),""))</f>
        <v/>
      </c>
      <c r="X787" s="136">
        <f>IF($F787="","",IFERROR(INDEX(사건마스터!$AU$5:$AU$64,MATCH($F787,사건마스터!$A$5:$A$64,0)),""))</f>
        <v/>
      </c>
      <c r="Y787" s="136">
        <f>IF($F787="","",IFERROR(INDEX(사건마스터!$AV$5:$AV$64,MATCH($F787,사건마스터!$A$5:$A$64,0)),""))</f>
        <v/>
      </c>
      <c r="Z787" s="118">
        <f>IF(COUNTBLANK($J787:$Y787)=16,"",16-COUNTBLANK($J787:$Y787))</f>
        <v/>
      </c>
      <c r="AA787" s="33">
        <f>IF($J787="",MID($AX787,3,255),$J787&amp;$AX787)</f>
        <v/>
      </c>
      <c r="AB787" s="130">
        <f>IF($J787="","",IFERROR(INDEX(코드설정!$D$5:$D$24,MATCH($J787,코드설정!$C$5:$C$24,0)),""))</f>
        <v/>
      </c>
      <c r="AC787" s="36" t="n"/>
      <c r="AD787" s="37" t="n"/>
      <c r="AE787" s="38" t="n"/>
      <c r="AF787" s="118">
        <f>IF(OR($B787="",$C787=""),"",$C787-$B787+1)</f>
        <v/>
      </c>
      <c r="AG787" s="74" t="n"/>
      <c r="AH787" s="36" t="n"/>
      <c r="AJ787">
        <f>IF($K787="","",", "&amp;$K787)</f>
        <v/>
      </c>
      <c r="AK787">
        <f>AJ787&amp;IF($L787="","",", "&amp;$L787)</f>
        <v/>
      </c>
      <c r="AL787">
        <f>AK787&amp;IF($M787="","",", "&amp;$M787)</f>
        <v/>
      </c>
      <c r="AM787">
        <f>AL787&amp;IF($N787="","",", "&amp;$N787)</f>
        <v/>
      </c>
      <c r="AN787">
        <f>AM787&amp;IF($O787="","",", "&amp;$O787)</f>
        <v/>
      </c>
      <c r="AO787">
        <f>AN787&amp;IF($P787="","",", "&amp;$P787)</f>
        <v/>
      </c>
      <c r="AP787">
        <f>AO787&amp;IF($Q787="","",", "&amp;$Q787)</f>
        <v/>
      </c>
      <c r="AQ787">
        <f>AP787&amp;IF($R787="","",", "&amp;$R787)</f>
        <v/>
      </c>
      <c r="AR787">
        <f>AQ787&amp;IF($S787="","",", "&amp;$S787)</f>
        <v/>
      </c>
      <c r="AS787">
        <f>AR787&amp;IF($T787="","",", "&amp;$T787)</f>
        <v/>
      </c>
      <c r="AT787">
        <f>AS787&amp;IF($U787="","",", "&amp;$U787)</f>
        <v/>
      </c>
      <c r="AU787">
        <f>AT787&amp;IF($V787="","",", "&amp;$V787)</f>
        <v/>
      </c>
      <c r="AV787">
        <f>AU787&amp;IF($W787="","",", "&amp;$W787)</f>
        <v/>
      </c>
      <c r="AW787">
        <f>AV787&amp;IF($X787="","",", "&amp;$X787)</f>
        <v/>
      </c>
      <c r="AX787">
        <f>AW787&amp;IF($Y787="","",", "&amp;$Y787)</f>
        <v/>
      </c>
    </row>
    <row r="788">
      <c r="A788" s="118">
        <f>IF($B788="","",COUNT($B$5:$B788))</f>
        <v/>
      </c>
      <c r="B788" s="80" t="n"/>
      <c r="C788" s="80" t="n"/>
      <c r="D788" s="74" t="n"/>
      <c r="E788" s="74" t="n"/>
      <c r="F788" s="74" t="n"/>
      <c r="G788" s="118">
        <f>IF($F788="","",COUNTIF($F$5:$F788,$F788))</f>
        <v/>
      </c>
      <c r="H788" s="33">
        <f>IF($F788="","",IFERROR(INDEX(사건마스터!$B$5:$B$64,MATCH($F788,사건마스터!$A$5:$A$64,0)),""))</f>
        <v/>
      </c>
      <c r="I788" s="130">
        <f>IF($F788="","",IFERROR(INDEX(사건마스터!$C$5:$C$64,MATCH($F788,사건마스터!$A$5:$A$64,0)),""))</f>
        <v/>
      </c>
      <c r="J788" s="136">
        <f>IF($F788="","",IFERROR(INDEX(사건마스터!$H$5:$H$64,MATCH($F788,사건마스터!$A$5:$A$64,0)),""))</f>
        <v/>
      </c>
      <c r="K788" s="136">
        <f>IF($F788="","",IFERROR(INDEX(사건마스터!$AH$5:$AH$64,MATCH($F788,사건마스터!$A$5:$A$64,0)),""))</f>
        <v/>
      </c>
      <c r="L788" s="136">
        <f>IF($F788="","",IFERROR(INDEX(사건마스터!$AI$5:$AI$64,MATCH($F788,사건마스터!$A$5:$A$64,0)),""))</f>
        <v/>
      </c>
      <c r="M788" s="136">
        <f>IF($F788="","",IFERROR(INDEX(사건마스터!$AJ$5:$AJ$64,MATCH($F788,사건마스터!$A$5:$A$64,0)),""))</f>
        <v/>
      </c>
      <c r="N788" s="136">
        <f>IF($F788="","",IFERROR(INDEX(사건마스터!$AK$5:$AK$64,MATCH($F788,사건마스터!$A$5:$A$64,0)),""))</f>
        <v/>
      </c>
      <c r="O788" s="136">
        <f>IF($F788="","",IFERROR(INDEX(사건마스터!$AL$5:$AL$64,MATCH($F788,사건마스터!$A$5:$A$64,0)),""))</f>
        <v/>
      </c>
      <c r="P788" s="136">
        <f>IF($F788="","",IFERROR(INDEX(사건마스터!$AM$5:$AM$64,MATCH($F788,사건마스터!$A$5:$A$64,0)),""))</f>
        <v/>
      </c>
      <c r="Q788" s="136">
        <f>IF($F788="","",IFERROR(INDEX(사건마스터!$AN$5:$AN$64,MATCH($F788,사건마스터!$A$5:$A$64,0)),""))</f>
        <v/>
      </c>
      <c r="R788" s="136">
        <f>IF($F788="","",IFERROR(INDEX(사건마스터!$AO$5:$AO$64,MATCH($F788,사건마스터!$A$5:$A$64,0)),""))</f>
        <v/>
      </c>
      <c r="S788" s="136">
        <f>IF($F788="","",IFERROR(INDEX(사건마스터!$AP$5:$AP$64,MATCH($F788,사건마스터!$A$5:$A$64,0)),""))</f>
        <v/>
      </c>
      <c r="T788" s="136">
        <f>IF($F788="","",IFERROR(INDEX(사건마스터!$AQ$5:$AQ$64,MATCH($F788,사건마스터!$A$5:$A$64,0)),""))</f>
        <v/>
      </c>
      <c r="U788" s="136">
        <f>IF($F788="","",IFERROR(INDEX(사건마스터!$AR$5:$AR$64,MATCH($F788,사건마스터!$A$5:$A$64,0)),""))</f>
        <v/>
      </c>
      <c r="V788" s="136">
        <f>IF($F788="","",IFERROR(INDEX(사건마스터!$AS$5:$AS$64,MATCH($F788,사건마스터!$A$5:$A$64,0)),""))</f>
        <v/>
      </c>
      <c r="W788" s="136">
        <f>IF($F788="","",IFERROR(INDEX(사건마스터!$AT$5:$AT$64,MATCH($F788,사건마스터!$A$5:$A$64,0)),""))</f>
        <v/>
      </c>
      <c r="X788" s="136">
        <f>IF($F788="","",IFERROR(INDEX(사건마스터!$AU$5:$AU$64,MATCH($F788,사건마스터!$A$5:$A$64,0)),""))</f>
        <v/>
      </c>
      <c r="Y788" s="136">
        <f>IF($F788="","",IFERROR(INDEX(사건마스터!$AV$5:$AV$64,MATCH($F788,사건마스터!$A$5:$A$64,0)),""))</f>
        <v/>
      </c>
      <c r="Z788" s="118">
        <f>IF(COUNTBLANK($J788:$Y788)=16,"",16-COUNTBLANK($J788:$Y788))</f>
        <v/>
      </c>
      <c r="AA788" s="33">
        <f>IF($J788="",MID($AX788,3,255),$J788&amp;$AX788)</f>
        <v/>
      </c>
      <c r="AB788" s="130">
        <f>IF($J788="","",IFERROR(INDEX(코드설정!$D$5:$D$24,MATCH($J788,코드설정!$C$5:$C$24,0)),""))</f>
        <v/>
      </c>
      <c r="AC788" s="36" t="n"/>
      <c r="AD788" s="37" t="n"/>
      <c r="AE788" s="38" t="n"/>
      <c r="AF788" s="118">
        <f>IF(OR($B788="",$C788=""),"",$C788-$B788+1)</f>
        <v/>
      </c>
      <c r="AG788" s="74" t="n"/>
      <c r="AH788" s="36" t="n"/>
      <c r="AJ788">
        <f>IF($K788="","",", "&amp;$K788)</f>
        <v/>
      </c>
      <c r="AK788">
        <f>AJ788&amp;IF($L788="","",", "&amp;$L788)</f>
        <v/>
      </c>
      <c r="AL788">
        <f>AK788&amp;IF($M788="","",", "&amp;$M788)</f>
        <v/>
      </c>
      <c r="AM788">
        <f>AL788&amp;IF($N788="","",", "&amp;$N788)</f>
        <v/>
      </c>
      <c r="AN788">
        <f>AM788&amp;IF($O788="","",", "&amp;$O788)</f>
        <v/>
      </c>
      <c r="AO788">
        <f>AN788&amp;IF($P788="","",", "&amp;$P788)</f>
        <v/>
      </c>
      <c r="AP788">
        <f>AO788&amp;IF($Q788="","",", "&amp;$Q788)</f>
        <v/>
      </c>
      <c r="AQ788">
        <f>AP788&amp;IF($R788="","",", "&amp;$R788)</f>
        <v/>
      </c>
      <c r="AR788">
        <f>AQ788&amp;IF($S788="","",", "&amp;$S788)</f>
        <v/>
      </c>
      <c r="AS788">
        <f>AR788&amp;IF($T788="","",", "&amp;$T788)</f>
        <v/>
      </c>
      <c r="AT788">
        <f>AS788&amp;IF($U788="","",", "&amp;$U788)</f>
        <v/>
      </c>
      <c r="AU788">
        <f>AT788&amp;IF($V788="","",", "&amp;$V788)</f>
        <v/>
      </c>
      <c r="AV788">
        <f>AU788&amp;IF($W788="","",", "&amp;$W788)</f>
        <v/>
      </c>
      <c r="AW788">
        <f>AV788&amp;IF($X788="","",", "&amp;$X788)</f>
        <v/>
      </c>
      <c r="AX788">
        <f>AW788&amp;IF($Y788="","",", "&amp;$Y788)</f>
        <v/>
      </c>
    </row>
    <row r="789">
      <c r="A789" s="118">
        <f>IF($B789="","",COUNT($B$5:$B789))</f>
        <v/>
      </c>
      <c r="B789" s="80" t="n"/>
      <c r="C789" s="80" t="n"/>
      <c r="D789" s="74" t="n"/>
      <c r="E789" s="74" t="n"/>
      <c r="F789" s="74" t="n"/>
      <c r="G789" s="118">
        <f>IF($F789="","",COUNTIF($F$5:$F789,$F789))</f>
        <v/>
      </c>
      <c r="H789" s="33">
        <f>IF($F789="","",IFERROR(INDEX(사건마스터!$B$5:$B$64,MATCH($F789,사건마스터!$A$5:$A$64,0)),""))</f>
        <v/>
      </c>
      <c r="I789" s="130">
        <f>IF($F789="","",IFERROR(INDEX(사건마스터!$C$5:$C$64,MATCH($F789,사건마스터!$A$5:$A$64,0)),""))</f>
        <v/>
      </c>
      <c r="J789" s="136">
        <f>IF($F789="","",IFERROR(INDEX(사건마스터!$H$5:$H$64,MATCH($F789,사건마스터!$A$5:$A$64,0)),""))</f>
        <v/>
      </c>
      <c r="K789" s="136">
        <f>IF($F789="","",IFERROR(INDEX(사건마스터!$AH$5:$AH$64,MATCH($F789,사건마스터!$A$5:$A$64,0)),""))</f>
        <v/>
      </c>
      <c r="L789" s="136">
        <f>IF($F789="","",IFERROR(INDEX(사건마스터!$AI$5:$AI$64,MATCH($F789,사건마스터!$A$5:$A$64,0)),""))</f>
        <v/>
      </c>
      <c r="M789" s="136">
        <f>IF($F789="","",IFERROR(INDEX(사건마스터!$AJ$5:$AJ$64,MATCH($F789,사건마스터!$A$5:$A$64,0)),""))</f>
        <v/>
      </c>
      <c r="N789" s="136">
        <f>IF($F789="","",IFERROR(INDEX(사건마스터!$AK$5:$AK$64,MATCH($F789,사건마스터!$A$5:$A$64,0)),""))</f>
        <v/>
      </c>
      <c r="O789" s="136">
        <f>IF($F789="","",IFERROR(INDEX(사건마스터!$AL$5:$AL$64,MATCH($F789,사건마스터!$A$5:$A$64,0)),""))</f>
        <v/>
      </c>
      <c r="P789" s="136">
        <f>IF($F789="","",IFERROR(INDEX(사건마스터!$AM$5:$AM$64,MATCH($F789,사건마스터!$A$5:$A$64,0)),""))</f>
        <v/>
      </c>
      <c r="Q789" s="136">
        <f>IF($F789="","",IFERROR(INDEX(사건마스터!$AN$5:$AN$64,MATCH($F789,사건마스터!$A$5:$A$64,0)),""))</f>
        <v/>
      </c>
      <c r="R789" s="136">
        <f>IF($F789="","",IFERROR(INDEX(사건마스터!$AO$5:$AO$64,MATCH($F789,사건마스터!$A$5:$A$64,0)),""))</f>
        <v/>
      </c>
      <c r="S789" s="136">
        <f>IF($F789="","",IFERROR(INDEX(사건마스터!$AP$5:$AP$64,MATCH($F789,사건마스터!$A$5:$A$64,0)),""))</f>
        <v/>
      </c>
      <c r="T789" s="136">
        <f>IF($F789="","",IFERROR(INDEX(사건마스터!$AQ$5:$AQ$64,MATCH($F789,사건마스터!$A$5:$A$64,0)),""))</f>
        <v/>
      </c>
      <c r="U789" s="136">
        <f>IF($F789="","",IFERROR(INDEX(사건마스터!$AR$5:$AR$64,MATCH($F789,사건마스터!$A$5:$A$64,0)),""))</f>
        <v/>
      </c>
      <c r="V789" s="136">
        <f>IF($F789="","",IFERROR(INDEX(사건마스터!$AS$5:$AS$64,MATCH($F789,사건마스터!$A$5:$A$64,0)),""))</f>
        <v/>
      </c>
      <c r="W789" s="136">
        <f>IF($F789="","",IFERROR(INDEX(사건마스터!$AT$5:$AT$64,MATCH($F789,사건마스터!$A$5:$A$64,0)),""))</f>
        <v/>
      </c>
      <c r="X789" s="136">
        <f>IF($F789="","",IFERROR(INDEX(사건마스터!$AU$5:$AU$64,MATCH($F789,사건마스터!$A$5:$A$64,0)),""))</f>
        <v/>
      </c>
      <c r="Y789" s="136">
        <f>IF($F789="","",IFERROR(INDEX(사건마스터!$AV$5:$AV$64,MATCH($F789,사건마스터!$A$5:$A$64,0)),""))</f>
        <v/>
      </c>
      <c r="Z789" s="118">
        <f>IF(COUNTBLANK($J789:$Y789)=16,"",16-COUNTBLANK($J789:$Y789))</f>
        <v/>
      </c>
      <c r="AA789" s="33">
        <f>IF($J789="",MID($AX789,3,255),$J789&amp;$AX789)</f>
        <v/>
      </c>
      <c r="AB789" s="130">
        <f>IF($J789="","",IFERROR(INDEX(코드설정!$D$5:$D$24,MATCH($J789,코드설정!$C$5:$C$24,0)),""))</f>
        <v/>
      </c>
      <c r="AC789" s="36" t="n"/>
      <c r="AD789" s="37" t="n"/>
      <c r="AE789" s="38" t="n"/>
      <c r="AF789" s="118">
        <f>IF(OR($B789="",$C789=""),"",$C789-$B789+1)</f>
        <v/>
      </c>
      <c r="AG789" s="74" t="n"/>
      <c r="AH789" s="36" t="n"/>
      <c r="AJ789">
        <f>IF($K789="","",", "&amp;$K789)</f>
        <v/>
      </c>
      <c r="AK789">
        <f>AJ789&amp;IF($L789="","",", "&amp;$L789)</f>
        <v/>
      </c>
      <c r="AL789">
        <f>AK789&amp;IF($M789="","",", "&amp;$M789)</f>
        <v/>
      </c>
      <c r="AM789">
        <f>AL789&amp;IF($N789="","",", "&amp;$N789)</f>
        <v/>
      </c>
      <c r="AN789">
        <f>AM789&amp;IF($O789="","",", "&amp;$O789)</f>
        <v/>
      </c>
      <c r="AO789">
        <f>AN789&amp;IF($P789="","",", "&amp;$P789)</f>
        <v/>
      </c>
      <c r="AP789">
        <f>AO789&amp;IF($Q789="","",", "&amp;$Q789)</f>
        <v/>
      </c>
      <c r="AQ789">
        <f>AP789&amp;IF($R789="","",", "&amp;$R789)</f>
        <v/>
      </c>
      <c r="AR789">
        <f>AQ789&amp;IF($S789="","",", "&amp;$S789)</f>
        <v/>
      </c>
      <c r="AS789">
        <f>AR789&amp;IF($T789="","",", "&amp;$T789)</f>
        <v/>
      </c>
      <c r="AT789">
        <f>AS789&amp;IF($U789="","",", "&amp;$U789)</f>
        <v/>
      </c>
      <c r="AU789">
        <f>AT789&amp;IF($V789="","",", "&amp;$V789)</f>
        <v/>
      </c>
      <c r="AV789">
        <f>AU789&amp;IF($W789="","",", "&amp;$W789)</f>
        <v/>
      </c>
      <c r="AW789">
        <f>AV789&amp;IF($X789="","",", "&amp;$X789)</f>
        <v/>
      </c>
      <c r="AX789">
        <f>AW789&amp;IF($Y789="","",", "&amp;$Y789)</f>
        <v/>
      </c>
    </row>
    <row r="790">
      <c r="A790" s="118">
        <f>IF($B790="","",COUNT($B$5:$B790))</f>
        <v/>
      </c>
      <c r="B790" s="80" t="n"/>
      <c r="C790" s="80" t="n"/>
      <c r="D790" s="74" t="n"/>
      <c r="E790" s="74" t="n"/>
      <c r="F790" s="74" t="n"/>
      <c r="G790" s="118">
        <f>IF($F790="","",COUNTIF($F$5:$F790,$F790))</f>
        <v/>
      </c>
      <c r="H790" s="33">
        <f>IF($F790="","",IFERROR(INDEX(사건마스터!$B$5:$B$64,MATCH($F790,사건마스터!$A$5:$A$64,0)),""))</f>
        <v/>
      </c>
      <c r="I790" s="130">
        <f>IF($F790="","",IFERROR(INDEX(사건마스터!$C$5:$C$64,MATCH($F790,사건마스터!$A$5:$A$64,0)),""))</f>
        <v/>
      </c>
      <c r="J790" s="136">
        <f>IF($F790="","",IFERROR(INDEX(사건마스터!$H$5:$H$64,MATCH($F790,사건마스터!$A$5:$A$64,0)),""))</f>
        <v/>
      </c>
      <c r="K790" s="136">
        <f>IF($F790="","",IFERROR(INDEX(사건마스터!$AH$5:$AH$64,MATCH($F790,사건마스터!$A$5:$A$64,0)),""))</f>
        <v/>
      </c>
      <c r="L790" s="136">
        <f>IF($F790="","",IFERROR(INDEX(사건마스터!$AI$5:$AI$64,MATCH($F790,사건마스터!$A$5:$A$64,0)),""))</f>
        <v/>
      </c>
      <c r="M790" s="136">
        <f>IF($F790="","",IFERROR(INDEX(사건마스터!$AJ$5:$AJ$64,MATCH($F790,사건마스터!$A$5:$A$64,0)),""))</f>
        <v/>
      </c>
      <c r="N790" s="136">
        <f>IF($F790="","",IFERROR(INDEX(사건마스터!$AK$5:$AK$64,MATCH($F790,사건마스터!$A$5:$A$64,0)),""))</f>
        <v/>
      </c>
      <c r="O790" s="136">
        <f>IF($F790="","",IFERROR(INDEX(사건마스터!$AL$5:$AL$64,MATCH($F790,사건마스터!$A$5:$A$64,0)),""))</f>
        <v/>
      </c>
      <c r="P790" s="136">
        <f>IF($F790="","",IFERROR(INDEX(사건마스터!$AM$5:$AM$64,MATCH($F790,사건마스터!$A$5:$A$64,0)),""))</f>
        <v/>
      </c>
      <c r="Q790" s="136">
        <f>IF($F790="","",IFERROR(INDEX(사건마스터!$AN$5:$AN$64,MATCH($F790,사건마스터!$A$5:$A$64,0)),""))</f>
        <v/>
      </c>
      <c r="R790" s="136">
        <f>IF($F790="","",IFERROR(INDEX(사건마스터!$AO$5:$AO$64,MATCH($F790,사건마스터!$A$5:$A$64,0)),""))</f>
        <v/>
      </c>
      <c r="S790" s="136">
        <f>IF($F790="","",IFERROR(INDEX(사건마스터!$AP$5:$AP$64,MATCH($F790,사건마스터!$A$5:$A$64,0)),""))</f>
        <v/>
      </c>
      <c r="T790" s="136">
        <f>IF($F790="","",IFERROR(INDEX(사건마스터!$AQ$5:$AQ$64,MATCH($F790,사건마스터!$A$5:$A$64,0)),""))</f>
        <v/>
      </c>
      <c r="U790" s="136">
        <f>IF($F790="","",IFERROR(INDEX(사건마스터!$AR$5:$AR$64,MATCH($F790,사건마스터!$A$5:$A$64,0)),""))</f>
        <v/>
      </c>
      <c r="V790" s="136">
        <f>IF($F790="","",IFERROR(INDEX(사건마스터!$AS$5:$AS$64,MATCH($F790,사건마스터!$A$5:$A$64,0)),""))</f>
        <v/>
      </c>
      <c r="W790" s="136">
        <f>IF($F790="","",IFERROR(INDEX(사건마스터!$AT$5:$AT$64,MATCH($F790,사건마스터!$A$5:$A$64,0)),""))</f>
        <v/>
      </c>
      <c r="X790" s="136">
        <f>IF($F790="","",IFERROR(INDEX(사건마스터!$AU$5:$AU$64,MATCH($F790,사건마스터!$A$5:$A$64,0)),""))</f>
        <v/>
      </c>
      <c r="Y790" s="136">
        <f>IF($F790="","",IFERROR(INDEX(사건마스터!$AV$5:$AV$64,MATCH($F790,사건마스터!$A$5:$A$64,0)),""))</f>
        <v/>
      </c>
      <c r="Z790" s="118">
        <f>IF(COUNTBLANK($J790:$Y790)=16,"",16-COUNTBLANK($J790:$Y790))</f>
        <v/>
      </c>
      <c r="AA790" s="33">
        <f>IF($J790="",MID($AX790,3,255),$J790&amp;$AX790)</f>
        <v/>
      </c>
      <c r="AB790" s="130">
        <f>IF($J790="","",IFERROR(INDEX(코드설정!$D$5:$D$24,MATCH($J790,코드설정!$C$5:$C$24,0)),""))</f>
        <v/>
      </c>
      <c r="AC790" s="36" t="n"/>
      <c r="AD790" s="37" t="n"/>
      <c r="AE790" s="38" t="n"/>
      <c r="AF790" s="118">
        <f>IF(OR($B790="",$C790=""),"",$C790-$B790+1)</f>
        <v/>
      </c>
      <c r="AG790" s="74" t="n"/>
      <c r="AH790" s="36" t="n"/>
      <c r="AJ790">
        <f>IF($K790="","",", "&amp;$K790)</f>
        <v/>
      </c>
      <c r="AK790">
        <f>AJ790&amp;IF($L790="","",", "&amp;$L790)</f>
        <v/>
      </c>
      <c r="AL790">
        <f>AK790&amp;IF($M790="","",", "&amp;$M790)</f>
        <v/>
      </c>
      <c r="AM790">
        <f>AL790&amp;IF($N790="","",", "&amp;$N790)</f>
        <v/>
      </c>
      <c r="AN790">
        <f>AM790&amp;IF($O790="","",", "&amp;$O790)</f>
        <v/>
      </c>
      <c r="AO790">
        <f>AN790&amp;IF($P790="","",", "&amp;$P790)</f>
        <v/>
      </c>
      <c r="AP790">
        <f>AO790&amp;IF($Q790="","",", "&amp;$Q790)</f>
        <v/>
      </c>
      <c r="AQ790">
        <f>AP790&amp;IF($R790="","",", "&amp;$R790)</f>
        <v/>
      </c>
      <c r="AR790">
        <f>AQ790&amp;IF($S790="","",", "&amp;$S790)</f>
        <v/>
      </c>
      <c r="AS790">
        <f>AR790&amp;IF($T790="","",", "&amp;$T790)</f>
        <v/>
      </c>
      <c r="AT790">
        <f>AS790&amp;IF($U790="","",", "&amp;$U790)</f>
        <v/>
      </c>
      <c r="AU790">
        <f>AT790&amp;IF($V790="","",", "&amp;$V790)</f>
        <v/>
      </c>
      <c r="AV790">
        <f>AU790&amp;IF($W790="","",", "&amp;$W790)</f>
        <v/>
      </c>
      <c r="AW790">
        <f>AV790&amp;IF($X790="","",", "&amp;$X790)</f>
        <v/>
      </c>
      <c r="AX790">
        <f>AW790&amp;IF($Y790="","",", "&amp;$Y790)</f>
        <v/>
      </c>
    </row>
    <row r="791">
      <c r="A791" s="118">
        <f>IF($B791="","",COUNT($B$5:$B791))</f>
        <v/>
      </c>
      <c r="B791" s="80" t="n"/>
      <c r="C791" s="80" t="n"/>
      <c r="D791" s="74" t="n"/>
      <c r="E791" s="74" t="n"/>
      <c r="F791" s="74" t="n"/>
      <c r="G791" s="118">
        <f>IF($F791="","",COUNTIF($F$5:$F791,$F791))</f>
        <v/>
      </c>
      <c r="H791" s="33">
        <f>IF($F791="","",IFERROR(INDEX(사건마스터!$B$5:$B$64,MATCH($F791,사건마스터!$A$5:$A$64,0)),""))</f>
        <v/>
      </c>
      <c r="I791" s="130">
        <f>IF($F791="","",IFERROR(INDEX(사건마스터!$C$5:$C$64,MATCH($F791,사건마스터!$A$5:$A$64,0)),""))</f>
        <v/>
      </c>
      <c r="J791" s="136">
        <f>IF($F791="","",IFERROR(INDEX(사건마스터!$H$5:$H$64,MATCH($F791,사건마스터!$A$5:$A$64,0)),""))</f>
        <v/>
      </c>
      <c r="K791" s="136">
        <f>IF($F791="","",IFERROR(INDEX(사건마스터!$AH$5:$AH$64,MATCH($F791,사건마스터!$A$5:$A$64,0)),""))</f>
        <v/>
      </c>
      <c r="L791" s="136">
        <f>IF($F791="","",IFERROR(INDEX(사건마스터!$AI$5:$AI$64,MATCH($F791,사건마스터!$A$5:$A$64,0)),""))</f>
        <v/>
      </c>
      <c r="M791" s="136">
        <f>IF($F791="","",IFERROR(INDEX(사건마스터!$AJ$5:$AJ$64,MATCH($F791,사건마스터!$A$5:$A$64,0)),""))</f>
        <v/>
      </c>
      <c r="N791" s="136">
        <f>IF($F791="","",IFERROR(INDEX(사건마스터!$AK$5:$AK$64,MATCH($F791,사건마스터!$A$5:$A$64,0)),""))</f>
        <v/>
      </c>
      <c r="O791" s="136">
        <f>IF($F791="","",IFERROR(INDEX(사건마스터!$AL$5:$AL$64,MATCH($F791,사건마스터!$A$5:$A$64,0)),""))</f>
        <v/>
      </c>
      <c r="P791" s="136">
        <f>IF($F791="","",IFERROR(INDEX(사건마스터!$AM$5:$AM$64,MATCH($F791,사건마스터!$A$5:$A$64,0)),""))</f>
        <v/>
      </c>
      <c r="Q791" s="136">
        <f>IF($F791="","",IFERROR(INDEX(사건마스터!$AN$5:$AN$64,MATCH($F791,사건마스터!$A$5:$A$64,0)),""))</f>
        <v/>
      </c>
      <c r="R791" s="136">
        <f>IF($F791="","",IFERROR(INDEX(사건마스터!$AO$5:$AO$64,MATCH($F791,사건마스터!$A$5:$A$64,0)),""))</f>
        <v/>
      </c>
      <c r="S791" s="136">
        <f>IF($F791="","",IFERROR(INDEX(사건마스터!$AP$5:$AP$64,MATCH($F791,사건마스터!$A$5:$A$64,0)),""))</f>
        <v/>
      </c>
      <c r="T791" s="136">
        <f>IF($F791="","",IFERROR(INDEX(사건마스터!$AQ$5:$AQ$64,MATCH($F791,사건마스터!$A$5:$A$64,0)),""))</f>
        <v/>
      </c>
      <c r="U791" s="136">
        <f>IF($F791="","",IFERROR(INDEX(사건마스터!$AR$5:$AR$64,MATCH($F791,사건마스터!$A$5:$A$64,0)),""))</f>
        <v/>
      </c>
      <c r="V791" s="136">
        <f>IF($F791="","",IFERROR(INDEX(사건마스터!$AS$5:$AS$64,MATCH($F791,사건마스터!$A$5:$A$64,0)),""))</f>
        <v/>
      </c>
      <c r="W791" s="136">
        <f>IF($F791="","",IFERROR(INDEX(사건마스터!$AT$5:$AT$64,MATCH($F791,사건마스터!$A$5:$A$64,0)),""))</f>
        <v/>
      </c>
      <c r="X791" s="136">
        <f>IF($F791="","",IFERROR(INDEX(사건마스터!$AU$5:$AU$64,MATCH($F791,사건마스터!$A$5:$A$64,0)),""))</f>
        <v/>
      </c>
      <c r="Y791" s="136">
        <f>IF($F791="","",IFERROR(INDEX(사건마스터!$AV$5:$AV$64,MATCH($F791,사건마스터!$A$5:$A$64,0)),""))</f>
        <v/>
      </c>
      <c r="Z791" s="118">
        <f>IF(COUNTBLANK($J791:$Y791)=16,"",16-COUNTBLANK($J791:$Y791))</f>
        <v/>
      </c>
      <c r="AA791" s="33">
        <f>IF($J791="",MID($AX791,3,255),$J791&amp;$AX791)</f>
        <v/>
      </c>
      <c r="AB791" s="130">
        <f>IF($J791="","",IFERROR(INDEX(코드설정!$D$5:$D$24,MATCH($J791,코드설정!$C$5:$C$24,0)),""))</f>
        <v/>
      </c>
      <c r="AC791" s="36" t="n"/>
      <c r="AD791" s="37" t="n"/>
      <c r="AE791" s="38" t="n"/>
      <c r="AF791" s="118">
        <f>IF(OR($B791="",$C791=""),"",$C791-$B791+1)</f>
        <v/>
      </c>
      <c r="AG791" s="74" t="n"/>
      <c r="AH791" s="36" t="n"/>
      <c r="AJ791">
        <f>IF($K791="","",", "&amp;$K791)</f>
        <v/>
      </c>
      <c r="AK791">
        <f>AJ791&amp;IF($L791="","",", "&amp;$L791)</f>
        <v/>
      </c>
      <c r="AL791">
        <f>AK791&amp;IF($M791="","",", "&amp;$M791)</f>
        <v/>
      </c>
      <c r="AM791">
        <f>AL791&amp;IF($N791="","",", "&amp;$N791)</f>
        <v/>
      </c>
      <c r="AN791">
        <f>AM791&amp;IF($O791="","",", "&amp;$O791)</f>
        <v/>
      </c>
      <c r="AO791">
        <f>AN791&amp;IF($P791="","",", "&amp;$P791)</f>
        <v/>
      </c>
      <c r="AP791">
        <f>AO791&amp;IF($Q791="","",", "&amp;$Q791)</f>
        <v/>
      </c>
      <c r="AQ791">
        <f>AP791&amp;IF($R791="","",", "&amp;$R791)</f>
        <v/>
      </c>
      <c r="AR791">
        <f>AQ791&amp;IF($S791="","",", "&amp;$S791)</f>
        <v/>
      </c>
      <c r="AS791">
        <f>AR791&amp;IF($T791="","",", "&amp;$T791)</f>
        <v/>
      </c>
      <c r="AT791">
        <f>AS791&amp;IF($U791="","",", "&amp;$U791)</f>
        <v/>
      </c>
      <c r="AU791">
        <f>AT791&amp;IF($V791="","",", "&amp;$V791)</f>
        <v/>
      </c>
      <c r="AV791">
        <f>AU791&amp;IF($W791="","",", "&amp;$W791)</f>
        <v/>
      </c>
      <c r="AW791">
        <f>AV791&amp;IF($X791="","",", "&amp;$X791)</f>
        <v/>
      </c>
      <c r="AX791">
        <f>AW791&amp;IF($Y791="","",", "&amp;$Y791)</f>
        <v/>
      </c>
    </row>
    <row r="792">
      <c r="A792" s="118">
        <f>IF($B792="","",COUNT($B$5:$B792))</f>
        <v/>
      </c>
      <c r="B792" s="80" t="n"/>
      <c r="C792" s="80" t="n"/>
      <c r="D792" s="74" t="n"/>
      <c r="E792" s="74" t="n"/>
      <c r="F792" s="74" t="n"/>
      <c r="G792" s="118">
        <f>IF($F792="","",COUNTIF($F$5:$F792,$F792))</f>
        <v/>
      </c>
      <c r="H792" s="33">
        <f>IF($F792="","",IFERROR(INDEX(사건마스터!$B$5:$B$64,MATCH($F792,사건마스터!$A$5:$A$64,0)),""))</f>
        <v/>
      </c>
      <c r="I792" s="130">
        <f>IF($F792="","",IFERROR(INDEX(사건마스터!$C$5:$C$64,MATCH($F792,사건마스터!$A$5:$A$64,0)),""))</f>
        <v/>
      </c>
      <c r="J792" s="136">
        <f>IF($F792="","",IFERROR(INDEX(사건마스터!$H$5:$H$64,MATCH($F792,사건마스터!$A$5:$A$64,0)),""))</f>
        <v/>
      </c>
      <c r="K792" s="136">
        <f>IF($F792="","",IFERROR(INDEX(사건마스터!$AH$5:$AH$64,MATCH($F792,사건마스터!$A$5:$A$64,0)),""))</f>
        <v/>
      </c>
      <c r="L792" s="136">
        <f>IF($F792="","",IFERROR(INDEX(사건마스터!$AI$5:$AI$64,MATCH($F792,사건마스터!$A$5:$A$64,0)),""))</f>
        <v/>
      </c>
      <c r="M792" s="136">
        <f>IF($F792="","",IFERROR(INDEX(사건마스터!$AJ$5:$AJ$64,MATCH($F792,사건마스터!$A$5:$A$64,0)),""))</f>
        <v/>
      </c>
      <c r="N792" s="136">
        <f>IF($F792="","",IFERROR(INDEX(사건마스터!$AK$5:$AK$64,MATCH($F792,사건마스터!$A$5:$A$64,0)),""))</f>
        <v/>
      </c>
      <c r="O792" s="136">
        <f>IF($F792="","",IFERROR(INDEX(사건마스터!$AL$5:$AL$64,MATCH($F792,사건마스터!$A$5:$A$64,0)),""))</f>
        <v/>
      </c>
      <c r="P792" s="136">
        <f>IF($F792="","",IFERROR(INDEX(사건마스터!$AM$5:$AM$64,MATCH($F792,사건마스터!$A$5:$A$64,0)),""))</f>
        <v/>
      </c>
      <c r="Q792" s="136">
        <f>IF($F792="","",IFERROR(INDEX(사건마스터!$AN$5:$AN$64,MATCH($F792,사건마스터!$A$5:$A$64,0)),""))</f>
        <v/>
      </c>
      <c r="R792" s="136">
        <f>IF($F792="","",IFERROR(INDEX(사건마스터!$AO$5:$AO$64,MATCH($F792,사건마스터!$A$5:$A$64,0)),""))</f>
        <v/>
      </c>
      <c r="S792" s="136">
        <f>IF($F792="","",IFERROR(INDEX(사건마스터!$AP$5:$AP$64,MATCH($F792,사건마스터!$A$5:$A$64,0)),""))</f>
        <v/>
      </c>
      <c r="T792" s="136">
        <f>IF($F792="","",IFERROR(INDEX(사건마스터!$AQ$5:$AQ$64,MATCH($F792,사건마스터!$A$5:$A$64,0)),""))</f>
        <v/>
      </c>
      <c r="U792" s="136">
        <f>IF($F792="","",IFERROR(INDEX(사건마스터!$AR$5:$AR$64,MATCH($F792,사건마스터!$A$5:$A$64,0)),""))</f>
        <v/>
      </c>
      <c r="V792" s="136">
        <f>IF($F792="","",IFERROR(INDEX(사건마스터!$AS$5:$AS$64,MATCH($F792,사건마스터!$A$5:$A$64,0)),""))</f>
        <v/>
      </c>
      <c r="W792" s="136">
        <f>IF($F792="","",IFERROR(INDEX(사건마스터!$AT$5:$AT$64,MATCH($F792,사건마스터!$A$5:$A$64,0)),""))</f>
        <v/>
      </c>
      <c r="X792" s="136">
        <f>IF($F792="","",IFERROR(INDEX(사건마스터!$AU$5:$AU$64,MATCH($F792,사건마스터!$A$5:$A$64,0)),""))</f>
        <v/>
      </c>
      <c r="Y792" s="136">
        <f>IF($F792="","",IFERROR(INDEX(사건마스터!$AV$5:$AV$64,MATCH($F792,사건마스터!$A$5:$A$64,0)),""))</f>
        <v/>
      </c>
      <c r="Z792" s="118">
        <f>IF(COUNTBLANK($J792:$Y792)=16,"",16-COUNTBLANK($J792:$Y792))</f>
        <v/>
      </c>
      <c r="AA792" s="33">
        <f>IF($J792="",MID($AX792,3,255),$J792&amp;$AX792)</f>
        <v/>
      </c>
      <c r="AB792" s="130">
        <f>IF($J792="","",IFERROR(INDEX(코드설정!$D$5:$D$24,MATCH($J792,코드설정!$C$5:$C$24,0)),""))</f>
        <v/>
      </c>
      <c r="AC792" s="36" t="n"/>
      <c r="AD792" s="37" t="n"/>
      <c r="AE792" s="38" t="n"/>
      <c r="AF792" s="118">
        <f>IF(OR($B792="",$C792=""),"",$C792-$B792+1)</f>
        <v/>
      </c>
      <c r="AG792" s="74" t="n"/>
      <c r="AH792" s="36" t="n"/>
      <c r="AJ792">
        <f>IF($K792="","",", "&amp;$K792)</f>
        <v/>
      </c>
      <c r="AK792">
        <f>AJ792&amp;IF($L792="","",", "&amp;$L792)</f>
        <v/>
      </c>
      <c r="AL792">
        <f>AK792&amp;IF($M792="","",", "&amp;$M792)</f>
        <v/>
      </c>
      <c r="AM792">
        <f>AL792&amp;IF($N792="","",", "&amp;$N792)</f>
        <v/>
      </c>
      <c r="AN792">
        <f>AM792&amp;IF($O792="","",", "&amp;$O792)</f>
        <v/>
      </c>
      <c r="AO792">
        <f>AN792&amp;IF($P792="","",", "&amp;$P792)</f>
        <v/>
      </c>
      <c r="AP792">
        <f>AO792&amp;IF($Q792="","",", "&amp;$Q792)</f>
        <v/>
      </c>
      <c r="AQ792">
        <f>AP792&amp;IF($R792="","",", "&amp;$R792)</f>
        <v/>
      </c>
      <c r="AR792">
        <f>AQ792&amp;IF($S792="","",", "&amp;$S792)</f>
        <v/>
      </c>
      <c r="AS792">
        <f>AR792&amp;IF($T792="","",", "&amp;$T792)</f>
        <v/>
      </c>
      <c r="AT792">
        <f>AS792&amp;IF($U792="","",", "&amp;$U792)</f>
        <v/>
      </c>
      <c r="AU792">
        <f>AT792&amp;IF($V792="","",", "&amp;$V792)</f>
        <v/>
      </c>
      <c r="AV792">
        <f>AU792&amp;IF($W792="","",", "&amp;$W792)</f>
        <v/>
      </c>
      <c r="AW792">
        <f>AV792&amp;IF($X792="","",", "&amp;$X792)</f>
        <v/>
      </c>
      <c r="AX792">
        <f>AW792&amp;IF($Y792="","",", "&amp;$Y792)</f>
        <v/>
      </c>
    </row>
    <row r="793">
      <c r="A793" s="118">
        <f>IF($B793="","",COUNT($B$5:$B793))</f>
        <v/>
      </c>
      <c r="B793" s="80" t="n"/>
      <c r="C793" s="80" t="n"/>
      <c r="D793" s="74" t="n"/>
      <c r="E793" s="74" t="n"/>
      <c r="F793" s="74" t="n"/>
      <c r="G793" s="118">
        <f>IF($F793="","",COUNTIF($F$5:$F793,$F793))</f>
        <v/>
      </c>
      <c r="H793" s="33">
        <f>IF($F793="","",IFERROR(INDEX(사건마스터!$B$5:$B$64,MATCH($F793,사건마스터!$A$5:$A$64,0)),""))</f>
        <v/>
      </c>
      <c r="I793" s="130">
        <f>IF($F793="","",IFERROR(INDEX(사건마스터!$C$5:$C$64,MATCH($F793,사건마스터!$A$5:$A$64,0)),""))</f>
        <v/>
      </c>
      <c r="J793" s="136">
        <f>IF($F793="","",IFERROR(INDEX(사건마스터!$H$5:$H$64,MATCH($F793,사건마스터!$A$5:$A$64,0)),""))</f>
        <v/>
      </c>
      <c r="K793" s="136">
        <f>IF($F793="","",IFERROR(INDEX(사건마스터!$AH$5:$AH$64,MATCH($F793,사건마스터!$A$5:$A$64,0)),""))</f>
        <v/>
      </c>
      <c r="L793" s="136">
        <f>IF($F793="","",IFERROR(INDEX(사건마스터!$AI$5:$AI$64,MATCH($F793,사건마스터!$A$5:$A$64,0)),""))</f>
        <v/>
      </c>
      <c r="M793" s="136">
        <f>IF($F793="","",IFERROR(INDEX(사건마스터!$AJ$5:$AJ$64,MATCH($F793,사건마스터!$A$5:$A$64,0)),""))</f>
        <v/>
      </c>
      <c r="N793" s="136">
        <f>IF($F793="","",IFERROR(INDEX(사건마스터!$AK$5:$AK$64,MATCH($F793,사건마스터!$A$5:$A$64,0)),""))</f>
        <v/>
      </c>
      <c r="O793" s="136">
        <f>IF($F793="","",IFERROR(INDEX(사건마스터!$AL$5:$AL$64,MATCH($F793,사건마스터!$A$5:$A$64,0)),""))</f>
        <v/>
      </c>
      <c r="P793" s="136">
        <f>IF($F793="","",IFERROR(INDEX(사건마스터!$AM$5:$AM$64,MATCH($F793,사건마스터!$A$5:$A$64,0)),""))</f>
        <v/>
      </c>
      <c r="Q793" s="136">
        <f>IF($F793="","",IFERROR(INDEX(사건마스터!$AN$5:$AN$64,MATCH($F793,사건마스터!$A$5:$A$64,0)),""))</f>
        <v/>
      </c>
      <c r="R793" s="136">
        <f>IF($F793="","",IFERROR(INDEX(사건마스터!$AO$5:$AO$64,MATCH($F793,사건마스터!$A$5:$A$64,0)),""))</f>
        <v/>
      </c>
      <c r="S793" s="136">
        <f>IF($F793="","",IFERROR(INDEX(사건마스터!$AP$5:$AP$64,MATCH($F793,사건마스터!$A$5:$A$64,0)),""))</f>
        <v/>
      </c>
      <c r="T793" s="136">
        <f>IF($F793="","",IFERROR(INDEX(사건마스터!$AQ$5:$AQ$64,MATCH($F793,사건마스터!$A$5:$A$64,0)),""))</f>
        <v/>
      </c>
      <c r="U793" s="136">
        <f>IF($F793="","",IFERROR(INDEX(사건마스터!$AR$5:$AR$64,MATCH($F793,사건마스터!$A$5:$A$64,0)),""))</f>
        <v/>
      </c>
      <c r="V793" s="136">
        <f>IF($F793="","",IFERROR(INDEX(사건마스터!$AS$5:$AS$64,MATCH($F793,사건마스터!$A$5:$A$64,0)),""))</f>
        <v/>
      </c>
      <c r="W793" s="136">
        <f>IF($F793="","",IFERROR(INDEX(사건마스터!$AT$5:$AT$64,MATCH($F793,사건마스터!$A$5:$A$64,0)),""))</f>
        <v/>
      </c>
      <c r="X793" s="136">
        <f>IF($F793="","",IFERROR(INDEX(사건마스터!$AU$5:$AU$64,MATCH($F793,사건마스터!$A$5:$A$64,0)),""))</f>
        <v/>
      </c>
      <c r="Y793" s="136">
        <f>IF($F793="","",IFERROR(INDEX(사건마스터!$AV$5:$AV$64,MATCH($F793,사건마스터!$A$5:$A$64,0)),""))</f>
        <v/>
      </c>
      <c r="Z793" s="118">
        <f>IF(COUNTBLANK($J793:$Y793)=16,"",16-COUNTBLANK($J793:$Y793))</f>
        <v/>
      </c>
      <c r="AA793" s="33">
        <f>IF($J793="",MID($AX793,3,255),$J793&amp;$AX793)</f>
        <v/>
      </c>
      <c r="AB793" s="130">
        <f>IF($J793="","",IFERROR(INDEX(코드설정!$D$5:$D$24,MATCH($J793,코드설정!$C$5:$C$24,0)),""))</f>
        <v/>
      </c>
      <c r="AC793" s="36" t="n"/>
      <c r="AD793" s="37" t="n"/>
      <c r="AE793" s="38" t="n"/>
      <c r="AF793" s="118">
        <f>IF(OR($B793="",$C793=""),"",$C793-$B793+1)</f>
        <v/>
      </c>
      <c r="AG793" s="74" t="n"/>
      <c r="AH793" s="36" t="n"/>
      <c r="AJ793">
        <f>IF($K793="","",", "&amp;$K793)</f>
        <v/>
      </c>
      <c r="AK793">
        <f>AJ793&amp;IF($L793="","",", "&amp;$L793)</f>
        <v/>
      </c>
      <c r="AL793">
        <f>AK793&amp;IF($M793="","",", "&amp;$M793)</f>
        <v/>
      </c>
      <c r="AM793">
        <f>AL793&amp;IF($N793="","",", "&amp;$N793)</f>
        <v/>
      </c>
      <c r="AN793">
        <f>AM793&amp;IF($O793="","",", "&amp;$O793)</f>
        <v/>
      </c>
      <c r="AO793">
        <f>AN793&amp;IF($P793="","",", "&amp;$P793)</f>
        <v/>
      </c>
      <c r="AP793">
        <f>AO793&amp;IF($Q793="","",", "&amp;$Q793)</f>
        <v/>
      </c>
      <c r="AQ793">
        <f>AP793&amp;IF($R793="","",", "&amp;$R793)</f>
        <v/>
      </c>
      <c r="AR793">
        <f>AQ793&amp;IF($S793="","",", "&amp;$S793)</f>
        <v/>
      </c>
      <c r="AS793">
        <f>AR793&amp;IF($T793="","",", "&amp;$T793)</f>
        <v/>
      </c>
      <c r="AT793">
        <f>AS793&amp;IF($U793="","",", "&amp;$U793)</f>
        <v/>
      </c>
      <c r="AU793">
        <f>AT793&amp;IF($V793="","",", "&amp;$V793)</f>
        <v/>
      </c>
      <c r="AV793">
        <f>AU793&amp;IF($W793="","",", "&amp;$W793)</f>
        <v/>
      </c>
      <c r="AW793">
        <f>AV793&amp;IF($X793="","",", "&amp;$X793)</f>
        <v/>
      </c>
      <c r="AX793">
        <f>AW793&amp;IF($Y793="","",", "&amp;$Y793)</f>
        <v/>
      </c>
    </row>
    <row r="794">
      <c r="A794" s="118">
        <f>IF($B794="","",COUNT($B$5:$B794))</f>
        <v/>
      </c>
      <c r="B794" s="80" t="n"/>
      <c r="C794" s="80" t="n"/>
      <c r="D794" s="74" t="n"/>
      <c r="E794" s="74" t="n"/>
      <c r="F794" s="74" t="n"/>
      <c r="G794" s="118">
        <f>IF($F794="","",COUNTIF($F$5:$F794,$F794))</f>
        <v/>
      </c>
      <c r="H794" s="33">
        <f>IF($F794="","",IFERROR(INDEX(사건마스터!$B$5:$B$64,MATCH($F794,사건마스터!$A$5:$A$64,0)),""))</f>
        <v/>
      </c>
      <c r="I794" s="130">
        <f>IF($F794="","",IFERROR(INDEX(사건마스터!$C$5:$C$64,MATCH($F794,사건마스터!$A$5:$A$64,0)),""))</f>
        <v/>
      </c>
      <c r="J794" s="136">
        <f>IF($F794="","",IFERROR(INDEX(사건마스터!$H$5:$H$64,MATCH($F794,사건마스터!$A$5:$A$64,0)),""))</f>
        <v/>
      </c>
      <c r="K794" s="136">
        <f>IF($F794="","",IFERROR(INDEX(사건마스터!$AH$5:$AH$64,MATCH($F794,사건마스터!$A$5:$A$64,0)),""))</f>
        <v/>
      </c>
      <c r="L794" s="136">
        <f>IF($F794="","",IFERROR(INDEX(사건마스터!$AI$5:$AI$64,MATCH($F794,사건마스터!$A$5:$A$64,0)),""))</f>
        <v/>
      </c>
      <c r="M794" s="136">
        <f>IF($F794="","",IFERROR(INDEX(사건마스터!$AJ$5:$AJ$64,MATCH($F794,사건마스터!$A$5:$A$64,0)),""))</f>
        <v/>
      </c>
      <c r="N794" s="136">
        <f>IF($F794="","",IFERROR(INDEX(사건마스터!$AK$5:$AK$64,MATCH($F794,사건마스터!$A$5:$A$64,0)),""))</f>
        <v/>
      </c>
      <c r="O794" s="136">
        <f>IF($F794="","",IFERROR(INDEX(사건마스터!$AL$5:$AL$64,MATCH($F794,사건마스터!$A$5:$A$64,0)),""))</f>
        <v/>
      </c>
      <c r="P794" s="136">
        <f>IF($F794="","",IFERROR(INDEX(사건마스터!$AM$5:$AM$64,MATCH($F794,사건마스터!$A$5:$A$64,0)),""))</f>
        <v/>
      </c>
      <c r="Q794" s="136">
        <f>IF($F794="","",IFERROR(INDEX(사건마스터!$AN$5:$AN$64,MATCH($F794,사건마스터!$A$5:$A$64,0)),""))</f>
        <v/>
      </c>
      <c r="R794" s="136">
        <f>IF($F794="","",IFERROR(INDEX(사건마스터!$AO$5:$AO$64,MATCH($F794,사건마스터!$A$5:$A$64,0)),""))</f>
        <v/>
      </c>
      <c r="S794" s="136">
        <f>IF($F794="","",IFERROR(INDEX(사건마스터!$AP$5:$AP$64,MATCH($F794,사건마스터!$A$5:$A$64,0)),""))</f>
        <v/>
      </c>
      <c r="T794" s="136">
        <f>IF($F794="","",IFERROR(INDEX(사건마스터!$AQ$5:$AQ$64,MATCH($F794,사건마스터!$A$5:$A$64,0)),""))</f>
        <v/>
      </c>
      <c r="U794" s="136">
        <f>IF($F794="","",IFERROR(INDEX(사건마스터!$AR$5:$AR$64,MATCH($F794,사건마스터!$A$5:$A$64,0)),""))</f>
        <v/>
      </c>
      <c r="V794" s="136">
        <f>IF($F794="","",IFERROR(INDEX(사건마스터!$AS$5:$AS$64,MATCH($F794,사건마스터!$A$5:$A$64,0)),""))</f>
        <v/>
      </c>
      <c r="W794" s="136">
        <f>IF($F794="","",IFERROR(INDEX(사건마스터!$AT$5:$AT$64,MATCH($F794,사건마스터!$A$5:$A$64,0)),""))</f>
        <v/>
      </c>
      <c r="X794" s="136">
        <f>IF($F794="","",IFERROR(INDEX(사건마스터!$AU$5:$AU$64,MATCH($F794,사건마스터!$A$5:$A$64,0)),""))</f>
        <v/>
      </c>
      <c r="Y794" s="136">
        <f>IF($F794="","",IFERROR(INDEX(사건마스터!$AV$5:$AV$64,MATCH($F794,사건마스터!$A$5:$A$64,0)),""))</f>
        <v/>
      </c>
      <c r="Z794" s="118">
        <f>IF(COUNTBLANK($J794:$Y794)=16,"",16-COUNTBLANK($J794:$Y794))</f>
        <v/>
      </c>
      <c r="AA794" s="33">
        <f>IF($J794="",MID($AX794,3,255),$J794&amp;$AX794)</f>
        <v/>
      </c>
      <c r="AB794" s="130">
        <f>IF($J794="","",IFERROR(INDEX(코드설정!$D$5:$D$24,MATCH($J794,코드설정!$C$5:$C$24,0)),""))</f>
        <v/>
      </c>
      <c r="AC794" s="36" t="n"/>
      <c r="AD794" s="37" t="n"/>
      <c r="AE794" s="38" t="n"/>
      <c r="AF794" s="118">
        <f>IF(OR($B794="",$C794=""),"",$C794-$B794+1)</f>
        <v/>
      </c>
      <c r="AG794" s="74" t="n"/>
      <c r="AH794" s="36" t="n"/>
      <c r="AJ794">
        <f>IF($K794="","",", "&amp;$K794)</f>
        <v/>
      </c>
      <c r="AK794">
        <f>AJ794&amp;IF($L794="","",", "&amp;$L794)</f>
        <v/>
      </c>
      <c r="AL794">
        <f>AK794&amp;IF($M794="","",", "&amp;$M794)</f>
        <v/>
      </c>
      <c r="AM794">
        <f>AL794&amp;IF($N794="","",", "&amp;$N794)</f>
        <v/>
      </c>
      <c r="AN794">
        <f>AM794&amp;IF($O794="","",", "&amp;$O794)</f>
        <v/>
      </c>
      <c r="AO794">
        <f>AN794&amp;IF($P794="","",", "&amp;$P794)</f>
        <v/>
      </c>
      <c r="AP794">
        <f>AO794&amp;IF($Q794="","",", "&amp;$Q794)</f>
        <v/>
      </c>
      <c r="AQ794">
        <f>AP794&amp;IF($R794="","",", "&amp;$R794)</f>
        <v/>
      </c>
      <c r="AR794">
        <f>AQ794&amp;IF($S794="","",", "&amp;$S794)</f>
        <v/>
      </c>
      <c r="AS794">
        <f>AR794&amp;IF($T794="","",", "&amp;$T794)</f>
        <v/>
      </c>
      <c r="AT794">
        <f>AS794&amp;IF($U794="","",", "&amp;$U794)</f>
        <v/>
      </c>
      <c r="AU794">
        <f>AT794&amp;IF($V794="","",", "&amp;$V794)</f>
        <v/>
      </c>
      <c r="AV794">
        <f>AU794&amp;IF($W794="","",", "&amp;$W794)</f>
        <v/>
      </c>
      <c r="AW794">
        <f>AV794&amp;IF($X794="","",", "&amp;$X794)</f>
        <v/>
      </c>
      <c r="AX794">
        <f>AW794&amp;IF($Y794="","",", "&amp;$Y794)</f>
        <v/>
      </c>
    </row>
    <row r="795">
      <c r="A795" s="118">
        <f>IF($B795="","",COUNT($B$5:$B795))</f>
        <v/>
      </c>
      <c r="B795" s="80" t="n"/>
      <c r="C795" s="80" t="n"/>
      <c r="D795" s="74" t="n"/>
      <c r="E795" s="74" t="n"/>
      <c r="F795" s="74" t="n"/>
      <c r="G795" s="118">
        <f>IF($F795="","",COUNTIF($F$5:$F795,$F795))</f>
        <v/>
      </c>
      <c r="H795" s="33">
        <f>IF($F795="","",IFERROR(INDEX(사건마스터!$B$5:$B$64,MATCH($F795,사건마스터!$A$5:$A$64,0)),""))</f>
        <v/>
      </c>
      <c r="I795" s="130">
        <f>IF($F795="","",IFERROR(INDEX(사건마스터!$C$5:$C$64,MATCH($F795,사건마스터!$A$5:$A$64,0)),""))</f>
        <v/>
      </c>
      <c r="J795" s="136">
        <f>IF($F795="","",IFERROR(INDEX(사건마스터!$H$5:$H$64,MATCH($F795,사건마스터!$A$5:$A$64,0)),""))</f>
        <v/>
      </c>
      <c r="K795" s="136">
        <f>IF($F795="","",IFERROR(INDEX(사건마스터!$AH$5:$AH$64,MATCH($F795,사건마스터!$A$5:$A$64,0)),""))</f>
        <v/>
      </c>
      <c r="L795" s="136">
        <f>IF($F795="","",IFERROR(INDEX(사건마스터!$AI$5:$AI$64,MATCH($F795,사건마스터!$A$5:$A$64,0)),""))</f>
        <v/>
      </c>
      <c r="M795" s="136">
        <f>IF($F795="","",IFERROR(INDEX(사건마스터!$AJ$5:$AJ$64,MATCH($F795,사건마스터!$A$5:$A$64,0)),""))</f>
        <v/>
      </c>
      <c r="N795" s="136">
        <f>IF($F795="","",IFERROR(INDEX(사건마스터!$AK$5:$AK$64,MATCH($F795,사건마스터!$A$5:$A$64,0)),""))</f>
        <v/>
      </c>
      <c r="O795" s="136">
        <f>IF($F795="","",IFERROR(INDEX(사건마스터!$AL$5:$AL$64,MATCH($F795,사건마스터!$A$5:$A$64,0)),""))</f>
        <v/>
      </c>
      <c r="P795" s="136">
        <f>IF($F795="","",IFERROR(INDEX(사건마스터!$AM$5:$AM$64,MATCH($F795,사건마스터!$A$5:$A$64,0)),""))</f>
        <v/>
      </c>
      <c r="Q795" s="136">
        <f>IF($F795="","",IFERROR(INDEX(사건마스터!$AN$5:$AN$64,MATCH($F795,사건마스터!$A$5:$A$64,0)),""))</f>
        <v/>
      </c>
      <c r="R795" s="136">
        <f>IF($F795="","",IFERROR(INDEX(사건마스터!$AO$5:$AO$64,MATCH($F795,사건마스터!$A$5:$A$64,0)),""))</f>
        <v/>
      </c>
      <c r="S795" s="136">
        <f>IF($F795="","",IFERROR(INDEX(사건마스터!$AP$5:$AP$64,MATCH($F795,사건마스터!$A$5:$A$64,0)),""))</f>
        <v/>
      </c>
      <c r="T795" s="136">
        <f>IF($F795="","",IFERROR(INDEX(사건마스터!$AQ$5:$AQ$64,MATCH($F795,사건마스터!$A$5:$A$64,0)),""))</f>
        <v/>
      </c>
      <c r="U795" s="136">
        <f>IF($F795="","",IFERROR(INDEX(사건마스터!$AR$5:$AR$64,MATCH($F795,사건마스터!$A$5:$A$64,0)),""))</f>
        <v/>
      </c>
      <c r="V795" s="136">
        <f>IF($F795="","",IFERROR(INDEX(사건마스터!$AS$5:$AS$64,MATCH($F795,사건마스터!$A$5:$A$64,0)),""))</f>
        <v/>
      </c>
      <c r="W795" s="136">
        <f>IF($F795="","",IFERROR(INDEX(사건마스터!$AT$5:$AT$64,MATCH($F795,사건마스터!$A$5:$A$64,0)),""))</f>
        <v/>
      </c>
      <c r="X795" s="136">
        <f>IF($F795="","",IFERROR(INDEX(사건마스터!$AU$5:$AU$64,MATCH($F795,사건마스터!$A$5:$A$64,0)),""))</f>
        <v/>
      </c>
      <c r="Y795" s="136">
        <f>IF($F795="","",IFERROR(INDEX(사건마스터!$AV$5:$AV$64,MATCH($F795,사건마스터!$A$5:$A$64,0)),""))</f>
        <v/>
      </c>
      <c r="Z795" s="118">
        <f>IF(COUNTBLANK($J795:$Y795)=16,"",16-COUNTBLANK($J795:$Y795))</f>
        <v/>
      </c>
      <c r="AA795" s="33">
        <f>IF($J795="",MID($AX795,3,255),$J795&amp;$AX795)</f>
        <v/>
      </c>
      <c r="AB795" s="130">
        <f>IF($J795="","",IFERROR(INDEX(코드설정!$D$5:$D$24,MATCH($J795,코드설정!$C$5:$C$24,0)),""))</f>
        <v/>
      </c>
      <c r="AC795" s="36" t="n"/>
      <c r="AD795" s="37" t="n"/>
      <c r="AE795" s="38" t="n"/>
      <c r="AF795" s="118">
        <f>IF(OR($B795="",$C795=""),"",$C795-$B795+1)</f>
        <v/>
      </c>
      <c r="AG795" s="74" t="n"/>
      <c r="AH795" s="36" t="n"/>
      <c r="AJ795">
        <f>IF($K795="","",", "&amp;$K795)</f>
        <v/>
      </c>
      <c r="AK795">
        <f>AJ795&amp;IF($L795="","",", "&amp;$L795)</f>
        <v/>
      </c>
      <c r="AL795">
        <f>AK795&amp;IF($M795="","",", "&amp;$M795)</f>
        <v/>
      </c>
      <c r="AM795">
        <f>AL795&amp;IF($N795="","",", "&amp;$N795)</f>
        <v/>
      </c>
      <c r="AN795">
        <f>AM795&amp;IF($O795="","",", "&amp;$O795)</f>
        <v/>
      </c>
      <c r="AO795">
        <f>AN795&amp;IF($P795="","",", "&amp;$P795)</f>
        <v/>
      </c>
      <c r="AP795">
        <f>AO795&amp;IF($Q795="","",", "&amp;$Q795)</f>
        <v/>
      </c>
      <c r="AQ795">
        <f>AP795&amp;IF($R795="","",", "&amp;$R795)</f>
        <v/>
      </c>
      <c r="AR795">
        <f>AQ795&amp;IF($S795="","",", "&amp;$S795)</f>
        <v/>
      </c>
      <c r="AS795">
        <f>AR795&amp;IF($T795="","",", "&amp;$T795)</f>
        <v/>
      </c>
      <c r="AT795">
        <f>AS795&amp;IF($U795="","",", "&amp;$U795)</f>
        <v/>
      </c>
      <c r="AU795">
        <f>AT795&amp;IF($V795="","",", "&amp;$V795)</f>
        <v/>
      </c>
      <c r="AV795">
        <f>AU795&amp;IF($W795="","",", "&amp;$W795)</f>
        <v/>
      </c>
      <c r="AW795">
        <f>AV795&amp;IF($X795="","",", "&amp;$X795)</f>
        <v/>
      </c>
      <c r="AX795">
        <f>AW795&amp;IF($Y795="","",", "&amp;$Y795)</f>
        <v/>
      </c>
    </row>
    <row r="796">
      <c r="A796" s="118">
        <f>IF($B796="","",COUNT($B$5:$B796))</f>
        <v/>
      </c>
      <c r="B796" s="80" t="n"/>
      <c r="C796" s="80" t="n"/>
      <c r="D796" s="74" t="n"/>
      <c r="E796" s="74" t="n"/>
      <c r="F796" s="74" t="n"/>
      <c r="G796" s="118">
        <f>IF($F796="","",COUNTIF($F$5:$F796,$F796))</f>
        <v/>
      </c>
      <c r="H796" s="33">
        <f>IF($F796="","",IFERROR(INDEX(사건마스터!$B$5:$B$64,MATCH($F796,사건마스터!$A$5:$A$64,0)),""))</f>
        <v/>
      </c>
      <c r="I796" s="130">
        <f>IF($F796="","",IFERROR(INDEX(사건마스터!$C$5:$C$64,MATCH($F796,사건마스터!$A$5:$A$64,0)),""))</f>
        <v/>
      </c>
      <c r="J796" s="136">
        <f>IF($F796="","",IFERROR(INDEX(사건마스터!$H$5:$H$64,MATCH($F796,사건마스터!$A$5:$A$64,0)),""))</f>
        <v/>
      </c>
      <c r="K796" s="136">
        <f>IF($F796="","",IFERROR(INDEX(사건마스터!$AH$5:$AH$64,MATCH($F796,사건마스터!$A$5:$A$64,0)),""))</f>
        <v/>
      </c>
      <c r="L796" s="136">
        <f>IF($F796="","",IFERROR(INDEX(사건마스터!$AI$5:$AI$64,MATCH($F796,사건마스터!$A$5:$A$64,0)),""))</f>
        <v/>
      </c>
      <c r="M796" s="136">
        <f>IF($F796="","",IFERROR(INDEX(사건마스터!$AJ$5:$AJ$64,MATCH($F796,사건마스터!$A$5:$A$64,0)),""))</f>
        <v/>
      </c>
      <c r="N796" s="136">
        <f>IF($F796="","",IFERROR(INDEX(사건마스터!$AK$5:$AK$64,MATCH($F796,사건마스터!$A$5:$A$64,0)),""))</f>
        <v/>
      </c>
      <c r="O796" s="136">
        <f>IF($F796="","",IFERROR(INDEX(사건마스터!$AL$5:$AL$64,MATCH($F796,사건마스터!$A$5:$A$64,0)),""))</f>
        <v/>
      </c>
      <c r="P796" s="136">
        <f>IF($F796="","",IFERROR(INDEX(사건마스터!$AM$5:$AM$64,MATCH($F796,사건마스터!$A$5:$A$64,0)),""))</f>
        <v/>
      </c>
      <c r="Q796" s="136">
        <f>IF($F796="","",IFERROR(INDEX(사건마스터!$AN$5:$AN$64,MATCH($F796,사건마스터!$A$5:$A$64,0)),""))</f>
        <v/>
      </c>
      <c r="R796" s="136">
        <f>IF($F796="","",IFERROR(INDEX(사건마스터!$AO$5:$AO$64,MATCH($F796,사건마스터!$A$5:$A$64,0)),""))</f>
        <v/>
      </c>
      <c r="S796" s="136">
        <f>IF($F796="","",IFERROR(INDEX(사건마스터!$AP$5:$AP$64,MATCH($F796,사건마스터!$A$5:$A$64,0)),""))</f>
        <v/>
      </c>
      <c r="T796" s="136">
        <f>IF($F796="","",IFERROR(INDEX(사건마스터!$AQ$5:$AQ$64,MATCH($F796,사건마스터!$A$5:$A$64,0)),""))</f>
        <v/>
      </c>
      <c r="U796" s="136">
        <f>IF($F796="","",IFERROR(INDEX(사건마스터!$AR$5:$AR$64,MATCH($F796,사건마스터!$A$5:$A$64,0)),""))</f>
        <v/>
      </c>
      <c r="V796" s="136">
        <f>IF($F796="","",IFERROR(INDEX(사건마스터!$AS$5:$AS$64,MATCH($F796,사건마스터!$A$5:$A$64,0)),""))</f>
        <v/>
      </c>
      <c r="W796" s="136">
        <f>IF($F796="","",IFERROR(INDEX(사건마스터!$AT$5:$AT$64,MATCH($F796,사건마스터!$A$5:$A$64,0)),""))</f>
        <v/>
      </c>
      <c r="X796" s="136">
        <f>IF($F796="","",IFERROR(INDEX(사건마스터!$AU$5:$AU$64,MATCH($F796,사건마스터!$A$5:$A$64,0)),""))</f>
        <v/>
      </c>
      <c r="Y796" s="136">
        <f>IF($F796="","",IFERROR(INDEX(사건마스터!$AV$5:$AV$64,MATCH($F796,사건마스터!$A$5:$A$64,0)),""))</f>
        <v/>
      </c>
      <c r="Z796" s="118">
        <f>IF(COUNTBLANK($J796:$Y796)=16,"",16-COUNTBLANK($J796:$Y796))</f>
        <v/>
      </c>
      <c r="AA796" s="33">
        <f>IF($J796="",MID($AX796,3,255),$J796&amp;$AX796)</f>
        <v/>
      </c>
      <c r="AB796" s="130">
        <f>IF($J796="","",IFERROR(INDEX(코드설정!$D$5:$D$24,MATCH($J796,코드설정!$C$5:$C$24,0)),""))</f>
        <v/>
      </c>
      <c r="AC796" s="36" t="n"/>
      <c r="AD796" s="37" t="n"/>
      <c r="AE796" s="38" t="n"/>
      <c r="AF796" s="118">
        <f>IF(OR($B796="",$C796=""),"",$C796-$B796+1)</f>
        <v/>
      </c>
      <c r="AG796" s="74" t="n"/>
      <c r="AH796" s="36" t="n"/>
      <c r="AJ796">
        <f>IF($K796="","",", "&amp;$K796)</f>
        <v/>
      </c>
      <c r="AK796">
        <f>AJ796&amp;IF($L796="","",", "&amp;$L796)</f>
        <v/>
      </c>
      <c r="AL796">
        <f>AK796&amp;IF($M796="","",", "&amp;$M796)</f>
        <v/>
      </c>
      <c r="AM796">
        <f>AL796&amp;IF($N796="","",", "&amp;$N796)</f>
        <v/>
      </c>
      <c r="AN796">
        <f>AM796&amp;IF($O796="","",", "&amp;$O796)</f>
        <v/>
      </c>
      <c r="AO796">
        <f>AN796&amp;IF($P796="","",", "&amp;$P796)</f>
        <v/>
      </c>
      <c r="AP796">
        <f>AO796&amp;IF($Q796="","",", "&amp;$Q796)</f>
        <v/>
      </c>
      <c r="AQ796">
        <f>AP796&amp;IF($R796="","",", "&amp;$R796)</f>
        <v/>
      </c>
      <c r="AR796">
        <f>AQ796&amp;IF($S796="","",", "&amp;$S796)</f>
        <v/>
      </c>
      <c r="AS796">
        <f>AR796&amp;IF($T796="","",", "&amp;$T796)</f>
        <v/>
      </c>
      <c r="AT796">
        <f>AS796&amp;IF($U796="","",", "&amp;$U796)</f>
        <v/>
      </c>
      <c r="AU796">
        <f>AT796&amp;IF($V796="","",", "&amp;$V796)</f>
        <v/>
      </c>
      <c r="AV796">
        <f>AU796&amp;IF($W796="","",", "&amp;$W796)</f>
        <v/>
      </c>
      <c r="AW796">
        <f>AV796&amp;IF($X796="","",", "&amp;$X796)</f>
        <v/>
      </c>
      <c r="AX796">
        <f>AW796&amp;IF($Y796="","",", "&amp;$Y796)</f>
        <v/>
      </c>
    </row>
    <row r="797">
      <c r="A797" s="118">
        <f>IF($B797="","",COUNT($B$5:$B797))</f>
        <v/>
      </c>
      <c r="B797" s="80" t="n"/>
      <c r="C797" s="80" t="n"/>
      <c r="D797" s="74" t="n"/>
      <c r="E797" s="74" t="n"/>
      <c r="F797" s="74" t="n"/>
      <c r="G797" s="118">
        <f>IF($F797="","",COUNTIF($F$5:$F797,$F797))</f>
        <v/>
      </c>
      <c r="H797" s="33">
        <f>IF($F797="","",IFERROR(INDEX(사건마스터!$B$5:$B$64,MATCH($F797,사건마스터!$A$5:$A$64,0)),""))</f>
        <v/>
      </c>
      <c r="I797" s="130">
        <f>IF($F797="","",IFERROR(INDEX(사건마스터!$C$5:$C$64,MATCH($F797,사건마스터!$A$5:$A$64,0)),""))</f>
        <v/>
      </c>
      <c r="J797" s="136">
        <f>IF($F797="","",IFERROR(INDEX(사건마스터!$H$5:$H$64,MATCH($F797,사건마스터!$A$5:$A$64,0)),""))</f>
        <v/>
      </c>
      <c r="K797" s="136">
        <f>IF($F797="","",IFERROR(INDEX(사건마스터!$AH$5:$AH$64,MATCH($F797,사건마스터!$A$5:$A$64,0)),""))</f>
        <v/>
      </c>
      <c r="L797" s="136">
        <f>IF($F797="","",IFERROR(INDEX(사건마스터!$AI$5:$AI$64,MATCH($F797,사건마스터!$A$5:$A$64,0)),""))</f>
        <v/>
      </c>
      <c r="M797" s="136">
        <f>IF($F797="","",IFERROR(INDEX(사건마스터!$AJ$5:$AJ$64,MATCH($F797,사건마스터!$A$5:$A$64,0)),""))</f>
        <v/>
      </c>
      <c r="N797" s="136">
        <f>IF($F797="","",IFERROR(INDEX(사건마스터!$AK$5:$AK$64,MATCH($F797,사건마스터!$A$5:$A$64,0)),""))</f>
        <v/>
      </c>
      <c r="O797" s="136">
        <f>IF($F797="","",IFERROR(INDEX(사건마스터!$AL$5:$AL$64,MATCH($F797,사건마스터!$A$5:$A$64,0)),""))</f>
        <v/>
      </c>
      <c r="P797" s="136">
        <f>IF($F797="","",IFERROR(INDEX(사건마스터!$AM$5:$AM$64,MATCH($F797,사건마스터!$A$5:$A$64,0)),""))</f>
        <v/>
      </c>
      <c r="Q797" s="136">
        <f>IF($F797="","",IFERROR(INDEX(사건마스터!$AN$5:$AN$64,MATCH($F797,사건마스터!$A$5:$A$64,0)),""))</f>
        <v/>
      </c>
      <c r="R797" s="136">
        <f>IF($F797="","",IFERROR(INDEX(사건마스터!$AO$5:$AO$64,MATCH($F797,사건마스터!$A$5:$A$64,0)),""))</f>
        <v/>
      </c>
      <c r="S797" s="136">
        <f>IF($F797="","",IFERROR(INDEX(사건마스터!$AP$5:$AP$64,MATCH($F797,사건마스터!$A$5:$A$64,0)),""))</f>
        <v/>
      </c>
      <c r="T797" s="136">
        <f>IF($F797="","",IFERROR(INDEX(사건마스터!$AQ$5:$AQ$64,MATCH($F797,사건마스터!$A$5:$A$64,0)),""))</f>
        <v/>
      </c>
      <c r="U797" s="136">
        <f>IF($F797="","",IFERROR(INDEX(사건마스터!$AR$5:$AR$64,MATCH($F797,사건마스터!$A$5:$A$64,0)),""))</f>
        <v/>
      </c>
      <c r="V797" s="136">
        <f>IF($F797="","",IFERROR(INDEX(사건마스터!$AS$5:$AS$64,MATCH($F797,사건마스터!$A$5:$A$64,0)),""))</f>
        <v/>
      </c>
      <c r="W797" s="136">
        <f>IF($F797="","",IFERROR(INDEX(사건마스터!$AT$5:$AT$64,MATCH($F797,사건마스터!$A$5:$A$64,0)),""))</f>
        <v/>
      </c>
      <c r="X797" s="136">
        <f>IF($F797="","",IFERROR(INDEX(사건마스터!$AU$5:$AU$64,MATCH($F797,사건마스터!$A$5:$A$64,0)),""))</f>
        <v/>
      </c>
      <c r="Y797" s="136">
        <f>IF($F797="","",IFERROR(INDEX(사건마스터!$AV$5:$AV$64,MATCH($F797,사건마스터!$A$5:$A$64,0)),""))</f>
        <v/>
      </c>
      <c r="Z797" s="118">
        <f>IF(COUNTBLANK($J797:$Y797)=16,"",16-COUNTBLANK($J797:$Y797))</f>
        <v/>
      </c>
      <c r="AA797" s="33">
        <f>IF($J797="",MID($AX797,3,255),$J797&amp;$AX797)</f>
        <v/>
      </c>
      <c r="AB797" s="130">
        <f>IF($J797="","",IFERROR(INDEX(코드설정!$D$5:$D$24,MATCH($J797,코드설정!$C$5:$C$24,0)),""))</f>
        <v/>
      </c>
      <c r="AC797" s="36" t="n"/>
      <c r="AD797" s="37" t="n"/>
      <c r="AE797" s="38" t="n"/>
      <c r="AF797" s="118">
        <f>IF(OR($B797="",$C797=""),"",$C797-$B797+1)</f>
        <v/>
      </c>
      <c r="AG797" s="74" t="n"/>
      <c r="AH797" s="36" t="n"/>
      <c r="AJ797">
        <f>IF($K797="","",", "&amp;$K797)</f>
        <v/>
      </c>
      <c r="AK797">
        <f>AJ797&amp;IF($L797="","",", "&amp;$L797)</f>
        <v/>
      </c>
      <c r="AL797">
        <f>AK797&amp;IF($M797="","",", "&amp;$M797)</f>
        <v/>
      </c>
      <c r="AM797">
        <f>AL797&amp;IF($N797="","",", "&amp;$N797)</f>
        <v/>
      </c>
      <c r="AN797">
        <f>AM797&amp;IF($O797="","",", "&amp;$O797)</f>
        <v/>
      </c>
      <c r="AO797">
        <f>AN797&amp;IF($P797="","",", "&amp;$P797)</f>
        <v/>
      </c>
      <c r="AP797">
        <f>AO797&amp;IF($Q797="","",", "&amp;$Q797)</f>
        <v/>
      </c>
      <c r="AQ797">
        <f>AP797&amp;IF($R797="","",", "&amp;$R797)</f>
        <v/>
      </c>
      <c r="AR797">
        <f>AQ797&amp;IF($S797="","",", "&amp;$S797)</f>
        <v/>
      </c>
      <c r="AS797">
        <f>AR797&amp;IF($T797="","",", "&amp;$T797)</f>
        <v/>
      </c>
      <c r="AT797">
        <f>AS797&amp;IF($U797="","",", "&amp;$U797)</f>
        <v/>
      </c>
      <c r="AU797">
        <f>AT797&amp;IF($V797="","",", "&amp;$V797)</f>
        <v/>
      </c>
      <c r="AV797">
        <f>AU797&amp;IF($W797="","",", "&amp;$W797)</f>
        <v/>
      </c>
      <c r="AW797">
        <f>AV797&amp;IF($X797="","",", "&amp;$X797)</f>
        <v/>
      </c>
      <c r="AX797">
        <f>AW797&amp;IF($Y797="","",", "&amp;$Y797)</f>
        <v/>
      </c>
    </row>
    <row r="798">
      <c r="A798" s="118">
        <f>IF($B798="","",COUNT($B$5:$B798))</f>
        <v/>
      </c>
      <c r="B798" s="80" t="n"/>
      <c r="C798" s="80" t="n"/>
      <c r="D798" s="74" t="n"/>
      <c r="E798" s="74" t="n"/>
      <c r="F798" s="74" t="n"/>
      <c r="G798" s="118">
        <f>IF($F798="","",COUNTIF($F$5:$F798,$F798))</f>
        <v/>
      </c>
      <c r="H798" s="33">
        <f>IF($F798="","",IFERROR(INDEX(사건마스터!$B$5:$B$64,MATCH($F798,사건마스터!$A$5:$A$64,0)),""))</f>
        <v/>
      </c>
      <c r="I798" s="130">
        <f>IF($F798="","",IFERROR(INDEX(사건마스터!$C$5:$C$64,MATCH($F798,사건마스터!$A$5:$A$64,0)),""))</f>
        <v/>
      </c>
      <c r="J798" s="136">
        <f>IF($F798="","",IFERROR(INDEX(사건마스터!$H$5:$H$64,MATCH($F798,사건마스터!$A$5:$A$64,0)),""))</f>
        <v/>
      </c>
      <c r="K798" s="136">
        <f>IF($F798="","",IFERROR(INDEX(사건마스터!$AH$5:$AH$64,MATCH($F798,사건마스터!$A$5:$A$64,0)),""))</f>
        <v/>
      </c>
      <c r="L798" s="136">
        <f>IF($F798="","",IFERROR(INDEX(사건마스터!$AI$5:$AI$64,MATCH($F798,사건마스터!$A$5:$A$64,0)),""))</f>
        <v/>
      </c>
      <c r="M798" s="136">
        <f>IF($F798="","",IFERROR(INDEX(사건마스터!$AJ$5:$AJ$64,MATCH($F798,사건마스터!$A$5:$A$64,0)),""))</f>
        <v/>
      </c>
      <c r="N798" s="136">
        <f>IF($F798="","",IFERROR(INDEX(사건마스터!$AK$5:$AK$64,MATCH($F798,사건마스터!$A$5:$A$64,0)),""))</f>
        <v/>
      </c>
      <c r="O798" s="136">
        <f>IF($F798="","",IFERROR(INDEX(사건마스터!$AL$5:$AL$64,MATCH($F798,사건마스터!$A$5:$A$64,0)),""))</f>
        <v/>
      </c>
      <c r="P798" s="136">
        <f>IF($F798="","",IFERROR(INDEX(사건마스터!$AM$5:$AM$64,MATCH($F798,사건마스터!$A$5:$A$64,0)),""))</f>
        <v/>
      </c>
      <c r="Q798" s="136">
        <f>IF($F798="","",IFERROR(INDEX(사건마스터!$AN$5:$AN$64,MATCH($F798,사건마스터!$A$5:$A$64,0)),""))</f>
        <v/>
      </c>
      <c r="R798" s="136">
        <f>IF($F798="","",IFERROR(INDEX(사건마스터!$AO$5:$AO$64,MATCH($F798,사건마스터!$A$5:$A$64,0)),""))</f>
        <v/>
      </c>
      <c r="S798" s="136">
        <f>IF($F798="","",IFERROR(INDEX(사건마스터!$AP$5:$AP$64,MATCH($F798,사건마스터!$A$5:$A$64,0)),""))</f>
        <v/>
      </c>
      <c r="T798" s="136">
        <f>IF($F798="","",IFERROR(INDEX(사건마스터!$AQ$5:$AQ$64,MATCH($F798,사건마스터!$A$5:$A$64,0)),""))</f>
        <v/>
      </c>
      <c r="U798" s="136">
        <f>IF($F798="","",IFERROR(INDEX(사건마스터!$AR$5:$AR$64,MATCH($F798,사건마스터!$A$5:$A$64,0)),""))</f>
        <v/>
      </c>
      <c r="V798" s="136">
        <f>IF($F798="","",IFERROR(INDEX(사건마스터!$AS$5:$AS$64,MATCH($F798,사건마스터!$A$5:$A$64,0)),""))</f>
        <v/>
      </c>
      <c r="W798" s="136">
        <f>IF($F798="","",IFERROR(INDEX(사건마스터!$AT$5:$AT$64,MATCH($F798,사건마스터!$A$5:$A$64,0)),""))</f>
        <v/>
      </c>
      <c r="X798" s="136">
        <f>IF($F798="","",IFERROR(INDEX(사건마스터!$AU$5:$AU$64,MATCH($F798,사건마스터!$A$5:$A$64,0)),""))</f>
        <v/>
      </c>
      <c r="Y798" s="136">
        <f>IF($F798="","",IFERROR(INDEX(사건마스터!$AV$5:$AV$64,MATCH($F798,사건마스터!$A$5:$A$64,0)),""))</f>
        <v/>
      </c>
      <c r="Z798" s="118">
        <f>IF(COUNTBLANK($J798:$Y798)=16,"",16-COUNTBLANK($J798:$Y798))</f>
        <v/>
      </c>
      <c r="AA798" s="33">
        <f>IF($J798="",MID($AX798,3,255),$J798&amp;$AX798)</f>
        <v/>
      </c>
      <c r="AB798" s="130">
        <f>IF($J798="","",IFERROR(INDEX(코드설정!$D$5:$D$24,MATCH($J798,코드설정!$C$5:$C$24,0)),""))</f>
        <v/>
      </c>
      <c r="AC798" s="36" t="n"/>
      <c r="AD798" s="37" t="n"/>
      <c r="AE798" s="38" t="n"/>
      <c r="AF798" s="118">
        <f>IF(OR($B798="",$C798=""),"",$C798-$B798+1)</f>
        <v/>
      </c>
      <c r="AG798" s="74" t="n"/>
      <c r="AH798" s="36" t="n"/>
      <c r="AJ798">
        <f>IF($K798="","",", "&amp;$K798)</f>
        <v/>
      </c>
      <c r="AK798">
        <f>AJ798&amp;IF($L798="","",", "&amp;$L798)</f>
        <v/>
      </c>
      <c r="AL798">
        <f>AK798&amp;IF($M798="","",", "&amp;$M798)</f>
        <v/>
      </c>
      <c r="AM798">
        <f>AL798&amp;IF($N798="","",", "&amp;$N798)</f>
        <v/>
      </c>
      <c r="AN798">
        <f>AM798&amp;IF($O798="","",", "&amp;$O798)</f>
        <v/>
      </c>
      <c r="AO798">
        <f>AN798&amp;IF($P798="","",", "&amp;$P798)</f>
        <v/>
      </c>
      <c r="AP798">
        <f>AO798&amp;IF($Q798="","",", "&amp;$Q798)</f>
        <v/>
      </c>
      <c r="AQ798">
        <f>AP798&amp;IF($R798="","",", "&amp;$R798)</f>
        <v/>
      </c>
      <c r="AR798">
        <f>AQ798&amp;IF($S798="","",", "&amp;$S798)</f>
        <v/>
      </c>
      <c r="AS798">
        <f>AR798&amp;IF($T798="","",", "&amp;$T798)</f>
        <v/>
      </c>
      <c r="AT798">
        <f>AS798&amp;IF($U798="","",", "&amp;$U798)</f>
        <v/>
      </c>
      <c r="AU798">
        <f>AT798&amp;IF($V798="","",", "&amp;$V798)</f>
        <v/>
      </c>
      <c r="AV798">
        <f>AU798&amp;IF($W798="","",", "&amp;$W798)</f>
        <v/>
      </c>
      <c r="AW798">
        <f>AV798&amp;IF($X798="","",", "&amp;$X798)</f>
        <v/>
      </c>
      <c r="AX798">
        <f>AW798&amp;IF($Y798="","",", "&amp;$Y798)</f>
        <v/>
      </c>
    </row>
    <row r="799">
      <c r="A799" s="118">
        <f>IF($B799="","",COUNT($B$5:$B799))</f>
        <v/>
      </c>
      <c r="B799" s="80" t="n"/>
      <c r="C799" s="80" t="n"/>
      <c r="D799" s="74" t="n"/>
      <c r="E799" s="74" t="n"/>
      <c r="F799" s="74" t="n"/>
      <c r="G799" s="118">
        <f>IF($F799="","",COUNTIF($F$5:$F799,$F799))</f>
        <v/>
      </c>
      <c r="H799" s="33">
        <f>IF($F799="","",IFERROR(INDEX(사건마스터!$B$5:$B$64,MATCH($F799,사건마스터!$A$5:$A$64,0)),""))</f>
        <v/>
      </c>
      <c r="I799" s="130">
        <f>IF($F799="","",IFERROR(INDEX(사건마스터!$C$5:$C$64,MATCH($F799,사건마스터!$A$5:$A$64,0)),""))</f>
        <v/>
      </c>
      <c r="J799" s="136">
        <f>IF($F799="","",IFERROR(INDEX(사건마스터!$H$5:$H$64,MATCH($F799,사건마스터!$A$5:$A$64,0)),""))</f>
        <v/>
      </c>
      <c r="K799" s="136">
        <f>IF($F799="","",IFERROR(INDEX(사건마스터!$AH$5:$AH$64,MATCH($F799,사건마스터!$A$5:$A$64,0)),""))</f>
        <v/>
      </c>
      <c r="L799" s="136">
        <f>IF($F799="","",IFERROR(INDEX(사건마스터!$AI$5:$AI$64,MATCH($F799,사건마스터!$A$5:$A$64,0)),""))</f>
        <v/>
      </c>
      <c r="M799" s="136">
        <f>IF($F799="","",IFERROR(INDEX(사건마스터!$AJ$5:$AJ$64,MATCH($F799,사건마스터!$A$5:$A$64,0)),""))</f>
        <v/>
      </c>
      <c r="N799" s="136">
        <f>IF($F799="","",IFERROR(INDEX(사건마스터!$AK$5:$AK$64,MATCH($F799,사건마스터!$A$5:$A$64,0)),""))</f>
        <v/>
      </c>
      <c r="O799" s="136">
        <f>IF($F799="","",IFERROR(INDEX(사건마스터!$AL$5:$AL$64,MATCH($F799,사건마스터!$A$5:$A$64,0)),""))</f>
        <v/>
      </c>
      <c r="P799" s="136">
        <f>IF($F799="","",IFERROR(INDEX(사건마스터!$AM$5:$AM$64,MATCH($F799,사건마스터!$A$5:$A$64,0)),""))</f>
        <v/>
      </c>
      <c r="Q799" s="136">
        <f>IF($F799="","",IFERROR(INDEX(사건마스터!$AN$5:$AN$64,MATCH($F799,사건마스터!$A$5:$A$64,0)),""))</f>
        <v/>
      </c>
      <c r="R799" s="136">
        <f>IF($F799="","",IFERROR(INDEX(사건마스터!$AO$5:$AO$64,MATCH($F799,사건마스터!$A$5:$A$64,0)),""))</f>
        <v/>
      </c>
      <c r="S799" s="136">
        <f>IF($F799="","",IFERROR(INDEX(사건마스터!$AP$5:$AP$64,MATCH($F799,사건마스터!$A$5:$A$64,0)),""))</f>
        <v/>
      </c>
      <c r="T799" s="136">
        <f>IF($F799="","",IFERROR(INDEX(사건마스터!$AQ$5:$AQ$64,MATCH($F799,사건마스터!$A$5:$A$64,0)),""))</f>
        <v/>
      </c>
      <c r="U799" s="136">
        <f>IF($F799="","",IFERROR(INDEX(사건마스터!$AR$5:$AR$64,MATCH($F799,사건마스터!$A$5:$A$64,0)),""))</f>
        <v/>
      </c>
      <c r="V799" s="136">
        <f>IF($F799="","",IFERROR(INDEX(사건마스터!$AS$5:$AS$64,MATCH($F799,사건마스터!$A$5:$A$64,0)),""))</f>
        <v/>
      </c>
      <c r="W799" s="136">
        <f>IF($F799="","",IFERROR(INDEX(사건마스터!$AT$5:$AT$64,MATCH($F799,사건마스터!$A$5:$A$64,0)),""))</f>
        <v/>
      </c>
      <c r="X799" s="136">
        <f>IF($F799="","",IFERROR(INDEX(사건마스터!$AU$5:$AU$64,MATCH($F799,사건마스터!$A$5:$A$64,0)),""))</f>
        <v/>
      </c>
      <c r="Y799" s="136">
        <f>IF($F799="","",IFERROR(INDEX(사건마스터!$AV$5:$AV$64,MATCH($F799,사건마스터!$A$5:$A$64,0)),""))</f>
        <v/>
      </c>
      <c r="Z799" s="118">
        <f>IF(COUNTBLANK($J799:$Y799)=16,"",16-COUNTBLANK($J799:$Y799))</f>
        <v/>
      </c>
      <c r="AA799" s="33">
        <f>IF($J799="",MID($AX799,3,255),$J799&amp;$AX799)</f>
        <v/>
      </c>
      <c r="AB799" s="130">
        <f>IF($J799="","",IFERROR(INDEX(코드설정!$D$5:$D$24,MATCH($J799,코드설정!$C$5:$C$24,0)),""))</f>
        <v/>
      </c>
      <c r="AC799" s="36" t="n"/>
      <c r="AD799" s="37" t="n"/>
      <c r="AE799" s="38" t="n"/>
      <c r="AF799" s="118">
        <f>IF(OR($B799="",$C799=""),"",$C799-$B799+1)</f>
        <v/>
      </c>
      <c r="AG799" s="74" t="n"/>
      <c r="AH799" s="36" t="n"/>
      <c r="AJ799">
        <f>IF($K799="","",", "&amp;$K799)</f>
        <v/>
      </c>
      <c r="AK799">
        <f>AJ799&amp;IF($L799="","",", "&amp;$L799)</f>
        <v/>
      </c>
      <c r="AL799">
        <f>AK799&amp;IF($M799="","",", "&amp;$M799)</f>
        <v/>
      </c>
      <c r="AM799">
        <f>AL799&amp;IF($N799="","",", "&amp;$N799)</f>
        <v/>
      </c>
      <c r="AN799">
        <f>AM799&amp;IF($O799="","",", "&amp;$O799)</f>
        <v/>
      </c>
      <c r="AO799">
        <f>AN799&amp;IF($P799="","",", "&amp;$P799)</f>
        <v/>
      </c>
      <c r="AP799">
        <f>AO799&amp;IF($Q799="","",", "&amp;$Q799)</f>
        <v/>
      </c>
      <c r="AQ799">
        <f>AP799&amp;IF($R799="","",", "&amp;$R799)</f>
        <v/>
      </c>
      <c r="AR799">
        <f>AQ799&amp;IF($S799="","",", "&amp;$S799)</f>
        <v/>
      </c>
      <c r="AS799">
        <f>AR799&amp;IF($T799="","",", "&amp;$T799)</f>
        <v/>
      </c>
      <c r="AT799">
        <f>AS799&amp;IF($U799="","",", "&amp;$U799)</f>
        <v/>
      </c>
      <c r="AU799">
        <f>AT799&amp;IF($V799="","",", "&amp;$V799)</f>
        <v/>
      </c>
      <c r="AV799">
        <f>AU799&amp;IF($W799="","",", "&amp;$W799)</f>
        <v/>
      </c>
      <c r="AW799">
        <f>AV799&amp;IF($X799="","",", "&amp;$X799)</f>
        <v/>
      </c>
      <c r="AX799">
        <f>AW799&amp;IF($Y799="","",", "&amp;$Y799)</f>
        <v/>
      </c>
    </row>
    <row r="800">
      <c r="A800" s="118">
        <f>IF($B800="","",COUNT($B$5:$B800))</f>
        <v/>
      </c>
      <c r="B800" s="80" t="n"/>
      <c r="C800" s="80" t="n"/>
      <c r="D800" s="74" t="n"/>
      <c r="E800" s="74" t="n"/>
      <c r="F800" s="74" t="n"/>
      <c r="G800" s="118">
        <f>IF($F800="","",COUNTIF($F$5:$F800,$F800))</f>
        <v/>
      </c>
      <c r="H800" s="33">
        <f>IF($F800="","",IFERROR(INDEX(사건마스터!$B$5:$B$64,MATCH($F800,사건마스터!$A$5:$A$64,0)),""))</f>
        <v/>
      </c>
      <c r="I800" s="130">
        <f>IF($F800="","",IFERROR(INDEX(사건마스터!$C$5:$C$64,MATCH($F800,사건마스터!$A$5:$A$64,0)),""))</f>
        <v/>
      </c>
      <c r="J800" s="136">
        <f>IF($F800="","",IFERROR(INDEX(사건마스터!$H$5:$H$64,MATCH($F800,사건마스터!$A$5:$A$64,0)),""))</f>
        <v/>
      </c>
      <c r="K800" s="136">
        <f>IF($F800="","",IFERROR(INDEX(사건마스터!$AH$5:$AH$64,MATCH($F800,사건마스터!$A$5:$A$64,0)),""))</f>
        <v/>
      </c>
      <c r="L800" s="136">
        <f>IF($F800="","",IFERROR(INDEX(사건마스터!$AI$5:$AI$64,MATCH($F800,사건마스터!$A$5:$A$64,0)),""))</f>
        <v/>
      </c>
      <c r="M800" s="136">
        <f>IF($F800="","",IFERROR(INDEX(사건마스터!$AJ$5:$AJ$64,MATCH($F800,사건마스터!$A$5:$A$64,0)),""))</f>
        <v/>
      </c>
      <c r="N800" s="136">
        <f>IF($F800="","",IFERROR(INDEX(사건마스터!$AK$5:$AK$64,MATCH($F800,사건마스터!$A$5:$A$64,0)),""))</f>
        <v/>
      </c>
      <c r="O800" s="136">
        <f>IF($F800="","",IFERROR(INDEX(사건마스터!$AL$5:$AL$64,MATCH($F800,사건마스터!$A$5:$A$64,0)),""))</f>
        <v/>
      </c>
      <c r="P800" s="136">
        <f>IF($F800="","",IFERROR(INDEX(사건마스터!$AM$5:$AM$64,MATCH($F800,사건마스터!$A$5:$A$64,0)),""))</f>
        <v/>
      </c>
      <c r="Q800" s="136">
        <f>IF($F800="","",IFERROR(INDEX(사건마스터!$AN$5:$AN$64,MATCH($F800,사건마스터!$A$5:$A$64,0)),""))</f>
        <v/>
      </c>
      <c r="R800" s="136">
        <f>IF($F800="","",IFERROR(INDEX(사건마스터!$AO$5:$AO$64,MATCH($F800,사건마스터!$A$5:$A$64,0)),""))</f>
        <v/>
      </c>
      <c r="S800" s="136">
        <f>IF($F800="","",IFERROR(INDEX(사건마스터!$AP$5:$AP$64,MATCH($F800,사건마스터!$A$5:$A$64,0)),""))</f>
        <v/>
      </c>
      <c r="T800" s="136">
        <f>IF($F800="","",IFERROR(INDEX(사건마스터!$AQ$5:$AQ$64,MATCH($F800,사건마스터!$A$5:$A$64,0)),""))</f>
        <v/>
      </c>
      <c r="U800" s="136">
        <f>IF($F800="","",IFERROR(INDEX(사건마스터!$AR$5:$AR$64,MATCH($F800,사건마스터!$A$5:$A$64,0)),""))</f>
        <v/>
      </c>
      <c r="V800" s="136">
        <f>IF($F800="","",IFERROR(INDEX(사건마스터!$AS$5:$AS$64,MATCH($F800,사건마스터!$A$5:$A$64,0)),""))</f>
        <v/>
      </c>
      <c r="W800" s="136">
        <f>IF($F800="","",IFERROR(INDEX(사건마스터!$AT$5:$AT$64,MATCH($F800,사건마스터!$A$5:$A$64,0)),""))</f>
        <v/>
      </c>
      <c r="X800" s="136">
        <f>IF($F800="","",IFERROR(INDEX(사건마스터!$AU$5:$AU$64,MATCH($F800,사건마스터!$A$5:$A$64,0)),""))</f>
        <v/>
      </c>
      <c r="Y800" s="136">
        <f>IF($F800="","",IFERROR(INDEX(사건마스터!$AV$5:$AV$64,MATCH($F800,사건마스터!$A$5:$A$64,0)),""))</f>
        <v/>
      </c>
      <c r="Z800" s="118">
        <f>IF(COUNTBLANK($J800:$Y800)=16,"",16-COUNTBLANK($J800:$Y800))</f>
        <v/>
      </c>
      <c r="AA800" s="33">
        <f>IF($J800="",MID($AX800,3,255),$J800&amp;$AX800)</f>
        <v/>
      </c>
      <c r="AB800" s="130">
        <f>IF($J800="","",IFERROR(INDEX(코드설정!$D$5:$D$24,MATCH($J800,코드설정!$C$5:$C$24,0)),""))</f>
        <v/>
      </c>
      <c r="AC800" s="36" t="n"/>
      <c r="AD800" s="37" t="n"/>
      <c r="AE800" s="38" t="n"/>
      <c r="AF800" s="118">
        <f>IF(OR($B800="",$C800=""),"",$C800-$B800+1)</f>
        <v/>
      </c>
      <c r="AG800" s="74" t="n"/>
      <c r="AH800" s="36" t="n"/>
      <c r="AJ800">
        <f>IF($K800="","",", "&amp;$K800)</f>
        <v/>
      </c>
      <c r="AK800">
        <f>AJ800&amp;IF($L800="","",", "&amp;$L800)</f>
        <v/>
      </c>
      <c r="AL800">
        <f>AK800&amp;IF($M800="","",", "&amp;$M800)</f>
        <v/>
      </c>
      <c r="AM800">
        <f>AL800&amp;IF($N800="","",", "&amp;$N800)</f>
        <v/>
      </c>
      <c r="AN800">
        <f>AM800&amp;IF($O800="","",", "&amp;$O800)</f>
        <v/>
      </c>
      <c r="AO800">
        <f>AN800&amp;IF($P800="","",", "&amp;$P800)</f>
        <v/>
      </c>
      <c r="AP800">
        <f>AO800&amp;IF($Q800="","",", "&amp;$Q800)</f>
        <v/>
      </c>
      <c r="AQ800">
        <f>AP800&amp;IF($R800="","",", "&amp;$R800)</f>
        <v/>
      </c>
      <c r="AR800">
        <f>AQ800&amp;IF($S800="","",", "&amp;$S800)</f>
        <v/>
      </c>
      <c r="AS800">
        <f>AR800&amp;IF($T800="","",", "&amp;$T800)</f>
        <v/>
      </c>
      <c r="AT800">
        <f>AS800&amp;IF($U800="","",", "&amp;$U800)</f>
        <v/>
      </c>
      <c r="AU800">
        <f>AT800&amp;IF($V800="","",", "&amp;$V800)</f>
        <v/>
      </c>
      <c r="AV800">
        <f>AU800&amp;IF($W800="","",", "&amp;$W800)</f>
        <v/>
      </c>
      <c r="AW800">
        <f>AV800&amp;IF($X800="","",", "&amp;$X800)</f>
        <v/>
      </c>
      <c r="AX800">
        <f>AW800&amp;IF($Y800="","",", "&amp;$Y800)</f>
        <v/>
      </c>
    </row>
    <row r="801">
      <c r="A801" s="118">
        <f>IF($B801="","",COUNT($B$5:$B801))</f>
        <v/>
      </c>
      <c r="B801" s="80" t="n"/>
      <c r="C801" s="80" t="n"/>
      <c r="D801" s="74" t="n"/>
      <c r="E801" s="74" t="n"/>
      <c r="F801" s="74" t="n"/>
      <c r="G801" s="118">
        <f>IF($F801="","",COUNTIF($F$5:$F801,$F801))</f>
        <v/>
      </c>
      <c r="H801" s="33">
        <f>IF($F801="","",IFERROR(INDEX(사건마스터!$B$5:$B$64,MATCH($F801,사건마스터!$A$5:$A$64,0)),""))</f>
        <v/>
      </c>
      <c r="I801" s="130">
        <f>IF($F801="","",IFERROR(INDEX(사건마스터!$C$5:$C$64,MATCH($F801,사건마스터!$A$5:$A$64,0)),""))</f>
        <v/>
      </c>
      <c r="J801" s="136">
        <f>IF($F801="","",IFERROR(INDEX(사건마스터!$H$5:$H$64,MATCH($F801,사건마스터!$A$5:$A$64,0)),""))</f>
        <v/>
      </c>
      <c r="K801" s="136">
        <f>IF($F801="","",IFERROR(INDEX(사건마스터!$AH$5:$AH$64,MATCH($F801,사건마스터!$A$5:$A$64,0)),""))</f>
        <v/>
      </c>
      <c r="L801" s="136">
        <f>IF($F801="","",IFERROR(INDEX(사건마스터!$AI$5:$AI$64,MATCH($F801,사건마스터!$A$5:$A$64,0)),""))</f>
        <v/>
      </c>
      <c r="M801" s="136">
        <f>IF($F801="","",IFERROR(INDEX(사건마스터!$AJ$5:$AJ$64,MATCH($F801,사건마스터!$A$5:$A$64,0)),""))</f>
        <v/>
      </c>
      <c r="N801" s="136">
        <f>IF($F801="","",IFERROR(INDEX(사건마스터!$AK$5:$AK$64,MATCH($F801,사건마스터!$A$5:$A$64,0)),""))</f>
        <v/>
      </c>
      <c r="O801" s="136">
        <f>IF($F801="","",IFERROR(INDEX(사건마스터!$AL$5:$AL$64,MATCH($F801,사건마스터!$A$5:$A$64,0)),""))</f>
        <v/>
      </c>
      <c r="P801" s="136">
        <f>IF($F801="","",IFERROR(INDEX(사건마스터!$AM$5:$AM$64,MATCH($F801,사건마스터!$A$5:$A$64,0)),""))</f>
        <v/>
      </c>
      <c r="Q801" s="136">
        <f>IF($F801="","",IFERROR(INDEX(사건마스터!$AN$5:$AN$64,MATCH($F801,사건마스터!$A$5:$A$64,0)),""))</f>
        <v/>
      </c>
      <c r="R801" s="136">
        <f>IF($F801="","",IFERROR(INDEX(사건마스터!$AO$5:$AO$64,MATCH($F801,사건마스터!$A$5:$A$64,0)),""))</f>
        <v/>
      </c>
      <c r="S801" s="136">
        <f>IF($F801="","",IFERROR(INDEX(사건마스터!$AP$5:$AP$64,MATCH($F801,사건마스터!$A$5:$A$64,0)),""))</f>
        <v/>
      </c>
      <c r="T801" s="136">
        <f>IF($F801="","",IFERROR(INDEX(사건마스터!$AQ$5:$AQ$64,MATCH($F801,사건마스터!$A$5:$A$64,0)),""))</f>
        <v/>
      </c>
      <c r="U801" s="136">
        <f>IF($F801="","",IFERROR(INDEX(사건마스터!$AR$5:$AR$64,MATCH($F801,사건마스터!$A$5:$A$64,0)),""))</f>
        <v/>
      </c>
      <c r="V801" s="136">
        <f>IF($F801="","",IFERROR(INDEX(사건마스터!$AS$5:$AS$64,MATCH($F801,사건마스터!$A$5:$A$64,0)),""))</f>
        <v/>
      </c>
      <c r="W801" s="136">
        <f>IF($F801="","",IFERROR(INDEX(사건마스터!$AT$5:$AT$64,MATCH($F801,사건마스터!$A$5:$A$64,0)),""))</f>
        <v/>
      </c>
      <c r="X801" s="136">
        <f>IF($F801="","",IFERROR(INDEX(사건마스터!$AU$5:$AU$64,MATCH($F801,사건마스터!$A$5:$A$64,0)),""))</f>
        <v/>
      </c>
      <c r="Y801" s="136">
        <f>IF($F801="","",IFERROR(INDEX(사건마스터!$AV$5:$AV$64,MATCH($F801,사건마스터!$A$5:$A$64,0)),""))</f>
        <v/>
      </c>
      <c r="Z801" s="118">
        <f>IF(COUNTBLANK($J801:$Y801)=16,"",16-COUNTBLANK($J801:$Y801))</f>
        <v/>
      </c>
      <c r="AA801" s="33">
        <f>IF($J801="",MID($AX801,3,255),$J801&amp;$AX801)</f>
        <v/>
      </c>
      <c r="AB801" s="130">
        <f>IF($J801="","",IFERROR(INDEX(코드설정!$D$5:$D$24,MATCH($J801,코드설정!$C$5:$C$24,0)),""))</f>
        <v/>
      </c>
      <c r="AC801" s="36" t="n"/>
      <c r="AD801" s="37" t="n"/>
      <c r="AE801" s="38" t="n"/>
      <c r="AF801" s="118">
        <f>IF(OR($B801="",$C801=""),"",$C801-$B801+1)</f>
        <v/>
      </c>
      <c r="AG801" s="74" t="n"/>
      <c r="AH801" s="36" t="n"/>
      <c r="AJ801">
        <f>IF($K801="","",", "&amp;$K801)</f>
        <v/>
      </c>
      <c r="AK801">
        <f>AJ801&amp;IF($L801="","",", "&amp;$L801)</f>
        <v/>
      </c>
      <c r="AL801">
        <f>AK801&amp;IF($M801="","",", "&amp;$M801)</f>
        <v/>
      </c>
      <c r="AM801">
        <f>AL801&amp;IF($N801="","",", "&amp;$N801)</f>
        <v/>
      </c>
      <c r="AN801">
        <f>AM801&amp;IF($O801="","",", "&amp;$O801)</f>
        <v/>
      </c>
      <c r="AO801">
        <f>AN801&amp;IF($P801="","",", "&amp;$P801)</f>
        <v/>
      </c>
      <c r="AP801">
        <f>AO801&amp;IF($Q801="","",", "&amp;$Q801)</f>
        <v/>
      </c>
      <c r="AQ801">
        <f>AP801&amp;IF($R801="","",", "&amp;$R801)</f>
        <v/>
      </c>
      <c r="AR801">
        <f>AQ801&amp;IF($S801="","",", "&amp;$S801)</f>
        <v/>
      </c>
      <c r="AS801">
        <f>AR801&amp;IF($T801="","",", "&amp;$T801)</f>
        <v/>
      </c>
      <c r="AT801">
        <f>AS801&amp;IF($U801="","",", "&amp;$U801)</f>
        <v/>
      </c>
      <c r="AU801">
        <f>AT801&amp;IF($V801="","",", "&amp;$V801)</f>
        <v/>
      </c>
      <c r="AV801">
        <f>AU801&amp;IF($W801="","",", "&amp;$W801)</f>
        <v/>
      </c>
      <c r="AW801">
        <f>AV801&amp;IF($X801="","",", "&amp;$X801)</f>
        <v/>
      </c>
      <c r="AX801">
        <f>AW801&amp;IF($Y801="","",", "&amp;$Y801)</f>
        <v/>
      </c>
    </row>
    <row r="802">
      <c r="A802" s="118">
        <f>IF($B802="","",COUNT($B$5:$B802))</f>
        <v/>
      </c>
      <c r="B802" s="80" t="n"/>
      <c r="C802" s="80" t="n"/>
      <c r="D802" s="74" t="n"/>
      <c r="E802" s="74" t="n"/>
      <c r="F802" s="74" t="n"/>
      <c r="G802" s="118">
        <f>IF($F802="","",COUNTIF($F$5:$F802,$F802))</f>
        <v/>
      </c>
      <c r="H802" s="33">
        <f>IF($F802="","",IFERROR(INDEX(사건마스터!$B$5:$B$64,MATCH($F802,사건마스터!$A$5:$A$64,0)),""))</f>
        <v/>
      </c>
      <c r="I802" s="130">
        <f>IF($F802="","",IFERROR(INDEX(사건마스터!$C$5:$C$64,MATCH($F802,사건마스터!$A$5:$A$64,0)),""))</f>
        <v/>
      </c>
      <c r="J802" s="136">
        <f>IF($F802="","",IFERROR(INDEX(사건마스터!$H$5:$H$64,MATCH($F802,사건마스터!$A$5:$A$64,0)),""))</f>
        <v/>
      </c>
      <c r="K802" s="136">
        <f>IF($F802="","",IFERROR(INDEX(사건마스터!$AH$5:$AH$64,MATCH($F802,사건마스터!$A$5:$A$64,0)),""))</f>
        <v/>
      </c>
      <c r="L802" s="136">
        <f>IF($F802="","",IFERROR(INDEX(사건마스터!$AI$5:$AI$64,MATCH($F802,사건마스터!$A$5:$A$64,0)),""))</f>
        <v/>
      </c>
      <c r="M802" s="136">
        <f>IF($F802="","",IFERROR(INDEX(사건마스터!$AJ$5:$AJ$64,MATCH($F802,사건마스터!$A$5:$A$64,0)),""))</f>
        <v/>
      </c>
      <c r="N802" s="136">
        <f>IF($F802="","",IFERROR(INDEX(사건마스터!$AK$5:$AK$64,MATCH($F802,사건마스터!$A$5:$A$64,0)),""))</f>
        <v/>
      </c>
      <c r="O802" s="136">
        <f>IF($F802="","",IFERROR(INDEX(사건마스터!$AL$5:$AL$64,MATCH($F802,사건마스터!$A$5:$A$64,0)),""))</f>
        <v/>
      </c>
      <c r="P802" s="136">
        <f>IF($F802="","",IFERROR(INDEX(사건마스터!$AM$5:$AM$64,MATCH($F802,사건마스터!$A$5:$A$64,0)),""))</f>
        <v/>
      </c>
      <c r="Q802" s="136">
        <f>IF($F802="","",IFERROR(INDEX(사건마스터!$AN$5:$AN$64,MATCH($F802,사건마스터!$A$5:$A$64,0)),""))</f>
        <v/>
      </c>
      <c r="R802" s="136">
        <f>IF($F802="","",IFERROR(INDEX(사건마스터!$AO$5:$AO$64,MATCH($F802,사건마스터!$A$5:$A$64,0)),""))</f>
        <v/>
      </c>
      <c r="S802" s="136">
        <f>IF($F802="","",IFERROR(INDEX(사건마스터!$AP$5:$AP$64,MATCH($F802,사건마스터!$A$5:$A$64,0)),""))</f>
        <v/>
      </c>
      <c r="T802" s="136">
        <f>IF($F802="","",IFERROR(INDEX(사건마스터!$AQ$5:$AQ$64,MATCH($F802,사건마스터!$A$5:$A$64,0)),""))</f>
        <v/>
      </c>
      <c r="U802" s="136">
        <f>IF($F802="","",IFERROR(INDEX(사건마스터!$AR$5:$AR$64,MATCH($F802,사건마스터!$A$5:$A$64,0)),""))</f>
        <v/>
      </c>
      <c r="V802" s="136">
        <f>IF($F802="","",IFERROR(INDEX(사건마스터!$AS$5:$AS$64,MATCH($F802,사건마스터!$A$5:$A$64,0)),""))</f>
        <v/>
      </c>
      <c r="W802" s="136">
        <f>IF($F802="","",IFERROR(INDEX(사건마스터!$AT$5:$AT$64,MATCH($F802,사건마스터!$A$5:$A$64,0)),""))</f>
        <v/>
      </c>
      <c r="X802" s="136">
        <f>IF($F802="","",IFERROR(INDEX(사건마스터!$AU$5:$AU$64,MATCH($F802,사건마스터!$A$5:$A$64,0)),""))</f>
        <v/>
      </c>
      <c r="Y802" s="136">
        <f>IF($F802="","",IFERROR(INDEX(사건마스터!$AV$5:$AV$64,MATCH($F802,사건마스터!$A$5:$A$64,0)),""))</f>
        <v/>
      </c>
      <c r="Z802" s="118">
        <f>IF(COUNTBLANK($J802:$Y802)=16,"",16-COUNTBLANK($J802:$Y802))</f>
        <v/>
      </c>
      <c r="AA802" s="33">
        <f>IF($J802="",MID($AX802,3,255),$J802&amp;$AX802)</f>
        <v/>
      </c>
      <c r="AB802" s="130">
        <f>IF($J802="","",IFERROR(INDEX(코드설정!$D$5:$D$24,MATCH($J802,코드설정!$C$5:$C$24,0)),""))</f>
        <v/>
      </c>
      <c r="AC802" s="36" t="n"/>
      <c r="AD802" s="37" t="n"/>
      <c r="AE802" s="38" t="n"/>
      <c r="AF802" s="118">
        <f>IF(OR($B802="",$C802=""),"",$C802-$B802+1)</f>
        <v/>
      </c>
      <c r="AG802" s="74" t="n"/>
      <c r="AH802" s="36" t="n"/>
      <c r="AJ802">
        <f>IF($K802="","",", "&amp;$K802)</f>
        <v/>
      </c>
      <c r="AK802">
        <f>AJ802&amp;IF($L802="","",", "&amp;$L802)</f>
        <v/>
      </c>
      <c r="AL802">
        <f>AK802&amp;IF($M802="","",", "&amp;$M802)</f>
        <v/>
      </c>
      <c r="AM802">
        <f>AL802&amp;IF($N802="","",", "&amp;$N802)</f>
        <v/>
      </c>
      <c r="AN802">
        <f>AM802&amp;IF($O802="","",", "&amp;$O802)</f>
        <v/>
      </c>
      <c r="AO802">
        <f>AN802&amp;IF($P802="","",", "&amp;$P802)</f>
        <v/>
      </c>
      <c r="AP802">
        <f>AO802&amp;IF($Q802="","",", "&amp;$Q802)</f>
        <v/>
      </c>
      <c r="AQ802">
        <f>AP802&amp;IF($R802="","",", "&amp;$R802)</f>
        <v/>
      </c>
      <c r="AR802">
        <f>AQ802&amp;IF($S802="","",", "&amp;$S802)</f>
        <v/>
      </c>
      <c r="AS802">
        <f>AR802&amp;IF($T802="","",", "&amp;$T802)</f>
        <v/>
      </c>
      <c r="AT802">
        <f>AS802&amp;IF($U802="","",", "&amp;$U802)</f>
        <v/>
      </c>
      <c r="AU802">
        <f>AT802&amp;IF($V802="","",", "&amp;$V802)</f>
        <v/>
      </c>
      <c r="AV802">
        <f>AU802&amp;IF($W802="","",", "&amp;$W802)</f>
        <v/>
      </c>
      <c r="AW802">
        <f>AV802&amp;IF($X802="","",", "&amp;$X802)</f>
        <v/>
      </c>
      <c r="AX802">
        <f>AW802&amp;IF($Y802="","",", "&amp;$Y802)</f>
        <v/>
      </c>
    </row>
    <row r="803">
      <c r="A803" s="118">
        <f>IF($B803="","",COUNT($B$5:$B803))</f>
        <v/>
      </c>
      <c r="B803" s="80" t="n"/>
      <c r="C803" s="80" t="n"/>
      <c r="D803" s="74" t="n"/>
      <c r="E803" s="74" t="n"/>
      <c r="F803" s="74" t="n"/>
      <c r="G803" s="118">
        <f>IF($F803="","",COUNTIF($F$5:$F803,$F803))</f>
        <v/>
      </c>
      <c r="H803" s="33">
        <f>IF($F803="","",IFERROR(INDEX(사건마스터!$B$5:$B$64,MATCH($F803,사건마스터!$A$5:$A$64,0)),""))</f>
        <v/>
      </c>
      <c r="I803" s="130">
        <f>IF($F803="","",IFERROR(INDEX(사건마스터!$C$5:$C$64,MATCH($F803,사건마스터!$A$5:$A$64,0)),""))</f>
        <v/>
      </c>
      <c r="J803" s="136">
        <f>IF($F803="","",IFERROR(INDEX(사건마스터!$H$5:$H$64,MATCH($F803,사건마스터!$A$5:$A$64,0)),""))</f>
        <v/>
      </c>
      <c r="K803" s="136">
        <f>IF($F803="","",IFERROR(INDEX(사건마스터!$AH$5:$AH$64,MATCH($F803,사건마스터!$A$5:$A$64,0)),""))</f>
        <v/>
      </c>
      <c r="L803" s="136">
        <f>IF($F803="","",IFERROR(INDEX(사건마스터!$AI$5:$AI$64,MATCH($F803,사건마스터!$A$5:$A$64,0)),""))</f>
        <v/>
      </c>
      <c r="M803" s="136">
        <f>IF($F803="","",IFERROR(INDEX(사건마스터!$AJ$5:$AJ$64,MATCH($F803,사건마스터!$A$5:$A$64,0)),""))</f>
        <v/>
      </c>
      <c r="N803" s="136">
        <f>IF($F803="","",IFERROR(INDEX(사건마스터!$AK$5:$AK$64,MATCH($F803,사건마스터!$A$5:$A$64,0)),""))</f>
        <v/>
      </c>
      <c r="O803" s="136">
        <f>IF($F803="","",IFERROR(INDEX(사건마스터!$AL$5:$AL$64,MATCH($F803,사건마스터!$A$5:$A$64,0)),""))</f>
        <v/>
      </c>
      <c r="P803" s="136">
        <f>IF($F803="","",IFERROR(INDEX(사건마스터!$AM$5:$AM$64,MATCH($F803,사건마스터!$A$5:$A$64,0)),""))</f>
        <v/>
      </c>
      <c r="Q803" s="136">
        <f>IF($F803="","",IFERROR(INDEX(사건마스터!$AN$5:$AN$64,MATCH($F803,사건마스터!$A$5:$A$64,0)),""))</f>
        <v/>
      </c>
      <c r="R803" s="136">
        <f>IF($F803="","",IFERROR(INDEX(사건마스터!$AO$5:$AO$64,MATCH($F803,사건마스터!$A$5:$A$64,0)),""))</f>
        <v/>
      </c>
      <c r="S803" s="136">
        <f>IF($F803="","",IFERROR(INDEX(사건마스터!$AP$5:$AP$64,MATCH($F803,사건마스터!$A$5:$A$64,0)),""))</f>
        <v/>
      </c>
      <c r="T803" s="136">
        <f>IF($F803="","",IFERROR(INDEX(사건마스터!$AQ$5:$AQ$64,MATCH($F803,사건마스터!$A$5:$A$64,0)),""))</f>
        <v/>
      </c>
      <c r="U803" s="136">
        <f>IF($F803="","",IFERROR(INDEX(사건마스터!$AR$5:$AR$64,MATCH($F803,사건마스터!$A$5:$A$64,0)),""))</f>
        <v/>
      </c>
      <c r="V803" s="136">
        <f>IF($F803="","",IFERROR(INDEX(사건마스터!$AS$5:$AS$64,MATCH($F803,사건마스터!$A$5:$A$64,0)),""))</f>
        <v/>
      </c>
      <c r="W803" s="136">
        <f>IF($F803="","",IFERROR(INDEX(사건마스터!$AT$5:$AT$64,MATCH($F803,사건마스터!$A$5:$A$64,0)),""))</f>
        <v/>
      </c>
      <c r="X803" s="136">
        <f>IF($F803="","",IFERROR(INDEX(사건마스터!$AU$5:$AU$64,MATCH($F803,사건마스터!$A$5:$A$64,0)),""))</f>
        <v/>
      </c>
      <c r="Y803" s="136">
        <f>IF($F803="","",IFERROR(INDEX(사건마스터!$AV$5:$AV$64,MATCH($F803,사건마스터!$A$5:$A$64,0)),""))</f>
        <v/>
      </c>
      <c r="Z803" s="118">
        <f>IF(COUNTBLANK($J803:$Y803)=16,"",16-COUNTBLANK($J803:$Y803))</f>
        <v/>
      </c>
      <c r="AA803" s="33">
        <f>IF($J803="",MID($AX803,3,255),$J803&amp;$AX803)</f>
        <v/>
      </c>
      <c r="AB803" s="130">
        <f>IF($J803="","",IFERROR(INDEX(코드설정!$D$5:$D$24,MATCH($J803,코드설정!$C$5:$C$24,0)),""))</f>
        <v/>
      </c>
      <c r="AC803" s="36" t="n"/>
      <c r="AD803" s="37" t="n"/>
      <c r="AE803" s="38" t="n"/>
      <c r="AF803" s="118">
        <f>IF(OR($B803="",$C803=""),"",$C803-$B803+1)</f>
        <v/>
      </c>
      <c r="AG803" s="74" t="n"/>
      <c r="AH803" s="36" t="n"/>
      <c r="AJ803">
        <f>IF($K803="","",", "&amp;$K803)</f>
        <v/>
      </c>
      <c r="AK803">
        <f>AJ803&amp;IF($L803="","",", "&amp;$L803)</f>
        <v/>
      </c>
      <c r="AL803">
        <f>AK803&amp;IF($M803="","",", "&amp;$M803)</f>
        <v/>
      </c>
      <c r="AM803">
        <f>AL803&amp;IF($N803="","",", "&amp;$N803)</f>
        <v/>
      </c>
      <c r="AN803">
        <f>AM803&amp;IF($O803="","",", "&amp;$O803)</f>
        <v/>
      </c>
      <c r="AO803">
        <f>AN803&amp;IF($P803="","",", "&amp;$P803)</f>
        <v/>
      </c>
      <c r="AP803">
        <f>AO803&amp;IF($Q803="","",", "&amp;$Q803)</f>
        <v/>
      </c>
      <c r="AQ803">
        <f>AP803&amp;IF($R803="","",", "&amp;$R803)</f>
        <v/>
      </c>
      <c r="AR803">
        <f>AQ803&amp;IF($S803="","",", "&amp;$S803)</f>
        <v/>
      </c>
      <c r="AS803">
        <f>AR803&amp;IF($T803="","",", "&amp;$T803)</f>
        <v/>
      </c>
      <c r="AT803">
        <f>AS803&amp;IF($U803="","",", "&amp;$U803)</f>
        <v/>
      </c>
      <c r="AU803">
        <f>AT803&amp;IF($V803="","",", "&amp;$V803)</f>
        <v/>
      </c>
      <c r="AV803">
        <f>AU803&amp;IF($W803="","",", "&amp;$W803)</f>
        <v/>
      </c>
      <c r="AW803">
        <f>AV803&amp;IF($X803="","",", "&amp;$X803)</f>
        <v/>
      </c>
      <c r="AX803">
        <f>AW803&amp;IF($Y803="","",", "&amp;$Y803)</f>
        <v/>
      </c>
    </row>
    <row r="804">
      <c r="A804" s="118">
        <f>IF($B804="","",COUNT($B$5:$B804))</f>
        <v/>
      </c>
      <c r="B804" s="80" t="n"/>
      <c r="C804" s="80" t="n"/>
      <c r="D804" s="74" t="n"/>
      <c r="E804" s="74" t="n"/>
      <c r="F804" s="74" t="n"/>
      <c r="G804" s="118">
        <f>IF($F804="","",COUNTIF($F$5:$F804,$F804))</f>
        <v/>
      </c>
      <c r="H804" s="33">
        <f>IF($F804="","",IFERROR(INDEX(사건마스터!$B$5:$B$64,MATCH($F804,사건마스터!$A$5:$A$64,0)),""))</f>
        <v/>
      </c>
      <c r="I804" s="130">
        <f>IF($F804="","",IFERROR(INDEX(사건마스터!$C$5:$C$64,MATCH($F804,사건마스터!$A$5:$A$64,0)),""))</f>
        <v/>
      </c>
      <c r="J804" s="136">
        <f>IF($F804="","",IFERROR(INDEX(사건마스터!$H$5:$H$64,MATCH($F804,사건마스터!$A$5:$A$64,0)),""))</f>
        <v/>
      </c>
      <c r="K804" s="136">
        <f>IF($F804="","",IFERROR(INDEX(사건마스터!$AH$5:$AH$64,MATCH($F804,사건마스터!$A$5:$A$64,0)),""))</f>
        <v/>
      </c>
      <c r="L804" s="136">
        <f>IF($F804="","",IFERROR(INDEX(사건마스터!$AI$5:$AI$64,MATCH($F804,사건마스터!$A$5:$A$64,0)),""))</f>
        <v/>
      </c>
      <c r="M804" s="136">
        <f>IF($F804="","",IFERROR(INDEX(사건마스터!$AJ$5:$AJ$64,MATCH($F804,사건마스터!$A$5:$A$64,0)),""))</f>
        <v/>
      </c>
      <c r="N804" s="136">
        <f>IF($F804="","",IFERROR(INDEX(사건마스터!$AK$5:$AK$64,MATCH($F804,사건마스터!$A$5:$A$64,0)),""))</f>
        <v/>
      </c>
      <c r="O804" s="136">
        <f>IF($F804="","",IFERROR(INDEX(사건마스터!$AL$5:$AL$64,MATCH($F804,사건마스터!$A$5:$A$64,0)),""))</f>
        <v/>
      </c>
      <c r="P804" s="136">
        <f>IF($F804="","",IFERROR(INDEX(사건마스터!$AM$5:$AM$64,MATCH($F804,사건마스터!$A$5:$A$64,0)),""))</f>
        <v/>
      </c>
      <c r="Q804" s="136">
        <f>IF($F804="","",IFERROR(INDEX(사건마스터!$AN$5:$AN$64,MATCH($F804,사건마스터!$A$5:$A$64,0)),""))</f>
        <v/>
      </c>
      <c r="R804" s="136">
        <f>IF($F804="","",IFERROR(INDEX(사건마스터!$AO$5:$AO$64,MATCH($F804,사건마스터!$A$5:$A$64,0)),""))</f>
        <v/>
      </c>
      <c r="S804" s="136">
        <f>IF($F804="","",IFERROR(INDEX(사건마스터!$AP$5:$AP$64,MATCH($F804,사건마스터!$A$5:$A$64,0)),""))</f>
        <v/>
      </c>
      <c r="T804" s="136">
        <f>IF($F804="","",IFERROR(INDEX(사건마스터!$AQ$5:$AQ$64,MATCH($F804,사건마스터!$A$5:$A$64,0)),""))</f>
        <v/>
      </c>
      <c r="U804" s="136">
        <f>IF($F804="","",IFERROR(INDEX(사건마스터!$AR$5:$AR$64,MATCH($F804,사건마스터!$A$5:$A$64,0)),""))</f>
        <v/>
      </c>
      <c r="V804" s="136">
        <f>IF($F804="","",IFERROR(INDEX(사건마스터!$AS$5:$AS$64,MATCH($F804,사건마스터!$A$5:$A$64,0)),""))</f>
        <v/>
      </c>
      <c r="W804" s="136">
        <f>IF($F804="","",IFERROR(INDEX(사건마스터!$AT$5:$AT$64,MATCH($F804,사건마스터!$A$5:$A$64,0)),""))</f>
        <v/>
      </c>
      <c r="X804" s="136">
        <f>IF($F804="","",IFERROR(INDEX(사건마스터!$AU$5:$AU$64,MATCH($F804,사건마스터!$A$5:$A$64,0)),""))</f>
        <v/>
      </c>
      <c r="Y804" s="136">
        <f>IF($F804="","",IFERROR(INDEX(사건마스터!$AV$5:$AV$64,MATCH($F804,사건마스터!$A$5:$A$64,0)),""))</f>
        <v/>
      </c>
      <c r="Z804" s="118">
        <f>IF(COUNTBLANK($J804:$Y804)=16,"",16-COUNTBLANK($J804:$Y804))</f>
        <v/>
      </c>
      <c r="AA804" s="33">
        <f>IF($J804="",MID($AX804,3,255),$J804&amp;$AX804)</f>
        <v/>
      </c>
      <c r="AB804" s="130">
        <f>IF($J804="","",IFERROR(INDEX(코드설정!$D$5:$D$24,MATCH($J804,코드설정!$C$5:$C$24,0)),""))</f>
        <v/>
      </c>
      <c r="AC804" s="36" t="n"/>
      <c r="AD804" s="37" t="n"/>
      <c r="AE804" s="38" t="n"/>
      <c r="AF804" s="118">
        <f>IF(OR($B804="",$C804=""),"",$C804-$B804+1)</f>
        <v/>
      </c>
      <c r="AG804" s="74" t="n"/>
      <c r="AH804" s="36" t="n"/>
      <c r="AJ804">
        <f>IF($K804="","",", "&amp;$K804)</f>
        <v/>
      </c>
      <c r="AK804">
        <f>AJ804&amp;IF($L804="","",", "&amp;$L804)</f>
        <v/>
      </c>
      <c r="AL804">
        <f>AK804&amp;IF($M804="","",", "&amp;$M804)</f>
        <v/>
      </c>
      <c r="AM804">
        <f>AL804&amp;IF($N804="","",", "&amp;$N804)</f>
        <v/>
      </c>
      <c r="AN804">
        <f>AM804&amp;IF($O804="","",", "&amp;$O804)</f>
        <v/>
      </c>
      <c r="AO804">
        <f>AN804&amp;IF($P804="","",", "&amp;$P804)</f>
        <v/>
      </c>
      <c r="AP804">
        <f>AO804&amp;IF($Q804="","",", "&amp;$Q804)</f>
        <v/>
      </c>
      <c r="AQ804">
        <f>AP804&amp;IF($R804="","",", "&amp;$R804)</f>
        <v/>
      </c>
      <c r="AR804">
        <f>AQ804&amp;IF($S804="","",", "&amp;$S804)</f>
        <v/>
      </c>
      <c r="AS804">
        <f>AR804&amp;IF($T804="","",", "&amp;$T804)</f>
        <v/>
      </c>
      <c r="AT804">
        <f>AS804&amp;IF($U804="","",", "&amp;$U804)</f>
        <v/>
      </c>
      <c r="AU804">
        <f>AT804&amp;IF($V804="","",", "&amp;$V804)</f>
        <v/>
      </c>
      <c r="AV804">
        <f>AU804&amp;IF($W804="","",", "&amp;$W804)</f>
        <v/>
      </c>
      <c r="AW804">
        <f>AV804&amp;IF($X804="","",", "&amp;$X804)</f>
        <v/>
      </c>
      <c r="AX804">
        <f>AW804&amp;IF($Y804="","",", "&amp;$Y804)</f>
        <v/>
      </c>
    </row>
    <row r="805">
      <c r="A805" s="118">
        <f>IF($B805="","",COUNT($B$5:$B805))</f>
        <v/>
      </c>
      <c r="B805" s="80" t="n"/>
      <c r="C805" s="80" t="n"/>
      <c r="D805" s="74" t="n"/>
      <c r="E805" s="74" t="n"/>
      <c r="F805" s="74" t="n"/>
      <c r="G805" s="118">
        <f>IF($F805="","",COUNTIF($F$5:$F805,$F805))</f>
        <v/>
      </c>
      <c r="H805" s="33">
        <f>IF($F805="","",IFERROR(INDEX(사건마스터!$B$5:$B$64,MATCH($F805,사건마스터!$A$5:$A$64,0)),""))</f>
        <v/>
      </c>
      <c r="I805" s="130">
        <f>IF($F805="","",IFERROR(INDEX(사건마스터!$C$5:$C$64,MATCH($F805,사건마스터!$A$5:$A$64,0)),""))</f>
        <v/>
      </c>
      <c r="J805" s="136">
        <f>IF($F805="","",IFERROR(INDEX(사건마스터!$H$5:$H$64,MATCH($F805,사건마스터!$A$5:$A$64,0)),""))</f>
        <v/>
      </c>
      <c r="K805" s="136">
        <f>IF($F805="","",IFERROR(INDEX(사건마스터!$AH$5:$AH$64,MATCH($F805,사건마스터!$A$5:$A$64,0)),""))</f>
        <v/>
      </c>
      <c r="L805" s="136">
        <f>IF($F805="","",IFERROR(INDEX(사건마스터!$AI$5:$AI$64,MATCH($F805,사건마스터!$A$5:$A$64,0)),""))</f>
        <v/>
      </c>
      <c r="M805" s="136">
        <f>IF($F805="","",IFERROR(INDEX(사건마스터!$AJ$5:$AJ$64,MATCH($F805,사건마스터!$A$5:$A$64,0)),""))</f>
        <v/>
      </c>
      <c r="N805" s="136">
        <f>IF($F805="","",IFERROR(INDEX(사건마스터!$AK$5:$AK$64,MATCH($F805,사건마스터!$A$5:$A$64,0)),""))</f>
        <v/>
      </c>
      <c r="O805" s="136">
        <f>IF($F805="","",IFERROR(INDEX(사건마스터!$AL$5:$AL$64,MATCH($F805,사건마스터!$A$5:$A$64,0)),""))</f>
        <v/>
      </c>
      <c r="P805" s="136">
        <f>IF($F805="","",IFERROR(INDEX(사건마스터!$AM$5:$AM$64,MATCH($F805,사건마스터!$A$5:$A$64,0)),""))</f>
        <v/>
      </c>
      <c r="Q805" s="136">
        <f>IF($F805="","",IFERROR(INDEX(사건마스터!$AN$5:$AN$64,MATCH($F805,사건마스터!$A$5:$A$64,0)),""))</f>
        <v/>
      </c>
      <c r="R805" s="136">
        <f>IF($F805="","",IFERROR(INDEX(사건마스터!$AO$5:$AO$64,MATCH($F805,사건마스터!$A$5:$A$64,0)),""))</f>
        <v/>
      </c>
      <c r="S805" s="136">
        <f>IF($F805="","",IFERROR(INDEX(사건마스터!$AP$5:$AP$64,MATCH($F805,사건마스터!$A$5:$A$64,0)),""))</f>
        <v/>
      </c>
      <c r="T805" s="136">
        <f>IF($F805="","",IFERROR(INDEX(사건마스터!$AQ$5:$AQ$64,MATCH($F805,사건마스터!$A$5:$A$64,0)),""))</f>
        <v/>
      </c>
      <c r="U805" s="136">
        <f>IF($F805="","",IFERROR(INDEX(사건마스터!$AR$5:$AR$64,MATCH($F805,사건마스터!$A$5:$A$64,0)),""))</f>
        <v/>
      </c>
      <c r="V805" s="136">
        <f>IF($F805="","",IFERROR(INDEX(사건마스터!$AS$5:$AS$64,MATCH($F805,사건마스터!$A$5:$A$64,0)),""))</f>
        <v/>
      </c>
      <c r="W805" s="136">
        <f>IF($F805="","",IFERROR(INDEX(사건마스터!$AT$5:$AT$64,MATCH($F805,사건마스터!$A$5:$A$64,0)),""))</f>
        <v/>
      </c>
      <c r="X805" s="136">
        <f>IF($F805="","",IFERROR(INDEX(사건마스터!$AU$5:$AU$64,MATCH($F805,사건마스터!$A$5:$A$64,0)),""))</f>
        <v/>
      </c>
      <c r="Y805" s="136">
        <f>IF($F805="","",IFERROR(INDEX(사건마스터!$AV$5:$AV$64,MATCH($F805,사건마스터!$A$5:$A$64,0)),""))</f>
        <v/>
      </c>
      <c r="Z805" s="118">
        <f>IF(COUNTBLANK($J805:$Y805)=16,"",16-COUNTBLANK($J805:$Y805))</f>
        <v/>
      </c>
      <c r="AA805" s="33">
        <f>IF($J805="",MID($AX805,3,255),$J805&amp;$AX805)</f>
        <v/>
      </c>
      <c r="AB805" s="130">
        <f>IF($J805="","",IFERROR(INDEX(코드설정!$D$5:$D$24,MATCH($J805,코드설정!$C$5:$C$24,0)),""))</f>
        <v/>
      </c>
      <c r="AC805" s="36" t="n"/>
      <c r="AD805" s="37" t="n"/>
      <c r="AE805" s="38" t="n"/>
      <c r="AF805" s="118">
        <f>IF(OR($B805="",$C805=""),"",$C805-$B805+1)</f>
        <v/>
      </c>
      <c r="AG805" s="74" t="n"/>
      <c r="AH805" s="36" t="n"/>
      <c r="AJ805">
        <f>IF($K805="","",", "&amp;$K805)</f>
        <v/>
      </c>
      <c r="AK805">
        <f>AJ805&amp;IF($L805="","",", "&amp;$L805)</f>
        <v/>
      </c>
      <c r="AL805">
        <f>AK805&amp;IF($M805="","",", "&amp;$M805)</f>
        <v/>
      </c>
      <c r="AM805">
        <f>AL805&amp;IF($N805="","",", "&amp;$N805)</f>
        <v/>
      </c>
      <c r="AN805">
        <f>AM805&amp;IF($O805="","",", "&amp;$O805)</f>
        <v/>
      </c>
      <c r="AO805">
        <f>AN805&amp;IF($P805="","",", "&amp;$P805)</f>
        <v/>
      </c>
      <c r="AP805">
        <f>AO805&amp;IF($Q805="","",", "&amp;$Q805)</f>
        <v/>
      </c>
      <c r="AQ805">
        <f>AP805&amp;IF($R805="","",", "&amp;$R805)</f>
        <v/>
      </c>
      <c r="AR805">
        <f>AQ805&amp;IF($S805="","",", "&amp;$S805)</f>
        <v/>
      </c>
      <c r="AS805">
        <f>AR805&amp;IF($T805="","",", "&amp;$T805)</f>
        <v/>
      </c>
      <c r="AT805">
        <f>AS805&amp;IF($U805="","",", "&amp;$U805)</f>
        <v/>
      </c>
      <c r="AU805">
        <f>AT805&amp;IF($V805="","",", "&amp;$V805)</f>
        <v/>
      </c>
      <c r="AV805">
        <f>AU805&amp;IF($W805="","",", "&amp;$W805)</f>
        <v/>
      </c>
      <c r="AW805">
        <f>AV805&amp;IF($X805="","",", "&amp;$X805)</f>
        <v/>
      </c>
      <c r="AX805">
        <f>AW805&amp;IF($Y805="","",", "&amp;$Y805)</f>
        <v/>
      </c>
    </row>
    <row r="806">
      <c r="A806" s="118">
        <f>IF($B806="","",COUNT($B$5:$B806))</f>
        <v/>
      </c>
      <c r="B806" s="80" t="n"/>
      <c r="C806" s="80" t="n"/>
      <c r="D806" s="74" t="n"/>
      <c r="E806" s="74" t="n"/>
      <c r="F806" s="74" t="n"/>
      <c r="G806" s="118">
        <f>IF($F806="","",COUNTIF($F$5:$F806,$F806))</f>
        <v/>
      </c>
      <c r="H806" s="33">
        <f>IF($F806="","",IFERROR(INDEX(사건마스터!$B$5:$B$64,MATCH($F806,사건마스터!$A$5:$A$64,0)),""))</f>
        <v/>
      </c>
      <c r="I806" s="130">
        <f>IF($F806="","",IFERROR(INDEX(사건마스터!$C$5:$C$64,MATCH($F806,사건마스터!$A$5:$A$64,0)),""))</f>
        <v/>
      </c>
      <c r="J806" s="136">
        <f>IF($F806="","",IFERROR(INDEX(사건마스터!$H$5:$H$64,MATCH($F806,사건마스터!$A$5:$A$64,0)),""))</f>
        <v/>
      </c>
      <c r="K806" s="136">
        <f>IF($F806="","",IFERROR(INDEX(사건마스터!$AH$5:$AH$64,MATCH($F806,사건마스터!$A$5:$A$64,0)),""))</f>
        <v/>
      </c>
      <c r="L806" s="136">
        <f>IF($F806="","",IFERROR(INDEX(사건마스터!$AI$5:$AI$64,MATCH($F806,사건마스터!$A$5:$A$64,0)),""))</f>
        <v/>
      </c>
      <c r="M806" s="136">
        <f>IF($F806="","",IFERROR(INDEX(사건마스터!$AJ$5:$AJ$64,MATCH($F806,사건마스터!$A$5:$A$64,0)),""))</f>
        <v/>
      </c>
      <c r="N806" s="136">
        <f>IF($F806="","",IFERROR(INDEX(사건마스터!$AK$5:$AK$64,MATCH($F806,사건마스터!$A$5:$A$64,0)),""))</f>
        <v/>
      </c>
      <c r="O806" s="136">
        <f>IF($F806="","",IFERROR(INDEX(사건마스터!$AL$5:$AL$64,MATCH($F806,사건마스터!$A$5:$A$64,0)),""))</f>
        <v/>
      </c>
      <c r="P806" s="136">
        <f>IF($F806="","",IFERROR(INDEX(사건마스터!$AM$5:$AM$64,MATCH($F806,사건마스터!$A$5:$A$64,0)),""))</f>
        <v/>
      </c>
      <c r="Q806" s="136">
        <f>IF($F806="","",IFERROR(INDEX(사건마스터!$AN$5:$AN$64,MATCH($F806,사건마스터!$A$5:$A$64,0)),""))</f>
        <v/>
      </c>
      <c r="R806" s="136">
        <f>IF($F806="","",IFERROR(INDEX(사건마스터!$AO$5:$AO$64,MATCH($F806,사건마스터!$A$5:$A$64,0)),""))</f>
        <v/>
      </c>
      <c r="S806" s="136">
        <f>IF($F806="","",IFERROR(INDEX(사건마스터!$AP$5:$AP$64,MATCH($F806,사건마스터!$A$5:$A$64,0)),""))</f>
        <v/>
      </c>
      <c r="T806" s="136">
        <f>IF($F806="","",IFERROR(INDEX(사건마스터!$AQ$5:$AQ$64,MATCH($F806,사건마스터!$A$5:$A$64,0)),""))</f>
        <v/>
      </c>
      <c r="U806" s="136">
        <f>IF($F806="","",IFERROR(INDEX(사건마스터!$AR$5:$AR$64,MATCH($F806,사건마스터!$A$5:$A$64,0)),""))</f>
        <v/>
      </c>
      <c r="V806" s="136">
        <f>IF($F806="","",IFERROR(INDEX(사건마스터!$AS$5:$AS$64,MATCH($F806,사건마스터!$A$5:$A$64,0)),""))</f>
        <v/>
      </c>
      <c r="W806" s="136">
        <f>IF($F806="","",IFERROR(INDEX(사건마스터!$AT$5:$AT$64,MATCH($F806,사건마스터!$A$5:$A$64,0)),""))</f>
        <v/>
      </c>
      <c r="X806" s="136">
        <f>IF($F806="","",IFERROR(INDEX(사건마스터!$AU$5:$AU$64,MATCH($F806,사건마스터!$A$5:$A$64,0)),""))</f>
        <v/>
      </c>
      <c r="Y806" s="136">
        <f>IF($F806="","",IFERROR(INDEX(사건마스터!$AV$5:$AV$64,MATCH($F806,사건마스터!$A$5:$A$64,0)),""))</f>
        <v/>
      </c>
      <c r="Z806" s="118">
        <f>IF(COUNTBLANK($J806:$Y806)=16,"",16-COUNTBLANK($J806:$Y806))</f>
        <v/>
      </c>
      <c r="AA806" s="33">
        <f>IF($J806="",MID($AX806,3,255),$J806&amp;$AX806)</f>
        <v/>
      </c>
      <c r="AB806" s="130">
        <f>IF($J806="","",IFERROR(INDEX(코드설정!$D$5:$D$24,MATCH($J806,코드설정!$C$5:$C$24,0)),""))</f>
        <v/>
      </c>
      <c r="AC806" s="36" t="n"/>
      <c r="AD806" s="37" t="n"/>
      <c r="AE806" s="38" t="n"/>
      <c r="AF806" s="118">
        <f>IF(OR($B806="",$C806=""),"",$C806-$B806+1)</f>
        <v/>
      </c>
      <c r="AG806" s="74" t="n"/>
      <c r="AH806" s="36" t="n"/>
      <c r="AJ806">
        <f>IF($K806="","",", "&amp;$K806)</f>
        <v/>
      </c>
      <c r="AK806">
        <f>AJ806&amp;IF($L806="","",", "&amp;$L806)</f>
        <v/>
      </c>
      <c r="AL806">
        <f>AK806&amp;IF($M806="","",", "&amp;$M806)</f>
        <v/>
      </c>
      <c r="AM806">
        <f>AL806&amp;IF($N806="","",", "&amp;$N806)</f>
        <v/>
      </c>
      <c r="AN806">
        <f>AM806&amp;IF($O806="","",", "&amp;$O806)</f>
        <v/>
      </c>
      <c r="AO806">
        <f>AN806&amp;IF($P806="","",", "&amp;$P806)</f>
        <v/>
      </c>
      <c r="AP806">
        <f>AO806&amp;IF($Q806="","",", "&amp;$Q806)</f>
        <v/>
      </c>
      <c r="AQ806">
        <f>AP806&amp;IF($R806="","",", "&amp;$R806)</f>
        <v/>
      </c>
      <c r="AR806">
        <f>AQ806&amp;IF($S806="","",", "&amp;$S806)</f>
        <v/>
      </c>
      <c r="AS806">
        <f>AR806&amp;IF($T806="","",", "&amp;$T806)</f>
        <v/>
      </c>
      <c r="AT806">
        <f>AS806&amp;IF($U806="","",", "&amp;$U806)</f>
        <v/>
      </c>
      <c r="AU806">
        <f>AT806&amp;IF($V806="","",", "&amp;$V806)</f>
        <v/>
      </c>
      <c r="AV806">
        <f>AU806&amp;IF($W806="","",", "&amp;$W806)</f>
        <v/>
      </c>
      <c r="AW806">
        <f>AV806&amp;IF($X806="","",", "&amp;$X806)</f>
        <v/>
      </c>
      <c r="AX806">
        <f>AW806&amp;IF($Y806="","",", "&amp;$Y806)</f>
        <v/>
      </c>
    </row>
    <row r="807">
      <c r="A807" s="118">
        <f>IF($B807="","",COUNT($B$5:$B807))</f>
        <v/>
      </c>
      <c r="B807" s="80" t="n"/>
      <c r="C807" s="80" t="n"/>
      <c r="D807" s="74" t="n"/>
      <c r="E807" s="74" t="n"/>
      <c r="F807" s="74" t="n"/>
      <c r="G807" s="118">
        <f>IF($F807="","",COUNTIF($F$5:$F807,$F807))</f>
        <v/>
      </c>
      <c r="H807" s="33">
        <f>IF($F807="","",IFERROR(INDEX(사건마스터!$B$5:$B$64,MATCH($F807,사건마스터!$A$5:$A$64,0)),""))</f>
        <v/>
      </c>
      <c r="I807" s="130">
        <f>IF($F807="","",IFERROR(INDEX(사건마스터!$C$5:$C$64,MATCH($F807,사건마스터!$A$5:$A$64,0)),""))</f>
        <v/>
      </c>
      <c r="J807" s="136">
        <f>IF($F807="","",IFERROR(INDEX(사건마스터!$H$5:$H$64,MATCH($F807,사건마스터!$A$5:$A$64,0)),""))</f>
        <v/>
      </c>
      <c r="K807" s="136">
        <f>IF($F807="","",IFERROR(INDEX(사건마스터!$AH$5:$AH$64,MATCH($F807,사건마스터!$A$5:$A$64,0)),""))</f>
        <v/>
      </c>
      <c r="L807" s="136">
        <f>IF($F807="","",IFERROR(INDEX(사건마스터!$AI$5:$AI$64,MATCH($F807,사건마스터!$A$5:$A$64,0)),""))</f>
        <v/>
      </c>
      <c r="M807" s="136">
        <f>IF($F807="","",IFERROR(INDEX(사건마스터!$AJ$5:$AJ$64,MATCH($F807,사건마스터!$A$5:$A$64,0)),""))</f>
        <v/>
      </c>
      <c r="N807" s="136">
        <f>IF($F807="","",IFERROR(INDEX(사건마스터!$AK$5:$AK$64,MATCH($F807,사건마스터!$A$5:$A$64,0)),""))</f>
        <v/>
      </c>
      <c r="O807" s="136">
        <f>IF($F807="","",IFERROR(INDEX(사건마스터!$AL$5:$AL$64,MATCH($F807,사건마스터!$A$5:$A$64,0)),""))</f>
        <v/>
      </c>
      <c r="P807" s="136">
        <f>IF($F807="","",IFERROR(INDEX(사건마스터!$AM$5:$AM$64,MATCH($F807,사건마스터!$A$5:$A$64,0)),""))</f>
        <v/>
      </c>
      <c r="Q807" s="136">
        <f>IF($F807="","",IFERROR(INDEX(사건마스터!$AN$5:$AN$64,MATCH($F807,사건마스터!$A$5:$A$64,0)),""))</f>
        <v/>
      </c>
      <c r="R807" s="136">
        <f>IF($F807="","",IFERROR(INDEX(사건마스터!$AO$5:$AO$64,MATCH($F807,사건마스터!$A$5:$A$64,0)),""))</f>
        <v/>
      </c>
      <c r="S807" s="136">
        <f>IF($F807="","",IFERROR(INDEX(사건마스터!$AP$5:$AP$64,MATCH($F807,사건마스터!$A$5:$A$64,0)),""))</f>
        <v/>
      </c>
      <c r="T807" s="136">
        <f>IF($F807="","",IFERROR(INDEX(사건마스터!$AQ$5:$AQ$64,MATCH($F807,사건마스터!$A$5:$A$64,0)),""))</f>
        <v/>
      </c>
      <c r="U807" s="136">
        <f>IF($F807="","",IFERROR(INDEX(사건마스터!$AR$5:$AR$64,MATCH($F807,사건마스터!$A$5:$A$64,0)),""))</f>
        <v/>
      </c>
      <c r="V807" s="136">
        <f>IF($F807="","",IFERROR(INDEX(사건마스터!$AS$5:$AS$64,MATCH($F807,사건마스터!$A$5:$A$64,0)),""))</f>
        <v/>
      </c>
      <c r="W807" s="136">
        <f>IF($F807="","",IFERROR(INDEX(사건마스터!$AT$5:$AT$64,MATCH($F807,사건마스터!$A$5:$A$64,0)),""))</f>
        <v/>
      </c>
      <c r="X807" s="136">
        <f>IF($F807="","",IFERROR(INDEX(사건마스터!$AU$5:$AU$64,MATCH($F807,사건마스터!$A$5:$A$64,0)),""))</f>
        <v/>
      </c>
      <c r="Y807" s="136">
        <f>IF($F807="","",IFERROR(INDEX(사건마스터!$AV$5:$AV$64,MATCH($F807,사건마스터!$A$5:$A$64,0)),""))</f>
        <v/>
      </c>
      <c r="Z807" s="118">
        <f>IF(COUNTBLANK($J807:$Y807)=16,"",16-COUNTBLANK($J807:$Y807))</f>
        <v/>
      </c>
      <c r="AA807" s="33">
        <f>IF($J807="",MID($AX807,3,255),$J807&amp;$AX807)</f>
        <v/>
      </c>
      <c r="AB807" s="130">
        <f>IF($J807="","",IFERROR(INDEX(코드설정!$D$5:$D$24,MATCH($J807,코드설정!$C$5:$C$24,0)),""))</f>
        <v/>
      </c>
      <c r="AC807" s="36" t="n"/>
      <c r="AD807" s="37" t="n"/>
      <c r="AE807" s="38" t="n"/>
      <c r="AF807" s="118">
        <f>IF(OR($B807="",$C807=""),"",$C807-$B807+1)</f>
        <v/>
      </c>
      <c r="AG807" s="74" t="n"/>
      <c r="AH807" s="36" t="n"/>
      <c r="AJ807">
        <f>IF($K807="","",", "&amp;$K807)</f>
        <v/>
      </c>
      <c r="AK807">
        <f>AJ807&amp;IF($L807="","",", "&amp;$L807)</f>
        <v/>
      </c>
      <c r="AL807">
        <f>AK807&amp;IF($M807="","",", "&amp;$M807)</f>
        <v/>
      </c>
      <c r="AM807">
        <f>AL807&amp;IF($N807="","",", "&amp;$N807)</f>
        <v/>
      </c>
      <c r="AN807">
        <f>AM807&amp;IF($O807="","",", "&amp;$O807)</f>
        <v/>
      </c>
      <c r="AO807">
        <f>AN807&amp;IF($P807="","",", "&amp;$P807)</f>
        <v/>
      </c>
      <c r="AP807">
        <f>AO807&amp;IF($Q807="","",", "&amp;$Q807)</f>
        <v/>
      </c>
      <c r="AQ807">
        <f>AP807&amp;IF($R807="","",", "&amp;$R807)</f>
        <v/>
      </c>
      <c r="AR807">
        <f>AQ807&amp;IF($S807="","",", "&amp;$S807)</f>
        <v/>
      </c>
      <c r="AS807">
        <f>AR807&amp;IF($T807="","",", "&amp;$T807)</f>
        <v/>
      </c>
      <c r="AT807">
        <f>AS807&amp;IF($U807="","",", "&amp;$U807)</f>
        <v/>
      </c>
      <c r="AU807">
        <f>AT807&amp;IF($V807="","",", "&amp;$V807)</f>
        <v/>
      </c>
      <c r="AV807">
        <f>AU807&amp;IF($W807="","",", "&amp;$W807)</f>
        <v/>
      </c>
      <c r="AW807">
        <f>AV807&amp;IF($X807="","",", "&amp;$X807)</f>
        <v/>
      </c>
      <c r="AX807">
        <f>AW807&amp;IF($Y807="","",", "&amp;$Y807)</f>
        <v/>
      </c>
    </row>
    <row r="808">
      <c r="A808" s="118">
        <f>IF($B808="","",COUNT($B$5:$B808))</f>
        <v/>
      </c>
      <c r="B808" s="80" t="n"/>
      <c r="C808" s="80" t="n"/>
      <c r="D808" s="74" t="n"/>
      <c r="E808" s="74" t="n"/>
      <c r="F808" s="74" t="n"/>
      <c r="G808" s="118">
        <f>IF($F808="","",COUNTIF($F$5:$F808,$F808))</f>
        <v/>
      </c>
      <c r="H808" s="33">
        <f>IF($F808="","",IFERROR(INDEX(사건마스터!$B$5:$B$64,MATCH($F808,사건마스터!$A$5:$A$64,0)),""))</f>
        <v/>
      </c>
      <c r="I808" s="130">
        <f>IF($F808="","",IFERROR(INDEX(사건마스터!$C$5:$C$64,MATCH($F808,사건마스터!$A$5:$A$64,0)),""))</f>
        <v/>
      </c>
      <c r="J808" s="136">
        <f>IF($F808="","",IFERROR(INDEX(사건마스터!$H$5:$H$64,MATCH($F808,사건마스터!$A$5:$A$64,0)),""))</f>
        <v/>
      </c>
      <c r="K808" s="136">
        <f>IF($F808="","",IFERROR(INDEX(사건마스터!$AH$5:$AH$64,MATCH($F808,사건마스터!$A$5:$A$64,0)),""))</f>
        <v/>
      </c>
      <c r="L808" s="136">
        <f>IF($F808="","",IFERROR(INDEX(사건마스터!$AI$5:$AI$64,MATCH($F808,사건마스터!$A$5:$A$64,0)),""))</f>
        <v/>
      </c>
      <c r="M808" s="136">
        <f>IF($F808="","",IFERROR(INDEX(사건마스터!$AJ$5:$AJ$64,MATCH($F808,사건마스터!$A$5:$A$64,0)),""))</f>
        <v/>
      </c>
      <c r="N808" s="136">
        <f>IF($F808="","",IFERROR(INDEX(사건마스터!$AK$5:$AK$64,MATCH($F808,사건마스터!$A$5:$A$64,0)),""))</f>
        <v/>
      </c>
      <c r="O808" s="136">
        <f>IF($F808="","",IFERROR(INDEX(사건마스터!$AL$5:$AL$64,MATCH($F808,사건마스터!$A$5:$A$64,0)),""))</f>
        <v/>
      </c>
      <c r="P808" s="136">
        <f>IF($F808="","",IFERROR(INDEX(사건마스터!$AM$5:$AM$64,MATCH($F808,사건마스터!$A$5:$A$64,0)),""))</f>
        <v/>
      </c>
      <c r="Q808" s="136">
        <f>IF($F808="","",IFERROR(INDEX(사건마스터!$AN$5:$AN$64,MATCH($F808,사건마스터!$A$5:$A$64,0)),""))</f>
        <v/>
      </c>
      <c r="R808" s="136">
        <f>IF($F808="","",IFERROR(INDEX(사건마스터!$AO$5:$AO$64,MATCH($F808,사건마스터!$A$5:$A$64,0)),""))</f>
        <v/>
      </c>
      <c r="S808" s="136">
        <f>IF($F808="","",IFERROR(INDEX(사건마스터!$AP$5:$AP$64,MATCH($F808,사건마스터!$A$5:$A$64,0)),""))</f>
        <v/>
      </c>
      <c r="T808" s="136">
        <f>IF($F808="","",IFERROR(INDEX(사건마스터!$AQ$5:$AQ$64,MATCH($F808,사건마스터!$A$5:$A$64,0)),""))</f>
        <v/>
      </c>
      <c r="U808" s="136">
        <f>IF($F808="","",IFERROR(INDEX(사건마스터!$AR$5:$AR$64,MATCH($F808,사건마스터!$A$5:$A$64,0)),""))</f>
        <v/>
      </c>
      <c r="V808" s="136">
        <f>IF($F808="","",IFERROR(INDEX(사건마스터!$AS$5:$AS$64,MATCH($F808,사건마스터!$A$5:$A$64,0)),""))</f>
        <v/>
      </c>
      <c r="W808" s="136">
        <f>IF($F808="","",IFERROR(INDEX(사건마스터!$AT$5:$AT$64,MATCH($F808,사건마스터!$A$5:$A$64,0)),""))</f>
        <v/>
      </c>
      <c r="X808" s="136">
        <f>IF($F808="","",IFERROR(INDEX(사건마스터!$AU$5:$AU$64,MATCH($F808,사건마스터!$A$5:$A$64,0)),""))</f>
        <v/>
      </c>
      <c r="Y808" s="136">
        <f>IF($F808="","",IFERROR(INDEX(사건마스터!$AV$5:$AV$64,MATCH($F808,사건마스터!$A$5:$A$64,0)),""))</f>
        <v/>
      </c>
      <c r="Z808" s="118">
        <f>IF(COUNTBLANK($J808:$Y808)=16,"",16-COUNTBLANK($J808:$Y808))</f>
        <v/>
      </c>
      <c r="AA808" s="33">
        <f>IF($J808="",MID($AX808,3,255),$J808&amp;$AX808)</f>
        <v/>
      </c>
      <c r="AB808" s="130">
        <f>IF($J808="","",IFERROR(INDEX(코드설정!$D$5:$D$24,MATCH($J808,코드설정!$C$5:$C$24,0)),""))</f>
        <v/>
      </c>
      <c r="AC808" s="36" t="n"/>
      <c r="AD808" s="37" t="n"/>
      <c r="AE808" s="38" t="n"/>
      <c r="AF808" s="118">
        <f>IF(OR($B808="",$C808=""),"",$C808-$B808+1)</f>
        <v/>
      </c>
      <c r="AG808" s="74" t="n"/>
      <c r="AH808" s="36" t="n"/>
      <c r="AJ808">
        <f>IF($K808="","",", "&amp;$K808)</f>
        <v/>
      </c>
      <c r="AK808">
        <f>AJ808&amp;IF($L808="","",", "&amp;$L808)</f>
        <v/>
      </c>
      <c r="AL808">
        <f>AK808&amp;IF($M808="","",", "&amp;$M808)</f>
        <v/>
      </c>
      <c r="AM808">
        <f>AL808&amp;IF($N808="","",", "&amp;$N808)</f>
        <v/>
      </c>
      <c r="AN808">
        <f>AM808&amp;IF($O808="","",", "&amp;$O808)</f>
        <v/>
      </c>
      <c r="AO808">
        <f>AN808&amp;IF($P808="","",", "&amp;$P808)</f>
        <v/>
      </c>
      <c r="AP808">
        <f>AO808&amp;IF($Q808="","",", "&amp;$Q808)</f>
        <v/>
      </c>
      <c r="AQ808">
        <f>AP808&amp;IF($R808="","",", "&amp;$R808)</f>
        <v/>
      </c>
      <c r="AR808">
        <f>AQ808&amp;IF($S808="","",", "&amp;$S808)</f>
        <v/>
      </c>
      <c r="AS808">
        <f>AR808&amp;IF($T808="","",", "&amp;$T808)</f>
        <v/>
      </c>
      <c r="AT808">
        <f>AS808&amp;IF($U808="","",", "&amp;$U808)</f>
        <v/>
      </c>
      <c r="AU808">
        <f>AT808&amp;IF($V808="","",", "&amp;$V808)</f>
        <v/>
      </c>
      <c r="AV808">
        <f>AU808&amp;IF($W808="","",", "&amp;$W808)</f>
        <v/>
      </c>
      <c r="AW808">
        <f>AV808&amp;IF($X808="","",", "&amp;$X808)</f>
        <v/>
      </c>
      <c r="AX808">
        <f>AW808&amp;IF($Y808="","",", "&amp;$Y808)</f>
        <v/>
      </c>
    </row>
    <row r="809">
      <c r="A809" s="118">
        <f>IF($B809="","",COUNT($B$5:$B809))</f>
        <v/>
      </c>
      <c r="B809" s="80" t="n"/>
      <c r="C809" s="80" t="n"/>
      <c r="D809" s="74" t="n"/>
      <c r="E809" s="74" t="n"/>
      <c r="F809" s="74" t="n"/>
      <c r="G809" s="118">
        <f>IF($F809="","",COUNTIF($F$5:$F809,$F809))</f>
        <v/>
      </c>
      <c r="H809" s="33">
        <f>IF($F809="","",IFERROR(INDEX(사건마스터!$B$5:$B$64,MATCH($F809,사건마스터!$A$5:$A$64,0)),""))</f>
        <v/>
      </c>
      <c r="I809" s="130">
        <f>IF($F809="","",IFERROR(INDEX(사건마스터!$C$5:$C$64,MATCH($F809,사건마스터!$A$5:$A$64,0)),""))</f>
        <v/>
      </c>
      <c r="J809" s="136">
        <f>IF($F809="","",IFERROR(INDEX(사건마스터!$H$5:$H$64,MATCH($F809,사건마스터!$A$5:$A$64,0)),""))</f>
        <v/>
      </c>
      <c r="K809" s="136">
        <f>IF($F809="","",IFERROR(INDEX(사건마스터!$AH$5:$AH$64,MATCH($F809,사건마스터!$A$5:$A$64,0)),""))</f>
        <v/>
      </c>
      <c r="L809" s="136">
        <f>IF($F809="","",IFERROR(INDEX(사건마스터!$AI$5:$AI$64,MATCH($F809,사건마스터!$A$5:$A$64,0)),""))</f>
        <v/>
      </c>
      <c r="M809" s="136">
        <f>IF($F809="","",IFERROR(INDEX(사건마스터!$AJ$5:$AJ$64,MATCH($F809,사건마스터!$A$5:$A$64,0)),""))</f>
        <v/>
      </c>
      <c r="N809" s="136">
        <f>IF($F809="","",IFERROR(INDEX(사건마스터!$AK$5:$AK$64,MATCH($F809,사건마스터!$A$5:$A$64,0)),""))</f>
        <v/>
      </c>
      <c r="O809" s="136">
        <f>IF($F809="","",IFERROR(INDEX(사건마스터!$AL$5:$AL$64,MATCH($F809,사건마스터!$A$5:$A$64,0)),""))</f>
        <v/>
      </c>
      <c r="P809" s="136">
        <f>IF($F809="","",IFERROR(INDEX(사건마스터!$AM$5:$AM$64,MATCH($F809,사건마스터!$A$5:$A$64,0)),""))</f>
        <v/>
      </c>
      <c r="Q809" s="136">
        <f>IF($F809="","",IFERROR(INDEX(사건마스터!$AN$5:$AN$64,MATCH($F809,사건마스터!$A$5:$A$64,0)),""))</f>
        <v/>
      </c>
      <c r="R809" s="136">
        <f>IF($F809="","",IFERROR(INDEX(사건마스터!$AO$5:$AO$64,MATCH($F809,사건마스터!$A$5:$A$64,0)),""))</f>
        <v/>
      </c>
      <c r="S809" s="136">
        <f>IF($F809="","",IFERROR(INDEX(사건마스터!$AP$5:$AP$64,MATCH($F809,사건마스터!$A$5:$A$64,0)),""))</f>
        <v/>
      </c>
      <c r="T809" s="136">
        <f>IF($F809="","",IFERROR(INDEX(사건마스터!$AQ$5:$AQ$64,MATCH($F809,사건마스터!$A$5:$A$64,0)),""))</f>
        <v/>
      </c>
      <c r="U809" s="136">
        <f>IF($F809="","",IFERROR(INDEX(사건마스터!$AR$5:$AR$64,MATCH($F809,사건마스터!$A$5:$A$64,0)),""))</f>
        <v/>
      </c>
      <c r="V809" s="136">
        <f>IF($F809="","",IFERROR(INDEX(사건마스터!$AS$5:$AS$64,MATCH($F809,사건마스터!$A$5:$A$64,0)),""))</f>
        <v/>
      </c>
      <c r="W809" s="136">
        <f>IF($F809="","",IFERROR(INDEX(사건마스터!$AT$5:$AT$64,MATCH($F809,사건마스터!$A$5:$A$64,0)),""))</f>
        <v/>
      </c>
      <c r="X809" s="136">
        <f>IF($F809="","",IFERROR(INDEX(사건마스터!$AU$5:$AU$64,MATCH($F809,사건마스터!$A$5:$A$64,0)),""))</f>
        <v/>
      </c>
      <c r="Y809" s="136">
        <f>IF($F809="","",IFERROR(INDEX(사건마스터!$AV$5:$AV$64,MATCH($F809,사건마스터!$A$5:$A$64,0)),""))</f>
        <v/>
      </c>
      <c r="Z809" s="118">
        <f>IF(COUNTBLANK($J809:$Y809)=16,"",16-COUNTBLANK($J809:$Y809))</f>
        <v/>
      </c>
      <c r="AA809" s="33">
        <f>IF($J809="",MID($AX809,3,255),$J809&amp;$AX809)</f>
        <v/>
      </c>
      <c r="AB809" s="130">
        <f>IF($J809="","",IFERROR(INDEX(코드설정!$D$5:$D$24,MATCH($J809,코드설정!$C$5:$C$24,0)),""))</f>
        <v/>
      </c>
      <c r="AC809" s="36" t="n"/>
      <c r="AD809" s="37" t="n"/>
      <c r="AE809" s="38" t="n"/>
      <c r="AF809" s="118">
        <f>IF(OR($B809="",$C809=""),"",$C809-$B809+1)</f>
        <v/>
      </c>
      <c r="AG809" s="74" t="n"/>
      <c r="AH809" s="36" t="n"/>
      <c r="AJ809">
        <f>IF($K809="","",", "&amp;$K809)</f>
        <v/>
      </c>
      <c r="AK809">
        <f>AJ809&amp;IF($L809="","",", "&amp;$L809)</f>
        <v/>
      </c>
      <c r="AL809">
        <f>AK809&amp;IF($M809="","",", "&amp;$M809)</f>
        <v/>
      </c>
      <c r="AM809">
        <f>AL809&amp;IF($N809="","",", "&amp;$N809)</f>
        <v/>
      </c>
      <c r="AN809">
        <f>AM809&amp;IF($O809="","",", "&amp;$O809)</f>
        <v/>
      </c>
      <c r="AO809">
        <f>AN809&amp;IF($P809="","",", "&amp;$P809)</f>
        <v/>
      </c>
      <c r="AP809">
        <f>AO809&amp;IF($Q809="","",", "&amp;$Q809)</f>
        <v/>
      </c>
      <c r="AQ809">
        <f>AP809&amp;IF($R809="","",", "&amp;$R809)</f>
        <v/>
      </c>
      <c r="AR809">
        <f>AQ809&amp;IF($S809="","",", "&amp;$S809)</f>
        <v/>
      </c>
      <c r="AS809">
        <f>AR809&amp;IF($T809="","",", "&amp;$T809)</f>
        <v/>
      </c>
      <c r="AT809">
        <f>AS809&amp;IF($U809="","",", "&amp;$U809)</f>
        <v/>
      </c>
      <c r="AU809">
        <f>AT809&amp;IF($V809="","",", "&amp;$V809)</f>
        <v/>
      </c>
      <c r="AV809">
        <f>AU809&amp;IF($W809="","",", "&amp;$W809)</f>
        <v/>
      </c>
      <c r="AW809">
        <f>AV809&amp;IF($X809="","",", "&amp;$X809)</f>
        <v/>
      </c>
      <c r="AX809">
        <f>AW809&amp;IF($Y809="","",", "&amp;$Y809)</f>
        <v/>
      </c>
    </row>
    <row r="810">
      <c r="A810" s="118">
        <f>IF($B810="","",COUNT($B$5:$B810))</f>
        <v/>
      </c>
      <c r="B810" s="80" t="n"/>
      <c r="C810" s="80" t="n"/>
      <c r="D810" s="74" t="n"/>
      <c r="E810" s="74" t="n"/>
      <c r="F810" s="74" t="n"/>
      <c r="G810" s="118">
        <f>IF($F810="","",COUNTIF($F$5:$F810,$F810))</f>
        <v/>
      </c>
      <c r="H810" s="33">
        <f>IF($F810="","",IFERROR(INDEX(사건마스터!$B$5:$B$64,MATCH($F810,사건마스터!$A$5:$A$64,0)),""))</f>
        <v/>
      </c>
      <c r="I810" s="130">
        <f>IF($F810="","",IFERROR(INDEX(사건마스터!$C$5:$C$64,MATCH($F810,사건마스터!$A$5:$A$64,0)),""))</f>
        <v/>
      </c>
      <c r="J810" s="136">
        <f>IF($F810="","",IFERROR(INDEX(사건마스터!$H$5:$H$64,MATCH($F810,사건마스터!$A$5:$A$64,0)),""))</f>
        <v/>
      </c>
      <c r="K810" s="136">
        <f>IF($F810="","",IFERROR(INDEX(사건마스터!$AH$5:$AH$64,MATCH($F810,사건마스터!$A$5:$A$64,0)),""))</f>
        <v/>
      </c>
      <c r="L810" s="136">
        <f>IF($F810="","",IFERROR(INDEX(사건마스터!$AI$5:$AI$64,MATCH($F810,사건마스터!$A$5:$A$64,0)),""))</f>
        <v/>
      </c>
      <c r="M810" s="136">
        <f>IF($F810="","",IFERROR(INDEX(사건마스터!$AJ$5:$AJ$64,MATCH($F810,사건마스터!$A$5:$A$64,0)),""))</f>
        <v/>
      </c>
      <c r="N810" s="136">
        <f>IF($F810="","",IFERROR(INDEX(사건마스터!$AK$5:$AK$64,MATCH($F810,사건마스터!$A$5:$A$64,0)),""))</f>
        <v/>
      </c>
      <c r="O810" s="136">
        <f>IF($F810="","",IFERROR(INDEX(사건마스터!$AL$5:$AL$64,MATCH($F810,사건마스터!$A$5:$A$64,0)),""))</f>
        <v/>
      </c>
      <c r="P810" s="136">
        <f>IF($F810="","",IFERROR(INDEX(사건마스터!$AM$5:$AM$64,MATCH($F810,사건마스터!$A$5:$A$64,0)),""))</f>
        <v/>
      </c>
      <c r="Q810" s="136">
        <f>IF($F810="","",IFERROR(INDEX(사건마스터!$AN$5:$AN$64,MATCH($F810,사건마스터!$A$5:$A$64,0)),""))</f>
        <v/>
      </c>
      <c r="R810" s="136">
        <f>IF($F810="","",IFERROR(INDEX(사건마스터!$AO$5:$AO$64,MATCH($F810,사건마스터!$A$5:$A$64,0)),""))</f>
        <v/>
      </c>
      <c r="S810" s="136">
        <f>IF($F810="","",IFERROR(INDEX(사건마스터!$AP$5:$AP$64,MATCH($F810,사건마스터!$A$5:$A$64,0)),""))</f>
        <v/>
      </c>
      <c r="T810" s="136">
        <f>IF($F810="","",IFERROR(INDEX(사건마스터!$AQ$5:$AQ$64,MATCH($F810,사건마스터!$A$5:$A$64,0)),""))</f>
        <v/>
      </c>
      <c r="U810" s="136">
        <f>IF($F810="","",IFERROR(INDEX(사건마스터!$AR$5:$AR$64,MATCH($F810,사건마스터!$A$5:$A$64,0)),""))</f>
        <v/>
      </c>
      <c r="V810" s="136">
        <f>IF($F810="","",IFERROR(INDEX(사건마스터!$AS$5:$AS$64,MATCH($F810,사건마스터!$A$5:$A$64,0)),""))</f>
        <v/>
      </c>
      <c r="W810" s="136">
        <f>IF($F810="","",IFERROR(INDEX(사건마스터!$AT$5:$AT$64,MATCH($F810,사건마스터!$A$5:$A$64,0)),""))</f>
        <v/>
      </c>
      <c r="X810" s="136">
        <f>IF($F810="","",IFERROR(INDEX(사건마스터!$AU$5:$AU$64,MATCH($F810,사건마스터!$A$5:$A$64,0)),""))</f>
        <v/>
      </c>
      <c r="Y810" s="136">
        <f>IF($F810="","",IFERROR(INDEX(사건마스터!$AV$5:$AV$64,MATCH($F810,사건마스터!$A$5:$A$64,0)),""))</f>
        <v/>
      </c>
      <c r="Z810" s="118">
        <f>IF(COUNTBLANK($J810:$Y810)=16,"",16-COUNTBLANK($J810:$Y810))</f>
        <v/>
      </c>
      <c r="AA810" s="33">
        <f>IF($J810="",MID($AX810,3,255),$J810&amp;$AX810)</f>
        <v/>
      </c>
      <c r="AB810" s="130">
        <f>IF($J810="","",IFERROR(INDEX(코드설정!$D$5:$D$24,MATCH($J810,코드설정!$C$5:$C$24,0)),""))</f>
        <v/>
      </c>
      <c r="AC810" s="36" t="n"/>
      <c r="AD810" s="37" t="n"/>
      <c r="AE810" s="38" t="n"/>
      <c r="AF810" s="118">
        <f>IF(OR($B810="",$C810=""),"",$C810-$B810+1)</f>
        <v/>
      </c>
      <c r="AG810" s="74" t="n"/>
      <c r="AH810" s="36" t="n"/>
      <c r="AJ810">
        <f>IF($K810="","",", "&amp;$K810)</f>
        <v/>
      </c>
      <c r="AK810">
        <f>AJ810&amp;IF($L810="","",", "&amp;$L810)</f>
        <v/>
      </c>
      <c r="AL810">
        <f>AK810&amp;IF($M810="","",", "&amp;$M810)</f>
        <v/>
      </c>
      <c r="AM810">
        <f>AL810&amp;IF($N810="","",", "&amp;$N810)</f>
        <v/>
      </c>
      <c r="AN810">
        <f>AM810&amp;IF($O810="","",", "&amp;$O810)</f>
        <v/>
      </c>
      <c r="AO810">
        <f>AN810&amp;IF($P810="","",", "&amp;$P810)</f>
        <v/>
      </c>
      <c r="AP810">
        <f>AO810&amp;IF($Q810="","",", "&amp;$Q810)</f>
        <v/>
      </c>
      <c r="AQ810">
        <f>AP810&amp;IF($R810="","",", "&amp;$R810)</f>
        <v/>
      </c>
      <c r="AR810">
        <f>AQ810&amp;IF($S810="","",", "&amp;$S810)</f>
        <v/>
      </c>
      <c r="AS810">
        <f>AR810&amp;IF($T810="","",", "&amp;$T810)</f>
        <v/>
      </c>
      <c r="AT810">
        <f>AS810&amp;IF($U810="","",", "&amp;$U810)</f>
        <v/>
      </c>
      <c r="AU810">
        <f>AT810&amp;IF($V810="","",", "&amp;$V810)</f>
        <v/>
      </c>
      <c r="AV810">
        <f>AU810&amp;IF($W810="","",", "&amp;$W810)</f>
        <v/>
      </c>
      <c r="AW810">
        <f>AV810&amp;IF($X810="","",", "&amp;$X810)</f>
        <v/>
      </c>
      <c r="AX810">
        <f>AW810&amp;IF($Y810="","",", "&amp;$Y810)</f>
        <v/>
      </c>
    </row>
    <row r="811">
      <c r="A811" s="118">
        <f>IF($B811="","",COUNT($B$5:$B811))</f>
        <v/>
      </c>
      <c r="B811" s="80" t="n"/>
      <c r="C811" s="80" t="n"/>
      <c r="D811" s="74" t="n"/>
      <c r="E811" s="74" t="n"/>
      <c r="F811" s="74" t="n"/>
      <c r="G811" s="118">
        <f>IF($F811="","",COUNTIF($F$5:$F811,$F811))</f>
        <v/>
      </c>
      <c r="H811" s="33">
        <f>IF($F811="","",IFERROR(INDEX(사건마스터!$B$5:$B$64,MATCH($F811,사건마스터!$A$5:$A$64,0)),""))</f>
        <v/>
      </c>
      <c r="I811" s="130">
        <f>IF($F811="","",IFERROR(INDEX(사건마스터!$C$5:$C$64,MATCH($F811,사건마스터!$A$5:$A$64,0)),""))</f>
        <v/>
      </c>
      <c r="J811" s="136">
        <f>IF($F811="","",IFERROR(INDEX(사건마스터!$H$5:$H$64,MATCH($F811,사건마스터!$A$5:$A$64,0)),""))</f>
        <v/>
      </c>
      <c r="K811" s="136">
        <f>IF($F811="","",IFERROR(INDEX(사건마스터!$AH$5:$AH$64,MATCH($F811,사건마스터!$A$5:$A$64,0)),""))</f>
        <v/>
      </c>
      <c r="L811" s="136">
        <f>IF($F811="","",IFERROR(INDEX(사건마스터!$AI$5:$AI$64,MATCH($F811,사건마스터!$A$5:$A$64,0)),""))</f>
        <v/>
      </c>
      <c r="M811" s="136">
        <f>IF($F811="","",IFERROR(INDEX(사건마스터!$AJ$5:$AJ$64,MATCH($F811,사건마스터!$A$5:$A$64,0)),""))</f>
        <v/>
      </c>
      <c r="N811" s="136">
        <f>IF($F811="","",IFERROR(INDEX(사건마스터!$AK$5:$AK$64,MATCH($F811,사건마스터!$A$5:$A$64,0)),""))</f>
        <v/>
      </c>
      <c r="O811" s="136">
        <f>IF($F811="","",IFERROR(INDEX(사건마스터!$AL$5:$AL$64,MATCH($F811,사건마스터!$A$5:$A$64,0)),""))</f>
        <v/>
      </c>
      <c r="P811" s="136">
        <f>IF($F811="","",IFERROR(INDEX(사건마스터!$AM$5:$AM$64,MATCH($F811,사건마스터!$A$5:$A$64,0)),""))</f>
        <v/>
      </c>
      <c r="Q811" s="136">
        <f>IF($F811="","",IFERROR(INDEX(사건마스터!$AN$5:$AN$64,MATCH($F811,사건마스터!$A$5:$A$64,0)),""))</f>
        <v/>
      </c>
      <c r="R811" s="136">
        <f>IF($F811="","",IFERROR(INDEX(사건마스터!$AO$5:$AO$64,MATCH($F811,사건마스터!$A$5:$A$64,0)),""))</f>
        <v/>
      </c>
      <c r="S811" s="136">
        <f>IF($F811="","",IFERROR(INDEX(사건마스터!$AP$5:$AP$64,MATCH($F811,사건마스터!$A$5:$A$64,0)),""))</f>
        <v/>
      </c>
      <c r="T811" s="136">
        <f>IF($F811="","",IFERROR(INDEX(사건마스터!$AQ$5:$AQ$64,MATCH($F811,사건마스터!$A$5:$A$64,0)),""))</f>
        <v/>
      </c>
      <c r="U811" s="136">
        <f>IF($F811="","",IFERROR(INDEX(사건마스터!$AR$5:$AR$64,MATCH($F811,사건마스터!$A$5:$A$64,0)),""))</f>
        <v/>
      </c>
      <c r="V811" s="136">
        <f>IF($F811="","",IFERROR(INDEX(사건마스터!$AS$5:$AS$64,MATCH($F811,사건마스터!$A$5:$A$64,0)),""))</f>
        <v/>
      </c>
      <c r="W811" s="136">
        <f>IF($F811="","",IFERROR(INDEX(사건마스터!$AT$5:$AT$64,MATCH($F811,사건마스터!$A$5:$A$64,0)),""))</f>
        <v/>
      </c>
      <c r="X811" s="136">
        <f>IF($F811="","",IFERROR(INDEX(사건마스터!$AU$5:$AU$64,MATCH($F811,사건마스터!$A$5:$A$64,0)),""))</f>
        <v/>
      </c>
      <c r="Y811" s="136">
        <f>IF($F811="","",IFERROR(INDEX(사건마스터!$AV$5:$AV$64,MATCH($F811,사건마스터!$A$5:$A$64,0)),""))</f>
        <v/>
      </c>
      <c r="Z811" s="118">
        <f>IF(COUNTBLANK($J811:$Y811)=16,"",16-COUNTBLANK($J811:$Y811))</f>
        <v/>
      </c>
      <c r="AA811" s="33">
        <f>IF($J811="",MID($AX811,3,255),$J811&amp;$AX811)</f>
        <v/>
      </c>
      <c r="AB811" s="130">
        <f>IF($J811="","",IFERROR(INDEX(코드설정!$D$5:$D$24,MATCH($J811,코드설정!$C$5:$C$24,0)),""))</f>
        <v/>
      </c>
      <c r="AC811" s="36" t="n"/>
      <c r="AD811" s="37" t="n"/>
      <c r="AE811" s="38" t="n"/>
      <c r="AF811" s="118">
        <f>IF(OR($B811="",$C811=""),"",$C811-$B811+1)</f>
        <v/>
      </c>
      <c r="AG811" s="74" t="n"/>
      <c r="AH811" s="36" t="n"/>
      <c r="AJ811">
        <f>IF($K811="","",", "&amp;$K811)</f>
        <v/>
      </c>
      <c r="AK811">
        <f>AJ811&amp;IF($L811="","",", "&amp;$L811)</f>
        <v/>
      </c>
      <c r="AL811">
        <f>AK811&amp;IF($M811="","",", "&amp;$M811)</f>
        <v/>
      </c>
      <c r="AM811">
        <f>AL811&amp;IF($N811="","",", "&amp;$N811)</f>
        <v/>
      </c>
      <c r="AN811">
        <f>AM811&amp;IF($O811="","",", "&amp;$O811)</f>
        <v/>
      </c>
      <c r="AO811">
        <f>AN811&amp;IF($P811="","",", "&amp;$P811)</f>
        <v/>
      </c>
      <c r="AP811">
        <f>AO811&amp;IF($Q811="","",", "&amp;$Q811)</f>
        <v/>
      </c>
      <c r="AQ811">
        <f>AP811&amp;IF($R811="","",", "&amp;$R811)</f>
        <v/>
      </c>
      <c r="AR811">
        <f>AQ811&amp;IF($S811="","",", "&amp;$S811)</f>
        <v/>
      </c>
      <c r="AS811">
        <f>AR811&amp;IF($T811="","",", "&amp;$T811)</f>
        <v/>
      </c>
      <c r="AT811">
        <f>AS811&amp;IF($U811="","",", "&amp;$U811)</f>
        <v/>
      </c>
      <c r="AU811">
        <f>AT811&amp;IF($V811="","",", "&amp;$V811)</f>
        <v/>
      </c>
      <c r="AV811">
        <f>AU811&amp;IF($W811="","",", "&amp;$W811)</f>
        <v/>
      </c>
      <c r="AW811">
        <f>AV811&amp;IF($X811="","",", "&amp;$X811)</f>
        <v/>
      </c>
      <c r="AX811">
        <f>AW811&amp;IF($Y811="","",", "&amp;$Y811)</f>
        <v/>
      </c>
    </row>
    <row r="812">
      <c r="A812" s="118">
        <f>IF($B812="","",COUNT($B$5:$B812))</f>
        <v/>
      </c>
      <c r="B812" s="80" t="n"/>
      <c r="C812" s="80" t="n"/>
      <c r="D812" s="74" t="n"/>
      <c r="E812" s="74" t="n"/>
      <c r="F812" s="74" t="n"/>
      <c r="G812" s="118">
        <f>IF($F812="","",COUNTIF($F$5:$F812,$F812))</f>
        <v/>
      </c>
      <c r="H812" s="33">
        <f>IF($F812="","",IFERROR(INDEX(사건마스터!$B$5:$B$64,MATCH($F812,사건마스터!$A$5:$A$64,0)),""))</f>
        <v/>
      </c>
      <c r="I812" s="130">
        <f>IF($F812="","",IFERROR(INDEX(사건마스터!$C$5:$C$64,MATCH($F812,사건마스터!$A$5:$A$64,0)),""))</f>
        <v/>
      </c>
      <c r="J812" s="136">
        <f>IF($F812="","",IFERROR(INDEX(사건마스터!$H$5:$H$64,MATCH($F812,사건마스터!$A$5:$A$64,0)),""))</f>
        <v/>
      </c>
      <c r="K812" s="136">
        <f>IF($F812="","",IFERROR(INDEX(사건마스터!$AH$5:$AH$64,MATCH($F812,사건마스터!$A$5:$A$64,0)),""))</f>
        <v/>
      </c>
      <c r="L812" s="136">
        <f>IF($F812="","",IFERROR(INDEX(사건마스터!$AI$5:$AI$64,MATCH($F812,사건마스터!$A$5:$A$64,0)),""))</f>
        <v/>
      </c>
      <c r="M812" s="136">
        <f>IF($F812="","",IFERROR(INDEX(사건마스터!$AJ$5:$AJ$64,MATCH($F812,사건마스터!$A$5:$A$64,0)),""))</f>
        <v/>
      </c>
      <c r="N812" s="136">
        <f>IF($F812="","",IFERROR(INDEX(사건마스터!$AK$5:$AK$64,MATCH($F812,사건마스터!$A$5:$A$64,0)),""))</f>
        <v/>
      </c>
      <c r="O812" s="136">
        <f>IF($F812="","",IFERROR(INDEX(사건마스터!$AL$5:$AL$64,MATCH($F812,사건마스터!$A$5:$A$64,0)),""))</f>
        <v/>
      </c>
      <c r="P812" s="136">
        <f>IF($F812="","",IFERROR(INDEX(사건마스터!$AM$5:$AM$64,MATCH($F812,사건마스터!$A$5:$A$64,0)),""))</f>
        <v/>
      </c>
      <c r="Q812" s="136">
        <f>IF($F812="","",IFERROR(INDEX(사건마스터!$AN$5:$AN$64,MATCH($F812,사건마스터!$A$5:$A$64,0)),""))</f>
        <v/>
      </c>
      <c r="R812" s="136">
        <f>IF($F812="","",IFERROR(INDEX(사건마스터!$AO$5:$AO$64,MATCH($F812,사건마스터!$A$5:$A$64,0)),""))</f>
        <v/>
      </c>
      <c r="S812" s="136">
        <f>IF($F812="","",IFERROR(INDEX(사건마스터!$AP$5:$AP$64,MATCH($F812,사건마스터!$A$5:$A$64,0)),""))</f>
        <v/>
      </c>
      <c r="T812" s="136">
        <f>IF($F812="","",IFERROR(INDEX(사건마스터!$AQ$5:$AQ$64,MATCH($F812,사건마스터!$A$5:$A$64,0)),""))</f>
        <v/>
      </c>
      <c r="U812" s="136">
        <f>IF($F812="","",IFERROR(INDEX(사건마스터!$AR$5:$AR$64,MATCH($F812,사건마스터!$A$5:$A$64,0)),""))</f>
        <v/>
      </c>
      <c r="V812" s="136">
        <f>IF($F812="","",IFERROR(INDEX(사건마스터!$AS$5:$AS$64,MATCH($F812,사건마스터!$A$5:$A$64,0)),""))</f>
        <v/>
      </c>
      <c r="W812" s="136">
        <f>IF($F812="","",IFERROR(INDEX(사건마스터!$AT$5:$AT$64,MATCH($F812,사건마스터!$A$5:$A$64,0)),""))</f>
        <v/>
      </c>
      <c r="X812" s="136">
        <f>IF($F812="","",IFERROR(INDEX(사건마스터!$AU$5:$AU$64,MATCH($F812,사건마스터!$A$5:$A$64,0)),""))</f>
        <v/>
      </c>
      <c r="Y812" s="136">
        <f>IF($F812="","",IFERROR(INDEX(사건마스터!$AV$5:$AV$64,MATCH($F812,사건마스터!$A$5:$A$64,0)),""))</f>
        <v/>
      </c>
      <c r="Z812" s="118">
        <f>IF(COUNTBLANK($J812:$Y812)=16,"",16-COUNTBLANK($J812:$Y812))</f>
        <v/>
      </c>
      <c r="AA812" s="33">
        <f>IF($J812="",MID($AX812,3,255),$J812&amp;$AX812)</f>
        <v/>
      </c>
      <c r="AB812" s="130">
        <f>IF($J812="","",IFERROR(INDEX(코드설정!$D$5:$D$24,MATCH($J812,코드설정!$C$5:$C$24,0)),""))</f>
        <v/>
      </c>
      <c r="AC812" s="36" t="n"/>
      <c r="AD812" s="37" t="n"/>
      <c r="AE812" s="38" t="n"/>
      <c r="AF812" s="118">
        <f>IF(OR($B812="",$C812=""),"",$C812-$B812+1)</f>
        <v/>
      </c>
      <c r="AG812" s="74" t="n"/>
      <c r="AH812" s="36" t="n"/>
      <c r="AJ812">
        <f>IF($K812="","",", "&amp;$K812)</f>
        <v/>
      </c>
      <c r="AK812">
        <f>AJ812&amp;IF($L812="","",", "&amp;$L812)</f>
        <v/>
      </c>
      <c r="AL812">
        <f>AK812&amp;IF($M812="","",", "&amp;$M812)</f>
        <v/>
      </c>
      <c r="AM812">
        <f>AL812&amp;IF($N812="","",", "&amp;$N812)</f>
        <v/>
      </c>
      <c r="AN812">
        <f>AM812&amp;IF($O812="","",", "&amp;$O812)</f>
        <v/>
      </c>
      <c r="AO812">
        <f>AN812&amp;IF($P812="","",", "&amp;$P812)</f>
        <v/>
      </c>
      <c r="AP812">
        <f>AO812&amp;IF($Q812="","",", "&amp;$Q812)</f>
        <v/>
      </c>
      <c r="AQ812">
        <f>AP812&amp;IF($R812="","",", "&amp;$R812)</f>
        <v/>
      </c>
      <c r="AR812">
        <f>AQ812&amp;IF($S812="","",", "&amp;$S812)</f>
        <v/>
      </c>
      <c r="AS812">
        <f>AR812&amp;IF($T812="","",", "&amp;$T812)</f>
        <v/>
      </c>
      <c r="AT812">
        <f>AS812&amp;IF($U812="","",", "&amp;$U812)</f>
        <v/>
      </c>
      <c r="AU812">
        <f>AT812&amp;IF($V812="","",", "&amp;$V812)</f>
        <v/>
      </c>
      <c r="AV812">
        <f>AU812&amp;IF($W812="","",", "&amp;$W812)</f>
        <v/>
      </c>
      <c r="AW812">
        <f>AV812&amp;IF($X812="","",", "&amp;$X812)</f>
        <v/>
      </c>
      <c r="AX812">
        <f>AW812&amp;IF($Y812="","",", "&amp;$Y812)</f>
        <v/>
      </c>
    </row>
    <row r="813">
      <c r="A813" s="118">
        <f>IF($B813="","",COUNT($B$5:$B813))</f>
        <v/>
      </c>
      <c r="B813" s="80" t="n"/>
      <c r="C813" s="80" t="n"/>
      <c r="D813" s="74" t="n"/>
      <c r="E813" s="74" t="n"/>
      <c r="F813" s="74" t="n"/>
      <c r="G813" s="118">
        <f>IF($F813="","",COUNTIF($F$5:$F813,$F813))</f>
        <v/>
      </c>
      <c r="H813" s="33">
        <f>IF($F813="","",IFERROR(INDEX(사건마스터!$B$5:$B$64,MATCH($F813,사건마스터!$A$5:$A$64,0)),""))</f>
        <v/>
      </c>
      <c r="I813" s="130">
        <f>IF($F813="","",IFERROR(INDEX(사건마스터!$C$5:$C$64,MATCH($F813,사건마스터!$A$5:$A$64,0)),""))</f>
        <v/>
      </c>
      <c r="J813" s="136">
        <f>IF($F813="","",IFERROR(INDEX(사건마스터!$H$5:$H$64,MATCH($F813,사건마스터!$A$5:$A$64,0)),""))</f>
        <v/>
      </c>
      <c r="K813" s="136">
        <f>IF($F813="","",IFERROR(INDEX(사건마스터!$AH$5:$AH$64,MATCH($F813,사건마스터!$A$5:$A$64,0)),""))</f>
        <v/>
      </c>
      <c r="L813" s="136">
        <f>IF($F813="","",IFERROR(INDEX(사건마스터!$AI$5:$AI$64,MATCH($F813,사건마스터!$A$5:$A$64,0)),""))</f>
        <v/>
      </c>
      <c r="M813" s="136">
        <f>IF($F813="","",IFERROR(INDEX(사건마스터!$AJ$5:$AJ$64,MATCH($F813,사건마스터!$A$5:$A$64,0)),""))</f>
        <v/>
      </c>
      <c r="N813" s="136">
        <f>IF($F813="","",IFERROR(INDEX(사건마스터!$AK$5:$AK$64,MATCH($F813,사건마스터!$A$5:$A$64,0)),""))</f>
        <v/>
      </c>
      <c r="O813" s="136">
        <f>IF($F813="","",IFERROR(INDEX(사건마스터!$AL$5:$AL$64,MATCH($F813,사건마스터!$A$5:$A$64,0)),""))</f>
        <v/>
      </c>
      <c r="P813" s="136">
        <f>IF($F813="","",IFERROR(INDEX(사건마스터!$AM$5:$AM$64,MATCH($F813,사건마스터!$A$5:$A$64,0)),""))</f>
        <v/>
      </c>
      <c r="Q813" s="136">
        <f>IF($F813="","",IFERROR(INDEX(사건마스터!$AN$5:$AN$64,MATCH($F813,사건마스터!$A$5:$A$64,0)),""))</f>
        <v/>
      </c>
      <c r="R813" s="136">
        <f>IF($F813="","",IFERROR(INDEX(사건마스터!$AO$5:$AO$64,MATCH($F813,사건마스터!$A$5:$A$64,0)),""))</f>
        <v/>
      </c>
      <c r="S813" s="136">
        <f>IF($F813="","",IFERROR(INDEX(사건마스터!$AP$5:$AP$64,MATCH($F813,사건마스터!$A$5:$A$64,0)),""))</f>
        <v/>
      </c>
      <c r="T813" s="136">
        <f>IF($F813="","",IFERROR(INDEX(사건마스터!$AQ$5:$AQ$64,MATCH($F813,사건마스터!$A$5:$A$64,0)),""))</f>
        <v/>
      </c>
      <c r="U813" s="136">
        <f>IF($F813="","",IFERROR(INDEX(사건마스터!$AR$5:$AR$64,MATCH($F813,사건마스터!$A$5:$A$64,0)),""))</f>
        <v/>
      </c>
      <c r="V813" s="136">
        <f>IF($F813="","",IFERROR(INDEX(사건마스터!$AS$5:$AS$64,MATCH($F813,사건마스터!$A$5:$A$64,0)),""))</f>
        <v/>
      </c>
      <c r="W813" s="136">
        <f>IF($F813="","",IFERROR(INDEX(사건마스터!$AT$5:$AT$64,MATCH($F813,사건마스터!$A$5:$A$64,0)),""))</f>
        <v/>
      </c>
      <c r="X813" s="136">
        <f>IF($F813="","",IFERROR(INDEX(사건마스터!$AU$5:$AU$64,MATCH($F813,사건마스터!$A$5:$A$64,0)),""))</f>
        <v/>
      </c>
      <c r="Y813" s="136">
        <f>IF($F813="","",IFERROR(INDEX(사건마스터!$AV$5:$AV$64,MATCH($F813,사건마스터!$A$5:$A$64,0)),""))</f>
        <v/>
      </c>
      <c r="Z813" s="118">
        <f>IF(COUNTBLANK($J813:$Y813)=16,"",16-COUNTBLANK($J813:$Y813))</f>
        <v/>
      </c>
      <c r="AA813" s="33">
        <f>IF($J813="",MID($AX813,3,255),$J813&amp;$AX813)</f>
        <v/>
      </c>
      <c r="AB813" s="130">
        <f>IF($J813="","",IFERROR(INDEX(코드설정!$D$5:$D$24,MATCH($J813,코드설정!$C$5:$C$24,0)),""))</f>
        <v/>
      </c>
      <c r="AC813" s="36" t="n"/>
      <c r="AD813" s="37" t="n"/>
      <c r="AE813" s="38" t="n"/>
      <c r="AF813" s="118">
        <f>IF(OR($B813="",$C813=""),"",$C813-$B813+1)</f>
        <v/>
      </c>
      <c r="AG813" s="74" t="n"/>
      <c r="AH813" s="36" t="n"/>
      <c r="AJ813">
        <f>IF($K813="","",", "&amp;$K813)</f>
        <v/>
      </c>
      <c r="AK813">
        <f>AJ813&amp;IF($L813="","",", "&amp;$L813)</f>
        <v/>
      </c>
      <c r="AL813">
        <f>AK813&amp;IF($M813="","",", "&amp;$M813)</f>
        <v/>
      </c>
      <c r="AM813">
        <f>AL813&amp;IF($N813="","",", "&amp;$N813)</f>
        <v/>
      </c>
      <c r="AN813">
        <f>AM813&amp;IF($O813="","",", "&amp;$O813)</f>
        <v/>
      </c>
      <c r="AO813">
        <f>AN813&amp;IF($P813="","",", "&amp;$P813)</f>
        <v/>
      </c>
      <c r="AP813">
        <f>AO813&amp;IF($Q813="","",", "&amp;$Q813)</f>
        <v/>
      </c>
      <c r="AQ813">
        <f>AP813&amp;IF($R813="","",", "&amp;$R813)</f>
        <v/>
      </c>
      <c r="AR813">
        <f>AQ813&amp;IF($S813="","",", "&amp;$S813)</f>
        <v/>
      </c>
      <c r="AS813">
        <f>AR813&amp;IF($T813="","",", "&amp;$T813)</f>
        <v/>
      </c>
      <c r="AT813">
        <f>AS813&amp;IF($U813="","",", "&amp;$U813)</f>
        <v/>
      </c>
      <c r="AU813">
        <f>AT813&amp;IF($V813="","",", "&amp;$V813)</f>
        <v/>
      </c>
      <c r="AV813">
        <f>AU813&amp;IF($W813="","",", "&amp;$W813)</f>
        <v/>
      </c>
      <c r="AW813">
        <f>AV813&amp;IF($X813="","",", "&amp;$X813)</f>
        <v/>
      </c>
      <c r="AX813">
        <f>AW813&amp;IF($Y813="","",", "&amp;$Y813)</f>
        <v/>
      </c>
    </row>
    <row r="814">
      <c r="A814" s="118">
        <f>IF($B814="","",COUNT($B$5:$B814))</f>
        <v/>
      </c>
      <c r="B814" s="80" t="n"/>
      <c r="C814" s="80" t="n"/>
      <c r="D814" s="74" t="n"/>
      <c r="E814" s="74" t="n"/>
      <c r="F814" s="74" t="n"/>
      <c r="G814" s="118">
        <f>IF($F814="","",COUNTIF($F$5:$F814,$F814))</f>
        <v/>
      </c>
      <c r="H814" s="33">
        <f>IF($F814="","",IFERROR(INDEX(사건마스터!$B$5:$B$64,MATCH($F814,사건마스터!$A$5:$A$64,0)),""))</f>
        <v/>
      </c>
      <c r="I814" s="130">
        <f>IF($F814="","",IFERROR(INDEX(사건마스터!$C$5:$C$64,MATCH($F814,사건마스터!$A$5:$A$64,0)),""))</f>
        <v/>
      </c>
      <c r="J814" s="136">
        <f>IF($F814="","",IFERROR(INDEX(사건마스터!$H$5:$H$64,MATCH($F814,사건마스터!$A$5:$A$64,0)),""))</f>
        <v/>
      </c>
      <c r="K814" s="136">
        <f>IF($F814="","",IFERROR(INDEX(사건마스터!$AH$5:$AH$64,MATCH($F814,사건마스터!$A$5:$A$64,0)),""))</f>
        <v/>
      </c>
      <c r="L814" s="136">
        <f>IF($F814="","",IFERROR(INDEX(사건마스터!$AI$5:$AI$64,MATCH($F814,사건마스터!$A$5:$A$64,0)),""))</f>
        <v/>
      </c>
      <c r="M814" s="136">
        <f>IF($F814="","",IFERROR(INDEX(사건마스터!$AJ$5:$AJ$64,MATCH($F814,사건마스터!$A$5:$A$64,0)),""))</f>
        <v/>
      </c>
      <c r="N814" s="136">
        <f>IF($F814="","",IFERROR(INDEX(사건마스터!$AK$5:$AK$64,MATCH($F814,사건마스터!$A$5:$A$64,0)),""))</f>
        <v/>
      </c>
      <c r="O814" s="136">
        <f>IF($F814="","",IFERROR(INDEX(사건마스터!$AL$5:$AL$64,MATCH($F814,사건마스터!$A$5:$A$64,0)),""))</f>
        <v/>
      </c>
      <c r="P814" s="136">
        <f>IF($F814="","",IFERROR(INDEX(사건마스터!$AM$5:$AM$64,MATCH($F814,사건마스터!$A$5:$A$64,0)),""))</f>
        <v/>
      </c>
      <c r="Q814" s="136">
        <f>IF($F814="","",IFERROR(INDEX(사건마스터!$AN$5:$AN$64,MATCH($F814,사건마스터!$A$5:$A$64,0)),""))</f>
        <v/>
      </c>
      <c r="R814" s="136">
        <f>IF($F814="","",IFERROR(INDEX(사건마스터!$AO$5:$AO$64,MATCH($F814,사건마스터!$A$5:$A$64,0)),""))</f>
        <v/>
      </c>
      <c r="S814" s="136">
        <f>IF($F814="","",IFERROR(INDEX(사건마스터!$AP$5:$AP$64,MATCH($F814,사건마스터!$A$5:$A$64,0)),""))</f>
        <v/>
      </c>
      <c r="T814" s="136">
        <f>IF($F814="","",IFERROR(INDEX(사건마스터!$AQ$5:$AQ$64,MATCH($F814,사건마스터!$A$5:$A$64,0)),""))</f>
        <v/>
      </c>
      <c r="U814" s="136">
        <f>IF($F814="","",IFERROR(INDEX(사건마스터!$AR$5:$AR$64,MATCH($F814,사건마스터!$A$5:$A$64,0)),""))</f>
        <v/>
      </c>
      <c r="V814" s="136">
        <f>IF($F814="","",IFERROR(INDEX(사건마스터!$AS$5:$AS$64,MATCH($F814,사건마스터!$A$5:$A$64,0)),""))</f>
        <v/>
      </c>
      <c r="W814" s="136">
        <f>IF($F814="","",IFERROR(INDEX(사건마스터!$AT$5:$AT$64,MATCH($F814,사건마스터!$A$5:$A$64,0)),""))</f>
        <v/>
      </c>
      <c r="X814" s="136">
        <f>IF($F814="","",IFERROR(INDEX(사건마스터!$AU$5:$AU$64,MATCH($F814,사건마스터!$A$5:$A$64,0)),""))</f>
        <v/>
      </c>
      <c r="Y814" s="136">
        <f>IF($F814="","",IFERROR(INDEX(사건마스터!$AV$5:$AV$64,MATCH($F814,사건마스터!$A$5:$A$64,0)),""))</f>
        <v/>
      </c>
      <c r="Z814" s="118">
        <f>IF(COUNTBLANK($J814:$Y814)=16,"",16-COUNTBLANK($J814:$Y814))</f>
        <v/>
      </c>
      <c r="AA814" s="33">
        <f>IF($J814="",MID($AX814,3,255),$J814&amp;$AX814)</f>
        <v/>
      </c>
      <c r="AB814" s="130">
        <f>IF($J814="","",IFERROR(INDEX(코드설정!$D$5:$D$24,MATCH($J814,코드설정!$C$5:$C$24,0)),""))</f>
        <v/>
      </c>
      <c r="AC814" s="36" t="n"/>
      <c r="AD814" s="37" t="n"/>
      <c r="AE814" s="38" t="n"/>
      <c r="AF814" s="118">
        <f>IF(OR($B814="",$C814=""),"",$C814-$B814+1)</f>
        <v/>
      </c>
      <c r="AG814" s="74" t="n"/>
      <c r="AH814" s="36" t="n"/>
      <c r="AJ814">
        <f>IF($K814="","",", "&amp;$K814)</f>
        <v/>
      </c>
      <c r="AK814">
        <f>AJ814&amp;IF($L814="","",", "&amp;$L814)</f>
        <v/>
      </c>
      <c r="AL814">
        <f>AK814&amp;IF($M814="","",", "&amp;$M814)</f>
        <v/>
      </c>
      <c r="AM814">
        <f>AL814&amp;IF($N814="","",", "&amp;$N814)</f>
        <v/>
      </c>
      <c r="AN814">
        <f>AM814&amp;IF($O814="","",", "&amp;$O814)</f>
        <v/>
      </c>
      <c r="AO814">
        <f>AN814&amp;IF($P814="","",", "&amp;$P814)</f>
        <v/>
      </c>
      <c r="AP814">
        <f>AO814&amp;IF($Q814="","",", "&amp;$Q814)</f>
        <v/>
      </c>
      <c r="AQ814">
        <f>AP814&amp;IF($R814="","",", "&amp;$R814)</f>
        <v/>
      </c>
      <c r="AR814">
        <f>AQ814&amp;IF($S814="","",", "&amp;$S814)</f>
        <v/>
      </c>
      <c r="AS814">
        <f>AR814&amp;IF($T814="","",", "&amp;$T814)</f>
        <v/>
      </c>
      <c r="AT814">
        <f>AS814&amp;IF($U814="","",", "&amp;$U814)</f>
        <v/>
      </c>
      <c r="AU814">
        <f>AT814&amp;IF($V814="","",", "&amp;$V814)</f>
        <v/>
      </c>
      <c r="AV814">
        <f>AU814&amp;IF($W814="","",", "&amp;$W814)</f>
        <v/>
      </c>
      <c r="AW814">
        <f>AV814&amp;IF($X814="","",", "&amp;$X814)</f>
        <v/>
      </c>
      <c r="AX814">
        <f>AW814&amp;IF($Y814="","",", "&amp;$Y814)</f>
        <v/>
      </c>
    </row>
    <row r="815">
      <c r="A815" s="118">
        <f>IF($B815="","",COUNT($B$5:$B815))</f>
        <v/>
      </c>
      <c r="B815" s="80" t="n"/>
      <c r="C815" s="80" t="n"/>
      <c r="D815" s="74" t="n"/>
      <c r="E815" s="74" t="n"/>
      <c r="F815" s="74" t="n"/>
      <c r="G815" s="118">
        <f>IF($F815="","",COUNTIF($F$5:$F815,$F815))</f>
        <v/>
      </c>
      <c r="H815" s="33">
        <f>IF($F815="","",IFERROR(INDEX(사건마스터!$B$5:$B$64,MATCH($F815,사건마스터!$A$5:$A$64,0)),""))</f>
        <v/>
      </c>
      <c r="I815" s="130">
        <f>IF($F815="","",IFERROR(INDEX(사건마스터!$C$5:$C$64,MATCH($F815,사건마스터!$A$5:$A$64,0)),""))</f>
        <v/>
      </c>
      <c r="J815" s="136">
        <f>IF($F815="","",IFERROR(INDEX(사건마스터!$H$5:$H$64,MATCH($F815,사건마스터!$A$5:$A$64,0)),""))</f>
        <v/>
      </c>
      <c r="K815" s="136">
        <f>IF($F815="","",IFERROR(INDEX(사건마스터!$AH$5:$AH$64,MATCH($F815,사건마스터!$A$5:$A$64,0)),""))</f>
        <v/>
      </c>
      <c r="L815" s="136">
        <f>IF($F815="","",IFERROR(INDEX(사건마스터!$AI$5:$AI$64,MATCH($F815,사건마스터!$A$5:$A$64,0)),""))</f>
        <v/>
      </c>
      <c r="M815" s="136">
        <f>IF($F815="","",IFERROR(INDEX(사건마스터!$AJ$5:$AJ$64,MATCH($F815,사건마스터!$A$5:$A$64,0)),""))</f>
        <v/>
      </c>
      <c r="N815" s="136">
        <f>IF($F815="","",IFERROR(INDEX(사건마스터!$AK$5:$AK$64,MATCH($F815,사건마스터!$A$5:$A$64,0)),""))</f>
        <v/>
      </c>
      <c r="O815" s="136">
        <f>IF($F815="","",IFERROR(INDEX(사건마스터!$AL$5:$AL$64,MATCH($F815,사건마스터!$A$5:$A$64,0)),""))</f>
        <v/>
      </c>
      <c r="P815" s="136">
        <f>IF($F815="","",IFERROR(INDEX(사건마스터!$AM$5:$AM$64,MATCH($F815,사건마스터!$A$5:$A$64,0)),""))</f>
        <v/>
      </c>
      <c r="Q815" s="136">
        <f>IF($F815="","",IFERROR(INDEX(사건마스터!$AN$5:$AN$64,MATCH($F815,사건마스터!$A$5:$A$64,0)),""))</f>
        <v/>
      </c>
      <c r="R815" s="136">
        <f>IF($F815="","",IFERROR(INDEX(사건마스터!$AO$5:$AO$64,MATCH($F815,사건마스터!$A$5:$A$64,0)),""))</f>
        <v/>
      </c>
      <c r="S815" s="136">
        <f>IF($F815="","",IFERROR(INDEX(사건마스터!$AP$5:$AP$64,MATCH($F815,사건마스터!$A$5:$A$64,0)),""))</f>
        <v/>
      </c>
      <c r="T815" s="136">
        <f>IF($F815="","",IFERROR(INDEX(사건마스터!$AQ$5:$AQ$64,MATCH($F815,사건마스터!$A$5:$A$64,0)),""))</f>
        <v/>
      </c>
      <c r="U815" s="136">
        <f>IF($F815="","",IFERROR(INDEX(사건마스터!$AR$5:$AR$64,MATCH($F815,사건마스터!$A$5:$A$64,0)),""))</f>
        <v/>
      </c>
      <c r="V815" s="136">
        <f>IF($F815="","",IFERROR(INDEX(사건마스터!$AS$5:$AS$64,MATCH($F815,사건마스터!$A$5:$A$64,0)),""))</f>
        <v/>
      </c>
      <c r="W815" s="136">
        <f>IF($F815="","",IFERROR(INDEX(사건마스터!$AT$5:$AT$64,MATCH($F815,사건마스터!$A$5:$A$64,0)),""))</f>
        <v/>
      </c>
      <c r="X815" s="136">
        <f>IF($F815="","",IFERROR(INDEX(사건마스터!$AU$5:$AU$64,MATCH($F815,사건마스터!$A$5:$A$64,0)),""))</f>
        <v/>
      </c>
      <c r="Y815" s="136">
        <f>IF($F815="","",IFERROR(INDEX(사건마스터!$AV$5:$AV$64,MATCH($F815,사건마스터!$A$5:$A$64,0)),""))</f>
        <v/>
      </c>
      <c r="Z815" s="118">
        <f>IF(COUNTBLANK($J815:$Y815)=16,"",16-COUNTBLANK($J815:$Y815))</f>
        <v/>
      </c>
      <c r="AA815" s="33">
        <f>IF($J815="",MID($AX815,3,255),$J815&amp;$AX815)</f>
        <v/>
      </c>
      <c r="AB815" s="130">
        <f>IF($J815="","",IFERROR(INDEX(코드설정!$D$5:$D$24,MATCH($J815,코드설정!$C$5:$C$24,0)),""))</f>
        <v/>
      </c>
      <c r="AC815" s="36" t="n"/>
      <c r="AD815" s="37" t="n"/>
      <c r="AE815" s="38" t="n"/>
      <c r="AF815" s="118">
        <f>IF(OR($B815="",$C815=""),"",$C815-$B815+1)</f>
        <v/>
      </c>
      <c r="AG815" s="74" t="n"/>
      <c r="AH815" s="36" t="n"/>
      <c r="AJ815">
        <f>IF($K815="","",", "&amp;$K815)</f>
        <v/>
      </c>
      <c r="AK815">
        <f>AJ815&amp;IF($L815="","",", "&amp;$L815)</f>
        <v/>
      </c>
      <c r="AL815">
        <f>AK815&amp;IF($M815="","",", "&amp;$M815)</f>
        <v/>
      </c>
      <c r="AM815">
        <f>AL815&amp;IF($N815="","",", "&amp;$N815)</f>
        <v/>
      </c>
      <c r="AN815">
        <f>AM815&amp;IF($O815="","",", "&amp;$O815)</f>
        <v/>
      </c>
      <c r="AO815">
        <f>AN815&amp;IF($P815="","",", "&amp;$P815)</f>
        <v/>
      </c>
      <c r="AP815">
        <f>AO815&amp;IF($Q815="","",", "&amp;$Q815)</f>
        <v/>
      </c>
      <c r="AQ815">
        <f>AP815&amp;IF($R815="","",", "&amp;$R815)</f>
        <v/>
      </c>
      <c r="AR815">
        <f>AQ815&amp;IF($S815="","",", "&amp;$S815)</f>
        <v/>
      </c>
      <c r="AS815">
        <f>AR815&amp;IF($T815="","",", "&amp;$T815)</f>
        <v/>
      </c>
      <c r="AT815">
        <f>AS815&amp;IF($U815="","",", "&amp;$U815)</f>
        <v/>
      </c>
      <c r="AU815">
        <f>AT815&amp;IF($V815="","",", "&amp;$V815)</f>
        <v/>
      </c>
      <c r="AV815">
        <f>AU815&amp;IF($W815="","",", "&amp;$W815)</f>
        <v/>
      </c>
      <c r="AW815">
        <f>AV815&amp;IF($X815="","",", "&amp;$X815)</f>
        <v/>
      </c>
      <c r="AX815">
        <f>AW815&amp;IF($Y815="","",", "&amp;$Y815)</f>
        <v/>
      </c>
    </row>
    <row r="816">
      <c r="A816" s="118">
        <f>IF($B816="","",COUNT($B$5:$B816))</f>
        <v/>
      </c>
      <c r="B816" s="80" t="n"/>
      <c r="C816" s="80" t="n"/>
      <c r="D816" s="74" t="n"/>
      <c r="E816" s="74" t="n"/>
      <c r="F816" s="74" t="n"/>
      <c r="G816" s="118">
        <f>IF($F816="","",COUNTIF($F$5:$F816,$F816))</f>
        <v/>
      </c>
      <c r="H816" s="33">
        <f>IF($F816="","",IFERROR(INDEX(사건마스터!$B$5:$B$64,MATCH($F816,사건마스터!$A$5:$A$64,0)),""))</f>
        <v/>
      </c>
      <c r="I816" s="130">
        <f>IF($F816="","",IFERROR(INDEX(사건마스터!$C$5:$C$64,MATCH($F816,사건마스터!$A$5:$A$64,0)),""))</f>
        <v/>
      </c>
      <c r="J816" s="136">
        <f>IF($F816="","",IFERROR(INDEX(사건마스터!$H$5:$H$64,MATCH($F816,사건마스터!$A$5:$A$64,0)),""))</f>
        <v/>
      </c>
      <c r="K816" s="136">
        <f>IF($F816="","",IFERROR(INDEX(사건마스터!$AH$5:$AH$64,MATCH($F816,사건마스터!$A$5:$A$64,0)),""))</f>
        <v/>
      </c>
      <c r="L816" s="136">
        <f>IF($F816="","",IFERROR(INDEX(사건마스터!$AI$5:$AI$64,MATCH($F816,사건마스터!$A$5:$A$64,0)),""))</f>
        <v/>
      </c>
      <c r="M816" s="136">
        <f>IF($F816="","",IFERROR(INDEX(사건마스터!$AJ$5:$AJ$64,MATCH($F816,사건마스터!$A$5:$A$64,0)),""))</f>
        <v/>
      </c>
      <c r="N816" s="136">
        <f>IF($F816="","",IFERROR(INDEX(사건마스터!$AK$5:$AK$64,MATCH($F816,사건마스터!$A$5:$A$64,0)),""))</f>
        <v/>
      </c>
      <c r="O816" s="136">
        <f>IF($F816="","",IFERROR(INDEX(사건마스터!$AL$5:$AL$64,MATCH($F816,사건마스터!$A$5:$A$64,0)),""))</f>
        <v/>
      </c>
      <c r="P816" s="136">
        <f>IF($F816="","",IFERROR(INDEX(사건마스터!$AM$5:$AM$64,MATCH($F816,사건마스터!$A$5:$A$64,0)),""))</f>
        <v/>
      </c>
      <c r="Q816" s="136">
        <f>IF($F816="","",IFERROR(INDEX(사건마스터!$AN$5:$AN$64,MATCH($F816,사건마스터!$A$5:$A$64,0)),""))</f>
        <v/>
      </c>
      <c r="R816" s="136">
        <f>IF($F816="","",IFERROR(INDEX(사건마스터!$AO$5:$AO$64,MATCH($F816,사건마스터!$A$5:$A$64,0)),""))</f>
        <v/>
      </c>
      <c r="S816" s="136">
        <f>IF($F816="","",IFERROR(INDEX(사건마스터!$AP$5:$AP$64,MATCH($F816,사건마스터!$A$5:$A$64,0)),""))</f>
        <v/>
      </c>
      <c r="T816" s="136">
        <f>IF($F816="","",IFERROR(INDEX(사건마스터!$AQ$5:$AQ$64,MATCH($F816,사건마스터!$A$5:$A$64,0)),""))</f>
        <v/>
      </c>
      <c r="U816" s="136">
        <f>IF($F816="","",IFERROR(INDEX(사건마스터!$AR$5:$AR$64,MATCH($F816,사건마스터!$A$5:$A$64,0)),""))</f>
        <v/>
      </c>
      <c r="V816" s="136">
        <f>IF($F816="","",IFERROR(INDEX(사건마스터!$AS$5:$AS$64,MATCH($F816,사건마스터!$A$5:$A$64,0)),""))</f>
        <v/>
      </c>
      <c r="W816" s="136">
        <f>IF($F816="","",IFERROR(INDEX(사건마스터!$AT$5:$AT$64,MATCH($F816,사건마스터!$A$5:$A$64,0)),""))</f>
        <v/>
      </c>
      <c r="X816" s="136">
        <f>IF($F816="","",IFERROR(INDEX(사건마스터!$AU$5:$AU$64,MATCH($F816,사건마스터!$A$5:$A$64,0)),""))</f>
        <v/>
      </c>
      <c r="Y816" s="136">
        <f>IF($F816="","",IFERROR(INDEX(사건마스터!$AV$5:$AV$64,MATCH($F816,사건마스터!$A$5:$A$64,0)),""))</f>
        <v/>
      </c>
      <c r="Z816" s="118">
        <f>IF(COUNTBLANK($J816:$Y816)=16,"",16-COUNTBLANK($J816:$Y816))</f>
        <v/>
      </c>
      <c r="AA816" s="33">
        <f>IF($J816="",MID($AX816,3,255),$J816&amp;$AX816)</f>
        <v/>
      </c>
      <c r="AB816" s="130">
        <f>IF($J816="","",IFERROR(INDEX(코드설정!$D$5:$D$24,MATCH($J816,코드설정!$C$5:$C$24,0)),""))</f>
        <v/>
      </c>
      <c r="AC816" s="36" t="n"/>
      <c r="AD816" s="37" t="n"/>
      <c r="AE816" s="38" t="n"/>
      <c r="AF816" s="118">
        <f>IF(OR($B816="",$C816=""),"",$C816-$B816+1)</f>
        <v/>
      </c>
      <c r="AG816" s="74" t="n"/>
      <c r="AH816" s="36" t="n"/>
      <c r="AJ816">
        <f>IF($K816="","",", "&amp;$K816)</f>
        <v/>
      </c>
      <c r="AK816">
        <f>AJ816&amp;IF($L816="","",", "&amp;$L816)</f>
        <v/>
      </c>
      <c r="AL816">
        <f>AK816&amp;IF($M816="","",", "&amp;$M816)</f>
        <v/>
      </c>
      <c r="AM816">
        <f>AL816&amp;IF($N816="","",", "&amp;$N816)</f>
        <v/>
      </c>
      <c r="AN816">
        <f>AM816&amp;IF($O816="","",", "&amp;$O816)</f>
        <v/>
      </c>
      <c r="AO816">
        <f>AN816&amp;IF($P816="","",", "&amp;$P816)</f>
        <v/>
      </c>
      <c r="AP816">
        <f>AO816&amp;IF($Q816="","",", "&amp;$Q816)</f>
        <v/>
      </c>
      <c r="AQ816">
        <f>AP816&amp;IF($R816="","",", "&amp;$R816)</f>
        <v/>
      </c>
      <c r="AR816">
        <f>AQ816&amp;IF($S816="","",", "&amp;$S816)</f>
        <v/>
      </c>
      <c r="AS816">
        <f>AR816&amp;IF($T816="","",", "&amp;$T816)</f>
        <v/>
      </c>
      <c r="AT816">
        <f>AS816&amp;IF($U816="","",", "&amp;$U816)</f>
        <v/>
      </c>
      <c r="AU816">
        <f>AT816&amp;IF($V816="","",", "&amp;$V816)</f>
        <v/>
      </c>
      <c r="AV816">
        <f>AU816&amp;IF($W816="","",", "&amp;$W816)</f>
        <v/>
      </c>
      <c r="AW816">
        <f>AV816&amp;IF($X816="","",", "&amp;$X816)</f>
        <v/>
      </c>
      <c r="AX816">
        <f>AW816&amp;IF($Y816="","",", "&amp;$Y816)</f>
        <v/>
      </c>
    </row>
    <row r="817">
      <c r="A817" s="118">
        <f>IF($B817="","",COUNT($B$5:$B817))</f>
        <v/>
      </c>
      <c r="B817" s="80" t="n"/>
      <c r="C817" s="80" t="n"/>
      <c r="D817" s="74" t="n"/>
      <c r="E817" s="74" t="n"/>
      <c r="F817" s="74" t="n"/>
      <c r="G817" s="118">
        <f>IF($F817="","",COUNTIF($F$5:$F817,$F817))</f>
        <v/>
      </c>
      <c r="H817" s="33">
        <f>IF($F817="","",IFERROR(INDEX(사건마스터!$B$5:$B$64,MATCH($F817,사건마스터!$A$5:$A$64,0)),""))</f>
        <v/>
      </c>
      <c r="I817" s="130">
        <f>IF($F817="","",IFERROR(INDEX(사건마스터!$C$5:$C$64,MATCH($F817,사건마스터!$A$5:$A$64,0)),""))</f>
        <v/>
      </c>
      <c r="J817" s="136">
        <f>IF($F817="","",IFERROR(INDEX(사건마스터!$H$5:$H$64,MATCH($F817,사건마스터!$A$5:$A$64,0)),""))</f>
        <v/>
      </c>
      <c r="K817" s="136">
        <f>IF($F817="","",IFERROR(INDEX(사건마스터!$AH$5:$AH$64,MATCH($F817,사건마스터!$A$5:$A$64,0)),""))</f>
        <v/>
      </c>
      <c r="L817" s="136">
        <f>IF($F817="","",IFERROR(INDEX(사건마스터!$AI$5:$AI$64,MATCH($F817,사건마스터!$A$5:$A$64,0)),""))</f>
        <v/>
      </c>
      <c r="M817" s="136">
        <f>IF($F817="","",IFERROR(INDEX(사건마스터!$AJ$5:$AJ$64,MATCH($F817,사건마스터!$A$5:$A$64,0)),""))</f>
        <v/>
      </c>
      <c r="N817" s="136">
        <f>IF($F817="","",IFERROR(INDEX(사건마스터!$AK$5:$AK$64,MATCH($F817,사건마스터!$A$5:$A$64,0)),""))</f>
        <v/>
      </c>
      <c r="O817" s="136">
        <f>IF($F817="","",IFERROR(INDEX(사건마스터!$AL$5:$AL$64,MATCH($F817,사건마스터!$A$5:$A$64,0)),""))</f>
        <v/>
      </c>
      <c r="P817" s="136">
        <f>IF($F817="","",IFERROR(INDEX(사건마스터!$AM$5:$AM$64,MATCH($F817,사건마스터!$A$5:$A$64,0)),""))</f>
        <v/>
      </c>
      <c r="Q817" s="136">
        <f>IF($F817="","",IFERROR(INDEX(사건마스터!$AN$5:$AN$64,MATCH($F817,사건마스터!$A$5:$A$64,0)),""))</f>
        <v/>
      </c>
      <c r="R817" s="136">
        <f>IF($F817="","",IFERROR(INDEX(사건마스터!$AO$5:$AO$64,MATCH($F817,사건마스터!$A$5:$A$64,0)),""))</f>
        <v/>
      </c>
      <c r="S817" s="136">
        <f>IF($F817="","",IFERROR(INDEX(사건마스터!$AP$5:$AP$64,MATCH($F817,사건마스터!$A$5:$A$64,0)),""))</f>
        <v/>
      </c>
      <c r="T817" s="136">
        <f>IF($F817="","",IFERROR(INDEX(사건마스터!$AQ$5:$AQ$64,MATCH($F817,사건마스터!$A$5:$A$64,0)),""))</f>
        <v/>
      </c>
      <c r="U817" s="136">
        <f>IF($F817="","",IFERROR(INDEX(사건마스터!$AR$5:$AR$64,MATCH($F817,사건마스터!$A$5:$A$64,0)),""))</f>
        <v/>
      </c>
      <c r="V817" s="136">
        <f>IF($F817="","",IFERROR(INDEX(사건마스터!$AS$5:$AS$64,MATCH($F817,사건마스터!$A$5:$A$64,0)),""))</f>
        <v/>
      </c>
      <c r="W817" s="136">
        <f>IF($F817="","",IFERROR(INDEX(사건마스터!$AT$5:$AT$64,MATCH($F817,사건마스터!$A$5:$A$64,0)),""))</f>
        <v/>
      </c>
      <c r="X817" s="136">
        <f>IF($F817="","",IFERROR(INDEX(사건마스터!$AU$5:$AU$64,MATCH($F817,사건마스터!$A$5:$A$64,0)),""))</f>
        <v/>
      </c>
      <c r="Y817" s="136">
        <f>IF($F817="","",IFERROR(INDEX(사건마스터!$AV$5:$AV$64,MATCH($F817,사건마스터!$A$5:$A$64,0)),""))</f>
        <v/>
      </c>
      <c r="Z817" s="118">
        <f>IF(COUNTBLANK($J817:$Y817)=16,"",16-COUNTBLANK($J817:$Y817))</f>
        <v/>
      </c>
      <c r="AA817" s="33">
        <f>IF($J817="",MID($AX817,3,255),$J817&amp;$AX817)</f>
        <v/>
      </c>
      <c r="AB817" s="130">
        <f>IF($J817="","",IFERROR(INDEX(코드설정!$D$5:$D$24,MATCH($J817,코드설정!$C$5:$C$24,0)),""))</f>
        <v/>
      </c>
      <c r="AC817" s="36" t="n"/>
      <c r="AD817" s="37" t="n"/>
      <c r="AE817" s="38" t="n"/>
      <c r="AF817" s="118">
        <f>IF(OR($B817="",$C817=""),"",$C817-$B817+1)</f>
        <v/>
      </c>
      <c r="AG817" s="74" t="n"/>
      <c r="AH817" s="36" t="n"/>
      <c r="AJ817">
        <f>IF($K817="","",", "&amp;$K817)</f>
        <v/>
      </c>
      <c r="AK817">
        <f>AJ817&amp;IF($L817="","",", "&amp;$L817)</f>
        <v/>
      </c>
      <c r="AL817">
        <f>AK817&amp;IF($M817="","",", "&amp;$M817)</f>
        <v/>
      </c>
      <c r="AM817">
        <f>AL817&amp;IF($N817="","",", "&amp;$N817)</f>
        <v/>
      </c>
      <c r="AN817">
        <f>AM817&amp;IF($O817="","",", "&amp;$O817)</f>
        <v/>
      </c>
      <c r="AO817">
        <f>AN817&amp;IF($P817="","",", "&amp;$P817)</f>
        <v/>
      </c>
      <c r="AP817">
        <f>AO817&amp;IF($Q817="","",", "&amp;$Q817)</f>
        <v/>
      </c>
      <c r="AQ817">
        <f>AP817&amp;IF($R817="","",", "&amp;$R817)</f>
        <v/>
      </c>
      <c r="AR817">
        <f>AQ817&amp;IF($S817="","",", "&amp;$S817)</f>
        <v/>
      </c>
      <c r="AS817">
        <f>AR817&amp;IF($T817="","",", "&amp;$T817)</f>
        <v/>
      </c>
      <c r="AT817">
        <f>AS817&amp;IF($U817="","",", "&amp;$U817)</f>
        <v/>
      </c>
      <c r="AU817">
        <f>AT817&amp;IF($V817="","",", "&amp;$V817)</f>
        <v/>
      </c>
      <c r="AV817">
        <f>AU817&amp;IF($W817="","",", "&amp;$W817)</f>
        <v/>
      </c>
      <c r="AW817">
        <f>AV817&amp;IF($X817="","",", "&amp;$X817)</f>
        <v/>
      </c>
      <c r="AX817">
        <f>AW817&amp;IF($Y817="","",", "&amp;$Y817)</f>
        <v/>
      </c>
    </row>
    <row r="818">
      <c r="A818" s="118">
        <f>IF($B818="","",COUNT($B$5:$B818))</f>
        <v/>
      </c>
      <c r="B818" s="80" t="n"/>
      <c r="C818" s="80" t="n"/>
      <c r="D818" s="74" t="n"/>
      <c r="E818" s="74" t="n"/>
      <c r="F818" s="74" t="n"/>
      <c r="G818" s="118">
        <f>IF($F818="","",COUNTIF($F$5:$F818,$F818))</f>
        <v/>
      </c>
      <c r="H818" s="33">
        <f>IF($F818="","",IFERROR(INDEX(사건마스터!$B$5:$B$64,MATCH($F818,사건마스터!$A$5:$A$64,0)),""))</f>
        <v/>
      </c>
      <c r="I818" s="130">
        <f>IF($F818="","",IFERROR(INDEX(사건마스터!$C$5:$C$64,MATCH($F818,사건마스터!$A$5:$A$64,0)),""))</f>
        <v/>
      </c>
      <c r="J818" s="136">
        <f>IF($F818="","",IFERROR(INDEX(사건마스터!$H$5:$H$64,MATCH($F818,사건마스터!$A$5:$A$64,0)),""))</f>
        <v/>
      </c>
      <c r="K818" s="136">
        <f>IF($F818="","",IFERROR(INDEX(사건마스터!$AH$5:$AH$64,MATCH($F818,사건마스터!$A$5:$A$64,0)),""))</f>
        <v/>
      </c>
      <c r="L818" s="136">
        <f>IF($F818="","",IFERROR(INDEX(사건마스터!$AI$5:$AI$64,MATCH($F818,사건마스터!$A$5:$A$64,0)),""))</f>
        <v/>
      </c>
      <c r="M818" s="136">
        <f>IF($F818="","",IFERROR(INDEX(사건마스터!$AJ$5:$AJ$64,MATCH($F818,사건마스터!$A$5:$A$64,0)),""))</f>
        <v/>
      </c>
      <c r="N818" s="136">
        <f>IF($F818="","",IFERROR(INDEX(사건마스터!$AK$5:$AK$64,MATCH($F818,사건마스터!$A$5:$A$64,0)),""))</f>
        <v/>
      </c>
      <c r="O818" s="136">
        <f>IF($F818="","",IFERROR(INDEX(사건마스터!$AL$5:$AL$64,MATCH($F818,사건마스터!$A$5:$A$64,0)),""))</f>
        <v/>
      </c>
      <c r="P818" s="136">
        <f>IF($F818="","",IFERROR(INDEX(사건마스터!$AM$5:$AM$64,MATCH($F818,사건마스터!$A$5:$A$64,0)),""))</f>
        <v/>
      </c>
      <c r="Q818" s="136">
        <f>IF($F818="","",IFERROR(INDEX(사건마스터!$AN$5:$AN$64,MATCH($F818,사건마스터!$A$5:$A$64,0)),""))</f>
        <v/>
      </c>
      <c r="R818" s="136">
        <f>IF($F818="","",IFERROR(INDEX(사건마스터!$AO$5:$AO$64,MATCH($F818,사건마스터!$A$5:$A$64,0)),""))</f>
        <v/>
      </c>
      <c r="S818" s="136">
        <f>IF($F818="","",IFERROR(INDEX(사건마스터!$AP$5:$AP$64,MATCH($F818,사건마스터!$A$5:$A$64,0)),""))</f>
        <v/>
      </c>
      <c r="T818" s="136">
        <f>IF($F818="","",IFERROR(INDEX(사건마스터!$AQ$5:$AQ$64,MATCH($F818,사건마스터!$A$5:$A$64,0)),""))</f>
        <v/>
      </c>
      <c r="U818" s="136">
        <f>IF($F818="","",IFERROR(INDEX(사건마스터!$AR$5:$AR$64,MATCH($F818,사건마스터!$A$5:$A$64,0)),""))</f>
        <v/>
      </c>
      <c r="V818" s="136">
        <f>IF($F818="","",IFERROR(INDEX(사건마스터!$AS$5:$AS$64,MATCH($F818,사건마스터!$A$5:$A$64,0)),""))</f>
        <v/>
      </c>
      <c r="W818" s="136">
        <f>IF($F818="","",IFERROR(INDEX(사건마스터!$AT$5:$AT$64,MATCH($F818,사건마스터!$A$5:$A$64,0)),""))</f>
        <v/>
      </c>
      <c r="X818" s="136">
        <f>IF($F818="","",IFERROR(INDEX(사건마스터!$AU$5:$AU$64,MATCH($F818,사건마스터!$A$5:$A$64,0)),""))</f>
        <v/>
      </c>
      <c r="Y818" s="136">
        <f>IF($F818="","",IFERROR(INDEX(사건마스터!$AV$5:$AV$64,MATCH($F818,사건마스터!$A$5:$A$64,0)),""))</f>
        <v/>
      </c>
      <c r="Z818" s="118">
        <f>IF(COUNTBLANK($J818:$Y818)=16,"",16-COUNTBLANK($J818:$Y818))</f>
        <v/>
      </c>
      <c r="AA818" s="33">
        <f>IF($J818="",MID($AX818,3,255),$J818&amp;$AX818)</f>
        <v/>
      </c>
      <c r="AB818" s="130">
        <f>IF($J818="","",IFERROR(INDEX(코드설정!$D$5:$D$24,MATCH($J818,코드설정!$C$5:$C$24,0)),""))</f>
        <v/>
      </c>
      <c r="AC818" s="36" t="n"/>
      <c r="AD818" s="37" t="n"/>
      <c r="AE818" s="38" t="n"/>
      <c r="AF818" s="118">
        <f>IF(OR($B818="",$C818=""),"",$C818-$B818+1)</f>
        <v/>
      </c>
      <c r="AG818" s="74" t="n"/>
      <c r="AH818" s="36" t="n"/>
      <c r="AJ818">
        <f>IF($K818="","",", "&amp;$K818)</f>
        <v/>
      </c>
      <c r="AK818">
        <f>AJ818&amp;IF($L818="","",", "&amp;$L818)</f>
        <v/>
      </c>
      <c r="AL818">
        <f>AK818&amp;IF($M818="","",", "&amp;$M818)</f>
        <v/>
      </c>
      <c r="AM818">
        <f>AL818&amp;IF($N818="","",", "&amp;$N818)</f>
        <v/>
      </c>
      <c r="AN818">
        <f>AM818&amp;IF($O818="","",", "&amp;$O818)</f>
        <v/>
      </c>
      <c r="AO818">
        <f>AN818&amp;IF($P818="","",", "&amp;$P818)</f>
        <v/>
      </c>
      <c r="AP818">
        <f>AO818&amp;IF($Q818="","",", "&amp;$Q818)</f>
        <v/>
      </c>
      <c r="AQ818">
        <f>AP818&amp;IF($R818="","",", "&amp;$R818)</f>
        <v/>
      </c>
      <c r="AR818">
        <f>AQ818&amp;IF($S818="","",", "&amp;$S818)</f>
        <v/>
      </c>
      <c r="AS818">
        <f>AR818&amp;IF($T818="","",", "&amp;$T818)</f>
        <v/>
      </c>
      <c r="AT818">
        <f>AS818&amp;IF($U818="","",", "&amp;$U818)</f>
        <v/>
      </c>
      <c r="AU818">
        <f>AT818&amp;IF($V818="","",", "&amp;$V818)</f>
        <v/>
      </c>
      <c r="AV818">
        <f>AU818&amp;IF($W818="","",", "&amp;$W818)</f>
        <v/>
      </c>
      <c r="AW818">
        <f>AV818&amp;IF($X818="","",", "&amp;$X818)</f>
        <v/>
      </c>
      <c r="AX818">
        <f>AW818&amp;IF($Y818="","",", "&amp;$Y818)</f>
        <v/>
      </c>
    </row>
    <row r="819">
      <c r="A819" s="118">
        <f>IF($B819="","",COUNT($B$5:$B819))</f>
        <v/>
      </c>
      <c r="B819" s="80" t="n"/>
      <c r="C819" s="80" t="n"/>
      <c r="D819" s="74" t="n"/>
      <c r="E819" s="74" t="n"/>
      <c r="F819" s="74" t="n"/>
      <c r="G819" s="118">
        <f>IF($F819="","",COUNTIF($F$5:$F819,$F819))</f>
        <v/>
      </c>
      <c r="H819" s="33">
        <f>IF($F819="","",IFERROR(INDEX(사건마스터!$B$5:$B$64,MATCH($F819,사건마스터!$A$5:$A$64,0)),""))</f>
        <v/>
      </c>
      <c r="I819" s="130">
        <f>IF($F819="","",IFERROR(INDEX(사건마스터!$C$5:$C$64,MATCH($F819,사건마스터!$A$5:$A$64,0)),""))</f>
        <v/>
      </c>
      <c r="J819" s="136">
        <f>IF($F819="","",IFERROR(INDEX(사건마스터!$H$5:$H$64,MATCH($F819,사건마스터!$A$5:$A$64,0)),""))</f>
        <v/>
      </c>
      <c r="K819" s="136">
        <f>IF($F819="","",IFERROR(INDEX(사건마스터!$AH$5:$AH$64,MATCH($F819,사건마스터!$A$5:$A$64,0)),""))</f>
        <v/>
      </c>
      <c r="L819" s="136">
        <f>IF($F819="","",IFERROR(INDEX(사건마스터!$AI$5:$AI$64,MATCH($F819,사건마스터!$A$5:$A$64,0)),""))</f>
        <v/>
      </c>
      <c r="M819" s="136">
        <f>IF($F819="","",IFERROR(INDEX(사건마스터!$AJ$5:$AJ$64,MATCH($F819,사건마스터!$A$5:$A$64,0)),""))</f>
        <v/>
      </c>
      <c r="N819" s="136">
        <f>IF($F819="","",IFERROR(INDEX(사건마스터!$AK$5:$AK$64,MATCH($F819,사건마스터!$A$5:$A$64,0)),""))</f>
        <v/>
      </c>
      <c r="O819" s="136">
        <f>IF($F819="","",IFERROR(INDEX(사건마스터!$AL$5:$AL$64,MATCH($F819,사건마스터!$A$5:$A$64,0)),""))</f>
        <v/>
      </c>
      <c r="P819" s="136">
        <f>IF($F819="","",IFERROR(INDEX(사건마스터!$AM$5:$AM$64,MATCH($F819,사건마스터!$A$5:$A$64,0)),""))</f>
        <v/>
      </c>
      <c r="Q819" s="136">
        <f>IF($F819="","",IFERROR(INDEX(사건마스터!$AN$5:$AN$64,MATCH($F819,사건마스터!$A$5:$A$64,0)),""))</f>
        <v/>
      </c>
      <c r="R819" s="136">
        <f>IF($F819="","",IFERROR(INDEX(사건마스터!$AO$5:$AO$64,MATCH($F819,사건마스터!$A$5:$A$64,0)),""))</f>
        <v/>
      </c>
      <c r="S819" s="136">
        <f>IF($F819="","",IFERROR(INDEX(사건마스터!$AP$5:$AP$64,MATCH($F819,사건마스터!$A$5:$A$64,0)),""))</f>
        <v/>
      </c>
      <c r="T819" s="136">
        <f>IF($F819="","",IFERROR(INDEX(사건마스터!$AQ$5:$AQ$64,MATCH($F819,사건마스터!$A$5:$A$64,0)),""))</f>
        <v/>
      </c>
      <c r="U819" s="136">
        <f>IF($F819="","",IFERROR(INDEX(사건마스터!$AR$5:$AR$64,MATCH($F819,사건마스터!$A$5:$A$64,0)),""))</f>
        <v/>
      </c>
      <c r="V819" s="136">
        <f>IF($F819="","",IFERROR(INDEX(사건마스터!$AS$5:$AS$64,MATCH($F819,사건마스터!$A$5:$A$64,0)),""))</f>
        <v/>
      </c>
      <c r="W819" s="136">
        <f>IF($F819="","",IFERROR(INDEX(사건마스터!$AT$5:$AT$64,MATCH($F819,사건마스터!$A$5:$A$64,0)),""))</f>
        <v/>
      </c>
      <c r="X819" s="136">
        <f>IF($F819="","",IFERROR(INDEX(사건마스터!$AU$5:$AU$64,MATCH($F819,사건마스터!$A$5:$A$64,0)),""))</f>
        <v/>
      </c>
      <c r="Y819" s="136">
        <f>IF($F819="","",IFERROR(INDEX(사건마스터!$AV$5:$AV$64,MATCH($F819,사건마스터!$A$5:$A$64,0)),""))</f>
        <v/>
      </c>
      <c r="Z819" s="118">
        <f>IF(COUNTBLANK($J819:$Y819)=16,"",16-COUNTBLANK($J819:$Y819))</f>
        <v/>
      </c>
      <c r="AA819" s="33">
        <f>IF($J819="",MID($AX819,3,255),$J819&amp;$AX819)</f>
        <v/>
      </c>
      <c r="AB819" s="130">
        <f>IF($J819="","",IFERROR(INDEX(코드설정!$D$5:$D$24,MATCH($J819,코드설정!$C$5:$C$24,0)),""))</f>
        <v/>
      </c>
      <c r="AC819" s="36" t="n"/>
      <c r="AD819" s="37" t="n"/>
      <c r="AE819" s="38" t="n"/>
      <c r="AF819" s="118">
        <f>IF(OR($B819="",$C819=""),"",$C819-$B819+1)</f>
        <v/>
      </c>
      <c r="AG819" s="74" t="n"/>
      <c r="AH819" s="36" t="n"/>
      <c r="AJ819">
        <f>IF($K819="","",", "&amp;$K819)</f>
        <v/>
      </c>
      <c r="AK819">
        <f>AJ819&amp;IF($L819="","",", "&amp;$L819)</f>
        <v/>
      </c>
      <c r="AL819">
        <f>AK819&amp;IF($M819="","",", "&amp;$M819)</f>
        <v/>
      </c>
      <c r="AM819">
        <f>AL819&amp;IF($N819="","",", "&amp;$N819)</f>
        <v/>
      </c>
      <c r="AN819">
        <f>AM819&amp;IF($O819="","",", "&amp;$O819)</f>
        <v/>
      </c>
      <c r="AO819">
        <f>AN819&amp;IF($P819="","",", "&amp;$P819)</f>
        <v/>
      </c>
      <c r="AP819">
        <f>AO819&amp;IF($Q819="","",", "&amp;$Q819)</f>
        <v/>
      </c>
      <c r="AQ819">
        <f>AP819&amp;IF($R819="","",", "&amp;$R819)</f>
        <v/>
      </c>
      <c r="AR819">
        <f>AQ819&amp;IF($S819="","",", "&amp;$S819)</f>
        <v/>
      </c>
      <c r="AS819">
        <f>AR819&amp;IF($T819="","",", "&amp;$T819)</f>
        <v/>
      </c>
      <c r="AT819">
        <f>AS819&amp;IF($U819="","",", "&amp;$U819)</f>
        <v/>
      </c>
      <c r="AU819">
        <f>AT819&amp;IF($V819="","",", "&amp;$V819)</f>
        <v/>
      </c>
      <c r="AV819">
        <f>AU819&amp;IF($W819="","",", "&amp;$W819)</f>
        <v/>
      </c>
      <c r="AW819">
        <f>AV819&amp;IF($X819="","",", "&amp;$X819)</f>
        <v/>
      </c>
      <c r="AX819">
        <f>AW819&amp;IF($Y819="","",", "&amp;$Y819)</f>
        <v/>
      </c>
    </row>
    <row r="820">
      <c r="A820" s="118">
        <f>IF($B820="","",COUNT($B$5:$B820))</f>
        <v/>
      </c>
      <c r="B820" s="80" t="n"/>
      <c r="C820" s="80" t="n"/>
      <c r="D820" s="74" t="n"/>
      <c r="E820" s="74" t="n"/>
      <c r="F820" s="74" t="n"/>
      <c r="G820" s="118">
        <f>IF($F820="","",COUNTIF($F$5:$F820,$F820))</f>
        <v/>
      </c>
      <c r="H820" s="33">
        <f>IF($F820="","",IFERROR(INDEX(사건마스터!$B$5:$B$64,MATCH($F820,사건마스터!$A$5:$A$64,0)),""))</f>
        <v/>
      </c>
      <c r="I820" s="130">
        <f>IF($F820="","",IFERROR(INDEX(사건마스터!$C$5:$C$64,MATCH($F820,사건마스터!$A$5:$A$64,0)),""))</f>
        <v/>
      </c>
      <c r="J820" s="136">
        <f>IF($F820="","",IFERROR(INDEX(사건마스터!$H$5:$H$64,MATCH($F820,사건마스터!$A$5:$A$64,0)),""))</f>
        <v/>
      </c>
      <c r="K820" s="136">
        <f>IF($F820="","",IFERROR(INDEX(사건마스터!$AH$5:$AH$64,MATCH($F820,사건마스터!$A$5:$A$64,0)),""))</f>
        <v/>
      </c>
      <c r="L820" s="136">
        <f>IF($F820="","",IFERROR(INDEX(사건마스터!$AI$5:$AI$64,MATCH($F820,사건마스터!$A$5:$A$64,0)),""))</f>
        <v/>
      </c>
      <c r="M820" s="136">
        <f>IF($F820="","",IFERROR(INDEX(사건마스터!$AJ$5:$AJ$64,MATCH($F820,사건마스터!$A$5:$A$64,0)),""))</f>
        <v/>
      </c>
      <c r="N820" s="136">
        <f>IF($F820="","",IFERROR(INDEX(사건마스터!$AK$5:$AK$64,MATCH($F820,사건마스터!$A$5:$A$64,0)),""))</f>
        <v/>
      </c>
      <c r="O820" s="136">
        <f>IF($F820="","",IFERROR(INDEX(사건마스터!$AL$5:$AL$64,MATCH($F820,사건마스터!$A$5:$A$64,0)),""))</f>
        <v/>
      </c>
      <c r="P820" s="136">
        <f>IF($F820="","",IFERROR(INDEX(사건마스터!$AM$5:$AM$64,MATCH($F820,사건마스터!$A$5:$A$64,0)),""))</f>
        <v/>
      </c>
      <c r="Q820" s="136">
        <f>IF($F820="","",IFERROR(INDEX(사건마스터!$AN$5:$AN$64,MATCH($F820,사건마스터!$A$5:$A$64,0)),""))</f>
        <v/>
      </c>
      <c r="R820" s="136">
        <f>IF($F820="","",IFERROR(INDEX(사건마스터!$AO$5:$AO$64,MATCH($F820,사건마스터!$A$5:$A$64,0)),""))</f>
        <v/>
      </c>
      <c r="S820" s="136">
        <f>IF($F820="","",IFERROR(INDEX(사건마스터!$AP$5:$AP$64,MATCH($F820,사건마스터!$A$5:$A$64,0)),""))</f>
        <v/>
      </c>
      <c r="T820" s="136">
        <f>IF($F820="","",IFERROR(INDEX(사건마스터!$AQ$5:$AQ$64,MATCH($F820,사건마스터!$A$5:$A$64,0)),""))</f>
        <v/>
      </c>
      <c r="U820" s="136">
        <f>IF($F820="","",IFERROR(INDEX(사건마스터!$AR$5:$AR$64,MATCH($F820,사건마스터!$A$5:$A$64,0)),""))</f>
        <v/>
      </c>
      <c r="V820" s="136">
        <f>IF($F820="","",IFERROR(INDEX(사건마스터!$AS$5:$AS$64,MATCH($F820,사건마스터!$A$5:$A$64,0)),""))</f>
        <v/>
      </c>
      <c r="W820" s="136">
        <f>IF($F820="","",IFERROR(INDEX(사건마스터!$AT$5:$AT$64,MATCH($F820,사건마스터!$A$5:$A$64,0)),""))</f>
        <v/>
      </c>
      <c r="X820" s="136">
        <f>IF($F820="","",IFERROR(INDEX(사건마스터!$AU$5:$AU$64,MATCH($F820,사건마스터!$A$5:$A$64,0)),""))</f>
        <v/>
      </c>
      <c r="Y820" s="136">
        <f>IF($F820="","",IFERROR(INDEX(사건마스터!$AV$5:$AV$64,MATCH($F820,사건마스터!$A$5:$A$64,0)),""))</f>
        <v/>
      </c>
      <c r="Z820" s="118">
        <f>IF(COUNTBLANK($J820:$Y820)=16,"",16-COUNTBLANK($J820:$Y820))</f>
        <v/>
      </c>
      <c r="AA820" s="33">
        <f>IF($J820="",MID($AX820,3,255),$J820&amp;$AX820)</f>
        <v/>
      </c>
      <c r="AB820" s="130">
        <f>IF($J820="","",IFERROR(INDEX(코드설정!$D$5:$D$24,MATCH($J820,코드설정!$C$5:$C$24,0)),""))</f>
        <v/>
      </c>
      <c r="AC820" s="36" t="n"/>
      <c r="AD820" s="37" t="n"/>
      <c r="AE820" s="38" t="n"/>
      <c r="AF820" s="118">
        <f>IF(OR($B820="",$C820=""),"",$C820-$B820+1)</f>
        <v/>
      </c>
      <c r="AG820" s="74" t="n"/>
      <c r="AH820" s="36" t="n"/>
      <c r="AJ820">
        <f>IF($K820="","",", "&amp;$K820)</f>
        <v/>
      </c>
      <c r="AK820">
        <f>AJ820&amp;IF($L820="","",", "&amp;$L820)</f>
        <v/>
      </c>
      <c r="AL820">
        <f>AK820&amp;IF($M820="","",", "&amp;$M820)</f>
        <v/>
      </c>
      <c r="AM820">
        <f>AL820&amp;IF($N820="","",", "&amp;$N820)</f>
        <v/>
      </c>
      <c r="AN820">
        <f>AM820&amp;IF($O820="","",", "&amp;$O820)</f>
        <v/>
      </c>
      <c r="AO820">
        <f>AN820&amp;IF($P820="","",", "&amp;$P820)</f>
        <v/>
      </c>
      <c r="AP820">
        <f>AO820&amp;IF($Q820="","",", "&amp;$Q820)</f>
        <v/>
      </c>
      <c r="AQ820">
        <f>AP820&amp;IF($R820="","",", "&amp;$R820)</f>
        <v/>
      </c>
      <c r="AR820">
        <f>AQ820&amp;IF($S820="","",", "&amp;$S820)</f>
        <v/>
      </c>
      <c r="AS820">
        <f>AR820&amp;IF($T820="","",", "&amp;$T820)</f>
        <v/>
      </c>
      <c r="AT820">
        <f>AS820&amp;IF($U820="","",", "&amp;$U820)</f>
        <v/>
      </c>
      <c r="AU820">
        <f>AT820&amp;IF($V820="","",", "&amp;$V820)</f>
        <v/>
      </c>
      <c r="AV820">
        <f>AU820&amp;IF($W820="","",", "&amp;$W820)</f>
        <v/>
      </c>
      <c r="AW820">
        <f>AV820&amp;IF($X820="","",", "&amp;$X820)</f>
        <v/>
      </c>
      <c r="AX820">
        <f>AW820&amp;IF($Y820="","",", "&amp;$Y820)</f>
        <v/>
      </c>
    </row>
    <row r="821">
      <c r="A821" s="118">
        <f>IF($B821="","",COUNT($B$5:$B821))</f>
        <v/>
      </c>
      <c r="B821" s="80" t="n"/>
      <c r="C821" s="80" t="n"/>
      <c r="D821" s="74" t="n"/>
      <c r="E821" s="74" t="n"/>
      <c r="F821" s="74" t="n"/>
      <c r="G821" s="118">
        <f>IF($F821="","",COUNTIF($F$5:$F821,$F821))</f>
        <v/>
      </c>
      <c r="H821" s="33">
        <f>IF($F821="","",IFERROR(INDEX(사건마스터!$B$5:$B$64,MATCH($F821,사건마스터!$A$5:$A$64,0)),""))</f>
        <v/>
      </c>
      <c r="I821" s="130">
        <f>IF($F821="","",IFERROR(INDEX(사건마스터!$C$5:$C$64,MATCH($F821,사건마스터!$A$5:$A$64,0)),""))</f>
        <v/>
      </c>
      <c r="J821" s="136">
        <f>IF($F821="","",IFERROR(INDEX(사건마스터!$H$5:$H$64,MATCH($F821,사건마스터!$A$5:$A$64,0)),""))</f>
        <v/>
      </c>
      <c r="K821" s="136">
        <f>IF($F821="","",IFERROR(INDEX(사건마스터!$AH$5:$AH$64,MATCH($F821,사건마스터!$A$5:$A$64,0)),""))</f>
        <v/>
      </c>
      <c r="L821" s="136">
        <f>IF($F821="","",IFERROR(INDEX(사건마스터!$AI$5:$AI$64,MATCH($F821,사건마스터!$A$5:$A$64,0)),""))</f>
        <v/>
      </c>
      <c r="M821" s="136">
        <f>IF($F821="","",IFERROR(INDEX(사건마스터!$AJ$5:$AJ$64,MATCH($F821,사건마스터!$A$5:$A$64,0)),""))</f>
        <v/>
      </c>
      <c r="N821" s="136">
        <f>IF($F821="","",IFERROR(INDEX(사건마스터!$AK$5:$AK$64,MATCH($F821,사건마스터!$A$5:$A$64,0)),""))</f>
        <v/>
      </c>
      <c r="O821" s="136">
        <f>IF($F821="","",IFERROR(INDEX(사건마스터!$AL$5:$AL$64,MATCH($F821,사건마스터!$A$5:$A$64,0)),""))</f>
        <v/>
      </c>
      <c r="P821" s="136">
        <f>IF($F821="","",IFERROR(INDEX(사건마스터!$AM$5:$AM$64,MATCH($F821,사건마스터!$A$5:$A$64,0)),""))</f>
        <v/>
      </c>
      <c r="Q821" s="136">
        <f>IF($F821="","",IFERROR(INDEX(사건마스터!$AN$5:$AN$64,MATCH($F821,사건마스터!$A$5:$A$64,0)),""))</f>
        <v/>
      </c>
      <c r="R821" s="136">
        <f>IF($F821="","",IFERROR(INDEX(사건마스터!$AO$5:$AO$64,MATCH($F821,사건마스터!$A$5:$A$64,0)),""))</f>
        <v/>
      </c>
      <c r="S821" s="136">
        <f>IF($F821="","",IFERROR(INDEX(사건마스터!$AP$5:$AP$64,MATCH($F821,사건마스터!$A$5:$A$64,0)),""))</f>
        <v/>
      </c>
      <c r="T821" s="136">
        <f>IF($F821="","",IFERROR(INDEX(사건마스터!$AQ$5:$AQ$64,MATCH($F821,사건마스터!$A$5:$A$64,0)),""))</f>
        <v/>
      </c>
      <c r="U821" s="136">
        <f>IF($F821="","",IFERROR(INDEX(사건마스터!$AR$5:$AR$64,MATCH($F821,사건마스터!$A$5:$A$64,0)),""))</f>
        <v/>
      </c>
      <c r="V821" s="136">
        <f>IF($F821="","",IFERROR(INDEX(사건마스터!$AS$5:$AS$64,MATCH($F821,사건마스터!$A$5:$A$64,0)),""))</f>
        <v/>
      </c>
      <c r="W821" s="136">
        <f>IF($F821="","",IFERROR(INDEX(사건마스터!$AT$5:$AT$64,MATCH($F821,사건마스터!$A$5:$A$64,0)),""))</f>
        <v/>
      </c>
      <c r="X821" s="136">
        <f>IF($F821="","",IFERROR(INDEX(사건마스터!$AU$5:$AU$64,MATCH($F821,사건마스터!$A$5:$A$64,0)),""))</f>
        <v/>
      </c>
      <c r="Y821" s="136">
        <f>IF($F821="","",IFERROR(INDEX(사건마스터!$AV$5:$AV$64,MATCH($F821,사건마스터!$A$5:$A$64,0)),""))</f>
        <v/>
      </c>
      <c r="Z821" s="118">
        <f>IF(COUNTBLANK($J821:$Y821)=16,"",16-COUNTBLANK($J821:$Y821))</f>
        <v/>
      </c>
      <c r="AA821" s="33">
        <f>IF($J821="",MID($AX821,3,255),$J821&amp;$AX821)</f>
        <v/>
      </c>
      <c r="AB821" s="130">
        <f>IF($J821="","",IFERROR(INDEX(코드설정!$D$5:$D$24,MATCH($J821,코드설정!$C$5:$C$24,0)),""))</f>
        <v/>
      </c>
      <c r="AC821" s="36" t="n"/>
      <c r="AD821" s="37" t="n"/>
      <c r="AE821" s="38" t="n"/>
      <c r="AF821" s="118">
        <f>IF(OR($B821="",$C821=""),"",$C821-$B821+1)</f>
        <v/>
      </c>
      <c r="AG821" s="74" t="n"/>
      <c r="AH821" s="36" t="n"/>
      <c r="AJ821">
        <f>IF($K821="","",", "&amp;$K821)</f>
        <v/>
      </c>
      <c r="AK821">
        <f>AJ821&amp;IF($L821="","",", "&amp;$L821)</f>
        <v/>
      </c>
      <c r="AL821">
        <f>AK821&amp;IF($M821="","",", "&amp;$M821)</f>
        <v/>
      </c>
      <c r="AM821">
        <f>AL821&amp;IF($N821="","",", "&amp;$N821)</f>
        <v/>
      </c>
      <c r="AN821">
        <f>AM821&amp;IF($O821="","",", "&amp;$O821)</f>
        <v/>
      </c>
      <c r="AO821">
        <f>AN821&amp;IF($P821="","",", "&amp;$P821)</f>
        <v/>
      </c>
      <c r="AP821">
        <f>AO821&amp;IF($Q821="","",", "&amp;$Q821)</f>
        <v/>
      </c>
      <c r="AQ821">
        <f>AP821&amp;IF($R821="","",", "&amp;$R821)</f>
        <v/>
      </c>
      <c r="AR821">
        <f>AQ821&amp;IF($S821="","",", "&amp;$S821)</f>
        <v/>
      </c>
      <c r="AS821">
        <f>AR821&amp;IF($T821="","",", "&amp;$T821)</f>
        <v/>
      </c>
      <c r="AT821">
        <f>AS821&amp;IF($U821="","",", "&amp;$U821)</f>
        <v/>
      </c>
      <c r="AU821">
        <f>AT821&amp;IF($V821="","",", "&amp;$V821)</f>
        <v/>
      </c>
      <c r="AV821">
        <f>AU821&amp;IF($W821="","",", "&amp;$W821)</f>
        <v/>
      </c>
      <c r="AW821">
        <f>AV821&amp;IF($X821="","",", "&amp;$X821)</f>
        <v/>
      </c>
      <c r="AX821">
        <f>AW821&amp;IF($Y821="","",", "&amp;$Y821)</f>
        <v/>
      </c>
    </row>
    <row r="822">
      <c r="A822" s="118">
        <f>IF($B822="","",COUNT($B$5:$B822))</f>
        <v/>
      </c>
      <c r="B822" s="80" t="n"/>
      <c r="C822" s="80" t="n"/>
      <c r="D822" s="74" t="n"/>
      <c r="E822" s="74" t="n"/>
      <c r="F822" s="74" t="n"/>
      <c r="G822" s="118">
        <f>IF($F822="","",COUNTIF($F$5:$F822,$F822))</f>
        <v/>
      </c>
      <c r="H822" s="33">
        <f>IF($F822="","",IFERROR(INDEX(사건마스터!$B$5:$B$64,MATCH($F822,사건마스터!$A$5:$A$64,0)),""))</f>
        <v/>
      </c>
      <c r="I822" s="130">
        <f>IF($F822="","",IFERROR(INDEX(사건마스터!$C$5:$C$64,MATCH($F822,사건마스터!$A$5:$A$64,0)),""))</f>
        <v/>
      </c>
      <c r="J822" s="136">
        <f>IF($F822="","",IFERROR(INDEX(사건마스터!$H$5:$H$64,MATCH($F822,사건마스터!$A$5:$A$64,0)),""))</f>
        <v/>
      </c>
      <c r="K822" s="136">
        <f>IF($F822="","",IFERROR(INDEX(사건마스터!$AH$5:$AH$64,MATCH($F822,사건마스터!$A$5:$A$64,0)),""))</f>
        <v/>
      </c>
      <c r="L822" s="136">
        <f>IF($F822="","",IFERROR(INDEX(사건마스터!$AI$5:$AI$64,MATCH($F822,사건마스터!$A$5:$A$64,0)),""))</f>
        <v/>
      </c>
      <c r="M822" s="136">
        <f>IF($F822="","",IFERROR(INDEX(사건마스터!$AJ$5:$AJ$64,MATCH($F822,사건마스터!$A$5:$A$64,0)),""))</f>
        <v/>
      </c>
      <c r="N822" s="136">
        <f>IF($F822="","",IFERROR(INDEX(사건마스터!$AK$5:$AK$64,MATCH($F822,사건마스터!$A$5:$A$64,0)),""))</f>
        <v/>
      </c>
      <c r="O822" s="136">
        <f>IF($F822="","",IFERROR(INDEX(사건마스터!$AL$5:$AL$64,MATCH($F822,사건마스터!$A$5:$A$64,0)),""))</f>
        <v/>
      </c>
      <c r="P822" s="136">
        <f>IF($F822="","",IFERROR(INDEX(사건마스터!$AM$5:$AM$64,MATCH($F822,사건마스터!$A$5:$A$64,0)),""))</f>
        <v/>
      </c>
      <c r="Q822" s="136">
        <f>IF($F822="","",IFERROR(INDEX(사건마스터!$AN$5:$AN$64,MATCH($F822,사건마스터!$A$5:$A$64,0)),""))</f>
        <v/>
      </c>
      <c r="R822" s="136">
        <f>IF($F822="","",IFERROR(INDEX(사건마스터!$AO$5:$AO$64,MATCH($F822,사건마스터!$A$5:$A$64,0)),""))</f>
        <v/>
      </c>
      <c r="S822" s="136">
        <f>IF($F822="","",IFERROR(INDEX(사건마스터!$AP$5:$AP$64,MATCH($F822,사건마스터!$A$5:$A$64,0)),""))</f>
        <v/>
      </c>
      <c r="T822" s="136">
        <f>IF($F822="","",IFERROR(INDEX(사건마스터!$AQ$5:$AQ$64,MATCH($F822,사건마스터!$A$5:$A$64,0)),""))</f>
        <v/>
      </c>
      <c r="U822" s="136">
        <f>IF($F822="","",IFERROR(INDEX(사건마스터!$AR$5:$AR$64,MATCH($F822,사건마스터!$A$5:$A$64,0)),""))</f>
        <v/>
      </c>
      <c r="V822" s="136">
        <f>IF($F822="","",IFERROR(INDEX(사건마스터!$AS$5:$AS$64,MATCH($F822,사건마스터!$A$5:$A$64,0)),""))</f>
        <v/>
      </c>
      <c r="W822" s="136">
        <f>IF($F822="","",IFERROR(INDEX(사건마스터!$AT$5:$AT$64,MATCH($F822,사건마스터!$A$5:$A$64,0)),""))</f>
        <v/>
      </c>
      <c r="X822" s="136">
        <f>IF($F822="","",IFERROR(INDEX(사건마스터!$AU$5:$AU$64,MATCH($F822,사건마스터!$A$5:$A$64,0)),""))</f>
        <v/>
      </c>
      <c r="Y822" s="136">
        <f>IF($F822="","",IFERROR(INDEX(사건마스터!$AV$5:$AV$64,MATCH($F822,사건마스터!$A$5:$A$64,0)),""))</f>
        <v/>
      </c>
      <c r="Z822" s="118">
        <f>IF(COUNTBLANK($J822:$Y822)=16,"",16-COUNTBLANK($J822:$Y822))</f>
        <v/>
      </c>
      <c r="AA822" s="33">
        <f>IF($J822="",MID($AX822,3,255),$J822&amp;$AX822)</f>
        <v/>
      </c>
      <c r="AB822" s="130">
        <f>IF($J822="","",IFERROR(INDEX(코드설정!$D$5:$D$24,MATCH($J822,코드설정!$C$5:$C$24,0)),""))</f>
        <v/>
      </c>
      <c r="AC822" s="36" t="n"/>
      <c r="AD822" s="37" t="n"/>
      <c r="AE822" s="38" t="n"/>
      <c r="AF822" s="118">
        <f>IF(OR($B822="",$C822=""),"",$C822-$B822+1)</f>
        <v/>
      </c>
      <c r="AG822" s="74" t="n"/>
      <c r="AH822" s="36" t="n"/>
      <c r="AJ822">
        <f>IF($K822="","",", "&amp;$K822)</f>
        <v/>
      </c>
      <c r="AK822">
        <f>AJ822&amp;IF($L822="","",", "&amp;$L822)</f>
        <v/>
      </c>
      <c r="AL822">
        <f>AK822&amp;IF($M822="","",", "&amp;$M822)</f>
        <v/>
      </c>
      <c r="AM822">
        <f>AL822&amp;IF($N822="","",", "&amp;$N822)</f>
        <v/>
      </c>
      <c r="AN822">
        <f>AM822&amp;IF($O822="","",", "&amp;$O822)</f>
        <v/>
      </c>
      <c r="AO822">
        <f>AN822&amp;IF($P822="","",", "&amp;$P822)</f>
        <v/>
      </c>
      <c r="AP822">
        <f>AO822&amp;IF($Q822="","",", "&amp;$Q822)</f>
        <v/>
      </c>
      <c r="AQ822">
        <f>AP822&amp;IF($R822="","",", "&amp;$R822)</f>
        <v/>
      </c>
      <c r="AR822">
        <f>AQ822&amp;IF($S822="","",", "&amp;$S822)</f>
        <v/>
      </c>
      <c r="AS822">
        <f>AR822&amp;IF($T822="","",", "&amp;$T822)</f>
        <v/>
      </c>
      <c r="AT822">
        <f>AS822&amp;IF($U822="","",", "&amp;$U822)</f>
        <v/>
      </c>
      <c r="AU822">
        <f>AT822&amp;IF($V822="","",", "&amp;$V822)</f>
        <v/>
      </c>
      <c r="AV822">
        <f>AU822&amp;IF($W822="","",", "&amp;$W822)</f>
        <v/>
      </c>
      <c r="AW822">
        <f>AV822&amp;IF($X822="","",", "&amp;$X822)</f>
        <v/>
      </c>
      <c r="AX822">
        <f>AW822&amp;IF($Y822="","",", "&amp;$Y822)</f>
        <v/>
      </c>
    </row>
    <row r="823">
      <c r="A823" s="118">
        <f>IF($B823="","",COUNT($B$5:$B823))</f>
        <v/>
      </c>
      <c r="B823" s="80" t="n"/>
      <c r="C823" s="80" t="n"/>
      <c r="D823" s="74" t="n"/>
      <c r="E823" s="74" t="n"/>
      <c r="F823" s="74" t="n"/>
      <c r="G823" s="118">
        <f>IF($F823="","",COUNTIF($F$5:$F823,$F823))</f>
        <v/>
      </c>
      <c r="H823" s="33">
        <f>IF($F823="","",IFERROR(INDEX(사건마스터!$B$5:$B$64,MATCH($F823,사건마스터!$A$5:$A$64,0)),""))</f>
        <v/>
      </c>
      <c r="I823" s="130">
        <f>IF($F823="","",IFERROR(INDEX(사건마스터!$C$5:$C$64,MATCH($F823,사건마스터!$A$5:$A$64,0)),""))</f>
        <v/>
      </c>
      <c r="J823" s="136">
        <f>IF($F823="","",IFERROR(INDEX(사건마스터!$H$5:$H$64,MATCH($F823,사건마스터!$A$5:$A$64,0)),""))</f>
        <v/>
      </c>
      <c r="K823" s="136">
        <f>IF($F823="","",IFERROR(INDEX(사건마스터!$AH$5:$AH$64,MATCH($F823,사건마스터!$A$5:$A$64,0)),""))</f>
        <v/>
      </c>
      <c r="L823" s="136">
        <f>IF($F823="","",IFERROR(INDEX(사건마스터!$AI$5:$AI$64,MATCH($F823,사건마스터!$A$5:$A$64,0)),""))</f>
        <v/>
      </c>
      <c r="M823" s="136">
        <f>IF($F823="","",IFERROR(INDEX(사건마스터!$AJ$5:$AJ$64,MATCH($F823,사건마스터!$A$5:$A$64,0)),""))</f>
        <v/>
      </c>
      <c r="N823" s="136">
        <f>IF($F823="","",IFERROR(INDEX(사건마스터!$AK$5:$AK$64,MATCH($F823,사건마스터!$A$5:$A$64,0)),""))</f>
        <v/>
      </c>
      <c r="O823" s="136">
        <f>IF($F823="","",IFERROR(INDEX(사건마스터!$AL$5:$AL$64,MATCH($F823,사건마스터!$A$5:$A$64,0)),""))</f>
        <v/>
      </c>
      <c r="P823" s="136">
        <f>IF($F823="","",IFERROR(INDEX(사건마스터!$AM$5:$AM$64,MATCH($F823,사건마스터!$A$5:$A$64,0)),""))</f>
        <v/>
      </c>
      <c r="Q823" s="136">
        <f>IF($F823="","",IFERROR(INDEX(사건마스터!$AN$5:$AN$64,MATCH($F823,사건마스터!$A$5:$A$64,0)),""))</f>
        <v/>
      </c>
      <c r="R823" s="136">
        <f>IF($F823="","",IFERROR(INDEX(사건마스터!$AO$5:$AO$64,MATCH($F823,사건마스터!$A$5:$A$64,0)),""))</f>
        <v/>
      </c>
      <c r="S823" s="136">
        <f>IF($F823="","",IFERROR(INDEX(사건마스터!$AP$5:$AP$64,MATCH($F823,사건마스터!$A$5:$A$64,0)),""))</f>
        <v/>
      </c>
      <c r="T823" s="136">
        <f>IF($F823="","",IFERROR(INDEX(사건마스터!$AQ$5:$AQ$64,MATCH($F823,사건마스터!$A$5:$A$64,0)),""))</f>
        <v/>
      </c>
      <c r="U823" s="136">
        <f>IF($F823="","",IFERROR(INDEX(사건마스터!$AR$5:$AR$64,MATCH($F823,사건마스터!$A$5:$A$64,0)),""))</f>
        <v/>
      </c>
      <c r="V823" s="136">
        <f>IF($F823="","",IFERROR(INDEX(사건마스터!$AS$5:$AS$64,MATCH($F823,사건마스터!$A$5:$A$64,0)),""))</f>
        <v/>
      </c>
      <c r="W823" s="136">
        <f>IF($F823="","",IFERROR(INDEX(사건마스터!$AT$5:$AT$64,MATCH($F823,사건마스터!$A$5:$A$64,0)),""))</f>
        <v/>
      </c>
      <c r="X823" s="136">
        <f>IF($F823="","",IFERROR(INDEX(사건마스터!$AU$5:$AU$64,MATCH($F823,사건마스터!$A$5:$A$64,0)),""))</f>
        <v/>
      </c>
      <c r="Y823" s="136">
        <f>IF($F823="","",IFERROR(INDEX(사건마스터!$AV$5:$AV$64,MATCH($F823,사건마스터!$A$5:$A$64,0)),""))</f>
        <v/>
      </c>
      <c r="Z823" s="118">
        <f>IF(COUNTBLANK($J823:$Y823)=16,"",16-COUNTBLANK($J823:$Y823))</f>
        <v/>
      </c>
      <c r="AA823" s="33">
        <f>IF($J823="",MID($AX823,3,255),$J823&amp;$AX823)</f>
        <v/>
      </c>
      <c r="AB823" s="130">
        <f>IF($J823="","",IFERROR(INDEX(코드설정!$D$5:$D$24,MATCH($J823,코드설정!$C$5:$C$24,0)),""))</f>
        <v/>
      </c>
      <c r="AC823" s="36" t="n"/>
      <c r="AD823" s="37" t="n"/>
      <c r="AE823" s="38" t="n"/>
      <c r="AF823" s="118">
        <f>IF(OR($B823="",$C823=""),"",$C823-$B823+1)</f>
        <v/>
      </c>
      <c r="AG823" s="74" t="n"/>
      <c r="AH823" s="36" t="n"/>
      <c r="AJ823">
        <f>IF($K823="","",", "&amp;$K823)</f>
        <v/>
      </c>
      <c r="AK823">
        <f>AJ823&amp;IF($L823="","",", "&amp;$L823)</f>
        <v/>
      </c>
      <c r="AL823">
        <f>AK823&amp;IF($M823="","",", "&amp;$M823)</f>
        <v/>
      </c>
      <c r="AM823">
        <f>AL823&amp;IF($N823="","",", "&amp;$N823)</f>
        <v/>
      </c>
      <c r="AN823">
        <f>AM823&amp;IF($O823="","",", "&amp;$O823)</f>
        <v/>
      </c>
      <c r="AO823">
        <f>AN823&amp;IF($P823="","",", "&amp;$P823)</f>
        <v/>
      </c>
      <c r="AP823">
        <f>AO823&amp;IF($Q823="","",", "&amp;$Q823)</f>
        <v/>
      </c>
      <c r="AQ823">
        <f>AP823&amp;IF($R823="","",", "&amp;$R823)</f>
        <v/>
      </c>
      <c r="AR823">
        <f>AQ823&amp;IF($S823="","",", "&amp;$S823)</f>
        <v/>
      </c>
      <c r="AS823">
        <f>AR823&amp;IF($T823="","",", "&amp;$T823)</f>
        <v/>
      </c>
      <c r="AT823">
        <f>AS823&amp;IF($U823="","",", "&amp;$U823)</f>
        <v/>
      </c>
      <c r="AU823">
        <f>AT823&amp;IF($V823="","",", "&amp;$V823)</f>
        <v/>
      </c>
      <c r="AV823">
        <f>AU823&amp;IF($W823="","",", "&amp;$W823)</f>
        <v/>
      </c>
      <c r="AW823">
        <f>AV823&amp;IF($X823="","",", "&amp;$X823)</f>
        <v/>
      </c>
      <c r="AX823">
        <f>AW823&amp;IF($Y823="","",", "&amp;$Y823)</f>
        <v/>
      </c>
    </row>
    <row r="824">
      <c r="A824" s="118">
        <f>IF($B824="","",COUNT($B$5:$B824))</f>
        <v/>
      </c>
      <c r="B824" s="80" t="n"/>
      <c r="C824" s="80" t="n"/>
      <c r="D824" s="74" t="n"/>
      <c r="E824" s="74" t="n"/>
      <c r="F824" s="74" t="n"/>
      <c r="G824" s="118">
        <f>IF($F824="","",COUNTIF($F$5:$F824,$F824))</f>
        <v/>
      </c>
      <c r="H824" s="33">
        <f>IF($F824="","",IFERROR(INDEX(사건마스터!$B$5:$B$64,MATCH($F824,사건마스터!$A$5:$A$64,0)),""))</f>
        <v/>
      </c>
      <c r="I824" s="130">
        <f>IF($F824="","",IFERROR(INDEX(사건마스터!$C$5:$C$64,MATCH($F824,사건마스터!$A$5:$A$64,0)),""))</f>
        <v/>
      </c>
      <c r="J824" s="136">
        <f>IF($F824="","",IFERROR(INDEX(사건마스터!$H$5:$H$64,MATCH($F824,사건마스터!$A$5:$A$64,0)),""))</f>
        <v/>
      </c>
      <c r="K824" s="136">
        <f>IF($F824="","",IFERROR(INDEX(사건마스터!$AH$5:$AH$64,MATCH($F824,사건마스터!$A$5:$A$64,0)),""))</f>
        <v/>
      </c>
      <c r="L824" s="136">
        <f>IF($F824="","",IFERROR(INDEX(사건마스터!$AI$5:$AI$64,MATCH($F824,사건마스터!$A$5:$A$64,0)),""))</f>
        <v/>
      </c>
      <c r="M824" s="136">
        <f>IF($F824="","",IFERROR(INDEX(사건마스터!$AJ$5:$AJ$64,MATCH($F824,사건마스터!$A$5:$A$64,0)),""))</f>
        <v/>
      </c>
      <c r="N824" s="136">
        <f>IF($F824="","",IFERROR(INDEX(사건마스터!$AK$5:$AK$64,MATCH($F824,사건마스터!$A$5:$A$64,0)),""))</f>
        <v/>
      </c>
      <c r="O824" s="136">
        <f>IF($F824="","",IFERROR(INDEX(사건마스터!$AL$5:$AL$64,MATCH($F824,사건마스터!$A$5:$A$64,0)),""))</f>
        <v/>
      </c>
      <c r="P824" s="136">
        <f>IF($F824="","",IFERROR(INDEX(사건마스터!$AM$5:$AM$64,MATCH($F824,사건마스터!$A$5:$A$64,0)),""))</f>
        <v/>
      </c>
      <c r="Q824" s="136">
        <f>IF($F824="","",IFERROR(INDEX(사건마스터!$AN$5:$AN$64,MATCH($F824,사건마스터!$A$5:$A$64,0)),""))</f>
        <v/>
      </c>
      <c r="R824" s="136">
        <f>IF($F824="","",IFERROR(INDEX(사건마스터!$AO$5:$AO$64,MATCH($F824,사건마스터!$A$5:$A$64,0)),""))</f>
        <v/>
      </c>
      <c r="S824" s="136">
        <f>IF($F824="","",IFERROR(INDEX(사건마스터!$AP$5:$AP$64,MATCH($F824,사건마스터!$A$5:$A$64,0)),""))</f>
        <v/>
      </c>
      <c r="T824" s="136">
        <f>IF($F824="","",IFERROR(INDEX(사건마스터!$AQ$5:$AQ$64,MATCH($F824,사건마스터!$A$5:$A$64,0)),""))</f>
        <v/>
      </c>
      <c r="U824" s="136">
        <f>IF($F824="","",IFERROR(INDEX(사건마스터!$AR$5:$AR$64,MATCH($F824,사건마스터!$A$5:$A$64,0)),""))</f>
        <v/>
      </c>
      <c r="V824" s="136">
        <f>IF($F824="","",IFERROR(INDEX(사건마스터!$AS$5:$AS$64,MATCH($F824,사건마스터!$A$5:$A$64,0)),""))</f>
        <v/>
      </c>
      <c r="W824" s="136">
        <f>IF($F824="","",IFERROR(INDEX(사건마스터!$AT$5:$AT$64,MATCH($F824,사건마스터!$A$5:$A$64,0)),""))</f>
        <v/>
      </c>
      <c r="X824" s="136">
        <f>IF($F824="","",IFERROR(INDEX(사건마스터!$AU$5:$AU$64,MATCH($F824,사건마스터!$A$5:$A$64,0)),""))</f>
        <v/>
      </c>
      <c r="Y824" s="136">
        <f>IF($F824="","",IFERROR(INDEX(사건마스터!$AV$5:$AV$64,MATCH($F824,사건마스터!$A$5:$A$64,0)),""))</f>
        <v/>
      </c>
      <c r="Z824" s="118">
        <f>IF(COUNTBLANK($J824:$Y824)=16,"",16-COUNTBLANK($J824:$Y824))</f>
        <v/>
      </c>
      <c r="AA824" s="33">
        <f>IF($J824="",MID($AX824,3,255),$J824&amp;$AX824)</f>
        <v/>
      </c>
      <c r="AB824" s="130">
        <f>IF($J824="","",IFERROR(INDEX(코드설정!$D$5:$D$24,MATCH($J824,코드설정!$C$5:$C$24,0)),""))</f>
        <v/>
      </c>
      <c r="AC824" s="36" t="n"/>
      <c r="AD824" s="37" t="n"/>
      <c r="AE824" s="38" t="n"/>
      <c r="AF824" s="118">
        <f>IF(OR($B824="",$C824=""),"",$C824-$B824+1)</f>
        <v/>
      </c>
      <c r="AG824" s="74" t="n"/>
      <c r="AH824" s="36" t="n"/>
      <c r="AJ824">
        <f>IF($K824="","",", "&amp;$K824)</f>
        <v/>
      </c>
      <c r="AK824">
        <f>AJ824&amp;IF($L824="","",", "&amp;$L824)</f>
        <v/>
      </c>
      <c r="AL824">
        <f>AK824&amp;IF($M824="","",", "&amp;$M824)</f>
        <v/>
      </c>
      <c r="AM824">
        <f>AL824&amp;IF($N824="","",", "&amp;$N824)</f>
        <v/>
      </c>
      <c r="AN824">
        <f>AM824&amp;IF($O824="","",", "&amp;$O824)</f>
        <v/>
      </c>
      <c r="AO824">
        <f>AN824&amp;IF($P824="","",", "&amp;$P824)</f>
        <v/>
      </c>
      <c r="AP824">
        <f>AO824&amp;IF($Q824="","",", "&amp;$Q824)</f>
        <v/>
      </c>
      <c r="AQ824">
        <f>AP824&amp;IF($R824="","",", "&amp;$R824)</f>
        <v/>
      </c>
      <c r="AR824">
        <f>AQ824&amp;IF($S824="","",", "&amp;$S824)</f>
        <v/>
      </c>
      <c r="AS824">
        <f>AR824&amp;IF($T824="","",", "&amp;$T824)</f>
        <v/>
      </c>
      <c r="AT824">
        <f>AS824&amp;IF($U824="","",", "&amp;$U824)</f>
        <v/>
      </c>
      <c r="AU824">
        <f>AT824&amp;IF($V824="","",", "&amp;$V824)</f>
        <v/>
      </c>
      <c r="AV824">
        <f>AU824&amp;IF($W824="","",", "&amp;$W824)</f>
        <v/>
      </c>
      <c r="AW824">
        <f>AV824&amp;IF($X824="","",", "&amp;$X824)</f>
        <v/>
      </c>
      <c r="AX824">
        <f>AW824&amp;IF($Y824="","",", "&amp;$Y824)</f>
        <v/>
      </c>
    </row>
    <row r="825">
      <c r="A825" s="118">
        <f>IF($B825="","",COUNT($B$5:$B825))</f>
        <v/>
      </c>
      <c r="B825" s="80" t="n"/>
      <c r="C825" s="80" t="n"/>
      <c r="D825" s="74" t="n"/>
      <c r="E825" s="74" t="n"/>
      <c r="F825" s="74" t="n"/>
      <c r="G825" s="118">
        <f>IF($F825="","",COUNTIF($F$5:$F825,$F825))</f>
        <v/>
      </c>
      <c r="H825" s="33">
        <f>IF($F825="","",IFERROR(INDEX(사건마스터!$B$5:$B$64,MATCH($F825,사건마스터!$A$5:$A$64,0)),""))</f>
        <v/>
      </c>
      <c r="I825" s="130">
        <f>IF($F825="","",IFERROR(INDEX(사건마스터!$C$5:$C$64,MATCH($F825,사건마스터!$A$5:$A$64,0)),""))</f>
        <v/>
      </c>
      <c r="J825" s="136">
        <f>IF($F825="","",IFERROR(INDEX(사건마스터!$H$5:$H$64,MATCH($F825,사건마스터!$A$5:$A$64,0)),""))</f>
        <v/>
      </c>
      <c r="K825" s="136">
        <f>IF($F825="","",IFERROR(INDEX(사건마스터!$AH$5:$AH$64,MATCH($F825,사건마스터!$A$5:$A$64,0)),""))</f>
        <v/>
      </c>
      <c r="L825" s="136">
        <f>IF($F825="","",IFERROR(INDEX(사건마스터!$AI$5:$AI$64,MATCH($F825,사건마스터!$A$5:$A$64,0)),""))</f>
        <v/>
      </c>
      <c r="M825" s="136">
        <f>IF($F825="","",IFERROR(INDEX(사건마스터!$AJ$5:$AJ$64,MATCH($F825,사건마스터!$A$5:$A$64,0)),""))</f>
        <v/>
      </c>
      <c r="N825" s="136">
        <f>IF($F825="","",IFERROR(INDEX(사건마스터!$AK$5:$AK$64,MATCH($F825,사건마스터!$A$5:$A$64,0)),""))</f>
        <v/>
      </c>
      <c r="O825" s="136">
        <f>IF($F825="","",IFERROR(INDEX(사건마스터!$AL$5:$AL$64,MATCH($F825,사건마스터!$A$5:$A$64,0)),""))</f>
        <v/>
      </c>
      <c r="P825" s="136">
        <f>IF($F825="","",IFERROR(INDEX(사건마스터!$AM$5:$AM$64,MATCH($F825,사건마스터!$A$5:$A$64,0)),""))</f>
        <v/>
      </c>
      <c r="Q825" s="136">
        <f>IF($F825="","",IFERROR(INDEX(사건마스터!$AN$5:$AN$64,MATCH($F825,사건마스터!$A$5:$A$64,0)),""))</f>
        <v/>
      </c>
      <c r="R825" s="136">
        <f>IF($F825="","",IFERROR(INDEX(사건마스터!$AO$5:$AO$64,MATCH($F825,사건마스터!$A$5:$A$64,0)),""))</f>
        <v/>
      </c>
      <c r="S825" s="136">
        <f>IF($F825="","",IFERROR(INDEX(사건마스터!$AP$5:$AP$64,MATCH($F825,사건마스터!$A$5:$A$64,0)),""))</f>
        <v/>
      </c>
      <c r="T825" s="136">
        <f>IF($F825="","",IFERROR(INDEX(사건마스터!$AQ$5:$AQ$64,MATCH($F825,사건마스터!$A$5:$A$64,0)),""))</f>
        <v/>
      </c>
      <c r="U825" s="136">
        <f>IF($F825="","",IFERROR(INDEX(사건마스터!$AR$5:$AR$64,MATCH($F825,사건마스터!$A$5:$A$64,0)),""))</f>
        <v/>
      </c>
      <c r="V825" s="136">
        <f>IF($F825="","",IFERROR(INDEX(사건마스터!$AS$5:$AS$64,MATCH($F825,사건마스터!$A$5:$A$64,0)),""))</f>
        <v/>
      </c>
      <c r="W825" s="136">
        <f>IF($F825="","",IFERROR(INDEX(사건마스터!$AT$5:$AT$64,MATCH($F825,사건마스터!$A$5:$A$64,0)),""))</f>
        <v/>
      </c>
      <c r="X825" s="136">
        <f>IF($F825="","",IFERROR(INDEX(사건마스터!$AU$5:$AU$64,MATCH($F825,사건마스터!$A$5:$A$64,0)),""))</f>
        <v/>
      </c>
      <c r="Y825" s="136">
        <f>IF($F825="","",IFERROR(INDEX(사건마스터!$AV$5:$AV$64,MATCH($F825,사건마스터!$A$5:$A$64,0)),""))</f>
        <v/>
      </c>
      <c r="Z825" s="118">
        <f>IF(COUNTBLANK($J825:$Y825)=16,"",16-COUNTBLANK($J825:$Y825))</f>
        <v/>
      </c>
      <c r="AA825" s="33">
        <f>IF($J825="",MID($AX825,3,255),$J825&amp;$AX825)</f>
        <v/>
      </c>
      <c r="AB825" s="130">
        <f>IF($J825="","",IFERROR(INDEX(코드설정!$D$5:$D$24,MATCH($J825,코드설정!$C$5:$C$24,0)),""))</f>
        <v/>
      </c>
      <c r="AC825" s="36" t="n"/>
      <c r="AD825" s="37" t="n"/>
      <c r="AE825" s="38" t="n"/>
      <c r="AF825" s="118">
        <f>IF(OR($B825="",$C825=""),"",$C825-$B825+1)</f>
        <v/>
      </c>
      <c r="AG825" s="74" t="n"/>
      <c r="AH825" s="36" t="n"/>
      <c r="AJ825">
        <f>IF($K825="","",", "&amp;$K825)</f>
        <v/>
      </c>
      <c r="AK825">
        <f>AJ825&amp;IF($L825="","",", "&amp;$L825)</f>
        <v/>
      </c>
      <c r="AL825">
        <f>AK825&amp;IF($M825="","",", "&amp;$M825)</f>
        <v/>
      </c>
      <c r="AM825">
        <f>AL825&amp;IF($N825="","",", "&amp;$N825)</f>
        <v/>
      </c>
      <c r="AN825">
        <f>AM825&amp;IF($O825="","",", "&amp;$O825)</f>
        <v/>
      </c>
      <c r="AO825">
        <f>AN825&amp;IF($P825="","",", "&amp;$P825)</f>
        <v/>
      </c>
      <c r="AP825">
        <f>AO825&amp;IF($Q825="","",", "&amp;$Q825)</f>
        <v/>
      </c>
      <c r="AQ825">
        <f>AP825&amp;IF($R825="","",", "&amp;$R825)</f>
        <v/>
      </c>
      <c r="AR825">
        <f>AQ825&amp;IF($S825="","",", "&amp;$S825)</f>
        <v/>
      </c>
      <c r="AS825">
        <f>AR825&amp;IF($T825="","",", "&amp;$T825)</f>
        <v/>
      </c>
      <c r="AT825">
        <f>AS825&amp;IF($U825="","",", "&amp;$U825)</f>
        <v/>
      </c>
      <c r="AU825">
        <f>AT825&amp;IF($V825="","",", "&amp;$V825)</f>
        <v/>
      </c>
      <c r="AV825">
        <f>AU825&amp;IF($W825="","",", "&amp;$W825)</f>
        <v/>
      </c>
      <c r="AW825">
        <f>AV825&amp;IF($X825="","",", "&amp;$X825)</f>
        <v/>
      </c>
      <c r="AX825">
        <f>AW825&amp;IF($Y825="","",", "&amp;$Y825)</f>
        <v/>
      </c>
    </row>
    <row r="826">
      <c r="A826" s="118">
        <f>IF($B826="","",COUNT($B$5:$B826))</f>
        <v/>
      </c>
      <c r="B826" s="80" t="n"/>
      <c r="C826" s="80" t="n"/>
      <c r="D826" s="74" t="n"/>
      <c r="E826" s="74" t="n"/>
      <c r="F826" s="74" t="n"/>
      <c r="G826" s="118">
        <f>IF($F826="","",COUNTIF($F$5:$F826,$F826))</f>
        <v/>
      </c>
      <c r="H826" s="33">
        <f>IF($F826="","",IFERROR(INDEX(사건마스터!$B$5:$B$64,MATCH($F826,사건마스터!$A$5:$A$64,0)),""))</f>
        <v/>
      </c>
      <c r="I826" s="130">
        <f>IF($F826="","",IFERROR(INDEX(사건마스터!$C$5:$C$64,MATCH($F826,사건마스터!$A$5:$A$64,0)),""))</f>
        <v/>
      </c>
      <c r="J826" s="136">
        <f>IF($F826="","",IFERROR(INDEX(사건마스터!$H$5:$H$64,MATCH($F826,사건마스터!$A$5:$A$64,0)),""))</f>
        <v/>
      </c>
      <c r="K826" s="136">
        <f>IF($F826="","",IFERROR(INDEX(사건마스터!$AH$5:$AH$64,MATCH($F826,사건마스터!$A$5:$A$64,0)),""))</f>
        <v/>
      </c>
      <c r="L826" s="136">
        <f>IF($F826="","",IFERROR(INDEX(사건마스터!$AI$5:$AI$64,MATCH($F826,사건마스터!$A$5:$A$64,0)),""))</f>
        <v/>
      </c>
      <c r="M826" s="136">
        <f>IF($F826="","",IFERROR(INDEX(사건마스터!$AJ$5:$AJ$64,MATCH($F826,사건마스터!$A$5:$A$64,0)),""))</f>
        <v/>
      </c>
      <c r="N826" s="136">
        <f>IF($F826="","",IFERROR(INDEX(사건마스터!$AK$5:$AK$64,MATCH($F826,사건마스터!$A$5:$A$64,0)),""))</f>
        <v/>
      </c>
      <c r="O826" s="136">
        <f>IF($F826="","",IFERROR(INDEX(사건마스터!$AL$5:$AL$64,MATCH($F826,사건마스터!$A$5:$A$64,0)),""))</f>
        <v/>
      </c>
      <c r="P826" s="136">
        <f>IF($F826="","",IFERROR(INDEX(사건마스터!$AM$5:$AM$64,MATCH($F826,사건마스터!$A$5:$A$64,0)),""))</f>
        <v/>
      </c>
      <c r="Q826" s="136">
        <f>IF($F826="","",IFERROR(INDEX(사건마스터!$AN$5:$AN$64,MATCH($F826,사건마스터!$A$5:$A$64,0)),""))</f>
        <v/>
      </c>
      <c r="R826" s="136">
        <f>IF($F826="","",IFERROR(INDEX(사건마스터!$AO$5:$AO$64,MATCH($F826,사건마스터!$A$5:$A$64,0)),""))</f>
        <v/>
      </c>
      <c r="S826" s="136">
        <f>IF($F826="","",IFERROR(INDEX(사건마스터!$AP$5:$AP$64,MATCH($F826,사건마스터!$A$5:$A$64,0)),""))</f>
        <v/>
      </c>
      <c r="T826" s="136">
        <f>IF($F826="","",IFERROR(INDEX(사건마스터!$AQ$5:$AQ$64,MATCH($F826,사건마스터!$A$5:$A$64,0)),""))</f>
        <v/>
      </c>
      <c r="U826" s="136">
        <f>IF($F826="","",IFERROR(INDEX(사건마스터!$AR$5:$AR$64,MATCH($F826,사건마스터!$A$5:$A$64,0)),""))</f>
        <v/>
      </c>
      <c r="V826" s="136">
        <f>IF($F826="","",IFERROR(INDEX(사건마스터!$AS$5:$AS$64,MATCH($F826,사건마스터!$A$5:$A$64,0)),""))</f>
        <v/>
      </c>
      <c r="W826" s="136">
        <f>IF($F826="","",IFERROR(INDEX(사건마스터!$AT$5:$AT$64,MATCH($F826,사건마스터!$A$5:$A$64,0)),""))</f>
        <v/>
      </c>
      <c r="X826" s="136">
        <f>IF($F826="","",IFERROR(INDEX(사건마스터!$AU$5:$AU$64,MATCH($F826,사건마스터!$A$5:$A$64,0)),""))</f>
        <v/>
      </c>
      <c r="Y826" s="136">
        <f>IF($F826="","",IFERROR(INDEX(사건마스터!$AV$5:$AV$64,MATCH($F826,사건마스터!$A$5:$A$64,0)),""))</f>
        <v/>
      </c>
      <c r="Z826" s="118">
        <f>IF(COUNTBLANK($J826:$Y826)=16,"",16-COUNTBLANK($J826:$Y826))</f>
        <v/>
      </c>
      <c r="AA826" s="33">
        <f>IF($J826="",MID($AX826,3,255),$J826&amp;$AX826)</f>
        <v/>
      </c>
      <c r="AB826" s="130">
        <f>IF($J826="","",IFERROR(INDEX(코드설정!$D$5:$D$24,MATCH($J826,코드설정!$C$5:$C$24,0)),""))</f>
        <v/>
      </c>
      <c r="AC826" s="36" t="n"/>
      <c r="AD826" s="37" t="n"/>
      <c r="AE826" s="38" t="n"/>
      <c r="AF826" s="118">
        <f>IF(OR($B826="",$C826=""),"",$C826-$B826+1)</f>
        <v/>
      </c>
      <c r="AG826" s="74" t="n"/>
      <c r="AH826" s="36" t="n"/>
      <c r="AJ826">
        <f>IF($K826="","",", "&amp;$K826)</f>
        <v/>
      </c>
      <c r="AK826">
        <f>AJ826&amp;IF($L826="","",", "&amp;$L826)</f>
        <v/>
      </c>
      <c r="AL826">
        <f>AK826&amp;IF($M826="","",", "&amp;$M826)</f>
        <v/>
      </c>
      <c r="AM826">
        <f>AL826&amp;IF($N826="","",", "&amp;$N826)</f>
        <v/>
      </c>
      <c r="AN826">
        <f>AM826&amp;IF($O826="","",", "&amp;$O826)</f>
        <v/>
      </c>
      <c r="AO826">
        <f>AN826&amp;IF($P826="","",", "&amp;$P826)</f>
        <v/>
      </c>
      <c r="AP826">
        <f>AO826&amp;IF($Q826="","",", "&amp;$Q826)</f>
        <v/>
      </c>
      <c r="AQ826">
        <f>AP826&amp;IF($R826="","",", "&amp;$R826)</f>
        <v/>
      </c>
      <c r="AR826">
        <f>AQ826&amp;IF($S826="","",", "&amp;$S826)</f>
        <v/>
      </c>
      <c r="AS826">
        <f>AR826&amp;IF($T826="","",", "&amp;$T826)</f>
        <v/>
      </c>
      <c r="AT826">
        <f>AS826&amp;IF($U826="","",", "&amp;$U826)</f>
        <v/>
      </c>
      <c r="AU826">
        <f>AT826&amp;IF($V826="","",", "&amp;$V826)</f>
        <v/>
      </c>
      <c r="AV826">
        <f>AU826&amp;IF($W826="","",", "&amp;$W826)</f>
        <v/>
      </c>
      <c r="AW826">
        <f>AV826&amp;IF($X826="","",", "&amp;$X826)</f>
        <v/>
      </c>
      <c r="AX826">
        <f>AW826&amp;IF($Y826="","",", "&amp;$Y826)</f>
        <v/>
      </c>
    </row>
    <row r="827">
      <c r="A827" s="118">
        <f>IF($B827="","",COUNT($B$5:$B827))</f>
        <v/>
      </c>
      <c r="B827" s="80" t="n"/>
      <c r="C827" s="80" t="n"/>
      <c r="D827" s="74" t="n"/>
      <c r="E827" s="74" t="n"/>
      <c r="F827" s="74" t="n"/>
      <c r="G827" s="118">
        <f>IF($F827="","",COUNTIF($F$5:$F827,$F827))</f>
        <v/>
      </c>
      <c r="H827" s="33">
        <f>IF($F827="","",IFERROR(INDEX(사건마스터!$B$5:$B$64,MATCH($F827,사건마스터!$A$5:$A$64,0)),""))</f>
        <v/>
      </c>
      <c r="I827" s="130">
        <f>IF($F827="","",IFERROR(INDEX(사건마스터!$C$5:$C$64,MATCH($F827,사건마스터!$A$5:$A$64,0)),""))</f>
        <v/>
      </c>
      <c r="J827" s="136">
        <f>IF($F827="","",IFERROR(INDEX(사건마스터!$H$5:$H$64,MATCH($F827,사건마스터!$A$5:$A$64,0)),""))</f>
        <v/>
      </c>
      <c r="K827" s="136">
        <f>IF($F827="","",IFERROR(INDEX(사건마스터!$AH$5:$AH$64,MATCH($F827,사건마스터!$A$5:$A$64,0)),""))</f>
        <v/>
      </c>
      <c r="L827" s="136">
        <f>IF($F827="","",IFERROR(INDEX(사건마스터!$AI$5:$AI$64,MATCH($F827,사건마스터!$A$5:$A$64,0)),""))</f>
        <v/>
      </c>
      <c r="M827" s="136">
        <f>IF($F827="","",IFERROR(INDEX(사건마스터!$AJ$5:$AJ$64,MATCH($F827,사건마스터!$A$5:$A$64,0)),""))</f>
        <v/>
      </c>
      <c r="N827" s="136">
        <f>IF($F827="","",IFERROR(INDEX(사건마스터!$AK$5:$AK$64,MATCH($F827,사건마스터!$A$5:$A$64,0)),""))</f>
        <v/>
      </c>
      <c r="O827" s="136">
        <f>IF($F827="","",IFERROR(INDEX(사건마스터!$AL$5:$AL$64,MATCH($F827,사건마스터!$A$5:$A$64,0)),""))</f>
        <v/>
      </c>
      <c r="P827" s="136">
        <f>IF($F827="","",IFERROR(INDEX(사건마스터!$AM$5:$AM$64,MATCH($F827,사건마스터!$A$5:$A$64,0)),""))</f>
        <v/>
      </c>
      <c r="Q827" s="136">
        <f>IF($F827="","",IFERROR(INDEX(사건마스터!$AN$5:$AN$64,MATCH($F827,사건마스터!$A$5:$A$64,0)),""))</f>
        <v/>
      </c>
      <c r="R827" s="136">
        <f>IF($F827="","",IFERROR(INDEX(사건마스터!$AO$5:$AO$64,MATCH($F827,사건마스터!$A$5:$A$64,0)),""))</f>
        <v/>
      </c>
      <c r="S827" s="136">
        <f>IF($F827="","",IFERROR(INDEX(사건마스터!$AP$5:$AP$64,MATCH($F827,사건마스터!$A$5:$A$64,0)),""))</f>
        <v/>
      </c>
      <c r="T827" s="136">
        <f>IF($F827="","",IFERROR(INDEX(사건마스터!$AQ$5:$AQ$64,MATCH($F827,사건마스터!$A$5:$A$64,0)),""))</f>
        <v/>
      </c>
      <c r="U827" s="136">
        <f>IF($F827="","",IFERROR(INDEX(사건마스터!$AR$5:$AR$64,MATCH($F827,사건마스터!$A$5:$A$64,0)),""))</f>
        <v/>
      </c>
      <c r="V827" s="136">
        <f>IF($F827="","",IFERROR(INDEX(사건마스터!$AS$5:$AS$64,MATCH($F827,사건마스터!$A$5:$A$64,0)),""))</f>
        <v/>
      </c>
      <c r="W827" s="136">
        <f>IF($F827="","",IFERROR(INDEX(사건마스터!$AT$5:$AT$64,MATCH($F827,사건마스터!$A$5:$A$64,0)),""))</f>
        <v/>
      </c>
      <c r="X827" s="136">
        <f>IF($F827="","",IFERROR(INDEX(사건마스터!$AU$5:$AU$64,MATCH($F827,사건마스터!$A$5:$A$64,0)),""))</f>
        <v/>
      </c>
      <c r="Y827" s="136">
        <f>IF($F827="","",IFERROR(INDEX(사건마스터!$AV$5:$AV$64,MATCH($F827,사건마스터!$A$5:$A$64,0)),""))</f>
        <v/>
      </c>
      <c r="Z827" s="118">
        <f>IF(COUNTBLANK($J827:$Y827)=16,"",16-COUNTBLANK($J827:$Y827))</f>
        <v/>
      </c>
      <c r="AA827" s="33">
        <f>IF($J827="",MID($AX827,3,255),$J827&amp;$AX827)</f>
        <v/>
      </c>
      <c r="AB827" s="130">
        <f>IF($J827="","",IFERROR(INDEX(코드설정!$D$5:$D$24,MATCH($J827,코드설정!$C$5:$C$24,0)),""))</f>
        <v/>
      </c>
      <c r="AC827" s="36" t="n"/>
      <c r="AD827" s="37" t="n"/>
      <c r="AE827" s="38" t="n"/>
      <c r="AF827" s="118">
        <f>IF(OR($B827="",$C827=""),"",$C827-$B827+1)</f>
        <v/>
      </c>
      <c r="AG827" s="74" t="n"/>
      <c r="AH827" s="36" t="n"/>
      <c r="AJ827">
        <f>IF($K827="","",", "&amp;$K827)</f>
        <v/>
      </c>
      <c r="AK827">
        <f>AJ827&amp;IF($L827="","",", "&amp;$L827)</f>
        <v/>
      </c>
      <c r="AL827">
        <f>AK827&amp;IF($M827="","",", "&amp;$M827)</f>
        <v/>
      </c>
      <c r="AM827">
        <f>AL827&amp;IF($N827="","",", "&amp;$N827)</f>
        <v/>
      </c>
      <c r="AN827">
        <f>AM827&amp;IF($O827="","",", "&amp;$O827)</f>
        <v/>
      </c>
      <c r="AO827">
        <f>AN827&amp;IF($P827="","",", "&amp;$P827)</f>
        <v/>
      </c>
      <c r="AP827">
        <f>AO827&amp;IF($Q827="","",", "&amp;$Q827)</f>
        <v/>
      </c>
      <c r="AQ827">
        <f>AP827&amp;IF($R827="","",", "&amp;$R827)</f>
        <v/>
      </c>
      <c r="AR827">
        <f>AQ827&amp;IF($S827="","",", "&amp;$S827)</f>
        <v/>
      </c>
      <c r="AS827">
        <f>AR827&amp;IF($T827="","",", "&amp;$T827)</f>
        <v/>
      </c>
      <c r="AT827">
        <f>AS827&amp;IF($U827="","",", "&amp;$U827)</f>
        <v/>
      </c>
      <c r="AU827">
        <f>AT827&amp;IF($V827="","",", "&amp;$V827)</f>
        <v/>
      </c>
      <c r="AV827">
        <f>AU827&amp;IF($W827="","",", "&amp;$W827)</f>
        <v/>
      </c>
      <c r="AW827">
        <f>AV827&amp;IF($X827="","",", "&amp;$X827)</f>
        <v/>
      </c>
      <c r="AX827">
        <f>AW827&amp;IF($Y827="","",", "&amp;$Y827)</f>
        <v/>
      </c>
    </row>
    <row r="828">
      <c r="A828" s="118">
        <f>IF($B828="","",COUNT($B$5:$B828))</f>
        <v/>
      </c>
      <c r="B828" s="80" t="n"/>
      <c r="C828" s="80" t="n"/>
      <c r="D828" s="74" t="n"/>
      <c r="E828" s="74" t="n"/>
      <c r="F828" s="74" t="n"/>
      <c r="G828" s="118">
        <f>IF($F828="","",COUNTIF($F$5:$F828,$F828))</f>
        <v/>
      </c>
      <c r="H828" s="33">
        <f>IF($F828="","",IFERROR(INDEX(사건마스터!$B$5:$B$64,MATCH($F828,사건마스터!$A$5:$A$64,0)),""))</f>
        <v/>
      </c>
      <c r="I828" s="130">
        <f>IF($F828="","",IFERROR(INDEX(사건마스터!$C$5:$C$64,MATCH($F828,사건마스터!$A$5:$A$64,0)),""))</f>
        <v/>
      </c>
      <c r="J828" s="136">
        <f>IF($F828="","",IFERROR(INDEX(사건마스터!$H$5:$H$64,MATCH($F828,사건마스터!$A$5:$A$64,0)),""))</f>
        <v/>
      </c>
      <c r="K828" s="136">
        <f>IF($F828="","",IFERROR(INDEX(사건마스터!$AH$5:$AH$64,MATCH($F828,사건마스터!$A$5:$A$64,0)),""))</f>
        <v/>
      </c>
      <c r="L828" s="136">
        <f>IF($F828="","",IFERROR(INDEX(사건마스터!$AI$5:$AI$64,MATCH($F828,사건마스터!$A$5:$A$64,0)),""))</f>
        <v/>
      </c>
      <c r="M828" s="136">
        <f>IF($F828="","",IFERROR(INDEX(사건마스터!$AJ$5:$AJ$64,MATCH($F828,사건마스터!$A$5:$A$64,0)),""))</f>
        <v/>
      </c>
      <c r="N828" s="136">
        <f>IF($F828="","",IFERROR(INDEX(사건마스터!$AK$5:$AK$64,MATCH($F828,사건마스터!$A$5:$A$64,0)),""))</f>
        <v/>
      </c>
      <c r="O828" s="136">
        <f>IF($F828="","",IFERROR(INDEX(사건마스터!$AL$5:$AL$64,MATCH($F828,사건마스터!$A$5:$A$64,0)),""))</f>
        <v/>
      </c>
      <c r="P828" s="136">
        <f>IF($F828="","",IFERROR(INDEX(사건마스터!$AM$5:$AM$64,MATCH($F828,사건마스터!$A$5:$A$64,0)),""))</f>
        <v/>
      </c>
      <c r="Q828" s="136">
        <f>IF($F828="","",IFERROR(INDEX(사건마스터!$AN$5:$AN$64,MATCH($F828,사건마스터!$A$5:$A$64,0)),""))</f>
        <v/>
      </c>
      <c r="R828" s="136">
        <f>IF($F828="","",IFERROR(INDEX(사건마스터!$AO$5:$AO$64,MATCH($F828,사건마스터!$A$5:$A$64,0)),""))</f>
        <v/>
      </c>
      <c r="S828" s="136">
        <f>IF($F828="","",IFERROR(INDEX(사건마스터!$AP$5:$AP$64,MATCH($F828,사건마스터!$A$5:$A$64,0)),""))</f>
        <v/>
      </c>
      <c r="T828" s="136">
        <f>IF($F828="","",IFERROR(INDEX(사건마스터!$AQ$5:$AQ$64,MATCH($F828,사건마스터!$A$5:$A$64,0)),""))</f>
        <v/>
      </c>
      <c r="U828" s="136">
        <f>IF($F828="","",IFERROR(INDEX(사건마스터!$AR$5:$AR$64,MATCH($F828,사건마스터!$A$5:$A$64,0)),""))</f>
        <v/>
      </c>
      <c r="V828" s="136">
        <f>IF($F828="","",IFERROR(INDEX(사건마스터!$AS$5:$AS$64,MATCH($F828,사건마스터!$A$5:$A$64,0)),""))</f>
        <v/>
      </c>
      <c r="W828" s="136">
        <f>IF($F828="","",IFERROR(INDEX(사건마스터!$AT$5:$AT$64,MATCH($F828,사건마스터!$A$5:$A$64,0)),""))</f>
        <v/>
      </c>
      <c r="X828" s="136">
        <f>IF($F828="","",IFERROR(INDEX(사건마스터!$AU$5:$AU$64,MATCH($F828,사건마스터!$A$5:$A$64,0)),""))</f>
        <v/>
      </c>
      <c r="Y828" s="136">
        <f>IF($F828="","",IFERROR(INDEX(사건마스터!$AV$5:$AV$64,MATCH($F828,사건마스터!$A$5:$A$64,0)),""))</f>
        <v/>
      </c>
      <c r="Z828" s="118">
        <f>IF(COUNTBLANK($J828:$Y828)=16,"",16-COUNTBLANK($J828:$Y828))</f>
        <v/>
      </c>
      <c r="AA828" s="33">
        <f>IF($J828="",MID($AX828,3,255),$J828&amp;$AX828)</f>
        <v/>
      </c>
      <c r="AB828" s="130">
        <f>IF($J828="","",IFERROR(INDEX(코드설정!$D$5:$D$24,MATCH($J828,코드설정!$C$5:$C$24,0)),""))</f>
        <v/>
      </c>
      <c r="AC828" s="36" t="n"/>
      <c r="AD828" s="37" t="n"/>
      <c r="AE828" s="38" t="n"/>
      <c r="AF828" s="118">
        <f>IF(OR($B828="",$C828=""),"",$C828-$B828+1)</f>
        <v/>
      </c>
      <c r="AG828" s="74" t="n"/>
      <c r="AH828" s="36" t="n"/>
      <c r="AJ828">
        <f>IF($K828="","",", "&amp;$K828)</f>
        <v/>
      </c>
      <c r="AK828">
        <f>AJ828&amp;IF($L828="","",", "&amp;$L828)</f>
        <v/>
      </c>
      <c r="AL828">
        <f>AK828&amp;IF($M828="","",", "&amp;$M828)</f>
        <v/>
      </c>
      <c r="AM828">
        <f>AL828&amp;IF($N828="","",", "&amp;$N828)</f>
        <v/>
      </c>
      <c r="AN828">
        <f>AM828&amp;IF($O828="","",", "&amp;$O828)</f>
        <v/>
      </c>
      <c r="AO828">
        <f>AN828&amp;IF($P828="","",", "&amp;$P828)</f>
        <v/>
      </c>
      <c r="AP828">
        <f>AO828&amp;IF($Q828="","",", "&amp;$Q828)</f>
        <v/>
      </c>
      <c r="AQ828">
        <f>AP828&amp;IF($R828="","",", "&amp;$R828)</f>
        <v/>
      </c>
      <c r="AR828">
        <f>AQ828&amp;IF($S828="","",", "&amp;$S828)</f>
        <v/>
      </c>
      <c r="AS828">
        <f>AR828&amp;IF($T828="","",", "&amp;$T828)</f>
        <v/>
      </c>
      <c r="AT828">
        <f>AS828&amp;IF($U828="","",", "&amp;$U828)</f>
        <v/>
      </c>
      <c r="AU828">
        <f>AT828&amp;IF($V828="","",", "&amp;$V828)</f>
        <v/>
      </c>
      <c r="AV828">
        <f>AU828&amp;IF($W828="","",", "&amp;$W828)</f>
        <v/>
      </c>
      <c r="AW828">
        <f>AV828&amp;IF($X828="","",", "&amp;$X828)</f>
        <v/>
      </c>
      <c r="AX828">
        <f>AW828&amp;IF($Y828="","",", "&amp;$Y828)</f>
        <v/>
      </c>
    </row>
    <row r="829">
      <c r="A829" s="118">
        <f>IF($B829="","",COUNT($B$5:$B829))</f>
        <v/>
      </c>
      <c r="B829" s="80" t="n"/>
      <c r="C829" s="80" t="n"/>
      <c r="D829" s="74" t="n"/>
      <c r="E829" s="74" t="n"/>
      <c r="F829" s="74" t="n"/>
      <c r="G829" s="118">
        <f>IF($F829="","",COUNTIF($F$5:$F829,$F829))</f>
        <v/>
      </c>
      <c r="H829" s="33">
        <f>IF($F829="","",IFERROR(INDEX(사건마스터!$B$5:$B$64,MATCH($F829,사건마스터!$A$5:$A$64,0)),""))</f>
        <v/>
      </c>
      <c r="I829" s="130">
        <f>IF($F829="","",IFERROR(INDEX(사건마스터!$C$5:$C$64,MATCH($F829,사건마스터!$A$5:$A$64,0)),""))</f>
        <v/>
      </c>
      <c r="J829" s="136">
        <f>IF($F829="","",IFERROR(INDEX(사건마스터!$H$5:$H$64,MATCH($F829,사건마스터!$A$5:$A$64,0)),""))</f>
        <v/>
      </c>
      <c r="K829" s="136">
        <f>IF($F829="","",IFERROR(INDEX(사건마스터!$AH$5:$AH$64,MATCH($F829,사건마스터!$A$5:$A$64,0)),""))</f>
        <v/>
      </c>
      <c r="L829" s="136">
        <f>IF($F829="","",IFERROR(INDEX(사건마스터!$AI$5:$AI$64,MATCH($F829,사건마스터!$A$5:$A$64,0)),""))</f>
        <v/>
      </c>
      <c r="M829" s="136">
        <f>IF($F829="","",IFERROR(INDEX(사건마스터!$AJ$5:$AJ$64,MATCH($F829,사건마스터!$A$5:$A$64,0)),""))</f>
        <v/>
      </c>
      <c r="N829" s="136">
        <f>IF($F829="","",IFERROR(INDEX(사건마스터!$AK$5:$AK$64,MATCH($F829,사건마스터!$A$5:$A$64,0)),""))</f>
        <v/>
      </c>
      <c r="O829" s="136">
        <f>IF($F829="","",IFERROR(INDEX(사건마스터!$AL$5:$AL$64,MATCH($F829,사건마스터!$A$5:$A$64,0)),""))</f>
        <v/>
      </c>
      <c r="P829" s="136">
        <f>IF($F829="","",IFERROR(INDEX(사건마스터!$AM$5:$AM$64,MATCH($F829,사건마스터!$A$5:$A$64,0)),""))</f>
        <v/>
      </c>
      <c r="Q829" s="136">
        <f>IF($F829="","",IFERROR(INDEX(사건마스터!$AN$5:$AN$64,MATCH($F829,사건마스터!$A$5:$A$64,0)),""))</f>
        <v/>
      </c>
      <c r="R829" s="136">
        <f>IF($F829="","",IFERROR(INDEX(사건마스터!$AO$5:$AO$64,MATCH($F829,사건마스터!$A$5:$A$64,0)),""))</f>
        <v/>
      </c>
      <c r="S829" s="136">
        <f>IF($F829="","",IFERROR(INDEX(사건마스터!$AP$5:$AP$64,MATCH($F829,사건마스터!$A$5:$A$64,0)),""))</f>
        <v/>
      </c>
      <c r="T829" s="136">
        <f>IF($F829="","",IFERROR(INDEX(사건마스터!$AQ$5:$AQ$64,MATCH($F829,사건마스터!$A$5:$A$64,0)),""))</f>
        <v/>
      </c>
      <c r="U829" s="136">
        <f>IF($F829="","",IFERROR(INDEX(사건마스터!$AR$5:$AR$64,MATCH($F829,사건마스터!$A$5:$A$64,0)),""))</f>
        <v/>
      </c>
      <c r="V829" s="136">
        <f>IF($F829="","",IFERROR(INDEX(사건마스터!$AS$5:$AS$64,MATCH($F829,사건마스터!$A$5:$A$64,0)),""))</f>
        <v/>
      </c>
      <c r="W829" s="136">
        <f>IF($F829="","",IFERROR(INDEX(사건마스터!$AT$5:$AT$64,MATCH($F829,사건마스터!$A$5:$A$64,0)),""))</f>
        <v/>
      </c>
      <c r="X829" s="136">
        <f>IF($F829="","",IFERROR(INDEX(사건마스터!$AU$5:$AU$64,MATCH($F829,사건마스터!$A$5:$A$64,0)),""))</f>
        <v/>
      </c>
      <c r="Y829" s="136">
        <f>IF($F829="","",IFERROR(INDEX(사건마스터!$AV$5:$AV$64,MATCH($F829,사건마스터!$A$5:$A$64,0)),""))</f>
        <v/>
      </c>
      <c r="Z829" s="118">
        <f>IF(COUNTBLANK($J829:$Y829)=16,"",16-COUNTBLANK($J829:$Y829))</f>
        <v/>
      </c>
      <c r="AA829" s="33">
        <f>IF($J829="",MID($AX829,3,255),$J829&amp;$AX829)</f>
        <v/>
      </c>
      <c r="AB829" s="130">
        <f>IF($J829="","",IFERROR(INDEX(코드설정!$D$5:$D$24,MATCH($J829,코드설정!$C$5:$C$24,0)),""))</f>
        <v/>
      </c>
      <c r="AC829" s="36" t="n"/>
      <c r="AD829" s="37" t="n"/>
      <c r="AE829" s="38" t="n"/>
      <c r="AF829" s="118">
        <f>IF(OR($B829="",$C829=""),"",$C829-$B829+1)</f>
        <v/>
      </c>
      <c r="AG829" s="74" t="n"/>
      <c r="AH829" s="36" t="n"/>
      <c r="AJ829">
        <f>IF($K829="","",", "&amp;$K829)</f>
        <v/>
      </c>
      <c r="AK829">
        <f>AJ829&amp;IF($L829="","",", "&amp;$L829)</f>
        <v/>
      </c>
      <c r="AL829">
        <f>AK829&amp;IF($M829="","",", "&amp;$M829)</f>
        <v/>
      </c>
      <c r="AM829">
        <f>AL829&amp;IF($N829="","",", "&amp;$N829)</f>
        <v/>
      </c>
      <c r="AN829">
        <f>AM829&amp;IF($O829="","",", "&amp;$O829)</f>
        <v/>
      </c>
      <c r="AO829">
        <f>AN829&amp;IF($P829="","",", "&amp;$P829)</f>
        <v/>
      </c>
      <c r="AP829">
        <f>AO829&amp;IF($Q829="","",", "&amp;$Q829)</f>
        <v/>
      </c>
      <c r="AQ829">
        <f>AP829&amp;IF($R829="","",", "&amp;$R829)</f>
        <v/>
      </c>
      <c r="AR829">
        <f>AQ829&amp;IF($S829="","",", "&amp;$S829)</f>
        <v/>
      </c>
      <c r="AS829">
        <f>AR829&amp;IF($T829="","",", "&amp;$T829)</f>
        <v/>
      </c>
      <c r="AT829">
        <f>AS829&amp;IF($U829="","",", "&amp;$U829)</f>
        <v/>
      </c>
      <c r="AU829">
        <f>AT829&amp;IF($V829="","",", "&amp;$V829)</f>
        <v/>
      </c>
      <c r="AV829">
        <f>AU829&amp;IF($W829="","",", "&amp;$W829)</f>
        <v/>
      </c>
      <c r="AW829">
        <f>AV829&amp;IF($X829="","",", "&amp;$X829)</f>
        <v/>
      </c>
      <c r="AX829">
        <f>AW829&amp;IF($Y829="","",", "&amp;$Y829)</f>
        <v/>
      </c>
    </row>
    <row r="830">
      <c r="A830" s="118">
        <f>IF($B830="","",COUNT($B$5:$B830))</f>
        <v/>
      </c>
      <c r="B830" s="80" t="n"/>
      <c r="C830" s="80" t="n"/>
      <c r="D830" s="74" t="n"/>
      <c r="E830" s="74" t="n"/>
      <c r="F830" s="74" t="n"/>
      <c r="G830" s="118">
        <f>IF($F830="","",COUNTIF($F$5:$F830,$F830))</f>
        <v/>
      </c>
      <c r="H830" s="33">
        <f>IF($F830="","",IFERROR(INDEX(사건마스터!$B$5:$B$64,MATCH($F830,사건마스터!$A$5:$A$64,0)),""))</f>
        <v/>
      </c>
      <c r="I830" s="130">
        <f>IF($F830="","",IFERROR(INDEX(사건마스터!$C$5:$C$64,MATCH($F830,사건마스터!$A$5:$A$64,0)),""))</f>
        <v/>
      </c>
      <c r="J830" s="136">
        <f>IF($F830="","",IFERROR(INDEX(사건마스터!$H$5:$H$64,MATCH($F830,사건마스터!$A$5:$A$64,0)),""))</f>
        <v/>
      </c>
      <c r="K830" s="136">
        <f>IF($F830="","",IFERROR(INDEX(사건마스터!$AH$5:$AH$64,MATCH($F830,사건마스터!$A$5:$A$64,0)),""))</f>
        <v/>
      </c>
      <c r="L830" s="136">
        <f>IF($F830="","",IFERROR(INDEX(사건마스터!$AI$5:$AI$64,MATCH($F830,사건마스터!$A$5:$A$64,0)),""))</f>
        <v/>
      </c>
      <c r="M830" s="136">
        <f>IF($F830="","",IFERROR(INDEX(사건마스터!$AJ$5:$AJ$64,MATCH($F830,사건마스터!$A$5:$A$64,0)),""))</f>
        <v/>
      </c>
      <c r="N830" s="136">
        <f>IF($F830="","",IFERROR(INDEX(사건마스터!$AK$5:$AK$64,MATCH($F830,사건마스터!$A$5:$A$64,0)),""))</f>
        <v/>
      </c>
      <c r="O830" s="136">
        <f>IF($F830="","",IFERROR(INDEX(사건마스터!$AL$5:$AL$64,MATCH($F830,사건마스터!$A$5:$A$64,0)),""))</f>
        <v/>
      </c>
      <c r="P830" s="136">
        <f>IF($F830="","",IFERROR(INDEX(사건마스터!$AM$5:$AM$64,MATCH($F830,사건마스터!$A$5:$A$64,0)),""))</f>
        <v/>
      </c>
      <c r="Q830" s="136">
        <f>IF($F830="","",IFERROR(INDEX(사건마스터!$AN$5:$AN$64,MATCH($F830,사건마스터!$A$5:$A$64,0)),""))</f>
        <v/>
      </c>
      <c r="R830" s="136">
        <f>IF($F830="","",IFERROR(INDEX(사건마스터!$AO$5:$AO$64,MATCH($F830,사건마스터!$A$5:$A$64,0)),""))</f>
        <v/>
      </c>
      <c r="S830" s="136">
        <f>IF($F830="","",IFERROR(INDEX(사건마스터!$AP$5:$AP$64,MATCH($F830,사건마스터!$A$5:$A$64,0)),""))</f>
        <v/>
      </c>
      <c r="T830" s="136">
        <f>IF($F830="","",IFERROR(INDEX(사건마스터!$AQ$5:$AQ$64,MATCH($F830,사건마스터!$A$5:$A$64,0)),""))</f>
        <v/>
      </c>
      <c r="U830" s="136">
        <f>IF($F830="","",IFERROR(INDEX(사건마스터!$AR$5:$AR$64,MATCH($F830,사건마스터!$A$5:$A$64,0)),""))</f>
        <v/>
      </c>
      <c r="V830" s="136">
        <f>IF($F830="","",IFERROR(INDEX(사건마스터!$AS$5:$AS$64,MATCH($F830,사건마스터!$A$5:$A$64,0)),""))</f>
        <v/>
      </c>
      <c r="W830" s="136">
        <f>IF($F830="","",IFERROR(INDEX(사건마스터!$AT$5:$AT$64,MATCH($F830,사건마스터!$A$5:$A$64,0)),""))</f>
        <v/>
      </c>
      <c r="X830" s="136">
        <f>IF($F830="","",IFERROR(INDEX(사건마스터!$AU$5:$AU$64,MATCH($F830,사건마스터!$A$5:$A$64,0)),""))</f>
        <v/>
      </c>
      <c r="Y830" s="136">
        <f>IF($F830="","",IFERROR(INDEX(사건마스터!$AV$5:$AV$64,MATCH($F830,사건마스터!$A$5:$A$64,0)),""))</f>
        <v/>
      </c>
      <c r="Z830" s="118">
        <f>IF(COUNTBLANK($J830:$Y830)=16,"",16-COUNTBLANK($J830:$Y830))</f>
        <v/>
      </c>
      <c r="AA830" s="33">
        <f>IF($J830="",MID($AX830,3,255),$J830&amp;$AX830)</f>
        <v/>
      </c>
      <c r="AB830" s="130">
        <f>IF($J830="","",IFERROR(INDEX(코드설정!$D$5:$D$24,MATCH($J830,코드설정!$C$5:$C$24,0)),""))</f>
        <v/>
      </c>
      <c r="AC830" s="36" t="n"/>
      <c r="AD830" s="37" t="n"/>
      <c r="AE830" s="38" t="n"/>
      <c r="AF830" s="118">
        <f>IF(OR($B830="",$C830=""),"",$C830-$B830+1)</f>
        <v/>
      </c>
      <c r="AG830" s="74" t="n"/>
      <c r="AH830" s="36" t="n"/>
      <c r="AJ830">
        <f>IF($K830="","",", "&amp;$K830)</f>
        <v/>
      </c>
      <c r="AK830">
        <f>AJ830&amp;IF($L830="","",", "&amp;$L830)</f>
        <v/>
      </c>
      <c r="AL830">
        <f>AK830&amp;IF($M830="","",", "&amp;$M830)</f>
        <v/>
      </c>
      <c r="AM830">
        <f>AL830&amp;IF($N830="","",", "&amp;$N830)</f>
        <v/>
      </c>
      <c r="AN830">
        <f>AM830&amp;IF($O830="","",", "&amp;$O830)</f>
        <v/>
      </c>
      <c r="AO830">
        <f>AN830&amp;IF($P830="","",", "&amp;$P830)</f>
        <v/>
      </c>
      <c r="AP830">
        <f>AO830&amp;IF($Q830="","",", "&amp;$Q830)</f>
        <v/>
      </c>
      <c r="AQ830">
        <f>AP830&amp;IF($R830="","",", "&amp;$R830)</f>
        <v/>
      </c>
      <c r="AR830">
        <f>AQ830&amp;IF($S830="","",", "&amp;$S830)</f>
        <v/>
      </c>
      <c r="AS830">
        <f>AR830&amp;IF($T830="","",", "&amp;$T830)</f>
        <v/>
      </c>
      <c r="AT830">
        <f>AS830&amp;IF($U830="","",", "&amp;$U830)</f>
        <v/>
      </c>
      <c r="AU830">
        <f>AT830&amp;IF($V830="","",", "&amp;$V830)</f>
        <v/>
      </c>
      <c r="AV830">
        <f>AU830&amp;IF($W830="","",", "&amp;$W830)</f>
        <v/>
      </c>
      <c r="AW830">
        <f>AV830&amp;IF($X830="","",", "&amp;$X830)</f>
        <v/>
      </c>
      <c r="AX830">
        <f>AW830&amp;IF($Y830="","",", "&amp;$Y830)</f>
        <v/>
      </c>
    </row>
    <row r="831">
      <c r="A831" s="118">
        <f>IF($B831="","",COUNT($B$5:$B831))</f>
        <v/>
      </c>
      <c r="B831" s="80" t="n"/>
      <c r="C831" s="80" t="n"/>
      <c r="D831" s="74" t="n"/>
      <c r="E831" s="74" t="n"/>
      <c r="F831" s="74" t="n"/>
      <c r="G831" s="118">
        <f>IF($F831="","",COUNTIF($F$5:$F831,$F831))</f>
        <v/>
      </c>
      <c r="H831" s="33">
        <f>IF($F831="","",IFERROR(INDEX(사건마스터!$B$5:$B$64,MATCH($F831,사건마스터!$A$5:$A$64,0)),""))</f>
        <v/>
      </c>
      <c r="I831" s="130">
        <f>IF($F831="","",IFERROR(INDEX(사건마스터!$C$5:$C$64,MATCH($F831,사건마스터!$A$5:$A$64,0)),""))</f>
        <v/>
      </c>
      <c r="J831" s="136">
        <f>IF($F831="","",IFERROR(INDEX(사건마스터!$H$5:$H$64,MATCH($F831,사건마스터!$A$5:$A$64,0)),""))</f>
        <v/>
      </c>
      <c r="K831" s="136">
        <f>IF($F831="","",IFERROR(INDEX(사건마스터!$AH$5:$AH$64,MATCH($F831,사건마스터!$A$5:$A$64,0)),""))</f>
        <v/>
      </c>
      <c r="L831" s="136">
        <f>IF($F831="","",IFERROR(INDEX(사건마스터!$AI$5:$AI$64,MATCH($F831,사건마스터!$A$5:$A$64,0)),""))</f>
        <v/>
      </c>
      <c r="M831" s="136">
        <f>IF($F831="","",IFERROR(INDEX(사건마스터!$AJ$5:$AJ$64,MATCH($F831,사건마스터!$A$5:$A$64,0)),""))</f>
        <v/>
      </c>
      <c r="N831" s="136">
        <f>IF($F831="","",IFERROR(INDEX(사건마스터!$AK$5:$AK$64,MATCH($F831,사건마스터!$A$5:$A$64,0)),""))</f>
        <v/>
      </c>
      <c r="O831" s="136">
        <f>IF($F831="","",IFERROR(INDEX(사건마스터!$AL$5:$AL$64,MATCH($F831,사건마스터!$A$5:$A$64,0)),""))</f>
        <v/>
      </c>
      <c r="P831" s="136">
        <f>IF($F831="","",IFERROR(INDEX(사건마스터!$AM$5:$AM$64,MATCH($F831,사건마스터!$A$5:$A$64,0)),""))</f>
        <v/>
      </c>
      <c r="Q831" s="136">
        <f>IF($F831="","",IFERROR(INDEX(사건마스터!$AN$5:$AN$64,MATCH($F831,사건마스터!$A$5:$A$64,0)),""))</f>
        <v/>
      </c>
      <c r="R831" s="136">
        <f>IF($F831="","",IFERROR(INDEX(사건마스터!$AO$5:$AO$64,MATCH($F831,사건마스터!$A$5:$A$64,0)),""))</f>
        <v/>
      </c>
      <c r="S831" s="136">
        <f>IF($F831="","",IFERROR(INDEX(사건마스터!$AP$5:$AP$64,MATCH($F831,사건마스터!$A$5:$A$64,0)),""))</f>
        <v/>
      </c>
      <c r="T831" s="136">
        <f>IF($F831="","",IFERROR(INDEX(사건마스터!$AQ$5:$AQ$64,MATCH($F831,사건마스터!$A$5:$A$64,0)),""))</f>
        <v/>
      </c>
      <c r="U831" s="136">
        <f>IF($F831="","",IFERROR(INDEX(사건마스터!$AR$5:$AR$64,MATCH($F831,사건마스터!$A$5:$A$64,0)),""))</f>
        <v/>
      </c>
      <c r="V831" s="136">
        <f>IF($F831="","",IFERROR(INDEX(사건마스터!$AS$5:$AS$64,MATCH($F831,사건마스터!$A$5:$A$64,0)),""))</f>
        <v/>
      </c>
      <c r="W831" s="136">
        <f>IF($F831="","",IFERROR(INDEX(사건마스터!$AT$5:$AT$64,MATCH($F831,사건마스터!$A$5:$A$64,0)),""))</f>
        <v/>
      </c>
      <c r="X831" s="136">
        <f>IF($F831="","",IFERROR(INDEX(사건마스터!$AU$5:$AU$64,MATCH($F831,사건마스터!$A$5:$A$64,0)),""))</f>
        <v/>
      </c>
      <c r="Y831" s="136">
        <f>IF($F831="","",IFERROR(INDEX(사건마스터!$AV$5:$AV$64,MATCH($F831,사건마스터!$A$5:$A$64,0)),""))</f>
        <v/>
      </c>
      <c r="Z831" s="118">
        <f>IF(COUNTBLANK($J831:$Y831)=16,"",16-COUNTBLANK($J831:$Y831))</f>
        <v/>
      </c>
      <c r="AA831" s="33">
        <f>IF($J831="",MID($AX831,3,255),$J831&amp;$AX831)</f>
        <v/>
      </c>
      <c r="AB831" s="130">
        <f>IF($J831="","",IFERROR(INDEX(코드설정!$D$5:$D$24,MATCH($J831,코드설정!$C$5:$C$24,0)),""))</f>
        <v/>
      </c>
      <c r="AC831" s="36" t="n"/>
      <c r="AD831" s="37" t="n"/>
      <c r="AE831" s="38" t="n"/>
      <c r="AF831" s="118">
        <f>IF(OR($B831="",$C831=""),"",$C831-$B831+1)</f>
        <v/>
      </c>
      <c r="AG831" s="74" t="n"/>
      <c r="AH831" s="36" t="n"/>
      <c r="AJ831">
        <f>IF($K831="","",", "&amp;$K831)</f>
        <v/>
      </c>
      <c r="AK831">
        <f>AJ831&amp;IF($L831="","",", "&amp;$L831)</f>
        <v/>
      </c>
      <c r="AL831">
        <f>AK831&amp;IF($M831="","",", "&amp;$M831)</f>
        <v/>
      </c>
      <c r="AM831">
        <f>AL831&amp;IF($N831="","",", "&amp;$N831)</f>
        <v/>
      </c>
      <c r="AN831">
        <f>AM831&amp;IF($O831="","",", "&amp;$O831)</f>
        <v/>
      </c>
      <c r="AO831">
        <f>AN831&amp;IF($P831="","",", "&amp;$P831)</f>
        <v/>
      </c>
      <c r="AP831">
        <f>AO831&amp;IF($Q831="","",", "&amp;$Q831)</f>
        <v/>
      </c>
      <c r="AQ831">
        <f>AP831&amp;IF($R831="","",", "&amp;$R831)</f>
        <v/>
      </c>
      <c r="AR831">
        <f>AQ831&amp;IF($S831="","",", "&amp;$S831)</f>
        <v/>
      </c>
      <c r="AS831">
        <f>AR831&amp;IF($T831="","",", "&amp;$T831)</f>
        <v/>
      </c>
      <c r="AT831">
        <f>AS831&amp;IF($U831="","",", "&amp;$U831)</f>
        <v/>
      </c>
      <c r="AU831">
        <f>AT831&amp;IF($V831="","",", "&amp;$V831)</f>
        <v/>
      </c>
      <c r="AV831">
        <f>AU831&amp;IF($W831="","",", "&amp;$W831)</f>
        <v/>
      </c>
      <c r="AW831">
        <f>AV831&amp;IF($X831="","",", "&amp;$X831)</f>
        <v/>
      </c>
      <c r="AX831">
        <f>AW831&amp;IF($Y831="","",", "&amp;$Y831)</f>
        <v/>
      </c>
    </row>
    <row r="832">
      <c r="A832" s="118">
        <f>IF($B832="","",COUNT($B$5:$B832))</f>
        <v/>
      </c>
      <c r="B832" s="80" t="n"/>
      <c r="C832" s="80" t="n"/>
      <c r="D832" s="74" t="n"/>
      <c r="E832" s="74" t="n"/>
      <c r="F832" s="74" t="n"/>
      <c r="G832" s="118">
        <f>IF($F832="","",COUNTIF($F$5:$F832,$F832))</f>
        <v/>
      </c>
      <c r="H832" s="33">
        <f>IF($F832="","",IFERROR(INDEX(사건마스터!$B$5:$B$64,MATCH($F832,사건마스터!$A$5:$A$64,0)),""))</f>
        <v/>
      </c>
      <c r="I832" s="130">
        <f>IF($F832="","",IFERROR(INDEX(사건마스터!$C$5:$C$64,MATCH($F832,사건마스터!$A$5:$A$64,0)),""))</f>
        <v/>
      </c>
      <c r="J832" s="136">
        <f>IF($F832="","",IFERROR(INDEX(사건마스터!$H$5:$H$64,MATCH($F832,사건마스터!$A$5:$A$64,0)),""))</f>
        <v/>
      </c>
      <c r="K832" s="136">
        <f>IF($F832="","",IFERROR(INDEX(사건마스터!$AH$5:$AH$64,MATCH($F832,사건마스터!$A$5:$A$64,0)),""))</f>
        <v/>
      </c>
      <c r="L832" s="136">
        <f>IF($F832="","",IFERROR(INDEX(사건마스터!$AI$5:$AI$64,MATCH($F832,사건마스터!$A$5:$A$64,0)),""))</f>
        <v/>
      </c>
      <c r="M832" s="136">
        <f>IF($F832="","",IFERROR(INDEX(사건마스터!$AJ$5:$AJ$64,MATCH($F832,사건마스터!$A$5:$A$64,0)),""))</f>
        <v/>
      </c>
      <c r="N832" s="136">
        <f>IF($F832="","",IFERROR(INDEX(사건마스터!$AK$5:$AK$64,MATCH($F832,사건마스터!$A$5:$A$64,0)),""))</f>
        <v/>
      </c>
      <c r="O832" s="136">
        <f>IF($F832="","",IFERROR(INDEX(사건마스터!$AL$5:$AL$64,MATCH($F832,사건마스터!$A$5:$A$64,0)),""))</f>
        <v/>
      </c>
      <c r="P832" s="136">
        <f>IF($F832="","",IFERROR(INDEX(사건마스터!$AM$5:$AM$64,MATCH($F832,사건마스터!$A$5:$A$64,0)),""))</f>
        <v/>
      </c>
      <c r="Q832" s="136">
        <f>IF($F832="","",IFERROR(INDEX(사건마스터!$AN$5:$AN$64,MATCH($F832,사건마스터!$A$5:$A$64,0)),""))</f>
        <v/>
      </c>
      <c r="R832" s="136">
        <f>IF($F832="","",IFERROR(INDEX(사건마스터!$AO$5:$AO$64,MATCH($F832,사건마스터!$A$5:$A$64,0)),""))</f>
        <v/>
      </c>
      <c r="S832" s="136">
        <f>IF($F832="","",IFERROR(INDEX(사건마스터!$AP$5:$AP$64,MATCH($F832,사건마스터!$A$5:$A$64,0)),""))</f>
        <v/>
      </c>
      <c r="T832" s="136">
        <f>IF($F832="","",IFERROR(INDEX(사건마스터!$AQ$5:$AQ$64,MATCH($F832,사건마스터!$A$5:$A$64,0)),""))</f>
        <v/>
      </c>
      <c r="U832" s="136">
        <f>IF($F832="","",IFERROR(INDEX(사건마스터!$AR$5:$AR$64,MATCH($F832,사건마스터!$A$5:$A$64,0)),""))</f>
        <v/>
      </c>
      <c r="V832" s="136">
        <f>IF($F832="","",IFERROR(INDEX(사건마스터!$AS$5:$AS$64,MATCH($F832,사건마스터!$A$5:$A$64,0)),""))</f>
        <v/>
      </c>
      <c r="W832" s="136">
        <f>IF($F832="","",IFERROR(INDEX(사건마스터!$AT$5:$AT$64,MATCH($F832,사건마스터!$A$5:$A$64,0)),""))</f>
        <v/>
      </c>
      <c r="X832" s="136">
        <f>IF($F832="","",IFERROR(INDEX(사건마스터!$AU$5:$AU$64,MATCH($F832,사건마스터!$A$5:$A$64,0)),""))</f>
        <v/>
      </c>
      <c r="Y832" s="136">
        <f>IF($F832="","",IFERROR(INDEX(사건마스터!$AV$5:$AV$64,MATCH($F832,사건마스터!$A$5:$A$64,0)),""))</f>
        <v/>
      </c>
      <c r="Z832" s="118">
        <f>IF(COUNTBLANK($J832:$Y832)=16,"",16-COUNTBLANK($J832:$Y832))</f>
        <v/>
      </c>
      <c r="AA832" s="33">
        <f>IF($J832="",MID($AX832,3,255),$J832&amp;$AX832)</f>
        <v/>
      </c>
      <c r="AB832" s="130">
        <f>IF($J832="","",IFERROR(INDEX(코드설정!$D$5:$D$24,MATCH($J832,코드설정!$C$5:$C$24,0)),""))</f>
        <v/>
      </c>
      <c r="AC832" s="36" t="n"/>
      <c r="AD832" s="37" t="n"/>
      <c r="AE832" s="38" t="n"/>
      <c r="AF832" s="118">
        <f>IF(OR($B832="",$C832=""),"",$C832-$B832+1)</f>
        <v/>
      </c>
      <c r="AG832" s="74" t="n"/>
      <c r="AH832" s="36" t="n"/>
      <c r="AJ832">
        <f>IF($K832="","",", "&amp;$K832)</f>
        <v/>
      </c>
      <c r="AK832">
        <f>AJ832&amp;IF($L832="","",", "&amp;$L832)</f>
        <v/>
      </c>
      <c r="AL832">
        <f>AK832&amp;IF($M832="","",", "&amp;$M832)</f>
        <v/>
      </c>
      <c r="AM832">
        <f>AL832&amp;IF($N832="","",", "&amp;$N832)</f>
        <v/>
      </c>
      <c r="AN832">
        <f>AM832&amp;IF($O832="","",", "&amp;$O832)</f>
        <v/>
      </c>
      <c r="AO832">
        <f>AN832&amp;IF($P832="","",", "&amp;$P832)</f>
        <v/>
      </c>
      <c r="AP832">
        <f>AO832&amp;IF($Q832="","",", "&amp;$Q832)</f>
        <v/>
      </c>
      <c r="AQ832">
        <f>AP832&amp;IF($R832="","",", "&amp;$R832)</f>
        <v/>
      </c>
      <c r="AR832">
        <f>AQ832&amp;IF($S832="","",", "&amp;$S832)</f>
        <v/>
      </c>
      <c r="AS832">
        <f>AR832&amp;IF($T832="","",", "&amp;$T832)</f>
        <v/>
      </c>
      <c r="AT832">
        <f>AS832&amp;IF($U832="","",", "&amp;$U832)</f>
        <v/>
      </c>
      <c r="AU832">
        <f>AT832&amp;IF($V832="","",", "&amp;$V832)</f>
        <v/>
      </c>
      <c r="AV832">
        <f>AU832&amp;IF($W832="","",", "&amp;$W832)</f>
        <v/>
      </c>
      <c r="AW832">
        <f>AV832&amp;IF($X832="","",", "&amp;$X832)</f>
        <v/>
      </c>
      <c r="AX832">
        <f>AW832&amp;IF($Y832="","",", "&amp;$Y832)</f>
        <v/>
      </c>
    </row>
    <row r="833">
      <c r="A833" s="118">
        <f>IF($B833="","",COUNT($B$5:$B833))</f>
        <v/>
      </c>
      <c r="B833" s="80" t="n"/>
      <c r="C833" s="80" t="n"/>
      <c r="D833" s="74" t="n"/>
      <c r="E833" s="74" t="n"/>
      <c r="F833" s="74" t="n"/>
      <c r="G833" s="118">
        <f>IF($F833="","",COUNTIF($F$5:$F833,$F833))</f>
        <v/>
      </c>
      <c r="H833" s="33">
        <f>IF($F833="","",IFERROR(INDEX(사건마스터!$B$5:$B$64,MATCH($F833,사건마스터!$A$5:$A$64,0)),""))</f>
        <v/>
      </c>
      <c r="I833" s="130">
        <f>IF($F833="","",IFERROR(INDEX(사건마스터!$C$5:$C$64,MATCH($F833,사건마스터!$A$5:$A$64,0)),""))</f>
        <v/>
      </c>
      <c r="J833" s="136">
        <f>IF($F833="","",IFERROR(INDEX(사건마스터!$H$5:$H$64,MATCH($F833,사건마스터!$A$5:$A$64,0)),""))</f>
        <v/>
      </c>
      <c r="K833" s="136">
        <f>IF($F833="","",IFERROR(INDEX(사건마스터!$AH$5:$AH$64,MATCH($F833,사건마스터!$A$5:$A$64,0)),""))</f>
        <v/>
      </c>
      <c r="L833" s="136">
        <f>IF($F833="","",IFERROR(INDEX(사건마스터!$AI$5:$AI$64,MATCH($F833,사건마스터!$A$5:$A$64,0)),""))</f>
        <v/>
      </c>
      <c r="M833" s="136">
        <f>IF($F833="","",IFERROR(INDEX(사건마스터!$AJ$5:$AJ$64,MATCH($F833,사건마스터!$A$5:$A$64,0)),""))</f>
        <v/>
      </c>
      <c r="N833" s="136">
        <f>IF($F833="","",IFERROR(INDEX(사건마스터!$AK$5:$AK$64,MATCH($F833,사건마스터!$A$5:$A$64,0)),""))</f>
        <v/>
      </c>
      <c r="O833" s="136">
        <f>IF($F833="","",IFERROR(INDEX(사건마스터!$AL$5:$AL$64,MATCH($F833,사건마스터!$A$5:$A$64,0)),""))</f>
        <v/>
      </c>
      <c r="P833" s="136">
        <f>IF($F833="","",IFERROR(INDEX(사건마스터!$AM$5:$AM$64,MATCH($F833,사건마스터!$A$5:$A$64,0)),""))</f>
        <v/>
      </c>
      <c r="Q833" s="136">
        <f>IF($F833="","",IFERROR(INDEX(사건마스터!$AN$5:$AN$64,MATCH($F833,사건마스터!$A$5:$A$64,0)),""))</f>
        <v/>
      </c>
      <c r="R833" s="136">
        <f>IF($F833="","",IFERROR(INDEX(사건마스터!$AO$5:$AO$64,MATCH($F833,사건마스터!$A$5:$A$64,0)),""))</f>
        <v/>
      </c>
      <c r="S833" s="136">
        <f>IF($F833="","",IFERROR(INDEX(사건마스터!$AP$5:$AP$64,MATCH($F833,사건마스터!$A$5:$A$64,0)),""))</f>
        <v/>
      </c>
      <c r="T833" s="136">
        <f>IF($F833="","",IFERROR(INDEX(사건마스터!$AQ$5:$AQ$64,MATCH($F833,사건마스터!$A$5:$A$64,0)),""))</f>
        <v/>
      </c>
      <c r="U833" s="136">
        <f>IF($F833="","",IFERROR(INDEX(사건마스터!$AR$5:$AR$64,MATCH($F833,사건마스터!$A$5:$A$64,0)),""))</f>
        <v/>
      </c>
      <c r="V833" s="136">
        <f>IF($F833="","",IFERROR(INDEX(사건마스터!$AS$5:$AS$64,MATCH($F833,사건마스터!$A$5:$A$64,0)),""))</f>
        <v/>
      </c>
      <c r="W833" s="136">
        <f>IF($F833="","",IFERROR(INDEX(사건마스터!$AT$5:$AT$64,MATCH($F833,사건마스터!$A$5:$A$64,0)),""))</f>
        <v/>
      </c>
      <c r="X833" s="136">
        <f>IF($F833="","",IFERROR(INDEX(사건마스터!$AU$5:$AU$64,MATCH($F833,사건마스터!$A$5:$A$64,0)),""))</f>
        <v/>
      </c>
      <c r="Y833" s="136">
        <f>IF($F833="","",IFERROR(INDEX(사건마스터!$AV$5:$AV$64,MATCH($F833,사건마스터!$A$5:$A$64,0)),""))</f>
        <v/>
      </c>
      <c r="Z833" s="118">
        <f>IF(COUNTBLANK($J833:$Y833)=16,"",16-COUNTBLANK($J833:$Y833))</f>
        <v/>
      </c>
      <c r="AA833" s="33">
        <f>IF($J833="",MID($AX833,3,255),$J833&amp;$AX833)</f>
        <v/>
      </c>
      <c r="AB833" s="130">
        <f>IF($J833="","",IFERROR(INDEX(코드설정!$D$5:$D$24,MATCH($J833,코드설정!$C$5:$C$24,0)),""))</f>
        <v/>
      </c>
      <c r="AC833" s="36" t="n"/>
      <c r="AD833" s="37" t="n"/>
      <c r="AE833" s="38" t="n"/>
      <c r="AF833" s="118">
        <f>IF(OR($B833="",$C833=""),"",$C833-$B833+1)</f>
        <v/>
      </c>
      <c r="AG833" s="74" t="n"/>
      <c r="AH833" s="36" t="n"/>
      <c r="AJ833">
        <f>IF($K833="","",", "&amp;$K833)</f>
        <v/>
      </c>
      <c r="AK833">
        <f>AJ833&amp;IF($L833="","",", "&amp;$L833)</f>
        <v/>
      </c>
      <c r="AL833">
        <f>AK833&amp;IF($M833="","",", "&amp;$M833)</f>
        <v/>
      </c>
      <c r="AM833">
        <f>AL833&amp;IF($N833="","",", "&amp;$N833)</f>
        <v/>
      </c>
      <c r="AN833">
        <f>AM833&amp;IF($O833="","",", "&amp;$O833)</f>
        <v/>
      </c>
      <c r="AO833">
        <f>AN833&amp;IF($P833="","",", "&amp;$P833)</f>
        <v/>
      </c>
      <c r="AP833">
        <f>AO833&amp;IF($Q833="","",", "&amp;$Q833)</f>
        <v/>
      </c>
      <c r="AQ833">
        <f>AP833&amp;IF($R833="","",", "&amp;$R833)</f>
        <v/>
      </c>
      <c r="AR833">
        <f>AQ833&amp;IF($S833="","",", "&amp;$S833)</f>
        <v/>
      </c>
      <c r="AS833">
        <f>AR833&amp;IF($T833="","",", "&amp;$T833)</f>
        <v/>
      </c>
      <c r="AT833">
        <f>AS833&amp;IF($U833="","",", "&amp;$U833)</f>
        <v/>
      </c>
      <c r="AU833">
        <f>AT833&amp;IF($V833="","",", "&amp;$V833)</f>
        <v/>
      </c>
      <c r="AV833">
        <f>AU833&amp;IF($W833="","",", "&amp;$W833)</f>
        <v/>
      </c>
      <c r="AW833">
        <f>AV833&amp;IF($X833="","",", "&amp;$X833)</f>
        <v/>
      </c>
      <c r="AX833">
        <f>AW833&amp;IF($Y833="","",", "&amp;$Y833)</f>
        <v/>
      </c>
    </row>
    <row r="834">
      <c r="A834" s="118">
        <f>IF($B834="","",COUNT($B$5:$B834))</f>
        <v/>
      </c>
      <c r="B834" s="80" t="n"/>
      <c r="C834" s="80" t="n"/>
      <c r="D834" s="74" t="n"/>
      <c r="E834" s="74" t="n"/>
      <c r="F834" s="74" t="n"/>
      <c r="G834" s="118">
        <f>IF($F834="","",COUNTIF($F$5:$F834,$F834))</f>
        <v/>
      </c>
      <c r="H834" s="33">
        <f>IF($F834="","",IFERROR(INDEX(사건마스터!$B$5:$B$64,MATCH($F834,사건마스터!$A$5:$A$64,0)),""))</f>
        <v/>
      </c>
      <c r="I834" s="130">
        <f>IF($F834="","",IFERROR(INDEX(사건마스터!$C$5:$C$64,MATCH($F834,사건마스터!$A$5:$A$64,0)),""))</f>
        <v/>
      </c>
      <c r="J834" s="136">
        <f>IF($F834="","",IFERROR(INDEX(사건마스터!$H$5:$H$64,MATCH($F834,사건마스터!$A$5:$A$64,0)),""))</f>
        <v/>
      </c>
      <c r="K834" s="136">
        <f>IF($F834="","",IFERROR(INDEX(사건마스터!$AH$5:$AH$64,MATCH($F834,사건마스터!$A$5:$A$64,0)),""))</f>
        <v/>
      </c>
      <c r="L834" s="136">
        <f>IF($F834="","",IFERROR(INDEX(사건마스터!$AI$5:$AI$64,MATCH($F834,사건마스터!$A$5:$A$64,0)),""))</f>
        <v/>
      </c>
      <c r="M834" s="136">
        <f>IF($F834="","",IFERROR(INDEX(사건마스터!$AJ$5:$AJ$64,MATCH($F834,사건마스터!$A$5:$A$64,0)),""))</f>
        <v/>
      </c>
      <c r="N834" s="136">
        <f>IF($F834="","",IFERROR(INDEX(사건마스터!$AK$5:$AK$64,MATCH($F834,사건마스터!$A$5:$A$64,0)),""))</f>
        <v/>
      </c>
      <c r="O834" s="136">
        <f>IF($F834="","",IFERROR(INDEX(사건마스터!$AL$5:$AL$64,MATCH($F834,사건마스터!$A$5:$A$64,0)),""))</f>
        <v/>
      </c>
      <c r="P834" s="136">
        <f>IF($F834="","",IFERROR(INDEX(사건마스터!$AM$5:$AM$64,MATCH($F834,사건마스터!$A$5:$A$64,0)),""))</f>
        <v/>
      </c>
      <c r="Q834" s="136">
        <f>IF($F834="","",IFERROR(INDEX(사건마스터!$AN$5:$AN$64,MATCH($F834,사건마스터!$A$5:$A$64,0)),""))</f>
        <v/>
      </c>
      <c r="R834" s="136">
        <f>IF($F834="","",IFERROR(INDEX(사건마스터!$AO$5:$AO$64,MATCH($F834,사건마스터!$A$5:$A$64,0)),""))</f>
        <v/>
      </c>
      <c r="S834" s="136">
        <f>IF($F834="","",IFERROR(INDEX(사건마스터!$AP$5:$AP$64,MATCH($F834,사건마스터!$A$5:$A$64,0)),""))</f>
        <v/>
      </c>
      <c r="T834" s="136">
        <f>IF($F834="","",IFERROR(INDEX(사건마스터!$AQ$5:$AQ$64,MATCH($F834,사건마스터!$A$5:$A$64,0)),""))</f>
        <v/>
      </c>
      <c r="U834" s="136">
        <f>IF($F834="","",IFERROR(INDEX(사건마스터!$AR$5:$AR$64,MATCH($F834,사건마스터!$A$5:$A$64,0)),""))</f>
        <v/>
      </c>
      <c r="V834" s="136">
        <f>IF($F834="","",IFERROR(INDEX(사건마스터!$AS$5:$AS$64,MATCH($F834,사건마스터!$A$5:$A$64,0)),""))</f>
        <v/>
      </c>
      <c r="W834" s="136">
        <f>IF($F834="","",IFERROR(INDEX(사건마스터!$AT$5:$AT$64,MATCH($F834,사건마스터!$A$5:$A$64,0)),""))</f>
        <v/>
      </c>
      <c r="X834" s="136">
        <f>IF($F834="","",IFERROR(INDEX(사건마스터!$AU$5:$AU$64,MATCH($F834,사건마스터!$A$5:$A$64,0)),""))</f>
        <v/>
      </c>
      <c r="Y834" s="136">
        <f>IF($F834="","",IFERROR(INDEX(사건마스터!$AV$5:$AV$64,MATCH($F834,사건마스터!$A$5:$A$64,0)),""))</f>
        <v/>
      </c>
      <c r="Z834" s="118">
        <f>IF(COUNTBLANK($J834:$Y834)=16,"",16-COUNTBLANK($J834:$Y834))</f>
        <v/>
      </c>
      <c r="AA834" s="33">
        <f>IF($J834="",MID($AX834,3,255),$J834&amp;$AX834)</f>
        <v/>
      </c>
      <c r="AB834" s="130">
        <f>IF($J834="","",IFERROR(INDEX(코드설정!$D$5:$D$24,MATCH($J834,코드설정!$C$5:$C$24,0)),""))</f>
        <v/>
      </c>
      <c r="AC834" s="36" t="n"/>
      <c r="AD834" s="37" t="n"/>
      <c r="AE834" s="38" t="n"/>
      <c r="AF834" s="118">
        <f>IF(OR($B834="",$C834=""),"",$C834-$B834+1)</f>
        <v/>
      </c>
      <c r="AG834" s="74" t="n"/>
      <c r="AH834" s="36" t="n"/>
      <c r="AJ834">
        <f>IF($K834="","",", "&amp;$K834)</f>
        <v/>
      </c>
      <c r="AK834">
        <f>AJ834&amp;IF($L834="","",", "&amp;$L834)</f>
        <v/>
      </c>
      <c r="AL834">
        <f>AK834&amp;IF($M834="","",", "&amp;$M834)</f>
        <v/>
      </c>
      <c r="AM834">
        <f>AL834&amp;IF($N834="","",", "&amp;$N834)</f>
        <v/>
      </c>
      <c r="AN834">
        <f>AM834&amp;IF($O834="","",", "&amp;$O834)</f>
        <v/>
      </c>
      <c r="AO834">
        <f>AN834&amp;IF($P834="","",", "&amp;$P834)</f>
        <v/>
      </c>
      <c r="AP834">
        <f>AO834&amp;IF($Q834="","",", "&amp;$Q834)</f>
        <v/>
      </c>
      <c r="AQ834">
        <f>AP834&amp;IF($R834="","",", "&amp;$R834)</f>
        <v/>
      </c>
      <c r="AR834">
        <f>AQ834&amp;IF($S834="","",", "&amp;$S834)</f>
        <v/>
      </c>
      <c r="AS834">
        <f>AR834&amp;IF($T834="","",", "&amp;$T834)</f>
        <v/>
      </c>
      <c r="AT834">
        <f>AS834&amp;IF($U834="","",", "&amp;$U834)</f>
        <v/>
      </c>
      <c r="AU834">
        <f>AT834&amp;IF($V834="","",", "&amp;$V834)</f>
        <v/>
      </c>
      <c r="AV834">
        <f>AU834&amp;IF($W834="","",", "&amp;$W834)</f>
        <v/>
      </c>
      <c r="AW834">
        <f>AV834&amp;IF($X834="","",", "&amp;$X834)</f>
        <v/>
      </c>
      <c r="AX834">
        <f>AW834&amp;IF($Y834="","",", "&amp;$Y834)</f>
        <v/>
      </c>
    </row>
    <row r="835">
      <c r="A835" s="118">
        <f>IF($B835="","",COUNT($B$5:$B835))</f>
        <v/>
      </c>
      <c r="B835" s="80" t="n"/>
      <c r="C835" s="80" t="n"/>
      <c r="D835" s="74" t="n"/>
      <c r="E835" s="74" t="n"/>
      <c r="F835" s="74" t="n"/>
      <c r="G835" s="118">
        <f>IF($F835="","",COUNTIF($F$5:$F835,$F835))</f>
        <v/>
      </c>
      <c r="H835" s="33">
        <f>IF($F835="","",IFERROR(INDEX(사건마스터!$B$5:$B$64,MATCH($F835,사건마스터!$A$5:$A$64,0)),""))</f>
        <v/>
      </c>
      <c r="I835" s="130">
        <f>IF($F835="","",IFERROR(INDEX(사건마스터!$C$5:$C$64,MATCH($F835,사건마스터!$A$5:$A$64,0)),""))</f>
        <v/>
      </c>
      <c r="J835" s="136">
        <f>IF($F835="","",IFERROR(INDEX(사건마스터!$H$5:$H$64,MATCH($F835,사건마스터!$A$5:$A$64,0)),""))</f>
        <v/>
      </c>
      <c r="K835" s="136">
        <f>IF($F835="","",IFERROR(INDEX(사건마스터!$AH$5:$AH$64,MATCH($F835,사건마스터!$A$5:$A$64,0)),""))</f>
        <v/>
      </c>
      <c r="L835" s="136">
        <f>IF($F835="","",IFERROR(INDEX(사건마스터!$AI$5:$AI$64,MATCH($F835,사건마스터!$A$5:$A$64,0)),""))</f>
        <v/>
      </c>
      <c r="M835" s="136">
        <f>IF($F835="","",IFERROR(INDEX(사건마스터!$AJ$5:$AJ$64,MATCH($F835,사건마스터!$A$5:$A$64,0)),""))</f>
        <v/>
      </c>
      <c r="N835" s="136">
        <f>IF($F835="","",IFERROR(INDEX(사건마스터!$AK$5:$AK$64,MATCH($F835,사건마스터!$A$5:$A$64,0)),""))</f>
        <v/>
      </c>
      <c r="O835" s="136">
        <f>IF($F835="","",IFERROR(INDEX(사건마스터!$AL$5:$AL$64,MATCH($F835,사건마스터!$A$5:$A$64,0)),""))</f>
        <v/>
      </c>
      <c r="P835" s="136">
        <f>IF($F835="","",IFERROR(INDEX(사건마스터!$AM$5:$AM$64,MATCH($F835,사건마스터!$A$5:$A$64,0)),""))</f>
        <v/>
      </c>
      <c r="Q835" s="136">
        <f>IF($F835="","",IFERROR(INDEX(사건마스터!$AN$5:$AN$64,MATCH($F835,사건마스터!$A$5:$A$64,0)),""))</f>
        <v/>
      </c>
      <c r="R835" s="136">
        <f>IF($F835="","",IFERROR(INDEX(사건마스터!$AO$5:$AO$64,MATCH($F835,사건마스터!$A$5:$A$64,0)),""))</f>
        <v/>
      </c>
      <c r="S835" s="136">
        <f>IF($F835="","",IFERROR(INDEX(사건마스터!$AP$5:$AP$64,MATCH($F835,사건마스터!$A$5:$A$64,0)),""))</f>
        <v/>
      </c>
      <c r="T835" s="136">
        <f>IF($F835="","",IFERROR(INDEX(사건마스터!$AQ$5:$AQ$64,MATCH($F835,사건마스터!$A$5:$A$64,0)),""))</f>
        <v/>
      </c>
      <c r="U835" s="136">
        <f>IF($F835="","",IFERROR(INDEX(사건마스터!$AR$5:$AR$64,MATCH($F835,사건마스터!$A$5:$A$64,0)),""))</f>
        <v/>
      </c>
      <c r="V835" s="136">
        <f>IF($F835="","",IFERROR(INDEX(사건마스터!$AS$5:$AS$64,MATCH($F835,사건마스터!$A$5:$A$64,0)),""))</f>
        <v/>
      </c>
      <c r="W835" s="136">
        <f>IF($F835="","",IFERROR(INDEX(사건마스터!$AT$5:$AT$64,MATCH($F835,사건마스터!$A$5:$A$64,0)),""))</f>
        <v/>
      </c>
      <c r="X835" s="136">
        <f>IF($F835="","",IFERROR(INDEX(사건마스터!$AU$5:$AU$64,MATCH($F835,사건마스터!$A$5:$A$64,0)),""))</f>
        <v/>
      </c>
      <c r="Y835" s="136">
        <f>IF($F835="","",IFERROR(INDEX(사건마스터!$AV$5:$AV$64,MATCH($F835,사건마스터!$A$5:$A$64,0)),""))</f>
        <v/>
      </c>
      <c r="Z835" s="118">
        <f>IF(COUNTBLANK($J835:$Y835)=16,"",16-COUNTBLANK($J835:$Y835))</f>
        <v/>
      </c>
      <c r="AA835" s="33">
        <f>IF($J835="",MID($AX835,3,255),$J835&amp;$AX835)</f>
        <v/>
      </c>
      <c r="AB835" s="130">
        <f>IF($J835="","",IFERROR(INDEX(코드설정!$D$5:$D$24,MATCH($J835,코드설정!$C$5:$C$24,0)),""))</f>
        <v/>
      </c>
      <c r="AC835" s="36" t="n"/>
      <c r="AD835" s="37" t="n"/>
      <c r="AE835" s="38" t="n"/>
      <c r="AF835" s="118">
        <f>IF(OR($B835="",$C835=""),"",$C835-$B835+1)</f>
        <v/>
      </c>
      <c r="AG835" s="74" t="n"/>
      <c r="AH835" s="36" t="n"/>
      <c r="AJ835">
        <f>IF($K835="","",", "&amp;$K835)</f>
        <v/>
      </c>
      <c r="AK835">
        <f>AJ835&amp;IF($L835="","",", "&amp;$L835)</f>
        <v/>
      </c>
      <c r="AL835">
        <f>AK835&amp;IF($M835="","",", "&amp;$M835)</f>
        <v/>
      </c>
      <c r="AM835">
        <f>AL835&amp;IF($N835="","",", "&amp;$N835)</f>
        <v/>
      </c>
      <c r="AN835">
        <f>AM835&amp;IF($O835="","",", "&amp;$O835)</f>
        <v/>
      </c>
      <c r="AO835">
        <f>AN835&amp;IF($P835="","",", "&amp;$P835)</f>
        <v/>
      </c>
      <c r="AP835">
        <f>AO835&amp;IF($Q835="","",", "&amp;$Q835)</f>
        <v/>
      </c>
      <c r="AQ835">
        <f>AP835&amp;IF($R835="","",", "&amp;$R835)</f>
        <v/>
      </c>
      <c r="AR835">
        <f>AQ835&amp;IF($S835="","",", "&amp;$S835)</f>
        <v/>
      </c>
      <c r="AS835">
        <f>AR835&amp;IF($T835="","",", "&amp;$T835)</f>
        <v/>
      </c>
      <c r="AT835">
        <f>AS835&amp;IF($U835="","",", "&amp;$U835)</f>
        <v/>
      </c>
      <c r="AU835">
        <f>AT835&amp;IF($V835="","",", "&amp;$V835)</f>
        <v/>
      </c>
      <c r="AV835">
        <f>AU835&amp;IF($W835="","",", "&amp;$W835)</f>
        <v/>
      </c>
      <c r="AW835">
        <f>AV835&amp;IF($X835="","",", "&amp;$X835)</f>
        <v/>
      </c>
      <c r="AX835">
        <f>AW835&amp;IF($Y835="","",", "&amp;$Y835)</f>
        <v/>
      </c>
    </row>
    <row r="836">
      <c r="A836" s="118">
        <f>IF($B836="","",COUNT($B$5:$B836))</f>
        <v/>
      </c>
      <c r="B836" s="80" t="n"/>
      <c r="C836" s="80" t="n"/>
      <c r="D836" s="74" t="n"/>
      <c r="E836" s="74" t="n"/>
      <c r="F836" s="74" t="n"/>
      <c r="G836" s="118">
        <f>IF($F836="","",COUNTIF($F$5:$F836,$F836))</f>
        <v/>
      </c>
      <c r="H836" s="33">
        <f>IF($F836="","",IFERROR(INDEX(사건마스터!$B$5:$B$64,MATCH($F836,사건마스터!$A$5:$A$64,0)),""))</f>
        <v/>
      </c>
      <c r="I836" s="130">
        <f>IF($F836="","",IFERROR(INDEX(사건마스터!$C$5:$C$64,MATCH($F836,사건마스터!$A$5:$A$64,0)),""))</f>
        <v/>
      </c>
      <c r="J836" s="136">
        <f>IF($F836="","",IFERROR(INDEX(사건마스터!$H$5:$H$64,MATCH($F836,사건마스터!$A$5:$A$64,0)),""))</f>
        <v/>
      </c>
      <c r="K836" s="136">
        <f>IF($F836="","",IFERROR(INDEX(사건마스터!$AH$5:$AH$64,MATCH($F836,사건마스터!$A$5:$A$64,0)),""))</f>
        <v/>
      </c>
      <c r="L836" s="136">
        <f>IF($F836="","",IFERROR(INDEX(사건마스터!$AI$5:$AI$64,MATCH($F836,사건마스터!$A$5:$A$64,0)),""))</f>
        <v/>
      </c>
      <c r="M836" s="136">
        <f>IF($F836="","",IFERROR(INDEX(사건마스터!$AJ$5:$AJ$64,MATCH($F836,사건마스터!$A$5:$A$64,0)),""))</f>
        <v/>
      </c>
      <c r="N836" s="136">
        <f>IF($F836="","",IFERROR(INDEX(사건마스터!$AK$5:$AK$64,MATCH($F836,사건마스터!$A$5:$A$64,0)),""))</f>
        <v/>
      </c>
      <c r="O836" s="136">
        <f>IF($F836="","",IFERROR(INDEX(사건마스터!$AL$5:$AL$64,MATCH($F836,사건마스터!$A$5:$A$64,0)),""))</f>
        <v/>
      </c>
      <c r="P836" s="136">
        <f>IF($F836="","",IFERROR(INDEX(사건마스터!$AM$5:$AM$64,MATCH($F836,사건마스터!$A$5:$A$64,0)),""))</f>
        <v/>
      </c>
      <c r="Q836" s="136">
        <f>IF($F836="","",IFERROR(INDEX(사건마스터!$AN$5:$AN$64,MATCH($F836,사건마스터!$A$5:$A$64,0)),""))</f>
        <v/>
      </c>
      <c r="R836" s="136">
        <f>IF($F836="","",IFERROR(INDEX(사건마스터!$AO$5:$AO$64,MATCH($F836,사건마스터!$A$5:$A$64,0)),""))</f>
        <v/>
      </c>
      <c r="S836" s="136">
        <f>IF($F836="","",IFERROR(INDEX(사건마스터!$AP$5:$AP$64,MATCH($F836,사건마스터!$A$5:$A$64,0)),""))</f>
        <v/>
      </c>
      <c r="T836" s="136">
        <f>IF($F836="","",IFERROR(INDEX(사건마스터!$AQ$5:$AQ$64,MATCH($F836,사건마스터!$A$5:$A$64,0)),""))</f>
        <v/>
      </c>
      <c r="U836" s="136">
        <f>IF($F836="","",IFERROR(INDEX(사건마스터!$AR$5:$AR$64,MATCH($F836,사건마스터!$A$5:$A$64,0)),""))</f>
        <v/>
      </c>
      <c r="V836" s="136">
        <f>IF($F836="","",IFERROR(INDEX(사건마스터!$AS$5:$AS$64,MATCH($F836,사건마스터!$A$5:$A$64,0)),""))</f>
        <v/>
      </c>
      <c r="W836" s="136">
        <f>IF($F836="","",IFERROR(INDEX(사건마스터!$AT$5:$AT$64,MATCH($F836,사건마스터!$A$5:$A$64,0)),""))</f>
        <v/>
      </c>
      <c r="X836" s="136">
        <f>IF($F836="","",IFERROR(INDEX(사건마스터!$AU$5:$AU$64,MATCH($F836,사건마스터!$A$5:$A$64,0)),""))</f>
        <v/>
      </c>
      <c r="Y836" s="136">
        <f>IF($F836="","",IFERROR(INDEX(사건마스터!$AV$5:$AV$64,MATCH($F836,사건마스터!$A$5:$A$64,0)),""))</f>
        <v/>
      </c>
      <c r="Z836" s="118">
        <f>IF(COUNTBLANK($J836:$Y836)=16,"",16-COUNTBLANK($J836:$Y836))</f>
        <v/>
      </c>
      <c r="AA836" s="33">
        <f>IF($J836="",MID($AX836,3,255),$J836&amp;$AX836)</f>
        <v/>
      </c>
      <c r="AB836" s="130">
        <f>IF($J836="","",IFERROR(INDEX(코드설정!$D$5:$D$24,MATCH($J836,코드설정!$C$5:$C$24,0)),""))</f>
        <v/>
      </c>
      <c r="AC836" s="36" t="n"/>
      <c r="AD836" s="37" t="n"/>
      <c r="AE836" s="38" t="n"/>
      <c r="AF836" s="118">
        <f>IF(OR($B836="",$C836=""),"",$C836-$B836+1)</f>
        <v/>
      </c>
      <c r="AG836" s="74" t="n"/>
      <c r="AH836" s="36" t="n"/>
      <c r="AJ836">
        <f>IF($K836="","",", "&amp;$K836)</f>
        <v/>
      </c>
      <c r="AK836">
        <f>AJ836&amp;IF($L836="","",", "&amp;$L836)</f>
        <v/>
      </c>
      <c r="AL836">
        <f>AK836&amp;IF($M836="","",", "&amp;$M836)</f>
        <v/>
      </c>
      <c r="AM836">
        <f>AL836&amp;IF($N836="","",", "&amp;$N836)</f>
        <v/>
      </c>
      <c r="AN836">
        <f>AM836&amp;IF($O836="","",", "&amp;$O836)</f>
        <v/>
      </c>
      <c r="AO836">
        <f>AN836&amp;IF($P836="","",", "&amp;$P836)</f>
        <v/>
      </c>
      <c r="AP836">
        <f>AO836&amp;IF($Q836="","",", "&amp;$Q836)</f>
        <v/>
      </c>
      <c r="AQ836">
        <f>AP836&amp;IF($R836="","",", "&amp;$R836)</f>
        <v/>
      </c>
      <c r="AR836">
        <f>AQ836&amp;IF($S836="","",", "&amp;$S836)</f>
        <v/>
      </c>
      <c r="AS836">
        <f>AR836&amp;IF($T836="","",", "&amp;$T836)</f>
        <v/>
      </c>
      <c r="AT836">
        <f>AS836&amp;IF($U836="","",", "&amp;$U836)</f>
        <v/>
      </c>
      <c r="AU836">
        <f>AT836&amp;IF($V836="","",", "&amp;$V836)</f>
        <v/>
      </c>
      <c r="AV836">
        <f>AU836&amp;IF($W836="","",", "&amp;$W836)</f>
        <v/>
      </c>
      <c r="AW836">
        <f>AV836&amp;IF($X836="","",", "&amp;$X836)</f>
        <v/>
      </c>
      <c r="AX836">
        <f>AW836&amp;IF($Y836="","",", "&amp;$Y836)</f>
        <v/>
      </c>
    </row>
    <row r="837">
      <c r="A837" s="118">
        <f>IF($B837="","",COUNT($B$5:$B837))</f>
        <v/>
      </c>
      <c r="B837" s="80" t="n"/>
      <c r="C837" s="80" t="n"/>
      <c r="D837" s="74" t="n"/>
      <c r="E837" s="74" t="n"/>
      <c r="F837" s="74" t="n"/>
      <c r="G837" s="118">
        <f>IF($F837="","",COUNTIF($F$5:$F837,$F837))</f>
        <v/>
      </c>
      <c r="H837" s="33">
        <f>IF($F837="","",IFERROR(INDEX(사건마스터!$B$5:$B$64,MATCH($F837,사건마스터!$A$5:$A$64,0)),""))</f>
        <v/>
      </c>
      <c r="I837" s="130">
        <f>IF($F837="","",IFERROR(INDEX(사건마스터!$C$5:$C$64,MATCH($F837,사건마스터!$A$5:$A$64,0)),""))</f>
        <v/>
      </c>
      <c r="J837" s="136">
        <f>IF($F837="","",IFERROR(INDEX(사건마스터!$H$5:$H$64,MATCH($F837,사건마스터!$A$5:$A$64,0)),""))</f>
        <v/>
      </c>
      <c r="K837" s="136">
        <f>IF($F837="","",IFERROR(INDEX(사건마스터!$AH$5:$AH$64,MATCH($F837,사건마스터!$A$5:$A$64,0)),""))</f>
        <v/>
      </c>
      <c r="L837" s="136">
        <f>IF($F837="","",IFERROR(INDEX(사건마스터!$AI$5:$AI$64,MATCH($F837,사건마스터!$A$5:$A$64,0)),""))</f>
        <v/>
      </c>
      <c r="M837" s="136">
        <f>IF($F837="","",IFERROR(INDEX(사건마스터!$AJ$5:$AJ$64,MATCH($F837,사건마스터!$A$5:$A$64,0)),""))</f>
        <v/>
      </c>
      <c r="N837" s="136">
        <f>IF($F837="","",IFERROR(INDEX(사건마스터!$AK$5:$AK$64,MATCH($F837,사건마스터!$A$5:$A$64,0)),""))</f>
        <v/>
      </c>
      <c r="O837" s="136">
        <f>IF($F837="","",IFERROR(INDEX(사건마스터!$AL$5:$AL$64,MATCH($F837,사건마스터!$A$5:$A$64,0)),""))</f>
        <v/>
      </c>
      <c r="P837" s="136">
        <f>IF($F837="","",IFERROR(INDEX(사건마스터!$AM$5:$AM$64,MATCH($F837,사건마스터!$A$5:$A$64,0)),""))</f>
        <v/>
      </c>
      <c r="Q837" s="136">
        <f>IF($F837="","",IFERROR(INDEX(사건마스터!$AN$5:$AN$64,MATCH($F837,사건마스터!$A$5:$A$64,0)),""))</f>
        <v/>
      </c>
      <c r="R837" s="136">
        <f>IF($F837="","",IFERROR(INDEX(사건마스터!$AO$5:$AO$64,MATCH($F837,사건마스터!$A$5:$A$64,0)),""))</f>
        <v/>
      </c>
      <c r="S837" s="136">
        <f>IF($F837="","",IFERROR(INDEX(사건마스터!$AP$5:$AP$64,MATCH($F837,사건마스터!$A$5:$A$64,0)),""))</f>
        <v/>
      </c>
      <c r="T837" s="136">
        <f>IF($F837="","",IFERROR(INDEX(사건마스터!$AQ$5:$AQ$64,MATCH($F837,사건마스터!$A$5:$A$64,0)),""))</f>
        <v/>
      </c>
      <c r="U837" s="136">
        <f>IF($F837="","",IFERROR(INDEX(사건마스터!$AR$5:$AR$64,MATCH($F837,사건마스터!$A$5:$A$64,0)),""))</f>
        <v/>
      </c>
      <c r="V837" s="136">
        <f>IF($F837="","",IFERROR(INDEX(사건마스터!$AS$5:$AS$64,MATCH($F837,사건마스터!$A$5:$A$64,0)),""))</f>
        <v/>
      </c>
      <c r="W837" s="136">
        <f>IF($F837="","",IFERROR(INDEX(사건마스터!$AT$5:$AT$64,MATCH($F837,사건마스터!$A$5:$A$64,0)),""))</f>
        <v/>
      </c>
      <c r="X837" s="136">
        <f>IF($F837="","",IFERROR(INDEX(사건마스터!$AU$5:$AU$64,MATCH($F837,사건마스터!$A$5:$A$64,0)),""))</f>
        <v/>
      </c>
      <c r="Y837" s="136">
        <f>IF($F837="","",IFERROR(INDEX(사건마스터!$AV$5:$AV$64,MATCH($F837,사건마스터!$A$5:$A$64,0)),""))</f>
        <v/>
      </c>
      <c r="Z837" s="118">
        <f>IF(COUNTBLANK($J837:$Y837)=16,"",16-COUNTBLANK($J837:$Y837))</f>
        <v/>
      </c>
      <c r="AA837" s="33">
        <f>IF($J837="",MID($AX837,3,255),$J837&amp;$AX837)</f>
        <v/>
      </c>
      <c r="AB837" s="130">
        <f>IF($J837="","",IFERROR(INDEX(코드설정!$D$5:$D$24,MATCH($J837,코드설정!$C$5:$C$24,0)),""))</f>
        <v/>
      </c>
      <c r="AC837" s="36" t="n"/>
      <c r="AD837" s="37" t="n"/>
      <c r="AE837" s="38" t="n"/>
      <c r="AF837" s="118">
        <f>IF(OR($B837="",$C837=""),"",$C837-$B837+1)</f>
        <v/>
      </c>
      <c r="AG837" s="74" t="n"/>
      <c r="AH837" s="36" t="n"/>
      <c r="AJ837">
        <f>IF($K837="","",", "&amp;$K837)</f>
        <v/>
      </c>
      <c r="AK837">
        <f>AJ837&amp;IF($L837="","",", "&amp;$L837)</f>
        <v/>
      </c>
      <c r="AL837">
        <f>AK837&amp;IF($M837="","",", "&amp;$M837)</f>
        <v/>
      </c>
      <c r="AM837">
        <f>AL837&amp;IF($N837="","",", "&amp;$N837)</f>
        <v/>
      </c>
      <c r="AN837">
        <f>AM837&amp;IF($O837="","",", "&amp;$O837)</f>
        <v/>
      </c>
      <c r="AO837">
        <f>AN837&amp;IF($P837="","",", "&amp;$P837)</f>
        <v/>
      </c>
      <c r="AP837">
        <f>AO837&amp;IF($Q837="","",", "&amp;$Q837)</f>
        <v/>
      </c>
      <c r="AQ837">
        <f>AP837&amp;IF($R837="","",", "&amp;$R837)</f>
        <v/>
      </c>
      <c r="AR837">
        <f>AQ837&amp;IF($S837="","",", "&amp;$S837)</f>
        <v/>
      </c>
      <c r="AS837">
        <f>AR837&amp;IF($T837="","",", "&amp;$T837)</f>
        <v/>
      </c>
      <c r="AT837">
        <f>AS837&amp;IF($U837="","",", "&amp;$U837)</f>
        <v/>
      </c>
      <c r="AU837">
        <f>AT837&amp;IF($V837="","",", "&amp;$V837)</f>
        <v/>
      </c>
      <c r="AV837">
        <f>AU837&amp;IF($W837="","",", "&amp;$W837)</f>
        <v/>
      </c>
      <c r="AW837">
        <f>AV837&amp;IF($X837="","",", "&amp;$X837)</f>
        <v/>
      </c>
      <c r="AX837">
        <f>AW837&amp;IF($Y837="","",", "&amp;$Y837)</f>
        <v/>
      </c>
    </row>
    <row r="838">
      <c r="A838" s="118">
        <f>IF($B838="","",COUNT($B$5:$B838))</f>
        <v/>
      </c>
      <c r="B838" s="80" t="n"/>
      <c r="C838" s="80" t="n"/>
      <c r="D838" s="74" t="n"/>
      <c r="E838" s="74" t="n"/>
      <c r="F838" s="74" t="n"/>
      <c r="G838" s="118">
        <f>IF($F838="","",COUNTIF($F$5:$F838,$F838))</f>
        <v/>
      </c>
      <c r="H838" s="33">
        <f>IF($F838="","",IFERROR(INDEX(사건마스터!$B$5:$B$64,MATCH($F838,사건마스터!$A$5:$A$64,0)),""))</f>
        <v/>
      </c>
      <c r="I838" s="130">
        <f>IF($F838="","",IFERROR(INDEX(사건마스터!$C$5:$C$64,MATCH($F838,사건마스터!$A$5:$A$64,0)),""))</f>
        <v/>
      </c>
      <c r="J838" s="136">
        <f>IF($F838="","",IFERROR(INDEX(사건마스터!$H$5:$H$64,MATCH($F838,사건마스터!$A$5:$A$64,0)),""))</f>
        <v/>
      </c>
      <c r="K838" s="136">
        <f>IF($F838="","",IFERROR(INDEX(사건마스터!$AH$5:$AH$64,MATCH($F838,사건마스터!$A$5:$A$64,0)),""))</f>
        <v/>
      </c>
      <c r="L838" s="136">
        <f>IF($F838="","",IFERROR(INDEX(사건마스터!$AI$5:$AI$64,MATCH($F838,사건마스터!$A$5:$A$64,0)),""))</f>
        <v/>
      </c>
      <c r="M838" s="136">
        <f>IF($F838="","",IFERROR(INDEX(사건마스터!$AJ$5:$AJ$64,MATCH($F838,사건마스터!$A$5:$A$64,0)),""))</f>
        <v/>
      </c>
      <c r="N838" s="136">
        <f>IF($F838="","",IFERROR(INDEX(사건마스터!$AK$5:$AK$64,MATCH($F838,사건마스터!$A$5:$A$64,0)),""))</f>
        <v/>
      </c>
      <c r="O838" s="136">
        <f>IF($F838="","",IFERROR(INDEX(사건마스터!$AL$5:$AL$64,MATCH($F838,사건마스터!$A$5:$A$64,0)),""))</f>
        <v/>
      </c>
      <c r="P838" s="136">
        <f>IF($F838="","",IFERROR(INDEX(사건마스터!$AM$5:$AM$64,MATCH($F838,사건마스터!$A$5:$A$64,0)),""))</f>
        <v/>
      </c>
      <c r="Q838" s="136">
        <f>IF($F838="","",IFERROR(INDEX(사건마스터!$AN$5:$AN$64,MATCH($F838,사건마스터!$A$5:$A$64,0)),""))</f>
        <v/>
      </c>
      <c r="R838" s="136">
        <f>IF($F838="","",IFERROR(INDEX(사건마스터!$AO$5:$AO$64,MATCH($F838,사건마스터!$A$5:$A$64,0)),""))</f>
        <v/>
      </c>
      <c r="S838" s="136">
        <f>IF($F838="","",IFERROR(INDEX(사건마스터!$AP$5:$AP$64,MATCH($F838,사건마스터!$A$5:$A$64,0)),""))</f>
        <v/>
      </c>
      <c r="T838" s="136">
        <f>IF($F838="","",IFERROR(INDEX(사건마스터!$AQ$5:$AQ$64,MATCH($F838,사건마스터!$A$5:$A$64,0)),""))</f>
        <v/>
      </c>
      <c r="U838" s="136">
        <f>IF($F838="","",IFERROR(INDEX(사건마스터!$AR$5:$AR$64,MATCH($F838,사건마스터!$A$5:$A$64,0)),""))</f>
        <v/>
      </c>
      <c r="V838" s="136">
        <f>IF($F838="","",IFERROR(INDEX(사건마스터!$AS$5:$AS$64,MATCH($F838,사건마스터!$A$5:$A$64,0)),""))</f>
        <v/>
      </c>
      <c r="W838" s="136">
        <f>IF($F838="","",IFERROR(INDEX(사건마스터!$AT$5:$AT$64,MATCH($F838,사건마스터!$A$5:$A$64,0)),""))</f>
        <v/>
      </c>
      <c r="X838" s="136">
        <f>IF($F838="","",IFERROR(INDEX(사건마스터!$AU$5:$AU$64,MATCH($F838,사건마스터!$A$5:$A$64,0)),""))</f>
        <v/>
      </c>
      <c r="Y838" s="136">
        <f>IF($F838="","",IFERROR(INDEX(사건마스터!$AV$5:$AV$64,MATCH($F838,사건마스터!$A$5:$A$64,0)),""))</f>
        <v/>
      </c>
      <c r="Z838" s="118">
        <f>IF(COUNTBLANK($J838:$Y838)=16,"",16-COUNTBLANK($J838:$Y838))</f>
        <v/>
      </c>
      <c r="AA838" s="33">
        <f>IF($J838="",MID($AX838,3,255),$J838&amp;$AX838)</f>
        <v/>
      </c>
      <c r="AB838" s="130">
        <f>IF($J838="","",IFERROR(INDEX(코드설정!$D$5:$D$24,MATCH($J838,코드설정!$C$5:$C$24,0)),""))</f>
        <v/>
      </c>
      <c r="AC838" s="36" t="n"/>
      <c r="AD838" s="37" t="n"/>
      <c r="AE838" s="38" t="n"/>
      <c r="AF838" s="118">
        <f>IF(OR($B838="",$C838=""),"",$C838-$B838+1)</f>
        <v/>
      </c>
      <c r="AG838" s="74" t="n"/>
      <c r="AH838" s="36" t="n"/>
      <c r="AJ838">
        <f>IF($K838="","",", "&amp;$K838)</f>
        <v/>
      </c>
      <c r="AK838">
        <f>AJ838&amp;IF($L838="","",", "&amp;$L838)</f>
        <v/>
      </c>
      <c r="AL838">
        <f>AK838&amp;IF($M838="","",", "&amp;$M838)</f>
        <v/>
      </c>
      <c r="AM838">
        <f>AL838&amp;IF($N838="","",", "&amp;$N838)</f>
        <v/>
      </c>
      <c r="AN838">
        <f>AM838&amp;IF($O838="","",", "&amp;$O838)</f>
        <v/>
      </c>
      <c r="AO838">
        <f>AN838&amp;IF($P838="","",", "&amp;$P838)</f>
        <v/>
      </c>
      <c r="AP838">
        <f>AO838&amp;IF($Q838="","",", "&amp;$Q838)</f>
        <v/>
      </c>
      <c r="AQ838">
        <f>AP838&amp;IF($R838="","",", "&amp;$R838)</f>
        <v/>
      </c>
      <c r="AR838">
        <f>AQ838&amp;IF($S838="","",", "&amp;$S838)</f>
        <v/>
      </c>
      <c r="AS838">
        <f>AR838&amp;IF($T838="","",", "&amp;$T838)</f>
        <v/>
      </c>
      <c r="AT838">
        <f>AS838&amp;IF($U838="","",", "&amp;$U838)</f>
        <v/>
      </c>
      <c r="AU838">
        <f>AT838&amp;IF($V838="","",", "&amp;$V838)</f>
        <v/>
      </c>
      <c r="AV838">
        <f>AU838&amp;IF($W838="","",", "&amp;$W838)</f>
        <v/>
      </c>
      <c r="AW838">
        <f>AV838&amp;IF($X838="","",", "&amp;$X838)</f>
        <v/>
      </c>
      <c r="AX838">
        <f>AW838&amp;IF($Y838="","",", "&amp;$Y838)</f>
        <v/>
      </c>
    </row>
    <row r="839">
      <c r="A839" s="118">
        <f>IF($B839="","",COUNT($B$5:$B839))</f>
        <v/>
      </c>
      <c r="B839" s="80" t="n"/>
      <c r="C839" s="80" t="n"/>
      <c r="D839" s="74" t="n"/>
      <c r="E839" s="74" t="n"/>
      <c r="F839" s="74" t="n"/>
      <c r="G839" s="118">
        <f>IF($F839="","",COUNTIF($F$5:$F839,$F839))</f>
        <v/>
      </c>
      <c r="H839" s="33">
        <f>IF($F839="","",IFERROR(INDEX(사건마스터!$B$5:$B$64,MATCH($F839,사건마스터!$A$5:$A$64,0)),""))</f>
        <v/>
      </c>
      <c r="I839" s="130">
        <f>IF($F839="","",IFERROR(INDEX(사건마스터!$C$5:$C$64,MATCH($F839,사건마스터!$A$5:$A$64,0)),""))</f>
        <v/>
      </c>
      <c r="J839" s="136">
        <f>IF($F839="","",IFERROR(INDEX(사건마스터!$H$5:$H$64,MATCH($F839,사건마스터!$A$5:$A$64,0)),""))</f>
        <v/>
      </c>
      <c r="K839" s="136">
        <f>IF($F839="","",IFERROR(INDEX(사건마스터!$AH$5:$AH$64,MATCH($F839,사건마스터!$A$5:$A$64,0)),""))</f>
        <v/>
      </c>
      <c r="L839" s="136">
        <f>IF($F839="","",IFERROR(INDEX(사건마스터!$AI$5:$AI$64,MATCH($F839,사건마스터!$A$5:$A$64,0)),""))</f>
        <v/>
      </c>
      <c r="M839" s="136">
        <f>IF($F839="","",IFERROR(INDEX(사건마스터!$AJ$5:$AJ$64,MATCH($F839,사건마스터!$A$5:$A$64,0)),""))</f>
        <v/>
      </c>
      <c r="N839" s="136">
        <f>IF($F839="","",IFERROR(INDEX(사건마스터!$AK$5:$AK$64,MATCH($F839,사건마스터!$A$5:$A$64,0)),""))</f>
        <v/>
      </c>
      <c r="O839" s="136">
        <f>IF($F839="","",IFERROR(INDEX(사건마스터!$AL$5:$AL$64,MATCH($F839,사건마스터!$A$5:$A$64,0)),""))</f>
        <v/>
      </c>
      <c r="P839" s="136">
        <f>IF($F839="","",IFERROR(INDEX(사건마스터!$AM$5:$AM$64,MATCH($F839,사건마스터!$A$5:$A$64,0)),""))</f>
        <v/>
      </c>
      <c r="Q839" s="136">
        <f>IF($F839="","",IFERROR(INDEX(사건마스터!$AN$5:$AN$64,MATCH($F839,사건마스터!$A$5:$A$64,0)),""))</f>
        <v/>
      </c>
      <c r="R839" s="136">
        <f>IF($F839="","",IFERROR(INDEX(사건마스터!$AO$5:$AO$64,MATCH($F839,사건마스터!$A$5:$A$64,0)),""))</f>
        <v/>
      </c>
      <c r="S839" s="136">
        <f>IF($F839="","",IFERROR(INDEX(사건마스터!$AP$5:$AP$64,MATCH($F839,사건마스터!$A$5:$A$64,0)),""))</f>
        <v/>
      </c>
      <c r="T839" s="136">
        <f>IF($F839="","",IFERROR(INDEX(사건마스터!$AQ$5:$AQ$64,MATCH($F839,사건마스터!$A$5:$A$64,0)),""))</f>
        <v/>
      </c>
      <c r="U839" s="136">
        <f>IF($F839="","",IFERROR(INDEX(사건마스터!$AR$5:$AR$64,MATCH($F839,사건마스터!$A$5:$A$64,0)),""))</f>
        <v/>
      </c>
      <c r="V839" s="136">
        <f>IF($F839="","",IFERROR(INDEX(사건마스터!$AS$5:$AS$64,MATCH($F839,사건마스터!$A$5:$A$64,0)),""))</f>
        <v/>
      </c>
      <c r="W839" s="136">
        <f>IF($F839="","",IFERROR(INDEX(사건마스터!$AT$5:$AT$64,MATCH($F839,사건마스터!$A$5:$A$64,0)),""))</f>
        <v/>
      </c>
      <c r="X839" s="136">
        <f>IF($F839="","",IFERROR(INDEX(사건마스터!$AU$5:$AU$64,MATCH($F839,사건마스터!$A$5:$A$64,0)),""))</f>
        <v/>
      </c>
      <c r="Y839" s="136">
        <f>IF($F839="","",IFERROR(INDEX(사건마스터!$AV$5:$AV$64,MATCH($F839,사건마스터!$A$5:$A$64,0)),""))</f>
        <v/>
      </c>
      <c r="Z839" s="118">
        <f>IF(COUNTBLANK($J839:$Y839)=16,"",16-COUNTBLANK($J839:$Y839))</f>
        <v/>
      </c>
      <c r="AA839" s="33">
        <f>IF($J839="",MID($AX839,3,255),$J839&amp;$AX839)</f>
        <v/>
      </c>
      <c r="AB839" s="130">
        <f>IF($J839="","",IFERROR(INDEX(코드설정!$D$5:$D$24,MATCH($J839,코드설정!$C$5:$C$24,0)),""))</f>
        <v/>
      </c>
      <c r="AC839" s="36" t="n"/>
      <c r="AD839" s="37" t="n"/>
      <c r="AE839" s="38" t="n"/>
      <c r="AF839" s="118">
        <f>IF(OR($B839="",$C839=""),"",$C839-$B839+1)</f>
        <v/>
      </c>
      <c r="AG839" s="74" t="n"/>
      <c r="AH839" s="36" t="n"/>
      <c r="AJ839">
        <f>IF($K839="","",", "&amp;$K839)</f>
        <v/>
      </c>
      <c r="AK839">
        <f>AJ839&amp;IF($L839="","",", "&amp;$L839)</f>
        <v/>
      </c>
      <c r="AL839">
        <f>AK839&amp;IF($M839="","",", "&amp;$M839)</f>
        <v/>
      </c>
      <c r="AM839">
        <f>AL839&amp;IF($N839="","",", "&amp;$N839)</f>
        <v/>
      </c>
      <c r="AN839">
        <f>AM839&amp;IF($O839="","",", "&amp;$O839)</f>
        <v/>
      </c>
      <c r="AO839">
        <f>AN839&amp;IF($P839="","",", "&amp;$P839)</f>
        <v/>
      </c>
      <c r="AP839">
        <f>AO839&amp;IF($Q839="","",", "&amp;$Q839)</f>
        <v/>
      </c>
      <c r="AQ839">
        <f>AP839&amp;IF($R839="","",", "&amp;$R839)</f>
        <v/>
      </c>
      <c r="AR839">
        <f>AQ839&amp;IF($S839="","",", "&amp;$S839)</f>
        <v/>
      </c>
      <c r="AS839">
        <f>AR839&amp;IF($T839="","",", "&amp;$T839)</f>
        <v/>
      </c>
      <c r="AT839">
        <f>AS839&amp;IF($U839="","",", "&amp;$U839)</f>
        <v/>
      </c>
      <c r="AU839">
        <f>AT839&amp;IF($V839="","",", "&amp;$V839)</f>
        <v/>
      </c>
      <c r="AV839">
        <f>AU839&amp;IF($W839="","",", "&amp;$W839)</f>
        <v/>
      </c>
      <c r="AW839">
        <f>AV839&amp;IF($X839="","",", "&amp;$X839)</f>
        <v/>
      </c>
      <c r="AX839">
        <f>AW839&amp;IF($Y839="","",", "&amp;$Y839)</f>
        <v/>
      </c>
    </row>
    <row r="840">
      <c r="A840" s="118">
        <f>IF($B840="","",COUNT($B$5:$B840))</f>
        <v/>
      </c>
      <c r="B840" s="80" t="n"/>
      <c r="C840" s="80" t="n"/>
      <c r="D840" s="74" t="n"/>
      <c r="E840" s="74" t="n"/>
      <c r="F840" s="74" t="n"/>
      <c r="G840" s="118">
        <f>IF($F840="","",COUNTIF($F$5:$F840,$F840))</f>
        <v/>
      </c>
      <c r="H840" s="33">
        <f>IF($F840="","",IFERROR(INDEX(사건마스터!$B$5:$B$64,MATCH($F840,사건마스터!$A$5:$A$64,0)),""))</f>
        <v/>
      </c>
      <c r="I840" s="130">
        <f>IF($F840="","",IFERROR(INDEX(사건마스터!$C$5:$C$64,MATCH($F840,사건마스터!$A$5:$A$64,0)),""))</f>
        <v/>
      </c>
      <c r="J840" s="136">
        <f>IF($F840="","",IFERROR(INDEX(사건마스터!$H$5:$H$64,MATCH($F840,사건마스터!$A$5:$A$64,0)),""))</f>
        <v/>
      </c>
      <c r="K840" s="136">
        <f>IF($F840="","",IFERROR(INDEX(사건마스터!$AH$5:$AH$64,MATCH($F840,사건마스터!$A$5:$A$64,0)),""))</f>
        <v/>
      </c>
      <c r="L840" s="136">
        <f>IF($F840="","",IFERROR(INDEX(사건마스터!$AI$5:$AI$64,MATCH($F840,사건마스터!$A$5:$A$64,0)),""))</f>
        <v/>
      </c>
      <c r="M840" s="136">
        <f>IF($F840="","",IFERROR(INDEX(사건마스터!$AJ$5:$AJ$64,MATCH($F840,사건마스터!$A$5:$A$64,0)),""))</f>
        <v/>
      </c>
      <c r="N840" s="136">
        <f>IF($F840="","",IFERROR(INDEX(사건마스터!$AK$5:$AK$64,MATCH($F840,사건마스터!$A$5:$A$64,0)),""))</f>
        <v/>
      </c>
      <c r="O840" s="136">
        <f>IF($F840="","",IFERROR(INDEX(사건마스터!$AL$5:$AL$64,MATCH($F840,사건마스터!$A$5:$A$64,0)),""))</f>
        <v/>
      </c>
      <c r="P840" s="136">
        <f>IF($F840="","",IFERROR(INDEX(사건마스터!$AM$5:$AM$64,MATCH($F840,사건마스터!$A$5:$A$64,0)),""))</f>
        <v/>
      </c>
      <c r="Q840" s="136">
        <f>IF($F840="","",IFERROR(INDEX(사건마스터!$AN$5:$AN$64,MATCH($F840,사건마스터!$A$5:$A$64,0)),""))</f>
        <v/>
      </c>
      <c r="R840" s="136">
        <f>IF($F840="","",IFERROR(INDEX(사건마스터!$AO$5:$AO$64,MATCH($F840,사건마스터!$A$5:$A$64,0)),""))</f>
        <v/>
      </c>
      <c r="S840" s="136">
        <f>IF($F840="","",IFERROR(INDEX(사건마스터!$AP$5:$AP$64,MATCH($F840,사건마스터!$A$5:$A$64,0)),""))</f>
        <v/>
      </c>
      <c r="T840" s="136">
        <f>IF($F840="","",IFERROR(INDEX(사건마스터!$AQ$5:$AQ$64,MATCH($F840,사건마스터!$A$5:$A$64,0)),""))</f>
        <v/>
      </c>
      <c r="U840" s="136">
        <f>IF($F840="","",IFERROR(INDEX(사건마스터!$AR$5:$AR$64,MATCH($F840,사건마스터!$A$5:$A$64,0)),""))</f>
        <v/>
      </c>
      <c r="V840" s="136">
        <f>IF($F840="","",IFERROR(INDEX(사건마스터!$AS$5:$AS$64,MATCH($F840,사건마스터!$A$5:$A$64,0)),""))</f>
        <v/>
      </c>
      <c r="W840" s="136">
        <f>IF($F840="","",IFERROR(INDEX(사건마스터!$AT$5:$AT$64,MATCH($F840,사건마스터!$A$5:$A$64,0)),""))</f>
        <v/>
      </c>
      <c r="X840" s="136">
        <f>IF($F840="","",IFERROR(INDEX(사건마스터!$AU$5:$AU$64,MATCH($F840,사건마스터!$A$5:$A$64,0)),""))</f>
        <v/>
      </c>
      <c r="Y840" s="136">
        <f>IF($F840="","",IFERROR(INDEX(사건마스터!$AV$5:$AV$64,MATCH($F840,사건마스터!$A$5:$A$64,0)),""))</f>
        <v/>
      </c>
      <c r="Z840" s="118">
        <f>IF(COUNTBLANK($J840:$Y840)=16,"",16-COUNTBLANK($J840:$Y840))</f>
        <v/>
      </c>
      <c r="AA840" s="33">
        <f>IF($J840="",MID($AX840,3,255),$J840&amp;$AX840)</f>
        <v/>
      </c>
      <c r="AB840" s="130">
        <f>IF($J840="","",IFERROR(INDEX(코드설정!$D$5:$D$24,MATCH($J840,코드설정!$C$5:$C$24,0)),""))</f>
        <v/>
      </c>
      <c r="AC840" s="36" t="n"/>
      <c r="AD840" s="37" t="n"/>
      <c r="AE840" s="38" t="n"/>
      <c r="AF840" s="118">
        <f>IF(OR($B840="",$C840=""),"",$C840-$B840+1)</f>
        <v/>
      </c>
      <c r="AG840" s="74" t="n"/>
      <c r="AH840" s="36" t="n"/>
      <c r="AJ840">
        <f>IF($K840="","",", "&amp;$K840)</f>
        <v/>
      </c>
      <c r="AK840">
        <f>AJ840&amp;IF($L840="","",", "&amp;$L840)</f>
        <v/>
      </c>
      <c r="AL840">
        <f>AK840&amp;IF($M840="","",", "&amp;$M840)</f>
        <v/>
      </c>
      <c r="AM840">
        <f>AL840&amp;IF($N840="","",", "&amp;$N840)</f>
        <v/>
      </c>
      <c r="AN840">
        <f>AM840&amp;IF($O840="","",", "&amp;$O840)</f>
        <v/>
      </c>
      <c r="AO840">
        <f>AN840&amp;IF($P840="","",", "&amp;$P840)</f>
        <v/>
      </c>
      <c r="AP840">
        <f>AO840&amp;IF($Q840="","",", "&amp;$Q840)</f>
        <v/>
      </c>
      <c r="AQ840">
        <f>AP840&amp;IF($R840="","",", "&amp;$R840)</f>
        <v/>
      </c>
      <c r="AR840">
        <f>AQ840&amp;IF($S840="","",", "&amp;$S840)</f>
        <v/>
      </c>
      <c r="AS840">
        <f>AR840&amp;IF($T840="","",", "&amp;$T840)</f>
        <v/>
      </c>
      <c r="AT840">
        <f>AS840&amp;IF($U840="","",", "&amp;$U840)</f>
        <v/>
      </c>
      <c r="AU840">
        <f>AT840&amp;IF($V840="","",", "&amp;$V840)</f>
        <v/>
      </c>
      <c r="AV840">
        <f>AU840&amp;IF($W840="","",", "&amp;$W840)</f>
        <v/>
      </c>
      <c r="AW840">
        <f>AV840&amp;IF($X840="","",", "&amp;$X840)</f>
        <v/>
      </c>
      <c r="AX840">
        <f>AW840&amp;IF($Y840="","",", "&amp;$Y840)</f>
        <v/>
      </c>
    </row>
    <row r="841">
      <c r="A841" s="118">
        <f>IF($B841="","",COUNT($B$5:$B841))</f>
        <v/>
      </c>
      <c r="B841" s="80" t="n"/>
      <c r="C841" s="80" t="n"/>
      <c r="D841" s="74" t="n"/>
      <c r="E841" s="74" t="n"/>
      <c r="F841" s="74" t="n"/>
      <c r="G841" s="118">
        <f>IF($F841="","",COUNTIF($F$5:$F841,$F841))</f>
        <v/>
      </c>
      <c r="H841" s="33">
        <f>IF($F841="","",IFERROR(INDEX(사건마스터!$B$5:$B$64,MATCH($F841,사건마스터!$A$5:$A$64,0)),""))</f>
        <v/>
      </c>
      <c r="I841" s="130">
        <f>IF($F841="","",IFERROR(INDEX(사건마스터!$C$5:$C$64,MATCH($F841,사건마스터!$A$5:$A$64,0)),""))</f>
        <v/>
      </c>
      <c r="J841" s="136">
        <f>IF($F841="","",IFERROR(INDEX(사건마스터!$H$5:$H$64,MATCH($F841,사건마스터!$A$5:$A$64,0)),""))</f>
        <v/>
      </c>
      <c r="K841" s="136">
        <f>IF($F841="","",IFERROR(INDEX(사건마스터!$AH$5:$AH$64,MATCH($F841,사건마스터!$A$5:$A$64,0)),""))</f>
        <v/>
      </c>
      <c r="L841" s="136">
        <f>IF($F841="","",IFERROR(INDEX(사건마스터!$AI$5:$AI$64,MATCH($F841,사건마스터!$A$5:$A$64,0)),""))</f>
        <v/>
      </c>
      <c r="M841" s="136">
        <f>IF($F841="","",IFERROR(INDEX(사건마스터!$AJ$5:$AJ$64,MATCH($F841,사건마스터!$A$5:$A$64,0)),""))</f>
        <v/>
      </c>
      <c r="N841" s="136">
        <f>IF($F841="","",IFERROR(INDEX(사건마스터!$AK$5:$AK$64,MATCH($F841,사건마스터!$A$5:$A$64,0)),""))</f>
        <v/>
      </c>
      <c r="O841" s="136">
        <f>IF($F841="","",IFERROR(INDEX(사건마스터!$AL$5:$AL$64,MATCH($F841,사건마스터!$A$5:$A$64,0)),""))</f>
        <v/>
      </c>
      <c r="P841" s="136">
        <f>IF($F841="","",IFERROR(INDEX(사건마스터!$AM$5:$AM$64,MATCH($F841,사건마스터!$A$5:$A$64,0)),""))</f>
        <v/>
      </c>
      <c r="Q841" s="136">
        <f>IF($F841="","",IFERROR(INDEX(사건마스터!$AN$5:$AN$64,MATCH($F841,사건마스터!$A$5:$A$64,0)),""))</f>
        <v/>
      </c>
      <c r="R841" s="136">
        <f>IF($F841="","",IFERROR(INDEX(사건마스터!$AO$5:$AO$64,MATCH($F841,사건마스터!$A$5:$A$64,0)),""))</f>
        <v/>
      </c>
      <c r="S841" s="136">
        <f>IF($F841="","",IFERROR(INDEX(사건마스터!$AP$5:$AP$64,MATCH($F841,사건마스터!$A$5:$A$64,0)),""))</f>
        <v/>
      </c>
      <c r="T841" s="136">
        <f>IF($F841="","",IFERROR(INDEX(사건마스터!$AQ$5:$AQ$64,MATCH($F841,사건마스터!$A$5:$A$64,0)),""))</f>
        <v/>
      </c>
      <c r="U841" s="136">
        <f>IF($F841="","",IFERROR(INDEX(사건마스터!$AR$5:$AR$64,MATCH($F841,사건마스터!$A$5:$A$64,0)),""))</f>
        <v/>
      </c>
      <c r="V841" s="136">
        <f>IF($F841="","",IFERROR(INDEX(사건마스터!$AS$5:$AS$64,MATCH($F841,사건마스터!$A$5:$A$64,0)),""))</f>
        <v/>
      </c>
      <c r="W841" s="136">
        <f>IF($F841="","",IFERROR(INDEX(사건마스터!$AT$5:$AT$64,MATCH($F841,사건마스터!$A$5:$A$64,0)),""))</f>
        <v/>
      </c>
      <c r="X841" s="136">
        <f>IF($F841="","",IFERROR(INDEX(사건마스터!$AU$5:$AU$64,MATCH($F841,사건마스터!$A$5:$A$64,0)),""))</f>
        <v/>
      </c>
      <c r="Y841" s="136">
        <f>IF($F841="","",IFERROR(INDEX(사건마스터!$AV$5:$AV$64,MATCH($F841,사건마스터!$A$5:$A$64,0)),""))</f>
        <v/>
      </c>
      <c r="Z841" s="118">
        <f>IF(COUNTBLANK($J841:$Y841)=16,"",16-COUNTBLANK($J841:$Y841))</f>
        <v/>
      </c>
      <c r="AA841" s="33">
        <f>IF($J841="",MID($AX841,3,255),$J841&amp;$AX841)</f>
        <v/>
      </c>
      <c r="AB841" s="130">
        <f>IF($J841="","",IFERROR(INDEX(코드설정!$D$5:$D$24,MATCH($J841,코드설정!$C$5:$C$24,0)),""))</f>
        <v/>
      </c>
      <c r="AC841" s="36" t="n"/>
      <c r="AD841" s="37" t="n"/>
      <c r="AE841" s="38" t="n"/>
      <c r="AF841" s="118">
        <f>IF(OR($B841="",$C841=""),"",$C841-$B841+1)</f>
        <v/>
      </c>
      <c r="AG841" s="74" t="n"/>
      <c r="AH841" s="36" t="n"/>
      <c r="AJ841">
        <f>IF($K841="","",", "&amp;$K841)</f>
        <v/>
      </c>
      <c r="AK841">
        <f>AJ841&amp;IF($L841="","",", "&amp;$L841)</f>
        <v/>
      </c>
      <c r="AL841">
        <f>AK841&amp;IF($M841="","",", "&amp;$M841)</f>
        <v/>
      </c>
      <c r="AM841">
        <f>AL841&amp;IF($N841="","",", "&amp;$N841)</f>
        <v/>
      </c>
      <c r="AN841">
        <f>AM841&amp;IF($O841="","",", "&amp;$O841)</f>
        <v/>
      </c>
      <c r="AO841">
        <f>AN841&amp;IF($P841="","",", "&amp;$P841)</f>
        <v/>
      </c>
      <c r="AP841">
        <f>AO841&amp;IF($Q841="","",", "&amp;$Q841)</f>
        <v/>
      </c>
      <c r="AQ841">
        <f>AP841&amp;IF($R841="","",", "&amp;$R841)</f>
        <v/>
      </c>
      <c r="AR841">
        <f>AQ841&amp;IF($S841="","",", "&amp;$S841)</f>
        <v/>
      </c>
      <c r="AS841">
        <f>AR841&amp;IF($T841="","",", "&amp;$T841)</f>
        <v/>
      </c>
      <c r="AT841">
        <f>AS841&amp;IF($U841="","",", "&amp;$U841)</f>
        <v/>
      </c>
      <c r="AU841">
        <f>AT841&amp;IF($V841="","",", "&amp;$V841)</f>
        <v/>
      </c>
      <c r="AV841">
        <f>AU841&amp;IF($W841="","",", "&amp;$W841)</f>
        <v/>
      </c>
      <c r="AW841">
        <f>AV841&amp;IF($X841="","",", "&amp;$X841)</f>
        <v/>
      </c>
      <c r="AX841">
        <f>AW841&amp;IF($Y841="","",", "&amp;$Y841)</f>
        <v/>
      </c>
    </row>
    <row r="842">
      <c r="A842" s="118">
        <f>IF($B842="","",COUNT($B$5:$B842))</f>
        <v/>
      </c>
      <c r="B842" s="80" t="n"/>
      <c r="C842" s="80" t="n"/>
      <c r="D842" s="74" t="n"/>
      <c r="E842" s="74" t="n"/>
      <c r="F842" s="74" t="n"/>
      <c r="G842" s="118">
        <f>IF($F842="","",COUNTIF($F$5:$F842,$F842))</f>
        <v/>
      </c>
      <c r="H842" s="33">
        <f>IF($F842="","",IFERROR(INDEX(사건마스터!$B$5:$B$64,MATCH($F842,사건마스터!$A$5:$A$64,0)),""))</f>
        <v/>
      </c>
      <c r="I842" s="130">
        <f>IF($F842="","",IFERROR(INDEX(사건마스터!$C$5:$C$64,MATCH($F842,사건마스터!$A$5:$A$64,0)),""))</f>
        <v/>
      </c>
      <c r="J842" s="136">
        <f>IF($F842="","",IFERROR(INDEX(사건마스터!$H$5:$H$64,MATCH($F842,사건마스터!$A$5:$A$64,0)),""))</f>
        <v/>
      </c>
      <c r="K842" s="136">
        <f>IF($F842="","",IFERROR(INDEX(사건마스터!$AH$5:$AH$64,MATCH($F842,사건마스터!$A$5:$A$64,0)),""))</f>
        <v/>
      </c>
      <c r="L842" s="136">
        <f>IF($F842="","",IFERROR(INDEX(사건마스터!$AI$5:$AI$64,MATCH($F842,사건마스터!$A$5:$A$64,0)),""))</f>
        <v/>
      </c>
      <c r="M842" s="136">
        <f>IF($F842="","",IFERROR(INDEX(사건마스터!$AJ$5:$AJ$64,MATCH($F842,사건마스터!$A$5:$A$64,0)),""))</f>
        <v/>
      </c>
      <c r="N842" s="136">
        <f>IF($F842="","",IFERROR(INDEX(사건마스터!$AK$5:$AK$64,MATCH($F842,사건마스터!$A$5:$A$64,0)),""))</f>
        <v/>
      </c>
      <c r="O842" s="136">
        <f>IF($F842="","",IFERROR(INDEX(사건마스터!$AL$5:$AL$64,MATCH($F842,사건마스터!$A$5:$A$64,0)),""))</f>
        <v/>
      </c>
      <c r="P842" s="136">
        <f>IF($F842="","",IFERROR(INDEX(사건마스터!$AM$5:$AM$64,MATCH($F842,사건마스터!$A$5:$A$64,0)),""))</f>
        <v/>
      </c>
      <c r="Q842" s="136">
        <f>IF($F842="","",IFERROR(INDEX(사건마스터!$AN$5:$AN$64,MATCH($F842,사건마스터!$A$5:$A$64,0)),""))</f>
        <v/>
      </c>
      <c r="R842" s="136">
        <f>IF($F842="","",IFERROR(INDEX(사건마스터!$AO$5:$AO$64,MATCH($F842,사건마스터!$A$5:$A$64,0)),""))</f>
        <v/>
      </c>
      <c r="S842" s="136">
        <f>IF($F842="","",IFERROR(INDEX(사건마스터!$AP$5:$AP$64,MATCH($F842,사건마스터!$A$5:$A$64,0)),""))</f>
        <v/>
      </c>
      <c r="T842" s="136">
        <f>IF($F842="","",IFERROR(INDEX(사건마스터!$AQ$5:$AQ$64,MATCH($F842,사건마스터!$A$5:$A$64,0)),""))</f>
        <v/>
      </c>
      <c r="U842" s="136">
        <f>IF($F842="","",IFERROR(INDEX(사건마스터!$AR$5:$AR$64,MATCH($F842,사건마스터!$A$5:$A$64,0)),""))</f>
        <v/>
      </c>
      <c r="V842" s="136">
        <f>IF($F842="","",IFERROR(INDEX(사건마스터!$AS$5:$AS$64,MATCH($F842,사건마스터!$A$5:$A$64,0)),""))</f>
        <v/>
      </c>
      <c r="W842" s="136">
        <f>IF($F842="","",IFERROR(INDEX(사건마스터!$AT$5:$AT$64,MATCH($F842,사건마스터!$A$5:$A$64,0)),""))</f>
        <v/>
      </c>
      <c r="X842" s="136">
        <f>IF($F842="","",IFERROR(INDEX(사건마스터!$AU$5:$AU$64,MATCH($F842,사건마스터!$A$5:$A$64,0)),""))</f>
        <v/>
      </c>
      <c r="Y842" s="136">
        <f>IF($F842="","",IFERROR(INDEX(사건마스터!$AV$5:$AV$64,MATCH($F842,사건마스터!$A$5:$A$64,0)),""))</f>
        <v/>
      </c>
      <c r="Z842" s="118">
        <f>IF(COUNTBLANK($J842:$Y842)=16,"",16-COUNTBLANK($J842:$Y842))</f>
        <v/>
      </c>
      <c r="AA842" s="33">
        <f>IF($J842="",MID($AX842,3,255),$J842&amp;$AX842)</f>
        <v/>
      </c>
      <c r="AB842" s="130">
        <f>IF($J842="","",IFERROR(INDEX(코드설정!$D$5:$D$24,MATCH($J842,코드설정!$C$5:$C$24,0)),""))</f>
        <v/>
      </c>
      <c r="AC842" s="36" t="n"/>
      <c r="AD842" s="37" t="n"/>
      <c r="AE842" s="38" t="n"/>
      <c r="AF842" s="118">
        <f>IF(OR($B842="",$C842=""),"",$C842-$B842+1)</f>
        <v/>
      </c>
      <c r="AG842" s="74" t="n"/>
      <c r="AH842" s="36" t="n"/>
      <c r="AJ842">
        <f>IF($K842="","",", "&amp;$K842)</f>
        <v/>
      </c>
      <c r="AK842">
        <f>AJ842&amp;IF($L842="","",", "&amp;$L842)</f>
        <v/>
      </c>
      <c r="AL842">
        <f>AK842&amp;IF($M842="","",", "&amp;$M842)</f>
        <v/>
      </c>
      <c r="AM842">
        <f>AL842&amp;IF($N842="","",", "&amp;$N842)</f>
        <v/>
      </c>
      <c r="AN842">
        <f>AM842&amp;IF($O842="","",", "&amp;$O842)</f>
        <v/>
      </c>
      <c r="AO842">
        <f>AN842&amp;IF($P842="","",", "&amp;$P842)</f>
        <v/>
      </c>
      <c r="AP842">
        <f>AO842&amp;IF($Q842="","",", "&amp;$Q842)</f>
        <v/>
      </c>
      <c r="AQ842">
        <f>AP842&amp;IF($R842="","",", "&amp;$R842)</f>
        <v/>
      </c>
      <c r="AR842">
        <f>AQ842&amp;IF($S842="","",", "&amp;$S842)</f>
        <v/>
      </c>
      <c r="AS842">
        <f>AR842&amp;IF($T842="","",", "&amp;$T842)</f>
        <v/>
      </c>
      <c r="AT842">
        <f>AS842&amp;IF($U842="","",", "&amp;$U842)</f>
        <v/>
      </c>
      <c r="AU842">
        <f>AT842&amp;IF($V842="","",", "&amp;$V842)</f>
        <v/>
      </c>
      <c r="AV842">
        <f>AU842&amp;IF($W842="","",", "&amp;$W842)</f>
        <v/>
      </c>
      <c r="AW842">
        <f>AV842&amp;IF($X842="","",", "&amp;$X842)</f>
        <v/>
      </c>
      <c r="AX842">
        <f>AW842&amp;IF($Y842="","",", "&amp;$Y842)</f>
        <v/>
      </c>
    </row>
    <row r="843">
      <c r="A843" s="118">
        <f>IF($B843="","",COUNT($B$5:$B843))</f>
        <v/>
      </c>
      <c r="B843" s="80" t="n"/>
      <c r="C843" s="80" t="n"/>
      <c r="D843" s="74" t="n"/>
      <c r="E843" s="74" t="n"/>
      <c r="F843" s="74" t="n"/>
      <c r="G843" s="118">
        <f>IF($F843="","",COUNTIF($F$5:$F843,$F843))</f>
        <v/>
      </c>
      <c r="H843" s="33">
        <f>IF($F843="","",IFERROR(INDEX(사건마스터!$B$5:$B$64,MATCH($F843,사건마스터!$A$5:$A$64,0)),""))</f>
        <v/>
      </c>
      <c r="I843" s="130">
        <f>IF($F843="","",IFERROR(INDEX(사건마스터!$C$5:$C$64,MATCH($F843,사건마스터!$A$5:$A$64,0)),""))</f>
        <v/>
      </c>
      <c r="J843" s="136">
        <f>IF($F843="","",IFERROR(INDEX(사건마스터!$H$5:$H$64,MATCH($F843,사건마스터!$A$5:$A$64,0)),""))</f>
        <v/>
      </c>
      <c r="K843" s="136">
        <f>IF($F843="","",IFERROR(INDEX(사건마스터!$AH$5:$AH$64,MATCH($F843,사건마스터!$A$5:$A$64,0)),""))</f>
        <v/>
      </c>
      <c r="L843" s="136">
        <f>IF($F843="","",IFERROR(INDEX(사건마스터!$AI$5:$AI$64,MATCH($F843,사건마스터!$A$5:$A$64,0)),""))</f>
        <v/>
      </c>
      <c r="M843" s="136">
        <f>IF($F843="","",IFERROR(INDEX(사건마스터!$AJ$5:$AJ$64,MATCH($F843,사건마스터!$A$5:$A$64,0)),""))</f>
        <v/>
      </c>
      <c r="N843" s="136">
        <f>IF($F843="","",IFERROR(INDEX(사건마스터!$AK$5:$AK$64,MATCH($F843,사건마스터!$A$5:$A$64,0)),""))</f>
        <v/>
      </c>
      <c r="O843" s="136">
        <f>IF($F843="","",IFERROR(INDEX(사건마스터!$AL$5:$AL$64,MATCH($F843,사건마스터!$A$5:$A$64,0)),""))</f>
        <v/>
      </c>
      <c r="P843" s="136">
        <f>IF($F843="","",IFERROR(INDEX(사건마스터!$AM$5:$AM$64,MATCH($F843,사건마스터!$A$5:$A$64,0)),""))</f>
        <v/>
      </c>
      <c r="Q843" s="136">
        <f>IF($F843="","",IFERROR(INDEX(사건마스터!$AN$5:$AN$64,MATCH($F843,사건마스터!$A$5:$A$64,0)),""))</f>
        <v/>
      </c>
      <c r="R843" s="136">
        <f>IF($F843="","",IFERROR(INDEX(사건마스터!$AO$5:$AO$64,MATCH($F843,사건마스터!$A$5:$A$64,0)),""))</f>
        <v/>
      </c>
      <c r="S843" s="136">
        <f>IF($F843="","",IFERROR(INDEX(사건마스터!$AP$5:$AP$64,MATCH($F843,사건마스터!$A$5:$A$64,0)),""))</f>
        <v/>
      </c>
      <c r="T843" s="136">
        <f>IF($F843="","",IFERROR(INDEX(사건마스터!$AQ$5:$AQ$64,MATCH($F843,사건마스터!$A$5:$A$64,0)),""))</f>
        <v/>
      </c>
      <c r="U843" s="136">
        <f>IF($F843="","",IFERROR(INDEX(사건마스터!$AR$5:$AR$64,MATCH($F843,사건마스터!$A$5:$A$64,0)),""))</f>
        <v/>
      </c>
      <c r="V843" s="136">
        <f>IF($F843="","",IFERROR(INDEX(사건마스터!$AS$5:$AS$64,MATCH($F843,사건마스터!$A$5:$A$64,0)),""))</f>
        <v/>
      </c>
      <c r="W843" s="136">
        <f>IF($F843="","",IFERROR(INDEX(사건마스터!$AT$5:$AT$64,MATCH($F843,사건마스터!$A$5:$A$64,0)),""))</f>
        <v/>
      </c>
      <c r="X843" s="136">
        <f>IF($F843="","",IFERROR(INDEX(사건마스터!$AU$5:$AU$64,MATCH($F843,사건마스터!$A$5:$A$64,0)),""))</f>
        <v/>
      </c>
      <c r="Y843" s="136">
        <f>IF($F843="","",IFERROR(INDEX(사건마스터!$AV$5:$AV$64,MATCH($F843,사건마스터!$A$5:$A$64,0)),""))</f>
        <v/>
      </c>
      <c r="Z843" s="118">
        <f>IF(COUNTBLANK($J843:$Y843)=16,"",16-COUNTBLANK($J843:$Y843))</f>
        <v/>
      </c>
      <c r="AA843" s="33">
        <f>IF($J843="",MID($AX843,3,255),$J843&amp;$AX843)</f>
        <v/>
      </c>
      <c r="AB843" s="130">
        <f>IF($J843="","",IFERROR(INDEX(코드설정!$D$5:$D$24,MATCH($J843,코드설정!$C$5:$C$24,0)),""))</f>
        <v/>
      </c>
      <c r="AC843" s="36" t="n"/>
      <c r="AD843" s="37" t="n"/>
      <c r="AE843" s="38" t="n"/>
      <c r="AF843" s="118">
        <f>IF(OR($B843="",$C843=""),"",$C843-$B843+1)</f>
        <v/>
      </c>
      <c r="AG843" s="74" t="n"/>
      <c r="AH843" s="36" t="n"/>
      <c r="AJ843">
        <f>IF($K843="","",", "&amp;$K843)</f>
        <v/>
      </c>
      <c r="AK843">
        <f>AJ843&amp;IF($L843="","",", "&amp;$L843)</f>
        <v/>
      </c>
      <c r="AL843">
        <f>AK843&amp;IF($M843="","",", "&amp;$M843)</f>
        <v/>
      </c>
      <c r="AM843">
        <f>AL843&amp;IF($N843="","",", "&amp;$N843)</f>
        <v/>
      </c>
      <c r="AN843">
        <f>AM843&amp;IF($O843="","",", "&amp;$O843)</f>
        <v/>
      </c>
      <c r="AO843">
        <f>AN843&amp;IF($P843="","",", "&amp;$P843)</f>
        <v/>
      </c>
      <c r="AP843">
        <f>AO843&amp;IF($Q843="","",", "&amp;$Q843)</f>
        <v/>
      </c>
      <c r="AQ843">
        <f>AP843&amp;IF($R843="","",", "&amp;$R843)</f>
        <v/>
      </c>
      <c r="AR843">
        <f>AQ843&amp;IF($S843="","",", "&amp;$S843)</f>
        <v/>
      </c>
      <c r="AS843">
        <f>AR843&amp;IF($T843="","",", "&amp;$T843)</f>
        <v/>
      </c>
      <c r="AT843">
        <f>AS843&amp;IF($U843="","",", "&amp;$U843)</f>
        <v/>
      </c>
      <c r="AU843">
        <f>AT843&amp;IF($V843="","",", "&amp;$V843)</f>
        <v/>
      </c>
      <c r="AV843">
        <f>AU843&amp;IF($W843="","",", "&amp;$W843)</f>
        <v/>
      </c>
      <c r="AW843">
        <f>AV843&amp;IF($X843="","",", "&amp;$X843)</f>
        <v/>
      </c>
      <c r="AX843">
        <f>AW843&amp;IF($Y843="","",", "&amp;$Y843)</f>
        <v/>
      </c>
    </row>
    <row r="844">
      <c r="A844" s="118">
        <f>IF($B844="","",COUNT($B$5:$B844))</f>
        <v/>
      </c>
      <c r="B844" s="80" t="n"/>
      <c r="C844" s="80" t="n"/>
      <c r="D844" s="74" t="n"/>
      <c r="E844" s="74" t="n"/>
      <c r="F844" s="74" t="n"/>
      <c r="G844" s="118">
        <f>IF($F844="","",COUNTIF($F$5:$F844,$F844))</f>
        <v/>
      </c>
      <c r="H844" s="33">
        <f>IF($F844="","",IFERROR(INDEX(사건마스터!$B$5:$B$64,MATCH($F844,사건마스터!$A$5:$A$64,0)),""))</f>
        <v/>
      </c>
      <c r="I844" s="130">
        <f>IF($F844="","",IFERROR(INDEX(사건마스터!$C$5:$C$64,MATCH($F844,사건마스터!$A$5:$A$64,0)),""))</f>
        <v/>
      </c>
      <c r="J844" s="136">
        <f>IF($F844="","",IFERROR(INDEX(사건마스터!$H$5:$H$64,MATCH($F844,사건마스터!$A$5:$A$64,0)),""))</f>
        <v/>
      </c>
      <c r="K844" s="136">
        <f>IF($F844="","",IFERROR(INDEX(사건마스터!$AH$5:$AH$64,MATCH($F844,사건마스터!$A$5:$A$64,0)),""))</f>
        <v/>
      </c>
      <c r="L844" s="136">
        <f>IF($F844="","",IFERROR(INDEX(사건마스터!$AI$5:$AI$64,MATCH($F844,사건마스터!$A$5:$A$64,0)),""))</f>
        <v/>
      </c>
      <c r="M844" s="136">
        <f>IF($F844="","",IFERROR(INDEX(사건마스터!$AJ$5:$AJ$64,MATCH($F844,사건마스터!$A$5:$A$64,0)),""))</f>
        <v/>
      </c>
      <c r="N844" s="136">
        <f>IF($F844="","",IFERROR(INDEX(사건마스터!$AK$5:$AK$64,MATCH($F844,사건마스터!$A$5:$A$64,0)),""))</f>
        <v/>
      </c>
      <c r="O844" s="136">
        <f>IF($F844="","",IFERROR(INDEX(사건마스터!$AL$5:$AL$64,MATCH($F844,사건마스터!$A$5:$A$64,0)),""))</f>
        <v/>
      </c>
      <c r="P844" s="136">
        <f>IF($F844="","",IFERROR(INDEX(사건마스터!$AM$5:$AM$64,MATCH($F844,사건마스터!$A$5:$A$64,0)),""))</f>
        <v/>
      </c>
      <c r="Q844" s="136">
        <f>IF($F844="","",IFERROR(INDEX(사건마스터!$AN$5:$AN$64,MATCH($F844,사건마스터!$A$5:$A$64,0)),""))</f>
        <v/>
      </c>
      <c r="R844" s="136">
        <f>IF($F844="","",IFERROR(INDEX(사건마스터!$AO$5:$AO$64,MATCH($F844,사건마스터!$A$5:$A$64,0)),""))</f>
        <v/>
      </c>
      <c r="S844" s="136">
        <f>IF($F844="","",IFERROR(INDEX(사건마스터!$AP$5:$AP$64,MATCH($F844,사건마스터!$A$5:$A$64,0)),""))</f>
        <v/>
      </c>
      <c r="T844" s="136">
        <f>IF($F844="","",IFERROR(INDEX(사건마스터!$AQ$5:$AQ$64,MATCH($F844,사건마스터!$A$5:$A$64,0)),""))</f>
        <v/>
      </c>
      <c r="U844" s="136">
        <f>IF($F844="","",IFERROR(INDEX(사건마스터!$AR$5:$AR$64,MATCH($F844,사건마스터!$A$5:$A$64,0)),""))</f>
        <v/>
      </c>
      <c r="V844" s="136">
        <f>IF($F844="","",IFERROR(INDEX(사건마스터!$AS$5:$AS$64,MATCH($F844,사건마스터!$A$5:$A$64,0)),""))</f>
        <v/>
      </c>
      <c r="W844" s="136">
        <f>IF($F844="","",IFERROR(INDEX(사건마스터!$AT$5:$AT$64,MATCH($F844,사건마스터!$A$5:$A$64,0)),""))</f>
        <v/>
      </c>
      <c r="X844" s="136">
        <f>IF($F844="","",IFERROR(INDEX(사건마스터!$AU$5:$AU$64,MATCH($F844,사건마스터!$A$5:$A$64,0)),""))</f>
        <v/>
      </c>
      <c r="Y844" s="136">
        <f>IF($F844="","",IFERROR(INDEX(사건마스터!$AV$5:$AV$64,MATCH($F844,사건마스터!$A$5:$A$64,0)),""))</f>
        <v/>
      </c>
      <c r="Z844" s="118">
        <f>IF(COUNTBLANK($J844:$Y844)=16,"",16-COUNTBLANK($J844:$Y844))</f>
        <v/>
      </c>
      <c r="AA844" s="33">
        <f>IF($J844="",MID($AX844,3,255),$J844&amp;$AX844)</f>
        <v/>
      </c>
      <c r="AB844" s="130">
        <f>IF($J844="","",IFERROR(INDEX(코드설정!$D$5:$D$24,MATCH($J844,코드설정!$C$5:$C$24,0)),""))</f>
        <v/>
      </c>
      <c r="AC844" s="36" t="n"/>
      <c r="AD844" s="37" t="n"/>
      <c r="AE844" s="38" t="n"/>
      <c r="AF844" s="118">
        <f>IF(OR($B844="",$C844=""),"",$C844-$B844+1)</f>
        <v/>
      </c>
      <c r="AG844" s="74" t="n"/>
      <c r="AH844" s="36" t="n"/>
      <c r="AJ844">
        <f>IF($K844="","",", "&amp;$K844)</f>
        <v/>
      </c>
      <c r="AK844">
        <f>AJ844&amp;IF($L844="","",", "&amp;$L844)</f>
        <v/>
      </c>
      <c r="AL844">
        <f>AK844&amp;IF($M844="","",", "&amp;$M844)</f>
        <v/>
      </c>
      <c r="AM844">
        <f>AL844&amp;IF($N844="","",", "&amp;$N844)</f>
        <v/>
      </c>
      <c r="AN844">
        <f>AM844&amp;IF($O844="","",", "&amp;$O844)</f>
        <v/>
      </c>
      <c r="AO844">
        <f>AN844&amp;IF($P844="","",", "&amp;$P844)</f>
        <v/>
      </c>
      <c r="AP844">
        <f>AO844&amp;IF($Q844="","",", "&amp;$Q844)</f>
        <v/>
      </c>
      <c r="AQ844">
        <f>AP844&amp;IF($R844="","",", "&amp;$R844)</f>
        <v/>
      </c>
      <c r="AR844">
        <f>AQ844&amp;IF($S844="","",", "&amp;$S844)</f>
        <v/>
      </c>
      <c r="AS844">
        <f>AR844&amp;IF($T844="","",", "&amp;$T844)</f>
        <v/>
      </c>
      <c r="AT844">
        <f>AS844&amp;IF($U844="","",", "&amp;$U844)</f>
        <v/>
      </c>
      <c r="AU844">
        <f>AT844&amp;IF($V844="","",", "&amp;$V844)</f>
        <v/>
      </c>
      <c r="AV844">
        <f>AU844&amp;IF($W844="","",", "&amp;$W844)</f>
        <v/>
      </c>
      <c r="AW844">
        <f>AV844&amp;IF($X844="","",", "&amp;$X844)</f>
        <v/>
      </c>
      <c r="AX844">
        <f>AW844&amp;IF($Y844="","",", "&amp;$Y844)</f>
        <v/>
      </c>
    </row>
    <row r="845">
      <c r="A845" s="118">
        <f>IF($B845="","",COUNT($B$5:$B845))</f>
        <v/>
      </c>
      <c r="B845" s="80" t="n"/>
      <c r="C845" s="80" t="n"/>
      <c r="D845" s="74" t="n"/>
      <c r="E845" s="74" t="n"/>
      <c r="F845" s="74" t="n"/>
      <c r="G845" s="118">
        <f>IF($F845="","",COUNTIF($F$5:$F845,$F845))</f>
        <v/>
      </c>
      <c r="H845" s="33">
        <f>IF($F845="","",IFERROR(INDEX(사건마스터!$B$5:$B$64,MATCH($F845,사건마스터!$A$5:$A$64,0)),""))</f>
        <v/>
      </c>
      <c r="I845" s="130">
        <f>IF($F845="","",IFERROR(INDEX(사건마스터!$C$5:$C$64,MATCH($F845,사건마스터!$A$5:$A$64,0)),""))</f>
        <v/>
      </c>
      <c r="J845" s="136">
        <f>IF($F845="","",IFERROR(INDEX(사건마스터!$H$5:$H$64,MATCH($F845,사건마스터!$A$5:$A$64,0)),""))</f>
        <v/>
      </c>
      <c r="K845" s="136">
        <f>IF($F845="","",IFERROR(INDEX(사건마스터!$AH$5:$AH$64,MATCH($F845,사건마스터!$A$5:$A$64,0)),""))</f>
        <v/>
      </c>
      <c r="L845" s="136">
        <f>IF($F845="","",IFERROR(INDEX(사건마스터!$AI$5:$AI$64,MATCH($F845,사건마스터!$A$5:$A$64,0)),""))</f>
        <v/>
      </c>
      <c r="M845" s="136">
        <f>IF($F845="","",IFERROR(INDEX(사건마스터!$AJ$5:$AJ$64,MATCH($F845,사건마스터!$A$5:$A$64,0)),""))</f>
        <v/>
      </c>
      <c r="N845" s="136">
        <f>IF($F845="","",IFERROR(INDEX(사건마스터!$AK$5:$AK$64,MATCH($F845,사건마스터!$A$5:$A$64,0)),""))</f>
        <v/>
      </c>
      <c r="O845" s="136">
        <f>IF($F845="","",IFERROR(INDEX(사건마스터!$AL$5:$AL$64,MATCH($F845,사건마스터!$A$5:$A$64,0)),""))</f>
        <v/>
      </c>
      <c r="P845" s="136">
        <f>IF($F845="","",IFERROR(INDEX(사건마스터!$AM$5:$AM$64,MATCH($F845,사건마스터!$A$5:$A$64,0)),""))</f>
        <v/>
      </c>
      <c r="Q845" s="136">
        <f>IF($F845="","",IFERROR(INDEX(사건마스터!$AN$5:$AN$64,MATCH($F845,사건마스터!$A$5:$A$64,0)),""))</f>
        <v/>
      </c>
      <c r="R845" s="136">
        <f>IF($F845="","",IFERROR(INDEX(사건마스터!$AO$5:$AO$64,MATCH($F845,사건마스터!$A$5:$A$64,0)),""))</f>
        <v/>
      </c>
      <c r="S845" s="136">
        <f>IF($F845="","",IFERROR(INDEX(사건마스터!$AP$5:$AP$64,MATCH($F845,사건마스터!$A$5:$A$64,0)),""))</f>
        <v/>
      </c>
      <c r="T845" s="136">
        <f>IF($F845="","",IFERROR(INDEX(사건마스터!$AQ$5:$AQ$64,MATCH($F845,사건마스터!$A$5:$A$64,0)),""))</f>
        <v/>
      </c>
      <c r="U845" s="136">
        <f>IF($F845="","",IFERROR(INDEX(사건마스터!$AR$5:$AR$64,MATCH($F845,사건마스터!$A$5:$A$64,0)),""))</f>
        <v/>
      </c>
      <c r="V845" s="136">
        <f>IF($F845="","",IFERROR(INDEX(사건마스터!$AS$5:$AS$64,MATCH($F845,사건마스터!$A$5:$A$64,0)),""))</f>
        <v/>
      </c>
      <c r="W845" s="136">
        <f>IF($F845="","",IFERROR(INDEX(사건마스터!$AT$5:$AT$64,MATCH($F845,사건마스터!$A$5:$A$64,0)),""))</f>
        <v/>
      </c>
      <c r="X845" s="136">
        <f>IF($F845="","",IFERROR(INDEX(사건마스터!$AU$5:$AU$64,MATCH($F845,사건마스터!$A$5:$A$64,0)),""))</f>
        <v/>
      </c>
      <c r="Y845" s="136">
        <f>IF($F845="","",IFERROR(INDEX(사건마스터!$AV$5:$AV$64,MATCH($F845,사건마스터!$A$5:$A$64,0)),""))</f>
        <v/>
      </c>
      <c r="Z845" s="118">
        <f>IF(COUNTBLANK($J845:$Y845)=16,"",16-COUNTBLANK($J845:$Y845))</f>
        <v/>
      </c>
      <c r="AA845" s="33">
        <f>IF($J845="",MID($AX845,3,255),$J845&amp;$AX845)</f>
        <v/>
      </c>
      <c r="AB845" s="130">
        <f>IF($J845="","",IFERROR(INDEX(코드설정!$D$5:$D$24,MATCH($J845,코드설정!$C$5:$C$24,0)),""))</f>
        <v/>
      </c>
      <c r="AC845" s="36" t="n"/>
      <c r="AD845" s="37" t="n"/>
      <c r="AE845" s="38" t="n"/>
      <c r="AF845" s="118">
        <f>IF(OR($B845="",$C845=""),"",$C845-$B845+1)</f>
        <v/>
      </c>
      <c r="AG845" s="74" t="n"/>
      <c r="AH845" s="36" t="n"/>
      <c r="AJ845">
        <f>IF($K845="","",", "&amp;$K845)</f>
        <v/>
      </c>
      <c r="AK845">
        <f>AJ845&amp;IF($L845="","",", "&amp;$L845)</f>
        <v/>
      </c>
      <c r="AL845">
        <f>AK845&amp;IF($M845="","",", "&amp;$M845)</f>
        <v/>
      </c>
      <c r="AM845">
        <f>AL845&amp;IF($N845="","",", "&amp;$N845)</f>
        <v/>
      </c>
      <c r="AN845">
        <f>AM845&amp;IF($O845="","",", "&amp;$O845)</f>
        <v/>
      </c>
      <c r="AO845">
        <f>AN845&amp;IF($P845="","",", "&amp;$P845)</f>
        <v/>
      </c>
      <c r="AP845">
        <f>AO845&amp;IF($Q845="","",", "&amp;$Q845)</f>
        <v/>
      </c>
      <c r="AQ845">
        <f>AP845&amp;IF($R845="","",", "&amp;$R845)</f>
        <v/>
      </c>
      <c r="AR845">
        <f>AQ845&amp;IF($S845="","",", "&amp;$S845)</f>
        <v/>
      </c>
      <c r="AS845">
        <f>AR845&amp;IF($T845="","",", "&amp;$T845)</f>
        <v/>
      </c>
      <c r="AT845">
        <f>AS845&amp;IF($U845="","",", "&amp;$U845)</f>
        <v/>
      </c>
      <c r="AU845">
        <f>AT845&amp;IF($V845="","",", "&amp;$V845)</f>
        <v/>
      </c>
      <c r="AV845">
        <f>AU845&amp;IF($W845="","",", "&amp;$W845)</f>
        <v/>
      </c>
      <c r="AW845">
        <f>AV845&amp;IF($X845="","",", "&amp;$X845)</f>
        <v/>
      </c>
      <c r="AX845">
        <f>AW845&amp;IF($Y845="","",", "&amp;$Y845)</f>
        <v/>
      </c>
    </row>
    <row r="846">
      <c r="A846" s="118">
        <f>IF($B846="","",COUNT($B$5:$B846))</f>
        <v/>
      </c>
      <c r="B846" s="80" t="n"/>
      <c r="C846" s="80" t="n"/>
      <c r="D846" s="74" t="n"/>
      <c r="E846" s="74" t="n"/>
      <c r="F846" s="74" t="n"/>
      <c r="G846" s="118">
        <f>IF($F846="","",COUNTIF($F$5:$F846,$F846))</f>
        <v/>
      </c>
      <c r="H846" s="33">
        <f>IF($F846="","",IFERROR(INDEX(사건마스터!$B$5:$B$64,MATCH($F846,사건마스터!$A$5:$A$64,0)),""))</f>
        <v/>
      </c>
      <c r="I846" s="130">
        <f>IF($F846="","",IFERROR(INDEX(사건마스터!$C$5:$C$64,MATCH($F846,사건마스터!$A$5:$A$64,0)),""))</f>
        <v/>
      </c>
      <c r="J846" s="136">
        <f>IF($F846="","",IFERROR(INDEX(사건마스터!$H$5:$H$64,MATCH($F846,사건마스터!$A$5:$A$64,0)),""))</f>
        <v/>
      </c>
      <c r="K846" s="136">
        <f>IF($F846="","",IFERROR(INDEX(사건마스터!$AH$5:$AH$64,MATCH($F846,사건마스터!$A$5:$A$64,0)),""))</f>
        <v/>
      </c>
      <c r="L846" s="136">
        <f>IF($F846="","",IFERROR(INDEX(사건마스터!$AI$5:$AI$64,MATCH($F846,사건마스터!$A$5:$A$64,0)),""))</f>
        <v/>
      </c>
      <c r="M846" s="136">
        <f>IF($F846="","",IFERROR(INDEX(사건마스터!$AJ$5:$AJ$64,MATCH($F846,사건마스터!$A$5:$A$64,0)),""))</f>
        <v/>
      </c>
      <c r="N846" s="136">
        <f>IF($F846="","",IFERROR(INDEX(사건마스터!$AK$5:$AK$64,MATCH($F846,사건마스터!$A$5:$A$64,0)),""))</f>
        <v/>
      </c>
      <c r="O846" s="136">
        <f>IF($F846="","",IFERROR(INDEX(사건마스터!$AL$5:$AL$64,MATCH($F846,사건마스터!$A$5:$A$64,0)),""))</f>
        <v/>
      </c>
      <c r="P846" s="136">
        <f>IF($F846="","",IFERROR(INDEX(사건마스터!$AM$5:$AM$64,MATCH($F846,사건마스터!$A$5:$A$64,0)),""))</f>
        <v/>
      </c>
      <c r="Q846" s="136">
        <f>IF($F846="","",IFERROR(INDEX(사건마스터!$AN$5:$AN$64,MATCH($F846,사건마스터!$A$5:$A$64,0)),""))</f>
        <v/>
      </c>
      <c r="R846" s="136">
        <f>IF($F846="","",IFERROR(INDEX(사건마스터!$AO$5:$AO$64,MATCH($F846,사건마스터!$A$5:$A$64,0)),""))</f>
        <v/>
      </c>
      <c r="S846" s="136">
        <f>IF($F846="","",IFERROR(INDEX(사건마스터!$AP$5:$AP$64,MATCH($F846,사건마스터!$A$5:$A$64,0)),""))</f>
        <v/>
      </c>
      <c r="T846" s="136">
        <f>IF($F846="","",IFERROR(INDEX(사건마스터!$AQ$5:$AQ$64,MATCH($F846,사건마스터!$A$5:$A$64,0)),""))</f>
        <v/>
      </c>
      <c r="U846" s="136">
        <f>IF($F846="","",IFERROR(INDEX(사건마스터!$AR$5:$AR$64,MATCH($F846,사건마스터!$A$5:$A$64,0)),""))</f>
        <v/>
      </c>
      <c r="V846" s="136">
        <f>IF($F846="","",IFERROR(INDEX(사건마스터!$AS$5:$AS$64,MATCH($F846,사건마스터!$A$5:$A$64,0)),""))</f>
        <v/>
      </c>
      <c r="W846" s="136">
        <f>IF($F846="","",IFERROR(INDEX(사건마스터!$AT$5:$AT$64,MATCH($F846,사건마스터!$A$5:$A$64,0)),""))</f>
        <v/>
      </c>
      <c r="X846" s="136">
        <f>IF($F846="","",IFERROR(INDEX(사건마스터!$AU$5:$AU$64,MATCH($F846,사건마스터!$A$5:$A$64,0)),""))</f>
        <v/>
      </c>
      <c r="Y846" s="136">
        <f>IF($F846="","",IFERROR(INDEX(사건마스터!$AV$5:$AV$64,MATCH($F846,사건마스터!$A$5:$A$64,0)),""))</f>
        <v/>
      </c>
      <c r="Z846" s="118">
        <f>IF(COUNTBLANK($J846:$Y846)=16,"",16-COUNTBLANK($J846:$Y846))</f>
        <v/>
      </c>
      <c r="AA846" s="33">
        <f>IF($J846="",MID($AX846,3,255),$J846&amp;$AX846)</f>
        <v/>
      </c>
      <c r="AB846" s="130">
        <f>IF($J846="","",IFERROR(INDEX(코드설정!$D$5:$D$24,MATCH($J846,코드설정!$C$5:$C$24,0)),""))</f>
        <v/>
      </c>
      <c r="AC846" s="36" t="n"/>
      <c r="AD846" s="37" t="n"/>
      <c r="AE846" s="38" t="n"/>
      <c r="AF846" s="118">
        <f>IF(OR($B846="",$C846=""),"",$C846-$B846+1)</f>
        <v/>
      </c>
      <c r="AG846" s="74" t="n"/>
      <c r="AH846" s="36" t="n"/>
      <c r="AJ846">
        <f>IF($K846="","",", "&amp;$K846)</f>
        <v/>
      </c>
      <c r="AK846">
        <f>AJ846&amp;IF($L846="","",", "&amp;$L846)</f>
        <v/>
      </c>
      <c r="AL846">
        <f>AK846&amp;IF($M846="","",", "&amp;$M846)</f>
        <v/>
      </c>
      <c r="AM846">
        <f>AL846&amp;IF($N846="","",", "&amp;$N846)</f>
        <v/>
      </c>
      <c r="AN846">
        <f>AM846&amp;IF($O846="","",", "&amp;$O846)</f>
        <v/>
      </c>
      <c r="AO846">
        <f>AN846&amp;IF($P846="","",", "&amp;$P846)</f>
        <v/>
      </c>
      <c r="AP846">
        <f>AO846&amp;IF($Q846="","",", "&amp;$Q846)</f>
        <v/>
      </c>
      <c r="AQ846">
        <f>AP846&amp;IF($R846="","",", "&amp;$R846)</f>
        <v/>
      </c>
      <c r="AR846">
        <f>AQ846&amp;IF($S846="","",", "&amp;$S846)</f>
        <v/>
      </c>
      <c r="AS846">
        <f>AR846&amp;IF($T846="","",", "&amp;$T846)</f>
        <v/>
      </c>
      <c r="AT846">
        <f>AS846&amp;IF($U846="","",", "&amp;$U846)</f>
        <v/>
      </c>
      <c r="AU846">
        <f>AT846&amp;IF($V846="","",", "&amp;$V846)</f>
        <v/>
      </c>
      <c r="AV846">
        <f>AU846&amp;IF($W846="","",", "&amp;$W846)</f>
        <v/>
      </c>
      <c r="AW846">
        <f>AV846&amp;IF($X846="","",", "&amp;$X846)</f>
        <v/>
      </c>
      <c r="AX846">
        <f>AW846&amp;IF($Y846="","",", "&amp;$Y846)</f>
        <v/>
      </c>
    </row>
    <row r="847">
      <c r="A847" s="118">
        <f>IF($B847="","",COUNT($B$5:$B847))</f>
        <v/>
      </c>
      <c r="B847" s="80" t="n"/>
      <c r="C847" s="80" t="n"/>
      <c r="D847" s="74" t="n"/>
      <c r="E847" s="74" t="n"/>
      <c r="F847" s="74" t="n"/>
      <c r="G847" s="118">
        <f>IF($F847="","",COUNTIF($F$5:$F847,$F847))</f>
        <v/>
      </c>
      <c r="H847" s="33">
        <f>IF($F847="","",IFERROR(INDEX(사건마스터!$B$5:$B$64,MATCH($F847,사건마스터!$A$5:$A$64,0)),""))</f>
        <v/>
      </c>
      <c r="I847" s="130">
        <f>IF($F847="","",IFERROR(INDEX(사건마스터!$C$5:$C$64,MATCH($F847,사건마스터!$A$5:$A$64,0)),""))</f>
        <v/>
      </c>
      <c r="J847" s="136">
        <f>IF($F847="","",IFERROR(INDEX(사건마스터!$H$5:$H$64,MATCH($F847,사건마스터!$A$5:$A$64,0)),""))</f>
        <v/>
      </c>
      <c r="K847" s="136">
        <f>IF($F847="","",IFERROR(INDEX(사건마스터!$AH$5:$AH$64,MATCH($F847,사건마스터!$A$5:$A$64,0)),""))</f>
        <v/>
      </c>
      <c r="L847" s="136">
        <f>IF($F847="","",IFERROR(INDEX(사건마스터!$AI$5:$AI$64,MATCH($F847,사건마스터!$A$5:$A$64,0)),""))</f>
        <v/>
      </c>
      <c r="M847" s="136">
        <f>IF($F847="","",IFERROR(INDEX(사건마스터!$AJ$5:$AJ$64,MATCH($F847,사건마스터!$A$5:$A$64,0)),""))</f>
        <v/>
      </c>
      <c r="N847" s="136">
        <f>IF($F847="","",IFERROR(INDEX(사건마스터!$AK$5:$AK$64,MATCH($F847,사건마스터!$A$5:$A$64,0)),""))</f>
        <v/>
      </c>
      <c r="O847" s="136">
        <f>IF($F847="","",IFERROR(INDEX(사건마스터!$AL$5:$AL$64,MATCH($F847,사건마스터!$A$5:$A$64,0)),""))</f>
        <v/>
      </c>
      <c r="P847" s="136">
        <f>IF($F847="","",IFERROR(INDEX(사건마스터!$AM$5:$AM$64,MATCH($F847,사건마스터!$A$5:$A$64,0)),""))</f>
        <v/>
      </c>
      <c r="Q847" s="136">
        <f>IF($F847="","",IFERROR(INDEX(사건마스터!$AN$5:$AN$64,MATCH($F847,사건마스터!$A$5:$A$64,0)),""))</f>
        <v/>
      </c>
      <c r="R847" s="136">
        <f>IF($F847="","",IFERROR(INDEX(사건마스터!$AO$5:$AO$64,MATCH($F847,사건마스터!$A$5:$A$64,0)),""))</f>
        <v/>
      </c>
      <c r="S847" s="136">
        <f>IF($F847="","",IFERROR(INDEX(사건마스터!$AP$5:$AP$64,MATCH($F847,사건마스터!$A$5:$A$64,0)),""))</f>
        <v/>
      </c>
      <c r="T847" s="136">
        <f>IF($F847="","",IFERROR(INDEX(사건마스터!$AQ$5:$AQ$64,MATCH($F847,사건마스터!$A$5:$A$64,0)),""))</f>
        <v/>
      </c>
      <c r="U847" s="136">
        <f>IF($F847="","",IFERROR(INDEX(사건마스터!$AR$5:$AR$64,MATCH($F847,사건마스터!$A$5:$A$64,0)),""))</f>
        <v/>
      </c>
      <c r="V847" s="136">
        <f>IF($F847="","",IFERROR(INDEX(사건마스터!$AS$5:$AS$64,MATCH($F847,사건마스터!$A$5:$A$64,0)),""))</f>
        <v/>
      </c>
      <c r="W847" s="136">
        <f>IF($F847="","",IFERROR(INDEX(사건마스터!$AT$5:$AT$64,MATCH($F847,사건마스터!$A$5:$A$64,0)),""))</f>
        <v/>
      </c>
      <c r="X847" s="136">
        <f>IF($F847="","",IFERROR(INDEX(사건마스터!$AU$5:$AU$64,MATCH($F847,사건마스터!$A$5:$A$64,0)),""))</f>
        <v/>
      </c>
      <c r="Y847" s="136">
        <f>IF($F847="","",IFERROR(INDEX(사건마스터!$AV$5:$AV$64,MATCH($F847,사건마스터!$A$5:$A$64,0)),""))</f>
        <v/>
      </c>
      <c r="Z847" s="118">
        <f>IF(COUNTBLANK($J847:$Y847)=16,"",16-COUNTBLANK($J847:$Y847))</f>
        <v/>
      </c>
      <c r="AA847" s="33">
        <f>IF($J847="",MID($AX847,3,255),$J847&amp;$AX847)</f>
        <v/>
      </c>
      <c r="AB847" s="130">
        <f>IF($J847="","",IFERROR(INDEX(코드설정!$D$5:$D$24,MATCH($J847,코드설정!$C$5:$C$24,0)),""))</f>
        <v/>
      </c>
      <c r="AC847" s="36" t="n"/>
      <c r="AD847" s="37" t="n"/>
      <c r="AE847" s="38" t="n"/>
      <c r="AF847" s="118">
        <f>IF(OR($B847="",$C847=""),"",$C847-$B847+1)</f>
        <v/>
      </c>
      <c r="AG847" s="74" t="n"/>
      <c r="AH847" s="36" t="n"/>
      <c r="AJ847">
        <f>IF($K847="","",", "&amp;$K847)</f>
        <v/>
      </c>
      <c r="AK847">
        <f>AJ847&amp;IF($L847="","",", "&amp;$L847)</f>
        <v/>
      </c>
      <c r="AL847">
        <f>AK847&amp;IF($M847="","",", "&amp;$M847)</f>
        <v/>
      </c>
      <c r="AM847">
        <f>AL847&amp;IF($N847="","",", "&amp;$N847)</f>
        <v/>
      </c>
      <c r="AN847">
        <f>AM847&amp;IF($O847="","",", "&amp;$O847)</f>
        <v/>
      </c>
      <c r="AO847">
        <f>AN847&amp;IF($P847="","",", "&amp;$P847)</f>
        <v/>
      </c>
      <c r="AP847">
        <f>AO847&amp;IF($Q847="","",", "&amp;$Q847)</f>
        <v/>
      </c>
      <c r="AQ847">
        <f>AP847&amp;IF($R847="","",", "&amp;$R847)</f>
        <v/>
      </c>
      <c r="AR847">
        <f>AQ847&amp;IF($S847="","",", "&amp;$S847)</f>
        <v/>
      </c>
      <c r="AS847">
        <f>AR847&amp;IF($T847="","",", "&amp;$T847)</f>
        <v/>
      </c>
      <c r="AT847">
        <f>AS847&amp;IF($U847="","",", "&amp;$U847)</f>
        <v/>
      </c>
      <c r="AU847">
        <f>AT847&amp;IF($V847="","",", "&amp;$V847)</f>
        <v/>
      </c>
      <c r="AV847">
        <f>AU847&amp;IF($W847="","",", "&amp;$W847)</f>
        <v/>
      </c>
      <c r="AW847">
        <f>AV847&amp;IF($X847="","",", "&amp;$X847)</f>
        <v/>
      </c>
      <c r="AX847">
        <f>AW847&amp;IF($Y847="","",", "&amp;$Y847)</f>
        <v/>
      </c>
    </row>
    <row r="848">
      <c r="A848" s="118">
        <f>IF($B848="","",COUNT($B$5:$B848))</f>
        <v/>
      </c>
      <c r="B848" s="80" t="n"/>
      <c r="C848" s="80" t="n"/>
      <c r="D848" s="74" t="n"/>
      <c r="E848" s="74" t="n"/>
      <c r="F848" s="74" t="n"/>
      <c r="G848" s="118">
        <f>IF($F848="","",COUNTIF($F$5:$F848,$F848))</f>
        <v/>
      </c>
      <c r="H848" s="33">
        <f>IF($F848="","",IFERROR(INDEX(사건마스터!$B$5:$B$64,MATCH($F848,사건마스터!$A$5:$A$64,0)),""))</f>
        <v/>
      </c>
      <c r="I848" s="130">
        <f>IF($F848="","",IFERROR(INDEX(사건마스터!$C$5:$C$64,MATCH($F848,사건마스터!$A$5:$A$64,0)),""))</f>
        <v/>
      </c>
      <c r="J848" s="136">
        <f>IF($F848="","",IFERROR(INDEX(사건마스터!$H$5:$H$64,MATCH($F848,사건마스터!$A$5:$A$64,0)),""))</f>
        <v/>
      </c>
      <c r="K848" s="136">
        <f>IF($F848="","",IFERROR(INDEX(사건마스터!$AH$5:$AH$64,MATCH($F848,사건마스터!$A$5:$A$64,0)),""))</f>
        <v/>
      </c>
      <c r="L848" s="136">
        <f>IF($F848="","",IFERROR(INDEX(사건마스터!$AI$5:$AI$64,MATCH($F848,사건마스터!$A$5:$A$64,0)),""))</f>
        <v/>
      </c>
      <c r="M848" s="136">
        <f>IF($F848="","",IFERROR(INDEX(사건마스터!$AJ$5:$AJ$64,MATCH($F848,사건마스터!$A$5:$A$64,0)),""))</f>
        <v/>
      </c>
      <c r="N848" s="136">
        <f>IF($F848="","",IFERROR(INDEX(사건마스터!$AK$5:$AK$64,MATCH($F848,사건마스터!$A$5:$A$64,0)),""))</f>
        <v/>
      </c>
      <c r="O848" s="136">
        <f>IF($F848="","",IFERROR(INDEX(사건마스터!$AL$5:$AL$64,MATCH($F848,사건마스터!$A$5:$A$64,0)),""))</f>
        <v/>
      </c>
      <c r="P848" s="136">
        <f>IF($F848="","",IFERROR(INDEX(사건마스터!$AM$5:$AM$64,MATCH($F848,사건마스터!$A$5:$A$64,0)),""))</f>
        <v/>
      </c>
      <c r="Q848" s="136">
        <f>IF($F848="","",IFERROR(INDEX(사건마스터!$AN$5:$AN$64,MATCH($F848,사건마스터!$A$5:$A$64,0)),""))</f>
        <v/>
      </c>
      <c r="R848" s="136">
        <f>IF($F848="","",IFERROR(INDEX(사건마스터!$AO$5:$AO$64,MATCH($F848,사건마스터!$A$5:$A$64,0)),""))</f>
        <v/>
      </c>
      <c r="S848" s="136">
        <f>IF($F848="","",IFERROR(INDEX(사건마스터!$AP$5:$AP$64,MATCH($F848,사건마스터!$A$5:$A$64,0)),""))</f>
        <v/>
      </c>
      <c r="T848" s="136">
        <f>IF($F848="","",IFERROR(INDEX(사건마스터!$AQ$5:$AQ$64,MATCH($F848,사건마스터!$A$5:$A$64,0)),""))</f>
        <v/>
      </c>
      <c r="U848" s="136">
        <f>IF($F848="","",IFERROR(INDEX(사건마스터!$AR$5:$AR$64,MATCH($F848,사건마스터!$A$5:$A$64,0)),""))</f>
        <v/>
      </c>
      <c r="V848" s="136">
        <f>IF($F848="","",IFERROR(INDEX(사건마스터!$AS$5:$AS$64,MATCH($F848,사건마스터!$A$5:$A$64,0)),""))</f>
        <v/>
      </c>
      <c r="W848" s="136">
        <f>IF($F848="","",IFERROR(INDEX(사건마스터!$AT$5:$AT$64,MATCH($F848,사건마스터!$A$5:$A$64,0)),""))</f>
        <v/>
      </c>
      <c r="X848" s="136">
        <f>IF($F848="","",IFERROR(INDEX(사건마스터!$AU$5:$AU$64,MATCH($F848,사건마스터!$A$5:$A$64,0)),""))</f>
        <v/>
      </c>
      <c r="Y848" s="136">
        <f>IF($F848="","",IFERROR(INDEX(사건마스터!$AV$5:$AV$64,MATCH($F848,사건마스터!$A$5:$A$64,0)),""))</f>
        <v/>
      </c>
      <c r="Z848" s="118">
        <f>IF(COUNTBLANK($J848:$Y848)=16,"",16-COUNTBLANK($J848:$Y848))</f>
        <v/>
      </c>
      <c r="AA848" s="33">
        <f>IF($J848="",MID($AX848,3,255),$J848&amp;$AX848)</f>
        <v/>
      </c>
      <c r="AB848" s="130">
        <f>IF($J848="","",IFERROR(INDEX(코드설정!$D$5:$D$24,MATCH($J848,코드설정!$C$5:$C$24,0)),""))</f>
        <v/>
      </c>
      <c r="AC848" s="36" t="n"/>
      <c r="AD848" s="37" t="n"/>
      <c r="AE848" s="38" t="n"/>
      <c r="AF848" s="118">
        <f>IF(OR($B848="",$C848=""),"",$C848-$B848+1)</f>
        <v/>
      </c>
      <c r="AG848" s="74" t="n"/>
      <c r="AH848" s="36" t="n"/>
      <c r="AJ848">
        <f>IF($K848="","",", "&amp;$K848)</f>
        <v/>
      </c>
      <c r="AK848">
        <f>AJ848&amp;IF($L848="","",", "&amp;$L848)</f>
        <v/>
      </c>
      <c r="AL848">
        <f>AK848&amp;IF($M848="","",", "&amp;$M848)</f>
        <v/>
      </c>
      <c r="AM848">
        <f>AL848&amp;IF($N848="","",", "&amp;$N848)</f>
        <v/>
      </c>
      <c r="AN848">
        <f>AM848&amp;IF($O848="","",", "&amp;$O848)</f>
        <v/>
      </c>
      <c r="AO848">
        <f>AN848&amp;IF($P848="","",", "&amp;$P848)</f>
        <v/>
      </c>
      <c r="AP848">
        <f>AO848&amp;IF($Q848="","",", "&amp;$Q848)</f>
        <v/>
      </c>
      <c r="AQ848">
        <f>AP848&amp;IF($R848="","",", "&amp;$R848)</f>
        <v/>
      </c>
      <c r="AR848">
        <f>AQ848&amp;IF($S848="","",", "&amp;$S848)</f>
        <v/>
      </c>
      <c r="AS848">
        <f>AR848&amp;IF($T848="","",", "&amp;$T848)</f>
        <v/>
      </c>
      <c r="AT848">
        <f>AS848&amp;IF($U848="","",", "&amp;$U848)</f>
        <v/>
      </c>
      <c r="AU848">
        <f>AT848&amp;IF($V848="","",", "&amp;$V848)</f>
        <v/>
      </c>
      <c r="AV848">
        <f>AU848&amp;IF($W848="","",", "&amp;$W848)</f>
        <v/>
      </c>
      <c r="AW848">
        <f>AV848&amp;IF($X848="","",", "&amp;$X848)</f>
        <v/>
      </c>
      <c r="AX848">
        <f>AW848&amp;IF($Y848="","",", "&amp;$Y848)</f>
        <v/>
      </c>
    </row>
    <row r="849">
      <c r="A849" s="118">
        <f>IF($B849="","",COUNT($B$5:$B849))</f>
        <v/>
      </c>
      <c r="B849" s="80" t="n"/>
      <c r="C849" s="80" t="n"/>
      <c r="D849" s="74" t="n"/>
      <c r="E849" s="74" t="n"/>
      <c r="F849" s="74" t="n"/>
      <c r="G849" s="118">
        <f>IF($F849="","",COUNTIF($F$5:$F849,$F849))</f>
        <v/>
      </c>
      <c r="H849" s="33">
        <f>IF($F849="","",IFERROR(INDEX(사건마스터!$B$5:$B$64,MATCH($F849,사건마스터!$A$5:$A$64,0)),""))</f>
        <v/>
      </c>
      <c r="I849" s="130">
        <f>IF($F849="","",IFERROR(INDEX(사건마스터!$C$5:$C$64,MATCH($F849,사건마스터!$A$5:$A$64,0)),""))</f>
        <v/>
      </c>
      <c r="J849" s="136">
        <f>IF($F849="","",IFERROR(INDEX(사건마스터!$H$5:$H$64,MATCH($F849,사건마스터!$A$5:$A$64,0)),""))</f>
        <v/>
      </c>
      <c r="K849" s="136">
        <f>IF($F849="","",IFERROR(INDEX(사건마스터!$AH$5:$AH$64,MATCH($F849,사건마스터!$A$5:$A$64,0)),""))</f>
        <v/>
      </c>
      <c r="L849" s="136">
        <f>IF($F849="","",IFERROR(INDEX(사건마스터!$AI$5:$AI$64,MATCH($F849,사건마스터!$A$5:$A$64,0)),""))</f>
        <v/>
      </c>
      <c r="M849" s="136">
        <f>IF($F849="","",IFERROR(INDEX(사건마스터!$AJ$5:$AJ$64,MATCH($F849,사건마스터!$A$5:$A$64,0)),""))</f>
        <v/>
      </c>
      <c r="N849" s="136">
        <f>IF($F849="","",IFERROR(INDEX(사건마스터!$AK$5:$AK$64,MATCH($F849,사건마스터!$A$5:$A$64,0)),""))</f>
        <v/>
      </c>
      <c r="O849" s="136">
        <f>IF($F849="","",IFERROR(INDEX(사건마스터!$AL$5:$AL$64,MATCH($F849,사건마스터!$A$5:$A$64,0)),""))</f>
        <v/>
      </c>
      <c r="P849" s="136">
        <f>IF($F849="","",IFERROR(INDEX(사건마스터!$AM$5:$AM$64,MATCH($F849,사건마스터!$A$5:$A$64,0)),""))</f>
        <v/>
      </c>
      <c r="Q849" s="136">
        <f>IF($F849="","",IFERROR(INDEX(사건마스터!$AN$5:$AN$64,MATCH($F849,사건마스터!$A$5:$A$64,0)),""))</f>
        <v/>
      </c>
      <c r="R849" s="136">
        <f>IF($F849="","",IFERROR(INDEX(사건마스터!$AO$5:$AO$64,MATCH($F849,사건마스터!$A$5:$A$64,0)),""))</f>
        <v/>
      </c>
      <c r="S849" s="136">
        <f>IF($F849="","",IFERROR(INDEX(사건마스터!$AP$5:$AP$64,MATCH($F849,사건마스터!$A$5:$A$64,0)),""))</f>
        <v/>
      </c>
      <c r="T849" s="136">
        <f>IF($F849="","",IFERROR(INDEX(사건마스터!$AQ$5:$AQ$64,MATCH($F849,사건마스터!$A$5:$A$64,0)),""))</f>
        <v/>
      </c>
      <c r="U849" s="136">
        <f>IF($F849="","",IFERROR(INDEX(사건마스터!$AR$5:$AR$64,MATCH($F849,사건마스터!$A$5:$A$64,0)),""))</f>
        <v/>
      </c>
      <c r="V849" s="136">
        <f>IF($F849="","",IFERROR(INDEX(사건마스터!$AS$5:$AS$64,MATCH($F849,사건마스터!$A$5:$A$64,0)),""))</f>
        <v/>
      </c>
      <c r="W849" s="136">
        <f>IF($F849="","",IFERROR(INDEX(사건마스터!$AT$5:$AT$64,MATCH($F849,사건마스터!$A$5:$A$64,0)),""))</f>
        <v/>
      </c>
      <c r="X849" s="136">
        <f>IF($F849="","",IFERROR(INDEX(사건마스터!$AU$5:$AU$64,MATCH($F849,사건마스터!$A$5:$A$64,0)),""))</f>
        <v/>
      </c>
      <c r="Y849" s="136">
        <f>IF($F849="","",IFERROR(INDEX(사건마스터!$AV$5:$AV$64,MATCH($F849,사건마스터!$A$5:$A$64,0)),""))</f>
        <v/>
      </c>
      <c r="Z849" s="118">
        <f>IF(COUNTBLANK($J849:$Y849)=16,"",16-COUNTBLANK($J849:$Y849))</f>
        <v/>
      </c>
      <c r="AA849" s="33">
        <f>IF($J849="",MID($AX849,3,255),$J849&amp;$AX849)</f>
        <v/>
      </c>
      <c r="AB849" s="130">
        <f>IF($J849="","",IFERROR(INDEX(코드설정!$D$5:$D$24,MATCH($J849,코드설정!$C$5:$C$24,0)),""))</f>
        <v/>
      </c>
      <c r="AC849" s="36" t="n"/>
      <c r="AD849" s="37" t="n"/>
      <c r="AE849" s="38" t="n"/>
      <c r="AF849" s="118">
        <f>IF(OR($B849="",$C849=""),"",$C849-$B849+1)</f>
        <v/>
      </c>
      <c r="AG849" s="74" t="n"/>
      <c r="AH849" s="36" t="n"/>
      <c r="AJ849">
        <f>IF($K849="","",", "&amp;$K849)</f>
        <v/>
      </c>
      <c r="AK849">
        <f>AJ849&amp;IF($L849="","",", "&amp;$L849)</f>
        <v/>
      </c>
      <c r="AL849">
        <f>AK849&amp;IF($M849="","",", "&amp;$M849)</f>
        <v/>
      </c>
      <c r="AM849">
        <f>AL849&amp;IF($N849="","",", "&amp;$N849)</f>
        <v/>
      </c>
      <c r="AN849">
        <f>AM849&amp;IF($O849="","",", "&amp;$O849)</f>
        <v/>
      </c>
      <c r="AO849">
        <f>AN849&amp;IF($P849="","",", "&amp;$P849)</f>
        <v/>
      </c>
      <c r="AP849">
        <f>AO849&amp;IF($Q849="","",", "&amp;$Q849)</f>
        <v/>
      </c>
      <c r="AQ849">
        <f>AP849&amp;IF($R849="","",", "&amp;$R849)</f>
        <v/>
      </c>
      <c r="AR849">
        <f>AQ849&amp;IF($S849="","",", "&amp;$S849)</f>
        <v/>
      </c>
      <c r="AS849">
        <f>AR849&amp;IF($T849="","",", "&amp;$T849)</f>
        <v/>
      </c>
      <c r="AT849">
        <f>AS849&amp;IF($U849="","",", "&amp;$U849)</f>
        <v/>
      </c>
      <c r="AU849">
        <f>AT849&amp;IF($V849="","",", "&amp;$V849)</f>
        <v/>
      </c>
      <c r="AV849">
        <f>AU849&amp;IF($W849="","",", "&amp;$W849)</f>
        <v/>
      </c>
      <c r="AW849">
        <f>AV849&amp;IF($X849="","",", "&amp;$X849)</f>
        <v/>
      </c>
      <c r="AX849">
        <f>AW849&amp;IF($Y849="","",", "&amp;$Y849)</f>
        <v/>
      </c>
    </row>
    <row r="850">
      <c r="A850" s="118">
        <f>IF($B850="","",COUNT($B$5:$B850))</f>
        <v/>
      </c>
      <c r="B850" s="80" t="n"/>
      <c r="C850" s="80" t="n"/>
      <c r="D850" s="74" t="n"/>
      <c r="E850" s="74" t="n"/>
      <c r="F850" s="74" t="n"/>
      <c r="G850" s="118">
        <f>IF($F850="","",COUNTIF($F$5:$F850,$F850))</f>
        <v/>
      </c>
      <c r="H850" s="33">
        <f>IF($F850="","",IFERROR(INDEX(사건마스터!$B$5:$B$64,MATCH($F850,사건마스터!$A$5:$A$64,0)),""))</f>
        <v/>
      </c>
      <c r="I850" s="130">
        <f>IF($F850="","",IFERROR(INDEX(사건마스터!$C$5:$C$64,MATCH($F850,사건마스터!$A$5:$A$64,0)),""))</f>
        <v/>
      </c>
      <c r="J850" s="136">
        <f>IF($F850="","",IFERROR(INDEX(사건마스터!$H$5:$H$64,MATCH($F850,사건마스터!$A$5:$A$64,0)),""))</f>
        <v/>
      </c>
      <c r="K850" s="136">
        <f>IF($F850="","",IFERROR(INDEX(사건마스터!$AH$5:$AH$64,MATCH($F850,사건마스터!$A$5:$A$64,0)),""))</f>
        <v/>
      </c>
      <c r="L850" s="136">
        <f>IF($F850="","",IFERROR(INDEX(사건마스터!$AI$5:$AI$64,MATCH($F850,사건마스터!$A$5:$A$64,0)),""))</f>
        <v/>
      </c>
      <c r="M850" s="136">
        <f>IF($F850="","",IFERROR(INDEX(사건마스터!$AJ$5:$AJ$64,MATCH($F850,사건마스터!$A$5:$A$64,0)),""))</f>
        <v/>
      </c>
      <c r="N850" s="136">
        <f>IF($F850="","",IFERROR(INDEX(사건마스터!$AK$5:$AK$64,MATCH($F850,사건마스터!$A$5:$A$64,0)),""))</f>
        <v/>
      </c>
      <c r="O850" s="136">
        <f>IF($F850="","",IFERROR(INDEX(사건마스터!$AL$5:$AL$64,MATCH($F850,사건마스터!$A$5:$A$64,0)),""))</f>
        <v/>
      </c>
      <c r="P850" s="136">
        <f>IF($F850="","",IFERROR(INDEX(사건마스터!$AM$5:$AM$64,MATCH($F850,사건마스터!$A$5:$A$64,0)),""))</f>
        <v/>
      </c>
      <c r="Q850" s="136">
        <f>IF($F850="","",IFERROR(INDEX(사건마스터!$AN$5:$AN$64,MATCH($F850,사건마스터!$A$5:$A$64,0)),""))</f>
        <v/>
      </c>
      <c r="R850" s="136">
        <f>IF($F850="","",IFERROR(INDEX(사건마스터!$AO$5:$AO$64,MATCH($F850,사건마스터!$A$5:$A$64,0)),""))</f>
        <v/>
      </c>
      <c r="S850" s="136">
        <f>IF($F850="","",IFERROR(INDEX(사건마스터!$AP$5:$AP$64,MATCH($F850,사건마스터!$A$5:$A$64,0)),""))</f>
        <v/>
      </c>
      <c r="T850" s="136">
        <f>IF($F850="","",IFERROR(INDEX(사건마스터!$AQ$5:$AQ$64,MATCH($F850,사건마스터!$A$5:$A$64,0)),""))</f>
        <v/>
      </c>
      <c r="U850" s="136">
        <f>IF($F850="","",IFERROR(INDEX(사건마스터!$AR$5:$AR$64,MATCH($F850,사건마스터!$A$5:$A$64,0)),""))</f>
        <v/>
      </c>
      <c r="V850" s="136">
        <f>IF($F850="","",IFERROR(INDEX(사건마스터!$AS$5:$AS$64,MATCH($F850,사건마스터!$A$5:$A$64,0)),""))</f>
        <v/>
      </c>
      <c r="W850" s="136">
        <f>IF($F850="","",IFERROR(INDEX(사건마스터!$AT$5:$AT$64,MATCH($F850,사건마스터!$A$5:$A$64,0)),""))</f>
        <v/>
      </c>
      <c r="X850" s="136">
        <f>IF($F850="","",IFERROR(INDEX(사건마스터!$AU$5:$AU$64,MATCH($F850,사건마스터!$A$5:$A$64,0)),""))</f>
        <v/>
      </c>
      <c r="Y850" s="136">
        <f>IF($F850="","",IFERROR(INDEX(사건마스터!$AV$5:$AV$64,MATCH($F850,사건마스터!$A$5:$A$64,0)),""))</f>
        <v/>
      </c>
      <c r="Z850" s="118">
        <f>IF(COUNTBLANK($J850:$Y850)=16,"",16-COUNTBLANK($J850:$Y850))</f>
        <v/>
      </c>
      <c r="AA850" s="33">
        <f>IF($J850="",MID($AX850,3,255),$J850&amp;$AX850)</f>
        <v/>
      </c>
      <c r="AB850" s="130">
        <f>IF($J850="","",IFERROR(INDEX(코드설정!$D$5:$D$24,MATCH($J850,코드설정!$C$5:$C$24,0)),""))</f>
        <v/>
      </c>
      <c r="AC850" s="36" t="n"/>
      <c r="AD850" s="37" t="n"/>
      <c r="AE850" s="38" t="n"/>
      <c r="AF850" s="118">
        <f>IF(OR($B850="",$C850=""),"",$C850-$B850+1)</f>
        <v/>
      </c>
      <c r="AG850" s="74" t="n"/>
      <c r="AH850" s="36" t="n"/>
      <c r="AJ850">
        <f>IF($K850="","",", "&amp;$K850)</f>
        <v/>
      </c>
      <c r="AK850">
        <f>AJ850&amp;IF($L850="","",", "&amp;$L850)</f>
        <v/>
      </c>
      <c r="AL850">
        <f>AK850&amp;IF($M850="","",", "&amp;$M850)</f>
        <v/>
      </c>
      <c r="AM850">
        <f>AL850&amp;IF($N850="","",", "&amp;$N850)</f>
        <v/>
      </c>
      <c r="AN850">
        <f>AM850&amp;IF($O850="","",", "&amp;$O850)</f>
        <v/>
      </c>
      <c r="AO850">
        <f>AN850&amp;IF($P850="","",", "&amp;$P850)</f>
        <v/>
      </c>
      <c r="AP850">
        <f>AO850&amp;IF($Q850="","",", "&amp;$Q850)</f>
        <v/>
      </c>
      <c r="AQ850">
        <f>AP850&amp;IF($R850="","",", "&amp;$R850)</f>
        <v/>
      </c>
      <c r="AR850">
        <f>AQ850&amp;IF($S850="","",", "&amp;$S850)</f>
        <v/>
      </c>
      <c r="AS850">
        <f>AR850&amp;IF($T850="","",", "&amp;$T850)</f>
        <v/>
      </c>
      <c r="AT850">
        <f>AS850&amp;IF($U850="","",", "&amp;$U850)</f>
        <v/>
      </c>
      <c r="AU850">
        <f>AT850&amp;IF($V850="","",", "&amp;$V850)</f>
        <v/>
      </c>
      <c r="AV850">
        <f>AU850&amp;IF($W850="","",", "&amp;$W850)</f>
        <v/>
      </c>
      <c r="AW850">
        <f>AV850&amp;IF($X850="","",", "&amp;$X850)</f>
        <v/>
      </c>
      <c r="AX850">
        <f>AW850&amp;IF($Y850="","",", "&amp;$Y850)</f>
        <v/>
      </c>
    </row>
    <row r="851">
      <c r="A851" s="118">
        <f>IF($B851="","",COUNT($B$5:$B851))</f>
        <v/>
      </c>
      <c r="B851" s="80" t="n"/>
      <c r="C851" s="80" t="n"/>
      <c r="D851" s="74" t="n"/>
      <c r="E851" s="74" t="n"/>
      <c r="F851" s="74" t="n"/>
      <c r="G851" s="118">
        <f>IF($F851="","",COUNTIF($F$5:$F851,$F851))</f>
        <v/>
      </c>
      <c r="H851" s="33">
        <f>IF($F851="","",IFERROR(INDEX(사건마스터!$B$5:$B$64,MATCH($F851,사건마스터!$A$5:$A$64,0)),""))</f>
        <v/>
      </c>
      <c r="I851" s="130">
        <f>IF($F851="","",IFERROR(INDEX(사건마스터!$C$5:$C$64,MATCH($F851,사건마스터!$A$5:$A$64,0)),""))</f>
        <v/>
      </c>
      <c r="J851" s="136">
        <f>IF($F851="","",IFERROR(INDEX(사건마스터!$H$5:$H$64,MATCH($F851,사건마스터!$A$5:$A$64,0)),""))</f>
        <v/>
      </c>
      <c r="K851" s="136">
        <f>IF($F851="","",IFERROR(INDEX(사건마스터!$AH$5:$AH$64,MATCH($F851,사건마스터!$A$5:$A$64,0)),""))</f>
        <v/>
      </c>
      <c r="L851" s="136">
        <f>IF($F851="","",IFERROR(INDEX(사건마스터!$AI$5:$AI$64,MATCH($F851,사건마스터!$A$5:$A$64,0)),""))</f>
        <v/>
      </c>
      <c r="M851" s="136">
        <f>IF($F851="","",IFERROR(INDEX(사건마스터!$AJ$5:$AJ$64,MATCH($F851,사건마스터!$A$5:$A$64,0)),""))</f>
        <v/>
      </c>
      <c r="N851" s="136">
        <f>IF($F851="","",IFERROR(INDEX(사건마스터!$AK$5:$AK$64,MATCH($F851,사건마스터!$A$5:$A$64,0)),""))</f>
        <v/>
      </c>
      <c r="O851" s="136">
        <f>IF($F851="","",IFERROR(INDEX(사건마스터!$AL$5:$AL$64,MATCH($F851,사건마스터!$A$5:$A$64,0)),""))</f>
        <v/>
      </c>
      <c r="P851" s="136">
        <f>IF($F851="","",IFERROR(INDEX(사건마스터!$AM$5:$AM$64,MATCH($F851,사건마스터!$A$5:$A$64,0)),""))</f>
        <v/>
      </c>
      <c r="Q851" s="136">
        <f>IF($F851="","",IFERROR(INDEX(사건마스터!$AN$5:$AN$64,MATCH($F851,사건마스터!$A$5:$A$64,0)),""))</f>
        <v/>
      </c>
      <c r="R851" s="136">
        <f>IF($F851="","",IFERROR(INDEX(사건마스터!$AO$5:$AO$64,MATCH($F851,사건마스터!$A$5:$A$64,0)),""))</f>
        <v/>
      </c>
      <c r="S851" s="136">
        <f>IF($F851="","",IFERROR(INDEX(사건마스터!$AP$5:$AP$64,MATCH($F851,사건마스터!$A$5:$A$64,0)),""))</f>
        <v/>
      </c>
      <c r="T851" s="136">
        <f>IF($F851="","",IFERROR(INDEX(사건마스터!$AQ$5:$AQ$64,MATCH($F851,사건마스터!$A$5:$A$64,0)),""))</f>
        <v/>
      </c>
      <c r="U851" s="136">
        <f>IF($F851="","",IFERROR(INDEX(사건마스터!$AR$5:$AR$64,MATCH($F851,사건마스터!$A$5:$A$64,0)),""))</f>
        <v/>
      </c>
      <c r="V851" s="136">
        <f>IF($F851="","",IFERROR(INDEX(사건마스터!$AS$5:$AS$64,MATCH($F851,사건마스터!$A$5:$A$64,0)),""))</f>
        <v/>
      </c>
      <c r="W851" s="136">
        <f>IF($F851="","",IFERROR(INDEX(사건마스터!$AT$5:$AT$64,MATCH($F851,사건마스터!$A$5:$A$64,0)),""))</f>
        <v/>
      </c>
      <c r="X851" s="136">
        <f>IF($F851="","",IFERROR(INDEX(사건마스터!$AU$5:$AU$64,MATCH($F851,사건마스터!$A$5:$A$64,0)),""))</f>
        <v/>
      </c>
      <c r="Y851" s="136">
        <f>IF($F851="","",IFERROR(INDEX(사건마스터!$AV$5:$AV$64,MATCH($F851,사건마스터!$A$5:$A$64,0)),""))</f>
        <v/>
      </c>
      <c r="Z851" s="118">
        <f>IF(COUNTBLANK($J851:$Y851)=16,"",16-COUNTBLANK($J851:$Y851))</f>
        <v/>
      </c>
      <c r="AA851" s="33">
        <f>IF($J851="",MID($AX851,3,255),$J851&amp;$AX851)</f>
        <v/>
      </c>
      <c r="AB851" s="130">
        <f>IF($J851="","",IFERROR(INDEX(코드설정!$D$5:$D$24,MATCH($J851,코드설정!$C$5:$C$24,0)),""))</f>
        <v/>
      </c>
      <c r="AC851" s="36" t="n"/>
      <c r="AD851" s="37" t="n"/>
      <c r="AE851" s="38" t="n"/>
      <c r="AF851" s="118">
        <f>IF(OR($B851="",$C851=""),"",$C851-$B851+1)</f>
        <v/>
      </c>
      <c r="AG851" s="74" t="n"/>
      <c r="AH851" s="36" t="n"/>
      <c r="AJ851">
        <f>IF($K851="","",", "&amp;$K851)</f>
        <v/>
      </c>
      <c r="AK851">
        <f>AJ851&amp;IF($L851="","",", "&amp;$L851)</f>
        <v/>
      </c>
      <c r="AL851">
        <f>AK851&amp;IF($M851="","",", "&amp;$M851)</f>
        <v/>
      </c>
      <c r="AM851">
        <f>AL851&amp;IF($N851="","",", "&amp;$N851)</f>
        <v/>
      </c>
      <c r="AN851">
        <f>AM851&amp;IF($O851="","",", "&amp;$O851)</f>
        <v/>
      </c>
      <c r="AO851">
        <f>AN851&amp;IF($P851="","",", "&amp;$P851)</f>
        <v/>
      </c>
      <c r="AP851">
        <f>AO851&amp;IF($Q851="","",", "&amp;$Q851)</f>
        <v/>
      </c>
      <c r="AQ851">
        <f>AP851&amp;IF($R851="","",", "&amp;$R851)</f>
        <v/>
      </c>
      <c r="AR851">
        <f>AQ851&amp;IF($S851="","",", "&amp;$S851)</f>
        <v/>
      </c>
      <c r="AS851">
        <f>AR851&amp;IF($T851="","",", "&amp;$T851)</f>
        <v/>
      </c>
      <c r="AT851">
        <f>AS851&amp;IF($U851="","",", "&amp;$U851)</f>
        <v/>
      </c>
      <c r="AU851">
        <f>AT851&amp;IF($V851="","",", "&amp;$V851)</f>
        <v/>
      </c>
      <c r="AV851">
        <f>AU851&amp;IF($W851="","",", "&amp;$W851)</f>
        <v/>
      </c>
      <c r="AW851">
        <f>AV851&amp;IF($X851="","",", "&amp;$X851)</f>
        <v/>
      </c>
      <c r="AX851">
        <f>AW851&amp;IF($Y851="","",", "&amp;$Y851)</f>
        <v/>
      </c>
    </row>
    <row r="852">
      <c r="A852" s="118">
        <f>IF($B852="","",COUNT($B$5:$B852))</f>
        <v/>
      </c>
      <c r="B852" s="80" t="n"/>
      <c r="C852" s="80" t="n"/>
      <c r="D852" s="74" t="n"/>
      <c r="E852" s="74" t="n"/>
      <c r="F852" s="74" t="n"/>
      <c r="G852" s="118">
        <f>IF($F852="","",COUNTIF($F$5:$F852,$F852))</f>
        <v/>
      </c>
      <c r="H852" s="33">
        <f>IF($F852="","",IFERROR(INDEX(사건마스터!$B$5:$B$64,MATCH($F852,사건마스터!$A$5:$A$64,0)),""))</f>
        <v/>
      </c>
      <c r="I852" s="130">
        <f>IF($F852="","",IFERROR(INDEX(사건마스터!$C$5:$C$64,MATCH($F852,사건마스터!$A$5:$A$64,0)),""))</f>
        <v/>
      </c>
      <c r="J852" s="136">
        <f>IF($F852="","",IFERROR(INDEX(사건마스터!$H$5:$H$64,MATCH($F852,사건마스터!$A$5:$A$64,0)),""))</f>
        <v/>
      </c>
      <c r="K852" s="136">
        <f>IF($F852="","",IFERROR(INDEX(사건마스터!$AH$5:$AH$64,MATCH($F852,사건마스터!$A$5:$A$64,0)),""))</f>
        <v/>
      </c>
      <c r="L852" s="136">
        <f>IF($F852="","",IFERROR(INDEX(사건마스터!$AI$5:$AI$64,MATCH($F852,사건마스터!$A$5:$A$64,0)),""))</f>
        <v/>
      </c>
      <c r="M852" s="136">
        <f>IF($F852="","",IFERROR(INDEX(사건마스터!$AJ$5:$AJ$64,MATCH($F852,사건마스터!$A$5:$A$64,0)),""))</f>
        <v/>
      </c>
      <c r="N852" s="136">
        <f>IF($F852="","",IFERROR(INDEX(사건마스터!$AK$5:$AK$64,MATCH($F852,사건마스터!$A$5:$A$64,0)),""))</f>
        <v/>
      </c>
      <c r="O852" s="136">
        <f>IF($F852="","",IFERROR(INDEX(사건마스터!$AL$5:$AL$64,MATCH($F852,사건마스터!$A$5:$A$64,0)),""))</f>
        <v/>
      </c>
      <c r="P852" s="136">
        <f>IF($F852="","",IFERROR(INDEX(사건마스터!$AM$5:$AM$64,MATCH($F852,사건마스터!$A$5:$A$64,0)),""))</f>
        <v/>
      </c>
      <c r="Q852" s="136">
        <f>IF($F852="","",IFERROR(INDEX(사건마스터!$AN$5:$AN$64,MATCH($F852,사건마스터!$A$5:$A$64,0)),""))</f>
        <v/>
      </c>
      <c r="R852" s="136">
        <f>IF($F852="","",IFERROR(INDEX(사건마스터!$AO$5:$AO$64,MATCH($F852,사건마스터!$A$5:$A$64,0)),""))</f>
        <v/>
      </c>
      <c r="S852" s="136">
        <f>IF($F852="","",IFERROR(INDEX(사건마스터!$AP$5:$AP$64,MATCH($F852,사건마스터!$A$5:$A$64,0)),""))</f>
        <v/>
      </c>
      <c r="T852" s="136">
        <f>IF($F852="","",IFERROR(INDEX(사건마스터!$AQ$5:$AQ$64,MATCH($F852,사건마스터!$A$5:$A$64,0)),""))</f>
        <v/>
      </c>
      <c r="U852" s="136">
        <f>IF($F852="","",IFERROR(INDEX(사건마스터!$AR$5:$AR$64,MATCH($F852,사건마스터!$A$5:$A$64,0)),""))</f>
        <v/>
      </c>
      <c r="V852" s="136">
        <f>IF($F852="","",IFERROR(INDEX(사건마스터!$AS$5:$AS$64,MATCH($F852,사건마스터!$A$5:$A$64,0)),""))</f>
        <v/>
      </c>
      <c r="W852" s="136">
        <f>IF($F852="","",IFERROR(INDEX(사건마스터!$AT$5:$AT$64,MATCH($F852,사건마스터!$A$5:$A$64,0)),""))</f>
        <v/>
      </c>
      <c r="X852" s="136">
        <f>IF($F852="","",IFERROR(INDEX(사건마스터!$AU$5:$AU$64,MATCH($F852,사건마스터!$A$5:$A$64,0)),""))</f>
        <v/>
      </c>
      <c r="Y852" s="136">
        <f>IF($F852="","",IFERROR(INDEX(사건마스터!$AV$5:$AV$64,MATCH($F852,사건마스터!$A$5:$A$64,0)),""))</f>
        <v/>
      </c>
      <c r="Z852" s="118">
        <f>IF(COUNTBLANK($J852:$Y852)=16,"",16-COUNTBLANK($J852:$Y852))</f>
        <v/>
      </c>
      <c r="AA852" s="33">
        <f>IF($J852="",MID($AX852,3,255),$J852&amp;$AX852)</f>
        <v/>
      </c>
      <c r="AB852" s="130">
        <f>IF($J852="","",IFERROR(INDEX(코드설정!$D$5:$D$24,MATCH($J852,코드설정!$C$5:$C$24,0)),""))</f>
        <v/>
      </c>
      <c r="AC852" s="36" t="n"/>
      <c r="AD852" s="37" t="n"/>
      <c r="AE852" s="38" t="n"/>
      <c r="AF852" s="118">
        <f>IF(OR($B852="",$C852=""),"",$C852-$B852+1)</f>
        <v/>
      </c>
      <c r="AG852" s="74" t="n"/>
      <c r="AH852" s="36" t="n"/>
      <c r="AJ852">
        <f>IF($K852="","",", "&amp;$K852)</f>
        <v/>
      </c>
      <c r="AK852">
        <f>AJ852&amp;IF($L852="","",", "&amp;$L852)</f>
        <v/>
      </c>
      <c r="AL852">
        <f>AK852&amp;IF($M852="","",", "&amp;$M852)</f>
        <v/>
      </c>
      <c r="AM852">
        <f>AL852&amp;IF($N852="","",", "&amp;$N852)</f>
        <v/>
      </c>
      <c r="AN852">
        <f>AM852&amp;IF($O852="","",", "&amp;$O852)</f>
        <v/>
      </c>
      <c r="AO852">
        <f>AN852&amp;IF($P852="","",", "&amp;$P852)</f>
        <v/>
      </c>
      <c r="AP852">
        <f>AO852&amp;IF($Q852="","",", "&amp;$Q852)</f>
        <v/>
      </c>
      <c r="AQ852">
        <f>AP852&amp;IF($R852="","",", "&amp;$R852)</f>
        <v/>
      </c>
      <c r="AR852">
        <f>AQ852&amp;IF($S852="","",", "&amp;$S852)</f>
        <v/>
      </c>
      <c r="AS852">
        <f>AR852&amp;IF($T852="","",", "&amp;$T852)</f>
        <v/>
      </c>
      <c r="AT852">
        <f>AS852&amp;IF($U852="","",", "&amp;$U852)</f>
        <v/>
      </c>
      <c r="AU852">
        <f>AT852&amp;IF($V852="","",", "&amp;$V852)</f>
        <v/>
      </c>
      <c r="AV852">
        <f>AU852&amp;IF($W852="","",", "&amp;$W852)</f>
        <v/>
      </c>
      <c r="AW852">
        <f>AV852&amp;IF($X852="","",", "&amp;$X852)</f>
        <v/>
      </c>
      <c r="AX852">
        <f>AW852&amp;IF($Y852="","",", "&amp;$Y852)</f>
        <v/>
      </c>
    </row>
    <row r="853">
      <c r="A853" s="118">
        <f>IF($B853="","",COUNT($B$5:$B853))</f>
        <v/>
      </c>
      <c r="B853" s="80" t="n"/>
      <c r="C853" s="80" t="n"/>
      <c r="D853" s="74" t="n"/>
      <c r="E853" s="74" t="n"/>
      <c r="F853" s="74" t="n"/>
      <c r="G853" s="118">
        <f>IF($F853="","",COUNTIF($F$5:$F853,$F853))</f>
        <v/>
      </c>
      <c r="H853" s="33">
        <f>IF($F853="","",IFERROR(INDEX(사건마스터!$B$5:$B$64,MATCH($F853,사건마스터!$A$5:$A$64,0)),""))</f>
        <v/>
      </c>
      <c r="I853" s="130">
        <f>IF($F853="","",IFERROR(INDEX(사건마스터!$C$5:$C$64,MATCH($F853,사건마스터!$A$5:$A$64,0)),""))</f>
        <v/>
      </c>
      <c r="J853" s="136">
        <f>IF($F853="","",IFERROR(INDEX(사건마스터!$H$5:$H$64,MATCH($F853,사건마스터!$A$5:$A$64,0)),""))</f>
        <v/>
      </c>
      <c r="K853" s="136">
        <f>IF($F853="","",IFERROR(INDEX(사건마스터!$AH$5:$AH$64,MATCH($F853,사건마스터!$A$5:$A$64,0)),""))</f>
        <v/>
      </c>
      <c r="L853" s="136">
        <f>IF($F853="","",IFERROR(INDEX(사건마스터!$AI$5:$AI$64,MATCH($F853,사건마스터!$A$5:$A$64,0)),""))</f>
        <v/>
      </c>
      <c r="M853" s="136">
        <f>IF($F853="","",IFERROR(INDEX(사건마스터!$AJ$5:$AJ$64,MATCH($F853,사건마스터!$A$5:$A$64,0)),""))</f>
        <v/>
      </c>
      <c r="N853" s="136">
        <f>IF($F853="","",IFERROR(INDEX(사건마스터!$AK$5:$AK$64,MATCH($F853,사건마스터!$A$5:$A$64,0)),""))</f>
        <v/>
      </c>
      <c r="O853" s="136">
        <f>IF($F853="","",IFERROR(INDEX(사건마스터!$AL$5:$AL$64,MATCH($F853,사건마스터!$A$5:$A$64,0)),""))</f>
        <v/>
      </c>
      <c r="P853" s="136">
        <f>IF($F853="","",IFERROR(INDEX(사건마스터!$AM$5:$AM$64,MATCH($F853,사건마스터!$A$5:$A$64,0)),""))</f>
        <v/>
      </c>
      <c r="Q853" s="136">
        <f>IF($F853="","",IFERROR(INDEX(사건마스터!$AN$5:$AN$64,MATCH($F853,사건마스터!$A$5:$A$64,0)),""))</f>
        <v/>
      </c>
      <c r="R853" s="136">
        <f>IF($F853="","",IFERROR(INDEX(사건마스터!$AO$5:$AO$64,MATCH($F853,사건마스터!$A$5:$A$64,0)),""))</f>
        <v/>
      </c>
      <c r="S853" s="136">
        <f>IF($F853="","",IFERROR(INDEX(사건마스터!$AP$5:$AP$64,MATCH($F853,사건마스터!$A$5:$A$64,0)),""))</f>
        <v/>
      </c>
      <c r="T853" s="136">
        <f>IF($F853="","",IFERROR(INDEX(사건마스터!$AQ$5:$AQ$64,MATCH($F853,사건마스터!$A$5:$A$64,0)),""))</f>
        <v/>
      </c>
      <c r="U853" s="136">
        <f>IF($F853="","",IFERROR(INDEX(사건마스터!$AR$5:$AR$64,MATCH($F853,사건마스터!$A$5:$A$64,0)),""))</f>
        <v/>
      </c>
      <c r="V853" s="136">
        <f>IF($F853="","",IFERROR(INDEX(사건마스터!$AS$5:$AS$64,MATCH($F853,사건마스터!$A$5:$A$64,0)),""))</f>
        <v/>
      </c>
      <c r="W853" s="136">
        <f>IF($F853="","",IFERROR(INDEX(사건마스터!$AT$5:$AT$64,MATCH($F853,사건마스터!$A$5:$A$64,0)),""))</f>
        <v/>
      </c>
      <c r="X853" s="136">
        <f>IF($F853="","",IFERROR(INDEX(사건마스터!$AU$5:$AU$64,MATCH($F853,사건마스터!$A$5:$A$64,0)),""))</f>
        <v/>
      </c>
      <c r="Y853" s="136">
        <f>IF($F853="","",IFERROR(INDEX(사건마스터!$AV$5:$AV$64,MATCH($F853,사건마스터!$A$5:$A$64,0)),""))</f>
        <v/>
      </c>
      <c r="Z853" s="118">
        <f>IF(COUNTBLANK($J853:$Y853)=16,"",16-COUNTBLANK($J853:$Y853))</f>
        <v/>
      </c>
      <c r="AA853" s="33">
        <f>IF($J853="",MID($AX853,3,255),$J853&amp;$AX853)</f>
        <v/>
      </c>
      <c r="AB853" s="130">
        <f>IF($J853="","",IFERROR(INDEX(코드설정!$D$5:$D$24,MATCH($J853,코드설정!$C$5:$C$24,0)),""))</f>
        <v/>
      </c>
      <c r="AC853" s="36" t="n"/>
      <c r="AD853" s="37" t="n"/>
      <c r="AE853" s="38" t="n"/>
      <c r="AF853" s="118">
        <f>IF(OR($B853="",$C853=""),"",$C853-$B853+1)</f>
        <v/>
      </c>
      <c r="AG853" s="74" t="n"/>
      <c r="AH853" s="36" t="n"/>
      <c r="AJ853">
        <f>IF($K853="","",", "&amp;$K853)</f>
        <v/>
      </c>
      <c r="AK853">
        <f>AJ853&amp;IF($L853="","",", "&amp;$L853)</f>
        <v/>
      </c>
      <c r="AL853">
        <f>AK853&amp;IF($M853="","",", "&amp;$M853)</f>
        <v/>
      </c>
      <c r="AM853">
        <f>AL853&amp;IF($N853="","",", "&amp;$N853)</f>
        <v/>
      </c>
      <c r="AN853">
        <f>AM853&amp;IF($O853="","",", "&amp;$O853)</f>
        <v/>
      </c>
      <c r="AO853">
        <f>AN853&amp;IF($P853="","",", "&amp;$P853)</f>
        <v/>
      </c>
      <c r="AP853">
        <f>AO853&amp;IF($Q853="","",", "&amp;$Q853)</f>
        <v/>
      </c>
      <c r="AQ853">
        <f>AP853&amp;IF($R853="","",", "&amp;$R853)</f>
        <v/>
      </c>
      <c r="AR853">
        <f>AQ853&amp;IF($S853="","",", "&amp;$S853)</f>
        <v/>
      </c>
      <c r="AS853">
        <f>AR853&amp;IF($T853="","",", "&amp;$T853)</f>
        <v/>
      </c>
      <c r="AT853">
        <f>AS853&amp;IF($U853="","",", "&amp;$U853)</f>
        <v/>
      </c>
      <c r="AU853">
        <f>AT853&amp;IF($V853="","",", "&amp;$V853)</f>
        <v/>
      </c>
      <c r="AV853">
        <f>AU853&amp;IF($W853="","",", "&amp;$W853)</f>
        <v/>
      </c>
      <c r="AW853">
        <f>AV853&amp;IF($X853="","",", "&amp;$X853)</f>
        <v/>
      </c>
      <c r="AX853">
        <f>AW853&amp;IF($Y853="","",", "&amp;$Y853)</f>
        <v/>
      </c>
    </row>
    <row r="854">
      <c r="A854" s="118">
        <f>IF($B854="","",COUNT($B$5:$B854))</f>
        <v/>
      </c>
      <c r="B854" s="80" t="n"/>
      <c r="C854" s="80" t="n"/>
      <c r="D854" s="74" t="n"/>
      <c r="E854" s="74" t="n"/>
      <c r="F854" s="74" t="n"/>
      <c r="G854" s="118">
        <f>IF($F854="","",COUNTIF($F$5:$F854,$F854))</f>
        <v/>
      </c>
      <c r="H854" s="33">
        <f>IF($F854="","",IFERROR(INDEX(사건마스터!$B$5:$B$64,MATCH($F854,사건마스터!$A$5:$A$64,0)),""))</f>
        <v/>
      </c>
      <c r="I854" s="130">
        <f>IF($F854="","",IFERROR(INDEX(사건마스터!$C$5:$C$64,MATCH($F854,사건마스터!$A$5:$A$64,0)),""))</f>
        <v/>
      </c>
      <c r="J854" s="136">
        <f>IF($F854="","",IFERROR(INDEX(사건마스터!$H$5:$H$64,MATCH($F854,사건마스터!$A$5:$A$64,0)),""))</f>
        <v/>
      </c>
      <c r="K854" s="136">
        <f>IF($F854="","",IFERROR(INDEX(사건마스터!$AH$5:$AH$64,MATCH($F854,사건마스터!$A$5:$A$64,0)),""))</f>
        <v/>
      </c>
      <c r="L854" s="136">
        <f>IF($F854="","",IFERROR(INDEX(사건마스터!$AI$5:$AI$64,MATCH($F854,사건마스터!$A$5:$A$64,0)),""))</f>
        <v/>
      </c>
      <c r="M854" s="136">
        <f>IF($F854="","",IFERROR(INDEX(사건마스터!$AJ$5:$AJ$64,MATCH($F854,사건마스터!$A$5:$A$64,0)),""))</f>
        <v/>
      </c>
      <c r="N854" s="136">
        <f>IF($F854="","",IFERROR(INDEX(사건마스터!$AK$5:$AK$64,MATCH($F854,사건마스터!$A$5:$A$64,0)),""))</f>
        <v/>
      </c>
      <c r="O854" s="136">
        <f>IF($F854="","",IFERROR(INDEX(사건마스터!$AL$5:$AL$64,MATCH($F854,사건마스터!$A$5:$A$64,0)),""))</f>
        <v/>
      </c>
      <c r="P854" s="136">
        <f>IF($F854="","",IFERROR(INDEX(사건마스터!$AM$5:$AM$64,MATCH($F854,사건마스터!$A$5:$A$64,0)),""))</f>
        <v/>
      </c>
      <c r="Q854" s="136">
        <f>IF($F854="","",IFERROR(INDEX(사건마스터!$AN$5:$AN$64,MATCH($F854,사건마스터!$A$5:$A$64,0)),""))</f>
        <v/>
      </c>
      <c r="R854" s="136">
        <f>IF($F854="","",IFERROR(INDEX(사건마스터!$AO$5:$AO$64,MATCH($F854,사건마스터!$A$5:$A$64,0)),""))</f>
        <v/>
      </c>
      <c r="S854" s="136">
        <f>IF($F854="","",IFERROR(INDEX(사건마스터!$AP$5:$AP$64,MATCH($F854,사건마스터!$A$5:$A$64,0)),""))</f>
        <v/>
      </c>
      <c r="T854" s="136">
        <f>IF($F854="","",IFERROR(INDEX(사건마스터!$AQ$5:$AQ$64,MATCH($F854,사건마스터!$A$5:$A$64,0)),""))</f>
        <v/>
      </c>
      <c r="U854" s="136">
        <f>IF($F854="","",IFERROR(INDEX(사건마스터!$AR$5:$AR$64,MATCH($F854,사건마스터!$A$5:$A$64,0)),""))</f>
        <v/>
      </c>
      <c r="V854" s="136">
        <f>IF($F854="","",IFERROR(INDEX(사건마스터!$AS$5:$AS$64,MATCH($F854,사건마스터!$A$5:$A$64,0)),""))</f>
        <v/>
      </c>
      <c r="W854" s="136">
        <f>IF($F854="","",IFERROR(INDEX(사건마스터!$AT$5:$AT$64,MATCH($F854,사건마스터!$A$5:$A$64,0)),""))</f>
        <v/>
      </c>
      <c r="X854" s="136">
        <f>IF($F854="","",IFERROR(INDEX(사건마스터!$AU$5:$AU$64,MATCH($F854,사건마스터!$A$5:$A$64,0)),""))</f>
        <v/>
      </c>
      <c r="Y854" s="136">
        <f>IF($F854="","",IFERROR(INDEX(사건마스터!$AV$5:$AV$64,MATCH($F854,사건마스터!$A$5:$A$64,0)),""))</f>
        <v/>
      </c>
      <c r="Z854" s="118">
        <f>IF(COUNTBLANK($J854:$Y854)=16,"",16-COUNTBLANK($J854:$Y854))</f>
        <v/>
      </c>
      <c r="AA854" s="33">
        <f>IF($J854="",MID($AX854,3,255),$J854&amp;$AX854)</f>
        <v/>
      </c>
      <c r="AB854" s="130">
        <f>IF($J854="","",IFERROR(INDEX(코드설정!$D$5:$D$24,MATCH($J854,코드설정!$C$5:$C$24,0)),""))</f>
        <v/>
      </c>
      <c r="AC854" s="36" t="n"/>
      <c r="AD854" s="37" t="n"/>
      <c r="AE854" s="38" t="n"/>
      <c r="AF854" s="118">
        <f>IF(OR($B854="",$C854=""),"",$C854-$B854+1)</f>
        <v/>
      </c>
      <c r="AG854" s="74" t="n"/>
      <c r="AH854" s="36" t="n"/>
      <c r="AJ854">
        <f>IF($K854="","",", "&amp;$K854)</f>
        <v/>
      </c>
      <c r="AK854">
        <f>AJ854&amp;IF($L854="","",", "&amp;$L854)</f>
        <v/>
      </c>
      <c r="AL854">
        <f>AK854&amp;IF($M854="","",", "&amp;$M854)</f>
        <v/>
      </c>
      <c r="AM854">
        <f>AL854&amp;IF($N854="","",", "&amp;$N854)</f>
        <v/>
      </c>
      <c r="AN854">
        <f>AM854&amp;IF($O854="","",", "&amp;$O854)</f>
        <v/>
      </c>
      <c r="AO854">
        <f>AN854&amp;IF($P854="","",", "&amp;$P854)</f>
        <v/>
      </c>
      <c r="AP854">
        <f>AO854&amp;IF($Q854="","",", "&amp;$Q854)</f>
        <v/>
      </c>
      <c r="AQ854">
        <f>AP854&amp;IF($R854="","",", "&amp;$R854)</f>
        <v/>
      </c>
      <c r="AR854">
        <f>AQ854&amp;IF($S854="","",", "&amp;$S854)</f>
        <v/>
      </c>
      <c r="AS854">
        <f>AR854&amp;IF($T854="","",", "&amp;$T854)</f>
        <v/>
      </c>
      <c r="AT854">
        <f>AS854&amp;IF($U854="","",", "&amp;$U854)</f>
        <v/>
      </c>
      <c r="AU854">
        <f>AT854&amp;IF($V854="","",", "&amp;$V854)</f>
        <v/>
      </c>
      <c r="AV854">
        <f>AU854&amp;IF($W854="","",", "&amp;$W854)</f>
        <v/>
      </c>
      <c r="AW854">
        <f>AV854&amp;IF($X854="","",", "&amp;$X854)</f>
        <v/>
      </c>
      <c r="AX854">
        <f>AW854&amp;IF($Y854="","",", "&amp;$Y854)</f>
        <v/>
      </c>
    </row>
    <row r="855">
      <c r="A855" s="118">
        <f>IF($B855="","",COUNT($B$5:$B855))</f>
        <v/>
      </c>
      <c r="B855" s="80" t="n"/>
      <c r="C855" s="80" t="n"/>
      <c r="D855" s="74" t="n"/>
      <c r="E855" s="74" t="n"/>
      <c r="F855" s="74" t="n"/>
      <c r="G855" s="118">
        <f>IF($F855="","",COUNTIF($F$5:$F855,$F855))</f>
        <v/>
      </c>
      <c r="H855" s="33">
        <f>IF($F855="","",IFERROR(INDEX(사건마스터!$B$5:$B$64,MATCH($F855,사건마스터!$A$5:$A$64,0)),""))</f>
        <v/>
      </c>
      <c r="I855" s="130">
        <f>IF($F855="","",IFERROR(INDEX(사건마스터!$C$5:$C$64,MATCH($F855,사건마스터!$A$5:$A$64,0)),""))</f>
        <v/>
      </c>
      <c r="J855" s="136">
        <f>IF($F855="","",IFERROR(INDEX(사건마스터!$H$5:$H$64,MATCH($F855,사건마스터!$A$5:$A$64,0)),""))</f>
        <v/>
      </c>
      <c r="K855" s="136">
        <f>IF($F855="","",IFERROR(INDEX(사건마스터!$AH$5:$AH$64,MATCH($F855,사건마스터!$A$5:$A$64,0)),""))</f>
        <v/>
      </c>
      <c r="L855" s="136">
        <f>IF($F855="","",IFERROR(INDEX(사건마스터!$AI$5:$AI$64,MATCH($F855,사건마스터!$A$5:$A$64,0)),""))</f>
        <v/>
      </c>
      <c r="M855" s="136">
        <f>IF($F855="","",IFERROR(INDEX(사건마스터!$AJ$5:$AJ$64,MATCH($F855,사건마스터!$A$5:$A$64,0)),""))</f>
        <v/>
      </c>
      <c r="N855" s="136">
        <f>IF($F855="","",IFERROR(INDEX(사건마스터!$AK$5:$AK$64,MATCH($F855,사건마스터!$A$5:$A$64,0)),""))</f>
        <v/>
      </c>
      <c r="O855" s="136">
        <f>IF($F855="","",IFERROR(INDEX(사건마스터!$AL$5:$AL$64,MATCH($F855,사건마스터!$A$5:$A$64,0)),""))</f>
        <v/>
      </c>
      <c r="P855" s="136">
        <f>IF($F855="","",IFERROR(INDEX(사건마스터!$AM$5:$AM$64,MATCH($F855,사건마스터!$A$5:$A$64,0)),""))</f>
        <v/>
      </c>
      <c r="Q855" s="136">
        <f>IF($F855="","",IFERROR(INDEX(사건마스터!$AN$5:$AN$64,MATCH($F855,사건마스터!$A$5:$A$64,0)),""))</f>
        <v/>
      </c>
      <c r="R855" s="136">
        <f>IF($F855="","",IFERROR(INDEX(사건마스터!$AO$5:$AO$64,MATCH($F855,사건마스터!$A$5:$A$64,0)),""))</f>
        <v/>
      </c>
      <c r="S855" s="136">
        <f>IF($F855="","",IFERROR(INDEX(사건마스터!$AP$5:$AP$64,MATCH($F855,사건마스터!$A$5:$A$64,0)),""))</f>
        <v/>
      </c>
      <c r="T855" s="136">
        <f>IF($F855="","",IFERROR(INDEX(사건마스터!$AQ$5:$AQ$64,MATCH($F855,사건마스터!$A$5:$A$64,0)),""))</f>
        <v/>
      </c>
      <c r="U855" s="136">
        <f>IF($F855="","",IFERROR(INDEX(사건마스터!$AR$5:$AR$64,MATCH($F855,사건마스터!$A$5:$A$64,0)),""))</f>
        <v/>
      </c>
      <c r="V855" s="136">
        <f>IF($F855="","",IFERROR(INDEX(사건마스터!$AS$5:$AS$64,MATCH($F855,사건마스터!$A$5:$A$64,0)),""))</f>
        <v/>
      </c>
      <c r="W855" s="136">
        <f>IF($F855="","",IFERROR(INDEX(사건마스터!$AT$5:$AT$64,MATCH($F855,사건마스터!$A$5:$A$64,0)),""))</f>
        <v/>
      </c>
      <c r="X855" s="136">
        <f>IF($F855="","",IFERROR(INDEX(사건마스터!$AU$5:$AU$64,MATCH($F855,사건마스터!$A$5:$A$64,0)),""))</f>
        <v/>
      </c>
      <c r="Y855" s="136">
        <f>IF($F855="","",IFERROR(INDEX(사건마스터!$AV$5:$AV$64,MATCH($F855,사건마스터!$A$5:$A$64,0)),""))</f>
        <v/>
      </c>
      <c r="Z855" s="118">
        <f>IF(COUNTBLANK($J855:$Y855)=16,"",16-COUNTBLANK($J855:$Y855))</f>
        <v/>
      </c>
      <c r="AA855" s="33">
        <f>IF($J855="",MID($AX855,3,255),$J855&amp;$AX855)</f>
        <v/>
      </c>
      <c r="AB855" s="130">
        <f>IF($J855="","",IFERROR(INDEX(코드설정!$D$5:$D$24,MATCH($J855,코드설정!$C$5:$C$24,0)),""))</f>
        <v/>
      </c>
      <c r="AC855" s="36" t="n"/>
      <c r="AD855" s="37" t="n"/>
      <c r="AE855" s="38" t="n"/>
      <c r="AF855" s="118">
        <f>IF(OR($B855="",$C855=""),"",$C855-$B855+1)</f>
        <v/>
      </c>
      <c r="AG855" s="74" t="n"/>
      <c r="AH855" s="36" t="n"/>
      <c r="AJ855">
        <f>IF($K855="","",", "&amp;$K855)</f>
        <v/>
      </c>
      <c r="AK855">
        <f>AJ855&amp;IF($L855="","",", "&amp;$L855)</f>
        <v/>
      </c>
      <c r="AL855">
        <f>AK855&amp;IF($M855="","",", "&amp;$M855)</f>
        <v/>
      </c>
      <c r="AM855">
        <f>AL855&amp;IF($N855="","",", "&amp;$N855)</f>
        <v/>
      </c>
      <c r="AN855">
        <f>AM855&amp;IF($O855="","",", "&amp;$O855)</f>
        <v/>
      </c>
      <c r="AO855">
        <f>AN855&amp;IF($P855="","",", "&amp;$P855)</f>
        <v/>
      </c>
      <c r="AP855">
        <f>AO855&amp;IF($Q855="","",", "&amp;$Q855)</f>
        <v/>
      </c>
      <c r="AQ855">
        <f>AP855&amp;IF($R855="","",", "&amp;$R855)</f>
        <v/>
      </c>
      <c r="AR855">
        <f>AQ855&amp;IF($S855="","",", "&amp;$S855)</f>
        <v/>
      </c>
      <c r="AS855">
        <f>AR855&amp;IF($T855="","",", "&amp;$T855)</f>
        <v/>
      </c>
      <c r="AT855">
        <f>AS855&amp;IF($U855="","",", "&amp;$U855)</f>
        <v/>
      </c>
      <c r="AU855">
        <f>AT855&amp;IF($V855="","",", "&amp;$V855)</f>
        <v/>
      </c>
      <c r="AV855">
        <f>AU855&amp;IF($W855="","",", "&amp;$W855)</f>
        <v/>
      </c>
      <c r="AW855">
        <f>AV855&amp;IF($X855="","",", "&amp;$X855)</f>
        <v/>
      </c>
      <c r="AX855">
        <f>AW855&amp;IF($Y855="","",", "&amp;$Y855)</f>
        <v/>
      </c>
    </row>
    <row r="856">
      <c r="A856" s="118">
        <f>IF($B856="","",COUNT($B$5:$B856))</f>
        <v/>
      </c>
      <c r="B856" s="80" t="n"/>
      <c r="C856" s="80" t="n"/>
      <c r="D856" s="74" t="n"/>
      <c r="E856" s="74" t="n"/>
      <c r="F856" s="74" t="n"/>
      <c r="G856" s="118">
        <f>IF($F856="","",COUNTIF($F$5:$F856,$F856))</f>
        <v/>
      </c>
      <c r="H856" s="33">
        <f>IF($F856="","",IFERROR(INDEX(사건마스터!$B$5:$B$64,MATCH($F856,사건마스터!$A$5:$A$64,0)),""))</f>
        <v/>
      </c>
      <c r="I856" s="130">
        <f>IF($F856="","",IFERROR(INDEX(사건마스터!$C$5:$C$64,MATCH($F856,사건마스터!$A$5:$A$64,0)),""))</f>
        <v/>
      </c>
      <c r="J856" s="136">
        <f>IF($F856="","",IFERROR(INDEX(사건마스터!$H$5:$H$64,MATCH($F856,사건마스터!$A$5:$A$64,0)),""))</f>
        <v/>
      </c>
      <c r="K856" s="136">
        <f>IF($F856="","",IFERROR(INDEX(사건마스터!$AH$5:$AH$64,MATCH($F856,사건마스터!$A$5:$A$64,0)),""))</f>
        <v/>
      </c>
      <c r="L856" s="136">
        <f>IF($F856="","",IFERROR(INDEX(사건마스터!$AI$5:$AI$64,MATCH($F856,사건마스터!$A$5:$A$64,0)),""))</f>
        <v/>
      </c>
      <c r="M856" s="136">
        <f>IF($F856="","",IFERROR(INDEX(사건마스터!$AJ$5:$AJ$64,MATCH($F856,사건마스터!$A$5:$A$64,0)),""))</f>
        <v/>
      </c>
      <c r="N856" s="136">
        <f>IF($F856="","",IFERROR(INDEX(사건마스터!$AK$5:$AK$64,MATCH($F856,사건마스터!$A$5:$A$64,0)),""))</f>
        <v/>
      </c>
      <c r="O856" s="136">
        <f>IF($F856="","",IFERROR(INDEX(사건마스터!$AL$5:$AL$64,MATCH($F856,사건마스터!$A$5:$A$64,0)),""))</f>
        <v/>
      </c>
      <c r="P856" s="136">
        <f>IF($F856="","",IFERROR(INDEX(사건마스터!$AM$5:$AM$64,MATCH($F856,사건마스터!$A$5:$A$64,0)),""))</f>
        <v/>
      </c>
      <c r="Q856" s="136">
        <f>IF($F856="","",IFERROR(INDEX(사건마스터!$AN$5:$AN$64,MATCH($F856,사건마스터!$A$5:$A$64,0)),""))</f>
        <v/>
      </c>
      <c r="R856" s="136">
        <f>IF($F856="","",IFERROR(INDEX(사건마스터!$AO$5:$AO$64,MATCH($F856,사건마스터!$A$5:$A$64,0)),""))</f>
        <v/>
      </c>
      <c r="S856" s="136">
        <f>IF($F856="","",IFERROR(INDEX(사건마스터!$AP$5:$AP$64,MATCH($F856,사건마스터!$A$5:$A$64,0)),""))</f>
        <v/>
      </c>
      <c r="T856" s="136">
        <f>IF($F856="","",IFERROR(INDEX(사건마스터!$AQ$5:$AQ$64,MATCH($F856,사건마스터!$A$5:$A$64,0)),""))</f>
        <v/>
      </c>
      <c r="U856" s="136">
        <f>IF($F856="","",IFERROR(INDEX(사건마스터!$AR$5:$AR$64,MATCH($F856,사건마스터!$A$5:$A$64,0)),""))</f>
        <v/>
      </c>
      <c r="V856" s="136">
        <f>IF($F856="","",IFERROR(INDEX(사건마스터!$AS$5:$AS$64,MATCH($F856,사건마스터!$A$5:$A$64,0)),""))</f>
        <v/>
      </c>
      <c r="W856" s="136">
        <f>IF($F856="","",IFERROR(INDEX(사건마스터!$AT$5:$AT$64,MATCH($F856,사건마스터!$A$5:$A$64,0)),""))</f>
        <v/>
      </c>
      <c r="X856" s="136">
        <f>IF($F856="","",IFERROR(INDEX(사건마스터!$AU$5:$AU$64,MATCH($F856,사건마스터!$A$5:$A$64,0)),""))</f>
        <v/>
      </c>
      <c r="Y856" s="136">
        <f>IF($F856="","",IFERROR(INDEX(사건마스터!$AV$5:$AV$64,MATCH($F856,사건마스터!$A$5:$A$64,0)),""))</f>
        <v/>
      </c>
      <c r="Z856" s="118">
        <f>IF(COUNTBLANK($J856:$Y856)=16,"",16-COUNTBLANK($J856:$Y856))</f>
        <v/>
      </c>
      <c r="AA856" s="33">
        <f>IF($J856="",MID($AX856,3,255),$J856&amp;$AX856)</f>
        <v/>
      </c>
      <c r="AB856" s="130">
        <f>IF($J856="","",IFERROR(INDEX(코드설정!$D$5:$D$24,MATCH($J856,코드설정!$C$5:$C$24,0)),""))</f>
        <v/>
      </c>
      <c r="AC856" s="36" t="n"/>
      <c r="AD856" s="37" t="n"/>
      <c r="AE856" s="38" t="n"/>
      <c r="AF856" s="118">
        <f>IF(OR($B856="",$C856=""),"",$C856-$B856+1)</f>
        <v/>
      </c>
      <c r="AG856" s="74" t="n"/>
      <c r="AH856" s="36" t="n"/>
      <c r="AJ856">
        <f>IF($K856="","",", "&amp;$K856)</f>
        <v/>
      </c>
      <c r="AK856">
        <f>AJ856&amp;IF($L856="","",", "&amp;$L856)</f>
        <v/>
      </c>
      <c r="AL856">
        <f>AK856&amp;IF($M856="","",", "&amp;$M856)</f>
        <v/>
      </c>
      <c r="AM856">
        <f>AL856&amp;IF($N856="","",", "&amp;$N856)</f>
        <v/>
      </c>
      <c r="AN856">
        <f>AM856&amp;IF($O856="","",", "&amp;$O856)</f>
        <v/>
      </c>
      <c r="AO856">
        <f>AN856&amp;IF($P856="","",", "&amp;$P856)</f>
        <v/>
      </c>
      <c r="AP856">
        <f>AO856&amp;IF($Q856="","",", "&amp;$Q856)</f>
        <v/>
      </c>
      <c r="AQ856">
        <f>AP856&amp;IF($R856="","",", "&amp;$R856)</f>
        <v/>
      </c>
      <c r="AR856">
        <f>AQ856&amp;IF($S856="","",", "&amp;$S856)</f>
        <v/>
      </c>
      <c r="AS856">
        <f>AR856&amp;IF($T856="","",", "&amp;$T856)</f>
        <v/>
      </c>
      <c r="AT856">
        <f>AS856&amp;IF($U856="","",", "&amp;$U856)</f>
        <v/>
      </c>
      <c r="AU856">
        <f>AT856&amp;IF($V856="","",", "&amp;$V856)</f>
        <v/>
      </c>
      <c r="AV856">
        <f>AU856&amp;IF($W856="","",", "&amp;$W856)</f>
        <v/>
      </c>
      <c r="AW856">
        <f>AV856&amp;IF($X856="","",", "&amp;$X856)</f>
        <v/>
      </c>
      <c r="AX856">
        <f>AW856&amp;IF($Y856="","",", "&amp;$Y856)</f>
        <v/>
      </c>
    </row>
    <row r="857">
      <c r="A857" s="118">
        <f>IF($B857="","",COUNT($B$5:$B857))</f>
        <v/>
      </c>
      <c r="B857" s="80" t="n"/>
      <c r="C857" s="80" t="n"/>
      <c r="D857" s="74" t="n"/>
      <c r="E857" s="74" t="n"/>
      <c r="F857" s="74" t="n"/>
      <c r="G857" s="118">
        <f>IF($F857="","",COUNTIF($F$5:$F857,$F857))</f>
        <v/>
      </c>
      <c r="H857" s="33">
        <f>IF($F857="","",IFERROR(INDEX(사건마스터!$B$5:$B$64,MATCH($F857,사건마스터!$A$5:$A$64,0)),""))</f>
        <v/>
      </c>
      <c r="I857" s="130">
        <f>IF($F857="","",IFERROR(INDEX(사건마스터!$C$5:$C$64,MATCH($F857,사건마스터!$A$5:$A$64,0)),""))</f>
        <v/>
      </c>
      <c r="J857" s="136">
        <f>IF($F857="","",IFERROR(INDEX(사건마스터!$H$5:$H$64,MATCH($F857,사건마스터!$A$5:$A$64,0)),""))</f>
        <v/>
      </c>
      <c r="K857" s="136">
        <f>IF($F857="","",IFERROR(INDEX(사건마스터!$AH$5:$AH$64,MATCH($F857,사건마스터!$A$5:$A$64,0)),""))</f>
        <v/>
      </c>
      <c r="L857" s="136">
        <f>IF($F857="","",IFERROR(INDEX(사건마스터!$AI$5:$AI$64,MATCH($F857,사건마스터!$A$5:$A$64,0)),""))</f>
        <v/>
      </c>
      <c r="M857" s="136">
        <f>IF($F857="","",IFERROR(INDEX(사건마스터!$AJ$5:$AJ$64,MATCH($F857,사건마스터!$A$5:$A$64,0)),""))</f>
        <v/>
      </c>
      <c r="N857" s="136">
        <f>IF($F857="","",IFERROR(INDEX(사건마스터!$AK$5:$AK$64,MATCH($F857,사건마스터!$A$5:$A$64,0)),""))</f>
        <v/>
      </c>
      <c r="O857" s="136">
        <f>IF($F857="","",IFERROR(INDEX(사건마스터!$AL$5:$AL$64,MATCH($F857,사건마스터!$A$5:$A$64,0)),""))</f>
        <v/>
      </c>
      <c r="P857" s="136">
        <f>IF($F857="","",IFERROR(INDEX(사건마스터!$AM$5:$AM$64,MATCH($F857,사건마스터!$A$5:$A$64,0)),""))</f>
        <v/>
      </c>
      <c r="Q857" s="136">
        <f>IF($F857="","",IFERROR(INDEX(사건마스터!$AN$5:$AN$64,MATCH($F857,사건마스터!$A$5:$A$64,0)),""))</f>
        <v/>
      </c>
      <c r="R857" s="136">
        <f>IF($F857="","",IFERROR(INDEX(사건마스터!$AO$5:$AO$64,MATCH($F857,사건마스터!$A$5:$A$64,0)),""))</f>
        <v/>
      </c>
      <c r="S857" s="136">
        <f>IF($F857="","",IFERROR(INDEX(사건마스터!$AP$5:$AP$64,MATCH($F857,사건마스터!$A$5:$A$64,0)),""))</f>
        <v/>
      </c>
      <c r="T857" s="136">
        <f>IF($F857="","",IFERROR(INDEX(사건마스터!$AQ$5:$AQ$64,MATCH($F857,사건마스터!$A$5:$A$64,0)),""))</f>
        <v/>
      </c>
      <c r="U857" s="136">
        <f>IF($F857="","",IFERROR(INDEX(사건마스터!$AR$5:$AR$64,MATCH($F857,사건마스터!$A$5:$A$64,0)),""))</f>
        <v/>
      </c>
      <c r="V857" s="136">
        <f>IF($F857="","",IFERROR(INDEX(사건마스터!$AS$5:$AS$64,MATCH($F857,사건마스터!$A$5:$A$64,0)),""))</f>
        <v/>
      </c>
      <c r="W857" s="136">
        <f>IF($F857="","",IFERROR(INDEX(사건마스터!$AT$5:$AT$64,MATCH($F857,사건마스터!$A$5:$A$64,0)),""))</f>
        <v/>
      </c>
      <c r="X857" s="136">
        <f>IF($F857="","",IFERROR(INDEX(사건마스터!$AU$5:$AU$64,MATCH($F857,사건마스터!$A$5:$A$64,0)),""))</f>
        <v/>
      </c>
      <c r="Y857" s="136">
        <f>IF($F857="","",IFERROR(INDEX(사건마스터!$AV$5:$AV$64,MATCH($F857,사건마스터!$A$5:$A$64,0)),""))</f>
        <v/>
      </c>
      <c r="Z857" s="118">
        <f>IF(COUNTBLANK($J857:$Y857)=16,"",16-COUNTBLANK($J857:$Y857))</f>
        <v/>
      </c>
      <c r="AA857" s="33">
        <f>IF($J857="",MID($AX857,3,255),$J857&amp;$AX857)</f>
        <v/>
      </c>
      <c r="AB857" s="130">
        <f>IF($J857="","",IFERROR(INDEX(코드설정!$D$5:$D$24,MATCH($J857,코드설정!$C$5:$C$24,0)),""))</f>
        <v/>
      </c>
      <c r="AC857" s="36" t="n"/>
      <c r="AD857" s="37" t="n"/>
      <c r="AE857" s="38" t="n"/>
      <c r="AF857" s="118">
        <f>IF(OR($B857="",$C857=""),"",$C857-$B857+1)</f>
        <v/>
      </c>
      <c r="AG857" s="74" t="n"/>
      <c r="AH857" s="36" t="n"/>
      <c r="AJ857">
        <f>IF($K857="","",", "&amp;$K857)</f>
        <v/>
      </c>
      <c r="AK857">
        <f>AJ857&amp;IF($L857="","",", "&amp;$L857)</f>
        <v/>
      </c>
      <c r="AL857">
        <f>AK857&amp;IF($M857="","",", "&amp;$M857)</f>
        <v/>
      </c>
      <c r="AM857">
        <f>AL857&amp;IF($N857="","",", "&amp;$N857)</f>
        <v/>
      </c>
      <c r="AN857">
        <f>AM857&amp;IF($O857="","",", "&amp;$O857)</f>
        <v/>
      </c>
      <c r="AO857">
        <f>AN857&amp;IF($P857="","",", "&amp;$P857)</f>
        <v/>
      </c>
      <c r="AP857">
        <f>AO857&amp;IF($Q857="","",", "&amp;$Q857)</f>
        <v/>
      </c>
      <c r="AQ857">
        <f>AP857&amp;IF($R857="","",", "&amp;$R857)</f>
        <v/>
      </c>
      <c r="AR857">
        <f>AQ857&amp;IF($S857="","",", "&amp;$S857)</f>
        <v/>
      </c>
      <c r="AS857">
        <f>AR857&amp;IF($T857="","",", "&amp;$T857)</f>
        <v/>
      </c>
      <c r="AT857">
        <f>AS857&amp;IF($U857="","",", "&amp;$U857)</f>
        <v/>
      </c>
      <c r="AU857">
        <f>AT857&amp;IF($V857="","",", "&amp;$V857)</f>
        <v/>
      </c>
      <c r="AV857">
        <f>AU857&amp;IF($W857="","",", "&amp;$W857)</f>
        <v/>
      </c>
      <c r="AW857">
        <f>AV857&amp;IF($X857="","",", "&amp;$X857)</f>
        <v/>
      </c>
      <c r="AX857">
        <f>AW857&amp;IF($Y857="","",", "&amp;$Y857)</f>
        <v/>
      </c>
    </row>
    <row r="858">
      <c r="A858" s="118">
        <f>IF($B858="","",COUNT($B$5:$B858))</f>
        <v/>
      </c>
      <c r="B858" s="80" t="n"/>
      <c r="C858" s="80" t="n"/>
      <c r="D858" s="74" t="n"/>
      <c r="E858" s="74" t="n"/>
      <c r="F858" s="74" t="n"/>
      <c r="G858" s="118">
        <f>IF($F858="","",COUNTIF($F$5:$F858,$F858))</f>
        <v/>
      </c>
      <c r="H858" s="33">
        <f>IF($F858="","",IFERROR(INDEX(사건마스터!$B$5:$B$64,MATCH($F858,사건마스터!$A$5:$A$64,0)),""))</f>
        <v/>
      </c>
      <c r="I858" s="130">
        <f>IF($F858="","",IFERROR(INDEX(사건마스터!$C$5:$C$64,MATCH($F858,사건마스터!$A$5:$A$64,0)),""))</f>
        <v/>
      </c>
      <c r="J858" s="136">
        <f>IF($F858="","",IFERROR(INDEX(사건마스터!$H$5:$H$64,MATCH($F858,사건마스터!$A$5:$A$64,0)),""))</f>
        <v/>
      </c>
      <c r="K858" s="136">
        <f>IF($F858="","",IFERROR(INDEX(사건마스터!$AH$5:$AH$64,MATCH($F858,사건마스터!$A$5:$A$64,0)),""))</f>
        <v/>
      </c>
      <c r="L858" s="136">
        <f>IF($F858="","",IFERROR(INDEX(사건마스터!$AI$5:$AI$64,MATCH($F858,사건마스터!$A$5:$A$64,0)),""))</f>
        <v/>
      </c>
      <c r="M858" s="136">
        <f>IF($F858="","",IFERROR(INDEX(사건마스터!$AJ$5:$AJ$64,MATCH($F858,사건마스터!$A$5:$A$64,0)),""))</f>
        <v/>
      </c>
      <c r="N858" s="136">
        <f>IF($F858="","",IFERROR(INDEX(사건마스터!$AK$5:$AK$64,MATCH($F858,사건마스터!$A$5:$A$64,0)),""))</f>
        <v/>
      </c>
      <c r="O858" s="136">
        <f>IF($F858="","",IFERROR(INDEX(사건마스터!$AL$5:$AL$64,MATCH($F858,사건마스터!$A$5:$A$64,0)),""))</f>
        <v/>
      </c>
      <c r="P858" s="136">
        <f>IF($F858="","",IFERROR(INDEX(사건마스터!$AM$5:$AM$64,MATCH($F858,사건마스터!$A$5:$A$64,0)),""))</f>
        <v/>
      </c>
      <c r="Q858" s="136">
        <f>IF($F858="","",IFERROR(INDEX(사건마스터!$AN$5:$AN$64,MATCH($F858,사건마스터!$A$5:$A$64,0)),""))</f>
        <v/>
      </c>
      <c r="R858" s="136">
        <f>IF($F858="","",IFERROR(INDEX(사건마스터!$AO$5:$AO$64,MATCH($F858,사건마스터!$A$5:$A$64,0)),""))</f>
        <v/>
      </c>
      <c r="S858" s="136">
        <f>IF($F858="","",IFERROR(INDEX(사건마스터!$AP$5:$AP$64,MATCH($F858,사건마스터!$A$5:$A$64,0)),""))</f>
        <v/>
      </c>
      <c r="T858" s="136">
        <f>IF($F858="","",IFERROR(INDEX(사건마스터!$AQ$5:$AQ$64,MATCH($F858,사건마스터!$A$5:$A$64,0)),""))</f>
        <v/>
      </c>
      <c r="U858" s="136">
        <f>IF($F858="","",IFERROR(INDEX(사건마스터!$AR$5:$AR$64,MATCH($F858,사건마스터!$A$5:$A$64,0)),""))</f>
        <v/>
      </c>
      <c r="V858" s="136">
        <f>IF($F858="","",IFERROR(INDEX(사건마스터!$AS$5:$AS$64,MATCH($F858,사건마스터!$A$5:$A$64,0)),""))</f>
        <v/>
      </c>
      <c r="W858" s="136">
        <f>IF($F858="","",IFERROR(INDEX(사건마스터!$AT$5:$AT$64,MATCH($F858,사건마스터!$A$5:$A$64,0)),""))</f>
        <v/>
      </c>
      <c r="X858" s="136">
        <f>IF($F858="","",IFERROR(INDEX(사건마스터!$AU$5:$AU$64,MATCH($F858,사건마스터!$A$5:$A$64,0)),""))</f>
        <v/>
      </c>
      <c r="Y858" s="136">
        <f>IF($F858="","",IFERROR(INDEX(사건마스터!$AV$5:$AV$64,MATCH($F858,사건마스터!$A$5:$A$64,0)),""))</f>
        <v/>
      </c>
      <c r="Z858" s="118">
        <f>IF(COUNTBLANK($J858:$Y858)=16,"",16-COUNTBLANK($J858:$Y858))</f>
        <v/>
      </c>
      <c r="AA858" s="33">
        <f>IF($J858="",MID($AX858,3,255),$J858&amp;$AX858)</f>
        <v/>
      </c>
      <c r="AB858" s="130">
        <f>IF($J858="","",IFERROR(INDEX(코드설정!$D$5:$D$24,MATCH($J858,코드설정!$C$5:$C$24,0)),""))</f>
        <v/>
      </c>
      <c r="AC858" s="36" t="n"/>
      <c r="AD858" s="37" t="n"/>
      <c r="AE858" s="38" t="n"/>
      <c r="AF858" s="118">
        <f>IF(OR($B858="",$C858=""),"",$C858-$B858+1)</f>
        <v/>
      </c>
      <c r="AG858" s="74" t="n"/>
      <c r="AH858" s="36" t="n"/>
      <c r="AJ858">
        <f>IF($K858="","",", "&amp;$K858)</f>
        <v/>
      </c>
      <c r="AK858">
        <f>AJ858&amp;IF($L858="","",", "&amp;$L858)</f>
        <v/>
      </c>
      <c r="AL858">
        <f>AK858&amp;IF($M858="","",", "&amp;$M858)</f>
        <v/>
      </c>
      <c r="AM858">
        <f>AL858&amp;IF($N858="","",", "&amp;$N858)</f>
        <v/>
      </c>
      <c r="AN858">
        <f>AM858&amp;IF($O858="","",", "&amp;$O858)</f>
        <v/>
      </c>
      <c r="AO858">
        <f>AN858&amp;IF($P858="","",", "&amp;$P858)</f>
        <v/>
      </c>
      <c r="AP858">
        <f>AO858&amp;IF($Q858="","",", "&amp;$Q858)</f>
        <v/>
      </c>
      <c r="AQ858">
        <f>AP858&amp;IF($R858="","",", "&amp;$R858)</f>
        <v/>
      </c>
      <c r="AR858">
        <f>AQ858&amp;IF($S858="","",", "&amp;$S858)</f>
        <v/>
      </c>
      <c r="AS858">
        <f>AR858&amp;IF($T858="","",", "&amp;$T858)</f>
        <v/>
      </c>
      <c r="AT858">
        <f>AS858&amp;IF($U858="","",", "&amp;$U858)</f>
        <v/>
      </c>
      <c r="AU858">
        <f>AT858&amp;IF($V858="","",", "&amp;$V858)</f>
        <v/>
      </c>
      <c r="AV858">
        <f>AU858&amp;IF($W858="","",", "&amp;$W858)</f>
        <v/>
      </c>
      <c r="AW858">
        <f>AV858&amp;IF($X858="","",", "&amp;$X858)</f>
        <v/>
      </c>
      <c r="AX858">
        <f>AW858&amp;IF($Y858="","",", "&amp;$Y858)</f>
        <v/>
      </c>
    </row>
    <row r="859">
      <c r="A859" s="118">
        <f>IF($B859="","",COUNT($B$5:$B859))</f>
        <v/>
      </c>
      <c r="B859" s="80" t="n"/>
      <c r="C859" s="80" t="n"/>
      <c r="D859" s="74" t="n"/>
      <c r="E859" s="74" t="n"/>
      <c r="F859" s="74" t="n"/>
      <c r="G859" s="118">
        <f>IF($F859="","",COUNTIF($F$5:$F859,$F859))</f>
        <v/>
      </c>
      <c r="H859" s="33">
        <f>IF($F859="","",IFERROR(INDEX(사건마스터!$B$5:$B$64,MATCH($F859,사건마스터!$A$5:$A$64,0)),""))</f>
        <v/>
      </c>
      <c r="I859" s="130">
        <f>IF($F859="","",IFERROR(INDEX(사건마스터!$C$5:$C$64,MATCH($F859,사건마스터!$A$5:$A$64,0)),""))</f>
        <v/>
      </c>
      <c r="J859" s="136">
        <f>IF($F859="","",IFERROR(INDEX(사건마스터!$H$5:$H$64,MATCH($F859,사건마스터!$A$5:$A$64,0)),""))</f>
        <v/>
      </c>
      <c r="K859" s="136">
        <f>IF($F859="","",IFERROR(INDEX(사건마스터!$AH$5:$AH$64,MATCH($F859,사건마스터!$A$5:$A$64,0)),""))</f>
        <v/>
      </c>
      <c r="L859" s="136">
        <f>IF($F859="","",IFERROR(INDEX(사건마스터!$AI$5:$AI$64,MATCH($F859,사건마스터!$A$5:$A$64,0)),""))</f>
        <v/>
      </c>
      <c r="M859" s="136">
        <f>IF($F859="","",IFERROR(INDEX(사건마스터!$AJ$5:$AJ$64,MATCH($F859,사건마스터!$A$5:$A$64,0)),""))</f>
        <v/>
      </c>
      <c r="N859" s="136">
        <f>IF($F859="","",IFERROR(INDEX(사건마스터!$AK$5:$AK$64,MATCH($F859,사건마스터!$A$5:$A$64,0)),""))</f>
        <v/>
      </c>
      <c r="O859" s="136">
        <f>IF($F859="","",IFERROR(INDEX(사건마스터!$AL$5:$AL$64,MATCH($F859,사건마스터!$A$5:$A$64,0)),""))</f>
        <v/>
      </c>
      <c r="P859" s="136">
        <f>IF($F859="","",IFERROR(INDEX(사건마스터!$AM$5:$AM$64,MATCH($F859,사건마스터!$A$5:$A$64,0)),""))</f>
        <v/>
      </c>
      <c r="Q859" s="136">
        <f>IF($F859="","",IFERROR(INDEX(사건마스터!$AN$5:$AN$64,MATCH($F859,사건마스터!$A$5:$A$64,0)),""))</f>
        <v/>
      </c>
      <c r="R859" s="136">
        <f>IF($F859="","",IFERROR(INDEX(사건마스터!$AO$5:$AO$64,MATCH($F859,사건마스터!$A$5:$A$64,0)),""))</f>
        <v/>
      </c>
      <c r="S859" s="136">
        <f>IF($F859="","",IFERROR(INDEX(사건마스터!$AP$5:$AP$64,MATCH($F859,사건마스터!$A$5:$A$64,0)),""))</f>
        <v/>
      </c>
      <c r="T859" s="136">
        <f>IF($F859="","",IFERROR(INDEX(사건마스터!$AQ$5:$AQ$64,MATCH($F859,사건마스터!$A$5:$A$64,0)),""))</f>
        <v/>
      </c>
      <c r="U859" s="136">
        <f>IF($F859="","",IFERROR(INDEX(사건마스터!$AR$5:$AR$64,MATCH($F859,사건마스터!$A$5:$A$64,0)),""))</f>
        <v/>
      </c>
      <c r="V859" s="136">
        <f>IF($F859="","",IFERROR(INDEX(사건마스터!$AS$5:$AS$64,MATCH($F859,사건마스터!$A$5:$A$64,0)),""))</f>
        <v/>
      </c>
      <c r="W859" s="136">
        <f>IF($F859="","",IFERROR(INDEX(사건마스터!$AT$5:$AT$64,MATCH($F859,사건마스터!$A$5:$A$64,0)),""))</f>
        <v/>
      </c>
      <c r="X859" s="136">
        <f>IF($F859="","",IFERROR(INDEX(사건마스터!$AU$5:$AU$64,MATCH($F859,사건마스터!$A$5:$A$64,0)),""))</f>
        <v/>
      </c>
      <c r="Y859" s="136">
        <f>IF($F859="","",IFERROR(INDEX(사건마스터!$AV$5:$AV$64,MATCH($F859,사건마스터!$A$5:$A$64,0)),""))</f>
        <v/>
      </c>
      <c r="Z859" s="118">
        <f>IF(COUNTBLANK($J859:$Y859)=16,"",16-COUNTBLANK($J859:$Y859))</f>
        <v/>
      </c>
      <c r="AA859" s="33">
        <f>IF($J859="",MID($AX859,3,255),$J859&amp;$AX859)</f>
        <v/>
      </c>
      <c r="AB859" s="130">
        <f>IF($J859="","",IFERROR(INDEX(코드설정!$D$5:$D$24,MATCH($J859,코드설정!$C$5:$C$24,0)),""))</f>
        <v/>
      </c>
      <c r="AC859" s="36" t="n"/>
      <c r="AD859" s="37" t="n"/>
      <c r="AE859" s="38" t="n"/>
      <c r="AF859" s="118">
        <f>IF(OR($B859="",$C859=""),"",$C859-$B859+1)</f>
        <v/>
      </c>
      <c r="AG859" s="74" t="n"/>
      <c r="AH859" s="36" t="n"/>
      <c r="AJ859">
        <f>IF($K859="","",", "&amp;$K859)</f>
        <v/>
      </c>
      <c r="AK859">
        <f>AJ859&amp;IF($L859="","",", "&amp;$L859)</f>
        <v/>
      </c>
      <c r="AL859">
        <f>AK859&amp;IF($M859="","",", "&amp;$M859)</f>
        <v/>
      </c>
      <c r="AM859">
        <f>AL859&amp;IF($N859="","",", "&amp;$N859)</f>
        <v/>
      </c>
      <c r="AN859">
        <f>AM859&amp;IF($O859="","",", "&amp;$O859)</f>
        <v/>
      </c>
      <c r="AO859">
        <f>AN859&amp;IF($P859="","",", "&amp;$P859)</f>
        <v/>
      </c>
      <c r="AP859">
        <f>AO859&amp;IF($Q859="","",", "&amp;$Q859)</f>
        <v/>
      </c>
      <c r="AQ859">
        <f>AP859&amp;IF($R859="","",", "&amp;$R859)</f>
        <v/>
      </c>
      <c r="AR859">
        <f>AQ859&amp;IF($S859="","",", "&amp;$S859)</f>
        <v/>
      </c>
      <c r="AS859">
        <f>AR859&amp;IF($T859="","",", "&amp;$T859)</f>
        <v/>
      </c>
      <c r="AT859">
        <f>AS859&amp;IF($U859="","",", "&amp;$U859)</f>
        <v/>
      </c>
      <c r="AU859">
        <f>AT859&amp;IF($V859="","",", "&amp;$V859)</f>
        <v/>
      </c>
      <c r="AV859">
        <f>AU859&amp;IF($W859="","",", "&amp;$W859)</f>
        <v/>
      </c>
      <c r="AW859">
        <f>AV859&amp;IF($X859="","",", "&amp;$X859)</f>
        <v/>
      </c>
      <c r="AX859">
        <f>AW859&amp;IF($Y859="","",", "&amp;$Y859)</f>
        <v/>
      </c>
    </row>
    <row r="860">
      <c r="A860" s="118">
        <f>IF($B860="","",COUNT($B$5:$B860))</f>
        <v/>
      </c>
      <c r="B860" s="80" t="n"/>
      <c r="C860" s="80" t="n"/>
      <c r="D860" s="74" t="n"/>
      <c r="E860" s="74" t="n"/>
      <c r="F860" s="74" t="n"/>
      <c r="G860" s="118">
        <f>IF($F860="","",COUNTIF($F$5:$F860,$F860))</f>
        <v/>
      </c>
      <c r="H860" s="33">
        <f>IF($F860="","",IFERROR(INDEX(사건마스터!$B$5:$B$64,MATCH($F860,사건마스터!$A$5:$A$64,0)),""))</f>
        <v/>
      </c>
      <c r="I860" s="130">
        <f>IF($F860="","",IFERROR(INDEX(사건마스터!$C$5:$C$64,MATCH($F860,사건마스터!$A$5:$A$64,0)),""))</f>
        <v/>
      </c>
      <c r="J860" s="136">
        <f>IF($F860="","",IFERROR(INDEX(사건마스터!$H$5:$H$64,MATCH($F860,사건마스터!$A$5:$A$64,0)),""))</f>
        <v/>
      </c>
      <c r="K860" s="136">
        <f>IF($F860="","",IFERROR(INDEX(사건마스터!$AH$5:$AH$64,MATCH($F860,사건마스터!$A$5:$A$64,0)),""))</f>
        <v/>
      </c>
      <c r="L860" s="136">
        <f>IF($F860="","",IFERROR(INDEX(사건마스터!$AI$5:$AI$64,MATCH($F860,사건마스터!$A$5:$A$64,0)),""))</f>
        <v/>
      </c>
      <c r="M860" s="136">
        <f>IF($F860="","",IFERROR(INDEX(사건마스터!$AJ$5:$AJ$64,MATCH($F860,사건마스터!$A$5:$A$64,0)),""))</f>
        <v/>
      </c>
      <c r="N860" s="136">
        <f>IF($F860="","",IFERROR(INDEX(사건마스터!$AK$5:$AK$64,MATCH($F860,사건마스터!$A$5:$A$64,0)),""))</f>
        <v/>
      </c>
      <c r="O860" s="136">
        <f>IF($F860="","",IFERROR(INDEX(사건마스터!$AL$5:$AL$64,MATCH($F860,사건마스터!$A$5:$A$64,0)),""))</f>
        <v/>
      </c>
      <c r="P860" s="136">
        <f>IF($F860="","",IFERROR(INDEX(사건마스터!$AM$5:$AM$64,MATCH($F860,사건마스터!$A$5:$A$64,0)),""))</f>
        <v/>
      </c>
      <c r="Q860" s="136">
        <f>IF($F860="","",IFERROR(INDEX(사건마스터!$AN$5:$AN$64,MATCH($F860,사건마스터!$A$5:$A$64,0)),""))</f>
        <v/>
      </c>
      <c r="R860" s="136">
        <f>IF($F860="","",IFERROR(INDEX(사건마스터!$AO$5:$AO$64,MATCH($F860,사건마스터!$A$5:$A$64,0)),""))</f>
        <v/>
      </c>
      <c r="S860" s="136">
        <f>IF($F860="","",IFERROR(INDEX(사건마스터!$AP$5:$AP$64,MATCH($F860,사건마스터!$A$5:$A$64,0)),""))</f>
        <v/>
      </c>
      <c r="T860" s="136">
        <f>IF($F860="","",IFERROR(INDEX(사건마스터!$AQ$5:$AQ$64,MATCH($F860,사건마스터!$A$5:$A$64,0)),""))</f>
        <v/>
      </c>
      <c r="U860" s="136">
        <f>IF($F860="","",IFERROR(INDEX(사건마스터!$AR$5:$AR$64,MATCH($F860,사건마스터!$A$5:$A$64,0)),""))</f>
        <v/>
      </c>
      <c r="V860" s="136">
        <f>IF($F860="","",IFERROR(INDEX(사건마스터!$AS$5:$AS$64,MATCH($F860,사건마스터!$A$5:$A$64,0)),""))</f>
        <v/>
      </c>
      <c r="W860" s="136">
        <f>IF($F860="","",IFERROR(INDEX(사건마스터!$AT$5:$AT$64,MATCH($F860,사건마스터!$A$5:$A$64,0)),""))</f>
        <v/>
      </c>
      <c r="X860" s="136">
        <f>IF($F860="","",IFERROR(INDEX(사건마스터!$AU$5:$AU$64,MATCH($F860,사건마스터!$A$5:$A$64,0)),""))</f>
        <v/>
      </c>
      <c r="Y860" s="136">
        <f>IF($F860="","",IFERROR(INDEX(사건마스터!$AV$5:$AV$64,MATCH($F860,사건마스터!$A$5:$A$64,0)),""))</f>
        <v/>
      </c>
      <c r="Z860" s="118">
        <f>IF(COUNTBLANK($J860:$Y860)=16,"",16-COUNTBLANK($J860:$Y860))</f>
        <v/>
      </c>
      <c r="AA860" s="33">
        <f>IF($J860="",MID($AX860,3,255),$J860&amp;$AX860)</f>
        <v/>
      </c>
      <c r="AB860" s="130">
        <f>IF($J860="","",IFERROR(INDEX(코드설정!$D$5:$D$24,MATCH($J860,코드설정!$C$5:$C$24,0)),""))</f>
        <v/>
      </c>
      <c r="AC860" s="36" t="n"/>
      <c r="AD860" s="37" t="n"/>
      <c r="AE860" s="38" t="n"/>
      <c r="AF860" s="118">
        <f>IF(OR($B860="",$C860=""),"",$C860-$B860+1)</f>
        <v/>
      </c>
      <c r="AG860" s="74" t="n"/>
      <c r="AH860" s="36" t="n"/>
      <c r="AJ860">
        <f>IF($K860="","",", "&amp;$K860)</f>
        <v/>
      </c>
      <c r="AK860">
        <f>AJ860&amp;IF($L860="","",", "&amp;$L860)</f>
        <v/>
      </c>
      <c r="AL860">
        <f>AK860&amp;IF($M860="","",", "&amp;$M860)</f>
        <v/>
      </c>
      <c r="AM860">
        <f>AL860&amp;IF($N860="","",", "&amp;$N860)</f>
        <v/>
      </c>
      <c r="AN860">
        <f>AM860&amp;IF($O860="","",", "&amp;$O860)</f>
        <v/>
      </c>
      <c r="AO860">
        <f>AN860&amp;IF($P860="","",", "&amp;$P860)</f>
        <v/>
      </c>
      <c r="AP860">
        <f>AO860&amp;IF($Q860="","",", "&amp;$Q860)</f>
        <v/>
      </c>
      <c r="AQ860">
        <f>AP860&amp;IF($R860="","",", "&amp;$R860)</f>
        <v/>
      </c>
      <c r="AR860">
        <f>AQ860&amp;IF($S860="","",", "&amp;$S860)</f>
        <v/>
      </c>
      <c r="AS860">
        <f>AR860&amp;IF($T860="","",", "&amp;$T860)</f>
        <v/>
      </c>
      <c r="AT860">
        <f>AS860&amp;IF($U860="","",", "&amp;$U860)</f>
        <v/>
      </c>
      <c r="AU860">
        <f>AT860&amp;IF($V860="","",", "&amp;$V860)</f>
        <v/>
      </c>
      <c r="AV860">
        <f>AU860&amp;IF($W860="","",", "&amp;$W860)</f>
        <v/>
      </c>
      <c r="AW860">
        <f>AV860&amp;IF($X860="","",", "&amp;$X860)</f>
        <v/>
      </c>
      <c r="AX860">
        <f>AW860&amp;IF($Y860="","",", "&amp;$Y860)</f>
        <v/>
      </c>
    </row>
    <row r="861">
      <c r="A861" s="118">
        <f>IF($B861="","",COUNT($B$5:$B861))</f>
        <v/>
      </c>
      <c r="B861" s="80" t="n"/>
      <c r="C861" s="80" t="n"/>
      <c r="D861" s="74" t="n"/>
      <c r="E861" s="74" t="n"/>
      <c r="F861" s="74" t="n"/>
      <c r="G861" s="118">
        <f>IF($F861="","",COUNTIF($F$5:$F861,$F861))</f>
        <v/>
      </c>
      <c r="H861" s="33">
        <f>IF($F861="","",IFERROR(INDEX(사건마스터!$B$5:$B$64,MATCH($F861,사건마스터!$A$5:$A$64,0)),""))</f>
        <v/>
      </c>
      <c r="I861" s="130">
        <f>IF($F861="","",IFERROR(INDEX(사건마스터!$C$5:$C$64,MATCH($F861,사건마스터!$A$5:$A$64,0)),""))</f>
        <v/>
      </c>
      <c r="J861" s="136">
        <f>IF($F861="","",IFERROR(INDEX(사건마스터!$H$5:$H$64,MATCH($F861,사건마스터!$A$5:$A$64,0)),""))</f>
        <v/>
      </c>
      <c r="K861" s="136">
        <f>IF($F861="","",IFERROR(INDEX(사건마스터!$AH$5:$AH$64,MATCH($F861,사건마스터!$A$5:$A$64,0)),""))</f>
        <v/>
      </c>
      <c r="L861" s="136">
        <f>IF($F861="","",IFERROR(INDEX(사건마스터!$AI$5:$AI$64,MATCH($F861,사건마스터!$A$5:$A$64,0)),""))</f>
        <v/>
      </c>
      <c r="M861" s="136">
        <f>IF($F861="","",IFERROR(INDEX(사건마스터!$AJ$5:$AJ$64,MATCH($F861,사건마스터!$A$5:$A$64,0)),""))</f>
        <v/>
      </c>
      <c r="N861" s="136">
        <f>IF($F861="","",IFERROR(INDEX(사건마스터!$AK$5:$AK$64,MATCH($F861,사건마스터!$A$5:$A$64,0)),""))</f>
        <v/>
      </c>
      <c r="O861" s="136">
        <f>IF($F861="","",IFERROR(INDEX(사건마스터!$AL$5:$AL$64,MATCH($F861,사건마스터!$A$5:$A$64,0)),""))</f>
        <v/>
      </c>
      <c r="P861" s="136">
        <f>IF($F861="","",IFERROR(INDEX(사건마스터!$AM$5:$AM$64,MATCH($F861,사건마스터!$A$5:$A$64,0)),""))</f>
        <v/>
      </c>
      <c r="Q861" s="136">
        <f>IF($F861="","",IFERROR(INDEX(사건마스터!$AN$5:$AN$64,MATCH($F861,사건마스터!$A$5:$A$64,0)),""))</f>
        <v/>
      </c>
      <c r="R861" s="136">
        <f>IF($F861="","",IFERROR(INDEX(사건마스터!$AO$5:$AO$64,MATCH($F861,사건마스터!$A$5:$A$64,0)),""))</f>
        <v/>
      </c>
      <c r="S861" s="136">
        <f>IF($F861="","",IFERROR(INDEX(사건마스터!$AP$5:$AP$64,MATCH($F861,사건마스터!$A$5:$A$64,0)),""))</f>
        <v/>
      </c>
      <c r="T861" s="136">
        <f>IF($F861="","",IFERROR(INDEX(사건마스터!$AQ$5:$AQ$64,MATCH($F861,사건마스터!$A$5:$A$64,0)),""))</f>
        <v/>
      </c>
      <c r="U861" s="136">
        <f>IF($F861="","",IFERROR(INDEX(사건마스터!$AR$5:$AR$64,MATCH($F861,사건마스터!$A$5:$A$64,0)),""))</f>
        <v/>
      </c>
      <c r="V861" s="136">
        <f>IF($F861="","",IFERROR(INDEX(사건마스터!$AS$5:$AS$64,MATCH($F861,사건마스터!$A$5:$A$64,0)),""))</f>
        <v/>
      </c>
      <c r="W861" s="136">
        <f>IF($F861="","",IFERROR(INDEX(사건마스터!$AT$5:$AT$64,MATCH($F861,사건마스터!$A$5:$A$64,0)),""))</f>
        <v/>
      </c>
      <c r="X861" s="136">
        <f>IF($F861="","",IFERROR(INDEX(사건마스터!$AU$5:$AU$64,MATCH($F861,사건마스터!$A$5:$A$64,0)),""))</f>
        <v/>
      </c>
      <c r="Y861" s="136">
        <f>IF($F861="","",IFERROR(INDEX(사건마스터!$AV$5:$AV$64,MATCH($F861,사건마스터!$A$5:$A$64,0)),""))</f>
        <v/>
      </c>
      <c r="Z861" s="118">
        <f>IF(COUNTBLANK($J861:$Y861)=16,"",16-COUNTBLANK($J861:$Y861))</f>
        <v/>
      </c>
      <c r="AA861" s="33">
        <f>IF($J861="",MID($AX861,3,255),$J861&amp;$AX861)</f>
        <v/>
      </c>
      <c r="AB861" s="130">
        <f>IF($J861="","",IFERROR(INDEX(코드설정!$D$5:$D$24,MATCH($J861,코드설정!$C$5:$C$24,0)),""))</f>
        <v/>
      </c>
      <c r="AC861" s="36" t="n"/>
      <c r="AD861" s="37" t="n"/>
      <c r="AE861" s="38" t="n"/>
      <c r="AF861" s="118">
        <f>IF(OR($B861="",$C861=""),"",$C861-$B861+1)</f>
        <v/>
      </c>
      <c r="AG861" s="74" t="n"/>
      <c r="AH861" s="36" t="n"/>
      <c r="AJ861">
        <f>IF($K861="","",", "&amp;$K861)</f>
        <v/>
      </c>
      <c r="AK861">
        <f>AJ861&amp;IF($L861="","",", "&amp;$L861)</f>
        <v/>
      </c>
      <c r="AL861">
        <f>AK861&amp;IF($M861="","",", "&amp;$M861)</f>
        <v/>
      </c>
      <c r="AM861">
        <f>AL861&amp;IF($N861="","",", "&amp;$N861)</f>
        <v/>
      </c>
      <c r="AN861">
        <f>AM861&amp;IF($O861="","",", "&amp;$O861)</f>
        <v/>
      </c>
      <c r="AO861">
        <f>AN861&amp;IF($P861="","",", "&amp;$P861)</f>
        <v/>
      </c>
      <c r="AP861">
        <f>AO861&amp;IF($Q861="","",", "&amp;$Q861)</f>
        <v/>
      </c>
      <c r="AQ861">
        <f>AP861&amp;IF($R861="","",", "&amp;$R861)</f>
        <v/>
      </c>
      <c r="AR861">
        <f>AQ861&amp;IF($S861="","",", "&amp;$S861)</f>
        <v/>
      </c>
      <c r="AS861">
        <f>AR861&amp;IF($T861="","",", "&amp;$T861)</f>
        <v/>
      </c>
      <c r="AT861">
        <f>AS861&amp;IF($U861="","",", "&amp;$U861)</f>
        <v/>
      </c>
      <c r="AU861">
        <f>AT861&amp;IF($V861="","",", "&amp;$V861)</f>
        <v/>
      </c>
      <c r="AV861">
        <f>AU861&amp;IF($W861="","",", "&amp;$W861)</f>
        <v/>
      </c>
      <c r="AW861">
        <f>AV861&amp;IF($X861="","",", "&amp;$X861)</f>
        <v/>
      </c>
      <c r="AX861">
        <f>AW861&amp;IF($Y861="","",", "&amp;$Y861)</f>
        <v/>
      </c>
    </row>
    <row r="862">
      <c r="A862" s="118">
        <f>IF($B862="","",COUNT($B$5:$B862))</f>
        <v/>
      </c>
      <c r="B862" s="80" t="n"/>
      <c r="C862" s="80" t="n"/>
      <c r="D862" s="74" t="n"/>
      <c r="E862" s="74" t="n"/>
      <c r="F862" s="74" t="n"/>
      <c r="G862" s="118">
        <f>IF($F862="","",COUNTIF($F$5:$F862,$F862))</f>
        <v/>
      </c>
      <c r="H862" s="33">
        <f>IF($F862="","",IFERROR(INDEX(사건마스터!$B$5:$B$64,MATCH($F862,사건마스터!$A$5:$A$64,0)),""))</f>
        <v/>
      </c>
      <c r="I862" s="130">
        <f>IF($F862="","",IFERROR(INDEX(사건마스터!$C$5:$C$64,MATCH($F862,사건마스터!$A$5:$A$64,0)),""))</f>
        <v/>
      </c>
      <c r="J862" s="136">
        <f>IF($F862="","",IFERROR(INDEX(사건마스터!$H$5:$H$64,MATCH($F862,사건마스터!$A$5:$A$64,0)),""))</f>
        <v/>
      </c>
      <c r="K862" s="136">
        <f>IF($F862="","",IFERROR(INDEX(사건마스터!$AH$5:$AH$64,MATCH($F862,사건마스터!$A$5:$A$64,0)),""))</f>
        <v/>
      </c>
      <c r="L862" s="136">
        <f>IF($F862="","",IFERROR(INDEX(사건마스터!$AI$5:$AI$64,MATCH($F862,사건마스터!$A$5:$A$64,0)),""))</f>
        <v/>
      </c>
      <c r="M862" s="136">
        <f>IF($F862="","",IFERROR(INDEX(사건마스터!$AJ$5:$AJ$64,MATCH($F862,사건마스터!$A$5:$A$64,0)),""))</f>
        <v/>
      </c>
      <c r="N862" s="136">
        <f>IF($F862="","",IFERROR(INDEX(사건마스터!$AK$5:$AK$64,MATCH($F862,사건마스터!$A$5:$A$64,0)),""))</f>
        <v/>
      </c>
      <c r="O862" s="136">
        <f>IF($F862="","",IFERROR(INDEX(사건마스터!$AL$5:$AL$64,MATCH($F862,사건마스터!$A$5:$A$64,0)),""))</f>
        <v/>
      </c>
      <c r="P862" s="136">
        <f>IF($F862="","",IFERROR(INDEX(사건마스터!$AM$5:$AM$64,MATCH($F862,사건마스터!$A$5:$A$64,0)),""))</f>
        <v/>
      </c>
      <c r="Q862" s="136">
        <f>IF($F862="","",IFERROR(INDEX(사건마스터!$AN$5:$AN$64,MATCH($F862,사건마스터!$A$5:$A$64,0)),""))</f>
        <v/>
      </c>
      <c r="R862" s="136">
        <f>IF($F862="","",IFERROR(INDEX(사건마스터!$AO$5:$AO$64,MATCH($F862,사건마스터!$A$5:$A$64,0)),""))</f>
        <v/>
      </c>
      <c r="S862" s="136">
        <f>IF($F862="","",IFERROR(INDEX(사건마스터!$AP$5:$AP$64,MATCH($F862,사건마스터!$A$5:$A$64,0)),""))</f>
        <v/>
      </c>
      <c r="T862" s="136">
        <f>IF($F862="","",IFERROR(INDEX(사건마스터!$AQ$5:$AQ$64,MATCH($F862,사건마스터!$A$5:$A$64,0)),""))</f>
        <v/>
      </c>
      <c r="U862" s="136">
        <f>IF($F862="","",IFERROR(INDEX(사건마스터!$AR$5:$AR$64,MATCH($F862,사건마스터!$A$5:$A$64,0)),""))</f>
        <v/>
      </c>
      <c r="V862" s="136">
        <f>IF($F862="","",IFERROR(INDEX(사건마스터!$AS$5:$AS$64,MATCH($F862,사건마스터!$A$5:$A$64,0)),""))</f>
        <v/>
      </c>
      <c r="W862" s="136">
        <f>IF($F862="","",IFERROR(INDEX(사건마스터!$AT$5:$AT$64,MATCH($F862,사건마스터!$A$5:$A$64,0)),""))</f>
        <v/>
      </c>
      <c r="X862" s="136">
        <f>IF($F862="","",IFERROR(INDEX(사건마스터!$AU$5:$AU$64,MATCH($F862,사건마스터!$A$5:$A$64,0)),""))</f>
        <v/>
      </c>
      <c r="Y862" s="136">
        <f>IF($F862="","",IFERROR(INDEX(사건마스터!$AV$5:$AV$64,MATCH($F862,사건마스터!$A$5:$A$64,0)),""))</f>
        <v/>
      </c>
      <c r="Z862" s="118">
        <f>IF(COUNTBLANK($J862:$Y862)=16,"",16-COUNTBLANK($J862:$Y862))</f>
        <v/>
      </c>
      <c r="AA862" s="33">
        <f>IF($J862="",MID($AX862,3,255),$J862&amp;$AX862)</f>
        <v/>
      </c>
      <c r="AB862" s="130">
        <f>IF($J862="","",IFERROR(INDEX(코드설정!$D$5:$D$24,MATCH($J862,코드설정!$C$5:$C$24,0)),""))</f>
        <v/>
      </c>
      <c r="AC862" s="36" t="n"/>
      <c r="AD862" s="37" t="n"/>
      <c r="AE862" s="38" t="n"/>
      <c r="AF862" s="118">
        <f>IF(OR($B862="",$C862=""),"",$C862-$B862+1)</f>
        <v/>
      </c>
      <c r="AG862" s="74" t="n"/>
      <c r="AH862" s="36" t="n"/>
      <c r="AJ862">
        <f>IF($K862="","",", "&amp;$K862)</f>
        <v/>
      </c>
      <c r="AK862">
        <f>AJ862&amp;IF($L862="","",", "&amp;$L862)</f>
        <v/>
      </c>
      <c r="AL862">
        <f>AK862&amp;IF($M862="","",", "&amp;$M862)</f>
        <v/>
      </c>
      <c r="AM862">
        <f>AL862&amp;IF($N862="","",", "&amp;$N862)</f>
        <v/>
      </c>
      <c r="AN862">
        <f>AM862&amp;IF($O862="","",", "&amp;$O862)</f>
        <v/>
      </c>
      <c r="AO862">
        <f>AN862&amp;IF($P862="","",", "&amp;$P862)</f>
        <v/>
      </c>
      <c r="AP862">
        <f>AO862&amp;IF($Q862="","",", "&amp;$Q862)</f>
        <v/>
      </c>
      <c r="AQ862">
        <f>AP862&amp;IF($R862="","",", "&amp;$R862)</f>
        <v/>
      </c>
      <c r="AR862">
        <f>AQ862&amp;IF($S862="","",", "&amp;$S862)</f>
        <v/>
      </c>
      <c r="AS862">
        <f>AR862&amp;IF($T862="","",", "&amp;$T862)</f>
        <v/>
      </c>
      <c r="AT862">
        <f>AS862&amp;IF($U862="","",", "&amp;$U862)</f>
        <v/>
      </c>
      <c r="AU862">
        <f>AT862&amp;IF($V862="","",", "&amp;$V862)</f>
        <v/>
      </c>
      <c r="AV862">
        <f>AU862&amp;IF($W862="","",", "&amp;$W862)</f>
        <v/>
      </c>
      <c r="AW862">
        <f>AV862&amp;IF($X862="","",", "&amp;$X862)</f>
        <v/>
      </c>
      <c r="AX862">
        <f>AW862&amp;IF($Y862="","",", "&amp;$Y862)</f>
        <v/>
      </c>
    </row>
    <row r="863">
      <c r="A863" s="118">
        <f>IF($B863="","",COUNT($B$5:$B863))</f>
        <v/>
      </c>
      <c r="B863" s="80" t="n"/>
      <c r="C863" s="80" t="n"/>
      <c r="D863" s="74" t="n"/>
      <c r="E863" s="74" t="n"/>
      <c r="F863" s="74" t="n"/>
      <c r="G863" s="118">
        <f>IF($F863="","",COUNTIF($F$5:$F863,$F863))</f>
        <v/>
      </c>
      <c r="H863" s="33">
        <f>IF($F863="","",IFERROR(INDEX(사건마스터!$B$5:$B$64,MATCH($F863,사건마스터!$A$5:$A$64,0)),""))</f>
        <v/>
      </c>
      <c r="I863" s="130">
        <f>IF($F863="","",IFERROR(INDEX(사건마스터!$C$5:$C$64,MATCH($F863,사건마스터!$A$5:$A$64,0)),""))</f>
        <v/>
      </c>
      <c r="J863" s="136">
        <f>IF($F863="","",IFERROR(INDEX(사건마스터!$H$5:$H$64,MATCH($F863,사건마스터!$A$5:$A$64,0)),""))</f>
        <v/>
      </c>
      <c r="K863" s="136">
        <f>IF($F863="","",IFERROR(INDEX(사건마스터!$AH$5:$AH$64,MATCH($F863,사건마스터!$A$5:$A$64,0)),""))</f>
        <v/>
      </c>
      <c r="L863" s="136">
        <f>IF($F863="","",IFERROR(INDEX(사건마스터!$AI$5:$AI$64,MATCH($F863,사건마스터!$A$5:$A$64,0)),""))</f>
        <v/>
      </c>
      <c r="M863" s="136">
        <f>IF($F863="","",IFERROR(INDEX(사건마스터!$AJ$5:$AJ$64,MATCH($F863,사건마스터!$A$5:$A$64,0)),""))</f>
        <v/>
      </c>
      <c r="N863" s="136">
        <f>IF($F863="","",IFERROR(INDEX(사건마스터!$AK$5:$AK$64,MATCH($F863,사건마스터!$A$5:$A$64,0)),""))</f>
        <v/>
      </c>
      <c r="O863" s="136">
        <f>IF($F863="","",IFERROR(INDEX(사건마스터!$AL$5:$AL$64,MATCH($F863,사건마스터!$A$5:$A$64,0)),""))</f>
        <v/>
      </c>
      <c r="P863" s="136">
        <f>IF($F863="","",IFERROR(INDEX(사건마스터!$AM$5:$AM$64,MATCH($F863,사건마스터!$A$5:$A$64,0)),""))</f>
        <v/>
      </c>
      <c r="Q863" s="136">
        <f>IF($F863="","",IFERROR(INDEX(사건마스터!$AN$5:$AN$64,MATCH($F863,사건마스터!$A$5:$A$64,0)),""))</f>
        <v/>
      </c>
      <c r="R863" s="136">
        <f>IF($F863="","",IFERROR(INDEX(사건마스터!$AO$5:$AO$64,MATCH($F863,사건마스터!$A$5:$A$64,0)),""))</f>
        <v/>
      </c>
      <c r="S863" s="136">
        <f>IF($F863="","",IFERROR(INDEX(사건마스터!$AP$5:$AP$64,MATCH($F863,사건마스터!$A$5:$A$64,0)),""))</f>
        <v/>
      </c>
      <c r="T863" s="136">
        <f>IF($F863="","",IFERROR(INDEX(사건마스터!$AQ$5:$AQ$64,MATCH($F863,사건마스터!$A$5:$A$64,0)),""))</f>
        <v/>
      </c>
      <c r="U863" s="136">
        <f>IF($F863="","",IFERROR(INDEX(사건마스터!$AR$5:$AR$64,MATCH($F863,사건마스터!$A$5:$A$64,0)),""))</f>
        <v/>
      </c>
      <c r="V863" s="136">
        <f>IF($F863="","",IFERROR(INDEX(사건마스터!$AS$5:$AS$64,MATCH($F863,사건마스터!$A$5:$A$64,0)),""))</f>
        <v/>
      </c>
      <c r="W863" s="136">
        <f>IF($F863="","",IFERROR(INDEX(사건마스터!$AT$5:$AT$64,MATCH($F863,사건마스터!$A$5:$A$64,0)),""))</f>
        <v/>
      </c>
      <c r="X863" s="136">
        <f>IF($F863="","",IFERROR(INDEX(사건마스터!$AU$5:$AU$64,MATCH($F863,사건마스터!$A$5:$A$64,0)),""))</f>
        <v/>
      </c>
      <c r="Y863" s="136">
        <f>IF($F863="","",IFERROR(INDEX(사건마스터!$AV$5:$AV$64,MATCH($F863,사건마스터!$A$5:$A$64,0)),""))</f>
        <v/>
      </c>
      <c r="Z863" s="118">
        <f>IF(COUNTBLANK($J863:$Y863)=16,"",16-COUNTBLANK($J863:$Y863))</f>
        <v/>
      </c>
      <c r="AA863" s="33">
        <f>IF($J863="",MID($AX863,3,255),$J863&amp;$AX863)</f>
        <v/>
      </c>
      <c r="AB863" s="130">
        <f>IF($J863="","",IFERROR(INDEX(코드설정!$D$5:$D$24,MATCH($J863,코드설정!$C$5:$C$24,0)),""))</f>
        <v/>
      </c>
      <c r="AC863" s="36" t="n"/>
      <c r="AD863" s="37" t="n"/>
      <c r="AE863" s="38" t="n"/>
      <c r="AF863" s="118">
        <f>IF(OR($B863="",$C863=""),"",$C863-$B863+1)</f>
        <v/>
      </c>
      <c r="AG863" s="74" t="n"/>
      <c r="AH863" s="36" t="n"/>
      <c r="AJ863">
        <f>IF($K863="","",", "&amp;$K863)</f>
        <v/>
      </c>
      <c r="AK863">
        <f>AJ863&amp;IF($L863="","",", "&amp;$L863)</f>
        <v/>
      </c>
      <c r="AL863">
        <f>AK863&amp;IF($M863="","",", "&amp;$M863)</f>
        <v/>
      </c>
      <c r="AM863">
        <f>AL863&amp;IF($N863="","",", "&amp;$N863)</f>
        <v/>
      </c>
      <c r="AN863">
        <f>AM863&amp;IF($O863="","",", "&amp;$O863)</f>
        <v/>
      </c>
      <c r="AO863">
        <f>AN863&amp;IF($P863="","",", "&amp;$P863)</f>
        <v/>
      </c>
      <c r="AP863">
        <f>AO863&amp;IF($Q863="","",", "&amp;$Q863)</f>
        <v/>
      </c>
      <c r="AQ863">
        <f>AP863&amp;IF($R863="","",", "&amp;$R863)</f>
        <v/>
      </c>
      <c r="AR863">
        <f>AQ863&amp;IF($S863="","",", "&amp;$S863)</f>
        <v/>
      </c>
      <c r="AS863">
        <f>AR863&amp;IF($T863="","",", "&amp;$T863)</f>
        <v/>
      </c>
      <c r="AT863">
        <f>AS863&amp;IF($U863="","",", "&amp;$U863)</f>
        <v/>
      </c>
      <c r="AU863">
        <f>AT863&amp;IF($V863="","",", "&amp;$V863)</f>
        <v/>
      </c>
      <c r="AV863">
        <f>AU863&amp;IF($W863="","",", "&amp;$W863)</f>
        <v/>
      </c>
      <c r="AW863">
        <f>AV863&amp;IF($X863="","",", "&amp;$X863)</f>
        <v/>
      </c>
      <c r="AX863">
        <f>AW863&amp;IF($Y863="","",", "&amp;$Y863)</f>
        <v/>
      </c>
    </row>
    <row r="864">
      <c r="A864" s="118">
        <f>IF($B864="","",COUNT($B$5:$B864))</f>
        <v/>
      </c>
      <c r="B864" s="80" t="n"/>
      <c r="C864" s="80" t="n"/>
      <c r="D864" s="74" t="n"/>
      <c r="E864" s="74" t="n"/>
      <c r="F864" s="74" t="n"/>
      <c r="G864" s="118">
        <f>IF($F864="","",COUNTIF($F$5:$F864,$F864))</f>
        <v/>
      </c>
      <c r="H864" s="33">
        <f>IF($F864="","",IFERROR(INDEX(사건마스터!$B$5:$B$64,MATCH($F864,사건마스터!$A$5:$A$64,0)),""))</f>
        <v/>
      </c>
      <c r="I864" s="130">
        <f>IF($F864="","",IFERROR(INDEX(사건마스터!$C$5:$C$64,MATCH($F864,사건마스터!$A$5:$A$64,0)),""))</f>
        <v/>
      </c>
      <c r="J864" s="136">
        <f>IF($F864="","",IFERROR(INDEX(사건마스터!$H$5:$H$64,MATCH($F864,사건마스터!$A$5:$A$64,0)),""))</f>
        <v/>
      </c>
      <c r="K864" s="136">
        <f>IF($F864="","",IFERROR(INDEX(사건마스터!$AH$5:$AH$64,MATCH($F864,사건마스터!$A$5:$A$64,0)),""))</f>
        <v/>
      </c>
      <c r="L864" s="136">
        <f>IF($F864="","",IFERROR(INDEX(사건마스터!$AI$5:$AI$64,MATCH($F864,사건마스터!$A$5:$A$64,0)),""))</f>
        <v/>
      </c>
      <c r="M864" s="136">
        <f>IF($F864="","",IFERROR(INDEX(사건마스터!$AJ$5:$AJ$64,MATCH($F864,사건마스터!$A$5:$A$64,0)),""))</f>
        <v/>
      </c>
      <c r="N864" s="136">
        <f>IF($F864="","",IFERROR(INDEX(사건마스터!$AK$5:$AK$64,MATCH($F864,사건마스터!$A$5:$A$64,0)),""))</f>
        <v/>
      </c>
      <c r="O864" s="136">
        <f>IF($F864="","",IFERROR(INDEX(사건마스터!$AL$5:$AL$64,MATCH($F864,사건마스터!$A$5:$A$64,0)),""))</f>
        <v/>
      </c>
      <c r="P864" s="136">
        <f>IF($F864="","",IFERROR(INDEX(사건마스터!$AM$5:$AM$64,MATCH($F864,사건마스터!$A$5:$A$64,0)),""))</f>
        <v/>
      </c>
      <c r="Q864" s="136">
        <f>IF($F864="","",IFERROR(INDEX(사건마스터!$AN$5:$AN$64,MATCH($F864,사건마스터!$A$5:$A$64,0)),""))</f>
        <v/>
      </c>
      <c r="R864" s="136">
        <f>IF($F864="","",IFERROR(INDEX(사건마스터!$AO$5:$AO$64,MATCH($F864,사건마스터!$A$5:$A$64,0)),""))</f>
        <v/>
      </c>
      <c r="S864" s="136">
        <f>IF($F864="","",IFERROR(INDEX(사건마스터!$AP$5:$AP$64,MATCH($F864,사건마스터!$A$5:$A$64,0)),""))</f>
        <v/>
      </c>
      <c r="T864" s="136">
        <f>IF($F864="","",IFERROR(INDEX(사건마스터!$AQ$5:$AQ$64,MATCH($F864,사건마스터!$A$5:$A$64,0)),""))</f>
        <v/>
      </c>
      <c r="U864" s="136">
        <f>IF($F864="","",IFERROR(INDEX(사건마스터!$AR$5:$AR$64,MATCH($F864,사건마스터!$A$5:$A$64,0)),""))</f>
        <v/>
      </c>
      <c r="V864" s="136">
        <f>IF($F864="","",IFERROR(INDEX(사건마스터!$AS$5:$AS$64,MATCH($F864,사건마스터!$A$5:$A$64,0)),""))</f>
        <v/>
      </c>
      <c r="W864" s="136">
        <f>IF($F864="","",IFERROR(INDEX(사건마스터!$AT$5:$AT$64,MATCH($F864,사건마스터!$A$5:$A$64,0)),""))</f>
        <v/>
      </c>
      <c r="X864" s="136">
        <f>IF($F864="","",IFERROR(INDEX(사건마스터!$AU$5:$AU$64,MATCH($F864,사건마스터!$A$5:$A$64,0)),""))</f>
        <v/>
      </c>
      <c r="Y864" s="136">
        <f>IF($F864="","",IFERROR(INDEX(사건마스터!$AV$5:$AV$64,MATCH($F864,사건마스터!$A$5:$A$64,0)),""))</f>
        <v/>
      </c>
      <c r="Z864" s="118">
        <f>IF(COUNTBLANK($J864:$Y864)=16,"",16-COUNTBLANK($J864:$Y864))</f>
        <v/>
      </c>
      <c r="AA864" s="33">
        <f>IF($J864="",MID($AX864,3,255),$J864&amp;$AX864)</f>
        <v/>
      </c>
      <c r="AB864" s="130">
        <f>IF($J864="","",IFERROR(INDEX(코드설정!$D$5:$D$24,MATCH($J864,코드설정!$C$5:$C$24,0)),""))</f>
        <v/>
      </c>
      <c r="AC864" s="36" t="n"/>
      <c r="AD864" s="37" t="n"/>
      <c r="AE864" s="38" t="n"/>
      <c r="AF864" s="118">
        <f>IF(OR($B864="",$C864=""),"",$C864-$B864+1)</f>
        <v/>
      </c>
      <c r="AG864" s="74" t="n"/>
      <c r="AH864" s="36" t="n"/>
      <c r="AJ864">
        <f>IF($K864="","",", "&amp;$K864)</f>
        <v/>
      </c>
      <c r="AK864">
        <f>AJ864&amp;IF($L864="","",", "&amp;$L864)</f>
        <v/>
      </c>
      <c r="AL864">
        <f>AK864&amp;IF($M864="","",", "&amp;$M864)</f>
        <v/>
      </c>
      <c r="AM864">
        <f>AL864&amp;IF($N864="","",", "&amp;$N864)</f>
        <v/>
      </c>
      <c r="AN864">
        <f>AM864&amp;IF($O864="","",", "&amp;$O864)</f>
        <v/>
      </c>
      <c r="AO864">
        <f>AN864&amp;IF($P864="","",", "&amp;$P864)</f>
        <v/>
      </c>
      <c r="AP864">
        <f>AO864&amp;IF($Q864="","",", "&amp;$Q864)</f>
        <v/>
      </c>
      <c r="AQ864">
        <f>AP864&amp;IF($R864="","",", "&amp;$R864)</f>
        <v/>
      </c>
      <c r="AR864">
        <f>AQ864&amp;IF($S864="","",", "&amp;$S864)</f>
        <v/>
      </c>
      <c r="AS864">
        <f>AR864&amp;IF($T864="","",", "&amp;$T864)</f>
        <v/>
      </c>
      <c r="AT864">
        <f>AS864&amp;IF($U864="","",", "&amp;$U864)</f>
        <v/>
      </c>
      <c r="AU864">
        <f>AT864&amp;IF($V864="","",", "&amp;$V864)</f>
        <v/>
      </c>
      <c r="AV864">
        <f>AU864&amp;IF($W864="","",", "&amp;$W864)</f>
        <v/>
      </c>
      <c r="AW864">
        <f>AV864&amp;IF($X864="","",", "&amp;$X864)</f>
        <v/>
      </c>
      <c r="AX864">
        <f>AW864&amp;IF($Y864="","",", "&amp;$Y864)</f>
        <v/>
      </c>
    </row>
    <row r="865">
      <c r="A865" s="118">
        <f>IF($B865="","",COUNT($B$5:$B865))</f>
        <v/>
      </c>
      <c r="B865" s="80" t="n"/>
      <c r="C865" s="80" t="n"/>
      <c r="D865" s="74" t="n"/>
      <c r="E865" s="74" t="n"/>
      <c r="F865" s="74" t="n"/>
      <c r="G865" s="118">
        <f>IF($F865="","",COUNTIF($F$5:$F865,$F865))</f>
        <v/>
      </c>
      <c r="H865" s="33">
        <f>IF($F865="","",IFERROR(INDEX(사건마스터!$B$5:$B$64,MATCH($F865,사건마스터!$A$5:$A$64,0)),""))</f>
        <v/>
      </c>
      <c r="I865" s="130">
        <f>IF($F865="","",IFERROR(INDEX(사건마스터!$C$5:$C$64,MATCH($F865,사건마스터!$A$5:$A$64,0)),""))</f>
        <v/>
      </c>
      <c r="J865" s="136">
        <f>IF($F865="","",IFERROR(INDEX(사건마스터!$H$5:$H$64,MATCH($F865,사건마스터!$A$5:$A$64,0)),""))</f>
        <v/>
      </c>
      <c r="K865" s="136">
        <f>IF($F865="","",IFERROR(INDEX(사건마스터!$AH$5:$AH$64,MATCH($F865,사건마스터!$A$5:$A$64,0)),""))</f>
        <v/>
      </c>
      <c r="L865" s="136">
        <f>IF($F865="","",IFERROR(INDEX(사건마스터!$AI$5:$AI$64,MATCH($F865,사건마스터!$A$5:$A$64,0)),""))</f>
        <v/>
      </c>
      <c r="M865" s="136">
        <f>IF($F865="","",IFERROR(INDEX(사건마스터!$AJ$5:$AJ$64,MATCH($F865,사건마스터!$A$5:$A$64,0)),""))</f>
        <v/>
      </c>
      <c r="N865" s="136">
        <f>IF($F865="","",IFERROR(INDEX(사건마스터!$AK$5:$AK$64,MATCH($F865,사건마스터!$A$5:$A$64,0)),""))</f>
        <v/>
      </c>
      <c r="O865" s="136">
        <f>IF($F865="","",IFERROR(INDEX(사건마스터!$AL$5:$AL$64,MATCH($F865,사건마스터!$A$5:$A$64,0)),""))</f>
        <v/>
      </c>
      <c r="P865" s="136">
        <f>IF($F865="","",IFERROR(INDEX(사건마스터!$AM$5:$AM$64,MATCH($F865,사건마스터!$A$5:$A$64,0)),""))</f>
        <v/>
      </c>
      <c r="Q865" s="136">
        <f>IF($F865="","",IFERROR(INDEX(사건마스터!$AN$5:$AN$64,MATCH($F865,사건마스터!$A$5:$A$64,0)),""))</f>
        <v/>
      </c>
      <c r="R865" s="136">
        <f>IF($F865="","",IFERROR(INDEX(사건마스터!$AO$5:$AO$64,MATCH($F865,사건마스터!$A$5:$A$64,0)),""))</f>
        <v/>
      </c>
      <c r="S865" s="136">
        <f>IF($F865="","",IFERROR(INDEX(사건마스터!$AP$5:$AP$64,MATCH($F865,사건마스터!$A$5:$A$64,0)),""))</f>
        <v/>
      </c>
      <c r="T865" s="136">
        <f>IF($F865="","",IFERROR(INDEX(사건마스터!$AQ$5:$AQ$64,MATCH($F865,사건마스터!$A$5:$A$64,0)),""))</f>
        <v/>
      </c>
      <c r="U865" s="136">
        <f>IF($F865="","",IFERROR(INDEX(사건마스터!$AR$5:$AR$64,MATCH($F865,사건마스터!$A$5:$A$64,0)),""))</f>
        <v/>
      </c>
      <c r="V865" s="136">
        <f>IF($F865="","",IFERROR(INDEX(사건마스터!$AS$5:$AS$64,MATCH($F865,사건마스터!$A$5:$A$64,0)),""))</f>
        <v/>
      </c>
      <c r="W865" s="136">
        <f>IF($F865="","",IFERROR(INDEX(사건마스터!$AT$5:$AT$64,MATCH($F865,사건마스터!$A$5:$A$64,0)),""))</f>
        <v/>
      </c>
      <c r="X865" s="136">
        <f>IF($F865="","",IFERROR(INDEX(사건마스터!$AU$5:$AU$64,MATCH($F865,사건마스터!$A$5:$A$64,0)),""))</f>
        <v/>
      </c>
      <c r="Y865" s="136">
        <f>IF($F865="","",IFERROR(INDEX(사건마스터!$AV$5:$AV$64,MATCH($F865,사건마스터!$A$5:$A$64,0)),""))</f>
        <v/>
      </c>
      <c r="Z865" s="118">
        <f>IF(COUNTBLANK($J865:$Y865)=16,"",16-COUNTBLANK($J865:$Y865))</f>
        <v/>
      </c>
      <c r="AA865" s="33">
        <f>IF($J865="",MID($AX865,3,255),$J865&amp;$AX865)</f>
        <v/>
      </c>
      <c r="AB865" s="130">
        <f>IF($J865="","",IFERROR(INDEX(코드설정!$D$5:$D$24,MATCH($J865,코드설정!$C$5:$C$24,0)),""))</f>
        <v/>
      </c>
      <c r="AC865" s="36" t="n"/>
      <c r="AD865" s="37" t="n"/>
      <c r="AE865" s="38" t="n"/>
      <c r="AF865" s="118">
        <f>IF(OR($B865="",$C865=""),"",$C865-$B865+1)</f>
        <v/>
      </c>
      <c r="AG865" s="74" t="n"/>
      <c r="AH865" s="36" t="n"/>
      <c r="AJ865">
        <f>IF($K865="","",", "&amp;$K865)</f>
        <v/>
      </c>
      <c r="AK865">
        <f>AJ865&amp;IF($L865="","",", "&amp;$L865)</f>
        <v/>
      </c>
      <c r="AL865">
        <f>AK865&amp;IF($M865="","",", "&amp;$M865)</f>
        <v/>
      </c>
      <c r="AM865">
        <f>AL865&amp;IF($N865="","",", "&amp;$N865)</f>
        <v/>
      </c>
      <c r="AN865">
        <f>AM865&amp;IF($O865="","",", "&amp;$O865)</f>
        <v/>
      </c>
      <c r="AO865">
        <f>AN865&amp;IF($P865="","",", "&amp;$P865)</f>
        <v/>
      </c>
      <c r="AP865">
        <f>AO865&amp;IF($Q865="","",", "&amp;$Q865)</f>
        <v/>
      </c>
      <c r="AQ865">
        <f>AP865&amp;IF($R865="","",", "&amp;$R865)</f>
        <v/>
      </c>
      <c r="AR865">
        <f>AQ865&amp;IF($S865="","",", "&amp;$S865)</f>
        <v/>
      </c>
      <c r="AS865">
        <f>AR865&amp;IF($T865="","",", "&amp;$T865)</f>
        <v/>
      </c>
      <c r="AT865">
        <f>AS865&amp;IF($U865="","",", "&amp;$U865)</f>
        <v/>
      </c>
      <c r="AU865">
        <f>AT865&amp;IF($V865="","",", "&amp;$V865)</f>
        <v/>
      </c>
      <c r="AV865">
        <f>AU865&amp;IF($W865="","",", "&amp;$W865)</f>
        <v/>
      </c>
      <c r="AW865">
        <f>AV865&amp;IF($X865="","",", "&amp;$X865)</f>
        <v/>
      </c>
      <c r="AX865">
        <f>AW865&amp;IF($Y865="","",", "&amp;$Y865)</f>
        <v/>
      </c>
    </row>
    <row r="866">
      <c r="A866" s="118">
        <f>IF($B866="","",COUNT($B$5:$B866))</f>
        <v/>
      </c>
      <c r="B866" s="80" t="n"/>
      <c r="C866" s="80" t="n"/>
      <c r="D866" s="74" t="n"/>
      <c r="E866" s="74" t="n"/>
      <c r="F866" s="74" t="n"/>
      <c r="G866" s="118">
        <f>IF($F866="","",COUNTIF($F$5:$F866,$F866))</f>
        <v/>
      </c>
      <c r="H866" s="33">
        <f>IF($F866="","",IFERROR(INDEX(사건마스터!$B$5:$B$64,MATCH($F866,사건마스터!$A$5:$A$64,0)),""))</f>
        <v/>
      </c>
      <c r="I866" s="130">
        <f>IF($F866="","",IFERROR(INDEX(사건마스터!$C$5:$C$64,MATCH($F866,사건마스터!$A$5:$A$64,0)),""))</f>
        <v/>
      </c>
      <c r="J866" s="136">
        <f>IF($F866="","",IFERROR(INDEX(사건마스터!$H$5:$H$64,MATCH($F866,사건마스터!$A$5:$A$64,0)),""))</f>
        <v/>
      </c>
      <c r="K866" s="136">
        <f>IF($F866="","",IFERROR(INDEX(사건마스터!$AH$5:$AH$64,MATCH($F866,사건마스터!$A$5:$A$64,0)),""))</f>
        <v/>
      </c>
      <c r="L866" s="136">
        <f>IF($F866="","",IFERROR(INDEX(사건마스터!$AI$5:$AI$64,MATCH($F866,사건마스터!$A$5:$A$64,0)),""))</f>
        <v/>
      </c>
      <c r="M866" s="136">
        <f>IF($F866="","",IFERROR(INDEX(사건마스터!$AJ$5:$AJ$64,MATCH($F866,사건마스터!$A$5:$A$64,0)),""))</f>
        <v/>
      </c>
      <c r="N866" s="136">
        <f>IF($F866="","",IFERROR(INDEX(사건마스터!$AK$5:$AK$64,MATCH($F866,사건마스터!$A$5:$A$64,0)),""))</f>
        <v/>
      </c>
      <c r="O866" s="136">
        <f>IF($F866="","",IFERROR(INDEX(사건마스터!$AL$5:$AL$64,MATCH($F866,사건마스터!$A$5:$A$64,0)),""))</f>
        <v/>
      </c>
      <c r="P866" s="136">
        <f>IF($F866="","",IFERROR(INDEX(사건마스터!$AM$5:$AM$64,MATCH($F866,사건마스터!$A$5:$A$64,0)),""))</f>
        <v/>
      </c>
      <c r="Q866" s="136">
        <f>IF($F866="","",IFERROR(INDEX(사건마스터!$AN$5:$AN$64,MATCH($F866,사건마스터!$A$5:$A$64,0)),""))</f>
        <v/>
      </c>
      <c r="R866" s="136">
        <f>IF($F866="","",IFERROR(INDEX(사건마스터!$AO$5:$AO$64,MATCH($F866,사건마스터!$A$5:$A$64,0)),""))</f>
        <v/>
      </c>
      <c r="S866" s="136">
        <f>IF($F866="","",IFERROR(INDEX(사건마스터!$AP$5:$AP$64,MATCH($F866,사건마스터!$A$5:$A$64,0)),""))</f>
        <v/>
      </c>
      <c r="T866" s="136">
        <f>IF($F866="","",IFERROR(INDEX(사건마스터!$AQ$5:$AQ$64,MATCH($F866,사건마스터!$A$5:$A$64,0)),""))</f>
        <v/>
      </c>
      <c r="U866" s="136">
        <f>IF($F866="","",IFERROR(INDEX(사건마스터!$AR$5:$AR$64,MATCH($F866,사건마스터!$A$5:$A$64,0)),""))</f>
        <v/>
      </c>
      <c r="V866" s="136">
        <f>IF($F866="","",IFERROR(INDEX(사건마스터!$AS$5:$AS$64,MATCH($F866,사건마스터!$A$5:$A$64,0)),""))</f>
        <v/>
      </c>
      <c r="W866" s="136">
        <f>IF($F866="","",IFERROR(INDEX(사건마스터!$AT$5:$AT$64,MATCH($F866,사건마스터!$A$5:$A$64,0)),""))</f>
        <v/>
      </c>
      <c r="X866" s="136">
        <f>IF($F866="","",IFERROR(INDEX(사건마스터!$AU$5:$AU$64,MATCH($F866,사건마스터!$A$5:$A$64,0)),""))</f>
        <v/>
      </c>
      <c r="Y866" s="136">
        <f>IF($F866="","",IFERROR(INDEX(사건마스터!$AV$5:$AV$64,MATCH($F866,사건마스터!$A$5:$A$64,0)),""))</f>
        <v/>
      </c>
      <c r="Z866" s="118">
        <f>IF(COUNTBLANK($J866:$Y866)=16,"",16-COUNTBLANK($J866:$Y866))</f>
        <v/>
      </c>
      <c r="AA866" s="33">
        <f>IF($J866="",MID($AX866,3,255),$J866&amp;$AX866)</f>
        <v/>
      </c>
      <c r="AB866" s="130">
        <f>IF($J866="","",IFERROR(INDEX(코드설정!$D$5:$D$24,MATCH($J866,코드설정!$C$5:$C$24,0)),""))</f>
        <v/>
      </c>
      <c r="AC866" s="36" t="n"/>
      <c r="AD866" s="37" t="n"/>
      <c r="AE866" s="38" t="n"/>
      <c r="AF866" s="118">
        <f>IF(OR($B866="",$C866=""),"",$C866-$B866+1)</f>
        <v/>
      </c>
      <c r="AG866" s="74" t="n"/>
      <c r="AH866" s="36" t="n"/>
      <c r="AJ866">
        <f>IF($K866="","",", "&amp;$K866)</f>
        <v/>
      </c>
      <c r="AK866">
        <f>AJ866&amp;IF($L866="","",", "&amp;$L866)</f>
        <v/>
      </c>
      <c r="AL866">
        <f>AK866&amp;IF($M866="","",", "&amp;$M866)</f>
        <v/>
      </c>
      <c r="AM866">
        <f>AL866&amp;IF($N866="","",", "&amp;$N866)</f>
        <v/>
      </c>
      <c r="AN866">
        <f>AM866&amp;IF($O866="","",", "&amp;$O866)</f>
        <v/>
      </c>
      <c r="AO866">
        <f>AN866&amp;IF($P866="","",", "&amp;$P866)</f>
        <v/>
      </c>
      <c r="AP866">
        <f>AO866&amp;IF($Q866="","",", "&amp;$Q866)</f>
        <v/>
      </c>
      <c r="AQ866">
        <f>AP866&amp;IF($R866="","",", "&amp;$R866)</f>
        <v/>
      </c>
      <c r="AR866">
        <f>AQ866&amp;IF($S866="","",", "&amp;$S866)</f>
        <v/>
      </c>
      <c r="AS866">
        <f>AR866&amp;IF($T866="","",", "&amp;$T866)</f>
        <v/>
      </c>
      <c r="AT866">
        <f>AS866&amp;IF($U866="","",", "&amp;$U866)</f>
        <v/>
      </c>
      <c r="AU866">
        <f>AT866&amp;IF($V866="","",", "&amp;$V866)</f>
        <v/>
      </c>
      <c r="AV866">
        <f>AU866&amp;IF($W866="","",", "&amp;$W866)</f>
        <v/>
      </c>
      <c r="AW866">
        <f>AV866&amp;IF($X866="","",", "&amp;$X866)</f>
        <v/>
      </c>
      <c r="AX866">
        <f>AW866&amp;IF($Y866="","",", "&amp;$Y866)</f>
        <v/>
      </c>
    </row>
    <row r="867">
      <c r="A867" s="118">
        <f>IF($B867="","",COUNT($B$5:$B867))</f>
        <v/>
      </c>
      <c r="B867" s="80" t="n"/>
      <c r="C867" s="80" t="n"/>
      <c r="D867" s="74" t="n"/>
      <c r="E867" s="74" t="n"/>
      <c r="F867" s="74" t="n"/>
      <c r="G867" s="118">
        <f>IF($F867="","",COUNTIF($F$5:$F867,$F867))</f>
        <v/>
      </c>
      <c r="H867" s="33">
        <f>IF($F867="","",IFERROR(INDEX(사건마스터!$B$5:$B$64,MATCH($F867,사건마스터!$A$5:$A$64,0)),""))</f>
        <v/>
      </c>
      <c r="I867" s="130">
        <f>IF($F867="","",IFERROR(INDEX(사건마스터!$C$5:$C$64,MATCH($F867,사건마스터!$A$5:$A$64,0)),""))</f>
        <v/>
      </c>
      <c r="J867" s="136">
        <f>IF($F867="","",IFERROR(INDEX(사건마스터!$H$5:$H$64,MATCH($F867,사건마스터!$A$5:$A$64,0)),""))</f>
        <v/>
      </c>
      <c r="K867" s="136">
        <f>IF($F867="","",IFERROR(INDEX(사건마스터!$AH$5:$AH$64,MATCH($F867,사건마스터!$A$5:$A$64,0)),""))</f>
        <v/>
      </c>
      <c r="L867" s="136">
        <f>IF($F867="","",IFERROR(INDEX(사건마스터!$AI$5:$AI$64,MATCH($F867,사건마스터!$A$5:$A$64,0)),""))</f>
        <v/>
      </c>
      <c r="M867" s="136">
        <f>IF($F867="","",IFERROR(INDEX(사건마스터!$AJ$5:$AJ$64,MATCH($F867,사건마스터!$A$5:$A$64,0)),""))</f>
        <v/>
      </c>
      <c r="N867" s="136">
        <f>IF($F867="","",IFERROR(INDEX(사건마스터!$AK$5:$AK$64,MATCH($F867,사건마스터!$A$5:$A$64,0)),""))</f>
        <v/>
      </c>
      <c r="O867" s="136">
        <f>IF($F867="","",IFERROR(INDEX(사건마스터!$AL$5:$AL$64,MATCH($F867,사건마스터!$A$5:$A$64,0)),""))</f>
        <v/>
      </c>
      <c r="P867" s="136">
        <f>IF($F867="","",IFERROR(INDEX(사건마스터!$AM$5:$AM$64,MATCH($F867,사건마스터!$A$5:$A$64,0)),""))</f>
        <v/>
      </c>
      <c r="Q867" s="136">
        <f>IF($F867="","",IFERROR(INDEX(사건마스터!$AN$5:$AN$64,MATCH($F867,사건마스터!$A$5:$A$64,0)),""))</f>
        <v/>
      </c>
      <c r="R867" s="136">
        <f>IF($F867="","",IFERROR(INDEX(사건마스터!$AO$5:$AO$64,MATCH($F867,사건마스터!$A$5:$A$64,0)),""))</f>
        <v/>
      </c>
      <c r="S867" s="136">
        <f>IF($F867="","",IFERROR(INDEX(사건마스터!$AP$5:$AP$64,MATCH($F867,사건마스터!$A$5:$A$64,0)),""))</f>
        <v/>
      </c>
      <c r="T867" s="136">
        <f>IF($F867="","",IFERROR(INDEX(사건마스터!$AQ$5:$AQ$64,MATCH($F867,사건마스터!$A$5:$A$64,0)),""))</f>
        <v/>
      </c>
      <c r="U867" s="136">
        <f>IF($F867="","",IFERROR(INDEX(사건마스터!$AR$5:$AR$64,MATCH($F867,사건마스터!$A$5:$A$64,0)),""))</f>
        <v/>
      </c>
      <c r="V867" s="136">
        <f>IF($F867="","",IFERROR(INDEX(사건마스터!$AS$5:$AS$64,MATCH($F867,사건마스터!$A$5:$A$64,0)),""))</f>
        <v/>
      </c>
      <c r="W867" s="136">
        <f>IF($F867="","",IFERROR(INDEX(사건마스터!$AT$5:$AT$64,MATCH($F867,사건마스터!$A$5:$A$64,0)),""))</f>
        <v/>
      </c>
      <c r="X867" s="136">
        <f>IF($F867="","",IFERROR(INDEX(사건마스터!$AU$5:$AU$64,MATCH($F867,사건마스터!$A$5:$A$64,0)),""))</f>
        <v/>
      </c>
      <c r="Y867" s="136">
        <f>IF($F867="","",IFERROR(INDEX(사건마스터!$AV$5:$AV$64,MATCH($F867,사건마스터!$A$5:$A$64,0)),""))</f>
        <v/>
      </c>
      <c r="Z867" s="118">
        <f>IF(COUNTBLANK($J867:$Y867)=16,"",16-COUNTBLANK($J867:$Y867))</f>
        <v/>
      </c>
      <c r="AA867" s="33">
        <f>IF($J867="",MID($AX867,3,255),$J867&amp;$AX867)</f>
        <v/>
      </c>
      <c r="AB867" s="130">
        <f>IF($J867="","",IFERROR(INDEX(코드설정!$D$5:$D$24,MATCH($J867,코드설정!$C$5:$C$24,0)),""))</f>
        <v/>
      </c>
      <c r="AC867" s="36" t="n"/>
      <c r="AD867" s="37" t="n"/>
      <c r="AE867" s="38" t="n"/>
      <c r="AF867" s="118">
        <f>IF(OR($B867="",$C867=""),"",$C867-$B867+1)</f>
        <v/>
      </c>
      <c r="AG867" s="74" t="n"/>
      <c r="AH867" s="36" t="n"/>
      <c r="AJ867">
        <f>IF($K867="","",", "&amp;$K867)</f>
        <v/>
      </c>
      <c r="AK867">
        <f>AJ867&amp;IF($L867="","",", "&amp;$L867)</f>
        <v/>
      </c>
      <c r="AL867">
        <f>AK867&amp;IF($M867="","",", "&amp;$M867)</f>
        <v/>
      </c>
      <c r="AM867">
        <f>AL867&amp;IF($N867="","",", "&amp;$N867)</f>
        <v/>
      </c>
      <c r="AN867">
        <f>AM867&amp;IF($O867="","",", "&amp;$O867)</f>
        <v/>
      </c>
      <c r="AO867">
        <f>AN867&amp;IF($P867="","",", "&amp;$P867)</f>
        <v/>
      </c>
      <c r="AP867">
        <f>AO867&amp;IF($Q867="","",", "&amp;$Q867)</f>
        <v/>
      </c>
      <c r="AQ867">
        <f>AP867&amp;IF($R867="","",", "&amp;$R867)</f>
        <v/>
      </c>
      <c r="AR867">
        <f>AQ867&amp;IF($S867="","",", "&amp;$S867)</f>
        <v/>
      </c>
      <c r="AS867">
        <f>AR867&amp;IF($T867="","",", "&amp;$T867)</f>
        <v/>
      </c>
      <c r="AT867">
        <f>AS867&amp;IF($U867="","",", "&amp;$U867)</f>
        <v/>
      </c>
      <c r="AU867">
        <f>AT867&amp;IF($V867="","",", "&amp;$V867)</f>
        <v/>
      </c>
      <c r="AV867">
        <f>AU867&amp;IF($W867="","",", "&amp;$W867)</f>
        <v/>
      </c>
      <c r="AW867">
        <f>AV867&amp;IF($X867="","",", "&amp;$X867)</f>
        <v/>
      </c>
      <c r="AX867">
        <f>AW867&amp;IF($Y867="","",", "&amp;$Y867)</f>
        <v/>
      </c>
    </row>
    <row r="868">
      <c r="A868" s="118">
        <f>IF($B868="","",COUNT($B$5:$B868))</f>
        <v/>
      </c>
      <c r="B868" s="80" t="n"/>
      <c r="C868" s="80" t="n"/>
      <c r="D868" s="74" t="n"/>
      <c r="E868" s="74" t="n"/>
      <c r="F868" s="74" t="n"/>
      <c r="G868" s="118">
        <f>IF($F868="","",COUNTIF($F$5:$F868,$F868))</f>
        <v/>
      </c>
      <c r="H868" s="33">
        <f>IF($F868="","",IFERROR(INDEX(사건마스터!$B$5:$B$64,MATCH($F868,사건마스터!$A$5:$A$64,0)),""))</f>
        <v/>
      </c>
      <c r="I868" s="130">
        <f>IF($F868="","",IFERROR(INDEX(사건마스터!$C$5:$C$64,MATCH($F868,사건마스터!$A$5:$A$64,0)),""))</f>
        <v/>
      </c>
      <c r="J868" s="136">
        <f>IF($F868="","",IFERROR(INDEX(사건마스터!$H$5:$H$64,MATCH($F868,사건마스터!$A$5:$A$64,0)),""))</f>
        <v/>
      </c>
      <c r="K868" s="136">
        <f>IF($F868="","",IFERROR(INDEX(사건마스터!$AH$5:$AH$64,MATCH($F868,사건마스터!$A$5:$A$64,0)),""))</f>
        <v/>
      </c>
      <c r="L868" s="136">
        <f>IF($F868="","",IFERROR(INDEX(사건마스터!$AI$5:$AI$64,MATCH($F868,사건마스터!$A$5:$A$64,0)),""))</f>
        <v/>
      </c>
      <c r="M868" s="136">
        <f>IF($F868="","",IFERROR(INDEX(사건마스터!$AJ$5:$AJ$64,MATCH($F868,사건마스터!$A$5:$A$64,0)),""))</f>
        <v/>
      </c>
      <c r="N868" s="136">
        <f>IF($F868="","",IFERROR(INDEX(사건마스터!$AK$5:$AK$64,MATCH($F868,사건마스터!$A$5:$A$64,0)),""))</f>
        <v/>
      </c>
      <c r="O868" s="136">
        <f>IF($F868="","",IFERROR(INDEX(사건마스터!$AL$5:$AL$64,MATCH($F868,사건마스터!$A$5:$A$64,0)),""))</f>
        <v/>
      </c>
      <c r="P868" s="136">
        <f>IF($F868="","",IFERROR(INDEX(사건마스터!$AM$5:$AM$64,MATCH($F868,사건마스터!$A$5:$A$64,0)),""))</f>
        <v/>
      </c>
      <c r="Q868" s="136">
        <f>IF($F868="","",IFERROR(INDEX(사건마스터!$AN$5:$AN$64,MATCH($F868,사건마스터!$A$5:$A$64,0)),""))</f>
        <v/>
      </c>
      <c r="R868" s="136">
        <f>IF($F868="","",IFERROR(INDEX(사건마스터!$AO$5:$AO$64,MATCH($F868,사건마스터!$A$5:$A$64,0)),""))</f>
        <v/>
      </c>
      <c r="S868" s="136">
        <f>IF($F868="","",IFERROR(INDEX(사건마스터!$AP$5:$AP$64,MATCH($F868,사건마스터!$A$5:$A$64,0)),""))</f>
        <v/>
      </c>
      <c r="T868" s="136">
        <f>IF($F868="","",IFERROR(INDEX(사건마스터!$AQ$5:$AQ$64,MATCH($F868,사건마스터!$A$5:$A$64,0)),""))</f>
        <v/>
      </c>
      <c r="U868" s="136">
        <f>IF($F868="","",IFERROR(INDEX(사건마스터!$AR$5:$AR$64,MATCH($F868,사건마스터!$A$5:$A$64,0)),""))</f>
        <v/>
      </c>
      <c r="V868" s="136">
        <f>IF($F868="","",IFERROR(INDEX(사건마스터!$AS$5:$AS$64,MATCH($F868,사건마스터!$A$5:$A$64,0)),""))</f>
        <v/>
      </c>
      <c r="W868" s="136">
        <f>IF($F868="","",IFERROR(INDEX(사건마스터!$AT$5:$AT$64,MATCH($F868,사건마스터!$A$5:$A$64,0)),""))</f>
        <v/>
      </c>
      <c r="X868" s="136">
        <f>IF($F868="","",IFERROR(INDEX(사건마스터!$AU$5:$AU$64,MATCH($F868,사건마스터!$A$5:$A$64,0)),""))</f>
        <v/>
      </c>
      <c r="Y868" s="136">
        <f>IF($F868="","",IFERROR(INDEX(사건마스터!$AV$5:$AV$64,MATCH($F868,사건마스터!$A$5:$A$64,0)),""))</f>
        <v/>
      </c>
      <c r="Z868" s="118">
        <f>IF(COUNTBLANK($J868:$Y868)=16,"",16-COUNTBLANK($J868:$Y868))</f>
        <v/>
      </c>
      <c r="AA868" s="33">
        <f>IF($J868="",MID($AX868,3,255),$J868&amp;$AX868)</f>
        <v/>
      </c>
      <c r="AB868" s="130">
        <f>IF($J868="","",IFERROR(INDEX(코드설정!$D$5:$D$24,MATCH($J868,코드설정!$C$5:$C$24,0)),""))</f>
        <v/>
      </c>
      <c r="AC868" s="36" t="n"/>
      <c r="AD868" s="37" t="n"/>
      <c r="AE868" s="38" t="n"/>
      <c r="AF868" s="118">
        <f>IF(OR($B868="",$C868=""),"",$C868-$B868+1)</f>
        <v/>
      </c>
      <c r="AG868" s="74" t="n"/>
      <c r="AH868" s="36" t="n"/>
      <c r="AJ868">
        <f>IF($K868="","",", "&amp;$K868)</f>
        <v/>
      </c>
      <c r="AK868">
        <f>AJ868&amp;IF($L868="","",", "&amp;$L868)</f>
        <v/>
      </c>
      <c r="AL868">
        <f>AK868&amp;IF($M868="","",", "&amp;$M868)</f>
        <v/>
      </c>
      <c r="AM868">
        <f>AL868&amp;IF($N868="","",", "&amp;$N868)</f>
        <v/>
      </c>
      <c r="AN868">
        <f>AM868&amp;IF($O868="","",", "&amp;$O868)</f>
        <v/>
      </c>
      <c r="AO868">
        <f>AN868&amp;IF($P868="","",", "&amp;$P868)</f>
        <v/>
      </c>
      <c r="AP868">
        <f>AO868&amp;IF($Q868="","",", "&amp;$Q868)</f>
        <v/>
      </c>
      <c r="AQ868">
        <f>AP868&amp;IF($R868="","",", "&amp;$R868)</f>
        <v/>
      </c>
      <c r="AR868">
        <f>AQ868&amp;IF($S868="","",", "&amp;$S868)</f>
        <v/>
      </c>
      <c r="AS868">
        <f>AR868&amp;IF($T868="","",", "&amp;$T868)</f>
        <v/>
      </c>
      <c r="AT868">
        <f>AS868&amp;IF($U868="","",", "&amp;$U868)</f>
        <v/>
      </c>
      <c r="AU868">
        <f>AT868&amp;IF($V868="","",", "&amp;$V868)</f>
        <v/>
      </c>
      <c r="AV868">
        <f>AU868&amp;IF($W868="","",", "&amp;$W868)</f>
        <v/>
      </c>
      <c r="AW868">
        <f>AV868&amp;IF($X868="","",", "&amp;$X868)</f>
        <v/>
      </c>
      <c r="AX868">
        <f>AW868&amp;IF($Y868="","",", "&amp;$Y868)</f>
        <v/>
      </c>
    </row>
    <row r="869">
      <c r="A869" s="118">
        <f>IF($B869="","",COUNT($B$5:$B869))</f>
        <v/>
      </c>
      <c r="B869" s="80" t="n"/>
      <c r="C869" s="80" t="n"/>
      <c r="D869" s="74" t="n"/>
      <c r="E869" s="74" t="n"/>
      <c r="F869" s="74" t="n"/>
      <c r="G869" s="118">
        <f>IF($F869="","",COUNTIF($F$5:$F869,$F869))</f>
        <v/>
      </c>
      <c r="H869" s="33">
        <f>IF($F869="","",IFERROR(INDEX(사건마스터!$B$5:$B$64,MATCH($F869,사건마스터!$A$5:$A$64,0)),""))</f>
        <v/>
      </c>
      <c r="I869" s="130">
        <f>IF($F869="","",IFERROR(INDEX(사건마스터!$C$5:$C$64,MATCH($F869,사건마스터!$A$5:$A$64,0)),""))</f>
        <v/>
      </c>
      <c r="J869" s="136">
        <f>IF($F869="","",IFERROR(INDEX(사건마스터!$H$5:$H$64,MATCH($F869,사건마스터!$A$5:$A$64,0)),""))</f>
        <v/>
      </c>
      <c r="K869" s="136">
        <f>IF($F869="","",IFERROR(INDEX(사건마스터!$AH$5:$AH$64,MATCH($F869,사건마스터!$A$5:$A$64,0)),""))</f>
        <v/>
      </c>
      <c r="L869" s="136">
        <f>IF($F869="","",IFERROR(INDEX(사건마스터!$AI$5:$AI$64,MATCH($F869,사건마스터!$A$5:$A$64,0)),""))</f>
        <v/>
      </c>
      <c r="M869" s="136">
        <f>IF($F869="","",IFERROR(INDEX(사건마스터!$AJ$5:$AJ$64,MATCH($F869,사건마스터!$A$5:$A$64,0)),""))</f>
        <v/>
      </c>
      <c r="N869" s="136">
        <f>IF($F869="","",IFERROR(INDEX(사건마스터!$AK$5:$AK$64,MATCH($F869,사건마스터!$A$5:$A$64,0)),""))</f>
        <v/>
      </c>
      <c r="O869" s="136">
        <f>IF($F869="","",IFERROR(INDEX(사건마스터!$AL$5:$AL$64,MATCH($F869,사건마스터!$A$5:$A$64,0)),""))</f>
        <v/>
      </c>
      <c r="P869" s="136">
        <f>IF($F869="","",IFERROR(INDEX(사건마스터!$AM$5:$AM$64,MATCH($F869,사건마스터!$A$5:$A$64,0)),""))</f>
        <v/>
      </c>
      <c r="Q869" s="136">
        <f>IF($F869="","",IFERROR(INDEX(사건마스터!$AN$5:$AN$64,MATCH($F869,사건마스터!$A$5:$A$64,0)),""))</f>
        <v/>
      </c>
      <c r="R869" s="136">
        <f>IF($F869="","",IFERROR(INDEX(사건마스터!$AO$5:$AO$64,MATCH($F869,사건마스터!$A$5:$A$64,0)),""))</f>
        <v/>
      </c>
      <c r="S869" s="136">
        <f>IF($F869="","",IFERROR(INDEX(사건마스터!$AP$5:$AP$64,MATCH($F869,사건마스터!$A$5:$A$64,0)),""))</f>
        <v/>
      </c>
      <c r="T869" s="136">
        <f>IF($F869="","",IFERROR(INDEX(사건마스터!$AQ$5:$AQ$64,MATCH($F869,사건마스터!$A$5:$A$64,0)),""))</f>
        <v/>
      </c>
      <c r="U869" s="136">
        <f>IF($F869="","",IFERROR(INDEX(사건마스터!$AR$5:$AR$64,MATCH($F869,사건마스터!$A$5:$A$64,0)),""))</f>
        <v/>
      </c>
      <c r="V869" s="136">
        <f>IF($F869="","",IFERROR(INDEX(사건마스터!$AS$5:$AS$64,MATCH($F869,사건마스터!$A$5:$A$64,0)),""))</f>
        <v/>
      </c>
      <c r="W869" s="136">
        <f>IF($F869="","",IFERROR(INDEX(사건마스터!$AT$5:$AT$64,MATCH($F869,사건마스터!$A$5:$A$64,0)),""))</f>
        <v/>
      </c>
      <c r="X869" s="136">
        <f>IF($F869="","",IFERROR(INDEX(사건마스터!$AU$5:$AU$64,MATCH($F869,사건마스터!$A$5:$A$64,0)),""))</f>
        <v/>
      </c>
      <c r="Y869" s="136">
        <f>IF($F869="","",IFERROR(INDEX(사건마스터!$AV$5:$AV$64,MATCH($F869,사건마스터!$A$5:$A$64,0)),""))</f>
        <v/>
      </c>
      <c r="Z869" s="118">
        <f>IF(COUNTBLANK($J869:$Y869)=16,"",16-COUNTBLANK($J869:$Y869))</f>
        <v/>
      </c>
      <c r="AA869" s="33">
        <f>IF($J869="",MID($AX869,3,255),$J869&amp;$AX869)</f>
        <v/>
      </c>
      <c r="AB869" s="130">
        <f>IF($J869="","",IFERROR(INDEX(코드설정!$D$5:$D$24,MATCH($J869,코드설정!$C$5:$C$24,0)),""))</f>
        <v/>
      </c>
      <c r="AC869" s="36" t="n"/>
      <c r="AD869" s="37" t="n"/>
      <c r="AE869" s="38" t="n"/>
      <c r="AF869" s="118">
        <f>IF(OR($B869="",$C869=""),"",$C869-$B869+1)</f>
        <v/>
      </c>
      <c r="AG869" s="74" t="n"/>
      <c r="AH869" s="36" t="n"/>
      <c r="AJ869">
        <f>IF($K869="","",", "&amp;$K869)</f>
        <v/>
      </c>
      <c r="AK869">
        <f>AJ869&amp;IF($L869="","",", "&amp;$L869)</f>
        <v/>
      </c>
      <c r="AL869">
        <f>AK869&amp;IF($M869="","",", "&amp;$M869)</f>
        <v/>
      </c>
      <c r="AM869">
        <f>AL869&amp;IF($N869="","",", "&amp;$N869)</f>
        <v/>
      </c>
      <c r="AN869">
        <f>AM869&amp;IF($O869="","",", "&amp;$O869)</f>
        <v/>
      </c>
      <c r="AO869">
        <f>AN869&amp;IF($P869="","",", "&amp;$P869)</f>
        <v/>
      </c>
      <c r="AP869">
        <f>AO869&amp;IF($Q869="","",", "&amp;$Q869)</f>
        <v/>
      </c>
      <c r="AQ869">
        <f>AP869&amp;IF($R869="","",", "&amp;$R869)</f>
        <v/>
      </c>
      <c r="AR869">
        <f>AQ869&amp;IF($S869="","",", "&amp;$S869)</f>
        <v/>
      </c>
      <c r="AS869">
        <f>AR869&amp;IF($T869="","",", "&amp;$T869)</f>
        <v/>
      </c>
      <c r="AT869">
        <f>AS869&amp;IF($U869="","",", "&amp;$U869)</f>
        <v/>
      </c>
      <c r="AU869">
        <f>AT869&amp;IF($V869="","",", "&amp;$V869)</f>
        <v/>
      </c>
      <c r="AV869">
        <f>AU869&amp;IF($W869="","",", "&amp;$W869)</f>
        <v/>
      </c>
      <c r="AW869">
        <f>AV869&amp;IF($X869="","",", "&amp;$X869)</f>
        <v/>
      </c>
      <c r="AX869">
        <f>AW869&amp;IF($Y869="","",", "&amp;$Y869)</f>
        <v/>
      </c>
    </row>
    <row r="870">
      <c r="A870" s="118">
        <f>IF($B870="","",COUNT($B$5:$B870))</f>
        <v/>
      </c>
      <c r="B870" s="80" t="n"/>
      <c r="C870" s="80" t="n"/>
      <c r="D870" s="74" t="n"/>
      <c r="E870" s="74" t="n"/>
      <c r="F870" s="74" t="n"/>
      <c r="G870" s="118">
        <f>IF($F870="","",COUNTIF($F$5:$F870,$F870))</f>
        <v/>
      </c>
      <c r="H870" s="33">
        <f>IF($F870="","",IFERROR(INDEX(사건마스터!$B$5:$B$64,MATCH($F870,사건마스터!$A$5:$A$64,0)),""))</f>
        <v/>
      </c>
      <c r="I870" s="130">
        <f>IF($F870="","",IFERROR(INDEX(사건마스터!$C$5:$C$64,MATCH($F870,사건마스터!$A$5:$A$64,0)),""))</f>
        <v/>
      </c>
      <c r="J870" s="136">
        <f>IF($F870="","",IFERROR(INDEX(사건마스터!$H$5:$H$64,MATCH($F870,사건마스터!$A$5:$A$64,0)),""))</f>
        <v/>
      </c>
      <c r="K870" s="136">
        <f>IF($F870="","",IFERROR(INDEX(사건마스터!$AH$5:$AH$64,MATCH($F870,사건마스터!$A$5:$A$64,0)),""))</f>
        <v/>
      </c>
      <c r="L870" s="136">
        <f>IF($F870="","",IFERROR(INDEX(사건마스터!$AI$5:$AI$64,MATCH($F870,사건마스터!$A$5:$A$64,0)),""))</f>
        <v/>
      </c>
      <c r="M870" s="136">
        <f>IF($F870="","",IFERROR(INDEX(사건마스터!$AJ$5:$AJ$64,MATCH($F870,사건마스터!$A$5:$A$64,0)),""))</f>
        <v/>
      </c>
      <c r="N870" s="136">
        <f>IF($F870="","",IFERROR(INDEX(사건마스터!$AK$5:$AK$64,MATCH($F870,사건마스터!$A$5:$A$64,0)),""))</f>
        <v/>
      </c>
      <c r="O870" s="136">
        <f>IF($F870="","",IFERROR(INDEX(사건마스터!$AL$5:$AL$64,MATCH($F870,사건마스터!$A$5:$A$64,0)),""))</f>
        <v/>
      </c>
      <c r="P870" s="136">
        <f>IF($F870="","",IFERROR(INDEX(사건마스터!$AM$5:$AM$64,MATCH($F870,사건마스터!$A$5:$A$64,0)),""))</f>
        <v/>
      </c>
      <c r="Q870" s="136">
        <f>IF($F870="","",IFERROR(INDEX(사건마스터!$AN$5:$AN$64,MATCH($F870,사건마스터!$A$5:$A$64,0)),""))</f>
        <v/>
      </c>
      <c r="R870" s="136">
        <f>IF($F870="","",IFERROR(INDEX(사건마스터!$AO$5:$AO$64,MATCH($F870,사건마스터!$A$5:$A$64,0)),""))</f>
        <v/>
      </c>
      <c r="S870" s="136">
        <f>IF($F870="","",IFERROR(INDEX(사건마스터!$AP$5:$AP$64,MATCH($F870,사건마스터!$A$5:$A$64,0)),""))</f>
        <v/>
      </c>
      <c r="T870" s="136">
        <f>IF($F870="","",IFERROR(INDEX(사건마스터!$AQ$5:$AQ$64,MATCH($F870,사건마스터!$A$5:$A$64,0)),""))</f>
        <v/>
      </c>
      <c r="U870" s="136">
        <f>IF($F870="","",IFERROR(INDEX(사건마스터!$AR$5:$AR$64,MATCH($F870,사건마스터!$A$5:$A$64,0)),""))</f>
        <v/>
      </c>
      <c r="V870" s="136">
        <f>IF($F870="","",IFERROR(INDEX(사건마스터!$AS$5:$AS$64,MATCH($F870,사건마스터!$A$5:$A$64,0)),""))</f>
        <v/>
      </c>
      <c r="W870" s="136">
        <f>IF($F870="","",IFERROR(INDEX(사건마스터!$AT$5:$AT$64,MATCH($F870,사건마스터!$A$5:$A$64,0)),""))</f>
        <v/>
      </c>
      <c r="X870" s="136">
        <f>IF($F870="","",IFERROR(INDEX(사건마스터!$AU$5:$AU$64,MATCH($F870,사건마스터!$A$5:$A$64,0)),""))</f>
        <v/>
      </c>
      <c r="Y870" s="136">
        <f>IF($F870="","",IFERROR(INDEX(사건마스터!$AV$5:$AV$64,MATCH($F870,사건마스터!$A$5:$A$64,0)),""))</f>
        <v/>
      </c>
      <c r="Z870" s="118">
        <f>IF(COUNTBLANK($J870:$Y870)=16,"",16-COUNTBLANK($J870:$Y870))</f>
        <v/>
      </c>
      <c r="AA870" s="33">
        <f>IF($J870="",MID($AX870,3,255),$J870&amp;$AX870)</f>
        <v/>
      </c>
      <c r="AB870" s="130">
        <f>IF($J870="","",IFERROR(INDEX(코드설정!$D$5:$D$24,MATCH($J870,코드설정!$C$5:$C$24,0)),""))</f>
        <v/>
      </c>
      <c r="AC870" s="36" t="n"/>
      <c r="AD870" s="37" t="n"/>
      <c r="AE870" s="38" t="n"/>
      <c r="AF870" s="118">
        <f>IF(OR($B870="",$C870=""),"",$C870-$B870+1)</f>
        <v/>
      </c>
      <c r="AG870" s="74" t="n"/>
      <c r="AH870" s="36" t="n"/>
      <c r="AJ870">
        <f>IF($K870="","",", "&amp;$K870)</f>
        <v/>
      </c>
      <c r="AK870">
        <f>AJ870&amp;IF($L870="","",", "&amp;$L870)</f>
        <v/>
      </c>
      <c r="AL870">
        <f>AK870&amp;IF($M870="","",", "&amp;$M870)</f>
        <v/>
      </c>
      <c r="AM870">
        <f>AL870&amp;IF($N870="","",", "&amp;$N870)</f>
        <v/>
      </c>
      <c r="AN870">
        <f>AM870&amp;IF($O870="","",", "&amp;$O870)</f>
        <v/>
      </c>
      <c r="AO870">
        <f>AN870&amp;IF($P870="","",", "&amp;$P870)</f>
        <v/>
      </c>
      <c r="AP870">
        <f>AO870&amp;IF($Q870="","",", "&amp;$Q870)</f>
        <v/>
      </c>
      <c r="AQ870">
        <f>AP870&amp;IF($R870="","",", "&amp;$R870)</f>
        <v/>
      </c>
      <c r="AR870">
        <f>AQ870&amp;IF($S870="","",", "&amp;$S870)</f>
        <v/>
      </c>
      <c r="AS870">
        <f>AR870&amp;IF($T870="","",", "&amp;$T870)</f>
        <v/>
      </c>
      <c r="AT870">
        <f>AS870&amp;IF($U870="","",", "&amp;$U870)</f>
        <v/>
      </c>
      <c r="AU870">
        <f>AT870&amp;IF($V870="","",", "&amp;$V870)</f>
        <v/>
      </c>
      <c r="AV870">
        <f>AU870&amp;IF($W870="","",", "&amp;$W870)</f>
        <v/>
      </c>
      <c r="AW870">
        <f>AV870&amp;IF($X870="","",", "&amp;$X870)</f>
        <v/>
      </c>
      <c r="AX870">
        <f>AW870&amp;IF($Y870="","",", "&amp;$Y870)</f>
        <v/>
      </c>
    </row>
    <row r="871">
      <c r="A871" s="118">
        <f>IF($B871="","",COUNT($B$5:$B871))</f>
        <v/>
      </c>
      <c r="B871" s="80" t="n"/>
      <c r="C871" s="80" t="n"/>
      <c r="D871" s="74" t="n"/>
      <c r="E871" s="74" t="n"/>
      <c r="F871" s="74" t="n"/>
      <c r="G871" s="118">
        <f>IF($F871="","",COUNTIF($F$5:$F871,$F871))</f>
        <v/>
      </c>
      <c r="H871" s="33">
        <f>IF($F871="","",IFERROR(INDEX(사건마스터!$B$5:$B$64,MATCH($F871,사건마스터!$A$5:$A$64,0)),""))</f>
        <v/>
      </c>
      <c r="I871" s="130">
        <f>IF($F871="","",IFERROR(INDEX(사건마스터!$C$5:$C$64,MATCH($F871,사건마스터!$A$5:$A$64,0)),""))</f>
        <v/>
      </c>
      <c r="J871" s="136">
        <f>IF($F871="","",IFERROR(INDEX(사건마스터!$H$5:$H$64,MATCH($F871,사건마스터!$A$5:$A$64,0)),""))</f>
        <v/>
      </c>
      <c r="K871" s="136">
        <f>IF($F871="","",IFERROR(INDEX(사건마스터!$AH$5:$AH$64,MATCH($F871,사건마스터!$A$5:$A$64,0)),""))</f>
        <v/>
      </c>
      <c r="L871" s="136">
        <f>IF($F871="","",IFERROR(INDEX(사건마스터!$AI$5:$AI$64,MATCH($F871,사건마스터!$A$5:$A$64,0)),""))</f>
        <v/>
      </c>
      <c r="M871" s="136">
        <f>IF($F871="","",IFERROR(INDEX(사건마스터!$AJ$5:$AJ$64,MATCH($F871,사건마스터!$A$5:$A$64,0)),""))</f>
        <v/>
      </c>
      <c r="N871" s="136">
        <f>IF($F871="","",IFERROR(INDEX(사건마스터!$AK$5:$AK$64,MATCH($F871,사건마스터!$A$5:$A$64,0)),""))</f>
        <v/>
      </c>
      <c r="O871" s="136">
        <f>IF($F871="","",IFERROR(INDEX(사건마스터!$AL$5:$AL$64,MATCH($F871,사건마스터!$A$5:$A$64,0)),""))</f>
        <v/>
      </c>
      <c r="P871" s="136">
        <f>IF($F871="","",IFERROR(INDEX(사건마스터!$AM$5:$AM$64,MATCH($F871,사건마스터!$A$5:$A$64,0)),""))</f>
        <v/>
      </c>
      <c r="Q871" s="136">
        <f>IF($F871="","",IFERROR(INDEX(사건마스터!$AN$5:$AN$64,MATCH($F871,사건마스터!$A$5:$A$64,0)),""))</f>
        <v/>
      </c>
      <c r="R871" s="136">
        <f>IF($F871="","",IFERROR(INDEX(사건마스터!$AO$5:$AO$64,MATCH($F871,사건마스터!$A$5:$A$64,0)),""))</f>
        <v/>
      </c>
      <c r="S871" s="136">
        <f>IF($F871="","",IFERROR(INDEX(사건마스터!$AP$5:$AP$64,MATCH($F871,사건마스터!$A$5:$A$64,0)),""))</f>
        <v/>
      </c>
      <c r="T871" s="136">
        <f>IF($F871="","",IFERROR(INDEX(사건마스터!$AQ$5:$AQ$64,MATCH($F871,사건마스터!$A$5:$A$64,0)),""))</f>
        <v/>
      </c>
      <c r="U871" s="136">
        <f>IF($F871="","",IFERROR(INDEX(사건마스터!$AR$5:$AR$64,MATCH($F871,사건마스터!$A$5:$A$64,0)),""))</f>
        <v/>
      </c>
      <c r="V871" s="136">
        <f>IF($F871="","",IFERROR(INDEX(사건마스터!$AS$5:$AS$64,MATCH($F871,사건마스터!$A$5:$A$64,0)),""))</f>
        <v/>
      </c>
      <c r="W871" s="136">
        <f>IF($F871="","",IFERROR(INDEX(사건마스터!$AT$5:$AT$64,MATCH($F871,사건마스터!$A$5:$A$64,0)),""))</f>
        <v/>
      </c>
      <c r="X871" s="136">
        <f>IF($F871="","",IFERROR(INDEX(사건마스터!$AU$5:$AU$64,MATCH($F871,사건마스터!$A$5:$A$64,0)),""))</f>
        <v/>
      </c>
      <c r="Y871" s="136">
        <f>IF($F871="","",IFERROR(INDEX(사건마스터!$AV$5:$AV$64,MATCH($F871,사건마스터!$A$5:$A$64,0)),""))</f>
        <v/>
      </c>
      <c r="Z871" s="118">
        <f>IF(COUNTBLANK($J871:$Y871)=16,"",16-COUNTBLANK($J871:$Y871))</f>
        <v/>
      </c>
      <c r="AA871" s="33">
        <f>IF($J871="",MID($AX871,3,255),$J871&amp;$AX871)</f>
        <v/>
      </c>
      <c r="AB871" s="130">
        <f>IF($J871="","",IFERROR(INDEX(코드설정!$D$5:$D$24,MATCH($J871,코드설정!$C$5:$C$24,0)),""))</f>
        <v/>
      </c>
      <c r="AC871" s="36" t="n"/>
      <c r="AD871" s="37" t="n"/>
      <c r="AE871" s="38" t="n"/>
      <c r="AF871" s="118">
        <f>IF(OR($B871="",$C871=""),"",$C871-$B871+1)</f>
        <v/>
      </c>
      <c r="AG871" s="74" t="n"/>
      <c r="AH871" s="36" t="n"/>
      <c r="AJ871">
        <f>IF($K871="","",", "&amp;$K871)</f>
        <v/>
      </c>
      <c r="AK871">
        <f>AJ871&amp;IF($L871="","",", "&amp;$L871)</f>
        <v/>
      </c>
      <c r="AL871">
        <f>AK871&amp;IF($M871="","",", "&amp;$M871)</f>
        <v/>
      </c>
      <c r="AM871">
        <f>AL871&amp;IF($N871="","",", "&amp;$N871)</f>
        <v/>
      </c>
      <c r="AN871">
        <f>AM871&amp;IF($O871="","",", "&amp;$O871)</f>
        <v/>
      </c>
      <c r="AO871">
        <f>AN871&amp;IF($P871="","",", "&amp;$P871)</f>
        <v/>
      </c>
      <c r="AP871">
        <f>AO871&amp;IF($Q871="","",", "&amp;$Q871)</f>
        <v/>
      </c>
      <c r="AQ871">
        <f>AP871&amp;IF($R871="","",", "&amp;$R871)</f>
        <v/>
      </c>
      <c r="AR871">
        <f>AQ871&amp;IF($S871="","",", "&amp;$S871)</f>
        <v/>
      </c>
      <c r="AS871">
        <f>AR871&amp;IF($T871="","",", "&amp;$T871)</f>
        <v/>
      </c>
      <c r="AT871">
        <f>AS871&amp;IF($U871="","",", "&amp;$U871)</f>
        <v/>
      </c>
      <c r="AU871">
        <f>AT871&amp;IF($V871="","",", "&amp;$V871)</f>
        <v/>
      </c>
      <c r="AV871">
        <f>AU871&amp;IF($W871="","",", "&amp;$W871)</f>
        <v/>
      </c>
      <c r="AW871">
        <f>AV871&amp;IF($X871="","",", "&amp;$X871)</f>
        <v/>
      </c>
      <c r="AX871">
        <f>AW871&amp;IF($Y871="","",", "&amp;$Y871)</f>
        <v/>
      </c>
    </row>
    <row r="872">
      <c r="A872" s="118">
        <f>IF($B872="","",COUNT($B$5:$B872))</f>
        <v/>
      </c>
      <c r="B872" s="80" t="n"/>
      <c r="C872" s="80" t="n"/>
      <c r="D872" s="74" t="n"/>
      <c r="E872" s="74" t="n"/>
      <c r="F872" s="74" t="n"/>
      <c r="G872" s="118">
        <f>IF($F872="","",COUNTIF($F$5:$F872,$F872))</f>
        <v/>
      </c>
      <c r="H872" s="33">
        <f>IF($F872="","",IFERROR(INDEX(사건마스터!$B$5:$B$64,MATCH($F872,사건마스터!$A$5:$A$64,0)),""))</f>
        <v/>
      </c>
      <c r="I872" s="130">
        <f>IF($F872="","",IFERROR(INDEX(사건마스터!$C$5:$C$64,MATCH($F872,사건마스터!$A$5:$A$64,0)),""))</f>
        <v/>
      </c>
      <c r="J872" s="136">
        <f>IF($F872="","",IFERROR(INDEX(사건마스터!$H$5:$H$64,MATCH($F872,사건마스터!$A$5:$A$64,0)),""))</f>
        <v/>
      </c>
      <c r="K872" s="136">
        <f>IF($F872="","",IFERROR(INDEX(사건마스터!$AH$5:$AH$64,MATCH($F872,사건마스터!$A$5:$A$64,0)),""))</f>
        <v/>
      </c>
      <c r="L872" s="136">
        <f>IF($F872="","",IFERROR(INDEX(사건마스터!$AI$5:$AI$64,MATCH($F872,사건마스터!$A$5:$A$64,0)),""))</f>
        <v/>
      </c>
      <c r="M872" s="136">
        <f>IF($F872="","",IFERROR(INDEX(사건마스터!$AJ$5:$AJ$64,MATCH($F872,사건마스터!$A$5:$A$64,0)),""))</f>
        <v/>
      </c>
      <c r="N872" s="136">
        <f>IF($F872="","",IFERROR(INDEX(사건마스터!$AK$5:$AK$64,MATCH($F872,사건마스터!$A$5:$A$64,0)),""))</f>
        <v/>
      </c>
      <c r="O872" s="136">
        <f>IF($F872="","",IFERROR(INDEX(사건마스터!$AL$5:$AL$64,MATCH($F872,사건마스터!$A$5:$A$64,0)),""))</f>
        <v/>
      </c>
      <c r="P872" s="136">
        <f>IF($F872="","",IFERROR(INDEX(사건마스터!$AM$5:$AM$64,MATCH($F872,사건마스터!$A$5:$A$64,0)),""))</f>
        <v/>
      </c>
      <c r="Q872" s="136">
        <f>IF($F872="","",IFERROR(INDEX(사건마스터!$AN$5:$AN$64,MATCH($F872,사건마스터!$A$5:$A$64,0)),""))</f>
        <v/>
      </c>
      <c r="R872" s="136">
        <f>IF($F872="","",IFERROR(INDEX(사건마스터!$AO$5:$AO$64,MATCH($F872,사건마스터!$A$5:$A$64,0)),""))</f>
        <v/>
      </c>
      <c r="S872" s="136">
        <f>IF($F872="","",IFERROR(INDEX(사건마스터!$AP$5:$AP$64,MATCH($F872,사건마스터!$A$5:$A$64,0)),""))</f>
        <v/>
      </c>
      <c r="T872" s="136">
        <f>IF($F872="","",IFERROR(INDEX(사건마스터!$AQ$5:$AQ$64,MATCH($F872,사건마스터!$A$5:$A$64,0)),""))</f>
        <v/>
      </c>
      <c r="U872" s="136">
        <f>IF($F872="","",IFERROR(INDEX(사건마스터!$AR$5:$AR$64,MATCH($F872,사건마스터!$A$5:$A$64,0)),""))</f>
        <v/>
      </c>
      <c r="V872" s="136">
        <f>IF($F872="","",IFERROR(INDEX(사건마스터!$AS$5:$AS$64,MATCH($F872,사건마스터!$A$5:$A$64,0)),""))</f>
        <v/>
      </c>
      <c r="W872" s="136">
        <f>IF($F872="","",IFERROR(INDEX(사건마스터!$AT$5:$AT$64,MATCH($F872,사건마스터!$A$5:$A$64,0)),""))</f>
        <v/>
      </c>
      <c r="X872" s="136">
        <f>IF($F872="","",IFERROR(INDEX(사건마스터!$AU$5:$AU$64,MATCH($F872,사건마스터!$A$5:$A$64,0)),""))</f>
        <v/>
      </c>
      <c r="Y872" s="136">
        <f>IF($F872="","",IFERROR(INDEX(사건마스터!$AV$5:$AV$64,MATCH($F872,사건마스터!$A$5:$A$64,0)),""))</f>
        <v/>
      </c>
      <c r="Z872" s="118">
        <f>IF(COUNTBLANK($J872:$Y872)=16,"",16-COUNTBLANK($J872:$Y872))</f>
        <v/>
      </c>
      <c r="AA872" s="33">
        <f>IF($J872="",MID($AX872,3,255),$J872&amp;$AX872)</f>
        <v/>
      </c>
      <c r="AB872" s="130">
        <f>IF($J872="","",IFERROR(INDEX(코드설정!$D$5:$D$24,MATCH($J872,코드설정!$C$5:$C$24,0)),""))</f>
        <v/>
      </c>
      <c r="AC872" s="36" t="n"/>
      <c r="AD872" s="37" t="n"/>
      <c r="AE872" s="38" t="n"/>
      <c r="AF872" s="118">
        <f>IF(OR($B872="",$C872=""),"",$C872-$B872+1)</f>
        <v/>
      </c>
      <c r="AG872" s="74" t="n"/>
      <c r="AH872" s="36" t="n"/>
      <c r="AJ872">
        <f>IF($K872="","",", "&amp;$K872)</f>
        <v/>
      </c>
      <c r="AK872">
        <f>AJ872&amp;IF($L872="","",", "&amp;$L872)</f>
        <v/>
      </c>
      <c r="AL872">
        <f>AK872&amp;IF($M872="","",", "&amp;$M872)</f>
        <v/>
      </c>
      <c r="AM872">
        <f>AL872&amp;IF($N872="","",", "&amp;$N872)</f>
        <v/>
      </c>
      <c r="AN872">
        <f>AM872&amp;IF($O872="","",", "&amp;$O872)</f>
        <v/>
      </c>
      <c r="AO872">
        <f>AN872&amp;IF($P872="","",", "&amp;$P872)</f>
        <v/>
      </c>
      <c r="AP872">
        <f>AO872&amp;IF($Q872="","",", "&amp;$Q872)</f>
        <v/>
      </c>
      <c r="AQ872">
        <f>AP872&amp;IF($R872="","",", "&amp;$R872)</f>
        <v/>
      </c>
      <c r="AR872">
        <f>AQ872&amp;IF($S872="","",", "&amp;$S872)</f>
        <v/>
      </c>
      <c r="AS872">
        <f>AR872&amp;IF($T872="","",", "&amp;$T872)</f>
        <v/>
      </c>
      <c r="AT872">
        <f>AS872&amp;IF($U872="","",", "&amp;$U872)</f>
        <v/>
      </c>
      <c r="AU872">
        <f>AT872&amp;IF($V872="","",", "&amp;$V872)</f>
        <v/>
      </c>
      <c r="AV872">
        <f>AU872&amp;IF($W872="","",", "&amp;$W872)</f>
        <v/>
      </c>
      <c r="AW872">
        <f>AV872&amp;IF($X872="","",", "&amp;$X872)</f>
        <v/>
      </c>
      <c r="AX872">
        <f>AW872&amp;IF($Y872="","",", "&amp;$Y872)</f>
        <v/>
      </c>
    </row>
    <row r="873">
      <c r="A873" s="118">
        <f>IF($B873="","",COUNT($B$5:$B873))</f>
        <v/>
      </c>
      <c r="B873" s="80" t="n"/>
      <c r="C873" s="80" t="n"/>
      <c r="D873" s="74" t="n"/>
      <c r="E873" s="74" t="n"/>
      <c r="F873" s="74" t="n"/>
      <c r="G873" s="118">
        <f>IF($F873="","",COUNTIF($F$5:$F873,$F873))</f>
        <v/>
      </c>
      <c r="H873" s="33">
        <f>IF($F873="","",IFERROR(INDEX(사건마스터!$B$5:$B$64,MATCH($F873,사건마스터!$A$5:$A$64,0)),""))</f>
        <v/>
      </c>
      <c r="I873" s="130">
        <f>IF($F873="","",IFERROR(INDEX(사건마스터!$C$5:$C$64,MATCH($F873,사건마스터!$A$5:$A$64,0)),""))</f>
        <v/>
      </c>
      <c r="J873" s="136">
        <f>IF($F873="","",IFERROR(INDEX(사건마스터!$H$5:$H$64,MATCH($F873,사건마스터!$A$5:$A$64,0)),""))</f>
        <v/>
      </c>
      <c r="K873" s="136">
        <f>IF($F873="","",IFERROR(INDEX(사건마스터!$AH$5:$AH$64,MATCH($F873,사건마스터!$A$5:$A$64,0)),""))</f>
        <v/>
      </c>
      <c r="L873" s="136">
        <f>IF($F873="","",IFERROR(INDEX(사건마스터!$AI$5:$AI$64,MATCH($F873,사건마스터!$A$5:$A$64,0)),""))</f>
        <v/>
      </c>
      <c r="M873" s="136">
        <f>IF($F873="","",IFERROR(INDEX(사건마스터!$AJ$5:$AJ$64,MATCH($F873,사건마스터!$A$5:$A$64,0)),""))</f>
        <v/>
      </c>
      <c r="N873" s="136">
        <f>IF($F873="","",IFERROR(INDEX(사건마스터!$AK$5:$AK$64,MATCH($F873,사건마스터!$A$5:$A$64,0)),""))</f>
        <v/>
      </c>
      <c r="O873" s="136">
        <f>IF($F873="","",IFERROR(INDEX(사건마스터!$AL$5:$AL$64,MATCH($F873,사건마스터!$A$5:$A$64,0)),""))</f>
        <v/>
      </c>
      <c r="P873" s="136">
        <f>IF($F873="","",IFERROR(INDEX(사건마스터!$AM$5:$AM$64,MATCH($F873,사건마스터!$A$5:$A$64,0)),""))</f>
        <v/>
      </c>
      <c r="Q873" s="136">
        <f>IF($F873="","",IFERROR(INDEX(사건마스터!$AN$5:$AN$64,MATCH($F873,사건마스터!$A$5:$A$64,0)),""))</f>
        <v/>
      </c>
      <c r="R873" s="136">
        <f>IF($F873="","",IFERROR(INDEX(사건마스터!$AO$5:$AO$64,MATCH($F873,사건마스터!$A$5:$A$64,0)),""))</f>
        <v/>
      </c>
      <c r="S873" s="136">
        <f>IF($F873="","",IFERROR(INDEX(사건마스터!$AP$5:$AP$64,MATCH($F873,사건마스터!$A$5:$A$64,0)),""))</f>
        <v/>
      </c>
      <c r="T873" s="136">
        <f>IF($F873="","",IFERROR(INDEX(사건마스터!$AQ$5:$AQ$64,MATCH($F873,사건마스터!$A$5:$A$64,0)),""))</f>
        <v/>
      </c>
      <c r="U873" s="136">
        <f>IF($F873="","",IFERROR(INDEX(사건마스터!$AR$5:$AR$64,MATCH($F873,사건마스터!$A$5:$A$64,0)),""))</f>
        <v/>
      </c>
      <c r="V873" s="136">
        <f>IF($F873="","",IFERROR(INDEX(사건마스터!$AS$5:$AS$64,MATCH($F873,사건마스터!$A$5:$A$64,0)),""))</f>
        <v/>
      </c>
      <c r="W873" s="136">
        <f>IF($F873="","",IFERROR(INDEX(사건마스터!$AT$5:$AT$64,MATCH($F873,사건마스터!$A$5:$A$64,0)),""))</f>
        <v/>
      </c>
      <c r="X873" s="136">
        <f>IF($F873="","",IFERROR(INDEX(사건마스터!$AU$5:$AU$64,MATCH($F873,사건마스터!$A$5:$A$64,0)),""))</f>
        <v/>
      </c>
      <c r="Y873" s="136">
        <f>IF($F873="","",IFERROR(INDEX(사건마스터!$AV$5:$AV$64,MATCH($F873,사건마스터!$A$5:$A$64,0)),""))</f>
        <v/>
      </c>
      <c r="Z873" s="118">
        <f>IF(COUNTBLANK($J873:$Y873)=16,"",16-COUNTBLANK($J873:$Y873))</f>
        <v/>
      </c>
      <c r="AA873" s="33">
        <f>IF($J873="",MID($AX873,3,255),$J873&amp;$AX873)</f>
        <v/>
      </c>
      <c r="AB873" s="130">
        <f>IF($J873="","",IFERROR(INDEX(코드설정!$D$5:$D$24,MATCH($J873,코드설정!$C$5:$C$24,0)),""))</f>
        <v/>
      </c>
      <c r="AC873" s="36" t="n"/>
      <c r="AD873" s="37" t="n"/>
      <c r="AE873" s="38" t="n"/>
      <c r="AF873" s="118">
        <f>IF(OR($B873="",$C873=""),"",$C873-$B873+1)</f>
        <v/>
      </c>
      <c r="AG873" s="74" t="n"/>
      <c r="AH873" s="36" t="n"/>
      <c r="AJ873">
        <f>IF($K873="","",", "&amp;$K873)</f>
        <v/>
      </c>
      <c r="AK873">
        <f>AJ873&amp;IF($L873="","",", "&amp;$L873)</f>
        <v/>
      </c>
      <c r="AL873">
        <f>AK873&amp;IF($M873="","",", "&amp;$M873)</f>
        <v/>
      </c>
      <c r="AM873">
        <f>AL873&amp;IF($N873="","",", "&amp;$N873)</f>
        <v/>
      </c>
      <c r="AN873">
        <f>AM873&amp;IF($O873="","",", "&amp;$O873)</f>
        <v/>
      </c>
      <c r="AO873">
        <f>AN873&amp;IF($P873="","",", "&amp;$P873)</f>
        <v/>
      </c>
      <c r="AP873">
        <f>AO873&amp;IF($Q873="","",", "&amp;$Q873)</f>
        <v/>
      </c>
      <c r="AQ873">
        <f>AP873&amp;IF($R873="","",", "&amp;$R873)</f>
        <v/>
      </c>
      <c r="AR873">
        <f>AQ873&amp;IF($S873="","",", "&amp;$S873)</f>
        <v/>
      </c>
      <c r="AS873">
        <f>AR873&amp;IF($T873="","",", "&amp;$T873)</f>
        <v/>
      </c>
      <c r="AT873">
        <f>AS873&amp;IF($U873="","",", "&amp;$U873)</f>
        <v/>
      </c>
      <c r="AU873">
        <f>AT873&amp;IF($V873="","",", "&amp;$V873)</f>
        <v/>
      </c>
      <c r="AV873">
        <f>AU873&amp;IF($W873="","",", "&amp;$W873)</f>
        <v/>
      </c>
      <c r="AW873">
        <f>AV873&amp;IF($X873="","",", "&amp;$X873)</f>
        <v/>
      </c>
      <c r="AX873">
        <f>AW873&amp;IF($Y873="","",", "&amp;$Y873)</f>
        <v/>
      </c>
    </row>
    <row r="874">
      <c r="A874" s="118">
        <f>IF($B874="","",COUNT($B$5:$B874))</f>
        <v/>
      </c>
      <c r="B874" s="80" t="n"/>
      <c r="C874" s="80" t="n"/>
      <c r="D874" s="74" t="n"/>
      <c r="E874" s="74" t="n"/>
      <c r="F874" s="74" t="n"/>
      <c r="G874" s="118">
        <f>IF($F874="","",COUNTIF($F$5:$F874,$F874))</f>
        <v/>
      </c>
      <c r="H874" s="33">
        <f>IF($F874="","",IFERROR(INDEX(사건마스터!$B$5:$B$64,MATCH($F874,사건마스터!$A$5:$A$64,0)),""))</f>
        <v/>
      </c>
      <c r="I874" s="130">
        <f>IF($F874="","",IFERROR(INDEX(사건마스터!$C$5:$C$64,MATCH($F874,사건마스터!$A$5:$A$64,0)),""))</f>
        <v/>
      </c>
      <c r="J874" s="136">
        <f>IF($F874="","",IFERROR(INDEX(사건마스터!$H$5:$H$64,MATCH($F874,사건마스터!$A$5:$A$64,0)),""))</f>
        <v/>
      </c>
      <c r="K874" s="136">
        <f>IF($F874="","",IFERROR(INDEX(사건마스터!$AH$5:$AH$64,MATCH($F874,사건마스터!$A$5:$A$64,0)),""))</f>
        <v/>
      </c>
      <c r="L874" s="136">
        <f>IF($F874="","",IFERROR(INDEX(사건마스터!$AI$5:$AI$64,MATCH($F874,사건마스터!$A$5:$A$64,0)),""))</f>
        <v/>
      </c>
      <c r="M874" s="136">
        <f>IF($F874="","",IFERROR(INDEX(사건마스터!$AJ$5:$AJ$64,MATCH($F874,사건마스터!$A$5:$A$64,0)),""))</f>
        <v/>
      </c>
      <c r="N874" s="136">
        <f>IF($F874="","",IFERROR(INDEX(사건마스터!$AK$5:$AK$64,MATCH($F874,사건마스터!$A$5:$A$64,0)),""))</f>
        <v/>
      </c>
      <c r="O874" s="136">
        <f>IF($F874="","",IFERROR(INDEX(사건마스터!$AL$5:$AL$64,MATCH($F874,사건마스터!$A$5:$A$64,0)),""))</f>
        <v/>
      </c>
      <c r="P874" s="136">
        <f>IF($F874="","",IFERROR(INDEX(사건마스터!$AM$5:$AM$64,MATCH($F874,사건마스터!$A$5:$A$64,0)),""))</f>
        <v/>
      </c>
      <c r="Q874" s="136">
        <f>IF($F874="","",IFERROR(INDEX(사건마스터!$AN$5:$AN$64,MATCH($F874,사건마스터!$A$5:$A$64,0)),""))</f>
        <v/>
      </c>
      <c r="R874" s="136">
        <f>IF($F874="","",IFERROR(INDEX(사건마스터!$AO$5:$AO$64,MATCH($F874,사건마스터!$A$5:$A$64,0)),""))</f>
        <v/>
      </c>
      <c r="S874" s="136">
        <f>IF($F874="","",IFERROR(INDEX(사건마스터!$AP$5:$AP$64,MATCH($F874,사건마스터!$A$5:$A$64,0)),""))</f>
        <v/>
      </c>
      <c r="T874" s="136">
        <f>IF($F874="","",IFERROR(INDEX(사건마스터!$AQ$5:$AQ$64,MATCH($F874,사건마스터!$A$5:$A$64,0)),""))</f>
        <v/>
      </c>
      <c r="U874" s="136">
        <f>IF($F874="","",IFERROR(INDEX(사건마스터!$AR$5:$AR$64,MATCH($F874,사건마스터!$A$5:$A$64,0)),""))</f>
        <v/>
      </c>
      <c r="V874" s="136">
        <f>IF($F874="","",IFERROR(INDEX(사건마스터!$AS$5:$AS$64,MATCH($F874,사건마스터!$A$5:$A$64,0)),""))</f>
        <v/>
      </c>
      <c r="W874" s="136">
        <f>IF($F874="","",IFERROR(INDEX(사건마스터!$AT$5:$AT$64,MATCH($F874,사건마스터!$A$5:$A$64,0)),""))</f>
        <v/>
      </c>
      <c r="X874" s="136">
        <f>IF($F874="","",IFERROR(INDEX(사건마스터!$AU$5:$AU$64,MATCH($F874,사건마스터!$A$5:$A$64,0)),""))</f>
        <v/>
      </c>
      <c r="Y874" s="136">
        <f>IF($F874="","",IFERROR(INDEX(사건마스터!$AV$5:$AV$64,MATCH($F874,사건마스터!$A$5:$A$64,0)),""))</f>
        <v/>
      </c>
      <c r="Z874" s="118">
        <f>IF(COUNTBLANK($J874:$Y874)=16,"",16-COUNTBLANK($J874:$Y874))</f>
        <v/>
      </c>
      <c r="AA874" s="33">
        <f>IF($J874="",MID($AX874,3,255),$J874&amp;$AX874)</f>
        <v/>
      </c>
      <c r="AB874" s="130">
        <f>IF($J874="","",IFERROR(INDEX(코드설정!$D$5:$D$24,MATCH($J874,코드설정!$C$5:$C$24,0)),""))</f>
        <v/>
      </c>
      <c r="AC874" s="36" t="n"/>
      <c r="AD874" s="37" t="n"/>
      <c r="AE874" s="38" t="n"/>
      <c r="AF874" s="118">
        <f>IF(OR($B874="",$C874=""),"",$C874-$B874+1)</f>
        <v/>
      </c>
      <c r="AG874" s="74" t="n"/>
      <c r="AH874" s="36" t="n"/>
      <c r="AJ874">
        <f>IF($K874="","",", "&amp;$K874)</f>
        <v/>
      </c>
      <c r="AK874">
        <f>AJ874&amp;IF($L874="","",", "&amp;$L874)</f>
        <v/>
      </c>
      <c r="AL874">
        <f>AK874&amp;IF($M874="","",", "&amp;$M874)</f>
        <v/>
      </c>
      <c r="AM874">
        <f>AL874&amp;IF($N874="","",", "&amp;$N874)</f>
        <v/>
      </c>
      <c r="AN874">
        <f>AM874&amp;IF($O874="","",", "&amp;$O874)</f>
        <v/>
      </c>
      <c r="AO874">
        <f>AN874&amp;IF($P874="","",", "&amp;$P874)</f>
        <v/>
      </c>
      <c r="AP874">
        <f>AO874&amp;IF($Q874="","",", "&amp;$Q874)</f>
        <v/>
      </c>
      <c r="AQ874">
        <f>AP874&amp;IF($R874="","",", "&amp;$R874)</f>
        <v/>
      </c>
      <c r="AR874">
        <f>AQ874&amp;IF($S874="","",", "&amp;$S874)</f>
        <v/>
      </c>
      <c r="AS874">
        <f>AR874&amp;IF($T874="","",", "&amp;$T874)</f>
        <v/>
      </c>
      <c r="AT874">
        <f>AS874&amp;IF($U874="","",", "&amp;$U874)</f>
        <v/>
      </c>
      <c r="AU874">
        <f>AT874&amp;IF($V874="","",", "&amp;$V874)</f>
        <v/>
      </c>
      <c r="AV874">
        <f>AU874&amp;IF($W874="","",", "&amp;$W874)</f>
        <v/>
      </c>
      <c r="AW874">
        <f>AV874&amp;IF($X874="","",", "&amp;$X874)</f>
        <v/>
      </c>
      <c r="AX874">
        <f>AW874&amp;IF($Y874="","",", "&amp;$Y874)</f>
        <v/>
      </c>
    </row>
    <row r="875">
      <c r="A875" s="118">
        <f>IF($B875="","",COUNT($B$5:$B875))</f>
        <v/>
      </c>
      <c r="B875" s="80" t="n"/>
      <c r="C875" s="80" t="n"/>
      <c r="D875" s="74" t="n"/>
      <c r="E875" s="74" t="n"/>
      <c r="F875" s="74" t="n"/>
      <c r="G875" s="118">
        <f>IF($F875="","",COUNTIF($F$5:$F875,$F875))</f>
        <v/>
      </c>
      <c r="H875" s="33">
        <f>IF($F875="","",IFERROR(INDEX(사건마스터!$B$5:$B$64,MATCH($F875,사건마스터!$A$5:$A$64,0)),""))</f>
        <v/>
      </c>
      <c r="I875" s="130">
        <f>IF($F875="","",IFERROR(INDEX(사건마스터!$C$5:$C$64,MATCH($F875,사건마스터!$A$5:$A$64,0)),""))</f>
        <v/>
      </c>
      <c r="J875" s="136">
        <f>IF($F875="","",IFERROR(INDEX(사건마스터!$H$5:$H$64,MATCH($F875,사건마스터!$A$5:$A$64,0)),""))</f>
        <v/>
      </c>
      <c r="K875" s="136">
        <f>IF($F875="","",IFERROR(INDEX(사건마스터!$AH$5:$AH$64,MATCH($F875,사건마스터!$A$5:$A$64,0)),""))</f>
        <v/>
      </c>
      <c r="L875" s="136">
        <f>IF($F875="","",IFERROR(INDEX(사건마스터!$AI$5:$AI$64,MATCH($F875,사건마스터!$A$5:$A$64,0)),""))</f>
        <v/>
      </c>
      <c r="M875" s="136">
        <f>IF($F875="","",IFERROR(INDEX(사건마스터!$AJ$5:$AJ$64,MATCH($F875,사건마스터!$A$5:$A$64,0)),""))</f>
        <v/>
      </c>
      <c r="N875" s="136">
        <f>IF($F875="","",IFERROR(INDEX(사건마스터!$AK$5:$AK$64,MATCH($F875,사건마스터!$A$5:$A$64,0)),""))</f>
        <v/>
      </c>
      <c r="O875" s="136">
        <f>IF($F875="","",IFERROR(INDEX(사건마스터!$AL$5:$AL$64,MATCH($F875,사건마스터!$A$5:$A$64,0)),""))</f>
        <v/>
      </c>
      <c r="P875" s="136">
        <f>IF($F875="","",IFERROR(INDEX(사건마스터!$AM$5:$AM$64,MATCH($F875,사건마스터!$A$5:$A$64,0)),""))</f>
        <v/>
      </c>
      <c r="Q875" s="136">
        <f>IF($F875="","",IFERROR(INDEX(사건마스터!$AN$5:$AN$64,MATCH($F875,사건마스터!$A$5:$A$64,0)),""))</f>
        <v/>
      </c>
      <c r="R875" s="136">
        <f>IF($F875="","",IFERROR(INDEX(사건마스터!$AO$5:$AO$64,MATCH($F875,사건마스터!$A$5:$A$64,0)),""))</f>
        <v/>
      </c>
      <c r="S875" s="136">
        <f>IF($F875="","",IFERROR(INDEX(사건마스터!$AP$5:$AP$64,MATCH($F875,사건마스터!$A$5:$A$64,0)),""))</f>
        <v/>
      </c>
      <c r="T875" s="136">
        <f>IF($F875="","",IFERROR(INDEX(사건마스터!$AQ$5:$AQ$64,MATCH($F875,사건마스터!$A$5:$A$64,0)),""))</f>
        <v/>
      </c>
      <c r="U875" s="136">
        <f>IF($F875="","",IFERROR(INDEX(사건마스터!$AR$5:$AR$64,MATCH($F875,사건마스터!$A$5:$A$64,0)),""))</f>
        <v/>
      </c>
      <c r="V875" s="136">
        <f>IF($F875="","",IFERROR(INDEX(사건마스터!$AS$5:$AS$64,MATCH($F875,사건마스터!$A$5:$A$64,0)),""))</f>
        <v/>
      </c>
      <c r="W875" s="136">
        <f>IF($F875="","",IFERROR(INDEX(사건마스터!$AT$5:$AT$64,MATCH($F875,사건마스터!$A$5:$A$64,0)),""))</f>
        <v/>
      </c>
      <c r="X875" s="136">
        <f>IF($F875="","",IFERROR(INDEX(사건마스터!$AU$5:$AU$64,MATCH($F875,사건마스터!$A$5:$A$64,0)),""))</f>
        <v/>
      </c>
      <c r="Y875" s="136">
        <f>IF($F875="","",IFERROR(INDEX(사건마스터!$AV$5:$AV$64,MATCH($F875,사건마스터!$A$5:$A$64,0)),""))</f>
        <v/>
      </c>
      <c r="Z875" s="118">
        <f>IF(COUNTBLANK($J875:$Y875)=16,"",16-COUNTBLANK($J875:$Y875))</f>
        <v/>
      </c>
      <c r="AA875" s="33">
        <f>IF($J875="",MID($AX875,3,255),$J875&amp;$AX875)</f>
        <v/>
      </c>
      <c r="AB875" s="130">
        <f>IF($J875="","",IFERROR(INDEX(코드설정!$D$5:$D$24,MATCH($J875,코드설정!$C$5:$C$24,0)),""))</f>
        <v/>
      </c>
      <c r="AC875" s="36" t="n"/>
      <c r="AD875" s="37" t="n"/>
      <c r="AE875" s="38" t="n"/>
      <c r="AF875" s="118">
        <f>IF(OR($B875="",$C875=""),"",$C875-$B875+1)</f>
        <v/>
      </c>
      <c r="AG875" s="74" t="n"/>
      <c r="AH875" s="36" t="n"/>
      <c r="AJ875">
        <f>IF($K875="","",", "&amp;$K875)</f>
        <v/>
      </c>
      <c r="AK875">
        <f>AJ875&amp;IF($L875="","",", "&amp;$L875)</f>
        <v/>
      </c>
      <c r="AL875">
        <f>AK875&amp;IF($M875="","",", "&amp;$M875)</f>
        <v/>
      </c>
      <c r="AM875">
        <f>AL875&amp;IF($N875="","",", "&amp;$N875)</f>
        <v/>
      </c>
      <c r="AN875">
        <f>AM875&amp;IF($O875="","",", "&amp;$O875)</f>
        <v/>
      </c>
      <c r="AO875">
        <f>AN875&amp;IF($P875="","",", "&amp;$P875)</f>
        <v/>
      </c>
      <c r="AP875">
        <f>AO875&amp;IF($Q875="","",", "&amp;$Q875)</f>
        <v/>
      </c>
      <c r="AQ875">
        <f>AP875&amp;IF($R875="","",", "&amp;$R875)</f>
        <v/>
      </c>
      <c r="AR875">
        <f>AQ875&amp;IF($S875="","",", "&amp;$S875)</f>
        <v/>
      </c>
      <c r="AS875">
        <f>AR875&amp;IF($T875="","",", "&amp;$T875)</f>
        <v/>
      </c>
      <c r="AT875">
        <f>AS875&amp;IF($U875="","",", "&amp;$U875)</f>
        <v/>
      </c>
      <c r="AU875">
        <f>AT875&amp;IF($V875="","",", "&amp;$V875)</f>
        <v/>
      </c>
      <c r="AV875">
        <f>AU875&amp;IF($W875="","",", "&amp;$W875)</f>
        <v/>
      </c>
      <c r="AW875">
        <f>AV875&amp;IF($X875="","",", "&amp;$X875)</f>
        <v/>
      </c>
      <c r="AX875">
        <f>AW875&amp;IF($Y875="","",", "&amp;$Y875)</f>
        <v/>
      </c>
    </row>
    <row r="876">
      <c r="A876" s="118">
        <f>IF($B876="","",COUNT($B$5:$B876))</f>
        <v/>
      </c>
      <c r="B876" s="80" t="n"/>
      <c r="C876" s="80" t="n"/>
      <c r="D876" s="74" t="n"/>
      <c r="E876" s="74" t="n"/>
      <c r="F876" s="74" t="n"/>
      <c r="G876" s="118">
        <f>IF($F876="","",COUNTIF($F$5:$F876,$F876))</f>
        <v/>
      </c>
      <c r="H876" s="33">
        <f>IF($F876="","",IFERROR(INDEX(사건마스터!$B$5:$B$64,MATCH($F876,사건마스터!$A$5:$A$64,0)),""))</f>
        <v/>
      </c>
      <c r="I876" s="130">
        <f>IF($F876="","",IFERROR(INDEX(사건마스터!$C$5:$C$64,MATCH($F876,사건마스터!$A$5:$A$64,0)),""))</f>
        <v/>
      </c>
      <c r="J876" s="136">
        <f>IF($F876="","",IFERROR(INDEX(사건마스터!$H$5:$H$64,MATCH($F876,사건마스터!$A$5:$A$64,0)),""))</f>
        <v/>
      </c>
      <c r="K876" s="136">
        <f>IF($F876="","",IFERROR(INDEX(사건마스터!$AH$5:$AH$64,MATCH($F876,사건마스터!$A$5:$A$64,0)),""))</f>
        <v/>
      </c>
      <c r="L876" s="136">
        <f>IF($F876="","",IFERROR(INDEX(사건마스터!$AI$5:$AI$64,MATCH($F876,사건마스터!$A$5:$A$64,0)),""))</f>
        <v/>
      </c>
      <c r="M876" s="136">
        <f>IF($F876="","",IFERROR(INDEX(사건마스터!$AJ$5:$AJ$64,MATCH($F876,사건마스터!$A$5:$A$64,0)),""))</f>
        <v/>
      </c>
      <c r="N876" s="136">
        <f>IF($F876="","",IFERROR(INDEX(사건마스터!$AK$5:$AK$64,MATCH($F876,사건마스터!$A$5:$A$64,0)),""))</f>
        <v/>
      </c>
      <c r="O876" s="136">
        <f>IF($F876="","",IFERROR(INDEX(사건마스터!$AL$5:$AL$64,MATCH($F876,사건마스터!$A$5:$A$64,0)),""))</f>
        <v/>
      </c>
      <c r="P876" s="136">
        <f>IF($F876="","",IFERROR(INDEX(사건마스터!$AM$5:$AM$64,MATCH($F876,사건마스터!$A$5:$A$64,0)),""))</f>
        <v/>
      </c>
      <c r="Q876" s="136">
        <f>IF($F876="","",IFERROR(INDEX(사건마스터!$AN$5:$AN$64,MATCH($F876,사건마스터!$A$5:$A$64,0)),""))</f>
        <v/>
      </c>
      <c r="R876" s="136">
        <f>IF($F876="","",IFERROR(INDEX(사건마스터!$AO$5:$AO$64,MATCH($F876,사건마스터!$A$5:$A$64,0)),""))</f>
        <v/>
      </c>
      <c r="S876" s="136">
        <f>IF($F876="","",IFERROR(INDEX(사건마스터!$AP$5:$AP$64,MATCH($F876,사건마스터!$A$5:$A$64,0)),""))</f>
        <v/>
      </c>
      <c r="T876" s="136">
        <f>IF($F876="","",IFERROR(INDEX(사건마스터!$AQ$5:$AQ$64,MATCH($F876,사건마스터!$A$5:$A$64,0)),""))</f>
        <v/>
      </c>
      <c r="U876" s="136">
        <f>IF($F876="","",IFERROR(INDEX(사건마스터!$AR$5:$AR$64,MATCH($F876,사건마스터!$A$5:$A$64,0)),""))</f>
        <v/>
      </c>
      <c r="V876" s="136">
        <f>IF($F876="","",IFERROR(INDEX(사건마스터!$AS$5:$AS$64,MATCH($F876,사건마스터!$A$5:$A$64,0)),""))</f>
        <v/>
      </c>
      <c r="W876" s="136">
        <f>IF($F876="","",IFERROR(INDEX(사건마스터!$AT$5:$AT$64,MATCH($F876,사건마스터!$A$5:$A$64,0)),""))</f>
        <v/>
      </c>
      <c r="X876" s="136">
        <f>IF($F876="","",IFERROR(INDEX(사건마스터!$AU$5:$AU$64,MATCH($F876,사건마스터!$A$5:$A$64,0)),""))</f>
        <v/>
      </c>
      <c r="Y876" s="136">
        <f>IF($F876="","",IFERROR(INDEX(사건마스터!$AV$5:$AV$64,MATCH($F876,사건마스터!$A$5:$A$64,0)),""))</f>
        <v/>
      </c>
      <c r="Z876" s="118">
        <f>IF(COUNTBLANK($J876:$Y876)=16,"",16-COUNTBLANK($J876:$Y876))</f>
        <v/>
      </c>
      <c r="AA876" s="33">
        <f>IF($J876="",MID($AX876,3,255),$J876&amp;$AX876)</f>
        <v/>
      </c>
      <c r="AB876" s="130">
        <f>IF($J876="","",IFERROR(INDEX(코드설정!$D$5:$D$24,MATCH($J876,코드설정!$C$5:$C$24,0)),""))</f>
        <v/>
      </c>
      <c r="AC876" s="36" t="n"/>
      <c r="AD876" s="37" t="n"/>
      <c r="AE876" s="38" t="n"/>
      <c r="AF876" s="118">
        <f>IF(OR($B876="",$C876=""),"",$C876-$B876+1)</f>
        <v/>
      </c>
      <c r="AG876" s="74" t="n"/>
      <c r="AH876" s="36" t="n"/>
      <c r="AJ876">
        <f>IF($K876="","",", "&amp;$K876)</f>
        <v/>
      </c>
      <c r="AK876">
        <f>AJ876&amp;IF($L876="","",", "&amp;$L876)</f>
        <v/>
      </c>
      <c r="AL876">
        <f>AK876&amp;IF($M876="","",", "&amp;$M876)</f>
        <v/>
      </c>
      <c r="AM876">
        <f>AL876&amp;IF($N876="","",", "&amp;$N876)</f>
        <v/>
      </c>
      <c r="AN876">
        <f>AM876&amp;IF($O876="","",", "&amp;$O876)</f>
        <v/>
      </c>
      <c r="AO876">
        <f>AN876&amp;IF($P876="","",", "&amp;$P876)</f>
        <v/>
      </c>
      <c r="AP876">
        <f>AO876&amp;IF($Q876="","",", "&amp;$Q876)</f>
        <v/>
      </c>
      <c r="AQ876">
        <f>AP876&amp;IF($R876="","",", "&amp;$R876)</f>
        <v/>
      </c>
      <c r="AR876">
        <f>AQ876&amp;IF($S876="","",", "&amp;$S876)</f>
        <v/>
      </c>
      <c r="AS876">
        <f>AR876&amp;IF($T876="","",", "&amp;$T876)</f>
        <v/>
      </c>
      <c r="AT876">
        <f>AS876&amp;IF($U876="","",", "&amp;$U876)</f>
        <v/>
      </c>
      <c r="AU876">
        <f>AT876&amp;IF($V876="","",", "&amp;$V876)</f>
        <v/>
      </c>
      <c r="AV876">
        <f>AU876&amp;IF($W876="","",", "&amp;$W876)</f>
        <v/>
      </c>
      <c r="AW876">
        <f>AV876&amp;IF($X876="","",", "&amp;$X876)</f>
        <v/>
      </c>
      <c r="AX876">
        <f>AW876&amp;IF($Y876="","",", "&amp;$Y876)</f>
        <v/>
      </c>
    </row>
    <row r="877">
      <c r="A877" s="118">
        <f>IF($B877="","",COUNT($B$5:$B877))</f>
        <v/>
      </c>
      <c r="B877" s="80" t="n"/>
      <c r="C877" s="80" t="n"/>
      <c r="D877" s="74" t="n"/>
      <c r="E877" s="74" t="n"/>
      <c r="F877" s="74" t="n"/>
      <c r="G877" s="118">
        <f>IF($F877="","",COUNTIF($F$5:$F877,$F877))</f>
        <v/>
      </c>
      <c r="H877" s="33">
        <f>IF($F877="","",IFERROR(INDEX(사건마스터!$B$5:$B$64,MATCH($F877,사건마스터!$A$5:$A$64,0)),""))</f>
        <v/>
      </c>
      <c r="I877" s="130">
        <f>IF($F877="","",IFERROR(INDEX(사건마스터!$C$5:$C$64,MATCH($F877,사건마스터!$A$5:$A$64,0)),""))</f>
        <v/>
      </c>
      <c r="J877" s="136">
        <f>IF($F877="","",IFERROR(INDEX(사건마스터!$H$5:$H$64,MATCH($F877,사건마스터!$A$5:$A$64,0)),""))</f>
        <v/>
      </c>
      <c r="K877" s="136">
        <f>IF($F877="","",IFERROR(INDEX(사건마스터!$AH$5:$AH$64,MATCH($F877,사건마스터!$A$5:$A$64,0)),""))</f>
        <v/>
      </c>
      <c r="L877" s="136">
        <f>IF($F877="","",IFERROR(INDEX(사건마스터!$AI$5:$AI$64,MATCH($F877,사건마스터!$A$5:$A$64,0)),""))</f>
        <v/>
      </c>
      <c r="M877" s="136">
        <f>IF($F877="","",IFERROR(INDEX(사건마스터!$AJ$5:$AJ$64,MATCH($F877,사건마스터!$A$5:$A$64,0)),""))</f>
        <v/>
      </c>
      <c r="N877" s="136">
        <f>IF($F877="","",IFERROR(INDEX(사건마스터!$AK$5:$AK$64,MATCH($F877,사건마스터!$A$5:$A$64,0)),""))</f>
        <v/>
      </c>
      <c r="O877" s="136">
        <f>IF($F877="","",IFERROR(INDEX(사건마스터!$AL$5:$AL$64,MATCH($F877,사건마스터!$A$5:$A$64,0)),""))</f>
        <v/>
      </c>
      <c r="P877" s="136">
        <f>IF($F877="","",IFERROR(INDEX(사건마스터!$AM$5:$AM$64,MATCH($F877,사건마스터!$A$5:$A$64,0)),""))</f>
        <v/>
      </c>
      <c r="Q877" s="136">
        <f>IF($F877="","",IFERROR(INDEX(사건마스터!$AN$5:$AN$64,MATCH($F877,사건마스터!$A$5:$A$64,0)),""))</f>
        <v/>
      </c>
      <c r="R877" s="136">
        <f>IF($F877="","",IFERROR(INDEX(사건마스터!$AO$5:$AO$64,MATCH($F877,사건마스터!$A$5:$A$64,0)),""))</f>
        <v/>
      </c>
      <c r="S877" s="136">
        <f>IF($F877="","",IFERROR(INDEX(사건마스터!$AP$5:$AP$64,MATCH($F877,사건마스터!$A$5:$A$64,0)),""))</f>
        <v/>
      </c>
      <c r="T877" s="136">
        <f>IF($F877="","",IFERROR(INDEX(사건마스터!$AQ$5:$AQ$64,MATCH($F877,사건마스터!$A$5:$A$64,0)),""))</f>
        <v/>
      </c>
      <c r="U877" s="136">
        <f>IF($F877="","",IFERROR(INDEX(사건마스터!$AR$5:$AR$64,MATCH($F877,사건마스터!$A$5:$A$64,0)),""))</f>
        <v/>
      </c>
      <c r="V877" s="136">
        <f>IF($F877="","",IFERROR(INDEX(사건마스터!$AS$5:$AS$64,MATCH($F877,사건마스터!$A$5:$A$64,0)),""))</f>
        <v/>
      </c>
      <c r="W877" s="136">
        <f>IF($F877="","",IFERROR(INDEX(사건마스터!$AT$5:$AT$64,MATCH($F877,사건마스터!$A$5:$A$64,0)),""))</f>
        <v/>
      </c>
      <c r="X877" s="136">
        <f>IF($F877="","",IFERROR(INDEX(사건마스터!$AU$5:$AU$64,MATCH($F877,사건마스터!$A$5:$A$64,0)),""))</f>
        <v/>
      </c>
      <c r="Y877" s="136">
        <f>IF($F877="","",IFERROR(INDEX(사건마스터!$AV$5:$AV$64,MATCH($F877,사건마스터!$A$5:$A$64,0)),""))</f>
        <v/>
      </c>
      <c r="Z877" s="118">
        <f>IF(COUNTBLANK($J877:$Y877)=16,"",16-COUNTBLANK($J877:$Y877))</f>
        <v/>
      </c>
      <c r="AA877" s="33">
        <f>IF($J877="",MID($AX877,3,255),$J877&amp;$AX877)</f>
        <v/>
      </c>
      <c r="AB877" s="130">
        <f>IF($J877="","",IFERROR(INDEX(코드설정!$D$5:$D$24,MATCH($J877,코드설정!$C$5:$C$24,0)),""))</f>
        <v/>
      </c>
      <c r="AC877" s="36" t="n"/>
      <c r="AD877" s="37" t="n"/>
      <c r="AE877" s="38" t="n"/>
      <c r="AF877" s="118">
        <f>IF(OR($B877="",$C877=""),"",$C877-$B877+1)</f>
        <v/>
      </c>
      <c r="AG877" s="74" t="n"/>
      <c r="AH877" s="36" t="n"/>
      <c r="AJ877">
        <f>IF($K877="","",", "&amp;$K877)</f>
        <v/>
      </c>
      <c r="AK877">
        <f>AJ877&amp;IF($L877="","",", "&amp;$L877)</f>
        <v/>
      </c>
      <c r="AL877">
        <f>AK877&amp;IF($M877="","",", "&amp;$M877)</f>
        <v/>
      </c>
      <c r="AM877">
        <f>AL877&amp;IF($N877="","",", "&amp;$N877)</f>
        <v/>
      </c>
      <c r="AN877">
        <f>AM877&amp;IF($O877="","",", "&amp;$O877)</f>
        <v/>
      </c>
      <c r="AO877">
        <f>AN877&amp;IF($P877="","",", "&amp;$P877)</f>
        <v/>
      </c>
      <c r="AP877">
        <f>AO877&amp;IF($Q877="","",", "&amp;$Q877)</f>
        <v/>
      </c>
      <c r="AQ877">
        <f>AP877&amp;IF($R877="","",", "&amp;$R877)</f>
        <v/>
      </c>
      <c r="AR877">
        <f>AQ877&amp;IF($S877="","",", "&amp;$S877)</f>
        <v/>
      </c>
      <c r="AS877">
        <f>AR877&amp;IF($T877="","",", "&amp;$T877)</f>
        <v/>
      </c>
      <c r="AT877">
        <f>AS877&amp;IF($U877="","",", "&amp;$U877)</f>
        <v/>
      </c>
      <c r="AU877">
        <f>AT877&amp;IF($V877="","",", "&amp;$V877)</f>
        <v/>
      </c>
      <c r="AV877">
        <f>AU877&amp;IF($W877="","",", "&amp;$W877)</f>
        <v/>
      </c>
      <c r="AW877">
        <f>AV877&amp;IF($X877="","",", "&amp;$X877)</f>
        <v/>
      </c>
      <c r="AX877">
        <f>AW877&amp;IF($Y877="","",", "&amp;$Y877)</f>
        <v/>
      </c>
    </row>
    <row r="878">
      <c r="A878" s="118">
        <f>IF($B878="","",COUNT($B$5:$B878))</f>
        <v/>
      </c>
      <c r="B878" s="80" t="n"/>
      <c r="C878" s="80" t="n"/>
      <c r="D878" s="74" t="n"/>
      <c r="E878" s="74" t="n"/>
      <c r="F878" s="74" t="n"/>
      <c r="G878" s="118">
        <f>IF($F878="","",COUNTIF($F$5:$F878,$F878))</f>
        <v/>
      </c>
      <c r="H878" s="33">
        <f>IF($F878="","",IFERROR(INDEX(사건마스터!$B$5:$B$64,MATCH($F878,사건마스터!$A$5:$A$64,0)),""))</f>
        <v/>
      </c>
      <c r="I878" s="130">
        <f>IF($F878="","",IFERROR(INDEX(사건마스터!$C$5:$C$64,MATCH($F878,사건마스터!$A$5:$A$64,0)),""))</f>
        <v/>
      </c>
      <c r="J878" s="136">
        <f>IF($F878="","",IFERROR(INDEX(사건마스터!$H$5:$H$64,MATCH($F878,사건마스터!$A$5:$A$64,0)),""))</f>
        <v/>
      </c>
      <c r="K878" s="136">
        <f>IF($F878="","",IFERROR(INDEX(사건마스터!$AH$5:$AH$64,MATCH($F878,사건마스터!$A$5:$A$64,0)),""))</f>
        <v/>
      </c>
      <c r="L878" s="136">
        <f>IF($F878="","",IFERROR(INDEX(사건마스터!$AI$5:$AI$64,MATCH($F878,사건마스터!$A$5:$A$64,0)),""))</f>
        <v/>
      </c>
      <c r="M878" s="136">
        <f>IF($F878="","",IFERROR(INDEX(사건마스터!$AJ$5:$AJ$64,MATCH($F878,사건마스터!$A$5:$A$64,0)),""))</f>
        <v/>
      </c>
      <c r="N878" s="136">
        <f>IF($F878="","",IFERROR(INDEX(사건마스터!$AK$5:$AK$64,MATCH($F878,사건마스터!$A$5:$A$64,0)),""))</f>
        <v/>
      </c>
      <c r="O878" s="136">
        <f>IF($F878="","",IFERROR(INDEX(사건마스터!$AL$5:$AL$64,MATCH($F878,사건마스터!$A$5:$A$64,0)),""))</f>
        <v/>
      </c>
      <c r="P878" s="136">
        <f>IF($F878="","",IFERROR(INDEX(사건마스터!$AM$5:$AM$64,MATCH($F878,사건마스터!$A$5:$A$64,0)),""))</f>
        <v/>
      </c>
      <c r="Q878" s="136">
        <f>IF($F878="","",IFERROR(INDEX(사건마스터!$AN$5:$AN$64,MATCH($F878,사건마스터!$A$5:$A$64,0)),""))</f>
        <v/>
      </c>
      <c r="R878" s="136">
        <f>IF($F878="","",IFERROR(INDEX(사건마스터!$AO$5:$AO$64,MATCH($F878,사건마스터!$A$5:$A$64,0)),""))</f>
        <v/>
      </c>
      <c r="S878" s="136">
        <f>IF($F878="","",IFERROR(INDEX(사건마스터!$AP$5:$AP$64,MATCH($F878,사건마스터!$A$5:$A$64,0)),""))</f>
        <v/>
      </c>
      <c r="T878" s="136">
        <f>IF($F878="","",IFERROR(INDEX(사건마스터!$AQ$5:$AQ$64,MATCH($F878,사건마스터!$A$5:$A$64,0)),""))</f>
        <v/>
      </c>
      <c r="U878" s="136">
        <f>IF($F878="","",IFERROR(INDEX(사건마스터!$AR$5:$AR$64,MATCH($F878,사건마스터!$A$5:$A$64,0)),""))</f>
        <v/>
      </c>
      <c r="V878" s="136">
        <f>IF($F878="","",IFERROR(INDEX(사건마스터!$AS$5:$AS$64,MATCH($F878,사건마스터!$A$5:$A$64,0)),""))</f>
        <v/>
      </c>
      <c r="W878" s="136">
        <f>IF($F878="","",IFERROR(INDEX(사건마스터!$AT$5:$AT$64,MATCH($F878,사건마스터!$A$5:$A$64,0)),""))</f>
        <v/>
      </c>
      <c r="X878" s="136">
        <f>IF($F878="","",IFERROR(INDEX(사건마스터!$AU$5:$AU$64,MATCH($F878,사건마스터!$A$5:$A$64,0)),""))</f>
        <v/>
      </c>
      <c r="Y878" s="136">
        <f>IF($F878="","",IFERROR(INDEX(사건마스터!$AV$5:$AV$64,MATCH($F878,사건마스터!$A$5:$A$64,0)),""))</f>
        <v/>
      </c>
      <c r="Z878" s="118">
        <f>IF(COUNTBLANK($J878:$Y878)=16,"",16-COUNTBLANK($J878:$Y878))</f>
        <v/>
      </c>
      <c r="AA878" s="33">
        <f>IF($J878="",MID($AX878,3,255),$J878&amp;$AX878)</f>
        <v/>
      </c>
      <c r="AB878" s="130">
        <f>IF($J878="","",IFERROR(INDEX(코드설정!$D$5:$D$24,MATCH($J878,코드설정!$C$5:$C$24,0)),""))</f>
        <v/>
      </c>
      <c r="AC878" s="36" t="n"/>
      <c r="AD878" s="37" t="n"/>
      <c r="AE878" s="38" t="n"/>
      <c r="AF878" s="118">
        <f>IF(OR($B878="",$C878=""),"",$C878-$B878+1)</f>
        <v/>
      </c>
      <c r="AG878" s="74" t="n"/>
      <c r="AH878" s="36" t="n"/>
      <c r="AJ878">
        <f>IF($K878="","",", "&amp;$K878)</f>
        <v/>
      </c>
      <c r="AK878">
        <f>AJ878&amp;IF($L878="","",", "&amp;$L878)</f>
        <v/>
      </c>
      <c r="AL878">
        <f>AK878&amp;IF($M878="","",", "&amp;$M878)</f>
        <v/>
      </c>
      <c r="AM878">
        <f>AL878&amp;IF($N878="","",", "&amp;$N878)</f>
        <v/>
      </c>
      <c r="AN878">
        <f>AM878&amp;IF($O878="","",", "&amp;$O878)</f>
        <v/>
      </c>
      <c r="AO878">
        <f>AN878&amp;IF($P878="","",", "&amp;$P878)</f>
        <v/>
      </c>
      <c r="AP878">
        <f>AO878&amp;IF($Q878="","",", "&amp;$Q878)</f>
        <v/>
      </c>
      <c r="AQ878">
        <f>AP878&amp;IF($R878="","",", "&amp;$R878)</f>
        <v/>
      </c>
      <c r="AR878">
        <f>AQ878&amp;IF($S878="","",", "&amp;$S878)</f>
        <v/>
      </c>
      <c r="AS878">
        <f>AR878&amp;IF($T878="","",", "&amp;$T878)</f>
        <v/>
      </c>
      <c r="AT878">
        <f>AS878&amp;IF($U878="","",", "&amp;$U878)</f>
        <v/>
      </c>
      <c r="AU878">
        <f>AT878&amp;IF($V878="","",", "&amp;$V878)</f>
        <v/>
      </c>
      <c r="AV878">
        <f>AU878&amp;IF($W878="","",", "&amp;$W878)</f>
        <v/>
      </c>
      <c r="AW878">
        <f>AV878&amp;IF($X878="","",", "&amp;$X878)</f>
        <v/>
      </c>
      <c r="AX878">
        <f>AW878&amp;IF($Y878="","",", "&amp;$Y878)</f>
        <v/>
      </c>
    </row>
    <row r="879">
      <c r="A879" s="118">
        <f>IF($B879="","",COUNT($B$5:$B879))</f>
        <v/>
      </c>
      <c r="B879" s="80" t="n"/>
      <c r="C879" s="80" t="n"/>
      <c r="D879" s="74" t="n"/>
      <c r="E879" s="74" t="n"/>
      <c r="F879" s="74" t="n"/>
      <c r="G879" s="118">
        <f>IF($F879="","",COUNTIF($F$5:$F879,$F879))</f>
        <v/>
      </c>
      <c r="H879" s="33">
        <f>IF($F879="","",IFERROR(INDEX(사건마스터!$B$5:$B$64,MATCH($F879,사건마스터!$A$5:$A$64,0)),""))</f>
        <v/>
      </c>
      <c r="I879" s="130">
        <f>IF($F879="","",IFERROR(INDEX(사건마스터!$C$5:$C$64,MATCH($F879,사건마스터!$A$5:$A$64,0)),""))</f>
        <v/>
      </c>
      <c r="J879" s="136">
        <f>IF($F879="","",IFERROR(INDEX(사건마스터!$H$5:$H$64,MATCH($F879,사건마스터!$A$5:$A$64,0)),""))</f>
        <v/>
      </c>
      <c r="K879" s="136">
        <f>IF($F879="","",IFERROR(INDEX(사건마스터!$AH$5:$AH$64,MATCH($F879,사건마스터!$A$5:$A$64,0)),""))</f>
        <v/>
      </c>
      <c r="L879" s="136">
        <f>IF($F879="","",IFERROR(INDEX(사건마스터!$AI$5:$AI$64,MATCH($F879,사건마스터!$A$5:$A$64,0)),""))</f>
        <v/>
      </c>
      <c r="M879" s="136">
        <f>IF($F879="","",IFERROR(INDEX(사건마스터!$AJ$5:$AJ$64,MATCH($F879,사건마스터!$A$5:$A$64,0)),""))</f>
        <v/>
      </c>
      <c r="N879" s="136">
        <f>IF($F879="","",IFERROR(INDEX(사건마스터!$AK$5:$AK$64,MATCH($F879,사건마스터!$A$5:$A$64,0)),""))</f>
        <v/>
      </c>
      <c r="O879" s="136">
        <f>IF($F879="","",IFERROR(INDEX(사건마스터!$AL$5:$AL$64,MATCH($F879,사건마스터!$A$5:$A$64,0)),""))</f>
        <v/>
      </c>
      <c r="P879" s="136">
        <f>IF($F879="","",IFERROR(INDEX(사건마스터!$AM$5:$AM$64,MATCH($F879,사건마스터!$A$5:$A$64,0)),""))</f>
        <v/>
      </c>
      <c r="Q879" s="136">
        <f>IF($F879="","",IFERROR(INDEX(사건마스터!$AN$5:$AN$64,MATCH($F879,사건마스터!$A$5:$A$64,0)),""))</f>
        <v/>
      </c>
      <c r="R879" s="136">
        <f>IF($F879="","",IFERROR(INDEX(사건마스터!$AO$5:$AO$64,MATCH($F879,사건마스터!$A$5:$A$64,0)),""))</f>
        <v/>
      </c>
      <c r="S879" s="136">
        <f>IF($F879="","",IFERROR(INDEX(사건마스터!$AP$5:$AP$64,MATCH($F879,사건마스터!$A$5:$A$64,0)),""))</f>
        <v/>
      </c>
      <c r="T879" s="136">
        <f>IF($F879="","",IFERROR(INDEX(사건마스터!$AQ$5:$AQ$64,MATCH($F879,사건마스터!$A$5:$A$64,0)),""))</f>
        <v/>
      </c>
      <c r="U879" s="136">
        <f>IF($F879="","",IFERROR(INDEX(사건마스터!$AR$5:$AR$64,MATCH($F879,사건마스터!$A$5:$A$64,0)),""))</f>
        <v/>
      </c>
      <c r="V879" s="136">
        <f>IF($F879="","",IFERROR(INDEX(사건마스터!$AS$5:$AS$64,MATCH($F879,사건마스터!$A$5:$A$64,0)),""))</f>
        <v/>
      </c>
      <c r="W879" s="136">
        <f>IF($F879="","",IFERROR(INDEX(사건마스터!$AT$5:$AT$64,MATCH($F879,사건마스터!$A$5:$A$64,0)),""))</f>
        <v/>
      </c>
      <c r="X879" s="136">
        <f>IF($F879="","",IFERROR(INDEX(사건마스터!$AU$5:$AU$64,MATCH($F879,사건마스터!$A$5:$A$64,0)),""))</f>
        <v/>
      </c>
      <c r="Y879" s="136">
        <f>IF($F879="","",IFERROR(INDEX(사건마스터!$AV$5:$AV$64,MATCH($F879,사건마스터!$A$5:$A$64,0)),""))</f>
        <v/>
      </c>
      <c r="Z879" s="118">
        <f>IF(COUNTBLANK($J879:$Y879)=16,"",16-COUNTBLANK($J879:$Y879))</f>
        <v/>
      </c>
      <c r="AA879" s="33">
        <f>IF($J879="",MID($AX879,3,255),$J879&amp;$AX879)</f>
        <v/>
      </c>
      <c r="AB879" s="130">
        <f>IF($J879="","",IFERROR(INDEX(코드설정!$D$5:$D$24,MATCH($J879,코드설정!$C$5:$C$24,0)),""))</f>
        <v/>
      </c>
      <c r="AC879" s="36" t="n"/>
      <c r="AD879" s="37" t="n"/>
      <c r="AE879" s="38" t="n"/>
      <c r="AF879" s="118">
        <f>IF(OR($B879="",$C879=""),"",$C879-$B879+1)</f>
        <v/>
      </c>
      <c r="AG879" s="74" t="n"/>
      <c r="AH879" s="36" t="n"/>
      <c r="AJ879">
        <f>IF($K879="","",", "&amp;$K879)</f>
        <v/>
      </c>
      <c r="AK879">
        <f>AJ879&amp;IF($L879="","",", "&amp;$L879)</f>
        <v/>
      </c>
      <c r="AL879">
        <f>AK879&amp;IF($M879="","",", "&amp;$M879)</f>
        <v/>
      </c>
      <c r="AM879">
        <f>AL879&amp;IF($N879="","",", "&amp;$N879)</f>
        <v/>
      </c>
      <c r="AN879">
        <f>AM879&amp;IF($O879="","",", "&amp;$O879)</f>
        <v/>
      </c>
      <c r="AO879">
        <f>AN879&amp;IF($P879="","",", "&amp;$P879)</f>
        <v/>
      </c>
      <c r="AP879">
        <f>AO879&amp;IF($Q879="","",", "&amp;$Q879)</f>
        <v/>
      </c>
      <c r="AQ879">
        <f>AP879&amp;IF($R879="","",", "&amp;$R879)</f>
        <v/>
      </c>
      <c r="AR879">
        <f>AQ879&amp;IF($S879="","",", "&amp;$S879)</f>
        <v/>
      </c>
      <c r="AS879">
        <f>AR879&amp;IF($T879="","",", "&amp;$T879)</f>
        <v/>
      </c>
      <c r="AT879">
        <f>AS879&amp;IF($U879="","",", "&amp;$U879)</f>
        <v/>
      </c>
      <c r="AU879">
        <f>AT879&amp;IF($V879="","",", "&amp;$V879)</f>
        <v/>
      </c>
      <c r="AV879">
        <f>AU879&amp;IF($W879="","",", "&amp;$W879)</f>
        <v/>
      </c>
      <c r="AW879">
        <f>AV879&amp;IF($X879="","",", "&amp;$X879)</f>
        <v/>
      </c>
      <c r="AX879">
        <f>AW879&amp;IF($Y879="","",", "&amp;$Y879)</f>
        <v/>
      </c>
    </row>
    <row r="880">
      <c r="A880" s="118">
        <f>IF($B880="","",COUNT($B$5:$B880))</f>
        <v/>
      </c>
      <c r="B880" s="80" t="n"/>
      <c r="C880" s="80" t="n"/>
      <c r="D880" s="74" t="n"/>
      <c r="E880" s="74" t="n"/>
      <c r="F880" s="74" t="n"/>
      <c r="G880" s="118">
        <f>IF($F880="","",COUNTIF($F$5:$F880,$F880))</f>
        <v/>
      </c>
      <c r="H880" s="33">
        <f>IF($F880="","",IFERROR(INDEX(사건마스터!$B$5:$B$64,MATCH($F880,사건마스터!$A$5:$A$64,0)),""))</f>
        <v/>
      </c>
      <c r="I880" s="130">
        <f>IF($F880="","",IFERROR(INDEX(사건마스터!$C$5:$C$64,MATCH($F880,사건마스터!$A$5:$A$64,0)),""))</f>
        <v/>
      </c>
      <c r="J880" s="136">
        <f>IF($F880="","",IFERROR(INDEX(사건마스터!$H$5:$H$64,MATCH($F880,사건마스터!$A$5:$A$64,0)),""))</f>
        <v/>
      </c>
      <c r="K880" s="136">
        <f>IF($F880="","",IFERROR(INDEX(사건마스터!$AH$5:$AH$64,MATCH($F880,사건마스터!$A$5:$A$64,0)),""))</f>
        <v/>
      </c>
      <c r="L880" s="136">
        <f>IF($F880="","",IFERROR(INDEX(사건마스터!$AI$5:$AI$64,MATCH($F880,사건마스터!$A$5:$A$64,0)),""))</f>
        <v/>
      </c>
      <c r="M880" s="136">
        <f>IF($F880="","",IFERROR(INDEX(사건마스터!$AJ$5:$AJ$64,MATCH($F880,사건마스터!$A$5:$A$64,0)),""))</f>
        <v/>
      </c>
      <c r="N880" s="136">
        <f>IF($F880="","",IFERROR(INDEX(사건마스터!$AK$5:$AK$64,MATCH($F880,사건마스터!$A$5:$A$64,0)),""))</f>
        <v/>
      </c>
      <c r="O880" s="136">
        <f>IF($F880="","",IFERROR(INDEX(사건마스터!$AL$5:$AL$64,MATCH($F880,사건마스터!$A$5:$A$64,0)),""))</f>
        <v/>
      </c>
      <c r="P880" s="136">
        <f>IF($F880="","",IFERROR(INDEX(사건마스터!$AM$5:$AM$64,MATCH($F880,사건마스터!$A$5:$A$64,0)),""))</f>
        <v/>
      </c>
      <c r="Q880" s="136">
        <f>IF($F880="","",IFERROR(INDEX(사건마스터!$AN$5:$AN$64,MATCH($F880,사건마스터!$A$5:$A$64,0)),""))</f>
        <v/>
      </c>
      <c r="R880" s="136">
        <f>IF($F880="","",IFERROR(INDEX(사건마스터!$AO$5:$AO$64,MATCH($F880,사건마스터!$A$5:$A$64,0)),""))</f>
        <v/>
      </c>
      <c r="S880" s="136">
        <f>IF($F880="","",IFERROR(INDEX(사건마스터!$AP$5:$AP$64,MATCH($F880,사건마스터!$A$5:$A$64,0)),""))</f>
        <v/>
      </c>
      <c r="T880" s="136">
        <f>IF($F880="","",IFERROR(INDEX(사건마스터!$AQ$5:$AQ$64,MATCH($F880,사건마스터!$A$5:$A$64,0)),""))</f>
        <v/>
      </c>
      <c r="U880" s="136">
        <f>IF($F880="","",IFERROR(INDEX(사건마스터!$AR$5:$AR$64,MATCH($F880,사건마스터!$A$5:$A$64,0)),""))</f>
        <v/>
      </c>
      <c r="V880" s="136">
        <f>IF($F880="","",IFERROR(INDEX(사건마스터!$AS$5:$AS$64,MATCH($F880,사건마스터!$A$5:$A$64,0)),""))</f>
        <v/>
      </c>
      <c r="W880" s="136">
        <f>IF($F880="","",IFERROR(INDEX(사건마스터!$AT$5:$AT$64,MATCH($F880,사건마스터!$A$5:$A$64,0)),""))</f>
        <v/>
      </c>
      <c r="X880" s="136">
        <f>IF($F880="","",IFERROR(INDEX(사건마스터!$AU$5:$AU$64,MATCH($F880,사건마스터!$A$5:$A$64,0)),""))</f>
        <v/>
      </c>
      <c r="Y880" s="136">
        <f>IF($F880="","",IFERROR(INDEX(사건마스터!$AV$5:$AV$64,MATCH($F880,사건마스터!$A$5:$A$64,0)),""))</f>
        <v/>
      </c>
      <c r="Z880" s="118">
        <f>IF(COUNTBLANK($J880:$Y880)=16,"",16-COUNTBLANK($J880:$Y880))</f>
        <v/>
      </c>
      <c r="AA880" s="33">
        <f>IF($J880="",MID($AX880,3,255),$J880&amp;$AX880)</f>
        <v/>
      </c>
      <c r="AB880" s="130">
        <f>IF($J880="","",IFERROR(INDEX(코드설정!$D$5:$D$24,MATCH($J880,코드설정!$C$5:$C$24,0)),""))</f>
        <v/>
      </c>
      <c r="AC880" s="36" t="n"/>
      <c r="AD880" s="37" t="n"/>
      <c r="AE880" s="38" t="n"/>
      <c r="AF880" s="118">
        <f>IF(OR($B880="",$C880=""),"",$C880-$B880+1)</f>
        <v/>
      </c>
      <c r="AG880" s="74" t="n"/>
      <c r="AH880" s="36" t="n"/>
      <c r="AJ880">
        <f>IF($K880="","",", "&amp;$K880)</f>
        <v/>
      </c>
      <c r="AK880">
        <f>AJ880&amp;IF($L880="","",", "&amp;$L880)</f>
        <v/>
      </c>
      <c r="AL880">
        <f>AK880&amp;IF($M880="","",", "&amp;$M880)</f>
        <v/>
      </c>
      <c r="AM880">
        <f>AL880&amp;IF($N880="","",", "&amp;$N880)</f>
        <v/>
      </c>
      <c r="AN880">
        <f>AM880&amp;IF($O880="","",", "&amp;$O880)</f>
        <v/>
      </c>
      <c r="AO880">
        <f>AN880&amp;IF($P880="","",", "&amp;$P880)</f>
        <v/>
      </c>
      <c r="AP880">
        <f>AO880&amp;IF($Q880="","",", "&amp;$Q880)</f>
        <v/>
      </c>
      <c r="AQ880">
        <f>AP880&amp;IF($R880="","",", "&amp;$R880)</f>
        <v/>
      </c>
      <c r="AR880">
        <f>AQ880&amp;IF($S880="","",", "&amp;$S880)</f>
        <v/>
      </c>
      <c r="AS880">
        <f>AR880&amp;IF($T880="","",", "&amp;$T880)</f>
        <v/>
      </c>
      <c r="AT880">
        <f>AS880&amp;IF($U880="","",", "&amp;$U880)</f>
        <v/>
      </c>
      <c r="AU880">
        <f>AT880&amp;IF($V880="","",", "&amp;$V880)</f>
        <v/>
      </c>
      <c r="AV880">
        <f>AU880&amp;IF($W880="","",", "&amp;$W880)</f>
        <v/>
      </c>
      <c r="AW880">
        <f>AV880&amp;IF($X880="","",", "&amp;$X880)</f>
        <v/>
      </c>
      <c r="AX880">
        <f>AW880&amp;IF($Y880="","",", "&amp;$Y880)</f>
        <v/>
      </c>
    </row>
    <row r="881">
      <c r="A881" s="118">
        <f>IF($B881="","",COUNT($B$5:$B881))</f>
        <v/>
      </c>
      <c r="B881" s="80" t="n"/>
      <c r="C881" s="80" t="n"/>
      <c r="D881" s="74" t="n"/>
      <c r="E881" s="74" t="n"/>
      <c r="F881" s="74" t="n"/>
      <c r="G881" s="118">
        <f>IF($F881="","",COUNTIF($F$5:$F881,$F881))</f>
        <v/>
      </c>
      <c r="H881" s="33">
        <f>IF($F881="","",IFERROR(INDEX(사건마스터!$B$5:$B$64,MATCH($F881,사건마스터!$A$5:$A$64,0)),""))</f>
        <v/>
      </c>
      <c r="I881" s="130">
        <f>IF($F881="","",IFERROR(INDEX(사건마스터!$C$5:$C$64,MATCH($F881,사건마스터!$A$5:$A$64,0)),""))</f>
        <v/>
      </c>
      <c r="J881" s="136">
        <f>IF($F881="","",IFERROR(INDEX(사건마스터!$H$5:$H$64,MATCH($F881,사건마스터!$A$5:$A$64,0)),""))</f>
        <v/>
      </c>
      <c r="K881" s="136">
        <f>IF($F881="","",IFERROR(INDEX(사건마스터!$AH$5:$AH$64,MATCH($F881,사건마스터!$A$5:$A$64,0)),""))</f>
        <v/>
      </c>
      <c r="L881" s="136">
        <f>IF($F881="","",IFERROR(INDEX(사건마스터!$AI$5:$AI$64,MATCH($F881,사건마스터!$A$5:$A$64,0)),""))</f>
        <v/>
      </c>
      <c r="M881" s="136">
        <f>IF($F881="","",IFERROR(INDEX(사건마스터!$AJ$5:$AJ$64,MATCH($F881,사건마스터!$A$5:$A$64,0)),""))</f>
        <v/>
      </c>
      <c r="N881" s="136">
        <f>IF($F881="","",IFERROR(INDEX(사건마스터!$AK$5:$AK$64,MATCH($F881,사건마스터!$A$5:$A$64,0)),""))</f>
        <v/>
      </c>
      <c r="O881" s="136">
        <f>IF($F881="","",IFERROR(INDEX(사건마스터!$AL$5:$AL$64,MATCH($F881,사건마스터!$A$5:$A$64,0)),""))</f>
        <v/>
      </c>
      <c r="P881" s="136">
        <f>IF($F881="","",IFERROR(INDEX(사건마스터!$AM$5:$AM$64,MATCH($F881,사건마스터!$A$5:$A$64,0)),""))</f>
        <v/>
      </c>
      <c r="Q881" s="136">
        <f>IF($F881="","",IFERROR(INDEX(사건마스터!$AN$5:$AN$64,MATCH($F881,사건마스터!$A$5:$A$64,0)),""))</f>
        <v/>
      </c>
      <c r="R881" s="136">
        <f>IF($F881="","",IFERROR(INDEX(사건마스터!$AO$5:$AO$64,MATCH($F881,사건마스터!$A$5:$A$64,0)),""))</f>
        <v/>
      </c>
      <c r="S881" s="136">
        <f>IF($F881="","",IFERROR(INDEX(사건마스터!$AP$5:$AP$64,MATCH($F881,사건마스터!$A$5:$A$64,0)),""))</f>
        <v/>
      </c>
      <c r="T881" s="136">
        <f>IF($F881="","",IFERROR(INDEX(사건마스터!$AQ$5:$AQ$64,MATCH($F881,사건마스터!$A$5:$A$64,0)),""))</f>
        <v/>
      </c>
      <c r="U881" s="136">
        <f>IF($F881="","",IFERROR(INDEX(사건마스터!$AR$5:$AR$64,MATCH($F881,사건마스터!$A$5:$A$64,0)),""))</f>
        <v/>
      </c>
      <c r="V881" s="136">
        <f>IF($F881="","",IFERROR(INDEX(사건마스터!$AS$5:$AS$64,MATCH($F881,사건마스터!$A$5:$A$64,0)),""))</f>
        <v/>
      </c>
      <c r="W881" s="136">
        <f>IF($F881="","",IFERROR(INDEX(사건마스터!$AT$5:$AT$64,MATCH($F881,사건마스터!$A$5:$A$64,0)),""))</f>
        <v/>
      </c>
      <c r="X881" s="136">
        <f>IF($F881="","",IFERROR(INDEX(사건마스터!$AU$5:$AU$64,MATCH($F881,사건마스터!$A$5:$A$64,0)),""))</f>
        <v/>
      </c>
      <c r="Y881" s="136">
        <f>IF($F881="","",IFERROR(INDEX(사건마스터!$AV$5:$AV$64,MATCH($F881,사건마스터!$A$5:$A$64,0)),""))</f>
        <v/>
      </c>
      <c r="Z881" s="118">
        <f>IF(COUNTBLANK($J881:$Y881)=16,"",16-COUNTBLANK($J881:$Y881))</f>
        <v/>
      </c>
      <c r="AA881" s="33">
        <f>IF($J881="",MID($AX881,3,255),$J881&amp;$AX881)</f>
        <v/>
      </c>
      <c r="AB881" s="130">
        <f>IF($J881="","",IFERROR(INDEX(코드설정!$D$5:$D$24,MATCH($J881,코드설정!$C$5:$C$24,0)),""))</f>
        <v/>
      </c>
      <c r="AC881" s="36" t="n"/>
      <c r="AD881" s="37" t="n"/>
      <c r="AE881" s="38" t="n"/>
      <c r="AF881" s="118">
        <f>IF(OR($B881="",$C881=""),"",$C881-$B881+1)</f>
        <v/>
      </c>
      <c r="AG881" s="74" t="n"/>
      <c r="AH881" s="36" t="n"/>
      <c r="AJ881">
        <f>IF($K881="","",", "&amp;$K881)</f>
        <v/>
      </c>
      <c r="AK881">
        <f>AJ881&amp;IF($L881="","",", "&amp;$L881)</f>
        <v/>
      </c>
      <c r="AL881">
        <f>AK881&amp;IF($M881="","",", "&amp;$M881)</f>
        <v/>
      </c>
      <c r="AM881">
        <f>AL881&amp;IF($N881="","",", "&amp;$N881)</f>
        <v/>
      </c>
      <c r="AN881">
        <f>AM881&amp;IF($O881="","",", "&amp;$O881)</f>
        <v/>
      </c>
      <c r="AO881">
        <f>AN881&amp;IF($P881="","",", "&amp;$P881)</f>
        <v/>
      </c>
      <c r="AP881">
        <f>AO881&amp;IF($Q881="","",", "&amp;$Q881)</f>
        <v/>
      </c>
      <c r="AQ881">
        <f>AP881&amp;IF($R881="","",", "&amp;$R881)</f>
        <v/>
      </c>
      <c r="AR881">
        <f>AQ881&amp;IF($S881="","",", "&amp;$S881)</f>
        <v/>
      </c>
      <c r="AS881">
        <f>AR881&amp;IF($T881="","",", "&amp;$T881)</f>
        <v/>
      </c>
      <c r="AT881">
        <f>AS881&amp;IF($U881="","",", "&amp;$U881)</f>
        <v/>
      </c>
      <c r="AU881">
        <f>AT881&amp;IF($V881="","",", "&amp;$V881)</f>
        <v/>
      </c>
      <c r="AV881">
        <f>AU881&amp;IF($W881="","",", "&amp;$W881)</f>
        <v/>
      </c>
      <c r="AW881">
        <f>AV881&amp;IF($X881="","",", "&amp;$X881)</f>
        <v/>
      </c>
      <c r="AX881">
        <f>AW881&amp;IF($Y881="","",", "&amp;$Y881)</f>
        <v/>
      </c>
    </row>
    <row r="882">
      <c r="A882" s="118">
        <f>IF($B882="","",COUNT($B$5:$B882))</f>
        <v/>
      </c>
      <c r="B882" s="80" t="n"/>
      <c r="C882" s="80" t="n"/>
      <c r="D882" s="74" t="n"/>
      <c r="E882" s="74" t="n"/>
      <c r="F882" s="74" t="n"/>
      <c r="G882" s="118">
        <f>IF($F882="","",COUNTIF($F$5:$F882,$F882))</f>
        <v/>
      </c>
      <c r="H882" s="33">
        <f>IF($F882="","",IFERROR(INDEX(사건마스터!$B$5:$B$64,MATCH($F882,사건마스터!$A$5:$A$64,0)),""))</f>
        <v/>
      </c>
      <c r="I882" s="130">
        <f>IF($F882="","",IFERROR(INDEX(사건마스터!$C$5:$C$64,MATCH($F882,사건마스터!$A$5:$A$64,0)),""))</f>
        <v/>
      </c>
      <c r="J882" s="136">
        <f>IF($F882="","",IFERROR(INDEX(사건마스터!$H$5:$H$64,MATCH($F882,사건마스터!$A$5:$A$64,0)),""))</f>
        <v/>
      </c>
      <c r="K882" s="136">
        <f>IF($F882="","",IFERROR(INDEX(사건마스터!$AH$5:$AH$64,MATCH($F882,사건마스터!$A$5:$A$64,0)),""))</f>
        <v/>
      </c>
      <c r="L882" s="136">
        <f>IF($F882="","",IFERROR(INDEX(사건마스터!$AI$5:$AI$64,MATCH($F882,사건마스터!$A$5:$A$64,0)),""))</f>
        <v/>
      </c>
      <c r="M882" s="136">
        <f>IF($F882="","",IFERROR(INDEX(사건마스터!$AJ$5:$AJ$64,MATCH($F882,사건마스터!$A$5:$A$64,0)),""))</f>
        <v/>
      </c>
      <c r="N882" s="136">
        <f>IF($F882="","",IFERROR(INDEX(사건마스터!$AK$5:$AK$64,MATCH($F882,사건마스터!$A$5:$A$64,0)),""))</f>
        <v/>
      </c>
      <c r="O882" s="136">
        <f>IF($F882="","",IFERROR(INDEX(사건마스터!$AL$5:$AL$64,MATCH($F882,사건마스터!$A$5:$A$64,0)),""))</f>
        <v/>
      </c>
      <c r="P882" s="136">
        <f>IF($F882="","",IFERROR(INDEX(사건마스터!$AM$5:$AM$64,MATCH($F882,사건마스터!$A$5:$A$64,0)),""))</f>
        <v/>
      </c>
      <c r="Q882" s="136">
        <f>IF($F882="","",IFERROR(INDEX(사건마스터!$AN$5:$AN$64,MATCH($F882,사건마스터!$A$5:$A$64,0)),""))</f>
        <v/>
      </c>
      <c r="R882" s="136">
        <f>IF($F882="","",IFERROR(INDEX(사건마스터!$AO$5:$AO$64,MATCH($F882,사건마스터!$A$5:$A$64,0)),""))</f>
        <v/>
      </c>
      <c r="S882" s="136">
        <f>IF($F882="","",IFERROR(INDEX(사건마스터!$AP$5:$AP$64,MATCH($F882,사건마스터!$A$5:$A$64,0)),""))</f>
        <v/>
      </c>
      <c r="T882" s="136">
        <f>IF($F882="","",IFERROR(INDEX(사건마스터!$AQ$5:$AQ$64,MATCH($F882,사건마스터!$A$5:$A$64,0)),""))</f>
        <v/>
      </c>
      <c r="U882" s="136">
        <f>IF($F882="","",IFERROR(INDEX(사건마스터!$AR$5:$AR$64,MATCH($F882,사건마스터!$A$5:$A$64,0)),""))</f>
        <v/>
      </c>
      <c r="V882" s="136">
        <f>IF($F882="","",IFERROR(INDEX(사건마스터!$AS$5:$AS$64,MATCH($F882,사건마스터!$A$5:$A$64,0)),""))</f>
        <v/>
      </c>
      <c r="W882" s="136">
        <f>IF($F882="","",IFERROR(INDEX(사건마스터!$AT$5:$AT$64,MATCH($F882,사건마스터!$A$5:$A$64,0)),""))</f>
        <v/>
      </c>
      <c r="X882" s="136">
        <f>IF($F882="","",IFERROR(INDEX(사건마스터!$AU$5:$AU$64,MATCH($F882,사건마스터!$A$5:$A$64,0)),""))</f>
        <v/>
      </c>
      <c r="Y882" s="136">
        <f>IF($F882="","",IFERROR(INDEX(사건마스터!$AV$5:$AV$64,MATCH($F882,사건마스터!$A$5:$A$64,0)),""))</f>
        <v/>
      </c>
      <c r="Z882" s="118">
        <f>IF(COUNTBLANK($J882:$Y882)=16,"",16-COUNTBLANK($J882:$Y882))</f>
        <v/>
      </c>
      <c r="AA882" s="33">
        <f>IF($J882="",MID($AX882,3,255),$J882&amp;$AX882)</f>
        <v/>
      </c>
      <c r="AB882" s="130">
        <f>IF($J882="","",IFERROR(INDEX(코드설정!$D$5:$D$24,MATCH($J882,코드설정!$C$5:$C$24,0)),""))</f>
        <v/>
      </c>
      <c r="AC882" s="36" t="n"/>
      <c r="AD882" s="37" t="n"/>
      <c r="AE882" s="38" t="n"/>
      <c r="AF882" s="118">
        <f>IF(OR($B882="",$C882=""),"",$C882-$B882+1)</f>
        <v/>
      </c>
      <c r="AG882" s="74" t="n"/>
      <c r="AH882" s="36" t="n"/>
      <c r="AJ882">
        <f>IF($K882="","",", "&amp;$K882)</f>
        <v/>
      </c>
      <c r="AK882">
        <f>AJ882&amp;IF($L882="","",", "&amp;$L882)</f>
        <v/>
      </c>
      <c r="AL882">
        <f>AK882&amp;IF($M882="","",", "&amp;$M882)</f>
        <v/>
      </c>
      <c r="AM882">
        <f>AL882&amp;IF($N882="","",", "&amp;$N882)</f>
        <v/>
      </c>
      <c r="AN882">
        <f>AM882&amp;IF($O882="","",", "&amp;$O882)</f>
        <v/>
      </c>
      <c r="AO882">
        <f>AN882&amp;IF($P882="","",", "&amp;$P882)</f>
        <v/>
      </c>
      <c r="AP882">
        <f>AO882&amp;IF($Q882="","",", "&amp;$Q882)</f>
        <v/>
      </c>
      <c r="AQ882">
        <f>AP882&amp;IF($R882="","",", "&amp;$R882)</f>
        <v/>
      </c>
      <c r="AR882">
        <f>AQ882&amp;IF($S882="","",", "&amp;$S882)</f>
        <v/>
      </c>
      <c r="AS882">
        <f>AR882&amp;IF($T882="","",", "&amp;$T882)</f>
        <v/>
      </c>
      <c r="AT882">
        <f>AS882&amp;IF($U882="","",", "&amp;$U882)</f>
        <v/>
      </c>
      <c r="AU882">
        <f>AT882&amp;IF($V882="","",", "&amp;$V882)</f>
        <v/>
      </c>
      <c r="AV882">
        <f>AU882&amp;IF($W882="","",", "&amp;$W882)</f>
        <v/>
      </c>
      <c r="AW882">
        <f>AV882&amp;IF($X882="","",", "&amp;$X882)</f>
        <v/>
      </c>
      <c r="AX882">
        <f>AW882&amp;IF($Y882="","",", "&amp;$Y882)</f>
        <v/>
      </c>
    </row>
    <row r="883">
      <c r="A883" s="118">
        <f>IF($B883="","",COUNT($B$5:$B883))</f>
        <v/>
      </c>
      <c r="B883" s="80" t="n"/>
      <c r="C883" s="80" t="n"/>
      <c r="D883" s="74" t="n"/>
      <c r="E883" s="74" t="n"/>
      <c r="F883" s="74" t="n"/>
      <c r="G883" s="118">
        <f>IF($F883="","",COUNTIF($F$5:$F883,$F883))</f>
        <v/>
      </c>
      <c r="H883" s="33">
        <f>IF($F883="","",IFERROR(INDEX(사건마스터!$B$5:$B$64,MATCH($F883,사건마스터!$A$5:$A$64,0)),""))</f>
        <v/>
      </c>
      <c r="I883" s="130">
        <f>IF($F883="","",IFERROR(INDEX(사건마스터!$C$5:$C$64,MATCH($F883,사건마스터!$A$5:$A$64,0)),""))</f>
        <v/>
      </c>
      <c r="J883" s="136">
        <f>IF($F883="","",IFERROR(INDEX(사건마스터!$H$5:$H$64,MATCH($F883,사건마스터!$A$5:$A$64,0)),""))</f>
        <v/>
      </c>
      <c r="K883" s="136">
        <f>IF($F883="","",IFERROR(INDEX(사건마스터!$AH$5:$AH$64,MATCH($F883,사건마스터!$A$5:$A$64,0)),""))</f>
        <v/>
      </c>
      <c r="L883" s="136">
        <f>IF($F883="","",IFERROR(INDEX(사건마스터!$AI$5:$AI$64,MATCH($F883,사건마스터!$A$5:$A$64,0)),""))</f>
        <v/>
      </c>
      <c r="M883" s="136">
        <f>IF($F883="","",IFERROR(INDEX(사건마스터!$AJ$5:$AJ$64,MATCH($F883,사건마스터!$A$5:$A$64,0)),""))</f>
        <v/>
      </c>
      <c r="N883" s="136">
        <f>IF($F883="","",IFERROR(INDEX(사건마스터!$AK$5:$AK$64,MATCH($F883,사건마스터!$A$5:$A$64,0)),""))</f>
        <v/>
      </c>
      <c r="O883" s="136">
        <f>IF($F883="","",IFERROR(INDEX(사건마스터!$AL$5:$AL$64,MATCH($F883,사건마스터!$A$5:$A$64,0)),""))</f>
        <v/>
      </c>
      <c r="P883" s="136">
        <f>IF($F883="","",IFERROR(INDEX(사건마스터!$AM$5:$AM$64,MATCH($F883,사건마스터!$A$5:$A$64,0)),""))</f>
        <v/>
      </c>
      <c r="Q883" s="136">
        <f>IF($F883="","",IFERROR(INDEX(사건마스터!$AN$5:$AN$64,MATCH($F883,사건마스터!$A$5:$A$64,0)),""))</f>
        <v/>
      </c>
      <c r="R883" s="136">
        <f>IF($F883="","",IFERROR(INDEX(사건마스터!$AO$5:$AO$64,MATCH($F883,사건마스터!$A$5:$A$64,0)),""))</f>
        <v/>
      </c>
      <c r="S883" s="136">
        <f>IF($F883="","",IFERROR(INDEX(사건마스터!$AP$5:$AP$64,MATCH($F883,사건마스터!$A$5:$A$64,0)),""))</f>
        <v/>
      </c>
      <c r="T883" s="136">
        <f>IF($F883="","",IFERROR(INDEX(사건마스터!$AQ$5:$AQ$64,MATCH($F883,사건마스터!$A$5:$A$64,0)),""))</f>
        <v/>
      </c>
      <c r="U883" s="136">
        <f>IF($F883="","",IFERROR(INDEX(사건마스터!$AR$5:$AR$64,MATCH($F883,사건마스터!$A$5:$A$64,0)),""))</f>
        <v/>
      </c>
      <c r="V883" s="136">
        <f>IF($F883="","",IFERROR(INDEX(사건마스터!$AS$5:$AS$64,MATCH($F883,사건마스터!$A$5:$A$64,0)),""))</f>
        <v/>
      </c>
      <c r="W883" s="136">
        <f>IF($F883="","",IFERROR(INDEX(사건마스터!$AT$5:$AT$64,MATCH($F883,사건마스터!$A$5:$A$64,0)),""))</f>
        <v/>
      </c>
      <c r="X883" s="136">
        <f>IF($F883="","",IFERROR(INDEX(사건마스터!$AU$5:$AU$64,MATCH($F883,사건마스터!$A$5:$A$64,0)),""))</f>
        <v/>
      </c>
      <c r="Y883" s="136">
        <f>IF($F883="","",IFERROR(INDEX(사건마스터!$AV$5:$AV$64,MATCH($F883,사건마스터!$A$5:$A$64,0)),""))</f>
        <v/>
      </c>
      <c r="Z883" s="118">
        <f>IF(COUNTBLANK($J883:$Y883)=16,"",16-COUNTBLANK($J883:$Y883))</f>
        <v/>
      </c>
      <c r="AA883" s="33">
        <f>IF($J883="",MID($AX883,3,255),$J883&amp;$AX883)</f>
        <v/>
      </c>
      <c r="AB883" s="130">
        <f>IF($J883="","",IFERROR(INDEX(코드설정!$D$5:$D$24,MATCH($J883,코드설정!$C$5:$C$24,0)),""))</f>
        <v/>
      </c>
      <c r="AC883" s="36" t="n"/>
      <c r="AD883" s="37" t="n"/>
      <c r="AE883" s="38" t="n"/>
      <c r="AF883" s="118">
        <f>IF(OR($B883="",$C883=""),"",$C883-$B883+1)</f>
        <v/>
      </c>
      <c r="AG883" s="74" t="n"/>
      <c r="AH883" s="36" t="n"/>
      <c r="AJ883">
        <f>IF($K883="","",", "&amp;$K883)</f>
        <v/>
      </c>
      <c r="AK883">
        <f>AJ883&amp;IF($L883="","",", "&amp;$L883)</f>
        <v/>
      </c>
      <c r="AL883">
        <f>AK883&amp;IF($M883="","",", "&amp;$M883)</f>
        <v/>
      </c>
      <c r="AM883">
        <f>AL883&amp;IF($N883="","",", "&amp;$N883)</f>
        <v/>
      </c>
      <c r="AN883">
        <f>AM883&amp;IF($O883="","",", "&amp;$O883)</f>
        <v/>
      </c>
      <c r="AO883">
        <f>AN883&amp;IF($P883="","",", "&amp;$P883)</f>
        <v/>
      </c>
      <c r="AP883">
        <f>AO883&amp;IF($Q883="","",", "&amp;$Q883)</f>
        <v/>
      </c>
      <c r="AQ883">
        <f>AP883&amp;IF($R883="","",", "&amp;$R883)</f>
        <v/>
      </c>
      <c r="AR883">
        <f>AQ883&amp;IF($S883="","",", "&amp;$S883)</f>
        <v/>
      </c>
      <c r="AS883">
        <f>AR883&amp;IF($T883="","",", "&amp;$T883)</f>
        <v/>
      </c>
      <c r="AT883">
        <f>AS883&amp;IF($U883="","",", "&amp;$U883)</f>
        <v/>
      </c>
      <c r="AU883">
        <f>AT883&amp;IF($V883="","",", "&amp;$V883)</f>
        <v/>
      </c>
      <c r="AV883">
        <f>AU883&amp;IF($W883="","",", "&amp;$W883)</f>
        <v/>
      </c>
      <c r="AW883">
        <f>AV883&amp;IF($X883="","",", "&amp;$X883)</f>
        <v/>
      </c>
      <c r="AX883">
        <f>AW883&amp;IF($Y883="","",", "&amp;$Y883)</f>
        <v/>
      </c>
    </row>
    <row r="884">
      <c r="A884" s="118">
        <f>IF($B884="","",COUNT($B$5:$B884))</f>
        <v/>
      </c>
      <c r="B884" s="80" t="n"/>
      <c r="C884" s="80" t="n"/>
      <c r="D884" s="74" t="n"/>
      <c r="E884" s="74" t="n"/>
      <c r="F884" s="74" t="n"/>
      <c r="G884" s="118">
        <f>IF($F884="","",COUNTIF($F$5:$F884,$F884))</f>
        <v/>
      </c>
      <c r="H884" s="33">
        <f>IF($F884="","",IFERROR(INDEX(사건마스터!$B$5:$B$64,MATCH($F884,사건마스터!$A$5:$A$64,0)),""))</f>
        <v/>
      </c>
      <c r="I884" s="130">
        <f>IF($F884="","",IFERROR(INDEX(사건마스터!$C$5:$C$64,MATCH($F884,사건마스터!$A$5:$A$64,0)),""))</f>
        <v/>
      </c>
      <c r="J884" s="136">
        <f>IF($F884="","",IFERROR(INDEX(사건마스터!$H$5:$H$64,MATCH($F884,사건마스터!$A$5:$A$64,0)),""))</f>
        <v/>
      </c>
      <c r="K884" s="136">
        <f>IF($F884="","",IFERROR(INDEX(사건마스터!$AH$5:$AH$64,MATCH($F884,사건마스터!$A$5:$A$64,0)),""))</f>
        <v/>
      </c>
      <c r="L884" s="136">
        <f>IF($F884="","",IFERROR(INDEX(사건마스터!$AI$5:$AI$64,MATCH($F884,사건마스터!$A$5:$A$64,0)),""))</f>
        <v/>
      </c>
      <c r="M884" s="136">
        <f>IF($F884="","",IFERROR(INDEX(사건마스터!$AJ$5:$AJ$64,MATCH($F884,사건마스터!$A$5:$A$64,0)),""))</f>
        <v/>
      </c>
      <c r="N884" s="136">
        <f>IF($F884="","",IFERROR(INDEX(사건마스터!$AK$5:$AK$64,MATCH($F884,사건마스터!$A$5:$A$64,0)),""))</f>
        <v/>
      </c>
      <c r="O884" s="136">
        <f>IF($F884="","",IFERROR(INDEX(사건마스터!$AL$5:$AL$64,MATCH($F884,사건마스터!$A$5:$A$64,0)),""))</f>
        <v/>
      </c>
      <c r="P884" s="136">
        <f>IF($F884="","",IFERROR(INDEX(사건마스터!$AM$5:$AM$64,MATCH($F884,사건마스터!$A$5:$A$64,0)),""))</f>
        <v/>
      </c>
      <c r="Q884" s="136">
        <f>IF($F884="","",IFERROR(INDEX(사건마스터!$AN$5:$AN$64,MATCH($F884,사건마스터!$A$5:$A$64,0)),""))</f>
        <v/>
      </c>
      <c r="R884" s="136">
        <f>IF($F884="","",IFERROR(INDEX(사건마스터!$AO$5:$AO$64,MATCH($F884,사건마스터!$A$5:$A$64,0)),""))</f>
        <v/>
      </c>
      <c r="S884" s="136">
        <f>IF($F884="","",IFERROR(INDEX(사건마스터!$AP$5:$AP$64,MATCH($F884,사건마스터!$A$5:$A$64,0)),""))</f>
        <v/>
      </c>
      <c r="T884" s="136">
        <f>IF($F884="","",IFERROR(INDEX(사건마스터!$AQ$5:$AQ$64,MATCH($F884,사건마스터!$A$5:$A$64,0)),""))</f>
        <v/>
      </c>
      <c r="U884" s="136">
        <f>IF($F884="","",IFERROR(INDEX(사건마스터!$AR$5:$AR$64,MATCH($F884,사건마스터!$A$5:$A$64,0)),""))</f>
        <v/>
      </c>
      <c r="V884" s="136">
        <f>IF($F884="","",IFERROR(INDEX(사건마스터!$AS$5:$AS$64,MATCH($F884,사건마스터!$A$5:$A$64,0)),""))</f>
        <v/>
      </c>
      <c r="W884" s="136">
        <f>IF($F884="","",IFERROR(INDEX(사건마스터!$AT$5:$AT$64,MATCH($F884,사건마스터!$A$5:$A$64,0)),""))</f>
        <v/>
      </c>
      <c r="X884" s="136">
        <f>IF($F884="","",IFERROR(INDEX(사건마스터!$AU$5:$AU$64,MATCH($F884,사건마스터!$A$5:$A$64,0)),""))</f>
        <v/>
      </c>
      <c r="Y884" s="136">
        <f>IF($F884="","",IFERROR(INDEX(사건마스터!$AV$5:$AV$64,MATCH($F884,사건마스터!$A$5:$A$64,0)),""))</f>
        <v/>
      </c>
      <c r="Z884" s="118">
        <f>IF(COUNTBLANK($J884:$Y884)=16,"",16-COUNTBLANK($J884:$Y884))</f>
        <v/>
      </c>
      <c r="AA884" s="33">
        <f>IF($J884="",MID($AX884,3,255),$J884&amp;$AX884)</f>
        <v/>
      </c>
      <c r="AB884" s="130">
        <f>IF($J884="","",IFERROR(INDEX(코드설정!$D$5:$D$24,MATCH($J884,코드설정!$C$5:$C$24,0)),""))</f>
        <v/>
      </c>
      <c r="AC884" s="36" t="n"/>
      <c r="AD884" s="37" t="n"/>
      <c r="AE884" s="38" t="n"/>
      <c r="AF884" s="118">
        <f>IF(OR($B884="",$C884=""),"",$C884-$B884+1)</f>
        <v/>
      </c>
      <c r="AG884" s="74" t="n"/>
      <c r="AH884" s="36" t="n"/>
      <c r="AJ884">
        <f>IF($K884="","",", "&amp;$K884)</f>
        <v/>
      </c>
      <c r="AK884">
        <f>AJ884&amp;IF($L884="","",", "&amp;$L884)</f>
        <v/>
      </c>
      <c r="AL884">
        <f>AK884&amp;IF($M884="","",", "&amp;$M884)</f>
        <v/>
      </c>
      <c r="AM884">
        <f>AL884&amp;IF($N884="","",", "&amp;$N884)</f>
        <v/>
      </c>
      <c r="AN884">
        <f>AM884&amp;IF($O884="","",", "&amp;$O884)</f>
        <v/>
      </c>
      <c r="AO884">
        <f>AN884&amp;IF($P884="","",", "&amp;$P884)</f>
        <v/>
      </c>
      <c r="AP884">
        <f>AO884&amp;IF($Q884="","",", "&amp;$Q884)</f>
        <v/>
      </c>
      <c r="AQ884">
        <f>AP884&amp;IF($R884="","",", "&amp;$R884)</f>
        <v/>
      </c>
      <c r="AR884">
        <f>AQ884&amp;IF($S884="","",", "&amp;$S884)</f>
        <v/>
      </c>
      <c r="AS884">
        <f>AR884&amp;IF($T884="","",", "&amp;$T884)</f>
        <v/>
      </c>
      <c r="AT884">
        <f>AS884&amp;IF($U884="","",", "&amp;$U884)</f>
        <v/>
      </c>
      <c r="AU884">
        <f>AT884&amp;IF($V884="","",", "&amp;$V884)</f>
        <v/>
      </c>
      <c r="AV884">
        <f>AU884&amp;IF($W884="","",", "&amp;$W884)</f>
        <v/>
      </c>
      <c r="AW884">
        <f>AV884&amp;IF($X884="","",", "&amp;$X884)</f>
        <v/>
      </c>
      <c r="AX884">
        <f>AW884&amp;IF($Y884="","",", "&amp;$Y884)</f>
        <v/>
      </c>
    </row>
    <row r="885">
      <c r="A885" s="118">
        <f>IF($B885="","",COUNT($B$5:$B885))</f>
        <v/>
      </c>
      <c r="B885" s="80" t="n"/>
      <c r="C885" s="80" t="n"/>
      <c r="D885" s="74" t="n"/>
      <c r="E885" s="74" t="n"/>
      <c r="F885" s="74" t="n"/>
      <c r="G885" s="118">
        <f>IF($F885="","",COUNTIF($F$5:$F885,$F885))</f>
        <v/>
      </c>
      <c r="H885" s="33">
        <f>IF($F885="","",IFERROR(INDEX(사건마스터!$B$5:$B$64,MATCH($F885,사건마스터!$A$5:$A$64,0)),""))</f>
        <v/>
      </c>
      <c r="I885" s="130">
        <f>IF($F885="","",IFERROR(INDEX(사건마스터!$C$5:$C$64,MATCH($F885,사건마스터!$A$5:$A$64,0)),""))</f>
        <v/>
      </c>
      <c r="J885" s="136">
        <f>IF($F885="","",IFERROR(INDEX(사건마스터!$H$5:$H$64,MATCH($F885,사건마스터!$A$5:$A$64,0)),""))</f>
        <v/>
      </c>
      <c r="K885" s="136">
        <f>IF($F885="","",IFERROR(INDEX(사건마스터!$AH$5:$AH$64,MATCH($F885,사건마스터!$A$5:$A$64,0)),""))</f>
        <v/>
      </c>
      <c r="L885" s="136">
        <f>IF($F885="","",IFERROR(INDEX(사건마스터!$AI$5:$AI$64,MATCH($F885,사건마스터!$A$5:$A$64,0)),""))</f>
        <v/>
      </c>
      <c r="M885" s="136">
        <f>IF($F885="","",IFERROR(INDEX(사건마스터!$AJ$5:$AJ$64,MATCH($F885,사건마스터!$A$5:$A$64,0)),""))</f>
        <v/>
      </c>
      <c r="N885" s="136">
        <f>IF($F885="","",IFERROR(INDEX(사건마스터!$AK$5:$AK$64,MATCH($F885,사건마스터!$A$5:$A$64,0)),""))</f>
        <v/>
      </c>
      <c r="O885" s="136">
        <f>IF($F885="","",IFERROR(INDEX(사건마스터!$AL$5:$AL$64,MATCH($F885,사건마스터!$A$5:$A$64,0)),""))</f>
        <v/>
      </c>
      <c r="P885" s="136">
        <f>IF($F885="","",IFERROR(INDEX(사건마스터!$AM$5:$AM$64,MATCH($F885,사건마스터!$A$5:$A$64,0)),""))</f>
        <v/>
      </c>
      <c r="Q885" s="136">
        <f>IF($F885="","",IFERROR(INDEX(사건마스터!$AN$5:$AN$64,MATCH($F885,사건마스터!$A$5:$A$64,0)),""))</f>
        <v/>
      </c>
      <c r="R885" s="136">
        <f>IF($F885="","",IFERROR(INDEX(사건마스터!$AO$5:$AO$64,MATCH($F885,사건마스터!$A$5:$A$64,0)),""))</f>
        <v/>
      </c>
      <c r="S885" s="136">
        <f>IF($F885="","",IFERROR(INDEX(사건마스터!$AP$5:$AP$64,MATCH($F885,사건마스터!$A$5:$A$64,0)),""))</f>
        <v/>
      </c>
      <c r="T885" s="136">
        <f>IF($F885="","",IFERROR(INDEX(사건마스터!$AQ$5:$AQ$64,MATCH($F885,사건마스터!$A$5:$A$64,0)),""))</f>
        <v/>
      </c>
      <c r="U885" s="136">
        <f>IF($F885="","",IFERROR(INDEX(사건마스터!$AR$5:$AR$64,MATCH($F885,사건마스터!$A$5:$A$64,0)),""))</f>
        <v/>
      </c>
      <c r="V885" s="136">
        <f>IF($F885="","",IFERROR(INDEX(사건마스터!$AS$5:$AS$64,MATCH($F885,사건마스터!$A$5:$A$64,0)),""))</f>
        <v/>
      </c>
      <c r="W885" s="136">
        <f>IF($F885="","",IFERROR(INDEX(사건마스터!$AT$5:$AT$64,MATCH($F885,사건마스터!$A$5:$A$64,0)),""))</f>
        <v/>
      </c>
      <c r="X885" s="136">
        <f>IF($F885="","",IFERROR(INDEX(사건마스터!$AU$5:$AU$64,MATCH($F885,사건마스터!$A$5:$A$64,0)),""))</f>
        <v/>
      </c>
      <c r="Y885" s="136">
        <f>IF($F885="","",IFERROR(INDEX(사건마스터!$AV$5:$AV$64,MATCH($F885,사건마스터!$A$5:$A$64,0)),""))</f>
        <v/>
      </c>
      <c r="Z885" s="118">
        <f>IF(COUNTBLANK($J885:$Y885)=16,"",16-COUNTBLANK($J885:$Y885))</f>
        <v/>
      </c>
      <c r="AA885" s="33">
        <f>IF($J885="",MID($AX885,3,255),$J885&amp;$AX885)</f>
        <v/>
      </c>
      <c r="AB885" s="130">
        <f>IF($J885="","",IFERROR(INDEX(코드설정!$D$5:$D$24,MATCH($J885,코드설정!$C$5:$C$24,0)),""))</f>
        <v/>
      </c>
      <c r="AC885" s="36" t="n"/>
      <c r="AD885" s="37" t="n"/>
      <c r="AE885" s="38" t="n"/>
      <c r="AF885" s="118">
        <f>IF(OR($B885="",$C885=""),"",$C885-$B885+1)</f>
        <v/>
      </c>
      <c r="AG885" s="74" t="n"/>
      <c r="AH885" s="36" t="n"/>
      <c r="AJ885">
        <f>IF($K885="","",", "&amp;$K885)</f>
        <v/>
      </c>
      <c r="AK885">
        <f>AJ885&amp;IF($L885="","",", "&amp;$L885)</f>
        <v/>
      </c>
      <c r="AL885">
        <f>AK885&amp;IF($M885="","",", "&amp;$M885)</f>
        <v/>
      </c>
      <c r="AM885">
        <f>AL885&amp;IF($N885="","",", "&amp;$N885)</f>
        <v/>
      </c>
      <c r="AN885">
        <f>AM885&amp;IF($O885="","",", "&amp;$O885)</f>
        <v/>
      </c>
      <c r="AO885">
        <f>AN885&amp;IF($P885="","",", "&amp;$P885)</f>
        <v/>
      </c>
      <c r="AP885">
        <f>AO885&amp;IF($Q885="","",", "&amp;$Q885)</f>
        <v/>
      </c>
      <c r="AQ885">
        <f>AP885&amp;IF($R885="","",", "&amp;$R885)</f>
        <v/>
      </c>
      <c r="AR885">
        <f>AQ885&amp;IF($S885="","",", "&amp;$S885)</f>
        <v/>
      </c>
      <c r="AS885">
        <f>AR885&amp;IF($T885="","",", "&amp;$T885)</f>
        <v/>
      </c>
      <c r="AT885">
        <f>AS885&amp;IF($U885="","",", "&amp;$U885)</f>
        <v/>
      </c>
      <c r="AU885">
        <f>AT885&amp;IF($V885="","",", "&amp;$V885)</f>
        <v/>
      </c>
      <c r="AV885">
        <f>AU885&amp;IF($W885="","",", "&amp;$W885)</f>
        <v/>
      </c>
      <c r="AW885">
        <f>AV885&amp;IF($X885="","",", "&amp;$X885)</f>
        <v/>
      </c>
      <c r="AX885">
        <f>AW885&amp;IF($Y885="","",", "&amp;$Y885)</f>
        <v/>
      </c>
    </row>
    <row r="886">
      <c r="A886" s="118">
        <f>IF($B886="","",COUNT($B$5:$B886))</f>
        <v/>
      </c>
      <c r="B886" s="80" t="n"/>
      <c r="C886" s="80" t="n"/>
      <c r="D886" s="74" t="n"/>
      <c r="E886" s="74" t="n"/>
      <c r="F886" s="74" t="n"/>
      <c r="G886" s="118">
        <f>IF($F886="","",COUNTIF($F$5:$F886,$F886))</f>
        <v/>
      </c>
      <c r="H886" s="33">
        <f>IF($F886="","",IFERROR(INDEX(사건마스터!$B$5:$B$64,MATCH($F886,사건마스터!$A$5:$A$64,0)),""))</f>
        <v/>
      </c>
      <c r="I886" s="130">
        <f>IF($F886="","",IFERROR(INDEX(사건마스터!$C$5:$C$64,MATCH($F886,사건마스터!$A$5:$A$64,0)),""))</f>
        <v/>
      </c>
      <c r="J886" s="136">
        <f>IF($F886="","",IFERROR(INDEX(사건마스터!$H$5:$H$64,MATCH($F886,사건마스터!$A$5:$A$64,0)),""))</f>
        <v/>
      </c>
      <c r="K886" s="136">
        <f>IF($F886="","",IFERROR(INDEX(사건마스터!$AH$5:$AH$64,MATCH($F886,사건마스터!$A$5:$A$64,0)),""))</f>
        <v/>
      </c>
      <c r="L886" s="136">
        <f>IF($F886="","",IFERROR(INDEX(사건마스터!$AI$5:$AI$64,MATCH($F886,사건마스터!$A$5:$A$64,0)),""))</f>
        <v/>
      </c>
      <c r="M886" s="136">
        <f>IF($F886="","",IFERROR(INDEX(사건마스터!$AJ$5:$AJ$64,MATCH($F886,사건마스터!$A$5:$A$64,0)),""))</f>
        <v/>
      </c>
      <c r="N886" s="136">
        <f>IF($F886="","",IFERROR(INDEX(사건마스터!$AK$5:$AK$64,MATCH($F886,사건마스터!$A$5:$A$64,0)),""))</f>
        <v/>
      </c>
      <c r="O886" s="136">
        <f>IF($F886="","",IFERROR(INDEX(사건마스터!$AL$5:$AL$64,MATCH($F886,사건마스터!$A$5:$A$64,0)),""))</f>
        <v/>
      </c>
      <c r="P886" s="136">
        <f>IF($F886="","",IFERROR(INDEX(사건마스터!$AM$5:$AM$64,MATCH($F886,사건마스터!$A$5:$A$64,0)),""))</f>
        <v/>
      </c>
      <c r="Q886" s="136">
        <f>IF($F886="","",IFERROR(INDEX(사건마스터!$AN$5:$AN$64,MATCH($F886,사건마스터!$A$5:$A$64,0)),""))</f>
        <v/>
      </c>
      <c r="R886" s="136">
        <f>IF($F886="","",IFERROR(INDEX(사건마스터!$AO$5:$AO$64,MATCH($F886,사건마스터!$A$5:$A$64,0)),""))</f>
        <v/>
      </c>
      <c r="S886" s="136">
        <f>IF($F886="","",IFERROR(INDEX(사건마스터!$AP$5:$AP$64,MATCH($F886,사건마스터!$A$5:$A$64,0)),""))</f>
        <v/>
      </c>
      <c r="T886" s="136">
        <f>IF($F886="","",IFERROR(INDEX(사건마스터!$AQ$5:$AQ$64,MATCH($F886,사건마스터!$A$5:$A$64,0)),""))</f>
        <v/>
      </c>
      <c r="U886" s="136">
        <f>IF($F886="","",IFERROR(INDEX(사건마스터!$AR$5:$AR$64,MATCH($F886,사건마스터!$A$5:$A$64,0)),""))</f>
        <v/>
      </c>
      <c r="V886" s="136">
        <f>IF($F886="","",IFERROR(INDEX(사건마스터!$AS$5:$AS$64,MATCH($F886,사건마스터!$A$5:$A$64,0)),""))</f>
        <v/>
      </c>
      <c r="W886" s="136">
        <f>IF($F886="","",IFERROR(INDEX(사건마스터!$AT$5:$AT$64,MATCH($F886,사건마스터!$A$5:$A$64,0)),""))</f>
        <v/>
      </c>
      <c r="X886" s="136">
        <f>IF($F886="","",IFERROR(INDEX(사건마스터!$AU$5:$AU$64,MATCH($F886,사건마스터!$A$5:$A$64,0)),""))</f>
        <v/>
      </c>
      <c r="Y886" s="136">
        <f>IF($F886="","",IFERROR(INDEX(사건마스터!$AV$5:$AV$64,MATCH($F886,사건마스터!$A$5:$A$64,0)),""))</f>
        <v/>
      </c>
      <c r="Z886" s="118">
        <f>IF(COUNTBLANK($J886:$Y886)=16,"",16-COUNTBLANK($J886:$Y886))</f>
        <v/>
      </c>
      <c r="AA886" s="33">
        <f>IF($J886="",MID($AX886,3,255),$J886&amp;$AX886)</f>
        <v/>
      </c>
      <c r="AB886" s="130">
        <f>IF($J886="","",IFERROR(INDEX(코드설정!$D$5:$D$24,MATCH($J886,코드설정!$C$5:$C$24,0)),""))</f>
        <v/>
      </c>
      <c r="AC886" s="36" t="n"/>
      <c r="AD886" s="37" t="n"/>
      <c r="AE886" s="38" t="n"/>
      <c r="AF886" s="118">
        <f>IF(OR($B886="",$C886=""),"",$C886-$B886+1)</f>
        <v/>
      </c>
      <c r="AG886" s="74" t="n"/>
      <c r="AH886" s="36" t="n"/>
      <c r="AJ886">
        <f>IF($K886="","",", "&amp;$K886)</f>
        <v/>
      </c>
      <c r="AK886">
        <f>AJ886&amp;IF($L886="","",", "&amp;$L886)</f>
        <v/>
      </c>
      <c r="AL886">
        <f>AK886&amp;IF($M886="","",", "&amp;$M886)</f>
        <v/>
      </c>
      <c r="AM886">
        <f>AL886&amp;IF($N886="","",", "&amp;$N886)</f>
        <v/>
      </c>
      <c r="AN886">
        <f>AM886&amp;IF($O886="","",", "&amp;$O886)</f>
        <v/>
      </c>
      <c r="AO886">
        <f>AN886&amp;IF($P886="","",", "&amp;$P886)</f>
        <v/>
      </c>
      <c r="AP886">
        <f>AO886&amp;IF($Q886="","",", "&amp;$Q886)</f>
        <v/>
      </c>
      <c r="AQ886">
        <f>AP886&amp;IF($R886="","",", "&amp;$R886)</f>
        <v/>
      </c>
      <c r="AR886">
        <f>AQ886&amp;IF($S886="","",", "&amp;$S886)</f>
        <v/>
      </c>
      <c r="AS886">
        <f>AR886&amp;IF($T886="","",", "&amp;$T886)</f>
        <v/>
      </c>
      <c r="AT886">
        <f>AS886&amp;IF($U886="","",", "&amp;$U886)</f>
        <v/>
      </c>
      <c r="AU886">
        <f>AT886&amp;IF($V886="","",", "&amp;$V886)</f>
        <v/>
      </c>
      <c r="AV886">
        <f>AU886&amp;IF($W886="","",", "&amp;$W886)</f>
        <v/>
      </c>
      <c r="AW886">
        <f>AV886&amp;IF($X886="","",", "&amp;$X886)</f>
        <v/>
      </c>
      <c r="AX886">
        <f>AW886&amp;IF($Y886="","",", "&amp;$Y886)</f>
        <v/>
      </c>
    </row>
    <row r="887">
      <c r="A887" s="118">
        <f>IF($B887="","",COUNT($B$5:$B887))</f>
        <v/>
      </c>
      <c r="B887" s="80" t="n"/>
      <c r="C887" s="80" t="n"/>
      <c r="D887" s="74" t="n"/>
      <c r="E887" s="74" t="n"/>
      <c r="F887" s="74" t="n"/>
      <c r="G887" s="118">
        <f>IF($F887="","",COUNTIF($F$5:$F887,$F887))</f>
        <v/>
      </c>
      <c r="H887" s="33">
        <f>IF($F887="","",IFERROR(INDEX(사건마스터!$B$5:$B$64,MATCH($F887,사건마스터!$A$5:$A$64,0)),""))</f>
        <v/>
      </c>
      <c r="I887" s="130">
        <f>IF($F887="","",IFERROR(INDEX(사건마스터!$C$5:$C$64,MATCH($F887,사건마스터!$A$5:$A$64,0)),""))</f>
        <v/>
      </c>
      <c r="J887" s="136">
        <f>IF($F887="","",IFERROR(INDEX(사건마스터!$H$5:$H$64,MATCH($F887,사건마스터!$A$5:$A$64,0)),""))</f>
        <v/>
      </c>
      <c r="K887" s="136">
        <f>IF($F887="","",IFERROR(INDEX(사건마스터!$AH$5:$AH$64,MATCH($F887,사건마스터!$A$5:$A$64,0)),""))</f>
        <v/>
      </c>
      <c r="L887" s="136">
        <f>IF($F887="","",IFERROR(INDEX(사건마스터!$AI$5:$AI$64,MATCH($F887,사건마스터!$A$5:$A$64,0)),""))</f>
        <v/>
      </c>
      <c r="M887" s="136">
        <f>IF($F887="","",IFERROR(INDEX(사건마스터!$AJ$5:$AJ$64,MATCH($F887,사건마스터!$A$5:$A$64,0)),""))</f>
        <v/>
      </c>
      <c r="N887" s="136">
        <f>IF($F887="","",IFERROR(INDEX(사건마스터!$AK$5:$AK$64,MATCH($F887,사건마스터!$A$5:$A$64,0)),""))</f>
        <v/>
      </c>
      <c r="O887" s="136">
        <f>IF($F887="","",IFERROR(INDEX(사건마스터!$AL$5:$AL$64,MATCH($F887,사건마스터!$A$5:$A$64,0)),""))</f>
        <v/>
      </c>
      <c r="P887" s="136">
        <f>IF($F887="","",IFERROR(INDEX(사건마스터!$AM$5:$AM$64,MATCH($F887,사건마스터!$A$5:$A$64,0)),""))</f>
        <v/>
      </c>
      <c r="Q887" s="136">
        <f>IF($F887="","",IFERROR(INDEX(사건마스터!$AN$5:$AN$64,MATCH($F887,사건마스터!$A$5:$A$64,0)),""))</f>
        <v/>
      </c>
      <c r="R887" s="136">
        <f>IF($F887="","",IFERROR(INDEX(사건마스터!$AO$5:$AO$64,MATCH($F887,사건마스터!$A$5:$A$64,0)),""))</f>
        <v/>
      </c>
      <c r="S887" s="136">
        <f>IF($F887="","",IFERROR(INDEX(사건마스터!$AP$5:$AP$64,MATCH($F887,사건마스터!$A$5:$A$64,0)),""))</f>
        <v/>
      </c>
      <c r="T887" s="136">
        <f>IF($F887="","",IFERROR(INDEX(사건마스터!$AQ$5:$AQ$64,MATCH($F887,사건마스터!$A$5:$A$64,0)),""))</f>
        <v/>
      </c>
      <c r="U887" s="136">
        <f>IF($F887="","",IFERROR(INDEX(사건마스터!$AR$5:$AR$64,MATCH($F887,사건마스터!$A$5:$A$64,0)),""))</f>
        <v/>
      </c>
      <c r="V887" s="136">
        <f>IF($F887="","",IFERROR(INDEX(사건마스터!$AS$5:$AS$64,MATCH($F887,사건마스터!$A$5:$A$64,0)),""))</f>
        <v/>
      </c>
      <c r="W887" s="136">
        <f>IF($F887="","",IFERROR(INDEX(사건마스터!$AT$5:$AT$64,MATCH($F887,사건마스터!$A$5:$A$64,0)),""))</f>
        <v/>
      </c>
      <c r="X887" s="136">
        <f>IF($F887="","",IFERROR(INDEX(사건마스터!$AU$5:$AU$64,MATCH($F887,사건마스터!$A$5:$A$64,0)),""))</f>
        <v/>
      </c>
      <c r="Y887" s="136">
        <f>IF($F887="","",IFERROR(INDEX(사건마스터!$AV$5:$AV$64,MATCH($F887,사건마스터!$A$5:$A$64,0)),""))</f>
        <v/>
      </c>
      <c r="Z887" s="118">
        <f>IF(COUNTBLANK($J887:$Y887)=16,"",16-COUNTBLANK($J887:$Y887))</f>
        <v/>
      </c>
      <c r="AA887" s="33">
        <f>IF($J887="",MID($AX887,3,255),$J887&amp;$AX887)</f>
        <v/>
      </c>
      <c r="AB887" s="130">
        <f>IF($J887="","",IFERROR(INDEX(코드설정!$D$5:$D$24,MATCH($J887,코드설정!$C$5:$C$24,0)),""))</f>
        <v/>
      </c>
      <c r="AC887" s="36" t="n"/>
      <c r="AD887" s="37" t="n"/>
      <c r="AE887" s="38" t="n"/>
      <c r="AF887" s="118">
        <f>IF(OR($B887="",$C887=""),"",$C887-$B887+1)</f>
        <v/>
      </c>
      <c r="AG887" s="74" t="n"/>
      <c r="AH887" s="36" t="n"/>
      <c r="AJ887">
        <f>IF($K887="","",", "&amp;$K887)</f>
        <v/>
      </c>
      <c r="AK887">
        <f>AJ887&amp;IF($L887="","",", "&amp;$L887)</f>
        <v/>
      </c>
      <c r="AL887">
        <f>AK887&amp;IF($M887="","",", "&amp;$M887)</f>
        <v/>
      </c>
      <c r="AM887">
        <f>AL887&amp;IF($N887="","",", "&amp;$N887)</f>
        <v/>
      </c>
      <c r="AN887">
        <f>AM887&amp;IF($O887="","",", "&amp;$O887)</f>
        <v/>
      </c>
      <c r="AO887">
        <f>AN887&amp;IF($P887="","",", "&amp;$P887)</f>
        <v/>
      </c>
      <c r="AP887">
        <f>AO887&amp;IF($Q887="","",", "&amp;$Q887)</f>
        <v/>
      </c>
      <c r="AQ887">
        <f>AP887&amp;IF($R887="","",", "&amp;$R887)</f>
        <v/>
      </c>
      <c r="AR887">
        <f>AQ887&amp;IF($S887="","",", "&amp;$S887)</f>
        <v/>
      </c>
      <c r="AS887">
        <f>AR887&amp;IF($T887="","",", "&amp;$T887)</f>
        <v/>
      </c>
      <c r="AT887">
        <f>AS887&amp;IF($U887="","",", "&amp;$U887)</f>
        <v/>
      </c>
      <c r="AU887">
        <f>AT887&amp;IF($V887="","",", "&amp;$V887)</f>
        <v/>
      </c>
      <c r="AV887">
        <f>AU887&amp;IF($W887="","",", "&amp;$W887)</f>
        <v/>
      </c>
      <c r="AW887">
        <f>AV887&amp;IF($X887="","",", "&amp;$X887)</f>
        <v/>
      </c>
      <c r="AX887">
        <f>AW887&amp;IF($Y887="","",", "&amp;$Y887)</f>
        <v/>
      </c>
    </row>
    <row r="888">
      <c r="A888" s="118">
        <f>IF($B888="","",COUNT($B$5:$B888))</f>
        <v/>
      </c>
      <c r="B888" s="80" t="n"/>
      <c r="C888" s="80" t="n"/>
      <c r="D888" s="74" t="n"/>
      <c r="E888" s="74" t="n"/>
      <c r="F888" s="74" t="n"/>
      <c r="G888" s="118">
        <f>IF($F888="","",COUNTIF($F$5:$F888,$F888))</f>
        <v/>
      </c>
      <c r="H888" s="33">
        <f>IF($F888="","",IFERROR(INDEX(사건마스터!$B$5:$B$64,MATCH($F888,사건마스터!$A$5:$A$64,0)),""))</f>
        <v/>
      </c>
      <c r="I888" s="130">
        <f>IF($F888="","",IFERROR(INDEX(사건마스터!$C$5:$C$64,MATCH($F888,사건마스터!$A$5:$A$64,0)),""))</f>
        <v/>
      </c>
      <c r="J888" s="136">
        <f>IF($F888="","",IFERROR(INDEX(사건마스터!$H$5:$H$64,MATCH($F888,사건마스터!$A$5:$A$64,0)),""))</f>
        <v/>
      </c>
      <c r="K888" s="136">
        <f>IF($F888="","",IFERROR(INDEX(사건마스터!$AH$5:$AH$64,MATCH($F888,사건마스터!$A$5:$A$64,0)),""))</f>
        <v/>
      </c>
      <c r="L888" s="136">
        <f>IF($F888="","",IFERROR(INDEX(사건마스터!$AI$5:$AI$64,MATCH($F888,사건마스터!$A$5:$A$64,0)),""))</f>
        <v/>
      </c>
      <c r="M888" s="136">
        <f>IF($F888="","",IFERROR(INDEX(사건마스터!$AJ$5:$AJ$64,MATCH($F888,사건마스터!$A$5:$A$64,0)),""))</f>
        <v/>
      </c>
      <c r="N888" s="136">
        <f>IF($F888="","",IFERROR(INDEX(사건마스터!$AK$5:$AK$64,MATCH($F888,사건마스터!$A$5:$A$64,0)),""))</f>
        <v/>
      </c>
      <c r="O888" s="136">
        <f>IF($F888="","",IFERROR(INDEX(사건마스터!$AL$5:$AL$64,MATCH($F888,사건마스터!$A$5:$A$64,0)),""))</f>
        <v/>
      </c>
      <c r="P888" s="136">
        <f>IF($F888="","",IFERROR(INDEX(사건마스터!$AM$5:$AM$64,MATCH($F888,사건마스터!$A$5:$A$64,0)),""))</f>
        <v/>
      </c>
      <c r="Q888" s="136">
        <f>IF($F888="","",IFERROR(INDEX(사건마스터!$AN$5:$AN$64,MATCH($F888,사건마스터!$A$5:$A$64,0)),""))</f>
        <v/>
      </c>
      <c r="R888" s="136">
        <f>IF($F888="","",IFERROR(INDEX(사건마스터!$AO$5:$AO$64,MATCH($F888,사건마스터!$A$5:$A$64,0)),""))</f>
        <v/>
      </c>
      <c r="S888" s="136">
        <f>IF($F888="","",IFERROR(INDEX(사건마스터!$AP$5:$AP$64,MATCH($F888,사건마스터!$A$5:$A$64,0)),""))</f>
        <v/>
      </c>
      <c r="T888" s="136">
        <f>IF($F888="","",IFERROR(INDEX(사건마스터!$AQ$5:$AQ$64,MATCH($F888,사건마스터!$A$5:$A$64,0)),""))</f>
        <v/>
      </c>
      <c r="U888" s="136">
        <f>IF($F888="","",IFERROR(INDEX(사건마스터!$AR$5:$AR$64,MATCH($F888,사건마스터!$A$5:$A$64,0)),""))</f>
        <v/>
      </c>
      <c r="V888" s="136">
        <f>IF($F888="","",IFERROR(INDEX(사건마스터!$AS$5:$AS$64,MATCH($F888,사건마스터!$A$5:$A$64,0)),""))</f>
        <v/>
      </c>
      <c r="W888" s="136">
        <f>IF($F888="","",IFERROR(INDEX(사건마스터!$AT$5:$AT$64,MATCH($F888,사건마스터!$A$5:$A$64,0)),""))</f>
        <v/>
      </c>
      <c r="X888" s="136">
        <f>IF($F888="","",IFERROR(INDEX(사건마스터!$AU$5:$AU$64,MATCH($F888,사건마스터!$A$5:$A$64,0)),""))</f>
        <v/>
      </c>
      <c r="Y888" s="136">
        <f>IF($F888="","",IFERROR(INDEX(사건마스터!$AV$5:$AV$64,MATCH($F888,사건마스터!$A$5:$A$64,0)),""))</f>
        <v/>
      </c>
      <c r="Z888" s="118">
        <f>IF(COUNTBLANK($J888:$Y888)=16,"",16-COUNTBLANK($J888:$Y888))</f>
        <v/>
      </c>
      <c r="AA888" s="33">
        <f>IF($J888="",MID($AX888,3,255),$J888&amp;$AX888)</f>
        <v/>
      </c>
      <c r="AB888" s="130">
        <f>IF($J888="","",IFERROR(INDEX(코드설정!$D$5:$D$24,MATCH($J888,코드설정!$C$5:$C$24,0)),""))</f>
        <v/>
      </c>
      <c r="AC888" s="36" t="n"/>
      <c r="AD888" s="37" t="n"/>
      <c r="AE888" s="38" t="n"/>
      <c r="AF888" s="118">
        <f>IF(OR($B888="",$C888=""),"",$C888-$B888+1)</f>
        <v/>
      </c>
      <c r="AG888" s="74" t="n"/>
      <c r="AH888" s="36" t="n"/>
      <c r="AJ888">
        <f>IF($K888="","",", "&amp;$K888)</f>
        <v/>
      </c>
      <c r="AK888">
        <f>AJ888&amp;IF($L888="","",", "&amp;$L888)</f>
        <v/>
      </c>
      <c r="AL888">
        <f>AK888&amp;IF($M888="","",", "&amp;$M888)</f>
        <v/>
      </c>
      <c r="AM888">
        <f>AL888&amp;IF($N888="","",", "&amp;$N888)</f>
        <v/>
      </c>
      <c r="AN888">
        <f>AM888&amp;IF($O888="","",", "&amp;$O888)</f>
        <v/>
      </c>
      <c r="AO888">
        <f>AN888&amp;IF($P888="","",", "&amp;$P888)</f>
        <v/>
      </c>
      <c r="AP888">
        <f>AO888&amp;IF($Q888="","",", "&amp;$Q888)</f>
        <v/>
      </c>
      <c r="AQ888">
        <f>AP888&amp;IF($R888="","",", "&amp;$R888)</f>
        <v/>
      </c>
      <c r="AR888">
        <f>AQ888&amp;IF($S888="","",", "&amp;$S888)</f>
        <v/>
      </c>
      <c r="AS888">
        <f>AR888&amp;IF($T888="","",", "&amp;$T888)</f>
        <v/>
      </c>
      <c r="AT888">
        <f>AS888&amp;IF($U888="","",", "&amp;$U888)</f>
        <v/>
      </c>
      <c r="AU888">
        <f>AT888&amp;IF($V888="","",", "&amp;$V888)</f>
        <v/>
      </c>
      <c r="AV888">
        <f>AU888&amp;IF($W888="","",", "&amp;$W888)</f>
        <v/>
      </c>
      <c r="AW888">
        <f>AV888&amp;IF($X888="","",", "&amp;$X888)</f>
        <v/>
      </c>
      <c r="AX888">
        <f>AW888&amp;IF($Y888="","",", "&amp;$Y888)</f>
        <v/>
      </c>
    </row>
    <row r="889">
      <c r="A889" s="118">
        <f>IF($B889="","",COUNT($B$5:$B889))</f>
        <v/>
      </c>
      <c r="B889" s="80" t="n"/>
      <c r="C889" s="80" t="n"/>
      <c r="D889" s="74" t="n"/>
      <c r="E889" s="74" t="n"/>
      <c r="F889" s="74" t="n"/>
      <c r="G889" s="118">
        <f>IF($F889="","",COUNTIF($F$5:$F889,$F889))</f>
        <v/>
      </c>
      <c r="H889" s="33">
        <f>IF($F889="","",IFERROR(INDEX(사건마스터!$B$5:$B$64,MATCH($F889,사건마스터!$A$5:$A$64,0)),""))</f>
        <v/>
      </c>
      <c r="I889" s="130">
        <f>IF($F889="","",IFERROR(INDEX(사건마스터!$C$5:$C$64,MATCH($F889,사건마스터!$A$5:$A$64,0)),""))</f>
        <v/>
      </c>
      <c r="J889" s="136">
        <f>IF($F889="","",IFERROR(INDEX(사건마스터!$H$5:$H$64,MATCH($F889,사건마스터!$A$5:$A$64,0)),""))</f>
        <v/>
      </c>
      <c r="K889" s="136">
        <f>IF($F889="","",IFERROR(INDEX(사건마스터!$AH$5:$AH$64,MATCH($F889,사건마스터!$A$5:$A$64,0)),""))</f>
        <v/>
      </c>
      <c r="L889" s="136">
        <f>IF($F889="","",IFERROR(INDEX(사건마스터!$AI$5:$AI$64,MATCH($F889,사건마스터!$A$5:$A$64,0)),""))</f>
        <v/>
      </c>
      <c r="M889" s="136">
        <f>IF($F889="","",IFERROR(INDEX(사건마스터!$AJ$5:$AJ$64,MATCH($F889,사건마스터!$A$5:$A$64,0)),""))</f>
        <v/>
      </c>
      <c r="N889" s="136">
        <f>IF($F889="","",IFERROR(INDEX(사건마스터!$AK$5:$AK$64,MATCH($F889,사건마스터!$A$5:$A$64,0)),""))</f>
        <v/>
      </c>
      <c r="O889" s="136">
        <f>IF($F889="","",IFERROR(INDEX(사건마스터!$AL$5:$AL$64,MATCH($F889,사건마스터!$A$5:$A$64,0)),""))</f>
        <v/>
      </c>
      <c r="P889" s="136">
        <f>IF($F889="","",IFERROR(INDEX(사건마스터!$AM$5:$AM$64,MATCH($F889,사건마스터!$A$5:$A$64,0)),""))</f>
        <v/>
      </c>
      <c r="Q889" s="136">
        <f>IF($F889="","",IFERROR(INDEX(사건마스터!$AN$5:$AN$64,MATCH($F889,사건마스터!$A$5:$A$64,0)),""))</f>
        <v/>
      </c>
      <c r="R889" s="136">
        <f>IF($F889="","",IFERROR(INDEX(사건마스터!$AO$5:$AO$64,MATCH($F889,사건마스터!$A$5:$A$64,0)),""))</f>
        <v/>
      </c>
      <c r="S889" s="136">
        <f>IF($F889="","",IFERROR(INDEX(사건마스터!$AP$5:$AP$64,MATCH($F889,사건마스터!$A$5:$A$64,0)),""))</f>
        <v/>
      </c>
      <c r="T889" s="136">
        <f>IF($F889="","",IFERROR(INDEX(사건마스터!$AQ$5:$AQ$64,MATCH($F889,사건마스터!$A$5:$A$64,0)),""))</f>
        <v/>
      </c>
      <c r="U889" s="136">
        <f>IF($F889="","",IFERROR(INDEX(사건마스터!$AR$5:$AR$64,MATCH($F889,사건마스터!$A$5:$A$64,0)),""))</f>
        <v/>
      </c>
      <c r="V889" s="136">
        <f>IF($F889="","",IFERROR(INDEX(사건마스터!$AS$5:$AS$64,MATCH($F889,사건마스터!$A$5:$A$64,0)),""))</f>
        <v/>
      </c>
      <c r="W889" s="136">
        <f>IF($F889="","",IFERROR(INDEX(사건마스터!$AT$5:$AT$64,MATCH($F889,사건마스터!$A$5:$A$64,0)),""))</f>
        <v/>
      </c>
      <c r="X889" s="136">
        <f>IF($F889="","",IFERROR(INDEX(사건마스터!$AU$5:$AU$64,MATCH($F889,사건마스터!$A$5:$A$64,0)),""))</f>
        <v/>
      </c>
      <c r="Y889" s="136">
        <f>IF($F889="","",IFERROR(INDEX(사건마스터!$AV$5:$AV$64,MATCH($F889,사건마스터!$A$5:$A$64,0)),""))</f>
        <v/>
      </c>
      <c r="Z889" s="118">
        <f>IF(COUNTBLANK($J889:$Y889)=16,"",16-COUNTBLANK($J889:$Y889))</f>
        <v/>
      </c>
      <c r="AA889" s="33">
        <f>IF($J889="",MID($AX889,3,255),$J889&amp;$AX889)</f>
        <v/>
      </c>
      <c r="AB889" s="130">
        <f>IF($J889="","",IFERROR(INDEX(코드설정!$D$5:$D$24,MATCH($J889,코드설정!$C$5:$C$24,0)),""))</f>
        <v/>
      </c>
      <c r="AC889" s="36" t="n"/>
      <c r="AD889" s="37" t="n"/>
      <c r="AE889" s="38" t="n"/>
      <c r="AF889" s="118">
        <f>IF(OR($B889="",$C889=""),"",$C889-$B889+1)</f>
        <v/>
      </c>
      <c r="AG889" s="74" t="n"/>
      <c r="AH889" s="36" t="n"/>
      <c r="AJ889">
        <f>IF($K889="","",", "&amp;$K889)</f>
        <v/>
      </c>
      <c r="AK889">
        <f>AJ889&amp;IF($L889="","",", "&amp;$L889)</f>
        <v/>
      </c>
      <c r="AL889">
        <f>AK889&amp;IF($M889="","",", "&amp;$M889)</f>
        <v/>
      </c>
      <c r="AM889">
        <f>AL889&amp;IF($N889="","",", "&amp;$N889)</f>
        <v/>
      </c>
      <c r="AN889">
        <f>AM889&amp;IF($O889="","",", "&amp;$O889)</f>
        <v/>
      </c>
      <c r="AO889">
        <f>AN889&amp;IF($P889="","",", "&amp;$P889)</f>
        <v/>
      </c>
      <c r="AP889">
        <f>AO889&amp;IF($Q889="","",", "&amp;$Q889)</f>
        <v/>
      </c>
      <c r="AQ889">
        <f>AP889&amp;IF($R889="","",", "&amp;$R889)</f>
        <v/>
      </c>
      <c r="AR889">
        <f>AQ889&amp;IF($S889="","",", "&amp;$S889)</f>
        <v/>
      </c>
      <c r="AS889">
        <f>AR889&amp;IF($T889="","",", "&amp;$T889)</f>
        <v/>
      </c>
      <c r="AT889">
        <f>AS889&amp;IF($U889="","",", "&amp;$U889)</f>
        <v/>
      </c>
      <c r="AU889">
        <f>AT889&amp;IF($V889="","",", "&amp;$V889)</f>
        <v/>
      </c>
      <c r="AV889">
        <f>AU889&amp;IF($W889="","",", "&amp;$W889)</f>
        <v/>
      </c>
      <c r="AW889">
        <f>AV889&amp;IF($X889="","",", "&amp;$X889)</f>
        <v/>
      </c>
      <c r="AX889">
        <f>AW889&amp;IF($Y889="","",", "&amp;$Y889)</f>
        <v/>
      </c>
    </row>
    <row r="890">
      <c r="A890" s="118">
        <f>IF($B890="","",COUNT($B$5:$B890))</f>
        <v/>
      </c>
      <c r="B890" s="80" t="n"/>
      <c r="C890" s="80" t="n"/>
      <c r="D890" s="74" t="n"/>
      <c r="E890" s="74" t="n"/>
      <c r="F890" s="74" t="n"/>
      <c r="G890" s="118">
        <f>IF($F890="","",COUNTIF($F$5:$F890,$F890))</f>
        <v/>
      </c>
      <c r="H890" s="33">
        <f>IF($F890="","",IFERROR(INDEX(사건마스터!$B$5:$B$64,MATCH($F890,사건마스터!$A$5:$A$64,0)),""))</f>
        <v/>
      </c>
      <c r="I890" s="130">
        <f>IF($F890="","",IFERROR(INDEX(사건마스터!$C$5:$C$64,MATCH($F890,사건마스터!$A$5:$A$64,0)),""))</f>
        <v/>
      </c>
      <c r="J890" s="136">
        <f>IF($F890="","",IFERROR(INDEX(사건마스터!$H$5:$H$64,MATCH($F890,사건마스터!$A$5:$A$64,0)),""))</f>
        <v/>
      </c>
      <c r="K890" s="136">
        <f>IF($F890="","",IFERROR(INDEX(사건마스터!$AH$5:$AH$64,MATCH($F890,사건마스터!$A$5:$A$64,0)),""))</f>
        <v/>
      </c>
      <c r="L890" s="136">
        <f>IF($F890="","",IFERROR(INDEX(사건마스터!$AI$5:$AI$64,MATCH($F890,사건마스터!$A$5:$A$64,0)),""))</f>
        <v/>
      </c>
      <c r="M890" s="136">
        <f>IF($F890="","",IFERROR(INDEX(사건마스터!$AJ$5:$AJ$64,MATCH($F890,사건마스터!$A$5:$A$64,0)),""))</f>
        <v/>
      </c>
      <c r="N890" s="136">
        <f>IF($F890="","",IFERROR(INDEX(사건마스터!$AK$5:$AK$64,MATCH($F890,사건마스터!$A$5:$A$64,0)),""))</f>
        <v/>
      </c>
      <c r="O890" s="136">
        <f>IF($F890="","",IFERROR(INDEX(사건마스터!$AL$5:$AL$64,MATCH($F890,사건마스터!$A$5:$A$64,0)),""))</f>
        <v/>
      </c>
      <c r="P890" s="136">
        <f>IF($F890="","",IFERROR(INDEX(사건마스터!$AM$5:$AM$64,MATCH($F890,사건마스터!$A$5:$A$64,0)),""))</f>
        <v/>
      </c>
      <c r="Q890" s="136">
        <f>IF($F890="","",IFERROR(INDEX(사건마스터!$AN$5:$AN$64,MATCH($F890,사건마스터!$A$5:$A$64,0)),""))</f>
        <v/>
      </c>
      <c r="R890" s="136">
        <f>IF($F890="","",IFERROR(INDEX(사건마스터!$AO$5:$AO$64,MATCH($F890,사건마스터!$A$5:$A$64,0)),""))</f>
        <v/>
      </c>
      <c r="S890" s="136">
        <f>IF($F890="","",IFERROR(INDEX(사건마스터!$AP$5:$AP$64,MATCH($F890,사건마스터!$A$5:$A$64,0)),""))</f>
        <v/>
      </c>
      <c r="T890" s="136">
        <f>IF($F890="","",IFERROR(INDEX(사건마스터!$AQ$5:$AQ$64,MATCH($F890,사건마스터!$A$5:$A$64,0)),""))</f>
        <v/>
      </c>
      <c r="U890" s="136">
        <f>IF($F890="","",IFERROR(INDEX(사건마스터!$AR$5:$AR$64,MATCH($F890,사건마스터!$A$5:$A$64,0)),""))</f>
        <v/>
      </c>
      <c r="V890" s="136">
        <f>IF($F890="","",IFERROR(INDEX(사건마스터!$AS$5:$AS$64,MATCH($F890,사건마스터!$A$5:$A$64,0)),""))</f>
        <v/>
      </c>
      <c r="W890" s="136">
        <f>IF($F890="","",IFERROR(INDEX(사건마스터!$AT$5:$AT$64,MATCH($F890,사건마스터!$A$5:$A$64,0)),""))</f>
        <v/>
      </c>
      <c r="X890" s="136">
        <f>IF($F890="","",IFERROR(INDEX(사건마스터!$AU$5:$AU$64,MATCH($F890,사건마스터!$A$5:$A$64,0)),""))</f>
        <v/>
      </c>
      <c r="Y890" s="136">
        <f>IF($F890="","",IFERROR(INDEX(사건마스터!$AV$5:$AV$64,MATCH($F890,사건마스터!$A$5:$A$64,0)),""))</f>
        <v/>
      </c>
      <c r="Z890" s="118">
        <f>IF(COUNTBLANK($J890:$Y890)=16,"",16-COUNTBLANK($J890:$Y890))</f>
        <v/>
      </c>
      <c r="AA890" s="33">
        <f>IF($J890="",MID($AX890,3,255),$J890&amp;$AX890)</f>
        <v/>
      </c>
      <c r="AB890" s="130">
        <f>IF($J890="","",IFERROR(INDEX(코드설정!$D$5:$D$24,MATCH($J890,코드설정!$C$5:$C$24,0)),""))</f>
        <v/>
      </c>
      <c r="AC890" s="36" t="n"/>
      <c r="AD890" s="37" t="n"/>
      <c r="AE890" s="38" t="n"/>
      <c r="AF890" s="118">
        <f>IF(OR($B890="",$C890=""),"",$C890-$B890+1)</f>
        <v/>
      </c>
      <c r="AG890" s="74" t="n"/>
      <c r="AH890" s="36" t="n"/>
      <c r="AJ890">
        <f>IF($K890="","",", "&amp;$K890)</f>
        <v/>
      </c>
      <c r="AK890">
        <f>AJ890&amp;IF($L890="","",", "&amp;$L890)</f>
        <v/>
      </c>
      <c r="AL890">
        <f>AK890&amp;IF($M890="","",", "&amp;$M890)</f>
        <v/>
      </c>
      <c r="AM890">
        <f>AL890&amp;IF($N890="","",", "&amp;$N890)</f>
        <v/>
      </c>
      <c r="AN890">
        <f>AM890&amp;IF($O890="","",", "&amp;$O890)</f>
        <v/>
      </c>
      <c r="AO890">
        <f>AN890&amp;IF($P890="","",", "&amp;$P890)</f>
        <v/>
      </c>
      <c r="AP890">
        <f>AO890&amp;IF($Q890="","",", "&amp;$Q890)</f>
        <v/>
      </c>
      <c r="AQ890">
        <f>AP890&amp;IF($R890="","",", "&amp;$R890)</f>
        <v/>
      </c>
      <c r="AR890">
        <f>AQ890&amp;IF($S890="","",", "&amp;$S890)</f>
        <v/>
      </c>
      <c r="AS890">
        <f>AR890&amp;IF($T890="","",", "&amp;$T890)</f>
        <v/>
      </c>
      <c r="AT890">
        <f>AS890&amp;IF($U890="","",", "&amp;$U890)</f>
        <v/>
      </c>
      <c r="AU890">
        <f>AT890&amp;IF($V890="","",", "&amp;$V890)</f>
        <v/>
      </c>
      <c r="AV890">
        <f>AU890&amp;IF($W890="","",", "&amp;$W890)</f>
        <v/>
      </c>
      <c r="AW890">
        <f>AV890&amp;IF($X890="","",", "&amp;$X890)</f>
        <v/>
      </c>
      <c r="AX890">
        <f>AW890&amp;IF($Y890="","",", "&amp;$Y890)</f>
        <v/>
      </c>
    </row>
    <row r="891">
      <c r="A891" s="118">
        <f>IF($B891="","",COUNT($B$5:$B891))</f>
        <v/>
      </c>
      <c r="B891" s="80" t="n"/>
      <c r="C891" s="80" t="n"/>
      <c r="D891" s="74" t="n"/>
      <c r="E891" s="74" t="n"/>
      <c r="F891" s="74" t="n"/>
      <c r="G891" s="118">
        <f>IF($F891="","",COUNTIF($F$5:$F891,$F891))</f>
        <v/>
      </c>
      <c r="H891" s="33">
        <f>IF($F891="","",IFERROR(INDEX(사건마스터!$B$5:$B$64,MATCH($F891,사건마스터!$A$5:$A$64,0)),""))</f>
        <v/>
      </c>
      <c r="I891" s="130">
        <f>IF($F891="","",IFERROR(INDEX(사건마스터!$C$5:$C$64,MATCH($F891,사건마스터!$A$5:$A$64,0)),""))</f>
        <v/>
      </c>
      <c r="J891" s="136">
        <f>IF($F891="","",IFERROR(INDEX(사건마스터!$H$5:$H$64,MATCH($F891,사건마스터!$A$5:$A$64,0)),""))</f>
        <v/>
      </c>
      <c r="K891" s="136">
        <f>IF($F891="","",IFERROR(INDEX(사건마스터!$AH$5:$AH$64,MATCH($F891,사건마스터!$A$5:$A$64,0)),""))</f>
        <v/>
      </c>
      <c r="L891" s="136">
        <f>IF($F891="","",IFERROR(INDEX(사건마스터!$AI$5:$AI$64,MATCH($F891,사건마스터!$A$5:$A$64,0)),""))</f>
        <v/>
      </c>
      <c r="M891" s="136">
        <f>IF($F891="","",IFERROR(INDEX(사건마스터!$AJ$5:$AJ$64,MATCH($F891,사건마스터!$A$5:$A$64,0)),""))</f>
        <v/>
      </c>
      <c r="N891" s="136">
        <f>IF($F891="","",IFERROR(INDEX(사건마스터!$AK$5:$AK$64,MATCH($F891,사건마스터!$A$5:$A$64,0)),""))</f>
        <v/>
      </c>
      <c r="O891" s="136">
        <f>IF($F891="","",IFERROR(INDEX(사건마스터!$AL$5:$AL$64,MATCH($F891,사건마스터!$A$5:$A$64,0)),""))</f>
        <v/>
      </c>
      <c r="P891" s="136">
        <f>IF($F891="","",IFERROR(INDEX(사건마스터!$AM$5:$AM$64,MATCH($F891,사건마스터!$A$5:$A$64,0)),""))</f>
        <v/>
      </c>
      <c r="Q891" s="136">
        <f>IF($F891="","",IFERROR(INDEX(사건마스터!$AN$5:$AN$64,MATCH($F891,사건마스터!$A$5:$A$64,0)),""))</f>
        <v/>
      </c>
      <c r="R891" s="136">
        <f>IF($F891="","",IFERROR(INDEX(사건마스터!$AO$5:$AO$64,MATCH($F891,사건마스터!$A$5:$A$64,0)),""))</f>
        <v/>
      </c>
      <c r="S891" s="136">
        <f>IF($F891="","",IFERROR(INDEX(사건마스터!$AP$5:$AP$64,MATCH($F891,사건마스터!$A$5:$A$64,0)),""))</f>
        <v/>
      </c>
      <c r="T891" s="136">
        <f>IF($F891="","",IFERROR(INDEX(사건마스터!$AQ$5:$AQ$64,MATCH($F891,사건마스터!$A$5:$A$64,0)),""))</f>
        <v/>
      </c>
      <c r="U891" s="136">
        <f>IF($F891="","",IFERROR(INDEX(사건마스터!$AR$5:$AR$64,MATCH($F891,사건마스터!$A$5:$A$64,0)),""))</f>
        <v/>
      </c>
      <c r="V891" s="136">
        <f>IF($F891="","",IFERROR(INDEX(사건마스터!$AS$5:$AS$64,MATCH($F891,사건마스터!$A$5:$A$64,0)),""))</f>
        <v/>
      </c>
      <c r="W891" s="136">
        <f>IF($F891="","",IFERROR(INDEX(사건마스터!$AT$5:$AT$64,MATCH($F891,사건마스터!$A$5:$A$64,0)),""))</f>
        <v/>
      </c>
      <c r="X891" s="136">
        <f>IF($F891="","",IFERROR(INDEX(사건마스터!$AU$5:$AU$64,MATCH($F891,사건마스터!$A$5:$A$64,0)),""))</f>
        <v/>
      </c>
      <c r="Y891" s="136">
        <f>IF($F891="","",IFERROR(INDEX(사건마스터!$AV$5:$AV$64,MATCH($F891,사건마스터!$A$5:$A$64,0)),""))</f>
        <v/>
      </c>
      <c r="Z891" s="118">
        <f>IF(COUNTBLANK($J891:$Y891)=16,"",16-COUNTBLANK($J891:$Y891))</f>
        <v/>
      </c>
      <c r="AA891" s="33">
        <f>IF($J891="",MID($AX891,3,255),$J891&amp;$AX891)</f>
        <v/>
      </c>
      <c r="AB891" s="130">
        <f>IF($J891="","",IFERROR(INDEX(코드설정!$D$5:$D$24,MATCH($J891,코드설정!$C$5:$C$24,0)),""))</f>
        <v/>
      </c>
      <c r="AC891" s="36" t="n"/>
      <c r="AD891" s="37" t="n"/>
      <c r="AE891" s="38" t="n"/>
      <c r="AF891" s="118">
        <f>IF(OR($B891="",$C891=""),"",$C891-$B891+1)</f>
        <v/>
      </c>
      <c r="AG891" s="74" t="n"/>
      <c r="AH891" s="36" t="n"/>
      <c r="AJ891">
        <f>IF($K891="","",", "&amp;$K891)</f>
        <v/>
      </c>
      <c r="AK891">
        <f>AJ891&amp;IF($L891="","",", "&amp;$L891)</f>
        <v/>
      </c>
      <c r="AL891">
        <f>AK891&amp;IF($M891="","",", "&amp;$M891)</f>
        <v/>
      </c>
      <c r="AM891">
        <f>AL891&amp;IF($N891="","",", "&amp;$N891)</f>
        <v/>
      </c>
      <c r="AN891">
        <f>AM891&amp;IF($O891="","",", "&amp;$O891)</f>
        <v/>
      </c>
      <c r="AO891">
        <f>AN891&amp;IF($P891="","",", "&amp;$P891)</f>
        <v/>
      </c>
      <c r="AP891">
        <f>AO891&amp;IF($Q891="","",", "&amp;$Q891)</f>
        <v/>
      </c>
      <c r="AQ891">
        <f>AP891&amp;IF($R891="","",", "&amp;$R891)</f>
        <v/>
      </c>
      <c r="AR891">
        <f>AQ891&amp;IF($S891="","",", "&amp;$S891)</f>
        <v/>
      </c>
      <c r="AS891">
        <f>AR891&amp;IF($T891="","",", "&amp;$T891)</f>
        <v/>
      </c>
      <c r="AT891">
        <f>AS891&amp;IF($U891="","",", "&amp;$U891)</f>
        <v/>
      </c>
      <c r="AU891">
        <f>AT891&amp;IF($V891="","",", "&amp;$V891)</f>
        <v/>
      </c>
      <c r="AV891">
        <f>AU891&amp;IF($W891="","",", "&amp;$W891)</f>
        <v/>
      </c>
      <c r="AW891">
        <f>AV891&amp;IF($X891="","",", "&amp;$X891)</f>
        <v/>
      </c>
      <c r="AX891">
        <f>AW891&amp;IF($Y891="","",", "&amp;$Y891)</f>
        <v/>
      </c>
    </row>
    <row r="892">
      <c r="A892" s="118">
        <f>IF($B892="","",COUNT($B$5:$B892))</f>
        <v/>
      </c>
      <c r="B892" s="80" t="n"/>
      <c r="C892" s="80" t="n"/>
      <c r="D892" s="74" t="n"/>
      <c r="E892" s="74" t="n"/>
      <c r="F892" s="74" t="n"/>
      <c r="G892" s="118">
        <f>IF($F892="","",COUNTIF($F$5:$F892,$F892))</f>
        <v/>
      </c>
      <c r="H892" s="33">
        <f>IF($F892="","",IFERROR(INDEX(사건마스터!$B$5:$B$64,MATCH($F892,사건마스터!$A$5:$A$64,0)),""))</f>
        <v/>
      </c>
      <c r="I892" s="130">
        <f>IF($F892="","",IFERROR(INDEX(사건마스터!$C$5:$C$64,MATCH($F892,사건마스터!$A$5:$A$64,0)),""))</f>
        <v/>
      </c>
      <c r="J892" s="136">
        <f>IF($F892="","",IFERROR(INDEX(사건마스터!$H$5:$H$64,MATCH($F892,사건마스터!$A$5:$A$64,0)),""))</f>
        <v/>
      </c>
      <c r="K892" s="136">
        <f>IF($F892="","",IFERROR(INDEX(사건마스터!$AH$5:$AH$64,MATCH($F892,사건마스터!$A$5:$A$64,0)),""))</f>
        <v/>
      </c>
      <c r="L892" s="136">
        <f>IF($F892="","",IFERROR(INDEX(사건마스터!$AI$5:$AI$64,MATCH($F892,사건마스터!$A$5:$A$64,0)),""))</f>
        <v/>
      </c>
      <c r="M892" s="136">
        <f>IF($F892="","",IFERROR(INDEX(사건마스터!$AJ$5:$AJ$64,MATCH($F892,사건마스터!$A$5:$A$64,0)),""))</f>
        <v/>
      </c>
      <c r="N892" s="136">
        <f>IF($F892="","",IFERROR(INDEX(사건마스터!$AK$5:$AK$64,MATCH($F892,사건마스터!$A$5:$A$64,0)),""))</f>
        <v/>
      </c>
      <c r="O892" s="136">
        <f>IF($F892="","",IFERROR(INDEX(사건마스터!$AL$5:$AL$64,MATCH($F892,사건마스터!$A$5:$A$64,0)),""))</f>
        <v/>
      </c>
      <c r="P892" s="136">
        <f>IF($F892="","",IFERROR(INDEX(사건마스터!$AM$5:$AM$64,MATCH($F892,사건마스터!$A$5:$A$64,0)),""))</f>
        <v/>
      </c>
      <c r="Q892" s="136">
        <f>IF($F892="","",IFERROR(INDEX(사건마스터!$AN$5:$AN$64,MATCH($F892,사건마스터!$A$5:$A$64,0)),""))</f>
        <v/>
      </c>
      <c r="R892" s="136">
        <f>IF($F892="","",IFERROR(INDEX(사건마스터!$AO$5:$AO$64,MATCH($F892,사건마스터!$A$5:$A$64,0)),""))</f>
        <v/>
      </c>
      <c r="S892" s="136">
        <f>IF($F892="","",IFERROR(INDEX(사건마스터!$AP$5:$AP$64,MATCH($F892,사건마스터!$A$5:$A$64,0)),""))</f>
        <v/>
      </c>
      <c r="T892" s="136">
        <f>IF($F892="","",IFERROR(INDEX(사건마스터!$AQ$5:$AQ$64,MATCH($F892,사건마스터!$A$5:$A$64,0)),""))</f>
        <v/>
      </c>
      <c r="U892" s="136">
        <f>IF($F892="","",IFERROR(INDEX(사건마스터!$AR$5:$AR$64,MATCH($F892,사건마스터!$A$5:$A$64,0)),""))</f>
        <v/>
      </c>
      <c r="V892" s="136">
        <f>IF($F892="","",IFERROR(INDEX(사건마스터!$AS$5:$AS$64,MATCH($F892,사건마스터!$A$5:$A$64,0)),""))</f>
        <v/>
      </c>
      <c r="W892" s="136">
        <f>IF($F892="","",IFERROR(INDEX(사건마스터!$AT$5:$AT$64,MATCH($F892,사건마스터!$A$5:$A$64,0)),""))</f>
        <v/>
      </c>
      <c r="X892" s="136">
        <f>IF($F892="","",IFERROR(INDEX(사건마스터!$AU$5:$AU$64,MATCH($F892,사건마스터!$A$5:$A$64,0)),""))</f>
        <v/>
      </c>
      <c r="Y892" s="136">
        <f>IF($F892="","",IFERROR(INDEX(사건마스터!$AV$5:$AV$64,MATCH($F892,사건마스터!$A$5:$A$64,0)),""))</f>
        <v/>
      </c>
      <c r="Z892" s="118">
        <f>IF(COUNTBLANK($J892:$Y892)=16,"",16-COUNTBLANK($J892:$Y892))</f>
        <v/>
      </c>
      <c r="AA892" s="33">
        <f>IF($J892="",MID($AX892,3,255),$J892&amp;$AX892)</f>
        <v/>
      </c>
      <c r="AB892" s="130">
        <f>IF($J892="","",IFERROR(INDEX(코드설정!$D$5:$D$24,MATCH($J892,코드설정!$C$5:$C$24,0)),""))</f>
        <v/>
      </c>
      <c r="AC892" s="36" t="n"/>
      <c r="AD892" s="37" t="n"/>
      <c r="AE892" s="38" t="n"/>
      <c r="AF892" s="118">
        <f>IF(OR($B892="",$C892=""),"",$C892-$B892+1)</f>
        <v/>
      </c>
      <c r="AG892" s="74" t="n"/>
      <c r="AH892" s="36" t="n"/>
      <c r="AJ892">
        <f>IF($K892="","",", "&amp;$K892)</f>
        <v/>
      </c>
      <c r="AK892">
        <f>AJ892&amp;IF($L892="","",", "&amp;$L892)</f>
        <v/>
      </c>
      <c r="AL892">
        <f>AK892&amp;IF($M892="","",", "&amp;$M892)</f>
        <v/>
      </c>
      <c r="AM892">
        <f>AL892&amp;IF($N892="","",", "&amp;$N892)</f>
        <v/>
      </c>
      <c r="AN892">
        <f>AM892&amp;IF($O892="","",", "&amp;$O892)</f>
        <v/>
      </c>
      <c r="AO892">
        <f>AN892&amp;IF($P892="","",", "&amp;$P892)</f>
        <v/>
      </c>
      <c r="AP892">
        <f>AO892&amp;IF($Q892="","",", "&amp;$Q892)</f>
        <v/>
      </c>
      <c r="AQ892">
        <f>AP892&amp;IF($R892="","",", "&amp;$R892)</f>
        <v/>
      </c>
      <c r="AR892">
        <f>AQ892&amp;IF($S892="","",", "&amp;$S892)</f>
        <v/>
      </c>
      <c r="AS892">
        <f>AR892&amp;IF($T892="","",", "&amp;$T892)</f>
        <v/>
      </c>
      <c r="AT892">
        <f>AS892&amp;IF($U892="","",", "&amp;$U892)</f>
        <v/>
      </c>
      <c r="AU892">
        <f>AT892&amp;IF($V892="","",", "&amp;$V892)</f>
        <v/>
      </c>
      <c r="AV892">
        <f>AU892&amp;IF($W892="","",", "&amp;$W892)</f>
        <v/>
      </c>
      <c r="AW892">
        <f>AV892&amp;IF($X892="","",", "&amp;$X892)</f>
        <v/>
      </c>
      <c r="AX892">
        <f>AW892&amp;IF($Y892="","",", "&amp;$Y892)</f>
        <v/>
      </c>
    </row>
    <row r="893">
      <c r="A893" s="118">
        <f>IF($B893="","",COUNT($B$5:$B893))</f>
        <v/>
      </c>
      <c r="B893" s="80" t="n"/>
      <c r="C893" s="80" t="n"/>
      <c r="D893" s="74" t="n"/>
      <c r="E893" s="74" t="n"/>
      <c r="F893" s="74" t="n"/>
      <c r="G893" s="118">
        <f>IF($F893="","",COUNTIF($F$5:$F893,$F893))</f>
        <v/>
      </c>
      <c r="H893" s="33">
        <f>IF($F893="","",IFERROR(INDEX(사건마스터!$B$5:$B$64,MATCH($F893,사건마스터!$A$5:$A$64,0)),""))</f>
        <v/>
      </c>
      <c r="I893" s="130">
        <f>IF($F893="","",IFERROR(INDEX(사건마스터!$C$5:$C$64,MATCH($F893,사건마스터!$A$5:$A$64,0)),""))</f>
        <v/>
      </c>
      <c r="J893" s="136">
        <f>IF($F893="","",IFERROR(INDEX(사건마스터!$H$5:$H$64,MATCH($F893,사건마스터!$A$5:$A$64,0)),""))</f>
        <v/>
      </c>
      <c r="K893" s="136">
        <f>IF($F893="","",IFERROR(INDEX(사건마스터!$AH$5:$AH$64,MATCH($F893,사건마스터!$A$5:$A$64,0)),""))</f>
        <v/>
      </c>
      <c r="L893" s="136">
        <f>IF($F893="","",IFERROR(INDEX(사건마스터!$AI$5:$AI$64,MATCH($F893,사건마스터!$A$5:$A$64,0)),""))</f>
        <v/>
      </c>
      <c r="M893" s="136">
        <f>IF($F893="","",IFERROR(INDEX(사건마스터!$AJ$5:$AJ$64,MATCH($F893,사건마스터!$A$5:$A$64,0)),""))</f>
        <v/>
      </c>
      <c r="N893" s="136">
        <f>IF($F893="","",IFERROR(INDEX(사건마스터!$AK$5:$AK$64,MATCH($F893,사건마스터!$A$5:$A$64,0)),""))</f>
        <v/>
      </c>
      <c r="O893" s="136">
        <f>IF($F893="","",IFERROR(INDEX(사건마스터!$AL$5:$AL$64,MATCH($F893,사건마스터!$A$5:$A$64,0)),""))</f>
        <v/>
      </c>
      <c r="P893" s="136">
        <f>IF($F893="","",IFERROR(INDEX(사건마스터!$AM$5:$AM$64,MATCH($F893,사건마스터!$A$5:$A$64,0)),""))</f>
        <v/>
      </c>
      <c r="Q893" s="136">
        <f>IF($F893="","",IFERROR(INDEX(사건마스터!$AN$5:$AN$64,MATCH($F893,사건마스터!$A$5:$A$64,0)),""))</f>
        <v/>
      </c>
      <c r="R893" s="136">
        <f>IF($F893="","",IFERROR(INDEX(사건마스터!$AO$5:$AO$64,MATCH($F893,사건마스터!$A$5:$A$64,0)),""))</f>
        <v/>
      </c>
      <c r="S893" s="136">
        <f>IF($F893="","",IFERROR(INDEX(사건마스터!$AP$5:$AP$64,MATCH($F893,사건마스터!$A$5:$A$64,0)),""))</f>
        <v/>
      </c>
      <c r="T893" s="136">
        <f>IF($F893="","",IFERROR(INDEX(사건마스터!$AQ$5:$AQ$64,MATCH($F893,사건마스터!$A$5:$A$64,0)),""))</f>
        <v/>
      </c>
      <c r="U893" s="136">
        <f>IF($F893="","",IFERROR(INDEX(사건마스터!$AR$5:$AR$64,MATCH($F893,사건마스터!$A$5:$A$64,0)),""))</f>
        <v/>
      </c>
      <c r="V893" s="136">
        <f>IF($F893="","",IFERROR(INDEX(사건마스터!$AS$5:$AS$64,MATCH($F893,사건마스터!$A$5:$A$64,0)),""))</f>
        <v/>
      </c>
      <c r="W893" s="136">
        <f>IF($F893="","",IFERROR(INDEX(사건마스터!$AT$5:$AT$64,MATCH($F893,사건마스터!$A$5:$A$64,0)),""))</f>
        <v/>
      </c>
      <c r="X893" s="136">
        <f>IF($F893="","",IFERROR(INDEX(사건마스터!$AU$5:$AU$64,MATCH($F893,사건마스터!$A$5:$A$64,0)),""))</f>
        <v/>
      </c>
      <c r="Y893" s="136">
        <f>IF($F893="","",IFERROR(INDEX(사건마스터!$AV$5:$AV$64,MATCH($F893,사건마스터!$A$5:$A$64,0)),""))</f>
        <v/>
      </c>
      <c r="Z893" s="118">
        <f>IF(COUNTBLANK($J893:$Y893)=16,"",16-COUNTBLANK($J893:$Y893))</f>
        <v/>
      </c>
      <c r="AA893" s="33">
        <f>IF($J893="",MID($AX893,3,255),$J893&amp;$AX893)</f>
        <v/>
      </c>
      <c r="AB893" s="130">
        <f>IF($J893="","",IFERROR(INDEX(코드설정!$D$5:$D$24,MATCH($J893,코드설정!$C$5:$C$24,0)),""))</f>
        <v/>
      </c>
      <c r="AC893" s="36" t="n"/>
      <c r="AD893" s="37" t="n"/>
      <c r="AE893" s="38" t="n"/>
      <c r="AF893" s="118">
        <f>IF(OR($B893="",$C893=""),"",$C893-$B893+1)</f>
        <v/>
      </c>
      <c r="AG893" s="74" t="n"/>
      <c r="AH893" s="36" t="n"/>
      <c r="AJ893">
        <f>IF($K893="","",", "&amp;$K893)</f>
        <v/>
      </c>
      <c r="AK893">
        <f>AJ893&amp;IF($L893="","",", "&amp;$L893)</f>
        <v/>
      </c>
      <c r="AL893">
        <f>AK893&amp;IF($M893="","",", "&amp;$M893)</f>
        <v/>
      </c>
      <c r="AM893">
        <f>AL893&amp;IF($N893="","",", "&amp;$N893)</f>
        <v/>
      </c>
      <c r="AN893">
        <f>AM893&amp;IF($O893="","",", "&amp;$O893)</f>
        <v/>
      </c>
      <c r="AO893">
        <f>AN893&amp;IF($P893="","",", "&amp;$P893)</f>
        <v/>
      </c>
      <c r="AP893">
        <f>AO893&amp;IF($Q893="","",", "&amp;$Q893)</f>
        <v/>
      </c>
      <c r="AQ893">
        <f>AP893&amp;IF($R893="","",", "&amp;$R893)</f>
        <v/>
      </c>
      <c r="AR893">
        <f>AQ893&amp;IF($S893="","",", "&amp;$S893)</f>
        <v/>
      </c>
      <c r="AS893">
        <f>AR893&amp;IF($T893="","",", "&amp;$T893)</f>
        <v/>
      </c>
      <c r="AT893">
        <f>AS893&amp;IF($U893="","",", "&amp;$U893)</f>
        <v/>
      </c>
      <c r="AU893">
        <f>AT893&amp;IF($V893="","",", "&amp;$V893)</f>
        <v/>
      </c>
      <c r="AV893">
        <f>AU893&amp;IF($W893="","",", "&amp;$W893)</f>
        <v/>
      </c>
      <c r="AW893">
        <f>AV893&amp;IF($X893="","",", "&amp;$X893)</f>
        <v/>
      </c>
      <c r="AX893">
        <f>AW893&amp;IF($Y893="","",", "&amp;$Y893)</f>
        <v/>
      </c>
    </row>
    <row r="894">
      <c r="A894" s="118">
        <f>IF($B894="","",COUNT($B$5:$B894))</f>
        <v/>
      </c>
      <c r="B894" s="80" t="n"/>
      <c r="C894" s="80" t="n"/>
      <c r="D894" s="74" t="n"/>
      <c r="E894" s="74" t="n"/>
      <c r="F894" s="74" t="n"/>
      <c r="G894" s="118">
        <f>IF($F894="","",COUNTIF($F$5:$F894,$F894))</f>
        <v/>
      </c>
      <c r="H894" s="33">
        <f>IF($F894="","",IFERROR(INDEX(사건마스터!$B$5:$B$64,MATCH($F894,사건마스터!$A$5:$A$64,0)),""))</f>
        <v/>
      </c>
      <c r="I894" s="130">
        <f>IF($F894="","",IFERROR(INDEX(사건마스터!$C$5:$C$64,MATCH($F894,사건마스터!$A$5:$A$64,0)),""))</f>
        <v/>
      </c>
      <c r="J894" s="136">
        <f>IF($F894="","",IFERROR(INDEX(사건마스터!$H$5:$H$64,MATCH($F894,사건마스터!$A$5:$A$64,0)),""))</f>
        <v/>
      </c>
      <c r="K894" s="136">
        <f>IF($F894="","",IFERROR(INDEX(사건마스터!$AH$5:$AH$64,MATCH($F894,사건마스터!$A$5:$A$64,0)),""))</f>
        <v/>
      </c>
      <c r="L894" s="136">
        <f>IF($F894="","",IFERROR(INDEX(사건마스터!$AI$5:$AI$64,MATCH($F894,사건마스터!$A$5:$A$64,0)),""))</f>
        <v/>
      </c>
      <c r="M894" s="136">
        <f>IF($F894="","",IFERROR(INDEX(사건마스터!$AJ$5:$AJ$64,MATCH($F894,사건마스터!$A$5:$A$64,0)),""))</f>
        <v/>
      </c>
      <c r="N894" s="136">
        <f>IF($F894="","",IFERROR(INDEX(사건마스터!$AK$5:$AK$64,MATCH($F894,사건마스터!$A$5:$A$64,0)),""))</f>
        <v/>
      </c>
      <c r="O894" s="136">
        <f>IF($F894="","",IFERROR(INDEX(사건마스터!$AL$5:$AL$64,MATCH($F894,사건마스터!$A$5:$A$64,0)),""))</f>
        <v/>
      </c>
      <c r="P894" s="136">
        <f>IF($F894="","",IFERROR(INDEX(사건마스터!$AM$5:$AM$64,MATCH($F894,사건마스터!$A$5:$A$64,0)),""))</f>
        <v/>
      </c>
      <c r="Q894" s="136">
        <f>IF($F894="","",IFERROR(INDEX(사건마스터!$AN$5:$AN$64,MATCH($F894,사건마스터!$A$5:$A$64,0)),""))</f>
        <v/>
      </c>
      <c r="R894" s="136">
        <f>IF($F894="","",IFERROR(INDEX(사건마스터!$AO$5:$AO$64,MATCH($F894,사건마스터!$A$5:$A$64,0)),""))</f>
        <v/>
      </c>
      <c r="S894" s="136">
        <f>IF($F894="","",IFERROR(INDEX(사건마스터!$AP$5:$AP$64,MATCH($F894,사건마스터!$A$5:$A$64,0)),""))</f>
        <v/>
      </c>
      <c r="T894" s="136">
        <f>IF($F894="","",IFERROR(INDEX(사건마스터!$AQ$5:$AQ$64,MATCH($F894,사건마스터!$A$5:$A$64,0)),""))</f>
        <v/>
      </c>
      <c r="U894" s="136">
        <f>IF($F894="","",IFERROR(INDEX(사건마스터!$AR$5:$AR$64,MATCH($F894,사건마스터!$A$5:$A$64,0)),""))</f>
        <v/>
      </c>
      <c r="V894" s="136">
        <f>IF($F894="","",IFERROR(INDEX(사건마스터!$AS$5:$AS$64,MATCH($F894,사건마스터!$A$5:$A$64,0)),""))</f>
        <v/>
      </c>
      <c r="W894" s="136">
        <f>IF($F894="","",IFERROR(INDEX(사건마스터!$AT$5:$AT$64,MATCH($F894,사건마스터!$A$5:$A$64,0)),""))</f>
        <v/>
      </c>
      <c r="X894" s="136">
        <f>IF($F894="","",IFERROR(INDEX(사건마스터!$AU$5:$AU$64,MATCH($F894,사건마스터!$A$5:$A$64,0)),""))</f>
        <v/>
      </c>
      <c r="Y894" s="136">
        <f>IF($F894="","",IFERROR(INDEX(사건마스터!$AV$5:$AV$64,MATCH($F894,사건마스터!$A$5:$A$64,0)),""))</f>
        <v/>
      </c>
      <c r="Z894" s="118">
        <f>IF(COUNTBLANK($J894:$Y894)=16,"",16-COUNTBLANK($J894:$Y894))</f>
        <v/>
      </c>
      <c r="AA894" s="33">
        <f>IF($J894="",MID($AX894,3,255),$J894&amp;$AX894)</f>
        <v/>
      </c>
      <c r="AB894" s="130">
        <f>IF($J894="","",IFERROR(INDEX(코드설정!$D$5:$D$24,MATCH($J894,코드설정!$C$5:$C$24,0)),""))</f>
        <v/>
      </c>
      <c r="AC894" s="36" t="n"/>
      <c r="AD894" s="37" t="n"/>
      <c r="AE894" s="38" t="n"/>
      <c r="AF894" s="118">
        <f>IF(OR($B894="",$C894=""),"",$C894-$B894+1)</f>
        <v/>
      </c>
      <c r="AG894" s="74" t="n"/>
      <c r="AH894" s="36" t="n"/>
      <c r="AJ894">
        <f>IF($K894="","",", "&amp;$K894)</f>
        <v/>
      </c>
      <c r="AK894">
        <f>AJ894&amp;IF($L894="","",", "&amp;$L894)</f>
        <v/>
      </c>
      <c r="AL894">
        <f>AK894&amp;IF($M894="","",", "&amp;$M894)</f>
        <v/>
      </c>
      <c r="AM894">
        <f>AL894&amp;IF($N894="","",", "&amp;$N894)</f>
        <v/>
      </c>
      <c r="AN894">
        <f>AM894&amp;IF($O894="","",", "&amp;$O894)</f>
        <v/>
      </c>
      <c r="AO894">
        <f>AN894&amp;IF($P894="","",", "&amp;$P894)</f>
        <v/>
      </c>
      <c r="AP894">
        <f>AO894&amp;IF($Q894="","",", "&amp;$Q894)</f>
        <v/>
      </c>
      <c r="AQ894">
        <f>AP894&amp;IF($R894="","",", "&amp;$R894)</f>
        <v/>
      </c>
      <c r="AR894">
        <f>AQ894&amp;IF($S894="","",", "&amp;$S894)</f>
        <v/>
      </c>
      <c r="AS894">
        <f>AR894&amp;IF($T894="","",", "&amp;$T894)</f>
        <v/>
      </c>
      <c r="AT894">
        <f>AS894&amp;IF($U894="","",", "&amp;$U894)</f>
        <v/>
      </c>
      <c r="AU894">
        <f>AT894&amp;IF($V894="","",", "&amp;$V894)</f>
        <v/>
      </c>
      <c r="AV894">
        <f>AU894&amp;IF($W894="","",", "&amp;$W894)</f>
        <v/>
      </c>
      <c r="AW894">
        <f>AV894&amp;IF($X894="","",", "&amp;$X894)</f>
        <v/>
      </c>
      <c r="AX894">
        <f>AW894&amp;IF($Y894="","",", "&amp;$Y894)</f>
        <v/>
      </c>
    </row>
    <row r="895">
      <c r="A895" s="118">
        <f>IF($B895="","",COUNT($B$5:$B895))</f>
        <v/>
      </c>
      <c r="B895" s="80" t="n"/>
      <c r="C895" s="80" t="n"/>
      <c r="D895" s="74" t="n"/>
      <c r="E895" s="74" t="n"/>
      <c r="F895" s="74" t="n"/>
      <c r="G895" s="118">
        <f>IF($F895="","",COUNTIF($F$5:$F895,$F895))</f>
        <v/>
      </c>
      <c r="H895" s="33">
        <f>IF($F895="","",IFERROR(INDEX(사건마스터!$B$5:$B$64,MATCH($F895,사건마스터!$A$5:$A$64,0)),""))</f>
        <v/>
      </c>
      <c r="I895" s="130">
        <f>IF($F895="","",IFERROR(INDEX(사건마스터!$C$5:$C$64,MATCH($F895,사건마스터!$A$5:$A$64,0)),""))</f>
        <v/>
      </c>
      <c r="J895" s="136">
        <f>IF($F895="","",IFERROR(INDEX(사건마스터!$H$5:$H$64,MATCH($F895,사건마스터!$A$5:$A$64,0)),""))</f>
        <v/>
      </c>
      <c r="K895" s="136">
        <f>IF($F895="","",IFERROR(INDEX(사건마스터!$AH$5:$AH$64,MATCH($F895,사건마스터!$A$5:$A$64,0)),""))</f>
        <v/>
      </c>
      <c r="L895" s="136">
        <f>IF($F895="","",IFERROR(INDEX(사건마스터!$AI$5:$AI$64,MATCH($F895,사건마스터!$A$5:$A$64,0)),""))</f>
        <v/>
      </c>
      <c r="M895" s="136">
        <f>IF($F895="","",IFERROR(INDEX(사건마스터!$AJ$5:$AJ$64,MATCH($F895,사건마스터!$A$5:$A$64,0)),""))</f>
        <v/>
      </c>
      <c r="N895" s="136">
        <f>IF($F895="","",IFERROR(INDEX(사건마스터!$AK$5:$AK$64,MATCH($F895,사건마스터!$A$5:$A$64,0)),""))</f>
        <v/>
      </c>
      <c r="O895" s="136">
        <f>IF($F895="","",IFERROR(INDEX(사건마스터!$AL$5:$AL$64,MATCH($F895,사건마스터!$A$5:$A$64,0)),""))</f>
        <v/>
      </c>
      <c r="P895" s="136">
        <f>IF($F895="","",IFERROR(INDEX(사건마스터!$AM$5:$AM$64,MATCH($F895,사건마스터!$A$5:$A$64,0)),""))</f>
        <v/>
      </c>
      <c r="Q895" s="136">
        <f>IF($F895="","",IFERROR(INDEX(사건마스터!$AN$5:$AN$64,MATCH($F895,사건마스터!$A$5:$A$64,0)),""))</f>
        <v/>
      </c>
      <c r="R895" s="136">
        <f>IF($F895="","",IFERROR(INDEX(사건마스터!$AO$5:$AO$64,MATCH($F895,사건마스터!$A$5:$A$64,0)),""))</f>
        <v/>
      </c>
      <c r="S895" s="136">
        <f>IF($F895="","",IFERROR(INDEX(사건마스터!$AP$5:$AP$64,MATCH($F895,사건마스터!$A$5:$A$64,0)),""))</f>
        <v/>
      </c>
      <c r="T895" s="136">
        <f>IF($F895="","",IFERROR(INDEX(사건마스터!$AQ$5:$AQ$64,MATCH($F895,사건마스터!$A$5:$A$64,0)),""))</f>
        <v/>
      </c>
      <c r="U895" s="136">
        <f>IF($F895="","",IFERROR(INDEX(사건마스터!$AR$5:$AR$64,MATCH($F895,사건마스터!$A$5:$A$64,0)),""))</f>
        <v/>
      </c>
      <c r="V895" s="136">
        <f>IF($F895="","",IFERROR(INDEX(사건마스터!$AS$5:$AS$64,MATCH($F895,사건마스터!$A$5:$A$64,0)),""))</f>
        <v/>
      </c>
      <c r="W895" s="136">
        <f>IF($F895="","",IFERROR(INDEX(사건마스터!$AT$5:$AT$64,MATCH($F895,사건마스터!$A$5:$A$64,0)),""))</f>
        <v/>
      </c>
      <c r="X895" s="136">
        <f>IF($F895="","",IFERROR(INDEX(사건마스터!$AU$5:$AU$64,MATCH($F895,사건마스터!$A$5:$A$64,0)),""))</f>
        <v/>
      </c>
      <c r="Y895" s="136">
        <f>IF($F895="","",IFERROR(INDEX(사건마스터!$AV$5:$AV$64,MATCH($F895,사건마스터!$A$5:$A$64,0)),""))</f>
        <v/>
      </c>
      <c r="Z895" s="118">
        <f>IF(COUNTBLANK($J895:$Y895)=16,"",16-COUNTBLANK($J895:$Y895))</f>
        <v/>
      </c>
      <c r="AA895" s="33">
        <f>IF($J895="",MID($AX895,3,255),$J895&amp;$AX895)</f>
        <v/>
      </c>
      <c r="AB895" s="130">
        <f>IF($J895="","",IFERROR(INDEX(코드설정!$D$5:$D$24,MATCH($J895,코드설정!$C$5:$C$24,0)),""))</f>
        <v/>
      </c>
      <c r="AC895" s="36" t="n"/>
      <c r="AD895" s="37" t="n"/>
      <c r="AE895" s="38" t="n"/>
      <c r="AF895" s="118">
        <f>IF(OR($B895="",$C895=""),"",$C895-$B895+1)</f>
        <v/>
      </c>
      <c r="AG895" s="74" t="n"/>
      <c r="AH895" s="36" t="n"/>
      <c r="AJ895">
        <f>IF($K895="","",", "&amp;$K895)</f>
        <v/>
      </c>
      <c r="AK895">
        <f>AJ895&amp;IF($L895="","",", "&amp;$L895)</f>
        <v/>
      </c>
      <c r="AL895">
        <f>AK895&amp;IF($M895="","",", "&amp;$M895)</f>
        <v/>
      </c>
      <c r="AM895">
        <f>AL895&amp;IF($N895="","",", "&amp;$N895)</f>
        <v/>
      </c>
      <c r="AN895">
        <f>AM895&amp;IF($O895="","",", "&amp;$O895)</f>
        <v/>
      </c>
      <c r="AO895">
        <f>AN895&amp;IF($P895="","",", "&amp;$P895)</f>
        <v/>
      </c>
      <c r="AP895">
        <f>AO895&amp;IF($Q895="","",", "&amp;$Q895)</f>
        <v/>
      </c>
      <c r="AQ895">
        <f>AP895&amp;IF($R895="","",", "&amp;$R895)</f>
        <v/>
      </c>
      <c r="AR895">
        <f>AQ895&amp;IF($S895="","",", "&amp;$S895)</f>
        <v/>
      </c>
      <c r="AS895">
        <f>AR895&amp;IF($T895="","",", "&amp;$T895)</f>
        <v/>
      </c>
      <c r="AT895">
        <f>AS895&amp;IF($U895="","",", "&amp;$U895)</f>
        <v/>
      </c>
      <c r="AU895">
        <f>AT895&amp;IF($V895="","",", "&amp;$V895)</f>
        <v/>
      </c>
      <c r="AV895">
        <f>AU895&amp;IF($W895="","",", "&amp;$W895)</f>
        <v/>
      </c>
      <c r="AW895">
        <f>AV895&amp;IF($X895="","",", "&amp;$X895)</f>
        <v/>
      </c>
      <c r="AX895">
        <f>AW895&amp;IF($Y895="","",", "&amp;$Y895)</f>
        <v/>
      </c>
    </row>
    <row r="896">
      <c r="A896" s="118">
        <f>IF($B896="","",COUNT($B$5:$B896))</f>
        <v/>
      </c>
      <c r="B896" s="80" t="n"/>
      <c r="C896" s="80" t="n"/>
      <c r="D896" s="74" t="n"/>
      <c r="E896" s="74" t="n"/>
      <c r="F896" s="74" t="n"/>
      <c r="G896" s="118">
        <f>IF($F896="","",COUNTIF($F$5:$F896,$F896))</f>
        <v/>
      </c>
      <c r="H896" s="33">
        <f>IF($F896="","",IFERROR(INDEX(사건마스터!$B$5:$B$64,MATCH($F896,사건마스터!$A$5:$A$64,0)),""))</f>
        <v/>
      </c>
      <c r="I896" s="130">
        <f>IF($F896="","",IFERROR(INDEX(사건마스터!$C$5:$C$64,MATCH($F896,사건마스터!$A$5:$A$64,0)),""))</f>
        <v/>
      </c>
      <c r="J896" s="136">
        <f>IF($F896="","",IFERROR(INDEX(사건마스터!$H$5:$H$64,MATCH($F896,사건마스터!$A$5:$A$64,0)),""))</f>
        <v/>
      </c>
      <c r="K896" s="136">
        <f>IF($F896="","",IFERROR(INDEX(사건마스터!$AH$5:$AH$64,MATCH($F896,사건마스터!$A$5:$A$64,0)),""))</f>
        <v/>
      </c>
      <c r="L896" s="136">
        <f>IF($F896="","",IFERROR(INDEX(사건마스터!$AI$5:$AI$64,MATCH($F896,사건마스터!$A$5:$A$64,0)),""))</f>
        <v/>
      </c>
      <c r="M896" s="136">
        <f>IF($F896="","",IFERROR(INDEX(사건마스터!$AJ$5:$AJ$64,MATCH($F896,사건마스터!$A$5:$A$64,0)),""))</f>
        <v/>
      </c>
      <c r="N896" s="136">
        <f>IF($F896="","",IFERROR(INDEX(사건마스터!$AK$5:$AK$64,MATCH($F896,사건마스터!$A$5:$A$64,0)),""))</f>
        <v/>
      </c>
      <c r="O896" s="136">
        <f>IF($F896="","",IFERROR(INDEX(사건마스터!$AL$5:$AL$64,MATCH($F896,사건마스터!$A$5:$A$64,0)),""))</f>
        <v/>
      </c>
      <c r="P896" s="136">
        <f>IF($F896="","",IFERROR(INDEX(사건마스터!$AM$5:$AM$64,MATCH($F896,사건마스터!$A$5:$A$64,0)),""))</f>
        <v/>
      </c>
      <c r="Q896" s="136">
        <f>IF($F896="","",IFERROR(INDEX(사건마스터!$AN$5:$AN$64,MATCH($F896,사건마스터!$A$5:$A$64,0)),""))</f>
        <v/>
      </c>
      <c r="R896" s="136">
        <f>IF($F896="","",IFERROR(INDEX(사건마스터!$AO$5:$AO$64,MATCH($F896,사건마스터!$A$5:$A$64,0)),""))</f>
        <v/>
      </c>
      <c r="S896" s="136">
        <f>IF($F896="","",IFERROR(INDEX(사건마스터!$AP$5:$AP$64,MATCH($F896,사건마스터!$A$5:$A$64,0)),""))</f>
        <v/>
      </c>
      <c r="T896" s="136">
        <f>IF($F896="","",IFERROR(INDEX(사건마스터!$AQ$5:$AQ$64,MATCH($F896,사건마스터!$A$5:$A$64,0)),""))</f>
        <v/>
      </c>
      <c r="U896" s="136">
        <f>IF($F896="","",IFERROR(INDEX(사건마스터!$AR$5:$AR$64,MATCH($F896,사건마스터!$A$5:$A$64,0)),""))</f>
        <v/>
      </c>
      <c r="V896" s="136">
        <f>IF($F896="","",IFERROR(INDEX(사건마스터!$AS$5:$AS$64,MATCH($F896,사건마스터!$A$5:$A$64,0)),""))</f>
        <v/>
      </c>
      <c r="W896" s="136">
        <f>IF($F896="","",IFERROR(INDEX(사건마스터!$AT$5:$AT$64,MATCH($F896,사건마스터!$A$5:$A$64,0)),""))</f>
        <v/>
      </c>
      <c r="X896" s="136">
        <f>IF($F896="","",IFERROR(INDEX(사건마스터!$AU$5:$AU$64,MATCH($F896,사건마스터!$A$5:$A$64,0)),""))</f>
        <v/>
      </c>
      <c r="Y896" s="136">
        <f>IF($F896="","",IFERROR(INDEX(사건마스터!$AV$5:$AV$64,MATCH($F896,사건마스터!$A$5:$A$64,0)),""))</f>
        <v/>
      </c>
      <c r="Z896" s="118">
        <f>IF(COUNTBLANK($J896:$Y896)=16,"",16-COUNTBLANK($J896:$Y896))</f>
        <v/>
      </c>
      <c r="AA896" s="33">
        <f>IF($J896="",MID($AX896,3,255),$J896&amp;$AX896)</f>
        <v/>
      </c>
      <c r="AB896" s="130">
        <f>IF($J896="","",IFERROR(INDEX(코드설정!$D$5:$D$24,MATCH($J896,코드설정!$C$5:$C$24,0)),""))</f>
        <v/>
      </c>
      <c r="AC896" s="36" t="n"/>
      <c r="AD896" s="37" t="n"/>
      <c r="AE896" s="38" t="n"/>
      <c r="AF896" s="118">
        <f>IF(OR($B896="",$C896=""),"",$C896-$B896+1)</f>
        <v/>
      </c>
      <c r="AG896" s="74" t="n"/>
      <c r="AH896" s="36" t="n"/>
      <c r="AJ896">
        <f>IF($K896="","",", "&amp;$K896)</f>
        <v/>
      </c>
      <c r="AK896">
        <f>AJ896&amp;IF($L896="","",", "&amp;$L896)</f>
        <v/>
      </c>
      <c r="AL896">
        <f>AK896&amp;IF($M896="","",", "&amp;$M896)</f>
        <v/>
      </c>
      <c r="AM896">
        <f>AL896&amp;IF($N896="","",", "&amp;$N896)</f>
        <v/>
      </c>
      <c r="AN896">
        <f>AM896&amp;IF($O896="","",", "&amp;$O896)</f>
        <v/>
      </c>
      <c r="AO896">
        <f>AN896&amp;IF($P896="","",", "&amp;$P896)</f>
        <v/>
      </c>
      <c r="AP896">
        <f>AO896&amp;IF($Q896="","",", "&amp;$Q896)</f>
        <v/>
      </c>
      <c r="AQ896">
        <f>AP896&amp;IF($R896="","",", "&amp;$R896)</f>
        <v/>
      </c>
      <c r="AR896">
        <f>AQ896&amp;IF($S896="","",", "&amp;$S896)</f>
        <v/>
      </c>
      <c r="AS896">
        <f>AR896&amp;IF($T896="","",", "&amp;$T896)</f>
        <v/>
      </c>
      <c r="AT896">
        <f>AS896&amp;IF($U896="","",", "&amp;$U896)</f>
        <v/>
      </c>
      <c r="AU896">
        <f>AT896&amp;IF($V896="","",", "&amp;$V896)</f>
        <v/>
      </c>
      <c r="AV896">
        <f>AU896&amp;IF($W896="","",", "&amp;$W896)</f>
        <v/>
      </c>
      <c r="AW896">
        <f>AV896&amp;IF($X896="","",", "&amp;$X896)</f>
        <v/>
      </c>
      <c r="AX896">
        <f>AW896&amp;IF($Y896="","",", "&amp;$Y896)</f>
        <v/>
      </c>
    </row>
    <row r="897">
      <c r="A897" s="118">
        <f>IF($B897="","",COUNT($B$5:$B897))</f>
        <v/>
      </c>
      <c r="B897" s="80" t="n"/>
      <c r="C897" s="80" t="n"/>
      <c r="D897" s="74" t="n"/>
      <c r="E897" s="74" t="n"/>
      <c r="F897" s="74" t="n"/>
      <c r="G897" s="118">
        <f>IF($F897="","",COUNTIF($F$5:$F897,$F897))</f>
        <v/>
      </c>
      <c r="H897" s="33">
        <f>IF($F897="","",IFERROR(INDEX(사건마스터!$B$5:$B$64,MATCH($F897,사건마스터!$A$5:$A$64,0)),""))</f>
        <v/>
      </c>
      <c r="I897" s="130">
        <f>IF($F897="","",IFERROR(INDEX(사건마스터!$C$5:$C$64,MATCH($F897,사건마스터!$A$5:$A$64,0)),""))</f>
        <v/>
      </c>
      <c r="J897" s="136">
        <f>IF($F897="","",IFERROR(INDEX(사건마스터!$H$5:$H$64,MATCH($F897,사건마스터!$A$5:$A$64,0)),""))</f>
        <v/>
      </c>
      <c r="K897" s="136">
        <f>IF($F897="","",IFERROR(INDEX(사건마스터!$AH$5:$AH$64,MATCH($F897,사건마스터!$A$5:$A$64,0)),""))</f>
        <v/>
      </c>
      <c r="L897" s="136">
        <f>IF($F897="","",IFERROR(INDEX(사건마스터!$AI$5:$AI$64,MATCH($F897,사건마스터!$A$5:$A$64,0)),""))</f>
        <v/>
      </c>
      <c r="M897" s="136">
        <f>IF($F897="","",IFERROR(INDEX(사건마스터!$AJ$5:$AJ$64,MATCH($F897,사건마스터!$A$5:$A$64,0)),""))</f>
        <v/>
      </c>
      <c r="N897" s="136">
        <f>IF($F897="","",IFERROR(INDEX(사건마스터!$AK$5:$AK$64,MATCH($F897,사건마스터!$A$5:$A$64,0)),""))</f>
        <v/>
      </c>
      <c r="O897" s="136">
        <f>IF($F897="","",IFERROR(INDEX(사건마스터!$AL$5:$AL$64,MATCH($F897,사건마스터!$A$5:$A$64,0)),""))</f>
        <v/>
      </c>
      <c r="P897" s="136">
        <f>IF($F897="","",IFERROR(INDEX(사건마스터!$AM$5:$AM$64,MATCH($F897,사건마스터!$A$5:$A$64,0)),""))</f>
        <v/>
      </c>
      <c r="Q897" s="136">
        <f>IF($F897="","",IFERROR(INDEX(사건마스터!$AN$5:$AN$64,MATCH($F897,사건마스터!$A$5:$A$64,0)),""))</f>
        <v/>
      </c>
      <c r="R897" s="136">
        <f>IF($F897="","",IFERROR(INDEX(사건마스터!$AO$5:$AO$64,MATCH($F897,사건마스터!$A$5:$A$64,0)),""))</f>
        <v/>
      </c>
      <c r="S897" s="136">
        <f>IF($F897="","",IFERROR(INDEX(사건마스터!$AP$5:$AP$64,MATCH($F897,사건마스터!$A$5:$A$64,0)),""))</f>
        <v/>
      </c>
      <c r="T897" s="136">
        <f>IF($F897="","",IFERROR(INDEX(사건마스터!$AQ$5:$AQ$64,MATCH($F897,사건마스터!$A$5:$A$64,0)),""))</f>
        <v/>
      </c>
      <c r="U897" s="136">
        <f>IF($F897="","",IFERROR(INDEX(사건마스터!$AR$5:$AR$64,MATCH($F897,사건마스터!$A$5:$A$64,0)),""))</f>
        <v/>
      </c>
      <c r="V897" s="136">
        <f>IF($F897="","",IFERROR(INDEX(사건마스터!$AS$5:$AS$64,MATCH($F897,사건마스터!$A$5:$A$64,0)),""))</f>
        <v/>
      </c>
      <c r="W897" s="136">
        <f>IF($F897="","",IFERROR(INDEX(사건마스터!$AT$5:$AT$64,MATCH($F897,사건마스터!$A$5:$A$64,0)),""))</f>
        <v/>
      </c>
      <c r="X897" s="136">
        <f>IF($F897="","",IFERROR(INDEX(사건마스터!$AU$5:$AU$64,MATCH($F897,사건마스터!$A$5:$A$64,0)),""))</f>
        <v/>
      </c>
      <c r="Y897" s="136">
        <f>IF($F897="","",IFERROR(INDEX(사건마스터!$AV$5:$AV$64,MATCH($F897,사건마스터!$A$5:$A$64,0)),""))</f>
        <v/>
      </c>
      <c r="Z897" s="118">
        <f>IF(COUNTBLANK($J897:$Y897)=16,"",16-COUNTBLANK($J897:$Y897))</f>
        <v/>
      </c>
      <c r="AA897" s="33">
        <f>IF($J897="",MID($AX897,3,255),$J897&amp;$AX897)</f>
        <v/>
      </c>
      <c r="AB897" s="130">
        <f>IF($J897="","",IFERROR(INDEX(코드설정!$D$5:$D$24,MATCH($J897,코드설정!$C$5:$C$24,0)),""))</f>
        <v/>
      </c>
      <c r="AC897" s="36" t="n"/>
      <c r="AD897" s="37" t="n"/>
      <c r="AE897" s="38" t="n"/>
      <c r="AF897" s="118">
        <f>IF(OR($B897="",$C897=""),"",$C897-$B897+1)</f>
        <v/>
      </c>
      <c r="AG897" s="74" t="n"/>
      <c r="AH897" s="36" t="n"/>
      <c r="AJ897">
        <f>IF($K897="","",", "&amp;$K897)</f>
        <v/>
      </c>
      <c r="AK897">
        <f>AJ897&amp;IF($L897="","",", "&amp;$L897)</f>
        <v/>
      </c>
      <c r="AL897">
        <f>AK897&amp;IF($M897="","",", "&amp;$M897)</f>
        <v/>
      </c>
      <c r="AM897">
        <f>AL897&amp;IF($N897="","",", "&amp;$N897)</f>
        <v/>
      </c>
      <c r="AN897">
        <f>AM897&amp;IF($O897="","",", "&amp;$O897)</f>
        <v/>
      </c>
      <c r="AO897">
        <f>AN897&amp;IF($P897="","",", "&amp;$P897)</f>
        <v/>
      </c>
      <c r="AP897">
        <f>AO897&amp;IF($Q897="","",", "&amp;$Q897)</f>
        <v/>
      </c>
      <c r="AQ897">
        <f>AP897&amp;IF($R897="","",", "&amp;$R897)</f>
        <v/>
      </c>
      <c r="AR897">
        <f>AQ897&amp;IF($S897="","",", "&amp;$S897)</f>
        <v/>
      </c>
      <c r="AS897">
        <f>AR897&amp;IF($T897="","",", "&amp;$T897)</f>
        <v/>
      </c>
      <c r="AT897">
        <f>AS897&amp;IF($U897="","",", "&amp;$U897)</f>
        <v/>
      </c>
      <c r="AU897">
        <f>AT897&amp;IF($V897="","",", "&amp;$V897)</f>
        <v/>
      </c>
      <c r="AV897">
        <f>AU897&amp;IF($W897="","",", "&amp;$W897)</f>
        <v/>
      </c>
      <c r="AW897">
        <f>AV897&amp;IF($X897="","",", "&amp;$X897)</f>
        <v/>
      </c>
      <c r="AX897">
        <f>AW897&amp;IF($Y897="","",", "&amp;$Y897)</f>
        <v/>
      </c>
    </row>
    <row r="898">
      <c r="A898" s="118">
        <f>IF($B898="","",COUNT($B$5:$B898))</f>
        <v/>
      </c>
      <c r="B898" s="80" t="n"/>
      <c r="C898" s="80" t="n"/>
      <c r="D898" s="74" t="n"/>
      <c r="E898" s="74" t="n"/>
      <c r="F898" s="74" t="n"/>
      <c r="G898" s="118">
        <f>IF($F898="","",COUNTIF($F$5:$F898,$F898))</f>
        <v/>
      </c>
      <c r="H898" s="33">
        <f>IF($F898="","",IFERROR(INDEX(사건마스터!$B$5:$B$64,MATCH($F898,사건마스터!$A$5:$A$64,0)),""))</f>
        <v/>
      </c>
      <c r="I898" s="130">
        <f>IF($F898="","",IFERROR(INDEX(사건마스터!$C$5:$C$64,MATCH($F898,사건마스터!$A$5:$A$64,0)),""))</f>
        <v/>
      </c>
      <c r="J898" s="136">
        <f>IF($F898="","",IFERROR(INDEX(사건마스터!$H$5:$H$64,MATCH($F898,사건마스터!$A$5:$A$64,0)),""))</f>
        <v/>
      </c>
      <c r="K898" s="136">
        <f>IF($F898="","",IFERROR(INDEX(사건마스터!$AH$5:$AH$64,MATCH($F898,사건마스터!$A$5:$A$64,0)),""))</f>
        <v/>
      </c>
      <c r="L898" s="136">
        <f>IF($F898="","",IFERROR(INDEX(사건마스터!$AI$5:$AI$64,MATCH($F898,사건마스터!$A$5:$A$64,0)),""))</f>
        <v/>
      </c>
      <c r="M898" s="136">
        <f>IF($F898="","",IFERROR(INDEX(사건마스터!$AJ$5:$AJ$64,MATCH($F898,사건마스터!$A$5:$A$64,0)),""))</f>
        <v/>
      </c>
      <c r="N898" s="136">
        <f>IF($F898="","",IFERROR(INDEX(사건마스터!$AK$5:$AK$64,MATCH($F898,사건마스터!$A$5:$A$64,0)),""))</f>
        <v/>
      </c>
      <c r="O898" s="136">
        <f>IF($F898="","",IFERROR(INDEX(사건마스터!$AL$5:$AL$64,MATCH($F898,사건마스터!$A$5:$A$64,0)),""))</f>
        <v/>
      </c>
      <c r="P898" s="136">
        <f>IF($F898="","",IFERROR(INDEX(사건마스터!$AM$5:$AM$64,MATCH($F898,사건마스터!$A$5:$A$64,0)),""))</f>
        <v/>
      </c>
      <c r="Q898" s="136">
        <f>IF($F898="","",IFERROR(INDEX(사건마스터!$AN$5:$AN$64,MATCH($F898,사건마스터!$A$5:$A$64,0)),""))</f>
        <v/>
      </c>
      <c r="R898" s="136">
        <f>IF($F898="","",IFERROR(INDEX(사건마스터!$AO$5:$AO$64,MATCH($F898,사건마스터!$A$5:$A$64,0)),""))</f>
        <v/>
      </c>
      <c r="S898" s="136">
        <f>IF($F898="","",IFERROR(INDEX(사건마스터!$AP$5:$AP$64,MATCH($F898,사건마스터!$A$5:$A$64,0)),""))</f>
        <v/>
      </c>
      <c r="T898" s="136">
        <f>IF($F898="","",IFERROR(INDEX(사건마스터!$AQ$5:$AQ$64,MATCH($F898,사건마스터!$A$5:$A$64,0)),""))</f>
        <v/>
      </c>
      <c r="U898" s="136">
        <f>IF($F898="","",IFERROR(INDEX(사건마스터!$AR$5:$AR$64,MATCH($F898,사건마스터!$A$5:$A$64,0)),""))</f>
        <v/>
      </c>
      <c r="V898" s="136">
        <f>IF($F898="","",IFERROR(INDEX(사건마스터!$AS$5:$AS$64,MATCH($F898,사건마스터!$A$5:$A$64,0)),""))</f>
        <v/>
      </c>
      <c r="W898" s="136">
        <f>IF($F898="","",IFERROR(INDEX(사건마스터!$AT$5:$AT$64,MATCH($F898,사건마스터!$A$5:$A$64,0)),""))</f>
        <v/>
      </c>
      <c r="X898" s="136">
        <f>IF($F898="","",IFERROR(INDEX(사건마스터!$AU$5:$AU$64,MATCH($F898,사건마스터!$A$5:$A$64,0)),""))</f>
        <v/>
      </c>
      <c r="Y898" s="136">
        <f>IF($F898="","",IFERROR(INDEX(사건마스터!$AV$5:$AV$64,MATCH($F898,사건마스터!$A$5:$A$64,0)),""))</f>
        <v/>
      </c>
      <c r="Z898" s="118">
        <f>IF(COUNTBLANK($J898:$Y898)=16,"",16-COUNTBLANK($J898:$Y898))</f>
        <v/>
      </c>
      <c r="AA898" s="33">
        <f>IF($J898="",MID($AX898,3,255),$J898&amp;$AX898)</f>
        <v/>
      </c>
      <c r="AB898" s="130">
        <f>IF($J898="","",IFERROR(INDEX(코드설정!$D$5:$D$24,MATCH($J898,코드설정!$C$5:$C$24,0)),""))</f>
        <v/>
      </c>
      <c r="AC898" s="36" t="n"/>
      <c r="AD898" s="37" t="n"/>
      <c r="AE898" s="38" t="n"/>
      <c r="AF898" s="118">
        <f>IF(OR($B898="",$C898=""),"",$C898-$B898+1)</f>
        <v/>
      </c>
      <c r="AG898" s="74" t="n"/>
      <c r="AH898" s="36" t="n"/>
      <c r="AJ898">
        <f>IF($K898="","",", "&amp;$K898)</f>
        <v/>
      </c>
      <c r="AK898">
        <f>AJ898&amp;IF($L898="","",", "&amp;$L898)</f>
        <v/>
      </c>
      <c r="AL898">
        <f>AK898&amp;IF($M898="","",", "&amp;$M898)</f>
        <v/>
      </c>
      <c r="AM898">
        <f>AL898&amp;IF($N898="","",", "&amp;$N898)</f>
        <v/>
      </c>
      <c r="AN898">
        <f>AM898&amp;IF($O898="","",", "&amp;$O898)</f>
        <v/>
      </c>
      <c r="AO898">
        <f>AN898&amp;IF($P898="","",", "&amp;$P898)</f>
        <v/>
      </c>
      <c r="AP898">
        <f>AO898&amp;IF($Q898="","",", "&amp;$Q898)</f>
        <v/>
      </c>
      <c r="AQ898">
        <f>AP898&amp;IF($R898="","",", "&amp;$R898)</f>
        <v/>
      </c>
      <c r="AR898">
        <f>AQ898&amp;IF($S898="","",", "&amp;$S898)</f>
        <v/>
      </c>
      <c r="AS898">
        <f>AR898&amp;IF($T898="","",", "&amp;$T898)</f>
        <v/>
      </c>
      <c r="AT898">
        <f>AS898&amp;IF($U898="","",", "&amp;$U898)</f>
        <v/>
      </c>
      <c r="AU898">
        <f>AT898&amp;IF($V898="","",", "&amp;$V898)</f>
        <v/>
      </c>
      <c r="AV898">
        <f>AU898&amp;IF($W898="","",", "&amp;$W898)</f>
        <v/>
      </c>
      <c r="AW898">
        <f>AV898&amp;IF($X898="","",", "&amp;$X898)</f>
        <v/>
      </c>
      <c r="AX898">
        <f>AW898&amp;IF($Y898="","",", "&amp;$Y898)</f>
        <v/>
      </c>
    </row>
    <row r="899">
      <c r="A899" s="118">
        <f>IF($B899="","",COUNT($B$5:$B899))</f>
        <v/>
      </c>
      <c r="B899" s="80" t="n"/>
      <c r="C899" s="80" t="n"/>
      <c r="D899" s="74" t="n"/>
      <c r="E899" s="74" t="n"/>
      <c r="F899" s="74" t="n"/>
      <c r="G899" s="118">
        <f>IF($F899="","",COUNTIF($F$5:$F899,$F899))</f>
        <v/>
      </c>
      <c r="H899" s="33">
        <f>IF($F899="","",IFERROR(INDEX(사건마스터!$B$5:$B$64,MATCH($F899,사건마스터!$A$5:$A$64,0)),""))</f>
        <v/>
      </c>
      <c r="I899" s="130">
        <f>IF($F899="","",IFERROR(INDEX(사건마스터!$C$5:$C$64,MATCH($F899,사건마스터!$A$5:$A$64,0)),""))</f>
        <v/>
      </c>
      <c r="J899" s="136">
        <f>IF($F899="","",IFERROR(INDEX(사건마스터!$H$5:$H$64,MATCH($F899,사건마스터!$A$5:$A$64,0)),""))</f>
        <v/>
      </c>
      <c r="K899" s="136">
        <f>IF($F899="","",IFERROR(INDEX(사건마스터!$AH$5:$AH$64,MATCH($F899,사건마스터!$A$5:$A$64,0)),""))</f>
        <v/>
      </c>
      <c r="L899" s="136">
        <f>IF($F899="","",IFERROR(INDEX(사건마스터!$AI$5:$AI$64,MATCH($F899,사건마스터!$A$5:$A$64,0)),""))</f>
        <v/>
      </c>
      <c r="M899" s="136">
        <f>IF($F899="","",IFERROR(INDEX(사건마스터!$AJ$5:$AJ$64,MATCH($F899,사건마스터!$A$5:$A$64,0)),""))</f>
        <v/>
      </c>
      <c r="N899" s="136">
        <f>IF($F899="","",IFERROR(INDEX(사건마스터!$AK$5:$AK$64,MATCH($F899,사건마스터!$A$5:$A$64,0)),""))</f>
        <v/>
      </c>
      <c r="O899" s="136">
        <f>IF($F899="","",IFERROR(INDEX(사건마스터!$AL$5:$AL$64,MATCH($F899,사건마스터!$A$5:$A$64,0)),""))</f>
        <v/>
      </c>
      <c r="P899" s="136">
        <f>IF($F899="","",IFERROR(INDEX(사건마스터!$AM$5:$AM$64,MATCH($F899,사건마스터!$A$5:$A$64,0)),""))</f>
        <v/>
      </c>
      <c r="Q899" s="136">
        <f>IF($F899="","",IFERROR(INDEX(사건마스터!$AN$5:$AN$64,MATCH($F899,사건마스터!$A$5:$A$64,0)),""))</f>
        <v/>
      </c>
      <c r="R899" s="136">
        <f>IF($F899="","",IFERROR(INDEX(사건마스터!$AO$5:$AO$64,MATCH($F899,사건마스터!$A$5:$A$64,0)),""))</f>
        <v/>
      </c>
      <c r="S899" s="136">
        <f>IF($F899="","",IFERROR(INDEX(사건마스터!$AP$5:$AP$64,MATCH($F899,사건마스터!$A$5:$A$64,0)),""))</f>
        <v/>
      </c>
      <c r="T899" s="136">
        <f>IF($F899="","",IFERROR(INDEX(사건마스터!$AQ$5:$AQ$64,MATCH($F899,사건마스터!$A$5:$A$64,0)),""))</f>
        <v/>
      </c>
      <c r="U899" s="136">
        <f>IF($F899="","",IFERROR(INDEX(사건마스터!$AR$5:$AR$64,MATCH($F899,사건마스터!$A$5:$A$64,0)),""))</f>
        <v/>
      </c>
      <c r="V899" s="136">
        <f>IF($F899="","",IFERROR(INDEX(사건마스터!$AS$5:$AS$64,MATCH($F899,사건마스터!$A$5:$A$64,0)),""))</f>
        <v/>
      </c>
      <c r="W899" s="136">
        <f>IF($F899="","",IFERROR(INDEX(사건마스터!$AT$5:$AT$64,MATCH($F899,사건마스터!$A$5:$A$64,0)),""))</f>
        <v/>
      </c>
      <c r="X899" s="136">
        <f>IF($F899="","",IFERROR(INDEX(사건마스터!$AU$5:$AU$64,MATCH($F899,사건마스터!$A$5:$A$64,0)),""))</f>
        <v/>
      </c>
      <c r="Y899" s="136">
        <f>IF($F899="","",IFERROR(INDEX(사건마스터!$AV$5:$AV$64,MATCH($F899,사건마스터!$A$5:$A$64,0)),""))</f>
        <v/>
      </c>
      <c r="Z899" s="118">
        <f>IF(COUNTBLANK($J899:$Y899)=16,"",16-COUNTBLANK($J899:$Y899))</f>
        <v/>
      </c>
      <c r="AA899" s="33">
        <f>IF($J899="",MID($AX899,3,255),$J899&amp;$AX899)</f>
        <v/>
      </c>
      <c r="AB899" s="130">
        <f>IF($J899="","",IFERROR(INDEX(코드설정!$D$5:$D$24,MATCH($J899,코드설정!$C$5:$C$24,0)),""))</f>
        <v/>
      </c>
      <c r="AC899" s="36" t="n"/>
      <c r="AD899" s="37" t="n"/>
      <c r="AE899" s="38" t="n"/>
      <c r="AF899" s="118">
        <f>IF(OR($B899="",$C899=""),"",$C899-$B899+1)</f>
        <v/>
      </c>
      <c r="AG899" s="74" t="n"/>
      <c r="AH899" s="36" t="n"/>
      <c r="AJ899">
        <f>IF($K899="","",", "&amp;$K899)</f>
        <v/>
      </c>
      <c r="AK899">
        <f>AJ899&amp;IF($L899="","",", "&amp;$L899)</f>
        <v/>
      </c>
      <c r="AL899">
        <f>AK899&amp;IF($M899="","",", "&amp;$M899)</f>
        <v/>
      </c>
      <c r="AM899">
        <f>AL899&amp;IF($N899="","",", "&amp;$N899)</f>
        <v/>
      </c>
      <c r="AN899">
        <f>AM899&amp;IF($O899="","",", "&amp;$O899)</f>
        <v/>
      </c>
      <c r="AO899">
        <f>AN899&amp;IF($P899="","",", "&amp;$P899)</f>
        <v/>
      </c>
      <c r="AP899">
        <f>AO899&amp;IF($Q899="","",", "&amp;$Q899)</f>
        <v/>
      </c>
      <c r="AQ899">
        <f>AP899&amp;IF($R899="","",", "&amp;$R899)</f>
        <v/>
      </c>
      <c r="AR899">
        <f>AQ899&amp;IF($S899="","",", "&amp;$S899)</f>
        <v/>
      </c>
      <c r="AS899">
        <f>AR899&amp;IF($T899="","",", "&amp;$T899)</f>
        <v/>
      </c>
      <c r="AT899">
        <f>AS899&amp;IF($U899="","",", "&amp;$U899)</f>
        <v/>
      </c>
      <c r="AU899">
        <f>AT899&amp;IF($V899="","",", "&amp;$V899)</f>
        <v/>
      </c>
      <c r="AV899">
        <f>AU899&amp;IF($W899="","",", "&amp;$W899)</f>
        <v/>
      </c>
      <c r="AW899">
        <f>AV899&amp;IF($X899="","",", "&amp;$X899)</f>
        <v/>
      </c>
      <c r="AX899">
        <f>AW899&amp;IF($Y899="","",", "&amp;$Y899)</f>
        <v/>
      </c>
    </row>
    <row r="900">
      <c r="A900" s="118">
        <f>IF($B900="","",COUNT($B$5:$B900))</f>
        <v/>
      </c>
      <c r="B900" s="80" t="n"/>
      <c r="C900" s="80" t="n"/>
      <c r="D900" s="74" t="n"/>
      <c r="E900" s="74" t="n"/>
      <c r="F900" s="74" t="n"/>
      <c r="G900" s="118">
        <f>IF($F900="","",COUNTIF($F$5:$F900,$F900))</f>
        <v/>
      </c>
      <c r="H900" s="33">
        <f>IF($F900="","",IFERROR(INDEX(사건마스터!$B$5:$B$64,MATCH($F900,사건마스터!$A$5:$A$64,0)),""))</f>
        <v/>
      </c>
      <c r="I900" s="130">
        <f>IF($F900="","",IFERROR(INDEX(사건마스터!$C$5:$C$64,MATCH($F900,사건마스터!$A$5:$A$64,0)),""))</f>
        <v/>
      </c>
      <c r="J900" s="136">
        <f>IF($F900="","",IFERROR(INDEX(사건마스터!$H$5:$H$64,MATCH($F900,사건마스터!$A$5:$A$64,0)),""))</f>
        <v/>
      </c>
      <c r="K900" s="136">
        <f>IF($F900="","",IFERROR(INDEX(사건마스터!$AH$5:$AH$64,MATCH($F900,사건마스터!$A$5:$A$64,0)),""))</f>
        <v/>
      </c>
      <c r="L900" s="136">
        <f>IF($F900="","",IFERROR(INDEX(사건마스터!$AI$5:$AI$64,MATCH($F900,사건마스터!$A$5:$A$64,0)),""))</f>
        <v/>
      </c>
      <c r="M900" s="136">
        <f>IF($F900="","",IFERROR(INDEX(사건마스터!$AJ$5:$AJ$64,MATCH($F900,사건마스터!$A$5:$A$64,0)),""))</f>
        <v/>
      </c>
      <c r="N900" s="136">
        <f>IF($F900="","",IFERROR(INDEX(사건마스터!$AK$5:$AK$64,MATCH($F900,사건마스터!$A$5:$A$64,0)),""))</f>
        <v/>
      </c>
      <c r="O900" s="136">
        <f>IF($F900="","",IFERROR(INDEX(사건마스터!$AL$5:$AL$64,MATCH($F900,사건마스터!$A$5:$A$64,0)),""))</f>
        <v/>
      </c>
      <c r="P900" s="136">
        <f>IF($F900="","",IFERROR(INDEX(사건마스터!$AM$5:$AM$64,MATCH($F900,사건마스터!$A$5:$A$64,0)),""))</f>
        <v/>
      </c>
      <c r="Q900" s="136">
        <f>IF($F900="","",IFERROR(INDEX(사건마스터!$AN$5:$AN$64,MATCH($F900,사건마스터!$A$5:$A$64,0)),""))</f>
        <v/>
      </c>
      <c r="R900" s="136">
        <f>IF($F900="","",IFERROR(INDEX(사건마스터!$AO$5:$AO$64,MATCH($F900,사건마스터!$A$5:$A$64,0)),""))</f>
        <v/>
      </c>
      <c r="S900" s="136">
        <f>IF($F900="","",IFERROR(INDEX(사건마스터!$AP$5:$AP$64,MATCH($F900,사건마스터!$A$5:$A$64,0)),""))</f>
        <v/>
      </c>
      <c r="T900" s="136">
        <f>IF($F900="","",IFERROR(INDEX(사건마스터!$AQ$5:$AQ$64,MATCH($F900,사건마스터!$A$5:$A$64,0)),""))</f>
        <v/>
      </c>
      <c r="U900" s="136">
        <f>IF($F900="","",IFERROR(INDEX(사건마스터!$AR$5:$AR$64,MATCH($F900,사건마스터!$A$5:$A$64,0)),""))</f>
        <v/>
      </c>
      <c r="V900" s="136">
        <f>IF($F900="","",IFERROR(INDEX(사건마스터!$AS$5:$AS$64,MATCH($F900,사건마스터!$A$5:$A$64,0)),""))</f>
        <v/>
      </c>
      <c r="W900" s="136">
        <f>IF($F900="","",IFERROR(INDEX(사건마스터!$AT$5:$AT$64,MATCH($F900,사건마스터!$A$5:$A$64,0)),""))</f>
        <v/>
      </c>
      <c r="X900" s="136">
        <f>IF($F900="","",IFERROR(INDEX(사건마스터!$AU$5:$AU$64,MATCH($F900,사건마스터!$A$5:$A$64,0)),""))</f>
        <v/>
      </c>
      <c r="Y900" s="136">
        <f>IF($F900="","",IFERROR(INDEX(사건마스터!$AV$5:$AV$64,MATCH($F900,사건마스터!$A$5:$A$64,0)),""))</f>
        <v/>
      </c>
      <c r="Z900" s="118">
        <f>IF(COUNTBLANK($J900:$Y900)=16,"",16-COUNTBLANK($J900:$Y900))</f>
        <v/>
      </c>
      <c r="AA900" s="33">
        <f>IF($J900="",MID($AX900,3,255),$J900&amp;$AX900)</f>
        <v/>
      </c>
      <c r="AB900" s="130">
        <f>IF($J900="","",IFERROR(INDEX(코드설정!$D$5:$D$24,MATCH($J900,코드설정!$C$5:$C$24,0)),""))</f>
        <v/>
      </c>
      <c r="AC900" s="36" t="n"/>
      <c r="AD900" s="37" t="n"/>
      <c r="AE900" s="38" t="n"/>
      <c r="AF900" s="118">
        <f>IF(OR($B900="",$C900=""),"",$C900-$B900+1)</f>
        <v/>
      </c>
      <c r="AG900" s="74" t="n"/>
      <c r="AH900" s="36" t="n"/>
      <c r="AJ900">
        <f>IF($K900="","",", "&amp;$K900)</f>
        <v/>
      </c>
      <c r="AK900">
        <f>AJ900&amp;IF($L900="","",", "&amp;$L900)</f>
        <v/>
      </c>
      <c r="AL900">
        <f>AK900&amp;IF($M900="","",", "&amp;$M900)</f>
        <v/>
      </c>
      <c r="AM900">
        <f>AL900&amp;IF($N900="","",", "&amp;$N900)</f>
        <v/>
      </c>
      <c r="AN900">
        <f>AM900&amp;IF($O900="","",", "&amp;$O900)</f>
        <v/>
      </c>
      <c r="AO900">
        <f>AN900&amp;IF($P900="","",", "&amp;$P900)</f>
        <v/>
      </c>
      <c r="AP900">
        <f>AO900&amp;IF($Q900="","",", "&amp;$Q900)</f>
        <v/>
      </c>
      <c r="AQ900">
        <f>AP900&amp;IF($R900="","",", "&amp;$R900)</f>
        <v/>
      </c>
      <c r="AR900">
        <f>AQ900&amp;IF($S900="","",", "&amp;$S900)</f>
        <v/>
      </c>
      <c r="AS900">
        <f>AR900&amp;IF($T900="","",", "&amp;$T900)</f>
        <v/>
      </c>
      <c r="AT900">
        <f>AS900&amp;IF($U900="","",", "&amp;$U900)</f>
        <v/>
      </c>
      <c r="AU900">
        <f>AT900&amp;IF($V900="","",", "&amp;$V900)</f>
        <v/>
      </c>
      <c r="AV900">
        <f>AU900&amp;IF($W900="","",", "&amp;$W900)</f>
        <v/>
      </c>
      <c r="AW900">
        <f>AV900&amp;IF($X900="","",", "&amp;$X900)</f>
        <v/>
      </c>
      <c r="AX900">
        <f>AW900&amp;IF($Y900="","",", "&amp;$Y900)</f>
        <v/>
      </c>
    </row>
    <row r="901">
      <c r="A901" s="118">
        <f>IF($B901="","",COUNT($B$5:$B901))</f>
        <v/>
      </c>
      <c r="B901" s="80" t="n"/>
      <c r="C901" s="80" t="n"/>
      <c r="D901" s="74" t="n"/>
      <c r="E901" s="74" t="n"/>
      <c r="F901" s="74" t="n"/>
      <c r="G901" s="118">
        <f>IF($F901="","",COUNTIF($F$5:$F901,$F901))</f>
        <v/>
      </c>
      <c r="H901" s="33">
        <f>IF($F901="","",IFERROR(INDEX(사건마스터!$B$5:$B$64,MATCH($F901,사건마스터!$A$5:$A$64,0)),""))</f>
        <v/>
      </c>
      <c r="I901" s="130">
        <f>IF($F901="","",IFERROR(INDEX(사건마스터!$C$5:$C$64,MATCH($F901,사건마스터!$A$5:$A$64,0)),""))</f>
        <v/>
      </c>
      <c r="J901" s="136">
        <f>IF($F901="","",IFERROR(INDEX(사건마스터!$H$5:$H$64,MATCH($F901,사건마스터!$A$5:$A$64,0)),""))</f>
        <v/>
      </c>
      <c r="K901" s="136">
        <f>IF($F901="","",IFERROR(INDEX(사건마스터!$AH$5:$AH$64,MATCH($F901,사건마스터!$A$5:$A$64,0)),""))</f>
        <v/>
      </c>
      <c r="L901" s="136">
        <f>IF($F901="","",IFERROR(INDEX(사건마스터!$AI$5:$AI$64,MATCH($F901,사건마스터!$A$5:$A$64,0)),""))</f>
        <v/>
      </c>
      <c r="M901" s="136">
        <f>IF($F901="","",IFERROR(INDEX(사건마스터!$AJ$5:$AJ$64,MATCH($F901,사건마스터!$A$5:$A$64,0)),""))</f>
        <v/>
      </c>
      <c r="N901" s="136">
        <f>IF($F901="","",IFERROR(INDEX(사건마스터!$AK$5:$AK$64,MATCH($F901,사건마스터!$A$5:$A$64,0)),""))</f>
        <v/>
      </c>
      <c r="O901" s="136">
        <f>IF($F901="","",IFERROR(INDEX(사건마스터!$AL$5:$AL$64,MATCH($F901,사건마스터!$A$5:$A$64,0)),""))</f>
        <v/>
      </c>
      <c r="P901" s="136">
        <f>IF($F901="","",IFERROR(INDEX(사건마스터!$AM$5:$AM$64,MATCH($F901,사건마스터!$A$5:$A$64,0)),""))</f>
        <v/>
      </c>
      <c r="Q901" s="136">
        <f>IF($F901="","",IFERROR(INDEX(사건마스터!$AN$5:$AN$64,MATCH($F901,사건마스터!$A$5:$A$64,0)),""))</f>
        <v/>
      </c>
      <c r="R901" s="136">
        <f>IF($F901="","",IFERROR(INDEX(사건마스터!$AO$5:$AO$64,MATCH($F901,사건마스터!$A$5:$A$64,0)),""))</f>
        <v/>
      </c>
      <c r="S901" s="136">
        <f>IF($F901="","",IFERROR(INDEX(사건마스터!$AP$5:$AP$64,MATCH($F901,사건마스터!$A$5:$A$64,0)),""))</f>
        <v/>
      </c>
      <c r="T901" s="136">
        <f>IF($F901="","",IFERROR(INDEX(사건마스터!$AQ$5:$AQ$64,MATCH($F901,사건마스터!$A$5:$A$64,0)),""))</f>
        <v/>
      </c>
      <c r="U901" s="136">
        <f>IF($F901="","",IFERROR(INDEX(사건마스터!$AR$5:$AR$64,MATCH($F901,사건마스터!$A$5:$A$64,0)),""))</f>
        <v/>
      </c>
      <c r="V901" s="136">
        <f>IF($F901="","",IFERROR(INDEX(사건마스터!$AS$5:$AS$64,MATCH($F901,사건마스터!$A$5:$A$64,0)),""))</f>
        <v/>
      </c>
      <c r="W901" s="136">
        <f>IF($F901="","",IFERROR(INDEX(사건마스터!$AT$5:$AT$64,MATCH($F901,사건마스터!$A$5:$A$64,0)),""))</f>
        <v/>
      </c>
      <c r="X901" s="136">
        <f>IF($F901="","",IFERROR(INDEX(사건마스터!$AU$5:$AU$64,MATCH($F901,사건마스터!$A$5:$A$64,0)),""))</f>
        <v/>
      </c>
      <c r="Y901" s="136">
        <f>IF($F901="","",IFERROR(INDEX(사건마스터!$AV$5:$AV$64,MATCH($F901,사건마스터!$A$5:$A$64,0)),""))</f>
        <v/>
      </c>
      <c r="Z901" s="118">
        <f>IF(COUNTBLANK($J901:$Y901)=16,"",16-COUNTBLANK($J901:$Y901))</f>
        <v/>
      </c>
      <c r="AA901" s="33">
        <f>IF($J901="",MID($AX901,3,255),$J901&amp;$AX901)</f>
        <v/>
      </c>
      <c r="AB901" s="130">
        <f>IF($J901="","",IFERROR(INDEX(코드설정!$D$5:$D$24,MATCH($J901,코드설정!$C$5:$C$24,0)),""))</f>
        <v/>
      </c>
      <c r="AC901" s="36" t="n"/>
      <c r="AD901" s="37" t="n"/>
      <c r="AE901" s="38" t="n"/>
      <c r="AF901" s="118">
        <f>IF(OR($B901="",$C901=""),"",$C901-$B901+1)</f>
        <v/>
      </c>
      <c r="AG901" s="74" t="n"/>
      <c r="AH901" s="36" t="n"/>
      <c r="AJ901">
        <f>IF($K901="","",", "&amp;$K901)</f>
        <v/>
      </c>
      <c r="AK901">
        <f>AJ901&amp;IF($L901="","",", "&amp;$L901)</f>
        <v/>
      </c>
      <c r="AL901">
        <f>AK901&amp;IF($M901="","",", "&amp;$M901)</f>
        <v/>
      </c>
      <c r="AM901">
        <f>AL901&amp;IF($N901="","",", "&amp;$N901)</f>
        <v/>
      </c>
      <c r="AN901">
        <f>AM901&amp;IF($O901="","",", "&amp;$O901)</f>
        <v/>
      </c>
      <c r="AO901">
        <f>AN901&amp;IF($P901="","",", "&amp;$P901)</f>
        <v/>
      </c>
      <c r="AP901">
        <f>AO901&amp;IF($Q901="","",", "&amp;$Q901)</f>
        <v/>
      </c>
      <c r="AQ901">
        <f>AP901&amp;IF($R901="","",", "&amp;$R901)</f>
        <v/>
      </c>
      <c r="AR901">
        <f>AQ901&amp;IF($S901="","",", "&amp;$S901)</f>
        <v/>
      </c>
      <c r="AS901">
        <f>AR901&amp;IF($T901="","",", "&amp;$T901)</f>
        <v/>
      </c>
      <c r="AT901">
        <f>AS901&amp;IF($U901="","",", "&amp;$U901)</f>
        <v/>
      </c>
      <c r="AU901">
        <f>AT901&amp;IF($V901="","",", "&amp;$V901)</f>
        <v/>
      </c>
      <c r="AV901">
        <f>AU901&amp;IF($W901="","",", "&amp;$W901)</f>
        <v/>
      </c>
      <c r="AW901">
        <f>AV901&amp;IF($X901="","",", "&amp;$X901)</f>
        <v/>
      </c>
      <c r="AX901">
        <f>AW901&amp;IF($Y901="","",", "&amp;$Y901)</f>
        <v/>
      </c>
    </row>
    <row r="902">
      <c r="A902" s="118">
        <f>IF($B902="","",COUNT($B$5:$B902))</f>
        <v/>
      </c>
      <c r="B902" s="80" t="n"/>
      <c r="C902" s="80" t="n"/>
      <c r="D902" s="74" t="n"/>
      <c r="E902" s="74" t="n"/>
      <c r="F902" s="74" t="n"/>
      <c r="G902" s="118">
        <f>IF($F902="","",COUNTIF($F$5:$F902,$F902))</f>
        <v/>
      </c>
      <c r="H902" s="33">
        <f>IF($F902="","",IFERROR(INDEX(사건마스터!$B$5:$B$64,MATCH($F902,사건마스터!$A$5:$A$64,0)),""))</f>
        <v/>
      </c>
      <c r="I902" s="130">
        <f>IF($F902="","",IFERROR(INDEX(사건마스터!$C$5:$C$64,MATCH($F902,사건마스터!$A$5:$A$64,0)),""))</f>
        <v/>
      </c>
      <c r="J902" s="136">
        <f>IF($F902="","",IFERROR(INDEX(사건마스터!$H$5:$H$64,MATCH($F902,사건마스터!$A$5:$A$64,0)),""))</f>
        <v/>
      </c>
      <c r="K902" s="136">
        <f>IF($F902="","",IFERROR(INDEX(사건마스터!$AH$5:$AH$64,MATCH($F902,사건마스터!$A$5:$A$64,0)),""))</f>
        <v/>
      </c>
      <c r="L902" s="136">
        <f>IF($F902="","",IFERROR(INDEX(사건마스터!$AI$5:$AI$64,MATCH($F902,사건마스터!$A$5:$A$64,0)),""))</f>
        <v/>
      </c>
      <c r="M902" s="136">
        <f>IF($F902="","",IFERROR(INDEX(사건마스터!$AJ$5:$AJ$64,MATCH($F902,사건마스터!$A$5:$A$64,0)),""))</f>
        <v/>
      </c>
      <c r="N902" s="136">
        <f>IF($F902="","",IFERROR(INDEX(사건마스터!$AK$5:$AK$64,MATCH($F902,사건마스터!$A$5:$A$64,0)),""))</f>
        <v/>
      </c>
      <c r="O902" s="136">
        <f>IF($F902="","",IFERROR(INDEX(사건마스터!$AL$5:$AL$64,MATCH($F902,사건마스터!$A$5:$A$64,0)),""))</f>
        <v/>
      </c>
      <c r="P902" s="136">
        <f>IF($F902="","",IFERROR(INDEX(사건마스터!$AM$5:$AM$64,MATCH($F902,사건마스터!$A$5:$A$64,0)),""))</f>
        <v/>
      </c>
      <c r="Q902" s="136">
        <f>IF($F902="","",IFERROR(INDEX(사건마스터!$AN$5:$AN$64,MATCH($F902,사건마스터!$A$5:$A$64,0)),""))</f>
        <v/>
      </c>
      <c r="R902" s="136">
        <f>IF($F902="","",IFERROR(INDEX(사건마스터!$AO$5:$AO$64,MATCH($F902,사건마스터!$A$5:$A$64,0)),""))</f>
        <v/>
      </c>
      <c r="S902" s="136">
        <f>IF($F902="","",IFERROR(INDEX(사건마스터!$AP$5:$AP$64,MATCH($F902,사건마스터!$A$5:$A$64,0)),""))</f>
        <v/>
      </c>
      <c r="T902" s="136">
        <f>IF($F902="","",IFERROR(INDEX(사건마스터!$AQ$5:$AQ$64,MATCH($F902,사건마스터!$A$5:$A$64,0)),""))</f>
        <v/>
      </c>
      <c r="U902" s="136">
        <f>IF($F902="","",IFERROR(INDEX(사건마스터!$AR$5:$AR$64,MATCH($F902,사건마스터!$A$5:$A$64,0)),""))</f>
        <v/>
      </c>
      <c r="V902" s="136">
        <f>IF($F902="","",IFERROR(INDEX(사건마스터!$AS$5:$AS$64,MATCH($F902,사건마스터!$A$5:$A$64,0)),""))</f>
        <v/>
      </c>
      <c r="W902" s="136">
        <f>IF($F902="","",IFERROR(INDEX(사건마스터!$AT$5:$AT$64,MATCH($F902,사건마스터!$A$5:$A$64,0)),""))</f>
        <v/>
      </c>
      <c r="X902" s="136">
        <f>IF($F902="","",IFERROR(INDEX(사건마스터!$AU$5:$AU$64,MATCH($F902,사건마스터!$A$5:$A$64,0)),""))</f>
        <v/>
      </c>
      <c r="Y902" s="136">
        <f>IF($F902="","",IFERROR(INDEX(사건마스터!$AV$5:$AV$64,MATCH($F902,사건마스터!$A$5:$A$64,0)),""))</f>
        <v/>
      </c>
      <c r="Z902" s="118">
        <f>IF(COUNTBLANK($J902:$Y902)=16,"",16-COUNTBLANK($J902:$Y902))</f>
        <v/>
      </c>
      <c r="AA902" s="33">
        <f>IF($J902="",MID($AX902,3,255),$J902&amp;$AX902)</f>
        <v/>
      </c>
      <c r="AB902" s="130">
        <f>IF($J902="","",IFERROR(INDEX(코드설정!$D$5:$D$24,MATCH($J902,코드설정!$C$5:$C$24,0)),""))</f>
        <v/>
      </c>
      <c r="AC902" s="36" t="n"/>
      <c r="AD902" s="37" t="n"/>
      <c r="AE902" s="38" t="n"/>
      <c r="AF902" s="118">
        <f>IF(OR($B902="",$C902=""),"",$C902-$B902+1)</f>
        <v/>
      </c>
      <c r="AG902" s="74" t="n"/>
      <c r="AH902" s="36" t="n"/>
      <c r="AJ902">
        <f>IF($K902="","",", "&amp;$K902)</f>
        <v/>
      </c>
      <c r="AK902">
        <f>AJ902&amp;IF($L902="","",", "&amp;$L902)</f>
        <v/>
      </c>
      <c r="AL902">
        <f>AK902&amp;IF($M902="","",", "&amp;$M902)</f>
        <v/>
      </c>
      <c r="AM902">
        <f>AL902&amp;IF($N902="","",", "&amp;$N902)</f>
        <v/>
      </c>
      <c r="AN902">
        <f>AM902&amp;IF($O902="","",", "&amp;$O902)</f>
        <v/>
      </c>
      <c r="AO902">
        <f>AN902&amp;IF($P902="","",", "&amp;$P902)</f>
        <v/>
      </c>
      <c r="AP902">
        <f>AO902&amp;IF($Q902="","",", "&amp;$Q902)</f>
        <v/>
      </c>
      <c r="AQ902">
        <f>AP902&amp;IF($R902="","",", "&amp;$R902)</f>
        <v/>
      </c>
      <c r="AR902">
        <f>AQ902&amp;IF($S902="","",", "&amp;$S902)</f>
        <v/>
      </c>
      <c r="AS902">
        <f>AR902&amp;IF($T902="","",", "&amp;$T902)</f>
        <v/>
      </c>
      <c r="AT902">
        <f>AS902&amp;IF($U902="","",", "&amp;$U902)</f>
        <v/>
      </c>
      <c r="AU902">
        <f>AT902&amp;IF($V902="","",", "&amp;$V902)</f>
        <v/>
      </c>
      <c r="AV902">
        <f>AU902&amp;IF($W902="","",", "&amp;$W902)</f>
        <v/>
      </c>
      <c r="AW902">
        <f>AV902&amp;IF($X902="","",", "&amp;$X902)</f>
        <v/>
      </c>
      <c r="AX902">
        <f>AW902&amp;IF($Y902="","",", "&amp;$Y902)</f>
        <v/>
      </c>
    </row>
    <row r="903">
      <c r="A903" s="118">
        <f>IF($B903="","",COUNT($B$5:$B903))</f>
        <v/>
      </c>
      <c r="B903" s="80" t="n"/>
      <c r="C903" s="80" t="n"/>
      <c r="D903" s="74" t="n"/>
      <c r="E903" s="74" t="n"/>
      <c r="F903" s="74" t="n"/>
      <c r="G903" s="118">
        <f>IF($F903="","",COUNTIF($F$5:$F903,$F903))</f>
        <v/>
      </c>
      <c r="H903" s="33">
        <f>IF($F903="","",IFERROR(INDEX(사건마스터!$B$5:$B$64,MATCH($F903,사건마스터!$A$5:$A$64,0)),""))</f>
        <v/>
      </c>
      <c r="I903" s="130">
        <f>IF($F903="","",IFERROR(INDEX(사건마스터!$C$5:$C$64,MATCH($F903,사건마스터!$A$5:$A$64,0)),""))</f>
        <v/>
      </c>
      <c r="J903" s="136">
        <f>IF($F903="","",IFERROR(INDEX(사건마스터!$H$5:$H$64,MATCH($F903,사건마스터!$A$5:$A$64,0)),""))</f>
        <v/>
      </c>
      <c r="K903" s="136">
        <f>IF($F903="","",IFERROR(INDEX(사건마스터!$AH$5:$AH$64,MATCH($F903,사건마스터!$A$5:$A$64,0)),""))</f>
        <v/>
      </c>
      <c r="L903" s="136">
        <f>IF($F903="","",IFERROR(INDEX(사건마스터!$AI$5:$AI$64,MATCH($F903,사건마스터!$A$5:$A$64,0)),""))</f>
        <v/>
      </c>
      <c r="M903" s="136">
        <f>IF($F903="","",IFERROR(INDEX(사건마스터!$AJ$5:$AJ$64,MATCH($F903,사건마스터!$A$5:$A$64,0)),""))</f>
        <v/>
      </c>
      <c r="N903" s="136">
        <f>IF($F903="","",IFERROR(INDEX(사건마스터!$AK$5:$AK$64,MATCH($F903,사건마스터!$A$5:$A$64,0)),""))</f>
        <v/>
      </c>
      <c r="O903" s="136">
        <f>IF($F903="","",IFERROR(INDEX(사건마스터!$AL$5:$AL$64,MATCH($F903,사건마스터!$A$5:$A$64,0)),""))</f>
        <v/>
      </c>
      <c r="P903" s="136">
        <f>IF($F903="","",IFERROR(INDEX(사건마스터!$AM$5:$AM$64,MATCH($F903,사건마스터!$A$5:$A$64,0)),""))</f>
        <v/>
      </c>
      <c r="Q903" s="136">
        <f>IF($F903="","",IFERROR(INDEX(사건마스터!$AN$5:$AN$64,MATCH($F903,사건마스터!$A$5:$A$64,0)),""))</f>
        <v/>
      </c>
      <c r="R903" s="136">
        <f>IF($F903="","",IFERROR(INDEX(사건마스터!$AO$5:$AO$64,MATCH($F903,사건마스터!$A$5:$A$64,0)),""))</f>
        <v/>
      </c>
      <c r="S903" s="136">
        <f>IF($F903="","",IFERROR(INDEX(사건마스터!$AP$5:$AP$64,MATCH($F903,사건마스터!$A$5:$A$64,0)),""))</f>
        <v/>
      </c>
      <c r="T903" s="136">
        <f>IF($F903="","",IFERROR(INDEX(사건마스터!$AQ$5:$AQ$64,MATCH($F903,사건마스터!$A$5:$A$64,0)),""))</f>
        <v/>
      </c>
      <c r="U903" s="136">
        <f>IF($F903="","",IFERROR(INDEX(사건마스터!$AR$5:$AR$64,MATCH($F903,사건마스터!$A$5:$A$64,0)),""))</f>
        <v/>
      </c>
      <c r="V903" s="136">
        <f>IF($F903="","",IFERROR(INDEX(사건마스터!$AS$5:$AS$64,MATCH($F903,사건마스터!$A$5:$A$64,0)),""))</f>
        <v/>
      </c>
      <c r="W903" s="136">
        <f>IF($F903="","",IFERROR(INDEX(사건마스터!$AT$5:$AT$64,MATCH($F903,사건마스터!$A$5:$A$64,0)),""))</f>
        <v/>
      </c>
      <c r="X903" s="136">
        <f>IF($F903="","",IFERROR(INDEX(사건마스터!$AU$5:$AU$64,MATCH($F903,사건마스터!$A$5:$A$64,0)),""))</f>
        <v/>
      </c>
      <c r="Y903" s="136">
        <f>IF($F903="","",IFERROR(INDEX(사건마스터!$AV$5:$AV$64,MATCH($F903,사건마스터!$A$5:$A$64,0)),""))</f>
        <v/>
      </c>
      <c r="Z903" s="118">
        <f>IF(COUNTBLANK($J903:$Y903)=16,"",16-COUNTBLANK($J903:$Y903))</f>
        <v/>
      </c>
      <c r="AA903" s="33">
        <f>IF($J903="",MID($AX903,3,255),$J903&amp;$AX903)</f>
        <v/>
      </c>
      <c r="AB903" s="130">
        <f>IF($J903="","",IFERROR(INDEX(코드설정!$D$5:$D$24,MATCH($J903,코드설정!$C$5:$C$24,0)),""))</f>
        <v/>
      </c>
      <c r="AC903" s="36" t="n"/>
      <c r="AD903" s="37" t="n"/>
      <c r="AE903" s="38" t="n"/>
      <c r="AF903" s="118">
        <f>IF(OR($B903="",$C903=""),"",$C903-$B903+1)</f>
        <v/>
      </c>
      <c r="AG903" s="74" t="n"/>
      <c r="AH903" s="36" t="n"/>
      <c r="AJ903">
        <f>IF($K903="","",", "&amp;$K903)</f>
        <v/>
      </c>
      <c r="AK903">
        <f>AJ903&amp;IF($L903="","",", "&amp;$L903)</f>
        <v/>
      </c>
      <c r="AL903">
        <f>AK903&amp;IF($M903="","",", "&amp;$M903)</f>
        <v/>
      </c>
      <c r="AM903">
        <f>AL903&amp;IF($N903="","",", "&amp;$N903)</f>
        <v/>
      </c>
      <c r="AN903">
        <f>AM903&amp;IF($O903="","",", "&amp;$O903)</f>
        <v/>
      </c>
      <c r="AO903">
        <f>AN903&amp;IF($P903="","",", "&amp;$P903)</f>
        <v/>
      </c>
      <c r="AP903">
        <f>AO903&amp;IF($Q903="","",", "&amp;$Q903)</f>
        <v/>
      </c>
      <c r="AQ903">
        <f>AP903&amp;IF($R903="","",", "&amp;$R903)</f>
        <v/>
      </c>
      <c r="AR903">
        <f>AQ903&amp;IF($S903="","",", "&amp;$S903)</f>
        <v/>
      </c>
      <c r="AS903">
        <f>AR903&amp;IF($T903="","",", "&amp;$T903)</f>
        <v/>
      </c>
      <c r="AT903">
        <f>AS903&amp;IF($U903="","",", "&amp;$U903)</f>
        <v/>
      </c>
      <c r="AU903">
        <f>AT903&amp;IF($V903="","",", "&amp;$V903)</f>
        <v/>
      </c>
      <c r="AV903">
        <f>AU903&amp;IF($W903="","",", "&amp;$W903)</f>
        <v/>
      </c>
      <c r="AW903">
        <f>AV903&amp;IF($X903="","",", "&amp;$X903)</f>
        <v/>
      </c>
      <c r="AX903">
        <f>AW903&amp;IF($Y903="","",", "&amp;$Y903)</f>
        <v/>
      </c>
    </row>
    <row r="904">
      <c r="A904" s="118">
        <f>IF($B904="","",COUNT($B$5:$B904))</f>
        <v/>
      </c>
      <c r="B904" s="80" t="n"/>
      <c r="C904" s="80" t="n"/>
      <c r="D904" s="74" t="n"/>
      <c r="E904" s="74" t="n"/>
      <c r="F904" s="74" t="n"/>
      <c r="G904" s="118">
        <f>IF($F904="","",COUNTIF($F$5:$F904,$F904))</f>
        <v/>
      </c>
      <c r="H904" s="33">
        <f>IF($F904="","",IFERROR(INDEX(사건마스터!$B$5:$B$64,MATCH($F904,사건마스터!$A$5:$A$64,0)),""))</f>
        <v/>
      </c>
      <c r="I904" s="130">
        <f>IF($F904="","",IFERROR(INDEX(사건마스터!$C$5:$C$64,MATCH($F904,사건마스터!$A$5:$A$64,0)),""))</f>
        <v/>
      </c>
      <c r="J904" s="136">
        <f>IF($F904="","",IFERROR(INDEX(사건마스터!$H$5:$H$64,MATCH($F904,사건마스터!$A$5:$A$64,0)),""))</f>
        <v/>
      </c>
      <c r="K904" s="136">
        <f>IF($F904="","",IFERROR(INDEX(사건마스터!$AH$5:$AH$64,MATCH($F904,사건마스터!$A$5:$A$64,0)),""))</f>
        <v/>
      </c>
      <c r="L904" s="136">
        <f>IF($F904="","",IFERROR(INDEX(사건마스터!$AI$5:$AI$64,MATCH($F904,사건마스터!$A$5:$A$64,0)),""))</f>
        <v/>
      </c>
      <c r="M904" s="136">
        <f>IF($F904="","",IFERROR(INDEX(사건마스터!$AJ$5:$AJ$64,MATCH($F904,사건마스터!$A$5:$A$64,0)),""))</f>
        <v/>
      </c>
      <c r="N904" s="136">
        <f>IF($F904="","",IFERROR(INDEX(사건마스터!$AK$5:$AK$64,MATCH($F904,사건마스터!$A$5:$A$64,0)),""))</f>
        <v/>
      </c>
      <c r="O904" s="136">
        <f>IF($F904="","",IFERROR(INDEX(사건마스터!$AL$5:$AL$64,MATCH($F904,사건마스터!$A$5:$A$64,0)),""))</f>
        <v/>
      </c>
      <c r="P904" s="136">
        <f>IF($F904="","",IFERROR(INDEX(사건마스터!$AM$5:$AM$64,MATCH($F904,사건마스터!$A$5:$A$64,0)),""))</f>
        <v/>
      </c>
      <c r="Q904" s="136">
        <f>IF($F904="","",IFERROR(INDEX(사건마스터!$AN$5:$AN$64,MATCH($F904,사건마스터!$A$5:$A$64,0)),""))</f>
        <v/>
      </c>
      <c r="R904" s="136">
        <f>IF($F904="","",IFERROR(INDEX(사건마스터!$AO$5:$AO$64,MATCH($F904,사건마스터!$A$5:$A$64,0)),""))</f>
        <v/>
      </c>
      <c r="S904" s="136">
        <f>IF($F904="","",IFERROR(INDEX(사건마스터!$AP$5:$AP$64,MATCH($F904,사건마스터!$A$5:$A$64,0)),""))</f>
        <v/>
      </c>
      <c r="T904" s="136">
        <f>IF($F904="","",IFERROR(INDEX(사건마스터!$AQ$5:$AQ$64,MATCH($F904,사건마스터!$A$5:$A$64,0)),""))</f>
        <v/>
      </c>
      <c r="U904" s="136">
        <f>IF($F904="","",IFERROR(INDEX(사건마스터!$AR$5:$AR$64,MATCH($F904,사건마스터!$A$5:$A$64,0)),""))</f>
        <v/>
      </c>
      <c r="V904" s="136">
        <f>IF($F904="","",IFERROR(INDEX(사건마스터!$AS$5:$AS$64,MATCH($F904,사건마스터!$A$5:$A$64,0)),""))</f>
        <v/>
      </c>
      <c r="W904" s="136">
        <f>IF($F904="","",IFERROR(INDEX(사건마스터!$AT$5:$AT$64,MATCH($F904,사건마스터!$A$5:$A$64,0)),""))</f>
        <v/>
      </c>
      <c r="X904" s="136">
        <f>IF($F904="","",IFERROR(INDEX(사건마스터!$AU$5:$AU$64,MATCH($F904,사건마스터!$A$5:$A$64,0)),""))</f>
        <v/>
      </c>
      <c r="Y904" s="136">
        <f>IF($F904="","",IFERROR(INDEX(사건마스터!$AV$5:$AV$64,MATCH($F904,사건마스터!$A$5:$A$64,0)),""))</f>
        <v/>
      </c>
      <c r="Z904" s="118">
        <f>IF(COUNTBLANK($J904:$Y904)=16,"",16-COUNTBLANK($J904:$Y904))</f>
        <v/>
      </c>
      <c r="AA904" s="33">
        <f>IF($J904="",MID($AX904,3,255),$J904&amp;$AX904)</f>
        <v/>
      </c>
      <c r="AB904" s="130">
        <f>IF($J904="","",IFERROR(INDEX(코드설정!$D$5:$D$24,MATCH($J904,코드설정!$C$5:$C$24,0)),""))</f>
        <v/>
      </c>
      <c r="AC904" s="36" t="n"/>
      <c r="AD904" s="37" t="n"/>
      <c r="AE904" s="38" t="n"/>
      <c r="AF904" s="118">
        <f>IF(OR($B904="",$C904=""),"",$C904-$B904+1)</f>
        <v/>
      </c>
      <c r="AG904" s="74" t="n"/>
      <c r="AH904" s="36" t="n"/>
      <c r="AJ904">
        <f>IF($K904="","",", "&amp;$K904)</f>
        <v/>
      </c>
      <c r="AK904">
        <f>AJ904&amp;IF($L904="","",", "&amp;$L904)</f>
        <v/>
      </c>
      <c r="AL904">
        <f>AK904&amp;IF($M904="","",", "&amp;$M904)</f>
        <v/>
      </c>
      <c r="AM904">
        <f>AL904&amp;IF($N904="","",", "&amp;$N904)</f>
        <v/>
      </c>
      <c r="AN904">
        <f>AM904&amp;IF($O904="","",", "&amp;$O904)</f>
        <v/>
      </c>
      <c r="AO904">
        <f>AN904&amp;IF($P904="","",", "&amp;$P904)</f>
        <v/>
      </c>
      <c r="AP904">
        <f>AO904&amp;IF($Q904="","",", "&amp;$Q904)</f>
        <v/>
      </c>
      <c r="AQ904">
        <f>AP904&amp;IF($R904="","",", "&amp;$R904)</f>
        <v/>
      </c>
      <c r="AR904">
        <f>AQ904&amp;IF($S904="","",", "&amp;$S904)</f>
        <v/>
      </c>
      <c r="AS904">
        <f>AR904&amp;IF($T904="","",", "&amp;$T904)</f>
        <v/>
      </c>
      <c r="AT904">
        <f>AS904&amp;IF($U904="","",", "&amp;$U904)</f>
        <v/>
      </c>
      <c r="AU904">
        <f>AT904&amp;IF($V904="","",", "&amp;$V904)</f>
        <v/>
      </c>
      <c r="AV904">
        <f>AU904&amp;IF($W904="","",", "&amp;$W904)</f>
        <v/>
      </c>
      <c r="AW904">
        <f>AV904&amp;IF($X904="","",", "&amp;$X904)</f>
        <v/>
      </c>
      <c r="AX904">
        <f>AW904&amp;IF($Y904="","",", "&amp;$Y904)</f>
        <v/>
      </c>
    </row>
    <row r="905">
      <c r="A905" s="118">
        <f>IF($B905="","",COUNT($B$5:$B905))</f>
        <v/>
      </c>
      <c r="B905" s="80" t="n"/>
      <c r="C905" s="80" t="n"/>
      <c r="D905" s="74" t="n"/>
      <c r="E905" s="74" t="n"/>
      <c r="F905" s="74" t="n"/>
      <c r="G905" s="118">
        <f>IF($F905="","",COUNTIF($F$5:$F905,$F905))</f>
        <v/>
      </c>
      <c r="H905" s="33">
        <f>IF($F905="","",IFERROR(INDEX(사건마스터!$B$5:$B$64,MATCH($F905,사건마스터!$A$5:$A$64,0)),""))</f>
        <v/>
      </c>
      <c r="I905" s="130">
        <f>IF($F905="","",IFERROR(INDEX(사건마스터!$C$5:$C$64,MATCH($F905,사건마스터!$A$5:$A$64,0)),""))</f>
        <v/>
      </c>
      <c r="J905" s="136">
        <f>IF($F905="","",IFERROR(INDEX(사건마스터!$H$5:$H$64,MATCH($F905,사건마스터!$A$5:$A$64,0)),""))</f>
        <v/>
      </c>
      <c r="K905" s="136">
        <f>IF($F905="","",IFERROR(INDEX(사건마스터!$AH$5:$AH$64,MATCH($F905,사건마스터!$A$5:$A$64,0)),""))</f>
        <v/>
      </c>
      <c r="L905" s="136">
        <f>IF($F905="","",IFERROR(INDEX(사건마스터!$AI$5:$AI$64,MATCH($F905,사건마스터!$A$5:$A$64,0)),""))</f>
        <v/>
      </c>
      <c r="M905" s="136">
        <f>IF($F905="","",IFERROR(INDEX(사건마스터!$AJ$5:$AJ$64,MATCH($F905,사건마스터!$A$5:$A$64,0)),""))</f>
        <v/>
      </c>
      <c r="N905" s="136">
        <f>IF($F905="","",IFERROR(INDEX(사건마스터!$AK$5:$AK$64,MATCH($F905,사건마스터!$A$5:$A$64,0)),""))</f>
        <v/>
      </c>
      <c r="O905" s="136">
        <f>IF($F905="","",IFERROR(INDEX(사건마스터!$AL$5:$AL$64,MATCH($F905,사건마스터!$A$5:$A$64,0)),""))</f>
        <v/>
      </c>
      <c r="P905" s="136">
        <f>IF($F905="","",IFERROR(INDEX(사건마스터!$AM$5:$AM$64,MATCH($F905,사건마스터!$A$5:$A$64,0)),""))</f>
        <v/>
      </c>
      <c r="Q905" s="136">
        <f>IF($F905="","",IFERROR(INDEX(사건마스터!$AN$5:$AN$64,MATCH($F905,사건마스터!$A$5:$A$64,0)),""))</f>
        <v/>
      </c>
      <c r="R905" s="136">
        <f>IF($F905="","",IFERROR(INDEX(사건마스터!$AO$5:$AO$64,MATCH($F905,사건마스터!$A$5:$A$64,0)),""))</f>
        <v/>
      </c>
      <c r="S905" s="136">
        <f>IF($F905="","",IFERROR(INDEX(사건마스터!$AP$5:$AP$64,MATCH($F905,사건마스터!$A$5:$A$64,0)),""))</f>
        <v/>
      </c>
      <c r="T905" s="136">
        <f>IF($F905="","",IFERROR(INDEX(사건마스터!$AQ$5:$AQ$64,MATCH($F905,사건마스터!$A$5:$A$64,0)),""))</f>
        <v/>
      </c>
      <c r="U905" s="136">
        <f>IF($F905="","",IFERROR(INDEX(사건마스터!$AR$5:$AR$64,MATCH($F905,사건마스터!$A$5:$A$64,0)),""))</f>
        <v/>
      </c>
      <c r="V905" s="136">
        <f>IF($F905="","",IFERROR(INDEX(사건마스터!$AS$5:$AS$64,MATCH($F905,사건마스터!$A$5:$A$64,0)),""))</f>
        <v/>
      </c>
      <c r="W905" s="136">
        <f>IF($F905="","",IFERROR(INDEX(사건마스터!$AT$5:$AT$64,MATCH($F905,사건마스터!$A$5:$A$64,0)),""))</f>
        <v/>
      </c>
      <c r="X905" s="136">
        <f>IF($F905="","",IFERROR(INDEX(사건마스터!$AU$5:$AU$64,MATCH($F905,사건마스터!$A$5:$A$64,0)),""))</f>
        <v/>
      </c>
      <c r="Y905" s="136">
        <f>IF($F905="","",IFERROR(INDEX(사건마스터!$AV$5:$AV$64,MATCH($F905,사건마스터!$A$5:$A$64,0)),""))</f>
        <v/>
      </c>
      <c r="Z905" s="118">
        <f>IF(COUNTBLANK($J905:$Y905)=16,"",16-COUNTBLANK($J905:$Y905))</f>
        <v/>
      </c>
      <c r="AA905" s="33">
        <f>IF($J905="",MID($AX905,3,255),$J905&amp;$AX905)</f>
        <v/>
      </c>
      <c r="AB905" s="130">
        <f>IF($J905="","",IFERROR(INDEX(코드설정!$D$5:$D$24,MATCH($J905,코드설정!$C$5:$C$24,0)),""))</f>
        <v/>
      </c>
      <c r="AC905" s="36" t="n"/>
      <c r="AD905" s="37" t="n"/>
      <c r="AE905" s="38" t="n"/>
      <c r="AF905" s="118">
        <f>IF(OR($B905="",$C905=""),"",$C905-$B905+1)</f>
        <v/>
      </c>
      <c r="AG905" s="74" t="n"/>
      <c r="AH905" s="36" t="n"/>
      <c r="AJ905">
        <f>IF($K905="","",", "&amp;$K905)</f>
        <v/>
      </c>
      <c r="AK905">
        <f>AJ905&amp;IF($L905="","",", "&amp;$L905)</f>
        <v/>
      </c>
      <c r="AL905">
        <f>AK905&amp;IF($M905="","",", "&amp;$M905)</f>
        <v/>
      </c>
      <c r="AM905">
        <f>AL905&amp;IF($N905="","",", "&amp;$N905)</f>
        <v/>
      </c>
      <c r="AN905">
        <f>AM905&amp;IF($O905="","",", "&amp;$O905)</f>
        <v/>
      </c>
      <c r="AO905">
        <f>AN905&amp;IF($P905="","",", "&amp;$P905)</f>
        <v/>
      </c>
      <c r="AP905">
        <f>AO905&amp;IF($Q905="","",", "&amp;$Q905)</f>
        <v/>
      </c>
      <c r="AQ905">
        <f>AP905&amp;IF($R905="","",", "&amp;$R905)</f>
        <v/>
      </c>
      <c r="AR905">
        <f>AQ905&amp;IF($S905="","",", "&amp;$S905)</f>
        <v/>
      </c>
      <c r="AS905">
        <f>AR905&amp;IF($T905="","",", "&amp;$T905)</f>
        <v/>
      </c>
      <c r="AT905">
        <f>AS905&amp;IF($U905="","",", "&amp;$U905)</f>
        <v/>
      </c>
      <c r="AU905">
        <f>AT905&amp;IF($V905="","",", "&amp;$V905)</f>
        <v/>
      </c>
      <c r="AV905">
        <f>AU905&amp;IF($W905="","",", "&amp;$W905)</f>
        <v/>
      </c>
      <c r="AW905">
        <f>AV905&amp;IF($X905="","",", "&amp;$X905)</f>
        <v/>
      </c>
      <c r="AX905">
        <f>AW905&amp;IF($Y905="","",", "&amp;$Y905)</f>
        <v/>
      </c>
    </row>
    <row r="906">
      <c r="A906" s="118">
        <f>IF($B906="","",COUNT($B$5:$B906))</f>
        <v/>
      </c>
      <c r="B906" s="80" t="n"/>
      <c r="C906" s="80" t="n"/>
      <c r="D906" s="74" t="n"/>
      <c r="E906" s="74" t="n"/>
      <c r="F906" s="74" t="n"/>
      <c r="G906" s="118">
        <f>IF($F906="","",COUNTIF($F$5:$F906,$F906))</f>
        <v/>
      </c>
      <c r="H906" s="33">
        <f>IF($F906="","",IFERROR(INDEX(사건마스터!$B$5:$B$64,MATCH($F906,사건마스터!$A$5:$A$64,0)),""))</f>
        <v/>
      </c>
      <c r="I906" s="130">
        <f>IF($F906="","",IFERROR(INDEX(사건마스터!$C$5:$C$64,MATCH($F906,사건마스터!$A$5:$A$64,0)),""))</f>
        <v/>
      </c>
      <c r="J906" s="136">
        <f>IF($F906="","",IFERROR(INDEX(사건마스터!$H$5:$H$64,MATCH($F906,사건마스터!$A$5:$A$64,0)),""))</f>
        <v/>
      </c>
      <c r="K906" s="136">
        <f>IF($F906="","",IFERROR(INDEX(사건마스터!$AH$5:$AH$64,MATCH($F906,사건마스터!$A$5:$A$64,0)),""))</f>
        <v/>
      </c>
      <c r="L906" s="136">
        <f>IF($F906="","",IFERROR(INDEX(사건마스터!$AI$5:$AI$64,MATCH($F906,사건마스터!$A$5:$A$64,0)),""))</f>
        <v/>
      </c>
      <c r="M906" s="136">
        <f>IF($F906="","",IFERROR(INDEX(사건마스터!$AJ$5:$AJ$64,MATCH($F906,사건마스터!$A$5:$A$64,0)),""))</f>
        <v/>
      </c>
      <c r="N906" s="136">
        <f>IF($F906="","",IFERROR(INDEX(사건마스터!$AK$5:$AK$64,MATCH($F906,사건마스터!$A$5:$A$64,0)),""))</f>
        <v/>
      </c>
      <c r="O906" s="136">
        <f>IF($F906="","",IFERROR(INDEX(사건마스터!$AL$5:$AL$64,MATCH($F906,사건마스터!$A$5:$A$64,0)),""))</f>
        <v/>
      </c>
      <c r="P906" s="136">
        <f>IF($F906="","",IFERROR(INDEX(사건마스터!$AM$5:$AM$64,MATCH($F906,사건마스터!$A$5:$A$64,0)),""))</f>
        <v/>
      </c>
      <c r="Q906" s="136">
        <f>IF($F906="","",IFERROR(INDEX(사건마스터!$AN$5:$AN$64,MATCH($F906,사건마스터!$A$5:$A$64,0)),""))</f>
        <v/>
      </c>
      <c r="R906" s="136">
        <f>IF($F906="","",IFERROR(INDEX(사건마스터!$AO$5:$AO$64,MATCH($F906,사건마스터!$A$5:$A$64,0)),""))</f>
        <v/>
      </c>
      <c r="S906" s="136">
        <f>IF($F906="","",IFERROR(INDEX(사건마스터!$AP$5:$AP$64,MATCH($F906,사건마스터!$A$5:$A$64,0)),""))</f>
        <v/>
      </c>
      <c r="T906" s="136">
        <f>IF($F906="","",IFERROR(INDEX(사건마스터!$AQ$5:$AQ$64,MATCH($F906,사건마스터!$A$5:$A$64,0)),""))</f>
        <v/>
      </c>
      <c r="U906" s="136">
        <f>IF($F906="","",IFERROR(INDEX(사건마스터!$AR$5:$AR$64,MATCH($F906,사건마스터!$A$5:$A$64,0)),""))</f>
        <v/>
      </c>
      <c r="V906" s="136">
        <f>IF($F906="","",IFERROR(INDEX(사건마스터!$AS$5:$AS$64,MATCH($F906,사건마스터!$A$5:$A$64,0)),""))</f>
        <v/>
      </c>
      <c r="W906" s="136">
        <f>IF($F906="","",IFERROR(INDEX(사건마스터!$AT$5:$AT$64,MATCH($F906,사건마스터!$A$5:$A$64,0)),""))</f>
        <v/>
      </c>
      <c r="X906" s="136">
        <f>IF($F906="","",IFERROR(INDEX(사건마스터!$AU$5:$AU$64,MATCH($F906,사건마스터!$A$5:$A$64,0)),""))</f>
        <v/>
      </c>
      <c r="Y906" s="136">
        <f>IF($F906="","",IFERROR(INDEX(사건마스터!$AV$5:$AV$64,MATCH($F906,사건마스터!$A$5:$A$64,0)),""))</f>
        <v/>
      </c>
      <c r="Z906" s="118">
        <f>IF(COUNTBLANK($J906:$Y906)=16,"",16-COUNTBLANK($J906:$Y906))</f>
        <v/>
      </c>
      <c r="AA906" s="33">
        <f>IF($J906="",MID($AX906,3,255),$J906&amp;$AX906)</f>
        <v/>
      </c>
      <c r="AB906" s="130">
        <f>IF($J906="","",IFERROR(INDEX(코드설정!$D$5:$D$24,MATCH($J906,코드설정!$C$5:$C$24,0)),""))</f>
        <v/>
      </c>
      <c r="AC906" s="36" t="n"/>
      <c r="AD906" s="37" t="n"/>
      <c r="AE906" s="38" t="n"/>
      <c r="AF906" s="118">
        <f>IF(OR($B906="",$C906=""),"",$C906-$B906+1)</f>
        <v/>
      </c>
      <c r="AG906" s="74" t="n"/>
      <c r="AH906" s="36" t="n"/>
      <c r="AJ906">
        <f>IF($K906="","",", "&amp;$K906)</f>
        <v/>
      </c>
      <c r="AK906">
        <f>AJ906&amp;IF($L906="","",", "&amp;$L906)</f>
        <v/>
      </c>
      <c r="AL906">
        <f>AK906&amp;IF($M906="","",", "&amp;$M906)</f>
        <v/>
      </c>
      <c r="AM906">
        <f>AL906&amp;IF($N906="","",", "&amp;$N906)</f>
        <v/>
      </c>
      <c r="AN906">
        <f>AM906&amp;IF($O906="","",", "&amp;$O906)</f>
        <v/>
      </c>
      <c r="AO906">
        <f>AN906&amp;IF($P906="","",", "&amp;$P906)</f>
        <v/>
      </c>
      <c r="AP906">
        <f>AO906&amp;IF($Q906="","",", "&amp;$Q906)</f>
        <v/>
      </c>
      <c r="AQ906">
        <f>AP906&amp;IF($R906="","",", "&amp;$R906)</f>
        <v/>
      </c>
      <c r="AR906">
        <f>AQ906&amp;IF($S906="","",", "&amp;$S906)</f>
        <v/>
      </c>
      <c r="AS906">
        <f>AR906&amp;IF($T906="","",", "&amp;$T906)</f>
        <v/>
      </c>
      <c r="AT906">
        <f>AS906&amp;IF($U906="","",", "&amp;$U906)</f>
        <v/>
      </c>
      <c r="AU906">
        <f>AT906&amp;IF($V906="","",", "&amp;$V906)</f>
        <v/>
      </c>
      <c r="AV906">
        <f>AU906&amp;IF($W906="","",", "&amp;$W906)</f>
        <v/>
      </c>
      <c r="AW906">
        <f>AV906&amp;IF($X906="","",", "&amp;$X906)</f>
        <v/>
      </c>
      <c r="AX906">
        <f>AW906&amp;IF($Y906="","",", "&amp;$Y906)</f>
        <v/>
      </c>
    </row>
    <row r="907">
      <c r="A907" s="118">
        <f>IF($B907="","",COUNT($B$5:$B907))</f>
        <v/>
      </c>
      <c r="B907" s="80" t="n"/>
      <c r="C907" s="80" t="n"/>
      <c r="D907" s="74" t="n"/>
      <c r="E907" s="74" t="n"/>
      <c r="F907" s="74" t="n"/>
      <c r="G907" s="118">
        <f>IF($F907="","",COUNTIF($F$5:$F907,$F907))</f>
        <v/>
      </c>
      <c r="H907" s="33">
        <f>IF($F907="","",IFERROR(INDEX(사건마스터!$B$5:$B$64,MATCH($F907,사건마스터!$A$5:$A$64,0)),""))</f>
        <v/>
      </c>
      <c r="I907" s="130">
        <f>IF($F907="","",IFERROR(INDEX(사건마스터!$C$5:$C$64,MATCH($F907,사건마스터!$A$5:$A$64,0)),""))</f>
        <v/>
      </c>
      <c r="J907" s="136">
        <f>IF($F907="","",IFERROR(INDEX(사건마스터!$H$5:$H$64,MATCH($F907,사건마스터!$A$5:$A$64,0)),""))</f>
        <v/>
      </c>
      <c r="K907" s="136">
        <f>IF($F907="","",IFERROR(INDEX(사건마스터!$AH$5:$AH$64,MATCH($F907,사건마스터!$A$5:$A$64,0)),""))</f>
        <v/>
      </c>
      <c r="L907" s="136">
        <f>IF($F907="","",IFERROR(INDEX(사건마스터!$AI$5:$AI$64,MATCH($F907,사건마스터!$A$5:$A$64,0)),""))</f>
        <v/>
      </c>
      <c r="M907" s="136">
        <f>IF($F907="","",IFERROR(INDEX(사건마스터!$AJ$5:$AJ$64,MATCH($F907,사건마스터!$A$5:$A$64,0)),""))</f>
        <v/>
      </c>
      <c r="N907" s="136">
        <f>IF($F907="","",IFERROR(INDEX(사건마스터!$AK$5:$AK$64,MATCH($F907,사건마스터!$A$5:$A$64,0)),""))</f>
        <v/>
      </c>
      <c r="O907" s="136">
        <f>IF($F907="","",IFERROR(INDEX(사건마스터!$AL$5:$AL$64,MATCH($F907,사건마스터!$A$5:$A$64,0)),""))</f>
        <v/>
      </c>
      <c r="P907" s="136">
        <f>IF($F907="","",IFERROR(INDEX(사건마스터!$AM$5:$AM$64,MATCH($F907,사건마스터!$A$5:$A$64,0)),""))</f>
        <v/>
      </c>
      <c r="Q907" s="136">
        <f>IF($F907="","",IFERROR(INDEX(사건마스터!$AN$5:$AN$64,MATCH($F907,사건마스터!$A$5:$A$64,0)),""))</f>
        <v/>
      </c>
      <c r="R907" s="136">
        <f>IF($F907="","",IFERROR(INDEX(사건마스터!$AO$5:$AO$64,MATCH($F907,사건마스터!$A$5:$A$64,0)),""))</f>
        <v/>
      </c>
      <c r="S907" s="136">
        <f>IF($F907="","",IFERROR(INDEX(사건마스터!$AP$5:$AP$64,MATCH($F907,사건마스터!$A$5:$A$64,0)),""))</f>
        <v/>
      </c>
      <c r="T907" s="136">
        <f>IF($F907="","",IFERROR(INDEX(사건마스터!$AQ$5:$AQ$64,MATCH($F907,사건마스터!$A$5:$A$64,0)),""))</f>
        <v/>
      </c>
      <c r="U907" s="136">
        <f>IF($F907="","",IFERROR(INDEX(사건마스터!$AR$5:$AR$64,MATCH($F907,사건마스터!$A$5:$A$64,0)),""))</f>
        <v/>
      </c>
      <c r="V907" s="136">
        <f>IF($F907="","",IFERROR(INDEX(사건마스터!$AS$5:$AS$64,MATCH($F907,사건마스터!$A$5:$A$64,0)),""))</f>
        <v/>
      </c>
      <c r="W907" s="136">
        <f>IF($F907="","",IFERROR(INDEX(사건마스터!$AT$5:$AT$64,MATCH($F907,사건마스터!$A$5:$A$64,0)),""))</f>
        <v/>
      </c>
      <c r="X907" s="136">
        <f>IF($F907="","",IFERROR(INDEX(사건마스터!$AU$5:$AU$64,MATCH($F907,사건마스터!$A$5:$A$64,0)),""))</f>
        <v/>
      </c>
      <c r="Y907" s="136">
        <f>IF($F907="","",IFERROR(INDEX(사건마스터!$AV$5:$AV$64,MATCH($F907,사건마스터!$A$5:$A$64,0)),""))</f>
        <v/>
      </c>
      <c r="Z907" s="118">
        <f>IF(COUNTBLANK($J907:$Y907)=16,"",16-COUNTBLANK($J907:$Y907))</f>
        <v/>
      </c>
      <c r="AA907" s="33">
        <f>IF($J907="",MID($AX907,3,255),$J907&amp;$AX907)</f>
        <v/>
      </c>
      <c r="AB907" s="130">
        <f>IF($J907="","",IFERROR(INDEX(코드설정!$D$5:$D$24,MATCH($J907,코드설정!$C$5:$C$24,0)),""))</f>
        <v/>
      </c>
      <c r="AC907" s="36" t="n"/>
      <c r="AD907" s="37" t="n"/>
      <c r="AE907" s="38" t="n"/>
      <c r="AF907" s="118">
        <f>IF(OR($B907="",$C907=""),"",$C907-$B907+1)</f>
        <v/>
      </c>
      <c r="AG907" s="74" t="n"/>
      <c r="AH907" s="36" t="n"/>
      <c r="AJ907">
        <f>IF($K907="","",", "&amp;$K907)</f>
        <v/>
      </c>
      <c r="AK907">
        <f>AJ907&amp;IF($L907="","",", "&amp;$L907)</f>
        <v/>
      </c>
      <c r="AL907">
        <f>AK907&amp;IF($M907="","",", "&amp;$M907)</f>
        <v/>
      </c>
      <c r="AM907">
        <f>AL907&amp;IF($N907="","",", "&amp;$N907)</f>
        <v/>
      </c>
      <c r="AN907">
        <f>AM907&amp;IF($O907="","",", "&amp;$O907)</f>
        <v/>
      </c>
      <c r="AO907">
        <f>AN907&amp;IF($P907="","",", "&amp;$P907)</f>
        <v/>
      </c>
      <c r="AP907">
        <f>AO907&amp;IF($Q907="","",", "&amp;$Q907)</f>
        <v/>
      </c>
      <c r="AQ907">
        <f>AP907&amp;IF($R907="","",", "&amp;$R907)</f>
        <v/>
      </c>
      <c r="AR907">
        <f>AQ907&amp;IF($S907="","",", "&amp;$S907)</f>
        <v/>
      </c>
      <c r="AS907">
        <f>AR907&amp;IF($T907="","",", "&amp;$T907)</f>
        <v/>
      </c>
      <c r="AT907">
        <f>AS907&amp;IF($U907="","",", "&amp;$U907)</f>
        <v/>
      </c>
      <c r="AU907">
        <f>AT907&amp;IF($V907="","",", "&amp;$V907)</f>
        <v/>
      </c>
      <c r="AV907">
        <f>AU907&amp;IF($W907="","",", "&amp;$W907)</f>
        <v/>
      </c>
      <c r="AW907">
        <f>AV907&amp;IF($X907="","",", "&amp;$X907)</f>
        <v/>
      </c>
      <c r="AX907">
        <f>AW907&amp;IF($Y907="","",", "&amp;$Y907)</f>
        <v/>
      </c>
    </row>
    <row r="908">
      <c r="A908" s="118">
        <f>IF($B908="","",COUNT($B$5:$B908))</f>
        <v/>
      </c>
      <c r="B908" s="80" t="n"/>
      <c r="C908" s="80" t="n"/>
      <c r="D908" s="74" t="n"/>
      <c r="E908" s="74" t="n"/>
      <c r="F908" s="74" t="n"/>
      <c r="G908" s="118">
        <f>IF($F908="","",COUNTIF($F$5:$F908,$F908))</f>
        <v/>
      </c>
      <c r="H908" s="33">
        <f>IF($F908="","",IFERROR(INDEX(사건마스터!$B$5:$B$64,MATCH($F908,사건마스터!$A$5:$A$64,0)),""))</f>
        <v/>
      </c>
      <c r="I908" s="130">
        <f>IF($F908="","",IFERROR(INDEX(사건마스터!$C$5:$C$64,MATCH($F908,사건마스터!$A$5:$A$64,0)),""))</f>
        <v/>
      </c>
      <c r="J908" s="136">
        <f>IF($F908="","",IFERROR(INDEX(사건마스터!$H$5:$H$64,MATCH($F908,사건마스터!$A$5:$A$64,0)),""))</f>
        <v/>
      </c>
      <c r="K908" s="136">
        <f>IF($F908="","",IFERROR(INDEX(사건마스터!$AH$5:$AH$64,MATCH($F908,사건마스터!$A$5:$A$64,0)),""))</f>
        <v/>
      </c>
      <c r="L908" s="136">
        <f>IF($F908="","",IFERROR(INDEX(사건마스터!$AI$5:$AI$64,MATCH($F908,사건마스터!$A$5:$A$64,0)),""))</f>
        <v/>
      </c>
      <c r="M908" s="136">
        <f>IF($F908="","",IFERROR(INDEX(사건마스터!$AJ$5:$AJ$64,MATCH($F908,사건마스터!$A$5:$A$64,0)),""))</f>
        <v/>
      </c>
      <c r="N908" s="136">
        <f>IF($F908="","",IFERROR(INDEX(사건마스터!$AK$5:$AK$64,MATCH($F908,사건마스터!$A$5:$A$64,0)),""))</f>
        <v/>
      </c>
      <c r="O908" s="136">
        <f>IF($F908="","",IFERROR(INDEX(사건마스터!$AL$5:$AL$64,MATCH($F908,사건마스터!$A$5:$A$64,0)),""))</f>
        <v/>
      </c>
      <c r="P908" s="136">
        <f>IF($F908="","",IFERROR(INDEX(사건마스터!$AM$5:$AM$64,MATCH($F908,사건마스터!$A$5:$A$64,0)),""))</f>
        <v/>
      </c>
      <c r="Q908" s="136">
        <f>IF($F908="","",IFERROR(INDEX(사건마스터!$AN$5:$AN$64,MATCH($F908,사건마스터!$A$5:$A$64,0)),""))</f>
        <v/>
      </c>
      <c r="R908" s="136">
        <f>IF($F908="","",IFERROR(INDEX(사건마스터!$AO$5:$AO$64,MATCH($F908,사건마스터!$A$5:$A$64,0)),""))</f>
        <v/>
      </c>
      <c r="S908" s="136">
        <f>IF($F908="","",IFERROR(INDEX(사건마스터!$AP$5:$AP$64,MATCH($F908,사건마스터!$A$5:$A$64,0)),""))</f>
        <v/>
      </c>
      <c r="T908" s="136">
        <f>IF($F908="","",IFERROR(INDEX(사건마스터!$AQ$5:$AQ$64,MATCH($F908,사건마스터!$A$5:$A$64,0)),""))</f>
        <v/>
      </c>
      <c r="U908" s="136">
        <f>IF($F908="","",IFERROR(INDEX(사건마스터!$AR$5:$AR$64,MATCH($F908,사건마스터!$A$5:$A$64,0)),""))</f>
        <v/>
      </c>
      <c r="V908" s="136">
        <f>IF($F908="","",IFERROR(INDEX(사건마스터!$AS$5:$AS$64,MATCH($F908,사건마스터!$A$5:$A$64,0)),""))</f>
        <v/>
      </c>
      <c r="W908" s="136">
        <f>IF($F908="","",IFERROR(INDEX(사건마스터!$AT$5:$AT$64,MATCH($F908,사건마스터!$A$5:$A$64,0)),""))</f>
        <v/>
      </c>
      <c r="X908" s="136">
        <f>IF($F908="","",IFERROR(INDEX(사건마스터!$AU$5:$AU$64,MATCH($F908,사건마스터!$A$5:$A$64,0)),""))</f>
        <v/>
      </c>
      <c r="Y908" s="136">
        <f>IF($F908="","",IFERROR(INDEX(사건마스터!$AV$5:$AV$64,MATCH($F908,사건마스터!$A$5:$A$64,0)),""))</f>
        <v/>
      </c>
      <c r="Z908" s="118">
        <f>IF(COUNTBLANK($J908:$Y908)=16,"",16-COUNTBLANK($J908:$Y908))</f>
        <v/>
      </c>
      <c r="AA908" s="33">
        <f>IF($J908="",MID($AX908,3,255),$J908&amp;$AX908)</f>
        <v/>
      </c>
      <c r="AB908" s="130">
        <f>IF($J908="","",IFERROR(INDEX(코드설정!$D$5:$D$24,MATCH($J908,코드설정!$C$5:$C$24,0)),""))</f>
        <v/>
      </c>
      <c r="AC908" s="36" t="n"/>
      <c r="AD908" s="37" t="n"/>
      <c r="AE908" s="38" t="n"/>
      <c r="AF908" s="118">
        <f>IF(OR($B908="",$C908=""),"",$C908-$B908+1)</f>
        <v/>
      </c>
      <c r="AG908" s="74" t="n"/>
      <c r="AH908" s="36" t="n"/>
      <c r="AJ908">
        <f>IF($K908="","",", "&amp;$K908)</f>
        <v/>
      </c>
      <c r="AK908">
        <f>AJ908&amp;IF($L908="","",", "&amp;$L908)</f>
        <v/>
      </c>
      <c r="AL908">
        <f>AK908&amp;IF($M908="","",", "&amp;$M908)</f>
        <v/>
      </c>
      <c r="AM908">
        <f>AL908&amp;IF($N908="","",", "&amp;$N908)</f>
        <v/>
      </c>
      <c r="AN908">
        <f>AM908&amp;IF($O908="","",", "&amp;$O908)</f>
        <v/>
      </c>
      <c r="AO908">
        <f>AN908&amp;IF($P908="","",", "&amp;$P908)</f>
        <v/>
      </c>
      <c r="AP908">
        <f>AO908&amp;IF($Q908="","",", "&amp;$Q908)</f>
        <v/>
      </c>
      <c r="AQ908">
        <f>AP908&amp;IF($R908="","",", "&amp;$R908)</f>
        <v/>
      </c>
      <c r="AR908">
        <f>AQ908&amp;IF($S908="","",", "&amp;$S908)</f>
        <v/>
      </c>
      <c r="AS908">
        <f>AR908&amp;IF($T908="","",", "&amp;$T908)</f>
        <v/>
      </c>
      <c r="AT908">
        <f>AS908&amp;IF($U908="","",", "&amp;$U908)</f>
        <v/>
      </c>
      <c r="AU908">
        <f>AT908&amp;IF($V908="","",", "&amp;$V908)</f>
        <v/>
      </c>
      <c r="AV908">
        <f>AU908&amp;IF($W908="","",", "&amp;$W908)</f>
        <v/>
      </c>
      <c r="AW908">
        <f>AV908&amp;IF($X908="","",", "&amp;$X908)</f>
        <v/>
      </c>
      <c r="AX908">
        <f>AW908&amp;IF($Y908="","",", "&amp;$Y908)</f>
        <v/>
      </c>
    </row>
    <row r="909">
      <c r="A909" s="118">
        <f>IF($B909="","",COUNT($B$5:$B909))</f>
        <v/>
      </c>
      <c r="B909" s="80" t="n"/>
      <c r="C909" s="80" t="n"/>
      <c r="D909" s="74" t="n"/>
      <c r="E909" s="74" t="n"/>
      <c r="F909" s="74" t="n"/>
      <c r="G909" s="118">
        <f>IF($F909="","",COUNTIF($F$5:$F909,$F909))</f>
        <v/>
      </c>
      <c r="H909" s="33">
        <f>IF($F909="","",IFERROR(INDEX(사건마스터!$B$5:$B$64,MATCH($F909,사건마스터!$A$5:$A$64,0)),""))</f>
        <v/>
      </c>
      <c r="I909" s="130">
        <f>IF($F909="","",IFERROR(INDEX(사건마스터!$C$5:$C$64,MATCH($F909,사건마스터!$A$5:$A$64,0)),""))</f>
        <v/>
      </c>
      <c r="J909" s="136">
        <f>IF($F909="","",IFERROR(INDEX(사건마스터!$H$5:$H$64,MATCH($F909,사건마스터!$A$5:$A$64,0)),""))</f>
        <v/>
      </c>
      <c r="K909" s="136">
        <f>IF($F909="","",IFERROR(INDEX(사건마스터!$AH$5:$AH$64,MATCH($F909,사건마스터!$A$5:$A$64,0)),""))</f>
        <v/>
      </c>
      <c r="L909" s="136">
        <f>IF($F909="","",IFERROR(INDEX(사건마스터!$AI$5:$AI$64,MATCH($F909,사건마스터!$A$5:$A$64,0)),""))</f>
        <v/>
      </c>
      <c r="M909" s="136">
        <f>IF($F909="","",IFERROR(INDEX(사건마스터!$AJ$5:$AJ$64,MATCH($F909,사건마스터!$A$5:$A$64,0)),""))</f>
        <v/>
      </c>
      <c r="N909" s="136">
        <f>IF($F909="","",IFERROR(INDEX(사건마스터!$AK$5:$AK$64,MATCH($F909,사건마스터!$A$5:$A$64,0)),""))</f>
        <v/>
      </c>
      <c r="O909" s="136">
        <f>IF($F909="","",IFERROR(INDEX(사건마스터!$AL$5:$AL$64,MATCH($F909,사건마스터!$A$5:$A$64,0)),""))</f>
        <v/>
      </c>
      <c r="P909" s="136">
        <f>IF($F909="","",IFERROR(INDEX(사건마스터!$AM$5:$AM$64,MATCH($F909,사건마스터!$A$5:$A$64,0)),""))</f>
        <v/>
      </c>
      <c r="Q909" s="136">
        <f>IF($F909="","",IFERROR(INDEX(사건마스터!$AN$5:$AN$64,MATCH($F909,사건마스터!$A$5:$A$64,0)),""))</f>
        <v/>
      </c>
      <c r="R909" s="136">
        <f>IF($F909="","",IFERROR(INDEX(사건마스터!$AO$5:$AO$64,MATCH($F909,사건마스터!$A$5:$A$64,0)),""))</f>
        <v/>
      </c>
      <c r="S909" s="136">
        <f>IF($F909="","",IFERROR(INDEX(사건마스터!$AP$5:$AP$64,MATCH($F909,사건마스터!$A$5:$A$64,0)),""))</f>
        <v/>
      </c>
      <c r="T909" s="136">
        <f>IF($F909="","",IFERROR(INDEX(사건마스터!$AQ$5:$AQ$64,MATCH($F909,사건마스터!$A$5:$A$64,0)),""))</f>
        <v/>
      </c>
      <c r="U909" s="136">
        <f>IF($F909="","",IFERROR(INDEX(사건마스터!$AR$5:$AR$64,MATCH($F909,사건마스터!$A$5:$A$64,0)),""))</f>
        <v/>
      </c>
      <c r="V909" s="136">
        <f>IF($F909="","",IFERROR(INDEX(사건마스터!$AS$5:$AS$64,MATCH($F909,사건마스터!$A$5:$A$64,0)),""))</f>
        <v/>
      </c>
      <c r="W909" s="136">
        <f>IF($F909="","",IFERROR(INDEX(사건마스터!$AT$5:$AT$64,MATCH($F909,사건마스터!$A$5:$A$64,0)),""))</f>
        <v/>
      </c>
      <c r="X909" s="136">
        <f>IF($F909="","",IFERROR(INDEX(사건마스터!$AU$5:$AU$64,MATCH($F909,사건마스터!$A$5:$A$64,0)),""))</f>
        <v/>
      </c>
      <c r="Y909" s="136">
        <f>IF($F909="","",IFERROR(INDEX(사건마스터!$AV$5:$AV$64,MATCH($F909,사건마스터!$A$5:$A$64,0)),""))</f>
        <v/>
      </c>
      <c r="Z909" s="118">
        <f>IF(COUNTBLANK($J909:$Y909)=16,"",16-COUNTBLANK($J909:$Y909))</f>
        <v/>
      </c>
      <c r="AA909" s="33">
        <f>IF($J909="",MID($AX909,3,255),$J909&amp;$AX909)</f>
        <v/>
      </c>
      <c r="AB909" s="130">
        <f>IF($J909="","",IFERROR(INDEX(코드설정!$D$5:$D$24,MATCH($J909,코드설정!$C$5:$C$24,0)),""))</f>
        <v/>
      </c>
      <c r="AC909" s="36" t="n"/>
      <c r="AD909" s="37" t="n"/>
      <c r="AE909" s="38" t="n"/>
      <c r="AF909" s="118">
        <f>IF(OR($B909="",$C909=""),"",$C909-$B909+1)</f>
        <v/>
      </c>
      <c r="AG909" s="74" t="n"/>
      <c r="AH909" s="36" t="n"/>
      <c r="AJ909">
        <f>IF($K909="","",", "&amp;$K909)</f>
        <v/>
      </c>
      <c r="AK909">
        <f>AJ909&amp;IF($L909="","",", "&amp;$L909)</f>
        <v/>
      </c>
      <c r="AL909">
        <f>AK909&amp;IF($M909="","",", "&amp;$M909)</f>
        <v/>
      </c>
      <c r="AM909">
        <f>AL909&amp;IF($N909="","",", "&amp;$N909)</f>
        <v/>
      </c>
      <c r="AN909">
        <f>AM909&amp;IF($O909="","",", "&amp;$O909)</f>
        <v/>
      </c>
      <c r="AO909">
        <f>AN909&amp;IF($P909="","",", "&amp;$P909)</f>
        <v/>
      </c>
      <c r="AP909">
        <f>AO909&amp;IF($Q909="","",", "&amp;$Q909)</f>
        <v/>
      </c>
      <c r="AQ909">
        <f>AP909&amp;IF($R909="","",", "&amp;$R909)</f>
        <v/>
      </c>
      <c r="AR909">
        <f>AQ909&amp;IF($S909="","",", "&amp;$S909)</f>
        <v/>
      </c>
      <c r="AS909">
        <f>AR909&amp;IF($T909="","",", "&amp;$T909)</f>
        <v/>
      </c>
      <c r="AT909">
        <f>AS909&amp;IF($U909="","",", "&amp;$U909)</f>
        <v/>
      </c>
      <c r="AU909">
        <f>AT909&amp;IF($V909="","",", "&amp;$V909)</f>
        <v/>
      </c>
      <c r="AV909">
        <f>AU909&amp;IF($W909="","",", "&amp;$W909)</f>
        <v/>
      </c>
      <c r="AW909">
        <f>AV909&amp;IF($X909="","",", "&amp;$X909)</f>
        <v/>
      </c>
      <c r="AX909">
        <f>AW909&amp;IF($Y909="","",", "&amp;$Y909)</f>
        <v/>
      </c>
    </row>
    <row r="910">
      <c r="A910" s="118">
        <f>IF($B910="","",COUNT($B$5:$B910))</f>
        <v/>
      </c>
      <c r="B910" s="80" t="n"/>
      <c r="C910" s="80" t="n"/>
      <c r="D910" s="74" t="n"/>
      <c r="E910" s="74" t="n"/>
      <c r="F910" s="74" t="n"/>
      <c r="G910" s="118">
        <f>IF($F910="","",COUNTIF($F$5:$F910,$F910))</f>
        <v/>
      </c>
      <c r="H910" s="33">
        <f>IF($F910="","",IFERROR(INDEX(사건마스터!$B$5:$B$64,MATCH($F910,사건마스터!$A$5:$A$64,0)),""))</f>
        <v/>
      </c>
      <c r="I910" s="130">
        <f>IF($F910="","",IFERROR(INDEX(사건마스터!$C$5:$C$64,MATCH($F910,사건마스터!$A$5:$A$64,0)),""))</f>
        <v/>
      </c>
      <c r="J910" s="136">
        <f>IF($F910="","",IFERROR(INDEX(사건마스터!$H$5:$H$64,MATCH($F910,사건마스터!$A$5:$A$64,0)),""))</f>
        <v/>
      </c>
      <c r="K910" s="136">
        <f>IF($F910="","",IFERROR(INDEX(사건마스터!$AH$5:$AH$64,MATCH($F910,사건마스터!$A$5:$A$64,0)),""))</f>
        <v/>
      </c>
      <c r="L910" s="136">
        <f>IF($F910="","",IFERROR(INDEX(사건마스터!$AI$5:$AI$64,MATCH($F910,사건마스터!$A$5:$A$64,0)),""))</f>
        <v/>
      </c>
      <c r="M910" s="136">
        <f>IF($F910="","",IFERROR(INDEX(사건마스터!$AJ$5:$AJ$64,MATCH($F910,사건마스터!$A$5:$A$64,0)),""))</f>
        <v/>
      </c>
      <c r="N910" s="136">
        <f>IF($F910="","",IFERROR(INDEX(사건마스터!$AK$5:$AK$64,MATCH($F910,사건마스터!$A$5:$A$64,0)),""))</f>
        <v/>
      </c>
      <c r="O910" s="136">
        <f>IF($F910="","",IFERROR(INDEX(사건마스터!$AL$5:$AL$64,MATCH($F910,사건마스터!$A$5:$A$64,0)),""))</f>
        <v/>
      </c>
      <c r="P910" s="136">
        <f>IF($F910="","",IFERROR(INDEX(사건마스터!$AM$5:$AM$64,MATCH($F910,사건마스터!$A$5:$A$64,0)),""))</f>
        <v/>
      </c>
      <c r="Q910" s="136">
        <f>IF($F910="","",IFERROR(INDEX(사건마스터!$AN$5:$AN$64,MATCH($F910,사건마스터!$A$5:$A$64,0)),""))</f>
        <v/>
      </c>
      <c r="R910" s="136">
        <f>IF($F910="","",IFERROR(INDEX(사건마스터!$AO$5:$AO$64,MATCH($F910,사건마스터!$A$5:$A$64,0)),""))</f>
        <v/>
      </c>
      <c r="S910" s="136">
        <f>IF($F910="","",IFERROR(INDEX(사건마스터!$AP$5:$AP$64,MATCH($F910,사건마스터!$A$5:$A$64,0)),""))</f>
        <v/>
      </c>
      <c r="T910" s="136">
        <f>IF($F910="","",IFERROR(INDEX(사건마스터!$AQ$5:$AQ$64,MATCH($F910,사건마스터!$A$5:$A$64,0)),""))</f>
        <v/>
      </c>
      <c r="U910" s="136">
        <f>IF($F910="","",IFERROR(INDEX(사건마스터!$AR$5:$AR$64,MATCH($F910,사건마스터!$A$5:$A$64,0)),""))</f>
        <v/>
      </c>
      <c r="V910" s="136">
        <f>IF($F910="","",IFERROR(INDEX(사건마스터!$AS$5:$AS$64,MATCH($F910,사건마스터!$A$5:$A$64,0)),""))</f>
        <v/>
      </c>
      <c r="W910" s="136">
        <f>IF($F910="","",IFERROR(INDEX(사건마스터!$AT$5:$AT$64,MATCH($F910,사건마스터!$A$5:$A$64,0)),""))</f>
        <v/>
      </c>
      <c r="X910" s="136">
        <f>IF($F910="","",IFERROR(INDEX(사건마스터!$AU$5:$AU$64,MATCH($F910,사건마스터!$A$5:$A$64,0)),""))</f>
        <v/>
      </c>
      <c r="Y910" s="136">
        <f>IF($F910="","",IFERROR(INDEX(사건마스터!$AV$5:$AV$64,MATCH($F910,사건마스터!$A$5:$A$64,0)),""))</f>
        <v/>
      </c>
      <c r="Z910" s="118">
        <f>IF(COUNTBLANK($J910:$Y910)=16,"",16-COUNTBLANK($J910:$Y910))</f>
        <v/>
      </c>
      <c r="AA910" s="33">
        <f>IF($J910="",MID($AX910,3,255),$J910&amp;$AX910)</f>
        <v/>
      </c>
      <c r="AB910" s="130">
        <f>IF($J910="","",IFERROR(INDEX(코드설정!$D$5:$D$24,MATCH($J910,코드설정!$C$5:$C$24,0)),""))</f>
        <v/>
      </c>
      <c r="AC910" s="36" t="n"/>
      <c r="AD910" s="37" t="n"/>
      <c r="AE910" s="38" t="n"/>
      <c r="AF910" s="118">
        <f>IF(OR($B910="",$C910=""),"",$C910-$B910+1)</f>
        <v/>
      </c>
      <c r="AG910" s="74" t="n"/>
      <c r="AH910" s="36" t="n"/>
      <c r="AJ910">
        <f>IF($K910="","",", "&amp;$K910)</f>
        <v/>
      </c>
      <c r="AK910">
        <f>AJ910&amp;IF($L910="","",", "&amp;$L910)</f>
        <v/>
      </c>
      <c r="AL910">
        <f>AK910&amp;IF($M910="","",", "&amp;$M910)</f>
        <v/>
      </c>
      <c r="AM910">
        <f>AL910&amp;IF($N910="","",", "&amp;$N910)</f>
        <v/>
      </c>
      <c r="AN910">
        <f>AM910&amp;IF($O910="","",", "&amp;$O910)</f>
        <v/>
      </c>
      <c r="AO910">
        <f>AN910&amp;IF($P910="","",", "&amp;$P910)</f>
        <v/>
      </c>
      <c r="AP910">
        <f>AO910&amp;IF($Q910="","",", "&amp;$Q910)</f>
        <v/>
      </c>
      <c r="AQ910">
        <f>AP910&amp;IF($R910="","",", "&amp;$R910)</f>
        <v/>
      </c>
      <c r="AR910">
        <f>AQ910&amp;IF($S910="","",", "&amp;$S910)</f>
        <v/>
      </c>
      <c r="AS910">
        <f>AR910&amp;IF($T910="","",", "&amp;$T910)</f>
        <v/>
      </c>
      <c r="AT910">
        <f>AS910&amp;IF($U910="","",", "&amp;$U910)</f>
        <v/>
      </c>
      <c r="AU910">
        <f>AT910&amp;IF($V910="","",", "&amp;$V910)</f>
        <v/>
      </c>
      <c r="AV910">
        <f>AU910&amp;IF($W910="","",", "&amp;$W910)</f>
        <v/>
      </c>
      <c r="AW910">
        <f>AV910&amp;IF($X910="","",", "&amp;$X910)</f>
        <v/>
      </c>
      <c r="AX910">
        <f>AW910&amp;IF($Y910="","",", "&amp;$Y910)</f>
        <v/>
      </c>
    </row>
    <row r="911">
      <c r="A911" s="118">
        <f>IF($B911="","",COUNT($B$5:$B911))</f>
        <v/>
      </c>
      <c r="B911" s="80" t="n"/>
      <c r="C911" s="80" t="n"/>
      <c r="D911" s="74" t="n"/>
      <c r="E911" s="74" t="n"/>
      <c r="F911" s="74" t="n"/>
      <c r="G911" s="118">
        <f>IF($F911="","",COUNTIF($F$5:$F911,$F911))</f>
        <v/>
      </c>
      <c r="H911" s="33">
        <f>IF($F911="","",IFERROR(INDEX(사건마스터!$B$5:$B$64,MATCH($F911,사건마스터!$A$5:$A$64,0)),""))</f>
        <v/>
      </c>
      <c r="I911" s="130">
        <f>IF($F911="","",IFERROR(INDEX(사건마스터!$C$5:$C$64,MATCH($F911,사건마스터!$A$5:$A$64,0)),""))</f>
        <v/>
      </c>
      <c r="J911" s="136">
        <f>IF($F911="","",IFERROR(INDEX(사건마스터!$H$5:$H$64,MATCH($F911,사건마스터!$A$5:$A$64,0)),""))</f>
        <v/>
      </c>
      <c r="K911" s="136">
        <f>IF($F911="","",IFERROR(INDEX(사건마스터!$AH$5:$AH$64,MATCH($F911,사건마스터!$A$5:$A$64,0)),""))</f>
        <v/>
      </c>
      <c r="L911" s="136">
        <f>IF($F911="","",IFERROR(INDEX(사건마스터!$AI$5:$AI$64,MATCH($F911,사건마스터!$A$5:$A$64,0)),""))</f>
        <v/>
      </c>
      <c r="M911" s="136">
        <f>IF($F911="","",IFERROR(INDEX(사건마스터!$AJ$5:$AJ$64,MATCH($F911,사건마스터!$A$5:$A$64,0)),""))</f>
        <v/>
      </c>
      <c r="N911" s="136">
        <f>IF($F911="","",IFERROR(INDEX(사건마스터!$AK$5:$AK$64,MATCH($F911,사건마스터!$A$5:$A$64,0)),""))</f>
        <v/>
      </c>
      <c r="O911" s="136">
        <f>IF($F911="","",IFERROR(INDEX(사건마스터!$AL$5:$AL$64,MATCH($F911,사건마스터!$A$5:$A$64,0)),""))</f>
        <v/>
      </c>
      <c r="P911" s="136">
        <f>IF($F911="","",IFERROR(INDEX(사건마스터!$AM$5:$AM$64,MATCH($F911,사건마스터!$A$5:$A$64,0)),""))</f>
        <v/>
      </c>
      <c r="Q911" s="136">
        <f>IF($F911="","",IFERROR(INDEX(사건마스터!$AN$5:$AN$64,MATCH($F911,사건마스터!$A$5:$A$64,0)),""))</f>
        <v/>
      </c>
      <c r="R911" s="136">
        <f>IF($F911="","",IFERROR(INDEX(사건마스터!$AO$5:$AO$64,MATCH($F911,사건마스터!$A$5:$A$64,0)),""))</f>
        <v/>
      </c>
      <c r="S911" s="136">
        <f>IF($F911="","",IFERROR(INDEX(사건마스터!$AP$5:$AP$64,MATCH($F911,사건마스터!$A$5:$A$64,0)),""))</f>
        <v/>
      </c>
      <c r="T911" s="136">
        <f>IF($F911="","",IFERROR(INDEX(사건마스터!$AQ$5:$AQ$64,MATCH($F911,사건마스터!$A$5:$A$64,0)),""))</f>
        <v/>
      </c>
      <c r="U911" s="136">
        <f>IF($F911="","",IFERROR(INDEX(사건마스터!$AR$5:$AR$64,MATCH($F911,사건마스터!$A$5:$A$64,0)),""))</f>
        <v/>
      </c>
      <c r="V911" s="136">
        <f>IF($F911="","",IFERROR(INDEX(사건마스터!$AS$5:$AS$64,MATCH($F911,사건마스터!$A$5:$A$64,0)),""))</f>
        <v/>
      </c>
      <c r="W911" s="136">
        <f>IF($F911="","",IFERROR(INDEX(사건마스터!$AT$5:$AT$64,MATCH($F911,사건마스터!$A$5:$A$64,0)),""))</f>
        <v/>
      </c>
      <c r="X911" s="136">
        <f>IF($F911="","",IFERROR(INDEX(사건마스터!$AU$5:$AU$64,MATCH($F911,사건마스터!$A$5:$A$64,0)),""))</f>
        <v/>
      </c>
      <c r="Y911" s="136">
        <f>IF($F911="","",IFERROR(INDEX(사건마스터!$AV$5:$AV$64,MATCH($F911,사건마스터!$A$5:$A$64,0)),""))</f>
        <v/>
      </c>
      <c r="Z911" s="118">
        <f>IF(COUNTBLANK($J911:$Y911)=16,"",16-COUNTBLANK($J911:$Y911))</f>
        <v/>
      </c>
      <c r="AA911" s="33">
        <f>IF($J911="",MID($AX911,3,255),$J911&amp;$AX911)</f>
        <v/>
      </c>
      <c r="AB911" s="130">
        <f>IF($J911="","",IFERROR(INDEX(코드설정!$D$5:$D$24,MATCH($J911,코드설정!$C$5:$C$24,0)),""))</f>
        <v/>
      </c>
      <c r="AC911" s="36" t="n"/>
      <c r="AD911" s="37" t="n"/>
      <c r="AE911" s="38" t="n"/>
      <c r="AF911" s="118">
        <f>IF(OR($B911="",$C911=""),"",$C911-$B911+1)</f>
        <v/>
      </c>
      <c r="AG911" s="74" t="n"/>
      <c r="AH911" s="36" t="n"/>
      <c r="AJ911">
        <f>IF($K911="","",", "&amp;$K911)</f>
        <v/>
      </c>
      <c r="AK911">
        <f>AJ911&amp;IF($L911="","",", "&amp;$L911)</f>
        <v/>
      </c>
      <c r="AL911">
        <f>AK911&amp;IF($M911="","",", "&amp;$M911)</f>
        <v/>
      </c>
      <c r="AM911">
        <f>AL911&amp;IF($N911="","",", "&amp;$N911)</f>
        <v/>
      </c>
      <c r="AN911">
        <f>AM911&amp;IF($O911="","",", "&amp;$O911)</f>
        <v/>
      </c>
      <c r="AO911">
        <f>AN911&amp;IF($P911="","",", "&amp;$P911)</f>
        <v/>
      </c>
      <c r="AP911">
        <f>AO911&amp;IF($Q911="","",", "&amp;$Q911)</f>
        <v/>
      </c>
      <c r="AQ911">
        <f>AP911&amp;IF($R911="","",", "&amp;$R911)</f>
        <v/>
      </c>
      <c r="AR911">
        <f>AQ911&amp;IF($S911="","",", "&amp;$S911)</f>
        <v/>
      </c>
      <c r="AS911">
        <f>AR911&amp;IF($T911="","",", "&amp;$T911)</f>
        <v/>
      </c>
      <c r="AT911">
        <f>AS911&amp;IF($U911="","",", "&amp;$U911)</f>
        <v/>
      </c>
      <c r="AU911">
        <f>AT911&amp;IF($V911="","",", "&amp;$V911)</f>
        <v/>
      </c>
      <c r="AV911">
        <f>AU911&amp;IF($W911="","",", "&amp;$W911)</f>
        <v/>
      </c>
      <c r="AW911">
        <f>AV911&amp;IF($X911="","",", "&amp;$X911)</f>
        <v/>
      </c>
      <c r="AX911">
        <f>AW911&amp;IF($Y911="","",", "&amp;$Y911)</f>
        <v/>
      </c>
    </row>
    <row r="912">
      <c r="A912" s="118">
        <f>IF($B912="","",COUNT($B$5:$B912))</f>
        <v/>
      </c>
      <c r="B912" s="80" t="n"/>
      <c r="C912" s="80" t="n"/>
      <c r="D912" s="74" t="n"/>
      <c r="E912" s="74" t="n"/>
      <c r="F912" s="74" t="n"/>
      <c r="G912" s="118">
        <f>IF($F912="","",COUNTIF($F$5:$F912,$F912))</f>
        <v/>
      </c>
      <c r="H912" s="33">
        <f>IF($F912="","",IFERROR(INDEX(사건마스터!$B$5:$B$64,MATCH($F912,사건마스터!$A$5:$A$64,0)),""))</f>
        <v/>
      </c>
      <c r="I912" s="130">
        <f>IF($F912="","",IFERROR(INDEX(사건마스터!$C$5:$C$64,MATCH($F912,사건마스터!$A$5:$A$64,0)),""))</f>
        <v/>
      </c>
      <c r="J912" s="136">
        <f>IF($F912="","",IFERROR(INDEX(사건마스터!$H$5:$H$64,MATCH($F912,사건마스터!$A$5:$A$64,0)),""))</f>
        <v/>
      </c>
      <c r="K912" s="136">
        <f>IF($F912="","",IFERROR(INDEX(사건마스터!$AH$5:$AH$64,MATCH($F912,사건마스터!$A$5:$A$64,0)),""))</f>
        <v/>
      </c>
      <c r="L912" s="136">
        <f>IF($F912="","",IFERROR(INDEX(사건마스터!$AI$5:$AI$64,MATCH($F912,사건마스터!$A$5:$A$64,0)),""))</f>
        <v/>
      </c>
      <c r="M912" s="136">
        <f>IF($F912="","",IFERROR(INDEX(사건마스터!$AJ$5:$AJ$64,MATCH($F912,사건마스터!$A$5:$A$64,0)),""))</f>
        <v/>
      </c>
      <c r="N912" s="136">
        <f>IF($F912="","",IFERROR(INDEX(사건마스터!$AK$5:$AK$64,MATCH($F912,사건마스터!$A$5:$A$64,0)),""))</f>
        <v/>
      </c>
      <c r="O912" s="136">
        <f>IF($F912="","",IFERROR(INDEX(사건마스터!$AL$5:$AL$64,MATCH($F912,사건마스터!$A$5:$A$64,0)),""))</f>
        <v/>
      </c>
      <c r="P912" s="136">
        <f>IF($F912="","",IFERROR(INDEX(사건마스터!$AM$5:$AM$64,MATCH($F912,사건마스터!$A$5:$A$64,0)),""))</f>
        <v/>
      </c>
      <c r="Q912" s="136">
        <f>IF($F912="","",IFERROR(INDEX(사건마스터!$AN$5:$AN$64,MATCH($F912,사건마스터!$A$5:$A$64,0)),""))</f>
        <v/>
      </c>
      <c r="R912" s="136">
        <f>IF($F912="","",IFERROR(INDEX(사건마스터!$AO$5:$AO$64,MATCH($F912,사건마스터!$A$5:$A$64,0)),""))</f>
        <v/>
      </c>
      <c r="S912" s="136">
        <f>IF($F912="","",IFERROR(INDEX(사건마스터!$AP$5:$AP$64,MATCH($F912,사건마스터!$A$5:$A$64,0)),""))</f>
        <v/>
      </c>
      <c r="T912" s="136">
        <f>IF($F912="","",IFERROR(INDEX(사건마스터!$AQ$5:$AQ$64,MATCH($F912,사건마스터!$A$5:$A$64,0)),""))</f>
        <v/>
      </c>
      <c r="U912" s="136">
        <f>IF($F912="","",IFERROR(INDEX(사건마스터!$AR$5:$AR$64,MATCH($F912,사건마스터!$A$5:$A$64,0)),""))</f>
        <v/>
      </c>
      <c r="V912" s="136">
        <f>IF($F912="","",IFERROR(INDEX(사건마스터!$AS$5:$AS$64,MATCH($F912,사건마스터!$A$5:$A$64,0)),""))</f>
        <v/>
      </c>
      <c r="W912" s="136">
        <f>IF($F912="","",IFERROR(INDEX(사건마스터!$AT$5:$AT$64,MATCH($F912,사건마스터!$A$5:$A$64,0)),""))</f>
        <v/>
      </c>
      <c r="X912" s="136">
        <f>IF($F912="","",IFERROR(INDEX(사건마스터!$AU$5:$AU$64,MATCH($F912,사건마스터!$A$5:$A$64,0)),""))</f>
        <v/>
      </c>
      <c r="Y912" s="136">
        <f>IF($F912="","",IFERROR(INDEX(사건마스터!$AV$5:$AV$64,MATCH($F912,사건마스터!$A$5:$A$64,0)),""))</f>
        <v/>
      </c>
      <c r="Z912" s="118">
        <f>IF(COUNTBLANK($J912:$Y912)=16,"",16-COUNTBLANK($J912:$Y912))</f>
        <v/>
      </c>
      <c r="AA912" s="33">
        <f>IF($J912="",MID($AX912,3,255),$J912&amp;$AX912)</f>
        <v/>
      </c>
      <c r="AB912" s="130">
        <f>IF($J912="","",IFERROR(INDEX(코드설정!$D$5:$D$24,MATCH($J912,코드설정!$C$5:$C$24,0)),""))</f>
        <v/>
      </c>
      <c r="AC912" s="36" t="n"/>
      <c r="AD912" s="37" t="n"/>
      <c r="AE912" s="38" t="n"/>
      <c r="AF912" s="118">
        <f>IF(OR($B912="",$C912=""),"",$C912-$B912+1)</f>
        <v/>
      </c>
      <c r="AG912" s="74" t="n"/>
      <c r="AH912" s="36" t="n"/>
      <c r="AJ912">
        <f>IF($K912="","",", "&amp;$K912)</f>
        <v/>
      </c>
      <c r="AK912">
        <f>AJ912&amp;IF($L912="","",", "&amp;$L912)</f>
        <v/>
      </c>
      <c r="AL912">
        <f>AK912&amp;IF($M912="","",", "&amp;$M912)</f>
        <v/>
      </c>
      <c r="AM912">
        <f>AL912&amp;IF($N912="","",", "&amp;$N912)</f>
        <v/>
      </c>
      <c r="AN912">
        <f>AM912&amp;IF($O912="","",", "&amp;$O912)</f>
        <v/>
      </c>
      <c r="AO912">
        <f>AN912&amp;IF($P912="","",", "&amp;$P912)</f>
        <v/>
      </c>
      <c r="AP912">
        <f>AO912&amp;IF($Q912="","",", "&amp;$Q912)</f>
        <v/>
      </c>
      <c r="AQ912">
        <f>AP912&amp;IF($R912="","",", "&amp;$R912)</f>
        <v/>
      </c>
      <c r="AR912">
        <f>AQ912&amp;IF($S912="","",", "&amp;$S912)</f>
        <v/>
      </c>
      <c r="AS912">
        <f>AR912&amp;IF($T912="","",", "&amp;$T912)</f>
        <v/>
      </c>
      <c r="AT912">
        <f>AS912&amp;IF($U912="","",", "&amp;$U912)</f>
        <v/>
      </c>
      <c r="AU912">
        <f>AT912&amp;IF($V912="","",", "&amp;$V912)</f>
        <v/>
      </c>
      <c r="AV912">
        <f>AU912&amp;IF($W912="","",", "&amp;$W912)</f>
        <v/>
      </c>
      <c r="AW912">
        <f>AV912&amp;IF($X912="","",", "&amp;$X912)</f>
        <v/>
      </c>
      <c r="AX912">
        <f>AW912&amp;IF($Y912="","",", "&amp;$Y912)</f>
        <v/>
      </c>
    </row>
    <row r="913">
      <c r="A913" s="118">
        <f>IF($B913="","",COUNT($B$5:$B913))</f>
        <v/>
      </c>
      <c r="B913" s="80" t="n"/>
      <c r="C913" s="80" t="n"/>
      <c r="D913" s="74" t="n"/>
      <c r="E913" s="74" t="n"/>
      <c r="F913" s="74" t="n"/>
      <c r="G913" s="118">
        <f>IF($F913="","",COUNTIF($F$5:$F913,$F913))</f>
        <v/>
      </c>
      <c r="H913" s="33">
        <f>IF($F913="","",IFERROR(INDEX(사건마스터!$B$5:$B$64,MATCH($F913,사건마스터!$A$5:$A$64,0)),""))</f>
        <v/>
      </c>
      <c r="I913" s="130">
        <f>IF($F913="","",IFERROR(INDEX(사건마스터!$C$5:$C$64,MATCH($F913,사건마스터!$A$5:$A$64,0)),""))</f>
        <v/>
      </c>
      <c r="J913" s="136">
        <f>IF($F913="","",IFERROR(INDEX(사건마스터!$H$5:$H$64,MATCH($F913,사건마스터!$A$5:$A$64,0)),""))</f>
        <v/>
      </c>
      <c r="K913" s="136">
        <f>IF($F913="","",IFERROR(INDEX(사건마스터!$AH$5:$AH$64,MATCH($F913,사건마스터!$A$5:$A$64,0)),""))</f>
        <v/>
      </c>
      <c r="L913" s="136">
        <f>IF($F913="","",IFERROR(INDEX(사건마스터!$AI$5:$AI$64,MATCH($F913,사건마스터!$A$5:$A$64,0)),""))</f>
        <v/>
      </c>
      <c r="M913" s="136">
        <f>IF($F913="","",IFERROR(INDEX(사건마스터!$AJ$5:$AJ$64,MATCH($F913,사건마스터!$A$5:$A$64,0)),""))</f>
        <v/>
      </c>
      <c r="N913" s="136">
        <f>IF($F913="","",IFERROR(INDEX(사건마스터!$AK$5:$AK$64,MATCH($F913,사건마스터!$A$5:$A$64,0)),""))</f>
        <v/>
      </c>
      <c r="O913" s="136">
        <f>IF($F913="","",IFERROR(INDEX(사건마스터!$AL$5:$AL$64,MATCH($F913,사건마스터!$A$5:$A$64,0)),""))</f>
        <v/>
      </c>
      <c r="P913" s="136">
        <f>IF($F913="","",IFERROR(INDEX(사건마스터!$AM$5:$AM$64,MATCH($F913,사건마스터!$A$5:$A$64,0)),""))</f>
        <v/>
      </c>
      <c r="Q913" s="136">
        <f>IF($F913="","",IFERROR(INDEX(사건마스터!$AN$5:$AN$64,MATCH($F913,사건마스터!$A$5:$A$64,0)),""))</f>
        <v/>
      </c>
      <c r="R913" s="136">
        <f>IF($F913="","",IFERROR(INDEX(사건마스터!$AO$5:$AO$64,MATCH($F913,사건마스터!$A$5:$A$64,0)),""))</f>
        <v/>
      </c>
      <c r="S913" s="136">
        <f>IF($F913="","",IFERROR(INDEX(사건마스터!$AP$5:$AP$64,MATCH($F913,사건마스터!$A$5:$A$64,0)),""))</f>
        <v/>
      </c>
      <c r="T913" s="136">
        <f>IF($F913="","",IFERROR(INDEX(사건마스터!$AQ$5:$AQ$64,MATCH($F913,사건마스터!$A$5:$A$64,0)),""))</f>
        <v/>
      </c>
      <c r="U913" s="136">
        <f>IF($F913="","",IFERROR(INDEX(사건마스터!$AR$5:$AR$64,MATCH($F913,사건마스터!$A$5:$A$64,0)),""))</f>
        <v/>
      </c>
      <c r="V913" s="136">
        <f>IF($F913="","",IFERROR(INDEX(사건마스터!$AS$5:$AS$64,MATCH($F913,사건마스터!$A$5:$A$64,0)),""))</f>
        <v/>
      </c>
      <c r="W913" s="136">
        <f>IF($F913="","",IFERROR(INDEX(사건마스터!$AT$5:$AT$64,MATCH($F913,사건마스터!$A$5:$A$64,0)),""))</f>
        <v/>
      </c>
      <c r="X913" s="136">
        <f>IF($F913="","",IFERROR(INDEX(사건마스터!$AU$5:$AU$64,MATCH($F913,사건마스터!$A$5:$A$64,0)),""))</f>
        <v/>
      </c>
      <c r="Y913" s="136">
        <f>IF($F913="","",IFERROR(INDEX(사건마스터!$AV$5:$AV$64,MATCH($F913,사건마스터!$A$5:$A$64,0)),""))</f>
        <v/>
      </c>
      <c r="Z913" s="118">
        <f>IF(COUNTBLANK($J913:$Y913)=16,"",16-COUNTBLANK($J913:$Y913))</f>
        <v/>
      </c>
      <c r="AA913" s="33">
        <f>IF($J913="",MID($AX913,3,255),$J913&amp;$AX913)</f>
        <v/>
      </c>
      <c r="AB913" s="130">
        <f>IF($J913="","",IFERROR(INDEX(코드설정!$D$5:$D$24,MATCH($J913,코드설정!$C$5:$C$24,0)),""))</f>
        <v/>
      </c>
      <c r="AC913" s="36" t="n"/>
      <c r="AD913" s="37" t="n"/>
      <c r="AE913" s="38" t="n"/>
      <c r="AF913" s="118">
        <f>IF(OR($B913="",$C913=""),"",$C913-$B913+1)</f>
        <v/>
      </c>
      <c r="AG913" s="74" t="n"/>
      <c r="AH913" s="36" t="n"/>
      <c r="AJ913">
        <f>IF($K913="","",", "&amp;$K913)</f>
        <v/>
      </c>
      <c r="AK913">
        <f>AJ913&amp;IF($L913="","",", "&amp;$L913)</f>
        <v/>
      </c>
      <c r="AL913">
        <f>AK913&amp;IF($M913="","",", "&amp;$M913)</f>
        <v/>
      </c>
      <c r="AM913">
        <f>AL913&amp;IF($N913="","",", "&amp;$N913)</f>
        <v/>
      </c>
      <c r="AN913">
        <f>AM913&amp;IF($O913="","",", "&amp;$O913)</f>
        <v/>
      </c>
      <c r="AO913">
        <f>AN913&amp;IF($P913="","",", "&amp;$P913)</f>
        <v/>
      </c>
      <c r="AP913">
        <f>AO913&amp;IF($Q913="","",", "&amp;$Q913)</f>
        <v/>
      </c>
      <c r="AQ913">
        <f>AP913&amp;IF($R913="","",", "&amp;$R913)</f>
        <v/>
      </c>
      <c r="AR913">
        <f>AQ913&amp;IF($S913="","",", "&amp;$S913)</f>
        <v/>
      </c>
      <c r="AS913">
        <f>AR913&amp;IF($T913="","",", "&amp;$T913)</f>
        <v/>
      </c>
      <c r="AT913">
        <f>AS913&amp;IF($U913="","",", "&amp;$U913)</f>
        <v/>
      </c>
      <c r="AU913">
        <f>AT913&amp;IF($V913="","",", "&amp;$V913)</f>
        <v/>
      </c>
      <c r="AV913">
        <f>AU913&amp;IF($W913="","",", "&amp;$W913)</f>
        <v/>
      </c>
      <c r="AW913">
        <f>AV913&amp;IF($X913="","",", "&amp;$X913)</f>
        <v/>
      </c>
      <c r="AX913">
        <f>AW913&amp;IF($Y913="","",", "&amp;$Y913)</f>
        <v/>
      </c>
    </row>
    <row r="914">
      <c r="A914" s="118">
        <f>IF($B914="","",COUNT($B$5:$B914))</f>
        <v/>
      </c>
      <c r="B914" s="80" t="n"/>
      <c r="C914" s="80" t="n"/>
      <c r="D914" s="74" t="n"/>
      <c r="E914" s="74" t="n"/>
      <c r="F914" s="74" t="n"/>
      <c r="G914" s="118">
        <f>IF($F914="","",COUNTIF($F$5:$F914,$F914))</f>
        <v/>
      </c>
      <c r="H914" s="33">
        <f>IF($F914="","",IFERROR(INDEX(사건마스터!$B$5:$B$64,MATCH($F914,사건마스터!$A$5:$A$64,0)),""))</f>
        <v/>
      </c>
      <c r="I914" s="130">
        <f>IF($F914="","",IFERROR(INDEX(사건마스터!$C$5:$C$64,MATCH($F914,사건마스터!$A$5:$A$64,0)),""))</f>
        <v/>
      </c>
      <c r="J914" s="136">
        <f>IF($F914="","",IFERROR(INDEX(사건마스터!$H$5:$H$64,MATCH($F914,사건마스터!$A$5:$A$64,0)),""))</f>
        <v/>
      </c>
      <c r="K914" s="136">
        <f>IF($F914="","",IFERROR(INDEX(사건마스터!$AH$5:$AH$64,MATCH($F914,사건마스터!$A$5:$A$64,0)),""))</f>
        <v/>
      </c>
      <c r="L914" s="136">
        <f>IF($F914="","",IFERROR(INDEX(사건마스터!$AI$5:$AI$64,MATCH($F914,사건마스터!$A$5:$A$64,0)),""))</f>
        <v/>
      </c>
      <c r="M914" s="136">
        <f>IF($F914="","",IFERROR(INDEX(사건마스터!$AJ$5:$AJ$64,MATCH($F914,사건마스터!$A$5:$A$64,0)),""))</f>
        <v/>
      </c>
      <c r="N914" s="136">
        <f>IF($F914="","",IFERROR(INDEX(사건마스터!$AK$5:$AK$64,MATCH($F914,사건마스터!$A$5:$A$64,0)),""))</f>
        <v/>
      </c>
      <c r="O914" s="136">
        <f>IF($F914="","",IFERROR(INDEX(사건마스터!$AL$5:$AL$64,MATCH($F914,사건마스터!$A$5:$A$64,0)),""))</f>
        <v/>
      </c>
      <c r="P914" s="136">
        <f>IF($F914="","",IFERROR(INDEX(사건마스터!$AM$5:$AM$64,MATCH($F914,사건마스터!$A$5:$A$64,0)),""))</f>
        <v/>
      </c>
      <c r="Q914" s="136">
        <f>IF($F914="","",IFERROR(INDEX(사건마스터!$AN$5:$AN$64,MATCH($F914,사건마스터!$A$5:$A$64,0)),""))</f>
        <v/>
      </c>
      <c r="R914" s="136">
        <f>IF($F914="","",IFERROR(INDEX(사건마스터!$AO$5:$AO$64,MATCH($F914,사건마스터!$A$5:$A$64,0)),""))</f>
        <v/>
      </c>
      <c r="S914" s="136">
        <f>IF($F914="","",IFERROR(INDEX(사건마스터!$AP$5:$AP$64,MATCH($F914,사건마스터!$A$5:$A$64,0)),""))</f>
        <v/>
      </c>
      <c r="T914" s="136">
        <f>IF($F914="","",IFERROR(INDEX(사건마스터!$AQ$5:$AQ$64,MATCH($F914,사건마스터!$A$5:$A$64,0)),""))</f>
        <v/>
      </c>
      <c r="U914" s="136">
        <f>IF($F914="","",IFERROR(INDEX(사건마스터!$AR$5:$AR$64,MATCH($F914,사건마스터!$A$5:$A$64,0)),""))</f>
        <v/>
      </c>
      <c r="V914" s="136">
        <f>IF($F914="","",IFERROR(INDEX(사건마스터!$AS$5:$AS$64,MATCH($F914,사건마스터!$A$5:$A$64,0)),""))</f>
        <v/>
      </c>
      <c r="W914" s="136">
        <f>IF($F914="","",IFERROR(INDEX(사건마스터!$AT$5:$AT$64,MATCH($F914,사건마스터!$A$5:$A$64,0)),""))</f>
        <v/>
      </c>
      <c r="X914" s="136">
        <f>IF($F914="","",IFERROR(INDEX(사건마스터!$AU$5:$AU$64,MATCH($F914,사건마스터!$A$5:$A$64,0)),""))</f>
        <v/>
      </c>
      <c r="Y914" s="136">
        <f>IF($F914="","",IFERROR(INDEX(사건마스터!$AV$5:$AV$64,MATCH($F914,사건마스터!$A$5:$A$64,0)),""))</f>
        <v/>
      </c>
      <c r="Z914" s="118">
        <f>IF(COUNTBLANK($J914:$Y914)=16,"",16-COUNTBLANK($J914:$Y914))</f>
        <v/>
      </c>
      <c r="AA914" s="33">
        <f>IF($J914="",MID($AX914,3,255),$J914&amp;$AX914)</f>
        <v/>
      </c>
      <c r="AB914" s="130">
        <f>IF($J914="","",IFERROR(INDEX(코드설정!$D$5:$D$24,MATCH($J914,코드설정!$C$5:$C$24,0)),""))</f>
        <v/>
      </c>
      <c r="AC914" s="36" t="n"/>
      <c r="AD914" s="37" t="n"/>
      <c r="AE914" s="38" t="n"/>
      <c r="AF914" s="118">
        <f>IF(OR($B914="",$C914=""),"",$C914-$B914+1)</f>
        <v/>
      </c>
      <c r="AG914" s="74" t="n"/>
      <c r="AH914" s="36" t="n"/>
      <c r="AJ914">
        <f>IF($K914="","",", "&amp;$K914)</f>
        <v/>
      </c>
      <c r="AK914">
        <f>AJ914&amp;IF($L914="","",", "&amp;$L914)</f>
        <v/>
      </c>
      <c r="AL914">
        <f>AK914&amp;IF($M914="","",", "&amp;$M914)</f>
        <v/>
      </c>
      <c r="AM914">
        <f>AL914&amp;IF($N914="","",", "&amp;$N914)</f>
        <v/>
      </c>
      <c r="AN914">
        <f>AM914&amp;IF($O914="","",", "&amp;$O914)</f>
        <v/>
      </c>
      <c r="AO914">
        <f>AN914&amp;IF($P914="","",", "&amp;$P914)</f>
        <v/>
      </c>
      <c r="AP914">
        <f>AO914&amp;IF($Q914="","",", "&amp;$Q914)</f>
        <v/>
      </c>
      <c r="AQ914">
        <f>AP914&amp;IF($R914="","",", "&amp;$R914)</f>
        <v/>
      </c>
      <c r="AR914">
        <f>AQ914&amp;IF($S914="","",", "&amp;$S914)</f>
        <v/>
      </c>
      <c r="AS914">
        <f>AR914&amp;IF($T914="","",", "&amp;$T914)</f>
        <v/>
      </c>
      <c r="AT914">
        <f>AS914&amp;IF($U914="","",", "&amp;$U914)</f>
        <v/>
      </c>
      <c r="AU914">
        <f>AT914&amp;IF($V914="","",", "&amp;$V914)</f>
        <v/>
      </c>
      <c r="AV914">
        <f>AU914&amp;IF($W914="","",", "&amp;$W914)</f>
        <v/>
      </c>
      <c r="AW914">
        <f>AV914&amp;IF($X914="","",", "&amp;$X914)</f>
        <v/>
      </c>
      <c r="AX914">
        <f>AW914&amp;IF($Y914="","",", "&amp;$Y914)</f>
        <v/>
      </c>
    </row>
    <row r="915">
      <c r="A915" s="118">
        <f>IF($B915="","",COUNT($B$5:$B915))</f>
        <v/>
      </c>
      <c r="B915" s="80" t="n"/>
      <c r="C915" s="80" t="n"/>
      <c r="D915" s="74" t="n"/>
      <c r="E915" s="74" t="n"/>
      <c r="F915" s="74" t="n"/>
      <c r="G915" s="118">
        <f>IF($F915="","",COUNTIF($F$5:$F915,$F915))</f>
        <v/>
      </c>
      <c r="H915" s="33">
        <f>IF($F915="","",IFERROR(INDEX(사건마스터!$B$5:$B$64,MATCH($F915,사건마스터!$A$5:$A$64,0)),""))</f>
        <v/>
      </c>
      <c r="I915" s="130">
        <f>IF($F915="","",IFERROR(INDEX(사건마스터!$C$5:$C$64,MATCH($F915,사건마스터!$A$5:$A$64,0)),""))</f>
        <v/>
      </c>
      <c r="J915" s="136">
        <f>IF($F915="","",IFERROR(INDEX(사건마스터!$H$5:$H$64,MATCH($F915,사건마스터!$A$5:$A$64,0)),""))</f>
        <v/>
      </c>
      <c r="K915" s="136">
        <f>IF($F915="","",IFERROR(INDEX(사건마스터!$AH$5:$AH$64,MATCH($F915,사건마스터!$A$5:$A$64,0)),""))</f>
        <v/>
      </c>
      <c r="L915" s="136">
        <f>IF($F915="","",IFERROR(INDEX(사건마스터!$AI$5:$AI$64,MATCH($F915,사건마스터!$A$5:$A$64,0)),""))</f>
        <v/>
      </c>
      <c r="M915" s="136">
        <f>IF($F915="","",IFERROR(INDEX(사건마스터!$AJ$5:$AJ$64,MATCH($F915,사건마스터!$A$5:$A$64,0)),""))</f>
        <v/>
      </c>
      <c r="N915" s="136">
        <f>IF($F915="","",IFERROR(INDEX(사건마스터!$AK$5:$AK$64,MATCH($F915,사건마스터!$A$5:$A$64,0)),""))</f>
        <v/>
      </c>
      <c r="O915" s="136">
        <f>IF($F915="","",IFERROR(INDEX(사건마스터!$AL$5:$AL$64,MATCH($F915,사건마스터!$A$5:$A$64,0)),""))</f>
        <v/>
      </c>
      <c r="P915" s="136">
        <f>IF($F915="","",IFERROR(INDEX(사건마스터!$AM$5:$AM$64,MATCH($F915,사건마스터!$A$5:$A$64,0)),""))</f>
        <v/>
      </c>
      <c r="Q915" s="136">
        <f>IF($F915="","",IFERROR(INDEX(사건마스터!$AN$5:$AN$64,MATCH($F915,사건마스터!$A$5:$A$64,0)),""))</f>
        <v/>
      </c>
      <c r="R915" s="136">
        <f>IF($F915="","",IFERROR(INDEX(사건마스터!$AO$5:$AO$64,MATCH($F915,사건마스터!$A$5:$A$64,0)),""))</f>
        <v/>
      </c>
      <c r="S915" s="136">
        <f>IF($F915="","",IFERROR(INDEX(사건마스터!$AP$5:$AP$64,MATCH($F915,사건마스터!$A$5:$A$64,0)),""))</f>
        <v/>
      </c>
      <c r="T915" s="136">
        <f>IF($F915="","",IFERROR(INDEX(사건마스터!$AQ$5:$AQ$64,MATCH($F915,사건마스터!$A$5:$A$64,0)),""))</f>
        <v/>
      </c>
      <c r="U915" s="136">
        <f>IF($F915="","",IFERROR(INDEX(사건마스터!$AR$5:$AR$64,MATCH($F915,사건마스터!$A$5:$A$64,0)),""))</f>
        <v/>
      </c>
      <c r="V915" s="136">
        <f>IF($F915="","",IFERROR(INDEX(사건마스터!$AS$5:$AS$64,MATCH($F915,사건마스터!$A$5:$A$64,0)),""))</f>
        <v/>
      </c>
      <c r="W915" s="136">
        <f>IF($F915="","",IFERROR(INDEX(사건마스터!$AT$5:$AT$64,MATCH($F915,사건마스터!$A$5:$A$64,0)),""))</f>
        <v/>
      </c>
      <c r="X915" s="136">
        <f>IF($F915="","",IFERROR(INDEX(사건마스터!$AU$5:$AU$64,MATCH($F915,사건마스터!$A$5:$A$64,0)),""))</f>
        <v/>
      </c>
      <c r="Y915" s="136">
        <f>IF($F915="","",IFERROR(INDEX(사건마스터!$AV$5:$AV$64,MATCH($F915,사건마스터!$A$5:$A$64,0)),""))</f>
        <v/>
      </c>
      <c r="Z915" s="118">
        <f>IF(COUNTBLANK($J915:$Y915)=16,"",16-COUNTBLANK($J915:$Y915))</f>
        <v/>
      </c>
      <c r="AA915" s="33">
        <f>IF($J915="",MID($AX915,3,255),$J915&amp;$AX915)</f>
        <v/>
      </c>
      <c r="AB915" s="130">
        <f>IF($J915="","",IFERROR(INDEX(코드설정!$D$5:$D$24,MATCH($J915,코드설정!$C$5:$C$24,0)),""))</f>
        <v/>
      </c>
      <c r="AC915" s="36" t="n"/>
      <c r="AD915" s="37" t="n"/>
      <c r="AE915" s="38" t="n"/>
      <c r="AF915" s="118">
        <f>IF(OR($B915="",$C915=""),"",$C915-$B915+1)</f>
        <v/>
      </c>
      <c r="AG915" s="74" t="n"/>
      <c r="AH915" s="36" t="n"/>
      <c r="AJ915">
        <f>IF($K915="","",", "&amp;$K915)</f>
        <v/>
      </c>
      <c r="AK915">
        <f>AJ915&amp;IF($L915="","",", "&amp;$L915)</f>
        <v/>
      </c>
      <c r="AL915">
        <f>AK915&amp;IF($M915="","",", "&amp;$M915)</f>
        <v/>
      </c>
      <c r="AM915">
        <f>AL915&amp;IF($N915="","",", "&amp;$N915)</f>
        <v/>
      </c>
      <c r="AN915">
        <f>AM915&amp;IF($O915="","",", "&amp;$O915)</f>
        <v/>
      </c>
      <c r="AO915">
        <f>AN915&amp;IF($P915="","",", "&amp;$P915)</f>
        <v/>
      </c>
      <c r="AP915">
        <f>AO915&amp;IF($Q915="","",", "&amp;$Q915)</f>
        <v/>
      </c>
      <c r="AQ915">
        <f>AP915&amp;IF($R915="","",", "&amp;$R915)</f>
        <v/>
      </c>
      <c r="AR915">
        <f>AQ915&amp;IF($S915="","",", "&amp;$S915)</f>
        <v/>
      </c>
      <c r="AS915">
        <f>AR915&amp;IF($T915="","",", "&amp;$T915)</f>
        <v/>
      </c>
      <c r="AT915">
        <f>AS915&amp;IF($U915="","",", "&amp;$U915)</f>
        <v/>
      </c>
      <c r="AU915">
        <f>AT915&amp;IF($V915="","",", "&amp;$V915)</f>
        <v/>
      </c>
      <c r="AV915">
        <f>AU915&amp;IF($W915="","",", "&amp;$W915)</f>
        <v/>
      </c>
      <c r="AW915">
        <f>AV915&amp;IF($X915="","",", "&amp;$X915)</f>
        <v/>
      </c>
      <c r="AX915">
        <f>AW915&amp;IF($Y915="","",", "&amp;$Y915)</f>
        <v/>
      </c>
    </row>
    <row r="916">
      <c r="A916" s="118">
        <f>IF($B916="","",COUNT($B$5:$B916))</f>
        <v/>
      </c>
      <c r="B916" s="80" t="n"/>
      <c r="C916" s="80" t="n"/>
      <c r="D916" s="74" t="n"/>
      <c r="E916" s="74" t="n"/>
      <c r="F916" s="74" t="n"/>
      <c r="G916" s="118">
        <f>IF($F916="","",COUNTIF($F$5:$F916,$F916))</f>
        <v/>
      </c>
      <c r="H916" s="33">
        <f>IF($F916="","",IFERROR(INDEX(사건마스터!$B$5:$B$64,MATCH($F916,사건마스터!$A$5:$A$64,0)),""))</f>
        <v/>
      </c>
      <c r="I916" s="130">
        <f>IF($F916="","",IFERROR(INDEX(사건마스터!$C$5:$C$64,MATCH($F916,사건마스터!$A$5:$A$64,0)),""))</f>
        <v/>
      </c>
      <c r="J916" s="136">
        <f>IF($F916="","",IFERROR(INDEX(사건마스터!$H$5:$H$64,MATCH($F916,사건마스터!$A$5:$A$64,0)),""))</f>
        <v/>
      </c>
      <c r="K916" s="136">
        <f>IF($F916="","",IFERROR(INDEX(사건마스터!$AH$5:$AH$64,MATCH($F916,사건마스터!$A$5:$A$64,0)),""))</f>
        <v/>
      </c>
      <c r="L916" s="136">
        <f>IF($F916="","",IFERROR(INDEX(사건마스터!$AI$5:$AI$64,MATCH($F916,사건마스터!$A$5:$A$64,0)),""))</f>
        <v/>
      </c>
      <c r="M916" s="136">
        <f>IF($F916="","",IFERROR(INDEX(사건마스터!$AJ$5:$AJ$64,MATCH($F916,사건마스터!$A$5:$A$64,0)),""))</f>
        <v/>
      </c>
      <c r="N916" s="136">
        <f>IF($F916="","",IFERROR(INDEX(사건마스터!$AK$5:$AK$64,MATCH($F916,사건마스터!$A$5:$A$64,0)),""))</f>
        <v/>
      </c>
      <c r="O916" s="136">
        <f>IF($F916="","",IFERROR(INDEX(사건마스터!$AL$5:$AL$64,MATCH($F916,사건마스터!$A$5:$A$64,0)),""))</f>
        <v/>
      </c>
      <c r="P916" s="136">
        <f>IF($F916="","",IFERROR(INDEX(사건마스터!$AM$5:$AM$64,MATCH($F916,사건마스터!$A$5:$A$64,0)),""))</f>
        <v/>
      </c>
      <c r="Q916" s="136">
        <f>IF($F916="","",IFERROR(INDEX(사건마스터!$AN$5:$AN$64,MATCH($F916,사건마스터!$A$5:$A$64,0)),""))</f>
        <v/>
      </c>
      <c r="R916" s="136">
        <f>IF($F916="","",IFERROR(INDEX(사건마스터!$AO$5:$AO$64,MATCH($F916,사건마스터!$A$5:$A$64,0)),""))</f>
        <v/>
      </c>
      <c r="S916" s="136">
        <f>IF($F916="","",IFERROR(INDEX(사건마스터!$AP$5:$AP$64,MATCH($F916,사건마스터!$A$5:$A$64,0)),""))</f>
        <v/>
      </c>
      <c r="T916" s="136">
        <f>IF($F916="","",IFERROR(INDEX(사건마스터!$AQ$5:$AQ$64,MATCH($F916,사건마스터!$A$5:$A$64,0)),""))</f>
        <v/>
      </c>
      <c r="U916" s="136">
        <f>IF($F916="","",IFERROR(INDEX(사건마스터!$AR$5:$AR$64,MATCH($F916,사건마스터!$A$5:$A$64,0)),""))</f>
        <v/>
      </c>
      <c r="V916" s="136">
        <f>IF($F916="","",IFERROR(INDEX(사건마스터!$AS$5:$AS$64,MATCH($F916,사건마스터!$A$5:$A$64,0)),""))</f>
        <v/>
      </c>
      <c r="W916" s="136">
        <f>IF($F916="","",IFERROR(INDEX(사건마스터!$AT$5:$AT$64,MATCH($F916,사건마스터!$A$5:$A$64,0)),""))</f>
        <v/>
      </c>
      <c r="X916" s="136">
        <f>IF($F916="","",IFERROR(INDEX(사건마스터!$AU$5:$AU$64,MATCH($F916,사건마스터!$A$5:$A$64,0)),""))</f>
        <v/>
      </c>
      <c r="Y916" s="136">
        <f>IF($F916="","",IFERROR(INDEX(사건마스터!$AV$5:$AV$64,MATCH($F916,사건마스터!$A$5:$A$64,0)),""))</f>
        <v/>
      </c>
      <c r="Z916" s="118">
        <f>IF(COUNTBLANK($J916:$Y916)=16,"",16-COUNTBLANK($J916:$Y916))</f>
        <v/>
      </c>
      <c r="AA916" s="33">
        <f>IF($J916="",MID($AX916,3,255),$J916&amp;$AX916)</f>
        <v/>
      </c>
      <c r="AB916" s="130">
        <f>IF($J916="","",IFERROR(INDEX(코드설정!$D$5:$D$24,MATCH($J916,코드설정!$C$5:$C$24,0)),""))</f>
        <v/>
      </c>
      <c r="AC916" s="36" t="n"/>
      <c r="AD916" s="37" t="n"/>
      <c r="AE916" s="38" t="n"/>
      <c r="AF916" s="118">
        <f>IF(OR($B916="",$C916=""),"",$C916-$B916+1)</f>
        <v/>
      </c>
      <c r="AG916" s="74" t="n"/>
      <c r="AH916" s="36" t="n"/>
      <c r="AJ916">
        <f>IF($K916="","",", "&amp;$K916)</f>
        <v/>
      </c>
      <c r="AK916">
        <f>AJ916&amp;IF($L916="","",", "&amp;$L916)</f>
        <v/>
      </c>
      <c r="AL916">
        <f>AK916&amp;IF($M916="","",", "&amp;$M916)</f>
        <v/>
      </c>
      <c r="AM916">
        <f>AL916&amp;IF($N916="","",", "&amp;$N916)</f>
        <v/>
      </c>
      <c r="AN916">
        <f>AM916&amp;IF($O916="","",", "&amp;$O916)</f>
        <v/>
      </c>
      <c r="AO916">
        <f>AN916&amp;IF($P916="","",", "&amp;$P916)</f>
        <v/>
      </c>
      <c r="AP916">
        <f>AO916&amp;IF($Q916="","",", "&amp;$Q916)</f>
        <v/>
      </c>
      <c r="AQ916">
        <f>AP916&amp;IF($R916="","",", "&amp;$R916)</f>
        <v/>
      </c>
      <c r="AR916">
        <f>AQ916&amp;IF($S916="","",", "&amp;$S916)</f>
        <v/>
      </c>
      <c r="AS916">
        <f>AR916&amp;IF($T916="","",", "&amp;$T916)</f>
        <v/>
      </c>
      <c r="AT916">
        <f>AS916&amp;IF($U916="","",", "&amp;$U916)</f>
        <v/>
      </c>
      <c r="AU916">
        <f>AT916&amp;IF($V916="","",", "&amp;$V916)</f>
        <v/>
      </c>
      <c r="AV916">
        <f>AU916&amp;IF($W916="","",", "&amp;$W916)</f>
        <v/>
      </c>
      <c r="AW916">
        <f>AV916&amp;IF($X916="","",", "&amp;$X916)</f>
        <v/>
      </c>
      <c r="AX916">
        <f>AW916&amp;IF($Y916="","",", "&amp;$Y916)</f>
        <v/>
      </c>
    </row>
    <row r="917">
      <c r="A917" s="118">
        <f>IF($B917="","",COUNT($B$5:$B917))</f>
        <v/>
      </c>
      <c r="B917" s="80" t="n"/>
      <c r="C917" s="80" t="n"/>
      <c r="D917" s="74" t="n"/>
      <c r="E917" s="74" t="n"/>
      <c r="F917" s="74" t="n"/>
      <c r="G917" s="118">
        <f>IF($F917="","",COUNTIF($F$5:$F917,$F917))</f>
        <v/>
      </c>
      <c r="H917" s="33">
        <f>IF($F917="","",IFERROR(INDEX(사건마스터!$B$5:$B$64,MATCH($F917,사건마스터!$A$5:$A$64,0)),""))</f>
        <v/>
      </c>
      <c r="I917" s="130">
        <f>IF($F917="","",IFERROR(INDEX(사건마스터!$C$5:$C$64,MATCH($F917,사건마스터!$A$5:$A$64,0)),""))</f>
        <v/>
      </c>
      <c r="J917" s="136">
        <f>IF($F917="","",IFERROR(INDEX(사건마스터!$H$5:$H$64,MATCH($F917,사건마스터!$A$5:$A$64,0)),""))</f>
        <v/>
      </c>
      <c r="K917" s="136">
        <f>IF($F917="","",IFERROR(INDEX(사건마스터!$AH$5:$AH$64,MATCH($F917,사건마스터!$A$5:$A$64,0)),""))</f>
        <v/>
      </c>
      <c r="L917" s="136">
        <f>IF($F917="","",IFERROR(INDEX(사건마스터!$AI$5:$AI$64,MATCH($F917,사건마스터!$A$5:$A$64,0)),""))</f>
        <v/>
      </c>
      <c r="M917" s="136">
        <f>IF($F917="","",IFERROR(INDEX(사건마스터!$AJ$5:$AJ$64,MATCH($F917,사건마스터!$A$5:$A$64,0)),""))</f>
        <v/>
      </c>
      <c r="N917" s="136">
        <f>IF($F917="","",IFERROR(INDEX(사건마스터!$AK$5:$AK$64,MATCH($F917,사건마스터!$A$5:$A$64,0)),""))</f>
        <v/>
      </c>
      <c r="O917" s="136">
        <f>IF($F917="","",IFERROR(INDEX(사건마스터!$AL$5:$AL$64,MATCH($F917,사건마스터!$A$5:$A$64,0)),""))</f>
        <v/>
      </c>
      <c r="P917" s="136">
        <f>IF($F917="","",IFERROR(INDEX(사건마스터!$AM$5:$AM$64,MATCH($F917,사건마스터!$A$5:$A$64,0)),""))</f>
        <v/>
      </c>
      <c r="Q917" s="136">
        <f>IF($F917="","",IFERROR(INDEX(사건마스터!$AN$5:$AN$64,MATCH($F917,사건마스터!$A$5:$A$64,0)),""))</f>
        <v/>
      </c>
      <c r="R917" s="136">
        <f>IF($F917="","",IFERROR(INDEX(사건마스터!$AO$5:$AO$64,MATCH($F917,사건마스터!$A$5:$A$64,0)),""))</f>
        <v/>
      </c>
      <c r="S917" s="136">
        <f>IF($F917="","",IFERROR(INDEX(사건마스터!$AP$5:$AP$64,MATCH($F917,사건마스터!$A$5:$A$64,0)),""))</f>
        <v/>
      </c>
      <c r="T917" s="136">
        <f>IF($F917="","",IFERROR(INDEX(사건마스터!$AQ$5:$AQ$64,MATCH($F917,사건마스터!$A$5:$A$64,0)),""))</f>
        <v/>
      </c>
      <c r="U917" s="136">
        <f>IF($F917="","",IFERROR(INDEX(사건마스터!$AR$5:$AR$64,MATCH($F917,사건마스터!$A$5:$A$64,0)),""))</f>
        <v/>
      </c>
      <c r="V917" s="136">
        <f>IF($F917="","",IFERROR(INDEX(사건마스터!$AS$5:$AS$64,MATCH($F917,사건마스터!$A$5:$A$64,0)),""))</f>
        <v/>
      </c>
      <c r="W917" s="136">
        <f>IF($F917="","",IFERROR(INDEX(사건마스터!$AT$5:$AT$64,MATCH($F917,사건마스터!$A$5:$A$64,0)),""))</f>
        <v/>
      </c>
      <c r="X917" s="136">
        <f>IF($F917="","",IFERROR(INDEX(사건마스터!$AU$5:$AU$64,MATCH($F917,사건마스터!$A$5:$A$64,0)),""))</f>
        <v/>
      </c>
      <c r="Y917" s="136">
        <f>IF($F917="","",IFERROR(INDEX(사건마스터!$AV$5:$AV$64,MATCH($F917,사건마스터!$A$5:$A$64,0)),""))</f>
        <v/>
      </c>
      <c r="Z917" s="118">
        <f>IF(COUNTBLANK($J917:$Y917)=16,"",16-COUNTBLANK($J917:$Y917))</f>
        <v/>
      </c>
      <c r="AA917" s="33">
        <f>IF($J917="",MID($AX917,3,255),$J917&amp;$AX917)</f>
        <v/>
      </c>
      <c r="AB917" s="130">
        <f>IF($J917="","",IFERROR(INDEX(코드설정!$D$5:$D$24,MATCH($J917,코드설정!$C$5:$C$24,0)),""))</f>
        <v/>
      </c>
      <c r="AC917" s="36" t="n"/>
      <c r="AD917" s="37" t="n"/>
      <c r="AE917" s="38" t="n"/>
      <c r="AF917" s="118">
        <f>IF(OR($B917="",$C917=""),"",$C917-$B917+1)</f>
        <v/>
      </c>
      <c r="AG917" s="74" t="n"/>
      <c r="AH917" s="36" t="n"/>
      <c r="AJ917">
        <f>IF($K917="","",", "&amp;$K917)</f>
        <v/>
      </c>
      <c r="AK917">
        <f>AJ917&amp;IF($L917="","",", "&amp;$L917)</f>
        <v/>
      </c>
      <c r="AL917">
        <f>AK917&amp;IF($M917="","",", "&amp;$M917)</f>
        <v/>
      </c>
      <c r="AM917">
        <f>AL917&amp;IF($N917="","",", "&amp;$N917)</f>
        <v/>
      </c>
      <c r="AN917">
        <f>AM917&amp;IF($O917="","",", "&amp;$O917)</f>
        <v/>
      </c>
      <c r="AO917">
        <f>AN917&amp;IF($P917="","",", "&amp;$P917)</f>
        <v/>
      </c>
      <c r="AP917">
        <f>AO917&amp;IF($Q917="","",", "&amp;$Q917)</f>
        <v/>
      </c>
      <c r="AQ917">
        <f>AP917&amp;IF($R917="","",", "&amp;$R917)</f>
        <v/>
      </c>
      <c r="AR917">
        <f>AQ917&amp;IF($S917="","",", "&amp;$S917)</f>
        <v/>
      </c>
      <c r="AS917">
        <f>AR917&amp;IF($T917="","",", "&amp;$T917)</f>
        <v/>
      </c>
      <c r="AT917">
        <f>AS917&amp;IF($U917="","",", "&amp;$U917)</f>
        <v/>
      </c>
      <c r="AU917">
        <f>AT917&amp;IF($V917="","",", "&amp;$V917)</f>
        <v/>
      </c>
      <c r="AV917">
        <f>AU917&amp;IF($W917="","",", "&amp;$W917)</f>
        <v/>
      </c>
      <c r="AW917">
        <f>AV917&amp;IF($X917="","",", "&amp;$X917)</f>
        <v/>
      </c>
      <c r="AX917">
        <f>AW917&amp;IF($Y917="","",", "&amp;$Y917)</f>
        <v/>
      </c>
    </row>
    <row r="918">
      <c r="A918" s="118">
        <f>IF($B918="","",COUNT($B$5:$B918))</f>
        <v/>
      </c>
      <c r="B918" s="80" t="n"/>
      <c r="C918" s="80" t="n"/>
      <c r="D918" s="74" t="n"/>
      <c r="E918" s="74" t="n"/>
      <c r="F918" s="74" t="n"/>
      <c r="G918" s="118">
        <f>IF($F918="","",COUNTIF($F$5:$F918,$F918))</f>
        <v/>
      </c>
      <c r="H918" s="33">
        <f>IF($F918="","",IFERROR(INDEX(사건마스터!$B$5:$B$64,MATCH($F918,사건마스터!$A$5:$A$64,0)),""))</f>
        <v/>
      </c>
      <c r="I918" s="130">
        <f>IF($F918="","",IFERROR(INDEX(사건마스터!$C$5:$C$64,MATCH($F918,사건마스터!$A$5:$A$64,0)),""))</f>
        <v/>
      </c>
      <c r="J918" s="136">
        <f>IF($F918="","",IFERROR(INDEX(사건마스터!$H$5:$H$64,MATCH($F918,사건마스터!$A$5:$A$64,0)),""))</f>
        <v/>
      </c>
      <c r="K918" s="136">
        <f>IF($F918="","",IFERROR(INDEX(사건마스터!$AH$5:$AH$64,MATCH($F918,사건마스터!$A$5:$A$64,0)),""))</f>
        <v/>
      </c>
      <c r="L918" s="136">
        <f>IF($F918="","",IFERROR(INDEX(사건마스터!$AI$5:$AI$64,MATCH($F918,사건마스터!$A$5:$A$64,0)),""))</f>
        <v/>
      </c>
      <c r="M918" s="136">
        <f>IF($F918="","",IFERROR(INDEX(사건마스터!$AJ$5:$AJ$64,MATCH($F918,사건마스터!$A$5:$A$64,0)),""))</f>
        <v/>
      </c>
      <c r="N918" s="136">
        <f>IF($F918="","",IFERROR(INDEX(사건마스터!$AK$5:$AK$64,MATCH($F918,사건마스터!$A$5:$A$64,0)),""))</f>
        <v/>
      </c>
      <c r="O918" s="136">
        <f>IF($F918="","",IFERROR(INDEX(사건마스터!$AL$5:$AL$64,MATCH($F918,사건마스터!$A$5:$A$64,0)),""))</f>
        <v/>
      </c>
      <c r="P918" s="136">
        <f>IF($F918="","",IFERROR(INDEX(사건마스터!$AM$5:$AM$64,MATCH($F918,사건마스터!$A$5:$A$64,0)),""))</f>
        <v/>
      </c>
      <c r="Q918" s="136">
        <f>IF($F918="","",IFERROR(INDEX(사건마스터!$AN$5:$AN$64,MATCH($F918,사건마스터!$A$5:$A$64,0)),""))</f>
        <v/>
      </c>
      <c r="R918" s="136">
        <f>IF($F918="","",IFERROR(INDEX(사건마스터!$AO$5:$AO$64,MATCH($F918,사건마스터!$A$5:$A$64,0)),""))</f>
        <v/>
      </c>
      <c r="S918" s="136">
        <f>IF($F918="","",IFERROR(INDEX(사건마스터!$AP$5:$AP$64,MATCH($F918,사건마스터!$A$5:$A$64,0)),""))</f>
        <v/>
      </c>
      <c r="T918" s="136">
        <f>IF($F918="","",IFERROR(INDEX(사건마스터!$AQ$5:$AQ$64,MATCH($F918,사건마스터!$A$5:$A$64,0)),""))</f>
        <v/>
      </c>
      <c r="U918" s="136">
        <f>IF($F918="","",IFERROR(INDEX(사건마스터!$AR$5:$AR$64,MATCH($F918,사건마스터!$A$5:$A$64,0)),""))</f>
        <v/>
      </c>
      <c r="V918" s="136">
        <f>IF($F918="","",IFERROR(INDEX(사건마스터!$AS$5:$AS$64,MATCH($F918,사건마스터!$A$5:$A$64,0)),""))</f>
        <v/>
      </c>
      <c r="W918" s="136">
        <f>IF($F918="","",IFERROR(INDEX(사건마스터!$AT$5:$AT$64,MATCH($F918,사건마스터!$A$5:$A$64,0)),""))</f>
        <v/>
      </c>
      <c r="X918" s="136">
        <f>IF($F918="","",IFERROR(INDEX(사건마스터!$AU$5:$AU$64,MATCH($F918,사건마스터!$A$5:$A$64,0)),""))</f>
        <v/>
      </c>
      <c r="Y918" s="136">
        <f>IF($F918="","",IFERROR(INDEX(사건마스터!$AV$5:$AV$64,MATCH($F918,사건마스터!$A$5:$A$64,0)),""))</f>
        <v/>
      </c>
      <c r="Z918" s="118">
        <f>IF(COUNTBLANK($J918:$Y918)=16,"",16-COUNTBLANK($J918:$Y918))</f>
        <v/>
      </c>
      <c r="AA918" s="33">
        <f>IF($J918="",MID($AX918,3,255),$J918&amp;$AX918)</f>
        <v/>
      </c>
      <c r="AB918" s="130">
        <f>IF($J918="","",IFERROR(INDEX(코드설정!$D$5:$D$24,MATCH($J918,코드설정!$C$5:$C$24,0)),""))</f>
        <v/>
      </c>
      <c r="AC918" s="36" t="n"/>
      <c r="AD918" s="37" t="n"/>
      <c r="AE918" s="38" t="n"/>
      <c r="AF918" s="118">
        <f>IF(OR($B918="",$C918=""),"",$C918-$B918+1)</f>
        <v/>
      </c>
      <c r="AG918" s="74" t="n"/>
      <c r="AH918" s="36" t="n"/>
      <c r="AJ918">
        <f>IF($K918="","",", "&amp;$K918)</f>
        <v/>
      </c>
      <c r="AK918">
        <f>AJ918&amp;IF($L918="","",", "&amp;$L918)</f>
        <v/>
      </c>
      <c r="AL918">
        <f>AK918&amp;IF($M918="","",", "&amp;$M918)</f>
        <v/>
      </c>
      <c r="AM918">
        <f>AL918&amp;IF($N918="","",", "&amp;$N918)</f>
        <v/>
      </c>
      <c r="AN918">
        <f>AM918&amp;IF($O918="","",", "&amp;$O918)</f>
        <v/>
      </c>
      <c r="AO918">
        <f>AN918&amp;IF($P918="","",", "&amp;$P918)</f>
        <v/>
      </c>
      <c r="AP918">
        <f>AO918&amp;IF($Q918="","",", "&amp;$Q918)</f>
        <v/>
      </c>
      <c r="AQ918">
        <f>AP918&amp;IF($R918="","",", "&amp;$R918)</f>
        <v/>
      </c>
      <c r="AR918">
        <f>AQ918&amp;IF($S918="","",", "&amp;$S918)</f>
        <v/>
      </c>
      <c r="AS918">
        <f>AR918&amp;IF($T918="","",", "&amp;$T918)</f>
        <v/>
      </c>
      <c r="AT918">
        <f>AS918&amp;IF($U918="","",", "&amp;$U918)</f>
        <v/>
      </c>
      <c r="AU918">
        <f>AT918&amp;IF($V918="","",", "&amp;$V918)</f>
        <v/>
      </c>
      <c r="AV918">
        <f>AU918&amp;IF($W918="","",", "&amp;$W918)</f>
        <v/>
      </c>
      <c r="AW918">
        <f>AV918&amp;IF($X918="","",", "&amp;$X918)</f>
        <v/>
      </c>
      <c r="AX918">
        <f>AW918&amp;IF($Y918="","",", "&amp;$Y918)</f>
        <v/>
      </c>
    </row>
    <row r="919">
      <c r="A919" s="118">
        <f>IF($B919="","",COUNT($B$5:$B919))</f>
        <v/>
      </c>
      <c r="B919" s="80" t="n"/>
      <c r="C919" s="80" t="n"/>
      <c r="D919" s="74" t="n"/>
      <c r="E919" s="74" t="n"/>
      <c r="F919" s="74" t="n"/>
      <c r="G919" s="118">
        <f>IF($F919="","",COUNTIF($F$5:$F919,$F919))</f>
        <v/>
      </c>
      <c r="H919" s="33">
        <f>IF($F919="","",IFERROR(INDEX(사건마스터!$B$5:$B$64,MATCH($F919,사건마스터!$A$5:$A$64,0)),""))</f>
        <v/>
      </c>
      <c r="I919" s="130">
        <f>IF($F919="","",IFERROR(INDEX(사건마스터!$C$5:$C$64,MATCH($F919,사건마스터!$A$5:$A$64,0)),""))</f>
        <v/>
      </c>
      <c r="J919" s="136">
        <f>IF($F919="","",IFERROR(INDEX(사건마스터!$H$5:$H$64,MATCH($F919,사건마스터!$A$5:$A$64,0)),""))</f>
        <v/>
      </c>
      <c r="K919" s="136">
        <f>IF($F919="","",IFERROR(INDEX(사건마스터!$AH$5:$AH$64,MATCH($F919,사건마스터!$A$5:$A$64,0)),""))</f>
        <v/>
      </c>
      <c r="L919" s="136">
        <f>IF($F919="","",IFERROR(INDEX(사건마스터!$AI$5:$AI$64,MATCH($F919,사건마스터!$A$5:$A$64,0)),""))</f>
        <v/>
      </c>
      <c r="M919" s="136">
        <f>IF($F919="","",IFERROR(INDEX(사건마스터!$AJ$5:$AJ$64,MATCH($F919,사건마스터!$A$5:$A$64,0)),""))</f>
        <v/>
      </c>
      <c r="N919" s="136">
        <f>IF($F919="","",IFERROR(INDEX(사건마스터!$AK$5:$AK$64,MATCH($F919,사건마스터!$A$5:$A$64,0)),""))</f>
        <v/>
      </c>
      <c r="O919" s="136">
        <f>IF($F919="","",IFERROR(INDEX(사건마스터!$AL$5:$AL$64,MATCH($F919,사건마스터!$A$5:$A$64,0)),""))</f>
        <v/>
      </c>
      <c r="P919" s="136">
        <f>IF($F919="","",IFERROR(INDEX(사건마스터!$AM$5:$AM$64,MATCH($F919,사건마스터!$A$5:$A$64,0)),""))</f>
        <v/>
      </c>
      <c r="Q919" s="136">
        <f>IF($F919="","",IFERROR(INDEX(사건마스터!$AN$5:$AN$64,MATCH($F919,사건마스터!$A$5:$A$64,0)),""))</f>
        <v/>
      </c>
      <c r="R919" s="136">
        <f>IF($F919="","",IFERROR(INDEX(사건마스터!$AO$5:$AO$64,MATCH($F919,사건마스터!$A$5:$A$64,0)),""))</f>
        <v/>
      </c>
      <c r="S919" s="136">
        <f>IF($F919="","",IFERROR(INDEX(사건마스터!$AP$5:$AP$64,MATCH($F919,사건마스터!$A$5:$A$64,0)),""))</f>
        <v/>
      </c>
      <c r="T919" s="136">
        <f>IF($F919="","",IFERROR(INDEX(사건마스터!$AQ$5:$AQ$64,MATCH($F919,사건마스터!$A$5:$A$64,0)),""))</f>
        <v/>
      </c>
      <c r="U919" s="136">
        <f>IF($F919="","",IFERROR(INDEX(사건마스터!$AR$5:$AR$64,MATCH($F919,사건마스터!$A$5:$A$64,0)),""))</f>
        <v/>
      </c>
      <c r="V919" s="136">
        <f>IF($F919="","",IFERROR(INDEX(사건마스터!$AS$5:$AS$64,MATCH($F919,사건마스터!$A$5:$A$64,0)),""))</f>
        <v/>
      </c>
      <c r="W919" s="136">
        <f>IF($F919="","",IFERROR(INDEX(사건마스터!$AT$5:$AT$64,MATCH($F919,사건마스터!$A$5:$A$64,0)),""))</f>
        <v/>
      </c>
      <c r="X919" s="136">
        <f>IF($F919="","",IFERROR(INDEX(사건마스터!$AU$5:$AU$64,MATCH($F919,사건마스터!$A$5:$A$64,0)),""))</f>
        <v/>
      </c>
      <c r="Y919" s="136">
        <f>IF($F919="","",IFERROR(INDEX(사건마스터!$AV$5:$AV$64,MATCH($F919,사건마스터!$A$5:$A$64,0)),""))</f>
        <v/>
      </c>
      <c r="Z919" s="118">
        <f>IF(COUNTBLANK($J919:$Y919)=16,"",16-COUNTBLANK($J919:$Y919))</f>
        <v/>
      </c>
      <c r="AA919" s="33">
        <f>IF($J919="",MID($AX919,3,255),$J919&amp;$AX919)</f>
        <v/>
      </c>
      <c r="AB919" s="130">
        <f>IF($J919="","",IFERROR(INDEX(코드설정!$D$5:$D$24,MATCH($J919,코드설정!$C$5:$C$24,0)),""))</f>
        <v/>
      </c>
      <c r="AC919" s="36" t="n"/>
      <c r="AD919" s="37" t="n"/>
      <c r="AE919" s="38" t="n"/>
      <c r="AF919" s="118">
        <f>IF(OR($B919="",$C919=""),"",$C919-$B919+1)</f>
        <v/>
      </c>
      <c r="AG919" s="74" t="n"/>
      <c r="AH919" s="36" t="n"/>
      <c r="AJ919">
        <f>IF($K919="","",", "&amp;$K919)</f>
        <v/>
      </c>
      <c r="AK919">
        <f>AJ919&amp;IF($L919="","",", "&amp;$L919)</f>
        <v/>
      </c>
      <c r="AL919">
        <f>AK919&amp;IF($M919="","",", "&amp;$M919)</f>
        <v/>
      </c>
      <c r="AM919">
        <f>AL919&amp;IF($N919="","",", "&amp;$N919)</f>
        <v/>
      </c>
      <c r="AN919">
        <f>AM919&amp;IF($O919="","",", "&amp;$O919)</f>
        <v/>
      </c>
      <c r="AO919">
        <f>AN919&amp;IF($P919="","",", "&amp;$P919)</f>
        <v/>
      </c>
      <c r="AP919">
        <f>AO919&amp;IF($Q919="","",", "&amp;$Q919)</f>
        <v/>
      </c>
      <c r="AQ919">
        <f>AP919&amp;IF($R919="","",", "&amp;$R919)</f>
        <v/>
      </c>
      <c r="AR919">
        <f>AQ919&amp;IF($S919="","",", "&amp;$S919)</f>
        <v/>
      </c>
      <c r="AS919">
        <f>AR919&amp;IF($T919="","",", "&amp;$T919)</f>
        <v/>
      </c>
      <c r="AT919">
        <f>AS919&amp;IF($U919="","",", "&amp;$U919)</f>
        <v/>
      </c>
      <c r="AU919">
        <f>AT919&amp;IF($V919="","",", "&amp;$V919)</f>
        <v/>
      </c>
      <c r="AV919">
        <f>AU919&amp;IF($W919="","",", "&amp;$W919)</f>
        <v/>
      </c>
      <c r="AW919">
        <f>AV919&amp;IF($X919="","",", "&amp;$X919)</f>
        <v/>
      </c>
      <c r="AX919">
        <f>AW919&amp;IF($Y919="","",", "&amp;$Y919)</f>
        <v/>
      </c>
    </row>
    <row r="920">
      <c r="A920" s="118">
        <f>IF($B920="","",COUNT($B$5:$B920))</f>
        <v/>
      </c>
      <c r="B920" s="80" t="n"/>
      <c r="C920" s="80" t="n"/>
      <c r="D920" s="74" t="n"/>
      <c r="E920" s="74" t="n"/>
      <c r="F920" s="74" t="n"/>
      <c r="G920" s="118">
        <f>IF($F920="","",COUNTIF($F$5:$F920,$F920))</f>
        <v/>
      </c>
      <c r="H920" s="33">
        <f>IF($F920="","",IFERROR(INDEX(사건마스터!$B$5:$B$64,MATCH($F920,사건마스터!$A$5:$A$64,0)),""))</f>
        <v/>
      </c>
      <c r="I920" s="130">
        <f>IF($F920="","",IFERROR(INDEX(사건마스터!$C$5:$C$64,MATCH($F920,사건마스터!$A$5:$A$64,0)),""))</f>
        <v/>
      </c>
      <c r="J920" s="136">
        <f>IF($F920="","",IFERROR(INDEX(사건마스터!$H$5:$H$64,MATCH($F920,사건마스터!$A$5:$A$64,0)),""))</f>
        <v/>
      </c>
      <c r="K920" s="136">
        <f>IF($F920="","",IFERROR(INDEX(사건마스터!$AH$5:$AH$64,MATCH($F920,사건마스터!$A$5:$A$64,0)),""))</f>
        <v/>
      </c>
      <c r="L920" s="136">
        <f>IF($F920="","",IFERROR(INDEX(사건마스터!$AI$5:$AI$64,MATCH($F920,사건마스터!$A$5:$A$64,0)),""))</f>
        <v/>
      </c>
      <c r="M920" s="136">
        <f>IF($F920="","",IFERROR(INDEX(사건마스터!$AJ$5:$AJ$64,MATCH($F920,사건마스터!$A$5:$A$64,0)),""))</f>
        <v/>
      </c>
      <c r="N920" s="136">
        <f>IF($F920="","",IFERROR(INDEX(사건마스터!$AK$5:$AK$64,MATCH($F920,사건마스터!$A$5:$A$64,0)),""))</f>
        <v/>
      </c>
      <c r="O920" s="136">
        <f>IF($F920="","",IFERROR(INDEX(사건마스터!$AL$5:$AL$64,MATCH($F920,사건마스터!$A$5:$A$64,0)),""))</f>
        <v/>
      </c>
      <c r="P920" s="136">
        <f>IF($F920="","",IFERROR(INDEX(사건마스터!$AM$5:$AM$64,MATCH($F920,사건마스터!$A$5:$A$64,0)),""))</f>
        <v/>
      </c>
      <c r="Q920" s="136">
        <f>IF($F920="","",IFERROR(INDEX(사건마스터!$AN$5:$AN$64,MATCH($F920,사건마스터!$A$5:$A$64,0)),""))</f>
        <v/>
      </c>
      <c r="R920" s="136">
        <f>IF($F920="","",IFERROR(INDEX(사건마스터!$AO$5:$AO$64,MATCH($F920,사건마스터!$A$5:$A$64,0)),""))</f>
        <v/>
      </c>
      <c r="S920" s="136">
        <f>IF($F920="","",IFERROR(INDEX(사건마스터!$AP$5:$AP$64,MATCH($F920,사건마스터!$A$5:$A$64,0)),""))</f>
        <v/>
      </c>
      <c r="T920" s="136">
        <f>IF($F920="","",IFERROR(INDEX(사건마스터!$AQ$5:$AQ$64,MATCH($F920,사건마스터!$A$5:$A$64,0)),""))</f>
        <v/>
      </c>
      <c r="U920" s="136">
        <f>IF($F920="","",IFERROR(INDEX(사건마스터!$AR$5:$AR$64,MATCH($F920,사건마스터!$A$5:$A$64,0)),""))</f>
        <v/>
      </c>
      <c r="V920" s="136">
        <f>IF($F920="","",IFERROR(INDEX(사건마스터!$AS$5:$AS$64,MATCH($F920,사건마스터!$A$5:$A$64,0)),""))</f>
        <v/>
      </c>
      <c r="W920" s="136">
        <f>IF($F920="","",IFERROR(INDEX(사건마스터!$AT$5:$AT$64,MATCH($F920,사건마스터!$A$5:$A$64,0)),""))</f>
        <v/>
      </c>
      <c r="X920" s="136">
        <f>IF($F920="","",IFERROR(INDEX(사건마스터!$AU$5:$AU$64,MATCH($F920,사건마스터!$A$5:$A$64,0)),""))</f>
        <v/>
      </c>
      <c r="Y920" s="136">
        <f>IF($F920="","",IFERROR(INDEX(사건마스터!$AV$5:$AV$64,MATCH($F920,사건마스터!$A$5:$A$64,0)),""))</f>
        <v/>
      </c>
      <c r="Z920" s="118">
        <f>IF(COUNTBLANK($J920:$Y920)=16,"",16-COUNTBLANK($J920:$Y920))</f>
        <v/>
      </c>
      <c r="AA920" s="33">
        <f>IF($J920="",MID($AX920,3,255),$J920&amp;$AX920)</f>
        <v/>
      </c>
      <c r="AB920" s="130">
        <f>IF($J920="","",IFERROR(INDEX(코드설정!$D$5:$D$24,MATCH($J920,코드설정!$C$5:$C$24,0)),""))</f>
        <v/>
      </c>
      <c r="AC920" s="36" t="n"/>
      <c r="AD920" s="37" t="n"/>
      <c r="AE920" s="38" t="n"/>
      <c r="AF920" s="118">
        <f>IF(OR($B920="",$C920=""),"",$C920-$B920+1)</f>
        <v/>
      </c>
      <c r="AG920" s="74" t="n"/>
      <c r="AH920" s="36" t="n"/>
      <c r="AJ920">
        <f>IF($K920="","",", "&amp;$K920)</f>
        <v/>
      </c>
      <c r="AK920">
        <f>AJ920&amp;IF($L920="","",", "&amp;$L920)</f>
        <v/>
      </c>
      <c r="AL920">
        <f>AK920&amp;IF($M920="","",", "&amp;$M920)</f>
        <v/>
      </c>
      <c r="AM920">
        <f>AL920&amp;IF($N920="","",", "&amp;$N920)</f>
        <v/>
      </c>
      <c r="AN920">
        <f>AM920&amp;IF($O920="","",", "&amp;$O920)</f>
        <v/>
      </c>
      <c r="AO920">
        <f>AN920&amp;IF($P920="","",", "&amp;$P920)</f>
        <v/>
      </c>
      <c r="AP920">
        <f>AO920&amp;IF($Q920="","",", "&amp;$Q920)</f>
        <v/>
      </c>
      <c r="AQ920">
        <f>AP920&amp;IF($R920="","",", "&amp;$R920)</f>
        <v/>
      </c>
      <c r="AR920">
        <f>AQ920&amp;IF($S920="","",", "&amp;$S920)</f>
        <v/>
      </c>
      <c r="AS920">
        <f>AR920&amp;IF($T920="","",", "&amp;$T920)</f>
        <v/>
      </c>
      <c r="AT920">
        <f>AS920&amp;IF($U920="","",", "&amp;$U920)</f>
        <v/>
      </c>
      <c r="AU920">
        <f>AT920&amp;IF($V920="","",", "&amp;$V920)</f>
        <v/>
      </c>
      <c r="AV920">
        <f>AU920&amp;IF($W920="","",", "&amp;$W920)</f>
        <v/>
      </c>
      <c r="AW920">
        <f>AV920&amp;IF($X920="","",", "&amp;$X920)</f>
        <v/>
      </c>
      <c r="AX920">
        <f>AW920&amp;IF($Y920="","",", "&amp;$Y920)</f>
        <v/>
      </c>
    </row>
    <row r="921">
      <c r="A921" s="118">
        <f>IF($B921="","",COUNT($B$5:$B921))</f>
        <v/>
      </c>
      <c r="B921" s="80" t="n"/>
      <c r="C921" s="80" t="n"/>
      <c r="D921" s="74" t="n"/>
      <c r="E921" s="74" t="n"/>
      <c r="F921" s="74" t="n"/>
      <c r="G921" s="118">
        <f>IF($F921="","",COUNTIF($F$5:$F921,$F921))</f>
        <v/>
      </c>
      <c r="H921" s="33">
        <f>IF($F921="","",IFERROR(INDEX(사건마스터!$B$5:$B$64,MATCH($F921,사건마스터!$A$5:$A$64,0)),""))</f>
        <v/>
      </c>
      <c r="I921" s="130">
        <f>IF($F921="","",IFERROR(INDEX(사건마스터!$C$5:$C$64,MATCH($F921,사건마스터!$A$5:$A$64,0)),""))</f>
        <v/>
      </c>
      <c r="J921" s="136">
        <f>IF($F921="","",IFERROR(INDEX(사건마스터!$H$5:$H$64,MATCH($F921,사건마스터!$A$5:$A$64,0)),""))</f>
        <v/>
      </c>
      <c r="K921" s="136">
        <f>IF($F921="","",IFERROR(INDEX(사건마스터!$AH$5:$AH$64,MATCH($F921,사건마스터!$A$5:$A$64,0)),""))</f>
        <v/>
      </c>
      <c r="L921" s="136">
        <f>IF($F921="","",IFERROR(INDEX(사건마스터!$AI$5:$AI$64,MATCH($F921,사건마스터!$A$5:$A$64,0)),""))</f>
        <v/>
      </c>
      <c r="M921" s="136">
        <f>IF($F921="","",IFERROR(INDEX(사건마스터!$AJ$5:$AJ$64,MATCH($F921,사건마스터!$A$5:$A$64,0)),""))</f>
        <v/>
      </c>
      <c r="N921" s="136">
        <f>IF($F921="","",IFERROR(INDEX(사건마스터!$AK$5:$AK$64,MATCH($F921,사건마스터!$A$5:$A$64,0)),""))</f>
        <v/>
      </c>
      <c r="O921" s="136">
        <f>IF($F921="","",IFERROR(INDEX(사건마스터!$AL$5:$AL$64,MATCH($F921,사건마스터!$A$5:$A$64,0)),""))</f>
        <v/>
      </c>
      <c r="P921" s="136">
        <f>IF($F921="","",IFERROR(INDEX(사건마스터!$AM$5:$AM$64,MATCH($F921,사건마스터!$A$5:$A$64,0)),""))</f>
        <v/>
      </c>
      <c r="Q921" s="136">
        <f>IF($F921="","",IFERROR(INDEX(사건마스터!$AN$5:$AN$64,MATCH($F921,사건마스터!$A$5:$A$64,0)),""))</f>
        <v/>
      </c>
      <c r="R921" s="136">
        <f>IF($F921="","",IFERROR(INDEX(사건마스터!$AO$5:$AO$64,MATCH($F921,사건마스터!$A$5:$A$64,0)),""))</f>
        <v/>
      </c>
      <c r="S921" s="136">
        <f>IF($F921="","",IFERROR(INDEX(사건마스터!$AP$5:$AP$64,MATCH($F921,사건마스터!$A$5:$A$64,0)),""))</f>
        <v/>
      </c>
      <c r="T921" s="136">
        <f>IF($F921="","",IFERROR(INDEX(사건마스터!$AQ$5:$AQ$64,MATCH($F921,사건마스터!$A$5:$A$64,0)),""))</f>
        <v/>
      </c>
      <c r="U921" s="136">
        <f>IF($F921="","",IFERROR(INDEX(사건마스터!$AR$5:$AR$64,MATCH($F921,사건마스터!$A$5:$A$64,0)),""))</f>
        <v/>
      </c>
      <c r="V921" s="136">
        <f>IF($F921="","",IFERROR(INDEX(사건마스터!$AS$5:$AS$64,MATCH($F921,사건마스터!$A$5:$A$64,0)),""))</f>
        <v/>
      </c>
      <c r="W921" s="136">
        <f>IF($F921="","",IFERROR(INDEX(사건마스터!$AT$5:$AT$64,MATCH($F921,사건마스터!$A$5:$A$64,0)),""))</f>
        <v/>
      </c>
      <c r="X921" s="136">
        <f>IF($F921="","",IFERROR(INDEX(사건마스터!$AU$5:$AU$64,MATCH($F921,사건마스터!$A$5:$A$64,0)),""))</f>
        <v/>
      </c>
      <c r="Y921" s="136">
        <f>IF($F921="","",IFERROR(INDEX(사건마스터!$AV$5:$AV$64,MATCH($F921,사건마스터!$A$5:$A$64,0)),""))</f>
        <v/>
      </c>
      <c r="Z921" s="118">
        <f>IF(COUNTBLANK($J921:$Y921)=16,"",16-COUNTBLANK($J921:$Y921))</f>
        <v/>
      </c>
      <c r="AA921" s="33">
        <f>IF($J921="",MID($AX921,3,255),$J921&amp;$AX921)</f>
        <v/>
      </c>
      <c r="AB921" s="130">
        <f>IF($J921="","",IFERROR(INDEX(코드설정!$D$5:$D$24,MATCH($J921,코드설정!$C$5:$C$24,0)),""))</f>
        <v/>
      </c>
      <c r="AC921" s="36" t="n"/>
      <c r="AD921" s="37" t="n"/>
      <c r="AE921" s="38" t="n"/>
      <c r="AF921" s="118">
        <f>IF(OR($B921="",$C921=""),"",$C921-$B921+1)</f>
        <v/>
      </c>
      <c r="AG921" s="74" t="n"/>
      <c r="AH921" s="36" t="n"/>
      <c r="AJ921">
        <f>IF($K921="","",", "&amp;$K921)</f>
        <v/>
      </c>
      <c r="AK921">
        <f>AJ921&amp;IF($L921="","",", "&amp;$L921)</f>
        <v/>
      </c>
      <c r="AL921">
        <f>AK921&amp;IF($M921="","",", "&amp;$M921)</f>
        <v/>
      </c>
      <c r="AM921">
        <f>AL921&amp;IF($N921="","",", "&amp;$N921)</f>
        <v/>
      </c>
      <c r="AN921">
        <f>AM921&amp;IF($O921="","",", "&amp;$O921)</f>
        <v/>
      </c>
      <c r="AO921">
        <f>AN921&amp;IF($P921="","",", "&amp;$P921)</f>
        <v/>
      </c>
      <c r="AP921">
        <f>AO921&amp;IF($Q921="","",", "&amp;$Q921)</f>
        <v/>
      </c>
      <c r="AQ921">
        <f>AP921&amp;IF($R921="","",", "&amp;$R921)</f>
        <v/>
      </c>
      <c r="AR921">
        <f>AQ921&amp;IF($S921="","",", "&amp;$S921)</f>
        <v/>
      </c>
      <c r="AS921">
        <f>AR921&amp;IF($T921="","",", "&amp;$T921)</f>
        <v/>
      </c>
      <c r="AT921">
        <f>AS921&amp;IF($U921="","",", "&amp;$U921)</f>
        <v/>
      </c>
      <c r="AU921">
        <f>AT921&amp;IF($V921="","",", "&amp;$V921)</f>
        <v/>
      </c>
      <c r="AV921">
        <f>AU921&amp;IF($W921="","",", "&amp;$W921)</f>
        <v/>
      </c>
      <c r="AW921">
        <f>AV921&amp;IF($X921="","",", "&amp;$X921)</f>
        <v/>
      </c>
      <c r="AX921">
        <f>AW921&amp;IF($Y921="","",", "&amp;$Y921)</f>
        <v/>
      </c>
    </row>
    <row r="922">
      <c r="A922" s="118">
        <f>IF($B922="","",COUNT($B$5:$B922))</f>
        <v/>
      </c>
      <c r="B922" s="80" t="n"/>
      <c r="C922" s="80" t="n"/>
      <c r="D922" s="74" t="n"/>
      <c r="E922" s="74" t="n"/>
      <c r="F922" s="74" t="n"/>
      <c r="G922" s="118">
        <f>IF($F922="","",COUNTIF($F$5:$F922,$F922))</f>
        <v/>
      </c>
      <c r="H922" s="33">
        <f>IF($F922="","",IFERROR(INDEX(사건마스터!$B$5:$B$64,MATCH($F922,사건마스터!$A$5:$A$64,0)),""))</f>
        <v/>
      </c>
      <c r="I922" s="130">
        <f>IF($F922="","",IFERROR(INDEX(사건마스터!$C$5:$C$64,MATCH($F922,사건마스터!$A$5:$A$64,0)),""))</f>
        <v/>
      </c>
      <c r="J922" s="136">
        <f>IF($F922="","",IFERROR(INDEX(사건마스터!$H$5:$H$64,MATCH($F922,사건마스터!$A$5:$A$64,0)),""))</f>
        <v/>
      </c>
      <c r="K922" s="136">
        <f>IF($F922="","",IFERROR(INDEX(사건마스터!$AH$5:$AH$64,MATCH($F922,사건마스터!$A$5:$A$64,0)),""))</f>
        <v/>
      </c>
      <c r="L922" s="136">
        <f>IF($F922="","",IFERROR(INDEX(사건마스터!$AI$5:$AI$64,MATCH($F922,사건마스터!$A$5:$A$64,0)),""))</f>
        <v/>
      </c>
      <c r="M922" s="136">
        <f>IF($F922="","",IFERROR(INDEX(사건마스터!$AJ$5:$AJ$64,MATCH($F922,사건마스터!$A$5:$A$64,0)),""))</f>
        <v/>
      </c>
      <c r="N922" s="136">
        <f>IF($F922="","",IFERROR(INDEX(사건마스터!$AK$5:$AK$64,MATCH($F922,사건마스터!$A$5:$A$64,0)),""))</f>
        <v/>
      </c>
      <c r="O922" s="136">
        <f>IF($F922="","",IFERROR(INDEX(사건마스터!$AL$5:$AL$64,MATCH($F922,사건마스터!$A$5:$A$64,0)),""))</f>
        <v/>
      </c>
      <c r="P922" s="136">
        <f>IF($F922="","",IFERROR(INDEX(사건마스터!$AM$5:$AM$64,MATCH($F922,사건마스터!$A$5:$A$64,0)),""))</f>
        <v/>
      </c>
      <c r="Q922" s="136">
        <f>IF($F922="","",IFERROR(INDEX(사건마스터!$AN$5:$AN$64,MATCH($F922,사건마스터!$A$5:$A$64,0)),""))</f>
        <v/>
      </c>
      <c r="R922" s="136">
        <f>IF($F922="","",IFERROR(INDEX(사건마스터!$AO$5:$AO$64,MATCH($F922,사건마스터!$A$5:$A$64,0)),""))</f>
        <v/>
      </c>
      <c r="S922" s="136">
        <f>IF($F922="","",IFERROR(INDEX(사건마스터!$AP$5:$AP$64,MATCH($F922,사건마스터!$A$5:$A$64,0)),""))</f>
        <v/>
      </c>
      <c r="T922" s="136">
        <f>IF($F922="","",IFERROR(INDEX(사건마스터!$AQ$5:$AQ$64,MATCH($F922,사건마스터!$A$5:$A$64,0)),""))</f>
        <v/>
      </c>
      <c r="U922" s="136">
        <f>IF($F922="","",IFERROR(INDEX(사건마스터!$AR$5:$AR$64,MATCH($F922,사건마스터!$A$5:$A$64,0)),""))</f>
        <v/>
      </c>
      <c r="V922" s="136">
        <f>IF($F922="","",IFERROR(INDEX(사건마스터!$AS$5:$AS$64,MATCH($F922,사건마스터!$A$5:$A$64,0)),""))</f>
        <v/>
      </c>
      <c r="W922" s="136">
        <f>IF($F922="","",IFERROR(INDEX(사건마스터!$AT$5:$AT$64,MATCH($F922,사건마스터!$A$5:$A$64,0)),""))</f>
        <v/>
      </c>
      <c r="X922" s="136">
        <f>IF($F922="","",IFERROR(INDEX(사건마스터!$AU$5:$AU$64,MATCH($F922,사건마스터!$A$5:$A$64,0)),""))</f>
        <v/>
      </c>
      <c r="Y922" s="136">
        <f>IF($F922="","",IFERROR(INDEX(사건마스터!$AV$5:$AV$64,MATCH($F922,사건마스터!$A$5:$A$64,0)),""))</f>
        <v/>
      </c>
      <c r="Z922" s="118">
        <f>IF(COUNTBLANK($J922:$Y922)=16,"",16-COUNTBLANK($J922:$Y922))</f>
        <v/>
      </c>
      <c r="AA922" s="33">
        <f>IF($J922="",MID($AX922,3,255),$J922&amp;$AX922)</f>
        <v/>
      </c>
      <c r="AB922" s="130">
        <f>IF($J922="","",IFERROR(INDEX(코드설정!$D$5:$D$24,MATCH($J922,코드설정!$C$5:$C$24,0)),""))</f>
        <v/>
      </c>
      <c r="AC922" s="36" t="n"/>
      <c r="AD922" s="37" t="n"/>
      <c r="AE922" s="38" t="n"/>
      <c r="AF922" s="118">
        <f>IF(OR($B922="",$C922=""),"",$C922-$B922+1)</f>
        <v/>
      </c>
      <c r="AG922" s="74" t="n"/>
      <c r="AH922" s="36" t="n"/>
      <c r="AJ922">
        <f>IF($K922="","",", "&amp;$K922)</f>
        <v/>
      </c>
      <c r="AK922">
        <f>AJ922&amp;IF($L922="","",", "&amp;$L922)</f>
        <v/>
      </c>
      <c r="AL922">
        <f>AK922&amp;IF($M922="","",", "&amp;$M922)</f>
        <v/>
      </c>
      <c r="AM922">
        <f>AL922&amp;IF($N922="","",", "&amp;$N922)</f>
        <v/>
      </c>
      <c r="AN922">
        <f>AM922&amp;IF($O922="","",", "&amp;$O922)</f>
        <v/>
      </c>
      <c r="AO922">
        <f>AN922&amp;IF($P922="","",", "&amp;$P922)</f>
        <v/>
      </c>
      <c r="AP922">
        <f>AO922&amp;IF($Q922="","",", "&amp;$Q922)</f>
        <v/>
      </c>
      <c r="AQ922">
        <f>AP922&amp;IF($R922="","",", "&amp;$R922)</f>
        <v/>
      </c>
      <c r="AR922">
        <f>AQ922&amp;IF($S922="","",", "&amp;$S922)</f>
        <v/>
      </c>
      <c r="AS922">
        <f>AR922&amp;IF($T922="","",", "&amp;$T922)</f>
        <v/>
      </c>
      <c r="AT922">
        <f>AS922&amp;IF($U922="","",", "&amp;$U922)</f>
        <v/>
      </c>
      <c r="AU922">
        <f>AT922&amp;IF($V922="","",", "&amp;$V922)</f>
        <v/>
      </c>
      <c r="AV922">
        <f>AU922&amp;IF($W922="","",", "&amp;$W922)</f>
        <v/>
      </c>
      <c r="AW922">
        <f>AV922&amp;IF($X922="","",", "&amp;$X922)</f>
        <v/>
      </c>
      <c r="AX922">
        <f>AW922&amp;IF($Y922="","",", "&amp;$Y922)</f>
        <v/>
      </c>
    </row>
    <row r="923">
      <c r="A923" s="118">
        <f>IF($B923="","",COUNT($B$5:$B923))</f>
        <v/>
      </c>
      <c r="B923" s="80" t="n"/>
      <c r="C923" s="80" t="n"/>
      <c r="D923" s="74" t="n"/>
      <c r="E923" s="74" t="n"/>
      <c r="F923" s="74" t="n"/>
      <c r="G923" s="118">
        <f>IF($F923="","",COUNTIF($F$5:$F923,$F923))</f>
        <v/>
      </c>
      <c r="H923" s="33">
        <f>IF($F923="","",IFERROR(INDEX(사건마스터!$B$5:$B$64,MATCH($F923,사건마스터!$A$5:$A$64,0)),""))</f>
        <v/>
      </c>
      <c r="I923" s="130">
        <f>IF($F923="","",IFERROR(INDEX(사건마스터!$C$5:$C$64,MATCH($F923,사건마스터!$A$5:$A$64,0)),""))</f>
        <v/>
      </c>
      <c r="J923" s="136">
        <f>IF($F923="","",IFERROR(INDEX(사건마스터!$H$5:$H$64,MATCH($F923,사건마스터!$A$5:$A$64,0)),""))</f>
        <v/>
      </c>
      <c r="K923" s="136">
        <f>IF($F923="","",IFERROR(INDEX(사건마스터!$AH$5:$AH$64,MATCH($F923,사건마스터!$A$5:$A$64,0)),""))</f>
        <v/>
      </c>
      <c r="L923" s="136">
        <f>IF($F923="","",IFERROR(INDEX(사건마스터!$AI$5:$AI$64,MATCH($F923,사건마스터!$A$5:$A$64,0)),""))</f>
        <v/>
      </c>
      <c r="M923" s="136">
        <f>IF($F923="","",IFERROR(INDEX(사건마스터!$AJ$5:$AJ$64,MATCH($F923,사건마스터!$A$5:$A$64,0)),""))</f>
        <v/>
      </c>
      <c r="N923" s="136">
        <f>IF($F923="","",IFERROR(INDEX(사건마스터!$AK$5:$AK$64,MATCH($F923,사건마스터!$A$5:$A$64,0)),""))</f>
        <v/>
      </c>
      <c r="O923" s="136">
        <f>IF($F923="","",IFERROR(INDEX(사건마스터!$AL$5:$AL$64,MATCH($F923,사건마스터!$A$5:$A$64,0)),""))</f>
        <v/>
      </c>
      <c r="P923" s="136">
        <f>IF($F923="","",IFERROR(INDEX(사건마스터!$AM$5:$AM$64,MATCH($F923,사건마스터!$A$5:$A$64,0)),""))</f>
        <v/>
      </c>
      <c r="Q923" s="136">
        <f>IF($F923="","",IFERROR(INDEX(사건마스터!$AN$5:$AN$64,MATCH($F923,사건마스터!$A$5:$A$64,0)),""))</f>
        <v/>
      </c>
      <c r="R923" s="136">
        <f>IF($F923="","",IFERROR(INDEX(사건마스터!$AO$5:$AO$64,MATCH($F923,사건마스터!$A$5:$A$64,0)),""))</f>
        <v/>
      </c>
      <c r="S923" s="136">
        <f>IF($F923="","",IFERROR(INDEX(사건마스터!$AP$5:$AP$64,MATCH($F923,사건마스터!$A$5:$A$64,0)),""))</f>
        <v/>
      </c>
      <c r="T923" s="136">
        <f>IF($F923="","",IFERROR(INDEX(사건마스터!$AQ$5:$AQ$64,MATCH($F923,사건마스터!$A$5:$A$64,0)),""))</f>
        <v/>
      </c>
      <c r="U923" s="136">
        <f>IF($F923="","",IFERROR(INDEX(사건마스터!$AR$5:$AR$64,MATCH($F923,사건마스터!$A$5:$A$64,0)),""))</f>
        <v/>
      </c>
      <c r="V923" s="136">
        <f>IF($F923="","",IFERROR(INDEX(사건마스터!$AS$5:$AS$64,MATCH($F923,사건마스터!$A$5:$A$64,0)),""))</f>
        <v/>
      </c>
      <c r="W923" s="136">
        <f>IF($F923="","",IFERROR(INDEX(사건마스터!$AT$5:$AT$64,MATCH($F923,사건마스터!$A$5:$A$64,0)),""))</f>
        <v/>
      </c>
      <c r="X923" s="136">
        <f>IF($F923="","",IFERROR(INDEX(사건마스터!$AU$5:$AU$64,MATCH($F923,사건마스터!$A$5:$A$64,0)),""))</f>
        <v/>
      </c>
      <c r="Y923" s="136">
        <f>IF($F923="","",IFERROR(INDEX(사건마스터!$AV$5:$AV$64,MATCH($F923,사건마스터!$A$5:$A$64,0)),""))</f>
        <v/>
      </c>
      <c r="Z923" s="118">
        <f>IF(COUNTBLANK($J923:$Y923)=16,"",16-COUNTBLANK($J923:$Y923))</f>
        <v/>
      </c>
      <c r="AA923" s="33">
        <f>IF($J923="",MID($AX923,3,255),$J923&amp;$AX923)</f>
        <v/>
      </c>
      <c r="AB923" s="130">
        <f>IF($J923="","",IFERROR(INDEX(코드설정!$D$5:$D$24,MATCH($J923,코드설정!$C$5:$C$24,0)),""))</f>
        <v/>
      </c>
      <c r="AC923" s="36" t="n"/>
      <c r="AD923" s="37" t="n"/>
      <c r="AE923" s="38" t="n"/>
      <c r="AF923" s="118">
        <f>IF(OR($B923="",$C923=""),"",$C923-$B923+1)</f>
        <v/>
      </c>
      <c r="AG923" s="74" t="n"/>
      <c r="AH923" s="36" t="n"/>
      <c r="AJ923">
        <f>IF($K923="","",", "&amp;$K923)</f>
        <v/>
      </c>
      <c r="AK923">
        <f>AJ923&amp;IF($L923="","",", "&amp;$L923)</f>
        <v/>
      </c>
      <c r="AL923">
        <f>AK923&amp;IF($M923="","",", "&amp;$M923)</f>
        <v/>
      </c>
      <c r="AM923">
        <f>AL923&amp;IF($N923="","",", "&amp;$N923)</f>
        <v/>
      </c>
      <c r="AN923">
        <f>AM923&amp;IF($O923="","",", "&amp;$O923)</f>
        <v/>
      </c>
      <c r="AO923">
        <f>AN923&amp;IF($P923="","",", "&amp;$P923)</f>
        <v/>
      </c>
      <c r="AP923">
        <f>AO923&amp;IF($Q923="","",", "&amp;$Q923)</f>
        <v/>
      </c>
      <c r="AQ923">
        <f>AP923&amp;IF($R923="","",", "&amp;$R923)</f>
        <v/>
      </c>
      <c r="AR923">
        <f>AQ923&amp;IF($S923="","",", "&amp;$S923)</f>
        <v/>
      </c>
      <c r="AS923">
        <f>AR923&amp;IF($T923="","",", "&amp;$T923)</f>
        <v/>
      </c>
      <c r="AT923">
        <f>AS923&amp;IF($U923="","",", "&amp;$U923)</f>
        <v/>
      </c>
      <c r="AU923">
        <f>AT923&amp;IF($V923="","",", "&amp;$V923)</f>
        <v/>
      </c>
      <c r="AV923">
        <f>AU923&amp;IF($W923="","",", "&amp;$W923)</f>
        <v/>
      </c>
      <c r="AW923">
        <f>AV923&amp;IF($X923="","",", "&amp;$X923)</f>
        <v/>
      </c>
      <c r="AX923">
        <f>AW923&amp;IF($Y923="","",", "&amp;$Y923)</f>
        <v/>
      </c>
    </row>
    <row r="924">
      <c r="A924" s="118">
        <f>IF($B924="","",COUNT($B$5:$B924))</f>
        <v/>
      </c>
      <c r="B924" s="80" t="n"/>
      <c r="C924" s="80" t="n"/>
      <c r="D924" s="74" t="n"/>
      <c r="E924" s="74" t="n"/>
      <c r="F924" s="74" t="n"/>
      <c r="G924" s="118">
        <f>IF($F924="","",COUNTIF($F$5:$F924,$F924))</f>
        <v/>
      </c>
      <c r="H924" s="33">
        <f>IF($F924="","",IFERROR(INDEX(사건마스터!$B$5:$B$64,MATCH($F924,사건마스터!$A$5:$A$64,0)),""))</f>
        <v/>
      </c>
      <c r="I924" s="130">
        <f>IF($F924="","",IFERROR(INDEX(사건마스터!$C$5:$C$64,MATCH($F924,사건마스터!$A$5:$A$64,0)),""))</f>
        <v/>
      </c>
      <c r="J924" s="136">
        <f>IF($F924="","",IFERROR(INDEX(사건마스터!$H$5:$H$64,MATCH($F924,사건마스터!$A$5:$A$64,0)),""))</f>
        <v/>
      </c>
      <c r="K924" s="136">
        <f>IF($F924="","",IFERROR(INDEX(사건마스터!$AH$5:$AH$64,MATCH($F924,사건마스터!$A$5:$A$64,0)),""))</f>
        <v/>
      </c>
      <c r="L924" s="136">
        <f>IF($F924="","",IFERROR(INDEX(사건마스터!$AI$5:$AI$64,MATCH($F924,사건마스터!$A$5:$A$64,0)),""))</f>
        <v/>
      </c>
      <c r="M924" s="136">
        <f>IF($F924="","",IFERROR(INDEX(사건마스터!$AJ$5:$AJ$64,MATCH($F924,사건마스터!$A$5:$A$64,0)),""))</f>
        <v/>
      </c>
      <c r="N924" s="136">
        <f>IF($F924="","",IFERROR(INDEX(사건마스터!$AK$5:$AK$64,MATCH($F924,사건마스터!$A$5:$A$64,0)),""))</f>
        <v/>
      </c>
      <c r="O924" s="136">
        <f>IF($F924="","",IFERROR(INDEX(사건마스터!$AL$5:$AL$64,MATCH($F924,사건마스터!$A$5:$A$64,0)),""))</f>
        <v/>
      </c>
      <c r="P924" s="136">
        <f>IF($F924="","",IFERROR(INDEX(사건마스터!$AM$5:$AM$64,MATCH($F924,사건마스터!$A$5:$A$64,0)),""))</f>
        <v/>
      </c>
      <c r="Q924" s="136">
        <f>IF($F924="","",IFERROR(INDEX(사건마스터!$AN$5:$AN$64,MATCH($F924,사건마스터!$A$5:$A$64,0)),""))</f>
        <v/>
      </c>
      <c r="R924" s="136">
        <f>IF($F924="","",IFERROR(INDEX(사건마스터!$AO$5:$AO$64,MATCH($F924,사건마스터!$A$5:$A$64,0)),""))</f>
        <v/>
      </c>
      <c r="S924" s="136">
        <f>IF($F924="","",IFERROR(INDEX(사건마스터!$AP$5:$AP$64,MATCH($F924,사건마스터!$A$5:$A$64,0)),""))</f>
        <v/>
      </c>
      <c r="T924" s="136">
        <f>IF($F924="","",IFERROR(INDEX(사건마스터!$AQ$5:$AQ$64,MATCH($F924,사건마스터!$A$5:$A$64,0)),""))</f>
        <v/>
      </c>
      <c r="U924" s="136">
        <f>IF($F924="","",IFERROR(INDEX(사건마스터!$AR$5:$AR$64,MATCH($F924,사건마스터!$A$5:$A$64,0)),""))</f>
        <v/>
      </c>
      <c r="V924" s="136">
        <f>IF($F924="","",IFERROR(INDEX(사건마스터!$AS$5:$AS$64,MATCH($F924,사건마스터!$A$5:$A$64,0)),""))</f>
        <v/>
      </c>
      <c r="W924" s="136">
        <f>IF($F924="","",IFERROR(INDEX(사건마스터!$AT$5:$AT$64,MATCH($F924,사건마스터!$A$5:$A$64,0)),""))</f>
        <v/>
      </c>
      <c r="X924" s="136">
        <f>IF($F924="","",IFERROR(INDEX(사건마스터!$AU$5:$AU$64,MATCH($F924,사건마스터!$A$5:$A$64,0)),""))</f>
        <v/>
      </c>
      <c r="Y924" s="136">
        <f>IF($F924="","",IFERROR(INDEX(사건마스터!$AV$5:$AV$64,MATCH($F924,사건마스터!$A$5:$A$64,0)),""))</f>
        <v/>
      </c>
      <c r="Z924" s="118">
        <f>IF(COUNTBLANK($J924:$Y924)=16,"",16-COUNTBLANK($J924:$Y924))</f>
        <v/>
      </c>
      <c r="AA924" s="33">
        <f>IF($J924="",MID($AX924,3,255),$J924&amp;$AX924)</f>
        <v/>
      </c>
      <c r="AB924" s="130">
        <f>IF($J924="","",IFERROR(INDEX(코드설정!$D$5:$D$24,MATCH($J924,코드설정!$C$5:$C$24,0)),""))</f>
        <v/>
      </c>
      <c r="AC924" s="36" t="n"/>
      <c r="AD924" s="37" t="n"/>
      <c r="AE924" s="38" t="n"/>
      <c r="AF924" s="118">
        <f>IF(OR($B924="",$C924=""),"",$C924-$B924+1)</f>
        <v/>
      </c>
      <c r="AG924" s="74" t="n"/>
      <c r="AH924" s="36" t="n"/>
      <c r="AJ924">
        <f>IF($K924="","",", "&amp;$K924)</f>
        <v/>
      </c>
      <c r="AK924">
        <f>AJ924&amp;IF($L924="","",", "&amp;$L924)</f>
        <v/>
      </c>
      <c r="AL924">
        <f>AK924&amp;IF($M924="","",", "&amp;$M924)</f>
        <v/>
      </c>
      <c r="AM924">
        <f>AL924&amp;IF($N924="","",", "&amp;$N924)</f>
        <v/>
      </c>
      <c r="AN924">
        <f>AM924&amp;IF($O924="","",", "&amp;$O924)</f>
        <v/>
      </c>
      <c r="AO924">
        <f>AN924&amp;IF($P924="","",", "&amp;$P924)</f>
        <v/>
      </c>
      <c r="AP924">
        <f>AO924&amp;IF($Q924="","",", "&amp;$Q924)</f>
        <v/>
      </c>
      <c r="AQ924">
        <f>AP924&amp;IF($R924="","",", "&amp;$R924)</f>
        <v/>
      </c>
      <c r="AR924">
        <f>AQ924&amp;IF($S924="","",", "&amp;$S924)</f>
        <v/>
      </c>
      <c r="AS924">
        <f>AR924&amp;IF($T924="","",", "&amp;$T924)</f>
        <v/>
      </c>
      <c r="AT924">
        <f>AS924&amp;IF($U924="","",", "&amp;$U924)</f>
        <v/>
      </c>
      <c r="AU924">
        <f>AT924&amp;IF($V924="","",", "&amp;$V924)</f>
        <v/>
      </c>
      <c r="AV924">
        <f>AU924&amp;IF($W924="","",", "&amp;$W924)</f>
        <v/>
      </c>
      <c r="AW924">
        <f>AV924&amp;IF($X924="","",", "&amp;$X924)</f>
        <v/>
      </c>
      <c r="AX924">
        <f>AW924&amp;IF($Y924="","",", "&amp;$Y924)</f>
        <v/>
      </c>
    </row>
    <row r="925">
      <c r="A925" s="118">
        <f>IF($B925="","",COUNT($B$5:$B925))</f>
        <v/>
      </c>
      <c r="B925" s="80" t="n"/>
      <c r="C925" s="80" t="n"/>
      <c r="D925" s="74" t="n"/>
      <c r="E925" s="74" t="n"/>
      <c r="F925" s="74" t="n"/>
      <c r="G925" s="118">
        <f>IF($F925="","",COUNTIF($F$5:$F925,$F925))</f>
        <v/>
      </c>
      <c r="H925" s="33">
        <f>IF($F925="","",IFERROR(INDEX(사건마스터!$B$5:$B$64,MATCH($F925,사건마스터!$A$5:$A$64,0)),""))</f>
        <v/>
      </c>
      <c r="I925" s="130">
        <f>IF($F925="","",IFERROR(INDEX(사건마스터!$C$5:$C$64,MATCH($F925,사건마스터!$A$5:$A$64,0)),""))</f>
        <v/>
      </c>
      <c r="J925" s="136">
        <f>IF($F925="","",IFERROR(INDEX(사건마스터!$H$5:$H$64,MATCH($F925,사건마스터!$A$5:$A$64,0)),""))</f>
        <v/>
      </c>
      <c r="K925" s="136">
        <f>IF($F925="","",IFERROR(INDEX(사건마스터!$AH$5:$AH$64,MATCH($F925,사건마스터!$A$5:$A$64,0)),""))</f>
        <v/>
      </c>
      <c r="L925" s="136">
        <f>IF($F925="","",IFERROR(INDEX(사건마스터!$AI$5:$AI$64,MATCH($F925,사건마스터!$A$5:$A$64,0)),""))</f>
        <v/>
      </c>
      <c r="M925" s="136">
        <f>IF($F925="","",IFERROR(INDEX(사건마스터!$AJ$5:$AJ$64,MATCH($F925,사건마스터!$A$5:$A$64,0)),""))</f>
        <v/>
      </c>
      <c r="N925" s="136">
        <f>IF($F925="","",IFERROR(INDEX(사건마스터!$AK$5:$AK$64,MATCH($F925,사건마스터!$A$5:$A$64,0)),""))</f>
        <v/>
      </c>
      <c r="O925" s="136">
        <f>IF($F925="","",IFERROR(INDEX(사건마스터!$AL$5:$AL$64,MATCH($F925,사건마스터!$A$5:$A$64,0)),""))</f>
        <v/>
      </c>
      <c r="P925" s="136">
        <f>IF($F925="","",IFERROR(INDEX(사건마스터!$AM$5:$AM$64,MATCH($F925,사건마스터!$A$5:$A$64,0)),""))</f>
        <v/>
      </c>
      <c r="Q925" s="136">
        <f>IF($F925="","",IFERROR(INDEX(사건마스터!$AN$5:$AN$64,MATCH($F925,사건마스터!$A$5:$A$64,0)),""))</f>
        <v/>
      </c>
      <c r="R925" s="136">
        <f>IF($F925="","",IFERROR(INDEX(사건마스터!$AO$5:$AO$64,MATCH($F925,사건마스터!$A$5:$A$64,0)),""))</f>
        <v/>
      </c>
      <c r="S925" s="136">
        <f>IF($F925="","",IFERROR(INDEX(사건마스터!$AP$5:$AP$64,MATCH($F925,사건마스터!$A$5:$A$64,0)),""))</f>
        <v/>
      </c>
      <c r="T925" s="136">
        <f>IF($F925="","",IFERROR(INDEX(사건마스터!$AQ$5:$AQ$64,MATCH($F925,사건마스터!$A$5:$A$64,0)),""))</f>
        <v/>
      </c>
      <c r="U925" s="136">
        <f>IF($F925="","",IFERROR(INDEX(사건마스터!$AR$5:$AR$64,MATCH($F925,사건마스터!$A$5:$A$64,0)),""))</f>
        <v/>
      </c>
      <c r="V925" s="136">
        <f>IF($F925="","",IFERROR(INDEX(사건마스터!$AS$5:$AS$64,MATCH($F925,사건마스터!$A$5:$A$64,0)),""))</f>
        <v/>
      </c>
      <c r="W925" s="136">
        <f>IF($F925="","",IFERROR(INDEX(사건마스터!$AT$5:$AT$64,MATCH($F925,사건마스터!$A$5:$A$64,0)),""))</f>
        <v/>
      </c>
      <c r="X925" s="136">
        <f>IF($F925="","",IFERROR(INDEX(사건마스터!$AU$5:$AU$64,MATCH($F925,사건마스터!$A$5:$A$64,0)),""))</f>
        <v/>
      </c>
      <c r="Y925" s="136">
        <f>IF($F925="","",IFERROR(INDEX(사건마스터!$AV$5:$AV$64,MATCH($F925,사건마스터!$A$5:$A$64,0)),""))</f>
        <v/>
      </c>
      <c r="Z925" s="118">
        <f>IF(COUNTBLANK($J925:$Y925)=16,"",16-COUNTBLANK($J925:$Y925))</f>
        <v/>
      </c>
      <c r="AA925" s="33">
        <f>IF($J925="",MID($AX925,3,255),$J925&amp;$AX925)</f>
        <v/>
      </c>
      <c r="AB925" s="130">
        <f>IF($J925="","",IFERROR(INDEX(코드설정!$D$5:$D$24,MATCH($J925,코드설정!$C$5:$C$24,0)),""))</f>
        <v/>
      </c>
      <c r="AC925" s="36" t="n"/>
      <c r="AD925" s="37" t="n"/>
      <c r="AE925" s="38" t="n"/>
      <c r="AF925" s="118">
        <f>IF(OR($B925="",$C925=""),"",$C925-$B925+1)</f>
        <v/>
      </c>
      <c r="AG925" s="74" t="n"/>
      <c r="AH925" s="36" t="n"/>
      <c r="AJ925">
        <f>IF($K925="","",", "&amp;$K925)</f>
        <v/>
      </c>
      <c r="AK925">
        <f>AJ925&amp;IF($L925="","",", "&amp;$L925)</f>
        <v/>
      </c>
      <c r="AL925">
        <f>AK925&amp;IF($M925="","",", "&amp;$M925)</f>
        <v/>
      </c>
      <c r="AM925">
        <f>AL925&amp;IF($N925="","",", "&amp;$N925)</f>
        <v/>
      </c>
      <c r="AN925">
        <f>AM925&amp;IF($O925="","",", "&amp;$O925)</f>
        <v/>
      </c>
      <c r="AO925">
        <f>AN925&amp;IF($P925="","",", "&amp;$P925)</f>
        <v/>
      </c>
      <c r="AP925">
        <f>AO925&amp;IF($Q925="","",", "&amp;$Q925)</f>
        <v/>
      </c>
      <c r="AQ925">
        <f>AP925&amp;IF($R925="","",", "&amp;$R925)</f>
        <v/>
      </c>
      <c r="AR925">
        <f>AQ925&amp;IF($S925="","",", "&amp;$S925)</f>
        <v/>
      </c>
      <c r="AS925">
        <f>AR925&amp;IF($T925="","",", "&amp;$T925)</f>
        <v/>
      </c>
      <c r="AT925">
        <f>AS925&amp;IF($U925="","",", "&amp;$U925)</f>
        <v/>
      </c>
      <c r="AU925">
        <f>AT925&amp;IF($V925="","",", "&amp;$V925)</f>
        <v/>
      </c>
      <c r="AV925">
        <f>AU925&amp;IF($W925="","",", "&amp;$W925)</f>
        <v/>
      </c>
      <c r="AW925">
        <f>AV925&amp;IF($X925="","",", "&amp;$X925)</f>
        <v/>
      </c>
      <c r="AX925">
        <f>AW925&amp;IF($Y925="","",", "&amp;$Y925)</f>
        <v/>
      </c>
    </row>
    <row r="926">
      <c r="A926" s="118">
        <f>IF($B926="","",COUNT($B$5:$B926))</f>
        <v/>
      </c>
      <c r="B926" s="80" t="n"/>
      <c r="C926" s="80" t="n"/>
      <c r="D926" s="74" t="n"/>
      <c r="E926" s="74" t="n"/>
      <c r="F926" s="74" t="n"/>
      <c r="G926" s="118">
        <f>IF($F926="","",COUNTIF($F$5:$F926,$F926))</f>
        <v/>
      </c>
      <c r="H926" s="33">
        <f>IF($F926="","",IFERROR(INDEX(사건마스터!$B$5:$B$64,MATCH($F926,사건마스터!$A$5:$A$64,0)),""))</f>
        <v/>
      </c>
      <c r="I926" s="130">
        <f>IF($F926="","",IFERROR(INDEX(사건마스터!$C$5:$C$64,MATCH($F926,사건마스터!$A$5:$A$64,0)),""))</f>
        <v/>
      </c>
      <c r="J926" s="136">
        <f>IF($F926="","",IFERROR(INDEX(사건마스터!$H$5:$H$64,MATCH($F926,사건마스터!$A$5:$A$64,0)),""))</f>
        <v/>
      </c>
      <c r="K926" s="136">
        <f>IF($F926="","",IFERROR(INDEX(사건마스터!$AH$5:$AH$64,MATCH($F926,사건마스터!$A$5:$A$64,0)),""))</f>
        <v/>
      </c>
      <c r="L926" s="136">
        <f>IF($F926="","",IFERROR(INDEX(사건마스터!$AI$5:$AI$64,MATCH($F926,사건마스터!$A$5:$A$64,0)),""))</f>
        <v/>
      </c>
      <c r="M926" s="136">
        <f>IF($F926="","",IFERROR(INDEX(사건마스터!$AJ$5:$AJ$64,MATCH($F926,사건마스터!$A$5:$A$64,0)),""))</f>
        <v/>
      </c>
      <c r="N926" s="136">
        <f>IF($F926="","",IFERROR(INDEX(사건마스터!$AK$5:$AK$64,MATCH($F926,사건마스터!$A$5:$A$64,0)),""))</f>
        <v/>
      </c>
      <c r="O926" s="136">
        <f>IF($F926="","",IFERROR(INDEX(사건마스터!$AL$5:$AL$64,MATCH($F926,사건마스터!$A$5:$A$64,0)),""))</f>
        <v/>
      </c>
      <c r="P926" s="136">
        <f>IF($F926="","",IFERROR(INDEX(사건마스터!$AM$5:$AM$64,MATCH($F926,사건마스터!$A$5:$A$64,0)),""))</f>
        <v/>
      </c>
      <c r="Q926" s="136">
        <f>IF($F926="","",IFERROR(INDEX(사건마스터!$AN$5:$AN$64,MATCH($F926,사건마스터!$A$5:$A$64,0)),""))</f>
        <v/>
      </c>
      <c r="R926" s="136">
        <f>IF($F926="","",IFERROR(INDEX(사건마스터!$AO$5:$AO$64,MATCH($F926,사건마스터!$A$5:$A$64,0)),""))</f>
        <v/>
      </c>
      <c r="S926" s="136">
        <f>IF($F926="","",IFERROR(INDEX(사건마스터!$AP$5:$AP$64,MATCH($F926,사건마스터!$A$5:$A$64,0)),""))</f>
        <v/>
      </c>
      <c r="T926" s="136">
        <f>IF($F926="","",IFERROR(INDEX(사건마스터!$AQ$5:$AQ$64,MATCH($F926,사건마스터!$A$5:$A$64,0)),""))</f>
        <v/>
      </c>
      <c r="U926" s="136">
        <f>IF($F926="","",IFERROR(INDEX(사건마스터!$AR$5:$AR$64,MATCH($F926,사건마스터!$A$5:$A$64,0)),""))</f>
        <v/>
      </c>
      <c r="V926" s="136">
        <f>IF($F926="","",IFERROR(INDEX(사건마스터!$AS$5:$AS$64,MATCH($F926,사건마스터!$A$5:$A$64,0)),""))</f>
        <v/>
      </c>
      <c r="W926" s="136">
        <f>IF($F926="","",IFERROR(INDEX(사건마스터!$AT$5:$AT$64,MATCH($F926,사건마스터!$A$5:$A$64,0)),""))</f>
        <v/>
      </c>
      <c r="X926" s="136">
        <f>IF($F926="","",IFERROR(INDEX(사건마스터!$AU$5:$AU$64,MATCH($F926,사건마스터!$A$5:$A$64,0)),""))</f>
        <v/>
      </c>
      <c r="Y926" s="136">
        <f>IF($F926="","",IFERROR(INDEX(사건마스터!$AV$5:$AV$64,MATCH($F926,사건마스터!$A$5:$A$64,0)),""))</f>
        <v/>
      </c>
      <c r="Z926" s="118">
        <f>IF(COUNTBLANK($J926:$Y926)=16,"",16-COUNTBLANK($J926:$Y926))</f>
        <v/>
      </c>
      <c r="AA926" s="33">
        <f>IF($J926="",MID($AX926,3,255),$J926&amp;$AX926)</f>
        <v/>
      </c>
      <c r="AB926" s="130">
        <f>IF($J926="","",IFERROR(INDEX(코드설정!$D$5:$D$24,MATCH($J926,코드설정!$C$5:$C$24,0)),""))</f>
        <v/>
      </c>
      <c r="AC926" s="36" t="n"/>
      <c r="AD926" s="37" t="n"/>
      <c r="AE926" s="38" t="n"/>
      <c r="AF926" s="118">
        <f>IF(OR($B926="",$C926=""),"",$C926-$B926+1)</f>
        <v/>
      </c>
      <c r="AG926" s="74" t="n"/>
      <c r="AH926" s="36" t="n"/>
      <c r="AJ926">
        <f>IF($K926="","",", "&amp;$K926)</f>
        <v/>
      </c>
      <c r="AK926">
        <f>AJ926&amp;IF($L926="","",", "&amp;$L926)</f>
        <v/>
      </c>
      <c r="AL926">
        <f>AK926&amp;IF($M926="","",", "&amp;$M926)</f>
        <v/>
      </c>
      <c r="AM926">
        <f>AL926&amp;IF($N926="","",", "&amp;$N926)</f>
        <v/>
      </c>
      <c r="AN926">
        <f>AM926&amp;IF($O926="","",", "&amp;$O926)</f>
        <v/>
      </c>
      <c r="AO926">
        <f>AN926&amp;IF($P926="","",", "&amp;$P926)</f>
        <v/>
      </c>
      <c r="AP926">
        <f>AO926&amp;IF($Q926="","",", "&amp;$Q926)</f>
        <v/>
      </c>
      <c r="AQ926">
        <f>AP926&amp;IF($R926="","",", "&amp;$R926)</f>
        <v/>
      </c>
      <c r="AR926">
        <f>AQ926&amp;IF($S926="","",", "&amp;$S926)</f>
        <v/>
      </c>
      <c r="AS926">
        <f>AR926&amp;IF($T926="","",", "&amp;$T926)</f>
        <v/>
      </c>
      <c r="AT926">
        <f>AS926&amp;IF($U926="","",", "&amp;$U926)</f>
        <v/>
      </c>
      <c r="AU926">
        <f>AT926&amp;IF($V926="","",", "&amp;$V926)</f>
        <v/>
      </c>
      <c r="AV926">
        <f>AU926&amp;IF($W926="","",", "&amp;$W926)</f>
        <v/>
      </c>
      <c r="AW926">
        <f>AV926&amp;IF($X926="","",", "&amp;$X926)</f>
        <v/>
      </c>
      <c r="AX926">
        <f>AW926&amp;IF($Y926="","",", "&amp;$Y926)</f>
        <v/>
      </c>
    </row>
    <row r="927">
      <c r="A927" s="118">
        <f>IF($B927="","",COUNT($B$5:$B927))</f>
        <v/>
      </c>
      <c r="B927" s="80" t="n"/>
      <c r="C927" s="80" t="n"/>
      <c r="D927" s="74" t="n"/>
      <c r="E927" s="74" t="n"/>
      <c r="F927" s="74" t="n"/>
      <c r="G927" s="118">
        <f>IF($F927="","",COUNTIF($F$5:$F927,$F927))</f>
        <v/>
      </c>
      <c r="H927" s="33">
        <f>IF($F927="","",IFERROR(INDEX(사건마스터!$B$5:$B$64,MATCH($F927,사건마스터!$A$5:$A$64,0)),""))</f>
        <v/>
      </c>
      <c r="I927" s="130">
        <f>IF($F927="","",IFERROR(INDEX(사건마스터!$C$5:$C$64,MATCH($F927,사건마스터!$A$5:$A$64,0)),""))</f>
        <v/>
      </c>
      <c r="J927" s="136">
        <f>IF($F927="","",IFERROR(INDEX(사건마스터!$H$5:$H$64,MATCH($F927,사건마스터!$A$5:$A$64,0)),""))</f>
        <v/>
      </c>
      <c r="K927" s="136">
        <f>IF($F927="","",IFERROR(INDEX(사건마스터!$AH$5:$AH$64,MATCH($F927,사건마스터!$A$5:$A$64,0)),""))</f>
        <v/>
      </c>
      <c r="L927" s="136">
        <f>IF($F927="","",IFERROR(INDEX(사건마스터!$AI$5:$AI$64,MATCH($F927,사건마스터!$A$5:$A$64,0)),""))</f>
        <v/>
      </c>
      <c r="M927" s="136">
        <f>IF($F927="","",IFERROR(INDEX(사건마스터!$AJ$5:$AJ$64,MATCH($F927,사건마스터!$A$5:$A$64,0)),""))</f>
        <v/>
      </c>
      <c r="N927" s="136">
        <f>IF($F927="","",IFERROR(INDEX(사건마스터!$AK$5:$AK$64,MATCH($F927,사건마스터!$A$5:$A$64,0)),""))</f>
        <v/>
      </c>
      <c r="O927" s="136">
        <f>IF($F927="","",IFERROR(INDEX(사건마스터!$AL$5:$AL$64,MATCH($F927,사건마스터!$A$5:$A$64,0)),""))</f>
        <v/>
      </c>
      <c r="P927" s="136">
        <f>IF($F927="","",IFERROR(INDEX(사건마스터!$AM$5:$AM$64,MATCH($F927,사건마스터!$A$5:$A$64,0)),""))</f>
        <v/>
      </c>
      <c r="Q927" s="136">
        <f>IF($F927="","",IFERROR(INDEX(사건마스터!$AN$5:$AN$64,MATCH($F927,사건마스터!$A$5:$A$64,0)),""))</f>
        <v/>
      </c>
      <c r="R927" s="136">
        <f>IF($F927="","",IFERROR(INDEX(사건마스터!$AO$5:$AO$64,MATCH($F927,사건마스터!$A$5:$A$64,0)),""))</f>
        <v/>
      </c>
      <c r="S927" s="136">
        <f>IF($F927="","",IFERROR(INDEX(사건마스터!$AP$5:$AP$64,MATCH($F927,사건마스터!$A$5:$A$64,0)),""))</f>
        <v/>
      </c>
      <c r="T927" s="136">
        <f>IF($F927="","",IFERROR(INDEX(사건마스터!$AQ$5:$AQ$64,MATCH($F927,사건마스터!$A$5:$A$64,0)),""))</f>
        <v/>
      </c>
      <c r="U927" s="136">
        <f>IF($F927="","",IFERROR(INDEX(사건마스터!$AR$5:$AR$64,MATCH($F927,사건마스터!$A$5:$A$64,0)),""))</f>
        <v/>
      </c>
      <c r="V927" s="136">
        <f>IF($F927="","",IFERROR(INDEX(사건마스터!$AS$5:$AS$64,MATCH($F927,사건마스터!$A$5:$A$64,0)),""))</f>
        <v/>
      </c>
      <c r="W927" s="136">
        <f>IF($F927="","",IFERROR(INDEX(사건마스터!$AT$5:$AT$64,MATCH($F927,사건마스터!$A$5:$A$64,0)),""))</f>
        <v/>
      </c>
      <c r="X927" s="136">
        <f>IF($F927="","",IFERROR(INDEX(사건마스터!$AU$5:$AU$64,MATCH($F927,사건마스터!$A$5:$A$64,0)),""))</f>
        <v/>
      </c>
      <c r="Y927" s="136">
        <f>IF($F927="","",IFERROR(INDEX(사건마스터!$AV$5:$AV$64,MATCH($F927,사건마스터!$A$5:$A$64,0)),""))</f>
        <v/>
      </c>
      <c r="Z927" s="118">
        <f>IF(COUNTBLANK($J927:$Y927)=16,"",16-COUNTBLANK($J927:$Y927))</f>
        <v/>
      </c>
      <c r="AA927" s="33">
        <f>IF($J927="",MID($AX927,3,255),$J927&amp;$AX927)</f>
        <v/>
      </c>
      <c r="AB927" s="130">
        <f>IF($J927="","",IFERROR(INDEX(코드설정!$D$5:$D$24,MATCH($J927,코드설정!$C$5:$C$24,0)),""))</f>
        <v/>
      </c>
      <c r="AC927" s="36" t="n"/>
      <c r="AD927" s="37" t="n"/>
      <c r="AE927" s="38" t="n"/>
      <c r="AF927" s="118">
        <f>IF(OR($B927="",$C927=""),"",$C927-$B927+1)</f>
        <v/>
      </c>
      <c r="AG927" s="74" t="n"/>
      <c r="AH927" s="36" t="n"/>
      <c r="AJ927">
        <f>IF($K927="","",", "&amp;$K927)</f>
        <v/>
      </c>
      <c r="AK927">
        <f>AJ927&amp;IF($L927="","",", "&amp;$L927)</f>
        <v/>
      </c>
      <c r="AL927">
        <f>AK927&amp;IF($M927="","",", "&amp;$M927)</f>
        <v/>
      </c>
      <c r="AM927">
        <f>AL927&amp;IF($N927="","",", "&amp;$N927)</f>
        <v/>
      </c>
      <c r="AN927">
        <f>AM927&amp;IF($O927="","",", "&amp;$O927)</f>
        <v/>
      </c>
      <c r="AO927">
        <f>AN927&amp;IF($P927="","",", "&amp;$P927)</f>
        <v/>
      </c>
      <c r="AP927">
        <f>AO927&amp;IF($Q927="","",", "&amp;$Q927)</f>
        <v/>
      </c>
      <c r="AQ927">
        <f>AP927&amp;IF($R927="","",", "&amp;$R927)</f>
        <v/>
      </c>
      <c r="AR927">
        <f>AQ927&amp;IF($S927="","",", "&amp;$S927)</f>
        <v/>
      </c>
      <c r="AS927">
        <f>AR927&amp;IF($T927="","",", "&amp;$T927)</f>
        <v/>
      </c>
      <c r="AT927">
        <f>AS927&amp;IF($U927="","",", "&amp;$U927)</f>
        <v/>
      </c>
      <c r="AU927">
        <f>AT927&amp;IF($V927="","",", "&amp;$V927)</f>
        <v/>
      </c>
      <c r="AV927">
        <f>AU927&amp;IF($W927="","",", "&amp;$W927)</f>
        <v/>
      </c>
      <c r="AW927">
        <f>AV927&amp;IF($X927="","",", "&amp;$X927)</f>
        <v/>
      </c>
      <c r="AX927">
        <f>AW927&amp;IF($Y927="","",", "&amp;$Y927)</f>
        <v/>
      </c>
    </row>
    <row r="928">
      <c r="A928" s="118">
        <f>IF($B928="","",COUNT($B$5:$B928))</f>
        <v/>
      </c>
      <c r="B928" s="80" t="n"/>
      <c r="C928" s="80" t="n"/>
      <c r="D928" s="74" t="n"/>
      <c r="E928" s="74" t="n"/>
      <c r="F928" s="74" t="n"/>
      <c r="G928" s="118">
        <f>IF($F928="","",COUNTIF($F$5:$F928,$F928))</f>
        <v/>
      </c>
      <c r="H928" s="33">
        <f>IF($F928="","",IFERROR(INDEX(사건마스터!$B$5:$B$64,MATCH($F928,사건마스터!$A$5:$A$64,0)),""))</f>
        <v/>
      </c>
      <c r="I928" s="130">
        <f>IF($F928="","",IFERROR(INDEX(사건마스터!$C$5:$C$64,MATCH($F928,사건마스터!$A$5:$A$64,0)),""))</f>
        <v/>
      </c>
      <c r="J928" s="136">
        <f>IF($F928="","",IFERROR(INDEX(사건마스터!$H$5:$H$64,MATCH($F928,사건마스터!$A$5:$A$64,0)),""))</f>
        <v/>
      </c>
      <c r="K928" s="136">
        <f>IF($F928="","",IFERROR(INDEX(사건마스터!$AH$5:$AH$64,MATCH($F928,사건마스터!$A$5:$A$64,0)),""))</f>
        <v/>
      </c>
      <c r="L928" s="136">
        <f>IF($F928="","",IFERROR(INDEX(사건마스터!$AI$5:$AI$64,MATCH($F928,사건마스터!$A$5:$A$64,0)),""))</f>
        <v/>
      </c>
      <c r="M928" s="136">
        <f>IF($F928="","",IFERROR(INDEX(사건마스터!$AJ$5:$AJ$64,MATCH($F928,사건마스터!$A$5:$A$64,0)),""))</f>
        <v/>
      </c>
      <c r="N928" s="136">
        <f>IF($F928="","",IFERROR(INDEX(사건마스터!$AK$5:$AK$64,MATCH($F928,사건마스터!$A$5:$A$64,0)),""))</f>
        <v/>
      </c>
      <c r="O928" s="136">
        <f>IF($F928="","",IFERROR(INDEX(사건마스터!$AL$5:$AL$64,MATCH($F928,사건마스터!$A$5:$A$64,0)),""))</f>
        <v/>
      </c>
      <c r="P928" s="136">
        <f>IF($F928="","",IFERROR(INDEX(사건마스터!$AM$5:$AM$64,MATCH($F928,사건마스터!$A$5:$A$64,0)),""))</f>
        <v/>
      </c>
      <c r="Q928" s="136">
        <f>IF($F928="","",IFERROR(INDEX(사건마스터!$AN$5:$AN$64,MATCH($F928,사건마스터!$A$5:$A$64,0)),""))</f>
        <v/>
      </c>
      <c r="R928" s="136">
        <f>IF($F928="","",IFERROR(INDEX(사건마스터!$AO$5:$AO$64,MATCH($F928,사건마스터!$A$5:$A$64,0)),""))</f>
        <v/>
      </c>
      <c r="S928" s="136">
        <f>IF($F928="","",IFERROR(INDEX(사건마스터!$AP$5:$AP$64,MATCH($F928,사건마스터!$A$5:$A$64,0)),""))</f>
        <v/>
      </c>
      <c r="T928" s="136">
        <f>IF($F928="","",IFERROR(INDEX(사건마스터!$AQ$5:$AQ$64,MATCH($F928,사건마스터!$A$5:$A$64,0)),""))</f>
        <v/>
      </c>
      <c r="U928" s="136">
        <f>IF($F928="","",IFERROR(INDEX(사건마스터!$AR$5:$AR$64,MATCH($F928,사건마스터!$A$5:$A$64,0)),""))</f>
        <v/>
      </c>
      <c r="V928" s="136">
        <f>IF($F928="","",IFERROR(INDEX(사건마스터!$AS$5:$AS$64,MATCH($F928,사건마스터!$A$5:$A$64,0)),""))</f>
        <v/>
      </c>
      <c r="W928" s="136">
        <f>IF($F928="","",IFERROR(INDEX(사건마스터!$AT$5:$AT$64,MATCH($F928,사건마스터!$A$5:$A$64,0)),""))</f>
        <v/>
      </c>
      <c r="X928" s="136">
        <f>IF($F928="","",IFERROR(INDEX(사건마스터!$AU$5:$AU$64,MATCH($F928,사건마스터!$A$5:$A$64,0)),""))</f>
        <v/>
      </c>
      <c r="Y928" s="136">
        <f>IF($F928="","",IFERROR(INDEX(사건마스터!$AV$5:$AV$64,MATCH($F928,사건마스터!$A$5:$A$64,0)),""))</f>
        <v/>
      </c>
      <c r="Z928" s="118">
        <f>IF(COUNTBLANK($J928:$Y928)=16,"",16-COUNTBLANK($J928:$Y928))</f>
        <v/>
      </c>
      <c r="AA928" s="33">
        <f>IF($J928="",MID($AX928,3,255),$J928&amp;$AX928)</f>
        <v/>
      </c>
      <c r="AB928" s="130">
        <f>IF($J928="","",IFERROR(INDEX(코드설정!$D$5:$D$24,MATCH($J928,코드설정!$C$5:$C$24,0)),""))</f>
        <v/>
      </c>
      <c r="AC928" s="36" t="n"/>
      <c r="AD928" s="37" t="n"/>
      <c r="AE928" s="38" t="n"/>
      <c r="AF928" s="118">
        <f>IF(OR($B928="",$C928=""),"",$C928-$B928+1)</f>
        <v/>
      </c>
      <c r="AG928" s="74" t="n"/>
      <c r="AH928" s="36" t="n"/>
      <c r="AJ928">
        <f>IF($K928="","",", "&amp;$K928)</f>
        <v/>
      </c>
      <c r="AK928">
        <f>AJ928&amp;IF($L928="","",", "&amp;$L928)</f>
        <v/>
      </c>
      <c r="AL928">
        <f>AK928&amp;IF($M928="","",", "&amp;$M928)</f>
        <v/>
      </c>
      <c r="AM928">
        <f>AL928&amp;IF($N928="","",", "&amp;$N928)</f>
        <v/>
      </c>
      <c r="AN928">
        <f>AM928&amp;IF($O928="","",", "&amp;$O928)</f>
        <v/>
      </c>
      <c r="AO928">
        <f>AN928&amp;IF($P928="","",", "&amp;$P928)</f>
        <v/>
      </c>
      <c r="AP928">
        <f>AO928&amp;IF($Q928="","",", "&amp;$Q928)</f>
        <v/>
      </c>
      <c r="AQ928">
        <f>AP928&amp;IF($R928="","",", "&amp;$R928)</f>
        <v/>
      </c>
      <c r="AR928">
        <f>AQ928&amp;IF($S928="","",", "&amp;$S928)</f>
        <v/>
      </c>
      <c r="AS928">
        <f>AR928&amp;IF($T928="","",", "&amp;$T928)</f>
        <v/>
      </c>
      <c r="AT928">
        <f>AS928&amp;IF($U928="","",", "&amp;$U928)</f>
        <v/>
      </c>
      <c r="AU928">
        <f>AT928&amp;IF($V928="","",", "&amp;$V928)</f>
        <v/>
      </c>
      <c r="AV928">
        <f>AU928&amp;IF($W928="","",", "&amp;$W928)</f>
        <v/>
      </c>
      <c r="AW928">
        <f>AV928&amp;IF($X928="","",", "&amp;$X928)</f>
        <v/>
      </c>
      <c r="AX928">
        <f>AW928&amp;IF($Y928="","",", "&amp;$Y928)</f>
        <v/>
      </c>
    </row>
    <row r="929">
      <c r="A929" s="118">
        <f>IF($B929="","",COUNT($B$5:$B929))</f>
        <v/>
      </c>
      <c r="B929" s="80" t="n"/>
      <c r="C929" s="80" t="n"/>
      <c r="D929" s="74" t="n"/>
      <c r="E929" s="74" t="n"/>
      <c r="F929" s="74" t="n"/>
      <c r="G929" s="118">
        <f>IF($F929="","",COUNTIF($F$5:$F929,$F929))</f>
        <v/>
      </c>
      <c r="H929" s="33">
        <f>IF($F929="","",IFERROR(INDEX(사건마스터!$B$5:$B$64,MATCH($F929,사건마스터!$A$5:$A$64,0)),""))</f>
        <v/>
      </c>
      <c r="I929" s="130">
        <f>IF($F929="","",IFERROR(INDEX(사건마스터!$C$5:$C$64,MATCH($F929,사건마스터!$A$5:$A$64,0)),""))</f>
        <v/>
      </c>
      <c r="J929" s="136">
        <f>IF($F929="","",IFERROR(INDEX(사건마스터!$H$5:$H$64,MATCH($F929,사건마스터!$A$5:$A$64,0)),""))</f>
        <v/>
      </c>
      <c r="K929" s="136">
        <f>IF($F929="","",IFERROR(INDEX(사건마스터!$AH$5:$AH$64,MATCH($F929,사건마스터!$A$5:$A$64,0)),""))</f>
        <v/>
      </c>
      <c r="L929" s="136">
        <f>IF($F929="","",IFERROR(INDEX(사건마스터!$AI$5:$AI$64,MATCH($F929,사건마스터!$A$5:$A$64,0)),""))</f>
        <v/>
      </c>
      <c r="M929" s="136">
        <f>IF($F929="","",IFERROR(INDEX(사건마스터!$AJ$5:$AJ$64,MATCH($F929,사건마스터!$A$5:$A$64,0)),""))</f>
        <v/>
      </c>
      <c r="N929" s="136">
        <f>IF($F929="","",IFERROR(INDEX(사건마스터!$AK$5:$AK$64,MATCH($F929,사건마스터!$A$5:$A$64,0)),""))</f>
        <v/>
      </c>
      <c r="O929" s="136">
        <f>IF($F929="","",IFERROR(INDEX(사건마스터!$AL$5:$AL$64,MATCH($F929,사건마스터!$A$5:$A$64,0)),""))</f>
        <v/>
      </c>
      <c r="P929" s="136">
        <f>IF($F929="","",IFERROR(INDEX(사건마스터!$AM$5:$AM$64,MATCH($F929,사건마스터!$A$5:$A$64,0)),""))</f>
        <v/>
      </c>
      <c r="Q929" s="136">
        <f>IF($F929="","",IFERROR(INDEX(사건마스터!$AN$5:$AN$64,MATCH($F929,사건마스터!$A$5:$A$64,0)),""))</f>
        <v/>
      </c>
      <c r="R929" s="136">
        <f>IF($F929="","",IFERROR(INDEX(사건마스터!$AO$5:$AO$64,MATCH($F929,사건마스터!$A$5:$A$64,0)),""))</f>
        <v/>
      </c>
      <c r="S929" s="136">
        <f>IF($F929="","",IFERROR(INDEX(사건마스터!$AP$5:$AP$64,MATCH($F929,사건마스터!$A$5:$A$64,0)),""))</f>
        <v/>
      </c>
      <c r="T929" s="136">
        <f>IF($F929="","",IFERROR(INDEX(사건마스터!$AQ$5:$AQ$64,MATCH($F929,사건마스터!$A$5:$A$64,0)),""))</f>
        <v/>
      </c>
      <c r="U929" s="136">
        <f>IF($F929="","",IFERROR(INDEX(사건마스터!$AR$5:$AR$64,MATCH($F929,사건마스터!$A$5:$A$64,0)),""))</f>
        <v/>
      </c>
      <c r="V929" s="136">
        <f>IF($F929="","",IFERROR(INDEX(사건마스터!$AS$5:$AS$64,MATCH($F929,사건마스터!$A$5:$A$64,0)),""))</f>
        <v/>
      </c>
      <c r="W929" s="136">
        <f>IF($F929="","",IFERROR(INDEX(사건마스터!$AT$5:$AT$64,MATCH($F929,사건마스터!$A$5:$A$64,0)),""))</f>
        <v/>
      </c>
      <c r="X929" s="136">
        <f>IF($F929="","",IFERROR(INDEX(사건마스터!$AU$5:$AU$64,MATCH($F929,사건마스터!$A$5:$A$64,0)),""))</f>
        <v/>
      </c>
      <c r="Y929" s="136">
        <f>IF($F929="","",IFERROR(INDEX(사건마스터!$AV$5:$AV$64,MATCH($F929,사건마스터!$A$5:$A$64,0)),""))</f>
        <v/>
      </c>
      <c r="Z929" s="118">
        <f>IF(COUNTBLANK($J929:$Y929)=16,"",16-COUNTBLANK($J929:$Y929))</f>
        <v/>
      </c>
      <c r="AA929" s="33">
        <f>IF($J929="",MID($AX929,3,255),$J929&amp;$AX929)</f>
        <v/>
      </c>
      <c r="AB929" s="130">
        <f>IF($J929="","",IFERROR(INDEX(코드설정!$D$5:$D$24,MATCH($J929,코드설정!$C$5:$C$24,0)),""))</f>
        <v/>
      </c>
      <c r="AC929" s="36" t="n"/>
      <c r="AD929" s="37" t="n"/>
      <c r="AE929" s="38" t="n"/>
      <c r="AF929" s="118">
        <f>IF(OR($B929="",$C929=""),"",$C929-$B929+1)</f>
        <v/>
      </c>
      <c r="AG929" s="74" t="n"/>
      <c r="AH929" s="36" t="n"/>
      <c r="AJ929">
        <f>IF($K929="","",", "&amp;$K929)</f>
        <v/>
      </c>
      <c r="AK929">
        <f>AJ929&amp;IF($L929="","",", "&amp;$L929)</f>
        <v/>
      </c>
      <c r="AL929">
        <f>AK929&amp;IF($M929="","",", "&amp;$M929)</f>
        <v/>
      </c>
      <c r="AM929">
        <f>AL929&amp;IF($N929="","",", "&amp;$N929)</f>
        <v/>
      </c>
      <c r="AN929">
        <f>AM929&amp;IF($O929="","",", "&amp;$O929)</f>
        <v/>
      </c>
      <c r="AO929">
        <f>AN929&amp;IF($P929="","",", "&amp;$P929)</f>
        <v/>
      </c>
      <c r="AP929">
        <f>AO929&amp;IF($Q929="","",", "&amp;$Q929)</f>
        <v/>
      </c>
      <c r="AQ929">
        <f>AP929&amp;IF($R929="","",", "&amp;$R929)</f>
        <v/>
      </c>
      <c r="AR929">
        <f>AQ929&amp;IF($S929="","",", "&amp;$S929)</f>
        <v/>
      </c>
      <c r="AS929">
        <f>AR929&amp;IF($T929="","",", "&amp;$T929)</f>
        <v/>
      </c>
      <c r="AT929">
        <f>AS929&amp;IF($U929="","",", "&amp;$U929)</f>
        <v/>
      </c>
      <c r="AU929">
        <f>AT929&amp;IF($V929="","",", "&amp;$V929)</f>
        <v/>
      </c>
      <c r="AV929">
        <f>AU929&amp;IF($W929="","",", "&amp;$W929)</f>
        <v/>
      </c>
      <c r="AW929">
        <f>AV929&amp;IF($X929="","",", "&amp;$X929)</f>
        <v/>
      </c>
      <c r="AX929">
        <f>AW929&amp;IF($Y929="","",", "&amp;$Y929)</f>
        <v/>
      </c>
    </row>
    <row r="930">
      <c r="A930" s="118">
        <f>IF($B930="","",COUNT($B$5:$B930))</f>
        <v/>
      </c>
      <c r="B930" s="80" t="n"/>
      <c r="C930" s="80" t="n"/>
      <c r="D930" s="74" t="n"/>
      <c r="E930" s="74" t="n"/>
      <c r="F930" s="74" t="n"/>
      <c r="G930" s="118">
        <f>IF($F930="","",COUNTIF($F$5:$F930,$F930))</f>
        <v/>
      </c>
      <c r="H930" s="33">
        <f>IF($F930="","",IFERROR(INDEX(사건마스터!$B$5:$B$64,MATCH($F930,사건마스터!$A$5:$A$64,0)),""))</f>
        <v/>
      </c>
      <c r="I930" s="130">
        <f>IF($F930="","",IFERROR(INDEX(사건마스터!$C$5:$C$64,MATCH($F930,사건마스터!$A$5:$A$64,0)),""))</f>
        <v/>
      </c>
      <c r="J930" s="136">
        <f>IF($F930="","",IFERROR(INDEX(사건마스터!$H$5:$H$64,MATCH($F930,사건마스터!$A$5:$A$64,0)),""))</f>
        <v/>
      </c>
      <c r="K930" s="136">
        <f>IF($F930="","",IFERROR(INDEX(사건마스터!$AH$5:$AH$64,MATCH($F930,사건마스터!$A$5:$A$64,0)),""))</f>
        <v/>
      </c>
      <c r="L930" s="136">
        <f>IF($F930="","",IFERROR(INDEX(사건마스터!$AI$5:$AI$64,MATCH($F930,사건마스터!$A$5:$A$64,0)),""))</f>
        <v/>
      </c>
      <c r="M930" s="136">
        <f>IF($F930="","",IFERROR(INDEX(사건마스터!$AJ$5:$AJ$64,MATCH($F930,사건마스터!$A$5:$A$64,0)),""))</f>
        <v/>
      </c>
      <c r="N930" s="136">
        <f>IF($F930="","",IFERROR(INDEX(사건마스터!$AK$5:$AK$64,MATCH($F930,사건마스터!$A$5:$A$64,0)),""))</f>
        <v/>
      </c>
      <c r="O930" s="136">
        <f>IF($F930="","",IFERROR(INDEX(사건마스터!$AL$5:$AL$64,MATCH($F930,사건마스터!$A$5:$A$64,0)),""))</f>
        <v/>
      </c>
      <c r="P930" s="136">
        <f>IF($F930="","",IFERROR(INDEX(사건마스터!$AM$5:$AM$64,MATCH($F930,사건마스터!$A$5:$A$64,0)),""))</f>
        <v/>
      </c>
      <c r="Q930" s="136">
        <f>IF($F930="","",IFERROR(INDEX(사건마스터!$AN$5:$AN$64,MATCH($F930,사건마스터!$A$5:$A$64,0)),""))</f>
        <v/>
      </c>
      <c r="R930" s="136">
        <f>IF($F930="","",IFERROR(INDEX(사건마스터!$AO$5:$AO$64,MATCH($F930,사건마스터!$A$5:$A$64,0)),""))</f>
        <v/>
      </c>
      <c r="S930" s="136">
        <f>IF($F930="","",IFERROR(INDEX(사건마스터!$AP$5:$AP$64,MATCH($F930,사건마스터!$A$5:$A$64,0)),""))</f>
        <v/>
      </c>
      <c r="T930" s="136">
        <f>IF($F930="","",IFERROR(INDEX(사건마스터!$AQ$5:$AQ$64,MATCH($F930,사건마스터!$A$5:$A$64,0)),""))</f>
        <v/>
      </c>
      <c r="U930" s="136">
        <f>IF($F930="","",IFERROR(INDEX(사건마스터!$AR$5:$AR$64,MATCH($F930,사건마스터!$A$5:$A$64,0)),""))</f>
        <v/>
      </c>
      <c r="V930" s="136">
        <f>IF($F930="","",IFERROR(INDEX(사건마스터!$AS$5:$AS$64,MATCH($F930,사건마스터!$A$5:$A$64,0)),""))</f>
        <v/>
      </c>
      <c r="W930" s="136">
        <f>IF($F930="","",IFERROR(INDEX(사건마스터!$AT$5:$AT$64,MATCH($F930,사건마스터!$A$5:$A$64,0)),""))</f>
        <v/>
      </c>
      <c r="X930" s="136">
        <f>IF($F930="","",IFERROR(INDEX(사건마스터!$AU$5:$AU$64,MATCH($F930,사건마스터!$A$5:$A$64,0)),""))</f>
        <v/>
      </c>
      <c r="Y930" s="136">
        <f>IF($F930="","",IFERROR(INDEX(사건마스터!$AV$5:$AV$64,MATCH($F930,사건마스터!$A$5:$A$64,0)),""))</f>
        <v/>
      </c>
      <c r="Z930" s="118">
        <f>IF(COUNTBLANK($J930:$Y930)=16,"",16-COUNTBLANK($J930:$Y930))</f>
        <v/>
      </c>
      <c r="AA930" s="33">
        <f>IF($J930="",MID($AX930,3,255),$J930&amp;$AX930)</f>
        <v/>
      </c>
      <c r="AB930" s="130">
        <f>IF($J930="","",IFERROR(INDEX(코드설정!$D$5:$D$24,MATCH($J930,코드설정!$C$5:$C$24,0)),""))</f>
        <v/>
      </c>
      <c r="AC930" s="36" t="n"/>
      <c r="AD930" s="37" t="n"/>
      <c r="AE930" s="38" t="n"/>
      <c r="AF930" s="118">
        <f>IF(OR($B930="",$C930=""),"",$C930-$B930+1)</f>
        <v/>
      </c>
      <c r="AG930" s="74" t="n"/>
      <c r="AH930" s="36" t="n"/>
      <c r="AJ930">
        <f>IF($K930="","",", "&amp;$K930)</f>
        <v/>
      </c>
      <c r="AK930">
        <f>AJ930&amp;IF($L930="","",", "&amp;$L930)</f>
        <v/>
      </c>
      <c r="AL930">
        <f>AK930&amp;IF($M930="","",", "&amp;$M930)</f>
        <v/>
      </c>
      <c r="AM930">
        <f>AL930&amp;IF($N930="","",", "&amp;$N930)</f>
        <v/>
      </c>
      <c r="AN930">
        <f>AM930&amp;IF($O930="","",", "&amp;$O930)</f>
        <v/>
      </c>
      <c r="AO930">
        <f>AN930&amp;IF($P930="","",", "&amp;$P930)</f>
        <v/>
      </c>
      <c r="AP930">
        <f>AO930&amp;IF($Q930="","",", "&amp;$Q930)</f>
        <v/>
      </c>
      <c r="AQ930">
        <f>AP930&amp;IF($R930="","",", "&amp;$R930)</f>
        <v/>
      </c>
      <c r="AR930">
        <f>AQ930&amp;IF($S930="","",", "&amp;$S930)</f>
        <v/>
      </c>
      <c r="AS930">
        <f>AR930&amp;IF($T930="","",", "&amp;$T930)</f>
        <v/>
      </c>
      <c r="AT930">
        <f>AS930&amp;IF($U930="","",", "&amp;$U930)</f>
        <v/>
      </c>
      <c r="AU930">
        <f>AT930&amp;IF($V930="","",", "&amp;$V930)</f>
        <v/>
      </c>
      <c r="AV930">
        <f>AU930&amp;IF($W930="","",", "&amp;$W930)</f>
        <v/>
      </c>
      <c r="AW930">
        <f>AV930&amp;IF($X930="","",", "&amp;$X930)</f>
        <v/>
      </c>
      <c r="AX930">
        <f>AW930&amp;IF($Y930="","",", "&amp;$Y930)</f>
        <v/>
      </c>
    </row>
    <row r="931">
      <c r="A931" s="118">
        <f>IF($B931="","",COUNT($B$5:$B931))</f>
        <v/>
      </c>
      <c r="B931" s="80" t="n"/>
      <c r="C931" s="80" t="n"/>
      <c r="D931" s="74" t="n"/>
      <c r="E931" s="74" t="n"/>
      <c r="F931" s="74" t="n"/>
      <c r="G931" s="118">
        <f>IF($F931="","",COUNTIF($F$5:$F931,$F931))</f>
        <v/>
      </c>
      <c r="H931" s="33">
        <f>IF($F931="","",IFERROR(INDEX(사건마스터!$B$5:$B$64,MATCH($F931,사건마스터!$A$5:$A$64,0)),""))</f>
        <v/>
      </c>
      <c r="I931" s="130">
        <f>IF($F931="","",IFERROR(INDEX(사건마스터!$C$5:$C$64,MATCH($F931,사건마스터!$A$5:$A$64,0)),""))</f>
        <v/>
      </c>
      <c r="J931" s="136">
        <f>IF($F931="","",IFERROR(INDEX(사건마스터!$H$5:$H$64,MATCH($F931,사건마스터!$A$5:$A$64,0)),""))</f>
        <v/>
      </c>
      <c r="K931" s="136">
        <f>IF($F931="","",IFERROR(INDEX(사건마스터!$AH$5:$AH$64,MATCH($F931,사건마스터!$A$5:$A$64,0)),""))</f>
        <v/>
      </c>
      <c r="L931" s="136">
        <f>IF($F931="","",IFERROR(INDEX(사건마스터!$AI$5:$AI$64,MATCH($F931,사건마스터!$A$5:$A$64,0)),""))</f>
        <v/>
      </c>
      <c r="M931" s="136">
        <f>IF($F931="","",IFERROR(INDEX(사건마스터!$AJ$5:$AJ$64,MATCH($F931,사건마스터!$A$5:$A$64,0)),""))</f>
        <v/>
      </c>
      <c r="N931" s="136">
        <f>IF($F931="","",IFERROR(INDEX(사건마스터!$AK$5:$AK$64,MATCH($F931,사건마스터!$A$5:$A$64,0)),""))</f>
        <v/>
      </c>
      <c r="O931" s="136">
        <f>IF($F931="","",IFERROR(INDEX(사건마스터!$AL$5:$AL$64,MATCH($F931,사건마스터!$A$5:$A$64,0)),""))</f>
        <v/>
      </c>
      <c r="P931" s="136">
        <f>IF($F931="","",IFERROR(INDEX(사건마스터!$AM$5:$AM$64,MATCH($F931,사건마스터!$A$5:$A$64,0)),""))</f>
        <v/>
      </c>
      <c r="Q931" s="136">
        <f>IF($F931="","",IFERROR(INDEX(사건마스터!$AN$5:$AN$64,MATCH($F931,사건마스터!$A$5:$A$64,0)),""))</f>
        <v/>
      </c>
      <c r="R931" s="136">
        <f>IF($F931="","",IFERROR(INDEX(사건마스터!$AO$5:$AO$64,MATCH($F931,사건마스터!$A$5:$A$64,0)),""))</f>
        <v/>
      </c>
      <c r="S931" s="136">
        <f>IF($F931="","",IFERROR(INDEX(사건마스터!$AP$5:$AP$64,MATCH($F931,사건마스터!$A$5:$A$64,0)),""))</f>
        <v/>
      </c>
      <c r="T931" s="136">
        <f>IF($F931="","",IFERROR(INDEX(사건마스터!$AQ$5:$AQ$64,MATCH($F931,사건마스터!$A$5:$A$64,0)),""))</f>
        <v/>
      </c>
      <c r="U931" s="136">
        <f>IF($F931="","",IFERROR(INDEX(사건마스터!$AR$5:$AR$64,MATCH($F931,사건마스터!$A$5:$A$64,0)),""))</f>
        <v/>
      </c>
      <c r="V931" s="136">
        <f>IF($F931="","",IFERROR(INDEX(사건마스터!$AS$5:$AS$64,MATCH($F931,사건마스터!$A$5:$A$64,0)),""))</f>
        <v/>
      </c>
      <c r="W931" s="136">
        <f>IF($F931="","",IFERROR(INDEX(사건마스터!$AT$5:$AT$64,MATCH($F931,사건마스터!$A$5:$A$64,0)),""))</f>
        <v/>
      </c>
      <c r="X931" s="136">
        <f>IF($F931="","",IFERROR(INDEX(사건마스터!$AU$5:$AU$64,MATCH($F931,사건마스터!$A$5:$A$64,0)),""))</f>
        <v/>
      </c>
      <c r="Y931" s="136">
        <f>IF($F931="","",IFERROR(INDEX(사건마스터!$AV$5:$AV$64,MATCH($F931,사건마스터!$A$5:$A$64,0)),""))</f>
        <v/>
      </c>
      <c r="Z931" s="118">
        <f>IF(COUNTBLANK($J931:$Y931)=16,"",16-COUNTBLANK($J931:$Y931))</f>
        <v/>
      </c>
      <c r="AA931" s="33">
        <f>IF($J931="",MID($AX931,3,255),$J931&amp;$AX931)</f>
        <v/>
      </c>
      <c r="AB931" s="130">
        <f>IF($J931="","",IFERROR(INDEX(코드설정!$D$5:$D$24,MATCH($J931,코드설정!$C$5:$C$24,0)),""))</f>
        <v/>
      </c>
      <c r="AC931" s="36" t="n"/>
      <c r="AD931" s="37" t="n"/>
      <c r="AE931" s="38" t="n"/>
      <c r="AF931" s="118">
        <f>IF(OR($B931="",$C931=""),"",$C931-$B931+1)</f>
        <v/>
      </c>
      <c r="AG931" s="74" t="n"/>
      <c r="AH931" s="36" t="n"/>
      <c r="AJ931">
        <f>IF($K931="","",", "&amp;$K931)</f>
        <v/>
      </c>
      <c r="AK931">
        <f>AJ931&amp;IF($L931="","",", "&amp;$L931)</f>
        <v/>
      </c>
      <c r="AL931">
        <f>AK931&amp;IF($M931="","",", "&amp;$M931)</f>
        <v/>
      </c>
      <c r="AM931">
        <f>AL931&amp;IF($N931="","",", "&amp;$N931)</f>
        <v/>
      </c>
      <c r="AN931">
        <f>AM931&amp;IF($O931="","",", "&amp;$O931)</f>
        <v/>
      </c>
      <c r="AO931">
        <f>AN931&amp;IF($P931="","",", "&amp;$P931)</f>
        <v/>
      </c>
      <c r="AP931">
        <f>AO931&amp;IF($Q931="","",", "&amp;$Q931)</f>
        <v/>
      </c>
      <c r="AQ931">
        <f>AP931&amp;IF($R931="","",", "&amp;$R931)</f>
        <v/>
      </c>
      <c r="AR931">
        <f>AQ931&amp;IF($S931="","",", "&amp;$S931)</f>
        <v/>
      </c>
      <c r="AS931">
        <f>AR931&amp;IF($T931="","",", "&amp;$T931)</f>
        <v/>
      </c>
      <c r="AT931">
        <f>AS931&amp;IF($U931="","",", "&amp;$U931)</f>
        <v/>
      </c>
      <c r="AU931">
        <f>AT931&amp;IF($V931="","",", "&amp;$V931)</f>
        <v/>
      </c>
      <c r="AV931">
        <f>AU931&amp;IF($W931="","",", "&amp;$W931)</f>
        <v/>
      </c>
      <c r="AW931">
        <f>AV931&amp;IF($X931="","",", "&amp;$X931)</f>
        <v/>
      </c>
      <c r="AX931">
        <f>AW931&amp;IF($Y931="","",", "&amp;$Y931)</f>
        <v/>
      </c>
    </row>
    <row r="932">
      <c r="A932" s="118">
        <f>IF($B932="","",COUNT($B$5:$B932))</f>
        <v/>
      </c>
      <c r="B932" s="80" t="n"/>
      <c r="C932" s="80" t="n"/>
      <c r="D932" s="74" t="n"/>
      <c r="E932" s="74" t="n"/>
      <c r="F932" s="74" t="n"/>
      <c r="G932" s="118">
        <f>IF($F932="","",COUNTIF($F$5:$F932,$F932))</f>
        <v/>
      </c>
      <c r="H932" s="33">
        <f>IF($F932="","",IFERROR(INDEX(사건마스터!$B$5:$B$64,MATCH($F932,사건마스터!$A$5:$A$64,0)),""))</f>
        <v/>
      </c>
      <c r="I932" s="130">
        <f>IF($F932="","",IFERROR(INDEX(사건마스터!$C$5:$C$64,MATCH($F932,사건마스터!$A$5:$A$64,0)),""))</f>
        <v/>
      </c>
      <c r="J932" s="136">
        <f>IF($F932="","",IFERROR(INDEX(사건마스터!$H$5:$H$64,MATCH($F932,사건마스터!$A$5:$A$64,0)),""))</f>
        <v/>
      </c>
      <c r="K932" s="136">
        <f>IF($F932="","",IFERROR(INDEX(사건마스터!$AH$5:$AH$64,MATCH($F932,사건마스터!$A$5:$A$64,0)),""))</f>
        <v/>
      </c>
      <c r="L932" s="136">
        <f>IF($F932="","",IFERROR(INDEX(사건마스터!$AI$5:$AI$64,MATCH($F932,사건마스터!$A$5:$A$64,0)),""))</f>
        <v/>
      </c>
      <c r="M932" s="136">
        <f>IF($F932="","",IFERROR(INDEX(사건마스터!$AJ$5:$AJ$64,MATCH($F932,사건마스터!$A$5:$A$64,0)),""))</f>
        <v/>
      </c>
      <c r="N932" s="136">
        <f>IF($F932="","",IFERROR(INDEX(사건마스터!$AK$5:$AK$64,MATCH($F932,사건마스터!$A$5:$A$64,0)),""))</f>
        <v/>
      </c>
      <c r="O932" s="136">
        <f>IF($F932="","",IFERROR(INDEX(사건마스터!$AL$5:$AL$64,MATCH($F932,사건마스터!$A$5:$A$64,0)),""))</f>
        <v/>
      </c>
      <c r="P932" s="136">
        <f>IF($F932="","",IFERROR(INDEX(사건마스터!$AM$5:$AM$64,MATCH($F932,사건마스터!$A$5:$A$64,0)),""))</f>
        <v/>
      </c>
      <c r="Q932" s="136">
        <f>IF($F932="","",IFERROR(INDEX(사건마스터!$AN$5:$AN$64,MATCH($F932,사건마스터!$A$5:$A$64,0)),""))</f>
        <v/>
      </c>
      <c r="R932" s="136">
        <f>IF($F932="","",IFERROR(INDEX(사건마스터!$AO$5:$AO$64,MATCH($F932,사건마스터!$A$5:$A$64,0)),""))</f>
        <v/>
      </c>
      <c r="S932" s="136">
        <f>IF($F932="","",IFERROR(INDEX(사건마스터!$AP$5:$AP$64,MATCH($F932,사건마스터!$A$5:$A$64,0)),""))</f>
        <v/>
      </c>
      <c r="T932" s="136">
        <f>IF($F932="","",IFERROR(INDEX(사건마스터!$AQ$5:$AQ$64,MATCH($F932,사건마스터!$A$5:$A$64,0)),""))</f>
        <v/>
      </c>
      <c r="U932" s="136">
        <f>IF($F932="","",IFERROR(INDEX(사건마스터!$AR$5:$AR$64,MATCH($F932,사건마스터!$A$5:$A$64,0)),""))</f>
        <v/>
      </c>
      <c r="V932" s="136">
        <f>IF($F932="","",IFERROR(INDEX(사건마스터!$AS$5:$AS$64,MATCH($F932,사건마스터!$A$5:$A$64,0)),""))</f>
        <v/>
      </c>
      <c r="W932" s="136">
        <f>IF($F932="","",IFERROR(INDEX(사건마스터!$AT$5:$AT$64,MATCH($F932,사건마스터!$A$5:$A$64,0)),""))</f>
        <v/>
      </c>
      <c r="X932" s="136">
        <f>IF($F932="","",IFERROR(INDEX(사건마스터!$AU$5:$AU$64,MATCH($F932,사건마스터!$A$5:$A$64,0)),""))</f>
        <v/>
      </c>
      <c r="Y932" s="136">
        <f>IF($F932="","",IFERROR(INDEX(사건마스터!$AV$5:$AV$64,MATCH($F932,사건마스터!$A$5:$A$64,0)),""))</f>
        <v/>
      </c>
      <c r="Z932" s="118">
        <f>IF(COUNTBLANK($J932:$Y932)=16,"",16-COUNTBLANK($J932:$Y932))</f>
        <v/>
      </c>
      <c r="AA932" s="33">
        <f>IF($J932="",MID($AX932,3,255),$J932&amp;$AX932)</f>
        <v/>
      </c>
      <c r="AB932" s="130">
        <f>IF($J932="","",IFERROR(INDEX(코드설정!$D$5:$D$24,MATCH($J932,코드설정!$C$5:$C$24,0)),""))</f>
        <v/>
      </c>
      <c r="AC932" s="36" t="n"/>
      <c r="AD932" s="37" t="n"/>
      <c r="AE932" s="38" t="n"/>
      <c r="AF932" s="118">
        <f>IF(OR($B932="",$C932=""),"",$C932-$B932+1)</f>
        <v/>
      </c>
      <c r="AG932" s="74" t="n"/>
      <c r="AH932" s="36" t="n"/>
      <c r="AJ932">
        <f>IF($K932="","",", "&amp;$K932)</f>
        <v/>
      </c>
      <c r="AK932">
        <f>AJ932&amp;IF($L932="","",", "&amp;$L932)</f>
        <v/>
      </c>
      <c r="AL932">
        <f>AK932&amp;IF($M932="","",", "&amp;$M932)</f>
        <v/>
      </c>
      <c r="AM932">
        <f>AL932&amp;IF($N932="","",", "&amp;$N932)</f>
        <v/>
      </c>
      <c r="AN932">
        <f>AM932&amp;IF($O932="","",", "&amp;$O932)</f>
        <v/>
      </c>
      <c r="AO932">
        <f>AN932&amp;IF($P932="","",", "&amp;$P932)</f>
        <v/>
      </c>
      <c r="AP932">
        <f>AO932&amp;IF($Q932="","",", "&amp;$Q932)</f>
        <v/>
      </c>
      <c r="AQ932">
        <f>AP932&amp;IF($R932="","",", "&amp;$R932)</f>
        <v/>
      </c>
      <c r="AR932">
        <f>AQ932&amp;IF($S932="","",", "&amp;$S932)</f>
        <v/>
      </c>
      <c r="AS932">
        <f>AR932&amp;IF($T932="","",", "&amp;$T932)</f>
        <v/>
      </c>
      <c r="AT932">
        <f>AS932&amp;IF($U932="","",", "&amp;$U932)</f>
        <v/>
      </c>
      <c r="AU932">
        <f>AT932&amp;IF($V932="","",", "&amp;$V932)</f>
        <v/>
      </c>
      <c r="AV932">
        <f>AU932&amp;IF($W932="","",", "&amp;$W932)</f>
        <v/>
      </c>
      <c r="AW932">
        <f>AV932&amp;IF($X932="","",", "&amp;$X932)</f>
        <v/>
      </c>
      <c r="AX932">
        <f>AW932&amp;IF($Y932="","",", "&amp;$Y932)</f>
        <v/>
      </c>
    </row>
    <row r="933">
      <c r="A933" s="118">
        <f>IF($B933="","",COUNT($B$5:$B933))</f>
        <v/>
      </c>
      <c r="B933" s="80" t="n"/>
      <c r="C933" s="80" t="n"/>
      <c r="D933" s="74" t="n"/>
      <c r="E933" s="74" t="n"/>
      <c r="F933" s="74" t="n"/>
      <c r="G933" s="118">
        <f>IF($F933="","",COUNTIF($F$5:$F933,$F933))</f>
        <v/>
      </c>
      <c r="H933" s="33">
        <f>IF($F933="","",IFERROR(INDEX(사건마스터!$B$5:$B$64,MATCH($F933,사건마스터!$A$5:$A$64,0)),""))</f>
        <v/>
      </c>
      <c r="I933" s="130">
        <f>IF($F933="","",IFERROR(INDEX(사건마스터!$C$5:$C$64,MATCH($F933,사건마스터!$A$5:$A$64,0)),""))</f>
        <v/>
      </c>
      <c r="J933" s="136">
        <f>IF($F933="","",IFERROR(INDEX(사건마스터!$H$5:$H$64,MATCH($F933,사건마스터!$A$5:$A$64,0)),""))</f>
        <v/>
      </c>
      <c r="K933" s="136">
        <f>IF($F933="","",IFERROR(INDEX(사건마스터!$AH$5:$AH$64,MATCH($F933,사건마스터!$A$5:$A$64,0)),""))</f>
        <v/>
      </c>
      <c r="L933" s="136">
        <f>IF($F933="","",IFERROR(INDEX(사건마스터!$AI$5:$AI$64,MATCH($F933,사건마스터!$A$5:$A$64,0)),""))</f>
        <v/>
      </c>
      <c r="M933" s="136">
        <f>IF($F933="","",IFERROR(INDEX(사건마스터!$AJ$5:$AJ$64,MATCH($F933,사건마스터!$A$5:$A$64,0)),""))</f>
        <v/>
      </c>
      <c r="N933" s="136">
        <f>IF($F933="","",IFERROR(INDEX(사건마스터!$AK$5:$AK$64,MATCH($F933,사건마스터!$A$5:$A$64,0)),""))</f>
        <v/>
      </c>
      <c r="O933" s="136">
        <f>IF($F933="","",IFERROR(INDEX(사건마스터!$AL$5:$AL$64,MATCH($F933,사건마스터!$A$5:$A$64,0)),""))</f>
        <v/>
      </c>
      <c r="P933" s="136">
        <f>IF($F933="","",IFERROR(INDEX(사건마스터!$AM$5:$AM$64,MATCH($F933,사건마스터!$A$5:$A$64,0)),""))</f>
        <v/>
      </c>
      <c r="Q933" s="136">
        <f>IF($F933="","",IFERROR(INDEX(사건마스터!$AN$5:$AN$64,MATCH($F933,사건마스터!$A$5:$A$64,0)),""))</f>
        <v/>
      </c>
      <c r="R933" s="136">
        <f>IF($F933="","",IFERROR(INDEX(사건마스터!$AO$5:$AO$64,MATCH($F933,사건마스터!$A$5:$A$64,0)),""))</f>
        <v/>
      </c>
      <c r="S933" s="136">
        <f>IF($F933="","",IFERROR(INDEX(사건마스터!$AP$5:$AP$64,MATCH($F933,사건마스터!$A$5:$A$64,0)),""))</f>
        <v/>
      </c>
      <c r="T933" s="136">
        <f>IF($F933="","",IFERROR(INDEX(사건마스터!$AQ$5:$AQ$64,MATCH($F933,사건마스터!$A$5:$A$64,0)),""))</f>
        <v/>
      </c>
      <c r="U933" s="136">
        <f>IF($F933="","",IFERROR(INDEX(사건마스터!$AR$5:$AR$64,MATCH($F933,사건마스터!$A$5:$A$64,0)),""))</f>
        <v/>
      </c>
      <c r="V933" s="136">
        <f>IF($F933="","",IFERROR(INDEX(사건마스터!$AS$5:$AS$64,MATCH($F933,사건마스터!$A$5:$A$64,0)),""))</f>
        <v/>
      </c>
      <c r="W933" s="136">
        <f>IF($F933="","",IFERROR(INDEX(사건마스터!$AT$5:$AT$64,MATCH($F933,사건마스터!$A$5:$A$64,0)),""))</f>
        <v/>
      </c>
      <c r="X933" s="136">
        <f>IF($F933="","",IFERROR(INDEX(사건마스터!$AU$5:$AU$64,MATCH($F933,사건마스터!$A$5:$A$64,0)),""))</f>
        <v/>
      </c>
      <c r="Y933" s="136">
        <f>IF($F933="","",IFERROR(INDEX(사건마스터!$AV$5:$AV$64,MATCH($F933,사건마스터!$A$5:$A$64,0)),""))</f>
        <v/>
      </c>
      <c r="Z933" s="118">
        <f>IF(COUNTBLANK($J933:$Y933)=16,"",16-COUNTBLANK($J933:$Y933))</f>
        <v/>
      </c>
      <c r="AA933" s="33">
        <f>IF($J933="",MID($AX933,3,255),$J933&amp;$AX933)</f>
        <v/>
      </c>
      <c r="AB933" s="130">
        <f>IF($J933="","",IFERROR(INDEX(코드설정!$D$5:$D$24,MATCH($J933,코드설정!$C$5:$C$24,0)),""))</f>
        <v/>
      </c>
      <c r="AC933" s="36" t="n"/>
      <c r="AD933" s="37" t="n"/>
      <c r="AE933" s="38" t="n"/>
      <c r="AF933" s="118">
        <f>IF(OR($B933="",$C933=""),"",$C933-$B933+1)</f>
        <v/>
      </c>
      <c r="AG933" s="74" t="n"/>
      <c r="AH933" s="36" t="n"/>
      <c r="AJ933">
        <f>IF($K933="","",", "&amp;$K933)</f>
        <v/>
      </c>
      <c r="AK933">
        <f>AJ933&amp;IF($L933="","",", "&amp;$L933)</f>
        <v/>
      </c>
      <c r="AL933">
        <f>AK933&amp;IF($M933="","",", "&amp;$M933)</f>
        <v/>
      </c>
      <c r="AM933">
        <f>AL933&amp;IF($N933="","",", "&amp;$N933)</f>
        <v/>
      </c>
      <c r="AN933">
        <f>AM933&amp;IF($O933="","",", "&amp;$O933)</f>
        <v/>
      </c>
      <c r="AO933">
        <f>AN933&amp;IF($P933="","",", "&amp;$P933)</f>
        <v/>
      </c>
      <c r="AP933">
        <f>AO933&amp;IF($Q933="","",", "&amp;$Q933)</f>
        <v/>
      </c>
      <c r="AQ933">
        <f>AP933&amp;IF($R933="","",", "&amp;$R933)</f>
        <v/>
      </c>
      <c r="AR933">
        <f>AQ933&amp;IF($S933="","",", "&amp;$S933)</f>
        <v/>
      </c>
      <c r="AS933">
        <f>AR933&amp;IF($T933="","",", "&amp;$T933)</f>
        <v/>
      </c>
      <c r="AT933">
        <f>AS933&amp;IF($U933="","",", "&amp;$U933)</f>
        <v/>
      </c>
      <c r="AU933">
        <f>AT933&amp;IF($V933="","",", "&amp;$V933)</f>
        <v/>
      </c>
      <c r="AV933">
        <f>AU933&amp;IF($W933="","",", "&amp;$W933)</f>
        <v/>
      </c>
      <c r="AW933">
        <f>AV933&amp;IF($X933="","",", "&amp;$X933)</f>
        <v/>
      </c>
      <c r="AX933">
        <f>AW933&amp;IF($Y933="","",", "&amp;$Y933)</f>
        <v/>
      </c>
    </row>
    <row r="934">
      <c r="A934" s="118">
        <f>IF($B934="","",COUNT($B$5:$B934))</f>
        <v/>
      </c>
      <c r="B934" s="80" t="n"/>
      <c r="C934" s="80" t="n"/>
      <c r="D934" s="74" t="n"/>
      <c r="E934" s="74" t="n"/>
      <c r="F934" s="74" t="n"/>
      <c r="G934" s="118">
        <f>IF($F934="","",COUNTIF($F$5:$F934,$F934))</f>
        <v/>
      </c>
      <c r="H934" s="33">
        <f>IF($F934="","",IFERROR(INDEX(사건마스터!$B$5:$B$64,MATCH($F934,사건마스터!$A$5:$A$64,0)),""))</f>
        <v/>
      </c>
      <c r="I934" s="130">
        <f>IF($F934="","",IFERROR(INDEX(사건마스터!$C$5:$C$64,MATCH($F934,사건마스터!$A$5:$A$64,0)),""))</f>
        <v/>
      </c>
      <c r="J934" s="136">
        <f>IF($F934="","",IFERROR(INDEX(사건마스터!$H$5:$H$64,MATCH($F934,사건마스터!$A$5:$A$64,0)),""))</f>
        <v/>
      </c>
      <c r="K934" s="136">
        <f>IF($F934="","",IFERROR(INDEX(사건마스터!$AH$5:$AH$64,MATCH($F934,사건마스터!$A$5:$A$64,0)),""))</f>
        <v/>
      </c>
      <c r="L934" s="136">
        <f>IF($F934="","",IFERROR(INDEX(사건마스터!$AI$5:$AI$64,MATCH($F934,사건마스터!$A$5:$A$64,0)),""))</f>
        <v/>
      </c>
      <c r="M934" s="136">
        <f>IF($F934="","",IFERROR(INDEX(사건마스터!$AJ$5:$AJ$64,MATCH($F934,사건마스터!$A$5:$A$64,0)),""))</f>
        <v/>
      </c>
      <c r="N934" s="136">
        <f>IF($F934="","",IFERROR(INDEX(사건마스터!$AK$5:$AK$64,MATCH($F934,사건마스터!$A$5:$A$64,0)),""))</f>
        <v/>
      </c>
      <c r="O934" s="136">
        <f>IF($F934="","",IFERROR(INDEX(사건마스터!$AL$5:$AL$64,MATCH($F934,사건마스터!$A$5:$A$64,0)),""))</f>
        <v/>
      </c>
      <c r="P934" s="136">
        <f>IF($F934="","",IFERROR(INDEX(사건마스터!$AM$5:$AM$64,MATCH($F934,사건마스터!$A$5:$A$64,0)),""))</f>
        <v/>
      </c>
      <c r="Q934" s="136">
        <f>IF($F934="","",IFERROR(INDEX(사건마스터!$AN$5:$AN$64,MATCH($F934,사건마스터!$A$5:$A$64,0)),""))</f>
        <v/>
      </c>
      <c r="R934" s="136">
        <f>IF($F934="","",IFERROR(INDEX(사건마스터!$AO$5:$AO$64,MATCH($F934,사건마스터!$A$5:$A$64,0)),""))</f>
        <v/>
      </c>
      <c r="S934" s="136">
        <f>IF($F934="","",IFERROR(INDEX(사건마스터!$AP$5:$AP$64,MATCH($F934,사건마스터!$A$5:$A$64,0)),""))</f>
        <v/>
      </c>
      <c r="T934" s="136">
        <f>IF($F934="","",IFERROR(INDEX(사건마스터!$AQ$5:$AQ$64,MATCH($F934,사건마스터!$A$5:$A$64,0)),""))</f>
        <v/>
      </c>
      <c r="U934" s="136">
        <f>IF($F934="","",IFERROR(INDEX(사건마스터!$AR$5:$AR$64,MATCH($F934,사건마스터!$A$5:$A$64,0)),""))</f>
        <v/>
      </c>
      <c r="V934" s="136">
        <f>IF($F934="","",IFERROR(INDEX(사건마스터!$AS$5:$AS$64,MATCH($F934,사건마스터!$A$5:$A$64,0)),""))</f>
        <v/>
      </c>
      <c r="W934" s="136">
        <f>IF($F934="","",IFERROR(INDEX(사건마스터!$AT$5:$AT$64,MATCH($F934,사건마스터!$A$5:$A$64,0)),""))</f>
        <v/>
      </c>
      <c r="X934" s="136">
        <f>IF($F934="","",IFERROR(INDEX(사건마스터!$AU$5:$AU$64,MATCH($F934,사건마스터!$A$5:$A$64,0)),""))</f>
        <v/>
      </c>
      <c r="Y934" s="136">
        <f>IF($F934="","",IFERROR(INDEX(사건마스터!$AV$5:$AV$64,MATCH($F934,사건마스터!$A$5:$A$64,0)),""))</f>
        <v/>
      </c>
      <c r="Z934" s="118">
        <f>IF(COUNTBLANK($J934:$Y934)=16,"",16-COUNTBLANK($J934:$Y934))</f>
        <v/>
      </c>
      <c r="AA934" s="33">
        <f>IF($J934="",MID($AX934,3,255),$J934&amp;$AX934)</f>
        <v/>
      </c>
      <c r="AB934" s="130">
        <f>IF($J934="","",IFERROR(INDEX(코드설정!$D$5:$D$24,MATCH($J934,코드설정!$C$5:$C$24,0)),""))</f>
        <v/>
      </c>
      <c r="AC934" s="36" t="n"/>
      <c r="AD934" s="37" t="n"/>
      <c r="AE934" s="38" t="n"/>
      <c r="AF934" s="118">
        <f>IF(OR($B934="",$C934=""),"",$C934-$B934+1)</f>
        <v/>
      </c>
      <c r="AG934" s="74" t="n"/>
      <c r="AH934" s="36" t="n"/>
      <c r="AJ934">
        <f>IF($K934="","",", "&amp;$K934)</f>
        <v/>
      </c>
      <c r="AK934">
        <f>AJ934&amp;IF($L934="","",", "&amp;$L934)</f>
        <v/>
      </c>
      <c r="AL934">
        <f>AK934&amp;IF($M934="","",", "&amp;$M934)</f>
        <v/>
      </c>
      <c r="AM934">
        <f>AL934&amp;IF($N934="","",", "&amp;$N934)</f>
        <v/>
      </c>
      <c r="AN934">
        <f>AM934&amp;IF($O934="","",", "&amp;$O934)</f>
        <v/>
      </c>
      <c r="AO934">
        <f>AN934&amp;IF($P934="","",", "&amp;$P934)</f>
        <v/>
      </c>
      <c r="AP934">
        <f>AO934&amp;IF($Q934="","",", "&amp;$Q934)</f>
        <v/>
      </c>
      <c r="AQ934">
        <f>AP934&amp;IF($R934="","",", "&amp;$R934)</f>
        <v/>
      </c>
      <c r="AR934">
        <f>AQ934&amp;IF($S934="","",", "&amp;$S934)</f>
        <v/>
      </c>
      <c r="AS934">
        <f>AR934&amp;IF($T934="","",", "&amp;$T934)</f>
        <v/>
      </c>
      <c r="AT934">
        <f>AS934&amp;IF($U934="","",", "&amp;$U934)</f>
        <v/>
      </c>
      <c r="AU934">
        <f>AT934&amp;IF($V934="","",", "&amp;$V934)</f>
        <v/>
      </c>
      <c r="AV934">
        <f>AU934&amp;IF($W934="","",", "&amp;$W934)</f>
        <v/>
      </c>
      <c r="AW934">
        <f>AV934&amp;IF($X934="","",", "&amp;$X934)</f>
        <v/>
      </c>
      <c r="AX934">
        <f>AW934&amp;IF($Y934="","",", "&amp;$Y934)</f>
        <v/>
      </c>
    </row>
    <row r="935">
      <c r="A935" s="118">
        <f>IF($B935="","",COUNT($B$5:$B935))</f>
        <v/>
      </c>
      <c r="B935" s="80" t="n"/>
      <c r="C935" s="80" t="n"/>
      <c r="D935" s="74" t="n"/>
      <c r="E935" s="74" t="n"/>
      <c r="F935" s="74" t="n"/>
      <c r="G935" s="118">
        <f>IF($F935="","",COUNTIF($F$5:$F935,$F935))</f>
        <v/>
      </c>
      <c r="H935" s="33">
        <f>IF($F935="","",IFERROR(INDEX(사건마스터!$B$5:$B$64,MATCH($F935,사건마스터!$A$5:$A$64,0)),""))</f>
        <v/>
      </c>
      <c r="I935" s="130">
        <f>IF($F935="","",IFERROR(INDEX(사건마스터!$C$5:$C$64,MATCH($F935,사건마스터!$A$5:$A$64,0)),""))</f>
        <v/>
      </c>
      <c r="J935" s="136">
        <f>IF($F935="","",IFERROR(INDEX(사건마스터!$H$5:$H$64,MATCH($F935,사건마스터!$A$5:$A$64,0)),""))</f>
        <v/>
      </c>
      <c r="K935" s="136">
        <f>IF($F935="","",IFERROR(INDEX(사건마스터!$AH$5:$AH$64,MATCH($F935,사건마스터!$A$5:$A$64,0)),""))</f>
        <v/>
      </c>
      <c r="L935" s="136">
        <f>IF($F935="","",IFERROR(INDEX(사건마스터!$AI$5:$AI$64,MATCH($F935,사건마스터!$A$5:$A$64,0)),""))</f>
        <v/>
      </c>
      <c r="M935" s="136">
        <f>IF($F935="","",IFERROR(INDEX(사건마스터!$AJ$5:$AJ$64,MATCH($F935,사건마스터!$A$5:$A$64,0)),""))</f>
        <v/>
      </c>
      <c r="N935" s="136">
        <f>IF($F935="","",IFERROR(INDEX(사건마스터!$AK$5:$AK$64,MATCH($F935,사건마스터!$A$5:$A$64,0)),""))</f>
        <v/>
      </c>
      <c r="O935" s="136">
        <f>IF($F935="","",IFERROR(INDEX(사건마스터!$AL$5:$AL$64,MATCH($F935,사건마스터!$A$5:$A$64,0)),""))</f>
        <v/>
      </c>
      <c r="P935" s="136">
        <f>IF($F935="","",IFERROR(INDEX(사건마스터!$AM$5:$AM$64,MATCH($F935,사건마스터!$A$5:$A$64,0)),""))</f>
        <v/>
      </c>
      <c r="Q935" s="136">
        <f>IF($F935="","",IFERROR(INDEX(사건마스터!$AN$5:$AN$64,MATCH($F935,사건마스터!$A$5:$A$64,0)),""))</f>
        <v/>
      </c>
      <c r="R935" s="136">
        <f>IF($F935="","",IFERROR(INDEX(사건마스터!$AO$5:$AO$64,MATCH($F935,사건마스터!$A$5:$A$64,0)),""))</f>
        <v/>
      </c>
      <c r="S935" s="136">
        <f>IF($F935="","",IFERROR(INDEX(사건마스터!$AP$5:$AP$64,MATCH($F935,사건마스터!$A$5:$A$64,0)),""))</f>
        <v/>
      </c>
      <c r="T935" s="136">
        <f>IF($F935="","",IFERROR(INDEX(사건마스터!$AQ$5:$AQ$64,MATCH($F935,사건마스터!$A$5:$A$64,0)),""))</f>
        <v/>
      </c>
      <c r="U935" s="136">
        <f>IF($F935="","",IFERROR(INDEX(사건마스터!$AR$5:$AR$64,MATCH($F935,사건마스터!$A$5:$A$64,0)),""))</f>
        <v/>
      </c>
      <c r="V935" s="136">
        <f>IF($F935="","",IFERROR(INDEX(사건마스터!$AS$5:$AS$64,MATCH($F935,사건마스터!$A$5:$A$64,0)),""))</f>
        <v/>
      </c>
      <c r="W935" s="136">
        <f>IF($F935="","",IFERROR(INDEX(사건마스터!$AT$5:$AT$64,MATCH($F935,사건마스터!$A$5:$A$64,0)),""))</f>
        <v/>
      </c>
      <c r="X935" s="136">
        <f>IF($F935="","",IFERROR(INDEX(사건마스터!$AU$5:$AU$64,MATCH($F935,사건마스터!$A$5:$A$64,0)),""))</f>
        <v/>
      </c>
      <c r="Y935" s="136">
        <f>IF($F935="","",IFERROR(INDEX(사건마스터!$AV$5:$AV$64,MATCH($F935,사건마스터!$A$5:$A$64,0)),""))</f>
        <v/>
      </c>
      <c r="Z935" s="118">
        <f>IF(COUNTBLANK($J935:$Y935)=16,"",16-COUNTBLANK($J935:$Y935))</f>
        <v/>
      </c>
      <c r="AA935" s="33">
        <f>IF($J935="",MID($AX935,3,255),$J935&amp;$AX935)</f>
        <v/>
      </c>
      <c r="AB935" s="130">
        <f>IF($J935="","",IFERROR(INDEX(코드설정!$D$5:$D$24,MATCH($J935,코드설정!$C$5:$C$24,0)),""))</f>
        <v/>
      </c>
      <c r="AC935" s="36" t="n"/>
      <c r="AD935" s="37" t="n"/>
      <c r="AE935" s="38" t="n"/>
      <c r="AF935" s="118">
        <f>IF(OR($B935="",$C935=""),"",$C935-$B935+1)</f>
        <v/>
      </c>
      <c r="AG935" s="74" t="n"/>
      <c r="AH935" s="36" t="n"/>
      <c r="AJ935">
        <f>IF($K935="","",", "&amp;$K935)</f>
        <v/>
      </c>
      <c r="AK935">
        <f>AJ935&amp;IF($L935="","",", "&amp;$L935)</f>
        <v/>
      </c>
      <c r="AL935">
        <f>AK935&amp;IF($M935="","",", "&amp;$M935)</f>
        <v/>
      </c>
      <c r="AM935">
        <f>AL935&amp;IF($N935="","",", "&amp;$N935)</f>
        <v/>
      </c>
      <c r="AN935">
        <f>AM935&amp;IF($O935="","",", "&amp;$O935)</f>
        <v/>
      </c>
      <c r="AO935">
        <f>AN935&amp;IF($P935="","",", "&amp;$P935)</f>
        <v/>
      </c>
      <c r="AP935">
        <f>AO935&amp;IF($Q935="","",", "&amp;$Q935)</f>
        <v/>
      </c>
      <c r="AQ935">
        <f>AP935&amp;IF($R935="","",", "&amp;$R935)</f>
        <v/>
      </c>
      <c r="AR935">
        <f>AQ935&amp;IF($S935="","",", "&amp;$S935)</f>
        <v/>
      </c>
      <c r="AS935">
        <f>AR935&amp;IF($T935="","",", "&amp;$T935)</f>
        <v/>
      </c>
      <c r="AT935">
        <f>AS935&amp;IF($U935="","",", "&amp;$U935)</f>
        <v/>
      </c>
      <c r="AU935">
        <f>AT935&amp;IF($V935="","",", "&amp;$V935)</f>
        <v/>
      </c>
      <c r="AV935">
        <f>AU935&amp;IF($W935="","",", "&amp;$W935)</f>
        <v/>
      </c>
      <c r="AW935">
        <f>AV935&amp;IF($X935="","",", "&amp;$X935)</f>
        <v/>
      </c>
      <c r="AX935">
        <f>AW935&amp;IF($Y935="","",", "&amp;$Y935)</f>
        <v/>
      </c>
    </row>
    <row r="936">
      <c r="A936" s="118">
        <f>IF($B936="","",COUNT($B$5:$B936))</f>
        <v/>
      </c>
      <c r="B936" s="80" t="n"/>
      <c r="C936" s="80" t="n"/>
      <c r="D936" s="74" t="n"/>
      <c r="E936" s="74" t="n"/>
      <c r="F936" s="74" t="n"/>
      <c r="G936" s="118">
        <f>IF($F936="","",COUNTIF($F$5:$F936,$F936))</f>
        <v/>
      </c>
      <c r="H936" s="33">
        <f>IF($F936="","",IFERROR(INDEX(사건마스터!$B$5:$B$64,MATCH($F936,사건마스터!$A$5:$A$64,0)),""))</f>
        <v/>
      </c>
      <c r="I936" s="130">
        <f>IF($F936="","",IFERROR(INDEX(사건마스터!$C$5:$C$64,MATCH($F936,사건마스터!$A$5:$A$64,0)),""))</f>
        <v/>
      </c>
      <c r="J936" s="136">
        <f>IF($F936="","",IFERROR(INDEX(사건마스터!$H$5:$H$64,MATCH($F936,사건마스터!$A$5:$A$64,0)),""))</f>
        <v/>
      </c>
      <c r="K936" s="136">
        <f>IF($F936="","",IFERROR(INDEX(사건마스터!$AH$5:$AH$64,MATCH($F936,사건마스터!$A$5:$A$64,0)),""))</f>
        <v/>
      </c>
      <c r="L936" s="136">
        <f>IF($F936="","",IFERROR(INDEX(사건마스터!$AI$5:$AI$64,MATCH($F936,사건마스터!$A$5:$A$64,0)),""))</f>
        <v/>
      </c>
      <c r="M936" s="136">
        <f>IF($F936="","",IFERROR(INDEX(사건마스터!$AJ$5:$AJ$64,MATCH($F936,사건마스터!$A$5:$A$64,0)),""))</f>
        <v/>
      </c>
      <c r="N936" s="136">
        <f>IF($F936="","",IFERROR(INDEX(사건마스터!$AK$5:$AK$64,MATCH($F936,사건마스터!$A$5:$A$64,0)),""))</f>
        <v/>
      </c>
      <c r="O936" s="136">
        <f>IF($F936="","",IFERROR(INDEX(사건마스터!$AL$5:$AL$64,MATCH($F936,사건마스터!$A$5:$A$64,0)),""))</f>
        <v/>
      </c>
      <c r="P936" s="136">
        <f>IF($F936="","",IFERROR(INDEX(사건마스터!$AM$5:$AM$64,MATCH($F936,사건마스터!$A$5:$A$64,0)),""))</f>
        <v/>
      </c>
      <c r="Q936" s="136">
        <f>IF($F936="","",IFERROR(INDEX(사건마스터!$AN$5:$AN$64,MATCH($F936,사건마스터!$A$5:$A$64,0)),""))</f>
        <v/>
      </c>
      <c r="R936" s="136">
        <f>IF($F936="","",IFERROR(INDEX(사건마스터!$AO$5:$AO$64,MATCH($F936,사건마스터!$A$5:$A$64,0)),""))</f>
        <v/>
      </c>
      <c r="S936" s="136">
        <f>IF($F936="","",IFERROR(INDEX(사건마스터!$AP$5:$AP$64,MATCH($F936,사건마스터!$A$5:$A$64,0)),""))</f>
        <v/>
      </c>
      <c r="T936" s="136">
        <f>IF($F936="","",IFERROR(INDEX(사건마스터!$AQ$5:$AQ$64,MATCH($F936,사건마스터!$A$5:$A$64,0)),""))</f>
        <v/>
      </c>
      <c r="U936" s="136">
        <f>IF($F936="","",IFERROR(INDEX(사건마스터!$AR$5:$AR$64,MATCH($F936,사건마스터!$A$5:$A$64,0)),""))</f>
        <v/>
      </c>
      <c r="V936" s="136">
        <f>IF($F936="","",IFERROR(INDEX(사건마스터!$AS$5:$AS$64,MATCH($F936,사건마스터!$A$5:$A$64,0)),""))</f>
        <v/>
      </c>
      <c r="W936" s="136">
        <f>IF($F936="","",IFERROR(INDEX(사건마스터!$AT$5:$AT$64,MATCH($F936,사건마스터!$A$5:$A$64,0)),""))</f>
        <v/>
      </c>
      <c r="X936" s="136">
        <f>IF($F936="","",IFERROR(INDEX(사건마스터!$AU$5:$AU$64,MATCH($F936,사건마스터!$A$5:$A$64,0)),""))</f>
        <v/>
      </c>
      <c r="Y936" s="136">
        <f>IF($F936="","",IFERROR(INDEX(사건마스터!$AV$5:$AV$64,MATCH($F936,사건마스터!$A$5:$A$64,0)),""))</f>
        <v/>
      </c>
      <c r="Z936" s="118">
        <f>IF(COUNTBLANK($J936:$Y936)=16,"",16-COUNTBLANK($J936:$Y936))</f>
        <v/>
      </c>
      <c r="AA936" s="33">
        <f>IF($J936="",MID($AX936,3,255),$J936&amp;$AX936)</f>
        <v/>
      </c>
      <c r="AB936" s="130">
        <f>IF($J936="","",IFERROR(INDEX(코드설정!$D$5:$D$24,MATCH($J936,코드설정!$C$5:$C$24,0)),""))</f>
        <v/>
      </c>
      <c r="AC936" s="36" t="n"/>
      <c r="AD936" s="37" t="n"/>
      <c r="AE936" s="38" t="n"/>
      <c r="AF936" s="118">
        <f>IF(OR($B936="",$C936=""),"",$C936-$B936+1)</f>
        <v/>
      </c>
      <c r="AG936" s="74" t="n"/>
      <c r="AH936" s="36" t="n"/>
      <c r="AJ936">
        <f>IF($K936="","",", "&amp;$K936)</f>
        <v/>
      </c>
      <c r="AK936">
        <f>AJ936&amp;IF($L936="","",", "&amp;$L936)</f>
        <v/>
      </c>
      <c r="AL936">
        <f>AK936&amp;IF($M936="","",", "&amp;$M936)</f>
        <v/>
      </c>
      <c r="AM936">
        <f>AL936&amp;IF($N936="","",", "&amp;$N936)</f>
        <v/>
      </c>
      <c r="AN936">
        <f>AM936&amp;IF($O936="","",", "&amp;$O936)</f>
        <v/>
      </c>
      <c r="AO936">
        <f>AN936&amp;IF($P936="","",", "&amp;$P936)</f>
        <v/>
      </c>
      <c r="AP936">
        <f>AO936&amp;IF($Q936="","",", "&amp;$Q936)</f>
        <v/>
      </c>
      <c r="AQ936">
        <f>AP936&amp;IF($R936="","",", "&amp;$R936)</f>
        <v/>
      </c>
      <c r="AR936">
        <f>AQ936&amp;IF($S936="","",", "&amp;$S936)</f>
        <v/>
      </c>
      <c r="AS936">
        <f>AR936&amp;IF($T936="","",", "&amp;$T936)</f>
        <v/>
      </c>
      <c r="AT936">
        <f>AS936&amp;IF($U936="","",", "&amp;$U936)</f>
        <v/>
      </c>
      <c r="AU936">
        <f>AT936&amp;IF($V936="","",", "&amp;$V936)</f>
        <v/>
      </c>
      <c r="AV936">
        <f>AU936&amp;IF($W936="","",", "&amp;$W936)</f>
        <v/>
      </c>
      <c r="AW936">
        <f>AV936&amp;IF($X936="","",", "&amp;$X936)</f>
        <v/>
      </c>
      <c r="AX936">
        <f>AW936&amp;IF($Y936="","",", "&amp;$Y936)</f>
        <v/>
      </c>
    </row>
    <row r="937">
      <c r="A937" s="118">
        <f>IF($B937="","",COUNT($B$5:$B937))</f>
        <v/>
      </c>
      <c r="B937" s="80" t="n"/>
      <c r="C937" s="80" t="n"/>
      <c r="D937" s="74" t="n"/>
      <c r="E937" s="74" t="n"/>
      <c r="F937" s="74" t="n"/>
      <c r="G937" s="118">
        <f>IF($F937="","",COUNTIF($F$5:$F937,$F937))</f>
        <v/>
      </c>
      <c r="H937" s="33">
        <f>IF($F937="","",IFERROR(INDEX(사건마스터!$B$5:$B$64,MATCH($F937,사건마스터!$A$5:$A$64,0)),""))</f>
        <v/>
      </c>
      <c r="I937" s="130">
        <f>IF($F937="","",IFERROR(INDEX(사건마스터!$C$5:$C$64,MATCH($F937,사건마스터!$A$5:$A$64,0)),""))</f>
        <v/>
      </c>
      <c r="J937" s="136">
        <f>IF($F937="","",IFERROR(INDEX(사건마스터!$H$5:$H$64,MATCH($F937,사건마스터!$A$5:$A$64,0)),""))</f>
        <v/>
      </c>
      <c r="K937" s="136">
        <f>IF($F937="","",IFERROR(INDEX(사건마스터!$AH$5:$AH$64,MATCH($F937,사건마스터!$A$5:$A$64,0)),""))</f>
        <v/>
      </c>
      <c r="L937" s="136">
        <f>IF($F937="","",IFERROR(INDEX(사건마스터!$AI$5:$AI$64,MATCH($F937,사건마스터!$A$5:$A$64,0)),""))</f>
        <v/>
      </c>
      <c r="M937" s="136">
        <f>IF($F937="","",IFERROR(INDEX(사건마스터!$AJ$5:$AJ$64,MATCH($F937,사건마스터!$A$5:$A$64,0)),""))</f>
        <v/>
      </c>
      <c r="N937" s="136">
        <f>IF($F937="","",IFERROR(INDEX(사건마스터!$AK$5:$AK$64,MATCH($F937,사건마스터!$A$5:$A$64,0)),""))</f>
        <v/>
      </c>
      <c r="O937" s="136">
        <f>IF($F937="","",IFERROR(INDEX(사건마스터!$AL$5:$AL$64,MATCH($F937,사건마스터!$A$5:$A$64,0)),""))</f>
        <v/>
      </c>
      <c r="P937" s="136">
        <f>IF($F937="","",IFERROR(INDEX(사건마스터!$AM$5:$AM$64,MATCH($F937,사건마스터!$A$5:$A$64,0)),""))</f>
        <v/>
      </c>
      <c r="Q937" s="136">
        <f>IF($F937="","",IFERROR(INDEX(사건마스터!$AN$5:$AN$64,MATCH($F937,사건마스터!$A$5:$A$64,0)),""))</f>
        <v/>
      </c>
      <c r="R937" s="136">
        <f>IF($F937="","",IFERROR(INDEX(사건마스터!$AO$5:$AO$64,MATCH($F937,사건마스터!$A$5:$A$64,0)),""))</f>
        <v/>
      </c>
      <c r="S937" s="136">
        <f>IF($F937="","",IFERROR(INDEX(사건마스터!$AP$5:$AP$64,MATCH($F937,사건마스터!$A$5:$A$64,0)),""))</f>
        <v/>
      </c>
      <c r="T937" s="136">
        <f>IF($F937="","",IFERROR(INDEX(사건마스터!$AQ$5:$AQ$64,MATCH($F937,사건마스터!$A$5:$A$64,0)),""))</f>
        <v/>
      </c>
      <c r="U937" s="136">
        <f>IF($F937="","",IFERROR(INDEX(사건마스터!$AR$5:$AR$64,MATCH($F937,사건마스터!$A$5:$A$64,0)),""))</f>
        <v/>
      </c>
      <c r="V937" s="136">
        <f>IF($F937="","",IFERROR(INDEX(사건마스터!$AS$5:$AS$64,MATCH($F937,사건마스터!$A$5:$A$64,0)),""))</f>
        <v/>
      </c>
      <c r="W937" s="136">
        <f>IF($F937="","",IFERROR(INDEX(사건마스터!$AT$5:$AT$64,MATCH($F937,사건마스터!$A$5:$A$64,0)),""))</f>
        <v/>
      </c>
      <c r="X937" s="136">
        <f>IF($F937="","",IFERROR(INDEX(사건마스터!$AU$5:$AU$64,MATCH($F937,사건마스터!$A$5:$A$64,0)),""))</f>
        <v/>
      </c>
      <c r="Y937" s="136">
        <f>IF($F937="","",IFERROR(INDEX(사건마스터!$AV$5:$AV$64,MATCH($F937,사건마스터!$A$5:$A$64,0)),""))</f>
        <v/>
      </c>
      <c r="Z937" s="118">
        <f>IF(COUNTBLANK($J937:$Y937)=16,"",16-COUNTBLANK($J937:$Y937))</f>
        <v/>
      </c>
      <c r="AA937" s="33">
        <f>IF($J937="",MID($AX937,3,255),$J937&amp;$AX937)</f>
        <v/>
      </c>
      <c r="AB937" s="130">
        <f>IF($J937="","",IFERROR(INDEX(코드설정!$D$5:$D$24,MATCH($J937,코드설정!$C$5:$C$24,0)),""))</f>
        <v/>
      </c>
      <c r="AC937" s="36" t="n"/>
      <c r="AD937" s="37" t="n"/>
      <c r="AE937" s="38" t="n"/>
      <c r="AF937" s="118">
        <f>IF(OR($B937="",$C937=""),"",$C937-$B937+1)</f>
        <v/>
      </c>
      <c r="AG937" s="74" t="n"/>
      <c r="AH937" s="36" t="n"/>
      <c r="AJ937">
        <f>IF($K937="","",", "&amp;$K937)</f>
        <v/>
      </c>
      <c r="AK937">
        <f>AJ937&amp;IF($L937="","",", "&amp;$L937)</f>
        <v/>
      </c>
      <c r="AL937">
        <f>AK937&amp;IF($M937="","",", "&amp;$M937)</f>
        <v/>
      </c>
      <c r="AM937">
        <f>AL937&amp;IF($N937="","",", "&amp;$N937)</f>
        <v/>
      </c>
      <c r="AN937">
        <f>AM937&amp;IF($O937="","",", "&amp;$O937)</f>
        <v/>
      </c>
      <c r="AO937">
        <f>AN937&amp;IF($P937="","",", "&amp;$P937)</f>
        <v/>
      </c>
      <c r="AP937">
        <f>AO937&amp;IF($Q937="","",", "&amp;$Q937)</f>
        <v/>
      </c>
      <c r="AQ937">
        <f>AP937&amp;IF($R937="","",", "&amp;$R937)</f>
        <v/>
      </c>
      <c r="AR937">
        <f>AQ937&amp;IF($S937="","",", "&amp;$S937)</f>
        <v/>
      </c>
      <c r="AS937">
        <f>AR937&amp;IF($T937="","",", "&amp;$T937)</f>
        <v/>
      </c>
      <c r="AT937">
        <f>AS937&amp;IF($U937="","",", "&amp;$U937)</f>
        <v/>
      </c>
      <c r="AU937">
        <f>AT937&amp;IF($V937="","",", "&amp;$V937)</f>
        <v/>
      </c>
      <c r="AV937">
        <f>AU937&amp;IF($W937="","",", "&amp;$W937)</f>
        <v/>
      </c>
      <c r="AW937">
        <f>AV937&amp;IF($X937="","",", "&amp;$X937)</f>
        <v/>
      </c>
      <c r="AX937">
        <f>AW937&amp;IF($Y937="","",", "&amp;$Y937)</f>
        <v/>
      </c>
    </row>
    <row r="938">
      <c r="A938" s="118">
        <f>IF($B938="","",COUNT($B$5:$B938))</f>
        <v/>
      </c>
      <c r="B938" s="80" t="n"/>
      <c r="C938" s="80" t="n"/>
      <c r="D938" s="74" t="n"/>
      <c r="E938" s="74" t="n"/>
      <c r="F938" s="74" t="n"/>
      <c r="G938" s="118">
        <f>IF($F938="","",COUNTIF($F$5:$F938,$F938))</f>
        <v/>
      </c>
      <c r="H938" s="33">
        <f>IF($F938="","",IFERROR(INDEX(사건마스터!$B$5:$B$64,MATCH($F938,사건마스터!$A$5:$A$64,0)),""))</f>
        <v/>
      </c>
      <c r="I938" s="130">
        <f>IF($F938="","",IFERROR(INDEX(사건마스터!$C$5:$C$64,MATCH($F938,사건마스터!$A$5:$A$64,0)),""))</f>
        <v/>
      </c>
      <c r="J938" s="136">
        <f>IF($F938="","",IFERROR(INDEX(사건마스터!$H$5:$H$64,MATCH($F938,사건마스터!$A$5:$A$64,0)),""))</f>
        <v/>
      </c>
      <c r="K938" s="136">
        <f>IF($F938="","",IFERROR(INDEX(사건마스터!$AH$5:$AH$64,MATCH($F938,사건마스터!$A$5:$A$64,0)),""))</f>
        <v/>
      </c>
      <c r="L938" s="136">
        <f>IF($F938="","",IFERROR(INDEX(사건마스터!$AI$5:$AI$64,MATCH($F938,사건마스터!$A$5:$A$64,0)),""))</f>
        <v/>
      </c>
      <c r="M938" s="136">
        <f>IF($F938="","",IFERROR(INDEX(사건마스터!$AJ$5:$AJ$64,MATCH($F938,사건마스터!$A$5:$A$64,0)),""))</f>
        <v/>
      </c>
      <c r="N938" s="136">
        <f>IF($F938="","",IFERROR(INDEX(사건마스터!$AK$5:$AK$64,MATCH($F938,사건마스터!$A$5:$A$64,0)),""))</f>
        <v/>
      </c>
      <c r="O938" s="136">
        <f>IF($F938="","",IFERROR(INDEX(사건마스터!$AL$5:$AL$64,MATCH($F938,사건마스터!$A$5:$A$64,0)),""))</f>
        <v/>
      </c>
      <c r="P938" s="136">
        <f>IF($F938="","",IFERROR(INDEX(사건마스터!$AM$5:$AM$64,MATCH($F938,사건마스터!$A$5:$A$64,0)),""))</f>
        <v/>
      </c>
      <c r="Q938" s="136">
        <f>IF($F938="","",IFERROR(INDEX(사건마스터!$AN$5:$AN$64,MATCH($F938,사건마스터!$A$5:$A$64,0)),""))</f>
        <v/>
      </c>
      <c r="R938" s="136">
        <f>IF($F938="","",IFERROR(INDEX(사건마스터!$AO$5:$AO$64,MATCH($F938,사건마스터!$A$5:$A$64,0)),""))</f>
        <v/>
      </c>
      <c r="S938" s="136">
        <f>IF($F938="","",IFERROR(INDEX(사건마스터!$AP$5:$AP$64,MATCH($F938,사건마스터!$A$5:$A$64,0)),""))</f>
        <v/>
      </c>
      <c r="T938" s="136">
        <f>IF($F938="","",IFERROR(INDEX(사건마스터!$AQ$5:$AQ$64,MATCH($F938,사건마스터!$A$5:$A$64,0)),""))</f>
        <v/>
      </c>
      <c r="U938" s="136">
        <f>IF($F938="","",IFERROR(INDEX(사건마스터!$AR$5:$AR$64,MATCH($F938,사건마스터!$A$5:$A$64,0)),""))</f>
        <v/>
      </c>
      <c r="V938" s="136">
        <f>IF($F938="","",IFERROR(INDEX(사건마스터!$AS$5:$AS$64,MATCH($F938,사건마스터!$A$5:$A$64,0)),""))</f>
        <v/>
      </c>
      <c r="W938" s="136">
        <f>IF($F938="","",IFERROR(INDEX(사건마스터!$AT$5:$AT$64,MATCH($F938,사건마스터!$A$5:$A$64,0)),""))</f>
        <v/>
      </c>
      <c r="X938" s="136">
        <f>IF($F938="","",IFERROR(INDEX(사건마스터!$AU$5:$AU$64,MATCH($F938,사건마스터!$A$5:$A$64,0)),""))</f>
        <v/>
      </c>
      <c r="Y938" s="136">
        <f>IF($F938="","",IFERROR(INDEX(사건마스터!$AV$5:$AV$64,MATCH($F938,사건마스터!$A$5:$A$64,0)),""))</f>
        <v/>
      </c>
      <c r="Z938" s="118">
        <f>IF(COUNTBLANK($J938:$Y938)=16,"",16-COUNTBLANK($J938:$Y938))</f>
        <v/>
      </c>
      <c r="AA938" s="33">
        <f>IF($J938="",MID($AX938,3,255),$J938&amp;$AX938)</f>
        <v/>
      </c>
      <c r="AB938" s="130">
        <f>IF($J938="","",IFERROR(INDEX(코드설정!$D$5:$D$24,MATCH($J938,코드설정!$C$5:$C$24,0)),""))</f>
        <v/>
      </c>
      <c r="AC938" s="36" t="n"/>
      <c r="AD938" s="37" t="n"/>
      <c r="AE938" s="38" t="n"/>
      <c r="AF938" s="118">
        <f>IF(OR($B938="",$C938=""),"",$C938-$B938+1)</f>
        <v/>
      </c>
      <c r="AG938" s="74" t="n"/>
      <c r="AH938" s="36" t="n"/>
      <c r="AJ938">
        <f>IF($K938="","",", "&amp;$K938)</f>
        <v/>
      </c>
      <c r="AK938">
        <f>AJ938&amp;IF($L938="","",", "&amp;$L938)</f>
        <v/>
      </c>
      <c r="AL938">
        <f>AK938&amp;IF($M938="","",", "&amp;$M938)</f>
        <v/>
      </c>
      <c r="AM938">
        <f>AL938&amp;IF($N938="","",", "&amp;$N938)</f>
        <v/>
      </c>
      <c r="AN938">
        <f>AM938&amp;IF($O938="","",", "&amp;$O938)</f>
        <v/>
      </c>
      <c r="AO938">
        <f>AN938&amp;IF($P938="","",", "&amp;$P938)</f>
        <v/>
      </c>
      <c r="AP938">
        <f>AO938&amp;IF($Q938="","",", "&amp;$Q938)</f>
        <v/>
      </c>
      <c r="AQ938">
        <f>AP938&amp;IF($R938="","",", "&amp;$R938)</f>
        <v/>
      </c>
      <c r="AR938">
        <f>AQ938&amp;IF($S938="","",", "&amp;$S938)</f>
        <v/>
      </c>
      <c r="AS938">
        <f>AR938&amp;IF($T938="","",", "&amp;$T938)</f>
        <v/>
      </c>
      <c r="AT938">
        <f>AS938&amp;IF($U938="","",", "&amp;$U938)</f>
        <v/>
      </c>
      <c r="AU938">
        <f>AT938&amp;IF($V938="","",", "&amp;$V938)</f>
        <v/>
      </c>
      <c r="AV938">
        <f>AU938&amp;IF($W938="","",", "&amp;$W938)</f>
        <v/>
      </c>
      <c r="AW938">
        <f>AV938&amp;IF($X938="","",", "&amp;$X938)</f>
        <v/>
      </c>
      <c r="AX938">
        <f>AW938&amp;IF($Y938="","",", "&amp;$Y938)</f>
        <v/>
      </c>
    </row>
    <row r="939">
      <c r="A939" s="118">
        <f>IF($B939="","",COUNT($B$5:$B939))</f>
        <v/>
      </c>
      <c r="B939" s="80" t="n"/>
      <c r="C939" s="80" t="n"/>
      <c r="D939" s="74" t="n"/>
      <c r="E939" s="74" t="n"/>
      <c r="F939" s="74" t="n"/>
      <c r="G939" s="118">
        <f>IF($F939="","",COUNTIF($F$5:$F939,$F939))</f>
        <v/>
      </c>
      <c r="H939" s="33">
        <f>IF($F939="","",IFERROR(INDEX(사건마스터!$B$5:$B$64,MATCH($F939,사건마스터!$A$5:$A$64,0)),""))</f>
        <v/>
      </c>
      <c r="I939" s="130">
        <f>IF($F939="","",IFERROR(INDEX(사건마스터!$C$5:$C$64,MATCH($F939,사건마스터!$A$5:$A$64,0)),""))</f>
        <v/>
      </c>
      <c r="J939" s="136">
        <f>IF($F939="","",IFERROR(INDEX(사건마스터!$H$5:$H$64,MATCH($F939,사건마스터!$A$5:$A$64,0)),""))</f>
        <v/>
      </c>
      <c r="K939" s="136">
        <f>IF($F939="","",IFERROR(INDEX(사건마스터!$AH$5:$AH$64,MATCH($F939,사건마스터!$A$5:$A$64,0)),""))</f>
        <v/>
      </c>
      <c r="L939" s="136">
        <f>IF($F939="","",IFERROR(INDEX(사건마스터!$AI$5:$AI$64,MATCH($F939,사건마스터!$A$5:$A$64,0)),""))</f>
        <v/>
      </c>
      <c r="M939" s="136">
        <f>IF($F939="","",IFERROR(INDEX(사건마스터!$AJ$5:$AJ$64,MATCH($F939,사건마스터!$A$5:$A$64,0)),""))</f>
        <v/>
      </c>
      <c r="N939" s="136">
        <f>IF($F939="","",IFERROR(INDEX(사건마스터!$AK$5:$AK$64,MATCH($F939,사건마스터!$A$5:$A$64,0)),""))</f>
        <v/>
      </c>
      <c r="O939" s="136">
        <f>IF($F939="","",IFERROR(INDEX(사건마스터!$AL$5:$AL$64,MATCH($F939,사건마스터!$A$5:$A$64,0)),""))</f>
        <v/>
      </c>
      <c r="P939" s="136">
        <f>IF($F939="","",IFERROR(INDEX(사건마스터!$AM$5:$AM$64,MATCH($F939,사건마스터!$A$5:$A$64,0)),""))</f>
        <v/>
      </c>
      <c r="Q939" s="136">
        <f>IF($F939="","",IFERROR(INDEX(사건마스터!$AN$5:$AN$64,MATCH($F939,사건마스터!$A$5:$A$64,0)),""))</f>
        <v/>
      </c>
      <c r="R939" s="136">
        <f>IF($F939="","",IFERROR(INDEX(사건마스터!$AO$5:$AO$64,MATCH($F939,사건마스터!$A$5:$A$64,0)),""))</f>
        <v/>
      </c>
      <c r="S939" s="136">
        <f>IF($F939="","",IFERROR(INDEX(사건마스터!$AP$5:$AP$64,MATCH($F939,사건마스터!$A$5:$A$64,0)),""))</f>
        <v/>
      </c>
      <c r="T939" s="136">
        <f>IF($F939="","",IFERROR(INDEX(사건마스터!$AQ$5:$AQ$64,MATCH($F939,사건마스터!$A$5:$A$64,0)),""))</f>
        <v/>
      </c>
      <c r="U939" s="136">
        <f>IF($F939="","",IFERROR(INDEX(사건마스터!$AR$5:$AR$64,MATCH($F939,사건마스터!$A$5:$A$64,0)),""))</f>
        <v/>
      </c>
      <c r="V939" s="136">
        <f>IF($F939="","",IFERROR(INDEX(사건마스터!$AS$5:$AS$64,MATCH($F939,사건마스터!$A$5:$A$64,0)),""))</f>
        <v/>
      </c>
      <c r="W939" s="136">
        <f>IF($F939="","",IFERROR(INDEX(사건마스터!$AT$5:$AT$64,MATCH($F939,사건마스터!$A$5:$A$64,0)),""))</f>
        <v/>
      </c>
      <c r="X939" s="136">
        <f>IF($F939="","",IFERROR(INDEX(사건마스터!$AU$5:$AU$64,MATCH($F939,사건마스터!$A$5:$A$64,0)),""))</f>
        <v/>
      </c>
      <c r="Y939" s="136">
        <f>IF($F939="","",IFERROR(INDEX(사건마스터!$AV$5:$AV$64,MATCH($F939,사건마스터!$A$5:$A$64,0)),""))</f>
        <v/>
      </c>
      <c r="Z939" s="118">
        <f>IF(COUNTBLANK($J939:$Y939)=16,"",16-COUNTBLANK($J939:$Y939))</f>
        <v/>
      </c>
      <c r="AA939" s="33">
        <f>IF($J939="",MID($AX939,3,255),$J939&amp;$AX939)</f>
        <v/>
      </c>
      <c r="AB939" s="130">
        <f>IF($J939="","",IFERROR(INDEX(코드설정!$D$5:$D$24,MATCH($J939,코드설정!$C$5:$C$24,0)),""))</f>
        <v/>
      </c>
      <c r="AC939" s="36" t="n"/>
      <c r="AD939" s="37" t="n"/>
      <c r="AE939" s="38" t="n"/>
      <c r="AF939" s="118">
        <f>IF(OR($B939="",$C939=""),"",$C939-$B939+1)</f>
        <v/>
      </c>
      <c r="AG939" s="74" t="n"/>
      <c r="AH939" s="36" t="n"/>
      <c r="AJ939">
        <f>IF($K939="","",", "&amp;$K939)</f>
        <v/>
      </c>
      <c r="AK939">
        <f>AJ939&amp;IF($L939="","",", "&amp;$L939)</f>
        <v/>
      </c>
      <c r="AL939">
        <f>AK939&amp;IF($M939="","",", "&amp;$M939)</f>
        <v/>
      </c>
      <c r="AM939">
        <f>AL939&amp;IF($N939="","",", "&amp;$N939)</f>
        <v/>
      </c>
      <c r="AN939">
        <f>AM939&amp;IF($O939="","",", "&amp;$O939)</f>
        <v/>
      </c>
      <c r="AO939">
        <f>AN939&amp;IF($P939="","",", "&amp;$P939)</f>
        <v/>
      </c>
      <c r="AP939">
        <f>AO939&amp;IF($Q939="","",", "&amp;$Q939)</f>
        <v/>
      </c>
      <c r="AQ939">
        <f>AP939&amp;IF($R939="","",", "&amp;$R939)</f>
        <v/>
      </c>
      <c r="AR939">
        <f>AQ939&amp;IF($S939="","",", "&amp;$S939)</f>
        <v/>
      </c>
      <c r="AS939">
        <f>AR939&amp;IF($T939="","",", "&amp;$T939)</f>
        <v/>
      </c>
      <c r="AT939">
        <f>AS939&amp;IF($U939="","",", "&amp;$U939)</f>
        <v/>
      </c>
      <c r="AU939">
        <f>AT939&amp;IF($V939="","",", "&amp;$V939)</f>
        <v/>
      </c>
      <c r="AV939">
        <f>AU939&amp;IF($W939="","",", "&amp;$W939)</f>
        <v/>
      </c>
      <c r="AW939">
        <f>AV939&amp;IF($X939="","",", "&amp;$X939)</f>
        <v/>
      </c>
      <c r="AX939">
        <f>AW939&amp;IF($Y939="","",", "&amp;$Y939)</f>
        <v/>
      </c>
    </row>
    <row r="940">
      <c r="A940" s="118">
        <f>IF($B940="","",COUNT($B$5:$B940))</f>
        <v/>
      </c>
      <c r="B940" s="80" t="n"/>
      <c r="C940" s="80" t="n"/>
      <c r="D940" s="74" t="n"/>
      <c r="E940" s="74" t="n"/>
      <c r="F940" s="74" t="n"/>
      <c r="G940" s="118">
        <f>IF($F940="","",COUNTIF($F$5:$F940,$F940))</f>
        <v/>
      </c>
      <c r="H940" s="33">
        <f>IF($F940="","",IFERROR(INDEX(사건마스터!$B$5:$B$64,MATCH($F940,사건마스터!$A$5:$A$64,0)),""))</f>
        <v/>
      </c>
      <c r="I940" s="130">
        <f>IF($F940="","",IFERROR(INDEX(사건마스터!$C$5:$C$64,MATCH($F940,사건마스터!$A$5:$A$64,0)),""))</f>
        <v/>
      </c>
      <c r="J940" s="136">
        <f>IF($F940="","",IFERROR(INDEX(사건마스터!$H$5:$H$64,MATCH($F940,사건마스터!$A$5:$A$64,0)),""))</f>
        <v/>
      </c>
      <c r="K940" s="136">
        <f>IF($F940="","",IFERROR(INDEX(사건마스터!$AH$5:$AH$64,MATCH($F940,사건마스터!$A$5:$A$64,0)),""))</f>
        <v/>
      </c>
      <c r="L940" s="136">
        <f>IF($F940="","",IFERROR(INDEX(사건마스터!$AI$5:$AI$64,MATCH($F940,사건마스터!$A$5:$A$64,0)),""))</f>
        <v/>
      </c>
      <c r="M940" s="136">
        <f>IF($F940="","",IFERROR(INDEX(사건마스터!$AJ$5:$AJ$64,MATCH($F940,사건마스터!$A$5:$A$64,0)),""))</f>
        <v/>
      </c>
      <c r="N940" s="136">
        <f>IF($F940="","",IFERROR(INDEX(사건마스터!$AK$5:$AK$64,MATCH($F940,사건마스터!$A$5:$A$64,0)),""))</f>
        <v/>
      </c>
      <c r="O940" s="136">
        <f>IF($F940="","",IFERROR(INDEX(사건마스터!$AL$5:$AL$64,MATCH($F940,사건마스터!$A$5:$A$64,0)),""))</f>
        <v/>
      </c>
      <c r="P940" s="136">
        <f>IF($F940="","",IFERROR(INDEX(사건마스터!$AM$5:$AM$64,MATCH($F940,사건마스터!$A$5:$A$64,0)),""))</f>
        <v/>
      </c>
      <c r="Q940" s="136">
        <f>IF($F940="","",IFERROR(INDEX(사건마스터!$AN$5:$AN$64,MATCH($F940,사건마스터!$A$5:$A$64,0)),""))</f>
        <v/>
      </c>
      <c r="R940" s="136">
        <f>IF($F940="","",IFERROR(INDEX(사건마스터!$AO$5:$AO$64,MATCH($F940,사건마스터!$A$5:$A$64,0)),""))</f>
        <v/>
      </c>
      <c r="S940" s="136">
        <f>IF($F940="","",IFERROR(INDEX(사건마스터!$AP$5:$AP$64,MATCH($F940,사건마스터!$A$5:$A$64,0)),""))</f>
        <v/>
      </c>
      <c r="T940" s="136">
        <f>IF($F940="","",IFERROR(INDEX(사건마스터!$AQ$5:$AQ$64,MATCH($F940,사건마스터!$A$5:$A$64,0)),""))</f>
        <v/>
      </c>
      <c r="U940" s="136">
        <f>IF($F940="","",IFERROR(INDEX(사건마스터!$AR$5:$AR$64,MATCH($F940,사건마스터!$A$5:$A$64,0)),""))</f>
        <v/>
      </c>
      <c r="V940" s="136">
        <f>IF($F940="","",IFERROR(INDEX(사건마스터!$AS$5:$AS$64,MATCH($F940,사건마스터!$A$5:$A$64,0)),""))</f>
        <v/>
      </c>
      <c r="W940" s="136">
        <f>IF($F940="","",IFERROR(INDEX(사건마스터!$AT$5:$AT$64,MATCH($F940,사건마스터!$A$5:$A$64,0)),""))</f>
        <v/>
      </c>
      <c r="X940" s="136">
        <f>IF($F940="","",IFERROR(INDEX(사건마스터!$AU$5:$AU$64,MATCH($F940,사건마스터!$A$5:$A$64,0)),""))</f>
        <v/>
      </c>
      <c r="Y940" s="136">
        <f>IF($F940="","",IFERROR(INDEX(사건마스터!$AV$5:$AV$64,MATCH($F940,사건마스터!$A$5:$A$64,0)),""))</f>
        <v/>
      </c>
      <c r="Z940" s="118">
        <f>IF(COUNTBLANK($J940:$Y940)=16,"",16-COUNTBLANK($J940:$Y940))</f>
        <v/>
      </c>
      <c r="AA940" s="33">
        <f>IF($J940="",MID($AX940,3,255),$J940&amp;$AX940)</f>
        <v/>
      </c>
      <c r="AB940" s="130">
        <f>IF($J940="","",IFERROR(INDEX(코드설정!$D$5:$D$24,MATCH($J940,코드설정!$C$5:$C$24,0)),""))</f>
        <v/>
      </c>
      <c r="AC940" s="36" t="n"/>
      <c r="AD940" s="37" t="n"/>
      <c r="AE940" s="38" t="n"/>
      <c r="AF940" s="118">
        <f>IF(OR($B940="",$C940=""),"",$C940-$B940+1)</f>
        <v/>
      </c>
      <c r="AG940" s="74" t="n"/>
      <c r="AH940" s="36" t="n"/>
      <c r="AJ940">
        <f>IF($K940="","",", "&amp;$K940)</f>
        <v/>
      </c>
      <c r="AK940">
        <f>AJ940&amp;IF($L940="","",", "&amp;$L940)</f>
        <v/>
      </c>
      <c r="AL940">
        <f>AK940&amp;IF($M940="","",", "&amp;$M940)</f>
        <v/>
      </c>
      <c r="AM940">
        <f>AL940&amp;IF($N940="","",", "&amp;$N940)</f>
        <v/>
      </c>
      <c r="AN940">
        <f>AM940&amp;IF($O940="","",", "&amp;$O940)</f>
        <v/>
      </c>
      <c r="AO940">
        <f>AN940&amp;IF($P940="","",", "&amp;$P940)</f>
        <v/>
      </c>
      <c r="AP940">
        <f>AO940&amp;IF($Q940="","",", "&amp;$Q940)</f>
        <v/>
      </c>
      <c r="AQ940">
        <f>AP940&amp;IF($R940="","",", "&amp;$R940)</f>
        <v/>
      </c>
      <c r="AR940">
        <f>AQ940&amp;IF($S940="","",", "&amp;$S940)</f>
        <v/>
      </c>
      <c r="AS940">
        <f>AR940&amp;IF($T940="","",", "&amp;$T940)</f>
        <v/>
      </c>
      <c r="AT940">
        <f>AS940&amp;IF($U940="","",", "&amp;$U940)</f>
        <v/>
      </c>
      <c r="AU940">
        <f>AT940&amp;IF($V940="","",", "&amp;$V940)</f>
        <v/>
      </c>
      <c r="AV940">
        <f>AU940&amp;IF($W940="","",", "&amp;$W940)</f>
        <v/>
      </c>
      <c r="AW940">
        <f>AV940&amp;IF($X940="","",", "&amp;$X940)</f>
        <v/>
      </c>
      <c r="AX940">
        <f>AW940&amp;IF($Y940="","",", "&amp;$Y940)</f>
        <v/>
      </c>
    </row>
    <row r="941">
      <c r="A941" s="118">
        <f>IF($B941="","",COUNT($B$5:$B941))</f>
        <v/>
      </c>
      <c r="B941" s="80" t="n"/>
      <c r="C941" s="80" t="n"/>
      <c r="D941" s="74" t="n"/>
      <c r="E941" s="74" t="n"/>
      <c r="F941" s="74" t="n"/>
      <c r="G941" s="118">
        <f>IF($F941="","",COUNTIF($F$5:$F941,$F941))</f>
        <v/>
      </c>
      <c r="H941" s="33">
        <f>IF($F941="","",IFERROR(INDEX(사건마스터!$B$5:$B$64,MATCH($F941,사건마스터!$A$5:$A$64,0)),""))</f>
        <v/>
      </c>
      <c r="I941" s="130">
        <f>IF($F941="","",IFERROR(INDEX(사건마스터!$C$5:$C$64,MATCH($F941,사건마스터!$A$5:$A$64,0)),""))</f>
        <v/>
      </c>
      <c r="J941" s="136">
        <f>IF($F941="","",IFERROR(INDEX(사건마스터!$H$5:$H$64,MATCH($F941,사건마스터!$A$5:$A$64,0)),""))</f>
        <v/>
      </c>
      <c r="K941" s="136">
        <f>IF($F941="","",IFERROR(INDEX(사건마스터!$AH$5:$AH$64,MATCH($F941,사건마스터!$A$5:$A$64,0)),""))</f>
        <v/>
      </c>
      <c r="L941" s="136">
        <f>IF($F941="","",IFERROR(INDEX(사건마스터!$AI$5:$AI$64,MATCH($F941,사건마스터!$A$5:$A$64,0)),""))</f>
        <v/>
      </c>
      <c r="M941" s="136">
        <f>IF($F941="","",IFERROR(INDEX(사건마스터!$AJ$5:$AJ$64,MATCH($F941,사건마스터!$A$5:$A$64,0)),""))</f>
        <v/>
      </c>
      <c r="N941" s="136">
        <f>IF($F941="","",IFERROR(INDEX(사건마스터!$AK$5:$AK$64,MATCH($F941,사건마스터!$A$5:$A$64,0)),""))</f>
        <v/>
      </c>
      <c r="O941" s="136">
        <f>IF($F941="","",IFERROR(INDEX(사건마스터!$AL$5:$AL$64,MATCH($F941,사건마스터!$A$5:$A$64,0)),""))</f>
        <v/>
      </c>
      <c r="P941" s="136">
        <f>IF($F941="","",IFERROR(INDEX(사건마스터!$AM$5:$AM$64,MATCH($F941,사건마스터!$A$5:$A$64,0)),""))</f>
        <v/>
      </c>
      <c r="Q941" s="136">
        <f>IF($F941="","",IFERROR(INDEX(사건마스터!$AN$5:$AN$64,MATCH($F941,사건마스터!$A$5:$A$64,0)),""))</f>
        <v/>
      </c>
      <c r="R941" s="136">
        <f>IF($F941="","",IFERROR(INDEX(사건마스터!$AO$5:$AO$64,MATCH($F941,사건마스터!$A$5:$A$64,0)),""))</f>
        <v/>
      </c>
      <c r="S941" s="136">
        <f>IF($F941="","",IFERROR(INDEX(사건마스터!$AP$5:$AP$64,MATCH($F941,사건마스터!$A$5:$A$64,0)),""))</f>
        <v/>
      </c>
      <c r="T941" s="136">
        <f>IF($F941="","",IFERROR(INDEX(사건마스터!$AQ$5:$AQ$64,MATCH($F941,사건마스터!$A$5:$A$64,0)),""))</f>
        <v/>
      </c>
      <c r="U941" s="136">
        <f>IF($F941="","",IFERROR(INDEX(사건마스터!$AR$5:$AR$64,MATCH($F941,사건마스터!$A$5:$A$64,0)),""))</f>
        <v/>
      </c>
      <c r="V941" s="136">
        <f>IF($F941="","",IFERROR(INDEX(사건마스터!$AS$5:$AS$64,MATCH($F941,사건마스터!$A$5:$A$64,0)),""))</f>
        <v/>
      </c>
      <c r="W941" s="136">
        <f>IF($F941="","",IFERROR(INDEX(사건마스터!$AT$5:$AT$64,MATCH($F941,사건마스터!$A$5:$A$64,0)),""))</f>
        <v/>
      </c>
      <c r="X941" s="136">
        <f>IF($F941="","",IFERROR(INDEX(사건마스터!$AU$5:$AU$64,MATCH($F941,사건마스터!$A$5:$A$64,0)),""))</f>
        <v/>
      </c>
      <c r="Y941" s="136">
        <f>IF($F941="","",IFERROR(INDEX(사건마스터!$AV$5:$AV$64,MATCH($F941,사건마스터!$A$5:$A$64,0)),""))</f>
        <v/>
      </c>
      <c r="Z941" s="118">
        <f>IF(COUNTBLANK($J941:$Y941)=16,"",16-COUNTBLANK($J941:$Y941))</f>
        <v/>
      </c>
      <c r="AA941" s="33">
        <f>IF($J941="",MID($AX941,3,255),$J941&amp;$AX941)</f>
        <v/>
      </c>
      <c r="AB941" s="130">
        <f>IF($J941="","",IFERROR(INDEX(코드설정!$D$5:$D$24,MATCH($J941,코드설정!$C$5:$C$24,0)),""))</f>
        <v/>
      </c>
      <c r="AC941" s="36" t="n"/>
      <c r="AD941" s="37" t="n"/>
      <c r="AE941" s="38" t="n"/>
      <c r="AF941" s="118">
        <f>IF(OR($B941="",$C941=""),"",$C941-$B941+1)</f>
        <v/>
      </c>
      <c r="AG941" s="74" t="n"/>
      <c r="AH941" s="36" t="n"/>
      <c r="AJ941">
        <f>IF($K941="","",", "&amp;$K941)</f>
        <v/>
      </c>
      <c r="AK941">
        <f>AJ941&amp;IF($L941="","",", "&amp;$L941)</f>
        <v/>
      </c>
      <c r="AL941">
        <f>AK941&amp;IF($M941="","",", "&amp;$M941)</f>
        <v/>
      </c>
      <c r="AM941">
        <f>AL941&amp;IF($N941="","",", "&amp;$N941)</f>
        <v/>
      </c>
      <c r="AN941">
        <f>AM941&amp;IF($O941="","",", "&amp;$O941)</f>
        <v/>
      </c>
      <c r="AO941">
        <f>AN941&amp;IF($P941="","",", "&amp;$P941)</f>
        <v/>
      </c>
      <c r="AP941">
        <f>AO941&amp;IF($Q941="","",", "&amp;$Q941)</f>
        <v/>
      </c>
      <c r="AQ941">
        <f>AP941&amp;IF($R941="","",", "&amp;$R941)</f>
        <v/>
      </c>
      <c r="AR941">
        <f>AQ941&amp;IF($S941="","",", "&amp;$S941)</f>
        <v/>
      </c>
      <c r="AS941">
        <f>AR941&amp;IF($T941="","",", "&amp;$T941)</f>
        <v/>
      </c>
      <c r="AT941">
        <f>AS941&amp;IF($U941="","",", "&amp;$U941)</f>
        <v/>
      </c>
      <c r="AU941">
        <f>AT941&amp;IF($V941="","",", "&amp;$V941)</f>
        <v/>
      </c>
      <c r="AV941">
        <f>AU941&amp;IF($W941="","",", "&amp;$W941)</f>
        <v/>
      </c>
      <c r="AW941">
        <f>AV941&amp;IF($X941="","",", "&amp;$X941)</f>
        <v/>
      </c>
      <c r="AX941">
        <f>AW941&amp;IF($Y941="","",", "&amp;$Y941)</f>
        <v/>
      </c>
    </row>
    <row r="942">
      <c r="A942" s="118">
        <f>IF($B942="","",COUNT($B$5:$B942))</f>
        <v/>
      </c>
      <c r="B942" s="80" t="n"/>
      <c r="C942" s="80" t="n"/>
      <c r="D942" s="74" t="n"/>
      <c r="E942" s="74" t="n"/>
      <c r="F942" s="74" t="n"/>
      <c r="G942" s="118">
        <f>IF($F942="","",COUNTIF($F$5:$F942,$F942))</f>
        <v/>
      </c>
      <c r="H942" s="33">
        <f>IF($F942="","",IFERROR(INDEX(사건마스터!$B$5:$B$64,MATCH($F942,사건마스터!$A$5:$A$64,0)),""))</f>
        <v/>
      </c>
      <c r="I942" s="130">
        <f>IF($F942="","",IFERROR(INDEX(사건마스터!$C$5:$C$64,MATCH($F942,사건마스터!$A$5:$A$64,0)),""))</f>
        <v/>
      </c>
      <c r="J942" s="136">
        <f>IF($F942="","",IFERROR(INDEX(사건마스터!$H$5:$H$64,MATCH($F942,사건마스터!$A$5:$A$64,0)),""))</f>
        <v/>
      </c>
      <c r="K942" s="136">
        <f>IF($F942="","",IFERROR(INDEX(사건마스터!$AH$5:$AH$64,MATCH($F942,사건마스터!$A$5:$A$64,0)),""))</f>
        <v/>
      </c>
      <c r="L942" s="136">
        <f>IF($F942="","",IFERROR(INDEX(사건마스터!$AI$5:$AI$64,MATCH($F942,사건마스터!$A$5:$A$64,0)),""))</f>
        <v/>
      </c>
      <c r="M942" s="136">
        <f>IF($F942="","",IFERROR(INDEX(사건마스터!$AJ$5:$AJ$64,MATCH($F942,사건마스터!$A$5:$A$64,0)),""))</f>
        <v/>
      </c>
      <c r="N942" s="136">
        <f>IF($F942="","",IFERROR(INDEX(사건마스터!$AK$5:$AK$64,MATCH($F942,사건마스터!$A$5:$A$64,0)),""))</f>
        <v/>
      </c>
      <c r="O942" s="136">
        <f>IF($F942="","",IFERROR(INDEX(사건마스터!$AL$5:$AL$64,MATCH($F942,사건마스터!$A$5:$A$64,0)),""))</f>
        <v/>
      </c>
      <c r="P942" s="136">
        <f>IF($F942="","",IFERROR(INDEX(사건마스터!$AM$5:$AM$64,MATCH($F942,사건마스터!$A$5:$A$64,0)),""))</f>
        <v/>
      </c>
      <c r="Q942" s="136">
        <f>IF($F942="","",IFERROR(INDEX(사건마스터!$AN$5:$AN$64,MATCH($F942,사건마스터!$A$5:$A$64,0)),""))</f>
        <v/>
      </c>
      <c r="R942" s="136">
        <f>IF($F942="","",IFERROR(INDEX(사건마스터!$AO$5:$AO$64,MATCH($F942,사건마스터!$A$5:$A$64,0)),""))</f>
        <v/>
      </c>
      <c r="S942" s="136">
        <f>IF($F942="","",IFERROR(INDEX(사건마스터!$AP$5:$AP$64,MATCH($F942,사건마스터!$A$5:$A$64,0)),""))</f>
        <v/>
      </c>
      <c r="T942" s="136">
        <f>IF($F942="","",IFERROR(INDEX(사건마스터!$AQ$5:$AQ$64,MATCH($F942,사건마스터!$A$5:$A$64,0)),""))</f>
        <v/>
      </c>
      <c r="U942" s="136">
        <f>IF($F942="","",IFERROR(INDEX(사건마스터!$AR$5:$AR$64,MATCH($F942,사건마스터!$A$5:$A$64,0)),""))</f>
        <v/>
      </c>
      <c r="V942" s="136">
        <f>IF($F942="","",IFERROR(INDEX(사건마스터!$AS$5:$AS$64,MATCH($F942,사건마스터!$A$5:$A$64,0)),""))</f>
        <v/>
      </c>
      <c r="W942" s="136">
        <f>IF($F942="","",IFERROR(INDEX(사건마스터!$AT$5:$AT$64,MATCH($F942,사건마스터!$A$5:$A$64,0)),""))</f>
        <v/>
      </c>
      <c r="X942" s="136">
        <f>IF($F942="","",IFERROR(INDEX(사건마스터!$AU$5:$AU$64,MATCH($F942,사건마스터!$A$5:$A$64,0)),""))</f>
        <v/>
      </c>
      <c r="Y942" s="136">
        <f>IF($F942="","",IFERROR(INDEX(사건마스터!$AV$5:$AV$64,MATCH($F942,사건마스터!$A$5:$A$64,0)),""))</f>
        <v/>
      </c>
      <c r="Z942" s="118">
        <f>IF(COUNTBLANK($J942:$Y942)=16,"",16-COUNTBLANK($J942:$Y942))</f>
        <v/>
      </c>
      <c r="AA942" s="33">
        <f>IF($J942="",MID($AX942,3,255),$J942&amp;$AX942)</f>
        <v/>
      </c>
      <c r="AB942" s="130">
        <f>IF($J942="","",IFERROR(INDEX(코드설정!$D$5:$D$24,MATCH($J942,코드설정!$C$5:$C$24,0)),""))</f>
        <v/>
      </c>
      <c r="AC942" s="36" t="n"/>
      <c r="AD942" s="37" t="n"/>
      <c r="AE942" s="38" t="n"/>
      <c r="AF942" s="118">
        <f>IF(OR($B942="",$C942=""),"",$C942-$B942+1)</f>
        <v/>
      </c>
      <c r="AG942" s="74" t="n"/>
      <c r="AH942" s="36" t="n"/>
      <c r="AJ942">
        <f>IF($K942="","",", "&amp;$K942)</f>
        <v/>
      </c>
      <c r="AK942">
        <f>AJ942&amp;IF($L942="","",", "&amp;$L942)</f>
        <v/>
      </c>
      <c r="AL942">
        <f>AK942&amp;IF($M942="","",", "&amp;$M942)</f>
        <v/>
      </c>
      <c r="AM942">
        <f>AL942&amp;IF($N942="","",", "&amp;$N942)</f>
        <v/>
      </c>
      <c r="AN942">
        <f>AM942&amp;IF($O942="","",", "&amp;$O942)</f>
        <v/>
      </c>
      <c r="AO942">
        <f>AN942&amp;IF($P942="","",", "&amp;$P942)</f>
        <v/>
      </c>
      <c r="AP942">
        <f>AO942&amp;IF($Q942="","",", "&amp;$Q942)</f>
        <v/>
      </c>
      <c r="AQ942">
        <f>AP942&amp;IF($R942="","",", "&amp;$R942)</f>
        <v/>
      </c>
      <c r="AR942">
        <f>AQ942&amp;IF($S942="","",", "&amp;$S942)</f>
        <v/>
      </c>
      <c r="AS942">
        <f>AR942&amp;IF($T942="","",", "&amp;$T942)</f>
        <v/>
      </c>
      <c r="AT942">
        <f>AS942&amp;IF($U942="","",", "&amp;$U942)</f>
        <v/>
      </c>
      <c r="AU942">
        <f>AT942&amp;IF($V942="","",", "&amp;$V942)</f>
        <v/>
      </c>
      <c r="AV942">
        <f>AU942&amp;IF($W942="","",", "&amp;$W942)</f>
        <v/>
      </c>
      <c r="AW942">
        <f>AV942&amp;IF($X942="","",", "&amp;$X942)</f>
        <v/>
      </c>
      <c r="AX942">
        <f>AW942&amp;IF($Y942="","",", "&amp;$Y942)</f>
        <v/>
      </c>
    </row>
    <row r="943">
      <c r="A943" s="118">
        <f>IF($B943="","",COUNT($B$5:$B943))</f>
        <v/>
      </c>
      <c r="B943" s="80" t="n"/>
      <c r="C943" s="80" t="n"/>
      <c r="D943" s="74" t="n"/>
      <c r="E943" s="74" t="n"/>
      <c r="F943" s="74" t="n"/>
      <c r="G943" s="118">
        <f>IF($F943="","",COUNTIF($F$5:$F943,$F943))</f>
        <v/>
      </c>
      <c r="H943" s="33">
        <f>IF($F943="","",IFERROR(INDEX(사건마스터!$B$5:$B$64,MATCH($F943,사건마스터!$A$5:$A$64,0)),""))</f>
        <v/>
      </c>
      <c r="I943" s="130">
        <f>IF($F943="","",IFERROR(INDEX(사건마스터!$C$5:$C$64,MATCH($F943,사건마스터!$A$5:$A$64,0)),""))</f>
        <v/>
      </c>
      <c r="J943" s="136">
        <f>IF($F943="","",IFERROR(INDEX(사건마스터!$H$5:$H$64,MATCH($F943,사건마스터!$A$5:$A$64,0)),""))</f>
        <v/>
      </c>
      <c r="K943" s="136">
        <f>IF($F943="","",IFERROR(INDEX(사건마스터!$AH$5:$AH$64,MATCH($F943,사건마스터!$A$5:$A$64,0)),""))</f>
        <v/>
      </c>
      <c r="L943" s="136">
        <f>IF($F943="","",IFERROR(INDEX(사건마스터!$AI$5:$AI$64,MATCH($F943,사건마스터!$A$5:$A$64,0)),""))</f>
        <v/>
      </c>
      <c r="M943" s="136">
        <f>IF($F943="","",IFERROR(INDEX(사건마스터!$AJ$5:$AJ$64,MATCH($F943,사건마스터!$A$5:$A$64,0)),""))</f>
        <v/>
      </c>
      <c r="N943" s="136">
        <f>IF($F943="","",IFERROR(INDEX(사건마스터!$AK$5:$AK$64,MATCH($F943,사건마스터!$A$5:$A$64,0)),""))</f>
        <v/>
      </c>
      <c r="O943" s="136">
        <f>IF($F943="","",IFERROR(INDEX(사건마스터!$AL$5:$AL$64,MATCH($F943,사건마스터!$A$5:$A$64,0)),""))</f>
        <v/>
      </c>
      <c r="P943" s="136">
        <f>IF($F943="","",IFERROR(INDEX(사건마스터!$AM$5:$AM$64,MATCH($F943,사건마스터!$A$5:$A$64,0)),""))</f>
        <v/>
      </c>
      <c r="Q943" s="136">
        <f>IF($F943="","",IFERROR(INDEX(사건마스터!$AN$5:$AN$64,MATCH($F943,사건마스터!$A$5:$A$64,0)),""))</f>
        <v/>
      </c>
      <c r="R943" s="136">
        <f>IF($F943="","",IFERROR(INDEX(사건마스터!$AO$5:$AO$64,MATCH($F943,사건마스터!$A$5:$A$64,0)),""))</f>
        <v/>
      </c>
      <c r="S943" s="136">
        <f>IF($F943="","",IFERROR(INDEX(사건마스터!$AP$5:$AP$64,MATCH($F943,사건마스터!$A$5:$A$64,0)),""))</f>
        <v/>
      </c>
      <c r="T943" s="136">
        <f>IF($F943="","",IFERROR(INDEX(사건마스터!$AQ$5:$AQ$64,MATCH($F943,사건마스터!$A$5:$A$64,0)),""))</f>
        <v/>
      </c>
      <c r="U943" s="136">
        <f>IF($F943="","",IFERROR(INDEX(사건마스터!$AR$5:$AR$64,MATCH($F943,사건마스터!$A$5:$A$64,0)),""))</f>
        <v/>
      </c>
      <c r="V943" s="136">
        <f>IF($F943="","",IFERROR(INDEX(사건마스터!$AS$5:$AS$64,MATCH($F943,사건마스터!$A$5:$A$64,0)),""))</f>
        <v/>
      </c>
      <c r="W943" s="136">
        <f>IF($F943="","",IFERROR(INDEX(사건마스터!$AT$5:$AT$64,MATCH($F943,사건마스터!$A$5:$A$64,0)),""))</f>
        <v/>
      </c>
      <c r="X943" s="136">
        <f>IF($F943="","",IFERROR(INDEX(사건마스터!$AU$5:$AU$64,MATCH($F943,사건마스터!$A$5:$A$64,0)),""))</f>
        <v/>
      </c>
      <c r="Y943" s="136">
        <f>IF($F943="","",IFERROR(INDEX(사건마스터!$AV$5:$AV$64,MATCH($F943,사건마스터!$A$5:$A$64,0)),""))</f>
        <v/>
      </c>
      <c r="Z943" s="118">
        <f>IF(COUNTBLANK($J943:$Y943)=16,"",16-COUNTBLANK($J943:$Y943))</f>
        <v/>
      </c>
      <c r="AA943" s="33">
        <f>IF($J943="",MID($AX943,3,255),$J943&amp;$AX943)</f>
        <v/>
      </c>
      <c r="AB943" s="130">
        <f>IF($J943="","",IFERROR(INDEX(코드설정!$D$5:$D$24,MATCH($J943,코드설정!$C$5:$C$24,0)),""))</f>
        <v/>
      </c>
      <c r="AC943" s="36" t="n"/>
      <c r="AD943" s="37" t="n"/>
      <c r="AE943" s="38" t="n"/>
      <c r="AF943" s="118">
        <f>IF(OR($B943="",$C943=""),"",$C943-$B943+1)</f>
        <v/>
      </c>
      <c r="AG943" s="74" t="n"/>
      <c r="AH943" s="36" t="n"/>
      <c r="AJ943">
        <f>IF($K943="","",", "&amp;$K943)</f>
        <v/>
      </c>
      <c r="AK943">
        <f>AJ943&amp;IF($L943="","",", "&amp;$L943)</f>
        <v/>
      </c>
      <c r="AL943">
        <f>AK943&amp;IF($M943="","",", "&amp;$M943)</f>
        <v/>
      </c>
      <c r="AM943">
        <f>AL943&amp;IF($N943="","",", "&amp;$N943)</f>
        <v/>
      </c>
      <c r="AN943">
        <f>AM943&amp;IF($O943="","",", "&amp;$O943)</f>
        <v/>
      </c>
      <c r="AO943">
        <f>AN943&amp;IF($P943="","",", "&amp;$P943)</f>
        <v/>
      </c>
      <c r="AP943">
        <f>AO943&amp;IF($Q943="","",", "&amp;$Q943)</f>
        <v/>
      </c>
      <c r="AQ943">
        <f>AP943&amp;IF($R943="","",", "&amp;$R943)</f>
        <v/>
      </c>
      <c r="AR943">
        <f>AQ943&amp;IF($S943="","",", "&amp;$S943)</f>
        <v/>
      </c>
      <c r="AS943">
        <f>AR943&amp;IF($T943="","",", "&amp;$T943)</f>
        <v/>
      </c>
      <c r="AT943">
        <f>AS943&amp;IF($U943="","",", "&amp;$U943)</f>
        <v/>
      </c>
      <c r="AU943">
        <f>AT943&amp;IF($V943="","",", "&amp;$V943)</f>
        <v/>
      </c>
      <c r="AV943">
        <f>AU943&amp;IF($W943="","",", "&amp;$W943)</f>
        <v/>
      </c>
      <c r="AW943">
        <f>AV943&amp;IF($X943="","",", "&amp;$X943)</f>
        <v/>
      </c>
      <c r="AX943">
        <f>AW943&amp;IF($Y943="","",", "&amp;$Y943)</f>
        <v/>
      </c>
    </row>
    <row r="944">
      <c r="A944" s="118">
        <f>IF($B944="","",COUNT($B$5:$B944))</f>
        <v/>
      </c>
      <c r="B944" s="80" t="n"/>
      <c r="C944" s="80" t="n"/>
      <c r="D944" s="74" t="n"/>
      <c r="E944" s="74" t="n"/>
      <c r="F944" s="74" t="n"/>
      <c r="G944" s="118">
        <f>IF($F944="","",COUNTIF($F$5:$F944,$F944))</f>
        <v/>
      </c>
      <c r="H944" s="33">
        <f>IF($F944="","",IFERROR(INDEX(사건마스터!$B$5:$B$64,MATCH($F944,사건마스터!$A$5:$A$64,0)),""))</f>
        <v/>
      </c>
      <c r="I944" s="130">
        <f>IF($F944="","",IFERROR(INDEX(사건마스터!$C$5:$C$64,MATCH($F944,사건마스터!$A$5:$A$64,0)),""))</f>
        <v/>
      </c>
      <c r="J944" s="136">
        <f>IF($F944="","",IFERROR(INDEX(사건마스터!$H$5:$H$64,MATCH($F944,사건마스터!$A$5:$A$64,0)),""))</f>
        <v/>
      </c>
      <c r="K944" s="136">
        <f>IF($F944="","",IFERROR(INDEX(사건마스터!$AH$5:$AH$64,MATCH($F944,사건마스터!$A$5:$A$64,0)),""))</f>
        <v/>
      </c>
      <c r="L944" s="136">
        <f>IF($F944="","",IFERROR(INDEX(사건마스터!$AI$5:$AI$64,MATCH($F944,사건마스터!$A$5:$A$64,0)),""))</f>
        <v/>
      </c>
      <c r="M944" s="136">
        <f>IF($F944="","",IFERROR(INDEX(사건마스터!$AJ$5:$AJ$64,MATCH($F944,사건마스터!$A$5:$A$64,0)),""))</f>
        <v/>
      </c>
      <c r="N944" s="136">
        <f>IF($F944="","",IFERROR(INDEX(사건마스터!$AK$5:$AK$64,MATCH($F944,사건마스터!$A$5:$A$64,0)),""))</f>
        <v/>
      </c>
      <c r="O944" s="136">
        <f>IF($F944="","",IFERROR(INDEX(사건마스터!$AL$5:$AL$64,MATCH($F944,사건마스터!$A$5:$A$64,0)),""))</f>
        <v/>
      </c>
      <c r="P944" s="136">
        <f>IF($F944="","",IFERROR(INDEX(사건마스터!$AM$5:$AM$64,MATCH($F944,사건마스터!$A$5:$A$64,0)),""))</f>
        <v/>
      </c>
      <c r="Q944" s="136">
        <f>IF($F944="","",IFERROR(INDEX(사건마스터!$AN$5:$AN$64,MATCH($F944,사건마스터!$A$5:$A$64,0)),""))</f>
        <v/>
      </c>
      <c r="R944" s="136">
        <f>IF($F944="","",IFERROR(INDEX(사건마스터!$AO$5:$AO$64,MATCH($F944,사건마스터!$A$5:$A$64,0)),""))</f>
        <v/>
      </c>
      <c r="S944" s="136">
        <f>IF($F944="","",IFERROR(INDEX(사건마스터!$AP$5:$AP$64,MATCH($F944,사건마스터!$A$5:$A$64,0)),""))</f>
        <v/>
      </c>
      <c r="T944" s="136">
        <f>IF($F944="","",IFERROR(INDEX(사건마스터!$AQ$5:$AQ$64,MATCH($F944,사건마스터!$A$5:$A$64,0)),""))</f>
        <v/>
      </c>
      <c r="U944" s="136">
        <f>IF($F944="","",IFERROR(INDEX(사건마스터!$AR$5:$AR$64,MATCH($F944,사건마스터!$A$5:$A$64,0)),""))</f>
        <v/>
      </c>
      <c r="V944" s="136">
        <f>IF($F944="","",IFERROR(INDEX(사건마스터!$AS$5:$AS$64,MATCH($F944,사건마스터!$A$5:$A$64,0)),""))</f>
        <v/>
      </c>
      <c r="W944" s="136">
        <f>IF($F944="","",IFERROR(INDEX(사건마스터!$AT$5:$AT$64,MATCH($F944,사건마스터!$A$5:$A$64,0)),""))</f>
        <v/>
      </c>
      <c r="X944" s="136">
        <f>IF($F944="","",IFERROR(INDEX(사건마스터!$AU$5:$AU$64,MATCH($F944,사건마스터!$A$5:$A$64,0)),""))</f>
        <v/>
      </c>
      <c r="Y944" s="136">
        <f>IF($F944="","",IFERROR(INDEX(사건마스터!$AV$5:$AV$64,MATCH($F944,사건마스터!$A$5:$A$64,0)),""))</f>
        <v/>
      </c>
      <c r="Z944" s="118">
        <f>IF(COUNTBLANK($J944:$Y944)=16,"",16-COUNTBLANK($J944:$Y944))</f>
        <v/>
      </c>
      <c r="AA944" s="33">
        <f>IF($J944="",MID($AX944,3,255),$J944&amp;$AX944)</f>
        <v/>
      </c>
      <c r="AB944" s="130">
        <f>IF($J944="","",IFERROR(INDEX(코드설정!$D$5:$D$24,MATCH($J944,코드설정!$C$5:$C$24,0)),""))</f>
        <v/>
      </c>
      <c r="AC944" s="36" t="n"/>
      <c r="AD944" s="37" t="n"/>
      <c r="AE944" s="38" t="n"/>
      <c r="AF944" s="118">
        <f>IF(OR($B944="",$C944=""),"",$C944-$B944+1)</f>
        <v/>
      </c>
      <c r="AG944" s="74" t="n"/>
      <c r="AH944" s="36" t="n"/>
      <c r="AJ944">
        <f>IF($K944="","",", "&amp;$K944)</f>
        <v/>
      </c>
      <c r="AK944">
        <f>AJ944&amp;IF($L944="","",", "&amp;$L944)</f>
        <v/>
      </c>
      <c r="AL944">
        <f>AK944&amp;IF($M944="","",", "&amp;$M944)</f>
        <v/>
      </c>
      <c r="AM944">
        <f>AL944&amp;IF($N944="","",", "&amp;$N944)</f>
        <v/>
      </c>
      <c r="AN944">
        <f>AM944&amp;IF($O944="","",", "&amp;$O944)</f>
        <v/>
      </c>
      <c r="AO944">
        <f>AN944&amp;IF($P944="","",", "&amp;$P944)</f>
        <v/>
      </c>
      <c r="AP944">
        <f>AO944&amp;IF($Q944="","",", "&amp;$Q944)</f>
        <v/>
      </c>
      <c r="AQ944">
        <f>AP944&amp;IF($R944="","",", "&amp;$R944)</f>
        <v/>
      </c>
      <c r="AR944">
        <f>AQ944&amp;IF($S944="","",", "&amp;$S944)</f>
        <v/>
      </c>
      <c r="AS944">
        <f>AR944&amp;IF($T944="","",", "&amp;$T944)</f>
        <v/>
      </c>
      <c r="AT944">
        <f>AS944&amp;IF($U944="","",", "&amp;$U944)</f>
        <v/>
      </c>
      <c r="AU944">
        <f>AT944&amp;IF($V944="","",", "&amp;$V944)</f>
        <v/>
      </c>
      <c r="AV944">
        <f>AU944&amp;IF($W944="","",", "&amp;$W944)</f>
        <v/>
      </c>
      <c r="AW944">
        <f>AV944&amp;IF($X944="","",", "&amp;$X944)</f>
        <v/>
      </c>
      <c r="AX944">
        <f>AW944&amp;IF($Y944="","",", "&amp;$Y944)</f>
        <v/>
      </c>
    </row>
    <row r="945">
      <c r="A945" s="118">
        <f>IF($B945="","",COUNT($B$5:$B945))</f>
        <v/>
      </c>
      <c r="B945" s="80" t="n"/>
      <c r="C945" s="80" t="n"/>
      <c r="D945" s="74" t="n"/>
      <c r="E945" s="74" t="n"/>
      <c r="F945" s="74" t="n"/>
      <c r="G945" s="118">
        <f>IF($F945="","",COUNTIF($F$5:$F945,$F945))</f>
        <v/>
      </c>
      <c r="H945" s="33">
        <f>IF($F945="","",IFERROR(INDEX(사건마스터!$B$5:$B$64,MATCH($F945,사건마스터!$A$5:$A$64,0)),""))</f>
        <v/>
      </c>
      <c r="I945" s="130">
        <f>IF($F945="","",IFERROR(INDEX(사건마스터!$C$5:$C$64,MATCH($F945,사건마스터!$A$5:$A$64,0)),""))</f>
        <v/>
      </c>
      <c r="J945" s="136">
        <f>IF($F945="","",IFERROR(INDEX(사건마스터!$H$5:$H$64,MATCH($F945,사건마스터!$A$5:$A$64,0)),""))</f>
        <v/>
      </c>
      <c r="K945" s="136">
        <f>IF($F945="","",IFERROR(INDEX(사건마스터!$AH$5:$AH$64,MATCH($F945,사건마스터!$A$5:$A$64,0)),""))</f>
        <v/>
      </c>
      <c r="L945" s="136">
        <f>IF($F945="","",IFERROR(INDEX(사건마스터!$AI$5:$AI$64,MATCH($F945,사건마스터!$A$5:$A$64,0)),""))</f>
        <v/>
      </c>
      <c r="M945" s="136">
        <f>IF($F945="","",IFERROR(INDEX(사건마스터!$AJ$5:$AJ$64,MATCH($F945,사건마스터!$A$5:$A$64,0)),""))</f>
        <v/>
      </c>
      <c r="N945" s="136">
        <f>IF($F945="","",IFERROR(INDEX(사건마스터!$AK$5:$AK$64,MATCH($F945,사건마스터!$A$5:$A$64,0)),""))</f>
        <v/>
      </c>
      <c r="O945" s="136">
        <f>IF($F945="","",IFERROR(INDEX(사건마스터!$AL$5:$AL$64,MATCH($F945,사건마스터!$A$5:$A$64,0)),""))</f>
        <v/>
      </c>
      <c r="P945" s="136">
        <f>IF($F945="","",IFERROR(INDEX(사건마스터!$AM$5:$AM$64,MATCH($F945,사건마스터!$A$5:$A$64,0)),""))</f>
        <v/>
      </c>
      <c r="Q945" s="136">
        <f>IF($F945="","",IFERROR(INDEX(사건마스터!$AN$5:$AN$64,MATCH($F945,사건마스터!$A$5:$A$64,0)),""))</f>
        <v/>
      </c>
      <c r="R945" s="136">
        <f>IF($F945="","",IFERROR(INDEX(사건마스터!$AO$5:$AO$64,MATCH($F945,사건마스터!$A$5:$A$64,0)),""))</f>
        <v/>
      </c>
      <c r="S945" s="136">
        <f>IF($F945="","",IFERROR(INDEX(사건마스터!$AP$5:$AP$64,MATCH($F945,사건마스터!$A$5:$A$64,0)),""))</f>
        <v/>
      </c>
      <c r="T945" s="136">
        <f>IF($F945="","",IFERROR(INDEX(사건마스터!$AQ$5:$AQ$64,MATCH($F945,사건마스터!$A$5:$A$64,0)),""))</f>
        <v/>
      </c>
      <c r="U945" s="136">
        <f>IF($F945="","",IFERROR(INDEX(사건마스터!$AR$5:$AR$64,MATCH($F945,사건마스터!$A$5:$A$64,0)),""))</f>
        <v/>
      </c>
      <c r="V945" s="136">
        <f>IF($F945="","",IFERROR(INDEX(사건마스터!$AS$5:$AS$64,MATCH($F945,사건마스터!$A$5:$A$64,0)),""))</f>
        <v/>
      </c>
      <c r="W945" s="136">
        <f>IF($F945="","",IFERROR(INDEX(사건마스터!$AT$5:$AT$64,MATCH($F945,사건마스터!$A$5:$A$64,0)),""))</f>
        <v/>
      </c>
      <c r="X945" s="136">
        <f>IF($F945="","",IFERROR(INDEX(사건마스터!$AU$5:$AU$64,MATCH($F945,사건마스터!$A$5:$A$64,0)),""))</f>
        <v/>
      </c>
      <c r="Y945" s="136">
        <f>IF($F945="","",IFERROR(INDEX(사건마스터!$AV$5:$AV$64,MATCH($F945,사건마스터!$A$5:$A$64,0)),""))</f>
        <v/>
      </c>
      <c r="Z945" s="118">
        <f>IF(COUNTBLANK($J945:$Y945)=16,"",16-COUNTBLANK($J945:$Y945))</f>
        <v/>
      </c>
      <c r="AA945" s="33">
        <f>IF($J945="",MID($AX945,3,255),$J945&amp;$AX945)</f>
        <v/>
      </c>
      <c r="AB945" s="130">
        <f>IF($J945="","",IFERROR(INDEX(코드설정!$D$5:$D$24,MATCH($J945,코드설정!$C$5:$C$24,0)),""))</f>
        <v/>
      </c>
      <c r="AC945" s="36" t="n"/>
      <c r="AD945" s="37" t="n"/>
      <c r="AE945" s="38" t="n"/>
      <c r="AF945" s="118">
        <f>IF(OR($B945="",$C945=""),"",$C945-$B945+1)</f>
        <v/>
      </c>
      <c r="AG945" s="74" t="n"/>
      <c r="AH945" s="36" t="n"/>
      <c r="AJ945">
        <f>IF($K945="","",", "&amp;$K945)</f>
        <v/>
      </c>
      <c r="AK945">
        <f>AJ945&amp;IF($L945="","",", "&amp;$L945)</f>
        <v/>
      </c>
      <c r="AL945">
        <f>AK945&amp;IF($M945="","",", "&amp;$M945)</f>
        <v/>
      </c>
      <c r="AM945">
        <f>AL945&amp;IF($N945="","",", "&amp;$N945)</f>
        <v/>
      </c>
      <c r="AN945">
        <f>AM945&amp;IF($O945="","",", "&amp;$O945)</f>
        <v/>
      </c>
      <c r="AO945">
        <f>AN945&amp;IF($P945="","",", "&amp;$P945)</f>
        <v/>
      </c>
      <c r="AP945">
        <f>AO945&amp;IF($Q945="","",", "&amp;$Q945)</f>
        <v/>
      </c>
      <c r="AQ945">
        <f>AP945&amp;IF($R945="","",", "&amp;$R945)</f>
        <v/>
      </c>
      <c r="AR945">
        <f>AQ945&amp;IF($S945="","",", "&amp;$S945)</f>
        <v/>
      </c>
      <c r="AS945">
        <f>AR945&amp;IF($T945="","",", "&amp;$T945)</f>
        <v/>
      </c>
      <c r="AT945">
        <f>AS945&amp;IF($U945="","",", "&amp;$U945)</f>
        <v/>
      </c>
      <c r="AU945">
        <f>AT945&amp;IF($V945="","",", "&amp;$V945)</f>
        <v/>
      </c>
      <c r="AV945">
        <f>AU945&amp;IF($W945="","",", "&amp;$W945)</f>
        <v/>
      </c>
      <c r="AW945">
        <f>AV945&amp;IF($X945="","",", "&amp;$X945)</f>
        <v/>
      </c>
      <c r="AX945">
        <f>AW945&amp;IF($Y945="","",", "&amp;$Y945)</f>
        <v/>
      </c>
    </row>
    <row r="946">
      <c r="A946" s="118">
        <f>IF($B946="","",COUNT($B$5:$B946))</f>
        <v/>
      </c>
      <c r="B946" s="80" t="n"/>
      <c r="C946" s="80" t="n"/>
      <c r="D946" s="74" t="n"/>
      <c r="E946" s="74" t="n"/>
      <c r="F946" s="74" t="n"/>
      <c r="G946" s="118">
        <f>IF($F946="","",COUNTIF($F$5:$F946,$F946))</f>
        <v/>
      </c>
      <c r="H946" s="33">
        <f>IF($F946="","",IFERROR(INDEX(사건마스터!$B$5:$B$64,MATCH($F946,사건마스터!$A$5:$A$64,0)),""))</f>
        <v/>
      </c>
      <c r="I946" s="130">
        <f>IF($F946="","",IFERROR(INDEX(사건마스터!$C$5:$C$64,MATCH($F946,사건마스터!$A$5:$A$64,0)),""))</f>
        <v/>
      </c>
      <c r="J946" s="136">
        <f>IF($F946="","",IFERROR(INDEX(사건마스터!$H$5:$H$64,MATCH($F946,사건마스터!$A$5:$A$64,0)),""))</f>
        <v/>
      </c>
      <c r="K946" s="136">
        <f>IF($F946="","",IFERROR(INDEX(사건마스터!$AH$5:$AH$64,MATCH($F946,사건마스터!$A$5:$A$64,0)),""))</f>
        <v/>
      </c>
      <c r="L946" s="136">
        <f>IF($F946="","",IFERROR(INDEX(사건마스터!$AI$5:$AI$64,MATCH($F946,사건마스터!$A$5:$A$64,0)),""))</f>
        <v/>
      </c>
      <c r="M946" s="136">
        <f>IF($F946="","",IFERROR(INDEX(사건마스터!$AJ$5:$AJ$64,MATCH($F946,사건마스터!$A$5:$A$64,0)),""))</f>
        <v/>
      </c>
      <c r="N946" s="136">
        <f>IF($F946="","",IFERROR(INDEX(사건마스터!$AK$5:$AK$64,MATCH($F946,사건마스터!$A$5:$A$64,0)),""))</f>
        <v/>
      </c>
      <c r="O946" s="136">
        <f>IF($F946="","",IFERROR(INDEX(사건마스터!$AL$5:$AL$64,MATCH($F946,사건마스터!$A$5:$A$64,0)),""))</f>
        <v/>
      </c>
      <c r="P946" s="136">
        <f>IF($F946="","",IFERROR(INDEX(사건마스터!$AM$5:$AM$64,MATCH($F946,사건마스터!$A$5:$A$64,0)),""))</f>
        <v/>
      </c>
      <c r="Q946" s="136">
        <f>IF($F946="","",IFERROR(INDEX(사건마스터!$AN$5:$AN$64,MATCH($F946,사건마스터!$A$5:$A$64,0)),""))</f>
        <v/>
      </c>
      <c r="R946" s="136">
        <f>IF($F946="","",IFERROR(INDEX(사건마스터!$AO$5:$AO$64,MATCH($F946,사건마스터!$A$5:$A$64,0)),""))</f>
        <v/>
      </c>
      <c r="S946" s="136">
        <f>IF($F946="","",IFERROR(INDEX(사건마스터!$AP$5:$AP$64,MATCH($F946,사건마스터!$A$5:$A$64,0)),""))</f>
        <v/>
      </c>
      <c r="T946" s="136">
        <f>IF($F946="","",IFERROR(INDEX(사건마스터!$AQ$5:$AQ$64,MATCH($F946,사건마스터!$A$5:$A$64,0)),""))</f>
        <v/>
      </c>
      <c r="U946" s="136">
        <f>IF($F946="","",IFERROR(INDEX(사건마스터!$AR$5:$AR$64,MATCH($F946,사건마스터!$A$5:$A$64,0)),""))</f>
        <v/>
      </c>
      <c r="V946" s="136">
        <f>IF($F946="","",IFERROR(INDEX(사건마스터!$AS$5:$AS$64,MATCH($F946,사건마스터!$A$5:$A$64,0)),""))</f>
        <v/>
      </c>
      <c r="W946" s="136">
        <f>IF($F946="","",IFERROR(INDEX(사건마스터!$AT$5:$AT$64,MATCH($F946,사건마스터!$A$5:$A$64,0)),""))</f>
        <v/>
      </c>
      <c r="X946" s="136">
        <f>IF($F946="","",IFERROR(INDEX(사건마스터!$AU$5:$AU$64,MATCH($F946,사건마스터!$A$5:$A$64,0)),""))</f>
        <v/>
      </c>
      <c r="Y946" s="136">
        <f>IF($F946="","",IFERROR(INDEX(사건마스터!$AV$5:$AV$64,MATCH($F946,사건마스터!$A$5:$A$64,0)),""))</f>
        <v/>
      </c>
      <c r="Z946" s="118">
        <f>IF(COUNTBLANK($J946:$Y946)=16,"",16-COUNTBLANK($J946:$Y946))</f>
        <v/>
      </c>
      <c r="AA946" s="33">
        <f>IF($J946="",MID($AX946,3,255),$J946&amp;$AX946)</f>
        <v/>
      </c>
      <c r="AB946" s="130">
        <f>IF($J946="","",IFERROR(INDEX(코드설정!$D$5:$D$24,MATCH($J946,코드설정!$C$5:$C$24,0)),""))</f>
        <v/>
      </c>
      <c r="AC946" s="36" t="n"/>
      <c r="AD946" s="37" t="n"/>
      <c r="AE946" s="38" t="n"/>
      <c r="AF946" s="118">
        <f>IF(OR($B946="",$C946=""),"",$C946-$B946+1)</f>
        <v/>
      </c>
      <c r="AG946" s="74" t="n"/>
      <c r="AH946" s="36" t="n"/>
      <c r="AJ946">
        <f>IF($K946="","",", "&amp;$K946)</f>
        <v/>
      </c>
      <c r="AK946">
        <f>AJ946&amp;IF($L946="","",", "&amp;$L946)</f>
        <v/>
      </c>
      <c r="AL946">
        <f>AK946&amp;IF($M946="","",", "&amp;$M946)</f>
        <v/>
      </c>
      <c r="AM946">
        <f>AL946&amp;IF($N946="","",", "&amp;$N946)</f>
        <v/>
      </c>
      <c r="AN946">
        <f>AM946&amp;IF($O946="","",", "&amp;$O946)</f>
        <v/>
      </c>
      <c r="AO946">
        <f>AN946&amp;IF($P946="","",", "&amp;$P946)</f>
        <v/>
      </c>
      <c r="AP946">
        <f>AO946&amp;IF($Q946="","",", "&amp;$Q946)</f>
        <v/>
      </c>
      <c r="AQ946">
        <f>AP946&amp;IF($R946="","",", "&amp;$R946)</f>
        <v/>
      </c>
      <c r="AR946">
        <f>AQ946&amp;IF($S946="","",", "&amp;$S946)</f>
        <v/>
      </c>
      <c r="AS946">
        <f>AR946&amp;IF($T946="","",", "&amp;$T946)</f>
        <v/>
      </c>
      <c r="AT946">
        <f>AS946&amp;IF($U946="","",", "&amp;$U946)</f>
        <v/>
      </c>
      <c r="AU946">
        <f>AT946&amp;IF($V946="","",", "&amp;$V946)</f>
        <v/>
      </c>
      <c r="AV946">
        <f>AU946&amp;IF($W946="","",", "&amp;$W946)</f>
        <v/>
      </c>
      <c r="AW946">
        <f>AV946&amp;IF($X946="","",", "&amp;$X946)</f>
        <v/>
      </c>
      <c r="AX946">
        <f>AW946&amp;IF($Y946="","",", "&amp;$Y946)</f>
        <v/>
      </c>
    </row>
    <row r="947">
      <c r="A947" s="118">
        <f>IF($B947="","",COUNT($B$5:$B947))</f>
        <v/>
      </c>
      <c r="B947" s="80" t="n"/>
      <c r="C947" s="80" t="n"/>
      <c r="D947" s="74" t="n"/>
      <c r="E947" s="74" t="n"/>
      <c r="F947" s="74" t="n"/>
      <c r="G947" s="118">
        <f>IF($F947="","",COUNTIF($F$5:$F947,$F947))</f>
        <v/>
      </c>
      <c r="H947" s="33">
        <f>IF($F947="","",IFERROR(INDEX(사건마스터!$B$5:$B$64,MATCH($F947,사건마스터!$A$5:$A$64,0)),""))</f>
        <v/>
      </c>
      <c r="I947" s="130">
        <f>IF($F947="","",IFERROR(INDEX(사건마스터!$C$5:$C$64,MATCH($F947,사건마스터!$A$5:$A$64,0)),""))</f>
        <v/>
      </c>
      <c r="J947" s="136">
        <f>IF($F947="","",IFERROR(INDEX(사건마스터!$H$5:$H$64,MATCH($F947,사건마스터!$A$5:$A$64,0)),""))</f>
        <v/>
      </c>
      <c r="K947" s="136">
        <f>IF($F947="","",IFERROR(INDEX(사건마스터!$AH$5:$AH$64,MATCH($F947,사건마스터!$A$5:$A$64,0)),""))</f>
        <v/>
      </c>
      <c r="L947" s="136">
        <f>IF($F947="","",IFERROR(INDEX(사건마스터!$AI$5:$AI$64,MATCH($F947,사건마스터!$A$5:$A$64,0)),""))</f>
        <v/>
      </c>
      <c r="M947" s="136">
        <f>IF($F947="","",IFERROR(INDEX(사건마스터!$AJ$5:$AJ$64,MATCH($F947,사건마스터!$A$5:$A$64,0)),""))</f>
        <v/>
      </c>
      <c r="N947" s="136">
        <f>IF($F947="","",IFERROR(INDEX(사건마스터!$AK$5:$AK$64,MATCH($F947,사건마스터!$A$5:$A$64,0)),""))</f>
        <v/>
      </c>
      <c r="O947" s="136">
        <f>IF($F947="","",IFERROR(INDEX(사건마스터!$AL$5:$AL$64,MATCH($F947,사건마스터!$A$5:$A$64,0)),""))</f>
        <v/>
      </c>
      <c r="P947" s="136">
        <f>IF($F947="","",IFERROR(INDEX(사건마스터!$AM$5:$AM$64,MATCH($F947,사건마스터!$A$5:$A$64,0)),""))</f>
        <v/>
      </c>
      <c r="Q947" s="136">
        <f>IF($F947="","",IFERROR(INDEX(사건마스터!$AN$5:$AN$64,MATCH($F947,사건마스터!$A$5:$A$64,0)),""))</f>
        <v/>
      </c>
      <c r="R947" s="136">
        <f>IF($F947="","",IFERROR(INDEX(사건마스터!$AO$5:$AO$64,MATCH($F947,사건마스터!$A$5:$A$64,0)),""))</f>
        <v/>
      </c>
      <c r="S947" s="136">
        <f>IF($F947="","",IFERROR(INDEX(사건마스터!$AP$5:$AP$64,MATCH($F947,사건마스터!$A$5:$A$64,0)),""))</f>
        <v/>
      </c>
      <c r="T947" s="136">
        <f>IF($F947="","",IFERROR(INDEX(사건마스터!$AQ$5:$AQ$64,MATCH($F947,사건마스터!$A$5:$A$64,0)),""))</f>
        <v/>
      </c>
      <c r="U947" s="136">
        <f>IF($F947="","",IFERROR(INDEX(사건마스터!$AR$5:$AR$64,MATCH($F947,사건마스터!$A$5:$A$64,0)),""))</f>
        <v/>
      </c>
      <c r="V947" s="136">
        <f>IF($F947="","",IFERROR(INDEX(사건마스터!$AS$5:$AS$64,MATCH($F947,사건마스터!$A$5:$A$64,0)),""))</f>
        <v/>
      </c>
      <c r="W947" s="136">
        <f>IF($F947="","",IFERROR(INDEX(사건마스터!$AT$5:$AT$64,MATCH($F947,사건마스터!$A$5:$A$64,0)),""))</f>
        <v/>
      </c>
      <c r="X947" s="136">
        <f>IF($F947="","",IFERROR(INDEX(사건마스터!$AU$5:$AU$64,MATCH($F947,사건마스터!$A$5:$A$64,0)),""))</f>
        <v/>
      </c>
      <c r="Y947" s="136">
        <f>IF($F947="","",IFERROR(INDEX(사건마스터!$AV$5:$AV$64,MATCH($F947,사건마스터!$A$5:$A$64,0)),""))</f>
        <v/>
      </c>
      <c r="Z947" s="118">
        <f>IF(COUNTBLANK($J947:$Y947)=16,"",16-COUNTBLANK($J947:$Y947))</f>
        <v/>
      </c>
      <c r="AA947" s="33">
        <f>IF($J947="",MID($AX947,3,255),$J947&amp;$AX947)</f>
        <v/>
      </c>
      <c r="AB947" s="130">
        <f>IF($J947="","",IFERROR(INDEX(코드설정!$D$5:$D$24,MATCH($J947,코드설정!$C$5:$C$24,0)),""))</f>
        <v/>
      </c>
      <c r="AC947" s="36" t="n"/>
      <c r="AD947" s="37" t="n"/>
      <c r="AE947" s="38" t="n"/>
      <c r="AF947" s="118">
        <f>IF(OR($B947="",$C947=""),"",$C947-$B947+1)</f>
        <v/>
      </c>
      <c r="AG947" s="74" t="n"/>
      <c r="AH947" s="36" t="n"/>
      <c r="AJ947">
        <f>IF($K947="","",", "&amp;$K947)</f>
        <v/>
      </c>
      <c r="AK947">
        <f>AJ947&amp;IF($L947="","",", "&amp;$L947)</f>
        <v/>
      </c>
      <c r="AL947">
        <f>AK947&amp;IF($M947="","",", "&amp;$M947)</f>
        <v/>
      </c>
      <c r="AM947">
        <f>AL947&amp;IF($N947="","",", "&amp;$N947)</f>
        <v/>
      </c>
      <c r="AN947">
        <f>AM947&amp;IF($O947="","",", "&amp;$O947)</f>
        <v/>
      </c>
      <c r="AO947">
        <f>AN947&amp;IF($P947="","",", "&amp;$P947)</f>
        <v/>
      </c>
      <c r="AP947">
        <f>AO947&amp;IF($Q947="","",", "&amp;$Q947)</f>
        <v/>
      </c>
      <c r="AQ947">
        <f>AP947&amp;IF($R947="","",", "&amp;$R947)</f>
        <v/>
      </c>
      <c r="AR947">
        <f>AQ947&amp;IF($S947="","",", "&amp;$S947)</f>
        <v/>
      </c>
      <c r="AS947">
        <f>AR947&amp;IF($T947="","",", "&amp;$T947)</f>
        <v/>
      </c>
      <c r="AT947">
        <f>AS947&amp;IF($U947="","",", "&amp;$U947)</f>
        <v/>
      </c>
      <c r="AU947">
        <f>AT947&amp;IF($V947="","",", "&amp;$V947)</f>
        <v/>
      </c>
      <c r="AV947">
        <f>AU947&amp;IF($W947="","",", "&amp;$W947)</f>
        <v/>
      </c>
      <c r="AW947">
        <f>AV947&amp;IF($X947="","",", "&amp;$X947)</f>
        <v/>
      </c>
      <c r="AX947">
        <f>AW947&amp;IF($Y947="","",", "&amp;$Y947)</f>
        <v/>
      </c>
    </row>
    <row r="948">
      <c r="A948" s="118">
        <f>IF($B948="","",COUNT($B$5:$B948))</f>
        <v/>
      </c>
      <c r="B948" s="80" t="n"/>
      <c r="C948" s="80" t="n"/>
      <c r="D948" s="74" t="n"/>
      <c r="E948" s="74" t="n"/>
      <c r="F948" s="74" t="n"/>
      <c r="G948" s="118">
        <f>IF($F948="","",COUNTIF($F$5:$F948,$F948))</f>
        <v/>
      </c>
      <c r="H948" s="33">
        <f>IF($F948="","",IFERROR(INDEX(사건마스터!$B$5:$B$64,MATCH($F948,사건마스터!$A$5:$A$64,0)),""))</f>
        <v/>
      </c>
      <c r="I948" s="130">
        <f>IF($F948="","",IFERROR(INDEX(사건마스터!$C$5:$C$64,MATCH($F948,사건마스터!$A$5:$A$64,0)),""))</f>
        <v/>
      </c>
      <c r="J948" s="136">
        <f>IF($F948="","",IFERROR(INDEX(사건마스터!$H$5:$H$64,MATCH($F948,사건마스터!$A$5:$A$64,0)),""))</f>
        <v/>
      </c>
      <c r="K948" s="136">
        <f>IF($F948="","",IFERROR(INDEX(사건마스터!$AH$5:$AH$64,MATCH($F948,사건마스터!$A$5:$A$64,0)),""))</f>
        <v/>
      </c>
      <c r="L948" s="136">
        <f>IF($F948="","",IFERROR(INDEX(사건마스터!$AI$5:$AI$64,MATCH($F948,사건마스터!$A$5:$A$64,0)),""))</f>
        <v/>
      </c>
      <c r="M948" s="136">
        <f>IF($F948="","",IFERROR(INDEX(사건마스터!$AJ$5:$AJ$64,MATCH($F948,사건마스터!$A$5:$A$64,0)),""))</f>
        <v/>
      </c>
      <c r="N948" s="136">
        <f>IF($F948="","",IFERROR(INDEX(사건마스터!$AK$5:$AK$64,MATCH($F948,사건마스터!$A$5:$A$64,0)),""))</f>
        <v/>
      </c>
      <c r="O948" s="136">
        <f>IF($F948="","",IFERROR(INDEX(사건마스터!$AL$5:$AL$64,MATCH($F948,사건마스터!$A$5:$A$64,0)),""))</f>
        <v/>
      </c>
      <c r="P948" s="136">
        <f>IF($F948="","",IFERROR(INDEX(사건마스터!$AM$5:$AM$64,MATCH($F948,사건마스터!$A$5:$A$64,0)),""))</f>
        <v/>
      </c>
      <c r="Q948" s="136">
        <f>IF($F948="","",IFERROR(INDEX(사건마스터!$AN$5:$AN$64,MATCH($F948,사건마스터!$A$5:$A$64,0)),""))</f>
        <v/>
      </c>
      <c r="R948" s="136">
        <f>IF($F948="","",IFERROR(INDEX(사건마스터!$AO$5:$AO$64,MATCH($F948,사건마스터!$A$5:$A$64,0)),""))</f>
        <v/>
      </c>
      <c r="S948" s="136">
        <f>IF($F948="","",IFERROR(INDEX(사건마스터!$AP$5:$AP$64,MATCH($F948,사건마스터!$A$5:$A$64,0)),""))</f>
        <v/>
      </c>
      <c r="T948" s="136">
        <f>IF($F948="","",IFERROR(INDEX(사건마스터!$AQ$5:$AQ$64,MATCH($F948,사건마스터!$A$5:$A$64,0)),""))</f>
        <v/>
      </c>
      <c r="U948" s="136">
        <f>IF($F948="","",IFERROR(INDEX(사건마스터!$AR$5:$AR$64,MATCH($F948,사건마스터!$A$5:$A$64,0)),""))</f>
        <v/>
      </c>
      <c r="V948" s="136">
        <f>IF($F948="","",IFERROR(INDEX(사건마스터!$AS$5:$AS$64,MATCH($F948,사건마스터!$A$5:$A$64,0)),""))</f>
        <v/>
      </c>
      <c r="W948" s="136">
        <f>IF($F948="","",IFERROR(INDEX(사건마스터!$AT$5:$AT$64,MATCH($F948,사건마스터!$A$5:$A$64,0)),""))</f>
        <v/>
      </c>
      <c r="X948" s="136">
        <f>IF($F948="","",IFERROR(INDEX(사건마스터!$AU$5:$AU$64,MATCH($F948,사건마스터!$A$5:$A$64,0)),""))</f>
        <v/>
      </c>
      <c r="Y948" s="136">
        <f>IF($F948="","",IFERROR(INDEX(사건마스터!$AV$5:$AV$64,MATCH($F948,사건마스터!$A$5:$A$64,0)),""))</f>
        <v/>
      </c>
      <c r="Z948" s="118">
        <f>IF(COUNTBLANK($J948:$Y948)=16,"",16-COUNTBLANK($J948:$Y948))</f>
        <v/>
      </c>
      <c r="AA948" s="33">
        <f>IF($J948="",MID($AX948,3,255),$J948&amp;$AX948)</f>
        <v/>
      </c>
      <c r="AB948" s="130">
        <f>IF($J948="","",IFERROR(INDEX(코드설정!$D$5:$D$24,MATCH($J948,코드설정!$C$5:$C$24,0)),""))</f>
        <v/>
      </c>
      <c r="AC948" s="36" t="n"/>
      <c r="AD948" s="37" t="n"/>
      <c r="AE948" s="38" t="n"/>
      <c r="AF948" s="118">
        <f>IF(OR($B948="",$C948=""),"",$C948-$B948+1)</f>
        <v/>
      </c>
      <c r="AG948" s="74" t="n"/>
      <c r="AH948" s="36" t="n"/>
      <c r="AJ948">
        <f>IF($K948="","",", "&amp;$K948)</f>
        <v/>
      </c>
      <c r="AK948">
        <f>AJ948&amp;IF($L948="","",", "&amp;$L948)</f>
        <v/>
      </c>
      <c r="AL948">
        <f>AK948&amp;IF($M948="","",", "&amp;$M948)</f>
        <v/>
      </c>
      <c r="AM948">
        <f>AL948&amp;IF($N948="","",", "&amp;$N948)</f>
        <v/>
      </c>
      <c r="AN948">
        <f>AM948&amp;IF($O948="","",", "&amp;$O948)</f>
        <v/>
      </c>
      <c r="AO948">
        <f>AN948&amp;IF($P948="","",", "&amp;$P948)</f>
        <v/>
      </c>
      <c r="AP948">
        <f>AO948&amp;IF($Q948="","",", "&amp;$Q948)</f>
        <v/>
      </c>
      <c r="AQ948">
        <f>AP948&amp;IF($R948="","",", "&amp;$R948)</f>
        <v/>
      </c>
      <c r="AR948">
        <f>AQ948&amp;IF($S948="","",", "&amp;$S948)</f>
        <v/>
      </c>
      <c r="AS948">
        <f>AR948&amp;IF($T948="","",", "&amp;$T948)</f>
        <v/>
      </c>
      <c r="AT948">
        <f>AS948&amp;IF($U948="","",", "&amp;$U948)</f>
        <v/>
      </c>
      <c r="AU948">
        <f>AT948&amp;IF($V948="","",", "&amp;$V948)</f>
        <v/>
      </c>
      <c r="AV948">
        <f>AU948&amp;IF($W948="","",", "&amp;$W948)</f>
        <v/>
      </c>
      <c r="AW948">
        <f>AV948&amp;IF($X948="","",", "&amp;$X948)</f>
        <v/>
      </c>
      <c r="AX948">
        <f>AW948&amp;IF($Y948="","",", "&amp;$Y948)</f>
        <v/>
      </c>
    </row>
    <row r="949">
      <c r="A949" s="118">
        <f>IF($B949="","",COUNT($B$5:$B949))</f>
        <v/>
      </c>
      <c r="B949" s="80" t="n"/>
      <c r="C949" s="80" t="n"/>
      <c r="D949" s="74" t="n"/>
      <c r="E949" s="74" t="n"/>
      <c r="F949" s="74" t="n"/>
      <c r="G949" s="118">
        <f>IF($F949="","",COUNTIF($F$5:$F949,$F949))</f>
        <v/>
      </c>
      <c r="H949" s="33">
        <f>IF($F949="","",IFERROR(INDEX(사건마스터!$B$5:$B$64,MATCH($F949,사건마스터!$A$5:$A$64,0)),""))</f>
        <v/>
      </c>
      <c r="I949" s="130">
        <f>IF($F949="","",IFERROR(INDEX(사건마스터!$C$5:$C$64,MATCH($F949,사건마스터!$A$5:$A$64,0)),""))</f>
        <v/>
      </c>
      <c r="J949" s="136">
        <f>IF($F949="","",IFERROR(INDEX(사건마스터!$H$5:$H$64,MATCH($F949,사건마스터!$A$5:$A$64,0)),""))</f>
        <v/>
      </c>
      <c r="K949" s="136">
        <f>IF($F949="","",IFERROR(INDEX(사건마스터!$AH$5:$AH$64,MATCH($F949,사건마스터!$A$5:$A$64,0)),""))</f>
        <v/>
      </c>
      <c r="L949" s="136">
        <f>IF($F949="","",IFERROR(INDEX(사건마스터!$AI$5:$AI$64,MATCH($F949,사건마스터!$A$5:$A$64,0)),""))</f>
        <v/>
      </c>
      <c r="M949" s="136">
        <f>IF($F949="","",IFERROR(INDEX(사건마스터!$AJ$5:$AJ$64,MATCH($F949,사건마스터!$A$5:$A$64,0)),""))</f>
        <v/>
      </c>
      <c r="N949" s="136">
        <f>IF($F949="","",IFERROR(INDEX(사건마스터!$AK$5:$AK$64,MATCH($F949,사건마스터!$A$5:$A$64,0)),""))</f>
        <v/>
      </c>
      <c r="O949" s="136">
        <f>IF($F949="","",IFERROR(INDEX(사건마스터!$AL$5:$AL$64,MATCH($F949,사건마스터!$A$5:$A$64,0)),""))</f>
        <v/>
      </c>
      <c r="P949" s="136">
        <f>IF($F949="","",IFERROR(INDEX(사건마스터!$AM$5:$AM$64,MATCH($F949,사건마스터!$A$5:$A$64,0)),""))</f>
        <v/>
      </c>
      <c r="Q949" s="136">
        <f>IF($F949="","",IFERROR(INDEX(사건마스터!$AN$5:$AN$64,MATCH($F949,사건마스터!$A$5:$A$64,0)),""))</f>
        <v/>
      </c>
      <c r="R949" s="136">
        <f>IF($F949="","",IFERROR(INDEX(사건마스터!$AO$5:$AO$64,MATCH($F949,사건마스터!$A$5:$A$64,0)),""))</f>
        <v/>
      </c>
      <c r="S949" s="136">
        <f>IF($F949="","",IFERROR(INDEX(사건마스터!$AP$5:$AP$64,MATCH($F949,사건마스터!$A$5:$A$64,0)),""))</f>
        <v/>
      </c>
      <c r="T949" s="136">
        <f>IF($F949="","",IFERROR(INDEX(사건마스터!$AQ$5:$AQ$64,MATCH($F949,사건마스터!$A$5:$A$64,0)),""))</f>
        <v/>
      </c>
      <c r="U949" s="136">
        <f>IF($F949="","",IFERROR(INDEX(사건마스터!$AR$5:$AR$64,MATCH($F949,사건마스터!$A$5:$A$64,0)),""))</f>
        <v/>
      </c>
      <c r="V949" s="136">
        <f>IF($F949="","",IFERROR(INDEX(사건마스터!$AS$5:$AS$64,MATCH($F949,사건마스터!$A$5:$A$64,0)),""))</f>
        <v/>
      </c>
      <c r="W949" s="136">
        <f>IF($F949="","",IFERROR(INDEX(사건마스터!$AT$5:$AT$64,MATCH($F949,사건마스터!$A$5:$A$64,0)),""))</f>
        <v/>
      </c>
      <c r="X949" s="136">
        <f>IF($F949="","",IFERROR(INDEX(사건마스터!$AU$5:$AU$64,MATCH($F949,사건마스터!$A$5:$A$64,0)),""))</f>
        <v/>
      </c>
      <c r="Y949" s="136">
        <f>IF($F949="","",IFERROR(INDEX(사건마스터!$AV$5:$AV$64,MATCH($F949,사건마스터!$A$5:$A$64,0)),""))</f>
        <v/>
      </c>
      <c r="Z949" s="118">
        <f>IF(COUNTBLANK($J949:$Y949)=16,"",16-COUNTBLANK($J949:$Y949))</f>
        <v/>
      </c>
      <c r="AA949" s="33">
        <f>IF($J949="",MID($AX949,3,255),$J949&amp;$AX949)</f>
        <v/>
      </c>
      <c r="AB949" s="130">
        <f>IF($J949="","",IFERROR(INDEX(코드설정!$D$5:$D$24,MATCH($J949,코드설정!$C$5:$C$24,0)),""))</f>
        <v/>
      </c>
      <c r="AC949" s="36" t="n"/>
      <c r="AD949" s="37" t="n"/>
      <c r="AE949" s="38" t="n"/>
      <c r="AF949" s="118">
        <f>IF(OR($B949="",$C949=""),"",$C949-$B949+1)</f>
        <v/>
      </c>
      <c r="AG949" s="74" t="n"/>
      <c r="AH949" s="36" t="n"/>
      <c r="AJ949">
        <f>IF($K949="","",", "&amp;$K949)</f>
        <v/>
      </c>
      <c r="AK949">
        <f>AJ949&amp;IF($L949="","",", "&amp;$L949)</f>
        <v/>
      </c>
      <c r="AL949">
        <f>AK949&amp;IF($M949="","",", "&amp;$M949)</f>
        <v/>
      </c>
      <c r="AM949">
        <f>AL949&amp;IF($N949="","",", "&amp;$N949)</f>
        <v/>
      </c>
      <c r="AN949">
        <f>AM949&amp;IF($O949="","",", "&amp;$O949)</f>
        <v/>
      </c>
      <c r="AO949">
        <f>AN949&amp;IF($P949="","",", "&amp;$P949)</f>
        <v/>
      </c>
      <c r="AP949">
        <f>AO949&amp;IF($Q949="","",", "&amp;$Q949)</f>
        <v/>
      </c>
      <c r="AQ949">
        <f>AP949&amp;IF($R949="","",", "&amp;$R949)</f>
        <v/>
      </c>
      <c r="AR949">
        <f>AQ949&amp;IF($S949="","",", "&amp;$S949)</f>
        <v/>
      </c>
      <c r="AS949">
        <f>AR949&amp;IF($T949="","",", "&amp;$T949)</f>
        <v/>
      </c>
      <c r="AT949">
        <f>AS949&amp;IF($U949="","",", "&amp;$U949)</f>
        <v/>
      </c>
      <c r="AU949">
        <f>AT949&amp;IF($V949="","",", "&amp;$V949)</f>
        <v/>
      </c>
      <c r="AV949">
        <f>AU949&amp;IF($W949="","",", "&amp;$W949)</f>
        <v/>
      </c>
      <c r="AW949">
        <f>AV949&amp;IF($X949="","",", "&amp;$X949)</f>
        <v/>
      </c>
      <c r="AX949">
        <f>AW949&amp;IF($Y949="","",", "&amp;$Y949)</f>
        <v/>
      </c>
    </row>
    <row r="950">
      <c r="A950" s="118">
        <f>IF($B950="","",COUNT($B$5:$B950))</f>
        <v/>
      </c>
      <c r="B950" s="80" t="n"/>
      <c r="C950" s="80" t="n"/>
      <c r="D950" s="74" t="n"/>
      <c r="E950" s="74" t="n"/>
      <c r="F950" s="74" t="n"/>
      <c r="G950" s="118">
        <f>IF($F950="","",COUNTIF($F$5:$F950,$F950))</f>
        <v/>
      </c>
      <c r="H950" s="33">
        <f>IF($F950="","",IFERROR(INDEX(사건마스터!$B$5:$B$64,MATCH($F950,사건마스터!$A$5:$A$64,0)),""))</f>
        <v/>
      </c>
      <c r="I950" s="130">
        <f>IF($F950="","",IFERROR(INDEX(사건마스터!$C$5:$C$64,MATCH($F950,사건마스터!$A$5:$A$64,0)),""))</f>
        <v/>
      </c>
      <c r="J950" s="136">
        <f>IF($F950="","",IFERROR(INDEX(사건마스터!$H$5:$H$64,MATCH($F950,사건마스터!$A$5:$A$64,0)),""))</f>
        <v/>
      </c>
      <c r="K950" s="136">
        <f>IF($F950="","",IFERROR(INDEX(사건마스터!$AH$5:$AH$64,MATCH($F950,사건마스터!$A$5:$A$64,0)),""))</f>
        <v/>
      </c>
      <c r="L950" s="136">
        <f>IF($F950="","",IFERROR(INDEX(사건마스터!$AI$5:$AI$64,MATCH($F950,사건마스터!$A$5:$A$64,0)),""))</f>
        <v/>
      </c>
      <c r="M950" s="136">
        <f>IF($F950="","",IFERROR(INDEX(사건마스터!$AJ$5:$AJ$64,MATCH($F950,사건마스터!$A$5:$A$64,0)),""))</f>
        <v/>
      </c>
      <c r="N950" s="136">
        <f>IF($F950="","",IFERROR(INDEX(사건마스터!$AK$5:$AK$64,MATCH($F950,사건마스터!$A$5:$A$64,0)),""))</f>
        <v/>
      </c>
      <c r="O950" s="136">
        <f>IF($F950="","",IFERROR(INDEX(사건마스터!$AL$5:$AL$64,MATCH($F950,사건마스터!$A$5:$A$64,0)),""))</f>
        <v/>
      </c>
      <c r="P950" s="136">
        <f>IF($F950="","",IFERROR(INDEX(사건마스터!$AM$5:$AM$64,MATCH($F950,사건마스터!$A$5:$A$64,0)),""))</f>
        <v/>
      </c>
      <c r="Q950" s="136">
        <f>IF($F950="","",IFERROR(INDEX(사건마스터!$AN$5:$AN$64,MATCH($F950,사건마스터!$A$5:$A$64,0)),""))</f>
        <v/>
      </c>
      <c r="R950" s="136">
        <f>IF($F950="","",IFERROR(INDEX(사건마스터!$AO$5:$AO$64,MATCH($F950,사건마스터!$A$5:$A$64,0)),""))</f>
        <v/>
      </c>
      <c r="S950" s="136">
        <f>IF($F950="","",IFERROR(INDEX(사건마스터!$AP$5:$AP$64,MATCH($F950,사건마스터!$A$5:$A$64,0)),""))</f>
        <v/>
      </c>
      <c r="T950" s="136">
        <f>IF($F950="","",IFERROR(INDEX(사건마스터!$AQ$5:$AQ$64,MATCH($F950,사건마스터!$A$5:$A$64,0)),""))</f>
        <v/>
      </c>
      <c r="U950" s="136">
        <f>IF($F950="","",IFERROR(INDEX(사건마스터!$AR$5:$AR$64,MATCH($F950,사건마스터!$A$5:$A$64,0)),""))</f>
        <v/>
      </c>
      <c r="V950" s="136">
        <f>IF($F950="","",IFERROR(INDEX(사건마스터!$AS$5:$AS$64,MATCH($F950,사건마스터!$A$5:$A$64,0)),""))</f>
        <v/>
      </c>
      <c r="W950" s="136">
        <f>IF($F950="","",IFERROR(INDEX(사건마스터!$AT$5:$AT$64,MATCH($F950,사건마스터!$A$5:$A$64,0)),""))</f>
        <v/>
      </c>
      <c r="X950" s="136">
        <f>IF($F950="","",IFERROR(INDEX(사건마스터!$AU$5:$AU$64,MATCH($F950,사건마스터!$A$5:$A$64,0)),""))</f>
        <v/>
      </c>
      <c r="Y950" s="136">
        <f>IF($F950="","",IFERROR(INDEX(사건마스터!$AV$5:$AV$64,MATCH($F950,사건마스터!$A$5:$A$64,0)),""))</f>
        <v/>
      </c>
      <c r="Z950" s="118">
        <f>IF(COUNTBLANK($J950:$Y950)=16,"",16-COUNTBLANK($J950:$Y950))</f>
        <v/>
      </c>
      <c r="AA950" s="33">
        <f>IF($J950="",MID($AX950,3,255),$J950&amp;$AX950)</f>
        <v/>
      </c>
      <c r="AB950" s="130">
        <f>IF($J950="","",IFERROR(INDEX(코드설정!$D$5:$D$24,MATCH($J950,코드설정!$C$5:$C$24,0)),""))</f>
        <v/>
      </c>
      <c r="AC950" s="36" t="n"/>
      <c r="AD950" s="37" t="n"/>
      <c r="AE950" s="38" t="n"/>
      <c r="AF950" s="118">
        <f>IF(OR($B950="",$C950=""),"",$C950-$B950+1)</f>
        <v/>
      </c>
      <c r="AG950" s="74" t="n"/>
      <c r="AH950" s="36" t="n"/>
      <c r="AJ950">
        <f>IF($K950="","",", "&amp;$K950)</f>
        <v/>
      </c>
      <c r="AK950">
        <f>AJ950&amp;IF($L950="","",", "&amp;$L950)</f>
        <v/>
      </c>
      <c r="AL950">
        <f>AK950&amp;IF($M950="","",", "&amp;$M950)</f>
        <v/>
      </c>
      <c r="AM950">
        <f>AL950&amp;IF($N950="","",", "&amp;$N950)</f>
        <v/>
      </c>
      <c r="AN950">
        <f>AM950&amp;IF($O950="","",", "&amp;$O950)</f>
        <v/>
      </c>
      <c r="AO950">
        <f>AN950&amp;IF($P950="","",", "&amp;$P950)</f>
        <v/>
      </c>
      <c r="AP950">
        <f>AO950&amp;IF($Q950="","",", "&amp;$Q950)</f>
        <v/>
      </c>
      <c r="AQ950">
        <f>AP950&amp;IF($R950="","",", "&amp;$R950)</f>
        <v/>
      </c>
      <c r="AR950">
        <f>AQ950&amp;IF($S950="","",", "&amp;$S950)</f>
        <v/>
      </c>
      <c r="AS950">
        <f>AR950&amp;IF($T950="","",", "&amp;$T950)</f>
        <v/>
      </c>
      <c r="AT950">
        <f>AS950&amp;IF($U950="","",", "&amp;$U950)</f>
        <v/>
      </c>
      <c r="AU950">
        <f>AT950&amp;IF($V950="","",", "&amp;$V950)</f>
        <v/>
      </c>
      <c r="AV950">
        <f>AU950&amp;IF($W950="","",", "&amp;$W950)</f>
        <v/>
      </c>
      <c r="AW950">
        <f>AV950&amp;IF($X950="","",", "&amp;$X950)</f>
        <v/>
      </c>
      <c r="AX950">
        <f>AW950&amp;IF($Y950="","",", "&amp;$Y950)</f>
        <v/>
      </c>
    </row>
    <row r="951">
      <c r="A951" s="118">
        <f>IF($B951="","",COUNT($B$5:$B951))</f>
        <v/>
      </c>
      <c r="B951" s="80" t="n"/>
      <c r="C951" s="80" t="n"/>
      <c r="D951" s="74" t="n"/>
      <c r="E951" s="74" t="n"/>
      <c r="F951" s="74" t="n"/>
      <c r="G951" s="118">
        <f>IF($F951="","",COUNTIF($F$5:$F951,$F951))</f>
        <v/>
      </c>
      <c r="H951" s="33">
        <f>IF($F951="","",IFERROR(INDEX(사건마스터!$B$5:$B$64,MATCH($F951,사건마스터!$A$5:$A$64,0)),""))</f>
        <v/>
      </c>
      <c r="I951" s="130">
        <f>IF($F951="","",IFERROR(INDEX(사건마스터!$C$5:$C$64,MATCH($F951,사건마스터!$A$5:$A$64,0)),""))</f>
        <v/>
      </c>
      <c r="J951" s="136">
        <f>IF($F951="","",IFERROR(INDEX(사건마스터!$H$5:$H$64,MATCH($F951,사건마스터!$A$5:$A$64,0)),""))</f>
        <v/>
      </c>
      <c r="K951" s="136">
        <f>IF($F951="","",IFERROR(INDEX(사건마스터!$AH$5:$AH$64,MATCH($F951,사건마스터!$A$5:$A$64,0)),""))</f>
        <v/>
      </c>
      <c r="L951" s="136">
        <f>IF($F951="","",IFERROR(INDEX(사건마스터!$AI$5:$AI$64,MATCH($F951,사건마스터!$A$5:$A$64,0)),""))</f>
        <v/>
      </c>
      <c r="M951" s="136">
        <f>IF($F951="","",IFERROR(INDEX(사건마스터!$AJ$5:$AJ$64,MATCH($F951,사건마스터!$A$5:$A$64,0)),""))</f>
        <v/>
      </c>
      <c r="N951" s="136">
        <f>IF($F951="","",IFERROR(INDEX(사건마스터!$AK$5:$AK$64,MATCH($F951,사건마스터!$A$5:$A$64,0)),""))</f>
        <v/>
      </c>
      <c r="O951" s="136">
        <f>IF($F951="","",IFERROR(INDEX(사건마스터!$AL$5:$AL$64,MATCH($F951,사건마스터!$A$5:$A$64,0)),""))</f>
        <v/>
      </c>
      <c r="P951" s="136">
        <f>IF($F951="","",IFERROR(INDEX(사건마스터!$AM$5:$AM$64,MATCH($F951,사건마스터!$A$5:$A$64,0)),""))</f>
        <v/>
      </c>
      <c r="Q951" s="136">
        <f>IF($F951="","",IFERROR(INDEX(사건마스터!$AN$5:$AN$64,MATCH($F951,사건마스터!$A$5:$A$64,0)),""))</f>
        <v/>
      </c>
      <c r="R951" s="136">
        <f>IF($F951="","",IFERROR(INDEX(사건마스터!$AO$5:$AO$64,MATCH($F951,사건마스터!$A$5:$A$64,0)),""))</f>
        <v/>
      </c>
      <c r="S951" s="136">
        <f>IF($F951="","",IFERROR(INDEX(사건마스터!$AP$5:$AP$64,MATCH($F951,사건마스터!$A$5:$A$64,0)),""))</f>
        <v/>
      </c>
      <c r="T951" s="136">
        <f>IF($F951="","",IFERROR(INDEX(사건마스터!$AQ$5:$AQ$64,MATCH($F951,사건마스터!$A$5:$A$64,0)),""))</f>
        <v/>
      </c>
      <c r="U951" s="136">
        <f>IF($F951="","",IFERROR(INDEX(사건마스터!$AR$5:$AR$64,MATCH($F951,사건마스터!$A$5:$A$64,0)),""))</f>
        <v/>
      </c>
      <c r="V951" s="136">
        <f>IF($F951="","",IFERROR(INDEX(사건마스터!$AS$5:$AS$64,MATCH($F951,사건마스터!$A$5:$A$64,0)),""))</f>
        <v/>
      </c>
      <c r="W951" s="136">
        <f>IF($F951="","",IFERROR(INDEX(사건마스터!$AT$5:$AT$64,MATCH($F951,사건마스터!$A$5:$A$64,0)),""))</f>
        <v/>
      </c>
      <c r="X951" s="136">
        <f>IF($F951="","",IFERROR(INDEX(사건마스터!$AU$5:$AU$64,MATCH($F951,사건마스터!$A$5:$A$64,0)),""))</f>
        <v/>
      </c>
      <c r="Y951" s="136">
        <f>IF($F951="","",IFERROR(INDEX(사건마스터!$AV$5:$AV$64,MATCH($F951,사건마스터!$A$5:$A$64,0)),""))</f>
        <v/>
      </c>
      <c r="Z951" s="118">
        <f>IF(COUNTBLANK($J951:$Y951)=16,"",16-COUNTBLANK($J951:$Y951))</f>
        <v/>
      </c>
      <c r="AA951" s="33">
        <f>IF($J951="",MID($AX951,3,255),$J951&amp;$AX951)</f>
        <v/>
      </c>
      <c r="AB951" s="130">
        <f>IF($J951="","",IFERROR(INDEX(코드설정!$D$5:$D$24,MATCH($J951,코드설정!$C$5:$C$24,0)),""))</f>
        <v/>
      </c>
      <c r="AC951" s="36" t="n"/>
      <c r="AD951" s="37" t="n"/>
      <c r="AE951" s="38" t="n"/>
      <c r="AF951" s="118">
        <f>IF(OR($B951="",$C951=""),"",$C951-$B951+1)</f>
        <v/>
      </c>
      <c r="AG951" s="74" t="n"/>
      <c r="AH951" s="36" t="n"/>
      <c r="AJ951">
        <f>IF($K951="","",", "&amp;$K951)</f>
        <v/>
      </c>
      <c r="AK951">
        <f>AJ951&amp;IF($L951="","",", "&amp;$L951)</f>
        <v/>
      </c>
      <c r="AL951">
        <f>AK951&amp;IF($M951="","",", "&amp;$M951)</f>
        <v/>
      </c>
      <c r="AM951">
        <f>AL951&amp;IF($N951="","",", "&amp;$N951)</f>
        <v/>
      </c>
      <c r="AN951">
        <f>AM951&amp;IF($O951="","",", "&amp;$O951)</f>
        <v/>
      </c>
      <c r="AO951">
        <f>AN951&amp;IF($P951="","",", "&amp;$P951)</f>
        <v/>
      </c>
      <c r="AP951">
        <f>AO951&amp;IF($Q951="","",", "&amp;$Q951)</f>
        <v/>
      </c>
      <c r="AQ951">
        <f>AP951&amp;IF($R951="","",", "&amp;$R951)</f>
        <v/>
      </c>
      <c r="AR951">
        <f>AQ951&amp;IF($S951="","",", "&amp;$S951)</f>
        <v/>
      </c>
      <c r="AS951">
        <f>AR951&amp;IF($T951="","",", "&amp;$T951)</f>
        <v/>
      </c>
      <c r="AT951">
        <f>AS951&amp;IF($U951="","",", "&amp;$U951)</f>
        <v/>
      </c>
      <c r="AU951">
        <f>AT951&amp;IF($V951="","",", "&amp;$V951)</f>
        <v/>
      </c>
      <c r="AV951">
        <f>AU951&amp;IF($W951="","",", "&amp;$W951)</f>
        <v/>
      </c>
      <c r="AW951">
        <f>AV951&amp;IF($X951="","",", "&amp;$X951)</f>
        <v/>
      </c>
      <c r="AX951">
        <f>AW951&amp;IF($Y951="","",", "&amp;$Y951)</f>
        <v/>
      </c>
    </row>
    <row r="952">
      <c r="A952" s="118">
        <f>IF($B952="","",COUNT($B$5:$B952))</f>
        <v/>
      </c>
      <c r="B952" s="80" t="n"/>
      <c r="C952" s="80" t="n"/>
      <c r="D952" s="74" t="n"/>
      <c r="E952" s="74" t="n"/>
      <c r="F952" s="74" t="n"/>
      <c r="G952" s="118">
        <f>IF($F952="","",COUNTIF($F$5:$F952,$F952))</f>
        <v/>
      </c>
      <c r="H952" s="33">
        <f>IF($F952="","",IFERROR(INDEX(사건마스터!$B$5:$B$64,MATCH($F952,사건마스터!$A$5:$A$64,0)),""))</f>
        <v/>
      </c>
      <c r="I952" s="130">
        <f>IF($F952="","",IFERROR(INDEX(사건마스터!$C$5:$C$64,MATCH($F952,사건마스터!$A$5:$A$64,0)),""))</f>
        <v/>
      </c>
      <c r="J952" s="136">
        <f>IF($F952="","",IFERROR(INDEX(사건마스터!$H$5:$H$64,MATCH($F952,사건마스터!$A$5:$A$64,0)),""))</f>
        <v/>
      </c>
      <c r="K952" s="136">
        <f>IF($F952="","",IFERROR(INDEX(사건마스터!$AH$5:$AH$64,MATCH($F952,사건마스터!$A$5:$A$64,0)),""))</f>
        <v/>
      </c>
      <c r="L952" s="136">
        <f>IF($F952="","",IFERROR(INDEX(사건마스터!$AI$5:$AI$64,MATCH($F952,사건마스터!$A$5:$A$64,0)),""))</f>
        <v/>
      </c>
      <c r="M952" s="136">
        <f>IF($F952="","",IFERROR(INDEX(사건마스터!$AJ$5:$AJ$64,MATCH($F952,사건마스터!$A$5:$A$64,0)),""))</f>
        <v/>
      </c>
      <c r="N952" s="136">
        <f>IF($F952="","",IFERROR(INDEX(사건마스터!$AK$5:$AK$64,MATCH($F952,사건마스터!$A$5:$A$64,0)),""))</f>
        <v/>
      </c>
      <c r="O952" s="136">
        <f>IF($F952="","",IFERROR(INDEX(사건마스터!$AL$5:$AL$64,MATCH($F952,사건마스터!$A$5:$A$64,0)),""))</f>
        <v/>
      </c>
      <c r="P952" s="136">
        <f>IF($F952="","",IFERROR(INDEX(사건마스터!$AM$5:$AM$64,MATCH($F952,사건마스터!$A$5:$A$64,0)),""))</f>
        <v/>
      </c>
      <c r="Q952" s="136">
        <f>IF($F952="","",IFERROR(INDEX(사건마스터!$AN$5:$AN$64,MATCH($F952,사건마스터!$A$5:$A$64,0)),""))</f>
        <v/>
      </c>
      <c r="R952" s="136">
        <f>IF($F952="","",IFERROR(INDEX(사건마스터!$AO$5:$AO$64,MATCH($F952,사건마스터!$A$5:$A$64,0)),""))</f>
        <v/>
      </c>
      <c r="S952" s="136">
        <f>IF($F952="","",IFERROR(INDEX(사건마스터!$AP$5:$AP$64,MATCH($F952,사건마스터!$A$5:$A$64,0)),""))</f>
        <v/>
      </c>
      <c r="T952" s="136">
        <f>IF($F952="","",IFERROR(INDEX(사건마스터!$AQ$5:$AQ$64,MATCH($F952,사건마스터!$A$5:$A$64,0)),""))</f>
        <v/>
      </c>
      <c r="U952" s="136">
        <f>IF($F952="","",IFERROR(INDEX(사건마스터!$AR$5:$AR$64,MATCH($F952,사건마스터!$A$5:$A$64,0)),""))</f>
        <v/>
      </c>
      <c r="V952" s="136">
        <f>IF($F952="","",IFERROR(INDEX(사건마스터!$AS$5:$AS$64,MATCH($F952,사건마스터!$A$5:$A$64,0)),""))</f>
        <v/>
      </c>
      <c r="W952" s="136">
        <f>IF($F952="","",IFERROR(INDEX(사건마스터!$AT$5:$AT$64,MATCH($F952,사건마스터!$A$5:$A$64,0)),""))</f>
        <v/>
      </c>
      <c r="X952" s="136">
        <f>IF($F952="","",IFERROR(INDEX(사건마스터!$AU$5:$AU$64,MATCH($F952,사건마스터!$A$5:$A$64,0)),""))</f>
        <v/>
      </c>
      <c r="Y952" s="136">
        <f>IF($F952="","",IFERROR(INDEX(사건마스터!$AV$5:$AV$64,MATCH($F952,사건마스터!$A$5:$A$64,0)),""))</f>
        <v/>
      </c>
      <c r="Z952" s="118">
        <f>IF(COUNTBLANK($J952:$Y952)=16,"",16-COUNTBLANK($J952:$Y952))</f>
        <v/>
      </c>
      <c r="AA952" s="33">
        <f>IF($J952="",MID($AX952,3,255),$J952&amp;$AX952)</f>
        <v/>
      </c>
      <c r="AB952" s="130">
        <f>IF($J952="","",IFERROR(INDEX(코드설정!$D$5:$D$24,MATCH($J952,코드설정!$C$5:$C$24,0)),""))</f>
        <v/>
      </c>
      <c r="AC952" s="36" t="n"/>
      <c r="AD952" s="37" t="n"/>
      <c r="AE952" s="38" t="n"/>
      <c r="AF952" s="118">
        <f>IF(OR($B952="",$C952=""),"",$C952-$B952+1)</f>
        <v/>
      </c>
      <c r="AG952" s="74" t="n"/>
      <c r="AH952" s="36" t="n"/>
      <c r="AJ952">
        <f>IF($K952="","",", "&amp;$K952)</f>
        <v/>
      </c>
      <c r="AK952">
        <f>AJ952&amp;IF($L952="","",", "&amp;$L952)</f>
        <v/>
      </c>
      <c r="AL952">
        <f>AK952&amp;IF($M952="","",", "&amp;$M952)</f>
        <v/>
      </c>
      <c r="AM952">
        <f>AL952&amp;IF($N952="","",", "&amp;$N952)</f>
        <v/>
      </c>
      <c r="AN952">
        <f>AM952&amp;IF($O952="","",", "&amp;$O952)</f>
        <v/>
      </c>
      <c r="AO952">
        <f>AN952&amp;IF($P952="","",", "&amp;$P952)</f>
        <v/>
      </c>
      <c r="AP952">
        <f>AO952&amp;IF($Q952="","",", "&amp;$Q952)</f>
        <v/>
      </c>
      <c r="AQ952">
        <f>AP952&amp;IF($R952="","",", "&amp;$R952)</f>
        <v/>
      </c>
      <c r="AR952">
        <f>AQ952&amp;IF($S952="","",", "&amp;$S952)</f>
        <v/>
      </c>
      <c r="AS952">
        <f>AR952&amp;IF($T952="","",", "&amp;$T952)</f>
        <v/>
      </c>
      <c r="AT952">
        <f>AS952&amp;IF($U952="","",", "&amp;$U952)</f>
        <v/>
      </c>
      <c r="AU952">
        <f>AT952&amp;IF($V952="","",", "&amp;$V952)</f>
        <v/>
      </c>
      <c r="AV952">
        <f>AU952&amp;IF($W952="","",", "&amp;$W952)</f>
        <v/>
      </c>
      <c r="AW952">
        <f>AV952&amp;IF($X952="","",", "&amp;$X952)</f>
        <v/>
      </c>
      <c r="AX952">
        <f>AW952&amp;IF($Y952="","",", "&amp;$Y952)</f>
        <v/>
      </c>
    </row>
    <row r="953">
      <c r="A953" s="118">
        <f>IF($B953="","",COUNT($B$5:$B953))</f>
        <v/>
      </c>
      <c r="B953" s="80" t="n"/>
      <c r="C953" s="80" t="n"/>
      <c r="D953" s="74" t="n"/>
      <c r="E953" s="74" t="n"/>
      <c r="F953" s="74" t="n"/>
      <c r="G953" s="118">
        <f>IF($F953="","",COUNTIF($F$5:$F953,$F953))</f>
        <v/>
      </c>
      <c r="H953" s="33">
        <f>IF($F953="","",IFERROR(INDEX(사건마스터!$B$5:$B$64,MATCH($F953,사건마스터!$A$5:$A$64,0)),""))</f>
        <v/>
      </c>
      <c r="I953" s="130">
        <f>IF($F953="","",IFERROR(INDEX(사건마스터!$C$5:$C$64,MATCH($F953,사건마스터!$A$5:$A$64,0)),""))</f>
        <v/>
      </c>
      <c r="J953" s="136">
        <f>IF($F953="","",IFERROR(INDEX(사건마스터!$H$5:$H$64,MATCH($F953,사건마스터!$A$5:$A$64,0)),""))</f>
        <v/>
      </c>
      <c r="K953" s="136">
        <f>IF($F953="","",IFERROR(INDEX(사건마스터!$AH$5:$AH$64,MATCH($F953,사건마스터!$A$5:$A$64,0)),""))</f>
        <v/>
      </c>
      <c r="L953" s="136">
        <f>IF($F953="","",IFERROR(INDEX(사건마스터!$AI$5:$AI$64,MATCH($F953,사건마스터!$A$5:$A$64,0)),""))</f>
        <v/>
      </c>
      <c r="M953" s="136">
        <f>IF($F953="","",IFERROR(INDEX(사건마스터!$AJ$5:$AJ$64,MATCH($F953,사건마스터!$A$5:$A$64,0)),""))</f>
        <v/>
      </c>
      <c r="N953" s="136">
        <f>IF($F953="","",IFERROR(INDEX(사건마스터!$AK$5:$AK$64,MATCH($F953,사건마스터!$A$5:$A$64,0)),""))</f>
        <v/>
      </c>
      <c r="O953" s="136">
        <f>IF($F953="","",IFERROR(INDEX(사건마스터!$AL$5:$AL$64,MATCH($F953,사건마스터!$A$5:$A$64,0)),""))</f>
        <v/>
      </c>
      <c r="P953" s="136">
        <f>IF($F953="","",IFERROR(INDEX(사건마스터!$AM$5:$AM$64,MATCH($F953,사건마스터!$A$5:$A$64,0)),""))</f>
        <v/>
      </c>
      <c r="Q953" s="136">
        <f>IF($F953="","",IFERROR(INDEX(사건마스터!$AN$5:$AN$64,MATCH($F953,사건마스터!$A$5:$A$64,0)),""))</f>
        <v/>
      </c>
      <c r="R953" s="136">
        <f>IF($F953="","",IFERROR(INDEX(사건마스터!$AO$5:$AO$64,MATCH($F953,사건마스터!$A$5:$A$64,0)),""))</f>
        <v/>
      </c>
      <c r="S953" s="136">
        <f>IF($F953="","",IFERROR(INDEX(사건마스터!$AP$5:$AP$64,MATCH($F953,사건마스터!$A$5:$A$64,0)),""))</f>
        <v/>
      </c>
      <c r="T953" s="136">
        <f>IF($F953="","",IFERROR(INDEX(사건마스터!$AQ$5:$AQ$64,MATCH($F953,사건마스터!$A$5:$A$64,0)),""))</f>
        <v/>
      </c>
      <c r="U953" s="136">
        <f>IF($F953="","",IFERROR(INDEX(사건마스터!$AR$5:$AR$64,MATCH($F953,사건마스터!$A$5:$A$64,0)),""))</f>
        <v/>
      </c>
      <c r="V953" s="136">
        <f>IF($F953="","",IFERROR(INDEX(사건마스터!$AS$5:$AS$64,MATCH($F953,사건마스터!$A$5:$A$64,0)),""))</f>
        <v/>
      </c>
      <c r="W953" s="136">
        <f>IF($F953="","",IFERROR(INDEX(사건마스터!$AT$5:$AT$64,MATCH($F953,사건마스터!$A$5:$A$64,0)),""))</f>
        <v/>
      </c>
      <c r="X953" s="136">
        <f>IF($F953="","",IFERROR(INDEX(사건마스터!$AU$5:$AU$64,MATCH($F953,사건마스터!$A$5:$A$64,0)),""))</f>
        <v/>
      </c>
      <c r="Y953" s="136">
        <f>IF($F953="","",IFERROR(INDEX(사건마스터!$AV$5:$AV$64,MATCH($F953,사건마스터!$A$5:$A$64,0)),""))</f>
        <v/>
      </c>
      <c r="Z953" s="118">
        <f>IF(COUNTBLANK($J953:$Y953)=16,"",16-COUNTBLANK($J953:$Y953))</f>
        <v/>
      </c>
      <c r="AA953" s="33">
        <f>IF($J953="",MID($AX953,3,255),$J953&amp;$AX953)</f>
        <v/>
      </c>
      <c r="AB953" s="130">
        <f>IF($J953="","",IFERROR(INDEX(코드설정!$D$5:$D$24,MATCH($J953,코드설정!$C$5:$C$24,0)),""))</f>
        <v/>
      </c>
      <c r="AC953" s="36" t="n"/>
      <c r="AD953" s="37" t="n"/>
      <c r="AE953" s="38" t="n"/>
      <c r="AF953" s="118">
        <f>IF(OR($B953="",$C953=""),"",$C953-$B953+1)</f>
        <v/>
      </c>
      <c r="AG953" s="74" t="n"/>
      <c r="AH953" s="36" t="n"/>
      <c r="AJ953">
        <f>IF($K953="","",", "&amp;$K953)</f>
        <v/>
      </c>
      <c r="AK953">
        <f>AJ953&amp;IF($L953="","",", "&amp;$L953)</f>
        <v/>
      </c>
      <c r="AL953">
        <f>AK953&amp;IF($M953="","",", "&amp;$M953)</f>
        <v/>
      </c>
      <c r="AM953">
        <f>AL953&amp;IF($N953="","",", "&amp;$N953)</f>
        <v/>
      </c>
      <c r="AN953">
        <f>AM953&amp;IF($O953="","",", "&amp;$O953)</f>
        <v/>
      </c>
      <c r="AO953">
        <f>AN953&amp;IF($P953="","",", "&amp;$P953)</f>
        <v/>
      </c>
      <c r="AP953">
        <f>AO953&amp;IF($Q953="","",", "&amp;$Q953)</f>
        <v/>
      </c>
      <c r="AQ953">
        <f>AP953&amp;IF($R953="","",", "&amp;$R953)</f>
        <v/>
      </c>
      <c r="AR953">
        <f>AQ953&amp;IF($S953="","",", "&amp;$S953)</f>
        <v/>
      </c>
      <c r="AS953">
        <f>AR953&amp;IF($T953="","",", "&amp;$T953)</f>
        <v/>
      </c>
      <c r="AT953">
        <f>AS953&amp;IF($U953="","",", "&amp;$U953)</f>
        <v/>
      </c>
      <c r="AU953">
        <f>AT953&amp;IF($V953="","",", "&amp;$V953)</f>
        <v/>
      </c>
      <c r="AV953">
        <f>AU953&amp;IF($W953="","",", "&amp;$W953)</f>
        <v/>
      </c>
      <c r="AW953">
        <f>AV953&amp;IF($X953="","",", "&amp;$X953)</f>
        <v/>
      </c>
      <c r="AX953">
        <f>AW953&amp;IF($Y953="","",", "&amp;$Y953)</f>
        <v/>
      </c>
    </row>
    <row r="954">
      <c r="A954" s="118">
        <f>IF($B954="","",COUNT($B$5:$B954))</f>
        <v/>
      </c>
      <c r="B954" s="80" t="n"/>
      <c r="C954" s="80" t="n"/>
      <c r="D954" s="74" t="n"/>
      <c r="E954" s="74" t="n"/>
      <c r="F954" s="74" t="n"/>
      <c r="G954" s="118">
        <f>IF($F954="","",COUNTIF($F$5:$F954,$F954))</f>
        <v/>
      </c>
      <c r="H954" s="33">
        <f>IF($F954="","",IFERROR(INDEX(사건마스터!$B$5:$B$64,MATCH($F954,사건마스터!$A$5:$A$64,0)),""))</f>
        <v/>
      </c>
      <c r="I954" s="130">
        <f>IF($F954="","",IFERROR(INDEX(사건마스터!$C$5:$C$64,MATCH($F954,사건마스터!$A$5:$A$64,0)),""))</f>
        <v/>
      </c>
      <c r="J954" s="136">
        <f>IF($F954="","",IFERROR(INDEX(사건마스터!$H$5:$H$64,MATCH($F954,사건마스터!$A$5:$A$64,0)),""))</f>
        <v/>
      </c>
      <c r="K954" s="136">
        <f>IF($F954="","",IFERROR(INDEX(사건마스터!$AH$5:$AH$64,MATCH($F954,사건마스터!$A$5:$A$64,0)),""))</f>
        <v/>
      </c>
      <c r="L954" s="136">
        <f>IF($F954="","",IFERROR(INDEX(사건마스터!$AI$5:$AI$64,MATCH($F954,사건마스터!$A$5:$A$64,0)),""))</f>
        <v/>
      </c>
      <c r="M954" s="136">
        <f>IF($F954="","",IFERROR(INDEX(사건마스터!$AJ$5:$AJ$64,MATCH($F954,사건마스터!$A$5:$A$64,0)),""))</f>
        <v/>
      </c>
      <c r="N954" s="136">
        <f>IF($F954="","",IFERROR(INDEX(사건마스터!$AK$5:$AK$64,MATCH($F954,사건마스터!$A$5:$A$64,0)),""))</f>
        <v/>
      </c>
      <c r="O954" s="136">
        <f>IF($F954="","",IFERROR(INDEX(사건마스터!$AL$5:$AL$64,MATCH($F954,사건마스터!$A$5:$A$64,0)),""))</f>
        <v/>
      </c>
      <c r="P954" s="136">
        <f>IF($F954="","",IFERROR(INDEX(사건마스터!$AM$5:$AM$64,MATCH($F954,사건마스터!$A$5:$A$64,0)),""))</f>
        <v/>
      </c>
      <c r="Q954" s="136">
        <f>IF($F954="","",IFERROR(INDEX(사건마스터!$AN$5:$AN$64,MATCH($F954,사건마스터!$A$5:$A$64,0)),""))</f>
        <v/>
      </c>
      <c r="R954" s="136">
        <f>IF($F954="","",IFERROR(INDEX(사건마스터!$AO$5:$AO$64,MATCH($F954,사건마스터!$A$5:$A$64,0)),""))</f>
        <v/>
      </c>
      <c r="S954" s="136">
        <f>IF($F954="","",IFERROR(INDEX(사건마스터!$AP$5:$AP$64,MATCH($F954,사건마스터!$A$5:$A$64,0)),""))</f>
        <v/>
      </c>
      <c r="T954" s="136">
        <f>IF($F954="","",IFERROR(INDEX(사건마스터!$AQ$5:$AQ$64,MATCH($F954,사건마스터!$A$5:$A$64,0)),""))</f>
        <v/>
      </c>
      <c r="U954" s="136">
        <f>IF($F954="","",IFERROR(INDEX(사건마스터!$AR$5:$AR$64,MATCH($F954,사건마스터!$A$5:$A$64,0)),""))</f>
        <v/>
      </c>
      <c r="V954" s="136">
        <f>IF($F954="","",IFERROR(INDEX(사건마스터!$AS$5:$AS$64,MATCH($F954,사건마스터!$A$5:$A$64,0)),""))</f>
        <v/>
      </c>
      <c r="W954" s="136">
        <f>IF($F954="","",IFERROR(INDEX(사건마스터!$AT$5:$AT$64,MATCH($F954,사건마스터!$A$5:$A$64,0)),""))</f>
        <v/>
      </c>
      <c r="X954" s="136">
        <f>IF($F954="","",IFERROR(INDEX(사건마스터!$AU$5:$AU$64,MATCH($F954,사건마스터!$A$5:$A$64,0)),""))</f>
        <v/>
      </c>
      <c r="Y954" s="136">
        <f>IF($F954="","",IFERROR(INDEX(사건마스터!$AV$5:$AV$64,MATCH($F954,사건마스터!$A$5:$A$64,0)),""))</f>
        <v/>
      </c>
      <c r="Z954" s="118">
        <f>IF(COUNTBLANK($J954:$Y954)=16,"",16-COUNTBLANK($J954:$Y954))</f>
        <v/>
      </c>
      <c r="AA954" s="33">
        <f>IF($J954="",MID($AX954,3,255),$J954&amp;$AX954)</f>
        <v/>
      </c>
      <c r="AB954" s="130">
        <f>IF($J954="","",IFERROR(INDEX(코드설정!$D$5:$D$24,MATCH($J954,코드설정!$C$5:$C$24,0)),""))</f>
        <v/>
      </c>
      <c r="AC954" s="36" t="n"/>
      <c r="AD954" s="37" t="n"/>
      <c r="AE954" s="38" t="n"/>
      <c r="AF954" s="118">
        <f>IF(OR($B954="",$C954=""),"",$C954-$B954+1)</f>
        <v/>
      </c>
      <c r="AG954" s="74" t="n"/>
      <c r="AH954" s="36" t="n"/>
      <c r="AJ954">
        <f>IF($K954="","",", "&amp;$K954)</f>
        <v/>
      </c>
      <c r="AK954">
        <f>AJ954&amp;IF($L954="","",", "&amp;$L954)</f>
        <v/>
      </c>
      <c r="AL954">
        <f>AK954&amp;IF($M954="","",", "&amp;$M954)</f>
        <v/>
      </c>
      <c r="AM954">
        <f>AL954&amp;IF($N954="","",", "&amp;$N954)</f>
        <v/>
      </c>
      <c r="AN954">
        <f>AM954&amp;IF($O954="","",", "&amp;$O954)</f>
        <v/>
      </c>
      <c r="AO954">
        <f>AN954&amp;IF($P954="","",", "&amp;$P954)</f>
        <v/>
      </c>
      <c r="AP954">
        <f>AO954&amp;IF($Q954="","",", "&amp;$Q954)</f>
        <v/>
      </c>
      <c r="AQ954">
        <f>AP954&amp;IF($R954="","",", "&amp;$R954)</f>
        <v/>
      </c>
      <c r="AR954">
        <f>AQ954&amp;IF($S954="","",", "&amp;$S954)</f>
        <v/>
      </c>
      <c r="AS954">
        <f>AR954&amp;IF($T954="","",", "&amp;$T954)</f>
        <v/>
      </c>
      <c r="AT954">
        <f>AS954&amp;IF($U954="","",", "&amp;$U954)</f>
        <v/>
      </c>
      <c r="AU954">
        <f>AT954&amp;IF($V954="","",", "&amp;$V954)</f>
        <v/>
      </c>
      <c r="AV954">
        <f>AU954&amp;IF($W954="","",", "&amp;$W954)</f>
        <v/>
      </c>
      <c r="AW954">
        <f>AV954&amp;IF($X954="","",", "&amp;$X954)</f>
        <v/>
      </c>
      <c r="AX954">
        <f>AW954&amp;IF($Y954="","",", "&amp;$Y954)</f>
        <v/>
      </c>
    </row>
    <row r="955">
      <c r="A955" s="118">
        <f>IF($B955="","",COUNT($B$5:$B955))</f>
        <v/>
      </c>
      <c r="B955" s="80" t="n"/>
      <c r="C955" s="80" t="n"/>
      <c r="D955" s="74" t="n"/>
      <c r="E955" s="74" t="n"/>
      <c r="F955" s="74" t="n"/>
      <c r="G955" s="118">
        <f>IF($F955="","",COUNTIF($F$5:$F955,$F955))</f>
        <v/>
      </c>
      <c r="H955" s="33">
        <f>IF($F955="","",IFERROR(INDEX(사건마스터!$B$5:$B$64,MATCH($F955,사건마스터!$A$5:$A$64,0)),""))</f>
        <v/>
      </c>
      <c r="I955" s="130">
        <f>IF($F955="","",IFERROR(INDEX(사건마스터!$C$5:$C$64,MATCH($F955,사건마스터!$A$5:$A$64,0)),""))</f>
        <v/>
      </c>
      <c r="J955" s="136">
        <f>IF($F955="","",IFERROR(INDEX(사건마스터!$H$5:$H$64,MATCH($F955,사건마스터!$A$5:$A$64,0)),""))</f>
        <v/>
      </c>
      <c r="K955" s="136">
        <f>IF($F955="","",IFERROR(INDEX(사건마스터!$AH$5:$AH$64,MATCH($F955,사건마스터!$A$5:$A$64,0)),""))</f>
        <v/>
      </c>
      <c r="L955" s="136">
        <f>IF($F955="","",IFERROR(INDEX(사건마스터!$AI$5:$AI$64,MATCH($F955,사건마스터!$A$5:$A$64,0)),""))</f>
        <v/>
      </c>
      <c r="M955" s="136">
        <f>IF($F955="","",IFERROR(INDEX(사건마스터!$AJ$5:$AJ$64,MATCH($F955,사건마스터!$A$5:$A$64,0)),""))</f>
        <v/>
      </c>
      <c r="N955" s="136">
        <f>IF($F955="","",IFERROR(INDEX(사건마스터!$AK$5:$AK$64,MATCH($F955,사건마스터!$A$5:$A$64,0)),""))</f>
        <v/>
      </c>
      <c r="O955" s="136">
        <f>IF($F955="","",IFERROR(INDEX(사건마스터!$AL$5:$AL$64,MATCH($F955,사건마스터!$A$5:$A$64,0)),""))</f>
        <v/>
      </c>
      <c r="P955" s="136">
        <f>IF($F955="","",IFERROR(INDEX(사건마스터!$AM$5:$AM$64,MATCH($F955,사건마스터!$A$5:$A$64,0)),""))</f>
        <v/>
      </c>
      <c r="Q955" s="136">
        <f>IF($F955="","",IFERROR(INDEX(사건마스터!$AN$5:$AN$64,MATCH($F955,사건마스터!$A$5:$A$64,0)),""))</f>
        <v/>
      </c>
      <c r="R955" s="136">
        <f>IF($F955="","",IFERROR(INDEX(사건마스터!$AO$5:$AO$64,MATCH($F955,사건마스터!$A$5:$A$64,0)),""))</f>
        <v/>
      </c>
      <c r="S955" s="136">
        <f>IF($F955="","",IFERROR(INDEX(사건마스터!$AP$5:$AP$64,MATCH($F955,사건마스터!$A$5:$A$64,0)),""))</f>
        <v/>
      </c>
      <c r="T955" s="136">
        <f>IF($F955="","",IFERROR(INDEX(사건마스터!$AQ$5:$AQ$64,MATCH($F955,사건마스터!$A$5:$A$64,0)),""))</f>
        <v/>
      </c>
      <c r="U955" s="136">
        <f>IF($F955="","",IFERROR(INDEX(사건마스터!$AR$5:$AR$64,MATCH($F955,사건마스터!$A$5:$A$64,0)),""))</f>
        <v/>
      </c>
      <c r="V955" s="136">
        <f>IF($F955="","",IFERROR(INDEX(사건마스터!$AS$5:$AS$64,MATCH($F955,사건마스터!$A$5:$A$64,0)),""))</f>
        <v/>
      </c>
      <c r="W955" s="136">
        <f>IF($F955="","",IFERROR(INDEX(사건마스터!$AT$5:$AT$64,MATCH($F955,사건마스터!$A$5:$A$64,0)),""))</f>
        <v/>
      </c>
      <c r="X955" s="136">
        <f>IF($F955="","",IFERROR(INDEX(사건마스터!$AU$5:$AU$64,MATCH($F955,사건마스터!$A$5:$A$64,0)),""))</f>
        <v/>
      </c>
      <c r="Y955" s="136">
        <f>IF($F955="","",IFERROR(INDEX(사건마스터!$AV$5:$AV$64,MATCH($F955,사건마스터!$A$5:$A$64,0)),""))</f>
        <v/>
      </c>
      <c r="Z955" s="118">
        <f>IF(COUNTBLANK($J955:$Y955)=16,"",16-COUNTBLANK($J955:$Y955))</f>
        <v/>
      </c>
      <c r="AA955" s="33">
        <f>IF($J955="",MID($AX955,3,255),$J955&amp;$AX955)</f>
        <v/>
      </c>
      <c r="AB955" s="130">
        <f>IF($J955="","",IFERROR(INDEX(코드설정!$D$5:$D$24,MATCH($J955,코드설정!$C$5:$C$24,0)),""))</f>
        <v/>
      </c>
      <c r="AC955" s="36" t="n"/>
      <c r="AD955" s="37" t="n"/>
      <c r="AE955" s="38" t="n"/>
      <c r="AF955" s="118">
        <f>IF(OR($B955="",$C955=""),"",$C955-$B955+1)</f>
        <v/>
      </c>
      <c r="AG955" s="74" t="n"/>
      <c r="AH955" s="36" t="n"/>
      <c r="AJ955">
        <f>IF($K955="","",", "&amp;$K955)</f>
        <v/>
      </c>
      <c r="AK955">
        <f>AJ955&amp;IF($L955="","",", "&amp;$L955)</f>
        <v/>
      </c>
      <c r="AL955">
        <f>AK955&amp;IF($M955="","",", "&amp;$M955)</f>
        <v/>
      </c>
      <c r="AM955">
        <f>AL955&amp;IF($N955="","",", "&amp;$N955)</f>
        <v/>
      </c>
      <c r="AN955">
        <f>AM955&amp;IF($O955="","",", "&amp;$O955)</f>
        <v/>
      </c>
      <c r="AO955">
        <f>AN955&amp;IF($P955="","",", "&amp;$P955)</f>
        <v/>
      </c>
      <c r="AP955">
        <f>AO955&amp;IF($Q955="","",", "&amp;$Q955)</f>
        <v/>
      </c>
      <c r="AQ955">
        <f>AP955&amp;IF($R955="","",", "&amp;$R955)</f>
        <v/>
      </c>
      <c r="AR955">
        <f>AQ955&amp;IF($S955="","",", "&amp;$S955)</f>
        <v/>
      </c>
      <c r="AS955">
        <f>AR955&amp;IF($T955="","",", "&amp;$T955)</f>
        <v/>
      </c>
      <c r="AT955">
        <f>AS955&amp;IF($U955="","",", "&amp;$U955)</f>
        <v/>
      </c>
      <c r="AU955">
        <f>AT955&amp;IF($V955="","",", "&amp;$V955)</f>
        <v/>
      </c>
      <c r="AV955">
        <f>AU955&amp;IF($W955="","",", "&amp;$W955)</f>
        <v/>
      </c>
      <c r="AW955">
        <f>AV955&amp;IF($X955="","",", "&amp;$X955)</f>
        <v/>
      </c>
      <c r="AX955">
        <f>AW955&amp;IF($Y955="","",", "&amp;$Y955)</f>
        <v/>
      </c>
    </row>
    <row r="956">
      <c r="A956" s="118">
        <f>IF($B956="","",COUNT($B$5:$B956))</f>
        <v/>
      </c>
      <c r="B956" s="80" t="n"/>
      <c r="C956" s="80" t="n"/>
      <c r="D956" s="74" t="n"/>
      <c r="E956" s="74" t="n"/>
      <c r="F956" s="74" t="n"/>
      <c r="G956" s="118">
        <f>IF($F956="","",COUNTIF($F$5:$F956,$F956))</f>
        <v/>
      </c>
      <c r="H956" s="33">
        <f>IF($F956="","",IFERROR(INDEX(사건마스터!$B$5:$B$64,MATCH($F956,사건마스터!$A$5:$A$64,0)),""))</f>
        <v/>
      </c>
      <c r="I956" s="130">
        <f>IF($F956="","",IFERROR(INDEX(사건마스터!$C$5:$C$64,MATCH($F956,사건마스터!$A$5:$A$64,0)),""))</f>
        <v/>
      </c>
      <c r="J956" s="136">
        <f>IF($F956="","",IFERROR(INDEX(사건마스터!$H$5:$H$64,MATCH($F956,사건마스터!$A$5:$A$64,0)),""))</f>
        <v/>
      </c>
      <c r="K956" s="136">
        <f>IF($F956="","",IFERROR(INDEX(사건마스터!$AH$5:$AH$64,MATCH($F956,사건마스터!$A$5:$A$64,0)),""))</f>
        <v/>
      </c>
      <c r="L956" s="136">
        <f>IF($F956="","",IFERROR(INDEX(사건마스터!$AI$5:$AI$64,MATCH($F956,사건마스터!$A$5:$A$64,0)),""))</f>
        <v/>
      </c>
      <c r="M956" s="136">
        <f>IF($F956="","",IFERROR(INDEX(사건마스터!$AJ$5:$AJ$64,MATCH($F956,사건마스터!$A$5:$A$64,0)),""))</f>
        <v/>
      </c>
      <c r="N956" s="136">
        <f>IF($F956="","",IFERROR(INDEX(사건마스터!$AK$5:$AK$64,MATCH($F956,사건마스터!$A$5:$A$64,0)),""))</f>
        <v/>
      </c>
      <c r="O956" s="136">
        <f>IF($F956="","",IFERROR(INDEX(사건마스터!$AL$5:$AL$64,MATCH($F956,사건마스터!$A$5:$A$64,0)),""))</f>
        <v/>
      </c>
      <c r="P956" s="136">
        <f>IF($F956="","",IFERROR(INDEX(사건마스터!$AM$5:$AM$64,MATCH($F956,사건마스터!$A$5:$A$64,0)),""))</f>
        <v/>
      </c>
      <c r="Q956" s="136">
        <f>IF($F956="","",IFERROR(INDEX(사건마스터!$AN$5:$AN$64,MATCH($F956,사건마스터!$A$5:$A$64,0)),""))</f>
        <v/>
      </c>
      <c r="R956" s="136">
        <f>IF($F956="","",IFERROR(INDEX(사건마스터!$AO$5:$AO$64,MATCH($F956,사건마스터!$A$5:$A$64,0)),""))</f>
        <v/>
      </c>
      <c r="S956" s="136">
        <f>IF($F956="","",IFERROR(INDEX(사건마스터!$AP$5:$AP$64,MATCH($F956,사건마스터!$A$5:$A$64,0)),""))</f>
        <v/>
      </c>
      <c r="T956" s="136">
        <f>IF($F956="","",IFERROR(INDEX(사건마스터!$AQ$5:$AQ$64,MATCH($F956,사건마스터!$A$5:$A$64,0)),""))</f>
        <v/>
      </c>
      <c r="U956" s="136">
        <f>IF($F956="","",IFERROR(INDEX(사건마스터!$AR$5:$AR$64,MATCH($F956,사건마스터!$A$5:$A$64,0)),""))</f>
        <v/>
      </c>
      <c r="V956" s="136">
        <f>IF($F956="","",IFERROR(INDEX(사건마스터!$AS$5:$AS$64,MATCH($F956,사건마스터!$A$5:$A$64,0)),""))</f>
        <v/>
      </c>
      <c r="W956" s="136">
        <f>IF($F956="","",IFERROR(INDEX(사건마스터!$AT$5:$AT$64,MATCH($F956,사건마스터!$A$5:$A$64,0)),""))</f>
        <v/>
      </c>
      <c r="X956" s="136">
        <f>IF($F956="","",IFERROR(INDEX(사건마스터!$AU$5:$AU$64,MATCH($F956,사건마스터!$A$5:$A$64,0)),""))</f>
        <v/>
      </c>
      <c r="Y956" s="136">
        <f>IF($F956="","",IFERROR(INDEX(사건마스터!$AV$5:$AV$64,MATCH($F956,사건마스터!$A$5:$A$64,0)),""))</f>
        <v/>
      </c>
      <c r="Z956" s="118">
        <f>IF(COUNTBLANK($J956:$Y956)=16,"",16-COUNTBLANK($J956:$Y956))</f>
        <v/>
      </c>
      <c r="AA956" s="33">
        <f>IF($J956="",MID($AX956,3,255),$J956&amp;$AX956)</f>
        <v/>
      </c>
      <c r="AB956" s="130">
        <f>IF($J956="","",IFERROR(INDEX(코드설정!$D$5:$D$24,MATCH($J956,코드설정!$C$5:$C$24,0)),""))</f>
        <v/>
      </c>
      <c r="AC956" s="36" t="n"/>
      <c r="AD956" s="37" t="n"/>
      <c r="AE956" s="38" t="n"/>
      <c r="AF956" s="118">
        <f>IF(OR($B956="",$C956=""),"",$C956-$B956+1)</f>
        <v/>
      </c>
      <c r="AG956" s="74" t="n"/>
      <c r="AH956" s="36" t="n"/>
      <c r="AJ956">
        <f>IF($K956="","",", "&amp;$K956)</f>
        <v/>
      </c>
      <c r="AK956">
        <f>AJ956&amp;IF($L956="","",", "&amp;$L956)</f>
        <v/>
      </c>
      <c r="AL956">
        <f>AK956&amp;IF($M956="","",", "&amp;$M956)</f>
        <v/>
      </c>
      <c r="AM956">
        <f>AL956&amp;IF($N956="","",", "&amp;$N956)</f>
        <v/>
      </c>
      <c r="AN956">
        <f>AM956&amp;IF($O956="","",", "&amp;$O956)</f>
        <v/>
      </c>
      <c r="AO956">
        <f>AN956&amp;IF($P956="","",", "&amp;$P956)</f>
        <v/>
      </c>
      <c r="AP956">
        <f>AO956&amp;IF($Q956="","",", "&amp;$Q956)</f>
        <v/>
      </c>
      <c r="AQ956">
        <f>AP956&amp;IF($R956="","",", "&amp;$R956)</f>
        <v/>
      </c>
      <c r="AR956">
        <f>AQ956&amp;IF($S956="","",", "&amp;$S956)</f>
        <v/>
      </c>
      <c r="AS956">
        <f>AR956&amp;IF($T956="","",", "&amp;$T956)</f>
        <v/>
      </c>
      <c r="AT956">
        <f>AS956&amp;IF($U956="","",", "&amp;$U956)</f>
        <v/>
      </c>
      <c r="AU956">
        <f>AT956&amp;IF($V956="","",", "&amp;$V956)</f>
        <v/>
      </c>
      <c r="AV956">
        <f>AU956&amp;IF($W956="","",", "&amp;$W956)</f>
        <v/>
      </c>
      <c r="AW956">
        <f>AV956&amp;IF($X956="","",", "&amp;$X956)</f>
        <v/>
      </c>
      <c r="AX956">
        <f>AW956&amp;IF($Y956="","",", "&amp;$Y956)</f>
        <v/>
      </c>
    </row>
    <row r="957">
      <c r="A957" s="118">
        <f>IF($B957="","",COUNT($B$5:$B957))</f>
        <v/>
      </c>
      <c r="B957" s="80" t="n"/>
      <c r="C957" s="80" t="n"/>
      <c r="D957" s="74" t="n"/>
      <c r="E957" s="74" t="n"/>
      <c r="F957" s="74" t="n"/>
      <c r="G957" s="118">
        <f>IF($F957="","",COUNTIF($F$5:$F957,$F957))</f>
        <v/>
      </c>
      <c r="H957" s="33">
        <f>IF($F957="","",IFERROR(INDEX(사건마스터!$B$5:$B$64,MATCH($F957,사건마스터!$A$5:$A$64,0)),""))</f>
        <v/>
      </c>
      <c r="I957" s="130">
        <f>IF($F957="","",IFERROR(INDEX(사건마스터!$C$5:$C$64,MATCH($F957,사건마스터!$A$5:$A$64,0)),""))</f>
        <v/>
      </c>
      <c r="J957" s="136">
        <f>IF($F957="","",IFERROR(INDEX(사건마스터!$H$5:$H$64,MATCH($F957,사건마스터!$A$5:$A$64,0)),""))</f>
        <v/>
      </c>
      <c r="K957" s="136">
        <f>IF($F957="","",IFERROR(INDEX(사건마스터!$AH$5:$AH$64,MATCH($F957,사건마스터!$A$5:$A$64,0)),""))</f>
        <v/>
      </c>
      <c r="L957" s="136">
        <f>IF($F957="","",IFERROR(INDEX(사건마스터!$AI$5:$AI$64,MATCH($F957,사건마스터!$A$5:$A$64,0)),""))</f>
        <v/>
      </c>
      <c r="M957" s="136">
        <f>IF($F957="","",IFERROR(INDEX(사건마스터!$AJ$5:$AJ$64,MATCH($F957,사건마스터!$A$5:$A$64,0)),""))</f>
        <v/>
      </c>
      <c r="N957" s="136">
        <f>IF($F957="","",IFERROR(INDEX(사건마스터!$AK$5:$AK$64,MATCH($F957,사건마스터!$A$5:$A$64,0)),""))</f>
        <v/>
      </c>
      <c r="O957" s="136">
        <f>IF($F957="","",IFERROR(INDEX(사건마스터!$AL$5:$AL$64,MATCH($F957,사건마스터!$A$5:$A$64,0)),""))</f>
        <v/>
      </c>
      <c r="P957" s="136">
        <f>IF($F957="","",IFERROR(INDEX(사건마스터!$AM$5:$AM$64,MATCH($F957,사건마스터!$A$5:$A$64,0)),""))</f>
        <v/>
      </c>
      <c r="Q957" s="136">
        <f>IF($F957="","",IFERROR(INDEX(사건마스터!$AN$5:$AN$64,MATCH($F957,사건마스터!$A$5:$A$64,0)),""))</f>
        <v/>
      </c>
      <c r="R957" s="136">
        <f>IF($F957="","",IFERROR(INDEX(사건마스터!$AO$5:$AO$64,MATCH($F957,사건마스터!$A$5:$A$64,0)),""))</f>
        <v/>
      </c>
      <c r="S957" s="136">
        <f>IF($F957="","",IFERROR(INDEX(사건마스터!$AP$5:$AP$64,MATCH($F957,사건마스터!$A$5:$A$64,0)),""))</f>
        <v/>
      </c>
      <c r="T957" s="136">
        <f>IF($F957="","",IFERROR(INDEX(사건마스터!$AQ$5:$AQ$64,MATCH($F957,사건마스터!$A$5:$A$64,0)),""))</f>
        <v/>
      </c>
      <c r="U957" s="136">
        <f>IF($F957="","",IFERROR(INDEX(사건마스터!$AR$5:$AR$64,MATCH($F957,사건마스터!$A$5:$A$64,0)),""))</f>
        <v/>
      </c>
      <c r="V957" s="136">
        <f>IF($F957="","",IFERROR(INDEX(사건마스터!$AS$5:$AS$64,MATCH($F957,사건마스터!$A$5:$A$64,0)),""))</f>
        <v/>
      </c>
      <c r="W957" s="136">
        <f>IF($F957="","",IFERROR(INDEX(사건마스터!$AT$5:$AT$64,MATCH($F957,사건마스터!$A$5:$A$64,0)),""))</f>
        <v/>
      </c>
      <c r="X957" s="136">
        <f>IF($F957="","",IFERROR(INDEX(사건마스터!$AU$5:$AU$64,MATCH($F957,사건마스터!$A$5:$A$64,0)),""))</f>
        <v/>
      </c>
      <c r="Y957" s="136">
        <f>IF($F957="","",IFERROR(INDEX(사건마스터!$AV$5:$AV$64,MATCH($F957,사건마스터!$A$5:$A$64,0)),""))</f>
        <v/>
      </c>
      <c r="Z957" s="118">
        <f>IF(COUNTBLANK($J957:$Y957)=16,"",16-COUNTBLANK($J957:$Y957))</f>
        <v/>
      </c>
      <c r="AA957" s="33">
        <f>IF($J957="",MID($AX957,3,255),$J957&amp;$AX957)</f>
        <v/>
      </c>
      <c r="AB957" s="130">
        <f>IF($J957="","",IFERROR(INDEX(코드설정!$D$5:$D$24,MATCH($J957,코드설정!$C$5:$C$24,0)),""))</f>
        <v/>
      </c>
      <c r="AC957" s="36" t="n"/>
      <c r="AD957" s="37" t="n"/>
      <c r="AE957" s="38" t="n"/>
      <c r="AF957" s="118">
        <f>IF(OR($B957="",$C957=""),"",$C957-$B957+1)</f>
        <v/>
      </c>
      <c r="AG957" s="74" t="n"/>
      <c r="AH957" s="36" t="n"/>
      <c r="AJ957">
        <f>IF($K957="","",", "&amp;$K957)</f>
        <v/>
      </c>
      <c r="AK957">
        <f>AJ957&amp;IF($L957="","",", "&amp;$L957)</f>
        <v/>
      </c>
      <c r="AL957">
        <f>AK957&amp;IF($M957="","",", "&amp;$M957)</f>
        <v/>
      </c>
      <c r="AM957">
        <f>AL957&amp;IF($N957="","",", "&amp;$N957)</f>
        <v/>
      </c>
      <c r="AN957">
        <f>AM957&amp;IF($O957="","",", "&amp;$O957)</f>
        <v/>
      </c>
      <c r="AO957">
        <f>AN957&amp;IF($P957="","",", "&amp;$P957)</f>
        <v/>
      </c>
      <c r="AP957">
        <f>AO957&amp;IF($Q957="","",", "&amp;$Q957)</f>
        <v/>
      </c>
      <c r="AQ957">
        <f>AP957&amp;IF($R957="","",", "&amp;$R957)</f>
        <v/>
      </c>
      <c r="AR957">
        <f>AQ957&amp;IF($S957="","",", "&amp;$S957)</f>
        <v/>
      </c>
      <c r="AS957">
        <f>AR957&amp;IF($T957="","",", "&amp;$T957)</f>
        <v/>
      </c>
      <c r="AT957">
        <f>AS957&amp;IF($U957="","",", "&amp;$U957)</f>
        <v/>
      </c>
      <c r="AU957">
        <f>AT957&amp;IF($V957="","",", "&amp;$V957)</f>
        <v/>
      </c>
      <c r="AV957">
        <f>AU957&amp;IF($W957="","",", "&amp;$W957)</f>
        <v/>
      </c>
      <c r="AW957">
        <f>AV957&amp;IF($X957="","",", "&amp;$X957)</f>
        <v/>
      </c>
      <c r="AX957">
        <f>AW957&amp;IF($Y957="","",", "&amp;$Y957)</f>
        <v/>
      </c>
    </row>
    <row r="958">
      <c r="A958" s="118">
        <f>IF($B958="","",COUNT($B$5:$B958))</f>
        <v/>
      </c>
      <c r="B958" s="80" t="n"/>
      <c r="C958" s="80" t="n"/>
      <c r="D958" s="74" t="n"/>
      <c r="E958" s="74" t="n"/>
      <c r="F958" s="74" t="n"/>
      <c r="G958" s="118">
        <f>IF($F958="","",COUNTIF($F$5:$F958,$F958))</f>
        <v/>
      </c>
      <c r="H958" s="33">
        <f>IF($F958="","",IFERROR(INDEX(사건마스터!$B$5:$B$64,MATCH($F958,사건마스터!$A$5:$A$64,0)),""))</f>
        <v/>
      </c>
      <c r="I958" s="130">
        <f>IF($F958="","",IFERROR(INDEX(사건마스터!$C$5:$C$64,MATCH($F958,사건마스터!$A$5:$A$64,0)),""))</f>
        <v/>
      </c>
      <c r="J958" s="136">
        <f>IF($F958="","",IFERROR(INDEX(사건마스터!$H$5:$H$64,MATCH($F958,사건마스터!$A$5:$A$64,0)),""))</f>
        <v/>
      </c>
      <c r="K958" s="136">
        <f>IF($F958="","",IFERROR(INDEX(사건마스터!$AH$5:$AH$64,MATCH($F958,사건마스터!$A$5:$A$64,0)),""))</f>
        <v/>
      </c>
      <c r="L958" s="136">
        <f>IF($F958="","",IFERROR(INDEX(사건마스터!$AI$5:$AI$64,MATCH($F958,사건마스터!$A$5:$A$64,0)),""))</f>
        <v/>
      </c>
      <c r="M958" s="136">
        <f>IF($F958="","",IFERROR(INDEX(사건마스터!$AJ$5:$AJ$64,MATCH($F958,사건마스터!$A$5:$A$64,0)),""))</f>
        <v/>
      </c>
      <c r="N958" s="136">
        <f>IF($F958="","",IFERROR(INDEX(사건마스터!$AK$5:$AK$64,MATCH($F958,사건마스터!$A$5:$A$64,0)),""))</f>
        <v/>
      </c>
      <c r="O958" s="136">
        <f>IF($F958="","",IFERROR(INDEX(사건마스터!$AL$5:$AL$64,MATCH($F958,사건마스터!$A$5:$A$64,0)),""))</f>
        <v/>
      </c>
      <c r="P958" s="136">
        <f>IF($F958="","",IFERROR(INDEX(사건마스터!$AM$5:$AM$64,MATCH($F958,사건마스터!$A$5:$A$64,0)),""))</f>
        <v/>
      </c>
      <c r="Q958" s="136">
        <f>IF($F958="","",IFERROR(INDEX(사건마스터!$AN$5:$AN$64,MATCH($F958,사건마스터!$A$5:$A$64,0)),""))</f>
        <v/>
      </c>
      <c r="R958" s="136">
        <f>IF($F958="","",IFERROR(INDEX(사건마스터!$AO$5:$AO$64,MATCH($F958,사건마스터!$A$5:$A$64,0)),""))</f>
        <v/>
      </c>
      <c r="S958" s="136">
        <f>IF($F958="","",IFERROR(INDEX(사건마스터!$AP$5:$AP$64,MATCH($F958,사건마스터!$A$5:$A$64,0)),""))</f>
        <v/>
      </c>
      <c r="T958" s="136">
        <f>IF($F958="","",IFERROR(INDEX(사건마스터!$AQ$5:$AQ$64,MATCH($F958,사건마스터!$A$5:$A$64,0)),""))</f>
        <v/>
      </c>
      <c r="U958" s="136">
        <f>IF($F958="","",IFERROR(INDEX(사건마스터!$AR$5:$AR$64,MATCH($F958,사건마스터!$A$5:$A$64,0)),""))</f>
        <v/>
      </c>
      <c r="V958" s="136">
        <f>IF($F958="","",IFERROR(INDEX(사건마스터!$AS$5:$AS$64,MATCH($F958,사건마스터!$A$5:$A$64,0)),""))</f>
        <v/>
      </c>
      <c r="W958" s="136">
        <f>IF($F958="","",IFERROR(INDEX(사건마스터!$AT$5:$AT$64,MATCH($F958,사건마스터!$A$5:$A$64,0)),""))</f>
        <v/>
      </c>
      <c r="X958" s="136">
        <f>IF($F958="","",IFERROR(INDEX(사건마스터!$AU$5:$AU$64,MATCH($F958,사건마스터!$A$5:$A$64,0)),""))</f>
        <v/>
      </c>
      <c r="Y958" s="136">
        <f>IF($F958="","",IFERROR(INDEX(사건마스터!$AV$5:$AV$64,MATCH($F958,사건마스터!$A$5:$A$64,0)),""))</f>
        <v/>
      </c>
      <c r="Z958" s="118">
        <f>IF(COUNTBLANK($J958:$Y958)=16,"",16-COUNTBLANK($J958:$Y958))</f>
        <v/>
      </c>
      <c r="AA958" s="33">
        <f>IF($J958="",MID($AX958,3,255),$J958&amp;$AX958)</f>
        <v/>
      </c>
      <c r="AB958" s="130">
        <f>IF($J958="","",IFERROR(INDEX(코드설정!$D$5:$D$24,MATCH($J958,코드설정!$C$5:$C$24,0)),""))</f>
        <v/>
      </c>
      <c r="AC958" s="36" t="n"/>
      <c r="AD958" s="37" t="n"/>
      <c r="AE958" s="38" t="n"/>
      <c r="AF958" s="118">
        <f>IF(OR($B958="",$C958=""),"",$C958-$B958+1)</f>
        <v/>
      </c>
      <c r="AG958" s="74" t="n"/>
      <c r="AH958" s="36" t="n"/>
      <c r="AJ958">
        <f>IF($K958="","",", "&amp;$K958)</f>
        <v/>
      </c>
      <c r="AK958">
        <f>AJ958&amp;IF($L958="","",", "&amp;$L958)</f>
        <v/>
      </c>
      <c r="AL958">
        <f>AK958&amp;IF($M958="","",", "&amp;$M958)</f>
        <v/>
      </c>
      <c r="AM958">
        <f>AL958&amp;IF($N958="","",", "&amp;$N958)</f>
        <v/>
      </c>
      <c r="AN958">
        <f>AM958&amp;IF($O958="","",", "&amp;$O958)</f>
        <v/>
      </c>
      <c r="AO958">
        <f>AN958&amp;IF($P958="","",", "&amp;$P958)</f>
        <v/>
      </c>
      <c r="AP958">
        <f>AO958&amp;IF($Q958="","",", "&amp;$Q958)</f>
        <v/>
      </c>
      <c r="AQ958">
        <f>AP958&amp;IF($R958="","",", "&amp;$R958)</f>
        <v/>
      </c>
      <c r="AR958">
        <f>AQ958&amp;IF($S958="","",", "&amp;$S958)</f>
        <v/>
      </c>
      <c r="AS958">
        <f>AR958&amp;IF($T958="","",", "&amp;$T958)</f>
        <v/>
      </c>
      <c r="AT958">
        <f>AS958&amp;IF($U958="","",", "&amp;$U958)</f>
        <v/>
      </c>
      <c r="AU958">
        <f>AT958&amp;IF($V958="","",", "&amp;$V958)</f>
        <v/>
      </c>
      <c r="AV958">
        <f>AU958&amp;IF($W958="","",", "&amp;$W958)</f>
        <v/>
      </c>
      <c r="AW958">
        <f>AV958&amp;IF($X958="","",", "&amp;$X958)</f>
        <v/>
      </c>
      <c r="AX958">
        <f>AW958&amp;IF($Y958="","",", "&amp;$Y958)</f>
        <v/>
      </c>
    </row>
    <row r="959">
      <c r="A959" s="118">
        <f>IF($B959="","",COUNT($B$5:$B959))</f>
        <v/>
      </c>
      <c r="B959" s="80" t="n"/>
      <c r="C959" s="80" t="n"/>
      <c r="D959" s="74" t="n"/>
      <c r="E959" s="74" t="n"/>
      <c r="F959" s="74" t="n"/>
      <c r="G959" s="118">
        <f>IF($F959="","",COUNTIF($F$5:$F959,$F959))</f>
        <v/>
      </c>
      <c r="H959" s="33">
        <f>IF($F959="","",IFERROR(INDEX(사건마스터!$B$5:$B$64,MATCH($F959,사건마스터!$A$5:$A$64,0)),""))</f>
        <v/>
      </c>
      <c r="I959" s="130">
        <f>IF($F959="","",IFERROR(INDEX(사건마스터!$C$5:$C$64,MATCH($F959,사건마스터!$A$5:$A$64,0)),""))</f>
        <v/>
      </c>
      <c r="J959" s="136">
        <f>IF($F959="","",IFERROR(INDEX(사건마스터!$H$5:$H$64,MATCH($F959,사건마스터!$A$5:$A$64,0)),""))</f>
        <v/>
      </c>
      <c r="K959" s="136">
        <f>IF($F959="","",IFERROR(INDEX(사건마스터!$AH$5:$AH$64,MATCH($F959,사건마스터!$A$5:$A$64,0)),""))</f>
        <v/>
      </c>
      <c r="L959" s="136">
        <f>IF($F959="","",IFERROR(INDEX(사건마스터!$AI$5:$AI$64,MATCH($F959,사건마스터!$A$5:$A$64,0)),""))</f>
        <v/>
      </c>
      <c r="M959" s="136">
        <f>IF($F959="","",IFERROR(INDEX(사건마스터!$AJ$5:$AJ$64,MATCH($F959,사건마스터!$A$5:$A$64,0)),""))</f>
        <v/>
      </c>
      <c r="N959" s="136">
        <f>IF($F959="","",IFERROR(INDEX(사건마스터!$AK$5:$AK$64,MATCH($F959,사건마스터!$A$5:$A$64,0)),""))</f>
        <v/>
      </c>
      <c r="O959" s="136">
        <f>IF($F959="","",IFERROR(INDEX(사건마스터!$AL$5:$AL$64,MATCH($F959,사건마스터!$A$5:$A$64,0)),""))</f>
        <v/>
      </c>
      <c r="P959" s="136">
        <f>IF($F959="","",IFERROR(INDEX(사건마스터!$AM$5:$AM$64,MATCH($F959,사건마스터!$A$5:$A$64,0)),""))</f>
        <v/>
      </c>
      <c r="Q959" s="136">
        <f>IF($F959="","",IFERROR(INDEX(사건마스터!$AN$5:$AN$64,MATCH($F959,사건마스터!$A$5:$A$64,0)),""))</f>
        <v/>
      </c>
      <c r="R959" s="136">
        <f>IF($F959="","",IFERROR(INDEX(사건마스터!$AO$5:$AO$64,MATCH($F959,사건마스터!$A$5:$A$64,0)),""))</f>
        <v/>
      </c>
      <c r="S959" s="136">
        <f>IF($F959="","",IFERROR(INDEX(사건마스터!$AP$5:$AP$64,MATCH($F959,사건마스터!$A$5:$A$64,0)),""))</f>
        <v/>
      </c>
      <c r="T959" s="136">
        <f>IF($F959="","",IFERROR(INDEX(사건마스터!$AQ$5:$AQ$64,MATCH($F959,사건마스터!$A$5:$A$64,0)),""))</f>
        <v/>
      </c>
      <c r="U959" s="136">
        <f>IF($F959="","",IFERROR(INDEX(사건마스터!$AR$5:$AR$64,MATCH($F959,사건마스터!$A$5:$A$64,0)),""))</f>
        <v/>
      </c>
      <c r="V959" s="136">
        <f>IF($F959="","",IFERROR(INDEX(사건마스터!$AS$5:$AS$64,MATCH($F959,사건마스터!$A$5:$A$64,0)),""))</f>
        <v/>
      </c>
      <c r="W959" s="136">
        <f>IF($F959="","",IFERROR(INDEX(사건마스터!$AT$5:$AT$64,MATCH($F959,사건마스터!$A$5:$A$64,0)),""))</f>
        <v/>
      </c>
      <c r="X959" s="136">
        <f>IF($F959="","",IFERROR(INDEX(사건마스터!$AU$5:$AU$64,MATCH($F959,사건마스터!$A$5:$A$64,0)),""))</f>
        <v/>
      </c>
      <c r="Y959" s="136">
        <f>IF($F959="","",IFERROR(INDEX(사건마스터!$AV$5:$AV$64,MATCH($F959,사건마스터!$A$5:$A$64,0)),""))</f>
        <v/>
      </c>
      <c r="Z959" s="118">
        <f>IF(COUNTBLANK($J959:$Y959)=16,"",16-COUNTBLANK($J959:$Y959))</f>
        <v/>
      </c>
      <c r="AA959" s="33">
        <f>IF($J959="",MID($AX959,3,255),$J959&amp;$AX959)</f>
        <v/>
      </c>
      <c r="AB959" s="130">
        <f>IF($J959="","",IFERROR(INDEX(코드설정!$D$5:$D$24,MATCH($J959,코드설정!$C$5:$C$24,0)),""))</f>
        <v/>
      </c>
      <c r="AC959" s="36" t="n"/>
      <c r="AD959" s="37" t="n"/>
      <c r="AE959" s="38" t="n"/>
      <c r="AF959" s="118">
        <f>IF(OR($B959="",$C959=""),"",$C959-$B959+1)</f>
        <v/>
      </c>
      <c r="AG959" s="74" t="n"/>
      <c r="AH959" s="36" t="n"/>
      <c r="AJ959">
        <f>IF($K959="","",", "&amp;$K959)</f>
        <v/>
      </c>
      <c r="AK959">
        <f>AJ959&amp;IF($L959="","",", "&amp;$L959)</f>
        <v/>
      </c>
      <c r="AL959">
        <f>AK959&amp;IF($M959="","",", "&amp;$M959)</f>
        <v/>
      </c>
      <c r="AM959">
        <f>AL959&amp;IF($N959="","",", "&amp;$N959)</f>
        <v/>
      </c>
      <c r="AN959">
        <f>AM959&amp;IF($O959="","",", "&amp;$O959)</f>
        <v/>
      </c>
      <c r="AO959">
        <f>AN959&amp;IF($P959="","",", "&amp;$P959)</f>
        <v/>
      </c>
      <c r="AP959">
        <f>AO959&amp;IF($Q959="","",", "&amp;$Q959)</f>
        <v/>
      </c>
      <c r="AQ959">
        <f>AP959&amp;IF($R959="","",", "&amp;$R959)</f>
        <v/>
      </c>
      <c r="AR959">
        <f>AQ959&amp;IF($S959="","",", "&amp;$S959)</f>
        <v/>
      </c>
      <c r="AS959">
        <f>AR959&amp;IF($T959="","",", "&amp;$T959)</f>
        <v/>
      </c>
      <c r="AT959">
        <f>AS959&amp;IF($U959="","",", "&amp;$U959)</f>
        <v/>
      </c>
      <c r="AU959">
        <f>AT959&amp;IF($V959="","",", "&amp;$V959)</f>
        <v/>
      </c>
      <c r="AV959">
        <f>AU959&amp;IF($W959="","",", "&amp;$W959)</f>
        <v/>
      </c>
      <c r="AW959">
        <f>AV959&amp;IF($X959="","",", "&amp;$X959)</f>
        <v/>
      </c>
      <c r="AX959">
        <f>AW959&amp;IF($Y959="","",", "&amp;$Y959)</f>
        <v/>
      </c>
    </row>
    <row r="960">
      <c r="A960" s="118">
        <f>IF($B960="","",COUNT($B$5:$B960))</f>
        <v/>
      </c>
      <c r="B960" s="80" t="n"/>
      <c r="C960" s="80" t="n"/>
      <c r="D960" s="74" t="n"/>
      <c r="E960" s="74" t="n"/>
      <c r="F960" s="74" t="n"/>
      <c r="G960" s="118">
        <f>IF($F960="","",COUNTIF($F$5:$F960,$F960))</f>
        <v/>
      </c>
      <c r="H960" s="33">
        <f>IF($F960="","",IFERROR(INDEX(사건마스터!$B$5:$B$64,MATCH($F960,사건마스터!$A$5:$A$64,0)),""))</f>
        <v/>
      </c>
      <c r="I960" s="130">
        <f>IF($F960="","",IFERROR(INDEX(사건마스터!$C$5:$C$64,MATCH($F960,사건마스터!$A$5:$A$64,0)),""))</f>
        <v/>
      </c>
      <c r="J960" s="136">
        <f>IF($F960="","",IFERROR(INDEX(사건마스터!$H$5:$H$64,MATCH($F960,사건마스터!$A$5:$A$64,0)),""))</f>
        <v/>
      </c>
      <c r="K960" s="136">
        <f>IF($F960="","",IFERROR(INDEX(사건마스터!$AH$5:$AH$64,MATCH($F960,사건마스터!$A$5:$A$64,0)),""))</f>
        <v/>
      </c>
      <c r="L960" s="136">
        <f>IF($F960="","",IFERROR(INDEX(사건마스터!$AI$5:$AI$64,MATCH($F960,사건마스터!$A$5:$A$64,0)),""))</f>
        <v/>
      </c>
      <c r="M960" s="136">
        <f>IF($F960="","",IFERROR(INDEX(사건마스터!$AJ$5:$AJ$64,MATCH($F960,사건마스터!$A$5:$A$64,0)),""))</f>
        <v/>
      </c>
      <c r="N960" s="136">
        <f>IF($F960="","",IFERROR(INDEX(사건마스터!$AK$5:$AK$64,MATCH($F960,사건마스터!$A$5:$A$64,0)),""))</f>
        <v/>
      </c>
      <c r="O960" s="136">
        <f>IF($F960="","",IFERROR(INDEX(사건마스터!$AL$5:$AL$64,MATCH($F960,사건마스터!$A$5:$A$64,0)),""))</f>
        <v/>
      </c>
      <c r="P960" s="136">
        <f>IF($F960="","",IFERROR(INDEX(사건마스터!$AM$5:$AM$64,MATCH($F960,사건마스터!$A$5:$A$64,0)),""))</f>
        <v/>
      </c>
      <c r="Q960" s="136">
        <f>IF($F960="","",IFERROR(INDEX(사건마스터!$AN$5:$AN$64,MATCH($F960,사건마스터!$A$5:$A$64,0)),""))</f>
        <v/>
      </c>
      <c r="R960" s="136">
        <f>IF($F960="","",IFERROR(INDEX(사건마스터!$AO$5:$AO$64,MATCH($F960,사건마스터!$A$5:$A$64,0)),""))</f>
        <v/>
      </c>
      <c r="S960" s="136">
        <f>IF($F960="","",IFERROR(INDEX(사건마스터!$AP$5:$AP$64,MATCH($F960,사건마스터!$A$5:$A$64,0)),""))</f>
        <v/>
      </c>
      <c r="T960" s="136">
        <f>IF($F960="","",IFERROR(INDEX(사건마스터!$AQ$5:$AQ$64,MATCH($F960,사건마스터!$A$5:$A$64,0)),""))</f>
        <v/>
      </c>
      <c r="U960" s="136">
        <f>IF($F960="","",IFERROR(INDEX(사건마스터!$AR$5:$AR$64,MATCH($F960,사건마스터!$A$5:$A$64,0)),""))</f>
        <v/>
      </c>
      <c r="V960" s="136">
        <f>IF($F960="","",IFERROR(INDEX(사건마스터!$AS$5:$AS$64,MATCH($F960,사건마스터!$A$5:$A$64,0)),""))</f>
        <v/>
      </c>
      <c r="W960" s="136">
        <f>IF($F960="","",IFERROR(INDEX(사건마스터!$AT$5:$AT$64,MATCH($F960,사건마스터!$A$5:$A$64,0)),""))</f>
        <v/>
      </c>
      <c r="X960" s="136">
        <f>IF($F960="","",IFERROR(INDEX(사건마스터!$AU$5:$AU$64,MATCH($F960,사건마스터!$A$5:$A$64,0)),""))</f>
        <v/>
      </c>
      <c r="Y960" s="136">
        <f>IF($F960="","",IFERROR(INDEX(사건마스터!$AV$5:$AV$64,MATCH($F960,사건마스터!$A$5:$A$64,0)),""))</f>
        <v/>
      </c>
      <c r="Z960" s="118">
        <f>IF(COUNTBLANK($J960:$Y960)=16,"",16-COUNTBLANK($J960:$Y960))</f>
        <v/>
      </c>
      <c r="AA960" s="33">
        <f>IF($J960="",MID($AX960,3,255),$J960&amp;$AX960)</f>
        <v/>
      </c>
      <c r="AB960" s="130">
        <f>IF($J960="","",IFERROR(INDEX(코드설정!$D$5:$D$24,MATCH($J960,코드설정!$C$5:$C$24,0)),""))</f>
        <v/>
      </c>
      <c r="AC960" s="36" t="n"/>
      <c r="AD960" s="37" t="n"/>
      <c r="AE960" s="38" t="n"/>
      <c r="AF960" s="118">
        <f>IF(OR($B960="",$C960=""),"",$C960-$B960+1)</f>
        <v/>
      </c>
      <c r="AG960" s="74" t="n"/>
      <c r="AH960" s="36" t="n"/>
      <c r="AJ960">
        <f>IF($K960="","",", "&amp;$K960)</f>
        <v/>
      </c>
      <c r="AK960">
        <f>AJ960&amp;IF($L960="","",", "&amp;$L960)</f>
        <v/>
      </c>
      <c r="AL960">
        <f>AK960&amp;IF($M960="","",", "&amp;$M960)</f>
        <v/>
      </c>
      <c r="AM960">
        <f>AL960&amp;IF($N960="","",", "&amp;$N960)</f>
        <v/>
      </c>
      <c r="AN960">
        <f>AM960&amp;IF($O960="","",", "&amp;$O960)</f>
        <v/>
      </c>
      <c r="AO960">
        <f>AN960&amp;IF($P960="","",", "&amp;$P960)</f>
        <v/>
      </c>
      <c r="AP960">
        <f>AO960&amp;IF($Q960="","",", "&amp;$Q960)</f>
        <v/>
      </c>
      <c r="AQ960">
        <f>AP960&amp;IF($R960="","",", "&amp;$R960)</f>
        <v/>
      </c>
      <c r="AR960">
        <f>AQ960&amp;IF($S960="","",", "&amp;$S960)</f>
        <v/>
      </c>
      <c r="AS960">
        <f>AR960&amp;IF($T960="","",", "&amp;$T960)</f>
        <v/>
      </c>
      <c r="AT960">
        <f>AS960&amp;IF($U960="","",", "&amp;$U960)</f>
        <v/>
      </c>
      <c r="AU960">
        <f>AT960&amp;IF($V960="","",", "&amp;$V960)</f>
        <v/>
      </c>
      <c r="AV960">
        <f>AU960&amp;IF($W960="","",", "&amp;$W960)</f>
        <v/>
      </c>
      <c r="AW960">
        <f>AV960&amp;IF($X960="","",", "&amp;$X960)</f>
        <v/>
      </c>
      <c r="AX960">
        <f>AW960&amp;IF($Y960="","",", "&amp;$Y960)</f>
        <v/>
      </c>
    </row>
    <row r="961">
      <c r="A961" s="118">
        <f>IF($B961="","",COUNT($B$5:$B961))</f>
        <v/>
      </c>
      <c r="B961" s="80" t="n"/>
      <c r="C961" s="80" t="n"/>
      <c r="D961" s="74" t="n"/>
      <c r="E961" s="74" t="n"/>
      <c r="F961" s="74" t="n"/>
      <c r="G961" s="118">
        <f>IF($F961="","",COUNTIF($F$5:$F961,$F961))</f>
        <v/>
      </c>
      <c r="H961" s="33">
        <f>IF($F961="","",IFERROR(INDEX(사건마스터!$B$5:$B$64,MATCH($F961,사건마스터!$A$5:$A$64,0)),""))</f>
        <v/>
      </c>
      <c r="I961" s="130">
        <f>IF($F961="","",IFERROR(INDEX(사건마스터!$C$5:$C$64,MATCH($F961,사건마스터!$A$5:$A$64,0)),""))</f>
        <v/>
      </c>
      <c r="J961" s="136">
        <f>IF($F961="","",IFERROR(INDEX(사건마스터!$H$5:$H$64,MATCH($F961,사건마스터!$A$5:$A$64,0)),""))</f>
        <v/>
      </c>
      <c r="K961" s="136">
        <f>IF($F961="","",IFERROR(INDEX(사건마스터!$AH$5:$AH$64,MATCH($F961,사건마스터!$A$5:$A$64,0)),""))</f>
        <v/>
      </c>
      <c r="L961" s="136">
        <f>IF($F961="","",IFERROR(INDEX(사건마스터!$AI$5:$AI$64,MATCH($F961,사건마스터!$A$5:$A$64,0)),""))</f>
        <v/>
      </c>
      <c r="M961" s="136">
        <f>IF($F961="","",IFERROR(INDEX(사건마스터!$AJ$5:$AJ$64,MATCH($F961,사건마스터!$A$5:$A$64,0)),""))</f>
        <v/>
      </c>
      <c r="N961" s="136">
        <f>IF($F961="","",IFERROR(INDEX(사건마스터!$AK$5:$AK$64,MATCH($F961,사건마스터!$A$5:$A$64,0)),""))</f>
        <v/>
      </c>
      <c r="O961" s="136">
        <f>IF($F961="","",IFERROR(INDEX(사건마스터!$AL$5:$AL$64,MATCH($F961,사건마스터!$A$5:$A$64,0)),""))</f>
        <v/>
      </c>
      <c r="P961" s="136">
        <f>IF($F961="","",IFERROR(INDEX(사건마스터!$AM$5:$AM$64,MATCH($F961,사건마스터!$A$5:$A$64,0)),""))</f>
        <v/>
      </c>
      <c r="Q961" s="136">
        <f>IF($F961="","",IFERROR(INDEX(사건마스터!$AN$5:$AN$64,MATCH($F961,사건마스터!$A$5:$A$64,0)),""))</f>
        <v/>
      </c>
      <c r="R961" s="136">
        <f>IF($F961="","",IFERROR(INDEX(사건마스터!$AO$5:$AO$64,MATCH($F961,사건마스터!$A$5:$A$64,0)),""))</f>
        <v/>
      </c>
      <c r="S961" s="136">
        <f>IF($F961="","",IFERROR(INDEX(사건마스터!$AP$5:$AP$64,MATCH($F961,사건마스터!$A$5:$A$64,0)),""))</f>
        <v/>
      </c>
      <c r="T961" s="136">
        <f>IF($F961="","",IFERROR(INDEX(사건마스터!$AQ$5:$AQ$64,MATCH($F961,사건마스터!$A$5:$A$64,0)),""))</f>
        <v/>
      </c>
      <c r="U961" s="136">
        <f>IF($F961="","",IFERROR(INDEX(사건마스터!$AR$5:$AR$64,MATCH($F961,사건마스터!$A$5:$A$64,0)),""))</f>
        <v/>
      </c>
      <c r="V961" s="136">
        <f>IF($F961="","",IFERROR(INDEX(사건마스터!$AS$5:$AS$64,MATCH($F961,사건마스터!$A$5:$A$64,0)),""))</f>
        <v/>
      </c>
      <c r="W961" s="136">
        <f>IF($F961="","",IFERROR(INDEX(사건마스터!$AT$5:$AT$64,MATCH($F961,사건마스터!$A$5:$A$64,0)),""))</f>
        <v/>
      </c>
      <c r="X961" s="136">
        <f>IF($F961="","",IFERROR(INDEX(사건마스터!$AU$5:$AU$64,MATCH($F961,사건마스터!$A$5:$A$64,0)),""))</f>
        <v/>
      </c>
      <c r="Y961" s="136">
        <f>IF($F961="","",IFERROR(INDEX(사건마스터!$AV$5:$AV$64,MATCH($F961,사건마스터!$A$5:$A$64,0)),""))</f>
        <v/>
      </c>
      <c r="Z961" s="118">
        <f>IF(COUNTBLANK($J961:$Y961)=16,"",16-COUNTBLANK($J961:$Y961))</f>
        <v/>
      </c>
      <c r="AA961" s="33">
        <f>IF($J961="",MID($AX961,3,255),$J961&amp;$AX961)</f>
        <v/>
      </c>
      <c r="AB961" s="130">
        <f>IF($J961="","",IFERROR(INDEX(코드설정!$D$5:$D$24,MATCH($J961,코드설정!$C$5:$C$24,0)),""))</f>
        <v/>
      </c>
      <c r="AC961" s="36" t="n"/>
      <c r="AD961" s="37" t="n"/>
      <c r="AE961" s="38" t="n"/>
      <c r="AF961" s="118">
        <f>IF(OR($B961="",$C961=""),"",$C961-$B961+1)</f>
        <v/>
      </c>
      <c r="AG961" s="74" t="n"/>
      <c r="AH961" s="36" t="n"/>
      <c r="AJ961">
        <f>IF($K961="","",", "&amp;$K961)</f>
        <v/>
      </c>
      <c r="AK961">
        <f>AJ961&amp;IF($L961="","",", "&amp;$L961)</f>
        <v/>
      </c>
      <c r="AL961">
        <f>AK961&amp;IF($M961="","",", "&amp;$M961)</f>
        <v/>
      </c>
      <c r="AM961">
        <f>AL961&amp;IF($N961="","",", "&amp;$N961)</f>
        <v/>
      </c>
      <c r="AN961">
        <f>AM961&amp;IF($O961="","",", "&amp;$O961)</f>
        <v/>
      </c>
      <c r="AO961">
        <f>AN961&amp;IF($P961="","",", "&amp;$P961)</f>
        <v/>
      </c>
      <c r="AP961">
        <f>AO961&amp;IF($Q961="","",", "&amp;$Q961)</f>
        <v/>
      </c>
      <c r="AQ961">
        <f>AP961&amp;IF($R961="","",", "&amp;$R961)</f>
        <v/>
      </c>
      <c r="AR961">
        <f>AQ961&amp;IF($S961="","",", "&amp;$S961)</f>
        <v/>
      </c>
      <c r="AS961">
        <f>AR961&amp;IF($T961="","",", "&amp;$T961)</f>
        <v/>
      </c>
      <c r="AT961">
        <f>AS961&amp;IF($U961="","",", "&amp;$U961)</f>
        <v/>
      </c>
      <c r="AU961">
        <f>AT961&amp;IF($V961="","",", "&amp;$V961)</f>
        <v/>
      </c>
      <c r="AV961">
        <f>AU961&amp;IF($W961="","",", "&amp;$W961)</f>
        <v/>
      </c>
      <c r="AW961">
        <f>AV961&amp;IF($X961="","",", "&amp;$X961)</f>
        <v/>
      </c>
      <c r="AX961">
        <f>AW961&amp;IF($Y961="","",", "&amp;$Y961)</f>
        <v/>
      </c>
    </row>
    <row r="962">
      <c r="A962" s="118">
        <f>IF($B962="","",COUNT($B$5:$B962))</f>
        <v/>
      </c>
      <c r="B962" s="80" t="n"/>
      <c r="C962" s="80" t="n"/>
      <c r="D962" s="74" t="n"/>
      <c r="E962" s="74" t="n"/>
      <c r="F962" s="74" t="n"/>
      <c r="G962" s="118">
        <f>IF($F962="","",COUNTIF($F$5:$F962,$F962))</f>
        <v/>
      </c>
      <c r="H962" s="33">
        <f>IF($F962="","",IFERROR(INDEX(사건마스터!$B$5:$B$64,MATCH($F962,사건마스터!$A$5:$A$64,0)),""))</f>
        <v/>
      </c>
      <c r="I962" s="130">
        <f>IF($F962="","",IFERROR(INDEX(사건마스터!$C$5:$C$64,MATCH($F962,사건마스터!$A$5:$A$64,0)),""))</f>
        <v/>
      </c>
      <c r="J962" s="136">
        <f>IF($F962="","",IFERROR(INDEX(사건마스터!$H$5:$H$64,MATCH($F962,사건마스터!$A$5:$A$64,0)),""))</f>
        <v/>
      </c>
      <c r="K962" s="136">
        <f>IF($F962="","",IFERROR(INDEX(사건마스터!$AH$5:$AH$64,MATCH($F962,사건마스터!$A$5:$A$64,0)),""))</f>
        <v/>
      </c>
      <c r="L962" s="136">
        <f>IF($F962="","",IFERROR(INDEX(사건마스터!$AI$5:$AI$64,MATCH($F962,사건마스터!$A$5:$A$64,0)),""))</f>
        <v/>
      </c>
      <c r="M962" s="136">
        <f>IF($F962="","",IFERROR(INDEX(사건마스터!$AJ$5:$AJ$64,MATCH($F962,사건마스터!$A$5:$A$64,0)),""))</f>
        <v/>
      </c>
      <c r="N962" s="136">
        <f>IF($F962="","",IFERROR(INDEX(사건마스터!$AK$5:$AK$64,MATCH($F962,사건마스터!$A$5:$A$64,0)),""))</f>
        <v/>
      </c>
      <c r="O962" s="136">
        <f>IF($F962="","",IFERROR(INDEX(사건마스터!$AL$5:$AL$64,MATCH($F962,사건마스터!$A$5:$A$64,0)),""))</f>
        <v/>
      </c>
      <c r="P962" s="136">
        <f>IF($F962="","",IFERROR(INDEX(사건마스터!$AM$5:$AM$64,MATCH($F962,사건마스터!$A$5:$A$64,0)),""))</f>
        <v/>
      </c>
      <c r="Q962" s="136">
        <f>IF($F962="","",IFERROR(INDEX(사건마스터!$AN$5:$AN$64,MATCH($F962,사건마스터!$A$5:$A$64,0)),""))</f>
        <v/>
      </c>
      <c r="R962" s="136">
        <f>IF($F962="","",IFERROR(INDEX(사건마스터!$AO$5:$AO$64,MATCH($F962,사건마스터!$A$5:$A$64,0)),""))</f>
        <v/>
      </c>
      <c r="S962" s="136">
        <f>IF($F962="","",IFERROR(INDEX(사건마스터!$AP$5:$AP$64,MATCH($F962,사건마스터!$A$5:$A$64,0)),""))</f>
        <v/>
      </c>
      <c r="T962" s="136">
        <f>IF($F962="","",IFERROR(INDEX(사건마스터!$AQ$5:$AQ$64,MATCH($F962,사건마스터!$A$5:$A$64,0)),""))</f>
        <v/>
      </c>
      <c r="U962" s="136">
        <f>IF($F962="","",IFERROR(INDEX(사건마스터!$AR$5:$AR$64,MATCH($F962,사건마스터!$A$5:$A$64,0)),""))</f>
        <v/>
      </c>
      <c r="V962" s="136">
        <f>IF($F962="","",IFERROR(INDEX(사건마스터!$AS$5:$AS$64,MATCH($F962,사건마스터!$A$5:$A$64,0)),""))</f>
        <v/>
      </c>
      <c r="W962" s="136">
        <f>IF($F962="","",IFERROR(INDEX(사건마스터!$AT$5:$AT$64,MATCH($F962,사건마스터!$A$5:$A$64,0)),""))</f>
        <v/>
      </c>
      <c r="X962" s="136">
        <f>IF($F962="","",IFERROR(INDEX(사건마스터!$AU$5:$AU$64,MATCH($F962,사건마스터!$A$5:$A$64,0)),""))</f>
        <v/>
      </c>
      <c r="Y962" s="136">
        <f>IF($F962="","",IFERROR(INDEX(사건마스터!$AV$5:$AV$64,MATCH($F962,사건마스터!$A$5:$A$64,0)),""))</f>
        <v/>
      </c>
      <c r="Z962" s="118">
        <f>IF(COUNTBLANK($J962:$Y962)=16,"",16-COUNTBLANK($J962:$Y962))</f>
        <v/>
      </c>
      <c r="AA962" s="33">
        <f>IF($J962="",MID($AX962,3,255),$J962&amp;$AX962)</f>
        <v/>
      </c>
      <c r="AB962" s="130">
        <f>IF($J962="","",IFERROR(INDEX(코드설정!$D$5:$D$24,MATCH($J962,코드설정!$C$5:$C$24,0)),""))</f>
        <v/>
      </c>
      <c r="AC962" s="36" t="n"/>
      <c r="AD962" s="37" t="n"/>
      <c r="AE962" s="38" t="n"/>
      <c r="AF962" s="118">
        <f>IF(OR($B962="",$C962=""),"",$C962-$B962+1)</f>
        <v/>
      </c>
      <c r="AG962" s="74" t="n"/>
      <c r="AH962" s="36" t="n"/>
      <c r="AJ962">
        <f>IF($K962="","",", "&amp;$K962)</f>
        <v/>
      </c>
      <c r="AK962">
        <f>AJ962&amp;IF($L962="","",", "&amp;$L962)</f>
        <v/>
      </c>
      <c r="AL962">
        <f>AK962&amp;IF($M962="","",", "&amp;$M962)</f>
        <v/>
      </c>
      <c r="AM962">
        <f>AL962&amp;IF($N962="","",", "&amp;$N962)</f>
        <v/>
      </c>
      <c r="AN962">
        <f>AM962&amp;IF($O962="","",", "&amp;$O962)</f>
        <v/>
      </c>
      <c r="AO962">
        <f>AN962&amp;IF($P962="","",", "&amp;$P962)</f>
        <v/>
      </c>
      <c r="AP962">
        <f>AO962&amp;IF($Q962="","",", "&amp;$Q962)</f>
        <v/>
      </c>
      <c r="AQ962">
        <f>AP962&amp;IF($R962="","",", "&amp;$R962)</f>
        <v/>
      </c>
      <c r="AR962">
        <f>AQ962&amp;IF($S962="","",", "&amp;$S962)</f>
        <v/>
      </c>
      <c r="AS962">
        <f>AR962&amp;IF($T962="","",", "&amp;$T962)</f>
        <v/>
      </c>
      <c r="AT962">
        <f>AS962&amp;IF($U962="","",", "&amp;$U962)</f>
        <v/>
      </c>
      <c r="AU962">
        <f>AT962&amp;IF($V962="","",", "&amp;$V962)</f>
        <v/>
      </c>
      <c r="AV962">
        <f>AU962&amp;IF($W962="","",", "&amp;$W962)</f>
        <v/>
      </c>
      <c r="AW962">
        <f>AV962&amp;IF($X962="","",", "&amp;$X962)</f>
        <v/>
      </c>
      <c r="AX962">
        <f>AW962&amp;IF($Y962="","",", "&amp;$Y962)</f>
        <v/>
      </c>
    </row>
    <row r="963">
      <c r="A963" s="118">
        <f>IF($B963="","",COUNT($B$5:$B963))</f>
        <v/>
      </c>
      <c r="B963" s="80" t="n"/>
      <c r="C963" s="80" t="n"/>
      <c r="D963" s="74" t="n"/>
      <c r="E963" s="74" t="n"/>
      <c r="F963" s="74" t="n"/>
      <c r="G963" s="118">
        <f>IF($F963="","",COUNTIF($F$5:$F963,$F963))</f>
        <v/>
      </c>
      <c r="H963" s="33">
        <f>IF($F963="","",IFERROR(INDEX(사건마스터!$B$5:$B$64,MATCH($F963,사건마스터!$A$5:$A$64,0)),""))</f>
        <v/>
      </c>
      <c r="I963" s="130">
        <f>IF($F963="","",IFERROR(INDEX(사건마스터!$C$5:$C$64,MATCH($F963,사건마스터!$A$5:$A$64,0)),""))</f>
        <v/>
      </c>
      <c r="J963" s="136">
        <f>IF($F963="","",IFERROR(INDEX(사건마스터!$H$5:$H$64,MATCH($F963,사건마스터!$A$5:$A$64,0)),""))</f>
        <v/>
      </c>
      <c r="K963" s="136">
        <f>IF($F963="","",IFERROR(INDEX(사건마스터!$AH$5:$AH$64,MATCH($F963,사건마스터!$A$5:$A$64,0)),""))</f>
        <v/>
      </c>
      <c r="L963" s="136">
        <f>IF($F963="","",IFERROR(INDEX(사건마스터!$AI$5:$AI$64,MATCH($F963,사건마스터!$A$5:$A$64,0)),""))</f>
        <v/>
      </c>
      <c r="M963" s="136">
        <f>IF($F963="","",IFERROR(INDEX(사건마스터!$AJ$5:$AJ$64,MATCH($F963,사건마스터!$A$5:$A$64,0)),""))</f>
        <v/>
      </c>
      <c r="N963" s="136">
        <f>IF($F963="","",IFERROR(INDEX(사건마스터!$AK$5:$AK$64,MATCH($F963,사건마스터!$A$5:$A$64,0)),""))</f>
        <v/>
      </c>
      <c r="O963" s="136">
        <f>IF($F963="","",IFERROR(INDEX(사건마스터!$AL$5:$AL$64,MATCH($F963,사건마스터!$A$5:$A$64,0)),""))</f>
        <v/>
      </c>
      <c r="P963" s="136">
        <f>IF($F963="","",IFERROR(INDEX(사건마스터!$AM$5:$AM$64,MATCH($F963,사건마스터!$A$5:$A$64,0)),""))</f>
        <v/>
      </c>
      <c r="Q963" s="136">
        <f>IF($F963="","",IFERROR(INDEX(사건마스터!$AN$5:$AN$64,MATCH($F963,사건마스터!$A$5:$A$64,0)),""))</f>
        <v/>
      </c>
      <c r="R963" s="136">
        <f>IF($F963="","",IFERROR(INDEX(사건마스터!$AO$5:$AO$64,MATCH($F963,사건마스터!$A$5:$A$64,0)),""))</f>
        <v/>
      </c>
      <c r="S963" s="136">
        <f>IF($F963="","",IFERROR(INDEX(사건마스터!$AP$5:$AP$64,MATCH($F963,사건마스터!$A$5:$A$64,0)),""))</f>
        <v/>
      </c>
      <c r="T963" s="136">
        <f>IF($F963="","",IFERROR(INDEX(사건마스터!$AQ$5:$AQ$64,MATCH($F963,사건마스터!$A$5:$A$64,0)),""))</f>
        <v/>
      </c>
      <c r="U963" s="136">
        <f>IF($F963="","",IFERROR(INDEX(사건마스터!$AR$5:$AR$64,MATCH($F963,사건마스터!$A$5:$A$64,0)),""))</f>
        <v/>
      </c>
      <c r="V963" s="136">
        <f>IF($F963="","",IFERROR(INDEX(사건마스터!$AS$5:$AS$64,MATCH($F963,사건마스터!$A$5:$A$64,0)),""))</f>
        <v/>
      </c>
      <c r="W963" s="136">
        <f>IF($F963="","",IFERROR(INDEX(사건마스터!$AT$5:$AT$64,MATCH($F963,사건마스터!$A$5:$A$64,0)),""))</f>
        <v/>
      </c>
      <c r="X963" s="136">
        <f>IF($F963="","",IFERROR(INDEX(사건마스터!$AU$5:$AU$64,MATCH($F963,사건마스터!$A$5:$A$64,0)),""))</f>
        <v/>
      </c>
      <c r="Y963" s="136">
        <f>IF($F963="","",IFERROR(INDEX(사건마스터!$AV$5:$AV$64,MATCH($F963,사건마스터!$A$5:$A$64,0)),""))</f>
        <v/>
      </c>
      <c r="Z963" s="118">
        <f>IF(COUNTBLANK($J963:$Y963)=16,"",16-COUNTBLANK($J963:$Y963))</f>
        <v/>
      </c>
      <c r="AA963" s="33">
        <f>IF($J963="",MID($AX963,3,255),$J963&amp;$AX963)</f>
        <v/>
      </c>
      <c r="AB963" s="130">
        <f>IF($J963="","",IFERROR(INDEX(코드설정!$D$5:$D$24,MATCH($J963,코드설정!$C$5:$C$24,0)),""))</f>
        <v/>
      </c>
      <c r="AC963" s="36" t="n"/>
      <c r="AD963" s="37" t="n"/>
      <c r="AE963" s="38" t="n"/>
      <c r="AF963" s="118">
        <f>IF(OR($B963="",$C963=""),"",$C963-$B963+1)</f>
        <v/>
      </c>
      <c r="AG963" s="74" t="n"/>
      <c r="AH963" s="36" t="n"/>
      <c r="AJ963">
        <f>IF($K963="","",", "&amp;$K963)</f>
        <v/>
      </c>
      <c r="AK963">
        <f>AJ963&amp;IF($L963="","",", "&amp;$L963)</f>
        <v/>
      </c>
      <c r="AL963">
        <f>AK963&amp;IF($M963="","",", "&amp;$M963)</f>
        <v/>
      </c>
      <c r="AM963">
        <f>AL963&amp;IF($N963="","",", "&amp;$N963)</f>
        <v/>
      </c>
      <c r="AN963">
        <f>AM963&amp;IF($O963="","",", "&amp;$O963)</f>
        <v/>
      </c>
      <c r="AO963">
        <f>AN963&amp;IF($P963="","",", "&amp;$P963)</f>
        <v/>
      </c>
      <c r="AP963">
        <f>AO963&amp;IF($Q963="","",", "&amp;$Q963)</f>
        <v/>
      </c>
      <c r="AQ963">
        <f>AP963&amp;IF($R963="","",", "&amp;$R963)</f>
        <v/>
      </c>
      <c r="AR963">
        <f>AQ963&amp;IF($S963="","",", "&amp;$S963)</f>
        <v/>
      </c>
      <c r="AS963">
        <f>AR963&amp;IF($T963="","",", "&amp;$T963)</f>
        <v/>
      </c>
      <c r="AT963">
        <f>AS963&amp;IF($U963="","",", "&amp;$U963)</f>
        <v/>
      </c>
      <c r="AU963">
        <f>AT963&amp;IF($V963="","",", "&amp;$V963)</f>
        <v/>
      </c>
      <c r="AV963">
        <f>AU963&amp;IF($W963="","",", "&amp;$W963)</f>
        <v/>
      </c>
      <c r="AW963">
        <f>AV963&amp;IF($X963="","",", "&amp;$X963)</f>
        <v/>
      </c>
      <c r="AX963">
        <f>AW963&amp;IF($Y963="","",", "&amp;$Y963)</f>
        <v/>
      </c>
    </row>
    <row r="964">
      <c r="A964" s="118">
        <f>IF($B964="","",COUNT($B$5:$B964))</f>
        <v/>
      </c>
      <c r="B964" s="80" t="n"/>
      <c r="C964" s="80" t="n"/>
      <c r="D964" s="74" t="n"/>
      <c r="E964" s="74" t="n"/>
      <c r="F964" s="74" t="n"/>
      <c r="G964" s="118">
        <f>IF($F964="","",COUNTIF($F$5:$F964,$F964))</f>
        <v/>
      </c>
      <c r="H964" s="33">
        <f>IF($F964="","",IFERROR(INDEX(사건마스터!$B$5:$B$64,MATCH($F964,사건마스터!$A$5:$A$64,0)),""))</f>
        <v/>
      </c>
      <c r="I964" s="130">
        <f>IF($F964="","",IFERROR(INDEX(사건마스터!$C$5:$C$64,MATCH($F964,사건마스터!$A$5:$A$64,0)),""))</f>
        <v/>
      </c>
      <c r="J964" s="136">
        <f>IF($F964="","",IFERROR(INDEX(사건마스터!$H$5:$H$64,MATCH($F964,사건마스터!$A$5:$A$64,0)),""))</f>
        <v/>
      </c>
      <c r="K964" s="136">
        <f>IF($F964="","",IFERROR(INDEX(사건마스터!$AH$5:$AH$64,MATCH($F964,사건마스터!$A$5:$A$64,0)),""))</f>
        <v/>
      </c>
      <c r="L964" s="136">
        <f>IF($F964="","",IFERROR(INDEX(사건마스터!$AI$5:$AI$64,MATCH($F964,사건마스터!$A$5:$A$64,0)),""))</f>
        <v/>
      </c>
      <c r="M964" s="136">
        <f>IF($F964="","",IFERROR(INDEX(사건마스터!$AJ$5:$AJ$64,MATCH($F964,사건마스터!$A$5:$A$64,0)),""))</f>
        <v/>
      </c>
      <c r="N964" s="136">
        <f>IF($F964="","",IFERROR(INDEX(사건마스터!$AK$5:$AK$64,MATCH($F964,사건마스터!$A$5:$A$64,0)),""))</f>
        <v/>
      </c>
      <c r="O964" s="136">
        <f>IF($F964="","",IFERROR(INDEX(사건마스터!$AL$5:$AL$64,MATCH($F964,사건마스터!$A$5:$A$64,0)),""))</f>
        <v/>
      </c>
      <c r="P964" s="136">
        <f>IF($F964="","",IFERROR(INDEX(사건마스터!$AM$5:$AM$64,MATCH($F964,사건마스터!$A$5:$A$64,0)),""))</f>
        <v/>
      </c>
      <c r="Q964" s="136">
        <f>IF($F964="","",IFERROR(INDEX(사건마스터!$AN$5:$AN$64,MATCH($F964,사건마스터!$A$5:$A$64,0)),""))</f>
        <v/>
      </c>
      <c r="R964" s="136">
        <f>IF($F964="","",IFERROR(INDEX(사건마스터!$AO$5:$AO$64,MATCH($F964,사건마스터!$A$5:$A$64,0)),""))</f>
        <v/>
      </c>
      <c r="S964" s="136">
        <f>IF($F964="","",IFERROR(INDEX(사건마스터!$AP$5:$AP$64,MATCH($F964,사건마스터!$A$5:$A$64,0)),""))</f>
        <v/>
      </c>
      <c r="T964" s="136">
        <f>IF($F964="","",IFERROR(INDEX(사건마스터!$AQ$5:$AQ$64,MATCH($F964,사건마스터!$A$5:$A$64,0)),""))</f>
        <v/>
      </c>
      <c r="U964" s="136">
        <f>IF($F964="","",IFERROR(INDEX(사건마스터!$AR$5:$AR$64,MATCH($F964,사건마스터!$A$5:$A$64,0)),""))</f>
        <v/>
      </c>
      <c r="V964" s="136">
        <f>IF($F964="","",IFERROR(INDEX(사건마스터!$AS$5:$AS$64,MATCH($F964,사건마스터!$A$5:$A$64,0)),""))</f>
        <v/>
      </c>
      <c r="W964" s="136">
        <f>IF($F964="","",IFERROR(INDEX(사건마스터!$AT$5:$AT$64,MATCH($F964,사건마스터!$A$5:$A$64,0)),""))</f>
        <v/>
      </c>
      <c r="X964" s="136">
        <f>IF($F964="","",IFERROR(INDEX(사건마스터!$AU$5:$AU$64,MATCH($F964,사건마스터!$A$5:$A$64,0)),""))</f>
        <v/>
      </c>
      <c r="Y964" s="136">
        <f>IF($F964="","",IFERROR(INDEX(사건마스터!$AV$5:$AV$64,MATCH($F964,사건마스터!$A$5:$A$64,0)),""))</f>
        <v/>
      </c>
      <c r="Z964" s="118">
        <f>IF(COUNTBLANK($J964:$Y964)=16,"",16-COUNTBLANK($J964:$Y964))</f>
        <v/>
      </c>
      <c r="AA964" s="33">
        <f>IF($J964="",MID($AX964,3,255),$J964&amp;$AX964)</f>
        <v/>
      </c>
      <c r="AB964" s="130">
        <f>IF($J964="","",IFERROR(INDEX(코드설정!$D$5:$D$24,MATCH($J964,코드설정!$C$5:$C$24,0)),""))</f>
        <v/>
      </c>
      <c r="AC964" s="36" t="n"/>
      <c r="AD964" s="37" t="n"/>
      <c r="AE964" s="38" t="n"/>
      <c r="AF964" s="118">
        <f>IF(OR($B964="",$C964=""),"",$C964-$B964+1)</f>
        <v/>
      </c>
      <c r="AG964" s="74" t="n"/>
      <c r="AH964" s="36" t="n"/>
      <c r="AJ964">
        <f>IF($K964="","",", "&amp;$K964)</f>
        <v/>
      </c>
      <c r="AK964">
        <f>AJ964&amp;IF($L964="","",", "&amp;$L964)</f>
        <v/>
      </c>
      <c r="AL964">
        <f>AK964&amp;IF($M964="","",", "&amp;$M964)</f>
        <v/>
      </c>
      <c r="AM964">
        <f>AL964&amp;IF($N964="","",", "&amp;$N964)</f>
        <v/>
      </c>
      <c r="AN964">
        <f>AM964&amp;IF($O964="","",", "&amp;$O964)</f>
        <v/>
      </c>
      <c r="AO964">
        <f>AN964&amp;IF($P964="","",", "&amp;$P964)</f>
        <v/>
      </c>
      <c r="AP964">
        <f>AO964&amp;IF($Q964="","",", "&amp;$Q964)</f>
        <v/>
      </c>
      <c r="AQ964">
        <f>AP964&amp;IF($R964="","",", "&amp;$R964)</f>
        <v/>
      </c>
      <c r="AR964">
        <f>AQ964&amp;IF($S964="","",", "&amp;$S964)</f>
        <v/>
      </c>
      <c r="AS964">
        <f>AR964&amp;IF($T964="","",", "&amp;$T964)</f>
        <v/>
      </c>
      <c r="AT964">
        <f>AS964&amp;IF($U964="","",", "&amp;$U964)</f>
        <v/>
      </c>
      <c r="AU964">
        <f>AT964&amp;IF($V964="","",", "&amp;$V964)</f>
        <v/>
      </c>
      <c r="AV964">
        <f>AU964&amp;IF($W964="","",", "&amp;$W964)</f>
        <v/>
      </c>
      <c r="AW964">
        <f>AV964&amp;IF($X964="","",", "&amp;$X964)</f>
        <v/>
      </c>
      <c r="AX964">
        <f>AW964&amp;IF($Y964="","",", "&amp;$Y964)</f>
        <v/>
      </c>
    </row>
    <row r="965">
      <c r="A965" s="118">
        <f>IF($B965="","",COUNT($B$5:$B965))</f>
        <v/>
      </c>
      <c r="B965" s="80" t="n"/>
      <c r="C965" s="80" t="n"/>
      <c r="D965" s="74" t="n"/>
      <c r="E965" s="74" t="n"/>
      <c r="F965" s="74" t="n"/>
      <c r="G965" s="118">
        <f>IF($F965="","",COUNTIF($F$5:$F965,$F965))</f>
        <v/>
      </c>
      <c r="H965" s="33">
        <f>IF($F965="","",IFERROR(INDEX(사건마스터!$B$5:$B$64,MATCH($F965,사건마스터!$A$5:$A$64,0)),""))</f>
        <v/>
      </c>
      <c r="I965" s="130">
        <f>IF($F965="","",IFERROR(INDEX(사건마스터!$C$5:$C$64,MATCH($F965,사건마스터!$A$5:$A$64,0)),""))</f>
        <v/>
      </c>
      <c r="J965" s="136">
        <f>IF($F965="","",IFERROR(INDEX(사건마스터!$H$5:$H$64,MATCH($F965,사건마스터!$A$5:$A$64,0)),""))</f>
        <v/>
      </c>
      <c r="K965" s="136">
        <f>IF($F965="","",IFERROR(INDEX(사건마스터!$AH$5:$AH$64,MATCH($F965,사건마스터!$A$5:$A$64,0)),""))</f>
        <v/>
      </c>
      <c r="L965" s="136">
        <f>IF($F965="","",IFERROR(INDEX(사건마스터!$AI$5:$AI$64,MATCH($F965,사건마스터!$A$5:$A$64,0)),""))</f>
        <v/>
      </c>
      <c r="M965" s="136">
        <f>IF($F965="","",IFERROR(INDEX(사건마스터!$AJ$5:$AJ$64,MATCH($F965,사건마스터!$A$5:$A$64,0)),""))</f>
        <v/>
      </c>
      <c r="N965" s="136">
        <f>IF($F965="","",IFERROR(INDEX(사건마스터!$AK$5:$AK$64,MATCH($F965,사건마스터!$A$5:$A$64,0)),""))</f>
        <v/>
      </c>
      <c r="O965" s="136">
        <f>IF($F965="","",IFERROR(INDEX(사건마스터!$AL$5:$AL$64,MATCH($F965,사건마스터!$A$5:$A$64,0)),""))</f>
        <v/>
      </c>
      <c r="P965" s="136">
        <f>IF($F965="","",IFERROR(INDEX(사건마스터!$AM$5:$AM$64,MATCH($F965,사건마스터!$A$5:$A$64,0)),""))</f>
        <v/>
      </c>
      <c r="Q965" s="136">
        <f>IF($F965="","",IFERROR(INDEX(사건마스터!$AN$5:$AN$64,MATCH($F965,사건마스터!$A$5:$A$64,0)),""))</f>
        <v/>
      </c>
      <c r="R965" s="136">
        <f>IF($F965="","",IFERROR(INDEX(사건마스터!$AO$5:$AO$64,MATCH($F965,사건마스터!$A$5:$A$64,0)),""))</f>
        <v/>
      </c>
      <c r="S965" s="136">
        <f>IF($F965="","",IFERROR(INDEX(사건마스터!$AP$5:$AP$64,MATCH($F965,사건마스터!$A$5:$A$64,0)),""))</f>
        <v/>
      </c>
      <c r="T965" s="136">
        <f>IF($F965="","",IFERROR(INDEX(사건마스터!$AQ$5:$AQ$64,MATCH($F965,사건마스터!$A$5:$A$64,0)),""))</f>
        <v/>
      </c>
      <c r="U965" s="136">
        <f>IF($F965="","",IFERROR(INDEX(사건마스터!$AR$5:$AR$64,MATCH($F965,사건마스터!$A$5:$A$64,0)),""))</f>
        <v/>
      </c>
      <c r="V965" s="136">
        <f>IF($F965="","",IFERROR(INDEX(사건마스터!$AS$5:$AS$64,MATCH($F965,사건마스터!$A$5:$A$64,0)),""))</f>
        <v/>
      </c>
      <c r="W965" s="136">
        <f>IF($F965="","",IFERROR(INDEX(사건마스터!$AT$5:$AT$64,MATCH($F965,사건마스터!$A$5:$A$64,0)),""))</f>
        <v/>
      </c>
      <c r="X965" s="136">
        <f>IF($F965="","",IFERROR(INDEX(사건마스터!$AU$5:$AU$64,MATCH($F965,사건마스터!$A$5:$A$64,0)),""))</f>
        <v/>
      </c>
      <c r="Y965" s="136">
        <f>IF($F965="","",IFERROR(INDEX(사건마스터!$AV$5:$AV$64,MATCH($F965,사건마스터!$A$5:$A$64,0)),""))</f>
        <v/>
      </c>
      <c r="Z965" s="118">
        <f>IF(COUNTBLANK($J965:$Y965)=16,"",16-COUNTBLANK($J965:$Y965))</f>
        <v/>
      </c>
      <c r="AA965" s="33">
        <f>IF($J965="",MID($AX965,3,255),$J965&amp;$AX965)</f>
        <v/>
      </c>
      <c r="AB965" s="130">
        <f>IF($J965="","",IFERROR(INDEX(코드설정!$D$5:$D$24,MATCH($J965,코드설정!$C$5:$C$24,0)),""))</f>
        <v/>
      </c>
      <c r="AC965" s="36" t="n"/>
      <c r="AD965" s="37" t="n"/>
      <c r="AE965" s="38" t="n"/>
      <c r="AF965" s="118">
        <f>IF(OR($B965="",$C965=""),"",$C965-$B965+1)</f>
        <v/>
      </c>
      <c r="AG965" s="74" t="n"/>
      <c r="AH965" s="36" t="n"/>
      <c r="AJ965">
        <f>IF($K965="","",", "&amp;$K965)</f>
        <v/>
      </c>
      <c r="AK965">
        <f>AJ965&amp;IF($L965="","",", "&amp;$L965)</f>
        <v/>
      </c>
      <c r="AL965">
        <f>AK965&amp;IF($M965="","",", "&amp;$M965)</f>
        <v/>
      </c>
      <c r="AM965">
        <f>AL965&amp;IF($N965="","",", "&amp;$N965)</f>
        <v/>
      </c>
      <c r="AN965">
        <f>AM965&amp;IF($O965="","",", "&amp;$O965)</f>
        <v/>
      </c>
      <c r="AO965">
        <f>AN965&amp;IF($P965="","",", "&amp;$P965)</f>
        <v/>
      </c>
      <c r="AP965">
        <f>AO965&amp;IF($Q965="","",", "&amp;$Q965)</f>
        <v/>
      </c>
      <c r="AQ965">
        <f>AP965&amp;IF($R965="","",", "&amp;$R965)</f>
        <v/>
      </c>
      <c r="AR965">
        <f>AQ965&amp;IF($S965="","",", "&amp;$S965)</f>
        <v/>
      </c>
      <c r="AS965">
        <f>AR965&amp;IF($T965="","",", "&amp;$T965)</f>
        <v/>
      </c>
      <c r="AT965">
        <f>AS965&amp;IF($U965="","",", "&amp;$U965)</f>
        <v/>
      </c>
      <c r="AU965">
        <f>AT965&amp;IF($V965="","",", "&amp;$V965)</f>
        <v/>
      </c>
      <c r="AV965">
        <f>AU965&amp;IF($W965="","",", "&amp;$W965)</f>
        <v/>
      </c>
      <c r="AW965">
        <f>AV965&amp;IF($X965="","",", "&amp;$X965)</f>
        <v/>
      </c>
      <c r="AX965">
        <f>AW965&amp;IF($Y965="","",", "&amp;$Y965)</f>
        <v/>
      </c>
    </row>
    <row r="966">
      <c r="A966" s="118">
        <f>IF($B966="","",COUNT($B$5:$B966))</f>
        <v/>
      </c>
      <c r="B966" s="80" t="n"/>
      <c r="C966" s="80" t="n"/>
      <c r="D966" s="74" t="n"/>
      <c r="E966" s="74" t="n"/>
      <c r="F966" s="74" t="n"/>
      <c r="G966" s="118">
        <f>IF($F966="","",COUNTIF($F$5:$F966,$F966))</f>
        <v/>
      </c>
      <c r="H966" s="33">
        <f>IF($F966="","",IFERROR(INDEX(사건마스터!$B$5:$B$64,MATCH($F966,사건마스터!$A$5:$A$64,0)),""))</f>
        <v/>
      </c>
      <c r="I966" s="130">
        <f>IF($F966="","",IFERROR(INDEX(사건마스터!$C$5:$C$64,MATCH($F966,사건마스터!$A$5:$A$64,0)),""))</f>
        <v/>
      </c>
      <c r="J966" s="136">
        <f>IF($F966="","",IFERROR(INDEX(사건마스터!$H$5:$H$64,MATCH($F966,사건마스터!$A$5:$A$64,0)),""))</f>
        <v/>
      </c>
      <c r="K966" s="136">
        <f>IF($F966="","",IFERROR(INDEX(사건마스터!$AH$5:$AH$64,MATCH($F966,사건마스터!$A$5:$A$64,0)),""))</f>
        <v/>
      </c>
      <c r="L966" s="136">
        <f>IF($F966="","",IFERROR(INDEX(사건마스터!$AI$5:$AI$64,MATCH($F966,사건마스터!$A$5:$A$64,0)),""))</f>
        <v/>
      </c>
      <c r="M966" s="136">
        <f>IF($F966="","",IFERROR(INDEX(사건마스터!$AJ$5:$AJ$64,MATCH($F966,사건마스터!$A$5:$A$64,0)),""))</f>
        <v/>
      </c>
      <c r="N966" s="136">
        <f>IF($F966="","",IFERROR(INDEX(사건마스터!$AK$5:$AK$64,MATCH($F966,사건마스터!$A$5:$A$64,0)),""))</f>
        <v/>
      </c>
      <c r="O966" s="136">
        <f>IF($F966="","",IFERROR(INDEX(사건마스터!$AL$5:$AL$64,MATCH($F966,사건마스터!$A$5:$A$64,0)),""))</f>
        <v/>
      </c>
      <c r="P966" s="136">
        <f>IF($F966="","",IFERROR(INDEX(사건마스터!$AM$5:$AM$64,MATCH($F966,사건마스터!$A$5:$A$64,0)),""))</f>
        <v/>
      </c>
      <c r="Q966" s="136">
        <f>IF($F966="","",IFERROR(INDEX(사건마스터!$AN$5:$AN$64,MATCH($F966,사건마스터!$A$5:$A$64,0)),""))</f>
        <v/>
      </c>
      <c r="R966" s="136">
        <f>IF($F966="","",IFERROR(INDEX(사건마스터!$AO$5:$AO$64,MATCH($F966,사건마스터!$A$5:$A$64,0)),""))</f>
        <v/>
      </c>
      <c r="S966" s="136">
        <f>IF($F966="","",IFERROR(INDEX(사건마스터!$AP$5:$AP$64,MATCH($F966,사건마스터!$A$5:$A$64,0)),""))</f>
        <v/>
      </c>
      <c r="T966" s="136">
        <f>IF($F966="","",IFERROR(INDEX(사건마스터!$AQ$5:$AQ$64,MATCH($F966,사건마스터!$A$5:$A$64,0)),""))</f>
        <v/>
      </c>
      <c r="U966" s="136">
        <f>IF($F966="","",IFERROR(INDEX(사건마스터!$AR$5:$AR$64,MATCH($F966,사건마스터!$A$5:$A$64,0)),""))</f>
        <v/>
      </c>
      <c r="V966" s="136">
        <f>IF($F966="","",IFERROR(INDEX(사건마스터!$AS$5:$AS$64,MATCH($F966,사건마스터!$A$5:$A$64,0)),""))</f>
        <v/>
      </c>
      <c r="W966" s="136">
        <f>IF($F966="","",IFERROR(INDEX(사건마스터!$AT$5:$AT$64,MATCH($F966,사건마스터!$A$5:$A$64,0)),""))</f>
        <v/>
      </c>
      <c r="X966" s="136">
        <f>IF($F966="","",IFERROR(INDEX(사건마스터!$AU$5:$AU$64,MATCH($F966,사건마스터!$A$5:$A$64,0)),""))</f>
        <v/>
      </c>
      <c r="Y966" s="136">
        <f>IF($F966="","",IFERROR(INDEX(사건마스터!$AV$5:$AV$64,MATCH($F966,사건마스터!$A$5:$A$64,0)),""))</f>
        <v/>
      </c>
      <c r="Z966" s="118">
        <f>IF(COUNTBLANK($J966:$Y966)=16,"",16-COUNTBLANK($J966:$Y966))</f>
        <v/>
      </c>
      <c r="AA966" s="33">
        <f>IF($J966="",MID($AX966,3,255),$J966&amp;$AX966)</f>
        <v/>
      </c>
      <c r="AB966" s="130">
        <f>IF($J966="","",IFERROR(INDEX(코드설정!$D$5:$D$24,MATCH($J966,코드설정!$C$5:$C$24,0)),""))</f>
        <v/>
      </c>
      <c r="AC966" s="36" t="n"/>
      <c r="AD966" s="37" t="n"/>
      <c r="AE966" s="38" t="n"/>
      <c r="AF966" s="118">
        <f>IF(OR($B966="",$C966=""),"",$C966-$B966+1)</f>
        <v/>
      </c>
      <c r="AG966" s="74" t="n"/>
      <c r="AH966" s="36" t="n"/>
      <c r="AJ966">
        <f>IF($K966="","",", "&amp;$K966)</f>
        <v/>
      </c>
      <c r="AK966">
        <f>AJ966&amp;IF($L966="","",", "&amp;$L966)</f>
        <v/>
      </c>
      <c r="AL966">
        <f>AK966&amp;IF($M966="","",", "&amp;$M966)</f>
        <v/>
      </c>
      <c r="AM966">
        <f>AL966&amp;IF($N966="","",", "&amp;$N966)</f>
        <v/>
      </c>
      <c r="AN966">
        <f>AM966&amp;IF($O966="","",", "&amp;$O966)</f>
        <v/>
      </c>
      <c r="AO966">
        <f>AN966&amp;IF($P966="","",", "&amp;$P966)</f>
        <v/>
      </c>
      <c r="AP966">
        <f>AO966&amp;IF($Q966="","",", "&amp;$Q966)</f>
        <v/>
      </c>
      <c r="AQ966">
        <f>AP966&amp;IF($R966="","",", "&amp;$R966)</f>
        <v/>
      </c>
      <c r="AR966">
        <f>AQ966&amp;IF($S966="","",", "&amp;$S966)</f>
        <v/>
      </c>
      <c r="AS966">
        <f>AR966&amp;IF($T966="","",", "&amp;$T966)</f>
        <v/>
      </c>
      <c r="AT966">
        <f>AS966&amp;IF($U966="","",", "&amp;$U966)</f>
        <v/>
      </c>
      <c r="AU966">
        <f>AT966&amp;IF($V966="","",", "&amp;$V966)</f>
        <v/>
      </c>
      <c r="AV966">
        <f>AU966&amp;IF($W966="","",", "&amp;$W966)</f>
        <v/>
      </c>
      <c r="AW966">
        <f>AV966&amp;IF($X966="","",", "&amp;$X966)</f>
        <v/>
      </c>
      <c r="AX966">
        <f>AW966&amp;IF($Y966="","",", "&amp;$Y966)</f>
        <v/>
      </c>
    </row>
    <row r="967">
      <c r="A967" s="118">
        <f>IF($B967="","",COUNT($B$5:$B967))</f>
        <v/>
      </c>
      <c r="B967" s="80" t="n"/>
      <c r="C967" s="80" t="n"/>
      <c r="D967" s="74" t="n"/>
      <c r="E967" s="74" t="n"/>
      <c r="F967" s="74" t="n"/>
      <c r="G967" s="118">
        <f>IF($F967="","",COUNTIF($F$5:$F967,$F967))</f>
        <v/>
      </c>
      <c r="H967" s="33">
        <f>IF($F967="","",IFERROR(INDEX(사건마스터!$B$5:$B$64,MATCH($F967,사건마스터!$A$5:$A$64,0)),""))</f>
        <v/>
      </c>
      <c r="I967" s="130">
        <f>IF($F967="","",IFERROR(INDEX(사건마스터!$C$5:$C$64,MATCH($F967,사건마스터!$A$5:$A$64,0)),""))</f>
        <v/>
      </c>
      <c r="J967" s="136">
        <f>IF($F967="","",IFERROR(INDEX(사건마스터!$H$5:$H$64,MATCH($F967,사건마스터!$A$5:$A$64,0)),""))</f>
        <v/>
      </c>
      <c r="K967" s="136">
        <f>IF($F967="","",IFERROR(INDEX(사건마스터!$AH$5:$AH$64,MATCH($F967,사건마스터!$A$5:$A$64,0)),""))</f>
        <v/>
      </c>
      <c r="L967" s="136">
        <f>IF($F967="","",IFERROR(INDEX(사건마스터!$AI$5:$AI$64,MATCH($F967,사건마스터!$A$5:$A$64,0)),""))</f>
        <v/>
      </c>
      <c r="M967" s="136">
        <f>IF($F967="","",IFERROR(INDEX(사건마스터!$AJ$5:$AJ$64,MATCH($F967,사건마스터!$A$5:$A$64,0)),""))</f>
        <v/>
      </c>
      <c r="N967" s="136">
        <f>IF($F967="","",IFERROR(INDEX(사건마스터!$AK$5:$AK$64,MATCH($F967,사건마스터!$A$5:$A$64,0)),""))</f>
        <v/>
      </c>
      <c r="O967" s="136">
        <f>IF($F967="","",IFERROR(INDEX(사건마스터!$AL$5:$AL$64,MATCH($F967,사건마스터!$A$5:$A$64,0)),""))</f>
        <v/>
      </c>
      <c r="P967" s="136">
        <f>IF($F967="","",IFERROR(INDEX(사건마스터!$AM$5:$AM$64,MATCH($F967,사건마스터!$A$5:$A$64,0)),""))</f>
        <v/>
      </c>
      <c r="Q967" s="136">
        <f>IF($F967="","",IFERROR(INDEX(사건마스터!$AN$5:$AN$64,MATCH($F967,사건마스터!$A$5:$A$64,0)),""))</f>
        <v/>
      </c>
      <c r="R967" s="136">
        <f>IF($F967="","",IFERROR(INDEX(사건마스터!$AO$5:$AO$64,MATCH($F967,사건마스터!$A$5:$A$64,0)),""))</f>
        <v/>
      </c>
      <c r="S967" s="136">
        <f>IF($F967="","",IFERROR(INDEX(사건마스터!$AP$5:$AP$64,MATCH($F967,사건마스터!$A$5:$A$64,0)),""))</f>
        <v/>
      </c>
      <c r="T967" s="136">
        <f>IF($F967="","",IFERROR(INDEX(사건마스터!$AQ$5:$AQ$64,MATCH($F967,사건마스터!$A$5:$A$64,0)),""))</f>
        <v/>
      </c>
      <c r="U967" s="136">
        <f>IF($F967="","",IFERROR(INDEX(사건마스터!$AR$5:$AR$64,MATCH($F967,사건마스터!$A$5:$A$64,0)),""))</f>
        <v/>
      </c>
      <c r="V967" s="136">
        <f>IF($F967="","",IFERROR(INDEX(사건마스터!$AS$5:$AS$64,MATCH($F967,사건마스터!$A$5:$A$64,0)),""))</f>
        <v/>
      </c>
      <c r="W967" s="136">
        <f>IF($F967="","",IFERROR(INDEX(사건마스터!$AT$5:$AT$64,MATCH($F967,사건마스터!$A$5:$A$64,0)),""))</f>
        <v/>
      </c>
      <c r="X967" s="136">
        <f>IF($F967="","",IFERROR(INDEX(사건마스터!$AU$5:$AU$64,MATCH($F967,사건마스터!$A$5:$A$64,0)),""))</f>
        <v/>
      </c>
      <c r="Y967" s="136">
        <f>IF($F967="","",IFERROR(INDEX(사건마스터!$AV$5:$AV$64,MATCH($F967,사건마스터!$A$5:$A$64,0)),""))</f>
        <v/>
      </c>
      <c r="Z967" s="118">
        <f>IF(COUNTBLANK($J967:$Y967)=16,"",16-COUNTBLANK($J967:$Y967))</f>
        <v/>
      </c>
      <c r="AA967" s="33">
        <f>IF($J967="",MID($AX967,3,255),$J967&amp;$AX967)</f>
        <v/>
      </c>
      <c r="AB967" s="130">
        <f>IF($J967="","",IFERROR(INDEX(코드설정!$D$5:$D$24,MATCH($J967,코드설정!$C$5:$C$24,0)),""))</f>
        <v/>
      </c>
      <c r="AC967" s="36" t="n"/>
      <c r="AD967" s="37" t="n"/>
      <c r="AE967" s="38" t="n"/>
      <c r="AF967" s="118">
        <f>IF(OR($B967="",$C967=""),"",$C967-$B967+1)</f>
        <v/>
      </c>
      <c r="AG967" s="74" t="n"/>
      <c r="AH967" s="36" t="n"/>
      <c r="AJ967">
        <f>IF($K967="","",", "&amp;$K967)</f>
        <v/>
      </c>
      <c r="AK967">
        <f>AJ967&amp;IF($L967="","",", "&amp;$L967)</f>
        <v/>
      </c>
      <c r="AL967">
        <f>AK967&amp;IF($M967="","",", "&amp;$M967)</f>
        <v/>
      </c>
      <c r="AM967">
        <f>AL967&amp;IF($N967="","",", "&amp;$N967)</f>
        <v/>
      </c>
      <c r="AN967">
        <f>AM967&amp;IF($O967="","",", "&amp;$O967)</f>
        <v/>
      </c>
      <c r="AO967">
        <f>AN967&amp;IF($P967="","",", "&amp;$P967)</f>
        <v/>
      </c>
      <c r="AP967">
        <f>AO967&amp;IF($Q967="","",", "&amp;$Q967)</f>
        <v/>
      </c>
      <c r="AQ967">
        <f>AP967&amp;IF($R967="","",", "&amp;$R967)</f>
        <v/>
      </c>
      <c r="AR967">
        <f>AQ967&amp;IF($S967="","",", "&amp;$S967)</f>
        <v/>
      </c>
      <c r="AS967">
        <f>AR967&amp;IF($T967="","",", "&amp;$T967)</f>
        <v/>
      </c>
      <c r="AT967">
        <f>AS967&amp;IF($U967="","",", "&amp;$U967)</f>
        <v/>
      </c>
      <c r="AU967">
        <f>AT967&amp;IF($V967="","",", "&amp;$V967)</f>
        <v/>
      </c>
      <c r="AV967">
        <f>AU967&amp;IF($W967="","",", "&amp;$W967)</f>
        <v/>
      </c>
      <c r="AW967">
        <f>AV967&amp;IF($X967="","",", "&amp;$X967)</f>
        <v/>
      </c>
      <c r="AX967">
        <f>AW967&amp;IF($Y967="","",", "&amp;$Y967)</f>
        <v/>
      </c>
    </row>
    <row r="968">
      <c r="A968" s="118">
        <f>IF($B968="","",COUNT($B$5:$B968))</f>
        <v/>
      </c>
      <c r="B968" s="80" t="n"/>
      <c r="C968" s="80" t="n"/>
      <c r="D968" s="74" t="n"/>
      <c r="E968" s="74" t="n"/>
      <c r="F968" s="74" t="n"/>
      <c r="G968" s="118">
        <f>IF($F968="","",COUNTIF($F$5:$F968,$F968))</f>
        <v/>
      </c>
      <c r="H968" s="33">
        <f>IF($F968="","",IFERROR(INDEX(사건마스터!$B$5:$B$64,MATCH($F968,사건마스터!$A$5:$A$64,0)),""))</f>
        <v/>
      </c>
      <c r="I968" s="130">
        <f>IF($F968="","",IFERROR(INDEX(사건마스터!$C$5:$C$64,MATCH($F968,사건마스터!$A$5:$A$64,0)),""))</f>
        <v/>
      </c>
      <c r="J968" s="136">
        <f>IF($F968="","",IFERROR(INDEX(사건마스터!$H$5:$H$64,MATCH($F968,사건마스터!$A$5:$A$64,0)),""))</f>
        <v/>
      </c>
      <c r="K968" s="136">
        <f>IF($F968="","",IFERROR(INDEX(사건마스터!$AH$5:$AH$64,MATCH($F968,사건마스터!$A$5:$A$64,0)),""))</f>
        <v/>
      </c>
      <c r="L968" s="136">
        <f>IF($F968="","",IFERROR(INDEX(사건마스터!$AI$5:$AI$64,MATCH($F968,사건마스터!$A$5:$A$64,0)),""))</f>
        <v/>
      </c>
      <c r="M968" s="136">
        <f>IF($F968="","",IFERROR(INDEX(사건마스터!$AJ$5:$AJ$64,MATCH($F968,사건마스터!$A$5:$A$64,0)),""))</f>
        <v/>
      </c>
      <c r="N968" s="136">
        <f>IF($F968="","",IFERROR(INDEX(사건마스터!$AK$5:$AK$64,MATCH($F968,사건마스터!$A$5:$A$64,0)),""))</f>
        <v/>
      </c>
      <c r="O968" s="136">
        <f>IF($F968="","",IFERROR(INDEX(사건마스터!$AL$5:$AL$64,MATCH($F968,사건마스터!$A$5:$A$64,0)),""))</f>
        <v/>
      </c>
      <c r="P968" s="136">
        <f>IF($F968="","",IFERROR(INDEX(사건마스터!$AM$5:$AM$64,MATCH($F968,사건마스터!$A$5:$A$64,0)),""))</f>
        <v/>
      </c>
      <c r="Q968" s="136">
        <f>IF($F968="","",IFERROR(INDEX(사건마스터!$AN$5:$AN$64,MATCH($F968,사건마스터!$A$5:$A$64,0)),""))</f>
        <v/>
      </c>
      <c r="R968" s="136">
        <f>IF($F968="","",IFERROR(INDEX(사건마스터!$AO$5:$AO$64,MATCH($F968,사건마스터!$A$5:$A$64,0)),""))</f>
        <v/>
      </c>
      <c r="S968" s="136">
        <f>IF($F968="","",IFERROR(INDEX(사건마스터!$AP$5:$AP$64,MATCH($F968,사건마스터!$A$5:$A$64,0)),""))</f>
        <v/>
      </c>
      <c r="T968" s="136">
        <f>IF($F968="","",IFERROR(INDEX(사건마스터!$AQ$5:$AQ$64,MATCH($F968,사건마스터!$A$5:$A$64,0)),""))</f>
        <v/>
      </c>
      <c r="U968" s="136">
        <f>IF($F968="","",IFERROR(INDEX(사건마스터!$AR$5:$AR$64,MATCH($F968,사건마스터!$A$5:$A$64,0)),""))</f>
        <v/>
      </c>
      <c r="V968" s="136">
        <f>IF($F968="","",IFERROR(INDEX(사건마스터!$AS$5:$AS$64,MATCH($F968,사건마스터!$A$5:$A$64,0)),""))</f>
        <v/>
      </c>
      <c r="W968" s="136">
        <f>IF($F968="","",IFERROR(INDEX(사건마스터!$AT$5:$AT$64,MATCH($F968,사건마스터!$A$5:$A$64,0)),""))</f>
        <v/>
      </c>
      <c r="X968" s="136">
        <f>IF($F968="","",IFERROR(INDEX(사건마스터!$AU$5:$AU$64,MATCH($F968,사건마스터!$A$5:$A$64,0)),""))</f>
        <v/>
      </c>
      <c r="Y968" s="136">
        <f>IF($F968="","",IFERROR(INDEX(사건마스터!$AV$5:$AV$64,MATCH($F968,사건마스터!$A$5:$A$64,0)),""))</f>
        <v/>
      </c>
      <c r="Z968" s="118">
        <f>IF(COUNTBLANK($J968:$Y968)=16,"",16-COUNTBLANK($J968:$Y968))</f>
        <v/>
      </c>
      <c r="AA968" s="33">
        <f>IF($J968="",MID($AX968,3,255),$J968&amp;$AX968)</f>
        <v/>
      </c>
      <c r="AB968" s="130">
        <f>IF($J968="","",IFERROR(INDEX(코드설정!$D$5:$D$24,MATCH($J968,코드설정!$C$5:$C$24,0)),""))</f>
        <v/>
      </c>
      <c r="AC968" s="36" t="n"/>
      <c r="AD968" s="37" t="n"/>
      <c r="AE968" s="38" t="n"/>
      <c r="AF968" s="118">
        <f>IF(OR($B968="",$C968=""),"",$C968-$B968+1)</f>
        <v/>
      </c>
      <c r="AG968" s="74" t="n"/>
      <c r="AH968" s="36" t="n"/>
      <c r="AJ968">
        <f>IF($K968="","",", "&amp;$K968)</f>
        <v/>
      </c>
      <c r="AK968">
        <f>AJ968&amp;IF($L968="","",", "&amp;$L968)</f>
        <v/>
      </c>
      <c r="AL968">
        <f>AK968&amp;IF($M968="","",", "&amp;$M968)</f>
        <v/>
      </c>
      <c r="AM968">
        <f>AL968&amp;IF($N968="","",", "&amp;$N968)</f>
        <v/>
      </c>
      <c r="AN968">
        <f>AM968&amp;IF($O968="","",", "&amp;$O968)</f>
        <v/>
      </c>
      <c r="AO968">
        <f>AN968&amp;IF($P968="","",", "&amp;$P968)</f>
        <v/>
      </c>
      <c r="AP968">
        <f>AO968&amp;IF($Q968="","",", "&amp;$Q968)</f>
        <v/>
      </c>
      <c r="AQ968">
        <f>AP968&amp;IF($R968="","",", "&amp;$R968)</f>
        <v/>
      </c>
      <c r="AR968">
        <f>AQ968&amp;IF($S968="","",", "&amp;$S968)</f>
        <v/>
      </c>
      <c r="AS968">
        <f>AR968&amp;IF($T968="","",", "&amp;$T968)</f>
        <v/>
      </c>
      <c r="AT968">
        <f>AS968&amp;IF($U968="","",", "&amp;$U968)</f>
        <v/>
      </c>
      <c r="AU968">
        <f>AT968&amp;IF($V968="","",", "&amp;$V968)</f>
        <v/>
      </c>
      <c r="AV968">
        <f>AU968&amp;IF($W968="","",", "&amp;$W968)</f>
        <v/>
      </c>
      <c r="AW968">
        <f>AV968&amp;IF($X968="","",", "&amp;$X968)</f>
        <v/>
      </c>
      <c r="AX968">
        <f>AW968&amp;IF($Y968="","",", "&amp;$Y968)</f>
        <v/>
      </c>
    </row>
    <row r="969">
      <c r="A969" s="118">
        <f>IF($B969="","",COUNT($B$5:$B969))</f>
        <v/>
      </c>
      <c r="B969" s="80" t="n"/>
      <c r="C969" s="80" t="n"/>
      <c r="D969" s="74" t="n"/>
      <c r="E969" s="74" t="n"/>
      <c r="F969" s="74" t="n"/>
      <c r="G969" s="118">
        <f>IF($F969="","",COUNTIF($F$5:$F969,$F969))</f>
        <v/>
      </c>
      <c r="H969" s="33">
        <f>IF($F969="","",IFERROR(INDEX(사건마스터!$B$5:$B$64,MATCH($F969,사건마스터!$A$5:$A$64,0)),""))</f>
        <v/>
      </c>
      <c r="I969" s="130">
        <f>IF($F969="","",IFERROR(INDEX(사건마스터!$C$5:$C$64,MATCH($F969,사건마스터!$A$5:$A$64,0)),""))</f>
        <v/>
      </c>
      <c r="J969" s="136">
        <f>IF($F969="","",IFERROR(INDEX(사건마스터!$H$5:$H$64,MATCH($F969,사건마스터!$A$5:$A$64,0)),""))</f>
        <v/>
      </c>
      <c r="K969" s="136">
        <f>IF($F969="","",IFERROR(INDEX(사건마스터!$AH$5:$AH$64,MATCH($F969,사건마스터!$A$5:$A$64,0)),""))</f>
        <v/>
      </c>
      <c r="L969" s="136">
        <f>IF($F969="","",IFERROR(INDEX(사건마스터!$AI$5:$AI$64,MATCH($F969,사건마스터!$A$5:$A$64,0)),""))</f>
        <v/>
      </c>
      <c r="M969" s="136">
        <f>IF($F969="","",IFERROR(INDEX(사건마스터!$AJ$5:$AJ$64,MATCH($F969,사건마스터!$A$5:$A$64,0)),""))</f>
        <v/>
      </c>
      <c r="N969" s="136">
        <f>IF($F969="","",IFERROR(INDEX(사건마스터!$AK$5:$AK$64,MATCH($F969,사건마스터!$A$5:$A$64,0)),""))</f>
        <v/>
      </c>
      <c r="O969" s="136">
        <f>IF($F969="","",IFERROR(INDEX(사건마스터!$AL$5:$AL$64,MATCH($F969,사건마스터!$A$5:$A$64,0)),""))</f>
        <v/>
      </c>
      <c r="P969" s="136">
        <f>IF($F969="","",IFERROR(INDEX(사건마스터!$AM$5:$AM$64,MATCH($F969,사건마스터!$A$5:$A$64,0)),""))</f>
        <v/>
      </c>
      <c r="Q969" s="136">
        <f>IF($F969="","",IFERROR(INDEX(사건마스터!$AN$5:$AN$64,MATCH($F969,사건마스터!$A$5:$A$64,0)),""))</f>
        <v/>
      </c>
      <c r="R969" s="136">
        <f>IF($F969="","",IFERROR(INDEX(사건마스터!$AO$5:$AO$64,MATCH($F969,사건마스터!$A$5:$A$64,0)),""))</f>
        <v/>
      </c>
      <c r="S969" s="136">
        <f>IF($F969="","",IFERROR(INDEX(사건마스터!$AP$5:$AP$64,MATCH($F969,사건마스터!$A$5:$A$64,0)),""))</f>
        <v/>
      </c>
      <c r="T969" s="136">
        <f>IF($F969="","",IFERROR(INDEX(사건마스터!$AQ$5:$AQ$64,MATCH($F969,사건마스터!$A$5:$A$64,0)),""))</f>
        <v/>
      </c>
      <c r="U969" s="136">
        <f>IF($F969="","",IFERROR(INDEX(사건마스터!$AR$5:$AR$64,MATCH($F969,사건마스터!$A$5:$A$64,0)),""))</f>
        <v/>
      </c>
      <c r="V969" s="136">
        <f>IF($F969="","",IFERROR(INDEX(사건마스터!$AS$5:$AS$64,MATCH($F969,사건마스터!$A$5:$A$64,0)),""))</f>
        <v/>
      </c>
      <c r="W969" s="136">
        <f>IF($F969="","",IFERROR(INDEX(사건마스터!$AT$5:$AT$64,MATCH($F969,사건마스터!$A$5:$A$64,0)),""))</f>
        <v/>
      </c>
      <c r="X969" s="136">
        <f>IF($F969="","",IFERROR(INDEX(사건마스터!$AU$5:$AU$64,MATCH($F969,사건마스터!$A$5:$A$64,0)),""))</f>
        <v/>
      </c>
      <c r="Y969" s="136">
        <f>IF($F969="","",IFERROR(INDEX(사건마스터!$AV$5:$AV$64,MATCH($F969,사건마스터!$A$5:$A$64,0)),""))</f>
        <v/>
      </c>
      <c r="Z969" s="118">
        <f>IF(COUNTBLANK($J969:$Y969)=16,"",16-COUNTBLANK($J969:$Y969))</f>
        <v/>
      </c>
      <c r="AA969" s="33">
        <f>IF($J969="",MID($AX969,3,255),$J969&amp;$AX969)</f>
        <v/>
      </c>
      <c r="AB969" s="130">
        <f>IF($J969="","",IFERROR(INDEX(코드설정!$D$5:$D$24,MATCH($J969,코드설정!$C$5:$C$24,0)),""))</f>
        <v/>
      </c>
      <c r="AC969" s="36" t="n"/>
      <c r="AD969" s="37" t="n"/>
      <c r="AE969" s="38" t="n"/>
      <c r="AF969" s="118">
        <f>IF(OR($B969="",$C969=""),"",$C969-$B969+1)</f>
        <v/>
      </c>
      <c r="AG969" s="74" t="n"/>
      <c r="AH969" s="36" t="n"/>
      <c r="AJ969">
        <f>IF($K969="","",", "&amp;$K969)</f>
        <v/>
      </c>
      <c r="AK969">
        <f>AJ969&amp;IF($L969="","",", "&amp;$L969)</f>
        <v/>
      </c>
      <c r="AL969">
        <f>AK969&amp;IF($M969="","",", "&amp;$M969)</f>
        <v/>
      </c>
      <c r="AM969">
        <f>AL969&amp;IF($N969="","",", "&amp;$N969)</f>
        <v/>
      </c>
      <c r="AN969">
        <f>AM969&amp;IF($O969="","",", "&amp;$O969)</f>
        <v/>
      </c>
      <c r="AO969">
        <f>AN969&amp;IF($P969="","",", "&amp;$P969)</f>
        <v/>
      </c>
      <c r="AP969">
        <f>AO969&amp;IF($Q969="","",", "&amp;$Q969)</f>
        <v/>
      </c>
      <c r="AQ969">
        <f>AP969&amp;IF($R969="","",", "&amp;$R969)</f>
        <v/>
      </c>
      <c r="AR969">
        <f>AQ969&amp;IF($S969="","",", "&amp;$S969)</f>
        <v/>
      </c>
      <c r="AS969">
        <f>AR969&amp;IF($T969="","",", "&amp;$T969)</f>
        <v/>
      </c>
      <c r="AT969">
        <f>AS969&amp;IF($U969="","",", "&amp;$U969)</f>
        <v/>
      </c>
      <c r="AU969">
        <f>AT969&amp;IF($V969="","",", "&amp;$V969)</f>
        <v/>
      </c>
      <c r="AV969">
        <f>AU969&amp;IF($W969="","",", "&amp;$W969)</f>
        <v/>
      </c>
      <c r="AW969">
        <f>AV969&amp;IF($X969="","",", "&amp;$X969)</f>
        <v/>
      </c>
      <c r="AX969">
        <f>AW969&amp;IF($Y969="","",", "&amp;$Y969)</f>
        <v/>
      </c>
    </row>
    <row r="970">
      <c r="A970" s="118">
        <f>IF($B970="","",COUNT($B$5:$B970))</f>
        <v/>
      </c>
      <c r="B970" s="80" t="n"/>
      <c r="C970" s="80" t="n"/>
      <c r="D970" s="74" t="n"/>
      <c r="E970" s="74" t="n"/>
      <c r="F970" s="74" t="n"/>
      <c r="G970" s="118">
        <f>IF($F970="","",COUNTIF($F$5:$F970,$F970))</f>
        <v/>
      </c>
      <c r="H970" s="33">
        <f>IF($F970="","",IFERROR(INDEX(사건마스터!$B$5:$B$64,MATCH($F970,사건마스터!$A$5:$A$64,0)),""))</f>
        <v/>
      </c>
      <c r="I970" s="130">
        <f>IF($F970="","",IFERROR(INDEX(사건마스터!$C$5:$C$64,MATCH($F970,사건마스터!$A$5:$A$64,0)),""))</f>
        <v/>
      </c>
      <c r="J970" s="136">
        <f>IF($F970="","",IFERROR(INDEX(사건마스터!$H$5:$H$64,MATCH($F970,사건마스터!$A$5:$A$64,0)),""))</f>
        <v/>
      </c>
      <c r="K970" s="136">
        <f>IF($F970="","",IFERROR(INDEX(사건마스터!$AH$5:$AH$64,MATCH($F970,사건마스터!$A$5:$A$64,0)),""))</f>
        <v/>
      </c>
      <c r="L970" s="136">
        <f>IF($F970="","",IFERROR(INDEX(사건마스터!$AI$5:$AI$64,MATCH($F970,사건마스터!$A$5:$A$64,0)),""))</f>
        <v/>
      </c>
      <c r="M970" s="136">
        <f>IF($F970="","",IFERROR(INDEX(사건마스터!$AJ$5:$AJ$64,MATCH($F970,사건마스터!$A$5:$A$64,0)),""))</f>
        <v/>
      </c>
      <c r="N970" s="136">
        <f>IF($F970="","",IFERROR(INDEX(사건마스터!$AK$5:$AK$64,MATCH($F970,사건마스터!$A$5:$A$64,0)),""))</f>
        <v/>
      </c>
      <c r="O970" s="136">
        <f>IF($F970="","",IFERROR(INDEX(사건마스터!$AL$5:$AL$64,MATCH($F970,사건마스터!$A$5:$A$64,0)),""))</f>
        <v/>
      </c>
      <c r="P970" s="136">
        <f>IF($F970="","",IFERROR(INDEX(사건마스터!$AM$5:$AM$64,MATCH($F970,사건마스터!$A$5:$A$64,0)),""))</f>
        <v/>
      </c>
      <c r="Q970" s="136">
        <f>IF($F970="","",IFERROR(INDEX(사건마스터!$AN$5:$AN$64,MATCH($F970,사건마스터!$A$5:$A$64,0)),""))</f>
        <v/>
      </c>
      <c r="R970" s="136">
        <f>IF($F970="","",IFERROR(INDEX(사건마스터!$AO$5:$AO$64,MATCH($F970,사건마스터!$A$5:$A$64,0)),""))</f>
        <v/>
      </c>
      <c r="S970" s="136">
        <f>IF($F970="","",IFERROR(INDEX(사건마스터!$AP$5:$AP$64,MATCH($F970,사건마스터!$A$5:$A$64,0)),""))</f>
        <v/>
      </c>
      <c r="T970" s="136">
        <f>IF($F970="","",IFERROR(INDEX(사건마스터!$AQ$5:$AQ$64,MATCH($F970,사건마스터!$A$5:$A$64,0)),""))</f>
        <v/>
      </c>
      <c r="U970" s="136">
        <f>IF($F970="","",IFERROR(INDEX(사건마스터!$AR$5:$AR$64,MATCH($F970,사건마스터!$A$5:$A$64,0)),""))</f>
        <v/>
      </c>
      <c r="V970" s="136">
        <f>IF($F970="","",IFERROR(INDEX(사건마스터!$AS$5:$AS$64,MATCH($F970,사건마스터!$A$5:$A$64,0)),""))</f>
        <v/>
      </c>
      <c r="W970" s="136">
        <f>IF($F970="","",IFERROR(INDEX(사건마스터!$AT$5:$AT$64,MATCH($F970,사건마스터!$A$5:$A$64,0)),""))</f>
        <v/>
      </c>
      <c r="X970" s="136">
        <f>IF($F970="","",IFERROR(INDEX(사건마스터!$AU$5:$AU$64,MATCH($F970,사건마스터!$A$5:$A$64,0)),""))</f>
        <v/>
      </c>
      <c r="Y970" s="136">
        <f>IF($F970="","",IFERROR(INDEX(사건마스터!$AV$5:$AV$64,MATCH($F970,사건마스터!$A$5:$A$64,0)),""))</f>
        <v/>
      </c>
      <c r="Z970" s="118">
        <f>IF(COUNTBLANK($J970:$Y970)=16,"",16-COUNTBLANK($J970:$Y970))</f>
        <v/>
      </c>
      <c r="AA970" s="33">
        <f>IF($J970="",MID($AX970,3,255),$J970&amp;$AX970)</f>
        <v/>
      </c>
      <c r="AB970" s="130">
        <f>IF($J970="","",IFERROR(INDEX(코드설정!$D$5:$D$24,MATCH($J970,코드설정!$C$5:$C$24,0)),""))</f>
        <v/>
      </c>
      <c r="AC970" s="36" t="n"/>
      <c r="AD970" s="37" t="n"/>
      <c r="AE970" s="38" t="n"/>
      <c r="AF970" s="118">
        <f>IF(OR($B970="",$C970=""),"",$C970-$B970+1)</f>
        <v/>
      </c>
      <c r="AG970" s="74" t="n"/>
      <c r="AH970" s="36" t="n"/>
      <c r="AJ970">
        <f>IF($K970="","",", "&amp;$K970)</f>
        <v/>
      </c>
      <c r="AK970">
        <f>AJ970&amp;IF($L970="","",", "&amp;$L970)</f>
        <v/>
      </c>
      <c r="AL970">
        <f>AK970&amp;IF($M970="","",", "&amp;$M970)</f>
        <v/>
      </c>
      <c r="AM970">
        <f>AL970&amp;IF($N970="","",", "&amp;$N970)</f>
        <v/>
      </c>
      <c r="AN970">
        <f>AM970&amp;IF($O970="","",", "&amp;$O970)</f>
        <v/>
      </c>
      <c r="AO970">
        <f>AN970&amp;IF($P970="","",", "&amp;$P970)</f>
        <v/>
      </c>
      <c r="AP970">
        <f>AO970&amp;IF($Q970="","",", "&amp;$Q970)</f>
        <v/>
      </c>
      <c r="AQ970">
        <f>AP970&amp;IF($R970="","",", "&amp;$R970)</f>
        <v/>
      </c>
      <c r="AR970">
        <f>AQ970&amp;IF($S970="","",", "&amp;$S970)</f>
        <v/>
      </c>
      <c r="AS970">
        <f>AR970&amp;IF($T970="","",", "&amp;$T970)</f>
        <v/>
      </c>
      <c r="AT970">
        <f>AS970&amp;IF($U970="","",", "&amp;$U970)</f>
        <v/>
      </c>
      <c r="AU970">
        <f>AT970&amp;IF($V970="","",", "&amp;$V970)</f>
        <v/>
      </c>
      <c r="AV970">
        <f>AU970&amp;IF($W970="","",", "&amp;$W970)</f>
        <v/>
      </c>
      <c r="AW970">
        <f>AV970&amp;IF($X970="","",", "&amp;$X970)</f>
        <v/>
      </c>
      <c r="AX970">
        <f>AW970&amp;IF($Y970="","",", "&amp;$Y970)</f>
        <v/>
      </c>
    </row>
    <row r="971">
      <c r="A971" s="118">
        <f>IF($B971="","",COUNT($B$5:$B971))</f>
        <v/>
      </c>
      <c r="B971" s="80" t="n"/>
      <c r="C971" s="80" t="n"/>
      <c r="D971" s="74" t="n"/>
      <c r="E971" s="74" t="n"/>
      <c r="F971" s="74" t="n"/>
      <c r="G971" s="118">
        <f>IF($F971="","",COUNTIF($F$5:$F971,$F971))</f>
        <v/>
      </c>
      <c r="H971" s="33">
        <f>IF($F971="","",IFERROR(INDEX(사건마스터!$B$5:$B$64,MATCH($F971,사건마스터!$A$5:$A$64,0)),""))</f>
        <v/>
      </c>
      <c r="I971" s="130">
        <f>IF($F971="","",IFERROR(INDEX(사건마스터!$C$5:$C$64,MATCH($F971,사건마스터!$A$5:$A$64,0)),""))</f>
        <v/>
      </c>
      <c r="J971" s="136">
        <f>IF($F971="","",IFERROR(INDEX(사건마스터!$H$5:$H$64,MATCH($F971,사건마스터!$A$5:$A$64,0)),""))</f>
        <v/>
      </c>
      <c r="K971" s="136">
        <f>IF($F971="","",IFERROR(INDEX(사건마스터!$AH$5:$AH$64,MATCH($F971,사건마스터!$A$5:$A$64,0)),""))</f>
        <v/>
      </c>
      <c r="L971" s="136">
        <f>IF($F971="","",IFERROR(INDEX(사건마스터!$AI$5:$AI$64,MATCH($F971,사건마스터!$A$5:$A$64,0)),""))</f>
        <v/>
      </c>
      <c r="M971" s="136">
        <f>IF($F971="","",IFERROR(INDEX(사건마스터!$AJ$5:$AJ$64,MATCH($F971,사건마스터!$A$5:$A$64,0)),""))</f>
        <v/>
      </c>
      <c r="N971" s="136">
        <f>IF($F971="","",IFERROR(INDEX(사건마스터!$AK$5:$AK$64,MATCH($F971,사건마스터!$A$5:$A$64,0)),""))</f>
        <v/>
      </c>
      <c r="O971" s="136">
        <f>IF($F971="","",IFERROR(INDEX(사건마스터!$AL$5:$AL$64,MATCH($F971,사건마스터!$A$5:$A$64,0)),""))</f>
        <v/>
      </c>
      <c r="P971" s="136">
        <f>IF($F971="","",IFERROR(INDEX(사건마스터!$AM$5:$AM$64,MATCH($F971,사건마스터!$A$5:$A$64,0)),""))</f>
        <v/>
      </c>
      <c r="Q971" s="136">
        <f>IF($F971="","",IFERROR(INDEX(사건마스터!$AN$5:$AN$64,MATCH($F971,사건마스터!$A$5:$A$64,0)),""))</f>
        <v/>
      </c>
      <c r="R971" s="136">
        <f>IF($F971="","",IFERROR(INDEX(사건마스터!$AO$5:$AO$64,MATCH($F971,사건마스터!$A$5:$A$64,0)),""))</f>
        <v/>
      </c>
      <c r="S971" s="136">
        <f>IF($F971="","",IFERROR(INDEX(사건마스터!$AP$5:$AP$64,MATCH($F971,사건마스터!$A$5:$A$64,0)),""))</f>
        <v/>
      </c>
      <c r="T971" s="136">
        <f>IF($F971="","",IFERROR(INDEX(사건마스터!$AQ$5:$AQ$64,MATCH($F971,사건마스터!$A$5:$A$64,0)),""))</f>
        <v/>
      </c>
      <c r="U971" s="136">
        <f>IF($F971="","",IFERROR(INDEX(사건마스터!$AR$5:$AR$64,MATCH($F971,사건마스터!$A$5:$A$64,0)),""))</f>
        <v/>
      </c>
      <c r="V971" s="136">
        <f>IF($F971="","",IFERROR(INDEX(사건마스터!$AS$5:$AS$64,MATCH($F971,사건마스터!$A$5:$A$64,0)),""))</f>
        <v/>
      </c>
      <c r="W971" s="136">
        <f>IF($F971="","",IFERROR(INDEX(사건마스터!$AT$5:$AT$64,MATCH($F971,사건마스터!$A$5:$A$64,0)),""))</f>
        <v/>
      </c>
      <c r="X971" s="136">
        <f>IF($F971="","",IFERROR(INDEX(사건마스터!$AU$5:$AU$64,MATCH($F971,사건마스터!$A$5:$A$64,0)),""))</f>
        <v/>
      </c>
      <c r="Y971" s="136">
        <f>IF($F971="","",IFERROR(INDEX(사건마스터!$AV$5:$AV$64,MATCH($F971,사건마스터!$A$5:$A$64,0)),""))</f>
        <v/>
      </c>
      <c r="Z971" s="118">
        <f>IF(COUNTBLANK($J971:$Y971)=16,"",16-COUNTBLANK($J971:$Y971))</f>
        <v/>
      </c>
      <c r="AA971" s="33">
        <f>IF($J971="",MID($AX971,3,255),$J971&amp;$AX971)</f>
        <v/>
      </c>
      <c r="AB971" s="130">
        <f>IF($J971="","",IFERROR(INDEX(코드설정!$D$5:$D$24,MATCH($J971,코드설정!$C$5:$C$24,0)),""))</f>
        <v/>
      </c>
      <c r="AC971" s="36" t="n"/>
      <c r="AD971" s="37" t="n"/>
      <c r="AE971" s="38" t="n"/>
      <c r="AF971" s="118">
        <f>IF(OR($B971="",$C971=""),"",$C971-$B971+1)</f>
        <v/>
      </c>
      <c r="AG971" s="74" t="n"/>
      <c r="AH971" s="36" t="n"/>
      <c r="AJ971">
        <f>IF($K971="","",", "&amp;$K971)</f>
        <v/>
      </c>
      <c r="AK971">
        <f>AJ971&amp;IF($L971="","",", "&amp;$L971)</f>
        <v/>
      </c>
      <c r="AL971">
        <f>AK971&amp;IF($M971="","",", "&amp;$M971)</f>
        <v/>
      </c>
      <c r="AM971">
        <f>AL971&amp;IF($N971="","",", "&amp;$N971)</f>
        <v/>
      </c>
      <c r="AN971">
        <f>AM971&amp;IF($O971="","",", "&amp;$O971)</f>
        <v/>
      </c>
      <c r="AO971">
        <f>AN971&amp;IF($P971="","",", "&amp;$P971)</f>
        <v/>
      </c>
      <c r="AP971">
        <f>AO971&amp;IF($Q971="","",", "&amp;$Q971)</f>
        <v/>
      </c>
      <c r="AQ971">
        <f>AP971&amp;IF($R971="","",", "&amp;$R971)</f>
        <v/>
      </c>
      <c r="AR971">
        <f>AQ971&amp;IF($S971="","",", "&amp;$S971)</f>
        <v/>
      </c>
      <c r="AS971">
        <f>AR971&amp;IF($T971="","",", "&amp;$T971)</f>
        <v/>
      </c>
      <c r="AT971">
        <f>AS971&amp;IF($U971="","",", "&amp;$U971)</f>
        <v/>
      </c>
      <c r="AU971">
        <f>AT971&amp;IF($V971="","",", "&amp;$V971)</f>
        <v/>
      </c>
      <c r="AV971">
        <f>AU971&amp;IF($W971="","",", "&amp;$W971)</f>
        <v/>
      </c>
      <c r="AW971">
        <f>AV971&amp;IF($X971="","",", "&amp;$X971)</f>
        <v/>
      </c>
      <c r="AX971">
        <f>AW971&amp;IF($Y971="","",", "&amp;$Y971)</f>
        <v/>
      </c>
    </row>
    <row r="972">
      <c r="A972" s="118">
        <f>IF($B972="","",COUNT($B$5:$B972))</f>
        <v/>
      </c>
      <c r="B972" s="80" t="n"/>
      <c r="C972" s="80" t="n"/>
      <c r="D972" s="74" t="n"/>
      <c r="E972" s="74" t="n"/>
      <c r="F972" s="74" t="n"/>
      <c r="G972" s="118">
        <f>IF($F972="","",COUNTIF($F$5:$F972,$F972))</f>
        <v/>
      </c>
      <c r="H972" s="33">
        <f>IF($F972="","",IFERROR(INDEX(사건마스터!$B$5:$B$64,MATCH($F972,사건마스터!$A$5:$A$64,0)),""))</f>
        <v/>
      </c>
      <c r="I972" s="130">
        <f>IF($F972="","",IFERROR(INDEX(사건마스터!$C$5:$C$64,MATCH($F972,사건마스터!$A$5:$A$64,0)),""))</f>
        <v/>
      </c>
      <c r="J972" s="136">
        <f>IF($F972="","",IFERROR(INDEX(사건마스터!$H$5:$H$64,MATCH($F972,사건마스터!$A$5:$A$64,0)),""))</f>
        <v/>
      </c>
      <c r="K972" s="136">
        <f>IF($F972="","",IFERROR(INDEX(사건마스터!$AH$5:$AH$64,MATCH($F972,사건마스터!$A$5:$A$64,0)),""))</f>
        <v/>
      </c>
      <c r="L972" s="136">
        <f>IF($F972="","",IFERROR(INDEX(사건마스터!$AI$5:$AI$64,MATCH($F972,사건마스터!$A$5:$A$64,0)),""))</f>
        <v/>
      </c>
      <c r="M972" s="136">
        <f>IF($F972="","",IFERROR(INDEX(사건마스터!$AJ$5:$AJ$64,MATCH($F972,사건마스터!$A$5:$A$64,0)),""))</f>
        <v/>
      </c>
      <c r="N972" s="136">
        <f>IF($F972="","",IFERROR(INDEX(사건마스터!$AK$5:$AK$64,MATCH($F972,사건마스터!$A$5:$A$64,0)),""))</f>
        <v/>
      </c>
      <c r="O972" s="136">
        <f>IF($F972="","",IFERROR(INDEX(사건마스터!$AL$5:$AL$64,MATCH($F972,사건마스터!$A$5:$A$64,0)),""))</f>
        <v/>
      </c>
      <c r="P972" s="136">
        <f>IF($F972="","",IFERROR(INDEX(사건마스터!$AM$5:$AM$64,MATCH($F972,사건마스터!$A$5:$A$64,0)),""))</f>
        <v/>
      </c>
      <c r="Q972" s="136">
        <f>IF($F972="","",IFERROR(INDEX(사건마스터!$AN$5:$AN$64,MATCH($F972,사건마스터!$A$5:$A$64,0)),""))</f>
        <v/>
      </c>
      <c r="R972" s="136">
        <f>IF($F972="","",IFERROR(INDEX(사건마스터!$AO$5:$AO$64,MATCH($F972,사건마스터!$A$5:$A$64,0)),""))</f>
        <v/>
      </c>
      <c r="S972" s="136">
        <f>IF($F972="","",IFERROR(INDEX(사건마스터!$AP$5:$AP$64,MATCH($F972,사건마스터!$A$5:$A$64,0)),""))</f>
        <v/>
      </c>
      <c r="T972" s="136">
        <f>IF($F972="","",IFERROR(INDEX(사건마스터!$AQ$5:$AQ$64,MATCH($F972,사건마스터!$A$5:$A$64,0)),""))</f>
        <v/>
      </c>
      <c r="U972" s="136">
        <f>IF($F972="","",IFERROR(INDEX(사건마스터!$AR$5:$AR$64,MATCH($F972,사건마스터!$A$5:$A$64,0)),""))</f>
        <v/>
      </c>
      <c r="V972" s="136">
        <f>IF($F972="","",IFERROR(INDEX(사건마스터!$AS$5:$AS$64,MATCH($F972,사건마스터!$A$5:$A$64,0)),""))</f>
        <v/>
      </c>
      <c r="W972" s="136">
        <f>IF($F972="","",IFERROR(INDEX(사건마스터!$AT$5:$AT$64,MATCH($F972,사건마스터!$A$5:$A$64,0)),""))</f>
        <v/>
      </c>
      <c r="X972" s="136">
        <f>IF($F972="","",IFERROR(INDEX(사건마스터!$AU$5:$AU$64,MATCH($F972,사건마스터!$A$5:$A$64,0)),""))</f>
        <v/>
      </c>
      <c r="Y972" s="136">
        <f>IF($F972="","",IFERROR(INDEX(사건마스터!$AV$5:$AV$64,MATCH($F972,사건마스터!$A$5:$A$64,0)),""))</f>
        <v/>
      </c>
      <c r="Z972" s="118">
        <f>IF(COUNTBLANK($J972:$Y972)=16,"",16-COUNTBLANK($J972:$Y972))</f>
        <v/>
      </c>
      <c r="AA972" s="33">
        <f>IF($J972="",MID($AX972,3,255),$J972&amp;$AX972)</f>
        <v/>
      </c>
      <c r="AB972" s="130">
        <f>IF($J972="","",IFERROR(INDEX(코드설정!$D$5:$D$24,MATCH($J972,코드설정!$C$5:$C$24,0)),""))</f>
        <v/>
      </c>
      <c r="AC972" s="36" t="n"/>
      <c r="AD972" s="37" t="n"/>
      <c r="AE972" s="38" t="n"/>
      <c r="AF972" s="118">
        <f>IF(OR($B972="",$C972=""),"",$C972-$B972+1)</f>
        <v/>
      </c>
      <c r="AG972" s="74" t="n"/>
      <c r="AH972" s="36" t="n"/>
      <c r="AJ972">
        <f>IF($K972="","",", "&amp;$K972)</f>
        <v/>
      </c>
      <c r="AK972">
        <f>AJ972&amp;IF($L972="","",", "&amp;$L972)</f>
        <v/>
      </c>
      <c r="AL972">
        <f>AK972&amp;IF($M972="","",", "&amp;$M972)</f>
        <v/>
      </c>
      <c r="AM972">
        <f>AL972&amp;IF($N972="","",", "&amp;$N972)</f>
        <v/>
      </c>
      <c r="AN972">
        <f>AM972&amp;IF($O972="","",", "&amp;$O972)</f>
        <v/>
      </c>
      <c r="AO972">
        <f>AN972&amp;IF($P972="","",", "&amp;$P972)</f>
        <v/>
      </c>
      <c r="AP972">
        <f>AO972&amp;IF($Q972="","",", "&amp;$Q972)</f>
        <v/>
      </c>
      <c r="AQ972">
        <f>AP972&amp;IF($R972="","",", "&amp;$R972)</f>
        <v/>
      </c>
      <c r="AR972">
        <f>AQ972&amp;IF($S972="","",", "&amp;$S972)</f>
        <v/>
      </c>
      <c r="AS972">
        <f>AR972&amp;IF($T972="","",", "&amp;$T972)</f>
        <v/>
      </c>
      <c r="AT972">
        <f>AS972&amp;IF($U972="","",", "&amp;$U972)</f>
        <v/>
      </c>
      <c r="AU972">
        <f>AT972&amp;IF($V972="","",", "&amp;$V972)</f>
        <v/>
      </c>
      <c r="AV972">
        <f>AU972&amp;IF($W972="","",", "&amp;$W972)</f>
        <v/>
      </c>
      <c r="AW972">
        <f>AV972&amp;IF($X972="","",", "&amp;$X972)</f>
        <v/>
      </c>
      <c r="AX972">
        <f>AW972&amp;IF($Y972="","",", "&amp;$Y972)</f>
        <v/>
      </c>
    </row>
    <row r="973">
      <c r="A973" s="118">
        <f>IF($B973="","",COUNT($B$5:$B973))</f>
        <v/>
      </c>
      <c r="B973" s="80" t="n"/>
      <c r="C973" s="80" t="n"/>
      <c r="D973" s="74" t="n"/>
      <c r="E973" s="74" t="n"/>
      <c r="F973" s="74" t="n"/>
      <c r="G973" s="118">
        <f>IF($F973="","",COUNTIF($F$5:$F973,$F973))</f>
        <v/>
      </c>
      <c r="H973" s="33">
        <f>IF($F973="","",IFERROR(INDEX(사건마스터!$B$5:$B$64,MATCH($F973,사건마스터!$A$5:$A$64,0)),""))</f>
        <v/>
      </c>
      <c r="I973" s="130">
        <f>IF($F973="","",IFERROR(INDEX(사건마스터!$C$5:$C$64,MATCH($F973,사건마스터!$A$5:$A$64,0)),""))</f>
        <v/>
      </c>
      <c r="J973" s="136">
        <f>IF($F973="","",IFERROR(INDEX(사건마스터!$H$5:$H$64,MATCH($F973,사건마스터!$A$5:$A$64,0)),""))</f>
        <v/>
      </c>
      <c r="K973" s="136">
        <f>IF($F973="","",IFERROR(INDEX(사건마스터!$AH$5:$AH$64,MATCH($F973,사건마스터!$A$5:$A$64,0)),""))</f>
        <v/>
      </c>
      <c r="L973" s="136">
        <f>IF($F973="","",IFERROR(INDEX(사건마스터!$AI$5:$AI$64,MATCH($F973,사건마스터!$A$5:$A$64,0)),""))</f>
        <v/>
      </c>
      <c r="M973" s="136">
        <f>IF($F973="","",IFERROR(INDEX(사건마스터!$AJ$5:$AJ$64,MATCH($F973,사건마스터!$A$5:$A$64,0)),""))</f>
        <v/>
      </c>
      <c r="N973" s="136">
        <f>IF($F973="","",IFERROR(INDEX(사건마스터!$AK$5:$AK$64,MATCH($F973,사건마스터!$A$5:$A$64,0)),""))</f>
        <v/>
      </c>
      <c r="O973" s="136">
        <f>IF($F973="","",IFERROR(INDEX(사건마스터!$AL$5:$AL$64,MATCH($F973,사건마스터!$A$5:$A$64,0)),""))</f>
        <v/>
      </c>
      <c r="P973" s="136">
        <f>IF($F973="","",IFERROR(INDEX(사건마스터!$AM$5:$AM$64,MATCH($F973,사건마스터!$A$5:$A$64,0)),""))</f>
        <v/>
      </c>
      <c r="Q973" s="136">
        <f>IF($F973="","",IFERROR(INDEX(사건마스터!$AN$5:$AN$64,MATCH($F973,사건마스터!$A$5:$A$64,0)),""))</f>
        <v/>
      </c>
      <c r="R973" s="136">
        <f>IF($F973="","",IFERROR(INDEX(사건마스터!$AO$5:$AO$64,MATCH($F973,사건마스터!$A$5:$A$64,0)),""))</f>
        <v/>
      </c>
      <c r="S973" s="136">
        <f>IF($F973="","",IFERROR(INDEX(사건마스터!$AP$5:$AP$64,MATCH($F973,사건마스터!$A$5:$A$64,0)),""))</f>
        <v/>
      </c>
      <c r="T973" s="136">
        <f>IF($F973="","",IFERROR(INDEX(사건마스터!$AQ$5:$AQ$64,MATCH($F973,사건마스터!$A$5:$A$64,0)),""))</f>
        <v/>
      </c>
      <c r="U973" s="136">
        <f>IF($F973="","",IFERROR(INDEX(사건마스터!$AR$5:$AR$64,MATCH($F973,사건마스터!$A$5:$A$64,0)),""))</f>
        <v/>
      </c>
      <c r="V973" s="136">
        <f>IF($F973="","",IFERROR(INDEX(사건마스터!$AS$5:$AS$64,MATCH($F973,사건마스터!$A$5:$A$64,0)),""))</f>
        <v/>
      </c>
      <c r="W973" s="136">
        <f>IF($F973="","",IFERROR(INDEX(사건마스터!$AT$5:$AT$64,MATCH($F973,사건마스터!$A$5:$A$64,0)),""))</f>
        <v/>
      </c>
      <c r="X973" s="136">
        <f>IF($F973="","",IFERROR(INDEX(사건마스터!$AU$5:$AU$64,MATCH($F973,사건마스터!$A$5:$A$64,0)),""))</f>
        <v/>
      </c>
      <c r="Y973" s="136">
        <f>IF($F973="","",IFERROR(INDEX(사건마스터!$AV$5:$AV$64,MATCH($F973,사건마스터!$A$5:$A$64,0)),""))</f>
        <v/>
      </c>
      <c r="Z973" s="118">
        <f>IF(COUNTBLANK($J973:$Y973)=16,"",16-COUNTBLANK($J973:$Y973))</f>
        <v/>
      </c>
      <c r="AA973" s="33">
        <f>IF($J973="",MID($AX973,3,255),$J973&amp;$AX973)</f>
        <v/>
      </c>
      <c r="AB973" s="130">
        <f>IF($J973="","",IFERROR(INDEX(코드설정!$D$5:$D$24,MATCH($J973,코드설정!$C$5:$C$24,0)),""))</f>
        <v/>
      </c>
      <c r="AC973" s="36" t="n"/>
      <c r="AD973" s="37" t="n"/>
      <c r="AE973" s="38" t="n"/>
      <c r="AF973" s="118">
        <f>IF(OR($B973="",$C973=""),"",$C973-$B973+1)</f>
        <v/>
      </c>
      <c r="AG973" s="74" t="n"/>
      <c r="AH973" s="36" t="n"/>
      <c r="AJ973">
        <f>IF($K973="","",", "&amp;$K973)</f>
        <v/>
      </c>
      <c r="AK973">
        <f>AJ973&amp;IF($L973="","",", "&amp;$L973)</f>
        <v/>
      </c>
      <c r="AL973">
        <f>AK973&amp;IF($M973="","",", "&amp;$M973)</f>
        <v/>
      </c>
      <c r="AM973">
        <f>AL973&amp;IF($N973="","",", "&amp;$N973)</f>
        <v/>
      </c>
      <c r="AN973">
        <f>AM973&amp;IF($O973="","",", "&amp;$O973)</f>
        <v/>
      </c>
      <c r="AO973">
        <f>AN973&amp;IF($P973="","",", "&amp;$P973)</f>
        <v/>
      </c>
      <c r="AP973">
        <f>AO973&amp;IF($Q973="","",", "&amp;$Q973)</f>
        <v/>
      </c>
      <c r="AQ973">
        <f>AP973&amp;IF($R973="","",", "&amp;$R973)</f>
        <v/>
      </c>
      <c r="AR973">
        <f>AQ973&amp;IF($S973="","",", "&amp;$S973)</f>
        <v/>
      </c>
      <c r="AS973">
        <f>AR973&amp;IF($T973="","",", "&amp;$T973)</f>
        <v/>
      </c>
      <c r="AT973">
        <f>AS973&amp;IF($U973="","",", "&amp;$U973)</f>
        <v/>
      </c>
      <c r="AU973">
        <f>AT973&amp;IF($V973="","",", "&amp;$V973)</f>
        <v/>
      </c>
      <c r="AV973">
        <f>AU973&amp;IF($W973="","",", "&amp;$W973)</f>
        <v/>
      </c>
      <c r="AW973">
        <f>AV973&amp;IF($X973="","",", "&amp;$X973)</f>
        <v/>
      </c>
      <c r="AX973">
        <f>AW973&amp;IF($Y973="","",", "&amp;$Y973)</f>
        <v/>
      </c>
    </row>
    <row r="974">
      <c r="A974" s="118">
        <f>IF($B974="","",COUNT($B$5:$B974))</f>
        <v/>
      </c>
      <c r="B974" s="80" t="n"/>
      <c r="C974" s="80" t="n"/>
      <c r="D974" s="74" t="n"/>
      <c r="E974" s="74" t="n"/>
      <c r="F974" s="74" t="n"/>
      <c r="G974" s="118">
        <f>IF($F974="","",COUNTIF($F$5:$F974,$F974))</f>
        <v/>
      </c>
      <c r="H974" s="33">
        <f>IF($F974="","",IFERROR(INDEX(사건마스터!$B$5:$B$64,MATCH($F974,사건마스터!$A$5:$A$64,0)),""))</f>
        <v/>
      </c>
      <c r="I974" s="130">
        <f>IF($F974="","",IFERROR(INDEX(사건마스터!$C$5:$C$64,MATCH($F974,사건마스터!$A$5:$A$64,0)),""))</f>
        <v/>
      </c>
      <c r="J974" s="136">
        <f>IF($F974="","",IFERROR(INDEX(사건마스터!$H$5:$H$64,MATCH($F974,사건마스터!$A$5:$A$64,0)),""))</f>
        <v/>
      </c>
      <c r="K974" s="136">
        <f>IF($F974="","",IFERROR(INDEX(사건마스터!$AH$5:$AH$64,MATCH($F974,사건마스터!$A$5:$A$64,0)),""))</f>
        <v/>
      </c>
      <c r="L974" s="136">
        <f>IF($F974="","",IFERROR(INDEX(사건마스터!$AI$5:$AI$64,MATCH($F974,사건마스터!$A$5:$A$64,0)),""))</f>
        <v/>
      </c>
      <c r="M974" s="136">
        <f>IF($F974="","",IFERROR(INDEX(사건마스터!$AJ$5:$AJ$64,MATCH($F974,사건마스터!$A$5:$A$64,0)),""))</f>
        <v/>
      </c>
      <c r="N974" s="136">
        <f>IF($F974="","",IFERROR(INDEX(사건마스터!$AK$5:$AK$64,MATCH($F974,사건마스터!$A$5:$A$64,0)),""))</f>
        <v/>
      </c>
      <c r="O974" s="136">
        <f>IF($F974="","",IFERROR(INDEX(사건마스터!$AL$5:$AL$64,MATCH($F974,사건마스터!$A$5:$A$64,0)),""))</f>
        <v/>
      </c>
      <c r="P974" s="136">
        <f>IF($F974="","",IFERROR(INDEX(사건마스터!$AM$5:$AM$64,MATCH($F974,사건마스터!$A$5:$A$64,0)),""))</f>
        <v/>
      </c>
      <c r="Q974" s="136">
        <f>IF($F974="","",IFERROR(INDEX(사건마스터!$AN$5:$AN$64,MATCH($F974,사건마스터!$A$5:$A$64,0)),""))</f>
        <v/>
      </c>
      <c r="R974" s="136">
        <f>IF($F974="","",IFERROR(INDEX(사건마스터!$AO$5:$AO$64,MATCH($F974,사건마스터!$A$5:$A$64,0)),""))</f>
        <v/>
      </c>
      <c r="S974" s="136">
        <f>IF($F974="","",IFERROR(INDEX(사건마스터!$AP$5:$AP$64,MATCH($F974,사건마스터!$A$5:$A$64,0)),""))</f>
        <v/>
      </c>
      <c r="T974" s="136">
        <f>IF($F974="","",IFERROR(INDEX(사건마스터!$AQ$5:$AQ$64,MATCH($F974,사건마스터!$A$5:$A$64,0)),""))</f>
        <v/>
      </c>
      <c r="U974" s="136">
        <f>IF($F974="","",IFERROR(INDEX(사건마스터!$AR$5:$AR$64,MATCH($F974,사건마스터!$A$5:$A$64,0)),""))</f>
        <v/>
      </c>
      <c r="V974" s="136">
        <f>IF($F974="","",IFERROR(INDEX(사건마스터!$AS$5:$AS$64,MATCH($F974,사건마스터!$A$5:$A$64,0)),""))</f>
        <v/>
      </c>
      <c r="W974" s="136">
        <f>IF($F974="","",IFERROR(INDEX(사건마스터!$AT$5:$AT$64,MATCH($F974,사건마스터!$A$5:$A$64,0)),""))</f>
        <v/>
      </c>
      <c r="X974" s="136">
        <f>IF($F974="","",IFERROR(INDEX(사건마스터!$AU$5:$AU$64,MATCH($F974,사건마스터!$A$5:$A$64,0)),""))</f>
        <v/>
      </c>
      <c r="Y974" s="136">
        <f>IF($F974="","",IFERROR(INDEX(사건마스터!$AV$5:$AV$64,MATCH($F974,사건마스터!$A$5:$A$64,0)),""))</f>
        <v/>
      </c>
      <c r="Z974" s="118">
        <f>IF(COUNTBLANK($J974:$Y974)=16,"",16-COUNTBLANK($J974:$Y974))</f>
        <v/>
      </c>
      <c r="AA974" s="33">
        <f>IF($J974="",MID($AX974,3,255),$J974&amp;$AX974)</f>
        <v/>
      </c>
      <c r="AB974" s="130">
        <f>IF($J974="","",IFERROR(INDEX(코드설정!$D$5:$D$24,MATCH($J974,코드설정!$C$5:$C$24,0)),""))</f>
        <v/>
      </c>
      <c r="AC974" s="36" t="n"/>
      <c r="AD974" s="37" t="n"/>
      <c r="AE974" s="38" t="n"/>
      <c r="AF974" s="118">
        <f>IF(OR($B974="",$C974=""),"",$C974-$B974+1)</f>
        <v/>
      </c>
      <c r="AG974" s="74" t="n"/>
      <c r="AH974" s="36" t="n"/>
      <c r="AJ974">
        <f>IF($K974="","",", "&amp;$K974)</f>
        <v/>
      </c>
      <c r="AK974">
        <f>AJ974&amp;IF($L974="","",", "&amp;$L974)</f>
        <v/>
      </c>
      <c r="AL974">
        <f>AK974&amp;IF($M974="","",", "&amp;$M974)</f>
        <v/>
      </c>
      <c r="AM974">
        <f>AL974&amp;IF($N974="","",", "&amp;$N974)</f>
        <v/>
      </c>
      <c r="AN974">
        <f>AM974&amp;IF($O974="","",", "&amp;$O974)</f>
        <v/>
      </c>
      <c r="AO974">
        <f>AN974&amp;IF($P974="","",", "&amp;$P974)</f>
        <v/>
      </c>
      <c r="AP974">
        <f>AO974&amp;IF($Q974="","",", "&amp;$Q974)</f>
        <v/>
      </c>
      <c r="AQ974">
        <f>AP974&amp;IF($R974="","",", "&amp;$R974)</f>
        <v/>
      </c>
      <c r="AR974">
        <f>AQ974&amp;IF($S974="","",", "&amp;$S974)</f>
        <v/>
      </c>
      <c r="AS974">
        <f>AR974&amp;IF($T974="","",", "&amp;$T974)</f>
        <v/>
      </c>
      <c r="AT974">
        <f>AS974&amp;IF($U974="","",", "&amp;$U974)</f>
        <v/>
      </c>
      <c r="AU974">
        <f>AT974&amp;IF($V974="","",", "&amp;$V974)</f>
        <v/>
      </c>
      <c r="AV974">
        <f>AU974&amp;IF($W974="","",", "&amp;$W974)</f>
        <v/>
      </c>
      <c r="AW974">
        <f>AV974&amp;IF($X974="","",", "&amp;$X974)</f>
        <v/>
      </c>
      <c r="AX974">
        <f>AW974&amp;IF($Y974="","",", "&amp;$Y974)</f>
        <v/>
      </c>
    </row>
    <row r="975">
      <c r="A975" s="118">
        <f>IF($B975="","",COUNT($B$5:$B975))</f>
        <v/>
      </c>
      <c r="B975" s="80" t="n"/>
      <c r="C975" s="80" t="n"/>
      <c r="D975" s="74" t="n"/>
      <c r="E975" s="74" t="n"/>
      <c r="F975" s="74" t="n"/>
      <c r="G975" s="118">
        <f>IF($F975="","",COUNTIF($F$5:$F975,$F975))</f>
        <v/>
      </c>
      <c r="H975" s="33">
        <f>IF($F975="","",IFERROR(INDEX(사건마스터!$B$5:$B$64,MATCH($F975,사건마스터!$A$5:$A$64,0)),""))</f>
        <v/>
      </c>
      <c r="I975" s="130">
        <f>IF($F975="","",IFERROR(INDEX(사건마스터!$C$5:$C$64,MATCH($F975,사건마스터!$A$5:$A$64,0)),""))</f>
        <v/>
      </c>
      <c r="J975" s="136">
        <f>IF($F975="","",IFERROR(INDEX(사건마스터!$H$5:$H$64,MATCH($F975,사건마스터!$A$5:$A$64,0)),""))</f>
        <v/>
      </c>
      <c r="K975" s="136">
        <f>IF($F975="","",IFERROR(INDEX(사건마스터!$AH$5:$AH$64,MATCH($F975,사건마스터!$A$5:$A$64,0)),""))</f>
        <v/>
      </c>
      <c r="L975" s="136">
        <f>IF($F975="","",IFERROR(INDEX(사건마스터!$AI$5:$AI$64,MATCH($F975,사건마스터!$A$5:$A$64,0)),""))</f>
        <v/>
      </c>
      <c r="M975" s="136">
        <f>IF($F975="","",IFERROR(INDEX(사건마스터!$AJ$5:$AJ$64,MATCH($F975,사건마스터!$A$5:$A$64,0)),""))</f>
        <v/>
      </c>
      <c r="N975" s="136">
        <f>IF($F975="","",IFERROR(INDEX(사건마스터!$AK$5:$AK$64,MATCH($F975,사건마스터!$A$5:$A$64,0)),""))</f>
        <v/>
      </c>
      <c r="O975" s="136">
        <f>IF($F975="","",IFERROR(INDEX(사건마스터!$AL$5:$AL$64,MATCH($F975,사건마스터!$A$5:$A$64,0)),""))</f>
        <v/>
      </c>
      <c r="P975" s="136">
        <f>IF($F975="","",IFERROR(INDEX(사건마스터!$AM$5:$AM$64,MATCH($F975,사건마스터!$A$5:$A$64,0)),""))</f>
        <v/>
      </c>
      <c r="Q975" s="136">
        <f>IF($F975="","",IFERROR(INDEX(사건마스터!$AN$5:$AN$64,MATCH($F975,사건마스터!$A$5:$A$64,0)),""))</f>
        <v/>
      </c>
      <c r="R975" s="136">
        <f>IF($F975="","",IFERROR(INDEX(사건마스터!$AO$5:$AO$64,MATCH($F975,사건마스터!$A$5:$A$64,0)),""))</f>
        <v/>
      </c>
      <c r="S975" s="136">
        <f>IF($F975="","",IFERROR(INDEX(사건마스터!$AP$5:$AP$64,MATCH($F975,사건마스터!$A$5:$A$64,0)),""))</f>
        <v/>
      </c>
      <c r="T975" s="136">
        <f>IF($F975="","",IFERROR(INDEX(사건마스터!$AQ$5:$AQ$64,MATCH($F975,사건마스터!$A$5:$A$64,0)),""))</f>
        <v/>
      </c>
      <c r="U975" s="136">
        <f>IF($F975="","",IFERROR(INDEX(사건마스터!$AR$5:$AR$64,MATCH($F975,사건마스터!$A$5:$A$64,0)),""))</f>
        <v/>
      </c>
      <c r="V975" s="136">
        <f>IF($F975="","",IFERROR(INDEX(사건마스터!$AS$5:$AS$64,MATCH($F975,사건마스터!$A$5:$A$64,0)),""))</f>
        <v/>
      </c>
      <c r="W975" s="136">
        <f>IF($F975="","",IFERROR(INDEX(사건마스터!$AT$5:$AT$64,MATCH($F975,사건마스터!$A$5:$A$64,0)),""))</f>
        <v/>
      </c>
      <c r="X975" s="136">
        <f>IF($F975="","",IFERROR(INDEX(사건마스터!$AU$5:$AU$64,MATCH($F975,사건마스터!$A$5:$A$64,0)),""))</f>
        <v/>
      </c>
      <c r="Y975" s="136">
        <f>IF($F975="","",IFERROR(INDEX(사건마스터!$AV$5:$AV$64,MATCH($F975,사건마스터!$A$5:$A$64,0)),""))</f>
        <v/>
      </c>
      <c r="Z975" s="118">
        <f>IF(COUNTBLANK($J975:$Y975)=16,"",16-COUNTBLANK($J975:$Y975))</f>
        <v/>
      </c>
      <c r="AA975" s="33">
        <f>IF($J975="",MID($AX975,3,255),$J975&amp;$AX975)</f>
        <v/>
      </c>
      <c r="AB975" s="130">
        <f>IF($J975="","",IFERROR(INDEX(코드설정!$D$5:$D$24,MATCH($J975,코드설정!$C$5:$C$24,0)),""))</f>
        <v/>
      </c>
      <c r="AC975" s="36" t="n"/>
      <c r="AD975" s="37" t="n"/>
      <c r="AE975" s="38" t="n"/>
      <c r="AF975" s="118">
        <f>IF(OR($B975="",$C975=""),"",$C975-$B975+1)</f>
        <v/>
      </c>
      <c r="AG975" s="74" t="n"/>
      <c r="AH975" s="36" t="n"/>
      <c r="AJ975">
        <f>IF($K975="","",", "&amp;$K975)</f>
        <v/>
      </c>
      <c r="AK975">
        <f>AJ975&amp;IF($L975="","",", "&amp;$L975)</f>
        <v/>
      </c>
      <c r="AL975">
        <f>AK975&amp;IF($M975="","",", "&amp;$M975)</f>
        <v/>
      </c>
      <c r="AM975">
        <f>AL975&amp;IF($N975="","",", "&amp;$N975)</f>
        <v/>
      </c>
      <c r="AN975">
        <f>AM975&amp;IF($O975="","",", "&amp;$O975)</f>
        <v/>
      </c>
      <c r="AO975">
        <f>AN975&amp;IF($P975="","",", "&amp;$P975)</f>
        <v/>
      </c>
      <c r="AP975">
        <f>AO975&amp;IF($Q975="","",", "&amp;$Q975)</f>
        <v/>
      </c>
      <c r="AQ975">
        <f>AP975&amp;IF($R975="","",", "&amp;$R975)</f>
        <v/>
      </c>
      <c r="AR975">
        <f>AQ975&amp;IF($S975="","",", "&amp;$S975)</f>
        <v/>
      </c>
      <c r="AS975">
        <f>AR975&amp;IF($T975="","",", "&amp;$T975)</f>
        <v/>
      </c>
      <c r="AT975">
        <f>AS975&amp;IF($U975="","",", "&amp;$U975)</f>
        <v/>
      </c>
      <c r="AU975">
        <f>AT975&amp;IF($V975="","",", "&amp;$V975)</f>
        <v/>
      </c>
      <c r="AV975">
        <f>AU975&amp;IF($W975="","",", "&amp;$W975)</f>
        <v/>
      </c>
      <c r="AW975">
        <f>AV975&amp;IF($X975="","",", "&amp;$X975)</f>
        <v/>
      </c>
      <c r="AX975">
        <f>AW975&amp;IF($Y975="","",", "&amp;$Y975)</f>
        <v/>
      </c>
    </row>
    <row r="976">
      <c r="A976" s="118">
        <f>IF($B976="","",COUNT($B$5:$B976))</f>
        <v/>
      </c>
      <c r="B976" s="80" t="n"/>
      <c r="C976" s="80" t="n"/>
      <c r="D976" s="74" t="n"/>
      <c r="E976" s="74" t="n"/>
      <c r="F976" s="74" t="n"/>
      <c r="G976" s="118">
        <f>IF($F976="","",COUNTIF($F$5:$F976,$F976))</f>
        <v/>
      </c>
      <c r="H976" s="33">
        <f>IF($F976="","",IFERROR(INDEX(사건마스터!$B$5:$B$64,MATCH($F976,사건마스터!$A$5:$A$64,0)),""))</f>
        <v/>
      </c>
      <c r="I976" s="130">
        <f>IF($F976="","",IFERROR(INDEX(사건마스터!$C$5:$C$64,MATCH($F976,사건마스터!$A$5:$A$64,0)),""))</f>
        <v/>
      </c>
      <c r="J976" s="136">
        <f>IF($F976="","",IFERROR(INDEX(사건마스터!$H$5:$H$64,MATCH($F976,사건마스터!$A$5:$A$64,0)),""))</f>
        <v/>
      </c>
      <c r="K976" s="136">
        <f>IF($F976="","",IFERROR(INDEX(사건마스터!$AH$5:$AH$64,MATCH($F976,사건마스터!$A$5:$A$64,0)),""))</f>
        <v/>
      </c>
      <c r="L976" s="136">
        <f>IF($F976="","",IFERROR(INDEX(사건마스터!$AI$5:$AI$64,MATCH($F976,사건마스터!$A$5:$A$64,0)),""))</f>
        <v/>
      </c>
      <c r="M976" s="136">
        <f>IF($F976="","",IFERROR(INDEX(사건마스터!$AJ$5:$AJ$64,MATCH($F976,사건마스터!$A$5:$A$64,0)),""))</f>
        <v/>
      </c>
      <c r="N976" s="136">
        <f>IF($F976="","",IFERROR(INDEX(사건마스터!$AK$5:$AK$64,MATCH($F976,사건마스터!$A$5:$A$64,0)),""))</f>
        <v/>
      </c>
      <c r="O976" s="136">
        <f>IF($F976="","",IFERROR(INDEX(사건마스터!$AL$5:$AL$64,MATCH($F976,사건마스터!$A$5:$A$64,0)),""))</f>
        <v/>
      </c>
      <c r="P976" s="136">
        <f>IF($F976="","",IFERROR(INDEX(사건마스터!$AM$5:$AM$64,MATCH($F976,사건마스터!$A$5:$A$64,0)),""))</f>
        <v/>
      </c>
      <c r="Q976" s="136">
        <f>IF($F976="","",IFERROR(INDEX(사건마스터!$AN$5:$AN$64,MATCH($F976,사건마스터!$A$5:$A$64,0)),""))</f>
        <v/>
      </c>
      <c r="R976" s="136">
        <f>IF($F976="","",IFERROR(INDEX(사건마스터!$AO$5:$AO$64,MATCH($F976,사건마스터!$A$5:$A$64,0)),""))</f>
        <v/>
      </c>
      <c r="S976" s="136">
        <f>IF($F976="","",IFERROR(INDEX(사건마스터!$AP$5:$AP$64,MATCH($F976,사건마스터!$A$5:$A$64,0)),""))</f>
        <v/>
      </c>
      <c r="T976" s="136">
        <f>IF($F976="","",IFERROR(INDEX(사건마스터!$AQ$5:$AQ$64,MATCH($F976,사건마스터!$A$5:$A$64,0)),""))</f>
        <v/>
      </c>
      <c r="U976" s="136">
        <f>IF($F976="","",IFERROR(INDEX(사건마스터!$AR$5:$AR$64,MATCH($F976,사건마스터!$A$5:$A$64,0)),""))</f>
        <v/>
      </c>
      <c r="V976" s="136">
        <f>IF($F976="","",IFERROR(INDEX(사건마스터!$AS$5:$AS$64,MATCH($F976,사건마스터!$A$5:$A$64,0)),""))</f>
        <v/>
      </c>
      <c r="W976" s="136">
        <f>IF($F976="","",IFERROR(INDEX(사건마스터!$AT$5:$AT$64,MATCH($F976,사건마스터!$A$5:$A$64,0)),""))</f>
        <v/>
      </c>
      <c r="X976" s="136">
        <f>IF($F976="","",IFERROR(INDEX(사건마스터!$AU$5:$AU$64,MATCH($F976,사건마스터!$A$5:$A$64,0)),""))</f>
        <v/>
      </c>
      <c r="Y976" s="136">
        <f>IF($F976="","",IFERROR(INDEX(사건마스터!$AV$5:$AV$64,MATCH($F976,사건마스터!$A$5:$A$64,0)),""))</f>
        <v/>
      </c>
      <c r="Z976" s="118">
        <f>IF(COUNTBLANK($J976:$Y976)=16,"",16-COUNTBLANK($J976:$Y976))</f>
        <v/>
      </c>
      <c r="AA976" s="33">
        <f>IF($J976="",MID($AX976,3,255),$J976&amp;$AX976)</f>
        <v/>
      </c>
      <c r="AB976" s="130">
        <f>IF($J976="","",IFERROR(INDEX(코드설정!$D$5:$D$24,MATCH($J976,코드설정!$C$5:$C$24,0)),""))</f>
        <v/>
      </c>
      <c r="AC976" s="36" t="n"/>
      <c r="AD976" s="37" t="n"/>
      <c r="AE976" s="38" t="n"/>
      <c r="AF976" s="118">
        <f>IF(OR($B976="",$C976=""),"",$C976-$B976+1)</f>
        <v/>
      </c>
      <c r="AG976" s="74" t="n"/>
      <c r="AH976" s="36" t="n"/>
      <c r="AJ976">
        <f>IF($K976="","",", "&amp;$K976)</f>
        <v/>
      </c>
      <c r="AK976">
        <f>AJ976&amp;IF($L976="","",", "&amp;$L976)</f>
        <v/>
      </c>
      <c r="AL976">
        <f>AK976&amp;IF($M976="","",", "&amp;$M976)</f>
        <v/>
      </c>
      <c r="AM976">
        <f>AL976&amp;IF($N976="","",", "&amp;$N976)</f>
        <v/>
      </c>
      <c r="AN976">
        <f>AM976&amp;IF($O976="","",", "&amp;$O976)</f>
        <v/>
      </c>
      <c r="AO976">
        <f>AN976&amp;IF($P976="","",", "&amp;$P976)</f>
        <v/>
      </c>
      <c r="AP976">
        <f>AO976&amp;IF($Q976="","",", "&amp;$Q976)</f>
        <v/>
      </c>
      <c r="AQ976">
        <f>AP976&amp;IF($R976="","",", "&amp;$R976)</f>
        <v/>
      </c>
      <c r="AR976">
        <f>AQ976&amp;IF($S976="","",", "&amp;$S976)</f>
        <v/>
      </c>
      <c r="AS976">
        <f>AR976&amp;IF($T976="","",", "&amp;$T976)</f>
        <v/>
      </c>
      <c r="AT976">
        <f>AS976&amp;IF($U976="","",", "&amp;$U976)</f>
        <v/>
      </c>
      <c r="AU976">
        <f>AT976&amp;IF($V976="","",", "&amp;$V976)</f>
        <v/>
      </c>
      <c r="AV976">
        <f>AU976&amp;IF($W976="","",", "&amp;$W976)</f>
        <v/>
      </c>
      <c r="AW976">
        <f>AV976&amp;IF($X976="","",", "&amp;$X976)</f>
        <v/>
      </c>
      <c r="AX976">
        <f>AW976&amp;IF($Y976="","",", "&amp;$Y976)</f>
        <v/>
      </c>
    </row>
    <row r="977">
      <c r="A977" s="118">
        <f>IF($B977="","",COUNT($B$5:$B977))</f>
        <v/>
      </c>
      <c r="B977" s="80" t="n"/>
      <c r="C977" s="80" t="n"/>
      <c r="D977" s="74" t="n"/>
      <c r="E977" s="74" t="n"/>
      <c r="F977" s="74" t="n"/>
      <c r="G977" s="118">
        <f>IF($F977="","",COUNTIF($F$5:$F977,$F977))</f>
        <v/>
      </c>
      <c r="H977" s="33">
        <f>IF($F977="","",IFERROR(INDEX(사건마스터!$B$5:$B$64,MATCH($F977,사건마스터!$A$5:$A$64,0)),""))</f>
        <v/>
      </c>
      <c r="I977" s="130">
        <f>IF($F977="","",IFERROR(INDEX(사건마스터!$C$5:$C$64,MATCH($F977,사건마스터!$A$5:$A$64,0)),""))</f>
        <v/>
      </c>
      <c r="J977" s="136">
        <f>IF($F977="","",IFERROR(INDEX(사건마스터!$H$5:$H$64,MATCH($F977,사건마스터!$A$5:$A$64,0)),""))</f>
        <v/>
      </c>
      <c r="K977" s="136">
        <f>IF($F977="","",IFERROR(INDEX(사건마스터!$AH$5:$AH$64,MATCH($F977,사건마스터!$A$5:$A$64,0)),""))</f>
        <v/>
      </c>
      <c r="L977" s="136">
        <f>IF($F977="","",IFERROR(INDEX(사건마스터!$AI$5:$AI$64,MATCH($F977,사건마스터!$A$5:$A$64,0)),""))</f>
        <v/>
      </c>
      <c r="M977" s="136">
        <f>IF($F977="","",IFERROR(INDEX(사건마스터!$AJ$5:$AJ$64,MATCH($F977,사건마스터!$A$5:$A$64,0)),""))</f>
        <v/>
      </c>
      <c r="N977" s="136">
        <f>IF($F977="","",IFERROR(INDEX(사건마스터!$AK$5:$AK$64,MATCH($F977,사건마스터!$A$5:$A$64,0)),""))</f>
        <v/>
      </c>
      <c r="O977" s="136">
        <f>IF($F977="","",IFERROR(INDEX(사건마스터!$AL$5:$AL$64,MATCH($F977,사건마스터!$A$5:$A$64,0)),""))</f>
        <v/>
      </c>
      <c r="P977" s="136">
        <f>IF($F977="","",IFERROR(INDEX(사건마스터!$AM$5:$AM$64,MATCH($F977,사건마스터!$A$5:$A$64,0)),""))</f>
        <v/>
      </c>
      <c r="Q977" s="136">
        <f>IF($F977="","",IFERROR(INDEX(사건마스터!$AN$5:$AN$64,MATCH($F977,사건마스터!$A$5:$A$64,0)),""))</f>
        <v/>
      </c>
      <c r="R977" s="136">
        <f>IF($F977="","",IFERROR(INDEX(사건마스터!$AO$5:$AO$64,MATCH($F977,사건마스터!$A$5:$A$64,0)),""))</f>
        <v/>
      </c>
      <c r="S977" s="136">
        <f>IF($F977="","",IFERROR(INDEX(사건마스터!$AP$5:$AP$64,MATCH($F977,사건마스터!$A$5:$A$64,0)),""))</f>
        <v/>
      </c>
      <c r="T977" s="136">
        <f>IF($F977="","",IFERROR(INDEX(사건마스터!$AQ$5:$AQ$64,MATCH($F977,사건마스터!$A$5:$A$64,0)),""))</f>
        <v/>
      </c>
      <c r="U977" s="136">
        <f>IF($F977="","",IFERROR(INDEX(사건마스터!$AR$5:$AR$64,MATCH($F977,사건마스터!$A$5:$A$64,0)),""))</f>
        <v/>
      </c>
      <c r="V977" s="136">
        <f>IF($F977="","",IFERROR(INDEX(사건마스터!$AS$5:$AS$64,MATCH($F977,사건마스터!$A$5:$A$64,0)),""))</f>
        <v/>
      </c>
      <c r="W977" s="136">
        <f>IF($F977="","",IFERROR(INDEX(사건마스터!$AT$5:$AT$64,MATCH($F977,사건마스터!$A$5:$A$64,0)),""))</f>
        <v/>
      </c>
      <c r="X977" s="136">
        <f>IF($F977="","",IFERROR(INDEX(사건마스터!$AU$5:$AU$64,MATCH($F977,사건마스터!$A$5:$A$64,0)),""))</f>
        <v/>
      </c>
      <c r="Y977" s="136">
        <f>IF($F977="","",IFERROR(INDEX(사건마스터!$AV$5:$AV$64,MATCH($F977,사건마스터!$A$5:$A$64,0)),""))</f>
        <v/>
      </c>
      <c r="Z977" s="118">
        <f>IF(COUNTBLANK($J977:$Y977)=16,"",16-COUNTBLANK($J977:$Y977))</f>
        <v/>
      </c>
      <c r="AA977" s="33">
        <f>IF($J977="",MID($AX977,3,255),$J977&amp;$AX977)</f>
        <v/>
      </c>
      <c r="AB977" s="130">
        <f>IF($J977="","",IFERROR(INDEX(코드설정!$D$5:$D$24,MATCH($J977,코드설정!$C$5:$C$24,0)),""))</f>
        <v/>
      </c>
      <c r="AC977" s="36" t="n"/>
      <c r="AD977" s="37" t="n"/>
      <c r="AE977" s="38" t="n"/>
      <c r="AF977" s="118">
        <f>IF(OR($B977="",$C977=""),"",$C977-$B977+1)</f>
        <v/>
      </c>
      <c r="AG977" s="74" t="n"/>
      <c r="AH977" s="36" t="n"/>
      <c r="AJ977">
        <f>IF($K977="","",", "&amp;$K977)</f>
        <v/>
      </c>
      <c r="AK977">
        <f>AJ977&amp;IF($L977="","",", "&amp;$L977)</f>
        <v/>
      </c>
      <c r="AL977">
        <f>AK977&amp;IF($M977="","",", "&amp;$M977)</f>
        <v/>
      </c>
      <c r="AM977">
        <f>AL977&amp;IF($N977="","",", "&amp;$N977)</f>
        <v/>
      </c>
      <c r="AN977">
        <f>AM977&amp;IF($O977="","",", "&amp;$O977)</f>
        <v/>
      </c>
      <c r="AO977">
        <f>AN977&amp;IF($P977="","",", "&amp;$P977)</f>
        <v/>
      </c>
      <c r="AP977">
        <f>AO977&amp;IF($Q977="","",", "&amp;$Q977)</f>
        <v/>
      </c>
      <c r="AQ977">
        <f>AP977&amp;IF($R977="","",", "&amp;$R977)</f>
        <v/>
      </c>
      <c r="AR977">
        <f>AQ977&amp;IF($S977="","",", "&amp;$S977)</f>
        <v/>
      </c>
      <c r="AS977">
        <f>AR977&amp;IF($T977="","",", "&amp;$T977)</f>
        <v/>
      </c>
      <c r="AT977">
        <f>AS977&amp;IF($U977="","",", "&amp;$U977)</f>
        <v/>
      </c>
      <c r="AU977">
        <f>AT977&amp;IF($V977="","",", "&amp;$V977)</f>
        <v/>
      </c>
      <c r="AV977">
        <f>AU977&amp;IF($W977="","",", "&amp;$W977)</f>
        <v/>
      </c>
      <c r="AW977">
        <f>AV977&amp;IF($X977="","",", "&amp;$X977)</f>
        <v/>
      </c>
      <c r="AX977">
        <f>AW977&amp;IF($Y977="","",", "&amp;$Y977)</f>
        <v/>
      </c>
    </row>
    <row r="978">
      <c r="A978" s="118">
        <f>IF($B978="","",COUNT($B$5:$B978))</f>
        <v/>
      </c>
      <c r="B978" s="80" t="n"/>
      <c r="C978" s="80" t="n"/>
      <c r="D978" s="74" t="n"/>
      <c r="E978" s="74" t="n"/>
      <c r="F978" s="74" t="n"/>
      <c r="G978" s="118">
        <f>IF($F978="","",COUNTIF($F$5:$F978,$F978))</f>
        <v/>
      </c>
      <c r="H978" s="33">
        <f>IF($F978="","",IFERROR(INDEX(사건마스터!$B$5:$B$64,MATCH($F978,사건마스터!$A$5:$A$64,0)),""))</f>
        <v/>
      </c>
      <c r="I978" s="130">
        <f>IF($F978="","",IFERROR(INDEX(사건마스터!$C$5:$C$64,MATCH($F978,사건마스터!$A$5:$A$64,0)),""))</f>
        <v/>
      </c>
      <c r="J978" s="136">
        <f>IF($F978="","",IFERROR(INDEX(사건마스터!$H$5:$H$64,MATCH($F978,사건마스터!$A$5:$A$64,0)),""))</f>
        <v/>
      </c>
      <c r="K978" s="136">
        <f>IF($F978="","",IFERROR(INDEX(사건마스터!$AH$5:$AH$64,MATCH($F978,사건마스터!$A$5:$A$64,0)),""))</f>
        <v/>
      </c>
      <c r="L978" s="136">
        <f>IF($F978="","",IFERROR(INDEX(사건마스터!$AI$5:$AI$64,MATCH($F978,사건마스터!$A$5:$A$64,0)),""))</f>
        <v/>
      </c>
      <c r="M978" s="136">
        <f>IF($F978="","",IFERROR(INDEX(사건마스터!$AJ$5:$AJ$64,MATCH($F978,사건마스터!$A$5:$A$64,0)),""))</f>
        <v/>
      </c>
      <c r="N978" s="136">
        <f>IF($F978="","",IFERROR(INDEX(사건마스터!$AK$5:$AK$64,MATCH($F978,사건마스터!$A$5:$A$64,0)),""))</f>
        <v/>
      </c>
      <c r="O978" s="136">
        <f>IF($F978="","",IFERROR(INDEX(사건마스터!$AL$5:$AL$64,MATCH($F978,사건마스터!$A$5:$A$64,0)),""))</f>
        <v/>
      </c>
      <c r="P978" s="136">
        <f>IF($F978="","",IFERROR(INDEX(사건마스터!$AM$5:$AM$64,MATCH($F978,사건마스터!$A$5:$A$64,0)),""))</f>
        <v/>
      </c>
      <c r="Q978" s="136">
        <f>IF($F978="","",IFERROR(INDEX(사건마스터!$AN$5:$AN$64,MATCH($F978,사건마스터!$A$5:$A$64,0)),""))</f>
        <v/>
      </c>
      <c r="R978" s="136">
        <f>IF($F978="","",IFERROR(INDEX(사건마스터!$AO$5:$AO$64,MATCH($F978,사건마스터!$A$5:$A$64,0)),""))</f>
        <v/>
      </c>
      <c r="S978" s="136">
        <f>IF($F978="","",IFERROR(INDEX(사건마스터!$AP$5:$AP$64,MATCH($F978,사건마스터!$A$5:$A$64,0)),""))</f>
        <v/>
      </c>
      <c r="T978" s="136">
        <f>IF($F978="","",IFERROR(INDEX(사건마스터!$AQ$5:$AQ$64,MATCH($F978,사건마스터!$A$5:$A$64,0)),""))</f>
        <v/>
      </c>
      <c r="U978" s="136">
        <f>IF($F978="","",IFERROR(INDEX(사건마스터!$AR$5:$AR$64,MATCH($F978,사건마스터!$A$5:$A$64,0)),""))</f>
        <v/>
      </c>
      <c r="V978" s="136">
        <f>IF($F978="","",IFERROR(INDEX(사건마스터!$AS$5:$AS$64,MATCH($F978,사건마스터!$A$5:$A$64,0)),""))</f>
        <v/>
      </c>
      <c r="W978" s="136">
        <f>IF($F978="","",IFERROR(INDEX(사건마스터!$AT$5:$AT$64,MATCH($F978,사건마스터!$A$5:$A$64,0)),""))</f>
        <v/>
      </c>
      <c r="X978" s="136">
        <f>IF($F978="","",IFERROR(INDEX(사건마스터!$AU$5:$AU$64,MATCH($F978,사건마스터!$A$5:$A$64,0)),""))</f>
        <v/>
      </c>
      <c r="Y978" s="136">
        <f>IF($F978="","",IFERROR(INDEX(사건마스터!$AV$5:$AV$64,MATCH($F978,사건마스터!$A$5:$A$64,0)),""))</f>
        <v/>
      </c>
      <c r="Z978" s="118">
        <f>IF(COUNTBLANK($J978:$Y978)=16,"",16-COUNTBLANK($J978:$Y978))</f>
        <v/>
      </c>
      <c r="AA978" s="33">
        <f>IF($J978="",MID($AX978,3,255),$J978&amp;$AX978)</f>
        <v/>
      </c>
      <c r="AB978" s="130">
        <f>IF($J978="","",IFERROR(INDEX(코드설정!$D$5:$D$24,MATCH($J978,코드설정!$C$5:$C$24,0)),""))</f>
        <v/>
      </c>
      <c r="AC978" s="36" t="n"/>
      <c r="AD978" s="37" t="n"/>
      <c r="AE978" s="38" t="n"/>
      <c r="AF978" s="118">
        <f>IF(OR($B978="",$C978=""),"",$C978-$B978+1)</f>
        <v/>
      </c>
      <c r="AG978" s="74" t="n"/>
      <c r="AH978" s="36" t="n"/>
      <c r="AJ978">
        <f>IF($K978="","",", "&amp;$K978)</f>
        <v/>
      </c>
      <c r="AK978">
        <f>AJ978&amp;IF($L978="","",", "&amp;$L978)</f>
        <v/>
      </c>
      <c r="AL978">
        <f>AK978&amp;IF($M978="","",", "&amp;$M978)</f>
        <v/>
      </c>
      <c r="AM978">
        <f>AL978&amp;IF($N978="","",", "&amp;$N978)</f>
        <v/>
      </c>
      <c r="AN978">
        <f>AM978&amp;IF($O978="","",", "&amp;$O978)</f>
        <v/>
      </c>
      <c r="AO978">
        <f>AN978&amp;IF($P978="","",", "&amp;$P978)</f>
        <v/>
      </c>
      <c r="AP978">
        <f>AO978&amp;IF($Q978="","",", "&amp;$Q978)</f>
        <v/>
      </c>
      <c r="AQ978">
        <f>AP978&amp;IF($R978="","",", "&amp;$R978)</f>
        <v/>
      </c>
      <c r="AR978">
        <f>AQ978&amp;IF($S978="","",", "&amp;$S978)</f>
        <v/>
      </c>
      <c r="AS978">
        <f>AR978&amp;IF($T978="","",", "&amp;$T978)</f>
        <v/>
      </c>
      <c r="AT978">
        <f>AS978&amp;IF($U978="","",", "&amp;$U978)</f>
        <v/>
      </c>
      <c r="AU978">
        <f>AT978&amp;IF($V978="","",", "&amp;$V978)</f>
        <v/>
      </c>
      <c r="AV978">
        <f>AU978&amp;IF($W978="","",", "&amp;$W978)</f>
        <v/>
      </c>
      <c r="AW978">
        <f>AV978&amp;IF($X978="","",", "&amp;$X978)</f>
        <v/>
      </c>
      <c r="AX978">
        <f>AW978&amp;IF($Y978="","",", "&amp;$Y978)</f>
        <v/>
      </c>
    </row>
    <row r="979">
      <c r="A979" s="118">
        <f>IF($B979="","",COUNT($B$5:$B979))</f>
        <v/>
      </c>
      <c r="B979" s="80" t="n"/>
      <c r="C979" s="80" t="n"/>
      <c r="D979" s="74" t="n"/>
      <c r="E979" s="74" t="n"/>
      <c r="F979" s="74" t="n"/>
      <c r="G979" s="118">
        <f>IF($F979="","",COUNTIF($F$5:$F979,$F979))</f>
        <v/>
      </c>
      <c r="H979" s="33">
        <f>IF($F979="","",IFERROR(INDEX(사건마스터!$B$5:$B$64,MATCH($F979,사건마스터!$A$5:$A$64,0)),""))</f>
        <v/>
      </c>
      <c r="I979" s="130">
        <f>IF($F979="","",IFERROR(INDEX(사건마스터!$C$5:$C$64,MATCH($F979,사건마스터!$A$5:$A$64,0)),""))</f>
        <v/>
      </c>
      <c r="J979" s="136">
        <f>IF($F979="","",IFERROR(INDEX(사건마스터!$H$5:$H$64,MATCH($F979,사건마스터!$A$5:$A$64,0)),""))</f>
        <v/>
      </c>
      <c r="K979" s="136">
        <f>IF($F979="","",IFERROR(INDEX(사건마스터!$AH$5:$AH$64,MATCH($F979,사건마스터!$A$5:$A$64,0)),""))</f>
        <v/>
      </c>
      <c r="L979" s="136">
        <f>IF($F979="","",IFERROR(INDEX(사건마스터!$AI$5:$AI$64,MATCH($F979,사건마스터!$A$5:$A$64,0)),""))</f>
        <v/>
      </c>
      <c r="M979" s="136">
        <f>IF($F979="","",IFERROR(INDEX(사건마스터!$AJ$5:$AJ$64,MATCH($F979,사건마스터!$A$5:$A$64,0)),""))</f>
        <v/>
      </c>
      <c r="N979" s="136">
        <f>IF($F979="","",IFERROR(INDEX(사건마스터!$AK$5:$AK$64,MATCH($F979,사건마스터!$A$5:$A$64,0)),""))</f>
        <v/>
      </c>
      <c r="O979" s="136">
        <f>IF($F979="","",IFERROR(INDEX(사건마스터!$AL$5:$AL$64,MATCH($F979,사건마스터!$A$5:$A$64,0)),""))</f>
        <v/>
      </c>
      <c r="P979" s="136">
        <f>IF($F979="","",IFERROR(INDEX(사건마스터!$AM$5:$AM$64,MATCH($F979,사건마스터!$A$5:$A$64,0)),""))</f>
        <v/>
      </c>
      <c r="Q979" s="136">
        <f>IF($F979="","",IFERROR(INDEX(사건마스터!$AN$5:$AN$64,MATCH($F979,사건마스터!$A$5:$A$64,0)),""))</f>
        <v/>
      </c>
      <c r="R979" s="136">
        <f>IF($F979="","",IFERROR(INDEX(사건마스터!$AO$5:$AO$64,MATCH($F979,사건마스터!$A$5:$A$64,0)),""))</f>
        <v/>
      </c>
      <c r="S979" s="136">
        <f>IF($F979="","",IFERROR(INDEX(사건마스터!$AP$5:$AP$64,MATCH($F979,사건마스터!$A$5:$A$64,0)),""))</f>
        <v/>
      </c>
      <c r="T979" s="136">
        <f>IF($F979="","",IFERROR(INDEX(사건마스터!$AQ$5:$AQ$64,MATCH($F979,사건마스터!$A$5:$A$64,0)),""))</f>
        <v/>
      </c>
      <c r="U979" s="136">
        <f>IF($F979="","",IFERROR(INDEX(사건마스터!$AR$5:$AR$64,MATCH($F979,사건마스터!$A$5:$A$64,0)),""))</f>
        <v/>
      </c>
      <c r="V979" s="136">
        <f>IF($F979="","",IFERROR(INDEX(사건마스터!$AS$5:$AS$64,MATCH($F979,사건마스터!$A$5:$A$64,0)),""))</f>
        <v/>
      </c>
      <c r="W979" s="136">
        <f>IF($F979="","",IFERROR(INDEX(사건마스터!$AT$5:$AT$64,MATCH($F979,사건마스터!$A$5:$A$64,0)),""))</f>
        <v/>
      </c>
      <c r="X979" s="136">
        <f>IF($F979="","",IFERROR(INDEX(사건마스터!$AU$5:$AU$64,MATCH($F979,사건마스터!$A$5:$A$64,0)),""))</f>
        <v/>
      </c>
      <c r="Y979" s="136">
        <f>IF($F979="","",IFERROR(INDEX(사건마스터!$AV$5:$AV$64,MATCH($F979,사건마스터!$A$5:$A$64,0)),""))</f>
        <v/>
      </c>
      <c r="Z979" s="118">
        <f>IF(COUNTBLANK($J979:$Y979)=16,"",16-COUNTBLANK($J979:$Y979))</f>
        <v/>
      </c>
      <c r="AA979" s="33">
        <f>IF($J979="",MID($AX979,3,255),$J979&amp;$AX979)</f>
        <v/>
      </c>
      <c r="AB979" s="130">
        <f>IF($J979="","",IFERROR(INDEX(코드설정!$D$5:$D$24,MATCH($J979,코드설정!$C$5:$C$24,0)),""))</f>
        <v/>
      </c>
      <c r="AC979" s="36" t="n"/>
      <c r="AD979" s="37" t="n"/>
      <c r="AE979" s="38" t="n"/>
      <c r="AF979" s="118">
        <f>IF(OR($B979="",$C979=""),"",$C979-$B979+1)</f>
        <v/>
      </c>
      <c r="AG979" s="74" t="n"/>
      <c r="AH979" s="36" t="n"/>
      <c r="AJ979">
        <f>IF($K979="","",", "&amp;$K979)</f>
        <v/>
      </c>
      <c r="AK979">
        <f>AJ979&amp;IF($L979="","",", "&amp;$L979)</f>
        <v/>
      </c>
      <c r="AL979">
        <f>AK979&amp;IF($M979="","",", "&amp;$M979)</f>
        <v/>
      </c>
      <c r="AM979">
        <f>AL979&amp;IF($N979="","",", "&amp;$N979)</f>
        <v/>
      </c>
      <c r="AN979">
        <f>AM979&amp;IF($O979="","",", "&amp;$O979)</f>
        <v/>
      </c>
      <c r="AO979">
        <f>AN979&amp;IF($P979="","",", "&amp;$P979)</f>
        <v/>
      </c>
      <c r="AP979">
        <f>AO979&amp;IF($Q979="","",", "&amp;$Q979)</f>
        <v/>
      </c>
      <c r="AQ979">
        <f>AP979&amp;IF($R979="","",", "&amp;$R979)</f>
        <v/>
      </c>
      <c r="AR979">
        <f>AQ979&amp;IF($S979="","",", "&amp;$S979)</f>
        <v/>
      </c>
      <c r="AS979">
        <f>AR979&amp;IF($T979="","",", "&amp;$T979)</f>
        <v/>
      </c>
      <c r="AT979">
        <f>AS979&amp;IF($U979="","",", "&amp;$U979)</f>
        <v/>
      </c>
      <c r="AU979">
        <f>AT979&amp;IF($V979="","",", "&amp;$V979)</f>
        <v/>
      </c>
      <c r="AV979">
        <f>AU979&amp;IF($W979="","",", "&amp;$W979)</f>
        <v/>
      </c>
      <c r="AW979">
        <f>AV979&amp;IF($X979="","",", "&amp;$X979)</f>
        <v/>
      </c>
      <c r="AX979">
        <f>AW979&amp;IF($Y979="","",", "&amp;$Y979)</f>
        <v/>
      </c>
    </row>
    <row r="980">
      <c r="A980" s="118">
        <f>IF($B980="","",COUNT($B$5:$B980))</f>
        <v/>
      </c>
      <c r="B980" s="80" t="n"/>
      <c r="C980" s="80" t="n"/>
      <c r="D980" s="74" t="n"/>
      <c r="E980" s="74" t="n"/>
      <c r="F980" s="74" t="n"/>
      <c r="G980" s="118">
        <f>IF($F980="","",COUNTIF($F$5:$F980,$F980))</f>
        <v/>
      </c>
      <c r="H980" s="33">
        <f>IF($F980="","",IFERROR(INDEX(사건마스터!$B$5:$B$64,MATCH($F980,사건마스터!$A$5:$A$64,0)),""))</f>
        <v/>
      </c>
      <c r="I980" s="130">
        <f>IF($F980="","",IFERROR(INDEX(사건마스터!$C$5:$C$64,MATCH($F980,사건마스터!$A$5:$A$64,0)),""))</f>
        <v/>
      </c>
      <c r="J980" s="136">
        <f>IF($F980="","",IFERROR(INDEX(사건마스터!$H$5:$H$64,MATCH($F980,사건마스터!$A$5:$A$64,0)),""))</f>
        <v/>
      </c>
      <c r="K980" s="136">
        <f>IF($F980="","",IFERROR(INDEX(사건마스터!$AH$5:$AH$64,MATCH($F980,사건마스터!$A$5:$A$64,0)),""))</f>
        <v/>
      </c>
      <c r="L980" s="136">
        <f>IF($F980="","",IFERROR(INDEX(사건마스터!$AI$5:$AI$64,MATCH($F980,사건마스터!$A$5:$A$64,0)),""))</f>
        <v/>
      </c>
      <c r="M980" s="136">
        <f>IF($F980="","",IFERROR(INDEX(사건마스터!$AJ$5:$AJ$64,MATCH($F980,사건마스터!$A$5:$A$64,0)),""))</f>
        <v/>
      </c>
      <c r="N980" s="136">
        <f>IF($F980="","",IFERROR(INDEX(사건마스터!$AK$5:$AK$64,MATCH($F980,사건마스터!$A$5:$A$64,0)),""))</f>
        <v/>
      </c>
      <c r="O980" s="136">
        <f>IF($F980="","",IFERROR(INDEX(사건마스터!$AL$5:$AL$64,MATCH($F980,사건마스터!$A$5:$A$64,0)),""))</f>
        <v/>
      </c>
      <c r="P980" s="136">
        <f>IF($F980="","",IFERROR(INDEX(사건마스터!$AM$5:$AM$64,MATCH($F980,사건마스터!$A$5:$A$64,0)),""))</f>
        <v/>
      </c>
      <c r="Q980" s="136">
        <f>IF($F980="","",IFERROR(INDEX(사건마스터!$AN$5:$AN$64,MATCH($F980,사건마스터!$A$5:$A$64,0)),""))</f>
        <v/>
      </c>
      <c r="R980" s="136">
        <f>IF($F980="","",IFERROR(INDEX(사건마스터!$AO$5:$AO$64,MATCH($F980,사건마스터!$A$5:$A$64,0)),""))</f>
        <v/>
      </c>
      <c r="S980" s="136">
        <f>IF($F980="","",IFERROR(INDEX(사건마스터!$AP$5:$AP$64,MATCH($F980,사건마스터!$A$5:$A$64,0)),""))</f>
        <v/>
      </c>
      <c r="T980" s="136">
        <f>IF($F980="","",IFERROR(INDEX(사건마스터!$AQ$5:$AQ$64,MATCH($F980,사건마스터!$A$5:$A$64,0)),""))</f>
        <v/>
      </c>
      <c r="U980" s="136">
        <f>IF($F980="","",IFERROR(INDEX(사건마스터!$AR$5:$AR$64,MATCH($F980,사건마스터!$A$5:$A$64,0)),""))</f>
        <v/>
      </c>
      <c r="V980" s="136">
        <f>IF($F980="","",IFERROR(INDEX(사건마스터!$AS$5:$AS$64,MATCH($F980,사건마스터!$A$5:$A$64,0)),""))</f>
        <v/>
      </c>
      <c r="W980" s="136">
        <f>IF($F980="","",IFERROR(INDEX(사건마스터!$AT$5:$AT$64,MATCH($F980,사건마스터!$A$5:$A$64,0)),""))</f>
        <v/>
      </c>
      <c r="X980" s="136">
        <f>IF($F980="","",IFERROR(INDEX(사건마스터!$AU$5:$AU$64,MATCH($F980,사건마스터!$A$5:$A$64,0)),""))</f>
        <v/>
      </c>
      <c r="Y980" s="136">
        <f>IF($F980="","",IFERROR(INDEX(사건마스터!$AV$5:$AV$64,MATCH($F980,사건마스터!$A$5:$A$64,0)),""))</f>
        <v/>
      </c>
      <c r="Z980" s="118">
        <f>IF(COUNTBLANK($J980:$Y980)=16,"",16-COUNTBLANK($J980:$Y980))</f>
        <v/>
      </c>
      <c r="AA980" s="33">
        <f>IF($J980="",MID($AX980,3,255),$J980&amp;$AX980)</f>
        <v/>
      </c>
      <c r="AB980" s="130">
        <f>IF($J980="","",IFERROR(INDEX(코드설정!$D$5:$D$24,MATCH($J980,코드설정!$C$5:$C$24,0)),""))</f>
        <v/>
      </c>
      <c r="AC980" s="36" t="n"/>
      <c r="AD980" s="37" t="n"/>
      <c r="AE980" s="38" t="n"/>
      <c r="AF980" s="118">
        <f>IF(OR($B980="",$C980=""),"",$C980-$B980+1)</f>
        <v/>
      </c>
      <c r="AG980" s="74" t="n"/>
      <c r="AH980" s="36" t="n"/>
      <c r="AJ980">
        <f>IF($K980="","",", "&amp;$K980)</f>
        <v/>
      </c>
      <c r="AK980">
        <f>AJ980&amp;IF($L980="","",", "&amp;$L980)</f>
        <v/>
      </c>
      <c r="AL980">
        <f>AK980&amp;IF($M980="","",", "&amp;$M980)</f>
        <v/>
      </c>
      <c r="AM980">
        <f>AL980&amp;IF($N980="","",", "&amp;$N980)</f>
        <v/>
      </c>
      <c r="AN980">
        <f>AM980&amp;IF($O980="","",", "&amp;$O980)</f>
        <v/>
      </c>
      <c r="AO980">
        <f>AN980&amp;IF($P980="","",", "&amp;$P980)</f>
        <v/>
      </c>
      <c r="AP980">
        <f>AO980&amp;IF($Q980="","",", "&amp;$Q980)</f>
        <v/>
      </c>
      <c r="AQ980">
        <f>AP980&amp;IF($R980="","",", "&amp;$R980)</f>
        <v/>
      </c>
      <c r="AR980">
        <f>AQ980&amp;IF($S980="","",", "&amp;$S980)</f>
        <v/>
      </c>
      <c r="AS980">
        <f>AR980&amp;IF($T980="","",", "&amp;$T980)</f>
        <v/>
      </c>
      <c r="AT980">
        <f>AS980&amp;IF($U980="","",", "&amp;$U980)</f>
        <v/>
      </c>
      <c r="AU980">
        <f>AT980&amp;IF($V980="","",", "&amp;$V980)</f>
        <v/>
      </c>
      <c r="AV980">
        <f>AU980&amp;IF($W980="","",", "&amp;$W980)</f>
        <v/>
      </c>
      <c r="AW980">
        <f>AV980&amp;IF($X980="","",", "&amp;$X980)</f>
        <v/>
      </c>
      <c r="AX980">
        <f>AW980&amp;IF($Y980="","",", "&amp;$Y980)</f>
        <v/>
      </c>
    </row>
    <row r="981">
      <c r="A981" s="118">
        <f>IF($B981="","",COUNT($B$5:$B981))</f>
        <v/>
      </c>
      <c r="B981" s="80" t="n"/>
      <c r="C981" s="80" t="n"/>
      <c r="D981" s="74" t="n"/>
      <c r="E981" s="74" t="n"/>
      <c r="F981" s="74" t="n"/>
      <c r="G981" s="118">
        <f>IF($F981="","",COUNTIF($F$5:$F981,$F981))</f>
        <v/>
      </c>
      <c r="H981" s="33">
        <f>IF($F981="","",IFERROR(INDEX(사건마스터!$B$5:$B$64,MATCH($F981,사건마스터!$A$5:$A$64,0)),""))</f>
        <v/>
      </c>
      <c r="I981" s="130">
        <f>IF($F981="","",IFERROR(INDEX(사건마스터!$C$5:$C$64,MATCH($F981,사건마스터!$A$5:$A$64,0)),""))</f>
        <v/>
      </c>
      <c r="J981" s="136">
        <f>IF($F981="","",IFERROR(INDEX(사건마스터!$H$5:$H$64,MATCH($F981,사건마스터!$A$5:$A$64,0)),""))</f>
        <v/>
      </c>
      <c r="K981" s="136">
        <f>IF($F981="","",IFERROR(INDEX(사건마스터!$AH$5:$AH$64,MATCH($F981,사건마스터!$A$5:$A$64,0)),""))</f>
        <v/>
      </c>
      <c r="L981" s="136">
        <f>IF($F981="","",IFERROR(INDEX(사건마스터!$AI$5:$AI$64,MATCH($F981,사건마스터!$A$5:$A$64,0)),""))</f>
        <v/>
      </c>
      <c r="M981" s="136">
        <f>IF($F981="","",IFERROR(INDEX(사건마스터!$AJ$5:$AJ$64,MATCH($F981,사건마스터!$A$5:$A$64,0)),""))</f>
        <v/>
      </c>
      <c r="N981" s="136">
        <f>IF($F981="","",IFERROR(INDEX(사건마스터!$AK$5:$AK$64,MATCH($F981,사건마스터!$A$5:$A$64,0)),""))</f>
        <v/>
      </c>
      <c r="O981" s="136">
        <f>IF($F981="","",IFERROR(INDEX(사건마스터!$AL$5:$AL$64,MATCH($F981,사건마스터!$A$5:$A$64,0)),""))</f>
        <v/>
      </c>
      <c r="P981" s="136">
        <f>IF($F981="","",IFERROR(INDEX(사건마스터!$AM$5:$AM$64,MATCH($F981,사건마스터!$A$5:$A$64,0)),""))</f>
        <v/>
      </c>
      <c r="Q981" s="136">
        <f>IF($F981="","",IFERROR(INDEX(사건마스터!$AN$5:$AN$64,MATCH($F981,사건마스터!$A$5:$A$64,0)),""))</f>
        <v/>
      </c>
      <c r="R981" s="136">
        <f>IF($F981="","",IFERROR(INDEX(사건마스터!$AO$5:$AO$64,MATCH($F981,사건마스터!$A$5:$A$64,0)),""))</f>
        <v/>
      </c>
      <c r="S981" s="136">
        <f>IF($F981="","",IFERROR(INDEX(사건마스터!$AP$5:$AP$64,MATCH($F981,사건마스터!$A$5:$A$64,0)),""))</f>
        <v/>
      </c>
      <c r="T981" s="136">
        <f>IF($F981="","",IFERROR(INDEX(사건마스터!$AQ$5:$AQ$64,MATCH($F981,사건마스터!$A$5:$A$64,0)),""))</f>
        <v/>
      </c>
      <c r="U981" s="136">
        <f>IF($F981="","",IFERROR(INDEX(사건마스터!$AR$5:$AR$64,MATCH($F981,사건마스터!$A$5:$A$64,0)),""))</f>
        <v/>
      </c>
      <c r="V981" s="136">
        <f>IF($F981="","",IFERROR(INDEX(사건마스터!$AS$5:$AS$64,MATCH($F981,사건마스터!$A$5:$A$64,0)),""))</f>
        <v/>
      </c>
      <c r="W981" s="136">
        <f>IF($F981="","",IFERROR(INDEX(사건마스터!$AT$5:$AT$64,MATCH($F981,사건마스터!$A$5:$A$64,0)),""))</f>
        <v/>
      </c>
      <c r="X981" s="136">
        <f>IF($F981="","",IFERROR(INDEX(사건마스터!$AU$5:$AU$64,MATCH($F981,사건마스터!$A$5:$A$64,0)),""))</f>
        <v/>
      </c>
      <c r="Y981" s="136">
        <f>IF($F981="","",IFERROR(INDEX(사건마스터!$AV$5:$AV$64,MATCH($F981,사건마스터!$A$5:$A$64,0)),""))</f>
        <v/>
      </c>
      <c r="Z981" s="118">
        <f>IF(COUNTBLANK($J981:$Y981)=16,"",16-COUNTBLANK($J981:$Y981))</f>
        <v/>
      </c>
      <c r="AA981" s="33">
        <f>IF($J981="",MID($AX981,3,255),$J981&amp;$AX981)</f>
        <v/>
      </c>
      <c r="AB981" s="130">
        <f>IF($J981="","",IFERROR(INDEX(코드설정!$D$5:$D$24,MATCH($J981,코드설정!$C$5:$C$24,0)),""))</f>
        <v/>
      </c>
      <c r="AC981" s="36" t="n"/>
      <c r="AD981" s="37" t="n"/>
      <c r="AE981" s="38" t="n"/>
      <c r="AF981" s="118">
        <f>IF(OR($B981="",$C981=""),"",$C981-$B981+1)</f>
        <v/>
      </c>
      <c r="AG981" s="74" t="n"/>
      <c r="AH981" s="36" t="n"/>
      <c r="AJ981">
        <f>IF($K981="","",", "&amp;$K981)</f>
        <v/>
      </c>
      <c r="AK981">
        <f>AJ981&amp;IF($L981="","",", "&amp;$L981)</f>
        <v/>
      </c>
      <c r="AL981">
        <f>AK981&amp;IF($M981="","",", "&amp;$M981)</f>
        <v/>
      </c>
      <c r="AM981">
        <f>AL981&amp;IF($N981="","",", "&amp;$N981)</f>
        <v/>
      </c>
      <c r="AN981">
        <f>AM981&amp;IF($O981="","",", "&amp;$O981)</f>
        <v/>
      </c>
      <c r="AO981">
        <f>AN981&amp;IF($P981="","",", "&amp;$P981)</f>
        <v/>
      </c>
      <c r="AP981">
        <f>AO981&amp;IF($Q981="","",", "&amp;$Q981)</f>
        <v/>
      </c>
      <c r="AQ981">
        <f>AP981&amp;IF($R981="","",", "&amp;$R981)</f>
        <v/>
      </c>
      <c r="AR981">
        <f>AQ981&amp;IF($S981="","",", "&amp;$S981)</f>
        <v/>
      </c>
      <c r="AS981">
        <f>AR981&amp;IF($T981="","",", "&amp;$T981)</f>
        <v/>
      </c>
      <c r="AT981">
        <f>AS981&amp;IF($U981="","",", "&amp;$U981)</f>
        <v/>
      </c>
      <c r="AU981">
        <f>AT981&amp;IF($V981="","",", "&amp;$V981)</f>
        <v/>
      </c>
      <c r="AV981">
        <f>AU981&amp;IF($W981="","",", "&amp;$W981)</f>
        <v/>
      </c>
      <c r="AW981">
        <f>AV981&amp;IF($X981="","",", "&amp;$X981)</f>
        <v/>
      </c>
      <c r="AX981">
        <f>AW981&amp;IF($Y981="","",", "&amp;$Y981)</f>
        <v/>
      </c>
    </row>
    <row r="982">
      <c r="A982" s="118">
        <f>IF($B982="","",COUNT($B$5:$B982))</f>
        <v/>
      </c>
      <c r="B982" s="80" t="n"/>
      <c r="C982" s="80" t="n"/>
      <c r="D982" s="74" t="n"/>
      <c r="E982" s="74" t="n"/>
      <c r="F982" s="74" t="n"/>
      <c r="G982" s="118">
        <f>IF($F982="","",COUNTIF($F$5:$F982,$F982))</f>
        <v/>
      </c>
      <c r="H982" s="33">
        <f>IF($F982="","",IFERROR(INDEX(사건마스터!$B$5:$B$64,MATCH($F982,사건마스터!$A$5:$A$64,0)),""))</f>
        <v/>
      </c>
      <c r="I982" s="130">
        <f>IF($F982="","",IFERROR(INDEX(사건마스터!$C$5:$C$64,MATCH($F982,사건마스터!$A$5:$A$64,0)),""))</f>
        <v/>
      </c>
      <c r="J982" s="136">
        <f>IF($F982="","",IFERROR(INDEX(사건마스터!$H$5:$H$64,MATCH($F982,사건마스터!$A$5:$A$64,0)),""))</f>
        <v/>
      </c>
      <c r="K982" s="136">
        <f>IF($F982="","",IFERROR(INDEX(사건마스터!$AH$5:$AH$64,MATCH($F982,사건마스터!$A$5:$A$64,0)),""))</f>
        <v/>
      </c>
      <c r="L982" s="136">
        <f>IF($F982="","",IFERROR(INDEX(사건마스터!$AI$5:$AI$64,MATCH($F982,사건마스터!$A$5:$A$64,0)),""))</f>
        <v/>
      </c>
      <c r="M982" s="136">
        <f>IF($F982="","",IFERROR(INDEX(사건마스터!$AJ$5:$AJ$64,MATCH($F982,사건마스터!$A$5:$A$64,0)),""))</f>
        <v/>
      </c>
      <c r="N982" s="136">
        <f>IF($F982="","",IFERROR(INDEX(사건마스터!$AK$5:$AK$64,MATCH($F982,사건마스터!$A$5:$A$64,0)),""))</f>
        <v/>
      </c>
      <c r="O982" s="136">
        <f>IF($F982="","",IFERROR(INDEX(사건마스터!$AL$5:$AL$64,MATCH($F982,사건마스터!$A$5:$A$64,0)),""))</f>
        <v/>
      </c>
      <c r="P982" s="136">
        <f>IF($F982="","",IFERROR(INDEX(사건마스터!$AM$5:$AM$64,MATCH($F982,사건마스터!$A$5:$A$64,0)),""))</f>
        <v/>
      </c>
      <c r="Q982" s="136">
        <f>IF($F982="","",IFERROR(INDEX(사건마스터!$AN$5:$AN$64,MATCH($F982,사건마스터!$A$5:$A$64,0)),""))</f>
        <v/>
      </c>
      <c r="R982" s="136">
        <f>IF($F982="","",IFERROR(INDEX(사건마스터!$AO$5:$AO$64,MATCH($F982,사건마스터!$A$5:$A$64,0)),""))</f>
        <v/>
      </c>
      <c r="S982" s="136">
        <f>IF($F982="","",IFERROR(INDEX(사건마스터!$AP$5:$AP$64,MATCH($F982,사건마스터!$A$5:$A$64,0)),""))</f>
        <v/>
      </c>
      <c r="T982" s="136">
        <f>IF($F982="","",IFERROR(INDEX(사건마스터!$AQ$5:$AQ$64,MATCH($F982,사건마스터!$A$5:$A$64,0)),""))</f>
        <v/>
      </c>
      <c r="U982" s="136">
        <f>IF($F982="","",IFERROR(INDEX(사건마스터!$AR$5:$AR$64,MATCH($F982,사건마스터!$A$5:$A$64,0)),""))</f>
        <v/>
      </c>
      <c r="V982" s="136">
        <f>IF($F982="","",IFERROR(INDEX(사건마스터!$AS$5:$AS$64,MATCH($F982,사건마스터!$A$5:$A$64,0)),""))</f>
        <v/>
      </c>
      <c r="W982" s="136">
        <f>IF($F982="","",IFERROR(INDEX(사건마스터!$AT$5:$AT$64,MATCH($F982,사건마스터!$A$5:$A$64,0)),""))</f>
        <v/>
      </c>
      <c r="X982" s="136">
        <f>IF($F982="","",IFERROR(INDEX(사건마스터!$AU$5:$AU$64,MATCH($F982,사건마스터!$A$5:$A$64,0)),""))</f>
        <v/>
      </c>
      <c r="Y982" s="136">
        <f>IF($F982="","",IFERROR(INDEX(사건마스터!$AV$5:$AV$64,MATCH($F982,사건마스터!$A$5:$A$64,0)),""))</f>
        <v/>
      </c>
      <c r="Z982" s="118">
        <f>IF(COUNTBLANK($J982:$Y982)=16,"",16-COUNTBLANK($J982:$Y982))</f>
        <v/>
      </c>
      <c r="AA982" s="33">
        <f>IF($J982="",MID($AX982,3,255),$J982&amp;$AX982)</f>
        <v/>
      </c>
      <c r="AB982" s="130">
        <f>IF($J982="","",IFERROR(INDEX(코드설정!$D$5:$D$24,MATCH($J982,코드설정!$C$5:$C$24,0)),""))</f>
        <v/>
      </c>
      <c r="AC982" s="36" t="n"/>
      <c r="AD982" s="37" t="n"/>
      <c r="AE982" s="38" t="n"/>
      <c r="AF982" s="118">
        <f>IF(OR($B982="",$C982=""),"",$C982-$B982+1)</f>
        <v/>
      </c>
      <c r="AG982" s="74" t="n"/>
      <c r="AH982" s="36" t="n"/>
      <c r="AJ982">
        <f>IF($K982="","",", "&amp;$K982)</f>
        <v/>
      </c>
      <c r="AK982">
        <f>AJ982&amp;IF($L982="","",", "&amp;$L982)</f>
        <v/>
      </c>
      <c r="AL982">
        <f>AK982&amp;IF($M982="","",", "&amp;$M982)</f>
        <v/>
      </c>
      <c r="AM982">
        <f>AL982&amp;IF($N982="","",", "&amp;$N982)</f>
        <v/>
      </c>
      <c r="AN982">
        <f>AM982&amp;IF($O982="","",", "&amp;$O982)</f>
        <v/>
      </c>
      <c r="AO982">
        <f>AN982&amp;IF($P982="","",", "&amp;$P982)</f>
        <v/>
      </c>
      <c r="AP982">
        <f>AO982&amp;IF($Q982="","",", "&amp;$Q982)</f>
        <v/>
      </c>
      <c r="AQ982">
        <f>AP982&amp;IF($R982="","",", "&amp;$R982)</f>
        <v/>
      </c>
      <c r="AR982">
        <f>AQ982&amp;IF($S982="","",", "&amp;$S982)</f>
        <v/>
      </c>
      <c r="AS982">
        <f>AR982&amp;IF($T982="","",", "&amp;$T982)</f>
        <v/>
      </c>
      <c r="AT982">
        <f>AS982&amp;IF($U982="","",", "&amp;$U982)</f>
        <v/>
      </c>
      <c r="AU982">
        <f>AT982&amp;IF($V982="","",", "&amp;$V982)</f>
        <v/>
      </c>
      <c r="AV982">
        <f>AU982&amp;IF($W982="","",", "&amp;$W982)</f>
        <v/>
      </c>
      <c r="AW982">
        <f>AV982&amp;IF($X982="","",", "&amp;$X982)</f>
        <v/>
      </c>
      <c r="AX982">
        <f>AW982&amp;IF($Y982="","",", "&amp;$Y982)</f>
        <v/>
      </c>
    </row>
    <row r="983">
      <c r="A983" s="118">
        <f>IF($B983="","",COUNT($B$5:$B983))</f>
        <v/>
      </c>
      <c r="B983" s="80" t="n"/>
      <c r="C983" s="80" t="n"/>
      <c r="D983" s="74" t="n"/>
      <c r="E983" s="74" t="n"/>
      <c r="F983" s="74" t="n"/>
      <c r="G983" s="118">
        <f>IF($F983="","",COUNTIF($F$5:$F983,$F983))</f>
        <v/>
      </c>
      <c r="H983" s="33">
        <f>IF($F983="","",IFERROR(INDEX(사건마스터!$B$5:$B$64,MATCH($F983,사건마스터!$A$5:$A$64,0)),""))</f>
        <v/>
      </c>
      <c r="I983" s="130">
        <f>IF($F983="","",IFERROR(INDEX(사건마스터!$C$5:$C$64,MATCH($F983,사건마스터!$A$5:$A$64,0)),""))</f>
        <v/>
      </c>
      <c r="J983" s="136">
        <f>IF($F983="","",IFERROR(INDEX(사건마스터!$H$5:$H$64,MATCH($F983,사건마스터!$A$5:$A$64,0)),""))</f>
        <v/>
      </c>
      <c r="K983" s="136">
        <f>IF($F983="","",IFERROR(INDEX(사건마스터!$AH$5:$AH$64,MATCH($F983,사건마스터!$A$5:$A$64,0)),""))</f>
        <v/>
      </c>
      <c r="L983" s="136">
        <f>IF($F983="","",IFERROR(INDEX(사건마스터!$AI$5:$AI$64,MATCH($F983,사건마스터!$A$5:$A$64,0)),""))</f>
        <v/>
      </c>
      <c r="M983" s="136">
        <f>IF($F983="","",IFERROR(INDEX(사건마스터!$AJ$5:$AJ$64,MATCH($F983,사건마스터!$A$5:$A$64,0)),""))</f>
        <v/>
      </c>
      <c r="N983" s="136">
        <f>IF($F983="","",IFERROR(INDEX(사건마스터!$AK$5:$AK$64,MATCH($F983,사건마스터!$A$5:$A$64,0)),""))</f>
        <v/>
      </c>
      <c r="O983" s="136">
        <f>IF($F983="","",IFERROR(INDEX(사건마스터!$AL$5:$AL$64,MATCH($F983,사건마스터!$A$5:$A$64,0)),""))</f>
        <v/>
      </c>
      <c r="P983" s="136">
        <f>IF($F983="","",IFERROR(INDEX(사건마스터!$AM$5:$AM$64,MATCH($F983,사건마스터!$A$5:$A$64,0)),""))</f>
        <v/>
      </c>
      <c r="Q983" s="136">
        <f>IF($F983="","",IFERROR(INDEX(사건마스터!$AN$5:$AN$64,MATCH($F983,사건마스터!$A$5:$A$64,0)),""))</f>
        <v/>
      </c>
      <c r="R983" s="136">
        <f>IF($F983="","",IFERROR(INDEX(사건마스터!$AO$5:$AO$64,MATCH($F983,사건마스터!$A$5:$A$64,0)),""))</f>
        <v/>
      </c>
      <c r="S983" s="136">
        <f>IF($F983="","",IFERROR(INDEX(사건마스터!$AP$5:$AP$64,MATCH($F983,사건마스터!$A$5:$A$64,0)),""))</f>
        <v/>
      </c>
      <c r="T983" s="136">
        <f>IF($F983="","",IFERROR(INDEX(사건마스터!$AQ$5:$AQ$64,MATCH($F983,사건마스터!$A$5:$A$64,0)),""))</f>
        <v/>
      </c>
      <c r="U983" s="136">
        <f>IF($F983="","",IFERROR(INDEX(사건마스터!$AR$5:$AR$64,MATCH($F983,사건마스터!$A$5:$A$64,0)),""))</f>
        <v/>
      </c>
      <c r="V983" s="136">
        <f>IF($F983="","",IFERROR(INDEX(사건마스터!$AS$5:$AS$64,MATCH($F983,사건마스터!$A$5:$A$64,0)),""))</f>
        <v/>
      </c>
      <c r="W983" s="136">
        <f>IF($F983="","",IFERROR(INDEX(사건마스터!$AT$5:$AT$64,MATCH($F983,사건마스터!$A$5:$A$64,0)),""))</f>
        <v/>
      </c>
      <c r="X983" s="136">
        <f>IF($F983="","",IFERROR(INDEX(사건마스터!$AU$5:$AU$64,MATCH($F983,사건마스터!$A$5:$A$64,0)),""))</f>
        <v/>
      </c>
      <c r="Y983" s="136">
        <f>IF($F983="","",IFERROR(INDEX(사건마스터!$AV$5:$AV$64,MATCH($F983,사건마스터!$A$5:$A$64,0)),""))</f>
        <v/>
      </c>
      <c r="Z983" s="118">
        <f>IF(COUNTBLANK($J983:$Y983)=16,"",16-COUNTBLANK($J983:$Y983))</f>
        <v/>
      </c>
      <c r="AA983" s="33">
        <f>IF($J983="",MID($AX983,3,255),$J983&amp;$AX983)</f>
        <v/>
      </c>
      <c r="AB983" s="130">
        <f>IF($J983="","",IFERROR(INDEX(코드설정!$D$5:$D$24,MATCH($J983,코드설정!$C$5:$C$24,0)),""))</f>
        <v/>
      </c>
      <c r="AC983" s="36" t="n"/>
      <c r="AD983" s="37" t="n"/>
      <c r="AE983" s="38" t="n"/>
      <c r="AF983" s="118">
        <f>IF(OR($B983="",$C983=""),"",$C983-$B983+1)</f>
        <v/>
      </c>
      <c r="AG983" s="74" t="n"/>
      <c r="AH983" s="36" t="n"/>
      <c r="AJ983">
        <f>IF($K983="","",", "&amp;$K983)</f>
        <v/>
      </c>
      <c r="AK983">
        <f>AJ983&amp;IF($L983="","",", "&amp;$L983)</f>
        <v/>
      </c>
      <c r="AL983">
        <f>AK983&amp;IF($M983="","",", "&amp;$M983)</f>
        <v/>
      </c>
      <c r="AM983">
        <f>AL983&amp;IF($N983="","",", "&amp;$N983)</f>
        <v/>
      </c>
      <c r="AN983">
        <f>AM983&amp;IF($O983="","",", "&amp;$O983)</f>
        <v/>
      </c>
      <c r="AO983">
        <f>AN983&amp;IF($P983="","",", "&amp;$P983)</f>
        <v/>
      </c>
      <c r="AP983">
        <f>AO983&amp;IF($Q983="","",", "&amp;$Q983)</f>
        <v/>
      </c>
      <c r="AQ983">
        <f>AP983&amp;IF($R983="","",", "&amp;$R983)</f>
        <v/>
      </c>
      <c r="AR983">
        <f>AQ983&amp;IF($S983="","",", "&amp;$S983)</f>
        <v/>
      </c>
      <c r="AS983">
        <f>AR983&amp;IF($T983="","",", "&amp;$T983)</f>
        <v/>
      </c>
      <c r="AT983">
        <f>AS983&amp;IF($U983="","",", "&amp;$U983)</f>
        <v/>
      </c>
      <c r="AU983">
        <f>AT983&amp;IF($V983="","",", "&amp;$V983)</f>
        <v/>
      </c>
      <c r="AV983">
        <f>AU983&amp;IF($W983="","",", "&amp;$W983)</f>
        <v/>
      </c>
      <c r="AW983">
        <f>AV983&amp;IF($X983="","",", "&amp;$X983)</f>
        <v/>
      </c>
      <c r="AX983">
        <f>AW983&amp;IF($Y983="","",", "&amp;$Y983)</f>
        <v/>
      </c>
    </row>
    <row r="984">
      <c r="A984" s="118">
        <f>IF($B984="","",COUNT($B$5:$B984))</f>
        <v/>
      </c>
      <c r="B984" s="80" t="n"/>
      <c r="C984" s="80" t="n"/>
      <c r="D984" s="74" t="n"/>
      <c r="E984" s="74" t="n"/>
      <c r="F984" s="74" t="n"/>
      <c r="G984" s="118">
        <f>IF($F984="","",COUNTIF($F$5:$F984,$F984))</f>
        <v/>
      </c>
      <c r="H984" s="33">
        <f>IF($F984="","",IFERROR(INDEX(사건마스터!$B$5:$B$64,MATCH($F984,사건마스터!$A$5:$A$64,0)),""))</f>
        <v/>
      </c>
      <c r="I984" s="130">
        <f>IF($F984="","",IFERROR(INDEX(사건마스터!$C$5:$C$64,MATCH($F984,사건마스터!$A$5:$A$64,0)),""))</f>
        <v/>
      </c>
      <c r="J984" s="136">
        <f>IF($F984="","",IFERROR(INDEX(사건마스터!$H$5:$H$64,MATCH($F984,사건마스터!$A$5:$A$64,0)),""))</f>
        <v/>
      </c>
      <c r="K984" s="136">
        <f>IF($F984="","",IFERROR(INDEX(사건마스터!$AH$5:$AH$64,MATCH($F984,사건마스터!$A$5:$A$64,0)),""))</f>
        <v/>
      </c>
      <c r="L984" s="136">
        <f>IF($F984="","",IFERROR(INDEX(사건마스터!$AI$5:$AI$64,MATCH($F984,사건마스터!$A$5:$A$64,0)),""))</f>
        <v/>
      </c>
      <c r="M984" s="136">
        <f>IF($F984="","",IFERROR(INDEX(사건마스터!$AJ$5:$AJ$64,MATCH($F984,사건마스터!$A$5:$A$64,0)),""))</f>
        <v/>
      </c>
      <c r="N984" s="136">
        <f>IF($F984="","",IFERROR(INDEX(사건마스터!$AK$5:$AK$64,MATCH($F984,사건마스터!$A$5:$A$64,0)),""))</f>
        <v/>
      </c>
      <c r="O984" s="136">
        <f>IF($F984="","",IFERROR(INDEX(사건마스터!$AL$5:$AL$64,MATCH($F984,사건마스터!$A$5:$A$64,0)),""))</f>
        <v/>
      </c>
      <c r="P984" s="136">
        <f>IF($F984="","",IFERROR(INDEX(사건마스터!$AM$5:$AM$64,MATCH($F984,사건마스터!$A$5:$A$64,0)),""))</f>
        <v/>
      </c>
      <c r="Q984" s="136">
        <f>IF($F984="","",IFERROR(INDEX(사건마스터!$AN$5:$AN$64,MATCH($F984,사건마스터!$A$5:$A$64,0)),""))</f>
        <v/>
      </c>
      <c r="R984" s="136">
        <f>IF($F984="","",IFERROR(INDEX(사건마스터!$AO$5:$AO$64,MATCH($F984,사건마스터!$A$5:$A$64,0)),""))</f>
        <v/>
      </c>
      <c r="S984" s="136">
        <f>IF($F984="","",IFERROR(INDEX(사건마스터!$AP$5:$AP$64,MATCH($F984,사건마스터!$A$5:$A$64,0)),""))</f>
        <v/>
      </c>
      <c r="T984" s="136">
        <f>IF($F984="","",IFERROR(INDEX(사건마스터!$AQ$5:$AQ$64,MATCH($F984,사건마스터!$A$5:$A$64,0)),""))</f>
        <v/>
      </c>
      <c r="U984" s="136">
        <f>IF($F984="","",IFERROR(INDEX(사건마스터!$AR$5:$AR$64,MATCH($F984,사건마스터!$A$5:$A$64,0)),""))</f>
        <v/>
      </c>
      <c r="V984" s="136">
        <f>IF($F984="","",IFERROR(INDEX(사건마스터!$AS$5:$AS$64,MATCH($F984,사건마스터!$A$5:$A$64,0)),""))</f>
        <v/>
      </c>
      <c r="W984" s="136">
        <f>IF($F984="","",IFERROR(INDEX(사건마스터!$AT$5:$AT$64,MATCH($F984,사건마스터!$A$5:$A$64,0)),""))</f>
        <v/>
      </c>
      <c r="X984" s="136">
        <f>IF($F984="","",IFERROR(INDEX(사건마스터!$AU$5:$AU$64,MATCH($F984,사건마스터!$A$5:$A$64,0)),""))</f>
        <v/>
      </c>
      <c r="Y984" s="136">
        <f>IF($F984="","",IFERROR(INDEX(사건마스터!$AV$5:$AV$64,MATCH($F984,사건마스터!$A$5:$A$64,0)),""))</f>
        <v/>
      </c>
      <c r="Z984" s="118">
        <f>IF(COUNTBLANK($J984:$Y984)=16,"",16-COUNTBLANK($J984:$Y984))</f>
        <v/>
      </c>
      <c r="AA984" s="33">
        <f>IF($J984="",MID($AX984,3,255),$J984&amp;$AX984)</f>
        <v/>
      </c>
      <c r="AB984" s="130">
        <f>IF($J984="","",IFERROR(INDEX(코드설정!$D$5:$D$24,MATCH($J984,코드설정!$C$5:$C$24,0)),""))</f>
        <v/>
      </c>
      <c r="AC984" s="36" t="n"/>
      <c r="AD984" s="37" t="n"/>
      <c r="AE984" s="38" t="n"/>
      <c r="AF984" s="118">
        <f>IF(OR($B984="",$C984=""),"",$C984-$B984+1)</f>
        <v/>
      </c>
      <c r="AG984" s="74" t="n"/>
      <c r="AH984" s="36" t="n"/>
      <c r="AJ984">
        <f>IF($K984="","",", "&amp;$K984)</f>
        <v/>
      </c>
      <c r="AK984">
        <f>AJ984&amp;IF($L984="","",", "&amp;$L984)</f>
        <v/>
      </c>
      <c r="AL984">
        <f>AK984&amp;IF($M984="","",", "&amp;$M984)</f>
        <v/>
      </c>
      <c r="AM984">
        <f>AL984&amp;IF($N984="","",", "&amp;$N984)</f>
        <v/>
      </c>
      <c r="AN984">
        <f>AM984&amp;IF($O984="","",", "&amp;$O984)</f>
        <v/>
      </c>
      <c r="AO984">
        <f>AN984&amp;IF($P984="","",", "&amp;$P984)</f>
        <v/>
      </c>
      <c r="AP984">
        <f>AO984&amp;IF($Q984="","",", "&amp;$Q984)</f>
        <v/>
      </c>
      <c r="AQ984">
        <f>AP984&amp;IF($R984="","",", "&amp;$R984)</f>
        <v/>
      </c>
      <c r="AR984">
        <f>AQ984&amp;IF($S984="","",", "&amp;$S984)</f>
        <v/>
      </c>
      <c r="AS984">
        <f>AR984&amp;IF($T984="","",", "&amp;$T984)</f>
        <v/>
      </c>
      <c r="AT984">
        <f>AS984&amp;IF($U984="","",", "&amp;$U984)</f>
        <v/>
      </c>
      <c r="AU984">
        <f>AT984&amp;IF($V984="","",", "&amp;$V984)</f>
        <v/>
      </c>
      <c r="AV984">
        <f>AU984&amp;IF($W984="","",", "&amp;$W984)</f>
        <v/>
      </c>
      <c r="AW984">
        <f>AV984&amp;IF($X984="","",", "&amp;$X984)</f>
        <v/>
      </c>
      <c r="AX984">
        <f>AW984&amp;IF($Y984="","",", "&amp;$Y984)</f>
        <v/>
      </c>
    </row>
    <row r="985">
      <c r="A985" s="118">
        <f>IF($B985="","",COUNT($B$5:$B985))</f>
        <v/>
      </c>
      <c r="B985" s="80" t="n"/>
      <c r="C985" s="80" t="n"/>
      <c r="D985" s="74" t="n"/>
      <c r="E985" s="74" t="n"/>
      <c r="F985" s="74" t="n"/>
      <c r="G985" s="118">
        <f>IF($F985="","",COUNTIF($F$5:$F985,$F985))</f>
        <v/>
      </c>
      <c r="H985" s="33">
        <f>IF($F985="","",IFERROR(INDEX(사건마스터!$B$5:$B$64,MATCH($F985,사건마스터!$A$5:$A$64,0)),""))</f>
        <v/>
      </c>
      <c r="I985" s="130">
        <f>IF($F985="","",IFERROR(INDEX(사건마스터!$C$5:$C$64,MATCH($F985,사건마스터!$A$5:$A$64,0)),""))</f>
        <v/>
      </c>
      <c r="J985" s="136">
        <f>IF($F985="","",IFERROR(INDEX(사건마스터!$H$5:$H$64,MATCH($F985,사건마스터!$A$5:$A$64,0)),""))</f>
        <v/>
      </c>
      <c r="K985" s="136">
        <f>IF($F985="","",IFERROR(INDEX(사건마스터!$AH$5:$AH$64,MATCH($F985,사건마스터!$A$5:$A$64,0)),""))</f>
        <v/>
      </c>
      <c r="L985" s="136">
        <f>IF($F985="","",IFERROR(INDEX(사건마스터!$AI$5:$AI$64,MATCH($F985,사건마스터!$A$5:$A$64,0)),""))</f>
        <v/>
      </c>
      <c r="M985" s="136">
        <f>IF($F985="","",IFERROR(INDEX(사건마스터!$AJ$5:$AJ$64,MATCH($F985,사건마스터!$A$5:$A$64,0)),""))</f>
        <v/>
      </c>
      <c r="N985" s="136">
        <f>IF($F985="","",IFERROR(INDEX(사건마스터!$AK$5:$AK$64,MATCH($F985,사건마스터!$A$5:$A$64,0)),""))</f>
        <v/>
      </c>
      <c r="O985" s="136">
        <f>IF($F985="","",IFERROR(INDEX(사건마스터!$AL$5:$AL$64,MATCH($F985,사건마스터!$A$5:$A$64,0)),""))</f>
        <v/>
      </c>
      <c r="P985" s="136">
        <f>IF($F985="","",IFERROR(INDEX(사건마스터!$AM$5:$AM$64,MATCH($F985,사건마스터!$A$5:$A$64,0)),""))</f>
        <v/>
      </c>
      <c r="Q985" s="136">
        <f>IF($F985="","",IFERROR(INDEX(사건마스터!$AN$5:$AN$64,MATCH($F985,사건마스터!$A$5:$A$64,0)),""))</f>
        <v/>
      </c>
      <c r="R985" s="136">
        <f>IF($F985="","",IFERROR(INDEX(사건마스터!$AO$5:$AO$64,MATCH($F985,사건마스터!$A$5:$A$64,0)),""))</f>
        <v/>
      </c>
      <c r="S985" s="136">
        <f>IF($F985="","",IFERROR(INDEX(사건마스터!$AP$5:$AP$64,MATCH($F985,사건마스터!$A$5:$A$64,0)),""))</f>
        <v/>
      </c>
      <c r="T985" s="136">
        <f>IF($F985="","",IFERROR(INDEX(사건마스터!$AQ$5:$AQ$64,MATCH($F985,사건마스터!$A$5:$A$64,0)),""))</f>
        <v/>
      </c>
      <c r="U985" s="136">
        <f>IF($F985="","",IFERROR(INDEX(사건마스터!$AR$5:$AR$64,MATCH($F985,사건마스터!$A$5:$A$64,0)),""))</f>
        <v/>
      </c>
      <c r="V985" s="136">
        <f>IF($F985="","",IFERROR(INDEX(사건마스터!$AS$5:$AS$64,MATCH($F985,사건마스터!$A$5:$A$64,0)),""))</f>
        <v/>
      </c>
      <c r="W985" s="136">
        <f>IF($F985="","",IFERROR(INDEX(사건마스터!$AT$5:$AT$64,MATCH($F985,사건마스터!$A$5:$A$64,0)),""))</f>
        <v/>
      </c>
      <c r="X985" s="136">
        <f>IF($F985="","",IFERROR(INDEX(사건마스터!$AU$5:$AU$64,MATCH($F985,사건마스터!$A$5:$A$64,0)),""))</f>
        <v/>
      </c>
      <c r="Y985" s="136">
        <f>IF($F985="","",IFERROR(INDEX(사건마스터!$AV$5:$AV$64,MATCH($F985,사건마스터!$A$5:$A$64,0)),""))</f>
        <v/>
      </c>
      <c r="Z985" s="118">
        <f>IF(COUNTBLANK($J985:$Y985)=16,"",16-COUNTBLANK($J985:$Y985))</f>
        <v/>
      </c>
      <c r="AA985" s="33">
        <f>IF($J985="",MID($AX985,3,255),$J985&amp;$AX985)</f>
        <v/>
      </c>
      <c r="AB985" s="130">
        <f>IF($J985="","",IFERROR(INDEX(코드설정!$D$5:$D$24,MATCH($J985,코드설정!$C$5:$C$24,0)),""))</f>
        <v/>
      </c>
      <c r="AC985" s="36" t="n"/>
      <c r="AD985" s="37" t="n"/>
      <c r="AE985" s="38" t="n"/>
      <c r="AF985" s="118">
        <f>IF(OR($B985="",$C985=""),"",$C985-$B985+1)</f>
        <v/>
      </c>
      <c r="AG985" s="74" t="n"/>
      <c r="AH985" s="36" t="n"/>
      <c r="AJ985">
        <f>IF($K985="","",", "&amp;$K985)</f>
        <v/>
      </c>
      <c r="AK985">
        <f>AJ985&amp;IF($L985="","",", "&amp;$L985)</f>
        <v/>
      </c>
      <c r="AL985">
        <f>AK985&amp;IF($M985="","",", "&amp;$M985)</f>
        <v/>
      </c>
      <c r="AM985">
        <f>AL985&amp;IF($N985="","",", "&amp;$N985)</f>
        <v/>
      </c>
      <c r="AN985">
        <f>AM985&amp;IF($O985="","",", "&amp;$O985)</f>
        <v/>
      </c>
      <c r="AO985">
        <f>AN985&amp;IF($P985="","",", "&amp;$P985)</f>
        <v/>
      </c>
      <c r="AP985">
        <f>AO985&amp;IF($Q985="","",", "&amp;$Q985)</f>
        <v/>
      </c>
      <c r="AQ985">
        <f>AP985&amp;IF($R985="","",", "&amp;$R985)</f>
        <v/>
      </c>
      <c r="AR985">
        <f>AQ985&amp;IF($S985="","",", "&amp;$S985)</f>
        <v/>
      </c>
      <c r="AS985">
        <f>AR985&amp;IF($T985="","",", "&amp;$T985)</f>
        <v/>
      </c>
      <c r="AT985">
        <f>AS985&amp;IF($U985="","",", "&amp;$U985)</f>
        <v/>
      </c>
      <c r="AU985">
        <f>AT985&amp;IF($V985="","",", "&amp;$V985)</f>
        <v/>
      </c>
      <c r="AV985">
        <f>AU985&amp;IF($W985="","",", "&amp;$W985)</f>
        <v/>
      </c>
      <c r="AW985">
        <f>AV985&amp;IF($X985="","",", "&amp;$X985)</f>
        <v/>
      </c>
      <c r="AX985">
        <f>AW985&amp;IF($Y985="","",", "&amp;$Y985)</f>
        <v/>
      </c>
    </row>
    <row r="986">
      <c r="A986" s="118">
        <f>IF($B986="","",COUNT($B$5:$B986))</f>
        <v/>
      </c>
      <c r="B986" s="80" t="n"/>
      <c r="C986" s="80" t="n"/>
      <c r="D986" s="74" t="n"/>
      <c r="E986" s="74" t="n"/>
      <c r="F986" s="74" t="n"/>
      <c r="G986" s="118">
        <f>IF($F986="","",COUNTIF($F$5:$F986,$F986))</f>
        <v/>
      </c>
      <c r="H986" s="33">
        <f>IF($F986="","",IFERROR(INDEX(사건마스터!$B$5:$B$64,MATCH($F986,사건마스터!$A$5:$A$64,0)),""))</f>
        <v/>
      </c>
      <c r="I986" s="130">
        <f>IF($F986="","",IFERROR(INDEX(사건마스터!$C$5:$C$64,MATCH($F986,사건마스터!$A$5:$A$64,0)),""))</f>
        <v/>
      </c>
      <c r="J986" s="136">
        <f>IF($F986="","",IFERROR(INDEX(사건마스터!$H$5:$H$64,MATCH($F986,사건마스터!$A$5:$A$64,0)),""))</f>
        <v/>
      </c>
      <c r="K986" s="136">
        <f>IF($F986="","",IFERROR(INDEX(사건마스터!$AH$5:$AH$64,MATCH($F986,사건마스터!$A$5:$A$64,0)),""))</f>
        <v/>
      </c>
      <c r="L986" s="136">
        <f>IF($F986="","",IFERROR(INDEX(사건마스터!$AI$5:$AI$64,MATCH($F986,사건마스터!$A$5:$A$64,0)),""))</f>
        <v/>
      </c>
      <c r="M986" s="136">
        <f>IF($F986="","",IFERROR(INDEX(사건마스터!$AJ$5:$AJ$64,MATCH($F986,사건마스터!$A$5:$A$64,0)),""))</f>
        <v/>
      </c>
      <c r="N986" s="136">
        <f>IF($F986="","",IFERROR(INDEX(사건마스터!$AK$5:$AK$64,MATCH($F986,사건마스터!$A$5:$A$64,0)),""))</f>
        <v/>
      </c>
      <c r="O986" s="136">
        <f>IF($F986="","",IFERROR(INDEX(사건마스터!$AL$5:$AL$64,MATCH($F986,사건마스터!$A$5:$A$64,0)),""))</f>
        <v/>
      </c>
      <c r="P986" s="136">
        <f>IF($F986="","",IFERROR(INDEX(사건마스터!$AM$5:$AM$64,MATCH($F986,사건마스터!$A$5:$A$64,0)),""))</f>
        <v/>
      </c>
      <c r="Q986" s="136">
        <f>IF($F986="","",IFERROR(INDEX(사건마스터!$AN$5:$AN$64,MATCH($F986,사건마스터!$A$5:$A$64,0)),""))</f>
        <v/>
      </c>
      <c r="R986" s="136">
        <f>IF($F986="","",IFERROR(INDEX(사건마스터!$AO$5:$AO$64,MATCH($F986,사건마스터!$A$5:$A$64,0)),""))</f>
        <v/>
      </c>
      <c r="S986" s="136">
        <f>IF($F986="","",IFERROR(INDEX(사건마스터!$AP$5:$AP$64,MATCH($F986,사건마스터!$A$5:$A$64,0)),""))</f>
        <v/>
      </c>
      <c r="T986" s="136">
        <f>IF($F986="","",IFERROR(INDEX(사건마스터!$AQ$5:$AQ$64,MATCH($F986,사건마스터!$A$5:$A$64,0)),""))</f>
        <v/>
      </c>
      <c r="U986" s="136">
        <f>IF($F986="","",IFERROR(INDEX(사건마스터!$AR$5:$AR$64,MATCH($F986,사건마스터!$A$5:$A$64,0)),""))</f>
        <v/>
      </c>
      <c r="V986" s="136">
        <f>IF($F986="","",IFERROR(INDEX(사건마스터!$AS$5:$AS$64,MATCH($F986,사건마스터!$A$5:$A$64,0)),""))</f>
        <v/>
      </c>
      <c r="W986" s="136">
        <f>IF($F986="","",IFERROR(INDEX(사건마스터!$AT$5:$AT$64,MATCH($F986,사건마스터!$A$5:$A$64,0)),""))</f>
        <v/>
      </c>
      <c r="X986" s="136">
        <f>IF($F986="","",IFERROR(INDEX(사건마스터!$AU$5:$AU$64,MATCH($F986,사건마스터!$A$5:$A$64,0)),""))</f>
        <v/>
      </c>
      <c r="Y986" s="136">
        <f>IF($F986="","",IFERROR(INDEX(사건마스터!$AV$5:$AV$64,MATCH($F986,사건마스터!$A$5:$A$64,0)),""))</f>
        <v/>
      </c>
      <c r="Z986" s="118">
        <f>IF(COUNTBLANK($J986:$Y986)=16,"",16-COUNTBLANK($J986:$Y986))</f>
        <v/>
      </c>
      <c r="AA986" s="33">
        <f>IF($J986="",MID($AX986,3,255),$J986&amp;$AX986)</f>
        <v/>
      </c>
      <c r="AB986" s="130">
        <f>IF($J986="","",IFERROR(INDEX(코드설정!$D$5:$D$24,MATCH($J986,코드설정!$C$5:$C$24,0)),""))</f>
        <v/>
      </c>
      <c r="AC986" s="36" t="n"/>
      <c r="AD986" s="37" t="n"/>
      <c r="AE986" s="38" t="n"/>
      <c r="AF986" s="118">
        <f>IF(OR($B986="",$C986=""),"",$C986-$B986+1)</f>
        <v/>
      </c>
      <c r="AG986" s="74" t="n"/>
      <c r="AH986" s="36" t="n"/>
      <c r="AJ986">
        <f>IF($K986="","",", "&amp;$K986)</f>
        <v/>
      </c>
      <c r="AK986">
        <f>AJ986&amp;IF($L986="","",", "&amp;$L986)</f>
        <v/>
      </c>
      <c r="AL986">
        <f>AK986&amp;IF($M986="","",", "&amp;$M986)</f>
        <v/>
      </c>
      <c r="AM986">
        <f>AL986&amp;IF($N986="","",", "&amp;$N986)</f>
        <v/>
      </c>
      <c r="AN986">
        <f>AM986&amp;IF($O986="","",", "&amp;$O986)</f>
        <v/>
      </c>
      <c r="AO986">
        <f>AN986&amp;IF($P986="","",", "&amp;$P986)</f>
        <v/>
      </c>
      <c r="AP986">
        <f>AO986&amp;IF($Q986="","",", "&amp;$Q986)</f>
        <v/>
      </c>
      <c r="AQ986">
        <f>AP986&amp;IF($R986="","",", "&amp;$R986)</f>
        <v/>
      </c>
      <c r="AR986">
        <f>AQ986&amp;IF($S986="","",", "&amp;$S986)</f>
        <v/>
      </c>
      <c r="AS986">
        <f>AR986&amp;IF($T986="","",", "&amp;$T986)</f>
        <v/>
      </c>
      <c r="AT986">
        <f>AS986&amp;IF($U986="","",", "&amp;$U986)</f>
        <v/>
      </c>
      <c r="AU986">
        <f>AT986&amp;IF($V986="","",", "&amp;$V986)</f>
        <v/>
      </c>
      <c r="AV986">
        <f>AU986&amp;IF($W986="","",", "&amp;$W986)</f>
        <v/>
      </c>
      <c r="AW986">
        <f>AV986&amp;IF($X986="","",", "&amp;$X986)</f>
        <v/>
      </c>
      <c r="AX986">
        <f>AW986&amp;IF($Y986="","",", "&amp;$Y986)</f>
        <v/>
      </c>
    </row>
    <row r="987">
      <c r="A987" s="118">
        <f>IF($B987="","",COUNT($B$5:$B987))</f>
        <v/>
      </c>
      <c r="B987" s="80" t="n"/>
      <c r="C987" s="80" t="n"/>
      <c r="D987" s="74" t="n"/>
      <c r="E987" s="74" t="n"/>
      <c r="F987" s="74" t="n"/>
      <c r="G987" s="118">
        <f>IF($F987="","",COUNTIF($F$5:$F987,$F987))</f>
        <v/>
      </c>
      <c r="H987" s="33">
        <f>IF($F987="","",IFERROR(INDEX(사건마스터!$B$5:$B$64,MATCH($F987,사건마스터!$A$5:$A$64,0)),""))</f>
        <v/>
      </c>
      <c r="I987" s="130">
        <f>IF($F987="","",IFERROR(INDEX(사건마스터!$C$5:$C$64,MATCH($F987,사건마스터!$A$5:$A$64,0)),""))</f>
        <v/>
      </c>
      <c r="J987" s="136">
        <f>IF($F987="","",IFERROR(INDEX(사건마스터!$H$5:$H$64,MATCH($F987,사건마스터!$A$5:$A$64,0)),""))</f>
        <v/>
      </c>
      <c r="K987" s="136">
        <f>IF($F987="","",IFERROR(INDEX(사건마스터!$AH$5:$AH$64,MATCH($F987,사건마스터!$A$5:$A$64,0)),""))</f>
        <v/>
      </c>
      <c r="L987" s="136">
        <f>IF($F987="","",IFERROR(INDEX(사건마스터!$AI$5:$AI$64,MATCH($F987,사건마스터!$A$5:$A$64,0)),""))</f>
        <v/>
      </c>
      <c r="M987" s="136">
        <f>IF($F987="","",IFERROR(INDEX(사건마스터!$AJ$5:$AJ$64,MATCH($F987,사건마스터!$A$5:$A$64,0)),""))</f>
        <v/>
      </c>
      <c r="N987" s="136">
        <f>IF($F987="","",IFERROR(INDEX(사건마스터!$AK$5:$AK$64,MATCH($F987,사건마스터!$A$5:$A$64,0)),""))</f>
        <v/>
      </c>
      <c r="O987" s="136">
        <f>IF($F987="","",IFERROR(INDEX(사건마스터!$AL$5:$AL$64,MATCH($F987,사건마스터!$A$5:$A$64,0)),""))</f>
        <v/>
      </c>
      <c r="P987" s="136">
        <f>IF($F987="","",IFERROR(INDEX(사건마스터!$AM$5:$AM$64,MATCH($F987,사건마스터!$A$5:$A$64,0)),""))</f>
        <v/>
      </c>
      <c r="Q987" s="136">
        <f>IF($F987="","",IFERROR(INDEX(사건마스터!$AN$5:$AN$64,MATCH($F987,사건마스터!$A$5:$A$64,0)),""))</f>
        <v/>
      </c>
      <c r="R987" s="136">
        <f>IF($F987="","",IFERROR(INDEX(사건마스터!$AO$5:$AO$64,MATCH($F987,사건마스터!$A$5:$A$64,0)),""))</f>
        <v/>
      </c>
      <c r="S987" s="136">
        <f>IF($F987="","",IFERROR(INDEX(사건마스터!$AP$5:$AP$64,MATCH($F987,사건마스터!$A$5:$A$64,0)),""))</f>
        <v/>
      </c>
      <c r="T987" s="136">
        <f>IF($F987="","",IFERROR(INDEX(사건마스터!$AQ$5:$AQ$64,MATCH($F987,사건마스터!$A$5:$A$64,0)),""))</f>
        <v/>
      </c>
      <c r="U987" s="136">
        <f>IF($F987="","",IFERROR(INDEX(사건마스터!$AR$5:$AR$64,MATCH($F987,사건마스터!$A$5:$A$64,0)),""))</f>
        <v/>
      </c>
      <c r="V987" s="136">
        <f>IF($F987="","",IFERROR(INDEX(사건마스터!$AS$5:$AS$64,MATCH($F987,사건마스터!$A$5:$A$64,0)),""))</f>
        <v/>
      </c>
      <c r="W987" s="136">
        <f>IF($F987="","",IFERROR(INDEX(사건마스터!$AT$5:$AT$64,MATCH($F987,사건마스터!$A$5:$A$64,0)),""))</f>
        <v/>
      </c>
      <c r="X987" s="136">
        <f>IF($F987="","",IFERROR(INDEX(사건마스터!$AU$5:$AU$64,MATCH($F987,사건마스터!$A$5:$A$64,0)),""))</f>
        <v/>
      </c>
      <c r="Y987" s="136">
        <f>IF($F987="","",IFERROR(INDEX(사건마스터!$AV$5:$AV$64,MATCH($F987,사건마스터!$A$5:$A$64,0)),""))</f>
        <v/>
      </c>
      <c r="Z987" s="118">
        <f>IF(COUNTBLANK($J987:$Y987)=16,"",16-COUNTBLANK($J987:$Y987))</f>
        <v/>
      </c>
      <c r="AA987" s="33">
        <f>IF($J987="",MID($AX987,3,255),$J987&amp;$AX987)</f>
        <v/>
      </c>
      <c r="AB987" s="130">
        <f>IF($J987="","",IFERROR(INDEX(코드설정!$D$5:$D$24,MATCH($J987,코드설정!$C$5:$C$24,0)),""))</f>
        <v/>
      </c>
      <c r="AC987" s="36" t="n"/>
      <c r="AD987" s="37" t="n"/>
      <c r="AE987" s="38" t="n"/>
      <c r="AF987" s="118">
        <f>IF(OR($B987="",$C987=""),"",$C987-$B987+1)</f>
        <v/>
      </c>
      <c r="AG987" s="74" t="n"/>
      <c r="AH987" s="36" t="n"/>
      <c r="AJ987">
        <f>IF($K987="","",", "&amp;$K987)</f>
        <v/>
      </c>
      <c r="AK987">
        <f>AJ987&amp;IF($L987="","",", "&amp;$L987)</f>
        <v/>
      </c>
      <c r="AL987">
        <f>AK987&amp;IF($M987="","",", "&amp;$M987)</f>
        <v/>
      </c>
      <c r="AM987">
        <f>AL987&amp;IF($N987="","",", "&amp;$N987)</f>
        <v/>
      </c>
      <c r="AN987">
        <f>AM987&amp;IF($O987="","",", "&amp;$O987)</f>
        <v/>
      </c>
      <c r="AO987">
        <f>AN987&amp;IF($P987="","",", "&amp;$P987)</f>
        <v/>
      </c>
      <c r="AP987">
        <f>AO987&amp;IF($Q987="","",", "&amp;$Q987)</f>
        <v/>
      </c>
      <c r="AQ987">
        <f>AP987&amp;IF($R987="","",", "&amp;$R987)</f>
        <v/>
      </c>
      <c r="AR987">
        <f>AQ987&amp;IF($S987="","",", "&amp;$S987)</f>
        <v/>
      </c>
      <c r="AS987">
        <f>AR987&amp;IF($T987="","",", "&amp;$T987)</f>
        <v/>
      </c>
      <c r="AT987">
        <f>AS987&amp;IF($U987="","",", "&amp;$U987)</f>
        <v/>
      </c>
      <c r="AU987">
        <f>AT987&amp;IF($V987="","",", "&amp;$V987)</f>
        <v/>
      </c>
      <c r="AV987">
        <f>AU987&amp;IF($W987="","",", "&amp;$W987)</f>
        <v/>
      </c>
      <c r="AW987">
        <f>AV987&amp;IF($X987="","",", "&amp;$X987)</f>
        <v/>
      </c>
      <c r="AX987">
        <f>AW987&amp;IF($Y987="","",", "&amp;$Y987)</f>
        <v/>
      </c>
    </row>
    <row r="988">
      <c r="A988" s="118">
        <f>IF($B988="","",COUNT($B$5:$B988))</f>
        <v/>
      </c>
      <c r="B988" s="80" t="n"/>
      <c r="C988" s="80" t="n"/>
      <c r="D988" s="74" t="n"/>
      <c r="E988" s="74" t="n"/>
      <c r="F988" s="74" t="n"/>
      <c r="G988" s="118">
        <f>IF($F988="","",COUNTIF($F$5:$F988,$F988))</f>
        <v/>
      </c>
      <c r="H988" s="33">
        <f>IF($F988="","",IFERROR(INDEX(사건마스터!$B$5:$B$64,MATCH($F988,사건마스터!$A$5:$A$64,0)),""))</f>
        <v/>
      </c>
      <c r="I988" s="130">
        <f>IF($F988="","",IFERROR(INDEX(사건마스터!$C$5:$C$64,MATCH($F988,사건마스터!$A$5:$A$64,0)),""))</f>
        <v/>
      </c>
      <c r="J988" s="136">
        <f>IF($F988="","",IFERROR(INDEX(사건마스터!$H$5:$H$64,MATCH($F988,사건마스터!$A$5:$A$64,0)),""))</f>
        <v/>
      </c>
      <c r="K988" s="136">
        <f>IF($F988="","",IFERROR(INDEX(사건마스터!$AH$5:$AH$64,MATCH($F988,사건마스터!$A$5:$A$64,0)),""))</f>
        <v/>
      </c>
      <c r="L988" s="136">
        <f>IF($F988="","",IFERROR(INDEX(사건마스터!$AI$5:$AI$64,MATCH($F988,사건마스터!$A$5:$A$64,0)),""))</f>
        <v/>
      </c>
      <c r="M988" s="136">
        <f>IF($F988="","",IFERROR(INDEX(사건마스터!$AJ$5:$AJ$64,MATCH($F988,사건마스터!$A$5:$A$64,0)),""))</f>
        <v/>
      </c>
      <c r="N988" s="136">
        <f>IF($F988="","",IFERROR(INDEX(사건마스터!$AK$5:$AK$64,MATCH($F988,사건마스터!$A$5:$A$64,0)),""))</f>
        <v/>
      </c>
      <c r="O988" s="136">
        <f>IF($F988="","",IFERROR(INDEX(사건마스터!$AL$5:$AL$64,MATCH($F988,사건마스터!$A$5:$A$64,0)),""))</f>
        <v/>
      </c>
      <c r="P988" s="136">
        <f>IF($F988="","",IFERROR(INDEX(사건마스터!$AM$5:$AM$64,MATCH($F988,사건마스터!$A$5:$A$64,0)),""))</f>
        <v/>
      </c>
      <c r="Q988" s="136">
        <f>IF($F988="","",IFERROR(INDEX(사건마스터!$AN$5:$AN$64,MATCH($F988,사건마스터!$A$5:$A$64,0)),""))</f>
        <v/>
      </c>
      <c r="R988" s="136">
        <f>IF($F988="","",IFERROR(INDEX(사건마스터!$AO$5:$AO$64,MATCH($F988,사건마스터!$A$5:$A$64,0)),""))</f>
        <v/>
      </c>
      <c r="S988" s="136">
        <f>IF($F988="","",IFERROR(INDEX(사건마스터!$AP$5:$AP$64,MATCH($F988,사건마스터!$A$5:$A$64,0)),""))</f>
        <v/>
      </c>
      <c r="T988" s="136">
        <f>IF($F988="","",IFERROR(INDEX(사건마스터!$AQ$5:$AQ$64,MATCH($F988,사건마스터!$A$5:$A$64,0)),""))</f>
        <v/>
      </c>
      <c r="U988" s="136">
        <f>IF($F988="","",IFERROR(INDEX(사건마스터!$AR$5:$AR$64,MATCH($F988,사건마스터!$A$5:$A$64,0)),""))</f>
        <v/>
      </c>
      <c r="V988" s="136">
        <f>IF($F988="","",IFERROR(INDEX(사건마스터!$AS$5:$AS$64,MATCH($F988,사건마스터!$A$5:$A$64,0)),""))</f>
        <v/>
      </c>
      <c r="W988" s="136">
        <f>IF($F988="","",IFERROR(INDEX(사건마스터!$AT$5:$AT$64,MATCH($F988,사건마스터!$A$5:$A$64,0)),""))</f>
        <v/>
      </c>
      <c r="X988" s="136">
        <f>IF($F988="","",IFERROR(INDEX(사건마스터!$AU$5:$AU$64,MATCH($F988,사건마스터!$A$5:$A$64,0)),""))</f>
        <v/>
      </c>
      <c r="Y988" s="136">
        <f>IF($F988="","",IFERROR(INDEX(사건마스터!$AV$5:$AV$64,MATCH($F988,사건마스터!$A$5:$A$64,0)),""))</f>
        <v/>
      </c>
      <c r="Z988" s="118">
        <f>IF(COUNTBLANK($J988:$Y988)=16,"",16-COUNTBLANK($J988:$Y988))</f>
        <v/>
      </c>
      <c r="AA988" s="33">
        <f>IF($J988="",MID($AX988,3,255),$J988&amp;$AX988)</f>
        <v/>
      </c>
      <c r="AB988" s="130">
        <f>IF($J988="","",IFERROR(INDEX(코드설정!$D$5:$D$24,MATCH($J988,코드설정!$C$5:$C$24,0)),""))</f>
        <v/>
      </c>
      <c r="AC988" s="36" t="n"/>
      <c r="AD988" s="37" t="n"/>
      <c r="AE988" s="38" t="n"/>
      <c r="AF988" s="118">
        <f>IF(OR($B988="",$C988=""),"",$C988-$B988+1)</f>
        <v/>
      </c>
      <c r="AG988" s="74" t="n"/>
      <c r="AH988" s="36" t="n"/>
      <c r="AJ988">
        <f>IF($K988="","",", "&amp;$K988)</f>
        <v/>
      </c>
      <c r="AK988">
        <f>AJ988&amp;IF($L988="","",", "&amp;$L988)</f>
        <v/>
      </c>
      <c r="AL988">
        <f>AK988&amp;IF($M988="","",", "&amp;$M988)</f>
        <v/>
      </c>
      <c r="AM988">
        <f>AL988&amp;IF($N988="","",", "&amp;$N988)</f>
        <v/>
      </c>
      <c r="AN988">
        <f>AM988&amp;IF($O988="","",", "&amp;$O988)</f>
        <v/>
      </c>
      <c r="AO988">
        <f>AN988&amp;IF($P988="","",", "&amp;$P988)</f>
        <v/>
      </c>
      <c r="AP988">
        <f>AO988&amp;IF($Q988="","",", "&amp;$Q988)</f>
        <v/>
      </c>
      <c r="AQ988">
        <f>AP988&amp;IF($R988="","",", "&amp;$R988)</f>
        <v/>
      </c>
      <c r="AR988">
        <f>AQ988&amp;IF($S988="","",", "&amp;$S988)</f>
        <v/>
      </c>
      <c r="AS988">
        <f>AR988&amp;IF($T988="","",", "&amp;$T988)</f>
        <v/>
      </c>
      <c r="AT988">
        <f>AS988&amp;IF($U988="","",", "&amp;$U988)</f>
        <v/>
      </c>
      <c r="AU988">
        <f>AT988&amp;IF($V988="","",", "&amp;$V988)</f>
        <v/>
      </c>
      <c r="AV988">
        <f>AU988&amp;IF($W988="","",", "&amp;$W988)</f>
        <v/>
      </c>
      <c r="AW988">
        <f>AV988&amp;IF($X988="","",", "&amp;$X988)</f>
        <v/>
      </c>
      <c r="AX988">
        <f>AW988&amp;IF($Y988="","",", "&amp;$Y988)</f>
        <v/>
      </c>
    </row>
    <row r="989">
      <c r="A989" s="118">
        <f>IF($B989="","",COUNT($B$5:$B989))</f>
        <v/>
      </c>
      <c r="B989" s="80" t="n"/>
      <c r="C989" s="80" t="n"/>
      <c r="D989" s="74" t="n"/>
      <c r="E989" s="74" t="n"/>
      <c r="F989" s="74" t="n"/>
      <c r="G989" s="118">
        <f>IF($F989="","",COUNTIF($F$5:$F989,$F989))</f>
        <v/>
      </c>
      <c r="H989" s="33">
        <f>IF($F989="","",IFERROR(INDEX(사건마스터!$B$5:$B$64,MATCH($F989,사건마스터!$A$5:$A$64,0)),""))</f>
        <v/>
      </c>
      <c r="I989" s="130">
        <f>IF($F989="","",IFERROR(INDEX(사건마스터!$C$5:$C$64,MATCH($F989,사건마스터!$A$5:$A$64,0)),""))</f>
        <v/>
      </c>
      <c r="J989" s="136">
        <f>IF($F989="","",IFERROR(INDEX(사건마스터!$H$5:$H$64,MATCH($F989,사건마스터!$A$5:$A$64,0)),""))</f>
        <v/>
      </c>
      <c r="K989" s="136">
        <f>IF($F989="","",IFERROR(INDEX(사건마스터!$AH$5:$AH$64,MATCH($F989,사건마스터!$A$5:$A$64,0)),""))</f>
        <v/>
      </c>
      <c r="L989" s="136">
        <f>IF($F989="","",IFERROR(INDEX(사건마스터!$AI$5:$AI$64,MATCH($F989,사건마스터!$A$5:$A$64,0)),""))</f>
        <v/>
      </c>
      <c r="M989" s="136">
        <f>IF($F989="","",IFERROR(INDEX(사건마스터!$AJ$5:$AJ$64,MATCH($F989,사건마스터!$A$5:$A$64,0)),""))</f>
        <v/>
      </c>
      <c r="N989" s="136">
        <f>IF($F989="","",IFERROR(INDEX(사건마스터!$AK$5:$AK$64,MATCH($F989,사건마스터!$A$5:$A$64,0)),""))</f>
        <v/>
      </c>
      <c r="O989" s="136">
        <f>IF($F989="","",IFERROR(INDEX(사건마스터!$AL$5:$AL$64,MATCH($F989,사건마스터!$A$5:$A$64,0)),""))</f>
        <v/>
      </c>
      <c r="P989" s="136">
        <f>IF($F989="","",IFERROR(INDEX(사건마스터!$AM$5:$AM$64,MATCH($F989,사건마스터!$A$5:$A$64,0)),""))</f>
        <v/>
      </c>
      <c r="Q989" s="136">
        <f>IF($F989="","",IFERROR(INDEX(사건마스터!$AN$5:$AN$64,MATCH($F989,사건마스터!$A$5:$A$64,0)),""))</f>
        <v/>
      </c>
      <c r="R989" s="136">
        <f>IF($F989="","",IFERROR(INDEX(사건마스터!$AO$5:$AO$64,MATCH($F989,사건마스터!$A$5:$A$64,0)),""))</f>
        <v/>
      </c>
      <c r="S989" s="136">
        <f>IF($F989="","",IFERROR(INDEX(사건마스터!$AP$5:$AP$64,MATCH($F989,사건마스터!$A$5:$A$64,0)),""))</f>
        <v/>
      </c>
      <c r="T989" s="136">
        <f>IF($F989="","",IFERROR(INDEX(사건마스터!$AQ$5:$AQ$64,MATCH($F989,사건마스터!$A$5:$A$64,0)),""))</f>
        <v/>
      </c>
      <c r="U989" s="136">
        <f>IF($F989="","",IFERROR(INDEX(사건마스터!$AR$5:$AR$64,MATCH($F989,사건마스터!$A$5:$A$64,0)),""))</f>
        <v/>
      </c>
      <c r="V989" s="136">
        <f>IF($F989="","",IFERROR(INDEX(사건마스터!$AS$5:$AS$64,MATCH($F989,사건마스터!$A$5:$A$64,0)),""))</f>
        <v/>
      </c>
      <c r="W989" s="136">
        <f>IF($F989="","",IFERROR(INDEX(사건마스터!$AT$5:$AT$64,MATCH($F989,사건마스터!$A$5:$A$64,0)),""))</f>
        <v/>
      </c>
      <c r="X989" s="136">
        <f>IF($F989="","",IFERROR(INDEX(사건마스터!$AU$5:$AU$64,MATCH($F989,사건마스터!$A$5:$A$64,0)),""))</f>
        <v/>
      </c>
      <c r="Y989" s="136">
        <f>IF($F989="","",IFERROR(INDEX(사건마스터!$AV$5:$AV$64,MATCH($F989,사건마스터!$A$5:$A$64,0)),""))</f>
        <v/>
      </c>
      <c r="Z989" s="118">
        <f>IF(COUNTBLANK($J989:$Y989)=16,"",16-COUNTBLANK($J989:$Y989))</f>
        <v/>
      </c>
      <c r="AA989" s="33">
        <f>IF($J989="",MID($AX989,3,255),$J989&amp;$AX989)</f>
        <v/>
      </c>
      <c r="AB989" s="130">
        <f>IF($J989="","",IFERROR(INDEX(코드설정!$D$5:$D$24,MATCH($J989,코드설정!$C$5:$C$24,0)),""))</f>
        <v/>
      </c>
      <c r="AC989" s="36" t="n"/>
      <c r="AD989" s="37" t="n"/>
      <c r="AE989" s="38" t="n"/>
      <c r="AF989" s="118">
        <f>IF(OR($B989="",$C989=""),"",$C989-$B989+1)</f>
        <v/>
      </c>
      <c r="AG989" s="74" t="n"/>
      <c r="AH989" s="36" t="n"/>
      <c r="AJ989">
        <f>IF($K989="","",", "&amp;$K989)</f>
        <v/>
      </c>
      <c r="AK989">
        <f>AJ989&amp;IF($L989="","",", "&amp;$L989)</f>
        <v/>
      </c>
      <c r="AL989">
        <f>AK989&amp;IF($M989="","",", "&amp;$M989)</f>
        <v/>
      </c>
      <c r="AM989">
        <f>AL989&amp;IF($N989="","",", "&amp;$N989)</f>
        <v/>
      </c>
      <c r="AN989">
        <f>AM989&amp;IF($O989="","",", "&amp;$O989)</f>
        <v/>
      </c>
      <c r="AO989">
        <f>AN989&amp;IF($P989="","",", "&amp;$P989)</f>
        <v/>
      </c>
      <c r="AP989">
        <f>AO989&amp;IF($Q989="","",", "&amp;$Q989)</f>
        <v/>
      </c>
      <c r="AQ989">
        <f>AP989&amp;IF($R989="","",", "&amp;$R989)</f>
        <v/>
      </c>
      <c r="AR989">
        <f>AQ989&amp;IF($S989="","",", "&amp;$S989)</f>
        <v/>
      </c>
      <c r="AS989">
        <f>AR989&amp;IF($T989="","",", "&amp;$T989)</f>
        <v/>
      </c>
      <c r="AT989">
        <f>AS989&amp;IF($U989="","",", "&amp;$U989)</f>
        <v/>
      </c>
      <c r="AU989">
        <f>AT989&amp;IF($V989="","",", "&amp;$V989)</f>
        <v/>
      </c>
      <c r="AV989">
        <f>AU989&amp;IF($W989="","",", "&amp;$W989)</f>
        <v/>
      </c>
      <c r="AW989">
        <f>AV989&amp;IF($X989="","",", "&amp;$X989)</f>
        <v/>
      </c>
      <c r="AX989">
        <f>AW989&amp;IF($Y989="","",", "&amp;$Y989)</f>
        <v/>
      </c>
    </row>
    <row r="990">
      <c r="A990" s="118">
        <f>IF($B990="","",COUNT($B$5:$B990))</f>
        <v/>
      </c>
      <c r="B990" s="80" t="n"/>
      <c r="C990" s="80" t="n"/>
      <c r="D990" s="74" t="n"/>
      <c r="E990" s="74" t="n"/>
      <c r="F990" s="74" t="n"/>
      <c r="G990" s="118">
        <f>IF($F990="","",COUNTIF($F$5:$F990,$F990))</f>
        <v/>
      </c>
      <c r="H990" s="33">
        <f>IF($F990="","",IFERROR(INDEX(사건마스터!$B$5:$B$64,MATCH($F990,사건마스터!$A$5:$A$64,0)),""))</f>
        <v/>
      </c>
      <c r="I990" s="130">
        <f>IF($F990="","",IFERROR(INDEX(사건마스터!$C$5:$C$64,MATCH($F990,사건마스터!$A$5:$A$64,0)),""))</f>
        <v/>
      </c>
      <c r="J990" s="136">
        <f>IF($F990="","",IFERROR(INDEX(사건마스터!$H$5:$H$64,MATCH($F990,사건마스터!$A$5:$A$64,0)),""))</f>
        <v/>
      </c>
      <c r="K990" s="136">
        <f>IF($F990="","",IFERROR(INDEX(사건마스터!$AH$5:$AH$64,MATCH($F990,사건마스터!$A$5:$A$64,0)),""))</f>
        <v/>
      </c>
      <c r="L990" s="136">
        <f>IF($F990="","",IFERROR(INDEX(사건마스터!$AI$5:$AI$64,MATCH($F990,사건마스터!$A$5:$A$64,0)),""))</f>
        <v/>
      </c>
      <c r="M990" s="136">
        <f>IF($F990="","",IFERROR(INDEX(사건마스터!$AJ$5:$AJ$64,MATCH($F990,사건마스터!$A$5:$A$64,0)),""))</f>
        <v/>
      </c>
      <c r="N990" s="136">
        <f>IF($F990="","",IFERROR(INDEX(사건마스터!$AK$5:$AK$64,MATCH($F990,사건마스터!$A$5:$A$64,0)),""))</f>
        <v/>
      </c>
      <c r="O990" s="136">
        <f>IF($F990="","",IFERROR(INDEX(사건마스터!$AL$5:$AL$64,MATCH($F990,사건마스터!$A$5:$A$64,0)),""))</f>
        <v/>
      </c>
      <c r="P990" s="136">
        <f>IF($F990="","",IFERROR(INDEX(사건마스터!$AM$5:$AM$64,MATCH($F990,사건마스터!$A$5:$A$64,0)),""))</f>
        <v/>
      </c>
      <c r="Q990" s="136">
        <f>IF($F990="","",IFERROR(INDEX(사건마스터!$AN$5:$AN$64,MATCH($F990,사건마스터!$A$5:$A$64,0)),""))</f>
        <v/>
      </c>
      <c r="R990" s="136">
        <f>IF($F990="","",IFERROR(INDEX(사건마스터!$AO$5:$AO$64,MATCH($F990,사건마스터!$A$5:$A$64,0)),""))</f>
        <v/>
      </c>
      <c r="S990" s="136">
        <f>IF($F990="","",IFERROR(INDEX(사건마스터!$AP$5:$AP$64,MATCH($F990,사건마스터!$A$5:$A$64,0)),""))</f>
        <v/>
      </c>
      <c r="T990" s="136">
        <f>IF($F990="","",IFERROR(INDEX(사건마스터!$AQ$5:$AQ$64,MATCH($F990,사건마스터!$A$5:$A$64,0)),""))</f>
        <v/>
      </c>
      <c r="U990" s="136">
        <f>IF($F990="","",IFERROR(INDEX(사건마스터!$AR$5:$AR$64,MATCH($F990,사건마스터!$A$5:$A$64,0)),""))</f>
        <v/>
      </c>
      <c r="V990" s="136">
        <f>IF($F990="","",IFERROR(INDEX(사건마스터!$AS$5:$AS$64,MATCH($F990,사건마스터!$A$5:$A$64,0)),""))</f>
        <v/>
      </c>
      <c r="W990" s="136">
        <f>IF($F990="","",IFERROR(INDEX(사건마스터!$AT$5:$AT$64,MATCH($F990,사건마스터!$A$5:$A$64,0)),""))</f>
        <v/>
      </c>
      <c r="X990" s="136">
        <f>IF($F990="","",IFERROR(INDEX(사건마스터!$AU$5:$AU$64,MATCH($F990,사건마스터!$A$5:$A$64,0)),""))</f>
        <v/>
      </c>
      <c r="Y990" s="136">
        <f>IF($F990="","",IFERROR(INDEX(사건마스터!$AV$5:$AV$64,MATCH($F990,사건마스터!$A$5:$A$64,0)),""))</f>
        <v/>
      </c>
      <c r="Z990" s="118">
        <f>IF(COUNTBLANK($J990:$Y990)=16,"",16-COUNTBLANK($J990:$Y990))</f>
        <v/>
      </c>
      <c r="AA990" s="33">
        <f>IF($J990="",MID($AX990,3,255),$J990&amp;$AX990)</f>
        <v/>
      </c>
      <c r="AB990" s="130">
        <f>IF($J990="","",IFERROR(INDEX(코드설정!$D$5:$D$24,MATCH($J990,코드설정!$C$5:$C$24,0)),""))</f>
        <v/>
      </c>
      <c r="AC990" s="36" t="n"/>
      <c r="AD990" s="37" t="n"/>
      <c r="AE990" s="38" t="n"/>
      <c r="AF990" s="118">
        <f>IF(OR($B990="",$C990=""),"",$C990-$B990+1)</f>
        <v/>
      </c>
      <c r="AG990" s="74" t="n"/>
      <c r="AH990" s="36" t="n"/>
      <c r="AJ990">
        <f>IF($K990="","",", "&amp;$K990)</f>
        <v/>
      </c>
      <c r="AK990">
        <f>AJ990&amp;IF($L990="","",", "&amp;$L990)</f>
        <v/>
      </c>
      <c r="AL990">
        <f>AK990&amp;IF($M990="","",", "&amp;$M990)</f>
        <v/>
      </c>
      <c r="AM990">
        <f>AL990&amp;IF($N990="","",", "&amp;$N990)</f>
        <v/>
      </c>
      <c r="AN990">
        <f>AM990&amp;IF($O990="","",", "&amp;$O990)</f>
        <v/>
      </c>
      <c r="AO990">
        <f>AN990&amp;IF($P990="","",", "&amp;$P990)</f>
        <v/>
      </c>
      <c r="AP990">
        <f>AO990&amp;IF($Q990="","",", "&amp;$Q990)</f>
        <v/>
      </c>
      <c r="AQ990">
        <f>AP990&amp;IF($R990="","",", "&amp;$R990)</f>
        <v/>
      </c>
      <c r="AR990">
        <f>AQ990&amp;IF($S990="","",", "&amp;$S990)</f>
        <v/>
      </c>
      <c r="AS990">
        <f>AR990&amp;IF($T990="","",", "&amp;$T990)</f>
        <v/>
      </c>
      <c r="AT990">
        <f>AS990&amp;IF($U990="","",", "&amp;$U990)</f>
        <v/>
      </c>
      <c r="AU990">
        <f>AT990&amp;IF($V990="","",", "&amp;$V990)</f>
        <v/>
      </c>
      <c r="AV990">
        <f>AU990&amp;IF($W990="","",", "&amp;$W990)</f>
        <v/>
      </c>
      <c r="AW990">
        <f>AV990&amp;IF($X990="","",", "&amp;$X990)</f>
        <v/>
      </c>
      <c r="AX990">
        <f>AW990&amp;IF($Y990="","",", "&amp;$Y990)</f>
        <v/>
      </c>
    </row>
    <row r="991">
      <c r="A991" s="118">
        <f>IF($B991="","",COUNT($B$5:$B991))</f>
        <v/>
      </c>
      <c r="B991" s="80" t="n"/>
      <c r="C991" s="80" t="n"/>
      <c r="D991" s="74" t="n"/>
      <c r="E991" s="74" t="n"/>
      <c r="F991" s="74" t="n"/>
      <c r="G991" s="118">
        <f>IF($F991="","",COUNTIF($F$5:$F991,$F991))</f>
        <v/>
      </c>
      <c r="H991" s="33">
        <f>IF($F991="","",IFERROR(INDEX(사건마스터!$B$5:$B$64,MATCH($F991,사건마스터!$A$5:$A$64,0)),""))</f>
        <v/>
      </c>
      <c r="I991" s="130">
        <f>IF($F991="","",IFERROR(INDEX(사건마스터!$C$5:$C$64,MATCH($F991,사건마스터!$A$5:$A$64,0)),""))</f>
        <v/>
      </c>
      <c r="J991" s="136">
        <f>IF($F991="","",IFERROR(INDEX(사건마스터!$H$5:$H$64,MATCH($F991,사건마스터!$A$5:$A$64,0)),""))</f>
        <v/>
      </c>
      <c r="K991" s="136">
        <f>IF($F991="","",IFERROR(INDEX(사건마스터!$AH$5:$AH$64,MATCH($F991,사건마스터!$A$5:$A$64,0)),""))</f>
        <v/>
      </c>
      <c r="L991" s="136">
        <f>IF($F991="","",IFERROR(INDEX(사건마스터!$AI$5:$AI$64,MATCH($F991,사건마스터!$A$5:$A$64,0)),""))</f>
        <v/>
      </c>
      <c r="M991" s="136">
        <f>IF($F991="","",IFERROR(INDEX(사건마스터!$AJ$5:$AJ$64,MATCH($F991,사건마스터!$A$5:$A$64,0)),""))</f>
        <v/>
      </c>
      <c r="N991" s="136">
        <f>IF($F991="","",IFERROR(INDEX(사건마스터!$AK$5:$AK$64,MATCH($F991,사건마스터!$A$5:$A$64,0)),""))</f>
        <v/>
      </c>
      <c r="O991" s="136">
        <f>IF($F991="","",IFERROR(INDEX(사건마스터!$AL$5:$AL$64,MATCH($F991,사건마스터!$A$5:$A$64,0)),""))</f>
        <v/>
      </c>
      <c r="P991" s="136">
        <f>IF($F991="","",IFERROR(INDEX(사건마스터!$AM$5:$AM$64,MATCH($F991,사건마스터!$A$5:$A$64,0)),""))</f>
        <v/>
      </c>
      <c r="Q991" s="136">
        <f>IF($F991="","",IFERROR(INDEX(사건마스터!$AN$5:$AN$64,MATCH($F991,사건마스터!$A$5:$A$64,0)),""))</f>
        <v/>
      </c>
      <c r="R991" s="136">
        <f>IF($F991="","",IFERROR(INDEX(사건마스터!$AO$5:$AO$64,MATCH($F991,사건마스터!$A$5:$A$64,0)),""))</f>
        <v/>
      </c>
      <c r="S991" s="136">
        <f>IF($F991="","",IFERROR(INDEX(사건마스터!$AP$5:$AP$64,MATCH($F991,사건마스터!$A$5:$A$64,0)),""))</f>
        <v/>
      </c>
      <c r="T991" s="136">
        <f>IF($F991="","",IFERROR(INDEX(사건마스터!$AQ$5:$AQ$64,MATCH($F991,사건마스터!$A$5:$A$64,0)),""))</f>
        <v/>
      </c>
      <c r="U991" s="136">
        <f>IF($F991="","",IFERROR(INDEX(사건마스터!$AR$5:$AR$64,MATCH($F991,사건마스터!$A$5:$A$64,0)),""))</f>
        <v/>
      </c>
      <c r="V991" s="136">
        <f>IF($F991="","",IFERROR(INDEX(사건마스터!$AS$5:$AS$64,MATCH($F991,사건마스터!$A$5:$A$64,0)),""))</f>
        <v/>
      </c>
      <c r="W991" s="136">
        <f>IF($F991="","",IFERROR(INDEX(사건마스터!$AT$5:$AT$64,MATCH($F991,사건마스터!$A$5:$A$64,0)),""))</f>
        <v/>
      </c>
      <c r="X991" s="136">
        <f>IF($F991="","",IFERROR(INDEX(사건마스터!$AU$5:$AU$64,MATCH($F991,사건마스터!$A$5:$A$64,0)),""))</f>
        <v/>
      </c>
      <c r="Y991" s="136">
        <f>IF($F991="","",IFERROR(INDEX(사건마스터!$AV$5:$AV$64,MATCH($F991,사건마스터!$A$5:$A$64,0)),""))</f>
        <v/>
      </c>
      <c r="Z991" s="118">
        <f>IF(COUNTBLANK($J991:$Y991)=16,"",16-COUNTBLANK($J991:$Y991))</f>
        <v/>
      </c>
      <c r="AA991" s="33">
        <f>IF($J991="",MID($AX991,3,255),$J991&amp;$AX991)</f>
        <v/>
      </c>
      <c r="AB991" s="130">
        <f>IF($J991="","",IFERROR(INDEX(코드설정!$D$5:$D$24,MATCH($J991,코드설정!$C$5:$C$24,0)),""))</f>
        <v/>
      </c>
      <c r="AC991" s="36" t="n"/>
      <c r="AD991" s="37" t="n"/>
      <c r="AE991" s="38" t="n"/>
      <c r="AF991" s="118">
        <f>IF(OR($B991="",$C991=""),"",$C991-$B991+1)</f>
        <v/>
      </c>
      <c r="AG991" s="74" t="n"/>
      <c r="AH991" s="36" t="n"/>
      <c r="AJ991">
        <f>IF($K991="","",", "&amp;$K991)</f>
        <v/>
      </c>
      <c r="AK991">
        <f>AJ991&amp;IF($L991="","",", "&amp;$L991)</f>
        <v/>
      </c>
      <c r="AL991">
        <f>AK991&amp;IF($M991="","",", "&amp;$M991)</f>
        <v/>
      </c>
      <c r="AM991">
        <f>AL991&amp;IF($N991="","",", "&amp;$N991)</f>
        <v/>
      </c>
      <c r="AN991">
        <f>AM991&amp;IF($O991="","",", "&amp;$O991)</f>
        <v/>
      </c>
      <c r="AO991">
        <f>AN991&amp;IF($P991="","",", "&amp;$P991)</f>
        <v/>
      </c>
      <c r="AP991">
        <f>AO991&amp;IF($Q991="","",", "&amp;$Q991)</f>
        <v/>
      </c>
      <c r="AQ991">
        <f>AP991&amp;IF($R991="","",", "&amp;$R991)</f>
        <v/>
      </c>
      <c r="AR991">
        <f>AQ991&amp;IF($S991="","",", "&amp;$S991)</f>
        <v/>
      </c>
      <c r="AS991">
        <f>AR991&amp;IF($T991="","",", "&amp;$T991)</f>
        <v/>
      </c>
      <c r="AT991">
        <f>AS991&amp;IF($U991="","",", "&amp;$U991)</f>
        <v/>
      </c>
      <c r="AU991">
        <f>AT991&amp;IF($V991="","",", "&amp;$V991)</f>
        <v/>
      </c>
      <c r="AV991">
        <f>AU991&amp;IF($W991="","",", "&amp;$W991)</f>
        <v/>
      </c>
      <c r="AW991">
        <f>AV991&amp;IF($X991="","",", "&amp;$X991)</f>
        <v/>
      </c>
      <c r="AX991">
        <f>AW991&amp;IF($Y991="","",", "&amp;$Y991)</f>
        <v/>
      </c>
    </row>
    <row r="992">
      <c r="A992" s="118">
        <f>IF($B992="","",COUNT($B$5:$B992))</f>
        <v/>
      </c>
      <c r="B992" s="80" t="n"/>
      <c r="C992" s="80" t="n"/>
      <c r="D992" s="74" t="n"/>
      <c r="E992" s="74" t="n"/>
      <c r="F992" s="74" t="n"/>
      <c r="G992" s="118">
        <f>IF($F992="","",COUNTIF($F$5:$F992,$F992))</f>
        <v/>
      </c>
      <c r="H992" s="33">
        <f>IF($F992="","",IFERROR(INDEX(사건마스터!$B$5:$B$64,MATCH($F992,사건마스터!$A$5:$A$64,0)),""))</f>
        <v/>
      </c>
      <c r="I992" s="130">
        <f>IF($F992="","",IFERROR(INDEX(사건마스터!$C$5:$C$64,MATCH($F992,사건마스터!$A$5:$A$64,0)),""))</f>
        <v/>
      </c>
      <c r="J992" s="136">
        <f>IF($F992="","",IFERROR(INDEX(사건마스터!$H$5:$H$64,MATCH($F992,사건마스터!$A$5:$A$64,0)),""))</f>
        <v/>
      </c>
      <c r="K992" s="136">
        <f>IF($F992="","",IFERROR(INDEX(사건마스터!$AH$5:$AH$64,MATCH($F992,사건마스터!$A$5:$A$64,0)),""))</f>
        <v/>
      </c>
      <c r="L992" s="136">
        <f>IF($F992="","",IFERROR(INDEX(사건마스터!$AI$5:$AI$64,MATCH($F992,사건마스터!$A$5:$A$64,0)),""))</f>
        <v/>
      </c>
      <c r="M992" s="136">
        <f>IF($F992="","",IFERROR(INDEX(사건마스터!$AJ$5:$AJ$64,MATCH($F992,사건마스터!$A$5:$A$64,0)),""))</f>
        <v/>
      </c>
      <c r="N992" s="136">
        <f>IF($F992="","",IFERROR(INDEX(사건마스터!$AK$5:$AK$64,MATCH($F992,사건마스터!$A$5:$A$64,0)),""))</f>
        <v/>
      </c>
      <c r="O992" s="136">
        <f>IF($F992="","",IFERROR(INDEX(사건마스터!$AL$5:$AL$64,MATCH($F992,사건마스터!$A$5:$A$64,0)),""))</f>
        <v/>
      </c>
      <c r="P992" s="136">
        <f>IF($F992="","",IFERROR(INDEX(사건마스터!$AM$5:$AM$64,MATCH($F992,사건마스터!$A$5:$A$64,0)),""))</f>
        <v/>
      </c>
      <c r="Q992" s="136">
        <f>IF($F992="","",IFERROR(INDEX(사건마스터!$AN$5:$AN$64,MATCH($F992,사건마스터!$A$5:$A$64,0)),""))</f>
        <v/>
      </c>
      <c r="R992" s="136">
        <f>IF($F992="","",IFERROR(INDEX(사건마스터!$AO$5:$AO$64,MATCH($F992,사건마스터!$A$5:$A$64,0)),""))</f>
        <v/>
      </c>
      <c r="S992" s="136">
        <f>IF($F992="","",IFERROR(INDEX(사건마스터!$AP$5:$AP$64,MATCH($F992,사건마스터!$A$5:$A$64,0)),""))</f>
        <v/>
      </c>
      <c r="T992" s="136">
        <f>IF($F992="","",IFERROR(INDEX(사건마스터!$AQ$5:$AQ$64,MATCH($F992,사건마스터!$A$5:$A$64,0)),""))</f>
        <v/>
      </c>
      <c r="U992" s="136">
        <f>IF($F992="","",IFERROR(INDEX(사건마스터!$AR$5:$AR$64,MATCH($F992,사건마스터!$A$5:$A$64,0)),""))</f>
        <v/>
      </c>
      <c r="V992" s="136">
        <f>IF($F992="","",IFERROR(INDEX(사건마스터!$AS$5:$AS$64,MATCH($F992,사건마스터!$A$5:$A$64,0)),""))</f>
        <v/>
      </c>
      <c r="W992" s="136">
        <f>IF($F992="","",IFERROR(INDEX(사건마스터!$AT$5:$AT$64,MATCH($F992,사건마스터!$A$5:$A$64,0)),""))</f>
        <v/>
      </c>
      <c r="X992" s="136">
        <f>IF($F992="","",IFERROR(INDEX(사건마스터!$AU$5:$AU$64,MATCH($F992,사건마스터!$A$5:$A$64,0)),""))</f>
        <v/>
      </c>
      <c r="Y992" s="136">
        <f>IF($F992="","",IFERROR(INDEX(사건마스터!$AV$5:$AV$64,MATCH($F992,사건마스터!$A$5:$A$64,0)),""))</f>
        <v/>
      </c>
      <c r="Z992" s="118">
        <f>IF(COUNTBLANK($J992:$Y992)=16,"",16-COUNTBLANK($J992:$Y992))</f>
        <v/>
      </c>
      <c r="AA992" s="33">
        <f>IF($J992="",MID($AX992,3,255),$J992&amp;$AX992)</f>
        <v/>
      </c>
      <c r="AB992" s="130">
        <f>IF($J992="","",IFERROR(INDEX(코드설정!$D$5:$D$24,MATCH($J992,코드설정!$C$5:$C$24,0)),""))</f>
        <v/>
      </c>
      <c r="AC992" s="36" t="n"/>
      <c r="AD992" s="37" t="n"/>
      <c r="AE992" s="38" t="n"/>
      <c r="AF992" s="118">
        <f>IF(OR($B992="",$C992=""),"",$C992-$B992+1)</f>
        <v/>
      </c>
      <c r="AG992" s="74" t="n"/>
      <c r="AH992" s="36" t="n"/>
      <c r="AJ992">
        <f>IF($K992="","",", "&amp;$K992)</f>
        <v/>
      </c>
      <c r="AK992">
        <f>AJ992&amp;IF($L992="","",", "&amp;$L992)</f>
        <v/>
      </c>
      <c r="AL992">
        <f>AK992&amp;IF($M992="","",", "&amp;$M992)</f>
        <v/>
      </c>
      <c r="AM992">
        <f>AL992&amp;IF($N992="","",", "&amp;$N992)</f>
        <v/>
      </c>
      <c r="AN992">
        <f>AM992&amp;IF($O992="","",", "&amp;$O992)</f>
        <v/>
      </c>
      <c r="AO992">
        <f>AN992&amp;IF($P992="","",", "&amp;$P992)</f>
        <v/>
      </c>
      <c r="AP992">
        <f>AO992&amp;IF($Q992="","",", "&amp;$Q992)</f>
        <v/>
      </c>
      <c r="AQ992">
        <f>AP992&amp;IF($R992="","",", "&amp;$R992)</f>
        <v/>
      </c>
      <c r="AR992">
        <f>AQ992&amp;IF($S992="","",", "&amp;$S992)</f>
        <v/>
      </c>
      <c r="AS992">
        <f>AR992&amp;IF($T992="","",", "&amp;$T992)</f>
        <v/>
      </c>
      <c r="AT992">
        <f>AS992&amp;IF($U992="","",", "&amp;$U992)</f>
        <v/>
      </c>
      <c r="AU992">
        <f>AT992&amp;IF($V992="","",", "&amp;$V992)</f>
        <v/>
      </c>
      <c r="AV992">
        <f>AU992&amp;IF($W992="","",", "&amp;$W992)</f>
        <v/>
      </c>
      <c r="AW992">
        <f>AV992&amp;IF($X992="","",", "&amp;$X992)</f>
        <v/>
      </c>
      <c r="AX992">
        <f>AW992&amp;IF($Y992="","",", "&amp;$Y992)</f>
        <v/>
      </c>
    </row>
    <row r="993">
      <c r="A993" s="118">
        <f>IF($B993="","",COUNT($B$5:$B993))</f>
        <v/>
      </c>
      <c r="B993" s="80" t="n"/>
      <c r="C993" s="80" t="n"/>
      <c r="D993" s="74" t="n"/>
      <c r="E993" s="74" t="n"/>
      <c r="F993" s="74" t="n"/>
      <c r="G993" s="118">
        <f>IF($F993="","",COUNTIF($F$5:$F993,$F993))</f>
        <v/>
      </c>
      <c r="H993" s="33">
        <f>IF($F993="","",IFERROR(INDEX(사건마스터!$B$5:$B$64,MATCH($F993,사건마스터!$A$5:$A$64,0)),""))</f>
        <v/>
      </c>
      <c r="I993" s="130">
        <f>IF($F993="","",IFERROR(INDEX(사건마스터!$C$5:$C$64,MATCH($F993,사건마스터!$A$5:$A$64,0)),""))</f>
        <v/>
      </c>
      <c r="J993" s="136">
        <f>IF($F993="","",IFERROR(INDEX(사건마스터!$H$5:$H$64,MATCH($F993,사건마스터!$A$5:$A$64,0)),""))</f>
        <v/>
      </c>
      <c r="K993" s="136">
        <f>IF($F993="","",IFERROR(INDEX(사건마스터!$AH$5:$AH$64,MATCH($F993,사건마스터!$A$5:$A$64,0)),""))</f>
        <v/>
      </c>
      <c r="L993" s="136">
        <f>IF($F993="","",IFERROR(INDEX(사건마스터!$AI$5:$AI$64,MATCH($F993,사건마스터!$A$5:$A$64,0)),""))</f>
        <v/>
      </c>
      <c r="M993" s="136">
        <f>IF($F993="","",IFERROR(INDEX(사건마스터!$AJ$5:$AJ$64,MATCH($F993,사건마스터!$A$5:$A$64,0)),""))</f>
        <v/>
      </c>
      <c r="N993" s="136">
        <f>IF($F993="","",IFERROR(INDEX(사건마스터!$AK$5:$AK$64,MATCH($F993,사건마스터!$A$5:$A$64,0)),""))</f>
        <v/>
      </c>
      <c r="O993" s="136">
        <f>IF($F993="","",IFERROR(INDEX(사건마스터!$AL$5:$AL$64,MATCH($F993,사건마스터!$A$5:$A$64,0)),""))</f>
        <v/>
      </c>
      <c r="P993" s="136">
        <f>IF($F993="","",IFERROR(INDEX(사건마스터!$AM$5:$AM$64,MATCH($F993,사건마스터!$A$5:$A$64,0)),""))</f>
        <v/>
      </c>
      <c r="Q993" s="136">
        <f>IF($F993="","",IFERROR(INDEX(사건마스터!$AN$5:$AN$64,MATCH($F993,사건마스터!$A$5:$A$64,0)),""))</f>
        <v/>
      </c>
      <c r="R993" s="136">
        <f>IF($F993="","",IFERROR(INDEX(사건마스터!$AO$5:$AO$64,MATCH($F993,사건마스터!$A$5:$A$64,0)),""))</f>
        <v/>
      </c>
      <c r="S993" s="136">
        <f>IF($F993="","",IFERROR(INDEX(사건마스터!$AP$5:$AP$64,MATCH($F993,사건마스터!$A$5:$A$64,0)),""))</f>
        <v/>
      </c>
      <c r="T993" s="136">
        <f>IF($F993="","",IFERROR(INDEX(사건마스터!$AQ$5:$AQ$64,MATCH($F993,사건마스터!$A$5:$A$64,0)),""))</f>
        <v/>
      </c>
      <c r="U993" s="136">
        <f>IF($F993="","",IFERROR(INDEX(사건마스터!$AR$5:$AR$64,MATCH($F993,사건마스터!$A$5:$A$64,0)),""))</f>
        <v/>
      </c>
      <c r="V993" s="136">
        <f>IF($F993="","",IFERROR(INDEX(사건마스터!$AS$5:$AS$64,MATCH($F993,사건마스터!$A$5:$A$64,0)),""))</f>
        <v/>
      </c>
      <c r="W993" s="136">
        <f>IF($F993="","",IFERROR(INDEX(사건마스터!$AT$5:$AT$64,MATCH($F993,사건마스터!$A$5:$A$64,0)),""))</f>
        <v/>
      </c>
      <c r="X993" s="136">
        <f>IF($F993="","",IFERROR(INDEX(사건마스터!$AU$5:$AU$64,MATCH($F993,사건마스터!$A$5:$A$64,0)),""))</f>
        <v/>
      </c>
      <c r="Y993" s="136">
        <f>IF($F993="","",IFERROR(INDEX(사건마스터!$AV$5:$AV$64,MATCH($F993,사건마스터!$A$5:$A$64,0)),""))</f>
        <v/>
      </c>
      <c r="Z993" s="118">
        <f>IF(COUNTBLANK($J993:$Y993)=16,"",16-COUNTBLANK($J993:$Y993))</f>
        <v/>
      </c>
      <c r="AA993" s="33">
        <f>IF($J993="",MID($AX993,3,255),$J993&amp;$AX993)</f>
        <v/>
      </c>
      <c r="AB993" s="130">
        <f>IF($J993="","",IFERROR(INDEX(코드설정!$D$5:$D$24,MATCH($J993,코드설정!$C$5:$C$24,0)),""))</f>
        <v/>
      </c>
      <c r="AC993" s="36" t="n"/>
      <c r="AD993" s="37" t="n"/>
      <c r="AE993" s="38" t="n"/>
      <c r="AF993" s="118">
        <f>IF(OR($B993="",$C993=""),"",$C993-$B993+1)</f>
        <v/>
      </c>
      <c r="AG993" s="74" t="n"/>
      <c r="AH993" s="36" t="n"/>
      <c r="AJ993">
        <f>IF($K993="","",", "&amp;$K993)</f>
        <v/>
      </c>
      <c r="AK993">
        <f>AJ993&amp;IF($L993="","",", "&amp;$L993)</f>
        <v/>
      </c>
      <c r="AL993">
        <f>AK993&amp;IF($M993="","",", "&amp;$M993)</f>
        <v/>
      </c>
      <c r="AM993">
        <f>AL993&amp;IF($N993="","",", "&amp;$N993)</f>
        <v/>
      </c>
      <c r="AN993">
        <f>AM993&amp;IF($O993="","",", "&amp;$O993)</f>
        <v/>
      </c>
      <c r="AO993">
        <f>AN993&amp;IF($P993="","",", "&amp;$P993)</f>
        <v/>
      </c>
      <c r="AP993">
        <f>AO993&amp;IF($Q993="","",", "&amp;$Q993)</f>
        <v/>
      </c>
      <c r="AQ993">
        <f>AP993&amp;IF($R993="","",", "&amp;$R993)</f>
        <v/>
      </c>
      <c r="AR993">
        <f>AQ993&amp;IF($S993="","",", "&amp;$S993)</f>
        <v/>
      </c>
      <c r="AS993">
        <f>AR993&amp;IF($T993="","",", "&amp;$T993)</f>
        <v/>
      </c>
      <c r="AT993">
        <f>AS993&amp;IF($U993="","",", "&amp;$U993)</f>
        <v/>
      </c>
      <c r="AU993">
        <f>AT993&amp;IF($V993="","",", "&amp;$V993)</f>
        <v/>
      </c>
      <c r="AV993">
        <f>AU993&amp;IF($W993="","",", "&amp;$W993)</f>
        <v/>
      </c>
      <c r="AW993">
        <f>AV993&amp;IF($X993="","",", "&amp;$X993)</f>
        <v/>
      </c>
      <c r="AX993">
        <f>AW993&amp;IF($Y993="","",", "&amp;$Y993)</f>
        <v/>
      </c>
    </row>
    <row r="994">
      <c r="A994" s="118">
        <f>IF($B994="","",COUNT($B$5:$B994))</f>
        <v/>
      </c>
      <c r="B994" s="80" t="n"/>
      <c r="C994" s="80" t="n"/>
      <c r="D994" s="74" t="n"/>
      <c r="E994" s="74" t="n"/>
      <c r="F994" s="74" t="n"/>
      <c r="G994" s="118">
        <f>IF($F994="","",COUNTIF($F$5:$F994,$F994))</f>
        <v/>
      </c>
      <c r="H994" s="33">
        <f>IF($F994="","",IFERROR(INDEX(사건마스터!$B$5:$B$64,MATCH($F994,사건마스터!$A$5:$A$64,0)),""))</f>
        <v/>
      </c>
      <c r="I994" s="130">
        <f>IF($F994="","",IFERROR(INDEX(사건마스터!$C$5:$C$64,MATCH($F994,사건마스터!$A$5:$A$64,0)),""))</f>
        <v/>
      </c>
      <c r="J994" s="136">
        <f>IF($F994="","",IFERROR(INDEX(사건마스터!$H$5:$H$64,MATCH($F994,사건마스터!$A$5:$A$64,0)),""))</f>
        <v/>
      </c>
      <c r="K994" s="136">
        <f>IF($F994="","",IFERROR(INDEX(사건마스터!$AH$5:$AH$64,MATCH($F994,사건마스터!$A$5:$A$64,0)),""))</f>
        <v/>
      </c>
      <c r="L994" s="136">
        <f>IF($F994="","",IFERROR(INDEX(사건마스터!$AI$5:$AI$64,MATCH($F994,사건마스터!$A$5:$A$64,0)),""))</f>
        <v/>
      </c>
      <c r="M994" s="136">
        <f>IF($F994="","",IFERROR(INDEX(사건마스터!$AJ$5:$AJ$64,MATCH($F994,사건마스터!$A$5:$A$64,0)),""))</f>
        <v/>
      </c>
      <c r="N994" s="136">
        <f>IF($F994="","",IFERROR(INDEX(사건마스터!$AK$5:$AK$64,MATCH($F994,사건마스터!$A$5:$A$64,0)),""))</f>
        <v/>
      </c>
      <c r="O994" s="136">
        <f>IF($F994="","",IFERROR(INDEX(사건마스터!$AL$5:$AL$64,MATCH($F994,사건마스터!$A$5:$A$64,0)),""))</f>
        <v/>
      </c>
      <c r="P994" s="136">
        <f>IF($F994="","",IFERROR(INDEX(사건마스터!$AM$5:$AM$64,MATCH($F994,사건마스터!$A$5:$A$64,0)),""))</f>
        <v/>
      </c>
      <c r="Q994" s="136">
        <f>IF($F994="","",IFERROR(INDEX(사건마스터!$AN$5:$AN$64,MATCH($F994,사건마스터!$A$5:$A$64,0)),""))</f>
        <v/>
      </c>
      <c r="R994" s="136">
        <f>IF($F994="","",IFERROR(INDEX(사건마스터!$AO$5:$AO$64,MATCH($F994,사건마스터!$A$5:$A$64,0)),""))</f>
        <v/>
      </c>
      <c r="S994" s="136">
        <f>IF($F994="","",IFERROR(INDEX(사건마스터!$AP$5:$AP$64,MATCH($F994,사건마스터!$A$5:$A$64,0)),""))</f>
        <v/>
      </c>
      <c r="T994" s="136">
        <f>IF($F994="","",IFERROR(INDEX(사건마스터!$AQ$5:$AQ$64,MATCH($F994,사건마스터!$A$5:$A$64,0)),""))</f>
        <v/>
      </c>
      <c r="U994" s="136">
        <f>IF($F994="","",IFERROR(INDEX(사건마스터!$AR$5:$AR$64,MATCH($F994,사건마스터!$A$5:$A$64,0)),""))</f>
        <v/>
      </c>
      <c r="V994" s="136">
        <f>IF($F994="","",IFERROR(INDEX(사건마스터!$AS$5:$AS$64,MATCH($F994,사건마스터!$A$5:$A$64,0)),""))</f>
        <v/>
      </c>
      <c r="W994" s="136">
        <f>IF($F994="","",IFERROR(INDEX(사건마스터!$AT$5:$AT$64,MATCH($F994,사건마스터!$A$5:$A$64,0)),""))</f>
        <v/>
      </c>
      <c r="X994" s="136">
        <f>IF($F994="","",IFERROR(INDEX(사건마스터!$AU$5:$AU$64,MATCH($F994,사건마스터!$A$5:$A$64,0)),""))</f>
        <v/>
      </c>
      <c r="Y994" s="136">
        <f>IF($F994="","",IFERROR(INDEX(사건마스터!$AV$5:$AV$64,MATCH($F994,사건마스터!$A$5:$A$64,0)),""))</f>
        <v/>
      </c>
      <c r="Z994" s="118">
        <f>IF(COUNTBLANK($J994:$Y994)=16,"",16-COUNTBLANK($J994:$Y994))</f>
        <v/>
      </c>
      <c r="AA994" s="33">
        <f>IF($J994="",MID($AX994,3,255),$J994&amp;$AX994)</f>
        <v/>
      </c>
      <c r="AB994" s="130">
        <f>IF($J994="","",IFERROR(INDEX(코드설정!$D$5:$D$24,MATCH($J994,코드설정!$C$5:$C$24,0)),""))</f>
        <v/>
      </c>
      <c r="AC994" s="36" t="n"/>
      <c r="AD994" s="37" t="n"/>
      <c r="AE994" s="38" t="n"/>
      <c r="AF994" s="118">
        <f>IF(OR($B994="",$C994=""),"",$C994-$B994+1)</f>
        <v/>
      </c>
      <c r="AG994" s="74" t="n"/>
      <c r="AH994" s="36" t="n"/>
      <c r="AJ994">
        <f>IF($K994="","",", "&amp;$K994)</f>
        <v/>
      </c>
      <c r="AK994">
        <f>AJ994&amp;IF($L994="","",", "&amp;$L994)</f>
        <v/>
      </c>
      <c r="AL994">
        <f>AK994&amp;IF($M994="","",", "&amp;$M994)</f>
        <v/>
      </c>
      <c r="AM994">
        <f>AL994&amp;IF($N994="","",", "&amp;$N994)</f>
        <v/>
      </c>
      <c r="AN994">
        <f>AM994&amp;IF($O994="","",", "&amp;$O994)</f>
        <v/>
      </c>
      <c r="AO994">
        <f>AN994&amp;IF($P994="","",", "&amp;$P994)</f>
        <v/>
      </c>
      <c r="AP994">
        <f>AO994&amp;IF($Q994="","",", "&amp;$Q994)</f>
        <v/>
      </c>
      <c r="AQ994">
        <f>AP994&amp;IF($R994="","",", "&amp;$R994)</f>
        <v/>
      </c>
      <c r="AR994">
        <f>AQ994&amp;IF($S994="","",", "&amp;$S994)</f>
        <v/>
      </c>
      <c r="AS994">
        <f>AR994&amp;IF($T994="","",", "&amp;$T994)</f>
        <v/>
      </c>
      <c r="AT994">
        <f>AS994&amp;IF($U994="","",", "&amp;$U994)</f>
        <v/>
      </c>
      <c r="AU994">
        <f>AT994&amp;IF($V994="","",", "&amp;$V994)</f>
        <v/>
      </c>
      <c r="AV994">
        <f>AU994&amp;IF($W994="","",", "&amp;$W994)</f>
        <v/>
      </c>
      <c r="AW994">
        <f>AV994&amp;IF($X994="","",", "&amp;$X994)</f>
        <v/>
      </c>
      <c r="AX994">
        <f>AW994&amp;IF($Y994="","",", "&amp;$Y994)</f>
        <v/>
      </c>
    </row>
    <row r="995">
      <c r="A995" s="118">
        <f>IF($B995="","",COUNT($B$5:$B995))</f>
        <v/>
      </c>
      <c r="B995" s="80" t="n"/>
      <c r="C995" s="80" t="n"/>
      <c r="D995" s="74" t="n"/>
      <c r="E995" s="74" t="n"/>
      <c r="F995" s="74" t="n"/>
      <c r="G995" s="118">
        <f>IF($F995="","",COUNTIF($F$5:$F995,$F995))</f>
        <v/>
      </c>
      <c r="H995" s="33">
        <f>IF($F995="","",IFERROR(INDEX(사건마스터!$B$5:$B$64,MATCH($F995,사건마스터!$A$5:$A$64,0)),""))</f>
        <v/>
      </c>
      <c r="I995" s="130">
        <f>IF($F995="","",IFERROR(INDEX(사건마스터!$C$5:$C$64,MATCH($F995,사건마스터!$A$5:$A$64,0)),""))</f>
        <v/>
      </c>
      <c r="J995" s="136">
        <f>IF($F995="","",IFERROR(INDEX(사건마스터!$H$5:$H$64,MATCH($F995,사건마스터!$A$5:$A$64,0)),""))</f>
        <v/>
      </c>
      <c r="K995" s="136">
        <f>IF($F995="","",IFERROR(INDEX(사건마스터!$AH$5:$AH$64,MATCH($F995,사건마스터!$A$5:$A$64,0)),""))</f>
        <v/>
      </c>
      <c r="L995" s="136">
        <f>IF($F995="","",IFERROR(INDEX(사건마스터!$AI$5:$AI$64,MATCH($F995,사건마스터!$A$5:$A$64,0)),""))</f>
        <v/>
      </c>
      <c r="M995" s="136">
        <f>IF($F995="","",IFERROR(INDEX(사건마스터!$AJ$5:$AJ$64,MATCH($F995,사건마스터!$A$5:$A$64,0)),""))</f>
        <v/>
      </c>
      <c r="N995" s="136">
        <f>IF($F995="","",IFERROR(INDEX(사건마스터!$AK$5:$AK$64,MATCH($F995,사건마스터!$A$5:$A$64,0)),""))</f>
        <v/>
      </c>
      <c r="O995" s="136">
        <f>IF($F995="","",IFERROR(INDEX(사건마스터!$AL$5:$AL$64,MATCH($F995,사건마스터!$A$5:$A$64,0)),""))</f>
        <v/>
      </c>
      <c r="P995" s="136">
        <f>IF($F995="","",IFERROR(INDEX(사건마스터!$AM$5:$AM$64,MATCH($F995,사건마스터!$A$5:$A$64,0)),""))</f>
        <v/>
      </c>
      <c r="Q995" s="136">
        <f>IF($F995="","",IFERROR(INDEX(사건마스터!$AN$5:$AN$64,MATCH($F995,사건마스터!$A$5:$A$64,0)),""))</f>
        <v/>
      </c>
      <c r="R995" s="136">
        <f>IF($F995="","",IFERROR(INDEX(사건마스터!$AO$5:$AO$64,MATCH($F995,사건마스터!$A$5:$A$64,0)),""))</f>
        <v/>
      </c>
      <c r="S995" s="136">
        <f>IF($F995="","",IFERROR(INDEX(사건마스터!$AP$5:$AP$64,MATCH($F995,사건마스터!$A$5:$A$64,0)),""))</f>
        <v/>
      </c>
      <c r="T995" s="136">
        <f>IF($F995="","",IFERROR(INDEX(사건마스터!$AQ$5:$AQ$64,MATCH($F995,사건마스터!$A$5:$A$64,0)),""))</f>
        <v/>
      </c>
      <c r="U995" s="136">
        <f>IF($F995="","",IFERROR(INDEX(사건마스터!$AR$5:$AR$64,MATCH($F995,사건마스터!$A$5:$A$64,0)),""))</f>
        <v/>
      </c>
      <c r="V995" s="136">
        <f>IF($F995="","",IFERROR(INDEX(사건마스터!$AS$5:$AS$64,MATCH($F995,사건마스터!$A$5:$A$64,0)),""))</f>
        <v/>
      </c>
      <c r="W995" s="136">
        <f>IF($F995="","",IFERROR(INDEX(사건마스터!$AT$5:$AT$64,MATCH($F995,사건마스터!$A$5:$A$64,0)),""))</f>
        <v/>
      </c>
      <c r="X995" s="136">
        <f>IF($F995="","",IFERROR(INDEX(사건마스터!$AU$5:$AU$64,MATCH($F995,사건마스터!$A$5:$A$64,0)),""))</f>
        <v/>
      </c>
      <c r="Y995" s="136">
        <f>IF($F995="","",IFERROR(INDEX(사건마스터!$AV$5:$AV$64,MATCH($F995,사건마스터!$A$5:$A$64,0)),""))</f>
        <v/>
      </c>
      <c r="Z995" s="118">
        <f>IF(COUNTBLANK($J995:$Y995)=16,"",16-COUNTBLANK($J995:$Y995))</f>
        <v/>
      </c>
      <c r="AA995" s="33">
        <f>IF($J995="",MID($AX995,3,255),$J995&amp;$AX995)</f>
        <v/>
      </c>
      <c r="AB995" s="130">
        <f>IF($J995="","",IFERROR(INDEX(코드설정!$D$5:$D$24,MATCH($J995,코드설정!$C$5:$C$24,0)),""))</f>
        <v/>
      </c>
      <c r="AC995" s="36" t="n"/>
      <c r="AD995" s="37" t="n"/>
      <c r="AE995" s="38" t="n"/>
      <c r="AF995" s="118">
        <f>IF(OR($B995="",$C995=""),"",$C995-$B995+1)</f>
        <v/>
      </c>
      <c r="AG995" s="74" t="n"/>
      <c r="AH995" s="36" t="n"/>
      <c r="AJ995">
        <f>IF($K995="","",", "&amp;$K995)</f>
        <v/>
      </c>
      <c r="AK995">
        <f>AJ995&amp;IF($L995="","",", "&amp;$L995)</f>
        <v/>
      </c>
      <c r="AL995">
        <f>AK995&amp;IF($M995="","",", "&amp;$M995)</f>
        <v/>
      </c>
      <c r="AM995">
        <f>AL995&amp;IF($N995="","",", "&amp;$N995)</f>
        <v/>
      </c>
      <c r="AN995">
        <f>AM995&amp;IF($O995="","",", "&amp;$O995)</f>
        <v/>
      </c>
      <c r="AO995">
        <f>AN995&amp;IF($P995="","",", "&amp;$P995)</f>
        <v/>
      </c>
      <c r="AP995">
        <f>AO995&amp;IF($Q995="","",", "&amp;$Q995)</f>
        <v/>
      </c>
      <c r="AQ995">
        <f>AP995&amp;IF($R995="","",", "&amp;$R995)</f>
        <v/>
      </c>
      <c r="AR995">
        <f>AQ995&amp;IF($S995="","",", "&amp;$S995)</f>
        <v/>
      </c>
      <c r="AS995">
        <f>AR995&amp;IF($T995="","",", "&amp;$T995)</f>
        <v/>
      </c>
      <c r="AT995">
        <f>AS995&amp;IF($U995="","",", "&amp;$U995)</f>
        <v/>
      </c>
      <c r="AU995">
        <f>AT995&amp;IF($V995="","",", "&amp;$V995)</f>
        <v/>
      </c>
      <c r="AV995">
        <f>AU995&amp;IF($W995="","",", "&amp;$W995)</f>
        <v/>
      </c>
      <c r="AW995">
        <f>AV995&amp;IF($X995="","",", "&amp;$X995)</f>
        <v/>
      </c>
      <c r="AX995">
        <f>AW995&amp;IF($Y995="","",", "&amp;$Y995)</f>
        <v/>
      </c>
    </row>
    <row r="996">
      <c r="A996" s="118">
        <f>IF($B996="","",COUNT($B$5:$B996))</f>
        <v/>
      </c>
      <c r="B996" s="80" t="n"/>
      <c r="C996" s="80" t="n"/>
      <c r="D996" s="74" t="n"/>
      <c r="E996" s="74" t="n"/>
      <c r="F996" s="74" t="n"/>
      <c r="G996" s="118">
        <f>IF($F996="","",COUNTIF($F$5:$F996,$F996))</f>
        <v/>
      </c>
      <c r="H996" s="33">
        <f>IF($F996="","",IFERROR(INDEX(사건마스터!$B$5:$B$64,MATCH($F996,사건마스터!$A$5:$A$64,0)),""))</f>
        <v/>
      </c>
      <c r="I996" s="130">
        <f>IF($F996="","",IFERROR(INDEX(사건마스터!$C$5:$C$64,MATCH($F996,사건마스터!$A$5:$A$64,0)),""))</f>
        <v/>
      </c>
      <c r="J996" s="136">
        <f>IF($F996="","",IFERROR(INDEX(사건마스터!$H$5:$H$64,MATCH($F996,사건마스터!$A$5:$A$64,0)),""))</f>
        <v/>
      </c>
      <c r="K996" s="136">
        <f>IF($F996="","",IFERROR(INDEX(사건마스터!$AH$5:$AH$64,MATCH($F996,사건마스터!$A$5:$A$64,0)),""))</f>
        <v/>
      </c>
      <c r="L996" s="136">
        <f>IF($F996="","",IFERROR(INDEX(사건마스터!$AI$5:$AI$64,MATCH($F996,사건마스터!$A$5:$A$64,0)),""))</f>
        <v/>
      </c>
      <c r="M996" s="136">
        <f>IF($F996="","",IFERROR(INDEX(사건마스터!$AJ$5:$AJ$64,MATCH($F996,사건마스터!$A$5:$A$64,0)),""))</f>
        <v/>
      </c>
      <c r="N996" s="136">
        <f>IF($F996="","",IFERROR(INDEX(사건마스터!$AK$5:$AK$64,MATCH($F996,사건마스터!$A$5:$A$64,0)),""))</f>
        <v/>
      </c>
      <c r="O996" s="136">
        <f>IF($F996="","",IFERROR(INDEX(사건마스터!$AL$5:$AL$64,MATCH($F996,사건마스터!$A$5:$A$64,0)),""))</f>
        <v/>
      </c>
      <c r="P996" s="136">
        <f>IF($F996="","",IFERROR(INDEX(사건마스터!$AM$5:$AM$64,MATCH($F996,사건마스터!$A$5:$A$64,0)),""))</f>
        <v/>
      </c>
      <c r="Q996" s="136">
        <f>IF($F996="","",IFERROR(INDEX(사건마스터!$AN$5:$AN$64,MATCH($F996,사건마스터!$A$5:$A$64,0)),""))</f>
        <v/>
      </c>
      <c r="R996" s="136">
        <f>IF($F996="","",IFERROR(INDEX(사건마스터!$AO$5:$AO$64,MATCH($F996,사건마스터!$A$5:$A$64,0)),""))</f>
        <v/>
      </c>
      <c r="S996" s="136">
        <f>IF($F996="","",IFERROR(INDEX(사건마스터!$AP$5:$AP$64,MATCH($F996,사건마스터!$A$5:$A$64,0)),""))</f>
        <v/>
      </c>
      <c r="T996" s="136">
        <f>IF($F996="","",IFERROR(INDEX(사건마스터!$AQ$5:$AQ$64,MATCH($F996,사건마스터!$A$5:$A$64,0)),""))</f>
        <v/>
      </c>
      <c r="U996" s="136">
        <f>IF($F996="","",IFERROR(INDEX(사건마스터!$AR$5:$AR$64,MATCH($F996,사건마스터!$A$5:$A$64,0)),""))</f>
        <v/>
      </c>
      <c r="V996" s="136">
        <f>IF($F996="","",IFERROR(INDEX(사건마스터!$AS$5:$AS$64,MATCH($F996,사건마스터!$A$5:$A$64,0)),""))</f>
        <v/>
      </c>
      <c r="W996" s="136">
        <f>IF($F996="","",IFERROR(INDEX(사건마스터!$AT$5:$AT$64,MATCH($F996,사건마스터!$A$5:$A$64,0)),""))</f>
        <v/>
      </c>
      <c r="X996" s="136">
        <f>IF($F996="","",IFERROR(INDEX(사건마스터!$AU$5:$AU$64,MATCH($F996,사건마스터!$A$5:$A$64,0)),""))</f>
        <v/>
      </c>
      <c r="Y996" s="136">
        <f>IF($F996="","",IFERROR(INDEX(사건마스터!$AV$5:$AV$64,MATCH($F996,사건마스터!$A$5:$A$64,0)),""))</f>
        <v/>
      </c>
      <c r="Z996" s="118">
        <f>IF(COUNTBLANK($J996:$Y996)=16,"",16-COUNTBLANK($J996:$Y996))</f>
        <v/>
      </c>
      <c r="AA996" s="33">
        <f>IF($J996="",MID($AX996,3,255),$J996&amp;$AX996)</f>
        <v/>
      </c>
      <c r="AB996" s="130">
        <f>IF($J996="","",IFERROR(INDEX(코드설정!$D$5:$D$24,MATCH($J996,코드설정!$C$5:$C$24,0)),""))</f>
        <v/>
      </c>
      <c r="AC996" s="36" t="n"/>
      <c r="AD996" s="37" t="n"/>
      <c r="AE996" s="38" t="n"/>
      <c r="AF996" s="118">
        <f>IF(OR($B996="",$C996=""),"",$C996-$B996+1)</f>
        <v/>
      </c>
      <c r="AG996" s="74" t="n"/>
      <c r="AH996" s="36" t="n"/>
      <c r="AJ996">
        <f>IF($K996="","",", "&amp;$K996)</f>
        <v/>
      </c>
      <c r="AK996">
        <f>AJ996&amp;IF($L996="","",", "&amp;$L996)</f>
        <v/>
      </c>
      <c r="AL996">
        <f>AK996&amp;IF($M996="","",", "&amp;$M996)</f>
        <v/>
      </c>
      <c r="AM996">
        <f>AL996&amp;IF($N996="","",", "&amp;$N996)</f>
        <v/>
      </c>
      <c r="AN996">
        <f>AM996&amp;IF($O996="","",", "&amp;$O996)</f>
        <v/>
      </c>
      <c r="AO996">
        <f>AN996&amp;IF($P996="","",", "&amp;$P996)</f>
        <v/>
      </c>
      <c r="AP996">
        <f>AO996&amp;IF($Q996="","",", "&amp;$Q996)</f>
        <v/>
      </c>
      <c r="AQ996">
        <f>AP996&amp;IF($R996="","",", "&amp;$R996)</f>
        <v/>
      </c>
      <c r="AR996">
        <f>AQ996&amp;IF($S996="","",", "&amp;$S996)</f>
        <v/>
      </c>
      <c r="AS996">
        <f>AR996&amp;IF($T996="","",", "&amp;$T996)</f>
        <v/>
      </c>
      <c r="AT996">
        <f>AS996&amp;IF($U996="","",", "&amp;$U996)</f>
        <v/>
      </c>
      <c r="AU996">
        <f>AT996&amp;IF($V996="","",", "&amp;$V996)</f>
        <v/>
      </c>
      <c r="AV996">
        <f>AU996&amp;IF($W996="","",", "&amp;$W996)</f>
        <v/>
      </c>
      <c r="AW996">
        <f>AV996&amp;IF($X996="","",", "&amp;$X996)</f>
        <v/>
      </c>
      <c r="AX996">
        <f>AW996&amp;IF($Y996="","",", "&amp;$Y996)</f>
        <v/>
      </c>
    </row>
    <row r="997">
      <c r="A997" s="118">
        <f>IF($B997="","",COUNT($B$5:$B997))</f>
        <v/>
      </c>
      <c r="B997" s="80" t="n"/>
      <c r="C997" s="80" t="n"/>
      <c r="D997" s="74" t="n"/>
      <c r="E997" s="74" t="n"/>
      <c r="F997" s="74" t="n"/>
      <c r="G997" s="118">
        <f>IF($F997="","",COUNTIF($F$5:$F997,$F997))</f>
        <v/>
      </c>
      <c r="H997" s="33">
        <f>IF($F997="","",IFERROR(INDEX(사건마스터!$B$5:$B$64,MATCH($F997,사건마스터!$A$5:$A$64,0)),""))</f>
        <v/>
      </c>
      <c r="I997" s="130">
        <f>IF($F997="","",IFERROR(INDEX(사건마스터!$C$5:$C$64,MATCH($F997,사건마스터!$A$5:$A$64,0)),""))</f>
        <v/>
      </c>
      <c r="J997" s="136">
        <f>IF($F997="","",IFERROR(INDEX(사건마스터!$H$5:$H$64,MATCH($F997,사건마스터!$A$5:$A$64,0)),""))</f>
        <v/>
      </c>
      <c r="K997" s="136">
        <f>IF($F997="","",IFERROR(INDEX(사건마스터!$AH$5:$AH$64,MATCH($F997,사건마스터!$A$5:$A$64,0)),""))</f>
        <v/>
      </c>
      <c r="L997" s="136">
        <f>IF($F997="","",IFERROR(INDEX(사건마스터!$AI$5:$AI$64,MATCH($F997,사건마스터!$A$5:$A$64,0)),""))</f>
        <v/>
      </c>
      <c r="M997" s="136">
        <f>IF($F997="","",IFERROR(INDEX(사건마스터!$AJ$5:$AJ$64,MATCH($F997,사건마스터!$A$5:$A$64,0)),""))</f>
        <v/>
      </c>
      <c r="N997" s="136">
        <f>IF($F997="","",IFERROR(INDEX(사건마스터!$AK$5:$AK$64,MATCH($F997,사건마스터!$A$5:$A$64,0)),""))</f>
        <v/>
      </c>
      <c r="O997" s="136">
        <f>IF($F997="","",IFERROR(INDEX(사건마스터!$AL$5:$AL$64,MATCH($F997,사건마스터!$A$5:$A$64,0)),""))</f>
        <v/>
      </c>
      <c r="P997" s="136">
        <f>IF($F997="","",IFERROR(INDEX(사건마스터!$AM$5:$AM$64,MATCH($F997,사건마스터!$A$5:$A$64,0)),""))</f>
        <v/>
      </c>
      <c r="Q997" s="136">
        <f>IF($F997="","",IFERROR(INDEX(사건마스터!$AN$5:$AN$64,MATCH($F997,사건마스터!$A$5:$A$64,0)),""))</f>
        <v/>
      </c>
      <c r="R997" s="136">
        <f>IF($F997="","",IFERROR(INDEX(사건마스터!$AO$5:$AO$64,MATCH($F997,사건마스터!$A$5:$A$64,0)),""))</f>
        <v/>
      </c>
      <c r="S997" s="136">
        <f>IF($F997="","",IFERROR(INDEX(사건마스터!$AP$5:$AP$64,MATCH($F997,사건마스터!$A$5:$A$64,0)),""))</f>
        <v/>
      </c>
      <c r="T997" s="136">
        <f>IF($F997="","",IFERROR(INDEX(사건마스터!$AQ$5:$AQ$64,MATCH($F997,사건마스터!$A$5:$A$64,0)),""))</f>
        <v/>
      </c>
      <c r="U997" s="136">
        <f>IF($F997="","",IFERROR(INDEX(사건마스터!$AR$5:$AR$64,MATCH($F997,사건마스터!$A$5:$A$64,0)),""))</f>
        <v/>
      </c>
      <c r="V997" s="136">
        <f>IF($F997="","",IFERROR(INDEX(사건마스터!$AS$5:$AS$64,MATCH($F997,사건마스터!$A$5:$A$64,0)),""))</f>
        <v/>
      </c>
      <c r="W997" s="136">
        <f>IF($F997="","",IFERROR(INDEX(사건마스터!$AT$5:$AT$64,MATCH($F997,사건마스터!$A$5:$A$64,0)),""))</f>
        <v/>
      </c>
      <c r="X997" s="136">
        <f>IF($F997="","",IFERROR(INDEX(사건마스터!$AU$5:$AU$64,MATCH($F997,사건마스터!$A$5:$A$64,0)),""))</f>
        <v/>
      </c>
      <c r="Y997" s="136">
        <f>IF($F997="","",IFERROR(INDEX(사건마스터!$AV$5:$AV$64,MATCH($F997,사건마스터!$A$5:$A$64,0)),""))</f>
        <v/>
      </c>
      <c r="Z997" s="118">
        <f>IF(COUNTBLANK($J997:$Y997)=16,"",16-COUNTBLANK($J997:$Y997))</f>
        <v/>
      </c>
      <c r="AA997" s="33">
        <f>IF($J997="",MID($AX997,3,255),$J997&amp;$AX997)</f>
        <v/>
      </c>
      <c r="AB997" s="130">
        <f>IF($J997="","",IFERROR(INDEX(코드설정!$D$5:$D$24,MATCH($J997,코드설정!$C$5:$C$24,0)),""))</f>
        <v/>
      </c>
      <c r="AC997" s="36" t="n"/>
      <c r="AD997" s="37" t="n"/>
      <c r="AE997" s="38" t="n"/>
      <c r="AF997" s="118">
        <f>IF(OR($B997="",$C997=""),"",$C997-$B997+1)</f>
        <v/>
      </c>
      <c r="AG997" s="74" t="n"/>
      <c r="AH997" s="36" t="n"/>
      <c r="AJ997">
        <f>IF($K997="","",", "&amp;$K997)</f>
        <v/>
      </c>
      <c r="AK997">
        <f>AJ997&amp;IF($L997="","",", "&amp;$L997)</f>
        <v/>
      </c>
      <c r="AL997">
        <f>AK997&amp;IF($M997="","",", "&amp;$M997)</f>
        <v/>
      </c>
      <c r="AM997">
        <f>AL997&amp;IF($N997="","",", "&amp;$N997)</f>
        <v/>
      </c>
      <c r="AN997">
        <f>AM997&amp;IF($O997="","",", "&amp;$O997)</f>
        <v/>
      </c>
      <c r="AO997">
        <f>AN997&amp;IF($P997="","",", "&amp;$P997)</f>
        <v/>
      </c>
      <c r="AP997">
        <f>AO997&amp;IF($Q997="","",", "&amp;$Q997)</f>
        <v/>
      </c>
      <c r="AQ997">
        <f>AP997&amp;IF($R997="","",", "&amp;$R997)</f>
        <v/>
      </c>
      <c r="AR997">
        <f>AQ997&amp;IF($S997="","",", "&amp;$S997)</f>
        <v/>
      </c>
      <c r="AS997">
        <f>AR997&amp;IF($T997="","",", "&amp;$T997)</f>
        <v/>
      </c>
      <c r="AT997">
        <f>AS997&amp;IF($U997="","",", "&amp;$U997)</f>
        <v/>
      </c>
      <c r="AU997">
        <f>AT997&amp;IF($V997="","",", "&amp;$V997)</f>
        <v/>
      </c>
      <c r="AV997">
        <f>AU997&amp;IF($W997="","",", "&amp;$W997)</f>
        <v/>
      </c>
      <c r="AW997">
        <f>AV997&amp;IF($X997="","",", "&amp;$X997)</f>
        <v/>
      </c>
      <c r="AX997">
        <f>AW997&amp;IF($Y997="","",", "&amp;$Y997)</f>
        <v/>
      </c>
    </row>
    <row r="998">
      <c r="A998" s="118">
        <f>IF($B998="","",COUNT($B$5:$B998))</f>
        <v/>
      </c>
      <c r="B998" s="80" t="n"/>
      <c r="C998" s="80" t="n"/>
      <c r="D998" s="74" t="n"/>
      <c r="E998" s="74" t="n"/>
      <c r="F998" s="74" t="n"/>
      <c r="G998" s="118">
        <f>IF($F998="","",COUNTIF($F$5:$F998,$F998))</f>
        <v/>
      </c>
      <c r="H998" s="33">
        <f>IF($F998="","",IFERROR(INDEX(사건마스터!$B$5:$B$64,MATCH($F998,사건마스터!$A$5:$A$64,0)),""))</f>
        <v/>
      </c>
      <c r="I998" s="130">
        <f>IF($F998="","",IFERROR(INDEX(사건마스터!$C$5:$C$64,MATCH($F998,사건마스터!$A$5:$A$64,0)),""))</f>
        <v/>
      </c>
      <c r="J998" s="136">
        <f>IF($F998="","",IFERROR(INDEX(사건마스터!$H$5:$H$64,MATCH($F998,사건마스터!$A$5:$A$64,0)),""))</f>
        <v/>
      </c>
      <c r="K998" s="136">
        <f>IF($F998="","",IFERROR(INDEX(사건마스터!$AH$5:$AH$64,MATCH($F998,사건마스터!$A$5:$A$64,0)),""))</f>
        <v/>
      </c>
      <c r="L998" s="136">
        <f>IF($F998="","",IFERROR(INDEX(사건마스터!$AI$5:$AI$64,MATCH($F998,사건마스터!$A$5:$A$64,0)),""))</f>
        <v/>
      </c>
      <c r="M998" s="136">
        <f>IF($F998="","",IFERROR(INDEX(사건마스터!$AJ$5:$AJ$64,MATCH($F998,사건마스터!$A$5:$A$64,0)),""))</f>
        <v/>
      </c>
      <c r="N998" s="136">
        <f>IF($F998="","",IFERROR(INDEX(사건마스터!$AK$5:$AK$64,MATCH($F998,사건마스터!$A$5:$A$64,0)),""))</f>
        <v/>
      </c>
      <c r="O998" s="136">
        <f>IF($F998="","",IFERROR(INDEX(사건마스터!$AL$5:$AL$64,MATCH($F998,사건마스터!$A$5:$A$64,0)),""))</f>
        <v/>
      </c>
      <c r="P998" s="136">
        <f>IF($F998="","",IFERROR(INDEX(사건마스터!$AM$5:$AM$64,MATCH($F998,사건마스터!$A$5:$A$64,0)),""))</f>
        <v/>
      </c>
      <c r="Q998" s="136">
        <f>IF($F998="","",IFERROR(INDEX(사건마스터!$AN$5:$AN$64,MATCH($F998,사건마스터!$A$5:$A$64,0)),""))</f>
        <v/>
      </c>
      <c r="R998" s="136">
        <f>IF($F998="","",IFERROR(INDEX(사건마스터!$AO$5:$AO$64,MATCH($F998,사건마스터!$A$5:$A$64,0)),""))</f>
        <v/>
      </c>
      <c r="S998" s="136">
        <f>IF($F998="","",IFERROR(INDEX(사건마스터!$AP$5:$AP$64,MATCH($F998,사건마스터!$A$5:$A$64,0)),""))</f>
        <v/>
      </c>
      <c r="T998" s="136">
        <f>IF($F998="","",IFERROR(INDEX(사건마스터!$AQ$5:$AQ$64,MATCH($F998,사건마스터!$A$5:$A$64,0)),""))</f>
        <v/>
      </c>
      <c r="U998" s="136">
        <f>IF($F998="","",IFERROR(INDEX(사건마스터!$AR$5:$AR$64,MATCH($F998,사건마스터!$A$5:$A$64,0)),""))</f>
        <v/>
      </c>
      <c r="V998" s="136">
        <f>IF($F998="","",IFERROR(INDEX(사건마스터!$AS$5:$AS$64,MATCH($F998,사건마스터!$A$5:$A$64,0)),""))</f>
        <v/>
      </c>
      <c r="W998" s="136">
        <f>IF($F998="","",IFERROR(INDEX(사건마스터!$AT$5:$AT$64,MATCH($F998,사건마스터!$A$5:$A$64,0)),""))</f>
        <v/>
      </c>
      <c r="X998" s="136">
        <f>IF($F998="","",IFERROR(INDEX(사건마스터!$AU$5:$AU$64,MATCH($F998,사건마스터!$A$5:$A$64,0)),""))</f>
        <v/>
      </c>
      <c r="Y998" s="136">
        <f>IF($F998="","",IFERROR(INDEX(사건마스터!$AV$5:$AV$64,MATCH($F998,사건마스터!$A$5:$A$64,0)),""))</f>
        <v/>
      </c>
      <c r="Z998" s="118">
        <f>IF(COUNTBLANK($J998:$Y998)=16,"",16-COUNTBLANK($J998:$Y998))</f>
        <v/>
      </c>
      <c r="AA998" s="33">
        <f>IF($J998="",MID($AX998,3,255),$J998&amp;$AX998)</f>
        <v/>
      </c>
      <c r="AB998" s="130">
        <f>IF($J998="","",IFERROR(INDEX(코드설정!$D$5:$D$24,MATCH($J998,코드설정!$C$5:$C$24,0)),""))</f>
        <v/>
      </c>
      <c r="AC998" s="36" t="n"/>
      <c r="AD998" s="37" t="n"/>
      <c r="AE998" s="38" t="n"/>
      <c r="AF998" s="118">
        <f>IF(OR($B998="",$C998=""),"",$C998-$B998+1)</f>
        <v/>
      </c>
      <c r="AG998" s="74" t="n"/>
      <c r="AH998" s="36" t="n"/>
      <c r="AJ998">
        <f>IF($K998="","",", "&amp;$K998)</f>
        <v/>
      </c>
      <c r="AK998">
        <f>AJ998&amp;IF($L998="","",", "&amp;$L998)</f>
        <v/>
      </c>
      <c r="AL998">
        <f>AK998&amp;IF($M998="","",", "&amp;$M998)</f>
        <v/>
      </c>
      <c r="AM998">
        <f>AL998&amp;IF($N998="","",", "&amp;$N998)</f>
        <v/>
      </c>
      <c r="AN998">
        <f>AM998&amp;IF($O998="","",", "&amp;$O998)</f>
        <v/>
      </c>
      <c r="AO998">
        <f>AN998&amp;IF($P998="","",", "&amp;$P998)</f>
        <v/>
      </c>
      <c r="AP998">
        <f>AO998&amp;IF($Q998="","",", "&amp;$Q998)</f>
        <v/>
      </c>
      <c r="AQ998">
        <f>AP998&amp;IF($R998="","",", "&amp;$R998)</f>
        <v/>
      </c>
      <c r="AR998">
        <f>AQ998&amp;IF($S998="","",", "&amp;$S998)</f>
        <v/>
      </c>
      <c r="AS998">
        <f>AR998&amp;IF($T998="","",", "&amp;$T998)</f>
        <v/>
      </c>
      <c r="AT998">
        <f>AS998&amp;IF($U998="","",", "&amp;$U998)</f>
        <v/>
      </c>
      <c r="AU998">
        <f>AT998&amp;IF($V998="","",", "&amp;$V998)</f>
        <v/>
      </c>
      <c r="AV998">
        <f>AU998&amp;IF($W998="","",", "&amp;$W998)</f>
        <v/>
      </c>
      <c r="AW998">
        <f>AV998&amp;IF($X998="","",", "&amp;$X998)</f>
        <v/>
      </c>
      <c r="AX998">
        <f>AW998&amp;IF($Y998="","",", "&amp;$Y998)</f>
        <v/>
      </c>
    </row>
    <row r="999">
      <c r="A999" s="118">
        <f>IF($B999="","",COUNT($B$5:$B999))</f>
        <v/>
      </c>
      <c r="B999" s="80" t="n"/>
      <c r="C999" s="80" t="n"/>
      <c r="D999" s="74" t="n"/>
      <c r="E999" s="74" t="n"/>
      <c r="F999" s="74" t="n"/>
      <c r="G999" s="118">
        <f>IF($F999="","",COUNTIF($F$5:$F999,$F999))</f>
        <v/>
      </c>
      <c r="H999" s="33">
        <f>IF($F999="","",IFERROR(INDEX(사건마스터!$B$5:$B$64,MATCH($F999,사건마스터!$A$5:$A$64,0)),""))</f>
        <v/>
      </c>
      <c r="I999" s="130">
        <f>IF($F999="","",IFERROR(INDEX(사건마스터!$C$5:$C$64,MATCH($F999,사건마스터!$A$5:$A$64,0)),""))</f>
        <v/>
      </c>
      <c r="J999" s="136">
        <f>IF($F999="","",IFERROR(INDEX(사건마스터!$H$5:$H$64,MATCH($F999,사건마스터!$A$5:$A$64,0)),""))</f>
        <v/>
      </c>
      <c r="K999" s="136">
        <f>IF($F999="","",IFERROR(INDEX(사건마스터!$AH$5:$AH$64,MATCH($F999,사건마스터!$A$5:$A$64,0)),""))</f>
        <v/>
      </c>
      <c r="L999" s="136">
        <f>IF($F999="","",IFERROR(INDEX(사건마스터!$AI$5:$AI$64,MATCH($F999,사건마스터!$A$5:$A$64,0)),""))</f>
        <v/>
      </c>
      <c r="M999" s="136">
        <f>IF($F999="","",IFERROR(INDEX(사건마스터!$AJ$5:$AJ$64,MATCH($F999,사건마스터!$A$5:$A$64,0)),""))</f>
        <v/>
      </c>
      <c r="N999" s="136">
        <f>IF($F999="","",IFERROR(INDEX(사건마스터!$AK$5:$AK$64,MATCH($F999,사건마스터!$A$5:$A$64,0)),""))</f>
        <v/>
      </c>
      <c r="O999" s="136">
        <f>IF($F999="","",IFERROR(INDEX(사건마스터!$AL$5:$AL$64,MATCH($F999,사건마스터!$A$5:$A$64,0)),""))</f>
        <v/>
      </c>
      <c r="P999" s="136">
        <f>IF($F999="","",IFERROR(INDEX(사건마스터!$AM$5:$AM$64,MATCH($F999,사건마스터!$A$5:$A$64,0)),""))</f>
        <v/>
      </c>
      <c r="Q999" s="136">
        <f>IF($F999="","",IFERROR(INDEX(사건마스터!$AN$5:$AN$64,MATCH($F999,사건마스터!$A$5:$A$64,0)),""))</f>
        <v/>
      </c>
      <c r="R999" s="136">
        <f>IF($F999="","",IFERROR(INDEX(사건마스터!$AO$5:$AO$64,MATCH($F999,사건마스터!$A$5:$A$64,0)),""))</f>
        <v/>
      </c>
      <c r="S999" s="136">
        <f>IF($F999="","",IFERROR(INDEX(사건마스터!$AP$5:$AP$64,MATCH($F999,사건마스터!$A$5:$A$64,0)),""))</f>
        <v/>
      </c>
      <c r="T999" s="136">
        <f>IF($F999="","",IFERROR(INDEX(사건마스터!$AQ$5:$AQ$64,MATCH($F999,사건마스터!$A$5:$A$64,0)),""))</f>
        <v/>
      </c>
      <c r="U999" s="136">
        <f>IF($F999="","",IFERROR(INDEX(사건마스터!$AR$5:$AR$64,MATCH($F999,사건마스터!$A$5:$A$64,0)),""))</f>
        <v/>
      </c>
      <c r="V999" s="136">
        <f>IF($F999="","",IFERROR(INDEX(사건마스터!$AS$5:$AS$64,MATCH($F999,사건마스터!$A$5:$A$64,0)),""))</f>
        <v/>
      </c>
      <c r="W999" s="136">
        <f>IF($F999="","",IFERROR(INDEX(사건마스터!$AT$5:$AT$64,MATCH($F999,사건마스터!$A$5:$A$64,0)),""))</f>
        <v/>
      </c>
      <c r="X999" s="136">
        <f>IF($F999="","",IFERROR(INDEX(사건마스터!$AU$5:$AU$64,MATCH($F999,사건마스터!$A$5:$A$64,0)),""))</f>
        <v/>
      </c>
      <c r="Y999" s="136">
        <f>IF($F999="","",IFERROR(INDEX(사건마스터!$AV$5:$AV$64,MATCH($F999,사건마스터!$A$5:$A$64,0)),""))</f>
        <v/>
      </c>
      <c r="Z999" s="118">
        <f>IF(COUNTBLANK($J999:$Y999)=16,"",16-COUNTBLANK($J999:$Y999))</f>
        <v/>
      </c>
      <c r="AA999" s="33">
        <f>IF($J999="",MID($AX999,3,255),$J999&amp;$AX999)</f>
        <v/>
      </c>
      <c r="AB999" s="130">
        <f>IF($J999="","",IFERROR(INDEX(코드설정!$D$5:$D$24,MATCH($J999,코드설정!$C$5:$C$24,0)),""))</f>
        <v/>
      </c>
      <c r="AC999" s="36" t="n"/>
      <c r="AD999" s="37" t="n"/>
      <c r="AE999" s="38" t="n"/>
      <c r="AF999" s="118">
        <f>IF(OR($B999="",$C999=""),"",$C999-$B999+1)</f>
        <v/>
      </c>
      <c r="AG999" s="74" t="n"/>
      <c r="AH999" s="36" t="n"/>
      <c r="AJ999">
        <f>IF($K999="","",", "&amp;$K999)</f>
        <v/>
      </c>
      <c r="AK999">
        <f>AJ999&amp;IF($L999="","",", "&amp;$L999)</f>
        <v/>
      </c>
      <c r="AL999">
        <f>AK999&amp;IF($M999="","",", "&amp;$M999)</f>
        <v/>
      </c>
      <c r="AM999">
        <f>AL999&amp;IF($N999="","",", "&amp;$N999)</f>
        <v/>
      </c>
      <c r="AN999">
        <f>AM999&amp;IF($O999="","",", "&amp;$O999)</f>
        <v/>
      </c>
      <c r="AO999">
        <f>AN999&amp;IF($P999="","",", "&amp;$P999)</f>
        <v/>
      </c>
      <c r="AP999">
        <f>AO999&amp;IF($Q999="","",", "&amp;$Q999)</f>
        <v/>
      </c>
      <c r="AQ999">
        <f>AP999&amp;IF($R999="","",", "&amp;$R999)</f>
        <v/>
      </c>
      <c r="AR999">
        <f>AQ999&amp;IF($S999="","",", "&amp;$S999)</f>
        <v/>
      </c>
      <c r="AS999">
        <f>AR999&amp;IF($T999="","",", "&amp;$T999)</f>
        <v/>
      </c>
      <c r="AT999">
        <f>AS999&amp;IF($U999="","",", "&amp;$U999)</f>
        <v/>
      </c>
      <c r="AU999">
        <f>AT999&amp;IF($V999="","",", "&amp;$V999)</f>
        <v/>
      </c>
      <c r="AV999">
        <f>AU999&amp;IF($W999="","",", "&amp;$W999)</f>
        <v/>
      </c>
      <c r="AW999">
        <f>AV999&amp;IF($X999="","",", "&amp;$X999)</f>
        <v/>
      </c>
      <c r="AX999">
        <f>AW999&amp;IF($Y999="","",", "&amp;$Y999)</f>
        <v/>
      </c>
    </row>
    <row r="1000">
      <c r="A1000" s="118">
        <f>IF($B1000="","",COUNT($B$5:$B1000))</f>
        <v/>
      </c>
      <c r="B1000" s="80" t="n"/>
      <c r="C1000" s="80" t="n"/>
      <c r="D1000" s="74" t="n"/>
      <c r="E1000" s="74" t="n"/>
      <c r="F1000" s="74" t="n"/>
      <c r="G1000" s="118">
        <f>IF($F1000="","",COUNTIF($F$5:$F1000,$F1000))</f>
        <v/>
      </c>
      <c r="H1000" s="33">
        <f>IF($F1000="","",IFERROR(INDEX(사건마스터!$B$5:$B$64,MATCH($F1000,사건마스터!$A$5:$A$64,0)),""))</f>
        <v/>
      </c>
      <c r="I1000" s="130">
        <f>IF($F1000="","",IFERROR(INDEX(사건마스터!$C$5:$C$64,MATCH($F1000,사건마스터!$A$5:$A$64,0)),""))</f>
        <v/>
      </c>
      <c r="J1000" s="136">
        <f>IF($F1000="","",IFERROR(INDEX(사건마스터!$H$5:$H$64,MATCH($F1000,사건마스터!$A$5:$A$64,0)),""))</f>
        <v/>
      </c>
      <c r="K1000" s="136">
        <f>IF($F1000="","",IFERROR(INDEX(사건마스터!$AH$5:$AH$64,MATCH($F1000,사건마스터!$A$5:$A$64,0)),""))</f>
        <v/>
      </c>
      <c r="L1000" s="136">
        <f>IF($F1000="","",IFERROR(INDEX(사건마스터!$AI$5:$AI$64,MATCH($F1000,사건마스터!$A$5:$A$64,0)),""))</f>
        <v/>
      </c>
      <c r="M1000" s="136">
        <f>IF($F1000="","",IFERROR(INDEX(사건마스터!$AJ$5:$AJ$64,MATCH($F1000,사건마스터!$A$5:$A$64,0)),""))</f>
        <v/>
      </c>
      <c r="N1000" s="136">
        <f>IF($F1000="","",IFERROR(INDEX(사건마스터!$AK$5:$AK$64,MATCH($F1000,사건마스터!$A$5:$A$64,0)),""))</f>
        <v/>
      </c>
      <c r="O1000" s="136">
        <f>IF($F1000="","",IFERROR(INDEX(사건마스터!$AL$5:$AL$64,MATCH($F1000,사건마스터!$A$5:$A$64,0)),""))</f>
        <v/>
      </c>
      <c r="P1000" s="136">
        <f>IF($F1000="","",IFERROR(INDEX(사건마스터!$AM$5:$AM$64,MATCH($F1000,사건마스터!$A$5:$A$64,0)),""))</f>
        <v/>
      </c>
      <c r="Q1000" s="136">
        <f>IF($F1000="","",IFERROR(INDEX(사건마스터!$AN$5:$AN$64,MATCH($F1000,사건마스터!$A$5:$A$64,0)),""))</f>
        <v/>
      </c>
      <c r="R1000" s="136">
        <f>IF($F1000="","",IFERROR(INDEX(사건마스터!$AO$5:$AO$64,MATCH($F1000,사건마스터!$A$5:$A$64,0)),""))</f>
        <v/>
      </c>
      <c r="S1000" s="136">
        <f>IF($F1000="","",IFERROR(INDEX(사건마스터!$AP$5:$AP$64,MATCH($F1000,사건마스터!$A$5:$A$64,0)),""))</f>
        <v/>
      </c>
      <c r="T1000" s="136">
        <f>IF($F1000="","",IFERROR(INDEX(사건마스터!$AQ$5:$AQ$64,MATCH($F1000,사건마스터!$A$5:$A$64,0)),""))</f>
        <v/>
      </c>
      <c r="U1000" s="136">
        <f>IF($F1000="","",IFERROR(INDEX(사건마스터!$AR$5:$AR$64,MATCH($F1000,사건마스터!$A$5:$A$64,0)),""))</f>
        <v/>
      </c>
      <c r="V1000" s="136">
        <f>IF($F1000="","",IFERROR(INDEX(사건마스터!$AS$5:$AS$64,MATCH($F1000,사건마스터!$A$5:$A$64,0)),""))</f>
        <v/>
      </c>
      <c r="W1000" s="136">
        <f>IF($F1000="","",IFERROR(INDEX(사건마스터!$AT$5:$AT$64,MATCH($F1000,사건마스터!$A$5:$A$64,0)),""))</f>
        <v/>
      </c>
      <c r="X1000" s="136">
        <f>IF($F1000="","",IFERROR(INDEX(사건마스터!$AU$5:$AU$64,MATCH($F1000,사건마스터!$A$5:$A$64,0)),""))</f>
        <v/>
      </c>
      <c r="Y1000" s="136">
        <f>IF($F1000="","",IFERROR(INDEX(사건마스터!$AV$5:$AV$64,MATCH($F1000,사건마스터!$A$5:$A$64,0)),""))</f>
        <v/>
      </c>
      <c r="Z1000" s="118">
        <f>IF(COUNTBLANK($J1000:$Y1000)=16,"",16-COUNTBLANK($J1000:$Y1000))</f>
        <v/>
      </c>
      <c r="AA1000" s="33">
        <f>IF($J1000="",MID($AX1000,3,255),$J1000&amp;$AX1000)</f>
        <v/>
      </c>
      <c r="AB1000" s="130">
        <f>IF($J1000="","",IFERROR(INDEX(코드설정!$D$5:$D$24,MATCH($J1000,코드설정!$C$5:$C$24,0)),""))</f>
        <v/>
      </c>
      <c r="AC1000" s="36" t="n"/>
      <c r="AD1000" s="37" t="n"/>
      <c r="AE1000" s="38" t="n"/>
      <c r="AF1000" s="118">
        <f>IF(OR($B1000="",$C1000=""),"",$C1000-$B1000+1)</f>
        <v/>
      </c>
      <c r="AG1000" s="74" t="n"/>
      <c r="AH1000" s="36" t="n"/>
      <c r="AJ1000">
        <f>IF($K1000="","",", "&amp;$K1000)</f>
        <v/>
      </c>
      <c r="AK1000">
        <f>AJ1000&amp;IF($L1000="","",", "&amp;$L1000)</f>
        <v/>
      </c>
      <c r="AL1000">
        <f>AK1000&amp;IF($M1000="","",", "&amp;$M1000)</f>
        <v/>
      </c>
      <c r="AM1000">
        <f>AL1000&amp;IF($N1000="","",", "&amp;$N1000)</f>
        <v/>
      </c>
      <c r="AN1000">
        <f>AM1000&amp;IF($O1000="","",", "&amp;$O1000)</f>
        <v/>
      </c>
      <c r="AO1000">
        <f>AN1000&amp;IF($P1000="","",", "&amp;$P1000)</f>
        <v/>
      </c>
      <c r="AP1000">
        <f>AO1000&amp;IF($Q1000="","",", "&amp;$Q1000)</f>
        <v/>
      </c>
      <c r="AQ1000">
        <f>AP1000&amp;IF($R1000="","",", "&amp;$R1000)</f>
        <v/>
      </c>
      <c r="AR1000">
        <f>AQ1000&amp;IF($S1000="","",", "&amp;$S1000)</f>
        <v/>
      </c>
      <c r="AS1000">
        <f>AR1000&amp;IF($T1000="","",", "&amp;$T1000)</f>
        <v/>
      </c>
      <c r="AT1000">
        <f>AS1000&amp;IF($U1000="","",", "&amp;$U1000)</f>
        <v/>
      </c>
      <c r="AU1000">
        <f>AT1000&amp;IF($V1000="","",", "&amp;$V1000)</f>
        <v/>
      </c>
      <c r="AV1000">
        <f>AU1000&amp;IF($W1000="","",", "&amp;$W1000)</f>
        <v/>
      </c>
      <c r="AW1000">
        <f>AV1000&amp;IF($X1000="","",", "&amp;$X1000)</f>
        <v/>
      </c>
      <c r="AX1000">
        <f>AW1000&amp;IF($Y1000="","",", "&amp;$Y1000)</f>
        <v/>
      </c>
    </row>
    <row r="1001">
      <c r="A1001" s="118">
        <f>IF($B1001="","",COUNT($B$5:$B1001))</f>
        <v/>
      </c>
      <c r="B1001" s="80" t="n"/>
      <c r="C1001" s="80" t="n"/>
      <c r="D1001" s="74" t="n"/>
      <c r="E1001" s="74" t="n"/>
      <c r="F1001" s="74" t="n"/>
      <c r="G1001" s="118">
        <f>IF($F1001="","",COUNTIF($F$5:$F1001,$F1001))</f>
        <v/>
      </c>
      <c r="H1001" s="33">
        <f>IF($F1001="","",IFERROR(INDEX(사건마스터!$B$5:$B$64,MATCH($F1001,사건마스터!$A$5:$A$64,0)),""))</f>
        <v/>
      </c>
      <c r="I1001" s="130">
        <f>IF($F1001="","",IFERROR(INDEX(사건마스터!$C$5:$C$64,MATCH($F1001,사건마스터!$A$5:$A$64,0)),""))</f>
        <v/>
      </c>
      <c r="J1001" s="136">
        <f>IF($F1001="","",IFERROR(INDEX(사건마스터!$H$5:$H$64,MATCH($F1001,사건마스터!$A$5:$A$64,0)),""))</f>
        <v/>
      </c>
      <c r="K1001" s="136">
        <f>IF($F1001="","",IFERROR(INDEX(사건마스터!$AH$5:$AH$64,MATCH($F1001,사건마스터!$A$5:$A$64,0)),""))</f>
        <v/>
      </c>
      <c r="L1001" s="136">
        <f>IF($F1001="","",IFERROR(INDEX(사건마스터!$AI$5:$AI$64,MATCH($F1001,사건마스터!$A$5:$A$64,0)),""))</f>
        <v/>
      </c>
      <c r="M1001" s="136">
        <f>IF($F1001="","",IFERROR(INDEX(사건마스터!$AJ$5:$AJ$64,MATCH($F1001,사건마스터!$A$5:$A$64,0)),""))</f>
        <v/>
      </c>
      <c r="N1001" s="136">
        <f>IF($F1001="","",IFERROR(INDEX(사건마스터!$AK$5:$AK$64,MATCH($F1001,사건마스터!$A$5:$A$64,0)),""))</f>
        <v/>
      </c>
      <c r="O1001" s="136">
        <f>IF($F1001="","",IFERROR(INDEX(사건마스터!$AL$5:$AL$64,MATCH($F1001,사건마스터!$A$5:$A$64,0)),""))</f>
        <v/>
      </c>
      <c r="P1001" s="136">
        <f>IF($F1001="","",IFERROR(INDEX(사건마스터!$AM$5:$AM$64,MATCH($F1001,사건마스터!$A$5:$A$64,0)),""))</f>
        <v/>
      </c>
      <c r="Q1001" s="136">
        <f>IF($F1001="","",IFERROR(INDEX(사건마스터!$AN$5:$AN$64,MATCH($F1001,사건마스터!$A$5:$A$64,0)),""))</f>
        <v/>
      </c>
      <c r="R1001" s="136">
        <f>IF($F1001="","",IFERROR(INDEX(사건마스터!$AO$5:$AO$64,MATCH($F1001,사건마스터!$A$5:$A$64,0)),""))</f>
        <v/>
      </c>
      <c r="S1001" s="136">
        <f>IF($F1001="","",IFERROR(INDEX(사건마스터!$AP$5:$AP$64,MATCH($F1001,사건마스터!$A$5:$A$64,0)),""))</f>
        <v/>
      </c>
      <c r="T1001" s="136">
        <f>IF($F1001="","",IFERROR(INDEX(사건마스터!$AQ$5:$AQ$64,MATCH($F1001,사건마스터!$A$5:$A$64,0)),""))</f>
        <v/>
      </c>
      <c r="U1001" s="136">
        <f>IF($F1001="","",IFERROR(INDEX(사건마스터!$AR$5:$AR$64,MATCH($F1001,사건마스터!$A$5:$A$64,0)),""))</f>
        <v/>
      </c>
      <c r="V1001" s="136">
        <f>IF($F1001="","",IFERROR(INDEX(사건마스터!$AS$5:$AS$64,MATCH($F1001,사건마스터!$A$5:$A$64,0)),""))</f>
        <v/>
      </c>
      <c r="W1001" s="136">
        <f>IF($F1001="","",IFERROR(INDEX(사건마스터!$AT$5:$AT$64,MATCH($F1001,사건마스터!$A$5:$A$64,0)),""))</f>
        <v/>
      </c>
      <c r="X1001" s="136">
        <f>IF($F1001="","",IFERROR(INDEX(사건마스터!$AU$5:$AU$64,MATCH($F1001,사건마스터!$A$5:$A$64,0)),""))</f>
        <v/>
      </c>
      <c r="Y1001" s="136">
        <f>IF($F1001="","",IFERROR(INDEX(사건마스터!$AV$5:$AV$64,MATCH($F1001,사건마스터!$A$5:$A$64,0)),""))</f>
        <v/>
      </c>
      <c r="Z1001" s="118">
        <f>IF(COUNTBLANK($J1001:$Y1001)=16,"",16-COUNTBLANK($J1001:$Y1001))</f>
        <v/>
      </c>
      <c r="AA1001" s="33">
        <f>IF($J1001="",MID($AX1001,3,255),$J1001&amp;$AX1001)</f>
        <v/>
      </c>
      <c r="AB1001" s="130">
        <f>IF($J1001="","",IFERROR(INDEX(코드설정!$D$5:$D$24,MATCH($J1001,코드설정!$C$5:$C$24,0)),""))</f>
        <v/>
      </c>
      <c r="AC1001" s="36" t="n"/>
      <c r="AD1001" s="37" t="n"/>
      <c r="AE1001" s="38" t="n"/>
      <c r="AF1001" s="118">
        <f>IF(OR($B1001="",$C1001=""),"",$C1001-$B1001+1)</f>
        <v/>
      </c>
      <c r="AG1001" s="74" t="n"/>
      <c r="AH1001" s="36" t="n"/>
      <c r="AJ1001">
        <f>IF($K1001="","",", "&amp;$K1001)</f>
        <v/>
      </c>
      <c r="AK1001">
        <f>AJ1001&amp;IF($L1001="","",", "&amp;$L1001)</f>
        <v/>
      </c>
      <c r="AL1001">
        <f>AK1001&amp;IF($M1001="","",", "&amp;$M1001)</f>
        <v/>
      </c>
      <c r="AM1001">
        <f>AL1001&amp;IF($N1001="","",", "&amp;$N1001)</f>
        <v/>
      </c>
      <c r="AN1001">
        <f>AM1001&amp;IF($O1001="","",", "&amp;$O1001)</f>
        <v/>
      </c>
      <c r="AO1001">
        <f>AN1001&amp;IF($P1001="","",", "&amp;$P1001)</f>
        <v/>
      </c>
      <c r="AP1001">
        <f>AO1001&amp;IF($Q1001="","",", "&amp;$Q1001)</f>
        <v/>
      </c>
      <c r="AQ1001">
        <f>AP1001&amp;IF($R1001="","",", "&amp;$R1001)</f>
        <v/>
      </c>
      <c r="AR1001">
        <f>AQ1001&amp;IF($S1001="","",", "&amp;$S1001)</f>
        <v/>
      </c>
      <c r="AS1001">
        <f>AR1001&amp;IF($T1001="","",", "&amp;$T1001)</f>
        <v/>
      </c>
      <c r="AT1001">
        <f>AS1001&amp;IF($U1001="","",", "&amp;$U1001)</f>
        <v/>
      </c>
      <c r="AU1001">
        <f>AT1001&amp;IF($V1001="","",", "&amp;$V1001)</f>
        <v/>
      </c>
      <c r="AV1001">
        <f>AU1001&amp;IF($W1001="","",", "&amp;$W1001)</f>
        <v/>
      </c>
      <c r="AW1001">
        <f>AV1001&amp;IF($X1001="","",", "&amp;$X1001)</f>
        <v/>
      </c>
      <c r="AX1001">
        <f>AW1001&amp;IF($Y1001="","",", "&amp;$Y1001)</f>
        <v/>
      </c>
    </row>
    <row r="1002">
      <c r="A1002" s="118">
        <f>IF($B1002="","",COUNT($B$5:$B1002))</f>
        <v/>
      </c>
      <c r="B1002" s="80" t="n"/>
      <c r="C1002" s="80" t="n"/>
      <c r="D1002" s="74" t="n"/>
      <c r="E1002" s="74" t="n"/>
      <c r="F1002" s="74" t="n"/>
      <c r="G1002" s="118">
        <f>IF($F1002="","",COUNTIF($F$5:$F1002,$F1002))</f>
        <v/>
      </c>
      <c r="H1002" s="33">
        <f>IF($F1002="","",IFERROR(INDEX(사건마스터!$B$5:$B$64,MATCH($F1002,사건마스터!$A$5:$A$64,0)),""))</f>
        <v/>
      </c>
      <c r="I1002" s="130">
        <f>IF($F1002="","",IFERROR(INDEX(사건마스터!$C$5:$C$64,MATCH($F1002,사건마스터!$A$5:$A$64,0)),""))</f>
        <v/>
      </c>
      <c r="J1002" s="136">
        <f>IF($F1002="","",IFERROR(INDEX(사건마스터!$H$5:$H$64,MATCH($F1002,사건마스터!$A$5:$A$64,0)),""))</f>
        <v/>
      </c>
      <c r="K1002" s="136">
        <f>IF($F1002="","",IFERROR(INDEX(사건마스터!$AH$5:$AH$64,MATCH($F1002,사건마스터!$A$5:$A$64,0)),""))</f>
        <v/>
      </c>
      <c r="L1002" s="136">
        <f>IF($F1002="","",IFERROR(INDEX(사건마스터!$AI$5:$AI$64,MATCH($F1002,사건마스터!$A$5:$A$64,0)),""))</f>
        <v/>
      </c>
      <c r="M1002" s="136">
        <f>IF($F1002="","",IFERROR(INDEX(사건마스터!$AJ$5:$AJ$64,MATCH($F1002,사건마스터!$A$5:$A$64,0)),""))</f>
        <v/>
      </c>
      <c r="N1002" s="136">
        <f>IF($F1002="","",IFERROR(INDEX(사건마스터!$AK$5:$AK$64,MATCH($F1002,사건마스터!$A$5:$A$64,0)),""))</f>
        <v/>
      </c>
      <c r="O1002" s="136">
        <f>IF($F1002="","",IFERROR(INDEX(사건마스터!$AL$5:$AL$64,MATCH($F1002,사건마스터!$A$5:$A$64,0)),""))</f>
        <v/>
      </c>
      <c r="P1002" s="136">
        <f>IF($F1002="","",IFERROR(INDEX(사건마스터!$AM$5:$AM$64,MATCH($F1002,사건마스터!$A$5:$A$64,0)),""))</f>
        <v/>
      </c>
      <c r="Q1002" s="136">
        <f>IF($F1002="","",IFERROR(INDEX(사건마스터!$AN$5:$AN$64,MATCH($F1002,사건마스터!$A$5:$A$64,0)),""))</f>
        <v/>
      </c>
      <c r="R1002" s="136">
        <f>IF($F1002="","",IFERROR(INDEX(사건마스터!$AO$5:$AO$64,MATCH($F1002,사건마스터!$A$5:$A$64,0)),""))</f>
        <v/>
      </c>
      <c r="S1002" s="136">
        <f>IF($F1002="","",IFERROR(INDEX(사건마스터!$AP$5:$AP$64,MATCH($F1002,사건마스터!$A$5:$A$64,0)),""))</f>
        <v/>
      </c>
      <c r="T1002" s="136">
        <f>IF($F1002="","",IFERROR(INDEX(사건마스터!$AQ$5:$AQ$64,MATCH($F1002,사건마스터!$A$5:$A$64,0)),""))</f>
        <v/>
      </c>
      <c r="U1002" s="136">
        <f>IF($F1002="","",IFERROR(INDEX(사건마스터!$AR$5:$AR$64,MATCH($F1002,사건마스터!$A$5:$A$64,0)),""))</f>
        <v/>
      </c>
      <c r="V1002" s="136">
        <f>IF($F1002="","",IFERROR(INDEX(사건마스터!$AS$5:$AS$64,MATCH($F1002,사건마스터!$A$5:$A$64,0)),""))</f>
        <v/>
      </c>
      <c r="W1002" s="136">
        <f>IF($F1002="","",IFERROR(INDEX(사건마스터!$AT$5:$AT$64,MATCH($F1002,사건마스터!$A$5:$A$64,0)),""))</f>
        <v/>
      </c>
      <c r="X1002" s="136">
        <f>IF($F1002="","",IFERROR(INDEX(사건마스터!$AU$5:$AU$64,MATCH($F1002,사건마스터!$A$5:$A$64,0)),""))</f>
        <v/>
      </c>
      <c r="Y1002" s="136">
        <f>IF($F1002="","",IFERROR(INDEX(사건마스터!$AV$5:$AV$64,MATCH($F1002,사건마스터!$A$5:$A$64,0)),""))</f>
        <v/>
      </c>
      <c r="Z1002" s="118">
        <f>IF(COUNTBLANK($J1002:$Y1002)=16,"",16-COUNTBLANK($J1002:$Y1002))</f>
        <v/>
      </c>
      <c r="AA1002" s="33">
        <f>IF($J1002="",MID($AX1002,3,255),$J1002&amp;$AX1002)</f>
        <v/>
      </c>
      <c r="AB1002" s="130">
        <f>IF($J1002="","",IFERROR(INDEX(코드설정!$D$5:$D$24,MATCH($J1002,코드설정!$C$5:$C$24,0)),""))</f>
        <v/>
      </c>
      <c r="AC1002" s="36" t="n"/>
      <c r="AD1002" s="37" t="n"/>
      <c r="AE1002" s="38" t="n"/>
      <c r="AF1002" s="118">
        <f>IF(OR($B1002="",$C1002=""),"",$C1002-$B1002+1)</f>
        <v/>
      </c>
      <c r="AG1002" s="74" t="n"/>
      <c r="AH1002" s="36" t="n"/>
      <c r="AJ1002">
        <f>IF($K1002="","",", "&amp;$K1002)</f>
        <v/>
      </c>
      <c r="AK1002">
        <f>AJ1002&amp;IF($L1002="","",", "&amp;$L1002)</f>
        <v/>
      </c>
      <c r="AL1002">
        <f>AK1002&amp;IF($M1002="","",", "&amp;$M1002)</f>
        <v/>
      </c>
      <c r="AM1002">
        <f>AL1002&amp;IF($N1002="","",", "&amp;$N1002)</f>
        <v/>
      </c>
      <c r="AN1002">
        <f>AM1002&amp;IF($O1002="","",", "&amp;$O1002)</f>
        <v/>
      </c>
      <c r="AO1002">
        <f>AN1002&amp;IF($P1002="","",", "&amp;$P1002)</f>
        <v/>
      </c>
      <c r="AP1002">
        <f>AO1002&amp;IF($Q1002="","",", "&amp;$Q1002)</f>
        <v/>
      </c>
      <c r="AQ1002">
        <f>AP1002&amp;IF($R1002="","",", "&amp;$R1002)</f>
        <v/>
      </c>
      <c r="AR1002">
        <f>AQ1002&amp;IF($S1002="","",", "&amp;$S1002)</f>
        <v/>
      </c>
      <c r="AS1002">
        <f>AR1002&amp;IF($T1002="","",", "&amp;$T1002)</f>
        <v/>
      </c>
      <c r="AT1002">
        <f>AS1002&amp;IF($U1002="","",", "&amp;$U1002)</f>
        <v/>
      </c>
      <c r="AU1002">
        <f>AT1002&amp;IF($V1002="","",", "&amp;$V1002)</f>
        <v/>
      </c>
      <c r="AV1002">
        <f>AU1002&amp;IF($W1002="","",", "&amp;$W1002)</f>
        <v/>
      </c>
      <c r="AW1002">
        <f>AV1002&amp;IF($X1002="","",", "&amp;$X1002)</f>
        <v/>
      </c>
      <c r="AX1002">
        <f>AW1002&amp;IF($Y1002="","",", "&amp;$Y1002)</f>
        <v/>
      </c>
    </row>
    <row r="1003">
      <c r="A1003" s="118">
        <f>IF($B1003="","",COUNT($B$5:$B1003))</f>
        <v/>
      </c>
      <c r="B1003" s="80" t="n"/>
      <c r="C1003" s="80" t="n"/>
      <c r="D1003" s="74" t="n"/>
      <c r="E1003" s="74" t="n"/>
      <c r="F1003" s="74" t="n"/>
      <c r="G1003" s="118">
        <f>IF($F1003="","",COUNTIF($F$5:$F1003,$F1003))</f>
        <v/>
      </c>
      <c r="H1003" s="33">
        <f>IF($F1003="","",IFERROR(INDEX(사건마스터!$B$5:$B$64,MATCH($F1003,사건마스터!$A$5:$A$64,0)),""))</f>
        <v/>
      </c>
      <c r="I1003" s="130">
        <f>IF($F1003="","",IFERROR(INDEX(사건마스터!$C$5:$C$64,MATCH($F1003,사건마스터!$A$5:$A$64,0)),""))</f>
        <v/>
      </c>
      <c r="J1003" s="136">
        <f>IF($F1003="","",IFERROR(INDEX(사건마스터!$H$5:$H$64,MATCH($F1003,사건마스터!$A$5:$A$64,0)),""))</f>
        <v/>
      </c>
      <c r="K1003" s="136">
        <f>IF($F1003="","",IFERROR(INDEX(사건마스터!$AH$5:$AH$64,MATCH($F1003,사건마스터!$A$5:$A$64,0)),""))</f>
        <v/>
      </c>
      <c r="L1003" s="136">
        <f>IF($F1003="","",IFERROR(INDEX(사건마스터!$AI$5:$AI$64,MATCH($F1003,사건마스터!$A$5:$A$64,0)),""))</f>
        <v/>
      </c>
      <c r="M1003" s="136">
        <f>IF($F1003="","",IFERROR(INDEX(사건마스터!$AJ$5:$AJ$64,MATCH($F1003,사건마스터!$A$5:$A$64,0)),""))</f>
        <v/>
      </c>
      <c r="N1003" s="136">
        <f>IF($F1003="","",IFERROR(INDEX(사건마스터!$AK$5:$AK$64,MATCH($F1003,사건마스터!$A$5:$A$64,0)),""))</f>
        <v/>
      </c>
      <c r="O1003" s="136">
        <f>IF($F1003="","",IFERROR(INDEX(사건마스터!$AL$5:$AL$64,MATCH($F1003,사건마스터!$A$5:$A$64,0)),""))</f>
        <v/>
      </c>
      <c r="P1003" s="136">
        <f>IF($F1003="","",IFERROR(INDEX(사건마스터!$AM$5:$AM$64,MATCH($F1003,사건마스터!$A$5:$A$64,0)),""))</f>
        <v/>
      </c>
      <c r="Q1003" s="136">
        <f>IF($F1003="","",IFERROR(INDEX(사건마스터!$AN$5:$AN$64,MATCH($F1003,사건마스터!$A$5:$A$64,0)),""))</f>
        <v/>
      </c>
      <c r="R1003" s="136">
        <f>IF($F1003="","",IFERROR(INDEX(사건마스터!$AO$5:$AO$64,MATCH($F1003,사건마스터!$A$5:$A$64,0)),""))</f>
        <v/>
      </c>
      <c r="S1003" s="136">
        <f>IF($F1003="","",IFERROR(INDEX(사건마스터!$AP$5:$AP$64,MATCH($F1003,사건마스터!$A$5:$A$64,0)),""))</f>
        <v/>
      </c>
      <c r="T1003" s="136">
        <f>IF($F1003="","",IFERROR(INDEX(사건마스터!$AQ$5:$AQ$64,MATCH($F1003,사건마스터!$A$5:$A$64,0)),""))</f>
        <v/>
      </c>
      <c r="U1003" s="136">
        <f>IF($F1003="","",IFERROR(INDEX(사건마스터!$AR$5:$AR$64,MATCH($F1003,사건마스터!$A$5:$A$64,0)),""))</f>
        <v/>
      </c>
      <c r="V1003" s="136">
        <f>IF($F1003="","",IFERROR(INDEX(사건마스터!$AS$5:$AS$64,MATCH($F1003,사건마스터!$A$5:$A$64,0)),""))</f>
        <v/>
      </c>
      <c r="W1003" s="136">
        <f>IF($F1003="","",IFERROR(INDEX(사건마스터!$AT$5:$AT$64,MATCH($F1003,사건마스터!$A$5:$A$64,0)),""))</f>
        <v/>
      </c>
      <c r="X1003" s="136">
        <f>IF($F1003="","",IFERROR(INDEX(사건마스터!$AU$5:$AU$64,MATCH($F1003,사건마스터!$A$5:$A$64,0)),""))</f>
        <v/>
      </c>
      <c r="Y1003" s="136">
        <f>IF($F1003="","",IFERROR(INDEX(사건마스터!$AV$5:$AV$64,MATCH($F1003,사건마스터!$A$5:$A$64,0)),""))</f>
        <v/>
      </c>
      <c r="Z1003" s="118">
        <f>IF(COUNTBLANK($J1003:$Y1003)=16,"",16-COUNTBLANK($J1003:$Y1003))</f>
        <v/>
      </c>
      <c r="AA1003" s="33">
        <f>IF($J1003="",MID($AX1003,3,255),$J1003&amp;$AX1003)</f>
        <v/>
      </c>
      <c r="AB1003" s="130">
        <f>IF($J1003="","",IFERROR(INDEX(코드설정!$D$5:$D$24,MATCH($J1003,코드설정!$C$5:$C$24,0)),""))</f>
        <v/>
      </c>
      <c r="AC1003" s="36" t="n"/>
      <c r="AD1003" s="37" t="n"/>
      <c r="AE1003" s="38" t="n"/>
      <c r="AF1003" s="118">
        <f>IF(OR($B1003="",$C1003=""),"",$C1003-$B1003+1)</f>
        <v/>
      </c>
      <c r="AG1003" s="74" t="n"/>
      <c r="AH1003" s="36" t="n"/>
      <c r="AJ1003">
        <f>IF($K1003="","",", "&amp;$K1003)</f>
        <v/>
      </c>
      <c r="AK1003">
        <f>AJ1003&amp;IF($L1003="","",", "&amp;$L1003)</f>
        <v/>
      </c>
      <c r="AL1003">
        <f>AK1003&amp;IF($M1003="","",", "&amp;$M1003)</f>
        <v/>
      </c>
      <c r="AM1003">
        <f>AL1003&amp;IF($N1003="","",", "&amp;$N1003)</f>
        <v/>
      </c>
      <c r="AN1003">
        <f>AM1003&amp;IF($O1003="","",", "&amp;$O1003)</f>
        <v/>
      </c>
      <c r="AO1003">
        <f>AN1003&amp;IF($P1003="","",", "&amp;$P1003)</f>
        <v/>
      </c>
      <c r="AP1003">
        <f>AO1003&amp;IF($Q1003="","",", "&amp;$Q1003)</f>
        <v/>
      </c>
      <c r="AQ1003">
        <f>AP1003&amp;IF($R1003="","",", "&amp;$R1003)</f>
        <v/>
      </c>
      <c r="AR1003">
        <f>AQ1003&amp;IF($S1003="","",", "&amp;$S1003)</f>
        <v/>
      </c>
      <c r="AS1003">
        <f>AR1003&amp;IF($T1003="","",", "&amp;$T1003)</f>
        <v/>
      </c>
      <c r="AT1003">
        <f>AS1003&amp;IF($U1003="","",", "&amp;$U1003)</f>
        <v/>
      </c>
      <c r="AU1003">
        <f>AT1003&amp;IF($V1003="","",", "&amp;$V1003)</f>
        <v/>
      </c>
      <c r="AV1003">
        <f>AU1003&amp;IF($W1003="","",", "&amp;$W1003)</f>
        <v/>
      </c>
      <c r="AW1003">
        <f>AV1003&amp;IF($X1003="","",", "&amp;$X1003)</f>
        <v/>
      </c>
      <c r="AX1003">
        <f>AW1003&amp;IF($Y1003="","",", "&amp;$Y1003)</f>
        <v/>
      </c>
    </row>
    <row r="1004">
      <c r="A1004" s="118">
        <f>IF($B1004="","",COUNT($B$5:$B1004))</f>
        <v/>
      </c>
      <c r="B1004" s="80" t="n"/>
      <c r="C1004" s="80" t="n"/>
      <c r="D1004" s="74" t="n"/>
      <c r="E1004" s="74" t="n"/>
      <c r="F1004" s="74" t="n"/>
      <c r="G1004" s="118">
        <f>IF($F1004="","",COUNTIF($F$5:$F1004,$F1004))</f>
        <v/>
      </c>
      <c r="H1004" s="33">
        <f>IF($F1004="","",IFERROR(INDEX(사건마스터!$B$5:$B$64,MATCH($F1004,사건마스터!$A$5:$A$64,0)),""))</f>
        <v/>
      </c>
      <c r="I1004" s="130">
        <f>IF($F1004="","",IFERROR(INDEX(사건마스터!$C$5:$C$64,MATCH($F1004,사건마스터!$A$5:$A$64,0)),""))</f>
        <v/>
      </c>
      <c r="J1004" s="136">
        <f>IF($F1004="","",IFERROR(INDEX(사건마스터!$H$5:$H$64,MATCH($F1004,사건마스터!$A$5:$A$64,0)),""))</f>
        <v/>
      </c>
      <c r="K1004" s="136">
        <f>IF($F1004="","",IFERROR(INDEX(사건마스터!$AH$5:$AH$64,MATCH($F1004,사건마스터!$A$5:$A$64,0)),""))</f>
        <v/>
      </c>
      <c r="L1004" s="136">
        <f>IF($F1004="","",IFERROR(INDEX(사건마스터!$AI$5:$AI$64,MATCH($F1004,사건마스터!$A$5:$A$64,0)),""))</f>
        <v/>
      </c>
      <c r="M1004" s="136">
        <f>IF($F1004="","",IFERROR(INDEX(사건마스터!$AJ$5:$AJ$64,MATCH($F1004,사건마스터!$A$5:$A$64,0)),""))</f>
        <v/>
      </c>
      <c r="N1004" s="136">
        <f>IF($F1004="","",IFERROR(INDEX(사건마스터!$AK$5:$AK$64,MATCH($F1004,사건마스터!$A$5:$A$64,0)),""))</f>
        <v/>
      </c>
      <c r="O1004" s="136">
        <f>IF($F1004="","",IFERROR(INDEX(사건마스터!$AL$5:$AL$64,MATCH($F1004,사건마스터!$A$5:$A$64,0)),""))</f>
        <v/>
      </c>
      <c r="P1004" s="136">
        <f>IF($F1004="","",IFERROR(INDEX(사건마스터!$AM$5:$AM$64,MATCH($F1004,사건마스터!$A$5:$A$64,0)),""))</f>
        <v/>
      </c>
      <c r="Q1004" s="136">
        <f>IF($F1004="","",IFERROR(INDEX(사건마스터!$AN$5:$AN$64,MATCH($F1004,사건마스터!$A$5:$A$64,0)),""))</f>
        <v/>
      </c>
      <c r="R1004" s="136">
        <f>IF($F1004="","",IFERROR(INDEX(사건마스터!$AO$5:$AO$64,MATCH($F1004,사건마스터!$A$5:$A$64,0)),""))</f>
        <v/>
      </c>
      <c r="S1004" s="136">
        <f>IF($F1004="","",IFERROR(INDEX(사건마스터!$AP$5:$AP$64,MATCH($F1004,사건마스터!$A$5:$A$64,0)),""))</f>
        <v/>
      </c>
      <c r="T1004" s="136">
        <f>IF($F1004="","",IFERROR(INDEX(사건마스터!$AQ$5:$AQ$64,MATCH($F1004,사건마스터!$A$5:$A$64,0)),""))</f>
        <v/>
      </c>
      <c r="U1004" s="136">
        <f>IF($F1004="","",IFERROR(INDEX(사건마스터!$AR$5:$AR$64,MATCH($F1004,사건마스터!$A$5:$A$64,0)),""))</f>
        <v/>
      </c>
      <c r="V1004" s="136">
        <f>IF($F1004="","",IFERROR(INDEX(사건마스터!$AS$5:$AS$64,MATCH($F1004,사건마스터!$A$5:$A$64,0)),""))</f>
        <v/>
      </c>
      <c r="W1004" s="136">
        <f>IF($F1004="","",IFERROR(INDEX(사건마스터!$AT$5:$AT$64,MATCH($F1004,사건마스터!$A$5:$A$64,0)),""))</f>
        <v/>
      </c>
      <c r="X1004" s="136">
        <f>IF($F1004="","",IFERROR(INDEX(사건마스터!$AU$5:$AU$64,MATCH($F1004,사건마스터!$A$5:$A$64,0)),""))</f>
        <v/>
      </c>
      <c r="Y1004" s="136">
        <f>IF($F1004="","",IFERROR(INDEX(사건마스터!$AV$5:$AV$64,MATCH($F1004,사건마스터!$A$5:$A$64,0)),""))</f>
        <v/>
      </c>
      <c r="Z1004" s="118">
        <f>IF(COUNTBLANK($J1004:$Y1004)=16,"",16-COUNTBLANK($J1004:$Y1004))</f>
        <v/>
      </c>
      <c r="AA1004" s="33">
        <f>IF($J1004="",MID($AX1004,3,255),$J1004&amp;$AX1004)</f>
        <v/>
      </c>
      <c r="AB1004" s="130">
        <f>IF($J1004="","",IFERROR(INDEX(코드설정!$D$5:$D$24,MATCH($J1004,코드설정!$C$5:$C$24,0)),""))</f>
        <v/>
      </c>
      <c r="AC1004" s="36" t="n"/>
      <c r="AD1004" s="37" t="n"/>
      <c r="AE1004" s="38" t="n"/>
      <c r="AF1004" s="118">
        <f>IF(OR($B1004="",$C1004=""),"",$C1004-$B1004+1)</f>
        <v/>
      </c>
      <c r="AG1004" s="74" t="n"/>
      <c r="AH1004" s="36" t="n"/>
      <c r="AJ1004">
        <f>IF($K1004="","",", "&amp;$K1004)</f>
        <v/>
      </c>
      <c r="AK1004">
        <f>AJ1004&amp;IF($L1004="","",", "&amp;$L1004)</f>
        <v/>
      </c>
      <c r="AL1004">
        <f>AK1004&amp;IF($M1004="","",", "&amp;$M1004)</f>
        <v/>
      </c>
      <c r="AM1004">
        <f>AL1004&amp;IF($N1004="","",", "&amp;$N1004)</f>
        <v/>
      </c>
      <c r="AN1004">
        <f>AM1004&amp;IF($O1004="","",", "&amp;$O1004)</f>
        <v/>
      </c>
      <c r="AO1004">
        <f>AN1004&amp;IF($P1004="","",", "&amp;$P1004)</f>
        <v/>
      </c>
      <c r="AP1004">
        <f>AO1004&amp;IF($Q1004="","",", "&amp;$Q1004)</f>
        <v/>
      </c>
      <c r="AQ1004">
        <f>AP1004&amp;IF($R1004="","",", "&amp;$R1004)</f>
        <v/>
      </c>
      <c r="AR1004">
        <f>AQ1004&amp;IF($S1004="","",", "&amp;$S1004)</f>
        <v/>
      </c>
      <c r="AS1004">
        <f>AR1004&amp;IF($T1004="","",", "&amp;$T1004)</f>
        <v/>
      </c>
      <c r="AT1004">
        <f>AS1004&amp;IF($U1004="","",", "&amp;$U1004)</f>
        <v/>
      </c>
      <c r="AU1004">
        <f>AT1004&amp;IF($V1004="","",", "&amp;$V1004)</f>
        <v/>
      </c>
      <c r="AV1004">
        <f>AU1004&amp;IF($W1004="","",", "&amp;$W1004)</f>
        <v/>
      </c>
      <c r="AW1004">
        <f>AV1004&amp;IF($X1004="","",", "&amp;$X1004)</f>
        <v/>
      </c>
      <c r="AX1004">
        <f>AW1004&amp;IF($Y1004="","",", "&amp;$Y1004)</f>
        <v/>
      </c>
    </row>
  </sheetData>
  <autoFilter ref="A4:AH1004"/>
  <conditionalFormatting sqref="A5:AH1004">
    <cfRule type="expression" priority="1" dxfId="2" stopIfTrue="0">
      <formula>AND($B5&lt;&gt;"",$AG5="완료")</formula>
    </cfRule>
    <cfRule type="expression" priority="2" dxfId="3" stopIfTrue="0">
      <formula>AND($B5&lt;&gt;"",$AG5="보류")</formula>
    </cfRule>
    <cfRule type="expression" priority="3" dxfId="4" stopIfTrue="0">
      <formula>AND($B5&lt;&gt;"",$AG5&lt;&gt;"완료",$C5&lt;&gt;"",$C5&lt;TODAY())</formula>
    </cfRule>
  </conditionalFormatting>
  <dataValidations count="5">
    <dataValidation sqref="D5:D1004" showDropDown="0" showInputMessage="0" showErrorMessage="0" allowBlank="1" type="list">
      <formula1>목록_직무구분</formula1>
    </dataValidation>
    <dataValidation sqref="E5:E1004" showDropDown="0" showInputMessage="0" showErrorMessage="0" allowBlank="1" type="list">
      <formula1>목록_세부유형</formula1>
    </dataValidation>
    <dataValidation sqref="F5:F1004" showDropDown="0" showInputMessage="0" showErrorMessage="0" allowBlank="1" type="list">
      <formula1>목록_사건번호</formula1>
    </dataValidation>
    <dataValidation sqref="J5:Y1004" showDropDown="0" showInputMessage="0" showErrorMessage="0" allowBlank="1" type="list">
      <formula1>목록_담당자</formula1>
    </dataValidation>
    <dataValidation sqref="AG5:AG1004" showDropDown="0" showInputMessage="0" showErrorMessage="0" allowBlank="1" type="list">
      <formula1>목록_진행상태</formula1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&amp;L&amp;"Arial"&amp;9업무일지&amp;R&amp;"Arial"&amp;9인쇄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K100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1" customWidth="1" min="4" max="4"/>
    <col width="13" customWidth="1" min="5" max="5"/>
    <col width="16" customWidth="1" min="6" max="6"/>
    <col width="16" customWidth="1" min="7" max="7"/>
    <col width="42" customWidth="1" min="8" max="8"/>
    <col width="32" customWidth="1" min="9" max="9"/>
    <col width="11" customWidth="1" min="10" max="10"/>
    <col width="28" customWidth="1" min="11" max="11"/>
  </cols>
  <sheetData>
    <row r="1" ht="24" customHeight="1">
      <c r="A1" s="6" t="inlineStr">
        <is>
          <t>일일 실시사항  ·  부서 일일 업무 기록</t>
        </is>
      </c>
    </row>
    <row r="2" ht="26" customHeight="1">
      <c r="A2" s="7" t="inlineStr">
        <is>
          <t>※ 출장·분석 외 부서의 모든 일일 업무를 여기에 기록합니다(행정·교육·회의·장비관리·당직 등).  ※ 하루에 여러 건이면 여러 행으로 나눠 쓰세요.  ※ 파란 글씨 칸만 입력 / 검정 글씨는 자동.</t>
        </is>
      </c>
    </row>
    <row r="4" ht="32" customHeight="1">
      <c r="A4" s="23" t="inlineStr">
        <is>
          <t>연번</t>
        </is>
      </c>
      <c r="B4" s="23" t="inlineStr">
        <is>
          <t>일자</t>
        </is>
      </c>
      <c r="C4" s="23" t="inlineStr">
        <is>
          <t>요일</t>
        </is>
      </c>
      <c r="D4" s="23" t="inlineStr">
        <is>
          <t>담당자</t>
        </is>
      </c>
      <c r="E4" s="23" t="inlineStr">
        <is>
          <t>소속팀</t>
        </is>
      </c>
      <c r="F4" s="23" t="inlineStr">
        <is>
          <t>업무구분</t>
        </is>
      </c>
      <c r="G4" s="23" t="inlineStr">
        <is>
          <t>관련 사건번호</t>
        </is>
      </c>
      <c r="H4" s="23" t="inlineStr">
        <is>
          <t>실시 내용</t>
        </is>
      </c>
      <c r="I4" s="23" t="inlineStr">
        <is>
          <t>조치 · 결과</t>
        </is>
      </c>
      <c r="J4" s="23" t="inlineStr">
        <is>
          <t>진행상태</t>
        </is>
      </c>
      <c r="K4" s="23" t="inlineStr">
        <is>
          <t>특이사항 / 후속조치</t>
        </is>
      </c>
    </row>
    <row r="5">
      <c r="A5" s="118">
        <f>IF($B5="","",COUNT($B$5:$B5))</f>
        <v/>
      </c>
      <c r="B5" s="80" t="n"/>
      <c r="C5" s="130">
        <f>IF($B5="","",CHOOSE(WEEKDAY($B5),"일","월","화","수","목","금","토"))</f>
        <v/>
      </c>
      <c r="D5" s="74" t="n"/>
      <c r="E5" s="130">
        <f>IF($D5="","",IFERROR(INDEX(코드설정!$D$5:$D$24,MATCH($D5,코드설정!$C$5:$C$24,0)),""))</f>
        <v/>
      </c>
      <c r="F5" s="74" t="n"/>
      <c r="G5" s="74" t="n"/>
      <c r="H5" s="36" t="n"/>
      <c r="I5" s="36" t="n"/>
      <c r="J5" s="74" t="n"/>
      <c r="K5" s="36" t="n"/>
    </row>
    <row r="6">
      <c r="A6" s="118">
        <f>IF($B6="","",COUNT($B$5:$B6))</f>
        <v/>
      </c>
      <c r="B6" s="80" t="n"/>
      <c r="C6" s="130">
        <f>IF($B6="","",CHOOSE(WEEKDAY($B6),"일","월","화","수","목","금","토"))</f>
        <v/>
      </c>
      <c r="D6" s="74" t="n"/>
      <c r="E6" s="130">
        <f>IF($D6="","",IFERROR(INDEX(코드설정!$D$5:$D$24,MATCH($D6,코드설정!$C$5:$C$24,0)),""))</f>
        <v/>
      </c>
      <c r="F6" s="74" t="n"/>
      <c r="G6" s="74" t="n"/>
      <c r="H6" s="36" t="n"/>
      <c r="I6" s="36" t="n"/>
      <c r="J6" s="74" t="n"/>
      <c r="K6" s="36" t="n"/>
    </row>
    <row r="7">
      <c r="A7" s="118">
        <f>IF($B7="","",COUNT($B$5:$B7))</f>
        <v/>
      </c>
      <c r="B7" s="80" t="n"/>
      <c r="C7" s="130">
        <f>IF($B7="","",CHOOSE(WEEKDAY($B7),"일","월","화","수","목","금","토"))</f>
        <v/>
      </c>
      <c r="D7" s="74" t="n"/>
      <c r="E7" s="130">
        <f>IF($D7="","",IFERROR(INDEX(코드설정!$D$5:$D$24,MATCH($D7,코드설정!$C$5:$C$24,0)),""))</f>
        <v/>
      </c>
      <c r="F7" s="74" t="n"/>
      <c r="G7" s="74" t="n"/>
      <c r="H7" s="36" t="n"/>
      <c r="I7" s="36" t="n"/>
      <c r="J7" s="74" t="n"/>
      <c r="K7" s="36" t="n"/>
    </row>
    <row r="8">
      <c r="A8" s="118">
        <f>IF($B8="","",COUNT($B$5:$B8))</f>
        <v/>
      </c>
      <c r="B8" s="80" t="n"/>
      <c r="C8" s="130">
        <f>IF($B8="","",CHOOSE(WEEKDAY($B8),"일","월","화","수","목","금","토"))</f>
        <v/>
      </c>
      <c r="D8" s="74" t="n"/>
      <c r="E8" s="130">
        <f>IF($D8="","",IFERROR(INDEX(코드설정!$D$5:$D$24,MATCH($D8,코드설정!$C$5:$C$24,0)),""))</f>
        <v/>
      </c>
      <c r="F8" s="74" t="n"/>
      <c r="G8" s="74" t="n"/>
      <c r="H8" s="36" t="n"/>
      <c r="I8" s="36" t="n"/>
      <c r="J8" s="74" t="n"/>
      <c r="K8" s="36" t="n"/>
    </row>
    <row r="9">
      <c r="A9" s="118">
        <f>IF($B9="","",COUNT($B$5:$B9))</f>
        <v/>
      </c>
      <c r="B9" s="80" t="n"/>
      <c r="C9" s="130">
        <f>IF($B9="","",CHOOSE(WEEKDAY($B9),"일","월","화","수","목","금","토"))</f>
        <v/>
      </c>
      <c r="D9" s="74" t="n"/>
      <c r="E9" s="130">
        <f>IF($D9="","",IFERROR(INDEX(코드설정!$D$5:$D$24,MATCH($D9,코드설정!$C$5:$C$24,0)),""))</f>
        <v/>
      </c>
      <c r="F9" s="74" t="n"/>
      <c r="G9" s="74" t="n"/>
      <c r="H9" s="36" t="n"/>
      <c r="I9" s="36" t="n"/>
      <c r="J9" s="74" t="n"/>
      <c r="K9" s="36" t="n"/>
    </row>
    <row r="10">
      <c r="A10" s="118">
        <f>IF($B10="","",COUNT($B$5:$B10))</f>
        <v/>
      </c>
      <c r="B10" s="80" t="n"/>
      <c r="C10" s="130">
        <f>IF($B10="","",CHOOSE(WEEKDAY($B10),"일","월","화","수","목","금","토"))</f>
        <v/>
      </c>
      <c r="D10" s="74" t="n"/>
      <c r="E10" s="130">
        <f>IF($D10="","",IFERROR(INDEX(코드설정!$D$5:$D$24,MATCH($D10,코드설정!$C$5:$C$24,0)),""))</f>
        <v/>
      </c>
      <c r="F10" s="74" t="n"/>
      <c r="G10" s="74" t="n"/>
      <c r="H10" s="36" t="n"/>
      <c r="I10" s="36" t="n"/>
      <c r="J10" s="74" t="n"/>
      <c r="K10" s="36" t="n"/>
    </row>
    <row r="11">
      <c r="A11" s="118">
        <f>IF($B11="","",COUNT($B$5:$B11))</f>
        <v/>
      </c>
      <c r="B11" s="80" t="n"/>
      <c r="C11" s="130">
        <f>IF($B11="","",CHOOSE(WEEKDAY($B11),"일","월","화","수","목","금","토"))</f>
        <v/>
      </c>
      <c r="D11" s="74" t="n"/>
      <c r="E11" s="130">
        <f>IF($D11="","",IFERROR(INDEX(코드설정!$D$5:$D$24,MATCH($D11,코드설정!$C$5:$C$24,0)),""))</f>
        <v/>
      </c>
      <c r="F11" s="74" t="n"/>
      <c r="G11" s="74" t="n"/>
      <c r="H11" s="36" t="n"/>
      <c r="I11" s="36" t="n"/>
      <c r="J11" s="74" t="n"/>
      <c r="K11" s="36" t="n"/>
    </row>
    <row r="12">
      <c r="A12" s="118">
        <f>IF($B12="","",COUNT($B$5:$B12))</f>
        <v/>
      </c>
      <c r="B12" s="80" t="n"/>
      <c r="C12" s="130">
        <f>IF($B12="","",CHOOSE(WEEKDAY($B12),"일","월","화","수","목","금","토"))</f>
        <v/>
      </c>
      <c r="D12" s="74" t="n"/>
      <c r="E12" s="130">
        <f>IF($D12="","",IFERROR(INDEX(코드설정!$D$5:$D$24,MATCH($D12,코드설정!$C$5:$C$24,0)),""))</f>
        <v/>
      </c>
      <c r="F12" s="74" t="n"/>
      <c r="G12" s="74" t="n"/>
      <c r="H12" s="36" t="n"/>
      <c r="I12" s="36" t="n"/>
      <c r="J12" s="74" t="n"/>
      <c r="K12" s="36" t="n"/>
    </row>
    <row r="13">
      <c r="A13" s="118">
        <f>IF($B13="","",COUNT($B$5:$B13))</f>
        <v/>
      </c>
      <c r="B13" s="80" t="n"/>
      <c r="C13" s="130">
        <f>IF($B13="","",CHOOSE(WEEKDAY($B13),"일","월","화","수","목","금","토"))</f>
        <v/>
      </c>
      <c r="D13" s="74" t="n"/>
      <c r="E13" s="130">
        <f>IF($D13="","",IFERROR(INDEX(코드설정!$D$5:$D$24,MATCH($D13,코드설정!$C$5:$C$24,0)),""))</f>
        <v/>
      </c>
      <c r="F13" s="74" t="n"/>
      <c r="G13" s="74" t="n"/>
      <c r="H13" s="36" t="n"/>
      <c r="I13" s="36" t="n"/>
      <c r="J13" s="74" t="n"/>
      <c r="K13" s="36" t="n"/>
    </row>
    <row r="14">
      <c r="A14" s="118">
        <f>IF($B14="","",COUNT($B$5:$B14))</f>
        <v/>
      </c>
      <c r="B14" s="80" t="n"/>
      <c r="C14" s="130">
        <f>IF($B14="","",CHOOSE(WEEKDAY($B14),"일","월","화","수","목","금","토"))</f>
        <v/>
      </c>
      <c r="D14" s="74" t="n"/>
      <c r="E14" s="130">
        <f>IF($D14="","",IFERROR(INDEX(코드설정!$D$5:$D$24,MATCH($D14,코드설정!$C$5:$C$24,0)),""))</f>
        <v/>
      </c>
      <c r="F14" s="74" t="n"/>
      <c r="G14" s="74" t="n"/>
      <c r="H14" s="36" t="n"/>
      <c r="I14" s="36" t="n"/>
      <c r="J14" s="74" t="n"/>
      <c r="K14" s="36" t="n"/>
    </row>
    <row r="15">
      <c r="A15" s="118">
        <f>IF($B15="","",COUNT($B$5:$B15))</f>
        <v/>
      </c>
      <c r="B15" s="80" t="n"/>
      <c r="C15" s="130">
        <f>IF($B15="","",CHOOSE(WEEKDAY($B15),"일","월","화","수","목","금","토"))</f>
        <v/>
      </c>
      <c r="D15" s="74" t="n"/>
      <c r="E15" s="130">
        <f>IF($D15="","",IFERROR(INDEX(코드설정!$D$5:$D$24,MATCH($D15,코드설정!$C$5:$C$24,0)),""))</f>
        <v/>
      </c>
      <c r="F15" s="74" t="n"/>
      <c r="G15" s="74" t="n"/>
      <c r="H15" s="36" t="n"/>
      <c r="I15" s="36" t="n"/>
      <c r="J15" s="74" t="n"/>
      <c r="K15" s="36" t="n"/>
    </row>
    <row r="16">
      <c r="A16" s="118">
        <f>IF($B16="","",COUNT($B$5:$B16))</f>
        <v/>
      </c>
      <c r="B16" s="80" t="n"/>
      <c r="C16" s="130">
        <f>IF($B16="","",CHOOSE(WEEKDAY($B16),"일","월","화","수","목","금","토"))</f>
        <v/>
      </c>
      <c r="D16" s="74" t="n"/>
      <c r="E16" s="130">
        <f>IF($D16="","",IFERROR(INDEX(코드설정!$D$5:$D$24,MATCH($D16,코드설정!$C$5:$C$24,0)),""))</f>
        <v/>
      </c>
      <c r="F16" s="74" t="n"/>
      <c r="G16" s="74" t="n"/>
      <c r="H16" s="36" t="n"/>
      <c r="I16" s="36" t="n"/>
      <c r="J16" s="74" t="n"/>
      <c r="K16" s="36" t="n"/>
    </row>
    <row r="17">
      <c r="A17" s="118">
        <f>IF($B17="","",COUNT($B$5:$B17))</f>
        <v/>
      </c>
      <c r="B17" s="80" t="n"/>
      <c r="C17" s="130">
        <f>IF($B17="","",CHOOSE(WEEKDAY($B17),"일","월","화","수","목","금","토"))</f>
        <v/>
      </c>
      <c r="D17" s="74" t="n"/>
      <c r="E17" s="130">
        <f>IF($D17="","",IFERROR(INDEX(코드설정!$D$5:$D$24,MATCH($D17,코드설정!$C$5:$C$24,0)),""))</f>
        <v/>
      </c>
      <c r="F17" s="74" t="n"/>
      <c r="G17" s="74" t="n"/>
      <c r="H17" s="36" t="n"/>
      <c r="I17" s="36" t="n"/>
      <c r="J17" s="74" t="n"/>
      <c r="K17" s="36" t="n"/>
    </row>
    <row r="18">
      <c r="A18" s="118">
        <f>IF($B18="","",COUNT($B$5:$B18))</f>
        <v/>
      </c>
      <c r="B18" s="80" t="n"/>
      <c r="C18" s="130">
        <f>IF($B18="","",CHOOSE(WEEKDAY($B18),"일","월","화","수","목","금","토"))</f>
        <v/>
      </c>
      <c r="D18" s="74" t="n"/>
      <c r="E18" s="130">
        <f>IF($D18="","",IFERROR(INDEX(코드설정!$D$5:$D$24,MATCH($D18,코드설정!$C$5:$C$24,0)),""))</f>
        <v/>
      </c>
      <c r="F18" s="74" t="n"/>
      <c r="G18" s="74" t="n"/>
      <c r="H18" s="36" t="n"/>
      <c r="I18" s="36" t="n"/>
      <c r="J18" s="74" t="n"/>
      <c r="K18" s="36" t="n"/>
    </row>
    <row r="19">
      <c r="A19" s="118">
        <f>IF($B19="","",COUNT($B$5:$B19))</f>
        <v/>
      </c>
      <c r="B19" s="80" t="n"/>
      <c r="C19" s="130">
        <f>IF($B19="","",CHOOSE(WEEKDAY($B19),"일","월","화","수","목","금","토"))</f>
        <v/>
      </c>
      <c r="D19" s="74" t="n"/>
      <c r="E19" s="130">
        <f>IF($D19="","",IFERROR(INDEX(코드설정!$D$5:$D$24,MATCH($D19,코드설정!$C$5:$C$24,0)),""))</f>
        <v/>
      </c>
      <c r="F19" s="74" t="n"/>
      <c r="G19" s="74" t="n"/>
      <c r="H19" s="36" t="n"/>
      <c r="I19" s="36" t="n"/>
      <c r="J19" s="74" t="n"/>
      <c r="K19" s="36" t="n"/>
    </row>
    <row r="20">
      <c r="A20" s="118">
        <f>IF($B20="","",COUNT($B$5:$B20))</f>
        <v/>
      </c>
      <c r="B20" s="80" t="n"/>
      <c r="C20" s="130">
        <f>IF($B20="","",CHOOSE(WEEKDAY($B20),"일","월","화","수","목","금","토"))</f>
        <v/>
      </c>
      <c r="D20" s="74" t="n"/>
      <c r="E20" s="130">
        <f>IF($D20="","",IFERROR(INDEX(코드설정!$D$5:$D$24,MATCH($D20,코드설정!$C$5:$C$24,0)),""))</f>
        <v/>
      </c>
      <c r="F20" s="74" t="n"/>
      <c r="G20" s="74" t="n"/>
      <c r="H20" s="36" t="n"/>
      <c r="I20" s="36" t="n"/>
      <c r="J20" s="74" t="n"/>
      <c r="K20" s="36" t="n"/>
    </row>
    <row r="21">
      <c r="A21" s="118">
        <f>IF($B21="","",COUNT($B$5:$B21))</f>
        <v/>
      </c>
      <c r="B21" s="80" t="n"/>
      <c r="C21" s="130">
        <f>IF($B21="","",CHOOSE(WEEKDAY($B21),"일","월","화","수","목","금","토"))</f>
        <v/>
      </c>
      <c r="D21" s="74" t="n"/>
      <c r="E21" s="130">
        <f>IF($D21="","",IFERROR(INDEX(코드설정!$D$5:$D$24,MATCH($D21,코드설정!$C$5:$C$24,0)),""))</f>
        <v/>
      </c>
      <c r="F21" s="74" t="n"/>
      <c r="G21" s="74" t="n"/>
      <c r="H21" s="36" t="n"/>
      <c r="I21" s="36" t="n"/>
      <c r="J21" s="74" t="n"/>
      <c r="K21" s="36" t="n"/>
    </row>
    <row r="22">
      <c r="A22" s="118">
        <f>IF($B22="","",COUNT($B$5:$B22))</f>
        <v/>
      </c>
      <c r="B22" s="80" t="n"/>
      <c r="C22" s="130">
        <f>IF($B22="","",CHOOSE(WEEKDAY($B22),"일","월","화","수","목","금","토"))</f>
        <v/>
      </c>
      <c r="D22" s="74" t="n"/>
      <c r="E22" s="130">
        <f>IF($D22="","",IFERROR(INDEX(코드설정!$D$5:$D$24,MATCH($D22,코드설정!$C$5:$C$24,0)),""))</f>
        <v/>
      </c>
      <c r="F22" s="74" t="n"/>
      <c r="G22" s="74" t="n"/>
      <c r="H22" s="36" t="n"/>
      <c r="I22" s="36" t="n"/>
      <c r="J22" s="74" t="n"/>
      <c r="K22" s="36" t="n"/>
    </row>
    <row r="23">
      <c r="A23" s="118">
        <f>IF($B23="","",COUNT($B$5:$B23))</f>
        <v/>
      </c>
      <c r="B23" s="80" t="n"/>
      <c r="C23" s="130">
        <f>IF($B23="","",CHOOSE(WEEKDAY($B23),"일","월","화","수","목","금","토"))</f>
        <v/>
      </c>
      <c r="D23" s="74" t="n"/>
      <c r="E23" s="130">
        <f>IF($D23="","",IFERROR(INDEX(코드설정!$D$5:$D$24,MATCH($D23,코드설정!$C$5:$C$24,0)),""))</f>
        <v/>
      </c>
      <c r="F23" s="74" t="n"/>
      <c r="G23" s="74" t="n"/>
      <c r="H23" s="36" t="n"/>
      <c r="I23" s="36" t="n"/>
      <c r="J23" s="74" t="n"/>
      <c r="K23" s="36" t="n"/>
    </row>
    <row r="24">
      <c r="A24" s="118">
        <f>IF($B24="","",COUNT($B$5:$B24))</f>
        <v/>
      </c>
      <c r="B24" s="80" t="n"/>
      <c r="C24" s="130">
        <f>IF($B24="","",CHOOSE(WEEKDAY($B24),"일","월","화","수","목","금","토"))</f>
        <v/>
      </c>
      <c r="D24" s="74" t="n"/>
      <c r="E24" s="130">
        <f>IF($D24="","",IFERROR(INDEX(코드설정!$D$5:$D$24,MATCH($D24,코드설정!$C$5:$C$24,0)),""))</f>
        <v/>
      </c>
      <c r="F24" s="74" t="n"/>
      <c r="G24" s="74" t="n"/>
      <c r="H24" s="36" t="n"/>
      <c r="I24" s="36" t="n"/>
      <c r="J24" s="74" t="n"/>
      <c r="K24" s="36" t="n"/>
    </row>
    <row r="25">
      <c r="A25" s="118">
        <f>IF($B25="","",COUNT($B$5:$B25))</f>
        <v/>
      </c>
      <c r="B25" s="80" t="n"/>
      <c r="C25" s="130">
        <f>IF($B25="","",CHOOSE(WEEKDAY($B25),"일","월","화","수","목","금","토"))</f>
        <v/>
      </c>
      <c r="D25" s="74" t="n"/>
      <c r="E25" s="130">
        <f>IF($D25="","",IFERROR(INDEX(코드설정!$D$5:$D$24,MATCH($D25,코드설정!$C$5:$C$24,0)),""))</f>
        <v/>
      </c>
      <c r="F25" s="74" t="n"/>
      <c r="G25" s="74" t="n"/>
      <c r="H25" s="36" t="n"/>
      <c r="I25" s="36" t="n"/>
      <c r="J25" s="74" t="n"/>
      <c r="K25" s="36" t="n"/>
    </row>
    <row r="26">
      <c r="A26" s="118">
        <f>IF($B26="","",COUNT($B$5:$B26))</f>
        <v/>
      </c>
      <c r="B26" s="80" t="n"/>
      <c r="C26" s="130">
        <f>IF($B26="","",CHOOSE(WEEKDAY($B26),"일","월","화","수","목","금","토"))</f>
        <v/>
      </c>
      <c r="D26" s="74" t="n"/>
      <c r="E26" s="130">
        <f>IF($D26="","",IFERROR(INDEX(코드설정!$D$5:$D$24,MATCH($D26,코드설정!$C$5:$C$24,0)),""))</f>
        <v/>
      </c>
      <c r="F26" s="74" t="n"/>
      <c r="G26" s="74" t="n"/>
      <c r="H26" s="36" t="n"/>
      <c r="I26" s="36" t="n"/>
      <c r="J26" s="74" t="n"/>
      <c r="K26" s="36" t="n"/>
    </row>
    <row r="27">
      <c r="A27" s="118">
        <f>IF($B27="","",COUNT($B$5:$B27))</f>
        <v/>
      </c>
      <c r="B27" s="80" t="n"/>
      <c r="C27" s="130">
        <f>IF($B27="","",CHOOSE(WEEKDAY($B27),"일","월","화","수","목","금","토"))</f>
        <v/>
      </c>
      <c r="D27" s="74" t="n"/>
      <c r="E27" s="130">
        <f>IF($D27="","",IFERROR(INDEX(코드설정!$D$5:$D$24,MATCH($D27,코드설정!$C$5:$C$24,0)),""))</f>
        <v/>
      </c>
      <c r="F27" s="74" t="n"/>
      <c r="G27" s="74" t="n"/>
      <c r="H27" s="36" t="n"/>
      <c r="I27" s="36" t="n"/>
      <c r="J27" s="74" t="n"/>
      <c r="K27" s="36" t="n"/>
    </row>
    <row r="28">
      <c r="A28" s="118">
        <f>IF($B28="","",COUNT($B$5:$B28))</f>
        <v/>
      </c>
      <c r="B28" s="80" t="n"/>
      <c r="C28" s="130">
        <f>IF($B28="","",CHOOSE(WEEKDAY($B28),"일","월","화","수","목","금","토"))</f>
        <v/>
      </c>
      <c r="D28" s="74" t="n"/>
      <c r="E28" s="130">
        <f>IF($D28="","",IFERROR(INDEX(코드설정!$D$5:$D$24,MATCH($D28,코드설정!$C$5:$C$24,0)),""))</f>
        <v/>
      </c>
      <c r="F28" s="74" t="n"/>
      <c r="G28" s="74" t="n"/>
      <c r="H28" s="36" t="n"/>
      <c r="I28" s="36" t="n"/>
      <c r="J28" s="74" t="n"/>
      <c r="K28" s="36" t="n"/>
    </row>
    <row r="29">
      <c r="A29" s="118">
        <f>IF($B29="","",COUNT($B$5:$B29))</f>
        <v/>
      </c>
      <c r="B29" s="80" t="n"/>
      <c r="C29" s="130">
        <f>IF($B29="","",CHOOSE(WEEKDAY($B29),"일","월","화","수","목","금","토"))</f>
        <v/>
      </c>
      <c r="D29" s="74" t="n"/>
      <c r="E29" s="130">
        <f>IF($D29="","",IFERROR(INDEX(코드설정!$D$5:$D$24,MATCH($D29,코드설정!$C$5:$C$24,0)),""))</f>
        <v/>
      </c>
      <c r="F29" s="74" t="n"/>
      <c r="G29" s="74" t="n"/>
      <c r="H29" s="36" t="n"/>
      <c r="I29" s="36" t="n"/>
      <c r="J29" s="74" t="n"/>
      <c r="K29" s="36" t="n"/>
    </row>
    <row r="30">
      <c r="A30" s="118">
        <f>IF($B30="","",COUNT($B$5:$B30))</f>
        <v/>
      </c>
      <c r="B30" s="80" t="n"/>
      <c r="C30" s="130">
        <f>IF($B30="","",CHOOSE(WEEKDAY($B30),"일","월","화","수","목","금","토"))</f>
        <v/>
      </c>
      <c r="D30" s="74" t="n"/>
      <c r="E30" s="130">
        <f>IF($D30="","",IFERROR(INDEX(코드설정!$D$5:$D$24,MATCH($D30,코드설정!$C$5:$C$24,0)),""))</f>
        <v/>
      </c>
      <c r="F30" s="74" t="n"/>
      <c r="G30" s="74" t="n"/>
      <c r="H30" s="36" t="n"/>
      <c r="I30" s="36" t="n"/>
      <c r="J30" s="74" t="n"/>
      <c r="K30" s="36" t="n"/>
    </row>
    <row r="31">
      <c r="A31" s="118">
        <f>IF($B31="","",COUNT($B$5:$B31))</f>
        <v/>
      </c>
      <c r="B31" s="80" t="n"/>
      <c r="C31" s="130">
        <f>IF($B31="","",CHOOSE(WEEKDAY($B31),"일","월","화","수","목","금","토"))</f>
        <v/>
      </c>
      <c r="D31" s="74" t="n"/>
      <c r="E31" s="130">
        <f>IF($D31="","",IFERROR(INDEX(코드설정!$D$5:$D$24,MATCH($D31,코드설정!$C$5:$C$24,0)),""))</f>
        <v/>
      </c>
      <c r="F31" s="74" t="n"/>
      <c r="G31" s="74" t="n"/>
      <c r="H31" s="36" t="n"/>
      <c r="I31" s="36" t="n"/>
      <c r="J31" s="74" t="n"/>
      <c r="K31" s="36" t="n"/>
    </row>
    <row r="32">
      <c r="A32" s="118">
        <f>IF($B32="","",COUNT($B$5:$B32))</f>
        <v/>
      </c>
      <c r="B32" s="80" t="n"/>
      <c r="C32" s="130">
        <f>IF($B32="","",CHOOSE(WEEKDAY($B32),"일","월","화","수","목","금","토"))</f>
        <v/>
      </c>
      <c r="D32" s="74" t="n"/>
      <c r="E32" s="130">
        <f>IF($D32="","",IFERROR(INDEX(코드설정!$D$5:$D$24,MATCH($D32,코드설정!$C$5:$C$24,0)),""))</f>
        <v/>
      </c>
      <c r="F32" s="74" t="n"/>
      <c r="G32" s="74" t="n"/>
      <c r="H32" s="36" t="n"/>
      <c r="I32" s="36" t="n"/>
      <c r="J32" s="74" t="n"/>
      <c r="K32" s="36" t="n"/>
    </row>
    <row r="33">
      <c r="A33" s="118">
        <f>IF($B33="","",COUNT($B$5:$B33))</f>
        <v/>
      </c>
      <c r="B33" s="80" t="n"/>
      <c r="C33" s="130">
        <f>IF($B33="","",CHOOSE(WEEKDAY($B33),"일","월","화","수","목","금","토"))</f>
        <v/>
      </c>
      <c r="D33" s="74" t="n"/>
      <c r="E33" s="130">
        <f>IF($D33="","",IFERROR(INDEX(코드설정!$D$5:$D$24,MATCH($D33,코드설정!$C$5:$C$24,0)),""))</f>
        <v/>
      </c>
      <c r="F33" s="74" t="n"/>
      <c r="G33" s="74" t="n"/>
      <c r="H33" s="36" t="n"/>
      <c r="I33" s="36" t="n"/>
      <c r="J33" s="74" t="n"/>
      <c r="K33" s="36" t="n"/>
    </row>
    <row r="34">
      <c r="A34" s="118">
        <f>IF($B34="","",COUNT($B$5:$B34))</f>
        <v/>
      </c>
      <c r="B34" s="80" t="n"/>
      <c r="C34" s="130">
        <f>IF($B34="","",CHOOSE(WEEKDAY($B34),"일","월","화","수","목","금","토"))</f>
        <v/>
      </c>
      <c r="D34" s="74" t="n"/>
      <c r="E34" s="130">
        <f>IF($D34="","",IFERROR(INDEX(코드설정!$D$5:$D$24,MATCH($D34,코드설정!$C$5:$C$24,0)),""))</f>
        <v/>
      </c>
      <c r="F34" s="74" t="n"/>
      <c r="G34" s="74" t="n"/>
      <c r="H34" s="36" t="n"/>
      <c r="I34" s="36" t="n"/>
      <c r="J34" s="74" t="n"/>
      <c r="K34" s="36" t="n"/>
    </row>
    <row r="35">
      <c r="A35" s="118">
        <f>IF($B35="","",COUNT($B$5:$B35))</f>
        <v/>
      </c>
      <c r="B35" s="80" t="n"/>
      <c r="C35" s="130">
        <f>IF($B35="","",CHOOSE(WEEKDAY($B35),"일","월","화","수","목","금","토"))</f>
        <v/>
      </c>
      <c r="D35" s="74" t="n"/>
      <c r="E35" s="130">
        <f>IF($D35="","",IFERROR(INDEX(코드설정!$D$5:$D$24,MATCH($D35,코드설정!$C$5:$C$24,0)),""))</f>
        <v/>
      </c>
      <c r="F35" s="74" t="n"/>
      <c r="G35" s="74" t="n"/>
      <c r="H35" s="36" t="n"/>
      <c r="I35" s="36" t="n"/>
      <c r="J35" s="74" t="n"/>
      <c r="K35" s="36" t="n"/>
    </row>
    <row r="36">
      <c r="A36" s="118">
        <f>IF($B36="","",COUNT($B$5:$B36))</f>
        <v/>
      </c>
      <c r="B36" s="80" t="n"/>
      <c r="C36" s="130">
        <f>IF($B36="","",CHOOSE(WEEKDAY($B36),"일","월","화","수","목","금","토"))</f>
        <v/>
      </c>
      <c r="D36" s="74" t="n"/>
      <c r="E36" s="130">
        <f>IF($D36="","",IFERROR(INDEX(코드설정!$D$5:$D$24,MATCH($D36,코드설정!$C$5:$C$24,0)),""))</f>
        <v/>
      </c>
      <c r="F36" s="74" t="n"/>
      <c r="G36" s="74" t="n"/>
      <c r="H36" s="36" t="n"/>
      <c r="I36" s="36" t="n"/>
      <c r="J36" s="74" t="n"/>
      <c r="K36" s="36" t="n"/>
    </row>
    <row r="37">
      <c r="A37" s="118">
        <f>IF($B37="","",COUNT($B$5:$B37))</f>
        <v/>
      </c>
      <c r="B37" s="80" t="n"/>
      <c r="C37" s="130">
        <f>IF($B37="","",CHOOSE(WEEKDAY($B37),"일","월","화","수","목","금","토"))</f>
        <v/>
      </c>
      <c r="D37" s="74" t="n"/>
      <c r="E37" s="130">
        <f>IF($D37="","",IFERROR(INDEX(코드설정!$D$5:$D$24,MATCH($D37,코드설정!$C$5:$C$24,0)),""))</f>
        <v/>
      </c>
      <c r="F37" s="74" t="n"/>
      <c r="G37" s="74" t="n"/>
      <c r="H37" s="36" t="n"/>
      <c r="I37" s="36" t="n"/>
      <c r="J37" s="74" t="n"/>
      <c r="K37" s="36" t="n"/>
    </row>
    <row r="38">
      <c r="A38" s="118">
        <f>IF($B38="","",COUNT($B$5:$B38))</f>
        <v/>
      </c>
      <c r="B38" s="80" t="n"/>
      <c r="C38" s="130">
        <f>IF($B38="","",CHOOSE(WEEKDAY($B38),"일","월","화","수","목","금","토"))</f>
        <v/>
      </c>
      <c r="D38" s="74" t="n"/>
      <c r="E38" s="130">
        <f>IF($D38="","",IFERROR(INDEX(코드설정!$D$5:$D$24,MATCH($D38,코드설정!$C$5:$C$24,0)),""))</f>
        <v/>
      </c>
      <c r="F38" s="74" t="n"/>
      <c r="G38" s="74" t="n"/>
      <c r="H38" s="36" t="n"/>
      <c r="I38" s="36" t="n"/>
      <c r="J38" s="74" t="n"/>
      <c r="K38" s="36" t="n"/>
    </row>
    <row r="39">
      <c r="A39" s="118">
        <f>IF($B39="","",COUNT($B$5:$B39))</f>
        <v/>
      </c>
      <c r="B39" s="80" t="n"/>
      <c r="C39" s="130">
        <f>IF($B39="","",CHOOSE(WEEKDAY($B39),"일","월","화","수","목","금","토"))</f>
        <v/>
      </c>
      <c r="D39" s="74" t="n"/>
      <c r="E39" s="130">
        <f>IF($D39="","",IFERROR(INDEX(코드설정!$D$5:$D$24,MATCH($D39,코드설정!$C$5:$C$24,0)),""))</f>
        <v/>
      </c>
      <c r="F39" s="74" t="n"/>
      <c r="G39" s="74" t="n"/>
      <c r="H39" s="36" t="n"/>
      <c r="I39" s="36" t="n"/>
      <c r="J39" s="74" t="n"/>
      <c r="K39" s="36" t="n"/>
    </row>
    <row r="40">
      <c r="A40" s="118">
        <f>IF($B40="","",COUNT($B$5:$B40))</f>
        <v/>
      </c>
      <c r="B40" s="80" t="n"/>
      <c r="C40" s="130">
        <f>IF($B40="","",CHOOSE(WEEKDAY($B40),"일","월","화","수","목","금","토"))</f>
        <v/>
      </c>
      <c r="D40" s="74" t="n"/>
      <c r="E40" s="130">
        <f>IF($D40="","",IFERROR(INDEX(코드설정!$D$5:$D$24,MATCH($D40,코드설정!$C$5:$C$24,0)),""))</f>
        <v/>
      </c>
      <c r="F40" s="74" t="n"/>
      <c r="G40" s="74" t="n"/>
      <c r="H40" s="36" t="n"/>
      <c r="I40" s="36" t="n"/>
      <c r="J40" s="74" t="n"/>
      <c r="K40" s="36" t="n"/>
    </row>
    <row r="41">
      <c r="A41" s="118">
        <f>IF($B41="","",COUNT($B$5:$B41))</f>
        <v/>
      </c>
      <c r="B41" s="80" t="n"/>
      <c r="C41" s="130">
        <f>IF($B41="","",CHOOSE(WEEKDAY($B41),"일","월","화","수","목","금","토"))</f>
        <v/>
      </c>
      <c r="D41" s="74" t="n"/>
      <c r="E41" s="130">
        <f>IF($D41="","",IFERROR(INDEX(코드설정!$D$5:$D$24,MATCH($D41,코드설정!$C$5:$C$24,0)),""))</f>
        <v/>
      </c>
      <c r="F41" s="74" t="n"/>
      <c r="G41" s="74" t="n"/>
      <c r="H41" s="36" t="n"/>
      <c r="I41" s="36" t="n"/>
      <c r="J41" s="74" t="n"/>
      <c r="K41" s="36" t="n"/>
    </row>
    <row r="42">
      <c r="A42" s="118">
        <f>IF($B42="","",COUNT($B$5:$B42))</f>
        <v/>
      </c>
      <c r="B42" s="80" t="n"/>
      <c r="C42" s="130">
        <f>IF($B42="","",CHOOSE(WEEKDAY($B42),"일","월","화","수","목","금","토"))</f>
        <v/>
      </c>
      <c r="D42" s="74" t="n"/>
      <c r="E42" s="130">
        <f>IF($D42="","",IFERROR(INDEX(코드설정!$D$5:$D$24,MATCH($D42,코드설정!$C$5:$C$24,0)),""))</f>
        <v/>
      </c>
      <c r="F42" s="74" t="n"/>
      <c r="G42" s="74" t="n"/>
      <c r="H42" s="36" t="n"/>
      <c r="I42" s="36" t="n"/>
      <c r="J42" s="74" t="n"/>
      <c r="K42" s="36" t="n"/>
    </row>
    <row r="43">
      <c r="A43" s="118">
        <f>IF($B43="","",COUNT($B$5:$B43))</f>
        <v/>
      </c>
      <c r="B43" s="80" t="n"/>
      <c r="C43" s="130">
        <f>IF($B43="","",CHOOSE(WEEKDAY($B43),"일","월","화","수","목","금","토"))</f>
        <v/>
      </c>
      <c r="D43" s="74" t="n"/>
      <c r="E43" s="130">
        <f>IF($D43="","",IFERROR(INDEX(코드설정!$D$5:$D$24,MATCH($D43,코드설정!$C$5:$C$24,0)),""))</f>
        <v/>
      </c>
      <c r="F43" s="74" t="n"/>
      <c r="G43" s="74" t="n"/>
      <c r="H43" s="36" t="n"/>
      <c r="I43" s="36" t="n"/>
      <c r="J43" s="74" t="n"/>
      <c r="K43" s="36" t="n"/>
    </row>
    <row r="44">
      <c r="A44" s="118">
        <f>IF($B44="","",COUNT($B$5:$B44))</f>
        <v/>
      </c>
      <c r="B44" s="80" t="n"/>
      <c r="C44" s="130">
        <f>IF($B44="","",CHOOSE(WEEKDAY($B44),"일","월","화","수","목","금","토"))</f>
        <v/>
      </c>
      <c r="D44" s="74" t="n"/>
      <c r="E44" s="130">
        <f>IF($D44="","",IFERROR(INDEX(코드설정!$D$5:$D$24,MATCH($D44,코드설정!$C$5:$C$24,0)),""))</f>
        <v/>
      </c>
      <c r="F44" s="74" t="n"/>
      <c r="G44" s="74" t="n"/>
      <c r="H44" s="36" t="n"/>
      <c r="I44" s="36" t="n"/>
      <c r="J44" s="74" t="n"/>
      <c r="K44" s="36" t="n"/>
    </row>
    <row r="45">
      <c r="A45" s="118">
        <f>IF($B45="","",COUNT($B$5:$B45))</f>
        <v/>
      </c>
      <c r="B45" s="80" t="n"/>
      <c r="C45" s="130">
        <f>IF($B45="","",CHOOSE(WEEKDAY($B45),"일","월","화","수","목","금","토"))</f>
        <v/>
      </c>
      <c r="D45" s="74" t="n"/>
      <c r="E45" s="130">
        <f>IF($D45="","",IFERROR(INDEX(코드설정!$D$5:$D$24,MATCH($D45,코드설정!$C$5:$C$24,0)),""))</f>
        <v/>
      </c>
      <c r="F45" s="74" t="n"/>
      <c r="G45" s="74" t="n"/>
      <c r="H45" s="36" t="n"/>
      <c r="I45" s="36" t="n"/>
      <c r="J45" s="74" t="n"/>
      <c r="K45" s="36" t="n"/>
    </row>
    <row r="46">
      <c r="A46" s="118">
        <f>IF($B46="","",COUNT($B$5:$B46))</f>
        <v/>
      </c>
      <c r="B46" s="80" t="n"/>
      <c r="C46" s="130">
        <f>IF($B46="","",CHOOSE(WEEKDAY($B46),"일","월","화","수","목","금","토"))</f>
        <v/>
      </c>
      <c r="D46" s="74" t="n"/>
      <c r="E46" s="130">
        <f>IF($D46="","",IFERROR(INDEX(코드설정!$D$5:$D$24,MATCH($D46,코드설정!$C$5:$C$24,0)),""))</f>
        <v/>
      </c>
      <c r="F46" s="74" t="n"/>
      <c r="G46" s="74" t="n"/>
      <c r="H46" s="36" t="n"/>
      <c r="I46" s="36" t="n"/>
      <c r="J46" s="74" t="n"/>
      <c r="K46" s="36" t="n"/>
    </row>
    <row r="47">
      <c r="A47" s="118">
        <f>IF($B47="","",COUNT($B$5:$B47))</f>
        <v/>
      </c>
      <c r="B47" s="80" t="n"/>
      <c r="C47" s="130">
        <f>IF($B47="","",CHOOSE(WEEKDAY($B47),"일","월","화","수","목","금","토"))</f>
        <v/>
      </c>
      <c r="D47" s="74" t="n"/>
      <c r="E47" s="130">
        <f>IF($D47="","",IFERROR(INDEX(코드설정!$D$5:$D$24,MATCH($D47,코드설정!$C$5:$C$24,0)),""))</f>
        <v/>
      </c>
      <c r="F47" s="74" t="n"/>
      <c r="G47" s="74" t="n"/>
      <c r="H47" s="36" t="n"/>
      <c r="I47" s="36" t="n"/>
      <c r="J47" s="74" t="n"/>
      <c r="K47" s="36" t="n"/>
    </row>
    <row r="48">
      <c r="A48" s="118">
        <f>IF($B48="","",COUNT($B$5:$B48))</f>
        <v/>
      </c>
      <c r="B48" s="80" t="n"/>
      <c r="C48" s="130">
        <f>IF($B48="","",CHOOSE(WEEKDAY($B48),"일","월","화","수","목","금","토"))</f>
        <v/>
      </c>
      <c r="D48" s="74" t="n"/>
      <c r="E48" s="130">
        <f>IF($D48="","",IFERROR(INDEX(코드설정!$D$5:$D$24,MATCH($D48,코드설정!$C$5:$C$24,0)),""))</f>
        <v/>
      </c>
      <c r="F48" s="74" t="n"/>
      <c r="G48" s="74" t="n"/>
      <c r="H48" s="36" t="n"/>
      <c r="I48" s="36" t="n"/>
      <c r="J48" s="74" t="n"/>
      <c r="K48" s="36" t="n"/>
    </row>
    <row r="49">
      <c r="A49" s="118">
        <f>IF($B49="","",COUNT($B$5:$B49))</f>
        <v/>
      </c>
      <c r="B49" s="80" t="n"/>
      <c r="C49" s="130">
        <f>IF($B49="","",CHOOSE(WEEKDAY($B49),"일","월","화","수","목","금","토"))</f>
        <v/>
      </c>
      <c r="D49" s="74" t="n"/>
      <c r="E49" s="130">
        <f>IF($D49="","",IFERROR(INDEX(코드설정!$D$5:$D$24,MATCH($D49,코드설정!$C$5:$C$24,0)),""))</f>
        <v/>
      </c>
      <c r="F49" s="74" t="n"/>
      <c r="G49" s="74" t="n"/>
      <c r="H49" s="36" t="n"/>
      <c r="I49" s="36" t="n"/>
      <c r="J49" s="74" t="n"/>
      <c r="K49" s="36" t="n"/>
    </row>
    <row r="50">
      <c r="A50" s="118">
        <f>IF($B50="","",COUNT($B$5:$B50))</f>
        <v/>
      </c>
      <c r="B50" s="80" t="n"/>
      <c r="C50" s="130">
        <f>IF($B50="","",CHOOSE(WEEKDAY($B50),"일","월","화","수","목","금","토"))</f>
        <v/>
      </c>
      <c r="D50" s="74" t="n"/>
      <c r="E50" s="130">
        <f>IF($D50="","",IFERROR(INDEX(코드설정!$D$5:$D$24,MATCH($D50,코드설정!$C$5:$C$24,0)),""))</f>
        <v/>
      </c>
      <c r="F50" s="74" t="n"/>
      <c r="G50" s="74" t="n"/>
      <c r="H50" s="36" t="n"/>
      <c r="I50" s="36" t="n"/>
      <c r="J50" s="74" t="n"/>
      <c r="K50" s="36" t="n"/>
    </row>
    <row r="51">
      <c r="A51" s="118">
        <f>IF($B51="","",COUNT($B$5:$B51))</f>
        <v/>
      </c>
      <c r="B51" s="80" t="n"/>
      <c r="C51" s="130">
        <f>IF($B51="","",CHOOSE(WEEKDAY($B51),"일","월","화","수","목","금","토"))</f>
        <v/>
      </c>
      <c r="D51" s="74" t="n"/>
      <c r="E51" s="130">
        <f>IF($D51="","",IFERROR(INDEX(코드설정!$D$5:$D$24,MATCH($D51,코드설정!$C$5:$C$24,0)),""))</f>
        <v/>
      </c>
      <c r="F51" s="74" t="n"/>
      <c r="G51" s="74" t="n"/>
      <c r="H51" s="36" t="n"/>
      <c r="I51" s="36" t="n"/>
      <c r="J51" s="74" t="n"/>
      <c r="K51" s="36" t="n"/>
    </row>
    <row r="52">
      <c r="A52" s="118">
        <f>IF($B52="","",COUNT($B$5:$B52))</f>
        <v/>
      </c>
      <c r="B52" s="80" t="n"/>
      <c r="C52" s="130">
        <f>IF($B52="","",CHOOSE(WEEKDAY($B52),"일","월","화","수","목","금","토"))</f>
        <v/>
      </c>
      <c r="D52" s="74" t="n"/>
      <c r="E52" s="130">
        <f>IF($D52="","",IFERROR(INDEX(코드설정!$D$5:$D$24,MATCH($D52,코드설정!$C$5:$C$24,0)),""))</f>
        <v/>
      </c>
      <c r="F52" s="74" t="n"/>
      <c r="G52" s="74" t="n"/>
      <c r="H52" s="36" t="n"/>
      <c r="I52" s="36" t="n"/>
      <c r="J52" s="74" t="n"/>
      <c r="K52" s="36" t="n"/>
    </row>
    <row r="53">
      <c r="A53" s="118">
        <f>IF($B53="","",COUNT($B$5:$B53))</f>
        <v/>
      </c>
      <c r="B53" s="80" t="n"/>
      <c r="C53" s="130">
        <f>IF($B53="","",CHOOSE(WEEKDAY($B53),"일","월","화","수","목","금","토"))</f>
        <v/>
      </c>
      <c r="D53" s="74" t="n"/>
      <c r="E53" s="130">
        <f>IF($D53="","",IFERROR(INDEX(코드설정!$D$5:$D$24,MATCH($D53,코드설정!$C$5:$C$24,0)),""))</f>
        <v/>
      </c>
      <c r="F53" s="74" t="n"/>
      <c r="G53" s="74" t="n"/>
      <c r="H53" s="36" t="n"/>
      <c r="I53" s="36" t="n"/>
      <c r="J53" s="74" t="n"/>
      <c r="K53" s="36" t="n"/>
    </row>
    <row r="54">
      <c r="A54" s="118">
        <f>IF($B54="","",COUNT($B$5:$B54))</f>
        <v/>
      </c>
      <c r="B54" s="80" t="n"/>
      <c r="C54" s="130">
        <f>IF($B54="","",CHOOSE(WEEKDAY($B54),"일","월","화","수","목","금","토"))</f>
        <v/>
      </c>
      <c r="D54" s="74" t="n"/>
      <c r="E54" s="130">
        <f>IF($D54="","",IFERROR(INDEX(코드설정!$D$5:$D$24,MATCH($D54,코드설정!$C$5:$C$24,0)),""))</f>
        <v/>
      </c>
      <c r="F54" s="74" t="n"/>
      <c r="G54" s="74" t="n"/>
      <c r="H54" s="36" t="n"/>
      <c r="I54" s="36" t="n"/>
      <c r="J54" s="74" t="n"/>
      <c r="K54" s="36" t="n"/>
    </row>
    <row r="55">
      <c r="A55" s="118">
        <f>IF($B55="","",COUNT($B$5:$B55))</f>
        <v/>
      </c>
      <c r="B55" s="80" t="n"/>
      <c r="C55" s="130">
        <f>IF($B55="","",CHOOSE(WEEKDAY($B55),"일","월","화","수","목","금","토"))</f>
        <v/>
      </c>
      <c r="D55" s="74" t="n"/>
      <c r="E55" s="130">
        <f>IF($D55="","",IFERROR(INDEX(코드설정!$D$5:$D$24,MATCH($D55,코드설정!$C$5:$C$24,0)),""))</f>
        <v/>
      </c>
      <c r="F55" s="74" t="n"/>
      <c r="G55" s="74" t="n"/>
      <c r="H55" s="36" t="n"/>
      <c r="I55" s="36" t="n"/>
      <c r="J55" s="74" t="n"/>
      <c r="K55" s="36" t="n"/>
    </row>
    <row r="56">
      <c r="A56" s="118">
        <f>IF($B56="","",COUNT($B$5:$B56))</f>
        <v/>
      </c>
      <c r="B56" s="80" t="n"/>
      <c r="C56" s="130">
        <f>IF($B56="","",CHOOSE(WEEKDAY($B56),"일","월","화","수","목","금","토"))</f>
        <v/>
      </c>
      <c r="D56" s="74" t="n"/>
      <c r="E56" s="130">
        <f>IF($D56="","",IFERROR(INDEX(코드설정!$D$5:$D$24,MATCH($D56,코드설정!$C$5:$C$24,0)),""))</f>
        <v/>
      </c>
      <c r="F56" s="74" t="n"/>
      <c r="G56" s="74" t="n"/>
      <c r="H56" s="36" t="n"/>
      <c r="I56" s="36" t="n"/>
      <c r="J56" s="74" t="n"/>
      <c r="K56" s="36" t="n"/>
    </row>
    <row r="57">
      <c r="A57" s="118">
        <f>IF($B57="","",COUNT($B$5:$B57))</f>
        <v/>
      </c>
      <c r="B57" s="80" t="n"/>
      <c r="C57" s="130">
        <f>IF($B57="","",CHOOSE(WEEKDAY($B57),"일","월","화","수","목","금","토"))</f>
        <v/>
      </c>
      <c r="D57" s="74" t="n"/>
      <c r="E57" s="130">
        <f>IF($D57="","",IFERROR(INDEX(코드설정!$D$5:$D$24,MATCH($D57,코드설정!$C$5:$C$24,0)),""))</f>
        <v/>
      </c>
      <c r="F57" s="74" t="n"/>
      <c r="G57" s="74" t="n"/>
      <c r="H57" s="36" t="n"/>
      <c r="I57" s="36" t="n"/>
      <c r="J57" s="74" t="n"/>
      <c r="K57" s="36" t="n"/>
    </row>
    <row r="58">
      <c r="A58" s="118">
        <f>IF($B58="","",COUNT($B$5:$B58))</f>
        <v/>
      </c>
      <c r="B58" s="80" t="n"/>
      <c r="C58" s="130">
        <f>IF($B58="","",CHOOSE(WEEKDAY($B58),"일","월","화","수","목","금","토"))</f>
        <v/>
      </c>
      <c r="D58" s="74" t="n"/>
      <c r="E58" s="130">
        <f>IF($D58="","",IFERROR(INDEX(코드설정!$D$5:$D$24,MATCH($D58,코드설정!$C$5:$C$24,0)),""))</f>
        <v/>
      </c>
      <c r="F58" s="74" t="n"/>
      <c r="G58" s="74" t="n"/>
      <c r="H58" s="36" t="n"/>
      <c r="I58" s="36" t="n"/>
      <c r="J58" s="74" t="n"/>
      <c r="K58" s="36" t="n"/>
    </row>
    <row r="59">
      <c r="A59" s="118">
        <f>IF($B59="","",COUNT($B$5:$B59))</f>
        <v/>
      </c>
      <c r="B59" s="80" t="n"/>
      <c r="C59" s="130">
        <f>IF($B59="","",CHOOSE(WEEKDAY($B59),"일","월","화","수","목","금","토"))</f>
        <v/>
      </c>
      <c r="D59" s="74" t="n"/>
      <c r="E59" s="130">
        <f>IF($D59="","",IFERROR(INDEX(코드설정!$D$5:$D$24,MATCH($D59,코드설정!$C$5:$C$24,0)),""))</f>
        <v/>
      </c>
      <c r="F59" s="74" t="n"/>
      <c r="G59" s="74" t="n"/>
      <c r="H59" s="36" t="n"/>
      <c r="I59" s="36" t="n"/>
      <c r="J59" s="74" t="n"/>
      <c r="K59" s="36" t="n"/>
    </row>
    <row r="60">
      <c r="A60" s="118">
        <f>IF($B60="","",COUNT($B$5:$B60))</f>
        <v/>
      </c>
      <c r="B60" s="80" t="n"/>
      <c r="C60" s="130">
        <f>IF($B60="","",CHOOSE(WEEKDAY($B60),"일","월","화","수","목","금","토"))</f>
        <v/>
      </c>
      <c r="D60" s="74" t="n"/>
      <c r="E60" s="130">
        <f>IF($D60="","",IFERROR(INDEX(코드설정!$D$5:$D$24,MATCH($D60,코드설정!$C$5:$C$24,0)),""))</f>
        <v/>
      </c>
      <c r="F60" s="74" t="n"/>
      <c r="G60" s="74" t="n"/>
      <c r="H60" s="36" t="n"/>
      <c r="I60" s="36" t="n"/>
      <c r="J60" s="74" t="n"/>
      <c r="K60" s="36" t="n"/>
    </row>
    <row r="61">
      <c r="A61" s="118">
        <f>IF($B61="","",COUNT($B$5:$B61))</f>
        <v/>
      </c>
      <c r="B61" s="80" t="n"/>
      <c r="C61" s="130">
        <f>IF($B61="","",CHOOSE(WEEKDAY($B61),"일","월","화","수","목","금","토"))</f>
        <v/>
      </c>
      <c r="D61" s="74" t="n"/>
      <c r="E61" s="130">
        <f>IF($D61="","",IFERROR(INDEX(코드설정!$D$5:$D$24,MATCH($D61,코드설정!$C$5:$C$24,0)),""))</f>
        <v/>
      </c>
      <c r="F61" s="74" t="n"/>
      <c r="G61" s="74" t="n"/>
      <c r="H61" s="36" t="n"/>
      <c r="I61" s="36" t="n"/>
      <c r="J61" s="74" t="n"/>
      <c r="K61" s="36" t="n"/>
    </row>
    <row r="62">
      <c r="A62" s="118">
        <f>IF($B62="","",COUNT($B$5:$B62))</f>
        <v/>
      </c>
      <c r="B62" s="80" t="n"/>
      <c r="C62" s="130">
        <f>IF($B62="","",CHOOSE(WEEKDAY($B62),"일","월","화","수","목","금","토"))</f>
        <v/>
      </c>
      <c r="D62" s="74" t="n"/>
      <c r="E62" s="130">
        <f>IF($D62="","",IFERROR(INDEX(코드설정!$D$5:$D$24,MATCH($D62,코드설정!$C$5:$C$24,0)),""))</f>
        <v/>
      </c>
      <c r="F62" s="74" t="n"/>
      <c r="G62" s="74" t="n"/>
      <c r="H62" s="36" t="n"/>
      <c r="I62" s="36" t="n"/>
      <c r="J62" s="74" t="n"/>
      <c r="K62" s="36" t="n"/>
    </row>
    <row r="63">
      <c r="A63" s="118">
        <f>IF($B63="","",COUNT($B$5:$B63))</f>
        <v/>
      </c>
      <c r="B63" s="80" t="n"/>
      <c r="C63" s="130">
        <f>IF($B63="","",CHOOSE(WEEKDAY($B63),"일","월","화","수","목","금","토"))</f>
        <v/>
      </c>
      <c r="D63" s="74" t="n"/>
      <c r="E63" s="130">
        <f>IF($D63="","",IFERROR(INDEX(코드설정!$D$5:$D$24,MATCH($D63,코드설정!$C$5:$C$24,0)),""))</f>
        <v/>
      </c>
      <c r="F63" s="74" t="n"/>
      <c r="G63" s="74" t="n"/>
      <c r="H63" s="36" t="n"/>
      <c r="I63" s="36" t="n"/>
      <c r="J63" s="74" t="n"/>
      <c r="K63" s="36" t="n"/>
    </row>
    <row r="64">
      <c r="A64" s="118">
        <f>IF($B64="","",COUNT($B$5:$B64))</f>
        <v/>
      </c>
      <c r="B64" s="80" t="n"/>
      <c r="C64" s="130">
        <f>IF($B64="","",CHOOSE(WEEKDAY($B64),"일","월","화","수","목","금","토"))</f>
        <v/>
      </c>
      <c r="D64" s="74" t="n"/>
      <c r="E64" s="130">
        <f>IF($D64="","",IFERROR(INDEX(코드설정!$D$5:$D$24,MATCH($D64,코드설정!$C$5:$C$24,0)),""))</f>
        <v/>
      </c>
      <c r="F64" s="74" t="n"/>
      <c r="G64" s="74" t="n"/>
      <c r="H64" s="36" t="n"/>
      <c r="I64" s="36" t="n"/>
      <c r="J64" s="74" t="n"/>
      <c r="K64" s="36" t="n"/>
    </row>
    <row r="65">
      <c r="A65" s="118">
        <f>IF($B65="","",COUNT($B$5:$B65))</f>
        <v/>
      </c>
      <c r="B65" s="80" t="n"/>
      <c r="C65" s="130">
        <f>IF($B65="","",CHOOSE(WEEKDAY($B65),"일","월","화","수","목","금","토"))</f>
        <v/>
      </c>
      <c r="D65" s="74" t="n"/>
      <c r="E65" s="130">
        <f>IF($D65="","",IFERROR(INDEX(코드설정!$D$5:$D$24,MATCH($D65,코드설정!$C$5:$C$24,0)),""))</f>
        <v/>
      </c>
      <c r="F65" s="74" t="n"/>
      <c r="G65" s="74" t="n"/>
      <c r="H65" s="36" t="n"/>
      <c r="I65" s="36" t="n"/>
      <c r="J65" s="74" t="n"/>
      <c r="K65" s="36" t="n"/>
    </row>
    <row r="66">
      <c r="A66" s="118">
        <f>IF($B66="","",COUNT($B$5:$B66))</f>
        <v/>
      </c>
      <c r="B66" s="80" t="n"/>
      <c r="C66" s="130">
        <f>IF($B66="","",CHOOSE(WEEKDAY($B66),"일","월","화","수","목","금","토"))</f>
        <v/>
      </c>
      <c r="D66" s="74" t="n"/>
      <c r="E66" s="130">
        <f>IF($D66="","",IFERROR(INDEX(코드설정!$D$5:$D$24,MATCH($D66,코드설정!$C$5:$C$24,0)),""))</f>
        <v/>
      </c>
      <c r="F66" s="74" t="n"/>
      <c r="G66" s="74" t="n"/>
      <c r="H66" s="36" t="n"/>
      <c r="I66" s="36" t="n"/>
      <c r="J66" s="74" t="n"/>
      <c r="K66" s="36" t="n"/>
    </row>
    <row r="67">
      <c r="A67" s="118">
        <f>IF($B67="","",COUNT($B$5:$B67))</f>
        <v/>
      </c>
      <c r="B67" s="80" t="n"/>
      <c r="C67" s="130">
        <f>IF($B67="","",CHOOSE(WEEKDAY($B67),"일","월","화","수","목","금","토"))</f>
        <v/>
      </c>
      <c r="D67" s="74" t="n"/>
      <c r="E67" s="130">
        <f>IF($D67="","",IFERROR(INDEX(코드설정!$D$5:$D$24,MATCH($D67,코드설정!$C$5:$C$24,0)),""))</f>
        <v/>
      </c>
      <c r="F67" s="74" t="n"/>
      <c r="G67" s="74" t="n"/>
      <c r="H67" s="36" t="n"/>
      <c r="I67" s="36" t="n"/>
      <c r="J67" s="74" t="n"/>
      <c r="K67" s="36" t="n"/>
    </row>
    <row r="68">
      <c r="A68" s="118">
        <f>IF($B68="","",COUNT($B$5:$B68))</f>
        <v/>
      </c>
      <c r="B68" s="80" t="n"/>
      <c r="C68" s="130">
        <f>IF($B68="","",CHOOSE(WEEKDAY($B68),"일","월","화","수","목","금","토"))</f>
        <v/>
      </c>
      <c r="D68" s="74" t="n"/>
      <c r="E68" s="130">
        <f>IF($D68="","",IFERROR(INDEX(코드설정!$D$5:$D$24,MATCH($D68,코드설정!$C$5:$C$24,0)),""))</f>
        <v/>
      </c>
      <c r="F68" s="74" t="n"/>
      <c r="G68" s="74" t="n"/>
      <c r="H68" s="36" t="n"/>
      <c r="I68" s="36" t="n"/>
      <c r="J68" s="74" t="n"/>
      <c r="K68" s="36" t="n"/>
    </row>
    <row r="69">
      <c r="A69" s="118">
        <f>IF($B69="","",COUNT($B$5:$B69))</f>
        <v/>
      </c>
      <c r="B69" s="80" t="n"/>
      <c r="C69" s="130">
        <f>IF($B69="","",CHOOSE(WEEKDAY($B69),"일","월","화","수","목","금","토"))</f>
        <v/>
      </c>
      <c r="D69" s="74" t="n"/>
      <c r="E69" s="130">
        <f>IF($D69="","",IFERROR(INDEX(코드설정!$D$5:$D$24,MATCH($D69,코드설정!$C$5:$C$24,0)),""))</f>
        <v/>
      </c>
      <c r="F69" s="74" t="n"/>
      <c r="G69" s="74" t="n"/>
      <c r="H69" s="36" t="n"/>
      <c r="I69" s="36" t="n"/>
      <c r="J69" s="74" t="n"/>
      <c r="K69" s="36" t="n"/>
    </row>
    <row r="70">
      <c r="A70" s="118">
        <f>IF($B70="","",COUNT($B$5:$B70))</f>
        <v/>
      </c>
      <c r="B70" s="80" t="n"/>
      <c r="C70" s="130">
        <f>IF($B70="","",CHOOSE(WEEKDAY($B70),"일","월","화","수","목","금","토"))</f>
        <v/>
      </c>
      <c r="D70" s="74" t="n"/>
      <c r="E70" s="130">
        <f>IF($D70="","",IFERROR(INDEX(코드설정!$D$5:$D$24,MATCH($D70,코드설정!$C$5:$C$24,0)),""))</f>
        <v/>
      </c>
      <c r="F70" s="74" t="n"/>
      <c r="G70" s="74" t="n"/>
      <c r="H70" s="36" t="n"/>
      <c r="I70" s="36" t="n"/>
      <c r="J70" s="74" t="n"/>
      <c r="K70" s="36" t="n"/>
    </row>
    <row r="71">
      <c r="A71" s="118">
        <f>IF($B71="","",COUNT($B$5:$B71))</f>
        <v/>
      </c>
      <c r="B71" s="80" t="n"/>
      <c r="C71" s="130">
        <f>IF($B71="","",CHOOSE(WEEKDAY($B71),"일","월","화","수","목","금","토"))</f>
        <v/>
      </c>
      <c r="D71" s="74" t="n"/>
      <c r="E71" s="130">
        <f>IF($D71="","",IFERROR(INDEX(코드설정!$D$5:$D$24,MATCH($D71,코드설정!$C$5:$C$24,0)),""))</f>
        <v/>
      </c>
      <c r="F71" s="74" t="n"/>
      <c r="G71" s="74" t="n"/>
      <c r="H71" s="36" t="n"/>
      <c r="I71" s="36" t="n"/>
      <c r="J71" s="74" t="n"/>
      <c r="K71" s="36" t="n"/>
    </row>
    <row r="72">
      <c r="A72" s="118">
        <f>IF($B72="","",COUNT($B$5:$B72))</f>
        <v/>
      </c>
      <c r="B72" s="80" t="n"/>
      <c r="C72" s="130">
        <f>IF($B72="","",CHOOSE(WEEKDAY($B72),"일","월","화","수","목","금","토"))</f>
        <v/>
      </c>
      <c r="D72" s="74" t="n"/>
      <c r="E72" s="130">
        <f>IF($D72="","",IFERROR(INDEX(코드설정!$D$5:$D$24,MATCH($D72,코드설정!$C$5:$C$24,0)),""))</f>
        <v/>
      </c>
      <c r="F72" s="74" t="n"/>
      <c r="G72" s="74" t="n"/>
      <c r="H72" s="36" t="n"/>
      <c r="I72" s="36" t="n"/>
      <c r="J72" s="74" t="n"/>
      <c r="K72" s="36" t="n"/>
    </row>
    <row r="73">
      <c r="A73" s="118">
        <f>IF($B73="","",COUNT($B$5:$B73))</f>
        <v/>
      </c>
      <c r="B73" s="80" t="n"/>
      <c r="C73" s="130">
        <f>IF($B73="","",CHOOSE(WEEKDAY($B73),"일","월","화","수","목","금","토"))</f>
        <v/>
      </c>
      <c r="D73" s="74" t="n"/>
      <c r="E73" s="130">
        <f>IF($D73="","",IFERROR(INDEX(코드설정!$D$5:$D$24,MATCH($D73,코드설정!$C$5:$C$24,0)),""))</f>
        <v/>
      </c>
      <c r="F73" s="74" t="n"/>
      <c r="G73" s="74" t="n"/>
      <c r="H73" s="36" t="n"/>
      <c r="I73" s="36" t="n"/>
      <c r="J73" s="74" t="n"/>
      <c r="K73" s="36" t="n"/>
    </row>
    <row r="74">
      <c r="A74" s="118">
        <f>IF($B74="","",COUNT($B$5:$B74))</f>
        <v/>
      </c>
      <c r="B74" s="80" t="n"/>
      <c r="C74" s="130">
        <f>IF($B74="","",CHOOSE(WEEKDAY($B74),"일","월","화","수","목","금","토"))</f>
        <v/>
      </c>
      <c r="D74" s="74" t="n"/>
      <c r="E74" s="130">
        <f>IF($D74="","",IFERROR(INDEX(코드설정!$D$5:$D$24,MATCH($D74,코드설정!$C$5:$C$24,0)),""))</f>
        <v/>
      </c>
      <c r="F74" s="74" t="n"/>
      <c r="G74" s="74" t="n"/>
      <c r="H74" s="36" t="n"/>
      <c r="I74" s="36" t="n"/>
      <c r="J74" s="74" t="n"/>
      <c r="K74" s="36" t="n"/>
    </row>
    <row r="75">
      <c r="A75" s="118">
        <f>IF($B75="","",COUNT($B$5:$B75))</f>
        <v/>
      </c>
      <c r="B75" s="80" t="n"/>
      <c r="C75" s="130">
        <f>IF($B75="","",CHOOSE(WEEKDAY($B75),"일","월","화","수","목","금","토"))</f>
        <v/>
      </c>
      <c r="D75" s="74" t="n"/>
      <c r="E75" s="130">
        <f>IF($D75="","",IFERROR(INDEX(코드설정!$D$5:$D$24,MATCH($D75,코드설정!$C$5:$C$24,0)),""))</f>
        <v/>
      </c>
      <c r="F75" s="74" t="n"/>
      <c r="G75" s="74" t="n"/>
      <c r="H75" s="36" t="n"/>
      <c r="I75" s="36" t="n"/>
      <c r="J75" s="74" t="n"/>
      <c r="K75" s="36" t="n"/>
    </row>
    <row r="76">
      <c r="A76" s="118">
        <f>IF($B76="","",COUNT($B$5:$B76))</f>
        <v/>
      </c>
      <c r="B76" s="80" t="n"/>
      <c r="C76" s="130">
        <f>IF($B76="","",CHOOSE(WEEKDAY($B76),"일","월","화","수","목","금","토"))</f>
        <v/>
      </c>
      <c r="D76" s="74" t="n"/>
      <c r="E76" s="130">
        <f>IF($D76="","",IFERROR(INDEX(코드설정!$D$5:$D$24,MATCH($D76,코드설정!$C$5:$C$24,0)),""))</f>
        <v/>
      </c>
      <c r="F76" s="74" t="n"/>
      <c r="G76" s="74" t="n"/>
      <c r="H76" s="36" t="n"/>
      <c r="I76" s="36" t="n"/>
      <c r="J76" s="74" t="n"/>
      <c r="K76" s="36" t="n"/>
    </row>
    <row r="77">
      <c r="A77" s="118">
        <f>IF($B77="","",COUNT($B$5:$B77))</f>
        <v/>
      </c>
      <c r="B77" s="80" t="n"/>
      <c r="C77" s="130">
        <f>IF($B77="","",CHOOSE(WEEKDAY($B77),"일","월","화","수","목","금","토"))</f>
        <v/>
      </c>
      <c r="D77" s="74" t="n"/>
      <c r="E77" s="130">
        <f>IF($D77="","",IFERROR(INDEX(코드설정!$D$5:$D$24,MATCH($D77,코드설정!$C$5:$C$24,0)),""))</f>
        <v/>
      </c>
      <c r="F77" s="74" t="n"/>
      <c r="G77" s="74" t="n"/>
      <c r="H77" s="36" t="n"/>
      <c r="I77" s="36" t="n"/>
      <c r="J77" s="74" t="n"/>
      <c r="K77" s="36" t="n"/>
    </row>
    <row r="78">
      <c r="A78" s="118">
        <f>IF($B78="","",COUNT($B$5:$B78))</f>
        <v/>
      </c>
      <c r="B78" s="80" t="n"/>
      <c r="C78" s="130">
        <f>IF($B78="","",CHOOSE(WEEKDAY($B78),"일","월","화","수","목","금","토"))</f>
        <v/>
      </c>
      <c r="D78" s="74" t="n"/>
      <c r="E78" s="130">
        <f>IF($D78="","",IFERROR(INDEX(코드설정!$D$5:$D$24,MATCH($D78,코드설정!$C$5:$C$24,0)),""))</f>
        <v/>
      </c>
      <c r="F78" s="74" t="n"/>
      <c r="G78" s="74" t="n"/>
      <c r="H78" s="36" t="n"/>
      <c r="I78" s="36" t="n"/>
      <c r="J78" s="74" t="n"/>
      <c r="K78" s="36" t="n"/>
    </row>
    <row r="79">
      <c r="A79" s="118">
        <f>IF($B79="","",COUNT($B$5:$B79))</f>
        <v/>
      </c>
      <c r="B79" s="80" t="n"/>
      <c r="C79" s="130">
        <f>IF($B79="","",CHOOSE(WEEKDAY($B79),"일","월","화","수","목","금","토"))</f>
        <v/>
      </c>
      <c r="D79" s="74" t="n"/>
      <c r="E79" s="130">
        <f>IF($D79="","",IFERROR(INDEX(코드설정!$D$5:$D$24,MATCH($D79,코드설정!$C$5:$C$24,0)),""))</f>
        <v/>
      </c>
      <c r="F79" s="74" t="n"/>
      <c r="G79" s="74" t="n"/>
      <c r="H79" s="36" t="n"/>
      <c r="I79" s="36" t="n"/>
      <c r="J79" s="74" t="n"/>
      <c r="K79" s="36" t="n"/>
    </row>
    <row r="80">
      <c r="A80" s="118">
        <f>IF($B80="","",COUNT($B$5:$B80))</f>
        <v/>
      </c>
      <c r="B80" s="80" t="n"/>
      <c r="C80" s="130">
        <f>IF($B80="","",CHOOSE(WEEKDAY($B80),"일","월","화","수","목","금","토"))</f>
        <v/>
      </c>
      <c r="D80" s="74" t="n"/>
      <c r="E80" s="130">
        <f>IF($D80="","",IFERROR(INDEX(코드설정!$D$5:$D$24,MATCH($D80,코드설정!$C$5:$C$24,0)),""))</f>
        <v/>
      </c>
      <c r="F80" s="74" t="n"/>
      <c r="G80" s="74" t="n"/>
      <c r="H80" s="36" t="n"/>
      <c r="I80" s="36" t="n"/>
      <c r="J80" s="74" t="n"/>
      <c r="K80" s="36" t="n"/>
    </row>
    <row r="81">
      <c r="A81" s="118">
        <f>IF($B81="","",COUNT($B$5:$B81))</f>
        <v/>
      </c>
      <c r="B81" s="80" t="n"/>
      <c r="C81" s="130">
        <f>IF($B81="","",CHOOSE(WEEKDAY($B81),"일","월","화","수","목","금","토"))</f>
        <v/>
      </c>
      <c r="D81" s="74" t="n"/>
      <c r="E81" s="130">
        <f>IF($D81="","",IFERROR(INDEX(코드설정!$D$5:$D$24,MATCH($D81,코드설정!$C$5:$C$24,0)),""))</f>
        <v/>
      </c>
      <c r="F81" s="74" t="n"/>
      <c r="G81" s="74" t="n"/>
      <c r="H81" s="36" t="n"/>
      <c r="I81" s="36" t="n"/>
      <c r="J81" s="74" t="n"/>
      <c r="K81" s="36" t="n"/>
    </row>
    <row r="82">
      <c r="A82" s="118">
        <f>IF($B82="","",COUNT($B$5:$B82))</f>
        <v/>
      </c>
      <c r="B82" s="80" t="n"/>
      <c r="C82" s="130">
        <f>IF($B82="","",CHOOSE(WEEKDAY($B82),"일","월","화","수","목","금","토"))</f>
        <v/>
      </c>
      <c r="D82" s="74" t="n"/>
      <c r="E82" s="130">
        <f>IF($D82="","",IFERROR(INDEX(코드설정!$D$5:$D$24,MATCH($D82,코드설정!$C$5:$C$24,0)),""))</f>
        <v/>
      </c>
      <c r="F82" s="74" t="n"/>
      <c r="G82" s="74" t="n"/>
      <c r="H82" s="36" t="n"/>
      <c r="I82" s="36" t="n"/>
      <c r="J82" s="74" t="n"/>
      <c r="K82" s="36" t="n"/>
    </row>
    <row r="83">
      <c r="A83" s="118">
        <f>IF($B83="","",COUNT($B$5:$B83))</f>
        <v/>
      </c>
      <c r="B83" s="80" t="n"/>
      <c r="C83" s="130">
        <f>IF($B83="","",CHOOSE(WEEKDAY($B83),"일","월","화","수","목","금","토"))</f>
        <v/>
      </c>
      <c r="D83" s="74" t="n"/>
      <c r="E83" s="130">
        <f>IF($D83="","",IFERROR(INDEX(코드설정!$D$5:$D$24,MATCH($D83,코드설정!$C$5:$C$24,0)),""))</f>
        <v/>
      </c>
      <c r="F83" s="74" t="n"/>
      <c r="G83" s="74" t="n"/>
      <c r="H83" s="36" t="n"/>
      <c r="I83" s="36" t="n"/>
      <c r="J83" s="74" t="n"/>
      <c r="K83" s="36" t="n"/>
    </row>
    <row r="84">
      <c r="A84" s="118">
        <f>IF($B84="","",COUNT($B$5:$B84))</f>
        <v/>
      </c>
      <c r="B84" s="80" t="n"/>
      <c r="C84" s="130">
        <f>IF($B84="","",CHOOSE(WEEKDAY($B84),"일","월","화","수","목","금","토"))</f>
        <v/>
      </c>
      <c r="D84" s="74" t="n"/>
      <c r="E84" s="130">
        <f>IF($D84="","",IFERROR(INDEX(코드설정!$D$5:$D$24,MATCH($D84,코드설정!$C$5:$C$24,0)),""))</f>
        <v/>
      </c>
      <c r="F84" s="74" t="n"/>
      <c r="G84" s="74" t="n"/>
      <c r="H84" s="36" t="n"/>
      <c r="I84" s="36" t="n"/>
      <c r="J84" s="74" t="n"/>
      <c r="K84" s="36" t="n"/>
    </row>
    <row r="85">
      <c r="A85" s="118">
        <f>IF($B85="","",COUNT($B$5:$B85))</f>
        <v/>
      </c>
      <c r="B85" s="80" t="n"/>
      <c r="C85" s="130">
        <f>IF($B85="","",CHOOSE(WEEKDAY($B85),"일","월","화","수","목","금","토"))</f>
        <v/>
      </c>
      <c r="D85" s="74" t="n"/>
      <c r="E85" s="130">
        <f>IF($D85="","",IFERROR(INDEX(코드설정!$D$5:$D$24,MATCH($D85,코드설정!$C$5:$C$24,0)),""))</f>
        <v/>
      </c>
      <c r="F85" s="74" t="n"/>
      <c r="G85" s="74" t="n"/>
      <c r="H85" s="36" t="n"/>
      <c r="I85" s="36" t="n"/>
      <c r="J85" s="74" t="n"/>
      <c r="K85" s="36" t="n"/>
    </row>
    <row r="86">
      <c r="A86" s="118">
        <f>IF($B86="","",COUNT($B$5:$B86))</f>
        <v/>
      </c>
      <c r="B86" s="80" t="n"/>
      <c r="C86" s="130">
        <f>IF($B86="","",CHOOSE(WEEKDAY($B86),"일","월","화","수","목","금","토"))</f>
        <v/>
      </c>
      <c r="D86" s="74" t="n"/>
      <c r="E86" s="130">
        <f>IF($D86="","",IFERROR(INDEX(코드설정!$D$5:$D$24,MATCH($D86,코드설정!$C$5:$C$24,0)),""))</f>
        <v/>
      </c>
      <c r="F86" s="74" t="n"/>
      <c r="G86" s="74" t="n"/>
      <c r="H86" s="36" t="n"/>
      <c r="I86" s="36" t="n"/>
      <c r="J86" s="74" t="n"/>
      <c r="K86" s="36" t="n"/>
    </row>
    <row r="87">
      <c r="A87" s="118">
        <f>IF($B87="","",COUNT($B$5:$B87))</f>
        <v/>
      </c>
      <c r="B87" s="80" t="n"/>
      <c r="C87" s="130">
        <f>IF($B87="","",CHOOSE(WEEKDAY($B87),"일","월","화","수","목","금","토"))</f>
        <v/>
      </c>
      <c r="D87" s="74" t="n"/>
      <c r="E87" s="130">
        <f>IF($D87="","",IFERROR(INDEX(코드설정!$D$5:$D$24,MATCH($D87,코드설정!$C$5:$C$24,0)),""))</f>
        <v/>
      </c>
      <c r="F87" s="74" t="n"/>
      <c r="G87" s="74" t="n"/>
      <c r="H87" s="36" t="n"/>
      <c r="I87" s="36" t="n"/>
      <c r="J87" s="74" t="n"/>
      <c r="K87" s="36" t="n"/>
    </row>
    <row r="88">
      <c r="A88" s="118">
        <f>IF($B88="","",COUNT($B$5:$B88))</f>
        <v/>
      </c>
      <c r="B88" s="80" t="n"/>
      <c r="C88" s="130">
        <f>IF($B88="","",CHOOSE(WEEKDAY($B88),"일","월","화","수","목","금","토"))</f>
        <v/>
      </c>
      <c r="D88" s="74" t="n"/>
      <c r="E88" s="130">
        <f>IF($D88="","",IFERROR(INDEX(코드설정!$D$5:$D$24,MATCH($D88,코드설정!$C$5:$C$24,0)),""))</f>
        <v/>
      </c>
      <c r="F88" s="74" t="n"/>
      <c r="G88" s="74" t="n"/>
      <c r="H88" s="36" t="n"/>
      <c r="I88" s="36" t="n"/>
      <c r="J88" s="74" t="n"/>
      <c r="K88" s="36" t="n"/>
    </row>
    <row r="89">
      <c r="A89" s="118">
        <f>IF($B89="","",COUNT($B$5:$B89))</f>
        <v/>
      </c>
      <c r="B89" s="80" t="n"/>
      <c r="C89" s="130">
        <f>IF($B89="","",CHOOSE(WEEKDAY($B89),"일","월","화","수","목","금","토"))</f>
        <v/>
      </c>
      <c r="D89" s="74" t="n"/>
      <c r="E89" s="130">
        <f>IF($D89="","",IFERROR(INDEX(코드설정!$D$5:$D$24,MATCH($D89,코드설정!$C$5:$C$24,0)),""))</f>
        <v/>
      </c>
      <c r="F89" s="74" t="n"/>
      <c r="G89" s="74" t="n"/>
      <c r="H89" s="36" t="n"/>
      <c r="I89" s="36" t="n"/>
      <c r="J89" s="74" t="n"/>
      <c r="K89" s="36" t="n"/>
    </row>
    <row r="90">
      <c r="A90" s="118">
        <f>IF($B90="","",COUNT($B$5:$B90))</f>
        <v/>
      </c>
      <c r="B90" s="80" t="n"/>
      <c r="C90" s="130">
        <f>IF($B90="","",CHOOSE(WEEKDAY($B90),"일","월","화","수","목","금","토"))</f>
        <v/>
      </c>
      <c r="D90" s="74" t="n"/>
      <c r="E90" s="130">
        <f>IF($D90="","",IFERROR(INDEX(코드설정!$D$5:$D$24,MATCH($D90,코드설정!$C$5:$C$24,0)),""))</f>
        <v/>
      </c>
      <c r="F90" s="74" t="n"/>
      <c r="G90" s="74" t="n"/>
      <c r="H90" s="36" t="n"/>
      <c r="I90" s="36" t="n"/>
      <c r="J90" s="74" t="n"/>
      <c r="K90" s="36" t="n"/>
    </row>
    <row r="91">
      <c r="A91" s="118">
        <f>IF($B91="","",COUNT($B$5:$B91))</f>
        <v/>
      </c>
      <c r="B91" s="80" t="n"/>
      <c r="C91" s="130">
        <f>IF($B91="","",CHOOSE(WEEKDAY($B91),"일","월","화","수","목","금","토"))</f>
        <v/>
      </c>
      <c r="D91" s="74" t="n"/>
      <c r="E91" s="130">
        <f>IF($D91="","",IFERROR(INDEX(코드설정!$D$5:$D$24,MATCH($D91,코드설정!$C$5:$C$24,0)),""))</f>
        <v/>
      </c>
      <c r="F91" s="74" t="n"/>
      <c r="G91" s="74" t="n"/>
      <c r="H91" s="36" t="n"/>
      <c r="I91" s="36" t="n"/>
      <c r="J91" s="74" t="n"/>
      <c r="K91" s="36" t="n"/>
    </row>
    <row r="92">
      <c r="A92" s="118">
        <f>IF($B92="","",COUNT($B$5:$B92))</f>
        <v/>
      </c>
      <c r="B92" s="80" t="n"/>
      <c r="C92" s="130">
        <f>IF($B92="","",CHOOSE(WEEKDAY($B92),"일","월","화","수","목","금","토"))</f>
        <v/>
      </c>
      <c r="D92" s="74" t="n"/>
      <c r="E92" s="130">
        <f>IF($D92="","",IFERROR(INDEX(코드설정!$D$5:$D$24,MATCH($D92,코드설정!$C$5:$C$24,0)),""))</f>
        <v/>
      </c>
      <c r="F92" s="74" t="n"/>
      <c r="G92" s="74" t="n"/>
      <c r="H92" s="36" t="n"/>
      <c r="I92" s="36" t="n"/>
      <c r="J92" s="74" t="n"/>
      <c r="K92" s="36" t="n"/>
    </row>
    <row r="93">
      <c r="A93" s="118">
        <f>IF($B93="","",COUNT($B$5:$B93))</f>
        <v/>
      </c>
      <c r="B93" s="80" t="n"/>
      <c r="C93" s="130">
        <f>IF($B93="","",CHOOSE(WEEKDAY($B93),"일","월","화","수","목","금","토"))</f>
        <v/>
      </c>
      <c r="D93" s="74" t="n"/>
      <c r="E93" s="130">
        <f>IF($D93="","",IFERROR(INDEX(코드설정!$D$5:$D$24,MATCH($D93,코드설정!$C$5:$C$24,0)),""))</f>
        <v/>
      </c>
      <c r="F93" s="74" t="n"/>
      <c r="G93" s="74" t="n"/>
      <c r="H93" s="36" t="n"/>
      <c r="I93" s="36" t="n"/>
      <c r="J93" s="74" t="n"/>
      <c r="K93" s="36" t="n"/>
    </row>
    <row r="94">
      <c r="A94" s="118">
        <f>IF($B94="","",COUNT($B$5:$B94))</f>
        <v/>
      </c>
      <c r="B94" s="80" t="n"/>
      <c r="C94" s="130">
        <f>IF($B94="","",CHOOSE(WEEKDAY($B94),"일","월","화","수","목","금","토"))</f>
        <v/>
      </c>
      <c r="D94" s="74" t="n"/>
      <c r="E94" s="130">
        <f>IF($D94="","",IFERROR(INDEX(코드설정!$D$5:$D$24,MATCH($D94,코드설정!$C$5:$C$24,0)),""))</f>
        <v/>
      </c>
      <c r="F94" s="74" t="n"/>
      <c r="G94" s="74" t="n"/>
      <c r="H94" s="36" t="n"/>
      <c r="I94" s="36" t="n"/>
      <c r="J94" s="74" t="n"/>
      <c r="K94" s="36" t="n"/>
    </row>
    <row r="95">
      <c r="A95" s="118">
        <f>IF($B95="","",COUNT($B$5:$B95))</f>
        <v/>
      </c>
      <c r="B95" s="80" t="n"/>
      <c r="C95" s="130">
        <f>IF($B95="","",CHOOSE(WEEKDAY($B95),"일","월","화","수","목","금","토"))</f>
        <v/>
      </c>
      <c r="D95" s="74" t="n"/>
      <c r="E95" s="130">
        <f>IF($D95="","",IFERROR(INDEX(코드설정!$D$5:$D$24,MATCH($D95,코드설정!$C$5:$C$24,0)),""))</f>
        <v/>
      </c>
      <c r="F95" s="74" t="n"/>
      <c r="G95" s="74" t="n"/>
      <c r="H95" s="36" t="n"/>
      <c r="I95" s="36" t="n"/>
      <c r="J95" s="74" t="n"/>
      <c r="K95" s="36" t="n"/>
    </row>
    <row r="96">
      <c r="A96" s="118">
        <f>IF($B96="","",COUNT($B$5:$B96))</f>
        <v/>
      </c>
      <c r="B96" s="80" t="n"/>
      <c r="C96" s="130">
        <f>IF($B96="","",CHOOSE(WEEKDAY($B96),"일","월","화","수","목","금","토"))</f>
        <v/>
      </c>
      <c r="D96" s="74" t="n"/>
      <c r="E96" s="130">
        <f>IF($D96="","",IFERROR(INDEX(코드설정!$D$5:$D$24,MATCH($D96,코드설정!$C$5:$C$24,0)),""))</f>
        <v/>
      </c>
      <c r="F96" s="74" t="n"/>
      <c r="G96" s="74" t="n"/>
      <c r="H96" s="36" t="n"/>
      <c r="I96" s="36" t="n"/>
      <c r="J96" s="74" t="n"/>
      <c r="K96" s="36" t="n"/>
    </row>
    <row r="97">
      <c r="A97" s="118">
        <f>IF($B97="","",COUNT($B$5:$B97))</f>
        <v/>
      </c>
      <c r="B97" s="80" t="n"/>
      <c r="C97" s="130">
        <f>IF($B97="","",CHOOSE(WEEKDAY($B97),"일","월","화","수","목","금","토"))</f>
        <v/>
      </c>
      <c r="D97" s="74" t="n"/>
      <c r="E97" s="130">
        <f>IF($D97="","",IFERROR(INDEX(코드설정!$D$5:$D$24,MATCH($D97,코드설정!$C$5:$C$24,0)),""))</f>
        <v/>
      </c>
      <c r="F97" s="74" t="n"/>
      <c r="G97" s="74" t="n"/>
      <c r="H97" s="36" t="n"/>
      <c r="I97" s="36" t="n"/>
      <c r="J97" s="74" t="n"/>
      <c r="K97" s="36" t="n"/>
    </row>
    <row r="98">
      <c r="A98" s="118">
        <f>IF($B98="","",COUNT($B$5:$B98))</f>
        <v/>
      </c>
      <c r="B98" s="80" t="n"/>
      <c r="C98" s="130">
        <f>IF($B98="","",CHOOSE(WEEKDAY($B98),"일","월","화","수","목","금","토"))</f>
        <v/>
      </c>
      <c r="D98" s="74" t="n"/>
      <c r="E98" s="130">
        <f>IF($D98="","",IFERROR(INDEX(코드설정!$D$5:$D$24,MATCH($D98,코드설정!$C$5:$C$24,0)),""))</f>
        <v/>
      </c>
      <c r="F98" s="74" t="n"/>
      <c r="G98" s="74" t="n"/>
      <c r="H98" s="36" t="n"/>
      <c r="I98" s="36" t="n"/>
      <c r="J98" s="74" t="n"/>
      <c r="K98" s="36" t="n"/>
    </row>
    <row r="99">
      <c r="A99" s="118">
        <f>IF($B99="","",COUNT($B$5:$B99))</f>
        <v/>
      </c>
      <c r="B99" s="80" t="n"/>
      <c r="C99" s="130">
        <f>IF($B99="","",CHOOSE(WEEKDAY($B99),"일","월","화","수","목","금","토"))</f>
        <v/>
      </c>
      <c r="D99" s="74" t="n"/>
      <c r="E99" s="130">
        <f>IF($D99="","",IFERROR(INDEX(코드설정!$D$5:$D$24,MATCH($D99,코드설정!$C$5:$C$24,0)),""))</f>
        <v/>
      </c>
      <c r="F99" s="74" t="n"/>
      <c r="G99" s="74" t="n"/>
      <c r="H99" s="36" t="n"/>
      <c r="I99" s="36" t="n"/>
      <c r="J99" s="74" t="n"/>
      <c r="K99" s="36" t="n"/>
    </row>
    <row r="100">
      <c r="A100" s="118">
        <f>IF($B100="","",COUNT($B$5:$B100))</f>
        <v/>
      </c>
      <c r="B100" s="80" t="n"/>
      <c r="C100" s="130">
        <f>IF($B100="","",CHOOSE(WEEKDAY($B100),"일","월","화","수","목","금","토"))</f>
        <v/>
      </c>
      <c r="D100" s="74" t="n"/>
      <c r="E100" s="130">
        <f>IF($D100="","",IFERROR(INDEX(코드설정!$D$5:$D$24,MATCH($D100,코드설정!$C$5:$C$24,0)),""))</f>
        <v/>
      </c>
      <c r="F100" s="74" t="n"/>
      <c r="G100" s="74" t="n"/>
      <c r="H100" s="36" t="n"/>
      <c r="I100" s="36" t="n"/>
      <c r="J100" s="74" t="n"/>
      <c r="K100" s="36" t="n"/>
    </row>
    <row r="101">
      <c r="A101" s="118">
        <f>IF($B101="","",COUNT($B$5:$B101))</f>
        <v/>
      </c>
      <c r="B101" s="80" t="n"/>
      <c r="C101" s="130">
        <f>IF($B101="","",CHOOSE(WEEKDAY($B101),"일","월","화","수","목","금","토"))</f>
        <v/>
      </c>
      <c r="D101" s="74" t="n"/>
      <c r="E101" s="130">
        <f>IF($D101="","",IFERROR(INDEX(코드설정!$D$5:$D$24,MATCH($D101,코드설정!$C$5:$C$24,0)),""))</f>
        <v/>
      </c>
      <c r="F101" s="74" t="n"/>
      <c r="G101" s="74" t="n"/>
      <c r="H101" s="36" t="n"/>
      <c r="I101" s="36" t="n"/>
      <c r="J101" s="74" t="n"/>
      <c r="K101" s="36" t="n"/>
    </row>
    <row r="102">
      <c r="A102" s="118">
        <f>IF($B102="","",COUNT($B$5:$B102))</f>
        <v/>
      </c>
      <c r="B102" s="80" t="n"/>
      <c r="C102" s="130">
        <f>IF($B102="","",CHOOSE(WEEKDAY($B102),"일","월","화","수","목","금","토"))</f>
        <v/>
      </c>
      <c r="D102" s="74" t="n"/>
      <c r="E102" s="130">
        <f>IF($D102="","",IFERROR(INDEX(코드설정!$D$5:$D$24,MATCH($D102,코드설정!$C$5:$C$24,0)),""))</f>
        <v/>
      </c>
      <c r="F102" s="74" t="n"/>
      <c r="G102" s="74" t="n"/>
      <c r="H102" s="36" t="n"/>
      <c r="I102" s="36" t="n"/>
      <c r="J102" s="74" t="n"/>
      <c r="K102" s="36" t="n"/>
    </row>
    <row r="103">
      <c r="A103" s="118">
        <f>IF($B103="","",COUNT($B$5:$B103))</f>
        <v/>
      </c>
      <c r="B103" s="80" t="n"/>
      <c r="C103" s="130">
        <f>IF($B103="","",CHOOSE(WEEKDAY($B103),"일","월","화","수","목","금","토"))</f>
        <v/>
      </c>
      <c r="D103" s="74" t="n"/>
      <c r="E103" s="130">
        <f>IF($D103="","",IFERROR(INDEX(코드설정!$D$5:$D$24,MATCH($D103,코드설정!$C$5:$C$24,0)),""))</f>
        <v/>
      </c>
      <c r="F103" s="74" t="n"/>
      <c r="G103" s="74" t="n"/>
      <c r="H103" s="36" t="n"/>
      <c r="I103" s="36" t="n"/>
      <c r="J103" s="74" t="n"/>
      <c r="K103" s="36" t="n"/>
    </row>
    <row r="104">
      <c r="A104" s="118">
        <f>IF($B104="","",COUNT($B$5:$B104))</f>
        <v/>
      </c>
      <c r="B104" s="80" t="n"/>
      <c r="C104" s="130">
        <f>IF($B104="","",CHOOSE(WEEKDAY($B104),"일","월","화","수","목","금","토"))</f>
        <v/>
      </c>
      <c r="D104" s="74" t="n"/>
      <c r="E104" s="130">
        <f>IF($D104="","",IFERROR(INDEX(코드설정!$D$5:$D$24,MATCH($D104,코드설정!$C$5:$C$24,0)),""))</f>
        <v/>
      </c>
      <c r="F104" s="74" t="n"/>
      <c r="G104" s="74" t="n"/>
      <c r="H104" s="36" t="n"/>
      <c r="I104" s="36" t="n"/>
      <c r="J104" s="74" t="n"/>
      <c r="K104" s="36" t="n"/>
    </row>
    <row r="105">
      <c r="A105" s="118">
        <f>IF($B105="","",COUNT($B$5:$B105))</f>
        <v/>
      </c>
      <c r="B105" s="80" t="n"/>
      <c r="C105" s="130">
        <f>IF($B105="","",CHOOSE(WEEKDAY($B105),"일","월","화","수","목","금","토"))</f>
        <v/>
      </c>
      <c r="D105" s="74" t="n"/>
      <c r="E105" s="130">
        <f>IF($D105="","",IFERROR(INDEX(코드설정!$D$5:$D$24,MATCH($D105,코드설정!$C$5:$C$24,0)),""))</f>
        <v/>
      </c>
      <c r="F105" s="74" t="n"/>
      <c r="G105" s="74" t="n"/>
      <c r="H105" s="36" t="n"/>
      <c r="I105" s="36" t="n"/>
      <c r="J105" s="74" t="n"/>
      <c r="K105" s="36" t="n"/>
    </row>
    <row r="106">
      <c r="A106" s="118">
        <f>IF($B106="","",COUNT($B$5:$B106))</f>
        <v/>
      </c>
      <c r="B106" s="80" t="n"/>
      <c r="C106" s="130">
        <f>IF($B106="","",CHOOSE(WEEKDAY($B106),"일","월","화","수","목","금","토"))</f>
        <v/>
      </c>
      <c r="D106" s="74" t="n"/>
      <c r="E106" s="130">
        <f>IF($D106="","",IFERROR(INDEX(코드설정!$D$5:$D$24,MATCH($D106,코드설정!$C$5:$C$24,0)),""))</f>
        <v/>
      </c>
      <c r="F106" s="74" t="n"/>
      <c r="G106" s="74" t="n"/>
      <c r="H106" s="36" t="n"/>
      <c r="I106" s="36" t="n"/>
      <c r="J106" s="74" t="n"/>
      <c r="K106" s="36" t="n"/>
    </row>
    <row r="107">
      <c r="A107" s="118">
        <f>IF($B107="","",COUNT($B$5:$B107))</f>
        <v/>
      </c>
      <c r="B107" s="80" t="n"/>
      <c r="C107" s="130">
        <f>IF($B107="","",CHOOSE(WEEKDAY($B107),"일","월","화","수","목","금","토"))</f>
        <v/>
      </c>
      <c r="D107" s="74" t="n"/>
      <c r="E107" s="130">
        <f>IF($D107="","",IFERROR(INDEX(코드설정!$D$5:$D$24,MATCH($D107,코드설정!$C$5:$C$24,0)),""))</f>
        <v/>
      </c>
      <c r="F107" s="74" t="n"/>
      <c r="G107" s="74" t="n"/>
      <c r="H107" s="36" t="n"/>
      <c r="I107" s="36" t="n"/>
      <c r="J107" s="74" t="n"/>
      <c r="K107" s="36" t="n"/>
    </row>
    <row r="108">
      <c r="A108" s="118">
        <f>IF($B108="","",COUNT($B$5:$B108))</f>
        <v/>
      </c>
      <c r="B108" s="80" t="n"/>
      <c r="C108" s="130">
        <f>IF($B108="","",CHOOSE(WEEKDAY($B108),"일","월","화","수","목","금","토"))</f>
        <v/>
      </c>
      <c r="D108" s="74" t="n"/>
      <c r="E108" s="130">
        <f>IF($D108="","",IFERROR(INDEX(코드설정!$D$5:$D$24,MATCH($D108,코드설정!$C$5:$C$24,0)),""))</f>
        <v/>
      </c>
      <c r="F108" s="74" t="n"/>
      <c r="G108" s="74" t="n"/>
      <c r="H108" s="36" t="n"/>
      <c r="I108" s="36" t="n"/>
      <c r="J108" s="74" t="n"/>
      <c r="K108" s="36" t="n"/>
    </row>
    <row r="109">
      <c r="A109" s="118">
        <f>IF($B109="","",COUNT($B$5:$B109))</f>
        <v/>
      </c>
      <c r="B109" s="80" t="n"/>
      <c r="C109" s="130">
        <f>IF($B109="","",CHOOSE(WEEKDAY($B109),"일","월","화","수","목","금","토"))</f>
        <v/>
      </c>
      <c r="D109" s="74" t="n"/>
      <c r="E109" s="130">
        <f>IF($D109="","",IFERROR(INDEX(코드설정!$D$5:$D$24,MATCH($D109,코드설정!$C$5:$C$24,0)),""))</f>
        <v/>
      </c>
      <c r="F109" s="74" t="n"/>
      <c r="G109" s="74" t="n"/>
      <c r="H109" s="36" t="n"/>
      <c r="I109" s="36" t="n"/>
      <c r="J109" s="74" t="n"/>
      <c r="K109" s="36" t="n"/>
    </row>
    <row r="110">
      <c r="A110" s="118">
        <f>IF($B110="","",COUNT($B$5:$B110))</f>
        <v/>
      </c>
      <c r="B110" s="80" t="n"/>
      <c r="C110" s="130">
        <f>IF($B110="","",CHOOSE(WEEKDAY($B110),"일","월","화","수","목","금","토"))</f>
        <v/>
      </c>
      <c r="D110" s="74" t="n"/>
      <c r="E110" s="130">
        <f>IF($D110="","",IFERROR(INDEX(코드설정!$D$5:$D$24,MATCH($D110,코드설정!$C$5:$C$24,0)),""))</f>
        <v/>
      </c>
      <c r="F110" s="74" t="n"/>
      <c r="G110" s="74" t="n"/>
      <c r="H110" s="36" t="n"/>
      <c r="I110" s="36" t="n"/>
      <c r="J110" s="74" t="n"/>
      <c r="K110" s="36" t="n"/>
    </row>
    <row r="111">
      <c r="A111" s="118">
        <f>IF($B111="","",COUNT($B$5:$B111))</f>
        <v/>
      </c>
      <c r="B111" s="80" t="n"/>
      <c r="C111" s="130">
        <f>IF($B111="","",CHOOSE(WEEKDAY($B111),"일","월","화","수","목","금","토"))</f>
        <v/>
      </c>
      <c r="D111" s="74" t="n"/>
      <c r="E111" s="130">
        <f>IF($D111="","",IFERROR(INDEX(코드설정!$D$5:$D$24,MATCH($D111,코드설정!$C$5:$C$24,0)),""))</f>
        <v/>
      </c>
      <c r="F111" s="74" t="n"/>
      <c r="G111" s="74" t="n"/>
      <c r="H111" s="36" t="n"/>
      <c r="I111" s="36" t="n"/>
      <c r="J111" s="74" t="n"/>
      <c r="K111" s="36" t="n"/>
    </row>
    <row r="112">
      <c r="A112" s="118">
        <f>IF($B112="","",COUNT($B$5:$B112))</f>
        <v/>
      </c>
      <c r="B112" s="80" t="n"/>
      <c r="C112" s="130">
        <f>IF($B112="","",CHOOSE(WEEKDAY($B112),"일","월","화","수","목","금","토"))</f>
        <v/>
      </c>
      <c r="D112" s="74" t="n"/>
      <c r="E112" s="130">
        <f>IF($D112="","",IFERROR(INDEX(코드설정!$D$5:$D$24,MATCH($D112,코드설정!$C$5:$C$24,0)),""))</f>
        <v/>
      </c>
      <c r="F112" s="74" t="n"/>
      <c r="G112" s="74" t="n"/>
      <c r="H112" s="36" t="n"/>
      <c r="I112" s="36" t="n"/>
      <c r="J112" s="74" t="n"/>
      <c r="K112" s="36" t="n"/>
    </row>
    <row r="113">
      <c r="A113" s="118">
        <f>IF($B113="","",COUNT($B$5:$B113))</f>
        <v/>
      </c>
      <c r="B113" s="80" t="n"/>
      <c r="C113" s="130">
        <f>IF($B113="","",CHOOSE(WEEKDAY($B113),"일","월","화","수","목","금","토"))</f>
        <v/>
      </c>
      <c r="D113" s="74" t="n"/>
      <c r="E113" s="130">
        <f>IF($D113="","",IFERROR(INDEX(코드설정!$D$5:$D$24,MATCH($D113,코드설정!$C$5:$C$24,0)),""))</f>
        <v/>
      </c>
      <c r="F113" s="74" t="n"/>
      <c r="G113" s="74" t="n"/>
      <c r="H113" s="36" t="n"/>
      <c r="I113" s="36" t="n"/>
      <c r="J113" s="74" t="n"/>
      <c r="K113" s="36" t="n"/>
    </row>
    <row r="114">
      <c r="A114" s="118">
        <f>IF($B114="","",COUNT($B$5:$B114))</f>
        <v/>
      </c>
      <c r="B114" s="80" t="n"/>
      <c r="C114" s="130">
        <f>IF($B114="","",CHOOSE(WEEKDAY($B114),"일","월","화","수","목","금","토"))</f>
        <v/>
      </c>
      <c r="D114" s="74" t="n"/>
      <c r="E114" s="130">
        <f>IF($D114="","",IFERROR(INDEX(코드설정!$D$5:$D$24,MATCH($D114,코드설정!$C$5:$C$24,0)),""))</f>
        <v/>
      </c>
      <c r="F114" s="74" t="n"/>
      <c r="G114" s="74" t="n"/>
      <c r="H114" s="36" t="n"/>
      <c r="I114" s="36" t="n"/>
      <c r="J114" s="74" t="n"/>
      <c r="K114" s="36" t="n"/>
    </row>
    <row r="115">
      <c r="A115" s="118">
        <f>IF($B115="","",COUNT($B$5:$B115))</f>
        <v/>
      </c>
      <c r="B115" s="80" t="n"/>
      <c r="C115" s="130">
        <f>IF($B115="","",CHOOSE(WEEKDAY($B115),"일","월","화","수","목","금","토"))</f>
        <v/>
      </c>
      <c r="D115" s="74" t="n"/>
      <c r="E115" s="130">
        <f>IF($D115="","",IFERROR(INDEX(코드설정!$D$5:$D$24,MATCH($D115,코드설정!$C$5:$C$24,0)),""))</f>
        <v/>
      </c>
      <c r="F115" s="74" t="n"/>
      <c r="G115" s="74" t="n"/>
      <c r="H115" s="36" t="n"/>
      <c r="I115" s="36" t="n"/>
      <c r="J115" s="74" t="n"/>
      <c r="K115" s="36" t="n"/>
    </row>
    <row r="116">
      <c r="A116" s="118">
        <f>IF($B116="","",COUNT($B$5:$B116))</f>
        <v/>
      </c>
      <c r="B116" s="80" t="n"/>
      <c r="C116" s="130">
        <f>IF($B116="","",CHOOSE(WEEKDAY($B116),"일","월","화","수","목","금","토"))</f>
        <v/>
      </c>
      <c r="D116" s="74" t="n"/>
      <c r="E116" s="130">
        <f>IF($D116="","",IFERROR(INDEX(코드설정!$D$5:$D$24,MATCH($D116,코드설정!$C$5:$C$24,0)),""))</f>
        <v/>
      </c>
      <c r="F116" s="74" t="n"/>
      <c r="G116" s="74" t="n"/>
      <c r="H116" s="36" t="n"/>
      <c r="I116" s="36" t="n"/>
      <c r="J116" s="74" t="n"/>
      <c r="K116" s="36" t="n"/>
    </row>
    <row r="117">
      <c r="A117" s="118">
        <f>IF($B117="","",COUNT($B$5:$B117))</f>
        <v/>
      </c>
      <c r="B117" s="80" t="n"/>
      <c r="C117" s="130">
        <f>IF($B117="","",CHOOSE(WEEKDAY($B117),"일","월","화","수","목","금","토"))</f>
        <v/>
      </c>
      <c r="D117" s="74" t="n"/>
      <c r="E117" s="130">
        <f>IF($D117="","",IFERROR(INDEX(코드설정!$D$5:$D$24,MATCH($D117,코드설정!$C$5:$C$24,0)),""))</f>
        <v/>
      </c>
      <c r="F117" s="74" t="n"/>
      <c r="G117" s="74" t="n"/>
      <c r="H117" s="36" t="n"/>
      <c r="I117" s="36" t="n"/>
      <c r="J117" s="74" t="n"/>
      <c r="K117" s="36" t="n"/>
    </row>
    <row r="118">
      <c r="A118" s="118">
        <f>IF($B118="","",COUNT($B$5:$B118))</f>
        <v/>
      </c>
      <c r="B118" s="80" t="n"/>
      <c r="C118" s="130">
        <f>IF($B118="","",CHOOSE(WEEKDAY($B118),"일","월","화","수","목","금","토"))</f>
        <v/>
      </c>
      <c r="D118" s="74" t="n"/>
      <c r="E118" s="130">
        <f>IF($D118="","",IFERROR(INDEX(코드설정!$D$5:$D$24,MATCH($D118,코드설정!$C$5:$C$24,0)),""))</f>
        <v/>
      </c>
      <c r="F118" s="74" t="n"/>
      <c r="G118" s="74" t="n"/>
      <c r="H118" s="36" t="n"/>
      <c r="I118" s="36" t="n"/>
      <c r="J118" s="74" t="n"/>
      <c r="K118" s="36" t="n"/>
    </row>
    <row r="119">
      <c r="A119" s="118">
        <f>IF($B119="","",COUNT($B$5:$B119))</f>
        <v/>
      </c>
      <c r="B119" s="80" t="n"/>
      <c r="C119" s="130">
        <f>IF($B119="","",CHOOSE(WEEKDAY($B119),"일","월","화","수","목","금","토"))</f>
        <v/>
      </c>
      <c r="D119" s="74" t="n"/>
      <c r="E119" s="130">
        <f>IF($D119="","",IFERROR(INDEX(코드설정!$D$5:$D$24,MATCH($D119,코드설정!$C$5:$C$24,0)),""))</f>
        <v/>
      </c>
      <c r="F119" s="74" t="n"/>
      <c r="G119" s="74" t="n"/>
      <c r="H119" s="36" t="n"/>
      <c r="I119" s="36" t="n"/>
      <c r="J119" s="74" t="n"/>
      <c r="K119" s="36" t="n"/>
    </row>
    <row r="120">
      <c r="A120" s="118">
        <f>IF($B120="","",COUNT($B$5:$B120))</f>
        <v/>
      </c>
      <c r="B120" s="80" t="n"/>
      <c r="C120" s="130">
        <f>IF($B120="","",CHOOSE(WEEKDAY($B120),"일","월","화","수","목","금","토"))</f>
        <v/>
      </c>
      <c r="D120" s="74" t="n"/>
      <c r="E120" s="130">
        <f>IF($D120="","",IFERROR(INDEX(코드설정!$D$5:$D$24,MATCH($D120,코드설정!$C$5:$C$24,0)),""))</f>
        <v/>
      </c>
      <c r="F120" s="74" t="n"/>
      <c r="G120" s="74" t="n"/>
      <c r="H120" s="36" t="n"/>
      <c r="I120" s="36" t="n"/>
      <c r="J120" s="74" t="n"/>
      <c r="K120" s="36" t="n"/>
    </row>
    <row r="121">
      <c r="A121" s="118">
        <f>IF($B121="","",COUNT($B$5:$B121))</f>
        <v/>
      </c>
      <c r="B121" s="80" t="n"/>
      <c r="C121" s="130">
        <f>IF($B121="","",CHOOSE(WEEKDAY($B121),"일","월","화","수","목","금","토"))</f>
        <v/>
      </c>
      <c r="D121" s="74" t="n"/>
      <c r="E121" s="130">
        <f>IF($D121="","",IFERROR(INDEX(코드설정!$D$5:$D$24,MATCH($D121,코드설정!$C$5:$C$24,0)),""))</f>
        <v/>
      </c>
      <c r="F121" s="74" t="n"/>
      <c r="G121" s="74" t="n"/>
      <c r="H121" s="36" t="n"/>
      <c r="I121" s="36" t="n"/>
      <c r="J121" s="74" t="n"/>
      <c r="K121" s="36" t="n"/>
    </row>
    <row r="122">
      <c r="A122" s="118">
        <f>IF($B122="","",COUNT($B$5:$B122))</f>
        <v/>
      </c>
      <c r="B122" s="80" t="n"/>
      <c r="C122" s="130">
        <f>IF($B122="","",CHOOSE(WEEKDAY($B122),"일","월","화","수","목","금","토"))</f>
        <v/>
      </c>
      <c r="D122" s="74" t="n"/>
      <c r="E122" s="130">
        <f>IF($D122="","",IFERROR(INDEX(코드설정!$D$5:$D$24,MATCH($D122,코드설정!$C$5:$C$24,0)),""))</f>
        <v/>
      </c>
      <c r="F122" s="74" t="n"/>
      <c r="G122" s="74" t="n"/>
      <c r="H122" s="36" t="n"/>
      <c r="I122" s="36" t="n"/>
      <c r="J122" s="74" t="n"/>
      <c r="K122" s="36" t="n"/>
    </row>
    <row r="123">
      <c r="A123" s="118">
        <f>IF($B123="","",COUNT($B$5:$B123))</f>
        <v/>
      </c>
      <c r="B123" s="80" t="n"/>
      <c r="C123" s="130">
        <f>IF($B123="","",CHOOSE(WEEKDAY($B123),"일","월","화","수","목","금","토"))</f>
        <v/>
      </c>
      <c r="D123" s="74" t="n"/>
      <c r="E123" s="130">
        <f>IF($D123="","",IFERROR(INDEX(코드설정!$D$5:$D$24,MATCH($D123,코드설정!$C$5:$C$24,0)),""))</f>
        <v/>
      </c>
      <c r="F123" s="74" t="n"/>
      <c r="G123" s="74" t="n"/>
      <c r="H123" s="36" t="n"/>
      <c r="I123" s="36" t="n"/>
      <c r="J123" s="74" t="n"/>
      <c r="K123" s="36" t="n"/>
    </row>
    <row r="124">
      <c r="A124" s="118">
        <f>IF($B124="","",COUNT($B$5:$B124))</f>
        <v/>
      </c>
      <c r="B124" s="80" t="n"/>
      <c r="C124" s="130">
        <f>IF($B124="","",CHOOSE(WEEKDAY($B124),"일","월","화","수","목","금","토"))</f>
        <v/>
      </c>
      <c r="D124" s="74" t="n"/>
      <c r="E124" s="130">
        <f>IF($D124="","",IFERROR(INDEX(코드설정!$D$5:$D$24,MATCH($D124,코드설정!$C$5:$C$24,0)),""))</f>
        <v/>
      </c>
      <c r="F124" s="74" t="n"/>
      <c r="G124" s="74" t="n"/>
      <c r="H124" s="36" t="n"/>
      <c r="I124" s="36" t="n"/>
      <c r="J124" s="74" t="n"/>
      <c r="K124" s="36" t="n"/>
    </row>
    <row r="125">
      <c r="A125" s="118">
        <f>IF($B125="","",COUNT($B$5:$B125))</f>
        <v/>
      </c>
      <c r="B125" s="80" t="n"/>
      <c r="C125" s="130">
        <f>IF($B125="","",CHOOSE(WEEKDAY($B125),"일","월","화","수","목","금","토"))</f>
        <v/>
      </c>
      <c r="D125" s="74" t="n"/>
      <c r="E125" s="130">
        <f>IF($D125="","",IFERROR(INDEX(코드설정!$D$5:$D$24,MATCH($D125,코드설정!$C$5:$C$24,0)),""))</f>
        <v/>
      </c>
      <c r="F125" s="74" t="n"/>
      <c r="G125" s="74" t="n"/>
      <c r="H125" s="36" t="n"/>
      <c r="I125" s="36" t="n"/>
      <c r="J125" s="74" t="n"/>
      <c r="K125" s="36" t="n"/>
    </row>
    <row r="126">
      <c r="A126" s="118">
        <f>IF($B126="","",COUNT($B$5:$B126))</f>
        <v/>
      </c>
      <c r="B126" s="80" t="n"/>
      <c r="C126" s="130">
        <f>IF($B126="","",CHOOSE(WEEKDAY($B126),"일","월","화","수","목","금","토"))</f>
        <v/>
      </c>
      <c r="D126" s="74" t="n"/>
      <c r="E126" s="130">
        <f>IF($D126="","",IFERROR(INDEX(코드설정!$D$5:$D$24,MATCH($D126,코드설정!$C$5:$C$24,0)),""))</f>
        <v/>
      </c>
      <c r="F126" s="74" t="n"/>
      <c r="G126" s="74" t="n"/>
      <c r="H126" s="36" t="n"/>
      <c r="I126" s="36" t="n"/>
      <c r="J126" s="74" t="n"/>
      <c r="K126" s="36" t="n"/>
    </row>
    <row r="127">
      <c r="A127" s="118">
        <f>IF($B127="","",COUNT($B$5:$B127))</f>
        <v/>
      </c>
      <c r="B127" s="80" t="n"/>
      <c r="C127" s="130">
        <f>IF($B127="","",CHOOSE(WEEKDAY($B127),"일","월","화","수","목","금","토"))</f>
        <v/>
      </c>
      <c r="D127" s="74" t="n"/>
      <c r="E127" s="130">
        <f>IF($D127="","",IFERROR(INDEX(코드설정!$D$5:$D$24,MATCH($D127,코드설정!$C$5:$C$24,0)),""))</f>
        <v/>
      </c>
      <c r="F127" s="74" t="n"/>
      <c r="G127" s="74" t="n"/>
      <c r="H127" s="36" t="n"/>
      <c r="I127" s="36" t="n"/>
      <c r="J127" s="74" t="n"/>
      <c r="K127" s="36" t="n"/>
    </row>
    <row r="128">
      <c r="A128" s="118">
        <f>IF($B128="","",COUNT($B$5:$B128))</f>
        <v/>
      </c>
      <c r="B128" s="80" t="n"/>
      <c r="C128" s="130">
        <f>IF($B128="","",CHOOSE(WEEKDAY($B128),"일","월","화","수","목","금","토"))</f>
        <v/>
      </c>
      <c r="D128" s="74" t="n"/>
      <c r="E128" s="130">
        <f>IF($D128="","",IFERROR(INDEX(코드설정!$D$5:$D$24,MATCH($D128,코드설정!$C$5:$C$24,0)),""))</f>
        <v/>
      </c>
      <c r="F128" s="74" t="n"/>
      <c r="G128" s="74" t="n"/>
      <c r="H128" s="36" t="n"/>
      <c r="I128" s="36" t="n"/>
      <c r="J128" s="74" t="n"/>
      <c r="K128" s="36" t="n"/>
    </row>
    <row r="129">
      <c r="A129" s="118">
        <f>IF($B129="","",COUNT($B$5:$B129))</f>
        <v/>
      </c>
      <c r="B129" s="80" t="n"/>
      <c r="C129" s="130">
        <f>IF($B129="","",CHOOSE(WEEKDAY($B129),"일","월","화","수","목","금","토"))</f>
        <v/>
      </c>
      <c r="D129" s="74" t="n"/>
      <c r="E129" s="130">
        <f>IF($D129="","",IFERROR(INDEX(코드설정!$D$5:$D$24,MATCH($D129,코드설정!$C$5:$C$24,0)),""))</f>
        <v/>
      </c>
      <c r="F129" s="74" t="n"/>
      <c r="G129" s="74" t="n"/>
      <c r="H129" s="36" t="n"/>
      <c r="I129" s="36" t="n"/>
      <c r="J129" s="74" t="n"/>
      <c r="K129" s="36" t="n"/>
    </row>
    <row r="130">
      <c r="A130" s="118">
        <f>IF($B130="","",COUNT($B$5:$B130))</f>
        <v/>
      </c>
      <c r="B130" s="80" t="n"/>
      <c r="C130" s="130">
        <f>IF($B130="","",CHOOSE(WEEKDAY($B130),"일","월","화","수","목","금","토"))</f>
        <v/>
      </c>
      <c r="D130" s="74" t="n"/>
      <c r="E130" s="130">
        <f>IF($D130="","",IFERROR(INDEX(코드설정!$D$5:$D$24,MATCH($D130,코드설정!$C$5:$C$24,0)),""))</f>
        <v/>
      </c>
      <c r="F130" s="74" t="n"/>
      <c r="G130" s="74" t="n"/>
      <c r="H130" s="36" t="n"/>
      <c r="I130" s="36" t="n"/>
      <c r="J130" s="74" t="n"/>
      <c r="K130" s="36" t="n"/>
    </row>
    <row r="131">
      <c r="A131" s="118">
        <f>IF($B131="","",COUNT($B$5:$B131))</f>
        <v/>
      </c>
      <c r="B131" s="80" t="n"/>
      <c r="C131" s="130">
        <f>IF($B131="","",CHOOSE(WEEKDAY($B131),"일","월","화","수","목","금","토"))</f>
        <v/>
      </c>
      <c r="D131" s="74" t="n"/>
      <c r="E131" s="130">
        <f>IF($D131="","",IFERROR(INDEX(코드설정!$D$5:$D$24,MATCH($D131,코드설정!$C$5:$C$24,0)),""))</f>
        <v/>
      </c>
      <c r="F131" s="74" t="n"/>
      <c r="G131" s="74" t="n"/>
      <c r="H131" s="36" t="n"/>
      <c r="I131" s="36" t="n"/>
      <c r="J131" s="74" t="n"/>
      <c r="K131" s="36" t="n"/>
    </row>
    <row r="132">
      <c r="A132" s="118">
        <f>IF($B132="","",COUNT($B$5:$B132))</f>
        <v/>
      </c>
      <c r="B132" s="80" t="n"/>
      <c r="C132" s="130">
        <f>IF($B132="","",CHOOSE(WEEKDAY($B132),"일","월","화","수","목","금","토"))</f>
        <v/>
      </c>
      <c r="D132" s="74" t="n"/>
      <c r="E132" s="130">
        <f>IF($D132="","",IFERROR(INDEX(코드설정!$D$5:$D$24,MATCH($D132,코드설정!$C$5:$C$24,0)),""))</f>
        <v/>
      </c>
      <c r="F132" s="74" t="n"/>
      <c r="G132" s="74" t="n"/>
      <c r="H132" s="36" t="n"/>
      <c r="I132" s="36" t="n"/>
      <c r="J132" s="74" t="n"/>
      <c r="K132" s="36" t="n"/>
    </row>
    <row r="133">
      <c r="A133" s="118">
        <f>IF($B133="","",COUNT($B$5:$B133))</f>
        <v/>
      </c>
      <c r="B133" s="80" t="n"/>
      <c r="C133" s="130">
        <f>IF($B133="","",CHOOSE(WEEKDAY($B133),"일","월","화","수","목","금","토"))</f>
        <v/>
      </c>
      <c r="D133" s="74" t="n"/>
      <c r="E133" s="130">
        <f>IF($D133="","",IFERROR(INDEX(코드설정!$D$5:$D$24,MATCH($D133,코드설정!$C$5:$C$24,0)),""))</f>
        <v/>
      </c>
      <c r="F133" s="74" t="n"/>
      <c r="G133" s="74" t="n"/>
      <c r="H133" s="36" t="n"/>
      <c r="I133" s="36" t="n"/>
      <c r="J133" s="74" t="n"/>
      <c r="K133" s="36" t="n"/>
    </row>
    <row r="134">
      <c r="A134" s="118">
        <f>IF($B134="","",COUNT($B$5:$B134))</f>
        <v/>
      </c>
      <c r="B134" s="80" t="n"/>
      <c r="C134" s="130">
        <f>IF($B134="","",CHOOSE(WEEKDAY($B134),"일","월","화","수","목","금","토"))</f>
        <v/>
      </c>
      <c r="D134" s="74" t="n"/>
      <c r="E134" s="130">
        <f>IF($D134="","",IFERROR(INDEX(코드설정!$D$5:$D$24,MATCH($D134,코드설정!$C$5:$C$24,0)),""))</f>
        <v/>
      </c>
      <c r="F134" s="74" t="n"/>
      <c r="G134" s="74" t="n"/>
      <c r="H134" s="36" t="n"/>
      <c r="I134" s="36" t="n"/>
      <c r="J134" s="74" t="n"/>
      <c r="K134" s="36" t="n"/>
    </row>
    <row r="135">
      <c r="A135" s="118">
        <f>IF($B135="","",COUNT($B$5:$B135))</f>
        <v/>
      </c>
      <c r="B135" s="80" t="n"/>
      <c r="C135" s="130">
        <f>IF($B135="","",CHOOSE(WEEKDAY($B135),"일","월","화","수","목","금","토"))</f>
        <v/>
      </c>
      <c r="D135" s="74" t="n"/>
      <c r="E135" s="130">
        <f>IF($D135="","",IFERROR(INDEX(코드설정!$D$5:$D$24,MATCH($D135,코드설정!$C$5:$C$24,0)),""))</f>
        <v/>
      </c>
      <c r="F135" s="74" t="n"/>
      <c r="G135" s="74" t="n"/>
      <c r="H135" s="36" t="n"/>
      <c r="I135" s="36" t="n"/>
      <c r="J135" s="74" t="n"/>
      <c r="K135" s="36" t="n"/>
    </row>
    <row r="136">
      <c r="A136" s="118">
        <f>IF($B136="","",COUNT($B$5:$B136))</f>
        <v/>
      </c>
      <c r="B136" s="80" t="n"/>
      <c r="C136" s="130">
        <f>IF($B136="","",CHOOSE(WEEKDAY($B136),"일","월","화","수","목","금","토"))</f>
        <v/>
      </c>
      <c r="D136" s="74" t="n"/>
      <c r="E136" s="130">
        <f>IF($D136="","",IFERROR(INDEX(코드설정!$D$5:$D$24,MATCH($D136,코드설정!$C$5:$C$24,0)),""))</f>
        <v/>
      </c>
      <c r="F136" s="74" t="n"/>
      <c r="G136" s="74" t="n"/>
      <c r="H136" s="36" t="n"/>
      <c r="I136" s="36" t="n"/>
      <c r="J136" s="74" t="n"/>
      <c r="K136" s="36" t="n"/>
    </row>
    <row r="137">
      <c r="A137" s="118">
        <f>IF($B137="","",COUNT($B$5:$B137))</f>
        <v/>
      </c>
      <c r="B137" s="80" t="n"/>
      <c r="C137" s="130">
        <f>IF($B137="","",CHOOSE(WEEKDAY($B137),"일","월","화","수","목","금","토"))</f>
        <v/>
      </c>
      <c r="D137" s="74" t="n"/>
      <c r="E137" s="130">
        <f>IF($D137="","",IFERROR(INDEX(코드설정!$D$5:$D$24,MATCH($D137,코드설정!$C$5:$C$24,0)),""))</f>
        <v/>
      </c>
      <c r="F137" s="74" t="n"/>
      <c r="G137" s="74" t="n"/>
      <c r="H137" s="36" t="n"/>
      <c r="I137" s="36" t="n"/>
      <c r="J137" s="74" t="n"/>
      <c r="K137" s="36" t="n"/>
    </row>
    <row r="138">
      <c r="A138" s="118">
        <f>IF($B138="","",COUNT($B$5:$B138))</f>
        <v/>
      </c>
      <c r="B138" s="80" t="n"/>
      <c r="C138" s="130">
        <f>IF($B138="","",CHOOSE(WEEKDAY($B138),"일","월","화","수","목","금","토"))</f>
        <v/>
      </c>
      <c r="D138" s="74" t="n"/>
      <c r="E138" s="130">
        <f>IF($D138="","",IFERROR(INDEX(코드설정!$D$5:$D$24,MATCH($D138,코드설정!$C$5:$C$24,0)),""))</f>
        <v/>
      </c>
      <c r="F138" s="74" t="n"/>
      <c r="G138" s="74" t="n"/>
      <c r="H138" s="36" t="n"/>
      <c r="I138" s="36" t="n"/>
      <c r="J138" s="74" t="n"/>
      <c r="K138" s="36" t="n"/>
    </row>
    <row r="139">
      <c r="A139" s="118">
        <f>IF($B139="","",COUNT($B$5:$B139))</f>
        <v/>
      </c>
      <c r="B139" s="80" t="n"/>
      <c r="C139" s="130">
        <f>IF($B139="","",CHOOSE(WEEKDAY($B139),"일","월","화","수","목","금","토"))</f>
        <v/>
      </c>
      <c r="D139" s="74" t="n"/>
      <c r="E139" s="130">
        <f>IF($D139="","",IFERROR(INDEX(코드설정!$D$5:$D$24,MATCH($D139,코드설정!$C$5:$C$24,0)),""))</f>
        <v/>
      </c>
      <c r="F139" s="74" t="n"/>
      <c r="G139" s="74" t="n"/>
      <c r="H139" s="36" t="n"/>
      <c r="I139" s="36" t="n"/>
      <c r="J139" s="74" t="n"/>
      <c r="K139" s="36" t="n"/>
    </row>
    <row r="140">
      <c r="A140" s="118">
        <f>IF($B140="","",COUNT($B$5:$B140))</f>
        <v/>
      </c>
      <c r="B140" s="80" t="n"/>
      <c r="C140" s="130">
        <f>IF($B140="","",CHOOSE(WEEKDAY($B140),"일","월","화","수","목","금","토"))</f>
        <v/>
      </c>
      <c r="D140" s="74" t="n"/>
      <c r="E140" s="130">
        <f>IF($D140="","",IFERROR(INDEX(코드설정!$D$5:$D$24,MATCH($D140,코드설정!$C$5:$C$24,0)),""))</f>
        <v/>
      </c>
      <c r="F140" s="74" t="n"/>
      <c r="G140" s="74" t="n"/>
      <c r="H140" s="36" t="n"/>
      <c r="I140" s="36" t="n"/>
      <c r="J140" s="74" t="n"/>
      <c r="K140" s="36" t="n"/>
    </row>
    <row r="141">
      <c r="A141" s="118">
        <f>IF($B141="","",COUNT($B$5:$B141))</f>
        <v/>
      </c>
      <c r="B141" s="80" t="n"/>
      <c r="C141" s="130">
        <f>IF($B141="","",CHOOSE(WEEKDAY($B141),"일","월","화","수","목","금","토"))</f>
        <v/>
      </c>
      <c r="D141" s="74" t="n"/>
      <c r="E141" s="130">
        <f>IF($D141="","",IFERROR(INDEX(코드설정!$D$5:$D$24,MATCH($D141,코드설정!$C$5:$C$24,0)),""))</f>
        <v/>
      </c>
      <c r="F141" s="74" t="n"/>
      <c r="G141" s="74" t="n"/>
      <c r="H141" s="36" t="n"/>
      <c r="I141" s="36" t="n"/>
      <c r="J141" s="74" t="n"/>
      <c r="K141" s="36" t="n"/>
    </row>
    <row r="142">
      <c r="A142" s="118">
        <f>IF($B142="","",COUNT($B$5:$B142))</f>
        <v/>
      </c>
      <c r="B142" s="80" t="n"/>
      <c r="C142" s="130">
        <f>IF($B142="","",CHOOSE(WEEKDAY($B142),"일","월","화","수","목","금","토"))</f>
        <v/>
      </c>
      <c r="D142" s="74" t="n"/>
      <c r="E142" s="130">
        <f>IF($D142="","",IFERROR(INDEX(코드설정!$D$5:$D$24,MATCH($D142,코드설정!$C$5:$C$24,0)),""))</f>
        <v/>
      </c>
      <c r="F142" s="74" t="n"/>
      <c r="G142" s="74" t="n"/>
      <c r="H142" s="36" t="n"/>
      <c r="I142" s="36" t="n"/>
      <c r="J142" s="74" t="n"/>
      <c r="K142" s="36" t="n"/>
    </row>
    <row r="143">
      <c r="A143" s="118">
        <f>IF($B143="","",COUNT($B$5:$B143))</f>
        <v/>
      </c>
      <c r="B143" s="80" t="n"/>
      <c r="C143" s="130">
        <f>IF($B143="","",CHOOSE(WEEKDAY($B143),"일","월","화","수","목","금","토"))</f>
        <v/>
      </c>
      <c r="D143" s="74" t="n"/>
      <c r="E143" s="130">
        <f>IF($D143="","",IFERROR(INDEX(코드설정!$D$5:$D$24,MATCH($D143,코드설정!$C$5:$C$24,0)),""))</f>
        <v/>
      </c>
      <c r="F143" s="74" t="n"/>
      <c r="G143" s="74" t="n"/>
      <c r="H143" s="36" t="n"/>
      <c r="I143" s="36" t="n"/>
      <c r="J143" s="74" t="n"/>
      <c r="K143" s="36" t="n"/>
    </row>
    <row r="144">
      <c r="A144" s="118">
        <f>IF($B144="","",COUNT($B$5:$B144))</f>
        <v/>
      </c>
      <c r="B144" s="80" t="n"/>
      <c r="C144" s="130">
        <f>IF($B144="","",CHOOSE(WEEKDAY($B144),"일","월","화","수","목","금","토"))</f>
        <v/>
      </c>
      <c r="D144" s="74" t="n"/>
      <c r="E144" s="130">
        <f>IF($D144="","",IFERROR(INDEX(코드설정!$D$5:$D$24,MATCH($D144,코드설정!$C$5:$C$24,0)),""))</f>
        <v/>
      </c>
      <c r="F144" s="74" t="n"/>
      <c r="G144" s="74" t="n"/>
      <c r="H144" s="36" t="n"/>
      <c r="I144" s="36" t="n"/>
      <c r="J144" s="74" t="n"/>
      <c r="K144" s="36" t="n"/>
    </row>
    <row r="145">
      <c r="A145" s="118">
        <f>IF($B145="","",COUNT($B$5:$B145))</f>
        <v/>
      </c>
      <c r="B145" s="80" t="n"/>
      <c r="C145" s="130">
        <f>IF($B145="","",CHOOSE(WEEKDAY($B145),"일","월","화","수","목","금","토"))</f>
        <v/>
      </c>
      <c r="D145" s="74" t="n"/>
      <c r="E145" s="130">
        <f>IF($D145="","",IFERROR(INDEX(코드설정!$D$5:$D$24,MATCH($D145,코드설정!$C$5:$C$24,0)),""))</f>
        <v/>
      </c>
      <c r="F145" s="74" t="n"/>
      <c r="G145" s="74" t="n"/>
      <c r="H145" s="36" t="n"/>
      <c r="I145" s="36" t="n"/>
      <c r="J145" s="74" t="n"/>
      <c r="K145" s="36" t="n"/>
    </row>
    <row r="146">
      <c r="A146" s="118">
        <f>IF($B146="","",COUNT($B$5:$B146))</f>
        <v/>
      </c>
      <c r="B146" s="80" t="n"/>
      <c r="C146" s="130">
        <f>IF($B146="","",CHOOSE(WEEKDAY($B146),"일","월","화","수","목","금","토"))</f>
        <v/>
      </c>
      <c r="D146" s="74" t="n"/>
      <c r="E146" s="130">
        <f>IF($D146="","",IFERROR(INDEX(코드설정!$D$5:$D$24,MATCH($D146,코드설정!$C$5:$C$24,0)),""))</f>
        <v/>
      </c>
      <c r="F146" s="74" t="n"/>
      <c r="G146" s="74" t="n"/>
      <c r="H146" s="36" t="n"/>
      <c r="I146" s="36" t="n"/>
      <c r="J146" s="74" t="n"/>
      <c r="K146" s="36" t="n"/>
    </row>
    <row r="147">
      <c r="A147" s="118">
        <f>IF($B147="","",COUNT($B$5:$B147))</f>
        <v/>
      </c>
      <c r="B147" s="80" t="n"/>
      <c r="C147" s="130">
        <f>IF($B147="","",CHOOSE(WEEKDAY($B147),"일","월","화","수","목","금","토"))</f>
        <v/>
      </c>
      <c r="D147" s="74" t="n"/>
      <c r="E147" s="130">
        <f>IF($D147="","",IFERROR(INDEX(코드설정!$D$5:$D$24,MATCH($D147,코드설정!$C$5:$C$24,0)),""))</f>
        <v/>
      </c>
      <c r="F147" s="74" t="n"/>
      <c r="G147" s="74" t="n"/>
      <c r="H147" s="36" t="n"/>
      <c r="I147" s="36" t="n"/>
      <c r="J147" s="74" t="n"/>
      <c r="K147" s="36" t="n"/>
    </row>
    <row r="148">
      <c r="A148" s="118">
        <f>IF($B148="","",COUNT($B$5:$B148))</f>
        <v/>
      </c>
      <c r="B148" s="80" t="n"/>
      <c r="C148" s="130">
        <f>IF($B148="","",CHOOSE(WEEKDAY($B148),"일","월","화","수","목","금","토"))</f>
        <v/>
      </c>
      <c r="D148" s="74" t="n"/>
      <c r="E148" s="130">
        <f>IF($D148="","",IFERROR(INDEX(코드설정!$D$5:$D$24,MATCH($D148,코드설정!$C$5:$C$24,0)),""))</f>
        <v/>
      </c>
      <c r="F148" s="74" t="n"/>
      <c r="G148" s="74" t="n"/>
      <c r="H148" s="36" t="n"/>
      <c r="I148" s="36" t="n"/>
      <c r="J148" s="74" t="n"/>
      <c r="K148" s="36" t="n"/>
    </row>
    <row r="149">
      <c r="A149" s="118">
        <f>IF($B149="","",COUNT($B$5:$B149))</f>
        <v/>
      </c>
      <c r="B149" s="80" t="n"/>
      <c r="C149" s="130">
        <f>IF($B149="","",CHOOSE(WEEKDAY($B149),"일","월","화","수","목","금","토"))</f>
        <v/>
      </c>
      <c r="D149" s="74" t="n"/>
      <c r="E149" s="130">
        <f>IF($D149="","",IFERROR(INDEX(코드설정!$D$5:$D$24,MATCH($D149,코드설정!$C$5:$C$24,0)),""))</f>
        <v/>
      </c>
      <c r="F149" s="74" t="n"/>
      <c r="G149" s="74" t="n"/>
      <c r="H149" s="36" t="n"/>
      <c r="I149" s="36" t="n"/>
      <c r="J149" s="74" t="n"/>
      <c r="K149" s="36" t="n"/>
    </row>
    <row r="150">
      <c r="A150" s="118">
        <f>IF($B150="","",COUNT($B$5:$B150))</f>
        <v/>
      </c>
      <c r="B150" s="80" t="n"/>
      <c r="C150" s="130">
        <f>IF($B150="","",CHOOSE(WEEKDAY($B150),"일","월","화","수","목","금","토"))</f>
        <v/>
      </c>
      <c r="D150" s="74" t="n"/>
      <c r="E150" s="130">
        <f>IF($D150="","",IFERROR(INDEX(코드설정!$D$5:$D$24,MATCH($D150,코드설정!$C$5:$C$24,0)),""))</f>
        <v/>
      </c>
      <c r="F150" s="74" t="n"/>
      <c r="G150" s="74" t="n"/>
      <c r="H150" s="36" t="n"/>
      <c r="I150" s="36" t="n"/>
      <c r="J150" s="74" t="n"/>
      <c r="K150" s="36" t="n"/>
    </row>
    <row r="151">
      <c r="A151" s="118">
        <f>IF($B151="","",COUNT($B$5:$B151))</f>
        <v/>
      </c>
      <c r="B151" s="80" t="n"/>
      <c r="C151" s="130">
        <f>IF($B151="","",CHOOSE(WEEKDAY($B151),"일","월","화","수","목","금","토"))</f>
        <v/>
      </c>
      <c r="D151" s="74" t="n"/>
      <c r="E151" s="130">
        <f>IF($D151="","",IFERROR(INDEX(코드설정!$D$5:$D$24,MATCH($D151,코드설정!$C$5:$C$24,0)),""))</f>
        <v/>
      </c>
      <c r="F151" s="74" t="n"/>
      <c r="G151" s="74" t="n"/>
      <c r="H151" s="36" t="n"/>
      <c r="I151" s="36" t="n"/>
      <c r="J151" s="74" t="n"/>
      <c r="K151" s="36" t="n"/>
    </row>
    <row r="152">
      <c r="A152" s="118">
        <f>IF($B152="","",COUNT($B$5:$B152))</f>
        <v/>
      </c>
      <c r="B152" s="80" t="n"/>
      <c r="C152" s="130">
        <f>IF($B152="","",CHOOSE(WEEKDAY($B152),"일","월","화","수","목","금","토"))</f>
        <v/>
      </c>
      <c r="D152" s="74" t="n"/>
      <c r="E152" s="130">
        <f>IF($D152="","",IFERROR(INDEX(코드설정!$D$5:$D$24,MATCH($D152,코드설정!$C$5:$C$24,0)),""))</f>
        <v/>
      </c>
      <c r="F152" s="74" t="n"/>
      <c r="G152" s="74" t="n"/>
      <c r="H152" s="36" t="n"/>
      <c r="I152" s="36" t="n"/>
      <c r="J152" s="74" t="n"/>
      <c r="K152" s="36" t="n"/>
    </row>
    <row r="153">
      <c r="A153" s="118">
        <f>IF($B153="","",COUNT($B$5:$B153))</f>
        <v/>
      </c>
      <c r="B153" s="80" t="n"/>
      <c r="C153" s="130">
        <f>IF($B153="","",CHOOSE(WEEKDAY($B153),"일","월","화","수","목","금","토"))</f>
        <v/>
      </c>
      <c r="D153" s="74" t="n"/>
      <c r="E153" s="130">
        <f>IF($D153="","",IFERROR(INDEX(코드설정!$D$5:$D$24,MATCH($D153,코드설정!$C$5:$C$24,0)),""))</f>
        <v/>
      </c>
      <c r="F153" s="74" t="n"/>
      <c r="G153" s="74" t="n"/>
      <c r="H153" s="36" t="n"/>
      <c r="I153" s="36" t="n"/>
      <c r="J153" s="74" t="n"/>
      <c r="K153" s="36" t="n"/>
    </row>
    <row r="154">
      <c r="A154" s="118">
        <f>IF($B154="","",COUNT($B$5:$B154))</f>
        <v/>
      </c>
      <c r="B154" s="80" t="n"/>
      <c r="C154" s="130">
        <f>IF($B154="","",CHOOSE(WEEKDAY($B154),"일","월","화","수","목","금","토"))</f>
        <v/>
      </c>
      <c r="D154" s="74" t="n"/>
      <c r="E154" s="130">
        <f>IF($D154="","",IFERROR(INDEX(코드설정!$D$5:$D$24,MATCH($D154,코드설정!$C$5:$C$24,0)),""))</f>
        <v/>
      </c>
      <c r="F154" s="74" t="n"/>
      <c r="G154" s="74" t="n"/>
      <c r="H154" s="36" t="n"/>
      <c r="I154" s="36" t="n"/>
      <c r="J154" s="74" t="n"/>
      <c r="K154" s="36" t="n"/>
    </row>
    <row r="155">
      <c r="A155" s="118">
        <f>IF($B155="","",COUNT($B$5:$B155))</f>
        <v/>
      </c>
      <c r="B155" s="80" t="n"/>
      <c r="C155" s="130">
        <f>IF($B155="","",CHOOSE(WEEKDAY($B155),"일","월","화","수","목","금","토"))</f>
        <v/>
      </c>
      <c r="D155" s="74" t="n"/>
      <c r="E155" s="130">
        <f>IF($D155="","",IFERROR(INDEX(코드설정!$D$5:$D$24,MATCH($D155,코드설정!$C$5:$C$24,0)),""))</f>
        <v/>
      </c>
      <c r="F155" s="74" t="n"/>
      <c r="G155" s="74" t="n"/>
      <c r="H155" s="36" t="n"/>
      <c r="I155" s="36" t="n"/>
      <c r="J155" s="74" t="n"/>
      <c r="K155" s="36" t="n"/>
    </row>
    <row r="156">
      <c r="A156" s="118">
        <f>IF($B156="","",COUNT($B$5:$B156))</f>
        <v/>
      </c>
      <c r="B156" s="80" t="n"/>
      <c r="C156" s="130">
        <f>IF($B156="","",CHOOSE(WEEKDAY($B156),"일","월","화","수","목","금","토"))</f>
        <v/>
      </c>
      <c r="D156" s="74" t="n"/>
      <c r="E156" s="130">
        <f>IF($D156="","",IFERROR(INDEX(코드설정!$D$5:$D$24,MATCH($D156,코드설정!$C$5:$C$24,0)),""))</f>
        <v/>
      </c>
      <c r="F156" s="74" t="n"/>
      <c r="G156" s="74" t="n"/>
      <c r="H156" s="36" t="n"/>
      <c r="I156" s="36" t="n"/>
      <c r="J156" s="74" t="n"/>
      <c r="K156" s="36" t="n"/>
    </row>
    <row r="157">
      <c r="A157" s="118">
        <f>IF($B157="","",COUNT($B$5:$B157))</f>
        <v/>
      </c>
      <c r="B157" s="80" t="n"/>
      <c r="C157" s="130">
        <f>IF($B157="","",CHOOSE(WEEKDAY($B157),"일","월","화","수","목","금","토"))</f>
        <v/>
      </c>
      <c r="D157" s="74" t="n"/>
      <c r="E157" s="130">
        <f>IF($D157="","",IFERROR(INDEX(코드설정!$D$5:$D$24,MATCH($D157,코드설정!$C$5:$C$24,0)),""))</f>
        <v/>
      </c>
      <c r="F157" s="74" t="n"/>
      <c r="G157" s="74" t="n"/>
      <c r="H157" s="36" t="n"/>
      <c r="I157" s="36" t="n"/>
      <c r="J157" s="74" t="n"/>
      <c r="K157" s="36" t="n"/>
    </row>
    <row r="158">
      <c r="A158" s="118">
        <f>IF($B158="","",COUNT($B$5:$B158))</f>
        <v/>
      </c>
      <c r="B158" s="80" t="n"/>
      <c r="C158" s="130">
        <f>IF($B158="","",CHOOSE(WEEKDAY($B158),"일","월","화","수","목","금","토"))</f>
        <v/>
      </c>
      <c r="D158" s="74" t="n"/>
      <c r="E158" s="130">
        <f>IF($D158="","",IFERROR(INDEX(코드설정!$D$5:$D$24,MATCH($D158,코드설정!$C$5:$C$24,0)),""))</f>
        <v/>
      </c>
      <c r="F158" s="74" t="n"/>
      <c r="G158" s="74" t="n"/>
      <c r="H158" s="36" t="n"/>
      <c r="I158" s="36" t="n"/>
      <c r="J158" s="74" t="n"/>
      <c r="K158" s="36" t="n"/>
    </row>
    <row r="159">
      <c r="A159" s="118">
        <f>IF($B159="","",COUNT($B$5:$B159))</f>
        <v/>
      </c>
      <c r="B159" s="80" t="n"/>
      <c r="C159" s="130">
        <f>IF($B159="","",CHOOSE(WEEKDAY($B159),"일","월","화","수","목","금","토"))</f>
        <v/>
      </c>
      <c r="D159" s="74" t="n"/>
      <c r="E159" s="130">
        <f>IF($D159="","",IFERROR(INDEX(코드설정!$D$5:$D$24,MATCH($D159,코드설정!$C$5:$C$24,0)),""))</f>
        <v/>
      </c>
      <c r="F159" s="74" t="n"/>
      <c r="G159" s="74" t="n"/>
      <c r="H159" s="36" t="n"/>
      <c r="I159" s="36" t="n"/>
      <c r="J159" s="74" t="n"/>
      <c r="K159" s="36" t="n"/>
    </row>
    <row r="160">
      <c r="A160" s="118">
        <f>IF($B160="","",COUNT($B$5:$B160))</f>
        <v/>
      </c>
      <c r="B160" s="80" t="n"/>
      <c r="C160" s="130">
        <f>IF($B160="","",CHOOSE(WEEKDAY($B160),"일","월","화","수","목","금","토"))</f>
        <v/>
      </c>
      <c r="D160" s="74" t="n"/>
      <c r="E160" s="130">
        <f>IF($D160="","",IFERROR(INDEX(코드설정!$D$5:$D$24,MATCH($D160,코드설정!$C$5:$C$24,0)),""))</f>
        <v/>
      </c>
      <c r="F160" s="74" t="n"/>
      <c r="G160" s="74" t="n"/>
      <c r="H160" s="36" t="n"/>
      <c r="I160" s="36" t="n"/>
      <c r="J160" s="74" t="n"/>
      <c r="K160" s="36" t="n"/>
    </row>
    <row r="161">
      <c r="A161" s="118">
        <f>IF($B161="","",COUNT($B$5:$B161))</f>
        <v/>
      </c>
      <c r="B161" s="80" t="n"/>
      <c r="C161" s="130">
        <f>IF($B161="","",CHOOSE(WEEKDAY($B161),"일","월","화","수","목","금","토"))</f>
        <v/>
      </c>
      <c r="D161" s="74" t="n"/>
      <c r="E161" s="130">
        <f>IF($D161="","",IFERROR(INDEX(코드설정!$D$5:$D$24,MATCH($D161,코드설정!$C$5:$C$24,0)),""))</f>
        <v/>
      </c>
      <c r="F161" s="74" t="n"/>
      <c r="G161" s="74" t="n"/>
      <c r="H161" s="36" t="n"/>
      <c r="I161" s="36" t="n"/>
      <c r="J161" s="74" t="n"/>
      <c r="K161" s="36" t="n"/>
    </row>
    <row r="162">
      <c r="A162" s="118">
        <f>IF($B162="","",COUNT($B$5:$B162))</f>
        <v/>
      </c>
      <c r="B162" s="80" t="n"/>
      <c r="C162" s="130">
        <f>IF($B162="","",CHOOSE(WEEKDAY($B162),"일","월","화","수","목","금","토"))</f>
        <v/>
      </c>
      <c r="D162" s="74" t="n"/>
      <c r="E162" s="130">
        <f>IF($D162="","",IFERROR(INDEX(코드설정!$D$5:$D$24,MATCH($D162,코드설정!$C$5:$C$24,0)),""))</f>
        <v/>
      </c>
      <c r="F162" s="74" t="n"/>
      <c r="G162" s="74" t="n"/>
      <c r="H162" s="36" t="n"/>
      <c r="I162" s="36" t="n"/>
      <c r="J162" s="74" t="n"/>
      <c r="K162" s="36" t="n"/>
    </row>
    <row r="163">
      <c r="A163" s="118">
        <f>IF($B163="","",COUNT($B$5:$B163))</f>
        <v/>
      </c>
      <c r="B163" s="80" t="n"/>
      <c r="C163" s="130">
        <f>IF($B163="","",CHOOSE(WEEKDAY($B163),"일","월","화","수","목","금","토"))</f>
        <v/>
      </c>
      <c r="D163" s="74" t="n"/>
      <c r="E163" s="130">
        <f>IF($D163="","",IFERROR(INDEX(코드설정!$D$5:$D$24,MATCH($D163,코드설정!$C$5:$C$24,0)),""))</f>
        <v/>
      </c>
      <c r="F163" s="74" t="n"/>
      <c r="G163" s="74" t="n"/>
      <c r="H163" s="36" t="n"/>
      <c r="I163" s="36" t="n"/>
      <c r="J163" s="74" t="n"/>
      <c r="K163" s="36" t="n"/>
    </row>
    <row r="164">
      <c r="A164" s="118">
        <f>IF($B164="","",COUNT($B$5:$B164))</f>
        <v/>
      </c>
      <c r="B164" s="80" t="n"/>
      <c r="C164" s="130">
        <f>IF($B164="","",CHOOSE(WEEKDAY($B164),"일","월","화","수","목","금","토"))</f>
        <v/>
      </c>
      <c r="D164" s="74" t="n"/>
      <c r="E164" s="130">
        <f>IF($D164="","",IFERROR(INDEX(코드설정!$D$5:$D$24,MATCH($D164,코드설정!$C$5:$C$24,0)),""))</f>
        <v/>
      </c>
      <c r="F164" s="74" t="n"/>
      <c r="G164" s="74" t="n"/>
      <c r="H164" s="36" t="n"/>
      <c r="I164" s="36" t="n"/>
      <c r="J164" s="74" t="n"/>
      <c r="K164" s="36" t="n"/>
    </row>
    <row r="165">
      <c r="A165" s="118">
        <f>IF($B165="","",COUNT($B$5:$B165))</f>
        <v/>
      </c>
      <c r="B165" s="80" t="n"/>
      <c r="C165" s="130">
        <f>IF($B165="","",CHOOSE(WEEKDAY($B165),"일","월","화","수","목","금","토"))</f>
        <v/>
      </c>
      <c r="D165" s="74" t="n"/>
      <c r="E165" s="130">
        <f>IF($D165="","",IFERROR(INDEX(코드설정!$D$5:$D$24,MATCH($D165,코드설정!$C$5:$C$24,0)),""))</f>
        <v/>
      </c>
      <c r="F165" s="74" t="n"/>
      <c r="G165" s="74" t="n"/>
      <c r="H165" s="36" t="n"/>
      <c r="I165" s="36" t="n"/>
      <c r="J165" s="74" t="n"/>
      <c r="K165" s="36" t="n"/>
    </row>
    <row r="166">
      <c r="A166" s="118">
        <f>IF($B166="","",COUNT($B$5:$B166))</f>
        <v/>
      </c>
      <c r="B166" s="80" t="n"/>
      <c r="C166" s="130">
        <f>IF($B166="","",CHOOSE(WEEKDAY($B166),"일","월","화","수","목","금","토"))</f>
        <v/>
      </c>
      <c r="D166" s="74" t="n"/>
      <c r="E166" s="130">
        <f>IF($D166="","",IFERROR(INDEX(코드설정!$D$5:$D$24,MATCH($D166,코드설정!$C$5:$C$24,0)),""))</f>
        <v/>
      </c>
      <c r="F166" s="74" t="n"/>
      <c r="G166" s="74" t="n"/>
      <c r="H166" s="36" t="n"/>
      <c r="I166" s="36" t="n"/>
      <c r="J166" s="74" t="n"/>
      <c r="K166" s="36" t="n"/>
    </row>
    <row r="167">
      <c r="A167" s="118">
        <f>IF($B167="","",COUNT($B$5:$B167))</f>
        <v/>
      </c>
      <c r="B167" s="80" t="n"/>
      <c r="C167" s="130">
        <f>IF($B167="","",CHOOSE(WEEKDAY($B167),"일","월","화","수","목","금","토"))</f>
        <v/>
      </c>
      <c r="D167" s="74" t="n"/>
      <c r="E167" s="130">
        <f>IF($D167="","",IFERROR(INDEX(코드설정!$D$5:$D$24,MATCH($D167,코드설정!$C$5:$C$24,0)),""))</f>
        <v/>
      </c>
      <c r="F167" s="74" t="n"/>
      <c r="G167" s="74" t="n"/>
      <c r="H167" s="36" t="n"/>
      <c r="I167" s="36" t="n"/>
      <c r="J167" s="74" t="n"/>
      <c r="K167" s="36" t="n"/>
    </row>
    <row r="168">
      <c r="A168" s="118">
        <f>IF($B168="","",COUNT($B$5:$B168))</f>
        <v/>
      </c>
      <c r="B168" s="80" t="n"/>
      <c r="C168" s="130">
        <f>IF($B168="","",CHOOSE(WEEKDAY($B168),"일","월","화","수","목","금","토"))</f>
        <v/>
      </c>
      <c r="D168" s="74" t="n"/>
      <c r="E168" s="130">
        <f>IF($D168="","",IFERROR(INDEX(코드설정!$D$5:$D$24,MATCH($D168,코드설정!$C$5:$C$24,0)),""))</f>
        <v/>
      </c>
      <c r="F168" s="74" t="n"/>
      <c r="G168" s="74" t="n"/>
      <c r="H168" s="36" t="n"/>
      <c r="I168" s="36" t="n"/>
      <c r="J168" s="74" t="n"/>
      <c r="K168" s="36" t="n"/>
    </row>
    <row r="169">
      <c r="A169" s="118">
        <f>IF($B169="","",COUNT($B$5:$B169))</f>
        <v/>
      </c>
      <c r="B169" s="80" t="n"/>
      <c r="C169" s="130">
        <f>IF($B169="","",CHOOSE(WEEKDAY($B169),"일","월","화","수","목","금","토"))</f>
        <v/>
      </c>
      <c r="D169" s="74" t="n"/>
      <c r="E169" s="130">
        <f>IF($D169="","",IFERROR(INDEX(코드설정!$D$5:$D$24,MATCH($D169,코드설정!$C$5:$C$24,0)),""))</f>
        <v/>
      </c>
      <c r="F169" s="74" t="n"/>
      <c r="G169" s="74" t="n"/>
      <c r="H169" s="36" t="n"/>
      <c r="I169" s="36" t="n"/>
      <c r="J169" s="74" t="n"/>
      <c r="K169" s="36" t="n"/>
    </row>
    <row r="170">
      <c r="A170" s="118">
        <f>IF($B170="","",COUNT($B$5:$B170))</f>
        <v/>
      </c>
      <c r="B170" s="80" t="n"/>
      <c r="C170" s="130">
        <f>IF($B170="","",CHOOSE(WEEKDAY($B170),"일","월","화","수","목","금","토"))</f>
        <v/>
      </c>
      <c r="D170" s="74" t="n"/>
      <c r="E170" s="130">
        <f>IF($D170="","",IFERROR(INDEX(코드설정!$D$5:$D$24,MATCH($D170,코드설정!$C$5:$C$24,0)),""))</f>
        <v/>
      </c>
      <c r="F170" s="74" t="n"/>
      <c r="G170" s="74" t="n"/>
      <c r="H170" s="36" t="n"/>
      <c r="I170" s="36" t="n"/>
      <c r="J170" s="74" t="n"/>
      <c r="K170" s="36" t="n"/>
    </row>
    <row r="171">
      <c r="A171" s="118">
        <f>IF($B171="","",COUNT($B$5:$B171))</f>
        <v/>
      </c>
      <c r="B171" s="80" t="n"/>
      <c r="C171" s="130">
        <f>IF($B171="","",CHOOSE(WEEKDAY($B171),"일","월","화","수","목","금","토"))</f>
        <v/>
      </c>
      <c r="D171" s="74" t="n"/>
      <c r="E171" s="130">
        <f>IF($D171="","",IFERROR(INDEX(코드설정!$D$5:$D$24,MATCH($D171,코드설정!$C$5:$C$24,0)),""))</f>
        <v/>
      </c>
      <c r="F171" s="74" t="n"/>
      <c r="G171" s="74" t="n"/>
      <c r="H171" s="36" t="n"/>
      <c r="I171" s="36" t="n"/>
      <c r="J171" s="74" t="n"/>
      <c r="K171" s="36" t="n"/>
    </row>
    <row r="172">
      <c r="A172" s="118">
        <f>IF($B172="","",COUNT($B$5:$B172))</f>
        <v/>
      </c>
      <c r="B172" s="80" t="n"/>
      <c r="C172" s="130">
        <f>IF($B172="","",CHOOSE(WEEKDAY($B172),"일","월","화","수","목","금","토"))</f>
        <v/>
      </c>
      <c r="D172" s="74" t="n"/>
      <c r="E172" s="130">
        <f>IF($D172="","",IFERROR(INDEX(코드설정!$D$5:$D$24,MATCH($D172,코드설정!$C$5:$C$24,0)),""))</f>
        <v/>
      </c>
      <c r="F172" s="74" t="n"/>
      <c r="G172" s="74" t="n"/>
      <c r="H172" s="36" t="n"/>
      <c r="I172" s="36" t="n"/>
      <c r="J172" s="74" t="n"/>
      <c r="K172" s="36" t="n"/>
    </row>
    <row r="173">
      <c r="A173" s="118">
        <f>IF($B173="","",COUNT($B$5:$B173))</f>
        <v/>
      </c>
      <c r="B173" s="80" t="n"/>
      <c r="C173" s="130">
        <f>IF($B173="","",CHOOSE(WEEKDAY($B173),"일","월","화","수","목","금","토"))</f>
        <v/>
      </c>
      <c r="D173" s="74" t="n"/>
      <c r="E173" s="130">
        <f>IF($D173="","",IFERROR(INDEX(코드설정!$D$5:$D$24,MATCH($D173,코드설정!$C$5:$C$24,0)),""))</f>
        <v/>
      </c>
      <c r="F173" s="74" t="n"/>
      <c r="G173" s="74" t="n"/>
      <c r="H173" s="36" t="n"/>
      <c r="I173" s="36" t="n"/>
      <c r="J173" s="74" t="n"/>
      <c r="K173" s="36" t="n"/>
    </row>
    <row r="174">
      <c r="A174" s="118">
        <f>IF($B174="","",COUNT($B$5:$B174))</f>
        <v/>
      </c>
      <c r="B174" s="80" t="n"/>
      <c r="C174" s="130">
        <f>IF($B174="","",CHOOSE(WEEKDAY($B174),"일","월","화","수","목","금","토"))</f>
        <v/>
      </c>
      <c r="D174" s="74" t="n"/>
      <c r="E174" s="130">
        <f>IF($D174="","",IFERROR(INDEX(코드설정!$D$5:$D$24,MATCH($D174,코드설정!$C$5:$C$24,0)),""))</f>
        <v/>
      </c>
      <c r="F174" s="74" t="n"/>
      <c r="G174" s="74" t="n"/>
      <c r="H174" s="36" t="n"/>
      <c r="I174" s="36" t="n"/>
      <c r="J174" s="74" t="n"/>
      <c r="K174" s="36" t="n"/>
    </row>
    <row r="175">
      <c r="A175" s="118">
        <f>IF($B175="","",COUNT($B$5:$B175))</f>
        <v/>
      </c>
      <c r="B175" s="80" t="n"/>
      <c r="C175" s="130">
        <f>IF($B175="","",CHOOSE(WEEKDAY($B175),"일","월","화","수","목","금","토"))</f>
        <v/>
      </c>
      <c r="D175" s="74" t="n"/>
      <c r="E175" s="130">
        <f>IF($D175="","",IFERROR(INDEX(코드설정!$D$5:$D$24,MATCH($D175,코드설정!$C$5:$C$24,0)),""))</f>
        <v/>
      </c>
      <c r="F175" s="74" t="n"/>
      <c r="G175" s="74" t="n"/>
      <c r="H175" s="36" t="n"/>
      <c r="I175" s="36" t="n"/>
      <c r="J175" s="74" t="n"/>
      <c r="K175" s="36" t="n"/>
    </row>
    <row r="176">
      <c r="A176" s="118">
        <f>IF($B176="","",COUNT($B$5:$B176))</f>
        <v/>
      </c>
      <c r="B176" s="80" t="n"/>
      <c r="C176" s="130">
        <f>IF($B176="","",CHOOSE(WEEKDAY($B176),"일","월","화","수","목","금","토"))</f>
        <v/>
      </c>
      <c r="D176" s="74" t="n"/>
      <c r="E176" s="130">
        <f>IF($D176="","",IFERROR(INDEX(코드설정!$D$5:$D$24,MATCH($D176,코드설정!$C$5:$C$24,0)),""))</f>
        <v/>
      </c>
      <c r="F176" s="74" t="n"/>
      <c r="G176" s="74" t="n"/>
      <c r="H176" s="36" t="n"/>
      <c r="I176" s="36" t="n"/>
      <c r="J176" s="74" t="n"/>
      <c r="K176" s="36" t="n"/>
    </row>
    <row r="177">
      <c r="A177" s="118">
        <f>IF($B177="","",COUNT($B$5:$B177))</f>
        <v/>
      </c>
      <c r="B177" s="80" t="n"/>
      <c r="C177" s="130">
        <f>IF($B177="","",CHOOSE(WEEKDAY($B177),"일","월","화","수","목","금","토"))</f>
        <v/>
      </c>
      <c r="D177" s="74" t="n"/>
      <c r="E177" s="130">
        <f>IF($D177="","",IFERROR(INDEX(코드설정!$D$5:$D$24,MATCH($D177,코드설정!$C$5:$C$24,0)),""))</f>
        <v/>
      </c>
      <c r="F177" s="74" t="n"/>
      <c r="G177" s="74" t="n"/>
      <c r="H177" s="36" t="n"/>
      <c r="I177" s="36" t="n"/>
      <c r="J177" s="74" t="n"/>
      <c r="K177" s="36" t="n"/>
    </row>
    <row r="178">
      <c r="A178" s="118">
        <f>IF($B178="","",COUNT($B$5:$B178))</f>
        <v/>
      </c>
      <c r="B178" s="80" t="n"/>
      <c r="C178" s="130">
        <f>IF($B178="","",CHOOSE(WEEKDAY($B178),"일","월","화","수","목","금","토"))</f>
        <v/>
      </c>
      <c r="D178" s="74" t="n"/>
      <c r="E178" s="130">
        <f>IF($D178="","",IFERROR(INDEX(코드설정!$D$5:$D$24,MATCH($D178,코드설정!$C$5:$C$24,0)),""))</f>
        <v/>
      </c>
      <c r="F178" s="74" t="n"/>
      <c r="G178" s="74" t="n"/>
      <c r="H178" s="36" t="n"/>
      <c r="I178" s="36" t="n"/>
      <c r="J178" s="74" t="n"/>
      <c r="K178" s="36" t="n"/>
    </row>
    <row r="179">
      <c r="A179" s="118">
        <f>IF($B179="","",COUNT($B$5:$B179))</f>
        <v/>
      </c>
      <c r="B179" s="80" t="n"/>
      <c r="C179" s="130">
        <f>IF($B179="","",CHOOSE(WEEKDAY($B179),"일","월","화","수","목","금","토"))</f>
        <v/>
      </c>
      <c r="D179" s="74" t="n"/>
      <c r="E179" s="130">
        <f>IF($D179="","",IFERROR(INDEX(코드설정!$D$5:$D$24,MATCH($D179,코드설정!$C$5:$C$24,0)),""))</f>
        <v/>
      </c>
      <c r="F179" s="74" t="n"/>
      <c r="G179" s="74" t="n"/>
      <c r="H179" s="36" t="n"/>
      <c r="I179" s="36" t="n"/>
      <c r="J179" s="74" t="n"/>
      <c r="K179" s="36" t="n"/>
    </row>
    <row r="180">
      <c r="A180" s="118">
        <f>IF($B180="","",COUNT($B$5:$B180))</f>
        <v/>
      </c>
      <c r="B180" s="80" t="n"/>
      <c r="C180" s="130">
        <f>IF($B180="","",CHOOSE(WEEKDAY($B180),"일","월","화","수","목","금","토"))</f>
        <v/>
      </c>
      <c r="D180" s="74" t="n"/>
      <c r="E180" s="130">
        <f>IF($D180="","",IFERROR(INDEX(코드설정!$D$5:$D$24,MATCH($D180,코드설정!$C$5:$C$24,0)),""))</f>
        <v/>
      </c>
      <c r="F180" s="74" t="n"/>
      <c r="G180" s="74" t="n"/>
      <c r="H180" s="36" t="n"/>
      <c r="I180" s="36" t="n"/>
      <c r="J180" s="74" t="n"/>
      <c r="K180" s="36" t="n"/>
    </row>
    <row r="181">
      <c r="A181" s="118">
        <f>IF($B181="","",COUNT($B$5:$B181))</f>
        <v/>
      </c>
      <c r="B181" s="80" t="n"/>
      <c r="C181" s="130">
        <f>IF($B181="","",CHOOSE(WEEKDAY($B181),"일","월","화","수","목","금","토"))</f>
        <v/>
      </c>
      <c r="D181" s="74" t="n"/>
      <c r="E181" s="130">
        <f>IF($D181="","",IFERROR(INDEX(코드설정!$D$5:$D$24,MATCH($D181,코드설정!$C$5:$C$24,0)),""))</f>
        <v/>
      </c>
      <c r="F181" s="74" t="n"/>
      <c r="G181" s="74" t="n"/>
      <c r="H181" s="36" t="n"/>
      <c r="I181" s="36" t="n"/>
      <c r="J181" s="74" t="n"/>
      <c r="K181" s="36" t="n"/>
    </row>
    <row r="182">
      <c r="A182" s="118">
        <f>IF($B182="","",COUNT($B$5:$B182))</f>
        <v/>
      </c>
      <c r="B182" s="80" t="n"/>
      <c r="C182" s="130">
        <f>IF($B182="","",CHOOSE(WEEKDAY($B182),"일","월","화","수","목","금","토"))</f>
        <v/>
      </c>
      <c r="D182" s="74" t="n"/>
      <c r="E182" s="130">
        <f>IF($D182="","",IFERROR(INDEX(코드설정!$D$5:$D$24,MATCH($D182,코드설정!$C$5:$C$24,0)),""))</f>
        <v/>
      </c>
      <c r="F182" s="74" t="n"/>
      <c r="G182" s="74" t="n"/>
      <c r="H182" s="36" t="n"/>
      <c r="I182" s="36" t="n"/>
      <c r="J182" s="74" t="n"/>
      <c r="K182" s="36" t="n"/>
    </row>
    <row r="183">
      <c r="A183" s="118">
        <f>IF($B183="","",COUNT($B$5:$B183))</f>
        <v/>
      </c>
      <c r="B183" s="80" t="n"/>
      <c r="C183" s="130">
        <f>IF($B183="","",CHOOSE(WEEKDAY($B183),"일","월","화","수","목","금","토"))</f>
        <v/>
      </c>
      <c r="D183" s="74" t="n"/>
      <c r="E183" s="130">
        <f>IF($D183="","",IFERROR(INDEX(코드설정!$D$5:$D$24,MATCH($D183,코드설정!$C$5:$C$24,0)),""))</f>
        <v/>
      </c>
      <c r="F183" s="74" t="n"/>
      <c r="G183" s="74" t="n"/>
      <c r="H183" s="36" t="n"/>
      <c r="I183" s="36" t="n"/>
      <c r="J183" s="74" t="n"/>
      <c r="K183" s="36" t="n"/>
    </row>
    <row r="184">
      <c r="A184" s="118">
        <f>IF($B184="","",COUNT($B$5:$B184))</f>
        <v/>
      </c>
      <c r="B184" s="80" t="n"/>
      <c r="C184" s="130">
        <f>IF($B184="","",CHOOSE(WEEKDAY($B184),"일","월","화","수","목","금","토"))</f>
        <v/>
      </c>
      <c r="D184" s="74" t="n"/>
      <c r="E184" s="130">
        <f>IF($D184="","",IFERROR(INDEX(코드설정!$D$5:$D$24,MATCH($D184,코드설정!$C$5:$C$24,0)),""))</f>
        <v/>
      </c>
      <c r="F184" s="74" t="n"/>
      <c r="G184" s="74" t="n"/>
      <c r="H184" s="36" t="n"/>
      <c r="I184" s="36" t="n"/>
      <c r="J184" s="74" t="n"/>
      <c r="K184" s="36" t="n"/>
    </row>
    <row r="185">
      <c r="A185" s="118">
        <f>IF($B185="","",COUNT($B$5:$B185))</f>
        <v/>
      </c>
      <c r="B185" s="80" t="n"/>
      <c r="C185" s="130">
        <f>IF($B185="","",CHOOSE(WEEKDAY($B185),"일","월","화","수","목","금","토"))</f>
        <v/>
      </c>
      <c r="D185" s="74" t="n"/>
      <c r="E185" s="130">
        <f>IF($D185="","",IFERROR(INDEX(코드설정!$D$5:$D$24,MATCH($D185,코드설정!$C$5:$C$24,0)),""))</f>
        <v/>
      </c>
      <c r="F185" s="74" t="n"/>
      <c r="G185" s="74" t="n"/>
      <c r="H185" s="36" t="n"/>
      <c r="I185" s="36" t="n"/>
      <c r="J185" s="74" t="n"/>
      <c r="K185" s="36" t="n"/>
    </row>
    <row r="186">
      <c r="A186" s="118">
        <f>IF($B186="","",COUNT($B$5:$B186))</f>
        <v/>
      </c>
      <c r="B186" s="80" t="n"/>
      <c r="C186" s="130">
        <f>IF($B186="","",CHOOSE(WEEKDAY($B186),"일","월","화","수","목","금","토"))</f>
        <v/>
      </c>
      <c r="D186" s="74" t="n"/>
      <c r="E186" s="130">
        <f>IF($D186="","",IFERROR(INDEX(코드설정!$D$5:$D$24,MATCH($D186,코드설정!$C$5:$C$24,0)),""))</f>
        <v/>
      </c>
      <c r="F186" s="74" t="n"/>
      <c r="G186" s="74" t="n"/>
      <c r="H186" s="36" t="n"/>
      <c r="I186" s="36" t="n"/>
      <c r="J186" s="74" t="n"/>
      <c r="K186" s="36" t="n"/>
    </row>
    <row r="187">
      <c r="A187" s="118">
        <f>IF($B187="","",COUNT($B$5:$B187))</f>
        <v/>
      </c>
      <c r="B187" s="80" t="n"/>
      <c r="C187" s="130">
        <f>IF($B187="","",CHOOSE(WEEKDAY($B187),"일","월","화","수","목","금","토"))</f>
        <v/>
      </c>
      <c r="D187" s="74" t="n"/>
      <c r="E187" s="130">
        <f>IF($D187="","",IFERROR(INDEX(코드설정!$D$5:$D$24,MATCH($D187,코드설정!$C$5:$C$24,0)),""))</f>
        <v/>
      </c>
      <c r="F187" s="74" t="n"/>
      <c r="G187" s="74" t="n"/>
      <c r="H187" s="36" t="n"/>
      <c r="I187" s="36" t="n"/>
      <c r="J187" s="74" t="n"/>
      <c r="K187" s="36" t="n"/>
    </row>
    <row r="188">
      <c r="A188" s="118">
        <f>IF($B188="","",COUNT($B$5:$B188))</f>
        <v/>
      </c>
      <c r="B188" s="80" t="n"/>
      <c r="C188" s="130">
        <f>IF($B188="","",CHOOSE(WEEKDAY($B188),"일","월","화","수","목","금","토"))</f>
        <v/>
      </c>
      <c r="D188" s="74" t="n"/>
      <c r="E188" s="130">
        <f>IF($D188="","",IFERROR(INDEX(코드설정!$D$5:$D$24,MATCH($D188,코드설정!$C$5:$C$24,0)),""))</f>
        <v/>
      </c>
      <c r="F188" s="74" t="n"/>
      <c r="G188" s="74" t="n"/>
      <c r="H188" s="36" t="n"/>
      <c r="I188" s="36" t="n"/>
      <c r="J188" s="74" t="n"/>
      <c r="K188" s="36" t="n"/>
    </row>
    <row r="189">
      <c r="A189" s="118">
        <f>IF($B189="","",COUNT($B$5:$B189))</f>
        <v/>
      </c>
      <c r="B189" s="80" t="n"/>
      <c r="C189" s="130">
        <f>IF($B189="","",CHOOSE(WEEKDAY($B189),"일","월","화","수","목","금","토"))</f>
        <v/>
      </c>
      <c r="D189" s="74" t="n"/>
      <c r="E189" s="130">
        <f>IF($D189="","",IFERROR(INDEX(코드설정!$D$5:$D$24,MATCH($D189,코드설정!$C$5:$C$24,0)),""))</f>
        <v/>
      </c>
      <c r="F189" s="74" t="n"/>
      <c r="G189" s="74" t="n"/>
      <c r="H189" s="36" t="n"/>
      <c r="I189" s="36" t="n"/>
      <c r="J189" s="74" t="n"/>
      <c r="K189" s="36" t="n"/>
    </row>
    <row r="190">
      <c r="A190" s="118">
        <f>IF($B190="","",COUNT($B$5:$B190))</f>
        <v/>
      </c>
      <c r="B190" s="80" t="n"/>
      <c r="C190" s="130">
        <f>IF($B190="","",CHOOSE(WEEKDAY($B190),"일","월","화","수","목","금","토"))</f>
        <v/>
      </c>
      <c r="D190" s="74" t="n"/>
      <c r="E190" s="130">
        <f>IF($D190="","",IFERROR(INDEX(코드설정!$D$5:$D$24,MATCH($D190,코드설정!$C$5:$C$24,0)),""))</f>
        <v/>
      </c>
      <c r="F190" s="74" t="n"/>
      <c r="G190" s="74" t="n"/>
      <c r="H190" s="36" t="n"/>
      <c r="I190" s="36" t="n"/>
      <c r="J190" s="74" t="n"/>
      <c r="K190" s="36" t="n"/>
    </row>
    <row r="191">
      <c r="A191" s="118">
        <f>IF($B191="","",COUNT($B$5:$B191))</f>
        <v/>
      </c>
      <c r="B191" s="80" t="n"/>
      <c r="C191" s="130">
        <f>IF($B191="","",CHOOSE(WEEKDAY($B191),"일","월","화","수","목","금","토"))</f>
        <v/>
      </c>
      <c r="D191" s="74" t="n"/>
      <c r="E191" s="130">
        <f>IF($D191="","",IFERROR(INDEX(코드설정!$D$5:$D$24,MATCH($D191,코드설정!$C$5:$C$24,0)),""))</f>
        <v/>
      </c>
      <c r="F191" s="74" t="n"/>
      <c r="G191" s="74" t="n"/>
      <c r="H191" s="36" t="n"/>
      <c r="I191" s="36" t="n"/>
      <c r="J191" s="74" t="n"/>
      <c r="K191" s="36" t="n"/>
    </row>
    <row r="192">
      <c r="A192" s="118">
        <f>IF($B192="","",COUNT($B$5:$B192))</f>
        <v/>
      </c>
      <c r="B192" s="80" t="n"/>
      <c r="C192" s="130">
        <f>IF($B192="","",CHOOSE(WEEKDAY($B192),"일","월","화","수","목","금","토"))</f>
        <v/>
      </c>
      <c r="D192" s="74" t="n"/>
      <c r="E192" s="130">
        <f>IF($D192="","",IFERROR(INDEX(코드설정!$D$5:$D$24,MATCH($D192,코드설정!$C$5:$C$24,0)),""))</f>
        <v/>
      </c>
      <c r="F192" s="74" t="n"/>
      <c r="G192" s="74" t="n"/>
      <c r="H192" s="36" t="n"/>
      <c r="I192" s="36" t="n"/>
      <c r="J192" s="74" t="n"/>
      <c r="K192" s="36" t="n"/>
    </row>
    <row r="193">
      <c r="A193" s="118">
        <f>IF($B193="","",COUNT($B$5:$B193))</f>
        <v/>
      </c>
      <c r="B193" s="80" t="n"/>
      <c r="C193" s="130">
        <f>IF($B193="","",CHOOSE(WEEKDAY($B193),"일","월","화","수","목","금","토"))</f>
        <v/>
      </c>
      <c r="D193" s="74" t="n"/>
      <c r="E193" s="130">
        <f>IF($D193="","",IFERROR(INDEX(코드설정!$D$5:$D$24,MATCH($D193,코드설정!$C$5:$C$24,0)),""))</f>
        <v/>
      </c>
      <c r="F193" s="74" t="n"/>
      <c r="G193" s="74" t="n"/>
      <c r="H193" s="36" t="n"/>
      <c r="I193" s="36" t="n"/>
      <c r="J193" s="74" t="n"/>
      <c r="K193" s="36" t="n"/>
    </row>
    <row r="194">
      <c r="A194" s="118">
        <f>IF($B194="","",COUNT($B$5:$B194))</f>
        <v/>
      </c>
      <c r="B194" s="80" t="n"/>
      <c r="C194" s="130">
        <f>IF($B194="","",CHOOSE(WEEKDAY($B194),"일","월","화","수","목","금","토"))</f>
        <v/>
      </c>
      <c r="D194" s="74" t="n"/>
      <c r="E194" s="130">
        <f>IF($D194="","",IFERROR(INDEX(코드설정!$D$5:$D$24,MATCH($D194,코드설정!$C$5:$C$24,0)),""))</f>
        <v/>
      </c>
      <c r="F194" s="74" t="n"/>
      <c r="G194" s="74" t="n"/>
      <c r="H194" s="36" t="n"/>
      <c r="I194" s="36" t="n"/>
      <c r="J194" s="74" t="n"/>
      <c r="K194" s="36" t="n"/>
    </row>
    <row r="195">
      <c r="A195" s="118">
        <f>IF($B195="","",COUNT($B$5:$B195))</f>
        <v/>
      </c>
      <c r="B195" s="80" t="n"/>
      <c r="C195" s="130">
        <f>IF($B195="","",CHOOSE(WEEKDAY($B195),"일","월","화","수","목","금","토"))</f>
        <v/>
      </c>
      <c r="D195" s="74" t="n"/>
      <c r="E195" s="130">
        <f>IF($D195="","",IFERROR(INDEX(코드설정!$D$5:$D$24,MATCH($D195,코드설정!$C$5:$C$24,0)),""))</f>
        <v/>
      </c>
      <c r="F195" s="74" t="n"/>
      <c r="G195" s="74" t="n"/>
      <c r="H195" s="36" t="n"/>
      <c r="I195" s="36" t="n"/>
      <c r="J195" s="74" t="n"/>
      <c r="K195" s="36" t="n"/>
    </row>
    <row r="196">
      <c r="A196" s="118">
        <f>IF($B196="","",COUNT($B$5:$B196))</f>
        <v/>
      </c>
      <c r="B196" s="80" t="n"/>
      <c r="C196" s="130">
        <f>IF($B196="","",CHOOSE(WEEKDAY($B196),"일","월","화","수","목","금","토"))</f>
        <v/>
      </c>
      <c r="D196" s="74" t="n"/>
      <c r="E196" s="130">
        <f>IF($D196="","",IFERROR(INDEX(코드설정!$D$5:$D$24,MATCH($D196,코드설정!$C$5:$C$24,0)),""))</f>
        <v/>
      </c>
      <c r="F196" s="74" t="n"/>
      <c r="G196" s="74" t="n"/>
      <c r="H196" s="36" t="n"/>
      <c r="I196" s="36" t="n"/>
      <c r="J196" s="74" t="n"/>
      <c r="K196" s="36" t="n"/>
    </row>
    <row r="197">
      <c r="A197" s="118">
        <f>IF($B197="","",COUNT($B$5:$B197))</f>
        <v/>
      </c>
      <c r="B197" s="80" t="n"/>
      <c r="C197" s="130">
        <f>IF($B197="","",CHOOSE(WEEKDAY($B197),"일","월","화","수","목","금","토"))</f>
        <v/>
      </c>
      <c r="D197" s="74" t="n"/>
      <c r="E197" s="130">
        <f>IF($D197="","",IFERROR(INDEX(코드설정!$D$5:$D$24,MATCH($D197,코드설정!$C$5:$C$24,0)),""))</f>
        <v/>
      </c>
      <c r="F197" s="74" t="n"/>
      <c r="G197" s="74" t="n"/>
      <c r="H197" s="36" t="n"/>
      <c r="I197" s="36" t="n"/>
      <c r="J197" s="74" t="n"/>
      <c r="K197" s="36" t="n"/>
    </row>
    <row r="198">
      <c r="A198" s="118">
        <f>IF($B198="","",COUNT($B$5:$B198))</f>
        <v/>
      </c>
      <c r="B198" s="80" t="n"/>
      <c r="C198" s="130">
        <f>IF($B198="","",CHOOSE(WEEKDAY($B198),"일","월","화","수","목","금","토"))</f>
        <v/>
      </c>
      <c r="D198" s="74" t="n"/>
      <c r="E198" s="130">
        <f>IF($D198="","",IFERROR(INDEX(코드설정!$D$5:$D$24,MATCH($D198,코드설정!$C$5:$C$24,0)),""))</f>
        <v/>
      </c>
      <c r="F198" s="74" t="n"/>
      <c r="G198" s="74" t="n"/>
      <c r="H198" s="36" t="n"/>
      <c r="I198" s="36" t="n"/>
      <c r="J198" s="74" t="n"/>
      <c r="K198" s="36" t="n"/>
    </row>
    <row r="199">
      <c r="A199" s="118">
        <f>IF($B199="","",COUNT($B$5:$B199))</f>
        <v/>
      </c>
      <c r="B199" s="80" t="n"/>
      <c r="C199" s="130">
        <f>IF($B199="","",CHOOSE(WEEKDAY($B199),"일","월","화","수","목","금","토"))</f>
        <v/>
      </c>
      <c r="D199" s="74" t="n"/>
      <c r="E199" s="130">
        <f>IF($D199="","",IFERROR(INDEX(코드설정!$D$5:$D$24,MATCH($D199,코드설정!$C$5:$C$24,0)),""))</f>
        <v/>
      </c>
      <c r="F199" s="74" t="n"/>
      <c r="G199" s="74" t="n"/>
      <c r="H199" s="36" t="n"/>
      <c r="I199" s="36" t="n"/>
      <c r="J199" s="74" t="n"/>
      <c r="K199" s="36" t="n"/>
    </row>
    <row r="200">
      <c r="A200" s="118">
        <f>IF($B200="","",COUNT($B$5:$B200))</f>
        <v/>
      </c>
      <c r="B200" s="80" t="n"/>
      <c r="C200" s="130">
        <f>IF($B200="","",CHOOSE(WEEKDAY($B200),"일","월","화","수","목","금","토"))</f>
        <v/>
      </c>
      <c r="D200" s="74" t="n"/>
      <c r="E200" s="130">
        <f>IF($D200="","",IFERROR(INDEX(코드설정!$D$5:$D$24,MATCH($D200,코드설정!$C$5:$C$24,0)),""))</f>
        <v/>
      </c>
      <c r="F200" s="74" t="n"/>
      <c r="G200" s="74" t="n"/>
      <c r="H200" s="36" t="n"/>
      <c r="I200" s="36" t="n"/>
      <c r="J200" s="74" t="n"/>
      <c r="K200" s="36" t="n"/>
    </row>
    <row r="201">
      <c r="A201" s="118">
        <f>IF($B201="","",COUNT($B$5:$B201))</f>
        <v/>
      </c>
      <c r="B201" s="80" t="n"/>
      <c r="C201" s="130">
        <f>IF($B201="","",CHOOSE(WEEKDAY($B201),"일","월","화","수","목","금","토"))</f>
        <v/>
      </c>
      <c r="D201" s="74" t="n"/>
      <c r="E201" s="130">
        <f>IF($D201="","",IFERROR(INDEX(코드설정!$D$5:$D$24,MATCH($D201,코드설정!$C$5:$C$24,0)),""))</f>
        <v/>
      </c>
      <c r="F201" s="74" t="n"/>
      <c r="G201" s="74" t="n"/>
      <c r="H201" s="36" t="n"/>
      <c r="I201" s="36" t="n"/>
      <c r="J201" s="74" t="n"/>
      <c r="K201" s="36" t="n"/>
    </row>
    <row r="202">
      <c r="A202" s="118">
        <f>IF($B202="","",COUNT($B$5:$B202))</f>
        <v/>
      </c>
      <c r="B202" s="80" t="n"/>
      <c r="C202" s="130">
        <f>IF($B202="","",CHOOSE(WEEKDAY($B202),"일","월","화","수","목","금","토"))</f>
        <v/>
      </c>
      <c r="D202" s="74" t="n"/>
      <c r="E202" s="130">
        <f>IF($D202="","",IFERROR(INDEX(코드설정!$D$5:$D$24,MATCH($D202,코드설정!$C$5:$C$24,0)),""))</f>
        <v/>
      </c>
      <c r="F202" s="74" t="n"/>
      <c r="G202" s="74" t="n"/>
      <c r="H202" s="36" t="n"/>
      <c r="I202" s="36" t="n"/>
      <c r="J202" s="74" t="n"/>
      <c r="K202" s="36" t="n"/>
    </row>
    <row r="203">
      <c r="A203" s="118">
        <f>IF($B203="","",COUNT($B$5:$B203))</f>
        <v/>
      </c>
      <c r="B203" s="80" t="n"/>
      <c r="C203" s="130">
        <f>IF($B203="","",CHOOSE(WEEKDAY($B203),"일","월","화","수","목","금","토"))</f>
        <v/>
      </c>
      <c r="D203" s="74" t="n"/>
      <c r="E203" s="130">
        <f>IF($D203="","",IFERROR(INDEX(코드설정!$D$5:$D$24,MATCH($D203,코드설정!$C$5:$C$24,0)),""))</f>
        <v/>
      </c>
      <c r="F203" s="74" t="n"/>
      <c r="G203" s="74" t="n"/>
      <c r="H203" s="36" t="n"/>
      <c r="I203" s="36" t="n"/>
      <c r="J203" s="74" t="n"/>
      <c r="K203" s="36" t="n"/>
    </row>
    <row r="204">
      <c r="A204" s="118">
        <f>IF($B204="","",COUNT($B$5:$B204))</f>
        <v/>
      </c>
      <c r="B204" s="80" t="n"/>
      <c r="C204" s="130">
        <f>IF($B204="","",CHOOSE(WEEKDAY($B204),"일","월","화","수","목","금","토"))</f>
        <v/>
      </c>
      <c r="D204" s="74" t="n"/>
      <c r="E204" s="130">
        <f>IF($D204="","",IFERROR(INDEX(코드설정!$D$5:$D$24,MATCH($D204,코드설정!$C$5:$C$24,0)),""))</f>
        <v/>
      </c>
      <c r="F204" s="74" t="n"/>
      <c r="G204" s="74" t="n"/>
      <c r="H204" s="36" t="n"/>
      <c r="I204" s="36" t="n"/>
      <c r="J204" s="74" t="n"/>
      <c r="K204" s="36" t="n"/>
    </row>
    <row r="205">
      <c r="A205" s="118">
        <f>IF($B205="","",COUNT($B$5:$B205))</f>
        <v/>
      </c>
      <c r="B205" s="80" t="n"/>
      <c r="C205" s="130">
        <f>IF($B205="","",CHOOSE(WEEKDAY($B205),"일","월","화","수","목","금","토"))</f>
        <v/>
      </c>
      <c r="D205" s="74" t="n"/>
      <c r="E205" s="130">
        <f>IF($D205="","",IFERROR(INDEX(코드설정!$D$5:$D$24,MATCH($D205,코드설정!$C$5:$C$24,0)),""))</f>
        <v/>
      </c>
      <c r="F205" s="74" t="n"/>
      <c r="G205" s="74" t="n"/>
      <c r="H205" s="36" t="n"/>
      <c r="I205" s="36" t="n"/>
      <c r="J205" s="74" t="n"/>
      <c r="K205" s="36" t="n"/>
    </row>
    <row r="206">
      <c r="A206" s="118">
        <f>IF($B206="","",COUNT($B$5:$B206))</f>
        <v/>
      </c>
      <c r="B206" s="80" t="n"/>
      <c r="C206" s="130">
        <f>IF($B206="","",CHOOSE(WEEKDAY($B206),"일","월","화","수","목","금","토"))</f>
        <v/>
      </c>
      <c r="D206" s="74" t="n"/>
      <c r="E206" s="130">
        <f>IF($D206="","",IFERROR(INDEX(코드설정!$D$5:$D$24,MATCH($D206,코드설정!$C$5:$C$24,0)),""))</f>
        <v/>
      </c>
      <c r="F206" s="74" t="n"/>
      <c r="G206" s="74" t="n"/>
      <c r="H206" s="36" t="n"/>
      <c r="I206" s="36" t="n"/>
      <c r="J206" s="74" t="n"/>
      <c r="K206" s="36" t="n"/>
    </row>
    <row r="207">
      <c r="A207" s="118">
        <f>IF($B207="","",COUNT($B$5:$B207))</f>
        <v/>
      </c>
      <c r="B207" s="80" t="n"/>
      <c r="C207" s="130">
        <f>IF($B207="","",CHOOSE(WEEKDAY($B207),"일","월","화","수","목","금","토"))</f>
        <v/>
      </c>
      <c r="D207" s="74" t="n"/>
      <c r="E207" s="130">
        <f>IF($D207="","",IFERROR(INDEX(코드설정!$D$5:$D$24,MATCH($D207,코드설정!$C$5:$C$24,0)),""))</f>
        <v/>
      </c>
      <c r="F207" s="74" t="n"/>
      <c r="G207" s="74" t="n"/>
      <c r="H207" s="36" t="n"/>
      <c r="I207" s="36" t="n"/>
      <c r="J207" s="74" t="n"/>
      <c r="K207" s="36" t="n"/>
    </row>
    <row r="208">
      <c r="A208" s="118">
        <f>IF($B208="","",COUNT($B$5:$B208))</f>
        <v/>
      </c>
      <c r="B208" s="80" t="n"/>
      <c r="C208" s="130">
        <f>IF($B208="","",CHOOSE(WEEKDAY($B208),"일","월","화","수","목","금","토"))</f>
        <v/>
      </c>
      <c r="D208" s="74" t="n"/>
      <c r="E208" s="130">
        <f>IF($D208="","",IFERROR(INDEX(코드설정!$D$5:$D$24,MATCH($D208,코드설정!$C$5:$C$24,0)),""))</f>
        <v/>
      </c>
      <c r="F208" s="74" t="n"/>
      <c r="G208" s="74" t="n"/>
      <c r="H208" s="36" t="n"/>
      <c r="I208" s="36" t="n"/>
      <c r="J208" s="74" t="n"/>
      <c r="K208" s="36" t="n"/>
    </row>
    <row r="209">
      <c r="A209" s="118">
        <f>IF($B209="","",COUNT($B$5:$B209))</f>
        <v/>
      </c>
      <c r="B209" s="80" t="n"/>
      <c r="C209" s="130">
        <f>IF($B209="","",CHOOSE(WEEKDAY($B209),"일","월","화","수","목","금","토"))</f>
        <v/>
      </c>
      <c r="D209" s="74" t="n"/>
      <c r="E209" s="130">
        <f>IF($D209="","",IFERROR(INDEX(코드설정!$D$5:$D$24,MATCH($D209,코드설정!$C$5:$C$24,0)),""))</f>
        <v/>
      </c>
      <c r="F209" s="74" t="n"/>
      <c r="G209" s="74" t="n"/>
      <c r="H209" s="36" t="n"/>
      <c r="I209" s="36" t="n"/>
      <c r="J209" s="74" t="n"/>
      <c r="K209" s="36" t="n"/>
    </row>
    <row r="210">
      <c r="A210" s="118">
        <f>IF($B210="","",COUNT($B$5:$B210))</f>
        <v/>
      </c>
      <c r="B210" s="80" t="n"/>
      <c r="C210" s="130">
        <f>IF($B210="","",CHOOSE(WEEKDAY($B210),"일","월","화","수","목","금","토"))</f>
        <v/>
      </c>
      <c r="D210" s="74" t="n"/>
      <c r="E210" s="130">
        <f>IF($D210="","",IFERROR(INDEX(코드설정!$D$5:$D$24,MATCH($D210,코드설정!$C$5:$C$24,0)),""))</f>
        <v/>
      </c>
      <c r="F210" s="74" t="n"/>
      <c r="G210" s="74" t="n"/>
      <c r="H210" s="36" t="n"/>
      <c r="I210" s="36" t="n"/>
      <c r="J210" s="74" t="n"/>
      <c r="K210" s="36" t="n"/>
    </row>
    <row r="211">
      <c r="A211" s="118">
        <f>IF($B211="","",COUNT($B$5:$B211))</f>
        <v/>
      </c>
      <c r="B211" s="80" t="n"/>
      <c r="C211" s="130">
        <f>IF($B211="","",CHOOSE(WEEKDAY($B211),"일","월","화","수","목","금","토"))</f>
        <v/>
      </c>
      <c r="D211" s="74" t="n"/>
      <c r="E211" s="130">
        <f>IF($D211="","",IFERROR(INDEX(코드설정!$D$5:$D$24,MATCH($D211,코드설정!$C$5:$C$24,0)),""))</f>
        <v/>
      </c>
      <c r="F211" s="74" t="n"/>
      <c r="G211" s="74" t="n"/>
      <c r="H211" s="36" t="n"/>
      <c r="I211" s="36" t="n"/>
      <c r="J211" s="74" t="n"/>
      <c r="K211" s="36" t="n"/>
    </row>
    <row r="212">
      <c r="A212" s="118">
        <f>IF($B212="","",COUNT($B$5:$B212))</f>
        <v/>
      </c>
      <c r="B212" s="80" t="n"/>
      <c r="C212" s="130">
        <f>IF($B212="","",CHOOSE(WEEKDAY($B212),"일","월","화","수","목","금","토"))</f>
        <v/>
      </c>
      <c r="D212" s="74" t="n"/>
      <c r="E212" s="130">
        <f>IF($D212="","",IFERROR(INDEX(코드설정!$D$5:$D$24,MATCH($D212,코드설정!$C$5:$C$24,0)),""))</f>
        <v/>
      </c>
      <c r="F212" s="74" t="n"/>
      <c r="G212" s="74" t="n"/>
      <c r="H212" s="36" t="n"/>
      <c r="I212" s="36" t="n"/>
      <c r="J212" s="74" t="n"/>
      <c r="K212" s="36" t="n"/>
    </row>
    <row r="213">
      <c r="A213" s="118">
        <f>IF($B213="","",COUNT($B$5:$B213))</f>
        <v/>
      </c>
      <c r="B213" s="80" t="n"/>
      <c r="C213" s="130">
        <f>IF($B213="","",CHOOSE(WEEKDAY($B213),"일","월","화","수","목","금","토"))</f>
        <v/>
      </c>
      <c r="D213" s="74" t="n"/>
      <c r="E213" s="130">
        <f>IF($D213="","",IFERROR(INDEX(코드설정!$D$5:$D$24,MATCH($D213,코드설정!$C$5:$C$24,0)),""))</f>
        <v/>
      </c>
      <c r="F213" s="74" t="n"/>
      <c r="G213" s="74" t="n"/>
      <c r="H213" s="36" t="n"/>
      <c r="I213" s="36" t="n"/>
      <c r="J213" s="74" t="n"/>
      <c r="K213" s="36" t="n"/>
    </row>
    <row r="214">
      <c r="A214" s="118">
        <f>IF($B214="","",COUNT($B$5:$B214))</f>
        <v/>
      </c>
      <c r="B214" s="80" t="n"/>
      <c r="C214" s="130">
        <f>IF($B214="","",CHOOSE(WEEKDAY($B214),"일","월","화","수","목","금","토"))</f>
        <v/>
      </c>
      <c r="D214" s="74" t="n"/>
      <c r="E214" s="130">
        <f>IF($D214="","",IFERROR(INDEX(코드설정!$D$5:$D$24,MATCH($D214,코드설정!$C$5:$C$24,0)),""))</f>
        <v/>
      </c>
      <c r="F214" s="74" t="n"/>
      <c r="G214" s="74" t="n"/>
      <c r="H214" s="36" t="n"/>
      <c r="I214" s="36" t="n"/>
      <c r="J214" s="74" t="n"/>
      <c r="K214" s="36" t="n"/>
    </row>
    <row r="215">
      <c r="A215" s="118">
        <f>IF($B215="","",COUNT($B$5:$B215))</f>
        <v/>
      </c>
      <c r="B215" s="80" t="n"/>
      <c r="C215" s="130">
        <f>IF($B215="","",CHOOSE(WEEKDAY($B215),"일","월","화","수","목","금","토"))</f>
        <v/>
      </c>
      <c r="D215" s="74" t="n"/>
      <c r="E215" s="130">
        <f>IF($D215="","",IFERROR(INDEX(코드설정!$D$5:$D$24,MATCH($D215,코드설정!$C$5:$C$24,0)),""))</f>
        <v/>
      </c>
      <c r="F215" s="74" t="n"/>
      <c r="G215" s="74" t="n"/>
      <c r="H215" s="36" t="n"/>
      <c r="I215" s="36" t="n"/>
      <c r="J215" s="74" t="n"/>
      <c r="K215" s="36" t="n"/>
    </row>
    <row r="216">
      <c r="A216" s="118">
        <f>IF($B216="","",COUNT($B$5:$B216))</f>
        <v/>
      </c>
      <c r="B216" s="80" t="n"/>
      <c r="C216" s="130">
        <f>IF($B216="","",CHOOSE(WEEKDAY($B216),"일","월","화","수","목","금","토"))</f>
        <v/>
      </c>
      <c r="D216" s="74" t="n"/>
      <c r="E216" s="130">
        <f>IF($D216="","",IFERROR(INDEX(코드설정!$D$5:$D$24,MATCH($D216,코드설정!$C$5:$C$24,0)),""))</f>
        <v/>
      </c>
      <c r="F216" s="74" t="n"/>
      <c r="G216" s="74" t="n"/>
      <c r="H216" s="36" t="n"/>
      <c r="I216" s="36" t="n"/>
      <c r="J216" s="74" t="n"/>
      <c r="K216" s="36" t="n"/>
    </row>
    <row r="217">
      <c r="A217" s="118">
        <f>IF($B217="","",COUNT($B$5:$B217))</f>
        <v/>
      </c>
      <c r="B217" s="80" t="n"/>
      <c r="C217" s="130">
        <f>IF($B217="","",CHOOSE(WEEKDAY($B217),"일","월","화","수","목","금","토"))</f>
        <v/>
      </c>
      <c r="D217" s="74" t="n"/>
      <c r="E217" s="130">
        <f>IF($D217="","",IFERROR(INDEX(코드설정!$D$5:$D$24,MATCH($D217,코드설정!$C$5:$C$24,0)),""))</f>
        <v/>
      </c>
      <c r="F217" s="74" t="n"/>
      <c r="G217" s="74" t="n"/>
      <c r="H217" s="36" t="n"/>
      <c r="I217" s="36" t="n"/>
      <c r="J217" s="74" t="n"/>
      <c r="K217" s="36" t="n"/>
    </row>
    <row r="218">
      <c r="A218" s="118">
        <f>IF($B218="","",COUNT($B$5:$B218))</f>
        <v/>
      </c>
      <c r="B218" s="80" t="n"/>
      <c r="C218" s="130">
        <f>IF($B218="","",CHOOSE(WEEKDAY($B218),"일","월","화","수","목","금","토"))</f>
        <v/>
      </c>
      <c r="D218" s="74" t="n"/>
      <c r="E218" s="130">
        <f>IF($D218="","",IFERROR(INDEX(코드설정!$D$5:$D$24,MATCH($D218,코드설정!$C$5:$C$24,0)),""))</f>
        <v/>
      </c>
      <c r="F218" s="74" t="n"/>
      <c r="G218" s="74" t="n"/>
      <c r="H218" s="36" t="n"/>
      <c r="I218" s="36" t="n"/>
      <c r="J218" s="74" t="n"/>
      <c r="K218" s="36" t="n"/>
    </row>
    <row r="219">
      <c r="A219" s="118">
        <f>IF($B219="","",COUNT($B$5:$B219))</f>
        <v/>
      </c>
      <c r="B219" s="80" t="n"/>
      <c r="C219" s="130">
        <f>IF($B219="","",CHOOSE(WEEKDAY($B219),"일","월","화","수","목","금","토"))</f>
        <v/>
      </c>
      <c r="D219" s="74" t="n"/>
      <c r="E219" s="130">
        <f>IF($D219="","",IFERROR(INDEX(코드설정!$D$5:$D$24,MATCH($D219,코드설정!$C$5:$C$24,0)),""))</f>
        <v/>
      </c>
      <c r="F219" s="74" t="n"/>
      <c r="G219" s="74" t="n"/>
      <c r="H219" s="36" t="n"/>
      <c r="I219" s="36" t="n"/>
      <c r="J219" s="74" t="n"/>
      <c r="K219" s="36" t="n"/>
    </row>
    <row r="220">
      <c r="A220" s="118">
        <f>IF($B220="","",COUNT($B$5:$B220))</f>
        <v/>
      </c>
      <c r="B220" s="80" t="n"/>
      <c r="C220" s="130">
        <f>IF($B220="","",CHOOSE(WEEKDAY($B220),"일","월","화","수","목","금","토"))</f>
        <v/>
      </c>
      <c r="D220" s="74" t="n"/>
      <c r="E220" s="130">
        <f>IF($D220="","",IFERROR(INDEX(코드설정!$D$5:$D$24,MATCH($D220,코드설정!$C$5:$C$24,0)),""))</f>
        <v/>
      </c>
      <c r="F220" s="74" t="n"/>
      <c r="G220" s="74" t="n"/>
      <c r="H220" s="36" t="n"/>
      <c r="I220" s="36" t="n"/>
      <c r="J220" s="74" t="n"/>
      <c r="K220" s="36" t="n"/>
    </row>
    <row r="221">
      <c r="A221" s="118">
        <f>IF($B221="","",COUNT($B$5:$B221))</f>
        <v/>
      </c>
      <c r="B221" s="80" t="n"/>
      <c r="C221" s="130">
        <f>IF($B221="","",CHOOSE(WEEKDAY($B221),"일","월","화","수","목","금","토"))</f>
        <v/>
      </c>
      <c r="D221" s="74" t="n"/>
      <c r="E221" s="130">
        <f>IF($D221="","",IFERROR(INDEX(코드설정!$D$5:$D$24,MATCH($D221,코드설정!$C$5:$C$24,0)),""))</f>
        <v/>
      </c>
      <c r="F221" s="74" t="n"/>
      <c r="G221" s="74" t="n"/>
      <c r="H221" s="36" t="n"/>
      <c r="I221" s="36" t="n"/>
      <c r="J221" s="74" t="n"/>
      <c r="K221" s="36" t="n"/>
    </row>
    <row r="222">
      <c r="A222" s="118">
        <f>IF($B222="","",COUNT($B$5:$B222))</f>
        <v/>
      </c>
      <c r="B222" s="80" t="n"/>
      <c r="C222" s="130">
        <f>IF($B222="","",CHOOSE(WEEKDAY($B222),"일","월","화","수","목","금","토"))</f>
        <v/>
      </c>
      <c r="D222" s="74" t="n"/>
      <c r="E222" s="130">
        <f>IF($D222="","",IFERROR(INDEX(코드설정!$D$5:$D$24,MATCH($D222,코드설정!$C$5:$C$24,0)),""))</f>
        <v/>
      </c>
      <c r="F222" s="74" t="n"/>
      <c r="G222" s="74" t="n"/>
      <c r="H222" s="36" t="n"/>
      <c r="I222" s="36" t="n"/>
      <c r="J222" s="74" t="n"/>
      <c r="K222" s="36" t="n"/>
    </row>
    <row r="223">
      <c r="A223" s="118">
        <f>IF($B223="","",COUNT($B$5:$B223))</f>
        <v/>
      </c>
      <c r="B223" s="80" t="n"/>
      <c r="C223" s="130">
        <f>IF($B223="","",CHOOSE(WEEKDAY($B223),"일","월","화","수","목","금","토"))</f>
        <v/>
      </c>
      <c r="D223" s="74" t="n"/>
      <c r="E223" s="130">
        <f>IF($D223="","",IFERROR(INDEX(코드설정!$D$5:$D$24,MATCH($D223,코드설정!$C$5:$C$24,0)),""))</f>
        <v/>
      </c>
      <c r="F223" s="74" t="n"/>
      <c r="G223" s="74" t="n"/>
      <c r="H223" s="36" t="n"/>
      <c r="I223" s="36" t="n"/>
      <c r="J223" s="74" t="n"/>
      <c r="K223" s="36" t="n"/>
    </row>
    <row r="224">
      <c r="A224" s="118">
        <f>IF($B224="","",COUNT($B$5:$B224))</f>
        <v/>
      </c>
      <c r="B224" s="80" t="n"/>
      <c r="C224" s="130">
        <f>IF($B224="","",CHOOSE(WEEKDAY($B224),"일","월","화","수","목","금","토"))</f>
        <v/>
      </c>
      <c r="D224" s="74" t="n"/>
      <c r="E224" s="130">
        <f>IF($D224="","",IFERROR(INDEX(코드설정!$D$5:$D$24,MATCH($D224,코드설정!$C$5:$C$24,0)),""))</f>
        <v/>
      </c>
      <c r="F224" s="74" t="n"/>
      <c r="G224" s="74" t="n"/>
      <c r="H224" s="36" t="n"/>
      <c r="I224" s="36" t="n"/>
      <c r="J224" s="74" t="n"/>
      <c r="K224" s="36" t="n"/>
    </row>
    <row r="225">
      <c r="A225" s="118">
        <f>IF($B225="","",COUNT($B$5:$B225))</f>
        <v/>
      </c>
      <c r="B225" s="80" t="n"/>
      <c r="C225" s="130">
        <f>IF($B225="","",CHOOSE(WEEKDAY($B225),"일","월","화","수","목","금","토"))</f>
        <v/>
      </c>
      <c r="D225" s="74" t="n"/>
      <c r="E225" s="130">
        <f>IF($D225="","",IFERROR(INDEX(코드설정!$D$5:$D$24,MATCH($D225,코드설정!$C$5:$C$24,0)),""))</f>
        <v/>
      </c>
      <c r="F225" s="74" t="n"/>
      <c r="G225" s="74" t="n"/>
      <c r="H225" s="36" t="n"/>
      <c r="I225" s="36" t="n"/>
      <c r="J225" s="74" t="n"/>
      <c r="K225" s="36" t="n"/>
    </row>
    <row r="226">
      <c r="A226" s="118">
        <f>IF($B226="","",COUNT($B$5:$B226))</f>
        <v/>
      </c>
      <c r="B226" s="80" t="n"/>
      <c r="C226" s="130">
        <f>IF($B226="","",CHOOSE(WEEKDAY($B226),"일","월","화","수","목","금","토"))</f>
        <v/>
      </c>
      <c r="D226" s="74" t="n"/>
      <c r="E226" s="130">
        <f>IF($D226="","",IFERROR(INDEX(코드설정!$D$5:$D$24,MATCH($D226,코드설정!$C$5:$C$24,0)),""))</f>
        <v/>
      </c>
      <c r="F226" s="74" t="n"/>
      <c r="G226" s="74" t="n"/>
      <c r="H226" s="36" t="n"/>
      <c r="I226" s="36" t="n"/>
      <c r="J226" s="74" t="n"/>
      <c r="K226" s="36" t="n"/>
    </row>
    <row r="227">
      <c r="A227" s="118">
        <f>IF($B227="","",COUNT($B$5:$B227))</f>
        <v/>
      </c>
      <c r="B227" s="80" t="n"/>
      <c r="C227" s="130">
        <f>IF($B227="","",CHOOSE(WEEKDAY($B227),"일","월","화","수","목","금","토"))</f>
        <v/>
      </c>
      <c r="D227" s="74" t="n"/>
      <c r="E227" s="130">
        <f>IF($D227="","",IFERROR(INDEX(코드설정!$D$5:$D$24,MATCH($D227,코드설정!$C$5:$C$24,0)),""))</f>
        <v/>
      </c>
      <c r="F227" s="74" t="n"/>
      <c r="G227" s="74" t="n"/>
      <c r="H227" s="36" t="n"/>
      <c r="I227" s="36" t="n"/>
      <c r="J227" s="74" t="n"/>
      <c r="K227" s="36" t="n"/>
    </row>
    <row r="228">
      <c r="A228" s="118">
        <f>IF($B228="","",COUNT($B$5:$B228))</f>
        <v/>
      </c>
      <c r="B228" s="80" t="n"/>
      <c r="C228" s="130">
        <f>IF($B228="","",CHOOSE(WEEKDAY($B228),"일","월","화","수","목","금","토"))</f>
        <v/>
      </c>
      <c r="D228" s="74" t="n"/>
      <c r="E228" s="130">
        <f>IF($D228="","",IFERROR(INDEX(코드설정!$D$5:$D$24,MATCH($D228,코드설정!$C$5:$C$24,0)),""))</f>
        <v/>
      </c>
      <c r="F228" s="74" t="n"/>
      <c r="G228" s="74" t="n"/>
      <c r="H228" s="36" t="n"/>
      <c r="I228" s="36" t="n"/>
      <c r="J228" s="74" t="n"/>
      <c r="K228" s="36" t="n"/>
    </row>
    <row r="229">
      <c r="A229" s="118">
        <f>IF($B229="","",COUNT($B$5:$B229))</f>
        <v/>
      </c>
      <c r="B229" s="80" t="n"/>
      <c r="C229" s="130">
        <f>IF($B229="","",CHOOSE(WEEKDAY($B229),"일","월","화","수","목","금","토"))</f>
        <v/>
      </c>
      <c r="D229" s="74" t="n"/>
      <c r="E229" s="130">
        <f>IF($D229="","",IFERROR(INDEX(코드설정!$D$5:$D$24,MATCH($D229,코드설정!$C$5:$C$24,0)),""))</f>
        <v/>
      </c>
      <c r="F229" s="74" t="n"/>
      <c r="G229" s="74" t="n"/>
      <c r="H229" s="36" t="n"/>
      <c r="I229" s="36" t="n"/>
      <c r="J229" s="74" t="n"/>
      <c r="K229" s="36" t="n"/>
    </row>
    <row r="230">
      <c r="A230" s="118">
        <f>IF($B230="","",COUNT($B$5:$B230))</f>
        <v/>
      </c>
      <c r="B230" s="80" t="n"/>
      <c r="C230" s="130">
        <f>IF($B230="","",CHOOSE(WEEKDAY($B230),"일","월","화","수","목","금","토"))</f>
        <v/>
      </c>
      <c r="D230" s="74" t="n"/>
      <c r="E230" s="130">
        <f>IF($D230="","",IFERROR(INDEX(코드설정!$D$5:$D$24,MATCH($D230,코드설정!$C$5:$C$24,0)),""))</f>
        <v/>
      </c>
      <c r="F230" s="74" t="n"/>
      <c r="G230" s="74" t="n"/>
      <c r="H230" s="36" t="n"/>
      <c r="I230" s="36" t="n"/>
      <c r="J230" s="74" t="n"/>
      <c r="K230" s="36" t="n"/>
    </row>
    <row r="231">
      <c r="A231" s="118">
        <f>IF($B231="","",COUNT($B$5:$B231))</f>
        <v/>
      </c>
      <c r="B231" s="80" t="n"/>
      <c r="C231" s="130">
        <f>IF($B231="","",CHOOSE(WEEKDAY($B231),"일","월","화","수","목","금","토"))</f>
        <v/>
      </c>
      <c r="D231" s="74" t="n"/>
      <c r="E231" s="130">
        <f>IF($D231="","",IFERROR(INDEX(코드설정!$D$5:$D$24,MATCH($D231,코드설정!$C$5:$C$24,0)),""))</f>
        <v/>
      </c>
      <c r="F231" s="74" t="n"/>
      <c r="G231" s="74" t="n"/>
      <c r="H231" s="36" t="n"/>
      <c r="I231" s="36" t="n"/>
      <c r="J231" s="74" t="n"/>
      <c r="K231" s="36" t="n"/>
    </row>
    <row r="232">
      <c r="A232" s="118">
        <f>IF($B232="","",COUNT($B$5:$B232))</f>
        <v/>
      </c>
      <c r="B232" s="80" t="n"/>
      <c r="C232" s="130">
        <f>IF($B232="","",CHOOSE(WEEKDAY($B232),"일","월","화","수","목","금","토"))</f>
        <v/>
      </c>
      <c r="D232" s="74" t="n"/>
      <c r="E232" s="130">
        <f>IF($D232="","",IFERROR(INDEX(코드설정!$D$5:$D$24,MATCH($D232,코드설정!$C$5:$C$24,0)),""))</f>
        <v/>
      </c>
      <c r="F232" s="74" t="n"/>
      <c r="G232" s="74" t="n"/>
      <c r="H232" s="36" t="n"/>
      <c r="I232" s="36" t="n"/>
      <c r="J232" s="74" t="n"/>
      <c r="K232" s="36" t="n"/>
    </row>
    <row r="233">
      <c r="A233" s="118">
        <f>IF($B233="","",COUNT($B$5:$B233))</f>
        <v/>
      </c>
      <c r="B233" s="80" t="n"/>
      <c r="C233" s="130">
        <f>IF($B233="","",CHOOSE(WEEKDAY($B233),"일","월","화","수","목","금","토"))</f>
        <v/>
      </c>
      <c r="D233" s="74" t="n"/>
      <c r="E233" s="130">
        <f>IF($D233="","",IFERROR(INDEX(코드설정!$D$5:$D$24,MATCH($D233,코드설정!$C$5:$C$24,0)),""))</f>
        <v/>
      </c>
      <c r="F233" s="74" t="n"/>
      <c r="G233" s="74" t="n"/>
      <c r="H233" s="36" t="n"/>
      <c r="I233" s="36" t="n"/>
      <c r="J233" s="74" t="n"/>
      <c r="K233" s="36" t="n"/>
    </row>
    <row r="234">
      <c r="A234" s="118">
        <f>IF($B234="","",COUNT($B$5:$B234))</f>
        <v/>
      </c>
      <c r="B234" s="80" t="n"/>
      <c r="C234" s="130">
        <f>IF($B234="","",CHOOSE(WEEKDAY($B234),"일","월","화","수","목","금","토"))</f>
        <v/>
      </c>
      <c r="D234" s="74" t="n"/>
      <c r="E234" s="130">
        <f>IF($D234="","",IFERROR(INDEX(코드설정!$D$5:$D$24,MATCH($D234,코드설정!$C$5:$C$24,0)),""))</f>
        <v/>
      </c>
      <c r="F234" s="74" t="n"/>
      <c r="G234" s="74" t="n"/>
      <c r="H234" s="36" t="n"/>
      <c r="I234" s="36" t="n"/>
      <c r="J234" s="74" t="n"/>
      <c r="K234" s="36" t="n"/>
    </row>
    <row r="235">
      <c r="A235" s="118">
        <f>IF($B235="","",COUNT($B$5:$B235))</f>
        <v/>
      </c>
      <c r="B235" s="80" t="n"/>
      <c r="C235" s="130">
        <f>IF($B235="","",CHOOSE(WEEKDAY($B235),"일","월","화","수","목","금","토"))</f>
        <v/>
      </c>
      <c r="D235" s="74" t="n"/>
      <c r="E235" s="130">
        <f>IF($D235="","",IFERROR(INDEX(코드설정!$D$5:$D$24,MATCH($D235,코드설정!$C$5:$C$24,0)),""))</f>
        <v/>
      </c>
      <c r="F235" s="74" t="n"/>
      <c r="G235" s="74" t="n"/>
      <c r="H235" s="36" t="n"/>
      <c r="I235" s="36" t="n"/>
      <c r="J235" s="74" t="n"/>
      <c r="K235" s="36" t="n"/>
    </row>
    <row r="236">
      <c r="A236" s="118">
        <f>IF($B236="","",COUNT($B$5:$B236))</f>
        <v/>
      </c>
      <c r="B236" s="80" t="n"/>
      <c r="C236" s="130">
        <f>IF($B236="","",CHOOSE(WEEKDAY($B236),"일","월","화","수","목","금","토"))</f>
        <v/>
      </c>
      <c r="D236" s="74" t="n"/>
      <c r="E236" s="130">
        <f>IF($D236="","",IFERROR(INDEX(코드설정!$D$5:$D$24,MATCH($D236,코드설정!$C$5:$C$24,0)),""))</f>
        <v/>
      </c>
      <c r="F236" s="74" t="n"/>
      <c r="G236" s="74" t="n"/>
      <c r="H236" s="36" t="n"/>
      <c r="I236" s="36" t="n"/>
      <c r="J236" s="74" t="n"/>
      <c r="K236" s="36" t="n"/>
    </row>
    <row r="237">
      <c r="A237" s="118">
        <f>IF($B237="","",COUNT($B$5:$B237))</f>
        <v/>
      </c>
      <c r="B237" s="80" t="n"/>
      <c r="C237" s="130">
        <f>IF($B237="","",CHOOSE(WEEKDAY($B237),"일","월","화","수","목","금","토"))</f>
        <v/>
      </c>
      <c r="D237" s="74" t="n"/>
      <c r="E237" s="130">
        <f>IF($D237="","",IFERROR(INDEX(코드설정!$D$5:$D$24,MATCH($D237,코드설정!$C$5:$C$24,0)),""))</f>
        <v/>
      </c>
      <c r="F237" s="74" t="n"/>
      <c r="G237" s="74" t="n"/>
      <c r="H237" s="36" t="n"/>
      <c r="I237" s="36" t="n"/>
      <c r="J237" s="74" t="n"/>
      <c r="K237" s="36" t="n"/>
    </row>
    <row r="238">
      <c r="A238" s="118">
        <f>IF($B238="","",COUNT($B$5:$B238))</f>
        <v/>
      </c>
      <c r="B238" s="80" t="n"/>
      <c r="C238" s="130">
        <f>IF($B238="","",CHOOSE(WEEKDAY($B238),"일","월","화","수","목","금","토"))</f>
        <v/>
      </c>
      <c r="D238" s="74" t="n"/>
      <c r="E238" s="130">
        <f>IF($D238="","",IFERROR(INDEX(코드설정!$D$5:$D$24,MATCH($D238,코드설정!$C$5:$C$24,0)),""))</f>
        <v/>
      </c>
      <c r="F238" s="74" t="n"/>
      <c r="G238" s="74" t="n"/>
      <c r="H238" s="36" t="n"/>
      <c r="I238" s="36" t="n"/>
      <c r="J238" s="74" t="n"/>
      <c r="K238" s="36" t="n"/>
    </row>
    <row r="239">
      <c r="A239" s="118">
        <f>IF($B239="","",COUNT($B$5:$B239))</f>
        <v/>
      </c>
      <c r="B239" s="80" t="n"/>
      <c r="C239" s="130">
        <f>IF($B239="","",CHOOSE(WEEKDAY($B239),"일","월","화","수","목","금","토"))</f>
        <v/>
      </c>
      <c r="D239" s="74" t="n"/>
      <c r="E239" s="130">
        <f>IF($D239="","",IFERROR(INDEX(코드설정!$D$5:$D$24,MATCH($D239,코드설정!$C$5:$C$24,0)),""))</f>
        <v/>
      </c>
      <c r="F239" s="74" t="n"/>
      <c r="G239" s="74" t="n"/>
      <c r="H239" s="36" t="n"/>
      <c r="I239" s="36" t="n"/>
      <c r="J239" s="74" t="n"/>
      <c r="K239" s="36" t="n"/>
    </row>
    <row r="240">
      <c r="A240" s="118">
        <f>IF($B240="","",COUNT($B$5:$B240))</f>
        <v/>
      </c>
      <c r="B240" s="80" t="n"/>
      <c r="C240" s="130">
        <f>IF($B240="","",CHOOSE(WEEKDAY($B240),"일","월","화","수","목","금","토"))</f>
        <v/>
      </c>
      <c r="D240" s="74" t="n"/>
      <c r="E240" s="130">
        <f>IF($D240="","",IFERROR(INDEX(코드설정!$D$5:$D$24,MATCH($D240,코드설정!$C$5:$C$24,0)),""))</f>
        <v/>
      </c>
      <c r="F240" s="74" t="n"/>
      <c r="G240" s="74" t="n"/>
      <c r="H240" s="36" t="n"/>
      <c r="I240" s="36" t="n"/>
      <c r="J240" s="74" t="n"/>
      <c r="K240" s="36" t="n"/>
    </row>
    <row r="241">
      <c r="A241" s="118">
        <f>IF($B241="","",COUNT($B$5:$B241))</f>
        <v/>
      </c>
      <c r="B241" s="80" t="n"/>
      <c r="C241" s="130">
        <f>IF($B241="","",CHOOSE(WEEKDAY($B241),"일","월","화","수","목","금","토"))</f>
        <v/>
      </c>
      <c r="D241" s="74" t="n"/>
      <c r="E241" s="130">
        <f>IF($D241="","",IFERROR(INDEX(코드설정!$D$5:$D$24,MATCH($D241,코드설정!$C$5:$C$24,0)),""))</f>
        <v/>
      </c>
      <c r="F241" s="74" t="n"/>
      <c r="G241" s="74" t="n"/>
      <c r="H241" s="36" t="n"/>
      <c r="I241" s="36" t="n"/>
      <c r="J241" s="74" t="n"/>
      <c r="K241" s="36" t="n"/>
    </row>
    <row r="242">
      <c r="A242" s="118">
        <f>IF($B242="","",COUNT($B$5:$B242))</f>
        <v/>
      </c>
      <c r="B242" s="80" t="n"/>
      <c r="C242" s="130">
        <f>IF($B242="","",CHOOSE(WEEKDAY($B242),"일","월","화","수","목","금","토"))</f>
        <v/>
      </c>
      <c r="D242" s="74" t="n"/>
      <c r="E242" s="130">
        <f>IF($D242="","",IFERROR(INDEX(코드설정!$D$5:$D$24,MATCH($D242,코드설정!$C$5:$C$24,0)),""))</f>
        <v/>
      </c>
      <c r="F242" s="74" t="n"/>
      <c r="G242" s="74" t="n"/>
      <c r="H242" s="36" t="n"/>
      <c r="I242" s="36" t="n"/>
      <c r="J242" s="74" t="n"/>
      <c r="K242" s="36" t="n"/>
    </row>
    <row r="243">
      <c r="A243" s="118">
        <f>IF($B243="","",COUNT($B$5:$B243))</f>
        <v/>
      </c>
      <c r="B243" s="80" t="n"/>
      <c r="C243" s="130">
        <f>IF($B243="","",CHOOSE(WEEKDAY($B243),"일","월","화","수","목","금","토"))</f>
        <v/>
      </c>
      <c r="D243" s="74" t="n"/>
      <c r="E243" s="130">
        <f>IF($D243="","",IFERROR(INDEX(코드설정!$D$5:$D$24,MATCH($D243,코드설정!$C$5:$C$24,0)),""))</f>
        <v/>
      </c>
      <c r="F243" s="74" t="n"/>
      <c r="G243" s="74" t="n"/>
      <c r="H243" s="36" t="n"/>
      <c r="I243" s="36" t="n"/>
      <c r="J243" s="74" t="n"/>
      <c r="K243" s="36" t="n"/>
    </row>
    <row r="244">
      <c r="A244" s="118">
        <f>IF($B244="","",COUNT($B$5:$B244))</f>
        <v/>
      </c>
      <c r="B244" s="80" t="n"/>
      <c r="C244" s="130">
        <f>IF($B244="","",CHOOSE(WEEKDAY($B244),"일","월","화","수","목","금","토"))</f>
        <v/>
      </c>
      <c r="D244" s="74" t="n"/>
      <c r="E244" s="130">
        <f>IF($D244="","",IFERROR(INDEX(코드설정!$D$5:$D$24,MATCH($D244,코드설정!$C$5:$C$24,0)),""))</f>
        <v/>
      </c>
      <c r="F244" s="74" t="n"/>
      <c r="G244" s="74" t="n"/>
      <c r="H244" s="36" t="n"/>
      <c r="I244" s="36" t="n"/>
      <c r="J244" s="74" t="n"/>
      <c r="K244" s="36" t="n"/>
    </row>
    <row r="245">
      <c r="A245" s="118">
        <f>IF($B245="","",COUNT($B$5:$B245))</f>
        <v/>
      </c>
      <c r="B245" s="80" t="n"/>
      <c r="C245" s="130">
        <f>IF($B245="","",CHOOSE(WEEKDAY($B245),"일","월","화","수","목","금","토"))</f>
        <v/>
      </c>
      <c r="D245" s="74" t="n"/>
      <c r="E245" s="130">
        <f>IF($D245="","",IFERROR(INDEX(코드설정!$D$5:$D$24,MATCH($D245,코드설정!$C$5:$C$24,0)),""))</f>
        <v/>
      </c>
      <c r="F245" s="74" t="n"/>
      <c r="G245" s="74" t="n"/>
      <c r="H245" s="36" t="n"/>
      <c r="I245" s="36" t="n"/>
      <c r="J245" s="74" t="n"/>
      <c r="K245" s="36" t="n"/>
    </row>
    <row r="246">
      <c r="A246" s="118">
        <f>IF($B246="","",COUNT($B$5:$B246))</f>
        <v/>
      </c>
      <c r="B246" s="80" t="n"/>
      <c r="C246" s="130">
        <f>IF($B246="","",CHOOSE(WEEKDAY($B246),"일","월","화","수","목","금","토"))</f>
        <v/>
      </c>
      <c r="D246" s="74" t="n"/>
      <c r="E246" s="130">
        <f>IF($D246="","",IFERROR(INDEX(코드설정!$D$5:$D$24,MATCH($D246,코드설정!$C$5:$C$24,0)),""))</f>
        <v/>
      </c>
      <c r="F246" s="74" t="n"/>
      <c r="G246" s="74" t="n"/>
      <c r="H246" s="36" t="n"/>
      <c r="I246" s="36" t="n"/>
      <c r="J246" s="74" t="n"/>
      <c r="K246" s="36" t="n"/>
    </row>
    <row r="247">
      <c r="A247" s="118">
        <f>IF($B247="","",COUNT($B$5:$B247))</f>
        <v/>
      </c>
      <c r="B247" s="80" t="n"/>
      <c r="C247" s="130">
        <f>IF($B247="","",CHOOSE(WEEKDAY($B247),"일","월","화","수","목","금","토"))</f>
        <v/>
      </c>
      <c r="D247" s="74" t="n"/>
      <c r="E247" s="130">
        <f>IF($D247="","",IFERROR(INDEX(코드설정!$D$5:$D$24,MATCH($D247,코드설정!$C$5:$C$24,0)),""))</f>
        <v/>
      </c>
      <c r="F247" s="74" t="n"/>
      <c r="G247" s="74" t="n"/>
      <c r="H247" s="36" t="n"/>
      <c r="I247" s="36" t="n"/>
      <c r="J247" s="74" t="n"/>
      <c r="K247" s="36" t="n"/>
    </row>
    <row r="248">
      <c r="A248" s="118">
        <f>IF($B248="","",COUNT($B$5:$B248))</f>
        <v/>
      </c>
      <c r="B248" s="80" t="n"/>
      <c r="C248" s="130">
        <f>IF($B248="","",CHOOSE(WEEKDAY($B248),"일","월","화","수","목","금","토"))</f>
        <v/>
      </c>
      <c r="D248" s="74" t="n"/>
      <c r="E248" s="130">
        <f>IF($D248="","",IFERROR(INDEX(코드설정!$D$5:$D$24,MATCH($D248,코드설정!$C$5:$C$24,0)),""))</f>
        <v/>
      </c>
      <c r="F248" s="74" t="n"/>
      <c r="G248" s="74" t="n"/>
      <c r="H248" s="36" t="n"/>
      <c r="I248" s="36" t="n"/>
      <c r="J248" s="74" t="n"/>
      <c r="K248" s="36" t="n"/>
    </row>
    <row r="249">
      <c r="A249" s="118">
        <f>IF($B249="","",COUNT($B$5:$B249))</f>
        <v/>
      </c>
      <c r="B249" s="80" t="n"/>
      <c r="C249" s="130">
        <f>IF($B249="","",CHOOSE(WEEKDAY($B249),"일","월","화","수","목","금","토"))</f>
        <v/>
      </c>
      <c r="D249" s="74" t="n"/>
      <c r="E249" s="130">
        <f>IF($D249="","",IFERROR(INDEX(코드설정!$D$5:$D$24,MATCH($D249,코드설정!$C$5:$C$24,0)),""))</f>
        <v/>
      </c>
      <c r="F249" s="74" t="n"/>
      <c r="G249" s="74" t="n"/>
      <c r="H249" s="36" t="n"/>
      <c r="I249" s="36" t="n"/>
      <c r="J249" s="74" t="n"/>
      <c r="K249" s="36" t="n"/>
    </row>
    <row r="250">
      <c r="A250" s="118">
        <f>IF($B250="","",COUNT($B$5:$B250))</f>
        <v/>
      </c>
      <c r="B250" s="80" t="n"/>
      <c r="C250" s="130">
        <f>IF($B250="","",CHOOSE(WEEKDAY($B250),"일","월","화","수","목","금","토"))</f>
        <v/>
      </c>
      <c r="D250" s="74" t="n"/>
      <c r="E250" s="130">
        <f>IF($D250="","",IFERROR(INDEX(코드설정!$D$5:$D$24,MATCH($D250,코드설정!$C$5:$C$24,0)),""))</f>
        <v/>
      </c>
      <c r="F250" s="74" t="n"/>
      <c r="G250" s="74" t="n"/>
      <c r="H250" s="36" t="n"/>
      <c r="I250" s="36" t="n"/>
      <c r="J250" s="74" t="n"/>
      <c r="K250" s="36" t="n"/>
    </row>
    <row r="251">
      <c r="A251" s="118">
        <f>IF($B251="","",COUNT($B$5:$B251))</f>
        <v/>
      </c>
      <c r="B251" s="80" t="n"/>
      <c r="C251" s="130">
        <f>IF($B251="","",CHOOSE(WEEKDAY($B251),"일","월","화","수","목","금","토"))</f>
        <v/>
      </c>
      <c r="D251" s="74" t="n"/>
      <c r="E251" s="130">
        <f>IF($D251="","",IFERROR(INDEX(코드설정!$D$5:$D$24,MATCH($D251,코드설정!$C$5:$C$24,0)),""))</f>
        <v/>
      </c>
      <c r="F251" s="74" t="n"/>
      <c r="G251" s="74" t="n"/>
      <c r="H251" s="36" t="n"/>
      <c r="I251" s="36" t="n"/>
      <c r="J251" s="74" t="n"/>
      <c r="K251" s="36" t="n"/>
    </row>
    <row r="252">
      <c r="A252" s="118">
        <f>IF($B252="","",COUNT($B$5:$B252))</f>
        <v/>
      </c>
      <c r="B252" s="80" t="n"/>
      <c r="C252" s="130">
        <f>IF($B252="","",CHOOSE(WEEKDAY($B252),"일","월","화","수","목","금","토"))</f>
        <v/>
      </c>
      <c r="D252" s="74" t="n"/>
      <c r="E252" s="130">
        <f>IF($D252="","",IFERROR(INDEX(코드설정!$D$5:$D$24,MATCH($D252,코드설정!$C$5:$C$24,0)),""))</f>
        <v/>
      </c>
      <c r="F252" s="74" t="n"/>
      <c r="G252" s="74" t="n"/>
      <c r="H252" s="36" t="n"/>
      <c r="I252" s="36" t="n"/>
      <c r="J252" s="74" t="n"/>
      <c r="K252" s="36" t="n"/>
    </row>
    <row r="253">
      <c r="A253" s="118">
        <f>IF($B253="","",COUNT($B$5:$B253))</f>
        <v/>
      </c>
      <c r="B253" s="80" t="n"/>
      <c r="C253" s="130">
        <f>IF($B253="","",CHOOSE(WEEKDAY($B253),"일","월","화","수","목","금","토"))</f>
        <v/>
      </c>
      <c r="D253" s="74" t="n"/>
      <c r="E253" s="130">
        <f>IF($D253="","",IFERROR(INDEX(코드설정!$D$5:$D$24,MATCH($D253,코드설정!$C$5:$C$24,0)),""))</f>
        <v/>
      </c>
      <c r="F253" s="74" t="n"/>
      <c r="G253" s="74" t="n"/>
      <c r="H253" s="36" t="n"/>
      <c r="I253" s="36" t="n"/>
      <c r="J253" s="74" t="n"/>
      <c r="K253" s="36" t="n"/>
    </row>
    <row r="254">
      <c r="A254" s="118">
        <f>IF($B254="","",COUNT($B$5:$B254))</f>
        <v/>
      </c>
      <c r="B254" s="80" t="n"/>
      <c r="C254" s="130">
        <f>IF($B254="","",CHOOSE(WEEKDAY($B254),"일","월","화","수","목","금","토"))</f>
        <v/>
      </c>
      <c r="D254" s="74" t="n"/>
      <c r="E254" s="130">
        <f>IF($D254="","",IFERROR(INDEX(코드설정!$D$5:$D$24,MATCH($D254,코드설정!$C$5:$C$24,0)),""))</f>
        <v/>
      </c>
      <c r="F254" s="74" t="n"/>
      <c r="G254" s="74" t="n"/>
      <c r="H254" s="36" t="n"/>
      <c r="I254" s="36" t="n"/>
      <c r="J254" s="74" t="n"/>
      <c r="K254" s="36" t="n"/>
    </row>
    <row r="255">
      <c r="A255" s="118">
        <f>IF($B255="","",COUNT($B$5:$B255))</f>
        <v/>
      </c>
      <c r="B255" s="80" t="n"/>
      <c r="C255" s="130">
        <f>IF($B255="","",CHOOSE(WEEKDAY($B255),"일","월","화","수","목","금","토"))</f>
        <v/>
      </c>
      <c r="D255" s="74" t="n"/>
      <c r="E255" s="130">
        <f>IF($D255="","",IFERROR(INDEX(코드설정!$D$5:$D$24,MATCH($D255,코드설정!$C$5:$C$24,0)),""))</f>
        <v/>
      </c>
      <c r="F255" s="74" t="n"/>
      <c r="G255" s="74" t="n"/>
      <c r="H255" s="36" t="n"/>
      <c r="I255" s="36" t="n"/>
      <c r="J255" s="74" t="n"/>
      <c r="K255" s="36" t="n"/>
    </row>
    <row r="256">
      <c r="A256" s="118">
        <f>IF($B256="","",COUNT($B$5:$B256))</f>
        <v/>
      </c>
      <c r="B256" s="80" t="n"/>
      <c r="C256" s="130">
        <f>IF($B256="","",CHOOSE(WEEKDAY($B256),"일","월","화","수","목","금","토"))</f>
        <v/>
      </c>
      <c r="D256" s="74" t="n"/>
      <c r="E256" s="130">
        <f>IF($D256="","",IFERROR(INDEX(코드설정!$D$5:$D$24,MATCH($D256,코드설정!$C$5:$C$24,0)),""))</f>
        <v/>
      </c>
      <c r="F256" s="74" t="n"/>
      <c r="G256" s="74" t="n"/>
      <c r="H256" s="36" t="n"/>
      <c r="I256" s="36" t="n"/>
      <c r="J256" s="74" t="n"/>
      <c r="K256" s="36" t="n"/>
    </row>
    <row r="257">
      <c r="A257" s="118">
        <f>IF($B257="","",COUNT($B$5:$B257))</f>
        <v/>
      </c>
      <c r="B257" s="80" t="n"/>
      <c r="C257" s="130">
        <f>IF($B257="","",CHOOSE(WEEKDAY($B257),"일","월","화","수","목","금","토"))</f>
        <v/>
      </c>
      <c r="D257" s="74" t="n"/>
      <c r="E257" s="130">
        <f>IF($D257="","",IFERROR(INDEX(코드설정!$D$5:$D$24,MATCH($D257,코드설정!$C$5:$C$24,0)),""))</f>
        <v/>
      </c>
      <c r="F257" s="74" t="n"/>
      <c r="G257" s="74" t="n"/>
      <c r="H257" s="36" t="n"/>
      <c r="I257" s="36" t="n"/>
      <c r="J257" s="74" t="n"/>
      <c r="K257" s="36" t="n"/>
    </row>
    <row r="258">
      <c r="A258" s="118">
        <f>IF($B258="","",COUNT($B$5:$B258))</f>
        <v/>
      </c>
      <c r="B258" s="80" t="n"/>
      <c r="C258" s="130">
        <f>IF($B258="","",CHOOSE(WEEKDAY($B258),"일","월","화","수","목","금","토"))</f>
        <v/>
      </c>
      <c r="D258" s="74" t="n"/>
      <c r="E258" s="130">
        <f>IF($D258="","",IFERROR(INDEX(코드설정!$D$5:$D$24,MATCH($D258,코드설정!$C$5:$C$24,0)),""))</f>
        <v/>
      </c>
      <c r="F258" s="74" t="n"/>
      <c r="G258" s="74" t="n"/>
      <c r="H258" s="36" t="n"/>
      <c r="I258" s="36" t="n"/>
      <c r="J258" s="74" t="n"/>
      <c r="K258" s="36" t="n"/>
    </row>
    <row r="259">
      <c r="A259" s="118">
        <f>IF($B259="","",COUNT($B$5:$B259))</f>
        <v/>
      </c>
      <c r="B259" s="80" t="n"/>
      <c r="C259" s="130">
        <f>IF($B259="","",CHOOSE(WEEKDAY($B259),"일","월","화","수","목","금","토"))</f>
        <v/>
      </c>
      <c r="D259" s="74" t="n"/>
      <c r="E259" s="130">
        <f>IF($D259="","",IFERROR(INDEX(코드설정!$D$5:$D$24,MATCH($D259,코드설정!$C$5:$C$24,0)),""))</f>
        <v/>
      </c>
      <c r="F259" s="74" t="n"/>
      <c r="G259" s="74" t="n"/>
      <c r="H259" s="36" t="n"/>
      <c r="I259" s="36" t="n"/>
      <c r="J259" s="74" t="n"/>
      <c r="K259" s="36" t="n"/>
    </row>
    <row r="260">
      <c r="A260" s="118">
        <f>IF($B260="","",COUNT($B$5:$B260))</f>
        <v/>
      </c>
      <c r="B260" s="80" t="n"/>
      <c r="C260" s="130">
        <f>IF($B260="","",CHOOSE(WEEKDAY($B260),"일","월","화","수","목","금","토"))</f>
        <v/>
      </c>
      <c r="D260" s="74" t="n"/>
      <c r="E260" s="130">
        <f>IF($D260="","",IFERROR(INDEX(코드설정!$D$5:$D$24,MATCH($D260,코드설정!$C$5:$C$24,0)),""))</f>
        <v/>
      </c>
      <c r="F260" s="74" t="n"/>
      <c r="G260" s="74" t="n"/>
      <c r="H260" s="36" t="n"/>
      <c r="I260" s="36" t="n"/>
      <c r="J260" s="74" t="n"/>
      <c r="K260" s="36" t="n"/>
    </row>
    <row r="261">
      <c r="A261" s="118">
        <f>IF($B261="","",COUNT($B$5:$B261))</f>
        <v/>
      </c>
      <c r="B261" s="80" t="n"/>
      <c r="C261" s="130">
        <f>IF($B261="","",CHOOSE(WEEKDAY($B261),"일","월","화","수","목","금","토"))</f>
        <v/>
      </c>
      <c r="D261" s="74" t="n"/>
      <c r="E261" s="130">
        <f>IF($D261="","",IFERROR(INDEX(코드설정!$D$5:$D$24,MATCH($D261,코드설정!$C$5:$C$24,0)),""))</f>
        <v/>
      </c>
      <c r="F261" s="74" t="n"/>
      <c r="G261" s="74" t="n"/>
      <c r="H261" s="36" t="n"/>
      <c r="I261" s="36" t="n"/>
      <c r="J261" s="74" t="n"/>
      <c r="K261" s="36" t="n"/>
    </row>
    <row r="262">
      <c r="A262" s="118">
        <f>IF($B262="","",COUNT($B$5:$B262))</f>
        <v/>
      </c>
      <c r="B262" s="80" t="n"/>
      <c r="C262" s="130">
        <f>IF($B262="","",CHOOSE(WEEKDAY($B262),"일","월","화","수","목","금","토"))</f>
        <v/>
      </c>
      <c r="D262" s="74" t="n"/>
      <c r="E262" s="130">
        <f>IF($D262="","",IFERROR(INDEX(코드설정!$D$5:$D$24,MATCH($D262,코드설정!$C$5:$C$24,0)),""))</f>
        <v/>
      </c>
      <c r="F262" s="74" t="n"/>
      <c r="G262" s="74" t="n"/>
      <c r="H262" s="36" t="n"/>
      <c r="I262" s="36" t="n"/>
      <c r="J262" s="74" t="n"/>
      <c r="K262" s="36" t="n"/>
    </row>
    <row r="263">
      <c r="A263" s="118">
        <f>IF($B263="","",COUNT($B$5:$B263))</f>
        <v/>
      </c>
      <c r="B263" s="80" t="n"/>
      <c r="C263" s="130">
        <f>IF($B263="","",CHOOSE(WEEKDAY($B263),"일","월","화","수","목","금","토"))</f>
        <v/>
      </c>
      <c r="D263" s="74" t="n"/>
      <c r="E263" s="130">
        <f>IF($D263="","",IFERROR(INDEX(코드설정!$D$5:$D$24,MATCH($D263,코드설정!$C$5:$C$24,0)),""))</f>
        <v/>
      </c>
      <c r="F263" s="74" t="n"/>
      <c r="G263" s="74" t="n"/>
      <c r="H263" s="36" t="n"/>
      <c r="I263" s="36" t="n"/>
      <c r="J263" s="74" t="n"/>
      <c r="K263" s="36" t="n"/>
    </row>
    <row r="264">
      <c r="A264" s="118">
        <f>IF($B264="","",COUNT($B$5:$B264))</f>
        <v/>
      </c>
      <c r="B264" s="80" t="n"/>
      <c r="C264" s="130">
        <f>IF($B264="","",CHOOSE(WEEKDAY($B264),"일","월","화","수","목","금","토"))</f>
        <v/>
      </c>
      <c r="D264" s="74" t="n"/>
      <c r="E264" s="130">
        <f>IF($D264="","",IFERROR(INDEX(코드설정!$D$5:$D$24,MATCH($D264,코드설정!$C$5:$C$24,0)),""))</f>
        <v/>
      </c>
      <c r="F264" s="74" t="n"/>
      <c r="G264" s="74" t="n"/>
      <c r="H264" s="36" t="n"/>
      <c r="I264" s="36" t="n"/>
      <c r="J264" s="74" t="n"/>
      <c r="K264" s="36" t="n"/>
    </row>
    <row r="265">
      <c r="A265" s="118">
        <f>IF($B265="","",COUNT($B$5:$B265))</f>
        <v/>
      </c>
      <c r="B265" s="80" t="n"/>
      <c r="C265" s="130">
        <f>IF($B265="","",CHOOSE(WEEKDAY($B265),"일","월","화","수","목","금","토"))</f>
        <v/>
      </c>
      <c r="D265" s="74" t="n"/>
      <c r="E265" s="130">
        <f>IF($D265="","",IFERROR(INDEX(코드설정!$D$5:$D$24,MATCH($D265,코드설정!$C$5:$C$24,0)),""))</f>
        <v/>
      </c>
      <c r="F265" s="74" t="n"/>
      <c r="G265" s="74" t="n"/>
      <c r="H265" s="36" t="n"/>
      <c r="I265" s="36" t="n"/>
      <c r="J265" s="74" t="n"/>
      <c r="K265" s="36" t="n"/>
    </row>
    <row r="266">
      <c r="A266" s="118">
        <f>IF($B266="","",COUNT($B$5:$B266))</f>
        <v/>
      </c>
      <c r="B266" s="80" t="n"/>
      <c r="C266" s="130">
        <f>IF($B266="","",CHOOSE(WEEKDAY($B266),"일","월","화","수","목","금","토"))</f>
        <v/>
      </c>
      <c r="D266" s="74" t="n"/>
      <c r="E266" s="130">
        <f>IF($D266="","",IFERROR(INDEX(코드설정!$D$5:$D$24,MATCH($D266,코드설정!$C$5:$C$24,0)),""))</f>
        <v/>
      </c>
      <c r="F266" s="74" t="n"/>
      <c r="G266" s="74" t="n"/>
      <c r="H266" s="36" t="n"/>
      <c r="I266" s="36" t="n"/>
      <c r="J266" s="74" t="n"/>
      <c r="K266" s="36" t="n"/>
    </row>
    <row r="267">
      <c r="A267" s="118">
        <f>IF($B267="","",COUNT($B$5:$B267))</f>
        <v/>
      </c>
      <c r="B267" s="80" t="n"/>
      <c r="C267" s="130">
        <f>IF($B267="","",CHOOSE(WEEKDAY($B267),"일","월","화","수","목","금","토"))</f>
        <v/>
      </c>
      <c r="D267" s="74" t="n"/>
      <c r="E267" s="130">
        <f>IF($D267="","",IFERROR(INDEX(코드설정!$D$5:$D$24,MATCH($D267,코드설정!$C$5:$C$24,0)),""))</f>
        <v/>
      </c>
      <c r="F267" s="74" t="n"/>
      <c r="G267" s="74" t="n"/>
      <c r="H267" s="36" t="n"/>
      <c r="I267" s="36" t="n"/>
      <c r="J267" s="74" t="n"/>
      <c r="K267" s="36" t="n"/>
    </row>
    <row r="268">
      <c r="A268" s="118">
        <f>IF($B268="","",COUNT($B$5:$B268))</f>
        <v/>
      </c>
      <c r="B268" s="80" t="n"/>
      <c r="C268" s="130">
        <f>IF($B268="","",CHOOSE(WEEKDAY($B268),"일","월","화","수","목","금","토"))</f>
        <v/>
      </c>
      <c r="D268" s="74" t="n"/>
      <c r="E268" s="130">
        <f>IF($D268="","",IFERROR(INDEX(코드설정!$D$5:$D$24,MATCH($D268,코드설정!$C$5:$C$24,0)),""))</f>
        <v/>
      </c>
      <c r="F268" s="74" t="n"/>
      <c r="G268" s="74" t="n"/>
      <c r="H268" s="36" t="n"/>
      <c r="I268" s="36" t="n"/>
      <c r="J268" s="74" t="n"/>
      <c r="K268" s="36" t="n"/>
    </row>
    <row r="269">
      <c r="A269" s="118">
        <f>IF($B269="","",COUNT($B$5:$B269))</f>
        <v/>
      </c>
      <c r="B269" s="80" t="n"/>
      <c r="C269" s="130">
        <f>IF($B269="","",CHOOSE(WEEKDAY($B269),"일","월","화","수","목","금","토"))</f>
        <v/>
      </c>
      <c r="D269" s="74" t="n"/>
      <c r="E269" s="130">
        <f>IF($D269="","",IFERROR(INDEX(코드설정!$D$5:$D$24,MATCH($D269,코드설정!$C$5:$C$24,0)),""))</f>
        <v/>
      </c>
      <c r="F269" s="74" t="n"/>
      <c r="G269" s="74" t="n"/>
      <c r="H269" s="36" t="n"/>
      <c r="I269" s="36" t="n"/>
      <c r="J269" s="74" t="n"/>
      <c r="K269" s="36" t="n"/>
    </row>
    <row r="270">
      <c r="A270" s="118">
        <f>IF($B270="","",COUNT($B$5:$B270))</f>
        <v/>
      </c>
      <c r="B270" s="80" t="n"/>
      <c r="C270" s="130">
        <f>IF($B270="","",CHOOSE(WEEKDAY($B270),"일","월","화","수","목","금","토"))</f>
        <v/>
      </c>
      <c r="D270" s="74" t="n"/>
      <c r="E270" s="130">
        <f>IF($D270="","",IFERROR(INDEX(코드설정!$D$5:$D$24,MATCH($D270,코드설정!$C$5:$C$24,0)),""))</f>
        <v/>
      </c>
      <c r="F270" s="74" t="n"/>
      <c r="G270" s="74" t="n"/>
      <c r="H270" s="36" t="n"/>
      <c r="I270" s="36" t="n"/>
      <c r="J270" s="74" t="n"/>
      <c r="K270" s="36" t="n"/>
    </row>
    <row r="271">
      <c r="A271" s="118">
        <f>IF($B271="","",COUNT($B$5:$B271))</f>
        <v/>
      </c>
      <c r="B271" s="80" t="n"/>
      <c r="C271" s="130">
        <f>IF($B271="","",CHOOSE(WEEKDAY($B271),"일","월","화","수","목","금","토"))</f>
        <v/>
      </c>
      <c r="D271" s="74" t="n"/>
      <c r="E271" s="130">
        <f>IF($D271="","",IFERROR(INDEX(코드설정!$D$5:$D$24,MATCH($D271,코드설정!$C$5:$C$24,0)),""))</f>
        <v/>
      </c>
      <c r="F271" s="74" t="n"/>
      <c r="G271" s="74" t="n"/>
      <c r="H271" s="36" t="n"/>
      <c r="I271" s="36" t="n"/>
      <c r="J271" s="74" t="n"/>
      <c r="K271" s="36" t="n"/>
    </row>
    <row r="272">
      <c r="A272" s="118">
        <f>IF($B272="","",COUNT($B$5:$B272))</f>
        <v/>
      </c>
      <c r="B272" s="80" t="n"/>
      <c r="C272" s="130">
        <f>IF($B272="","",CHOOSE(WEEKDAY($B272),"일","월","화","수","목","금","토"))</f>
        <v/>
      </c>
      <c r="D272" s="74" t="n"/>
      <c r="E272" s="130">
        <f>IF($D272="","",IFERROR(INDEX(코드설정!$D$5:$D$24,MATCH($D272,코드설정!$C$5:$C$24,0)),""))</f>
        <v/>
      </c>
      <c r="F272" s="74" t="n"/>
      <c r="G272" s="74" t="n"/>
      <c r="H272" s="36" t="n"/>
      <c r="I272" s="36" t="n"/>
      <c r="J272" s="74" t="n"/>
      <c r="K272" s="36" t="n"/>
    </row>
    <row r="273">
      <c r="A273" s="118">
        <f>IF($B273="","",COUNT($B$5:$B273))</f>
        <v/>
      </c>
      <c r="B273" s="80" t="n"/>
      <c r="C273" s="130">
        <f>IF($B273="","",CHOOSE(WEEKDAY($B273),"일","월","화","수","목","금","토"))</f>
        <v/>
      </c>
      <c r="D273" s="74" t="n"/>
      <c r="E273" s="130">
        <f>IF($D273="","",IFERROR(INDEX(코드설정!$D$5:$D$24,MATCH($D273,코드설정!$C$5:$C$24,0)),""))</f>
        <v/>
      </c>
      <c r="F273" s="74" t="n"/>
      <c r="G273" s="74" t="n"/>
      <c r="H273" s="36" t="n"/>
      <c r="I273" s="36" t="n"/>
      <c r="J273" s="74" t="n"/>
      <c r="K273" s="36" t="n"/>
    </row>
    <row r="274">
      <c r="A274" s="118">
        <f>IF($B274="","",COUNT($B$5:$B274))</f>
        <v/>
      </c>
      <c r="B274" s="80" t="n"/>
      <c r="C274" s="130">
        <f>IF($B274="","",CHOOSE(WEEKDAY($B274),"일","월","화","수","목","금","토"))</f>
        <v/>
      </c>
      <c r="D274" s="74" t="n"/>
      <c r="E274" s="130">
        <f>IF($D274="","",IFERROR(INDEX(코드설정!$D$5:$D$24,MATCH($D274,코드설정!$C$5:$C$24,0)),""))</f>
        <v/>
      </c>
      <c r="F274" s="74" t="n"/>
      <c r="G274" s="74" t="n"/>
      <c r="H274" s="36" t="n"/>
      <c r="I274" s="36" t="n"/>
      <c r="J274" s="74" t="n"/>
      <c r="K274" s="36" t="n"/>
    </row>
    <row r="275">
      <c r="A275" s="118">
        <f>IF($B275="","",COUNT($B$5:$B275))</f>
        <v/>
      </c>
      <c r="B275" s="80" t="n"/>
      <c r="C275" s="130">
        <f>IF($B275="","",CHOOSE(WEEKDAY($B275),"일","월","화","수","목","금","토"))</f>
        <v/>
      </c>
      <c r="D275" s="74" t="n"/>
      <c r="E275" s="130">
        <f>IF($D275="","",IFERROR(INDEX(코드설정!$D$5:$D$24,MATCH($D275,코드설정!$C$5:$C$24,0)),""))</f>
        <v/>
      </c>
      <c r="F275" s="74" t="n"/>
      <c r="G275" s="74" t="n"/>
      <c r="H275" s="36" t="n"/>
      <c r="I275" s="36" t="n"/>
      <c r="J275" s="74" t="n"/>
      <c r="K275" s="36" t="n"/>
    </row>
    <row r="276">
      <c r="A276" s="118">
        <f>IF($B276="","",COUNT($B$5:$B276))</f>
        <v/>
      </c>
      <c r="B276" s="80" t="n"/>
      <c r="C276" s="130">
        <f>IF($B276="","",CHOOSE(WEEKDAY($B276),"일","월","화","수","목","금","토"))</f>
        <v/>
      </c>
      <c r="D276" s="74" t="n"/>
      <c r="E276" s="130">
        <f>IF($D276="","",IFERROR(INDEX(코드설정!$D$5:$D$24,MATCH($D276,코드설정!$C$5:$C$24,0)),""))</f>
        <v/>
      </c>
      <c r="F276" s="74" t="n"/>
      <c r="G276" s="74" t="n"/>
      <c r="H276" s="36" t="n"/>
      <c r="I276" s="36" t="n"/>
      <c r="J276" s="74" t="n"/>
      <c r="K276" s="36" t="n"/>
    </row>
    <row r="277">
      <c r="A277" s="118">
        <f>IF($B277="","",COUNT($B$5:$B277))</f>
        <v/>
      </c>
      <c r="B277" s="80" t="n"/>
      <c r="C277" s="130">
        <f>IF($B277="","",CHOOSE(WEEKDAY($B277),"일","월","화","수","목","금","토"))</f>
        <v/>
      </c>
      <c r="D277" s="74" t="n"/>
      <c r="E277" s="130">
        <f>IF($D277="","",IFERROR(INDEX(코드설정!$D$5:$D$24,MATCH($D277,코드설정!$C$5:$C$24,0)),""))</f>
        <v/>
      </c>
      <c r="F277" s="74" t="n"/>
      <c r="G277" s="74" t="n"/>
      <c r="H277" s="36" t="n"/>
      <c r="I277" s="36" t="n"/>
      <c r="J277" s="74" t="n"/>
      <c r="K277" s="36" t="n"/>
    </row>
    <row r="278">
      <c r="A278" s="118">
        <f>IF($B278="","",COUNT($B$5:$B278))</f>
        <v/>
      </c>
      <c r="B278" s="80" t="n"/>
      <c r="C278" s="130">
        <f>IF($B278="","",CHOOSE(WEEKDAY($B278),"일","월","화","수","목","금","토"))</f>
        <v/>
      </c>
      <c r="D278" s="74" t="n"/>
      <c r="E278" s="130">
        <f>IF($D278="","",IFERROR(INDEX(코드설정!$D$5:$D$24,MATCH($D278,코드설정!$C$5:$C$24,0)),""))</f>
        <v/>
      </c>
      <c r="F278" s="74" t="n"/>
      <c r="G278" s="74" t="n"/>
      <c r="H278" s="36" t="n"/>
      <c r="I278" s="36" t="n"/>
      <c r="J278" s="74" t="n"/>
      <c r="K278" s="36" t="n"/>
    </row>
    <row r="279">
      <c r="A279" s="118">
        <f>IF($B279="","",COUNT($B$5:$B279))</f>
        <v/>
      </c>
      <c r="B279" s="80" t="n"/>
      <c r="C279" s="130">
        <f>IF($B279="","",CHOOSE(WEEKDAY($B279),"일","월","화","수","목","금","토"))</f>
        <v/>
      </c>
      <c r="D279" s="74" t="n"/>
      <c r="E279" s="130">
        <f>IF($D279="","",IFERROR(INDEX(코드설정!$D$5:$D$24,MATCH($D279,코드설정!$C$5:$C$24,0)),""))</f>
        <v/>
      </c>
      <c r="F279" s="74" t="n"/>
      <c r="G279" s="74" t="n"/>
      <c r="H279" s="36" t="n"/>
      <c r="I279" s="36" t="n"/>
      <c r="J279" s="74" t="n"/>
      <c r="K279" s="36" t="n"/>
    </row>
    <row r="280">
      <c r="A280" s="118">
        <f>IF($B280="","",COUNT($B$5:$B280))</f>
        <v/>
      </c>
      <c r="B280" s="80" t="n"/>
      <c r="C280" s="130">
        <f>IF($B280="","",CHOOSE(WEEKDAY($B280),"일","월","화","수","목","금","토"))</f>
        <v/>
      </c>
      <c r="D280" s="74" t="n"/>
      <c r="E280" s="130">
        <f>IF($D280="","",IFERROR(INDEX(코드설정!$D$5:$D$24,MATCH($D280,코드설정!$C$5:$C$24,0)),""))</f>
        <v/>
      </c>
      <c r="F280" s="74" t="n"/>
      <c r="G280" s="74" t="n"/>
      <c r="H280" s="36" t="n"/>
      <c r="I280" s="36" t="n"/>
      <c r="J280" s="74" t="n"/>
      <c r="K280" s="36" t="n"/>
    </row>
    <row r="281">
      <c r="A281" s="118">
        <f>IF($B281="","",COUNT($B$5:$B281))</f>
        <v/>
      </c>
      <c r="B281" s="80" t="n"/>
      <c r="C281" s="130">
        <f>IF($B281="","",CHOOSE(WEEKDAY($B281),"일","월","화","수","목","금","토"))</f>
        <v/>
      </c>
      <c r="D281" s="74" t="n"/>
      <c r="E281" s="130">
        <f>IF($D281="","",IFERROR(INDEX(코드설정!$D$5:$D$24,MATCH($D281,코드설정!$C$5:$C$24,0)),""))</f>
        <v/>
      </c>
      <c r="F281" s="74" t="n"/>
      <c r="G281" s="74" t="n"/>
      <c r="H281" s="36" t="n"/>
      <c r="I281" s="36" t="n"/>
      <c r="J281" s="74" t="n"/>
      <c r="K281" s="36" t="n"/>
    </row>
    <row r="282">
      <c r="A282" s="118">
        <f>IF($B282="","",COUNT($B$5:$B282))</f>
        <v/>
      </c>
      <c r="B282" s="80" t="n"/>
      <c r="C282" s="130">
        <f>IF($B282="","",CHOOSE(WEEKDAY($B282),"일","월","화","수","목","금","토"))</f>
        <v/>
      </c>
      <c r="D282" s="74" t="n"/>
      <c r="E282" s="130">
        <f>IF($D282="","",IFERROR(INDEX(코드설정!$D$5:$D$24,MATCH($D282,코드설정!$C$5:$C$24,0)),""))</f>
        <v/>
      </c>
      <c r="F282" s="74" t="n"/>
      <c r="G282" s="74" t="n"/>
      <c r="H282" s="36" t="n"/>
      <c r="I282" s="36" t="n"/>
      <c r="J282" s="74" t="n"/>
      <c r="K282" s="36" t="n"/>
    </row>
    <row r="283">
      <c r="A283" s="118">
        <f>IF($B283="","",COUNT($B$5:$B283))</f>
        <v/>
      </c>
      <c r="B283" s="80" t="n"/>
      <c r="C283" s="130">
        <f>IF($B283="","",CHOOSE(WEEKDAY($B283),"일","월","화","수","목","금","토"))</f>
        <v/>
      </c>
      <c r="D283" s="74" t="n"/>
      <c r="E283" s="130">
        <f>IF($D283="","",IFERROR(INDEX(코드설정!$D$5:$D$24,MATCH($D283,코드설정!$C$5:$C$24,0)),""))</f>
        <v/>
      </c>
      <c r="F283" s="74" t="n"/>
      <c r="G283" s="74" t="n"/>
      <c r="H283" s="36" t="n"/>
      <c r="I283" s="36" t="n"/>
      <c r="J283" s="74" t="n"/>
      <c r="K283" s="36" t="n"/>
    </row>
    <row r="284">
      <c r="A284" s="118">
        <f>IF($B284="","",COUNT($B$5:$B284))</f>
        <v/>
      </c>
      <c r="B284" s="80" t="n"/>
      <c r="C284" s="130">
        <f>IF($B284="","",CHOOSE(WEEKDAY($B284),"일","월","화","수","목","금","토"))</f>
        <v/>
      </c>
      <c r="D284" s="74" t="n"/>
      <c r="E284" s="130">
        <f>IF($D284="","",IFERROR(INDEX(코드설정!$D$5:$D$24,MATCH($D284,코드설정!$C$5:$C$24,0)),""))</f>
        <v/>
      </c>
      <c r="F284" s="74" t="n"/>
      <c r="G284" s="74" t="n"/>
      <c r="H284" s="36" t="n"/>
      <c r="I284" s="36" t="n"/>
      <c r="J284" s="74" t="n"/>
      <c r="K284" s="36" t="n"/>
    </row>
    <row r="285">
      <c r="A285" s="118">
        <f>IF($B285="","",COUNT($B$5:$B285))</f>
        <v/>
      </c>
      <c r="B285" s="80" t="n"/>
      <c r="C285" s="130">
        <f>IF($B285="","",CHOOSE(WEEKDAY($B285),"일","월","화","수","목","금","토"))</f>
        <v/>
      </c>
      <c r="D285" s="74" t="n"/>
      <c r="E285" s="130">
        <f>IF($D285="","",IFERROR(INDEX(코드설정!$D$5:$D$24,MATCH($D285,코드설정!$C$5:$C$24,0)),""))</f>
        <v/>
      </c>
      <c r="F285" s="74" t="n"/>
      <c r="G285" s="74" t="n"/>
      <c r="H285" s="36" t="n"/>
      <c r="I285" s="36" t="n"/>
      <c r="J285" s="74" t="n"/>
      <c r="K285" s="36" t="n"/>
    </row>
    <row r="286">
      <c r="A286" s="118">
        <f>IF($B286="","",COUNT($B$5:$B286))</f>
        <v/>
      </c>
      <c r="B286" s="80" t="n"/>
      <c r="C286" s="130">
        <f>IF($B286="","",CHOOSE(WEEKDAY($B286),"일","월","화","수","목","금","토"))</f>
        <v/>
      </c>
      <c r="D286" s="74" t="n"/>
      <c r="E286" s="130">
        <f>IF($D286="","",IFERROR(INDEX(코드설정!$D$5:$D$24,MATCH($D286,코드설정!$C$5:$C$24,0)),""))</f>
        <v/>
      </c>
      <c r="F286" s="74" t="n"/>
      <c r="G286" s="74" t="n"/>
      <c r="H286" s="36" t="n"/>
      <c r="I286" s="36" t="n"/>
      <c r="J286" s="74" t="n"/>
      <c r="K286" s="36" t="n"/>
    </row>
    <row r="287">
      <c r="A287" s="118">
        <f>IF($B287="","",COUNT($B$5:$B287))</f>
        <v/>
      </c>
      <c r="B287" s="80" t="n"/>
      <c r="C287" s="130">
        <f>IF($B287="","",CHOOSE(WEEKDAY($B287),"일","월","화","수","목","금","토"))</f>
        <v/>
      </c>
      <c r="D287" s="74" t="n"/>
      <c r="E287" s="130">
        <f>IF($D287="","",IFERROR(INDEX(코드설정!$D$5:$D$24,MATCH($D287,코드설정!$C$5:$C$24,0)),""))</f>
        <v/>
      </c>
      <c r="F287" s="74" t="n"/>
      <c r="G287" s="74" t="n"/>
      <c r="H287" s="36" t="n"/>
      <c r="I287" s="36" t="n"/>
      <c r="J287" s="74" t="n"/>
      <c r="K287" s="36" t="n"/>
    </row>
    <row r="288">
      <c r="A288" s="118">
        <f>IF($B288="","",COUNT($B$5:$B288))</f>
        <v/>
      </c>
      <c r="B288" s="80" t="n"/>
      <c r="C288" s="130">
        <f>IF($B288="","",CHOOSE(WEEKDAY($B288),"일","월","화","수","목","금","토"))</f>
        <v/>
      </c>
      <c r="D288" s="74" t="n"/>
      <c r="E288" s="130">
        <f>IF($D288="","",IFERROR(INDEX(코드설정!$D$5:$D$24,MATCH($D288,코드설정!$C$5:$C$24,0)),""))</f>
        <v/>
      </c>
      <c r="F288" s="74" t="n"/>
      <c r="G288" s="74" t="n"/>
      <c r="H288" s="36" t="n"/>
      <c r="I288" s="36" t="n"/>
      <c r="J288" s="74" t="n"/>
      <c r="K288" s="36" t="n"/>
    </row>
    <row r="289">
      <c r="A289" s="118">
        <f>IF($B289="","",COUNT($B$5:$B289))</f>
        <v/>
      </c>
      <c r="B289" s="80" t="n"/>
      <c r="C289" s="130">
        <f>IF($B289="","",CHOOSE(WEEKDAY($B289),"일","월","화","수","목","금","토"))</f>
        <v/>
      </c>
      <c r="D289" s="74" t="n"/>
      <c r="E289" s="130">
        <f>IF($D289="","",IFERROR(INDEX(코드설정!$D$5:$D$24,MATCH($D289,코드설정!$C$5:$C$24,0)),""))</f>
        <v/>
      </c>
      <c r="F289" s="74" t="n"/>
      <c r="G289" s="74" t="n"/>
      <c r="H289" s="36" t="n"/>
      <c r="I289" s="36" t="n"/>
      <c r="J289" s="74" t="n"/>
      <c r="K289" s="36" t="n"/>
    </row>
    <row r="290">
      <c r="A290" s="118">
        <f>IF($B290="","",COUNT($B$5:$B290))</f>
        <v/>
      </c>
      <c r="B290" s="80" t="n"/>
      <c r="C290" s="130">
        <f>IF($B290="","",CHOOSE(WEEKDAY($B290),"일","월","화","수","목","금","토"))</f>
        <v/>
      </c>
      <c r="D290" s="74" t="n"/>
      <c r="E290" s="130">
        <f>IF($D290="","",IFERROR(INDEX(코드설정!$D$5:$D$24,MATCH($D290,코드설정!$C$5:$C$24,0)),""))</f>
        <v/>
      </c>
      <c r="F290" s="74" t="n"/>
      <c r="G290" s="74" t="n"/>
      <c r="H290" s="36" t="n"/>
      <c r="I290" s="36" t="n"/>
      <c r="J290" s="74" t="n"/>
      <c r="K290" s="36" t="n"/>
    </row>
    <row r="291">
      <c r="A291" s="118">
        <f>IF($B291="","",COUNT($B$5:$B291))</f>
        <v/>
      </c>
      <c r="B291" s="80" t="n"/>
      <c r="C291" s="130">
        <f>IF($B291="","",CHOOSE(WEEKDAY($B291),"일","월","화","수","목","금","토"))</f>
        <v/>
      </c>
      <c r="D291" s="74" t="n"/>
      <c r="E291" s="130">
        <f>IF($D291="","",IFERROR(INDEX(코드설정!$D$5:$D$24,MATCH($D291,코드설정!$C$5:$C$24,0)),""))</f>
        <v/>
      </c>
      <c r="F291" s="74" t="n"/>
      <c r="G291" s="74" t="n"/>
      <c r="H291" s="36" t="n"/>
      <c r="I291" s="36" t="n"/>
      <c r="J291" s="74" t="n"/>
      <c r="K291" s="36" t="n"/>
    </row>
    <row r="292">
      <c r="A292" s="118">
        <f>IF($B292="","",COUNT($B$5:$B292))</f>
        <v/>
      </c>
      <c r="B292" s="80" t="n"/>
      <c r="C292" s="130">
        <f>IF($B292="","",CHOOSE(WEEKDAY($B292),"일","월","화","수","목","금","토"))</f>
        <v/>
      </c>
      <c r="D292" s="74" t="n"/>
      <c r="E292" s="130">
        <f>IF($D292="","",IFERROR(INDEX(코드설정!$D$5:$D$24,MATCH($D292,코드설정!$C$5:$C$24,0)),""))</f>
        <v/>
      </c>
      <c r="F292" s="74" t="n"/>
      <c r="G292" s="74" t="n"/>
      <c r="H292" s="36" t="n"/>
      <c r="I292" s="36" t="n"/>
      <c r="J292" s="74" t="n"/>
      <c r="K292" s="36" t="n"/>
    </row>
    <row r="293">
      <c r="A293" s="118">
        <f>IF($B293="","",COUNT($B$5:$B293))</f>
        <v/>
      </c>
      <c r="B293" s="80" t="n"/>
      <c r="C293" s="130">
        <f>IF($B293="","",CHOOSE(WEEKDAY($B293),"일","월","화","수","목","금","토"))</f>
        <v/>
      </c>
      <c r="D293" s="74" t="n"/>
      <c r="E293" s="130">
        <f>IF($D293="","",IFERROR(INDEX(코드설정!$D$5:$D$24,MATCH($D293,코드설정!$C$5:$C$24,0)),""))</f>
        <v/>
      </c>
      <c r="F293" s="74" t="n"/>
      <c r="G293" s="74" t="n"/>
      <c r="H293" s="36" t="n"/>
      <c r="I293" s="36" t="n"/>
      <c r="J293" s="74" t="n"/>
      <c r="K293" s="36" t="n"/>
    </row>
    <row r="294">
      <c r="A294" s="118">
        <f>IF($B294="","",COUNT($B$5:$B294))</f>
        <v/>
      </c>
      <c r="B294" s="80" t="n"/>
      <c r="C294" s="130">
        <f>IF($B294="","",CHOOSE(WEEKDAY($B294),"일","월","화","수","목","금","토"))</f>
        <v/>
      </c>
      <c r="D294" s="74" t="n"/>
      <c r="E294" s="130">
        <f>IF($D294="","",IFERROR(INDEX(코드설정!$D$5:$D$24,MATCH($D294,코드설정!$C$5:$C$24,0)),""))</f>
        <v/>
      </c>
      <c r="F294" s="74" t="n"/>
      <c r="G294" s="74" t="n"/>
      <c r="H294" s="36" t="n"/>
      <c r="I294" s="36" t="n"/>
      <c r="J294" s="74" t="n"/>
      <c r="K294" s="36" t="n"/>
    </row>
    <row r="295">
      <c r="A295" s="118">
        <f>IF($B295="","",COUNT($B$5:$B295))</f>
        <v/>
      </c>
      <c r="B295" s="80" t="n"/>
      <c r="C295" s="130">
        <f>IF($B295="","",CHOOSE(WEEKDAY($B295),"일","월","화","수","목","금","토"))</f>
        <v/>
      </c>
      <c r="D295" s="74" t="n"/>
      <c r="E295" s="130">
        <f>IF($D295="","",IFERROR(INDEX(코드설정!$D$5:$D$24,MATCH($D295,코드설정!$C$5:$C$24,0)),""))</f>
        <v/>
      </c>
      <c r="F295" s="74" t="n"/>
      <c r="G295" s="74" t="n"/>
      <c r="H295" s="36" t="n"/>
      <c r="I295" s="36" t="n"/>
      <c r="J295" s="74" t="n"/>
      <c r="K295" s="36" t="n"/>
    </row>
    <row r="296">
      <c r="A296" s="118">
        <f>IF($B296="","",COUNT($B$5:$B296))</f>
        <v/>
      </c>
      <c r="B296" s="80" t="n"/>
      <c r="C296" s="130">
        <f>IF($B296="","",CHOOSE(WEEKDAY($B296),"일","월","화","수","목","금","토"))</f>
        <v/>
      </c>
      <c r="D296" s="74" t="n"/>
      <c r="E296" s="130">
        <f>IF($D296="","",IFERROR(INDEX(코드설정!$D$5:$D$24,MATCH($D296,코드설정!$C$5:$C$24,0)),""))</f>
        <v/>
      </c>
      <c r="F296" s="74" t="n"/>
      <c r="G296" s="74" t="n"/>
      <c r="H296" s="36" t="n"/>
      <c r="I296" s="36" t="n"/>
      <c r="J296" s="74" t="n"/>
      <c r="K296" s="36" t="n"/>
    </row>
    <row r="297">
      <c r="A297" s="118">
        <f>IF($B297="","",COUNT($B$5:$B297))</f>
        <v/>
      </c>
      <c r="B297" s="80" t="n"/>
      <c r="C297" s="130">
        <f>IF($B297="","",CHOOSE(WEEKDAY($B297),"일","월","화","수","목","금","토"))</f>
        <v/>
      </c>
      <c r="D297" s="74" t="n"/>
      <c r="E297" s="130">
        <f>IF($D297="","",IFERROR(INDEX(코드설정!$D$5:$D$24,MATCH($D297,코드설정!$C$5:$C$24,0)),""))</f>
        <v/>
      </c>
      <c r="F297" s="74" t="n"/>
      <c r="G297" s="74" t="n"/>
      <c r="H297" s="36" t="n"/>
      <c r="I297" s="36" t="n"/>
      <c r="J297" s="74" t="n"/>
      <c r="K297" s="36" t="n"/>
    </row>
    <row r="298">
      <c r="A298" s="118">
        <f>IF($B298="","",COUNT($B$5:$B298))</f>
        <v/>
      </c>
      <c r="B298" s="80" t="n"/>
      <c r="C298" s="130">
        <f>IF($B298="","",CHOOSE(WEEKDAY($B298),"일","월","화","수","목","금","토"))</f>
        <v/>
      </c>
      <c r="D298" s="74" t="n"/>
      <c r="E298" s="130">
        <f>IF($D298="","",IFERROR(INDEX(코드설정!$D$5:$D$24,MATCH($D298,코드설정!$C$5:$C$24,0)),""))</f>
        <v/>
      </c>
      <c r="F298" s="74" t="n"/>
      <c r="G298" s="74" t="n"/>
      <c r="H298" s="36" t="n"/>
      <c r="I298" s="36" t="n"/>
      <c r="J298" s="74" t="n"/>
      <c r="K298" s="36" t="n"/>
    </row>
    <row r="299">
      <c r="A299" s="118">
        <f>IF($B299="","",COUNT($B$5:$B299))</f>
        <v/>
      </c>
      <c r="B299" s="80" t="n"/>
      <c r="C299" s="130">
        <f>IF($B299="","",CHOOSE(WEEKDAY($B299),"일","월","화","수","목","금","토"))</f>
        <v/>
      </c>
      <c r="D299" s="74" t="n"/>
      <c r="E299" s="130">
        <f>IF($D299="","",IFERROR(INDEX(코드설정!$D$5:$D$24,MATCH($D299,코드설정!$C$5:$C$24,0)),""))</f>
        <v/>
      </c>
      <c r="F299" s="74" t="n"/>
      <c r="G299" s="74" t="n"/>
      <c r="H299" s="36" t="n"/>
      <c r="I299" s="36" t="n"/>
      <c r="J299" s="74" t="n"/>
      <c r="K299" s="36" t="n"/>
    </row>
    <row r="300">
      <c r="A300" s="118">
        <f>IF($B300="","",COUNT($B$5:$B300))</f>
        <v/>
      </c>
      <c r="B300" s="80" t="n"/>
      <c r="C300" s="130">
        <f>IF($B300="","",CHOOSE(WEEKDAY($B300),"일","월","화","수","목","금","토"))</f>
        <v/>
      </c>
      <c r="D300" s="74" t="n"/>
      <c r="E300" s="130">
        <f>IF($D300="","",IFERROR(INDEX(코드설정!$D$5:$D$24,MATCH($D300,코드설정!$C$5:$C$24,0)),""))</f>
        <v/>
      </c>
      <c r="F300" s="74" t="n"/>
      <c r="G300" s="74" t="n"/>
      <c r="H300" s="36" t="n"/>
      <c r="I300" s="36" t="n"/>
      <c r="J300" s="74" t="n"/>
      <c r="K300" s="36" t="n"/>
    </row>
    <row r="301">
      <c r="A301" s="118">
        <f>IF($B301="","",COUNT($B$5:$B301))</f>
        <v/>
      </c>
      <c r="B301" s="80" t="n"/>
      <c r="C301" s="130">
        <f>IF($B301="","",CHOOSE(WEEKDAY($B301),"일","월","화","수","목","금","토"))</f>
        <v/>
      </c>
      <c r="D301" s="74" t="n"/>
      <c r="E301" s="130">
        <f>IF($D301="","",IFERROR(INDEX(코드설정!$D$5:$D$24,MATCH($D301,코드설정!$C$5:$C$24,0)),""))</f>
        <v/>
      </c>
      <c r="F301" s="74" t="n"/>
      <c r="G301" s="74" t="n"/>
      <c r="H301" s="36" t="n"/>
      <c r="I301" s="36" t="n"/>
      <c r="J301" s="74" t="n"/>
      <c r="K301" s="36" t="n"/>
    </row>
    <row r="302">
      <c r="A302" s="118">
        <f>IF($B302="","",COUNT($B$5:$B302))</f>
        <v/>
      </c>
      <c r="B302" s="80" t="n"/>
      <c r="C302" s="130">
        <f>IF($B302="","",CHOOSE(WEEKDAY($B302),"일","월","화","수","목","금","토"))</f>
        <v/>
      </c>
      <c r="D302" s="74" t="n"/>
      <c r="E302" s="130">
        <f>IF($D302="","",IFERROR(INDEX(코드설정!$D$5:$D$24,MATCH($D302,코드설정!$C$5:$C$24,0)),""))</f>
        <v/>
      </c>
      <c r="F302" s="74" t="n"/>
      <c r="G302" s="74" t="n"/>
      <c r="H302" s="36" t="n"/>
      <c r="I302" s="36" t="n"/>
      <c r="J302" s="74" t="n"/>
      <c r="K302" s="36" t="n"/>
    </row>
    <row r="303">
      <c r="A303" s="118">
        <f>IF($B303="","",COUNT($B$5:$B303))</f>
        <v/>
      </c>
      <c r="B303" s="80" t="n"/>
      <c r="C303" s="130">
        <f>IF($B303="","",CHOOSE(WEEKDAY($B303),"일","월","화","수","목","금","토"))</f>
        <v/>
      </c>
      <c r="D303" s="74" t="n"/>
      <c r="E303" s="130">
        <f>IF($D303="","",IFERROR(INDEX(코드설정!$D$5:$D$24,MATCH($D303,코드설정!$C$5:$C$24,0)),""))</f>
        <v/>
      </c>
      <c r="F303" s="74" t="n"/>
      <c r="G303" s="74" t="n"/>
      <c r="H303" s="36" t="n"/>
      <c r="I303" s="36" t="n"/>
      <c r="J303" s="74" t="n"/>
      <c r="K303" s="36" t="n"/>
    </row>
    <row r="304">
      <c r="A304" s="118">
        <f>IF($B304="","",COUNT($B$5:$B304))</f>
        <v/>
      </c>
      <c r="B304" s="80" t="n"/>
      <c r="C304" s="130">
        <f>IF($B304="","",CHOOSE(WEEKDAY($B304),"일","월","화","수","목","금","토"))</f>
        <v/>
      </c>
      <c r="D304" s="74" t="n"/>
      <c r="E304" s="130">
        <f>IF($D304="","",IFERROR(INDEX(코드설정!$D$5:$D$24,MATCH($D304,코드설정!$C$5:$C$24,0)),""))</f>
        <v/>
      </c>
      <c r="F304" s="74" t="n"/>
      <c r="G304" s="74" t="n"/>
      <c r="H304" s="36" t="n"/>
      <c r="I304" s="36" t="n"/>
      <c r="J304" s="74" t="n"/>
      <c r="K304" s="36" t="n"/>
    </row>
    <row r="305">
      <c r="A305" s="118">
        <f>IF($B305="","",COUNT($B$5:$B305))</f>
        <v/>
      </c>
      <c r="B305" s="80" t="n"/>
      <c r="C305" s="130">
        <f>IF($B305="","",CHOOSE(WEEKDAY($B305),"일","월","화","수","목","금","토"))</f>
        <v/>
      </c>
      <c r="D305" s="74" t="n"/>
      <c r="E305" s="130">
        <f>IF($D305="","",IFERROR(INDEX(코드설정!$D$5:$D$24,MATCH($D305,코드설정!$C$5:$C$24,0)),""))</f>
        <v/>
      </c>
      <c r="F305" s="74" t="n"/>
      <c r="G305" s="74" t="n"/>
      <c r="H305" s="36" t="n"/>
      <c r="I305" s="36" t="n"/>
      <c r="J305" s="74" t="n"/>
      <c r="K305" s="36" t="n"/>
    </row>
    <row r="306">
      <c r="A306" s="118">
        <f>IF($B306="","",COUNT($B$5:$B306))</f>
        <v/>
      </c>
      <c r="B306" s="80" t="n"/>
      <c r="C306" s="130">
        <f>IF($B306="","",CHOOSE(WEEKDAY($B306),"일","월","화","수","목","금","토"))</f>
        <v/>
      </c>
      <c r="D306" s="74" t="n"/>
      <c r="E306" s="130">
        <f>IF($D306="","",IFERROR(INDEX(코드설정!$D$5:$D$24,MATCH($D306,코드설정!$C$5:$C$24,0)),""))</f>
        <v/>
      </c>
      <c r="F306" s="74" t="n"/>
      <c r="G306" s="74" t="n"/>
      <c r="H306" s="36" t="n"/>
      <c r="I306" s="36" t="n"/>
      <c r="J306" s="74" t="n"/>
      <c r="K306" s="36" t="n"/>
    </row>
    <row r="307">
      <c r="A307" s="118">
        <f>IF($B307="","",COUNT($B$5:$B307))</f>
        <v/>
      </c>
      <c r="B307" s="80" t="n"/>
      <c r="C307" s="130">
        <f>IF($B307="","",CHOOSE(WEEKDAY($B307),"일","월","화","수","목","금","토"))</f>
        <v/>
      </c>
      <c r="D307" s="74" t="n"/>
      <c r="E307" s="130">
        <f>IF($D307="","",IFERROR(INDEX(코드설정!$D$5:$D$24,MATCH($D307,코드설정!$C$5:$C$24,0)),""))</f>
        <v/>
      </c>
      <c r="F307" s="74" t="n"/>
      <c r="G307" s="74" t="n"/>
      <c r="H307" s="36" t="n"/>
      <c r="I307" s="36" t="n"/>
      <c r="J307" s="74" t="n"/>
      <c r="K307" s="36" t="n"/>
    </row>
    <row r="308">
      <c r="A308" s="118">
        <f>IF($B308="","",COUNT($B$5:$B308))</f>
        <v/>
      </c>
      <c r="B308" s="80" t="n"/>
      <c r="C308" s="130">
        <f>IF($B308="","",CHOOSE(WEEKDAY($B308),"일","월","화","수","목","금","토"))</f>
        <v/>
      </c>
      <c r="D308" s="74" t="n"/>
      <c r="E308" s="130">
        <f>IF($D308="","",IFERROR(INDEX(코드설정!$D$5:$D$24,MATCH($D308,코드설정!$C$5:$C$24,0)),""))</f>
        <v/>
      </c>
      <c r="F308" s="74" t="n"/>
      <c r="G308" s="74" t="n"/>
      <c r="H308" s="36" t="n"/>
      <c r="I308" s="36" t="n"/>
      <c r="J308" s="74" t="n"/>
      <c r="K308" s="36" t="n"/>
    </row>
    <row r="309">
      <c r="A309" s="118">
        <f>IF($B309="","",COUNT($B$5:$B309))</f>
        <v/>
      </c>
      <c r="B309" s="80" t="n"/>
      <c r="C309" s="130">
        <f>IF($B309="","",CHOOSE(WEEKDAY($B309),"일","월","화","수","목","금","토"))</f>
        <v/>
      </c>
      <c r="D309" s="74" t="n"/>
      <c r="E309" s="130">
        <f>IF($D309="","",IFERROR(INDEX(코드설정!$D$5:$D$24,MATCH($D309,코드설정!$C$5:$C$24,0)),""))</f>
        <v/>
      </c>
      <c r="F309" s="74" t="n"/>
      <c r="G309" s="74" t="n"/>
      <c r="H309" s="36" t="n"/>
      <c r="I309" s="36" t="n"/>
      <c r="J309" s="74" t="n"/>
      <c r="K309" s="36" t="n"/>
    </row>
    <row r="310">
      <c r="A310" s="118">
        <f>IF($B310="","",COUNT($B$5:$B310))</f>
        <v/>
      </c>
      <c r="B310" s="80" t="n"/>
      <c r="C310" s="130">
        <f>IF($B310="","",CHOOSE(WEEKDAY($B310),"일","월","화","수","목","금","토"))</f>
        <v/>
      </c>
      <c r="D310" s="74" t="n"/>
      <c r="E310" s="130">
        <f>IF($D310="","",IFERROR(INDEX(코드설정!$D$5:$D$24,MATCH($D310,코드설정!$C$5:$C$24,0)),""))</f>
        <v/>
      </c>
      <c r="F310" s="74" t="n"/>
      <c r="G310" s="74" t="n"/>
      <c r="H310" s="36" t="n"/>
      <c r="I310" s="36" t="n"/>
      <c r="J310" s="74" t="n"/>
      <c r="K310" s="36" t="n"/>
    </row>
    <row r="311">
      <c r="A311" s="118">
        <f>IF($B311="","",COUNT($B$5:$B311))</f>
        <v/>
      </c>
      <c r="B311" s="80" t="n"/>
      <c r="C311" s="130">
        <f>IF($B311="","",CHOOSE(WEEKDAY($B311),"일","월","화","수","목","금","토"))</f>
        <v/>
      </c>
      <c r="D311" s="74" t="n"/>
      <c r="E311" s="130">
        <f>IF($D311="","",IFERROR(INDEX(코드설정!$D$5:$D$24,MATCH($D311,코드설정!$C$5:$C$24,0)),""))</f>
        <v/>
      </c>
      <c r="F311" s="74" t="n"/>
      <c r="G311" s="74" t="n"/>
      <c r="H311" s="36" t="n"/>
      <c r="I311" s="36" t="n"/>
      <c r="J311" s="74" t="n"/>
      <c r="K311" s="36" t="n"/>
    </row>
    <row r="312">
      <c r="A312" s="118">
        <f>IF($B312="","",COUNT($B$5:$B312))</f>
        <v/>
      </c>
      <c r="B312" s="80" t="n"/>
      <c r="C312" s="130">
        <f>IF($B312="","",CHOOSE(WEEKDAY($B312),"일","월","화","수","목","금","토"))</f>
        <v/>
      </c>
      <c r="D312" s="74" t="n"/>
      <c r="E312" s="130">
        <f>IF($D312="","",IFERROR(INDEX(코드설정!$D$5:$D$24,MATCH($D312,코드설정!$C$5:$C$24,0)),""))</f>
        <v/>
      </c>
      <c r="F312" s="74" t="n"/>
      <c r="G312" s="74" t="n"/>
      <c r="H312" s="36" t="n"/>
      <c r="I312" s="36" t="n"/>
      <c r="J312" s="74" t="n"/>
      <c r="K312" s="36" t="n"/>
    </row>
    <row r="313">
      <c r="A313" s="118">
        <f>IF($B313="","",COUNT($B$5:$B313))</f>
        <v/>
      </c>
      <c r="B313" s="80" t="n"/>
      <c r="C313" s="130">
        <f>IF($B313="","",CHOOSE(WEEKDAY($B313),"일","월","화","수","목","금","토"))</f>
        <v/>
      </c>
      <c r="D313" s="74" t="n"/>
      <c r="E313" s="130">
        <f>IF($D313="","",IFERROR(INDEX(코드설정!$D$5:$D$24,MATCH($D313,코드설정!$C$5:$C$24,0)),""))</f>
        <v/>
      </c>
      <c r="F313" s="74" t="n"/>
      <c r="G313" s="74" t="n"/>
      <c r="H313" s="36" t="n"/>
      <c r="I313" s="36" t="n"/>
      <c r="J313" s="74" t="n"/>
      <c r="K313" s="36" t="n"/>
    </row>
    <row r="314">
      <c r="A314" s="118">
        <f>IF($B314="","",COUNT($B$5:$B314))</f>
        <v/>
      </c>
      <c r="B314" s="80" t="n"/>
      <c r="C314" s="130">
        <f>IF($B314="","",CHOOSE(WEEKDAY($B314),"일","월","화","수","목","금","토"))</f>
        <v/>
      </c>
      <c r="D314" s="74" t="n"/>
      <c r="E314" s="130">
        <f>IF($D314="","",IFERROR(INDEX(코드설정!$D$5:$D$24,MATCH($D314,코드설정!$C$5:$C$24,0)),""))</f>
        <v/>
      </c>
      <c r="F314" s="74" t="n"/>
      <c r="G314" s="74" t="n"/>
      <c r="H314" s="36" t="n"/>
      <c r="I314" s="36" t="n"/>
      <c r="J314" s="74" t="n"/>
      <c r="K314" s="36" t="n"/>
    </row>
    <row r="315">
      <c r="A315" s="118">
        <f>IF($B315="","",COUNT($B$5:$B315))</f>
        <v/>
      </c>
      <c r="B315" s="80" t="n"/>
      <c r="C315" s="130">
        <f>IF($B315="","",CHOOSE(WEEKDAY($B315),"일","월","화","수","목","금","토"))</f>
        <v/>
      </c>
      <c r="D315" s="74" t="n"/>
      <c r="E315" s="130">
        <f>IF($D315="","",IFERROR(INDEX(코드설정!$D$5:$D$24,MATCH($D315,코드설정!$C$5:$C$24,0)),""))</f>
        <v/>
      </c>
      <c r="F315" s="74" t="n"/>
      <c r="G315" s="74" t="n"/>
      <c r="H315" s="36" t="n"/>
      <c r="I315" s="36" t="n"/>
      <c r="J315" s="74" t="n"/>
      <c r="K315" s="36" t="n"/>
    </row>
    <row r="316">
      <c r="A316" s="118">
        <f>IF($B316="","",COUNT($B$5:$B316))</f>
        <v/>
      </c>
      <c r="B316" s="80" t="n"/>
      <c r="C316" s="130">
        <f>IF($B316="","",CHOOSE(WEEKDAY($B316),"일","월","화","수","목","금","토"))</f>
        <v/>
      </c>
      <c r="D316" s="74" t="n"/>
      <c r="E316" s="130">
        <f>IF($D316="","",IFERROR(INDEX(코드설정!$D$5:$D$24,MATCH($D316,코드설정!$C$5:$C$24,0)),""))</f>
        <v/>
      </c>
      <c r="F316" s="74" t="n"/>
      <c r="G316" s="74" t="n"/>
      <c r="H316" s="36" t="n"/>
      <c r="I316" s="36" t="n"/>
      <c r="J316" s="74" t="n"/>
      <c r="K316" s="36" t="n"/>
    </row>
    <row r="317">
      <c r="A317" s="118">
        <f>IF($B317="","",COUNT($B$5:$B317))</f>
        <v/>
      </c>
      <c r="B317" s="80" t="n"/>
      <c r="C317" s="130">
        <f>IF($B317="","",CHOOSE(WEEKDAY($B317),"일","월","화","수","목","금","토"))</f>
        <v/>
      </c>
      <c r="D317" s="74" t="n"/>
      <c r="E317" s="130">
        <f>IF($D317="","",IFERROR(INDEX(코드설정!$D$5:$D$24,MATCH($D317,코드설정!$C$5:$C$24,0)),""))</f>
        <v/>
      </c>
      <c r="F317" s="74" t="n"/>
      <c r="G317" s="74" t="n"/>
      <c r="H317" s="36" t="n"/>
      <c r="I317" s="36" t="n"/>
      <c r="J317" s="74" t="n"/>
      <c r="K317" s="36" t="n"/>
    </row>
    <row r="318">
      <c r="A318" s="118">
        <f>IF($B318="","",COUNT($B$5:$B318))</f>
        <v/>
      </c>
      <c r="B318" s="80" t="n"/>
      <c r="C318" s="130">
        <f>IF($B318="","",CHOOSE(WEEKDAY($B318),"일","월","화","수","목","금","토"))</f>
        <v/>
      </c>
      <c r="D318" s="74" t="n"/>
      <c r="E318" s="130">
        <f>IF($D318="","",IFERROR(INDEX(코드설정!$D$5:$D$24,MATCH($D318,코드설정!$C$5:$C$24,0)),""))</f>
        <v/>
      </c>
      <c r="F318" s="74" t="n"/>
      <c r="G318" s="74" t="n"/>
      <c r="H318" s="36" t="n"/>
      <c r="I318" s="36" t="n"/>
      <c r="J318" s="74" t="n"/>
      <c r="K318" s="36" t="n"/>
    </row>
    <row r="319">
      <c r="A319" s="118">
        <f>IF($B319="","",COUNT($B$5:$B319))</f>
        <v/>
      </c>
      <c r="B319" s="80" t="n"/>
      <c r="C319" s="130">
        <f>IF($B319="","",CHOOSE(WEEKDAY($B319),"일","월","화","수","목","금","토"))</f>
        <v/>
      </c>
      <c r="D319" s="74" t="n"/>
      <c r="E319" s="130">
        <f>IF($D319="","",IFERROR(INDEX(코드설정!$D$5:$D$24,MATCH($D319,코드설정!$C$5:$C$24,0)),""))</f>
        <v/>
      </c>
      <c r="F319" s="74" t="n"/>
      <c r="G319" s="74" t="n"/>
      <c r="H319" s="36" t="n"/>
      <c r="I319" s="36" t="n"/>
      <c r="J319" s="74" t="n"/>
      <c r="K319" s="36" t="n"/>
    </row>
    <row r="320">
      <c r="A320" s="118">
        <f>IF($B320="","",COUNT($B$5:$B320))</f>
        <v/>
      </c>
      <c r="B320" s="80" t="n"/>
      <c r="C320" s="130">
        <f>IF($B320="","",CHOOSE(WEEKDAY($B320),"일","월","화","수","목","금","토"))</f>
        <v/>
      </c>
      <c r="D320" s="74" t="n"/>
      <c r="E320" s="130">
        <f>IF($D320="","",IFERROR(INDEX(코드설정!$D$5:$D$24,MATCH($D320,코드설정!$C$5:$C$24,0)),""))</f>
        <v/>
      </c>
      <c r="F320" s="74" t="n"/>
      <c r="G320" s="74" t="n"/>
      <c r="H320" s="36" t="n"/>
      <c r="I320" s="36" t="n"/>
      <c r="J320" s="74" t="n"/>
      <c r="K320" s="36" t="n"/>
    </row>
    <row r="321">
      <c r="A321" s="118">
        <f>IF($B321="","",COUNT($B$5:$B321))</f>
        <v/>
      </c>
      <c r="B321" s="80" t="n"/>
      <c r="C321" s="130">
        <f>IF($B321="","",CHOOSE(WEEKDAY($B321),"일","월","화","수","목","금","토"))</f>
        <v/>
      </c>
      <c r="D321" s="74" t="n"/>
      <c r="E321" s="130">
        <f>IF($D321="","",IFERROR(INDEX(코드설정!$D$5:$D$24,MATCH($D321,코드설정!$C$5:$C$24,0)),""))</f>
        <v/>
      </c>
      <c r="F321" s="74" t="n"/>
      <c r="G321" s="74" t="n"/>
      <c r="H321" s="36" t="n"/>
      <c r="I321" s="36" t="n"/>
      <c r="J321" s="74" t="n"/>
      <c r="K321" s="36" t="n"/>
    </row>
    <row r="322">
      <c r="A322" s="118">
        <f>IF($B322="","",COUNT($B$5:$B322))</f>
        <v/>
      </c>
      <c r="B322" s="80" t="n"/>
      <c r="C322" s="130">
        <f>IF($B322="","",CHOOSE(WEEKDAY($B322),"일","월","화","수","목","금","토"))</f>
        <v/>
      </c>
      <c r="D322" s="74" t="n"/>
      <c r="E322" s="130">
        <f>IF($D322="","",IFERROR(INDEX(코드설정!$D$5:$D$24,MATCH($D322,코드설정!$C$5:$C$24,0)),""))</f>
        <v/>
      </c>
      <c r="F322" s="74" t="n"/>
      <c r="G322" s="74" t="n"/>
      <c r="H322" s="36" t="n"/>
      <c r="I322" s="36" t="n"/>
      <c r="J322" s="74" t="n"/>
      <c r="K322" s="36" t="n"/>
    </row>
    <row r="323">
      <c r="A323" s="118">
        <f>IF($B323="","",COUNT($B$5:$B323))</f>
        <v/>
      </c>
      <c r="B323" s="80" t="n"/>
      <c r="C323" s="130">
        <f>IF($B323="","",CHOOSE(WEEKDAY($B323),"일","월","화","수","목","금","토"))</f>
        <v/>
      </c>
      <c r="D323" s="74" t="n"/>
      <c r="E323" s="130">
        <f>IF($D323="","",IFERROR(INDEX(코드설정!$D$5:$D$24,MATCH($D323,코드설정!$C$5:$C$24,0)),""))</f>
        <v/>
      </c>
      <c r="F323" s="74" t="n"/>
      <c r="G323" s="74" t="n"/>
      <c r="H323" s="36" t="n"/>
      <c r="I323" s="36" t="n"/>
      <c r="J323" s="74" t="n"/>
      <c r="K323" s="36" t="n"/>
    </row>
    <row r="324">
      <c r="A324" s="118">
        <f>IF($B324="","",COUNT($B$5:$B324))</f>
        <v/>
      </c>
      <c r="B324" s="80" t="n"/>
      <c r="C324" s="130">
        <f>IF($B324="","",CHOOSE(WEEKDAY($B324),"일","월","화","수","목","금","토"))</f>
        <v/>
      </c>
      <c r="D324" s="74" t="n"/>
      <c r="E324" s="130">
        <f>IF($D324="","",IFERROR(INDEX(코드설정!$D$5:$D$24,MATCH($D324,코드설정!$C$5:$C$24,0)),""))</f>
        <v/>
      </c>
      <c r="F324" s="74" t="n"/>
      <c r="G324" s="74" t="n"/>
      <c r="H324" s="36" t="n"/>
      <c r="I324" s="36" t="n"/>
      <c r="J324" s="74" t="n"/>
      <c r="K324" s="36" t="n"/>
    </row>
    <row r="325">
      <c r="A325" s="118">
        <f>IF($B325="","",COUNT($B$5:$B325))</f>
        <v/>
      </c>
      <c r="B325" s="80" t="n"/>
      <c r="C325" s="130">
        <f>IF($B325="","",CHOOSE(WEEKDAY($B325),"일","월","화","수","목","금","토"))</f>
        <v/>
      </c>
      <c r="D325" s="74" t="n"/>
      <c r="E325" s="130">
        <f>IF($D325="","",IFERROR(INDEX(코드설정!$D$5:$D$24,MATCH($D325,코드설정!$C$5:$C$24,0)),""))</f>
        <v/>
      </c>
      <c r="F325" s="74" t="n"/>
      <c r="G325" s="74" t="n"/>
      <c r="H325" s="36" t="n"/>
      <c r="I325" s="36" t="n"/>
      <c r="J325" s="74" t="n"/>
      <c r="K325" s="36" t="n"/>
    </row>
    <row r="326">
      <c r="A326" s="118">
        <f>IF($B326="","",COUNT($B$5:$B326))</f>
        <v/>
      </c>
      <c r="B326" s="80" t="n"/>
      <c r="C326" s="130">
        <f>IF($B326="","",CHOOSE(WEEKDAY($B326),"일","월","화","수","목","금","토"))</f>
        <v/>
      </c>
      <c r="D326" s="74" t="n"/>
      <c r="E326" s="130">
        <f>IF($D326="","",IFERROR(INDEX(코드설정!$D$5:$D$24,MATCH($D326,코드설정!$C$5:$C$24,0)),""))</f>
        <v/>
      </c>
      <c r="F326" s="74" t="n"/>
      <c r="G326" s="74" t="n"/>
      <c r="H326" s="36" t="n"/>
      <c r="I326" s="36" t="n"/>
      <c r="J326" s="74" t="n"/>
      <c r="K326" s="36" t="n"/>
    </row>
    <row r="327">
      <c r="A327" s="118">
        <f>IF($B327="","",COUNT($B$5:$B327))</f>
        <v/>
      </c>
      <c r="B327" s="80" t="n"/>
      <c r="C327" s="130">
        <f>IF($B327="","",CHOOSE(WEEKDAY($B327),"일","월","화","수","목","금","토"))</f>
        <v/>
      </c>
      <c r="D327" s="74" t="n"/>
      <c r="E327" s="130">
        <f>IF($D327="","",IFERROR(INDEX(코드설정!$D$5:$D$24,MATCH($D327,코드설정!$C$5:$C$24,0)),""))</f>
        <v/>
      </c>
      <c r="F327" s="74" t="n"/>
      <c r="G327" s="74" t="n"/>
      <c r="H327" s="36" t="n"/>
      <c r="I327" s="36" t="n"/>
      <c r="J327" s="74" t="n"/>
      <c r="K327" s="36" t="n"/>
    </row>
    <row r="328">
      <c r="A328" s="118">
        <f>IF($B328="","",COUNT($B$5:$B328))</f>
        <v/>
      </c>
      <c r="B328" s="80" t="n"/>
      <c r="C328" s="130">
        <f>IF($B328="","",CHOOSE(WEEKDAY($B328),"일","월","화","수","목","금","토"))</f>
        <v/>
      </c>
      <c r="D328" s="74" t="n"/>
      <c r="E328" s="130">
        <f>IF($D328="","",IFERROR(INDEX(코드설정!$D$5:$D$24,MATCH($D328,코드설정!$C$5:$C$24,0)),""))</f>
        <v/>
      </c>
      <c r="F328" s="74" t="n"/>
      <c r="G328" s="74" t="n"/>
      <c r="H328" s="36" t="n"/>
      <c r="I328" s="36" t="n"/>
      <c r="J328" s="74" t="n"/>
      <c r="K328" s="36" t="n"/>
    </row>
    <row r="329">
      <c r="A329" s="118">
        <f>IF($B329="","",COUNT($B$5:$B329))</f>
        <v/>
      </c>
      <c r="B329" s="80" t="n"/>
      <c r="C329" s="130">
        <f>IF($B329="","",CHOOSE(WEEKDAY($B329),"일","월","화","수","목","금","토"))</f>
        <v/>
      </c>
      <c r="D329" s="74" t="n"/>
      <c r="E329" s="130">
        <f>IF($D329="","",IFERROR(INDEX(코드설정!$D$5:$D$24,MATCH($D329,코드설정!$C$5:$C$24,0)),""))</f>
        <v/>
      </c>
      <c r="F329" s="74" t="n"/>
      <c r="G329" s="74" t="n"/>
      <c r="H329" s="36" t="n"/>
      <c r="I329" s="36" t="n"/>
      <c r="J329" s="74" t="n"/>
      <c r="K329" s="36" t="n"/>
    </row>
    <row r="330">
      <c r="A330" s="118">
        <f>IF($B330="","",COUNT($B$5:$B330))</f>
        <v/>
      </c>
      <c r="B330" s="80" t="n"/>
      <c r="C330" s="130">
        <f>IF($B330="","",CHOOSE(WEEKDAY($B330),"일","월","화","수","목","금","토"))</f>
        <v/>
      </c>
      <c r="D330" s="74" t="n"/>
      <c r="E330" s="130">
        <f>IF($D330="","",IFERROR(INDEX(코드설정!$D$5:$D$24,MATCH($D330,코드설정!$C$5:$C$24,0)),""))</f>
        <v/>
      </c>
      <c r="F330" s="74" t="n"/>
      <c r="G330" s="74" t="n"/>
      <c r="H330" s="36" t="n"/>
      <c r="I330" s="36" t="n"/>
      <c r="J330" s="74" t="n"/>
      <c r="K330" s="36" t="n"/>
    </row>
    <row r="331">
      <c r="A331" s="118">
        <f>IF($B331="","",COUNT($B$5:$B331))</f>
        <v/>
      </c>
      <c r="B331" s="80" t="n"/>
      <c r="C331" s="130">
        <f>IF($B331="","",CHOOSE(WEEKDAY($B331),"일","월","화","수","목","금","토"))</f>
        <v/>
      </c>
      <c r="D331" s="74" t="n"/>
      <c r="E331" s="130">
        <f>IF($D331="","",IFERROR(INDEX(코드설정!$D$5:$D$24,MATCH($D331,코드설정!$C$5:$C$24,0)),""))</f>
        <v/>
      </c>
      <c r="F331" s="74" t="n"/>
      <c r="G331" s="74" t="n"/>
      <c r="H331" s="36" t="n"/>
      <c r="I331" s="36" t="n"/>
      <c r="J331" s="74" t="n"/>
      <c r="K331" s="36" t="n"/>
    </row>
    <row r="332">
      <c r="A332" s="118">
        <f>IF($B332="","",COUNT($B$5:$B332))</f>
        <v/>
      </c>
      <c r="B332" s="80" t="n"/>
      <c r="C332" s="130">
        <f>IF($B332="","",CHOOSE(WEEKDAY($B332),"일","월","화","수","목","금","토"))</f>
        <v/>
      </c>
      <c r="D332" s="74" t="n"/>
      <c r="E332" s="130">
        <f>IF($D332="","",IFERROR(INDEX(코드설정!$D$5:$D$24,MATCH($D332,코드설정!$C$5:$C$24,0)),""))</f>
        <v/>
      </c>
      <c r="F332" s="74" t="n"/>
      <c r="G332" s="74" t="n"/>
      <c r="H332" s="36" t="n"/>
      <c r="I332" s="36" t="n"/>
      <c r="J332" s="74" t="n"/>
      <c r="K332" s="36" t="n"/>
    </row>
    <row r="333">
      <c r="A333" s="118">
        <f>IF($B333="","",COUNT($B$5:$B333))</f>
        <v/>
      </c>
      <c r="B333" s="80" t="n"/>
      <c r="C333" s="130">
        <f>IF($B333="","",CHOOSE(WEEKDAY($B333),"일","월","화","수","목","금","토"))</f>
        <v/>
      </c>
      <c r="D333" s="74" t="n"/>
      <c r="E333" s="130">
        <f>IF($D333="","",IFERROR(INDEX(코드설정!$D$5:$D$24,MATCH($D333,코드설정!$C$5:$C$24,0)),""))</f>
        <v/>
      </c>
      <c r="F333" s="74" t="n"/>
      <c r="G333" s="74" t="n"/>
      <c r="H333" s="36" t="n"/>
      <c r="I333" s="36" t="n"/>
      <c r="J333" s="74" t="n"/>
      <c r="K333" s="36" t="n"/>
    </row>
    <row r="334">
      <c r="A334" s="118">
        <f>IF($B334="","",COUNT($B$5:$B334))</f>
        <v/>
      </c>
      <c r="B334" s="80" t="n"/>
      <c r="C334" s="130">
        <f>IF($B334="","",CHOOSE(WEEKDAY($B334),"일","월","화","수","목","금","토"))</f>
        <v/>
      </c>
      <c r="D334" s="74" t="n"/>
      <c r="E334" s="130">
        <f>IF($D334="","",IFERROR(INDEX(코드설정!$D$5:$D$24,MATCH($D334,코드설정!$C$5:$C$24,0)),""))</f>
        <v/>
      </c>
      <c r="F334" s="74" t="n"/>
      <c r="G334" s="74" t="n"/>
      <c r="H334" s="36" t="n"/>
      <c r="I334" s="36" t="n"/>
      <c r="J334" s="74" t="n"/>
      <c r="K334" s="36" t="n"/>
    </row>
    <row r="335">
      <c r="A335" s="118">
        <f>IF($B335="","",COUNT($B$5:$B335))</f>
        <v/>
      </c>
      <c r="B335" s="80" t="n"/>
      <c r="C335" s="130">
        <f>IF($B335="","",CHOOSE(WEEKDAY($B335),"일","월","화","수","목","금","토"))</f>
        <v/>
      </c>
      <c r="D335" s="74" t="n"/>
      <c r="E335" s="130">
        <f>IF($D335="","",IFERROR(INDEX(코드설정!$D$5:$D$24,MATCH($D335,코드설정!$C$5:$C$24,0)),""))</f>
        <v/>
      </c>
      <c r="F335" s="74" t="n"/>
      <c r="G335" s="74" t="n"/>
      <c r="H335" s="36" t="n"/>
      <c r="I335" s="36" t="n"/>
      <c r="J335" s="74" t="n"/>
      <c r="K335" s="36" t="n"/>
    </row>
    <row r="336">
      <c r="A336" s="118">
        <f>IF($B336="","",COUNT($B$5:$B336))</f>
        <v/>
      </c>
      <c r="B336" s="80" t="n"/>
      <c r="C336" s="130">
        <f>IF($B336="","",CHOOSE(WEEKDAY($B336),"일","월","화","수","목","금","토"))</f>
        <v/>
      </c>
      <c r="D336" s="74" t="n"/>
      <c r="E336" s="130">
        <f>IF($D336="","",IFERROR(INDEX(코드설정!$D$5:$D$24,MATCH($D336,코드설정!$C$5:$C$24,0)),""))</f>
        <v/>
      </c>
      <c r="F336" s="74" t="n"/>
      <c r="G336" s="74" t="n"/>
      <c r="H336" s="36" t="n"/>
      <c r="I336" s="36" t="n"/>
      <c r="J336" s="74" t="n"/>
      <c r="K336" s="36" t="n"/>
    </row>
    <row r="337">
      <c r="A337" s="118">
        <f>IF($B337="","",COUNT($B$5:$B337))</f>
        <v/>
      </c>
      <c r="B337" s="80" t="n"/>
      <c r="C337" s="130">
        <f>IF($B337="","",CHOOSE(WEEKDAY($B337),"일","월","화","수","목","금","토"))</f>
        <v/>
      </c>
      <c r="D337" s="74" t="n"/>
      <c r="E337" s="130">
        <f>IF($D337="","",IFERROR(INDEX(코드설정!$D$5:$D$24,MATCH($D337,코드설정!$C$5:$C$24,0)),""))</f>
        <v/>
      </c>
      <c r="F337" s="74" t="n"/>
      <c r="G337" s="74" t="n"/>
      <c r="H337" s="36" t="n"/>
      <c r="I337" s="36" t="n"/>
      <c r="J337" s="74" t="n"/>
      <c r="K337" s="36" t="n"/>
    </row>
    <row r="338">
      <c r="A338" s="118">
        <f>IF($B338="","",COUNT($B$5:$B338))</f>
        <v/>
      </c>
      <c r="B338" s="80" t="n"/>
      <c r="C338" s="130">
        <f>IF($B338="","",CHOOSE(WEEKDAY($B338),"일","월","화","수","목","금","토"))</f>
        <v/>
      </c>
      <c r="D338" s="74" t="n"/>
      <c r="E338" s="130">
        <f>IF($D338="","",IFERROR(INDEX(코드설정!$D$5:$D$24,MATCH($D338,코드설정!$C$5:$C$24,0)),""))</f>
        <v/>
      </c>
      <c r="F338" s="74" t="n"/>
      <c r="G338" s="74" t="n"/>
      <c r="H338" s="36" t="n"/>
      <c r="I338" s="36" t="n"/>
      <c r="J338" s="74" t="n"/>
      <c r="K338" s="36" t="n"/>
    </row>
    <row r="339">
      <c r="A339" s="118">
        <f>IF($B339="","",COUNT($B$5:$B339))</f>
        <v/>
      </c>
      <c r="B339" s="80" t="n"/>
      <c r="C339" s="130">
        <f>IF($B339="","",CHOOSE(WEEKDAY($B339),"일","월","화","수","목","금","토"))</f>
        <v/>
      </c>
      <c r="D339" s="74" t="n"/>
      <c r="E339" s="130">
        <f>IF($D339="","",IFERROR(INDEX(코드설정!$D$5:$D$24,MATCH($D339,코드설정!$C$5:$C$24,0)),""))</f>
        <v/>
      </c>
      <c r="F339" s="74" t="n"/>
      <c r="G339" s="74" t="n"/>
      <c r="H339" s="36" t="n"/>
      <c r="I339" s="36" t="n"/>
      <c r="J339" s="74" t="n"/>
      <c r="K339" s="36" t="n"/>
    </row>
    <row r="340">
      <c r="A340" s="118">
        <f>IF($B340="","",COUNT($B$5:$B340))</f>
        <v/>
      </c>
      <c r="B340" s="80" t="n"/>
      <c r="C340" s="130">
        <f>IF($B340="","",CHOOSE(WEEKDAY($B340),"일","월","화","수","목","금","토"))</f>
        <v/>
      </c>
      <c r="D340" s="74" t="n"/>
      <c r="E340" s="130">
        <f>IF($D340="","",IFERROR(INDEX(코드설정!$D$5:$D$24,MATCH($D340,코드설정!$C$5:$C$24,0)),""))</f>
        <v/>
      </c>
      <c r="F340" s="74" t="n"/>
      <c r="G340" s="74" t="n"/>
      <c r="H340" s="36" t="n"/>
      <c r="I340" s="36" t="n"/>
      <c r="J340" s="74" t="n"/>
      <c r="K340" s="36" t="n"/>
    </row>
    <row r="341">
      <c r="A341" s="118">
        <f>IF($B341="","",COUNT($B$5:$B341))</f>
        <v/>
      </c>
      <c r="B341" s="80" t="n"/>
      <c r="C341" s="130">
        <f>IF($B341="","",CHOOSE(WEEKDAY($B341),"일","월","화","수","목","금","토"))</f>
        <v/>
      </c>
      <c r="D341" s="74" t="n"/>
      <c r="E341" s="130">
        <f>IF($D341="","",IFERROR(INDEX(코드설정!$D$5:$D$24,MATCH($D341,코드설정!$C$5:$C$24,0)),""))</f>
        <v/>
      </c>
      <c r="F341" s="74" t="n"/>
      <c r="G341" s="74" t="n"/>
      <c r="H341" s="36" t="n"/>
      <c r="I341" s="36" t="n"/>
      <c r="J341" s="74" t="n"/>
      <c r="K341" s="36" t="n"/>
    </row>
    <row r="342">
      <c r="A342" s="118">
        <f>IF($B342="","",COUNT($B$5:$B342))</f>
        <v/>
      </c>
      <c r="B342" s="80" t="n"/>
      <c r="C342" s="130">
        <f>IF($B342="","",CHOOSE(WEEKDAY($B342),"일","월","화","수","목","금","토"))</f>
        <v/>
      </c>
      <c r="D342" s="74" t="n"/>
      <c r="E342" s="130">
        <f>IF($D342="","",IFERROR(INDEX(코드설정!$D$5:$D$24,MATCH($D342,코드설정!$C$5:$C$24,0)),""))</f>
        <v/>
      </c>
      <c r="F342" s="74" t="n"/>
      <c r="G342" s="74" t="n"/>
      <c r="H342" s="36" t="n"/>
      <c r="I342" s="36" t="n"/>
      <c r="J342" s="74" t="n"/>
      <c r="K342" s="36" t="n"/>
    </row>
    <row r="343">
      <c r="A343" s="118">
        <f>IF($B343="","",COUNT($B$5:$B343))</f>
        <v/>
      </c>
      <c r="B343" s="80" t="n"/>
      <c r="C343" s="130">
        <f>IF($B343="","",CHOOSE(WEEKDAY($B343),"일","월","화","수","목","금","토"))</f>
        <v/>
      </c>
      <c r="D343" s="74" t="n"/>
      <c r="E343" s="130">
        <f>IF($D343="","",IFERROR(INDEX(코드설정!$D$5:$D$24,MATCH($D343,코드설정!$C$5:$C$24,0)),""))</f>
        <v/>
      </c>
      <c r="F343" s="74" t="n"/>
      <c r="G343" s="74" t="n"/>
      <c r="H343" s="36" t="n"/>
      <c r="I343" s="36" t="n"/>
      <c r="J343" s="74" t="n"/>
      <c r="K343" s="36" t="n"/>
    </row>
    <row r="344">
      <c r="A344" s="118">
        <f>IF($B344="","",COUNT($B$5:$B344))</f>
        <v/>
      </c>
      <c r="B344" s="80" t="n"/>
      <c r="C344" s="130">
        <f>IF($B344="","",CHOOSE(WEEKDAY($B344),"일","월","화","수","목","금","토"))</f>
        <v/>
      </c>
      <c r="D344" s="74" t="n"/>
      <c r="E344" s="130">
        <f>IF($D344="","",IFERROR(INDEX(코드설정!$D$5:$D$24,MATCH($D344,코드설정!$C$5:$C$24,0)),""))</f>
        <v/>
      </c>
      <c r="F344" s="74" t="n"/>
      <c r="G344" s="74" t="n"/>
      <c r="H344" s="36" t="n"/>
      <c r="I344" s="36" t="n"/>
      <c r="J344" s="74" t="n"/>
      <c r="K344" s="36" t="n"/>
    </row>
    <row r="345">
      <c r="A345" s="118">
        <f>IF($B345="","",COUNT($B$5:$B345))</f>
        <v/>
      </c>
      <c r="B345" s="80" t="n"/>
      <c r="C345" s="130">
        <f>IF($B345="","",CHOOSE(WEEKDAY($B345),"일","월","화","수","목","금","토"))</f>
        <v/>
      </c>
      <c r="D345" s="74" t="n"/>
      <c r="E345" s="130">
        <f>IF($D345="","",IFERROR(INDEX(코드설정!$D$5:$D$24,MATCH($D345,코드설정!$C$5:$C$24,0)),""))</f>
        <v/>
      </c>
      <c r="F345" s="74" t="n"/>
      <c r="G345" s="74" t="n"/>
      <c r="H345" s="36" t="n"/>
      <c r="I345" s="36" t="n"/>
      <c r="J345" s="74" t="n"/>
      <c r="K345" s="36" t="n"/>
    </row>
    <row r="346">
      <c r="A346" s="118">
        <f>IF($B346="","",COUNT($B$5:$B346))</f>
        <v/>
      </c>
      <c r="B346" s="80" t="n"/>
      <c r="C346" s="130">
        <f>IF($B346="","",CHOOSE(WEEKDAY($B346),"일","월","화","수","목","금","토"))</f>
        <v/>
      </c>
      <c r="D346" s="74" t="n"/>
      <c r="E346" s="130">
        <f>IF($D346="","",IFERROR(INDEX(코드설정!$D$5:$D$24,MATCH($D346,코드설정!$C$5:$C$24,0)),""))</f>
        <v/>
      </c>
      <c r="F346" s="74" t="n"/>
      <c r="G346" s="74" t="n"/>
      <c r="H346" s="36" t="n"/>
      <c r="I346" s="36" t="n"/>
      <c r="J346" s="74" t="n"/>
      <c r="K346" s="36" t="n"/>
    </row>
    <row r="347">
      <c r="A347" s="118">
        <f>IF($B347="","",COUNT($B$5:$B347))</f>
        <v/>
      </c>
      <c r="B347" s="80" t="n"/>
      <c r="C347" s="130">
        <f>IF($B347="","",CHOOSE(WEEKDAY($B347),"일","월","화","수","목","금","토"))</f>
        <v/>
      </c>
      <c r="D347" s="74" t="n"/>
      <c r="E347" s="130">
        <f>IF($D347="","",IFERROR(INDEX(코드설정!$D$5:$D$24,MATCH($D347,코드설정!$C$5:$C$24,0)),""))</f>
        <v/>
      </c>
      <c r="F347" s="74" t="n"/>
      <c r="G347" s="74" t="n"/>
      <c r="H347" s="36" t="n"/>
      <c r="I347" s="36" t="n"/>
      <c r="J347" s="74" t="n"/>
      <c r="K347" s="36" t="n"/>
    </row>
    <row r="348">
      <c r="A348" s="118">
        <f>IF($B348="","",COUNT($B$5:$B348))</f>
        <v/>
      </c>
      <c r="B348" s="80" t="n"/>
      <c r="C348" s="130">
        <f>IF($B348="","",CHOOSE(WEEKDAY($B348),"일","월","화","수","목","금","토"))</f>
        <v/>
      </c>
      <c r="D348" s="74" t="n"/>
      <c r="E348" s="130">
        <f>IF($D348="","",IFERROR(INDEX(코드설정!$D$5:$D$24,MATCH($D348,코드설정!$C$5:$C$24,0)),""))</f>
        <v/>
      </c>
      <c r="F348" s="74" t="n"/>
      <c r="G348" s="74" t="n"/>
      <c r="H348" s="36" t="n"/>
      <c r="I348" s="36" t="n"/>
      <c r="J348" s="74" t="n"/>
      <c r="K348" s="36" t="n"/>
    </row>
    <row r="349">
      <c r="A349" s="118">
        <f>IF($B349="","",COUNT($B$5:$B349))</f>
        <v/>
      </c>
      <c r="B349" s="80" t="n"/>
      <c r="C349" s="130">
        <f>IF($B349="","",CHOOSE(WEEKDAY($B349),"일","월","화","수","목","금","토"))</f>
        <v/>
      </c>
      <c r="D349" s="74" t="n"/>
      <c r="E349" s="130">
        <f>IF($D349="","",IFERROR(INDEX(코드설정!$D$5:$D$24,MATCH($D349,코드설정!$C$5:$C$24,0)),""))</f>
        <v/>
      </c>
      <c r="F349" s="74" t="n"/>
      <c r="G349" s="74" t="n"/>
      <c r="H349" s="36" t="n"/>
      <c r="I349" s="36" t="n"/>
      <c r="J349" s="74" t="n"/>
      <c r="K349" s="36" t="n"/>
    </row>
    <row r="350">
      <c r="A350" s="118">
        <f>IF($B350="","",COUNT($B$5:$B350))</f>
        <v/>
      </c>
      <c r="B350" s="80" t="n"/>
      <c r="C350" s="130">
        <f>IF($B350="","",CHOOSE(WEEKDAY($B350),"일","월","화","수","목","금","토"))</f>
        <v/>
      </c>
      <c r="D350" s="74" t="n"/>
      <c r="E350" s="130">
        <f>IF($D350="","",IFERROR(INDEX(코드설정!$D$5:$D$24,MATCH($D350,코드설정!$C$5:$C$24,0)),""))</f>
        <v/>
      </c>
      <c r="F350" s="74" t="n"/>
      <c r="G350" s="74" t="n"/>
      <c r="H350" s="36" t="n"/>
      <c r="I350" s="36" t="n"/>
      <c r="J350" s="74" t="n"/>
      <c r="K350" s="36" t="n"/>
    </row>
    <row r="351">
      <c r="A351" s="118">
        <f>IF($B351="","",COUNT($B$5:$B351))</f>
        <v/>
      </c>
      <c r="B351" s="80" t="n"/>
      <c r="C351" s="130">
        <f>IF($B351="","",CHOOSE(WEEKDAY($B351),"일","월","화","수","목","금","토"))</f>
        <v/>
      </c>
      <c r="D351" s="74" t="n"/>
      <c r="E351" s="130">
        <f>IF($D351="","",IFERROR(INDEX(코드설정!$D$5:$D$24,MATCH($D351,코드설정!$C$5:$C$24,0)),""))</f>
        <v/>
      </c>
      <c r="F351" s="74" t="n"/>
      <c r="G351" s="74" t="n"/>
      <c r="H351" s="36" t="n"/>
      <c r="I351" s="36" t="n"/>
      <c r="J351" s="74" t="n"/>
      <c r="K351" s="36" t="n"/>
    </row>
    <row r="352">
      <c r="A352" s="118">
        <f>IF($B352="","",COUNT($B$5:$B352))</f>
        <v/>
      </c>
      <c r="B352" s="80" t="n"/>
      <c r="C352" s="130">
        <f>IF($B352="","",CHOOSE(WEEKDAY($B352),"일","월","화","수","목","금","토"))</f>
        <v/>
      </c>
      <c r="D352" s="74" t="n"/>
      <c r="E352" s="130">
        <f>IF($D352="","",IFERROR(INDEX(코드설정!$D$5:$D$24,MATCH($D352,코드설정!$C$5:$C$24,0)),""))</f>
        <v/>
      </c>
      <c r="F352" s="74" t="n"/>
      <c r="G352" s="74" t="n"/>
      <c r="H352" s="36" t="n"/>
      <c r="I352" s="36" t="n"/>
      <c r="J352" s="74" t="n"/>
      <c r="K352" s="36" t="n"/>
    </row>
    <row r="353">
      <c r="A353" s="118">
        <f>IF($B353="","",COUNT($B$5:$B353))</f>
        <v/>
      </c>
      <c r="B353" s="80" t="n"/>
      <c r="C353" s="130">
        <f>IF($B353="","",CHOOSE(WEEKDAY($B353),"일","월","화","수","목","금","토"))</f>
        <v/>
      </c>
      <c r="D353" s="74" t="n"/>
      <c r="E353" s="130">
        <f>IF($D353="","",IFERROR(INDEX(코드설정!$D$5:$D$24,MATCH($D353,코드설정!$C$5:$C$24,0)),""))</f>
        <v/>
      </c>
      <c r="F353" s="74" t="n"/>
      <c r="G353" s="74" t="n"/>
      <c r="H353" s="36" t="n"/>
      <c r="I353" s="36" t="n"/>
      <c r="J353" s="74" t="n"/>
      <c r="K353" s="36" t="n"/>
    </row>
    <row r="354">
      <c r="A354" s="118">
        <f>IF($B354="","",COUNT($B$5:$B354))</f>
        <v/>
      </c>
      <c r="B354" s="80" t="n"/>
      <c r="C354" s="130">
        <f>IF($B354="","",CHOOSE(WEEKDAY($B354),"일","월","화","수","목","금","토"))</f>
        <v/>
      </c>
      <c r="D354" s="74" t="n"/>
      <c r="E354" s="130">
        <f>IF($D354="","",IFERROR(INDEX(코드설정!$D$5:$D$24,MATCH($D354,코드설정!$C$5:$C$24,0)),""))</f>
        <v/>
      </c>
      <c r="F354" s="74" t="n"/>
      <c r="G354" s="74" t="n"/>
      <c r="H354" s="36" t="n"/>
      <c r="I354" s="36" t="n"/>
      <c r="J354" s="74" t="n"/>
      <c r="K354" s="36" t="n"/>
    </row>
    <row r="355">
      <c r="A355" s="118">
        <f>IF($B355="","",COUNT($B$5:$B355))</f>
        <v/>
      </c>
      <c r="B355" s="80" t="n"/>
      <c r="C355" s="130">
        <f>IF($B355="","",CHOOSE(WEEKDAY($B355),"일","월","화","수","목","금","토"))</f>
        <v/>
      </c>
      <c r="D355" s="74" t="n"/>
      <c r="E355" s="130">
        <f>IF($D355="","",IFERROR(INDEX(코드설정!$D$5:$D$24,MATCH($D355,코드설정!$C$5:$C$24,0)),""))</f>
        <v/>
      </c>
      <c r="F355" s="74" t="n"/>
      <c r="G355" s="74" t="n"/>
      <c r="H355" s="36" t="n"/>
      <c r="I355" s="36" t="n"/>
      <c r="J355" s="74" t="n"/>
      <c r="K355" s="36" t="n"/>
    </row>
    <row r="356">
      <c r="A356" s="118">
        <f>IF($B356="","",COUNT($B$5:$B356))</f>
        <v/>
      </c>
      <c r="B356" s="80" t="n"/>
      <c r="C356" s="130">
        <f>IF($B356="","",CHOOSE(WEEKDAY($B356),"일","월","화","수","목","금","토"))</f>
        <v/>
      </c>
      <c r="D356" s="74" t="n"/>
      <c r="E356" s="130">
        <f>IF($D356="","",IFERROR(INDEX(코드설정!$D$5:$D$24,MATCH($D356,코드설정!$C$5:$C$24,0)),""))</f>
        <v/>
      </c>
      <c r="F356" s="74" t="n"/>
      <c r="G356" s="74" t="n"/>
      <c r="H356" s="36" t="n"/>
      <c r="I356" s="36" t="n"/>
      <c r="J356" s="74" t="n"/>
      <c r="K356" s="36" t="n"/>
    </row>
    <row r="357">
      <c r="A357" s="118">
        <f>IF($B357="","",COUNT($B$5:$B357))</f>
        <v/>
      </c>
      <c r="B357" s="80" t="n"/>
      <c r="C357" s="130">
        <f>IF($B357="","",CHOOSE(WEEKDAY($B357),"일","월","화","수","목","금","토"))</f>
        <v/>
      </c>
      <c r="D357" s="74" t="n"/>
      <c r="E357" s="130">
        <f>IF($D357="","",IFERROR(INDEX(코드설정!$D$5:$D$24,MATCH($D357,코드설정!$C$5:$C$24,0)),""))</f>
        <v/>
      </c>
      <c r="F357" s="74" t="n"/>
      <c r="G357" s="74" t="n"/>
      <c r="H357" s="36" t="n"/>
      <c r="I357" s="36" t="n"/>
      <c r="J357" s="74" t="n"/>
      <c r="K357" s="36" t="n"/>
    </row>
    <row r="358">
      <c r="A358" s="118">
        <f>IF($B358="","",COUNT($B$5:$B358))</f>
        <v/>
      </c>
      <c r="B358" s="80" t="n"/>
      <c r="C358" s="130">
        <f>IF($B358="","",CHOOSE(WEEKDAY($B358),"일","월","화","수","목","금","토"))</f>
        <v/>
      </c>
      <c r="D358" s="74" t="n"/>
      <c r="E358" s="130">
        <f>IF($D358="","",IFERROR(INDEX(코드설정!$D$5:$D$24,MATCH($D358,코드설정!$C$5:$C$24,0)),""))</f>
        <v/>
      </c>
      <c r="F358" s="74" t="n"/>
      <c r="G358" s="74" t="n"/>
      <c r="H358" s="36" t="n"/>
      <c r="I358" s="36" t="n"/>
      <c r="J358" s="74" t="n"/>
      <c r="K358" s="36" t="n"/>
    </row>
    <row r="359">
      <c r="A359" s="118">
        <f>IF($B359="","",COUNT($B$5:$B359))</f>
        <v/>
      </c>
      <c r="B359" s="80" t="n"/>
      <c r="C359" s="130">
        <f>IF($B359="","",CHOOSE(WEEKDAY($B359),"일","월","화","수","목","금","토"))</f>
        <v/>
      </c>
      <c r="D359" s="74" t="n"/>
      <c r="E359" s="130">
        <f>IF($D359="","",IFERROR(INDEX(코드설정!$D$5:$D$24,MATCH($D359,코드설정!$C$5:$C$24,0)),""))</f>
        <v/>
      </c>
      <c r="F359" s="74" t="n"/>
      <c r="G359" s="74" t="n"/>
      <c r="H359" s="36" t="n"/>
      <c r="I359" s="36" t="n"/>
      <c r="J359" s="74" t="n"/>
      <c r="K359" s="36" t="n"/>
    </row>
    <row r="360">
      <c r="A360" s="118">
        <f>IF($B360="","",COUNT($B$5:$B360))</f>
        <v/>
      </c>
      <c r="B360" s="80" t="n"/>
      <c r="C360" s="130">
        <f>IF($B360="","",CHOOSE(WEEKDAY($B360),"일","월","화","수","목","금","토"))</f>
        <v/>
      </c>
      <c r="D360" s="74" t="n"/>
      <c r="E360" s="130">
        <f>IF($D360="","",IFERROR(INDEX(코드설정!$D$5:$D$24,MATCH($D360,코드설정!$C$5:$C$24,0)),""))</f>
        <v/>
      </c>
      <c r="F360" s="74" t="n"/>
      <c r="G360" s="74" t="n"/>
      <c r="H360" s="36" t="n"/>
      <c r="I360" s="36" t="n"/>
      <c r="J360" s="74" t="n"/>
      <c r="K360" s="36" t="n"/>
    </row>
    <row r="361">
      <c r="A361" s="118">
        <f>IF($B361="","",COUNT($B$5:$B361))</f>
        <v/>
      </c>
      <c r="B361" s="80" t="n"/>
      <c r="C361" s="130">
        <f>IF($B361="","",CHOOSE(WEEKDAY($B361),"일","월","화","수","목","금","토"))</f>
        <v/>
      </c>
      <c r="D361" s="74" t="n"/>
      <c r="E361" s="130">
        <f>IF($D361="","",IFERROR(INDEX(코드설정!$D$5:$D$24,MATCH($D361,코드설정!$C$5:$C$24,0)),""))</f>
        <v/>
      </c>
      <c r="F361" s="74" t="n"/>
      <c r="G361" s="74" t="n"/>
      <c r="H361" s="36" t="n"/>
      <c r="I361" s="36" t="n"/>
      <c r="J361" s="74" t="n"/>
      <c r="K361" s="36" t="n"/>
    </row>
    <row r="362">
      <c r="A362" s="118">
        <f>IF($B362="","",COUNT($B$5:$B362))</f>
        <v/>
      </c>
      <c r="B362" s="80" t="n"/>
      <c r="C362" s="130">
        <f>IF($B362="","",CHOOSE(WEEKDAY($B362),"일","월","화","수","목","금","토"))</f>
        <v/>
      </c>
      <c r="D362" s="74" t="n"/>
      <c r="E362" s="130">
        <f>IF($D362="","",IFERROR(INDEX(코드설정!$D$5:$D$24,MATCH($D362,코드설정!$C$5:$C$24,0)),""))</f>
        <v/>
      </c>
      <c r="F362" s="74" t="n"/>
      <c r="G362" s="74" t="n"/>
      <c r="H362" s="36" t="n"/>
      <c r="I362" s="36" t="n"/>
      <c r="J362" s="74" t="n"/>
      <c r="K362" s="36" t="n"/>
    </row>
    <row r="363">
      <c r="A363" s="118">
        <f>IF($B363="","",COUNT($B$5:$B363))</f>
        <v/>
      </c>
      <c r="B363" s="80" t="n"/>
      <c r="C363" s="130">
        <f>IF($B363="","",CHOOSE(WEEKDAY($B363),"일","월","화","수","목","금","토"))</f>
        <v/>
      </c>
      <c r="D363" s="74" t="n"/>
      <c r="E363" s="130">
        <f>IF($D363="","",IFERROR(INDEX(코드설정!$D$5:$D$24,MATCH($D363,코드설정!$C$5:$C$24,0)),""))</f>
        <v/>
      </c>
      <c r="F363" s="74" t="n"/>
      <c r="G363" s="74" t="n"/>
      <c r="H363" s="36" t="n"/>
      <c r="I363" s="36" t="n"/>
      <c r="J363" s="74" t="n"/>
      <c r="K363" s="36" t="n"/>
    </row>
    <row r="364">
      <c r="A364" s="118">
        <f>IF($B364="","",COUNT($B$5:$B364))</f>
        <v/>
      </c>
      <c r="B364" s="80" t="n"/>
      <c r="C364" s="130">
        <f>IF($B364="","",CHOOSE(WEEKDAY($B364),"일","월","화","수","목","금","토"))</f>
        <v/>
      </c>
      <c r="D364" s="74" t="n"/>
      <c r="E364" s="130">
        <f>IF($D364="","",IFERROR(INDEX(코드설정!$D$5:$D$24,MATCH($D364,코드설정!$C$5:$C$24,0)),""))</f>
        <v/>
      </c>
      <c r="F364" s="74" t="n"/>
      <c r="G364" s="74" t="n"/>
      <c r="H364" s="36" t="n"/>
      <c r="I364" s="36" t="n"/>
      <c r="J364" s="74" t="n"/>
      <c r="K364" s="36" t="n"/>
    </row>
    <row r="365">
      <c r="A365" s="118">
        <f>IF($B365="","",COUNT($B$5:$B365))</f>
        <v/>
      </c>
      <c r="B365" s="80" t="n"/>
      <c r="C365" s="130">
        <f>IF($B365="","",CHOOSE(WEEKDAY($B365),"일","월","화","수","목","금","토"))</f>
        <v/>
      </c>
      <c r="D365" s="74" t="n"/>
      <c r="E365" s="130">
        <f>IF($D365="","",IFERROR(INDEX(코드설정!$D$5:$D$24,MATCH($D365,코드설정!$C$5:$C$24,0)),""))</f>
        <v/>
      </c>
      <c r="F365" s="74" t="n"/>
      <c r="G365" s="74" t="n"/>
      <c r="H365" s="36" t="n"/>
      <c r="I365" s="36" t="n"/>
      <c r="J365" s="74" t="n"/>
      <c r="K365" s="36" t="n"/>
    </row>
    <row r="366">
      <c r="A366" s="118">
        <f>IF($B366="","",COUNT($B$5:$B366))</f>
        <v/>
      </c>
      <c r="B366" s="80" t="n"/>
      <c r="C366" s="130">
        <f>IF($B366="","",CHOOSE(WEEKDAY($B366),"일","월","화","수","목","금","토"))</f>
        <v/>
      </c>
      <c r="D366" s="74" t="n"/>
      <c r="E366" s="130">
        <f>IF($D366="","",IFERROR(INDEX(코드설정!$D$5:$D$24,MATCH($D366,코드설정!$C$5:$C$24,0)),""))</f>
        <v/>
      </c>
      <c r="F366" s="74" t="n"/>
      <c r="G366" s="74" t="n"/>
      <c r="H366" s="36" t="n"/>
      <c r="I366" s="36" t="n"/>
      <c r="J366" s="74" t="n"/>
      <c r="K366" s="36" t="n"/>
    </row>
    <row r="367">
      <c r="A367" s="118">
        <f>IF($B367="","",COUNT($B$5:$B367))</f>
        <v/>
      </c>
      <c r="B367" s="80" t="n"/>
      <c r="C367" s="130">
        <f>IF($B367="","",CHOOSE(WEEKDAY($B367),"일","월","화","수","목","금","토"))</f>
        <v/>
      </c>
      <c r="D367" s="74" t="n"/>
      <c r="E367" s="130">
        <f>IF($D367="","",IFERROR(INDEX(코드설정!$D$5:$D$24,MATCH($D367,코드설정!$C$5:$C$24,0)),""))</f>
        <v/>
      </c>
      <c r="F367" s="74" t="n"/>
      <c r="G367" s="74" t="n"/>
      <c r="H367" s="36" t="n"/>
      <c r="I367" s="36" t="n"/>
      <c r="J367" s="74" t="n"/>
      <c r="K367" s="36" t="n"/>
    </row>
    <row r="368">
      <c r="A368" s="118">
        <f>IF($B368="","",COUNT($B$5:$B368))</f>
        <v/>
      </c>
      <c r="B368" s="80" t="n"/>
      <c r="C368" s="130">
        <f>IF($B368="","",CHOOSE(WEEKDAY($B368),"일","월","화","수","목","금","토"))</f>
        <v/>
      </c>
      <c r="D368" s="74" t="n"/>
      <c r="E368" s="130">
        <f>IF($D368="","",IFERROR(INDEX(코드설정!$D$5:$D$24,MATCH($D368,코드설정!$C$5:$C$24,0)),""))</f>
        <v/>
      </c>
      <c r="F368" s="74" t="n"/>
      <c r="G368" s="74" t="n"/>
      <c r="H368" s="36" t="n"/>
      <c r="I368" s="36" t="n"/>
      <c r="J368" s="74" t="n"/>
      <c r="K368" s="36" t="n"/>
    </row>
    <row r="369">
      <c r="A369" s="118">
        <f>IF($B369="","",COUNT($B$5:$B369))</f>
        <v/>
      </c>
      <c r="B369" s="80" t="n"/>
      <c r="C369" s="130">
        <f>IF($B369="","",CHOOSE(WEEKDAY($B369),"일","월","화","수","목","금","토"))</f>
        <v/>
      </c>
      <c r="D369" s="74" t="n"/>
      <c r="E369" s="130">
        <f>IF($D369="","",IFERROR(INDEX(코드설정!$D$5:$D$24,MATCH($D369,코드설정!$C$5:$C$24,0)),""))</f>
        <v/>
      </c>
      <c r="F369" s="74" t="n"/>
      <c r="G369" s="74" t="n"/>
      <c r="H369" s="36" t="n"/>
      <c r="I369" s="36" t="n"/>
      <c r="J369" s="74" t="n"/>
      <c r="K369" s="36" t="n"/>
    </row>
    <row r="370">
      <c r="A370" s="118">
        <f>IF($B370="","",COUNT($B$5:$B370))</f>
        <v/>
      </c>
      <c r="B370" s="80" t="n"/>
      <c r="C370" s="130">
        <f>IF($B370="","",CHOOSE(WEEKDAY($B370),"일","월","화","수","목","금","토"))</f>
        <v/>
      </c>
      <c r="D370" s="74" t="n"/>
      <c r="E370" s="130">
        <f>IF($D370="","",IFERROR(INDEX(코드설정!$D$5:$D$24,MATCH($D370,코드설정!$C$5:$C$24,0)),""))</f>
        <v/>
      </c>
      <c r="F370" s="74" t="n"/>
      <c r="G370" s="74" t="n"/>
      <c r="H370" s="36" t="n"/>
      <c r="I370" s="36" t="n"/>
      <c r="J370" s="74" t="n"/>
      <c r="K370" s="36" t="n"/>
    </row>
    <row r="371">
      <c r="A371" s="118">
        <f>IF($B371="","",COUNT($B$5:$B371))</f>
        <v/>
      </c>
      <c r="B371" s="80" t="n"/>
      <c r="C371" s="130">
        <f>IF($B371="","",CHOOSE(WEEKDAY($B371),"일","월","화","수","목","금","토"))</f>
        <v/>
      </c>
      <c r="D371" s="74" t="n"/>
      <c r="E371" s="130">
        <f>IF($D371="","",IFERROR(INDEX(코드설정!$D$5:$D$24,MATCH($D371,코드설정!$C$5:$C$24,0)),""))</f>
        <v/>
      </c>
      <c r="F371" s="74" t="n"/>
      <c r="G371" s="74" t="n"/>
      <c r="H371" s="36" t="n"/>
      <c r="I371" s="36" t="n"/>
      <c r="J371" s="74" t="n"/>
      <c r="K371" s="36" t="n"/>
    </row>
    <row r="372">
      <c r="A372" s="118">
        <f>IF($B372="","",COUNT($B$5:$B372))</f>
        <v/>
      </c>
      <c r="B372" s="80" t="n"/>
      <c r="C372" s="130">
        <f>IF($B372="","",CHOOSE(WEEKDAY($B372),"일","월","화","수","목","금","토"))</f>
        <v/>
      </c>
      <c r="D372" s="74" t="n"/>
      <c r="E372" s="130">
        <f>IF($D372="","",IFERROR(INDEX(코드설정!$D$5:$D$24,MATCH($D372,코드설정!$C$5:$C$24,0)),""))</f>
        <v/>
      </c>
      <c r="F372" s="74" t="n"/>
      <c r="G372" s="74" t="n"/>
      <c r="H372" s="36" t="n"/>
      <c r="I372" s="36" t="n"/>
      <c r="J372" s="74" t="n"/>
      <c r="K372" s="36" t="n"/>
    </row>
    <row r="373">
      <c r="A373" s="118">
        <f>IF($B373="","",COUNT($B$5:$B373))</f>
        <v/>
      </c>
      <c r="B373" s="80" t="n"/>
      <c r="C373" s="130">
        <f>IF($B373="","",CHOOSE(WEEKDAY($B373),"일","월","화","수","목","금","토"))</f>
        <v/>
      </c>
      <c r="D373" s="74" t="n"/>
      <c r="E373" s="130">
        <f>IF($D373="","",IFERROR(INDEX(코드설정!$D$5:$D$24,MATCH($D373,코드설정!$C$5:$C$24,0)),""))</f>
        <v/>
      </c>
      <c r="F373" s="74" t="n"/>
      <c r="G373" s="74" t="n"/>
      <c r="H373" s="36" t="n"/>
      <c r="I373" s="36" t="n"/>
      <c r="J373" s="74" t="n"/>
      <c r="K373" s="36" t="n"/>
    </row>
    <row r="374">
      <c r="A374" s="118">
        <f>IF($B374="","",COUNT($B$5:$B374))</f>
        <v/>
      </c>
      <c r="B374" s="80" t="n"/>
      <c r="C374" s="130">
        <f>IF($B374="","",CHOOSE(WEEKDAY($B374),"일","월","화","수","목","금","토"))</f>
        <v/>
      </c>
      <c r="D374" s="74" t="n"/>
      <c r="E374" s="130">
        <f>IF($D374="","",IFERROR(INDEX(코드설정!$D$5:$D$24,MATCH($D374,코드설정!$C$5:$C$24,0)),""))</f>
        <v/>
      </c>
      <c r="F374" s="74" t="n"/>
      <c r="G374" s="74" t="n"/>
      <c r="H374" s="36" t="n"/>
      <c r="I374" s="36" t="n"/>
      <c r="J374" s="74" t="n"/>
      <c r="K374" s="36" t="n"/>
    </row>
    <row r="375">
      <c r="A375" s="118">
        <f>IF($B375="","",COUNT($B$5:$B375))</f>
        <v/>
      </c>
      <c r="B375" s="80" t="n"/>
      <c r="C375" s="130">
        <f>IF($B375="","",CHOOSE(WEEKDAY($B375),"일","월","화","수","목","금","토"))</f>
        <v/>
      </c>
      <c r="D375" s="74" t="n"/>
      <c r="E375" s="130">
        <f>IF($D375="","",IFERROR(INDEX(코드설정!$D$5:$D$24,MATCH($D375,코드설정!$C$5:$C$24,0)),""))</f>
        <v/>
      </c>
      <c r="F375" s="74" t="n"/>
      <c r="G375" s="74" t="n"/>
      <c r="H375" s="36" t="n"/>
      <c r="I375" s="36" t="n"/>
      <c r="J375" s="74" t="n"/>
      <c r="K375" s="36" t="n"/>
    </row>
    <row r="376">
      <c r="A376" s="118">
        <f>IF($B376="","",COUNT($B$5:$B376))</f>
        <v/>
      </c>
      <c r="B376" s="80" t="n"/>
      <c r="C376" s="130">
        <f>IF($B376="","",CHOOSE(WEEKDAY($B376),"일","월","화","수","목","금","토"))</f>
        <v/>
      </c>
      <c r="D376" s="74" t="n"/>
      <c r="E376" s="130">
        <f>IF($D376="","",IFERROR(INDEX(코드설정!$D$5:$D$24,MATCH($D376,코드설정!$C$5:$C$24,0)),""))</f>
        <v/>
      </c>
      <c r="F376" s="74" t="n"/>
      <c r="G376" s="74" t="n"/>
      <c r="H376" s="36" t="n"/>
      <c r="I376" s="36" t="n"/>
      <c r="J376" s="74" t="n"/>
      <c r="K376" s="36" t="n"/>
    </row>
    <row r="377">
      <c r="A377" s="118">
        <f>IF($B377="","",COUNT($B$5:$B377))</f>
        <v/>
      </c>
      <c r="B377" s="80" t="n"/>
      <c r="C377" s="130">
        <f>IF($B377="","",CHOOSE(WEEKDAY($B377),"일","월","화","수","목","금","토"))</f>
        <v/>
      </c>
      <c r="D377" s="74" t="n"/>
      <c r="E377" s="130">
        <f>IF($D377="","",IFERROR(INDEX(코드설정!$D$5:$D$24,MATCH($D377,코드설정!$C$5:$C$24,0)),""))</f>
        <v/>
      </c>
      <c r="F377" s="74" t="n"/>
      <c r="G377" s="74" t="n"/>
      <c r="H377" s="36" t="n"/>
      <c r="I377" s="36" t="n"/>
      <c r="J377" s="74" t="n"/>
      <c r="K377" s="36" t="n"/>
    </row>
    <row r="378">
      <c r="A378" s="118">
        <f>IF($B378="","",COUNT($B$5:$B378))</f>
        <v/>
      </c>
      <c r="B378" s="80" t="n"/>
      <c r="C378" s="130">
        <f>IF($B378="","",CHOOSE(WEEKDAY($B378),"일","월","화","수","목","금","토"))</f>
        <v/>
      </c>
      <c r="D378" s="74" t="n"/>
      <c r="E378" s="130">
        <f>IF($D378="","",IFERROR(INDEX(코드설정!$D$5:$D$24,MATCH($D378,코드설정!$C$5:$C$24,0)),""))</f>
        <v/>
      </c>
      <c r="F378" s="74" t="n"/>
      <c r="G378" s="74" t="n"/>
      <c r="H378" s="36" t="n"/>
      <c r="I378" s="36" t="n"/>
      <c r="J378" s="74" t="n"/>
      <c r="K378" s="36" t="n"/>
    </row>
    <row r="379">
      <c r="A379" s="118">
        <f>IF($B379="","",COUNT($B$5:$B379))</f>
        <v/>
      </c>
      <c r="B379" s="80" t="n"/>
      <c r="C379" s="130">
        <f>IF($B379="","",CHOOSE(WEEKDAY($B379),"일","월","화","수","목","금","토"))</f>
        <v/>
      </c>
      <c r="D379" s="74" t="n"/>
      <c r="E379" s="130">
        <f>IF($D379="","",IFERROR(INDEX(코드설정!$D$5:$D$24,MATCH($D379,코드설정!$C$5:$C$24,0)),""))</f>
        <v/>
      </c>
      <c r="F379" s="74" t="n"/>
      <c r="G379" s="74" t="n"/>
      <c r="H379" s="36" t="n"/>
      <c r="I379" s="36" t="n"/>
      <c r="J379" s="74" t="n"/>
      <c r="K379" s="36" t="n"/>
    </row>
    <row r="380">
      <c r="A380" s="118">
        <f>IF($B380="","",COUNT($B$5:$B380))</f>
        <v/>
      </c>
      <c r="B380" s="80" t="n"/>
      <c r="C380" s="130">
        <f>IF($B380="","",CHOOSE(WEEKDAY($B380),"일","월","화","수","목","금","토"))</f>
        <v/>
      </c>
      <c r="D380" s="74" t="n"/>
      <c r="E380" s="130">
        <f>IF($D380="","",IFERROR(INDEX(코드설정!$D$5:$D$24,MATCH($D380,코드설정!$C$5:$C$24,0)),""))</f>
        <v/>
      </c>
      <c r="F380" s="74" t="n"/>
      <c r="G380" s="74" t="n"/>
      <c r="H380" s="36" t="n"/>
      <c r="I380" s="36" t="n"/>
      <c r="J380" s="74" t="n"/>
      <c r="K380" s="36" t="n"/>
    </row>
    <row r="381">
      <c r="A381" s="118">
        <f>IF($B381="","",COUNT($B$5:$B381))</f>
        <v/>
      </c>
      <c r="B381" s="80" t="n"/>
      <c r="C381" s="130">
        <f>IF($B381="","",CHOOSE(WEEKDAY($B381),"일","월","화","수","목","금","토"))</f>
        <v/>
      </c>
      <c r="D381" s="74" t="n"/>
      <c r="E381" s="130">
        <f>IF($D381="","",IFERROR(INDEX(코드설정!$D$5:$D$24,MATCH($D381,코드설정!$C$5:$C$24,0)),""))</f>
        <v/>
      </c>
      <c r="F381" s="74" t="n"/>
      <c r="G381" s="74" t="n"/>
      <c r="H381" s="36" t="n"/>
      <c r="I381" s="36" t="n"/>
      <c r="J381" s="74" t="n"/>
      <c r="K381" s="36" t="n"/>
    </row>
    <row r="382">
      <c r="A382" s="118">
        <f>IF($B382="","",COUNT($B$5:$B382))</f>
        <v/>
      </c>
      <c r="B382" s="80" t="n"/>
      <c r="C382" s="130">
        <f>IF($B382="","",CHOOSE(WEEKDAY($B382),"일","월","화","수","목","금","토"))</f>
        <v/>
      </c>
      <c r="D382" s="74" t="n"/>
      <c r="E382" s="130">
        <f>IF($D382="","",IFERROR(INDEX(코드설정!$D$5:$D$24,MATCH($D382,코드설정!$C$5:$C$24,0)),""))</f>
        <v/>
      </c>
      <c r="F382" s="74" t="n"/>
      <c r="G382" s="74" t="n"/>
      <c r="H382" s="36" t="n"/>
      <c r="I382" s="36" t="n"/>
      <c r="J382" s="74" t="n"/>
      <c r="K382" s="36" t="n"/>
    </row>
    <row r="383">
      <c r="A383" s="118">
        <f>IF($B383="","",COUNT($B$5:$B383))</f>
        <v/>
      </c>
      <c r="B383" s="80" t="n"/>
      <c r="C383" s="130">
        <f>IF($B383="","",CHOOSE(WEEKDAY($B383),"일","월","화","수","목","금","토"))</f>
        <v/>
      </c>
      <c r="D383" s="74" t="n"/>
      <c r="E383" s="130">
        <f>IF($D383="","",IFERROR(INDEX(코드설정!$D$5:$D$24,MATCH($D383,코드설정!$C$5:$C$24,0)),""))</f>
        <v/>
      </c>
      <c r="F383" s="74" t="n"/>
      <c r="G383" s="74" t="n"/>
      <c r="H383" s="36" t="n"/>
      <c r="I383" s="36" t="n"/>
      <c r="J383" s="74" t="n"/>
      <c r="K383" s="36" t="n"/>
    </row>
    <row r="384">
      <c r="A384" s="118">
        <f>IF($B384="","",COUNT($B$5:$B384))</f>
        <v/>
      </c>
      <c r="B384" s="80" t="n"/>
      <c r="C384" s="130">
        <f>IF($B384="","",CHOOSE(WEEKDAY($B384),"일","월","화","수","목","금","토"))</f>
        <v/>
      </c>
      <c r="D384" s="74" t="n"/>
      <c r="E384" s="130">
        <f>IF($D384="","",IFERROR(INDEX(코드설정!$D$5:$D$24,MATCH($D384,코드설정!$C$5:$C$24,0)),""))</f>
        <v/>
      </c>
      <c r="F384" s="74" t="n"/>
      <c r="G384" s="74" t="n"/>
      <c r="H384" s="36" t="n"/>
      <c r="I384" s="36" t="n"/>
      <c r="J384" s="74" t="n"/>
      <c r="K384" s="36" t="n"/>
    </row>
    <row r="385">
      <c r="A385" s="118">
        <f>IF($B385="","",COUNT($B$5:$B385))</f>
        <v/>
      </c>
      <c r="B385" s="80" t="n"/>
      <c r="C385" s="130">
        <f>IF($B385="","",CHOOSE(WEEKDAY($B385),"일","월","화","수","목","금","토"))</f>
        <v/>
      </c>
      <c r="D385" s="74" t="n"/>
      <c r="E385" s="130">
        <f>IF($D385="","",IFERROR(INDEX(코드설정!$D$5:$D$24,MATCH($D385,코드설정!$C$5:$C$24,0)),""))</f>
        <v/>
      </c>
      <c r="F385" s="74" t="n"/>
      <c r="G385" s="74" t="n"/>
      <c r="H385" s="36" t="n"/>
      <c r="I385" s="36" t="n"/>
      <c r="J385" s="74" t="n"/>
      <c r="K385" s="36" t="n"/>
    </row>
    <row r="386">
      <c r="A386" s="118">
        <f>IF($B386="","",COUNT($B$5:$B386))</f>
        <v/>
      </c>
      <c r="B386" s="80" t="n"/>
      <c r="C386" s="130">
        <f>IF($B386="","",CHOOSE(WEEKDAY($B386),"일","월","화","수","목","금","토"))</f>
        <v/>
      </c>
      <c r="D386" s="74" t="n"/>
      <c r="E386" s="130">
        <f>IF($D386="","",IFERROR(INDEX(코드설정!$D$5:$D$24,MATCH($D386,코드설정!$C$5:$C$24,0)),""))</f>
        <v/>
      </c>
      <c r="F386" s="74" t="n"/>
      <c r="G386" s="74" t="n"/>
      <c r="H386" s="36" t="n"/>
      <c r="I386" s="36" t="n"/>
      <c r="J386" s="74" t="n"/>
      <c r="K386" s="36" t="n"/>
    </row>
    <row r="387">
      <c r="A387" s="118">
        <f>IF($B387="","",COUNT($B$5:$B387))</f>
        <v/>
      </c>
      <c r="B387" s="80" t="n"/>
      <c r="C387" s="130">
        <f>IF($B387="","",CHOOSE(WEEKDAY($B387),"일","월","화","수","목","금","토"))</f>
        <v/>
      </c>
      <c r="D387" s="74" t="n"/>
      <c r="E387" s="130">
        <f>IF($D387="","",IFERROR(INDEX(코드설정!$D$5:$D$24,MATCH($D387,코드설정!$C$5:$C$24,0)),""))</f>
        <v/>
      </c>
      <c r="F387" s="74" t="n"/>
      <c r="G387" s="74" t="n"/>
      <c r="H387" s="36" t="n"/>
      <c r="I387" s="36" t="n"/>
      <c r="J387" s="74" t="n"/>
      <c r="K387" s="36" t="n"/>
    </row>
    <row r="388">
      <c r="A388" s="118">
        <f>IF($B388="","",COUNT($B$5:$B388))</f>
        <v/>
      </c>
      <c r="B388" s="80" t="n"/>
      <c r="C388" s="130">
        <f>IF($B388="","",CHOOSE(WEEKDAY($B388),"일","월","화","수","목","금","토"))</f>
        <v/>
      </c>
      <c r="D388" s="74" t="n"/>
      <c r="E388" s="130">
        <f>IF($D388="","",IFERROR(INDEX(코드설정!$D$5:$D$24,MATCH($D388,코드설정!$C$5:$C$24,0)),""))</f>
        <v/>
      </c>
      <c r="F388" s="74" t="n"/>
      <c r="G388" s="74" t="n"/>
      <c r="H388" s="36" t="n"/>
      <c r="I388" s="36" t="n"/>
      <c r="J388" s="74" t="n"/>
      <c r="K388" s="36" t="n"/>
    </row>
    <row r="389">
      <c r="A389" s="118">
        <f>IF($B389="","",COUNT($B$5:$B389))</f>
        <v/>
      </c>
      <c r="B389" s="80" t="n"/>
      <c r="C389" s="130">
        <f>IF($B389="","",CHOOSE(WEEKDAY($B389),"일","월","화","수","목","금","토"))</f>
        <v/>
      </c>
      <c r="D389" s="74" t="n"/>
      <c r="E389" s="130">
        <f>IF($D389="","",IFERROR(INDEX(코드설정!$D$5:$D$24,MATCH($D389,코드설정!$C$5:$C$24,0)),""))</f>
        <v/>
      </c>
      <c r="F389" s="74" t="n"/>
      <c r="G389" s="74" t="n"/>
      <c r="H389" s="36" t="n"/>
      <c r="I389" s="36" t="n"/>
      <c r="J389" s="74" t="n"/>
      <c r="K389" s="36" t="n"/>
    </row>
    <row r="390">
      <c r="A390" s="118">
        <f>IF($B390="","",COUNT($B$5:$B390))</f>
        <v/>
      </c>
      <c r="B390" s="80" t="n"/>
      <c r="C390" s="130">
        <f>IF($B390="","",CHOOSE(WEEKDAY($B390),"일","월","화","수","목","금","토"))</f>
        <v/>
      </c>
      <c r="D390" s="74" t="n"/>
      <c r="E390" s="130">
        <f>IF($D390="","",IFERROR(INDEX(코드설정!$D$5:$D$24,MATCH($D390,코드설정!$C$5:$C$24,0)),""))</f>
        <v/>
      </c>
      <c r="F390" s="74" t="n"/>
      <c r="G390" s="74" t="n"/>
      <c r="H390" s="36" t="n"/>
      <c r="I390" s="36" t="n"/>
      <c r="J390" s="74" t="n"/>
      <c r="K390" s="36" t="n"/>
    </row>
    <row r="391">
      <c r="A391" s="118">
        <f>IF($B391="","",COUNT($B$5:$B391))</f>
        <v/>
      </c>
      <c r="B391" s="80" t="n"/>
      <c r="C391" s="130">
        <f>IF($B391="","",CHOOSE(WEEKDAY($B391),"일","월","화","수","목","금","토"))</f>
        <v/>
      </c>
      <c r="D391" s="74" t="n"/>
      <c r="E391" s="130">
        <f>IF($D391="","",IFERROR(INDEX(코드설정!$D$5:$D$24,MATCH($D391,코드설정!$C$5:$C$24,0)),""))</f>
        <v/>
      </c>
      <c r="F391" s="74" t="n"/>
      <c r="G391" s="74" t="n"/>
      <c r="H391" s="36" t="n"/>
      <c r="I391" s="36" t="n"/>
      <c r="J391" s="74" t="n"/>
      <c r="K391" s="36" t="n"/>
    </row>
    <row r="392">
      <c r="A392" s="118">
        <f>IF($B392="","",COUNT($B$5:$B392))</f>
        <v/>
      </c>
      <c r="B392" s="80" t="n"/>
      <c r="C392" s="130">
        <f>IF($B392="","",CHOOSE(WEEKDAY($B392),"일","월","화","수","목","금","토"))</f>
        <v/>
      </c>
      <c r="D392" s="74" t="n"/>
      <c r="E392" s="130">
        <f>IF($D392="","",IFERROR(INDEX(코드설정!$D$5:$D$24,MATCH($D392,코드설정!$C$5:$C$24,0)),""))</f>
        <v/>
      </c>
      <c r="F392" s="74" t="n"/>
      <c r="G392" s="74" t="n"/>
      <c r="H392" s="36" t="n"/>
      <c r="I392" s="36" t="n"/>
      <c r="J392" s="74" t="n"/>
      <c r="K392" s="36" t="n"/>
    </row>
    <row r="393">
      <c r="A393" s="118">
        <f>IF($B393="","",COUNT($B$5:$B393))</f>
        <v/>
      </c>
      <c r="B393" s="80" t="n"/>
      <c r="C393" s="130">
        <f>IF($B393="","",CHOOSE(WEEKDAY($B393),"일","월","화","수","목","금","토"))</f>
        <v/>
      </c>
      <c r="D393" s="74" t="n"/>
      <c r="E393" s="130">
        <f>IF($D393="","",IFERROR(INDEX(코드설정!$D$5:$D$24,MATCH($D393,코드설정!$C$5:$C$24,0)),""))</f>
        <v/>
      </c>
      <c r="F393" s="74" t="n"/>
      <c r="G393" s="74" t="n"/>
      <c r="H393" s="36" t="n"/>
      <c r="I393" s="36" t="n"/>
      <c r="J393" s="74" t="n"/>
      <c r="K393" s="36" t="n"/>
    </row>
    <row r="394">
      <c r="A394" s="118">
        <f>IF($B394="","",COUNT($B$5:$B394))</f>
        <v/>
      </c>
      <c r="B394" s="80" t="n"/>
      <c r="C394" s="130">
        <f>IF($B394="","",CHOOSE(WEEKDAY($B394),"일","월","화","수","목","금","토"))</f>
        <v/>
      </c>
      <c r="D394" s="74" t="n"/>
      <c r="E394" s="130">
        <f>IF($D394="","",IFERROR(INDEX(코드설정!$D$5:$D$24,MATCH($D394,코드설정!$C$5:$C$24,0)),""))</f>
        <v/>
      </c>
      <c r="F394" s="74" t="n"/>
      <c r="G394" s="74" t="n"/>
      <c r="H394" s="36" t="n"/>
      <c r="I394" s="36" t="n"/>
      <c r="J394" s="74" t="n"/>
      <c r="K394" s="36" t="n"/>
    </row>
    <row r="395">
      <c r="A395" s="118">
        <f>IF($B395="","",COUNT($B$5:$B395))</f>
        <v/>
      </c>
      <c r="B395" s="80" t="n"/>
      <c r="C395" s="130">
        <f>IF($B395="","",CHOOSE(WEEKDAY($B395),"일","월","화","수","목","금","토"))</f>
        <v/>
      </c>
      <c r="D395" s="74" t="n"/>
      <c r="E395" s="130">
        <f>IF($D395="","",IFERROR(INDEX(코드설정!$D$5:$D$24,MATCH($D395,코드설정!$C$5:$C$24,0)),""))</f>
        <v/>
      </c>
      <c r="F395" s="74" t="n"/>
      <c r="G395" s="74" t="n"/>
      <c r="H395" s="36" t="n"/>
      <c r="I395" s="36" t="n"/>
      <c r="J395" s="74" t="n"/>
      <c r="K395" s="36" t="n"/>
    </row>
    <row r="396">
      <c r="A396" s="118">
        <f>IF($B396="","",COUNT($B$5:$B396))</f>
        <v/>
      </c>
      <c r="B396" s="80" t="n"/>
      <c r="C396" s="130">
        <f>IF($B396="","",CHOOSE(WEEKDAY($B396),"일","월","화","수","목","금","토"))</f>
        <v/>
      </c>
      <c r="D396" s="74" t="n"/>
      <c r="E396" s="130">
        <f>IF($D396="","",IFERROR(INDEX(코드설정!$D$5:$D$24,MATCH($D396,코드설정!$C$5:$C$24,0)),""))</f>
        <v/>
      </c>
      <c r="F396" s="74" t="n"/>
      <c r="G396" s="74" t="n"/>
      <c r="H396" s="36" t="n"/>
      <c r="I396" s="36" t="n"/>
      <c r="J396" s="74" t="n"/>
      <c r="K396" s="36" t="n"/>
    </row>
    <row r="397">
      <c r="A397" s="118">
        <f>IF($B397="","",COUNT($B$5:$B397))</f>
        <v/>
      </c>
      <c r="B397" s="80" t="n"/>
      <c r="C397" s="130">
        <f>IF($B397="","",CHOOSE(WEEKDAY($B397),"일","월","화","수","목","금","토"))</f>
        <v/>
      </c>
      <c r="D397" s="74" t="n"/>
      <c r="E397" s="130">
        <f>IF($D397="","",IFERROR(INDEX(코드설정!$D$5:$D$24,MATCH($D397,코드설정!$C$5:$C$24,0)),""))</f>
        <v/>
      </c>
      <c r="F397" s="74" t="n"/>
      <c r="G397" s="74" t="n"/>
      <c r="H397" s="36" t="n"/>
      <c r="I397" s="36" t="n"/>
      <c r="J397" s="74" t="n"/>
      <c r="K397" s="36" t="n"/>
    </row>
    <row r="398">
      <c r="A398" s="118">
        <f>IF($B398="","",COUNT($B$5:$B398))</f>
        <v/>
      </c>
      <c r="B398" s="80" t="n"/>
      <c r="C398" s="130">
        <f>IF($B398="","",CHOOSE(WEEKDAY($B398),"일","월","화","수","목","금","토"))</f>
        <v/>
      </c>
      <c r="D398" s="74" t="n"/>
      <c r="E398" s="130">
        <f>IF($D398="","",IFERROR(INDEX(코드설정!$D$5:$D$24,MATCH($D398,코드설정!$C$5:$C$24,0)),""))</f>
        <v/>
      </c>
      <c r="F398" s="74" t="n"/>
      <c r="G398" s="74" t="n"/>
      <c r="H398" s="36" t="n"/>
      <c r="I398" s="36" t="n"/>
      <c r="J398" s="74" t="n"/>
      <c r="K398" s="36" t="n"/>
    </row>
    <row r="399">
      <c r="A399" s="118">
        <f>IF($B399="","",COUNT($B$5:$B399))</f>
        <v/>
      </c>
      <c r="B399" s="80" t="n"/>
      <c r="C399" s="130">
        <f>IF($B399="","",CHOOSE(WEEKDAY($B399),"일","월","화","수","목","금","토"))</f>
        <v/>
      </c>
      <c r="D399" s="74" t="n"/>
      <c r="E399" s="130">
        <f>IF($D399="","",IFERROR(INDEX(코드설정!$D$5:$D$24,MATCH($D399,코드설정!$C$5:$C$24,0)),""))</f>
        <v/>
      </c>
      <c r="F399" s="74" t="n"/>
      <c r="G399" s="74" t="n"/>
      <c r="H399" s="36" t="n"/>
      <c r="I399" s="36" t="n"/>
      <c r="J399" s="74" t="n"/>
      <c r="K399" s="36" t="n"/>
    </row>
    <row r="400">
      <c r="A400" s="118">
        <f>IF($B400="","",COUNT($B$5:$B400))</f>
        <v/>
      </c>
      <c r="B400" s="80" t="n"/>
      <c r="C400" s="130">
        <f>IF($B400="","",CHOOSE(WEEKDAY($B400),"일","월","화","수","목","금","토"))</f>
        <v/>
      </c>
      <c r="D400" s="74" t="n"/>
      <c r="E400" s="130">
        <f>IF($D400="","",IFERROR(INDEX(코드설정!$D$5:$D$24,MATCH($D400,코드설정!$C$5:$C$24,0)),""))</f>
        <v/>
      </c>
      <c r="F400" s="74" t="n"/>
      <c r="G400" s="74" t="n"/>
      <c r="H400" s="36" t="n"/>
      <c r="I400" s="36" t="n"/>
      <c r="J400" s="74" t="n"/>
      <c r="K400" s="36" t="n"/>
    </row>
    <row r="401">
      <c r="A401" s="118">
        <f>IF($B401="","",COUNT($B$5:$B401))</f>
        <v/>
      </c>
      <c r="B401" s="80" t="n"/>
      <c r="C401" s="130">
        <f>IF($B401="","",CHOOSE(WEEKDAY($B401),"일","월","화","수","목","금","토"))</f>
        <v/>
      </c>
      <c r="D401" s="74" t="n"/>
      <c r="E401" s="130">
        <f>IF($D401="","",IFERROR(INDEX(코드설정!$D$5:$D$24,MATCH($D401,코드설정!$C$5:$C$24,0)),""))</f>
        <v/>
      </c>
      <c r="F401" s="74" t="n"/>
      <c r="G401" s="74" t="n"/>
      <c r="H401" s="36" t="n"/>
      <c r="I401" s="36" t="n"/>
      <c r="J401" s="74" t="n"/>
      <c r="K401" s="36" t="n"/>
    </row>
    <row r="402">
      <c r="A402" s="118">
        <f>IF($B402="","",COUNT($B$5:$B402))</f>
        <v/>
      </c>
      <c r="B402" s="80" t="n"/>
      <c r="C402" s="130">
        <f>IF($B402="","",CHOOSE(WEEKDAY($B402),"일","월","화","수","목","금","토"))</f>
        <v/>
      </c>
      <c r="D402" s="74" t="n"/>
      <c r="E402" s="130">
        <f>IF($D402="","",IFERROR(INDEX(코드설정!$D$5:$D$24,MATCH($D402,코드설정!$C$5:$C$24,0)),""))</f>
        <v/>
      </c>
      <c r="F402" s="74" t="n"/>
      <c r="G402" s="74" t="n"/>
      <c r="H402" s="36" t="n"/>
      <c r="I402" s="36" t="n"/>
      <c r="J402" s="74" t="n"/>
      <c r="K402" s="36" t="n"/>
    </row>
    <row r="403">
      <c r="A403" s="118">
        <f>IF($B403="","",COUNT($B$5:$B403))</f>
        <v/>
      </c>
      <c r="B403" s="80" t="n"/>
      <c r="C403" s="130">
        <f>IF($B403="","",CHOOSE(WEEKDAY($B403),"일","월","화","수","목","금","토"))</f>
        <v/>
      </c>
      <c r="D403" s="74" t="n"/>
      <c r="E403" s="130">
        <f>IF($D403="","",IFERROR(INDEX(코드설정!$D$5:$D$24,MATCH($D403,코드설정!$C$5:$C$24,0)),""))</f>
        <v/>
      </c>
      <c r="F403" s="74" t="n"/>
      <c r="G403" s="74" t="n"/>
      <c r="H403" s="36" t="n"/>
      <c r="I403" s="36" t="n"/>
      <c r="J403" s="74" t="n"/>
      <c r="K403" s="36" t="n"/>
    </row>
    <row r="404">
      <c r="A404" s="118">
        <f>IF($B404="","",COUNT($B$5:$B404))</f>
        <v/>
      </c>
      <c r="B404" s="80" t="n"/>
      <c r="C404" s="130">
        <f>IF($B404="","",CHOOSE(WEEKDAY($B404),"일","월","화","수","목","금","토"))</f>
        <v/>
      </c>
      <c r="D404" s="74" t="n"/>
      <c r="E404" s="130">
        <f>IF($D404="","",IFERROR(INDEX(코드설정!$D$5:$D$24,MATCH($D404,코드설정!$C$5:$C$24,0)),""))</f>
        <v/>
      </c>
      <c r="F404" s="74" t="n"/>
      <c r="G404" s="74" t="n"/>
      <c r="H404" s="36" t="n"/>
      <c r="I404" s="36" t="n"/>
      <c r="J404" s="74" t="n"/>
      <c r="K404" s="36" t="n"/>
    </row>
    <row r="405">
      <c r="A405" s="118">
        <f>IF($B405="","",COUNT($B$5:$B405))</f>
        <v/>
      </c>
      <c r="B405" s="80" t="n"/>
      <c r="C405" s="130">
        <f>IF($B405="","",CHOOSE(WEEKDAY($B405),"일","월","화","수","목","금","토"))</f>
        <v/>
      </c>
      <c r="D405" s="74" t="n"/>
      <c r="E405" s="130">
        <f>IF($D405="","",IFERROR(INDEX(코드설정!$D$5:$D$24,MATCH($D405,코드설정!$C$5:$C$24,0)),""))</f>
        <v/>
      </c>
      <c r="F405" s="74" t="n"/>
      <c r="G405" s="74" t="n"/>
      <c r="H405" s="36" t="n"/>
      <c r="I405" s="36" t="n"/>
      <c r="J405" s="74" t="n"/>
      <c r="K405" s="36" t="n"/>
    </row>
    <row r="406">
      <c r="A406" s="118">
        <f>IF($B406="","",COUNT($B$5:$B406))</f>
        <v/>
      </c>
      <c r="B406" s="80" t="n"/>
      <c r="C406" s="130">
        <f>IF($B406="","",CHOOSE(WEEKDAY($B406),"일","월","화","수","목","금","토"))</f>
        <v/>
      </c>
      <c r="D406" s="74" t="n"/>
      <c r="E406" s="130">
        <f>IF($D406="","",IFERROR(INDEX(코드설정!$D$5:$D$24,MATCH($D406,코드설정!$C$5:$C$24,0)),""))</f>
        <v/>
      </c>
      <c r="F406" s="74" t="n"/>
      <c r="G406" s="74" t="n"/>
      <c r="H406" s="36" t="n"/>
      <c r="I406" s="36" t="n"/>
      <c r="J406" s="74" t="n"/>
      <c r="K406" s="36" t="n"/>
    </row>
    <row r="407">
      <c r="A407" s="118">
        <f>IF($B407="","",COUNT($B$5:$B407))</f>
        <v/>
      </c>
      <c r="B407" s="80" t="n"/>
      <c r="C407" s="130">
        <f>IF($B407="","",CHOOSE(WEEKDAY($B407),"일","월","화","수","목","금","토"))</f>
        <v/>
      </c>
      <c r="D407" s="74" t="n"/>
      <c r="E407" s="130">
        <f>IF($D407="","",IFERROR(INDEX(코드설정!$D$5:$D$24,MATCH($D407,코드설정!$C$5:$C$24,0)),""))</f>
        <v/>
      </c>
      <c r="F407" s="74" t="n"/>
      <c r="G407" s="74" t="n"/>
      <c r="H407" s="36" t="n"/>
      <c r="I407" s="36" t="n"/>
      <c r="J407" s="74" t="n"/>
      <c r="K407" s="36" t="n"/>
    </row>
    <row r="408">
      <c r="A408" s="118">
        <f>IF($B408="","",COUNT($B$5:$B408))</f>
        <v/>
      </c>
      <c r="B408" s="80" t="n"/>
      <c r="C408" s="130">
        <f>IF($B408="","",CHOOSE(WEEKDAY($B408),"일","월","화","수","목","금","토"))</f>
        <v/>
      </c>
      <c r="D408" s="74" t="n"/>
      <c r="E408" s="130">
        <f>IF($D408="","",IFERROR(INDEX(코드설정!$D$5:$D$24,MATCH($D408,코드설정!$C$5:$C$24,0)),""))</f>
        <v/>
      </c>
      <c r="F408" s="74" t="n"/>
      <c r="G408" s="74" t="n"/>
      <c r="H408" s="36" t="n"/>
      <c r="I408" s="36" t="n"/>
      <c r="J408" s="74" t="n"/>
      <c r="K408" s="36" t="n"/>
    </row>
    <row r="409">
      <c r="A409" s="118">
        <f>IF($B409="","",COUNT($B$5:$B409))</f>
        <v/>
      </c>
      <c r="B409" s="80" t="n"/>
      <c r="C409" s="130">
        <f>IF($B409="","",CHOOSE(WEEKDAY($B409),"일","월","화","수","목","금","토"))</f>
        <v/>
      </c>
      <c r="D409" s="74" t="n"/>
      <c r="E409" s="130">
        <f>IF($D409="","",IFERROR(INDEX(코드설정!$D$5:$D$24,MATCH($D409,코드설정!$C$5:$C$24,0)),""))</f>
        <v/>
      </c>
      <c r="F409" s="74" t="n"/>
      <c r="G409" s="74" t="n"/>
      <c r="H409" s="36" t="n"/>
      <c r="I409" s="36" t="n"/>
      <c r="J409" s="74" t="n"/>
      <c r="K409" s="36" t="n"/>
    </row>
    <row r="410">
      <c r="A410" s="118">
        <f>IF($B410="","",COUNT($B$5:$B410))</f>
        <v/>
      </c>
      <c r="B410" s="80" t="n"/>
      <c r="C410" s="130">
        <f>IF($B410="","",CHOOSE(WEEKDAY($B410),"일","월","화","수","목","금","토"))</f>
        <v/>
      </c>
      <c r="D410" s="74" t="n"/>
      <c r="E410" s="130">
        <f>IF($D410="","",IFERROR(INDEX(코드설정!$D$5:$D$24,MATCH($D410,코드설정!$C$5:$C$24,0)),""))</f>
        <v/>
      </c>
      <c r="F410" s="74" t="n"/>
      <c r="G410" s="74" t="n"/>
      <c r="H410" s="36" t="n"/>
      <c r="I410" s="36" t="n"/>
      <c r="J410" s="74" t="n"/>
      <c r="K410" s="36" t="n"/>
    </row>
    <row r="411">
      <c r="A411" s="118">
        <f>IF($B411="","",COUNT($B$5:$B411))</f>
        <v/>
      </c>
      <c r="B411" s="80" t="n"/>
      <c r="C411" s="130">
        <f>IF($B411="","",CHOOSE(WEEKDAY($B411),"일","월","화","수","목","금","토"))</f>
        <v/>
      </c>
      <c r="D411" s="74" t="n"/>
      <c r="E411" s="130">
        <f>IF($D411="","",IFERROR(INDEX(코드설정!$D$5:$D$24,MATCH($D411,코드설정!$C$5:$C$24,0)),""))</f>
        <v/>
      </c>
      <c r="F411" s="74" t="n"/>
      <c r="G411" s="74" t="n"/>
      <c r="H411" s="36" t="n"/>
      <c r="I411" s="36" t="n"/>
      <c r="J411" s="74" t="n"/>
      <c r="K411" s="36" t="n"/>
    </row>
    <row r="412">
      <c r="A412" s="118">
        <f>IF($B412="","",COUNT($B$5:$B412))</f>
        <v/>
      </c>
      <c r="B412" s="80" t="n"/>
      <c r="C412" s="130">
        <f>IF($B412="","",CHOOSE(WEEKDAY($B412),"일","월","화","수","목","금","토"))</f>
        <v/>
      </c>
      <c r="D412" s="74" t="n"/>
      <c r="E412" s="130">
        <f>IF($D412="","",IFERROR(INDEX(코드설정!$D$5:$D$24,MATCH($D412,코드설정!$C$5:$C$24,0)),""))</f>
        <v/>
      </c>
      <c r="F412" s="74" t="n"/>
      <c r="G412" s="74" t="n"/>
      <c r="H412" s="36" t="n"/>
      <c r="I412" s="36" t="n"/>
      <c r="J412" s="74" t="n"/>
      <c r="K412" s="36" t="n"/>
    </row>
    <row r="413">
      <c r="A413" s="118">
        <f>IF($B413="","",COUNT($B$5:$B413))</f>
        <v/>
      </c>
      <c r="B413" s="80" t="n"/>
      <c r="C413" s="130">
        <f>IF($B413="","",CHOOSE(WEEKDAY($B413),"일","월","화","수","목","금","토"))</f>
        <v/>
      </c>
      <c r="D413" s="74" t="n"/>
      <c r="E413" s="130">
        <f>IF($D413="","",IFERROR(INDEX(코드설정!$D$5:$D$24,MATCH($D413,코드설정!$C$5:$C$24,0)),""))</f>
        <v/>
      </c>
      <c r="F413" s="74" t="n"/>
      <c r="G413" s="74" t="n"/>
      <c r="H413" s="36" t="n"/>
      <c r="I413" s="36" t="n"/>
      <c r="J413" s="74" t="n"/>
      <c r="K413" s="36" t="n"/>
    </row>
    <row r="414">
      <c r="A414" s="118">
        <f>IF($B414="","",COUNT($B$5:$B414))</f>
        <v/>
      </c>
      <c r="B414" s="80" t="n"/>
      <c r="C414" s="130">
        <f>IF($B414="","",CHOOSE(WEEKDAY($B414),"일","월","화","수","목","금","토"))</f>
        <v/>
      </c>
      <c r="D414" s="74" t="n"/>
      <c r="E414" s="130">
        <f>IF($D414="","",IFERROR(INDEX(코드설정!$D$5:$D$24,MATCH($D414,코드설정!$C$5:$C$24,0)),""))</f>
        <v/>
      </c>
      <c r="F414" s="74" t="n"/>
      <c r="G414" s="74" t="n"/>
      <c r="H414" s="36" t="n"/>
      <c r="I414" s="36" t="n"/>
      <c r="J414" s="74" t="n"/>
      <c r="K414" s="36" t="n"/>
    </row>
    <row r="415">
      <c r="A415" s="118">
        <f>IF($B415="","",COUNT($B$5:$B415))</f>
        <v/>
      </c>
      <c r="B415" s="80" t="n"/>
      <c r="C415" s="130">
        <f>IF($B415="","",CHOOSE(WEEKDAY($B415),"일","월","화","수","목","금","토"))</f>
        <v/>
      </c>
      <c r="D415" s="74" t="n"/>
      <c r="E415" s="130">
        <f>IF($D415="","",IFERROR(INDEX(코드설정!$D$5:$D$24,MATCH($D415,코드설정!$C$5:$C$24,0)),""))</f>
        <v/>
      </c>
      <c r="F415" s="74" t="n"/>
      <c r="G415" s="74" t="n"/>
      <c r="H415" s="36" t="n"/>
      <c r="I415" s="36" t="n"/>
      <c r="J415" s="74" t="n"/>
      <c r="K415" s="36" t="n"/>
    </row>
    <row r="416">
      <c r="A416" s="118">
        <f>IF($B416="","",COUNT($B$5:$B416))</f>
        <v/>
      </c>
      <c r="B416" s="80" t="n"/>
      <c r="C416" s="130">
        <f>IF($B416="","",CHOOSE(WEEKDAY($B416),"일","월","화","수","목","금","토"))</f>
        <v/>
      </c>
      <c r="D416" s="74" t="n"/>
      <c r="E416" s="130">
        <f>IF($D416="","",IFERROR(INDEX(코드설정!$D$5:$D$24,MATCH($D416,코드설정!$C$5:$C$24,0)),""))</f>
        <v/>
      </c>
      <c r="F416" s="74" t="n"/>
      <c r="G416" s="74" t="n"/>
      <c r="H416" s="36" t="n"/>
      <c r="I416" s="36" t="n"/>
      <c r="J416" s="74" t="n"/>
      <c r="K416" s="36" t="n"/>
    </row>
    <row r="417">
      <c r="A417" s="118">
        <f>IF($B417="","",COUNT($B$5:$B417))</f>
        <v/>
      </c>
      <c r="B417" s="80" t="n"/>
      <c r="C417" s="130">
        <f>IF($B417="","",CHOOSE(WEEKDAY($B417),"일","월","화","수","목","금","토"))</f>
        <v/>
      </c>
      <c r="D417" s="74" t="n"/>
      <c r="E417" s="130">
        <f>IF($D417="","",IFERROR(INDEX(코드설정!$D$5:$D$24,MATCH($D417,코드설정!$C$5:$C$24,0)),""))</f>
        <v/>
      </c>
      <c r="F417" s="74" t="n"/>
      <c r="G417" s="74" t="n"/>
      <c r="H417" s="36" t="n"/>
      <c r="I417" s="36" t="n"/>
      <c r="J417" s="74" t="n"/>
      <c r="K417" s="36" t="n"/>
    </row>
    <row r="418">
      <c r="A418" s="118">
        <f>IF($B418="","",COUNT($B$5:$B418))</f>
        <v/>
      </c>
      <c r="B418" s="80" t="n"/>
      <c r="C418" s="130">
        <f>IF($B418="","",CHOOSE(WEEKDAY($B418),"일","월","화","수","목","금","토"))</f>
        <v/>
      </c>
      <c r="D418" s="74" t="n"/>
      <c r="E418" s="130">
        <f>IF($D418="","",IFERROR(INDEX(코드설정!$D$5:$D$24,MATCH($D418,코드설정!$C$5:$C$24,0)),""))</f>
        <v/>
      </c>
      <c r="F418" s="74" t="n"/>
      <c r="G418" s="74" t="n"/>
      <c r="H418" s="36" t="n"/>
      <c r="I418" s="36" t="n"/>
      <c r="J418" s="74" t="n"/>
      <c r="K418" s="36" t="n"/>
    </row>
    <row r="419">
      <c r="A419" s="118">
        <f>IF($B419="","",COUNT($B$5:$B419))</f>
        <v/>
      </c>
      <c r="B419" s="80" t="n"/>
      <c r="C419" s="130">
        <f>IF($B419="","",CHOOSE(WEEKDAY($B419),"일","월","화","수","목","금","토"))</f>
        <v/>
      </c>
      <c r="D419" s="74" t="n"/>
      <c r="E419" s="130">
        <f>IF($D419="","",IFERROR(INDEX(코드설정!$D$5:$D$24,MATCH($D419,코드설정!$C$5:$C$24,0)),""))</f>
        <v/>
      </c>
      <c r="F419" s="74" t="n"/>
      <c r="G419" s="74" t="n"/>
      <c r="H419" s="36" t="n"/>
      <c r="I419" s="36" t="n"/>
      <c r="J419" s="74" t="n"/>
      <c r="K419" s="36" t="n"/>
    </row>
    <row r="420">
      <c r="A420" s="118">
        <f>IF($B420="","",COUNT($B$5:$B420))</f>
        <v/>
      </c>
      <c r="B420" s="80" t="n"/>
      <c r="C420" s="130">
        <f>IF($B420="","",CHOOSE(WEEKDAY($B420),"일","월","화","수","목","금","토"))</f>
        <v/>
      </c>
      <c r="D420" s="74" t="n"/>
      <c r="E420" s="130">
        <f>IF($D420="","",IFERROR(INDEX(코드설정!$D$5:$D$24,MATCH($D420,코드설정!$C$5:$C$24,0)),""))</f>
        <v/>
      </c>
      <c r="F420" s="74" t="n"/>
      <c r="G420" s="74" t="n"/>
      <c r="H420" s="36" t="n"/>
      <c r="I420" s="36" t="n"/>
      <c r="J420" s="74" t="n"/>
      <c r="K420" s="36" t="n"/>
    </row>
    <row r="421">
      <c r="A421" s="118">
        <f>IF($B421="","",COUNT($B$5:$B421))</f>
        <v/>
      </c>
      <c r="B421" s="80" t="n"/>
      <c r="C421" s="130">
        <f>IF($B421="","",CHOOSE(WEEKDAY($B421),"일","월","화","수","목","금","토"))</f>
        <v/>
      </c>
      <c r="D421" s="74" t="n"/>
      <c r="E421" s="130">
        <f>IF($D421="","",IFERROR(INDEX(코드설정!$D$5:$D$24,MATCH($D421,코드설정!$C$5:$C$24,0)),""))</f>
        <v/>
      </c>
      <c r="F421" s="74" t="n"/>
      <c r="G421" s="74" t="n"/>
      <c r="H421" s="36" t="n"/>
      <c r="I421" s="36" t="n"/>
      <c r="J421" s="74" t="n"/>
      <c r="K421" s="36" t="n"/>
    </row>
    <row r="422">
      <c r="A422" s="118">
        <f>IF($B422="","",COUNT($B$5:$B422))</f>
        <v/>
      </c>
      <c r="B422" s="80" t="n"/>
      <c r="C422" s="130">
        <f>IF($B422="","",CHOOSE(WEEKDAY($B422),"일","월","화","수","목","금","토"))</f>
        <v/>
      </c>
      <c r="D422" s="74" t="n"/>
      <c r="E422" s="130">
        <f>IF($D422="","",IFERROR(INDEX(코드설정!$D$5:$D$24,MATCH($D422,코드설정!$C$5:$C$24,0)),""))</f>
        <v/>
      </c>
      <c r="F422" s="74" t="n"/>
      <c r="G422" s="74" t="n"/>
      <c r="H422" s="36" t="n"/>
      <c r="I422" s="36" t="n"/>
      <c r="J422" s="74" t="n"/>
      <c r="K422" s="36" t="n"/>
    </row>
    <row r="423">
      <c r="A423" s="118">
        <f>IF($B423="","",COUNT($B$5:$B423))</f>
        <v/>
      </c>
      <c r="B423" s="80" t="n"/>
      <c r="C423" s="130">
        <f>IF($B423="","",CHOOSE(WEEKDAY($B423),"일","월","화","수","목","금","토"))</f>
        <v/>
      </c>
      <c r="D423" s="74" t="n"/>
      <c r="E423" s="130">
        <f>IF($D423="","",IFERROR(INDEX(코드설정!$D$5:$D$24,MATCH($D423,코드설정!$C$5:$C$24,0)),""))</f>
        <v/>
      </c>
      <c r="F423" s="74" t="n"/>
      <c r="G423" s="74" t="n"/>
      <c r="H423" s="36" t="n"/>
      <c r="I423" s="36" t="n"/>
      <c r="J423" s="74" t="n"/>
      <c r="K423" s="36" t="n"/>
    </row>
    <row r="424">
      <c r="A424" s="118">
        <f>IF($B424="","",COUNT($B$5:$B424))</f>
        <v/>
      </c>
      <c r="B424" s="80" t="n"/>
      <c r="C424" s="130">
        <f>IF($B424="","",CHOOSE(WEEKDAY($B424),"일","월","화","수","목","금","토"))</f>
        <v/>
      </c>
      <c r="D424" s="74" t="n"/>
      <c r="E424" s="130">
        <f>IF($D424="","",IFERROR(INDEX(코드설정!$D$5:$D$24,MATCH($D424,코드설정!$C$5:$C$24,0)),""))</f>
        <v/>
      </c>
      <c r="F424" s="74" t="n"/>
      <c r="G424" s="74" t="n"/>
      <c r="H424" s="36" t="n"/>
      <c r="I424" s="36" t="n"/>
      <c r="J424" s="74" t="n"/>
      <c r="K424" s="36" t="n"/>
    </row>
    <row r="425">
      <c r="A425" s="118">
        <f>IF($B425="","",COUNT($B$5:$B425))</f>
        <v/>
      </c>
      <c r="B425" s="80" t="n"/>
      <c r="C425" s="130">
        <f>IF($B425="","",CHOOSE(WEEKDAY($B425),"일","월","화","수","목","금","토"))</f>
        <v/>
      </c>
      <c r="D425" s="74" t="n"/>
      <c r="E425" s="130">
        <f>IF($D425="","",IFERROR(INDEX(코드설정!$D$5:$D$24,MATCH($D425,코드설정!$C$5:$C$24,0)),""))</f>
        <v/>
      </c>
      <c r="F425" s="74" t="n"/>
      <c r="G425" s="74" t="n"/>
      <c r="H425" s="36" t="n"/>
      <c r="I425" s="36" t="n"/>
      <c r="J425" s="74" t="n"/>
      <c r="K425" s="36" t="n"/>
    </row>
    <row r="426">
      <c r="A426" s="118">
        <f>IF($B426="","",COUNT($B$5:$B426))</f>
        <v/>
      </c>
      <c r="B426" s="80" t="n"/>
      <c r="C426" s="130">
        <f>IF($B426="","",CHOOSE(WEEKDAY($B426),"일","월","화","수","목","금","토"))</f>
        <v/>
      </c>
      <c r="D426" s="74" t="n"/>
      <c r="E426" s="130">
        <f>IF($D426="","",IFERROR(INDEX(코드설정!$D$5:$D$24,MATCH($D426,코드설정!$C$5:$C$24,0)),""))</f>
        <v/>
      </c>
      <c r="F426" s="74" t="n"/>
      <c r="G426" s="74" t="n"/>
      <c r="H426" s="36" t="n"/>
      <c r="I426" s="36" t="n"/>
      <c r="J426" s="74" t="n"/>
      <c r="K426" s="36" t="n"/>
    </row>
    <row r="427">
      <c r="A427" s="118">
        <f>IF($B427="","",COUNT($B$5:$B427))</f>
        <v/>
      </c>
      <c r="B427" s="80" t="n"/>
      <c r="C427" s="130">
        <f>IF($B427="","",CHOOSE(WEEKDAY($B427),"일","월","화","수","목","금","토"))</f>
        <v/>
      </c>
      <c r="D427" s="74" t="n"/>
      <c r="E427" s="130">
        <f>IF($D427="","",IFERROR(INDEX(코드설정!$D$5:$D$24,MATCH($D427,코드설정!$C$5:$C$24,0)),""))</f>
        <v/>
      </c>
      <c r="F427" s="74" t="n"/>
      <c r="G427" s="74" t="n"/>
      <c r="H427" s="36" t="n"/>
      <c r="I427" s="36" t="n"/>
      <c r="J427" s="74" t="n"/>
      <c r="K427" s="36" t="n"/>
    </row>
    <row r="428">
      <c r="A428" s="118">
        <f>IF($B428="","",COUNT($B$5:$B428))</f>
        <v/>
      </c>
      <c r="B428" s="80" t="n"/>
      <c r="C428" s="130">
        <f>IF($B428="","",CHOOSE(WEEKDAY($B428),"일","월","화","수","목","금","토"))</f>
        <v/>
      </c>
      <c r="D428" s="74" t="n"/>
      <c r="E428" s="130">
        <f>IF($D428="","",IFERROR(INDEX(코드설정!$D$5:$D$24,MATCH($D428,코드설정!$C$5:$C$24,0)),""))</f>
        <v/>
      </c>
      <c r="F428" s="74" t="n"/>
      <c r="G428" s="74" t="n"/>
      <c r="H428" s="36" t="n"/>
      <c r="I428" s="36" t="n"/>
      <c r="J428" s="74" t="n"/>
      <c r="K428" s="36" t="n"/>
    </row>
    <row r="429">
      <c r="A429" s="118">
        <f>IF($B429="","",COUNT($B$5:$B429))</f>
        <v/>
      </c>
      <c r="B429" s="80" t="n"/>
      <c r="C429" s="130">
        <f>IF($B429="","",CHOOSE(WEEKDAY($B429),"일","월","화","수","목","금","토"))</f>
        <v/>
      </c>
      <c r="D429" s="74" t="n"/>
      <c r="E429" s="130">
        <f>IF($D429="","",IFERROR(INDEX(코드설정!$D$5:$D$24,MATCH($D429,코드설정!$C$5:$C$24,0)),""))</f>
        <v/>
      </c>
      <c r="F429" s="74" t="n"/>
      <c r="G429" s="74" t="n"/>
      <c r="H429" s="36" t="n"/>
      <c r="I429" s="36" t="n"/>
      <c r="J429" s="74" t="n"/>
      <c r="K429" s="36" t="n"/>
    </row>
    <row r="430">
      <c r="A430" s="118">
        <f>IF($B430="","",COUNT($B$5:$B430))</f>
        <v/>
      </c>
      <c r="B430" s="80" t="n"/>
      <c r="C430" s="130">
        <f>IF($B430="","",CHOOSE(WEEKDAY($B430),"일","월","화","수","목","금","토"))</f>
        <v/>
      </c>
      <c r="D430" s="74" t="n"/>
      <c r="E430" s="130">
        <f>IF($D430="","",IFERROR(INDEX(코드설정!$D$5:$D$24,MATCH($D430,코드설정!$C$5:$C$24,0)),""))</f>
        <v/>
      </c>
      <c r="F430" s="74" t="n"/>
      <c r="G430" s="74" t="n"/>
      <c r="H430" s="36" t="n"/>
      <c r="I430" s="36" t="n"/>
      <c r="J430" s="74" t="n"/>
      <c r="K430" s="36" t="n"/>
    </row>
    <row r="431">
      <c r="A431" s="118">
        <f>IF($B431="","",COUNT($B$5:$B431))</f>
        <v/>
      </c>
      <c r="B431" s="80" t="n"/>
      <c r="C431" s="130">
        <f>IF($B431="","",CHOOSE(WEEKDAY($B431),"일","월","화","수","목","금","토"))</f>
        <v/>
      </c>
      <c r="D431" s="74" t="n"/>
      <c r="E431" s="130">
        <f>IF($D431="","",IFERROR(INDEX(코드설정!$D$5:$D$24,MATCH($D431,코드설정!$C$5:$C$24,0)),""))</f>
        <v/>
      </c>
      <c r="F431" s="74" t="n"/>
      <c r="G431" s="74" t="n"/>
      <c r="H431" s="36" t="n"/>
      <c r="I431" s="36" t="n"/>
      <c r="J431" s="74" t="n"/>
      <c r="K431" s="36" t="n"/>
    </row>
    <row r="432">
      <c r="A432" s="118">
        <f>IF($B432="","",COUNT($B$5:$B432))</f>
        <v/>
      </c>
      <c r="B432" s="80" t="n"/>
      <c r="C432" s="130">
        <f>IF($B432="","",CHOOSE(WEEKDAY($B432),"일","월","화","수","목","금","토"))</f>
        <v/>
      </c>
      <c r="D432" s="74" t="n"/>
      <c r="E432" s="130">
        <f>IF($D432="","",IFERROR(INDEX(코드설정!$D$5:$D$24,MATCH($D432,코드설정!$C$5:$C$24,0)),""))</f>
        <v/>
      </c>
      <c r="F432" s="74" t="n"/>
      <c r="G432" s="74" t="n"/>
      <c r="H432" s="36" t="n"/>
      <c r="I432" s="36" t="n"/>
      <c r="J432" s="74" t="n"/>
      <c r="K432" s="36" t="n"/>
    </row>
    <row r="433">
      <c r="A433" s="118">
        <f>IF($B433="","",COUNT($B$5:$B433))</f>
        <v/>
      </c>
      <c r="B433" s="80" t="n"/>
      <c r="C433" s="130">
        <f>IF($B433="","",CHOOSE(WEEKDAY($B433),"일","월","화","수","목","금","토"))</f>
        <v/>
      </c>
      <c r="D433" s="74" t="n"/>
      <c r="E433" s="130">
        <f>IF($D433="","",IFERROR(INDEX(코드설정!$D$5:$D$24,MATCH($D433,코드설정!$C$5:$C$24,0)),""))</f>
        <v/>
      </c>
      <c r="F433" s="74" t="n"/>
      <c r="G433" s="74" t="n"/>
      <c r="H433" s="36" t="n"/>
      <c r="I433" s="36" t="n"/>
      <c r="J433" s="74" t="n"/>
      <c r="K433" s="36" t="n"/>
    </row>
    <row r="434">
      <c r="A434" s="118">
        <f>IF($B434="","",COUNT($B$5:$B434))</f>
        <v/>
      </c>
      <c r="B434" s="80" t="n"/>
      <c r="C434" s="130">
        <f>IF($B434="","",CHOOSE(WEEKDAY($B434),"일","월","화","수","목","금","토"))</f>
        <v/>
      </c>
      <c r="D434" s="74" t="n"/>
      <c r="E434" s="130">
        <f>IF($D434="","",IFERROR(INDEX(코드설정!$D$5:$D$24,MATCH($D434,코드설정!$C$5:$C$24,0)),""))</f>
        <v/>
      </c>
      <c r="F434" s="74" t="n"/>
      <c r="G434" s="74" t="n"/>
      <c r="H434" s="36" t="n"/>
      <c r="I434" s="36" t="n"/>
      <c r="J434" s="74" t="n"/>
      <c r="K434" s="36" t="n"/>
    </row>
    <row r="435">
      <c r="A435" s="118">
        <f>IF($B435="","",COUNT($B$5:$B435))</f>
        <v/>
      </c>
      <c r="B435" s="80" t="n"/>
      <c r="C435" s="130">
        <f>IF($B435="","",CHOOSE(WEEKDAY($B435),"일","월","화","수","목","금","토"))</f>
        <v/>
      </c>
      <c r="D435" s="74" t="n"/>
      <c r="E435" s="130">
        <f>IF($D435="","",IFERROR(INDEX(코드설정!$D$5:$D$24,MATCH($D435,코드설정!$C$5:$C$24,0)),""))</f>
        <v/>
      </c>
      <c r="F435" s="74" t="n"/>
      <c r="G435" s="74" t="n"/>
      <c r="H435" s="36" t="n"/>
      <c r="I435" s="36" t="n"/>
      <c r="J435" s="74" t="n"/>
      <c r="K435" s="36" t="n"/>
    </row>
    <row r="436">
      <c r="A436" s="118">
        <f>IF($B436="","",COUNT($B$5:$B436))</f>
        <v/>
      </c>
      <c r="B436" s="80" t="n"/>
      <c r="C436" s="130">
        <f>IF($B436="","",CHOOSE(WEEKDAY($B436),"일","월","화","수","목","금","토"))</f>
        <v/>
      </c>
      <c r="D436" s="74" t="n"/>
      <c r="E436" s="130">
        <f>IF($D436="","",IFERROR(INDEX(코드설정!$D$5:$D$24,MATCH($D436,코드설정!$C$5:$C$24,0)),""))</f>
        <v/>
      </c>
      <c r="F436" s="74" t="n"/>
      <c r="G436" s="74" t="n"/>
      <c r="H436" s="36" t="n"/>
      <c r="I436" s="36" t="n"/>
      <c r="J436" s="74" t="n"/>
      <c r="K436" s="36" t="n"/>
    </row>
    <row r="437">
      <c r="A437" s="118">
        <f>IF($B437="","",COUNT($B$5:$B437))</f>
        <v/>
      </c>
      <c r="B437" s="80" t="n"/>
      <c r="C437" s="130">
        <f>IF($B437="","",CHOOSE(WEEKDAY($B437),"일","월","화","수","목","금","토"))</f>
        <v/>
      </c>
      <c r="D437" s="74" t="n"/>
      <c r="E437" s="130">
        <f>IF($D437="","",IFERROR(INDEX(코드설정!$D$5:$D$24,MATCH($D437,코드설정!$C$5:$C$24,0)),""))</f>
        <v/>
      </c>
      <c r="F437" s="74" t="n"/>
      <c r="G437" s="74" t="n"/>
      <c r="H437" s="36" t="n"/>
      <c r="I437" s="36" t="n"/>
      <c r="J437" s="74" t="n"/>
      <c r="K437" s="36" t="n"/>
    </row>
    <row r="438">
      <c r="A438" s="118">
        <f>IF($B438="","",COUNT($B$5:$B438))</f>
        <v/>
      </c>
      <c r="B438" s="80" t="n"/>
      <c r="C438" s="130">
        <f>IF($B438="","",CHOOSE(WEEKDAY($B438),"일","월","화","수","목","금","토"))</f>
        <v/>
      </c>
      <c r="D438" s="74" t="n"/>
      <c r="E438" s="130">
        <f>IF($D438="","",IFERROR(INDEX(코드설정!$D$5:$D$24,MATCH($D438,코드설정!$C$5:$C$24,0)),""))</f>
        <v/>
      </c>
      <c r="F438" s="74" t="n"/>
      <c r="G438" s="74" t="n"/>
      <c r="H438" s="36" t="n"/>
      <c r="I438" s="36" t="n"/>
      <c r="J438" s="74" t="n"/>
      <c r="K438" s="36" t="n"/>
    </row>
    <row r="439">
      <c r="A439" s="118">
        <f>IF($B439="","",COUNT($B$5:$B439))</f>
        <v/>
      </c>
      <c r="B439" s="80" t="n"/>
      <c r="C439" s="130">
        <f>IF($B439="","",CHOOSE(WEEKDAY($B439),"일","월","화","수","목","금","토"))</f>
        <v/>
      </c>
      <c r="D439" s="74" t="n"/>
      <c r="E439" s="130">
        <f>IF($D439="","",IFERROR(INDEX(코드설정!$D$5:$D$24,MATCH($D439,코드설정!$C$5:$C$24,0)),""))</f>
        <v/>
      </c>
      <c r="F439" s="74" t="n"/>
      <c r="G439" s="74" t="n"/>
      <c r="H439" s="36" t="n"/>
      <c r="I439" s="36" t="n"/>
      <c r="J439" s="74" t="n"/>
      <c r="K439" s="36" t="n"/>
    </row>
    <row r="440">
      <c r="A440" s="118">
        <f>IF($B440="","",COUNT($B$5:$B440))</f>
        <v/>
      </c>
      <c r="B440" s="80" t="n"/>
      <c r="C440" s="130">
        <f>IF($B440="","",CHOOSE(WEEKDAY($B440),"일","월","화","수","목","금","토"))</f>
        <v/>
      </c>
      <c r="D440" s="74" t="n"/>
      <c r="E440" s="130">
        <f>IF($D440="","",IFERROR(INDEX(코드설정!$D$5:$D$24,MATCH($D440,코드설정!$C$5:$C$24,0)),""))</f>
        <v/>
      </c>
      <c r="F440" s="74" t="n"/>
      <c r="G440" s="74" t="n"/>
      <c r="H440" s="36" t="n"/>
      <c r="I440" s="36" t="n"/>
      <c r="J440" s="74" t="n"/>
      <c r="K440" s="36" t="n"/>
    </row>
    <row r="441">
      <c r="A441" s="118">
        <f>IF($B441="","",COUNT($B$5:$B441))</f>
        <v/>
      </c>
      <c r="B441" s="80" t="n"/>
      <c r="C441" s="130">
        <f>IF($B441="","",CHOOSE(WEEKDAY($B441),"일","월","화","수","목","금","토"))</f>
        <v/>
      </c>
      <c r="D441" s="74" t="n"/>
      <c r="E441" s="130">
        <f>IF($D441="","",IFERROR(INDEX(코드설정!$D$5:$D$24,MATCH($D441,코드설정!$C$5:$C$24,0)),""))</f>
        <v/>
      </c>
      <c r="F441" s="74" t="n"/>
      <c r="G441" s="74" t="n"/>
      <c r="H441" s="36" t="n"/>
      <c r="I441" s="36" t="n"/>
      <c r="J441" s="74" t="n"/>
      <c r="K441" s="36" t="n"/>
    </row>
    <row r="442">
      <c r="A442" s="118">
        <f>IF($B442="","",COUNT($B$5:$B442))</f>
        <v/>
      </c>
      <c r="B442" s="80" t="n"/>
      <c r="C442" s="130">
        <f>IF($B442="","",CHOOSE(WEEKDAY($B442),"일","월","화","수","목","금","토"))</f>
        <v/>
      </c>
      <c r="D442" s="74" t="n"/>
      <c r="E442" s="130">
        <f>IF($D442="","",IFERROR(INDEX(코드설정!$D$5:$D$24,MATCH($D442,코드설정!$C$5:$C$24,0)),""))</f>
        <v/>
      </c>
      <c r="F442" s="74" t="n"/>
      <c r="G442" s="74" t="n"/>
      <c r="H442" s="36" t="n"/>
      <c r="I442" s="36" t="n"/>
      <c r="J442" s="74" t="n"/>
      <c r="K442" s="36" t="n"/>
    </row>
    <row r="443">
      <c r="A443" s="118">
        <f>IF($B443="","",COUNT($B$5:$B443))</f>
        <v/>
      </c>
      <c r="B443" s="80" t="n"/>
      <c r="C443" s="130">
        <f>IF($B443="","",CHOOSE(WEEKDAY($B443),"일","월","화","수","목","금","토"))</f>
        <v/>
      </c>
      <c r="D443" s="74" t="n"/>
      <c r="E443" s="130">
        <f>IF($D443="","",IFERROR(INDEX(코드설정!$D$5:$D$24,MATCH($D443,코드설정!$C$5:$C$24,0)),""))</f>
        <v/>
      </c>
      <c r="F443" s="74" t="n"/>
      <c r="G443" s="74" t="n"/>
      <c r="H443" s="36" t="n"/>
      <c r="I443" s="36" t="n"/>
      <c r="J443" s="74" t="n"/>
      <c r="K443" s="36" t="n"/>
    </row>
    <row r="444">
      <c r="A444" s="118">
        <f>IF($B444="","",COUNT($B$5:$B444))</f>
        <v/>
      </c>
      <c r="B444" s="80" t="n"/>
      <c r="C444" s="130">
        <f>IF($B444="","",CHOOSE(WEEKDAY($B444),"일","월","화","수","목","금","토"))</f>
        <v/>
      </c>
      <c r="D444" s="74" t="n"/>
      <c r="E444" s="130">
        <f>IF($D444="","",IFERROR(INDEX(코드설정!$D$5:$D$24,MATCH($D444,코드설정!$C$5:$C$24,0)),""))</f>
        <v/>
      </c>
      <c r="F444" s="74" t="n"/>
      <c r="G444" s="74" t="n"/>
      <c r="H444" s="36" t="n"/>
      <c r="I444" s="36" t="n"/>
      <c r="J444" s="74" t="n"/>
      <c r="K444" s="36" t="n"/>
    </row>
    <row r="445">
      <c r="A445" s="118">
        <f>IF($B445="","",COUNT($B$5:$B445))</f>
        <v/>
      </c>
      <c r="B445" s="80" t="n"/>
      <c r="C445" s="130">
        <f>IF($B445="","",CHOOSE(WEEKDAY($B445),"일","월","화","수","목","금","토"))</f>
        <v/>
      </c>
      <c r="D445" s="74" t="n"/>
      <c r="E445" s="130">
        <f>IF($D445="","",IFERROR(INDEX(코드설정!$D$5:$D$24,MATCH($D445,코드설정!$C$5:$C$24,0)),""))</f>
        <v/>
      </c>
      <c r="F445" s="74" t="n"/>
      <c r="G445" s="74" t="n"/>
      <c r="H445" s="36" t="n"/>
      <c r="I445" s="36" t="n"/>
      <c r="J445" s="74" t="n"/>
      <c r="K445" s="36" t="n"/>
    </row>
    <row r="446">
      <c r="A446" s="118">
        <f>IF($B446="","",COUNT($B$5:$B446))</f>
        <v/>
      </c>
      <c r="B446" s="80" t="n"/>
      <c r="C446" s="130">
        <f>IF($B446="","",CHOOSE(WEEKDAY($B446),"일","월","화","수","목","금","토"))</f>
        <v/>
      </c>
      <c r="D446" s="74" t="n"/>
      <c r="E446" s="130">
        <f>IF($D446="","",IFERROR(INDEX(코드설정!$D$5:$D$24,MATCH($D446,코드설정!$C$5:$C$24,0)),""))</f>
        <v/>
      </c>
      <c r="F446" s="74" t="n"/>
      <c r="G446" s="74" t="n"/>
      <c r="H446" s="36" t="n"/>
      <c r="I446" s="36" t="n"/>
      <c r="J446" s="74" t="n"/>
      <c r="K446" s="36" t="n"/>
    </row>
    <row r="447">
      <c r="A447" s="118">
        <f>IF($B447="","",COUNT($B$5:$B447))</f>
        <v/>
      </c>
      <c r="B447" s="80" t="n"/>
      <c r="C447" s="130">
        <f>IF($B447="","",CHOOSE(WEEKDAY($B447),"일","월","화","수","목","금","토"))</f>
        <v/>
      </c>
      <c r="D447" s="74" t="n"/>
      <c r="E447" s="130">
        <f>IF($D447="","",IFERROR(INDEX(코드설정!$D$5:$D$24,MATCH($D447,코드설정!$C$5:$C$24,0)),""))</f>
        <v/>
      </c>
      <c r="F447" s="74" t="n"/>
      <c r="G447" s="74" t="n"/>
      <c r="H447" s="36" t="n"/>
      <c r="I447" s="36" t="n"/>
      <c r="J447" s="74" t="n"/>
      <c r="K447" s="36" t="n"/>
    </row>
    <row r="448">
      <c r="A448" s="118">
        <f>IF($B448="","",COUNT($B$5:$B448))</f>
        <v/>
      </c>
      <c r="B448" s="80" t="n"/>
      <c r="C448" s="130">
        <f>IF($B448="","",CHOOSE(WEEKDAY($B448),"일","월","화","수","목","금","토"))</f>
        <v/>
      </c>
      <c r="D448" s="74" t="n"/>
      <c r="E448" s="130">
        <f>IF($D448="","",IFERROR(INDEX(코드설정!$D$5:$D$24,MATCH($D448,코드설정!$C$5:$C$24,0)),""))</f>
        <v/>
      </c>
      <c r="F448" s="74" t="n"/>
      <c r="G448" s="74" t="n"/>
      <c r="H448" s="36" t="n"/>
      <c r="I448" s="36" t="n"/>
      <c r="J448" s="74" t="n"/>
      <c r="K448" s="36" t="n"/>
    </row>
    <row r="449">
      <c r="A449" s="118">
        <f>IF($B449="","",COUNT($B$5:$B449))</f>
        <v/>
      </c>
      <c r="B449" s="80" t="n"/>
      <c r="C449" s="130">
        <f>IF($B449="","",CHOOSE(WEEKDAY($B449),"일","월","화","수","목","금","토"))</f>
        <v/>
      </c>
      <c r="D449" s="74" t="n"/>
      <c r="E449" s="130">
        <f>IF($D449="","",IFERROR(INDEX(코드설정!$D$5:$D$24,MATCH($D449,코드설정!$C$5:$C$24,0)),""))</f>
        <v/>
      </c>
      <c r="F449" s="74" t="n"/>
      <c r="G449" s="74" t="n"/>
      <c r="H449" s="36" t="n"/>
      <c r="I449" s="36" t="n"/>
      <c r="J449" s="74" t="n"/>
      <c r="K449" s="36" t="n"/>
    </row>
    <row r="450">
      <c r="A450" s="118">
        <f>IF($B450="","",COUNT($B$5:$B450))</f>
        <v/>
      </c>
      <c r="B450" s="80" t="n"/>
      <c r="C450" s="130">
        <f>IF($B450="","",CHOOSE(WEEKDAY($B450),"일","월","화","수","목","금","토"))</f>
        <v/>
      </c>
      <c r="D450" s="74" t="n"/>
      <c r="E450" s="130">
        <f>IF($D450="","",IFERROR(INDEX(코드설정!$D$5:$D$24,MATCH($D450,코드설정!$C$5:$C$24,0)),""))</f>
        <v/>
      </c>
      <c r="F450" s="74" t="n"/>
      <c r="G450" s="74" t="n"/>
      <c r="H450" s="36" t="n"/>
      <c r="I450" s="36" t="n"/>
      <c r="J450" s="74" t="n"/>
      <c r="K450" s="36" t="n"/>
    </row>
    <row r="451">
      <c r="A451" s="118">
        <f>IF($B451="","",COUNT($B$5:$B451))</f>
        <v/>
      </c>
      <c r="B451" s="80" t="n"/>
      <c r="C451" s="130">
        <f>IF($B451="","",CHOOSE(WEEKDAY($B451),"일","월","화","수","목","금","토"))</f>
        <v/>
      </c>
      <c r="D451" s="74" t="n"/>
      <c r="E451" s="130">
        <f>IF($D451="","",IFERROR(INDEX(코드설정!$D$5:$D$24,MATCH($D451,코드설정!$C$5:$C$24,0)),""))</f>
        <v/>
      </c>
      <c r="F451" s="74" t="n"/>
      <c r="G451" s="74" t="n"/>
      <c r="H451" s="36" t="n"/>
      <c r="I451" s="36" t="n"/>
      <c r="J451" s="74" t="n"/>
      <c r="K451" s="36" t="n"/>
    </row>
    <row r="452">
      <c r="A452" s="118">
        <f>IF($B452="","",COUNT($B$5:$B452))</f>
        <v/>
      </c>
      <c r="B452" s="80" t="n"/>
      <c r="C452" s="130">
        <f>IF($B452="","",CHOOSE(WEEKDAY($B452),"일","월","화","수","목","금","토"))</f>
        <v/>
      </c>
      <c r="D452" s="74" t="n"/>
      <c r="E452" s="130">
        <f>IF($D452="","",IFERROR(INDEX(코드설정!$D$5:$D$24,MATCH($D452,코드설정!$C$5:$C$24,0)),""))</f>
        <v/>
      </c>
      <c r="F452" s="74" t="n"/>
      <c r="G452" s="74" t="n"/>
      <c r="H452" s="36" t="n"/>
      <c r="I452" s="36" t="n"/>
      <c r="J452" s="74" t="n"/>
      <c r="K452" s="36" t="n"/>
    </row>
    <row r="453">
      <c r="A453" s="118">
        <f>IF($B453="","",COUNT($B$5:$B453))</f>
        <v/>
      </c>
      <c r="B453" s="80" t="n"/>
      <c r="C453" s="130">
        <f>IF($B453="","",CHOOSE(WEEKDAY($B453),"일","월","화","수","목","금","토"))</f>
        <v/>
      </c>
      <c r="D453" s="74" t="n"/>
      <c r="E453" s="130">
        <f>IF($D453="","",IFERROR(INDEX(코드설정!$D$5:$D$24,MATCH($D453,코드설정!$C$5:$C$24,0)),""))</f>
        <v/>
      </c>
      <c r="F453" s="74" t="n"/>
      <c r="G453" s="74" t="n"/>
      <c r="H453" s="36" t="n"/>
      <c r="I453" s="36" t="n"/>
      <c r="J453" s="74" t="n"/>
      <c r="K453" s="36" t="n"/>
    </row>
    <row r="454">
      <c r="A454" s="118">
        <f>IF($B454="","",COUNT($B$5:$B454))</f>
        <v/>
      </c>
      <c r="B454" s="80" t="n"/>
      <c r="C454" s="130">
        <f>IF($B454="","",CHOOSE(WEEKDAY($B454),"일","월","화","수","목","금","토"))</f>
        <v/>
      </c>
      <c r="D454" s="74" t="n"/>
      <c r="E454" s="130">
        <f>IF($D454="","",IFERROR(INDEX(코드설정!$D$5:$D$24,MATCH($D454,코드설정!$C$5:$C$24,0)),""))</f>
        <v/>
      </c>
      <c r="F454" s="74" t="n"/>
      <c r="G454" s="74" t="n"/>
      <c r="H454" s="36" t="n"/>
      <c r="I454" s="36" t="n"/>
      <c r="J454" s="74" t="n"/>
      <c r="K454" s="36" t="n"/>
    </row>
    <row r="455">
      <c r="A455" s="118">
        <f>IF($B455="","",COUNT($B$5:$B455))</f>
        <v/>
      </c>
      <c r="B455" s="80" t="n"/>
      <c r="C455" s="130">
        <f>IF($B455="","",CHOOSE(WEEKDAY($B455),"일","월","화","수","목","금","토"))</f>
        <v/>
      </c>
      <c r="D455" s="74" t="n"/>
      <c r="E455" s="130">
        <f>IF($D455="","",IFERROR(INDEX(코드설정!$D$5:$D$24,MATCH($D455,코드설정!$C$5:$C$24,0)),""))</f>
        <v/>
      </c>
      <c r="F455" s="74" t="n"/>
      <c r="G455" s="74" t="n"/>
      <c r="H455" s="36" t="n"/>
      <c r="I455" s="36" t="n"/>
      <c r="J455" s="74" t="n"/>
      <c r="K455" s="36" t="n"/>
    </row>
    <row r="456">
      <c r="A456" s="118">
        <f>IF($B456="","",COUNT($B$5:$B456))</f>
        <v/>
      </c>
      <c r="B456" s="80" t="n"/>
      <c r="C456" s="130">
        <f>IF($B456="","",CHOOSE(WEEKDAY($B456),"일","월","화","수","목","금","토"))</f>
        <v/>
      </c>
      <c r="D456" s="74" t="n"/>
      <c r="E456" s="130">
        <f>IF($D456="","",IFERROR(INDEX(코드설정!$D$5:$D$24,MATCH($D456,코드설정!$C$5:$C$24,0)),""))</f>
        <v/>
      </c>
      <c r="F456" s="74" t="n"/>
      <c r="G456" s="74" t="n"/>
      <c r="H456" s="36" t="n"/>
      <c r="I456" s="36" t="n"/>
      <c r="J456" s="74" t="n"/>
      <c r="K456" s="36" t="n"/>
    </row>
    <row r="457">
      <c r="A457" s="118">
        <f>IF($B457="","",COUNT($B$5:$B457))</f>
        <v/>
      </c>
      <c r="B457" s="80" t="n"/>
      <c r="C457" s="130">
        <f>IF($B457="","",CHOOSE(WEEKDAY($B457),"일","월","화","수","목","금","토"))</f>
        <v/>
      </c>
      <c r="D457" s="74" t="n"/>
      <c r="E457" s="130">
        <f>IF($D457="","",IFERROR(INDEX(코드설정!$D$5:$D$24,MATCH($D457,코드설정!$C$5:$C$24,0)),""))</f>
        <v/>
      </c>
      <c r="F457" s="74" t="n"/>
      <c r="G457" s="74" t="n"/>
      <c r="H457" s="36" t="n"/>
      <c r="I457" s="36" t="n"/>
      <c r="J457" s="74" t="n"/>
      <c r="K457" s="36" t="n"/>
    </row>
    <row r="458">
      <c r="A458" s="118">
        <f>IF($B458="","",COUNT($B$5:$B458))</f>
        <v/>
      </c>
      <c r="B458" s="80" t="n"/>
      <c r="C458" s="130">
        <f>IF($B458="","",CHOOSE(WEEKDAY($B458),"일","월","화","수","목","금","토"))</f>
        <v/>
      </c>
      <c r="D458" s="74" t="n"/>
      <c r="E458" s="130">
        <f>IF($D458="","",IFERROR(INDEX(코드설정!$D$5:$D$24,MATCH($D458,코드설정!$C$5:$C$24,0)),""))</f>
        <v/>
      </c>
      <c r="F458" s="74" t="n"/>
      <c r="G458" s="74" t="n"/>
      <c r="H458" s="36" t="n"/>
      <c r="I458" s="36" t="n"/>
      <c r="J458" s="74" t="n"/>
      <c r="K458" s="36" t="n"/>
    </row>
    <row r="459">
      <c r="A459" s="118">
        <f>IF($B459="","",COUNT($B$5:$B459))</f>
        <v/>
      </c>
      <c r="B459" s="80" t="n"/>
      <c r="C459" s="130">
        <f>IF($B459="","",CHOOSE(WEEKDAY($B459),"일","월","화","수","목","금","토"))</f>
        <v/>
      </c>
      <c r="D459" s="74" t="n"/>
      <c r="E459" s="130">
        <f>IF($D459="","",IFERROR(INDEX(코드설정!$D$5:$D$24,MATCH($D459,코드설정!$C$5:$C$24,0)),""))</f>
        <v/>
      </c>
      <c r="F459" s="74" t="n"/>
      <c r="G459" s="74" t="n"/>
      <c r="H459" s="36" t="n"/>
      <c r="I459" s="36" t="n"/>
      <c r="J459" s="74" t="n"/>
      <c r="K459" s="36" t="n"/>
    </row>
    <row r="460">
      <c r="A460" s="118">
        <f>IF($B460="","",COUNT($B$5:$B460))</f>
        <v/>
      </c>
      <c r="B460" s="80" t="n"/>
      <c r="C460" s="130">
        <f>IF($B460="","",CHOOSE(WEEKDAY($B460),"일","월","화","수","목","금","토"))</f>
        <v/>
      </c>
      <c r="D460" s="74" t="n"/>
      <c r="E460" s="130">
        <f>IF($D460="","",IFERROR(INDEX(코드설정!$D$5:$D$24,MATCH($D460,코드설정!$C$5:$C$24,0)),""))</f>
        <v/>
      </c>
      <c r="F460" s="74" t="n"/>
      <c r="G460" s="74" t="n"/>
      <c r="H460" s="36" t="n"/>
      <c r="I460" s="36" t="n"/>
      <c r="J460" s="74" t="n"/>
      <c r="K460" s="36" t="n"/>
    </row>
    <row r="461">
      <c r="A461" s="118">
        <f>IF($B461="","",COUNT($B$5:$B461))</f>
        <v/>
      </c>
      <c r="B461" s="80" t="n"/>
      <c r="C461" s="130">
        <f>IF($B461="","",CHOOSE(WEEKDAY($B461),"일","월","화","수","목","금","토"))</f>
        <v/>
      </c>
      <c r="D461" s="74" t="n"/>
      <c r="E461" s="130">
        <f>IF($D461="","",IFERROR(INDEX(코드설정!$D$5:$D$24,MATCH($D461,코드설정!$C$5:$C$24,0)),""))</f>
        <v/>
      </c>
      <c r="F461" s="74" t="n"/>
      <c r="G461" s="74" t="n"/>
      <c r="H461" s="36" t="n"/>
      <c r="I461" s="36" t="n"/>
      <c r="J461" s="74" t="n"/>
      <c r="K461" s="36" t="n"/>
    </row>
    <row r="462">
      <c r="A462" s="118">
        <f>IF($B462="","",COUNT($B$5:$B462))</f>
        <v/>
      </c>
      <c r="B462" s="80" t="n"/>
      <c r="C462" s="130">
        <f>IF($B462="","",CHOOSE(WEEKDAY($B462),"일","월","화","수","목","금","토"))</f>
        <v/>
      </c>
      <c r="D462" s="74" t="n"/>
      <c r="E462" s="130">
        <f>IF($D462="","",IFERROR(INDEX(코드설정!$D$5:$D$24,MATCH($D462,코드설정!$C$5:$C$24,0)),""))</f>
        <v/>
      </c>
      <c r="F462" s="74" t="n"/>
      <c r="G462" s="74" t="n"/>
      <c r="H462" s="36" t="n"/>
      <c r="I462" s="36" t="n"/>
      <c r="J462" s="74" t="n"/>
      <c r="K462" s="36" t="n"/>
    </row>
    <row r="463">
      <c r="A463" s="118">
        <f>IF($B463="","",COUNT($B$5:$B463))</f>
        <v/>
      </c>
      <c r="B463" s="80" t="n"/>
      <c r="C463" s="130">
        <f>IF($B463="","",CHOOSE(WEEKDAY($B463),"일","월","화","수","목","금","토"))</f>
        <v/>
      </c>
      <c r="D463" s="74" t="n"/>
      <c r="E463" s="130">
        <f>IF($D463="","",IFERROR(INDEX(코드설정!$D$5:$D$24,MATCH($D463,코드설정!$C$5:$C$24,0)),""))</f>
        <v/>
      </c>
      <c r="F463" s="74" t="n"/>
      <c r="G463" s="74" t="n"/>
      <c r="H463" s="36" t="n"/>
      <c r="I463" s="36" t="n"/>
      <c r="J463" s="74" t="n"/>
      <c r="K463" s="36" t="n"/>
    </row>
    <row r="464">
      <c r="A464" s="118">
        <f>IF($B464="","",COUNT($B$5:$B464))</f>
        <v/>
      </c>
      <c r="B464" s="80" t="n"/>
      <c r="C464" s="130">
        <f>IF($B464="","",CHOOSE(WEEKDAY($B464),"일","월","화","수","목","금","토"))</f>
        <v/>
      </c>
      <c r="D464" s="74" t="n"/>
      <c r="E464" s="130">
        <f>IF($D464="","",IFERROR(INDEX(코드설정!$D$5:$D$24,MATCH($D464,코드설정!$C$5:$C$24,0)),""))</f>
        <v/>
      </c>
      <c r="F464" s="74" t="n"/>
      <c r="G464" s="74" t="n"/>
      <c r="H464" s="36" t="n"/>
      <c r="I464" s="36" t="n"/>
      <c r="J464" s="74" t="n"/>
      <c r="K464" s="36" t="n"/>
    </row>
    <row r="465">
      <c r="A465" s="118">
        <f>IF($B465="","",COUNT($B$5:$B465))</f>
        <v/>
      </c>
      <c r="B465" s="80" t="n"/>
      <c r="C465" s="130">
        <f>IF($B465="","",CHOOSE(WEEKDAY($B465),"일","월","화","수","목","금","토"))</f>
        <v/>
      </c>
      <c r="D465" s="74" t="n"/>
      <c r="E465" s="130">
        <f>IF($D465="","",IFERROR(INDEX(코드설정!$D$5:$D$24,MATCH($D465,코드설정!$C$5:$C$24,0)),""))</f>
        <v/>
      </c>
      <c r="F465" s="74" t="n"/>
      <c r="G465" s="74" t="n"/>
      <c r="H465" s="36" t="n"/>
      <c r="I465" s="36" t="n"/>
      <c r="J465" s="74" t="n"/>
      <c r="K465" s="36" t="n"/>
    </row>
    <row r="466">
      <c r="A466" s="118">
        <f>IF($B466="","",COUNT($B$5:$B466))</f>
        <v/>
      </c>
      <c r="B466" s="80" t="n"/>
      <c r="C466" s="130">
        <f>IF($B466="","",CHOOSE(WEEKDAY($B466),"일","월","화","수","목","금","토"))</f>
        <v/>
      </c>
      <c r="D466" s="74" t="n"/>
      <c r="E466" s="130">
        <f>IF($D466="","",IFERROR(INDEX(코드설정!$D$5:$D$24,MATCH($D466,코드설정!$C$5:$C$24,0)),""))</f>
        <v/>
      </c>
      <c r="F466" s="74" t="n"/>
      <c r="G466" s="74" t="n"/>
      <c r="H466" s="36" t="n"/>
      <c r="I466" s="36" t="n"/>
      <c r="J466" s="74" t="n"/>
      <c r="K466" s="36" t="n"/>
    </row>
    <row r="467">
      <c r="A467" s="118">
        <f>IF($B467="","",COUNT($B$5:$B467))</f>
        <v/>
      </c>
      <c r="B467" s="80" t="n"/>
      <c r="C467" s="130">
        <f>IF($B467="","",CHOOSE(WEEKDAY($B467),"일","월","화","수","목","금","토"))</f>
        <v/>
      </c>
      <c r="D467" s="74" t="n"/>
      <c r="E467" s="130">
        <f>IF($D467="","",IFERROR(INDEX(코드설정!$D$5:$D$24,MATCH($D467,코드설정!$C$5:$C$24,0)),""))</f>
        <v/>
      </c>
      <c r="F467" s="74" t="n"/>
      <c r="G467" s="74" t="n"/>
      <c r="H467" s="36" t="n"/>
      <c r="I467" s="36" t="n"/>
      <c r="J467" s="74" t="n"/>
      <c r="K467" s="36" t="n"/>
    </row>
    <row r="468">
      <c r="A468" s="118">
        <f>IF($B468="","",COUNT($B$5:$B468))</f>
        <v/>
      </c>
      <c r="B468" s="80" t="n"/>
      <c r="C468" s="130">
        <f>IF($B468="","",CHOOSE(WEEKDAY($B468),"일","월","화","수","목","금","토"))</f>
        <v/>
      </c>
      <c r="D468" s="74" t="n"/>
      <c r="E468" s="130">
        <f>IF($D468="","",IFERROR(INDEX(코드설정!$D$5:$D$24,MATCH($D468,코드설정!$C$5:$C$24,0)),""))</f>
        <v/>
      </c>
      <c r="F468" s="74" t="n"/>
      <c r="G468" s="74" t="n"/>
      <c r="H468" s="36" t="n"/>
      <c r="I468" s="36" t="n"/>
      <c r="J468" s="74" t="n"/>
      <c r="K468" s="36" t="n"/>
    </row>
    <row r="469">
      <c r="A469" s="118">
        <f>IF($B469="","",COUNT($B$5:$B469))</f>
        <v/>
      </c>
      <c r="B469" s="80" t="n"/>
      <c r="C469" s="130">
        <f>IF($B469="","",CHOOSE(WEEKDAY($B469),"일","월","화","수","목","금","토"))</f>
        <v/>
      </c>
      <c r="D469" s="74" t="n"/>
      <c r="E469" s="130">
        <f>IF($D469="","",IFERROR(INDEX(코드설정!$D$5:$D$24,MATCH($D469,코드설정!$C$5:$C$24,0)),""))</f>
        <v/>
      </c>
      <c r="F469" s="74" t="n"/>
      <c r="G469" s="74" t="n"/>
      <c r="H469" s="36" t="n"/>
      <c r="I469" s="36" t="n"/>
      <c r="J469" s="74" t="n"/>
      <c r="K469" s="36" t="n"/>
    </row>
    <row r="470">
      <c r="A470" s="118">
        <f>IF($B470="","",COUNT($B$5:$B470))</f>
        <v/>
      </c>
      <c r="B470" s="80" t="n"/>
      <c r="C470" s="130">
        <f>IF($B470="","",CHOOSE(WEEKDAY($B470),"일","월","화","수","목","금","토"))</f>
        <v/>
      </c>
      <c r="D470" s="74" t="n"/>
      <c r="E470" s="130">
        <f>IF($D470="","",IFERROR(INDEX(코드설정!$D$5:$D$24,MATCH($D470,코드설정!$C$5:$C$24,0)),""))</f>
        <v/>
      </c>
      <c r="F470" s="74" t="n"/>
      <c r="G470" s="74" t="n"/>
      <c r="H470" s="36" t="n"/>
      <c r="I470" s="36" t="n"/>
      <c r="J470" s="74" t="n"/>
      <c r="K470" s="36" t="n"/>
    </row>
    <row r="471">
      <c r="A471" s="118">
        <f>IF($B471="","",COUNT($B$5:$B471))</f>
        <v/>
      </c>
      <c r="B471" s="80" t="n"/>
      <c r="C471" s="130">
        <f>IF($B471="","",CHOOSE(WEEKDAY($B471),"일","월","화","수","목","금","토"))</f>
        <v/>
      </c>
      <c r="D471" s="74" t="n"/>
      <c r="E471" s="130">
        <f>IF($D471="","",IFERROR(INDEX(코드설정!$D$5:$D$24,MATCH($D471,코드설정!$C$5:$C$24,0)),""))</f>
        <v/>
      </c>
      <c r="F471" s="74" t="n"/>
      <c r="G471" s="74" t="n"/>
      <c r="H471" s="36" t="n"/>
      <c r="I471" s="36" t="n"/>
      <c r="J471" s="74" t="n"/>
      <c r="K471" s="36" t="n"/>
    </row>
    <row r="472">
      <c r="A472" s="118">
        <f>IF($B472="","",COUNT($B$5:$B472))</f>
        <v/>
      </c>
      <c r="B472" s="80" t="n"/>
      <c r="C472" s="130">
        <f>IF($B472="","",CHOOSE(WEEKDAY($B472),"일","월","화","수","목","금","토"))</f>
        <v/>
      </c>
      <c r="D472" s="74" t="n"/>
      <c r="E472" s="130">
        <f>IF($D472="","",IFERROR(INDEX(코드설정!$D$5:$D$24,MATCH($D472,코드설정!$C$5:$C$24,0)),""))</f>
        <v/>
      </c>
      <c r="F472" s="74" t="n"/>
      <c r="G472" s="74" t="n"/>
      <c r="H472" s="36" t="n"/>
      <c r="I472" s="36" t="n"/>
      <c r="J472" s="74" t="n"/>
      <c r="K472" s="36" t="n"/>
    </row>
    <row r="473">
      <c r="A473" s="118">
        <f>IF($B473="","",COUNT($B$5:$B473))</f>
        <v/>
      </c>
      <c r="B473" s="80" t="n"/>
      <c r="C473" s="130">
        <f>IF($B473="","",CHOOSE(WEEKDAY($B473),"일","월","화","수","목","금","토"))</f>
        <v/>
      </c>
      <c r="D473" s="74" t="n"/>
      <c r="E473" s="130">
        <f>IF($D473="","",IFERROR(INDEX(코드설정!$D$5:$D$24,MATCH($D473,코드설정!$C$5:$C$24,0)),""))</f>
        <v/>
      </c>
      <c r="F473" s="74" t="n"/>
      <c r="G473" s="74" t="n"/>
      <c r="H473" s="36" t="n"/>
      <c r="I473" s="36" t="n"/>
      <c r="J473" s="74" t="n"/>
      <c r="K473" s="36" t="n"/>
    </row>
    <row r="474">
      <c r="A474" s="118">
        <f>IF($B474="","",COUNT($B$5:$B474))</f>
        <v/>
      </c>
      <c r="B474" s="80" t="n"/>
      <c r="C474" s="130">
        <f>IF($B474="","",CHOOSE(WEEKDAY($B474),"일","월","화","수","목","금","토"))</f>
        <v/>
      </c>
      <c r="D474" s="74" t="n"/>
      <c r="E474" s="130">
        <f>IF($D474="","",IFERROR(INDEX(코드설정!$D$5:$D$24,MATCH($D474,코드설정!$C$5:$C$24,0)),""))</f>
        <v/>
      </c>
      <c r="F474" s="74" t="n"/>
      <c r="G474" s="74" t="n"/>
      <c r="H474" s="36" t="n"/>
      <c r="I474" s="36" t="n"/>
      <c r="J474" s="74" t="n"/>
      <c r="K474" s="36" t="n"/>
    </row>
    <row r="475">
      <c r="A475" s="118">
        <f>IF($B475="","",COUNT($B$5:$B475))</f>
        <v/>
      </c>
      <c r="B475" s="80" t="n"/>
      <c r="C475" s="130">
        <f>IF($B475="","",CHOOSE(WEEKDAY($B475),"일","월","화","수","목","금","토"))</f>
        <v/>
      </c>
      <c r="D475" s="74" t="n"/>
      <c r="E475" s="130">
        <f>IF($D475="","",IFERROR(INDEX(코드설정!$D$5:$D$24,MATCH($D475,코드설정!$C$5:$C$24,0)),""))</f>
        <v/>
      </c>
      <c r="F475" s="74" t="n"/>
      <c r="G475" s="74" t="n"/>
      <c r="H475" s="36" t="n"/>
      <c r="I475" s="36" t="n"/>
      <c r="J475" s="74" t="n"/>
      <c r="K475" s="36" t="n"/>
    </row>
    <row r="476">
      <c r="A476" s="118">
        <f>IF($B476="","",COUNT($B$5:$B476))</f>
        <v/>
      </c>
      <c r="B476" s="80" t="n"/>
      <c r="C476" s="130">
        <f>IF($B476="","",CHOOSE(WEEKDAY($B476),"일","월","화","수","목","금","토"))</f>
        <v/>
      </c>
      <c r="D476" s="74" t="n"/>
      <c r="E476" s="130">
        <f>IF($D476="","",IFERROR(INDEX(코드설정!$D$5:$D$24,MATCH($D476,코드설정!$C$5:$C$24,0)),""))</f>
        <v/>
      </c>
      <c r="F476" s="74" t="n"/>
      <c r="G476" s="74" t="n"/>
      <c r="H476" s="36" t="n"/>
      <c r="I476" s="36" t="n"/>
      <c r="J476" s="74" t="n"/>
      <c r="K476" s="36" t="n"/>
    </row>
    <row r="477">
      <c r="A477" s="118">
        <f>IF($B477="","",COUNT($B$5:$B477))</f>
        <v/>
      </c>
      <c r="B477" s="80" t="n"/>
      <c r="C477" s="130">
        <f>IF($B477="","",CHOOSE(WEEKDAY($B477),"일","월","화","수","목","금","토"))</f>
        <v/>
      </c>
      <c r="D477" s="74" t="n"/>
      <c r="E477" s="130">
        <f>IF($D477="","",IFERROR(INDEX(코드설정!$D$5:$D$24,MATCH($D477,코드설정!$C$5:$C$24,0)),""))</f>
        <v/>
      </c>
      <c r="F477" s="74" t="n"/>
      <c r="G477" s="74" t="n"/>
      <c r="H477" s="36" t="n"/>
      <c r="I477" s="36" t="n"/>
      <c r="J477" s="74" t="n"/>
      <c r="K477" s="36" t="n"/>
    </row>
    <row r="478">
      <c r="A478" s="118">
        <f>IF($B478="","",COUNT($B$5:$B478))</f>
        <v/>
      </c>
      <c r="B478" s="80" t="n"/>
      <c r="C478" s="130">
        <f>IF($B478="","",CHOOSE(WEEKDAY($B478),"일","월","화","수","목","금","토"))</f>
        <v/>
      </c>
      <c r="D478" s="74" t="n"/>
      <c r="E478" s="130">
        <f>IF($D478="","",IFERROR(INDEX(코드설정!$D$5:$D$24,MATCH($D478,코드설정!$C$5:$C$24,0)),""))</f>
        <v/>
      </c>
      <c r="F478" s="74" t="n"/>
      <c r="G478" s="74" t="n"/>
      <c r="H478" s="36" t="n"/>
      <c r="I478" s="36" t="n"/>
      <c r="J478" s="74" t="n"/>
      <c r="K478" s="36" t="n"/>
    </row>
    <row r="479">
      <c r="A479" s="118">
        <f>IF($B479="","",COUNT($B$5:$B479))</f>
        <v/>
      </c>
      <c r="B479" s="80" t="n"/>
      <c r="C479" s="130">
        <f>IF($B479="","",CHOOSE(WEEKDAY($B479),"일","월","화","수","목","금","토"))</f>
        <v/>
      </c>
      <c r="D479" s="74" t="n"/>
      <c r="E479" s="130">
        <f>IF($D479="","",IFERROR(INDEX(코드설정!$D$5:$D$24,MATCH($D479,코드설정!$C$5:$C$24,0)),""))</f>
        <v/>
      </c>
      <c r="F479" s="74" t="n"/>
      <c r="G479" s="74" t="n"/>
      <c r="H479" s="36" t="n"/>
      <c r="I479" s="36" t="n"/>
      <c r="J479" s="74" t="n"/>
      <c r="K479" s="36" t="n"/>
    </row>
    <row r="480">
      <c r="A480" s="118">
        <f>IF($B480="","",COUNT($B$5:$B480))</f>
        <v/>
      </c>
      <c r="B480" s="80" t="n"/>
      <c r="C480" s="130">
        <f>IF($B480="","",CHOOSE(WEEKDAY($B480),"일","월","화","수","목","금","토"))</f>
        <v/>
      </c>
      <c r="D480" s="74" t="n"/>
      <c r="E480" s="130">
        <f>IF($D480="","",IFERROR(INDEX(코드설정!$D$5:$D$24,MATCH($D480,코드설정!$C$5:$C$24,0)),""))</f>
        <v/>
      </c>
      <c r="F480" s="74" t="n"/>
      <c r="G480" s="74" t="n"/>
      <c r="H480" s="36" t="n"/>
      <c r="I480" s="36" t="n"/>
      <c r="J480" s="74" t="n"/>
      <c r="K480" s="36" t="n"/>
    </row>
    <row r="481">
      <c r="A481" s="118">
        <f>IF($B481="","",COUNT($B$5:$B481))</f>
        <v/>
      </c>
      <c r="B481" s="80" t="n"/>
      <c r="C481" s="130">
        <f>IF($B481="","",CHOOSE(WEEKDAY($B481),"일","월","화","수","목","금","토"))</f>
        <v/>
      </c>
      <c r="D481" s="74" t="n"/>
      <c r="E481" s="130">
        <f>IF($D481="","",IFERROR(INDEX(코드설정!$D$5:$D$24,MATCH($D481,코드설정!$C$5:$C$24,0)),""))</f>
        <v/>
      </c>
      <c r="F481" s="74" t="n"/>
      <c r="G481" s="74" t="n"/>
      <c r="H481" s="36" t="n"/>
      <c r="I481" s="36" t="n"/>
      <c r="J481" s="74" t="n"/>
      <c r="K481" s="36" t="n"/>
    </row>
    <row r="482">
      <c r="A482" s="118">
        <f>IF($B482="","",COUNT($B$5:$B482))</f>
        <v/>
      </c>
      <c r="B482" s="80" t="n"/>
      <c r="C482" s="130">
        <f>IF($B482="","",CHOOSE(WEEKDAY($B482),"일","월","화","수","목","금","토"))</f>
        <v/>
      </c>
      <c r="D482" s="74" t="n"/>
      <c r="E482" s="130">
        <f>IF($D482="","",IFERROR(INDEX(코드설정!$D$5:$D$24,MATCH($D482,코드설정!$C$5:$C$24,0)),""))</f>
        <v/>
      </c>
      <c r="F482" s="74" t="n"/>
      <c r="G482" s="74" t="n"/>
      <c r="H482" s="36" t="n"/>
      <c r="I482" s="36" t="n"/>
      <c r="J482" s="74" t="n"/>
      <c r="K482" s="36" t="n"/>
    </row>
    <row r="483">
      <c r="A483" s="118">
        <f>IF($B483="","",COUNT($B$5:$B483))</f>
        <v/>
      </c>
      <c r="B483" s="80" t="n"/>
      <c r="C483" s="130">
        <f>IF($B483="","",CHOOSE(WEEKDAY($B483),"일","월","화","수","목","금","토"))</f>
        <v/>
      </c>
      <c r="D483" s="74" t="n"/>
      <c r="E483" s="130">
        <f>IF($D483="","",IFERROR(INDEX(코드설정!$D$5:$D$24,MATCH($D483,코드설정!$C$5:$C$24,0)),""))</f>
        <v/>
      </c>
      <c r="F483" s="74" t="n"/>
      <c r="G483" s="74" t="n"/>
      <c r="H483" s="36" t="n"/>
      <c r="I483" s="36" t="n"/>
      <c r="J483" s="74" t="n"/>
      <c r="K483" s="36" t="n"/>
    </row>
    <row r="484">
      <c r="A484" s="118">
        <f>IF($B484="","",COUNT($B$5:$B484))</f>
        <v/>
      </c>
      <c r="B484" s="80" t="n"/>
      <c r="C484" s="130">
        <f>IF($B484="","",CHOOSE(WEEKDAY($B484),"일","월","화","수","목","금","토"))</f>
        <v/>
      </c>
      <c r="D484" s="74" t="n"/>
      <c r="E484" s="130">
        <f>IF($D484="","",IFERROR(INDEX(코드설정!$D$5:$D$24,MATCH($D484,코드설정!$C$5:$C$24,0)),""))</f>
        <v/>
      </c>
      <c r="F484" s="74" t="n"/>
      <c r="G484" s="74" t="n"/>
      <c r="H484" s="36" t="n"/>
      <c r="I484" s="36" t="n"/>
      <c r="J484" s="74" t="n"/>
      <c r="K484" s="36" t="n"/>
    </row>
    <row r="485">
      <c r="A485" s="118">
        <f>IF($B485="","",COUNT($B$5:$B485))</f>
        <v/>
      </c>
      <c r="B485" s="80" t="n"/>
      <c r="C485" s="130">
        <f>IF($B485="","",CHOOSE(WEEKDAY($B485),"일","월","화","수","목","금","토"))</f>
        <v/>
      </c>
      <c r="D485" s="74" t="n"/>
      <c r="E485" s="130">
        <f>IF($D485="","",IFERROR(INDEX(코드설정!$D$5:$D$24,MATCH($D485,코드설정!$C$5:$C$24,0)),""))</f>
        <v/>
      </c>
      <c r="F485" s="74" t="n"/>
      <c r="G485" s="74" t="n"/>
      <c r="H485" s="36" t="n"/>
      <c r="I485" s="36" t="n"/>
      <c r="J485" s="74" t="n"/>
      <c r="K485" s="36" t="n"/>
    </row>
    <row r="486">
      <c r="A486" s="118">
        <f>IF($B486="","",COUNT($B$5:$B486))</f>
        <v/>
      </c>
      <c r="B486" s="80" t="n"/>
      <c r="C486" s="130">
        <f>IF($B486="","",CHOOSE(WEEKDAY($B486),"일","월","화","수","목","금","토"))</f>
        <v/>
      </c>
      <c r="D486" s="74" t="n"/>
      <c r="E486" s="130">
        <f>IF($D486="","",IFERROR(INDEX(코드설정!$D$5:$D$24,MATCH($D486,코드설정!$C$5:$C$24,0)),""))</f>
        <v/>
      </c>
      <c r="F486" s="74" t="n"/>
      <c r="G486" s="74" t="n"/>
      <c r="H486" s="36" t="n"/>
      <c r="I486" s="36" t="n"/>
      <c r="J486" s="74" t="n"/>
      <c r="K486" s="36" t="n"/>
    </row>
    <row r="487">
      <c r="A487" s="118">
        <f>IF($B487="","",COUNT($B$5:$B487))</f>
        <v/>
      </c>
      <c r="B487" s="80" t="n"/>
      <c r="C487" s="130">
        <f>IF($B487="","",CHOOSE(WEEKDAY($B487),"일","월","화","수","목","금","토"))</f>
        <v/>
      </c>
      <c r="D487" s="74" t="n"/>
      <c r="E487" s="130">
        <f>IF($D487="","",IFERROR(INDEX(코드설정!$D$5:$D$24,MATCH($D487,코드설정!$C$5:$C$24,0)),""))</f>
        <v/>
      </c>
      <c r="F487" s="74" t="n"/>
      <c r="G487" s="74" t="n"/>
      <c r="H487" s="36" t="n"/>
      <c r="I487" s="36" t="n"/>
      <c r="J487" s="74" t="n"/>
      <c r="K487" s="36" t="n"/>
    </row>
    <row r="488">
      <c r="A488" s="118">
        <f>IF($B488="","",COUNT($B$5:$B488))</f>
        <v/>
      </c>
      <c r="B488" s="80" t="n"/>
      <c r="C488" s="130">
        <f>IF($B488="","",CHOOSE(WEEKDAY($B488),"일","월","화","수","목","금","토"))</f>
        <v/>
      </c>
      <c r="D488" s="74" t="n"/>
      <c r="E488" s="130">
        <f>IF($D488="","",IFERROR(INDEX(코드설정!$D$5:$D$24,MATCH($D488,코드설정!$C$5:$C$24,0)),""))</f>
        <v/>
      </c>
      <c r="F488" s="74" t="n"/>
      <c r="G488" s="74" t="n"/>
      <c r="H488" s="36" t="n"/>
      <c r="I488" s="36" t="n"/>
      <c r="J488" s="74" t="n"/>
      <c r="K488" s="36" t="n"/>
    </row>
    <row r="489">
      <c r="A489" s="118">
        <f>IF($B489="","",COUNT($B$5:$B489))</f>
        <v/>
      </c>
      <c r="B489" s="80" t="n"/>
      <c r="C489" s="130">
        <f>IF($B489="","",CHOOSE(WEEKDAY($B489),"일","월","화","수","목","금","토"))</f>
        <v/>
      </c>
      <c r="D489" s="74" t="n"/>
      <c r="E489" s="130">
        <f>IF($D489="","",IFERROR(INDEX(코드설정!$D$5:$D$24,MATCH($D489,코드설정!$C$5:$C$24,0)),""))</f>
        <v/>
      </c>
      <c r="F489" s="74" t="n"/>
      <c r="G489" s="74" t="n"/>
      <c r="H489" s="36" t="n"/>
      <c r="I489" s="36" t="n"/>
      <c r="J489" s="74" t="n"/>
      <c r="K489" s="36" t="n"/>
    </row>
    <row r="490">
      <c r="A490" s="118">
        <f>IF($B490="","",COUNT($B$5:$B490))</f>
        <v/>
      </c>
      <c r="B490" s="80" t="n"/>
      <c r="C490" s="130">
        <f>IF($B490="","",CHOOSE(WEEKDAY($B490),"일","월","화","수","목","금","토"))</f>
        <v/>
      </c>
      <c r="D490" s="74" t="n"/>
      <c r="E490" s="130">
        <f>IF($D490="","",IFERROR(INDEX(코드설정!$D$5:$D$24,MATCH($D490,코드설정!$C$5:$C$24,0)),""))</f>
        <v/>
      </c>
      <c r="F490" s="74" t="n"/>
      <c r="G490" s="74" t="n"/>
      <c r="H490" s="36" t="n"/>
      <c r="I490" s="36" t="n"/>
      <c r="J490" s="74" t="n"/>
      <c r="K490" s="36" t="n"/>
    </row>
    <row r="491">
      <c r="A491" s="118">
        <f>IF($B491="","",COUNT($B$5:$B491))</f>
        <v/>
      </c>
      <c r="B491" s="80" t="n"/>
      <c r="C491" s="130">
        <f>IF($B491="","",CHOOSE(WEEKDAY($B491),"일","월","화","수","목","금","토"))</f>
        <v/>
      </c>
      <c r="D491" s="74" t="n"/>
      <c r="E491" s="130">
        <f>IF($D491="","",IFERROR(INDEX(코드설정!$D$5:$D$24,MATCH($D491,코드설정!$C$5:$C$24,0)),""))</f>
        <v/>
      </c>
      <c r="F491" s="74" t="n"/>
      <c r="G491" s="74" t="n"/>
      <c r="H491" s="36" t="n"/>
      <c r="I491" s="36" t="n"/>
      <c r="J491" s="74" t="n"/>
      <c r="K491" s="36" t="n"/>
    </row>
    <row r="492">
      <c r="A492" s="118">
        <f>IF($B492="","",COUNT($B$5:$B492))</f>
        <v/>
      </c>
      <c r="B492" s="80" t="n"/>
      <c r="C492" s="130">
        <f>IF($B492="","",CHOOSE(WEEKDAY($B492),"일","월","화","수","목","금","토"))</f>
        <v/>
      </c>
      <c r="D492" s="74" t="n"/>
      <c r="E492" s="130">
        <f>IF($D492="","",IFERROR(INDEX(코드설정!$D$5:$D$24,MATCH($D492,코드설정!$C$5:$C$24,0)),""))</f>
        <v/>
      </c>
      <c r="F492" s="74" t="n"/>
      <c r="G492" s="74" t="n"/>
      <c r="H492" s="36" t="n"/>
      <c r="I492" s="36" t="n"/>
      <c r="J492" s="74" t="n"/>
      <c r="K492" s="36" t="n"/>
    </row>
    <row r="493">
      <c r="A493" s="118">
        <f>IF($B493="","",COUNT($B$5:$B493))</f>
        <v/>
      </c>
      <c r="B493" s="80" t="n"/>
      <c r="C493" s="130">
        <f>IF($B493="","",CHOOSE(WEEKDAY($B493),"일","월","화","수","목","금","토"))</f>
        <v/>
      </c>
      <c r="D493" s="74" t="n"/>
      <c r="E493" s="130">
        <f>IF($D493="","",IFERROR(INDEX(코드설정!$D$5:$D$24,MATCH($D493,코드설정!$C$5:$C$24,0)),""))</f>
        <v/>
      </c>
      <c r="F493" s="74" t="n"/>
      <c r="G493" s="74" t="n"/>
      <c r="H493" s="36" t="n"/>
      <c r="I493" s="36" t="n"/>
      <c r="J493" s="74" t="n"/>
      <c r="K493" s="36" t="n"/>
    </row>
    <row r="494">
      <c r="A494" s="118">
        <f>IF($B494="","",COUNT($B$5:$B494))</f>
        <v/>
      </c>
      <c r="B494" s="80" t="n"/>
      <c r="C494" s="130">
        <f>IF($B494="","",CHOOSE(WEEKDAY($B494),"일","월","화","수","목","금","토"))</f>
        <v/>
      </c>
      <c r="D494" s="74" t="n"/>
      <c r="E494" s="130">
        <f>IF($D494="","",IFERROR(INDEX(코드설정!$D$5:$D$24,MATCH($D494,코드설정!$C$5:$C$24,0)),""))</f>
        <v/>
      </c>
      <c r="F494" s="74" t="n"/>
      <c r="G494" s="74" t="n"/>
      <c r="H494" s="36" t="n"/>
      <c r="I494" s="36" t="n"/>
      <c r="J494" s="74" t="n"/>
      <c r="K494" s="36" t="n"/>
    </row>
    <row r="495">
      <c r="A495" s="118">
        <f>IF($B495="","",COUNT($B$5:$B495))</f>
        <v/>
      </c>
      <c r="B495" s="80" t="n"/>
      <c r="C495" s="130">
        <f>IF($B495="","",CHOOSE(WEEKDAY($B495),"일","월","화","수","목","금","토"))</f>
        <v/>
      </c>
      <c r="D495" s="74" t="n"/>
      <c r="E495" s="130">
        <f>IF($D495="","",IFERROR(INDEX(코드설정!$D$5:$D$24,MATCH($D495,코드설정!$C$5:$C$24,0)),""))</f>
        <v/>
      </c>
      <c r="F495" s="74" t="n"/>
      <c r="G495" s="74" t="n"/>
      <c r="H495" s="36" t="n"/>
      <c r="I495" s="36" t="n"/>
      <c r="J495" s="74" t="n"/>
      <c r="K495" s="36" t="n"/>
    </row>
    <row r="496">
      <c r="A496" s="118">
        <f>IF($B496="","",COUNT($B$5:$B496))</f>
        <v/>
      </c>
      <c r="B496" s="80" t="n"/>
      <c r="C496" s="130">
        <f>IF($B496="","",CHOOSE(WEEKDAY($B496),"일","월","화","수","목","금","토"))</f>
        <v/>
      </c>
      <c r="D496" s="74" t="n"/>
      <c r="E496" s="130">
        <f>IF($D496="","",IFERROR(INDEX(코드설정!$D$5:$D$24,MATCH($D496,코드설정!$C$5:$C$24,0)),""))</f>
        <v/>
      </c>
      <c r="F496" s="74" t="n"/>
      <c r="G496" s="74" t="n"/>
      <c r="H496" s="36" t="n"/>
      <c r="I496" s="36" t="n"/>
      <c r="J496" s="74" t="n"/>
      <c r="K496" s="36" t="n"/>
    </row>
    <row r="497">
      <c r="A497" s="118">
        <f>IF($B497="","",COUNT($B$5:$B497))</f>
        <v/>
      </c>
      <c r="B497" s="80" t="n"/>
      <c r="C497" s="130">
        <f>IF($B497="","",CHOOSE(WEEKDAY($B497),"일","월","화","수","목","금","토"))</f>
        <v/>
      </c>
      <c r="D497" s="74" t="n"/>
      <c r="E497" s="130">
        <f>IF($D497="","",IFERROR(INDEX(코드설정!$D$5:$D$24,MATCH($D497,코드설정!$C$5:$C$24,0)),""))</f>
        <v/>
      </c>
      <c r="F497" s="74" t="n"/>
      <c r="G497" s="74" t="n"/>
      <c r="H497" s="36" t="n"/>
      <c r="I497" s="36" t="n"/>
      <c r="J497" s="74" t="n"/>
      <c r="K497" s="36" t="n"/>
    </row>
    <row r="498">
      <c r="A498" s="118">
        <f>IF($B498="","",COUNT($B$5:$B498))</f>
        <v/>
      </c>
      <c r="B498" s="80" t="n"/>
      <c r="C498" s="130">
        <f>IF($B498="","",CHOOSE(WEEKDAY($B498),"일","월","화","수","목","금","토"))</f>
        <v/>
      </c>
      <c r="D498" s="74" t="n"/>
      <c r="E498" s="130">
        <f>IF($D498="","",IFERROR(INDEX(코드설정!$D$5:$D$24,MATCH($D498,코드설정!$C$5:$C$24,0)),""))</f>
        <v/>
      </c>
      <c r="F498" s="74" t="n"/>
      <c r="G498" s="74" t="n"/>
      <c r="H498" s="36" t="n"/>
      <c r="I498" s="36" t="n"/>
      <c r="J498" s="74" t="n"/>
      <c r="K498" s="36" t="n"/>
    </row>
    <row r="499">
      <c r="A499" s="118">
        <f>IF($B499="","",COUNT($B$5:$B499))</f>
        <v/>
      </c>
      <c r="B499" s="80" t="n"/>
      <c r="C499" s="130">
        <f>IF($B499="","",CHOOSE(WEEKDAY($B499),"일","월","화","수","목","금","토"))</f>
        <v/>
      </c>
      <c r="D499" s="74" t="n"/>
      <c r="E499" s="130">
        <f>IF($D499="","",IFERROR(INDEX(코드설정!$D$5:$D$24,MATCH($D499,코드설정!$C$5:$C$24,0)),""))</f>
        <v/>
      </c>
      <c r="F499" s="74" t="n"/>
      <c r="G499" s="74" t="n"/>
      <c r="H499" s="36" t="n"/>
      <c r="I499" s="36" t="n"/>
      <c r="J499" s="74" t="n"/>
      <c r="K499" s="36" t="n"/>
    </row>
    <row r="500">
      <c r="A500" s="118">
        <f>IF($B500="","",COUNT($B$5:$B500))</f>
        <v/>
      </c>
      <c r="B500" s="80" t="n"/>
      <c r="C500" s="130">
        <f>IF($B500="","",CHOOSE(WEEKDAY($B500),"일","월","화","수","목","금","토"))</f>
        <v/>
      </c>
      <c r="D500" s="74" t="n"/>
      <c r="E500" s="130">
        <f>IF($D500="","",IFERROR(INDEX(코드설정!$D$5:$D$24,MATCH($D500,코드설정!$C$5:$C$24,0)),""))</f>
        <v/>
      </c>
      <c r="F500" s="74" t="n"/>
      <c r="G500" s="74" t="n"/>
      <c r="H500" s="36" t="n"/>
      <c r="I500" s="36" t="n"/>
      <c r="J500" s="74" t="n"/>
      <c r="K500" s="36" t="n"/>
    </row>
    <row r="501">
      <c r="A501" s="118">
        <f>IF($B501="","",COUNT($B$5:$B501))</f>
        <v/>
      </c>
      <c r="B501" s="80" t="n"/>
      <c r="C501" s="130">
        <f>IF($B501="","",CHOOSE(WEEKDAY($B501),"일","월","화","수","목","금","토"))</f>
        <v/>
      </c>
      <c r="D501" s="74" t="n"/>
      <c r="E501" s="130">
        <f>IF($D501="","",IFERROR(INDEX(코드설정!$D$5:$D$24,MATCH($D501,코드설정!$C$5:$C$24,0)),""))</f>
        <v/>
      </c>
      <c r="F501" s="74" t="n"/>
      <c r="G501" s="74" t="n"/>
      <c r="H501" s="36" t="n"/>
      <c r="I501" s="36" t="n"/>
      <c r="J501" s="74" t="n"/>
      <c r="K501" s="36" t="n"/>
    </row>
    <row r="502">
      <c r="A502" s="118">
        <f>IF($B502="","",COUNT($B$5:$B502))</f>
        <v/>
      </c>
      <c r="B502" s="80" t="n"/>
      <c r="C502" s="130">
        <f>IF($B502="","",CHOOSE(WEEKDAY($B502),"일","월","화","수","목","금","토"))</f>
        <v/>
      </c>
      <c r="D502" s="74" t="n"/>
      <c r="E502" s="130">
        <f>IF($D502="","",IFERROR(INDEX(코드설정!$D$5:$D$24,MATCH($D502,코드설정!$C$5:$C$24,0)),""))</f>
        <v/>
      </c>
      <c r="F502" s="74" t="n"/>
      <c r="G502" s="74" t="n"/>
      <c r="H502" s="36" t="n"/>
      <c r="I502" s="36" t="n"/>
      <c r="J502" s="74" t="n"/>
      <c r="K502" s="36" t="n"/>
    </row>
    <row r="503">
      <c r="A503" s="118">
        <f>IF($B503="","",COUNT($B$5:$B503))</f>
        <v/>
      </c>
      <c r="B503" s="80" t="n"/>
      <c r="C503" s="130">
        <f>IF($B503="","",CHOOSE(WEEKDAY($B503),"일","월","화","수","목","금","토"))</f>
        <v/>
      </c>
      <c r="D503" s="74" t="n"/>
      <c r="E503" s="130">
        <f>IF($D503="","",IFERROR(INDEX(코드설정!$D$5:$D$24,MATCH($D503,코드설정!$C$5:$C$24,0)),""))</f>
        <v/>
      </c>
      <c r="F503" s="74" t="n"/>
      <c r="G503" s="74" t="n"/>
      <c r="H503" s="36" t="n"/>
      <c r="I503" s="36" t="n"/>
      <c r="J503" s="74" t="n"/>
      <c r="K503" s="36" t="n"/>
    </row>
    <row r="504">
      <c r="A504" s="118">
        <f>IF($B504="","",COUNT($B$5:$B504))</f>
        <v/>
      </c>
      <c r="B504" s="80" t="n"/>
      <c r="C504" s="130">
        <f>IF($B504="","",CHOOSE(WEEKDAY($B504),"일","월","화","수","목","금","토"))</f>
        <v/>
      </c>
      <c r="D504" s="74" t="n"/>
      <c r="E504" s="130">
        <f>IF($D504="","",IFERROR(INDEX(코드설정!$D$5:$D$24,MATCH($D504,코드설정!$C$5:$C$24,0)),""))</f>
        <v/>
      </c>
      <c r="F504" s="74" t="n"/>
      <c r="G504" s="74" t="n"/>
      <c r="H504" s="36" t="n"/>
      <c r="I504" s="36" t="n"/>
      <c r="J504" s="74" t="n"/>
      <c r="K504" s="36" t="n"/>
    </row>
    <row r="505">
      <c r="A505" s="118">
        <f>IF($B505="","",COUNT($B$5:$B505))</f>
        <v/>
      </c>
      <c r="B505" s="80" t="n"/>
      <c r="C505" s="130">
        <f>IF($B505="","",CHOOSE(WEEKDAY($B505),"일","월","화","수","목","금","토"))</f>
        <v/>
      </c>
      <c r="D505" s="74" t="n"/>
      <c r="E505" s="130">
        <f>IF($D505="","",IFERROR(INDEX(코드설정!$D$5:$D$24,MATCH($D505,코드설정!$C$5:$C$24,0)),""))</f>
        <v/>
      </c>
      <c r="F505" s="74" t="n"/>
      <c r="G505" s="74" t="n"/>
      <c r="H505" s="36" t="n"/>
      <c r="I505" s="36" t="n"/>
      <c r="J505" s="74" t="n"/>
      <c r="K505" s="36" t="n"/>
    </row>
    <row r="506">
      <c r="A506" s="118">
        <f>IF($B506="","",COUNT($B$5:$B506))</f>
        <v/>
      </c>
      <c r="B506" s="80" t="n"/>
      <c r="C506" s="130">
        <f>IF($B506="","",CHOOSE(WEEKDAY($B506),"일","월","화","수","목","금","토"))</f>
        <v/>
      </c>
      <c r="D506" s="74" t="n"/>
      <c r="E506" s="130">
        <f>IF($D506="","",IFERROR(INDEX(코드설정!$D$5:$D$24,MATCH($D506,코드설정!$C$5:$C$24,0)),""))</f>
        <v/>
      </c>
      <c r="F506" s="74" t="n"/>
      <c r="G506" s="74" t="n"/>
      <c r="H506" s="36" t="n"/>
      <c r="I506" s="36" t="n"/>
      <c r="J506" s="74" t="n"/>
      <c r="K506" s="36" t="n"/>
    </row>
    <row r="507">
      <c r="A507" s="118">
        <f>IF($B507="","",COUNT($B$5:$B507))</f>
        <v/>
      </c>
      <c r="B507" s="80" t="n"/>
      <c r="C507" s="130">
        <f>IF($B507="","",CHOOSE(WEEKDAY($B507),"일","월","화","수","목","금","토"))</f>
        <v/>
      </c>
      <c r="D507" s="74" t="n"/>
      <c r="E507" s="130">
        <f>IF($D507="","",IFERROR(INDEX(코드설정!$D$5:$D$24,MATCH($D507,코드설정!$C$5:$C$24,0)),""))</f>
        <v/>
      </c>
      <c r="F507" s="74" t="n"/>
      <c r="G507" s="74" t="n"/>
      <c r="H507" s="36" t="n"/>
      <c r="I507" s="36" t="n"/>
      <c r="J507" s="74" t="n"/>
      <c r="K507" s="36" t="n"/>
    </row>
    <row r="508">
      <c r="A508" s="118">
        <f>IF($B508="","",COUNT($B$5:$B508))</f>
        <v/>
      </c>
      <c r="B508" s="80" t="n"/>
      <c r="C508" s="130">
        <f>IF($B508="","",CHOOSE(WEEKDAY($B508),"일","월","화","수","목","금","토"))</f>
        <v/>
      </c>
      <c r="D508" s="74" t="n"/>
      <c r="E508" s="130">
        <f>IF($D508="","",IFERROR(INDEX(코드설정!$D$5:$D$24,MATCH($D508,코드설정!$C$5:$C$24,0)),""))</f>
        <v/>
      </c>
      <c r="F508" s="74" t="n"/>
      <c r="G508" s="74" t="n"/>
      <c r="H508" s="36" t="n"/>
      <c r="I508" s="36" t="n"/>
      <c r="J508" s="74" t="n"/>
      <c r="K508" s="36" t="n"/>
    </row>
    <row r="509">
      <c r="A509" s="118">
        <f>IF($B509="","",COUNT($B$5:$B509))</f>
        <v/>
      </c>
      <c r="B509" s="80" t="n"/>
      <c r="C509" s="130">
        <f>IF($B509="","",CHOOSE(WEEKDAY($B509),"일","월","화","수","목","금","토"))</f>
        <v/>
      </c>
      <c r="D509" s="74" t="n"/>
      <c r="E509" s="130">
        <f>IF($D509="","",IFERROR(INDEX(코드설정!$D$5:$D$24,MATCH($D509,코드설정!$C$5:$C$24,0)),""))</f>
        <v/>
      </c>
      <c r="F509" s="74" t="n"/>
      <c r="G509" s="74" t="n"/>
      <c r="H509" s="36" t="n"/>
      <c r="I509" s="36" t="n"/>
      <c r="J509" s="74" t="n"/>
      <c r="K509" s="36" t="n"/>
    </row>
    <row r="510">
      <c r="A510" s="118">
        <f>IF($B510="","",COUNT($B$5:$B510))</f>
        <v/>
      </c>
      <c r="B510" s="80" t="n"/>
      <c r="C510" s="130">
        <f>IF($B510="","",CHOOSE(WEEKDAY($B510),"일","월","화","수","목","금","토"))</f>
        <v/>
      </c>
      <c r="D510" s="74" t="n"/>
      <c r="E510" s="130">
        <f>IF($D510="","",IFERROR(INDEX(코드설정!$D$5:$D$24,MATCH($D510,코드설정!$C$5:$C$24,0)),""))</f>
        <v/>
      </c>
      <c r="F510" s="74" t="n"/>
      <c r="G510" s="74" t="n"/>
      <c r="H510" s="36" t="n"/>
      <c r="I510" s="36" t="n"/>
      <c r="J510" s="74" t="n"/>
      <c r="K510" s="36" t="n"/>
    </row>
    <row r="511">
      <c r="A511" s="118">
        <f>IF($B511="","",COUNT($B$5:$B511))</f>
        <v/>
      </c>
      <c r="B511" s="80" t="n"/>
      <c r="C511" s="130">
        <f>IF($B511="","",CHOOSE(WEEKDAY($B511),"일","월","화","수","목","금","토"))</f>
        <v/>
      </c>
      <c r="D511" s="74" t="n"/>
      <c r="E511" s="130">
        <f>IF($D511="","",IFERROR(INDEX(코드설정!$D$5:$D$24,MATCH($D511,코드설정!$C$5:$C$24,0)),""))</f>
        <v/>
      </c>
      <c r="F511" s="74" t="n"/>
      <c r="G511" s="74" t="n"/>
      <c r="H511" s="36" t="n"/>
      <c r="I511" s="36" t="n"/>
      <c r="J511" s="74" t="n"/>
      <c r="K511" s="36" t="n"/>
    </row>
    <row r="512">
      <c r="A512" s="118">
        <f>IF($B512="","",COUNT($B$5:$B512))</f>
        <v/>
      </c>
      <c r="B512" s="80" t="n"/>
      <c r="C512" s="130">
        <f>IF($B512="","",CHOOSE(WEEKDAY($B512),"일","월","화","수","목","금","토"))</f>
        <v/>
      </c>
      <c r="D512" s="74" t="n"/>
      <c r="E512" s="130">
        <f>IF($D512="","",IFERROR(INDEX(코드설정!$D$5:$D$24,MATCH($D512,코드설정!$C$5:$C$24,0)),""))</f>
        <v/>
      </c>
      <c r="F512" s="74" t="n"/>
      <c r="G512" s="74" t="n"/>
      <c r="H512" s="36" t="n"/>
      <c r="I512" s="36" t="n"/>
      <c r="J512" s="74" t="n"/>
      <c r="K512" s="36" t="n"/>
    </row>
    <row r="513">
      <c r="A513" s="118">
        <f>IF($B513="","",COUNT($B$5:$B513))</f>
        <v/>
      </c>
      <c r="B513" s="80" t="n"/>
      <c r="C513" s="130">
        <f>IF($B513="","",CHOOSE(WEEKDAY($B513),"일","월","화","수","목","금","토"))</f>
        <v/>
      </c>
      <c r="D513" s="74" t="n"/>
      <c r="E513" s="130">
        <f>IF($D513="","",IFERROR(INDEX(코드설정!$D$5:$D$24,MATCH($D513,코드설정!$C$5:$C$24,0)),""))</f>
        <v/>
      </c>
      <c r="F513" s="74" t="n"/>
      <c r="G513" s="74" t="n"/>
      <c r="H513" s="36" t="n"/>
      <c r="I513" s="36" t="n"/>
      <c r="J513" s="74" t="n"/>
      <c r="K513" s="36" t="n"/>
    </row>
    <row r="514">
      <c r="A514" s="118">
        <f>IF($B514="","",COUNT($B$5:$B514))</f>
        <v/>
      </c>
      <c r="B514" s="80" t="n"/>
      <c r="C514" s="130">
        <f>IF($B514="","",CHOOSE(WEEKDAY($B514),"일","월","화","수","목","금","토"))</f>
        <v/>
      </c>
      <c r="D514" s="74" t="n"/>
      <c r="E514" s="130">
        <f>IF($D514="","",IFERROR(INDEX(코드설정!$D$5:$D$24,MATCH($D514,코드설정!$C$5:$C$24,0)),""))</f>
        <v/>
      </c>
      <c r="F514" s="74" t="n"/>
      <c r="G514" s="74" t="n"/>
      <c r="H514" s="36" t="n"/>
      <c r="I514" s="36" t="n"/>
      <c r="J514" s="74" t="n"/>
      <c r="K514" s="36" t="n"/>
    </row>
    <row r="515">
      <c r="A515" s="118">
        <f>IF($B515="","",COUNT($B$5:$B515))</f>
        <v/>
      </c>
      <c r="B515" s="80" t="n"/>
      <c r="C515" s="130">
        <f>IF($B515="","",CHOOSE(WEEKDAY($B515),"일","월","화","수","목","금","토"))</f>
        <v/>
      </c>
      <c r="D515" s="74" t="n"/>
      <c r="E515" s="130">
        <f>IF($D515="","",IFERROR(INDEX(코드설정!$D$5:$D$24,MATCH($D515,코드설정!$C$5:$C$24,0)),""))</f>
        <v/>
      </c>
      <c r="F515" s="74" t="n"/>
      <c r="G515" s="74" t="n"/>
      <c r="H515" s="36" t="n"/>
      <c r="I515" s="36" t="n"/>
      <c r="J515" s="74" t="n"/>
      <c r="K515" s="36" t="n"/>
    </row>
    <row r="516">
      <c r="A516" s="118">
        <f>IF($B516="","",COUNT($B$5:$B516))</f>
        <v/>
      </c>
      <c r="B516" s="80" t="n"/>
      <c r="C516" s="130">
        <f>IF($B516="","",CHOOSE(WEEKDAY($B516),"일","월","화","수","목","금","토"))</f>
        <v/>
      </c>
      <c r="D516" s="74" t="n"/>
      <c r="E516" s="130">
        <f>IF($D516="","",IFERROR(INDEX(코드설정!$D$5:$D$24,MATCH($D516,코드설정!$C$5:$C$24,0)),""))</f>
        <v/>
      </c>
      <c r="F516" s="74" t="n"/>
      <c r="G516" s="74" t="n"/>
      <c r="H516" s="36" t="n"/>
      <c r="I516" s="36" t="n"/>
      <c r="J516" s="74" t="n"/>
      <c r="K516" s="36" t="n"/>
    </row>
    <row r="517">
      <c r="A517" s="118">
        <f>IF($B517="","",COUNT($B$5:$B517))</f>
        <v/>
      </c>
      <c r="B517" s="80" t="n"/>
      <c r="C517" s="130">
        <f>IF($B517="","",CHOOSE(WEEKDAY($B517),"일","월","화","수","목","금","토"))</f>
        <v/>
      </c>
      <c r="D517" s="74" t="n"/>
      <c r="E517" s="130">
        <f>IF($D517="","",IFERROR(INDEX(코드설정!$D$5:$D$24,MATCH($D517,코드설정!$C$5:$C$24,0)),""))</f>
        <v/>
      </c>
      <c r="F517" s="74" t="n"/>
      <c r="G517" s="74" t="n"/>
      <c r="H517" s="36" t="n"/>
      <c r="I517" s="36" t="n"/>
      <c r="J517" s="74" t="n"/>
      <c r="K517" s="36" t="n"/>
    </row>
    <row r="518">
      <c r="A518" s="118">
        <f>IF($B518="","",COUNT($B$5:$B518))</f>
        <v/>
      </c>
      <c r="B518" s="80" t="n"/>
      <c r="C518" s="130">
        <f>IF($B518="","",CHOOSE(WEEKDAY($B518),"일","월","화","수","목","금","토"))</f>
        <v/>
      </c>
      <c r="D518" s="74" t="n"/>
      <c r="E518" s="130">
        <f>IF($D518="","",IFERROR(INDEX(코드설정!$D$5:$D$24,MATCH($D518,코드설정!$C$5:$C$24,0)),""))</f>
        <v/>
      </c>
      <c r="F518" s="74" t="n"/>
      <c r="G518" s="74" t="n"/>
      <c r="H518" s="36" t="n"/>
      <c r="I518" s="36" t="n"/>
      <c r="J518" s="74" t="n"/>
      <c r="K518" s="36" t="n"/>
    </row>
    <row r="519">
      <c r="A519" s="118">
        <f>IF($B519="","",COUNT($B$5:$B519))</f>
        <v/>
      </c>
      <c r="B519" s="80" t="n"/>
      <c r="C519" s="130">
        <f>IF($B519="","",CHOOSE(WEEKDAY($B519),"일","월","화","수","목","금","토"))</f>
        <v/>
      </c>
      <c r="D519" s="74" t="n"/>
      <c r="E519" s="130">
        <f>IF($D519="","",IFERROR(INDEX(코드설정!$D$5:$D$24,MATCH($D519,코드설정!$C$5:$C$24,0)),""))</f>
        <v/>
      </c>
      <c r="F519" s="74" t="n"/>
      <c r="G519" s="74" t="n"/>
      <c r="H519" s="36" t="n"/>
      <c r="I519" s="36" t="n"/>
      <c r="J519" s="74" t="n"/>
      <c r="K519" s="36" t="n"/>
    </row>
    <row r="520">
      <c r="A520" s="118">
        <f>IF($B520="","",COUNT($B$5:$B520))</f>
        <v/>
      </c>
      <c r="B520" s="80" t="n"/>
      <c r="C520" s="130">
        <f>IF($B520="","",CHOOSE(WEEKDAY($B520),"일","월","화","수","목","금","토"))</f>
        <v/>
      </c>
      <c r="D520" s="74" t="n"/>
      <c r="E520" s="130">
        <f>IF($D520="","",IFERROR(INDEX(코드설정!$D$5:$D$24,MATCH($D520,코드설정!$C$5:$C$24,0)),""))</f>
        <v/>
      </c>
      <c r="F520" s="74" t="n"/>
      <c r="G520" s="74" t="n"/>
      <c r="H520" s="36" t="n"/>
      <c r="I520" s="36" t="n"/>
      <c r="J520" s="74" t="n"/>
      <c r="K520" s="36" t="n"/>
    </row>
    <row r="521">
      <c r="A521" s="118">
        <f>IF($B521="","",COUNT($B$5:$B521))</f>
        <v/>
      </c>
      <c r="B521" s="80" t="n"/>
      <c r="C521" s="130">
        <f>IF($B521="","",CHOOSE(WEEKDAY($B521),"일","월","화","수","목","금","토"))</f>
        <v/>
      </c>
      <c r="D521" s="74" t="n"/>
      <c r="E521" s="130">
        <f>IF($D521="","",IFERROR(INDEX(코드설정!$D$5:$D$24,MATCH($D521,코드설정!$C$5:$C$24,0)),""))</f>
        <v/>
      </c>
      <c r="F521" s="74" t="n"/>
      <c r="G521" s="74" t="n"/>
      <c r="H521" s="36" t="n"/>
      <c r="I521" s="36" t="n"/>
      <c r="J521" s="74" t="n"/>
      <c r="K521" s="36" t="n"/>
    </row>
    <row r="522">
      <c r="A522" s="118">
        <f>IF($B522="","",COUNT($B$5:$B522))</f>
        <v/>
      </c>
      <c r="B522" s="80" t="n"/>
      <c r="C522" s="130">
        <f>IF($B522="","",CHOOSE(WEEKDAY($B522),"일","월","화","수","목","금","토"))</f>
        <v/>
      </c>
      <c r="D522" s="74" t="n"/>
      <c r="E522" s="130">
        <f>IF($D522="","",IFERROR(INDEX(코드설정!$D$5:$D$24,MATCH($D522,코드설정!$C$5:$C$24,0)),""))</f>
        <v/>
      </c>
      <c r="F522" s="74" t="n"/>
      <c r="G522" s="74" t="n"/>
      <c r="H522" s="36" t="n"/>
      <c r="I522" s="36" t="n"/>
      <c r="J522" s="74" t="n"/>
      <c r="K522" s="36" t="n"/>
    </row>
    <row r="523">
      <c r="A523" s="118">
        <f>IF($B523="","",COUNT($B$5:$B523))</f>
        <v/>
      </c>
      <c r="B523" s="80" t="n"/>
      <c r="C523" s="130">
        <f>IF($B523="","",CHOOSE(WEEKDAY($B523),"일","월","화","수","목","금","토"))</f>
        <v/>
      </c>
      <c r="D523" s="74" t="n"/>
      <c r="E523" s="130">
        <f>IF($D523="","",IFERROR(INDEX(코드설정!$D$5:$D$24,MATCH($D523,코드설정!$C$5:$C$24,0)),""))</f>
        <v/>
      </c>
      <c r="F523" s="74" t="n"/>
      <c r="G523" s="74" t="n"/>
      <c r="H523" s="36" t="n"/>
      <c r="I523" s="36" t="n"/>
      <c r="J523" s="74" t="n"/>
      <c r="K523" s="36" t="n"/>
    </row>
    <row r="524">
      <c r="A524" s="118">
        <f>IF($B524="","",COUNT($B$5:$B524))</f>
        <v/>
      </c>
      <c r="B524" s="80" t="n"/>
      <c r="C524" s="130">
        <f>IF($B524="","",CHOOSE(WEEKDAY($B524),"일","월","화","수","목","금","토"))</f>
        <v/>
      </c>
      <c r="D524" s="74" t="n"/>
      <c r="E524" s="130">
        <f>IF($D524="","",IFERROR(INDEX(코드설정!$D$5:$D$24,MATCH($D524,코드설정!$C$5:$C$24,0)),""))</f>
        <v/>
      </c>
      <c r="F524" s="74" t="n"/>
      <c r="G524" s="74" t="n"/>
      <c r="H524" s="36" t="n"/>
      <c r="I524" s="36" t="n"/>
      <c r="J524" s="74" t="n"/>
      <c r="K524" s="36" t="n"/>
    </row>
    <row r="525">
      <c r="A525" s="118">
        <f>IF($B525="","",COUNT($B$5:$B525))</f>
        <v/>
      </c>
      <c r="B525" s="80" t="n"/>
      <c r="C525" s="130">
        <f>IF($B525="","",CHOOSE(WEEKDAY($B525),"일","월","화","수","목","금","토"))</f>
        <v/>
      </c>
      <c r="D525" s="74" t="n"/>
      <c r="E525" s="130">
        <f>IF($D525="","",IFERROR(INDEX(코드설정!$D$5:$D$24,MATCH($D525,코드설정!$C$5:$C$24,0)),""))</f>
        <v/>
      </c>
      <c r="F525" s="74" t="n"/>
      <c r="G525" s="74" t="n"/>
      <c r="H525" s="36" t="n"/>
      <c r="I525" s="36" t="n"/>
      <c r="J525" s="74" t="n"/>
      <c r="K525" s="36" t="n"/>
    </row>
    <row r="526">
      <c r="A526" s="118">
        <f>IF($B526="","",COUNT($B$5:$B526))</f>
        <v/>
      </c>
      <c r="B526" s="80" t="n"/>
      <c r="C526" s="130">
        <f>IF($B526="","",CHOOSE(WEEKDAY($B526),"일","월","화","수","목","금","토"))</f>
        <v/>
      </c>
      <c r="D526" s="74" t="n"/>
      <c r="E526" s="130">
        <f>IF($D526="","",IFERROR(INDEX(코드설정!$D$5:$D$24,MATCH($D526,코드설정!$C$5:$C$24,0)),""))</f>
        <v/>
      </c>
      <c r="F526" s="74" t="n"/>
      <c r="G526" s="74" t="n"/>
      <c r="H526" s="36" t="n"/>
      <c r="I526" s="36" t="n"/>
      <c r="J526" s="74" t="n"/>
      <c r="K526" s="36" t="n"/>
    </row>
    <row r="527">
      <c r="A527" s="118">
        <f>IF($B527="","",COUNT($B$5:$B527))</f>
        <v/>
      </c>
      <c r="B527" s="80" t="n"/>
      <c r="C527" s="130">
        <f>IF($B527="","",CHOOSE(WEEKDAY($B527),"일","월","화","수","목","금","토"))</f>
        <v/>
      </c>
      <c r="D527" s="74" t="n"/>
      <c r="E527" s="130">
        <f>IF($D527="","",IFERROR(INDEX(코드설정!$D$5:$D$24,MATCH($D527,코드설정!$C$5:$C$24,0)),""))</f>
        <v/>
      </c>
      <c r="F527" s="74" t="n"/>
      <c r="G527" s="74" t="n"/>
      <c r="H527" s="36" t="n"/>
      <c r="I527" s="36" t="n"/>
      <c r="J527" s="74" t="n"/>
      <c r="K527" s="36" t="n"/>
    </row>
    <row r="528">
      <c r="A528" s="118">
        <f>IF($B528="","",COUNT($B$5:$B528))</f>
        <v/>
      </c>
      <c r="B528" s="80" t="n"/>
      <c r="C528" s="130">
        <f>IF($B528="","",CHOOSE(WEEKDAY($B528),"일","월","화","수","목","금","토"))</f>
        <v/>
      </c>
      <c r="D528" s="74" t="n"/>
      <c r="E528" s="130">
        <f>IF($D528="","",IFERROR(INDEX(코드설정!$D$5:$D$24,MATCH($D528,코드설정!$C$5:$C$24,0)),""))</f>
        <v/>
      </c>
      <c r="F528" s="74" t="n"/>
      <c r="G528" s="74" t="n"/>
      <c r="H528" s="36" t="n"/>
      <c r="I528" s="36" t="n"/>
      <c r="J528" s="74" t="n"/>
      <c r="K528" s="36" t="n"/>
    </row>
    <row r="529">
      <c r="A529" s="118">
        <f>IF($B529="","",COUNT($B$5:$B529))</f>
        <v/>
      </c>
      <c r="B529" s="80" t="n"/>
      <c r="C529" s="130">
        <f>IF($B529="","",CHOOSE(WEEKDAY($B529),"일","월","화","수","목","금","토"))</f>
        <v/>
      </c>
      <c r="D529" s="74" t="n"/>
      <c r="E529" s="130">
        <f>IF($D529="","",IFERROR(INDEX(코드설정!$D$5:$D$24,MATCH($D529,코드설정!$C$5:$C$24,0)),""))</f>
        <v/>
      </c>
      <c r="F529" s="74" t="n"/>
      <c r="G529" s="74" t="n"/>
      <c r="H529" s="36" t="n"/>
      <c r="I529" s="36" t="n"/>
      <c r="J529" s="74" t="n"/>
      <c r="K529" s="36" t="n"/>
    </row>
    <row r="530">
      <c r="A530" s="118">
        <f>IF($B530="","",COUNT($B$5:$B530))</f>
        <v/>
      </c>
      <c r="B530" s="80" t="n"/>
      <c r="C530" s="130">
        <f>IF($B530="","",CHOOSE(WEEKDAY($B530),"일","월","화","수","목","금","토"))</f>
        <v/>
      </c>
      <c r="D530" s="74" t="n"/>
      <c r="E530" s="130">
        <f>IF($D530="","",IFERROR(INDEX(코드설정!$D$5:$D$24,MATCH($D530,코드설정!$C$5:$C$24,0)),""))</f>
        <v/>
      </c>
      <c r="F530" s="74" t="n"/>
      <c r="G530" s="74" t="n"/>
      <c r="H530" s="36" t="n"/>
      <c r="I530" s="36" t="n"/>
      <c r="J530" s="74" t="n"/>
      <c r="K530" s="36" t="n"/>
    </row>
    <row r="531">
      <c r="A531" s="118">
        <f>IF($B531="","",COUNT($B$5:$B531))</f>
        <v/>
      </c>
      <c r="B531" s="80" t="n"/>
      <c r="C531" s="130">
        <f>IF($B531="","",CHOOSE(WEEKDAY($B531),"일","월","화","수","목","금","토"))</f>
        <v/>
      </c>
      <c r="D531" s="74" t="n"/>
      <c r="E531" s="130">
        <f>IF($D531="","",IFERROR(INDEX(코드설정!$D$5:$D$24,MATCH($D531,코드설정!$C$5:$C$24,0)),""))</f>
        <v/>
      </c>
      <c r="F531" s="74" t="n"/>
      <c r="G531" s="74" t="n"/>
      <c r="H531" s="36" t="n"/>
      <c r="I531" s="36" t="n"/>
      <c r="J531" s="74" t="n"/>
      <c r="K531" s="36" t="n"/>
    </row>
    <row r="532">
      <c r="A532" s="118">
        <f>IF($B532="","",COUNT($B$5:$B532))</f>
        <v/>
      </c>
      <c r="B532" s="80" t="n"/>
      <c r="C532" s="130">
        <f>IF($B532="","",CHOOSE(WEEKDAY($B532),"일","월","화","수","목","금","토"))</f>
        <v/>
      </c>
      <c r="D532" s="74" t="n"/>
      <c r="E532" s="130">
        <f>IF($D532="","",IFERROR(INDEX(코드설정!$D$5:$D$24,MATCH($D532,코드설정!$C$5:$C$24,0)),""))</f>
        <v/>
      </c>
      <c r="F532" s="74" t="n"/>
      <c r="G532" s="74" t="n"/>
      <c r="H532" s="36" t="n"/>
      <c r="I532" s="36" t="n"/>
      <c r="J532" s="74" t="n"/>
      <c r="K532" s="36" t="n"/>
    </row>
    <row r="533">
      <c r="A533" s="118">
        <f>IF($B533="","",COUNT($B$5:$B533))</f>
        <v/>
      </c>
      <c r="B533" s="80" t="n"/>
      <c r="C533" s="130">
        <f>IF($B533="","",CHOOSE(WEEKDAY($B533),"일","월","화","수","목","금","토"))</f>
        <v/>
      </c>
      <c r="D533" s="74" t="n"/>
      <c r="E533" s="130">
        <f>IF($D533="","",IFERROR(INDEX(코드설정!$D$5:$D$24,MATCH($D533,코드설정!$C$5:$C$24,0)),""))</f>
        <v/>
      </c>
      <c r="F533" s="74" t="n"/>
      <c r="G533" s="74" t="n"/>
      <c r="H533" s="36" t="n"/>
      <c r="I533" s="36" t="n"/>
      <c r="J533" s="74" t="n"/>
      <c r="K533" s="36" t="n"/>
    </row>
    <row r="534">
      <c r="A534" s="118">
        <f>IF($B534="","",COUNT($B$5:$B534))</f>
        <v/>
      </c>
      <c r="B534" s="80" t="n"/>
      <c r="C534" s="130">
        <f>IF($B534="","",CHOOSE(WEEKDAY($B534),"일","월","화","수","목","금","토"))</f>
        <v/>
      </c>
      <c r="D534" s="74" t="n"/>
      <c r="E534" s="130">
        <f>IF($D534="","",IFERROR(INDEX(코드설정!$D$5:$D$24,MATCH($D534,코드설정!$C$5:$C$24,0)),""))</f>
        <v/>
      </c>
      <c r="F534" s="74" t="n"/>
      <c r="G534" s="74" t="n"/>
      <c r="H534" s="36" t="n"/>
      <c r="I534" s="36" t="n"/>
      <c r="J534" s="74" t="n"/>
      <c r="K534" s="36" t="n"/>
    </row>
    <row r="535">
      <c r="A535" s="118">
        <f>IF($B535="","",COUNT($B$5:$B535))</f>
        <v/>
      </c>
      <c r="B535" s="80" t="n"/>
      <c r="C535" s="130">
        <f>IF($B535="","",CHOOSE(WEEKDAY($B535),"일","월","화","수","목","금","토"))</f>
        <v/>
      </c>
      <c r="D535" s="74" t="n"/>
      <c r="E535" s="130">
        <f>IF($D535="","",IFERROR(INDEX(코드설정!$D$5:$D$24,MATCH($D535,코드설정!$C$5:$C$24,0)),""))</f>
        <v/>
      </c>
      <c r="F535" s="74" t="n"/>
      <c r="G535" s="74" t="n"/>
      <c r="H535" s="36" t="n"/>
      <c r="I535" s="36" t="n"/>
      <c r="J535" s="74" t="n"/>
      <c r="K535" s="36" t="n"/>
    </row>
    <row r="536">
      <c r="A536" s="118">
        <f>IF($B536="","",COUNT($B$5:$B536))</f>
        <v/>
      </c>
      <c r="B536" s="80" t="n"/>
      <c r="C536" s="130">
        <f>IF($B536="","",CHOOSE(WEEKDAY($B536),"일","월","화","수","목","금","토"))</f>
        <v/>
      </c>
      <c r="D536" s="74" t="n"/>
      <c r="E536" s="130">
        <f>IF($D536="","",IFERROR(INDEX(코드설정!$D$5:$D$24,MATCH($D536,코드설정!$C$5:$C$24,0)),""))</f>
        <v/>
      </c>
      <c r="F536" s="74" t="n"/>
      <c r="G536" s="74" t="n"/>
      <c r="H536" s="36" t="n"/>
      <c r="I536" s="36" t="n"/>
      <c r="J536" s="74" t="n"/>
      <c r="K536" s="36" t="n"/>
    </row>
    <row r="537">
      <c r="A537" s="118">
        <f>IF($B537="","",COUNT($B$5:$B537))</f>
        <v/>
      </c>
      <c r="B537" s="80" t="n"/>
      <c r="C537" s="130">
        <f>IF($B537="","",CHOOSE(WEEKDAY($B537),"일","월","화","수","목","금","토"))</f>
        <v/>
      </c>
      <c r="D537" s="74" t="n"/>
      <c r="E537" s="130">
        <f>IF($D537="","",IFERROR(INDEX(코드설정!$D$5:$D$24,MATCH($D537,코드설정!$C$5:$C$24,0)),""))</f>
        <v/>
      </c>
      <c r="F537" s="74" t="n"/>
      <c r="G537" s="74" t="n"/>
      <c r="H537" s="36" t="n"/>
      <c r="I537" s="36" t="n"/>
      <c r="J537" s="74" t="n"/>
      <c r="K537" s="36" t="n"/>
    </row>
    <row r="538">
      <c r="A538" s="118">
        <f>IF($B538="","",COUNT($B$5:$B538))</f>
        <v/>
      </c>
      <c r="B538" s="80" t="n"/>
      <c r="C538" s="130">
        <f>IF($B538="","",CHOOSE(WEEKDAY($B538),"일","월","화","수","목","금","토"))</f>
        <v/>
      </c>
      <c r="D538" s="74" t="n"/>
      <c r="E538" s="130">
        <f>IF($D538="","",IFERROR(INDEX(코드설정!$D$5:$D$24,MATCH($D538,코드설정!$C$5:$C$24,0)),""))</f>
        <v/>
      </c>
      <c r="F538" s="74" t="n"/>
      <c r="G538" s="74" t="n"/>
      <c r="H538" s="36" t="n"/>
      <c r="I538" s="36" t="n"/>
      <c r="J538" s="74" t="n"/>
      <c r="K538" s="36" t="n"/>
    </row>
    <row r="539">
      <c r="A539" s="118">
        <f>IF($B539="","",COUNT($B$5:$B539))</f>
        <v/>
      </c>
      <c r="B539" s="80" t="n"/>
      <c r="C539" s="130">
        <f>IF($B539="","",CHOOSE(WEEKDAY($B539),"일","월","화","수","목","금","토"))</f>
        <v/>
      </c>
      <c r="D539" s="74" t="n"/>
      <c r="E539" s="130">
        <f>IF($D539="","",IFERROR(INDEX(코드설정!$D$5:$D$24,MATCH($D539,코드설정!$C$5:$C$24,0)),""))</f>
        <v/>
      </c>
      <c r="F539" s="74" t="n"/>
      <c r="G539" s="74" t="n"/>
      <c r="H539" s="36" t="n"/>
      <c r="I539" s="36" t="n"/>
      <c r="J539" s="74" t="n"/>
      <c r="K539" s="36" t="n"/>
    </row>
    <row r="540">
      <c r="A540" s="118">
        <f>IF($B540="","",COUNT($B$5:$B540))</f>
        <v/>
      </c>
      <c r="B540" s="80" t="n"/>
      <c r="C540" s="130">
        <f>IF($B540="","",CHOOSE(WEEKDAY($B540),"일","월","화","수","목","금","토"))</f>
        <v/>
      </c>
      <c r="D540" s="74" t="n"/>
      <c r="E540" s="130">
        <f>IF($D540="","",IFERROR(INDEX(코드설정!$D$5:$D$24,MATCH($D540,코드설정!$C$5:$C$24,0)),""))</f>
        <v/>
      </c>
      <c r="F540" s="74" t="n"/>
      <c r="G540" s="74" t="n"/>
      <c r="H540" s="36" t="n"/>
      <c r="I540" s="36" t="n"/>
      <c r="J540" s="74" t="n"/>
      <c r="K540" s="36" t="n"/>
    </row>
    <row r="541">
      <c r="A541" s="118">
        <f>IF($B541="","",COUNT($B$5:$B541))</f>
        <v/>
      </c>
      <c r="B541" s="80" t="n"/>
      <c r="C541" s="130">
        <f>IF($B541="","",CHOOSE(WEEKDAY($B541),"일","월","화","수","목","금","토"))</f>
        <v/>
      </c>
      <c r="D541" s="74" t="n"/>
      <c r="E541" s="130">
        <f>IF($D541="","",IFERROR(INDEX(코드설정!$D$5:$D$24,MATCH($D541,코드설정!$C$5:$C$24,0)),""))</f>
        <v/>
      </c>
      <c r="F541" s="74" t="n"/>
      <c r="G541" s="74" t="n"/>
      <c r="H541" s="36" t="n"/>
      <c r="I541" s="36" t="n"/>
      <c r="J541" s="74" t="n"/>
      <c r="K541" s="36" t="n"/>
    </row>
    <row r="542">
      <c r="A542" s="118">
        <f>IF($B542="","",COUNT($B$5:$B542))</f>
        <v/>
      </c>
      <c r="B542" s="80" t="n"/>
      <c r="C542" s="130">
        <f>IF($B542="","",CHOOSE(WEEKDAY($B542),"일","월","화","수","목","금","토"))</f>
        <v/>
      </c>
      <c r="D542" s="74" t="n"/>
      <c r="E542" s="130">
        <f>IF($D542="","",IFERROR(INDEX(코드설정!$D$5:$D$24,MATCH($D542,코드설정!$C$5:$C$24,0)),""))</f>
        <v/>
      </c>
      <c r="F542" s="74" t="n"/>
      <c r="G542" s="74" t="n"/>
      <c r="H542" s="36" t="n"/>
      <c r="I542" s="36" t="n"/>
      <c r="J542" s="74" t="n"/>
      <c r="K542" s="36" t="n"/>
    </row>
    <row r="543">
      <c r="A543" s="118">
        <f>IF($B543="","",COUNT($B$5:$B543))</f>
        <v/>
      </c>
      <c r="B543" s="80" t="n"/>
      <c r="C543" s="130">
        <f>IF($B543="","",CHOOSE(WEEKDAY($B543),"일","월","화","수","목","금","토"))</f>
        <v/>
      </c>
      <c r="D543" s="74" t="n"/>
      <c r="E543" s="130">
        <f>IF($D543="","",IFERROR(INDEX(코드설정!$D$5:$D$24,MATCH($D543,코드설정!$C$5:$C$24,0)),""))</f>
        <v/>
      </c>
      <c r="F543" s="74" t="n"/>
      <c r="G543" s="74" t="n"/>
      <c r="H543" s="36" t="n"/>
      <c r="I543" s="36" t="n"/>
      <c r="J543" s="74" t="n"/>
      <c r="K543" s="36" t="n"/>
    </row>
    <row r="544">
      <c r="A544" s="118">
        <f>IF($B544="","",COUNT($B$5:$B544))</f>
        <v/>
      </c>
      <c r="B544" s="80" t="n"/>
      <c r="C544" s="130">
        <f>IF($B544="","",CHOOSE(WEEKDAY($B544),"일","월","화","수","목","금","토"))</f>
        <v/>
      </c>
      <c r="D544" s="74" t="n"/>
      <c r="E544" s="130">
        <f>IF($D544="","",IFERROR(INDEX(코드설정!$D$5:$D$24,MATCH($D544,코드설정!$C$5:$C$24,0)),""))</f>
        <v/>
      </c>
      <c r="F544" s="74" t="n"/>
      <c r="G544" s="74" t="n"/>
      <c r="H544" s="36" t="n"/>
      <c r="I544" s="36" t="n"/>
      <c r="J544" s="74" t="n"/>
      <c r="K544" s="36" t="n"/>
    </row>
    <row r="545">
      <c r="A545" s="118">
        <f>IF($B545="","",COUNT($B$5:$B545))</f>
        <v/>
      </c>
      <c r="B545" s="80" t="n"/>
      <c r="C545" s="130">
        <f>IF($B545="","",CHOOSE(WEEKDAY($B545),"일","월","화","수","목","금","토"))</f>
        <v/>
      </c>
      <c r="D545" s="74" t="n"/>
      <c r="E545" s="130">
        <f>IF($D545="","",IFERROR(INDEX(코드설정!$D$5:$D$24,MATCH($D545,코드설정!$C$5:$C$24,0)),""))</f>
        <v/>
      </c>
      <c r="F545" s="74" t="n"/>
      <c r="G545" s="74" t="n"/>
      <c r="H545" s="36" t="n"/>
      <c r="I545" s="36" t="n"/>
      <c r="J545" s="74" t="n"/>
      <c r="K545" s="36" t="n"/>
    </row>
    <row r="546">
      <c r="A546" s="118">
        <f>IF($B546="","",COUNT($B$5:$B546))</f>
        <v/>
      </c>
      <c r="B546" s="80" t="n"/>
      <c r="C546" s="130">
        <f>IF($B546="","",CHOOSE(WEEKDAY($B546),"일","월","화","수","목","금","토"))</f>
        <v/>
      </c>
      <c r="D546" s="74" t="n"/>
      <c r="E546" s="130">
        <f>IF($D546="","",IFERROR(INDEX(코드설정!$D$5:$D$24,MATCH($D546,코드설정!$C$5:$C$24,0)),""))</f>
        <v/>
      </c>
      <c r="F546" s="74" t="n"/>
      <c r="G546" s="74" t="n"/>
      <c r="H546" s="36" t="n"/>
      <c r="I546" s="36" t="n"/>
      <c r="J546" s="74" t="n"/>
      <c r="K546" s="36" t="n"/>
    </row>
    <row r="547">
      <c r="A547" s="118">
        <f>IF($B547="","",COUNT($B$5:$B547))</f>
        <v/>
      </c>
      <c r="B547" s="80" t="n"/>
      <c r="C547" s="130">
        <f>IF($B547="","",CHOOSE(WEEKDAY($B547),"일","월","화","수","목","금","토"))</f>
        <v/>
      </c>
      <c r="D547" s="74" t="n"/>
      <c r="E547" s="130">
        <f>IF($D547="","",IFERROR(INDEX(코드설정!$D$5:$D$24,MATCH($D547,코드설정!$C$5:$C$24,0)),""))</f>
        <v/>
      </c>
      <c r="F547" s="74" t="n"/>
      <c r="G547" s="74" t="n"/>
      <c r="H547" s="36" t="n"/>
      <c r="I547" s="36" t="n"/>
      <c r="J547" s="74" t="n"/>
      <c r="K547" s="36" t="n"/>
    </row>
    <row r="548">
      <c r="A548" s="118">
        <f>IF($B548="","",COUNT($B$5:$B548))</f>
        <v/>
      </c>
      <c r="B548" s="80" t="n"/>
      <c r="C548" s="130">
        <f>IF($B548="","",CHOOSE(WEEKDAY($B548),"일","월","화","수","목","금","토"))</f>
        <v/>
      </c>
      <c r="D548" s="74" t="n"/>
      <c r="E548" s="130">
        <f>IF($D548="","",IFERROR(INDEX(코드설정!$D$5:$D$24,MATCH($D548,코드설정!$C$5:$C$24,0)),""))</f>
        <v/>
      </c>
      <c r="F548" s="74" t="n"/>
      <c r="G548" s="74" t="n"/>
      <c r="H548" s="36" t="n"/>
      <c r="I548" s="36" t="n"/>
      <c r="J548" s="74" t="n"/>
      <c r="K548" s="36" t="n"/>
    </row>
    <row r="549">
      <c r="A549" s="118">
        <f>IF($B549="","",COUNT($B$5:$B549))</f>
        <v/>
      </c>
      <c r="B549" s="80" t="n"/>
      <c r="C549" s="130">
        <f>IF($B549="","",CHOOSE(WEEKDAY($B549),"일","월","화","수","목","금","토"))</f>
        <v/>
      </c>
      <c r="D549" s="74" t="n"/>
      <c r="E549" s="130">
        <f>IF($D549="","",IFERROR(INDEX(코드설정!$D$5:$D$24,MATCH($D549,코드설정!$C$5:$C$24,0)),""))</f>
        <v/>
      </c>
      <c r="F549" s="74" t="n"/>
      <c r="G549" s="74" t="n"/>
      <c r="H549" s="36" t="n"/>
      <c r="I549" s="36" t="n"/>
      <c r="J549" s="74" t="n"/>
      <c r="K549" s="36" t="n"/>
    </row>
    <row r="550">
      <c r="A550" s="118">
        <f>IF($B550="","",COUNT($B$5:$B550))</f>
        <v/>
      </c>
      <c r="B550" s="80" t="n"/>
      <c r="C550" s="130">
        <f>IF($B550="","",CHOOSE(WEEKDAY($B550),"일","월","화","수","목","금","토"))</f>
        <v/>
      </c>
      <c r="D550" s="74" t="n"/>
      <c r="E550" s="130">
        <f>IF($D550="","",IFERROR(INDEX(코드설정!$D$5:$D$24,MATCH($D550,코드설정!$C$5:$C$24,0)),""))</f>
        <v/>
      </c>
      <c r="F550" s="74" t="n"/>
      <c r="G550" s="74" t="n"/>
      <c r="H550" s="36" t="n"/>
      <c r="I550" s="36" t="n"/>
      <c r="J550" s="74" t="n"/>
      <c r="K550" s="36" t="n"/>
    </row>
    <row r="551">
      <c r="A551" s="118">
        <f>IF($B551="","",COUNT($B$5:$B551))</f>
        <v/>
      </c>
      <c r="B551" s="80" t="n"/>
      <c r="C551" s="130">
        <f>IF($B551="","",CHOOSE(WEEKDAY($B551),"일","월","화","수","목","금","토"))</f>
        <v/>
      </c>
      <c r="D551" s="74" t="n"/>
      <c r="E551" s="130">
        <f>IF($D551="","",IFERROR(INDEX(코드설정!$D$5:$D$24,MATCH($D551,코드설정!$C$5:$C$24,0)),""))</f>
        <v/>
      </c>
      <c r="F551" s="74" t="n"/>
      <c r="G551" s="74" t="n"/>
      <c r="H551" s="36" t="n"/>
      <c r="I551" s="36" t="n"/>
      <c r="J551" s="74" t="n"/>
      <c r="K551" s="36" t="n"/>
    </row>
    <row r="552">
      <c r="A552" s="118">
        <f>IF($B552="","",COUNT($B$5:$B552))</f>
        <v/>
      </c>
      <c r="B552" s="80" t="n"/>
      <c r="C552" s="130">
        <f>IF($B552="","",CHOOSE(WEEKDAY($B552),"일","월","화","수","목","금","토"))</f>
        <v/>
      </c>
      <c r="D552" s="74" t="n"/>
      <c r="E552" s="130">
        <f>IF($D552="","",IFERROR(INDEX(코드설정!$D$5:$D$24,MATCH($D552,코드설정!$C$5:$C$24,0)),""))</f>
        <v/>
      </c>
      <c r="F552" s="74" t="n"/>
      <c r="G552" s="74" t="n"/>
      <c r="H552" s="36" t="n"/>
      <c r="I552" s="36" t="n"/>
      <c r="J552" s="74" t="n"/>
      <c r="K552" s="36" t="n"/>
    </row>
    <row r="553">
      <c r="A553" s="118">
        <f>IF($B553="","",COUNT($B$5:$B553))</f>
        <v/>
      </c>
      <c r="B553" s="80" t="n"/>
      <c r="C553" s="130">
        <f>IF($B553="","",CHOOSE(WEEKDAY($B553),"일","월","화","수","목","금","토"))</f>
        <v/>
      </c>
      <c r="D553" s="74" t="n"/>
      <c r="E553" s="130">
        <f>IF($D553="","",IFERROR(INDEX(코드설정!$D$5:$D$24,MATCH($D553,코드설정!$C$5:$C$24,0)),""))</f>
        <v/>
      </c>
      <c r="F553" s="74" t="n"/>
      <c r="G553" s="74" t="n"/>
      <c r="H553" s="36" t="n"/>
      <c r="I553" s="36" t="n"/>
      <c r="J553" s="74" t="n"/>
      <c r="K553" s="36" t="n"/>
    </row>
    <row r="554">
      <c r="A554" s="118">
        <f>IF($B554="","",COUNT($B$5:$B554))</f>
        <v/>
      </c>
      <c r="B554" s="80" t="n"/>
      <c r="C554" s="130">
        <f>IF($B554="","",CHOOSE(WEEKDAY($B554),"일","월","화","수","목","금","토"))</f>
        <v/>
      </c>
      <c r="D554" s="74" t="n"/>
      <c r="E554" s="130">
        <f>IF($D554="","",IFERROR(INDEX(코드설정!$D$5:$D$24,MATCH($D554,코드설정!$C$5:$C$24,0)),""))</f>
        <v/>
      </c>
      <c r="F554" s="74" t="n"/>
      <c r="G554" s="74" t="n"/>
      <c r="H554" s="36" t="n"/>
      <c r="I554" s="36" t="n"/>
      <c r="J554" s="74" t="n"/>
      <c r="K554" s="36" t="n"/>
    </row>
    <row r="555">
      <c r="A555" s="118">
        <f>IF($B555="","",COUNT($B$5:$B555))</f>
        <v/>
      </c>
      <c r="B555" s="80" t="n"/>
      <c r="C555" s="130">
        <f>IF($B555="","",CHOOSE(WEEKDAY($B555),"일","월","화","수","목","금","토"))</f>
        <v/>
      </c>
      <c r="D555" s="74" t="n"/>
      <c r="E555" s="130">
        <f>IF($D555="","",IFERROR(INDEX(코드설정!$D$5:$D$24,MATCH($D555,코드설정!$C$5:$C$24,0)),""))</f>
        <v/>
      </c>
      <c r="F555" s="74" t="n"/>
      <c r="G555" s="74" t="n"/>
      <c r="H555" s="36" t="n"/>
      <c r="I555" s="36" t="n"/>
      <c r="J555" s="74" t="n"/>
      <c r="K555" s="36" t="n"/>
    </row>
    <row r="556">
      <c r="A556" s="118">
        <f>IF($B556="","",COUNT($B$5:$B556))</f>
        <v/>
      </c>
      <c r="B556" s="80" t="n"/>
      <c r="C556" s="130">
        <f>IF($B556="","",CHOOSE(WEEKDAY($B556),"일","월","화","수","목","금","토"))</f>
        <v/>
      </c>
      <c r="D556" s="74" t="n"/>
      <c r="E556" s="130">
        <f>IF($D556="","",IFERROR(INDEX(코드설정!$D$5:$D$24,MATCH($D556,코드설정!$C$5:$C$24,0)),""))</f>
        <v/>
      </c>
      <c r="F556" s="74" t="n"/>
      <c r="G556" s="74" t="n"/>
      <c r="H556" s="36" t="n"/>
      <c r="I556" s="36" t="n"/>
      <c r="J556" s="74" t="n"/>
      <c r="K556" s="36" t="n"/>
    </row>
    <row r="557">
      <c r="A557" s="118">
        <f>IF($B557="","",COUNT($B$5:$B557))</f>
        <v/>
      </c>
      <c r="B557" s="80" t="n"/>
      <c r="C557" s="130">
        <f>IF($B557="","",CHOOSE(WEEKDAY($B557),"일","월","화","수","목","금","토"))</f>
        <v/>
      </c>
      <c r="D557" s="74" t="n"/>
      <c r="E557" s="130">
        <f>IF($D557="","",IFERROR(INDEX(코드설정!$D$5:$D$24,MATCH($D557,코드설정!$C$5:$C$24,0)),""))</f>
        <v/>
      </c>
      <c r="F557" s="74" t="n"/>
      <c r="G557" s="74" t="n"/>
      <c r="H557" s="36" t="n"/>
      <c r="I557" s="36" t="n"/>
      <c r="J557" s="74" t="n"/>
      <c r="K557" s="36" t="n"/>
    </row>
    <row r="558">
      <c r="A558" s="118">
        <f>IF($B558="","",COUNT($B$5:$B558))</f>
        <v/>
      </c>
      <c r="B558" s="80" t="n"/>
      <c r="C558" s="130">
        <f>IF($B558="","",CHOOSE(WEEKDAY($B558),"일","월","화","수","목","금","토"))</f>
        <v/>
      </c>
      <c r="D558" s="74" t="n"/>
      <c r="E558" s="130">
        <f>IF($D558="","",IFERROR(INDEX(코드설정!$D$5:$D$24,MATCH($D558,코드설정!$C$5:$C$24,0)),""))</f>
        <v/>
      </c>
      <c r="F558" s="74" t="n"/>
      <c r="G558" s="74" t="n"/>
      <c r="H558" s="36" t="n"/>
      <c r="I558" s="36" t="n"/>
      <c r="J558" s="74" t="n"/>
      <c r="K558" s="36" t="n"/>
    </row>
    <row r="559">
      <c r="A559" s="118">
        <f>IF($B559="","",COUNT($B$5:$B559))</f>
        <v/>
      </c>
      <c r="B559" s="80" t="n"/>
      <c r="C559" s="130">
        <f>IF($B559="","",CHOOSE(WEEKDAY($B559),"일","월","화","수","목","금","토"))</f>
        <v/>
      </c>
      <c r="D559" s="74" t="n"/>
      <c r="E559" s="130">
        <f>IF($D559="","",IFERROR(INDEX(코드설정!$D$5:$D$24,MATCH($D559,코드설정!$C$5:$C$24,0)),""))</f>
        <v/>
      </c>
      <c r="F559" s="74" t="n"/>
      <c r="G559" s="74" t="n"/>
      <c r="H559" s="36" t="n"/>
      <c r="I559" s="36" t="n"/>
      <c r="J559" s="74" t="n"/>
      <c r="K559" s="36" t="n"/>
    </row>
    <row r="560">
      <c r="A560" s="118">
        <f>IF($B560="","",COUNT($B$5:$B560))</f>
        <v/>
      </c>
      <c r="B560" s="80" t="n"/>
      <c r="C560" s="130">
        <f>IF($B560="","",CHOOSE(WEEKDAY($B560),"일","월","화","수","목","금","토"))</f>
        <v/>
      </c>
      <c r="D560" s="74" t="n"/>
      <c r="E560" s="130">
        <f>IF($D560="","",IFERROR(INDEX(코드설정!$D$5:$D$24,MATCH($D560,코드설정!$C$5:$C$24,0)),""))</f>
        <v/>
      </c>
      <c r="F560" s="74" t="n"/>
      <c r="G560" s="74" t="n"/>
      <c r="H560" s="36" t="n"/>
      <c r="I560" s="36" t="n"/>
      <c r="J560" s="74" t="n"/>
      <c r="K560" s="36" t="n"/>
    </row>
    <row r="561">
      <c r="A561" s="118">
        <f>IF($B561="","",COUNT($B$5:$B561))</f>
        <v/>
      </c>
      <c r="B561" s="80" t="n"/>
      <c r="C561" s="130">
        <f>IF($B561="","",CHOOSE(WEEKDAY($B561),"일","월","화","수","목","금","토"))</f>
        <v/>
      </c>
      <c r="D561" s="74" t="n"/>
      <c r="E561" s="130">
        <f>IF($D561="","",IFERROR(INDEX(코드설정!$D$5:$D$24,MATCH($D561,코드설정!$C$5:$C$24,0)),""))</f>
        <v/>
      </c>
      <c r="F561" s="74" t="n"/>
      <c r="G561" s="74" t="n"/>
      <c r="H561" s="36" t="n"/>
      <c r="I561" s="36" t="n"/>
      <c r="J561" s="74" t="n"/>
      <c r="K561" s="36" t="n"/>
    </row>
    <row r="562">
      <c r="A562" s="118">
        <f>IF($B562="","",COUNT($B$5:$B562))</f>
        <v/>
      </c>
      <c r="B562" s="80" t="n"/>
      <c r="C562" s="130">
        <f>IF($B562="","",CHOOSE(WEEKDAY($B562),"일","월","화","수","목","금","토"))</f>
        <v/>
      </c>
      <c r="D562" s="74" t="n"/>
      <c r="E562" s="130">
        <f>IF($D562="","",IFERROR(INDEX(코드설정!$D$5:$D$24,MATCH($D562,코드설정!$C$5:$C$24,0)),""))</f>
        <v/>
      </c>
      <c r="F562" s="74" t="n"/>
      <c r="G562" s="74" t="n"/>
      <c r="H562" s="36" t="n"/>
      <c r="I562" s="36" t="n"/>
      <c r="J562" s="74" t="n"/>
      <c r="K562" s="36" t="n"/>
    </row>
    <row r="563">
      <c r="A563" s="118">
        <f>IF($B563="","",COUNT($B$5:$B563))</f>
        <v/>
      </c>
      <c r="B563" s="80" t="n"/>
      <c r="C563" s="130">
        <f>IF($B563="","",CHOOSE(WEEKDAY($B563),"일","월","화","수","목","금","토"))</f>
        <v/>
      </c>
      <c r="D563" s="74" t="n"/>
      <c r="E563" s="130">
        <f>IF($D563="","",IFERROR(INDEX(코드설정!$D$5:$D$24,MATCH($D563,코드설정!$C$5:$C$24,0)),""))</f>
        <v/>
      </c>
      <c r="F563" s="74" t="n"/>
      <c r="G563" s="74" t="n"/>
      <c r="H563" s="36" t="n"/>
      <c r="I563" s="36" t="n"/>
      <c r="J563" s="74" t="n"/>
      <c r="K563" s="36" t="n"/>
    </row>
    <row r="564">
      <c r="A564" s="118">
        <f>IF($B564="","",COUNT($B$5:$B564))</f>
        <v/>
      </c>
      <c r="B564" s="80" t="n"/>
      <c r="C564" s="130">
        <f>IF($B564="","",CHOOSE(WEEKDAY($B564),"일","월","화","수","목","금","토"))</f>
        <v/>
      </c>
      <c r="D564" s="74" t="n"/>
      <c r="E564" s="130">
        <f>IF($D564="","",IFERROR(INDEX(코드설정!$D$5:$D$24,MATCH($D564,코드설정!$C$5:$C$24,0)),""))</f>
        <v/>
      </c>
      <c r="F564" s="74" t="n"/>
      <c r="G564" s="74" t="n"/>
      <c r="H564" s="36" t="n"/>
      <c r="I564" s="36" t="n"/>
      <c r="J564" s="74" t="n"/>
      <c r="K564" s="36" t="n"/>
    </row>
    <row r="565">
      <c r="A565" s="118">
        <f>IF($B565="","",COUNT($B$5:$B565))</f>
        <v/>
      </c>
      <c r="B565" s="80" t="n"/>
      <c r="C565" s="130">
        <f>IF($B565="","",CHOOSE(WEEKDAY($B565),"일","월","화","수","목","금","토"))</f>
        <v/>
      </c>
      <c r="D565" s="74" t="n"/>
      <c r="E565" s="130">
        <f>IF($D565="","",IFERROR(INDEX(코드설정!$D$5:$D$24,MATCH($D565,코드설정!$C$5:$C$24,0)),""))</f>
        <v/>
      </c>
      <c r="F565" s="74" t="n"/>
      <c r="G565" s="74" t="n"/>
      <c r="H565" s="36" t="n"/>
      <c r="I565" s="36" t="n"/>
      <c r="J565" s="74" t="n"/>
      <c r="K565" s="36" t="n"/>
    </row>
    <row r="566">
      <c r="A566" s="118">
        <f>IF($B566="","",COUNT($B$5:$B566))</f>
        <v/>
      </c>
      <c r="B566" s="80" t="n"/>
      <c r="C566" s="130">
        <f>IF($B566="","",CHOOSE(WEEKDAY($B566),"일","월","화","수","목","금","토"))</f>
        <v/>
      </c>
      <c r="D566" s="74" t="n"/>
      <c r="E566" s="130">
        <f>IF($D566="","",IFERROR(INDEX(코드설정!$D$5:$D$24,MATCH($D566,코드설정!$C$5:$C$24,0)),""))</f>
        <v/>
      </c>
      <c r="F566" s="74" t="n"/>
      <c r="G566" s="74" t="n"/>
      <c r="H566" s="36" t="n"/>
      <c r="I566" s="36" t="n"/>
      <c r="J566" s="74" t="n"/>
      <c r="K566" s="36" t="n"/>
    </row>
    <row r="567">
      <c r="A567" s="118">
        <f>IF($B567="","",COUNT($B$5:$B567))</f>
        <v/>
      </c>
      <c r="B567" s="80" t="n"/>
      <c r="C567" s="130">
        <f>IF($B567="","",CHOOSE(WEEKDAY($B567),"일","월","화","수","목","금","토"))</f>
        <v/>
      </c>
      <c r="D567" s="74" t="n"/>
      <c r="E567" s="130">
        <f>IF($D567="","",IFERROR(INDEX(코드설정!$D$5:$D$24,MATCH($D567,코드설정!$C$5:$C$24,0)),""))</f>
        <v/>
      </c>
      <c r="F567" s="74" t="n"/>
      <c r="G567" s="74" t="n"/>
      <c r="H567" s="36" t="n"/>
      <c r="I567" s="36" t="n"/>
      <c r="J567" s="74" t="n"/>
      <c r="K567" s="36" t="n"/>
    </row>
    <row r="568">
      <c r="A568" s="118">
        <f>IF($B568="","",COUNT($B$5:$B568))</f>
        <v/>
      </c>
      <c r="B568" s="80" t="n"/>
      <c r="C568" s="130">
        <f>IF($B568="","",CHOOSE(WEEKDAY($B568),"일","월","화","수","목","금","토"))</f>
        <v/>
      </c>
      <c r="D568" s="74" t="n"/>
      <c r="E568" s="130">
        <f>IF($D568="","",IFERROR(INDEX(코드설정!$D$5:$D$24,MATCH($D568,코드설정!$C$5:$C$24,0)),""))</f>
        <v/>
      </c>
      <c r="F568" s="74" t="n"/>
      <c r="G568" s="74" t="n"/>
      <c r="H568" s="36" t="n"/>
      <c r="I568" s="36" t="n"/>
      <c r="J568" s="74" t="n"/>
      <c r="K568" s="36" t="n"/>
    </row>
    <row r="569">
      <c r="A569" s="118">
        <f>IF($B569="","",COUNT($B$5:$B569))</f>
        <v/>
      </c>
      <c r="B569" s="80" t="n"/>
      <c r="C569" s="130">
        <f>IF($B569="","",CHOOSE(WEEKDAY($B569),"일","월","화","수","목","금","토"))</f>
        <v/>
      </c>
      <c r="D569" s="74" t="n"/>
      <c r="E569" s="130">
        <f>IF($D569="","",IFERROR(INDEX(코드설정!$D$5:$D$24,MATCH($D569,코드설정!$C$5:$C$24,0)),""))</f>
        <v/>
      </c>
      <c r="F569" s="74" t="n"/>
      <c r="G569" s="74" t="n"/>
      <c r="H569" s="36" t="n"/>
      <c r="I569" s="36" t="n"/>
      <c r="J569" s="74" t="n"/>
      <c r="K569" s="36" t="n"/>
    </row>
    <row r="570">
      <c r="A570" s="118">
        <f>IF($B570="","",COUNT($B$5:$B570))</f>
        <v/>
      </c>
      <c r="B570" s="80" t="n"/>
      <c r="C570" s="130">
        <f>IF($B570="","",CHOOSE(WEEKDAY($B570),"일","월","화","수","목","금","토"))</f>
        <v/>
      </c>
      <c r="D570" s="74" t="n"/>
      <c r="E570" s="130">
        <f>IF($D570="","",IFERROR(INDEX(코드설정!$D$5:$D$24,MATCH($D570,코드설정!$C$5:$C$24,0)),""))</f>
        <v/>
      </c>
      <c r="F570" s="74" t="n"/>
      <c r="G570" s="74" t="n"/>
      <c r="H570" s="36" t="n"/>
      <c r="I570" s="36" t="n"/>
      <c r="J570" s="74" t="n"/>
      <c r="K570" s="36" t="n"/>
    </row>
    <row r="571">
      <c r="A571" s="118">
        <f>IF($B571="","",COUNT($B$5:$B571))</f>
        <v/>
      </c>
      <c r="B571" s="80" t="n"/>
      <c r="C571" s="130">
        <f>IF($B571="","",CHOOSE(WEEKDAY($B571),"일","월","화","수","목","금","토"))</f>
        <v/>
      </c>
      <c r="D571" s="74" t="n"/>
      <c r="E571" s="130">
        <f>IF($D571="","",IFERROR(INDEX(코드설정!$D$5:$D$24,MATCH($D571,코드설정!$C$5:$C$24,0)),""))</f>
        <v/>
      </c>
      <c r="F571" s="74" t="n"/>
      <c r="G571" s="74" t="n"/>
      <c r="H571" s="36" t="n"/>
      <c r="I571" s="36" t="n"/>
      <c r="J571" s="74" t="n"/>
      <c r="K571" s="36" t="n"/>
    </row>
    <row r="572">
      <c r="A572" s="118">
        <f>IF($B572="","",COUNT($B$5:$B572))</f>
        <v/>
      </c>
      <c r="B572" s="80" t="n"/>
      <c r="C572" s="130">
        <f>IF($B572="","",CHOOSE(WEEKDAY($B572),"일","월","화","수","목","금","토"))</f>
        <v/>
      </c>
      <c r="D572" s="74" t="n"/>
      <c r="E572" s="130">
        <f>IF($D572="","",IFERROR(INDEX(코드설정!$D$5:$D$24,MATCH($D572,코드설정!$C$5:$C$24,0)),""))</f>
        <v/>
      </c>
      <c r="F572" s="74" t="n"/>
      <c r="G572" s="74" t="n"/>
      <c r="H572" s="36" t="n"/>
      <c r="I572" s="36" t="n"/>
      <c r="J572" s="74" t="n"/>
      <c r="K572" s="36" t="n"/>
    </row>
    <row r="573">
      <c r="A573" s="118">
        <f>IF($B573="","",COUNT($B$5:$B573))</f>
        <v/>
      </c>
      <c r="B573" s="80" t="n"/>
      <c r="C573" s="130">
        <f>IF($B573="","",CHOOSE(WEEKDAY($B573),"일","월","화","수","목","금","토"))</f>
        <v/>
      </c>
      <c r="D573" s="74" t="n"/>
      <c r="E573" s="130">
        <f>IF($D573="","",IFERROR(INDEX(코드설정!$D$5:$D$24,MATCH($D573,코드설정!$C$5:$C$24,0)),""))</f>
        <v/>
      </c>
      <c r="F573" s="74" t="n"/>
      <c r="G573" s="74" t="n"/>
      <c r="H573" s="36" t="n"/>
      <c r="I573" s="36" t="n"/>
      <c r="J573" s="74" t="n"/>
      <c r="K573" s="36" t="n"/>
    </row>
    <row r="574">
      <c r="A574" s="118">
        <f>IF($B574="","",COUNT($B$5:$B574))</f>
        <v/>
      </c>
      <c r="B574" s="80" t="n"/>
      <c r="C574" s="130">
        <f>IF($B574="","",CHOOSE(WEEKDAY($B574),"일","월","화","수","목","금","토"))</f>
        <v/>
      </c>
      <c r="D574" s="74" t="n"/>
      <c r="E574" s="130">
        <f>IF($D574="","",IFERROR(INDEX(코드설정!$D$5:$D$24,MATCH($D574,코드설정!$C$5:$C$24,0)),""))</f>
        <v/>
      </c>
      <c r="F574" s="74" t="n"/>
      <c r="G574" s="74" t="n"/>
      <c r="H574" s="36" t="n"/>
      <c r="I574" s="36" t="n"/>
      <c r="J574" s="74" t="n"/>
      <c r="K574" s="36" t="n"/>
    </row>
    <row r="575">
      <c r="A575" s="118">
        <f>IF($B575="","",COUNT($B$5:$B575))</f>
        <v/>
      </c>
      <c r="B575" s="80" t="n"/>
      <c r="C575" s="130">
        <f>IF($B575="","",CHOOSE(WEEKDAY($B575),"일","월","화","수","목","금","토"))</f>
        <v/>
      </c>
      <c r="D575" s="74" t="n"/>
      <c r="E575" s="130">
        <f>IF($D575="","",IFERROR(INDEX(코드설정!$D$5:$D$24,MATCH($D575,코드설정!$C$5:$C$24,0)),""))</f>
        <v/>
      </c>
      <c r="F575" s="74" t="n"/>
      <c r="G575" s="74" t="n"/>
      <c r="H575" s="36" t="n"/>
      <c r="I575" s="36" t="n"/>
      <c r="J575" s="74" t="n"/>
      <c r="K575" s="36" t="n"/>
    </row>
    <row r="576">
      <c r="A576" s="118">
        <f>IF($B576="","",COUNT($B$5:$B576))</f>
        <v/>
      </c>
      <c r="B576" s="80" t="n"/>
      <c r="C576" s="130">
        <f>IF($B576="","",CHOOSE(WEEKDAY($B576),"일","월","화","수","목","금","토"))</f>
        <v/>
      </c>
      <c r="D576" s="74" t="n"/>
      <c r="E576" s="130">
        <f>IF($D576="","",IFERROR(INDEX(코드설정!$D$5:$D$24,MATCH($D576,코드설정!$C$5:$C$24,0)),""))</f>
        <v/>
      </c>
      <c r="F576" s="74" t="n"/>
      <c r="G576" s="74" t="n"/>
      <c r="H576" s="36" t="n"/>
      <c r="I576" s="36" t="n"/>
      <c r="J576" s="74" t="n"/>
      <c r="K576" s="36" t="n"/>
    </row>
    <row r="577">
      <c r="A577" s="118">
        <f>IF($B577="","",COUNT($B$5:$B577))</f>
        <v/>
      </c>
      <c r="B577" s="80" t="n"/>
      <c r="C577" s="130">
        <f>IF($B577="","",CHOOSE(WEEKDAY($B577),"일","월","화","수","목","금","토"))</f>
        <v/>
      </c>
      <c r="D577" s="74" t="n"/>
      <c r="E577" s="130">
        <f>IF($D577="","",IFERROR(INDEX(코드설정!$D$5:$D$24,MATCH($D577,코드설정!$C$5:$C$24,0)),""))</f>
        <v/>
      </c>
      <c r="F577" s="74" t="n"/>
      <c r="G577" s="74" t="n"/>
      <c r="H577" s="36" t="n"/>
      <c r="I577" s="36" t="n"/>
      <c r="J577" s="74" t="n"/>
      <c r="K577" s="36" t="n"/>
    </row>
    <row r="578">
      <c r="A578" s="118">
        <f>IF($B578="","",COUNT($B$5:$B578))</f>
        <v/>
      </c>
      <c r="B578" s="80" t="n"/>
      <c r="C578" s="130">
        <f>IF($B578="","",CHOOSE(WEEKDAY($B578),"일","월","화","수","목","금","토"))</f>
        <v/>
      </c>
      <c r="D578" s="74" t="n"/>
      <c r="E578" s="130">
        <f>IF($D578="","",IFERROR(INDEX(코드설정!$D$5:$D$24,MATCH($D578,코드설정!$C$5:$C$24,0)),""))</f>
        <v/>
      </c>
      <c r="F578" s="74" t="n"/>
      <c r="G578" s="74" t="n"/>
      <c r="H578" s="36" t="n"/>
      <c r="I578" s="36" t="n"/>
      <c r="J578" s="74" t="n"/>
      <c r="K578" s="36" t="n"/>
    </row>
    <row r="579">
      <c r="A579" s="118">
        <f>IF($B579="","",COUNT($B$5:$B579))</f>
        <v/>
      </c>
      <c r="B579" s="80" t="n"/>
      <c r="C579" s="130">
        <f>IF($B579="","",CHOOSE(WEEKDAY($B579),"일","월","화","수","목","금","토"))</f>
        <v/>
      </c>
      <c r="D579" s="74" t="n"/>
      <c r="E579" s="130">
        <f>IF($D579="","",IFERROR(INDEX(코드설정!$D$5:$D$24,MATCH($D579,코드설정!$C$5:$C$24,0)),""))</f>
        <v/>
      </c>
      <c r="F579" s="74" t="n"/>
      <c r="G579" s="74" t="n"/>
      <c r="H579" s="36" t="n"/>
      <c r="I579" s="36" t="n"/>
      <c r="J579" s="74" t="n"/>
      <c r="K579" s="36" t="n"/>
    </row>
    <row r="580">
      <c r="A580" s="118">
        <f>IF($B580="","",COUNT($B$5:$B580))</f>
        <v/>
      </c>
      <c r="B580" s="80" t="n"/>
      <c r="C580" s="130">
        <f>IF($B580="","",CHOOSE(WEEKDAY($B580),"일","월","화","수","목","금","토"))</f>
        <v/>
      </c>
      <c r="D580" s="74" t="n"/>
      <c r="E580" s="130">
        <f>IF($D580="","",IFERROR(INDEX(코드설정!$D$5:$D$24,MATCH($D580,코드설정!$C$5:$C$24,0)),""))</f>
        <v/>
      </c>
      <c r="F580" s="74" t="n"/>
      <c r="G580" s="74" t="n"/>
      <c r="H580" s="36" t="n"/>
      <c r="I580" s="36" t="n"/>
      <c r="J580" s="74" t="n"/>
      <c r="K580" s="36" t="n"/>
    </row>
    <row r="581">
      <c r="A581" s="118">
        <f>IF($B581="","",COUNT($B$5:$B581))</f>
        <v/>
      </c>
      <c r="B581" s="80" t="n"/>
      <c r="C581" s="130">
        <f>IF($B581="","",CHOOSE(WEEKDAY($B581),"일","월","화","수","목","금","토"))</f>
        <v/>
      </c>
      <c r="D581" s="74" t="n"/>
      <c r="E581" s="130">
        <f>IF($D581="","",IFERROR(INDEX(코드설정!$D$5:$D$24,MATCH($D581,코드설정!$C$5:$C$24,0)),""))</f>
        <v/>
      </c>
      <c r="F581" s="74" t="n"/>
      <c r="G581" s="74" t="n"/>
      <c r="H581" s="36" t="n"/>
      <c r="I581" s="36" t="n"/>
      <c r="J581" s="74" t="n"/>
      <c r="K581" s="36" t="n"/>
    </row>
    <row r="582">
      <c r="A582" s="118">
        <f>IF($B582="","",COUNT($B$5:$B582))</f>
        <v/>
      </c>
      <c r="B582" s="80" t="n"/>
      <c r="C582" s="130">
        <f>IF($B582="","",CHOOSE(WEEKDAY($B582),"일","월","화","수","목","금","토"))</f>
        <v/>
      </c>
      <c r="D582" s="74" t="n"/>
      <c r="E582" s="130">
        <f>IF($D582="","",IFERROR(INDEX(코드설정!$D$5:$D$24,MATCH($D582,코드설정!$C$5:$C$24,0)),""))</f>
        <v/>
      </c>
      <c r="F582" s="74" t="n"/>
      <c r="G582" s="74" t="n"/>
      <c r="H582" s="36" t="n"/>
      <c r="I582" s="36" t="n"/>
      <c r="J582" s="74" t="n"/>
      <c r="K582" s="36" t="n"/>
    </row>
    <row r="583">
      <c r="A583" s="118">
        <f>IF($B583="","",COUNT($B$5:$B583))</f>
        <v/>
      </c>
      <c r="B583" s="80" t="n"/>
      <c r="C583" s="130">
        <f>IF($B583="","",CHOOSE(WEEKDAY($B583),"일","월","화","수","목","금","토"))</f>
        <v/>
      </c>
      <c r="D583" s="74" t="n"/>
      <c r="E583" s="130">
        <f>IF($D583="","",IFERROR(INDEX(코드설정!$D$5:$D$24,MATCH($D583,코드설정!$C$5:$C$24,0)),""))</f>
        <v/>
      </c>
      <c r="F583" s="74" t="n"/>
      <c r="G583" s="74" t="n"/>
      <c r="H583" s="36" t="n"/>
      <c r="I583" s="36" t="n"/>
      <c r="J583" s="74" t="n"/>
      <c r="K583" s="36" t="n"/>
    </row>
    <row r="584">
      <c r="A584" s="118">
        <f>IF($B584="","",COUNT($B$5:$B584))</f>
        <v/>
      </c>
      <c r="B584" s="80" t="n"/>
      <c r="C584" s="130">
        <f>IF($B584="","",CHOOSE(WEEKDAY($B584),"일","월","화","수","목","금","토"))</f>
        <v/>
      </c>
      <c r="D584" s="74" t="n"/>
      <c r="E584" s="130">
        <f>IF($D584="","",IFERROR(INDEX(코드설정!$D$5:$D$24,MATCH($D584,코드설정!$C$5:$C$24,0)),""))</f>
        <v/>
      </c>
      <c r="F584" s="74" t="n"/>
      <c r="G584" s="74" t="n"/>
      <c r="H584" s="36" t="n"/>
      <c r="I584" s="36" t="n"/>
      <c r="J584" s="74" t="n"/>
      <c r="K584" s="36" t="n"/>
    </row>
    <row r="585">
      <c r="A585" s="118">
        <f>IF($B585="","",COUNT($B$5:$B585))</f>
        <v/>
      </c>
      <c r="B585" s="80" t="n"/>
      <c r="C585" s="130">
        <f>IF($B585="","",CHOOSE(WEEKDAY($B585),"일","월","화","수","목","금","토"))</f>
        <v/>
      </c>
      <c r="D585" s="74" t="n"/>
      <c r="E585" s="130">
        <f>IF($D585="","",IFERROR(INDEX(코드설정!$D$5:$D$24,MATCH($D585,코드설정!$C$5:$C$24,0)),""))</f>
        <v/>
      </c>
      <c r="F585" s="74" t="n"/>
      <c r="G585" s="74" t="n"/>
      <c r="H585" s="36" t="n"/>
      <c r="I585" s="36" t="n"/>
      <c r="J585" s="74" t="n"/>
      <c r="K585" s="36" t="n"/>
    </row>
    <row r="586">
      <c r="A586" s="118">
        <f>IF($B586="","",COUNT($B$5:$B586))</f>
        <v/>
      </c>
      <c r="B586" s="80" t="n"/>
      <c r="C586" s="130">
        <f>IF($B586="","",CHOOSE(WEEKDAY($B586),"일","월","화","수","목","금","토"))</f>
        <v/>
      </c>
      <c r="D586" s="74" t="n"/>
      <c r="E586" s="130">
        <f>IF($D586="","",IFERROR(INDEX(코드설정!$D$5:$D$24,MATCH($D586,코드설정!$C$5:$C$24,0)),""))</f>
        <v/>
      </c>
      <c r="F586" s="74" t="n"/>
      <c r="G586" s="74" t="n"/>
      <c r="H586" s="36" t="n"/>
      <c r="I586" s="36" t="n"/>
      <c r="J586" s="74" t="n"/>
      <c r="K586" s="36" t="n"/>
    </row>
    <row r="587">
      <c r="A587" s="118">
        <f>IF($B587="","",COUNT($B$5:$B587))</f>
        <v/>
      </c>
      <c r="B587" s="80" t="n"/>
      <c r="C587" s="130">
        <f>IF($B587="","",CHOOSE(WEEKDAY($B587),"일","월","화","수","목","금","토"))</f>
        <v/>
      </c>
      <c r="D587" s="74" t="n"/>
      <c r="E587" s="130">
        <f>IF($D587="","",IFERROR(INDEX(코드설정!$D$5:$D$24,MATCH($D587,코드설정!$C$5:$C$24,0)),""))</f>
        <v/>
      </c>
      <c r="F587" s="74" t="n"/>
      <c r="G587" s="74" t="n"/>
      <c r="H587" s="36" t="n"/>
      <c r="I587" s="36" t="n"/>
      <c r="J587" s="74" t="n"/>
      <c r="K587" s="36" t="n"/>
    </row>
    <row r="588">
      <c r="A588" s="118">
        <f>IF($B588="","",COUNT($B$5:$B588))</f>
        <v/>
      </c>
      <c r="B588" s="80" t="n"/>
      <c r="C588" s="130">
        <f>IF($B588="","",CHOOSE(WEEKDAY($B588),"일","월","화","수","목","금","토"))</f>
        <v/>
      </c>
      <c r="D588" s="74" t="n"/>
      <c r="E588" s="130">
        <f>IF($D588="","",IFERROR(INDEX(코드설정!$D$5:$D$24,MATCH($D588,코드설정!$C$5:$C$24,0)),""))</f>
        <v/>
      </c>
      <c r="F588" s="74" t="n"/>
      <c r="G588" s="74" t="n"/>
      <c r="H588" s="36" t="n"/>
      <c r="I588" s="36" t="n"/>
      <c r="J588" s="74" t="n"/>
      <c r="K588" s="36" t="n"/>
    </row>
    <row r="589">
      <c r="A589" s="118">
        <f>IF($B589="","",COUNT($B$5:$B589))</f>
        <v/>
      </c>
      <c r="B589" s="80" t="n"/>
      <c r="C589" s="130">
        <f>IF($B589="","",CHOOSE(WEEKDAY($B589),"일","월","화","수","목","금","토"))</f>
        <v/>
      </c>
      <c r="D589" s="74" t="n"/>
      <c r="E589" s="130">
        <f>IF($D589="","",IFERROR(INDEX(코드설정!$D$5:$D$24,MATCH($D589,코드설정!$C$5:$C$24,0)),""))</f>
        <v/>
      </c>
      <c r="F589" s="74" t="n"/>
      <c r="G589" s="74" t="n"/>
      <c r="H589" s="36" t="n"/>
      <c r="I589" s="36" t="n"/>
      <c r="J589" s="74" t="n"/>
      <c r="K589" s="36" t="n"/>
    </row>
    <row r="590">
      <c r="A590" s="118">
        <f>IF($B590="","",COUNT($B$5:$B590))</f>
        <v/>
      </c>
      <c r="B590" s="80" t="n"/>
      <c r="C590" s="130">
        <f>IF($B590="","",CHOOSE(WEEKDAY($B590),"일","월","화","수","목","금","토"))</f>
        <v/>
      </c>
      <c r="D590" s="74" t="n"/>
      <c r="E590" s="130">
        <f>IF($D590="","",IFERROR(INDEX(코드설정!$D$5:$D$24,MATCH($D590,코드설정!$C$5:$C$24,0)),""))</f>
        <v/>
      </c>
      <c r="F590" s="74" t="n"/>
      <c r="G590" s="74" t="n"/>
      <c r="H590" s="36" t="n"/>
      <c r="I590" s="36" t="n"/>
      <c r="J590" s="74" t="n"/>
      <c r="K590" s="36" t="n"/>
    </row>
    <row r="591">
      <c r="A591" s="118">
        <f>IF($B591="","",COUNT($B$5:$B591))</f>
        <v/>
      </c>
      <c r="B591" s="80" t="n"/>
      <c r="C591" s="130">
        <f>IF($B591="","",CHOOSE(WEEKDAY($B591),"일","월","화","수","목","금","토"))</f>
        <v/>
      </c>
      <c r="D591" s="74" t="n"/>
      <c r="E591" s="130">
        <f>IF($D591="","",IFERROR(INDEX(코드설정!$D$5:$D$24,MATCH($D591,코드설정!$C$5:$C$24,0)),""))</f>
        <v/>
      </c>
      <c r="F591" s="74" t="n"/>
      <c r="G591" s="74" t="n"/>
      <c r="H591" s="36" t="n"/>
      <c r="I591" s="36" t="n"/>
      <c r="J591" s="74" t="n"/>
      <c r="K591" s="36" t="n"/>
    </row>
    <row r="592">
      <c r="A592" s="118">
        <f>IF($B592="","",COUNT($B$5:$B592))</f>
        <v/>
      </c>
      <c r="B592" s="80" t="n"/>
      <c r="C592" s="130">
        <f>IF($B592="","",CHOOSE(WEEKDAY($B592),"일","월","화","수","목","금","토"))</f>
        <v/>
      </c>
      <c r="D592" s="74" t="n"/>
      <c r="E592" s="130">
        <f>IF($D592="","",IFERROR(INDEX(코드설정!$D$5:$D$24,MATCH($D592,코드설정!$C$5:$C$24,0)),""))</f>
        <v/>
      </c>
      <c r="F592" s="74" t="n"/>
      <c r="G592" s="74" t="n"/>
      <c r="H592" s="36" t="n"/>
      <c r="I592" s="36" t="n"/>
      <c r="J592" s="74" t="n"/>
      <c r="K592" s="36" t="n"/>
    </row>
    <row r="593">
      <c r="A593" s="118">
        <f>IF($B593="","",COUNT($B$5:$B593))</f>
        <v/>
      </c>
      <c r="B593" s="80" t="n"/>
      <c r="C593" s="130">
        <f>IF($B593="","",CHOOSE(WEEKDAY($B593),"일","월","화","수","목","금","토"))</f>
        <v/>
      </c>
      <c r="D593" s="74" t="n"/>
      <c r="E593" s="130">
        <f>IF($D593="","",IFERROR(INDEX(코드설정!$D$5:$D$24,MATCH($D593,코드설정!$C$5:$C$24,0)),""))</f>
        <v/>
      </c>
      <c r="F593" s="74" t="n"/>
      <c r="G593" s="74" t="n"/>
      <c r="H593" s="36" t="n"/>
      <c r="I593" s="36" t="n"/>
      <c r="J593" s="74" t="n"/>
      <c r="K593" s="36" t="n"/>
    </row>
    <row r="594">
      <c r="A594" s="118">
        <f>IF($B594="","",COUNT($B$5:$B594))</f>
        <v/>
      </c>
      <c r="B594" s="80" t="n"/>
      <c r="C594" s="130">
        <f>IF($B594="","",CHOOSE(WEEKDAY($B594),"일","월","화","수","목","금","토"))</f>
        <v/>
      </c>
      <c r="D594" s="74" t="n"/>
      <c r="E594" s="130">
        <f>IF($D594="","",IFERROR(INDEX(코드설정!$D$5:$D$24,MATCH($D594,코드설정!$C$5:$C$24,0)),""))</f>
        <v/>
      </c>
      <c r="F594" s="74" t="n"/>
      <c r="G594" s="74" t="n"/>
      <c r="H594" s="36" t="n"/>
      <c r="I594" s="36" t="n"/>
      <c r="J594" s="74" t="n"/>
      <c r="K594" s="36" t="n"/>
    </row>
    <row r="595">
      <c r="A595" s="118">
        <f>IF($B595="","",COUNT($B$5:$B595))</f>
        <v/>
      </c>
      <c r="B595" s="80" t="n"/>
      <c r="C595" s="130">
        <f>IF($B595="","",CHOOSE(WEEKDAY($B595),"일","월","화","수","목","금","토"))</f>
        <v/>
      </c>
      <c r="D595" s="74" t="n"/>
      <c r="E595" s="130">
        <f>IF($D595="","",IFERROR(INDEX(코드설정!$D$5:$D$24,MATCH($D595,코드설정!$C$5:$C$24,0)),""))</f>
        <v/>
      </c>
      <c r="F595" s="74" t="n"/>
      <c r="G595" s="74" t="n"/>
      <c r="H595" s="36" t="n"/>
      <c r="I595" s="36" t="n"/>
      <c r="J595" s="74" t="n"/>
      <c r="K595" s="36" t="n"/>
    </row>
    <row r="596">
      <c r="A596" s="118">
        <f>IF($B596="","",COUNT($B$5:$B596))</f>
        <v/>
      </c>
      <c r="B596" s="80" t="n"/>
      <c r="C596" s="130">
        <f>IF($B596="","",CHOOSE(WEEKDAY($B596),"일","월","화","수","목","금","토"))</f>
        <v/>
      </c>
      <c r="D596" s="74" t="n"/>
      <c r="E596" s="130">
        <f>IF($D596="","",IFERROR(INDEX(코드설정!$D$5:$D$24,MATCH($D596,코드설정!$C$5:$C$24,0)),""))</f>
        <v/>
      </c>
      <c r="F596" s="74" t="n"/>
      <c r="G596" s="74" t="n"/>
      <c r="H596" s="36" t="n"/>
      <c r="I596" s="36" t="n"/>
      <c r="J596" s="74" t="n"/>
      <c r="K596" s="36" t="n"/>
    </row>
    <row r="597">
      <c r="A597" s="118">
        <f>IF($B597="","",COUNT($B$5:$B597))</f>
        <v/>
      </c>
      <c r="B597" s="80" t="n"/>
      <c r="C597" s="130">
        <f>IF($B597="","",CHOOSE(WEEKDAY($B597),"일","월","화","수","목","금","토"))</f>
        <v/>
      </c>
      <c r="D597" s="74" t="n"/>
      <c r="E597" s="130">
        <f>IF($D597="","",IFERROR(INDEX(코드설정!$D$5:$D$24,MATCH($D597,코드설정!$C$5:$C$24,0)),""))</f>
        <v/>
      </c>
      <c r="F597" s="74" t="n"/>
      <c r="G597" s="74" t="n"/>
      <c r="H597" s="36" t="n"/>
      <c r="I597" s="36" t="n"/>
      <c r="J597" s="74" t="n"/>
      <c r="K597" s="36" t="n"/>
    </row>
    <row r="598">
      <c r="A598" s="118">
        <f>IF($B598="","",COUNT($B$5:$B598))</f>
        <v/>
      </c>
      <c r="B598" s="80" t="n"/>
      <c r="C598" s="130">
        <f>IF($B598="","",CHOOSE(WEEKDAY($B598),"일","월","화","수","목","금","토"))</f>
        <v/>
      </c>
      <c r="D598" s="74" t="n"/>
      <c r="E598" s="130">
        <f>IF($D598="","",IFERROR(INDEX(코드설정!$D$5:$D$24,MATCH($D598,코드설정!$C$5:$C$24,0)),""))</f>
        <v/>
      </c>
      <c r="F598" s="74" t="n"/>
      <c r="G598" s="74" t="n"/>
      <c r="H598" s="36" t="n"/>
      <c r="I598" s="36" t="n"/>
      <c r="J598" s="74" t="n"/>
      <c r="K598" s="36" t="n"/>
    </row>
    <row r="599">
      <c r="A599" s="118">
        <f>IF($B599="","",COUNT($B$5:$B599))</f>
        <v/>
      </c>
      <c r="B599" s="80" t="n"/>
      <c r="C599" s="130">
        <f>IF($B599="","",CHOOSE(WEEKDAY($B599),"일","월","화","수","목","금","토"))</f>
        <v/>
      </c>
      <c r="D599" s="74" t="n"/>
      <c r="E599" s="130">
        <f>IF($D599="","",IFERROR(INDEX(코드설정!$D$5:$D$24,MATCH($D599,코드설정!$C$5:$C$24,0)),""))</f>
        <v/>
      </c>
      <c r="F599" s="74" t="n"/>
      <c r="G599" s="74" t="n"/>
      <c r="H599" s="36" t="n"/>
      <c r="I599" s="36" t="n"/>
      <c r="J599" s="74" t="n"/>
      <c r="K599" s="36" t="n"/>
    </row>
    <row r="600">
      <c r="A600" s="118">
        <f>IF($B600="","",COUNT($B$5:$B600))</f>
        <v/>
      </c>
      <c r="B600" s="80" t="n"/>
      <c r="C600" s="130">
        <f>IF($B600="","",CHOOSE(WEEKDAY($B600),"일","월","화","수","목","금","토"))</f>
        <v/>
      </c>
      <c r="D600" s="74" t="n"/>
      <c r="E600" s="130">
        <f>IF($D600="","",IFERROR(INDEX(코드설정!$D$5:$D$24,MATCH($D600,코드설정!$C$5:$C$24,0)),""))</f>
        <v/>
      </c>
      <c r="F600" s="74" t="n"/>
      <c r="G600" s="74" t="n"/>
      <c r="H600" s="36" t="n"/>
      <c r="I600" s="36" t="n"/>
      <c r="J600" s="74" t="n"/>
      <c r="K600" s="36" t="n"/>
    </row>
    <row r="601">
      <c r="A601" s="118">
        <f>IF($B601="","",COUNT($B$5:$B601))</f>
        <v/>
      </c>
      <c r="B601" s="80" t="n"/>
      <c r="C601" s="130">
        <f>IF($B601="","",CHOOSE(WEEKDAY($B601),"일","월","화","수","목","금","토"))</f>
        <v/>
      </c>
      <c r="D601" s="74" t="n"/>
      <c r="E601" s="130">
        <f>IF($D601="","",IFERROR(INDEX(코드설정!$D$5:$D$24,MATCH($D601,코드설정!$C$5:$C$24,0)),""))</f>
        <v/>
      </c>
      <c r="F601" s="74" t="n"/>
      <c r="G601" s="74" t="n"/>
      <c r="H601" s="36" t="n"/>
      <c r="I601" s="36" t="n"/>
      <c r="J601" s="74" t="n"/>
      <c r="K601" s="36" t="n"/>
    </row>
    <row r="602">
      <c r="A602" s="118">
        <f>IF($B602="","",COUNT($B$5:$B602))</f>
        <v/>
      </c>
      <c r="B602" s="80" t="n"/>
      <c r="C602" s="130">
        <f>IF($B602="","",CHOOSE(WEEKDAY($B602),"일","월","화","수","목","금","토"))</f>
        <v/>
      </c>
      <c r="D602" s="74" t="n"/>
      <c r="E602" s="130">
        <f>IF($D602="","",IFERROR(INDEX(코드설정!$D$5:$D$24,MATCH($D602,코드설정!$C$5:$C$24,0)),""))</f>
        <v/>
      </c>
      <c r="F602" s="74" t="n"/>
      <c r="G602" s="74" t="n"/>
      <c r="H602" s="36" t="n"/>
      <c r="I602" s="36" t="n"/>
      <c r="J602" s="74" t="n"/>
      <c r="K602" s="36" t="n"/>
    </row>
    <row r="603">
      <c r="A603" s="118">
        <f>IF($B603="","",COUNT($B$5:$B603))</f>
        <v/>
      </c>
      <c r="B603" s="80" t="n"/>
      <c r="C603" s="130">
        <f>IF($B603="","",CHOOSE(WEEKDAY($B603),"일","월","화","수","목","금","토"))</f>
        <v/>
      </c>
      <c r="D603" s="74" t="n"/>
      <c r="E603" s="130">
        <f>IF($D603="","",IFERROR(INDEX(코드설정!$D$5:$D$24,MATCH($D603,코드설정!$C$5:$C$24,0)),""))</f>
        <v/>
      </c>
      <c r="F603" s="74" t="n"/>
      <c r="G603" s="74" t="n"/>
      <c r="H603" s="36" t="n"/>
      <c r="I603" s="36" t="n"/>
      <c r="J603" s="74" t="n"/>
      <c r="K603" s="36" t="n"/>
    </row>
    <row r="604">
      <c r="A604" s="118">
        <f>IF($B604="","",COUNT($B$5:$B604))</f>
        <v/>
      </c>
      <c r="B604" s="80" t="n"/>
      <c r="C604" s="130">
        <f>IF($B604="","",CHOOSE(WEEKDAY($B604),"일","월","화","수","목","금","토"))</f>
        <v/>
      </c>
      <c r="D604" s="74" t="n"/>
      <c r="E604" s="130">
        <f>IF($D604="","",IFERROR(INDEX(코드설정!$D$5:$D$24,MATCH($D604,코드설정!$C$5:$C$24,0)),""))</f>
        <v/>
      </c>
      <c r="F604" s="74" t="n"/>
      <c r="G604" s="74" t="n"/>
      <c r="H604" s="36" t="n"/>
      <c r="I604" s="36" t="n"/>
      <c r="J604" s="74" t="n"/>
      <c r="K604" s="36" t="n"/>
    </row>
    <row r="605">
      <c r="A605" s="118">
        <f>IF($B605="","",COUNT($B$5:$B605))</f>
        <v/>
      </c>
      <c r="B605" s="80" t="n"/>
      <c r="C605" s="130">
        <f>IF($B605="","",CHOOSE(WEEKDAY($B605),"일","월","화","수","목","금","토"))</f>
        <v/>
      </c>
      <c r="D605" s="74" t="n"/>
      <c r="E605" s="130">
        <f>IF($D605="","",IFERROR(INDEX(코드설정!$D$5:$D$24,MATCH($D605,코드설정!$C$5:$C$24,0)),""))</f>
        <v/>
      </c>
      <c r="F605" s="74" t="n"/>
      <c r="G605" s="74" t="n"/>
      <c r="H605" s="36" t="n"/>
      <c r="I605" s="36" t="n"/>
      <c r="J605" s="74" t="n"/>
      <c r="K605" s="36" t="n"/>
    </row>
    <row r="606">
      <c r="A606" s="118">
        <f>IF($B606="","",COUNT($B$5:$B606))</f>
        <v/>
      </c>
      <c r="B606" s="80" t="n"/>
      <c r="C606" s="130">
        <f>IF($B606="","",CHOOSE(WEEKDAY($B606),"일","월","화","수","목","금","토"))</f>
        <v/>
      </c>
      <c r="D606" s="74" t="n"/>
      <c r="E606" s="130">
        <f>IF($D606="","",IFERROR(INDEX(코드설정!$D$5:$D$24,MATCH($D606,코드설정!$C$5:$C$24,0)),""))</f>
        <v/>
      </c>
      <c r="F606" s="74" t="n"/>
      <c r="G606" s="74" t="n"/>
      <c r="H606" s="36" t="n"/>
      <c r="I606" s="36" t="n"/>
      <c r="J606" s="74" t="n"/>
      <c r="K606" s="36" t="n"/>
    </row>
    <row r="607">
      <c r="A607" s="118">
        <f>IF($B607="","",COUNT($B$5:$B607))</f>
        <v/>
      </c>
      <c r="B607" s="80" t="n"/>
      <c r="C607" s="130">
        <f>IF($B607="","",CHOOSE(WEEKDAY($B607),"일","월","화","수","목","금","토"))</f>
        <v/>
      </c>
      <c r="D607" s="74" t="n"/>
      <c r="E607" s="130">
        <f>IF($D607="","",IFERROR(INDEX(코드설정!$D$5:$D$24,MATCH($D607,코드설정!$C$5:$C$24,0)),""))</f>
        <v/>
      </c>
      <c r="F607" s="74" t="n"/>
      <c r="G607" s="74" t="n"/>
      <c r="H607" s="36" t="n"/>
      <c r="I607" s="36" t="n"/>
      <c r="J607" s="74" t="n"/>
      <c r="K607" s="36" t="n"/>
    </row>
    <row r="608">
      <c r="A608" s="118">
        <f>IF($B608="","",COUNT($B$5:$B608))</f>
        <v/>
      </c>
      <c r="B608" s="80" t="n"/>
      <c r="C608" s="130">
        <f>IF($B608="","",CHOOSE(WEEKDAY($B608),"일","월","화","수","목","금","토"))</f>
        <v/>
      </c>
      <c r="D608" s="74" t="n"/>
      <c r="E608" s="130">
        <f>IF($D608="","",IFERROR(INDEX(코드설정!$D$5:$D$24,MATCH($D608,코드설정!$C$5:$C$24,0)),""))</f>
        <v/>
      </c>
      <c r="F608" s="74" t="n"/>
      <c r="G608" s="74" t="n"/>
      <c r="H608" s="36" t="n"/>
      <c r="I608" s="36" t="n"/>
      <c r="J608" s="74" t="n"/>
      <c r="K608" s="36" t="n"/>
    </row>
    <row r="609">
      <c r="A609" s="118">
        <f>IF($B609="","",COUNT($B$5:$B609))</f>
        <v/>
      </c>
      <c r="B609" s="80" t="n"/>
      <c r="C609" s="130">
        <f>IF($B609="","",CHOOSE(WEEKDAY($B609),"일","월","화","수","목","금","토"))</f>
        <v/>
      </c>
      <c r="D609" s="74" t="n"/>
      <c r="E609" s="130">
        <f>IF($D609="","",IFERROR(INDEX(코드설정!$D$5:$D$24,MATCH($D609,코드설정!$C$5:$C$24,0)),""))</f>
        <v/>
      </c>
      <c r="F609" s="74" t="n"/>
      <c r="G609" s="74" t="n"/>
      <c r="H609" s="36" t="n"/>
      <c r="I609" s="36" t="n"/>
      <c r="J609" s="74" t="n"/>
      <c r="K609" s="36" t="n"/>
    </row>
    <row r="610">
      <c r="A610" s="118">
        <f>IF($B610="","",COUNT($B$5:$B610))</f>
        <v/>
      </c>
      <c r="B610" s="80" t="n"/>
      <c r="C610" s="130">
        <f>IF($B610="","",CHOOSE(WEEKDAY($B610),"일","월","화","수","목","금","토"))</f>
        <v/>
      </c>
      <c r="D610" s="74" t="n"/>
      <c r="E610" s="130">
        <f>IF($D610="","",IFERROR(INDEX(코드설정!$D$5:$D$24,MATCH($D610,코드설정!$C$5:$C$24,0)),""))</f>
        <v/>
      </c>
      <c r="F610" s="74" t="n"/>
      <c r="G610" s="74" t="n"/>
      <c r="H610" s="36" t="n"/>
      <c r="I610" s="36" t="n"/>
      <c r="J610" s="74" t="n"/>
      <c r="K610" s="36" t="n"/>
    </row>
    <row r="611">
      <c r="A611" s="118">
        <f>IF($B611="","",COUNT($B$5:$B611))</f>
        <v/>
      </c>
      <c r="B611" s="80" t="n"/>
      <c r="C611" s="130">
        <f>IF($B611="","",CHOOSE(WEEKDAY($B611),"일","월","화","수","목","금","토"))</f>
        <v/>
      </c>
      <c r="D611" s="74" t="n"/>
      <c r="E611" s="130">
        <f>IF($D611="","",IFERROR(INDEX(코드설정!$D$5:$D$24,MATCH($D611,코드설정!$C$5:$C$24,0)),""))</f>
        <v/>
      </c>
      <c r="F611" s="74" t="n"/>
      <c r="G611" s="74" t="n"/>
      <c r="H611" s="36" t="n"/>
      <c r="I611" s="36" t="n"/>
      <c r="J611" s="74" t="n"/>
      <c r="K611" s="36" t="n"/>
    </row>
    <row r="612">
      <c r="A612" s="118">
        <f>IF($B612="","",COUNT($B$5:$B612))</f>
        <v/>
      </c>
      <c r="B612" s="80" t="n"/>
      <c r="C612" s="130">
        <f>IF($B612="","",CHOOSE(WEEKDAY($B612),"일","월","화","수","목","금","토"))</f>
        <v/>
      </c>
      <c r="D612" s="74" t="n"/>
      <c r="E612" s="130">
        <f>IF($D612="","",IFERROR(INDEX(코드설정!$D$5:$D$24,MATCH($D612,코드설정!$C$5:$C$24,0)),""))</f>
        <v/>
      </c>
      <c r="F612" s="74" t="n"/>
      <c r="G612" s="74" t="n"/>
      <c r="H612" s="36" t="n"/>
      <c r="I612" s="36" t="n"/>
      <c r="J612" s="74" t="n"/>
      <c r="K612" s="36" t="n"/>
    </row>
    <row r="613">
      <c r="A613" s="118">
        <f>IF($B613="","",COUNT($B$5:$B613))</f>
        <v/>
      </c>
      <c r="B613" s="80" t="n"/>
      <c r="C613" s="130">
        <f>IF($B613="","",CHOOSE(WEEKDAY($B613),"일","월","화","수","목","금","토"))</f>
        <v/>
      </c>
      <c r="D613" s="74" t="n"/>
      <c r="E613" s="130">
        <f>IF($D613="","",IFERROR(INDEX(코드설정!$D$5:$D$24,MATCH($D613,코드설정!$C$5:$C$24,0)),""))</f>
        <v/>
      </c>
      <c r="F613" s="74" t="n"/>
      <c r="G613" s="74" t="n"/>
      <c r="H613" s="36" t="n"/>
      <c r="I613" s="36" t="n"/>
      <c r="J613" s="74" t="n"/>
      <c r="K613" s="36" t="n"/>
    </row>
    <row r="614">
      <c r="A614" s="118">
        <f>IF($B614="","",COUNT($B$5:$B614))</f>
        <v/>
      </c>
      <c r="B614" s="80" t="n"/>
      <c r="C614" s="130">
        <f>IF($B614="","",CHOOSE(WEEKDAY($B614),"일","월","화","수","목","금","토"))</f>
        <v/>
      </c>
      <c r="D614" s="74" t="n"/>
      <c r="E614" s="130">
        <f>IF($D614="","",IFERROR(INDEX(코드설정!$D$5:$D$24,MATCH($D614,코드설정!$C$5:$C$24,0)),""))</f>
        <v/>
      </c>
      <c r="F614" s="74" t="n"/>
      <c r="G614" s="74" t="n"/>
      <c r="H614" s="36" t="n"/>
      <c r="I614" s="36" t="n"/>
      <c r="J614" s="74" t="n"/>
      <c r="K614" s="36" t="n"/>
    </row>
    <row r="615">
      <c r="A615" s="118">
        <f>IF($B615="","",COUNT($B$5:$B615))</f>
        <v/>
      </c>
      <c r="B615" s="80" t="n"/>
      <c r="C615" s="130">
        <f>IF($B615="","",CHOOSE(WEEKDAY($B615),"일","월","화","수","목","금","토"))</f>
        <v/>
      </c>
      <c r="D615" s="74" t="n"/>
      <c r="E615" s="130">
        <f>IF($D615="","",IFERROR(INDEX(코드설정!$D$5:$D$24,MATCH($D615,코드설정!$C$5:$C$24,0)),""))</f>
        <v/>
      </c>
      <c r="F615" s="74" t="n"/>
      <c r="G615" s="74" t="n"/>
      <c r="H615" s="36" t="n"/>
      <c r="I615" s="36" t="n"/>
      <c r="J615" s="74" t="n"/>
      <c r="K615" s="36" t="n"/>
    </row>
    <row r="616">
      <c r="A616" s="118">
        <f>IF($B616="","",COUNT($B$5:$B616))</f>
        <v/>
      </c>
      <c r="B616" s="80" t="n"/>
      <c r="C616" s="130">
        <f>IF($B616="","",CHOOSE(WEEKDAY($B616),"일","월","화","수","목","금","토"))</f>
        <v/>
      </c>
      <c r="D616" s="74" t="n"/>
      <c r="E616" s="130">
        <f>IF($D616="","",IFERROR(INDEX(코드설정!$D$5:$D$24,MATCH($D616,코드설정!$C$5:$C$24,0)),""))</f>
        <v/>
      </c>
      <c r="F616" s="74" t="n"/>
      <c r="G616" s="74" t="n"/>
      <c r="H616" s="36" t="n"/>
      <c r="I616" s="36" t="n"/>
      <c r="J616" s="74" t="n"/>
      <c r="K616" s="36" t="n"/>
    </row>
    <row r="617">
      <c r="A617" s="118">
        <f>IF($B617="","",COUNT($B$5:$B617))</f>
        <v/>
      </c>
      <c r="B617" s="80" t="n"/>
      <c r="C617" s="130">
        <f>IF($B617="","",CHOOSE(WEEKDAY($B617),"일","월","화","수","목","금","토"))</f>
        <v/>
      </c>
      <c r="D617" s="74" t="n"/>
      <c r="E617" s="130">
        <f>IF($D617="","",IFERROR(INDEX(코드설정!$D$5:$D$24,MATCH($D617,코드설정!$C$5:$C$24,0)),""))</f>
        <v/>
      </c>
      <c r="F617" s="74" t="n"/>
      <c r="G617" s="74" t="n"/>
      <c r="H617" s="36" t="n"/>
      <c r="I617" s="36" t="n"/>
      <c r="J617" s="74" t="n"/>
      <c r="K617" s="36" t="n"/>
    </row>
    <row r="618">
      <c r="A618" s="118">
        <f>IF($B618="","",COUNT($B$5:$B618))</f>
        <v/>
      </c>
      <c r="B618" s="80" t="n"/>
      <c r="C618" s="130">
        <f>IF($B618="","",CHOOSE(WEEKDAY($B618),"일","월","화","수","목","금","토"))</f>
        <v/>
      </c>
      <c r="D618" s="74" t="n"/>
      <c r="E618" s="130">
        <f>IF($D618="","",IFERROR(INDEX(코드설정!$D$5:$D$24,MATCH($D618,코드설정!$C$5:$C$24,0)),""))</f>
        <v/>
      </c>
      <c r="F618" s="74" t="n"/>
      <c r="G618" s="74" t="n"/>
      <c r="H618" s="36" t="n"/>
      <c r="I618" s="36" t="n"/>
      <c r="J618" s="74" t="n"/>
      <c r="K618" s="36" t="n"/>
    </row>
    <row r="619">
      <c r="A619" s="118">
        <f>IF($B619="","",COUNT($B$5:$B619))</f>
        <v/>
      </c>
      <c r="B619" s="80" t="n"/>
      <c r="C619" s="130">
        <f>IF($B619="","",CHOOSE(WEEKDAY($B619),"일","월","화","수","목","금","토"))</f>
        <v/>
      </c>
      <c r="D619" s="74" t="n"/>
      <c r="E619" s="130">
        <f>IF($D619="","",IFERROR(INDEX(코드설정!$D$5:$D$24,MATCH($D619,코드설정!$C$5:$C$24,0)),""))</f>
        <v/>
      </c>
      <c r="F619" s="74" t="n"/>
      <c r="G619" s="74" t="n"/>
      <c r="H619" s="36" t="n"/>
      <c r="I619" s="36" t="n"/>
      <c r="J619" s="74" t="n"/>
      <c r="K619" s="36" t="n"/>
    </row>
    <row r="620">
      <c r="A620" s="118">
        <f>IF($B620="","",COUNT($B$5:$B620))</f>
        <v/>
      </c>
      <c r="B620" s="80" t="n"/>
      <c r="C620" s="130">
        <f>IF($B620="","",CHOOSE(WEEKDAY($B620),"일","월","화","수","목","금","토"))</f>
        <v/>
      </c>
      <c r="D620" s="74" t="n"/>
      <c r="E620" s="130">
        <f>IF($D620="","",IFERROR(INDEX(코드설정!$D$5:$D$24,MATCH($D620,코드설정!$C$5:$C$24,0)),""))</f>
        <v/>
      </c>
      <c r="F620" s="74" t="n"/>
      <c r="G620" s="74" t="n"/>
      <c r="H620" s="36" t="n"/>
      <c r="I620" s="36" t="n"/>
      <c r="J620" s="74" t="n"/>
      <c r="K620" s="36" t="n"/>
    </row>
    <row r="621">
      <c r="A621" s="118">
        <f>IF($B621="","",COUNT($B$5:$B621))</f>
        <v/>
      </c>
      <c r="B621" s="80" t="n"/>
      <c r="C621" s="130">
        <f>IF($B621="","",CHOOSE(WEEKDAY($B621),"일","월","화","수","목","금","토"))</f>
        <v/>
      </c>
      <c r="D621" s="74" t="n"/>
      <c r="E621" s="130">
        <f>IF($D621="","",IFERROR(INDEX(코드설정!$D$5:$D$24,MATCH($D621,코드설정!$C$5:$C$24,0)),""))</f>
        <v/>
      </c>
      <c r="F621" s="74" t="n"/>
      <c r="G621" s="74" t="n"/>
      <c r="H621" s="36" t="n"/>
      <c r="I621" s="36" t="n"/>
      <c r="J621" s="74" t="n"/>
      <c r="K621" s="36" t="n"/>
    </row>
    <row r="622">
      <c r="A622" s="118">
        <f>IF($B622="","",COUNT($B$5:$B622))</f>
        <v/>
      </c>
      <c r="B622" s="80" t="n"/>
      <c r="C622" s="130">
        <f>IF($B622="","",CHOOSE(WEEKDAY($B622),"일","월","화","수","목","금","토"))</f>
        <v/>
      </c>
      <c r="D622" s="74" t="n"/>
      <c r="E622" s="130">
        <f>IF($D622="","",IFERROR(INDEX(코드설정!$D$5:$D$24,MATCH($D622,코드설정!$C$5:$C$24,0)),""))</f>
        <v/>
      </c>
      <c r="F622" s="74" t="n"/>
      <c r="G622" s="74" t="n"/>
      <c r="H622" s="36" t="n"/>
      <c r="I622" s="36" t="n"/>
      <c r="J622" s="74" t="n"/>
      <c r="K622" s="36" t="n"/>
    </row>
    <row r="623">
      <c r="A623" s="118">
        <f>IF($B623="","",COUNT($B$5:$B623))</f>
        <v/>
      </c>
      <c r="B623" s="80" t="n"/>
      <c r="C623" s="130">
        <f>IF($B623="","",CHOOSE(WEEKDAY($B623),"일","월","화","수","목","금","토"))</f>
        <v/>
      </c>
      <c r="D623" s="74" t="n"/>
      <c r="E623" s="130">
        <f>IF($D623="","",IFERROR(INDEX(코드설정!$D$5:$D$24,MATCH($D623,코드설정!$C$5:$C$24,0)),""))</f>
        <v/>
      </c>
      <c r="F623" s="74" t="n"/>
      <c r="G623" s="74" t="n"/>
      <c r="H623" s="36" t="n"/>
      <c r="I623" s="36" t="n"/>
      <c r="J623" s="74" t="n"/>
      <c r="K623" s="36" t="n"/>
    </row>
    <row r="624">
      <c r="A624" s="118">
        <f>IF($B624="","",COUNT($B$5:$B624))</f>
        <v/>
      </c>
      <c r="B624" s="80" t="n"/>
      <c r="C624" s="130">
        <f>IF($B624="","",CHOOSE(WEEKDAY($B624),"일","월","화","수","목","금","토"))</f>
        <v/>
      </c>
      <c r="D624" s="74" t="n"/>
      <c r="E624" s="130">
        <f>IF($D624="","",IFERROR(INDEX(코드설정!$D$5:$D$24,MATCH($D624,코드설정!$C$5:$C$24,0)),""))</f>
        <v/>
      </c>
      <c r="F624" s="74" t="n"/>
      <c r="G624" s="74" t="n"/>
      <c r="H624" s="36" t="n"/>
      <c r="I624" s="36" t="n"/>
      <c r="J624" s="74" t="n"/>
      <c r="K624" s="36" t="n"/>
    </row>
    <row r="625">
      <c r="A625" s="118">
        <f>IF($B625="","",COUNT($B$5:$B625))</f>
        <v/>
      </c>
      <c r="B625" s="80" t="n"/>
      <c r="C625" s="130">
        <f>IF($B625="","",CHOOSE(WEEKDAY($B625),"일","월","화","수","목","금","토"))</f>
        <v/>
      </c>
      <c r="D625" s="74" t="n"/>
      <c r="E625" s="130">
        <f>IF($D625="","",IFERROR(INDEX(코드설정!$D$5:$D$24,MATCH($D625,코드설정!$C$5:$C$24,0)),""))</f>
        <v/>
      </c>
      <c r="F625" s="74" t="n"/>
      <c r="G625" s="74" t="n"/>
      <c r="H625" s="36" t="n"/>
      <c r="I625" s="36" t="n"/>
      <c r="J625" s="74" t="n"/>
      <c r="K625" s="36" t="n"/>
    </row>
    <row r="626">
      <c r="A626" s="118">
        <f>IF($B626="","",COUNT($B$5:$B626))</f>
        <v/>
      </c>
      <c r="B626" s="80" t="n"/>
      <c r="C626" s="130">
        <f>IF($B626="","",CHOOSE(WEEKDAY($B626),"일","월","화","수","목","금","토"))</f>
        <v/>
      </c>
      <c r="D626" s="74" t="n"/>
      <c r="E626" s="130">
        <f>IF($D626="","",IFERROR(INDEX(코드설정!$D$5:$D$24,MATCH($D626,코드설정!$C$5:$C$24,0)),""))</f>
        <v/>
      </c>
      <c r="F626" s="74" t="n"/>
      <c r="G626" s="74" t="n"/>
      <c r="H626" s="36" t="n"/>
      <c r="I626" s="36" t="n"/>
      <c r="J626" s="74" t="n"/>
      <c r="K626" s="36" t="n"/>
    </row>
    <row r="627">
      <c r="A627" s="118">
        <f>IF($B627="","",COUNT($B$5:$B627))</f>
        <v/>
      </c>
      <c r="B627" s="80" t="n"/>
      <c r="C627" s="130">
        <f>IF($B627="","",CHOOSE(WEEKDAY($B627),"일","월","화","수","목","금","토"))</f>
        <v/>
      </c>
      <c r="D627" s="74" t="n"/>
      <c r="E627" s="130">
        <f>IF($D627="","",IFERROR(INDEX(코드설정!$D$5:$D$24,MATCH($D627,코드설정!$C$5:$C$24,0)),""))</f>
        <v/>
      </c>
      <c r="F627" s="74" t="n"/>
      <c r="G627" s="74" t="n"/>
      <c r="H627" s="36" t="n"/>
      <c r="I627" s="36" t="n"/>
      <c r="J627" s="74" t="n"/>
      <c r="K627" s="36" t="n"/>
    </row>
    <row r="628">
      <c r="A628" s="118">
        <f>IF($B628="","",COUNT($B$5:$B628))</f>
        <v/>
      </c>
      <c r="B628" s="80" t="n"/>
      <c r="C628" s="130">
        <f>IF($B628="","",CHOOSE(WEEKDAY($B628),"일","월","화","수","목","금","토"))</f>
        <v/>
      </c>
      <c r="D628" s="74" t="n"/>
      <c r="E628" s="130">
        <f>IF($D628="","",IFERROR(INDEX(코드설정!$D$5:$D$24,MATCH($D628,코드설정!$C$5:$C$24,0)),""))</f>
        <v/>
      </c>
      <c r="F628" s="74" t="n"/>
      <c r="G628" s="74" t="n"/>
      <c r="H628" s="36" t="n"/>
      <c r="I628" s="36" t="n"/>
      <c r="J628" s="74" t="n"/>
      <c r="K628" s="36" t="n"/>
    </row>
    <row r="629">
      <c r="A629" s="118">
        <f>IF($B629="","",COUNT($B$5:$B629))</f>
        <v/>
      </c>
      <c r="B629" s="80" t="n"/>
      <c r="C629" s="130">
        <f>IF($B629="","",CHOOSE(WEEKDAY($B629),"일","월","화","수","목","금","토"))</f>
        <v/>
      </c>
      <c r="D629" s="74" t="n"/>
      <c r="E629" s="130">
        <f>IF($D629="","",IFERROR(INDEX(코드설정!$D$5:$D$24,MATCH($D629,코드설정!$C$5:$C$24,0)),""))</f>
        <v/>
      </c>
      <c r="F629" s="74" t="n"/>
      <c r="G629" s="74" t="n"/>
      <c r="H629" s="36" t="n"/>
      <c r="I629" s="36" t="n"/>
      <c r="J629" s="74" t="n"/>
      <c r="K629" s="36" t="n"/>
    </row>
    <row r="630">
      <c r="A630" s="118">
        <f>IF($B630="","",COUNT($B$5:$B630))</f>
        <v/>
      </c>
      <c r="B630" s="80" t="n"/>
      <c r="C630" s="130">
        <f>IF($B630="","",CHOOSE(WEEKDAY($B630),"일","월","화","수","목","금","토"))</f>
        <v/>
      </c>
      <c r="D630" s="74" t="n"/>
      <c r="E630" s="130">
        <f>IF($D630="","",IFERROR(INDEX(코드설정!$D$5:$D$24,MATCH($D630,코드설정!$C$5:$C$24,0)),""))</f>
        <v/>
      </c>
      <c r="F630" s="74" t="n"/>
      <c r="G630" s="74" t="n"/>
      <c r="H630" s="36" t="n"/>
      <c r="I630" s="36" t="n"/>
      <c r="J630" s="74" t="n"/>
      <c r="K630" s="36" t="n"/>
    </row>
    <row r="631">
      <c r="A631" s="118">
        <f>IF($B631="","",COUNT($B$5:$B631))</f>
        <v/>
      </c>
      <c r="B631" s="80" t="n"/>
      <c r="C631" s="130">
        <f>IF($B631="","",CHOOSE(WEEKDAY($B631),"일","월","화","수","목","금","토"))</f>
        <v/>
      </c>
      <c r="D631" s="74" t="n"/>
      <c r="E631" s="130">
        <f>IF($D631="","",IFERROR(INDEX(코드설정!$D$5:$D$24,MATCH($D631,코드설정!$C$5:$C$24,0)),""))</f>
        <v/>
      </c>
      <c r="F631" s="74" t="n"/>
      <c r="G631" s="74" t="n"/>
      <c r="H631" s="36" t="n"/>
      <c r="I631" s="36" t="n"/>
      <c r="J631" s="74" t="n"/>
      <c r="K631" s="36" t="n"/>
    </row>
    <row r="632">
      <c r="A632" s="118">
        <f>IF($B632="","",COUNT($B$5:$B632))</f>
        <v/>
      </c>
      <c r="B632" s="80" t="n"/>
      <c r="C632" s="130">
        <f>IF($B632="","",CHOOSE(WEEKDAY($B632),"일","월","화","수","목","금","토"))</f>
        <v/>
      </c>
      <c r="D632" s="74" t="n"/>
      <c r="E632" s="130">
        <f>IF($D632="","",IFERROR(INDEX(코드설정!$D$5:$D$24,MATCH($D632,코드설정!$C$5:$C$24,0)),""))</f>
        <v/>
      </c>
      <c r="F632" s="74" t="n"/>
      <c r="G632" s="74" t="n"/>
      <c r="H632" s="36" t="n"/>
      <c r="I632" s="36" t="n"/>
      <c r="J632" s="74" t="n"/>
      <c r="K632" s="36" t="n"/>
    </row>
    <row r="633">
      <c r="A633" s="118">
        <f>IF($B633="","",COUNT($B$5:$B633))</f>
        <v/>
      </c>
      <c r="B633" s="80" t="n"/>
      <c r="C633" s="130">
        <f>IF($B633="","",CHOOSE(WEEKDAY($B633),"일","월","화","수","목","금","토"))</f>
        <v/>
      </c>
      <c r="D633" s="74" t="n"/>
      <c r="E633" s="130">
        <f>IF($D633="","",IFERROR(INDEX(코드설정!$D$5:$D$24,MATCH($D633,코드설정!$C$5:$C$24,0)),""))</f>
        <v/>
      </c>
      <c r="F633" s="74" t="n"/>
      <c r="G633" s="74" t="n"/>
      <c r="H633" s="36" t="n"/>
      <c r="I633" s="36" t="n"/>
      <c r="J633" s="74" t="n"/>
      <c r="K633" s="36" t="n"/>
    </row>
    <row r="634">
      <c r="A634" s="118">
        <f>IF($B634="","",COUNT($B$5:$B634))</f>
        <v/>
      </c>
      <c r="B634" s="80" t="n"/>
      <c r="C634" s="130">
        <f>IF($B634="","",CHOOSE(WEEKDAY($B634),"일","월","화","수","목","금","토"))</f>
        <v/>
      </c>
      <c r="D634" s="74" t="n"/>
      <c r="E634" s="130">
        <f>IF($D634="","",IFERROR(INDEX(코드설정!$D$5:$D$24,MATCH($D634,코드설정!$C$5:$C$24,0)),""))</f>
        <v/>
      </c>
      <c r="F634" s="74" t="n"/>
      <c r="G634" s="74" t="n"/>
      <c r="H634" s="36" t="n"/>
      <c r="I634" s="36" t="n"/>
      <c r="J634" s="74" t="n"/>
      <c r="K634" s="36" t="n"/>
    </row>
    <row r="635">
      <c r="A635" s="118">
        <f>IF($B635="","",COUNT($B$5:$B635))</f>
        <v/>
      </c>
      <c r="B635" s="80" t="n"/>
      <c r="C635" s="130">
        <f>IF($B635="","",CHOOSE(WEEKDAY($B635),"일","월","화","수","목","금","토"))</f>
        <v/>
      </c>
      <c r="D635" s="74" t="n"/>
      <c r="E635" s="130">
        <f>IF($D635="","",IFERROR(INDEX(코드설정!$D$5:$D$24,MATCH($D635,코드설정!$C$5:$C$24,0)),""))</f>
        <v/>
      </c>
      <c r="F635" s="74" t="n"/>
      <c r="G635" s="74" t="n"/>
      <c r="H635" s="36" t="n"/>
      <c r="I635" s="36" t="n"/>
      <c r="J635" s="74" t="n"/>
      <c r="K635" s="36" t="n"/>
    </row>
    <row r="636">
      <c r="A636" s="118">
        <f>IF($B636="","",COUNT($B$5:$B636))</f>
        <v/>
      </c>
      <c r="B636" s="80" t="n"/>
      <c r="C636" s="130">
        <f>IF($B636="","",CHOOSE(WEEKDAY($B636),"일","월","화","수","목","금","토"))</f>
        <v/>
      </c>
      <c r="D636" s="74" t="n"/>
      <c r="E636" s="130">
        <f>IF($D636="","",IFERROR(INDEX(코드설정!$D$5:$D$24,MATCH($D636,코드설정!$C$5:$C$24,0)),""))</f>
        <v/>
      </c>
      <c r="F636" s="74" t="n"/>
      <c r="G636" s="74" t="n"/>
      <c r="H636" s="36" t="n"/>
      <c r="I636" s="36" t="n"/>
      <c r="J636" s="74" t="n"/>
      <c r="K636" s="36" t="n"/>
    </row>
    <row r="637">
      <c r="A637" s="118">
        <f>IF($B637="","",COUNT($B$5:$B637))</f>
        <v/>
      </c>
      <c r="B637" s="80" t="n"/>
      <c r="C637" s="130">
        <f>IF($B637="","",CHOOSE(WEEKDAY($B637),"일","월","화","수","목","금","토"))</f>
        <v/>
      </c>
      <c r="D637" s="74" t="n"/>
      <c r="E637" s="130">
        <f>IF($D637="","",IFERROR(INDEX(코드설정!$D$5:$D$24,MATCH($D637,코드설정!$C$5:$C$24,0)),""))</f>
        <v/>
      </c>
      <c r="F637" s="74" t="n"/>
      <c r="G637" s="74" t="n"/>
      <c r="H637" s="36" t="n"/>
      <c r="I637" s="36" t="n"/>
      <c r="J637" s="74" t="n"/>
      <c r="K637" s="36" t="n"/>
    </row>
    <row r="638">
      <c r="A638" s="118">
        <f>IF($B638="","",COUNT($B$5:$B638))</f>
        <v/>
      </c>
      <c r="B638" s="80" t="n"/>
      <c r="C638" s="130">
        <f>IF($B638="","",CHOOSE(WEEKDAY($B638),"일","월","화","수","목","금","토"))</f>
        <v/>
      </c>
      <c r="D638" s="74" t="n"/>
      <c r="E638" s="130">
        <f>IF($D638="","",IFERROR(INDEX(코드설정!$D$5:$D$24,MATCH($D638,코드설정!$C$5:$C$24,0)),""))</f>
        <v/>
      </c>
      <c r="F638" s="74" t="n"/>
      <c r="G638" s="74" t="n"/>
      <c r="H638" s="36" t="n"/>
      <c r="I638" s="36" t="n"/>
      <c r="J638" s="74" t="n"/>
      <c r="K638" s="36" t="n"/>
    </row>
    <row r="639">
      <c r="A639" s="118">
        <f>IF($B639="","",COUNT($B$5:$B639))</f>
        <v/>
      </c>
      <c r="B639" s="80" t="n"/>
      <c r="C639" s="130">
        <f>IF($B639="","",CHOOSE(WEEKDAY($B639),"일","월","화","수","목","금","토"))</f>
        <v/>
      </c>
      <c r="D639" s="74" t="n"/>
      <c r="E639" s="130">
        <f>IF($D639="","",IFERROR(INDEX(코드설정!$D$5:$D$24,MATCH($D639,코드설정!$C$5:$C$24,0)),""))</f>
        <v/>
      </c>
      <c r="F639" s="74" t="n"/>
      <c r="G639" s="74" t="n"/>
      <c r="H639" s="36" t="n"/>
      <c r="I639" s="36" t="n"/>
      <c r="J639" s="74" t="n"/>
      <c r="K639" s="36" t="n"/>
    </row>
    <row r="640">
      <c r="A640" s="118">
        <f>IF($B640="","",COUNT($B$5:$B640))</f>
        <v/>
      </c>
      <c r="B640" s="80" t="n"/>
      <c r="C640" s="130">
        <f>IF($B640="","",CHOOSE(WEEKDAY($B640),"일","월","화","수","목","금","토"))</f>
        <v/>
      </c>
      <c r="D640" s="74" t="n"/>
      <c r="E640" s="130">
        <f>IF($D640="","",IFERROR(INDEX(코드설정!$D$5:$D$24,MATCH($D640,코드설정!$C$5:$C$24,0)),""))</f>
        <v/>
      </c>
      <c r="F640" s="74" t="n"/>
      <c r="G640" s="74" t="n"/>
      <c r="H640" s="36" t="n"/>
      <c r="I640" s="36" t="n"/>
      <c r="J640" s="74" t="n"/>
      <c r="K640" s="36" t="n"/>
    </row>
    <row r="641">
      <c r="A641" s="118">
        <f>IF($B641="","",COUNT($B$5:$B641))</f>
        <v/>
      </c>
      <c r="B641" s="80" t="n"/>
      <c r="C641" s="130">
        <f>IF($B641="","",CHOOSE(WEEKDAY($B641),"일","월","화","수","목","금","토"))</f>
        <v/>
      </c>
      <c r="D641" s="74" t="n"/>
      <c r="E641" s="130">
        <f>IF($D641="","",IFERROR(INDEX(코드설정!$D$5:$D$24,MATCH($D641,코드설정!$C$5:$C$24,0)),""))</f>
        <v/>
      </c>
      <c r="F641" s="74" t="n"/>
      <c r="G641" s="74" t="n"/>
      <c r="H641" s="36" t="n"/>
      <c r="I641" s="36" t="n"/>
      <c r="J641" s="74" t="n"/>
      <c r="K641" s="36" t="n"/>
    </row>
    <row r="642">
      <c r="A642" s="118">
        <f>IF($B642="","",COUNT($B$5:$B642))</f>
        <v/>
      </c>
      <c r="B642" s="80" t="n"/>
      <c r="C642" s="130">
        <f>IF($B642="","",CHOOSE(WEEKDAY($B642),"일","월","화","수","목","금","토"))</f>
        <v/>
      </c>
      <c r="D642" s="74" t="n"/>
      <c r="E642" s="130">
        <f>IF($D642="","",IFERROR(INDEX(코드설정!$D$5:$D$24,MATCH($D642,코드설정!$C$5:$C$24,0)),""))</f>
        <v/>
      </c>
      <c r="F642" s="74" t="n"/>
      <c r="G642" s="74" t="n"/>
      <c r="H642" s="36" t="n"/>
      <c r="I642" s="36" t="n"/>
      <c r="J642" s="74" t="n"/>
      <c r="K642" s="36" t="n"/>
    </row>
    <row r="643">
      <c r="A643" s="118">
        <f>IF($B643="","",COUNT($B$5:$B643))</f>
        <v/>
      </c>
      <c r="B643" s="80" t="n"/>
      <c r="C643" s="130">
        <f>IF($B643="","",CHOOSE(WEEKDAY($B643),"일","월","화","수","목","금","토"))</f>
        <v/>
      </c>
      <c r="D643" s="74" t="n"/>
      <c r="E643" s="130">
        <f>IF($D643="","",IFERROR(INDEX(코드설정!$D$5:$D$24,MATCH($D643,코드설정!$C$5:$C$24,0)),""))</f>
        <v/>
      </c>
      <c r="F643" s="74" t="n"/>
      <c r="G643" s="74" t="n"/>
      <c r="H643" s="36" t="n"/>
      <c r="I643" s="36" t="n"/>
      <c r="J643" s="74" t="n"/>
      <c r="K643" s="36" t="n"/>
    </row>
    <row r="644">
      <c r="A644" s="118">
        <f>IF($B644="","",COUNT($B$5:$B644))</f>
        <v/>
      </c>
      <c r="B644" s="80" t="n"/>
      <c r="C644" s="130">
        <f>IF($B644="","",CHOOSE(WEEKDAY($B644),"일","월","화","수","목","금","토"))</f>
        <v/>
      </c>
      <c r="D644" s="74" t="n"/>
      <c r="E644" s="130">
        <f>IF($D644="","",IFERROR(INDEX(코드설정!$D$5:$D$24,MATCH($D644,코드설정!$C$5:$C$24,0)),""))</f>
        <v/>
      </c>
      <c r="F644" s="74" t="n"/>
      <c r="G644" s="74" t="n"/>
      <c r="H644" s="36" t="n"/>
      <c r="I644" s="36" t="n"/>
      <c r="J644" s="74" t="n"/>
      <c r="K644" s="36" t="n"/>
    </row>
    <row r="645">
      <c r="A645" s="118">
        <f>IF($B645="","",COUNT($B$5:$B645))</f>
        <v/>
      </c>
      <c r="B645" s="80" t="n"/>
      <c r="C645" s="130">
        <f>IF($B645="","",CHOOSE(WEEKDAY($B645),"일","월","화","수","목","금","토"))</f>
        <v/>
      </c>
      <c r="D645" s="74" t="n"/>
      <c r="E645" s="130">
        <f>IF($D645="","",IFERROR(INDEX(코드설정!$D$5:$D$24,MATCH($D645,코드설정!$C$5:$C$24,0)),""))</f>
        <v/>
      </c>
      <c r="F645" s="74" t="n"/>
      <c r="G645" s="74" t="n"/>
      <c r="H645" s="36" t="n"/>
      <c r="I645" s="36" t="n"/>
      <c r="J645" s="74" t="n"/>
      <c r="K645" s="36" t="n"/>
    </row>
    <row r="646">
      <c r="A646" s="118">
        <f>IF($B646="","",COUNT($B$5:$B646))</f>
        <v/>
      </c>
      <c r="B646" s="80" t="n"/>
      <c r="C646" s="130">
        <f>IF($B646="","",CHOOSE(WEEKDAY($B646),"일","월","화","수","목","금","토"))</f>
        <v/>
      </c>
      <c r="D646" s="74" t="n"/>
      <c r="E646" s="130">
        <f>IF($D646="","",IFERROR(INDEX(코드설정!$D$5:$D$24,MATCH($D646,코드설정!$C$5:$C$24,0)),""))</f>
        <v/>
      </c>
      <c r="F646" s="74" t="n"/>
      <c r="G646" s="74" t="n"/>
      <c r="H646" s="36" t="n"/>
      <c r="I646" s="36" t="n"/>
      <c r="J646" s="74" t="n"/>
      <c r="K646" s="36" t="n"/>
    </row>
    <row r="647">
      <c r="A647" s="118">
        <f>IF($B647="","",COUNT($B$5:$B647))</f>
        <v/>
      </c>
      <c r="B647" s="80" t="n"/>
      <c r="C647" s="130">
        <f>IF($B647="","",CHOOSE(WEEKDAY($B647),"일","월","화","수","목","금","토"))</f>
        <v/>
      </c>
      <c r="D647" s="74" t="n"/>
      <c r="E647" s="130">
        <f>IF($D647="","",IFERROR(INDEX(코드설정!$D$5:$D$24,MATCH($D647,코드설정!$C$5:$C$24,0)),""))</f>
        <v/>
      </c>
      <c r="F647" s="74" t="n"/>
      <c r="G647" s="74" t="n"/>
      <c r="H647" s="36" t="n"/>
      <c r="I647" s="36" t="n"/>
      <c r="J647" s="74" t="n"/>
      <c r="K647" s="36" t="n"/>
    </row>
    <row r="648">
      <c r="A648" s="118">
        <f>IF($B648="","",COUNT($B$5:$B648))</f>
        <v/>
      </c>
      <c r="B648" s="80" t="n"/>
      <c r="C648" s="130">
        <f>IF($B648="","",CHOOSE(WEEKDAY($B648),"일","월","화","수","목","금","토"))</f>
        <v/>
      </c>
      <c r="D648" s="74" t="n"/>
      <c r="E648" s="130">
        <f>IF($D648="","",IFERROR(INDEX(코드설정!$D$5:$D$24,MATCH($D648,코드설정!$C$5:$C$24,0)),""))</f>
        <v/>
      </c>
      <c r="F648" s="74" t="n"/>
      <c r="G648" s="74" t="n"/>
      <c r="H648" s="36" t="n"/>
      <c r="I648" s="36" t="n"/>
      <c r="J648" s="74" t="n"/>
      <c r="K648" s="36" t="n"/>
    </row>
    <row r="649">
      <c r="A649" s="118">
        <f>IF($B649="","",COUNT($B$5:$B649))</f>
        <v/>
      </c>
      <c r="B649" s="80" t="n"/>
      <c r="C649" s="130">
        <f>IF($B649="","",CHOOSE(WEEKDAY($B649),"일","월","화","수","목","금","토"))</f>
        <v/>
      </c>
      <c r="D649" s="74" t="n"/>
      <c r="E649" s="130">
        <f>IF($D649="","",IFERROR(INDEX(코드설정!$D$5:$D$24,MATCH($D649,코드설정!$C$5:$C$24,0)),""))</f>
        <v/>
      </c>
      <c r="F649" s="74" t="n"/>
      <c r="G649" s="74" t="n"/>
      <c r="H649" s="36" t="n"/>
      <c r="I649" s="36" t="n"/>
      <c r="J649" s="74" t="n"/>
      <c r="K649" s="36" t="n"/>
    </row>
    <row r="650">
      <c r="A650" s="118">
        <f>IF($B650="","",COUNT($B$5:$B650))</f>
        <v/>
      </c>
      <c r="B650" s="80" t="n"/>
      <c r="C650" s="130">
        <f>IF($B650="","",CHOOSE(WEEKDAY($B650),"일","월","화","수","목","금","토"))</f>
        <v/>
      </c>
      <c r="D650" s="74" t="n"/>
      <c r="E650" s="130">
        <f>IF($D650="","",IFERROR(INDEX(코드설정!$D$5:$D$24,MATCH($D650,코드설정!$C$5:$C$24,0)),""))</f>
        <v/>
      </c>
      <c r="F650" s="74" t="n"/>
      <c r="G650" s="74" t="n"/>
      <c r="H650" s="36" t="n"/>
      <c r="I650" s="36" t="n"/>
      <c r="J650" s="74" t="n"/>
      <c r="K650" s="36" t="n"/>
    </row>
    <row r="651">
      <c r="A651" s="118">
        <f>IF($B651="","",COUNT($B$5:$B651))</f>
        <v/>
      </c>
      <c r="B651" s="80" t="n"/>
      <c r="C651" s="130">
        <f>IF($B651="","",CHOOSE(WEEKDAY($B651),"일","월","화","수","목","금","토"))</f>
        <v/>
      </c>
      <c r="D651" s="74" t="n"/>
      <c r="E651" s="130">
        <f>IF($D651="","",IFERROR(INDEX(코드설정!$D$5:$D$24,MATCH($D651,코드설정!$C$5:$C$24,0)),""))</f>
        <v/>
      </c>
      <c r="F651" s="74" t="n"/>
      <c r="G651" s="74" t="n"/>
      <c r="H651" s="36" t="n"/>
      <c r="I651" s="36" t="n"/>
      <c r="J651" s="74" t="n"/>
      <c r="K651" s="36" t="n"/>
    </row>
    <row r="652">
      <c r="A652" s="118">
        <f>IF($B652="","",COUNT($B$5:$B652))</f>
        <v/>
      </c>
      <c r="B652" s="80" t="n"/>
      <c r="C652" s="130">
        <f>IF($B652="","",CHOOSE(WEEKDAY($B652),"일","월","화","수","목","금","토"))</f>
        <v/>
      </c>
      <c r="D652" s="74" t="n"/>
      <c r="E652" s="130">
        <f>IF($D652="","",IFERROR(INDEX(코드설정!$D$5:$D$24,MATCH($D652,코드설정!$C$5:$C$24,0)),""))</f>
        <v/>
      </c>
      <c r="F652" s="74" t="n"/>
      <c r="G652" s="74" t="n"/>
      <c r="H652" s="36" t="n"/>
      <c r="I652" s="36" t="n"/>
      <c r="J652" s="74" t="n"/>
      <c r="K652" s="36" t="n"/>
    </row>
    <row r="653">
      <c r="A653" s="118">
        <f>IF($B653="","",COUNT($B$5:$B653))</f>
        <v/>
      </c>
      <c r="B653" s="80" t="n"/>
      <c r="C653" s="130">
        <f>IF($B653="","",CHOOSE(WEEKDAY($B653),"일","월","화","수","목","금","토"))</f>
        <v/>
      </c>
      <c r="D653" s="74" t="n"/>
      <c r="E653" s="130">
        <f>IF($D653="","",IFERROR(INDEX(코드설정!$D$5:$D$24,MATCH($D653,코드설정!$C$5:$C$24,0)),""))</f>
        <v/>
      </c>
      <c r="F653" s="74" t="n"/>
      <c r="G653" s="74" t="n"/>
      <c r="H653" s="36" t="n"/>
      <c r="I653" s="36" t="n"/>
      <c r="J653" s="74" t="n"/>
      <c r="K653" s="36" t="n"/>
    </row>
    <row r="654">
      <c r="A654" s="118">
        <f>IF($B654="","",COUNT($B$5:$B654))</f>
        <v/>
      </c>
      <c r="B654" s="80" t="n"/>
      <c r="C654" s="130">
        <f>IF($B654="","",CHOOSE(WEEKDAY($B654),"일","월","화","수","목","금","토"))</f>
        <v/>
      </c>
      <c r="D654" s="74" t="n"/>
      <c r="E654" s="130">
        <f>IF($D654="","",IFERROR(INDEX(코드설정!$D$5:$D$24,MATCH($D654,코드설정!$C$5:$C$24,0)),""))</f>
        <v/>
      </c>
      <c r="F654" s="74" t="n"/>
      <c r="G654" s="74" t="n"/>
      <c r="H654" s="36" t="n"/>
      <c r="I654" s="36" t="n"/>
      <c r="J654" s="74" t="n"/>
      <c r="K654" s="36" t="n"/>
    </row>
    <row r="655">
      <c r="A655" s="118">
        <f>IF($B655="","",COUNT($B$5:$B655))</f>
        <v/>
      </c>
      <c r="B655" s="80" t="n"/>
      <c r="C655" s="130">
        <f>IF($B655="","",CHOOSE(WEEKDAY($B655),"일","월","화","수","목","금","토"))</f>
        <v/>
      </c>
      <c r="D655" s="74" t="n"/>
      <c r="E655" s="130">
        <f>IF($D655="","",IFERROR(INDEX(코드설정!$D$5:$D$24,MATCH($D655,코드설정!$C$5:$C$24,0)),""))</f>
        <v/>
      </c>
      <c r="F655" s="74" t="n"/>
      <c r="G655" s="74" t="n"/>
      <c r="H655" s="36" t="n"/>
      <c r="I655" s="36" t="n"/>
      <c r="J655" s="74" t="n"/>
      <c r="K655" s="36" t="n"/>
    </row>
    <row r="656">
      <c r="A656" s="118">
        <f>IF($B656="","",COUNT($B$5:$B656))</f>
        <v/>
      </c>
      <c r="B656" s="80" t="n"/>
      <c r="C656" s="130">
        <f>IF($B656="","",CHOOSE(WEEKDAY($B656),"일","월","화","수","목","금","토"))</f>
        <v/>
      </c>
      <c r="D656" s="74" t="n"/>
      <c r="E656" s="130">
        <f>IF($D656="","",IFERROR(INDEX(코드설정!$D$5:$D$24,MATCH($D656,코드설정!$C$5:$C$24,0)),""))</f>
        <v/>
      </c>
      <c r="F656" s="74" t="n"/>
      <c r="G656" s="74" t="n"/>
      <c r="H656" s="36" t="n"/>
      <c r="I656" s="36" t="n"/>
      <c r="J656" s="74" t="n"/>
      <c r="K656" s="36" t="n"/>
    </row>
    <row r="657">
      <c r="A657" s="118">
        <f>IF($B657="","",COUNT($B$5:$B657))</f>
        <v/>
      </c>
      <c r="B657" s="80" t="n"/>
      <c r="C657" s="130">
        <f>IF($B657="","",CHOOSE(WEEKDAY($B657),"일","월","화","수","목","금","토"))</f>
        <v/>
      </c>
      <c r="D657" s="74" t="n"/>
      <c r="E657" s="130">
        <f>IF($D657="","",IFERROR(INDEX(코드설정!$D$5:$D$24,MATCH($D657,코드설정!$C$5:$C$24,0)),""))</f>
        <v/>
      </c>
      <c r="F657" s="74" t="n"/>
      <c r="G657" s="74" t="n"/>
      <c r="H657" s="36" t="n"/>
      <c r="I657" s="36" t="n"/>
      <c r="J657" s="74" t="n"/>
      <c r="K657" s="36" t="n"/>
    </row>
    <row r="658">
      <c r="A658" s="118">
        <f>IF($B658="","",COUNT($B$5:$B658))</f>
        <v/>
      </c>
      <c r="B658" s="80" t="n"/>
      <c r="C658" s="130">
        <f>IF($B658="","",CHOOSE(WEEKDAY($B658),"일","월","화","수","목","금","토"))</f>
        <v/>
      </c>
      <c r="D658" s="74" t="n"/>
      <c r="E658" s="130">
        <f>IF($D658="","",IFERROR(INDEX(코드설정!$D$5:$D$24,MATCH($D658,코드설정!$C$5:$C$24,0)),""))</f>
        <v/>
      </c>
      <c r="F658" s="74" t="n"/>
      <c r="G658" s="74" t="n"/>
      <c r="H658" s="36" t="n"/>
      <c r="I658" s="36" t="n"/>
      <c r="J658" s="74" t="n"/>
      <c r="K658" s="36" t="n"/>
    </row>
    <row r="659">
      <c r="A659" s="118">
        <f>IF($B659="","",COUNT($B$5:$B659))</f>
        <v/>
      </c>
      <c r="B659" s="80" t="n"/>
      <c r="C659" s="130">
        <f>IF($B659="","",CHOOSE(WEEKDAY($B659),"일","월","화","수","목","금","토"))</f>
        <v/>
      </c>
      <c r="D659" s="74" t="n"/>
      <c r="E659" s="130">
        <f>IF($D659="","",IFERROR(INDEX(코드설정!$D$5:$D$24,MATCH($D659,코드설정!$C$5:$C$24,0)),""))</f>
        <v/>
      </c>
      <c r="F659" s="74" t="n"/>
      <c r="G659" s="74" t="n"/>
      <c r="H659" s="36" t="n"/>
      <c r="I659" s="36" t="n"/>
      <c r="J659" s="74" t="n"/>
      <c r="K659" s="36" t="n"/>
    </row>
    <row r="660">
      <c r="A660" s="118">
        <f>IF($B660="","",COUNT($B$5:$B660))</f>
        <v/>
      </c>
      <c r="B660" s="80" t="n"/>
      <c r="C660" s="130">
        <f>IF($B660="","",CHOOSE(WEEKDAY($B660),"일","월","화","수","목","금","토"))</f>
        <v/>
      </c>
      <c r="D660" s="74" t="n"/>
      <c r="E660" s="130">
        <f>IF($D660="","",IFERROR(INDEX(코드설정!$D$5:$D$24,MATCH($D660,코드설정!$C$5:$C$24,0)),""))</f>
        <v/>
      </c>
      <c r="F660" s="74" t="n"/>
      <c r="G660" s="74" t="n"/>
      <c r="H660" s="36" t="n"/>
      <c r="I660" s="36" t="n"/>
      <c r="J660" s="74" t="n"/>
      <c r="K660" s="36" t="n"/>
    </row>
    <row r="661">
      <c r="A661" s="118">
        <f>IF($B661="","",COUNT($B$5:$B661))</f>
        <v/>
      </c>
      <c r="B661" s="80" t="n"/>
      <c r="C661" s="130">
        <f>IF($B661="","",CHOOSE(WEEKDAY($B661),"일","월","화","수","목","금","토"))</f>
        <v/>
      </c>
      <c r="D661" s="74" t="n"/>
      <c r="E661" s="130">
        <f>IF($D661="","",IFERROR(INDEX(코드설정!$D$5:$D$24,MATCH($D661,코드설정!$C$5:$C$24,0)),""))</f>
        <v/>
      </c>
      <c r="F661" s="74" t="n"/>
      <c r="G661" s="74" t="n"/>
      <c r="H661" s="36" t="n"/>
      <c r="I661" s="36" t="n"/>
      <c r="J661" s="74" t="n"/>
      <c r="K661" s="36" t="n"/>
    </row>
    <row r="662">
      <c r="A662" s="118">
        <f>IF($B662="","",COUNT($B$5:$B662))</f>
        <v/>
      </c>
      <c r="B662" s="80" t="n"/>
      <c r="C662" s="130">
        <f>IF($B662="","",CHOOSE(WEEKDAY($B662),"일","월","화","수","목","금","토"))</f>
        <v/>
      </c>
      <c r="D662" s="74" t="n"/>
      <c r="E662" s="130">
        <f>IF($D662="","",IFERROR(INDEX(코드설정!$D$5:$D$24,MATCH($D662,코드설정!$C$5:$C$24,0)),""))</f>
        <v/>
      </c>
      <c r="F662" s="74" t="n"/>
      <c r="G662" s="74" t="n"/>
      <c r="H662" s="36" t="n"/>
      <c r="I662" s="36" t="n"/>
      <c r="J662" s="74" t="n"/>
      <c r="K662" s="36" t="n"/>
    </row>
    <row r="663">
      <c r="A663" s="118">
        <f>IF($B663="","",COUNT($B$5:$B663))</f>
        <v/>
      </c>
      <c r="B663" s="80" t="n"/>
      <c r="C663" s="130">
        <f>IF($B663="","",CHOOSE(WEEKDAY($B663),"일","월","화","수","목","금","토"))</f>
        <v/>
      </c>
      <c r="D663" s="74" t="n"/>
      <c r="E663" s="130">
        <f>IF($D663="","",IFERROR(INDEX(코드설정!$D$5:$D$24,MATCH($D663,코드설정!$C$5:$C$24,0)),""))</f>
        <v/>
      </c>
      <c r="F663" s="74" t="n"/>
      <c r="G663" s="74" t="n"/>
      <c r="H663" s="36" t="n"/>
      <c r="I663" s="36" t="n"/>
      <c r="J663" s="74" t="n"/>
      <c r="K663" s="36" t="n"/>
    </row>
    <row r="664">
      <c r="A664" s="118">
        <f>IF($B664="","",COUNT($B$5:$B664))</f>
        <v/>
      </c>
      <c r="B664" s="80" t="n"/>
      <c r="C664" s="130">
        <f>IF($B664="","",CHOOSE(WEEKDAY($B664),"일","월","화","수","목","금","토"))</f>
        <v/>
      </c>
      <c r="D664" s="74" t="n"/>
      <c r="E664" s="130">
        <f>IF($D664="","",IFERROR(INDEX(코드설정!$D$5:$D$24,MATCH($D664,코드설정!$C$5:$C$24,0)),""))</f>
        <v/>
      </c>
      <c r="F664" s="74" t="n"/>
      <c r="G664" s="74" t="n"/>
      <c r="H664" s="36" t="n"/>
      <c r="I664" s="36" t="n"/>
      <c r="J664" s="74" t="n"/>
      <c r="K664" s="36" t="n"/>
    </row>
    <row r="665">
      <c r="A665" s="118">
        <f>IF($B665="","",COUNT($B$5:$B665))</f>
        <v/>
      </c>
      <c r="B665" s="80" t="n"/>
      <c r="C665" s="130">
        <f>IF($B665="","",CHOOSE(WEEKDAY($B665),"일","월","화","수","목","금","토"))</f>
        <v/>
      </c>
      <c r="D665" s="74" t="n"/>
      <c r="E665" s="130">
        <f>IF($D665="","",IFERROR(INDEX(코드설정!$D$5:$D$24,MATCH($D665,코드설정!$C$5:$C$24,0)),""))</f>
        <v/>
      </c>
      <c r="F665" s="74" t="n"/>
      <c r="G665" s="74" t="n"/>
      <c r="H665" s="36" t="n"/>
      <c r="I665" s="36" t="n"/>
      <c r="J665" s="74" t="n"/>
      <c r="K665" s="36" t="n"/>
    </row>
    <row r="666">
      <c r="A666" s="118">
        <f>IF($B666="","",COUNT($B$5:$B666))</f>
        <v/>
      </c>
      <c r="B666" s="80" t="n"/>
      <c r="C666" s="130">
        <f>IF($B666="","",CHOOSE(WEEKDAY($B666),"일","월","화","수","목","금","토"))</f>
        <v/>
      </c>
      <c r="D666" s="74" t="n"/>
      <c r="E666" s="130">
        <f>IF($D666="","",IFERROR(INDEX(코드설정!$D$5:$D$24,MATCH($D666,코드설정!$C$5:$C$24,0)),""))</f>
        <v/>
      </c>
      <c r="F666" s="74" t="n"/>
      <c r="G666" s="74" t="n"/>
      <c r="H666" s="36" t="n"/>
      <c r="I666" s="36" t="n"/>
      <c r="J666" s="74" t="n"/>
      <c r="K666" s="36" t="n"/>
    </row>
    <row r="667">
      <c r="A667" s="118">
        <f>IF($B667="","",COUNT($B$5:$B667))</f>
        <v/>
      </c>
      <c r="B667" s="80" t="n"/>
      <c r="C667" s="130">
        <f>IF($B667="","",CHOOSE(WEEKDAY($B667),"일","월","화","수","목","금","토"))</f>
        <v/>
      </c>
      <c r="D667" s="74" t="n"/>
      <c r="E667" s="130">
        <f>IF($D667="","",IFERROR(INDEX(코드설정!$D$5:$D$24,MATCH($D667,코드설정!$C$5:$C$24,0)),""))</f>
        <v/>
      </c>
      <c r="F667" s="74" t="n"/>
      <c r="G667" s="74" t="n"/>
      <c r="H667" s="36" t="n"/>
      <c r="I667" s="36" t="n"/>
      <c r="J667" s="74" t="n"/>
      <c r="K667" s="36" t="n"/>
    </row>
    <row r="668">
      <c r="A668" s="118">
        <f>IF($B668="","",COUNT($B$5:$B668))</f>
        <v/>
      </c>
      <c r="B668" s="80" t="n"/>
      <c r="C668" s="130">
        <f>IF($B668="","",CHOOSE(WEEKDAY($B668),"일","월","화","수","목","금","토"))</f>
        <v/>
      </c>
      <c r="D668" s="74" t="n"/>
      <c r="E668" s="130">
        <f>IF($D668="","",IFERROR(INDEX(코드설정!$D$5:$D$24,MATCH($D668,코드설정!$C$5:$C$24,0)),""))</f>
        <v/>
      </c>
      <c r="F668" s="74" t="n"/>
      <c r="G668" s="74" t="n"/>
      <c r="H668" s="36" t="n"/>
      <c r="I668" s="36" t="n"/>
      <c r="J668" s="74" t="n"/>
      <c r="K668" s="36" t="n"/>
    </row>
    <row r="669">
      <c r="A669" s="118">
        <f>IF($B669="","",COUNT($B$5:$B669))</f>
        <v/>
      </c>
      <c r="B669" s="80" t="n"/>
      <c r="C669" s="130">
        <f>IF($B669="","",CHOOSE(WEEKDAY($B669),"일","월","화","수","목","금","토"))</f>
        <v/>
      </c>
      <c r="D669" s="74" t="n"/>
      <c r="E669" s="130">
        <f>IF($D669="","",IFERROR(INDEX(코드설정!$D$5:$D$24,MATCH($D669,코드설정!$C$5:$C$24,0)),""))</f>
        <v/>
      </c>
      <c r="F669" s="74" t="n"/>
      <c r="G669" s="74" t="n"/>
      <c r="H669" s="36" t="n"/>
      <c r="I669" s="36" t="n"/>
      <c r="J669" s="74" t="n"/>
      <c r="K669" s="36" t="n"/>
    </row>
    <row r="670">
      <c r="A670" s="118">
        <f>IF($B670="","",COUNT($B$5:$B670))</f>
        <v/>
      </c>
      <c r="B670" s="80" t="n"/>
      <c r="C670" s="130">
        <f>IF($B670="","",CHOOSE(WEEKDAY($B670),"일","월","화","수","목","금","토"))</f>
        <v/>
      </c>
      <c r="D670" s="74" t="n"/>
      <c r="E670" s="130">
        <f>IF($D670="","",IFERROR(INDEX(코드설정!$D$5:$D$24,MATCH($D670,코드설정!$C$5:$C$24,0)),""))</f>
        <v/>
      </c>
      <c r="F670" s="74" t="n"/>
      <c r="G670" s="74" t="n"/>
      <c r="H670" s="36" t="n"/>
      <c r="I670" s="36" t="n"/>
      <c r="J670" s="74" t="n"/>
      <c r="K670" s="36" t="n"/>
    </row>
    <row r="671">
      <c r="A671" s="118">
        <f>IF($B671="","",COUNT($B$5:$B671))</f>
        <v/>
      </c>
      <c r="B671" s="80" t="n"/>
      <c r="C671" s="130">
        <f>IF($B671="","",CHOOSE(WEEKDAY($B671),"일","월","화","수","목","금","토"))</f>
        <v/>
      </c>
      <c r="D671" s="74" t="n"/>
      <c r="E671" s="130">
        <f>IF($D671="","",IFERROR(INDEX(코드설정!$D$5:$D$24,MATCH($D671,코드설정!$C$5:$C$24,0)),""))</f>
        <v/>
      </c>
      <c r="F671" s="74" t="n"/>
      <c r="G671" s="74" t="n"/>
      <c r="H671" s="36" t="n"/>
      <c r="I671" s="36" t="n"/>
      <c r="J671" s="74" t="n"/>
      <c r="K671" s="36" t="n"/>
    </row>
    <row r="672">
      <c r="A672" s="118">
        <f>IF($B672="","",COUNT($B$5:$B672))</f>
        <v/>
      </c>
      <c r="B672" s="80" t="n"/>
      <c r="C672" s="130">
        <f>IF($B672="","",CHOOSE(WEEKDAY($B672),"일","월","화","수","목","금","토"))</f>
        <v/>
      </c>
      <c r="D672" s="74" t="n"/>
      <c r="E672" s="130">
        <f>IF($D672="","",IFERROR(INDEX(코드설정!$D$5:$D$24,MATCH($D672,코드설정!$C$5:$C$24,0)),""))</f>
        <v/>
      </c>
      <c r="F672" s="74" t="n"/>
      <c r="G672" s="74" t="n"/>
      <c r="H672" s="36" t="n"/>
      <c r="I672" s="36" t="n"/>
      <c r="J672" s="74" t="n"/>
      <c r="K672" s="36" t="n"/>
    </row>
    <row r="673">
      <c r="A673" s="118">
        <f>IF($B673="","",COUNT($B$5:$B673))</f>
        <v/>
      </c>
      <c r="B673" s="80" t="n"/>
      <c r="C673" s="130">
        <f>IF($B673="","",CHOOSE(WEEKDAY($B673),"일","월","화","수","목","금","토"))</f>
        <v/>
      </c>
      <c r="D673" s="74" t="n"/>
      <c r="E673" s="130">
        <f>IF($D673="","",IFERROR(INDEX(코드설정!$D$5:$D$24,MATCH($D673,코드설정!$C$5:$C$24,0)),""))</f>
        <v/>
      </c>
      <c r="F673" s="74" t="n"/>
      <c r="G673" s="74" t="n"/>
      <c r="H673" s="36" t="n"/>
      <c r="I673" s="36" t="n"/>
      <c r="J673" s="74" t="n"/>
      <c r="K673" s="36" t="n"/>
    </row>
    <row r="674">
      <c r="A674" s="118">
        <f>IF($B674="","",COUNT($B$5:$B674))</f>
        <v/>
      </c>
      <c r="B674" s="80" t="n"/>
      <c r="C674" s="130">
        <f>IF($B674="","",CHOOSE(WEEKDAY($B674),"일","월","화","수","목","금","토"))</f>
        <v/>
      </c>
      <c r="D674" s="74" t="n"/>
      <c r="E674" s="130">
        <f>IF($D674="","",IFERROR(INDEX(코드설정!$D$5:$D$24,MATCH($D674,코드설정!$C$5:$C$24,0)),""))</f>
        <v/>
      </c>
      <c r="F674" s="74" t="n"/>
      <c r="G674" s="74" t="n"/>
      <c r="H674" s="36" t="n"/>
      <c r="I674" s="36" t="n"/>
      <c r="J674" s="74" t="n"/>
      <c r="K674" s="36" t="n"/>
    </row>
    <row r="675">
      <c r="A675" s="118">
        <f>IF($B675="","",COUNT($B$5:$B675))</f>
        <v/>
      </c>
      <c r="B675" s="80" t="n"/>
      <c r="C675" s="130">
        <f>IF($B675="","",CHOOSE(WEEKDAY($B675),"일","월","화","수","목","금","토"))</f>
        <v/>
      </c>
      <c r="D675" s="74" t="n"/>
      <c r="E675" s="130">
        <f>IF($D675="","",IFERROR(INDEX(코드설정!$D$5:$D$24,MATCH($D675,코드설정!$C$5:$C$24,0)),""))</f>
        <v/>
      </c>
      <c r="F675" s="74" t="n"/>
      <c r="G675" s="74" t="n"/>
      <c r="H675" s="36" t="n"/>
      <c r="I675" s="36" t="n"/>
      <c r="J675" s="74" t="n"/>
      <c r="K675" s="36" t="n"/>
    </row>
    <row r="676">
      <c r="A676" s="118">
        <f>IF($B676="","",COUNT($B$5:$B676))</f>
        <v/>
      </c>
      <c r="B676" s="80" t="n"/>
      <c r="C676" s="130">
        <f>IF($B676="","",CHOOSE(WEEKDAY($B676),"일","월","화","수","목","금","토"))</f>
        <v/>
      </c>
      <c r="D676" s="74" t="n"/>
      <c r="E676" s="130">
        <f>IF($D676="","",IFERROR(INDEX(코드설정!$D$5:$D$24,MATCH($D676,코드설정!$C$5:$C$24,0)),""))</f>
        <v/>
      </c>
      <c r="F676" s="74" t="n"/>
      <c r="G676" s="74" t="n"/>
      <c r="H676" s="36" t="n"/>
      <c r="I676" s="36" t="n"/>
      <c r="J676" s="74" t="n"/>
      <c r="K676" s="36" t="n"/>
    </row>
    <row r="677">
      <c r="A677" s="118">
        <f>IF($B677="","",COUNT($B$5:$B677))</f>
        <v/>
      </c>
      <c r="B677" s="80" t="n"/>
      <c r="C677" s="130">
        <f>IF($B677="","",CHOOSE(WEEKDAY($B677),"일","월","화","수","목","금","토"))</f>
        <v/>
      </c>
      <c r="D677" s="74" t="n"/>
      <c r="E677" s="130">
        <f>IF($D677="","",IFERROR(INDEX(코드설정!$D$5:$D$24,MATCH($D677,코드설정!$C$5:$C$24,0)),""))</f>
        <v/>
      </c>
      <c r="F677" s="74" t="n"/>
      <c r="G677" s="74" t="n"/>
      <c r="H677" s="36" t="n"/>
      <c r="I677" s="36" t="n"/>
      <c r="J677" s="74" t="n"/>
      <c r="K677" s="36" t="n"/>
    </row>
    <row r="678">
      <c r="A678" s="118">
        <f>IF($B678="","",COUNT($B$5:$B678))</f>
        <v/>
      </c>
      <c r="B678" s="80" t="n"/>
      <c r="C678" s="130">
        <f>IF($B678="","",CHOOSE(WEEKDAY($B678),"일","월","화","수","목","금","토"))</f>
        <v/>
      </c>
      <c r="D678" s="74" t="n"/>
      <c r="E678" s="130">
        <f>IF($D678="","",IFERROR(INDEX(코드설정!$D$5:$D$24,MATCH($D678,코드설정!$C$5:$C$24,0)),""))</f>
        <v/>
      </c>
      <c r="F678" s="74" t="n"/>
      <c r="G678" s="74" t="n"/>
      <c r="H678" s="36" t="n"/>
      <c r="I678" s="36" t="n"/>
      <c r="J678" s="74" t="n"/>
      <c r="K678" s="36" t="n"/>
    </row>
    <row r="679">
      <c r="A679" s="118">
        <f>IF($B679="","",COUNT($B$5:$B679))</f>
        <v/>
      </c>
      <c r="B679" s="80" t="n"/>
      <c r="C679" s="130">
        <f>IF($B679="","",CHOOSE(WEEKDAY($B679),"일","월","화","수","목","금","토"))</f>
        <v/>
      </c>
      <c r="D679" s="74" t="n"/>
      <c r="E679" s="130">
        <f>IF($D679="","",IFERROR(INDEX(코드설정!$D$5:$D$24,MATCH($D679,코드설정!$C$5:$C$24,0)),""))</f>
        <v/>
      </c>
      <c r="F679" s="74" t="n"/>
      <c r="G679" s="74" t="n"/>
      <c r="H679" s="36" t="n"/>
      <c r="I679" s="36" t="n"/>
      <c r="J679" s="74" t="n"/>
      <c r="K679" s="36" t="n"/>
    </row>
    <row r="680">
      <c r="A680" s="118">
        <f>IF($B680="","",COUNT($B$5:$B680))</f>
        <v/>
      </c>
      <c r="B680" s="80" t="n"/>
      <c r="C680" s="130">
        <f>IF($B680="","",CHOOSE(WEEKDAY($B680),"일","월","화","수","목","금","토"))</f>
        <v/>
      </c>
      <c r="D680" s="74" t="n"/>
      <c r="E680" s="130">
        <f>IF($D680="","",IFERROR(INDEX(코드설정!$D$5:$D$24,MATCH($D680,코드설정!$C$5:$C$24,0)),""))</f>
        <v/>
      </c>
      <c r="F680" s="74" t="n"/>
      <c r="G680" s="74" t="n"/>
      <c r="H680" s="36" t="n"/>
      <c r="I680" s="36" t="n"/>
      <c r="J680" s="74" t="n"/>
      <c r="K680" s="36" t="n"/>
    </row>
    <row r="681">
      <c r="A681" s="118">
        <f>IF($B681="","",COUNT($B$5:$B681))</f>
        <v/>
      </c>
      <c r="B681" s="80" t="n"/>
      <c r="C681" s="130">
        <f>IF($B681="","",CHOOSE(WEEKDAY($B681),"일","월","화","수","목","금","토"))</f>
        <v/>
      </c>
      <c r="D681" s="74" t="n"/>
      <c r="E681" s="130">
        <f>IF($D681="","",IFERROR(INDEX(코드설정!$D$5:$D$24,MATCH($D681,코드설정!$C$5:$C$24,0)),""))</f>
        <v/>
      </c>
      <c r="F681" s="74" t="n"/>
      <c r="G681" s="74" t="n"/>
      <c r="H681" s="36" t="n"/>
      <c r="I681" s="36" t="n"/>
      <c r="J681" s="74" t="n"/>
      <c r="K681" s="36" t="n"/>
    </row>
    <row r="682">
      <c r="A682" s="118">
        <f>IF($B682="","",COUNT($B$5:$B682))</f>
        <v/>
      </c>
      <c r="B682" s="80" t="n"/>
      <c r="C682" s="130">
        <f>IF($B682="","",CHOOSE(WEEKDAY($B682),"일","월","화","수","목","금","토"))</f>
        <v/>
      </c>
      <c r="D682" s="74" t="n"/>
      <c r="E682" s="130">
        <f>IF($D682="","",IFERROR(INDEX(코드설정!$D$5:$D$24,MATCH($D682,코드설정!$C$5:$C$24,0)),""))</f>
        <v/>
      </c>
      <c r="F682" s="74" t="n"/>
      <c r="G682" s="74" t="n"/>
      <c r="H682" s="36" t="n"/>
      <c r="I682" s="36" t="n"/>
      <c r="J682" s="74" t="n"/>
      <c r="K682" s="36" t="n"/>
    </row>
    <row r="683">
      <c r="A683" s="118">
        <f>IF($B683="","",COUNT($B$5:$B683))</f>
        <v/>
      </c>
      <c r="B683" s="80" t="n"/>
      <c r="C683" s="130">
        <f>IF($B683="","",CHOOSE(WEEKDAY($B683),"일","월","화","수","목","금","토"))</f>
        <v/>
      </c>
      <c r="D683" s="74" t="n"/>
      <c r="E683" s="130">
        <f>IF($D683="","",IFERROR(INDEX(코드설정!$D$5:$D$24,MATCH($D683,코드설정!$C$5:$C$24,0)),""))</f>
        <v/>
      </c>
      <c r="F683" s="74" t="n"/>
      <c r="G683" s="74" t="n"/>
      <c r="H683" s="36" t="n"/>
      <c r="I683" s="36" t="n"/>
      <c r="J683" s="74" t="n"/>
      <c r="K683" s="36" t="n"/>
    </row>
    <row r="684">
      <c r="A684" s="118">
        <f>IF($B684="","",COUNT($B$5:$B684))</f>
        <v/>
      </c>
      <c r="B684" s="80" t="n"/>
      <c r="C684" s="130">
        <f>IF($B684="","",CHOOSE(WEEKDAY($B684),"일","월","화","수","목","금","토"))</f>
        <v/>
      </c>
      <c r="D684" s="74" t="n"/>
      <c r="E684" s="130">
        <f>IF($D684="","",IFERROR(INDEX(코드설정!$D$5:$D$24,MATCH($D684,코드설정!$C$5:$C$24,0)),""))</f>
        <v/>
      </c>
      <c r="F684" s="74" t="n"/>
      <c r="G684" s="74" t="n"/>
      <c r="H684" s="36" t="n"/>
      <c r="I684" s="36" t="n"/>
      <c r="J684" s="74" t="n"/>
      <c r="K684" s="36" t="n"/>
    </row>
    <row r="685">
      <c r="A685" s="118">
        <f>IF($B685="","",COUNT($B$5:$B685))</f>
        <v/>
      </c>
      <c r="B685" s="80" t="n"/>
      <c r="C685" s="130">
        <f>IF($B685="","",CHOOSE(WEEKDAY($B685),"일","월","화","수","목","금","토"))</f>
        <v/>
      </c>
      <c r="D685" s="74" t="n"/>
      <c r="E685" s="130">
        <f>IF($D685="","",IFERROR(INDEX(코드설정!$D$5:$D$24,MATCH($D685,코드설정!$C$5:$C$24,0)),""))</f>
        <v/>
      </c>
      <c r="F685" s="74" t="n"/>
      <c r="G685" s="74" t="n"/>
      <c r="H685" s="36" t="n"/>
      <c r="I685" s="36" t="n"/>
      <c r="J685" s="74" t="n"/>
      <c r="K685" s="36" t="n"/>
    </row>
    <row r="686">
      <c r="A686" s="118">
        <f>IF($B686="","",COUNT($B$5:$B686))</f>
        <v/>
      </c>
      <c r="B686" s="80" t="n"/>
      <c r="C686" s="130">
        <f>IF($B686="","",CHOOSE(WEEKDAY($B686),"일","월","화","수","목","금","토"))</f>
        <v/>
      </c>
      <c r="D686" s="74" t="n"/>
      <c r="E686" s="130">
        <f>IF($D686="","",IFERROR(INDEX(코드설정!$D$5:$D$24,MATCH($D686,코드설정!$C$5:$C$24,0)),""))</f>
        <v/>
      </c>
      <c r="F686" s="74" t="n"/>
      <c r="G686" s="74" t="n"/>
      <c r="H686" s="36" t="n"/>
      <c r="I686" s="36" t="n"/>
      <c r="J686" s="74" t="n"/>
      <c r="K686" s="36" t="n"/>
    </row>
    <row r="687">
      <c r="A687" s="118">
        <f>IF($B687="","",COUNT($B$5:$B687))</f>
        <v/>
      </c>
      <c r="B687" s="80" t="n"/>
      <c r="C687" s="130">
        <f>IF($B687="","",CHOOSE(WEEKDAY($B687),"일","월","화","수","목","금","토"))</f>
        <v/>
      </c>
      <c r="D687" s="74" t="n"/>
      <c r="E687" s="130">
        <f>IF($D687="","",IFERROR(INDEX(코드설정!$D$5:$D$24,MATCH($D687,코드설정!$C$5:$C$24,0)),""))</f>
        <v/>
      </c>
      <c r="F687" s="74" t="n"/>
      <c r="G687" s="74" t="n"/>
      <c r="H687" s="36" t="n"/>
      <c r="I687" s="36" t="n"/>
      <c r="J687" s="74" t="n"/>
      <c r="K687" s="36" t="n"/>
    </row>
    <row r="688">
      <c r="A688" s="118">
        <f>IF($B688="","",COUNT($B$5:$B688))</f>
        <v/>
      </c>
      <c r="B688" s="80" t="n"/>
      <c r="C688" s="130">
        <f>IF($B688="","",CHOOSE(WEEKDAY($B688),"일","월","화","수","목","금","토"))</f>
        <v/>
      </c>
      <c r="D688" s="74" t="n"/>
      <c r="E688" s="130">
        <f>IF($D688="","",IFERROR(INDEX(코드설정!$D$5:$D$24,MATCH($D688,코드설정!$C$5:$C$24,0)),""))</f>
        <v/>
      </c>
      <c r="F688" s="74" t="n"/>
      <c r="G688" s="74" t="n"/>
      <c r="H688" s="36" t="n"/>
      <c r="I688" s="36" t="n"/>
      <c r="J688" s="74" t="n"/>
      <c r="K688" s="36" t="n"/>
    </row>
    <row r="689">
      <c r="A689" s="118">
        <f>IF($B689="","",COUNT($B$5:$B689))</f>
        <v/>
      </c>
      <c r="B689" s="80" t="n"/>
      <c r="C689" s="130">
        <f>IF($B689="","",CHOOSE(WEEKDAY($B689),"일","월","화","수","목","금","토"))</f>
        <v/>
      </c>
      <c r="D689" s="74" t="n"/>
      <c r="E689" s="130">
        <f>IF($D689="","",IFERROR(INDEX(코드설정!$D$5:$D$24,MATCH($D689,코드설정!$C$5:$C$24,0)),""))</f>
        <v/>
      </c>
      <c r="F689" s="74" t="n"/>
      <c r="G689" s="74" t="n"/>
      <c r="H689" s="36" t="n"/>
      <c r="I689" s="36" t="n"/>
      <c r="J689" s="74" t="n"/>
      <c r="K689" s="36" t="n"/>
    </row>
    <row r="690">
      <c r="A690" s="118">
        <f>IF($B690="","",COUNT($B$5:$B690))</f>
        <v/>
      </c>
      <c r="B690" s="80" t="n"/>
      <c r="C690" s="130">
        <f>IF($B690="","",CHOOSE(WEEKDAY($B690),"일","월","화","수","목","금","토"))</f>
        <v/>
      </c>
      <c r="D690" s="74" t="n"/>
      <c r="E690" s="130">
        <f>IF($D690="","",IFERROR(INDEX(코드설정!$D$5:$D$24,MATCH($D690,코드설정!$C$5:$C$24,0)),""))</f>
        <v/>
      </c>
      <c r="F690" s="74" t="n"/>
      <c r="G690" s="74" t="n"/>
      <c r="H690" s="36" t="n"/>
      <c r="I690" s="36" t="n"/>
      <c r="J690" s="74" t="n"/>
      <c r="K690" s="36" t="n"/>
    </row>
    <row r="691">
      <c r="A691" s="118">
        <f>IF($B691="","",COUNT($B$5:$B691))</f>
        <v/>
      </c>
      <c r="B691" s="80" t="n"/>
      <c r="C691" s="130">
        <f>IF($B691="","",CHOOSE(WEEKDAY($B691),"일","월","화","수","목","금","토"))</f>
        <v/>
      </c>
      <c r="D691" s="74" t="n"/>
      <c r="E691" s="130">
        <f>IF($D691="","",IFERROR(INDEX(코드설정!$D$5:$D$24,MATCH($D691,코드설정!$C$5:$C$24,0)),""))</f>
        <v/>
      </c>
      <c r="F691" s="74" t="n"/>
      <c r="G691" s="74" t="n"/>
      <c r="H691" s="36" t="n"/>
      <c r="I691" s="36" t="n"/>
      <c r="J691" s="74" t="n"/>
      <c r="K691" s="36" t="n"/>
    </row>
    <row r="692">
      <c r="A692" s="118">
        <f>IF($B692="","",COUNT($B$5:$B692))</f>
        <v/>
      </c>
      <c r="B692" s="80" t="n"/>
      <c r="C692" s="130">
        <f>IF($B692="","",CHOOSE(WEEKDAY($B692),"일","월","화","수","목","금","토"))</f>
        <v/>
      </c>
      <c r="D692" s="74" t="n"/>
      <c r="E692" s="130">
        <f>IF($D692="","",IFERROR(INDEX(코드설정!$D$5:$D$24,MATCH($D692,코드설정!$C$5:$C$24,0)),""))</f>
        <v/>
      </c>
      <c r="F692" s="74" t="n"/>
      <c r="G692" s="74" t="n"/>
      <c r="H692" s="36" t="n"/>
      <c r="I692" s="36" t="n"/>
      <c r="J692" s="74" t="n"/>
      <c r="K692" s="36" t="n"/>
    </row>
    <row r="693">
      <c r="A693" s="118">
        <f>IF($B693="","",COUNT($B$5:$B693))</f>
        <v/>
      </c>
      <c r="B693" s="80" t="n"/>
      <c r="C693" s="130">
        <f>IF($B693="","",CHOOSE(WEEKDAY($B693),"일","월","화","수","목","금","토"))</f>
        <v/>
      </c>
      <c r="D693" s="74" t="n"/>
      <c r="E693" s="130">
        <f>IF($D693="","",IFERROR(INDEX(코드설정!$D$5:$D$24,MATCH($D693,코드설정!$C$5:$C$24,0)),""))</f>
        <v/>
      </c>
      <c r="F693" s="74" t="n"/>
      <c r="G693" s="74" t="n"/>
      <c r="H693" s="36" t="n"/>
      <c r="I693" s="36" t="n"/>
      <c r="J693" s="74" t="n"/>
      <c r="K693" s="36" t="n"/>
    </row>
    <row r="694">
      <c r="A694" s="118">
        <f>IF($B694="","",COUNT($B$5:$B694))</f>
        <v/>
      </c>
      <c r="B694" s="80" t="n"/>
      <c r="C694" s="130">
        <f>IF($B694="","",CHOOSE(WEEKDAY($B694),"일","월","화","수","목","금","토"))</f>
        <v/>
      </c>
      <c r="D694" s="74" t="n"/>
      <c r="E694" s="130">
        <f>IF($D694="","",IFERROR(INDEX(코드설정!$D$5:$D$24,MATCH($D694,코드설정!$C$5:$C$24,0)),""))</f>
        <v/>
      </c>
      <c r="F694" s="74" t="n"/>
      <c r="G694" s="74" t="n"/>
      <c r="H694" s="36" t="n"/>
      <c r="I694" s="36" t="n"/>
      <c r="J694" s="74" t="n"/>
      <c r="K694" s="36" t="n"/>
    </row>
    <row r="695">
      <c r="A695" s="118">
        <f>IF($B695="","",COUNT($B$5:$B695))</f>
        <v/>
      </c>
      <c r="B695" s="80" t="n"/>
      <c r="C695" s="130">
        <f>IF($B695="","",CHOOSE(WEEKDAY($B695),"일","월","화","수","목","금","토"))</f>
        <v/>
      </c>
      <c r="D695" s="74" t="n"/>
      <c r="E695" s="130">
        <f>IF($D695="","",IFERROR(INDEX(코드설정!$D$5:$D$24,MATCH($D695,코드설정!$C$5:$C$24,0)),""))</f>
        <v/>
      </c>
      <c r="F695" s="74" t="n"/>
      <c r="G695" s="74" t="n"/>
      <c r="H695" s="36" t="n"/>
      <c r="I695" s="36" t="n"/>
      <c r="J695" s="74" t="n"/>
      <c r="K695" s="36" t="n"/>
    </row>
    <row r="696">
      <c r="A696" s="118">
        <f>IF($B696="","",COUNT($B$5:$B696))</f>
        <v/>
      </c>
      <c r="B696" s="80" t="n"/>
      <c r="C696" s="130">
        <f>IF($B696="","",CHOOSE(WEEKDAY($B696),"일","월","화","수","목","금","토"))</f>
        <v/>
      </c>
      <c r="D696" s="74" t="n"/>
      <c r="E696" s="130">
        <f>IF($D696="","",IFERROR(INDEX(코드설정!$D$5:$D$24,MATCH($D696,코드설정!$C$5:$C$24,0)),""))</f>
        <v/>
      </c>
      <c r="F696" s="74" t="n"/>
      <c r="G696" s="74" t="n"/>
      <c r="H696" s="36" t="n"/>
      <c r="I696" s="36" t="n"/>
      <c r="J696" s="74" t="n"/>
      <c r="K696" s="36" t="n"/>
    </row>
    <row r="697">
      <c r="A697" s="118">
        <f>IF($B697="","",COUNT($B$5:$B697))</f>
        <v/>
      </c>
      <c r="B697" s="80" t="n"/>
      <c r="C697" s="130">
        <f>IF($B697="","",CHOOSE(WEEKDAY($B697),"일","월","화","수","목","금","토"))</f>
        <v/>
      </c>
      <c r="D697" s="74" t="n"/>
      <c r="E697" s="130">
        <f>IF($D697="","",IFERROR(INDEX(코드설정!$D$5:$D$24,MATCH($D697,코드설정!$C$5:$C$24,0)),""))</f>
        <v/>
      </c>
      <c r="F697" s="74" t="n"/>
      <c r="G697" s="74" t="n"/>
      <c r="H697" s="36" t="n"/>
      <c r="I697" s="36" t="n"/>
      <c r="J697" s="74" t="n"/>
      <c r="K697" s="36" t="n"/>
    </row>
    <row r="698">
      <c r="A698" s="118">
        <f>IF($B698="","",COUNT($B$5:$B698))</f>
        <v/>
      </c>
      <c r="B698" s="80" t="n"/>
      <c r="C698" s="130">
        <f>IF($B698="","",CHOOSE(WEEKDAY($B698),"일","월","화","수","목","금","토"))</f>
        <v/>
      </c>
      <c r="D698" s="74" t="n"/>
      <c r="E698" s="130">
        <f>IF($D698="","",IFERROR(INDEX(코드설정!$D$5:$D$24,MATCH($D698,코드설정!$C$5:$C$24,0)),""))</f>
        <v/>
      </c>
      <c r="F698" s="74" t="n"/>
      <c r="G698" s="74" t="n"/>
      <c r="H698" s="36" t="n"/>
      <c r="I698" s="36" t="n"/>
      <c r="J698" s="74" t="n"/>
      <c r="K698" s="36" t="n"/>
    </row>
    <row r="699">
      <c r="A699" s="118">
        <f>IF($B699="","",COUNT($B$5:$B699))</f>
        <v/>
      </c>
      <c r="B699" s="80" t="n"/>
      <c r="C699" s="130">
        <f>IF($B699="","",CHOOSE(WEEKDAY($B699),"일","월","화","수","목","금","토"))</f>
        <v/>
      </c>
      <c r="D699" s="74" t="n"/>
      <c r="E699" s="130">
        <f>IF($D699="","",IFERROR(INDEX(코드설정!$D$5:$D$24,MATCH($D699,코드설정!$C$5:$C$24,0)),""))</f>
        <v/>
      </c>
      <c r="F699" s="74" t="n"/>
      <c r="G699" s="74" t="n"/>
      <c r="H699" s="36" t="n"/>
      <c r="I699" s="36" t="n"/>
      <c r="J699" s="74" t="n"/>
      <c r="K699" s="36" t="n"/>
    </row>
    <row r="700">
      <c r="A700" s="118">
        <f>IF($B700="","",COUNT($B$5:$B700))</f>
        <v/>
      </c>
      <c r="B700" s="80" t="n"/>
      <c r="C700" s="130">
        <f>IF($B700="","",CHOOSE(WEEKDAY($B700),"일","월","화","수","목","금","토"))</f>
        <v/>
      </c>
      <c r="D700" s="74" t="n"/>
      <c r="E700" s="130">
        <f>IF($D700="","",IFERROR(INDEX(코드설정!$D$5:$D$24,MATCH($D700,코드설정!$C$5:$C$24,0)),""))</f>
        <v/>
      </c>
      <c r="F700" s="74" t="n"/>
      <c r="G700" s="74" t="n"/>
      <c r="H700" s="36" t="n"/>
      <c r="I700" s="36" t="n"/>
      <c r="J700" s="74" t="n"/>
      <c r="K700" s="36" t="n"/>
    </row>
    <row r="701">
      <c r="A701" s="118">
        <f>IF($B701="","",COUNT($B$5:$B701))</f>
        <v/>
      </c>
      <c r="B701" s="80" t="n"/>
      <c r="C701" s="130">
        <f>IF($B701="","",CHOOSE(WEEKDAY($B701),"일","월","화","수","목","금","토"))</f>
        <v/>
      </c>
      <c r="D701" s="74" t="n"/>
      <c r="E701" s="130">
        <f>IF($D701="","",IFERROR(INDEX(코드설정!$D$5:$D$24,MATCH($D701,코드설정!$C$5:$C$24,0)),""))</f>
        <v/>
      </c>
      <c r="F701" s="74" t="n"/>
      <c r="G701" s="74" t="n"/>
      <c r="H701" s="36" t="n"/>
      <c r="I701" s="36" t="n"/>
      <c r="J701" s="74" t="n"/>
      <c r="K701" s="36" t="n"/>
    </row>
    <row r="702">
      <c r="A702" s="118">
        <f>IF($B702="","",COUNT($B$5:$B702))</f>
        <v/>
      </c>
      <c r="B702" s="80" t="n"/>
      <c r="C702" s="130">
        <f>IF($B702="","",CHOOSE(WEEKDAY($B702),"일","월","화","수","목","금","토"))</f>
        <v/>
      </c>
      <c r="D702" s="74" t="n"/>
      <c r="E702" s="130">
        <f>IF($D702="","",IFERROR(INDEX(코드설정!$D$5:$D$24,MATCH($D702,코드설정!$C$5:$C$24,0)),""))</f>
        <v/>
      </c>
      <c r="F702" s="74" t="n"/>
      <c r="G702" s="74" t="n"/>
      <c r="H702" s="36" t="n"/>
      <c r="I702" s="36" t="n"/>
      <c r="J702" s="74" t="n"/>
      <c r="K702" s="36" t="n"/>
    </row>
    <row r="703">
      <c r="A703" s="118">
        <f>IF($B703="","",COUNT($B$5:$B703))</f>
        <v/>
      </c>
      <c r="B703" s="80" t="n"/>
      <c r="C703" s="130">
        <f>IF($B703="","",CHOOSE(WEEKDAY($B703),"일","월","화","수","목","금","토"))</f>
        <v/>
      </c>
      <c r="D703" s="74" t="n"/>
      <c r="E703" s="130">
        <f>IF($D703="","",IFERROR(INDEX(코드설정!$D$5:$D$24,MATCH($D703,코드설정!$C$5:$C$24,0)),""))</f>
        <v/>
      </c>
      <c r="F703" s="74" t="n"/>
      <c r="G703" s="74" t="n"/>
      <c r="H703" s="36" t="n"/>
      <c r="I703" s="36" t="n"/>
      <c r="J703" s="74" t="n"/>
      <c r="K703" s="36" t="n"/>
    </row>
    <row r="704">
      <c r="A704" s="118">
        <f>IF($B704="","",COUNT($B$5:$B704))</f>
        <v/>
      </c>
      <c r="B704" s="80" t="n"/>
      <c r="C704" s="130">
        <f>IF($B704="","",CHOOSE(WEEKDAY($B704),"일","월","화","수","목","금","토"))</f>
        <v/>
      </c>
      <c r="D704" s="74" t="n"/>
      <c r="E704" s="130">
        <f>IF($D704="","",IFERROR(INDEX(코드설정!$D$5:$D$24,MATCH($D704,코드설정!$C$5:$C$24,0)),""))</f>
        <v/>
      </c>
      <c r="F704" s="74" t="n"/>
      <c r="G704" s="74" t="n"/>
      <c r="H704" s="36" t="n"/>
      <c r="I704" s="36" t="n"/>
      <c r="J704" s="74" t="n"/>
      <c r="K704" s="36" t="n"/>
    </row>
    <row r="705">
      <c r="A705" s="118">
        <f>IF($B705="","",COUNT($B$5:$B705))</f>
        <v/>
      </c>
      <c r="B705" s="80" t="n"/>
      <c r="C705" s="130">
        <f>IF($B705="","",CHOOSE(WEEKDAY($B705),"일","월","화","수","목","금","토"))</f>
        <v/>
      </c>
      <c r="D705" s="74" t="n"/>
      <c r="E705" s="130">
        <f>IF($D705="","",IFERROR(INDEX(코드설정!$D$5:$D$24,MATCH($D705,코드설정!$C$5:$C$24,0)),""))</f>
        <v/>
      </c>
      <c r="F705" s="74" t="n"/>
      <c r="G705" s="74" t="n"/>
      <c r="H705" s="36" t="n"/>
      <c r="I705" s="36" t="n"/>
      <c r="J705" s="74" t="n"/>
      <c r="K705" s="36" t="n"/>
    </row>
    <row r="706">
      <c r="A706" s="118">
        <f>IF($B706="","",COUNT($B$5:$B706))</f>
        <v/>
      </c>
      <c r="B706" s="80" t="n"/>
      <c r="C706" s="130">
        <f>IF($B706="","",CHOOSE(WEEKDAY($B706),"일","월","화","수","목","금","토"))</f>
        <v/>
      </c>
      <c r="D706" s="74" t="n"/>
      <c r="E706" s="130">
        <f>IF($D706="","",IFERROR(INDEX(코드설정!$D$5:$D$24,MATCH($D706,코드설정!$C$5:$C$24,0)),""))</f>
        <v/>
      </c>
      <c r="F706" s="74" t="n"/>
      <c r="G706" s="74" t="n"/>
      <c r="H706" s="36" t="n"/>
      <c r="I706" s="36" t="n"/>
      <c r="J706" s="74" t="n"/>
      <c r="K706" s="36" t="n"/>
    </row>
    <row r="707">
      <c r="A707" s="118">
        <f>IF($B707="","",COUNT($B$5:$B707))</f>
        <v/>
      </c>
      <c r="B707" s="80" t="n"/>
      <c r="C707" s="130">
        <f>IF($B707="","",CHOOSE(WEEKDAY($B707),"일","월","화","수","목","금","토"))</f>
        <v/>
      </c>
      <c r="D707" s="74" t="n"/>
      <c r="E707" s="130">
        <f>IF($D707="","",IFERROR(INDEX(코드설정!$D$5:$D$24,MATCH($D707,코드설정!$C$5:$C$24,0)),""))</f>
        <v/>
      </c>
      <c r="F707" s="74" t="n"/>
      <c r="G707" s="74" t="n"/>
      <c r="H707" s="36" t="n"/>
      <c r="I707" s="36" t="n"/>
      <c r="J707" s="74" t="n"/>
      <c r="K707" s="36" t="n"/>
    </row>
    <row r="708">
      <c r="A708" s="118">
        <f>IF($B708="","",COUNT($B$5:$B708))</f>
        <v/>
      </c>
      <c r="B708" s="80" t="n"/>
      <c r="C708" s="130">
        <f>IF($B708="","",CHOOSE(WEEKDAY($B708),"일","월","화","수","목","금","토"))</f>
        <v/>
      </c>
      <c r="D708" s="74" t="n"/>
      <c r="E708" s="130">
        <f>IF($D708="","",IFERROR(INDEX(코드설정!$D$5:$D$24,MATCH($D708,코드설정!$C$5:$C$24,0)),""))</f>
        <v/>
      </c>
      <c r="F708" s="74" t="n"/>
      <c r="G708" s="74" t="n"/>
      <c r="H708" s="36" t="n"/>
      <c r="I708" s="36" t="n"/>
      <c r="J708" s="74" t="n"/>
      <c r="K708" s="36" t="n"/>
    </row>
    <row r="709">
      <c r="A709" s="118">
        <f>IF($B709="","",COUNT($B$5:$B709))</f>
        <v/>
      </c>
      <c r="B709" s="80" t="n"/>
      <c r="C709" s="130">
        <f>IF($B709="","",CHOOSE(WEEKDAY($B709),"일","월","화","수","목","금","토"))</f>
        <v/>
      </c>
      <c r="D709" s="74" t="n"/>
      <c r="E709" s="130">
        <f>IF($D709="","",IFERROR(INDEX(코드설정!$D$5:$D$24,MATCH($D709,코드설정!$C$5:$C$24,0)),""))</f>
        <v/>
      </c>
      <c r="F709" s="74" t="n"/>
      <c r="G709" s="74" t="n"/>
      <c r="H709" s="36" t="n"/>
      <c r="I709" s="36" t="n"/>
      <c r="J709" s="74" t="n"/>
      <c r="K709" s="36" t="n"/>
    </row>
    <row r="710">
      <c r="A710" s="118">
        <f>IF($B710="","",COUNT($B$5:$B710))</f>
        <v/>
      </c>
      <c r="B710" s="80" t="n"/>
      <c r="C710" s="130">
        <f>IF($B710="","",CHOOSE(WEEKDAY($B710),"일","월","화","수","목","금","토"))</f>
        <v/>
      </c>
      <c r="D710" s="74" t="n"/>
      <c r="E710" s="130">
        <f>IF($D710="","",IFERROR(INDEX(코드설정!$D$5:$D$24,MATCH($D710,코드설정!$C$5:$C$24,0)),""))</f>
        <v/>
      </c>
      <c r="F710" s="74" t="n"/>
      <c r="G710" s="74" t="n"/>
      <c r="H710" s="36" t="n"/>
      <c r="I710" s="36" t="n"/>
      <c r="J710" s="74" t="n"/>
      <c r="K710" s="36" t="n"/>
    </row>
    <row r="711">
      <c r="A711" s="118">
        <f>IF($B711="","",COUNT($B$5:$B711))</f>
        <v/>
      </c>
      <c r="B711" s="80" t="n"/>
      <c r="C711" s="130">
        <f>IF($B711="","",CHOOSE(WEEKDAY($B711),"일","월","화","수","목","금","토"))</f>
        <v/>
      </c>
      <c r="D711" s="74" t="n"/>
      <c r="E711" s="130">
        <f>IF($D711="","",IFERROR(INDEX(코드설정!$D$5:$D$24,MATCH($D711,코드설정!$C$5:$C$24,0)),""))</f>
        <v/>
      </c>
      <c r="F711" s="74" t="n"/>
      <c r="G711" s="74" t="n"/>
      <c r="H711" s="36" t="n"/>
      <c r="I711" s="36" t="n"/>
      <c r="J711" s="74" t="n"/>
      <c r="K711" s="36" t="n"/>
    </row>
    <row r="712">
      <c r="A712" s="118">
        <f>IF($B712="","",COUNT($B$5:$B712))</f>
        <v/>
      </c>
      <c r="B712" s="80" t="n"/>
      <c r="C712" s="130">
        <f>IF($B712="","",CHOOSE(WEEKDAY($B712),"일","월","화","수","목","금","토"))</f>
        <v/>
      </c>
      <c r="D712" s="74" t="n"/>
      <c r="E712" s="130">
        <f>IF($D712="","",IFERROR(INDEX(코드설정!$D$5:$D$24,MATCH($D712,코드설정!$C$5:$C$24,0)),""))</f>
        <v/>
      </c>
      <c r="F712" s="74" t="n"/>
      <c r="G712" s="74" t="n"/>
      <c r="H712" s="36" t="n"/>
      <c r="I712" s="36" t="n"/>
      <c r="J712" s="74" t="n"/>
      <c r="K712" s="36" t="n"/>
    </row>
    <row r="713">
      <c r="A713" s="118">
        <f>IF($B713="","",COUNT($B$5:$B713))</f>
        <v/>
      </c>
      <c r="B713" s="80" t="n"/>
      <c r="C713" s="130">
        <f>IF($B713="","",CHOOSE(WEEKDAY($B713),"일","월","화","수","목","금","토"))</f>
        <v/>
      </c>
      <c r="D713" s="74" t="n"/>
      <c r="E713" s="130">
        <f>IF($D713="","",IFERROR(INDEX(코드설정!$D$5:$D$24,MATCH($D713,코드설정!$C$5:$C$24,0)),""))</f>
        <v/>
      </c>
      <c r="F713" s="74" t="n"/>
      <c r="G713" s="74" t="n"/>
      <c r="H713" s="36" t="n"/>
      <c r="I713" s="36" t="n"/>
      <c r="J713" s="74" t="n"/>
      <c r="K713" s="36" t="n"/>
    </row>
    <row r="714">
      <c r="A714" s="118">
        <f>IF($B714="","",COUNT($B$5:$B714))</f>
        <v/>
      </c>
      <c r="B714" s="80" t="n"/>
      <c r="C714" s="130">
        <f>IF($B714="","",CHOOSE(WEEKDAY($B714),"일","월","화","수","목","금","토"))</f>
        <v/>
      </c>
      <c r="D714" s="74" t="n"/>
      <c r="E714" s="130">
        <f>IF($D714="","",IFERROR(INDEX(코드설정!$D$5:$D$24,MATCH($D714,코드설정!$C$5:$C$24,0)),""))</f>
        <v/>
      </c>
      <c r="F714" s="74" t="n"/>
      <c r="G714" s="74" t="n"/>
      <c r="H714" s="36" t="n"/>
      <c r="I714" s="36" t="n"/>
      <c r="J714" s="74" t="n"/>
      <c r="K714" s="36" t="n"/>
    </row>
    <row r="715">
      <c r="A715" s="118">
        <f>IF($B715="","",COUNT($B$5:$B715))</f>
        <v/>
      </c>
      <c r="B715" s="80" t="n"/>
      <c r="C715" s="130">
        <f>IF($B715="","",CHOOSE(WEEKDAY($B715),"일","월","화","수","목","금","토"))</f>
        <v/>
      </c>
      <c r="D715" s="74" t="n"/>
      <c r="E715" s="130">
        <f>IF($D715="","",IFERROR(INDEX(코드설정!$D$5:$D$24,MATCH($D715,코드설정!$C$5:$C$24,0)),""))</f>
        <v/>
      </c>
      <c r="F715" s="74" t="n"/>
      <c r="G715" s="74" t="n"/>
      <c r="H715" s="36" t="n"/>
      <c r="I715" s="36" t="n"/>
      <c r="J715" s="74" t="n"/>
      <c r="K715" s="36" t="n"/>
    </row>
    <row r="716">
      <c r="A716" s="118">
        <f>IF($B716="","",COUNT($B$5:$B716))</f>
        <v/>
      </c>
      <c r="B716" s="80" t="n"/>
      <c r="C716" s="130">
        <f>IF($B716="","",CHOOSE(WEEKDAY($B716),"일","월","화","수","목","금","토"))</f>
        <v/>
      </c>
      <c r="D716" s="74" t="n"/>
      <c r="E716" s="130">
        <f>IF($D716="","",IFERROR(INDEX(코드설정!$D$5:$D$24,MATCH($D716,코드설정!$C$5:$C$24,0)),""))</f>
        <v/>
      </c>
      <c r="F716" s="74" t="n"/>
      <c r="G716" s="74" t="n"/>
      <c r="H716" s="36" t="n"/>
      <c r="I716" s="36" t="n"/>
      <c r="J716" s="74" t="n"/>
      <c r="K716" s="36" t="n"/>
    </row>
    <row r="717">
      <c r="A717" s="118">
        <f>IF($B717="","",COUNT($B$5:$B717))</f>
        <v/>
      </c>
      <c r="B717" s="80" t="n"/>
      <c r="C717" s="130">
        <f>IF($B717="","",CHOOSE(WEEKDAY($B717),"일","월","화","수","목","금","토"))</f>
        <v/>
      </c>
      <c r="D717" s="74" t="n"/>
      <c r="E717" s="130">
        <f>IF($D717="","",IFERROR(INDEX(코드설정!$D$5:$D$24,MATCH($D717,코드설정!$C$5:$C$24,0)),""))</f>
        <v/>
      </c>
      <c r="F717" s="74" t="n"/>
      <c r="G717" s="74" t="n"/>
      <c r="H717" s="36" t="n"/>
      <c r="I717" s="36" t="n"/>
      <c r="J717" s="74" t="n"/>
      <c r="K717" s="36" t="n"/>
    </row>
    <row r="718">
      <c r="A718" s="118">
        <f>IF($B718="","",COUNT($B$5:$B718))</f>
        <v/>
      </c>
      <c r="B718" s="80" t="n"/>
      <c r="C718" s="130">
        <f>IF($B718="","",CHOOSE(WEEKDAY($B718),"일","월","화","수","목","금","토"))</f>
        <v/>
      </c>
      <c r="D718" s="74" t="n"/>
      <c r="E718" s="130">
        <f>IF($D718="","",IFERROR(INDEX(코드설정!$D$5:$D$24,MATCH($D718,코드설정!$C$5:$C$24,0)),""))</f>
        <v/>
      </c>
      <c r="F718" s="74" t="n"/>
      <c r="G718" s="74" t="n"/>
      <c r="H718" s="36" t="n"/>
      <c r="I718" s="36" t="n"/>
      <c r="J718" s="74" t="n"/>
      <c r="K718" s="36" t="n"/>
    </row>
    <row r="719">
      <c r="A719" s="118">
        <f>IF($B719="","",COUNT($B$5:$B719))</f>
        <v/>
      </c>
      <c r="B719" s="80" t="n"/>
      <c r="C719" s="130">
        <f>IF($B719="","",CHOOSE(WEEKDAY($B719),"일","월","화","수","목","금","토"))</f>
        <v/>
      </c>
      <c r="D719" s="74" t="n"/>
      <c r="E719" s="130">
        <f>IF($D719="","",IFERROR(INDEX(코드설정!$D$5:$D$24,MATCH($D719,코드설정!$C$5:$C$24,0)),""))</f>
        <v/>
      </c>
      <c r="F719" s="74" t="n"/>
      <c r="G719" s="74" t="n"/>
      <c r="H719" s="36" t="n"/>
      <c r="I719" s="36" t="n"/>
      <c r="J719" s="74" t="n"/>
      <c r="K719" s="36" t="n"/>
    </row>
    <row r="720">
      <c r="A720" s="118">
        <f>IF($B720="","",COUNT($B$5:$B720))</f>
        <v/>
      </c>
      <c r="B720" s="80" t="n"/>
      <c r="C720" s="130">
        <f>IF($B720="","",CHOOSE(WEEKDAY($B720),"일","월","화","수","목","금","토"))</f>
        <v/>
      </c>
      <c r="D720" s="74" t="n"/>
      <c r="E720" s="130">
        <f>IF($D720="","",IFERROR(INDEX(코드설정!$D$5:$D$24,MATCH($D720,코드설정!$C$5:$C$24,0)),""))</f>
        <v/>
      </c>
      <c r="F720" s="74" t="n"/>
      <c r="G720" s="74" t="n"/>
      <c r="H720" s="36" t="n"/>
      <c r="I720" s="36" t="n"/>
      <c r="J720" s="74" t="n"/>
      <c r="K720" s="36" t="n"/>
    </row>
    <row r="721">
      <c r="A721" s="118">
        <f>IF($B721="","",COUNT($B$5:$B721))</f>
        <v/>
      </c>
      <c r="B721" s="80" t="n"/>
      <c r="C721" s="130">
        <f>IF($B721="","",CHOOSE(WEEKDAY($B721),"일","월","화","수","목","금","토"))</f>
        <v/>
      </c>
      <c r="D721" s="74" t="n"/>
      <c r="E721" s="130">
        <f>IF($D721="","",IFERROR(INDEX(코드설정!$D$5:$D$24,MATCH($D721,코드설정!$C$5:$C$24,0)),""))</f>
        <v/>
      </c>
      <c r="F721" s="74" t="n"/>
      <c r="G721" s="74" t="n"/>
      <c r="H721" s="36" t="n"/>
      <c r="I721" s="36" t="n"/>
      <c r="J721" s="74" t="n"/>
      <c r="K721" s="36" t="n"/>
    </row>
    <row r="722">
      <c r="A722" s="118">
        <f>IF($B722="","",COUNT($B$5:$B722))</f>
        <v/>
      </c>
      <c r="B722" s="80" t="n"/>
      <c r="C722" s="130">
        <f>IF($B722="","",CHOOSE(WEEKDAY($B722),"일","월","화","수","목","금","토"))</f>
        <v/>
      </c>
      <c r="D722" s="74" t="n"/>
      <c r="E722" s="130">
        <f>IF($D722="","",IFERROR(INDEX(코드설정!$D$5:$D$24,MATCH($D722,코드설정!$C$5:$C$24,0)),""))</f>
        <v/>
      </c>
      <c r="F722" s="74" t="n"/>
      <c r="G722" s="74" t="n"/>
      <c r="H722" s="36" t="n"/>
      <c r="I722" s="36" t="n"/>
      <c r="J722" s="74" t="n"/>
      <c r="K722" s="36" t="n"/>
    </row>
    <row r="723">
      <c r="A723" s="118">
        <f>IF($B723="","",COUNT($B$5:$B723))</f>
        <v/>
      </c>
      <c r="B723" s="80" t="n"/>
      <c r="C723" s="130">
        <f>IF($B723="","",CHOOSE(WEEKDAY($B723),"일","월","화","수","목","금","토"))</f>
        <v/>
      </c>
      <c r="D723" s="74" t="n"/>
      <c r="E723" s="130">
        <f>IF($D723="","",IFERROR(INDEX(코드설정!$D$5:$D$24,MATCH($D723,코드설정!$C$5:$C$24,0)),""))</f>
        <v/>
      </c>
      <c r="F723" s="74" t="n"/>
      <c r="G723" s="74" t="n"/>
      <c r="H723" s="36" t="n"/>
      <c r="I723" s="36" t="n"/>
      <c r="J723" s="74" t="n"/>
      <c r="K723" s="36" t="n"/>
    </row>
    <row r="724">
      <c r="A724" s="118">
        <f>IF($B724="","",COUNT($B$5:$B724))</f>
        <v/>
      </c>
      <c r="B724" s="80" t="n"/>
      <c r="C724" s="130">
        <f>IF($B724="","",CHOOSE(WEEKDAY($B724),"일","월","화","수","목","금","토"))</f>
        <v/>
      </c>
      <c r="D724" s="74" t="n"/>
      <c r="E724" s="130">
        <f>IF($D724="","",IFERROR(INDEX(코드설정!$D$5:$D$24,MATCH($D724,코드설정!$C$5:$C$24,0)),""))</f>
        <v/>
      </c>
      <c r="F724" s="74" t="n"/>
      <c r="G724" s="74" t="n"/>
      <c r="H724" s="36" t="n"/>
      <c r="I724" s="36" t="n"/>
      <c r="J724" s="74" t="n"/>
      <c r="K724" s="36" t="n"/>
    </row>
    <row r="725">
      <c r="A725" s="118">
        <f>IF($B725="","",COUNT($B$5:$B725))</f>
        <v/>
      </c>
      <c r="B725" s="80" t="n"/>
      <c r="C725" s="130">
        <f>IF($B725="","",CHOOSE(WEEKDAY($B725),"일","월","화","수","목","금","토"))</f>
        <v/>
      </c>
      <c r="D725" s="74" t="n"/>
      <c r="E725" s="130">
        <f>IF($D725="","",IFERROR(INDEX(코드설정!$D$5:$D$24,MATCH($D725,코드설정!$C$5:$C$24,0)),""))</f>
        <v/>
      </c>
      <c r="F725" s="74" t="n"/>
      <c r="G725" s="74" t="n"/>
      <c r="H725" s="36" t="n"/>
      <c r="I725" s="36" t="n"/>
      <c r="J725" s="74" t="n"/>
      <c r="K725" s="36" t="n"/>
    </row>
    <row r="726">
      <c r="A726" s="118">
        <f>IF($B726="","",COUNT($B$5:$B726))</f>
        <v/>
      </c>
      <c r="B726" s="80" t="n"/>
      <c r="C726" s="130">
        <f>IF($B726="","",CHOOSE(WEEKDAY($B726),"일","월","화","수","목","금","토"))</f>
        <v/>
      </c>
      <c r="D726" s="74" t="n"/>
      <c r="E726" s="130">
        <f>IF($D726="","",IFERROR(INDEX(코드설정!$D$5:$D$24,MATCH($D726,코드설정!$C$5:$C$24,0)),""))</f>
        <v/>
      </c>
      <c r="F726" s="74" t="n"/>
      <c r="G726" s="74" t="n"/>
      <c r="H726" s="36" t="n"/>
      <c r="I726" s="36" t="n"/>
      <c r="J726" s="74" t="n"/>
      <c r="K726" s="36" t="n"/>
    </row>
    <row r="727">
      <c r="A727" s="118">
        <f>IF($B727="","",COUNT($B$5:$B727))</f>
        <v/>
      </c>
      <c r="B727" s="80" t="n"/>
      <c r="C727" s="130">
        <f>IF($B727="","",CHOOSE(WEEKDAY($B727),"일","월","화","수","목","금","토"))</f>
        <v/>
      </c>
      <c r="D727" s="74" t="n"/>
      <c r="E727" s="130">
        <f>IF($D727="","",IFERROR(INDEX(코드설정!$D$5:$D$24,MATCH($D727,코드설정!$C$5:$C$24,0)),""))</f>
        <v/>
      </c>
      <c r="F727" s="74" t="n"/>
      <c r="G727" s="74" t="n"/>
      <c r="H727" s="36" t="n"/>
      <c r="I727" s="36" t="n"/>
      <c r="J727" s="74" t="n"/>
      <c r="K727" s="36" t="n"/>
    </row>
    <row r="728">
      <c r="A728" s="118">
        <f>IF($B728="","",COUNT($B$5:$B728))</f>
        <v/>
      </c>
      <c r="B728" s="80" t="n"/>
      <c r="C728" s="130">
        <f>IF($B728="","",CHOOSE(WEEKDAY($B728),"일","월","화","수","목","금","토"))</f>
        <v/>
      </c>
      <c r="D728" s="74" t="n"/>
      <c r="E728" s="130">
        <f>IF($D728="","",IFERROR(INDEX(코드설정!$D$5:$D$24,MATCH($D728,코드설정!$C$5:$C$24,0)),""))</f>
        <v/>
      </c>
      <c r="F728" s="74" t="n"/>
      <c r="G728" s="74" t="n"/>
      <c r="H728" s="36" t="n"/>
      <c r="I728" s="36" t="n"/>
      <c r="J728" s="74" t="n"/>
      <c r="K728" s="36" t="n"/>
    </row>
    <row r="729">
      <c r="A729" s="118">
        <f>IF($B729="","",COUNT($B$5:$B729))</f>
        <v/>
      </c>
      <c r="B729" s="80" t="n"/>
      <c r="C729" s="130">
        <f>IF($B729="","",CHOOSE(WEEKDAY($B729),"일","월","화","수","목","금","토"))</f>
        <v/>
      </c>
      <c r="D729" s="74" t="n"/>
      <c r="E729" s="130">
        <f>IF($D729="","",IFERROR(INDEX(코드설정!$D$5:$D$24,MATCH($D729,코드설정!$C$5:$C$24,0)),""))</f>
        <v/>
      </c>
      <c r="F729" s="74" t="n"/>
      <c r="G729" s="74" t="n"/>
      <c r="H729" s="36" t="n"/>
      <c r="I729" s="36" t="n"/>
      <c r="J729" s="74" t="n"/>
      <c r="K729" s="36" t="n"/>
    </row>
    <row r="730">
      <c r="A730" s="118">
        <f>IF($B730="","",COUNT($B$5:$B730))</f>
        <v/>
      </c>
      <c r="B730" s="80" t="n"/>
      <c r="C730" s="130">
        <f>IF($B730="","",CHOOSE(WEEKDAY($B730),"일","월","화","수","목","금","토"))</f>
        <v/>
      </c>
      <c r="D730" s="74" t="n"/>
      <c r="E730" s="130">
        <f>IF($D730="","",IFERROR(INDEX(코드설정!$D$5:$D$24,MATCH($D730,코드설정!$C$5:$C$24,0)),""))</f>
        <v/>
      </c>
      <c r="F730" s="74" t="n"/>
      <c r="G730" s="74" t="n"/>
      <c r="H730" s="36" t="n"/>
      <c r="I730" s="36" t="n"/>
      <c r="J730" s="74" t="n"/>
      <c r="K730" s="36" t="n"/>
    </row>
    <row r="731">
      <c r="A731" s="118">
        <f>IF($B731="","",COUNT($B$5:$B731))</f>
        <v/>
      </c>
      <c r="B731" s="80" t="n"/>
      <c r="C731" s="130">
        <f>IF($B731="","",CHOOSE(WEEKDAY($B731),"일","월","화","수","목","금","토"))</f>
        <v/>
      </c>
      <c r="D731" s="74" t="n"/>
      <c r="E731" s="130">
        <f>IF($D731="","",IFERROR(INDEX(코드설정!$D$5:$D$24,MATCH($D731,코드설정!$C$5:$C$24,0)),""))</f>
        <v/>
      </c>
      <c r="F731" s="74" t="n"/>
      <c r="G731" s="74" t="n"/>
      <c r="H731" s="36" t="n"/>
      <c r="I731" s="36" t="n"/>
      <c r="J731" s="74" t="n"/>
      <c r="K731" s="36" t="n"/>
    </row>
    <row r="732">
      <c r="A732" s="118">
        <f>IF($B732="","",COUNT($B$5:$B732))</f>
        <v/>
      </c>
      <c r="B732" s="80" t="n"/>
      <c r="C732" s="130">
        <f>IF($B732="","",CHOOSE(WEEKDAY($B732),"일","월","화","수","목","금","토"))</f>
        <v/>
      </c>
      <c r="D732" s="74" t="n"/>
      <c r="E732" s="130">
        <f>IF($D732="","",IFERROR(INDEX(코드설정!$D$5:$D$24,MATCH($D732,코드설정!$C$5:$C$24,0)),""))</f>
        <v/>
      </c>
      <c r="F732" s="74" t="n"/>
      <c r="G732" s="74" t="n"/>
      <c r="H732" s="36" t="n"/>
      <c r="I732" s="36" t="n"/>
      <c r="J732" s="74" t="n"/>
      <c r="K732" s="36" t="n"/>
    </row>
    <row r="733">
      <c r="A733" s="118">
        <f>IF($B733="","",COUNT($B$5:$B733))</f>
        <v/>
      </c>
      <c r="B733" s="80" t="n"/>
      <c r="C733" s="130">
        <f>IF($B733="","",CHOOSE(WEEKDAY($B733),"일","월","화","수","목","금","토"))</f>
        <v/>
      </c>
      <c r="D733" s="74" t="n"/>
      <c r="E733" s="130">
        <f>IF($D733="","",IFERROR(INDEX(코드설정!$D$5:$D$24,MATCH($D733,코드설정!$C$5:$C$24,0)),""))</f>
        <v/>
      </c>
      <c r="F733" s="74" t="n"/>
      <c r="G733" s="74" t="n"/>
      <c r="H733" s="36" t="n"/>
      <c r="I733" s="36" t="n"/>
      <c r="J733" s="74" t="n"/>
      <c r="K733" s="36" t="n"/>
    </row>
    <row r="734">
      <c r="A734" s="118">
        <f>IF($B734="","",COUNT($B$5:$B734))</f>
        <v/>
      </c>
      <c r="B734" s="80" t="n"/>
      <c r="C734" s="130">
        <f>IF($B734="","",CHOOSE(WEEKDAY($B734),"일","월","화","수","목","금","토"))</f>
        <v/>
      </c>
      <c r="D734" s="74" t="n"/>
      <c r="E734" s="130">
        <f>IF($D734="","",IFERROR(INDEX(코드설정!$D$5:$D$24,MATCH($D734,코드설정!$C$5:$C$24,0)),""))</f>
        <v/>
      </c>
      <c r="F734" s="74" t="n"/>
      <c r="G734" s="74" t="n"/>
      <c r="H734" s="36" t="n"/>
      <c r="I734" s="36" t="n"/>
      <c r="J734" s="74" t="n"/>
      <c r="K734" s="36" t="n"/>
    </row>
    <row r="735">
      <c r="A735" s="118">
        <f>IF($B735="","",COUNT($B$5:$B735))</f>
        <v/>
      </c>
      <c r="B735" s="80" t="n"/>
      <c r="C735" s="130">
        <f>IF($B735="","",CHOOSE(WEEKDAY($B735),"일","월","화","수","목","금","토"))</f>
        <v/>
      </c>
      <c r="D735" s="74" t="n"/>
      <c r="E735" s="130">
        <f>IF($D735="","",IFERROR(INDEX(코드설정!$D$5:$D$24,MATCH($D735,코드설정!$C$5:$C$24,0)),""))</f>
        <v/>
      </c>
      <c r="F735" s="74" t="n"/>
      <c r="G735" s="74" t="n"/>
      <c r="H735" s="36" t="n"/>
      <c r="I735" s="36" t="n"/>
      <c r="J735" s="74" t="n"/>
      <c r="K735" s="36" t="n"/>
    </row>
    <row r="736">
      <c r="A736" s="118">
        <f>IF($B736="","",COUNT($B$5:$B736))</f>
        <v/>
      </c>
      <c r="B736" s="80" t="n"/>
      <c r="C736" s="130">
        <f>IF($B736="","",CHOOSE(WEEKDAY($B736),"일","월","화","수","목","금","토"))</f>
        <v/>
      </c>
      <c r="D736" s="74" t="n"/>
      <c r="E736" s="130">
        <f>IF($D736="","",IFERROR(INDEX(코드설정!$D$5:$D$24,MATCH($D736,코드설정!$C$5:$C$24,0)),""))</f>
        <v/>
      </c>
      <c r="F736" s="74" t="n"/>
      <c r="G736" s="74" t="n"/>
      <c r="H736" s="36" t="n"/>
      <c r="I736" s="36" t="n"/>
      <c r="J736" s="74" t="n"/>
      <c r="K736" s="36" t="n"/>
    </row>
    <row r="737">
      <c r="A737" s="118">
        <f>IF($B737="","",COUNT($B$5:$B737))</f>
        <v/>
      </c>
      <c r="B737" s="80" t="n"/>
      <c r="C737" s="130">
        <f>IF($B737="","",CHOOSE(WEEKDAY($B737),"일","월","화","수","목","금","토"))</f>
        <v/>
      </c>
      <c r="D737" s="74" t="n"/>
      <c r="E737" s="130">
        <f>IF($D737="","",IFERROR(INDEX(코드설정!$D$5:$D$24,MATCH($D737,코드설정!$C$5:$C$24,0)),""))</f>
        <v/>
      </c>
      <c r="F737" s="74" t="n"/>
      <c r="G737" s="74" t="n"/>
      <c r="H737" s="36" t="n"/>
      <c r="I737" s="36" t="n"/>
      <c r="J737" s="74" t="n"/>
      <c r="K737" s="36" t="n"/>
    </row>
    <row r="738">
      <c r="A738" s="118">
        <f>IF($B738="","",COUNT($B$5:$B738))</f>
        <v/>
      </c>
      <c r="B738" s="80" t="n"/>
      <c r="C738" s="130">
        <f>IF($B738="","",CHOOSE(WEEKDAY($B738),"일","월","화","수","목","금","토"))</f>
        <v/>
      </c>
      <c r="D738" s="74" t="n"/>
      <c r="E738" s="130">
        <f>IF($D738="","",IFERROR(INDEX(코드설정!$D$5:$D$24,MATCH($D738,코드설정!$C$5:$C$24,0)),""))</f>
        <v/>
      </c>
      <c r="F738" s="74" t="n"/>
      <c r="G738" s="74" t="n"/>
      <c r="H738" s="36" t="n"/>
      <c r="I738" s="36" t="n"/>
      <c r="J738" s="74" t="n"/>
      <c r="K738" s="36" t="n"/>
    </row>
    <row r="739">
      <c r="A739" s="118">
        <f>IF($B739="","",COUNT($B$5:$B739))</f>
        <v/>
      </c>
      <c r="B739" s="80" t="n"/>
      <c r="C739" s="130">
        <f>IF($B739="","",CHOOSE(WEEKDAY($B739),"일","월","화","수","목","금","토"))</f>
        <v/>
      </c>
      <c r="D739" s="74" t="n"/>
      <c r="E739" s="130">
        <f>IF($D739="","",IFERROR(INDEX(코드설정!$D$5:$D$24,MATCH($D739,코드설정!$C$5:$C$24,0)),""))</f>
        <v/>
      </c>
      <c r="F739" s="74" t="n"/>
      <c r="G739" s="74" t="n"/>
      <c r="H739" s="36" t="n"/>
      <c r="I739" s="36" t="n"/>
      <c r="J739" s="74" t="n"/>
      <c r="K739" s="36" t="n"/>
    </row>
    <row r="740">
      <c r="A740" s="118">
        <f>IF($B740="","",COUNT($B$5:$B740))</f>
        <v/>
      </c>
      <c r="B740" s="80" t="n"/>
      <c r="C740" s="130">
        <f>IF($B740="","",CHOOSE(WEEKDAY($B740),"일","월","화","수","목","금","토"))</f>
        <v/>
      </c>
      <c r="D740" s="74" t="n"/>
      <c r="E740" s="130">
        <f>IF($D740="","",IFERROR(INDEX(코드설정!$D$5:$D$24,MATCH($D740,코드설정!$C$5:$C$24,0)),""))</f>
        <v/>
      </c>
      <c r="F740" s="74" t="n"/>
      <c r="G740" s="74" t="n"/>
      <c r="H740" s="36" t="n"/>
      <c r="I740" s="36" t="n"/>
      <c r="J740" s="74" t="n"/>
      <c r="K740" s="36" t="n"/>
    </row>
    <row r="741">
      <c r="A741" s="118">
        <f>IF($B741="","",COUNT($B$5:$B741))</f>
        <v/>
      </c>
      <c r="B741" s="80" t="n"/>
      <c r="C741" s="130">
        <f>IF($B741="","",CHOOSE(WEEKDAY($B741),"일","월","화","수","목","금","토"))</f>
        <v/>
      </c>
      <c r="D741" s="74" t="n"/>
      <c r="E741" s="130">
        <f>IF($D741="","",IFERROR(INDEX(코드설정!$D$5:$D$24,MATCH($D741,코드설정!$C$5:$C$24,0)),""))</f>
        <v/>
      </c>
      <c r="F741" s="74" t="n"/>
      <c r="G741" s="74" t="n"/>
      <c r="H741" s="36" t="n"/>
      <c r="I741" s="36" t="n"/>
      <c r="J741" s="74" t="n"/>
      <c r="K741" s="36" t="n"/>
    </row>
    <row r="742">
      <c r="A742" s="118">
        <f>IF($B742="","",COUNT($B$5:$B742))</f>
        <v/>
      </c>
      <c r="B742" s="80" t="n"/>
      <c r="C742" s="130">
        <f>IF($B742="","",CHOOSE(WEEKDAY($B742),"일","월","화","수","목","금","토"))</f>
        <v/>
      </c>
      <c r="D742" s="74" t="n"/>
      <c r="E742" s="130">
        <f>IF($D742="","",IFERROR(INDEX(코드설정!$D$5:$D$24,MATCH($D742,코드설정!$C$5:$C$24,0)),""))</f>
        <v/>
      </c>
      <c r="F742" s="74" t="n"/>
      <c r="G742" s="74" t="n"/>
      <c r="H742" s="36" t="n"/>
      <c r="I742" s="36" t="n"/>
      <c r="J742" s="74" t="n"/>
      <c r="K742" s="36" t="n"/>
    </row>
    <row r="743">
      <c r="A743" s="118">
        <f>IF($B743="","",COUNT($B$5:$B743))</f>
        <v/>
      </c>
      <c r="B743" s="80" t="n"/>
      <c r="C743" s="130">
        <f>IF($B743="","",CHOOSE(WEEKDAY($B743),"일","월","화","수","목","금","토"))</f>
        <v/>
      </c>
      <c r="D743" s="74" t="n"/>
      <c r="E743" s="130">
        <f>IF($D743="","",IFERROR(INDEX(코드설정!$D$5:$D$24,MATCH($D743,코드설정!$C$5:$C$24,0)),""))</f>
        <v/>
      </c>
      <c r="F743" s="74" t="n"/>
      <c r="G743" s="74" t="n"/>
      <c r="H743" s="36" t="n"/>
      <c r="I743" s="36" t="n"/>
      <c r="J743" s="74" t="n"/>
      <c r="K743" s="36" t="n"/>
    </row>
    <row r="744">
      <c r="A744" s="118">
        <f>IF($B744="","",COUNT($B$5:$B744))</f>
        <v/>
      </c>
      <c r="B744" s="80" t="n"/>
      <c r="C744" s="130">
        <f>IF($B744="","",CHOOSE(WEEKDAY($B744),"일","월","화","수","목","금","토"))</f>
        <v/>
      </c>
      <c r="D744" s="74" t="n"/>
      <c r="E744" s="130">
        <f>IF($D744="","",IFERROR(INDEX(코드설정!$D$5:$D$24,MATCH($D744,코드설정!$C$5:$C$24,0)),""))</f>
        <v/>
      </c>
      <c r="F744" s="74" t="n"/>
      <c r="G744" s="74" t="n"/>
      <c r="H744" s="36" t="n"/>
      <c r="I744" s="36" t="n"/>
      <c r="J744" s="74" t="n"/>
      <c r="K744" s="36" t="n"/>
    </row>
    <row r="745">
      <c r="A745" s="118">
        <f>IF($B745="","",COUNT($B$5:$B745))</f>
        <v/>
      </c>
      <c r="B745" s="80" t="n"/>
      <c r="C745" s="130">
        <f>IF($B745="","",CHOOSE(WEEKDAY($B745),"일","월","화","수","목","금","토"))</f>
        <v/>
      </c>
      <c r="D745" s="74" t="n"/>
      <c r="E745" s="130">
        <f>IF($D745="","",IFERROR(INDEX(코드설정!$D$5:$D$24,MATCH($D745,코드설정!$C$5:$C$24,0)),""))</f>
        <v/>
      </c>
      <c r="F745" s="74" t="n"/>
      <c r="G745" s="74" t="n"/>
      <c r="H745" s="36" t="n"/>
      <c r="I745" s="36" t="n"/>
      <c r="J745" s="74" t="n"/>
      <c r="K745" s="36" t="n"/>
    </row>
    <row r="746">
      <c r="A746" s="118">
        <f>IF($B746="","",COUNT($B$5:$B746))</f>
        <v/>
      </c>
      <c r="B746" s="80" t="n"/>
      <c r="C746" s="130">
        <f>IF($B746="","",CHOOSE(WEEKDAY($B746),"일","월","화","수","목","금","토"))</f>
        <v/>
      </c>
      <c r="D746" s="74" t="n"/>
      <c r="E746" s="130">
        <f>IF($D746="","",IFERROR(INDEX(코드설정!$D$5:$D$24,MATCH($D746,코드설정!$C$5:$C$24,0)),""))</f>
        <v/>
      </c>
      <c r="F746" s="74" t="n"/>
      <c r="G746" s="74" t="n"/>
      <c r="H746" s="36" t="n"/>
      <c r="I746" s="36" t="n"/>
      <c r="J746" s="74" t="n"/>
      <c r="K746" s="36" t="n"/>
    </row>
    <row r="747">
      <c r="A747" s="118">
        <f>IF($B747="","",COUNT($B$5:$B747))</f>
        <v/>
      </c>
      <c r="B747" s="80" t="n"/>
      <c r="C747" s="130">
        <f>IF($B747="","",CHOOSE(WEEKDAY($B747),"일","월","화","수","목","금","토"))</f>
        <v/>
      </c>
      <c r="D747" s="74" t="n"/>
      <c r="E747" s="130">
        <f>IF($D747="","",IFERROR(INDEX(코드설정!$D$5:$D$24,MATCH($D747,코드설정!$C$5:$C$24,0)),""))</f>
        <v/>
      </c>
      <c r="F747" s="74" t="n"/>
      <c r="G747" s="74" t="n"/>
      <c r="H747" s="36" t="n"/>
      <c r="I747" s="36" t="n"/>
      <c r="J747" s="74" t="n"/>
      <c r="K747" s="36" t="n"/>
    </row>
    <row r="748">
      <c r="A748" s="118">
        <f>IF($B748="","",COUNT($B$5:$B748))</f>
        <v/>
      </c>
      <c r="B748" s="80" t="n"/>
      <c r="C748" s="130">
        <f>IF($B748="","",CHOOSE(WEEKDAY($B748),"일","월","화","수","목","금","토"))</f>
        <v/>
      </c>
      <c r="D748" s="74" t="n"/>
      <c r="E748" s="130">
        <f>IF($D748="","",IFERROR(INDEX(코드설정!$D$5:$D$24,MATCH($D748,코드설정!$C$5:$C$24,0)),""))</f>
        <v/>
      </c>
      <c r="F748" s="74" t="n"/>
      <c r="G748" s="74" t="n"/>
      <c r="H748" s="36" t="n"/>
      <c r="I748" s="36" t="n"/>
      <c r="J748" s="74" t="n"/>
      <c r="K748" s="36" t="n"/>
    </row>
    <row r="749">
      <c r="A749" s="118">
        <f>IF($B749="","",COUNT($B$5:$B749))</f>
        <v/>
      </c>
      <c r="B749" s="80" t="n"/>
      <c r="C749" s="130">
        <f>IF($B749="","",CHOOSE(WEEKDAY($B749),"일","월","화","수","목","금","토"))</f>
        <v/>
      </c>
      <c r="D749" s="74" t="n"/>
      <c r="E749" s="130">
        <f>IF($D749="","",IFERROR(INDEX(코드설정!$D$5:$D$24,MATCH($D749,코드설정!$C$5:$C$24,0)),""))</f>
        <v/>
      </c>
      <c r="F749" s="74" t="n"/>
      <c r="G749" s="74" t="n"/>
      <c r="H749" s="36" t="n"/>
      <c r="I749" s="36" t="n"/>
      <c r="J749" s="74" t="n"/>
      <c r="K749" s="36" t="n"/>
    </row>
    <row r="750">
      <c r="A750" s="118">
        <f>IF($B750="","",COUNT($B$5:$B750))</f>
        <v/>
      </c>
      <c r="B750" s="80" t="n"/>
      <c r="C750" s="130">
        <f>IF($B750="","",CHOOSE(WEEKDAY($B750),"일","월","화","수","목","금","토"))</f>
        <v/>
      </c>
      <c r="D750" s="74" t="n"/>
      <c r="E750" s="130">
        <f>IF($D750="","",IFERROR(INDEX(코드설정!$D$5:$D$24,MATCH($D750,코드설정!$C$5:$C$24,0)),""))</f>
        <v/>
      </c>
      <c r="F750" s="74" t="n"/>
      <c r="G750" s="74" t="n"/>
      <c r="H750" s="36" t="n"/>
      <c r="I750" s="36" t="n"/>
      <c r="J750" s="74" t="n"/>
      <c r="K750" s="36" t="n"/>
    </row>
    <row r="751">
      <c r="A751" s="118">
        <f>IF($B751="","",COUNT($B$5:$B751))</f>
        <v/>
      </c>
      <c r="B751" s="80" t="n"/>
      <c r="C751" s="130">
        <f>IF($B751="","",CHOOSE(WEEKDAY($B751),"일","월","화","수","목","금","토"))</f>
        <v/>
      </c>
      <c r="D751" s="74" t="n"/>
      <c r="E751" s="130">
        <f>IF($D751="","",IFERROR(INDEX(코드설정!$D$5:$D$24,MATCH($D751,코드설정!$C$5:$C$24,0)),""))</f>
        <v/>
      </c>
      <c r="F751" s="74" t="n"/>
      <c r="G751" s="74" t="n"/>
      <c r="H751" s="36" t="n"/>
      <c r="I751" s="36" t="n"/>
      <c r="J751" s="74" t="n"/>
      <c r="K751" s="36" t="n"/>
    </row>
    <row r="752">
      <c r="A752" s="118">
        <f>IF($B752="","",COUNT($B$5:$B752))</f>
        <v/>
      </c>
      <c r="B752" s="80" t="n"/>
      <c r="C752" s="130">
        <f>IF($B752="","",CHOOSE(WEEKDAY($B752),"일","월","화","수","목","금","토"))</f>
        <v/>
      </c>
      <c r="D752" s="74" t="n"/>
      <c r="E752" s="130">
        <f>IF($D752="","",IFERROR(INDEX(코드설정!$D$5:$D$24,MATCH($D752,코드설정!$C$5:$C$24,0)),""))</f>
        <v/>
      </c>
      <c r="F752" s="74" t="n"/>
      <c r="G752" s="74" t="n"/>
      <c r="H752" s="36" t="n"/>
      <c r="I752" s="36" t="n"/>
      <c r="J752" s="74" t="n"/>
      <c r="K752" s="36" t="n"/>
    </row>
    <row r="753">
      <c r="A753" s="118">
        <f>IF($B753="","",COUNT($B$5:$B753))</f>
        <v/>
      </c>
      <c r="B753" s="80" t="n"/>
      <c r="C753" s="130">
        <f>IF($B753="","",CHOOSE(WEEKDAY($B753),"일","월","화","수","목","금","토"))</f>
        <v/>
      </c>
      <c r="D753" s="74" t="n"/>
      <c r="E753" s="130">
        <f>IF($D753="","",IFERROR(INDEX(코드설정!$D$5:$D$24,MATCH($D753,코드설정!$C$5:$C$24,0)),""))</f>
        <v/>
      </c>
      <c r="F753" s="74" t="n"/>
      <c r="G753" s="74" t="n"/>
      <c r="H753" s="36" t="n"/>
      <c r="I753" s="36" t="n"/>
      <c r="J753" s="74" t="n"/>
      <c r="K753" s="36" t="n"/>
    </row>
    <row r="754">
      <c r="A754" s="118">
        <f>IF($B754="","",COUNT($B$5:$B754))</f>
        <v/>
      </c>
      <c r="B754" s="80" t="n"/>
      <c r="C754" s="130">
        <f>IF($B754="","",CHOOSE(WEEKDAY($B754),"일","월","화","수","목","금","토"))</f>
        <v/>
      </c>
      <c r="D754" s="74" t="n"/>
      <c r="E754" s="130">
        <f>IF($D754="","",IFERROR(INDEX(코드설정!$D$5:$D$24,MATCH($D754,코드설정!$C$5:$C$24,0)),""))</f>
        <v/>
      </c>
      <c r="F754" s="74" t="n"/>
      <c r="G754" s="74" t="n"/>
      <c r="H754" s="36" t="n"/>
      <c r="I754" s="36" t="n"/>
      <c r="J754" s="74" t="n"/>
      <c r="K754" s="36" t="n"/>
    </row>
    <row r="755">
      <c r="A755" s="118">
        <f>IF($B755="","",COUNT($B$5:$B755))</f>
        <v/>
      </c>
      <c r="B755" s="80" t="n"/>
      <c r="C755" s="130">
        <f>IF($B755="","",CHOOSE(WEEKDAY($B755),"일","월","화","수","목","금","토"))</f>
        <v/>
      </c>
      <c r="D755" s="74" t="n"/>
      <c r="E755" s="130">
        <f>IF($D755="","",IFERROR(INDEX(코드설정!$D$5:$D$24,MATCH($D755,코드설정!$C$5:$C$24,0)),""))</f>
        <v/>
      </c>
      <c r="F755" s="74" t="n"/>
      <c r="G755" s="74" t="n"/>
      <c r="H755" s="36" t="n"/>
      <c r="I755" s="36" t="n"/>
      <c r="J755" s="74" t="n"/>
      <c r="K755" s="36" t="n"/>
    </row>
    <row r="756">
      <c r="A756" s="118">
        <f>IF($B756="","",COUNT($B$5:$B756))</f>
        <v/>
      </c>
      <c r="B756" s="80" t="n"/>
      <c r="C756" s="130">
        <f>IF($B756="","",CHOOSE(WEEKDAY($B756),"일","월","화","수","목","금","토"))</f>
        <v/>
      </c>
      <c r="D756" s="74" t="n"/>
      <c r="E756" s="130">
        <f>IF($D756="","",IFERROR(INDEX(코드설정!$D$5:$D$24,MATCH($D756,코드설정!$C$5:$C$24,0)),""))</f>
        <v/>
      </c>
      <c r="F756" s="74" t="n"/>
      <c r="G756" s="74" t="n"/>
      <c r="H756" s="36" t="n"/>
      <c r="I756" s="36" t="n"/>
      <c r="J756" s="74" t="n"/>
      <c r="K756" s="36" t="n"/>
    </row>
    <row r="757">
      <c r="A757" s="118">
        <f>IF($B757="","",COUNT($B$5:$B757))</f>
        <v/>
      </c>
      <c r="B757" s="80" t="n"/>
      <c r="C757" s="130">
        <f>IF($B757="","",CHOOSE(WEEKDAY($B757),"일","월","화","수","목","금","토"))</f>
        <v/>
      </c>
      <c r="D757" s="74" t="n"/>
      <c r="E757" s="130">
        <f>IF($D757="","",IFERROR(INDEX(코드설정!$D$5:$D$24,MATCH($D757,코드설정!$C$5:$C$24,0)),""))</f>
        <v/>
      </c>
      <c r="F757" s="74" t="n"/>
      <c r="G757" s="74" t="n"/>
      <c r="H757" s="36" t="n"/>
      <c r="I757" s="36" t="n"/>
      <c r="J757" s="74" t="n"/>
      <c r="K757" s="36" t="n"/>
    </row>
    <row r="758">
      <c r="A758" s="118">
        <f>IF($B758="","",COUNT($B$5:$B758))</f>
        <v/>
      </c>
      <c r="B758" s="80" t="n"/>
      <c r="C758" s="130">
        <f>IF($B758="","",CHOOSE(WEEKDAY($B758),"일","월","화","수","목","금","토"))</f>
        <v/>
      </c>
      <c r="D758" s="74" t="n"/>
      <c r="E758" s="130">
        <f>IF($D758="","",IFERROR(INDEX(코드설정!$D$5:$D$24,MATCH($D758,코드설정!$C$5:$C$24,0)),""))</f>
        <v/>
      </c>
      <c r="F758" s="74" t="n"/>
      <c r="G758" s="74" t="n"/>
      <c r="H758" s="36" t="n"/>
      <c r="I758" s="36" t="n"/>
      <c r="J758" s="74" t="n"/>
      <c r="K758" s="36" t="n"/>
    </row>
    <row r="759">
      <c r="A759" s="118">
        <f>IF($B759="","",COUNT($B$5:$B759))</f>
        <v/>
      </c>
      <c r="B759" s="80" t="n"/>
      <c r="C759" s="130">
        <f>IF($B759="","",CHOOSE(WEEKDAY($B759),"일","월","화","수","목","금","토"))</f>
        <v/>
      </c>
      <c r="D759" s="74" t="n"/>
      <c r="E759" s="130">
        <f>IF($D759="","",IFERROR(INDEX(코드설정!$D$5:$D$24,MATCH($D759,코드설정!$C$5:$C$24,0)),""))</f>
        <v/>
      </c>
      <c r="F759" s="74" t="n"/>
      <c r="G759" s="74" t="n"/>
      <c r="H759" s="36" t="n"/>
      <c r="I759" s="36" t="n"/>
      <c r="J759" s="74" t="n"/>
      <c r="K759" s="36" t="n"/>
    </row>
    <row r="760">
      <c r="A760" s="118">
        <f>IF($B760="","",COUNT($B$5:$B760))</f>
        <v/>
      </c>
      <c r="B760" s="80" t="n"/>
      <c r="C760" s="130">
        <f>IF($B760="","",CHOOSE(WEEKDAY($B760),"일","월","화","수","목","금","토"))</f>
        <v/>
      </c>
      <c r="D760" s="74" t="n"/>
      <c r="E760" s="130">
        <f>IF($D760="","",IFERROR(INDEX(코드설정!$D$5:$D$24,MATCH($D760,코드설정!$C$5:$C$24,0)),""))</f>
        <v/>
      </c>
      <c r="F760" s="74" t="n"/>
      <c r="G760" s="74" t="n"/>
      <c r="H760" s="36" t="n"/>
      <c r="I760" s="36" t="n"/>
      <c r="J760" s="74" t="n"/>
      <c r="K760" s="36" t="n"/>
    </row>
    <row r="761">
      <c r="A761" s="118">
        <f>IF($B761="","",COUNT($B$5:$B761))</f>
        <v/>
      </c>
      <c r="B761" s="80" t="n"/>
      <c r="C761" s="130">
        <f>IF($B761="","",CHOOSE(WEEKDAY($B761),"일","월","화","수","목","금","토"))</f>
        <v/>
      </c>
      <c r="D761" s="74" t="n"/>
      <c r="E761" s="130">
        <f>IF($D761="","",IFERROR(INDEX(코드설정!$D$5:$D$24,MATCH($D761,코드설정!$C$5:$C$24,0)),""))</f>
        <v/>
      </c>
      <c r="F761" s="74" t="n"/>
      <c r="G761" s="74" t="n"/>
      <c r="H761" s="36" t="n"/>
      <c r="I761" s="36" t="n"/>
      <c r="J761" s="74" t="n"/>
      <c r="K761" s="36" t="n"/>
    </row>
    <row r="762">
      <c r="A762" s="118">
        <f>IF($B762="","",COUNT($B$5:$B762))</f>
        <v/>
      </c>
      <c r="B762" s="80" t="n"/>
      <c r="C762" s="130">
        <f>IF($B762="","",CHOOSE(WEEKDAY($B762),"일","월","화","수","목","금","토"))</f>
        <v/>
      </c>
      <c r="D762" s="74" t="n"/>
      <c r="E762" s="130">
        <f>IF($D762="","",IFERROR(INDEX(코드설정!$D$5:$D$24,MATCH($D762,코드설정!$C$5:$C$24,0)),""))</f>
        <v/>
      </c>
      <c r="F762" s="74" t="n"/>
      <c r="G762" s="74" t="n"/>
      <c r="H762" s="36" t="n"/>
      <c r="I762" s="36" t="n"/>
      <c r="J762" s="74" t="n"/>
      <c r="K762" s="36" t="n"/>
    </row>
    <row r="763">
      <c r="A763" s="118">
        <f>IF($B763="","",COUNT($B$5:$B763))</f>
        <v/>
      </c>
      <c r="B763" s="80" t="n"/>
      <c r="C763" s="130">
        <f>IF($B763="","",CHOOSE(WEEKDAY($B763),"일","월","화","수","목","금","토"))</f>
        <v/>
      </c>
      <c r="D763" s="74" t="n"/>
      <c r="E763" s="130">
        <f>IF($D763="","",IFERROR(INDEX(코드설정!$D$5:$D$24,MATCH($D763,코드설정!$C$5:$C$24,0)),""))</f>
        <v/>
      </c>
      <c r="F763" s="74" t="n"/>
      <c r="G763" s="74" t="n"/>
      <c r="H763" s="36" t="n"/>
      <c r="I763" s="36" t="n"/>
      <c r="J763" s="74" t="n"/>
      <c r="K763" s="36" t="n"/>
    </row>
    <row r="764">
      <c r="A764" s="118">
        <f>IF($B764="","",COUNT($B$5:$B764))</f>
        <v/>
      </c>
      <c r="B764" s="80" t="n"/>
      <c r="C764" s="130">
        <f>IF($B764="","",CHOOSE(WEEKDAY($B764),"일","월","화","수","목","금","토"))</f>
        <v/>
      </c>
      <c r="D764" s="74" t="n"/>
      <c r="E764" s="130">
        <f>IF($D764="","",IFERROR(INDEX(코드설정!$D$5:$D$24,MATCH($D764,코드설정!$C$5:$C$24,0)),""))</f>
        <v/>
      </c>
      <c r="F764" s="74" t="n"/>
      <c r="G764" s="74" t="n"/>
      <c r="H764" s="36" t="n"/>
      <c r="I764" s="36" t="n"/>
      <c r="J764" s="74" t="n"/>
      <c r="K764" s="36" t="n"/>
    </row>
    <row r="765">
      <c r="A765" s="118">
        <f>IF($B765="","",COUNT($B$5:$B765))</f>
        <v/>
      </c>
      <c r="B765" s="80" t="n"/>
      <c r="C765" s="130">
        <f>IF($B765="","",CHOOSE(WEEKDAY($B765),"일","월","화","수","목","금","토"))</f>
        <v/>
      </c>
      <c r="D765" s="74" t="n"/>
      <c r="E765" s="130">
        <f>IF($D765="","",IFERROR(INDEX(코드설정!$D$5:$D$24,MATCH($D765,코드설정!$C$5:$C$24,0)),""))</f>
        <v/>
      </c>
      <c r="F765" s="74" t="n"/>
      <c r="G765" s="74" t="n"/>
      <c r="H765" s="36" t="n"/>
      <c r="I765" s="36" t="n"/>
      <c r="J765" s="74" t="n"/>
      <c r="K765" s="36" t="n"/>
    </row>
    <row r="766">
      <c r="A766" s="118">
        <f>IF($B766="","",COUNT($B$5:$B766))</f>
        <v/>
      </c>
      <c r="B766" s="80" t="n"/>
      <c r="C766" s="130">
        <f>IF($B766="","",CHOOSE(WEEKDAY($B766),"일","월","화","수","목","금","토"))</f>
        <v/>
      </c>
      <c r="D766" s="74" t="n"/>
      <c r="E766" s="130">
        <f>IF($D766="","",IFERROR(INDEX(코드설정!$D$5:$D$24,MATCH($D766,코드설정!$C$5:$C$24,0)),""))</f>
        <v/>
      </c>
      <c r="F766" s="74" t="n"/>
      <c r="G766" s="74" t="n"/>
      <c r="H766" s="36" t="n"/>
      <c r="I766" s="36" t="n"/>
      <c r="J766" s="74" t="n"/>
      <c r="K766" s="36" t="n"/>
    </row>
    <row r="767">
      <c r="A767" s="118">
        <f>IF($B767="","",COUNT($B$5:$B767))</f>
        <v/>
      </c>
      <c r="B767" s="80" t="n"/>
      <c r="C767" s="130">
        <f>IF($B767="","",CHOOSE(WEEKDAY($B767),"일","월","화","수","목","금","토"))</f>
        <v/>
      </c>
      <c r="D767" s="74" t="n"/>
      <c r="E767" s="130">
        <f>IF($D767="","",IFERROR(INDEX(코드설정!$D$5:$D$24,MATCH($D767,코드설정!$C$5:$C$24,0)),""))</f>
        <v/>
      </c>
      <c r="F767" s="74" t="n"/>
      <c r="G767" s="74" t="n"/>
      <c r="H767" s="36" t="n"/>
      <c r="I767" s="36" t="n"/>
      <c r="J767" s="74" t="n"/>
      <c r="K767" s="36" t="n"/>
    </row>
    <row r="768">
      <c r="A768" s="118">
        <f>IF($B768="","",COUNT($B$5:$B768))</f>
        <v/>
      </c>
      <c r="B768" s="80" t="n"/>
      <c r="C768" s="130">
        <f>IF($B768="","",CHOOSE(WEEKDAY($B768),"일","월","화","수","목","금","토"))</f>
        <v/>
      </c>
      <c r="D768" s="74" t="n"/>
      <c r="E768" s="130">
        <f>IF($D768="","",IFERROR(INDEX(코드설정!$D$5:$D$24,MATCH($D768,코드설정!$C$5:$C$24,0)),""))</f>
        <v/>
      </c>
      <c r="F768" s="74" t="n"/>
      <c r="G768" s="74" t="n"/>
      <c r="H768" s="36" t="n"/>
      <c r="I768" s="36" t="n"/>
      <c r="J768" s="74" t="n"/>
      <c r="K768" s="36" t="n"/>
    </row>
    <row r="769">
      <c r="A769" s="118">
        <f>IF($B769="","",COUNT($B$5:$B769))</f>
        <v/>
      </c>
      <c r="B769" s="80" t="n"/>
      <c r="C769" s="130">
        <f>IF($B769="","",CHOOSE(WEEKDAY($B769),"일","월","화","수","목","금","토"))</f>
        <v/>
      </c>
      <c r="D769" s="74" t="n"/>
      <c r="E769" s="130">
        <f>IF($D769="","",IFERROR(INDEX(코드설정!$D$5:$D$24,MATCH($D769,코드설정!$C$5:$C$24,0)),""))</f>
        <v/>
      </c>
      <c r="F769" s="74" t="n"/>
      <c r="G769" s="74" t="n"/>
      <c r="H769" s="36" t="n"/>
      <c r="I769" s="36" t="n"/>
      <c r="J769" s="74" t="n"/>
      <c r="K769" s="36" t="n"/>
    </row>
    <row r="770">
      <c r="A770" s="118">
        <f>IF($B770="","",COUNT($B$5:$B770))</f>
        <v/>
      </c>
      <c r="B770" s="80" t="n"/>
      <c r="C770" s="130">
        <f>IF($B770="","",CHOOSE(WEEKDAY($B770),"일","월","화","수","목","금","토"))</f>
        <v/>
      </c>
      <c r="D770" s="74" t="n"/>
      <c r="E770" s="130">
        <f>IF($D770="","",IFERROR(INDEX(코드설정!$D$5:$D$24,MATCH($D770,코드설정!$C$5:$C$24,0)),""))</f>
        <v/>
      </c>
      <c r="F770" s="74" t="n"/>
      <c r="G770" s="74" t="n"/>
      <c r="H770" s="36" t="n"/>
      <c r="I770" s="36" t="n"/>
      <c r="J770" s="74" t="n"/>
      <c r="K770" s="36" t="n"/>
    </row>
    <row r="771">
      <c r="A771" s="118">
        <f>IF($B771="","",COUNT($B$5:$B771))</f>
        <v/>
      </c>
      <c r="B771" s="80" t="n"/>
      <c r="C771" s="130">
        <f>IF($B771="","",CHOOSE(WEEKDAY($B771),"일","월","화","수","목","금","토"))</f>
        <v/>
      </c>
      <c r="D771" s="74" t="n"/>
      <c r="E771" s="130">
        <f>IF($D771="","",IFERROR(INDEX(코드설정!$D$5:$D$24,MATCH($D771,코드설정!$C$5:$C$24,0)),""))</f>
        <v/>
      </c>
      <c r="F771" s="74" t="n"/>
      <c r="G771" s="74" t="n"/>
      <c r="H771" s="36" t="n"/>
      <c r="I771" s="36" t="n"/>
      <c r="J771" s="74" t="n"/>
      <c r="K771" s="36" t="n"/>
    </row>
    <row r="772">
      <c r="A772" s="118">
        <f>IF($B772="","",COUNT($B$5:$B772))</f>
        <v/>
      </c>
      <c r="B772" s="80" t="n"/>
      <c r="C772" s="130">
        <f>IF($B772="","",CHOOSE(WEEKDAY($B772),"일","월","화","수","목","금","토"))</f>
        <v/>
      </c>
      <c r="D772" s="74" t="n"/>
      <c r="E772" s="130">
        <f>IF($D772="","",IFERROR(INDEX(코드설정!$D$5:$D$24,MATCH($D772,코드설정!$C$5:$C$24,0)),""))</f>
        <v/>
      </c>
      <c r="F772" s="74" t="n"/>
      <c r="G772" s="74" t="n"/>
      <c r="H772" s="36" t="n"/>
      <c r="I772" s="36" t="n"/>
      <c r="J772" s="74" t="n"/>
      <c r="K772" s="36" t="n"/>
    </row>
    <row r="773">
      <c r="A773" s="118">
        <f>IF($B773="","",COUNT($B$5:$B773))</f>
        <v/>
      </c>
      <c r="B773" s="80" t="n"/>
      <c r="C773" s="130">
        <f>IF($B773="","",CHOOSE(WEEKDAY($B773),"일","월","화","수","목","금","토"))</f>
        <v/>
      </c>
      <c r="D773" s="74" t="n"/>
      <c r="E773" s="130">
        <f>IF($D773="","",IFERROR(INDEX(코드설정!$D$5:$D$24,MATCH($D773,코드설정!$C$5:$C$24,0)),""))</f>
        <v/>
      </c>
      <c r="F773" s="74" t="n"/>
      <c r="G773" s="74" t="n"/>
      <c r="H773" s="36" t="n"/>
      <c r="I773" s="36" t="n"/>
      <c r="J773" s="74" t="n"/>
      <c r="K773" s="36" t="n"/>
    </row>
    <row r="774">
      <c r="A774" s="118">
        <f>IF($B774="","",COUNT($B$5:$B774))</f>
        <v/>
      </c>
      <c r="B774" s="80" t="n"/>
      <c r="C774" s="130">
        <f>IF($B774="","",CHOOSE(WEEKDAY($B774),"일","월","화","수","목","금","토"))</f>
        <v/>
      </c>
      <c r="D774" s="74" t="n"/>
      <c r="E774" s="130">
        <f>IF($D774="","",IFERROR(INDEX(코드설정!$D$5:$D$24,MATCH($D774,코드설정!$C$5:$C$24,0)),""))</f>
        <v/>
      </c>
      <c r="F774" s="74" t="n"/>
      <c r="G774" s="74" t="n"/>
      <c r="H774" s="36" t="n"/>
      <c r="I774" s="36" t="n"/>
      <c r="J774" s="74" t="n"/>
      <c r="K774" s="36" t="n"/>
    </row>
    <row r="775">
      <c r="A775" s="118">
        <f>IF($B775="","",COUNT($B$5:$B775))</f>
        <v/>
      </c>
      <c r="B775" s="80" t="n"/>
      <c r="C775" s="130">
        <f>IF($B775="","",CHOOSE(WEEKDAY($B775),"일","월","화","수","목","금","토"))</f>
        <v/>
      </c>
      <c r="D775" s="74" t="n"/>
      <c r="E775" s="130">
        <f>IF($D775="","",IFERROR(INDEX(코드설정!$D$5:$D$24,MATCH($D775,코드설정!$C$5:$C$24,0)),""))</f>
        <v/>
      </c>
      <c r="F775" s="74" t="n"/>
      <c r="G775" s="74" t="n"/>
      <c r="H775" s="36" t="n"/>
      <c r="I775" s="36" t="n"/>
      <c r="J775" s="74" t="n"/>
      <c r="K775" s="36" t="n"/>
    </row>
    <row r="776">
      <c r="A776" s="118">
        <f>IF($B776="","",COUNT($B$5:$B776))</f>
        <v/>
      </c>
      <c r="B776" s="80" t="n"/>
      <c r="C776" s="130">
        <f>IF($B776="","",CHOOSE(WEEKDAY($B776),"일","월","화","수","목","금","토"))</f>
        <v/>
      </c>
      <c r="D776" s="74" t="n"/>
      <c r="E776" s="130">
        <f>IF($D776="","",IFERROR(INDEX(코드설정!$D$5:$D$24,MATCH($D776,코드설정!$C$5:$C$24,0)),""))</f>
        <v/>
      </c>
      <c r="F776" s="74" t="n"/>
      <c r="G776" s="74" t="n"/>
      <c r="H776" s="36" t="n"/>
      <c r="I776" s="36" t="n"/>
      <c r="J776" s="74" t="n"/>
      <c r="K776" s="36" t="n"/>
    </row>
    <row r="777">
      <c r="A777" s="118">
        <f>IF($B777="","",COUNT($B$5:$B777))</f>
        <v/>
      </c>
      <c r="B777" s="80" t="n"/>
      <c r="C777" s="130">
        <f>IF($B777="","",CHOOSE(WEEKDAY($B777),"일","월","화","수","목","금","토"))</f>
        <v/>
      </c>
      <c r="D777" s="74" t="n"/>
      <c r="E777" s="130">
        <f>IF($D777="","",IFERROR(INDEX(코드설정!$D$5:$D$24,MATCH($D777,코드설정!$C$5:$C$24,0)),""))</f>
        <v/>
      </c>
      <c r="F777" s="74" t="n"/>
      <c r="G777" s="74" t="n"/>
      <c r="H777" s="36" t="n"/>
      <c r="I777" s="36" t="n"/>
      <c r="J777" s="74" t="n"/>
      <c r="K777" s="36" t="n"/>
    </row>
    <row r="778">
      <c r="A778" s="118">
        <f>IF($B778="","",COUNT($B$5:$B778))</f>
        <v/>
      </c>
      <c r="B778" s="80" t="n"/>
      <c r="C778" s="130">
        <f>IF($B778="","",CHOOSE(WEEKDAY($B778),"일","월","화","수","목","금","토"))</f>
        <v/>
      </c>
      <c r="D778" s="74" t="n"/>
      <c r="E778" s="130">
        <f>IF($D778="","",IFERROR(INDEX(코드설정!$D$5:$D$24,MATCH($D778,코드설정!$C$5:$C$24,0)),""))</f>
        <v/>
      </c>
      <c r="F778" s="74" t="n"/>
      <c r="G778" s="74" t="n"/>
      <c r="H778" s="36" t="n"/>
      <c r="I778" s="36" t="n"/>
      <c r="J778" s="74" t="n"/>
      <c r="K778" s="36" t="n"/>
    </row>
    <row r="779">
      <c r="A779" s="118">
        <f>IF($B779="","",COUNT($B$5:$B779))</f>
        <v/>
      </c>
      <c r="B779" s="80" t="n"/>
      <c r="C779" s="130">
        <f>IF($B779="","",CHOOSE(WEEKDAY($B779),"일","월","화","수","목","금","토"))</f>
        <v/>
      </c>
      <c r="D779" s="74" t="n"/>
      <c r="E779" s="130">
        <f>IF($D779="","",IFERROR(INDEX(코드설정!$D$5:$D$24,MATCH($D779,코드설정!$C$5:$C$24,0)),""))</f>
        <v/>
      </c>
      <c r="F779" s="74" t="n"/>
      <c r="G779" s="74" t="n"/>
      <c r="H779" s="36" t="n"/>
      <c r="I779" s="36" t="n"/>
      <c r="J779" s="74" t="n"/>
      <c r="K779" s="36" t="n"/>
    </row>
    <row r="780">
      <c r="A780" s="118">
        <f>IF($B780="","",COUNT($B$5:$B780))</f>
        <v/>
      </c>
      <c r="B780" s="80" t="n"/>
      <c r="C780" s="130">
        <f>IF($B780="","",CHOOSE(WEEKDAY($B780),"일","월","화","수","목","금","토"))</f>
        <v/>
      </c>
      <c r="D780" s="74" t="n"/>
      <c r="E780" s="130">
        <f>IF($D780="","",IFERROR(INDEX(코드설정!$D$5:$D$24,MATCH($D780,코드설정!$C$5:$C$24,0)),""))</f>
        <v/>
      </c>
      <c r="F780" s="74" t="n"/>
      <c r="G780" s="74" t="n"/>
      <c r="H780" s="36" t="n"/>
      <c r="I780" s="36" t="n"/>
      <c r="J780" s="74" t="n"/>
      <c r="K780" s="36" t="n"/>
    </row>
    <row r="781">
      <c r="A781" s="118">
        <f>IF($B781="","",COUNT($B$5:$B781))</f>
        <v/>
      </c>
      <c r="B781" s="80" t="n"/>
      <c r="C781" s="130">
        <f>IF($B781="","",CHOOSE(WEEKDAY($B781),"일","월","화","수","목","금","토"))</f>
        <v/>
      </c>
      <c r="D781" s="74" t="n"/>
      <c r="E781" s="130">
        <f>IF($D781="","",IFERROR(INDEX(코드설정!$D$5:$D$24,MATCH($D781,코드설정!$C$5:$C$24,0)),""))</f>
        <v/>
      </c>
      <c r="F781" s="74" t="n"/>
      <c r="G781" s="74" t="n"/>
      <c r="H781" s="36" t="n"/>
      <c r="I781" s="36" t="n"/>
      <c r="J781" s="74" t="n"/>
      <c r="K781" s="36" t="n"/>
    </row>
    <row r="782">
      <c r="A782" s="118">
        <f>IF($B782="","",COUNT($B$5:$B782))</f>
        <v/>
      </c>
      <c r="B782" s="80" t="n"/>
      <c r="C782" s="130">
        <f>IF($B782="","",CHOOSE(WEEKDAY($B782),"일","월","화","수","목","금","토"))</f>
        <v/>
      </c>
      <c r="D782" s="74" t="n"/>
      <c r="E782" s="130">
        <f>IF($D782="","",IFERROR(INDEX(코드설정!$D$5:$D$24,MATCH($D782,코드설정!$C$5:$C$24,0)),""))</f>
        <v/>
      </c>
      <c r="F782" s="74" t="n"/>
      <c r="G782" s="74" t="n"/>
      <c r="H782" s="36" t="n"/>
      <c r="I782" s="36" t="n"/>
      <c r="J782" s="74" t="n"/>
      <c r="K782" s="36" t="n"/>
    </row>
    <row r="783">
      <c r="A783" s="118">
        <f>IF($B783="","",COUNT($B$5:$B783))</f>
        <v/>
      </c>
      <c r="B783" s="80" t="n"/>
      <c r="C783" s="130">
        <f>IF($B783="","",CHOOSE(WEEKDAY($B783),"일","월","화","수","목","금","토"))</f>
        <v/>
      </c>
      <c r="D783" s="74" t="n"/>
      <c r="E783" s="130">
        <f>IF($D783="","",IFERROR(INDEX(코드설정!$D$5:$D$24,MATCH($D783,코드설정!$C$5:$C$24,0)),""))</f>
        <v/>
      </c>
      <c r="F783" s="74" t="n"/>
      <c r="G783" s="74" t="n"/>
      <c r="H783" s="36" t="n"/>
      <c r="I783" s="36" t="n"/>
      <c r="J783" s="74" t="n"/>
      <c r="K783" s="36" t="n"/>
    </row>
    <row r="784">
      <c r="A784" s="118">
        <f>IF($B784="","",COUNT($B$5:$B784))</f>
        <v/>
      </c>
      <c r="B784" s="80" t="n"/>
      <c r="C784" s="130">
        <f>IF($B784="","",CHOOSE(WEEKDAY($B784),"일","월","화","수","목","금","토"))</f>
        <v/>
      </c>
      <c r="D784" s="74" t="n"/>
      <c r="E784" s="130">
        <f>IF($D784="","",IFERROR(INDEX(코드설정!$D$5:$D$24,MATCH($D784,코드설정!$C$5:$C$24,0)),""))</f>
        <v/>
      </c>
      <c r="F784" s="74" t="n"/>
      <c r="G784" s="74" t="n"/>
      <c r="H784" s="36" t="n"/>
      <c r="I784" s="36" t="n"/>
      <c r="J784" s="74" t="n"/>
      <c r="K784" s="36" t="n"/>
    </row>
    <row r="785">
      <c r="A785" s="118">
        <f>IF($B785="","",COUNT($B$5:$B785))</f>
        <v/>
      </c>
      <c r="B785" s="80" t="n"/>
      <c r="C785" s="130">
        <f>IF($B785="","",CHOOSE(WEEKDAY($B785),"일","월","화","수","목","금","토"))</f>
        <v/>
      </c>
      <c r="D785" s="74" t="n"/>
      <c r="E785" s="130">
        <f>IF($D785="","",IFERROR(INDEX(코드설정!$D$5:$D$24,MATCH($D785,코드설정!$C$5:$C$24,0)),""))</f>
        <v/>
      </c>
      <c r="F785" s="74" t="n"/>
      <c r="G785" s="74" t="n"/>
      <c r="H785" s="36" t="n"/>
      <c r="I785" s="36" t="n"/>
      <c r="J785" s="74" t="n"/>
      <c r="K785" s="36" t="n"/>
    </row>
    <row r="786">
      <c r="A786" s="118">
        <f>IF($B786="","",COUNT($B$5:$B786))</f>
        <v/>
      </c>
      <c r="B786" s="80" t="n"/>
      <c r="C786" s="130">
        <f>IF($B786="","",CHOOSE(WEEKDAY($B786),"일","월","화","수","목","금","토"))</f>
        <v/>
      </c>
      <c r="D786" s="74" t="n"/>
      <c r="E786" s="130">
        <f>IF($D786="","",IFERROR(INDEX(코드설정!$D$5:$D$24,MATCH($D786,코드설정!$C$5:$C$24,0)),""))</f>
        <v/>
      </c>
      <c r="F786" s="74" t="n"/>
      <c r="G786" s="74" t="n"/>
      <c r="H786" s="36" t="n"/>
      <c r="I786" s="36" t="n"/>
      <c r="J786" s="74" t="n"/>
      <c r="K786" s="36" t="n"/>
    </row>
    <row r="787">
      <c r="A787" s="118">
        <f>IF($B787="","",COUNT($B$5:$B787))</f>
        <v/>
      </c>
      <c r="B787" s="80" t="n"/>
      <c r="C787" s="130">
        <f>IF($B787="","",CHOOSE(WEEKDAY($B787),"일","월","화","수","목","금","토"))</f>
        <v/>
      </c>
      <c r="D787" s="74" t="n"/>
      <c r="E787" s="130">
        <f>IF($D787="","",IFERROR(INDEX(코드설정!$D$5:$D$24,MATCH($D787,코드설정!$C$5:$C$24,0)),""))</f>
        <v/>
      </c>
      <c r="F787" s="74" t="n"/>
      <c r="G787" s="74" t="n"/>
      <c r="H787" s="36" t="n"/>
      <c r="I787" s="36" t="n"/>
      <c r="J787" s="74" t="n"/>
      <c r="K787" s="36" t="n"/>
    </row>
    <row r="788">
      <c r="A788" s="118">
        <f>IF($B788="","",COUNT($B$5:$B788))</f>
        <v/>
      </c>
      <c r="B788" s="80" t="n"/>
      <c r="C788" s="130">
        <f>IF($B788="","",CHOOSE(WEEKDAY($B788),"일","월","화","수","목","금","토"))</f>
        <v/>
      </c>
      <c r="D788" s="74" t="n"/>
      <c r="E788" s="130">
        <f>IF($D788="","",IFERROR(INDEX(코드설정!$D$5:$D$24,MATCH($D788,코드설정!$C$5:$C$24,0)),""))</f>
        <v/>
      </c>
      <c r="F788" s="74" t="n"/>
      <c r="G788" s="74" t="n"/>
      <c r="H788" s="36" t="n"/>
      <c r="I788" s="36" t="n"/>
      <c r="J788" s="74" t="n"/>
      <c r="K788" s="36" t="n"/>
    </row>
    <row r="789">
      <c r="A789" s="118">
        <f>IF($B789="","",COUNT($B$5:$B789))</f>
        <v/>
      </c>
      <c r="B789" s="80" t="n"/>
      <c r="C789" s="130">
        <f>IF($B789="","",CHOOSE(WEEKDAY($B789),"일","월","화","수","목","금","토"))</f>
        <v/>
      </c>
      <c r="D789" s="74" t="n"/>
      <c r="E789" s="130">
        <f>IF($D789="","",IFERROR(INDEX(코드설정!$D$5:$D$24,MATCH($D789,코드설정!$C$5:$C$24,0)),""))</f>
        <v/>
      </c>
      <c r="F789" s="74" t="n"/>
      <c r="G789" s="74" t="n"/>
      <c r="H789" s="36" t="n"/>
      <c r="I789" s="36" t="n"/>
      <c r="J789" s="74" t="n"/>
      <c r="K789" s="36" t="n"/>
    </row>
    <row r="790">
      <c r="A790" s="118">
        <f>IF($B790="","",COUNT($B$5:$B790))</f>
        <v/>
      </c>
      <c r="B790" s="80" t="n"/>
      <c r="C790" s="130">
        <f>IF($B790="","",CHOOSE(WEEKDAY($B790),"일","월","화","수","목","금","토"))</f>
        <v/>
      </c>
      <c r="D790" s="74" t="n"/>
      <c r="E790" s="130">
        <f>IF($D790="","",IFERROR(INDEX(코드설정!$D$5:$D$24,MATCH($D790,코드설정!$C$5:$C$24,0)),""))</f>
        <v/>
      </c>
      <c r="F790" s="74" t="n"/>
      <c r="G790" s="74" t="n"/>
      <c r="H790" s="36" t="n"/>
      <c r="I790" s="36" t="n"/>
      <c r="J790" s="74" t="n"/>
      <c r="K790" s="36" t="n"/>
    </row>
    <row r="791">
      <c r="A791" s="118">
        <f>IF($B791="","",COUNT($B$5:$B791))</f>
        <v/>
      </c>
      <c r="B791" s="80" t="n"/>
      <c r="C791" s="130">
        <f>IF($B791="","",CHOOSE(WEEKDAY($B791),"일","월","화","수","목","금","토"))</f>
        <v/>
      </c>
      <c r="D791" s="74" t="n"/>
      <c r="E791" s="130">
        <f>IF($D791="","",IFERROR(INDEX(코드설정!$D$5:$D$24,MATCH($D791,코드설정!$C$5:$C$24,0)),""))</f>
        <v/>
      </c>
      <c r="F791" s="74" t="n"/>
      <c r="G791" s="74" t="n"/>
      <c r="H791" s="36" t="n"/>
      <c r="I791" s="36" t="n"/>
      <c r="J791" s="74" t="n"/>
      <c r="K791" s="36" t="n"/>
    </row>
    <row r="792">
      <c r="A792" s="118">
        <f>IF($B792="","",COUNT($B$5:$B792))</f>
        <v/>
      </c>
      <c r="B792" s="80" t="n"/>
      <c r="C792" s="130">
        <f>IF($B792="","",CHOOSE(WEEKDAY($B792),"일","월","화","수","목","금","토"))</f>
        <v/>
      </c>
      <c r="D792" s="74" t="n"/>
      <c r="E792" s="130">
        <f>IF($D792="","",IFERROR(INDEX(코드설정!$D$5:$D$24,MATCH($D792,코드설정!$C$5:$C$24,0)),""))</f>
        <v/>
      </c>
      <c r="F792" s="74" t="n"/>
      <c r="G792" s="74" t="n"/>
      <c r="H792" s="36" t="n"/>
      <c r="I792" s="36" t="n"/>
      <c r="J792" s="74" t="n"/>
      <c r="K792" s="36" t="n"/>
    </row>
    <row r="793">
      <c r="A793" s="118">
        <f>IF($B793="","",COUNT($B$5:$B793))</f>
        <v/>
      </c>
      <c r="B793" s="80" t="n"/>
      <c r="C793" s="130">
        <f>IF($B793="","",CHOOSE(WEEKDAY($B793),"일","월","화","수","목","금","토"))</f>
        <v/>
      </c>
      <c r="D793" s="74" t="n"/>
      <c r="E793" s="130">
        <f>IF($D793="","",IFERROR(INDEX(코드설정!$D$5:$D$24,MATCH($D793,코드설정!$C$5:$C$24,0)),""))</f>
        <v/>
      </c>
      <c r="F793" s="74" t="n"/>
      <c r="G793" s="74" t="n"/>
      <c r="H793" s="36" t="n"/>
      <c r="I793" s="36" t="n"/>
      <c r="J793" s="74" t="n"/>
      <c r="K793" s="36" t="n"/>
    </row>
    <row r="794">
      <c r="A794" s="118">
        <f>IF($B794="","",COUNT($B$5:$B794))</f>
        <v/>
      </c>
      <c r="B794" s="80" t="n"/>
      <c r="C794" s="130">
        <f>IF($B794="","",CHOOSE(WEEKDAY($B794),"일","월","화","수","목","금","토"))</f>
        <v/>
      </c>
      <c r="D794" s="74" t="n"/>
      <c r="E794" s="130">
        <f>IF($D794="","",IFERROR(INDEX(코드설정!$D$5:$D$24,MATCH($D794,코드설정!$C$5:$C$24,0)),""))</f>
        <v/>
      </c>
      <c r="F794" s="74" t="n"/>
      <c r="G794" s="74" t="n"/>
      <c r="H794" s="36" t="n"/>
      <c r="I794" s="36" t="n"/>
      <c r="J794" s="74" t="n"/>
      <c r="K794" s="36" t="n"/>
    </row>
    <row r="795">
      <c r="A795" s="118">
        <f>IF($B795="","",COUNT($B$5:$B795))</f>
        <v/>
      </c>
      <c r="B795" s="80" t="n"/>
      <c r="C795" s="130">
        <f>IF($B795="","",CHOOSE(WEEKDAY($B795),"일","월","화","수","목","금","토"))</f>
        <v/>
      </c>
      <c r="D795" s="74" t="n"/>
      <c r="E795" s="130">
        <f>IF($D795="","",IFERROR(INDEX(코드설정!$D$5:$D$24,MATCH($D795,코드설정!$C$5:$C$24,0)),""))</f>
        <v/>
      </c>
      <c r="F795" s="74" t="n"/>
      <c r="G795" s="74" t="n"/>
      <c r="H795" s="36" t="n"/>
      <c r="I795" s="36" t="n"/>
      <c r="J795" s="74" t="n"/>
      <c r="K795" s="36" t="n"/>
    </row>
    <row r="796">
      <c r="A796" s="118">
        <f>IF($B796="","",COUNT($B$5:$B796))</f>
        <v/>
      </c>
      <c r="B796" s="80" t="n"/>
      <c r="C796" s="130">
        <f>IF($B796="","",CHOOSE(WEEKDAY($B796),"일","월","화","수","목","금","토"))</f>
        <v/>
      </c>
      <c r="D796" s="74" t="n"/>
      <c r="E796" s="130">
        <f>IF($D796="","",IFERROR(INDEX(코드설정!$D$5:$D$24,MATCH($D796,코드설정!$C$5:$C$24,0)),""))</f>
        <v/>
      </c>
      <c r="F796" s="74" t="n"/>
      <c r="G796" s="74" t="n"/>
      <c r="H796" s="36" t="n"/>
      <c r="I796" s="36" t="n"/>
      <c r="J796" s="74" t="n"/>
      <c r="K796" s="36" t="n"/>
    </row>
    <row r="797">
      <c r="A797" s="118">
        <f>IF($B797="","",COUNT($B$5:$B797))</f>
        <v/>
      </c>
      <c r="B797" s="80" t="n"/>
      <c r="C797" s="130">
        <f>IF($B797="","",CHOOSE(WEEKDAY($B797),"일","월","화","수","목","금","토"))</f>
        <v/>
      </c>
      <c r="D797" s="74" t="n"/>
      <c r="E797" s="130">
        <f>IF($D797="","",IFERROR(INDEX(코드설정!$D$5:$D$24,MATCH($D797,코드설정!$C$5:$C$24,0)),""))</f>
        <v/>
      </c>
      <c r="F797" s="74" t="n"/>
      <c r="G797" s="74" t="n"/>
      <c r="H797" s="36" t="n"/>
      <c r="I797" s="36" t="n"/>
      <c r="J797" s="74" t="n"/>
      <c r="K797" s="36" t="n"/>
    </row>
    <row r="798">
      <c r="A798" s="118">
        <f>IF($B798="","",COUNT($B$5:$B798))</f>
        <v/>
      </c>
      <c r="B798" s="80" t="n"/>
      <c r="C798" s="130">
        <f>IF($B798="","",CHOOSE(WEEKDAY($B798),"일","월","화","수","목","금","토"))</f>
        <v/>
      </c>
      <c r="D798" s="74" t="n"/>
      <c r="E798" s="130">
        <f>IF($D798="","",IFERROR(INDEX(코드설정!$D$5:$D$24,MATCH($D798,코드설정!$C$5:$C$24,0)),""))</f>
        <v/>
      </c>
      <c r="F798" s="74" t="n"/>
      <c r="G798" s="74" t="n"/>
      <c r="H798" s="36" t="n"/>
      <c r="I798" s="36" t="n"/>
      <c r="J798" s="74" t="n"/>
      <c r="K798" s="36" t="n"/>
    </row>
    <row r="799">
      <c r="A799" s="118">
        <f>IF($B799="","",COUNT($B$5:$B799))</f>
        <v/>
      </c>
      <c r="B799" s="80" t="n"/>
      <c r="C799" s="130">
        <f>IF($B799="","",CHOOSE(WEEKDAY($B799),"일","월","화","수","목","금","토"))</f>
        <v/>
      </c>
      <c r="D799" s="74" t="n"/>
      <c r="E799" s="130">
        <f>IF($D799="","",IFERROR(INDEX(코드설정!$D$5:$D$24,MATCH($D799,코드설정!$C$5:$C$24,0)),""))</f>
        <v/>
      </c>
      <c r="F799" s="74" t="n"/>
      <c r="G799" s="74" t="n"/>
      <c r="H799" s="36" t="n"/>
      <c r="I799" s="36" t="n"/>
      <c r="J799" s="74" t="n"/>
      <c r="K799" s="36" t="n"/>
    </row>
    <row r="800">
      <c r="A800" s="118">
        <f>IF($B800="","",COUNT($B$5:$B800))</f>
        <v/>
      </c>
      <c r="B800" s="80" t="n"/>
      <c r="C800" s="130">
        <f>IF($B800="","",CHOOSE(WEEKDAY($B800),"일","월","화","수","목","금","토"))</f>
        <v/>
      </c>
      <c r="D800" s="74" t="n"/>
      <c r="E800" s="130">
        <f>IF($D800="","",IFERROR(INDEX(코드설정!$D$5:$D$24,MATCH($D800,코드설정!$C$5:$C$24,0)),""))</f>
        <v/>
      </c>
      <c r="F800" s="74" t="n"/>
      <c r="G800" s="74" t="n"/>
      <c r="H800" s="36" t="n"/>
      <c r="I800" s="36" t="n"/>
      <c r="J800" s="74" t="n"/>
      <c r="K800" s="36" t="n"/>
    </row>
    <row r="801">
      <c r="A801" s="118">
        <f>IF($B801="","",COUNT($B$5:$B801))</f>
        <v/>
      </c>
      <c r="B801" s="80" t="n"/>
      <c r="C801" s="130">
        <f>IF($B801="","",CHOOSE(WEEKDAY($B801),"일","월","화","수","목","금","토"))</f>
        <v/>
      </c>
      <c r="D801" s="74" t="n"/>
      <c r="E801" s="130">
        <f>IF($D801="","",IFERROR(INDEX(코드설정!$D$5:$D$24,MATCH($D801,코드설정!$C$5:$C$24,0)),""))</f>
        <v/>
      </c>
      <c r="F801" s="74" t="n"/>
      <c r="G801" s="74" t="n"/>
      <c r="H801" s="36" t="n"/>
      <c r="I801" s="36" t="n"/>
      <c r="J801" s="74" t="n"/>
      <c r="K801" s="36" t="n"/>
    </row>
    <row r="802">
      <c r="A802" s="118">
        <f>IF($B802="","",COUNT($B$5:$B802))</f>
        <v/>
      </c>
      <c r="B802" s="80" t="n"/>
      <c r="C802" s="130">
        <f>IF($B802="","",CHOOSE(WEEKDAY($B802),"일","월","화","수","목","금","토"))</f>
        <v/>
      </c>
      <c r="D802" s="74" t="n"/>
      <c r="E802" s="130">
        <f>IF($D802="","",IFERROR(INDEX(코드설정!$D$5:$D$24,MATCH($D802,코드설정!$C$5:$C$24,0)),""))</f>
        <v/>
      </c>
      <c r="F802" s="74" t="n"/>
      <c r="G802" s="74" t="n"/>
      <c r="H802" s="36" t="n"/>
      <c r="I802" s="36" t="n"/>
      <c r="J802" s="74" t="n"/>
      <c r="K802" s="36" t="n"/>
    </row>
    <row r="803">
      <c r="A803" s="118">
        <f>IF($B803="","",COUNT($B$5:$B803))</f>
        <v/>
      </c>
      <c r="B803" s="80" t="n"/>
      <c r="C803" s="130">
        <f>IF($B803="","",CHOOSE(WEEKDAY($B803),"일","월","화","수","목","금","토"))</f>
        <v/>
      </c>
      <c r="D803" s="74" t="n"/>
      <c r="E803" s="130">
        <f>IF($D803="","",IFERROR(INDEX(코드설정!$D$5:$D$24,MATCH($D803,코드설정!$C$5:$C$24,0)),""))</f>
        <v/>
      </c>
      <c r="F803" s="74" t="n"/>
      <c r="G803" s="74" t="n"/>
      <c r="H803" s="36" t="n"/>
      <c r="I803" s="36" t="n"/>
      <c r="J803" s="74" t="n"/>
      <c r="K803" s="36" t="n"/>
    </row>
    <row r="804">
      <c r="A804" s="118">
        <f>IF($B804="","",COUNT($B$5:$B804))</f>
        <v/>
      </c>
      <c r="B804" s="80" t="n"/>
      <c r="C804" s="130">
        <f>IF($B804="","",CHOOSE(WEEKDAY($B804),"일","월","화","수","목","금","토"))</f>
        <v/>
      </c>
      <c r="D804" s="74" t="n"/>
      <c r="E804" s="130">
        <f>IF($D804="","",IFERROR(INDEX(코드설정!$D$5:$D$24,MATCH($D804,코드설정!$C$5:$C$24,0)),""))</f>
        <v/>
      </c>
      <c r="F804" s="74" t="n"/>
      <c r="G804" s="74" t="n"/>
      <c r="H804" s="36" t="n"/>
      <c r="I804" s="36" t="n"/>
      <c r="J804" s="74" t="n"/>
      <c r="K804" s="36" t="n"/>
    </row>
    <row r="805">
      <c r="A805" s="118">
        <f>IF($B805="","",COUNT($B$5:$B805))</f>
        <v/>
      </c>
      <c r="B805" s="80" t="n"/>
      <c r="C805" s="130">
        <f>IF($B805="","",CHOOSE(WEEKDAY($B805),"일","월","화","수","목","금","토"))</f>
        <v/>
      </c>
      <c r="D805" s="74" t="n"/>
      <c r="E805" s="130">
        <f>IF($D805="","",IFERROR(INDEX(코드설정!$D$5:$D$24,MATCH($D805,코드설정!$C$5:$C$24,0)),""))</f>
        <v/>
      </c>
      <c r="F805" s="74" t="n"/>
      <c r="G805" s="74" t="n"/>
      <c r="H805" s="36" t="n"/>
      <c r="I805" s="36" t="n"/>
      <c r="J805" s="74" t="n"/>
      <c r="K805" s="36" t="n"/>
    </row>
    <row r="806">
      <c r="A806" s="118">
        <f>IF($B806="","",COUNT($B$5:$B806))</f>
        <v/>
      </c>
      <c r="B806" s="80" t="n"/>
      <c r="C806" s="130">
        <f>IF($B806="","",CHOOSE(WEEKDAY($B806),"일","월","화","수","목","금","토"))</f>
        <v/>
      </c>
      <c r="D806" s="74" t="n"/>
      <c r="E806" s="130">
        <f>IF($D806="","",IFERROR(INDEX(코드설정!$D$5:$D$24,MATCH($D806,코드설정!$C$5:$C$24,0)),""))</f>
        <v/>
      </c>
      <c r="F806" s="74" t="n"/>
      <c r="G806" s="74" t="n"/>
      <c r="H806" s="36" t="n"/>
      <c r="I806" s="36" t="n"/>
      <c r="J806" s="74" t="n"/>
      <c r="K806" s="36" t="n"/>
    </row>
    <row r="807">
      <c r="A807" s="118">
        <f>IF($B807="","",COUNT($B$5:$B807))</f>
        <v/>
      </c>
      <c r="B807" s="80" t="n"/>
      <c r="C807" s="130">
        <f>IF($B807="","",CHOOSE(WEEKDAY($B807),"일","월","화","수","목","금","토"))</f>
        <v/>
      </c>
      <c r="D807" s="74" t="n"/>
      <c r="E807" s="130">
        <f>IF($D807="","",IFERROR(INDEX(코드설정!$D$5:$D$24,MATCH($D807,코드설정!$C$5:$C$24,0)),""))</f>
        <v/>
      </c>
      <c r="F807" s="74" t="n"/>
      <c r="G807" s="74" t="n"/>
      <c r="H807" s="36" t="n"/>
      <c r="I807" s="36" t="n"/>
      <c r="J807" s="74" t="n"/>
      <c r="K807" s="36" t="n"/>
    </row>
    <row r="808">
      <c r="A808" s="118">
        <f>IF($B808="","",COUNT($B$5:$B808))</f>
        <v/>
      </c>
      <c r="B808" s="80" t="n"/>
      <c r="C808" s="130">
        <f>IF($B808="","",CHOOSE(WEEKDAY($B808),"일","월","화","수","목","금","토"))</f>
        <v/>
      </c>
      <c r="D808" s="74" t="n"/>
      <c r="E808" s="130">
        <f>IF($D808="","",IFERROR(INDEX(코드설정!$D$5:$D$24,MATCH($D808,코드설정!$C$5:$C$24,0)),""))</f>
        <v/>
      </c>
      <c r="F808" s="74" t="n"/>
      <c r="G808" s="74" t="n"/>
      <c r="H808" s="36" t="n"/>
      <c r="I808" s="36" t="n"/>
      <c r="J808" s="74" t="n"/>
      <c r="K808" s="36" t="n"/>
    </row>
    <row r="809">
      <c r="A809" s="118">
        <f>IF($B809="","",COUNT($B$5:$B809))</f>
        <v/>
      </c>
      <c r="B809" s="80" t="n"/>
      <c r="C809" s="130">
        <f>IF($B809="","",CHOOSE(WEEKDAY($B809),"일","월","화","수","목","금","토"))</f>
        <v/>
      </c>
      <c r="D809" s="74" t="n"/>
      <c r="E809" s="130">
        <f>IF($D809="","",IFERROR(INDEX(코드설정!$D$5:$D$24,MATCH($D809,코드설정!$C$5:$C$24,0)),""))</f>
        <v/>
      </c>
      <c r="F809" s="74" t="n"/>
      <c r="G809" s="74" t="n"/>
      <c r="H809" s="36" t="n"/>
      <c r="I809" s="36" t="n"/>
      <c r="J809" s="74" t="n"/>
      <c r="K809" s="36" t="n"/>
    </row>
    <row r="810">
      <c r="A810" s="118">
        <f>IF($B810="","",COUNT($B$5:$B810))</f>
        <v/>
      </c>
      <c r="B810" s="80" t="n"/>
      <c r="C810" s="130">
        <f>IF($B810="","",CHOOSE(WEEKDAY($B810),"일","월","화","수","목","금","토"))</f>
        <v/>
      </c>
      <c r="D810" s="74" t="n"/>
      <c r="E810" s="130">
        <f>IF($D810="","",IFERROR(INDEX(코드설정!$D$5:$D$24,MATCH($D810,코드설정!$C$5:$C$24,0)),""))</f>
        <v/>
      </c>
      <c r="F810" s="74" t="n"/>
      <c r="G810" s="74" t="n"/>
      <c r="H810" s="36" t="n"/>
      <c r="I810" s="36" t="n"/>
      <c r="J810" s="74" t="n"/>
      <c r="K810" s="36" t="n"/>
    </row>
    <row r="811">
      <c r="A811" s="118">
        <f>IF($B811="","",COUNT($B$5:$B811))</f>
        <v/>
      </c>
      <c r="B811" s="80" t="n"/>
      <c r="C811" s="130">
        <f>IF($B811="","",CHOOSE(WEEKDAY($B811),"일","월","화","수","목","금","토"))</f>
        <v/>
      </c>
      <c r="D811" s="74" t="n"/>
      <c r="E811" s="130">
        <f>IF($D811="","",IFERROR(INDEX(코드설정!$D$5:$D$24,MATCH($D811,코드설정!$C$5:$C$24,0)),""))</f>
        <v/>
      </c>
      <c r="F811" s="74" t="n"/>
      <c r="G811" s="74" t="n"/>
      <c r="H811" s="36" t="n"/>
      <c r="I811" s="36" t="n"/>
      <c r="J811" s="74" t="n"/>
      <c r="K811" s="36" t="n"/>
    </row>
    <row r="812">
      <c r="A812" s="118">
        <f>IF($B812="","",COUNT($B$5:$B812))</f>
        <v/>
      </c>
      <c r="B812" s="80" t="n"/>
      <c r="C812" s="130">
        <f>IF($B812="","",CHOOSE(WEEKDAY($B812),"일","월","화","수","목","금","토"))</f>
        <v/>
      </c>
      <c r="D812" s="74" t="n"/>
      <c r="E812" s="130">
        <f>IF($D812="","",IFERROR(INDEX(코드설정!$D$5:$D$24,MATCH($D812,코드설정!$C$5:$C$24,0)),""))</f>
        <v/>
      </c>
      <c r="F812" s="74" t="n"/>
      <c r="G812" s="74" t="n"/>
      <c r="H812" s="36" t="n"/>
      <c r="I812" s="36" t="n"/>
      <c r="J812" s="74" t="n"/>
      <c r="K812" s="36" t="n"/>
    </row>
    <row r="813">
      <c r="A813" s="118">
        <f>IF($B813="","",COUNT($B$5:$B813))</f>
        <v/>
      </c>
      <c r="B813" s="80" t="n"/>
      <c r="C813" s="130">
        <f>IF($B813="","",CHOOSE(WEEKDAY($B813),"일","월","화","수","목","금","토"))</f>
        <v/>
      </c>
      <c r="D813" s="74" t="n"/>
      <c r="E813" s="130">
        <f>IF($D813="","",IFERROR(INDEX(코드설정!$D$5:$D$24,MATCH($D813,코드설정!$C$5:$C$24,0)),""))</f>
        <v/>
      </c>
      <c r="F813" s="74" t="n"/>
      <c r="G813" s="74" t="n"/>
      <c r="H813" s="36" t="n"/>
      <c r="I813" s="36" t="n"/>
      <c r="J813" s="74" t="n"/>
      <c r="K813" s="36" t="n"/>
    </row>
    <row r="814">
      <c r="A814" s="118">
        <f>IF($B814="","",COUNT($B$5:$B814))</f>
        <v/>
      </c>
      <c r="B814" s="80" t="n"/>
      <c r="C814" s="130">
        <f>IF($B814="","",CHOOSE(WEEKDAY($B814),"일","월","화","수","목","금","토"))</f>
        <v/>
      </c>
      <c r="D814" s="74" t="n"/>
      <c r="E814" s="130">
        <f>IF($D814="","",IFERROR(INDEX(코드설정!$D$5:$D$24,MATCH($D814,코드설정!$C$5:$C$24,0)),""))</f>
        <v/>
      </c>
      <c r="F814" s="74" t="n"/>
      <c r="G814" s="74" t="n"/>
      <c r="H814" s="36" t="n"/>
      <c r="I814" s="36" t="n"/>
      <c r="J814" s="74" t="n"/>
      <c r="K814" s="36" t="n"/>
    </row>
    <row r="815">
      <c r="A815" s="118">
        <f>IF($B815="","",COUNT($B$5:$B815))</f>
        <v/>
      </c>
      <c r="B815" s="80" t="n"/>
      <c r="C815" s="130">
        <f>IF($B815="","",CHOOSE(WEEKDAY($B815),"일","월","화","수","목","금","토"))</f>
        <v/>
      </c>
      <c r="D815" s="74" t="n"/>
      <c r="E815" s="130">
        <f>IF($D815="","",IFERROR(INDEX(코드설정!$D$5:$D$24,MATCH($D815,코드설정!$C$5:$C$24,0)),""))</f>
        <v/>
      </c>
      <c r="F815" s="74" t="n"/>
      <c r="G815" s="74" t="n"/>
      <c r="H815" s="36" t="n"/>
      <c r="I815" s="36" t="n"/>
      <c r="J815" s="74" t="n"/>
      <c r="K815" s="36" t="n"/>
    </row>
    <row r="816">
      <c r="A816" s="118">
        <f>IF($B816="","",COUNT($B$5:$B816))</f>
        <v/>
      </c>
      <c r="B816" s="80" t="n"/>
      <c r="C816" s="130">
        <f>IF($B816="","",CHOOSE(WEEKDAY($B816),"일","월","화","수","목","금","토"))</f>
        <v/>
      </c>
      <c r="D816" s="74" t="n"/>
      <c r="E816" s="130">
        <f>IF($D816="","",IFERROR(INDEX(코드설정!$D$5:$D$24,MATCH($D816,코드설정!$C$5:$C$24,0)),""))</f>
        <v/>
      </c>
      <c r="F816" s="74" t="n"/>
      <c r="G816" s="74" t="n"/>
      <c r="H816" s="36" t="n"/>
      <c r="I816" s="36" t="n"/>
      <c r="J816" s="74" t="n"/>
      <c r="K816" s="36" t="n"/>
    </row>
    <row r="817">
      <c r="A817" s="118">
        <f>IF($B817="","",COUNT($B$5:$B817))</f>
        <v/>
      </c>
      <c r="B817" s="80" t="n"/>
      <c r="C817" s="130">
        <f>IF($B817="","",CHOOSE(WEEKDAY($B817),"일","월","화","수","목","금","토"))</f>
        <v/>
      </c>
      <c r="D817" s="74" t="n"/>
      <c r="E817" s="130">
        <f>IF($D817="","",IFERROR(INDEX(코드설정!$D$5:$D$24,MATCH($D817,코드설정!$C$5:$C$24,0)),""))</f>
        <v/>
      </c>
      <c r="F817" s="74" t="n"/>
      <c r="G817" s="74" t="n"/>
      <c r="H817" s="36" t="n"/>
      <c r="I817" s="36" t="n"/>
      <c r="J817" s="74" t="n"/>
      <c r="K817" s="36" t="n"/>
    </row>
    <row r="818">
      <c r="A818" s="118">
        <f>IF($B818="","",COUNT($B$5:$B818))</f>
        <v/>
      </c>
      <c r="B818" s="80" t="n"/>
      <c r="C818" s="130">
        <f>IF($B818="","",CHOOSE(WEEKDAY($B818),"일","월","화","수","목","금","토"))</f>
        <v/>
      </c>
      <c r="D818" s="74" t="n"/>
      <c r="E818" s="130">
        <f>IF($D818="","",IFERROR(INDEX(코드설정!$D$5:$D$24,MATCH($D818,코드설정!$C$5:$C$24,0)),""))</f>
        <v/>
      </c>
      <c r="F818" s="74" t="n"/>
      <c r="G818" s="74" t="n"/>
      <c r="H818" s="36" t="n"/>
      <c r="I818" s="36" t="n"/>
      <c r="J818" s="74" t="n"/>
      <c r="K818" s="36" t="n"/>
    </row>
    <row r="819">
      <c r="A819" s="118">
        <f>IF($B819="","",COUNT($B$5:$B819))</f>
        <v/>
      </c>
      <c r="B819" s="80" t="n"/>
      <c r="C819" s="130">
        <f>IF($B819="","",CHOOSE(WEEKDAY($B819),"일","월","화","수","목","금","토"))</f>
        <v/>
      </c>
      <c r="D819" s="74" t="n"/>
      <c r="E819" s="130">
        <f>IF($D819="","",IFERROR(INDEX(코드설정!$D$5:$D$24,MATCH($D819,코드설정!$C$5:$C$24,0)),""))</f>
        <v/>
      </c>
      <c r="F819" s="74" t="n"/>
      <c r="G819" s="74" t="n"/>
      <c r="H819" s="36" t="n"/>
      <c r="I819" s="36" t="n"/>
      <c r="J819" s="74" t="n"/>
      <c r="K819" s="36" t="n"/>
    </row>
    <row r="820">
      <c r="A820" s="118">
        <f>IF($B820="","",COUNT($B$5:$B820))</f>
        <v/>
      </c>
      <c r="B820" s="80" t="n"/>
      <c r="C820" s="130">
        <f>IF($B820="","",CHOOSE(WEEKDAY($B820),"일","월","화","수","목","금","토"))</f>
        <v/>
      </c>
      <c r="D820" s="74" t="n"/>
      <c r="E820" s="130">
        <f>IF($D820="","",IFERROR(INDEX(코드설정!$D$5:$D$24,MATCH($D820,코드설정!$C$5:$C$24,0)),""))</f>
        <v/>
      </c>
      <c r="F820" s="74" t="n"/>
      <c r="G820" s="74" t="n"/>
      <c r="H820" s="36" t="n"/>
      <c r="I820" s="36" t="n"/>
      <c r="J820" s="74" t="n"/>
      <c r="K820" s="36" t="n"/>
    </row>
    <row r="821">
      <c r="A821" s="118">
        <f>IF($B821="","",COUNT($B$5:$B821))</f>
        <v/>
      </c>
      <c r="B821" s="80" t="n"/>
      <c r="C821" s="130">
        <f>IF($B821="","",CHOOSE(WEEKDAY($B821),"일","월","화","수","목","금","토"))</f>
        <v/>
      </c>
      <c r="D821" s="74" t="n"/>
      <c r="E821" s="130">
        <f>IF($D821="","",IFERROR(INDEX(코드설정!$D$5:$D$24,MATCH($D821,코드설정!$C$5:$C$24,0)),""))</f>
        <v/>
      </c>
      <c r="F821" s="74" t="n"/>
      <c r="G821" s="74" t="n"/>
      <c r="H821" s="36" t="n"/>
      <c r="I821" s="36" t="n"/>
      <c r="J821" s="74" t="n"/>
      <c r="K821" s="36" t="n"/>
    </row>
    <row r="822">
      <c r="A822" s="118">
        <f>IF($B822="","",COUNT($B$5:$B822))</f>
        <v/>
      </c>
      <c r="B822" s="80" t="n"/>
      <c r="C822" s="130">
        <f>IF($B822="","",CHOOSE(WEEKDAY($B822),"일","월","화","수","목","금","토"))</f>
        <v/>
      </c>
      <c r="D822" s="74" t="n"/>
      <c r="E822" s="130">
        <f>IF($D822="","",IFERROR(INDEX(코드설정!$D$5:$D$24,MATCH($D822,코드설정!$C$5:$C$24,0)),""))</f>
        <v/>
      </c>
      <c r="F822" s="74" t="n"/>
      <c r="G822" s="74" t="n"/>
      <c r="H822" s="36" t="n"/>
      <c r="I822" s="36" t="n"/>
      <c r="J822" s="74" t="n"/>
      <c r="K822" s="36" t="n"/>
    </row>
    <row r="823">
      <c r="A823" s="118">
        <f>IF($B823="","",COUNT($B$5:$B823))</f>
        <v/>
      </c>
      <c r="B823" s="80" t="n"/>
      <c r="C823" s="130">
        <f>IF($B823="","",CHOOSE(WEEKDAY($B823),"일","월","화","수","목","금","토"))</f>
        <v/>
      </c>
      <c r="D823" s="74" t="n"/>
      <c r="E823" s="130">
        <f>IF($D823="","",IFERROR(INDEX(코드설정!$D$5:$D$24,MATCH($D823,코드설정!$C$5:$C$24,0)),""))</f>
        <v/>
      </c>
      <c r="F823" s="74" t="n"/>
      <c r="G823" s="74" t="n"/>
      <c r="H823" s="36" t="n"/>
      <c r="I823" s="36" t="n"/>
      <c r="J823" s="74" t="n"/>
      <c r="K823" s="36" t="n"/>
    </row>
    <row r="824">
      <c r="A824" s="118">
        <f>IF($B824="","",COUNT($B$5:$B824))</f>
        <v/>
      </c>
      <c r="B824" s="80" t="n"/>
      <c r="C824" s="130">
        <f>IF($B824="","",CHOOSE(WEEKDAY($B824),"일","월","화","수","목","금","토"))</f>
        <v/>
      </c>
      <c r="D824" s="74" t="n"/>
      <c r="E824" s="130">
        <f>IF($D824="","",IFERROR(INDEX(코드설정!$D$5:$D$24,MATCH($D824,코드설정!$C$5:$C$24,0)),""))</f>
        <v/>
      </c>
      <c r="F824" s="74" t="n"/>
      <c r="G824" s="74" t="n"/>
      <c r="H824" s="36" t="n"/>
      <c r="I824" s="36" t="n"/>
      <c r="J824" s="74" t="n"/>
      <c r="K824" s="36" t="n"/>
    </row>
    <row r="825">
      <c r="A825" s="118">
        <f>IF($B825="","",COUNT($B$5:$B825))</f>
        <v/>
      </c>
      <c r="B825" s="80" t="n"/>
      <c r="C825" s="130">
        <f>IF($B825="","",CHOOSE(WEEKDAY($B825),"일","월","화","수","목","금","토"))</f>
        <v/>
      </c>
      <c r="D825" s="74" t="n"/>
      <c r="E825" s="130">
        <f>IF($D825="","",IFERROR(INDEX(코드설정!$D$5:$D$24,MATCH($D825,코드설정!$C$5:$C$24,0)),""))</f>
        <v/>
      </c>
      <c r="F825" s="74" t="n"/>
      <c r="G825" s="74" t="n"/>
      <c r="H825" s="36" t="n"/>
      <c r="I825" s="36" t="n"/>
      <c r="J825" s="74" t="n"/>
      <c r="K825" s="36" t="n"/>
    </row>
    <row r="826">
      <c r="A826" s="118">
        <f>IF($B826="","",COUNT($B$5:$B826))</f>
        <v/>
      </c>
      <c r="B826" s="80" t="n"/>
      <c r="C826" s="130">
        <f>IF($B826="","",CHOOSE(WEEKDAY($B826),"일","월","화","수","목","금","토"))</f>
        <v/>
      </c>
      <c r="D826" s="74" t="n"/>
      <c r="E826" s="130">
        <f>IF($D826="","",IFERROR(INDEX(코드설정!$D$5:$D$24,MATCH($D826,코드설정!$C$5:$C$24,0)),""))</f>
        <v/>
      </c>
      <c r="F826" s="74" t="n"/>
      <c r="G826" s="74" t="n"/>
      <c r="H826" s="36" t="n"/>
      <c r="I826" s="36" t="n"/>
      <c r="J826" s="74" t="n"/>
      <c r="K826" s="36" t="n"/>
    </row>
    <row r="827">
      <c r="A827" s="118">
        <f>IF($B827="","",COUNT($B$5:$B827))</f>
        <v/>
      </c>
      <c r="B827" s="80" t="n"/>
      <c r="C827" s="130">
        <f>IF($B827="","",CHOOSE(WEEKDAY($B827),"일","월","화","수","목","금","토"))</f>
        <v/>
      </c>
      <c r="D827" s="74" t="n"/>
      <c r="E827" s="130">
        <f>IF($D827="","",IFERROR(INDEX(코드설정!$D$5:$D$24,MATCH($D827,코드설정!$C$5:$C$24,0)),""))</f>
        <v/>
      </c>
      <c r="F827" s="74" t="n"/>
      <c r="G827" s="74" t="n"/>
      <c r="H827" s="36" t="n"/>
      <c r="I827" s="36" t="n"/>
      <c r="J827" s="74" t="n"/>
      <c r="K827" s="36" t="n"/>
    </row>
    <row r="828">
      <c r="A828" s="118">
        <f>IF($B828="","",COUNT($B$5:$B828))</f>
        <v/>
      </c>
      <c r="B828" s="80" t="n"/>
      <c r="C828" s="130">
        <f>IF($B828="","",CHOOSE(WEEKDAY($B828),"일","월","화","수","목","금","토"))</f>
        <v/>
      </c>
      <c r="D828" s="74" t="n"/>
      <c r="E828" s="130">
        <f>IF($D828="","",IFERROR(INDEX(코드설정!$D$5:$D$24,MATCH($D828,코드설정!$C$5:$C$24,0)),""))</f>
        <v/>
      </c>
      <c r="F828" s="74" t="n"/>
      <c r="G828" s="74" t="n"/>
      <c r="H828" s="36" t="n"/>
      <c r="I828" s="36" t="n"/>
      <c r="J828" s="74" t="n"/>
      <c r="K828" s="36" t="n"/>
    </row>
    <row r="829">
      <c r="A829" s="118">
        <f>IF($B829="","",COUNT($B$5:$B829))</f>
        <v/>
      </c>
      <c r="B829" s="80" t="n"/>
      <c r="C829" s="130">
        <f>IF($B829="","",CHOOSE(WEEKDAY($B829),"일","월","화","수","목","금","토"))</f>
        <v/>
      </c>
      <c r="D829" s="74" t="n"/>
      <c r="E829" s="130">
        <f>IF($D829="","",IFERROR(INDEX(코드설정!$D$5:$D$24,MATCH($D829,코드설정!$C$5:$C$24,0)),""))</f>
        <v/>
      </c>
      <c r="F829" s="74" t="n"/>
      <c r="G829" s="74" t="n"/>
      <c r="H829" s="36" t="n"/>
      <c r="I829" s="36" t="n"/>
      <c r="J829" s="74" t="n"/>
      <c r="K829" s="36" t="n"/>
    </row>
    <row r="830">
      <c r="A830" s="118">
        <f>IF($B830="","",COUNT($B$5:$B830))</f>
        <v/>
      </c>
      <c r="B830" s="80" t="n"/>
      <c r="C830" s="130">
        <f>IF($B830="","",CHOOSE(WEEKDAY($B830),"일","월","화","수","목","금","토"))</f>
        <v/>
      </c>
      <c r="D830" s="74" t="n"/>
      <c r="E830" s="130">
        <f>IF($D830="","",IFERROR(INDEX(코드설정!$D$5:$D$24,MATCH($D830,코드설정!$C$5:$C$24,0)),""))</f>
        <v/>
      </c>
      <c r="F830" s="74" t="n"/>
      <c r="G830" s="74" t="n"/>
      <c r="H830" s="36" t="n"/>
      <c r="I830" s="36" t="n"/>
      <c r="J830" s="74" t="n"/>
      <c r="K830" s="36" t="n"/>
    </row>
    <row r="831">
      <c r="A831" s="118">
        <f>IF($B831="","",COUNT($B$5:$B831))</f>
        <v/>
      </c>
      <c r="B831" s="80" t="n"/>
      <c r="C831" s="130">
        <f>IF($B831="","",CHOOSE(WEEKDAY($B831),"일","월","화","수","목","금","토"))</f>
        <v/>
      </c>
      <c r="D831" s="74" t="n"/>
      <c r="E831" s="130">
        <f>IF($D831="","",IFERROR(INDEX(코드설정!$D$5:$D$24,MATCH($D831,코드설정!$C$5:$C$24,0)),""))</f>
        <v/>
      </c>
      <c r="F831" s="74" t="n"/>
      <c r="G831" s="74" t="n"/>
      <c r="H831" s="36" t="n"/>
      <c r="I831" s="36" t="n"/>
      <c r="J831" s="74" t="n"/>
      <c r="K831" s="36" t="n"/>
    </row>
    <row r="832">
      <c r="A832" s="118">
        <f>IF($B832="","",COUNT($B$5:$B832))</f>
        <v/>
      </c>
      <c r="B832" s="80" t="n"/>
      <c r="C832" s="130">
        <f>IF($B832="","",CHOOSE(WEEKDAY($B832),"일","월","화","수","목","금","토"))</f>
        <v/>
      </c>
      <c r="D832" s="74" t="n"/>
      <c r="E832" s="130">
        <f>IF($D832="","",IFERROR(INDEX(코드설정!$D$5:$D$24,MATCH($D832,코드설정!$C$5:$C$24,0)),""))</f>
        <v/>
      </c>
      <c r="F832" s="74" t="n"/>
      <c r="G832" s="74" t="n"/>
      <c r="H832" s="36" t="n"/>
      <c r="I832" s="36" t="n"/>
      <c r="J832" s="74" t="n"/>
      <c r="K832" s="36" t="n"/>
    </row>
    <row r="833">
      <c r="A833" s="118">
        <f>IF($B833="","",COUNT($B$5:$B833))</f>
        <v/>
      </c>
      <c r="B833" s="80" t="n"/>
      <c r="C833" s="130">
        <f>IF($B833="","",CHOOSE(WEEKDAY($B833),"일","월","화","수","목","금","토"))</f>
        <v/>
      </c>
      <c r="D833" s="74" t="n"/>
      <c r="E833" s="130">
        <f>IF($D833="","",IFERROR(INDEX(코드설정!$D$5:$D$24,MATCH($D833,코드설정!$C$5:$C$24,0)),""))</f>
        <v/>
      </c>
      <c r="F833" s="74" t="n"/>
      <c r="G833" s="74" t="n"/>
      <c r="H833" s="36" t="n"/>
      <c r="I833" s="36" t="n"/>
      <c r="J833" s="74" t="n"/>
      <c r="K833" s="36" t="n"/>
    </row>
    <row r="834">
      <c r="A834" s="118">
        <f>IF($B834="","",COUNT($B$5:$B834))</f>
        <v/>
      </c>
      <c r="B834" s="80" t="n"/>
      <c r="C834" s="130">
        <f>IF($B834="","",CHOOSE(WEEKDAY($B834),"일","월","화","수","목","금","토"))</f>
        <v/>
      </c>
      <c r="D834" s="74" t="n"/>
      <c r="E834" s="130">
        <f>IF($D834="","",IFERROR(INDEX(코드설정!$D$5:$D$24,MATCH($D834,코드설정!$C$5:$C$24,0)),""))</f>
        <v/>
      </c>
      <c r="F834" s="74" t="n"/>
      <c r="G834" s="74" t="n"/>
      <c r="H834" s="36" t="n"/>
      <c r="I834" s="36" t="n"/>
      <c r="J834" s="74" t="n"/>
      <c r="K834" s="36" t="n"/>
    </row>
    <row r="835">
      <c r="A835" s="118">
        <f>IF($B835="","",COUNT($B$5:$B835))</f>
        <v/>
      </c>
      <c r="B835" s="80" t="n"/>
      <c r="C835" s="130">
        <f>IF($B835="","",CHOOSE(WEEKDAY($B835),"일","월","화","수","목","금","토"))</f>
        <v/>
      </c>
      <c r="D835" s="74" t="n"/>
      <c r="E835" s="130">
        <f>IF($D835="","",IFERROR(INDEX(코드설정!$D$5:$D$24,MATCH($D835,코드설정!$C$5:$C$24,0)),""))</f>
        <v/>
      </c>
      <c r="F835" s="74" t="n"/>
      <c r="G835" s="74" t="n"/>
      <c r="H835" s="36" t="n"/>
      <c r="I835" s="36" t="n"/>
      <c r="J835" s="74" t="n"/>
      <c r="K835" s="36" t="n"/>
    </row>
    <row r="836">
      <c r="A836" s="118">
        <f>IF($B836="","",COUNT($B$5:$B836))</f>
        <v/>
      </c>
      <c r="B836" s="80" t="n"/>
      <c r="C836" s="130">
        <f>IF($B836="","",CHOOSE(WEEKDAY($B836),"일","월","화","수","목","금","토"))</f>
        <v/>
      </c>
      <c r="D836" s="74" t="n"/>
      <c r="E836" s="130">
        <f>IF($D836="","",IFERROR(INDEX(코드설정!$D$5:$D$24,MATCH($D836,코드설정!$C$5:$C$24,0)),""))</f>
        <v/>
      </c>
      <c r="F836" s="74" t="n"/>
      <c r="G836" s="74" t="n"/>
      <c r="H836" s="36" t="n"/>
      <c r="I836" s="36" t="n"/>
      <c r="J836" s="74" t="n"/>
      <c r="K836" s="36" t="n"/>
    </row>
    <row r="837">
      <c r="A837" s="118">
        <f>IF($B837="","",COUNT($B$5:$B837))</f>
        <v/>
      </c>
      <c r="B837" s="80" t="n"/>
      <c r="C837" s="130">
        <f>IF($B837="","",CHOOSE(WEEKDAY($B837),"일","월","화","수","목","금","토"))</f>
        <v/>
      </c>
      <c r="D837" s="74" t="n"/>
      <c r="E837" s="130">
        <f>IF($D837="","",IFERROR(INDEX(코드설정!$D$5:$D$24,MATCH($D837,코드설정!$C$5:$C$24,0)),""))</f>
        <v/>
      </c>
      <c r="F837" s="74" t="n"/>
      <c r="G837" s="74" t="n"/>
      <c r="H837" s="36" t="n"/>
      <c r="I837" s="36" t="n"/>
      <c r="J837" s="74" t="n"/>
      <c r="K837" s="36" t="n"/>
    </row>
    <row r="838">
      <c r="A838" s="118">
        <f>IF($B838="","",COUNT($B$5:$B838))</f>
        <v/>
      </c>
      <c r="B838" s="80" t="n"/>
      <c r="C838" s="130">
        <f>IF($B838="","",CHOOSE(WEEKDAY($B838),"일","월","화","수","목","금","토"))</f>
        <v/>
      </c>
      <c r="D838" s="74" t="n"/>
      <c r="E838" s="130">
        <f>IF($D838="","",IFERROR(INDEX(코드설정!$D$5:$D$24,MATCH($D838,코드설정!$C$5:$C$24,0)),""))</f>
        <v/>
      </c>
      <c r="F838" s="74" t="n"/>
      <c r="G838" s="74" t="n"/>
      <c r="H838" s="36" t="n"/>
      <c r="I838" s="36" t="n"/>
      <c r="J838" s="74" t="n"/>
      <c r="K838" s="36" t="n"/>
    </row>
    <row r="839">
      <c r="A839" s="118">
        <f>IF($B839="","",COUNT($B$5:$B839))</f>
        <v/>
      </c>
      <c r="B839" s="80" t="n"/>
      <c r="C839" s="130">
        <f>IF($B839="","",CHOOSE(WEEKDAY($B839),"일","월","화","수","목","금","토"))</f>
        <v/>
      </c>
      <c r="D839" s="74" t="n"/>
      <c r="E839" s="130">
        <f>IF($D839="","",IFERROR(INDEX(코드설정!$D$5:$D$24,MATCH($D839,코드설정!$C$5:$C$24,0)),""))</f>
        <v/>
      </c>
      <c r="F839" s="74" t="n"/>
      <c r="G839" s="74" t="n"/>
      <c r="H839" s="36" t="n"/>
      <c r="I839" s="36" t="n"/>
      <c r="J839" s="74" t="n"/>
      <c r="K839" s="36" t="n"/>
    </row>
    <row r="840">
      <c r="A840" s="118">
        <f>IF($B840="","",COUNT($B$5:$B840))</f>
        <v/>
      </c>
      <c r="B840" s="80" t="n"/>
      <c r="C840" s="130">
        <f>IF($B840="","",CHOOSE(WEEKDAY($B840),"일","월","화","수","목","금","토"))</f>
        <v/>
      </c>
      <c r="D840" s="74" t="n"/>
      <c r="E840" s="130">
        <f>IF($D840="","",IFERROR(INDEX(코드설정!$D$5:$D$24,MATCH($D840,코드설정!$C$5:$C$24,0)),""))</f>
        <v/>
      </c>
      <c r="F840" s="74" t="n"/>
      <c r="G840" s="74" t="n"/>
      <c r="H840" s="36" t="n"/>
      <c r="I840" s="36" t="n"/>
      <c r="J840" s="74" t="n"/>
      <c r="K840" s="36" t="n"/>
    </row>
    <row r="841">
      <c r="A841" s="118">
        <f>IF($B841="","",COUNT($B$5:$B841))</f>
        <v/>
      </c>
      <c r="B841" s="80" t="n"/>
      <c r="C841" s="130">
        <f>IF($B841="","",CHOOSE(WEEKDAY($B841),"일","월","화","수","목","금","토"))</f>
        <v/>
      </c>
      <c r="D841" s="74" t="n"/>
      <c r="E841" s="130">
        <f>IF($D841="","",IFERROR(INDEX(코드설정!$D$5:$D$24,MATCH($D841,코드설정!$C$5:$C$24,0)),""))</f>
        <v/>
      </c>
      <c r="F841" s="74" t="n"/>
      <c r="G841" s="74" t="n"/>
      <c r="H841" s="36" t="n"/>
      <c r="I841" s="36" t="n"/>
      <c r="J841" s="74" t="n"/>
      <c r="K841" s="36" t="n"/>
    </row>
    <row r="842">
      <c r="A842" s="118">
        <f>IF($B842="","",COUNT($B$5:$B842))</f>
        <v/>
      </c>
      <c r="B842" s="80" t="n"/>
      <c r="C842" s="130">
        <f>IF($B842="","",CHOOSE(WEEKDAY($B842),"일","월","화","수","목","금","토"))</f>
        <v/>
      </c>
      <c r="D842" s="74" t="n"/>
      <c r="E842" s="130">
        <f>IF($D842="","",IFERROR(INDEX(코드설정!$D$5:$D$24,MATCH($D842,코드설정!$C$5:$C$24,0)),""))</f>
        <v/>
      </c>
      <c r="F842" s="74" t="n"/>
      <c r="G842" s="74" t="n"/>
      <c r="H842" s="36" t="n"/>
      <c r="I842" s="36" t="n"/>
      <c r="J842" s="74" t="n"/>
      <c r="K842" s="36" t="n"/>
    </row>
    <row r="843">
      <c r="A843" s="118">
        <f>IF($B843="","",COUNT($B$5:$B843))</f>
        <v/>
      </c>
      <c r="B843" s="80" t="n"/>
      <c r="C843" s="130">
        <f>IF($B843="","",CHOOSE(WEEKDAY($B843),"일","월","화","수","목","금","토"))</f>
        <v/>
      </c>
      <c r="D843" s="74" t="n"/>
      <c r="E843" s="130">
        <f>IF($D843="","",IFERROR(INDEX(코드설정!$D$5:$D$24,MATCH($D843,코드설정!$C$5:$C$24,0)),""))</f>
        <v/>
      </c>
      <c r="F843" s="74" t="n"/>
      <c r="G843" s="74" t="n"/>
      <c r="H843" s="36" t="n"/>
      <c r="I843" s="36" t="n"/>
      <c r="J843" s="74" t="n"/>
      <c r="K843" s="36" t="n"/>
    </row>
    <row r="844">
      <c r="A844" s="118">
        <f>IF($B844="","",COUNT($B$5:$B844))</f>
        <v/>
      </c>
      <c r="B844" s="80" t="n"/>
      <c r="C844" s="130">
        <f>IF($B844="","",CHOOSE(WEEKDAY($B844),"일","월","화","수","목","금","토"))</f>
        <v/>
      </c>
      <c r="D844" s="74" t="n"/>
      <c r="E844" s="130">
        <f>IF($D844="","",IFERROR(INDEX(코드설정!$D$5:$D$24,MATCH($D844,코드설정!$C$5:$C$24,0)),""))</f>
        <v/>
      </c>
      <c r="F844" s="74" t="n"/>
      <c r="G844" s="74" t="n"/>
      <c r="H844" s="36" t="n"/>
      <c r="I844" s="36" t="n"/>
      <c r="J844" s="74" t="n"/>
      <c r="K844" s="36" t="n"/>
    </row>
    <row r="845">
      <c r="A845" s="118">
        <f>IF($B845="","",COUNT($B$5:$B845))</f>
        <v/>
      </c>
      <c r="B845" s="80" t="n"/>
      <c r="C845" s="130">
        <f>IF($B845="","",CHOOSE(WEEKDAY($B845),"일","월","화","수","목","금","토"))</f>
        <v/>
      </c>
      <c r="D845" s="74" t="n"/>
      <c r="E845" s="130">
        <f>IF($D845="","",IFERROR(INDEX(코드설정!$D$5:$D$24,MATCH($D845,코드설정!$C$5:$C$24,0)),""))</f>
        <v/>
      </c>
      <c r="F845" s="74" t="n"/>
      <c r="G845" s="74" t="n"/>
      <c r="H845" s="36" t="n"/>
      <c r="I845" s="36" t="n"/>
      <c r="J845" s="74" t="n"/>
      <c r="K845" s="36" t="n"/>
    </row>
    <row r="846">
      <c r="A846" s="118">
        <f>IF($B846="","",COUNT($B$5:$B846))</f>
        <v/>
      </c>
      <c r="B846" s="80" t="n"/>
      <c r="C846" s="130">
        <f>IF($B846="","",CHOOSE(WEEKDAY($B846),"일","월","화","수","목","금","토"))</f>
        <v/>
      </c>
      <c r="D846" s="74" t="n"/>
      <c r="E846" s="130">
        <f>IF($D846="","",IFERROR(INDEX(코드설정!$D$5:$D$24,MATCH($D846,코드설정!$C$5:$C$24,0)),""))</f>
        <v/>
      </c>
      <c r="F846" s="74" t="n"/>
      <c r="G846" s="74" t="n"/>
      <c r="H846" s="36" t="n"/>
      <c r="I846" s="36" t="n"/>
      <c r="J846" s="74" t="n"/>
      <c r="K846" s="36" t="n"/>
    </row>
    <row r="847">
      <c r="A847" s="118">
        <f>IF($B847="","",COUNT($B$5:$B847))</f>
        <v/>
      </c>
      <c r="B847" s="80" t="n"/>
      <c r="C847" s="130">
        <f>IF($B847="","",CHOOSE(WEEKDAY($B847),"일","월","화","수","목","금","토"))</f>
        <v/>
      </c>
      <c r="D847" s="74" t="n"/>
      <c r="E847" s="130">
        <f>IF($D847="","",IFERROR(INDEX(코드설정!$D$5:$D$24,MATCH($D847,코드설정!$C$5:$C$24,0)),""))</f>
        <v/>
      </c>
      <c r="F847" s="74" t="n"/>
      <c r="G847" s="74" t="n"/>
      <c r="H847" s="36" t="n"/>
      <c r="I847" s="36" t="n"/>
      <c r="J847" s="74" t="n"/>
      <c r="K847" s="36" t="n"/>
    </row>
    <row r="848">
      <c r="A848" s="118">
        <f>IF($B848="","",COUNT($B$5:$B848))</f>
        <v/>
      </c>
      <c r="B848" s="80" t="n"/>
      <c r="C848" s="130">
        <f>IF($B848="","",CHOOSE(WEEKDAY($B848),"일","월","화","수","목","금","토"))</f>
        <v/>
      </c>
      <c r="D848" s="74" t="n"/>
      <c r="E848" s="130">
        <f>IF($D848="","",IFERROR(INDEX(코드설정!$D$5:$D$24,MATCH($D848,코드설정!$C$5:$C$24,0)),""))</f>
        <v/>
      </c>
      <c r="F848" s="74" t="n"/>
      <c r="G848" s="74" t="n"/>
      <c r="H848" s="36" t="n"/>
      <c r="I848" s="36" t="n"/>
      <c r="J848" s="74" t="n"/>
      <c r="K848" s="36" t="n"/>
    </row>
    <row r="849">
      <c r="A849" s="118">
        <f>IF($B849="","",COUNT($B$5:$B849))</f>
        <v/>
      </c>
      <c r="B849" s="80" t="n"/>
      <c r="C849" s="130">
        <f>IF($B849="","",CHOOSE(WEEKDAY($B849),"일","월","화","수","목","금","토"))</f>
        <v/>
      </c>
      <c r="D849" s="74" t="n"/>
      <c r="E849" s="130">
        <f>IF($D849="","",IFERROR(INDEX(코드설정!$D$5:$D$24,MATCH($D849,코드설정!$C$5:$C$24,0)),""))</f>
        <v/>
      </c>
      <c r="F849" s="74" t="n"/>
      <c r="G849" s="74" t="n"/>
      <c r="H849" s="36" t="n"/>
      <c r="I849" s="36" t="n"/>
      <c r="J849" s="74" t="n"/>
      <c r="K849" s="36" t="n"/>
    </row>
    <row r="850">
      <c r="A850" s="118">
        <f>IF($B850="","",COUNT($B$5:$B850))</f>
        <v/>
      </c>
      <c r="B850" s="80" t="n"/>
      <c r="C850" s="130">
        <f>IF($B850="","",CHOOSE(WEEKDAY($B850),"일","월","화","수","목","금","토"))</f>
        <v/>
      </c>
      <c r="D850" s="74" t="n"/>
      <c r="E850" s="130">
        <f>IF($D850="","",IFERROR(INDEX(코드설정!$D$5:$D$24,MATCH($D850,코드설정!$C$5:$C$24,0)),""))</f>
        <v/>
      </c>
      <c r="F850" s="74" t="n"/>
      <c r="G850" s="74" t="n"/>
      <c r="H850" s="36" t="n"/>
      <c r="I850" s="36" t="n"/>
      <c r="J850" s="74" t="n"/>
      <c r="K850" s="36" t="n"/>
    </row>
    <row r="851">
      <c r="A851" s="118">
        <f>IF($B851="","",COUNT($B$5:$B851))</f>
        <v/>
      </c>
      <c r="B851" s="80" t="n"/>
      <c r="C851" s="130">
        <f>IF($B851="","",CHOOSE(WEEKDAY($B851),"일","월","화","수","목","금","토"))</f>
        <v/>
      </c>
      <c r="D851" s="74" t="n"/>
      <c r="E851" s="130">
        <f>IF($D851="","",IFERROR(INDEX(코드설정!$D$5:$D$24,MATCH($D851,코드설정!$C$5:$C$24,0)),""))</f>
        <v/>
      </c>
      <c r="F851" s="74" t="n"/>
      <c r="G851" s="74" t="n"/>
      <c r="H851" s="36" t="n"/>
      <c r="I851" s="36" t="n"/>
      <c r="J851" s="74" t="n"/>
      <c r="K851" s="36" t="n"/>
    </row>
    <row r="852">
      <c r="A852" s="118">
        <f>IF($B852="","",COUNT($B$5:$B852))</f>
        <v/>
      </c>
      <c r="B852" s="80" t="n"/>
      <c r="C852" s="130">
        <f>IF($B852="","",CHOOSE(WEEKDAY($B852),"일","월","화","수","목","금","토"))</f>
        <v/>
      </c>
      <c r="D852" s="74" t="n"/>
      <c r="E852" s="130">
        <f>IF($D852="","",IFERROR(INDEX(코드설정!$D$5:$D$24,MATCH($D852,코드설정!$C$5:$C$24,0)),""))</f>
        <v/>
      </c>
      <c r="F852" s="74" t="n"/>
      <c r="G852" s="74" t="n"/>
      <c r="H852" s="36" t="n"/>
      <c r="I852" s="36" t="n"/>
      <c r="J852" s="74" t="n"/>
      <c r="K852" s="36" t="n"/>
    </row>
    <row r="853">
      <c r="A853" s="118">
        <f>IF($B853="","",COUNT($B$5:$B853))</f>
        <v/>
      </c>
      <c r="B853" s="80" t="n"/>
      <c r="C853" s="130">
        <f>IF($B853="","",CHOOSE(WEEKDAY($B853),"일","월","화","수","목","금","토"))</f>
        <v/>
      </c>
      <c r="D853" s="74" t="n"/>
      <c r="E853" s="130">
        <f>IF($D853="","",IFERROR(INDEX(코드설정!$D$5:$D$24,MATCH($D853,코드설정!$C$5:$C$24,0)),""))</f>
        <v/>
      </c>
      <c r="F853" s="74" t="n"/>
      <c r="G853" s="74" t="n"/>
      <c r="H853" s="36" t="n"/>
      <c r="I853" s="36" t="n"/>
      <c r="J853" s="74" t="n"/>
      <c r="K853" s="36" t="n"/>
    </row>
    <row r="854">
      <c r="A854" s="118">
        <f>IF($B854="","",COUNT($B$5:$B854))</f>
        <v/>
      </c>
      <c r="B854" s="80" t="n"/>
      <c r="C854" s="130">
        <f>IF($B854="","",CHOOSE(WEEKDAY($B854),"일","월","화","수","목","금","토"))</f>
        <v/>
      </c>
      <c r="D854" s="74" t="n"/>
      <c r="E854" s="130">
        <f>IF($D854="","",IFERROR(INDEX(코드설정!$D$5:$D$24,MATCH($D854,코드설정!$C$5:$C$24,0)),""))</f>
        <v/>
      </c>
      <c r="F854" s="74" t="n"/>
      <c r="G854" s="74" t="n"/>
      <c r="H854" s="36" t="n"/>
      <c r="I854" s="36" t="n"/>
      <c r="J854" s="74" t="n"/>
      <c r="K854" s="36" t="n"/>
    </row>
    <row r="855">
      <c r="A855" s="118">
        <f>IF($B855="","",COUNT($B$5:$B855))</f>
        <v/>
      </c>
      <c r="B855" s="80" t="n"/>
      <c r="C855" s="130">
        <f>IF($B855="","",CHOOSE(WEEKDAY($B855),"일","월","화","수","목","금","토"))</f>
        <v/>
      </c>
      <c r="D855" s="74" t="n"/>
      <c r="E855" s="130">
        <f>IF($D855="","",IFERROR(INDEX(코드설정!$D$5:$D$24,MATCH($D855,코드설정!$C$5:$C$24,0)),""))</f>
        <v/>
      </c>
      <c r="F855" s="74" t="n"/>
      <c r="G855" s="74" t="n"/>
      <c r="H855" s="36" t="n"/>
      <c r="I855" s="36" t="n"/>
      <c r="J855" s="74" t="n"/>
      <c r="K855" s="36" t="n"/>
    </row>
    <row r="856">
      <c r="A856" s="118">
        <f>IF($B856="","",COUNT($B$5:$B856))</f>
        <v/>
      </c>
      <c r="B856" s="80" t="n"/>
      <c r="C856" s="130">
        <f>IF($B856="","",CHOOSE(WEEKDAY($B856),"일","월","화","수","목","금","토"))</f>
        <v/>
      </c>
      <c r="D856" s="74" t="n"/>
      <c r="E856" s="130">
        <f>IF($D856="","",IFERROR(INDEX(코드설정!$D$5:$D$24,MATCH($D856,코드설정!$C$5:$C$24,0)),""))</f>
        <v/>
      </c>
      <c r="F856" s="74" t="n"/>
      <c r="G856" s="74" t="n"/>
      <c r="H856" s="36" t="n"/>
      <c r="I856" s="36" t="n"/>
      <c r="J856" s="74" t="n"/>
      <c r="K856" s="36" t="n"/>
    </row>
    <row r="857">
      <c r="A857" s="118">
        <f>IF($B857="","",COUNT($B$5:$B857))</f>
        <v/>
      </c>
      <c r="B857" s="80" t="n"/>
      <c r="C857" s="130">
        <f>IF($B857="","",CHOOSE(WEEKDAY($B857),"일","월","화","수","목","금","토"))</f>
        <v/>
      </c>
      <c r="D857" s="74" t="n"/>
      <c r="E857" s="130">
        <f>IF($D857="","",IFERROR(INDEX(코드설정!$D$5:$D$24,MATCH($D857,코드설정!$C$5:$C$24,0)),""))</f>
        <v/>
      </c>
      <c r="F857" s="74" t="n"/>
      <c r="G857" s="74" t="n"/>
      <c r="H857" s="36" t="n"/>
      <c r="I857" s="36" t="n"/>
      <c r="J857" s="74" t="n"/>
      <c r="K857" s="36" t="n"/>
    </row>
    <row r="858">
      <c r="A858" s="118">
        <f>IF($B858="","",COUNT($B$5:$B858))</f>
        <v/>
      </c>
      <c r="B858" s="80" t="n"/>
      <c r="C858" s="130">
        <f>IF($B858="","",CHOOSE(WEEKDAY($B858),"일","월","화","수","목","금","토"))</f>
        <v/>
      </c>
      <c r="D858" s="74" t="n"/>
      <c r="E858" s="130">
        <f>IF($D858="","",IFERROR(INDEX(코드설정!$D$5:$D$24,MATCH($D858,코드설정!$C$5:$C$24,0)),""))</f>
        <v/>
      </c>
      <c r="F858" s="74" t="n"/>
      <c r="G858" s="74" t="n"/>
      <c r="H858" s="36" t="n"/>
      <c r="I858" s="36" t="n"/>
      <c r="J858" s="74" t="n"/>
      <c r="K858" s="36" t="n"/>
    </row>
    <row r="859">
      <c r="A859" s="118">
        <f>IF($B859="","",COUNT($B$5:$B859))</f>
        <v/>
      </c>
      <c r="B859" s="80" t="n"/>
      <c r="C859" s="130">
        <f>IF($B859="","",CHOOSE(WEEKDAY($B859),"일","월","화","수","목","금","토"))</f>
        <v/>
      </c>
      <c r="D859" s="74" t="n"/>
      <c r="E859" s="130">
        <f>IF($D859="","",IFERROR(INDEX(코드설정!$D$5:$D$24,MATCH($D859,코드설정!$C$5:$C$24,0)),""))</f>
        <v/>
      </c>
      <c r="F859" s="74" t="n"/>
      <c r="G859" s="74" t="n"/>
      <c r="H859" s="36" t="n"/>
      <c r="I859" s="36" t="n"/>
      <c r="J859" s="74" t="n"/>
      <c r="K859" s="36" t="n"/>
    </row>
    <row r="860">
      <c r="A860" s="118">
        <f>IF($B860="","",COUNT($B$5:$B860))</f>
        <v/>
      </c>
      <c r="B860" s="80" t="n"/>
      <c r="C860" s="130">
        <f>IF($B860="","",CHOOSE(WEEKDAY($B860),"일","월","화","수","목","금","토"))</f>
        <v/>
      </c>
      <c r="D860" s="74" t="n"/>
      <c r="E860" s="130">
        <f>IF($D860="","",IFERROR(INDEX(코드설정!$D$5:$D$24,MATCH($D860,코드설정!$C$5:$C$24,0)),""))</f>
        <v/>
      </c>
      <c r="F860" s="74" t="n"/>
      <c r="G860" s="74" t="n"/>
      <c r="H860" s="36" t="n"/>
      <c r="I860" s="36" t="n"/>
      <c r="J860" s="74" t="n"/>
      <c r="K860" s="36" t="n"/>
    </row>
    <row r="861">
      <c r="A861" s="118">
        <f>IF($B861="","",COUNT($B$5:$B861))</f>
        <v/>
      </c>
      <c r="B861" s="80" t="n"/>
      <c r="C861" s="130">
        <f>IF($B861="","",CHOOSE(WEEKDAY($B861),"일","월","화","수","목","금","토"))</f>
        <v/>
      </c>
      <c r="D861" s="74" t="n"/>
      <c r="E861" s="130">
        <f>IF($D861="","",IFERROR(INDEX(코드설정!$D$5:$D$24,MATCH($D861,코드설정!$C$5:$C$24,0)),""))</f>
        <v/>
      </c>
      <c r="F861" s="74" t="n"/>
      <c r="G861" s="74" t="n"/>
      <c r="H861" s="36" t="n"/>
      <c r="I861" s="36" t="n"/>
      <c r="J861" s="74" t="n"/>
      <c r="K861" s="36" t="n"/>
    </row>
    <row r="862">
      <c r="A862" s="118">
        <f>IF($B862="","",COUNT($B$5:$B862))</f>
        <v/>
      </c>
      <c r="B862" s="80" t="n"/>
      <c r="C862" s="130">
        <f>IF($B862="","",CHOOSE(WEEKDAY($B862),"일","월","화","수","목","금","토"))</f>
        <v/>
      </c>
      <c r="D862" s="74" t="n"/>
      <c r="E862" s="130">
        <f>IF($D862="","",IFERROR(INDEX(코드설정!$D$5:$D$24,MATCH($D862,코드설정!$C$5:$C$24,0)),""))</f>
        <v/>
      </c>
      <c r="F862" s="74" t="n"/>
      <c r="G862" s="74" t="n"/>
      <c r="H862" s="36" t="n"/>
      <c r="I862" s="36" t="n"/>
      <c r="J862" s="74" t="n"/>
      <c r="K862" s="36" t="n"/>
    </row>
    <row r="863">
      <c r="A863" s="118">
        <f>IF($B863="","",COUNT($B$5:$B863))</f>
        <v/>
      </c>
      <c r="B863" s="80" t="n"/>
      <c r="C863" s="130">
        <f>IF($B863="","",CHOOSE(WEEKDAY($B863),"일","월","화","수","목","금","토"))</f>
        <v/>
      </c>
      <c r="D863" s="74" t="n"/>
      <c r="E863" s="130">
        <f>IF($D863="","",IFERROR(INDEX(코드설정!$D$5:$D$24,MATCH($D863,코드설정!$C$5:$C$24,0)),""))</f>
        <v/>
      </c>
      <c r="F863" s="74" t="n"/>
      <c r="G863" s="74" t="n"/>
      <c r="H863" s="36" t="n"/>
      <c r="I863" s="36" t="n"/>
      <c r="J863" s="74" t="n"/>
      <c r="K863" s="36" t="n"/>
    </row>
    <row r="864">
      <c r="A864" s="118">
        <f>IF($B864="","",COUNT($B$5:$B864))</f>
        <v/>
      </c>
      <c r="B864" s="80" t="n"/>
      <c r="C864" s="130">
        <f>IF($B864="","",CHOOSE(WEEKDAY($B864),"일","월","화","수","목","금","토"))</f>
        <v/>
      </c>
      <c r="D864" s="74" t="n"/>
      <c r="E864" s="130">
        <f>IF($D864="","",IFERROR(INDEX(코드설정!$D$5:$D$24,MATCH($D864,코드설정!$C$5:$C$24,0)),""))</f>
        <v/>
      </c>
      <c r="F864" s="74" t="n"/>
      <c r="G864" s="74" t="n"/>
      <c r="H864" s="36" t="n"/>
      <c r="I864" s="36" t="n"/>
      <c r="J864" s="74" t="n"/>
      <c r="K864" s="36" t="n"/>
    </row>
    <row r="865">
      <c r="A865" s="118">
        <f>IF($B865="","",COUNT($B$5:$B865))</f>
        <v/>
      </c>
      <c r="B865" s="80" t="n"/>
      <c r="C865" s="130">
        <f>IF($B865="","",CHOOSE(WEEKDAY($B865),"일","월","화","수","목","금","토"))</f>
        <v/>
      </c>
      <c r="D865" s="74" t="n"/>
      <c r="E865" s="130">
        <f>IF($D865="","",IFERROR(INDEX(코드설정!$D$5:$D$24,MATCH($D865,코드설정!$C$5:$C$24,0)),""))</f>
        <v/>
      </c>
      <c r="F865" s="74" t="n"/>
      <c r="G865" s="74" t="n"/>
      <c r="H865" s="36" t="n"/>
      <c r="I865" s="36" t="n"/>
      <c r="J865" s="74" t="n"/>
      <c r="K865" s="36" t="n"/>
    </row>
    <row r="866">
      <c r="A866" s="118">
        <f>IF($B866="","",COUNT($B$5:$B866))</f>
        <v/>
      </c>
      <c r="B866" s="80" t="n"/>
      <c r="C866" s="130">
        <f>IF($B866="","",CHOOSE(WEEKDAY($B866),"일","월","화","수","목","금","토"))</f>
        <v/>
      </c>
      <c r="D866" s="74" t="n"/>
      <c r="E866" s="130">
        <f>IF($D866="","",IFERROR(INDEX(코드설정!$D$5:$D$24,MATCH($D866,코드설정!$C$5:$C$24,0)),""))</f>
        <v/>
      </c>
      <c r="F866" s="74" t="n"/>
      <c r="G866" s="74" t="n"/>
      <c r="H866" s="36" t="n"/>
      <c r="I866" s="36" t="n"/>
      <c r="J866" s="74" t="n"/>
      <c r="K866" s="36" t="n"/>
    </row>
    <row r="867">
      <c r="A867" s="118">
        <f>IF($B867="","",COUNT($B$5:$B867))</f>
        <v/>
      </c>
      <c r="B867" s="80" t="n"/>
      <c r="C867" s="130">
        <f>IF($B867="","",CHOOSE(WEEKDAY($B867),"일","월","화","수","목","금","토"))</f>
        <v/>
      </c>
      <c r="D867" s="74" t="n"/>
      <c r="E867" s="130">
        <f>IF($D867="","",IFERROR(INDEX(코드설정!$D$5:$D$24,MATCH($D867,코드설정!$C$5:$C$24,0)),""))</f>
        <v/>
      </c>
      <c r="F867" s="74" t="n"/>
      <c r="G867" s="74" t="n"/>
      <c r="H867" s="36" t="n"/>
      <c r="I867" s="36" t="n"/>
      <c r="J867" s="74" t="n"/>
      <c r="K867" s="36" t="n"/>
    </row>
    <row r="868">
      <c r="A868" s="118">
        <f>IF($B868="","",COUNT($B$5:$B868))</f>
        <v/>
      </c>
      <c r="B868" s="80" t="n"/>
      <c r="C868" s="130">
        <f>IF($B868="","",CHOOSE(WEEKDAY($B868),"일","월","화","수","목","금","토"))</f>
        <v/>
      </c>
      <c r="D868" s="74" t="n"/>
      <c r="E868" s="130">
        <f>IF($D868="","",IFERROR(INDEX(코드설정!$D$5:$D$24,MATCH($D868,코드설정!$C$5:$C$24,0)),""))</f>
        <v/>
      </c>
      <c r="F868" s="74" t="n"/>
      <c r="G868" s="74" t="n"/>
      <c r="H868" s="36" t="n"/>
      <c r="I868" s="36" t="n"/>
      <c r="J868" s="74" t="n"/>
      <c r="K868" s="36" t="n"/>
    </row>
    <row r="869">
      <c r="A869" s="118">
        <f>IF($B869="","",COUNT($B$5:$B869))</f>
        <v/>
      </c>
      <c r="B869" s="80" t="n"/>
      <c r="C869" s="130">
        <f>IF($B869="","",CHOOSE(WEEKDAY($B869),"일","월","화","수","목","금","토"))</f>
        <v/>
      </c>
      <c r="D869" s="74" t="n"/>
      <c r="E869" s="130">
        <f>IF($D869="","",IFERROR(INDEX(코드설정!$D$5:$D$24,MATCH($D869,코드설정!$C$5:$C$24,0)),""))</f>
        <v/>
      </c>
      <c r="F869" s="74" t="n"/>
      <c r="G869" s="74" t="n"/>
      <c r="H869" s="36" t="n"/>
      <c r="I869" s="36" t="n"/>
      <c r="J869" s="74" t="n"/>
      <c r="K869" s="36" t="n"/>
    </row>
    <row r="870">
      <c r="A870" s="118">
        <f>IF($B870="","",COUNT($B$5:$B870))</f>
        <v/>
      </c>
      <c r="B870" s="80" t="n"/>
      <c r="C870" s="130">
        <f>IF($B870="","",CHOOSE(WEEKDAY($B870),"일","월","화","수","목","금","토"))</f>
        <v/>
      </c>
      <c r="D870" s="74" t="n"/>
      <c r="E870" s="130">
        <f>IF($D870="","",IFERROR(INDEX(코드설정!$D$5:$D$24,MATCH($D870,코드설정!$C$5:$C$24,0)),""))</f>
        <v/>
      </c>
      <c r="F870" s="74" t="n"/>
      <c r="G870" s="74" t="n"/>
      <c r="H870" s="36" t="n"/>
      <c r="I870" s="36" t="n"/>
      <c r="J870" s="74" t="n"/>
      <c r="K870" s="36" t="n"/>
    </row>
    <row r="871">
      <c r="A871" s="118">
        <f>IF($B871="","",COUNT($B$5:$B871))</f>
        <v/>
      </c>
      <c r="B871" s="80" t="n"/>
      <c r="C871" s="130">
        <f>IF($B871="","",CHOOSE(WEEKDAY($B871),"일","월","화","수","목","금","토"))</f>
        <v/>
      </c>
      <c r="D871" s="74" t="n"/>
      <c r="E871" s="130">
        <f>IF($D871="","",IFERROR(INDEX(코드설정!$D$5:$D$24,MATCH($D871,코드설정!$C$5:$C$24,0)),""))</f>
        <v/>
      </c>
      <c r="F871" s="74" t="n"/>
      <c r="G871" s="74" t="n"/>
      <c r="H871" s="36" t="n"/>
      <c r="I871" s="36" t="n"/>
      <c r="J871" s="74" t="n"/>
      <c r="K871" s="36" t="n"/>
    </row>
    <row r="872">
      <c r="A872" s="118">
        <f>IF($B872="","",COUNT($B$5:$B872))</f>
        <v/>
      </c>
      <c r="B872" s="80" t="n"/>
      <c r="C872" s="130">
        <f>IF($B872="","",CHOOSE(WEEKDAY($B872),"일","월","화","수","목","금","토"))</f>
        <v/>
      </c>
      <c r="D872" s="74" t="n"/>
      <c r="E872" s="130">
        <f>IF($D872="","",IFERROR(INDEX(코드설정!$D$5:$D$24,MATCH($D872,코드설정!$C$5:$C$24,0)),""))</f>
        <v/>
      </c>
      <c r="F872" s="74" t="n"/>
      <c r="G872" s="74" t="n"/>
      <c r="H872" s="36" t="n"/>
      <c r="I872" s="36" t="n"/>
      <c r="J872" s="74" t="n"/>
      <c r="K872" s="36" t="n"/>
    </row>
    <row r="873">
      <c r="A873" s="118">
        <f>IF($B873="","",COUNT($B$5:$B873))</f>
        <v/>
      </c>
      <c r="B873" s="80" t="n"/>
      <c r="C873" s="130">
        <f>IF($B873="","",CHOOSE(WEEKDAY($B873),"일","월","화","수","목","금","토"))</f>
        <v/>
      </c>
      <c r="D873" s="74" t="n"/>
      <c r="E873" s="130">
        <f>IF($D873="","",IFERROR(INDEX(코드설정!$D$5:$D$24,MATCH($D873,코드설정!$C$5:$C$24,0)),""))</f>
        <v/>
      </c>
      <c r="F873" s="74" t="n"/>
      <c r="G873" s="74" t="n"/>
      <c r="H873" s="36" t="n"/>
      <c r="I873" s="36" t="n"/>
      <c r="J873" s="74" t="n"/>
      <c r="K873" s="36" t="n"/>
    </row>
    <row r="874">
      <c r="A874" s="118">
        <f>IF($B874="","",COUNT($B$5:$B874))</f>
        <v/>
      </c>
      <c r="B874" s="80" t="n"/>
      <c r="C874" s="130">
        <f>IF($B874="","",CHOOSE(WEEKDAY($B874),"일","월","화","수","목","금","토"))</f>
        <v/>
      </c>
      <c r="D874" s="74" t="n"/>
      <c r="E874" s="130">
        <f>IF($D874="","",IFERROR(INDEX(코드설정!$D$5:$D$24,MATCH($D874,코드설정!$C$5:$C$24,0)),""))</f>
        <v/>
      </c>
      <c r="F874" s="74" t="n"/>
      <c r="G874" s="74" t="n"/>
      <c r="H874" s="36" t="n"/>
      <c r="I874" s="36" t="n"/>
      <c r="J874" s="74" t="n"/>
      <c r="K874" s="36" t="n"/>
    </row>
    <row r="875">
      <c r="A875" s="118">
        <f>IF($B875="","",COUNT($B$5:$B875))</f>
        <v/>
      </c>
      <c r="B875" s="80" t="n"/>
      <c r="C875" s="130">
        <f>IF($B875="","",CHOOSE(WEEKDAY($B875),"일","월","화","수","목","금","토"))</f>
        <v/>
      </c>
      <c r="D875" s="74" t="n"/>
      <c r="E875" s="130">
        <f>IF($D875="","",IFERROR(INDEX(코드설정!$D$5:$D$24,MATCH($D875,코드설정!$C$5:$C$24,0)),""))</f>
        <v/>
      </c>
      <c r="F875" s="74" t="n"/>
      <c r="G875" s="74" t="n"/>
      <c r="H875" s="36" t="n"/>
      <c r="I875" s="36" t="n"/>
      <c r="J875" s="74" t="n"/>
      <c r="K875" s="36" t="n"/>
    </row>
    <row r="876">
      <c r="A876" s="118">
        <f>IF($B876="","",COUNT($B$5:$B876))</f>
        <v/>
      </c>
      <c r="B876" s="80" t="n"/>
      <c r="C876" s="130">
        <f>IF($B876="","",CHOOSE(WEEKDAY($B876),"일","월","화","수","목","금","토"))</f>
        <v/>
      </c>
      <c r="D876" s="74" t="n"/>
      <c r="E876" s="130">
        <f>IF($D876="","",IFERROR(INDEX(코드설정!$D$5:$D$24,MATCH($D876,코드설정!$C$5:$C$24,0)),""))</f>
        <v/>
      </c>
      <c r="F876" s="74" t="n"/>
      <c r="G876" s="74" t="n"/>
      <c r="H876" s="36" t="n"/>
      <c r="I876" s="36" t="n"/>
      <c r="J876" s="74" t="n"/>
      <c r="K876" s="36" t="n"/>
    </row>
    <row r="877">
      <c r="A877" s="118">
        <f>IF($B877="","",COUNT($B$5:$B877))</f>
        <v/>
      </c>
      <c r="B877" s="80" t="n"/>
      <c r="C877" s="130">
        <f>IF($B877="","",CHOOSE(WEEKDAY($B877),"일","월","화","수","목","금","토"))</f>
        <v/>
      </c>
      <c r="D877" s="74" t="n"/>
      <c r="E877" s="130">
        <f>IF($D877="","",IFERROR(INDEX(코드설정!$D$5:$D$24,MATCH($D877,코드설정!$C$5:$C$24,0)),""))</f>
        <v/>
      </c>
      <c r="F877" s="74" t="n"/>
      <c r="G877" s="74" t="n"/>
      <c r="H877" s="36" t="n"/>
      <c r="I877" s="36" t="n"/>
      <c r="J877" s="74" t="n"/>
      <c r="K877" s="36" t="n"/>
    </row>
    <row r="878">
      <c r="A878" s="118">
        <f>IF($B878="","",COUNT($B$5:$B878))</f>
        <v/>
      </c>
      <c r="B878" s="80" t="n"/>
      <c r="C878" s="130">
        <f>IF($B878="","",CHOOSE(WEEKDAY($B878),"일","월","화","수","목","금","토"))</f>
        <v/>
      </c>
      <c r="D878" s="74" t="n"/>
      <c r="E878" s="130">
        <f>IF($D878="","",IFERROR(INDEX(코드설정!$D$5:$D$24,MATCH($D878,코드설정!$C$5:$C$24,0)),""))</f>
        <v/>
      </c>
      <c r="F878" s="74" t="n"/>
      <c r="G878" s="74" t="n"/>
      <c r="H878" s="36" t="n"/>
      <c r="I878" s="36" t="n"/>
      <c r="J878" s="74" t="n"/>
      <c r="K878" s="36" t="n"/>
    </row>
    <row r="879">
      <c r="A879" s="118">
        <f>IF($B879="","",COUNT($B$5:$B879))</f>
        <v/>
      </c>
      <c r="B879" s="80" t="n"/>
      <c r="C879" s="130">
        <f>IF($B879="","",CHOOSE(WEEKDAY($B879),"일","월","화","수","목","금","토"))</f>
        <v/>
      </c>
      <c r="D879" s="74" t="n"/>
      <c r="E879" s="130">
        <f>IF($D879="","",IFERROR(INDEX(코드설정!$D$5:$D$24,MATCH($D879,코드설정!$C$5:$C$24,0)),""))</f>
        <v/>
      </c>
      <c r="F879" s="74" t="n"/>
      <c r="G879" s="74" t="n"/>
      <c r="H879" s="36" t="n"/>
      <c r="I879" s="36" t="n"/>
      <c r="J879" s="74" t="n"/>
      <c r="K879" s="36" t="n"/>
    </row>
    <row r="880">
      <c r="A880" s="118">
        <f>IF($B880="","",COUNT($B$5:$B880))</f>
        <v/>
      </c>
      <c r="B880" s="80" t="n"/>
      <c r="C880" s="130">
        <f>IF($B880="","",CHOOSE(WEEKDAY($B880),"일","월","화","수","목","금","토"))</f>
        <v/>
      </c>
      <c r="D880" s="74" t="n"/>
      <c r="E880" s="130">
        <f>IF($D880="","",IFERROR(INDEX(코드설정!$D$5:$D$24,MATCH($D880,코드설정!$C$5:$C$24,0)),""))</f>
        <v/>
      </c>
      <c r="F880" s="74" t="n"/>
      <c r="G880" s="74" t="n"/>
      <c r="H880" s="36" t="n"/>
      <c r="I880" s="36" t="n"/>
      <c r="J880" s="74" t="n"/>
      <c r="K880" s="36" t="n"/>
    </row>
    <row r="881">
      <c r="A881" s="118">
        <f>IF($B881="","",COUNT($B$5:$B881))</f>
        <v/>
      </c>
      <c r="B881" s="80" t="n"/>
      <c r="C881" s="130">
        <f>IF($B881="","",CHOOSE(WEEKDAY($B881),"일","월","화","수","목","금","토"))</f>
        <v/>
      </c>
      <c r="D881" s="74" t="n"/>
      <c r="E881" s="130">
        <f>IF($D881="","",IFERROR(INDEX(코드설정!$D$5:$D$24,MATCH($D881,코드설정!$C$5:$C$24,0)),""))</f>
        <v/>
      </c>
      <c r="F881" s="74" t="n"/>
      <c r="G881" s="74" t="n"/>
      <c r="H881" s="36" t="n"/>
      <c r="I881" s="36" t="n"/>
      <c r="J881" s="74" t="n"/>
      <c r="K881" s="36" t="n"/>
    </row>
    <row r="882">
      <c r="A882" s="118">
        <f>IF($B882="","",COUNT($B$5:$B882))</f>
        <v/>
      </c>
      <c r="B882" s="80" t="n"/>
      <c r="C882" s="130">
        <f>IF($B882="","",CHOOSE(WEEKDAY($B882),"일","월","화","수","목","금","토"))</f>
        <v/>
      </c>
      <c r="D882" s="74" t="n"/>
      <c r="E882" s="130">
        <f>IF($D882="","",IFERROR(INDEX(코드설정!$D$5:$D$24,MATCH($D882,코드설정!$C$5:$C$24,0)),""))</f>
        <v/>
      </c>
      <c r="F882" s="74" t="n"/>
      <c r="G882" s="74" t="n"/>
      <c r="H882" s="36" t="n"/>
      <c r="I882" s="36" t="n"/>
      <c r="J882" s="74" t="n"/>
      <c r="K882" s="36" t="n"/>
    </row>
    <row r="883">
      <c r="A883" s="118">
        <f>IF($B883="","",COUNT($B$5:$B883))</f>
        <v/>
      </c>
      <c r="B883" s="80" t="n"/>
      <c r="C883" s="130">
        <f>IF($B883="","",CHOOSE(WEEKDAY($B883),"일","월","화","수","목","금","토"))</f>
        <v/>
      </c>
      <c r="D883" s="74" t="n"/>
      <c r="E883" s="130">
        <f>IF($D883="","",IFERROR(INDEX(코드설정!$D$5:$D$24,MATCH($D883,코드설정!$C$5:$C$24,0)),""))</f>
        <v/>
      </c>
      <c r="F883" s="74" t="n"/>
      <c r="G883" s="74" t="n"/>
      <c r="H883" s="36" t="n"/>
      <c r="I883" s="36" t="n"/>
      <c r="J883" s="74" t="n"/>
      <c r="K883" s="36" t="n"/>
    </row>
    <row r="884">
      <c r="A884" s="118">
        <f>IF($B884="","",COUNT($B$5:$B884))</f>
        <v/>
      </c>
      <c r="B884" s="80" t="n"/>
      <c r="C884" s="130">
        <f>IF($B884="","",CHOOSE(WEEKDAY($B884),"일","월","화","수","목","금","토"))</f>
        <v/>
      </c>
      <c r="D884" s="74" t="n"/>
      <c r="E884" s="130">
        <f>IF($D884="","",IFERROR(INDEX(코드설정!$D$5:$D$24,MATCH($D884,코드설정!$C$5:$C$24,0)),""))</f>
        <v/>
      </c>
      <c r="F884" s="74" t="n"/>
      <c r="G884" s="74" t="n"/>
      <c r="H884" s="36" t="n"/>
      <c r="I884" s="36" t="n"/>
      <c r="J884" s="74" t="n"/>
      <c r="K884" s="36" t="n"/>
    </row>
    <row r="885">
      <c r="A885" s="118">
        <f>IF($B885="","",COUNT($B$5:$B885))</f>
        <v/>
      </c>
      <c r="B885" s="80" t="n"/>
      <c r="C885" s="130">
        <f>IF($B885="","",CHOOSE(WEEKDAY($B885),"일","월","화","수","목","금","토"))</f>
        <v/>
      </c>
      <c r="D885" s="74" t="n"/>
      <c r="E885" s="130">
        <f>IF($D885="","",IFERROR(INDEX(코드설정!$D$5:$D$24,MATCH($D885,코드설정!$C$5:$C$24,0)),""))</f>
        <v/>
      </c>
      <c r="F885" s="74" t="n"/>
      <c r="G885" s="74" t="n"/>
      <c r="H885" s="36" t="n"/>
      <c r="I885" s="36" t="n"/>
      <c r="J885" s="74" t="n"/>
      <c r="K885" s="36" t="n"/>
    </row>
    <row r="886">
      <c r="A886" s="118">
        <f>IF($B886="","",COUNT($B$5:$B886))</f>
        <v/>
      </c>
      <c r="B886" s="80" t="n"/>
      <c r="C886" s="130">
        <f>IF($B886="","",CHOOSE(WEEKDAY($B886),"일","월","화","수","목","금","토"))</f>
        <v/>
      </c>
      <c r="D886" s="74" t="n"/>
      <c r="E886" s="130">
        <f>IF($D886="","",IFERROR(INDEX(코드설정!$D$5:$D$24,MATCH($D886,코드설정!$C$5:$C$24,0)),""))</f>
        <v/>
      </c>
      <c r="F886" s="74" t="n"/>
      <c r="G886" s="74" t="n"/>
      <c r="H886" s="36" t="n"/>
      <c r="I886" s="36" t="n"/>
      <c r="J886" s="74" t="n"/>
      <c r="K886" s="36" t="n"/>
    </row>
    <row r="887">
      <c r="A887" s="118">
        <f>IF($B887="","",COUNT($B$5:$B887))</f>
        <v/>
      </c>
      <c r="B887" s="80" t="n"/>
      <c r="C887" s="130">
        <f>IF($B887="","",CHOOSE(WEEKDAY($B887),"일","월","화","수","목","금","토"))</f>
        <v/>
      </c>
      <c r="D887" s="74" t="n"/>
      <c r="E887" s="130">
        <f>IF($D887="","",IFERROR(INDEX(코드설정!$D$5:$D$24,MATCH($D887,코드설정!$C$5:$C$24,0)),""))</f>
        <v/>
      </c>
      <c r="F887" s="74" t="n"/>
      <c r="G887" s="74" t="n"/>
      <c r="H887" s="36" t="n"/>
      <c r="I887" s="36" t="n"/>
      <c r="J887" s="74" t="n"/>
      <c r="K887" s="36" t="n"/>
    </row>
    <row r="888">
      <c r="A888" s="118">
        <f>IF($B888="","",COUNT($B$5:$B888))</f>
        <v/>
      </c>
      <c r="B888" s="80" t="n"/>
      <c r="C888" s="130">
        <f>IF($B888="","",CHOOSE(WEEKDAY($B888),"일","월","화","수","목","금","토"))</f>
        <v/>
      </c>
      <c r="D888" s="74" t="n"/>
      <c r="E888" s="130">
        <f>IF($D888="","",IFERROR(INDEX(코드설정!$D$5:$D$24,MATCH($D888,코드설정!$C$5:$C$24,0)),""))</f>
        <v/>
      </c>
      <c r="F888" s="74" t="n"/>
      <c r="G888" s="74" t="n"/>
      <c r="H888" s="36" t="n"/>
      <c r="I888" s="36" t="n"/>
      <c r="J888" s="74" t="n"/>
      <c r="K888" s="36" t="n"/>
    </row>
    <row r="889">
      <c r="A889" s="118">
        <f>IF($B889="","",COUNT($B$5:$B889))</f>
        <v/>
      </c>
      <c r="B889" s="80" t="n"/>
      <c r="C889" s="130">
        <f>IF($B889="","",CHOOSE(WEEKDAY($B889),"일","월","화","수","목","금","토"))</f>
        <v/>
      </c>
      <c r="D889" s="74" t="n"/>
      <c r="E889" s="130">
        <f>IF($D889="","",IFERROR(INDEX(코드설정!$D$5:$D$24,MATCH($D889,코드설정!$C$5:$C$24,0)),""))</f>
        <v/>
      </c>
      <c r="F889" s="74" t="n"/>
      <c r="G889" s="74" t="n"/>
      <c r="H889" s="36" t="n"/>
      <c r="I889" s="36" t="n"/>
      <c r="J889" s="74" t="n"/>
      <c r="K889" s="36" t="n"/>
    </row>
    <row r="890">
      <c r="A890" s="118">
        <f>IF($B890="","",COUNT($B$5:$B890))</f>
        <v/>
      </c>
      <c r="B890" s="80" t="n"/>
      <c r="C890" s="130">
        <f>IF($B890="","",CHOOSE(WEEKDAY($B890),"일","월","화","수","목","금","토"))</f>
        <v/>
      </c>
      <c r="D890" s="74" t="n"/>
      <c r="E890" s="130">
        <f>IF($D890="","",IFERROR(INDEX(코드설정!$D$5:$D$24,MATCH($D890,코드설정!$C$5:$C$24,0)),""))</f>
        <v/>
      </c>
      <c r="F890" s="74" t="n"/>
      <c r="G890" s="74" t="n"/>
      <c r="H890" s="36" t="n"/>
      <c r="I890" s="36" t="n"/>
      <c r="J890" s="74" t="n"/>
      <c r="K890" s="36" t="n"/>
    </row>
    <row r="891">
      <c r="A891" s="118">
        <f>IF($B891="","",COUNT($B$5:$B891))</f>
        <v/>
      </c>
      <c r="B891" s="80" t="n"/>
      <c r="C891" s="130">
        <f>IF($B891="","",CHOOSE(WEEKDAY($B891),"일","월","화","수","목","금","토"))</f>
        <v/>
      </c>
      <c r="D891" s="74" t="n"/>
      <c r="E891" s="130">
        <f>IF($D891="","",IFERROR(INDEX(코드설정!$D$5:$D$24,MATCH($D891,코드설정!$C$5:$C$24,0)),""))</f>
        <v/>
      </c>
      <c r="F891" s="74" t="n"/>
      <c r="G891" s="74" t="n"/>
      <c r="H891" s="36" t="n"/>
      <c r="I891" s="36" t="n"/>
      <c r="J891" s="74" t="n"/>
      <c r="K891" s="36" t="n"/>
    </row>
    <row r="892">
      <c r="A892" s="118">
        <f>IF($B892="","",COUNT($B$5:$B892))</f>
        <v/>
      </c>
      <c r="B892" s="80" t="n"/>
      <c r="C892" s="130">
        <f>IF($B892="","",CHOOSE(WEEKDAY($B892),"일","월","화","수","목","금","토"))</f>
        <v/>
      </c>
      <c r="D892" s="74" t="n"/>
      <c r="E892" s="130">
        <f>IF($D892="","",IFERROR(INDEX(코드설정!$D$5:$D$24,MATCH($D892,코드설정!$C$5:$C$24,0)),""))</f>
        <v/>
      </c>
      <c r="F892" s="74" t="n"/>
      <c r="G892" s="74" t="n"/>
      <c r="H892" s="36" t="n"/>
      <c r="I892" s="36" t="n"/>
      <c r="J892" s="74" t="n"/>
      <c r="K892" s="36" t="n"/>
    </row>
    <row r="893">
      <c r="A893" s="118">
        <f>IF($B893="","",COUNT($B$5:$B893))</f>
        <v/>
      </c>
      <c r="B893" s="80" t="n"/>
      <c r="C893" s="130">
        <f>IF($B893="","",CHOOSE(WEEKDAY($B893),"일","월","화","수","목","금","토"))</f>
        <v/>
      </c>
      <c r="D893" s="74" t="n"/>
      <c r="E893" s="130">
        <f>IF($D893="","",IFERROR(INDEX(코드설정!$D$5:$D$24,MATCH($D893,코드설정!$C$5:$C$24,0)),""))</f>
        <v/>
      </c>
      <c r="F893" s="74" t="n"/>
      <c r="G893" s="74" t="n"/>
      <c r="H893" s="36" t="n"/>
      <c r="I893" s="36" t="n"/>
      <c r="J893" s="74" t="n"/>
      <c r="K893" s="36" t="n"/>
    </row>
    <row r="894">
      <c r="A894" s="118">
        <f>IF($B894="","",COUNT($B$5:$B894))</f>
        <v/>
      </c>
      <c r="B894" s="80" t="n"/>
      <c r="C894" s="130">
        <f>IF($B894="","",CHOOSE(WEEKDAY($B894),"일","월","화","수","목","금","토"))</f>
        <v/>
      </c>
      <c r="D894" s="74" t="n"/>
      <c r="E894" s="130">
        <f>IF($D894="","",IFERROR(INDEX(코드설정!$D$5:$D$24,MATCH($D894,코드설정!$C$5:$C$24,0)),""))</f>
        <v/>
      </c>
      <c r="F894" s="74" t="n"/>
      <c r="G894" s="74" t="n"/>
      <c r="H894" s="36" t="n"/>
      <c r="I894" s="36" t="n"/>
      <c r="J894" s="74" t="n"/>
      <c r="K894" s="36" t="n"/>
    </row>
    <row r="895">
      <c r="A895" s="118">
        <f>IF($B895="","",COUNT($B$5:$B895))</f>
        <v/>
      </c>
      <c r="B895" s="80" t="n"/>
      <c r="C895" s="130">
        <f>IF($B895="","",CHOOSE(WEEKDAY($B895),"일","월","화","수","목","금","토"))</f>
        <v/>
      </c>
      <c r="D895" s="74" t="n"/>
      <c r="E895" s="130">
        <f>IF($D895="","",IFERROR(INDEX(코드설정!$D$5:$D$24,MATCH($D895,코드설정!$C$5:$C$24,0)),""))</f>
        <v/>
      </c>
      <c r="F895" s="74" t="n"/>
      <c r="G895" s="74" t="n"/>
      <c r="H895" s="36" t="n"/>
      <c r="I895" s="36" t="n"/>
      <c r="J895" s="74" t="n"/>
      <c r="K895" s="36" t="n"/>
    </row>
    <row r="896">
      <c r="A896" s="118">
        <f>IF($B896="","",COUNT($B$5:$B896))</f>
        <v/>
      </c>
      <c r="B896" s="80" t="n"/>
      <c r="C896" s="130">
        <f>IF($B896="","",CHOOSE(WEEKDAY($B896),"일","월","화","수","목","금","토"))</f>
        <v/>
      </c>
      <c r="D896" s="74" t="n"/>
      <c r="E896" s="130">
        <f>IF($D896="","",IFERROR(INDEX(코드설정!$D$5:$D$24,MATCH($D896,코드설정!$C$5:$C$24,0)),""))</f>
        <v/>
      </c>
      <c r="F896" s="74" t="n"/>
      <c r="G896" s="74" t="n"/>
      <c r="H896" s="36" t="n"/>
      <c r="I896" s="36" t="n"/>
      <c r="J896" s="74" t="n"/>
      <c r="K896" s="36" t="n"/>
    </row>
    <row r="897">
      <c r="A897" s="118">
        <f>IF($B897="","",COUNT($B$5:$B897))</f>
        <v/>
      </c>
      <c r="B897" s="80" t="n"/>
      <c r="C897" s="130">
        <f>IF($B897="","",CHOOSE(WEEKDAY($B897),"일","월","화","수","목","금","토"))</f>
        <v/>
      </c>
      <c r="D897" s="74" t="n"/>
      <c r="E897" s="130">
        <f>IF($D897="","",IFERROR(INDEX(코드설정!$D$5:$D$24,MATCH($D897,코드설정!$C$5:$C$24,0)),""))</f>
        <v/>
      </c>
      <c r="F897" s="74" t="n"/>
      <c r="G897" s="74" t="n"/>
      <c r="H897" s="36" t="n"/>
      <c r="I897" s="36" t="n"/>
      <c r="J897" s="74" t="n"/>
      <c r="K897" s="36" t="n"/>
    </row>
    <row r="898">
      <c r="A898" s="118">
        <f>IF($B898="","",COUNT($B$5:$B898))</f>
        <v/>
      </c>
      <c r="B898" s="80" t="n"/>
      <c r="C898" s="130">
        <f>IF($B898="","",CHOOSE(WEEKDAY($B898),"일","월","화","수","목","금","토"))</f>
        <v/>
      </c>
      <c r="D898" s="74" t="n"/>
      <c r="E898" s="130">
        <f>IF($D898="","",IFERROR(INDEX(코드설정!$D$5:$D$24,MATCH($D898,코드설정!$C$5:$C$24,0)),""))</f>
        <v/>
      </c>
      <c r="F898" s="74" t="n"/>
      <c r="G898" s="74" t="n"/>
      <c r="H898" s="36" t="n"/>
      <c r="I898" s="36" t="n"/>
      <c r="J898" s="74" t="n"/>
      <c r="K898" s="36" t="n"/>
    </row>
    <row r="899">
      <c r="A899" s="118">
        <f>IF($B899="","",COUNT($B$5:$B899))</f>
        <v/>
      </c>
      <c r="B899" s="80" t="n"/>
      <c r="C899" s="130">
        <f>IF($B899="","",CHOOSE(WEEKDAY($B899),"일","월","화","수","목","금","토"))</f>
        <v/>
      </c>
      <c r="D899" s="74" t="n"/>
      <c r="E899" s="130">
        <f>IF($D899="","",IFERROR(INDEX(코드설정!$D$5:$D$24,MATCH($D899,코드설정!$C$5:$C$24,0)),""))</f>
        <v/>
      </c>
      <c r="F899" s="74" t="n"/>
      <c r="G899" s="74" t="n"/>
      <c r="H899" s="36" t="n"/>
      <c r="I899" s="36" t="n"/>
      <c r="J899" s="74" t="n"/>
      <c r="K899" s="36" t="n"/>
    </row>
    <row r="900">
      <c r="A900" s="118">
        <f>IF($B900="","",COUNT($B$5:$B900))</f>
        <v/>
      </c>
      <c r="B900" s="80" t="n"/>
      <c r="C900" s="130">
        <f>IF($B900="","",CHOOSE(WEEKDAY($B900),"일","월","화","수","목","금","토"))</f>
        <v/>
      </c>
      <c r="D900" s="74" t="n"/>
      <c r="E900" s="130">
        <f>IF($D900="","",IFERROR(INDEX(코드설정!$D$5:$D$24,MATCH($D900,코드설정!$C$5:$C$24,0)),""))</f>
        <v/>
      </c>
      <c r="F900" s="74" t="n"/>
      <c r="G900" s="74" t="n"/>
      <c r="H900" s="36" t="n"/>
      <c r="I900" s="36" t="n"/>
      <c r="J900" s="74" t="n"/>
      <c r="K900" s="36" t="n"/>
    </row>
    <row r="901">
      <c r="A901" s="118">
        <f>IF($B901="","",COUNT($B$5:$B901))</f>
        <v/>
      </c>
      <c r="B901" s="80" t="n"/>
      <c r="C901" s="130">
        <f>IF($B901="","",CHOOSE(WEEKDAY($B901),"일","월","화","수","목","금","토"))</f>
        <v/>
      </c>
      <c r="D901" s="74" t="n"/>
      <c r="E901" s="130">
        <f>IF($D901="","",IFERROR(INDEX(코드설정!$D$5:$D$24,MATCH($D901,코드설정!$C$5:$C$24,0)),""))</f>
        <v/>
      </c>
      <c r="F901" s="74" t="n"/>
      <c r="G901" s="74" t="n"/>
      <c r="H901" s="36" t="n"/>
      <c r="I901" s="36" t="n"/>
      <c r="J901" s="74" t="n"/>
      <c r="K901" s="36" t="n"/>
    </row>
    <row r="902">
      <c r="A902" s="118">
        <f>IF($B902="","",COUNT($B$5:$B902))</f>
        <v/>
      </c>
      <c r="B902" s="80" t="n"/>
      <c r="C902" s="130">
        <f>IF($B902="","",CHOOSE(WEEKDAY($B902),"일","월","화","수","목","금","토"))</f>
        <v/>
      </c>
      <c r="D902" s="74" t="n"/>
      <c r="E902" s="130">
        <f>IF($D902="","",IFERROR(INDEX(코드설정!$D$5:$D$24,MATCH($D902,코드설정!$C$5:$C$24,0)),""))</f>
        <v/>
      </c>
      <c r="F902" s="74" t="n"/>
      <c r="G902" s="74" t="n"/>
      <c r="H902" s="36" t="n"/>
      <c r="I902" s="36" t="n"/>
      <c r="J902" s="74" t="n"/>
      <c r="K902" s="36" t="n"/>
    </row>
    <row r="903">
      <c r="A903" s="118">
        <f>IF($B903="","",COUNT($B$5:$B903))</f>
        <v/>
      </c>
      <c r="B903" s="80" t="n"/>
      <c r="C903" s="130">
        <f>IF($B903="","",CHOOSE(WEEKDAY($B903),"일","월","화","수","목","금","토"))</f>
        <v/>
      </c>
      <c r="D903" s="74" t="n"/>
      <c r="E903" s="130">
        <f>IF($D903="","",IFERROR(INDEX(코드설정!$D$5:$D$24,MATCH($D903,코드설정!$C$5:$C$24,0)),""))</f>
        <v/>
      </c>
      <c r="F903" s="74" t="n"/>
      <c r="G903" s="74" t="n"/>
      <c r="H903" s="36" t="n"/>
      <c r="I903" s="36" t="n"/>
      <c r="J903" s="74" t="n"/>
      <c r="K903" s="36" t="n"/>
    </row>
    <row r="904">
      <c r="A904" s="118">
        <f>IF($B904="","",COUNT($B$5:$B904))</f>
        <v/>
      </c>
      <c r="B904" s="80" t="n"/>
      <c r="C904" s="130">
        <f>IF($B904="","",CHOOSE(WEEKDAY($B904),"일","월","화","수","목","금","토"))</f>
        <v/>
      </c>
      <c r="D904" s="74" t="n"/>
      <c r="E904" s="130">
        <f>IF($D904="","",IFERROR(INDEX(코드설정!$D$5:$D$24,MATCH($D904,코드설정!$C$5:$C$24,0)),""))</f>
        <v/>
      </c>
      <c r="F904" s="74" t="n"/>
      <c r="G904" s="74" t="n"/>
      <c r="H904" s="36" t="n"/>
      <c r="I904" s="36" t="n"/>
      <c r="J904" s="74" t="n"/>
      <c r="K904" s="36" t="n"/>
    </row>
    <row r="905">
      <c r="A905" s="118">
        <f>IF($B905="","",COUNT($B$5:$B905))</f>
        <v/>
      </c>
      <c r="B905" s="80" t="n"/>
      <c r="C905" s="130">
        <f>IF($B905="","",CHOOSE(WEEKDAY($B905),"일","월","화","수","목","금","토"))</f>
        <v/>
      </c>
      <c r="D905" s="74" t="n"/>
      <c r="E905" s="130">
        <f>IF($D905="","",IFERROR(INDEX(코드설정!$D$5:$D$24,MATCH($D905,코드설정!$C$5:$C$24,0)),""))</f>
        <v/>
      </c>
      <c r="F905" s="74" t="n"/>
      <c r="G905" s="74" t="n"/>
      <c r="H905" s="36" t="n"/>
      <c r="I905" s="36" t="n"/>
      <c r="J905" s="74" t="n"/>
      <c r="K905" s="36" t="n"/>
    </row>
    <row r="906">
      <c r="A906" s="118">
        <f>IF($B906="","",COUNT($B$5:$B906))</f>
        <v/>
      </c>
      <c r="B906" s="80" t="n"/>
      <c r="C906" s="130">
        <f>IF($B906="","",CHOOSE(WEEKDAY($B906),"일","월","화","수","목","금","토"))</f>
        <v/>
      </c>
      <c r="D906" s="74" t="n"/>
      <c r="E906" s="130">
        <f>IF($D906="","",IFERROR(INDEX(코드설정!$D$5:$D$24,MATCH($D906,코드설정!$C$5:$C$24,0)),""))</f>
        <v/>
      </c>
      <c r="F906" s="74" t="n"/>
      <c r="G906" s="74" t="n"/>
      <c r="H906" s="36" t="n"/>
      <c r="I906" s="36" t="n"/>
      <c r="J906" s="74" t="n"/>
      <c r="K906" s="36" t="n"/>
    </row>
    <row r="907">
      <c r="A907" s="118">
        <f>IF($B907="","",COUNT($B$5:$B907))</f>
        <v/>
      </c>
      <c r="B907" s="80" t="n"/>
      <c r="C907" s="130">
        <f>IF($B907="","",CHOOSE(WEEKDAY($B907),"일","월","화","수","목","금","토"))</f>
        <v/>
      </c>
      <c r="D907" s="74" t="n"/>
      <c r="E907" s="130">
        <f>IF($D907="","",IFERROR(INDEX(코드설정!$D$5:$D$24,MATCH($D907,코드설정!$C$5:$C$24,0)),""))</f>
        <v/>
      </c>
      <c r="F907" s="74" t="n"/>
      <c r="G907" s="74" t="n"/>
      <c r="H907" s="36" t="n"/>
      <c r="I907" s="36" t="n"/>
      <c r="J907" s="74" t="n"/>
      <c r="K907" s="36" t="n"/>
    </row>
    <row r="908">
      <c r="A908" s="118">
        <f>IF($B908="","",COUNT($B$5:$B908))</f>
        <v/>
      </c>
      <c r="B908" s="80" t="n"/>
      <c r="C908" s="130">
        <f>IF($B908="","",CHOOSE(WEEKDAY($B908),"일","월","화","수","목","금","토"))</f>
        <v/>
      </c>
      <c r="D908" s="74" t="n"/>
      <c r="E908" s="130">
        <f>IF($D908="","",IFERROR(INDEX(코드설정!$D$5:$D$24,MATCH($D908,코드설정!$C$5:$C$24,0)),""))</f>
        <v/>
      </c>
      <c r="F908" s="74" t="n"/>
      <c r="G908" s="74" t="n"/>
      <c r="H908" s="36" t="n"/>
      <c r="I908" s="36" t="n"/>
      <c r="J908" s="74" t="n"/>
      <c r="K908" s="36" t="n"/>
    </row>
    <row r="909">
      <c r="A909" s="118">
        <f>IF($B909="","",COUNT($B$5:$B909))</f>
        <v/>
      </c>
      <c r="B909" s="80" t="n"/>
      <c r="C909" s="130">
        <f>IF($B909="","",CHOOSE(WEEKDAY($B909),"일","월","화","수","목","금","토"))</f>
        <v/>
      </c>
      <c r="D909" s="74" t="n"/>
      <c r="E909" s="130">
        <f>IF($D909="","",IFERROR(INDEX(코드설정!$D$5:$D$24,MATCH($D909,코드설정!$C$5:$C$24,0)),""))</f>
        <v/>
      </c>
      <c r="F909" s="74" t="n"/>
      <c r="G909" s="74" t="n"/>
      <c r="H909" s="36" t="n"/>
      <c r="I909" s="36" t="n"/>
      <c r="J909" s="74" t="n"/>
      <c r="K909" s="36" t="n"/>
    </row>
    <row r="910">
      <c r="A910" s="118">
        <f>IF($B910="","",COUNT($B$5:$B910))</f>
        <v/>
      </c>
      <c r="B910" s="80" t="n"/>
      <c r="C910" s="130">
        <f>IF($B910="","",CHOOSE(WEEKDAY($B910),"일","월","화","수","목","금","토"))</f>
        <v/>
      </c>
      <c r="D910" s="74" t="n"/>
      <c r="E910" s="130">
        <f>IF($D910="","",IFERROR(INDEX(코드설정!$D$5:$D$24,MATCH($D910,코드설정!$C$5:$C$24,0)),""))</f>
        <v/>
      </c>
      <c r="F910" s="74" t="n"/>
      <c r="G910" s="74" t="n"/>
      <c r="H910" s="36" t="n"/>
      <c r="I910" s="36" t="n"/>
      <c r="J910" s="74" t="n"/>
      <c r="K910" s="36" t="n"/>
    </row>
    <row r="911">
      <c r="A911" s="118">
        <f>IF($B911="","",COUNT($B$5:$B911))</f>
        <v/>
      </c>
      <c r="B911" s="80" t="n"/>
      <c r="C911" s="130">
        <f>IF($B911="","",CHOOSE(WEEKDAY($B911),"일","월","화","수","목","금","토"))</f>
        <v/>
      </c>
      <c r="D911" s="74" t="n"/>
      <c r="E911" s="130">
        <f>IF($D911="","",IFERROR(INDEX(코드설정!$D$5:$D$24,MATCH($D911,코드설정!$C$5:$C$24,0)),""))</f>
        <v/>
      </c>
      <c r="F911" s="74" t="n"/>
      <c r="G911" s="74" t="n"/>
      <c r="H911" s="36" t="n"/>
      <c r="I911" s="36" t="n"/>
      <c r="J911" s="74" t="n"/>
      <c r="K911" s="36" t="n"/>
    </row>
    <row r="912">
      <c r="A912" s="118">
        <f>IF($B912="","",COUNT($B$5:$B912))</f>
        <v/>
      </c>
      <c r="B912" s="80" t="n"/>
      <c r="C912" s="130">
        <f>IF($B912="","",CHOOSE(WEEKDAY($B912),"일","월","화","수","목","금","토"))</f>
        <v/>
      </c>
      <c r="D912" s="74" t="n"/>
      <c r="E912" s="130">
        <f>IF($D912="","",IFERROR(INDEX(코드설정!$D$5:$D$24,MATCH($D912,코드설정!$C$5:$C$24,0)),""))</f>
        <v/>
      </c>
      <c r="F912" s="74" t="n"/>
      <c r="G912" s="74" t="n"/>
      <c r="H912" s="36" t="n"/>
      <c r="I912" s="36" t="n"/>
      <c r="J912" s="74" t="n"/>
      <c r="K912" s="36" t="n"/>
    </row>
    <row r="913">
      <c r="A913" s="118">
        <f>IF($B913="","",COUNT($B$5:$B913))</f>
        <v/>
      </c>
      <c r="B913" s="80" t="n"/>
      <c r="C913" s="130">
        <f>IF($B913="","",CHOOSE(WEEKDAY($B913),"일","월","화","수","목","금","토"))</f>
        <v/>
      </c>
      <c r="D913" s="74" t="n"/>
      <c r="E913" s="130">
        <f>IF($D913="","",IFERROR(INDEX(코드설정!$D$5:$D$24,MATCH($D913,코드설정!$C$5:$C$24,0)),""))</f>
        <v/>
      </c>
      <c r="F913" s="74" t="n"/>
      <c r="G913" s="74" t="n"/>
      <c r="H913" s="36" t="n"/>
      <c r="I913" s="36" t="n"/>
      <c r="J913" s="74" t="n"/>
      <c r="K913" s="36" t="n"/>
    </row>
    <row r="914">
      <c r="A914" s="118">
        <f>IF($B914="","",COUNT($B$5:$B914))</f>
        <v/>
      </c>
      <c r="B914" s="80" t="n"/>
      <c r="C914" s="130">
        <f>IF($B914="","",CHOOSE(WEEKDAY($B914),"일","월","화","수","목","금","토"))</f>
        <v/>
      </c>
      <c r="D914" s="74" t="n"/>
      <c r="E914" s="130">
        <f>IF($D914="","",IFERROR(INDEX(코드설정!$D$5:$D$24,MATCH($D914,코드설정!$C$5:$C$24,0)),""))</f>
        <v/>
      </c>
      <c r="F914" s="74" t="n"/>
      <c r="G914" s="74" t="n"/>
      <c r="H914" s="36" t="n"/>
      <c r="I914" s="36" t="n"/>
      <c r="J914" s="74" t="n"/>
      <c r="K914" s="36" t="n"/>
    </row>
    <row r="915">
      <c r="A915" s="118">
        <f>IF($B915="","",COUNT($B$5:$B915))</f>
        <v/>
      </c>
      <c r="B915" s="80" t="n"/>
      <c r="C915" s="130">
        <f>IF($B915="","",CHOOSE(WEEKDAY($B915),"일","월","화","수","목","금","토"))</f>
        <v/>
      </c>
      <c r="D915" s="74" t="n"/>
      <c r="E915" s="130">
        <f>IF($D915="","",IFERROR(INDEX(코드설정!$D$5:$D$24,MATCH($D915,코드설정!$C$5:$C$24,0)),""))</f>
        <v/>
      </c>
      <c r="F915" s="74" t="n"/>
      <c r="G915" s="74" t="n"/>
      <c r="H915" s="36" t="n"/>
      <c r="I915" s="36" t="n"/>
      <c r="J915" s="74" t="n"/>
      <c r="K915" s="36" t="n"/>
    </row>
    <row r="916">
      <c r="A916" s="118">
        <f>IF($B916="","",COUNT($B$5:$B916))</f>
        <v/>
      </c>
      <c r="B916" s="80" t="n"/>
      <c r="C916" s="130">
        <f>IF($B916="","",CHOOSE(WEEKDAY($B916),"일","월","화","수","목","금","토"))</f>
        <v/>
      </c>
      <c r="D916" s="74" t="n"/>
      <c r="E916" s="130">
        <f>IF($D916="","",IFERROR(INDEX(코드설정!$D$5:$D$24,MATCH($D916,코드설정!$C$5:$C$24,0)),""))</f>
        <v/>
      </c>
      <c r="F916" s="74" t="n"/>
      <c r="G916" s="74" t="n"/>
      <c r="H916" s="36" t="n"/>
      <c r="I916" s="36" t="n"/>
      <c r="J916" s="74" t="n"/>
      <c r="K916" s="36" t="n"/>
    </row>
    <row r="917">
      <c r="A917" s="118">
        <f>IF($B917="","",COUNT($B$5:$B917))</f>
        <v/>
      </c>
      <c r="B917" s="80" t="n"/>
      <c r="C917" s="130">
        <f>IF($B917="","",CHOOSE(WEEKDAY($B917),"일","월","화","수","목","금","토"))</f>
        <v/>
      </c>
      <c r="D917" s="74" t="n"/>
      <c r="E917" s="130">
        <f>IF($D917="","",IFERROR(INDEX(코드설정!$D$5:$D$24,MATCH($D917,코드설정!$C$5:$C$24,0)),""))</f>
        <v/>
      </c>
      <c r="F917" s="74" t="n"/>
      <c r="G917" s="74" t="n"/>
      <c r="H917" s="36" t="n"/>
      <c r="I917" s="36" t="n"/>
      <c r="J917" s="74" t="n"/>
      <c r="K917" s="36" t="n"/>
    </row>
    <row r="918">
      <c r="A918" s="118">
        <f>IF($B918="","",COUNT($B$5:$B918))</f>
        <v/>
      </c>
      <c r="B918" s="80" t="n"/>
      <c r="C918" s="130">
        <f>IF($B918="","",CHOOSE(WEEKDAY($B918),"일","월","화","수","목","금","토"))</f>
        <v/>
      </c>
      <c r="D918" s="74" t="n"/>
      <c r="E918" s="130">
        <f>IF($D918="","",IFERROR(INDEX(코드설정!$D$5:$D$24,MATCH($D918,코드설정!$C$5:$C$24,0)),""))</f>
        <v/>
      </c>
      <c r="F918" s="74" t="n"/>
      <c r="G918" s="74" t="n"/>
      <c r="H918" s="36" t="n"/>
      <c r="I918" s="36" t="n"/>
      <c r="J918" s="74" t="n"/>
      <c r="K918" s="36" t="n"/>
    </row>
    <row r="919">
      <c r="A919" s="118">
        <f>IF($B919="","",COUNT($B$5:$B919))</f>
        <v/>
      </c>
      <c r="B919" s="80" t="n"/>
      <c r="C919" s="130">
        <f>IF($B919="","",CHOOSE(WEEKDAY($B919),"일","월","화","수","목","금","토"))</f>
        <v/>
      </c>
      <c r="D919" s="74" t="n"/>
      <c r="E919" s="130">
        <f>IF($D919="","",IFERROR(INDEX(코드설정!$D$5:$D$24,MATCH($D919,코드설정!$C$5:$C$24,0)),""))</f>
        <v/>
      </c>
      <c r="F919" s="74" t="n"/>
      <c r="G919" s="74" t="n"/>
      <c r="H919" s="36" t="n"/>
      <c r="I919" s="36" t="n"/>
      <c r="J919" s="74" t="n"/>
      <c r="K919" s="36" t="n"/>
    </row>
    <row r="920">
      <c r="A920" s="118">
        <f>IF($B920="","",COUNT($B$5:$B920))</f>
        <v/>
      </c>
      <c r="B920" s="80" t="n"/>
      <c r="C920" s="130">
        <f>IF($B920="","",CHOOSE(WEEKDAY($B920),"일","월","화","수","목","금","토"))</f>
        <v/>
      </c>
      <c r="D920" s="74" t="n"/>
      <c r="E920" s="130">
        <f>IF($D920="","",IFERROR(INDEX(코드설정!$D$5:$D$24,MATCH($D920,코드설정!$C$5:$C$24,0)),""))</f>
        <v/>
      </c>
      <c r="F920" s="74" t="n"/>
      <c r="G920" s="74" t="n"/>
      <c r="H920" s="36" t="n"/>
      <c r="I920" s="36" t="n"/>
      <c r="J920" s="74" t="n"/>
      <c r="K920" s="36" t="n"/>
    </row>
    <row r="921">
      <c r="A921" s="118">
        <f>IF($B921="","",COUNT($B$5:$B921))</f>
        <v/>
      </c>
      <c r="B921" s="80" t="n"/>
      <c r="C921" s="130">
        <f>IF($B921="","",CHOOSE(WEEKDAY($B921),"일","월","화","수","목","금","토"))</f>
        <v/>
      </c>
      <c r="D921" s="74" t="n"/>
      <c r="E921" s="130">
        <f>IF($D921="","",IFERROR(INDEX(코드설정!$D$5:$D$24,MATCH($D921,코드설정!$C$5:$C$24,0)),""))</f>
        <v/>
      </c>
      <c r="F921" s="74" t="n"/>
      <c r="G921" s="74" t="n"/>
      <c r="H921" s="36" t="n"/>
      <c r="I921" s="36" t="n"/>
      <c r="J921" s="74" t="n"/>
      <c r="K921" s="36" t="n"/>
    </row>
    <row r="922">
      <c r="A922" s="118">
        <f>IF($B922="","",COUNT($B$5:$B922))</f>
        <v/>
      </c>
      <c r="B922" s="80" t="n"/>
      <c r="C922" s="130">
        <f>IF($B922="","",CHOOSE(WEEKDAY($B922),"일","월","화","수","목","금","토"))</f>
        <v/>
      </c>
      <c r="D922" s="74" t="n"/>
      <c r="E922" s="130">
        <f>IF($D922="","",IFERROR(INDEX(코드설정!$D$5:$D$24,MATCH($D922,코드설정!$C$5:$C$24,0)),""))</f>
        <v/>
      </c>
      <c r="F922" s="74" t="n"/>
      <c r="G922" s="74" t="n"/>
      <c r="H922" s="36" t="n"/>
      <c r="I922" s="36" t="n"/>
      <c r="J922" s="74" t="n"/>
      <c r="K922" s="36" t="n"/>
    </row>
    <row r="923">
      <c r="A923" s="118">
        <f>IF($B923="","",COUNT($B$5:$B923))</f>
        <v/>
      </c>
      <c r="B923" s="80" t="n"/>
      <c r="C923" s="130">
        <f>IF($B923="","",CHOOSE(WEEKDAY($B923),"일","월","화","수","목","금","토"))</f>
        <v/>
      </c>
      <c r="D923" s="74" t="n"/>
      <c r="E923" s="130">
        <f>IF($D923="","",IFERROR(INDEX(코드설정!$D$5:$D$24,MATCH($D923,코드설정!$C$5:$C$24,0)),""))</f>
        <v/>
      </c>
      <c r="F923" s="74" t="n"/>
      <c r="G923" s="74" t="n"/>
      <c r="H923" s="36" t="n"/>
      <c r="I923" s="36" t="n"/>
      <c r="J923" s="74" t="n"/>
      <c r="K923" s="36" t="n"/>
    </row>
    <row r="924">
      <c r="A924" s="118">
        <f>IF($B924="","",COUNT($B$5:$B924))</f>
        <v/>
      </c>
      <c r="B924" s="80" t="n"/>
      <c r="C924" s="130">
        <f>IF($B924="","",CHOOSE(WEEKDAY($B924),"일","월","화","수","목","금","토"))</f>
        <v/>
      </c>
      <c r="D924" s="74" t="n"/>
      <c r="E924" s="130">
        <f>IF($D924="","",IFERROR(INDEX(코드설정!$D$5:$D$24,MATCH($D924,코드설정!$C$5:$C$24,0)),""))</f>
        <v/>
      </c>
      <c r="F924" s="74" t="n"/>
      <c r="G924" s="74" t="n"/>
      <c r="H924" s="36" t="n"/>
      <c r="I924" s="36" t="n"/>
      <c r="J924" s="74" t="n"/>
      <c r="K924" s="36" t="n"/>
    </row>
    <row r="925">
      <c r="A925" s="118">
        <f>IF($B925="","",COUNT($B$5:$B925))</f>
        <v/>
      </c>
      <c r="B925" s="80" t="n"/>
      <c r="C925" s="130">
        <f>IF($B925="","",CHOOSE(WEEKDAY($B925),"일","월","화","수","목","금","토"))</f>
        <v/>
      </c>
      <c r="D925" s="74" t="n"/>
      <c r="E925" s="130">
        <f>IF($D925="","",IFERROR(INDEX(코드설정!$D$5:$D$24,MATCH($D925,코드설정!$C$5:$C$24,0)),""))</f>
        <v/>
      </c>
      <c r="F925" s="74" t="n"/>
      <c r="G925" s="74" t="n"/>
      <c r="H925" s="36" t="n"/>
      <c r="I925" s="36" t="n"/>
      <c r="J925" s="74" t="n"/>
      <c r="K925" s="36" t="n"/>
    </row>
    <row r="926">
      <c r="A926" s="118">
        <f>IF($B926="","",COUNT($B$5:$B926))</f>
        <v/>
      </c>
      <c r="B926" s="80" t="n"/>
      <c r="C926" s="130">
        <f>IF($B926="","",CHOOSE(WEEKDAY($B926),"일","월","화","수","목","금","토"))</f>
        <v/>
      </c>
      <c r="D926" s="74" t="n"/>
      <c r="E926" s="130">
        <f>IF($D926="","",IFERROR(INDEX(코드설정!$D$5:$D$24,MATCH($D926,코드설정!$C$5:$C$24,0)),""))</f>
        <v/>
      </c>
      <c r="F926" s="74" t="n"/>
      <c r="G926" s="74" t="n"/>
      <c r="H926" s="36" t="n"/>
      <c r="I926" s="36" t="n"/>
      <c r="J926" s="74" t="n"/>
      <c r="K926" s="36" t="n"/>
    </row>
    <row r="927">
      <c r="A927" s="118">
        <f>IF($B927="","",COUNT($B$5:$B927))</f>
        <v/>
      </c>
      <c r="B927" s="80" t="n"/>
      <c r="C927" s="130">
        <f>IF($B927="","",CHOOSE(WEEKDAY($B927),"일","월","화","수","목","금","토"))</f>
        <v/>
      </c>
      <c r="D927" s="74" t="n"/>
      <c r="E927" s="130">
        <f>IF($D927="","",IFERROR(INDEX(코드설정!$D$5:$D$24,MATCH($D927,코드설정!$C$5:$C$24,0)),""))</f>
        <v/>
      </c>
      <c r="F927" s="74" t="n"/>
      <c r="G927" s="74" t="n"/>
      <c r="H927" s="36" t="n"/>
      <c r="I927" s="36" t="n"/>
      <c r="J927" s="74" t="n"/>
      <c r="K927" s="36" t="n"/>
    </row>
    <row r="928">
      <c r="A928" s="118">
        <f>IF($B928="","",COUNT($B$5:$B928))</f>
        <v/>
      </c>
      <c r="B928" s="80" t="n"/>
      <c r="C928" s="130">
        <f>IF($B928="","",CHOOSE(WEEKDAY($B928),"일","월","화","수","목","금","토"))</f>
        <v/>
      </c>
      <c r="D928" s="74" t="n"/>
      <c r="E928" s="130">
        <f>IF($D928="","",IFERROR(INDEX(코드설정!$D$5:$D$24,MATCH($D928,코드설정!$C$5:$C$24,0)),""))</f>
        <v/>
      </c>
      <c r="F928" s="74" t="n"/>
      <c r="G928" s="74" t="n"/>
      <c r="H928" s="36" t="n"/>
      <c r="I928" s="36" t="n"/>
      <c r="J928" s="74" t="n"/>
      <c r="K928" s="36" t="n"/>
    </row>
    <row r="929">
      <c r="A929" s="118">
        <f>IF($B929="","",COUNT($B$5:$B929))</f>
        <v/>
      </c>
      <c r="B929" s="80" t="n"/>
      <c r="C929" s="130">
        <f>IF($B929="","",CHOOSE(WEEKDAY($B929),"일","월","화","수","목","금","토"))</f>
        <v/>
      </c>
      <c r="D929" s="74" t="n"/>
      <c r="E929" s="130">
        <f>IF($D929="","",IFERROR(INDEX(코드설정!$D$5:$D$24,MATCH($D929,코드설정!$C$5:$C$24,0)),""))</f>
        <v/>
      </c>
      <c r="F929" s="74" t="n"/>
      <c r="G929" s="74" t="n"/>
      <c r="H929" s="36" t="n"/>
      <c r="I929" s="36" t="n"/>
      <c r="J929" s="74" t="n"/>
      <c r="K929" s="36" t="n"/>
    </row>
    <row r="930">
      <c r="A930" s="118">
        <f>IF($B930="","",COUNT($B$5:$B930))</f>
        <v/>
      </c>
      <c r="B930" s="80" t="n"/>
      <c r="C930" s="130">
        <f>IF($B930="","",CHOOSE(WEEKDAY($B930),"일","월","화","수","목","금","토"))</f>
        <v/>
      </c>
      <c r="D930" s="74" t="n"/>
      <c r="E930" s="130">
        <f>IF($D930="","",IFERROR(INDEX(코드설정!$D$5:$D$24,MATCH($D930,코드설정!$C$5:$C$24,0)),""))</f>
        <v/>
      </c>
      <c r="F930" s="74" t="n"/>
      <c r="G930" s="74" t="n"/>
      <c r="H930" s="36" t="n"/>
      <c r="I930" s="36" t="n"/>
      <c r="J930" s="74" t="n"/>
      <c r="K930" s="36" t="n"/>
    </row>
    <row r="931">
      <c r="A931" s="118">
        <f>IF($B931="","",COUNT($B$5:$B931))</f>
        <v/>
      </c>
      <c r="B931" s="80" t="n"/>
      <c r="C931" s="130">
        <f>IF($B931="","",CHOOSE(WEEKDAY($B931),"일","월","화","수","목","금","토"))</f>
        <v/>
      </c>
      <c r="D931" s="74" t="n"/>
      <c r="E931" s="130">
        <f>IF($D931="","",IFERROR(INDEX(코드설정!$D$5:$D$24,MATCH($D931,코드설정!$C$5:$C$24,0)),""))</f>
        <v/>
      </c>
      <c r="F931" s="74" t="n"/>
      <c r="G931" s="74" t="n"/>
      <c r="H931" s="36" t="n"/>
      <c r="I931" s="36" t="n"/>
      <c r="J931" s="74" t="n"/>
      <c r="K931" s="36" t="n"/>
    </row>
    <row r="932">
      <c r="A932" s="118">
        <f>IF($B932="","",COUNT($B$5:$B932))</f>
        <v/>
      </c>
      <c r="B932" s="80" t="n"/>
      <c r="C932" s="130">
        <f>IF($B932="","",CHOOSE(WEEKDAY($B932),"일","월","화","수","목","금","토"))</f>
        <v/>
      </c>
      <c r="D932" s="74" t="n"/>
      <c r="E932" s="130">
        <f>IF($D932="","",IFERROR(INDEX(코드설정!$D$5:$D$24,MATCH($D932,코드설정!$C$5:$C$24,0)),""))</f>
        <v/>
      </c>
      <c r="F932" s="74" t="n"/>
      <c r="G932" s="74" t="n"/>
      <c r="H932" s="36" t="n"/>
      <c r="I932" s="36" t="n"/>
      <c r="J932" s="74" t="n"/>
      <c r="K932" s="36" t="n"/>
    </row>
    <row r="933">
      <c r="A933" s="118">
        <f>IF($B933="","",COUNT($B$5:$B933))</f>
        <v/>
      </c>
      <c r="B933" s="80" t="n"/>
      <c r="C933" s="130">
        <f>IF($B933="","",CHOOSE(WEEKDAY($B933),"일","월","화","수","목","금","토"))</f>
        <v/>
      </c>
      <c r="D933" s="74" t="n"/>
      <c r="E933" s="130">
        <f>IF($D933="","",IFERROR(INDEX(코드설정!$D$5:$D$24,MATCH($D933,코드설정!$C$5:$C$24,0)),""))</f>
        <v/>
      </c>
      <c r="F933" s="74" t="n"/>
      <c r="G933" s="74" t="n"/>
      <c r="H933" s="36" t="n"/>
      <c r="I933" s="36" t="n"/>
      <c r="J933" s="74" t="n"/>
      <c r="K933" s="36" t="n"/>
    </row>
    <row r="934">
      <c r="A934" s="118">
        <f>IF($B934="","",COUNT($B$5:$B934))</f>
        <v/>
      </c>
      <c r="B934" s="80" t="n"/>
      <c r="C934" s="130">
        <f>IF($B934="","",CHOOSE(WEEKDAY($B934),"일","월","화","수","목","금","토"))</f>
        <v/>
      </c>
      <c r="D934" s="74" t="n"/>
      <c r="E934" s="130">
        <f>IF($D934="","",IFERROR(INDEX(코드설정!$D$5:$D$24,MATCH($D934,코드설정!$C$5:$C$24,0)),""))</f>
        <v/>
      </c>
      <c r="F934" s="74" t="n"/>
      <c r="G934" s="74" t="n"/>
      <c r="H934" s="36" t="n"/>
      <c r="I934" s="36" t="n"/>
      <c r="J934" s="74" t="n"/>
      <c r="K934" s="36" t="n"/>
    </row>
    <row r="935">
      <c r="A935" s="118">
        <f>IF($B935="","",COUNT($B$5:$B935))</f>
        <v/>
      </c>
      <c r="B935" s="80" t="n"/>
      <c r="C935" s="130">
        <f>IF($B935="","",CHOOSE(WEEKDAY($B935),"일","월","화","수","목","금","토"))</f>
        <v/>
      </c>
      <c r="D935" s="74" t="n"/>
      <c r="E935" s="130">
        <f>IF($D935="","",IFERROR(INDEX(코드설정!$D$5:$D$24,MATCH($D935,코드설정!$C$5:$C$24,0)),""))</f>
        <v/>
      </c>
      <c r="F935" s="74" t="n"/>
      <c r="G935" s="74" t="n"/>
      <c r="H935" s="36" t="n"/>
      <c r="I935" s="36" t="n"/>
      <c r="J935" s="74" t="n"/>
      <c r="K935" s="36" t="n"/>
    </row>
    <row r="936">
      <c r="A936" s="118">
        <f>IF($B936="","",COUNT($B$5:$B936))</f>
        <v/>
      </c>
      <c r="B936" s="80" t="n"/>
      <c r="C936" s="130">
        <f>IF($B936="","",CHOOSE(WEEKDAY($B936),"일","월","화","수","목","금","토"))</f>
        <v/>
      </c>
      <c r="D936" s="74" t="n"/>
      <c r="E936" s="130">
        <f>IF($D936="","",IFERROR(INDEX(코드설정!$D$5:$D$24,MATCH($D936,코드설정!$C$5:$C$24,0)),""))</f>
        <v/>
      </c>
      <c r="F936" s="74" t="n"/>
      <c r="G936" s="74" t="n"/>
      <c r="H936" s="36" t="n"/>
      <c r="I936" s="36" t="n"/>
      <c r="J936" s="74" t="n"/>
      <c r="K936" s="36" t="n"/>
    </row>
    <row r="937">
      <c r="A937" s="118">
        <f>IF($B937="","",COUNT($B$5:$B937))</f>
        <v/>
      </c>
      <c r="B937" s="80" t="n"/>
      <c r="C937" s="130">
        <f>IF($B937="","",CHOOSE(WEEKDAY($B937),"일","월","화","수","목","금","토"))</f>
        <v/>
      </c>
      <c r="D937" s="74" t="n"/>
      <c r="E937" s="130">
        <f>IF($D937="","",IFERROR(INDEX(코드설정!$D$5:$D$24,MATCH($D937,코드설정!$C$5:$C$24,0)),""))</f>
        <v/>
      </c>
      <c r="F937" s="74" t="n"/>
      <c r="G937" s="74" t="n"/>
      <c r="H937" s="36" t="n"/>
      <c r="I937" s="36" t="n"/>
      <c r="J937" s="74" t="n"/>
      <c r="K937" s="36" t="n"/>
    </row>
    <row r="938">
      <c r="A938" s="118">
        <f>IF($B938="","",COUNT($B$5:$B938))</f>
        <v/>
      </c>
      <c r="B938" s="80" t="n"/>
      <c r="C938" s="130">
        <f>IF($B938="","",CHOOSE(WEEKDAY($B938),"일","월","화","수","목","금","토"))</f>
        <v/>
      </c>
      <c r="D938" s="74" t="n"/>
      <c r="E938" s="130">
        <f>IF($D938="","",IFERROR(INDEX(코드설정!$D$5:$D$24,MATCH($D938,코드설정!$C$5:$C$24,0)),""))</f>
        <v/>
      </c>
      <c r="F938" s="74" t="n"/>
      <c r="G938" s="74" t="n"/>
      <c r="H938" s="36" t="n"/>
      <c r="I938" s="36" t="n"/>
      <c r="J938" s="74" t="n"/>
      <c r="K938" s="36" t="n"/>
    </row>
    <row r="939">
      <c r="A939" s="118">
        <f>IF($B939="","",COUNT($B$5:$B939))</f>
        <v/>
      </c>
      <c r="B939" s="80" t="n"/>
      <c r="C939" s="130">
        <f>IF($B939="","",CHOOSE(WEEKDAY($B939),"일","월","화","수","목","금","토"))</f>
        <v/>
      </c>
      <c r="D939" s="74" t="n"/>
      <c r="E939" s="130">
        <f>IF($D939="","",IFERROR(INDEX(코드설정!$D$5:$D$24,MATCH($D939,코드설정!$C$5:$C$24,0)),""))</f>
        <v/>
      </c>
      <c r="F939" s="74" t="n"/>
      <c r="G939" s="74" t="n"/>
      <c r="H939" s="36" t="n"/>
      <c r="I939" s="36" t="n"/>
      <c r="J939" s="74" t="n"/>
      <c r="K939" s="36" t="n"/>
    </row>
    <row r="940">
      <c r="A940" s="118">
        <f>IF($B940="","",COUNT($B$5:$B940))</f>
        <v/>
      </c>
      <c r="B940" s="80" t="n"/>
      <c r="C940" s="130">
        <f>IF($B940="","",CHOOSE(WEEKDAY($B940),"일","월","화","수","목","금","토"))</f>
        <v/>
      </c>
      <c r="D940" s="74" t="n"/>
      <c r="E940" s="130">
        <f>IF($D940="","",IFERROR(INDEX(코드설정!$D$5:$D$24,MATCH($D940,코드설정!$C$5:$C$24,0)),""))</f>
        <v/>
      </c>
      <c r="F940" s="74" t="n"/>
      <c r="G940" s="74" t="n"/>
      <c r="H940" s="36" t="n"/>
      <c r="I940" s="36" t="n"/>
      <c r="J940" s="74" t="n"/>
      <c r="K940" s="36" t="n"/>
    </row>
    <row r="941">
      <c r="A941" s="118">
        <f>IF($B941="","",COUNT($B$5:$B941))</f>
        <v/>
      </c>
      <c r="B941" s="80" t="n"/>
      <c r="C941" s="130">
        <f>IF($B941="","",CHOOSE(WEEKDAY($B941),"일","월","화","수","목","금","토"))</f>
        <v/>
      </c>
      <c r="D941" s="74" t="n"/>
      <c r="E941" s="130">
        <f>IF($D941="","",IFERROR(INDEX(코드설정!$D$5:$D$24,MATCH($D941,코드설정!$C$5:$C$24,0)),""))</f>
        <v/>
      </c>
      <c r="F941" s="74" t="n"/>
      <c r="G941" s="74" t="n"/>
      <c r="H941" s="36" t="n"/>
      <c r="I941" s="36" t="n"/>
      <c r="J941" s="74" t="n"/>
      <c r="K941" s="36" t="n"/>
    </row>
    <row r="942">
      <c r="A942" s="118">
        <f>IF($B942="","",COUNT($B$5:$B942))</f>
        <v/>
      </c>
      <c r="B942" s="80" t="n"/>
      <c r="C942" s="130">
        <f>IF($B942="","",CHOOSE(WEEKDAY($B942),"일","월","화","수","목","금","토"))</f>
        <v/>
      </c>
      <c r="D942" s="74" t="n"/>
      <c r="E942" s="130">
        <f>IF($D942="","",IFERROR(INDEX(코드설정!$D$5:$D$24,MATCH($D942,코드설정!$C$5:$C$24,0)),""))</f>
        <v/>
      </c>
      <c r="F942" s="74" t="n"/>
      <c r="G942" s="74" t="n"/>
      <c r="H942" s="36" t="n"/>
      <c r="I942" s="36" t="n"/>
      <c r="J942" s="74" t="n"/>
      <c r="K942" s="36" t="n"/>
    </row>
    <row r="943">
      <c r="A943" s="118">
        <f>IF($B943="","",COUNT($B$5:$B943))</f>
        <v/>
      </c>
      <c r="B943" s="80" t="n"/>
      <c r="C943" s="130">
        <f>IF($B943="","",CHOOSE(WEEKDAY($B943),"일","월","화","수","목","금","토"))</f>
        <v/>
      </c>
      <c r="D943" s="74" t="n"/>
      <c r="E943" s="130">
        <f>IF($D943="","",IFERROR(INDEX(코드설정!$D$5:$D$24,MATCH($D943,코드설정!$C$5:$C$24,0)),""))</f>
        <v/>
      </c>
      <c r="F943" s="74" t="n"/>
      <c r="G943" s="74" t="n"/>
      <c r="H943" s="36" t="n"/>
      <c r="I943" s="36" t="n"/>
      <c r="J943" s="74" t="n"/>
      <c r="K943" s="36" t="n"/>
    </row>
    <row r="944">
      <c r="A944" s="118">
        <f>IF($B944="","",COUNT($B$5:$B944))</f>
        <v/>
      </c>
      <c r="B944" s="80" t="n"/>
      <c r="C944" s="130">
        <f>IF($B944="","",CHOOSE(WEEKDAY($B944),"일","월","화","수","목","금","토"))</f>
        <v/>
      </c>
      <c r="D944" s="74" t="n"/>
      <c r="E944" s="130">
        <f>IF($D944="","",IFERROR(INDEX(코드설정!$D$5:$D$24,MATCH($D944,코드설정!$C$5:$C$24,0)),""))</f>
        <v/>
      </c>
      <c r="F944" s="74" t="n"/>
      <c r="G944" s="74" t="n"/>
      <c r="H944" s="36" t="n"/>
      <c r="I944" s="36" t="n"/>
      <c r="J944" s="74" t="n"/>
      <c r="K944" s="36" t="n"/>
    </row>
    <row r="945">
      <c r="A945" s="118">
        <f>IF($B945="","",COUNT($B$5:$B945))</f>
        <v/>
      </c>
      <c r="B945" s="80" t="n"/>
      <c r="C945" s="130">
        <f>IF($B945="","",CHOOSE(WEEKDAY($B945),"일","월","화","수","목","금","토"))</f>
        <v/>
      </c>
      <c r="D945" s="74" t="n"/>
      <c r="E945" s="130">
        <f>IF($D945="","",IFERROR(INDEX(코드설정!$D$5:$D$24,MATCH($D945,코드설정!$C$5:$C$24,0)),""))</f>
        <v/>
      </c>
      <c r="F945" s="74" t="n"/>
      <c r="G945" s="74" t="n"/>
      <c r="H945" s="36" t="n"/>
      <c r="I945" s="36" t="n"/>
      <c r="J945" s="74" t="n"/>
      <c r="K945" s="36" t="n"/>
    </row>
    <row r="946">
      <c r="A946" s="118">
        <f>IF($B946="","",COUNT($B$5:$B946))</f>
        <v/>
      </c>
      <c r="B946" s="80" t="n"/>
      <c r="C946" s="130">
        <f>IF($B946="","",CHOOSE(WEEKDAY($B946),"일","월","화","수","목","금","토"))</f>
        <v/>
      </c>
      <c r="D946" s="74" t="n"/>
      <c r="E946" s="130">
        <f>IF($D946="","",IFERROR(INDEX(코드설정!$D$5:$D$24,MATCH($D946,코드설정!$C$5:$C$24,0)),""))</f>
        <v/>
      </c>
      <c r="F946" s="74" t="n"/>
      <c r="G946" s="74" t="n"/>
      <c r="H946" s="36" t="n"/>
      <c r="I946" s="36" t="n"/>
      <c r="J946" s="74" t="n"/>
      <c r="K946" s="36" t="n"/>
    </row>
    <row r="947">
      <c r="A947" s="118">
        <f>IF($B947="","",COUNT($B$5:$B947))</f>
        <v/>
      </c>
      <c r="B947" s="80" t="n"/>
      <c r="C947" s="130">
        <f>IF($B947="","",CHOOSE(WEEKDAY($B947),"일","월","화","수","목","금","토"))</f>
        <v/>
      </c>
      <c r="D947" s="74" t="n"/>
      <c r="E947" s="130">
        <f>IF($D947="","",IFERROR(INDEX(코드설정!$D$5:$D$24,MATCH($D947,코드설정!$C$5:$C$24,0)),""))</f>
        <v/>
      </c>
      <c r="F947" s="74" t="n"/>
      <c r="G947" s="74" t="n"/>
      <c r="H947" s="36" t="n"/>
      <c r="I947" s="36" t="n"/>
      <c r="J947" s="74" t="n"/>
      <c r="K947" s="36" t="n"/>
    </row>
    <row r="948">
      <c r="A948" s="118">
        <f>IF($B948="","",COUNT($B$5:$B948))</f>
        <v/>
      </c>
      <c r="B948" s="80" t="n"/>
      <c r="C948" s="130">
        <f>IF($B948="","",CHOOSE(WEEKDAY($B948),"일","월","화","수","목","금","토"))</f>
        <v/>
      </c>
      <c r="D948" s="74" t="n"/>
      <c r="E948" s="130">
        <f>IF($D948="","",IFERROR(INDEX(코드설정!$D$5:$D$24,MATCH($D948,코드설정!$C$5:$C$24,0)),""))</f>
        <v/>
      </c>
      <c r="F948" s="74" t="n"/>
      <c r="G948" s="74" t="n"/>
      <c r="H948" s="36" t="n"/>
      <c r="I948" s="36" t="n"/>
      <c r="J948" s="74" t="n"/>
      <c r="K948" s="36" t="n"/>
    </row>
    <row r="949">
      <c r="A949" s="118">
        <f>IF($B949="","",COUNT($B$5:$B949))</f>
        <v/>
      </c>
      <c r="B949" s="80" t="n"/>
      <c r="C949" s="130">
        <f>IF($B949="","",CHOOSE(WEEKDAY($B949),"일","월","화","수","목","금","토"))</f>
        <v/>
      </c>
      <c r="D949" s="74" t="n"/>
      <c r="E949" s="130">
        <f>IF($D949="","",IFERROR(INDEX(코드설정!$D$5:$D$24,MATCH($D949,코드설정!$C$5:$C$24,0)),""))</f>
        <v/>
      </c>
      <c r="F949" s="74" t="n"/>
      <c r="G949" s="74" t="n"/>
      <c r="H949" s="36" t="n"/>
      <c r="I949" s="36" t="n"/>
      <c r="J949" s="74" t="n"/>
      <c r="K949" s="36" t="n"/>
    </row>
    <row r="950">
      <c r="A950" s="118">
        <f>IF($B950="","",COUNT($B$5:$B950))</f>
        <v/>
      </c>
      <c r="B950" s="80" t="n"/>
      <c r="C950" s="130">
        <f>IF($B950="","",CHOOSE(WEEKDAY($B950),"일","월","화","수","목","금","토"))</f>
        <v/>
      </c>
      <c r="D950" s="74" t="n"/>
      <c r="E950" s="130">
        <f>IF($D950="","",IFERROR(INDEX(코드설정!$D$5:$D$24,MATCH($D950,코드설정!$C$5:$C$24,0)),""))</f>
        <v/>
      </c>
      <c r="F950" s="74" t="n"/>
      <c r="G950" s="74" t="n"/>
      <c r="H950" s="36" t="n"/>
      <c r="I950" s="36" t="n"/>
      <c r="J950" s="74" t="n"/>
      <c r="K950" s="36" t="n"/>
    </row>
    <row r="951">
      <c r="A951" s="118">
        <f>IF($B951="","",COUNT($B$5:$B951))</f>
        <v/>
      </c>
      <c r="B951" s="80" t="n"/>
      <c r="C951" s="130">
        <f>IF($B951="","",CHOOSE(WEEKDAY($B951),"일","월","화","수","목","금","토"))</f>
        <v/>
      </c>
      <c r="D951" s="74" t="n"/>
      <c r="E951" s="130">
        <f>IF($D951="","",IFERROR(INDEX(코드설정!$D$5:$D$24,MATCH($D951,코드설정!$C$5:$C$24,0)),""))</f>
        <v/>
      </c>
      <c r="F951" s="74" t="n"/>
      <c r="G951" s="74" t="n"/>
      <c r="H951" s="36" t="n"/>
      <c r="I951" s="36" t="n"/>
      <c r="J951" s="74" t="n"/>
      <c r="K951" s="36" t="n"/>
    </row>
    <row r="952">
      <c r="A952" s="118">
        <f>IF($B952="","",COUNT($B$5:$B952))</f>
        <v/>
      </c>
      <c r="B952" s="80" t="n"/>
      <c r="C952" s="130">
        <f>IF($B952="","",CHOOSE(WEEKDAY($B952),"일","월","화","수","목","금","토"))</f>
        <v/>
      </c>
      <c r="D952" s="74" t="n"/>
      <c r="E952" s="130">
        <f>IF($D952="","",IFERROR(INDEX(코드설정!$D$5:$D$24,MATCH($D952,코드설정!$C$5:$C$24,0)),""))</f>
        <v/>
      </c>
      <c r="F952" s="74" t="n"/>
      <c r="G952" s="74" t="n"/>
      <c r="H952" s="36" t="n"/>
      <c r="I952" s="36" t="n"/>
      <c r="J952" s="74" t="n"/>
      <c r="K952" s="36" t="n"/>
    </row>
    <row r="953">
      <c r="A953" s="118">
        <f>IF($B953="","",COUNT($B$5:$B953))</f>
        <v/>
      </c>
      <c r="B953" s="80" t="n"/>
      <c r="C953" s="130">
        <f>IF($B953="","",CHOOSE(WEEKDAY($B953),"일","월","화","수","목","금","토"))</f>
        <v/>
      </c>
      <c r="D953" s="74" t="n"/>
      <c r="E953" s="130">
        <f>IF($D953="","",IFERROR(INDEX(코드설정!$D$5:$D$24,MATCH($D953,코드설정!$C$5:$C$24,0)),""))</f>
        <v/>
      </c>
      <c r="F953" s="74" t="n"/>
      <c r="G953" s="74" t="n"/>
      <c r="H953" s="36" t="n"/>
      <c r="I953" s="36" t="n"/>
      <c r="J953" s="74" t="n"/>
      <c r="K953" s="36" t="n"/>
    </row>
    <row r="954">
      <c r="A954" s="118">
        <f>IF($B954="","",COUNT($B$5:$B954))</f>
        <v/>
      </c>
      <c r="B954" s="80" t="n"/>
      <c r="C954" s="130">
        <f>IF($B954="","",CHOOSE(WEEKDAY($B954),"일","월","화","수","목","금","토"))</f>
        <v/>
      </c>
      <c r="D954" s="74" t="n"/>
      <c r="E954" s="130">
        <f>IF($D954="","",IFERROR(INDEX(코드설정!$D$5:$D$24,MATCH($D954,코드설정!$C$5:$C$24,0)),""))</f>
        <v/>
      </c>
      <c r="F954" s="74" t="n"/>
      <c r="G954" s="74" t="n"/>
      <c r="H954" s="36" t="n"/>
      <c r="I954" s="36" t="n"/>
      <c r="J954" s="74" t="n"/>
      <c r="K954" s="36" t="n"/>
    </row>
    <row r="955">
      <c r="A955" s="118">
        <f>IF($B955="","",COUNT($B$5:$B955))</f>
        <v/>
      </c>
      <c r="B955" s="80" t="n"/>
      <c r="C955" s="130">
        <f>IF($B955="","",CHOOSE(WEEKDAY($B955),"일","월","화","수","목","금","토"))</f>
        <v/>
      </c>
      <c r="D955" s="74" t="n"/>
      <c r="E955" s="130">
        <f>IF($D955="","",IFERROR(INDEX(코드설정!$D$5:$D$24,MATCH($D955,코드설정!$C$5:$C$24,0)),""))</f>
        <v/>
      </c>
      <c r="F955" s="74" t="n"/>
      <c r="G955" s="74" t="n"/>
      <c r="H955" s="36" t="n"/>
      <c r="I955" s="36" t="n"/>
      <c r="J955" s="74" t="n"/>
      <c r="K955" s="36" t="n"/>
    </row>
    <row r="956">
      <c r="A956" s="118">
        <f>IF($B956="","",COUNT($B$5:$B956))</f>
        <v/>
      </c>
      <c r="B956" s="80" t="n"/>
      <c r="C956" s="130">
        <f>IF($B956="","",CHOOSE(WEEKDAY($B956),"일","월","화","수","목","금","토"))</f>
        <v/>
      </c>
      <c r="D956" s="74" t="n"/>
      <c r="E956" s="130">
        <f>IF($D956="","",IFERROR(INDEX(코드설정!$D$5:$D$24,MATCH($D956,코드설정!$C$5:$C$24,0)),""))</f>
        <v/>
      </c>
      <c r="F956" s="74" t="n"/>
      <c r="G956" s="74" t="n"/>
      <c r="H956" s="36" t="n"/>
      <c r="I956" s="36" t="n"/>
      <c r="J956" s="74" t="n"/>
      <c r="K956" s="36" t="n"/>
    </row>
    <row r="957">
      <c r="A957" s="118">
        <f>IF($B957="","",COUNT($B$5:$B957))</f>
        <v/>
      </c>
      <c r="B957" s="80" t="n"/>
      <c r="C957" s="130">
        <f>IF($B957="","",CHOOSE(WEEKDAY($B957),"일","월","화","수","목","금","토"))</f>
        <v/>
      </c>
      <c r="D957" s="74" t="n"/>
      <c r="E957" s="130">
        <f>IF($D957="","",IFERROR(INDEX(코드설정!$D$5:$D$24,MATCH($D957,코드설정!$C$5:$C$24,0)),""))</f>
        <v/>
      </c>
      <c r="F957" s="74" t="n"/>
      <c r="G957" s="74" t="n"/>
      <c r="H957" s="36" t="n"/>
      <c r="I957" s="36" t="n"/>
      <c r="J957" s="74" t="n"/>
      <c r="K957" s="36" t="n"/>
    </row>
    <row r="958">
      <c r="A958" s="118">
        <f>IF($B958="","",COUNT($B$5:$B958))</f>
        <v/>
      </c>
      <c r="B958" s="80" t="n"/>
      <c r="C958" s="130">
        <f>IF($B958="","",CHOOSE(WEEKDAY($B958),"일","월","화","수","목","금","토"))</f>
        <v/>
      </c>
      <c r="D958" s="74" t="n"/>
      <c r="E958" s="130">
        <f>IF($D958="","",IFERROR(INDEX(코드설정!$D$5:$D$24,MATCH($D958,코드설정!$C$5:$C$24,0)),""))</f>
        <v/>
      </c>
      <c r="F958" s="74" t="n"/>
      <c r="G958" s="74" t="n"/>
      <c r="H958" s="36" t="n"/>
      <c r="I958" s="36" t="n"/>
      <c r="J958" s="74" t="n"/>
      <c r="K958" s="36" t="n"/>
    </row>
    <row r="959">
      <c r="A959" s="118">
        <f>IF($B959="","",COUNT($B$5:$B959))</f>
        <v/>
      </c>
      <c r="B959" s="80" t="n"/>
      <c r="C959" s="130">
        <f>IF($B959="","",CHOOSE(WEEKDAY($B959),"일","월","화","수","목","금","토"))</f>
        <v/>
      </c>
      <c r="D959" s="74" t="n"/>
      <c r="E959" s="130">
        <f>IF($D959="","",IFERROR(INDEX(코드설정!$D$5:$D$24,MATCH($D959,코드설정!$C$5:$C$24,0)),""))</f>
        <v/>
      </c>
      <c r="F959" s="74" t="n"/>
      <c r="G959" s="74" t="n"/>
      <c r="H959" s="36" t="n"/>
      <c r="I959" s="36" t="n"/>
      <c r="J959" s="74" t="n"/>
      <c r="K959" s="36" t="n"/>
    </row>
    <row r="960">
      <c r="A960" s="118">
        <f>IF($B960="","",COUNT($B$5:$B960))</f>
        <v/>
      </c>
      <c r="B960" s="80" t="n"/>
      <c r="C960" s="130">
        <f>IF($B960="","",CHOOSE(WEEKDAY($B960),"일","월","화","수","목","금","토"))</f>
        <v/>
      </c>
      <c r="D960" s="74" t="n"/>
      <c r="E960" s="130">
        <f>IF($D960="","",IFERROR(INDEX(코드설정!$D$5:$D$24,MATCH($D960,코드설정!$C$5:$C$24,0)),""))</f>
        <v/>
      </c>
      <c r="F960" s="74" t="n"/>
      <c r="G960" s="74" t="n"/>
      <c r="H960" s="36" t="n"/>
      <c r="I960" s="36" t="n"/>
      <c r="J960" s="74" t="n"/>
      <c r="K960" s="36" t="n"/>
    </row>
    <row r="961">
      <c r="A961" s="118">
        <f>IF($B961="","",COUNT($B$5:$B961))</f>
        <v/>
      </c>
      <c r="B961" s="80" t="n"/>
      <c r="C961" s="130">
        <f>IF($B961="","",CHOOSE(WEEKDAY($B961),"일","월","화","수","목","금","토"))</f>
        <v/>
      </c>
      <c r="D961" s="74" t="n"/>
      <c r="E961" s="130">
        <f>IF($D961="","",IFERROR(INDEX(코드설정!$D$5:$D$24,MATCH($D961,코드설정!$C$5:$C$24,0)),""))</f>
        <v/>
      </c>
      <c r="F961" s="74" t="n"/>
      <c r="G961" s="74" t="n"/>
      <c r="H961" s="36" t="n"/>
      <c r="I961" s="36" t="n"/>
      <c r="J961" s="74" t="n"/>
      <c r="K961" s="36" t="n"/>
    </row>
    <row r="962">
      <c r="A962" s="118">
        <f>IF($B962="","",COUNT($B$5:$B962))</f>
        <v/>
      </c>
      <c r="B962" s="80" t="n"/>
      <c r="C962" s="130">
        <f>IF($B962="","",CHOOSE(WEEKDAY($B962),"일","월","화","수","목","금","토"))</f>
        <v/>
      </c>
      <c r="D962" s="74" t="n"/>
      <c r="E962" s="130">
        <f>IF($D962="","",IFERROR(INDEX(코드설정!$D$5:$D$24,MATCH($D962,코드설정!$C$5:$C$24,0)),""))</f>
        <v/>
      </c>
      <c r="F962" s="74" t="n"/>
      <c r="G962" s="74" t="n"/>
      <c r="H962" s="36" t="n"/>
      <c r="I962" s="36" t="n"/>
      <c r="J962" s="74" t="n"/>
      <c r="K962" s="36" t="n"/>
    </row>
    <row r="963">
      <c r="A963" s="118">
        <f>IF($B963="","",COUNT($B$5:$B963))</f>
        <v/>
      </c>
      <c r="B963" s="80" t="n"/>
      <c r="C963" s="130">
        <f>IF($B963="","",CHOOSE(WEEKDAY($B963),"일","월","화","수","목","금","토"))</f>
        <v/>
      </c>
      <c r="D963" s="74" t="n"/>
      <c r="E963" s="130">
        <f>IF($D963="","",IFERROR(INDEX(코드설정!$D$5:$D$24,MATCH($D963,코드설정!$C$5:$C$24,0)),""))</f>
        <v/>
      </c>
      <c r="F963" s="74" t="n"/>
      <c r="G963" s="74" t="n"/>
      <c r="H963" s="36" t="n"/>
      <c r="I963" s="36" t="n"/>
      <c r="J963" s="74" t="n"/>
      <c r="K963" s="36" t="n"/>
    </row>
    <row r="964">
      <c r="A964" s="118">
        <f>IF($B964="","",COUNT($B$5:$B964))</f>
        <v/>
      </c>
      <c r="B964" s="80" t="n"/>
      <c r="C964" s="130">
        <f>IF($B964="","",CHOOSE(WEEKDAY($B964),"일","월","화","수","목","금","토"))</f>
        <v/>
      </c>
      <c r="D964" s="74" t="n"/>
      <c r="E964" s="130">
        <f>IF($D964="","",IFERROR(INDEX(코드설정!$D$5:$D$24,MATCH($D964,코드설정!$C$5:$C$24,0)),""))</f>
        <v/>
      </c>
      <c r="F964" s="74" t="n"/>
      <c r="G964" s="74" t="n"/>
      <c r="H964" s="36" t="n"/>
      <c r="I964" s="36" t="n"/>
      <c r="J964" s="74" t="n"/>
      <c r="K964" s="36" t="n"/>
    </row>
    <row r="965">
      <c r="A965" s="118">
        <f>IF($B965="","",COUNT($B$5:$B965))</f>
        <v/>
      </c>
      <c r="B965" s="80" t="n"/>
      <c r="C965" s="130">
        <f>IF($B965="","",CHOOSE(WEEKDAY($B965),"일","월","화","수","목","금","토"))</f>
        <v/>
      </c>
      <c r="D965" s="74" t="n"/>
      <c r="E965" s="130">
        <f>IF($D965="","",IFERROR(INDEX(코드설정!$D$5:$D$24,MATCH($D965,코드설정!$C$5:$C$24,0)),""))</f>
        <v/>
      </c>
      <c r="F965" s="74" t="n"/>
      <c r="G965" s="74" t="n"/>
      <c r="H965" s="36" t="n"/>
      <c r="I965" s="36" t="n"/>
      <c r="J965" s="74" t="n"/>
      <c r="K965" s="36" t="n"/>
    </row>
    <row r="966">
      <c r="A966" s="118">
        <f>IF($B966="","",COUNT($B$5:$B966))</f>
        <v/>
      </c>
      <c r="B966" s="80" t="n"/>
      <c r="C966" s="130">
        <f>IF($B966="","",CHOOSE(WEEKDAY($B966),"일","월","화","수","목","금","토"))</f>
        <v/>
      </c>
      <c r="D966" s="74" t="n"/>
      <c r="E966" s="130">
        <f>IF($D966="","",IFERROR(INDEX(코드설정!$D$5:$D$24,MATCH($D966,코드설정!$C$5:$C$24,0)),""))</f>
        <v/>
      </c>
      <c r="F966" s="74" t="n"/>
      <c r="G966" s="74" t="n"/>
      <c r="H966" s="36" t="n"/>
      <c r="I966" s="36" t="n"/>
      <c r="J966" s="74" t="n"/>
      <c r="K966" s="36" t="n"/>
    </row>
    <row r="967">
      <c r="A967" s="118">
        <f>IF($B967="","",COUNT($B$5:$B967))</f>
        <v/>
      </c>
      <c r="B967" s="80" t="n"/>
      <c r="C967" s="130">
        <f>IF($B967="","",CHOOSE(WEEKDAY($B967),"일","월","화","수","목","금","토"))</f>
        <v/>
      </c>
      <c r="D967" s="74" t="n"/>
      <c r="E967" s="130">
        <f>IF($D967="","",IFERROR(INDEX(코드설정!$D$5:$D$24,MATCH($D967,코드설정!$C$5:$C$24,0)),""))</f>
        <v/>
      </c>
      <c r="F967" s="74" t="n"/>
      <c r="G967" s="74" t="n"/>
      <c r="H967" s="36" t="n"/>
      <c r="I967" s="36" t="n"/>
      <c r="J967" s="74" t="n"/>
      <c r="K967" s="36" t="n"/>
    </row>
    <row r="968">
      <c r="A968" s="118">
        <f>IF($B968="","",COUNT($B$5:$B968))</f>
        <v/>
      </c>
      <c r="B968" s="80" t="n"/>
      <c r="C968" s="130">
        <f>IF($B968="","",CHOOSE(WEEKDAY($B968),"일","월","화","수","목","금","토"))</f>
        <v/>
      </c>
      <c r="D968" s="74" t="n"/>
      <c r="E968" s="130">
        <f>IF($D968="","",IFERROR(INDEX(코드설정!$D$5:$D$24,MATCH($D968,코드설정!$C$5:$C$24,0)),""))</f>
        <v/>
      </c>
      <c r="F968" s="74" t="n"/>
      <c r="G968" s="74" t="n"/>
      <c r="H968" s="36" t="n"/>
      <c r="I968" s="36" t="n"/>
      <c r="J968" s="74" t="n"/>
      <c r="K968" s="36" t="n"/>
    </row>
    <row r="969">
      <c r="A969" s="118">
        <f>IF($B969="","",COUNT($B$5:$B969))</f>
        <v/>
      </c>
      <c r="B969" s="80" t="n"/>
      <c r="C969" s="130">
        <f>IF($B969="","",CHOOSE(WEEKDAY($B969),"일","월","화","수","목","금","토"))</f>
        <v/>
      </c>
      <c r="D969" s="74" t="n"/>
      <c r="E969" s="130">
        <f>IF($D969="","",IFERROR(INDEX(코드설정!$D$5:$D$24,MATCH($D969,코드설정!$C$5:$C$24,0)),""))</f>
        <v/>
      </c>
      <c r="F969" s="74" t="n"/>
      <c r="G969" s="74" t="n"/>
      <c r="H969" s="36" t="n"/>
      <c r="I969" s="36" t="n"/>
      <c r="J969" s="74" t="n"/>
      <c r="K969" s="36" t="n"/>
    </row>
    <row r="970">
      <c r="A970" s="118">
        <f>IF($B970="","",COUNT($B$5:$B970))</f>
        <v/>
      </c>
      <c r="B970" s="80" t="n"/>
      <c r="C970" s="130">
        <f>IF($B970="","",CHOOSE(WEEKDAY($B970),"일","월","화","수","목","금","토"))</f>
        <v/>
      </c>
      <c r="D970" s="74" t="n"/>
      <c r="E970" s="130">
        <f>IF($D970="","",IFERROR(INDEX(코드설정!$D$5:$D$24,MATCH($D970,코드설정!$C$5:$C$24,0)),""))</f>
        <v/>
      </c>
      <c r="F970" s="74" t="n"/>
      <c r="G970" s="74" t="n"/>
      <c r="H970" s="36" t="n"/>
      <c r="I970" s="36" t="n"/>
      <c r="J970" s="74" t="n"/>
      <c r="K970" s="36" t="n"/>
    </row>
    <row r="971">
      <c r="A971" s="118">
        <f>IF($B971="","",COUNT($B$5:$B971))</f>
        <v/>
      </c>
      <c r="B971" s="80" t="n"/>
      <c r="C971" s="130">
        <f>IF($B971="","",CHOOSE(WEEKDAY($B971),"일","월","화","수","목","금","토"))</f>
        <v/>
      </c>
      <c r="D971" s="74" t="n"/>
      <c r="E971" s="130">
        <f>IF($D971="","",IFERROR(INDEX(코드설정!$D$5:$D$24,MATCH($D971,코드설정!$C$5:$C$24,0)),""))</f>
        <v/>
      </c>
      <c r="F971" s="74" t="n"/>
      <c r="G971" s="74" t="n"/>
      <c r="H971" s="36" t="n"/>
      <c r="I971" s="36" t="n"/>
      <c r="J971" s="74" t="n"/>
      <c r="K971" s="36" t="n"/>
    </row>
    <row r="972">
      <c r="A972" s="118">
        <f>IF($B972="","",COUNT($B$5:$B972))</f>
        <v/>
      </c>
      <c r="B972" s="80" t="n"/>
      <c r="C972" s="130">
        <f>IF($B972="","",CHOOSE(WEEKDAY($B972),"일","월","화","수","목","금","토"))</f>
        <v/>
      </c>
      <c r="D972" s="74" t="n"/>
      <c r="E972" s="130">
        <f>IF($D972="","",IFERROR(INDEX(코드설정!$D$5:$D$24,MATCH($D972,코드설정!$C$5:$C$24,0)),""))</f>
        <v/>
      </c>
      <c r="F972" s="74" t="n"/>
      <c r="G972" s="74" t="n"/>
      <c r="H972" s="36" t="n"/>
      <c r="I972" s="36" t="n"/>
      <c r="J972" s="74" t="n"/>
      <c r="K972" s="36" t="n"/>
    </row>
    <row r="973">
      <c r="A973" s="118">
        <f>IF($B973="","",COUNT($B$5:$B973))</f>
        <v/>
      </c>
      <c r="B973" s="80" t="n"/>
      <c r="C973" s="130">
        <f>IF($B973="","",CHOOSE(WEEKDAY($B973),"일","월","화","수","목","금","토"))</f>
        <v/>
      </c>
      <c r="D973" s="74" t="n"/>
      <c r="E973" s="130">
        <f>IF($D973="","",IFERROR(INDEX(코드설정!$D$5:$D$24,MATCH($D973,코드설정!$C$5:$C$24,0)),""))</f>
        <v/>
      </c>
      <c r="F973" s="74" t="n"/>
      <c r="G973" s="74" t="n"/>
      <c r="H973" s="36" t="n"/>
      <c r="I973" s="36" t="n"/>
      <c r="J973" s="74" t="n"/>
      <c r="K973" s="36" t="n"/>
    </row>
    <row r="974">
      <c r="A974" s="118">
        <f>IF($B974="","",COUNT($B$5:$B974))</f>
        <v/>
      </c>
      <c r="B974" s="80" t="n"/>
      <c r="C974" s="130">
        <f>IF($B974="","",CHOOSE(WEEKDAY($B974),"일","월","화","수","목","금","토"))</f>
        <v/>
      </c>
      <c r="D974" s="74" t="n"/>
      <c r="E974" s="130">
        <f>IF($D974="","",IFERROR(INDEX(코드설정!$D$5:$D$24,MATCH($D974,코드설정!$C$5:$C$24,0)),""))</f>
        <v/>
      </c>
      <c r="F974" s="74" t="n"/>
      <c r="G974" s="74" t="n"/>
      <c r="H974" s="36" t="n"/>
      <c r="I974" s="36" t="n"/>
      <c r="J974" s="74" t="n"/>
      <c r="K974" s="36" t="n"/>
    </row>
    <row r="975">
      <c r="A975" s="118">
        <f>IF($B975="","",COUNT($B$5:$B975))</f>
        <v/>
      </c>
      <c r="B975" s="80" t="n"/>
      <c r="C975" s="130">
        <f>IF($B975="","",CHOOSE(WEEKDAY($B975),"일","월","화","수","목","금","토"))</f>
        <v/>
      </c>
      <c r="D975" s="74" t="n"/>
      <c r="E975" s="130">
        <f>IF($D975="","",IFERROR(INDEX(코드설정!$D$5:$D$24,MATCH($D975,코드설정!$C$5:$C$24,0)),""))</f>
        <v/>
      </c>
      <c r="F975" s="74" t="n"/>
      <c r="G975" s="74" t="n"/>
      <c r="H975" s="36" t="n"/>
      <c r="I975" s="36" t="n"/>
      <c r="J975" s="74" t="n"/>
      <c r="K975" s="36" t="n"/>
    </row>
    <row r="976">
      <c r="A976" s="118">
        <f>IF($B976="","",COUNT($B$5:$B976))</f>
        <v/>
      </c>
      <c r="B976" s="80" t="n"/>
      <c r="C976" s="130">
        <f>IF($B976="","",CHOOSE(WEEKDAY($B976),"일","월","화","수","목","금","토"))</f>
        <v/>
      </c>
      <c r="D976" s="74" t="n"/>
      <c r="E976" s="130">
        <f>IF($D976="","",IFERROR(INDEX(코드설정!$D$5:$D$24,MATCH($D976,코드설정!$C$5:$C$24,0)),""))</f>
        <v/>
      </c>
      <c r="F976" s="74" t="n"/>
      <c r="G976" s="74" t="n"/>
      <c r="H976" s="36" t="n"/>
      <c r="I976" s="36" t="n"/>
      <c r="J976" s="74" t="n"/>
      <c r="K976" s="36" t="n"/>
    </row>
    <row r="977">
      <c r="A977" s="118">
        <f>IF($B977="","",COUNT($B$5:$B977))</f>
        <v/>
      </c>
      <c r="B977" s="80" t="n"/>
      <c r="C977" s="130">
        <f>IF($B977="","",CHOOSE(WEEKDAY($B977),"일","월","화","수","목","금","토"))</f>
        <v/>
      </c>
      <c r="D977" s="74" t="n"/>
      <c r="E977" s="130">
        <f>IF($D977="","",IFERROR(INDEX(코드설정!$D$5:$D$24,MATCH($D977,코드설정!$C$5:$C$24,0)),""))</f>
        <v/>
      </c>
      <c r="F977" s="74" t="n"/>
      <c r="G977" s="74" t="n"/>
      <c r="H977" s="36" t="n"/>
      <c r="I977" s="36" t="n"/>
      <c r="J977" s="74" t="n"/>
      <c r="K977" s="36" t="n"/>
    </row>
    <row r="978">
      <c r="A978" s="118">
        <f>IF($B978="","",COUNT($B$5:$B978))</f>
        <v/>
      </c>
      <c r="B978" s="80" t="n"/>
      <c r="C978" s="130">
        <f>IF($B978="","",CHOOSE(WEEKDAY($B978),"일","월","화","수","목","금","토"))</f>
        <v/>
      </c>
      <c r="D978" s="74" t="n"/>
      <c r="E978" s="130">
        <f>IF($D978="","",IFERROR(INDEX(코드설정!$D$5:$D$24,MATCH($D978,코드설정!$C$5:$C$24,0)),""))</f>
        <v/>
      </c>
      <c r="F978" s="74" t="n"/>
      <c r="G978" s="74" t="n"/>
      <c r="H978" s="36" t="n"/>
      <c r="I978" s="36" t="n"/>
      <c r="J978" s="74" t="n"/>
      <c r="K978" s="36" t="n"/>
    </row>
    <row r="979">
      <c r="A979" s="118">
        <f>IF($B979="","",COUNT($B$5:$B979))</f>
        <v/>
      </c>
      <c r="B979" s="80" t="n"/>
      <c r="C979" s="130">
        <f>IF($B979="","",CHOOSE(WEEKDAY($B979),"일","월","화","수","목","금","토"))</f>
        <v/>
      </c>
      <c r="D979" s="74" t="n"/>
      <c r="E979" s="130">
        <f>IF($D979="","",IFERROR(INDEX(코드설정!$D$5:$D$24,MATCH($D979,코드설정!$C$5:$C$24,0)),""))</f>
        <v/>
      </c>
      <c r="F979" s="74" t="n"/>
      <c r="G979" s="74" t="n"/>
      <c r="H979" s="36" t="n"/>
      <c r="I979" s="36" t="n"/>
      <c r="J979" s="74" t="n"/>
      <c r="K979" s="36" t="n"/>
    </row>
    <row r="980">
      <c r="A980" s="118">
        <f>IF($B980="","",COUNT($B$5:$B980))</f>
        <v/>
      </c>
      <c r="B980" s="80" t="n"/>
      <c r="C980" s="130">
        <f>IF($B980="","",CHOOSE(WEEKDAY($B980),"일","월","화","수","목","금","토"))</f>
        <v/>
      </c>
      <c r="D980" s="74" t="n"/>
      <c r="E980" s="130">
        <f>IF($D980="","",IFERROR(INDEX(코드설정!$D$5:$D$24,MATCH($D980,코드설정!$C$5:$C$24,0)),""))</f>
        <v/>
      </c>
      <c r="F980" s="74" t="n"/>
      <c r="G980" s="74" t="n"/>
      <c r="H980" s="36" t="n"/>
      <c r="I980" s="36" t="n"/>
      <c r="J980" s="74" t="n"/>
      <c r="K980" s="36" t="n"/>
    </row>
    <row r="981">
      <c r="A981" s="118">
        <f>IF($B981="","",COUNT($B$5:$B981))</f>
        <v/>
      </c>
      <c r="B981" s="80" t="n"/>
      <c r="C981" s="130">
        <f>IF($B981="","",CHOOSE(WEEKDAY($B981),"일","월","화","수","목","금","토"))</f>
        <v/>
      </c>
      <c r="D981" s="74" t="n"/>
      <c r="E981" s="130">
        <f>IF($D981="","",IFERROR(INDEX(코드설정!$D$5:$D$24,MATCH($D981,코드설정!$C$5:$C$24,0)),""))</f>
        <v/>
      </c>
      <c r="F981" s="74" t="n"/>
      <c r="G981" s="74" t="n"/>
      <c r="H981" s="36" t="n"/>
      <c r="I981" s="36" t="n"/>
      <c r="J981" s="74" t="n"/>
      <c r="K981" s="36" t="n"/>
    </row>
    <row r="982">
      <c r="A982" s="118">
        <f>IF($B982="","",COUNT($B$5:$B982))</f>
        <v/>
      </c>
      <c r="B982" s="80" t="n"/>
      <c r="C982" s="130">
        <f>IF($B982="","",CHOOSE(WEEKDAY($B982),"일","월","화","수","목","금","토"))</f>
        <v/>
      </c>
      <c r="D982" s="74" t="n"/>
      <c r="E982" s="130">
        <f>IF($D982="","",IFERROR(INDEX(코드설정!$D$5:$D$24,MATCH($D982,코드설정!$C$5:$C$24,0)),""))</f>
        <v/>
      </c>
      <c r="F982" s="74" t="n"/>
      <c r="G982" s="74" t="n"/>
      <c r="H982" s="36" t="n"/>
      <c r="I982" s="36" t="n"/>
      <c r="J982" s="74" t="n"/>
      <c r="K982" s="36" t="n"/>
    </row>
    <row r="983">
      <c r="A983" s="118">
        <f>IF($B983="","",COUNT($B$5:$B983))</f>
        <v/>
      </c>
      <c r="B983" s="80" t="n"/>
      <c r="C983" s="130">
        <f>IF($B983="","",CHOOSE(WEEKDAY($B983),"일","월","화","수","목","금","토"))</f>
        <v/>
      </c>
      <c r="D983" s="74" t="n"/>
      <c r="E983" s="130">
        <f>IF($D983="","",IFERROR(INDEX(코드설정!$D$5:$D$24,MATCH($D983,코드설정!$C$5:$C$24,0)),""))</f>
        <v/>
      </c>
      <c r="F983" s="74" t="n"/>
      <c r="G983" s="74" t="n"/>
      <c r="H983" s="36" t="n"/>
      <c r="I983" s="36" t="n"/>
      <c r="J983" s="74" t="n"/>
      <c r="K983" s="36" t="n"/>
    </row>
    <row r="984">
      <c r="A984" s="118">
        <f>IF($B984="","",COUNT($B$5:$B984))</f>
        <v/>
      </c>
      <c r="B984" s="80" t="n"/>
      <c r="C984" s="130">
        <f>IF($B984="","",CHOOSE(WEEKDAY($B984),"일","월","화","수","목","금","토"))</f>
        <v/>
      </c>
      <c r="D984" s="74" t="n"/>
      <c r="E984" s="130">
        <f>IF($D984="","",IFERROR(INDEX(코드설정!$D$5:$D$24,MATCH($D984,코드설정!$C$5:$C$24,0)),""))</f>
        <v/>
      </c>
      <c r="F984" s="74" t="n"/>
      <c r="G984" s="74" t="n"/>
      <c r="H984" s="36" t="n"/>
      <c r="I984" s="36" t="n"/>
      <c r="J984" s="74" t="n"/>
      <c r="K984" s="36" t="n"/>
    </row>
    <row r="985">
      <c r="A985" s="118">
        <f>IF($B985="","",COUNT($B$5:$B985))</f>
        <v/>
      </c>
      <c r="B985" s="80" t="n"/>
      <c r="C985" s="130">
        <f>IF($B985="","",CHOOSE(WEEKDAY($B985),"일","월","화","수","목","금","토"))</f>
        <v/>
      </c>
      <c r="D985" s="74" t="n"/>
      <c r="E985" s="130">
        <f>IF($D985="","",IFERROR(INDEX(코드설정!$D$5:$D$24,MATCH($D985,코드설정!$C$5:$C$24,0)),""))</f>
        <v/>
      </c>
      <c r="F985" s="74" t="n"/>
      <c r="G985" s="74" t="n"/>
      <c r="H985" s="36" t="n"/>
      <c r="I985" s="36" t="n"/>
      <c r="J985" s="74" t="n"/>
      <c r="K985" s="36" t="n"/>
    </row>
    <row r="986">
      <c r="A986" s="118">
        <f>IF($B986="","",COUNT($B$5:$B986))</f>
        <v/>
      </c>
      <c r="B986" s="80" t="n"/>
      <c r="C986" s="130">
        <f>IF($B986="","",CHOOSE(WEEKDAY($B986),"일","월","화","수","목","금","토"))</f>
        <v/>
      </c>
      <c r="D986" s="74" t="n"/>
      <c r="E986" s="130">
        <f>IF($D986="","",IFERROR(INDEX(코드설정!$D$5:$D$24,MATCH($D986,코드설정!$C$5:$C$24,0)),""))</f>
        <v/>
      </c>
      <c r="F986" s="74" t="n"/>
      <c r="G986" s="74" t="n"/>
      <c r="H986" s="36" t="n"/>
      <c r="I986" s="36" t="n"/>
      <c r="J986" s="74" t="n"/>
      <c r="K986" s="36" t="n"/>
    </row>
    <row r="987">
      <c r="A987" s="118">
        <f>IF($B987="","",COUNT($B$5:$B987))</f>
        <v/>
      </c>
      <c r="B987" s="80" t="n"/>
      <c r="C987" s="130">
        <f>IF($B987="","",CHOOSE(WEEKDAY($B987),"일","월","화","수","목","금","토"))</f>
        <v/>
      </c>
      <c r="D987" s="74" t="n"/>
      <c r="E987" s="130">
        <f>IF($D987="","",IFERROR(INDEX(코드설정!$D$5:$D$24,MATCH($D987,코드설정!$C$5:$C$24,0)),""))</f>
        <v/>
      </c>
      <c r="F987" s="74" t="n"/>
      <c r="G987" s="74" t="n"/>
      <c r="H987" s="36" t="n"/>
      <c r="I987" s="36" t="n"/>
      <c r="J987" s="74" t="n"/>
      <c r="K987" s="36" t="n"/>
    </row>
    <row r="988">
      <c r="A988" s="118">
        <f>IF($B988="","",COUNT($B$5:$B988))</f>
        <v/>
      </c>
      <c r="B988" s="80" t="n"/>
      <c r="C988" s="130">
        <f>IF($B988="","",CHOOSE(WEEKDAY($B988),"일","월","화","수","목","금","토"))</f>
        <v/>
      </c>
      <c r="D988" s="74" t="n"/>
      <c r="E988" s="130">
        <f>IF($D988="","",IFERROR(INDEX(코드설정!$D$5:$D$24,MATCH($D988,코드설정!$C$5:$C$24,0)),""))</f>
        <v/>
      </c>
      <c r="F988" s="74" t="n"/>
      <c r="G988" s="74" t="n"/>
      <c r="H988" s="36" t="n"/>
      <c r="I988" s="36" t="n"/>
      <c r="J988" s="74" t="n"/>
      <c r="K988" s="36" t="n"/>
    </row>
    <row r="989">
      <c r="A989" s="118">
        <f>IF($B989="","",COUNT($B$5:$B989))</f>
        <v/>
      </c>
      <c r="B989" s="80" t="n"/>
      <c r="C989" s="130">
        <f>IF($B989="","",CHOOSE(WEEKDAY($B989),"일","월","화","수","목","금","토"))</f>
        <v/>
      </c>
      <c r="D989" s="74" t="n"/>
      <c r="E989" s="130">
        <f>IF($D989="","",IFERROR(INDEX(코드설정!$D$5:$D$24,MATCH($D989,코드설정!$C$5:$C$24,0)),""))</f>
        <v/>
      </c>
      <c r="F989" s="74" t="n"/>
      <c r="G989" s="74" t="n"/>
      <c r="H989" s="36" t="n"/>
      <c r="I989" s="36" t="n"/>
      <c r="J989" s="74" t="n"/>
      <c r="K989" s="36" t="n"/>
    </row>
    <row r="990">
      <c r="A990" s="118">
        <f>IF($B990="","",COUNT($B$5:$B990))</f>
        <v/>
      </c>
      <c r="B990" s="80" t="n"/>
      <c r="C990" s="130">
        <f>IF($B990="","",CHOOSE(WEEKDAY($B990),"일","월","화","수","목","금","토"))</f>
        <v/>
      </c>
      <c r="D990" s="74" t="n"/>
      <c r="E990" s="130">
        <f>IF($D990="","",IFERROR(INDEX(코드설정!$D$5:$D$24,MATCH($D990,코드설정!$C$5:$C$24,0)),""))</f>
        <v/>
      </c>
      <c r="F990" s="74" t="n"/>
      <c r="G990" s="74" t="n"/>
      <c r="H990" s="36" t="n"/>
      <c r="I990" s="36" t="n"/>
      <c r="J990" s="74" t="n"/>
      <c r="K990" s="36" t="n"/>
    </row>
    <row r="991">
      <c r="A991" s="118">
        <f>IF($B991="","",COUNT($B$5:$B991))</f>
        <v/>
      </c>
      <c r="B991" s="80" t="n"/>
      <c r="C991" s="130">
        <f>IF($B991="","",CHOOSE(WEEKDAY($B991),"일","월","화","수","목","금","토"))</f>
        <v/>
      </c>
      <c r="D991" s="74" t="n"/>
      <c r="E991" s="130">
        <f>IF($D991="","",IFERROR(INDEX(코드설정!$D$5:$D$24,MATCH($D991,코드설정!$C$5:$C$24,0)),""))</f>
        <v/>
      </c>
      <c r="F991" s="74" t="n"/>
      <c r="G991" s="74" t="n"/>
      <c r="H991" s="36" t="n"/>
      <c r="I991" s="36" t="n"/>
      <c r="J991" s="74" t="n"/>
      <c r="K991" s="36" t="n"/>
    </row>
    <row r="992">
      <c r="A992" s="118">
        <f>IF($B992="","",COUNT($B$5:$B992))</f>
        <v/>
      </c>
      <c r="B992" s="80" t="n"/>
      <c r="C992" s="130">
        <f>IF($B992="","",CHOOSE(WEEKDAY($B992),"일","월","화","수","목","금","토"))</f>
        <v/>
      </c>
      <c r="D992" s="74" t="n"/>
      <c r="E992" s="130">
        <f>IF($D992="","",IFERROR(INDEX(코드설정!$D$5:$D$24,MATCH($D992,코드설정!$C$5:$C$24,0)),""))</f>
        <v/>
      </c>
      <c r="F992" s="74" t="n"/>
      <c r="G992" s="74" t="n"/>
      <c r="H992" s="36" t="n"/>
      <c r="I992" s="36" t="n"/>
      <c r="J992" s="74" t="n"/>
      <c r="K992" s="36" t="n"/>
    </row>
    <row r="993">
      <c r="A993" s="118">
        <f>IF($B993="","",COUNT($B$5:$B993))</f>
        <v/>
      </c>
      <c r="B993" s="80" t="n"/>
      <c r="C993" s="130">
        <f>IF($B993="","",CHOOSE(WEEKDAY($B993),"일","월","화","수","목","금","토"))</f>
        <v/>
      </c>
      <c r="D993" s="74" t="n"/>
      <c r="E993" s="130">
        <f>IF($D993="","",IFERROR(INDEX(코드설정!$D$5:$D$24,MATCH($D993,코드설정!$C$5:$C$24,0)),""))</f>
        <v/>
      </c>
      <c r="F993" s="74" t="n"/>
      <c r="G993" s="74" t="n"/>
      <c r="H993" s="36" t="n"/>
      <c r="I993" s="36" t="n"/>
      <c r="J993" s="74" t="n"/>
      <c r="K993" s="36" t="n"/>
    </row>
    <row r="994">
      <c r="A994" s="118">
        <f>IF($B994="","",COUNT($B$5:$B994))</f>
        <v/>
      </c>
      <c r="B994" s="80" t="n"/>
      <c r="C994" s="130">
        <f>IF($B994="","",CHOOSE(WEEKDAY($B994),"일","월","화","수","목","금","토"))</f>
        <v/>
      </c>
      <c r="D994" s="74" t="n"/>
      <c r="E994" s="130">
        <f>IF($D994="","",IFERROR(INDEX(코드설정!$D$5:$D$24,MATCH($D994,코드설정!$C$5:$C$24,0)),""))</f>
        <v/>
      </c>
      <c r="F994" s="74" t="n"/>
      <c r="G994" s="74" t="n"/>
      <c r="H994" s="36" t="n"/>
      <c r="I994" s="36" t="n"/>
      <c r="J994" s="74" t="n"/>
      <c r="K994" s="36" t="n"/>
    </row>
    <row r="995">
      <c r="A995" s="118">
        <f>IF($B995="","",COUNT($B$5:$B995))</f>
        <v/>
      </c>
      <c r="B995" s="80" t="n"/>
      <c r="C995" s="130">
        <f>IF($B995="","",CHOOSE(WEEKDAY($B995),"일","월","화","수","목","금","토"))</f>
        <v/>
      </c>
      <c r="D995" s="74" t="n"/>
      <c r="E995" s="130">
        <f>IF($D995="","",IFERROR(INDEX(코드설정!$D$5:$D$24,MATCH($D995,코드설정!$C$5:$C$24,0)),""))</f>
        <v/>
      </c>
      <c r="F995" s="74" t="n"/>
      <c r="G995" s="74" t="n"/>
      <c r="H995" s="36" t="n"/>
      <c r="I995" s="36" t="n"/>
      <c r="J995" s="74" t="n"/>
      <c r="K995" s="36" t="n"/>
    </row>
    <row r="996">
      <c r="A996" s="118">
        <f>IF($B996="","",COUNT($B$5:$B996))</f>
        <v/>
      </c>
      <c r="B996" s="80" t="n"/>
      <c r="C996" s="130">
        <f>IF($B996="","",CHOOSE(WEEKDAY($B996),"일","월","화","수","목","금","토"))</f>
        <v/>
      </c>
      <c r="D996" s="74" t="n"/>
      <c r="E996" s="130">
        <f>IF($D996="","",IFERROR(INDEX(코드설정!$D$5:$D$24,MATCH($D996,코드설정!$C$5:$C$24,0)),""))</f>
        <v/>
      </c>
      <c r="F996" s="74" t="n"/>
      <c r="G996" s="74" t="n"/>
      <c r="H996" s="36" t="n"/>
      <c r="I996" s="36" t="n"/>
      <c r="J996" s="74" t="n"/>
      <c r="K996" s="36" t="n"/>
    </row>
    <row r="997">
      <c r="A997" s="118">
        <f>IF($B997="","",COUNT($B$5:$B997))</f>
        <v/>
      </c>
      <c r="B997" s="80" t="n"/>
      <c r="C997" s="130">
        <f>IF($B997="","",CHOOSE(WEEKDAY($B997),"일","월","화","수","목","금","토"))</f>
        <v/>
      </c>
      <c r="D997" s="74" t="n"/>
      <c r="E997" s="130">
        <f>IF($D997="","",IFERROR(INDEX(코드설정!$D$5:$D$24,MATCH($D997,코드설정!$C$5:$C$24,0)),""))</f>
        <v/>
      </c>
      <c r="F997" s="74" t="n"/>
      <c r="G997" s="74" t="n"/>
      <c r="H997" s="36" t="n"/>
      <c r="I997" s="36" t="n"/>
      <c r="J997" s="74" t="n"/>
      <c r="K997" s="36" t="n"/>
    </row>
    <row r="998">
      <c r="A998" s="118">
        <f>IF($B998="","",COUNT($B$5:$B998))</f>
        <v/>
      </c>
      <c r="B998" s="80" t="n"/>
      <c r="C998" s="130">
        <f>IF($B998="","",CHOOSE(WEEKDAY($B998),"일","월","화","수","목","금","토"))</f>
        <v/>
      </c>
      <c r="D998" s="74" t="n"/>
      <c r="E998" s="130">
        <f>IF($D998="","",IFERROR(INDEX(코드설정!$D$5:$D$24,MATCH($D998,코드설정!$C$5:$C$24,0)),""))</f>
        <v/>
      </c>
      <c r="F998" s="74" t="n"/>
      <c r="G998" s="74" t="n"/>
      <c r="H998" s="36" t="n"/>
      <c r="I998" s="36" t="n"/>
      <c r="J998" s="74" t="n"/>
      <c r="K998" s="36" t="n"/>
    </row>
    <row r="999">
      <c r="A999" s="118">
        <f>IF($B999="","",COUNT($B$5:$B999))</f>
        <v/>
      </c>
      <c r="B999" s="80" t="n"/>
      <c r="C999" s="130">
        <f>IF($B999="","",CHOOSE(WEEKDAY($B999),"일","월","화","수","목","금","토"))</f>
        <v/>
      </c>
      <c r="D999" s="74" t="n"/>
      <c r="E999" s="130">
        <f>IF($D999="","",IFERROR(INDEX(코드설정!$D$5:$D$24,MATCH($D999,코드설정!$C$5:$C$24,0)),""))</f>
        <v/>
      </c>
      <c r="F999" s="74" t="n"/>
      <c r="G999" s="74" t="n"/>
      <c r="H999" s="36" t="n"/>
      <c r="I999" s="36" t="n"/>
      <c r="J999" s="74" t="n"/>
      <c r="K999" s="36" t="n"/>
    </row>
    <row r="1000">
      <c r="A1000" s="118">
        <f>IF($B1000="","",COUNT($B$5:$B1000))</f>
        <v/>
      </c>
      <c r="B1000" s="80" t="n"/>
      <c r="C1000" s="130">
        <f>IF($B1000="","",CHOOSE(WEEKDAY($B1000),"일","월","화","수","목","금","토"))</f>
        <v/>
      </c>
      <c r="D1000" s="74" t="n"/>
      <c r="E1000" s="130">
        <f>IF($D1000="","",IFERROR(INDEX(코드설정!$D$5:$D$24,MATCH($D1000,코드설정!$C$5:$C$24,0)),""))</f>
        <v/>
      </c>
      <c r="F1000" s="74" t="n"/>
      <c r="G1000" s="74" t="n"/>
      <c r="H1000" s="36" t="n"/>
      <c r="I1000" s="36" t="n"/>
      <c r="J1000" s="74" t="n"/>
      <c r="K1000" s="36" t="n"/>
    </row>
    <row r="1001">
      <c r="A1001" s="118">
        <f>IF($B1001="","",COUNT($B$5:$B1001))</f>
        <v/>
      </c>
      <c r="B1001" s="80" t="n"/>
      <c r="C1001" s="130">
        <f>IF($B1001="","",CHOOSE(WEEKDAY($B1001),"일","월","화","수","목","금","토"))</f>
        <v/>
      </c>
      <c r="D1001" s="74" t="n"/>
      <c r="E1001" s="130">
        <f>IF($D1001="","",IFERROR(INDEX(코드설정!$D$5:$D$24,MATCH($D1001,코드설정!$C$5:$C$24,0)),""))</f>
        <v/>
      </c>
      <c r="F1001" s="74" t="n"/>
      <c r="G1001" s="74" t="n"/>
      <c r="H1001" s="36" t="n"/>
      <c r="I1001" s="36" t="n"/>
      <c r="J1001" s="74" t="n"/>
      <c r="K1001" s="36" t="n"/>
    </row>
    <row r="1002">
      <c r="A1002" s="118">
        <f>IF($B1002="","",COUNT($B$5:$B1002))</f>
        <v/>
      </c>
      <c r="B1002" s="80" t="n"/>
      <c r="C1002" s="130">
        <f>IF($B1002="","",CHOOSE(WEEKDAY($B1002),"일","월","화","수","목","금","토"))</f>
        <v/>
      </c>
      <c r="D1002" s="74" t="n"/>
      <c r="E1002" s="130">
        <f>IF($D1002="","",IFERROR(INDEX(코드설정!$D$5:$D$24,MATCH($D1002,코드설정!$C$5:$C$24,0)),""))</f>
        <v/>
      </c>
      <c r="F1002" s="74" t="n"/>
      <c r="G1002" s="74" t="n"/>
      <c r="H1002" s="36" t="n"/>
      <c r="I1002" s="36" t="n"/>
      <c r="J1002" s="74" t="n"/>
      <c r="K1002" s="36" t="n"/>
    </row>
    <row r="1003">
      <c r="A1003" s="118">
        <f>IF($B1003="","",COUNT($B$5:$B1003))</f>
        <v/>
      </c>
      <c r="B1003" s="80" t="n"/>
      <c r="C1003" s="130">
        <f>IF($B1003="","",CHOOSE(WEEKDAY($B1003),"일","월","화","수","목","금","토"))</f>
        <v/>
      </c>
      <c r="D1003" s="74" t="n"/>
      <c r="E1003" s="130">
        <f>IF($D1003="","",IFERROR(INDEX(코드설정!$D$5:$D$24,MATCH($D1003,코드설정!$C$5:$C$24,0)),""))</f>
        <v/>
      </c>
      <c r="F1003" s="74" t="n"/>
      <c r="G1003" s="74" t="n"/>
      <c r="H1003" s="36" t="n"/>
      <c r="I1003" s="36" t="n"/>
      <c r="J1003" s="74" t="n"/>
      <c r="K1003" s="36" t="n"/>
    </row>
    <row r="1004">
      <c r="A1004" s="118">
        <f>IF($B1004="","",COUNT($B$5:$B1004))</f>
        <v/>
      </c>
      <c r="B1004" s="80" t="n"/>
      <c r="C1004" s="130">
        <f>IF($B1004="","",CHOOSE(WEEKDAY($B1004),"일","월","화","수","목","금","토"))</f>
        <v/>
      </c>
      <c r="D1004" s="74" t="n"/>
      <c r="E1004" s="130">
        <f>IF($D1004="","",IFERROR(INDEX(코드설정!$D$5:$D$24,MATCH($D1004,코드설정!$C$5:$C$24,0)),""))</f>
        <v/>
      </c>
      <c r="F1004" s="74" t="n"/>
      <c r="G1004" s="74" t="n"/>
      <c r="H1004" s="36" t="n"/>
      <c r="I1004" s="36" t="n"/>
      <c r="J1004" s="74" t="n"/>
      <c r="K1004" s="36" t="n"/>
    </row>
  </sheetData>
  <autoFilter ref="A4:K1004"/>
  <conditionalFormatting sqref="A5:K1004">
    <cfRule type="expression" priority="1" dxfId="2" stopIfTrue="0">
      <formula>AND($B5&lt;&gt;"",$J5="완료")</formula>
    </cfRule>
    <cfRule type="expression" priority="2" dxfId="3" stopIfTrue="0">
      <formula>AND($B5&lt;&gt;"",$J5="보류")</formula>
    </cfRule>
  </conditionalFormatting>
  <conditionalFormatting sqref="C5:C1004">
    <cfRule type="expression" priority="3" dxfId="5" stopIfTrue="0">
      <formula>OR($C5="토",$C5="일")</formula>
    </cfRule>
  </conditionalFormatting>
  <dataValidations count="4">
    <dataValidation sqref="D5:D1004" showDropDown="0" showInputMessage="0" showErrorMessage="0" allowBlank="1" type="list">
      <formula1>목록_담당자</formula1>
    </dataValidation>
    <dataValidation sqref="F5:F1004" showDropDown="0" showInputMessage="0" showErrorMessage="0" allowBlank="1" type="list">
      <formula1>목록_일일구분</formula1>
    </dataValidation>
    <dataValidation sqref="G5:G1004" showDropDown="0" showInputMessage="0" showErrorMessage="0" allowBlank="1" type="list">
      <formula1>목록_사건번호</formula1>
    </dataValidation>
    <dataValidation sqref="J5:J1004" showDropDown="0" showInputMessage="0" showErrorMessage="0" allowBlank="1" type="list">
      <formula1>목록_진행상태</formula1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&amp;L&amp;"Arial"&amp;9일일실시사항&amp;R&amp;"Arial"&amp;9인쇄 &amp;D</oddHeader>
    <oddFooter>&amp;C&amp;"Arial"&amp;9&amp;P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BP6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12" customWidth="1" min="4" max="4"/>
    <col width="11" customWidth="1" min="5" max="5"/>
    <col width="13" customWidth="1" min="6" max="6"/>
    <col width="11" customWidth="1" min="7" max="7"/>
    <col width="12" customWidth="1" min="8" max="8"/>
    <col width="30" customWidth="1" min="9" max="9"/>
    <col width="18" customWidth="1" min="10" max="10"/>
    <col width="3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hidden="1" width="13" customWidth="1" min="32" max="32"/>
    <col hidden="1" width="14" customWidth="1" min="33" max="33"/>
    <col hidden="1" width="14" customWidth="1" min="34" max="34"/>
    <col hidden="1" width="14" customWidth="1" min="35" max="35"/>
    <col hidden="1" width="14" customWidth="1" min="36" max="36"/>
    <col hidden="1" width="14" customWidth="1" min="37" max="37"/>
    <col hidden="1" width="14" customWidth="1" min="38" max="38"/>
    <col hidden="1" width="14" customWidth="1" min="39" max="39"/>
    <col hidden="1" width="14" customWidth="1" min="40" max="40"/>
    <col hidden="1" width="14" customWidth="1" min="41" max="41"/>
    <col hidden="1" width="14" customWidth="1" min="42" max="42"/>
    <col hidden="1" width="14" customWidth="1" min="43" max="43"/>
    <col hidden="1" width="14" customWidth="1" min="44" max="44"/>
    <col hidden="1" width="14" customWidth="1" min="45" max="45"/>
    <col hidden="1" width="14" customWidth="1" min="46" max="46"/>
    <col hidden="1" width="14" customWidth="1" min="47" max="47"/>
    <col hidden="1" width="14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</cols>
  <sheetData>
    <row r="1" ht="24" customHeight="1">
      <c r="A1" s="6" t="inlineStr">
        <is>
          <t>사건 마스터  ·  사건 등록 및 담당자 배정</t>
        </is>
      </c>
    </row>
    <row r="2" ht="26" customHeight="1">
      <c r="A2" s="7" t="inlineStr">
        <is>
          <t>※ 사건을 여기 한 번만 등록하면 [업무일지]에서 사건번호만 골라도 사건명·요청처·담당자가 전부 자동으로 채워집니다.  ※ L열부터 담당자별 배정칸입니다. 한 사건에 여러 명을 선택하세요 — [주담당] 1명, 나머지는 [참여] (참여자는 최대 15명까지 업무일지로 전달됩니다).</t>
        </is>
      </c>
    </row>
    <row r="3">
      <c r="AG3" s="7" t="inlineStr">
        <is>
          <t>▼ 아래 6개 열은 [업무일지]가 참조하는 자동 계산 열입니다. 지우지 마세요.</t>
        </is>
      </c>
    </row>
    <row r="4" ht="32" customHeight="1">
      <c r="A4" s="23" t="inlineStr">
        <is>
          <t>사건번호</t>
        </is>
      </c>
      <c r="B4" s="23" t="inlineStr">
        <is>
          <t>사건명</t>
        </is>
      </c>
      <c r="C4" s="23" t="inlineStr">
        <is>
          <t>요청·의뢰처</t>
        </is>
      </c>
      <c r="D4" s="23" t="inlineStr">
        <is>
          <t>접수일</t>
        </is>
      </c>
      <c r="E4" s="23" t="inlineStr">
        <is>
          <t>진행상태</t>
        </is>
      </c>
      <c r="F4" s="23" t="inlineStr">
        <is>
          <t>주무팀</t>
        </is>
      </c>
      <c r="G4" s="23" t="inlineStr">
        <is>
          <t>배정인원(명)</t>
        </is>
      </c>
      <c r="H4" s="23" t="inlineStr">
        <is>
          <t>주담당(자동)</t>
        </is>
      </c>
      <c r="I4" s="23" t="inlineStr">
        <is>
          <t>배정 담당자 명단(자동)</t>
        </is>
      </c>
      <c r="J4" s="23" t="inlineStr">
        <is>
          <t>비고</t>
        </is>
      </c>
      <c r="K4" s="39" t="n"/>
      <c r="L4" s="40">
        <f>IF(코드설정!$C$5="","",코드설정!$C$5)</f>
        <v/>
      </c>
      <c r="M4" s="40">
        <f>IF(코드설정!$C$6="","",코드설정!$C$6)</f>
        <v/>
      </c>
      <c r="N4" s="40">
        <f>IF(코드설정!$C$7="","",코드설정!$C$7)</f>
        <v/>
      </c>
      <c r="O4" s="40">
        <f>IF(코드설정!$C$8="","",코드설정!$C$8)</f>
        <v/>
      </c>
      <c r="P4" s="40">
        <f>IF(코드설정!$C$9="","",코드설정!$C$9)</f>
        <v/>
      </c>
      <c r="Q4" s="40">
        <f>IF(코드설정!$C$10="","",코드설정!$C$10)</f>
        <v/>
      </c>
      <c r="R4" s="40">
        <f>IF(코드설정!$C$11="","",코드설정!$C$11)</f>
        <v/>
      </c>
      <c r="S4" s="40">
        <f>IF(코드설정!$C$12="","",코드설정!$C$12)</f>
        <v/>
      </c>
      <c r="T4" s="40">
        <f>IF(코드설정!$C$13="","",코드설정!$C$13)</f>
        <v/>
      </c>
      <c r="U4" s="40">
        <f>IF(코드설정!$C$14="","",코드설정!$C$14)</f>
        <v/>
      </c>
      <c r="V4" s="40">
        <f>IF(코드설정!$C$15="","",코드설정!$C$15)</f>
        <v/>
      </c>
      <c r="W4" s="40">
        <f>IF(코드설정!$C$16="","",코드설정!$C$16)</f>
        <v/>
      </c>
      <c r="X4" s="40">
        <f>IF(코드설정!$C$17="","",코드설정!$C$17)</f>
        <v/>
      </c>
      <c r="Y4" s="40">
        <f>IF(코드설정!$C$18="","",코드설정!$C$18)</f>
        <v/>
      </c>
      <c r="Z4" s="40">
        <f>IF(코드설정!$C$19="","",코드설정!$C$19)</f>
        <v/>
      </c>
      <c r="AA4" s="40">
        <f>IF(코드설정!$C$20="","",코드설정!$C$20)</f>
        <v/>
      </c>
      <c r="AB4" s="40">
        <f>IF(코드설정!$C$21="","",코드설정!$C$21)</f>
        <v/>
      </c>
      <c r="AC4" s="40">
        <f>IF(코드설정!$C$22="","",코드설정!$C$22)</f>
        <v/>
      </c>
      <c r="AD4" s="40">
        <f>IF(코드설정!$C$23="","",코드설정!$C$23)</f>
        <v/>
      </c>
      <c r="AE4" s="40">
        <f>IF(코드설정!$C$24="","",코드설정!$C$24)</f>
        <v/>
      </c>
      <c r="AG4" s="41" t="inlineStr">
        <is>
          <t>참여자 명단(주담당 제외)</t>
        </is>
      </c>
      <c r="AH4" s="41" t="inlineStr">
        <is>
          <t>참여자1</t>
        </is>
      </c>
      <c r="AI4" s="41" t="inlineStr">
        <is>
          <t>참여자2</t>
        </is>
      </c>
      <c r="AJ4" s="41" t="inlineStr">
        <is>
          <t>참여자3</t>
        </is>
      </c>
      <c r="AK4" s="41" t="inlineStr">
        <is>
          <t>참여자4</t>
        </is>
      </c>
      <c r="AL4" s="41" t="inlineStr">
        <is>
          <t>참여자5</t>
        </is>
      </c>
      <c r="AM4" s="41" t="inlineStr">
        <is>
          <t>참여자6</t>
        </is>
      </c>
      <c r="AN4" s="41" t="inlineStr">
        <is>
          <t>참여자7</t>
        </is>
      </c>
      <c r="AO4" s="41" t="inlineStr">
        <is>
          <t>참여자8</t>
        </is>
      </c>
      <c r="AP4" s="41" t="inlineStr">
        <is>
          <t>참여자9</t>
        </is>
      </c>
      <c r="AQ4" s="41" t="inlineStr">
        <is>
          <t>참여자10</t>
        </is>
      </c>
      <c r="AR4" s="41" t="inlineStr">
        <is>
          <t>참여자11</t>
        </is>
      </c>
      <c r="AS4" s="41" t="inlineStr">
        <is>
          <t>참여자12</t>
        </is>
      </c>
      <c r="AT4" s="41" t="inlineStr">
        <is>
          <t>참여자13</t>
        </is>
      </c>
      <c r="AU4" s="41" t="inlineStr">
        <is>
          <t>참여자14</t>
        </is>
      </c>
      <c r="AV4" s="41" t="inlineStr">
        <is>
          <t>참여자15</t>
        </is>
      </c>
    </row>
    <row r="5">
      <c r="A5" s="74" t="n"/>
      <c r="B5" s="42" t="n"/>
      <c r="C5" s="74" t="n"/>
      <c r="D5" s="80" t="n"/>
      <c r="E5" s="74" t="n"/>
      <c r="F5" s="74" t="n"/>
      <c r="G5" s="118">
        <f>IF($A5="","",20-COUNTBLANK($L5:$AE5))</f>
        <v/>
      </c>
      <c r="H5" s="130">
        <f>IF($A5="","",IFERROR(INDEX($L$4:$AE$4,MATCH("주담당",$L5:$AE5,0)),""))</f>
        <v/>
      </c>
      <c r="I5" s="122">
        <f>IF($A5="","",IF($H5="",$AG5,$H5&amp;IF($AG5="","",", "&amp;$AG5)))</f>
        <v/>
      </c>
      <c r="J5" s="42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  <c r="AA5" s="74" t="n"/>
      <c r="AB5" s="74" t="n"/>
      <c r="AC5" s="74" t="n"/>
      <c r="AD5" s="74" t="n"/>
      <c r="AE5" s="74" t="n"/>
      <c r="AG5">
        <f>IF($A5="","",MID($BP5,3,255))</f>
        <v/>
      </c>
      <c r="AH5">
        <f>IF($AG5="","",TRIM(MID(SUBSTITUTE($AG5,",",REPT(" ",100)),1,100)))</f>
        <v/>
      </c>
      <c r="AI5">
        <f>IF($AG5="","",TRIM(MID(SUBSTITUTE($AG5,",",REPT(" ",100)),101,100)))</f>
        <v/>
      </c>
      <c r="AJ5">
        <f>IF($AG5="","",TRIM(MID(SUBSTITUTE($AG5,",",REPT(" ",100)),201,100)))</f>
        <v/>
      </c>
      <c r="AK5">
        <f>IF($AG5="","",TRIM(MID(SUBSTITUTE($AG5,",",REPT(" ",100)),301,100)))</f>
        <v/>
      </c>
      <c r="AL5">
        <f>IF($AG5="","",TRIM(MID(SUBSTITUTE($AG5,",",REPT(" ",100)),401,100)))</f>
        <v/>
      </c>
      <c r="AM5">
        <f>IF($AG5="","",TRIM(MID(SUBSTITUTE($AG5,",",REPT(" ",100)),501,100)))</f>
        <v/>
      </c>
      <c r="AN5">
        <f>IF($AG5="","",TRIM(MID(SUBSTITUTE($AG5,",",REPT(" ",100)),601,100)))</f>
        <v/>
      </c>
      <c r="AO5">
        <f>IF($AG5="","",TRIM(MID(SUBSTITUTE($AG5,",",REPT(" ",100)),701,100)))</f>
        <v/>
      </c>
      <c r="AP5">
        <f>IF($AG5="","",TRIM(MID(SUBSTITUTE($AG5,",",REPT(" ",100)),801,100)))</f>
        <v/>
      </c>
      <c r="AQ5">
        <f>IF($AG5="","",TRIM(MID(SUBSTITUTE($AG5,",",REPT(" ",100)),901,100)))</f>
        <v/>
      </c>
      <c r="AR5">
        <f>IF($AG5="","",TRIM(MID(SUBSTITUTE($AG5,",",REPT(" ",100)),1001,100)))</f>
        <v/>
      </c>
      <c r="AS5">
        <f>IF($AG5="","",TRIM(MID(SUBSTITUTE($AG5,",",REPT(" ",100)),1101,100)))</f>
        <v/>
      </c>
      <c r="AT5">
        <f>IF($AG5="","",TRIM(MID(SUBSTITUTE($AG5,",",REPT(" ",100)),1201,100)))</f>
        <v/>
      </c>
      <c r="AU5">
        <f>IF($AG5="","",TRIM(MID(SUBSTITUTE($AG5,",",REPT(" ",100)),1301,100)))</f>
        <v/>
      </c>
      <c r="AV5">
        <f>IF($AG5="","",TRIM(MID(SUBSTITUTE($AG5,",",REPT(" ",100)),1401,100)))</f>
        <v/>
      </c>
      <c r="AW5">
        <f>IF($L5="참여",", "&amp;L$4,"")</f>
        <v/>
      </c>
      <c r="AX5">
        <f>AW5&amp;IF($M5="참여",", "&amp;M$4,"")</f>
        <v/>
      </c>
      <c r="AY5">
        <f>AX5&amp;IF($N5="참여",", "&amp;N$4,"")</f>
        <v/>
      </c>
      <c r="AZ5">
        <f>AY5&amp;IF($O5="참여",", "&amp;O$4,"")</f>
        <v/>
      </c>
      <c r="BA5">
        <f>AZ5&amp;IF($P5="참여",", "&amp;P$4,"")</f>
        <v/>
      </c>
      <c r="BB5">
        <f>BA5&amp;IF($Q5="참여",", "&amp;Q$4,"")</f>
        <v/>
      </c>
      <c r="BC5">
        <f>BB5&amp;IF($R5="참여",", "&amp;R$4,"")</f>
        <v/>
      </c>
      <c r="BD5">
        <f>BC5&amp;IF($S5="참여",", "&amp;S$4,"")</f>
        <v/>
      </c>
      <c r="BE5">
        <f>BD5&amp;IF($T5="참여",", "&amp;T$4,"")</f>
        <v/>
      </c>
      <c r="BF5">
        <f>BE5&amp;IF($U5="참여",", "&amp;U$4,"")</f>
        <v/>
      </c>
      <c r="BG5">
        <f>BF5&amp;IF($V5="참여",", "&amp;V$4,"")</f>
        <v/>
      </c>
      <c r="BH5">
        <f>BG5&amp;IF($W5="참여",", "&amp;W$4,"")</f>
        <v/>
      </c>
      <c r="BI5">
        <f>BH5&amp;IF($X5="참여",", "&amp;X$4,"")</f>
        <v/>
      </c>
      <c r="BJ5">
        <f>BI5&amp;IF($Y5="참여",", "&amp;Y$4,"")</f>
        <v/>
      </c>
      <c r="BK5">
        <f>BJ5&amp;IF($Z5="참여",", "&amp;Z$4,"")</f>
        <v/>
      </c>
      <c r="BL5">
        <f>BK5&amp;IF($AA5="참여",", "&amp;AA$4,"")</f>
        <v/>
      </c>
      <c r="BM5">
        <f>BL5&amp;IF($AB5="참여",", "&amp;AB$4,"")</f>
        <v/>
      </c>
      <c r="BN5">
        <f>BM5&amp;IF($AC5="참여",", "&amp;AC$4,"")</f>
        <v/>
      </c>
      <c r="BO5">
        <f>BN5&amp;IF($AD5="참여",", "&amp;AD$4,"")</f>
        <v/>
      </c>
      <c r="BP5">
        <f>BO5&amp;IF($AE5="참여",", "&amp;AE$4,"")</f>
        <v/>
      </c>
    </row>
    <row r="6">
      <c r="A6" s="74" t="n"/>
      <c r="B6" s="42" t="n"/>
      <c r="C6" s="74" t="n"/>
      <c r="D6" s="80" t="n"/>
      <c r="E6" s="74" t="n"/>
      <c r="F6" s="74" t="n"/>
      <c r="G6" s="118">
        <f>IF($A6="","",20-COUNTBLANK($L6:$AE6))</f>
        <v/>
      </c>
      <c r="H6" s="130">
        <f>IF($A6="","",IFERROR(INDEX($L$4:$AE$4,MATCH("주담당",$L6:$AE6,0)),""))</f>
        <v/>
      </c>
      <c r="I6" s="122">
        <f>IF($A6="","",IF($H6="",$AG6,$H6&amp;IF($AG6="","",", "&amp;$AG6)))</f>
        <v/>
      </c>
      <c r="J6" s="42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  <c r="AB6" s="74" t="n"/>
      <c r="AC6" s="74" t="n"/>
      <c r="AD6" s="74" t="n"/>
      <c r="AE6" s="74" t="n"/>
      <c r="AG6">
        <f>IF($A6="","",MID($BP6,3,255))</f>
        <v/>
      </c>
      <c r="AH6">
        <f>IF($AG6="","",TRIM(MID(SUBSTITUTE($AG6,",",REPT(" ",100)),1,100)))</f>
        <v/>
      </c>
      <c r="AI6">
        <f>IF($AG6="","",TRIM(MID(SUBSTITUTE($AG6,",",REPT(" ",100)),101,100)))</f>
        <v/>
      </c>
      <c r="AJ6">
        <f>IF($AG6="","",TRIM(MID(SUBSTITUTE($AG6,",",REPT(" ",100)),201,100)))</f>
        <v/>
      </c>
      <c r="AK6">
        <f>IF($AG6="","",TRIM(MID(SUBSTITUTE($AG6,",",REPT(" ",100)),301,100)))</f>
        <v/>
      </c>
      <c r="AL6">
        <f>IF($AG6="","",TRIM(MID(SUBSTITUTE($AG6,",",REPT(" ",100)),401,100)))</f>
        <v/>
      </c>
      <c r="AM6">
        <f>IF($AG6="","",TRIM(MID(SUBSTITUTE($AG6,",",REPT(" ",100)),501,100)))</f>
        <v/>
      </c>
      <c r="AN6">
        <f>IF($AG6="","",TRIM(MID(SUBSTITUTE($AG6,",",REPT(" ",100)),601,100)))</f>
        <v/>
      </c>
      <c r="AO6">
        <f>IF($AG6="","",TRIM(MID(SUBSTITUTE($AG6,",",REPT(" ",100)),701,100)))</f>
        <v/>
      </c>
      <c r="AP6">
        <f>IF($AG6="","",TRIM(MID(SUBSTITUTE($AG6,",",REPT(" ",100)),801,100)))</f>
        <v/>
      </c>
      <c r="AQ6">
        <f>IF($AG6="","",TRIM(MID(SUBSTITUTE($AG6,",",REPT(" ",100)),901,100)))</f>
        <v/>
      </c>
      <c r="AR6">
        <f>IF($AG6="","",TRIM(MID(SUBSTITUTE($AG6,",",REPT(" ",100)),1001,100)))</f>
        <v/>
      </c>
      <c r="AS6">
        <f>IF($AG6="","",TRIM(MID(SUBSTITUTE($AG6,",",REPT(" ",100)),1101,100)))</f>
        <v/>
      </c>
      <c r="AT6">
        <f>IF($AG6="","",TRIM(MID(SUBSTITUTE($AG6,",",REPT(" ",100)),1201,100)))</f>
        <v/>
      </c>
      <c r="AU6">
        <f>IF($AG6="","",TRIM(MID(SUBSTITUTE($AG6,",",REPT(" ",100)),1301,100)))</f>
        <v/>
      </c>
      <c r="AV6">
        <f>IF($AG6="","",TRIM(MID(SUBSTITUTE($AG6,",",REPT(" ",100)),1401,100)))</f>
        <v/>
      </c>
      <c r="AW6">
        <f>IF($L6="참여",", "&amp;L$4,"")</f>
        <v/>
      </c>
      <c r="AX6">
        <f>AW6&amp;IF($M6="참여",", "&amp;M$4,"")</f>
        <v/>
      </c>
      <c r="AY6">
        <f>AX6&amp;IF($N6="참여",", "&amp;N$4,"")</f>
        <v/>
      </c>
      <c r="AZ6">
        <f>AY6&amp;IF($O6="참여",", "&amp;O$4,"")</f>
        <v/>
      </c>
      <c r="BA6">
        <f>AZ6&amp;IF($P6="참여",", "&amp;P$4,"")</f>
        <v/>
      </c>
      <c r="BB6">
        <f>BA6&amp;IF($Q6="참여",", "&amp;Q$4,"")</f>
        <v/>
      </c>
      <c r="BC6">
        <f>BB6&amp;IF($R6="참여",", "&amp;R$4,"")</f>
        <v/>
      </c>
      <c r="BD6">
        <f>BC6&amp;IF($S6="참여",", "&amp;S$4,"")</f>
        <v/>
      </c>
      <c r="BE6">
        <f>BD6&amp;IF($T6="참여",", "&amp;T$4,"")</f>
        <v/>
      </c>
      <c r="BF6">
        <f>BE6&amp;IF($U6="참여",", "&amp;U$4,"")</f>
        <v/>
      </c>
      <c r="BG6">
        <f>BF6&amp;IF($V6="참여",", "&amp;V$4,"")</f>
        <v/>
      </c>
      <c r="BH6">
        <f>BG6&amp;IF($W6="참여",", "&amp;W$4,"")</f>
        <v/>
      </c>
      <c r="BI6">
        <f>BH6&amp;IF($X6="참여",", "&amp;X$4,"")</f>
        <v/>
      </c>
      <c r="BJ6">
        <f>BI6&amp;IF($Y6="참여",", "&amp;Y$4,"")</f>
        <v/>
      </c>
      <c r="BK6">
        <f>BJ6&amp;IF($Z6="참여",", "&amp;Z$4,"")</f>
        <v/>
      </c>
      <c r="BL6">
        <f>BK6&amp;IF($AA6="참여",", "&amp;AA$4,"")</f>
        <v/>
      </c>
      <c r="BM6">
        <f>BL6&amp;IF($AB6="참여",", "&amp;AB$4,"")</f>
        <v/>
      </c>
      <c r="BN6">
        <f>BM6&amp;IF($AC6="참여",", "&amp;AC$4,"")</f>
        <v/>
      </c>
      <c r="BO6">
        <f>BN6&amp;IF($AD6="참여",", "&amp;AD$4,"")</f>
        <v/>
      </c>
      <c r="BP6">
        <f>BO6&amp;IF($AE6="참여",", "&amp;AE$4,"")</f>
        <v/>
      </c>
    </row>
    <row r="7">
      <c r="A7" s="74" t="n"/>
      <c r="B7" s="42" t="n"/>
      <c r="C7" s="74" t="n"/>
      <c r="D7" s="80" t="n"/>
      <c r="E7" s="74" t="n"/>
      <c r="F7" s="74" t="n"/>
      <c r="G7" s="118">
        <f>IF($A7="","",20-COUNTBLANK($L7:$AE7))</f>
        <v/>
      </c>
      <c r="H7" s="130">
        <f>IF($A7="","",IFERROR(INDEX($L$4:$AE$4,MATCH("주담당",$L7:$AE7,0)),""))</f>
        <v/>
      </c>
      <c r="I7" s="122">
        <f>IF($A7="","",IF($H7="",$AG7,$H7&amp;IF($AG7="","",", "&amp;$AG7)))</f>
        <v/>
      </c>
      <c r="J7" s="42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  <c r="AB7" s="74" t="n"/>
      <c r="AC7" s="74" t="n"/>
      <c r="AD7" s="74" t="n"/>
      <c r="AE7" s="74" t="n"/>
      <c r="AG7">
        <f>IF($A7="","",MID($BP7,3,255))</f>
        <v/>
      </c>
      <c r="AH7">
        <f>IF($AG7="","",TRIM(MID(SUBSTITUTE($AG7,",",REPT(" ",100)),1,100)))</f>
        <v/>
      </c>
      <c r="AI7">
        <f>IF($AG7="","",TRIM(MID(SUBSTITUTE($AG7,",",REPT(" ",100)),101,100)))</f>
        <v/>
      </c>
      <c r="AJ7">
        <f>IF($AG7="","",TRIM(MID(SUBSTITUTE($AG7,",",REPT(" ",100)),201,100)))</f>
        <v/>
      </c>
      <c r="AK7">
        <f>IF($AG7="","",TRIM(MID(SUBSTITUTE($AG7,",",REPT(" ",100)),301,100)))</f>
        <v/>
      </c>
      <c r="AL7">
        <f>IF($AG7="","",TRIM(MID(SUBSTITUTE($AG7,",",REPT(" ",100)),401,100)))</f>
        <v/>
      </c>
      <c r="AM7">
        <f>IF($AG7="","",TRIM(MID(SUBSTITUTE($AG7,",",REPT(" ",100)),501,100)))</f>
        <v/>
      </c>
      <c r="AN7">
        <f>IF($AG7="","",TRIM(MID(SUBSTITUTE($AG7,",",REPT(" ",100)),601,100)))</f>
        <v/>
      </c>
      <c r="AO7">
        <f>IF($AG7="","",TRIM(MID(SUBSTITUTE($AG7,",",REPT(" ",100)),701,100)))</f>
        <v/>
      </c>
      <c r="AP7">
        <f>IF($AG7="","",TRIM(MID(SUBSTITUTE($AG7,",",REPT(" ",100)),801,100)))</f>
        <v/>
      </c>
      <c r="AQ7">
        <f>IF($AG7="","",TRIM(MID(SUBSTITUTE($AG7,",",REPT(" ",100)),901,100)))</f>
        <v/>
      </c>
      <c r="AR7">
        <f>IF($AG7="","",TRIM(MID(SUBSTITUTE($AG7,",",REPT(" ",100)),1001,100)))</f>
        <v/>
      </c>
      <c r="AS7">
        <f>IF($AG7="","",TRIM(MID(SUBSTITUTE($AG7,",",REPT(" ",100)),1101,100)))</f>
        <v/>
      </c>
      <c r="AT7">
        <f>IF($AG7="","",TRIM(MID(SUBSTITUTE($AG7,",",REPT(" ",100)),1201,100)))</f>
        <v/>
      </c>
      <c r="AU7">
        <f>IF($AG7="","",TRIM(MID(SUBSTITUTE($AG7,",",REPT(" ",100)),1301,100)))</f>
        <v/>
      </c>
      <c r="AV7">
        <f>IF($AG7="","",TRIM(MID(SUBSTITUTE($AG7,",",REPT(" ",100)),1401,100)))</f>
        <v/>
      </c>
      <c r="AW7">
        <f>IF($L7="참여",", "&amp;L$4,"")</f>
        <v/>
      </c>
      <c r="AX7">
        <f>AW7&amp;IF($M7="참여",", "&amp;M$4,"")</f>
        <v/>
      </c>
      <c r="AY7">
        <f>AX7&amp;IF($N7="참여",", "&amp;N$4,"")</f>
        <v/>
      </c>
      <c r="AZ7">
        <f>AY7&amp;IF($O7="참여",", "&amp;O$4,"")</f>
        <v/>
      </c>
      <c r="BA7">
        <f>AZ7&amp;IF($P7="참여",", "&amp;P$4,"")</f>
        <v/>
      </c>
      <c r="BB7">
        <f>BA7&amp;IF($Q7="참여",", "&amp;Q$4,"")</f>
        <v/>
      </c>
      <c r="BC7">
        <f>BB7&amp;IF($R7="참여",", "&amp;R$4,"")</f>
        <v/>
      </c>
      <c r="BD7">
        <f>BC7&amp;IF($S7="참여",", "&amp;S$4,"")</f>
        <v/>
      </c>
      <c r="BE7">
        <f>BD7&amp;IF($T7="참여",", "&amp;T$4,"")</f>
        <v/>
      </c>
      <c r="BF7">
        <f>BE7&amp;IF($U7="참여",", "&amp;U$4,"")</f>
        <v/>
      </c>
      <c r="BG7">
        <f>BF7&amp;IF($V7="참여",", "&amp;V$4,"")</f>
        <v/>
      </c>
      <c r="BH7">
        <f>BG7&amp;IF($W7="참여",", "&amp;W$4,"")</f>
        <v/>
      </c>
      <c r="BI7">
        <f>BH7&amp;IF($X7="참여",", "&amp;X$4,"")</f>
        <v/>
      </c>
      <c r="BJ7">
        <f>BI7&amp;IF($Y7="참여",", "&amp;Y$4,"")</f>
        <v/>
      </c>
      <c r="BK7">
        <f>BJ7&amp;IF($Z7="참여",", "&amp;Z$4,"")</f>
        <v/>
      </c>
      <c r="BL7">
        <f>BK7&amp;IF($AA7="참여",", "&amp;AA$4,"")</f>
        <v/>
      </c>
      <c r="BM7">
        <f>BL7&amp;IF($AB7="참여",", "&amp;AB$4,"")</f>
        <v/>
      </c>
      <c r="BN7">
        <f>BM7&amp;IF($AC7="참여",", "&amp;AC$4,"")</f>
        <v/>
      </c>
      <c r="BO7">
        <f>BN7&amp;IF($AD7="참여",", "&amp;AD$4,"")</f>
        <v/>
      </c>
      <c r="BP7">
        <f>BO7&amp;IF($AE7="참여",", "&amp;AE$4,"")</f>
        <v/>
      </c>
    </row>
    <row r="8">
      <c r="A8" s="74" t="n"/>
      <c r="B8" s="42" t="n"/>
      <c r="C8" s="74" t="n"/>
      <c r="D8" s="80" t="n"/>
      <c r="E8" s="74" t="n"/>
      <c r="F8" s="74" t="n"/>
      <c r="G8" s="118">
        <f>IF($A8="","",20-COUNTBLANK($L8:$AE8))</f>
        <v/>
      </c>
      <c r="H8" s="130">
        <f>IF($A8="","",IFERROR(INDEX($L$4:$AE$4,MATCH("주담당",$L8:$AE8,0)),""))</f>
        <v/>
      </c>
      <c r="I8" s="122">
        <f>IF($A8="","",IF($H8="",$AG8,$H8&amp;IF($AG8="","",", "&amp;$AG8)))</f>
        <v/>
      </c>
      <c r="J8" s="42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G8">
        <f>IF($A8="","",MID($BP8,3,255))</f>
        <v/>
      </c>
      <c r="AH8">
        <f>IF($AG8="","",TRIM(MID(SUBSTITUTE($AG8,",",REPT(" ",100)),1,100)))</f>
        <v/>
      </c>
      <c r="AI8">
        <f>IF($AG8="","",TRIM(MID(SUBSTITUTE($AG8,",",REPT(" ",100)),101,100)))</f>
        <v/>
      </c>
      <c r="AJ8">
        <f>IF($AG8="","",TRIM(MID(SUBSTITUTE($AG8,",",REPT(" ",100)),201,100)))</f>
        <v/>
      </c>
      <c r="AK8">
        <f>IF($AG8="","",TRIM(MID(SUBSTITUTE($AG8,",",REPT(" ",100)),301,100)))</f>
        <v/>
      </c>
      <c r="AL8">
        <f>IF($AG8="","",TRIM(MID(SUBSTITUTE($AG8,",",REPT(" ",100)),401,100)))</f>
        <v/>
      </c>
      <c r="AM8">
        <f>IF($AG8="","",TRIM(MID(SUBSTITUTE($AG8,",",REPT(" ",100)),501,100)))</f>
        <v/>
      </c>
      <c r="AN8">
        <f>IF($AG8="","",TRIM(MID(SUBSTITUTE($AG8,",",REPT(" ",100)),601,100)))</f>
        <v/>
      </c>
      <c r="AO8">
        <f>IF($AG8="","",TRIM(MID(SUBSTITUTE($AG8,",",REPT(" ",100)),701,100)))</f>
        <v/>
      </c>
      <c r="AP8">
        <f>IF($AG8="","",TRIM(MID(SUBSTITUTE($AG8,",",REPT(" ",100)),801,100)))</f>
        <v/>
      </c>
      <c r="AQ8">
        <f>IF($AG8="","",TRIM(MID(SUBSTITUTE($AG8,",",REPT(" ",100)),901,100)))</f>
        <v/>
      </c>
      <c r="AR8">
        <f>IF($AG8="","",TRIM(MID(SUBSTITUTE($AG8,",",REPT(" ",100)),1001,100)))</f>
        <v/>
      </c>
      <c r="AS8">
        <f>IF($AG8="","",TRIM(MID(SUBSTITUTE($AG8,",",REPT(" ",100)),1101,100)))</f>
        <v/>
      </c>
      <c r="AT8">
        <f>IF($AG8="","",TRIM(MID(SUBSTITUTE($AG8,",",REPT(" ",100)),1201,100)))</f>
        <v/>
      </c>
      <c r="AU8">
        <f>IF($AG8="","",TRIM(MID(SUBSTITUTE($AG8,",",REPT(" ",100)),1301,100)))</f>
        <v/>
      </c>
      <c r="AV8">
        <f>IF($AG8="","",TRIM(MID(SUBSTITUTE($AG8,",",REPT(" ",100)),1401,100)))</f>
        <v/>
      </c>
      <c r="AW8">
        <f>IF($L8="참여",", "&amp;L$4,"")</f>
        <v/>
      </c>
      <c r="AX8">
        <f>AW8&amp;IF($M8="참여",", "&amp;M$4,"")</f>
        <v/>
      </c>
      <c r="AY8">
        <f>AX8&amp;IF($N8="참여",", "&amp;N$4,"")</f>
        <v/>
      </c>
      <c r="AZ8">
        <f>AY8&amp;IF($O8="참여",", "&amp;O$4,"")</f>
        <v/>
      </c>
      <c r="BA8">
        <f>AZ8&amp;IF($P8="참여",", "&amp;P$4,"")</f>
        <v/>
      </c>
      <c r="BB8">
        <f>BA8&amp;IF($Q8="참여",", "&amp;Q$4,"")</f>
        <v/>
      </c>
      <c r="BC8">
        <f>BB8&amp;IF($R8="참여",", "&amp;R$4,"")</f>
        <v/>
      </c>
      <c r="BD8">
        <f>BC8&amp;IF($S8="참여",", "&amp;S$4,"")</f>
        <v/>
      </c>
      <c r="BE8">
        <f>BD8&amp;IF($T8="참여",", "&amp;T$4,"")</f>
        <v/>
      </c>
      <c r="BF8">
        <f>BE8&amp;IF($U8="참여",", "&amp;U$4,"")</f>
        <v/>
      </c>
      <c r="BG8">
        <f>BF8&amp;IF($V8="참여",", "&amp;V$4,"")</f>
        <v/>
      </c>
      <c r="BH8">
        <f>BG8&amp;IF($W8="참여",", "&amp;W$4,"")</f>
        <v/>
      </c>
      <c r="BI8">
        <f>BH8&amp;IF($X8="참여",", "&amp;X$4,"")</f>
        <v/>
      </c>
      <c r="BJ8">
        <f>BI8&amp;IF($Y8="참여",", "&amp;Y$4,"")</f>
        <v/>
      </c>
      <c r="BK8">
        <f>BJ8&amp;IF($Z8="참여",", "&amp;Z$4,"")</f>
        <v/>
      </c>
      <c r="BL8">
        <f>BK8&amp;IF($AA8="참여",", "&amp;AA$4,"")</f>
        <v/>
      </c>
      <c r="BM8">
        <f>BL8&amp;IF($AB8="참여",", "&amp;AB$4,"")</f>
        <v/>
      </c>
      <c r="BN8">
        <f>BM8&amp;IF($AC8="참여",", "&amp;AC$4,"")</f>
        <v/>
      </c>
      <c r="BO8">
        <f>BN8&amp;IF($AD8="참여",", "&amp;AD$4,"")</f>
        <v/>
      </c>
      <c r="BP8">
        <f>BO8&amp;IF($AE8="참여",", "&amp;AE$4,"")</f>
        <v/>
      </c>
    </row>
    <row r="9">
      <c r="A9" s="74" t="n"/>
      <c r="B9" s="42" t="n"/>
      <c r="C9" s="74" t="n"/>
      <c r="D9" s="80" t="n"/>
      <c r="E9" s="74" t="n"/>
      <c r="F9" s="74" t="n"/>
      <c r="G9" s="118">
        <f>IF($A9="","",20-COUNTBLANK($L9:$AE9))</f>
        <v/>
      </c>
      <c r="H9" s="130">
        <f>IF($A9="","",IFERROR(INDEX($L$4:$AE$4,MATCH("주담당",$L9:$AE9,0)),""))</f>
        <v/>
      </c>
      <c r="I9" s="122">
        <f>IF($A9="","",IF($H9="",$AG9,$H9&amp;IF($AG9="","",", "&amp;$AG9)))</f>
        <v/>
      </c>
      <c r="J9" s="42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  <c r="AA9" s="74" t="n"/>
      <c r="AB9" s="74" t="n"/>
      <c r="AC9" s="74" t="n"/>
      <c r="AD9" s="74" t="n"/>
      <c r="AE9" s="74" t="n"/>
      <c r="AG9">
        <f>IF($A9="","",MID($BP9,3,255))</f>
        <v/>
      </c>
      <c r="AH9">
        <f>IF($AG9="","",TRIM(MID(SUBSTITUTE($AG9,",",REPT(" ",100)),1,100)))</f>
        <v/>
      </c>
      <c r="AI9">
        <f>IF($AG9="","",TRIM(MID(SUBSTITUTE($AG9,",",REPT(" ",100)),101,100)))</f>
        <v/>
      </c>
      <c r="AJ9">
        <f>IF($AG9="","",TRIM(MID(SUBSTITUTE($AG9,",",REPT(" ",100)),201,100)))</f>
        <v/>
      </c>
      <c r="AK9">
        <f>IF($AG9="","",TRIM(MID(SUBSTITUTE($AG9,",",REPT(" ",100)),301,100)))</f>
        <v/>
      </c>
      <c r="AL9">
        <f>IF($AG9="","",TRIM(MID(SUBSTITUTE($AG9,",",REPT(" ",100)),401,100)))</f>
        <v/>
      </c>
      <c r="AM9">
        <f>IF($AG9="","",TRIM(MID(SUBSTITUTE($AG9,",",REPT(" ",100)),501,100)))</f>
        <v/>
      </c>
      <c r="AN9">
        <f>IF($AG9="","",TRIM(MID(SUBSTITUTE($AG9,",",REPT(" ",100)),601,100)))</f>
        <v/>
      </c>
      <c r="AO9">
        <f>IF($AG9="","",TRIM(MID(SUBSTITUTE($AG9,",",REPT(" ",100)),701,100)))</f>
        <v/>
      </c>
      <c r="AP9">
        <f>IF($AG9="","",TRIM(MID(SUBSTITUTE($AG9,",",REPT(" ",100)),801,100)))</f>
        <v/>
      </c>
      <c r="AQ9">
        <f>IF($AG9="","",TRIM(MID(SUBSTITUTE($AG9,",",REPT(" ",100)),901,100)))</f>
        <v/>
      </c>
      <c r="AR9">
        <f>IF($AG9="","",TRIM(MID(SUBSTITUTE($AG9,",",REPT(" ",100)),1001,100)))</f>
        <v/>
      </c>
      <c r="AS9">
        <f>IF($AG9="","",TRIM(MID(SUBSTITUTE($AG9,",",REPT(" ",100)),1101,100)))</f>
        <v/>
      </c>
      <c r="AT9">
        <f>IF($AG9="","",TRIM(MID(SUBSTITUTE($AG9,",",REPT(" ",100)),1201,100)))</f>
        <v/>
      </c>
      <c r="AU9">
        <f>IF($AG9="","",TRIM(MID(SUBSTITUTE($AG9,",",REPT(" ",100)),1301,100)))</f>
        <v/>
      </c>
      <c r="AV9">
        <f>IF($AG9="","",TRIM(MID(SUBSTITUTE($AG9,",",REPT(" ",100)),1401,100)))</f>
        <v/>
      </c>
      <c r="AW9">
        <f>IF($L9="참여",", "&amp;L$4,"")</f>
        <v/>
      </c>
      <c r="AX9">
        <f>AW9&amp;IF($M9="참여",", "&amp;M$4,"")</f>
        <v/>
      </c>
      <c r="AY9">
        <f>AX9&amp;IF($N9="참여",", "&amp;N$4,"")</f>
        <v/>
      </c>
      <c r="AZ9">
        <f>AY9&amp;IF($O9="참여",", "&amp;O$4,"")</f>
        <v/>
      </c>
      <c r="BA9">
        <f>AZ9&amp;IF($P9="참여",", "&amp;P$4,"")</f>
        <v/>
      </c>
      <c r="BB9">
        <f>BA9&amp;IF($Q9="참여",", "&amp;Q$4,"")</f>
        <v/>
      </c>
      <c r="BC9">
        <f>BB9&amp;IF($R9="참여",", "&amp;R$4,"")</f>
        <v/>
      </c>
      <c r="BD9">
        <f>BC9&amp;IF($S9="참여",", "&amp;S$4,"")</f>
        <v/>
      </c>
      <c r="BE9">
        <f>BD9&amp;IF($T9="참여",", "&amp;T$4,"")</f>
        <v/>
      </c>
      <c r="BF9">
        <f>BE9&amp;IF($U9="참여",", "&amp;U$4,"")</f>
        <v/>
      </c>
      <c r="BG9">
        <f>BF9&amp;IF($V9="참여",", "&amp;V$4,"")</f>
        <v/>
      </c>
      <c r="BH9">
        <f>BG9&amp;IF($W9="참여",", "&amp;W$4,"")</f>
        <v/>
      </c>
      <c r="BI9">
        <f>BH9&amp;IF($X9="참여",", "&amp;X$4,"")</f>
        <v/>
      </c>
      <c r="BJ9">
        <f>BI9&amp;IF($Y9="참여",", "&amp;Y$4,"")</f>
        <v/>
      </c>
      <c r="BK9">
        <f>BJ9&amp;IF($Z9="참여",", "&amp;Z$4,"")</f>
        <v/>
      </c>
      <c r="BL9">
        <f>BK9&amp;IF($AA9="참여",", "&amp;AA$4,"")</f>
        <v/>
      </c>
      <c r="BM9">
        <f>BL9&amp;IF($AB9="참여",", "&amp;AB$4,"")</f>
        <v/>
      </c>
      <c r="BN9">
        <f>BM9&amp;IF($AC9="참여",", "&amp;AC$4,"")</f>
        <v/>
      </c>
      <c r="BO9">
        <f>BN9&amp;IF($AD9="참여",", "&amp;AD$4,"")</f>
        <v/>
      </c>
      <c r="BP9">
        <f>BO9&amp;IF($AE9="참여",", "&amp;AE$4,"")</f>
        <v/>
      </c>
    </row>
    <row r="10">
      <c r="A10" s="74" t="n"/>
      <c r="B10" s="42" t="n"/>
      <c r="C10" s="74" t="n"/>
      <c r="D10" s="80" t="n"/>
      <c r="E10" s="74" t="n"/>
      <c r="F10" s="74" t="n"/>
      <c r="G10" s="118">
        <f>IF($A10="","",20-COUNTBLANK($L10:$AE10))</f>
        <v/>
      </c>
      <c r="H10" s="130">
        <f>IF($A10="","",IFERROR(INDEX($L$4:$AE$4,MATCH("주담당",$L10:$AE10,0)),""))</f>
        <v/>
      </c>
      <c r="I10" s="122">
        <f>IF($A10="","",IF($H10="",$AG10,$H10&amp;IF($AG10="","",", "&amp;$AG10)))</f>
        <v/>
      </c>
      <c r="J10" s="42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74" t="n"/>
      <c r="AE10" s="74" t="n"/>
      <c r="AG10">
        <f>IF($A10="","",MID($BP10,3,255))</f>
        <v/>
      </c>
      <c r="AH10">
        <f>IF($AG10="","",TRIM(MID(SUBSTITUTE($AG10,",",REPT(" ",100)),1,100)))</f>
        <v/>
      </c>
      <c r="AI10">
        <f>IF($AG10="","",TRIM(MID(SUBSTITUTE($AG10,",",REPT(" ",100)),101,100)))</f>
        <v/>
      </c>
      <c r="AJ10">
        <f>IF($AG10="","",TRIM(MID(SUBSTITUTE($AG10,",",REPT(" ",100)),201,100)))</f>
        <v/>
      </c>
      <c r="AK10">
        <f>IF($AG10="","",TRIM(MID(SUBSTITUTE($AG10,",",REPT(" ",100)),301,100)))</f>
        <v/>
      </c>
      <c r="AL10">
        <f>IF($AG10="","",TRIM(MID(SUBSTITUTE($AG10,",",REPT(" ",100)),401,100)))</f>
        <v/>
      </c>
      <c r="AM10">
        <f>IF($AG10="","",TRIM(MID(SUBSTITUTE($AG10,",",REPT(" ",100)),501,100)))</f>
        <v/>
      </c>
      <c r="AN10">
        <f>IF($AG10="","",TRIM(MID(SUBSTITUTE($AG10,",",REPT(" ",100)),601,100)))</f>
        <v/>
      </c>
      <c r="AO10">
        <f>IF($AG10="","",TRIM(MID(SUBSTITUTE($AG10,",",REPT(" ",100)),701,100)))</f>
        <v/>
      </c>
      <c r="AP10">
        <f>IF($AG10="","",TRIM(MID(SUBSTITUTE($AG10,",",REPT(" ",100)),801,100)))</f>
        <v/>
      </c>
      <c r="AQ10">
        <f>IF($AG10="","",TRIM(MID(SUBSTITUTE($AG10,",",REPT(" ",100)),901,100)))</f>
        <v/>
      </c>
      <c r="AR10">
        <f>IF($AG10="","",TRIM(MID(SUBSTITUTE($AG10,",",REPT(" ",100)),1001,100)))</f>
        <v/>
      </c>
      <c r="AS10">
        <f>IF($AG10="","",TRIM(MID(SUBSTITUTE($AG10,",",REPT(" ",100)),1101,100)))</f>
        <v/>
      </c>
      <c r="AT10">
        <f>IF($AG10="","",TRIM(MID(SUBSTITUTE($AG10,",",REPT(" ",100)),1201,100)))</f>
        <v/>
      </c>
      <c r="AU10">
        <f>IF($AG10="","",TRIM(MID(SUBSTITUTE($AG10,",",REPT(" ",100)),1301,100)))</f>
        <v/>
      </c>
      <c r="AV10">
        <f>IF($AG10="","",TRIM(MID(SUBSTITUTE($AG10,",",REPT(" ",100)),1401,100)))</f>
        <v/>
      </c>
      <c r="AW10">
        <f>IF($L10="참여",", "&amp;L$4,"")</f>
        <v/>
      </c>
      <c r="AX10">
        <f>AW10&amp;IF($M10="참여",", "&amp;M$4,"")</f>
        <v/>
      </c>
      <c r="AY10">
        <f>AX10&amp;IF($N10="참여",", "&amp;N$4,"")</f>
        <v/>
      </c>
      <c r="AZ10">
        <f>AY10&amp;IF($O10="참여",", "&amp;O$4,"")</f>
        <v/>
      </c>
      <c r="BA10">
        <f>AZ10&amp;IF($P10="참여",", "&amp;P$4,"")</f>
        <v/>
      </c>
      <c r="BB10">
        <f>BA10&amp;IF($Q10="참여",", "&amp;Q$4,"")</f>
        <v/>
      </c>
      <c r="BC10">
        <f>BB10&amp;IF($R10="참여",", "&amp;R$4,"")</f>
        <v/>
      </c>
      <c r="BD10">
        <f>BC10&amp;IF($S10="참여",", "&amp;S$4,"")</f>
        <v/>
      </c>
      <c r="BE10">
        <f>BD10&amp;IF($T10="참여",", "&amp;T$4,"")</f>
        <v/>
      </c>
      <c r="BF10">
        <f>BE10&amp;IF($U10="참여",", "&amp;U$4,"")</f>
        <v/>
      </c>
      <c r="BG10">
        <f>BF10&amp;IF($V10="참여",", "&amp;V$4,"")</f>
        <v/>
      </c>
      <c r="BH10">
        <f>BG10&amp;IF($W10="참여",", "&amp;W$4,"")</f>
        <v/>
      </c>
      <c r="BI10">
        <f>BH10&amp;IF($X10="참여",", "&amp;X$4,"")</f>
        <v/>
      </c>
      <c r="BJ10">
        <f>BI10&amp;IF($Y10="참여",", "&amp;Y$4,"")</f>
        <v/>
      </c>
      <c r="BK10">
        <f>BJ10&amp;IF($Z10="참여",", "&amp;Z$4,"")</f>
        <v/>
      </c>
      <c r="BL10">
        <f>BK10&amp;IF($AA10="참여",", "&amp;AA$4,"")</f>
        <v/>
      </c>
      <c r="BM10">
        <f>BL10&amp;IF($AB10="참여",", "&amp;AB$4,"")</f>
        <v/>
      </c>
      <c r="BN10">
        <f>BM10&amp;IF($AC10="참여",", "&amp;AC$4,"")</f>
        <v/>
      </c>
      <c r="BO10">
        <f>BN10&amp;IF($AD10="참여",", "&amp;AD$4,"")</f>
        <v/>
      </c>
      <c r="BP10">
        <f>BO10&amp;IF($AE10="참여",", "&amp;AE$4,"")</f>
        <v/>
      </c>
    </row>
    <row r="11">
      <c r="A11" s="74" t="n"/>
      <c r="B11" s="42" t="n"/>
      <c r="C11" s="74" t="n"/>
      <c r="D11" s="80" t="n"/>
      <c r="E11" s="74" t="n"/>
      <c r="F11" s="74" t="n"/>
      <c r="G11" s="118">
        <f>IF($A11="","",20-COUNTBLANK($L11:$AE11))</f>
        <v/>
      </c>
      <c r="H11" s="130">
        <f>IF($A11="","",IFERROR(INDEX($L$4:$AE$4,MATCH("주담당",$L11:$AE11,0)),""))</f>
        <v/>
      </c>
      <c r="I11" s="122">
        <f>IF($A11="","",IF($H11="",$AG11,$H11&amp;IF($AG11="","",", "&amp;$AG11)))</f>
        <v/>
      </c>
      <c r="J11" s="42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G11">
        <f>IF($A11="","",MID($BP11,3,255))</f>
        <v/>
      </c>
      <c r="AH11">
        <f>IF($AG11="","",TRIM(MID(SUBSTITUTE($AG11,",",REPT(" ",100)),1,100)))</f>
        <v/>
      </c>
      <c r="AI11">
        <f>IF($AG11="","",TRIM(MID(SUBSTITUTE($AG11,",",REPT(" ",100)),101,100)))</f>
        <v/>
      </c>
      <c r="AJ11">
        <f>IF($AG11="","",TRIM(MID(SUBSTITUTE($AG11,",",REPT(" ",100)),201,100)))</f>
        <v/>
      </c>
      <c r="AK11">
        <f>IF($AG11="","",TRIM(MID(SUBSTITUTE($AG11,",",REPT(" ",100)),301,100)))</f>
        <v/>
      </c>
      <c r="AL11">
        <f>IF($AG11="","",TRIM(MID(SUBSTITUTE($AG11,",",REPT(" ",100)),401,100)))</f>
        <v/>
      </c>
      <c r="AM11">
        <f>IF($AG11="","",TRIM(MID(SUBSTITUTE($AG11,",",REPT(" ",100)),501,100)))</f>
        <v/>
      </c>
      <c r="AN11">
        <f>IF($AG11="","",TRIM(MID(SUBSTITUTE($AG11,",",REPT(" ",100)),601,100)))</f>
        <v/>
      </c>
      <c r="AO11">
        <f>IF($AG11="","",TRIM(MID(SUBSTITUTE($AG11,",",REPT(" ",100)),701,100)))</f>
        <v/>
      </c>
      <c r="AP11">
        <f>IF($AG11="","",TRIM(MID(SUBSTITUTE($AG11,",",REPT(" ",100)),801,100)))</f>
        <v/>
      </c>
      <c r="AQ11">
        <f>IF($AG11="","",TRIM(MID(SUBSTITUTE($AG11,",",REPT(" ",100)),901,100)))</f>
        <v/>
      </c>
      <c r="AR11">
        <f>IF($AG11="","",TRIM(MID(SUBSTITUTE($AG11,",",REPT(" ",100)),1001,100)))</f>
        <v/>
      </c>
      <c r="AS11">
        <f>IF($AG11="","",TRIM(MID(SUBSTITUTE($AG11,",",REPT(" ",100)),1101,100)))</f>
        <v/>
      </c>
      <c r="AT11">
        <f>IF($AG11="","",TRIM(MID(SUBSTITUTE($AG11,",",REPT(" ",100)),1201,100)))</f>
        <v/>
      </c>
      <c r="AU11">
        <f>IF($AG11="","",TRIM(MID(SUBSTITUTE($AG11,",",REPT(" ",100)),1301,100)))</f>
        <v/>
      </c>
      <c r="AV11">
        <f>IF($AG11="","",TRIM(MID(SUBSTITUTE($AG11,",",REPT(" ",100)),1401,100)))</f>
        <v/>
      </c>
      <c r="AW11">
        <f>IF($L11="참여",", "&amp;L$4,"")</f>
        <v/>
      </c>
      <c r="AX11">
        <f>AW11&amp;IF($M11="참여",", "&amp;M$4,"")</f>
        <v/>
      </c>
      <c r="AY11">
        <f>AX11&amp;IF($N11="참여",", "&amp;N$4,"")</f>
        <v/>
      </c>
      <c r="AZ11">
        <f>AY11&amp;IF($O11="참여",", "&amp;O$4,"")</f>
        <v/>
      </c>
      <c r="BA11">
        <f>AZ11&amp;IF($P11="참여",", "&amp;P$4,"")</f>
        <v/>
      </c>
      <c r="BB11">
        <f>BA11&amp;IF($Q11="참여",", "&amp;Q$4,"")</f>
        <v/>
      </c>
      <c r="BC11">
        <f>BB11&amp;IF($R11="참여",", "&amp;R$4,"")</f>
        <v/>
      </c>
      <c r="BD11">
        <f>BC11&amp;IF($S11="참여",", "&amp;S$4,"")</f>
        <v/>
      </c>
      <c r="BE11">
        <f>BD11&amp;IF($T11="참여",", "&amp;T$4,"")</f>
        <v/>
      </c>
      <c r="BF11">
        <f>BE11&amp;IF($U11="참여",", "&amp;U$4,"")</f>
        <v/>
      </c>
      <c r="BG11">
        <f>BF11&amp;IF($V11="참여",", "&amp;V$4,"")</f>
        <v/>
      </c>
      <c r="BH11">
        <f>BG11&amp;IF($W11="참여",", "&amp;W$4,"")</f>
        <v/>
      </c>
      <c r="BI11">
        <f>BH11&amp;IF($X11="참여",", "&amp;X$4,"")</f>
        <v/>
      </c>
      <c r="BJ11">
        <f>BI11&amp;IF($Y11="참여",", "&amp;Y$4,"")</f>
        <v/>
      </c>
      <c r="BK11">
        <f>BJ11&amp;IF($Z11="참여",", "&amp;Z$4,"")</f>
        <v/>
      </c>
      <c r="BL11">
        <f>BK11&amp;IF($AA11="참여",", "&amp;AA$4,"")</f>
        <v/>
      </c>
      <c r="BM11">
        <f>BL11&amp;IF($AB11="참여",", "&amp;AB$4,"")</f>
        <v/>
      </c>
      <c r="BN11">
        <f>BM11&amp;IF($AC11="참여",", "&amp;AC$4,"")</f>
        <v/>
      </c>
      <c r="BO11">
        <f>BN11&amp;IF($AD11="참여",", "&amp;AD$4,"")</f>
        <v/>
      </c>
      <c r="BP11">
        <f>BO11&amp;IF($AE11="참여",", "&amp;AE$4,"")</f>
        <v/>
      </c>
    </row>
    <row r="12">
      <c r="A12" s="74" t="n"/>
      <c r="B12" s="42" t="n"/>
      <c r="C12" s="74" t="n"/>
      <c r="D12" s="80" t="n"/>
      <c r="E12" s="74" t="n"/>
      <c r="F12" s="74" t="n"/>
      <c r="G12" s="118">
        <f>IF($A12="","",20-COUNTBLANK($L12:$AE12))</f>
        <v/>
      </c>
      <c r="H12" s="130">
        <f>IF($A12="","",IFERROR(INDEX($L$4:$AE$4,MATCH("주담당",$L12:$AE12,0)),""))</f>
        <v/>
      </c>
      <c r="I12" s="122">
        <f>IF($A12="","",IF($H12="",$AG12,$H12&amp;IF($AG12="","",", "&amp;$AG12)))</f>
        <v/>
      </c>
      <c r="J12" s="42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  <c r="AB12" s="74" t="n"/>
      <c r="AC12" s="74" t="n"/>
      <c r="AD12" s="74" t="n"/>
      <c r="AE12" s="74" t="n"/>
      <c r="AG12">
        <f>IF($A12="","",MID($BP12,3,255))</f>
        <v/>
      </c>
      <c r="AH12">
        <f>IF($AG12="","",TRIM(MID(SUBSTITUTE($AG12,",",REPT(" ",100)),1,100)))</f>
        <v/>
      </c>
      <c r="AI12">
        <f>IF($AG12="","",TRIM(MID(SUBSTITUTE($AG12,",",REPT(" ",100)),101,100)))</f>
        <v/>
      </c>
      <c r="AJ12">
        <f>IF($AG12="","",TRIM(MID(SUBSTITUTE($AG12,",",REPT(" ",100)),201,100)))</f>
        <v/>
      </c>
      <c r="AK12">
        <f>IF($AG12="","",TRIM(MID(SUBSTITUTE($AG12,",",REPT(" ",100)),301,100)))</f>
        <v/>
      </c>
      <c r="AL12">
        <f>IF($AG12="","",TRIM(MID(SUBSTITUTE($AG12,",",REPT(" ",100)),401,100)))</f>
        <v/>
      </c>
      <c r="AM12">
        <f>IF($AG12="","",TRIM(MID(SUBSTITUTE($AG12,",",REPT(" ",100)),501,100)))</f>
        <v/>
      </c>
      <c r="AN12">
        <f>IF($AG12="","",TRIM(MID(SUBSTITUTE($AG12,",",REPT(" ",100)),601,100)))</f>
        <v/>
      </c>
      <c r="AO12">
        <f>IF($AG12="","",TRIM(MID(SUBSTITUTE($AG12,",",REPT(" ",100)),701,100)))</f>
        <v/>
      </c>
      <c r="AP12">
        <f>IF($AG12="","",TRIM(MID(SUBSTITUTE($AG12,",",REPT(" ",100)),801,100)))</f>
        <v/>
      </c>
      <c r="AQ12">
        <f>IF($AG12="","",TRIM(MID(SUBSTITUTE($AG12,",",REPT(" ",100)),901,100)))</f>
        <v/>
      </c>
      <c r="AR12">
        <f>IF($AG12="","",TRIM(MID(SUBSTITUTE($AG12,",",REPT(" ",100)),1001,100)))</f>
        <v/>
      </c>
      <c r="AS12">
        <f>IF($AG12="","",TRIM(MID(SUBSTITUTE($AG12,",",REPT(" ",100)),1101,100)))</f>
        <v/>
      </c>
      <c r="AT12">
        <f>IF($AG12="","",TRIM(MID(SUBSTITUTE($AG12,",",REPT(" ",100)),1201,100)))</f>
        <v/>
      </c>
      <c r="AU12">
        <f>IF($AG12="","",TRIM(MID(SUBSTITUTE($AG12,",",REPT(" ",100)),1301,100)))</f>
        <v/>
      </c>
      <c r="AV12">
        <f>IF($AG12="","",TRIM(MID(SUBSTITUTE($AG12,",",REPT(" ",100)),1401,100)))</f>
        <v/>
      </c>
      <c r="AW12">
        <f>IF($L12="참여",", "&amp;L$4,"")</f>
        <v/>
      </c>
      <c r="AX12">
        <f>AW12&amp;IF($M12="참여",", "&amp;M$4,"")</f>
        <v/>
      </c>
      <c r="AY12">
        <f>AX12&amp;IF($N12="참여",", "&amp;N$4,"")</f>
        <v/>
      </c>
      <c r="AZ12">
        <f>AY12&amp;IF($O12="참여",", "&amp;O$4,"")</f>
        <v/>
      </c>
      <c r="BA12">
        <f>AZ12&amp;IF($P12="참여",", "&amp;P$4,"")</f>
        <v/>
      </c>
      <c r="BB12">
        <f>BA12&amp;IF($Q12="참여",", "&amp;Q$4,"")</f>
        <v/>
      </c>
      <c r="BC12">
        <f>BB12&amp;IF($R12="참여",", "&amp;R$4,"")</f>
        <v/>
      </c>
      <c r="BD12">
        <f>BC12&amp;IF($S12="참여",", "&amp;S$4,"")</f>
        <v/>
      </c>
      <c r="BE12">
        <f>BD12&amp;IF($T12="참여",", "&amp;T$4,"")</f>
        <v/>
      </c>
      <c r="BF12">
        <f>BE12&amp;IF($U12="참여",", "&amp;U$4,"")</f>
        <v/>
      </c>
      <c r="BG12">
        <f>BF12&amp;IF($V12="참여",", "&amp;V$4,"")</f>
        <v/>
      </c>
      <c r="BH12">
        <f>BG12&amp;IF($W12="참여",", "&amp;W$4,"")</f>
        <v/>
      </c>
      <c r="BI12">
        <f>BH12&amp;IF($X12="참여",", "&amp;X$4,"")</f>
        <v/>
      </c>
      <c r="BJ12">
        <f>BI12&amp;IF($Y12="참여",", "&amp;Y$4,"")</f>
        <v/>
      </c>
      <c r="BK12">
        <f>BJ12&amp;IF($Z12="참여",", "&amp;Z$4,"")</f>
        <v/>
      </c>
      <c r="BL12">
        <f>BK12&amp;IF($AA12="참여",", "&amp;AA$4,"")</f>
        <v/>
      </c>
      <c r="BM12">
        <f>BL12&amp;IF($AB12="참여",", "&amp;AB$4,"")</f>
        <v/>
      </c>
      <c r="BN12">
        <f>BM12&amp;IF($AC12="참여",", "&amp;AC$4,"")</f>
        <v/>
      </c>
      <c r="BO12">
        <f>BN12&amp;IF($AD12="참여",", "&amp;AD$4,"")</f>
        <v/>
      </c>
      <c r="BP12">
        <f>BO12&amp;IF($AE12="참여",", "&amp;AE$4,"")</f>
        <v/>
      </c>
    </row>
    <row r="13">
      <c r="A13" s="74" t="n"/>
      <c r="B13" s="42" t="n"/>
      <c r="C13" s="74" t="n"/>
      <c r="D13" s="80" t="n"/>
      <c r="E13" s="74" t="n"/>
      <c r="F13" s="74" t="n"/>
      <c r="G13" s="118">
        <f>IF($A13="","",20-COUNTBLANK($L13:$AE13))</f>
        <v/>
      </c>
      <c r="H13" s="130">
        <f>IF($A13="","",IFERROR(INDEX($L$4:$AE$4,MATCH("주담당",$L13:$AE13,0)),""))</f>
        <v/>
      </c>
      <c r="I13" s="122">
        <f>IF($A13="","",IF($H13="",$AG13,$H13&amp;IF($AG13="","",", "&amp;$AG13)))</f>
        <v/>
      </c>
      <c r="J13" s="42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  <c r="AB13" s="74" t="n"/>
      <c r="AC13" s="74" t="n"/>
      <c r="AD13" s="74" t="n"/>
      <c r="AE13" s="74" t="n"/>
      <c r="AG13">
        <f>IF($A13="","",MID($BP13,3,255))</f>
        <v/>
      </c>
      <c r="AH13">
        <f>IF($AG13="","",TRIM(MID(SUBSTITUTE($AG13,",",REPT(" ",100)),1,100)))</f>
        <v/>
      </c>
      <c r="AI13">
        <f>IF($AG13="","",TRIM(MID(SUBSTITUTE($AG13,",",REPT(" ",100)),101,100)))</f>
        <v/>
      </c>
      <c r="AJ13">
        <f>IF($AG13="","",TRIM(MID(SUBSTITUTE($AG13,",",REPT(" ",100)),201,100)))</f>
        <v/>
      </c>
      <c r="AK13">
        <f>IF($AG13="","",TRIM(MID(SUBSTITUTE($AG13,",",REPT(" ",100)),301,100)))</f>
        <v/>
      </c>
      <c r="AL13">
        <f>IF($AG13="","",TRIM(MID(SUBSTITUTE($AG13,",",REPT(" ",100)),401,100)))</f>
        <v/>
      </c>
      <c r="AM13">
        <f>IF($AG13="","",TRIM(MID(SUBSTITUTE($AG13,",",REPT(" ",100)),501,100)))</f>
        <v/>
      </c>
      <c r="AN13">
        <f>IF($AG13="","",TRIM(MID(SUBSTITUTE($AG13,",",REPT(" ",100)),601,100)))</f>
        <v/>
      </c>
      <c r="AO13">
        <f>IF($AG13="","",TRIM(MID(SUBSTITUTE($AG13,",",REPT(" ",100)),701,100)))</f>
        <v/>
      </c>
      <c r="AP13">
        <f>IF($AG13="","",TRIM(MID(SUBSTITUTE($AG13,",",REPT(" ",100)),801,100)))</f>
        <v/>
      </c>
      <c r="AQ13">
        <f>IF($AG13="","",TRIM(MID(SUBSTITUTE($AG13,",",REPT(" ",100)),901,100)))</f>
        <v/>
      </c>
      <c r="AR13">
        <f>IF($AG13="","",TRIM(MID(SUBSTITUTE($AG13,",",REPT(" ",100)),1001,100)))</f>
        <v/>
      </c>
      <c r="AS13">
        <f>IF($AG13="","",TRIM(MID(SUBSTITUTE($AG13,",",REPT(" ",100)),1101,100)))</f>
        <v/>
      </c>
      <c r="AT13">
        <f>IF($AG13="","",TRIM(MID(SUBSTITUTE($AG13,",",REPT(" ",100)),1201,100)))</f>
        <v/>
      </c>
      <c r="AU13">
        <f>IF($AG13="","",TRIM(MID(SUBSTITUTE($AG13,",",REPT(" ",100)),1301,100)))</f>
        <v/>
      </c>
      <c r="AV13">
        <f>IF($AG13="","",TRIM(MID(SUBSTITUTE($AG13,",",REPT(" ",100)),1401,100)))</f>
        <v/>
      </c>
      <c r="AW13">
        <f>IF($L13="참여",", "&amp;L$4,"")</f>
        <v/>
      </c>
      <c r="AX13">
        <f>AW13&amp;IF($M13="참여",", "&amp;M$4,"")</f>
        <v/>
      </c>
      <c r="AY13">
        <f>AX13&amp;IF($N13="참여",", "&amp;N$4,"")</f>
        <v/>
      </c>
      <c r="AZ13">
        <f>AY13&amp;IF($O13="참여",", "&amp;O$4,"")</f>
        <v/>
      </c>
      <c r="BA13">
        <f>AZ13&amp;IF($P13="참여",", "&amp;P$4,"")</f>
        <v/>
      </c>
      <c r="BB13">
        <f>BA13&amp;IF($Q13="참여",", "&amp;Q$4,"")</f>
        <v/>
      </c>
      <c r="BC13">
        <f>BB13&amp;IF($R13="참여",", "&amp;R$4,"")</f>
        <v/>
      </c>
      <c r="BD13">
        <f>BC13&amp;IF($S13="참여",", "&amp;S$4,"")</f>
        <v/>
      </c>
      <c r="BE13">
        <f>BD13&amp;IF($T13="참여",", "&amp;T$4,"")</f>
        <v/>
      </c>
      <c r="BF13">
        <f>BE13&amp;IF($U13="참여",", "&amp;U$4,"")</f>
        <v/>
      </c>
      <c r="BG13">
        <f>BF13&amp;IF($V13="참여",", "&amp;V$4,"")</f>
        <v/>
      </c>
      <c r="BH13">
        <f>BG13&amp;IF($W13="참여",", "&amp;W$4,"")</f>
        <v/>
      </c>
      <c r="BI13">
        <f>BH13&amp;IF($X13="참여",", "&amp;X$4,"")</f>
        <v/>
      </c>
      <c r="BJ13">
        <f>BI13&amp;IF($Y13="참여",", "&amp;Y$4,"")</f>
        <v/>
      </c>
      <c r="BK13">
        <f>BJ13&amp;IF($Z13="참여",", "&amp;Z$4,"")</f>
        <v/>
      </c>
      <c r="BL13">
        <f>BK13&amp;IF($AA13="참여",", "&amp;AA$4,"")</f>
        <v/>
      </c>
      <c r="BM13">
        <f>BL13&amp;IF($AB13="참여",", "&amp;AB$4,"")</f>
        <v/>
      </c>
      <c r="BN13">
        <f>BM13&amp;IF($AC13="참여",", "&amp;AC$4,"")</f>
        <v/>
      </c>
      <c r="BO13">
        <f>BN13&amp;IF($AD13="참여",", "&amp;AD$4,"")</f>
        <v/>
      </c>
      <c r="BP13">
        <f>BO13&amp;IF($AE13="참여",", "&amp;AE$4,"")</f>
        <v/>
      </c>
    </row>
    <row r="14">
      <c r="A14" s="74" t="n"/>
      <c r="B14" s="42" t="n"/>
      <c r="C14" s="74" t="n"/>
      <c r="D14" s="80" t="n"/>
      <c r="E14" s="74" t="n"/>
      <c r="F14" s="74" t="n"/>
      <c r="G14" s="118">
        <f>IF($A14="","",20-COUNTBLANK($L14:$AE14))</f>
        <v/>
      </c>
      <c r="H14" s="130">
        <f>IF($A14="","",IFERROR(INDEX($L$4:$AE$4,MATCH("주담당",$L14:$AE14,0)),""))</f>
        <v/>
      </c>
      <c r="I14" s="122">
        <f>IF($A14="","",IF($H14="",$AG14,$H14&amp;IF($AG14="","",", "&amp;$AG14)))</f>
        <v/>
      </c>
      <c r="J14" s="42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  <c r="AB14" s="74" t="n"/>
      <c r="AC14" s="74" t="n"/>
      <c r="AD14" s="74" t="n"/>
      <c r="AE14" s="74" t="n"/>
      <c r="AG14">
        <f>IF($A14="","",MID($BP14,3,255))</f>
        <v/>
      </c>
      <c r="AH14">
        <f>IF($AG14="","",TRIM(MID(SUBSTITUTE($AG14,",",REPT(" ",100)),1,100)))</f>
        <v/>
      </c>
      <c r="AI14">
        <f>IF($AG14="","",TRIM(MID(SUBSTITUTE($AG14,",",REPT(" ",100)),101,100)))</f>
        <v/>
      </c>
      <c r="AJ14">
        <f>IF($AG14="","",TRIM(MID(SUBSTITUTE($AG14,",",REPT(" ",100)),201,100)))</f>
        <v/>
      </c>
      <c r="AK14">
        <f>IF($AG14="","",TRIM(MID(SUBSTITUTE($AG14,",",REPT(" ",100)),301,100)))</f>
        <v/>
      </c>
      <c r="AL14">
        <f>IF($AG14="","",TRIM(MID(SUBSTITUTE($AG14,",",REPT(" ",100)),401,100)))</f>
        <v/>
      </c>
      <c r="AM14">
        <f>IF($AG14="","",TRIM(MID(SUBSTITUTE($AG14,",",REPT(" ",100)),501,100)))</f>
        <v/>
      </c>
      <c r="AN14">
        <f>IF($AG14="","",TRIM(MID(SUBSTITUTE($AG14,",",REPT(" ",100)),601,100)))</f>
        <v/>
      </c>
      <c r="AO14">
        <f>IF($AG14="","",TRIM(MID(SUBSTITUTE($AG14,",",REPT(" ",100)),701,100)))</f>
        <v/>
      </c>
      <c r="AP14">
        <f>IF($AG14="","",TRIM(MID(SUBSTITUTE($AG14,",",REPT(" ",100)),801,100)))</f>
        <v/>
      </c>
      <c r="AQ14">
        <f>IF($AG14="","",TRIM(MID(SUBSTITUTE($AG14,",",REPT(" ",100)),901,100)))</f>
        <v/>
      </c>
      <c r="AR14">
        <f>IF($AG14="","",TRIM(MID(SUBSTITUTE($AG14,",",REPT(" ",100)),1001,100)))</f>
        <v/>
      </c>
      <c r="AS14">
        <f>IF($AG14="","",TRIM(MID(SUBSTITUTE($AG14,",",REPT(" ",100)),1101,100)))</f>
        <v/>
      </c>
      <c r="AT14">
        <f>IF($AG14="","",TRIM(MID(SUBSTITUTE($AG14,",",REPT(" ",100)),1201,100)))</f>
        <v/>
      </c>
      <c r="AU14">
        <f>IF($AG14="","",TRIM(MID(SUBSTITUTE($AG14,",",REPT(" ",100)),1301,100)))</f>
        <v/>
      </c>
      <c r="AV14">
        <f>IF($AG14="","",TRIM(MID(SUBSTITUTE($AG14,",",REPT(" ",100)),1401,100)))</f>
        <v/>
      </c>
      <c r="AW14">
        <f>IF($L14="참여",", "&amp;L$4,"")</f>
        <v/>
      </c>
      <c r="AX14">
        <f>AW14&amp;IF($M14="참여",", "&amp;M$4,"")</f>
        <v/>
      </c>
      <c r="AY14">
        <f>AX14&amp;IF($N14="참여",", "&amp;N$4,"")</f>
        <v/>
      </c>
      <c r="AZ14">
        <f>AY14&amp;IF($O14="참여",", "&amp;O$4,"")</f>
        <v/>
      </c>
      <c r="BA14">
        <f>AZ14&amp;IF($P14="참여",", "&amp;P$4,"")</f>
        <v/>
      </c>
      <c r="BB14">
        <f>BA14&amp;IF($Q14="참여",", "&amp;Q$4,"")</f>
        <v/>
      </c>
      <c r="BC14">
        <f>BB14&amp;IF($R14="참여",", "&amp;R$4,"")</f>
        <v/>
      </c>
      <c r="BD14">
        <f>BC14&amp;IF($S14="참여",", "&amp;S$4,"")</f>
        <v/>
      </c>
      <c r="BE14">
        <f>BD14&amp;IF($T14="참여",", "&amp;T$4,"")</f>
        <v/>
      </c>
      <c r="BF14">
        <f>BE14&amp;IF($U14="참여",", "&amp;U$4,"")</f>
        <v/>
      </c>
      <c r="BG14">
        <f>BF14&amp;IF($V14="참여",", "&amp;V$4,"")</f>
        <v/>
      </c>
      <c r="BH14">
        <f>BG14&amp;IF($W14="참여",", "&amp;W$4,"")</f>
        <v/>
      </c>
      <c r="BI14">
        <f>BH14&amp;IF($X14="참여",", "&amp;X$4,"")</f>
        <v/>
      </c>
      <c r="BJ14">
        <f>BI14&amp;IF($Y14="참여",", "&amp;Y$4,"")</f>
        <v/>
      </c>
      <c r="BK14">
        <f>BJ14&amp;IF($Z14="참여",", "&amp;Z$4,"")</f>
        <v/>
      </c>
      <c r="BL14">
        <f>BK14&amp;IF($AA14="참여",", "&amp;AA$4,"")</f>
        <v/>
      </c>
      <c r="BM14">
        <f>BL14&amp;IF($AB14="참여",", "&amp;AB$4,"")</f>
        <v/>
      </c>
      <c r="BN14">
        <f>BM14&amp;IF($AC14="참여",", "&amp;AC$4,"")</f>
        <v/>
      </c>
      <c r="BO14">
        <f>BN14&amp;IF($AD14="참여",", "&amp;AD$4,"")</f>
        <v/>
      </c>
      <c r="BP14">
        <f>BO14&amp;IF($AE14="참여",", "&amp;AE$4,"")</f>
        <v/>
      </c>
    </row>
    <row r="15">
      <c r="A15" s="74" t="n"/>
      <c r="B15" s="42" t="n"/>
      <c r="C15" s="74" t="n"/>
      <c r="D15" s="80" t="n"/>
      <c r="E15" s="74" t="n"/>
      <c r="F15" s="74" t="n"/>
      <c r="G15" s="118">
        <f>IF($A15="","",20-COUNTBLANK($L15:$AE15))</f>
        <v/>
      </c>
      <c r="H15" s="130">
        <f>IF($A15="","",IFERROR(INDEX($L$4:$AE$4,MATCH("주담당",$L15:$AE15,0)),""))</f>
        <v/>
      </c>
      <c r="I15" s="122">
        <f>IF($A15="","",IF($H15="",$AG15,$H15&amp;IF($AG15="","",", "&amp;$AG15)))</f>
        <v/>
      </c>
      <c r="J15" s="42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  <c r="AB15" s="74" t="n"/>
      <c r="AC15" s="74" t="n"/>
      <c r="AD15" s="74" t="n"/>
      <c r="AE15" s="74" t="n"/>
      <c r="AG15">
        <f>IF($A15="","",MID($BP15,3,255))</f>
        <v/>
      </c>
      <c r="AH15">
        <f>IF($AG15="","",TRIM(MID(SUBSTITUTE($AG15,",",REPT(" ",100)),1,100)))</f>
        <v/>
      </c>
      <c r="AI15">
        <f>IF($AG15="","",TRIM(MID(SUBSTITUTE($AG15,",",REPT(" ",100)),101,100)))</f>
        <v/>
      </c>
      <c r="AJ15">
        <f>IF($AG15="","",TRIM(MID(SUBSTITUTE($AG15,",",REPT(" ",100)),201,100)))</f>
        <v/>
      </c>
      <c r="AK15">
        <f>IF($AG15="","",TRIM(MID(SUBSTITUTE($AG15,",",REPT(" ",100)),301,100)))</f>
        <v/>
      </c>
      <c r="AL15">
        <f>IF($AG15="","",TRIM(MID(SUBSTITUTE($AG15,",",REPT(" ",100)),401,100)))</f>
        <v/>
      </c>
      <c r="AM15">
        <f>IF($AG15="","",TRIM(MID(SUBSTITUTE($AG15,",",REPT(" ",100)),501,100)))</f>
        <v/>
      </c>
      <c r="AN15">
        <f>IF($AG15="","",TRIM(MID(SUBSTITUTE($AG15,",",REPT(" ",100)),601,100)))</f>
        <v/>
      </c>
      <c r="AO15">
        <f>IF($AG15="","",TRIM(MID(SUBSTITUTE($AG15,",",REPT(" ",100)),701,100)))</f>
        <v/>
      </c>
      <c r="AP15">
        <f>IF($AG15="","",TRIM(MID(SUBSTITUTE($AG15,",",REPT(" ",100)),801,100)))</f>
        <v/>
      </c>
      <c r="AQ15">
        <f>IF($AG15="","",TRIM(MID(SUBSTITUTE($AG15,",",REPT(" ",100)),901,100)))</f>
        <v/>
      </c>
      <c r="AR15">
        <f>IF($AG15="","",TRIM(MID(SUBSTITUTE($AG15,",",REPT(" ",100)),1001,100)))</f>
        <v/>
      </c>
      <c r="AS15">
        <f>IF($AG15="","",TRIM(MID(SUBSTITUTE($AG15,",",REPT(" ",100)),1101,100)))</f>
        <v/>
      </c>
      <c r="AT15">
        <f>IF($AG15="","",TRIM(MID(SUBSTITUTE($AG15,",",REPT(" ",100)),1201,100)))</f>
        <v/>
      </c>
      <c r="AU15">
        <f>IF($AG15="","",TRIM(MID(SUBSTITUTE($AG15,",",REPT(" ",100)),1301,100)))</f>
        <v/>
      </c>
      <c r="AV15">
        <f>IF($AG15="","",TRIM(MID(SUBSTITUTE($AG15,",",REPT(" ",100)),1401,100)))</f>
        <v/>
      </c>
      <c r="AW15">
        <f>IF($L15="참여",", "&amp;L$4,"")</f>
        <v/>
      </c>
      <c r="AX15">
        <f>AW15&amp;IF($M15="참여",", "&amp;M$4,"")</f>
        <v/>
      </c>
      <c r="AY15">
        <f>AX15&amp;IF($N15="참여",", "&amp;N$4,"")</f>
        <v/>
      </c>
      <c r="AZ15">
        <f>AY15&amp;IF($O15="참여",", "&amp;O$4,"")</f>
        <v/>
      </c>
      <c r="BA15">
        <f>AZ15&amp;IF($P15="참여",", "&amp;P$4,"")</f>
        <v/>
      </c>
      <c r="BB15">
        <f>BA15&amp;IF($Q15="참여",", "&amp;Q$4,"")</f>
        <v/>
      </c>
      <c r="BC15">
        <f>BB15&amp;IF($R15="참여",", "&amp;R$4,"")</f>
        <v/>
      </c>
      <c r="BD15">
        <f>BC15&amp;IF($S15="참여",", "&amp;S$4,"")</f>
        <v/>
      </c>
      <c r="BE15">
        <f>BD15&amp;IF($T15="참여",", "&amp;T$4,"")</f>
        <v/>
      </c>
      <c r="BF15">
        <f>BE15&amp;IF($U15="참여",", "&amp;U$4,"")</f>
        <v/>
      </c>
      <c r="BG15">
        <f>BF15&amp;IF($V15="참여",", "&amp;V$4,"")</f>
        <v/>
      </c>
      <c r="BH15">
        <f>BG15&amp;IF($W15="참여",", "&amp;W$4,"")</f>
        <v/>
      </c>
      <c r="BI15">
        <f>BH15&amp;IF($X15="참여",", "&amp;X$4,"")</f>
        <v/>
      </c>
      <c r="BJ15">
        <f>BI15&amp;IF($Y15="참여",", "&amp;Y$4,"")</f>
        <v/>
      </c>
      <c r="BK15">
        <f>BJ15&amp;IF($Z15="참여",", "&amp;Z$4,"")</f>
        <v/>
      </c>
      <c r="BL15">
        <f>BK15&amp;IF($AA15="참여",", "&amp;AA$4,"")</f>
        <v/>
      </c>
      <c r="BM15">
        <f>BL15&amp;IF($AB15="참여",", "&amp;AB$4,"")</f>
        <v/>
      </c>
      <c r="BN15">
        <f>BM15&amp;IF($AC15="참여",", "&amp;AC$4,"")</f>
        <v/>
      </c>
      <c r="BO15">
        <f>BN15&amp;IF($AD15="참여",", "&amp;AD$4,"")</f>
        <v/>
      </c>
      <c r="BP15">
        <f>BO15&amp;IF($AE15="참여",", "&amp;AE$4,"")</f>
        <v/>
      </c>
    </row>
    <row r="16">
      <c r="A16" s="74" t="n"/>
      <c r="B16" s="42" t="n"/>
      <c r="C16" s="74" t="n"/>
      <c r="D16" s="80" t="n"/>
      <c r="E16" s="74" t="n"/>
      <c r="F16" s="74" t="n"/>
      <c r="G16" s="118">
        <f>IF($A16="","",20-COUNTBLANK($L16:$AE16))</f>
        <v/>
      </c>
      <c r="H16" s="130">
        <f>IF($A16="","",IFERROR(INDEX($L$4:$AE$4,MATCH("주담당",$L16:$AE16,0)),""))</f>
        <v/>
      </c>
      <c r="I16" s="122">
        <f>IF($A16="","",IF($H16="",$AG16,$H16&amp;IF($AG16="","",", "&amp;$AG16)))</f>
        <v/>
      </c>
      <c r="J16" s="42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G16">
        <f>IF($A16="","",MID($BP16,3,255))</f>
        <v/>
      </c>
      <c r="AH16">
        <f>IF($AG16="","",TRIM(MID(SUBSTITUTE($AG16,",",REPT(" ",100)),1,100)))</f>
        <v/>
      </c>
      <c r="AI16">
        <f>IF($AG16="","",TRIM(MID(SUBSTITUTE($AG16,",",REPT(" ",100)),101,100)))</f>
        <v/>
      </c>
      <c r="AJ16">
        <f>IF($AG16="","",TRIM(MID(SUBSTITUTE($AG16,",",REPT(" ",100)),201,100)))</f>
        <v/>
      </c>
      <c r="AK16">
        <f>IF($AG16="","",TRIM(MID(SUBSTITUTE($AG16,",",REPT(" ",100)),301,100)))</f>
        <v/>
      </c>
      <c r="AL16">
        <f>IF($AG16="","",TRIM(MID(SUBSTITUTE($AG16,",",REPT(" ",100)),401,100)))</f>
        <v/>
      </c>
      <c r="AM16">
        <f>IF($AG16="","",TRIM(MID(SUBSTITUTE($AG16,",",REPT(" ",100)),501,100)))</f>
        <v/>
      </c>
      <c r="AN16">
        <f>IF($AG16="","",TRIM(MID(SUBSTITUTE($AG16,",",REPT(" ",100)),601,100)))</f>
        <v/>
      </c>
      <c r="AO16">
        <f>IF($AG16="","",TRIM(MID(SUBSTITUTE($AG16,",",REPT(" ",100)),701,100)))</f>
        <v/>
      </c>
      <c r="AP16">
        <f>IF($AG16="","",TRIM(MID(SUBSTITUTE($AG16,",",REPT(" ",100)),801,100)))</f>
        <v/>
      </c>
      <c r="AQ16">
        <f>IF($AG16="","",TRIM(MID(SUBSTITUTE($AG16,",",REPT(" ",100)),901,100)))</f>
        <v/>
      </c>
      <c r="AR16">
        <f>IF($AG16="","",TRIM(MID(SUBSTITUTE($AG16,",",REPT(" ",100)),1001,100)))</f>
        <v/>
      </c>
      <c r="AS16">
        <f>IF($AG16="","",TRIM(MID(SUBSTITUTE($AG16,",",REPT(" ",100)),1101,100)))</f>
        <v/>
      </c>
      <c r="AT16">
        <f>IF($AG16="","",TRIM(MID(SUBSTITUTE($AG16,",",REPT(" ",100)),1201,100)))</f>
        <v/>
      </c>
      <c r="AU16">
        <f>IF($AG16="","",TRIM(MID(SUBSTITUTE($AG16,",",REPT(" ",100)),1301,100)))</f>
        <v/>
      </c>
      <c r="AV16">
        <f>IF($AG16="","",TRIM(MID(SUBSTITUTE($AG16,",",REPT(" ",100)),1401,100)))</f>
        <v/>
      </c>
      <c r="AW16">
        <f>IF($L16="참여",", "&amp;L$4,"")</f>
        <v/>
      </c>
      <c r="AX16">
        <f>AW16&amp;IF($M16="참여",", "&amp;M$4,"")</f>
        <v/>
      </c>
      <c r="AY16">
        <f>AX16&amp;IF($N16="참여",", "&amp;N$4,"")</f>
        <v/>
      </c>
      <c r="AZ16">
        <f>AY16&amp;IF($O16="참여",", "&amp;O$4,"")</f>
        <v/>
      </c>
      <c r="BA16">
        <f>AZ16&amp;IF($P16="참여",", "&amp;P$4,"")</f>
        <v/>
      </c>
      <c r="BB16">
        <f>BA16&amp;IF($Q16="참여",", "&amp;Q$4,"")</f>
        <v/>
      </c>
      <c r="BC16">
        <f>BB16&amp;IF($R16="참여",", "&amp;R$4,"")</f>
        <v/>
      </c>
      <c r="BD16">
        <f>BC16&amp;IF($S16="참여",", "&amp;S$4,"")</f>
        <v/>
      </c>
      <c r="BE16">
        <f>BD16&amp;IF($T16="참여",", "&amp;T$4,"")</f>
        <v/>
      </c>
      <c r="BF16">
        <f>BE16&amp;IF($U16="참여",", "&amp;U$4,"")</f>
        <v/>
      </c>
      <c r="BG16">
        <f>BF16&amp;IF($V16="참여",", "&amp;V$4,"")</f>
        <v/>
      </c>
      <c r="BH16">
        <f>BG16&amp;IF($W16="참여",", "&amp;W$4,"")</f>
        <v/>
      </c>
      <c r="BI16">
        <f>BH16&amp;IF($X16="참여",", "&amp;X$4,"")</f>
        <v/>
      </c>
      <c r="BJ16">
        <f>BI16&amp;IF($Y16="참여",", "&amp;Y$4,"")</f>
        <v/>
      </c>
      <c r="BK16">
        <f>BJ16&amp;IF($Z16="참여",", "&amp;Z$4,"")</f>
        <v/>
      </c>
      <c r="BL16">
        <f>BK16&amp;IF($AA16="참여",", "&amp;AA$4,"")</f>
        <v/>
      </c>
      <c r="BM16">
        <f>BL16&amp;IF($AB16="참여",", "&amp;AB$4,"")</f>
        <v/>
      </c>
      <c r="BN16">
        <f>BM16&amp;IF($AC16="참여",", "&amp;AC$4,"")</f>
        <v/>
      </c>
      <c r="BO16">
        <f>BN16&amp;IF($AD16="참여",", "&amp;AD$4,"")</f>
        <v/>
      </c>
      <c r="BP16">
        <f>BO16&amp;IF($AE16="참여",", "&amp;AE$4,"")</f>
        <v/>
      </c>
    </row>
    <row r="17">
      <c r="A17" s="74" t="n"/>
      <c r="B17" s="42" t="n"/>
      <c r="C17" s="74" t="n"/>
      <c r="D17" s="80" t="n"/>
      <c r="E17" s="74" t="n"/>
      <c r="F17" s="74" t="n"/>
      <c r="G17" s="118">
        <f>IF($A17="","",20-COUNTBLANK($L17:$AE17))</f>
        <v/>
      </c>
      <c r="H17" s="130">
        <f>IF($A17="","",IFERROR(INDEX($L$4:$AE$4,MATCH("주담당",$L17:$AE17,0)),""))</f>
        <v/>
      </c>
      <c r="I17" s="122">
        <f>IF($A17="","",IF($H17="",$AG17,$H17&amp;IF($AG17="","",", "&amp;$AG17)))</f>
        <v/>
      </c>
      <c r="J17" s="42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G17">
        <f>IF($A17="","",MID($BP17,3,255))</f>
        <v/>
      </c>
      <c r="AH17">
        <f>IF($AG17="","",TRIM(MID(SUBSTITUTE($AG17,",",REPT(" ",100)),1,100)))</f>
        <v/>
      </c>
      <c r="AI17">
        <f>IF($AG17="","",TRIM(MID(SUBSTITUTE($AG17,",",REPT(" ",100)),101,100)))</f>
        <v/>
      </c>
      <c r="AJ17">
        <f>IF($AG17="","",TRIM(MID(SUBSTITUTE($AG17,",",REPT(" ",100)),201,100)))</f>
        <v/>
      </c>
      <c r="AK17">
        <f>IF($AG17="","",TRIM(MID(SUBSTITUTE($AG17,",",REPT(" ",100)),301,100)))</f>
        <v/>
      </c>
      <c r="AL17">
        <f>IF($AG17="","",TRIM(MID(SUBSTITUTE($AG17,",",REPT(" ",100)),401,100)))</f>
        <v/>
      </c>
      <c r="AM17">
        <f>IF($AG17="","",TRIM(MID(SUBSTITUTE($AG17,",",REPT(" ",100)),501,100)))</f>
        <v/>
      </c>
      <c r="AN17">
        <f>IF($AG17="","",TRIM(MID(SUBSTITUTE($AG17,",",REPT(" ",100)),601,100)))</f>
        <v/>
      </c>
      <c r="AO17">
        <f>IF($AG17="","",TRIM(MID(SUBSTITUTE($AG17,",",REPT(" ",100)),701,100)))</f>
        <v/>
      </c>
      <c r="AP17">
        <f>IF($AG17="","",TRIM(MID(SUBSTITUTE($AG17,",",REPT(" ",100)),801,100)))</f>
        <v/>
      </c>
      <c r="AQ17">
        <f>IF($AG17="","",TRIM(MID(SUBSTITUTE($AG17,",",REPT(" ",100)),901,100)))</f>
        <v/>
      </c>
      <c r="AR17">
        <f>IF($AG17="","",TRIM(MID(SUBSTITUTE($AG17,",",REPT(" ",100)),1001,100)))</f>
        <v/>
      </c>
      <c r="AS17">
        <f>IF($AG17="","",TRIM(MID(SUBSTITUTE($AG17,",",REPT(" ",100)),1101,100)))</f>
        <v/>
      </c>
      <c r="AT17">
        <f>IF($AG17="","",TRIM(MID(SUBSTITUTE($AG17,",",REPT(" ",100)),1201,100)))</f>
        <v/>
      </c>
      <c r="AU17">
        <f>IF($AG17="","",TRIM(MID(SUBSTITUTE($AG17,",",REPT(" ",100)),1301,100)))</f>
        <v/>
      </c>
      <c r="AV17">
        <f>IF($AG17="","",TRIM(MID(SUBSTITUTE($AG17,",",REPT(" ",100)),1401,100)))</f>
        <v/>
      </c>
      <c r="AW17">
        <f>IF($L17="참여",", "&amp;L$4,"")</f>
        <v/>
      </c>
      <c r="AX17">
        <f>AW17&amp;IF($M17="참여",", "&amp;M$4,"")</f>
        <v/>
      </c>
      <c r="AY17">
        <f>AX17&amp;IF($N17="참여",", "&amp;N$4,"")</f>
        <v/>
      </c>
      <c r="AZ17">
        <f>AY17&amp;IF($O17="참여",", "&amp;O$4,"")</f>
        <v/>
      </c>
      <c r="BA17">
        <f>AZ17&amp;IF($P17="참여",", "&amp;P$4,"")</f>
        <v/>
      </c>
      <c r="BB17">
        <f>BA17&amp;IF($Q17="참여",", "&amp;Q$4,"")</f>
        <v/>
      </c>
      <c r="BC17">
        <f>BB17&amp;IF($R17="참여",", "&amp;R$4,"")</f>
        <v/>
      </c>
      <c r="BD17">
        <f>BC17&amp;IF($S17="참여",", "&amp;S$4,"")</f>
        <v/>
      </c>
      <c r="BE17">
        <f>BD17&amp;IF($T17="참여",", "&amp;T$4,"")</f>
        <v/>
      </c>
      <c r="BF17">
        <f>BE17&amp;IF($U17="참여",", "&amp;U$4,"")</f>
        <v/>
      </c>
      <c r="BG17">
        <f>BF17&amp;IF($V17="참여",", "&amp;V$4,"")</f>
        <v/>
      </c>
      <c r="BH17">
        <f>BG17&amp;IF($W17="참여",", "&amp;W$4,"")</f>
        <v/>
      </c>
      <c r="BI17">
        <f>BH17&amp;IF($X17="참여",", "&amp;X$4,"")</f>
        <v/>
      </c>
      <c r="BJ17">
        <f>BI17&amp;IF($Y17="참여",", "&amp;Y$4,"")</f>
        <v/>
      </c>
      <c r="BK17">
        <f>BJ17&amp;IF($Z17="참여",", "&amp;Z$4,"")</f>
        <v/>
      </c>
      <c r="BL17">
        <f>BK17&amp;IF($AA17="참여",", "&amp;AA$4,"")</f>
        <v/>
      </c>
      <c r="BM17">
        <f>BL17&amp;IF($AB17="참여",", "&amp;AB$4,"")</f>
        <v/>
      </c>
      <c r="BN17">
        <f>BM17&amp;IF($AC17="참여",", "&amp;AC$4,"")</f>
        <v/>
      </c>
      <c r="BO17">
        <f>BN17&amp;IF($AD17="참여",", "&amp;AD$4,"")</f>
        <v/>
      </c>
      <c r="BP17">
        <f>BO17&amp;IF($AE17="참여",", "&amp;AE$4,"")</f>
        <v/>
      </c>
    </row>
    <row r="18">
      <c r="A18" s="74" t="n"/>
      <c r="B18" s="42" t="n"/>
      <c r="C18" s="74" t="n"/>
      <c r="D18" s="80" t="n"/>
      <c r="E18" s="74" t="n"/>
      <c r="F18" s="74" t="n"/>
      <c r="G18" s="118">
        <f>IF($A18="","",20-COUNTBLANK($L18:$AE18))</f>
        <v/>
      </c>
      <c r="H18" s="130">
        <f>IF($A18="","",IFERROR(INDEX($L$4:$AE$4,MATCH("주담당",$L18:$AE18,0)),""))</f>
        <v/>
      </c>
      <c r="I18" s="122">
        <f>IF($A18="","",IF($H18="",$AG18,$H18&amp;IF($AG18="","",", "&amp;$AG18)))</f>
        <v/>
      </c>
      <c r="J18" s="42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G18">
        <f>IF($A18="","",MID($BP18,3,255))</f>
        <v/>
      </c>
      <c r="AH18">
        <f>IF($AG18="","",TRIM(MID(SUBSTITUTE($AG18,",",REPT(" ",100)),1,100)))</f>
        <v/>
      </c>
      <c r="AI18">
        <f>IF($AG18="","",TRIM(MID(SUBSTITUTE($AG18,",",REPT(" ",100)),101,100)))</f>
        <v/>
      </c>
      <c r="AJ18">
        <f>IF($AG18="","",TRIM(MID(SUBSTITUTE($AG18,",",REPT(" ",100)),201,100)))</f>
        <v/>
      </c>
      <c r="AK18">
        <f>IF($AG18="","",TRIM(MID(SUBSTITUTE($AG18,",",REPT(" ",100)),301,100)))</f>
        <v/>
      </c>
      <c r="AL18">
        <f>IF($AG18="","",TRIM(MID(SUBSTITUTE($AG18,",",REPT(" ",100)),401,100)))</f>
        <v/>
      </c>
      <c r="AM18">
        <f>IF($AG18="","",TRIM(MID(SUBSTITUTE($AG18,",",REPT(" ",100)),501,100)))</f>
        <v/>
      </c>
      <c r="AN18">
        <f>IF($AG18="","",TRIM(MID(SUBSTITUTE($AG18,",",REPT(" ",100)),601,100)))</f>
        <v/>
      </c>
      <c r="AO18">
        <f>IF($AG18="","",TRIM(MID(SUBSTITUTE($AG18,",",REPT(" ",100)),701,100)))</f>
        <v/>
      </c>
      <c r="AP18">
        <f>IF($AG18="","",TRIM(MID(SUBSTITUTE($AG18,",",REPT(" ",100)),801,100)))</f>
        <v/>
      </c>
      <c r="AQ18">
        <f>IF($AG18="","",TRIM(MID(SUBSTITUTE($AG18,",",REPT(" ",100)),901,100)))</f>
        <v/>
      </c>
      <c r="AR18">
        <f>IF($AG18="","",TRIM(MID(SUBSTITUTE($AG18,",",REPT(" ",100)),1001,100)))</f>
        <v/>
      </c>
      <c r="AS18">
        <f>IF($AG18="","",TRIM(MID(SUBSTITUTE($AG18,",",REPT(" ",100)),1101,100)))</f>
        <v/>
      </c>
      <c r="AT18">
        <f>IF($AG18="","",TRIM(MID(SUBSTITUTE($AG18,",",REPT(" ",100)),1201,100)))</f>
        <v/>
      </c>
      <c r="AU18">
        <f>IF($AG18="","",TRIM(MID(SUBSTITUTE($AG18,",",REPT(" ",100)),1301,100)))</f>
        <v/>
      </c>
      <c r="AV18">
        <f>IF($AG18="","",TRIM(MID(SUBSTITUTE($AG18,",",REPT(" ",100)),1401,100)))</f>
        <v/>
      </c>
      <c r="AW18">
        <f>IF($L18="참여",", "&amp;L$4,"")</f>
        <v/>
      </c>
      <c r="AX18">
        <f>AW18&amp;IF($M18="참여",", "&amp;M$4,"")</f>
        <v/>
      </c>
      <c r="AY18">
        <f>AX18&amp;IF($N18="참여",", "&amp;N$4,"")</f>
        <v/>
      </c>
      <c r="AZ18">
        <f>AY18&amp;IF($O18="참여",", "&amp;O$4,"")</f>
        <v/>
      </c>
      <c r="BA18">
        <f>AZ18&amp;IF($P18="참여",", "&amp;P$4,"")</f>
        <v/>
      </c>
      <c r="BB18">
        <f>BA18&amp;IF($Q18="참여",", "&amp;Q$4,"")</f>
        <v/>
      </c>
      <c r="BC18">
        <f>BB18&amp;IF($R18="참여",", "&amp;R$4,"")</f>
        <v/>
      </c>
      <c r="BD18">
        <f>BC18&amp;IF($S18="참여",", "&amp;S$4,"")</f>
        <v/>
      </c>
      <c r="BE18">
        <f>BD18&amp;IF($T18="참여",", "&amp;T$4,"")</f>
        <v/>
      </c>
      <c r="BF18">
        <f>BE18&amp;IF($U18="참여",", "&amp;U$4,"")</f>
        <v/>
      </c>
      <c r="BG18">
        <f>BF18&amp;IF($V18="참여",", "&amp;V$4,"")</f>
        <v/>
      </c>
      <c r="BH18">
        <f>BG18&amp;IF($W18="참여",", "&amp;W$4,"")</f>
        <v/>
      </c>
      <c r="BI18">
        <f>BH18&amp;IF($X18="참여",", "&amp;X$4,"")</f>
        <v/>
      </c>
      <c r="BJ18">
        <f>BI18&amp;IF($Y18="참여",", "&amp;Y$4,"")</f>
        <v/>
      </c>
      <c r="BK18">
        <f>BJ18&amp;IF($Z18="참여",", "&amp;Z$4,"")</f>
        <v/>
      </c>
      <c r="BL18">
        <f>BK18&amp;IF($AA18="참여",", "&amp;AA$4,"")</f>
        <v/>
      </c>
      <c r="BM18">
        <f>BL18&amp;IF($AB18="참여",", "&amp;AB$4,"")</f>
        <v/>
      </c>
      <c r="BN18">
        <f>BM18&amp;IF($AC18="참여",", "&amp;AC$4,"")</f>
        <v/>
      </c>
      <c r="BO18">
        <f>BN18&amp;IF($AD18="참여",", "&amp;AD$4,"")</f>
        <v/>
      </c>
      <c r="BP18">
        <f>BO18&amp;IF($AE18="참여",", "&amp;AE$4,"")</f>
        <v/>
      </c>
    </row>
    <row r="19">
      <c r="A19" s="74" t="n"/>
      <c r="B19" s="42" t="n"/>
      <c r="C19" s="74" t="n"/>
      <c r="D19" s="80" t="n"/>
      <c r="E19" s="74" t="n"/>
      <c r="F19" s="74" t="n"/>
      <c r="G19" s="118">
        <f>IF($A19="","",20-COUNTBLANK($L19:$AE19))</f>
        <v/>
      </c>
      <c r="H19" s="130">
        <f>IF($A19="","",IFERROR(INDEX($L$4:$AE$4,MATCH("주담당",$L19:$AE19,0)),""))</f>
        <v/>
      </c>
      <c r="I19" s="122">
        <f>IF($A19="","",IF($H19="",$AG19,$H19&amp;IF($AG19="","",", "&amp;$AG19)))</f>
        <v/>
      </c>
      <c r="J19" s="42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G19">
        <f>IF($A19="","",MID($BP19,3,255))</f>
        <v/>
      </c>
      <c r="AH19">
        <f>IF($AG19="","",TRIM(MID(SUBSTITUTE($AG19,",",REPT(" ",100)),1,100)))</f>
        <v/>
      </c>
      <c r="AI19">
        <f>IF($AG19="","",TRIM(MID(SUBSTITUTE($AG19,",",REPT(" ",100)),101,100)))</f>
        <v/>
      </c>
      <c r="AJ19">
        <f>IF($AG19="","",TRIM(MID(SUBSTITUTE($AG19,",",REPT(" ",100)),201,100)))</f>
        <v/>
      </c>
      <c r="AK19">
        <f>IF($AG19="","",TRIM(MID(SUBSTITUTE($AG19,",",REPT(" ",100)),301,100)))</f>
        <v/>
      </c>
      <c r="AL19">
        <f>IF($AG19="","",TRIM(MID(SUBSTITUTE($AG19,",",REPT(" ",100)),401,100)))</f>
        <v/>
      </c>
      <c r="AM19">
        <f>IF($AG19="","",TRIM(MID(SUBSTITUTE($AG19,",",REPT(" ",100)),501,100)))</f>
        <v/>
      </c>
      <c r="AN19">
        <f>IF($AG19="","",TRIM(MID(SUBSTITUTE($AG19,",",REPT(" ",100)),601,100)))</f>
        <v/>
      </c>
      <c r="AO19">
        <f>IF($AG19="","",TRIM(MID(SUBSTITUTE($AG19,",",REPT(" ",100)),701,100)))</f>
        <v/>
      </c>
      <c r="AP19">
        <f>IF($AG19="","",TRIM(MID(SUBSTITUTE($AG19,",",REPT(" ",100)),801,100)))</f>
        <v/>
      </c>
      <c r="AQ19">
        <f>IF($AG19="","",TRIM(MID(SUBSTITUTE($AG19,",",REPT(" ",100)),901,100)))</f>
        <v/>
      </c>
      <c r="AR19">
        <f>IF($AG19="","",TRIM(MID(SUBSTITUTE($AG19,",",REPT(" ",100)),1001,100)))</f>
        <v/>
      </c>
      <c r="AS19">
        <f>IF($AG19="","",TRIM(MID(SUBSTITUTE($AG19,",",REPT(" ",100)),1101,100)))</f>
        <v/>
      </c>
      <c r="AT19">
        <f>IF($AG19="","",TRIM(MID(SUBSTITUTE($AG19,",",REPT(" ",100)),1201,100)))</f>
        <v/>
      </c>
      <c r="AU19">
        <f>IF($AG19="","",TRIM(MID(SUBSTITUTE($AG19,",",REPT(" ",100)),1301,100)))</f>
        <v/>
      </c>
      <c r="AV19">
        <f>IF($AG19="","",TRIM(MID(SUBSTITUTE($AG19,",",REPT(" ",100)),1401,100)))</f>
        <v/>
      </c>
      <c r="AW19">
        <f>IF($L19="참여",", "&amp;L$4,"")</f>
        <v/>
      </c>
      <c r="AX19">
        <f>AW19&amp;IF($M19="참여",", "&amp;M$4,"")</f>
        <v/>
      </c>
      <c r="AY19">
        <f>AX19&amp;IF($N19="참여",", "&amp;N$4,"")</f>
        <v/>
      </c>
      <c r="AZ19">
        <f>AY19&amp;IF($O19="참여",", "&amp;O$4,"")</f>
        <v/>
      </c>
      <c r="BA19">
        <f>AZ19&amp;IF($P19="참여",", "&amp;P$4,"")</f>
        <v/>
      </c>
      <c r="BB19">
        <f>BA19&amp;IF($Q19="참여",", "&amp;Q$4,"")</f>
        <v/>
      </c>
      <c r="BC19">
        <f>BB19&amp;IF($R19="참여",", "&amp;R$4,"")</f>
        <v/>
      </c>
      <c r="BD19">
        <f>BC19&amp;IF($S19="참여",", "&amp;S$4,"")</f>
        <v/>
      </c>
      <c r="BE19">
        <f>BD19&amp;IF($T19="참여",", "&amp;T$4,"")</f>
        <v/>
      </c>
      <c r="BF19">
        <f>BE19&amp;IF($U19="참여",", "&amp;U$4,"")</f>
        <v/>
      </c>
      <c r="BG19">
        <f>BF19&amp;IF($V19="참여",", "&amp;V$4,"")</f>
        <v/>
      </c>
      <c r="BH19">
        <f>BG19&amp;IF($W19="참여",", "&amp;W$4,"")</f>
        <v/>
      </c>
      <c r="BI19">
        <f>BH19&amp;IF($X19="참여",", "&amp;X$4,"")</f>
        <v/>
      </c>
      <c r="BJ19">
        <f>BI19&amp;IF($Y19="참여",", "&amp;Y$4,"")</f>
        <v/>
      </c>
      <c r="BK19">
        <f>BJ19&amp;IF($Z19="참여",", "&amp;Z$4,"")</f>
        <v/>
      </c>
      <c r="BL19">
        <f>BK19&amp;IF($AA19="참여",", "&amp;AA$4,"")</f>
        <v/>
      </c>
      <c r="BM19">
        <f>BL19&amp;IF($AB19="참여",", "&amp;AB$4,"")</f>
        <v/>
      </c>
      <c r="BN19">
        <f>BM19&amp;IF($AC19="참여",", "&amp;AC$4,"")</f>
        <v/>
      </c>
      <c r="BO19">
        <f>BN19&amp;IF($AD19="참여",", "&amp;AD$4,"")</f>
        <v/>
      </c>
      <c r="BP19">
        <f>BO19&amp;IF($AE19="참여",", "&amp;AE$4,"")</f>
        <v/>
      </c>
    </row>
    <row r="20">
      <c r="A20" s="74" t="n"/>
      <c r="B20" s="42" t="n"/>
      <c r="C20" s="74" t="n"/>
      <c r="D20" s="80" t="n"/>
      <c r="E20" s="74" t="n"/>
      <c r="F20" s="74" t="n"/>
      <c r="G20" s="118">
        <f>IF($A20="","",20-COUNTBLANK($L20:$AE20))</f>
        <v/>
      </c>
      <c r="H20" s="130">
        <f>IF($A20="","",IFERROR(INDEX($L$4:$AE$4,MATCH("주담당",$L20:$AE20,0)),""))</f>
        <v/>
      </c>
      <c r="I20" s="122">
        <f>IF($A20="","",IF($H20="",$AG20,$H20&amp;IF($AG20="","",", "&amp;$AG20)))</f>
        <v/>
      </c>
      <c r="J20" s="42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  <c r="AB20" s="74" t="n"/>
      <c r="AC20" s="74" t="n"/>
      <c r="AD20" s="74" t="n"/>
      <c r="AE20" s="74" t="n"/>
      <c r="AG20">
        <f>IF($A20="","",MID($BP20,3,255))</f>
        <v/>
      </c>
      <c r="AH20">
        <f>IF($AG20="","",TRIM(MID(SUBSTITUTE($AG20,",",REPT(" ",100)),1,100)))</f>
        <v/>
      </c>
      <c r="AI20">
        <f>IF($AG20="","",TRIM(MID(SUBSTITUTE($AG20,",",REPT(" ",100)),101,100)))</f>
        <v/>
      </c>
      <c r="AJ20">
        <f>IF($AG20="","",TRIM(MID(SUBSTITUTE($AG20,",",REPT(" ",100)),201,100)))</f>
        <v/>
      </c>
      <c r="AK20">
        <f>IF($AG20="","",TRIM(MID(SUBSTITUTE($AG20,",",REPT(" ",100)),301,100)))</f>
        <v/>
      </c>
      <c r="AL20">
        <f>IF($AG20="","",TRIM(MID(SUBSTITUTE($AG20,",",REPT(" ",100)),401,100)))</f>
        <v/>
      </c>
      <c r="AM20">
        <f>IF($AG20="","",TRIM(MID(SUBSTITUTE($AG20,",",REPT(" ",100)),501,100)))</f>
        <v/>
      </c>
      <c r="AN20">
        <f>IF($AG20="","",TRIM(MID(SUBSTITUTE($AG20,",",REPT(" ",100)),601,100)))</f>
        <v/>
      </c>
      <c r="AO20">
        <f>IF($AG20="","",TRIM(MID(SUBSTITUTE($AG20,",",REPT(" ",100)),701,100)))</f>
        <v/>
      </c>
      <c r="AP20">
        <f>IF($AG20="","",TRIM(MID(SUBSTITUTE($AG20,",",REPT(" ",100)),801,100)))</f>
        <v/>
      </c>
      <c r="AQ20">
        <f>IF($AG20="","",TRIM(MID(SUBSTITUTE($AG20,",",REPT(" ",100)),901,100)))</f>
        <v/>
      </c>
      <c r="AR20">
        <f>IF($AG20="","",TRIM(MID(SUBSTITUTE($AG20,",",REPT(" ",100)),1001,100)))</f>
        <v/>
      </c>
      <c r="AS20">
        <f>IF($AG20="","",TRIM(MID(SUBSTITUTE($AG20,",",REPT(" ",100)),1101,100)))</f>
        <v/>
      </c>
      <c r="AT20">
        <f>IF($AG20="","",TRIM(MID(SUBSTITUTE($AG20,",",REPT(" ",100)),1201,100)))</f>
        <v/>
      </c>
      <c r="AU20">
        <f>IF($AG20="","",TRIM(MID(SUBSTITUTE($AG20,",",REPT(" ",100)),1301,100)))</f>
        <v/>
      </c>
      <c r="AV20">
        <f>IF($AG20="","",TRIM(MID(SUBSTITUTE($AG20,",",REPT(" ",100)),1401,100)))</f>
        <v/>
      </c>
      <c r="AW20">
        <f>IF($L20="참여",", "&amp;L$4,"")</f>
        <v/>
      </c>
      <c r="AX20">
        <f>AW20&amp;IF($M20="참여",", "&amp;M$4,"")</f>
        <v/>
      </c>
      <c r="AY20">
        <f>AX20&amp;IF($N20="참여",", "&amp;N$4,"")</f>
        <v/>
      </c>
      <c r="AZ20">
        <f>AY20&amp;IF($O20="참여",", "&amp;O$4,"")</f>
        <v/>
      </c>
      <c r="BA20">
        <f>AZ20&amp;IF($P20="참여",", "&amp;P$4,"")</f>
        <v/>
      </c>
      <c r="BB20">
        <f>BA20&amp;IF($Q20="참여",", "&amp;Q$4,"")</f>
        <v/>
      </c>
      <c r="BC20">
        <f>BB20&amp;IF($R20="참여",", "&amp;R$4,"")</f>
        <v/>
      </c>
      <c r="BD20">
        <f>BC20&amp;IF($S20="참여",", "&amp;S$4,"")</f>
        <v/>
      </c>
      <c r="BE20">
        <f>BD20&amp;IF($T20="참여",", "&amp;T$4,"")</f>
        <v/>
      </c>
      <c r="BF20">
        <f>BE20&amp;IF($U20="참여",", "&amp;U$4,"")</f>
        <v/>
      </c>
      <c r="BG20">
        <f>BF20&amp;IF($V20="참여",", "&amp;V$4,"")</f>
        <v/>
      </c>
      <c r="BH20">
        <f>BG20&amp;IF($W20="참여",", "&amp;W$4,"")</f>
        <v/>
      </c>
      <c r="BI20">
        <f>BH20&amp;IF($X20="참여",", "&amp;X$4,"")</f>
        <v/>
      </c>
      <c r="BJ20">
        <f>BI20&amp;IF($Y20="참여",", "&amp;Y$4,"")</f>
        <v/>
      </c>
      <c r="BK20">
        <f>BJ20&amp;IF($Z20="참여",", "&amp;Z$4,"")</f>
        <v/>
      </c>
      <c r="BL20">
        <f>BK20&amp;IF($AA20="참여",", "&amp;AA$4,"")</f>
        <v/>
      </c>
      <c r="BM20">
        <f>BL20&amp;IF($AB20="참여",", "&amp;AB$4,"")</f>
        <v/>
      </c>
      <c r="BN20">
        <f>BM20&amp;IF($AC20="참여",", "&amp;AC$4,"")</f>
        <v/>
      </c>
      <c r="BO20">
        <f>BN20&amp;IF($AD20="참여",", "&amp;AD$4,"")</f>
        <v/>
      </c>
      <c r="BP20">
        <f>BO20&amp;IF($AE20="참여",", "&amp;AE$4,"")</f>
        <v/>
      </c>
    </row>
    <row r="21">
      <c r="A21" s="74" t="n"/>
      <c r="B21" s="42" t="n"/>
      <c r="C21" s="74" t="n"/>
      <c r="D21" s="80" t="n"/>
      <c r="E21" s="74" t="n"/>
      <c r="F21" s="74" t="n"/>
      <c r="G21" s="118">
        <f>IF($A21="","",20-COUNTBLANK($L21:$AE21))</f>
        <v/>
      </c>
      <c r="H21" s="130">
        <f>IF($A21="","",IFERROR(INDEX($L$4:$AE$4,MATCH("주담당",$L21:$AE21,0)),""))</f>
        <v/>
      </c>
      <c r="I21" s="122">
        <f>IF($A21="","",IF($H21="",$AG21,$H21&amp;IF($AG21="","",", "&amp;$AG21)))</f>
        <v/>
      </c>
      <c r="J21" s="42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n"/>
      <c r="AG21">
        <f>IF($A21="","",MID($BP21,3,255))</f>
        <v/>
      </c>
      <c r="AH21">
        <f>IF($AG21="","",TRIM(MID(SUBSTITUTE($AG21,",",REPT(" ",100)),1,100)))</f>
        <v/>
      </c>
      <c r="AI21">
        <f>IF($AG21="","",TRIM(MID(SUBSTITUTE($AG21,",",REPT(" ",100)),101,100)))</f>
        <v/>
      </c>
      <c r="AJ21">
        <f>IF($AG21="","",TRIM(MID(SUBSTITUTE($AG21,",",REPT(" ",100)),201,100)))</f>
        <v/>
      </c>
      <c r="AK21">
        <f>IF($AG21="","",TRIM(MID(SUBSTITUTE($AG21,",",REPT(" ",100)),301,100)))</f>
        <v/>
      </c>
      <c r="AL21">
        <f>IF($AG21="","",TRIM(MID(SUBSTITUTE($AG21,",",REPT(" ",100)),401,100)))</f>
        <v/>
      </c>
      <c r="AM21">
        <f>IF($AG21="","",TRIM(MID(SUBSTITUTE($AG21,",",REPT(" ",100)),501,100)))</f>
        <v/>
      </c>
      <c r="AN21">
        <f>IF($AG21="","",TRIM(MID(SUBSTITUTE($AG21,",",REPT(" ",100)),601,100)))</f>
        <v/>
      </c>
      <c r="AO21">
        <f>IF($AG21="","",TRIM(MID(SUBSTITUTE($AG21,",",REPT(" ",100)),701,100)))</f>
        <v/>
      </c>
      <c r="AP21">
        <f>IF($AG21="","",TRIM(MID(SUBSTITUTE($AG21,",",REPT(" ",100)),801,100)))</f>
        <v/>
      </c>
      <c r="AQ21">
        <f>IF($AG21="","",TRIM(MID(SUBSTITUTE($AG21,",",REPT(" ",100)),901,100)))</f>
        <v/>
      </c>
      <c r="AR21">
        <f>IF($AG21="","",TRIM(MID(SUBSTITUTE($AG21,",",REPT(" ",100)),1001,100)))</f>
        <v/>
      </c>
      <c r="AS21">
        <f>IF($AG21="","",TRIM(MID(SUBSTITUTE($AG21,",",REPT(" ",100)),1101,100)))</f>
        <v/>
      </c>
      <c r="AT21">
        <f>IF($AG21="","",TRIM(MID(SUBSTITUTE($AG21,",",REPT(" ",100)),1201,100)))</f>
        <v/>
      </c>
      <c r="AU21">
        <f>IF($AG21="","",TRIM(MID(SUBSTITUTE($AG21,",",REPT(" ",100)),1301,100)))</f>
        <v/>
      </c>
      <c r="AV21">
        <f>IF($AG21="","",TRIM(MID(SUBSTITUTE($AG21,",",REPT(" ",100)),1401,100)))</f>
        <v/>
      </c>
      <c r="AW21">
        <f>IF($L21="참여",", "&amp;L$4,"")</f>
        <v/>
      </c>
      <c r="AX21">
        <f>AW21&amp;IF($M21="참여",", "&amp;M$4,"")</f>
        <v/>
      </c>
      <c r="AY21">
        <f>AX21&amp;IF($N21="참여",", "&amp;N$4,"")</f>
        <v/>
      </c>
      <c r="AZ21">
        <f>AY21&amp;IF($O21="참여",", "&amp;O$4,"")</f>
        <v/>
      </c>
      <c r="BA21">
        <f>AZ21&amp;IF($P21="참여",", "&amp;P$4,"")</f>
        <v/>
      </c>
      <c r="BB21">
        <f>BA21&amp;IF($Q21="참여",", "&amp;Q$4,"")</f>
        <v/>
      </c>
      <c r="BC21">
        <f>BB21&amp;IF($R21="참여",", "&amp;R$4,"")</f>
        <v/>
      </c>
      <c r="BD21">
        <f>BC21&amp;IF($S21="참여",", "&amp;S$4,"")</f>
        <v/>
      </c>
      <c r="BE21">
        <f>BD21&amp;IF($T21="참여",", "&amp;T$4,"")</f>
        <v/>
      </c>
      <c r="BF21">
        <f>BE21&amp;IF($U21="참여",", "&amp;U$4,"")</f>
        <v/>
      </c>
      <c r="BG21">
        <f>BF21&amp;IF($V21="참여",", "&amp;V$4,"")</f>
        <v/>
      </c>
      <c r="BH21">
        <f>BG21&amp;IF($W21="참여",", "&amp;W$4,"")</f>
        <v/>
      </c>
      <c r="BI21">
        <f>BH21&amp;IF($X21="참여",", "&amp;X$4,"")</f>
        <v/>
      </c>
      <c r="BJ21">
        <f>BI21&amp;IF($Y21="참여",", "&amp;Y$4,"")</f>
        <v/>
      </c>
      <c r="BK21">
        <f>BJ21&amp;IF($Z21="참여",", "&amp;Z$4,"")</f>
        <v/>
      </c>
      <c r="BL21">
        <f>BK21&amp;IF($AA21="참여",", "&amp;AA$4,"")</f>
        <v/>
      </c>
      <c r="BM21">
        <f>BL21&amp;IF($AB21="참여",", "&amp;AB$4,"")</f>
        <v/>
      </c>
      <c r="BN21">
        <f>BM21&amp;IF($AC21="참여",", "&amp;AC$4,"")</f>
        <v/>
      </c>
      <c r="BO21">
        <f>BN21&amp;IF($AD21="참여",", "&amp;AD$4,"")</f>
        <v/>
      </c>
      <c r="BP21">
        <f>BO21&amp;IF($AE21="참여",", "&amp;AE$4,"")</f>
        <v/>
      </c>
    </row>
    <row r="22">
      <c r="A22" s="74" t="n"/>
      <c r="B22" s="42" t="n"/>
      <c r="C22" s="74" t="n"/>
      <c r="D22" s="80" t="n"/>
      <c r="E22" s="74" t="n"/>
      <c r="F22" s="74" t="n"/>
      <c r="G22" s="118">
        <f>IF($A22="","",20-COUNTBLANK($L22:$AE22))</f>
        <v/>
      </c>
      <c r="H22" s="130">
        <f>IF($A22="","",IFERROR(INDEX($L$4:$AE$4,MATCH("주담당",$L22:$AE22,0)),""))</f>
        <v/>
      </c>
      <c r="I22" s="122">
        <f>IF($A22="","",IF($H22="",$AG22,$H22&amp;IF($AG22="","",", "&amp;$AG22)))</f>
        <v/>
      </c>
      <c r="J22" s="42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G22">
        <f>IF($A22="","",MID($BP22,3,255))</f>
        <v/>
      </c>
      <c r="AH22">
        <f>IF($AG22="","",TRIM(MID(SUBSTITUTE($AG22,",",REPT(" ",100)),1,100)))</f>
        <v/>
      </c>
      <c r="AI22">
        <f>IF($AG22="","",TRIM(MID(SUBSTITUTE($AG22,",",REPT(" ",100)),101,100)))</f>
        <v/>
      </c>
      <c r="AJ22">
        <f>IF($AG22="","",TRIM(MID(SUBSTITUTE($AG22,",",REPT(" ",100)),201,100)))</f>
        <v/>
      </c>
      <c r="AK22">
        <f>IF($AG22="","",TRIM(MID(SUBSTITUTE($AG22,",",REPT(" ",100)),301,100)))</f>
        <v/>
      </c>
      <c r="AL22">
        <f>IF($AG22="","",TRIM(MID(SUBSTITUTE($AG22,",",REPT(" ",100)),401,100)))</f>
        <v/>
      </c>
      <c r="AM22">
        <f>IF($AG22="","",TRIM(MID(SUBSTITUTE($AG22,",",REPT(" ",100)),501,100)))</f>
        <v/>
      </c>
      <c r="AN22">
        <f>IF($AG22="","",TRIM(MID(SUBSTITUTE($AG22,",",REPT(" ",100)),601,100)))</f>
        <v/>
      </c>
      <c r="AO22">
        <f>IF($AG22="","",TRIM(MID(SUBSTITUTE($AG22,",",REPT(" ",100)),701,100)))</f>
        <v/>
      </c>
      <c r="AP22">
        <f>IF($AG22="","",TRIM(MID(SUBSTITUTE($AG22,",",REPT(" ",100)),801,100)))</f>
        <v/>
      </c>
      <c r="AQ22">
        <f>IF($AG22="","",TRIM(MID(SUBSTITUTE($AG22,",",REPT(" ",100)),901,100)))</f>
        <v/>
      </c>
      <c r="AR22">
        <f>IF($AG22="","",TRIM(MID(SUBSTITUTE($AG22,",",REPT(" ",100)),1001,100)))</f>
        <v/>
      </c>
      <c r="AS22">
        <f>IF($AG22="","",TRIM(MID(SUBSTITUTE($AG22,",",REPT(" ",100)),1101,100)))</f>
        <v/>
      </c>
      <c r="AT22">
        <f>IF($AG22="","",TRIM(MID(SUBSTITUTE($AG22,",",REPT(" ",100)),1201,100)))</f>
        <v/>
      </c>
      <c r="AU22">
        <f>IF($AG22="","",TRIM(MID(SUBSTITUTE($AG22,",",REPT(" ",100)),1301,100)))</f>
        <v/>
      </c>
      <c r="AV22">
        <f>IF($AG22="","",TRIM(MID(SUBSTITUTE($AG22,",",REPT(" ",100)),1401,100)))</f>
        <v/>
      </c>
      <c r="AW22">
        <f>IF($L22="참여",", "&amp;L$4,"")</f>
        <v/>
      </c>
      <c r="AX22">
        <f>AW22&amp;IF($M22="참여",", "&amp;M$4,"")</f>
        <v/>
      </c>
      <c r="AY22">
        <f>AX22&amp;IF($N22="참여",", "&amp;N$4,"")</f>
        <v/>
      </c>
      <c r="AZ22">
        <f>AY22&amp;IF($O22="참여",", "&amp;O$4,"")</f>
        <v/>
      </c>
      <c r="BA22">
        <f>AZ22&amp;IF($P22="참여",", "&amp;P$4,"")</f>
        <v/>
      </c>
      <c r="BB22">
        <f>BA22&amp;IF($Q22="참여",", "&amp;Q$4,"")</f>
        <v/>
      </c>
      <c r="BC22">
        <f>BB22&amp;IF($R22="참여",", "&amp;R$4,"")</f>
        <v/>
      </c>
      <c r="BD22">
        <f>BC22&amp;IF($S22="참여",", "&amp;S$4,"")</f>
        <v/>
      </c>
      <c r="BE22">
        <f>BD22&amp;IF($T22="참여",", "&amp;T$4,"")</f>
        <v/>
      </c>
      <c r="BF22">
        <f>BE22&amp;IF($U22="참여",", "&amp;U$4,"")</f>
        <v/>
      </c>
      <c r="BG22">
        <f>BF22&amp;IF($V22="참여",", "&amp;V$4,"")</f>
        <v/>
      </c>
      <c r="BH22">
        <f>BG22&amp;IF($W22="참여",", "&amp;W$4,"")</f>
        <v/>
      </c>
      <c r="BI22">
        <f>BH22&amp;IF($X22="참여",", "&amp;X$4,"")</f>
        <v/>
      </c>
      <c r="BJ22">
        <f>BI22&amp;IF($Y22="참여",", "&amp;Y$4,"")</f>
        <v/>
      </c>
      <c r="BK22">
        <f>BJ22&amp;IF($Z22="참여",", "&amp;Z$4,"")</f>
        <v/>
      </c>
      <c r="BL22">
        <f>BK22&amp;IF($AA22="참여",", "&amp;AA$4,"")</f>
        <v/>
      </c>
      <c r="BM22">
        <f>BL22&amp;IF($AB22="참여",", "&amp;AB$4,"")</f>
        <v/>
      </c>
      <c r="BN22">
        <f>BM22&amp;IF($AC22="참여",", "&amp;AC$4,"")</f>
        <v/>
      </c>
      <c r="BO22">
        <f>BN22&amp;IF($AD22="참여",", "&amp;AD$4,"")</f>
        <v/>
      </c>
      <c r="BP22">
        <f>BO22&amp;IF($AE22="참여",", "&amp;AE$4,"")</f>
        <v/>
      </c>
    </row>
    <row r="23">
      <c r="A23" s="74" t="n"/>
      <c r="B23" s="42" t="n"/>
      <c r="C23" s="74" t="n"/>
      <c r="D23" s="80" t="n"/>
      <c r="E23" s="74" t="n"/>
      <c r="F23" s="74" t="n"/>
      <c r="G23" s="118">
        <f>IF($A23="","",20-COUNTBLANK($L23:$AE23))</f>
        <v/>
      </c>
      <c r="H23" s="130">
        <f>IF($A23="","",IFERROR(INDEX($L$4:$AE$4,MATCH("주담당",$L23:$AE23,0)),""))</f>
        <v/>
      </c>
      <c r="I23" s="122">
        <f>IF($A23="","",IF($H23="",$AG23,$H23&amp;IF($AG23="","",", "&amp;$AG23)))</f>
        <v/>
      </c>
      <c r="J23" s="42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  <c r="AA23" s="74" t="n"/>
      <c r="AB23" s="74" t="n"/>
      <c r="AC23" s="74" t="n"/>
      <c r="AD23" s="74" t="n"/>
      <c r="AE23" s="74" t="n"/>
      <c r="AG23">
        <f>IF($A23="","",MID($BP23,3,255))</f>
        <v/>
      </c>
      <c r="AH23">
        <f>IF($AG23="","",TRIM(MID(SUBSTITUTE($AG23,",",REPT(" ",100)),1,100)))</f>
        <v/>
      </c>
      <c r="AI23">
        <f>IF($AG23="","",TRIM(MID(SUBSTITUTE($AG23,",",REPT(" ",100)),101,100)))</f>
        <v/>
      </c>
      <c r="AJ23">
        <f>IF($AG23="","",TRIM(MID(SUBSTITUTE($AG23,",",REPT(" ",100)),201,100)))</f>
        <v/>
      </c>
      <c r="AK23">
        <f>IF($AG23="","",TRIM(MID(SUBSTITUTE($AG23,",",REPT(" ",100)),301,100)))</f>
        <v/>
      </c>
      <c r="AL23">
        <f>IF($AG23="","",TRIM(MID(SUBSTITUTE($AG23,",",REPT(" ",100)),401,100)))</f>
        <v/>
      </c>
      <c r="AM23">
        <f>IF($AG23="","",TRIM(MID(SUBSTITUTE($AG23,",",REPT(" ",100)),501,100)))</f>
        <v/>
      </c>
      <c r="AN23">
        <f>IF($AG23="","",TRIM(MID(SUBSTITUTE($AG23,",",REPT(" ",100)),601,100)))</f>
        <v/>
      </c>
      <c r="AO23">
        <f>IF($AG23="","",TRIM(MID(SUBSTITUTE($AG23,",",REPT(" ",100)),701,100)))</f>
        <v/>
      </c>
      <c r="AP23">
        <f>IF($AG23="","",TRIM(MID(SUBSTITUTE($AG23,",",REPT(" ",100)),801,100)))</f>
        <v/>
      </c>
      <c r="AQ23">
        <f>IF($AG23="","",TRIM(MID(SUBSTITUTE($AG23,",",REPT(" ",100)),901,100)))</f>
        <v/>
      </c>
      <c r="AR23">
        <f>IF($AG23="","",TRIM(MID(SUBSTITUTE($AG23,",",REPT(" ",100)),1001,100)))</f>
        <v/>
      </c>
      <c r="AS23">
        <f>IF($AG23="","",TRIM(MID(SUBSTITUTE($AG23,",",REPT(" ",100)),1101,100)))</f>
        <v/>
      </c>
      <c r="AT23">
        <f>IF($AG23="","",TRIM(MID(SUBSTITUTE($AG23,",",REPT(" ",100)),1201,100)))</f>
        <v/>
      </c>
      <c r="AU23">
        <f>IF($AG23="","",TRIM(MID(SUBSTITUTE($AG23,",",REPT(" ",100)),1301,100)))</f>
        <v/>
      </c>
      <c r="AV23">
        <f>IF($AG23="","",TRIM(MID(SUBSTITUTE($AG23,",",REPT(" ",100)),1401,100)))</f>
        <v/>
      </c>
      <c r="AW23">
        <f>IF($L23="참여",", "&amp;L$4,"")</f>
        <v/>
      </c>
      <c r="AX23">
        <f>AW23&amp;IF($M23="참여",", "&amp;M$4,"")</f>
        <v/>
      </c>
      <c r="AY23">
        <f>AX23&amp;IF($N23="참여",", "&amp;N$4,"")</f>
        <v/>
      </c>
      <c r="AZ23">
        <f>AY23&amp;IF($O23="참여",", "&amp;O$4,"")</f>
        <v/>
      </c>
      <c r="BA23">
        <f>AZ23&amp;IF($P23="참여",", "&amp;P$4,"")</f>
        <v/>
      </c>
      <c r="BB23">
        <f>BA23&amp;IF($Q23="참여",", "&amp;Q$4,"")</f>
        <v/>
      </c>
      <c r="BC23">
        <f>BB23&amp;IF($R23="참여",", "&amp;R$4,"")</f>
        <v/>
      </c>
      <c r="BD23">
        <f>BC23&amp;IF($S23="참여",", "&amp;S$4,"")</f>
        <v/>
      </c>
      <c r="BE23">
        <f>BD23&amp;IF($T23="참여",", "&amp;T$4,"")</f>
        <v/>
      </c>
      <c r="BF23">
        <f>BE23&amp;IF($U23="참여",", "&amp;U$4,"")</f>
        <v/>
      </c>
      <c r="BG23">
        <f>BF23&amp;IF($V23="참여",", "&amp;V$4,"")</f>
        <v/>
      </c>
      <c r="BH23">
        <f>BG23&amp;IF($W23="참여",", "&amp;W$4,"")</f>
        <v/>
      </c>
      <c r="BI23">
        <f>BH23&amp;IF($X23="참여",", "&amp;X$4,"")</f>
        <v/>
      </c>
      <c r="BJ23">
        <f>BI23&amp;IF($Y23="참여",", "&amp;Y$4,"")</f>
        <v/>
      </c>
      <c r="BK23">
        <f>BJ23&amp;IF($Z23="참여",", "&amp;Z$4,"")</f>
        <v/>
      </c>
      <c r="BL23">
        <f>BK23&amp;IF($AA23="참여",", "&amp;AA$4,"")</f>
        <v/>
      </c>
      <c r="BM23">
        <f>BL23&amp;IF($AB23="참여",", "&amp;AB$4,"")</f>
        <v/>
      </c>
      <c r="BN23">
        <f>BM23&amp;IF($AC23="참여",", "&amp;AC$4,"")</f>
        <v/>
      </c>
      <c r="BO23">
        <f>BN23&amp;IF($AD23="참여",", "&amp;AD$4,"")</f>
        <v/>
      </c>
      <c r="BP23">
        <f>BO23&amp;IF($AE23="참여",", "&amp;AE$4,"")</f>
        <v/>
      </c>
    </row>
    <row r="24">
      <c r="A24" s="74" t="n"/>
      <c r="B24" s="42" t="n"/>
      <c r="C24" s="74" t="n"/>
      <c r="D24" s="80" t="n"/>
      <c r="E24" s="74" t="n"/>
      <c r="F24" s="74" t="n"/>
      <c r="G24" s="118">
        <f>IF($A24="","",20-COUNTBLANK($L24:$AE24))</f>
        <v/>
      </c>
      <c r="H24" s="130">
        <f>IF($A24="","",IFERROR(INDEX($L$4:$AE$4,MATCH("주담당",$L24:$AE24,0)),""))</f>
        <v/>
      </c>
      <c r="I24" s="122">
        <f>IF($A24="","",IF($H24="",$AG24,$H24&amp;IF($AG24="","",", "&amp;$AG24)))</f>
        <v/>
      </c>
      <c r="J24" s="42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  <c r="AA24" s="74" t="n"/>
      <c r="AB24" s="74" t="n"/>
      <c r="AC24" s="74" t="n"/>
      <c r="AD24" s="74" t="n"/>
      <c r="AE24" s="74" t="n"/>
      <c r="AG24">
        <f>IF($A24="","",MID($BP24,3,255))</f>
        <v/>
      </c>
      <c r="AH24">
        <f>IF($AG24="","",TRIM(MID(SUBSTITUTE($AG24,",",REPT(" ",100)),1,100)))</f>
        <v/>
      </c>
      <c r="AI24">
        <f>IF($AG24="","",TRIM(MID(SUBSTITUTE($AG24,",",REPT(" ",100)),101,100)))</f>
        <v/>
      </c>
      <c r="AJ24">
        <f>IF($AG24="","",TRIM(MID(SUBSTITUTE($AG24,",",REPT(" ",100)),201,100)))</f>
        <v/>
      </c>
      <c r="AK24">
        <f>IF($AG24="","",TRIM(MID(SUBSTITUTE($AG24,",",REPT(" ",100)),301,100)))</f>
        <v/>
      </c>
      <c r="AL24">
        <f>IF($AG24="","",TRIM(MID(SUBSTITUTE($AG24,",",REPT(" ",100)),401,100)))</f>
        <v/>
      </c>
      <c r="AM24">
        <f>IF($AG24="","",TRIM(MID(SUBSTITUTE($AG24,",",REPT(" ",100)),501,100)))</f>
        <v/>
      </c>
      <c r="AN24">
        <f>IF($AG24="","",TRIM(MID(SUBSTITUTE($AG24,",",REPT(" ",100)),601,100)))</f>
        <v/>
      </c>
      <c r="AO24">
        <f>IF($AG24="","",TRIM(MID(SUBSTITUTE($AG24,",",REPT(" ",100)),701,100)))</f>
        <v/>
      </c>
      <c r="AP24">
        <f>IF($AG24="","",TRIM(MID(SUBSTITUTE($AG24,",",REPT(" ",100)),801,100)))</f>
        <v/>
      </c>
      <c r="AQ24">
        <f>IF($AG24="","",TRIM(MID(SUBSTITUTE($AG24,",",REPT(" ",100)),901,100)))</f>
        <v/>
      </c>
      <c r="AR24">
        <f>IF($AG24="","",TRIM(MID(SUBSTITUTE($AG24,",",REPT(" ",100)),1001,100)))</f>
        <v/>
      </c>
      <c r="AS24">
        <f>IF($AG24="","",TRIM(MID(SUBSTITUTE($AG24,",",REPT(" ",100)),1101,100)))</f>
        <v/>
      </c>
      <c r="AT24">
        <f>IF($AG24="","",TRIM(MID(SUBSTITUTE($AG24,",",REPT(" ",100)),1201,100)))</f>
        <v/>
      </c>
      <c r="AU24">
        <f>IF($AG24="","",TRIM(MID(SUBSTITUTE($AG24,",",REPT(" ",100)),1301,100)))</f>
        <v/>
      </c>
      <c r="AV24">
        <f>IF($AG24="","",TRIM(MID(SUBSTITUTE($AG24,",",REPT(" ",100)),1401,100)))</f>
        <v/>
      </c>
      <c r="AW24">
        <f>IF($L24="참여",", "&amp;L$4,"")</f>
        <v/>
      </c>
      <c r="AX24">
        <f>AW24&amp;IF($M24="참여",", "&amp;M$4,"")</f>
        <v/>
      </c>
      <c r="AY24">
        <f>AX24&amp;IF($N24="참여",", "&amp;N$4,"")</f>
        <v/>
      </c>
      <c r="AZ24">
        <f>AY24&amp;IF($O24="참여",", "&amp;O$4,"")</f>
        <v/>
      </c>
      <c r="BA24">
        <f>AZ24&amp;IF($P24="참여",", "&amp;P$4,"")</f>
        <v/>
      </c>
      <c r="BB24">
        <f>BA24&amp;IF($Q24="참여",", "&amp;Q$4,"")</f>
        <v/>
      </c>
      <c r="BC24">
        <f>BB24&amp;IF($R24="참여",", "&amp;R$4,"")</f>
        <v/>
      </c>
      <c r="BD24">
        <f>BC24&amp;IF($S24="참여",", "&amp;S$4,"")</f>
        <v/>
      </c>
      <c r="BE24">
        <f>BD24&amp;IF($T24="참여",", "&amp;T$4,"")</f>
        <v/>
      </c>
      <c r="BF24">
        <f>BE24&amp;IF($U24="참여",", "&amp;U$4,"")</f>
        <v/>
      </c>
      <c r="BG24">
        <f>BF24&amp;IF($V24="참여",", "&amp;V$4,"")</f>
        <v/>
      </c>
      <c r="BH24">
        <f>BG24&amp;IF($W24="참여",", "&amp;W$4,"")</f>
        <v/>
      </c>
      <c r="BI24">
        <f>BH24&amp;IF($X24="참여",", "&amp;X$4,"")</f>
        <v/>
      </c>
      <c r="BJ24">
        <f>BI24&amp;IF($Y24="참여",", "&amp;Y$4,"")</f>
        <v/>
      </c>
      <c r="BK24">
        <f>BJ24&amp;IF($Z24="참여",", "&amp;Z$4,"")</f>
        <v/>
      </c>
      <c r="BL24">
        <f>BK24&amp;IF($AA24="참여",", "&amp;AA$4,"")</f>
        <v/>
      </c>
      <c r="BM24">
        <f>BL24&amp;IF($AB24="참여",", "&amp;AB$4,"")</f>
        <v/>
      </c>
      <c r="BN24">
        <f>BM24&amp;IF($AC24="참여",", "&amp;AC$4,"")</f>
        <v/>
      </c>
      <c r="BO24">
        <f>BN24&amp;IF($AD24="참여",", "&amp;AD$4,"")</f>
        <v/>
      </c>
      <c r="BP24">
        <f>BO24&amp;IF($AE24="참여",", "&amp;AE$4,"")</f>
        <v/>
      </c>
    </row>
    <row r="25">
      <c r="A25" s="74" t="n"/>
      <c r="B25" s="42" t="n"/>
      <c r="C25" s="74" t="n"/>
      <c r="D25" s="80" t="n"/>
      <c r="E25" s="74" t="n"/>
      <c r="F25" s="74" t="n"/>
      <c r="G25" s="118">
        <f>IF($A25="","",20-COUNTBLANK($L25:$AE25))</f>
        <v/>
      </c>
      <c r="H25" s="130">
        <f>IF($A25="","",IFERROR(INDEX($L$4:$AE$4,MATCH("주담당",$L25:$AE25,0)),""))</f>
        <v/>
      </c>
      <c r="I25" s="122">
        <f>IF($A25="","",IF($H25="",$AG25,$H25&amp;IF($AG25="","",", "&amp;$AG25)))</f>
        <v/>
      </c>
      <c r="J25" s="42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G25">
        <f>IF($A25="","",MID($BP25,3,255))</f>
        <v/>
      </c>
      <c r="AH25">
        <f>IF($AG25="","",TRIM(MID(SUBSTITUTE($AG25,",",REPT(" ",100)),1,100)))</f>
        <v/>
      </c>
      <c r="AI25">
        <f>IF($AG25="","",TRIM(MID(SUBSTITUTE($AG25,",",REPT(" ",100)),101,100)))</f>
        <v/>
      </c>
      <c r="AJ25">
        <f>IF($AG25="","",TRIM(MID(SUBSTITUTE($AG25,",",REPT(" ",100)),201,100)))</f>
        <v/>
      </c>
      <c r="AK25">
        <f>IF($AG25="","",TRIM(MID(SUBSTITUTE($AG25,",",REPT(" ",100)),301,100)))</f>
        <v/>
      </c>
      <c r="AL25">
        <f>IF($AG25="","",TRIM(MID(SUBSTITUTE($AG25,",",REPT(" ",100)),401,100)))</f>
        <v/>
      </c>
      <c r="AM25">
        <f>IF($AG25="","",TRIM(MID(SUBSTITUTE($AG25,",",REPT(" ",100)),501,100)))</f>
        <v/>
      </c>
      <c r="AN25">
        <f>IF($AG25="","",TRIM(MID(SUBSTITUTE($AG25,",",REPT(" ",100)),601,100)))</f>
        <v/>
      </c>
      <c r="AO25">
        <f>IF($AG25="","",TRIM(MID(SUBSTITUTE($AG25,",",REPT(" ",100)),701,100)))</f>
        <v/>
      </c>
      <c r="AP25">
        <f>IF($AG25="","",TRIM(MID(SUBSTITUTE($AG25,",",REPT(" ",100)),801,100)))</f>
        <v/>
      </c>
      <c r="AQ25">
        <f>IF($AG25="","",TRIM(MID(SUBSTITUTE($AG25,",",REPT(" ",100)),901,100)))</f>
        <v/>
      </c>
      <c r="AR25">
        <f>IF($AG25="","",TRIM(MID(SUBSTITUTE($AG25,",",REPT(" ",100)),1001,100)))</f>
        <v/>
      </c>
      <c r="AS25">
        <f>IF($AG25="","",TRIM(MID(SUBSTITUTE($AG25,",",REPT(" ",100)),1101,100)))</f>
        <v/>
      </c>
      <c r="AT25">
        <f>IF($AG25="","",TRIM(MID(SUBSTITUTE($AG25,",",REPT(" ",100)),1201,100)))</f>
        <v/>
      </c>
      <c r="AU25">
        <f>IF($AG25="","",TRIM(MID(SUBSTITUTE($AG25,",",REPT(" ",100)),1301,100)))</f>
        <v/>
      </c>
      <c r="AV25">
        <f>IF($AG25="","",TRIM(MID(SUBSTITUTE($AG25,",",REPT(" ",100)),1401,100)))</f>
        <v/>
      </c>
      <c r="AW25">
        <f>IF($L25="참여",", "&amp;L$4,"")</f>
        <v/>
      </c>
      <c r="AX25">
        <f>AW25&amp;IF($M25="참여",", "&amp;M$4,"")</f>
        <v/>
      </c>
      <c r="AY25">
        <f>AX25&amp;IF($N25="참여",", "&amp;N$4,"")</f>
        <v/>
      </c>
      <c r="AZ25">
        <f>AY25&amp;IF($O25="참여",", "&amp;O$4,"")</f>
        <v/>
      </c>
      <c r="BA25">
        <f>AZ25&amp;IF($P25="참여",", "&amp;P$4,"")</f>
        <v/>
      </c>
      <c r="BB25">
        <f>BA25&amp;IF($Q25="참여",", "&amp;Q$4,"")</f>
        <v/>
      </c>
      <c r="BC25">
        <f>BB25&amp;IF($R25="참여",", "&amp;R$4,"")</f>
        <v/>
      </c>
      <c r="BD25">
        <f>BC25&amp;IF($S25="참여",", "&amp;S$4,"")</f>
        <v/>
      </c>
      <c r="BE25">
        <f>BD25&amp;IF($T25="참여",", "&amp;T$4,"")</f>
        <v/>
      </c>
      <c r="BF25">
        <f>BE25&amp;IF($U25="참여",", "&amp;U$4,"")</f>
        <v/>
      </c>
      <c r="BG25">
        <f>BF25&amp;IF($V25="참여",", "&amp;V$4,"")</f>
        <v/>
      </c>
      <c r="BH25">
        <f>BG25&amp;IF($W25="참여",", "&amp;W$4,"")</f>
        <v/>
      </c>
      <c r="BI25">
        <f>BH25&amp;IF($X25="참여",", "&amp;X$4,"")</f>
        <v/>
      </c>
      <c r="BJ25">
        <f>BI25&amp;IF($Y25="참여",", "&amp;Y$4,"")</f>
        <v/>
      </c>
      <c r="BK25">
        <f>BJ25&amp;IF($Z25="참여",", "&amp;Z$4,"")</f>
        <v/>
      </c>
      <c r="BL25">
        <f>BK25&amp;IF($AA25="참여",", "&amp;AA$4,"")</f>
        <v/>
      </c>
      <c r="BM25">
        <f>BL25&amp;IF($AB25="참여",", "&amp;AB$4,"")</f>
        <v/>
      </c>
      <c r="BN25">
        <f>BM25&amp;IF($AC25="참여",", "&amp;AC$4,"")</f>
        <v/>
      </c>
      <c r="BO25">
        <f>BN25&amp;IF($AD25="참여",", "&amp;AD$4,"")</f>
        <v/>
      </c>
      <c r="BP25">
        <f>BO25&amp;IF($AE25="참여",", "&amp;AE$4,"")</f>
        <v/>
      </c>
    </row>
    <row r="26">
      <c r="A26" s="74" t="n"/>
      <c r="B26" s="42" t="n"/>
      <c r="C26" s="74" t="n"/>
      <c r="D26" s="80" t="n"/>
      <c r="E26" s="74" t="n"/>
      <c r="F26" s="74" t="n"/>
      <c r="G26" s="118">
        <f>IF($A26="","",20-COUNTBLANK($L26:$AE26))</f>
        <v/>
      </c>
      <c r="H26" s="130">
        <f>IF($A26="","",IFERROR(INDEX($L$4:$AE$4,MATCH("주담당",$L26:$AE26,0)),""))</f>
        <v/>
      </c>
      <c r="I26" s="122">
        <f>IF($A26="","",IF($H26="",$AG26,$H26&amp;IF($AG26="","",", "&amp;$AG26)))</f>
        <v/>
      </c>
      <c r="J26" s="42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G26">
        <f>IF($A26="","",MID($BP26,3,255))</f>
        <v/>
      </c>
      <c r="AH26">
        <f>IF($AG26="","",TRIM(MID(SUBSTITUTE($AG26,",",REPT(" ",100)),1,100)))</f>
        <v/>
      </c>
      <c r="AI26">
        <f>IF($AG26="","",TRIM(MID(SUBSTITUTE($AG26,",",REPT(" ",100)),101,100)))</f>
        <v/>
      </c>
      <c r="AJ26">
        <f>IF($AG26="","",TRIM(MID(SUBSTITUTE($AG26,",",REPT(" ",100)),201,100)))</f>
        <v/>
      </c>
      <c r="AK26">
        <f>IF($AG26="","",TRIM(MID(SUBSTITUTE($AG26,",",REPT(" ",100)),301,100)))</f>
        <v/>
      </c>
      <c r="AL26">
        <f>IF($AG26="","",TRIM(MID(SUBSTITUTE($AG26,",",REPT(" ",100)),401,100)))</f>
        <v/>
      </c>
      <c r="AM26">
        <f>IF($AG26="","",TRIM(MID(SUBSTITUTE($AG26,",",REPT(" ",100)),501,100)))</f>
        <v/>
      </c>
      <c r="AN26">
        <f>IF($AG26="","",TRIM(MID(SUBSTITUTE($AG26,",",REPT(" ",100)),601,100)))</f>
        <v/>
      </c>
      <c r="AO26">
        <f>IF($AG26="","",TRIM(MID(SUBSTITUTE($AG26,",",REPT(" ",100)),701,100)))</f>
        <v/>
      </c>
      <c r="AP26">
        <f>IF($AG26="","",TRIM(MID(SUBSTITUTE($AG26,",",REPT(" ",100)),801,100)))</f>
        <v/>
      </c>
      <c r="AQ26">
        <f>IF($AG26="","",TRIM(MID(SUBSTITUTE($AG26,",",REPT(" ",100)),901,100)))</f>
        <v/>
      </c>
      <c r="AR26">
        <f>IF($AG26="","",TRIM(MID(SUBSTITUTE($AG26,",",REPT(" ",100)),1001,100)))</f>
        <v/>
      </c>
      <c r="AS26">
        <f>IF($AG26="","",TRIM(MID(SUBSTITUTE($AG26,",",REPT(" ",100)),1101,100)))</f>
        <v/>
      </c>
      <c r="AT26">
        <f>IF($AG26="","",TRIM(MID(SUBSTITUTE($AG26,",",REPT(" ",100)),1201,100)))</f>
        <v/>
      </c>
      <c r="AU26">
        <f>IF($AG26="","",TRIM(MID(SUBSTITUTE($AG26,",",REPT(" ",100)),1301,100)))</f>
        <v/>
      </c>
      <c r="AV26">
        <f>IF($AG26="","",TRIM(MID(SUBSTITUTE($AG26,",",REPT(" ",100)),1401,100)))</f>
        <v/>
      </c>
      <c r="AW26">
        <f>IF($L26="참여",", "&amp;L$4,"")</f>
        <v/>
      </c>
      <c r="AX26">
        <f>AW26&amp;IF($M26="참여",", "&amp;M$4,"")</f>
        <v/>
      </c>
      <c r="AY26">
        <f>AX26&amp;IF($N26="참여",", "&amp;N$4,"")</f>
        <v/>
      </c>
      <c r="AZ26">
        <f>AY26&amp;IF($O26="참여",", "&amp;O$4,"")</f>
        <v/>
      </c>
      <c r="BA26">
        <f>AZ26&amp;IF($P26="참여",", "&amp;P$4,"")</f>
        <v/>
      </c>
      <c r="BB26">
        <f>BA26&amp;IF($Q26="참여",", "&amp;Q$4,"")</f>
        <v/>
      </c>
      <c r="BC26">
        <f>BB26&amp;IF($R26="참여",", "&amp;R$4,"")</f>
        <v/>
      </c>
      <c r="BD26">
        <f>BC26&amp;IF($S26="참여",", "&amp;S$4,"")</f>
        <v/>
      </c>
      <c r="BE26">
        <f>BD26&amp;IF($T26="참여",", "&amp;T$4,"")</f>
        <v/>
      </c>
      <c r="BF26">
        <f>BE26&amp;IF($U26="참여",", "&amp;U$4,"")</f>
        <v/>
      </c>
      <c r="BG26">
        <f>BF26&amp;IF($V26="참여",", "&amp;V$4,"")</f>
        <v/>
      </c>
      <c r="BH26">
        <f>BG26&amp;IF($W26="참여",", "&amp;W$4,"")</f>
        <v/>
      </c>
      <c r="BI26">
        <f>BH26&amp;IF($X26="참여",", "&amp;X$4,"")</f>
        <v/>
      </c>
      <c r="BJ26">
        <f>BI26&amp;IF($Y26="참여",", "&amp;Y$4,"")</f>
        <v/>
      </c>
      <c r="BK26">
        <f>BJ26&amp;IF($Z26="참여",", "&amp;Z$4,"")</f>
        <v/>
      </c>
      <c r="BL26">
        <f>BK26&amp;IF($AA26="참여",", "&amp;AA$4,"")</f>
        <v/>
      </c>
      <c r="BM26">
        <f>BL26&amp;IF($AB26="참여",", "&amp;AB$4,"")</f>
        <v/>
      </c>
      <c r="BN26">
        <f>BM26&amp;IF($AC26="참여",", "&amp;AC$4,"")</f>
        <v/>
      </c>
      <c r="BO26">
        <f>BN26&amp;IF($AD26="참여",", "&amp;AD$4,"")</f>
        <v/>
      </c>
      <c r="BP26">
        <f>BO26&amp;IF($AE26="참여",", "&amp;AE$4,"")</f>
        <v/>
      </c>
    </row>
    <row r="27">
      <c r="A27" s="74" t="n"/>
      <c r="B27" s="42" t="n"/>
      <c r="C27" s="74" t="n"/>
      <c r="D27" s="80" t="n"/>
      <c r="E27" s="74" t="n"/>
      <c r="F27" s="74" t="n"/>
      <c r="G27" s="118">
        <f>IF($A27="","",20-COUNTBLANK($L27:$AE27))</f>
        <v/>
      </c>
      <c r="H27" s="130">
        <f>IF($A27="","",IFERROR(INDEX($L$4:$AE$4,MATCH("주담당",$L27:$AE27,0)),""))</f>
        <v/>
      </c>
      <c r="I27" s="122">
        <f>IF($A27="","",IF($H27="",$AG27,$H27&amp;IF($AG27="","",", "&amp;$AG27)))</f>
        <v/>
      </c>
      <c r="J27" s="42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G27">
        <f>IF($A27="","",MID($BP27,3,255))</f>
        <v/>
      </c>
      <c r="AH27">
        <f>IF($AG27="","",TRIM(MID(SUBSTITUTE($AG27,",",REPT(" ",100)),1,100)))</f>
        <v/>
      </c>
      <c r="AI27">
        <f>IF($AG27="","",TRIM(MID(SUBSTITUTE($AG27,",",REPT(" ",100)),101,100)))</f>
        <v/>
      </c>
      <c r="AJ27">
        <f>IF($AG27="","",TRIM(MID(SUBSTITUTE($AG27,",",REPT(" ",100)),201,100)))</f>
        <v/>
      </c>
      <c r="AK27">
        <f>IF($AG27="","",TRIM(MID(SUBSTITUTE($AG27,",",REPT(" ",100)),301,100)))</f>
        <v/>
      </c>
      <c r="AL27">
        <f>IF($AG27="","",TRIM(MID(SUBSTITUTE($AG27,",",REPT(" ",100)),401,100)))</f>
        <v/>
      </c>
      <c r="AM27">
        <f>IF($AG27="","",TRIM(MID(SUBSTITUTE($AG27,",",REPT(" ",100)),501,100)))</f>
        <v/>
      </c>
      <c r="AN27">
        <f>IF($AG27="","",TRIM(MID(SUBSTITUTE($AG27,",",REPT(" ",100)),601,100)))</f>
        <v/>
      </c>
      <c r="AO27">
        <f>IF($AG27="","",TRIM(MID(SUBSTITUTE($AG27,",",REPT(" ",100)),701,100)))</f>
        <v/>
      </c>
      <c r="AP27">
        <f>IF($AG27="","",TRIM(MID(SUBSTITUTE($AG27,",",REPT(" ",100)),801,100)))</f>
        <v/>
      </c>
      <c r="AQ27">
        <f>IF($AG27="","",TRIM(MID(SUBSTITUTE($AG27,",",REPT(" ",100)),901,100)))</f>
        <v/>
      </c>
      <c r="AR27">
        <f>IF($AG27="","",TRIM(MID(SUBSTITUTE($AG27,",",REPT(" ",100)),1001,100)))</f>
        <v/>
      </c>
      <c r="AS27">
        <f>IF($AG27="","",TRIM(MID(SUBSTITUTE($AG27,",",REPT(" ",100)),1101,100)))</f>
        <v/>
      </c>
      <c r="AT27">
        <f>IF($AG27="","",TRIM(MID(SUBSTITUTE($AG27,",",REPT(" ",100)),1201,100)))</f>
        <v/>
      </c>
      <c r="AU27">
        <f>IF($AG27="","",TRIM(MID(SUBSTITUTE($AG27,",",REPT(" ",100)),1301,100)))</f>
        <v/>
      </c>
      <c r="AV27">
        <f>IF($AG27="","",TRIM(MID(SUBSTITUTE($AG27,",",REPT(" ",100)),1401,100)))</f>
        <v/>
      </c>
      <c r="AW27">
        <f>IF($L27="참여",", "&amp;L$4,"")</f>
        <v/>
      </c>
      <c r="AX27">
        <f>AW27&amp;IF($M27="참여",", "&amp;M$4,"")</f>
        <v/>
      </c>
      <c r="AY27">
        <f>AX27&amp;IF($N27="참여",", "&amp;N$4,"")</f>
        <v/>
      </c>
      <c r="AZ27">
        <f>AY27&amp;IF($O27="참여",", "&amp;O$4,"")</f>
        <v/>
      </c>
      <c r="BA27">
        <f>AZ27&amp;IF($P27="참여",", "&amp;P$4,"")</f>
        <v/>
      </c>
      <c r="BB27">
        <f>BA27&amp;IF($Q27="참여",", "&amp;Q$4,"")</f>
        <v/>
      </c>
      <c r="BC27">
        <f>BB27&amp;IF($R27="참여",", "&amp;R$4,"")</f>
        <v/>
      </c>
      <c r="BD27">
        <f>BC27&amp;IF($S27="참여",", "&amp;S$4,"")</f>
        <v/>
      </c>
      <c r="BE27">
        <f>BD27&amp;IF($T27="참여",", "&amp;T$4,"")</f>
        <v/>
      </c>
      <c r="BF27">
        <f>BE27&amp;IF($U27="참여",", "&amp;U$4,"")</f>
        <v/>
      </c>
      <c r="BG27">
        <f>BF27&amp;IF($V27="참여",", "&amp;V$4,"")</f>
        <v/>
      </c>
      <c r="BH27">
        <f>BG27&amp;IF($W27="참여",", "&amp;W$4,"")</f>
        <v/>
      </c>
      <c r="BI27">
        <f>BH27&amp;IF($X27="참여",", "&amp;X$4,"")</f>
        <v/>
      </c>
      <c r="BJ27">
        <f>BI27&amp;IF($Y27="참여",", "&amp;Y$4,"")</f>
        <v/>
      </c>
      <c r="BK27">
        <f>BJ27&amp;IF($Z27="참여",", "&amp;Z$4,"")</f>
        <v/>
      </c>
      <c r="BL27">
        <f>BK27&amp;IF($AA27="참여",", "&amp;AA$4,"")</f>
        <v/>
      </c>
      <c r="BM27">
        <f>BL27&amp;IF($AB27="참여",", "&amp;AB$4,"")</f>
        <v/>
      </c>
      <c r="BN27">
        <f>BM27&amp;IF($AC27="참여",", "&amp;AC$4,"")</f>
        <v/>
      </c>
      <c r="BO27">
        <f>BN27&amp;IF($AD27="참여",", "&amp;AD$4,"")</f>
        <v/>
      </c>
      <c r="BP27">
        <f>BO27&amp;IF($AE27="참여",", "&amp;AE$4,"")</f>
        <v/>
      </c>
    </row>
    <row r="28">
      <c r="A28" s="74" t="n"/>
      <c r="B28" s="42" t="n"/>
      <c r="C28" s="74" t="n"/>
      <c r="D28" s="80" t="n"/>
      <c r="E28" s="74" t="n"/>
      <c r="F28" s="74" t="n"/>
      <c r="G28" s="118">
        <f>IF($A28="","",20-COUNTBLANK($L28:$AE28))</f>
        <v/>
      </c>
      <c r="H28" s="130">
        <f>IF($A28="","",IFERROR(INDEX($L$4:$AE$4,MATCH("주담당",$L28:$AE28,0)),""))</f>
        <v/>
      </c>
      <c r="I28" s="122">
        <f>IF($A28="","",IF($H28="",$AG28,$H28&amp;IF($AG28="","",", "&amp;$AG28)))</f>
        <v/>
      </c>
      <c r="J28" s="42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G28">
        <f>IF($A28="","",MID($BP28,3,255))</f>
        <v/>
      </c>
      <c r="AH28">
        <f>IF($AG28="","",TRIM(MID(SUBSTITUTE($AG28,",",REPT(" ",100)),1,100)))</f>
        <v/>
      </c>
      <c r="AI28">
        <f>IF($AG28="","",TRIM(MID(SUBSTITUTE($AG28,",",REPT(" ",100)),101,100)))</f>
        <v/>
      </c>
      <c r="AJ28">
        <f>IF($AG28="","",TRIM(MID(SUBSTITUTE($AG28,",",REPT(" ",100)),201,100)))</f>
        <v/>
      </c>
      <c r="AK28">
        <f>IF($AG28="","",TRIM(MID(SUBSTITUTE($AG28,",",REPT(" ",100)),301,100)))</f>
        <v/>
      </c>
      <c r="AL28">
        <f>IF($AG28="","",TRIM(MID(SUBSTITUTE($AG28,",",REPT(" ",100)),401,100)))</f>
        <v/>
      </c>
      <c r="AM28">
        <f>IF($AG28="","",TRIM(MID(SUBSTITUTE($AG28,",",REPT(" ",100)),501,100)))</f>
        <v/>
      </c>
      <c r="AN28">
        <f>IF($AG28="","",TRIM(MID(SUBSTITUTE($AG28,",",REPT(" ",100)),601,100)))</f>
        <v/>
      </c>
      <c r="AO28">
        <f>IF($AG28="","",TRIM(MID(SUBSTITUTE($AG28,",",REPT(" ",100)),701,100)))</f>
        <v/>
      </c>
      <c r="AP28">
        <f>IF($AG28="","",TRIM(MID(SUBSTITUTE($AG28,",",REPT(" ",100)),801,100)))</f>
        <v/>
      </c>
      <c r="AQ28">
        <f>IF($AG28="","",TRIM(MID(SUBSTITUTE($AG28,",",REPT(" ",100)),901,100)))</f>
        <v/>
      </c>
      <c r="AR28">
        <f>IF($AG28="","",TRIM(MID(SUBSTITUTE($AG28,",",REPT(" ",100)),1001,100)))</f>
        <v/>
      </c>
      <c r="AS28">
        <f>IF($AG28="","",TRIM(MID(SUBSTITUTE($AG28,",",REPT(" ",100)),1101,100)))</f>
        <v/>
      </c>
      <c r="AT28">
        <f>IF($AG28="","",TRIM(MID(SUBSTITUTE($AG28,",",REPT(" ",100)),1201,100)))</f>
        <v/>
      </c>
      <c r="AU28">
        <f>IF($AG28="","",TRIM(MID(SUBSTITUTE($AG28,",",REPT(" ",100)),1301,100)))</f>
        <v/>
      </c>
      <c r="AV28">
        <f>IF($AG28="","",TRIM(MID(SUBSTITUTE($AG28,",",REPT(" ",100)),1401,100)))</f>
        <v/>
      </c>
      <c r="AW28">
        <f>IF($L28="참여",", "&amp;L$4,"")</f>
        <v/>
      </c>
      <c r="AX28">
        <f>AW28&amp;IF($M28="참여",", "&amp;M$4,"")</f>
        <v/>
      </c>
      <c r="AY28">
        <f>AX28&amp;IF($N28="참여",", "&amp;N$4,"")</f>
        <v/>
      </c>
      <c r="AZ28">
        <f>AY28&amp;IF($O28="참여",", "&amp;O$4,"")</f>
        <v/>
      </c>
      <c r="BA28">
        <f>AZ28&amp;IF($P28="참여",", "&amp;P$4,"")</f>
        <v/>
      </c>
      <c r="BB28">
        <f>BA28&amp;IF($Q28="참여",", "&amp;Q$4,"")</f>
        <v/>
      </c>
      <c r="BC28">
        <f>BB28&amp;IF($R28="참여",", "&amp;R$4,"")</f>
        <v/>
      </c>
      <c r="BD28">
        <f>BC28&amp;IF($S28="참여",", "&amp;S$4,"")</f>
        <v/>
      </c>
      <c r="BE28">
        <f>BD28&amp;IF($T28="참여",", "&amp;T$4,"")</f>
        <v/>
      </c>
      <c r="BF28">
        <f>BE28&amp;IF($U28="참여",", "&amp;U$4,"")</f>
        <v/>
      </c>
      <c r="BG28">
        <f>BF28&amp;IF($V28="참여",", "&amp;V$4,"")</f>
        <v/>
      </c>
      <c r="BH28">
        <f>BG28&amp;IF($W28="참여",", "&amp;W$4,"")</f>
        <v/>
      </c>
      <c r="BI28">
        <f>BH28&amp;IF($X28="참여",", "&amp;X$4,"")</f>
        <v/>
      </c>
      <c r="BJ28">
        <f>BI28&amp;IF($Y28="참여",", "&amp;Y$4,"")</f>
        <v/>
      </c>
      <c r="BK28">
        <f>BJ28&amp;IF($Z28="참여",", "&amp;Z$4,"")</f>
        <v/>
      </c>
      <c r="BL28">
        <f>BK28&amp;IF($AA28="참여",", "&amp;AA$4,"")</f>
        <v/>
      </c>
      <c r="BM28">
        <f>BL28&amp;IF($AB28="참여",", "&amp;AB$4,"")</f>
        <v/>
      </c>
      <c r="BN28">
        <f>BM28&amp;IF($AC28="참여",", "&amp;AC$4,"")</f>
        <v/>
      </c>
      <c r="BO28">
        <f>BN28&amp;IF($AD28="참여",", "&amp;AD$4,"")</f>
        <v/>
      </c>
      <c r="BP28">
        <f>BO28&amp;IF($AE28="참여",", "&amp;AE$4,"")</f>
        <v/>
      </c>
    </row>
    <row r="29">
      <c r="A29" s="74" t="n"/>
      <c r="B29" s="42" t="n"/>
      <c r="C29" s="74" t="n"/>
      <c r="D29" s="80" t="n"/>
      <c r="E29" s="74" t="n"/>
      <c r="F29" s="74" t="n"/>
      <c r="G29" s="118">
        <f>IF($A29="","",20-COUNTBLANK($L29:$AE29))</f>
        <v/>
      </c>
      <c r="H29" s="130">
        <f>IF($A29="","",IFERROR(INDEX($L$4:$AE$4,MATCH("주담당",$L29:$AE29,0)),""))</f>
        <v/>
      </c>
      <c r="I29" s="122">
        <f>IF($A29="","",IF($H29="",$AG29,$H29&amp;IF($AG29="","",", "&amp;$AG29)))</f>
        <v/>
      </c>
      <c r="J29" s="42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  <c r="AA29" s="74" t="n"/>
      <c r="AB29" s="74" t="n"/>
      <c r="AC29" s="74" t="n"/>
      <c r="AD29" s="74" t="n"/>
      <c r="AE29" s="74" t="n"/>
      <c r="AG29">
        <f>IF($A29="","",MID($BP29,3,255))</f>
        <v/>
      </c>
      <c r="AH29">
        <f>IF($AG29="","",TRIM(MID(SUBSTITUTE($AG29,",",REPT(" ",100)),1,100)))</f>
        <v/>
      </c>
      <c r="AI29">
        <f>IF($AG29="","",TRIM(MID(SUBSTITUTE($AG29,",",REPT(" ",100)),101,100)))</f>
        <v/>
      </c>
      <c r="AJ29">
        <f>IF($AG29="","",TRIM(MID(SUBSTITUTE($AG29,",",REPT(" ",100)),201,100)))</f>
        <v/>
      </c>
      <c r="AK29">
        <f>IF($AG29="","",TRIM(MID(SUBSTITUTE($AG29,",",REPT(" ",100)),301,100)))</f>
        <v/>
      </c>
      <c r="AL29">
        <f>IF($AG29="","",TRIM(MID(SUBSTITUTE($AG29,",",REPT(" ",100)),401,100)))</f>
        <v/>
      </c>
      <c r="AM29">
        <f>IF($AG29="","",TRIM(MID(SUBSTITUTE($AG29,",",REPT(" ",100)),501,100)))</f>
        <v/>
      </c>
      <c r="AN29">
        <f>IF($AG29="","",TRIM(MID(SUBSTITUTE($AG29,",",REPT(" ",100)),601,100)))</f>
        <v/>
      </c>
      <c r="AO29">
        <f>IF($AG29="","",TRIM(MID(SUBSTITUTE($AG29,",",REPT(" ",100)),701,100)))</f>
        <v/>
      </c>
      <c r="AP29">
        <f>IF($AG29="","",TRIM(MID(SUBSTITUTE($AG29,",",REPT(" ",100)),801,100)))</f>
        <v/>
      </c>
      <c r="AQ29">
        <f>IF($AG29="","",TRIM(MID(SUBSTITUTE($AG29,",",REPT(" ",100)),901,100)))</f>
        <v/>
      </c>
      <c r="AR29">
        <f>IF($AG29="","",TRIM(MID(SUBSTITUTE($AG29,",",REPT(" ",100)),1001,100)))</f>
        <v/>
      </c>
      <c r="AS29">
        <f>IF($AG29="","",TRIM(MID(SUBSTITUTE($AG29,",",REPT(" ",100)),1101,100)))</f>
        <v/>
      </c>
      <c r="AT29">
        <f>IF($AG29="","",TRIM(MID(SUBSTITUTE($AG29,",",REPT(" ",100)),1201,100)))</f>
        <v/>
      </c>
      <c r="AU29">
        <f>IF($AG29="","",TRIM(MID(SUBSTITUTE($AG29,",",REPT(" ",100)),1301,100)))</f>
        <v/>
      </c>
      <c r="AV29">
        <f>IF($AG29="","",TRIM(MID(SUBSTITUTE($AG29,",",REPT(" ",100)),1401,100)))</f>
        <v/>
      </c>
      <c r="AW29">
        <f>IF($L29="참여",", "&amp;L$4,"")</f>
        <v/>
      </c>
      <c r="AX29">
        <f>AW29&amp;IF($M29="참여",", "&amp;M$4,"")</f>
        <v/>
      </c>
      <c r="AY29">
        <f>AX29&amp;IF($N29="참여",", "&amp;N$4,"")</f>
        <v/>
      </c>
      <c r="AZ29">
        <f>AY29&amp;IF($O29="참여",", "&amp;O$4,"")</f>
        <v/>
      </c>
      <c r="BA29">
        <f>AZ29&amp;IF($P29="참여",", "&amp;P$4,"")</f>
        <v/>
      </c>
      <c r="BB29">
        <f>BA29&amp;IF($Q29="참여",", "&amp;Q$4,"")</f>
        <v/>
      </c>
      <c r="BC29">
        <f>BB29&amp;IF($R29="참여",", "&amp;R$4,"")</f>
        <v/>
      </c>
      <c r="BD29">
        <f>BC29&amp;IF($S29="참여",", "&amp;S$4,"")</f>
        <v/>
      </c>
      <c r="BE29">
        <f>BD29&amp;IF($T29="참여",", "&amp;T$4,"")</f>
        <v/>
      </c>
      <c r="BF29">
        <f>BE29&amp;IF($U29="참여",", "&amp;U$4,"")</f>
        <v/>
      </c>
      <c r="BG29">
        <f>BF29&amp;IF($V29="참여",", "&amp;V$4,"")</f>
        <v/>
      </c>
      <c r="BH29">
        <f>BG29&amp;IF($W29="참여",", "&amp;W$4,"")</f>
        <v/>
      </c>
      <c r="BI29">
        <f>BH29&amp;IF($X29="참여",", "&amp;X$4,"")</f>
        <v/>
      </c>
      <c r="BJ29">
        <f>BI29&amp;IF($Y29="참여",", "&amp;Y$4,"")</f>
        <v/>
      </c>
      <c r="BK29">
        <f>BJ29&amp;IF($Z29="참여",", "&amp;Z$4,"")</f>
        <v/>
      </c>
      <c r="BL29">
        <f>BK29&amp;IF($AA29="참여",", "&amp;AA$4,"")</f>
        <v/>
      </c>
      <c r="BM29">
        <f>BL29&amp;IF($AB29="참여",", "&amp;AB$4,"")</f>
        <v/>
      </c>
      <c r="BN29">
        <f>BM29&amp;IF($AC29="참여",", "&amp;AC$4,"")</f>
        <v/>
      </c>
      <c r="BO29">
        <f>BN29&amp;IF($AD29="참여",", "&amp;AD$4,"")</f>
        <v/>
      </c>
      <c r="BP29">
        <f>BO29&amp;IF($AE29="참여",", "&amp;AE$4,"")</f>
        <v/>
      </c>
    </row>
    <row r="30">
      <c r="A30" s="74" t="n"/>
      <c r="B30" s="42" t="n"/>
      <c r="C30" s="74" t="n"/>
      <c r="D30" s="80" t="n"/>
      <c r="E30" s="74" t="n"/>
      <c r="F30" s="74" t="n"/>
      <c r="G30" s="118">
        <f>IF($A30="","",20-COUNTBLANK($L30:$AE30))</f>
        <v/>
      </c>
      <c r="H30" s="130">
        <f>IF($A30="","",IFERROR(INDEX($L$4:$AE$4,MATCH("주담당",$L30:$AE30,0)),""))</f>
        <v/>
      </c>
      <c r="I30" s="122">
        <f>IF($A30="","",IF($H30="",$AG30,$H30&amp;IF($AG30="","",", "&amp;$AG30)))</f>
        <v/>
      </c>
      <c r="J30" s="42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G30">
        <f>IF($A30="","",MID($BP30,3,255))</f>
        <v/>
      </c>
      <c r="AH30">
        <f>IF($AG30="","",TRIM(MID(SUBSTITUTE($AG30,",",REPT(" ",100)),1,100)))</f>
        <v/>
      </c>
      <c r="AI30">
        <f>IF($AG30="","",TRIM(MID(SUBSTITUTE($AG30,",",REPT(" ",100)),101,100)))</f>
        <v/>
      </c>
      <c r="AJ30">
        <f>IF($AG30="","",TRIM(MID(SUBSTITUTE($AG30,",",REPT(" ",100)),201,100)))</f>
        <v/>
      </c>
      <c r="AK30">
        <f>IF($AG30="","",TRIM(MID(SUBSTITUTE($AG30,",",REPT(" ",100)),301,100)))</f>
        <v/>
      </c>
      <c r="AL30">
        <f>IF($AG30="","",TRIM(MID(SUBSTITUTE($AG30,",",REPT(" ",100)),401,100)))</f>
        <v/>
      </c>
      <c r="AM30">
        <f>IF($AG30="","",TRIM(MID(SUBSTITUTE($AG30,",",REPT(" ",100)),501,100)))</f>
        <v/>
      </c>
      <c r="AN30">
        <f>IF($AG30="","",TRIM(MID(SUBSTITUTE($AG30,",",REPT(" ",100)),601,100)))</f>
        <v/>
      </c>
      <c r="AO30">
        <f>IF($AG30="","",TRIM(MID(SUBSTITUTE($AG30,",",REPT(" ",100)),701,100)))</f>
        <v/>
      </c>
      <c r="AP30">
        <f>IF($AG30="","",TRIM(MID(SUBSTITUTE($AG30,",",REPT(" ",100)),801,100)))</f>
        <v/>
      </c>
      <c r="AQ30">
        <f>IF($AG30="","",TRIM(MID(SUBSTITUTE($AG30,",",REPT(" ",100)),901,100)))</f>
        <v/>
      </c>
      <c r="AR30">
        <f>IF($AG30="","",TRIM(MID(SUBSTITUTE($AG30,",",REPT(" ",100)),1001,100)))</f>
        <v/>
      </c>
      <c r="AS30">
        <f>IF($AG30="","",TRIM(MID(SUBSTITUTE($AG30,",",REPT(" ",100)),1101,100)))</f>
        <v/>
      </c>
      <c r="AT30">
        <f>IF($AG30="","",TRIM(MID(SUBSTITUTE($AG30,",",REPT(" ",100)),1201,100)))</f>
        <v/>
      </c>
      <c r="AU30">
        <f>IF($AG30="","",TRIM(MID(SUBSTITUTE($AG30,",",REPT(" ",100)),1301,100)))</f>
        <v/>
      </c>
      <c r="AV30">
        <f>IF($AG30="","",TRIM(MID(SUBSTITUTE($AG30,",",REPT(" ",100)),1401,100)))</f>
        <v/>
      </c>
      <c r="AW30">
        <f>IF($L30="참여",", "&amp;L$4,"")</f>
        <v/>
      </c>
      <c r="AX30">
        <f>AW30&amp;IF($M30="참여",", "&amp;M$4,"")</f>
        <v/>
      </c>
      <c r="AY30">
        <f>AX30&amp;IF($N30="참여",", "&amp;N$4,"")</f>
        <v/>
      </c>
      <c r="AZ30">
        <f>AY30&amp;IF($O30="참여",", "&amp;O$4,"")</f>
        <v/>
      </c>
      <c r="BA30">
        <f>AZ30&amp;IF($P30="참여",", "&amp;P$4,"")</f>
        <v/>
      </c>
      <c r="BB30">
        <f>BA30&amp;IF($Q30="참여",", "&amp;Q$4,"")</f>
        <v/>
      </c>
      <c r="BC30">
        <f>BB30&amp;IF($R30="참여",", "&amp;R$4,"")</f>
        <v/>
      </c>
      <c r="BD30">
        <f>BC30&amp;IF($S30="참여",", "&amp;S$4,"")</f>
        <v/>
      </c>
      <c r="BE30">
        <f>BD30&amp;IF($T30="참여",", "&amp;T$4,"")</f>
        <v/>
      </c>
      <c r="BF30">
        <f>BE30&amp;IF($U30="참여",", "&amp;U$4,"")</f>
        <v/>
      </c>
      <c r="BG30">
        <f>BF30&amp;IF($V30="참여",", "&amp;V$4,"")</f>
        <v/>
      </c>
      <c r="BH30">
        <f>BG30&amp;IF($W30="참여",", "&amp;W$4,"")</f>
        <v/>
      </c>
      <c r="BI30">
        <f>BH30&amp;IF($X30="참여",", "&amp;X$4,"")</f>
        <v/>
      </c>
      <c r="BJ30">
        <f>BI30&amp;IF($Y30="참여",", "&amp;Y$4,"")</f>
        <v/>
      </c>
      <c r="BK30">
        <f>BJ30&amp;IF($Z30="참여",", "&amp;Z$4,"")</f>
        <v/>
      </c>
      <c r="BL30">
        <f>BK30&amp;IF($AA30="참여",", "&amp;AA$4,"")</f>
        <v/>
      </c>
      <c r="BM30">
        <f>BL30&amp;IF($AB30="참여",", "&amp;AB$4,"")</f>
        <v/>
      </c>
      <c r="BN30">
        <f>BM30&amp;IF($AC30="참여",", "&amp;AC$4,"")</f>
        <v/>
      </c>
      <c r="BO30">
        <f>BN30&amp;IF($AD30="참여",", "&amp;AD$4,"")</f>
        <v/>
      </c>
      <c r="BP30">
        <f>BO30&amp;IF($AE30="참여",", "&amp;AE$4,"")</f>
        <v/>
      </c>
    </row>
    <row r="31">
      <c r="A31" s="74" t="n"/>
      <c r="B31" s="42" t="n"/>
      <c r="C31" s="74" t="n"/>
      <c r="D31" s="80" t="n"/>
      <c r="E31" s="74" t="n"/>
      <c r="F31" s="74" t="n"/>
      <c r="G31" s="118">
        <f>IF($A31="","",20-COUNTBLANK($L31:$AE31))</f>
        <v/>
      </c>
      <c r="H31" s="130">
        <f>IF($A31="","",IFERROR(INDEX($L$4:$AE$4,MATCH("주담당",$L31:$AE31,0)),""))</f>
        <v/>
      </c>
      <c r="I31" s="122">
        <f>IF($A31="","",IF($H31="",$AG31,$H31&amp;IF($AG31="","",", "&amp;$AG31)))</f>
        <v/>
      </c>
      <c r="J31" s="42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G31">
        <f>IF($A31="","",MID($BP31,3,255))</f>
        <v/>
      </c>
      <c r="AH31">
        <f>IF($AG31="","",TRIM(MID(SUBSTITUTE($AG31,",",REPT(" ",100)),1,100)))</f>
        <v/>
      </c>
      <c r="AI31">
        <f>IF($AG31="","",TRIM(MID(SUBSTITUTE($AG31,",",REPT(" ",100)),101,100)))</f>
        <v/>
      </c>
      <c r="AJ31">
        <f>IF($AG31="","",TRIM(MID(SUBSTITUTE($AG31,",",REPT(" ",100)),201,100)))</f>
        <v/>
      </c>
      <c r="AK31">
        <f>IF($AG31="","",TRIM(MID(SUBSTITUTE($AG31,",",REPT(" ",100)),301,100)))</f>
        <v/>
      </c>
      <c r="AL31">
        <f>IF($AG31="","",TRIM(MID(SUBSTITUTE($AG31,",",REPT(" ",100)),401,100)))</f>
        <v/>
      </c>
      <c r="AM31">
        <f>IF($AG31="","",TRIM(MID(SUBSTITUTE($AG31,",",REPT(" ",100)),501,100)))</f>
        <v/>
      </c>
      <c r="AN31">
        <f>IF($AG31="","",TRIM(MID(SUBSTITUTE($AG31,",",REPT(" ",100)),601,100)))</f>
        <v/>
      </c>
      <c r="AO31">
        <f>IF($AG31="","",TRIM(MID(SUBSTITUTE($AG31,",",REPT(" ",100)),701,100)))</f>
        <v/>
      </c>
      <c r="AP31">
        <f>IF($AG31="","",TRIM(MID(SUBSTITUTE($AG31,",",REPT(" ",100)),801,100)))</f>
        <v/>
      </c>
      <c r="AQ31">
        <f>IF($AG31="","",TRIM(MID(SUBSTITUTE($AG31,",",REPT(" ",100)),901,100)))</f>
        <v/>
      </c>
      <c r="AR31">
        <f>IF($AG31="","",TRIM(MID(SUBSTITUTE($AG31,",",REPT(" ",100)),1001,100)))</f>
        <v/>
      </c>
      <c r="AS31">
        <f>IF($AG31="","",TRIM(MID(SUBSTITUTE($AG31,",",REPT(" ",100)),1101,100)))</f>
        <v/>
      </c>
      <c r="AT31">
        <f>IF($AG31="","",TRIM(MID(SUBSTITUTE($AG31,",",REPT(" ",100)),1201,100)))</f>
        <v/>
      </c>
      <c r="AU31">
        <f>IF($AG31="","",TRIM(MID(SUBSTITUTE($AG31,",",REPT(" ",100)),1301,100)))</f>
        <v/>
      </c>
      <c r="AV31">
        <f>IF($AG31="","",TRIM(MID(SUBSTITUTE($AG31,",",REPT(" ",100)),1401,100)))</f>
        <v/>
      </c>
      <c r="AW31">
        <f>IF($L31="참여",", "&amp;L$4,"")</f>
        <v/>
      </c>
      <c r="AX31">
        <f>AW31&amp;IF($M31="참여",", "&amp;M$4,"")</f>
        <v/>
      </c>
      <c r="AY31">
        <f>AX31&amp;IF($N31="참여",", "&amp;N$4,"")</f>
        <v/>
      </c>
      <c r="AZ31">
        <f>AY31&amp;IF($O31="참여",", "&amp;O$4,"")</f>
        <v/>
      </c>
      <c r="BA31">
        <f>AZ31&amp;IF($P31="참여",", "&amp;P$4,"")</f>
        <v/>
      </c>
      <c r="BB31">
        <f>BA31&amp;IF($Q31="참여",", "&amp;Q$4,"")</f>
        <v/>
      </c>
      <c r="BC31">
        <f>BB31&amp;IF($R31="참여",", "&amp;R$4,"")</f>
        <v/>
      </c>
      <c r="BD31">
        <f>BC31&amp;IF($S31="참여",", "&amp;S$4,"")</f>
        <v/>
      </c>
      <c r="BE31">
        <f>BD31&amp;IF($T31="참여",", "&amp;T$4,"")</f>
        <v/>
      </c>
      <c r="BF31">
        <f>BE31&amp;IF($U31="참여",", "&amp;U$4,"")</f>
        <v/>
      </c>
      <c r="BG31">
        <f>BF31&amp;IF($V31="참여",", "&amp;V$4,"")</f>
        <v/>
      </c>
      <c r="BH31">
        <f>BG31&amp;IF($W31="참여",", "&amp;W$4,"")</f>
        <v/>
      </c>
      <c r="BI31">
        <f>BH31&amp;IF($X31="참여",", "&amp;X$4,"")</f>
        <v/>
      </c>
      <c r="BJ31">
        <f>BI31&amp;IF($Y31="참여",", "&amp;Y$4,"")</f>
        <v/>
      </c>
      <c r="BK31">
        <f>BJ31&amp;IF($Z31="참여",", "&amp;Z$4,"")</f>
        <v/>
      </c>
      <c r="BL31">
        <f>BK31&amp;IF($AA31="참여",", "&amp;AA$4,"")</f>
        <v/>
      </c>
      <c r="BM31">
        <f>BL31&amp;IF($AB31="참여",", "&amp;AB$4,"")</f>
        <v/>
      </c>
      <c r="BN31">
        <f>BM31&amp;IF($AC31="참여",", "&amp;AC$4,"")</f>
        <v/>
      </c>
      <c r="BO31">
        <f>BN31&amp;IF($AD31="참여",", "&amp;AD$4,"")</f>
        <v/>
      </c>
      <c r="BP31">
        <f>BO31&amp;IF($AE31="참여",", "&amp;AE$4,"")</f>
        <v/>
      </c>
    </row>
    <row r="32">
      <c r="A32" s="74" t="n"/>
      <c r="B32" s="42" t="n"/>
      <c r="C32" s="74" t="n"/>
      <c r="D32" s="80" t="n"/>
      <c r="E32" s="74" t="n"/>
      <c r="F32" s="74" t="n"/>
      <c r="G32" s="118">
        <f>IF($A32="","",20-COUNTBLANK($L32:$AE32))</f>
        <v/>
      </c>
      <c r="H32" s="130">
        <f>IF($A32="","",IFERROR(INDEX($L$4:$AE$4,MATCH("주담당",$L32:$AE32,0)),""))</f>
        <v/>
      </c>
      <c r="I32" s="122">
        <f>IF($A32="","",IF($H32="",$AG32,$H32&amp;IF($AG32="","",", "&amp;$AG32)))</f>
        <v/>
      </c>
      <c r="J32" s="42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4" t="n"/>
      <c r="AB32" s="74" t="n"/>
      <c r="AC32" s="74" t="n"/>
      <c r="AD32" s="74" t="n"/>
      <c r="AE32" s="74" t="n"/>
      <c r="AG32">
        <f>IF($A32="","",MID($BP32,3,255))</f>
        <v/>
      </c>
      <c r="AH32">
        <f>IF($AG32="","",TRIM(MID(SUBSTITUTE($AG32,",",REPT(" ",100)),1,100)))</f>
        <v/>
      </c>
      <c r="AI32">
        <f>IF($AG32="","",TRIM(MID(SUBSTITUTE($AG32,",",REPT(" ",100)),101,100)))</f>
        <v/>
      </c>
      <c r="AJ32">
        <f>IF($AG32="","",TRIM(MID(SUBSTITUTE($AG32,",",REPT(" ",100)),201,100)))</f>
        <v/>
      </c>
      <c r="AK32">
        <f>IF($AG32="","",TRIM(MID(SUBSTITUTE($AG32,",",REPT(" ",100)),301,100)))</f>
        <v/>
      </c>
      <c r="AL32">
        <f>IF($AG32="","",TRIM(MID(SUBSTITUTE($AG32,",",REPT(" ",100)),401,100)))</f>
        <v/>
      </c>
      <c r="AM32">
        <f>IF($AG32="","",TRIM(MID(SUBSTITUTE($AG32,",",REPT(" ",100)),501,100)))</f>
        <v/>
      </c>
      <c r="AN32">
        <f>IF($AG32="","",TRIM(MID(SUBSTITUTE($AG32,",",REPT(" ",100)),601,100)))</f>
        <v/>
      </c>
      <c r="AO32">
        <f>IF($AG32="","",TRIM(MID(SUBSTITUTE($AG32,",",REPT(" ",100)),701,100)))</f>
        <v/>
      </c>
      <c r="AP32">
        <f>IF($AG32="","",TRIM(MID(SUBSTITUTE($AG32,",",REPT(" ",100)),801,100)))</f>
        <v/>
      </c>
      <c r="AQ32">
        <f>IF($AG32="","",TRIM(MID(SUBSTITUTE($AG32,",",REPT(" ",100)),901,100)))</f>
        <v/>
      </c>
      <c r="AR32">
        <f>IF($AG32="","",TRIM(MID(SUBSTITUTE($AG32,",",REPT(" ",100)),1001,100)))</f>
        <v/>
      </c>
      <c r="AS32">
        <f>IF($AG32="","",TRIM(MID(SUBSTITUTE($AG32,",",REPT(" ",100)),1101,100)))</f>
        <v/>
      </c>
      <c r="AT32">
        <f>IF($AG32="","",TRIM(MID(SUBSTITUTE($AG32,",",REPT(" ",100)),1201,100)))</f>
        <v/>
      </c>
      <c r="AU32">
        <f>IF($AG32="","",TRIM(MID(SUBSTITUTE($AG32,",",REPT(" ",100)),1301,100)))</f>
        <v/>
      </c>
      <c r="AV32">
        <f>IF($AG32="","",TRIM(MID(SUBSTITUTE($AG32,",",REPT(" ",100)),1401,100)))</f>
        <v/>
      </c>
      <c r="AW32">
        <f>IF($L32="참여",", "&amp;L$4,"")</f>
        <v/>
      </c>
      <c r="AX32">
        <f>AW32&amp;IF($M32="참여",", "&amp;M$4,"")</f>
        <v/>
      </c>
      <c r="AY32">
        <f>AX32&amp;IF($N32="참여",", "&amp;N$4,"")</f>
        <v/>
      </c>
      <c r="AZ32">
        <f>AY32&amp;IF($O32="참여",", "&amp;O$4,"")</f>
        <v/>
      </c>
      <c r="BA32">
        <f>AZ32&amp;IF($P32="참여",", "&amp;P$4,"")</f>
        <v/>
      </c>
      <c r="BB32">
        <f>BA32&amp;IF($Q32="참여",", "&amp;Q$4,"")</f>
        <v/>
      </c>
      <c r="BC32">
        <f>BB32&amp;IF($R32="참여",", "&amp;R$4,"")</f>
        <v/>
      </c>
      <c r="BD32">
        <f>BC32&amp;IF($S32="참여",", "&amp;S$4,"")</f>
        <v/>
      </c>
      <c r="BE32">
        <f>BD32&amp;IF($T32="참여",", "&amp;T$4,"")</f>
        <v/>
      </c>
      <c r="BF32">
        <f>BE32&amp;IF($U32="참여",", "&amp;U$4,"")</f>
        <v/>
      </c>
      <c r="BG32">
        <f>BF32&amp;IF($V32="참여",", "&amp;V$4,"")</f>
        <v/>
      </c>
      <c r="BH32">
        <f>BG32&amp;IF($W32="참여",", "&amp;W$4,"")</f>
        <v/>
      </c>
      <c r="BI32">
        <f>BH32&amp;IF($X32="참여",", "&amp;X$4,"")</f>
        <v/>
      </c>
      <c r="BJ32">
        <f>BI32&amp;IF($Y32="참여",", "&amp;Y$4,"")</f>
        <v/>
      </c>
      <c r="BK32">
        <f>BJ32&amp;IF($Z32="참여",", "&amp;Z$4,"")</f>
        <v/>
      </c>
      <c r="BL32">
        <f>BK32&amp;IF($AA32="참여",", "&amp;AA$4,"")</f>
        <v/>
      </c>
      <c r="BM32">
        <f>BL32&amp;IF($AB32="참여",", "&amp;AB$4,"")</f>
        <v/>
      </c>
      <c r="BN32">
        <f>BM32&amp;IF($AC32="참여",", "&amp;AC$4,"")</f>
        <v/>
      </c>
      <c r="BO32">
        <f>BN32&amp;IF($AD32="참여",", "&amp;AD$4,"")</f>
        <v/>
      </c>
      <c r="BP32">
        <f>BO32&amp;IF($AE32="참여",", "&amp;AE$4,"")</f>
        <v/>
      </c>
    </row>
    <row r="33">
      <c r="A33" s="74" t="n"/>
      <c r="B33" s="42" t="n"/>
      <c r="C33" s="74" t="n"/>
      <c r="D33" s="80" t="n"/>
      <c r="E33" s="74" t="n"/>
      <c r="F33" s="74" t="n"/>
      <c r="G33" s="118">
        <f>IF($A33="","",20-COUNTBLANK($L33:$AE33))</f>
        <v/>
      </c>
      <c r="H33" s="130">
        <f>IF($A33="","",IFERROR(INDEX($L$4:$AE$4,MATCH("주담당",$L33:$AE33,0)),""))</f>
        <v/>
      </c>
      <c r="I33" s="122">
        <f>IF($A33="","",IF($H33="",$AG33,$H33&amp;IF($AG33="","",", "&amp;$AG33)))</f>
        <v/>
      </c>
      <c r="J33" s="42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4" t="n"/>
      <c r="AG33">
        <f>IF($A33="","",MID($BP33,3,255))</f>
        <v/>
      </c>
      <c r="AH33">
        <f>IF($AG33="","",TRIM(MID(SUBSTITUTE($AG33,",",REPT(" ",100)),1,100)))</f>
        <v/>
      </c>
      <c r="AI33">
        <f>IF($AG33="","",TRIM(MID(SUBSTITUTE($AG33,",",REPT(" ",100)),101,100)))</f>
        <v/>
      </c>
      <c r="AJ33">
        <f>IF($AG33="","",TRIM(MID(SUBSTITUTE($AG33,",",REPT(" ",100)),201,100)))</f>
        <v/>
      </c>
      <c r="AK33">
        <f>IF($AG33="","",TRIM(MID(SUBSTITUTE($AG33,",",REPT(" ",100)),301,100)))</f>
        <v/>
      </c>
      <c r="AL33">
        <f>IF($AG33="","",TRIM(MID(SUBSTITUTE($AG33,",",REPT(" ",100)),401,100)))</f>
        <v/>
      </c>
      <c r="AM33">
        <f>IF($AG33="","",TRIM(MID(SUBSTITUTE($AG33,",",REPT(" ",100)),501,100)))</f>
        <v/>
      </c>
      <c r="AN33">
        <f>IF($AG33="","",TRIM(MID(SUBSTITUTE($AG33,",",REPT(" ",100)),601,100)))</f>
        <v/>
      </c>
      <c r="AO33">
        <f>IF($AG33="","",TRIM(MID(SUBSTITUTE($AG33,",",REPT(" ",100)),701,100)))</f>
        <v/>
      </c>
      <c r="AP33">
        <f>IF($AG33="","",TRIM(MID(SUBSTITUTE($AG33,",",REPT(" ",100)),801,100)))</f>
        <v/>
      </c>
      <c r="AQ33">
        <f>IF($AG33="","",TRIM(MID(SUBSTITUTE($AG33,",",REPT(" ",100)),901,100)))</f>
        <v/>
      </c>
      <c r="AR33">
        <f>IF($AG33="","",TRIM(MID(SUBSTITUTE($AG33,",",REPT(" ",100)),1001,100)))</f>
        <v/>
      </c>
      <c r="AS33">
        <f>IF($AG33="","",TRIM(MID(SUBSTITUTE($AG33,",",REPT(" ",100)),1101,100)))</f>
        <v/>
      </c>
      <c r="AT33">
        <f>IF($AG33="","",TRIM(MID(SUBSTITUTE($AG33,",",REPT(" ",100)),1201,100)))</f>
        <v/>
      </c>
      <c r="AU33">
        <f>IF($AG33="","",TRIM(MID(SUBSTITUTE($AG33,",",REPT(" ",100)),1301,100)))</f>
        <v/>
      </c>
      <c r="AV33">
        <f>IF($AG33="","",TRIM(MID(SUBSTITUTE($AG33,",",REPT(" ",100)),1401,100)))</f>
        <v/>
      </c>
      <c r="AW33">
        <f>IF($L33="참여",", "&amp;L$4,"")</f>
        <v/>
      </c>
      <c r="AX33">
        <f>AW33&amp;IF($M33="참여",", "&amp;M$4,"")</f>
        <v/>
      </c>
      <c r="AY33">
        <f>AX33&amp;IF($N33="참여",", "&amp;N$4,"")</f>
        <v/>
      </c>
      <c r="AZ33">
        <f>AY33&amp;IF($O33="참여",", "&amp;O$4,"")</f>
        <v/>
      </c>
      <c r="BA33">
        <f>AZ33&amp;IF($P33="참여",", "&amp;P$4,"")</f>
        <v/>
      </c>
      <c r="BB33">
        <f>BA33&amp;IF($Q33="참여",", "&amp;Q$4,"")</f>
        <v/>
      </c>
      <c r="BC33">
        <f>BB33&amp;IF($R33="참여",", "&amp;R$4,"")</f>
        <v/>
      </c>
      <c r="BD33">
        <f>BC33&amp;IF($S33="참여",", "&amp;S$4,"")</f>
        <v/>
      </c>
      <c r="BE33">
        <f>BD33&amp;IF($T33="참여",", "&amp;T$4,"")</f>
        <v/>
      </c>
      <c r="BF33">
        <f>BE33&amp;IF($U33="참여",", "&amp;U$4,"")</f>
        <v/>
      </c>
      <c r="BG33">
        <f>BF33&amp;IF($V33="참여",", "&amp;V$4,"")</f>
        <v/>
      </c>
      <c r="BH33">
        <f>BG33&amp;IF($W33="참여",", "&amp;W$4,"")</f>
        <v/>
      </c>
      <c r="BI33">
        <f>BH33&amp;IF($X33="참여",", "&amp;X$4,"")</f>
        <v/>
      </c>
      <c r="BJ33">
        <f>BI33&amp;IF($Y33="참여",", "&amp;Y$4,"")</f>
        <v/>
      </c>
      <c r="BK33">
        <f>BJ33&amp;IF($Z33="참여",", "&amp;Z$4,"")</f>
        <v/>
      </c>
      <c r="BL33">
        <f>BK33&amp;IF($AA33="참여",", "&amp;AA$4,"")</f>
        <v/>
      </c>
      <c r="BM33">
        <f>BL33&amp;IF($AB33="참여",", "&amp;AB$4,"")</f>
        <v/>
      </c>
      <c r="BN33">
        <f>BM33&amp;IF($AC33="참여",", "&amp;AC$4,"")</f>
        <v/>
      </c>
      <c r="BO33">
        <f>BN33&amp;IF($AD33="참여",", "&amp;AD$4,"")</f>
        <v/>
      </c>
      <c r="BP33">
        <f>BO33&amp;IF($AE33="참여",", "&amp;AE$4,"")</f>
        <v/>
      </c>
    </row>
    <row r="34">
      <c r="A34" s="74" t="n"/>
      <c r="B34" s="42" t="n"/>
      <c r="C34" s="74" t="n"/>
      <c r="D34" s="80" t="n"/>
      <c r="E34" s="74" t="n"/>
      <c r="F34" s="74" t="n"/>
      <c r="G34" s="118">
        <f>IF($A34="","",20-COUNTBLANK($L34:$AE34))</f>
        <v/>
      </c>
      <c r="H34" s="130">
        <f>IF($A34="","",IFERROR(INDEX($L$4:$AE$4,MATCH("주담당",$L34:$AE34,0)),""))</f>
        <v/>
      </c>
      <c r="I34" s="122">
        <f>IF($A34="","",IF($H34="",$AG34,$H34&amp;IF($AG34="","",", "&amp;$AG34)))</f>
        <v/>
      </c>
      <c r="J34" s="42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4" t="n"/>
      <c r="AB34" s="74" t="n"/>
      <c r="AC34" s="74" t="n"/>
      <c r="AD34" s="74" t="n"/>
      <c r="AE34" s="74" t="n"/>
      <c r="AG34">
        <f>IF($A34="","",MID($BP34,3,255))</f>
        <v/>
      </c>
      <c r="AH34">
        <f>IF($AG34="","",TRIM(MID(SUBSTITUTE($AG34,",",REPT(" ",100)),1,100)))</f>
        <v/>
      </c>
      <c r="AI34">
        <f>IF($AG34="","",TRIM(MID(SUBSTITUTE($AG34,",",REPT(" ",100)),101,100)))</f>
        <v/>
      </c>
      <c r="AJ34">
        <f>IF($AG34="","",TRIM(MID(SUBSTITUTE($AG34,",",REPT(" ",100)),201,100)))</f>
        <v/>
      </c>
      <c r="AK34">
        <f>IF($AG34="","",TRIM(MID(SUBSTITUTE($AG34,",",REPT(" ",100)),301,100)))</f>
        <v/>
      </c>
      <c r="AL34">
        <f>IF($AG34="","",TRIM(MID(SUBSTITUTE($AG34,",",REPT(" ",100)),401,100)))</f>
        <v/>
      </c>
      <c r="AM34">
        <f>IF($AG34="","",TRIM(MID(SUBSTITUTE($AG34,",",REPT(" ",100)),501,100)))</f>
        <v/>
      </c>
      <c r="AN34">
        <f>IF($AG34="","",TRIM(MID(SUBSTITUTE($AG34,",",REPT(" ",100)),601,100)))</f>
        <v/>
      </c>
      <c r="AO34">
        <f>IF($AG34="","",TRIM(MID(SUBSTITUTE($AG34,",",REPT(" ",100)),701,100)))</f>
        <v/>
      </c>
      <c r="AP34">
        <f>IF($AG34="","",TRIM(MID(SUBSTITUTE($AG34,",",REPT(" ",100)),801,100)))</f>
        <v/>
      </c>
      <c r="AQ34">
        <f>IF($AG34="","",TRIM(MID(SUBSTITUTE($AG34,",",REPT(" ",100)),901,100)))</f>
        <v/>
      </c>
      <c r="AR34">
        <f>IF($AG34="","",TRIM(MID(SUBSTITUTE($AG34,",",REPT(" ",100)),1001,100)))</f>
        <v/>
      </c>
      <c r="AS34">
        <f>IF($AG34="","",TRIM(MID(SUBSTITUTE($AG34,",",REPT(" ",100)),1101,100)))</f>
        <v/>
      </c>
      <c r="AT34">
        <f>IF($AG34="","",TRIM(MID(SUBSTITUTE($AG34,",",REPT(" ",100)),1201,100)))</f>
        <v/>
      </c>
      <c r="AU34">
        <f>IF($AG34="","",TRIM(MID(SUBSTITUTE($AG34,",",REPT(" ",100)),1301,100)))</f>
        <v/>
      </c>
      <c r="AV34">
        <f>IF($AG34="","",TRIM(MID(SUBSTITUTE($AG34,",",REPT(" ",100)),1401,100)))</f>
        <v/>
      </c>
      <c r="AW34">
        <f>IF($L34="참여",", "&amp;L$4,"")</f>
        <v/>
      </c>
      <c r="AX34">
        <f>AW34&amp;IF($M34="참여",", "&amp;M$4,"")</f>
        <v/>
      </c>
      <c r="AY34">
        <f>AX34&amp;IF($N34="참여",", "&amp;N$4,"")</f>
        <v/>
      </c>
      <c r="AZ34">
        <f>AY34&amp;IF($O34="참여",", "&amp;O$4,"")</f>
        <v/>
      </c>
      <c r="BA34">
        <f>AZ34&amp;IF($P34="참여",", "&amp;P$4,"")</f>
        <v/>
      </c>
      <c r="BB34">
        <f>BA34&amp;IF($Q34="참여",", "&amp;Q$4,"")</f>
        <v/>
      </c>
      <c r="BC34">
        <f>BB34&amp;IF($R34="참여",", "&amp;R$4,"")</f>
        <v/>
      </c>
      <c r="BD34">
        <f>BC34&amp;IF($S34="참여",", "&amp;S$4,"")</f>
        <v/>
      </c>
      <c r="BE34">
        <f>BD34&amp;IF($T34="참여",", "&amp;T$4,"")</f>
        <v/>
      </c>
      <c r="BF34">
        <f>BE34&amp;IF($U34="참여",", "&amp;U$4,"")</f>
        <v/>
      </c>
      <c r="BG34">
        <f>BF34&amp;IF($V34="참여",", "&amp;V$4,"")</f>
        <v/>
      </c>
      <c r="BH34">
        <f>BG34&amp;IF($W34="참여",", "&amp;W$4,"")</f>
        <v/>
      </c>
      <c r="BI34">
        <f>BH34&amp;IF($X34="참여",", "&amp;X$4,"")</f>
        <v/>
      </c>
      <c r="BJ34">
        <f>BI34&amp;IF($Y34="참여",", "&amp;Y$4,"")</f>
        <v/>
      </c>
      <c r="BK34">
        <f>BJ34&amp;IF($Z34="참여",", "&amp;Z$4,"")</f>
        <v/>
      </c>
      <c r="BL34">
        <f>BK34&amp;IF($AA34="참여",", "&amp;AA$4,"")</f>
        <v/>
      </c>
      <c r="BM34">
        <f>BL34&amp;IF($AB34="참여",", "&amp;AB$4,"")</f>
        <v/>
      </c>
      <c r="BN34">
        <f>BM34&amp;IF($AC34="참여",", "&amp;AC$4,"")</f>
        <v/>
      </c>
      <c r="BO34">
        <f>BN34&amp;IF($AD34="참여",", "&amp;AD$4,"")</f>
        <v/>
      </c>
      <c r="BP34">
        <f>BO34&amp;IF($AE34="참여",", "&amp;AE$4,"")</f>
        <v/>
      </c>
    </row>
    <row r="35">
      <c r="A35" s="74" t="n"/>
      <c r="B35" s="42" t="n"/>
      <c r="C35" s="74" t="n"/>
      <c r="D35" s="80" t="n"/>
      <c r="E35" s="74" t="n"/>
      <c r="F35" s="74" t="n"/>
      <c r="G35" s="118">
        <f>IF($A35="","",20-COUNTBLANK($L35:$AE35))</f>
        <v/>
      </c>
      <c r="H35" s="130">
        <f>IF($A35="","",IFERROR(INDEX($L$4:$AE$4,MATCH("주담당",$L35:$AE35,0)),""))</f>
        <v/>
      </c>
      <c r="I35" s="122">
        <f>IF($A35="","",IF($H35="",$AG35,$H35&amp;IF($AG35="","",", "&amp;$AG35)))</f>
        <v/>
      </c>
      <c r="J35" s="42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  <c r="AB35" s="74" t="n"/>
      <c r="AC35" s="74" t="n"/>
      <c r="AD35" s="74" t="n"/>
      <c r="AE35" s="74" t="n"/>
      <c r="AG35">
        <f>IF($A35="","",MID($BP35,3,255))</f>
        <v/>
      </c>
      <c r="AH35">
        <f>IF($AG35="","",TRIM(MID(SUBSTITUTE($AG35,",",REPT(" ",100)),1,100)))</f>
        <v/>
      </c>
      <c r="AI35">
        <f>IF($AG35="","",TRIM(MID(SUBSTITUTE($AG35,",",REPT(" ",100)),101,100)))</f>
        <v/>
      </c>
      <c r="AJ35">
        <f>IF($AG35="","",TRIM(MID(SUBSTITUTE($AG35,",",REPT(" ",100)),201,100)))</f>
        <v/>
      </c>
      <c r="AK35">
        <f>IF($AG35="","",TRIM(MID(SUBSTITUTE($AG35,",",REPT(" ",100)),301,100)))</f>
        <v/>
      </c>
      <c r="AL35">
        <f>IF($AG35="","",TRIM(MID(SUBSTITUTE($AG35,",",REPT(" ",100)),401,100)))</f>
        <v/>
      </c>
      <c r="AM35">
        <f>IF($AG35="","",TRIM(MID(SUBSTITUTE($AG35,",",REPT(" ",100)),501,100)))</f>
        <v/>
      </c>
      <c r="AN35">
        <f>IF($AG35="","",TRIM(MID(SUBSTITUTE($AG35,",",REPT(" ",100)),601,100)))</f>
        <v/>
      </c>
      <c r="AO35">
        <f>IF($AG35="","",TRIM(MID(SUBSTITUTE($AG35,",",REPT(" ",100)),701,100)))</f>
        <v/>
      </c>
      <c r="AP35">
        <f>IF($AG35="","",TRIM(MID(SUBSTITUTE($AG35,",",REPT(" ",100)),801,100)))</f>
        <v/>
      </c>
      <c r="AQ35">
        <f>IF($AG35="","",TRIM(MID(SUBSTITUTE($AG35,",",REPT(" ",100)),901,100)))</f>
        <v/>
      </c>
      <c r="AR35">
        <f>IF($AG35="","",TRIM(MID(SUBSTITUTE($AG35,",",REPT(" ",100)),1001,100)))</f>
        <v/>
      </c>
      <c r="AS35">
        <f>IF($AG35="","",TRIM(MID(SUBSTITUTE($AG35,",",REPT(" ",100)),1101,100)))</f>
        <v/>
      </c>
      <c r="AT35">
        <f>IF($AG35="","",TRIM(MID(SUBSTITUTE($AG35,",",REPT(" ",100)),1201,100)))</f>
        <v/>
      </c>
      <c r="AU35">
        <f>IF($AG35="","",TRIM(MID(SUBSTITUTE($AG35,",",REPT(" ",100)),1301,100)))</f>
        <v/>
      </c>
      <c r="AV35">
        <f>IF($AG35="","",TRIM(MID(SUBSTITUTE($AG35,",",REPT(" ",100)),1401,100)))</f>
        <v/>
      </c>
      <c r="AW35">
        <f>IF($L35="참여",", "&amp;L$4,"")</f>
        <v/>
      </c>
      <c r="AX35">
        <f>AW35&amp;IF($M35="참여",", "&amp;M$4,"")</f>
        <v/>
      </c>
      <c r="AY35">
        <f>AX35&amp;IF($N35="참여",", "&amp;N$4,"")</f>
        <v/>
      </c>
      <c r="AZ35">
        <f>AY35&amp;IF($O35="참여",", "&amp;O$4,"")</f>
        <v/>
      </c>
      <c r="BA35">
        <f>AZ35&amp;IF($P35="참여",", "&amp;P$4,"")</f>
        <v/>
      </c>
      <c r="BB35">
        <f>BA35&amp;IF($Q35="참여",", "&amp;Q$4,"")</f>
        <v/>
      </c>
      <c r="BC35">
        <f>BB35&amp;IF($R35="참여",", "&amp;R$4,"")</f>
        <v/>
      </c>
      <c r="BD35">
        <f>BC35&amp;IF($S35="참여",", "&amp;S$4,"")</f>
        <v/>
      </c>
      <c r="BE35">
        <f>BD35&amp;IF($T35="참여",", "&amp;T$4,"")</f>
        <v/>
      </c>
      <c r="BF35">
        <f>BE35&amp;IF($U35="참여",", "&amp;U$4,"")</f>
        <v/>
      </c>
      <c r="BG35">
        <f>BF35&amp;IF($V35="참여",", "&amp;V$4,"")</f>
        <v/>
      </c>
      <c r="BH35">
        <f>BG35&amp;IF($W35="참여",", "&amp;W$4,"")</f>
        <v/>
      </c>
      <c r="BI35">
        <f>BH35&amp;IF($X35="참여",", "&amp;X$4,"")</f>
        <v/>
      </c>
      <c r="BJ35">
        <f>BI35&amp;IF($Y35="참여",", "&amp;Y$4,"")</f>
        <v/>
      </c>
      <c r="BK35">
        <f>BJ35&amp;IF($Z35="참여",", "&amp;Z$4,"")</f>
        <v/>
      </c>
      <c r="BL35">
        <f>BK35&amp;IF($AA35="참여",", "&amp;AA$4,"")</f>
        <v/>
      </c>
      <c r="BM35">
        <f>BL35&amp;IF($AB35="참여",", "&amp;AB$4,"")</f>
        <v/>
      </c>
      <c r="BN35">
        <f>BM35&amp;IF($AC35="참여",", "&amp;AC$4,"")</f>
        <v/>
      </c>
      <c r="BO35">
        <f>BN35&amp;IF($AD35="참여",", "&amp;AD$4,"")</f>
        <v/>
      </c>
      <c r="BP35">
        <f>BO35&amp;IF($AE35="참여",", "&amp;AE$4,"")</f>
        <v/>
      </c>
    </row>
    <row r="36">
      <c r="A36" s="74" t="n"/>
      <c r="B36" s="42" t="n"/>
      <c r="C36" s="74" t="n"/>
      <c r="D36" s="80" t="n"/>
      <c r="E36" s="74" t="n"/>
      <c r="F36" s="74" t="n"/>
      <c r="G36" s="118">
        <f>IF($A36="","",20-COUNTBLANK($L36:$AE36))</f>
        <v/>
      </c>
      <c r="H36" s="130">
        <f>IF($A36="","",IFERROR(INDEX($L$4:$AE$4,MATCH("주담당",$L36:$AE36,0)),""))</f>
        <v/>
      </c>
      <c r="I36" s="122">
        <f>IF($A36="","",IF($H36="",$AG36,$H36&amp;IF($AG36="","",", "&amp;$AG36)))</f>
        <v/>
      </c>
      <c r="J36" s="42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4" t="n"/>
      <c r="AB36" s="74" t="n"/>
      <c r="AC36" s="74" t="n"/>
      <c r="AD36" s="74" t="n"/>
      <c r="AE36" s="74" t="n"/>
      <c r="AG36">
        <f>IF($A36="","",MID($BP36,3,255))</f>
        <v/>
      </c>
      <c r="AH36">
        <f>IF($AG36="","",TRIM(MID(SUBSTITUTE($AG36,",",REPT(" ",100)),1,100)))</f>
        <v/>
      </c>
      <c r="AI36">
        <f>IF($AG36="","",TRIM(MID(SUBSTITUTE($AG36,",",REPT(" ",100)),101,100)))</f>
        <v/>
      </c>
      <c r="AJ36">
        <f>IF($AG36="","",TRIM(MID(SUBSTITUTE($AG36,",",REPT(" ",100)),201,100)))</f>
        <v/>
      </c>
      <c r="AK36">
        <f>IF($AG36="","",TRIM(MID(SUBSTITUTE($AG36,",",REPT(" ",100)),301,100)))</f>
        <v/>
      </c>
      <c r="AL36">
        <f>IF($AG36="","",TRIM(MID(SUBSTITUTE($AG36,",",REPT(" ",100)),401,100)))</f>
        <v/>
      </c>
      <c r="AM36">
        <f>IF($AG36="","",TRIM(MID(SUBSTITUTE($AG36,",",REPT(" ",100)),501,100)))</f>
        <v/>
      </c>
      <c r="AN36">
        <f>IF($AG36="","",TRIM(MID(SUBSTITUTE($AG36,",",REPT(" ",100)),601,100)))</f>
        <v/>
      </c>
      <c r="AO36">
        <f>IF($AG36="","",TRIM(MID(SUBSTITUTE($AG36,",",REPT(" ",100)),701,100)))</f>
        <v/>
      </c>
      <c r="AP36">
        <f>IF($AG36="","",TRIM(MID(SUBSTITUTE($AG36,",",REPT(" ",100)),801,100)))</f>
        <v/>
      </c>
      <c r="AQ36">
        <f>IF($AG36="","",TRIM(MID(SUBSTITUTE($AG36,",",REPT(" ",100)),901,100)))</f>
        <v/>
      </c>
      <c r="AR36">
        <f>IF($AG36="","",TRIM(MID(SUBSTITUTE($AG36,",",REPT(" ",100)),1001,100)))</f>
        <v/>
      </c>
      <c r="AS36">
        <f>IF($AG36="","",TRIM(MID(SUBSTITUTE($AG36,",",REPT(" ",100)),1101,100)))</f>
        <v/>
      </c>
      <c r="AT36">
        <f>IF($AG36="","",TRIM(MID(SUBSTITUTE($AG36,",",REPT(" ",100)),1201,100)))</f>
        <v/>
      </c>
      <c r="AU36">
        <f>IF($AG36="","",TRIM(MID(SUBSTITUTE($AG36,",",REPT(" ",100)),1301,100)))</f>
        <v/>
      </c>
      <c r="AV36">
        <f>IF($AG36="","",TRIM(MID(SUBSTITUTE($AG36,",",REPT(" ",100)),1401,100)))</f>
        <v/>
      </c>
      <c r="AW36">
        <f>IF($L36="참여",", "&amp;L$4,"")</f>
        <v/>
      </c>
      <c r="AX36">
        <f>AW36&amp;IF($M36="참여",", "&amp;M$4,"")</f>
        <v/>
      </c>
      <c r="AY36">
        <f>AX36&amp;IF($N36="참여",", "&amp;N$4,"")</f>
        <v/>
      </c>
      <c r="AZ36">
        <f>AY36&amp;IF($O36="참여",", "&amp;O$4,"")</f>
        <v/>
      </c>
      <c r="BA36">
        <f>AZ36&amp;IF($P36="참여",", "&amp;P$4,"")</f>
        <v/>
      </c>
      <c r="BB36">
        <f>BA36&amp;IF($Q36="참여",", "&amp;Q$4,"")</f>
        <v/>
      </c>
      <c r="BC36">
        <f>BB36&amp;IF($R36="참여",", "&amp;R$4,"")</f>
        <v/>
      </c>
      <c r="BD36">
        <f>BC36&amp;IF($S36="참여",", "&amp;S$4,"")</f>
        <v/>
      </c>
      <c r="BE36">
        <f>BD36&amp;IF($T36="참여",", "&amp;T$4,"")</f>
        <v/>
      </c>
      <c r="BF36">
        <f>BE36&amp;IF($U36="참여",", "&amp;U$4,"")</f>
        <v/>
      </c>
      <c r="BG36">
        <f>BF36&amp;IF($V36="참여",", "&amp;V$4,"")</f>
        <v/>
      </c>
      <c r="BH36">
        <f>BG36&amp;IF($W36="참여",", "&amp;W$4,"")</f>
        <v/>
      </c>
      <c r="BI36">
        <f>BH36&amp;IF($X36="참여",", "&amp;X$4,"")</f>
        <v/>
      </c>
      <c r="BJ36">
        <f>BI36&amp;IF($Y36="참여",", "&amp;Y$4,"")</f>
        <v/>
      </c>
      <c r="BK36">
        <f>BJ36&amp;IF($Z36="참여",", "&amp;Z$4,"")</f>
        <v/>
      </c>
      <c r="BL36">
        <f>BK36&amp;IF($AA36="참여",", "&amp;AA$4,"")</f>
        <v/>
      </c>
      <c r="BM36">
        <f>BL36&amp;IF($AB36="참여",", "&amp;AB$4,"")</f>
        <v/>
      </c>
      <c r="BN36">
        <f>BM36&amp;IF($AC36="참여",", "&amp;AC$4,"")</f>
        <v/>
      </c>
      <c r="BO36">
        <f>BN36&amp;IF($AD36="참여",", "&amp;AD$4,"")</f>
        <v/>
      </c>
      <c r="BP36">
        <f>BO36&amp;IF($AE36="참여",", "&amp;AE$4,"")</f>
        <v/>
      </c>
    </row>
    <row r="37">
      <c r="A37" s="74" t="n"/>
      <c r="B37" s="42" t="n"/>
      <c r="C37" s="74" t="n"/>
      <c r="D37" s="80" t="n"/>
      <c r="E37" s="74" t="n"/>
      <c r="F37" s="74" t="n"/>
      <c r="G37" s="118">
        <f>IF($A37="","",20-COUNTBLANK($L37:$AE37))</f>
        <v/>
      </c>
      <c r="H37" s="130">
        <f>IF($A37="","",IFERROR(INDEX($L$4:$AE$4,MATCH("주담당",$L37:$AE37,0)),""))</f>
        <v/>
      </c>
      <c r="I37" s="122">
        <f>IF($A37="","",IF($H37="",$AG37,$H37&amp;IF($AG37="","",", "&amp;$AG37)))</f>
        <v/>
      </c>
      <c r="J37" s="42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4" t="n"/>
      <c r="AB37" s="74" t="n"/>
      <c r="AC37" s="74" t="n"/>
      <c r="AD37" s="74" t="n"/>
      <c r="AE37" s="74" t="n"/>
      <c r="AG37">
        <f>IF($A37="","",MID($BP37,3,255))</f>
        <v/>
      </c>
      <c r="AH37">
        <f>IF($AG37="","",TRIM(MID(SUBSTITUTE($AG37,",",REPT(" ",100)),1,100)))</f>
        <v/>
      </c>
      <c r="AI37">
        <f>IF($AG37="","",TRIM(MID(SUBSTITUTE($AG37,",",REPT(" ",100)),101,100)))</f>
        <v/>
      </c>
      <c r="AJ37">
        <f>IF($AG37="","",TRIM(MID(SUBSTITUTE($AG37,",",REPT(" ",100)),201,100)))</f>
        <v/>
      </c>
      <c r="AK37">
        <f>IF($AG37="","",TRIM(MID(SUBSTITUTE($AG37,",",REPT(" ",100)),301,100)))</f>
        <v/>
      </c>
      <c r="AL37">
        <f>IF($AG37="","",TRIM(MID(SUBSTITUTE($AG37,",",REPT(" ",100)),401,100)))</f>
        <v/>
      </c>
      <c r="AM37">
        <f>IF($AG37="","",TRIM(MID(SUBSTITUTE($AG37,",",REPT(" ",100)),501,100)))</f>
        <v/>
      </c>
      <c r="AN37">
        <f>IF($AG37="","",TRIM(MID(SUBSTITUTE($AG37,",",REPT(" ",100)),601,100)))</f>
        <v/>
      </c>
      <c r="AO37">
        <f>IF($AG37="","",TRIM(MID(SUBSTITUTE($AG37,",",REPT(" ",100)),701,100)))</f>
        <v/>
      </c>
      <c r="AP37">
        <f>IF($AG37="","",TRIM(MID(SUBSTITUTE($AG37,",",REPT(" ",100)),801,100)))</f>
        <v/>
      </c>
      <c r="AQ37">
        <f>IF($AG37="","",TRIM(MID(SUBSTITUTE($AG37,",",REPT(" ",100)),901,100)))</f>
        <v/>
      </c>
      <c r="AR37">
        <f>IF($AG37="","",TRIM(MID(SUBSTITUTE($AG37,",",REPT(" ",100)),1001,100)))</f>
        <v/>
      </c>
      <c r="AS37">
        <f>IF($AG37="","",TRIM(MID(SUBSTITUTE($AG37,",",REPT(" ",100)),1101,100)))</f>
        <v/>
      </c>
      <c r="AT37">
        <f>IF($AG37="","",TRIM(MID(SUBSTITUTE($AG37,",",REPT(" ",100)),1201,100)))</f>
        <v/>
      </c>
      <c r="AU37">
        <f>IF($AG37="","",TRIM(MID(SUBSTITUTE($AG37,",",REPT(" ",100)),1301,100)))</f>
        <v/>
      </c>
      <c r="AV37">
        <f>IF($AG37="","",TRIM(MID(SUBSTITUTE($AG37,",",REPT(" ",100)),1401,100)))</f>
        <v/>
      </c>
      <c r="AW37">
        <f>IF($L37="참여",", "&amp;L$4,"")</f>
        <v/>
      </c>
      <c r="AX37">
        <f>AW37&amp;IF($M37="참여",", "&amp;M$4,"")</f>
        <v/>
      </c>
      <c r="AY37">
        <f>AX37&amp;IF($N37="참여",", "&amp;N$4,"")</f>
        <v/>
      </c>
      <c r="AZ37">
        <f>AY37&amp;IF($O37="참여",", "&amp;O$4,"")</f>
        <v/>
      </c>
      <c r="BA37">
        <f>AZ37&amp;IF($P37="참여",", "&amp;P$4,"")</f>
        <v/>
      </c>
      <c r="BB37">
        <f>BA37&amp;IF($Q37="참여",", "&amp;Q$4,"")</f>
        <v/>
      </c>
      <c r="BC37">
        <f>BB37&amp;IF($R37="참여",", "&amp;R$4,"")</f>
        <v/>
      </c>
      <c r="BD37">
        <f>BC37&amp;IF($S37="참여",", "&amp;S$4,"")</f>
        <v/>
      </c>
      <c r="BE37">
        <f>BD37&amp;IF($T37="참여",", "&amp;T$4,"")</f>
        <v/>
      </c>
      <c r="BF37">
        <f>BE37&amp;IF($U37="참여",", "&amp;U$4,"")</f>
        <v/>
      </c>
      <c r="BG37">
        <f>BF37&amp;IF($V37="참여",", "&amp;V$4,"")</f>
        <v/>
      </c>
      <c r="BH37">
        <f>BG37&amp;IF($W37="참여",", "&amp;W$4,"")</f>
        <v/>
      </c>
      <c r="BI37">
        <f>BH37&amp;IF($X37="참여",", "&amp;X$4,"")</f>
        <v/>
      </c>
      <c r="BJ37">
        <f>BI37&amp;IF($Y37="참여",", "&amp;Y$4,"")</f>
        <v/>
      </c>
      <c r="BK37">
        <f>BJ37&amp;IF($Z37="참여",", "&amp;Z$4,"")</f>
        <v/>
      </c>
      <c r="BL37">
        <f>BK37&amp;IF($AA37="참여",", "&amp;AA$4,"")</f>
        <v/>
      </c>
      <c r="BM37">
        <f>BL37&amp;IF($AB37="참여",", "&amp;AB$4,"")</f>
        <v/>
      </c>
      <c r="BN37">
        <f>BM37&amp;IF($AC37="참여",", "&amp;AC$4,"")</f>
        <v/>
      </c>
      <c r="BO37">
        <f>BN37&amp;IF($AD37="참여",", "&amp;AD$4,"")</f>
        <v/>
      </c>
      <c r="BP37">
        <f>BO37&amp;IF($AE37="참여",", "&amp;AE$4,"")</f>
        <v/>
      </c>
    </row>
    <row r="38">
      <c r="A38" s="74" t="n"/>
      <c r="B38" s="42" t="n"/>
      <c r="C38" s="74" t="n"/>
      <c r="D38" s="80" t="n"/>
      <c r="E38" s="74" t="n"/>
      <c r="F38" s="74" t="n"/>
      <c r="G38" s="118">
        <f>IF($A38="","",20-COUNTBLANK($L38:$AE38))</f>
        <v/>
      </c>
      <c r="H38" s="130">
        <f>IF($A38="","",IFERROR(INDEX($L$4:$AE$4,MATCH("주담당",$L38:$AE38,0)),""))</f>
        <v/>
      </c>
      <c r="I38" s="122">
        <f>IF($A38="","",IF($H38="",$AG38,$H38&amp;IF($AG38="","",", "&amp;$AG38)))</f>
        <v/>
      </c>
      <c r="J38" s="42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4" t="n"/>
      <c r="AB38" s="74" t="n"/>
      <c r="AC38" s="74" t="n"/>
      <c r="AD38" s="74" t="n"/>
      <c r="AE38" s="74" t="n"/>
      <c r="AG38">
        <f>IF($A38="","",MID($BP38,3,255))</f>
        <v/>
      </c>
      <c r="AH38">
        <f>IF($AG38="","",TRIM(MID(SUBSTITUTE($AG38,",",REPT(" ",100)),1,100)))</f>
        <v/>
      </c>
      <c r="AI38">
        <f>IF($AG38="","",TRIM(MID(SUBSTITUTE($AG38,",",REPT(" ",100)),101,100)))</f>
        <v/>
      </c>
      <c r="AJ38">
        <f>IF($AG38="","",TRIM(MID(SUBSTITUTE($AG38,",",REPT(" ",100)),201,100)))</f>
        <v/>
      </c>
      <c r="AK38">
        <f>IF($AG38="","",TRIM(MID(SUBSTITUTE($AG38,",",REPT(" ",100)),301,100)))</f>
        <v/>
      </c>
      <c r="AL38">
        <f>IF($AG38="","",TRIM(MID(SUBSTITUTE($AG38,",",REPT(" ",100)),401,100)))</f>
        <v/>
      </c>
      <c r="AM38">
        <f>IF($AG38="","",TRIM(MID(SUBSTITUTE($AG38,",",REPT(" ",100)),501,100)))</f>
        <v/>
      </c>
      <c r="AN38">
        <f>IF($AG38="","",TRIM(MID(SUBSTITUTE($AG38,",",REPT(" ",100)),601,100)))</f>
        <v/>
      </c>
      <c r="AO38">
        <f>IF($AG38="","",TRIM(MID(SUBSTITUTE($AG38,",",REPT(" ",100)),701,100)))</f>
        <v/>
      </c>
      <c r="AP38">
        <f>IF($AG38="","",TRIM(MID(SUBSTITUTE($AG38,",",REPT(" ",100)),801,100)))</f>
        <v/>
      </c>
      <c r="AQ38">
        <f>IF($AG38="","",TRIM(MID(SUBSTITUTE($AG38,",",REPT(" ",100)),901,100)))</f>
        <v/>
      </c>
      <c r="AR38">
        <f>IF($AG38="","",TRIM(MID(SUBSTITUTE($AG38,",",REPT(" ",100)),1001,100)))</f>
        <v/>
      </c>
      <c r="AS38">
        <f>IF($AG38="","",TRIM(MID(SUBSTITUTE($AG38,",",REPT(" ",100)),1101,100)))</f>
        <v/>
      </c>
      <c r="AT38">
        <f>IF($AG38="","",TRIM(MID(SUBSTITUTE($AG38,",",REPT(" ",100)),1201,100)))</f>
        <v/>
      </c>
      <c r="AU38">
        <f>IF($AG38="","",TRIM(MID(SUBSTITUTE($AG38,",",REPT(" ",100)),1301,100)))</f>
        <v/>
      </c>
      <c r="AV38">
        <f>IF($AG38="","",TRIM(MID(SUBSTITUTE($AG38,",",REPT(" ",100)),1401,100)))</f>
        <v/>
      </c>
      <c r="AW38">
        <f>IF($L38="참여",", "&amp;L$4,"")</f>
        <v/>
      </c>
      <c r="AX38">
        <f>AW38&amp;IF($M38="참여",", "&amp;M$4,"")</f>
        <v/>
      </c>
      <c r="AY38">
        <f>AX38&amp;IF($N38="참여",", "&amp;N$4,"")</f>
        <v/>
      </c>
      <c r="AZ38">
        <f>AY38&amp;IF($O38="참여",", "&amp;O$4,"")</f>
        <v/>
      </c>
      <c r="BA38">
        <f>AZ38&amp;IF($P38="참여",", "&amp;P$4,"")</f>
        <v/>
      </c>
      <c r="BB38">
        <f>BA38&amp;IF($Q38="참여",", "&amp;Q$4,"")</f>
        <v/>
      </c>
      <c r="BC38">
        <f>BB38&amp;IF($R38="참여",", "&amp;R$4,"")</f>
        <v/>
      </c>
      <c r="BD38">
        <f>BC38&amp;IF($S38="참여",", "&amp;S$4,"")</f>
        <v/>
      </c>
      <c r="BE38">
        <f>BD38&amp;IF($T38="참여",", "&amp;T$4,"")</f>
        <v/>
      </c>
      <c r="BF38">
        <f>BE38&amp;IF($U38="참여",", "&amp;U$4,"")</f>
        <v/>
      </c>
      <c r="BG38">
        <f>BF38&amp;IF($V38="참여",", "&amp;V$4,"")</f>
        <v/>
      </c>
      <c r="BH38">
        <f>BG38&amp;IF($W38="참여",", "&amp;W$4,"")</f>
        <v/>
      </c>
      <c r="BI38">
        <f>BH38&amp;IF($X38="참여",", "&amp;X$4,"")</f>
        <v/>
      </c>
      <c r="BJ38">
        <f>BI38&amp;IF($Y38="참여",", "&amp;Y$4,"")</f>
        <v/>
      </c>
      <c r="BK38">
        <f>BJ38&amp;IF($Z38="참여",", "&amp;Z$4,"")</f>
        <v/>
      </c>
      <c r="BL38">
        <f>BK38&amp;IF($AA38="참여",", "&amp;AA$4,"")</f>
        <v/>
      </c>
      <c r="BM38">
        <f>BL38&amp;IF($AB38="참여",", "&amp;AB$4,"")</f>
        <v/>
      </c>
      <c r="BN38">
        <f>BM38&amp;IF($AC38="참여",", "&amp;AC$4,"")</f>
        <v/>
      </c>
      <c r="BO38">
        <f>BN38&amp;IF($AD38="참여",", "&amp;AD$4,"")</f>
        <v/>
      </c>
      <c r="BP38">
        <f>BO38&amp;IF($AE38="참여",", "&amp;AE$4,"")</f>
        <v/>
      </c>
    </row>
    <row r="39">
      <c r="A39" s="74" t="n"/>
      <c r="B39" s="42" t="n"/>
      <c r="C39" s="74" t="n"/>
      <c r="D39" s="80" t="n"/>
      <c r="E39" s="74" t="n"/>
      <c r="F39" s="74" t="n"/>
      <c r="G39" s="118">
        <f>IF($A39="","",20-COUNTBLANK($L39:$AE39))</f>
        <v/>
      </c>
      <c r="H39" s="130">
        <f>IF($A39="","",IFERROR(INDEX($L$4:$AE$4,MATCH("주담당",$L39:$AE39,0)),""))</f>
        <v/>
      </c>
      <c r="I39" s="122">
        <f>IF($A39="","",IF($H39="",$AG39,$H39&amp;IF($AG39="","",", "&amp;$AG39)))</f>
        <v/>
      </c>
      <c r="J39" s="42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  <c r="AB39" s="74" t="n"/>
      <c r="AC39" s="74" t="n"/>
      <c r="AD39" s="74" t="n"/>
      <c r="AE39" s="74" t="n"/>
      <c r="AG39">
        <f>IF($A39="","",MID($BP39,3,255))</f>
        <v/>
      </c>
      <c r="AH39">
        <f>IF($AG39="","",TRIM(MID(SUBSTITUTE($AG39,",",REPT(" ",100)),1,100)))</f>
        <v/>
      </c>
      <c r="AI39">
        <f>IF($AG39="","",TRIM(MID(SUBSTITUTE($AG39,",",REPT(" ",100)),101,100)))</f>
        <v/>
      </c>
      <c r="AJ39">
        <f>IF($AG39="","",TRIM(MID(SUBSTITUTE($AG39,",",REPT(" ",100)),201,100)))</f>
        <v/>
      </c>
      <c r="AK39">
        <f>IF($AG39="","",TRIM(MID(SUBSTITUTE($AG39,",",REPT(" ",100)),301,100)))</f>
        <v/>
      </c>
      <c r="AL39">
        <f>IF($AG39="","",TRIM(MID(SUBSTITUTE($AG39,",",REPT(" ",100)),401,100)))</f>
        <v/>
      </c>
      <c r="AM39">
        <f>IF($AG39="","",TRIM(MID(SUBSTITUTE($AG39,",",REPT(" ",100)),501,100)))</f>
        <v/>
      </c>
      <c r="AN39">
        <f>IF($AG39="","",TRIM(MID(SUBSTITUTE($AG39,",",REPT(" ",100)),601,100)))</f>
        <v/>
      </c>
      <c r="AO39">
        <f>IF($AG39="","",TRIM(MID(SUBSTITUTE($AG39,",",REPT(" ",100)),701,100)))</f>
        <v/>
      </c>
      <c r="AP39">
        <f>IF($AG39="","",TRIM(MID(SUBSTITUTE($AG39,",",REPT(" ",100)),801,100)))</f>
        <v/>
      </c>
      <c r="AQ39">
        <f>IF($AG39="","",TRIM(MID(SUBSTITUTE($AG39,",",REPT(" ",100)),901,100)))</f>
        <v/>
      </c>
      <c r="AR39">
        <f>IF($AG39="","",TRIM(MID(SUBSTITUTE($AG39,",",REPT(" ",100)),1001,100)))</f>
        <v/>
      </c>
      <c r="AS39">
        <f>IF($AG39="","",TRIM(MID(SUBSTITUTE($AG39,",",REPT(" ",100)),1101,100)))</f>
        <v/>
      </c>
      <c r="AT39">
        <f>IF($AG39="","",TRIM(MID(SUBSTITUTE($AG39,",",REPT(" ",100)),1201,100)))</f>
        <v/>
      </c>
      <c r="AU39">
        <f>IF($AG39="","",TRIM(MID(SUBSTITUTE($AG39,",",REPT(" ",100)),1301,100)))</f>
        <v/>
      </c>
      <c r="AV39">
        <f>IF($AG39="","",TRIM(MID(SUBSTITUTE($AG39,",",REPT(" ",100)),1401,100)))</f>
        <v/>
      </c>
      <c r="AW39">
        <f>IF($L39="참여",", "&amp;L$4,"")</f>
        <v/>
      </c>
      <c r="AX39">
        <f>AW39&amp;IF($M39="참여",", "&amp;M$4,"")</f>
        <v/>
      </c>
      <c r="AY39">
        <f>AX39&amp;IF($N39="참여",", "&amp;N$4,"")</f>
        <v/>
      </c>
      <c r="AZ39">
        <f>AY39&amp;IF($O39="참여",", "&amp;O$4,"")</f>
        <v/>
      </c>
      <c r="BA39">
        <f>AZ39&amp;IF($P39="참여",", "&amp;P$4,"")</f>
        <v/>
      </c>
      <c r="BB39">
        <f>BA39&amp;IF($Q39="참여",", "&amp;Q$4,"")</f>
        <v/>
      </c>
      <c r="BC39">
        <f>BB39&amp;IF($R39="참여",", "&amp;R$4,"")</f>
        <v/>
      </c>
      <c r="BD39">
        <f>BC39&amp;IF($S39="참여",", "&amp;S$4,"")</f>
        <v/>
      </c>
      <c r="BE39">
        <f>BD39&amp;IF($T39="참여",", "&amp;T$4,"")</f>
        <v/>
      </c>
      <c r="BF39">
        <f>BE39&amp;IF($U39="참여",", "&amp;U$4,"")</f>
        <v/>
      </c>
      <c r="BG39">
        <f>BF39&amp;IF($V39="참여",", "&amp;V$4,"")</f>
        <v/>
      </c>
      <c r="BH39">
        <f>BG39&amp;IF($W39="참여",", "&amp;W$4,"")</f>
        <v/>
      </c>
      <c r="BI39">
        <f>BH39&amp;IF($X39="참여",", "&amp;X$4,"")</f>
        <v/>
      </c>
      <c r="BJ39">
        <f>BI39&amp;IF($Y39="참여",", "&amp;Y$4,"")</f>
        <v/>
      </c>
      <c r="BK39">
        <f>BJ39&amp;IF($Z39="참여",", "&amp;Z$4,"")</f>
        <v/>
      </c>
      <c r="BL39">
        <f>BK39&amp;IF($AA39="참여",", "&amp;AA$4,"")</f>
        <v/>
      </c>
      <c r="BM39">
        <f>BL39&amp;IF($AB39="참여",", "&amp;AB$4,"")</f>
        <v/>
      </c>
      <c r="BN39">
        <f>BM39&amp;IF($AC39="참여",", "&amp;AC$4,"")</f>
        <v/>
      </c>
      <c r="BO39">
        <f>BN39&amp;IF($AD39="참여",", "&amp;AD$4,"")</f>
        <v/>
      </c>
      <c r="BP39">
        <f>BO39&amp;IF($AE39="참여",", "&amp;AE$4,"")</f>
        <v/>
      </c>
    </row>
    <row r="40">
      <c r="A40" s="74" t="n"/>
      <c r="B40" s="42" t="n"/>
      <c r="C40" s="74" t="n"/>
      <c r="D40" s="80" t="n"/>
      <c r="E40" s="74" t="n"/>
      <c r="F40" s="74" t="n"/>
      <c r="G40" s="118">
        <f>IF($A40="","",20-COUNTBLANK($L40:$AE40))</f>
        <v/>
      </c>
      <c r="H40" s="130">
        <f>IF($A40="","",IFERROR(INDEX($L$4:$AE$4,MATCH("주담당",$L40:$AE40,0)),""))</f>
        <v/>
      </c>
      <c r="I40" s="122">
        <f>IF($A40="","",IF($H40="",$AG40,$H40&amp;IF($AG40="","",", "&amp;$AG40)))</f>
        <v/>
      </c>
      <c r="J40" s="42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4" t="n"/>
      <c r="AB40" s="74" t="n"/>
      <c r="AC40" s="74" t="n"/>
      <c r="AD40" s="74" t="n"/>
      <c r="AE40" s="74" t="n"/>
      <c r="AG40">
        <f>IF($A40="","",MID($BP40,3,255))</f>
        <v/>
      </c>
      <c r="AH40">
        <f>IF($AG40="","",TRIM(MID(SUBSTITUTE($AG40,",",REPT(" ",100)),1,100)))</f>
        <v/>
      </c>
      <c r="AI40">
        <f>IF($AG40="","",TRIM(MID(SUBSTITUTE($AG40,",",REPT(" ",100)),101,100)))</f>
        <v/>
      </c>
      <c r="AJ40">
        <f>IF($AG40="","",TRIM(MID(SUBSTITUTE($AG40,",",REPT(" ",100)),201,100)))</f>
        <v/>
      </c>
      <c r="AK40">
        <f>IF($AG40="","",TRIM(MID(SUBSTITUTE($AG40,",",REPT(" ",100)),301,100)))</f>
        <v/>
      </c>
      <c r="AL40">
        <f>IF($AG40="","",TRIM(MID(SUBSTITUTE($AG40,",",REPT(" ",100)),401,100)))</f>
        <v/>
      </c>
      <c r="AM40">
        <f>IF($AG40="","",TRIM(MID(SUBSTITUTE($AG40,",",REPT(" ",100)),501,100)))</f>
        <v/>
      </c>
      <c r="AN40">
        <f>IF($AG40="","",TRIM(MID(SUBSTITUTE($AG40,",",REPT(" ",100)),601,100)))</f>
        <v/>
      </c>
      <c r="AO40">
        <f>IF($AG40="","",TRIM(MID(SUBSTITUTE($AG40,",",REPT(" ",100)),701,100)))</f>
        <v/>
      </c>
      <c r="AP40">
        <f>IF($AG40="","",TRIM(MID(SUBSTITUTE($AG40,",",REPT(" ",100)),801,100)))</f>
        <v/>
      </c>
      <c r="AQ40">
        <f>IF($AG40="","",TRIM(MID(SUBSTITUTE($AG40,",",REPT(" ",100)),901,100)))</f>
        <v/>
      </c>
      <c r="AR40">
        <f>IF($AG40="","",TRIM(MID(SUBSTITUTE($AG40,",",REPT(" ",100)),1001,100)))</f>
        <v/>
      </c>
      <c r="AS40">
        <f>IF($AG40="","",TRIM(MID(SUBSTITUTE($AG40,",",REPT(" ",100)),1101,100)))</f>
        <v/>
      </c>
      <c r="AT40">
        <f>IF($AG40="","",TRIM(MID(SUBSTITUTE($AG40,",",REPT(" ",100)),1201,100)))</f>
        <v/>
      </c>
      <c r="AU40">
        <f>IF($AG40="","",TRIM(MID(SUBSTITUTE($AG40,",",REPT(" ",100)),1301,100)))</f>
        <v/>
      </c>
      <c r="AV40">
        <f>IF($AG40="","",TRIM(MID(SUBSTITUTE($AG40,",",REPT(" ",100)),1401,100)))</f>
        <v/>
      </c>
      <c r="AW40">
        <f>IF($L40="참여",", "&amp;L$4,"")</f>
        <v/>
      </c>
      <c r="AX40">
        <f>AW40&amp;IF($M40="참여",", "&amp;M$4,"")</f>
        <v/>
      </c>
      <c r="AY40">
        <f>AX40&amp;IF($N40="참여",", "&amp;N$4,"")</f>
        <v/>
      </c>
      <c r="AZ40">
        <f>AY40&amp;IF($O40="참여",", "&amp;O$4,"")</f>
        <v/>
      </c>
      <c r="BA40">
        <f>AZ40&amp;IF($P40="참여",", "&amp;P$4,"")</f>
        <v/>
      </c>
      <c r="BB40">
        <f>BA40&amp;IF($Q40="참여",", "&amp;Q$4,"")</f>
        <v/>
      </c>
      <c r="BC40">
        <f>BB40&amp;IF($R40="참여",", "&amp;R$4,"")</f>
        <v/>
      </c>
      <c r="BD40">
        <f>BC40&amp;IF($S40="참여",", "&amp;S$4,"")</f>
        <v/>
      </c>
      <c r="BE40">
        <f>BD40&amp;IF($T40="참여",", "&amp;T$4,"")</f>
        <v/>
      </c>
      <c r="BF40">
        <f>BE40&amp;IF($U40="참여",", "&amp;U$4,"")</f>
        <v/>
      </c>
      <c r="BG40">
        <f>BF40&amp;IF($V40="참여",", "&amp;V$4,"")</f>
        <v/>
      </c>
      <c r="BH40">
        <f>BG40&amp;IF($W40="참여",", "&amp;W$4,"")</f>
        <v/>
      </c>
      <c r="BI40">
        <f>BH40&amp;IF($X40="참여",", "&amp;X$4,"")</f>
        <v/>
      </c>
      <c r="BJ40">
        <f>BI40&amp;IF($Y40="참여",", "&amp;Y$4,"")</f>
        <v/>
      </c>
      <c r="BK40">
        <f>BJ40&amp;IF($Z40="참여",", "&amp;Z$4,"")</f>
        <v/>
      </c>
      <c r="BL40">
        <f>BK40&amp;IF($AA40="참여",", "&amp;AA$4,"")</f>
        <v/>
      </c>
      <c r="BM40">
        <f>BL40&amp;IF($AB40="참여",", "&amp;AB$4,"")</f>
        <v/>
      </c>
      <c r="BN40">
        <f>BM40&amp;IF($AC40="참여",", "&amp;AC$4,"")</f>
        <v/>
      </c>
      <c r="BO40">
        <f>BN40&amp;IF($AD40="참여",", "&amp;AD$4,"")</f>
        <v/>
      </c>
      <c r="BP40">
        <f>BO40&amp;IF($AE40="참여",", "&amp;AE$4,"")</f>
        <v/>
      </c>
    </row>
    <row r="41">
      <c r="A41" s="74" t="n"/>
      <c r="B41" s="42" t="n"/>
      <c r="C41" s="74" t="n"/>
      <c r="D41" s="80" t="n"/>
      <c r="E41" s="74" t="n"/>
      <c r="F41" s="74" t="n"/>
      <c r="G41" s="118">
        <f>IF($A41="","",20-COUNTBLANK($L41:$AE41))</f>
        <v/>
      </c>
      <c r="H41" s="130">
        <f>IF($A41="","",IFERROR(INDEX($L$4:$AE$4,MATCH("주담당",$L41:$AE41,0)),""))</f>
        <v/>
      </c>
      <c r="I41" s="122">
        <f>IF($A41="","",IF($H41="",$AG41,$H41&amp;IF($AG41="","",", "&amp;$AG41)))</f>
        <v/>
      </c>
      <c r="J41" s="42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  <c r="AA41" s="74" t="n"/>
      <c r="AB41" s="74" t="n"/>
      <c r="AC41" s="74" t="n"/>
      <c r="AD41" s="74" t="n"/>
      <c r="AE41" s="74" t="n"/>
      <c r="AG41">
        <f>IF($A41="","",MID($BP41,3,255))</f>
        <v/>
      </c>
      <c r="AH41">
        <f>IF($AG41="","",TRIM(MID(SUBSTITUTE($AG41,",",REPT(" ",100)),1,100)))</f>
        <v/>
      </c>
      <c r="AI41">
        <f>IF($AG41="","",TRIM(MID(SUBSTITUTE($AG41,",",REPT(" ",100)),101,100)))</f>
        <v/>
      </c>
      <c r="AJ41">
        <f>IF($AG41="","",TRIM(MID(SUBSTITUTE($AG41,",",REPT(" ",100)),201,100)))</f>
        <v/>
      </c>
      <c r="AK41">
        <f>IF($AG41="","",TRIM(MID(SUBSTITUTE($AG41,",",REPT(" ",100)),301,100)))</f>
        <v/>
      </c>
      <c r="AL41">
        <f>IF($AG41="","",TRIM(MID(SUBSTITUTE($AG41,",",REPT(" ",100)),401,100)))</f>
        <v/>
      </c>
      <c r="AM41">
        <f>IF($AG41="","",TRIM(MID(SUBSTITUTE($AG41,",",REPT(" ",100)),501,100)))</f>
        <v/>
      </c>
      <c r="AN41">
        <f>IF($AG41="","",TRIM(MID(SUBSTITUTE($AG41,",",REPT(" ",100)),601,100)))</f>
        <v/>
      </c>
      <c r="AO41">
        <f>IF($AG41="","",TRIM(MID(SUBSTITUTE($AG41,",",REPT(" ",100)),701,100)))</f>
        <v/>
      </c>
      <c r="AP41">
        <f>IF($AG41="","",TRIM(MID(SUBSTITUTE($AG41,",",REPT(" ",100)),801,100)))</f>
        <v/>
      </c>
      <c r="AQ41">
        <f>IF($AG41="","",TRIM(MID(SUBSTITUTE($AG41,",",REPT(" ",100)),901,100)))</f>
        <v/>
      </c>
      <c r="AR41">
        <f>IF($AG41="","",TRIM(MID(SUBSTITUTE($AG41,",",REPT(" ",100)),1001,100)))</f>
        <v/>
      </c>
      <c r="AS41">
        <f>IF($AG41="","",TRIM(MID(SUBSTITUTE($AG41,",",REPT(" ",100)),1101,100)))</f>
        <v/>
      </c>
      <c r="AT41">
        <f>IF($AG41="","",TRIM(MID(SUBSTITUTE($AG41,",",REPT(" ",100)),1201,100)))</f>
        <v/>
      </c>
      <c r="AU41">
        <f>IF($AG41="","",TRIM(MID(SUBSTITUTE($AG41,",",REPT(" ",100)),1301,100)))</f>
        <v/>
      </c>
      <c r="AV41">
        <f>IF($AG41="","",TRIM(MID(SUBSTITUTE($AG41,",",REPT(" ",100)),1401,100)))</f>
        <v/>
      </c>
      <c r="AW41">
        <f>IF($L41="참여",", "&amp;L$4,"")</f>
        <v/>
      </c>
      <c r="AX41">
        <f>AW41&amp;IF($M41="참여",", "&amp;M$4,"")</f>
        <v/>
      </c>
      <c r="AY41">
        <f>AX41&amp;IF($N41="참여",", "&amp;N$4,"")</f>
        <v/>
      </c>
      <c r="AZ41">
        <f>AY41&amp;IF($O41="참여",", "&amp;O$4,"")</f>
        <v/>
      </c>
      <c r="BA41">
        <f>AZ41&amp;IF($P41="참여",", "&amp;P$4,"")</f>
        <v/>
      </c>
      <c r="BB41">
        <f>BA41&amp;IF($Q41="참여",", "&amp;Q$4,"")</f>
        <v/>
      </c>
      <c r="BC41">
        <f>BB41&amp;IF($R41="참여",", "&amp;R$4,"")</f>
        <v/>
      </c>
      <c r="BD41">
        <f>BC41&amp;IF($S41="참여",", "&amp;S$4,"")</f>
        <v/>
      </c>
      <c r="BE41">
        <f>BD41&amp;IF($T41="참여",", "&amp;T$4,"")</f>
        <v/>
      </c>
      <c r="BF41">
        <f>BE41&amp;IF($U41="참여",", "&amp;U$4,"")</f>
        <v/>
      </c>
      <c r="BG41">
        <f>BF41&amp;IF($V41="참여",", "&amp;V$4,"")</f>
        <v/>
      </c>
      <c r="BH41">
        <f>BG41&amp;IF($W41="참여",", "&amp;W$4,"")</f>
        <v/>
      </c>
      <c r="BI41">
        <f>BH41&amp;IF($X41="참여",", "&amp;X$4,"")</f>
        <v/>
      </c>
      <c r="BJ41">
        <f>BI41&amp;IF($Y41="참여",", "&amp;Y$4,"")</f>
        <v/>
      </c>
      <c r="BK41">
        <f>BJ41&amp;IF($Z41="참여",", "&amp;Z$4,"")</f>
        <v/>
      </c>
      <c r="BL41">
        <f>BK41&amp;IF($AA41="참여",", "&amp;AA$4,"")</f>
        <v/>
      </c>
      <c r="BM41">
        <f>BL41&amp;IF($AB41="참여",", "&amp;AB$4,"")</f>
        <v/>
      </c>
      <c r="BN41">
        <f>BM41&amp;IF($AC41="참여",", "&amp;AC$4,"")</f>
        <v/>
      </c>
      <c r="BO41">
        <f>BN41&amp;IF($AD41="참여",", "&amp;AD$4,"")</f>
        <v/>
      </c>
      <c r="BP41">
        <f>BO41&amp;IF($AE41="참여",", "&amp;AE$4,"")</f>
        <v/>
      </c>
    </row>
    <row r="42">
      <c r="A42" s="74" t="n"/>
      <c r="B42" s="42" t="n"/>
      <c r="C42" s="74" t="n"/>
      <c r="D42" s="80" t="n"/>
      <c r="E42" s="74" t="n"/>
      <c r="F42" s="74" t="n"/>
      <c r="G42" s="118">
        <f>IF($A42="","",20-COUNTBLANK($L42:$AE42))</f>
        <v/>
      </c>
      <c r="H42" s="130">
        <f>IF($A42="","",IFERROR(INDEX($L$4:$AE$4,MATCH("주담당",$L42:$AE42,0)),""))</f>
        <v/>
      </c>
      <c r="I42" s="122">
        <f>IF($A42="","",IF($H42="",$AG42,$H42&amp;IF($AG42="","",", "&amp;$AG42)))</f>
        <v/>
      </c>
      <c r="J42" s="42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  <c r="AA42" s="74" t="n"/>
      <c r="AB42" s="74" t="n"/>
      <c r="AC42" s="74" t="n"/>
      <c r="AD42" s="74" t="n"/>
      <c r="AE42" s="74" t="n"/>
      <c r="AG42">
        <f>IF($A42="","",MID($BP42,3,255))</f>
        <v/>
      </c>
      <c r="AH42">
        <f>IF($AG42="","",TRIM(MID(SUBSTITUTE($AG42,",",REPT(" ",100)),1,100)))</f>
        <v/>
      </c>
      <c r="AI42">
        <f>IF($AG42="","",TRIM(MID(SUBSTITUTE($AG42,",",REPT(" ",100)),101,100)))</f>
        <v/>
      </c>
      <c r="AJ42">
        <f>IF($AG42="","",TRIM(MID(SUBSTITUTE($AG42,",",REPT(" ",100)),201,100)))</f>
        <v/>
      </c>
      <c r="AK42">
        <f>IF($AG42="","",TRIM(MID(SUBSTITUTE($AG42,",",REPT(" ",100)),301,100)))</f>
        <v/>
      </c>
      <c r="AL42">
        <f>IF($AG42="","",TRIM(MID(SUBSTITUTE($AG42,",",REPT(" ",100)),401,100)))</f>
        <v/>
      </c>
      <c r="AM42">
        <f>IF($AG42="","",TRIM(MID(SUBSTITUTE($AG42,",",REPT(" ",100)),501,100)))</f>
        <v/>
      </c>
      <c r="AN42">
        <f>IF($AG42="","",TRIM(MID(SUBSTITUTE($AG42,",",REPT(" ",100)),601,100)))</f>
        <v/>
      </c>
      <c r="AO42">
        <f>IF($AG42="","",TRIM(MID(SUBSTITUTE($AG42,",",REPT(" ",100)),701,100)))</f>
        <v/>
      </c>
      <c r="AP42">
        <f>IF($AG42="","",TRIM(MID(SUBSTITUTE($AG42,",",REPT(" ",100)),801,100)))</f>
        <v/>
      </c>
      <c r="AQ42">
        <f>IF($AG42="","",TRIM(MID(SUBSTITUTE($AG42,",",REPT(" ",100)),901,100)))</f>
        <v/>
      </c>
      <c r="AR42">
        <f>IF($AG42="","",TRIM(MID(SUBSTITUTE($AG42,",",REPT(" ",100)),1001,100)))</f>
        <v/>
      </c>
      <c r="AS42">
        <f>IF($AG42="","",TRIM(MID(SUBSTITUTE($AG42,",",REPT(" ",100)),1101,100)))</f>
        <v/>
      </c>
      <c r="AT42">
        <f>IF($AG42="","",TRIM(MID(SUBSTITUTE($AG42,",",REPT(" ",100)),1201,100)))</f>
        <v/>
      </c>
      <c r="AU42">
        <f>IF($AG42="","",TRIM(MID(SUBSTITUTE($AG42,",",REPT(" ",100)),1301,100)))</f>
        <v/>
      </c>
      <c r="AV42">
        <f>IF($AG42="","",TRIM(MID(SUBSTITUTE($AG42,",",REPT(" ",100)),1401,100)))</f>
        <v/>
      </c>
      <c r="AW42">
        <f>IF($L42="참여",", "&amp;L$4,"")</f>
        <v/>
      </c>
      <c r="AX42">
        <f>AW42&amp;IF($M42="참여",", "&amp;M$4,"")</f>
        <v/>
      </c>
      <c r="AY42">
        <f>AX42&amp;IF($N42="참여",", "&amp;N$4,"")</f>
        <v/>
      </c>
      <c r="AZ42">
        <f>AY42&amp;IF($O42="참여",", "&amp;O$4,"")</f>
        <v/>
      </c>
      <c r="BA42">
        <f>AZ42&amp;IF($P42="참여",", "&amp;P$4,"")</f>
        <v/>
      </c>
      <c r="BB42">
        <f>BA42&amp;IF($Q42="참여",", "&amp;Q$4,"")</f>
        <v/>
      </c>
      <c r="BC42">
        <f>BB42&amp;IF($R42="참여",", "&amp;R$4,"")</f>
        <v/>
      </c>
      <c r="BD42">
        <f>BC42&amp;IF($S42="참여",", "&amp;S$4,"")</f>
        <v/>
      </c>
      <c r="BE42">
        <f>BD42&amp;IF($T42="참여",", "&amp;T$4,"")</f>
        <v/>
      </c>
      <c r="BF42">
        <f>BE42&amp;IF($U42="참여",", "&amp;U$4,"")</f>
        <v/>
      </c>
      <c r="BG42">
        <f>BF42&amp;IF($V42="참여",", "&amp;V$4,"")</f>
        <v/>
      </c>
      <c r="BH42">
        <f>BG42&amp;IF($W42="참여",", "&amp;W$4,"")</f>
        <v/>
      </c>
      <c r="BI42">
        <f>BH42&amp;IF($X42="참여",", "&amp;X$4,"")</f>
        <v/>
      </c>
      <c r="BJ42">
        <f>BI42&amp;IF($Y42="참여",", "&amp;Y$4,"")</f>
        <v/>
      </c>
      <c r="BK42">
        <f>BJ42&amp;IF($Z42="참여",", "&amp;Z$4,"")</f>
        <v/>
      </c>
      <c r="BL42">
        <f>BK42&amp;IF($AA42="참여",", "&amp;AA$4,"")</f>
        <v/>
      </c>
      <c r="BM42">
        <f>BL42&amp;IF($AB42="참여",", "&amp;AB$4,"")</f>
        <v/>
      </c>
      <c r="BN42">
        <f>BM42&amp;IF($AC42="참여",", "&amp;AC$4,"")</f>
        <v/>
      </c>
      <c r="BO42">
        <f>BN42&amp;IF($AD42="참여",", "&amp;AD$4,"")</f>
        <v/>
      </c>
      <c r="BP42">
        <f>BO42&amp;IF($AE42="참여",", "&amp;AE$4,"")</f>
        <v/>
      </c>
    </row>
    <row r="43">
      <c r="A43" s="74" t="n"/>
      <c r="B43" s="42" t="n"/>
      <c r="C43" s="74" t="n"/>
      <c r="D43" s="80" t="n"/>
      <c r="E43" s="74" t="n"/>
      <c r="F43" s="74" t="n"/>
      <c r="G43" s="118">
        <f>IF($A43="","",20-COUNTBLANK($L43:$AE43))</f>
        <v/>
      </c>
      <c r="H43" s="130">
        <f>IF($A43="","",IFERROR(INDEX($L$4:$AE$4,MATCH("주담당",$L43:$AE43,0)),""))</f>
        <v/>
      </c>
      <c r="I43" s="122">
        <f>IF($A43="","",IF($H43="",$AG43,$H43&amp;IF($AG43="","",", "&amp;$AG43)))</f>
        <v/>
      </c>
      <c r="J43" s="42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  <c r="AA43" s="74" t="n"/>
      <c r="AB43" s="74" t="n"/>
      <c r="AC43" s="74" t="n"/>
      <c r="AD43" s="74" t="n"/>
      <c r="AE43" s="74" t="n"/>
      <c r="AG43">
        <f>IF($A43="","",MID($BP43,3,255))</f>
        <v/>
      </c>
      <c r="AH43">
        <f>IF($AG43="","",TRIM(MID(SUBSTITUTE($AG43,",",REPT(" ",100)),1,100)))</f>
        <v/>
      </c>
      <c r="AI43">
        <f>IF($AG43="","",TRIM(MID(SUBSTITUTE($AG43,",",REPT(" ",100)),101,100)))</f>
        <v/>
      </c>
      <c r="AJ43">
        <f>IF($AG43="","",TRIM(MID(SUBSTITUTE($AG43,",",REPT(" ",100)),201,100)))</f>
        <v/>
      </c>
      <c r="AK43">
        <f>IF($AG43="","",TRIM(MID(SUBSTITUTE($AG43,",",REPT(" ",100)),301,100)))</f>
        <v/>
      </c>
      <c r="AL43">
        <f>IF($AG43="","",TRIM(MID(SUBSTITUTE($AG43,",",REPT(" ",100)),401,100)))</f>
        <v/>
      </c>
      <c r="AM43">
        <f>IF($AG43="","",TRIM(MID(SUBSTITUTE($AG43,",",REPT(" ",100)),501,100)))</f>
        <v/>
      </c>
      <c r="AN43">
        <f>IF($AG43="","",TRIM(MID(SUBSTITUTE($AG43,",",REPT(" ",100)),601,100)))</f>
        <v/>
      </c>
      <c r="AO43">
        <f>IF($AG43="","",TRIM(MID(SUBSTITUTE($AG43,",",REPT(" ",100)),701,100)))</f>
        <v/>
      </c>
      <c r="AP43">
        <f>IF($AG43="","",TRIM(MID(SUBSTITUTE($AG43,",",REPT(" ",100)),801,100)))</f>
        <v/>
      </c>
      <c r="AQ43">
        <f>IF($AG43="","",TRIM(MID(SUBSTITUTE($AG43,",",REPT(" ",100)),901,100)))</f>
        <v/>
      </c>
      <c r="AR43">
        <f>IF($AG43="","",TRIM(MID(SUBSTITUTE($AG43,",",REPT(" ",100)),1001,100)))</f>
        <v/>
      </c>
      <c r="AS43">
        <f>IF($AG43="","",TRIM(MID(SUBSTITUTE($AG43,",",REPT(" ",100)),1101,100)))</f>
        <v/>
      </c>
      <c r="AT43">
        <f>IF($AG43="","",TRIM(MID(SUBSTITUTE($AG43,",",REPT(" ",100)),1201,100)))</f>
        <v/>
      </c>
      <c r="AU43">
        <f>IF($AG43="","",TRIM(MID(SUBSTITUTE($AG43,",",REPT(" ",100)),1301,100)))</f>
        <v/>
      </c>
      <c r="AV43">
        <f>IF($AG43="","",TRIM(MID(SUBSTITUTE($AG43,",",REPT(" ",100)),1401,100)))</f>
        <v/>
      </c>
      <c r="AW43">
        <f>IF($L43="참여",", "&amp;L$4,"")</f>
        <v/>
      </c>
      <c r="AX43">
        <f>AW43&amp;IF($M43="참여",", "&amp;M$4,"")</f>
        <v/>
      </c>
      <c r="AY43">
        <f>AX43&amp;IF($N43="참여",", "&amp;N$4,"")</f>
        <v/>
      </c>
      <c r="AZ43">
        <f>AY43&amp;IF($O43="참여",", "&amp;O$4,"")</f>
        <v/>
      </c>
      <c r="BA43">
        <f>AZ43&amp;IF($P43="참여",", "&amp;P$4,"")</f>
        <v/>
      </c>
      <c r="BB43">
        <f>BA43&amp;IF($Q43="참여",", "&amp;Q$4,"")</f>
        <v/>
      </c>
      <c r="BC43">
        <f>BB43&amp;IF($R43="참여",", "&amp;R$4,"")</f>
        <v/>
      </c>
      <c r="BD43">
        <f>BC43&amp;IF($S43="참여",", "&amp;S$4,"")</f>
        <v/>
      </c>
      <c r="BE43">
        <f>BD43&amp;IF($T43="참여",", "&amp;T$4,"")</f>
        <v/>
      </c>
      <c r="BF43">
        <f>BE43&amp;IF($U43="참여",", "&amp;U$4,"")</f>
        <v/>
      </c>
      <c r="BG43">
        <f>BF43&amp;IF($V43="참여",", "&amp;V$4,"")</f>
        <v/>
      </c>
      <c r="BH43">
        <f>BG43&amp;IF($W43="참여",", "&amp;W$4,"")</f>
        <v/>
      </c>
      <c r="BI43">
        <f>BH43&amp;IF($X43="참여",", "&amp;X$4,"")</f>
        <v/>
      </c>
      <c r="BJ43">
        <f>BI43&amp;IF($Y43="참여",", "&amp;Y$4,"")</f>
        <v/>
      </c>
      <c r="BK43">
        <f>BJ43&amp;IF($Z43="참여",", "&amp;Z$4,"")</f>
        <v/>
      </c>
      <c r="BL43">
        <f>BK43&amp;IF($AA43="참여",", "&amp;AA$4,"")</f>
        <v/>
      </c>
      <c r="BM43">
        <f>BL43&amp;IF($AB43="참여",", "&amp;AB$4,"")</f>
        <v/>
      </c>
      <c r="BN43">
        <f>BM43&amp;IF($AC43="참여",", "&amp;AC$4,"")</f>
        <v/>
      </c>
      <c r="BO43">
        <f>BN43&amp;IF($AD43="참여",", "&amp;AD$4,"")</f>
        <v/>
      </c>
      <c r="BP43">
        <f>BO43&amp;IF($AE43="참여",", "&amp;AE$4,"")</f>
        <v/>
      </c>
    </row>
    <row r="44">
      <c r="A44" s="74" t="n"/>
      <c r="B44" s="42" t="n"/>
      <c r="C44" s="74" t="n"/>
      <c r="D44" s="80" t="n"/>
      <c r="E44" s="74" t="n"/>
      <c r="F44" s="74" t="n"/>
      <c r="G44" s="118">
        <f>IF($A44="","",20-COUNTBLANK($L44:$AE44))</f>
        <v/>
      </c>
      <c r="H44" s="130">
        <f>IF($A44="","",IFERROR(INDEX($L$4:$AE$4,MATCH("주담당",$L44:$AE44,0)),""))</f>
        <v/>
      </c>
      <c r="I44" s="122">
        <f>IF($A44="","",IF($H44="",$AG44,$H44&amp;IF($AG44="","",", "&amp;$AG44)))</f>
        <v/>
      </c>
      <c r="J44" s="42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  <c r="AB44" s="74" t="n"/>
      <c r="AC44" s="74" t="n"/>
      <c r="AD44" s="74" t="n"/>
      <c r="AE44" s="74" t="n"/>
      <c r="AG44">
        <f>IF($A44="","",MID($BP44,3,255))</f>
        <v/>
      </c>
      <c r="AH44">
        <f>IF($AG44="","",TRIM(MID(SUBSTITUTE($AG44,",",REPT(" ",100)),1,100)))</f>
        <v/>
      </c>
      <c r="AI44">
        <f>IF($AG44="","",TRIM(MID(SUBSTITUTE($AG44,",",REPT(" ",100)),101,100)))</f>
        <v/>
      </c>
      <c r="AJ44">
        <f>IF($AG44="","",TRIM(MID(SUBSTITUTE($AG44,",",REPT(" ",100)),201,100)))</f>
        <v/>
      </c>
      <c r="AK44">
        <f>IF($AG44="","",TRIM(MID(SUBSTITUTE($AG44,",",REPT(" ",100)),301,100)))</f>
        <v/>
      </c>
      <c r="AL44">
        <f>IF($AG44="","",TRIM(MID(SUBSTITUTE($AG44,",",REPT(" ",100)),401,100)))</f>
        <v/>
      </c>
      <c r="AM44">
        <f>IF($AG44="","",TRIM(MID(SUBSTITUTE($AG44,",",REPT(" ",100)),501,100)))</f>
        <v/>
      </c>
      <c r="AN44">
        <f>IF($AG44="","",TRIM(MID(SUBSTITUTE($AG44,",",REPT(" ",100)),601,100)))</f>
        <v/>
      </c>
      <c r="AO44">
        <f>IF($AG44="","",TRIM(MID(SUBSTITUTE($AG44,",",REPT(" ",100)),701,100)))</f>
        <v/>
      </c>
      <c r="AP44">
        <f>IF($AG44="","",TRIM(MID(SUBSTITUTE($AG44,",",REPT(" ",100)),801,100)))</f>
        <v/>
      </c>
      <c r="AQ44">
        <f>IF($AG44="","",TRIM(MID(SUBSTITUTE($AG44,",",REPT(" ",100)),901,100)))</f>
        <v/>
      </c>
      <c r="AR44">
        <f>IF($AG44="","",TRIM(MID(SUBSTITUTE($AG44,",",REPT(" ",100)),1001,100)))</f>
        <v/>
      </c>
      <c r="AS44">
        <f>IF($AG44="","",TRIM(MID(SUBSTITUTE($AG44,",",REPT(" ",100)),1101,100)))</f>
        <v/>
      </c>
      <c r="AT44">
        <f>IF($AG44="","",TRIM(MID(SUBSTITUTE($AG44,",",REPT(" ",100)),1201,100)))</f>
        <v/>
      </c>
      <c r="AU44">
        <f>IF($AG44="","",TRIM(MID(SUBSTITUTE($AG44,",",REPT(" ",100)),1301,100)))</f>
        <v/>
      </c>
      <c r="AV44">
        <f>IF($AG44="","",TRIM(MID(SUBSTITUTE($AG44,",",REPT(" ",100)),1401,100)))</f>
        <v/>
      </c>
      <c r="AW44">
        <f>IF($L44="참여",", "&amp;L$4,"")</f>
        <v/>
      </c>
      <c r="AX44">
        <f>AW44&amp;IF($M44="참여",", "&amp;M$4,"")</f>
        <v/>
      </c>
      <c r="AY44">
        <f>AX44&amp;IF($N44="참여",", "&amp;N$4,"")</f>
        <v/>
      </c>
      <c r="AZ44">
        <f>AY44&amp;IF($O44="참여",", "&amp;O$4,"")</f>
        <v/>
      </c>
      <c r="BA44">
        <f>AZ44&amp;IF($P44="참여",", "&amp;P$4,"")</f>
        <v/>
      </c>
      <c r="BB44">
        <f>BA44&amp;IF($Q44="참여",", "&amp;Q$4,"")</f>
        <v/>
      </c>
      <c r="BC44">
        <f>BB44&amp;IF($R44="참여",", "&amp;R$4,"")</f>
        <v/>
      </c>
      <c r="BD44">
        <f>BC44&amp;IF($S44="참여",", "&amp;S$4,"")</f>
        <v/>
      </c>
      <c r="BE44">
        <f>BD44&amp;IF($T44="참여",", "&amp;T$4,"")</f>
        <v/>
      </c>
      <c r="BF44">
        <f>BE44&amp;IF($U44="참여",", "&amp;U$4,"")</f>
        <v/>
      </c>
      <c r="BG44">
        <f>BF44&amp;IF($V44="참여",", "&amp;V$4,"")</f>
        <v/>
      </c>
      <c r="BH44">
        <f>BG44&amp;IF($W44="참여",", "&amp;W$4,"")</f>
        <v/>
      </c>
      <c r="BI44">
        <f>BH44&amp;IF($X44="참여",", "&amp;X$4,"")</f>
        <v/>
      </c>
      <c r="BJ44">
        <f>BI44&amp;IF($Y44="참여",", "&amp;Y$4,"")</f>
        <v/>
      </c>
      <c r="BK44">
        <f>BJ44&amp;IF($Z44="참여",", "&amp;Z$4,"")</f>
        <v/>
      </c>
      <c r="BL44">
        <f>BK44&amp;IF($AA44="참여",", "&amp;AA$4,"")</f>
        <v/>
      </c>
      <c r="BM44">
        <f>BL44&amp;IF($AB44="참여",", "&amp;AB$4,"")</f>
        <v/>
      </c>
      <c r="BN44">
        <f>BM44&amp;IF($AC44="참여",", "&amp;AC$4,"")</f>
        <v/>
      </c>
      <c r="BO44">
        <f>BN44&amp;IF($AD44="참여",", "&amp;AD$4,"")</f>
        <v/>
      </c>
      <c r="BP44">
        <f>BO44&amp;IF($AE44="참여",", "&amp;AE$4,"")</f>
        <v/>
      </c>
    </row>
    <row r="45">
      <c r="A45" s="74" t="n"/>
      <c r="B45" s="42" t="n"/>
      <c r="C45" s="74" t="n"/>
      <c r="D45" s="80" t="n"/>
      <c r="E45" s="74" t="n"/>
      <c r="F45" s="74" t="n"/>
      <c r="G45" s="118">
        <f>IF($A45="","",20-COUNTBLANK($L45:$AE45))</f>
        <v/>
      </c>
      <c r="H45" s="130">
        <f>IF($A45="","",IFERROR(INDEX($L$4:$AE$4,MATCH("주담당",$L45:$AE45,0)),""))</f>
        <v/>
      </c>
      <c r="I45" s="122">
        <f>IF($A45="","",IF($H45="",$AG45,$H45&amp;IF($AG45="","",", "&amp;$AG45)))</f>
        <v/>
      </c>
      <c r="J45" s="42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  <c r="AA45" s="74" t="n"/>
      <c r="AB45" s="74" t="n"/>
      <c r="AC45" s="74" t="n"/>
      <c r="AD45" s="74" t="n"/>
      <c r="AE45" s="74" t="n"/>
      <c r="AG45">
        <f>IF($A45="","",MID($BP45,3,255))</f>
        <v/>
      </c>
      <c r="AH45">
        <f>IF($AG45="","",TRIM(MID(SUBSTITUTE($AG45,",",REPT(" ",100)),1,100)))</f>
        <v/>
      </c>
      <c r="AI45">
        <f>IF($AG45="","",TRIM(MID(SUBSTITUTE($AG45,",",REPT(" ",100)),101,100)))</f>
        <v/>
      </c>
      <c r="AJ45">
        <f>IF($AG45="","",TRIM(MID(SUBSTITUTE($AG45,",",REPT(" ",100)),201,100)))</f>
        <v/>
      </c>
      <c r="AK45">
        <f>IF($AG45="","",TRIM(MID(SUBSTITUTE($AG45,",",REPT(" ",100)),301,100)))</f>
        <v/>
      </c>
      <c r="AL45">
        <f>IF($AG45="","",TRIM(MID(SUBSTITUTE($AG45,",",REPT(" ",100)),401,100)))</f>
        <v/>
      </c>
      <c r="AM45">
        <f>IF($AG45="","",TRIM(MID(SUBSTITUTE($AG45,",",REPT(" ",100)),501,100)))</f>
        <v/>
      </c>
      <c r="AN45">
        <f>IF($AG45="","",TRIM(MID(SUBSTITUTE($AG45,",",REPT(" ",100)),601,100)))</f>
        <v/>
      </c>
      <c r="AO45">
        <f>IF($AG45="","",TRIM(MID(SUBSTITUTE($AG45,",",REPT(" ",100)),701,100)))</f>
        <v/>
      </c>
      <c r="AP45">
        <f>IF($AG45="","",TRIM(MID(SUBSTITUTE($AG45,",",REPT(" ",100)),801,100)))</f>
        <v/>
      </c>
      <c r="AQ45">
        <f>IF($AG45="","",TRIM(MID(SUBSTITUTE($AG45,",",REPT(" ",100)),901,100)))</f>
        <v/>
      </c>
      <c r="AR45">
        <f>IF($AG45="","",TRIM(MID(SUBSTITUTE($AG45,",",REPT(" ",100)),1001,100)))</f>
        <v/>
      </c>
      <c r="AS45">
        <f>IF($AG45="","",TRIM(MID(SUBSTITUTE($AG45,",",REPT(" ",100)),1101,100)))</f>
        <v/>
      </c>
      <c r="AT45">
        <f>IF($AG45="","",TRIM(MID(SUBSTITUTE($AG45,",",REPT(" ",100)),1201,100)))</f>
        <v/>
      </c>
      <c r="AU45">
        <f>IF($AG45="","",TRIM(MID(SUBSTITUTE($AG45,",",REPT(" ",100)),1301,100)))</f>
        <v/>
      </c>
      <c r="AV45">
        <f>IF($AG45="","",TRIM(MID(SUBSTITUTE($AG45,",",REPT(" ",100)),1401,100)))</f>
        <v/>
      </c>
      <c r="AW45">
        <f>IF($L45="참여",", "&amp;L$4,"")</f>
        <v/>
      </c>
      <c r="AX45">
        <f>AW45&amp;IF($M45="참여",", "&amp;M$4,"")</f>
        <v/>
      </c>
      <c r="AY45">
        <f>AX45&amp;IF($N45="참여",", "&amp;N$4,"")</f>
        <v/>
      </c>
      <c r="AZ45">
        <f>AY45&amp;IF($O45="참여",", "&amp;O$4,"")</f>
        <v/>
      </c>
      <c r="BA45">
        <f>AZ45&amp;IF($P45="참여",", "&amp;P$4,"")</f>
        <v/>
      </c>
      <c r="BB45">
        <f>BA45&amp;IF($Q45="참여",", "&amp;Q$4,"")</f>
        <v/>
      </c>
      <c r="BC45">
        <f>BB45&amp;IF($R45="참여",", "&amp;R$4,"")</f>
        <v/>
      </c>
      <c r="BD45">
        <f>BC45&amp;IF($S45="참여",", "&amp;S$4,"")</f>
        <v/>
      </c>
      <c r="BE45">
        <f>BD45&amp;IF($T45="참여",", "&amp;T$4,"")</f>
        <v/>
      </c>
      <c r="BF45">
        <f>BE45&amp;IF($U45="참여",", "&amp;U$4,"")</f>
        <v/>
      </c>
      <c r="BG45">
        <f>BF45&amp;IF($V45="참여",", "&amp;V$4,"")</f>
        <v/>
      </c>
      <c r="BH45">
        <f>BG45&amp;IF($W45="참여",", "&amp;W$4,"")</f>
        <v/>
      </c>
      <c r="BI45">
        <f>BH45&amp;IF($X45="참여",", "&amp;X$4,"")</f>
        <v/>
      </c>
      <c r="BJ45">
        <f>BI45&amp;IF($Y45="참여",", "&amp;Y$4,"")</f>
        <v/>
      </c>
      <c r="BK45">
        <f>BJ45&amp;IF($Z45="참여",", "&amp;Z$4,"")</f>
        <v/>
      </c>
      <c r="BL45">
        <f>BK45&amp;IF($AA45="참여",", "&amp;AA$4,"")</f>
        <v/>
      </c>
      <c r="BM45">
        <f>BL45&amp;IF($AB45="참여",", "&amp;AB$4,"")</f>
        <v/>
      </c>
      <c r="BN45">
        <f>BM45&amp;IF($AC45="참여",", "&amp;AC$4,"")</f>
        <v/>
      </c>
      <c r="BO45">
        <f>BN45&amp;IF($AD45="참여",", "&amp;AD$4,"")</f>
        <v/>
      </c>
      <c r="BP45">
        <f>BO45&amp;IF($AE45="참여",", "&amp;AE$4,"")</f>
        <v/>
      </c>
    </row>
    <row r="46">
      <c r="A46" s="74" t="n"/>
      <c r="B46" s="42" t="n"/>
      <c r="C46" s="74" t="n"/>
      <c r="D46" s="80" t="n"/>
      <c r="E46" s="74" t="n"/>
      <c r="F46" s="74" t="n"/>
      <c r="G46" s="118">
        <f>IF($A46="","",20-COUNTBLANK($L46:$AE46))</f>
        <v/>
      </c>
      <c r="H46" s="130">
        <f>IF($A46="","",IFERROR(INDEX($L$4:$AE$4,MATCH("주담당",$L46:$AE46,0)),""))</f>
        <v/>
      </c>
      <c r="I46" s="122">
        <f>IF($A46="","",IF($H46="",$AG46,$H46&amp;IF($AG46="","",", "&amp;$AG46)))</f>
        <v/>
      </c>
      <c r="J46" s="42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  <c r="AA46" s="74" t="n"/>
      <c r="AB46" s="74" t="n"/>
      <c r="AC46" s="74" t="n"/>
      <c r="AD46" s="74" t="n"/>
      <c r="AE46" s="74" t="n"/>
      <c r="AG46">
        <f>IF($A46="","",MID($BP46,3,255))</f>
        <v/>
      </c>
      <c r="AH46">
        <f>IF($AG46="","",TRIM(MID(SUBSTITUTE($AG46,",",REPT(" ",100)),1,100)))</f>
        <v/>
      </c>
      <c r="AI46">
        <f>IF($AG46="","",TRIM(MID(SUBSTITUTE($AG46,",",REPT(" ",100)),101,100)))</f>
        <v/>
      </c>
      <c r="AJ46">
        <f>IF($AG46="","",TRIM(MID(SUBSTITUTE($AG46,",",REPT(" ",100)),201,100)))</f>
        <v/>
      </c>
      <c r="AK46">
        <f>IF($AG46="","",TRIM(MID(SUBSTITUTE($AG46,",",REPT(" ",100)),301,100)))</f>
        <v/>
      </c>
      <c r="AL46">
        <f>IF($AG46="","",TRIM(MID(SUBSTITUTE($AG46,",",REPT(" ",100)),401,100)))</f>
        <v/>
      </c>
      <c r="AM46">
        <f>IF($AG46="","",TRIM(MID(SUBSTITUTE($AG46,",",REPT(" ",100)),501,100)))</f>
        <v/>
      </c>
      <c r="AN46">
        <f>IF($AG46="","",TRIM(MID(SUBSTITUTE($AG46,",",REPT(" ",100)),601,100)))</f>
        <v/>
      </c>
      <c r="AO46">
        <f>IF($AG46="","",TRIM(MID(SUBSTITUTE($AG46,",",REPT(" ",100)),701,100)))</f>
        <v/>
      </c>
      <c r="AP46">
        <f>IF($AG46="","",TRIM(MID(SUBSTITUTE($AG46,",",REPT(" ",100)),801,100)))</f>
        <v/>
      </c>
      <c r="AQ46">
        <f>IF($AG46="","",TRIM(MID(SUBSTITUTE($AG46,",",REPT(" ",100)),901,100)))</f>
        <v/>
      </c>
      <c r="AR46">
        <f>IF($AG46="","",TRIM(MID(SUBSTITUTE($AG46,",",REPT(" ",100)),1001,100)))</f>
        <v/>
      </c>
      <c r="AS46">
        <f>IF($AG46="","",TRIM(MID(SUBSTITUTE($AG46,",",REPT(" ",100)),1101,100)))</f>
        <v/>
      </c>
      <c r="AT46">
        <f>IF($AG46="","",TRIM(MID(SUBSTITUTE($AG46,",",REPT(" ",100)),1201,100)))</f>
        <v/>
      </c>
      <c r="AU46">
        <f>IF($AG46="","",TRIM(MID(SUBSTITUTE($AG46,",",REPT(" ",100)),1301,100)))</f>
        <v/>
      </c>
      <c r="AV46">
        <f>IF($AG46="","",TRIM(MID(SUBSTITUTE($AG46,",",REPT(" ",100)),1401,100)))</f>
        <v/>
      </c>
      <c r="AW46">
        <f>IF($L46="참여",", "&amp;L$4,"")</f>
        <v/>
      </c>
      <c r="AX46">
        <f>AW46&amp;IF($M46="참여",", "&amp;M$4,"")</f>
        <v/>
      </c>
      <c r="AY46">
        <f>AX46&amp;IF($N46="참여",", "&amp;N$4,"")</f>
        <v/>
      </c>
      <c r="AZ46">
        <f>AY46&amp;IF($O46="참여",", "&amp;O$4,"")</f>
        <v/>
      </c>
      <c r="BA46">
        <f>AZ46&amp;IF($P46="참여",", "&amp;P$4,"")</f>
        <v/>
      </c>
      <c r="BB46">
        <f>BA46&amp;IF($Q46="참여",", "&amp;Q$4,"")</f>
        <v/>
      </c>
      <c r="BC46">
        <f>BB46&amp;IF($R46="참여",", "&amp;R$4,"")</f>
        <v/>
      </c>
      <c r="BD46">
        <f>BC46&amp;IF($S46="참여",", "&amp;S$4,"")</f>
        <v/>
      </c>
      <c r="BE46">
        <f>BD46&amp;IF($T46="참여",", "&amp;T$4,"")</f>
        <v/>
      </c>
      <c r="BF46">
        <f>BE46&amp;IF($U46="참여",", "&amp;U$4,"")</f>
        <v/>
      </c>
      <c r="BG46">
        <f>BF46&amp;IF($V46="참여",", "&amp;V$4,"")</f>
        <v/>
      </c>
      <c r="BH46">
        <f>BG46&amp;IF($W46="참여",", "&amp;W$4,"")</f>
        <v/>
      </c>
      <c r="BI46">
        <f>BH46&amp;IF($X46="참여",", "&amp;X$4,"")</f>
        <v/>
      </c>
      <c r="BJ46">
        <f>BI46&amp;IF($Y46="참여",", "&amp;Y$4,"")</f>
        <v/>
      </c>
      <c r="BK46">
        <f>BJ46&amp;IF($Z46="참여",", "&amp;Z$4,"")</f>
        <v/>
      </c>
      <c r="BL46">
        <f>BK46&amp;IF($AA46="참여",", "&amp;AA$4,"")</f>
        <v/>
      </c>
      <c r="BM46">
        <f>BL46&amp;IF($AB46="참여",", "&amp;AB$4,"")</f>
        <v/>
      </c>
      <c r="BN46">
        <f>BM46&amp;IF($AC46="참여",", "&amp;AC$4,"")</f>
        <v/>
      </c>
      <c r="BO46">
        <f>BN46&amp;IF($AD46="참여",", "&amp;AD$4,"")</f>
        <v/>
      </c>
      <c r="BP46">
        <f>BO46&amp;IF($AE46="참여",", "&amp;AE$4,"")</f>
        <v/>
      </c>
    </row>
    <row r="47">
      <c r="A47" s="74" t="n"/>
      <c r="B47" s="42" t="n"/>
      <c r="C47" s="74" t="n"/>
      <c r="D47" s="80" t="n"/>
      <c r="E47" s="74" t="n"/>
      <c r="F47" s="74" t="n"/>
      <c r="G47" s="118">
        <f>IF($A47="","",20-COUNTBLANK($L47:$AE47))</f>
        <v/>
      </c>
      <c r="H47" s="130">
        <f>IF($A47="","",IFERROR(INDEX($L$4:$AE$4,MATCH("주담당",$L47:$AE47,0)),""))</f>
        <v/>
      </c>
      <c r="I47" s="122">
        <f>IF($A47="","",IF($H47="",$AG47,$H47&amp;IF($AG47="","",", "&amp;$AG47)))</f>
        <v/>
      </c>
      <c r="J47" s="42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  <c r="AA47" s="74" t="n"/>
      <c r="AB47" s="74" t="n"/>
      <c r="AC47" s="74" t="n"/>
      <c r="AD47" s="74" t="n"/>
      <c r="AE47" s="74" t="n"/>
      <c r="AG47">
        <f>IF($A47="","",MID($BP47,3,255))</f>
        <v/>
      </c>
      <c r="AH47">
        <f>IF($AG47="","",TRIM(MID(SUBSTITUTE($AG47,",",REPT(" ",100)),1,100)))</f>
        <v/>
      </c>
      <c r="AI47">
        <f>IF($AG47="","",TRIM(MID(SUBSTITUTE($AG47,",",REPT(" ",100)),101,100)))</f>
        <v/>
      </c>
      <c r="AJ47">
        <f>IF($AG47="","",TRIM(MID(SUBSTITUTE($AG47,",",REPT(" ",100)),201,100)))</f>
        <v/>
      </c>
      <c r="AK47">
        <f>IF($AG47="","",TRIM(MID(SUBSTITUTE($AG47,",",REPT(" ",100)),301,100)))</f>
        <v/>
      </c>
      <c r="AL47">
        <f>IF($AG47="","",TRIM(MID(SUBSTITUTE($AG47,",",REPT(" ",100)),401,100)))</f>
        <v/>
      </c>
      <c r="AM47">
        <f>IF($AG47="","",TRIM(MID(SUBSTITUTE($AG47,",",REPT(" ",100)),501,100)))</f>
        <v/>
      </c>
      <c r="AN47">
        <f>IF($AG47="","",TRIM(MID(SUBSTITUTE($AG47,",",REPT(" ",100)),601,100)))</f>
        <v/>
      </c>
      <c r="AO47">
        <f>IF($AG47="","",TRIM(MID(SUBSTITUTE($AG47,",",REPT(" ",100)),701,100)))</f>
        <v/>
      </c>
      <c r="AP47">
        <f>IF($AG47="","",TRIM(MID(SUBSTITUTE($AG47,",",REPT(" ",100)),801,100)))</f>
        <v/>
      </c>
      <c r="AQ47">
        <f>IF($AG47="","",TRIM(MID(SUBSTITUTE($AG47,",",REPT(" ",100)),901,100)))</f>
        <v/>
      </c>
      <c r="AR47">
        <f>IF($AG47="","",TRIM(MID(SUBSTITUTE($AG47,",",REPT(" ",100)),1001,100)))</f>
        <v/>
      </c>
      <c r="AS47">
        <f>IF($AG47="","",TRIM(MID(SUBSTITUTE($AG47,",",REPT(" ",100)),1101,100)))</f>
        <v/>
      </c>
      <c r="AT47">
        <f>IF($AG47="","",TRIM(MID(SUBSTITUTE($AG47,",",REPT(" ",100)),1201,100)))</f>
        <v/>
      </c>
      <c r="AU47">
        <f>IF($AG47="","",TRIM(MID(SUBSTITUTE($AG47,",",REPT(" ",100)),1301,100)))</f>
        <v/>
      </c>
      <c r="AV47">
        <f>IF($AG47="","",TRIM(MID(SUBSTITUTE($AG47,",",REPT(" ",100)),1401,100)))</f>
        <v/>
      </c>
      <c r="AW47">
        <f>IF($L47="참여",", "&amp;L$4,"")</f>
        <v/>
      </c>
      <c r="AX47">
        <f>AW47&amp;IF($M47="참여",", "&amp;M$4,"")</f>
        <v/>
      </c>
      <c r="AY47">
        <f>AX47&amp;IF($N47="참여",", "&amp;N$4,"")</f>
        <v/>
      </c>
      <c r="AZ47">
        <f>AY47&amp;IF($O47="참여",", "&amp;O$4,"")</f>
        <v/>
      </c>
      <c r="BA47">
        <f>AZ47&amp;IF($P47="참여",", "&amp;P$4,"")</f>
        <v/>
      </c>
      <c r="BB47">
        <f>BA47&amp;IF($Q47="참여",", "&amp;Q$4,"")</f>
        <v/>
      </c>
      <c r="BC47">
        <f>BB47&amp;IF($R47="참여",", "&amp;R$4,"")</f>
        <v/>
      </c>
      <c r="BD47">
        <f>BC47&amp;IF($S47="참여",", "&amp;S$4,"")</f>
        <v/>
      </c>
      <c r="BE47">
        <f>BD47&amp;IF($T47="참여",", "&amp;T$4,"")</f>
        <v/>
      </c>
      <c r="BF47">
        <f>BE47&amp;IF($U47="참여",", "&amp;U$4,"")</f>
        <v/>
      </c>
      <c r="BG47">
        <f>BF47&amp;IF($V47="참여",", "&amp;V$4,"")</f>
        <v/>
      </c>
      <c r="BH47">
        <f>BG47&amp;IF($W47="참여",", "&amp;W$4,"")</f>
        <v/>
      </c>
      <c r="BI47">
        <f>BH47&amp;IF($X47="참여",", "&amp;X$4,"")</f>
        <v/>
      </c>
      <c r="BJ47">
        <f>BI47&amp;IF($Y47="참여",", "&amp;Y$4,"")</f>
        <v/>
      </c>
      <c r="BK47">
        <f>BJ47&amp;IF($Z47="참여",", "&amp;Z$4,"")</f>
        <v/>
      </c>
      <c r="BL47">
        <f>BK47&amp;IF($AA47="참여",", "&amp;AA$4,"")</f>
        <v/>
      </c>
      <c r="BM47">
        <f>BL47&amp;IF($AB47="참여",", "&amp;AB$4,"")</f>
        <v/>
      </c>
      <c r="BN47">
        <f>BM47&amp;IF($AC47="참여",", "&amp;AC$4,"")</f>
        <v/>
      </c>
      <c r="BO47">
        <f>BN47&amp;IF($AD47="참여",", "&amp;AD$4,"")</f>
        <v/>
      </c>
      <c r="BP47">
        <f>BO47&amp;IF($AE47="참여",", "&amp;AE$4,"")</f>
        <v/>
      </c>
    </row>
    <row r="48">
      <c r="A48" s="74" t="n"/>
      <c r="B48" s="42" t="n"/>
      <c r="C48" s="74" t="n"/>
      <c r="D48" s="80" t="n"/>
      <c r="E48" s="74" t="n"/>
      <c r="F48" s="74" t="n"/>
      <c r="G48" s="118">
        <f>IF($A48="","",20-COUNTBLANK($L48:$AE48))</f>
        <v/>
      </c>
      <c r="H48" s="130">
        <f>IF($A48="","",IFERROR(INDEX($L$4:$AE$4,MATCH("주담당",$L48:$AE48,0)),""))</f>
        <v/>
      </c>
      <c r="I48" s="122">
        <f>IF($A48="","",IF($H48="",$AG48,$H48&amp;IF($AG48="","",", "&amp;$AG48)))</f>
        <v/>
      </c>
      <c r="J48" s="42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  <c r="AA48" s="74" t="n"/>
      <c r="AB48" s="74" t="n"/>
      <c r="AC48" s="74" t="n"/>
      <c r="AD48" s="74" t="n"/>
      <c r="AE48" s="74" t="n"/>
      <c r="AG48">
        <f>IF($A48="","",MID($BP48,3,255))</f>
        <v/>
      </c>
      <c r="AH48">
        <f>IF($AG48="","",TRIM(MID(SUBSTITUTE($AG48,",",REPT(" ",100)),1,100)))</f>
        <v/>
      </c>
      <c r="AI48">
        <f>IF($AG48="","",TRIM(MID(SUBSTITUTE($AG48,",",REPT(" ",100)),101,100)))</f>
        <v/>
      </c>
      <c r="AJ48">
        <f>IF($AG48="","",TRIM(MID(SUBSTITUTE($AG48,",",REPT(" ",100)),201,100)))</f>
        <v/>
      </c>
      <c r="AK48">
        <f>IF($AG48="","",TRIM(MID(SUBSTITUTE($AG48,",",REPT(" ",100)),301,100)))</f>
        <v/>
      </c>
      <c r="AL48">
        <f>IF($AG48="","",TRIM(MID(SUBSTITUTE($AG48,",",REPT(" ",100)),401,100)))</f>
        <v/>
      </c>
      <c r="AM48">
        <f>IF($AG48="","",TRIM(MID(SUBSTITUTE($AG48,",",REPT(" ",100)),501,100)))</f>
        <v/>
      </c>
      <c r="AN48">
        <f>IF($AG48="","",TRIM(MID(SUBSTITUTE($AG48,",",REPT(" ",100)),601,100)))</f>
        <v/>
      </c>
      <c r="AO48">
        <f>IF($AG48="","",TRIM(MID(SUBSTITUTE($AG48,",",REPT(" ",100)),701,100)))</f>
        <v/>
      </c>
      <c r="AP48">
        <f>IF($AG48="","",TRIM(MID(SUBSTITUTE($AG48,",",REPT(" ",100)),801,100)))</f>
        <v/>
      </c>
      <c r="AQ48">
        <f>IF($AG48="","",TRIM(MID(SUBSTITUTE($AG48,",",REPT(" ",100)),901,100)))</f>
        <v/>
      </c>
      <c r="AR48">
        <f>IF($AG48="","",TRIM(MID(SUBSTITUTE($AG48,",",REPT(" ",100)),1001,100)))</f>
        <v/>
      </c>
      <c r="AS48">
        <f>IF($AG48="","",TRIM(MID(SUBSTITUTE($AG48,",",REPT(" ",100)),1101,100)))</f>
        <v/>
      </c>
      <c r="AT48">
        <f>IF($AG48="","",TRIM(MID(SUBSTITUTE($AG48,",",REPT(" ",100)),1201,100)))</f>
        <v/>
      </c>
      <c r="AU48">
        <f>IF($AG48="","",TRIM(MID(SUBSTITUTE($AG48,",",REPT(" ",100)),1301,100)))</f>
        <v/>
      </c>
      <c r="AV48">
        <f>IF($AG48="","",TRIM(MID(SUBSTITUTE($AG48,",",REPT(" ",100)),1401,100)))</f>
        <v/>
      </c>
      <c r="AW48">
        <f>IF($L48="참여",", "&amp;L$4,"")</f>
        <v/>
      </c>
      <c r="AX48">
        <f>AW48&amp;IF($M48="참여",", "&amp;M$4,"")</f>
        <v/>
      </c>
      <c r="AY48">
        <f>AX48&amp;IF($N48="참여",", "&amp;N$4,"")</f>
        <v/>
      </c>
      <c r="AZ48">
        <f>AY48&amp;IF($O48="참여",", "&amp;O$4,"")</f>
        <v/>
      </c>
      <c r="BA48">
        <f>AZ48&amp;IF($P48="참여",", "&amp;P$4,"")</f>
        <v/>
      </c>
      <c r="BB48">
        <f>BA48&amp;IF($Q48="참여",", "&amp;Q$4,"")</f>
        <v/>
      </c>
      <c r="BC48">
        <f>BB48&amp;IF($R48="참여",", "&amp;R$4,"")</f>
        <v/>
      </c>
      <c r="BD48">
        <f>BC48&amp;IF($S48="참여",", "&amp;S$4,"")</f>
        <v/>
      </c>
      <c r="BE48">
        <f>BD48&amp;IF($T48="참여",", "&amp;T$4,"")</f>
        <v/>
      </c>
      <c r="BF48">
        <f>BE48&amp;IF($U48="참여",", "&amp;U$4,"")</f>
        <v/>
      </c>
      <c r="BG48">
        <f>BF48&amp;IF($V48="참여",", "&amp;V$4,"")</f>
        <v/>
      </c>
      <c r="BH48">
        <f>BG48&amp;IF($W48="참여",", "&amp;W$4,"")</f>
        <v/>
      </c>
      <c r="BI48">
        <f>BH48&amp;IF($X48="참여",", "&amp;X$4,"")</f>
        <v/>
      </c>
      <c r="BJ48">
        <f>BI48&amp;IF($Y48="참여",", "&amp;Y$4,"")</f>
        <v/>
      </c>
      <c r="BK48">
        <f>BJ48&amp;IF($Z48="참여",", "&amp;Z$4,"")</f>
        <v/>
      </c>
      <c r="BL48">
        <f>BK48&amp;IF($AA48="참여",", "&amp;AA$4,"")</f>
        <v/>
      </c>
      <c r="BM48">
        <f>BL48&amp;IF($AB48="참여",", "&amp;AB$4,"")</f>
        <v/>
      </c>
      <c r="BN48">
        <f>BM48&amp;IF($AC48="참여",", "&amp;AC$4,"")</f>
        <v/>
      </c>
      <c r="BO48">
        <f>BN48&amp;IF($AD48="참여",", "&amp;AD$4,"")</f>
        <v/>
      </c>
      <c r="BP48">
        <f>BO48&amp;IF($AE48="참여",", "&amp;AE$4,"")</f>
        <v/>
      </c>
    </row>
    <row r="49">
      <c r="A49" s="74" t="n"/>
      <c r="B49" s="42" t="n"/>
      <c r="C49" s="74" t="n"/>
      <c r="D49" s="80" t="n"/>
      <c r="E49" s="74" t="n"/>
      <c r="F49" s="74" t="n"/>
      <c r="G49" s="118">
        <f>IF($A49="","",20-COUNTBLANK($L49:$AE49))</f>
        <v/>
      </c>
      <c r="H49" s="130">
        <f>IF($A49="","",IFERROR(INDEX($L$4:$AE$4,MATCH("주담당",$L49:$AE49,0)),""))</f>
        <v/>
      </c>
      <c r="I49" s="122">
        <f>IF($A49="","",IF($H49="",$AG49,$H49&amp;IF($AG49="","",", "&amp;$AG49)))</f>
        <v/>
      </c>
      <c r="J49" s="42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  <c r="AA49" s="74" t="n"/>
      <c r="AB49" s="74" t="n"/>
      <c r="AC49" s="74" t="n"/>
      <c r="AD49" s="74" t="n"/>
      <c r="AE49" s="74" t="n"/>
      <c r="AG49">
        <f>IF($A49="","",MID($BP49,3,255))</f>
        <v/>
      </c>
      <c r="AH49">
        <f>IF($AG49="","",TRIM(MID(SUBSTITUTE($AG49,",",REPT(" ",100)),1,100)))</f>
        <v/>
      </c>
      <c r="AI49">
        <f>IF($AG49="","",TRIM(MID(SUBSTITUTE($AG49,",",REPT(" ",100)),101,100)))</f>
        <v/>
      </c>
      <c r="AJ49">
        <f>IF($AG49="","",TRIM(MID(SUBSTITUTE($AG49,",",REPT(" ",100)),201,100)))</f>
        <v/>
      </c>
      <c r="AK49">
        <f>IF($AG49="","",TRIM(MID(SUBSTITUTE($AG49,",",REPT(" ",100)),301,100)))</f>
        <v/>
      </c>
      <c r="AL49">
        <f>IF($AG49="","",TRIM(MID(SUBSTITUTE($AG49,",",REPT(" ",100)),401,100)))</f>
        <v/>
      </c>
      <c r="AM49">
        <f>IF($AG49="","",TRIM(MID(SUBSTITUTE($AG49,",",REPT(" ",100)),501,100)))</f>
        <v/>
      </c>
      <c r="AN49">
        <f>IF($AG49="","",TRIM(MID(SUBSTITUTE($AG49,",",REPT(" ",100)),601,100)))</f>
        <v/>
      </c>
      <c r="AO49">
        <f>IF($AG49="","",TRIM(MID(SUBSTITUTE($AG49,",",REPT(" ",100)),701,100)))</f>
        <v/>
      </c>
      <c r="AP49">
        <f>IF($AG49="","",TRIM(MID(SUBSTITUTE($AG49,",",REPT(" ",100)),801,100)))</f>
        <v/>
      </c>
      <c r="AQ49">
        <f>IF($AG49="","",TRIM(MID(SUBSTITUTE($AG49,",",REPT(" ",100)),901,100)))</f>
        <v/>
      </c>
      <c r="AR49">
        <f>IF($AG49="","",TRIM(MID(SUBSTITUTE($AG49,",",REPT(" ",100)),1001,100)))</f>
        <v/>
      </c>
      <c r="AS49">
        <f>IF($AG49="","",TRIM(MID(SUBSTITUTE($AG49,",",REPT(" ",100)),1101,100)))</f>
        <v/>
      </c>
      <c r="AT49">
        <f>IF($AG49="","",TRIM(MID(SUBSTITUTE($AG49,",",REPT(" ",100)),1201,100)))</f>
        <v/>
      </c>
      <c r="AU49">
        <f>IF($AG49="","",TRIM(MID(SUBSTITUTE($AG49,",",REPT(" ",100)),1301,100)))</f>
        <v/>
      </c>
      <c r="AV49">
        <f>IF($AG49="","",TRIM(MID(SUBSTITUTE($AG49,",",REPT(" ",100)),1401,100)))</f>
        <v/>
      </c>
      <c r="AW49">
        <f>IF($L49="참여",", "&amp;L$4,"")</f>
        <v/>
      </c>
      <c r="AX49">
        <f>AW49&amp;IF($M49="참여",", "&amp;M$4,"")</f>
        <v/>
      </c>
      <c r="AY49">
        <f>AX49&amp;IF($N49="참여",", "&amp;N$4,"")</f>
        <v/>
      </c>
      <c r="AZ49">
        <f>AY49&amp;IF($O49="참여",", "&amp;O$4,"")</f>
        <v/>
      </c>
      <c r="BA49">
        <f>AZ49&amp;IF($P49="참여",", "&amp;P$4,"")</f>
        <v/>
      </c>
      <c r="BB49">
        <f>BA49&amp;IF($Q49="참여",", "&amp;Q$4,"")</f>
        <v/>
      </c>
      <c r="BC49">
        <f>BB49&amp;IF($R49="참여",", "&amp;R$4,"")</f>
        <v/>
      </c>
      <c r="BD49">
        <f>BC49&amp;IF($S49="참여",", "&amp;S$4,"")</f>
        <v/>
      </c>
      <c r="BE49">
        <f>BD49&amp;IF($T49="참여",", "&amp;T$4,"")</f>
        <v/>
      </c>
      <c r="BF49">
        <f>BE49&amp;IF($U49="참여",", "&amp;U$4,"")</f>
        <v/>
      </c>
      <c r="BG49">
        <f>BF49&amp;IF($V49="참여",", "&amp;V$4,"")</f>
        <v/>
      </c>
      <c r="BH49">
        <f>BG49&amp;IF($W49="참여",", "&amp;W$4,"")</f>
        <v/>
      </c>
      <c r="BI49">
        <f>BH49&amp;IF($X49="참여",", "&amp;X$4,"")</f>
        <v/>
      </c>
      <c r="BJ49">
        <f>BI49&amp;IF($Y49="참여",", "&amp;Y$4,"")</f>
        <v/>
      </c>
      <c r="BK49">
        <f>BJ49&amp;IF($Z49="참여",", "&amp;Z$4,"")</f>
        <v/>
      </c>
      <c r="BL49">
        <f>BK49&amp;IF($AA49="참여",", "&amp;AA$4,"")</f>
        <v/>
      </c>
      <c r="BM49">
        <f>BL49&amp;IF($AB49="참여",", "&amp;AB$4,"")</f>
        <v/>
      </c>
      <c r="BN49">
        <f>BM49&amp;IF($AC49="참여",", "&amp;AC$4,"")</f>
        <v/>
      </c>
      <c r="BO49">
        <f>BN49&amp;IF($AD49="참여",", "&amp;AD$4,"")</f>
        <v/>
      </c>
      <c r="BP49">
        <f>BO49&amp;IF($AE49="참여",", "&amp;AE$4,"")</f>
        <v/>
      </c>
    </row>
    <row r="50">
      <c r="A50" s="74" t="n"/>
      <c r="B50" s="42" t="n"/>
      <c r="C50" s="74" t="n"/>
      <c r="D50" s="80" t="n"/>
      <c r="E50" s="74" t="n"/>
      <c r="F50" s="74" t="n"/>
      <c r="G50" s="118">
        <f>IF($A50="","",20-COUNTBLANK($L50:$AE50))</f>
        <v/>
      </c>
      <c r="H50" s="130">
        <f>IF($A50="","",IFERROR(INDEX($L$4:$AE$4,MATCH("주담당",$L50:$AE50,0)),""))</f>
        <v/>
      </c>
      <c r="I50" s="122">
        <f>IF($A50="","",IF($H50="",$AG50,$H50&amp;IF($AG50="","",", "&amp;$AG50)))</f>
        <v/>
      </c>
      <c r="J50" s="42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  <c r="AA50" s="74" t="n"/>
      <c r="AB50" s="74" t="n"/>
      <c r="AC50" s="74" t="n"/>
      <c r="AD50" s="74" t="n"/>
      <c r="AE50" s="74" t="n"/>
      <c r="AG50">
        <f>IF($A50="","",MID($BP50,3,255))</f>
        <v/>
      </c>
      <c r="AH50">
        <f>IF($AG50="","",TRIM(MID(SUBSTITUTE($AG50,",",REPT(" ",100)),1,100)))</f>
        <v/>
      </c>
      <c r="AI50">
        <f>IF($AG50="","",TRIM(MID(SUBSTITUTE($AG50,",",REPT(" ",100)),101,100)))</f>
        <v/>
      </c>
      <c r="AJ50">
        <f>IF($AG50="","",TRIM(MID(SUBSTITUTE($AG50,",",REPT(" ",100)),201,100)))</f>
        <v/>
      </c>
      <c r="AK50">
        <f>IF($AG50="","",TRIM(MID(SUBSTITUTE($AG50,",",REPT(" ",100)),301,100)))</f>
        <v/>
      </c>
      <c r="AL50">
        <f>IF($AG50="","",TRIM(MID(SUBSTITUTE($AG50,",",REPT(" ",100)),401,100)))</f>
        <v/>
      </c>
      <c r="AM50">
        <f>IF($AG50="","",TRIM(MID(SUBSTITUTE($AG50,",",REPT(" ",100)),501,100)))</f>
        <v/>
      </c>
      <c r="AN50">
        <f>IF($AG50="","",TRIM(MID(SUBSTITUTE($AG50,",",REPT(" ",100)),601,100)))</f>
        <v/>
      </c>
      <c r="AO50">
        <f>IF($AG50="","",TRIM(MID(SUBSTITUTE($AG50,",",REPT(" ",100)),701,100)))</f>
        <v/>
      </c>
      <c r="AP50">
        <f>IF($AG50="","",TRIM(MID(SUBSTITUTE($AG50,",",REPT(" ",100)),801,100)))</f>
        <v/>
      </c>
      <c r="AQ50">
        <f>IF($AG50="","",TRIM(MID(SUBSTITUTE($AG50,",",REPT(" ",100)),901,100)))</f>
        <v/>
      </c>
      <c r="AR50">
        <f>IF($AG50="","",TRIM(MID(SUBSTITUTE($AG50,",",REPT(" ",100)),1001,100)))</f>
        <v/>
      </c>
      <c r="AS50">
        <f>IF($AG50="","",TRIM(MID(SUBSTITUTE($AG50,",",REPT(" ",100)),1101,100)))</f>
        <v/>
      </c>
      <c r="AT50">
        <f>IF($AG50="","",TRIM(MID(SUBSTITUTE($AG50,",",REPT(" ",100)),1201,100)))</f>
        <v/>
      </c>
      <c r="AU50">
        <f>IF($AG50="","",TRIM(MID(SUBSTITUTE($AG50,",",REPT(" ",100)),1301,100)))</f>
        <v/>
      </c>
      <c r="AV50">
        <f>IF($AG50="","",TRIM(MID(SUBSTITUTE($AG50,",",REPT(" ",100)),1401,100)))</f>
        <v/>
      </c>
      <c r="AW50">
        <f>IF($L50="참여",", "&amp;L$4,"")</f>
        <v/>
      </c>
      <c r="AX50">
        <f>AW50&amp;IF($M50="참여",", "&amp;M$4,"")</f>
        <v/>
      </c>
      <c r="AY50">
        <f>AX50&amp;IF($N50="참여",", "&amp;N$4,"")</f>
        <v/>
      </c>
      <c r="AZ50">
        <f>AY50&amp;IF($O50="참여",", "&amp;O$4,"")</f>
        <v/>
      </c>
      <c r="BA50">
        <f>AZ50&amp;IF($P50="참여",", "&amp;P$4,"")</f>
        <v/>
      </c>
      <c r="BB50">
        <f>BA50&amp;IF($Q50="참여",", "&amp;Q$4,"")</f>
        <v/>
      </c>
      <c r="BC50">
        <f>BB50&amp;IF($R50="참여",", "&amp;R$4,"")</f>
        <v/>
      </c>
      <c r="BD50">
        <f>BC50&amp;IF($S50="참여",", "&amp;S$4,"")</f>
        <v/>
      </c>
      <c r="BE50">
        <f>BD50&amp;IF($T50="참여",", "&amp;T$4,"")</f>
        <v/>
      </c>
      <c r="BF50">
        <f>BE50&amp;IF($U50="참여",", "&amp;U$4,"")</f>
        <v/>
      </c>
      <c r="BG50">
        <f>BF50&amp;IF($V50="참여",", "&amp;V$4,"")</f>
        <v/>
      </c>
      <c r="BH50">
        <f>BG50&amp;IF($W50="참여",", "&amp;W$4,"")</f>
        <v/>
      </c>
      <c r="BI50">
        <f>BH50&amp;IF($X50="참여",", "&amp;X$4,"")</f>
        <v/>
      </c>
      <c r="BJ50">
        <f>BI50&amp;IF($Y50="참여",", "&amp;Y$4,"")</f>
        <v/>
      </c>
      <c r="BK50">
        <f>BJ50&amp;IF($Z50="참여",", "&amp;Z$4,"")</f>
        <v/>
      </c>
      <c r="BL50">
        <f>BK50&amp;IF($AA50="참여",", "&amp;AA$4,"")</f>
        <v/>
      </c>
      <c r="BM50">
        <f>BL50&amp;IF($AB50="참여",", "&amp;AB$4,"")</f>
        <v/>
      </c>
      <c r="BN50">
        <f>BM50&amp;IF($AC50="참여",", "&amp;AC$4,"")</f>
        <v/>
      </c>
      <c r="BO50">
        <f>BN50&amp;IF($AD50="참여",", "&amp;AD$4,"")</f>
        <v/>
      </c>
      <c r="BP50">
        <f>BO50&amp;IF($AE50="참여",", "&amp;AE$4,"")</f>
        <v/>
      </c>
    </row>
    <row r="51">
      <c r="A51" s="74" t="n"/>
      <c r="B51" s="42" t="n"/>
      <c r="C51" s="74" t="n"/>
      <c r="D51" s="80" t="n"/>
      <c r="E51" s="74" t="n"/>
      <c r="F51" s="74" t="n"/>
      <c r="G51" s="118">
        <f>IF($A51="","",20-COUNTBLANK($L51:$AE51))</f>
        <v/>
      </c>
      <c r="H51" s="130">
        <f>IF($A51="","",IFERROR(INDEX($L$4:$AE$4,MATCH("주담당",$L51:$AE51,0)),""))</f>
        <v/>
      </c>
      <c r="I51" s="122">
        <f>IF($A51="","",IF($H51="",$AG51,$H51&amp;IF($AG51="","",", "&amp;$AG51)))</f>
        <v/>
      </c>
      <c r="J51" s="42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  <c r="AA51" s="74" t="n"/>
      <c r="AB51" s="74" t="n"/>
      <c r="AC51" s="74" t="n"/>
      <c r="AD51" s="74" t="n"/>
      <c r="AE51" s="74" t="n"/>
      <c r="AG51">
        <f>IF($A51="","",MID($BP51,3,255))</f>
        <v/>
      </c>
      <c r="AH51">
        <f>IF($AG51="","",TRIM(MID(SUBSTITUTE($AG51,",",REPT(" ",100)),1,100)))</f>
        <v/>
      </c>
      <c r="AI51">
        <f>IF($AG51="","",TRIM(MID(SUBSTITUTE($AG51,",",REPT(" ",100)),101,100)))</f>
        <v/>
      </c>
      <c r="AJ51">
        <f>IF($AG51="","",TRIM(MID(SUBSTITUTE($AG51,",",REPT(" ",100)),201,100)))</f>
        <v/>
      </c>
      <c r="AK51">
        <f>IF($AG51="","",TRIM(MID(SUBSTITUTE($AG51,",",REPT(" ",100)),301,100)))</f>
        <v/>
      </c>
      <c r="AL51">
        <f>IF($AG51="","",TRIM(MID(SUBSTITUTE($AG51,",",REPT(" ",100)),401,100)))</f>
        <v/>
      </c>
      <c r="AM51">
        <f>IF($AG51="","",TRIM(MID(SUBSTITUTE($AG51,",",REPT(" ",100)),501,100)))</f>
        <v/>
      </c>
      <c r="AN51">
        <f>IF($AG51="","",TRIM(MID(SUBSTITUTE($AG51,",",REPT(" ",100)),601,100)))</f>
        <v/>
      </c>
      <c r="AO51">
        <f>IF($AG51="","",TRIM(MID(SUBSTITUTE($AG51,",",REPT(" ",100)),701,100)))</f>
        <v/>
      </c>
      <c r="AP51">
        <f>IF($AG51="","",TRIM(MID(SUBSTITUTE($AG51,",",REPT(" ",100)),801,100)))</f>
        <v/>
      </c>
      <c r="AQ51">
        <f>IF($AG51="","",TRIM(MID(SUBSTITUTE($AG51,",",REPT(" ",100)),901,100)))</f>
        <v/>
      </c>
      <c r="AR51">
        <f>IF($AG51="","",TRIM(MID(SUBSTITUTE($AG51,",",REPT(" ",100)),1001,100)))</f>
        <v/>
      </c>
      <c r="AS51">
        <f>IF($AG51="","",TRIM(MID(SUBSTITUTE($AG51,",",REPT(" ",100)),1101,100)))</f>
        <v/>
      </c>
      <c r="AT51">
        <f>IF($AG51="","",TRIM(MID(SUBSTITUTE($AG51,",",REPT(" ",100)),1201,100)))</f>
        <v/>
      </c>
      <c r="AU51">
        <f>IF($AG51="","",TRIM(MID(SUBSTITUTE($AG51,",",REPT(" ",100)),1301,100)))</f>
        <v/>
      </c>
      <c r="AV51">
        <f>IF($AG51="","",TRIM(MID(SUBSTITUTE($AG51,",",REPT(" ",100)),1401,100)))</f>
        <v/>
      </c>
      <c r="AW51">
        <f>IF($L51="참여",", "&amp;L$4,"")</f>
        <v/>
      </c>
      <c r="AX51">
        <f>AW51&amp;IF($M51="참여",", "&amp;M$4,"")</f>
        <v/>
      </c>
      <c r="AY51">
        <f>AX51&amp;IF($N51="참여",", "&amp;N$4,"")</f>
        <v/>
      </c>
      <c r="AZ51">
        <f>AY51&amp;IF($O51="참여",", "&amp;O$4,"")</f>
        <v/>
      </c>
      <c r="BA51">
        <f>AZ51&amp;IF($P51="참여",", "&amp;P$4,"")</f>
        <v/>
      </c>
      <c r="BB51">
        <f>BA51&amp;IF($Q51="참여",", "&amp;Q$4,"")</f>
        <v/>
      </c>
      <c r="BC51">
        <f>BB51&amp;IF($R51="참여",", "&amp;R$4,"")</f>
        <v/>
      </c>
      <c r="BD51">
        <f>BC51&amp;IF($S51="참여",", "&amp;S$4,"")</f>
        <v/>
      </c>
      <c r="BE51">
        <f>BD51&amp;IF($T51="참여",", "&amp;T$4,"")</f>
        <v/>
      </c>
      <c r="BF51">
        <f>BE51&amp;IF($U51="참여",", "&amp;U$4,"")</f>
        <v/>
      </c>
      <c r="BG51">
        <f>BF51&amp;IF($V51="참여",", "&amp;V$4,"")</f>
        <v/>
      </c>
      <c r="BH51">
        <f>BG51&amp;IF($W51="참여",", "&amp;W$4,"")</f>
        <v/>
      </c>
      <c r="BI51">
        <f>BH51&amp;IF($X51="참여",", "&amp;X$4,"")</f>
        <v/>
      </c>
      <c r="BJ51">
        <f>BI51&amp;IF($Y51="참여",", "&amp;Y$4,"")</f>
        <v/>
      </c>
      <c r="BK51">
        <f>BJ51&amp;IF($Z51="참여",", "&amp;Z$4,"")</f>
        <v/>
      </c>
      <c r="BL51">
        <f>BK51&amp;IF($AA51="참여",", "&amp;AA$4,"")</f>
        <v/>
      </c>
      <c r="BM51">
        <f>BL51&amp;IF($AB51="참여",", "&amp;AB$4,"")</f>
        <v/>
      </c>
      <c r="BN51">
        <f>BM51&amp;IF($AC51="참여",", "&amp;AC$4,"")</f>
        <v/>
      </c>
      <c r="BO51">
        <f>BN51&amp;IF($AD51="참여",", "&amp;AD$4,"")</f>
        <v/>
      </c>
      <c r="BP51">
        <f>BO51&amp;IF($AE51="참여",", "&amp;AE$4,"")</f>
        <v/>
      </c>
    </row>
    <row r="52">
      <c r="A52" s="74" t="n"/>
      <c r="B52" s="42" t="n"/>
      <c r="C52" s="74" t="n"/>
      <c r="D52" s="80" t="n"/>
      <c r="E52" s="74" t="n"/>
      <c r="F52" s="74" t="n"/>
      <c r="G52" s="118">
        <f>IF($A52="","",20-COUNTBLANK($L52:$AE52))</f>
        <v/>
      </c>
      <c r="H52" s="130">
        <f>IF($A52="","",IFERROR(INDEX($L$4:$AE$4,MATCH("주담당",$L52:$AE52,0)),""))</f>
        <v/>
      </c>
      <c r="I52" s="122">
        <f>IF($A52="","",IF($H52="",$AG52,$H52&amp;IF($AG52="","",", "&amp;$AG52)))</f>
        <v/>
      </c>
      <c r="J52" s="42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  <c r="AA52" s="74" t="n"/>
      <c r="AB52" s="74" t="n"/>
      <c r="AC52" s="74" t="n"/>
      <c r="AD52" s="74" t="n"/>
      <c r="AE52" s="74" t="n"/>
      <c r="AG52">
        <f>IF($A52="","",MID($BP52,3,255))</f>
        <v/>
      </c>
      <c r="AH52">
        <f>IF($AG52="","",TRIM(MID(SUBSTITUTE($AG52,",",REPT(" ",100)),1,100)))</f>
        <v/>
      </c>
      <c r="AI52">
        <f>IF($AG52="","",TRIM(MID(SUBSTITUTE($AG52,",",REPT(" ",100)),101,100)))</f>
        <v/>
      </c>
      <c r="AJ52">
        <f>IF($AG52="","",TRIM(MID(SUBSTITUTE($AG52,",",REPT(" ",100)),201,100)))</f>
        <v/>
      </c>
      <c r="AK52">
        <f>IF($AG52="","",TRIM(MID(SUBSTITUTE($AG52,",",REPT(" ",100)),301,100)))</f>
        <v/>
      </c>
      <c r="AL52">
        <f>IF($AG52="","",TRIM(MID(SUBSTITUTE($AG52,",",REPT(" ",100)),401,100)))</f>
        <v/>
      </c>
      <c r="AM52">
        <f>IF($AG52="","",TRIM(MID(SUBSTITUTE($AG52,",",REPT(" ",100)),501,100)))</f>
        <v/>
      </c>
      <c r="AN52">
        <f>IF($AG52="","",TRIM(MID(SUBSTITUTE($AG52,",",REPT(" ",100)),601,100)))</f>
        <v/>
      </c>
      <c r="AO52">
        <f>IF($AG52="","",TRIM(MID(SUBSTITUTE($AG52,",",REPT(" ",100)),701,100)))</f>
        <v/>
      </c>
      <c r="AP52">
        <f>IF($AG52="","",TRIM(MID(SUBSTITUTE($AG52,",",REPT(" ",100)),801,100)))</f>
        <v/>
      </c>
      <c r="AQ52">
        <f>IF($AG52="","",TRIM(MID(SUBSTITUTE($AG52,",",REPT(" ",100)),901,100)))</f>
        <v/>
      </c>
      <c r="AR52">
        <f>IF($AG52="","",TRIM(MID(SUBSTITUTE($AG52,",",REPT(" ",100)),1001,100)))</f>
        <v/>
      </c>
      <c r="AS52">
        <f>IF($AG52="","",TRIM(MID(SUBSTITUTE($AG52,",",REPT(" ",100)),1101,100)))</f>
        <v/>
      </c>
      <c r="AT52">
        <f>IF($AG52="","",TRIM(MID(SUBSTITUTE($AG52,",",REPT(" ",100)),1201,100)))</f>
        <v/>
      </c>
      <c r="AU52">
        <f>IF($AG52="","",TRIM(MID(SUBSTITUTE($AG52,",",REPT(" ",100)),1301,100)))</f>
        <v/>
      </c>
      <c r="AV52">
        <f>IF($AG52="","",TRIM(MID(SUBSTITUTE($AG52,",",REPT(" ",100)),1401,100)))</f>
        <v/>
      </c>
      <c r="AW52">
        <f>IF($L52="참여",", "&amp;L$4,"")</f>
        <v/>
      </c>
      <c r="AX52">
        <f>AW52&amp;IF($M52="참여",", "&amp;M$4,"")</f>
        <v/>
      </c>
      <c r="AY52">
        <f>AX52&amp;IF($N52="참여",", "&amp;N$4,"")</f>
        <v/>
      </c>
      <c r="AZ52">
        <f>AY52&amp;IF($O52="참여",", "&amp;O$4,"")</f>
        <v/>
      </c>
      <c r="BA52">
        <f>AZ52&amp;IF($P52="참여",", "&amp;P$4,"")</f>
        <v/>
      </c>
      <c r="BB52">
        <f>BA52&amp;IF($Q52="참여",", "&amp;Q$4,"")</f>
        <v/>
      </c>
      <c r="BC52">
        <f>BB52&amp;IF($R52="참여",", "&amp;R$4,"")</f>
        <v/>
      </c>
      <c r="BD52">
        <f>BC52&amp;IF($S52="참여",", "&amp;S$4,"")</f>
        <v/>
      </c>
      <c r="BE52">
        <f>BD52&amp;IF($T52="참여",", "&amp;T$4,"")</f>
        <v/>
      </c>
      <c r="BF52">
        <f>BE52&amp;IF($U52="참여",", "&amp;U$4,"")</f>
        <v/>
      </c>
      <c r="BG52">
        <f>BF52&amp;IF($V52="참여",", "&amp;V$4,"")</f>
        <v/>
      </c>
      <c r="BH52">
        <f>BG52&amp;IF($W52="참여",", "&amp;W$4,"")</f>
        <v/>
      </c>
      <c r="BI52">
        <f>BH52&amp;IF($X52="참여",", "&amp;X$4,"")</f>
        <v/>
      </c>
      <c r="BJ52">
        <f>BI52&amp;IF($Y52="참여",", "&amp;Y$4,"")</f>
        <v/>
      </c>
      <c r="BK52">
        <f>BJ52&amp;IF($Z52="참여",", "&amp;Z$4,"")</f>
        <v/>
      </c>
      <c r="BL52">
        <f>BK52&amp;IF($AA52="참여",", "&amp;AA$4,"")</f>
        <v/>
      </c>
      <c r="BM52">
        <f>BL52&amp;IF($AB52="참여",", "&amp;AB$4,"")</f>
        <v/>
      </c>
      <c r="BN52">
        <f>BM52&amp;IF($AC52="참여",", "&amp;AC$4,"")</f>
        <v/>
      </c>
      <c r="BO52">
        <f>BN52&amp;IF($AD52="참여",", "&amp;AD$4,"")</f>
        <v/>
      </c>
      <c r="BP52">
        <f>BO52&amp;IF($AE52="참여",", "&amp;AE$4,"")</f>
        <v/>
      </c>
    </row>
    <row r="53">
      <c r="A53" s="74" t="n"/>
      <c r="B53" s="42" t="n"/>
      <c r="C53" s="74" t="n"/>
      <c r="D53" s="80" t="n"/>
      <c r="E53" s="74" t="n"/>
      <c r="F53" s="74" t="n"/>
      <c r="G53" s="118">
        <f>IF($A53="","",20-COUNTBLANK($L53:$AE53))</f>
        <v/>
      </c>
      <c r="H53" s="130">
        <f>IF($A53="","",IFERROR(INDEX($L$4:$AE$4,MATCH("주담당",$L53:$AE53,0)),""))</f>
        <v/>
      </c>
      <c r="I53" s="122">
        <f>IF($A53="","",IF($H53="",$AG53,$H53&amp;IF($AG53="","",", "&amp;$AG53)))</f>
        <v/>
      </c>
      <c r="J53" s="42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  <c r="AA53" s="74" t="n"/>
      <c r="AB53" s="74" t="n"/>
      <c r="AC53" s="74" t="n"/>
      <c r="AD53" s="74" t="n"/>
      <c r="AE53" s="74" t="n"/>
      <c r="AG53">
        <f>IF($A53="","",MID($BP53,3,255))</f>
        <v/>
      </c>
      <c r="AH53">
        <f>IF($AG53="","",TRIM(MID(SUBSTITUTE($AG53,",",REPT(" ",100)),1,100)))</f>
        <v/>
      </c>
      <c r="AI53">
        <f>IF($AG53="","",TRIM(MID(SUBSTITUTE($AG53,",",REPT(" ",100)),101,100)))</f>
        <v/>
      </c>
      <c r="AJ53">
        <f>IF($AG53="","",TRIM(MID(SUBSTITUTE($AG53,",",REPT(" ",100)),201,100)))</f>
        <v/>
      </c>
      <c r="AK53">
        <f>IF($AG53="","",TRIM(MID(SUBSTITUTE($AG53,",",REPT(" ",100)),301,100)))</f>
        <v/>
      </c>
      <c r="AL53">
        <f>IF($AG53="","",TRIM(MID(SUBSTITUTE($AG53,",",REPT(" ",100)),401,100)))</f>
        <v/>
      </c>
      <c r="AM53">
        <f>IF($AG53="","",TRIM(MID(SUBSTITUTE($AG53,",",REPT(" ",100)),501,100)))</f>
        <v/>
      </c>
      <c r="AN53">
        <f>IF($AG53="","",TRIM(MID(SUBSTITUTE($AG53,",",REPT(" ",100)),601,100)))</f>
        <v/>
      </c>
      <c r="AO53">
        <f>IF($AG53="","",TRIM(MID(SUBSTITUTE($AG53,",",REPT(" ",100)),701,100)))</f>
        <v/>
      </c>
      <c r="AP53">
        <f>IF($AG53="","",TRIM(MID(SUBSTITUTE($AG53,",",REPT(" ",100)),801,100)))</f>
        <v/>
      </c>
      <c r="AQ53">
        <f>IF($AG53="","",TRIM(MID(SUBSTITUTE($AG53,",",REPT(" ",100)),901,100)))</f>
        <v/>
      </c>
      <c r="AR53">
        <f>IF($AG53="","",TRIM(MID(SUBSTITUTE($AG53,",",REPT(" ",100)),1001,100)))</f>
        <v/>
      </c>
      <c r="AS53">
        <f>IF($AG53="","",TRIM(MID(SUBSTITUTE($AG53,",",REPT(" ",100)),1101,100)))</f>
        <v/>
      </c>
      <c r="AT53">
        <f>IF($AG53="","",TRIM(MID(SUBSTITUTE($AG53,",",REPT(" ",100)),1201,100)))</f>
        <v/>
      </c>
      <c r="AU53">
        <f>IF($AG53="","",TRIM(MID(SUBSTITUTE($AG53,",",REPT(" ",100)),1301,100)))</f>
        <v/>
      </c>
      <c r="AV53">
        <f>IF($AG53="","",TRIM(MID(SUBSTITUTE($AG53,",",REPT(" ",100)),1401,100)))</f>
        <v/>
      </c>
      <c r="AW53">
        <f>IF($L53="참여",", "&amp;L$4,"")</f>
        <v/>
      </c>
      <c r="AX53">
        <f>AW53&amp;IF($M53="참여",", "&amp;M$4,"")</f>
        <v/>
      </c>
      <c r="AY53">
        <f>AX53&amp;IF($N53="참여",", "&amp;N$4,"")</f>
        <v/>
      </c>
      <c r="AZ53">
        <f>AY53&amp;IF($O53="참여",", "&amp;O$4,"")</f>
        <v/>
      </c>
      <c r="BA53">
        <f>AZ53&amp;IF($P53="참여",", "&amp;P$4,"")</f>
        <v/>
      </c>
      <c r="BB53">
        <f>BA53&amp;IF($Q53="참여",", "&amp;Q$4,"")</f>
        <v/>
      </c>
      <c r="BC53">
        <f>BB53&amp;IF($R53="참여",", "&amp;R$4,"")</f>
        <v/>
      </c>
      <c r="BD53">
        <f>BC53&amp;IF($S53="참여",", "&amp;S$4,"")</f>
        <v/>
      </c>
      <c r="BE53">
        <f>BD53&amp;IF($T53="참여",", "&amp;T$4,"")</f>
        <v/>
      </c>
      <c r="BF53">
        <f>BE53&amp;IF($U53="참여",", "&amp;U$4,"")</f>
        <v/>
      </c>
      <c r="BG53">
        <f>BF53&amp;IF($V53="참여",", "&amp;V$4,"")</f>
        <v/>
      </c>
      <c r="BH53">
        <f>BG53&amp;IF($W53="참여",", "&amp;W$4,"")</f>
        <v/>
      </c>
      <c r="BI53">
        <f>BH53&amp;IF($X53="참여",", "&amp;X$4,"")</f>
        <v/>
      </c>
      <c r="BJ53">
        <f>BI53&amp;IF($Y53="참여",", "&amp;Y$4,"")</f>
        <v/>
      </c>
      <c r="BK53">
        <f>BJ53&amp;IF($Z53="참여",", "&amp;Z$4,"")</f>
        <v/>
      </c>
      <c r="BL53">
        <f>BK53&amp;IF($AA53="참여",", "&amp;AA$4,"")</f>
        <v/>
      </c>
      <c r="BM53">
        <f>BL53&amp;IF($AB53="참여",", "&amp;AB$4,"")</f>
        <v/>
      </c>
      <c r="BN53">
        <f>BM53&amp;IF($AC53="참여",", "&amp;AC$4,"")</f>
        <v/>
      </c>
      <c r="BO53">
        <f>BN53&amp;IF($AD53="참여",", "&amp;AD$4,"")</f>
        <v/>
      </c>
      <c r="BP53">
        <f>BO53&amp;IF($AE53="참여",", "&amp;AE$4,"")</f>
        <v/>
      </c>
    </row>
    <row r="54">
      <c r="A54" s="74" t="n"/>
      <c r="B54" s="42" t="n"/>
      <c r="C54" s="74" t="n"/>
      <c r="D54" s="80" t="n"/>
      <c r="E54" s="74" t="n"/>
      <c r="F54" s="74" t="n"/>
      <c r="G54" s="118">
        <f>IF($A54="","",20-COUNTBLANK($L54:$AE54))</f>
        <v/>
      </c>
      <c r="H54" s="130">
        <f>IF($A54="","",IFERROR(INDEX($L$4:$AE$4,MATCH("주담당",$L54:$AE54,0)),""))</f>
        <v/>
      </c>
      <c r="I54" s="122">
        <f>IF($A54="","",IF($H54="",$AG54,$H54&amp;IF($AG54="","",", "&amp;$AG54)))</f>
        <v/>
      </c>
      <c r="J54" s="42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  <c r="AA54" s="74" t="n"/>
      <c r="AB54" s="74" t="n"/>
      <c r="AC54" s="74" t="n"/>
      <c r="AD54" s="74" t="n"/>
      <c r="AE54" s="74" t="n"/>
      <c r="AG54">
        <f>IF($A54="","",MID($BP54,3,255))</f>
        <v/>
      </c>
      <c r="AH54">
        <f>IF($AG54="","",TRIM(MID(SUBSTITUTE($AG54,",",REPT(" ",100)),1,100)))</f>
        <v/>
      </c>
      <c r="AI54">
        <f>IF($AG54="","",TRIM(MID(SUBSTITUTE($AG54,",",REPT(" ",100)),101,100)))</f>
        <v/>
      </c>
      <c r="AJ54">
        <f>IF($AG54="","",TRIM(MID(SUBSTITUTE($AG54,",",REPT(" ",100)),201,100)))</f>
        <v/>
      </c>
      <c r="AK54">
        <f>IF($AG54="","",TRIM(MID(SUBSTITUTE($AG54,",",REPT(" ",100)),301,100)))</f>
        <v/>
      </c>
      <c r="AL54">
        <f>IF($AG54="","",TRIM(MID(SUBSTITUTE($AG54,",",REPT(" ",100)),401,100)))</f>
        <v/>
      </c>
      <c r="AM54">
        <f>IF($AG54="","",TRIM(MID(SUBSTITUTE($AG54,",",REPT(" ",100)),501,100)))</f>
        <v/>
      </c>
      <c r="AN54">
        <f>IF($AG54="","",TRIM(MID(SUBSTITUTE($AG54,",",REPT(" ",100)),601,100)))</f>
        <v/>
      </c>
      <c r="AO54">
        <f>IF($AG54="","",TRIM(MID(SUBSTITUTE($AG54,",",REPT(" ",100)),701,100)))</f>
        <v/>
      </c>
      <c r="AP54">
        <f>IF($AG54="","",TRIM(MID(SUBSTITUTE($AG54,",",REPT(" ",100)),801,100)))</f>
        <v/>
      </c>
      <c r="AQ54">
        <f>IF($AG54="","",TRIM(MID(SUBSTITUTE($AG54,",",REPT(" ",100)),901,100)))</f>
        <v/>
      </c>
      <c r="AR54">
        <f>IF($AG54="","",TRIM(MID(SUBSTITUTE($AG54,",",REPT(" ",100)),1001,100)))</f>
        <v/>
      </c>
      <c r="AS54">
        <f>IF($AG54="","",TRIM(MID(SUBSTITUTE($AG54,",",REPT(" ",100)),1101,100)))</f>
        <v/>
      </c>
      <c r="AT54">
        <f>IF($AG54="","",TRIM(MID(SUBSTITUTE($AG54,",",REPT(" ",100)),1201,100)))</f>
        <v/>
      </c>
      <c r="AU54">
        <f>IF($AG54="","",TRIM(MID(SUBSTITUTE($AG54,",",REPT(" ",100)),1301,100)))</f>
        <v/>
      </c>
      <c r="AV54">
        <f>IF($AG54="","",TRIM(MID(SUBSTITUTE($AG54,",",REPT(" ",100)),1401,100)))</f>
        <v/>
      </c>
      <c r="AW54">
        <f>IF($L54="참여",", "&amp;L$4,"")</f>
        <v/>
      </c>
      <c r="AX54">
        <f>AW54&amp;IF($M54="참여",", "&amp;M$4,"")</f>
        <v/>
      </c>
      <c r="AY54">
        <f>AX54&amp;IF($N54="참여",", "&amp;N$4,"")</f>
        <v/>
      </c>
      <c r="AZ54">
        <f>AY54&amp;IF($O54="참여",", "&amp;O$4,"")</f>
        <v/>
      </c>
      <c r="BA54">
        <f>AZ54&amp;IF($P54="참여",", "&amp;P$4,"")</f>
        <v/>
      </c>
      <c r="BB54">
        <f>BA54&amp;IF($Q54="참여",", "&amp;Q$4,"")</f>
        <v/>
      </c>
      <c r="BC54">
        <f>BB54&amp;IF($R54="참여",", "&amp;R$4,"")</f>
        <v/>
      </c>
      <c r="BD54">
        <f>BC54&amp;IF($S54="참여",", "&amp;S$4,"")</f>
        <v/>
      </c>
      <c r="BE54">
        <f>BD54&amp;IF($T54="참여",", "&amp;T$4,"")</f>
        <v/>
      </c>
      <c r="BF54">
        <f>BE54&amp;IF($U54="참여",", "&amp;U$4,"")</f>
        <v/>
      </c>
      <c r="BG54">
        <f>BF54&amp;IF($V54="참여",", "&amp;V$4,"")</f>
        <v/>
      </c>
      <c r="BH54">
        <f>BG54&amp;IF($W54="참여",", "&amp;W$4,"")</f>
        <v/>
      </c>
      <c r="BI54">
        <f>BH54&amp;IF($X54="참여",", "&amp;X$4,"")</f>
        <v/>
      </c>
      <c r="BJ54">
        <f>BI54&amp;IF($Y54="참여",", "&amp;Y$4,"")</f>
        <v/>
      </c>
      <c r="BK54">
        <f>BJ54&amp;IF($Z54="참여",", "&amp;Z$4,"")</f>
        <v/>
      </c>
      <c r="BL54">
        <f>BK54&amp;IF($AA54="참여",", "&amp;AA$4,"")</f>
        <v/>
      </c>
      <c r="BM54">
        <f>BL54&amp;IF($AB54="참여",", "&amp;AB$4,"")</f>
        <v/>
      </c>
      <c r="BN54">
        <f>BM54&amp;IF($AC54="참여",", "&amp;AC$4,"")</f>
        <v/>
      </c>
      <c r="BO54">
        <f>BN54&amp;IF($AD54="참여",", "&amp;AD$4,"")</f>
        <v/>
      </c>
      <c r="BP54">
        <f>BO54&amp;IF($AE54="참여",", "&amp;AE$4,"")</f>
        <v/>
      </c>
    </row>
    <row r="55">
      <c r="A55" s="74" t="n"/>
      <c r="B55" s="42" t="n"/>
      <c r="C55" s="74" t="n"/>
      <c r="D55" s="80" t="n"/>
      <c r="E55" s="74" t="n"/>
      <c r="F55" s="74" t="n"/>
      <c r="G55" s="118">
        <f>IF($A55="","",20-COUNTBLANK($L55:$AE55))</f>
        <v/>
      </c>
      <c r="H55" s="130">
        <f>IF($A55="","",IFERROR(INDEX($L$4:$AE$4,MATCH("주담당",$L55:$AE55,0)),""))</f>
        <v/>
      </c>
      <c r="I55" s="122">
        <f>IF($A55="","",IF($H55="",$AG55,$H55&amp;IF($AG55="","",", "&amp;$AG55)))</f>
        <v/>
      </c>
      <c r="J55" s="42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  <c r="AA55" s="74" t="n"/>
      <c r="AB55" s="74" t="n"/>
      <c r="AC55" s="74" t="n"/>
      <c r="AD55" s="74" t="n"/>
      <c r="AE55" s="74" t="n"/>
      <c r="AG55">
        <f>IF($A55="","",MID($BP55,3,255))</f>
        <v/>
      </c>
      <c r="AH55">
        <f>IF($AG55="","",TRIM(MID(SUBSTITUTE($AG55,",",REPT(" ",100)),1,100)))</f>
        <v/>
      </c>
      <c r="AI55">
        <f>IF($AG55="","",TRIM(MID(SUBSTITUTE($AG55,",",REPT(" ",100)),101,100)))</f>
        <v/>
      </c>
      <c r="AJ55">
        <f>IF($AG55="","",TRIM(MID(SUBSTITUTE($AG55,",",REPT(" ",100)),201,100)))</f>
        <v/>
      </c>
      <c r="AK55">
        <f>IF($AG55="","",TRIM(MID(SUBSTITUTE($AG55,",",REPT(" ",100)),301,100)))</f>
        <v/>
      </c>
      <c r="AL55">
        <f>IF($AG55="","",TRIM(MID(SUBSTITUTE($AG55,",",REPT(" ",100)),401,100)))</f>
        <v/>
      </c>
      <c r="AM55">
        <f>IF($AG55="","",TRIM(MID(SUBSTITUTE($AG55,",",REPT(" ",100)),501,100)))</f>
        <v/>
      </c>
      <c r="AN55">
        <f>IF($AG55="","",TRIM(MID(SUBSTITUTE($AG55,",",REPT(" ",100)),601,100)))</f>
        <v/>
      </c>
      <c r="AO55">
        <f>IF($AG55="","",TRIM(MID(SUBSTITUTE($AG55,",",REPT(" ",100)),701,100)))</f>
        <v/>
      </c>
      <c r="AP55">
        <f>IF($AG55="","",TRIM(MID(SUBSTITUTE($AG55,",",REPT(" ",100)),801,100)))</f>
        <v/>
      </c>
      <c r="AQ55">
        <f>IF($AG55="","",TRIM(MID(SUBSTITUTE($AG55,",",REPT(" ",100)),901,100)))</f>
        <v/>
      </c>
      <c r="AR55">
        <f>IF($AG55="","",TRIM(MID(SUBSTITUTE($AG55,",",REPT(" ",100)),1001,100)))</f>
        <v/>
      </c>
      <c r="AS55">
        <f>IF($AG55="","",TRIM(MID(SUBSTITUTE($AG55,",",REPT(" ",100)),1101,100)))</f>
        <v/>
      </c>
      <c r="AT55">
        <f>IF($AG55="","",TRIM(MID(SUBSTITUTE($AG55,",",REPT(" ",100)),1201,100)))</f>
        <v/>
      </c>
      <c r="AU55">
        <f>IF($AG55="","",TRIM(MID(SUBSTITUTE($AG55,",",REPT(" ",100)),1301,100)))</f>
        <v/>
      </c>
      <c r="AV55">
        <f>IF($AG55="","",TRIM(MID(SUBSTITUTE($AG55,",",REPT(" ",100)),1401,100)))</f>
        <v/>
      </c>
      <c r="AW55">
        <f>IF($L55="참여",", "&amp;L$4,"")</f>
        <v/>
      </c>
      <c r="AX55">
        <f>AW55&amp;IF($M55="참여",", "&amp;M$4,"")</f>
        <v/>
      </c>
      <c r="AY55">
        <f>AX55&amp;IF($N55="참여",", "&amp;N$4,"")</f>
        <v/>
      </c>
      <c r="AZ55">
        <f>AY55&amp;IF($O55="참여",", "&amp;O$4,"")</f>
        <v/>
      </c>
      <c r="BA55">
        <f>AZ55&amp;IF($P55="참여",", "&amp;P$4,"")</f>
        <v/>
      </c>
      <c r="BB55">
        <f>BA55&amp;IF($Q55="참여",", "&amp;Q$4,"")</f>
        <v/>
      </c>
      <c r="BC55">
        <f>BB55&amp;IF($R55="참여",", "&amp;R$4,"")</f>
        <v/>
      </c>
      <c r="BD55">
        <f>BC55&amp;IF($S55="참여",", "&amp;S$4,"")</f>
        <v/>
      </c>
      <c r="BE55">
        <f>BD55&amp;IF($T55="참여",", "&amp;T$4,"")</f>
        <v/>
      </c>
      <c r="BF55">
        <f>BE55&amp;IF($U55="참여",", "&amp;U$4,"")</f>
        <v/>
      </c>
      <c r="BG55">
        <f>BF55&amp;IF($V55="참여",", "&amp;V$4,"")</f>
        <v/>
      </c>
      <c r="BH55">
        <f>BG55&amp;IF($W55="참여",", "&amp;W$4,"")</f>
        <v/>
      </c>
      <c r="BI55">
        <f>BH55&amp;IF($X55="참여",", "&amp;X$4,"")</f>
        <v/>
      </c>
      <c r="BJ55">
        <f>BI55&amp;IF($Y55="참여",", "&amp;Y$4,"")</f>
        <v/>
      </c>
      <c r="BK55">
        <f>BJ55&amp;IF($Z55="참여",", "&amp;Z$4,"")</f>
        <v/>
      </c>
      <c r="BL55">
        <f>BK55&amp;IF($AA55="참여",", "&amp;AA$4,"")</f>
        <v/>
      </c>
      <c r="BM55">
        <f>BL55&amp;IF($AB55="참여",", "&amp;AB$4,"")</f>
        <v/>
      </c>
      <c r="BN55">
        <f>BM55&amp;IF($AC55="참여",", "&amp;AC$4,"")</f>
        <v/>
      </c>
      <c r="BO55">
        <f>BN55&amp;IF($AD55="참여",", "&amp;AD$4,"")</f>
        <v/>
      </c>
      <c r="BP55">
        <f>BO55&amp;IF($AE55="참여",", "&amp;AE$4,"")</f>
        <v/>
      </c>
    </row>
    <row r="56">
      <c r="A56" s="74" t="n"/>
      <c r="B56" s="42" t="n"/>
      <c r="C56" s="74" t="n"/>
      <c r="D56" s="80" t="n"/>
      <c r="E56" s="74" t="n"/>
      <c r="F56" s="74" t="n"/>
      <c r="G56" s="118">
        <f>IF($A56="","",20-COUNTBLANK($L56:$AE56))</f>
        <v/>
      </c>
      <c r="H56" s="130">
        <f>IF($A56="","",IFERROR(INDEX($L$4:$AE$4,MATCH("주담당",$L56:$AE56,0)),""))</f>
        <v/>
      </c>
      <c r="I56" s="122">
        <f>IF($A56="","",IF($H56="",$AG56,$H56&amp;IF($AG56="","",", "&amp;$AG56)))</f>
        <v/>
      </c>
      <c r="J56" s="42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  <c r="AA56" s="74" t="n"/>
      <c r="AB56" s="74" t="n"/>
      <c r="AC56" s="74" t="n"/>
      <c r="AD56" s="74" t="n"/>
      <c r="AE56" s="74" t="n"/>
      <c r="AG56">
        <f>IF($A56="","",MID($BP56,3,255))</f>
        <v/>
      </c>
      <c r="AH56">
        <f>IF($AG56="","",TRIM(MID(SUBSTITUTE($AG56,",",REPT(" ",100)),1,100)))</f>
        <v/>
      </c>
      <c r="AI56">
        <f>IF($AG56="","",TRIM(MID(SUBSTITUTE($AG56,",",REPT(" ",100)),101,100)))</f>
        <v/>
      </c>
      <c r="AJ56">
        <f>IF($AG56="","",TRIM(MID(SUBSTITUTE($AG56,",",REPT(" ",100)),201,100)))</f>
        <v/>
      </c>
      <c r="AK56">
        <f>IF($AG56="","",TRIM(MID(SUBSTITUTE($AG56,",",REPT(" ",100)),301,100)))</f>
        <v/>
      </c>
      <c r="AL56">
        <f>IF($AG56="","",TRIM(MID(SUBSTITUTE($AG56,",",REPT(" ",100)),401,100)))</f>
        <v/>
      </c>
      <c r="AM56">
        <f>IF($AG56="","",TRIM(MID(SUBSTITUTE($AG56,",",REPT(" ",100)),501,100)))</f>
        <v/>
      </c>
      <c r="AN56">
        <f>IF($AG56="","",TRIM(MID(SUBSTITUTE($AG56,",",REPT(" ",100)),601,100)))</f>
        <v/>
      </c>
      <c r="AO56">
        <f>IF($AG56="","",TRIM(MID(SUBSTITUTE($AG56,",",REPT(" ",100)),701,100)))</f>
        <v/>
      </c>
      <c r="AP56">
        <f>IF($AG56="","",TRIM(MID(SUBSTITUTE($AG56,",",REPT(" ",100)),801,100)))</f>
        <v/>
      </c>
      <c r="AQ56">
        <f>IF($AG56="","",TRIM(MID(SUBSTITUTE($AG56,",",REPT(" ",100)),901,100)))</f>
        <v/>
      </c>
      <c r="AR56">
        <f>IF($AG56="","",TRIM(MID(SUBSTITUTE($AG56,",",REPT(" ",100)),1001,100)))</f>
        <v/>
      </c>
      <c r="AS56">
        <f>IF($AG56="","",TRIM(MID(SUBSTITUTE($AG56,",",REPT(" ",100)),1101,100)))</f>
        <v/>
      </c>
      <c r="AT56">
        <f>IF($AG56="","",TRIM(MID(SUBSTITUTE($AG56,",",REPT(" ",100)),1201,100)))</f>
        <v/>
      </c>
      <c r="AU56">
        <f>IF($AG56="","",TRIM(MID(SUBSTITUTE($AG56,",",REPT(" ",100)),1301,100)))</f>
        <v/>
      </c>
      <c r="AV56">
        <f>IF($AG56="","",TRIM(MID(SUBSTITUTE($AG56,",",REPT(" ",100)),1401,100)))</f>
        <v/>
      </c>
      <c r="AW56">
        <f>IF($L56="참여",", "&amp;L$4,"")</f>
        <v/>
      </c>
      <c r="AX56">
        <f>AW56&amp;IF($M56="참여",", "&amp;M$4,"")</f>
        <v/>
      </c>
      <c r="AY56">
        <f>AX56&amp;IF($N56="참여",", "&amp;N$4,"")</f>
        <v/>
      </c>
      <c r="AZ56">
        <f>AY56&amp;IF($O56="참여",", "&amp;O$4,"")</f>
        <v/>
      </c>
      <c r="BA56">
        <f>AZ56&amp;IF($P56="참여",", "&amp;P$4,"")</f>
        <v/>
      </c>
      <c r="BB56">
        <f>BA56&amp;IF($Q56="참여",", "&amp;Q$4,"")</f>
        <v/>
      </c>
      <c r="BC56">
        <f>BB56&amp;IF($R56="참여",", "&amp;R$4,"")</f>
        <v/>
      </c>
      <c r="BD56">
        <f>BC56&amp;IF($S56="참여",", "&amp;S$4,"")</f>
        <v/>
      </c>
      <c r="BE56">
        <f>BD56&amp;IF($T56="참여",", "&amp;T$4,"")</f>
        <v/>
      </c>
      <c r="BF56">
        <f>BE56&amp;IF($U56="참여",", "&amp;U$4,"")</f>
        <v/>
      </c>
      <c r="BG56">
        <f>BF56&amp;IF($V56="참여",", "&amp;V$4,"")</f>
        <v/>
      </c>
      <c r="BH56">
        <f>BG56&amp;IF($W56="참여",", "&amp;W$4,"")</f>
        <v/>
      </c>
      <c r="BI56">
        <f>BH56&amp;IF($X56="참여",", "&amp;X$4,"")</f>
        <v/>
      </c>
      <c r="BJ56">
        <f>BI56&amp;IF($Y56="참여",", "&amp;Y$4,"")</f>
        <v/>
      </c>
      <c r="BK56">
        <f>BJ56&amp;IF($Z56="참여",", "&amp;Z$4,"")</f>
        <v/>
      </c>
      <c r="BL56">
        <f>BK56&amp;IF($AA56="참여",", "&amp;AA$4,"")</f>
        <v/>
      </c>
      <c r="BM56">
        <f>BL56&amp;IF($AB56="참여",", "&amp;AB$4,"")</f>
        <v/>
      </c>
      <c r="BN56">
        <f>BM56&amp;IF($AC56="참여",", "&amp;AC$4,"")</f>
        <v/>
      </c>
      <c r="BO56">
        <f>BN56&amp;IF($AD56="참여",", "&amp;AD$4,"")</f>
        <v/>
      </c>
      <c r="BP56">
        <f>BO56&amp;IF($AE56="참여",", "&amp;AE$4,"")</f>
        <v/>
      </c>
    </row>
    <row r="57">
      <c r="A57" s="74" t="n"/>
      <c r="B57" s="42" t="n"/>
      <c r="C57" s="74" t="n"/>
      <c r="D57" s="80" t="n"/>
      <c r="E57" s="74" t="n"/>
      <c r="F57" s="74" t="n"/>
      <c r="G57" s="118">
        <f>IF($A57="","",20-COUNTBLANK($L57:$AE57))</f>
        <v/>
      </c>
      <c r="H57" s="130">
        <f>IF($A57="","",IFERROR(INDEX($L$4:$AE$4,MATCH("주담당",$L57:$AE57,0)),""))</f>
        <v/>
      </c>
      <c r="I57" s="122">
        <f>IF($A57="","",IF($H57="",$AG57,$H57&amp;IF($AG57="","",", "&amp;$AG57)))</f>
        <v/>
      </c>
      <c r="J57" s="42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  <c r="AA57" s="74" t="n"/>
      <c r="AB57" s="74" t="n"/>
      <c r="AC57" s="74" t="n"/>
      <c r="AD57" s="74" t="n"/>
      <c r="AE57" s="74" t="n"/>
      <c r="AG57">
        <f>IF($A57="","",MID($BP57,3,255))</f>
        <v/>
      </c>
      <c r="AH57">
        <f>IF($AG57="","",TRIM(MID(SUBSTITUTE($AG57,",",REPT(" ",100)),1,100)))</f>
        <v/>
      </c>
      <c r="AI57">
        <f>IF($AG57="","",TRIM(MID(SUBSTITUTE($AG57,",",REPT(" ",100)),101,100)))</f>
        <v/>
      </c>
      <c r="AJ57">
        <f>IF($AG57="","",TRIM(MID(SUBSTITUTE($AG57,",",REPT(" ",100)),201,100)))</f>
        <v/>
      </c>
      <c r="AK57">
        <f>IF($AG57="","",TRIM(MID(SUBSTITUTE($AG57,",",REPT(" ",100)),301,100)))</f>
        <v/>
      </c>
      <c r="AL57">
        <f>IF($AG57="","",TRIM(MID(SUBSTITUTE($AG57,",",REPT(" ",100)),401,100)))</f>
        <v/>
      </c>
      <c r="AM57">
        <f>IF($AG57="","",TRIM(MID(SUBSTITUTE($AG57,",",REPT(" ",100)),501,100)))</f>
        <v/>
      </c>
      <c r="AN57">
        <f>IF($AG57="","",TRIM(MID(SUBSTITUTE($AG57,",",REPT(" ",100)),601,100)))</f>
        <v/>
      </c>
      <c r="AO57">
        <f>IF($AG57="","",TRIM(MID(SUBSTITUTE($AG57,",",REPT(" ",100)),701,100)))</f>
        <v/>
      </c>
      <c r="AP57">
        <f>IF($AG57="","",TRIM(MID(SUBSTITUTE($AG57,",",REPT(" ",100)),801,100)))</f>
        <v/>
      </c>
      <c r="AQ57">
        <f>IF($AG57="","",TRIM(MID(SUBSTITUTE($AG57,",",REPT(" ",100)),901,100)))</f>
        <v/>
      </c>
      <c r="AR57">
        <f>IF($AG57="","",TRIM(MID(SUBSTITUTE($AG57,",",REPT(" ",100)),1001,100)))</f>
        <v/>
      </c>
      <c r="AS57">
        <f>IF($AG57="","",TRIM(MID(SUBSTITUTE($AG57,",",REPT(" ",100)),1101,100)))</f>
        <v/>
      </c>
      <c r="AT57">
        <f>IF($AG57="","",TRIM(MID(SUBSTITUTE($AG57,",",REPT(" ",100)),1201,100)))</f>
        <v/>
      </c>
      <c r="AU57">
        <f>IF($AG57="","",TRIM(MID(SUBSTITUTE($AG57,",",REPT(" ",100)),1301,100)))</f>
        <v/>
      </c>
      <c r="AV57">
        <f>IF($AG57="","",TRIM(MID(SUBSTITUTE($AG57,",",REPT(" ",100)),1401,100)))</f>
        <v/>
      </c>
      <c r="AW57">
        <f>IF($L57="참여",", "&amp;L$4,"")</f>
        <v/>
      </c>
      <c r="AX57">
        <f>AW57&amp;IF($M57="참여",", "&amp;M$4,"")</f>
        <v/>
      </c>
      <c r="AY57">
        <f>AX57&amp;IF($N57="참여",", "&amp;N$4,"")</f>
        <v/>
      </c>
      <c r="AZ57">
        <f>AY57&amp;IF($O57="참여",", "&amp;O$4,"")</f>
        <v/>
      </c>
      <c r="BA57">
        <f>AZ57&amp;IF($P57="참여",", "&amp;P$4,"")</f>
        <v/>
      </c>
      <c r="BB57">
        <f>BA57&amp;IF($Q57="참여",", "&amp;Q$4,"")</f>
        <v/>
      </c>
      <c r="BC57">
        <f>BB57&amp;IF($R57="참여",", "&amp;R$4,"")</f>
        <v/>
      </c>
      <c r="BD57">
        <f>BC57&amp;IF($S57="참여",", "&amp;S$4,"")</f>
        <v/>
      </c>
      <c r="BE57">
        <f>BD57&amp;IF($T57="참여",", "&amp;T$4,"")</f>
        <v/>
      </c>
      <c r="BF57">
        <f>BE57&amp;IF($U57="참여",", "&amp;U$4,"")</f>
        <v/>
      </c>
      <c r="BG57">
        <f>BF57&amp;IF($V57="참여",", "&amp;V$4,"")</f>
        <v/>
      </c>
      <c r="BH57">
        <f>BG57&amp;IF($W57="참여",", "&amp;W$4,"")</f>
        <v/>
      </c>
      <c r="BI57">
        <f>BH57&amp;IF($X57="참여",", "&amp;X$4,"")</f>
        <v/>
      </c>
      <c r="BJ57">
        <f>BI57&amp;IF($Y57="참여",", "&amp;Y$4,"")</f>
        <v/>
      </c>
      <c r="BK57">
        <f>BJ57&amp;IF($Z57="참여",", "&amp;Z$4,"")</f>
        <v/>
      </c>
      <c r="BL57">
        <f>BK57&amp;IF($AA57="참여",", "&amp;AA$4,"")</f>
        <v/>
      </c>
      <c r="BM57">
        <f>BL57&amp;IF($AB57="참여",", "&amp;AB$4,"")</f>
        <v/>
      </c>
      <c r="BN57">
        <f>BM57&amp;IF($AC57="참여",", "&amp;AC$4,"")</f>
        <v/>
      </c>
      <c r="BO57">
        <f>BN57&amp;IF($AD57="참여",", "&amp;AD$4,"")</f>
        <v/>
      </c>
      <c r="BP57">
        <f>BO57&amp;IF($AE57="참여",", "&amp;AE$4,"")</f>
        <v/>
      </c>
    </row>
    <row r="58">
      <c r="A58" s="74" t="n"/>
      <c r="B58" s="42" t="n"/>
      <c r="C58" s="74" t="n"/>
      <c r="D58" s="80" t="n"/>
      <c r="E58" s="74" t="n"/>
      <c r="F58" s="74" t="n"/>
      <c r="G58" s="118">
        <f>IF($A58="","",20-COUNTBLANK($L58:$AE58))</f>
        <v/>
      </c>
      <c r="H58" s="130">
        <f>IF($A58="","",IFERROR(INDEX($L$4:$AE$4,MATCH("주담당",$L58:$AE58,0)),""))</f>
        <v/>
      </c>
      <c r="I58" s="122">
        <f>IF($A58="","",IF($H58="",$AG58,$H58&amp;IF($AG58="","",", "&amp;$AG58)))</f>
        <v/>
      </c>
      <c r="J58" s="42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  <c r="AB58" s="74" t="n"/>
      <c r="AC58" s="74" t="n"/>
      <c r="AD58" s="74" t="n"/>
      <c r="AE58" s="74" t="n"/>
      <c r="AG58">
        <f>IF($A58="","",MID($BP58,3,255))</f>
        <v/>
      </c>
      <c r="AH58">
        <f>IF($AG58="","",TRIM(MID(SUBSTITUTE($AG58,",",REPT(" ",100)),1,100)))</f>
        <v/>
      </c>
      <c r="AI58">
        <f>IF($AG58="","",TRIM(MID(SUBSTITUTE($AG58,",",REPT(" ",100)),101,100)))</f>
        <v/>
      </c>
      <c r="AJ58">
        <f>IF($AG58="","",TRIM(MID(SUBSTITUTE($AG58,",",REPT(" ",100)),201,100)))</f>
        <v/>
      </c>
      <c r="AK58">
        <f>IF($AG58="","",TRIM(MID(SUBSTITUTE($AG58,",",REPT(" ",100)),301,100)))</f>
        <v/>
      </c>
      <c r="AL58">
        <f>IF($AG58="","",TRIM(MID(SUBSTITUTE($AG58,",",REPT(" ",100)),401,100)))</f>
        <v/>
      </c>
      <c r="AM58">
        <f>IF($AG58="","",TRIM(MID(SUBSTITUTE($AG58,",",REPT(" ",100)),501,100)))</f>
        <v/>
      </c>
      <c r="AN58">
        <f>IF($AG58="","",TRIM(MID(SUBSTITUTE($AG58,",",REPT(" ",100)),601,100)))</f>
        <v/>
      </c>
      <c r="AO58">
        <f>IF($AG58="","",TRIM(MID(SUBSTITUTE($AG58,",",REPT(" ",100)),701,100)))</f>
        <v/>
      </c>
      <c r="AP58">
        <f>IF($AG58="","",TRIM(MID(SUBSTITUTE($AG58,",",REPT(" ",100)),801,100)))</f>
        <v/>
      </c>
      <c r="AQ58">
        <f>IF($AG58="","",TRIM(MID(SUBSTITUTE($AG58,",",REPT(" ",100)),901,100)))</f>
        <v/>
      </c>
      <c r="AR58">
        <f>IF($AG58="","",TRIM(MID(SUBSTITUTE($AG58,",",REPT(" ",100)),1001,100)))</f>
        <v/>
      </c>
      <c r="AS58">
        <f>IF($AG58="","",TRIM(MID(SUBSTITUTE($AG58,",",REPT(" ",100)),1101,100)))</f>
        <v/>
      </c>
      <c r="AT58">
        <f>IF($AG58="","",TRIM(MID(SUBSTITUTE($AG58,",",REPT(" ",100)),1201,100)))</f>
        <v/>
      </c>
      <c r="AU58">
        <f>IF($AG58="","",TRIM(MID(SUBSTITUTE($AG58,",",REPT(" ",100)),1301,100)))</f>
        <v/>
      </c>
      <c r="AV58">
        <f>IF($AG58="","",TRIM(MID(SUBSTITUTE($AG58,",",REPT(" ",100)),1401,100)))</f>
        <v/>
      </c>
      <c r="AW58">
        <f>IF($L58="참여",", "&amp;L$4,"")</f>
        <v/>
      </c>
      <c r="AX58">
        <f>AW58&amp;IF($M58="참여",", "&amp;M$4,"")</f>
        <v/>
      </c>
      <c r="AY58">
        <f>AX58&amp;IF($N58="참여",", "&amp;N$4,"")</f>
        <v/>
      </c>
      <c r="AZ58">
        <f>AY58&amp;IF($O58="참여",", "&amp;O$4,"")</f>
        <v/>
      </c>
      <c r="BA58">
        <f>AZ58&amp;IF($P58="참여",", "&amp;P$4,"")</f>
        <v/>
      </c>
      <c r="BB58">
        <f>BA58&amp;IF($Q58="참여",", "&amp;Q$4,"")</f>
        <v/>
      </c>
      <c r="BC58">
        <f>BB58&amp;IF($R58="참여",", "&amp;R$4,"")</f>
        <v/>
      </c>
      <c r="BD58">
        <f>BC58&amp;IF($S58="참여",", "&amp;S$4,"")</f>
        <v/>
      </c>
      <c r="BE58">
        <f>BD58&amp;IF($T58="참여",", "&amp;T$4,"")</f>
        <v/>
      </c>
      <c r="BF58">
        <f>BE58&amp;IF($U58="참여",", "&amp;U$4,"")</f>
        <v/>
      </c>
      <c r="BG58">
        <f>BF58&amp;IF($V58="참여",", "&amp;V$4,"")</f>
        <v/>
      </c>
      <c r="BH58">
        <f>BG58&amp;IF($W58="참여",", "&amp;W$4,"")</f>
        <v/>
      </c>
      <c r="BI58">
        <f>BH58&amp;IF($X58="참여",", "&amp;X$4,"")</f>
        <v/>
      </c>
      <c r="BJ58">
        <f>BI58&amp;IF($Y58="참여",", "&amp;Y$4,"")</f>
        <v/>
      </c>
      <c r="BK58">
        <f>BJ58&amp;IF($Z58="참여",", "&amp;Z$4,"")</f>
        <v/>
      </c>
      <c r="BL58">
        <f>BK58&amp;IF($AA58="참여",", "&amp;AA$4,"")</f>
        <v/>
      </c>
      <c r="BM58">
        <f>BL58&amp;IF($AB58="참여",", "&amp;AB$4,"")</f>
        <v/>
      </c>
      <c r="BN58">
        <f>BM58&amp;IF($AC58="참여",", "&amp;AC$4,"")</f>
        <v/>
      </c>
      <c r="BO58">
        <f>BN58&amp;IF($AD58="참여",", "&amp;AD$4,"")</f>
        <v/>
      </c>
      <c r="BP58">
        <f>BO58&amp;IF($AE58="참여",", "&amp;AE$4,"")</f>
        <v/>
      </c>
    </row>
    <row r="59">
      <c r="A59" s="74" t="n"/>
      <c r="B59" s="42" t="n"/>
      <c r="C59" s="74" t="n"/>
      <c r="D59" s="80" t="n"/>
      <c r="E59" s="74" t="n"/>
      <c r="F59" s="74" t="n"/>
      <c r="G59" s="118">
        <f>IF($A59="","",20-COUNTBLANK($L59:$AE59))</f>
        <v/>
      </c>
      <c r="H59" s="130">
        <f>IF($A59="","",IFERROR(INDEX($L$4:$AE$4,MATCH("주담당",$L59:$AE59,0)),""))</f>
        <v/>
      </c>
      <c r="I59" s="122">
        <f>IF($A59="","",IF($H59="",$AG59,$H59&amp;IF($AG59="","",", "&amp;$AG59)))</f>
        <v/>
      </c>
      <c r="J59" s="42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  <c r="AA59" s="74" t="n"/>
      <c r="AB59" s="74" t="n"/>
      <c r="AC59" s="74" t="n"/>
      <c r="AD59" s="74" t="n"/>
      <c r="AE59" s="74" t="n"/>
      <c r="AG59">
        <f>IF($A59="","",MID($BP59,3,255))</f>
        <v/>
      </c>
      <c r="AH59">
        <f>IF($AG59="","",TRIM(MID(SUBSTITUTE($AG59,",",REPT(" ",100)),1,100)))</f>
        <v/>
      </c>
      <c r="AI59">
        <f>IF($AG59="","",TRIM(MID(SUBSTITUTE($AG59,",",REPT(" ",100)),101,100)))</f>
        <v/>
      </c>
      <c r="AJ59">
        <f>IF($AG59="","",TRIM(MID(SUBSTITUTE($AG59,",",REPT(" ",100)),201,100)))</f>
        <v/>
      </c>
      <c r="AK59">
        <f>IF($AG59="","",TRIM(MID(SUBSTITUTE($AG59,",",REPT(" ",100)),301,100)))</f>
        <v/>
      </c>
      <c r="AL59">
        <f>IF($AG59="","",TRIM(MID(SUBSTITUTE($AG59,",",REPT(" ",100)),401,100)))</f>
        <v/>
      </c>
      <c r="AM59">
        <f>IF($AG59="","",TRIM(MID(SUBSTITUTE($AG59,",",REPT(" ",100)),501,100)))</f>
        <v/>
      </c>
      <c r="AN59">
        <f>IF($AG59="","",TRIM(MID(SUBSTITUTE($AG59,",",REPT(" ",100)),601,100)))</f>
        <v/>
      </c>
      <c r="AO59">
        <f>IF($AG59="","",TRIM(MID(SUBSTITUTE($AG59,",",REPT(" ",100)),701,100)))</f>
        <v/>
      </c>
      <c r="AP59">
        <f>IF($AG59="","",TRIM(MID(SUBSTITUTE($AG59,",",REPT(" ",100)),801,100)))</f>
        <v/>
      </c>
      <c r="AQ59">
        <f>IF($AG59="","",TRIM(MID(SUBSTITUTE($AG59,",",REPT(" ",100)),901,100)))</f>
        <v/>
      </c>
      <c r="AR59">
        <f>IF($AG59="","",TRIM(MID(SUBSTITUTE($AG59,",",REPT(" ",100)),1001,100)))</f>
        <v/>
      </c>
      <c r="AS59">
        <f>IF($AG59="","",TRIM(MID(SUBSTITUTE($AG59,",",REPT(" ",100)),1101,100)))</f>
        <v/>
      </c>
      <c r="AT59">
        <f>IF($AG59="","",TRIM(MID(SUBSTITUTE($AG59,",",REPT(" ",100)),1201,100)))</f>
        <v/>
      </c>
      <c r="AU59">
        <f>IF($AG59="","",TRIM(MID(SUBSTITUTE($AG59,",",REPT(" ",100)),1301,100)))</f>
        <v/>
      </c>
      <c r="AV59">
        <f>IF($AG59="","",TRIM(MID(SUBSTITUTE($AG59,",",REPT(" ",100)),1401,100)))</f>
        <v/>
      </c>
      <c r="AW59">
        <f>IF($L59="참여",", "&amp;L$4,"")</f>
        <v/>
      </c>
      <c r="AX59">
        <f>AW59&amp;IF($M59="참여",", "&amp;M$4,"")</f>
        <v/>
      </c>
      <c r="AY59">
        <f>AX59&amp;IF($N59="참여",", "&amp;N$4,"")</f>
        <v/>
      </c>
      <c r="AZ59">
        <f>AY59&amp;IF($O59="참여",", "&amp;O$4,"")</f>
        <v/>
      </c>
      <c r="BA59">
        <f>AZ59&amp;IF($P59="참여",", "&amp;P$4,"")</f>
        <v/>
      </c>
      <c r="BB59">
        <f>BA59&amp;IF($Q59="참여",", "&amp;Q$4,"")</f>
        <v/>
      </c>
      <c r="BC59">
        <f>BB59&amp;IF($R59="참여",", "&amp;R$4,"")</f>
        <v/>
      </c>
      <c r="BD59">
        <f>BC59&amp;IF($S59="참여",", "&amp;S$4,"")</f>
        <v/>
      </c>
      <c r="BE59">
        <f>BD59&amp;IF($T59="참여",", "&amp;T$4,"")</f>
        <v/>
      </c>
      <c r="BF59">
        <f>BE59&amp;IF($U59="참여",", "&amp;U$4,"")</f>
        <v/>
      </c>
      <c r="BG59">
        <f>BF59&amp;IF($V59="참여",", "&amp;V$4,"")</f>
        <v/>
      </c>
      <c r="BH59">
        <f>BG59&amp;IF($W59="참여",", "&amp;W$4,"")</f>
        <v/>
      </c>
      <c r="BI59">
        <f>BH59&amp;IF($X59="참여",", "&amp;X$4,"")</f>
        <v/>
      </c>
      <c r="BJ59">
        <f>BI59&amp;IF($Y59="참여",", "&amp;Y$4,"")</f>
        <v/>
      </c>
      <c r="BK59">
        <f>BJ59&amp;IF($Z59="참여",", "&amp;Z$4,"")</f>
        <v/>
      </c>
      <c r="BL59">
        <f>BK59&amp;IF($AA59="참여",", "&amp;AA$4,"")</f>
        <v/>
      </c>
      <c r="BM59">
        <f>BL59&amp;IF($AB59="참여",", "&amp;AB$4,"")</f>
        <v/>
      </c>
      <c r="BN59">
        <f>BM59&amp;IF($AC59="참여",", "&amp;AC$4,"")</f>
        <v/>
      </c>
      <c r="BO59">
        <f>BN59&amp;IF($AD59="참여",", "&amp;AD$4,"")</f>
        <v/>
      </c>
      <c r="BP59">
        <f>BO59&amp;IF($AE59="참여",", "&amp;AE$4,"")</f>
        <v/>
      </c>
    </row>
    <row r="60">
      <c r="A60" s="74" t="n"/>
      <c r="B60" s="42" t="n"/>
      <c r="C60" s="74" t="n"/>
      <c r="D60" s="80" t="n"/>
      <c r="E60" s="74" t="n"/>
      <c r="F60" s="74" t="n"/>
      <c r="G60" s="118">
        <f>IF($A60="","",20-COUNTBLANK($L60:$AE60))</f>
        <v/>
      </c>
      <c r="H60" s="130">
        <f>IF($A60="","",IFERROR(INDEX($L$4:$AE$4,MATCH("주담당",$L60:$AE60,0)),""))</f>
        <v/>
      </c>
      <c r="I60" s="122">
        <f>IF($A60="","",IF($H60="",$AG60,$H60&amp;IF($AG60="","",", "&amp;$AG60)))</f>
        <v/>
      </c>
      <c r="J60" s="42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  <c r="AA60" s="74" t="n"/>
      <c r="AB60" s="74" t="n"/>
      <c r="AC60" s="74" t="n"/>
      <c r="AD60" s="74" t="n"/>
      <c r="AE60" s="74" t="n"/>
      <c r="AG60">
        <f>IF($A60="","",MID($BP60,3,255))</f>
        <v/>
      </c>
      <c r="AH60">
        <f>IF($AG60="","",TRIM(MID(SUBSTITUTE($AG60,",",REPT(" ",100)),1,100)))</f>
        <v/>
      </c>
      <c r="AI60">
        <f>IF($AG60="","",TRIM(MID(SUBSTITUTE($AG60,",",REPT(" ",100)),101,100)))</f>
        <v/>
      </c>
      <c r="AJ60">
        <f>IF($AG60="","",TRIM(MID(SUBSTITUTE($AG60,",",REPT(" ",100)),201,100)))</f>
        <v/>
      </c>
      <c r="AK60">
        <f>IF($AG60="","",TRIM(MID(SUBSTITUTE($AG60,",",REPT(" ",100)),301,100)))</f>
        <v/>
      </c>
      <c r="AL60">
        <f>IF($AG60="","",TRIM(MID(SUBSTITUTE($AG60,",",REPT(" ",100)),401,100)))</f>
        <v/>
      </c>
      <c r="AM60">
        <f>IF($AG60="","",TRIM(MID(SUBSTITUTE($AG60,",",REPT(" ",100)),501,100)))</f>
        <v/>
      </c>
      <c r="AN60">
        <f>IF($AG60="","",TRIM(MID(SUBSTITUTE($AG60,",",REPT(" ",100)),601,100)))</f>
        <v/>
      </c>
      <c r="AO60">
        <f>IF($AG60="","",TRIM(MID(SUBSTITUTE($AG60,",",REPT(" ",100)),701,100)))</f>
        <v/>
      </c>
      <c r="AP60">
        <f>IF($AG60="","",TRIM(MID(SUBSTITUTE($AG60,",",REPT(" ",100)),801,100)))</f>
        <v/>
      </c>
      <c r="AQ60">
        <f>IF($AG60="","",TRIM(MID(SUBSTITUTE($AG60,",",REPT(" ",100)),901,100)))</f>
        <v/>
      </c>
      <c r="AR60">
        <f>IF($AG60="","",TRIM(MID(SUBSTITUTE($AG60,",",REPT(" ",100)),1001,100)))</f>
        <v/>
      </c>
      <c r="AS60">
        <f>IF($AG60="","",TRIM(MID(SUBSTITUTE($AG60,",",REPT(" ",100)),1101,100)))</f>
        <v/>
      </c>
      <c r="AT60">
        <f>IF($AG60="","",TRIM(MID(SUBSTITUTE($AG60,",",REPT(" ",100)),1201,100)))</f>
        <v/>
      </c>
      <c r="AU60">
        <f>IF($AG60="","",TRIM(MID(SUBSTITUTE($AG60,",",REPT(" ",100)),1301,100)))</f>
        <v/>
      </c>
      <c r="AV60">
        <f>IF($AG60="","",TRIM(MID(SUBSTITUTE($AG60,",",REPT(" ",100)),1401,100)))</f>
        <v/>
      </c>
      <c r="AW60">
        <f>IF($L60="참여",", "&amp;L$4,"")</f>
        <v/>
      </c>
      <c r="AX60">
        <f>AW60&amp;IF($M60="참여",", "&amp;M$4,"")</f>
        <v/>
      </c>
      <c r="AY60">
        <f>AX60&amp;IF($N60="참여",", "&amp;N$4,"")</f>
        <v/>
      </c>
      <c r="AZ60">
        <f>AY60&amp;IF($O60="참여",", "&amp;O$4,"")</f>
        <v/>
      </c>
      <c r="BA60">
        <f>AZ60&amp;IF($P60="참여",", "&amp;P$4,"")</f>
        <v/>
      </c>
      <c r="BB60">
        <f>BA60&amp;IF($Q60="참여",", "&amp;Q$4,"")</f>
        <v/>
      </c>
      <c r="BC60">
        <f>BB60&amp;IF($R60="참여",", "&amp;R$4,"")</f>
        <v/>
      </c>
      <c r="BD60">
        <f>BC60&amp;IF($S60="참여",", "&amp;S$4,"")</f>
        <v/>
      </c>
      <c r="BE60">
        <f>BD60&amp;IF($T60="참여",", "&amp;T$4,"")</f>
        <v/>
      </c>
      <c r="BF60">
        <f>BE60&amp;IF($U60="참여",", "&amp;U$4,"")</f>
        <v/>
      </c>
      <c r="BG60">
        <f>BF60&amp;IF($V60="참여",", "&amp;V$4,"")</f>
        <v/>
      </c>
      <c r="BH60">
        <f>BG60&amp;IF($W60="참여",", "&amp;W$4,"")</f>
        <v/>
      </c>
      <c r="BI60">
        <f>BH60&amp;IF($X60="참여",", "&amp;X$4,"")</f>
        <v/>
      </c>
      <c r="BJ60">
        <f>BI60&amp;IF($Y60="참여",", "&amp;Y$4,"")</f>
        <v/>
      </c>
      <c r="BK60">
        <f>BJ60&amp;IF($Z60="참여",", "&amp;Z$4,"")</f>
        <v/>
      </c>
      <c r="BL60">
        <f>BK60&amp;IF($AA60="참여",", "&amp;AA$4,"")</f>
        <v/>
      </c>
      <c r="BM60">
        <f>BL60&amp;IF($AB60="참여",", "&amp;AB$4,"")</f>
        <v/>
      </c>
      <c r="BN60">
        <f>BM60&amp;IF($AC60="참여",", "&amp;AC$4,"")</f>
        <v/>
      </c>
      <c r="BO60">
        <f>BN60&amp;IF($AD60="참여",", "&amp;AD$4,"")</f>
        <v/>
      </c>
      <c r="BP60">
        <f>BO60&amp;IF($AE60="참여",", "&amp;AE$4,"")</f>
        <v/>
      </c>
    </row>
    <row r="61">
      <c r="A61" s="74" t="n"/>
      <c r="B61" s="42" t="n"/>
      <c r="C61" s="74" t="n"/>
      <c r="D61" s="80" t="n"/>
      <c r="E61" s="74" t="n"/>
      <c r="F61" s="74" t="n"/>
      <c r="G61" s="118">
        <f>IF($A61="","",20-COUNTBLANK($L61:$AE61))</f>
        <v/>
      </c>
      <c r="H61" s="130">
        <f>IF($A61="","",IFERROR(INDEX($L$4:$AE$4,MATCH("주담당",$L61:$AE61,0)),""))</f>
        <v/>
      </c>
      <c r="I61" s="122">
        <f>IF($A61="","",IF($H61="",$AG61,$H61&amp;IF($AG61="","",", "&amp;$AG61)))</f>
        <v/>
      </c>
      <c r="J61" s="42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  <c r="AA61" s="74" t="n"/>
      <c r="AB61" s="74" t="n"/>
      <c r="AC61" s="74" t="n"/>
      <c r="AD61" s="74" t="n"/>
      <c r="AE61" s="74" t="n"/>
      <c r="AG61">
        <f>IF($A61="","",MID($BP61,3,255))</f>
        <v/>
      </c>
      <c r="AH61">
        <f>IF($AG61="","",TRIM(MID(SUBSTITUTE($AG61,",",REPT(" ",100)),1,100)))</f>
        <v/>
      </c>
      <c r="AI61">
        <f>IF($AG61="","",TRIM(MID(SUBSTITUTE($AG61,",",REPT(" ",100)),101,100)))</f>
        <v/>
      </c>
      <c r="AJ61">
        <f>IF($AG61="","",TRIM(MID(SUBSTITUTE($AG61,",",REPT(" ",100)),201,100)))</f>
        <v/>
      </c>
      <c r="AK61">
        <f>IF($AG61="","",TRIM(MID(SUBSTITUTE($AG61,",",REPT(" ",100)),301,100)))</f>
        <v/>
      </c>
      <c r="AL61">
        <f>IF($AG61="","",TRIM(MID(SUBSTITUTE($AG61,",",REPT(" ",100)),401,100)))</f>
        <v/>
      </c>
      <c r="AM61">
        <f>IF($AG61="","",TRIM(MID(SUBSTITUTE($AG61,",",REPT(" ",100)),501,100)))</f>
        <v/>
      </c>
      <c r="AN61">
        <f>IF($AG61="","",TRIM(MID(SUBSTITUTE($AG61,",",REPT(" ",100)),601,100)))</f>
        <v/>
      </c>
      <c r="AO61">
        <f>IF($AG61="","",TRIM(MID(SUBSTITUTE($AG61,",",REPT(" ",100)),701,100)))</f>
        <v/>
      </c>
      <c r="AP61">
        <f>IF($AG61="","",TRIM(MID(SUBSTITUTE($AG61,",",REPT(" ",100)),801,100)))</f>
        <v/>
      </c>
      <c r="AQ61">
        <f>IF($AG61="","",TRIM(MID(SUBSTITUTE($AG61,",",REPT(" ",100)),901,100)))</f>
        <v/>
      </c>
      <c r="AR61">
        <f>IF($AG61="","",TRIM(MID(SUBSTITUTE($AG61,",",REPT(" ",100)),1001,100)))</f>
        <v/>
      </c>
      <c r="AS61">
        <f>IF($AG61="","",TRIM(MID(SUBSTITUTE($AG61,",",REPT(" ",100)),1101,100)))</f>
        <v/>
      </c>
      <c r="AT61">
        <f>IF($AG61="","",TRIM(MID(SUBSTITUTE($AG61,",",REPT(" ",100)),1201,100)))</f>
        <v/>
      </c>
      <c r="AU61">
        <f>IF($AG61="","",TRIM(MID(SUBSTITUTE($AG61,",",REPT(" ",100)),1301,100)))</f>
        <v/>
      </c>
      <c r="AV61">
        <f>IF($AG61="","",TRIM(MID(SUBSTITUTE($AG61,",",REPT(" ",100)),1401,100)))</f>
        <v/>
      </c>
      <c r="AW61">
        <f>IF($L61="참여",", "&amp;L$4,"")</f>
        <v/>
      </c>
      <c r="AX61">
        <f>AW61&amp;IF($M61="참여",", "&amp;M$4,"")</f>
        <v/>
      </c>
      <c r="AY61">
        <f>AX61&amp;IF($N61="참여",", "&amp;N$4,"")</f>
        <v/>
      </c>
      <c r="AZ61">
        <f>AY61&amp;IF($O61="참여",", "&amp;O$4,"")</f>
        <v/>
      </c>
      <c r="BA61">
        <f>AZ61&amp;IF($P61="참여",", "&amp;P$4,"")</f>
        <v/>
      </c>
      <c r="BB61">
        <f>BA61&amp;IF($Q61="참여",", "&amp;Q$4,"")</f>
        <v/>
      </c>
      <c r="BC61">
        <f>BB61&amp;IF($R61="참여",", "&amp;R$4,"")</f>
        <v/>
      </c>
      <c r="BD61">
        <f>BC61&amp;IF($S61="참여",", "&amp;S$4,"")</f>
        <v/>
      </c>
      <c r="BE61">
        <f>BD61&amp;IF($T61="참여",", "&amp;T$4,"")</f>
        <v/>
      </c>
      <c r="BF61">
        <f>BE61&amp;IF($U61="참여",", "&amp;U$4,"")</f>
        <v/>
      </c>
      <c r="BG61">
        <f>BF61&amp;IF($V61="참여",", "&amp;V$4,"")</f>
        <v/>
      </c>
      <c r="BH61">
        <f>BG61&amp;IF($W61="참여",", "&amp;W$4,"")</f>
        <v/>
      </c>
      <c r="BI61">
        <f>BH61&amp;IF($X61="참여",", "&amp;X$4,"")</f>
        <v/>
      </c>
      <c r="BJ61">
        <f>BI61&amp;IF($Y61="참여",", "&amp;Y$4,"")</f>
        <v/>
      </c>
      <c r="BK61">
        <f>BJ61&amp;IF($Z61="참여",", "&amp;Z$4,"")</f>
        <v/>
      </c>
      <c r="BL61">
        <f>BK61&amp;IF($AA61="참여",", "&amp;AA$4,"")</f>
        <v/>
      </c>
      <c r="BM61">
        <f>BL61&amp;IF($AB61="참여",", "&amp;AB$4,"")</f>
        <v/>
      </c>
      <c r="BN61">
        <f>BM61&amp;IF($AC61="참여",", "&amp;AC$4,"")</f>
        <v/>
      </c>
      <c r="BO61">
        <f>BN61&amp;IF($AD61="참여",", "&amp;AD$4,"")</f>
        <v/>
      </c>
      <c r="BP61">
        <f>BO61&amp;IF($AE61="참여",", "&amp;AE$4,"")</f>
        <v/>
      </c>
    </row>
    <row r="62">
      <c r="A62" s="74" t="n"/>
      <c r="B62" s="42" t="n"/>
      <c r="C62" s="74" t="n"/>
      <c r="D62" s="80" t="n"/>
      <c r="E62" s="74" t="n"/>
      <c r="F62" s="74" t="n"/>
      <c r="G62" s="118">
        <f>IF($A62="","",20-COUNTBLANK($L62:$AE62))</f>
        <v/>
      </c>
      <c r="H62" s="130">
        <f>IF($A62="","",IFERROR(INDEX($L$4:$AE$4,MATCH("주담당",$L62:$AE62,0)),""))</f>
        <v/>
      </c>
      <c r="I62" s="122">
        <f>IF($A62="","",IF($H62="",$AG62,$H62&amp;IF($AG62="","",", "&amp;$AG62)))</f>
        <v/>
      </c>
      <c r="J62" s="42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  <c r="AA62" s="74" t="n"/>
      <c r="AB62" s="74" t="n"/>
      <c r="AC62" s="74" t="n"/>
      <c r="AD62" s="74" t="n"/>
      <c r="AE62" s="74" t="n"/>
      <c r="AG62">
        <f>IF($A62="","",MID($BP62,3,255))</f>
        <v/>
      </c>
      <c r="AH62">
        <f>IF($AG62="","",TRIM(MID(SUBSTITUTE($AG62,",",REPT(" ",100)),1,100)))</f>
        <v/>
      </c>
      <c r="AI62">
        <f>IF($AG62="","",TRIM(MID(SUBSTITUTE($AG62,",",REPT(" ",100)),101,100)))</f>
        <v/>
      </c>
      <c r="AJ62">
        <f>IF($AG62="","",TRIM(MID(SUBSTITUTE($AG62,",",REPT(" ",100)),201,100)))</f>
        <v/>
      </c>
      <c r="AK62">
        <f>IF($AG62="","",TRIM(MID(SUBSTITUTE($AG62,",",REPT(" ",100)),301,100)))</f>
        <v/>
      </c>
      <c r="AL62">
        <f>IF($AG62="","",TRIM(MID(SUBSTITUTE($AG62,",",REPT(" ",100)),401,100)))</f>
        <v/>
      </c>
      <c r="AM62">
        <f>IF($AG62="","",TRIM(MID(SUBSTITUTE($AG62,",",REPT(" ",100)),501,100)))</f>
        <v/>
      </c>
      <c r="AN62">
        <f>IF($AG62="","",TRIM(MID(SUBSTITUTE($AG62,",",REPT(" ",100)),601,100)))</f>
        <v/>
      </c>
      <c r="AO62">
        <f>IF($AG62="","",TRIM(MID(SUBSTITUTE($AG62,",",REPT(" ",100)),701,100)))</f>
        <v/>
      </c>
      <c r="AP62">
        <f>IF($AG62="","",TRIM(MID(SUBSTITUTE($AG62,",",REPT(" ",100)),801,100)))</f>
        <v/>
      </c>
      <c r="AQ62">
        <f>IF($AG62="","",TRIM(MID(SUBSTITUTE($AG62,",",REPT(" ",100)),901,100)))</f>
        <v/>
      </c>
      <c r="AR62">
        <f>IF($AG62="","",TRIM(MID(SUBSTITUTE($AG62,",",REPT(" ",100)),1001,100)))</f>
        <v/>
      </c>
      <c r="AS62">
        <f>IF($AG62="","",TRIM(MID(SUBSTITUTE($AG62,",",REPT(" ",100)),1101,100)))</f>
        <v/>
      </c>
      <c r="AT62">
        <f>IF($AG62="","",TRIM(MID(SUBSTITUTE($AG62,",",REPT(" ",100)),1201,100)))</f>
        <v/>
      </c>
      <c r="AU62">
        <f>IF($AG62="","",TRIM(MID(SUBSTITUTE($AG62,",",REPT(" ",100)),1301,100)))</f>
        <v/>
      </c>
      <c r="AV62">
        <f>IF($AG62="","",TRIM(MID(SUBSTITUTE($AG62,",",REPT(" ",100)),1401,100)))</f>
        <v/>
      </c>
      <c r="AW62">
        <f>IF($L62="참여",", "&amp;L$4,"")</f>
        <v/>
      </c>
      <c r="AX62">
        <f>AW62&amp;IF($M62="참여",", "&amp;M$4,"")</f>
        <v/>
      </c>
      <c r="AY62">
        <f>AX62&amp;IF($N62="참여",", "&amp;N$4,"")</f>
        <v/>
      </c>
      <c r="AZ62">
        <f>AY62&amp;IF($O62="참여",", "&amp;O$4,"")</f>
        <v/>
      </c>
      <c r="BA62">
        <f>AZ62&amp;IF($P62="참여",", "&amp;P$4,"")</f>
        <v/>
      </c>
      <c r="BB62">
        <f>BA62&amp;IF($Q62="참여",", "&amp;Q$4,"")</f>
        <v/>
      </c>
      <c r="BC62">
        <f>BB62&amp;IF($R62="참여",", "&amp;R$4,"")</f>
        <v/>
      </c>
      <c r="BD62">
        <f>BC62&amp;IF($S62="참여",", "&amp;S$4,"")</f>
        <v/>
      </c>
      <c r="BE62">
        <f>BD62&amp;IF($T62="참여",", "&amp;T$4,"")</f>
        <v/>
      </c>
      <c r="BF62">
        <f>BE62&amp;IF($U62="참여",", "&amp;U$4,"")</f>
        <v/>
      </c>
      <c r="BG62">
        <f>BF62&amp;IF($V62="참여",", "&amp;V$4,"")</f>
        <v/>
      </c>
      <c r="BH62">
        <f>BG62&amp;IF($W62="참여",", "&amp;W$4,"")</f>
        <v/>
      </c>
      <c r="BI62">
        <f>BH62&amp;IF($X62="참여",", "&amp;X$4,"")</f>
        <v/>
      </c>
      <c r="BJ62">
        <f>BI62&amp;IF($Y62="참여",", "&amp;Y$4,"")</f>
        <v/>
      </c>
      <c r="BK62">
        <f>BJ62&amp;IF($Z62="참여",", "&amp;Z$4,"")</f>
        <v/>
      </c>
      <c r="BL62">
        <f>BK62&amp;IF($AA62="참여",", "&amp;AA$4,"")</f>
        <v/>
      </c>
      <c r="BM62">
        <f>BL62&amp;IF($AB62="참여",", "&amp;AB$4,"")</f>
        <v/>
      </c>
      <c r="BN62">
        <f>BM62&amp;IF($AC62="참여",", "&amp;AC$4,"")</f>
        <v/>
      </c>
      <c r="BO62">
        <f>BN62&amp;IF($AD62="참여",", "&amp;AD$4,"")</f>
        <v/>
      </c>
      <c r="BP62">
        <f>BO62&amp;IF($AE62="참여",", "&amp;AE$4,"")</f>
        <v/>
      </c>
    </row>
    <row r="63">
      <c r="A63" s="74" t="n"/>
      <c r="B63" s="42" t="n"/>
      <c r="C63" s="74" t="n"/>
      <c r="D63" s="80" t="n"/>
      <c r="E63" s="74" t="n"/>
      <c r="F63" s="74" t="n"/>
      <c r="G63" s="118">
        <f>IF($A63="","",20-COUNTBLANK($L63:$AE63))</f>
        <v/>
      </c>
      <c r="H63" s="130">
        <f>IF($A63="","",IFERROR(INDEX($L$4:$AE$4,MATCH("주담당",$L63:$AE63,0)),""))</f>
        <v/>
      </c>
      <c r="I63" s="122">
        <f>IF($A63="","",IF($H63="",$AG63,$H63&amp;IF($AG63="","",", "&amp;$AG63)))</f>
        <v/>
      </c>
      <c r="J63" s="42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  <c r="AB63" s="74" t="n"/>
      <c r="AC63" s="74" t="n"/>
      <c r="AD63" s="74" t="n"/>
      <c r="AE63" s="74" t="n"/>
      <c r="AG63">
        <f>IF($A63="","",MID($BP63,3,255))</f>
        <v/>
      </c>
      <c r="AH63">
        <f>IF($AG63="","",TRIM(MID(SUBSTITUTE($AG63,",",REPT(" ",100)),1,100)))</f>
        <v/>
      </c>
      <c r="AI63">
        <f>IF($AG63="","",TRIM(MID(SUBSTITUTE($AG63,",",REPT(" ",100)),101,100)))</f>
        <v/>
      </c>
      <c r="AJ63">
        <f>IF($AG63="","",TRIM(MID(SUBSTITUTE($AG63,",",REPT(" ",100)),201,100)))</f>
        <v/>
      </c>
      <c r="AK63">
        <f>IF($AG63="","",TRIM(MID(SUBSTITUTE($AG63,",",REPT(" ",100)),301,100)))</f>
        <v/>
      </c>
      <c r="AL63">
        <f>IF($AG63="","",TRIM(MID(SUBSTITUTE($AG63,",",REPT(" ",100)),401,100)))</f>
        <v/>
      </c>
      <c r="AM63">
        <f>IF($AG63="","",TRIM(MID(SUBSTITUTE($AG63,",",REPT(" ",100)),501,100)))</f>
        <v/>
      </c>
      <c r="AN63">
        <f>IF($AG63="","",TRIM(MID(SUBSTITUTE($AG63,",",REPT(" ",100)),601,100)))</f>
        <v/>
      </c>
      <c r="AO63">
        <f>IF($AG63="","",TRIM(MID(SUBSTITUTE($AG63,",",REPT(" ",100)),701,100)))</f>
        <v/>
      </c>
      <c r="AP63">
        <f>IF($AG63="","",TRIM(MID(SUBSTITUTE($AG63,",",REPT(" ",100)),801,100)))</f>
        <v/>
      </c>
      <c r="AQ63">
        <f>IF($AG63="","",TRIM(MID(SUBSTITUTE($AG63,",",REPT(" ",100)),901,100)))</f>
        <v/>
      </c>
      <c r="AR63">
        <f>IF($AG63="","",TRIM(MID(SUBSTITUTE($AG63,",",REPT(" ",100)),1001,100)))</f>
        <v/>
      </c>
      <c r="AS63">
        <f>IF($AG63="","",TRIM(MID(SUBSTITUTE($AG63,",",REPT(" ",100)),1101,100)))</f>
        <v/>
      </c>
      <c r="AT63">
        <f>IF($AG63="","",TRIM(MID(SUBSTITUTE($AG63,",",REPT(" ",100)),1201,100)))</f>
        <v/>
      </c>
      <c r="AU63">
        <f>IF($AG63="","",TRIM(MID(SUBSTITUTE($AG63,",",REPT(" ",100)),1301,100)))</f>
        <v/>
      </c>
      <c r="AV63">
        <f>IF($AG63="","",TRIM(MID(SUBSTITUTE($AG63,",",REPT(" ",100)),1401,100)))</f>
        <v/>
      </c>
      <c r="AW63">
        <f>IF($L63="참여",", "&amp;L$4,"")</f>
        <v/>
      </c>
      <c r="AX63">
        <f>AW63&amp;IF($M63="참여",", "&amp;M$4,"")</f>
        <v/>
      </c>
      <c r="AY63">
        <f>AX63&amp;IF($N63="참여",", "&amp;N$4,"")</f>
        <v/>
      </c>
      <c r="AZ63">
        <f>AY63&amp;IF($O63="참여",", "&amp;O$4,"")</f>
        <v/>
      </c>
      <c r="BA63">
        <f>AZ63&amp;IF($P63="참여",", "&amp;P$4,"")</f>
        <v/>
      </c>
      <c r="BB63">
        <f>BA63&amp;IF($Q63="참여",", "&amp;Q$4,"")</f>
        <v/>
      </c>
      <c r="BC63">
        <f>BB63&amp;IF($R63="참여",", "&amp;R$4,"")</f>
        <v/>
      </c>
      <c r="BD63">
        <f>BC63&amp;IF($S63="참여",", "&amp;S$4,"")</f>
        <v/>
      </c>
      <c r="BE63">
        <f>BD63&amp;IF($T63="참여",", "&amp;T$4,"")</f>
        <v/>
      </c>
      <c r="BF63">
        <f>BE63&amp;IF($U63="참여",", "&amp;U$4,"")</f>
        <v/>
      </c>
      <c r="BG63">
        <f>BF63&amp;IF($V63="참여",", "&amp;V$4,"")</f>
        <v/>
      </c>
      <c r="BH63">
        <f>BG63&amp;IF($W63="참여",", "&amp;W$4,"")</f>
        <v/>
      </c>
      <c r="BI63">
        <f>BH63&amp;IF($X63="참여",", "&amp;X$4,"")</f>
        <v/>
      </c>
      <c r="BJ63">
        <f>BI63&amp;IF($Y63="참여",", "&amp;Y$4,"")</f>
        <v/>
      </c>
      <c r="BK63">
        <f>BJ63&amp;IF($Z63="참여",", "&amp;Z$4,"")</f>
        <v/>
      </c>
      <c r="BL63">
        <f>BK63&amp;IF($AA63="참여",", "&amp;AA$4,"")</f>
        <v/>
      </c>
      <c r="BM63">
        <f>BL63&amp;IF($AB63="참여",", "&amp;AB$4,"")</f>
        <v/>
      </c>
      <c r="BN63">
        <f>BM63&amp;IF($AC63="참여",", "&amp;AC$4,"")</f>
        <v/>
      </c>
      <c r="BO63">
        <f>BN63&amp;IF($AD63="참여",", "&amp;AD$4,"")</f>
        <v/>
      </c>
      <c r="BP63">
        <f>BO63&amp;IF($AE63="참여",", "&amp;AE$4,"")</f>
        <v/>
      </c>
    </row>
    <row r="64">
      <c r="A64" s="74" t="n"/>
      <c r="B64" s="42" t="n"/>
      <c r="C64" s="74" t="n"/>
      <c r="D64" s="80" t="n"/>
      <c r="E64" s="74" t="n"/>
      <c r="F64" s="74" t="n"/>
      <c r="G64" s="118">
        <f>IF($A64="","",20-COUNTBLANK($L64:$AE64))</f>
        <v/>
      </c>
      <c r="H64" s="130">
        <f>IF($A64="","",IFERROR(INDEX($L$4:$AE$4,MATCH("주담당",$L64:$AE64,0)),""))</f>
        <v/>
      </c>
      <c r="I64" s="122">
        <f>IF($A64="","",IF($H64="",$AG64,$H64&amp;IF($AG64="","",", "&amp;$AG64)))</f>
        <v/>
      </c>
      <c r="J64" s="42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  <c r="AA64" s="74" t="n"/>
      <c r="AB64" s="74" t="n"/>
      <c r="AC64" s="74" t="n"/>
      <c r="AD64" s="74" t="n"/>
      <c r="AE64" s="74" t="n"/>
      <c r="AG64">
        <f>IF($A64="","",MID($BP64,3,255))</f>
        <v/>
      </c>
      <c r="AH64">
        <f>IF($AG64="","",TRIM(MID(SUBSTITUTE($AG64,",",REPT(" ",100)),1,100)))</f>
        <v/>
      </c>
      <c r="AI64">
        <f>IF($AG64="","",TRIM(MID(SUBSTITUTE($AG64,",",REPT(" ",100)),101,100)))</f>
        <v/>
      </c>
      <c r="AJ64">
        <f>IF($AG64="","",TRIM(MID(SUBSTITUTE($AG64,",",REPT(" ",100)),201,100)))</f>
        <v/>
      </c>
      <c r="AK64">
        <f>IF($AG64="","",TRIM(MID(SUBSTITUTE($AG64,",",REPT(" ",100)),301,100)))</f>
        <v/>
      </c>
      <c r="AL64">
        <f>IF($AG64="","",TRIM(MID(SUBSTITUTE($AG64,",",REPT(" ",100)),401,100)))</f>
        <v/>
      </c>
      <c r="AM64">
        <f>IF($AG64="","",TRIM(MID(SUBSTITUTE($AG64,",",REPT(" ",100)),501,100)))</f>
        <v/>
      </c>
      <c r="AN64">
        <f>IF($AG64="","",TRIM(MID(SUBSTITUTE($AG64,",",REPT(" ",100)),601,100)))</f>
        <v/>
      </c>
      <c r="AO64">
        <f>IF($AG64="","",TRIM(MID(SUBSTITUTE($AG64,",",REPT(" ",100)),701,100)))</f>
        <v/>
      </c>
      <c r="AP64">
        <f>IF($AG64="","",TRIM(MID(SUBSTITUTE($AG64,",",REPT(" ",100)),801,100)))</f>
        <v/>
      </c>
      <c r="AQ64">
        <f>IF($AG64="","",TRIM(MID(SUBSTITUTE($AG64,",",REPT(" ",100)),901,100)))</f>
        <v/>
      </c>
      <c r="AR64">
        <f>IF($AG64="","",TRIM(MID(SUBSTITUTE($AG64,",",REPT(" ",100)),1001,100)))</f>
        <v/>
      </c>
      <c r="AS64">
        <f>IF($AG64="","",TRIM(MID(SUBSTITUTE($AG64,",",REPT(" ",100)),1101,100)))</f>
        <v/>
      </c>
      <c r="AT64">
        <f>IF($AG64="","",TRIM(MID(SUBSTITUTE($AG64,",",REPT(" ",100)),1201,100)))</f>
        <v/>
      </c>
      <c r="AU64">
        <f>IF($AG64="","",TRIM(MID(SUBSTITUTE($AG64,",",REPT(" ",100)),1301,100)))</f>
        <v/>
      </c>
      <c r="AV64">
        <f>IF($AG64="","",TRIM(MID(SUBSTITUTE($AG64,",",REPT(" ",100)),1401,100)))</f>
        <v/>
      </c>
      <c r="AW64">
        <f>IF($L64="참여",", "&amp;L$4,"")</f>
        <v/>
      </c>
      <c r="AX64">
        <f>AW64&amp;IF($M64="참여",", "&amp;M$4,"")</f>
        <v/>
      </c>
      <c r="AY64">
        <f>AX64&amp;IF($N64="참여",", "&amp;N$4,"")</f>
        <v/>
      </c>
      <c r="AZ64">
        <f>AY64&amp;IF($O64="참여",", "&amp;O$4,"")</f>
        <v/>
      </c>
      <c r="BA64">
        <f>AZ64&amp;IF($P64="참여",", "&amp;P$4,"")</f>
        <v/>
      </c>
      <c r="BB64">
        <f>BA64&amp;IF($Q64="참여",", "&amp;Q$4,"")</f>
        <v/>
      </c>
      <c r="BC64">
        <f>BB64&amp;IF($R64="참여",", "&amp;R$4,"")</f>
        <v/>
      </c>
      <c r="BD64">
        <f>BC64&amp;IF($S64="참여",", "&amp;S$4,"")</f>
        <v/>
      </c>
      <c r="BE64">
        <f>BD64&amp;IF($T64="참여",", "&amp;T$4,"")</f>
        <v/>
      </c>
      <c r="BF64">
        <f>BE64&amp;IF($U64="참여",", "&amp;U$4,"")</f>
        <v/>
      </c>
      <c r="BG64">
        <f>BF64&amp;IF($V64="참여",", "&amp;V$4,"")</f>
        <v/>
      </c>
      <c r="BH64">
        <f>BG64&amp;IF($W64="참여",", "&amp;W$4,"")</f>
        <v/>
      </c>
      <c r="BI64">
        <f>BH64&amp;IF($X64="참여",", "&amp;X$4,"")</f>
        <v/>
      </c>
      <c r="BJ64">
        <f>BI64&amp;IF($Y64="참여",", "&amp;Y$4,"")</f>
        <v/>
      </c>
      <c r="BK64">
        <f>BJ64&amp;IF($Z64="참여",", "&amp;Z$4,"")</f>
        <v/>
      </c>
      <c r="BL64">
        <f>BK64&amp;IF($AA64="참여",", "&amp;AA$4,"")</f>
        <v/>
      </c>
      <c r="BM64">
        <f>BL64&amp;IF($AB64="참여",", "&amp;AB$4,"")</f>
        <v/>
      </c>
      <c r="BN64">
        <f>BM64&amp;IF($AC64="참여",", "&amp;AC$4,"")</f>
        <v/>
      </c>
      <c r="BO64">
        <f>BN64&amp;IF($AD64="참여",", "&amp;AD$4,"")</f>
        <v/>
      </c>
      <c r="BP64">
        <f>BO64&amp;IF($AE64="참여",", "&amp;AE$4,"")</f>
        <v/>
      </c>
    </row>
  </sheetData>
  <autoFilter ref="A4:J64"/>
  <conditionalFormatting sqref="A5:J64">
    <cfRule type="expression" priority="1" dxfId="6" stopIfTrue="0">
      <formula>AND($A5&lt;&gt;"",COUNTIF($A$5:$A$64,$A5)&gt;1)</formula>
    </cfRule>
  </conditionalFormatting>
  <dataValidations count="4">
    <dataValidation sqref="C5:C64" showDropDown="0" showInputMessage="0" showErrorMessage="0" allowBlank="1" type="list">
      <formula1>목록_요청처</formula1>
    </dataValidation>
    <dataValidation sqref="E5:E64" showDropDown="0" showInputMessage="0" showErrorMessage="0" allowBlank="1" type="list">
      <formula1>목록_진행상태</formula1>
    </dataValidation>
    <dataValidation sqref="F5:F64" showDropDown="0" showInputMessage="0" showErrorMessage="0" allowBlank="1" type="list">
      <formula1>목록_팀</formula1>
    </dataValidation>
    <dataValidation sqref="L5:AE64" showDropDown="0" showInputMessage="0" showErrorMessage="0" allowBlank="1" type="list">
      <formula1>"주담당,참여"</formula1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&amp;L&amp;"Arial"&amp;9사건마스터&amp;R&amp;"Arial"&amp;9인쇄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S3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6" customWidth="1" min="4" max="4"/>
    <col width="13" customWidth="1" min="5" max="5"/>
    <col width="12" customWidth="1" min="6" max="6"/>
    <col width="15" customWidth="1" min="7" max="7"/>
    <col width="15" customWidth="1" min="8" max="8"/>
    <col width="10" customWidth="1" min="9" max="9"/>
    <col width="15" customWidth="1" min="10" max="10"/>
    <col width="13" customWidth="1" min="11" max="11"/>
    <col width="13" customWidth="1" min="12" max="12"/>
    <col width="13" customWidth="1" min="13" max="13"/>
    <col width="9" customWidth="1" min="14" max="14"/>
    <col width="10" customWidth="1" min="15" max="15"/>
    <col width="11" customWidth="1" min="16" max="16"/>
    <col width="22" customWidth="1" min="17" max="17"/>
    <col hidden="1" width="3" customWidth="1" min="18" max="18"/>
    <col hidden="1" width="10" customWidth="1" min="19" max="19"/>
  </cols>
  <sheetData>
    <row r="1" ht="24" customHeight="1">
      <c r="A1" s="6" t="inlineStr">
        <is>
          <t>사업 마스터  ·  사업 등록 및 예산 관리</t>
        </is>
      </c>
    </row>
    <row r="2" ht="26" customHeight="1">
      <c r="A2" s="7" t="inlineStr">
        <is>
          <t>※ 사업을 여기 한 번만 등록하면 [사업추진일지]에서 사업번호만 골라도 사업명이 자동으로 채워집니다.  ※ 예산이 없는 사업은 [예산액]을 비워 두세요 — 집행률·잔액은 빈칸으로 남습니다.  ※ 현재 단계·진척률·집행액은 [사업추진일지]에서 자동으로 올라옵니다.</t>
        </is>
      </c>
    </row>
    <row r="4" ht="30" customHeight="1">
      <c r="A4" s="23" t="inlineStr">
        <is>
          <t>사업번호</t>
        </is>
      </c>
      <c r="B4" s="23" t="inlineStr">
        <is>
          <t>사업명</t>
        </is>
      </c>
      <c r="C4" s="23" t="inlineStr">
        <is>
          <t>연도</t>
        </is>
      </c>
      <c r="D4" s="23" t="inlineStr">
        <is>
          <t>사업 구분</t>
        </is>
      </c>
      <c r="E4" s="23" t="inlineStr">
        <is>
          <t>주관팀</t>
        </is>
      </c>
      <c r="F4" s="23" t="inlineStr">
        <is>
          <t>총괄 담당자</t>
        </is>
      </c>
      <c r="G4" s="23" t="inlineStr">
        <is>
          <t>예산액(원)</t>
        </is>
      </c>
      <c r="H4" s="23" t="inlineStr">
        <is>
          <t>집행액(원)</t>
        </is>
      </c>
      <c r="I4" s="23" t="inlineStr">
        <is>
          <t>집행률</t>
        </is>
      </c>
      <c r="J4" s="23" t="inlineStr">
        <is>
          <t>잔액(원)</t>
        </is>
      </c>
      <c r="K4" s="23" t="inlineStr">
        <is>
          <t>착수예정일</t>
        </is>
      </c>
      <c r="L4" s="23" t="inlineStr">
        <is>
          <t>완료예정일</t>
        </is>
      </c>
      <c r="M4" s="23" t="inlineStr">
        <is>
          <t>현재 단계</t>
        </is>
      </c>
      <c r="N4" s="23" t="inlineStr">
        <is>
          <t>진척률</t>
        </is>
      </c>
      <c r="O4" s="23" t="inlineStr">
        <is>
          <t>추진 건수</t>
        </is>
      </c>
      <c r="P4" s="23" t="inlineStr">
        <is>
          <t>진행상태</t>
        </is>
      </c>
      <c r="Q4" s="23" t="inlineStr">
        <is>
          <t>비고</t>
        </is>
      </c>
      <c r="R4" s="7" t="inlineStr">
        <is>
          <t>▼ 최고 추진단계 순번 (지우지 마세요)</t>
        </is>
      </c>
    </row>
    <row r="5">
      <c r="A5" s="74" t="n"/>
      <c r="B5" s="36" t="n"/>
      <c r="C5" s="75" t="n"/>
      <c r="D5" s="74" t="n"/>
      <c r="E5" s="74" t="n"/>
      <c r="F5" s="74" t="n"/>
      <c r="G5" s="76" t="n"/>
      <c r="H5" s="139">
        <f>IF($A5="","",SUMIFS(사업추진일지!$I$5:$I$404,사업추진일지!$C$5:$C$404,$A5))</f>
        <v/>
      </c>
      <c r="I5" s="116">
        <f>IF(OR($A5="",$G5="",$G5=0),"",$H5/$G5)</f>
        <v/>
      </c>
      <c r="J5" s="79">
        <f>IF(OR($A5="",$G5=""),"",$G5-$H5)</f>
        <v/>
      </c>
      <c r="K5" s="80" t="n"/>
      <c r="L5" s="80" t="n"/>
      <c r="M5" s="130">
        <f>IF($A5="","",IF($S5=0,"미착수",INDEX(코드설정!$S$5:$S$10,$S5)))</f>
        <v/>
      </c>
      <c r="N5" s="82">
        <f>IF($A5="","",IF($S5=0,0,INDEX(코드설정!$T$5:$T$10,$S5)))</f>
        <v/>
      </c>
      <c r="O5" s="129">
        <f>IF($A5="","",COUNTIF(사업추진일지!$C$5:$C$404,$A5))</f>
        <v/>
      </c>
      <c r="P5" s="74" t="n"/>
      <c r="Q5" s="36" t="n"/>
      <c r="S5">
        <f>IF($A5="",0,SUMPRODUCT(MAX((사업추진일지!$C$5:$C$404=$A5)*사업추진일지!$N$5:$N$404)))</f>
        <v/>
      </c>
    </row>
    <row r="6">
      <c r="A6" s="74" t="n"/>
      <c r="B6" s="36" t="n"/>
      <c r="C6" s="75" t="n"/>
      <c r="D6" s="74" t="n"/>
      <c r="E6" s="74" t="n"/>
      <c r="F6" s="74" t="n"/>
      <c r="G6" s="76" t="n"/>
      <c r="H6" s="139">
        <f>IF($A6="","",SUMIFS(사업추진일지!$I$5:$I$404,사업추진일지!$C$5:$C$404,$A6))</f>
        <v/>
      </c>
      <c r="I6" s="116">
        <f>IF(OR($A6="",$G6="",$G6=0),"",$H6/$G6)</f>
        <v/>
      </c>
      <c r="J6" s="79">
        <f>IF(OR($A6="",$G6=""),"",$G6-$H6)</f>
        <v/>
      </c>
      <c r="K6" s="80" t="n"/>
      <c r="L6" s="80" t="n"/>
      <c r="M6" s="130">
        <f>IF($A6="","",IF($S6=0,"미착수",INDEX(코드설정!$S$5:$S$10,$S6)))</f>
        <v/>
      </c>
      <c r="N6" s="82">
        <f>IF($A6="","",IF($S6=0,0,INDEX(코드설정!$T$5:$T$10,$S6)))</f>
        <v/>
      </c>
      <c r="O6" s="129">
        <f>IF($A6="","",COUNTIF(사업추진일지!$C$5:$C$404,$A6))</f>
        <v/>
      </c>
      <c r="P6" s="74" t="n"/>
      <c r="Q6" s="36" t="n"/>
      <c r="S6">
        <f>IF($A6="",0,SUMPRODUCT(MAX((사업추진일지!$C$5:$C$404=$A6)*사업추진일지!$N$5:$N$404)))</f>
        <v/>
      </c>
    </row>
    <row r="7">
      <c r="A7" s="74" t="n"/>
      <c r="B7" s="36" t="n"/>
      <c r="C7" s="75" t="n"/>
      <c r="D7" s="74" t="n"/>
      <c r="E7" s="74" t="n"/>
      <c r="F7" s="74" t="n"/>
      <c r="G7" s="76" t="n"/>
      <c r="H7" s="139">
        <f>IF($A7="","",SUMIFS(사업추진일지!$I$5:$I$404,사업추진일지!$C$5:$C$404,$A7))</f>
        <v/>
      </c>
      <c r="I7" s="116">
        <f>IF(OR($A7="",$G7="",$G7=0),"",$H7/$G7)</f>
        <v/>
      </c>
      <c r="J7" s="79">
        <f>IF(OR($A7="",$G7=""),"",$G7-$H7)</f>
        <v/>
      </c>
      <c r="K7" s="80" t="n"/>
      <c r="L7" s="80" t="n"/>
      <c r="M7" s="130">
        <f>IF($A7="","",IF($S7=0,"미착수",INDEX(코드설정!$S$5:$S$10,$S7)))</f>
        <v/>
      </c>
      <c r="N7" s="82">
        <f>IF($A7="","",IF($S7=0,0,INDEX(코드설정!$T$5:$T$10,$S7)))</f>
        <v/>
      </c>
      <c r="O7" s="129">
        <f>IF($A7="","",COUNTIF(사업추진일지!$C$5:$C$404,$A7))</f>
        <v/>
      </c>
      <c r="P7" s="74" t="n"/>
      <c r="Q7" s="36" t="n"/>
      <c r="S7">
        <f>IF($A7="",0,SUMPRODUCT(MAX((사업추진일지!$C$5:$C$404=$A7)*사업추진일지!$N$5:$N$404)))</f>
        <v/>
      </c>
    </row>
    <row r="8">
      <c r="A8" s="74" t="n"/>
      <c r="B8" s="36" t="n"/>
      <c r="C8" s="75" t="n"/>
      <c r="D8" s="74" t="n"/>
      <c r="E8" s="74" t="n"/>
      <c r="F8" s="74" t="n"/>
      <c r="G8" s="76" t="n"/>
      <c r="H8" s="139">
        <f>IF($A8="","",SUMIFS(사업추진일지!$I$5:$I$404,사업추진일지!$C$5:$C$404,$A8))</f>
        <v/>
      </c>
      <c r="I8" s="116">
        <f>IF(OR($A8="",$G8="",$G8=0),"",$H8/$G8)</f>
        <v/>
      </c>
      <c r="J8" s="79">
        <f>IF(OR($A8="",$G8=""),"",$G8-$H8)</f>
        <v/>
      </c>
      <c r="K8" s="80" t="n"/>
      <c r="L8" s="80" t="n"/>
      <c r="M8" s="130">
        <f>IF($A8="","",IF($S8=0,"미착수",INDEX(코드설정!$S$5:$S$10,$S8)))</f>
        <v/>
      </c>
      <c r="N8" s="82">
        <f>IF($A8="","",IF($S8=0,0,INDEX(코드설정!$T$5:$T$10,$S8)))</f>
        <v/>
      </c>
      <c r="O8" s="129">
        <f>IF($A8="","",COUNTIF(사업추진일지!$C$5:$C$404,$A8))</f>
        <v/>
      </c>
      <c r="P8" s="74" t="n"/>
      <c r="Q8" s="36" t="n"/>
      <c r="S8">
        <f>IF($A8="",0,SUMPRODUCT(MAX((사업추진일지!$C$5:$C$404=$A8)*사업추진일지!$N$5:$N$404)))</f>
        <v/>
      </c>
    </row>
    <row r="9">
      <c r="A9" s="74" t="n"/>
      <c r="B9" s="36" t="n"/>
      <c r="C9" s="75" t="n"/>
      <c r="D9" s="74" t="n"/>
      <c r="E9" s="74" t="n"/>
      <c r="F9" s="74" t="n"/>
      <c r="G9" s="76" t="n"/>
      <c r="H9" s="139">
        <f>IF($A9="","",SUMIFS(사업추진일지!$I$5:$I$404,사업추진일지!$C$5:$C$404,$A9))</f>
        <v/>
      </c>
      <c r="I9" s="116">
        <f>IF(OR($A9="",$G9="",$G9=0),"",$H9/$G9)</f>
        <v/>
      </c>
      <c r="J9" s="79">
        <f>IF(OR($A9="",$G9=""),"",$G9-$H9)</f>
        <v/>
      </c>
      <c r="K9" s="80" t="n"/>
      <c r="L9" s="80" t="n"/>
      <c r="M9" s="130">
        <f>IF($A9="","",IF($S9=0,"미착수",INDEX(코드설정!$S$5:$S$10,$S9)))</f>
        <v/>
      </c>
      <c r="N9" s="82">
        <f>IF($A9="","",IF($S9=0,0,INDEX(코드설정!$T$5:$T$10,$S9)))</f>
        <v/>
      </c>
      <c r="O9" s="129">
        <f>IF($A9="","",COUNTIF(사업추진일지!$C$5:$C$404,$A9))</f>
        <v/>
      </c>
      <c r="P9" s="74" t="n"/>
      <c r="Q9" s="36" t="n"/>
      <c r="S9">
        <f>IF($A9="",0,SUMPRODUCT(MAX((사업추진일지!$C$5:$C$404=$A9)*사업추진일지!$N$5:$N$404)))</f>
        <v/>
      </c>
    </row>
    <row r="10">
      <c r="A10" s="74" t="n"/>
      <c r="B10" s="36" t="n"/>
      <c r="C10" s="75" t="n"/>
      <c r="D10" s="74" t="n"/>
      <c r="E10" s="74" t="n"/>
      <c r="F10" s="74" t="n"/>
      <c r="G10" s="76" t="n"/>
      <c r="H10" s="139">
        <f>IF($A10="","",SUMIFS(사업추진일지!$I$5:$I$404,사업추진일지!$C$5:$C$404,$A10))</f>
        <v/>
      </c>
      <c r="I10" s="116">
        <f>IF(OR($A10="",$G10="",$G10=0),"",$H10/$G10)</f>
        <v/>
      </c>
      <c r="J10" s="79">
        <f>IF(OR($A10="",$G10=""),"",$G10-$H10)</f>
        <v/>
      </c>
      <c r="K10" s="80" t="n"/>
      <c r="L10" s="80" t="n"/>
      <c r="M10" s="130">
        <f>IF($A10="","",IF($S10=0,"미착수",INDEX(코드설정!$S$5:$S$10,$S10)))</f>
        <v/>
      </c>
      <c r="N10" s="82">
        <f>IF($A10="","",IF($S10=0,0,INDEX(코드설정!$T$5:$T$10,$S10)))</f>
        <v/>
      </c>
      <c r="O10" s="129">
        <f>IF($A10="","",COUNTIF(사업추진일지!$C$5:$C$404,$A10))</f>
        <v/>
      </c>
      <c r="P10" s="74" t="n"/>
      <c r="Q10" s="36" t="n"/>
      <c r="S10">
        <f>IF($A10="",0,SUMPRODUCT(MAX((사업추진일지!$C$5:$C$404=$A10)*사업추진일지!$N$5:$N$404)))</f>
        <v/>
      </c>
    </row>
    <row r="11">
      <c r="A11" s="74" t="n"/>
      <c r="B11" s="36" t="n"/>
      <c r="C11" s="75" t="n"/>
      <c r="D11" s="74" t="n"/>
      <c r="E11" s="74" t="n"/>
      <c r="F11" s="74" t="n"/>
      <c r="G11" s="76" t="n"/>
      <c r="H11" s="139">
        <f>IF($A11="","",SUMIFS(사업추진일지!$I$5:$I$404,사업추진일지!$C$5:$C$404,$A11))</f>
        <v/>
      </c>
      <c r="I11" s="116">
        <f>IF(OR($A11="",$G11="",$G11=0),"",$H11/$G11)</f>
        <v/>
      </c>
      <c r="J11" s="79">
        <f>IF(OR($A11="",$G11=""),"",$G11-$H11)</f>
        <v/>
      </c>
      <c r="K11" s="80" t="n"/>
      <c r="L11" s="80" t="n"/>
      <c r="M11" s="130">
        <f>IF($A11="","",IF($S11=0,"미착수",INDEX(코드설정!$S$5:$S$10,$S11)))</f>
        <v/>
      </c>
      <c r="N11" s="82">
        <f>IF($A11="","",IF($S11=0,0,INDEX(코드설정!$T$5:$T$10,$S11)))</f>
        <v/>
      </c>
      <c r="O11" s="129">
        <f>IF($A11="","",COUNTIF(사업추진일지!$C$5:$C$404,$A11))</f>
        <v/>
      </c>
      <c r="P11" s="74" t="n"/>
      <c r="Q11" s="36" t="n"/>
      <c r="S11">
        <f>IF($A11="",0,SUMPRODUCT(MAX((사업추진일지!$C$5:$C$404=$A11)*사업추진일지!$N$5:$N$404)))</f>
        <v/>
      </c>
    </row>
    <row r="12">
      <c r="A12" s="74" t="n"/>
      <c r="B12" s="36" t="n"/>
      <c r="C12" s="75" t="n"/>
      <c r="D12" s="74" t="n"/>
      <c r="E12" s="74" t="n"/>
      <c r="F12" s="74" t="n"/>
      <c r="G12" s="76" t="n"/>
      <c r="H12" s="139">
        <f>IF($A12="","",SUMIFS(사업추진일지!$I$5:$I$404,사업추진일지!$C$5:$C$404,$A12))</f>
        <v/>
      </c>
      <c r="I12" s="116">
        <f>IF(OR($A12="",$G12="",$G12=0),"",$H12/$G12)</f>
        <v/>
      </c>
      <c r="J12" s="79">
        <f>IF(OR($A12="",$G12=""),"",$G12-$H12)</f>
        <v/>
      </c>
      <c r="K12" s="80" t="n"/>
      <c r="L12" s="80" t="n"/>
      <c r="M12" s="130">
        <f>IF($A12="","",IF($S12=0,"미착수",INDEX(코드설정!$S$5:$S$10,$S12)))</f>
        <v/>
      </c>
      <c r="N12" s="82">
        <f>IF($A12="","",IF($S12=0,0,INDEX(코드설정!$T$5:$T$10,$S12)))</f>
        <v/>
      </c>
      <c r="O12" s="129">
        <f>IF($A12="","",COUNTIF(사업추진일지!$C$5:$C$404,$A12))</f>
        <v/>
      </c>
      <c r="P12" s="74" t="n"/>
      <c r="Q12" s="36" t="n"/>
      <c r="S12">
        <f>IF($A12="",0,SUMPRODUCT(MAX((사업추진일지!$C$5:$C$404=$A12)*사업추진일지!$N$5:$N$404)))</f>
        <v/>
      </c>
    </row>
    <row r="13">
      <c r="A13" s="74" t="n"/>
      <c r="B13" s="36" t="n"/>
      <c r="C13" s="75" t="n"/>
      <c r="D13" s="74" t="n"/>
      <c r="E13" s="74" t="n"/>
      <c r="F13" s="74" t="n"/>
      <c r="G13" s="76" t="n"/>
      <c r="H13" s="139">
        <f>IF($A13="","",SUMIFS(사업추진일지!$I$5:$I$404,사업추진일지!$C$5:$C$404,$A13))</f>
        <v/>
      </c>
      <c r="I13" s="116">
        <f>IF(OR($A13="",$G13="",$G13=0),"",$H13/$G13)</f>
        <v/>
      </c>
      <c r="J13" s="79">
        <f>IF(OR($A13="",$G13=""),"",$G13-$H13)</f>
        <v/>
      </c>
      <c r="K13" s="80" t="n"/>
      <c r="L13" s="80" t="n"/>
      <c r="M13" s="130">
        <f>IF($A13="","",IF($S13=0,"미착수",INDEX(코드설정!$S$5:$S$10,$S13)))</f>
        <v/>
      </c>
      <c r="N13" s="82">
        <f>IF($A13="","",IF($S13=0,0,INDEX(코드설정!$T$5:$T$10,$S13)))</f>
        <v/>
      </c>
      <c r="O13" s="129">
        <f>IF($A13="","",COUNTIF(사업추진일지!$C$5:$C$404,$A13))</f>
        <v/>
      </c>
      <c r="P13" s="74" t="n"/>
      <c r="Q13" s="36" t="n"/>
      <c r="S13">
        <f>IF($A13="",0,SUMPRODUCT(MAX((사업추진일지!$C$5:$C$404=$A13)*사업추진일지!$N$5:$N$404)))</f>
        <v/>
      </c>
    </row>
    <row r="14">
      <c r="A14" s="74" t="n"/>
      <c r="B14" s="36" t="n"/>
      <c r="C14" s="75" t="n"/>
      <c r="D14" s="74" t="n"/>
      <c r="E14" s="74" t="n"/>
      <c r="F14" s="74" t="n"/>
      <c r="G14" s="76" t="n"/>
      <c r="H14" s="139">
        <f>IF($A14="","",SUMIFS(사업추진일지!$I$5:$I$404,사업추진일지!$C$5:$C$404,$A14))</f>
        <v/>
      </c>
      <c r="I14" s="116">
        <f>IF(OR($A14="",$G14="",$G14=0),"",$H14/$G14)</f>
        <v/>
      </c>
      <c r="J14" s="79">
        <f>IF(OR($A14="",$G14=""),"",$G14-$H14)</f>
        <v/>
      </c>
      <c r="K14" s="80" t="n"/>
      <c r="L14" s="80" t="n"/>
      <c r="M14" s="130">
        <f>IF($A14="","",IF($S14=0,"미착수",INDEX(코드설정!$S$5:$S$10,$S14)))</f>
        <v/>
      </c>
      <c r="N14" s="82">
        <f>IF($A14="","",IF($S14=0,0,INDEX(코드설정!$T$5:$T$10,$S14)))</f>
        <v/>
      </c>
      <c r="O14" s="129">
        <f>IF($A14="","",COUNTIF(사업추진일지!$C$5:$C$404,$A14))</f>
        <v/>
      </c>
      <c r="P14" s="74" t="n"/>
      <c r="Q14" s="36" t="n"/>
      <c r="S14">
        <f>IF($A14="",0,SUMPRODUCT(MAX((사업추진일지!$C$5:$C$404=$A14)*사업추진일지!$N$5:$N$404)))</f>
        <v/>
      </c>
    </row>
    <row r="15">
      <c r="A15" s="74" t="n"/>
      <c r="B15" s="36" t="n"/>
      <c r="C15" s="75" t="n"/>
      <c r="D15" s="74" t="n"/>
      <c r="E15" s="74" t="n"/>
      <c r="F15" s="74" t="n"/>
      <c r="G15" s="76" t="n"/>
      <c r="H15" s="139">
        <f>IF($A15="","",SUMIFS(사업추진일지!$I$5:$I$404,사업추진일지!$C$5:$C$404,$A15))</f>
        <v/>
      </c>
      <c r="I15" s="116">
        <f>IF(OR($A15="",$G15="",$G15=0),"",$H15/$G15)</f>
        <v/>
      </c>
      <c r="J15" s="79">
        <f>IF(OR($A15="",$G15=""),"",$G15-$H15)</f>
        <v/>
      </c>
      <c r="K15" s="80" t="n"/>
      <c r="L15" s="80" t="n"/>
      <c r="M15" s="130">
        <f>IF($A15="","",IF($S15=0,"미착수",INDEX(코드설정!$S$5:$S$10,$S15)))</f>
        <v/>
      </c>
      <c r="N15" s="82">
        <f>IF($A15="","",IF($S15=0,0,INDEX(코드설정!$T$5:$T$10,$S15)))</f>
        <v/>
      </c>
      <c r="O15" s="129">
        <f>IF($A15="","",COUNTIF(사업추진일지!$C$5:$C$404,$A15))</f>
        <v/>
      </c>
      <c r="P15" s="74" t="n"/>
      <c r="Q15" s="36" t="n"/>
      <c r="S15">
        <f>IF($A15="",0,SUMPRODUCT(MAX((사업추진일지!$C$5:$C$404=$A15)*사업추진일지!$N$5:$N$404)))</f>
        <v/>
      </c>
    </row>
    <row r="16">
      <c r="A16" s="74" t="n"/>
      <c r="B16" s="36" t="n"/>
      <c r="C16" s="75" t="n"/>
      <c r="D16" s="74" t="n"/>
      <c r="E16" s="74" t="n"/>
      <c r="F16" s="74" t="n"/>
      <c r="G16" s="76" t="n"/>
      <c r="H16" s="139">
        <f>IF($A16="","",SUMIFS(사업추진일지!$I$5:$I$404,사업추진일지!$C$5:$C$404,$A16))</f>
        <v/>
      </c>
      <c r="I16" s="116">
        <f>IF(OR($A16="",$G16="",$G16=0),"",$H16/$G16)</f>
        <v/>
      </c>
      <c r="J16" s="79">
        <f>IF(OR($A16="",$G16=""),"",$G16-$H16)</f>
        <v/>
      </c>
      <c r="K16" s="80" t="n"/>
      <c r="L16" s="80" t="n"/>
      <c r="M16" s="130">
        <f>IF($A16="","",IF($S16=0,"미착수",INDEX(코드설정!$S$5:$S$10,$S16)))</f>
        <v/>
      </c>
      <c r="N16" s="82">
        <f>IF($A16="","",IF($S16=0,0,INDEX(코드설정!$T$5:$T$10,$S16)))</f>
        <v/>
      </c>
      <c r="O16" s="129">
        <f>IF($A16="","",COUNTIF(사업추진일지!$C$5:$C$404,$A16))</f>
        <v/>
      </c>
      <c r="P16" s="74" t="n"/>
      <c r="Q16" s="36" t="n"/>
      <c r="S16">
        <f>IF($A16="",0,SUMPRODUCT(MAX((사업추진일지!$C$5:$C$404=$A16)*사업추진일지!$N$5:$N$404)))</f>
        <v/>
      </c>
    </row>
    <row r="17">
      <c r="A17" s="74" t="n"/>
      <c r="B17" s="36" t="n"/>
      <c r="C17" s="75" t="n"/>
      <c r="D17" s="74" t="n"/>
      <c r="E17" s="74" t="n"/>
      <c r="F17" s="74" t="n"/>
      <c r="G17" s="76" t="n"/>
      <c r="H17" s="139">
        <f>IF($A17="","",SUMIFS(사업추진일지!$I$5:$I$404,사업추진일지!$C$5:$C$404,$A17))</f>
        <v/>
      </c>
      <c r="I17" s="116">
        <f>IF(OR($A17="",$G17="",$G17=0),"",$H17/$G17)</f>
        <v/>
      </c>
      <c r="J17" s="79">
        <f>IF(OR($A17="",$G17=""),"",$G17-$H17)</f>
        <v/>
      </c>
      <c r="K17" s="80" t="n"/>
      <c r="L17" s="80" t="n"/>
      <c r="M17" s="130">
        <f>IF($A17="","",IF($S17=0,"미착수",INDEX(코드설정!$S$5:$S$10,$S17)))</f>
        <v/>
      </c>
      <c r="N17" s="82">
        <f>IF($A17="","",IF($S17=0,0,INDEX(코드설정!$T$5:$T$10,$S17)))</f>
        <v/>
      </c>
      <c r="O17" s="129">
        <f>IF($A17="","",COUNTIF(사업추진일지!$C$5:$C$404,$A17))</f>
        <v/>
      </c>
      <c r="P17" s="74" t="n"/>
      <c r="Q17" s="36" t="n"/>
      <c r="S17">
        <f>IF($A17="",0,SUMPRODUCT(MAX((사업추진일지!$C$5:$C$404=$A17)*사업추진일지!$N$5:$N$404)))</f>
        <v/>
      </c>
    </row>
    <row r="18">
      <c r="A18" s="74" t="n"/>
      <c r="B18" s="36" t="n"/>
      <c r="C18" s="75" t="n"/>
      <c r="D18" s="74" t="n"/>
      <c r="E18" s="74" t="n"/>
      <c r="F18" s="74" t="n"/>
      <c r="G18" s="76" t="n"/>
      <c r="H18" s="139">
        <f>IF($A18="","",SUMIFS(사업추진일지!$I$5:$I$404,사업추진일지!$C$5:$C$404,$A18))</f>
        <v/>
      </c>
      <c r="I18" s="116">
        <f>IF(OR($A18="",$G18="",$G18=0),"",$H18/$G18)</f>
        <v/>
      </c>
      <c r="J18" s="79">
        <f>IF(OR($A18="",$G18=""),"",$G18-$H18)</f>
        <v/>
      </c>
      <c r="K18" s="80" t="n"/>
      <c r="L18" s="80" t="n"/>
      <c r="M18" s="130">
        <f>IF($A18="","",IF($S18=0,"미착수",INDEX(코드설정!$S$5:$S$10,$S18)))</f>
        <v/>
      </c>
      <c r="N18" s="82">
        <f>IF($A18="","",IF($S18=0,0,INDEX(코드설정!$T$5:$T$10,$S18)))</f>
        <v/>
      </c>
      <c r="O18" s="129">
        <f>IF($A18="","",COUNTIF(사업추진일지!$C$5:$C$404,$A18))</f>
        <v/>
      </c>
      <c r="P18" s="74" t="n"/>
      <c r="Q18" s="36" t="n"/>
      <c r="S18">
        <f>IF($A18="",0,SUMPRODUCT(MAX((사업추진일지!$C$5:$C$404=$A18)*사업추진일지!$N$5:$N$404)))</f>
        <v/>
      </c>
    </row>
    <row r="19">
      <c r="A19" s="74" t="n"/>
      <c r="B19" s="36" t="n"/>
      <c r="C19" s="75" t="n"/>
      <c r="D19" s="74" t="n"/>
      <c r="E19" s="74" t="n"/>
      <c r="F19" s="74" t="n"/>
      <c r="G19" s="76" t="n"/>
      <c r="H19" s="139">
        <f>IF($A19="","",SUMIFS(사업추진일지!$I$5:$I$404,사업추진일지!$C$5:$C$404,$A19))</f>
        <v/>
      </c>
      <c r="I19" s="116">
        <f>IF(OR($A19="",$G19="",$G19=0),"",$H19/$G19)</f>
        <v/>
      </c>
      <c r="J19" s="79">
        <f>IF(OR($A19="",$G19=""),"",$G19-$H19)</f>
        <v/>
      </c>
      <c r="K19" s="80" t="n"/>
      <c r="L19" s="80" t="n"/>
      <c r="M19" s="130">
        <f>IF($A19="","",IF($S19=0,"미착수",INDEX(코드설정!$S$5:$S$10,$S19)))</f>
        <v/>
      </c>
      <c r="N19" s="82">
        <f>IF($A19="","",IF($S19=0,0,INDEX(코드설정!$T$5:$T$10,$S19)))</f>
        <v/>
      </c>
      <c r="O19" s="129">
        <f>IF($A19="","",COUNTIF(사업추진일지!$C$5:$C$404,$A19))</f>
        <v/>
      </c>
      <c r="P19" s="74" t="n"/>
      <c r="Q19" s="36" t="n"/>
      <c r="S19">
        <f>IF($A19="",0,SUMPRODUCT(MAX((사업추진일지!$C$5:$C$404=$A19)*사업추진일지!$N$5:$N$404)))</f>
        <v/>
      </c>
    </row>
    <row r="20">
      <c r="A20" s="74" t="n"/>
      <c r="B20" s="36" t="n"/>
      <c r="C20" s="75" t="n"/>
      <c r="D20" s="74" t="n"/>
      <c r="E20" s="74" t="n"/>
      <c r="F20" s="74" t="n"/>
      <c r="G20" s="76" t="n"/>
      <c r="H20" s="139">
        <f>IF($A20="","",SUMIFS(사업추진일지!$I$5:$I$404,사업추진일지!$C$5:$C$404,$A20))</f>
        <v/>
      </c>
      <c r="I20" s="116">
        <f>IF(OR($A20="",$G20="",$G20=0),"",$H20/$G20)</f>
        <v/>
      </c>
      <c r="J20" s="79">
        <f>IF(OR($A20="",$G20=""),"",$G20-$H20)</f>
        <v/>
      </c>
      <c r="K20" s="80" t="n"/>
      <c r="L20" s="80" t="n"/>
      <c r="M20" s="130">
        <f>IF($A20="","",IF($S20=0,"미착수",INDEX(코드설정!$S$5:$S$10,$S20)))</f>
        <v/>
      </c>
      <c r="N20" s="82">
        <f>IF($A20="","",IF($S20=0,0,INDEX(코드설정!$T$5:$T$10,$S20)))</f>
        <v/>
      </c>
      <c r="O20" s="129">
        <f>IF($A20="","",COUNTIF(사업추진일지!$C$5:$C$404,$A20))</f>
        <v/>
      </c>
      <c r="P20" s="74" t="n"/>
      <c r="Q20" s="36" t="n"/>
      <c r="S20">
        <f>IF($A20="",0,SUMPRODUCT(MAX((사업추진일지!$C$5:$C$404=$A20)*사업추진일지!$N$5:$N$404)))</f>
        <v/>
      </c>
    </row>
    <row r="21">
      <c r="A21" s="74" t="n"/>
      <c r="B21" s="36" t="n"/>
      <c r="C21" s="75" t="n"/>
      <c r="D21" s="74" t="n"/>
      <c r="E21" s="74" t="n"/>
      <c r="F21" s="74" t="n"/>
      <c r="G21" s="76" t="n"/>
      <c r="H21" s="139">
        <f>IF($A21="","",SUMIFS(사업추진일지!$I$5:$I$404,사업추진일지!$C$5:$C$404,$A21))</f>
        <v/>
      </c>
      <c r="I21" s="116">
        <f>IF(OR($A21="",$G21="",$G21=0),"",$H21/$G21)</f>
        <v/>
      </c>
      <c r="J21" s="79">
        <f>IF(OR($A21="",$G21=""),"",$G21-$H21)</f>
        <v/>
      </c>
      <c r="K21" s="80" t="n"/>
      <c r="L21" s="80" t="n"/>
      <c r="M21" s="130">
        <f>IF($A21="","",IF($S21=0,"미착수",INDEX(코드설정!$S$5:$S$10,$S21)))</f>
        <v/>
      </c>
      <c r="N21" s="82">
        <f>IF($A21="","",IF($S21=0,0,INDEX(코드설정!$T$5:$T$10,$S21)))</f>
        <v/>
      </c>
      <c r="O21" s="129">
        <f>IF($A21="","",COUNTIF(사업추진일지!$C$5:$C$404,$A21))</f>
        <v/>
      </c>
      <c r="P21" s="74" t="n"/>
      <c r="Q21" s="36" t="n"/>
      <c r="S21">
        <f>IF($A21="",0,SUMPRODUCT(MAX((사업추진일지!$C$5:$C$404=$A21)*사업추진일지!$N$5:$N$404)))</f>
        <v/>
      </c>
    </row>
    <row r="22">
      <c r="A22" s="74" t="n"/>
      <c r="B22" s="36" t="n"/>
      <c r="C22" s="75" t="n"/>
      <c r="D22" s="74" t="n"/>
      <c r="E22" s="74" t="n"/>
      <c r="F22" s="74" t="n"/>
      <c r="G22" s="76" t="n"/>
      <c r="H22" s="139">
        <f>IF($A22="","",SUMIFS(사업추진일지!$I$5:$I$404,사업추진일지!$C$5:$C$404,$A22))</f>
        <v/>
      </c>
      <c r="I22" s="116">
        <f>IF(OR($A22="",$G22="",$G22=0),"",$H22/$G22)</f>
        <v/>
      </c>
      <c r="J22" s="79">
        <f>IF(OR($A22="",$G22=""),"",$G22-$H22)</f>
        <v/>
      </c>
      <c r="K22" s="80" t="n"/>
      <c r="L22" s="80" t="n"/>
      <c r="M22" s="130">
        <f>IF($A22="","",IF($S22=0,"미착수",INDEX(코드설정!$S$5:$S$10,$S22)))</f>
        <v/>
      </c>
      <c r="N22" s="82">
        <f>IF($A22="","",IF($S22=0,0,INDEX(코드설정!$T$5:$T$10,$S22)))</f>
        <v/>
      </c>
      <c r="O22" s="129">
        <f>IF($A22="","",COUNTIF(사업추진일지!$C$5:$C$404,$A22))</f>
        <v/>
      </c>
      <c r="P22" s="74" t="n"/>
      <c r="Q22" s="36" t="n"/>
      <c r="S22">
        <f>IF($A22="",0,SUMPRODUCT(MAX((사업추진일지!$C$5:$C$404=$A22)*사업추진일지!$N$5:$N$404)))</f>
        <v/>
      </c>
    </row>
    <row r="23">
      <c r="A23" s="74" t="n"/>
      <c r="B23" s="36" t="n"/>
      <c r="C23" s="75" t="n"/>
      <c r="D23" s="74" t="n"/>
      <c r="E23" s="74" t="n"/>
      <c r="F23" s="74" t="n"/>
      <c r="G23" s="76" t="n"/>
      <c r="H23" s="139">
        <f>IF($A23="","",SUMIFS(사업추진일지!$I$5:$I$404,사업추진일지!$C$5:$C$404,$A23))</f>
        <v/>
      </c>
      <c r="I23" s="116">
        <f>IF(OR($A23="",$G23="",$G23=0),"",$H23/$G23)</f>
        <v/>
      </c>
      <c r="J23" s="79">
        <f>IF(OR($A23="",$G23=""),"",$G23-$H23)</f>
        <v/>
      </c>
      <c r="K23" s="80" t="n"/>
      <c r="L23" s="80" t="n"/>
      <c r="M23" s="130">
        <f>IF($A23="","",IF($S23=0,"미착수",INDEX(코드설정!$S$5:$S$10,$S23)))</f>
        <v/>
      </c>
      <c r="N23" s="82">
        <f>IF($A23="","",IF($S23=0,0,INDEX(코드설정!$T$5:$T$10,$S23)))</f>
        <v/>
      </c>
      <c r="O23" s="129">
        <f>IF($A23="","",COUNTIF(사업추진일지!$C$5:$C$404,$A23))</f>
        <v/>
      </c>
      <c r="P23" s="74" t="n"/>
      <c r="Q23" s="36" t="n"/>
      <c r="S23">
        <f>IF($A23="",0,SUMPRODUCT(MAX((사업추진일지!$C$5:$C$404=$A23)*사업추진일지!$N$5:$N$404)))</f>
        <v/>
      </c>
    </row>
    <row r="24">
      <c r="A24" s="74" t="n"/>
      <c r="B24" s="36" t="n"/>
      <c r="C24" s="75" t="n"/>
      <c r="D24" s="74" t="n"/>
      <c r="E24" s="74" t="n"/>
      <c r="F24" s="74" t="n"/>
      <c r="G24" s="76" t="n"/>
      <c r="H24" s="139">
        <f>IF($A24="","",SUMIFS(사업추진일지!$I$5:$I$404,사업추진일지!$C$5:$C$404,$A24))</f>
        <v/>
      </c>
      <c r="I24" s="116">
        <f>IF(OR($A24="",$G24="",$G24=0),"",$H24/$G24)</f>
        <v/>
      </c>
      <c r="J24" s="79">
        <f>IF(OR($A24="",$G24=""),"",$G24-$H24)</f>
        <v/>
      </c>
      <c r="K24" s="80" t="n"/>
      <c r="L24" s="80" t="n"/>
      <c r="M24" s="130">
        <f>IF($A24="","",IF($S24=0,"미착수",INDEX(코드설정!$S$5:$S$10,$S24)))</f>
        <v/>
      </c>
      <c r="N24" s="82">
        <f>IF($A24="","",IF($S24=0,0,INDEX(코드설정!$T$5:$T$10,$S24)))</f>
        <v/>
      </c>
      <c r="O24" s="129">
        <f>IF($A24="","",COUNTIF(사업추진일지!$C$5:$C$404,$A24))</f>
        <v/>
      </c>
      <c r="P24" s="74" t="n"/>
      <c r="Q24" s="36" t="n"/>
      <c r="S24">
        <f>IF($A24="",0,SUMPRODUCT(MAX((사업추진일지!$C$5:$C$404=$A24)*사업추진일지!$N$5:$N$404)))</f>
        <v/>
      </c>
    </row>
    <row r="25">
      <c r="A25" s="74" t="n"/>
      <c r="B25" s="36" t="n"/>
      <c r="C25" s="75" t="n"/>
      <c r="D25" s="74" t="n"/>
      <c r="E25" s="74" t="n"/>
      <c r="F25" s="74" t="n"/>
      <c r="G25" s="76" t="n"/>
      <c r="H25" s="139">
        <f>IF($A25="","",SUMIFS(사업추진일지!$I$5:$I$404,사업추진일지!$C$5:$C$404,$A25))</f>
        <v/>
      </c>
      <c r="I25" s="116">
        <f>IF(OR($A25="",$G25="",$G25=0),"",$H25/$G25)</f>
        <v/>
      </c>
      <c r="J25" s="79">
        <f>IF(OR($A25="",$G25=""),"",$G25-$H25)</f>
        <v/>
      </c>
      <c r="K25" s="80" t="n"/>
      <c r="L25" s="80" t="n"/>
      <c r="M25" s="130">
        <f>IF($A25="","",IF($S25=0,"미착수",INDEX(코드설정!$S$5:$S$10,$S25)))</f>
        <v/>
      </c>
      <c r="N25" s="82">
        <f>IF($A25="","",IF($S25=0,0,INDEX(코드설정!$T$5:$T$10,$S25)))</f>
        <v/>
      </c>
      <c r="O25" s="129">
        <f>IF($A25="","",COUNTIF(사업추진일지!$C$5:$C$404,$A25))</f>
        <v/>
      </c>
      <c r="P25" s="74" t="n"/>
      <c r="Q25" s="36" t="n"/>
      <c r="S25">
        <f>IF($A25="",0,SUMPRODUCT(MAX((사업추진일지!$C$5:$C$404=$A25)*사업추진일지!$N$5:$N$404)))</f>
        <v/>
      </c>
    </row>
    <row r="26">
      <c r="A26" s="74" t="n"/>
      <c r="B26" s="36" t="n"/>
      <c r="C26" s="75" t="n"/>
      <c r="D26" s="74" t="n"/>
      <c r="E26" s="74" t="n"/>
      <c r="F26" s="74" t="n"/>
      <c r="G26" s="76" t="n"/>
      <c r="H26" s="139">
        <f>IF($A26="","",SUMIFS(사업추진일지!$I$5:$I$404,사업추진일지!$C$5:$C$404,$A26))</f>
        <v/>
      </c>
      <c r="I26" s="116">
        <f>IF(OR($A26="",$G26="",$G26=0),"",$H26/$G26)</f>
        <v/>
      </c>
      <c r="J26" s="79">
        <f>IF(OR($A26="",$G26=""),"",$G26-$H26)</f>
        <v/>
      </c>
      <c r="K26" s="80" t="n"/>
      <c r="L26" s="80" t="n"/>
      <c r="M26" s="130">
        <f>IF($A26="","",IF($S26=0,"미착수",INDEX(코드설정!$S$5:$S$10,$S26)))</f>
        <v/>
      </c>
      <c r="N26" s="82">
        <f>IF($A26="","",IF($S26=0,0,INDEX(코드설정!$T$5:$T$10,$S26)))</f>
        <v/>
      </c>
      <c r="O26" s="129">
        <f>IF($A26="","",COUNTIF(사업추진일지!$C$5:$C$404,$A26))</f>
        <v/>
      </c>
      <c r="P26" s="74" t="n"/>
      <c r="Q26" s="36" t="n"/>
      <c r="S26">
        <f>IF($A26="",0,SUMPRODUCT(MAX((사업추진일지!$C$5:$C$404=$A26)*사업추진일지!$N$5:$N$404)))</f>
        <v/>
      </c>
    </row>
    <row r="27">
      <c r="A27" s="74" t="n"/>
      <c r="B27" s="36" t="n"/>
      <c r="C27" s="75" t="n"/>
      <c r="D27" s="74" t="n"/>
      <c r="E27" s="74" t="n"/>
      <c r="F27" s="74" t="n"/>
      <c r="G27" s="76" t="n"/>
      <c r="H27" s="139">
        <f>IF($A27="","",SUMIFS(사업추진일지!$I$5:$I$404,사업추진일지!$C$5:$C$404,$A27))</f>
        <v/>
      </c>
      <c r="I27" s="116">
        <f>IF(OR($A27="",$G27="",$G27=0),"",$H27/$G27)</f>
        <v/>
      </c>
      <c r="J27" s="79">
        <f>IF(OR($A27="",$G27=""),"",$G27-$H27)</f>
        <v/>
      </c>
      <c r="K27" s="80" t="n"/>
      <c r="L27" s="80" t="n"/>
      <c r="M27" s="130">
        <f>IF($A27="","",IF($S27=0,"미착수",INDEX(코드설정!$S$5:$S$10,$S27)))</f>
        <v/>
      </c>
      <c r="N27" s="82">
        <f>IF($A27="","",IF($S27=0,0,INDEX(코드설정!$T$5:$T$10,$S27)))</f>
        <v/>
      </c>
      <c r="O27" s="129">
        <f>IF($A27="","",COUNTIF(사업추진일지!$C$5:$C$404,$A27))</f>
        <v/>
      </c>
      <c r="P27" s="74" t="n"/>
      <c r="Q27" s="36" t="n"/>
      <c r="S27">
        <f>IF($A27="",0,SUMPRODUCT(MAX((사업추진일지!$C$5:$C$404=$A27)*사업추진일지!$N$5:$N$404)))</f>
        <v/>
      </c>
    </row>
    <row r="28">
      <c r="A28" s="74" t="n"/>
      <c r="B28" s="36" t="n"/>
      <c r="C28" s="75" t="n"/>
      <c r="D28" s="74" t="n"/>
      <c r="E28" s="74" t="n"/>
      <c r="F28" s="74" t="n"/>
      <c r="G28" s="76" t="n"/>
      <c r="H28" s="139">
        <f>IF($A28="","",SUMIFS(사업추진일지!$I$5:$I$404,사업추진일지!$C$5:$C$404,$A28))</f>
        <v/>
      </c>
      <c r="I28" s="116">
        <f>IF(OR($A28="",$G28="",$G28=0),"",$H28/$G28)</f>
        <v/>
      </c>
      <c r="J28" s="79">
        <f>IF(OR($A28="",$G28=""),"",$G28-$H28)</f>
        <v/>
      </c>
      <c r="K28" s="80" t="n"/>
      <c r="L28" s="80" t="n"/>
      <c r="M28" s="130">
        <f>IF($A28="","",IF($S28=0,"미착수",INDEX(코드설정!$S$5:$S$10,$S28)))</f>
        <v/>
      </c>
      <c r="N28" s="82">
        <f>IF($A28="","",IF($S28=0,0,INDEX(코드설정!$T$5:$T$10,$S28)))</f>
        <v/>
      </c>
      <c r="O28" s="129">
        <f>IF($A28="","",COUNTIF(사업추진일지!$C$5:$C$404,$A28))</f>
        <v/>
      </c>
      <c r="P28" s="74" t="n"/>
      <c r="Q28" s="36" t="n"/>
      <c r="S28">
        <f>IF($A28="",0,SUMPRODUCT(MAX((사업추진일지!$C$5:$C$404=$A28)*사업추진일지!$N$5:$N$404)))</f>
        <v/>
      </c>
    </row>
    <row r="29">
      <c r="A29" s="74" t="n"/>
      <c r="B29" s="36" t="n"/>
      <c r="C29" s="75" t="n"/>
      <c r="D29" s="74" t="n"/>
      <c r="E29" s="74" t="n"/>
      <c r="F29" s="74" t="n"/>
      <c r="G29" s="76" t="n"/>
      <c r="H29" s="139">
        <f>IF($A29="","",SUMIFS(사업추진일지!$I$5:$I$404,사업추진일지!$C$5:$C$404,$A29))</f>
        <v/>
      </c>
      <c r="I29" s="116">
        <f>IF(OR($A29="",$G29="",$G29=0),"",$H29/$G29)</f>
        <v/>
      </c>
      <c r="J29" s="79">
        <f>IF(OR($A29="",$G29=""),"",$G29-$H29)</f>
        <v/>
      </c>
      <c r="K29" s="80" t="n"/>
      <c r="L29" s="80" t="n"/>
      <c r="M29" s="130">
        <f>IF($A29="","",IF($S29=0,"미착수",INDEX(코드설정!$S$5:$S$10,$S29)))</f>
        <v/>
      </c>
      <c r="N29" s="82">
        <f>IF($A29="","",IF($S29=0,0,INDEX(코드설정!$T$5:$T$10,$S29)))</f>
        <v/>
      </c>
      <c r="O29" s="129">
        <f>IF($A29="","",COUNTIF(사업추진일지!$C$5:$C$404,$A29))</f>
        <v/>
      </c>
      <c r="P29" s="74" t="n"/>
      <c r="Q29" s="36" t="n"/>
      <c r="S29">
        <f>IF($A29="",0,SUMPRODUCT(MAX((사업추진일지!$C$5:$C$404=$A29)*사업추진일지!$N$5:$N$404)))</f>
        <v/>
      </c>
    </row>
    <row r="30">
      <c r="A30" s="74" t="n"/>
      <c r="B30" s="36" t="n"/>
      <c r="C30" s="75" t="n"/>
      <c r="D30" s="74" t="n"/>
      <c r="E30" s="74" t="n"/>
      <c r="F30" s="74" t="n"/>
      <c r="G30" s="76" t="n"/>
      <c r="H30" s="139">
        <f>IF($A30="","",SUMIFS(사업추진일지!$I$5:$I$404,사업추진일지!$C$5:$C$404,$A30))</f>
        <v/>
      </c>
      <c r="I30" s="116">
        <f>IF(OR($A30="",$G30="",$G30=0),"",$H30/$G30)</f>
        <v/>
      </c>
      <c r="J30" s="79">
        <f>IF(OR($A30="",$G30=""),"",$G30-$H30)</f>
        <v/>
      </c>
      <c r="K30" s="80" t="n"/>
      <c r="L30" s="80" t="n"/>
      <c r="M30" s="130">
        <f>IF($A30="","",IF($S30=0,"미착수",INDEX(코드설정!$S$5:$S$10,$S30)))</f>
        <v/>
      </c>
      <c r="N30" s="82">
        <f>IF($A30="","",IF($S30=0,0,INDEX(코드설정!$T$5:$T$10,$S30)))</f>
        <v/>
      </c>
      <c r="O30" s="129">
        <f>IF($A30="","",COUNTIF(사업추진일지!$C$5:$C$404,$A30))</f>
        <v/>
      </c>
      <c r="P30" s="74" t="n"/>
      <c r="Q30" s="36" t="n"/>
      <c r="S30">
        <f>IF($A30="",0,SUMPRODUCT(MAX((사업추진일지!$C$5:$C$404=$A30)*사업추진일지!$N$5:$N$404)))</f>
        <v/>
      </c>
    </row>
    <row r="31">
      <c r="A31" s="74" t="n"/>
      <c r="B31" s="36" t="n"/>
      <c r="C31" s="75" t="n"/>
      <c r="D31" s="74" t="n"/>
      <c r="E31" s="74" t="n"/>
      <c r="F31" s="74" t="n"/>
      <c r="G31" s="76" t="n"/>
      <c r="H31" s="139">
        <f>IF($A31="","",SUMIFS(사업추진일지!$I$5:$I$404,사업추진일지!$C$5:$C$404,$A31))</f>
        <v/>
      </c>
      <c r="I31" s="116">
        <f>IF(OR($A31="",$G31="",$G31=0),"",$H31/$G31)</f>
        <v/>
      </c>
      <c r="J31" s="79">
        <f>IF(OR($A31="",$G31=""),"",$G31-$H31)</f>
        <v/>
      </c>
      <c r="K31" s="80" t="n"/>
      <c r="L31" s="80" t="n"/>
      <c r="M31" s="130">
        <f>IF($A31="","",IF($S31=0,"미착수",INDEX(코드설정!$S$5:$S$10,$S31)))</f>
        <v/>
      </c>
      <c r="N31" s="82">
        <f>IF($A31="","",IF($S31=0,0,INDEX(코드설정!$T$5:$T$10,$S31)))</f>
        <v/>
      </c>
      <c r="O31" s="129">
        <f>IF($A31="","",COUNTIF(사업추진일지!$C$5:$C$404,$A31))</f>
        <v/>
      </c>
      <c r="P31" s="74" t="n"/>
      <c r="Q31" s="36" t="n"/>
      <c r="S31">
        <f>IF($A31="",0,SUMPRODUCT(MAX((사업추진일지!$C$5:$C$404=$A31)*사업추진일지!$N$5:$N$404)))</f>
        <v/>
      </c>
    </row>
    <row r="32">
      <c r="A32" s="74" t="n"/>
      <c r="B32" s="36" t="n"/>
      <c r="C32" s="75" t="n"/>
      <c r="D32" s="74" t="n"/>
      <c r="E32" s="74" t="n"/>
      <c r="F32" s="74" t="n"/>
      <c r="G32" s="76" t="n"/>
      <c r="H32" s="139">
        <f>IF($A32="","",SUMIFS(사업추진일지!$I$5:$I$404,사업추진일지!$C$5:$C$404,$A32))</f>
        <v/>
      </c>
      <c r="I32" s="116">
        <f>IF(OR($A32="",$G32="",$G32=0),"",$H32/$G32)</f>
        <v/>
      </c>
      <c r="J32" s="79">
        <f>IF(OR($A32="",$G32=""),"",$G32-$H32)</f>
        <v/>
      </c>
      <c r="K32" s="80" t="n"/>
      <c r="L32" s="80" t="n"/>
      <c r="M32" s="130">
        <f>IF($A32="","",IF($S32=0,"미착수",INDEX(코드설정!$S$5:$S$10,$S32)))</f>
        <v/>
      </c>
      <c r="N32" s="82">
        <f>IF($A32="","",IF($S32=0,0,INDEX(코드설정!$T$5:$T$10,$S32)))</f>
        <v/>
      </c>
      <c r="O32" s="129">
        <f>IF($A32="","",COUNTIF(사업추진일지!$C$5:$C$404,$A32))</f>
        <v/>
      </c>
      <c r="P32" s="74" t="n"/>
      <c r="Q32" s="36" t="n"/>
      <c r="S32">
        <f>IF($A32="",0,SUMPRODUCT(MAX((사업추진일지!$C$5:$C$404=$A32)*사업추진일지!$N$5:$N$404)))</f>
        <v/>
      </c>
    </row>
    <row r="33">
      <c r="A33" s="74" t="n"/>
      <c r="B33" s="36" t="n"/>
      <c r="C33" s="75" t="n"/>
      <c r="D33" s="74" t="n"/>
      <c r="E33" s="74" t="n"/>
      <c r="F33" s="74" t="n"/>
      <c r="G33" s="76" t="n"/>
      <c r="H33" s="139">
        <f>IF($A33="","",SUMIFS(사업추진일지!$I$5:$I$404,사업추진일지!$C$5:$C$404,$A33))</f>
        <v/>
      </c>
      <c r="I33" s="116">
        <f>IF(OR($A33="",$G33="",$G33=0),"",$H33/$G33)</f>
        <v/>
      </c>
      <c r="J33" s="79">
        <f>IF(OR($A33="",$G33=""),"",$G33-$H33)</f>
        <v/>
      </c>
      <c r="K33" s="80" t="n"/>
      <c r="L33" s="80" t="n"/>
      <c r="M33" s="130">
        <f>IF($A33="","",IF($S33=0,"미착수",INDEX(코드설정!$S$5:$S$10,$S33)))</f>
        <v/>
      </c>
      <c r="N33" s="82">
        <f>IF($A33="","",IF($S33=0,0,INDEX(코드설정!$T$5:$T$10,$S33)))</f>
        <v/>
      </c>
      <c r="O33" s="129">
        <f>IF($A33="","",COUNTIF(사업추진일지!$C$5:$C$404,$A33))</f>
        <v/>
      </c>
      <c r="P33" s="74" t="n"/>
      <c r="Q33" s="36" t="n"/>
      <c r="S33">
        <f>IF($A33="",0,SUMPRODUCT(MAX((사업추진일지!$C$5:$C$404=$A33)*사업추진일지!$N$5:$N$404)))</f>
        <v/>
      </c>
    </row>
    <row r="34">
      <c r="A34" s="74" t="n"/>
      <c r="B34" s="36" t="n"/>
      <c r="C34" s="75" t="n"/>
      <c r="D34" s="74" t="n"/>
      <c r="E34" s="74" t="n"/>
      <c r="F34" s="74" t="n"/>
      <c r="G34" s="76" t="n"/>
      <c r="H34" s="139">
        <f>IF($A34="","",SUMIFS(사업추진일지!$I$5:$I$404,사업추진일지!$C$5:$C$404,$A34))</f>
        <v/>
      </c>
      <c r="I34" s="116">
        <f>IF(OR($A34="",$G34="",$G34=0),"",$H34/$G34)</f>
        <v/>
      </c>
      <c r="J34" s="79">
        <f>IF(OR($A34="",$G34=""),"",$G34-$H34)</f>
        <v/>
      </c>
      <c r="K34" s="80" t="n"/>
      <c r="L34" s="80" t="n"/>
      <c r="M34" s="130">
        <f>IF($A34="","",IF($S34=0,"미착수",INDEX(코드설정!$S$5:$S$10,$S34)))</f>
        <v/>
      </c>
      <c r="N34" s="82">
        <f>IF($A34="","",IF($S34=0,0,INDEX(코드설정!$T$5:$T$10,$S34)))</f>
        <v/>
      </c>
      <c r="O34" s="129">
        <f>IF($A34="","",COUNTIF(사업추진일지!$C$5:$C$404,$A34))</f>
        <v/>
      </c>
      <c r="P34" s="74" t="n"/>
      <c r="Q34" s="36" t="n"/>
      <c r="S34">
        <f>IF($A34="",0,SUMPRODUCT(MAX((사업추진일지!$C$5:$C$404=$A34)*사업추진일지!$N$5:$N$404)))</f>
        <v/>
      </c>
    </row>
  </sheetData>
  <autoFilter ref="A4:Q34"/>
  <conditionalFormatting sqref="A5:Q34">
    <cfRule type="expression" priority="1" dxfId="2" stopIfTrue="0">
      <formula>$P5="완료"</formula>
    </cfRule>
    <cfRule type="expression" priority="2" dxfId="3" stopIfTrue="0">
      <formula>$P5="보류"</formula>
    </cfRule>
    <cfRule type="expression" priority="3" dxfId="6" stopIfTrue="0">
      <formula>AND($A5&lt;&gt;"",COUNTIF($A$5:$A$34,$A5)&gt;1)</formula>
    </cfRule>
  </conditionalFormatting>
  <conditionalFormatting sqref="L5:L34">
    <cfRule type="expression" priority="4" dxfId="9" stopIfTrue="0">
      <formula>AND($L5&lt;&gt;"",$L5&lt;TODAY(),$P5&lt;&gt;"완료")</formula>
    </cfRule>
  </conditionalFormatting>
  <dataValidations count="4">
    <dataValidation sqref="D5:D34" showDropDown="0" showInputMessage="0" showErrorMessage="0" allowBlank="1" type="list">
      <formula1>목록_사업구분</formula1>
    </dataValidation>
    <dataValidation sqref="E5:E34" showDropDown="0" showInputMessage="0" showErrorMessage="0" allowBlank="1" type="list">
      <formula1>목록_팀</formula1>
    </dataValidation>
    <dataValidation sqref="F5:F34" showDropDown="0" showInputMessage="0" showErrorMessage="0" allowBlank="1" type="list">
      <formula1>목록_담당자</formula1>
    </dataValidation>
    <dataValidation sqref="P5:P34" showDropDown="0" showInputMessage="0" showErrorMessage="0" allowBlank="1" type="list">
      <formula1>목록_진행상태</formula1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&amp;L&amp;"Arial"&amp;9사업마스터&amp;R&amp;"Arial"&amp;9인쇄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N40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6" customWidth="1" min="4" max="4"/>
    <col width="13" customWidth="1" min="5" max="5"/>
    <col width="40" customWidth="1" min="6" max="6"/>
    <col width="30" customWidth="1" min="7" max="7"/>
    <col width="11" customWidth="1" min="8" max="8"/>
    <col width="14" customWidth="1" min="9" max="9"/>
    <col width="18" customWidth="1" min="10" max="10"/>
    <col width="11" customWidth="1" min="11" max="11"/>
    <col width="22" customWidth="1" min="12" max="12"/>
    <col hidden="1" width="3" customWidth="1" min="13" max="13"/>
    <col hidden="1" width="8" customWidth="1" min="14" max="14"/>
  </cols>
  <sheetData>
    <row r="1" ht="24" customHeight="1">
      <c r="A1" s="6" t="inlineStr">
        <is>
          <t>사업 추진일지  ·  사업별 추진 경과 기록</t>
        </is>
      </c>
    </row>
    <row r="2" ht="26" customHeight="1">
      <c r="A2" s="7" t="inlineStr">
        <is>
          <t>※ 사업이 한 일을 날짜별로 한 줄씩 씁니다. 사업번호를 고르면 사업명이 자동으로 채워집니다.  ※ 추진 단계는 선택 입력입니다 — 적으면 [사업마스터]의 현재 단계·진척률이 올라가고, 비워 두면 시간순 기록으로만 남습니다.  ※ 집행액은 그 건에서 쓴 금액입니다. 예산 없는 사업이면 비워 두세요.</t>
        </is>
      </c>
    </row>
    <row r="4" ht="30" customHeight="1">
      <c r="A4" s="23" t="inlineStr">
        <is>
          <t>연번</t>
        </is>
      </c>
      <c r="B4" s="23" t="inlineStr">
        <is>
          <t>일자</t>
        </is>
      </c>
      <c r="C4" s="23" t="inlineStr">
        <is>
          <t>사업번호</t>
        </is>
      </c>
      <c r="D4" s="23" t="inlineStr">
        <is>
          <t>사업명(자동)</t>
        </is>
      </c>
      <c r="E4" s="23" t="inlineStr">
        <is>
          <t>추진 단계</t>
        </is>
      </c>
      <c r="F4" s="23" t="inlineStr">
        <is>
          <t>추진 내용</t>
        </is>
      </c>
      <c r="G4" s="23" t="inlineStr">
        <is>
          <t>조치 · 결과</t>
        </is>
      </c>
      <c r="H4" s="23" t="inlineStr">
        <is>
          <t>담당자</t>
        </is>
      </c>
      <c r="I4" s="23" t="inlineStr">
        <is>
          <t>집행액(원)</t>
        </is>
      </c>
      <c r="J4" s="23" t="inlineStr">
        <is>
          <t>증빙 · 문서번호</t>
        </is>
      </c>
      <c r="K4" s="23" t="inlineStr">
        <is>
          <t>진행상태</t>
        </is>
      </c>
      <c r="L4" s="23" t="inlineStr">
        <is>
          <t>비고</t>
        </is>
      </c>
      <c r="M4" s="7" t="inlineStr">
        <is>
          <t>▼ 추진단계 순번 (지우지 마세요)</t>
        </is>
      </c>
    </row>
    <row r="5">
      <c r="A5" s="118">
        <f>IF($B5="","",COUNT($B$5:$B5))</f>
        <v/>
      </c>
      <c r="B5" s="80" t="n"/>
      <c r="C5" s="74" t="n"/>
      <c r="D5" s="33">
        <f>IF($C5="","",IFERROR(INDEX(사업마스터!$B$5:$B$34,MATCH($C5,사업마스터!$A$5:$A$34,0)),"※ 미등록 사업번호"))</f>
        <v/>
      </c>
      <c r="E5" s="74" t="n"/>
      <c r="F5" s="36" t="n"/>
      <c r="G5" s="36" t="n"/>
      <c r="H5" s="74" t="n"/>
      <c r="I5" s="76" t="n"/>
      <c r="J5" s="74" t="n"/>
      <c r="K5" s="74" t="n"/>
      <c r="L5" s="36" t="n"/>
      <c r="N5">
        <f>IFERROR(MATCH($E5,코드설정!$S$5:$S$10,0),0)</f>
        <v/>
      </c>
    </row>
    <row r="6">
      <c r="A6" s="118">
        <f>IF($B6="","",COUNT($B$5:$B6))</f>
        <v/>
      </c>
      <c r="B6" s="80" t="n"/>
      <c r="C6" s="74" t="n"/>
      <c r="D6" s="33">
        <f>IF($C6="","",IFERROR(INDEX(사업마스터!$B$5:$B$34,MATCH($C6,사업마스터!$A$5:$A$34,0)),"※ 미등록 사업번호"))</f>
        <v/>
      </c>
      <c r="E6" s="74" t="n"/>
      <c r="F6" s="36" t="n"/>
      <c r="G6" s="36" t="n"/>
      <c r="H6" s="74" t="n"/>
      <c r="I6" s="76" t="n"/>
      <c r="J6" s="74" t="n"/>
      <c r="K6" s="74" t="n"/>
      <c r="L6" s="36" t="n"/>
      <c r="N6">
        <f>IFERROR(MATCH($E6,코드설정!$S$5:$S$10,0),0)</f>
        <v/>
      </c>
    </row>
    <row r="7">
      <c r="A7" s="118">
        <f>IF($B7="","",COUNT($B$5:$B7))</f>
        <v/>
      </c>
      <c r="B7" s="80" t="n"/>
      <c r="C7" s="74" t="n"/>
      <c r="D7" s="33">
        <f>IF($C7="","",IFERROR(INDEX(사업마스터!$B$5:$B$34,MATCH($C7,사업마스터!$A$5:$A$34,0)),"※ 미등록 사업번호"))</f>
        <v/>
      </c>
      <c r="E7" s="74" t="n"/>
      <c r="F7" s="36" t="n"/>
      <c r="G7" s="36" t="n"/>
      <c r="H7" s="74" t="n"/>
      <c r="I7" s="76" t="n"/>
      <c r="J7" s="74" t="n"/>
      <c r="K7" s="74" t="n"/>
      <c r="L7" s="36" t="n"/>
      <c r="N7">
        <f>IFERROR(MATCH($E7,코드설정!$S$5:$S$10,0),0)</f>
        <v/>
      </c>
    </row>
    <row r="8">
      <c r="A8" s="118">
        <f>IF($B8="","",COUNT($B$5:$B8))</f>
        <v/>
      </c>
      <c r="B8" s="80" t="n"/>
      <c r="C8" s="74" t="n"/>
      <c r="D8" s="33">
        <f>IF($C8="","",IFERROR(INDEX(사업마스터!$B$5:$B$34,MATCH($C8,사업마스터!$A$5:$A$34,0)),"※ 미등록 사업번호"))</f>
        <v/>
      </c>
      <c r="E8" s="74" t="n"/>
      <c r="F8" s="36" t="n"/>
      <c r="G8" s="36" t="n"/>
      <c r="H8" s="74" t="n"/>
      <c r="I8" s="76" t="n"/>
      <c r="J8" s="74" t="n"/>
      <c r="K8" s="74" t="n"/>
      <c r="L8" s="36" t="n"/>
      <c r="N8">
        <f>IFERROR(MATCH($E8,코드설정!$S$5:$S$10,0),0)</f>
        <v/>
      </c>
    </row>
    <row r="9">
      <c r="A9" s="118">
        <f>IF($B9="","",COUNT($B$5:$B9))</f>
        <v/>
      </c>
      <c r="B9" s="80" t="n"/>
      <c r="C9" s="74" t="n"/>
      <c r="D9" s="33">
        <f>IF($C9="","",IFERROR(INDEX(사업마스터!$B$5:$B$34,MATCH($C9,사업마스터!$A$5:$A$34,0)),"※ 미등록 사업번호"))</f>
        <v/>
      </c>
      <c r="E9" s="74" t="n"/>
      <c r="F9" s="36" t="n"/>
      <c r="G9" s="36" t="n"/>
      <c r="H9" s="74" t="n"/>
      <c r="I9" s="76" t="n"/>
      <c r="J9" s="74" t="n"/>
      <c r="K9" s="74" t="n"/>
      <c r="L9" s="36" t="n"/>
      <c r="N9">
        <f>IFERROR(MATCH($E9,코드설정!$S$5:$S$10,0),0)</f>
        <v/>
      </c>
    </row>
    <row r="10">
      <c r="A10" s="118">
        <f>IF($B10="","",COUNT($B$5:$B10))</f>
        <v/>
      </c>
      <c r="B10" s="80" t="n"/>
      <c r="C10" s="74" t="n"/>
      <c r="D10" s="33">
        <f>IF($C10="","",IFERROR(INDEX(사업마스터!$B$5:$B$34,MATCH($C10,사업마스터!$A$5:$A$34,0)),"※ 미등록 사업번호"))</f>
        <v/>
      </c>
      <c r="E10" s="74" t="n"/>
      <c r="F10" s="36" t="n"/>
      <c r="G10" s="36" t="n"/>
      <c r="H10" s="74" t="n"/>
      <c r="I10" s="76" t="n"/>
      <c r="J10" s="74" t="n"/>
      <c r="K10" s="74" t="n"/>
      <c r="L10" s="36" t="n"/>
      <c r="N10">
        <f>IFERROR(MATCH($E10,코드설정!$S$5:$S$10,0),0)</f>
        <v/>
      </c>
    </row>
    <row r="11">
      <c r="A11" s="118">
        <f>IF($B11="","",COUNT($B$5:$B11))</f>
        <v/>
      </c>
      <c r="B11" s="80" t="n"/>
      <c r="C11" s="74" t="n"/>
      <c r="D11" s="33">
        <f>IF($C11="","",IFERROR(INDEX(사업마스터!$B$5:$B$34,MATCH($C11,사업마스터!$A$5:$A$34,0)),"※ 미등록 사업번호"))</f>
        <v/>
      </c>
      <c r="E11" s="74" t="n"/>
      <c r="F11" s="36" t="n"/>
      <c r="G11" s="36" t="n"/>
      <c r="H11" s="74" t="n"/>
      <c r="I11" s="76" t="n"/>
      <c r="J11" s="74" t="n"/>
      <c r="K11" s="74" t="n"/>
      <c r="L11" s="36" t="n"/>
      <c r="N11">
        <f>IFERROR(MATCH($E11,코드설정!$S$5:$S$10,0),0)</f>
        <v/>
      </c>
    </row>
    <row r="12">
      <c r="A12" s="118">
        <f>IF($B12="","",COUNT($B$5:$B12))</f>
        <v/>
      </c>
      <c r="B12" s="80" t="n"/>
      <c r="C12" s="74" t="n"/>
      <c r="D12" s="33">
        <f>IF($C12="","",IFERROR(INDEX(사업마스터!$B$5:$B$34,MATCH($C12,사업마스터!$A$5:$A$34,0)),"※ 미등록 사업번호"))</f>
        <v/>
      </c>
      <c r="E12" s="74" t="n"/>
      <c r="F12" s="36" t="n"/>
      <c r="G12" s="36" t="n"/>
      <c r="H12" s="74" t="n"/>
      <c r="I12" s="76" t="n"/>
      <c r="J12" s="74" t="n"/>
      <c r="K12" s="74" t="n"/>
      <c r="L12" s="36" t="n"/>
      <c r="N12">
        <f>IFERROR(MATCH($E12,코드설정!$S$5:$S$10,0),0)</f>
        <v/>
      </c>
    </row>
    <row r="13">
      <c r="A13" s="118">
        <f>IF($B13="","",COUNT($B$5:$B13))</f>
        <v/>
      </c>
      <c r="B13" s="80" t="n"/>
      <c r="C13" s="74" t="n"/>
      <c r="D13" s="33">
        <f>IF($C13="","",IFERROR(INDEX(사업마스터!$B$5:$B$34,MATCH($C13,사업마스터!$A$5:$A$34,0)),"※ 미등록 사업번호"))</f>
        <v/>
      </c>
      <c r="E13" s="74" t="n"/>
      <c r="F13" s="36" t="n"/>
      <c r="G13" s="36" t="n"/>
      <c r="H13" s="74" t="n"/>
      <c r="I13" s="76" t="n"/>
      <c r="J13" s="74" t="n"/>
      <c r="K13" s="74" t="n"/>
      <c r="L13" s="36" t="n"/>
      <c r="N13">
        <f>IFERROR(MATCH($E13,코드설정!$S$5:$S$10,0),0)</f>
        <v/>
      </c>
    </row>
    <row r="14">
      <c r="A14" s="118">
        <f>IF($B14="","",COUNT($B$5:$B14))</f>
        <v/>
      </c>
      <c r="B14" s="80" t="n"/>
      <c r="C14" s="74" t="n"/>
      <c r="D14" s="33">
        <f>IF($C14="","",IFERROR(INDEX(사업마스터!$B$5:$B$34,MATCH($C14,사업마스터!$A$5:$A$34,0)),"※ 미등록 사업번호"))</f>
        <v/>
      </c>
      <c r="E14" s="74" t="n"/>
      <c r="F14" s="36" t="n"/>
      <c r="G14" s="36" t="n"/>
      <c r="H14" s="74" t="n"/>
      <c r="I14" s="76" t="n"/>
      <c r="J14" s="74" t="n"/>
      <c r="K14" s="74" t="n"/>
      <c r="L14" s="36" t="n"/>
      <c r="N14">
        <f>IFERROR(MATCH($E14,코드설정!$S$5:$S$10,0),0)</f>
        <v/>
      </c>
    </row>
    <row r="15">
      <c r="A15" s="118">
        <f>IF($B15="","",COUNT($B$5:$B15))</f>
        <v/>
      </c>
      <c r="B15" s="80" t="n"/>
      <c r="C15" s="74" t="n"/>
      <c r="D15" s="33">
        <f>IF($C15="","",IFERROR(INDEX(사업마스터!$B$5:$B$34,MATCH($C15,사업마스터!$A$5:$A$34,0)),"※ 미등록 사업번호"))</f>
        <v/>
      </c>
      <c r="E15" s="74" t="n"/>
      <c r="F15" s="36" t="n"/>
      <c r="G15" s="36" t="n"/>
      <c r="H15" s="74" t="n"/>
      <c r="I15" s="76" t="n"/>
      <c r="J15" s="74" t="n"/>
      <c r="K15" s="74" t="n"/>
      <c r="L15" s="36" t="n"/>
      <c r="N15">
        <f>IFERROR(MATCH($E15,코드설정!$S$5:$S$10,0),0)</f>
        <v/>
      </c>
    </row>
    <row r="16">
      <c r="A16" s="118">
        <f>IF($B16="","",COUNT($B$5:$B16))</f>
        <v/>
      </c>
      <c r="B16" s="80" t="n"/>
      <c r="C16" s="74" t="n"/>
      <c r="D16" s="33">
        <f>IF($C16="","",IFERROR(INDEX(사업마스터!$B$5:$B$34,MATCH($C16,사업마스터!$A$5:$A$34,0)),"※ 미등록 사업번호"))</f>
        <v/>
      </c>
      <c r="E16" s="74" t="n"/>
      <c r="F16" s="36" t="n"/>
      <c r="G16" s="36" t="n"/>
      <c r="H16" s="74" t="n"/>
      <c r="I16" s="76" t="n"/>
      <c r="J16" s="74" t="n"/>
      <c r="K16" s="74" t="n"/>
      <c r="L16" s="36" t="n"/>
      <c r="N16">
        <f>IFERROR(MATCH($E16,코드설정!$S$5:$S$10,0),0)</f>
        <v/>
      </c>
    </row>
    <row r="17">
      <c r="A17" s="118">
        <f>IF($B17="","",COUNT($B$5:$B17))</f>
        <v/>
      </c>
      <c r="B17" s="80" t="n"/>
      <c r="C17" s="74" t="n"/>
      <c r="D17" s="33">
        <f>IF($C17="","",IFERROR(INDEX(사업마스터!$B$5:$B$34,MATCH($C17,사업마스터!$A$5:$A$34,0)),"※ 미등록 사업번호"))</f>
        <v/>
      </c>
      <c r="E17" s="74" t="n"/>
      <c r="F17" s="36" t="n"/>
      <c r="G17" s="36" t="n"/>
      <c r="H17" s="74" t="n"/>
      <c r="I17" s="76" t="n"/>
      <c r="J17" s="74" t="n"/>
      <c r="K17" s="74" t="n"/>
      <c r="L17" s="36" t="n"/>
      <c r="N17">
        <f>IFERROR(MATCH($E17,코드설정!$S$5:$S$10,0),0)</f>
        <v/>
      </c>
    </row>
    <row r="18">
      <c r="A18" s="118">
        <f>IF($B18="","",COUNT($B$5:$B18))</f>
        <v/>
      </c>
      <c r="B18" s="80" t="n"/>
      <c r="C18" s="74" t="n"/>
      <c r="D18" s="33">
        <f>IF($C18="","",IFERROR(INDEX(사업마스터!$B$5:$B$34,MATCH($C18,사업마스터!$A$5:$A$34,0)),"※ 미등록 사업번호"))</f>
        <v/>
      </c>
      <c r="E18" s="74" t="n"/>
      <c r="F18" s="36" t="n"/>
      <c r="G18" s="36" t="n"/>
      <c r="H18" s="74" t="n"/>
      <c r="I18" s="76" t="n"/>
      <c r="J18" s="74" t="n"/>
      <c r="K18" s="74" t="n"/>
      <c r="L18" s="36" t="n"/>
      <c r="N18">
        <f>IFERROR(MATCH($E18,코드설정!$S$5:$S$10,0),0)</f>
        <v/>
      </c>
    </row>
    <row r="19">
      <c r="A19" s="118">
        <f>IF($B19="","",COUNT($B$5:$B19))</f>
        <v/>
      </c>
      <c r="B19" s="80" t="n"/>
      <c r="C19" s="74" t="n"/>
      <c r="D19" s="33">
        <f>IF($C19="","",IFERROR(INDEX(사업마스터!$B$5:$B$34,MATCH($C19,사업마스터!$A$5:$A$34,0)),"※ 미등록 사업번호"))</f>
        <v/>
      </c>
      <c r="E19" s="74" t="n"/>
      <c r="F19" s="36" t="n"/>
      <c r="G19" s="36" t="n"/>
      <c r="H19" s="74" t="n"/>
      <c r="I19" s="76" t="n"/>
      <c r="J19" s="74" t="n"/>
      <c r="K19" s="74" t="n"/>
      <c r="L19" s="36" t="n"/>
      <c r="N19">
        <f>IFERROR(MATCH($E19,코드설정!$S$5:$S$10,0),0)</f>
        <v/>
      </c>
    </row>
    <row r="20">
      <c r="A20" s="118">
        <f>IF($B20="","",COUNT($B$5:$B20))</f>
        <v/>
      </c>
      <c r="B20" s="80" t="n"/>
      <c r="C20" s="74" t="n"/>
      <c r="D20" s="33">
        <f>IF($C20="","",IFERROR(INDEX(사업마스터!$B$5:$B$34,MATCH($C20,사업마스터!$A$5:$A$34,0)),"※ 미등록 사업번호"))</f>
        <v/>
      </c>
      <c r="E20" s="74" t="n"/>
      <c r="F20" s="36" t="n"/>
      <c r="G20" s="36" t="n"/>
      <c r="H20" s="74" t="n"/>
      <c r="I20" s="76" t="n"/>
      <c r="J20" s="74" t="n"/>
      <c r="K20" s="74" t="n"/>
      <c r="L20" s="36" t="n"/>
      <c r="N20">
        <f>IFERROR(MATCH($E20,코드설정!$S$5:$S$10,0),0)</f>
        <v/>
      </c>
    </row>
    <row r="21">
      <c r="A21" s="118">
        <f>IF($B21="","",COUNT($B$5:$B21))</f>
        <v/>
      </c>
      <c r="B21" s="80" t="n"/>
      <c r="C21" s="74" t="n"/>
      <c r="D21" s="33">
        <f>IF($C21="","",IFERROR(INDEX(사업마스터!$B$5:$B$34,MATCH($C21,사업마스터!$A$5:$A$34,0)),"※ 미등록 사업번호"))</f>
        <v/>
      </c>
      <c r="E21" s="74" t="n"/>
      <c r="F21" s="36" t="n"/>
      <c r="G21" s="36" t="n"/>
      <c r="H21" s="74" t="n"/>
      <c r="I21" s="76" t="n"/>
      <c r="J21" s="74" t="n"/>
      <c r="K21" s="74" t="n"/>
      <c r="L21" s="36" t="n"/>
      <c r="N21">
        <f>IFERROR(MATCH($E21,코드설정!$S$5:$S$10,0),0)</f>
        <v/>
      </c>
    </row>
    <row r="22">
      <c r="A22" s="118">
        <f>IF($B22="","",COUNT($B$5:$B22))</f>
        <v/>
      </c>
      <c r="B22" s="80" t="n"/>
      <c r="C22" s="74" t="n"/>
      <c r="D22" s="33">
        <f>IF($C22="","",IFERROR(INDEX(사업마스터!$B$5:$B$34,MATCH($C22,사업마스터!$A$5:$A$34,0)),"※ 미등록 사업번호"))</f>
        <v/>
      </c>
      <c r="E22" s="74" t="n"/>
      <c r="F22" s="36" t="n"/>
      <c r="G22" s="36" t="n"/>
      <c r="H22" s="74" t="n"/>
      <c r="I22" s="76" t="n"/>
      <c r="J22" s="74" t="n"/>
      <c r="K22" s="74" t="n"/>
      <c r="L22" s="36" t="n"/>
      <c r="N22">
        <f>IFERROR(MATCH($E22,코드설정!$S$5:$S$10,0),0)</f>
        <v/>
      </c>
    </row>
    <row r="23">
      <c r="A23" s="118">
        <f>IF($B23="","",COUNT($B$5:$B23))</f>
        <v/>
      </c>
      <c r="B23" s="80" t="n"/>
      <c r="C23" s="74" t="n"/>
      <c r="D23" s="33">
        <f>IF($C23="","",IFERROR(INDEX(사업마스터!$B$5:$B$34,MATCH($C23,사업마스터!$A$5:$A$34,0)),"※ 미등록 사업번호"))</f>
        <v/>
      </c>
      <c r="E23" s="74" t="n"/>
      <c r="F23" s="36" t="n"/>
      <c r="G23" s="36" t="n"/>
      <c r="H23" s="74" t="n"/>
      <c r="I23" s="76" t="n"/>
      <c r="J23" s="74" t="n"/>
      <c r="K23" s="74" t="n"/>
      <c r="L23" s="36" t="n"/>
      <c r="N23">
        <f>IFERROR(MATCH($E23,코드설정!$S$5:$S$10,0),0)</f>
        <v/>
      </c>
    </row>
    <row r="24">
      <c r="A24" s="118">
        <f>IF($B24="","",COUNT($B$5:$B24))</f>
        <v/>
      </c>
      <c r="B24" s="80" t="n"/>
      <c r="C24" s="74" t="n"/>
      <c r="D24" s="33">
        <f>IF($C24="","",IFERROR(INDEX(사업마스터!$B$5:$B$34,MATCH($C24,사업마스터!$A$5:$A$34,0)),"※ 미등록 사업번호"))</f>
        <v/>
      </c>
      <c r="E24" s="74" t="n"/>
      <c r="F24" s="36" t="n"/>
      <c r="G24" s="36" t="n"/>
      <c r="H24" s="74" t="n"/>
      <c r="I24" s="76" t="n"/>
      <c r="J24" s="74" t="n"/>
      <c r="K24" s="74" t="n"/>
      <c r="L24" s="36" t="n"/>
      <c r="N24">
        <f>IFERROR(MATCH($E24,코드설정!$S$5:$S$10,0),0)</f>
        <v/>
      </c>
    </row>
    <row r="25">
      <c r="A25" s="118">
        <f>IF($B25="","",COUNT($B$5:$B25))</f>
        <v/>
      </c>
      <c r="B25" s="80" t="n"/>
      <c r="C25" s="74" t="n"/>
      <c r="D25" s="33">
        <f>IF($C25="","",IFERROR(INDEX(사업마스터!$B$5:$B$34,MATCH($C25,사업마스터!$A$5:$A$34,0)),"※ 미등록 사업번호"))</f>
        <v/>
      </c>
      <c r="E25" s="74" t="n"/>
      <c r="F25" s="36" t="n"/>
      <c r="G25" s="36" t="n"/>
      <c r="H25" s="74" t="n"/>
      <c r="I25" s="76" t="n"/>
      <c r="J25" s="74" t="n"/>
      <c r="K25" s="74" t="n"/>
      <c r="L25" s="36" t="n"/>
      <c r="N25">
        <f>IFERROR(MATCH($E25,코드설정!$S$5:$S$10,0),0)</f>
        <v/>
      </c>
    </row>
    <row r="26">
      <c r="A26" s="118">
        <f>IF($B26="","",COUNT($B$5:$B26))</f>
        <v/>
      </c>
      <c r="B26" s="80" t="n"/>
      <c r="C26" s="74" t="n"/>
      <c r="D26" s="33">
        <f>IF($C26="","",IFERROR(INDEX(사업마스터!$B$5:$B$34,MATCH($C26,사업마스터!$A$5:$A$34,0)),"※ 미등록 사업번호"))</f>
        <v/>
      </c>
      <c r="E26" s="74" t="n"/>
      <c r="F26" s="36" t="n"/>
      <c r="G26" s="36" t="n"/>
      <c r="H26" s="74" t="n"/>
      <c r="I26" s="76" t="n"/>
      <c r="J26" s="74" t="n"/>
      <c r="K26" s="74" t="n"/>
      <c r="L26" s="36" t="n"/>
      <c r="N26">
        <f>IFERROR(MATCH($E26,코드설정!$S$5:$S$10,0),0)</f>
        <v/>
      </c>
    </row>
    <row r="27">
      <c r="A27" s="118">
        <f>IF($B27="","",COUNT($B$5:$B27))</f>
        <v/>
      </c>
      <c r="B27" s="80" t="n"/>
      <c r="C27" s="74" t="n"/>
      <c r="D27" s="33">
        <f>IF($C27="","",IFERROR(INDEX(사업마스터!$B$5:$B$34,MATCH($C27,사업마스터!$A$5:$A$34,0)),"※ 미등록 사업번호"))</f>
        <v/>
      </c>
      <c r="E27" s="74" t="n"/>
      <c r="F27" s="36" t="n"/>
      <c r="G27" s="36" t="n"/>
      <c r="H27" s="74" t="n"/>
      <c r="I27" s="76" t="n"/>
      <c r="J27" s="74" t="n"/>
      <c r="K27" s="74" t="n"/>
      <c r="L27" s="36" t="n"/>
      <c r="N27">
        <f>IFERROR(MATCH($E27,코드설정!$S$5:$S$10,0),0)</f>
        <v/>
      </c>
    </row>
    <row r="28">
      <c r="A28" s="118">
        <f>IF($B28="","",COUNT($B$5:$B28))</f>
        <v/>
      </c>
      <c r="B28" s="80" t="n"/>
      <c r="C28" s="74" t="n"/>
      <c r="D28" s="33">
        <f>IF($C28="","",IFERROR(INDEX(사업마스터!$B$5:$B$34,MATCH($C28,사업마스터!$A$5:$A$34,0)),"※ 미등록 사업번호"))</f>
        <v/>
      </c>
      <c r="E28" s="74" t="n"/>
      <c r="F28" s="36" t="n"/>
      <c r="G28" s="36" t="n"/>
      <c r="H28" s="74" t="n"/>
      <c r="I28" s="76" t="n"/>
      <c r="J28" s="74" t="n"/>
      <c r="K28" s="74" t="n"/>
      <c r="L28" s="36" t="n"/>
      <c r="N28">
        <f>IFERROR(MATCH($E28,코드설정!$S$5:$S$10,0),0)</f>
        <v/>
      </c>
    </row>
    <row r="29">
      <c r="A29" s="118">
        <f>IF($B29="","",COUNT($B$5:$B29))</f>
        <v/>
      </c>
      <c r="B29" s="80" t="n"/>
      <c r="C29" s="74" t="n"/>
      <c r="D29" s="33">
        <f>IF($C29="","",IFERROR(INDEX(사업마스터!$B$5:$B$34,MATCH($C29,사업마스터!$A$5:$A$34,0)),"※ 미등록 사업번호"))</f>
        <v/>
      </c>
      <c r="E29" s="74" t="n"/>
      <c r="F29" s="36" t="n"/>
      <c r="G29" s="36" t="n"/>
      <c r="H29" s="74" t="n"/>
      <c r="I29" s="76" t="n"/>
      <c r="J29" s="74" t="n"/>
      <c r="K29" s="74" t="n"/>
      <c r="L29" s="36" t="n"/>
      <c r="N29">
        <f>IFERROR(MATCH($E29,코드설정!$S$5:$S$10,0),0)</f>
        <v/>
      </c>
    </row>
    <row r="30">
      <c r="A30" s="118">
        <f>IF($B30="","",COUNT($B$5:$B30))</f>
        <v/>
      </c>
      <c r="B30" s="80" t="n"/>
      <c r="C30" s="74" t="n"/>
      <c r="D30" s="33">
        <f>IF($C30="","",IFERROR(INDEX(사업마스터!$B$5:$B$34,MATCH($C30,사업마스터!$A$5:$A$34,0)),"※ 미등록 사업번호"))</f>
        <v/>
      </c>
      <c r="E30" s="74" t="n"/>
      <c r="F30" s="36" t="n"/>
      <c r="G30" s="36" t="n"/>
      <c r="H30" s="74" t="n"/>
      <c r="I30" s="76" t="n"/>
      <c r="J30" s="74" t="n"/>
      <c r="K30" s="74" t="n"/>
      <c r="L30" s="36" t="n"/>
      <c r="N30">
        <f>IFERROR(MATCH($E30,코드설정!$S$5:$S$10,0),0)</f>
        <v/>
      </c>
    </row>
    <row r="31">
      <c r="A31" s="118">
        <f>IF($B31="","",COUNT($B$5:$B31))</f>
        <v/>
      </c>
      <c r="B31" s="80" t="n"/>
      <c r="C31" s="74" t="n"/>
      <c r="D31" s="33">
        <f>IF($C31="","",IFERROR(INDEX(사업마스터!$B$5:$B$34,MATCH($C31,사업마스터!$A$5:$A$34,0)),"※ 미등록 사업번호"))</f>
        <v/>
      </c>
      <c r="E31" s="74" t="n"/>
      <c r="F31" s="36" t="n"/>
      <c r="G31" s="36" t="n"/>
      <c r="H31" s="74" t="n"/>
      <c r="I31" s="76" t="n"/>
      <c r="J31" s="74" t="n"/>
      <c r="K31" s="74" t="n"/>
      <c r="L31" s="36" t="n"/>
      <c r="N31">
        <f>IFERROR(MATCH($E31,코드설정!$S$5:$S$10,0),0)</f>
        <v/>
      </c>
    </row>
    <row r="32">
      <c r="A32" s="118">
        <f>IF($B32="","",COUNT($B$5:$B32))</f>
        <v/>
      </c>
      <c r="B32" s="80" t="n"/>
      <c r="C32" s="74" t="n"/>
      <c r="D32" s="33">
        <f>IF($C32="","",IFERROR(INDEX(사업마스터!$B$5:$B$34,MATCH($C32,사업마스터!$A$5:$A$34,0)),"※ 미등록 사업번호"))</f>
        <v/>
      </c>
      <c r="E32" s="74" t="n"/>
      <c r="F32" s="36" t="n"/>
      <c r="G32" s="36" t="n"/>
      <c r="H32" s="74" t="n"/>
      <c r="I32" s="76" t="n"/>
      <c r="J32" s="74" t="n"/>
      <c r="K32" s="74" t="n"/>
      <c r="L32" s="36" t="n"/>
      <c r="N32">
        <f>IFERROR(MATCH($E32,코드설정!$S$5:$S$10,0),0)</f>
        <v/>
      </c>
    </row>
    <row r="33">
      <c r="A33" s="118">
        <f>IF($B33="","",COUNT($B$5:$B33))</f>
        <v/>
      </c>
      <c r="B33" s="80" t="n"/>
      <c r="C33" s="74" t="n"/>
      <c r="D33" s="33">
        <f>IF($C33="","",IFERROR(INDEX(사업마스터!$B$5:$B$34,MATCH($C33,사업마스터!$A$5:$A$34,0)),"※ 미등록 사업번호"))</f>
        <v/>
      </c>
      <c r="E33" s="74" t="n"/>
      <c r="F33" s="36" t="n"/>
      <c r="G33" s="36" t="n"/>
      <c r="H33" s="74" t="n"/>
      <c r="I33" s="76" t="n"/>
      <c r="J33" s="74" t="n"/>
      <c r="K33" s="74" t="n"/>
      <c r="L33" s="36" t="n"/>
      <c r="N33">
        <f>IFERROR(MATCH($E33,코드설정!$S$5:$S$10,0),0)</f>
        <v/>
      </c>
    </row>
    <row r="34">
      <c r="A34" s="118">
        <f>IF($B34="","",COUNT($B$5:$B34))</f>
        <v/>
      </c>
      <c r="B34" s="80" t="n"/>
      <c r="C34" s="74" t="n"/>
      <c r="D34" s="33">
        <f>IF($C34="","",IFERROR(INDEX(사업마스터!$B$5:$B$34,MATCH($C34,사업마스터!$A$5:$A$34,0)),"※ 미등록 사업번호"))</f>
        <v/>
      </c>
      <c r="E34" s="74" t="n"/>
      <c r="F34" s="36" t="n"/>
      <c r="G34" s="36" t="n"/>
      <c r="H34" s="74" t="n"/>
      <c r="I34" s="76" t="n"/>
      <c r="J34" s="74" t="n"/>
      <c r="K34" s="74" t="n"/>
      <c r="L34" s="36" t="n"/>
      <c r="N34">
        <f>IFERROR(MATCH($E34,코드설정!$S$5:$S$10,0),0)</f>
        <v/>
      </c>
    </row>
    <row r="35">
      <c r="A35" s="118">
        <f>IF($B35="","",COUNT($B$5:$B35))</f>
        <v/>
      </c>
      <c r="B35" s="80" t="n"/>
      <c r="C35" s="74" t="n"/>
      <c r="D35" s="33">
        <f>IF($C35="","",IFERROR(INDEX(사업마스터!$B$5:$B$34,MATCH($C35,사업마스터!$A$5:$A$34,0)),"※ 미등록 사업번호"))</f>
        <v/>
      </c>
      <c r="E35" s="74" t="n"/>
      <c r="F35" s="36" t="n"/>
      <c r="G35" s="36" t="n"/>
      <c r="H35" s="74" t="n"/>
      <c r="I35" s="76" t="n"/>
      <c r="J35" s="74" t="n"/>
      <c r="K35" s="74" t="n"/>
      <c r="L35" s="36" t="n"/>
      <c r="N35">
        <f>IFERROR(MATCH($E35,코드설정!$S$5:$S$10,0),0)</f>
        <v/>
      </c>
    </row>
    <row r="36">
      <c r="A36" s="118">
        <f>IF($B36="","",COUNT($B$5:$B36))</f>
        <v/>
      </c>
      <c r="B36" s="80" t="n"/>
      <c r="C36" s="74" t="n"/>
      <c r="D36" s="33">
        <f>IF($C36="","",IFERROR(INDEX(사업마스터!$B$5:$B$34,MATCH($C36,사업마스터!$A$5:$A$34,0)),"※ 미등록 사업번호"))</f>
        <v/>
      </c>
      <c r="E36" s="74" t="n"/>
      <c r="F36" s="36" t="n"/>
      <c r="G36" s="36" t="n"/>
      <c r="H36" s="74" t="n"/>
      <c r="I36" s="76" t="n"/>
      <c r="J36" s="74" t="n"/>
      <c r="K36" s="74" t="n"/>
      <c r="L36" s="36" t="n"/>
      <c r="N36">
        <f>IFERROR(MATCH($E36,코드설정!$S$5:$S$10,0),0)</f>
        <v/>
      </c>
    </row>
    <row r="37">
      <c r="A37" s="118">
        <f>IF($B37="","",COUNT($B$5:$B37))</f>
        <v/>
      </c>
      <c r="B37" s="80" t="n"/>
      <c r="C37" s="74" t="n"/>
      <c r="D37" s="33">
        <f>IF($C37="","",IFERROR(INDEX(사업마스터!$B$5:$B$34,MATCH($C37,사업마스터!$A$5:$A$34,0)),"※ 미등록 사업번호"))</f>
        <v/>
      </c>
      <c r="E37" s="74" t="n"/>
      <c r="F37" s="36" t="n"/>
      <c r="G37" s="36" t="n"/>
      <c r="H37" s="74" t="n"/>
      <c r="I37" s="76" t="n"/>
      <c r="J37" s="74" t="n"/>
      <c r="K37" s="74" t="n"/>
      <c r="L37" s="36" t="n"/>
      <c r="N37">
        <f>IFERROR(MATCH($E37,코드설정!$S$5:$S$10,0),0)</f>
        <v/>
      </c>
    </row>
    <row r="38">
      <c r="A38" s="118">
        <f>IF($B38="","",COUNT($B$5:$B38))</f>
        <v/>
      </c>
      <c r="B38" s="80" t="n"/>
      <c r="C38" s="74" t="n"/>
      <c r="D38" s="33">
        <f>IF($C38="","",IFERROR(INDEX(사업마스터!$B$5:$B$34,MATCH($C38,사업마스터!$A$5:$A$34,0)),"※ 미등록 사업번호"))</f>
        <v/>
      </c>
      <c r="E38" s="74" t="n"/>
      <c r="F38" s="36" t="n"/>
      <c r="G38" s="36" t="n"/>
      <c r="H38" s="74" t="n"/>
      <c r="I38" s="76" t="n"/>
      <c r="J38" s="74" t="n"/>
      <c r="K38" s="74" t="n"/>
      <c r="L38" s="36" t="n"/>
      <c r="N38">
        <f>IFERROR(MATCH($E38,코드설정!$S$5:$S$10,0),0)</f>
        <v/>
      </c>
    </row>
    <row r="39">
      <c r="A39" s="118">
        <f>IF($B39="","",COUNT($B$5:$B39))</f>
        <v/>
      </c>
      <c r="B39" s="80" t="n"/>
      <c r="C39" s="74" t="n"/>
      <c r="D39" s="33">
        <f>IF($C39="","",IFERROR(INDEX(사업마스터!$B$5:$B$34,MATCH($C39,사업마스터!$A$5:$A$34,0)),"※ 미등록 사업번호"))</f>
        <v/>
      </c>
      <c r="E39" s="74" t="n"/>
      <c r="F39" s="36" t="n"/>
      <c r="G39" s="36" t="n"/>
      <c r="H39" s="74" t="n"/>
      <c r="I39" s="76" t="n"/>
      <c r="J39" s="74" t="n"/>
      <c r="K39" s="74" t="n"/>
      <c r="L39" s="36" t="n"/>
      <c r="N39">
        <f>IFERROR(MATCH($E39,코드설정!$S$5:$S$10,0),0)</f>
        <v/>
      </c>
    </row>
    <row r="40">
      <c r="A40" s="118">
        <f>IF($B40="","",COUNT($B$5:$B40))</f>
        <v/>
      </c>
      <c r="B40" s="80" t="n"/>
      <c r="C40" s="74" t="n"/>
      <c r="D40" s="33">
        <f>IF($C40="","",IFERROR(INDEX(사업마스터!$B$5:$B$34,MATCH($C40,사업마스터!$A$5:$A$34,0)),"※ 미등록 사업번호"))</f>
        <v/>
      </c>
      <c r="E40" s="74" t="n"/>
      <c r="F40" s="36" t="n"/>
      <c r="G40" s="36" t="n"/>
      <c r="H40" s="74" t="n"/>
      <c r="I40" s="76" t="n"/>
      <c r="J40" s="74" t="n"/>
      <c r="K40" s="74" t="n"/>
      <c r="L40" s="36" t="n"/>
      <c r="N40">
        <f>IFERROR(MATCH($E40,코드설정!$S$5:$S$10,0),0)</f>
        <v/>
      </c>
    </row>
    <row r="41">
      <c r="A41" s="118">
        <f>IF($B41="","",COUNT($B$5:$B41))</f>
        <v/>
      </c>
      <c r="B41" s="80" t="n"/>
      <c r="C41" s="74" t="n"/>
      <c r="D41" s="33">
        <f>IF($C41="","",IFERROR(INDEX(사업마스터!$B$5:$B$34,MATCH($C41,사업마스터!$A$5:$A$34,0)),"※ 미등록 사업번호"))</f>
        <v/>
      </c>
      <c r="E41" s="74" t="n"/>
      <c r="F41" s="36" t="n"/>
      <c r="G41" s="36" t="n"/>
      <c r="H41" s="74" t="n"/>
      <c r="I41" s="76" t="n"/>
      <c r="J41" s="74" t="n"/>
      <c r="K41" s="74" t="n"/>
      <c r="L41" s="36" t="n"/>
      <c r="N41">
        <f>IFERROR(MATCH($E41,코드설정!$S$5:$S$10,0),0)</f>
        <v/>
      </c>
    </row>
    <row r="42">
      <c r="A42" s="118">
        <f>IF($B42="","",COUNT($B$5:$B42))</f>
        <v/>
      </c>
      <c r="B42" s="80" t="n"/>
      <c r="C42" s="74" t="n"/>
      <c r="D42" s="33">
        <f>IF($C42="","",IFERROR(INDEX(사업마스터!$B$5:$B$34,MATCH($C42,사업마스터!$A$5:$A$34,0)),"※ 미등록 사업번호"))</f>
        <v/>
      </c>
      <c r="E42" s="74" t="n"/>
      <c r="F42" s="36" t="n"/>
      <c r="G42" s="36" t="n"/>
      <c r="H42" s="74" t="n"/>
      <c r="I42" s="76" t="n"/>
      <c r="J42" s="74" t="n"/>
      <c r="K42" s="74" t="n"/>
      <c r="L42" s="36" t="n"/>
      <c r="N42">
        <f>IFERROR(MATCH($E42,코드설정!$S$5:$S$10,0),0)</f>
        <v/>
      </c>
    </row>
    <row r="43">
      <c r="A43" s="118">
        <f>IF($B43="","",COUNT($B$5:$B43))</f>
        <v/>
      </c>
      <c r="B43" s="80" t="n"/>
      <c r="C43" s="74" t="n"/>
      <c r="D43" s="33">
        <f>IF($C43="","",IFERROR(INDEX(사업마스터!$B$5:$B$34,MATCH($C43,사업마스터!$A$5:$A$34,0)),"※ 미등록 사업번호"))</f>
        <v/>
      </c>
      <c r="E43" s="74" t="n"/>
      <c r="F43" s="36" t="n"/>
      <c r="G43" s="36" t="n"/>
      <c r="H43" s="74" t="n"/>
      <c r="I43" s="76" t="n"/>
      <c r="J43" s="74" t="n"/>
      <c r="K43" s="74" t="n"/>
      <c r="L43" s="36" t="n"/>
      <c r="N43">
        <f>IFERROR(MATCH($E43,코드설정!$S$5:$S$10,0),0)</f>
        <v/>
      </c>
    </row>
    <row r="44">
      <c r="A44" s="118">
        <f>IF($B44="","",COUNT($B$5:$B44))</f>
        <v/>
      </c>
      <c r="B44" s="80" t="n"/>
      <c r="C44" s="74" t="n"/>
      <c r="D44" s="33">
        <f>IF($C44="","",IFERROR(INDEX(사업마스터!$B$5:$B$34,MATCH($C44,사업마스터!$A$5:$A$34,0)),"※ 미등록 사업번호"))</f>
        <v/>
      </c>
      <c r="E44" s="74" t="n"/>
      <c r="F44" s="36" t="n"/>
      <c r="G44" s="36" t="n"/>
      <c r="H44" s="74" t="n"/>
      <c r="I44" s="76" t="n"/>
      <c r="J44" s="74" t="n"/>
      <c r="K44" s="74" t="n"/>
      <c r="L44" s="36" t="n"/>
      <c r="N44">
        <f>IFERROR(MATCH($E44,코드설정!$S$5:$S$10,0),0)</f>
        <v/>
      </c>
    </row>
    <row r="45">
      <c r="A45" s="118">
        <f>IF($B45="","",COUNT($B$5:$B45))</f>
        <v/>
      </c>
      <c r="B45" s="80" t="n"/>
      <c r="C45" s="74" t="n"/>
      <c r="D45" s="33">
        <f>IF($C45="","",IFERROR(INDEX(사업마스터!$B$5:$B$34,MATCH($C45,사업마스터!$A$5:$A$34,0)),"※ 미등록 사업번호"))</f>
        <v/>
      </c>
      <c r="E45" s="74" t="n"/>
      <c r="F45" s="36" t="n"/>
      <c r="G45" s="36" t="n"/>
      <c r="H45" s="74" t="n"/>
      <c r="I45" s="76" t="n"/>
      <c r="J45" s="74" t="n"/>
      <c r="K45" s="74" t="n"/>
      <c r="L45" s="36" t="n"/>
      <c r="N45">
        <f>IFERROR(MATCH($E45,코드설정!$S$5:$S$10,0),0)</f>
        <v/>
      </c>
    </row>
    <row r="46">
      <c r="A46" s="118">
        <f>IF($B46="","",COUNT($B$5:$B46))</f>
        <v/>
      </c>
      <c r="B46" s="80" t="n"/>
      <c r="C46" s="74" t="n"/>
      <c r="D46" s="33">
        <f>IF($C46="","",IFERROR(INDEX(사업마스터!$B$5:$B$34,MATCH($C46,사업마스터!$A$5:$A$34,0)),"※ 미등록 사업번호"))</f>
        <v/>
      </c>
      <c r="E46" s="74" t="n"/>
      <c r="F46" s="36" t="n"/>
      <c r="G46" s="36" t="n"/>
      <c r="H46" s="74" t="n"/>
      <c r="I46" s="76" t="n"/>
      <c r="J46" s="74" t="n"/>
      <c r="K46" s="74" t="n"/>
      <c r="L46" s="36" t="n"/>
      <c r="N46">
        <f>IFERROR(MATCH($E46,코드설정!$S$5:$S$10,0),0)</f>
        <v/>
      </c>
    </row>
    <row r="47">
      <c r="A47" s="118">
        <f>IF($B47="","",COUNT($B$5:$B47))</f>
        <v/>
      </c>
      <c r="B47" s="80" t="n"/>
      <c r="C47" s="74" t="n"/>
      <c r="D47" s="33">
        <f>IF($C47="","",IFERROR(INDEX(사업마스터!$B$5:$B$34,MATCH($C47,사업마스터!$A$5:$A$34,0)),"※ 미등록 사업번호"))</f>
        <v/>
      </c>
      <c r="E47" s="74" t="n"/>
      <c r="F47" s="36" t="n"/>
      <c r="G47" s="36" t="n"/>
      <c r="H47" s="74" t="n"/>
      <c r="I47" s="76" t="n"/>
      <c r="J47" s="74" t="n"/>
      <c r="K47" s="74" t="n"/>
      <c r="L47" s="36" t="n"/>
      <c r="N47">
        <f>IFERROR(MATCH($E47,코드설정!$S$5:$S$10,0),0)</f>
        <v/>
      </c>
    </row>
    <row r="48">
      <c r="A48" s="118">
        <f>IF($B48="","",COUNT($B$5:$B48))</f>
        <v/>
      </c>
      <c r="B48" s="80" t="n"/>
      <c r="C48" s="74" t="n"/>
      <c r="D48" s="33">
        <f>IF($C48="","",IFERROR(INDEX(사업마스터!$B$5:$B$34,MATCH($C48,사업마스터!$A$5:$A$34,0)),"※ 미등록 사업번호"))</f>
        <v/>
      </c>
      <c r="E48" s="74" t="n"/>
      <c r="F48" s="36" t="n"/>
      <c r="G48" s="36" t="n"/>
      <c r="H48" s="74" t="n"/>
      <c r="I48" s="76" t="n"/>
      <c r="J48" s="74" t="n"/>
      <c r="K48" s="74" t="n"/>
      <c r="L48" s="36" t="n"/>
      <c r="N48">
        <f>IFERROR(MATCH($E48,코드설정!$S$5:$S$10,0),0)</f>
        <v/>
      </c>
    </row>
    <row r="49">
      <c r="A49" s="118">
        <f>IF($B49="","",COUNT($B$5:$B49))</f>
        <v/>
      </c>
      <c r="B49" s="80" t="n"/>
      <c r="C49" s="74" t="n"/>
      <c r="D49" s="33">
        <f>IF($C49="","",IFERROR(INDEX(사업마스터!$B$5:$B$34,MATCH($C49,사업마스터!$A$5:$A$34,0)),"※ 미등록 사업번호"))</f>
        <v/>
      </c>
      <c r="E49" s="74" t="n"/>
      <c r="F49" s="36" t="n"/>
      <c r="G49" s="36" t="n"/>
      <c r="H49" s="74" t="n"/>
      <c r="I49" s="76" t="n"/>
      <c r="J49" s="74" t="n"/>
      <c r="K49" s="74" t="n"/>
      <c r="L49" s="36" t="n"/>
      <c r="N49">
        <f>IFERROR(MATCH($E49,코드설정!$S$5:$S$10,0),0)</f>
        <v/>
      </c>
    </row>
    <row r="50">
      <c r="A50" s="118">
        <f>IF($B50="","",COUNT($B$5:$B50))</f>
        <v/>
      </c>
      <c r="B50" s="80" t="n"/>
      <c r="C50" s="74" t="n"/>
      <c r="D50" s="33">
        <f>IF($C50="","",IFERROR(INDEX(사업마스터!$B$5:$B$34,MATCH($C50,사업마스터!$A$5:$A$34,0)),"※ 미등록 사업번호"))</f>
        <v/>
      </c>
      <c r="E50" s="74" t="n"/>
      <c r="F50" s="36" t="n"/>
      <c r="G50" s="36" t="n"/>
      <c r="H50" s="74" t="n"/>
      <c r="I50" s="76" t="n"/>
      <c r="J50" s="74" t="n"/>
      <c r="K50" s="74" t="n"/>
      <c r="L50" s="36" t="n"/>
      <c r="N50">
        <f>IFERROR(MATCH($E50,코드설정!$S$5:$S$10,0),0)</f>
        <v/>
      </c>
    </row>
    <row r="51">
      <c r="A51" s="118">
        <f>IF($B51="","",COUNT($B$5:$B51))</f>
        <v/>
      </c>
      <c r="B51" s="80" t="n"/>
      <c r="C51" s="74" t="n"/>
      <c r="D51" s="33">
        <f>IF($C51="","",IFERROR(INDEX(사업마스터!$B$5:$B$34,MATCH($C51,사업마스터!$A$5:$A$34,0)),"※ 미등록 사업번호"))</f>
        <v/>
      </c>
      <c r="E51" s="74" t="n"/>
      <c r="F51" s="36" t="n"/>
      <c r="G51" s="36" t="n"/>
      <c r="H51" s="74" t="n"/>
      <c r="I51" s="76" t="n"/>
      <c r="J51" s="74" t="n"/>
      <c r="K51" s="74" t="n"/>
      <c r="L51" s="36" t="n"/>
      <c r="N51">
        <f>IFERROR(MATCH($E51,코드설정!$S$5:$S$10,0),0)</f>
        <v/>
      </c>
    </row>
    <row r="52">
      <c r="A52" s="118">
        <f>IF($B52="","",COUNT($B$5:$B52))</f>
        <v/>
      </c>
      <c r="B52" s="80" t="n"/>
      <c r="C52" s="74" t="n"/>
      <c r="D52" s="33">
        <f>IF($C52="","",IFERROR(INDEX(사업마스터!$B$5:$B$34,MATCH($C52,사업마스터!$A$5:$A$34,0)),"※ 미등록 사업번호"))</f>
        <v/>
      </c>
      <c r="E52" s="74" t="n"/>
      <c r="F52" s="36" t="n"/>
      <c r="G52" s="36" t="n"/>
      <c r="H52" s="74" t="n"/>
      <c r="I52" s="76" t="n"/>
      <c r="J52" s="74" t="n"/>
      <c r="K52" s="74" t="n"/>
      <c r="L52" s="36" t="n"/>
      <c r="N52">
        <f>IFERROR(MATCH($E52,코드설정!$S$5:$S$10,0),0)</f>
        <v/>
      </c>
    </row>
    <row r="53">
      <c r="A53" s="118">
        <f>IF($B53="","",COUNT($B$5:$B53))</f>
        <v/>
      </c>
      <c r="B53" s="80" t="n"/>
      <c r="C53" s="74" t="n"/>
      <c r="D53" s="33">
        <f>IF($C53="","",IFERROR(INDEX(사업마스터!$B$5:$B$34,MATCH($C53,사업마스터!$A$5:$A$34,0)),"※ 미등록 사업번호"))</f>
        <v/>
      </c>
      <c r="E53" s="74" t="n"/>
      <c r="F53" s="36" t="n"/>
      <c r="G53" s="36" t="n"/>
      <c r="H53" s="74" t="n"/>
      <c r="I53" s="76" t="n"/>
      <c r="J53" s="74" t="n"/>
      <c r="K53" s="74" t="n"/>
      <c r="L53" s="36" t="n"/>
      <c r="N53">
        <f>IFERROR(MATCH($E53,코드설정!$S$5:$S$10,0),0)</f>
        <v/>
      </c>
    </row>
    <row r="54">
      <c r="A54" s="118">
        <f>IF($B54="","",COUNT($B$5:$B54))</f>
        <v/>
      </c>
      <c r="B54" s="80" t="n"/>
      <c r="C54" s="74" t="n"/>
      <c r="D54" s="33">
        <f>IF($C54="","",IFERROR(INDEX(사업마스터!$B$5:$B$34,MATCH($C54,사업마스터!$A$5:$A$34,0)),"※ 미등록 사업번호"))</f>
        <v/>
      </c>
      <c r="E54" s="74" t="n"/>
      <c r="F54" s="36" t="n"/>
      <c r="G54" s="36" t="n"/>
      <c r="H54" s="74" t="n"/>
      <c r="I54" s="76" t="n"/>
      <c r="J54" s="74" t="n"/>
      <c r="K54" s="74" t="n"/>
      <c r="L54" s="36" t="n"/>
      <c r="N54">
        <f>IFERROR(MATCH($E54,코드설정!$S$5:$S$10,0),0)</f>
        <v/>
      </c>
    </row>
    <row r="55">
      <c r="A55" s="118">
        <f>IF($B55="","",COUNT($B$5:$B55))</f>
        <v/>
      </c>
      <c r="B55" s="80" t="n"/>
      <c r="C55" s="74" t="n"/>
      <c r="D55" s="33">
        <f>IF($C55="","",IFERROR(INDEX(사업마스터!$B$5:$B$34,MATCH($C55,사업마스터!$A$5:$A$34,0)),"※ 미등록 사업번호"))</f>
        <v/>
      </c>
      <c r="E55" s="74" t="n"/>
      <c r="F55" s="36" t="n"/>
      <c r="G55" s="36" t="n"/>
      <c r="H55" s="74" t="n"/>
      <c r="I55" s="76" t="n"/>
      <c r="J55" s="74" t="n"/>
      <c r="K55" s="74" t="n"/>
      <c r="L55" s="36" t="n"/>
      <c r="N55">
        <f>IFERROR(MATCH($E55,코드설정!$S$5:$S$10,0),0)</f>
        <v/>
      </c>
    </row>
    <row r="56">
      <c r="A56" s="118">
        <f>IF($B56="","",COUNT($B$5:$B56))</f>
        <v/>
      </c>
      <c r="B56" s="80" t="n"/>
      <c r="C56" s="74" t="n"/>
      <c r="D56" s="33">
        <f>IF($C56="","",IFERROR(INDEX(사업마스터!$B$5:$B$34,MATCH($C56,사업마스터!$A$5:$A$34,0)),"※ 미등록 사업번호"))</f>
        <v/>
      </c>
      <c r="E56" s="74" t="n"/>
      <c r="F56" s="36" t="n"/>
      <c r="G56" s="36" t="n"/>
      <c r="H56" s="74" t="n"/>
      <c r="I56" s="76" t="n"/>
      <c r="J56" s="74" t="n"/>
      <c r="K56" s="74" t="n"/>
      <c r="L56" s="36" t="n"/>
      <c r="N56">
        <f>IFERROR(MATCH($E56,코드설정!$S$5:$S$10,0),0)</f>
        <v/>
      </c>
    </row>
    <row r="57">
      <c r="A57" s="118">
        <f>IF($B57="","",COUNT($B$5:$B57))</f>
        <v/>
      </c>
      <c r="B57" s="80" t="n"/>
      <c r="C57" s="74" t="n"/>
      <c r="D57" s="33">
        <f>IF($C57="","",IFERROR(INDEX(사업마스터!$B$5:$B$34,MATCH($C57,사업마스터!$A$5:$A$34,0)),"※ 미등록 사업번호"))</f>
        <v/>
      </c>
      <c r="E57" s="74" t="n"/>
      <c r="F57" s="36" t="n"/>
      <c r="G57" s="36" t="n"/>
      <c r="H57" s="74" t="n"/>
      <c r="I57" s="76" t="n"/>
      <c r="J57" s="74" t="n"/>
      <c r="K57" s="74" t="n"/>
      <c r="L57" s="36" t="n"/>
      <c r="N57">
        <f>IFERROR(MATCH($E57,코드설정!$S$5:$S$10,0),0)</f>
        <v/>
      </c>
    </row>
    <row r="58">
      <c r="A58" s="118">
        <f>IF($B58="","",COUNT($B$5:$B58))</f>
        <v/>
      </c>
      <c r="B58" s="80" t="n"/>
      <c r="C58" s="74" t="n"/>
      <c r="D58" s="33">
        <f>IF($C58="","",IFERROR(INDEX(사업마스터!$B$5:$B$34,MATCH($C58,사업마스터!$A$5:$A$34,0)),"※ 미등록 사업번호"))</f>
        <v/>
      </c>
      <c r="E58" s="74" t="n"/>
      <c r="F58" s="36" t="n"/>
      <c r="G58" s="36" t="n"/>
      <c r="H58" s="74" t="n"/>
      <c r="I58" s="76" t="n"/>
      <c r="J58" s="74" t="n"/>
      <c r="K58" s="74" t="n"/>
      <c r="L58" s="36" t="n"/>
      <c r="N58">
        <f>IFERROR(MATCH($E58,코드설정!$S$5:$S$10,0),0)</f>
        <v/>
      </c>
    </row>
    <row r="59">
      <c r="A59" s="118">
        <f>IF($B59="","",COUNT($B$5:$B59))</f>
        <v/>
      </c>
      <c r="B59" s="80" t="n"/>
      <c r="C59" s="74" t="n"/>
      <c r="D59" s="33">
        <f>IF($C59="","",IFERROR(INDEX(사업마스터!$B$5:$B$34,MATCH($C59,사업마스터!$A$5:$A$34,0)),"※ 미등록 사업번호"))</f>
        <v/>
      </c>
      <c r="E59" s="74" t="n"/>
      <c r="F59" s="36" t="n"/>
      <c r="G59" s="36" t="n"/>
      <c r="H59" s="74" t="n"/>
      <c r="I59" s="76" t="n"/>
      <c r="J59" s="74" t="n"/>
      <c r="K59" s="74" t="n"/>
      <c r="L59" s="36" t="n"/>
      <c r="N59">
        <f>IFERROR(MATCH($E59,코드설정!$S$5:$S$10,0),0)</f>
        <v/>
      </c>
    </row>
    <row r="60">
      <c r="A60" s="118">
        <f>IF($B60="","",COUNT($B$5:$B60))</f>
        <v/>
      </c>
      <c r="B60" s="80" t="n"/>
      <c r="C60" s="74" t="n"/>
      <c r="D60" s="33">
        <f>IF($C60="","",IFERROR(INDEX(사업마스터!$B$5:$B$34,MATCH($C60,사업마스터!$A$5:$A$34,0)),"※ 미등록 사업번호"))</f>
        <v/>
      </c>
      <c r="E60" s="74" t="n"/>
      <c r="F60" s="36" t="n"/>
      <c r="G60" s="36" t="n"/>
      <c r="H60" s="74" t="n"/>
      <c r="I60" s="76" t="n"/>
      <c r="J60" s="74" t="n"/>
      <c r="K60" s="74" t="n"/>
      <c r="L60" s="36" t="n"/>
      <c r="N60">
        <f>IFERROR(MATCH($E60,코드설정!$S$5:$S$10,0),0)</f>
        <v/>
      </c>
    </row>
    <row r="61">
      <c r="A61" s="118">
        <f>IF($B61="","",COUNT($B$5:$B61))</f>
        <v/>
      </c>
      <c r="B61" s="80" t="n"/>
      <c r="C61" s="74" t="n"/>
      <c r="D61" s="33">
        <f>IF($C61="","",IFERROR(INDEX(사업마스터!$B$5:$B$34,MATCH($C61,사업마스터!$A$5:$A$34,0)),"※ 미등록 사업번호"))</f>
        <v/>
      </c>
      <c r="E61" s="74" t="n"/>
      <c r="F61" s="36" t="n"/>
      <c r="G61" s="36" t="n"/>
      <c r="H61" s="74" t="n"/>
      <c r="I61" s="76" t="n"/>
      <c r="J61" s="74" t="n"/>
      <c r="K61" s="74" t="n"/>
      <c r="L61" s="36" t="n"/>
      <c r="N61">
        <f>IFERROR(MATCH($E61,코드설정!$S$5:$S$10,0),0)</f>
        <v/>
      </c>
    </row>
    <row r="62">
      <c r="A62" s="118">
        <f>IF($B62="","",COUNT($B$5:$B62))</f>
        <v/>
      </c>
      <c r="B62" s="80" t="n"/>
      <c r="C62" s="74" t="n"/>
      <c r="D62" s="33">
        <f>IF($C62="","",IFERROR(INDEX(사업마스터!$B$5:$B$34,MATCH($C62,사업마스터!$A$5:$A$34,0)),"※ 미등록 사업번호"))</f>
        <v/>
      </c>
      <c r="E62" s="74" t="n"/>
      <c r="F62" s="36" t="n"/>
      <c r="G62" s="36" t="n"/>
      <c r="H62" s="74" t="n"/>
      <c r="I62" s="76" t="n"/>
      <c r="J62" s="74" t="n"/>
      <c r="K62" s="74" t="n"/>
      <c r="L62" s="36" t="n"/>
      <c r="N62">
        <f>IFERROR(MATCH($E62,코드설정!$S$5:$S$10,0),0)</f>
        <v/>
      </c>
    </row>
    <row r="63">
      <c r="A63" s="118">
        <f>IF($B63="","",COUNT($B$5:$B63))</f>
        <v/>
      </c>
      <c r="B63" s="80" t="n"/>
      <c r="C63" s="74" t="n"/>
      <c r="D63" s="33">
        <f>IF($C63="","",IFERROR(INDEX(사업마스터!$B$5:$B$34,MATCH($C63,사업마스터!$A$5:$A$34,0)),"※ 미등록 사업번호"))</f>
        <v/>
      </c>
      <c r="E63" s="74" t="n"/>
      <c r="F63" s="36" t="n"/>
      <c r="G63" s="36" t="n"/>
      <c r="H63" s="74" t="n"/>
      <c r="I63" s="76" t="n"/>
      <c r="J63" s="74" t="n"/>
      <c r="K63" s="74" t="n"/>
      <c r="L63" s="36" t="n"/>
      <c r="N63">
        <f>IFERROR(MATCH($E63,코드설정!$S$5:$S$10,0),0)</f>
        <v/>
      </c>
    </row>
    <row r="64">
      <c r="A64" s="118">
        <f>IF($B64="","",COUNT($B$5:$B64))</f>
        <v/>
      </c>
      <c r="B64" s="80" t="n"/>
      <c r="C64" s="74" t="n"/>
      <c r="D64" s="33">
        <f>IF($C64="","",IFERROR(INDEX(사업마스터!$B$5:$B$34,MATCH($C64,사업마스터!$A$5:$A$34,0)),"※ 미등록 사업번호"))</f>
        <v/>
      </c>
      <c r="E64" s="74" t="n"/>
      <c r="F64" s="36" t="n"/>
      <c r="G64" s="36" t="n"/>
      <c r="H64" s="74" t="n"/>
      <c r="I64" s="76" t="n"/>
      <c r="J64" s="74" t="n"/>
      <c r="K64" s="74" t="n"/>
      <c r="L64" s="36" t="n"/>
      <c r="N64">
        <f>IFERROR(MATCH($E64,코드설정!$S$5:$S$10,0),0)</f>
        <v/>
      </c>
    </row>
    <row r="65">
      <c r="A65" s="118">
        <f>IF($B65="","",COUNT($B$5:$B65))</f>
        <v/>
      </c>
      <c r="B65" s="80" t="n"/>
      <c r="C65" s="74" t="n"/>
      <c r="D65" s="33">
        <f>IF($C65="","",IFERROR(INDEX(사업마스터!$B$5:$B$34,MATCH($C65,사업마스터!$A$5:$A$34,0)),"※ 미등록 사업번호"))</f>
        <v/>
      </c>
      <c r="E65" s="74" t="n"/>
      <c r="F65" s="36" t="n"/>
      <c r="G65" s="36" t="n"/>
      <c r="H65" s="74" t="n"/>
      <c r="I65" s="76" t="n"/>
      <c r="J65" s="74" t="n"/>
      <c r="K65" s="74" t="n"/>
      <c r="L65" s="36" t="n"/>
      <c r="N65">
        <f>IFERROR(MATCH($E65,코드설정!$S$5:$S$10,0),0)</f>
        <v/>
      </c>
    </row>
    <row r="66">
      <c r="A66" s="118">
        <f>IF($B66="","",COUNT($B$5:$B66))</f>
        <v/>
      </c>
      <c r="B66" s="80" t="n"/>
      <c r="C66" s="74" t="n"/>
      <c r="D66" s="33">
        <f>IF($C66="","",IFERROR(INDEX(사업마스터!$B$5:$B$34,MATCH($C66,사업마스터!$A$5:$A$34,0)),"※ 미등록 사업번호"))</f>
        <v/>
      </c>
      <c r="E66" s="74" t="n"/>
      <c r="F66" s="36" t="n"/>
      <c r="G66" s="36" t="n"/>
      <c r="H66" s="74" t="n"/>
      <c r="I66" s="76" t="n"/>
      <c r="J66" s="74" t="n"/>
      <c r="K66" s="74" t="n"/>
      <c r="L66" s="36" t="n"/>
      <c r="N66">
        <f>IFERROR(MATCH($E66,코드설정!$S$5:$S$10,0),0)</f>
        <v/>
      </c>
    </row>
    <row r="67">
      <c r="A67" s="118">
        <f>IF($B67="","",COUNT($B$5:$B67))</f>
        <v/>
      </c>
      <c r="B67" s="80" t="n"/>
      <c r="C67" s="74" t="n"/>
      <c r="D67" s="33">
        <f>IF($C67="","",IFERROR(INDEX(사업마스터!$B$5:$B$34,MATCH($C67,사업마스터!$A$5:$A$34,0)),"※ 미등록 사업번호"))</f>
        <v/>
      </c>
      <c r="E67" s="74" t="n"/>
      <c r="F67" s="36" t="n"/>
      <c r="G67" s="36" t="n"/>
      <c r="H67" s="74" t="n"/>
      <c r="I67" s="76" t="n"/>
      <c r="J67" s="74" t="n"/>
      <c r="K67" s="74" t="n"/>
      <c r="L67" s="36" t="n"/>
      <c r="N67">
        <f>IFERROR(MATCH($E67,코드설정!$S$5:$S$10,0),0)</f>
        <v/>
      </c>
    </row>
    <row r="68">
      <c r="A68" s="118">
        <f>IF($B68="","",COUNT($B$5:$B68))</f>
        <v/>
      </c>
      <c r="B68" s="80" t="n"/>
      <c r="C68" s="74" t="n"/>
      <c r="D68" s="33">
        <f>IF($C68="","",IFERROR(INDEX(사업마스터!$B$5:$B$34,MATCH($C68,사업마스터!$A$5:$A$34,0)),"※ 미등록 사업번호"))</f>
        <v/>
      </c>
      <c r="E68" s="74" t="n"/>
      <c r="F68" s="36" t="n"/>
      <c r="G68" s="36" t="n"/>
      <c r="H68" s="74" t="n"/>
      <c r="I68" s="76" t="n"/>
      <c r="J68" s="74" t="n"/>
      <c r="K68" s="74" t="n"/>
      <c r="L68" s="36" t="n"/>
      <c r="N68">
        <f>IFERROR(MATCH($E68,코드설정!$S$5:$S$10,0),0)</f>
        <v/>
      </c>
    </row>
    <row r="69">
      <c r="A69" s="118">
        <f>IF($B69="","",COUNT($B$5:$B69))</f>
        <v/>
      </c>
      <c r="B69" s="80" t="n"/>
      <c r="C69" s="74" t="n"/>
      <c r="D69" s="33">
        <f>IF($C69="","",IFERROR(INDEX(사업마스터!$B$5:$B$34,MATCH($C69,사업마스터!$A$5:$A$34,0)),"※ 미등록 사업번호"))</f>
        <v/>
      </c>
      <c r="E69" s="74" t="n"/>
      <c r="F69" s="36" t="n"/>
      <c r="G69" s="36" t="n"/>
      <c r="H69" s="74" t="n"/>
      <c r="I69" s="76" t="n"/>
      <c r="J69" s="74" t="n"/>
      <c r="K69" s="74" t="n"/>
      <c r="L69" s="36" t="n"/>
      <c r="N69">
        <f>IFERROR(MATCH($E69,코드설정!$S$5:$S$10,0),0)</f>
        <v/>
      </c>
    </row>
    <row r="70">
      <c r="A70" s="118">
        <f>IF($B70="","",COUNT($B$5:$B70))</f>
        <v/>
      </c>
      <c r="B70" s="80" t="n"/>
      <c r="C70" s="74" t="n"/>
      <c r="D70" s="33">
        <f>IF($C70="","",IFERROR(INDEX(사업마스터!$B$5:$B$34,MATCH($C70,사업마스터!$A$5:$A$34,0)),"※ 미등록 사업번호"))</f>
        <v/>
      </c>
      <c r="E70" s="74" t="n"/>
      <c r="F70" s="36" t="n"/>
      <c r="G70" s="36" t="n"/>
      <c r="H70" s="74" t="n"/>
      <c r="I70" s="76" t="n"/>
      <c r="J70" s="74" t="n"/>
      <c r="K70" s="74" t="n"/>
      <c r="L70" s="36" t="n"/>
      <c r="N70">
        <f>IFERROR(MATCH($E70,코드설정!$S$5:$S$10,0),0)</f>
        <v/>
      </c>
    </row>
    <row r="71">
      <c r="A71" s="118">
        <f>IF($B71="","",COUNT($B$5:$B71))</f>
        <v/>
      </c>
      <c r="B71" s="80" t="n"/>
      <c r="C71" s="74" t="n"/>
      <c r="D71" s="33">
        <f>IF($C71="","",IFERROR(INDEX(사업마스터!$B$5:$B$34,MATCH($C71,사업마스터!$A$5:$A$34,0)),"※ 미등록 사업번호"))</f>
        <v/>
      </c>
      <c r="E71" s="74" t="n"/>
      <c r="F71" s="36" t="n"/>
      <c r="G71" s="36" t="n"/>
      <c r="H71" s="74" t="n"/>
      <c r="I71" s="76" t="n"/>
      <c r="J71" s="74" t="n"/>
      <c r="K71" s="74" t="n"/>
      <c r="L71" s="36" t="n"/>
      <c r="N71">
        <f>IFERROR(MATCH($E71,코드설정!$S$5:$S$10,0),0)</f>
        <v/>
      </c>
    </row>
    <row r="72">
      <c r="A72" s="118">
        <f>IF($B72="","",COUNT($B$5:$B72))</f>
        <v/>
      </c>
      <c r="B72" s="80" t="n"/>
      <c r="C72" s="74" t="n"/>
      <c r="D72" s="33">
        <f>IF($C72="","",IFERROR(INDEX(사업마스터!$B$5:$B$34,MATCH($C72,사업마스터!$A$5:$A$34,0)),"※ 미등록 사업번호"))</f>
        <v/>
      </c>
      <c r="E72" s="74" t="n"/>
      <c r="F72" s="36" t="n"/>
      <c r="G72" s="36" t="n"/>
      <c r="H72" s="74" t="n"/>
      <c r="I72" s="76" t="n"/>
      <c r="J72" s="74" t="n"/>
      <c r="K72" s="74" t="n"/>
      <c r="L72" s="36" t="n"/>
      <c r="N72">
        <f>IFERROR(MATCH($E72,코드설정!$S$5:$S$10,0),0)</f>
        <v/>
      </c>
    </row>
    <row r="73">
      <c r="A73" s="118">
        <f>IF($B73="","",COUNT($B$5:$B73))</f>
        <v/>
      </c>
      <c r="B73" s="80" t="n"/>
      <c r="C73" s="74" t="n"/>
      <c r="D73" s="33">
        <f>IF($C73="","",IFERROR(INDEX(사업마스터!$B$5:$B$34,MATCH($C73,사업마스터!$A$5:$A$34,0)),"※ 미등록 사업번호"))</f>
        <v/>
      </c>
      <c r="E73" s="74" t="n"/>
      <c r="F73" s="36" t="n"/>
      <c r="G73" s="36" t="n"/>
      <c r="H73" s="74" t="n"/>
      <c r="I73" s="76" t="n"/>
      <c r="J73" s="74" t="n"/>
      <c r="K73" s="74" t="n"/>
      <c r="L73" s="36" t="n"/>
      <c r="N73">
        <f>IFERROR(MATCH($E73,코드설정!$S$5:$S$10,0),0)</f>
        <v/>
      </c>
    </row>
    <row r="74">
      <c r="A74" s="118">
        <f>IF($B74="","",COUNT($B$5:$B74))</f>
        <v/>
      </c>
      <c r="B74" s="80" t="n"/>
      <c r="C74" s="74" t="n"/>
      <c r="D74" s="33">
        <f>IF($C74="","",IFERROR(INDEX(사업마스터!$B$5:$B$34,MATCH($C74,사업마스터!$A$5:$A$34,0)),"※ 미등록 사업번호"))</f>
        <v/>
      </c>
      <c r="E74" s="74" t="n"/>
      <c r="F74" s="36" t="n"/>
      <c r="G74" s="36" t="n"/>
      <c r="H74" s="74" t="n"/>
      <c r="I74" s="76" t="n"/>
      <c r="J74" s="74" t="n"/>
      <c r="K74" s="74" t="n"/>
      <c r="L74" s="36" t="n"/>
      <c r="N74">
        <f>IFERROR(MATCH($E74,코드설정!$S$5:$S$10,0),0)</f>
        <v/>
      </c>
    </row>
    <row r="75">
      <c r="A75" s="118">
        <f>IF($B75="","",COUNT($B$5:$B75))</f>
        <v/>
      </c>
      <c r="B75" s="80" t="n"/>
      <c r="C75" s="74" t="n"/>
      <c r="D75" s="33">
        <f>IF($C75="","",IFERROR(INDEX(사업마스터!$B$5:$B$34,MATCH($C75,사업마스터!$A$5:$A$34,0)),"※ 미등록 사업번호"))</f>
        <v/>
      </c>
      <c r="E75" s="74" t="n"/>
      <c r="F75" s="36" t="n"/>
      <c r="G75" s="36" t="n"/>
      <c r="H75" s="74" t="n"/>
      <c r="I75" s="76" t="n"/>
      <c r="J75" s="74" t="n"/>
      <c r="K75" s="74" t="n"/>
      <c r="L75" s="36" t="n"/>
      <c r="N75">
        <f>IFERROR(MATCH($E75,코드설정!$S$5:$S$10,0),0)</f>
        <v/>
      </c>
    </row>
    <row r="76">
      <c r="A76" s="118">
        <f>IF($B76="","",COUNT($B$5:$B76))</f>
        <v/>
      </c>
      <c r="B76" s="80" t="n"/>
      <c r="C76" s="74" t="n"/>
      <c r="D76" s="33">
        <f>IF($C76="","",IFERROR(INDEX(사업마스터!$B$5:$B$34,MATCH($C76,사업마스터!$A$5:$A$34,0)),"※ 미등록 사업번호"))</f>
        <v/>
      </c>
      <c r="E76" s="74" t="n"/>
      <c r="F76" s="36" t="n"/>
      <c r="G76" s="36" t="n"/>
      <c r="H76" s="74" t="n"/>
      <c r="I76" s="76" t="n"/>
      <c r="J76" s="74" t="n"/>
      <c r="K76" s="74" t="n"/>
      <c r="L76" s="36" t="n"/>
      <c r="N76">
        <f>IFERROR(MATCH($E76,코드설정!$S$5:$S$10,0),0)</f>
        <v/>
      </c>
    </row>
    <row r="77">
      <c r="A77" s="118">
        <f>IF($B77="","",COUNT($B$5:$B77))</f>
        <v/>
      </c>
      <c r="B77" s="80" t="n"/>
      <c r="C77" s="74" t="n"/>
      <c r="D77" s="33">
        <f>IF($C77="","",IFERROR(INDEX(사업마스터!$B$5:$B$34,MATCH($C77,사업마스터!$A$5:$A$34,0)),"※ 미등록 사업번호"))</f>
        <v/>
      </c>
      <c r="E77" s="74" t="n"/>
      <c r="F77" s="36" t="n"/>
      <c r="G77" s="36" t="n"/>
      <c r="H77" s="74" t="n"/>
      <c r="I77" s="76" t="n"/>
      <c r="J77" s="74" t="n"/>
      <c r="K77" s="74" t="n"/>
      <c r="L77" s="36" t="n"/>
      <c r="N77">
        <f>IFERROR(MATCH($E77,코드설정!$S$5:$S$10,0),0)</f>
        <v/>
      </c>
    </row>
    <row r="78">
      <c r="A78" s="118">
        <f>IF($B78="","",COUNT($B$5:$B78))</f>
        <v/>
      </c>
      <c r="B78" s="80" t="n"/>
      <c r="C78" s="74" t="n"/>
      <c r="D78" s="33">
        <f>IF($C78="","",IFERROR(INDEX(사업마스터!$B$5:$B$34,MATCH($C78,사업마스터!$A$5:$A$34,0)),"※ 미등록 사업번호"))</f>
        <v/>
      </c>
      <c r="E78" s="74" t="n"/>
      <c r="F78" s="36" t="n"/>
      <c r="G78" s="36" t="n"/>
      <c r="H78" s="74" t="n"/>
      <c r="I78" s="76" t="n"/>
      <c r="J78" s="74" t="n"/>
      <c r="K78" s="74" t="n"/>
      <c r="L78" s="36" t="n"/>
      <c r="N78">
        <f>IFERROR(MATCH($E78,코드설정!$S$5:$S$10,0),0)</f>
        <v/>
      </c>
    </row>
    <row r="79">
      <c r="A79" s="118">
        <f>IF($B79="","",COUNT($B$5:$B79))</f>
        <v/>
      </c>
      <c r="B79" s="80" t="n"/>
      <c r="C79" s="74" t="n"/>
      <c r="D79" s="33">
        <f>IF($C79="","",IFERROR(INDEX(사업마스터!$B$5:$B$34,MATCH($C79,사업마스터!$A$5:$A$34,0)),"※ 미등록 사업번호"))</f>
        <v/>
      </c>
      <c r="E79" s="74" t="n"/>
      <c r="F79" s="36" t="n"/>
      <c r="G79" s="36" t="n"/>
      <c r="H79" s="74" t="n"/>
      <c r="I79" s="76" t="n"/>
      <c r="J79" s="74" t="n"/>
      <c r="K79" s="74" t="n"/>
      <c r="L79" s="36" t="n"/>
      <c r="N79">
        <f>IFERROR(MATCH($E79,코드설정!$S$5:$S$10,0),0)</f>
        <v/>
      </c>
    </row>
    <row r="80">
      <c r="A80" s="118">
        <f>IF($B80="","",COUNT($B$5:$B80))</f>
        <v/>
      </c>
      <c r="B80" s="80" t="n"/>
      <c r="C80" s="74" t="n"/>
      <c r="D80" s="33">
        <f>IF($C80="","",IFERROR(INDEX(사업마스터!$B$5:$B$34,MATCH($C80,사업마스터!$A$5:$A$34,0)),"※ 미등록 사업번호"))</f>
        <v/>
      </c>
      <c r="E80" s="74" t="n"/>
      <c r="F80" s="36" t="n"/>
      <c r="G80" s="36" t="n"/>
      <c r="H80" s="74" t="n"/>
      <c r="I80" s="76" t="n"/>
      <c r="J80" s="74" t="n"/>
      <c r="K80" s="74" t="n"/>
      <c r="L80" s="36" t="n"/>
      <c r="N80">
        <f>IFERROR(MATCH($E80,코드설정!$S$5:$S$10,0),0)</f>
        <v/>
      </c>
    </row>
    <row r="81">
      <c r="A81" s="118">
        <f>IF($B81="","",COUNT($B$5:$B81))</f>
        <v/>
      </c>
      <c r="B81" s="80" t="n"/>
      <c r="C81" s="74" t="n"/>
      <c r="D81" s="33">
        <f>IF($C81="","",IFERROR(INDEX(사업마스터!$B$5:$B$34,MATCH($C81,사업마스터!$A$5:$A$34,0)),"※ 미등록 사업번호"))</f>
        <v/>
      </c>
      <c r="E81" s="74" t="n"/>
      <c r="F81" s="36" t="n"/>
      <c r="G81" s="36" t="n"/>
      <c r="H81" s="74" t="n"/>
      <c r="I81" s="76" t="n"/>
      <c r="J81" s="74" t="n"/>
      <c r="K81" s="74" t="n"/>
      <c r="L81" s="36" t="n"/>
      <c r="N81">
        <f>IFERROR(MATCH($E81,코드설정!$S$5:$S$10,0),0)</f>
        <v/>
      </c>
    </row>
    <row r="82">
      <c r="A82" s="118">
        <f>IF($B82="","",COUNT($B$5:$B82))</f>
        <v/>
      </c>
      <c r="B82" s="80" t="n"/>
      <c r="C82" s="74" t="n"/>
      <c r="D82" s="33">
        <f>IF($C82="","",IFERROR(INDEX(사업마스터!$B$5:$B$34,MATCH($C82,사업마스터!$A$5:$A$34,0)),"※ 미등록 사업번호"))</f>
        <v/>
      </c>
      <c r="E82" s="74" t="n"/>
      <c r="F82" s="36" t="n"/>
      <c r="G82" s="36" t="n"/>
      <c r="H82" s="74" t="n"/>
      <c r="I82" s="76" t="n"/>
      <c r="J82" s="74" t="n"/>
      <c r="K82" s="74" t="n"/>
      <c r="L82" s="36" t="n"/>
      <c r="N82">
        <f>IFERROR(MATCH($E82,코드설정!$S$5:$S$10,0),0)</f>
        <v/>
      </c>
    </row>
    <row r="83">
      <c r="A83" s="118">
        <f>IF($B83="","",COUNT($B$5:$B83))</f>
        <v/>
      </c>
      <c r="B83" s="80" t="n"/>
      <c r="C83" s="74" t="n"/>
      <c r="D83" s="33">
        <f>IF($C83="","",IFERROR(INDEX(사업마스터!$B$5:$B$34,MATCH($C83,사업마스터!$A$5:$A$34,0)),"※ 미등록 사업번호"))</f>
        <v/>
      </c>
      <c r="E83" s="74" t="n"/>
      <c r="F83" s="36" t="n"/>
      <c r="G83" s="36" t="n"/>
      <c r="H83" s="74" t="n"/>
      <c r="I83" s="76" t="n"/>
      <c r="J83" s="74" t="n"/>
      <c r="K83" s="74" t="n"/>
      <c r="L83" s="36" t="n"/>
      <c r="N83">
        <f>IFERROR(MATCH($E83,코드설정!$S$5:$S$10,0),0)</f>
        <v/>
      </c>
    </row>
    <row r="84">
      <c r="A84" s="118">
        <f>IF($B84="","",COUNT($B$5:$B84))</f>
        <v/>
      </c>
      <c r="B84" s="80" t="n"/>
      <c r="C84" s="74" t="n"/>
      <c r="D84" s="33">
        <f>IF($C84="","",IFERROR(INDEX(사업마스터!$B$5:$B$34,MATCH($C84,사업마스터!$A$5:$A$34,0)),"※ 미등록 사업번호"))</f>
        <v/>
      </c>
      <c r="E84" s="74" t="n"/>
      <c r="F84" s="36" t="n"/>
      <c r="G84" s="36" t="n"/>
      <c r="H84" s="74" t="n"/>
      <c r="I84" s="76" t="n"/>
      <c r="J84" s="74" t="n"/>
      <c r="K84" s="74" t="n"/>
      <c r="L84" s="36" t="n"/>
      <c r="N84">
        <f>IFERROR(MATCH($E84,코드설정!$S$5:$S$10,0),0)</f>
        <v/>
      </c>
    </row>
    <row r="85">
      <c r="A85" s="118">
        <f>IF($B85="","",COUNT($B$5:$B85))</f>
        <v/>
      </c>
      <c r="B85" s="80" t="n"/>
      <c r="C85" s="74" t="n"/>
      <c r="D85" s="33">
        <f>IF($C85="","",IFERROR(INDEX(사업마스터!$B$5:$B$34,MATCH($C85,사업마스터!$A$5:$A$34,0)),"※ 미등록 사업번호"))</f>
        <v/>
      </c>
      <c r="E85" s="74" t="n"/>
      <c r="F85" s="36" t="n"/>
      <c r="G85" s="36" t="n"/>
      <c r="H85" s="74" t="n"/>
      <c r="I85" s="76" t="n"/>
      <c r="J85" s="74" t="n"/>
      <c r="K85" s="74" t="n"/>
      <c r="L85" s="36" t="n"/>
      <c r="N85">
        <f>IFERROR(MATCH($E85,코드설정!$S$5:$S$10,0),0)</f>
        <v/>
      </c>
    </row>
    <row r="86">
      <c r="A86" s="118">
        <f>IF($B86="","",COUNT($B$5:$B86))</f>
        <v/>
      </c>
      <c r="B86" s="80" t="n"/>
      <c r="C86" s="74" t="n"/>
      <c r="D86" s="33">
        <f>IF($C86="","",IFERROR(INDEX(사업마스터!$B$5:$B$34,MATCH($C86,사업마스터!$A$5:$A$34,0)),"※ 미등록 사업번호"))</f>
        <v/>
      </c>
      <c r="E86" s="74" t="n"/>
      <c r="F86" s="36" t="n"/>
      <c r="G86" s="36" t="n"/>
      <c r="H86" s="74" t="n"/>
      <c r="I86" s="76" t="n"/>
      <c r="J86" s="74" t="n"/>
      <c r="K86" s="74" t="n"/>
      <c r="L86" s="36" t="n"/>
      <c r="N86">
        <f>IFERROR(MATCH($E86,코드설정!$S$5:$S$10,0),0)</f>
        <v/>
      </c>
    </row>
    <row r="87">
      <c r="A87" s="118">
        <f>IF($B87="","",COUNT($B$5:$B87))</f>
        <v/>
      </c>
      <c r="B87" s="80" t="n"/>
      <c r="C87" s="74" t="n"/>
      <c r="D87" s="33">
        <f>IF($C87="","",IFERROR(INDEX(사업마스터!$B$5:$B$34,MATCH($C87,사업마스터!$A$5:$A$34,0)),"※ 미등록 사업번호"))</f>
        <v/>
      </c>
      <c r="E87" s="74" t="n"/>
      <c r="F87" s="36" t="n"/>
      <c r="G87" s="36" t="n"/>
      <c r="H87" s="74" t="n"/>
      <c r="I87" s="76" t="n"/>
      <c r="J87" s="74" t="n"/>
      <c r="K87" s="74" t="n"/>
      <c r="L87" s="36" t="n"/>
      <c r="N87">
        <f>IFERROR(MATCH($E87,코드설정!$S$5:$S$10,0),0)</f>
        <v/>
      </c>
    </row>
    <row r="88">
      <c r="A88" s="118">
        <f>IF($B88="","",COUNT($B$5:$B88))</f>
        <v/>
      </c>
      <c r="B88" s="80" t="n"/>
      <c r="C88" s="74" t="n"/>
      <c r="D88" s="33">
        <f>IF($C88="","",IFERROR(INDEX(사업마스터!$B$5:$B$34,MATCH($C88,사업마스터!$A$5:$A$34,0)),"※ 미등록 사업번호"))</f>
        <v/>
      </c>
      <c r="E88" s="74" t="n"/>
      <c r="F88" s="36" t="n"/>
      <c r="G88" s="36" t="n"/>
      <c r="H88" s="74" t="n"/>
      <c r="I88" s="76" t="n"/>
      <c r="J88" s="74" t="n"/>
      <c r="K88" s="74" t="n"/>
      <c r="L88" s="36" t="n"/>
      <c r="N88">
        <f>IFERROR(MATCH($E88,코드설정!$S$5:$S$10,0),0)</f>
        <v/>
      </c>
    </row>
    <row r="89">
      <c r="A89" s="118">
        <f>IF($B89="","",COUNT($B$5:$B89))</f>
        <v/>
      </c>
      <c r="B89" s="80" t="n"/>
      <c r="C89" s="74" t="n"/>
      <c r="D89" s="33">
        <f>IF($C89="","",IFERROR(INDEX(사업마스터!$B$5:$B$34,MATCH($C89,사업마스터!$A$5:$A$34,0)),"※ 미등록 사업번호"))</f>
        <v/>
      </c>
      <c r="E89" s="74" t="n"/>
      <c r="F89" s="36" t="n"/>
      <c r="G89" s="36" t="n"/>
      <c r="H89" s="74" t="n"/>
      <c r="I89" s="76" t="n"/>
      <c r="J89" s="74" t="n"/>
      <c r="K89" s="74" t="n"/>
      <c r="L89" s="36" t="n"/>
      <c r="N89">
        <f>IFERROR(MATCH($E89,코드설정!$S$5:$S$10,0),0)</f>
        <v/>
      </c>
    </row>
    <row r="90">
      <c r="A90" s="118">
        <f>IF($B90="","",COUNT($B$5:$B90))</f>
        <v/>
      </c>
      <c r="B90" s="80" t="n"/>
      <c r="C90" s="74" t="n"/>
      <c r="D90" s="33">
        <f>IF($C90="","",IFERROR(INDEX(사업마스터!$B$5:$B$34,MATCH($C90,사업마스터!$A$5:$A$34,0)),"※ 미등록 사업번호"))</f>
        <v/>
      </c>
      <c r="E90" s="74" t="n"/>
      <c r="F90" s="36" t="n"/>
      <c r="G90" s="36" t="n"/>
      <c r="H90" s="74" t="n"/>
      <c r="I90" s="76" t="n"/>
      <c r="J90" s="74" t="n"/>
      <c r="K90" s="74" t="n"/>
      <c r="L90" s="36" t="n"/>
      <c r="N90">
        <f>IFERROR(MATCH($E90,코드설정!$S$5:$S$10,0),0)</f>
        <v/>
      </c>
    </row>
    <row r="91">
      <c r="A91" s="118">
        <f>IF($B91="","",COUNT($B$5:$B91))</f>
        <v/>
      </c>
      <c r="B91" s="80" t="n"/>
      <c r="C91" s="74" t="n"/>
      <c r="D91" s="33">
        <f>IF($C91="","",IFERROR(INDEX(사업마스터!$B$5:$B$34,MATCH($C91,사업마스터!$A$5:$A$34,0)),"※ 미등록 사업번호"))</f>
        <v/>
      </c>
      <c r="E91" s="74" t="n"/>
      <c r="F91" s="36" t="n"/>
      <c r="G91" s="36" t="n"/>
      <c r="H91" s="74" t="n"/>
      <c r="I91" s="76" t="n"/>
      <c r="J91" s="74" t="n"/>
      <c r="K91" s="74" t="n"/>
      <c r="L91" s="36" t="n"/>
      <c r="N91">
        <f>IFERROR(MATCH($E91,코드설정!$S$5:$S$10,0),0)</f>
        <v/>
      </c>
    </row>
    <row r="92">
      <c r="A92" s="118">
        <f>IF($B92="","",COUNT($B$5:$B92))</f>
        <v/>
      </c>
      <c r="B92" s="80" t="n"/>
      <c r="C92" s="74" t="n"/>
      <c r="D92" s="33">
        <f>IF($C92="","",IFERROR(INDEX(사업마스터!$B$5:$B$34,MATCH($C92,사업마스터!$A$5:$A$34,0)),"※ 미등록 사업번호"))</f>
        <v/>
      </c>
      <c r="E92" s="74" t="n"/>
      <c r="F92" s="36" t="n"/>
      <c r="G92" s="36" t="n"/>
      <c r="H92" s="74" t="n"/>
      <c r="I92" s="76" t="n"/>
      <c r="J92" s="74" t="n"/>
      <c r="K92" s="74" t="n"/>
      <c r="L92" s="36" t="n"/>
      <c r="N92">
        <f>IFERROR(MATCH($E92,코드설정!$S$5:$S$10,0),0)</f>
        <v/>
      </c>
    </row>
    <row r="93">
      <c r="A93" s="118">
        <f>IF($B93="","",COUNT($B$5:$B93))</f>
        <v/>
      </c>
      <c r="B93" s="80" t="n"/>
      <c r="C93" s="74" t="n"/>
      <c r="D93" s="33">
        <f>IF($C93="","",IFERROR(INDEX(사업마스터!$B$5:$B$34,MATCH($C93,사업마스터!$A$5:$A$34,0)),"※ 미등록 사업번호"))</f>
        <v/>
      </c>
      <c r="E93" s="74" t="n"/>
      <c r="F93" s="36" t="n"/>
      <c r="G93" s="36" t="n"/>
      <c r="H93" s="74" t="n"/>
      <c r="I93" s="76" t="n"/>
      <c r="J93" s="74" t="n"/>
      <c r="K93" s="74" t="n"/>
      <c r="L93" s="36" t="n"/>
      <c r="N93">
        <f>IFERROR(MATCH($E93,코드설정!$S$5:$S$10,0),0)</f>
        <v/>
      </c>
    </row>
    <row r="94">
      <c r="A94" s="118">
        <f>IF($B94="","",COUNT($B$5:$B94))</f>
        <v/>
      </c>
      <c r="B94" s="80" t="n"/>
      <c r="C94" s="74" t="n"/>
      <c r="D94" s="33">
        <f>IF($C94="","",IFERROR(INDEX(사업마스터!$B$5:$B$34,MATCH($C94,사업마스터!$A$5:$A$34,0)),"※ 미등록 사업번호"))</f>
        <v/>
      </c>
      <c r="E94" s="74" t="n"/>
      <c r="F94" s="36" t="n"/>
      <c r="G94" s="36" t="n"/>
      <c r="H94" s="74" t="n"/>
      <c r="I94" s="76" t="n"/>
      <c r="J94" s="74" t="n"/>
      <c r="K94" s="74" t="n"/>
      <c r="L94" s="36" t="n"/>
      <c r="N94">
        <f>IFERROR(MATCH($E94,코드설정!$S$5:$S$10,0),0)</f>
        <v/>
      </c>
    </row>
    <row r="95">
      <c r="A95" s="118">
        <f>IF($B95="","",COUNT($B$5:$B95))</f>
        <v/>
      </c>
      <c r="B95" s="80" t="n"/>
      <c r="C95" s="74" t="n"/>
      <c r="D95" s="33">
        <f>IF($C95="","",IFERROR(INDEX(사업마스터!$B$5:$B$34,MATCH($C95,사업마스터!$A$5:$A$34,0)),"※ 미등록 사업번호"))</f>
        <v/>
      </c>
      <c r="E95" s="74" t="n"/>
      <c r="F95" s="36" t="n"/>
      <c r="G95" s="36" t="n"/>
      <c r="H95" s="74" t="n"/>
      <c r="I95" s="76" t="n"/>
      <c r="J95" s="74" t="n"/>
      <c r="K95" s="74" t="n"/>
      <c r="L95" s="36" t="n"/>
      <c r="N95">
        <f>IFERROR(MATCH($E95,코드설정!$S$5:$S$10,0),0)</f>
        <v/>
      </c>
    </row>
    <row r="96">
      <c r="A96" s="118">
        <f>IF($B96="","",COUNT($B$5:$B96))</f>
        <v/>
      </c>
      <c r="B96" s="80" t="n"/>
      <c r="C96" s="74" t="n"/>
      <c r="D96" s="33">
        <f>IF($C96="","",IFERROR(INDEX(사업마스터!$B$5:$B$34,MATCH($C96,사업마스터!$A$5:$A$34,0)),"※ 미등록 사업번호"))</f>
        <v/>
      </c>
      <c r="E96" s="74" t="n"/>
      <c r="F96" s="36" t="n"/>
      <c r="G96" s="36" t="n"/>
      <c r="H96" s="74" t="n"/>
      <c r="I96" s="76" t="n"/>
      <c r="J96" s="74" t="n"/>
      <c r="K96" s="74" t="n"/>
      <c r="L96" s="36" t="n"/>
      <c r="N96">
        <f>IFERROR(MATCH($E96,코드설정!$S$5:$S$10,0),0)</f>
        <v/>
      </c>
    </row>
    <row r="97">
      <c r="A97" s="118">
        <f>IF($B97="","",COUNT($B$5:$B97))</f>
        <v/>
      </c>
      <c r="B97" s="80" t="n"/>
      <c r="C97" s="74" t="n"/>
      <c r="D97" s="33">
        <f>IF($C97="","",IFERROR(INDEX(사업마스터!$B$5:$B$34,MATCH($C97,사업마스터!$A$5:$A$34,0)),"※ 미등록 사업번호"))</f>
        <v/>
      </c>
      <c r="E97" s="74" t="n"/>
      <c r="F97" s="36" t="n"/>
      <c r="G97" s="36" t="n"/>
      <c r="H97" s="74" t="n"/>
      <c r="I97" s="76" t="n"/>
      <c r="J97" s="74" t="n"/>
      <c r="K97" s="74" t="n"/>
      <c r="L97" s="36" t="n"/>
      <c r="N97">
        <f>IFERROR(MATCH($E97,코드설정!$S$5:$S$10,0),0)</f>
        <v/>
      </c>
    </row>
    <row r="98">
      <c r="A98" s="118">
        <f>IF($B98="","",COUNT($B$5:$B98))</f>
        <v/>
      </c>
      <c r="B98" s="80" t="n"/>
      <c r="C98" s="74" t="n"/>
      <c r="D98" s="33">
        <f>IF($C98="","",IFERROR(INDEX(사업마스터!$B$5:$B$34,MATCH($C98,사업마스터!$A$5:$A$34,0)),"※ 미등록 사업번호"))</f>
        <v/>
      </c>
      <c r="E98" s="74" t="n"/>
      <c r="F98" s="36" t="n"/>
      <c r="G98" s="36" t="n"/>
      <c r="H98" s="74" t="n"/>
      <c r="I98" s="76" t="n"/>
      <c r="J98" s="74" t="n"/>
      <c r="K98" s="74" t="n"/>
      <c r="L98" s="36" t="n"/>
      <c r="N98">
        <f>IFERROR(MATCH($E98,코드설정!$S$5:$S$10,0),0)</f>
        <v/>
      </c>
    </row>
    <row r="99">
      <c r="A99" s="118">
        <f>IF($B99="","",COUNT($B$5:$B99))</f>
        <v/>
      </c>
      <c r="B99" s="80" t="n"/>
      <c r="C99" s="74" t="n"/>
      <c r="D99" s="33">
        <f>IF($C99="","",IFERROR(INDEX(사업마스터!$B$5:$B$34,MATCH($C99,사업마스터!$A$5:$A$34,0)),"※ 미등록 사업번호"))</f>
        <v/>
      </c>
      <c r="E99" s="74" t="n"/>
      <c r="F99" s="36" t="n"/>
      <c r="G99" s="36" t="n"/>
      <c r="H99" s="74" t="n"/>
      <c r="I99" s="76" t="n"/>
      <c r="J99" s="74" t="n"/>
      <c r="K99" s="74" t="n"/>
      <c r="L99" s="36" t="n"/>
      <c r="N99">
        <f>IFERROR(MATCH($E99,코드설정!$S$5:$S$10,0),0)</f>
        <v/>
      </c>
    </row>
    <row r="100">
      <c r="A100" s="118">
        <f>IF($B100="","",COUNT($B$5:$B100))</f>
        <v/>
      </c>
      <c r="B100" s="80" t="n"/>
      <c r="C100" s="74" t="n"/>
      <c r="D100" s="33">
        <f>IF($C100="","",IFERROR(INDEX(사업마스터!$B$5:$B$34,MATCH($C100,사업마스터!$A$5:$A$34,0)),"※ 미등록 사업번호"))</f>
        <v/>
      </c>
      <c r="E100" s="74" t="n"/>
      <c r="F100" s="36" t="n"/>
      <c r="G100" s="36" t="n"/>
      <c r="H100" s="74" t="n"/>
      <c r="I100" s="76" t="n"/>
      <c r="J100" s="74" t="n"/>
      <c r="K100" s="74" t="n"/>
      <c r="L100" s="36" t="n"/>
      <c r="N100">
        <f>IFERROR(MATCH($E100,코드설정!$S$5:$S$10,0),0)</f>
        <v/>
      </c>
    </row>
    <row r="101">
      <c r="A101" s="118">
        <f>IF($B101="","",COUNT($B$5:$B101))</f>
        <v/>
      </c>
      <c r="B101" s="80" t="n"/>
      <c r="C101" s="74" t="n"/>
      <c r="D101" s="33">
        <f>IF($C101="","",IFERROR(INDEX(사업마스터!$B$5:$B$34,MATCH($C101,사업마스터!$A$5:$A$34,0)),"※ 미등록 사업번호"))</f>
        <v/>
      </c>
      <c r="E101" s="74" t="n"/>
      <c r="F101" s="36" t="n"/>
      <c r="G101" s="36" t="n"/>
      <c r="H101" s="74" t="n"/>
      <c r="I101" s="76" t="n"/>
      <c r="J101" s="74" t="n"/>
      <c r="K101" s="74" t="n"/>
      <c r="L101" s="36" t="n"/>
      <c r="N101">
        <f>IFERROR(MATCH($E101,코드설정!$S$5:$S$10,0),0)</f>
        <v/>
      </c>
    </row>
    <row r="102">
      <c r="A102" s="118">
        <f>IF($B102="","",COUNT($B$5:$B102))</f>
        <v/>
      </c>
      <c r="B102" s="80" t="n"/>
      <c r="C102" s="74" t="n"/>
      <c r="D102" s="33">
        <f>IF($C102="","",IFERROR(INDEX(사업마스터!$B$5:$B$34,MATCH($C102,사업마스터!$A$5:$A$34,0)),"※ 미등록 사업번호"))</f>
        <v/>
      </c>
      <c r="E102" s="74" t="n"/>
      <c r="F102" s="36" t="n"/>
      <c r="G102" s="36" t="n"/>
      <c r="H102" s="74" t="n"/>
      <c r="I102" s="76" t="n"/>
      <c r="J102" s="74" t="n"/>
      <c r="K102" s="74" t="n"/>
      <c r="L102" s="36" t="n"/>
      <c r="N102">
        <f>IFERROR(MATCH($E102,코드설정!$S$5:$S$10,0),0)</f>
        <v/>
      </c>
    </row>
    <row r="103">
      <c r="A103" s="118">
        <f>IF($B103="","",COUNT($B$5:$B103))</f>
        <v/>
      </c>
      <c r="B103" s="80" t="n"/>
      <c r="C103" s="74" t="n"/>
      <c r="D103" s="33">
        <f>IF($C103="","",IFERROR(INDEX(사업마스터!$B$5:$B$34,MATCH($C103,사업마스터!$A$5:$A$34,0)),"※ 미등록 사업번호"))</f>
        <v/>
      </c>
      <c r="E103" s="74" t="n"/>
      <c r="F103" s="36" t="n"/>
      <c r="G103" s="36" t="n"/>
      <c r="H103" s="74" t="n"/>
      <c r="I103" s="76" t="n"/>
      <c r="J103" s="74" t="n"/>
      <c r="K103" s="74" t="n"/>
      <c r="L103" s="36" t="n"/>
      <c r="N103">
        <f>IFERROR(MATCH($E103,코드설정!$S$5:$S$10,0),0)</f>
        <v/>
      </c>
    </row>
    <row r="104">
      <c r="A104" s="118">
        <f>IF($B104="","",COUNT($B$5:$B104))</f>
        <v/>
      </c>
      <c r="B104" s="80" t="n"/>
      <c r="C104" s="74" t="n"/>
      <c r="D104" s="33">
        <f>IF($C104="","",IFERROR(INDEX(사업마스터!$B$5:$B$34,MATCH($C104,사업마스터!$A$5:$A$34,0)),"※ 미등록 사업번호"))</f>
        <v/>
      </c>
      <c r="E104" s="74" t="n"/>
      <c r="F104" s="36" t="n"/>
      <c r="G104" s="36" t="n"/>
      <c r="H104" s="74" t="n"/>
      <c r="I104" s="76" t="n"/>
      <c r="J104" s="74" t="n"/>
      <c r="K104" s="74" t="n"/>
      <c r="L104" s="36" t="n"/>
      <c r="N104">
        <f>IFERROR(MATCH($E104,코드설정!$S$5:$S$10,0),0)</f>
        <v/>
      </c>
    </row>
    <row r="105">
      <c r="A105" s="118">
        <f>IF($B105="","",COUNT($B$5:$B105))</f>
        <v/>
      </c>
      <c r="B105" s="80" t="n"/>
      <c r="C105" s="74" t="n"/>
      <c r="D105" s="33">
        <f>IF($C105="","",IFERROR(INDEX(사업마스터!$B$5:$B$34,MATCH($C105,사업마스터!$A$5:$A$34,0)),"※ 미등록 사업번호"))</f>
        <v/>
      </c>
      <c r="E105" s="74" t="n"/>
      <c r="F105" s="36" t="n"/>
      <c r="G105" s="36" t="n"/>
      <c r="H105" s="74" t="n"/>
      <c r="I105" s="76" t="n"/>
      <c r="J105" s="74" t="n"/>
      <c r="K105" s="74" t="n"/>
      <c r="L105" s="36" t="n"/>
      <c r="N105">
        <f>IFERROR(MATCH($E105,코드설정!$S$5:$S$10,0),0)</f>
        <v/>
      </c>
    </row>
    <row r="106">
      <c r="A106" s="118">
        <f>IF($B106="","",COUNT($B$5:$B106))</f>
        <v/>
      </c>
      <c r="B106" s="80" t="n"/>
      <c r="C106" s="74" t="n"/>
      <c r="D106" s="33">
        <f>IF($C106="","",IFERROR(INDEX(사업마스터!$B$5:$B$34,MATCH($C106,사업마스터!$A$5:$A$34,0)),"※ 미등록 사업번호"))</f>
        <v/>
      </c>
      <c r="E106" s="74" t="n"/>
      <c r="F106" s="36" t="n"/>
      <c r="G106" s="36" t="n"/>
      <c r="H106" s="74" t="n"/>
      <c r="I106" s="76" t="n"/>
      <c r="J106" s="74" t="n"/>
      <c r="K106" s="74" t="n"/>
      <c r="L106" s="36" t="n"/>
      <c r="N106">
        <f>IFERROR(MATCH($E106,코드설정!$S$5:$S$10,0),0)</f>
        <v/>
      </c>
    </row>
    <row r="107">
      <c r="A107" s="118">
        <f>IF($B107="","",COUNT($B$5:$B107))</f>
        <v/>
      </c>
      <c r="B107" s="80" t="n"/>
      <c r="C107" s="74" t="n"/>
      <c r="D107" s="33">
        <f>IF($C107="","",IFERROR(INDEX(사업마스터!$B$5:$B$34,MATCH($C107,사업마스터!$A$5:$A$34,0)),"※ 미등록 사업번호"))</f>
        <v/>
      </c>
      <c r="E107" s="74" t="n"/>
      <c r="F107" s="36" t="n"/>
      <c r="G107" s="36" t="n"/>
      <c r="H107" s="74" t="n"/>
      <c r="I107" s="76" t="n"/>
      <c r="J107" s="74" t="n"/>
      <c r="K107" s="74" t="n"/>
      <c r="L107" s="36" t="n"/>
      <c r="N107">
        <f>IFERROR(MATCH($E107,코드설정!$S$5:$S$10,0),0)</f>
        <v/>
      </c>
    </row>
    <row r="108">
      <c r="A108" s="118">
        <f>IF($B108="","",COUNT($B$5:$B108))</f>
        <v/>
      </c>
      <c r="B108" s="80" t="n"/>
      <c r="C108" s="74" t="n"/>
      <c r="D108" s="33">
        <f>IF($C108="","",IFERROR(INDEX(사업마스터!$B$5:$B$34,MATCH($C108,사업마스터!$A$5:$A$34,0)),"※ 미등록 사업번호"))</f>
        <v/>
      </c>
      <c r="E108" s="74" t="n"/>
      <c r="F108" s="36" t="n"/>
      <c r="G108" s="36" t="n"/>
      <c r="H108" s="74" t="n"/>
      <c r="I108" s="76" t="n"/>
      <c r="J108" s="74" t="n"/>
      <c r="K108" s="74" t="n"/>
      <c r="L108" s="36" t="n"/>
      <c r="N108">
        <f>IFERROR(MATCH($E108,코드설정!$S$5:$S$10,0),0)</f>
        <v/>
      </c>
    </row>
    <row r="109">
      <c r="A109" s="118">
        <f>IF($B109="","",COUNT($B$5:$B109))</f>
        <v/>
      </c>
      <c r="B109" s="80" t="n"/>
      <c r="C109" s="74" t="n"/>
      <c r="D109" s="33">
        <f>IF($C109="","",IFERROR(INDEX(사업마스터!$B$5:$B$34,MATCH($C109,사업마스터!$A$5:$A$34,0)),"※ 미등록 사업번호"))</f>
        <v/>
      </c>
      <c r="E109" s="74" t="n"/>
      <c r="F109" s="36" t="n"/>
      <c r="G109" s="36" t="n"/>
      <c r="H109" s="74" t="n"/>
      <c r="I109" s="76" t="n"/>
      <c r="J109" s="74" t="n"/>
      <c r="K109" s="74" t="n"/>
      <c r="L109" s="36" t="n"/>
      <c r="N109">
        <f>IFERROR(MATCH($E109,코드설정!$S$5:$S$10,0),0)</f>
        <v/>
      </c>
    </row>
    <row r="110">
      <c r="A110" s="118">
        <f>IF($B110="","",COUNT($B$5:$B110))</f>
        <v/>
      </c>
      <c r="B110" s="80" t="n"/>
      <c r="C110" s="74" t="n"/>
      <c r="D110" s="33">
        <f>IF($C110="","",IFERROR(INDEX(사업마스터!$B$5:$B$34,MATCH($C110,사업마스터!$A$5:$A$34,0)),"※ 미등록 사업번호"))</f>
        <v/>
      </c>
      <c r="E110" s="74" t="n"/>
      <c r="F110" s="36" t="n"/>
      <c r="G110" s="36" t="n"/>
      <c r="H110" s="74" t="n"/>
      <c r="I110" s="76" t="n"/>
      <c r="J110" s="74" t="n"/>
      <c r="K110" s="74" t="n"/>
      <c r="L110" s="36" t="n"/>
      <c r="N110">
        <f>IFERROR(MATCH($E110,코드설정!$S$5:$S$10,0),0)</f>
        <v/>
      </c>
    </row>
    <row r="111">
      <c r="A111" s="118">
        <f>IF($B111="","",COUNT($B$5:$B111))</f>
        <v/>
      </c>
      <c r="B111" s="80" t="n"/>
      <c r="C111" s="74" t="n"/>
      <c r="D111" s="33">
        <f>IF($C111="","",IFERROR(INDEX(사업마스터!$B$5:$B$34,MATCH($C111,사업마스터!$A$5:$A$34,0)),"※ 미등록 사업번호"))</f>
        <v/>
      </c>
      <c r="E111" s="74" t="n"/>
      <c r="F111" s="36" t="n"/>
      <c r="G111" s="36" t="n"/>
      <c r="H111" s="74" t="n"/>
      <c r="I111" s="76" t="n"/>
      <c r="J111" s="74" t="n"/>
      <c r="K111" s="74" t="n"/>
      <c r="L111" s="36" t="n"/>
      <c r="N111">
        <f>IFERROR(MATCH($E111,코드설정!$S$5:$S$10,0),0)</f>
        <v/>
      </c>
    </row>
    <row r="112">
      <c r="A112" s="118">
        <f>IF($B112="","",COUNT($B$5:$B112))</f>
        <v/>
      </c>
      <c r="B112" s="80" t="n"/>
      <c r="C112" s="74" t="n"/>
      <c r="D112" s="33">
        <f>IF($C112="","",IFERROR(INDEX(사업마스터!$B$5:$B$34,MATCH($C112,사업마스터!$A$5:$A$34,0)),"※ 미등록 사업번호"))</f>
        <v/>
      </c>
      <c r="E112" s="74" t="n"/>
      <c r="F112" s="36" t="n"/>
      <c r="G112" s="36" t="n"/>
      <c r="H112" s="74" t="n"/>
      <c r="I112" s="76" t="n"/>
      <c r="J112" s="74" t="n"/>
      <c r="K112" s="74" t="n"/>
      <c r="L112" s="36" t="n"/>
      <c r="N112">
        <f>IFERROR(MATCH($E112,코드설정!$S$5:$S$10,0),0)</f>
        <v/>
      </c>
    </row>
    <row r="113">
      <c r="A113" s="118">
        <f>IF($B113="","",COUNT($B$5:$B113))</f>
        <v/>
      </c>
      <c r="B113" s="80" t="n"/>
      <c r="C113" s="74" t="n"/>
      <c r="D113" s="33">
        <f>IF($C113="","",IFERROR(INDEX(사업마스터!$B$5:$B$34,MATCH($C113,사업마스터!$A$5:$A$34,0)),"※ 미등록 사업번호"))</f>
        <v/>
      </c>
      <c r="E113" s="74" t="n"/>
      <c r="F113" s="36" t="n"/>
      <c r="G113" s="36" t="n"/>
      <c r="H113" s="74" t="n"/>
      <c r="I113" s="76" t="n"/>
      <c r="J113" s="74" t="n"/>
      <c r="K113" s="74" t="n"/>
      <c r="L113" s="36" t="n"/>
      <c r="N113">
        <f>IFERROR(MATCH($E113,코드설정!$S$5:$S$10,0),0)</f>
        <v/>
      </c>
    </row>
    <row r="114">
      <c r="A114" s="118">
        <f>IF($B114="","",COUNT($B$5:$B114))</f>
        <v/>
      </c>
      <c r="B114" s="80" t="n"/>
      <c r="C114" s="74" t="n"/>
      <c r="D114" s="33">
        <f>IF($C114="","",IFERROR(INDEX(사업마스터!$B$5:$B$34,MATCH($C114,사업마스터!$A$5:$A$34,0)),"※ 미등록 사업번호"))</f>
        <v/>
      </c>
      <c r="E114" s="74" t="n"/>
      <c r="F114" s="36" t="n"/>
      <c r="G114" s="36" t="n"/>
      <c r="H114" s="74" t="n"/>
      <c r="I114" s="76" t="n"/>
      <c r="J114" s="74" t="n"/>
      <c r="K114" s="74" t="n"/>
      <c r="L114" s="36" t="n"/>
      <c r="N114">
        <f>IFERROR(MATCH($E114,코드설정!$S$5:$S$10,0),0)</f>
        <v/>
      </c>
    </row>
    <row r="115">
      <c r="A115" s="118">
        <f>IF($B115="","",COUNT($B$5:$B115))</f>
        <v/>
      </c>
      <c r="B115" s="80" t="n"/>
      <c r="C115" s="74" t="n"/>
      <c r="D115" s="33">
        <f>IF($C115="","",IFERROR(INDEX(사업마스터!$B$5:$B$34,MATCH($C115,사업마스터!$A$5:$A$34,0)),"※ 미등록 사업번호"))</f>
        <v/>
      </c>
      <c r="E115" s="74" t="n"/>
      <c r="F115" s="36" t="n"/>
      <c r="G115" s="36" t="n"/>
      <c r="H115" s="74" t="n"/>
      <c r="I115" s="76" t="n"/>
      <c r="J115" s="74" t="n"/>
      <c r="K115" s="74" t="n"/>
      <c r="L115" s="36" t="n"/>
      <c r="N115">
        <f>IFERROR(MATCH($E115,코드설정!$S$5:$S$10,0),0)</f>
        <v/>
      </c>
    </row>
    <row r="116">
      <c r="A116" s="118">
        <f>IF($B116="","",COUNT($B$5:$B116))</f>
        <v/>
      </c>
      <c r="B116" s="80" t="n"/>
      <c r="C116" s="74" t="n"/>
      <c r="D116" s="33">
        <f>IF($C116="","",IFERROR(INDEX(사업마스터!$B$5:$B$34,MATCH($C116,사업마스터!$A$5:$A$34,0)),"※ 미등록 사업번호"))</f>
        <v/>
      </c>
      <c r="E116" s="74" t="n"/>
      <c r="F116" s="36" t="n"/>
      <c r="G116" s="36" t="n"/>
      <c r="H116" s="74" t="n"/>
      <c r="I116" s="76" t="n"/>
      <c r="J116" s="74" t="n"/>
      <c r="K116" s="74" t="n"/>
      <c r="L116" s="36" t="n"/>
      <c r="N116">
        <f>IFERROR(MATCH($E116,코드설정!$S$5:$S$10,0),0)</f>
        <v/>
      </c>
    </row>
    <row r="117">
      <c r="A117" s="118">
        <f>IF($B117="","",COUNT($B$5:$B117))</f>
        <v/>
      </c>
      <c r="B117" s="80" t="n"/>
      <c r="C117" s="74" t="n"/>
      <c r="D117" s="33">
        <f>IF($C117="","",IFERROR(INDEX(사업마스터!$B$5:$B$34,MATCH($C117,사업마스터!$A$5:$A$34,0)),"※ 미등록 사업번호"))</f>
        <v/>
      </c>
      <c r="E117" s="74" t="n"/>
      <c r="F117" s="36" t="n"/>
      <c r="G117" s="36" t="n"/>
      <c r="H117" s="74" t="n"/>
      <c r="I117" s="76" t="n"/>
      <c r="J117" s="74" t="n"/>
      <c r="K117" s="74" t="n"/>
      <c r="L117" s="36" t="n"/>
      <c r="N117">
        <f>IFERROR(MATCH($E117,코드설정!$S$5:$S$10,0),0)</f>
        <v/>
      </c>
    </row>
    <row r="118">
      <c r="A118" s="118">
        <f>IF($B118="","",COUNT($B$5:$B118))</f>
        <v/>
      </c>
      <c r="B118" s="80" t="n"/>
      <c r="C118" s="74" t="n"/>
      <c r="D118" s="33">
        <f>IF($C118="","",IFERROR(INDEX(사업마스터!$B$5:$B$34,MATCH($C118,사업마스터!$A$5:$A$34,0)),"※ 미등록 사업번호"))</f>
        <v/>
      </c>
      <c r="E118" s="74" t="n"/>
      <c r="F118" s="36" t="n"/>
      <c r="G118" s="36" t="n"/>
      <c r="H118" s="74" t="n"/>
      <c r="I118" s="76" t="n"/>
      <c r="J118" s="74" t="n"/>
      <c r="K118" s="74" t="n"/>
      <c r="L118" s="36" t="n"/>
      <c r="N118">
        <f>IFERROR(MATCH($E118,코드설정!$S$5:$S$10,0),0)</f>
        <v/>
      </c>
    </row>
    <row r="119">
      <c r="A119" s="118">
        <f>IF($B119="","",COUNT($B$5:$B119))</f>
        <v/>
      </c>
      <c r="B119" s="80" t="n"/>
      <c r="C119" s="74" t="n"/>
      <c r="D119" s="33">
        <f>IF($C119="","",IFERROR(INDEX(사업마스터!$B$5:$B$34,MATCH($C119,사업마스터!$A$5:$A$34,0)),"※ 미등록 사업번호"))</f>
        <v/>
      </c>
      <c r="E119" s="74" t="n"/>
      <c r="F119" s="36" t="n"/>
      <c r="G119" s="36" t="n"/>
      <c r="H119" s="74" t="n"/>
      <c r="I119" s="76" t="n"/>
      <c r="J119" s="74" t="n"/>
      <c r="K119" s="74" t="n"/>
      <c r="L119" s="36" t="n"/>
      <c r="N119">
        <f>IFERROR(MATCH($E119,코드설정!$S$5:$S$10,0),0)</f>
        <v/>
      </c>
    </row>
    <row r="120">
      <c r="A120" s="118">
        <f>IF($B120="","",COUNT($B$5:$B120))</f>
        <v/>
      </c>
      <c r="B120" s="80" t="n"/>
      <c r="C120" s="74" t="n"/>
      <c r="D120" s="33">
        <f>IF($C120="","",IFERROR(INDEX(사업마스터!$B$5:$B$34,MATCH($C120,사업마스터!$A$5:$A$34,0)),"※ 미등록 사업번호"))</f>
        <v/>
      </c>
      <c r="E120" s="74" t="n"/>
      <c r="F120" s="36" t="n"/>
      <c r="G120" s="36" t="n"/>
      <c r="H120" s="74" t="n"/>
      <c r="I120" s="76" t="n"/>
      <c r="J120" s="74" t="n"/>
      <c r="K120" s="74" t="n"/>
      <c r="L120" s="36" t="n"/>
      <c r="N120">
        <f>IFERROR(MATCH($E120,코드설정!$S$5:$S$10,0),0)</f>
        <v/>
      </c>
    </row>
    <row r="121">
      <c r="A121" s="118">
        <f>IF($B121="","",COUNT($B$5:$B121))</f>
        <v/>
      </c>
      <c r="B121" s="80" t="n"/>
      <c r="C121" s="74" t="n"/>
      <c r="D121" s="33">
        <f>IF($C121="","",IFERROR(INDEX(사업마스터!$B$5:$B$34,MATCH($C121,사업마스터!$A$5:$A$34,0)),"※ 미등록 사업번호"))</f>
        <v/>
      </c>
      <c r="E121" s="74" t="n"/>
      <c r="F121" s="36" t="n"/>
      <c r="G121" s="36" t="n"/>
      <c r="H121" s="74" t="n"/>
      <c r="I121" s="76" t="n"/>
      <c r="J121" s="74" t="n"/>
      <c r="K121" s="74" t="n"/>
      <c r="L121" s="36" t="n"/>
      <c r="N121">
        <f>IFERROR(MATCH($E121,코드설정!$S$5:$S$10,0),0)</f>
        <v/>
      </c>
    </row>
    <row r="122">
      <c r="A122" s="118">
        <f>IF($B122="","",COUNT($B$5:$B122))</f>
        <v/>
      </c>
      <c r="B122" s="80" t="n"/>
      <c r="C122" s="74" t="n"/>
      <c r="D122" s="33">
        <f>IF($C122="","",IFERROR(INDEX(사업마스터!$B$5:$B$34,MATCH($C122,사업마스터!$A$5:$A$34,0)),"※ 미등록 사업번호"))</f>
        <v/>
      </c>
      <c r="E122" s="74" t="n"/>
      <c r="F122" s="36" t="n"/>
      <c r="G122" s="36" t="n"/>
      <c r="H122" s="74" t="n"/>
      <c r="I122" s="76" t="n"/>
      <c r="J122" s="74" t="n"/>
      <c r="K122" s="74" t="n"/>
      <c r="L122" s="36" t="n"/>
      <c r="N122">
        <f>IFERROR(MATCH($E122,코드설정!$S$5:$S$10,0),0)</f>
        <v/>
      </c>
    </row>
    <row r="123">
      <c r="A123" s="118">
        <f>IF($B123="","",COUNT($B$5:$B123))</f>
        <v/>
      </c>
      <c r="B123" s="80" t="n"/>
      <c r="C123" s="74" t="n"/>
      <c r="D123" s="33">
        <f>IF($C123="","",IFERROR(INDEX(사업마스터!$B$5:$B$34,MATCH($C123,사업마스터!$A$5:$A$34,0)),"※ 미등록 사업번호"))</f>
        <v/>
      </c>
      <c r="E123" s="74" t="n"/>
      <c r="F123" s="36" t="n"/>
      <c r="G123" s="36" t="n"/>
      <c r="H123" s="74" t="n"/>
      <c r="I123" s="76" t="n"/>
      <c r="J123" s="74" t="n"/>
      <c r="K123" s="74" t="n"/>
      <c r="L123" s="36" t="n"/>
      <c r="N123">
        <f>IFERROR(MATCH($E123,코드설정!$S$5:$S$10,0),0)</f>
        <v/>
      </c>
    </row>
    <row r="124">
      <c r="A124" s="118">
        <f>IF($B124="","",COUNT($B$5:$B124))</f>
        <v/>
      </c>
      <c r="B124" s="80" t="n"/>
      <c r="C124" s="74" t="n"/>
      <c r="D124" s="33">
        <f>IF($C124="","",IFERROR(INDEX(사업마스터!$B$5:$B$34,MATCH($C124,사업마스터!$A$5:$A$34,0)),"※ 미등록 사업번호"))</f>
        <v/>
      </c>
      <c r="E124" s="74" t="n"/>
      <c r="F124" s="36" t="n"/>
      <c r="G124" s="36" t="n"/>
      <c r="H124" s="74" t="n"/>
      <c r="I124" s="76" t="n"/>
      <c r="J124" s="74" t="n"/>
      <c r="K124" s="74" t="n"/>
      <c r="L124" s="36" t="n"/>
      <c r="N124">
        <f>IFERROR(MATCH($E124,코드설정!$S$5:$S$10,0),0)</f>
        <v/>
      </c>
    </row>
    <row r="125">
      <c r="A125" s="118">
        <f>IF($B125="","",COUNT($B$5:$B125))</f>
        <v/>
      </c>
      <c r="B125" s="80" t="n"/>
      <c r="C125" s="74" t="n"/>
      <c r="D125" s="33">
        <f>IF($C125="","",IFERROR(INDEX(사업마스터!$B$5:$B$34,MATCH($C125,사업마스터!$A$5:$A$34,0)),"※ 미등록 사업번호"))</f>
        <v/>
      </c>
      <c r="E125" s="74" t="n"/>
      <c r="F125" s="36" t="n"/>
      <c r="G125" s="36" t="n"/>
      <c r="H125" s="74" t="n"/>
      <c r="I125" s="76" t="n"/>
      <c r="J125" s="74" t="n"/>
      <c r="K125" s="74" t="n"/>
      <c r="L125" s="36" t="n"/>
      <c r="N125">
        <f>IFERROR(MATCH($E125,코드설정!$S$5:$S$10,0),0)</f>
        <v/>
      </c>
    </row>
    <row r="126">
      <c r="A126" s="118">
        <f>IF($B126="","",COUNT($B$5:$B126))</f>
        <v/>
      </c>
      <c r="B126" s="80" t="n"/>
      <c r="C126" s="74" t="n"/>
      <c r="D126" s="33">
        <f>IF($C126="","",IFERROR(INDEX(사업마스터!$B$5:$B$34,MATCH($C126,사업마스터!$A$5:$A$34,0)),"※ 미등록 사업번호"))</f>
        <v/>
      </c>
      <c r="E126" s="74" t="n"/>
      <c r="F126" s="36" t="n"/>
      <c r="G126" s="36" t="n"/>
      <c r="H126" s="74" t="n"/>
      <c r="I126" s="76" t="n"/>
      <c r="J126" s="74" t="n"/>
      <c r="K126" s="74" t="n"/>
      <c r="L126" s="36" t="n"/>
      <c r="N126">
        <f>IFERROR(MATCH($E126,코드설정!$S$5:$S$10,0),0)</f>
        <v/>
      </c>
    </row>
    <row r="127">
      <c r="A127" s="118">
        <f>IF($B127="","",COUNT($B$5:$B127))</f>
        <v/>
      </c>
      <c r="B127" s="80" t="n"/>
      <c r="C127" s="74" t="n"/>
      <c r="D127" s="33">
        <f>IF($C127="","",IFERROR(INDEX(사업마스터!$B$5:$B$34,MATCH($C127,사업마스터!$A$5:$A$34,0)),"※ 미등록 사업번호"))</f>
        <v/>
      </c>
      <c r="E127" s="74" t="n"/>
      <c r="F127" s="36" t="n"/>
      <c r="G127" s="36" t="n"/>
      <c r="H127" s="74" t="n"/>
      <c r="I127" s="76" t="n"/>
      <c r="J127" s="74" t="n"/>
      <c r="K127" s="74" t="n"/>
      <c r="L127" s="36" t="n"/>
      <c r="N127">
        <f>IFERROR(MATCH($E127,코드설정!$S$5:$S$10,0),0)</f>
        <v/>
      </c>
    </row>
    <row r="128">
      <c r="A128" s="118">
        <f>IF($B128="","",COUNT($B$5:$B128))</f>
        <v/>
      </c>
      <c r="B128" s="80" t="n"/>
      <c r="C128" s="74" t="n"/>
      <c r="D128" s="33">
        <f>IF($C128="","",IFERROR(INDEX(사업마스터!$B$5:$B$34,MATCH($C128,사업마스터!$A$5:$A$34,0)),"※ 미등록 사업번호"))</f>
        <v/>
      </c>
      <c r="E128" s="74" t="n"/>
      <c r="F128" s="36" t="n"/>
      <c r="G128" s="36" t="n"/>
      <c r="H128" s="74" t="n"/>
      <c r="I128" s="76" t="n"/>
      <c r="J128" s="74" t="n"/>
      <c r="K128" s="74" t="n"/>
      <c r="L128" s="36" t="n"/>
      <c r="N128">
        <f>IFERROR(MATCH($E128,코드설정!$S$5:$S$10,0),0)</f>
        <v/>
      </c>
    </row>
    <row r="129">
      <c r="A129" s="118">
        <f>IF($B129="","",COUNT($B$5:$B129))</f>
        <v/>
      </c>
      <c r="B129" s="80" t="n"/>
      <c r="C129" s="74" t="n"/>
      <c r="D129" s="33">
        <f>IF($C129="","",IFERROR(INDEX(사업마스터!$B$5:$B$34,MATCH($C129,사업마스터!$A$5:$A$34,0)),"※ 미등록 사업번호"))</f>
        <v/>
      </c>
      <c r="E129" s="74" t="n"/>
      <c r="F129" s="36" t="n"/>
      <c r="G129" s="36" t="n"/>
      <c r="H129" s="74" t="n"/>
      <c r="I129" s="76" t="n"/>
      <c r="J129" s="74" t="n"/>
      <c r="K129" s="74" t="n"/>
      <c r="L129" s="36" t="n"/>
      <c r="N129">
        <f>IFERROR(MATCH($E129,코드설정!$S$5:$S$10,0),0)</f>
        <v/>
      </c>
    </row>
    <row r="130">
      <c r="A130" s="118">
        <f>IF($B130="","",COUNT($B$5:$B130))</f>
        <v/>
      </c>
      <c r="B130" s="80" t="n"/>
      <c r="C130" s="74" t="n"/>
      <c r="D130" s="33">
        <f>IF($C130="","",IFERROR(INDEX(사업마스터!$B$5:$B$34,MATCH($C130,사업마스터!$A$5:$A$34,0)),"※ 미등록 사업번호"))</f>
        <v/>
      </c>
      <c r="E130" s="74" t="n"/>
      <c r="F130" s="36" t="n"/>
      <c r="G130" s="36" t="n"/>
      <c r="H130" s="74" t="n"/>
      <c r="I130" s="76" t="n"/>
      <c r="J130" s="74" t="n"/>
      <c r="K130" s="74" t="n"/>
      <c r="L130" s="36" t="n"/>
      <c r="N130">
        <f>IFERROR(MATCH($E130,코드설정!$S$5:$S$10,0),0)</f>
        <v/>
      </c>
    </row>
    <row r="131">
      <c r="A131" s="118">
        <f>IF($B131="","",COUNT($B$5:$B131))</f>
        <v/>
      </c>
      <c r="B131" s="80" t="n"/>
      <c r="C131" s="74" t="n"/>
      <c r="D131" s="33">
        <f>IF($C131="","",IFERROR(INDEX(사업마스터!$B$5:$B$34,MATCH($C131,사업마스터!$A$5:$A$34,0)),"※ 미등록 사업번호"))</f>
        <v/>
      </c>
      <c r="E131" s="74" t="n"/>
      <c r="F131" s="36" t="n"/>
      <c r="G131" s="36" t="n"/>
      <c r="H131" s="74" t="n"/>
      <c r="I131" s="76" t="n"/>
      <c r="J131" s="74" t="n"/>
      <c r="K131" s="74" t="n"/>
      <c r="L131" s="36" t="n"/>
      <c r="N131">
        <f>IFERROR(MATCH($E131,코드설정!$S$5:$S$10,0),0)</f>
        <v/>
      </c>
    </row>
    <row r="132">
      <c r="A132" s="118">
        <f>IF($B132="","",COUNT($B$5:$B132))</f>
        <v/>
      </c>
      <c r="B132" s="80" t="n"/>
      <c r="C132" s="74" t="n"/>
      <c r="D132" s="33">
        <f>IF($C132="","",IFERROR(INDEX(사업마스터!$B$5:$B$34,MATCH($C132,사업마스터!$A$5:$A$34,0)),"※ 미등록 사업번호"))</f>
        <v/>
      </c>
      <c r="E132" s="74" t="n"/>
      <c r="F132" s="36" t="n"/>
      <c r="G132" s="36" t="n"/>
      <c r="H132" s="74" t="n"/>
      <c r="I132" s="76" t="n"/>
      <c r="J132" s="74" t="n"/>
      <c r="K132" s="74" t="n"/>
      <c r="L132" s="36" t="n"/>
      <c r="N132">
        <f>IFERROR(MATCH($E132,코드설정!$S$5:$S$10,0),0)</f>
        <v/>
      </c>
    </row>
    <row r="133">
      <c r="A133" s="118">
        <f>IF($B133="","",COUNT($B$5:$B133))</f>
        <v/>
      </c>
      <c r="B133" s="80" t="n"/>
      <c r="C133" s="74" t="n"/>
      <c r="D133" s="33">
        <f>IF($C133="","",IFERROR(INDEX(사업마스터!$B$5:$B$34,MATCH($C133,사업마스터!$A$5:$A$34,0)),"※ 미등록 사업번호"))</f>
        <v/>
      </c>
      <c r="E133" s="74" t="n"/>
      <c r="F133" s="36" t="n"/>
      <c r="G133" s="36" t="n"/>
      <c r="H133" s="74" t="n"/>
      <c r="I133" s="76" t="n"/>
      <c r="J133" s="74" t="n"/>
      <c r="K133" s="74" t="n"/>
      <c r="L133" s="36" t="n"/>
      <c r="N133">
        <f>IFERROR(MATCH($E133,코드설정!$S$5:$S$10,0),0)</f>
        <v/>
      </c>
    </row>
    <row r="134">
      <c r="A134" s="118">
        <f>IF($B134="","",COUNT($B$5:$B134))</f>
        <v/>
      </c>
      <c r="B134" s="80" t="n"/>
      <c r="C134" s="74" t="n"/>
      <c r="D134" s="33">
        <f>IF($C134="","",IFERROR(INDEX(사업마스터!$B$5:$B$34,MATCH($C134,사업마스터!$A$5:$A$34,0)),"※ 미등록 사업번호"))</f>
        <v/>
      </c>
      <c r="E134" s="74" t="n"/>
      <c r="F134" s="36" t="n"/>
      <c r="G134" s="36" t="n"/>
      <c r="H134" s="74" t="n"/>
      <c r="I134" s="76" t="n"/>
      <c r="J134" s="74" t="n"/>
      <c r="K134" s="74" t="n"/>
      <c r="L134" s="36" t="n"/>
      <c r="N134">
        <f>IFERROR(MATCH($E134,코드설정!$S$5:$S$10,0),0)</f>
        <v/>
      </c>
    </row>
    <row r="135">
      <c r="A135" s="118">
        <f>IF($B135="","",COUNT($B$5:$B135))</f>
        <v/>
      </c>
      <c r="B135" s="80" t="n"/>
      <c r="C135" s="74" t="n"/>
      <c r="D135" s="33">
        <f>IF($C135="","",IFERROR(INDEX(사업마스터!$B$5:$B$34,MATCH($C135,사업마스터!$A$5:$A$34,0)),"※ 미등록 사업번호"))</f>
        <v/>
      </c>
      <c r="E135" s="74" t="n"/>
      <c r="F135" s="36" t="n"/>
      <c r="G135" s="36" t="n"/>
      <c r="H135" s="74" t="n"/>
      <c r="I135" s="76" t="n"/>
      <c r="J135" s="74" t="n"/>
      <c r="K135" s="74" t="n"/>
      <c r="L135" s="36" t="n"/>
      <c r="N135">
        <f>IFERROR(MATCH($E135,코드설정!$S$5:$S$10,0),0)</f>
        <v/>
      </c>
    </row>
    <row r="136">
      <c r="A136" s="118">
        <f>IF($B136="","",COUNT($B$5:$B136))</f>
        <v/>
      </c>
      <c r="B136" s="80" t="n"/>
      <c r="C136" s="74" t="n"/>
      <c r="D136" s="33">
        <f>IF($C136="","",IFERROR(INDEX(사업마스터!$B$5:$B$34,MATCH($C136,사업마스터!$A$5:$A$34,0)),"※ 미등록 사업번호"))</f>
        <v/>
      </c>
      <c r="E136" s="74" t="n"/>
      <c r="F136" s="36" t="n"/>
      <c r="G136" s="36" t="n"/>
      <c r="H136" s="74" t="n"/>
      <c r="I136" s="76" t="n"/>
      <c r="J136" s="74" t="n"/>
      <c r="K136" s="74" t="n"/>
      <c r="L136" s="36" t="n"/>
      <c r="N136">
        <f>IFERROR(MATCH($E136,코드설정!$S$5:$S$10,0),0)</f>
        <v/>
      </c>
    </row>
    <row r="137">
      <c r="A137" s="118">
        <f>IF($B137="","",COUNT($B$5:$B137))</f>
        <v/>
      </c>
      <c r="B137" s="80" t="n"/>
      <c r="C137" s="74" t="n"/>
      <c r="D137" s="33">
        <f>IF($C137="","",IFERROR(INDEX(사업마스터!$B$5:$B$34,MATCH($C137,사업마스터!$A$5:$A$34,0)),"※ 미등록 사업번호"))</f>
        <v/>
      </c>
      <c r="E137" s="74" t="n"/>
      <c r="F137" s="36" t="n"/>
      <c r="G137" s="36" t="n"/>
      <c r="H137" s="74" t="n"/>
      <c r="I137" s="76" t="n"/>
      <c r="J137" s="74" t="n"/>
      <c r="K137" s="74" t="n"/>
      <c r="L137" s="36" t="n"/>
      <c r="N137">
        <f>IFERROR(MATCH($E137,코드설정!$S$5:$S$10,0),0)</f>
        <v/>
      </c>
    </row>
    <row r="138">
      <c r="A138" s="118">
        <f>IF($B138="","",COUNT($B$5:$B138))</f>
        <v/>
      </c>
      <c r="B138" s="80" t="n"/>
      <c r="C138" s="74" t="n"/>
      <c r="D138" s="33">
        <f>IF($C138="","",IFERROR(INDEX(사업마스터!$B$5:$B$34,MATCH($C138,사업마스터!$A$5:$A$34,0)),"※ 미등록 사업번호"))</f>
        <v/>
      </c>
      <c r="E138" s="74" t="n"/>
      <c r="F138" s="36" t="n"/>
      <c r="G138" s="36" t="n"/>
      <c r="H138" s="74" t="n"/>
      <c r="I138" s="76" t="n"/>
      <c r="J138" s="74" t="n"/>
      <c r="K138" s="74" t="n"/>
      <c r="L138" s="36" t="n"/>
      <c r="N138">
        <f>IFERROR(MATCH($E138,코드설정!$S$5:$S$10,0),0)</f>
        <v/>
      </c>
    </row>
    <row r="139">
      <c r="A139" s="118">
        <f>IF($B139="","",COUNT($B$5:$B139))</f>
        <v/>
      </c>
      <c r="B139" s="80" t="n"/>
      <c r="C139" s="74" t="n"/>
      <c r="D139" s="33">
        <f>IF($C139="","",IFERROR(INDEX(사업마스터!$B$5:$B$34,MATCH($C139,사업마스터!$A$5:$A$34,0)),"※ 미등록 사업번호"))</f>
        <v/>
      </c>
      <c r="E139" s="74" t="n"/>
      <c r="F139" s="36" t="n"/>
      <c r="G139" s="36" t="n"/>
      <c r="H139" s="74" t="n"/>
      <c r="I139" s="76" t="n"/>
      <c r="J139" s="74" t="n"/>
      <c r="K139" s="74" t="n"/>
      <c r="L139" s="36" t="n"/>
      <c r="N139">
        <f>IFERROR(MATCH($E139,코드설정!$S$5:$S$10,0),0)</f>
        <v/>
      </c>
    </row>
    <row r="140">
      <c r="A140" s="118">
        <f>IF($B140="","",COUNT($B$5:$B140))</f>
        <v/>
      </c>
      <c r="B140" s="80" t="n"/>
      <c r="C140" s="74" t="n"/>
      <c r="D140" s="33">
        <f>IF($C140="","",IFERROR(INDEX(사업마스터!$B$5:$B$34,MATCH($C140,사업마스터!$A$5:$A$34,0)),"※ 미등록 사업번호"))</f>
        <v/>
      </c>
      <c r="E140" s="74" t="n"/>
      <c r="F140" s="36" t="n"/>
      <c r="G140" s="36" t="n"/>
      <c r="H140" s="74" t="n"/>
      <c r="I140" s="76" t="n"/>
      <c r="J140" s="74" t="n"/>
      <c r="K140" s="74" t="n"/>
      <c r="L140" s="36" t="n"/>
      <c r="N140">
        <f>IFERROR(MATCH($E140,코드설정!$S$5:$S$10,0),0)</f>
        <v/>
      </c>
    </row>
    <row r="141">
      <c r="A141" s="118">
        <f>IF($B141="","",COUNT($B$5:$B141))</f>
        <v/>
      </c>
      <c r="B141" s="80" t="n"/>
      <c r="C141" s="74" t="n"/>
      <c r="D141" s="33">
        <f>IF($C141="","",IFERROR(INDEX(사업마스터!$B$5:$B$34,MATCH($C141,사업마스터!$A$5:$A$34,0)),"※ 미등록 사업번호"))</f>
        <v/>
      </c>
      <c r="E141" s="74" t="n"/>
      <c r="F141" s="36" t="n"/>
      <c r="G141" s="36" t="n"/>
      <c r="H141" s="74" t="n"/>
      <c r="I141" s="76" t="n"/>
      <c r="J141" s="74" t="n"/>
      <c r="K141" s="74" t="n"/>
      <c r="L141" s="36" t="n"/>
      <c r="N141">
        <f>IFERROR(MATCH($E141,코드설정!$S$5:$S$10,0),0)</f>
        <v/>
      </c>
    </row>
    <row r="142">
      <c r="A142" s="118">
        <f>IF($B142="","",COUNT($B$5:$B142))</f>
        <v/>
      </c>
      <c r="B142" s="80" t="n"/>
      <c r="C142" s="74" t="n"/>
      <c r="D142" s="33">
        <f>IF($C142="","",IFERROR(INDEX(사업마스터!$B$5:$B$34,MATCH($C142,사업마스터!$A$5:$A$34,0)),"※ 미등록 사업번호"))</f>
        <v/>
      </c>
      <c r="E142" s="74" t="n"/>
      <c r="F142" s="36" t="n"/>
      <c r="G142" s="36" t="n"/>
      <c r="H142" s="74" t="n"/>
      <c r="I142" s="76" t="n"/>
      <c r="J142" s="74" t="n"/>
      <c r="K142" s="74" t="n"/>
      <c r="L142" s="36" t="n"/>
      <c r="N142">
        <f>IFERROR(MATCH($E142,코드설정!$S$5:$S$10,0),0)</f>
        <v/>
      </c>
    </row>
    <row r="143">
      <c r="A143" s="118">
        <f>IF($B143="","",COUNT($B$5:$B143))</f>
        <v/>
      </c>
      <c r="B143" s="80" t="n"/>
      <c r="C143" s="74" t="n"/>
      <c r="D143" s="33">
        <f>IF($C143="","",IFERROR(INDEX(사업마스터!$B$5:$B$34,MATCH($C143,사업마스터!$A$5:$A$34,0)),"※ 미등록 사업번호"))</f>
        <v/>
      </c>
      <c r="E143" s="74" t="n"/>
      <c r="F143" s="36" t="n"/>
      <c r="G143" s="36" t="n"/>
      <c r="H143" s="74" t="n"/>
      <c r="I143" s="76" t="n"/>
      <c r="J143" s="74" t="n"/>
      <c r="K143" s="74" t="n"/>
      <c r="L143" s="36" t="n"/>
      <c r="N143">
        <f>IFERROR(MATCH($E143,코드설정!$S$5:$S$10,0),0)</f>
        <v/>
      </c>
    </row>
    <row r="144">
      <c r="A144" s="118">
        <f>IF($B144="","",COUNT($B$5:$B144))</f>
        <v/>
      </c>
      <c r="B144" s="80" t="n"/>
      <c r="C144" s="74" t="n"/>
      <c r="D144" s="33">
        <f>IF($C144="","",IFERROR(INDEX(사업마스터!$B$5:$B$34,MATCH($C144,사업마스터!$A$5:$A$34,0)),"※ 미등록 사업번호"))</f>
        <v/>
      </c>
      <c r="E144" s="74" t="n"/>
      <c r="F144" s="36" t="n"/>
      <c r="G144" s="36" t="n"/>
      <c r="H144" s="74" t="n"/>
      <c r="I144" s="76" t="n"/>
      <c r="J144" s="74" t="n"/>
      <c r="K144" s="74" t="n"/>
      <c r="L144" s="36" t="n"/>
      <c r="N144">
        <f>IFERROR(MATCH($E144,코드설정!$S$5:$S$10,0),0)</f>
        <v/>
      </c>
    </row>
    <row r="145">
      <c r="A145" s="118">
        <f>IF($B145="","",COUNT($B$5:$B145))</f>
        <v/>
      </c>
      <c r="B145" s="80" t="n"/>
      <c r="C145" s="74" t="n"/>
      <c r="D145" s="33">
        <f>IF($C145="","",IFERROR(INDEX(사업마스터!$B$5:$B$34,MATCH($C145,사업마스터!$A$5:$A$34,0)),"※ 미등록 사업번호"))</f>
        <v/>
      </c>
      <c r="E145" s="74" t="n"/>
      <c r="F145" s="36" t="n"/>
      <c r="G145" s="36" t="n"/>
      <c r="H145" s="74" t="n"/>
      <c r="I145" s="76" t="n"/>
      <c r="J145" s="74" t="n"/>
      <c r="K145" s="74" t="n"/>
      <c r="L145" s="36" t="n"/>
      <c r="N145">
        <f>IFERROR(MATCH($E145,코드설정!$S$5:$S$10,0),0)</f>
        <v/>
      </c>
    </row>
    <row r="146">
      <c r="A146" s="118">
        <f>IF($B146="","",COUNT($B$5:$B146))</f>
        <v/>
      </c>
      <c r="B146" s="80" t="n"/>
      <c r="C146" s="74" t="n"/>
      <c r="D146" s="33">
        <f>IF($C146="","",IFERROR(INDEX(사업마스터!$B$5:$B$34,MATCH($C146,사업마스터!$A$5:$A$34,0)),"※ 미등록 사업번호"))</f>
        <v/>
      </c>
      <c r="E146" s="74" t="n"/>
      <c r="F146" s="36" t="n"/>
      <c r="G146" s="36" t="n"/>
      <c r="H146" s="74" t="n"/>
      <c r="I146" s="76" t="n"/>
      <c r="J146" s="74" t="n"/>
      <c r="K146" s="74" t="n"/>
      <c r="L146" s="36" t="n"/>
      <c r="N146">
        <f>IFERROR(MATCH($E146,코드설정!$S$5:$S$10,0),0)</f>
        <v/>
      </c>
    </row>
    <row r="147">
      <c r="A147" s="118">
        <f>IF($B147="","",COUNT($B$5:$B147))</f>
        <v/>
      </c>
      <c r="B147" s="80" t="n"/>
      <c r="C147" s="74" t="n"/>
      <c r="D147" s="33">
        <f>IF($C147="","",IFERROR(INDEX(사업마스터!$B$5:$B$34,MATCH($C147,사업마스터!$A$5:$A$34,0)),"※ 미등록 사업번호"))</f>
        <v/>
      </c>
      <c r="E147" s="74" t="n"/>
      <c r="F147" s="36" t="n"/>
      <c r="G147" s="36" t="n"/>
      <c r="H147" s="74" t="n"/>
      <c r="I147" s="76" t="n"/>
      <c r="J147" s="74" t="n"/>
      <c r="K147" s="74" t="n"/>
      <c r="L147" s="36" t="n"/>
      <c r="N147">
        <f>IFERROR(MATCH($E147,코드설정!$S$5:$S$10,0),0)</f>
        <v/>
      </c>
    </row>
    <row r="148">
      <c r="A148" s="118">
        <f>IF($B148="","",COUNT($B$5:$B148))</f>
        <v/>
      </c>
      <c r="B148" s="80" t="n"/>
      <c r="C148" s="74" t="n"/>
      <c r="D148" s="33">
        <f>IF($C148="","",IFERROR(INDEX(사업마스터!$B$5:$B$34,MATCH($C148,사업마스터!$A$5:$A$34,0)),"※ 미등록 사업번호"))</f>
        <v/>
      </c>
      <c r="E148" s="74" t="n"/>
      <c r="F148" s="36" t="n"/>
      <c r="G148" s="36" t="n"/>
      <c r="H148" s="74" t="n"/>
      <c r="I148" s="76" t="n"/>
      <c r="J148" s="74" t="n"/>
      <c r="K148" s="74" t="n"/>
      <c r="L148" s="36" t="n"/>
      <c r="N148">
        <f>IFERROR(MATCH($E148,코드설정!$S$5:$S$10,0),0)</f>
        <v/>
      </c>
    </row>
    <row r="149">
      <c r="A149" s="118">
        <f>IF($B149="","",COUNT($B$5:$B149))</f>
        <v/>
      </c>
      <c r="B149" s="80" t="n"/>
      <c r="C149" s="74" t="n"/>
      <c r="D149" s="33">
        <f>IF($C149="","",IFERROR(INDEX(사업마스터!$B$5:$B$34,MATCH($C149,사업마스터!$A$5:$A$34,0)),"※ 미등록 사업번호"))</f>
        <v/>
      </c>
      <c r="E149" s="74" t="n"/>
      <c r="F149" s="36" t="n"/>
      <c r="G149" s="36" t="n"/>
      <c r="H149" s="74" t="n"/>
      <c r="I149" s="76" t="n"/>
      <c r="J149" s="74" t="n"/>
      <c r="K149" s="74" t="n"/>
      <c r="L149" s="36" t="n"/>
      <c r="N149">
        <f>IFERROR(MATCH($E149,코드설정!$S$5:$S$10,0),0)</f>
        <v/>
      </c>
    </row>
    <row r="150">
      <c r="A150" s="118">
        <f>IF($B150="","",COUNT($B$5:$B150))</f>
        <v/>
      </c>
      <c r="B150" s="80" t="n"/>
      <c r="C150" s="74" t="n"/>
      <c r="D150" s="33">
        <f>IF($C150="","",IFERROR(INDEX(사업마스터!$B$5:$B$34,MATCH($C150,사업마스터!$A$5:$A$34,0)),"※ 미등록 사업번호"))</f>
        <v/>
      </c>
      <c r="E150" s="74" t="n"/>
      <c r="F150" s="36" t="n"/>
      <c r="G150" s="36" t="n"/>
      <c r="H150" s="74" t="n"/>
      <c r="I150" s="76" t="n"/>
      <c r="J150" s="74" t="n"/>
      <c r="K150" s="74" t="n"/>
      <c r="L150" s="36" t="n"/>
      <c r="N150">
        <f>IFERROR(MATCH($E150,코드설정!$S$5:$S$10,0),0)</f>
        <v/>
      </c>
    </row>
    <row r="151">
      <c r="A151" s="118">
        <f>IF($B151="","",COUNT($B$5:$B151))</f>
        <v/>
      </c>
      <c r="B151" s="80" t="n"/>
      <c r="C151" s="74" t="n"/>
      <c r="D151" s="33">
        <f>IF($C151="","",IFERROR(INDEX(사업마스터!$B$5:$B$34,MATCH($C151,사업마스터!$A$5:$A$34,0)),"※ 미등록 사업번호"))</f>
        <v/>
      </c>
      <c r="E151" s="74" t="n"/>
      <c r="F151" s="36" t="n"/>
      <c r="G151" s="36" t="n"/>
      <c r="H151" s="74" t="n"/>
      <c r="I151" s="76" t="n"/>
      <c r="J151" s="74" t="n"/>
      <c r="K151" s="74" t="n"/>
      <c r="L151" s="36" t="n"/>
      <c r="N151">
        <f>IFERROR(MATCH($E151,코드설정!$S$5:$S$10,0),0)</f>
        <v/>
      </c>
    </row>
    <row r="152">
      <c r="A152" s="118">
        <f>IF($B152="","",COUNT($B$5:$B152))</f>
        <v/>
      </c>
      <c r="B152" s="80" t="n"/>
      <c r="C152" s="74" t="n"/>
      <c r="D152" s="33">
        <f>IF($C152="","",IFERROR(INDEX(사업마스터!$B$5:$B$34,MATCH($C152,사업마스터!$A$5:$A$34,0)),"※ 미등록 사업번호"))</f>
        <v/>
      </c>
      <c r="E152" s="74" t="n"/>
      <c r="F152" s="36" t="n"/>
      <c r="G152" s="36" t="n"/>
      <c r="H152" s="74" t="n"/>
      <c r="I152" s="76" t="n"/>
      <c r="J152" s="74" t="n"/>
      <c r="K152" s="74" t="n"/>
      <c r="L152" s="36" t="n"/>
      <c r="N152">
        <f>IFERROR(MATCH($E152,코드설정!$S$5:$S$10,0),0)</f>
        <v/>
      </c>
    </row>
    <row r="153">
      <c r="A153" s="118">
        <f>IF($B153="","",COUNT($B$5:$B153))</f>
        <v/>
      </c>
      <c r="B153" s="80" t="n"/>
      <c r="C153" s="74" t="n"/>
      <c r="D153" s="33">
        <f>IF($C153="","",IFERROR(INDEX(사업마스터!$B$5:$B$34,MATCH($C153,사업마스터!$A$5:$A$34,0)),"※ 미등록 사업번호"))</f>
        <v/>
      </c>
      <c r="E153" s="74" t="n"/>
      <c r="F153" s="36" t="n"/>
      <c r="G153" s="36" t="n"/>
      <c r="H153" s="74" t="n"/>
      <c r="I153" s="76" t="n"/>
      <c r="J153" s="74" t="n"/>
      <c r="K153" s="74" t="n"/>
      <c r="L153" s="36" t="n"/>
      <c r="N153">
        <f>IFERROR(MATCH($E153,코드설정!$S$5:$S$10,0),0)</f>
        <v/>
      </c>
    </row>
    <row r="154">
      <c r="A154" s="118">
        <f>IF($B154="","",COUNT($B$5:$B154))</f>
        <v/>
      </c>
      <c r="B154" s="80" t="n"/>
      <c r="C154" s="74" t="n"/>
      <c r="D154" s="33">
        <f>IF($C154="","",IFERROR(INDEX(사업마스터!$B$5:$B$34,MATCH($C154,사업마스터!$A$5:$A$34,0)),"※ 미등록 사업번호"))</f>
        <v/>
      </c>
      <c r="E154" s="74" t="n"/>
      <c r="F154" s="36" t="n"/>
      <c r="G154" s="36" t="n"/>
      <c r="H154" s="74" t="n"/>
      <c r="I154" s="76" t="n"/>
      <c r="J154" s="74" t="n"/>
      <c r="K154" s="74" t="n"/>
      <c r="L154" s="36" t="n"/>
      <c r="N154">
        <f>IFERROR(MATCH($E154,코드설정!$S$5:$S$10,0),0)</f>
        <v/>
      </c>
    </row>
    <row r="155">
      <c r="A155" s="118">
        <f>IF($B155="","",COUNT($B$5:$B155))</f>
        <v/>
      </c>
      <c r="B155" s="80" t="n"/>
      <c r="C155" s="74" t="n"/>
      <c r="D155" s="33">
        <f>IF($C155="","",IFERROR(INDEX(사업마스터!$B$5:$B$34,MATCH($C155,사업마스터!$A$5:$A$34,0)),"※ 미등록 사업번호"))</f>
        <v/>
      </c>
      <c r="E155" s="74" t="n"/>
      <c r="F155" s="36" t="n"/>
      <c r="G155" s="36" t="n"/>
      <c r="H155" s="74" t="n"/>
      <c r="I155" s="76" t="n"/>
      <c r="J155" s="74" t="n"/>
      <c r="K155" s="74" t="n"/>
      <c r="L155" s="36" t="n"/>
      <c r="N155">
        <f>IFERROR(MATCH($E155,코드설정!$S$5:$S$10,0),0)</f>
        <v/>
      </c>
    </row>
    <row r="156">
      <c r="A156" s="118">
        <f>IF($B156="","",COUNT($B$5:$B156))</f>
        <v/>
      </c>
      <c r="B156" s="80" t="n"/>
      <c r="C156" s="74" t="n"/>
      <c r="D156" s="33">
        <f>IF($C156="","",IFERROR(INDEX(사업마스터!$B$5:$B$34,MATCH($C156,사업마스터!$A$5:$A$34,0)),"※ 미등록 사업번호"))</f>
        <v/>
      </c>
      <c r="E156" s="74" t="n"/>
      <c r="F156" s="36" t="n"/>
      <c r="G156" s="36" t="n"/>
      <c r="H156" s="74" t="n"/>
      <c r="I156" s="76" t="n"/>
      <c r="J156" s="74" t="n"/>
      <c r="K156" s="74" t="n"/>
      <c r="L156" s="36" t="n"/>
      <c r="N156">
        <f>IFERROR(MATCH($E156,코드설정!$S$5:$S$10,0),0)</f>
        <v/>
      </c>
    </row>
    <row r="157">
      <c r="A157" s="118">
        <f>IF($B157="","",COUNT($B$5:$B157))</f>
        <v/>
      </c>
      <c r="B157" s="80" t="n"/>
      <c r="C157" s="74" t="n"/>
      <c r="D157" s="33">
        <f>IF($C157="","",IFERROR(INDEX(사업마스터!$B$5:$B$34,MATCH($C157,사업마스터!$A$5:$A$34,0)),"※ 미등록 사업번호"))</f>
        <v/>
      </c>
      <c r="E157" s="74" t="n"/>
      <c r="F157" s="36" t="n"/>
      <c r="G157" s="36" t="n"/>
      <c r="H157" s="74" t="n"/>
      <c r="I157" s="76" t="n"/>
      <c r="J157" s="74" t="n"/>
      <c r="K157" s="74" t="n"/>
      <c r="L157" s="36" t="n"/>
      <c r="N157">
        <f>IFERROR(MATCH($E157,코드설정!$S$5:$S$10,0),0)</f>
        <v/>
      </c>
    </row>
    <row r="158">
      <c r="A158" s="118">
        <f>IF($B158="","",COUNT($B$5:$B158))</f>
        <v/>
      </c>
      <c r="B158" s="80" t="n"/>
      <c r="C158" s="74" t="n"/>
      <c r="D158" s="33">
        <f>IF($C158="","",IFERROR(INDEX(사업마스터!$B$5:$B$34,MATCH($C158,사업마스터!$A$5:$A$34,0)),"※ 미등록 사업번호"))</f>
        <v/>
      </c>
      <c r="E158" s="74" t="n"/>
      <c r="F158" s="36" t="n"/>
      <c r="G158" s="36" t="n"/>
      <c r="H158" s="74" t="n"/>
      <c r="I158" s="76" t="n"/>
      <c r="J158" s="74" t="n"/>
      <c r="K158" s="74" t="n"/>
      <c r="L158" s="36" t="n"/>
      <c r="N158">
        <f>IFERROR(MATCH($E158,코드설정!$S$5:$S$10,0),0)</f>
        <v/>
      </c>
    </row>
    <row r="159">
      <c r="A159" s="118">
        <f>IF($B159="","",COUNT($B$5:$B159))</f>
        <v/>
      </c>
      <c r="B159" s="80" t="n"/>
      <c r="C159" s="74" t="n"/>
      <c r="D159" s="33">
        <f>IF($C159="","",IFERROR(INDEX(사업마스터!$B$5:$B$34,MATCH($C159,사업마스터!$A$5:$A$34,0)),"※ 미등록 사업번호"))</f>
        <v/>
      </c>
      <c r="E159" s="74" t="n"/>
      <c r="F159" s="36" t="n"/>
      <c r="G159" s="36" t="n"/>
      <c r="H159" s="74" t="n"/>
      <c r="I159" s="76" t="n"/>
      <c r="J159" s="74" t="n"/>
      <c r="K159" s="74" t="n"/>
      <c r="L159" s="36" t="n"/>
      <c r="N159">
        <f>IFERROR(MATCH($E159,코드설정!$S$5:$S$10,0),0)</f>
        <v/>
      </c>
    </row>
    <row r="160">
      <c r="A160" s="118">
        <f>IF($B160="","",COUNT($B$5:$B160))</f>
        <v/>
      </c>
      <c r="B160" s="80" t="n"/>
      <c r="C160" s="74" t="n"/>
      <c r="D160" s="33">
        <f>IF($C160="","",IFERROR(INDEX(사업마스터!$B$5:$B$34,MATCH($C160,사업마스터!$A$5:$A$34,0)),"※ 미등록 사업번호"))</f>
        <v/>
      </c>
      <c r="E160" s="74" t="n"/>
      <c r="F160" s="36" t="n"/>
      <c r="G160" s="36" t="n"/>
      <c r="H160" s="74" t="n"/>
      <c r="I160" s="76" t="n"/>
      <c r="J160" s="74" t="n"/>
      <c r="K160" s="74" t="n"/>
      <c r="L160" s="36" t="n"/>
      <c r="N160">
        <f>IFERROR(MATCH($E160,코드설정!$S$5:$S$10,0),0)</f>
        <v/>
      </c>
    </row>
    <row r="161">
      <c r="A161" s="118">
        <f>IF($B161="","",COUNT($B$5:$B161))</f>
        <v/>
      </c>
      <c r="B161" s="80" t="n"/>
      <c r="C161" s="74" t="n"/>
      <c r="D161" s="33">
        <f>IF($C161="","",IFERROR(INDEX(사업마스터!$B$5:$B$34,MATCH($C161,사업마스터!$A$5:$A$34,0)),"※ 미등록 사업번호"))</f>
        <v/>
      </c>
      <c r="E161" s="74" t="n"/>
      <c r="F161" s="36" t="n"/>
      <c r="G161" s="36" t="n"/>
      <c r="H161" s="74" t="n"/>
      <c r="I161" s="76" t="n"/>
      <c r="J161" s="74" t="n"/>
      <c r="K161" s="74" t="n"/>
      <c r="L161" s="36" t="n"/>
      <c r="N161">
        <f>IFERROR(MATCH($E161,코드설정!$S$5:$S$10,0),0)</f>
        <v/>
      </c>
    </row>
    <row r="162">
      <c r="A162" s="118">
        <f>IF($B162="","",COUNT($B$5:$B162))</f>
        <v/>
      </c>
      <c r="B162" s="80" t="n"/>
      <c r="C162" s="74" t="n"/>
      <c r="D162" s="33">
        <f>IF($C162="","",IFERROR(INDEX(사업마스터!$B$5:$B$34,MATCH($C162,사업마스터!$A$5:$A$34,0)),"※ 미등록 사업번호"))</f>
        <v/>
      </c>
      <c r="E162" s="74" t="n"/>
      <c r="F162" s="36" t="n"/>
      <c r="G162" s="36" t="n"/>
      <c r="H162" s="74" t="n"/>
      <c r="I162" s="76" t="n"/>
      <c r="J162" s="74" t="n"/>
      <c r="K162" s="74" t="n"/>
      <c r="L162" s="36" t="n"/>
      <c r="N162">
        <f>IFERROR(MATCH($E162,코드설정!$S$5:$S$10,0),0)</f>
        <v/>
      </c>
    </row>
    <row r="163">
      <c r="A163" s="118">
        <f>IF($B163="","",COUNT($B$5:$B163))</f>
        <v/>
      </c>
      <c r="B163" s="80" t="n"/>
      <c r="C163" s="74" t="n"/>
      <c r="D163" s="33">
        <f>IF($C163="","",IFERROR(INDEX(사업마스터!$B$5:$B$34,MATCH($C163,사업마스터!$A$5:$A$34,0)),"※ 미등록 사업번호"))</f>
        <v/>
      </c>
      <c r="E163" s="74" t="n"/>
      <c r="F163" s="36" t="n"/>
      <c r="G163" s="36" t="n"/>
      <c r="H163" s="74" t="n"/>
      <c r="I163" s="76" t="n"/>
      <c r="J163" s="74" t="n"/>
      <c r="K163" s="74" t="n"/>
      <c r="L163" s="36" t="n"/>
      <c r="N163">
        <f>IFERROR(MATCH($E163,코드설정!$S$5:$S$10,0),0)</f>
        <v/>
      </c>
    </row>
    <row r="164">
      <c r="A164" s="118">
        <f>IF($B164="","",COUNT($B$5:$B164))</f>
        <v/>
      </c>
      <c r="B164" s="80" t="n"/>
      <c r="C164" s="74" t="n"/>
      <c r="D164" s="33">
        <f>IF($C164="","",IFERROR(INDEX(사업마스터!$B$5:$B$34,MATCH($C164,사업마스터!$A$5:$A$34,0)),"※ 미등록 사업번호"))</f>
        <v/>
      </c>
      <c r="E164" s="74" t="n"/>
      <c r="F164" s="36" t="n"/>
      <c r="G164" s="36" t="n"/>
      <c r="H164" s="74" t="n"/>
      <c r="I164" s="76" t="n"/>
      <c r="J164" s="74" t="n"/>
      <c r="K164" s="74" t="n"/>
      <c r="L164" s="36" t="n"/>
      <c r="N164">
        <f>IFERROR(MATCH($E164,코드설정!$S$5:$S$10,0),0)</f>
        <v/>
      </c>
    </row>
    <row r="165">
      <c r="A165" s="118">
        <f>IF($B165="","",COUNT($B$5:$B165))</f>
        <v/>
      </c>
      <c r="B165" s="80" t="n"/>
      <c r="C165" s="74" t="n"/>
      <c r="D165" s="33">
        <f>IF($C165="","",IFERROR(INDEX(사업마스터!$B$5:$B$34,MATCH($C165,사업마스터!$A$5:$A$34,0)),"※ 미등록 사업번호"))</f>
        <v/>
      </c>
      <c r="E165" s="74" t="n"/>
      <c r="F165" s="36" t="n"/>
      <c r="G165" s="36" t="n"/>
      <c r="H165" s="74" t="n"/>
      <c r="I165" s="76" t="n"/>
      <c r="J165" s="74" t="n"/>
      <c r="K165" s="74" t="n"/>
      <c r="L165" s="36" t="n"/>
      <c r="N165">
        <f>IFERROR(MATCH($E165,코드설정!$S$5:$S$10,0),0)</f>
        <v/>
      </c>
    </row>
    <row r="166">
      <c r="A166" s="118">
        <f>IF($B166="","",COUNT($B$5:$B166))</f>
        <v/>
      </c>
      <c r="B166" s="80" t="n"/>
      <c r="C166" s="74" t="n"/>
      <c r="D166" s="33">
        <f>IF($C166="","",IFERROR(INDEX(사업마스터!$B$5:$B$34,MATCH($C166,사업마스터!$A$5:$A$34,0)),"※ 미등록 사업번호"))</f>
        <v/>
      </c>
      <c r="E166" s="74" t="n"/>
      <c r="F166" s="36" t="n"/>
      <c r="G166" s="36" t="n"/>
      <c r="H166" s="74" t="n"/>
      <c r="I166" s="76" t="n"/>
      <c r="J166" s="74" t="n"/>
      <c r="K166" s="74" t="n"/>
      <c r="L166" s="36" t="n"/>
      <c r="N166">
        <f>IFERROR(MATCH($E166,코드설정!$S$5:$S$10,0),0)</f>
        <v/>
      </c>
    </row>
    <row r="167">
      <c r="A167" s="118">
        <f>IF($B167="","",COUNT($B$5:$B167))</f>
        <v/>
      </c>
      <c r="B167" s="80" t="n"/>
      <c r="C167" s="74" t="n"/>
      <c r="D167" s="33">
        <f>IF($C167="","",IFERROR(INDEX(사업마스터!$B$5:$B$34,MATCH($C167,사업마스터!$A$5:$A$34,0)),"※ 미등록 사업번호"))</f>
        <v/>
      </c>
      <c r="E167" s="74" t="n"/>
      <c r="F167" s="36" t="n"/>
      <c r="G167" s="36" t="n"/>
      <c r="H167" s="74" t="n"/>
      <c r="I167" s="76" t="n"/>
      <c r="J167" s="74" t="n"/>
      <c r="K167" s="74" t="n"/>
      <c r="L167" s="36" t="n"/>
      <c r="N167">
        <f>IFERROR(MATCH($E167,코드설정!$S$5:$S$10,0),0)</f>
        <v/>
      </c>
    </row>
    <row r="168">
      <c r="A168" s="118">
        <f>IF($B168="","",COUNT($B$5:$B168))</f>
        <v/>
      </c>
      <c r="B168" s="80" t="n"/>
      <c r="C168" s="74" t="n"/>
      <c r="D168" s="33">
        <f>IF($C168="","",IFERROR(INDEX(사업마스터!$B$5:$B$34,MATCH($C168,사업마스터!$A$5:$A$34,0)),"※ 미등록 사업번호"))</f>
        <v/>
      </c>
      <c r="E168" s="74" t="n"/>
      <c r="F168" s="36" t="n"/>
      <c r="G168" s="36" t="n"/>
      <c r="H168" s="74" t="n"/>
      <c r="I168" s="76" t="n"/>
      <c r="J168" s="74" t="n"/>
      <c r="K168" s="74" t="n"/>
      <c r="L168" s="36" t="n"/>
      <c r="N168">
        <f>IFERROR(MATCH($E168,코드설정!$S$5:$S$10,0),0)</f>
        <v/>
      </c>
    </row>
    <row r="169">
      <c r="A169" s="118">
        <f>IF($B169="","",COUNT($B$5:$B169))</f>
        <v/>
      </c>
      <c r="B169" s="80" t="n"/>
      <c r="C169" s="74" t="n"/>
      <c r="D169" s="33">
        <f>IF($C169="","",IFERROR(INDEX(사업마스터!$B$5:$B$34,MATCH($C169,사업마스터!$A$5:$A$34,0)),"※ 미등록 사업번호"))</f>
        <v/>
      </c>
      <c r="E169" s="74" t="n"/>
      <c r="F169" s="36" t="n"/>
      <c r="G169" s="36" t="n"/>
      <c r="H169" s="74" t="n"/>
      <c r="I169" s="76" t="n"/>
      <c r="J169" s="74" t="n"/>
      <c r="K169" s="74" t="n"/>
      <c r="L169" s="36" t="n"/>
      <c r="N169">
        <f>IFERROR(MATCH($E169,코드설정!$S$5:$S$10,0),0)</f>
        <v/>
      </c>
    </row>
    <row r="170">
      <c r="A170" s="118">
        <f>IF($B170="","",COUNT($B$5:$B170))</f>
        <v/>
      </c>
      <c r="B170" s="80" t="n"/>
      <c r="C170" s="74" t="n"/>
      <c r="D170" s="33">
        <f>IF($C170="","",IFERROR(INDEX(사업마스터!$B$5:$B$34,MATCH($C170,사업마스터!$A$5:$A$34,0)),"※ 미등록 사업번호"))</f>
        <v/>
      </c>
      <c r="E170" s="74" t="n"/>
      <c r="F170" s="36" t="n"/>
      <c r="G170" s="36" t="n"/>
      <c r="H170" s="74" t="n"/>
      <c r="I170" s="76" t="n"/>
      <c r="J170" s="74" t="n"/>
      <c r="K170" s="74" t="n"/>
      <c r="L170" s="36" t="n"/>
      <c r="N170">
        <f>IFERROR(MATCH($E170,코드설정!$S$5:$S$10,0),0)</f>
        <v/>
      </c>
    </row>
    <row r="171">
      <c r="A171" s="118">
        <f>IF($B171="","",COUNT($B$5:$B171))</f>
        <v/>
      </c>
      <c r="B171" s="80" t="n"/>
      <c r="C171" s="74" t="n"/>
      <c r="D171" s="33">
        <f>IF($C171="","",IFERROR(INDEX(사업마스터!$B$5:$B$34,MATCH($C171,사업마스터!$A$5:$A$34,0)),"※ 미등록 사업번호"))</f>
        <v/>
      </c>
      <c r="E171" s="74" t="n"/>
      <c r="F171" s="36" t="n"/>
      <c r="G171" s="36" t="n"/>
      <c r="H171" s="74" t="n"/>
      <c r="I171" s="76" t="n"/>
      <c r="J171" s="74" t="n"/>
      <c r="K171" s="74" t="n"/>
      <c r="L171" s="36" t="n"/>
      <c r="N171">
        <f>IFERROR(MATCH($E171,코드설정!$S$5:$S$10,0),0)</f>
        <v/>
      </c>
    </row>
    <row r="172">
      <c r="A172" s="118">
        <f>IF($B172="","",COUNT($B$5:$B172))</f>
        <v/>
      </c>
      <c r="B172" s="80" t="n"/>
      <c r="C172" s="74" t="n"/>
      <c r="D172" s="33">
        <f>IF($C172="","",IFERROR(INDEX(사업마스터!$B$5:$B$34,MATCH($C172,사업마스터!$A$5:$A$34,0)),"※ 미등록 사업번호"))</f>
        <v/>
      </c>
      <c r="E172" s="74" t="n"/>
      <c r="F172" s="36" t="n"/>
      <c r="G172" s="36" t="n"/>
      <c r="H172" s="74" t="n"/>
      <c r="I172" s="76" t="n"/>
      <c r="J172" s="74" t="n"/>
      <c r="K172" s="74" t="n"/>
      <c r="L172" s="36" t="n"/>
      <c r="N172">
        <f>IFERROR(MATCH($E172,코드설정!$S$5:$S$10,0),0)</f>
        <v/>
      </c>
    </row>
    <row r="173">
      <c r="A173" s="118">
        <f>IF($B173="","",COUNT($B$5:$B173))</f>
        <v/>
      </c>
      <c r="B173" s="80" t="n"/>
      <c r="C173" s="74" t="n"/>
      <c r="D173" s="33">
        <f>IF($C173="","",IFERROR(INDEX(사업마스터!$B$5:$B$34,MATCH($C173,사업마스터!$A$5:$A$34,0)),"※ 미등록 사업번호"))</f>
        <v/>
      </c>
      <c r="E173" s="74" t="n"/>
      <c r="F173" s="36" t="n"/>
      <c r="G173" s="36" t="n"/>
      <c r="H173" s="74" t="n"/>
      <c r="I173" s="76" t="n"/>
      <c r="J173" s="74" t="n"/>
      <c r="K173" s="74" t="n"/>
      <c r="L173" s="36" t="n"/>
      <c r="N173">
        <f>IFERROR(MATCH($E173,코드설정!$S$5:$S$10,0),0)</f>
        <v/>
      </c>
    </row>
    <row r="174">
      <c r="A174" s="118">
        <f>IF($B174="","",COUNT($B$5:$B174))</f>
        <v/>
      </c>
      <c r="B174" s="80" t="n"/>
      <c r="C174" s="74" t="n"/>
      <c r="D174" s="33">
        <f>IF($C174="","",IFERROR(INDEX(사업마스터!$B$5:$B$34,MATCH($C174,사업마스터!$A$5:$A$34,0)),"※ 미등록 사업번호"))</f>
        <v/>
      </c>
      <c r="E174" s="74" t="n"/>
      <c r="F174" s="36" t="n"/>
      <c r="G174" s="36" t="n"/>
      <c r="H174" s="74" t="n"/>
      <c r="I174" s="76" t="n"/>
      <c r="J174" s="74" t="n"/>
      <c r="K174" s="74" t="n"/>
      <c r="L174" s="36" t="n"/>
      <c r="N174">
        <f>IFERROR(MATCH($E174,코드설정!$S$5:$S$10,0),0)</f>
        <v/>
      </c>
    </row>
    <row r="175">
      <c r="A175" s="118">
        <f>IF($B175="","",COUNT($B$5:$B175))</f>
        <v/>
      </c>
      <c r="B175" s="80" t="n"/>
      <c r="C175" s="74" t="n"/>
      <c r="D175" s="33">
        <f>IF($C175="","",IFERROR(INDEX(사업마스터!$B$5:$B$34,MATCH($C175,사업마스터!$A$5:$A$34,0)),"※ 미등록 사업번호"))</f>
        <v/>
      </c>
      <c r="E175" s="74" t="n"/>
      <c r="F175" s="36" t="n"/>
      <c r="G175" s="36" t="n"/>
      <c r="H175" s="74" t="n"/>
      <c r="I175" s="76" t="n"/>
      <c r="J175" s="74" t="n"/>
      <c r="K175" s="74" t="n"/>
      <c r="L175" s="36" t="n"/>
      <c r="N175">
        <f>IFERROR(MATCH($E175,코드설정!$S$5:$S$10,0),0)</f>
        <v/>
      </c>
    </row>
    <row r="176">
      <c r="A176" s="118">
        <f>IF($B176="","",COUNT($B$5:$B176))</f>
        <v/>
      </c>
      <c r="B176" s="80" t="n"/>
      <c r="C176" s="74" t="n"/>
      <c r="D176" s="33">
        <f>IF($C176="","",IFERROR(INDEX(사업마스터!$B$5:$B$34,MATCH($C176,사업마스터!$A$5:$A$34,0)),"※ 미등록 사업번호"))</f>
        <v/>
      </c>
      <c r="E176" s="74" t="n"/>
      <c r="F176" s="36" t="n"/>
      <c r="G176" s="36" t="n"/>
      <c r="H176" s="74" t="n"/>
      <c r="I176" s="76" t="n"/>
      <c r="J176" s="74" t="n"/>
      <c r="K176" s="74" t="n"/>
      <c r="L176" s="36" t="n"/>
      <c r="N176">
        <f>IFERROR(MATCH($E176,코드설정!$S$5:$S$10,0),0)</f>
        <v/>
      </c>
    </row>
    <row r="177">
      <c r="A177" s="118">
        <f>IF($B177="","",COUNT($B$5:$B177))</f>
        <v/>
      </c>
      <c r="B177" s="80" t="n"/>
      <c r="C177" s="74" t="n"/>
      <c r="D177" s="33">
        <f>IF($C177="","",IFERROR(INDEX(사업마스터!$B$5:$B$34,MATCH($C177,사업마스터!$A$5:$A$34,0)),"※ 미등록 사업번호"))</f>
        <v/>
      </c>
      <c r="E177" s="74" t="n"/>
      <c r="F177" s="36" t="n"/>
      <c r="G177" s="36" t="n"/>
      <c r="H177" s="74" t="n"/>
      <c r="I177" s="76" t="n"/>
      <c r="J177" s="74" t="n"/>
      <c r="K177" s="74" t="n"/>
      <c r="L177" s="36" t="n"/>
      <c r="N177">
        <f>IFERROR(MATCH($E177,코드설정!$S$5:$S$10,0),0)</f>
        <v/>
      </c>
    </row>
    <row r="178">
      <c r="A178" s="118">
        <f>IF($B178="","",COUNT($B$5:$B178))</f>
        <v/>
      </c>
      <c r="B178" s="80" t="n"/>
      <c r="C178" s="74" t="n"/>
      <c r="D178" s="33">
        <f>IF($C178="","",IFERROR(INDEX(사업마스터!$B$5:$B$34,MATCH($C178,사업마스터!$A$5:$A$34,0)),"※ 미등록 사업번호"))</f>
        <v/>
      </c>
      <c r="E178" s="74" t="n"/>
      <c r="F178" s="36" t="n"/>
      <c r="G178" s="36" t="n"/>
      <c r="H178" s="74" t="n"/>
      <c r="I178" s="76" t="n"/>
      <c r="J178" s="74" t="n"/>
      <c r="K178" s="74" t="n"/>
      <c r="L178" s="36" t="n"/>
      <c r="N178">
        <f>IFERROR(MATCH($E178,코드설정!$S$5:$S$10,0),0)</f>
        <v/>
      </c>
    </row>
    <row r="179">
      <c r="A179" s="118">
        <f>IF($B179="","",COUNT($B$5:$B179))</f>
        <v/>
      </c>
      <c r="B179" s="80" t="n"/>
      <c r="C179" s="74" t="n"/>
      <c r="D179" s="33">
        <f>IF($C179="","",IFERROR(INDEX(사업마스터!$B$5:$B$34,MATCH($C179,사업마스터!$A$5:$A$34,0)),"※ 미등록 사업번호"))</f>
        <v/>
      </c>
      <c r="E179" s="74" t="n"/>
      <c r="F179" s="36" t="n"/>
      <c r="G179" s="36" t="n"/>
      <c r="H179" s="74" t="n"/>
      <c r="I179" s="76" t="n"/>
      <c r="J179" s="74" t="n"/>
      <c r="K179" s="74" t="n"/>
      <c r="L179" s="36" t="n"/>
      <c r="N179">
        <f>IFERROR(MATCH($E179,코드설정!$S$5:$S$10,0),0)</f>
        <v/>
      </c>
    </row>
    <row r="180">
      <c r="A180" s="118">
        <f>IF($B180="","",COUNT($B$5:$B180))</f>
        <v/>
      </c>
      <c r="B180" s="80" t="n"/>
      <c r="C180" s="74" t="n"/>
      <c r="D180" s="33">
        <f>IF($C180="","",IFERROR(INDEX(사업마스터!$B$5:$B$34,MATCH($C180,사업마스터!$A$5:$A$34,0)),"※ 미등록 사업번호"))</f>
        <v/>
      </c>
      <c r="E180" s="74" t="n"/>
      <c r="F180" s="36" t="n"/>
      <c r="G180" s="36" t="n"/>
      <c r="H180" s="74" t="n"/>
      <c r="I180" s="76" t="n"/>
      <c r="J180" s="74" t="n"/>
      <c r="K180" s="74" t="n"/>
      <c r="L180" s="36" t="n"/>
      <c r="N180">
        <f>IFERROR(MATCH($E180,코드설정!$S$5:$S$10,0),0)</f>
        <v/>
      </c>
    </row>
    <row r="181">
      <c r="A181" s="118">
        <f>IF($B181="","",COUNT($B$5:$B181))</f>
        <v/>
      </c>
      <c r="B181" s="80" t="n"/>
      <c r="C181" s="74" t="n"/>
      <c r="D181" s="33">
        <f>IF($C181="","",IFERROR(INDEX(사업마스터!$B$5:$B$34,MATCH($C181,사업마스터!$A$5:$A$34,0)),"※ 미등록 사업번호"))</f>
        <v/>
      </c>
      <c r="E181" s="74" t="n"/>
      <c r="F181" s="36" t="n"/>
      <c r="G181" s="36" t="n"/>
      <c r="H181" s="74" t="n"/>
      <c r="I181" s="76" t="n"/>
      <c r="J181" s="74" t="n"/>
      <c r="K181" s="74" t="n"/>
      <c r="L181" s="36" t="n"/>
      <c r="N181">
        <f>IFERROR(MATCH($E181,코드설정!$S$5:$S$10,0),0)</f>
        <v/>
      </c>
    </row>
    <row r="182">
      <c r="A182" s="118">
        <f>IF($B182="","",COUNT($B$5:$B182))</f>
        <v/>
      </c>
      <c r="B182" s="80" t="n"/>
      <c r="C182" s="74" t="n"/>
      <c r="D182" s="33">
        <f>IF($C182="","",IFERROR(INDEX(사업마스터!$B$5:$B$34,MATCH($C182,사업마스터!$A$5:$A$34,0)),"※ 미등록 사업번호"))</f>
        <v/>
      </c>
      <c r="E182" s="74" t="n"/>
      <c r="F182" s="36" t="n"/>
      <c r="G182" s="36" t="n"/>
      <c r="H182" s="74" t="n"/>
      <c r="I182" s="76" t="n"/>
      <c r="J182" s="74" t="n"/>
      <c r="K182" s="74" t="n"/>
      <c r="L182" s="36" t="n"/>
      <c r="N182">
        <f>IFERROR(MATCH($E182,코드설정!$S$5:$S$10,0),0)</f>
        <v/>
      </c>
    </row>
    <row r="183">
      <c r="A183" s="118">
        <f>IF($B183="","",COUNT($B$5:$B183))</f>
        <v/>
      </c>
      <c r="B183" s="80" t="n"/>
      <c r="C183" s="74" t="n"/>
      <c r="D183" s="33">
        <f>IF($C183="","",IFERROR(INDEX(사업마스터!$B$5:$B$34,MATCH($C183,사업마스터!$A$5:$A$34,0)),"※ 미등록 사업번호"))</f>
        <v/>
      </c>
      <c r="E183" s="74" t="n"/>
      <c r="F183" s="36" t="n"/>
      <c r="G183" s="36" t="n"/>
      <c r="H183" s="74" t="n"/>
      <c r="I183" s="76" t="n"/>
      <c r="J183" s="74" t="n"/>
      <c r="K183" s="74" t="n"/>
      <c r="L183" s="36" t="n"/>
      <c r="N183">
        <f>IFERROR(MATCH($E183,코드설정!$S$5:$S$10,0),0)</f>
        <v/>
      </c>
    </row>
    <row r="184">
      <c r="A184" s="118">
        <f>IF($B184="","",COUNT($B$5:$B184))</f>
        <v/>
      </c>
      <c r="B184" s="80" t="n"/>
      <c r="C184" s="74" t="n"/>
      <c r="D184" s="33">
        <f>IF($C184="","",IFERROR(INDEX(사업마스터!$B$5:$B$34,MATCH($C184,사업마스터!$A$5:$A$34,0)),"※ 미등록 사업번호"))</f>
        <v/>
      </c>
      <c r="E184" s="74" t="n"/>
      <c r="F184" s="36" t="n"/>
      <c r="G184" s="36" t="n"/>
      <c r="H184" s="74" t="n"/>
      <c r="I184" s="76" t="n"/>
      <c r="J184" s="74" t="n"/>
      <c r="K184" s="74" t="n"/>
      <c r="L184" s="36" t="n"/>
      <c r="N184">
        <f>IFERROR(MATCH($E184,코드설정!$S$5:$S$10,0),0)</f>
        <v/>
      </c>
    </row>
    <row r="185">
      <c r="A185" s="118">
        <f>IF($B185="","",COUNT($B$5:$B185))</f>
        <v/>
      </c>
      <c r="B185" s="80" t="n"/>
      <c r="C185" s="74" t="n"/>
      <c r="D185" s="33">
        <f>IF($C185="","",IFERROR(INDEX(사업마스터!$B$5:$B$34,MATCH($C185,사업마스터!$A$5:$A$34,0)),"※ 미등록 사업번호"))</f>
        <v/>
      </c>
      <c r="E185" s="74" t="n"/>
      <c r="F185" s="36" t="n"/>
      <c r="G185" s="36" t="n"/>
      <c r="H185" s="74" t="n"/>
      <c r="I185" s="76" t="n"/>
      <c r="J185" s="74" t="n"/>
      <c r="K185" s="74" t="n"/>
      <c r="L185" s="36" t="n"/>
      <c r="N185">
        <f>IFERROR(MATCH($E185,코드설정!$S$5:$S$10,0),0)</f>
        <v/>
      </c>
    </row>
    <row r="186">
      <c r="A186" s="118">
        <f>IF($B186="","",COUNT($B$5:$B186))</f>
        <v/>
      </c>
      <c r="B186" s="80" t="n"/>
      <c r="C186" s="74" t="n"/>
      <c r="D186" s="33">
        <f>IF($C186="","",IFERROR(INDEX(사업마스터!$B$5:$B$34,MATCH($C186,사업마스터!$A$5:$A$34,0)),"※ 미등록 사업번호"))</f>
        <v/>
      </c>
      <c r="E186" s="74" t="n"/>
      <c r="F186" s="36" t="n"/>
      <c r="G186" s="36" t="n"/>
      <c r="H186" s="74" t="n"/>
      <c r="I186" s="76" t="n"/>
      <c r="J186" s="74" t="n"/>
      <c r="K186" s="74" t="n"/>
      <c r="L186" s="36" t="n"/>
      <c r="N186">
        <f>IFERROR(MATCH($E186,코드설정!$S$5:$S$10,0),0)</f>
        <v/>
      </c>
    </row>
    <row r="187">
      <c r="A187" s="118">
        <f>IF($B187="","",COUNT($B$5:$B187))</f>
        <v/>
      </c>
      <c r="B187" s="80" t="n"/>
      <c r="C187" s="74" t="n"/>
      <c r="D187" s="33">
        <f>IF($C187="","",IFERROR(INDEX(사업마스터!$B$5:$B$34,MATCH($C187,사업마스터!$A$5:$A$34,0)),"※ 미등록 사업번호"))</f>
        <v/>
      </c>
      <c r="E187" s="74" t="n"/>
      <c r="F187" s="36" t="n"/>
      <c r="G187" s="36" t="n"/>
      <c r="H187" s="74" t="n"/>
      <c r="I187" s="76" t="n"/>
      <c r="J187" s="74" t="n"/>
      <c r="K187" s="74" t="n"/>
      <c r="L187" s="36" t="n"/>
      <c r="N187">
        <f>IFERROR(MATCH($E187,코드설정!$S$5:$S$10,0),0)</f>
        <v/>
      </c>
    </row>
    <row r="188">
      <c r="A188" s="118">
        <f>IF($B188="","",COUNT($B$5:$B188))</f>
        <v/>
      </c>
      <c r="B188" s="80" t="n"/>
      <c r="C188" s="74" t="n"/>
      <c r="D188" s="33">
        <f>IF($C188="","",IFERROR(INDEX(사업마스터!$B$5:$B$34,MATCH($C188,사업마스터!$A$5:$A$34,0)),"※ 미등록 사업번호"))</f>
        <v/>
      </c>
      <c r="E188" s="74" t="n"/>
      <c r="F188" s="36" t="n"/>
      <c r="G188" s="36" t="n"/>
      <c r="H188" s="74" t="n"/>
      <c r="I188" s="76" t="n"/>
      <c r="J188" s="74" t="n"/>
      <c r="K188" s="74" t="n"/>
      <c r="L188" s="36" t="n"/>
      <c r="N188">
        <f>IFERROR(MATCH($E188,코드설정!$S$5:$S$10,0),0)</f>
        <v/>
      </c>
    </row>
    <row r="189">
      <c r="A189" s="118">
        <f>IF($B189="","",COUNT($B$5:$B189))</f>
        <v/>
      </c>
      <c r="B189" s="80" t="n"/>
      <c r="C189" s="74" t="n"/>
      <c r="D189" s="33">
        <f>IF($C189="","",IFERROR(INDEX(사업마스터!$B$5:$B$34,MATCH($C189,사업마스터!$A$5:$A$34,0)),"※ 미등록 사업번호"))</f>
        <v/>
      </c>
      <c r="E189" s="74" t="n"/>
      <c r="F189" s="36" t="n"/>
      <c r="G189" s="36" t="n"/>
      <c r="H189" s="74" t="n"/>
      <c r="I189" s="76" t="n"/>
      <c r="J189" s="74" t="n"/>
      <c r="K189" s="74" t="n"/>
      <c r="L189" s="36" t="n"/>
      <c r="N189">
        <f>IFERROR(MATCH($E189,코드설정!$S$5:$S$10,0),0)</f>
        <v/>
      </c>
    </row>
    <row r="190">
      <c r="A190" s="118">
        <f>IF($B190="","",COUNT($B$5:$B190))</f>
        <v/>
      </c>
      <c r="B190" s="80" t="n"/>
      <c r="C190" s="74" t="n"/>
      <c r="D190" s="33">
        <f>IF($C190="","",IFERROR(INDEX(사업마스터!$B$5:$B$34,MATCH($C190,사업마스터!$A$5:$A$34,0)),"※ 미등록 사업번호"))</f>
        <v/>
      </c>
      <c r="E190" s="74" t="n"/>
      <c r="F190" s="36" t="n"/>
      <c r="G190" s="36" t="n"/>
      <c r="H190" s="74" t="n"/>
      <c r="I190" s="76" t="n"/>
      <c r="J190" s="74" t="n"/>
      <c r="K190" s="74" t="n"/>
      <c r="L190" s="36" t="n"/>
      <c r="N190">
        <f>IFERROR(MATCH($E190,코드설정!$S$5:$S$10,0),0)</f>
        <v/>
      </c>
    </row>
    <row r="191">
      <c r="A191" s="118">
        <f>IF($B191="","",COUNT($B$5:$B191))</f>
        <v/>
      </c>
      <c r="B191" s="80" t="n"/>
      <c r="C191" s="74" t="n"/>
      <c r="D191" s="33">
        <f>IF($C191="","",IFERROR(INDEX(사업마스터!$B$5:$B$34,MATCH($C191,사업마스터!$A$5:$A$34,0)),"※ 미등록 사업번호"))</f>
        <v/>
      </c>
      <c r="E191" s="74" t="n"/>
      <c r="F191" s="36" t="n"/>
      <c r="G191" s="36" t="n"/>
      <c r="H191" s="74" t="n"/>
      <c r="I191" s="76" t="n"/>
      <c r="J191" s="74" t="n"/>
      <c r="K191" s="74" t="n"/>
      <c r="L191" s="36" t="n"/>
      <c r="N191">
        <f>IFERROR(MATCH($E191,코드설정!$S$5:$S$10,0),0)</f>
        <v/>
      </c>
    </row>
    <row r="192">
      <c r="A192" s="118">
        <f>IF($B192="","",COUNT($B$5:$B192))</f>
        <v/>
      </c>
      <c r="B192" s="80" t="n"/>
      <c r="C192" s="74" t="n"/>
      <c r="D192" s="33">
        <f>IF($C192="","",IFERROR(INDEX(사업마스터!$B$5:$B$34,MATCH($C192,사업마스터!$A$5:$A$34,0)),"※ 미등록 사업번호"))</f>
        <v/>
      </c>
      <c r="E192" s="74" t="n"/>
      <c r="F192" s="36" t="n"/>
      <c r="G192" s="36" t="n"/>
      <c r="H192" s="74" t="n"/>
      <c r="I192" s="76" t="n"/>
      <c r="J192" s="74" t="n"/>
      <c r="K192" s="74" t="n"/>
      <c r="L192" s="36" t="n"/>
      <c r="N192">
        <f>IFERROR(MATCH($E192,코드설정!$S$5:$S$10,0),0)</f>
        <v/>
      </c>
    </row>
    <row r="193">
      <c r="A193" s="118">
        <f>IF($B193="","",COUNT($B$5:$B193))</f>
        <v/>
      </c>
      <c r="B193" s="80" t="n"/>
      <c r="C193" s="74" t="n"/>
      <c r="D193" s="33">
        <f>IF($C193="","",IFERROR(INDEX(사업마스터!$B$5:$B$34,MATCH($C193,사업마스터!$A$5:$A$34,0)),"※ 미등록 사업번호"))</f>
        <v/>
      </c>
      <c r="E193" s="74" t="n"/>
      <c r="F193" s="36" t="n"/>
      <c r="G193" s="36" t="n"/>
      <c r="H193" s="74" t="n"/>
      <c r="I193" s="76" t="n"/>
      <c r="J193" s="74" t="n"/>
      <c r="K193" s="74" t="n"/>
      <c r="L193" s="36" t="n"/>
      <c r="N193">
        <f>IFERROR(MATCH($E193,코드설정!$S$5:$S$10,0),0)</f>
        <v/>
      </c>
    </row>
    <row r="194">
      <c r="A194" s="118">
        <f>IF($B194="","",COUNT($B$5:$B194))</f>
        <v/>
      </c>
      <c r="B194" s="80" t="n"/>
      <c r="C194" s="74" t="n"/>
      <c r="D194" s="33">
        <f>IF($C194="","",IFERROR(INDEX(사업마스터!$B$5:$B$34,MATCH($C194,사업마스터!$A$5:$A$34,0)),"※ 미등록 사업번호"))</f>
        <v/>
      </c>
      <c r="E194" s="74" t="n"/>
      <c r="F194" s="36" t="n"/>
      <c r="G194" s="36" t="n"/>
      <c r="H194" s="74" t="n"/>
      <c r="I194" s="76" t="n"/>
      <c r="J194" s="74" t="n"/>
      <c r="K194" s="74" t="n"/>
      <c r="L194" s="36" t="n"/>
      <c r="N194">
        <f>IFERROR(MATCH($E194,코드설정!$S$5:$S$10,0),0)</f>
        <v/>
      </c>
    </row>
    <row r="195">
      <c r="A195" s="118">
        <f>IF($B195="","",COUNT($B$5:$B195))</f>
        <v/>
      </c>
      <c r="B195" s="80" t="n"/>
      <c r="C195" s="74" t="n"/>
      <c r="D195" s="33">
        <f>IF($C195="","",IFERROR(INDEX(사업마스터!$B$5:$B$34,MATCH($C195,사업마스터!$A$5:$A$34,0)),"※ 미등록 사업번호"))</f>
        <v/>
      </c>
      <c r="E195" s="74" t="n"/>
      <c r="F195" s="36" t="n"/>
      <c r="G195" s="36" t="n"/>
      <c r="H195" s="74" t="n"/>
      <c r="I195" s="76" t="n"/>
      <c r="J195" s="74" t="n"/>
      <c r="K195" s="74" t="n"/>
      <c r="L195" s="36" t="n"/>
      <c r="N195">
        <f>IFERROR(MATCH($E195,코드설정!$S$5:$S$10,0),0)</f>
        <v/>
      </c>
    </row>
    <row r="196">
      <c r="A196" s="118">
        <f>IF($B196="","",COUNT($B$5:$B196))</f>
        <v/>
      </c>
      <c r="B196" s="80" t="n"/>
      <c r="C196" s="74" t="n"/>
      <c r="D196" s="33">
        <f>IF($C196="","",IFERROR(INDEX(사업마스터!$B$5:$B$34,MATCH($C196,사업마스터!$A$5:$A$34,0)),"※ 미등록 사업번호"))</f>
        <v/>
      </c>
      <c r="E196" s="74" t="n"/>
      <c r="F196" s="36" t="n"/>
      <c r="G196" s="36" t="n"/>
      <c r="H196" s="74" t="n"/>
      <c r="I196" s="76" t="n"/>
      <c r="J196" s="74" t="n"/>
      <c r="K196" s="74" t="n"/>
      <c r="L196" s="36" t="n"/>
      <c r="N196">
        <f>IFERROR(MATCH($E196,코드설정!$S$5:$S$10,0),0)</f>
        <v/>
      </c>
    </row>
    <row r="197">
      <c r="A197" s="118">
        <f>IF($B197="","",COUNT($B$5:$B197))</f>
        <v/>
      </c>
      <c r="B197" s="80" t="n"/>
      <c r="C197" s="74" t="n"/>
      <c r="D197" s="33">
        <f>IF($C197="","",IFERROR(INDEX(사업마스터!$B$5:$B$34,MATCH($C197,사업마스터!$A$5:$A$34,0)),"※ 미등록 사업번호"))</f>
        <v/>
      </c>
      <c r="E197" s="74" t="n"/>
      <c r="F197" s="36" t="n"/>
      <c r="G197" s="36" t="n"/>
      <c r="H197" s="74" t="n"/>
      <c r="I197" s="76" t="n"/>
      <c r="J197" s="74" t="n"/>
      <c r="K197" s="74" t="n"/>
      <c r="L197" s="36" t="n"/>
      <c r="N197">
        <f>IFERROR(MATCH($E197,코드설정!$S$5:$S$10,0),0)</f>
        <v/>
      </c>
    </row>
    <row r="198">
      <c r="A198" s="118">
        <f>IF($B198="","",COUNT($B$5:$B198))</f>
        <v/>
      </c>
      <c r="B198" s="80" t="n"/>
      <c r="C198" s="74" t="n"/>
      <c r="D198" s="33">
        <f>IF($C198="","",IFERROR(INDEX(사업마스터!$B$5:$B$34,MATCH($C198,사업마스터!$A$5:$A$34,0)),"※ 미등록 사업번호"))</f>
        <v/>
      </c>
      <c r="E198" s="74" t="n"/>
      <c r="F198" s="36" t="n"/>
      <c r="G198" s="36" t="n"/>
      <c r="H198" s="74" t="n"/>
      <c r="I198" s="76" t="n"/>
      <c r="J198" s="74" t="n"/>
      <c r="K198" s="74" t="n"/>
      <c r="L198" s="36" t="n"/>
      <c r="N198">
        <f>IFERROR(MATCH($E198,코드설정!$S$5:$S$10,0),0)</f>
        <v/>
      </c>
    </row>
    <row r="199">
      <c r="A199" s="118">
        <f>IF($B199="","",COUNT($B$5:$B199))</f>
        <v/>
      </c>
      <c r="B199" s="80" t="n"/>
      <c r="C199" s="74" t="n"/>
      <c r="D199" s="33">
        <f>IF($C199="","",IFERROR(INDEX(사업마스터!$B$5:$B$34,MATCH($C199,사업마스터!$A$5:$A$34,0)),"※ 미등록 사업번호"))</f>
        <v/>
      </c>
      <c r="E199" s="74" t="n"/>
      <c r="F199" s="36" t="n"/>
      <c r="G199" s="36" t="n"/>
      <c r="H199" s="74" t="n"/>
      <c r="I199" s="76" t="n"/>
      <c r="J199" s="74" t="n"/>
      <c r="K199" s="74" t="n"/>
      <c r="L199" s="36" t="n"/>
      <c r="N199">
        <f>IFERROR(MATCH($E199,코드설정!$S$5:$S$10,0),0)</f>
        <v/>
      </c>
    </row>
    <row r="200">
      <c r="A200" s="118">
        <f>IF($B200="","",COUNT($B$5:$B200))</f>
        <v/>
      </c>
      <c r="B200" s="80" t="n"/>
      <c r="C200" s="74" t="n"/>
      <c r="D200" s="33">
        <f>IF($C200="","",IFERROR(INDEX(사업마스터!$B$5:$B$34,MATCH($C200,사업마스터!$A$5:$A$34,0)),"※ 미등록 사업번호"))</f>
        <v/>
      </c>
      <c r="E200" s="74" t="n"/>
      <c r="F200" s="36" t="n"/>
      <c r="G200" s="36" t="n"/>
      <c r="H200" s="74" t="n"/>
      <c r="I200" s="76" t="n"/>
      <c r="J200" s="74" t="n"/>
      <c r="K200" s="74" t="n"/>
      <c r="L200" s="36" t="n"/>
      <c r="N200">
        <f>IFERROR(MATCH($E200,코드설정!$S$5:$S$10,0),0)</f>
        <v/>
      </c>
    </row>
    <row r="201">
      <c r="A201" s="118">
        <f>IF($B201="","",COUNT($B$5:$B201))</f>
        <v/>
      </c>
      <c r="B201" s="80" t="n"/>
      <c r="C201" s="74" t="n"/>
      <c r="D201" s="33">
        <f>IF($C201="","",IFERROR(INDEX(사업마스터!$B$5:$B$34,MATCH($C201,사업마스터!$A$5:$A$34,0)),"※ 미등록 사업번호"))</f>
        <v/>
      </c>
      <c r="E201" s="74" t="n"/>
      <c r="F201" s="36" t="n"/>
      <c r="G201" s="36" t="n"/>
      <c r="H201" s="74" t="n"/>
      <c r="I201" s="76" t="n"/>
      <c r="J201" s="74" t="n"/>
      <c r="K201" s="74" t="n"/>
      <c r="L201" s="36" t="n"/>
      <c r="N201">
        <f>IFERROR(MATCH($E201,코드설정!$S$5:$S$10,0),0)</f>
        <v/>
      </c>
    </row>
    <row r="202">
      <c r="A202" s="118">
        <f>IF($B202="","",COUNT($B$5:$B202))</f>
        <v/>
      </c>
      <c r="B202" s="80" t="n"/>
      <c r="C202" s="74" t="n"/>
      <c r="D202" s="33">
        <f>IF($C202="","",IFERROR(INDEX(사업마스터!$B$5:$B$34,MATCH($C202,사업마스터!$A$5:$A$34,0)),"※ 미등록 사업번호"))</f>
        <v/>
      </c>
      <c r="E202" s="74" t="n"/>
      <c r="F202" s="36" t="n"/>
      <c r="G202" s="36" t="n"/>
      <c r="H202" s="74" t="n"/>
      <c r="I202" s="76" t="n"/>
      <c r="J202" s="74" t="n"/>
      <c r="K202" s="74" t="n"/>
      <c r="L202" s="36" t="n"/>
      <c r="N202">
        <f>IFERROR(MATCH($E202,코드설정!$S$5:$S$10,0),0)</f>
        <v/>
      </c>
    </row>
    <row r="203">
      <c r="A203" s="118">
        <f>IF($B203="","",COUNT($B$5:$B203))</f>
        <v/>
      </c>
      <c r="B203" s="80" t="n"/>
      <c r="C203" s="74" t="n"/>
      <c r="D203" s="33">
        <f>IF($C203="","",IFERROR(INDEX(사업마스터!$B$5:$B$34,MATCH($C203,사업마스터!$A$5:$A$34,0)),"※ 미등록 사업번호"))</f>
        <v/>
      </c>
      <c r="E203" s="74" t="n"/>
      <c r="F203" s="36" t="n"/>
      <c r="G203" s="36" t="n"/>
      <c r="H203" s="74" t="n"/>
      <c r="I203" s="76" t="n"/>
      <c r="J203" s="74" t="n"/>
      <c r="K203" s="74" t="n"/>
      <c r="L203" s="36" t="n"/>
      <c r="N203">
        <f>IFERROR(MATCH($E203,코드설정!$S$5:$S$10,0),0)</f>
        <v/>
      </c>
    </row>
    <row r="204">
      <c r="A204" s="118">
        <f>IF($B204="","",COUNT($B$5:$B204))</f>
        <v/>
      </c>
      <c r="B204" s="80" t="n"/>
      <c r="C204" s="74" t="n"/>
      <c r="D204" s="33">
        <f>IF($C204="","",IFERROR(INDEX(사업마스터!$B$5:$B$34,MATCH($C204,사업마스터!$A$5:$A$34,0)),"※ 미등록 사업번호"))</f>
        <v/>
      </c>
      <c r="E204" s="74" t="n"/>
      <c r="F204" s="36" t="n"/>
      <c r="G204" s="36" t="n"/>
      <c r="H204" s="74" t="n"/>
      <c r="I204" s="76" t="n"/>
      <c r="J204" s="74" t="n"/>
      <c r="K204" s="74" t="n"/>
      <c r="L204" s="36" t="n"/>
      <c r="N204">
        <f>IFERROR(MATCH($E204,코드설정!$S$5:$S$10,0),0)</f>
        <v/>
      </c>
    </row>
    <row r="205">
      <c r="A205" s="118">
        <f>IF($B205="","",COUNT($B$5:$B205))</f>
        <v/>
      </c>
      <c r="B205" s="80" t="n"/>
      <c r="C205" s="74" t="n"/>
      <c r="D205" s="33">
        <f>IF($C205="","",IFERROR(INDEX(사업마스터!$B$5:$B$34,MATCH($C205,사업마스터!$A$5:$A$34,0)),"※ 미등록 사업번호"))</f>
        <v/>
      </c>
      <c r="E205" s="74" t="n"/>
      <c r="F205" s="36" t="n"/>
      <c r="G205" s="36" t="n"/>
      <c r="H205" s="74" t="n"/>
      <c r="I205" s="76" t="n"/>
      <c r="J205" s="74" t="n"/>
      <c r="K205" s="74" t="n"/>
      <c r="L205" s="36" t="n"/>
      <c r="N205">
        <f>IFERROR(MATCH($E205,코드설정!$S$5:$S$10,0),0)</f>
        <v/>
      </c>
    </row>
    <row r="206">
      <c r="A206" s="118">
        <f>IF($B206="","",COUNT($B$5:$B206))</f>
        <v/>
      </c>
      <c r="B206" s="80" t="n"/>
      <c r="C206" s="74" t="n"/>
      <c r="D206" s="33">
        <f>IF($C206="","",IFERROR(INDEX(사업마스터!$B$5:$B$34,MATCH($C206,사업마스터!$A$5:$A$34,0)),"※ 미등록 사업번호"))</f>
        <v/>
      </c>
      <c r="E206" s="74" t="n"/>
      <c r="F206" s="36" t="n"/>
      <c r="G206" s="36" t="n"/>
      <c r="H206" s="74" t="n"/>
      <c r="I206" s="76" t="n"/>
      <c r="J206" s="74" t="n"/>
      <c r="K206" s="74" t="n"/>
      <c r="L206" s="36" t="n"/>
      <c r="N206">
        <f>IFERROR(MATCH($E206,코드설정!$S$5:$S$10,0),0)</f>
        <v/>
      </c>
    </row>
    <row r="207">
      <c r="A207" s="118">
        <f>IF($B207="","",COUNT($B$5:$B207))</f>
        <v/>
      </c>
      <c r="B207" s="80" t="n"/>
      <c r="C207" s="74" t="n"/>
      <c r="D207" s="33">
        <f>IF($C207="","",IFERROR(INDEX(사업마스터!$B$5:$B$34,MATCH($C207,사업마스터!$A$5:$A$34,0)),"※ 미등록 사업번호"))</f>
        <v/>
      </c>
      <c r="E207" s="74" t="n"/>
      <c r="F207" s="36" t="n"/>
      <c r="G207" s="36" t="n"/>
      <c r="H207" s="74" t="n"/>
      <c r="I207" s="76" t="n"/>
      <c r="J207" s="74" t="n"/>
      <c r="K207" s="74" t="n"/>
      <c r="L207" s="36" t="n"/>
      <c r="N207">
        <f>IFERROR(MATCH($E207,코드설정!$S$5:$S$10,0),0)</f>
        <v/>
      </c>
    </row>
    <row r="208">
      <c r="A208" s="118">
        <f>IF($B208="","",COUNT($B$5:$B208))</f>
        <v/>
      </c>
      <c r="B208" s="80" t="n"/>
      <c r="C208" s="74" t="n"/>
      <c r="D208" s="33">
        <f>IF($C208="","",IFERROR(INDEX(사업마스터!$B$5:$B$34,MATCH($C208,사업마스터!$A$5:$A$34,0)),"※ 미등록 사업번호"))</f>
        <v/>
      </c>
      <c r="E208" s="74" t="n"/>
      <c r="F208" s="36" t="n"/>
      <c r="G208" s="36" t="n"/>
      <c r="H208" s="74" t="n"/>
      <c r="I208" s="76" t="n"/>
      <c r="J208" s="74" t="n"/>
      <c r="K208" s="74" t="n"/>
      <c r="L208" s="36" t="n"/>
      <c r="N208">
        <f>IFERROR(MATCH($E208,코드설정!$S$5:$S$10,0),0)</f>
        <v/>
      </c>
    </row>
    <row r="209">
      <c r="A209" s="118">
        <f>IF($B209="","",COUNT($B$5:$B209))</f>
        <v/>
      </c>
      <c r="B209" s="80" t="n"/>
      <c r="C209" s="74" t="n"/>
      <c r="D209" s="33">
        <f>IF($C209="","",IFERROR(INDEX(사업마스터!$B$5:$B$34,MATCH($C209,사업마스터!$A$5:$A$34,0)),"※ 미등록 사업번호"))</f>
        <v/>
      </c>
      <c r="E209" s="74" t="n"/>
      <c r="F209" s="36" t="n"/>
      <c r="G209" s="36" t="n"/>
      <c r="H209" s="74" t="n"/>
      <c r="I209" s="76" t="n"/>
      <c r="J209" s="74" t="n"/>
      <c r="K209" s="74" t="n"/>
      <c r="L209" s="36" t="n"/>
      <c r="N209">
        <f>IFERROR(MATCH($E209,코드설정!$S$5:$S$10,0),0)</f>
        <v/>
      </c>
    </row>
    <row r="210">
      <c r="A210" s="118">
        <f>IF($B210="","",COUNT($B$5:$B210))</f>
        <v/>
      </c>
      <c r="B210" s="80" t="n"/>
      <c r="C210" s="74" t="n"/>
      <c r="D210" s="33">
        <f>IF($C210="","",IFERROR(INDEX(사업마스터!$B$5:$B$34,MATCH($C210,사업마스터!$A$5:$A$34,0)),"※ 미등록 사업번호"))</f>
        <v/>
      </c>
      <c r="E210" s="74" t="n"/>
      <c r="F210" s="36" t="n"/>
      <c r="G210" s="36" t="n"/>
      <c r="H210" s="74" t="n"/>
      <c r="I210" s="76" t="n"/>
      <c r="J210" s="74" t="n"/>
      <c r="K210" s="74" t="n"/>
      <c r="L210" s="36" t="n"/>
      <c r="N210">
        <f>IFERROR(MATCH($E210,코드설정!$S$5:$S$10,0),0)</f>
        <v/>
      </c>
    </row>
    <row r="211">
      <c r="A211" s="118">
        <f>IF($B211="","",COUNT($B$5:$B211))</f>
        <v/>
      </c>
      <c r="B211" s="80" t="n"/>
      <c r="C211" s="74" t="n"/>
      <c r="D211" s="33">
        <f>IF($C211="","",IFERROR(INDEX(사업마스터!$B$5:$B$34,MATCH($C211,사업마스터!$A$5:$A$34,0)),"※ 미등록 사업번호"))</f>
        <v/>
      </c>
      <c r="E211" s="74" t="n"/>
      <c r="F211" s="36" t="n"/>
      <c r="G211" s="36" t="n"/>
      <c r="H211" s="74" t="n"/>
      <c r="I211" s="76" t="n"/>
      <c r="J211" s="74" t="n"/>
      <c r="K211" s="74" t="n"/>
      <c r="L211" s="36" t="n"/>
      <c r="N211">
        <f>IFERROR(MATCH($E211,코드설정!$S$5:$S$10,0),0)</f>
        <v/>
      </c>
    </row>
    <row r="212">
      <c r="A212" s="118">
        <f>IF($B212="","",COUNT($B$5:$B212))</f>
        <v/>
      </c>
      <c r="B212" s="80" t="n"/>
      <c r="C212" s="74" t="n"/>
      <c r="D212" s="33">
        <f>IF($C212="","",IFERROR(INDEX(사업마스터!$B$5:$B$34,MATCH($C212,사업마스터!$A$5:$A$34,0)),"※ 미등록 사업번호"))</f>
        <v/>
      </c>
      <c r="E212" s="74" t="n"/>
      <c r="F212" s="36" t="n"/>
      <c r="G212" s="36" t="n"/>
      <c r="H212" s="74" t="n"/>
      <c r="I212" s="76" t="n"/>
      <c r="J212" s="74" t="n"/>
      <c r="K212" s="74" t="n"/>
      <c r="L212" s="36" t="n"/>
      <c r="N212">
        <f>IFERROR(MATCH($E212,코드설정!$S$5:$S$10,0),0)</f>
        <v/>
      </c>
    </row>
    <row r="213">
      <c r="A213" s="118">
        <f>IF($B213="","",COUNT($B$5:$B213))</f>
        <v/>
      </c>
      <c r="B213" s="80" t="n"/>
      <c r="C213" s="74" t="n"/>
      <c r="D213" s="33">
        <f>IF($C213="","",IFERROR(INDEX(사업마스터!$B$5:$B$34,MATCH($C213,사업마스터!$A$5:$A$34,0)),"※ 미등록 사업번호"))</f>
        <v/>
      </c>
      <c r="E213" s="74" t="n"/>
      <c r="F213" s="36" t="n"/>
      <c r="G213" s="36" t="n"/>
      <c r="H213" s="74" t="n"/>
      <c r="I213" s="76" t="n"/>
      <c r="J213" s="74" t="n"/>
      <c r="K213" s="74" t="n"/>
      <c r="L213" s="36" t="n"/>
      <c r="N213">
        <f>IFERROR(MATCH($E213,코드설정!$S$5:$S$10,0),0)</f>
        <v/>
      </c>
    </row>
    <row r="214">
      <c r="A214" s="118">
        <f>IF($B214="","",COUNT($B$5:$B214))</f>
        <v/>
      </c>
      <c r="B214" s="80" t="n"/>
      <c r="C214" s="74" t="n"/>
      <c r="D214" s="33">
        <f>IF($C214="","",IFERROR(INDEX(사업마스터!$B$5:$B$34,MATCH($C214,사업마스터!$A$5:$A$34,0)),"※ 미등록 사업번호"))</f>
        <v/>
      </c>
      <c r="E214" s="74" t="n"/>
      <c r="F214" s="36" t="n"/>
      <c r="G214" s="36" t="n"/>
      <c r="H214" s="74" t="n"/>
      <c r="I214" s="76" t="n"/>
      <c r="J214" s="74" t="n"/>
      <c r="K214" s="74" t="n"/>
      <c r="L214" s="36" t="n"/>
      <c r="N214">
        <f>IFERROR(MATCH($E214,코드설정!$S$5:$S$10,0),0)</f>
        <v/>
      </c>
    </row>
    <row r="215">
      <c r="A215" s="118">
        <f>IF($B215="","",COUNT($B$5:$B215))</f>
        <v/>
      </c>
      <c r="B215" s="80" t="n"/>
      <c r="C215" s="74" t="n"/>
      <c r="D215" s="33">
        <f>IF($C215="","",IFERROR(INDEX(사업마스터!$B$5:$B$34,MATCH($C215,사업마스터!$A$5:$A$34,0)),"※ 미등록 사업번호"))</f>
        <v/>
      </c>
      <c r="E215" s="74" t="n"/>
      <c r="F215" s="36" t="n"/>
      <c r="G215" s="36" t="n"/>
      <c r="H215" s="74" t="n"/>
      <c r="I215" s="76" t="n"/>
      <c r="J215" s="74" t="n"/>
      <c r="K215" s="74" t="n"/>
      <c r="L215" s="36" t="n"/>
      <c r="N215">
        <f>IFERROR(MATCH($E215,코드설정!$S$5:$S$10,0),0)</f>
        <v/>
      </c>
    </row>
    <row r="216">
      <c r="A216" s="118">
        <f>IF($B216="","",COUNT($B$5:$B216))</f>
        <v/>
      </c>
      <c r="B216" s="80" t="n"/>
      <c r="C216" s="74" t="n"/>
      <c r="D216" s="33">
        <f>IF($C216="","",IFERROR(INDEX(사업마스터!$B$5:$B$34,MATCH($C216,사업마스터!$A$5:$A$34,0)),"※ 미등록 사업번호"))</f>
        <v/>
      </c>
      <c r="E216" s="74" t="n"/>
      <c r="F216" s="36" t="n"/>
      <c r="G216" s="36" t="n"/>
      <c r="H216" s="74" t="n"/>
      <c r="I216" s="76" t="n"/>
      <c r="J216" s="74" t="n"/>
      <c r="K216" s="74" t="n"/>
      <c r="L216" s="36" t="n"/>
      <c r="N216">
        <f>IFERROR(MATCH($E216,코드설정!$S$5:$S$10,0),0)</f>
        <v/>
      </c>
    </row>
    <row r="217">
      <c r="A217" s="118">
        <f>IF($B217="","",COUNT($B$5:$B217))</f>
        <v/>
      </c>
      <c r="B217" s="80" t="n"/>
      <c r="C217" s="74" t="n"/>
      <c r="D217" s="33">
        <f>IF($C217="","",IFERROR(INDEX(사업마스터!$B$5:$B$34,MATCH($C217,사업마스터!$A$5:$A$34,0)),"※ 미등록 사업번호"))</f>
        <v/>
      </c>
      <c r="E217" s="74" t="n"/>
      <c r="F217" s="36" t="n"/>
      <c r="G217" s="36" t="n"/>
      <c r="H217" s="74" t="n"/>
      <c r="I217" s="76" t="n"/>
      <c r="J217" s="74" t="n"/>
      <c r="K217" s="74" t="n"/>
      <c r="L217" s="36" t="n"/>
      <c r="N217">
        <f>IFERROR(MATCH($E217,코드설정!$S$5:$S$10,0),0)</f>
        <v/>
      </c>
    </row>
    <row r="218">
      <c r="A218" s="118">
        <f>IF($B218="","",COUNT($B$5:$B218))</f>
        <v/>
      </c>
      <c r="B218" s="80" t="n"/>
      <c r="C218" s="74" t="n"/>
      <c r="D218" s="33">
        <f>IF($C218="","",IFERROR(INDEX(사업마스터!$B$5:$B$34,MATCH($C218,사업마스터!$A$5:$A$34,0)),"※ 미등록 사업번호"))</f>
        <v/>
      </c>
      <c r="E218" s="74" t="n"/>
      <c r="F218" s="36" t="n"/>
      <c r="G218" s="36" t="n"/>
      <c r="H218" s="74" t="n"/>
      <c r="I218" s="76" t="n"/>
      <c r="J218" s="74" t="n"/>
      <c r="K218" s="74" t="n"/>
      <c r="L218" s="36" t="n"/>
      <c r="N218">
        <f>IFERROR(MATCH($E218,코드설정!$S$5:$S$10,0),0)</f>
        <v/>
      </c>
    </row>
    <row r="219">
      <c r="A219" s="118">
        <f>IF($B219="","",COUNT($B$5:$B219))</f>
        <v/>
      </c>
      <c r="B219" s="80" t="n"/>
      <c r="C219" s="74" t="n"/>
      <c r="D219" s="33">
        <f>IF($C219="","",IFERROR(INDEX(사업마스터!$B$5:$B$34,MATCH($C219,사업마스터!$A$5:$A$34,0)),"※ 미등록 사업번호"))</f>
        <v/>
      </c>
      <c r="E219" s="74" t="n"/>
      <c r="F219" s="36" t="n"/>
      <c r="G219" s="36" t="n"/>
      <c r="H219" s="74" t="n"/>
      <c r="I219" s="76" t="n"/>
      <c r="J219" s="74" t="n"/>
      <c r="K219" s="74" t="n"/>
      <c r="L219" s="36" t="n"/>
      <c r="N219">
        <f>IFERROR(MATCH($E219,코드설정!$S$5:$S$10,0),0)</f>
        <v/>
      </c>
    </row>
    <row r="220">
      <c r="A220" s="118">
        <f>IF($B220="","",COUNT($B$5:$B220))</f>
        <v/>
      </c>
      <c r="B220" s="80" t="n"/>
      <c r="C220" s="74" t="n"/>
      <c r="D220" s="33">
        <f>IF($C220="","",IFERROR(INDEX(사업마스터!$B$5:$B$34,MATCH($C220,사업마스터!$A$5:$A$34,0)),"※ 미등록 사업번호"))</f>
        <v/>
      </c>
      <c r="E220" s="74" t="n"/>
      <c r="F220" s="36" t="n"/>
      <c r="G220" s="36" t="n"/>
      <c r="H220" s="74" t="n"/>
      <c r="I220" s="76" t="n"/>
      <c r="J220" s="74" t="n"/>
      <c r="K220" s="74" t="n"/>
      <c r="L220" s="36" t="n"/>
      <c r="N220">
        <f>IFERROR(MATCH($E220,코드설정!$S$5:$S$10,0),0)</f>
        <v/>
      </c>
    </row>
    <row r="221">
      <c r="A221" s="118">
        <f>IF($B221="","",COUNT($B$5:$B221))</f>
        <v/>
      </c>
      <c r="B221" s="80" t="n"/>
      <c r="C221" s="74" t="n"/>
      <c r="D221" s="33">
        <f>IF($C221="","",IFERROR(INDEX(사업마스터!$B$5:$B$34,MATCH($C221,사업마스터!$A$5:$A$34,0)),"※ 미등록 사업번호"))</f>
        <v/>
      </c>
      <c r="E221" s="74" t="n"/>
      <c r="F221" s="36" t="n"/>
      <c r="G221" s="36" t="n"/>
      <c r="H221" s="74" t="n"/>
      <c r="I221" s="76" t="n"/>
      <c r="J221" s="74" t="n"/>
      <c r="K221" s="74" t="n"/>
      <c r="L221" s="36" t="n"/>
      <c r="N221">
        <f>IFERROR(MATCH($E221,코드설정!$S$5:$S$10,0),0)</f>
        <v/>
      </c>
    </row>
    <row r="222">
      <c r="A222" s="118">
        <f>IF($B222="","",COUNT($B$5:$B222))</f>
        <v/>
      </c>
      <c r="B222" s="80" t="n"/>
      <c r="C222" s="74" t="n"/>
      <c r="D222" s="33">
        <f>IF($C222="","",IFERROR(INDEX(사업마스터!$B$5:$B$34,MATCH($C222,사업마스터!$A$5:$A$34,0)),"※ 미등록 사업번호"))</f>
        <v/>
      </c>
      <c r="E222" s="74" t="n"/>
      <c r="F222" s="36" t="n"/>
      <c r="G222" s="36" t="n"/>
      <c r="H222" s="74" t="n"/>
      <c r="I222" s="76" t="n"/>
      <c r="J222" s="74" t="n"/>
      <c r="K222" s="74" t="n"/>
      <c r="L222" s="36" t="n"/>
      <c r="N222">
        <f>IFERROR(MATCH($E222,코드설정!$S$5:$S$10,0),0)</f>
        <v/>
      </c>
    </row>
    <row r="223">
      <c r="A223" s="118">
        <f>IF($B223="","",COUNT($B$5:$B223))</f>
        <v/>
      </c>
      <c r="B223" s="80" t="n"/>
      <c r="C223" s="74" t="n"/>
      <c r="D223" s="33">
        <f>IF($C223="","",IFERROR(INDEX(사업마스터!$B$5:$B$34,MATCH($C223,사업마스터!$A$5:$A$34,0)),"※ 미등록 사업번호"))</f>
        <v/>
      </c>
      <c r="E223" s="74" t="n"/>
      <c r="F223" s="36" t="n"/>
      <c r="G223" s="36" t="n"/>
      <c r="H223" s="74" t="n"/>
      <c r="I223" s="76" t="n"/>
      <c r="J223" s="74" t="n"/>
      <c r="K223" s="74" t="n"/>
      <c r="L223" s="36" t="n"/>
      <c r="N223">
        <f>IFERROR(MATCH($E223,코드설정!$S$5:$S$10,0),0)</f>
        <v/>
      </c>
    </row>
    <row r="224">
      <c r="A224" s="118">
        <f>IF($B224="","",COUNT($B$5:$B224))</f>
        <v/>
      </c>
      <c r="B224" s="80" t="n"/>
      <c r="C224" s="74" t="n"/>
      <c r="D224" s="33">
        <f>IF($C224="","",IFERROR(INDEX(사업마스터!$B$5:$B$34,MATCH($C224,사업마스터!$A$5:$A$34,0)),"※ 미등록 사업번호"))</f>
        <v/>
      </c>
      <c r="E224" s="74" t="n"/>
      <c r="F224" s="36" t="n"/>
      <c r="G224" s="36" t="n"/>
      <c r="H224" s="74" t="n"/>
      <c r="I224" s="76" t="n"/>
      <c r="J224" s="74" t="n"/>
      <c r="K224" s="74" t="n"/>
      <c r="L224" s="36" t="n"/>
      <c r="N224">
        <f>IFERROR(MATCH($E224,코드설정!$S$5:$S$10,0),0)</f>
        <v/>
      </c>
    </row>
    <row r="225">
      <c r="A225" s="118">
        <f>IF($B225="","",COUNT($B$5:$B225))</f>
        <v/>
      </c>
      <c r="B225" s="80" t="n"/>
      <c r="C225" s="74" t="n"/>
      <c r="D225" s="33">
        <f>IF($C225="","",IFERROR(INDEX(사업마스터!$B$5:$B$34,MATCH($C225,사업마스터!$A$5:$A$34,0)),"※ 미등록 사업번호"))</f>
        <v/>
      </c>
      <c r="E225" s="74" t="n"/>
      <c r="F225" s="36" t="n"/>
      <c r="G225" s="36" t="n"/>
      <c r="H225" s="74" t="n"/>
      <c r="I225" s="76" t="n"/>
      <c r="J225" s="74" t="n"/>
      <c r="K225" s="74" t="n"/>
      <c r="L225" s="36" t="n"/>
      <c r="N225">
        <f>IFERROR(MATCH($E225,코드설정!$S$5:$S$10,0),0)</f>
        <v/>
      </c>
    </row>
    <row r="226">
      <c r="A226" s="118">
        <f>IF($B226="","",COUNT($B$5:$B226))</f>
        <v/>
      </c>
      <c r="B226" s="80" t="n"/>
      <c r="C226" s="74" t="n"/>
      <c r="D226" s="33">
        <f>IF($C226="","",IFERROR(INDEX(사업마스터!$B$5:$B$34,MATCH($C226,사업마스터!$A$5:$A$34,0)),"※ 미등록 사업번호"))</f>
        <v/>
      </c>
      <c r="E226" s="74" t="n"/>
      <c r="F226" s="36" t="n"/>
      <c r="G226" s="36" t="n"/>
      <c r="H226" s="74" t="n"/>
      <c r="I226" s="76" t="n"/>
      <c r="J226" s="74" t="n"/>
      <c r="K226" s="74" t="n"/>
      <c r="L226" s="36" t="n"/>
      <c r="N226">
        <f>IFERROR(MATCH($E226,코드설정!$S$5:$S$10,0),0)</f>
        <v/>
      </c>
    </row>
    <row r="227">
      <c r="A227" s="118">
        <f>IF($B227="","",COUNT($B$5:$B227))</f>
        <v/>
      </c>
      <c r="B227" s="80" t="n"/>
      <c r="C227" s="74" t="n"/>
      <c r="D227" s="33">
        <f>IF($C227="","",IFERROR(INDEX(사업마스터!$B$5:$B$34,MATCH($C227,사업마스터!$A$5:$A$34,0)),"※ 미등록 사업번호"))</f>
        <v/>
      </c>
      <c r="E227" s="74" t="n"/>
      <c r="F227" s="36" t="n"/>
      <c r="G227" s="36" t="n"/>
      <c r="H227" s="74" t="n"/>
      <c r="I227" s="76" t="n"/>
      <c r="J227" s="74" t="n"/>
      <c r="K227" s="74" t="n"/>
      <c r="L227" s="36" t="n"/>
      <c r="N227">
        <f>IFERROR(MATCH($E227,코드설정!$S$5:$S$10,0),0)</f>
        <v/>
      </c>
    </row>
    <row r="228">
      <c r="A228" s="118">
        <f>IF($B228="","",COUNT($B$5:$B228))</f>
        <v/>
      </c>
      <c r="B228" s="80" t="n"/>
      <c r="C228" s="74" t="n"/>
      <c r="D228" s="33">
        <f>IF($C228="","",IFERROR(INDEX(사업마스터!$B$5:$B$34,MATCH($C228,사업마스터!$A$5:$A$34,0)),"※ 미등록 사업번호"))</f>
        <v/>
      </c>
      <c r="E228" s="74" t="n"/>
      <c r="F228" s="36" t="n"/>
      <c r="G228" s="36" t="n"/>
      <c r="H228" s="74" t="n"/>
      <c r="I228" s="76" t="n"/>
      <c r="J228" s="74" t="n"/>
      <c r="K228" s="74" t="n"/>
      <c r="L228" s="36" t="n"/>
      <c r="N228">
        <f>IFERROR(MATCH($E228,코드설정!$S$5:$S$10,0),0)</f>
        <v/>
      </c>
    </row>
    <row r="229">
      <c r="A229" s="118">
        <f>IF($B229="","",COUNT($B$5:$B229))</f>
        <v/>
      </c>
      <c r="B229" s="80" t="n"/>
      <c r="C229" s="74" t="n"/>
      <c r="D229" s="33">
        <f>IF($C229="","",IFERROR(INDEX(사업마스터!$B$5:$B$34,MATCH($C229,사업마스터!$A$5:$A$34,0)),"※ 미등록 사업번호"))</f>
        <v/>
      </c>
      <c r="E229" s="74" t="n"/>
      <c r="F229" s="36" t="n"/>
      <c r="G229" s="36" t="n"/>
      <c r="H229" s="74" t="n"/>
      <c r="I229" s="76" t="n"/>
      <c r="J229" s="74" t="n"/>
      <c r="K229" s="74" t="n"/>
      <c r="L229" s="36" t="n"/>
      <c r="N229">
        <f>IFERROR(MATCH($E229,코드설정!$S$5:$S$10,0),0)</f>
        <v/>
      </c>
    </row>
    <row r="230">
      <c r="A230" s="118">
        <f>IF($B230="","",COUNT($B$5:$B230))</f>
        <v/>
      </c>
      <c r="B230" s="80" t="n"/>
      <c r="C230" s="74" t="n"/>
      <c r="D230" s="33">
        <f>IF($C230="","",IFERROR(INDEX(사업마스터!$B$5:$B$34,MATCH($C230,사업마스터!$A$5:$A$34,0)),"※ 미등록 사업번호"))</f>
        <v/>
      </c>
      <c r="E230" s="74" t="n"/>
      <c r="F230" s="36" t="n"/>
      <c r="G230" s="36" t="n"/>
      <c r="H230" s="74" t="n"/>
      <c r="I230" s="76" t="n"/>
      <c r="J230" s="74" t="n"/>
      <c r="K230" s="74" t="n"/>
      <c r="L230" s="36" t="n"/>
      <c r="N230">
        <f>IFERROR(MATCH($E230,코드설정!$S$5:$S$10,0),0)</f>
        <v/>
      </c>
    </row>
    <row r="231">
      <c r="A231" s="118">
        <f>IF($B231="","",COUNT($B$5:$B231))</f>
        <v/>
      </c>
      <c r="B231" s="80" t="n"/>
      <c r="C231" s="74" t="n"/>
      <c r="D231" s="33">
        <f>IF($C231="","",IFERROR(INDEX(사업마스터!$B$5:$B$34,MATCH($C231,사업마스터!$A$5:$A$34,0)),"※ 미등록 사업번호"))</f>
        <v/>
      </c>
      <c r="E231" s="74" t="n"/>
      <c r="F231" s="36" t="n"/>
      <c r="G231" s="36" t="n"/>
      <c r="H231" s="74" t="n"/>
      <c r="I231" s="76" t="n"/>
      <c r="J231" s="74" t="n"/>
      <c r="K231" s="74" t="n"/>
      <c r="L231" s="36" t="n"/>
      <c r="N231">
        <f>IFERROR(MATCH($E231,코드설정!$S$5:$S$10,0),0)</f>
        <v/>
      </c>
    </row>
    <row r="232">
      <c r="A232" s="118">
        <f>IF($B232="","",COUNT($B$5:$B232))</f>
        <v/>
      </c>
      <c r="B232" s="80" t="n"/>
      <c r="C232" s="74" t="n"/>
      <c r="D232" s="33">
        <f>IF($C232="","",IFERROR(INDEX(사업마스터!$B$5:$B$34,MATCH($C232,사업마스터!$A$5:$A$34,0)),"※ 미등록 사업번호"))</f>
        <v/>
      </c>
      <c r="E232" s="74" t="n"/>
      <c r="F232" s="36" t="n"/>
      <c r="G232" s="36" t="n"/>
      <c r="H232" s="74" t="n"/>
      <c r="I232" s="76" t="n"/>
      <c r="J232" s="74" t="n"/>
      <c r="K232" s="74" t="n"/>
      <c r="L232" s="36" t="n"/>
      <c r="N232">
        <f>IFERROR(MATCH($E232,코드설정!$S$5:$S$10,0),0)</f>
        <v/>
      </c>
    </row>
    <row r="233">
      <c r="A233" s="118">
        <f>IF($B233="","",COUNT($B$5:$B233))</f>
        <v/>
      </c>
      <c r="B233" s="80" t="n"/>
      <c r="C233" s="74" t="n"/>
      <c r="D233" s="33">
        <f>IF($C233="","",IFERROR(INDEX(사업마스터!$B$5:$B$34,MATCH($C233,사업마스터!$A$5:$A$34,0)),"※ 미등록 사업번호"))</f>
        <v/>
      </c>
      <c r="E233" s="74" t="n"/>
      <c r="F233" s="36" t="n"/>
      <c r="G233" s="36" t="n"/>
      <c r="H233" s="74" t="n"/>
      <c r="I233" s="76" t="n"/>
      <c r="J233" s="74" t="n"/>
      <c r="K233" s="74" t="n"/>
      <c r="L233" s="36" t="n"/>
      <c r="N233">
        <f>IFERROR(MATCH($E233,코드설정!$S$5:$S$10,0),0)</f>
        <v/>
      </c>
    </row>
    <row r="234">
      <c r="A234" s="118">
        <f>IF($B234="","",COUNT($B$5:$B234))</f>
        <v/>
      </c>
      <c r="B234" s="80" t="n"/>
      <c r="C234" s="74" t="n"/>
      <c r="D234" s="33">
        <f>IF($C234="","",IFERROR(INDEX(사업마스터!$B$5:$B$34,MATCH($C234,사업마스터!$A$5:$A$34,0)),"※ 미등록 사업번호"))</f>
        <v/>
      </c>
      <c r="E234" s="74" t="n"/>
      <c r="F234" s="36" t="n"/>
      <c r="G234" s="36" t="n"/>
      <c r="H234" s="74" t="n"/>
      <c r="I234" s="76" t="n"/>
      <c r="J234" s="74" t="n"/>
      <c r="K234" s="74" t="n"/>
      <c r="L234" s="36" t="n"/>
      <c r="N234">
        <f>IFERROR(MATCH($E234,코드설정!$S$5:$S$10,0),0)</f>
        <v/>
      </c>
    </row>
    <row r="235">
      <c r="A235" s="118">
        <f>IF($B235="","",COUNT($B$5:$B235))</f>
        <v/>
      </c>
      <c r="B235" s="80" t="n"/>
      <c r="C235" s="74" t="n"/>
      <c r="D235" s="33">
        <f>IF($C235="","",IFERROR(INDEX(사업마스터!$B$5:$B$34,MATCH($C235,사업마스터!$A$5:$A$34,0)),"※ 미등록 사업번호"))</f>
        <v/>
      </c>
      <c r="E235" s="74" t="n"/>
      <c r="F235" s="36" t="n"/>
      <c r="G235" s="36" t="n"/>
      <c r="H235" s="74" t="n"/>
      <c r="I235" s="76" t="n"/>
      <c r="J235" s="74" t="n"/>
      <c r="K235" s="74" t="n"/>
      <c r="L235" s="36" t="n"/>
      <c r="N235">
        <f>IFERROR(MATCH($E235,코드설정!$S$5:$S$10,0),0)</f>
        <v/>
      </c>
    </row>
    <row r="236">
      <c r="A236" s="118">
        <f>IF($B236="","",COUNT($B$5:$B236))</f>
        <v/>
      </c>
      <c r="B236" s="80" t="n"/>
      <c r="C236" s="74" t="n"/>
      <c r="D236" s="33">
        <f>IF($C236="","",IFERROR(INDEX(사업마스터!$B$5:$B$34,MATCH($C236,사업마스터!$A$5:$A$34,0)),"※ 미등록 사업번호"))</f>
        <v/>
      </c>
      <c r="E236" s="74" t="n"/>
      <c r="F236" s="36" t="n"/>
      <c r="G236" s="36" t="n"/>
      <c r="H236" s="74" t="n"/>
      <c r="I236" s="76" t="n"/>
      <c r="J236" s="74" t="n"/>
      <c r="K236" s="74" t="n"/>
      <c r="L236" s="36" t="n"/>
      <c r="N236">
        <f>IFERROR(MATCH($E236,코드설정!$S$5:$S$10,0),0)</f>
        <v/>
      </c>
    </row>
    <row r="237">
      <c r="A237" s="118">
        <f>IF($B237="","",COUNT($B$5:$B237))</f>
        <v/>
      </c>
      <c r="B237" s="80" t="n"/>
      <c r="C237" s="74" t="n"/>
      <c r="D237" s="33">
        <f>IF($C237="","",IFERROR(INDEX(사업마스터!$B$5:$B$34,MATCH($C237,사업마스터!$A$5:$A$34,0)),"※ 미등록 사업번호"))</f>
        <v/>
      </c>
      <c r="E237" s="74" t="n"/>
      <c r="F237" s="36" t="n"/>
      <c r="G237" s="36" t="n"/>
      <c r="H237" s="74" t="n"/>
      <c r="I237" s="76" t="n"/>
      <c r="J237" s="74" t="n"/>
      <c r="K237" s="74" t="n"/>
      <c r="L237" s="36" t="n"/>
      <c r="N237">
        <f>IFERROR(MATCH($E237,코드설정!$S$5:$S$10,0),0)</f>
        <v/>
      </c>
    </row>
    <row r="238">
      <c r="A238" s="118">
        <f>IF($B238="","",COUNT($B$5:$B238))</f>
        <v/>
      </c>
      <c r="B238" s="80" t="n"/>
      <c r="C238" s="74" t="n"/>
      <c r="D238" s="33">
        <f>IF($C238="","",IFERROR(INDEX(사업마스터!$B$5:$B$34,MATCH($C238,사업마스터!$A$5:$A$34,0)),"※ 미등록 사업번호"))</f>
        <v/>
      </c>
      <c r="E238" s="74" t="n"/>
      <c r="F238" s="36" t="n"/>
      <c r="G238" s="36" t="n"/>
      <c r="H238" s="74" t="n"/>
      <c r="I238" s="76" t="n"/>
      <c r="J238" s="74" t="n"/>
      <c r="K238" s="74" t="n"/>
      <c r="L238" s="36" t="n"/>
      <c r="N238">
        <f>IFERROR(MATCH($E238,코드설정!$S$5:$S$10,0),0)</f>
        <v/>
      </c>
    </row>
    <row r="239">
      <c r="A239" s="118">
        <f>IF($B239="","",COUNT($B$5:$B239))</f>
        <v/>
      </c>
      <c r="B239" s="80" t="n"/>
      <c r="C239" s="74" t="n"/>
      <c r="D239" s="33">
        <f>IF($C239="","",IFERROR(INDEX(사업마스터!$B$5:$B$34,MATCH($C239,사업마스터!$A$5:$A$34,0)),"※ 미등록 사업번호"))</f>
        <v/>
      </c>
      <c r="E239" s="74" t="n"/>
      <c r="F239" s="36" t="n"/>
      <c r="G239" s="36" t="n"/>
      <c r="H239" s="74" t="n"/>
      <c r="I239" s="76" t="n"/>
      <c r="J239" s="74" t="n"/>
      <c r="K239" s="74" t="n"/>
      <c r="L239" s="36" t="n"/>
      <c r="N239">
        <f>IFERROR(MATCH($E239,코드설정!$S$5:$S$10,0),0)</f>
        <v/>
      </c>
    </row>
    <row r="240">
      <c r="A240" s="118">
        <f>IF($B240="","",COUNT($B$5:$B240))</f>
        <v/>
      </c>
      <c r="B240" s="80" t="n"/>
      <c r="C240" s="74" t="n"/>
      <c r="D240" s="33">
        <f>IF($C240="","",IFERROR(INDEX(사업마스터!$B$5:$B$34,MATCH($C240,사업마스터!$A$5:$A$34,0)),"※ 미등록 사업번호"))</f>
        <v/>
      </c>
      <c r="E240" s="74" t="n"/>
      <c r="F240" s="36" t="n"/>
      <c r="G240" s="36" t="n"/>
      <c r="H240" s="74" t="n"/>
      <c r="I240" s="76" t="n"/>
      <c r="J240" s="74" t="n"/>
      <c r="K240" s="74" t="n"/>
      <c r="L240" s="36" t="n"/>
      <c r="N240">
        <f>IFERROR(MATCH($E240,코드설정!$S$5:$S$10,0),0)</f>
        <v/>
      </c>
    </row>
    <row r="241">
      <c r="A241" s="118">
        <f>IF($B241="","",COUNT($B$5:$B241))</f>
        <v/>
      </c>
      <c r="B241" s="80" t="n"/>
      <c r="C241" s="74" t="n"/>
      <c r="D241" s="33">
        <f>IF($C241="","",IFERROR(INDEX(사업마스터!$B$5:$B$34,MATCH($C241,사업마스터!$A$5:$A$34,0)),"※ 미등록 사업번호"))</f>
        <v/>
      </c>
      <c r="E241" s="74" t="n"/>
      <c r="F241" s="36" t="n"/>
      <c r="G241" s="36" t="n"/>
      <c r="H241" s="74" t="n"/>
      <c r="I241" s="76" t="n"/>
      <c r="J241" s="74" t="n"/>
      <c r="K241" s="74" t="n"/>
      <c r="L241" s="36" t="n"/>
      <c r="N241">
        <f>IFERROR(MATCH($E241,코드설정!$S$5:$S$10,0),0)</f>
        <v/>
      </c>
    </row>
    <row r="242">
      <c r="A242" s="118">
        <f>IF($B242="","",COUNT($B$5:$B242))</f>
        <v/>
      </c>
      <c r="B242" s="80" t="n"/>
      <c r="C242" s="74" t="n"/>
      <c r="D242" s="33">
        <f>IF($C242="","",IFERROR(INDEX(사업마스터!$B$5:$B$34,MATCH($C242,사업마스터!$A$5:$A$34,0)),"※ 미등록 사업번호"))</f>
        <v/>
      </c>
      <c r="E242" s="74" t="n"/>
      <c r="F242" s="36" t="n"/>
      <c r="G242" s="36" t="n"/>
      <c r="H242" s="74" t="n"/>
      <c r="I242" s="76" t="n"/>
      <c r="J242" s="74" t="n"/>
      <c r="K242" s="74" t="n"/>
      <c r="L242" s="36" t="n"/>
      <c r="N242">
        <f>IFERROR(MATCH($E242,코드설정!$S$5:$S$10,0),0)</f>
        <v/>
      </c>
    </row>
    <row r="243">
      <c r="A243" s="118">
        <f>IF($B243="","",COUNT($B$5:$B243))</f>
        <v/>
      </c>
      <c r="B243" s="80" t="n"/>
      <c r="C243" s="74" t="n"/>
      <c r="D243" s="33">
        <f>IF($C243="","",IFERROR(INDEX(사업마스터!$B$5:$B$34,MATCH($C243,사업마스터!$A$5:$A$34,0)),"※ 미등록 사업번호"))</f>
        <v/>
      </c>
      <c r="E243" s="74" t="n"/>
      <c r="F243" s="36" t="n"/>
      <c r="G243" s="36" t="n"/>
      <c r="H243" s="74" t="n"/>
      <c r="I243" s="76" t="n"/>
      <c r="J243" s="74" t="n"/>
      <c r="K243" s="74" t="n"/>
      <c r="L243" s="36" t="n"/>
      <c r="N243">
        <f>IFERROR(MATCH($E243,코드설정!$S$5:$S$10,0),0)</f>
        <v/>
      </c>
    </row>
    <row r="244">
      <c r="A244" s="118">
        <f>IF($B244="","",COUNT($B$5:$B244))</f>
        <v/>
      </c>
      <c r="B244" s="80" t="n"/>
      <c r="C244" s="74" t="n"/>
      <c r="D244" s="33">
        <f>IF($C244="","",IFERROR(INDEX(사업마스터!$B$5:$B$34,MATCH($C244,사업마스터!$A$5:$A$34,0)),"※ 미등록 사업번호"))</f>
        <v/>
      </c>
      <c r="E244" s="74" t="n"/>
      <c r="F244" s="36" t="n"/>
      <c r="G244" s="36" t="n"/>
      <c r="H244" s="74" t="n"/>
      <c r="I244" s="76" t="n"/>
      <c r="J244" s="74" t="n"/>
      <c r="K244" s="74" t="n"/>
      <c r="L244" s="36" t="n"/>
      <c r="N244">
        <f>IFERROR(MATCH($E244,코드설정!$S$5:$S$10,0),0)</f>
        <v/>
      </c>
    </row>
    <row r="245">
      <c r="A245" s="118">
        <f>IF($B245="","",COUNT($B$5:$B245))</f>
        <v/>
      </c>
      <c r="B245" s="80" t="n"/>
      <c r="C245" s="74" t="n"/>
      <c r="D245" s="33">
        <f>IF($C245="","",IFERROR(INDEX(사업마스터!$B$5:$B$34,MATCH($C245,사업마스터!$A$5:$A$34,0)),"※ 미등록 사업번호"))</f>
        <v/>
      </c>
      <c r="E245" s="74" t="n"/>
      <c r="F245" s="36" t="n"/>
      <c r="G245" s="36" t="n"/>
      <c r="H245" s="74" t="n"/>
      <c r="I245" s="76" t="n"/>
      <c r="J245" s="74" t="n"/>
      <c r="K245" s="74" t="n"/>
      <c r="L245" s="36" t="n"/>
      <c r="N245">
        <f>IFERROR(MATCH($E245,코드설정!$S$5:$S$10,0),0)</f>
        <v/>
      </c>
    </row>
    <row r="246">
      <c r="A246" s="118">
        <f>IF($B246="","",COUNT($B$5:$B246))</f>
        <v/>
      </c>
      <c r="B246" s="80" t="n"/>
      <c r="C246" s="74" t="n"/>
      <c r="D246" s="33">
        <f>IF($C246="","",IFERROR(INDEX(사업마스터!$B$5:$B$34,MATCH($C246,사업마스터!$A$5:$A$34,0)),"※ 미등록 사업번호"))</f>
        <v/>
      </c>
      <c r="E246" s="74" t="n"/>
      <c r="F246" s="36" t="n"/>
      <c r="G246" s="36" t="n"/>
      <c r="H246" s="74" t="n"/>
      <c r="I246" s="76" t="n"/>
      <c r="J246" s="74" t="n"/>
      <c r="K246" s="74" t="n"/>
      <c r="L246" s="36" t="n"/>
      <c r="N246">
        <f>IFERROR(MATCH($E246,코드설정!$S$5:$S$10,0),0)</f>
        <v/>
      </c>
    </row>
    <row r="247">
      <c r="A247" s="118">
        <f>IF($B247="","",COUNT($B$5:$B247))</f>
        <v/>
      </c>
      <c r="B247" s="80" t="n"/>
      <c r="C247" s="74" t="n"/>
      <c r="D247" s="33">
        <f>IF($C247="","",IFERROR(INDEX(사업마스터!$B$5:$B$34,MATCH($C247,사업마스터!$A$5:$A$34,0)),"※ 미등록 사업번호"))</f>
        <v/>
      </c>
      <c r="E247" s="74" t="n"/>
      <c r="F247" s="36" t="n"/>
      <c r="G247" s="36" t="n"/>
      <c r="H247" s="74" t="n"/>
      <c r="I247" s="76" t="n"/>
      <c r="J247" s="74" t="n"/>
      <c r="K247" s="74" t="n"/>
      <c r="L247" s="36" t="n"/>
      <c r="N247">
        <f>IFERROR(MATCH($E247,코드설정!$S$5:$S$10,0),0)</f>
        <v/>
      </c>
    </row>
    <row r="248">
      <c r="A248" s="118">
        <f>IF($B248="","",COUNT($B$5:$B248))</f>
        <v/>
      </c>
      <c r="B248" s="80" t="n"/>
      <c r="C248" s="74" t="n"/>
      <c r="D248" s="33">
        <f>IF($C248="","",IFERROR(INDEX(사업마스터!$B$5:$B$34,MATCH($C248,사업마스터!$A$5:$A$34,0)),"※ 미등록 사업번호"))</f>
        <v/>
      </c>
      <c r="E248" s="74" t="n"/>
      <c r="F248" s="36" t="n"/>
      <c r="G248" s="36" t="n"/>
      <c r="H248" s="74" t="n"/>
      <c r="I248" s="76" t="n"/>
      <c r="J248" s="74" t="n"/>
      <c r="K248" s="74" t="n"/>
      <c r="L248" s="36" t="n"/>
      <c r="N248">
        <f>IFERROR(MATCH($E248,코드설정!$S$5:$S$10,0),0)</f>
        <v/>
      </c>
    </row>
    <row r="249">
      <c r="A249" s="118">
        <f>IF($B249="","",COUNT($B$5:$B249))</f>
        <v/>
      </c>
      <c r="B249" s="80" t="n"/>
      <c r="C249" s="74" t="n"/>
      <c r="D249" s="33">
        <f>IF($C249="","",IFERROR(INDEX(사업마스터!$B$5:$B$34,MATCH($C249,사업마스터!$A$5:$A$34,0)),"※ 미등록 사업번호"))</f>
        <v/>
      </c>
      <c r="E249" s="74" t="n"/>
      <c r="F249" s="36" t="n"/>
      <c r="G249" s="36" t="n"/>
      <c r="H249" s="74" t="n"/>
      <c r="I249" s="76" t="n"/>
      <c r="J249" s="74" t="n"/>
      <c r="K249" s="74" t="n"/>
      <c r="L249" s="36" t="n"/>
      <c r="N249">
        <f>IFERROR(MATCH($E249,코드설정!$S$5:$S$10,0),0)</f>
        <v/>
      </c>
    </row>
    <row r="250">
      <c r="A250" s="118">
        <f>IF($B250="","",COUNT($B$5:$B250))</f>
        <v/>
      </c>
      <c r="B250" s="80" t="n"/>
      <c r="C250" s="74" t="n"/>
      <c r="D250" s="33">
        <f>IF($C250="","",IFERROR(INDEX(사업마스터!$B$5:$B$34,MATCH($C250,사업마스터!$A$5:$A$34,0)),"※ 미등록 사업번호"))</f>
        <v/>
      </c>
      <c r="E250" s="74" t="n"/>
      <c r="F250" s="36" t="n"/>
      <c r="G250" s="36" t="n"/>
      <c r="H250" s="74" t="n"/>
      <c r="I250" s="76" t="n"/>
      <c r="J250" s="74" t="n"/>
      <c r="K250" s="74" t="n"/>
      <c r="L250" s="36" t="n"/>
      <c r="N250">
        <f>IFERROR(MATCH($E250,코드설정!$S$5:$S$10,0),0)</f>
        <v/>
      </c>
    </row>
    <row r="251">
      <c r="A251" s="118">
        <f>IF($B251="","",COUNT($B$5:$B251))</f>
        <v/>
      </c>
      <c r="B251" s="80" t="n"/>
      <c r="C251" s="74" t="n"/>
      <c r="D251" s="33">
        <f>IF($C251="","",IFERROR(INDEX(사업마스터!$B$5:$B$34,MATCH($C251,사업마스터!$A$5:$A$34,0)),"※ 미등록 사업번호"))</f>
        <v/>
      </c>
      <c r="E251" s="74" t="n"/>
      <c r="F251" s="36" t="n"/>
      <c r="G251" s="36" t="n"/>
      <c r="H251" s="74" t="n"/>
      <c r="I251" s="76" t="n"/>
      <c r="J251" s="74" t="n"/>
      <c r="K251" s="74" t="n"/>
      <c r="L251" s="36" t="n"/>
      <c r="N251">
        <f>IFERROR(MATCH($E251,코드설정!$S$5:$S$10,0),0)</f>
        <v/>
      </c>
    </row>
    <row r="252">
      <c r="A252" s="118">
        <f>IF($B252="","",COUNT($B$5:$B252))</f>
        <v/>
      </c>
      <c r="B252" s="80" t="n"/>
      <c r="C252" s="74" t="n"/>
      <c r="D252" s="33">
        <f>IF($C252="","",IFERROR(INDEX(사업마스터!$B$5:$B$34,MATCH($C252,사업마스터!$A$5:$A$34,0)),"※ 미등록 사업번호"))</f>
        <v/>
      </c>
      <c r="E252" s="74" t="n"/>
      <c r="F252" s="36" t="n"/>
      <c r="G252" s="36" t="n"/>
      <c r="H252" s="74" t="n"/>
      <c r="I252" s="76" t="n"/>
      <c r="J252" s="74" t="n"/>
      <c r="K252" s="74" t="n"/>
      <c r="L252" s="36" t="n"/>
      <c r="N252">
        <f>IFERROR(MATCH($E252,코드설정!$S$5:$S$10,0),0)</f>
        <v/>
      </c>
    </row>
    <row r="253">
      <c r="A253" s="118">
        <f>IF($B253="","",COUNT($B$5:$B253))</f>
        <v/>
      </c>
      <c r="B253" s="80" t="n"/>
      <c r="C253" s="74" t="n"/>
      <c r="D253" s="33">
        <f>IF($C253="","",IFERROR(INDEX(사업마스터!$B$5:$B$34,MATCH($C253,사업마스터!$A$5:$A$34,0)),"※ 미등록 사업번호"))</f>
        <v/>
      </c>
      <c r="E253" s="74" t="n"/>
      <c r="F253" s="36" t="n"/>
      <c r="G253" s="36" t="n"/>
      <c r="H253" s="74" t="n"/>
      <c r="I253" s="76" t="n"/>
      <c r="J253" s="74" t="n"/>
      <c r="K253" s="74" t="n"/>
      <c r="L253" s="36" t="n"/>
      <c r="N253">
        <f>IFERROR(MATCH($E253,코드설정!$S$5:$S$10,0),0)</f>
        <v/>
      </c>
    </row>
    <row r="254">
      <c r="A254" s="118">
        <f>IF($B254="","",COUNT($B$5:$B254))</f>
        <v/>
      </c>
      <c r="B254" s="80" t="n"/>
      <c r="C254" s="74" t="n"/>
      <c r="D254" s="33">
        <f>IF($C254="","",IFERROR(INDEX(사업마스터!$B$5:$B$34,MATCH($C254,사업마스터!$A$5:$A$34,0)),"※ 미등록 사업번호"))</f>
        <v/>
      </c>
      <c r="E254" s="74" t="n"/>
      <c r="F254" s="36" t="n"/>
      <c r="G254" s="36" t="n"/>
      <c r="H254" s="74" t="n"/>
      <c r="I254" s="76" t="n"/>
      <c r="J254" s="74" t="n"/>
      <c r="K254" s="74" t="n"/>
      <c r="L254" s="36" t="n"/>
      <c r="N254">
        <f>IFERROR(MATCH($E254,코드설정!$S$5:$S$10,0),0)</f>
        <v/>
      </c>
    </row>
    <row r="255">
      <c r="A255" s="118">
        <f>IF($B255="","",COUNT($B$5:$B255))</f>
        <v/>
      </c>
      <c r="B255" s="80" t="n"/>
      <c r="C255" s="74" t="n"/>
      <c r="D255" s="33">
        <f>IF($C255="","",IFERROR(INDEX(사업마스터!$B$5:$B$34,MATCH($C255,사업마스터!$A$5:$A$34,0)),"※ 미등록 사업번호"))</f>
        <v/>
      </c>
      <c r="E255" s="74" t="n"/>
      <c r="F255" s="36" t="n"/>
      <c r="G255" s="36" t="n"/>
      <c r="H255" s="74" t="n"/>
      <c r="I255" s="76" t="n"/>
      <c r="J255" s="74" t="n"/>
      <c r="K255" s="74" t="n"/>
      <c r="L255" s="36" t="n"/>
      <c r="N255">
        <f>IFERROR(MATCH($E255,코드설정!$S$5:$S$10,0),0)</f>
        <v/>
      </c>
    </row>
    <row r="256">
      <c r="A256" s="118">
        <f>IF($B256="","",COUNT($B$5:$B256))</f>
        <v/>
      </c>
      <c r="B256" s="80" t="n"/>
      <c r="C256" s="74" t="n"/>
      <c r="D256" s="33">
        <f>IF($C256="","",IFERROR(INDEX(사업마스터!$B$5:$B$34,MATCH($C256,사업마스터!$A$5:$A$34,0)),"※ 미등록 사업번호"))</f>
        <v/>
      </c>
      <c r="E256" s="74" t="n"/>
      <c r="F256" s="36" t="n"/>
      <c r="G256" s="36" t="n"/>
      <c r="H256" s="74" t="n"/>
      <c r="I256" s="76" t="n"/>
      <c r="J256" s="74" t="n"/>
      <c r="K256" s="74" t="n"/>
      <c r="L256" s="36" t="n"/>
      <c r="N256">
        <f>IFERROR(MATCH($E256,코드설정!$S$5:$S$10,0),0)</f>
        <v/>
      </c>
    </row>
    <row r="257">
      <c r="A257" s="118">
        <f>IF($B257="","",COUNT($B$5:$B257))</f>
        <v/>
      </c>
      <c r="B257" s="80" t="n"/>
      <c r="C257" s="74" t="n"/>
      <c r="D257" s="33">
        <f>IF($C257="","",IFERROR(INDEX(사업마스터!$B$5:$B$34,MATCH($C257,사업마스터!$A$5:$A$34,0)),"※ 미등록 사업번호"))</f>
        <v/>
      </c>
      <c r="E257" s="74" t="n"/>
      <c r="F257" s="36" t="n"/>
      <c r="G257" s="36" t="n"/>
      <c r="H257" s="74" t="n"/>
      <c r="I257" s="76" t="n"/>
      <c r="J257" s="74" t="n"/>
      <c r="K257" s="74" t="n"/>
      <c r="L257" s="36" t="n"/>
      <c r="N257">
        <f>IFERROR(MATCH($E257,코드설정!$S$5:$S$10,0),0)</f>
        <v/>
      </c>
    </row>
    <row r="258">
      <c r="A258" s="118">
        <f>IF($B258="","",COUNT($B$5:$B258))</f>
        <v/>
      </c>
      <c r="B258" s="80" t="n"/>
      <c r="C258" s="74" t="n"/>
      <c r="D258" s="33">
        <f>IF($C258="","",IFERROR(INDEX(사업마스터!$B$5:$B$34,MATCH($C258,사업마스터!$A$5:$A$34,0)),"※ 미등록 사업번호"))</f>
        <v/>
      </c>
      <c r="E258" s="74" t="n"/>
      <c r="F258" s="36" t="n"/>
      <c r="G258" s="36" t="n"/>
      <c r="H258" s="74" t="n"/>
      <c r="I258" s="76" t="n"/>
      <c r="J258" s="74" t="n"/>
      <c r="K258" s="74" t="n"/>
      <c r="L258" s="36" t="n"/>
      <c r="N258">
        <f>IFERROR(MATCH($E258,코드설정!$S$5:$S$10,0),0)</f>
        <v/>
      </c>
    </row>
    <row r="259">
      <c r="A259" s="118">
        <f>IF($B259="","",COUNT($B$5:$B259))</f>
        <v/>
      </c>
      <c r="B259" s="80" t="n"/>
      <c r="C259" s="74" t="n"/>
      <c r="D259" s="33">
        <f>IF($C259="","",IFERROR(INDEX(사업마스터!$B$5:$B$34,MATCH($C259,사업마스터!$A$5:$A$34,0)),"※ 미등록 사업번호"))</f>
        <v/>
      </c>
      <c r="E259" s="74" t="n"/>
      <c r="F259" s="36" t="n"/>
      <c r="G259" s="36" t="n"/>
      <c r="H259" s="74" t="n"/>
      <c r="I259" s="76" t="n"/>
      <c r="J259" s="74" t="n"/>
      <c r="K259" s="74" t="n"/>
      <c r="L259" s="36" t="n"/>
      <c r="N259">
        <f>IFERROR(MATCH($E259,코드설정!$S$5:$S$10,0),0)</f>
        <v/>
      </c>
    </row>
    <row r="260">
      <c r="A260" s="118">
        <f>IF($B260="","",COUNT($B$5:$B260))</f>
        <v/>
      </c>
      <c r="B260" s="80" t="n"/>
      <c r="C260" s="74" t="n"/>
      <c r="D260" s="33">
        <f>IF($C260="","",IFERROR(INDEX(사업마스터!$B$5:$B$34,MATCH($C260,사업마스터!$A$5:$A$34,0)),"※ 미등록 사업번호"))</f>
        <v/>
      </c>
      <c r="E260" s="74" t="n"/>
      <c r="F260" s="36" t="n"/>
      <c r="G260" s="36" t="n"/>
      <c r="H260" s="74" t="n"/>
      <c r="I260" s="76" t="n"/>
      <c r="J260" s="74" t="n"/>
      <c r="K260" s="74" t="n"/>
      <c r="L260" s="36" t="n"/>
      <c r="N260">
        <f>IFERROR(MATCH($E260,코드설정!$S$5:$S$10,0),0)</f>
        <v/>
      </c>
    </row>
    <row r="261">
      <c r="A261" s="118">
        <f>IF($B261="","",COUNT($B$5:$B261))</f>
        <v/>
      </c>
      <c r="B261" s="80" t="n"/>
      <c r="C261" s="74" t="n"/>
      <c r="D261" s="33">
        <f>IF($C261="","",IFERROR(INDEX(사업마스터!$B$5:$B$34,MATCH($C261,사업마스터!$A$5:$A$34,0)),"※ 미등록 사업번호"))</f>
        <v/>
      </c>
      <c r="E261" s="74" t="n"/>
      <c r="F261" s="36" t="n"/>
      <c r="G261" s="36" t="n"/>
      <c r="H261" s="74" t="n"/>
      <c r="I261" s="76" t="n"/>
      <c r="J261" s="74" t="n"/>
      <c r="K261" s="74" t="n"/>
      <c r="L261" s="36" t="n"/>
      <c r="N261">
        <f>IFERROR(MATCH($E261,코드설정!$S$5:$S$10,0),0)</f>
        <v/>
      </c>
    </row>
    <row r="262">
      <c r="A262" s="118">
        <f>IF($B262="","",COUNT($B$5:$B262))</f>
        <v/>
      </c>
      <c r="B262" s="80" t="n"/>
      <c r="C262" s="74" t="n"/>
      <c r="D262" s="33">
        <f>IF($C262="","",IFERROR(INDEX(사업마스터!$B$5:$B$34,MATCH($C262,사업마스터!$A$5:$A$34,0)),"※ 미등록 사업번호"))</f>
        <v/>
      </c>
      <c r="E262" s="74" t="n"/>
      <c r="F262" s="36" t="n"/>
      <c r="G262" s="36" t="n"/>
      <c r="H262" s="74" t="n"/>
      <c r="I262" s="76" t="n"/>
      <c r="J262" s="74" t="n"/>
      <c r="K262" s="74" t="n"/>
      <c r="L262" s="36" t="n"/>
      <c r="N262">
        <f>IFERROR(MATCH($E262,코드설정!$S$5:$S$10,0),0)</f>
        <v/>
      </c>
    </row>
    <row r="263">
      <c r="A263" s="118">
        <f>IF($B263="","",COUNT($B$5:$B263))</f>
        <v/>
      </c>
      <c r="B263" s="80" t="n"/>
      <c r="C263" s="74" t="n"/>
      <c r="D263" s="33">
        <f>IF($C263="","",IFERROR(INDEX(사업마스터!$B$5:$B$34,MATCH($C263,사업마스터!$A$5:$A$34,0)),"※ 미등록 사업번호"))</f>
        <v/>
      </c>
      <c r="E263" s="74" t="n"/>
      <c r="F263" s="36" t="n"/>
      <c r="G263" s="36" t="n"/>
      <c r="H263" s="74" t="n"/>
      <c r="I263" s="76" t="n"/>
      <c r="J263" s="74" t="n"/>
      <c r="K263" s="74" t="n"/>
      <c r="L263" s="36" t="n"/>
      <c r="N263">
        <f>IFERROR(MATCH($E263,코드설정!$S$5:$S$10,0),0)</f>
        <v/>
      </c>
    </row>
    <row r="264">
      <c r="A264" s="118">
        <f>IF($B264="","",COUNT($B$5:$B264))</f>
        <v/>
      </c>
      <c r="B264" s="80" t="n"/>
      <c r="C264" s="74" t="n"/>
      <c r="D264" s="33">
        <f>IF($C264="","",IFERROR(INDEX(사업마스터!$B$5:$B$34,MATCH($C264,사업마스터!$A$5:$A$34,0)),"※ 미등록 사업번호"))</f>
        <v/>
      </c>
      <c r="E264" s="74" t="n"/>
      <c r="F264" s="36" t="n"/>
      <c r="G264" s="36" t="n"/>
      <c r="H264" s="74" t="n"/>
      <c r="I264" s="76" t="n"/>
      <c r="J264" s="74" t="n"/>
      <c r="K264" s="74" t="n"/>
      <c r="L264" s="36" t="n"/>
      <c r="N264">
        <f>IFERROR(MATCH($E264,코드설정!$S$5:$S$10,0),0)</f>
        <v/>
      </c>
    </row>
    <row r="265">
      <c r="A265" s="118">
        <f>IF($B265="","",COUNT($B$5:$B265))</f>
        <v/>
      </c>
      <c r="B265" s="80" t="n"/>
      <c r="C265" s="74" t="n"/>
      <c r="D265" s="33">
        <f>IF($C265="","",IFERROR(INDEX(사업마스터!$B$5:$B$34,MATCH($C265,사업마스터!$A$5:$A$34,0)),"※ 미등록 사업번호"))</f>
        <v/>
      </c>
      <c r="E265" s="74" t="n"/>
      <c r="F265" s="36" t="n"/>
      <c r="G265" s="36" t="n"/>
      <c r="H265" s="74" t="n"/>
      <c r="I265" s="76" t="n"/>
      <c r="J265" s="74" t="n"/>
      <c r="K265" s="74" t="n"/>
      <c r="L265" s="36" t="n"/>
      <c r="N265">
        <f>IFERROR(MATCH($E265,코드설정!$S$5:$S$10,0),0)</f>
        <v/>
      </c>
    </row>
    <row r="266">
      <c r="A266" s="118">
        <f>IF($B266="","",COUNT($B$5:$B266))</f>
        <v/>
      </c>
      <c r="B266" s="80" t="n"/>
      <c r="C266" s="74" t="n"/>
      <c r="D266" s="33">
        <f>IF($C266="","",IFERROR(INDEX(사업마스터!$B$5:$B$34,MATCH($C266,사업마스터!$A$5:$A$34,0)),"※ 미등록 사업번호"))</f>
        <v/>
      </c>
      <c r="E266" s="74" t="n"/>
      <c r="F266" s="36" t="n"/>
      <c r="G266" s="36" t="n"/>
      <c r="H266" s="74" t="n"/>
      <c r="I266" s="76" t="n"/>
      <c r="J266" s="74" t="n"/>
      <c r="K266" s="74" t="n"/>
      <c r="L266" s="36" t="n"/>
      <c r="N266">
        <f>IFERROR(MATCH($E266,코드설정!$S$5:$S$10,0),0)</f>
        <v/>
      </c>
    </row>
    <row r="267">
      <c r="A267" s="118">
        <f>IF($B267="","",COUNT($B$5:$B267))</f>
        <v/>
      </c>
      <c r="B267" s="80" t="n"/>
      <c r="C267" s="74" t="n"/>
      <c r="D267" s="33">
        <f>IF($C267="","",IFERROR(INDEX(사업마스터!$B$5:$B$34,MATCH($C267,사업마스터!$A$5:$A$34,0)),"※ 미등록 사업번호"))</f>
        <v/>
      </c>
      <c r="E267" s="74" t="n"/>
      <c r="F267" s="36" t="n"/>
      <c r="G267" s="36" t="n"/>
      <c r="H267" s="74" t="n"/>
      <c r="I267" s="76" t="n"/>
      <c r="J267" s="74" t="n"/>
      <c r="K267" s="74" t="n"/>
      <c r="L267" s="36" t="n"/>
      <c r="N267">
        <f>IFERROR(MATCH($E267,코드설정!$S$5:$S$10,0),0)</f>
        <v/>
      </c>
    </row>
    <row r="268">
      <c r="A268" s="118">
        <f>IF($B268="","",COUNT($B$5:$B268))</f>
        <v/>
      </c>
      <c r="B268" s="80" t="n"/>
      <c r="C268" s="74" t="n"/>
      <c r="D268" s="33">
        <f>IF($C268="","",IFERROR(INDEX(사업마스터!$B$5:$B$34,MATCH($C268,사업마스터!$A$5:$A$34,0)),"※ 미등록 사업번호"))</f>
        <v/>
      </c>
      <c r="E268" s="74" t="n"/>
      <c r="F268" s="36" t="n"/>
      <c r="G268" s="36" t="n"/>
      <c r="H268" s="74" t="n"/>
      <c r="I268" s="76" t="n"/>
      <c r="J268" s="74" t="n"/>
      <c r="K268" s="74" t="n"/>
      <c r="L268" s="36" t="n"/>
      <c r="N268">
        <f>IFERROR(MATCH($E268,코드설정!$S$5:$S$10,0),0)</f>
        <v/>
      </c>
    </row>
    <row r="269">
      <c r="A269" s="118">
        <f>IF($B269="","",COUNT($B$5:$B269))</f>
        <v/>
      </c>
      <c r="B269" s="80" t="n"/>
      <c r="C269" s="74" t="n"/>
      <c r="D269" s="33">
        <f>IF($C269="","",IFERROR(INDEX(사업마스터!$B$5:$B$34,MATCH($C269,사업마스터!$A$5:$A$34,0)),"※ 미등록 사업번호"))</f>
        <v/>
      </c>
      <c r="E269" s="74" t="n"/>
      <c r="F269" s="36" t="n"/>
      <c r="G269" s="36" t="n"/>
      <c r="H269" s="74" t="n"/>
      <c r="I269" s="76" t="n"/>
      <c r="J269" s="74" t="n"/>
      <c r="K269" s="74" t="n"/>
      <c r="L269" s="36" t="n"/>
      <c r="N269">
        <f>IFERROR(MATCH($E269,코드설정!$S$5:$S$10,0),0)</f>
        <v/>
      </c>
    </row>
    <row r="270">
      <c r="A270" s="118">
        <f>IF($B270="","",COUNT($B$5:$B270))</f>
        <v/>
      </c>
      <c r="B270" s="80" t="n"/>
      <c r="C270" s="74" t="n"/>
      <c r="D270" s="33">
        <f>IF($C270="","",IFERROR(INDEX(사업마스터!$B$5:$B$34,MATCH($C270,사업마스터!$A$5:$A$34,0)),"※ 미등록 사업번호"))</f>
        <v/>
      </c>
      <c r="E270" s="74" t="n"/>
      <c r="F270" s="36" t="n"/>
      <c r="G270" s="36" t="n"/>
      <c r="H270" s="74" t="n"/>
      <c r="I270" s="76" t="n"/>
      <c r="J270" s="74" t="n"/>
      <c r="K270" s="74" t="n"/>
      <c r="L270" s="36" t="n"/>
      <c r="N270">
        <f>IFERROR(MATCH($E270,코드설정!$S$5:$S$10,0),0)</f>
        <v/>
      </c>
    </row>
    <row r="271">
      <c r="A271" s="118">
        <f>IF($B271="","",COUNT($B$5:$B271))</f>
        <v/>
      </c>
      <c r="B271" s="80" t="n"/>
      <c r="C271" s="74" t="n"/>
      <c r="D271" s="33">
        <f>IF($C271="","",IFERROR(INDEX(사업마스터!$B$5:$B$34,MATCH($C271,사업마스터!$A$5:$A$34,0)),"※ 미등록 사업번호"))</f>
        <v/>
      </c>
      <c r="E271" s="74" t="n"/>
      <c r="F271" s="36" t="n"/>
      <c r="G271" s="36" t="n"/>
      <c r="H271" s="74" t="n"/>
      <c r="I271" s="76" t="n"/>
      <c r="J271" s="74" t="n"/>
      <c r="K271" s="74" t="n"/>
      <c r="L271" s="36" t="n"/>
      <c r="N271">
        <f>IFERROR(MATCH($E271,코드설정!$S$5:$S$10,0),0)</f>
        <v/>
      </c>
    </row>
    <row r="272">
      <c r="A272" s="118">
        <f>IF($B272="","",COUNT($B$5:$B272))</f>
        <v/>
      </c>
      <c r="B272" s="80" t="n"/>
      <c r="C272" s="74" t="n"/>
      <c r="D272" s="33">
        <f>IF($C272="","",IFERROR(INDEX(사업마스터!$B$5:$B$34,MATCH($C272,사업마스터!$A$5:$A$34,0)),"※ 미등록 사업번호"))</f>
        <v/>
      </c>
      <c r="E272" s="74" t="n"/>
      <c r="F272" s="36" t="n"/>
      <c r="G272" s="36" t="n"/>
      <c r="H272" s="74" t="n"/>
      <c r="I272" s="76" t="n"/>
      <c r="J272" s="74" t="n"/>
      <c r="K272" s="74" t="n"/>
      <c r="L272" s="36" t="n"/>
      <c r="N272">
        <f>IFERROR(MATCH($E272,코드설정!$S$5:$S$10,0),0)</f>
        <v/>
      </c>
    </row>
    <row r="273">
      <c r="A273" s="118">
        <f>IF($B273="","",COUNT($B$5:$B273))</f>
        <v/>
      </c>
      <c r="B273" s="80" t="n"/>
      <c r="C273" s="74" t="n"/>
      <c r="D273" s="33">
        <f>IF($C273="","",IFERROR(INDEX(사업마스터!$B$5:$B$34,MATCH($C273,사업마스터!$A$5:$A$34,0)),"※ 미등록 사업번호"))</f>
        <v/>
      </c>
      <c r="E273" s="74" t="n"/>
      <c r="F273" s="36" t="n"/>
      <c r="G273" s="36" t="n"/>
      <c r="H273" s="74" t="n"/>
      <c r="I273" s="76" t="n"/>
      <c r="J273" s="74" t="n"/>
      <c r="K273" s="74" t="n"/>
      <c r="L273" s="36" t="n"/>
      <c r="N273">
        <f>IFERROR(MATCH($E273,코드설정!$S$5:$S$10,0),0)</f>
        <v/>
      </c>
    </row>
    <row r="274">
      <c r="A274" s="118">
        <f>IF($B274="","",COUNT($B$5:$B274))</f>
        <v/>
      </c>
      <c r="B274" s="80" t="n"/>
      <c r="C274" s="74" t="n"/>
      <c r="D274" s="33">
        <f>IF($C274="","",IFERROR(INDEX(사업마스터!$B$5:$B$34,MATCH($C274,사업마스터!$A$5:$A$34,0)),"※ 미등록 사업번호"))</f>
        <v/>
      </c>
      <c r="E274" s="74" t="n"/>
      <c r="F274" s="36" t="n"/>
      <c r="G274" s="36" t="n"/>
      <c r="H274" s="74" t="n"/>
      <c r="I274" s="76" t="n"/>
      <c r="J274" s="74" t="n"/>
      <c r="K274" s="74" t="n"/>
      <c r="L274" s="36" t="n"/>
      <c r="N274">
        <f>IFERROR(MATCH($E274,코드설정!$S$5:$S$10,0),0)</f>
        <v/>
      </c>
    </row>
    <row r="275">
      <c r="A275" s="118">
        <f>IF($B275="","",COUNT($B$5:$B275))</f>
        <v/>
      </c>
      <c r="B275" s="80" t="n"/>
      <c r="C275" s="74" t="n"/>
      <c r="D275" s="33">
        <f>IF($C275="","",IFERROR(INDEX(사업마스터!$B$5:$B$34,MATCH($C275,사업마스터!$A$5:$A$34,0)),"※ 미등록 사업번호"))</f>
        <v/>
      </c>
      <c r="E275" s="74" t="n"/>
      <c r="F275" s="36" t="n"/>
      <c r="G275" s="36" t="n"/>
      <c r="H275" s="74" t="n"/>
      <c r="I275" s="76" t="n"/>
      <c r="J275" s="74" t="n"/>
      <c r="K275" s="74" t="n"/>
      <c r="L275" s="36" t="n"/>
      <c r="N275">
        <f>IFERROR(MATCH($E275,코드설정!$S$5:$S$10,0),0)</f>
        <v/>
      </c>
    </row>
    <row r="276">
      <c r="A276" s="118">
        <f>IF($B276="","",COUNT($B$5:$B276))</f>
        <v/>
      </c>
      <c r="B276" s="80" t="n"/>
      <c r="C276" s="74" t="n"/>
      <c r="D276" s="33">
        <f>IF($C276="","",IFERROR(INDEX(사업마스터!$B$5:$B$34,MATCH($C276,사업마스터!$A$5:$A$34,0)),"※ 미등록 사업번호"))</f>
        <v/>
      </c>
      <c r="E276" s="74" t="n"/>
      <c r="F276" s="36" t="n"/>
      <c r="G276" s="36" t="n"/>
      <c r="H276" s="74" t="n"/>
      <c r="I276" s="76" t="n"/>
      <c r="J276" s="74" t="n"/>
      <c r="K276" s="74" t="n"/>
      <c r="L276" s="36" t="n"/>
      <c r="N276">
        <f>IFERROR(MATCH($E276,코드설정!$S$5:$S$10,0),0)</f>
        <v/>
      </c>
    </row>
    <row r="277">
      <c r="A277" s="118">
        <f>IF($B277="","",COUNT($B$5:$B277))</f>
        <v/>
      </c>
      <c r="B277" s="80" t="n"/>
      <c r="C277" s="74" t="n"/>
      <c r="D277" s="33">
        <f>IF($C277="","",IFERROR(INDEX(사업마스터!$B$5:$B$34,MATCH($C277,사업마스터!$A$5:$A$34,0)),"※ 미등록 사업번호"))</f>
        <v/>
      </c>
      <c r="E277" s="74" t="n"/>
      <c r="F277" s="36" t="n"/>
      <c r="G277" s="36" t="n"/>
      <c r="H277" s="74" t="n"/>
      <c r="I277" s="76" t="n"/>
      <c r="J277" s="74" t="n"/>
      <c r="K277" s="74" t="n"/>
      <c r="L277" s="36" t="n"/>
      <c r="N277">
        <f>IFERROR(MATCH($E277,코드설정!$S$5:$S$10,0),0)</f>
        <v/>
      </c>
    </row>
    <row r="278">
      <c r="A278" s="118">
        <f>IF($B278="","",COUNT($B$5:$B278))</f>
        <v/>
      </c>
      <c r="B278" s="80" t="n"/>
      <c r="C278" s="74" t="n"/>
      <c r="D278" s="33">
        <f>IF($C278="","",IFERROR(INDEX(사업마스터!$B$5:$B$34,MATCH($C278,사업마스터!$A$5:$A$34,0)),"※ 미등록 사업번호"))</f>
        <v/>
      </c>
      <c r="E278" s="74" t="n"/>
      <c r="F278" s="36" t="n"/>
      <c r="G278" s="36" t="n"/>
      <c r="H278" s="74" t="n"/>
      <c r="I278" s="76" t="n"/>
      <c r="J278" s="74" t="n"/>
      <c r="K278" s="74" t="n"/>
      <c r="L278" s="36" t="n"/>
      <c r="N278">
        <f>IFERROR(MATCH($E278,코드설정!$S$5:$S$10,0),0)</f>
        <v/>
      </c>
    </row>
    <row r="279">
      <c r="A279" s="118">
        <f>IF($B279="","",COUNT($B$5:$B279))</f>
        <v/>
      </c>
      <c r="B279" s="80" t="n"/>
      <c r="C279" s="74" t="n"/>
      <c r="D279" s="33">
        <f>IF($C279="","",IFERROR(INDEX(사업마스터!$B$5:$B$34,MATCH($C279,사업마스터!$A$5:$A$34,0)),"※ 미등록 사업번호"))</f>
        <v/>
      </c>
      <c r="E279" s="74" t="n"/>
      <c r="F279" s="36" t="n"/>
      <c r="G279" s="36" t="n"/>
      <c r="H279" s="74" t="n"/>
      <c r="I279" s="76" t="n"/>
      <c r="J279" s="74" t="n"/>
      <c r="K279" s="74" t="n"/>
      <c r="L279" s="36" t="n"/>
      <c r="N279">
        <f>IFERROR(MATCH($E279,코드설정!$S$5:$S$10,0),0)</f>
        <v/>
      </c>
    </row>
    <row r="280">
      <c r="A280" s="118">
        <f>IF($B280="","",COUNT($B$5:$B280))</f>
        <v/>
      </c>
      <c r="B280" s="80" t="n"/>
      <c r="C280" s="74" t="n"/>
      <c r="D280" s="33">
        <f>IF($C280="","",IFERROR(INDEX(사업마스터!$B$5:$B$34,MATCH($C280,사업마스터!$A$5:$A$34,0)),"※ 미등록 사업번호"))</f>
        <v/>
      </c>
      <c r="E280" s="74" t="n"/>
      <c r="F280" s="36" t="n"/>
      <c r="G280" s="36" t="n"/>
      <c r="H280" s="74" t="n"/>
      <c r="I280" s="76" t="n"/>
      <c r="J280" s="74" t="n"/>
      <c r="K280" s="74" t="n"/>
      <c r="L280" s="36" t="n"/>
      <c r="N280">
        <f>IFERROR(MATCH($E280,코드설정!$S$5:$S$10,0),0)</f>
        <v/>
      </c>
    </row>
    <row r="281">
      <c r="A281" s="118">
        <f>IF($B281="","",COUNT($B$5:$B281))</f>
        <v/>
      </c>
      <c r="B281" s="80" t="n"/>
      <c r="C281" s="74" t="n"/>
      <c r="D281" s="33">
        <f>IF($C281="","",IFERROR(INDEX(사업마스터!$B$5:$B$34,MATCH($C281,사업마스터!$A$5:$A$34,0)),"※ 미등록 사업번호"))</f>
        <v/>
      </c>
      <c r="E281" s="74" t="n"/>
      <c r="F281" s="36" t="n"/>
      <c r="G281" s="36" t="n"/>
      <c r="H281" s="74" t="n"/>
      <c r="I281" s="76" t="n"/>
      <c r="J281" s="74" t="n"/>
      <c r="K281" s="74" t="n"/>
      <c r="L281" s="36" t="n"/>
      <c r="N281">
        <f>IFERROR(MATCH($E281,코드설정!$S$5:$S$10,0),0)</f>
        <v/>
      </c>
    </row>
    <row r="282">
      <c r="A282" s="118">
        <f>IF($B282="","",COUNT($B$5:$B282))</f>
        <v/>
      </c>
      <c r="B282" s="80" t="n"/>
      <c r="C282" s="74" t="n"/>
      <c r="D282" s="33">
        <f>IF($C282="","",IFERROR(INDEX(사업마스터!$B$5:$B$34,MATCH($C282,사업마스터!$A$5:$A$34,0)),"※ 미등록 사업번호"))</f>
        <v/>
      </c>
      <c r="E282" s="74" t="n"/>
      <c r="F282" s="36" t="n"/>
      <c r="G282" s="36" t="n"/>
      <c r="H282" s="74" t="n"/>
      <c r="I282" s="76" t="n"/>
      <c r="J282" s="74" t="n"/>
      <c r="K282" s="74" t="n"/>
      <c r="L282" s="36" t="n"/>
      <c r="N282">
        <f>IFERROR(MATCH($E282,코드설정!$S$5:$S$10,0),0)</f>
        <v/>
      </c>
    </row>
    <row r="283">
      <c r="A283" s="118">
        <f>IF($B283="","",COUNT($B$5:$B283))</f>
        <v/>
      </c>
      <c r="B283" s="80" t="n"/>
      <c r="C283" s="74" t="n"/>
      <c r="D283" s="33">
        <f>IF($C283="","",IFERROR(INDEX(사업마스터!$B$5:$B$34,MATCH($C283,사업마스터!$A$5:$A$34,0)),"※ 미등록 사업번호"))</f>
        <v/>
      </c>
      <c r="E283" s="74" t="n"/>
      <c r="F283" s="36" t="n"/>
      <c r="G283" s="36" t="n"/>
      <c r="H283" s="74" t="n"/>
      <c r="I283" s="76" t="n"/>
      <c r="J283" s="74" t="n"/>
      <c r="K283" s="74" t="n"/>
      <c r="L283" s="36" t="n"/>
      <c r="N283">
        <f>IFERROR(MATCH($E283,코드설정!$S$5:$S$10,0),0)</f>
        <v/>
      </c>
    </row>
    <row r="284">
      <c r="A284" s="118">
        <f>IF($B284="","",COUNT($B$5:$B284))</f>
        <v/>
      </c>
      <c r="B284" s="80" t="n"/>
      <c r="C284" s="74" t="n"/>
      <c r="D284" s="33">
        <f>IF($C284="","",IFERROR(INDEX(사업마스터!$B$5:$B$34,MATCH($C284,사업마스터!$A$5:$A$34,0)),"※ 미등록 사업번호"))</f>
        <v/>
      </c>
      <c r="E284" s="74" t="n"/>
      <c r="F284" s="36" t="n"/>
      <c r="G284" s="36" t="n"/>
      <c r="H284" s="74" t="n"/>
      <c r="I284" s="76" t="n"/>
      <c r="J284" s="74" t="n"/>
      <c r="K284" s="74" t="n"/>
      <c r="L284" s="36" t="n"/>
      <c r="N284">
        <f>IFERROR(MATCH($E284,코드설정!$S$5:$S$10,0),0)</f>
        <v/>
      </c>
    </row>
    <row r="285">
      <c r="A285" s="118">
        <f>IF($B285="","",COUNT($B$5:$B285))</f>
        <v/>
      </c>
      <c r="B285" s="80" t="n"/>
      <c r="C285" s="74" t="n"/>
      <c r="D285" s="33">
        <f>IF($C285="","",IFERROR(INDEX(사업마스터!$B$5:$B$34,MATCH($C285,사업마스터!$A$5:$A$34,0)),"※ 미등록 사업번호"))</f>
        <v/>
      </c>
      <c r="E285" s="74" t="n"/>
      <c r="F285" s="36" t="n"/>
      <c r="G285" s="36" t="n"/>
      <c r="H285" s="74" t="n"/>
      <c r="I285" s="76" t="n"/>
      <c r="J285" s="74" t="n"/>
      <c r="K285" s="74" t="n"/>
      <c r="L285" s="36" t="n"/>
      <c r="N285">
        <f>IFERROR(MATCH($E285,코드설정!$S$5:$S$10,0),0)</f>
        <v/>
      </c>
    </row>
    <row r="286">
      <c r="A286" s="118">
        <f>IF($B286="","",COUNT($B$5:$B286))</f>
        <v/>
      </c>
      <c r="B286" s="80" t="n"/>
      <c r="C286" s="74" t="n"/>
      <c r="D286" s="33">
        <f>IF($C286="","",IFERROR(INDEX(사업마스터!$B$5:$B$34,MATCH($C286,사업마스터!$A$5:$A$34,0)),"※ 미등록 사업번호"))</f>
        <v/>
      </c>
      <c r="E286" s="74" t="n"/>
      <c r="F286" s="36" t="n"/>
      <c r="G286" s="36" t="n"/>
      <c r="H286" s="74" t="n"/>
      <c r="I286" s="76" t="n"/>
      <c r="J286" s="74" t="n"/>
      <c r="K286" s="74" t="n"/>
      <c r="L286" s="36" t="n"/>
      <c r="N286">
        <f>IFERROR(MATCH($E286,코드설정!$S$5:$S$10,0),0)</f>
        <v/>
      </c>
    </row>
    <row r="287">
      <c r="A287" s="118">
        <f>IF($B287="","",COUNT($B$5:$B287))</f>
        <v/>
      </c>
      <c r="B287" s="80" t="n"/>
      <c r="C287" s="74" t="n"/>
      <c r="D287" s="33">
        <f>IF($C287="","",IFERROR(INDEX(사업마스터!$B$5:$B$34,MATCH($C287,사업마스터!$A$5:$A$34,0)),"※ 미등록 사업번호"))</f>
        <v/>
      </c>
      <c r="E287" s="74" t="n"/>
      <c r="F287" s="36" t="n"/>
      <c r="G287" s="36" t="n"/>
      <c r="H287" s="74" t="n"/>
      <c r="I287" s="76" t="n"/>
      <c r="J287" s="74" t="n"/>
      <c r="K287" s="74" t="n"/>
      <c r="L287" s="36" t="n"/>
      <c r="N287">
        <f>IFERROR(MATCH($E287,코드설정!$S$5:$S$10,0),0)</f>
        <v/>
      </c>
    </row>
    <row r="288">
      <c r="A288" s="118">
        <f>IF($B288="","",COUNT($B$5:$B288))</f>
        <v/>
      </c>
      <c r="B288" s="80" t="n"/>
      <c r="C288" s="74" t="n"/>
      <c r="D288" s="33">
        <f>IF($C288="","",IFERROR(INDEX(사업마스터!$B$5:$B$34,MATCH($C288,사업마스터!$A$5:$A$34,0)),"※ 미등록 사업번호"))</f>
        <v/>
      </c>
      <c r="E288" s="74" t="n"/>
      <c r="F288" s="36" t="n"/>
      <c r="G288" s="36" t="n"/>
      <c r="H288" s="74" t="n"/>
      <c r="I288" s="76" t="n"/>
      <c r="J288" s="74" t="n"/>
      <c r="K288" s="74" t="n"/>
      <c r="L288" s="36" t="n"/>
      <c r="N288">
        <f>IFERROR(MATCH($E288,코드설정!$S$5:$S$10,0),0)</f>
        <v/>
      </c>
    </row>
    <row r="289">
      <c r="A289" s="118">
        <f>IF($B289="","",COUNT($B$5:$B289))</f>
        <v/>
      </c>
      <c r="B289" s="80" t="n"/>
      <c r="C289" s="74" t="n"/>
      <c r="D289" s="33">
        <f>IF($C289="","",IFERROR(INDEX(사업마스터!$B$5:$B$34,MATCH($C289,사업마스터!$A$5:$A$34,0)),"※ 미등록 사업번호"))</f>
        <v/>
      </c>
      <c r="E289" s="74" t="n"/>
      <c r="F289" s="36" t="n"/>
      <c r="G289" s="36" t="n"/>
      <c r="H289" s="74" t="n"/>
      <c r="I289" s="76" t="n"/>
      <c r="J289" s="74" t="n"/>
      <c r="K289" s="74" t="n"/>
      <c r="L289" s="36" t="n"/>
      <c r="N289">
        <f>IFERROR(MATCH($E289,코드설정!$S$5:$S$10,0),0)</f>
        <v/>
      </c>
    </row>
    <row r="290">
      <c r="A290" s="118">
        <f>IF($B290="","",COUNT($B$5:$B290))</f>
        <v/>
      </c>
      <c r="B290" s="80" t="n"/>
      <c r="C290" s="74" t="n"/>
      <c r="D290" s="33">
        <f>IF($C290="","",IFERROR(INDEX(사업마스터!$B$5:$B$34,MATCH($C290,사업마스터!$A$5:$A$34,0)),"※ 미등록 사업번호"))</f>
        <v/>
      </c>
      <c r="E290" s="74" t="n"/>
      <c r="F290" s="36" t="n"/>
      <c r="G290" s="36" t="n"/>
      <c r="H290" s="74" t="n"/>
      <c r="I290" s="76" t="n"/>
      <c r="J290" s="74" t="n"/>
      <c r="K290" s="74" t="n"/>
      <c r="L290" s="36" t="n"/>
      <c r="N290">
        <f>IFERROR(MATCH($E290,코드설정!$S$5:$S$10,0),0)</f>
        <v/>
      </c>
    </row>
    <row r="291">
      <c r="A291" s="118">
        <f>IF($B291="","",COUNT($B$5:$B291))</f>
        <v/>
      </c>
      <c r="B291" s="80" t="n"/>
      <c r="C291" s="74" t="n"/>
      <c r="D291" s="33">
        <f>IF($C291="","",IFERROR(INDEX(사업마스터!$B$5:$B$34,MATCH($C291,사업마스터!$A$5:$A$34,0)),"※ 미등록 사업번호"))</f>
        <v/>
      </c>
      <c r="E291" s="74" t="n"/>
      <c r="F291" s="36" t="n"/>
      <c r="G291" s="36" t="n"/>
      <c r="H291" s="74" t="n"/>
      <c r="I291" s="76" t="n"/>
      <c r="J291" s="74" t="n"/>
      <c r="K291" s="74" t="n"/>
      <c r="L291" s="36" t="n"/>
      <c r="N291">
        <f>IFERROR(MATCH($E291,코드설정!$S$5:$S$10,0),0)</f>
        <v/>
      </c>
    </row>
    <row r="292">
      <c r="A292" s="118">
        <f>IF($B292="","",COUNT($B$5:$B292))</f>
        <v/>
      </c>
      <c r="B292" s="80" t="n"/>
      <c r="C292" s="74" t="n"/>
      <c r="D292" s="33">
        <f>IF($C292="","",IFERROR(INDEX(사업마스터!$B$5:$B$34,MATCH($C292,사업마스터!$A$5:$A$34,0)),"※ 미등록 사업번호"))</f>
        <v/>
      </c>
      <c r="E292" s="74" t="n"/>
      <c r="F292" s="36" t="n"/>
      <c r="G292" s="36" t="n"/>
      <c r="H292" s="74" t="n"/>
      <c r="I292" s="76" t="n"/>
      <c r="J292" s="74" t="n"/>
      <c r="K292" s="74" t="n"/>
      <c r="L292" s="36" t="n"/>
      <c r="N292">
        <f>IFERROR(MATCH($E292,코드설정!$S$5:$S$10,0),0)</f>
        <v/>
      </c>
    </row>
    <row r="293">
      <c r="A293" s="118">
        <f>IF($B293="","",COUNT($B$5:$B293))</f>
        <v/>
      </c>
      <c r="B293" s="80" t="n"/>
      <c r="C293" s="74" t="n"/>
      <c r="D293" s="33">
        <f>IF($C293="","",IFERROR(INDEX(사업마스터!$B$5:$B$34,MATCH($C293,사업마스터!$A$5:$A$34,0)),"※ 미등록 사업번호"))</f>
        <v/>
      </c>
      <c r="E293" s="74" t="n"/>
      <c r="F293" s="36" t="n"/>
      <c r="G293" s="36" t="n"/>
      <c r="H293" s="74" t="n"/>
      <c r="I293" s="76" t="n"/>
      <c r="J293" s="74" t="n"/>
      <c r="K293" s="74" t="n"/>
      <c r="L293" s="36" t="n"/>
      <c r="N293">
        <f>IFERROR(MATCH($E293,코드설정!$S$5:$S$10,0),0)</f>
        <v/>
      </c>
    </row>
    <row r="294">
      <c r="A294" s="118">
        <f>IF($B294="","",COUNT($B$5:$B294))</f>
        <v/>
      </c>
      <c r="B294" s="80" t="n"/>
      <c r="C294" s="74" t="n"/>
      <c r="D294" s="33">
        <f>IF($C294="","",IFERROR(INDEX(사업마스터!$B$5:$B$34,MATCH($C294,사업마스터!$A$5:$A$34,0)),"※ 미등록 사업번호"))</f>
        <v/>
      </c>
      <c r="E294" s="74" t="n"/>
      <c r="F294" s="36" t="n"/>
      <c r="G294" s="36" t="n"/>
      <c r="H294" s="74" t="n"/>
      <c r="I294" s="76" t="n"/>
      <c r="J294" s="74" t="n"/>
      <c r="K294" s="74" t="n"/>
      <c r="L294" s="36" t="n"/>
      <c r="N294">
        <f>IFERROR(MATCH($E294,코드설정!$S$5:$S$10,0),0)</f>
        <v/>
      </c>
    </row>
    <row r="295">
      <c r="A295" s="118">
        <f>IF($B295="","",COUNT($B$5:$B295))</f>
        <v/>
      </c>
      <c r="B295" s="80" t="n"/>
      <c r="C295" s="74" t="n"/>
      <c r="D295" s="33">
        <f>IF($C295="","",IFERROR(INDEX(사업마스터!$B$5:$B$34,MATCH($C295,사업마스터!$A$5:$A$34,0)),"※ 미등록 사업번호"))</f>
        <v/>
      </c>
      <c r="E295" s="74" t="n"/>
      <c r="F295" s="36" t="n"/>
      <c r="G295" s="36" t="n"/>
      <c r="H295" s="74" t="n"/>
      <c r="I295" s="76" t="n"/>
      <c r="J295" s="74" t="n"/>
      <c r="K295" s="74" t="n"/>
      <c r="L295" s="36" t="n"/>
      <c r="N295">
        <f>IFERROR(MATCH($E295,코드설정!$S$5:$S$10,0),0)</f>
        <v/>
      </c>
    </row>
    <row r="296">
      <c r="A296" s="118">
        <f>IF($B296="","",COUNT($B$5:$B296))</f>
        <v/>
      </c>
      <c r="B296" s="80" t="n"/>
      <c r="C296" s="74" t="n"/>
      <c r="D296" s="33">
        <f>IF($C296="","",IFERROR(INDEX(사업마스터!$B$5:$B$34,MATCH($C296,사업마스터!$A$5:$A$34,0)),"※ 미등록 사업번호"))</f>
        <v/>
      </c>
      <c r="E296" s="74" t="n"/>
      <c r="F296" s="36" t="n"/>
      <c r="G296" s="36" t="n"/>
      <c r="H296" s="74" t="n"/>
      <c r="I296" s="76" t="n"/>
      <c r="J296" s="74" t="n"/>
      <c r="K296" s="74" t="n"/>
      <c r="L296" s="36" t="n"/>
      <c r="N296">
        <f>IFERROR(MATCH($E296,코드설정!$S$5:$S$10,0),0)</f>
        <v/>
      </c>
    </row>
    <row r="297">
      <c r="A297" s="118">
        <f>IF($B297="","",COUNT($B$5:$B297))</f>
        <v/>
      </c>
      <c r="B297" s="80" t="n"/>
      <c r="C297" s="74" t="n"/>
      <c r="D297" s="33">
        <f>IF($C297="","",IFERROR(INDEX(사업마스터!$B$5:$B$34,MATCH($C297,사업마스터!$A$5:$A$34,0)),"※ 미등록 사업번호"))</f>
        <v/>
      </c>
      <c r="E297" s="74" t="n"/>
      <c r="F297" s="36" t="n"/>
      <c r="G297" s="36" t="n"/>
      <c r="H297" s="74" t="n"/>
      <c r="I297" s="76" t="n"/>
      <c r="J297" s="74" t="n"/>
      <c r="K297" s="74" t="n"/>
      <c r="L297" s="36" t="n"/>
      <c r="N297">
        <f>IFERROR(MATCH($E297,코드설정!$S$5:$S$10,0),0)</f>
        <v/>
      </c>
    </row>
    <row r="298">
      <c r="A298" s="118">
        <f>IF($B298="","",COUNT($B$5:$B298))</f>
        <v/>
      </c>
      <c r="B298" s="80" t="n"/>
      <c r="C298" s="74" t="n"/>
      <c r="D298" s="33">
        <f>IF($C298="","",IFERROR(INDEX(사업마스터!$B$5:$B$34,MATCH($C298,사업마스터!$A$5:$A$34,0)),"※ 미등록 사업번호"))</f>
        <v/>
      </c>
      <c r="E298" s="74" t="n"/>
      <c r="F298" s="36" t="n"/>
      <c r="G298" s="36" t="n"/>
      <c r="H298" s="74" t="n"/>
      <c r="I298" s="76" t="n"/>
      <c r="J298" s="74" t="n"/>
      <c r="K298" s="74" t="n"/>
      <c r="L298" s="36" t="n"/>
      <c r="N298">
        <f>IFERROR(MATCH($E298,코드설정!$S$5:$S$10,0),0)</f>
        <v/>
      </c>
    </row>
    <row r="299">
      <c r="A299" s="118">
        <f>IF($B299="","",COUNT($B$5:$B299))</f>
        <v/>
      </c>
      <c r="B299" s="80" t="n"/>
      <c r="C299" s="74" t="n"/>
      <c r="D299" s="33">
        <f>IF($C299="","",IFERROR(INDEX(사업마스터!$B$5:$B$34,MATCH($C299,사업마스터!$A$5:$A$34,0)),"※ 미등록 사업번호"))</f>
        <v/>
      </c>
      <c r="E299" s="74" t="n"/>
      <c r="F299" s="36" t="n"/>
      <c r="G299" s="36" t="n"/>
      <c r="H299" s="74" t="n"/>
      <c r="I299" s="76" t="n"/>
      <c r="J299" s="74" t="n"/>
      <c r="K299" s="74" t="n"/>
      <c r="L299" s="36" t="n"/>
      <c r="N299">
        <f>IFERROR(MATCH($E299,코드설정!$S$5:$S$10,0),0)</f>
        <v/>
      </c>
    </row>
    <row r="300">
      <c r="A300" s="118">
        <f>IF($B300="","",COUNT($B$5:$B300))</f>
        <v/>
      </c>
      <c r="B300" s="80" t="n"/>
      <c r="C300" s="74" t="n"/>
      <c r="D300" s="33">
        <f>IF($C300="","",IFERROR(INDEX(사업마스터!$B$5:$B$34,MATCH($C300,사업마스터!$A$5:$A$34,0)),"※ 미등록 사업번호"))</f>
        <v/>
      </c>
      <c r="E300" s="74" t="n"/>
      <c r="F300" s="36" t="n"/>
      <c r="G300" s="36" t="n"/>
      <c r="H300" s="74" t="n"/>
      <c r="I300" s="76" t="n"/>
      <c r="J300" s="74" t="n"/>
      <c r="K300" s="74" t="n"/>
      <c r="L300" s="36" t="n"/>
      <c r="N300">
        <f>IFERROR(MATCH($E300,코드설정!$S$5:$S$10,0),0)</f>
        <v/>
      </c>
    </row>
    <row r="301">
      <c r="A301" s="118">
        <f>IF($B301="","",COUNT($B$5:$B301))</f>
        <v/>
      </c>
      <c r="B301" s="80" t="n"/>
      <c r="C301" s="74" t="n"/>
      <c r="D301" s="33">
        <f>IF($C301="","",IFERROR(INDEX(사업마스터!$B$5:$B$34,MATCH($C301,사업마스터!$A$5:$A$34,0)),"※ 미등록 사업번호"))</f>
        <v/>
      </c>
      <c r="E301" s="74" t="n"/>
      <c r="F301" s="36" t="n"/>
      <c r="G301" s="36" t="n"/>
      <c r="H301" s="74" t="n"/>
      <c r="I301" s="76" t="n"/>
      <c r="J301" s="74" t="n"/>
      <c r="K301" s="74" t="n"/>
      <c r="L301" s="36" t="n"/>
      <c r="N301">
        <f>IFERROR(MATCH($E301,코드설정!$S$5:$S$10,0),0)</f>
        <v/>
      </c>
    </row>
    <row r="302">
      <c r="A302" s="118">
        <f>IF($B302="","",COUNT($B$5:$B302))</f>
        <v/>
      </c>
      <c r="B302" s="80" t="n"/>
      <c r="C302" s="74" t="n"/>
      <c r="D302" s="33">
        <f>IF($C302="","",IFERROR(INDEX(사업마스터!$B$5:$B$34,MATCH($C302,사업마스터!$A$5:$A$34,0)),"※ 미등록 사업번호"))</f>
        <v/>
      </c>
      <c r="E302" s="74" t="n"/>
      <c r="F302" s="36" t="n"/>
      <c r="G302" s="36" t="n"/>
      <c r="H302" s="74" t="n"/>
      <c r="I302" s="76" t="n"/>
      <c r="J302" s="74" t="n"/>
      <c r="K302" s="74" t="n"/>
      <c r="L302" s="36" t="n"/>
      <c r="N302">
        <f>IFERROR(MATCH($E302,코드설정!$S$5:$S$10,0),0)</f>
        <v/>
      </c>
    </row>
    <row r="303">
      <c r="A303" s="118">
        <f>IF($B303="","",COUNT($B$5:$B303))</f>
        <v/>
      </c>
      <c r="B303" s="80" t="n"/>
      <c r="C303" s="74" t="n"/>
      <c r="D303" s="33">
        <f>IF($C303="","",IFERROR(INDEX(사업마스터!$B$5:$B$34,MATCH($C303,사업마스터!$A$5:$A$34,0)),"※ 미등록 사업번호"))</f>
        <v/>
      </c>
      <c r="E303" s="74" t="n"/>
      <c r="F303" s="36" t="n"/>
      <c r="G303" s="36" t="n"/>
      <c r="H303" s="74" t="n"/>
      <c r="I303" s="76" t="n"/>
      <c r="J303" s="74" t="n"/>
      <c r="K303" s="74" t="n"/>
      <c r="L303" s="36" t="n"/>
      <c r="N303">
        <f>IFERROR(MATCH($E303,코드설정!$S$5:$S$10,0),0)</f>
        <v/>
      </c>
    </row>
    <row r="304">
      <c r="A304" s="118">
        <f>IF($B304="","",COUNT($B$5:$B304))</f>
        <v/>
      </c>
      <c r="B304" s="80" t="n"/>
      <c r="C304" s="74" t="n"/>
      <c r="D304" s="33">
        <f>IF($C304="","",IFERROR(INDEX(사업마스터!$B$5:$B$34,MATCH($C304,사업마스터!$A$5:$A$34,0)),"※ 미등록 사업번호"))</f>
        <v/>
      </c>
      <c r="E304" s="74" t="n"/>
      <c r="F304" s="36" t="n"/>
      <c r="G304" s="36" t="n"/>
      <c r="H304" s="74" t="n"/>
      <c r="I304" s="76" t="n"/>
      <c r="J304" s="74" t="n"/>
      <c r="K304" s="74" t="n"/>
      <c r="L304" s="36" t="n"/>
      <c r="N304">
        <f>IFERROR(MATCH($E304,코드설정!$S$5:$S$10,0),0)</f>
        <v/>
      </c>
    </row>
    <row r="305">
      <c r="A305" s="118">
        <f>IF($B305="","",COUNT($B$5:$B305))</f>
        <v/>
      </c>
      <c r="B305" s="80" t="n"/>
      <c r="C305" s="74" t="n"/>
      <c r="D305" s="33">
        <f>IF($C305="","",IFERROR(INDEX(사업마스터!$B$5:$B$34,MATCH($C305,사업마스터!$A$5:$A$34,0)),"※ 미등록 사업번호"))</f>
        <v/>
      </c>
      <c r="E305" s="74" t="n"/>
      <c r="F305" s="36" t="n"/>
      <c r="G305" s="36" t="n"/>
      <c r="H305" s="74" t="n"/>
      <c r="I305" s="76" t="n"/>
      <c r="J305" s="74" t="n"/>
      <c r="K305" s="74" t="n"/>
      <c r="L305" s="36" t="n"/>
      <c r="N305">
        <f>IFERROR(MATCH($E305,코드설정!$S$5:$S$10,0),0)</f>
        <v/>
      </c>
    </row>
    <row r="306">
      <c r="A306" s="118">
        <f>IF($B306="","",COUNT($B$5:$B306))</f>
        <v/>
      </c>
      <c r="B306" s="80" t="n"/>
      <c r="C306" s="74" t="n"/>
      <c r="D306" s="33">
        <f>IF($C306="","",IFERROR(INDEX(사업마스터!$B$5:$B$34,MATCH($C306,사업마스터!$A$5:$A$34,0)),"※ 미등록 사업번호"))</f>
        <v/>
      </c>
      <c r="E306" s="74" t="n"/>
      <c r="F306" s="36" t="n"/>
      <c r="G306" s="36" t="n"/>
      <c r="H306" s="74" t="n"/>
      <c r="I306" s="76" t="n"/>
      <c r="J306" s="74" t="n"/>
      <c r="K306" s="74" t="n"/>
      <c r="L306" s="36" t="n"/>
      <c r="N306">
        <f>IFERROR(MATCH($E306,코드설정!$S$5:$S$10,0),0)</f>
        <v/>
      </c>
    </row>
    <row r="307">
      <c r="A307" s="118">
        <f>IF($B307="","",COUNT($B$5:$B307))</f>
        <v/>
      </c>
      <c r="B307" s="80" t="n"/>
      <c r="C307" s="74" t="n"/>
      <c r="D307" s="33">
        <f>IF($C307="","",IFERROR(INDEX(사업마스터!$B$5:$B$34,MATCH($C307,사업마스터!$A$5:$A$34,0)),"※ 미등록 사업번호"))</f>
        <v/>
      </c>
      <c r="E307" s="74" t="n"/>
      <c r="F307" s="36" t="n"/>
      <c r="G307" s="36" t="n"/>
      <c r="H307" s="74" t="n"/>
      <c r="I307" s="76" t="n"/>
      <c r="J307" s="74" t="n"/>
      <c r="K307" s="74" t="n"/>
      <c r="L307" s="36" t="n"/>
      <c r="N307">
        <f>IFERROR(MATCH($E307,코드설정!$S$5:$S$10,0),0)</f>
        <v/>
      </c>
    </row>
    <row r="308">
      <c r="A308" s="118">
        <f>IF($B308="","",COUNT($B$5:$B308))</f>
        <v/>
      </c>
      <c r="B308" s="80" t="n"/>
      <c r="C308" s="74" t="n"/>
      <c r="D308" s="33">
        <f>IF($C308="","",IFERROR(INDEX(사업마스터!$B$5:$B$34,MATCH($C308,사업마스터!$A$5:$A$34,0)),"※ 미등록 사업번호"))</f>
        <v/>
      </c>
      <c r="E308" s="74" t="n"/>
      <c r="F308" s="36" t="n"/>
      <c r="G308" s="36" t="n"/>
      <c r="H308" s="74" t="n"/>
      <c r="I308" s="76" t="n"/>
      <c r="J308" s="74" t="n"/>
      <c r="K308" s="74" t="n"/>
      <c r="L308" s="36" t="n"/>
      <c r="N308">
        <f>IFERROR(MATCH($E308,코드설정!$S$5:$S$10,0),0)</f>
        <v/>
      </c>
    </row>
    <row r="309">
      <c r="A309" s="118">
        <f>IF($B309="","",COUNT($B$5:$B309))</f>
        <v/>
      </c>
      <c r="B309" s="80" t="n"/>
      <c r="C309" s="74" t="n"/>
      <c r="D309" s="33">
        <f>IF($C309="","",IFERROR(INDEX(사업마스터!$B$5:$B$34,MATCH($C309,사업마스터!$A$5:$A$34,0)),"※ 미등록 사업번호"))</f>
        <v/>
      </c>
      <c r="E309" s="74" t="n"/>
      <c r="F309" s="36" t="n"/>
      <c r="G309" s="36" t="n"/>
      <c r="H309" s="74" t="n"/>
      <c r="I309" s="76" t="n"/>
      <c r="J309" s="74" t="n"/>
      <c r="K309" s="74" t="n"/>
      <c r="L309" s="36" t="n"/>
      <c r="N309">
        <f>IFERROR(MATCH($E309,코드설정!$S$5:$S$10,0),0)</f>
        <v/>
      </c>
    </row>
    <row r="310">
      <c r="A310" s="118">
        <f>IF($B310="","",COUNT($B$5:$B310))</f>
        <v/>
      </c>
      <c r="B310" s="80" t="n"/>
      <c r="C310" s="74" t="n"/>
      <c r="D310" s="33">
        <f>IF($C310="","",IFERROR(INDEX(사업마스터!$B$5:$B$34,MATCH($C310,사업마스터!$A$5:$A$34,0)),"※ 미등록 사업번호"))</f>
        <v/>
      </c>
      <c r="E310" s="74" t="n"/>
      <c r="F310" s="36" t="n"/>
      <c r="G310" s="36" t="n"/>
      <c r="H310" s="74" t="n"/>
      <c r="I310" s="76" t="n"/>
      <c r="J310" s="74" t="n"/>
      <c r="K310" s="74" t="n"/>
      <c r="L310" s="36" t="n"/>
      <c r="N310">
        <f>IFERROR(MATCH($E310,코드설정!$S$5:$S$10,0),0)</f>
        <v/>
      </c>
    </row>
    <row r="311">
      <c r="A311" s="118">
        <f>IF($B311="","",COUNT($B$5:$B311))</f>
        <v/>
      </c>
      <c r="B311" s="80" t="n"/>
      <c r="C311" s="74" t="n"/>
      <c r="D311" s="33">
        <f>IF($C311="","",IFERROR(INDEX(사업마스터!$B$5:$B$34,MATCH($C311,사업마스터!$A$5:$A$34,0)),"※ 미등록 사업번호"))</f>
        <v/>
      </c>
      <c r="E311" s="74" t="n"/>
      <c r="F311" s="36" t="n"/>
      <c r="G311" s="36" t="n"/>
      <c r="H311" s="74" t="n"/>
      <c r="I311" s="76" t="n"/>
      <c r="J311" s="74" t="n"/>
      <c r="K311" s="74" t="n"/>
      <c r="L311" s="36" t="n"/>
      <c r="N311">
        <f>IFERROR(MATCH($E311,코드설정!$S$5:$S$10,0),0)</f>
        <v/>
      </c>
    </row>
    <row r="312">
      <c r="A312" s="118">
        <f>IF($B312="","",COUNT($B$5:$B312))</f>
        <v/>
      </c>
      <c r="B312" s="80" t="n"/>
      <c r="C312" s="74" t="n"/>
      <c r="D312" s="33">
        <f>IF($C312="","",IFERROR(INDEX(사업마스터!$B$5:$B$34,MATCH($C312,사업마스터!$A$5:$A$34,0)),"※ 미등록 사업번호"))</f>
        <v/>
      </c>
      <c r="E312" s="74" t="n"/>
      <c r="F312" s="36" t="n"/>
      <c r="G312" s="36" t="n"/>
      <c r="H312" s="74" t="n"/>
      <c r="I312" s="76" t="n"/>
      <c r="J312" s="74" t="n"/>
      <c r="K312" s="74" t="n"/>
      <c r="L312" s="36" t="n"/>
      <c r="N312">
        <f>IFERROR(MATCH($E312,코드설정!$S$5:$S$10,0),0)</f>
        <v/>
      </c>
    </row>
    <row r="313">
      <c r="A313" s="118">
        <f>IF($B313="","",COUNT($B$5:$B313))</f>
        <v/>
      </c>
      <c r="B313" s="80" t="n"/>
      <c r="C313" s="74" t="n"/>
      <c r="D313" s="33">
        <f>IF($C313="","",IFERROR(INDEX(사업마스터!$B$5:$B$34,MATCH($C313,사업마스터!$A$5:$A$34,0)),"※ 미등록 사업번호"))</f>
        <v/>
      </c>
      <c r="E313" s="74" t="n"/>
      <c r="F313" s="36" t="n"/>
      <c r="G313" s="36" t="n"/>
      <c r="H313" s="74" t="n"/>
      <c r="I313" s="76" t="n"/>
      <c r="J313" s="74" t="n"/>
      <c r="K313" s="74" t="n"/>
      <c r="L313" s="36" t="n"/>
      <c r="N313">
        <f>IFERROR(MATCH($E313,코드설정!$S$5:$S$10,0),0)</f>
        <v/>
      </c>
    </row>
    <row r="314">
      <c r="A314" s="118">
        <f>IF($B314="","",COUNT($B$5:$B314))</f>
        <v/>
      </c>
      <c r="B314" s="80" t="n"/>
      <c r="C314" s="74" t="n"/>
      <c r="D314" s="33">
        <f>IF($C314="","",IFERROR(INDEX(사업마스터!$B$5:$B$34,MATCH($C314,사업마스터!$A$5:$A$34,0)),"※ 미등록 사업번호"))</f>
        <v/>
      </c>
      <c r="E314" s="74" t="n"/>
      <c r="F314" s="36" t="n"/>
      <c r="G314" s="36" t="n"/>
      <c r="H314" s="74" t="n"/>
      <c r="I314" s="76" t="n"/>
      <c r="J314" s="74" t="n"/>
      <c r="K314" s="74" t="n"/>
      <c r="L314" s="36" t="n"/>
      <c r="N314">
        <f>IFERROR(MATCH($E314,코드설정!$S$5:$S$10,0),0)</f>
        <v/>
      </c>
    </row>
    <row r="315">
      <c r="A315" s="118">
        <f>IF($B315="","",COUNT($B$5:$B315))</f>
        <v/>
      </c>
      <c r="B315" s="80" t="n"/>
      <c r="C315" s="74" t="n"/>
      <c r="D315" s="33">
        <f>IF($C315="","",IFERROR(INDEX(사업마스터!$B$5:$B$34,MATCH($C315,사업마스터!$A$5:$A$34,0)),"※ 미등록 사업번호"))</f>
        <v/>
      </c>
      <c r="E315" s="74" t="n"/>
      <c r="F315" s="36" t="n"/>
      <c r="G315" s="36" t="n"/>
      <c r="H315" s="74" t="n"/>
      <c r="I315" s="76" t="n"/>
      <c r="J315" s="74" t="n"/>
      <c r="K315" s="74" t="n"/>
      <c r="L315" s="36" t="n"/>
      <c r="N315">
        <f>IFERROR(MATCH($E315,코드설정!$S$5:$S$10,0),0)</f>
        <v/>
      </c>
    </row>
    <row r="316">
      <c r="A316" s="118">
        <f>IF($B316="","",COUNT($B$5:$B316))</f>
        <v/>
      </c>
      <c r="B316" s="80" t="n"/>
      <c r="C316" s="74" t="n"/>
      <c r="D316" s="33">
        <f>IF($C316="","",IFERROR(INDEX(사업마스터!$B$5:$B$34,MATCH($C316,사업마스터!$A$5:$A$34,0)),"※ 미등록 사업번호"))</f>
        <v/>
      </c>
      <c r="E316" s="74" t="n"/>
      <c r="F316" s="36" t="n"/>
      <c r="G316" s="36" t="n"/>
      <c r="H316" s="74" t="n"/>
      <c r="I316" s="76" t="n"/>
      <c r="J316" s="74" t="n"/>
      <c r="K316" s="74" t="n"/>
      <c r="L316" s="36" t="n"/>
      <c r="N316">
        <f>IFERROR(MATCH($E316,코드설정!$S$5:$S$10,0),0)</f>
        <v/>
      </c>
    </row>
    <row r="317">
      <c r="A317" s="118">
        <f>IF($B317="","",COUNT($B$5:$B317))</f>
        <v/>
      </c>
      <c r="B317" s="80" t="n"/>
      <c r="C317" s="74" t="n"/>
      <c r="D317" s="33">
        <f>IF($C317="","",IFERROR(INDEX(사업마스터!$B$5:$B$34,MATCH($C317,사업마스터!$A$5:$A$34,0)),"※ 미등록 사업번호"))</f>
        <v/>
      </c>
      <c r="E317" s="74" t="n"/>
      <c r="F317" s="36" t="n"/>
      <c r="G317" s="36" t="n"/>
      <c r="H317" s="74" t="n"/>
      <c r="I317" s="76" t="n"/>
      <c r="J317" s="74" t="n"/>
      <c r="K317" s="74" t="n"/>
      <c r="L317" s="36" t="n"/>
      <c r="N317">
        <f>IFERROR(MATCH($E317,코드설정!$S$5:$S$10,0),0)</f>
        <v/>
      </c>
    </row>
    <row r="318">
      <c r="A318" s="118">
        <f>IF($B318="","",COUNT($B$5:$B318))</f>
        <v/>
      </c>
      <c r="B318" s="80" t="n"/>
      <c r="C318" s="74" t="n"/>
      <c r="D318" s="33">
        <f>IF($C318="","",IFERROR(INDEX(사업마스터!$B$5:$B$34,MATCH($C318,사업마스터!$A$5:$A$34,0)),"※ 미등록 사업번호"))</f>
        <v/>
      </c>
      <c r="E318" s="74" t="n"/>
      <c r="F318" s="36" t="n"/>
      <c r="G318" s="36" t="n"/>
      <c r="H318" s="74" t="n"/>
      <c r="I318" s="76" t="n"/>
      <c r="J318" s="74" t="n"/>
      <c r="K318" s="74" t="n"/>
      <c r="L318" s="36" t="n"/>
      <c r="N318">
        <f>IFERROR(MATCH($E318,코드설정!$S$5:$S$10,0),0)</f>
        <v/>
      </c>
    </row>
    <row r="319">
      <c r="A319" s="118">
        <f>IF($B319="","",COUNT($B$5:$B319))</f>
        <v/>
      </c>
      <c r="B319" s="80" t="n"/>
      <c r="C319" s="74" t="n"/>
      <c r="D319" s="33">
        <f>IF($C319="","",IFERROR(INDEX(사업마스터!$B$5:$B$34,MATCH($C319,사업마스터!$A$5:$A$34,0)),"※ 미등록 사업번호"))</f>
        <v/>
      </c>
      <c r="E319" s="74" t="n"/>
      <c r="F319" s="36" t="n"/>
      <c r="G319" s="36" t="n"/>
      <c r="H319" s="74" t="n"/>
      <c r="I319" s="76" t="n"/>
      <c r="J319" s="74" t="n"/>
      <c r="K319" s="74" t="n"/>
      <c r="L319" s="36" t="n"/>
      <c r="N319">
        <f>IFERROR(MATCH($E319,코드설정!$S$5:$S$10,0),0)</f>
        <v/>
      </c>
    </row>
    <row r="320">
      <c r="A320" s="118">
        <f>IF($B320="","",COUNT($B$5:$B320))</f>
        <v/>
      </c>
      <c r="B320" s="80" t="n"/>
      <c r="C320" s="74" t="n"/>
      <c r="D320" s="33">
        <f>IF($C320="","",IFERROR(INDEX(사업마스터!$B$5:$B$34,MATCH($C320,사업마스터!$A$5:$A$34,0)),"※ 미등록 사업번호"))</f>
        <v/>
      </c>
      <c r="E320" s="74" t="n"/>
      <c r="F320" s="36" t="n"/>
      <c r="G320" s="36" t="n"/>
      <c r="H320" s="74" t="n"/>
      <c r="I320" s="76" t="n"/>
      <c r="J320" s="74" t="n"/>
      <c r="K320" s="74" t="n"/>
      <c r="L320" s="36" t="n"/>
      <c r="N320">
        <f>IFERROR(MATCH($E320,코드설정!$S$5:$S$10,0),0)</f>
        <v/>
      </c>
    </row>
    <row r="321">
      <c r="A321" s="118">
        <f>IF($B321="","",COUNT($B$5:$B321))</f>
        <v/>
      </c>
      <c r="B321" s="80" t="n"/>
      <c r="C321" s="74" t="n"/>
      <c r="D321" s="33">
        <f>IF($C321="","",IFERROR(INDEX(사업마스터!$B$5:$B$34,MATCH($C321,사업마스터!$A$5:$A$34,0)),"※ 미등록 사업번호"))</f>
        <v/>
      </c>
      <c r="E321" s="74" t="n"/>
      <c r="F321" s="36" t="n"/>
      <c r="G321" s="36" t="n"/>
      <c r="H321" s="74" t="n"/>
      <c r="I321" s="76" t="n"/>
      <c r="J321" s="74" t="n"/>
      <c r="K321" s="74" t="n"/>
      <c r="L321" s="36" t="n"/>
      <c r="N321">
        <f>IFERROR(MATCH($E321,코드설정!$S$5:$S$10,0),0)</f>
        <v/>
      </c>
    </row>
    <row r="322">
      <c r="A322" s="118">
        <f>IF($B322="","",COUNT($B$5:$B322))</f>
        <v/>
      </c>
      <c r="B322" s="80" t="n"/>
      <c r="C322" s="74" t="n"/>
      <c r="D322" s="33">
        <f>IF($C322="","",IFERROR(INDEX(사업마스터!$B$5:$B$34,MATCH($C322,사업마스터!$A$5:$A$34,0)),"※ 미등록 사업번호"))</f>
        <v/>
      </c>
      <c r="E322" s="74" t="n"/>
      <c r="F322" s="36" t="n"/>
      <c r="G322" s="36" t="n"/>
      <c r="H322" s="74" t="n"/>
      <c r="I322" s="76" t="n"/>
      <c r="J322" s="74" t="n"/>
      <c r="K322" s="74" t="n"/>
      <c r="L322" s="36" t="n"/>
      <c r="N322">
        <f>IFERROR(MATCH($E322,코드설정!$S$5:$S$10,0),0)</f>
        <v/>
      </c>
    </row>
    <row r="323">
      <c r="A323" s="118">
        <f>IF($B323="","",COUNT($B$5:$B323))</f>
        <v/>
      </c>
      <c r="B323" s="80" t="n"/>
      <c r="C323" s="74" t="n"/>
      <c r="D323" s="33">
        <f>IF($C323="","",IFERROR(INDEX(사업마스터!$B$5:$B$34,MATCH($C323,사업마스터!$A$5:$A$34,0)),"※ 미등록 사업번호"))</f>
        <v/>
      </c>
      <c r="E323" s="74" t="n"/>
      <c r="F323" s="36" t="n"/>
      <c r="G323" s="36" t="n"/>
      <c r="H323" s="74" t="n"/>
      <c r="I323" s="76" t="n"/>
      <c r="J323" s="74" t="n"/>
      <c r="K323" s="74" t="n"/>
      <c r="L323" s="36" t="n"/>
      <c r="N323">
        <f>IFERROR(MATCH($E323,코드설정!$S$5:$S$10,0),0)</f>
        <v/>
      </c>
    </row>
    <row r="324">
      <c r="A324" s="118">
        <f>IF($B324="","",COUNT($B$5:$B324))</f>
        <v/>
      </c>
      <c r="B324" s="80" t="n"/>
      <c r="C324" s="74" t="n"/>
      <c r="D324" s="33">
        <f>IF($C324="","",IFERROR(INDEX(사업마스터!$B$5:$B$34,MATCH($C324,사업마스터!$A$5:$A$34,0)),"※ 미등록 사업번호"))</f>
        <v/>
      </c>
      <c r="E324" s="74" t="n"/>
      <c r="F324" s="36" t="n"/>
      <c r="G324" s="36" t="n"/>
      <c r="H324" s="74" t="n"/>
      <c r="I324" s="76" t="n"/>
      <c r="J324" s="74" t="n"/>
      <c r="K324" s="74" t="n"/>
      <c r="L324" s="36" t="n"/>
      <c r="N324">
        <f>IFERROR(MATCH($E324,코드설정!$S$5:$S$10,0),0)</f>
        <v/>
      </c>
    </row>
    <row r="325">
      <c r="A325" s="118">
        <f>IF($B325="","",COUNT($B$5:$B325))</f>
        <v/>
      </c>
      <c r="B325" s="80" t="n"/>
      <c r="C325" s="74" t="n"/>
      <c r="D325" s="33">
        <f>IF($C325="","",IFERROR(INDEX(사업마스터!$B$5:$B$34,MATCH($C325,사업마스터!$A$5:$A$34,0)),"※ 미등록 사업번호"))</f>
        <v/>
      </c>
      <c r="E325" s="74" t="n"/>
      <c r="F325" s="36" t="n"/>
      <c r="G325" s="36" t="n"/>
      <c r="H325" s="74" t="n"/>
      <c r="I325" s="76" t="n"/>
      <c r="J325" s="74" t="n"/>
      <c r="K325" s="74" t="n"/>
      <c r="L325" s="36" t="n"/>
      <c r="N325">
        <f>IFERROR(MATCH($E325,코드설정!$S$5:$S$10,0),0)</f>
        <v/>
      </c>
    </row>
    <row r="326">
      <c r="A326" s="118">
        <f>IF($B326="","",COUNT($B$5:$B326))</f>
        <v/>
      </c>
      <c r="B326" s="80" t="n"/>
      <c r="C326" s="74" t="n"/>
      <c r="D326" s="33">
        <f>IF($C326="","",IFERROR(INDEX(사업마스터!$B$5:$B$34,MATCH($C326,사업마스터!$A$5:$A$34,0)),"※ 미등록 사업번호"))</f>
        <v/>
      </c>
      <c r="E326" s="74" t="n"/>
      <c r="F326" s="36" t="n"/>
      <c r="G326" s="36" t="n"/>
      <c r="H326" s="74" t="n"/>
      <c r="I326" s="76" t="n"/>
      <c r="J326" s="74" t="n"/>
      <c r="K326" s="74" t="n"/>
      <c r="L326" s="36" t="n"/>
      <c r="N326">
        <f>IFERROR(MATCH($E326,코드설정!$S$5:$S$10,0),0)</f>
        <v/>
      </c>
    </row>
    <row r="327">
      <c r="A327" s="118">
        <f>IF($B327="","",COUNT($B$5:$B327))</f>
        <v/>
      </c>
      <c r="B327" s="80" t="n"/>
      <c r="C327" s="74" t="n"/>
      <c r="D327" s="33">
        <f>IF($C327="","",IFERROR(INDEX(사업마스터!$B$5:$B$34,MATCH($C327,사업마스터!$A$5:$A$34,0)),"※ 미등록 사업번호"))</f>
        <v/>
      </c>
      <c r="E327" s="74" t="n"/>
      <c r="F327" s="36" t="n"/>
      <c r="G327" s="36" t="n"/>
      <c r="H327" s="74" t="n"/>
      <c r="I327" s="76" t="n"/>
      <c r="J327" s="74" t="n"/>
      <c r="K327" s="74" t="n"/>
      <c r="L327" s="36" t="n"/>
      <c r="N327">
        <f>IFERROR(MATCH($E327,코드설정!$S$5:$S$10,0),0)</f>
        <v/>
      </c>
    </row>
    <row r="328">
      <c r="A328" s="118">
        <f>IF($B328="","",COUNT($B$5:$B328))</f>
        <v/>
      </c>
      <c r="B328" s="80" t="n"/>
      <c r="C328" s="74" t="n"/>
      <c r="D328" s="33">
        <f>IF($C328="","",IFERROR(INDEX(사업마스터!$B$5:$B$34,MATCH($C328,사업마스터!$A$5:$A$34,0)),"※ 미등록 사업번호"))</f>
        <v/>
      </c>
      <c r="E328" s="74" t="n"/>
      <c r="F328" s="36" t="n"/>
      <c r="G328" s="36" t="n"/>
      <c r="H328" s="74" t="n"/>
      <c r="I328" s="76" t="n"/>
      <c r="J328" s="74" t="n"/>
      <c r="K328" s="74" t="n"/>
      <c r="L328" s="36" t="n"/>
      <c r="N328">
        <f>IFERROR(MATCH($E328,코드설정!$S$5:$S$10,0),0)</f>
        <v/>
      </c>
    </row>
    <row r="329">
      <c r="A329" s="118">
        <f>IF($B329="","",COUNT($B$5:$B329))</f>
        <v/>
      </c>
      <c r="B329" s="80" t="n"/>
      <c r="C329" s="74" t="n"/>
      <c r="D329" s="33">
        <f>IF($C329="","",IFERROR(INDEX(사업마스터!$B$5:$B$34,MATCH($C329,사업마스터!$A$5:$A$34,0)),"※ 미등록 사업번호"))</f>
        <v/>
      </c>
      <c r="E329" s="74" t="n"/>
      <c r="F329" s="36" t="n"/>
      <c r="G329" s="36" t="n"/>
      <c r="H329" s="74" t="n"/>
      <c r="I329" s="76" t="n"/>
      <c r="J329" s="74" t="n"/>
      <c r="K329" s="74" t="n"/>
      <c r="L329" s="36" t="n"/>
      <c r="N329">
        <f>IFERROR(MATCH($E329,코드설정!$S$5:$S$10,0),0)</f>
        <v/>
      </c>
    </row>
    <row r="330">
      <c r="A330" s="118">
        <f>IF($B330="","",COUNT($B$5:$B330))</f>
        <v/>
      </c>
      <c r="B330" s="80" t="n"/>
      <c r="C330" s="74" t="n"/>
      <c r="D330" s="33">
        <f>IF($C330="","",IFERROR(INDEX(사업마스터!$B$5:$B$34,MATCH($C330,사업마스터!$A$5:$A$34,0)),"※ 미등록 사업번호"))</f>
        <v/>
      </c>
      <c r="E330" s="74" t="n"/>
      <c r="F330" s="36" t="n"/>
      <c r="G330" s="36" t="n"/>
      <c r="H330" s="74" t="n"/>
      <c r="I330" s="76" t="n"/>
      <c r="J330" s="74" t="n"/>
      <c r="K330" s="74" t="n"/>
      <c r="L330" s="36" t="n"/>
      <c r="N330">
        <f>IFERROR(MATCH($E330,코드설정!$S$5:$S$10,0),0)</f>
        <v/>
      </c>
    </row>
    <row r="331">
      <c r="A331" s="118">
        <f>IF($B331="","",COUNT($B$5:$B331))</f>
        <v/>
      </c>
      <c r="B331" s="80" t="n"/>
      <c r="C331" s="74" t="n"/>
      <c r="D331" s="33">
        <f>IF($C331="","",IFERROR(INDEX(사업마스터!$B$5:$B$34,MATCH($C331,사업마스터!$A$5:$A$34,0)),"※ 미등록 사업번호"))</f>
        <v/>
      </c>
      <c r="E331" s="74" t="n"/>
      <c r="F331" s="36" t="n"/>
      <c r="G331" s="36" t="n"/>
      <c r="H331" s="74" t="n"/>
      <c r="I331" s="76" t="n"/>
      <c r="J331" s="74" t="n"/>
      <c r="K331" s="74" t="n"/>
      <c r="L331" s="36" t="n"/>
      <c r="N331">
        <f>IFERROR(MATCH($E331,코드설정!$S$5:$S$10,0),0)</f>
        <v/>
      </c>
    </row>
    <row r="332">
      <c r="A332" s="118">
        <f>IF($B332="","",COUNT($B$5:$B332))</f>
        <v/>
      </c>
      <c r="B332" s="80" t="n"/>
      <c r="C332" s="74" t="n"/>
      <c r="D332" s="33">
        <f>IF($C332="","",IFERROR(INDEX(사업마스터!$B$5:$B$34,MATCH($C332,사업마스터!$A$5:$A$34,0)),"※ 미등록 사업번호"))</f>
        <v/>
      </c>
      <c r="E332" s="74" t="n"/>
      <c r="F332" s="36" t="n"/>
      <c r="G332" s="36" t="n"/>
      <c r="H332" s="74" t="n"/>
      <c r="I332" s="76" t="n"/>
      <c r="J332" s="74" t="n"/>
      <c r="K332" s="74" t="n"/>
      <c r="L332" s="36" t="n"/>
      <c r="N332">
        <f>IFERROR(MATCH($E332,코드설정!$S$5:$S$10,0),0)</f>
        <v/>
      </c>
    </row>
    <row r="333">
      <c r="A333" s="118">
        <f>IF($B333="","",COUNT($B$5:$B333))</f>
        <v/>
      </c>
      <c r="B333" s="80" t="n"/>
      <c r="C333" s="74" t="n"/>
      <c r="D333" s="33">
        <f>IF($C333="","",IFERROR(INDEX(사업마스터!$B$5:$B$34,MATCH($C333,사업마스터!$A$5:$A$34,0)),"※ 미등록 사업번호"))</f>
        <v/>
      </c>
      <c r="E333" s="74" t="n"/>
      <c r="F333" s="36" t="n"/>
      <c r="G333" s="36" t="n"/>
      <c r="H333" s="74" t="n"/>
      <c r="I333" s="76" t="n"/>
      <c r="J333" s="74" t="n"/>
      <c r="K333" s="74" t="n"/>
      <c r="L333" s="36" t="n"/>
      <c r="N333">
        <f>IFERROR(MATCH($E333,코드설정!$S$5:$S$10,0),0)</f>
        <v/>
      </c>
    </row>
    <row r="334">
      <c r="A334" s="118">
        <f>IF($B334="","",COUNT($B$5:$B334))</f>
        <v/>
      </c>
      <c r="B334" s="80" t="n"/>
      <c r="C334" s="74" t="n"/>
      <c r="D334" s="33">
        <f>IF($C334="","",IFERROR(INDEX(사업마스터!$B$5:$B$34,MATCH($C334,사업마스터!$A$5:$A$34,0)),"※ 미등록 사업번호"))</f>
        <v/>
      </c>
      <c r="E334" s="74" t="n"/>
      <c r="F334" s="36" t="n"/>
      <c r="G334" s="36" t="n"/>
      <c r="H334" s="74" t="n"/>
      <c r="I334" s="76" t="n"/>
      <c r="J334" s="74" t="n"/>
      <c r="K334" s="74" t="n"/>
      <c r="L334" s="36" t="n"/>
      <c r="N334">
        <f>IFERROR(MATCH($E334,코드설정!$S$5:$S$10,0),0)</f>
        <v/>
      </c>
    </row>
    <row r="335">
      <c r="A335" s="118">
        <f>IF($B335="","",COUNT($B$5:$B335))</f>
        <v/>
      </c>
      <c r="B335" s="80" t="n"/>
      <c r="C335" s="74" t="n"/>
      <c r="D335" s="33">
        <f>IF($C335="","",IFERROR(INDEX(사업마스터!$B$5:$B$34,MATCH($C335,사업마스터!$A$5:$A$34,0)),"※ 미등록 사업번호"))</f>
        <v/>
      </c>
      <c r="E335" s="74" t="n"/>
      <c r="F335" s="36" t="n"/>
      <c r="G335" s="36" t="n"/>
      <c r="H335" s="74" t="n"/>
      <c r="I335" s="76" t="n"/>
      <c r="J335" s="74" t="n"/>
      <c r="K335" s="74" t="n"/>
      <c r="L335" s="36" t="n"/>
      <c r="N335">
        <f>IFERROR(MATCH($E335,코드설정!$S$5:$S$10,0),0)</f>
        <v/>
      </c>
    </row>
    <row r="336">
      <c r="A336" s="118">
        <f>IF($B336="","",COUNT($B$5:$B336))</f>
        <v/>
      </c>
      <c r="B336" s="80" t="n"/>
      <c r="C336" s="74" t="n"/>
      <c r="D336" s="33">
        <f>IF($C336="","",IFERROR(INDEX(사업마스터!$B$5:$B$34,MATCH($C336,사업마스터!$A$5:$A$34,0)),"※ 미등록 사업번호"))</f>
        <v/>
      </c>
      <c r="E336" s="74" t="n"/>
      <c r="F336" s="36" t="n"/>
      <c r="G336" s="36" t="n"/>
      <c r="H336" s="74" t="n"/>
      <c r="I336" s="76" t="n"/>
      <c r="J336" s="74" t="n"/>
      <c r="K336" s="74" t="n"/>
      <c r="L336" s="36" t="n"/>
      <c r="N336">
        <f>IFERROR(MATCH($E336,코드설정!$S$5:$S$10,0),0)</f>
        <v/>
      </c>
    </row>
    <row r="337">
      <c r="A337" s="118">
        <f>IF($B337="","",COUNT($B$5:$B337))</f>
        <v/>
      </c>
      <c r="B337" s="80" t="n"/>
      <c r="C337" s="74" t="n"/>
      <c r="D337" s="33">
        <f>IF($C337="","",IFERROR(INDEX(사업마스터!$B$5:$B$34,MATCH($C337,사업마스터!$A$5:$A$34,0)),"※ 미등록 사업번호"))</f>
        <v/>
      </c>
      <c r="E337" s="74" t="n"/>
      <c r="F337" s="36" t="n"/>
      <c r="G337" s="36" t="n"/>
      <c r="H337" s="74" t="n"/>
      <c r="I337" s="76" t="n"/>
      <c r="J337" s="74" t="n"/>
      <c r="K337" s="74" t="n"/>
      <c r="L337" s="36" t="n"/>
      <c r="N337">
        <f>IFERROR(MATCH($E337,코드설정!$S$5:$S$10,0),0)</f>
        <v/>
      </c>
    </row>
    <row r="338">
      <c r="A338" s="118">
        <f>IF($B338="","",COUNT($B$5:$B338))</f>
        <v/>
      </c>
      <c r="B338" s="80" t="n"/>
      <c r="C338" s="74" t="n"/>
      <c r="D338" s="33">
        <f>IF($C338="","",IFERROR(INDEX(사업마스터!$B$5:$B$34,MATCH($C338,사업마스터!$A$5:$A$34,0)),"※ 미등록 사업번호"))</f>
        <v/>
      </c>
      <c r="E338" s="74" t="n"/>
      <c r="F338" s="36" t="n"/>
      <c r="G338" s="36" t="n"/>
      <c r="H338" s="74" t="n"/>
      <c r="I338" s="76" t="n"/>
      <c r="J338" s="74" t="n"/>
      <c r="K338" s="74" t="n"/>
      <c r="L338" s="36" t="n"/>
      <c r="N338">
        <f>IFERROR(MATCH($E338,코드설정!$S$5:$S$10,0),0)</f>
        <v/>
      </c>
    </row>
    <row r="339">
      <c r="A339" s="118">
        <f>IF($B339="","",COUNT($B$5:$B339))</f>
        <v/>
      </c>
      <c r="B339" s="80" t="n"/>
      <c r="C339" s="74" t="n"/>
      <c r="D339" s="33">
        <f>IF($C339="","",IFERROR(INDEX(사업마스터!$B$5:$B$34,MATCH($C339,사업마스터!$A$5:$A$34,0)),"※ 미등록 사업번호"))</f>
        <v/>
      </c>
      <c r="E339" s="74" t="n"/>
      <c r="F339" s="36" t="n"/>
      <c r="G339" s="36" t="n"/>
      <c r="H339" s="74" t="n"/>
      <c r="I339" s="76" t="n"/>
      <c r="J339" s="74" t="n"/>
      <c r="K339" s="74" t="n"/>
      <c r="L339" s="36" t="n"/>
      <c r="N339">
        <f>IFERROR(MATCH($E339,코드설정!$S$5:$S$10,0),0)</f>
        <v/>
      </c>
    </row>
    <row r="340">
      <c r="A340" s="118">
        <f>IF($B340="","",COUNT($B$5:$B340))</f>
        <v/>
      </c>
      <c r="B340" s="80" t="n"/>
      <c r="C340" s="74" t="n"/>
      <c r="D340" s="33">
        <f>IF($C340="","",IFERROR(INDEX(사업마스터!$B$5:$B$34,MATCH($C340,사업마스터!$A$5:$A$34,0)),"※ 미등록 사업번호"))</f>
        <v/>
      </c>
      <c r="E340" s="74" t="n"/>
      <c r="F340" s="36" t="n"/>
      <c r="G340" s="36" t="n"/>
      <c r="H340" s="74" t="n"/>
      <c r="I340" s="76" t="n"/>
      <c r="J340" s="74" t="n"/>
      <c r="K340" s="74" t="n"/>
      <c r="L340" s="36" t="n"/>
      <c r="N340">
        <f>IFERROR(MATCH($E340,코드설정!$S$5:$S$10,0),0)</f>
        <v/>
      </c>
    </row>
    <row r="341">
      <c r="A341" s="118">
        <f>IF($B341="","",COUNT($B$5:$B341))</f>
        <v/>
      </c>
      <c r="B341" s="80" t="n"/>
      <c r="C341" s="74" t="n"/>
      <c r="D341" s="33">
        <f>IF($C341="","",IFERROR(INDEX(사업마스터!$B$5:$B$34,MATCH($C341,사업마스터!$A$5:$A$34,0)),"※ 미등록 사업번호"))</f>
        <v/>
      </c>
      <c r="E341" s="74" t="n"/>
      <c r="F341" s="36" t="n"/>
      <c r="G341" s="36" t="n"/>
      <c r="H341" s="74" t="n"/>
      <c r="I341" s="76" t="n"/>
      <c r="J341" s="74" t="n"/>
      <c r="K341" s="74" t="n"/>
      <c r="L341" s="36" t="n"/>
      <c r="N341">
        <f>IFERROR(MATCH($E341,코드설정!$S$5:$S$10,0),0)</f>
        <v/>
      </c>
    </row>
    <row r="342">
      <c r="A342" s="118">
        <f>IF($B342="","",COUNT($B$5:$B342))</f>
        <v/>
      </c>
      <c r="B342" s="80" t="n"/>
      <c r="C342" s="74" t="n"/>
      <c r="D342" s="33">
        <f>IF($C342="","",IFERROR(INDEX(사업마스터!$B$5:$B$34,MATCH($C342,사업마스터!$A$5:$A$34,0)),"※ 미등록 사업번호"))</f>
        <v/>
      </c>
      <c r="E342" s="74" t="n"/>
      <c r="F342" s="36" t="n"/>
      <c r="G342" s="36" t="n"/>
      <c r="H342" s="74" t="n"/>
      <c r="I342" s="76" t="n"/>
      <c r="J342" s="74" t="n"/>
      <c r="K342" s="74" t="n"/>
      <c r="L342" s="36" t="n"/>
      <c r="N342">
        <f>IFERROR(MATCH($E342,코드설정!$S$5:$S$10,0),0)</f>
        <v/>
      </c>
    </row>
    <row r="343">
      <c r="A343" s="118">
        <f>IF($B343="","",COUNT($B$5:$B343))</f>
        <v/>
      </c>
      <c r="B343" s="80" t="n"/>
      <c r="C343" s="74" t="n"/>
      <c r="D343" s="33">
        <f>IF($C343="","",IFERROR(INDEX(사업마스터!$B$5:$B$34,MATCH($C343,사업마스터!$A$5:$A$34,0)),"※ 미등록 사업번호"))</f>
        <v/>
      </c>
      <c r="E343" s="74" t="n"/>
      <c r="F343" s="36" t="n"/>
      <c r="G343" s="36" t="n"/>
      <c r="H343" s="74" t="n"/>
      <c r="I343" s="76" t="n"/>
      <c r="J343" s="74" t="n"/>
      <c r="K343" s="74" t="n"/>
      <c r="L343" s="36" t="n"/>
      <c r="N343">
        <f>IFERROR(MATCH($E343,코드설정!$S$5:$S$10,0),0)</f>
        <v/>
      </c>
    </row>
    <row r="344">
      <c r="A344" s="118">
        <f>IF($B344="","",COUNT($B$5:$B344))</f>
        <v/>
      </c>
      <c r="B344" s="80" t="n"/>
      <c r="C344" s="74" t="n"/>
      <c r="D344" s="33">
        <f>IF($C344="","",IFERROR(INDEX(사업마스터!$B$5:$B$34,MATCH($C344,사업마스터!$A$5:$A$34,0)),"※ 미등록 사업번호"))</f>
        <v/>
      </c>
      <c r="E344" s="74" t="n"/>
      <c r="F344" s="36" t="n"/>
      <c r="G344" s="36" t="n"/>
      <c r="H344" s="74" t="n"/>
      <c r="I344" s="76" t="n"/>
      <c r="J344" s="74" t="n"/>
      <c r="K344" s="74" t="n"/>
      <c r="L344" s="36" t="n"/>
      <c r="N344">
        <f>IFERROR(MATCH($E344,코드설정!$S$5:$S$10,0),0)</f>
        <v/>
      </c>
    </row>
    <row r="345">
      <c r="A345" s="118">
        <f>IF($B345="","",COUNT($B$5:$B345))</f>
        <v/>
      </c>
      <c r="B345" s="80" t="n"/>
      <c r="C345" s="74" t="n"/>
      <c r="D345" s="33">
        <f>IF($C345="","",IFERROR(INDEX(사업마스터!$B$5:$B$34,MATCH($C345,사업마스터!$A$5:$A$34,0)),"※ 미등록 사업번호"))</f>
        <v/>
      </c>
      <c r="E345" s="74" t="n"/>
      <c r="F345" s="36" t="n"/>
      <c r="G345" s="36" t="n"/>
      <c r="H345" s="74" t="n"/>
      <c r="I345" s="76" t="n"/>
      <c r="J345" s="74" t="n"/>
      <c r="K345" s="74" t="n"/>
      <c r="L345" s="36" t="n"/>
      <c r="N345">
        <f>IFERROR(MATCH($E345,코드설정!$S$5:$S$10,0),0)</f>
        <v/>
      </c>
    </row>
    <row r="346">
      <c r="A346" s="118">
        <f>IF($B346="","",COUNT($B$5:$B346))</f>
        <v/>
      </c>
      <c r="B346" s="80" t="n"/>
      <c r="C346" s="74" t="n"/>
      <c r="D346" s="33">
        <f>IF($C346="","",IFERROR(INDEX(사업마스터!$B$5:$B$34,MATCH($C346,사업마스터!$A$5:$A$34,0)),"※ 미등록 사업번호"))</f>
        <v/>
      </c>
      <c r="E346" s="74" t="n"/>
      <c r="F346" s="36" t="n"/>
      <c r="G346" s="36" t="n"/>
      <c r="H346" s="74" t="n"/>
      <c r="I346" s="76" t="n"/>
      <c r="J346" s="74" t="n"/>
      <c r="K346" s="74" t="n"/>
      <c r="L346" s="36" t="n"/>
      <c r="N346">
        <f>IFERROR(MATCH($E346,코드설정!$S$5:$S$10,0),0)</f>
        <v/>
      </c>
    </row>
    <row r="347">
      <c r="A347" s="118">
        <f>IF($B347="","",COUNT($B$5:$B347))</f>
        <v/>
      </c>
      <c r="B347" s="80" t="n"/>
      <c r="C347" s="74" t="n"/>
      <c r="D347" s="33">
        <f>IF($C347="","",IFERROR(INDEX(사업마스터!$B$5:$B$34,MATCH($C347,사업마스터!$A$5:$A$34,0)),"※ 미등록 사업번호"))</f>
        <v/>
      </c>
      <c r="E347" s="74" t="n"/>
      <c r="F347" s="36" t="n"/>
      <c r="G347" s="36" t="n"/>
      <c r="H347" s="74" t="n"/>
      <c r="I347" s="76" t="n"/>
      <c r="J347" s="74" t="n"/>
      <c r="K347" s="74" t="n"/>
      <c r="L347" s="36" t="n"/>
      <c r="N347">
        <f>IFERROR(MATCH($E347,코드설정!$S$5:$S$10,0),0)</f>
        <v/>
      </c>
    </row>
    <row r="348">
      <c r="A348" s="118">
        <f>IF($B348="","",COUNT($B$5:$B348))</f>
        <v/>
      </c>
      <c r="B348" s="80" t="n"/>
      <c r="C348" s="74" t="n"/>
      <c r="D348" s="33">
        <f>IF($C348="","",IFERROR(INDEX(사업마스터!$B$5:$B$34,MATCH($C348,사업마스터!$A$5:$A$34,0)),"※ 미등록 사업번호"))</f>
        <v/>
      </c>
      <c r="E348" s="74" t="n"/>
      <c r="F348" s="36" t="n"/>
      <c r="G348" s="36" t="n"/>
      <c r="H348" s="74" t="n"/>
      <c r="I348" s="76" t="n"/>
      <c r="J348" s="74" t="n"/>
      <c r="K348" s="74" t="n"/>
      <c r="L348" s="36" t="n"/>
      <c r="N348">
        <f>IFERROR(MATCH($E348,코드설정!$S$5:$S$10,0),0)</f>
        <v/>
      </c>
    </row>
    <row r="349">
      <c r="A349" s="118">
        <f>IF($B349="","",COUNT($B$5:$B349))</f>
        <v/>
      </c>
      <c r="B349" s="80" t="n"/>
      <c r="C349" s="74" t="n"/>
      <c r="D349" s="33">
        <f>IF($C349="","",IFERROR(INDEX(사업마스터!$B$5:$B$34,MATCH($C349,사업마스터!$A$5:$A$34,0)),"※ 미등록 사업번호"))</f>
        <v/>
      </c>
      <c r="E349" s="74" t="n"/>
      <c r="F349" s="36" t="n"/>
      <c r="G349" s="36" t="n"/>
      <c r="H349" s="74" t="n"/>
      <c r="I349" s="76" t="n"/>
      <c r="J349" s="74" t="n"/>
      <c r="K349" s="74" t="n"/>
      <c r="L349" s="36" t="n"/>
      <c r="N349">
        <f>IFERROR(MATCH($E349,코드설정!$S$5:$S$10,0),0)</f>
        <v/>
      </c>
    </row>
    <row r="350">
      <c r="A350" s="118">
        <f>IF($B350="","",COUNT($B$5:$B350))</f>
        <v/>
      </c>
      <c r="B350" s="80" t="n"/>
      <c r="C350" s="74" t="n"/>
      <c r="D350" s="33">
        <f>IF($C350="","",IFERROR(INDEX(사업마스터!$B$5:$B$34,MATCH($C350,사업마스터!$A$5:$A$34,0)),"※ 미등록 사업번호"))</f>
        <v/>
      </c>
      <c r="E350" s="74" t="n"/>
      <c r="F350" s="36" t="n"/>
      <c r="G350" s="36" t="n"/>
      <c r="H350" s="74" t="n"/>
      <c r="I350" s="76" t="n"/>
      <c r="J350" s="74" t="n"/>
      <c r="K350" s="74" t="n"/>
      <c r="L350" s="36" t="n"/>
      <c r="N350">
        <f>IFERROR(MATCH($E350,코드설정!$S$5:$S$10,0),0)</f>
        <v/>
      </c>
    </row>
    <row r="351">
      <c r="A351" s="118">
        <f>IF($B351="","",COUNT($B$5:$B351))</f>
        <v/>
      </c>
      <c r="B351" s="80" t="n"/>
      <c r="C351" s="74" t="n"/>
      <c r="D351" s="33">
        <f>IF($C351="","",IFERROR(INDEX(사업마스터!$B$5:$B$34,MATCH($C351,사업마스터!$A$5:$A$34,0)),"※ 미등록 사업번호"))</f>
        <v/>
      </c>
      <c r="E351" s="74" t="n"/>
      <c r="F351" s="36" t="n"/>
      <c r="G351" s="36" t="n"/>
      <c r="H351" s="74" t="n"/>
      <c r="I351" s="76" t="n"/>
      <c r="J351" s="74" t="n"/>
      <c r="K351" s="74" t="n"/>
      <c r="L351" s="36" t="n"/>
      <c r="N351">
        <f>IFERROR(MATCH($E351,코드설정!$S$5:$S$10,0),0)</f>
        <v/>
      </c>
    </row>
    <row r="352">
      <c r="A352" s="118">
        <f>IF($B352="","",COUNT($B$5:$B352))</f>
        <v/>
      </c>
      <c r="B352" s="80" t="n"/>
      <c r="C352" s="74" t="n"/>
      <c r="D352" s="33">
        <f>IF($C352="","",IFERROR(INDEX(사업마스터!$B$5:$B$34,MATCH($C352,사업마스터!$A$5:$A$34,0)),"※ 미등록 사업번호"))</f>
        <v/>
      </c>
      <c r="E352" s="74" t="n"/>
      <c r="F352" s="36" t="n"/>
      <c r="G352" s="36" t="n"/>
      <c r="H352" s="74" t="n"/>
      <c r="I352" s="76" t="n"/>
      <c r="J352" s="74" t="n"/>
      <c r="K352" s="74" t="n"/>
      <c r="L352" s="36" t="n"/>
      <c r="N352">
        <f>IFERROR(MATCH($E352,코드설정!$S$5:$S$10,0),0)</f>
        <v/>
      </c>
    </row>
    <row r="353">
      <c r="A353" s="118">
        <f>IF($B353="","",COUNT($B$5:$B353))</f>
        <v/>
      </c>
      <c r="B353" s="80" t="n"/>
      <c r="C353" s="74" t="n"/>
      <c r="D353" s="33">
        <f>IF($C353="","",IFERROR(INDEX(사업마스터!$B$5:$B$34,MATCH($C353,사업마스터!$A$5:$A$34,0)),"※ 미등록 사업번호"))</f>
        <v/>
      </c>
      <c r="E353" s="74" t="n"/>
      <c r="F353" s="36" t="n"/>
      <c r="G353" s="36" t="n"/>
      <c r="H353" s="74" t="n"/>
      <c r="I353" s="76" t="n"/>
      <c r="J353" s="74" t="n"/>
      <c r="K353" s="74" t="n"/>
      <c r="L353" s="36" t="n"/>
      <c r="N353">
        <f>IFERROR(MATCH($E353,코드설정!$S$5:$S$10,0),0)</f>
        <v/>
      </c>
    </row>
    <row r="354">
      <c r="A354" s="118">
        <f>IF($B354="","",COUNT($B$5:$B354))</f>
        <v/>
      </c>
      <c r="B354" s="80" t="n"/>
      <c r="C354" s="74" t="n"/>
      <c r="D354" s="33">
        <f>IF($C354="","",IFERROR(INDEX(사업마스터!$B$5:$B$34,MATCH($C354,사업마스터!$A$5:$A$34,0)),"※ 미등록 사업번호"))</f>
        <v/>
      </c>
      <c r="E354" s="74" t="n"/>
      <c r="F354" s="36" t="n"/>
      <c r="G354" s="36" t="n"/>
      <c r="H354" s="74" t="n"/>
      <c r="I354" s="76" t="n"/>
      <c r="J354" s="74" t="n"/>
      <c r="K354" s="74" t="n"/>
      <c r="L354" s="36" t="n"/>
      <c r="N354">
        <f>IFERROR(MATCH($E354,코드설정!$S$5:$S$10,0),0)</f>
        <v/>
      </c>
    </row>
    <row r="355">
      <c r="A355" s="118">
        <f>IF($B355="","",COUNT($B$5:$B355))</f>
        <v/>
      </c>
      <c r="B355" s="80" t="n"/>
      <c r="C355" s="74" t="n"/>
      <c r="D355" s="33">
        <f>IF($C355="","",IFERROR(INDEX(사업마스터!$B$5:$B$34,MATCH($C355,사업마스터!$A$5:$A$34,0)),"※ 미등록 사업번호"))</f>
        <v/>
      </c>
      <c r="E355" s="74" t="n"/>
      <c r="F355" s="36" t="n"/>
      <c r="G355" s="36" t="n"/>
      <c r="H355" s="74" t="n"/>
      <c r="I355" s="76" t="n"/>
      <c r="J355" s="74" t="n"/>
      <c r="K355" s="74" t="n"/>
      <c r="L355" s="36" t="n"/>
      <c r="N355">
        <f>IFERROR(MATCH($E355,코드설정!$S$5:$S$10,0),0)</f>
        <v/>
      </c>
    </row>
    <row r="356">
      <c r="A356" s="118">
        <f>IF($B356="","",COUNT($B$5:$B356))</f>
        <v/>
      </c>
      <c r="B356" s="80" t="n"/>
      <c r="C356" s="74" t="n"/>
      <c r="D356" s="33">
        <f>IF($C356="","",IFERROR(INDEX(사업마스터!$B$5:$B$34,MATCH($C356,사업마스터!$A$5:$A$34,0)),"※ 미등록 사업번호"))</f>
        <v/>
      </c>
      <c r="E356" s="74" t="n"/>
      <c r="F356" s="36" t="n"/>
      <c r="G356" s="36" t="n"/>
      <c r="H356" s="74" t="n"/>
      <c r="I356" s="76" t="n"/>
      <c r="J356" s="74" t="n"/>
      <c r="K356" s="74" t="n"/>
      <c r="L356" s="36" t="n"/>
      <c r="N356">
        <f>IFERROR(MATCH($E356,코드설정!$S$5:$S$10,0),0)</f>
        <v/>
      </c>
    </row>
    <row r="357">
      <c r="A357" s="118">
        <f>IF($B357="","",COUNT($B$5:$B357))</f>
        <v/>
      </c>
      <c r="B357" s="80" t="n"/>
      <c r="C357" s="74" t="n"/>
      <c r="D357" s="33">
        <f>IF($C357="","",IFERROR(INDEX(사업마스터!$B$5:$B$34,MATCH($C357,사업마스터!$A$5:$A$34,0)),"※ 미등록 사업번호"))</f>
        <v/>
      </c>
      <c r="E357" s="74" t="n"/>
      <c r="F357" s="36" t="n"/>
      <c r="G357" s="36" t="n"/>
      <c r="H357" s="74" t="n"/>
      <c r="I357" s="76" t="n"/>
      <c r="J357" s="74" t="n"/>
      <c r="K357" s="74" t="n"/>
      <c r="L357" s="36" t="n"/>
      <c r="N357">
        <f>IFERROR(MATCH($E357,코드설정!$S$5:$S$10,0),0)</f>
        <v/>
      </c>
    </row>
    <row r="358">
      <c r="A358" s="118">
        <f>IF($B358="","",COUNT($B$5:$B358))</f>
        <v/>
      </c>
      <c r="B358" s="80" t="n"/>
      <c r="C358" s="74" t="n"/>
      <c r="D358" s="33">
        <f>IF($C358="","",IFERROR(INDEX(사업마스터!$B$5:$B$34,MATCH($C358,사업마스터!$A$5:$A$34,0)),"※ 미등록 사업번호"))</f>
        <v/>
      </c>
      <c r="E358" s="74" t="n"/>
      <c r="F358" s="36" t="n"/>
      <c r="G358" s="36" t="n"/>
      <c r="H358" s="74" t="n"/>
      <c r="I358" s="76" t="n"/>
      <c r="J358" s="74" t="n"/>
      <c r="K358" s="74" t="n"/>
      <c r="L358" s="36" t="n"/>
      <c r="N358">
        <f>IFERROR(MATCH($E358,코드설정!$S$5:$S$10,0),0)</f>
        <v/>
      </c>
    </row>
    <row r="359">
      <c r="A359" s="118">
        <f>IF($B359="","",COUNT($B$5:$B359))</f>
        <v/>
      </c>
      <c r="B359" s="80" t="n"/>
      <c r="C359" s="74" t="n"/>
      <c r="D359" s="33">
        <f>IF($C359="","",IFERROR(INDEX(사업마스터!$B$5:$B$34,MATCH($C359,사업마스터!$A$5:$A$34,0)),"※ 미등록 사업번호"))</f>
        <v/>
      </c>
      <c r="E359" s="74" t="n"/>
      <c r="F359" s="36" t="n"/>
      <c r="G359" s="36" t="n"/>
      <c r="H359" s="74" t="n"/>
      <c r="I359" s="76" t="n"/>
      <c r="J359" s="74" t="n"/>
      <c r="K359" s="74" t="n"/>
      <c r="L359" s="36" t="n"/>
      <c r="N359">
        <f>IFERROR(MATCH($E359,코드설정!$S$5:$S$10,0),0)</f>
        <v/>
      </c>
    </row>
    <row r="360">
      <c r="A360" s="118">
        <f>IF($B360="","",COUNT($B$5:$B360))</f>
        <v/>
      </c>
      <c r="B360" s="80" t="n"/>
      <c r="C360" s="74" t="n"/>
      <c r="D360" s="33">
        <f>IF($C360="","",IFERROR(INDEX(사업마스터!$B$5:$B$34,MATCH($C360,사업마스터!$A$5:$A$34,0)),"※ 미등록 사업번호"))</f>
        <v/>
      </c>
      <c r="E360" s="74" t="n"/>
      <c r="F360" s="36" t="n"/>
      <c r="G360" s="36" t="n"/>
      <c r="H360" s="74" t="n"/>
      <c r="I360" s="76" t="n"/>
      <c r="J360" s="74" t="n"/>
      <c r="K360" s="74" t="n"/>
      <c r="L360" s="36" t="n"/>
      <c r="N360">
        <f>IFERROR(MATCH($E360,코드설정!$S$5:$S$10,0),0)</f>
        <v/>
      </c>
    </row>
    <row r="361">
      <c r="A361" s="118">
        <f>IF($B361="","",COUNT($B$5:$B361))</f>
        <v/>
      </c>
      <c r="B361" s="80" t="n"/>
      <c r="C361" s="74" t="n"/>
      <c r="D361" s="33">
        <f>IF($C361="","",IFERROR(INDEX(사업마스터!$B$5:$B$34,MATCH($C361,사업마스터!$A$5:$A$34,0)),"※ 미등록 사업번호"))</f>
        <v/>
      </c>
      <c r="E361" s="74" t="n"/>
      <c r="F361" s="36" t="n"/>
      <c r="G361" s="36" t="n"/>
      <c r="H361" s="74" t="n"/>
      <c r="I361" s="76" t="n"/>
      <c r="J361" s="74" t="n"/>
      <c r="K361" s="74" t="n"/>
      <c r="L361" s="36" t="n"/>
      <c r="N361">
        <f>IFERROR(MATCH($E361,코드설정!$S$5:$S$10,0),0)</f>
        <v/>
      </c>
    </row>
    <row r="362">
      <c r="A362" s="118">
        <f>IF($B362="","",COUNT($B$5:$B362))</f>
        <v/>
      </c>
      <c r="B362" s="80" t="n"/>
      <c r="C362" s="74" t="n"/>
      <c r="D362" s="33">
        <f>IF($C362="","",IFERROR(INDEX(사업마스터!$B$5:$B$34,MATCH($C362,사업마스터!$A$5:$A$34,0)),"※ 미등록 사업번호"))</f>
        <v/>
      </c>
      <c r="E362" s="74" t="n"/>
      <c r="F362" s="36" t="n"/>
      <c r="G362" s="36" t="n"/>
      <c r="H362" s="74" t="n"/>
      <c r="I362" s="76" t="n"/>
      <c r="J362" s="74" t="n"/>
      <c r="K362" s="74" t="n"/>
      <c r="L362" s="36" t="n"/>
      <c r="N362">
        <f>IFERROR(MATCH($E362,코드설정!$S$5:$S$10,0),0)</f>
        <v/>
      </c>
    </row>
    <row r="363">
      <c r="A363" s="118">
        <f>IF($B363="","",COUNT($B$5:$B363))</f>
        <v/>
      </c>
      <c r="B363" s="80" t="n"/>
      <c r="C363" s="74" t="n"/>
      <c r="D363" s="33">
        <f>IF($C363="","",IFERROR(INDEX(사업마스터!$B$5:$B$34,MATCH($C363,사업마스터!$A$5:$A$34,0)),"※ 미등록 사업번호"))</f>
        <v/>
      </c>
      <c r="E363" s="74" t="n"/>
      <c r="F363" s="36" t="n"/>
      <c r="G363" s="36" t="n"/>
      <c r="H363" s="74" t="n"/>
      <c r="I363" s="76" t="n"/>
      <c r="J363" s="74" t="n"/>
      <c r="K363" s="74" t="n"/>
      <c r="L363" s="36" t="n"/>
      <c r="N363">
        <f>IFERROR(MATCH($E363,코드설정!$S$5:$S$10,0),0)</f>
        <v/>
      </c>
    </row>
    <row r="364">
      <c r="A364" s="118">
        <f>IF($B364="","",COUNT($B$5:$B364))</f>
        <v/>
      </c>
      <c r="B364" s="80" t="n"/>
      <c r="C364" s="74" t="n"/>
      <c r="D364" s="33">
        <f>IF($C364="","",IFERROR(INDEX(사업마스터!$B$5:$B$34,MATCH($C364,사업마스터!$A$5:$A$34,0)),"※ 미등록 사업번호"))</f>
        <v/>
      </c>
      <c r="E364" s="74" t="n"/>
      <c r="F364" s="36" t="n"/>
      <c r="G364" s="36" t="n"/>
      <c r="H364" s="74" t="n"/>
      <c r="I364" s="76" t="n"/>
      <c r="J364" s="74" t="n"/>
      <c r="K364" s="74" t="n"/>
      <c r="L364" s="36" t="n"/>
      <c r="N364">
        <f>IFERROR(MATCH($E364,코드설정!$S$5:$S$10,0),0)</f>
        <v/>
      </c>
    </row>
    <row r="365">
      <c r="A365" s="118">
        <f>IF($B365="","",COUNT($B$5:$B365))</f>
        <v/>
      </c>
      <c r="B365" s="80" t="n"/>
      <c r="C365" s="74" t="n"/>
      <c r="D365" s="33">
        <f>IF($C365="","",IFERROR(INDEX(사업마스터!$B$5:$B$34,MATCH($C365,사업마스터!$A$5:$A$34,0)),"※ 미등록 사업번호"))</f>
        <v/>
      </c>
      <c r="E365" s="74" t="n"/>
      <c r="F365" s="36" t="n"/>
      <c r="G365" s="36" t="n"/>
      <c r="H365" s="74" t="n"/>
      <c r="I365" s="76" t="n"/>
      <c r="J365" s="74" t="n"/>
      <c r="K365" s="74" t="n"/>
      <c r="L365" s="36" t="n"/>
      <c r="N365">
        <f>IFERROR(MATCH($E365,코드설정!$S$5:$S$10,0),0)</f>
        <v/>
      </c>
    </row>
    <row r="366">
      <c r="A366" s="118">
        <f>IF($B366="","",COUNT($B$5:$B366))</f>
        <v/>
      </c>
      <c r="B366" s="80" t="n"/>
      <c r="C366" s="74" t="n"/>
      <c r="D366" s="33">
        <f>IF($C366="","",IFERROR(INDEX(사업마스터!$B$5:$B$34,MATCH($C366,사업마스터!$A$5:$A$34,0)),"※ 미등록 사업번호"))</f>
        <v/>
      </c>
      <c r="E366" s="74" t="n"/>
      <c r="F366" s="36" t="n"/>
      <c r="G366" s="36" t="n"/>
      <c r="H366" s="74" t="n"/>
      <c r="I366" s="76" t="n"/>
      <c r="J366" s="74" t="n"/>
      <c r="K366" s="74" t="n"/>
      <c r="L366" s="36" t="n"/>
      <c r="N366">
        <f>IFERROR(MATCH($E366,코드설정!$S$5:$S$10,0),0)</f>
        <v/>
      </c>
    </row>
    <row r="367">
      <c r="A367" s="118">
        <f>IF($B367="","",COUNT($B$5:$B367))</f>
        <v/>
      </c>
      <c r="B367" s="80" t="n"/>
      <c r="C367" s="74" t="n"/>
      <c r="D367" s="33">
        <f>IF($C367="","",IFERROR(INDEX(사업마스터!$B$5:$B$34,MATCH($C367,사업마스터!$A$5:$A$34,0)),"※ 미등록 사업번호"))</f>
        <v/>
      </c>
      <c r="E367" s="74" t="n"/>
      <c r="F367" s="36" t="n"/>
      <c r="G367" s="36" t="n"/>
      <c r="H367" s="74" t="n"/>
      <c r="I367" s="76" t="n"/>
      <c r="J367" s="74" t="n"/>
      <c r="K367" s="74" t="n"/>
      <c r="L367" s="36" t="n"/>
      <c r="N367">
        <f>IFERROR(MATCH($E367,코드설정!$S$5:$S$10,0),0)</f>
        <v/>
      </c>
    </row>
    <row r="368">
      <c r="A368" s="118">
        <f>IF($B368="","",COUNT($B$5:$B368))</f>
        <v/>
      </c>
      <c r="B368" s="80" t="n"/>
      <c r="C368" s="74" t="n"/>
      <c r="D368" s="33">
        <f>IF($C368="","",IFERROR(INDEX(사업마스터!$B$5:$B$34,MATCH($C368,사업마스터!$A$5:$A$34,0)),"※ 미등록 사업번호"))</f>
        <v/>
      </c>
      <c r="E368" s="74" t="n"/>
      <c r="F368" s="36" t="n"/>
      <c r="G368" s="36" t="n"/>
      <c r="H368" s="74" t="n"/>
      <c r="I368" s="76" t="n"/>
      <c r="J368" s="74" t="n"/>
      <c r="K368" s="74" t="n"/>
      <c r="L368" s="36" t="n"/>
      <c r="N368">
        <f>IFERROR(MATCH($E368,코드설정!$S$5:$S$10,0),0)</f>
        <v/>
      </c>
    </row>
    <row r="369">
      <c r="A369" s="118">
        <f>IF($B369="","",COUNT($B$5:$B369))</f>
        <v/>
      </c>
      <c r="B369" s="80" t="n"/>
      <c r="C369" s="74" t="n"/>
      <c r="D369" s="33">
        <f>IF($C369="","",IFERROR(INDEX(사업마스터!$B$5:$B$34,MATCH($C369,사업마스터!$A$5:$A$34,0)),"※ 미등록 사업번호"))</f>
        <v/>
      </c>
      <c r="E369" s="74" t="n"/>
      <c r="F369" s="36" t="n"/>
      <c r="G369" s="36" t="n"/>
      <c r="H369" s="74" t="n"/>
      <c r="I369" s="76" t="n"/>
      <c r="J369" s="74" t="n"/>
      <c r="K369" s="74" t="n"/>
      <c r="L369" s="36" t="n"/>
      <c r="N369">
        <f>IFERROR(MATCH($E369,코드설정!$S$5:$S$10,0),0)</f>
        <v/>
      </c>
    </row>
    <row r="370">
      <c r="A370" s="118">
        <f>IF($B370="","",COUNT($B$5:$B370))</f>
        <v/>
      </c>
      <c r="B370" s="80" t="n"/>
      <c r="C370" s="74" t="n"/>
      <c r="D370" s="33">
        <f>IF($C370="","",IFERROR(INDEX(사업마스터!$B$5:$B$34,MATCH($C370,사업마스터!$A$5:$A$34,0)),"※ 미등록 사업번호"))</f>
        <v/>
      </c>
      <c r="E370" s="74" t="n"/>
      <c r="F370" s="36" t="n"/>
      <c r="G370" s="36" t="n"/>
      <c r="H370" s="74" t="n"/>
      <c r="I370" s="76" t="n"/>
      <c r="J370" s="74" t="n"/>
      <c r="K370" s="74" t="n"/>
      <c r="L370" s="36" t="n"/>
      <c r="N370">
        <f>IFERROR(MATCH($E370,코드설정!$S$5:$S$10,0),0)</f>
        <v/>
      </c>
    </row>
    <row r="371">
      <c r="A371" s="118">
        <f>IF($B371="","",COUNT($B$5:$B371))</f>
        <v/>
      </c>
      <c r="B371" s="80" t="n"/>
      <c r="C371" s="74" t="n"/>
      <c r="D371" s="33">
        <f>IF($C371="","",IFERROR(INDEX(사업마스터!$B$5:$B$34,MATCH($C371,사업마스터!$A$5:$A$34,0)),"※ 미등록 사업번호"))</f>
        <v/>
      </c>
      <c r="E371" s="74" t="n"/>
      <c r="F371" s="36" t="n"/>
      <c r="G371" s="36" t="n"/>
      <c r="H371" s="74" t="n"/>
      <c r="I371" s="76" t="n"/>
      <c r="J371" s="74" t="n"/>
      <c r="K371" s="74" t="n"/>
      <c r="L371" s="36" t="n"/>
      <c r="N371">
        <f>IFERROR(MATCH($E371,코드설정!$S$5:$S$10,0),0)</f>
        <v/>
      </c>
    </row>
    <row r="372">
      <c r="A372" s="118">
        <f>IF($B372="","",COUNT($B$5:$B372))</f>
        <v/>
      </c>
      <c r="B372" s="80" t="n"/>
      <c r="C372" s="74" t="n"/>
      <c r="D372" s="33">
        <f>IF($C372="","",IFERROR(INDEX(사업마스터!$B$5:$B$34,MATCH($C372,사업마스터!$A$5:$A$34,0)),"※ 미등록 사업번호"))</f>
        <v/>
      </c>
      <c r="E372" s="74" t="n"/>
      <c r="F372" s="36" t="n"/>
      <c r="G372" s="36" t="n"/>
      <c r="H372" s="74" t="n"/>
      <c r="I372" s="76" t="n"/>
      <c r="J372" s="74" t="n"/>
      <c r="K372" s="74" t="n"/>
      <c r="L372" s="36" t="n"/>
      <c r="N372">
        <f>IFERROR(MATCH($E372,코드설정!$S$5:$S$10,0),0)</f>
        <v/>
      </c>
    </row>
    <row r="373">
      <c r="A373" s="118">
        <f>IF($B373="","",COUNT($B$5:$B373))</f>
        <v/>
      </c>
      <c r="B373" s="80" t="n"/>
      <c r="C373" s="74" t="n"/>
      <c r="D373" s="33">
        <f>IF($C373="","",IFERROR(INDEX(사업마스터!$B$5:$B$34,MATCH($C373,사업마스터!$A$5:$A$34,0)),"※ 미등록 사업번호"))</f>
        <v/>
      </c>
      <c r="E373" s="74" t="n"/>
      <c r="F373" s="36" t="n"/>
      <c r="G373" s="36" t="n"/>
      <c r="H373" s="74" t="n"/>
      <c r="I373" s="76" t="n"/>
      <c r="J373" s="74" t="n"/>
      <c r="K373" s="74" t="n"/>
      <c r="L373" s="36" t="n"/>
      <c r="N373">
        <f>IFERROR(MATCH($E373,코드설정!$S$5:$S$10,0),0)</f>
        <v/>
      </c>
    </row>
    <row r="374">
      <c r="A374" s="118">
        <f>IF($B374="","",COUNT($B$5:$B374))</f>
        <v/>
      </c>
      <c r="B374" s="80" t="n"/>
      <c r="C374" s="74" t="n"/>
      <c r="D374" s="33">
        <f>IF($C374="","",IFERROR(INDEX(사업마스터!$B$5:$B$34,MATCH($C374,사업마스터!$A$5:$A$34,0)),"※ 미등록 사업번호"))</f>
        <v/>
      </c>
      <c r="E374" s="74" t="n"/>
      <c r="F374" s="36" t="n"/>
      <c r="G374" s="36" t="n"/>
      <c r="H374" s="74" t="n"/>
      <c r="I374" s="76" t="n"/>
      <c r="J374" s="74" t="n"/>
      <c r="K374" s="74" t="n"/>
      <c r="L374" s="36" t="n"/>
      <c r="N374">
        <f>IFERROR(MATCH($E374,코드설정!$S$5:$S$10,0),0)</f>
        <v/>
      </c>
    </row>
    <row r="375">
      <c r="A375" s="118">
        <f>IF($B375="","",COUNT($B$5:$B375))</f>
        <v/>
      </c>
      <c r="B375" s="80" t="n"/>
      <c r="C375" s="74" t="n"/>
      <c r="D375" s="33">
        <f>IF($C375="","",IFERROR(INDEX(사업마스터!$B$5:$B$34,MATCH($C375,사업마스터!$A$5:$A$34,0)),"※ 미등록 사업번호"))</f>
        <v/>
      </c>
      <c r="E375" s="74" t="n"/>
      <c r="F375" s="36" t="n"/>
      <c r="G375" s="36" t="n"/>
      <c r="H375" s="74" t="n"/>
      <c r="I375" s="76" t="n"/>
      <c r="J375" s="74" t="n"/>
      <c r="K375" s="74" t="n"/>
      <c r="L375" s="36" t="n"/>
      <c r="N375">
        <f>IFERROR(MATCH($E375,코드설정!$S$5:$S$10,0),0)</f>
        <v/>
      </c>
    </row>
    <row r="376">
      <c r="A376" s="118">
        <f>IF($B376="","",COUNT($B$5:$B376))</f>
        <v/>
      </c>
      <c r="B376" s="80" t="n"/>
      <c r="C376" s="74" t="n"/>
      <c r="D376" s="33">
        <f>IF($C376="","",IFERROR(INDEX(사업마스터!$B$5:$B$34,MATCH($C376,사업마스터!$A$5:$A$34,0)),"※ 미등록 사업번호"))</f>
        <v/>
      </c>
      <c r="E376" s="74" t="n"/>
      <c r="F376" s="36" t="n"/>
      <c r="G376" s="36" t="n"/>
      <c r="H376" s="74" t="n"/>
      <c r="I376" s="76" t="n"/>
      <c r="J376" s="74" t="n"/>
      <c r="K376" s="74" t="n"/>
      <c r="L376" s="36" t="n"/>
      <c r="N376">
        <f>IFERROR(MATCH($E376,코드설정!$S$5:$S$10,0),0)</f>
        <v/>
      </c>
    </row>
    <row r="377">
      <c r="A377" s="118">
        <f>IF($B377="","",COUNT($B$5:$B377))</f>
        <v/>
      </c>
      <c r="B377" s="80" t="n"/>
      <c r="C377" s="74" t="n"/>
      <c r="D377" s="33">
        <f>IF($C377="","",IFERROR(INDEX(사업마스터!$B$5:$B$34,MATCH($C377,사업마스터!$A$5:$A$34,0)),"※ 미등록 사업번호"))</f>
        <v/>
      </c>
      <c r="E377" s="74" t="n"/>
      <c r="F377" s="36" t="n"/>
      <c r="G377" s="36" t="n"/>
      <c r="H377" s="74" t="n"/>
      <c r="I377" s="76" t="n"/>
      <c r="J377" s="74" t="n"/>
      <c r="K377" s="74" t="n"/>
      <c r="L377" s="36" t="n"/>
      <c r="N377">
        <f>IFERROR(MATCH($E377,코드설정!$S$5:$S$10,0),0)</f>
        <v/>
      </c>
    </row>
    <row r="378">
      <c r="A378" s="118">
        <f>IF($B378="","",COUNT($B$5:$B378))</f>
        <v/>
      </c>
      <c r="B378" s="80" t="n"/>
      <c r="C378" s="74" t="n"/>
      <c r="D378" s="33">
        <f>IF($C378="","",IFERROR(INDEX(사업마스터!$B$5:$B$34,MATCH($C378,사업마스터!$A$5:$A$34,0)),"※ 미등록 사업번호"))</f>
        <v/>
      </c>
      <c r="E378" s="74" t="n"/>
      <c r="F378" s="36" t="n"/>
      <c r="G378" s="36" t="n"/>
      <c r="H378" s="74" t="n"/>
      <c r="I378" s="76" t="n"/>
      <c r="J378" s="74" t="n"/>
      <c r="K378" s="74" t="n"/>
      <c r="L378" s="36" t="n"/>
      <c r="N378">
        <f>IFERROR(MATCH($E378,코드설정!$S$5:$S$10,0),0)</f>
        <v/>
      </c>
    </row>
    <row r="379">
      <c r="A379" s="118">
        <f>IF($B379="","",COUNT($B$5:$B379))</f>
        <v/>
      </c>
      <c r="B379" s="80" t="n"/>
      <c r="C379" s="74" t="n"/>
      <c r="D379" s="33">
        <f>IF($C379="","",IFERROR(INDEX(사업마스터!$B$5:$B$34,MATCH($C379,사업마스터!$A$5:$A$34,0)),"※ 미등록 사업번호"))</f>
        <v/>
      </c>
      <c r="E379" s="74" t="n"/>
      <c r="F379" s="36" t="n"/>
      <c r="G379" s="36" t="n"/>
      <c r="H379" s="74" t="n"/>
      <c r="I379" s="76" t="n"/>
      <c r="J379" s="74" t="n"/>
      <c r="K379" s="74" t="n"/>
      <c r="L379" s="36" t="n"/>
      <c r="N379">
        <f>IFERROR(MATCH($E379,코드설정!$S$5:$S$10,0),0)</f>
        <v/>
      </c>
    </row>
    <row r="380">
      <c r="A380" s="118">
        <f>IF($B380="","",COUNT($B$5:$B380))</f>
        <v/>
      </c>
      <c r="B380" s="80" t="n"/>
      <c r="C380" s="74" t="n"/>
      <c r="D380" s="33">
        <f>IF($C380="","",IFERROR(INDEX(사업마스터!$B$5:$B$34,MATCH($C380,사업마스터!$A$5:$A$34,0)),"※ 미등록 사업번호"))</f>
        <v/>
      </c>
      <c r="E380" s="74" t="n"/>
      <c r="F380" s="36" t="n"/>
      <c r="G380" s="36" t="n"/>
      <c r="H380" s="74" t="n"/>
      <c r="I380" s="76" t="n"/>
      <c r="J380" s="74" t="n"/>
      <c r="K380" s="74" t="n"/>
      <c r="L380" s="36" t="n"/>
      <c r="N380">
        <f>IFERROR(MATCH($E380,코드설정!$S$5:$S$10,0),0)</f>
        <v/>
      </c>
    </row>
    <row r="381">
      <c r="A381" s="118">
        <f>IF($B381="","",COUNT($B$5:$B381))</f>
        <v/>
      </c>
      <c r="B381" s="80" t="n"/>
      <c r="C381" s="74" t="n"/>
      <c r="D381" s="33">
        <f>IF($C381="","",IFERROR(INDEX(사업마스터!$B$5:$B$34,MATCH($C381,사업마스터!$A$5:$A$34,0)),"※ 미등록 사업번호"))</f>
        <v/>
      </c>
      <c r="E381" s="74" t="n"/>
      <c r="F381" s="36" t="n"/>
      <c r="G381" s="36" t="n"/>
      <c r="H381" s="74" t="n"/>
      <c r="I381" s="76" t="n"/>
      <c r="J381" s="74" t="n"/>
      <c r="K381" s="74" t="n"/>
      <c r="L381" s="36" t="n"/>
      <c r="N381">
        <f>IFERROR(MATCH($E381,코드설정!$S$5:$S$10,0),0)</f>
        <v/>
      </c>
    </row>
    <row r="382">
      <c r="A382" s="118">
        <f>IF($B382="","",COUNT($B$5:$B382))</f>
        <v/>
      </c>
      <c r="B382" s="80" t="n"/>
      <c r="C382" s="74" t="n"/>
      <c r="D382" s="33">
        <f>IF($C382="","",IFERROR(INDEX(사업마스터!$B$5:$B$34,MATCH($C382,사업마스터!$A$5:$A$34,0)),"※ 미등록 사업번호"))</f>
        <v/>
      </c>
      <c r="E382" s="74" t="n"/>
      <c r="F382" s="36" t="n"/>
      <c r="G382" s="36" t="n"/>
      <c r="H382" s="74" t="n"/>
      <c r="I382" s="76" t="n"/>
      <c r="J382" s="74" t="n"/>
      <c r="K382" s="74" t="n"/>
      <c r="L382" s="36" t="n"/>
      <c r="N382">
        <f>IFERROR(MATCH($E382,코드설정!$S$5:$S$10,0),0)</f>
        <v/>
      </c>
    </row>
    <row r="383">
      <c r="A383" s="118">
        <f>IF($B383="","",COUNT($B$5:$B383))</f>
        <v/>
      </c>
      <c r="B383" s="80" t="n"/>
      <c r="C383" s="74" t="n"/>
      <c r="D383" s="33">
        <f>IF($C383="","",IFERROR(INDEX(사업마스터!$B$5:$B$34,MATCH($C383,사업마스터!$A$5:$A$34,0)),"※ 미등록 사업번호"))</f>
        <v/>
      </c>
      <c r="E383" s="74" t="n"/>
      <c r="F383" s="36" t="n"/>
      <c r="G383" s="36" t="n"/>
      <c r="H383" s="74" t="n"/>
      <c r="I383" s="76" t="n"/>
      <c r="J383" s="74" t="n"/>
      <c r="K383" s="74" t="n"/>
      <c r="L383" s="36" t="n"/>
      <c r="N383">
        <f>IFERROR(MATCH($E383,코드설정!$S$5:$S$10,0),0)</f>
        <v/>
      </c>
    </row>
    <row r="384">
      <c r="A384" s="118">
        <f>IF($B384="","",COUNT($B$5:$B384))</f>
        <v/>
      </c>
      <c r="B384" s="80" t="n"/>
      <c r="C384" s="74" t="n"/>
      <c r="D384" s="33">
        <f>IF($C384="","",IFERROR(INDEX(사업마스터!$B$5:$B$34,MATCH($C384,사업마스터!$A$5:$A$34,0)),"※ 미등록 사업번호"))</f>
        <v/>
      </c>
      <c r="E384" s="74" t="n"/>
      <c r="F384" s="36" t="n"/>
      <c r="G384" s="36" t="n"/>
      <c r="H384" s="74" t="n"/>
      <c r="I384" s="76" t="n"/>
      <c r="J384" s="74" t="n"/>
      <c r="K384" s="74" t="n"/>
      <c r="L384" s="36" t="n"/>
      <c r="N384">
        <f>IFERROR(MATCH($E384,코드설정!$S$5:$S$10,0),0)</f>
        <v/>
      </c>
    </row>
    <row r="385">
      <c r="A385" s="118">
        <f>IF($B385="","",COUNT($B$5:$B385))</f>
        <v/>
      </c>
      <c r="B385" s="80" t="n"/>
      <c r="C385" s="74" t="n"/>
      <c r="D385" s="33">
        <f>IF($C385="","",IFERROR(INDEX(사업마스터!$B$5:$B$34,MATCH($C385,사업마스터!$A$5:$A$34,0)),"※ 미등록 사업번호"))</f>
        <v/>
      </c>
      <c r="E385" s="74" t="n"/>
      <c r="F385" s="36" t="n"/>
      <c r="G385" s="36" t="n"/>
      <c r="H385" s="74" t="n"/>
      <c r="I385" s="76" t="n"/>
      <c r="J385" s="74" t="n"/>
      <c r="K385" s="74" t="n"/>
      <c r="L385" s="36" t="n"/>
      <c r="N385">
        <f>IFERROR(MATCH($E385,코드설정!$S$5:$S$10,0),0)</f>
        <v/>
      </c>
    </row>
    <row r="386">
      <c r="A386" s="118">
        <f>IF($B386="","",COUNT($B$5:$B386))</f>
        <v/>
      </c>
      <c r="B386" s="80" t="n"/>
      <c r="C386" s="74" t="n"/>
      <c r="D386" s="33">
        <f>IF($C386="","",IFERROR(INDEX(사업마스터!$B$5:$B$34,MATCH($C386,사업마스터!$A$5:$A$34,0)),"※ 미등록 사업번호"))</f>
        <v/>
      </c>
      <c r="E386" s="74" t="n"/>
      <c r="F386" s="36" t="n"/>
      <c r="G386" s="36" t="n"/>
      <c r="H386" s="74" t="n"/>
      <c r="I386" s="76" t="n"/>
      <c r="J386" s="74" t="n"/>
      <c r="K386" s="74" t="n"/>
      <c r="L386" s="36" t="n"/>
      <c r="N386">
        <f>IFERROR(MATCH($E386,코드설정!$S$5:$S$10,0),0)</f>
        <v/>
      </c>
    </row>
    <row r="387">
      <c r="A387" s="118">
        <f>IF($B387="","",COUNT($B$5:$B387))</f>
        <v/>
      </c>
      <c r="B387" s="80" t="n"/>
      <c r="C387" s="74" t="n"/>
      <c r="D387" s="33">
        <f>IF($C387="","",IFERROR(INDEX(사업마스터!$B$5:$B$34,MATCH($C387,사업마스터!$A$5:$A$34,0)),"※ 미등록 사업번호"))</f>
        <v/>
      </c>
      <c r="E387" s="74" t="n"/>
      <c r="F387" s="36" t="n"/>
      <c r="G387" s="36" t="n"/>
      <c r="H387" s="74" t="n"/>
      <c r="I387" s="76" t="n"/>
      <c r="J387" s="74" t="n"/>
      <c r="K387" s="74" t="n"/>
      <c r="L387" s="36" t="n"/>
      <c r="N387">
        <f>IFERROR(MATCH($E387,코드설정!$S$5:$S$10,0),0)</f>
        <v/>
      </c>
    </row>
    <row r="388">
      <c r="A388" s="118">
        <f>IF($B388="","",COUNT($B$5:$B388))</f>
        <v/>
      </c>
      <c r="B388" s="80" t="n"/>
      <c r="C388" s="74" t="n"/>
      <c r="D388" s="33">
        <f>IF($C388="","",IFERROR(INDEX(사업마스터!$B$5:$B$34,MATCH($C388,사업마스터!$A$5:$A$34,0)),"※ 미등록 사업번호"))</f>
        <v/>
      </c>
      <c r="E388" s="74" t="n"/>
      <c r="F388" s="36" t="n"/>
      <c r="G388" s="36" t="n"/>
      <c r="H388" s="74" t="n"/>
      <c r="I388" s="76" t="n"/>
      <c r="J388" s="74" t="n"/>
      <c r="K388" s="74" t="n"/>
      <c r="L388" s="36" t="n"/>
      <c r="N388">
        <f>IFERROR(MATCH($E388,코드설정!$S$5:$S$10,0),0)</f>
        <v/>
      </c>
    </row>
    <row r="389">
      <c r="A389" s="118">
        <f>IF($B389="","",COUNT($B$5:$B389))</f>
        <v/>
      </c>
      <c r="B389" s="80" t="n"/>
      <c r="C389" s="74" t="n"/>
      <c r="D389" s="33">
        <f>IF($C389="","",IFERROR(INDEX(사업마스터!$B$5:$B$34,MATCH($C389,사업마스터!$A$5:$A$34,0)),"※ 미등록 사업번호"))</f>
        <v/>
      </c>
      <c r="E389" s="74" t="n"/>
      <c r="F389" s="36" t="n"/>
      <c r="G389" s="36" t="n"/>
      <c r="H389" s="74" t="n"/>
      <c r="I389" s="76" t="n"/>
      <c r="J389" s="74" t="n"/>
      <c r="K389" s="74" t="n"/>
      <c r="L389" s="36" t="n"/>
      <c r="N389">
        <f>IFERROR(MATCH($E389,코드설정!$S$5:$S$10,0),0)</f>
        <v/>
      </c>
    </row>
    <row r="390">
      <c r="A390" s="118">
        <f>IF($B390="","",COUNT($B$5:$B390))</f>
        <v/>
      </c>
      <c r="B390" s="80" t="n"/>
      <c r="C390" s="74" t="n"/>
      <c r="D390" s="33">
        <f>IF($C390="","",IFERROR(INDEX(사업마스터!$B$5:$B$34,MATCH($C390,사업마스터!$A$5:$A$34,0)),"※ 미등록 사업번호"))</f>
        <v/>
      </c>
      <c r="E390" s="74" t="n"/>
      <c r="F390" s="36" t="n"/>
      <c r="G390" s="36" t="n"/>
      <c r="H390" s="74" t="n"/>
      <c r="I390" s="76" t="n"/>
      <c r="J390" s="74" t="n"/>
      <c r="K390" s="74" t="n"/>
      <c r="L390" s="36" t="n"/>
      <c r="N390">
        <f>IFERROR(MATCH($E390,코드설정!$S$5:$S$10,0),0)</f>
        <v/>
      </c>
    </row>
    <row r="391">
      <c r="A391" s="118">
        <f>IF($B391="","",COUNT($B$5:$B391))</f>
        <v/>
      </c>
      <c r="B391" s="80" t="n"/>
      <c r="C391" s="74" t="n"/>
      <c r="D391" s="33">
        <f>IF($C391="","",IFERROR(INDEX(사업마스터!$B$5:$B$34,MATCH($C391,사업마스터!$A$5:$A$34,0)),"※ 미등록 사업번호"))</f>
        <v/>
      </c>
      <c r="E391" s="74" t="n"/>
      <c r="F391" s="36" t="n"/>
      <c r="G391" s="36" t="n"/>
      <c r="H391" s="74" t="n"/>
      <c r="I391" s="76" t="n"/>
      <c r="J391" s="74" t="n"/>
      <c r="K391" s="74" t="n"/>
      <c r="L391" s="36" t="n"/>
      <c r="N391">
        <f>IFERROR(MATCH($E391,코드설정!$S$5:$S$10,0),0)</f>
        <v/>
      </c>
    </row>
    <row r="392">
      <c r="A392" s="118">
        <f>IF($B392="","",COUNT($B$5:$B392))</f>
        <v/>
      </c>
      <c r="B392" s="80" t="n"/>
      <c r="C392" s="74" t="n"/>
      <c r="D392" s="33">
        <f>IF($C392="","",IFERROR(INDEX(사업마스터!$B$5:$B$34,MATCH($C392,사업마스터!$A$5:$A$34,0)),"※ 미등록 사업번호"))</f>
        <v/>
      </c>
      <c r="E392" s="74" t="n"/>
      <c r="F392" s="36" t="n"/>
      <c r="G392" s="36" t="n"/>
      <c r="H392" s="74" t="n"/>
      <c r="I392" s="76" t="n"/>
      <c r="J392" s="74" t="n"/>
      <c r="K392" s="74" t="n"/>
      <c r="L392" s="36" t="n"/>
      <c r="N392">
        <f>IFERROR(MATCH($E392,코드설정!$S$5:$S$10,0),0)</f>
        <v/>
      </c>
    </row>
    <row r="393">
      <c r="A393" s="118">
        <f>IF($B393="","",COUNT($B$5:$B393))</f>
        <v/>
      </c>
      <c r="B393" s="80" t="n"/>
      <c r="C393" s="74" t="n"/>
      <c r="D393" s="33">
        <f>IF($C393="","",IFERROR(INDEX(사업마스터!$B$5:$B$34,MATCH($C393,사업마스터!$A$5:$A$34,0)),"※ 미등록 사업번호"))</f>
        <v/>
      </c>
      <c r="E393" s="74" t="n"/>
      <c r="F393" s="36" t="n"/>
      <c r="G393" s="36" t="n"/>
      <c r="H393" s="74" t="n"/>
      <c r="I393" s="76" t="n"/>
      <c r="J393" s="74" t="n"/>
      <c r="K393" s="74" t="n"/>
      <c r="L393" s="36" t="n"/>
      <c r="N393">
        <f>IFERROR(MATCH($E393,코드설정!$S$5:$S$10,0),0)</f>
        <v/>
      </c>
    </row>
    <row r="394">
      <c r="A394" s="118">
        <f>IF($B394="","",COUNT($B$5:$B394))</f>
        <v/>
      </c>
      <c r="B394" s="80" t="n"/>
      <c r="C394" s="74" t="n"/>
      <c r="D394" s="33">
        <f>IF($C394="","",IFERROR(INDEX(사업마스터!$B$5:$B$34,MATCH($C394,사업마스터!$A$5:$A$34,0)),"※ 미등록 사업번호"))</f>
        <v/>
      </c>
      <c r="E394" s="74" t="n"/>
      <c r="F394" s="36" t="n"/>
      <c r="G394" s="36" t="n"/>
      <c r="H394" s="74" t="n"/>
      <c r="I394" s="76" t="n"/>
      <c r="J394" s="74" t="n"/>
      <c r="K394" s="74" t="n"/>
      <c r="L394" s="36" t="n"/>
      <c r="N394">
        <f>IFERROR(MATCH($E394,코드설정!$S$5:$S$10,0),0)</f>
        <v/>
      </c>
    </row>
    <row r="395">
      <c r="A395" s="118">
        <f>IF($B395="","",COUNT($B$5:$B395))</f>
        <v/>
      </c>
      <c r="B395" s="80" t="n"/>
      <c r="C395" s="74" t="n"/>
      <c r="D395" s="33">
        <f>IF($C395="","",IFERROR(INDEX(사업마스터!$B$5:$B$34,MATCH($C395,사업마스터!$A$5:$A$34,0)),"※ 미등록 사업번호"))</f>
        <v/>
      </c>
      <c r="E395" s="74" t="n"/>
      <c r="F395" s="36" t="n"/>
      <c r="G395" s="36" t="n"/>
      <c r="H395" s="74" t="n"/>
      <c r="I395" s="76" t="n"/>
      <c r="J395" s="74" t="n"/>
      <c r="K395" s="74" t="n"/>
      <c r="L395" s="36" t="n"/>
      <c r="N395">
        <f>IFERROR(MATCH($E395,코드설정!$S$5:$S$10,0),0)</f>
        <v/>
      </c>
    </row>
    <row r="396">
      <c r="A396" s="118">
        <f>IF($B396="","",COUNT($B$5:$B396))</f>
        <v/>
      </c>
      <c r="B396" s="80" t="n"/>
      <c r="C396" s="74" t="n"/>
      <c r="D396" s="33">
        <f>IF($C396="","",IFERROR(INDEX(사업마스터!$B$5:$B$34,MATCH($C396,사업마스터!$A$5:$A$34,0)),"※ 미등록 사업번호"))</f>
        <v/>
      </c>
      <c r="E396" s="74" t="n"/>
      <c r="F396" s="36" t="n"/>
      <c r="G396" s="36" t="n"/>
      <c r="H396" s="74" t="n"/>
      <c r="I396" s="76" t="n"/>
      <c r="J396" s="74" t="n"/>
      <c r="K396" s="74" t="n"/>
      <c r="L396" s="36" t="n"/>
      <c r="N396">
        <f>IFERROR(MATCH($E396,코드설정!$S$5:$S$10,0),0)</f>
        <v/>
      </c>
    </row>
    <row r="397">
      <c r="A397" s="118">
        <f>IF($B397="","",COUNT($B$5:$B397))</f>
        <v/>
      </c>
      <c r="B397" s="80" t="n"/>
      <c r="C397" s="74" t="n"/>
      <c r="D397" s="33">
        <f>IF($C397="","",IFERROR(INDEX(사업마스터!$B$5:$B$34,MATCH($C397,사업마스터!$A$5:$A$34,0)),"※ 미등록 사업번호"))</f>
        <v/>
      </c>
      <c r="E397" s="74" t="n"/>
      <c r="F397" s="36" t="n"/>
      <c r="G397" s="36" t="n"/>
      <c r="H397" s="74" t="n"/>
      <c r="I397" s="76" t="n"/>
      <c r="J397" s="74" t="n"/>
      <c r="K397" s="74" t="n"/>
      <c r="L397" s="36" t="n"/>
      <c r="N397">
        <f>IFERROR(MATCH($E397,코드설정!$S$5:$S$10,0),0)</f>
        <v/>
      </c>
    </row>
    <row r="398">
      <c r="A398" s="118">
        <f>IF($B398="","",COUNT($B$5:$B398))</f>
        <v/>
      </c>
      <c r="B398" s="80" t="n"/>
      <c r="C398" s="74" t="n"/>
      <c r="D398" s="33">
        <f>IF($C398="","",IFERROR(INDEX(사업마스터!$B$5:$B$34,MATCH($C398,사업마스터!$A$5:$A$34,0)),"※ 미등록 사업번호"))</f>
        <v/>
      </c>
      <c r="E398" s="74" t="n"/>
      <c r="F398" s="36" t="n"/>
      <c r="G398" s="36" t="n"/>
      <c r="H398" s="74" t="n"/>
      <c r="I398" s="76" t="n"/>
      <c r="J398" s="74" t="n"/>
      <c r="K398" s="74" t="n"/>
      <c r="L398" s="36" t="n"/>
      <c r="N398">
        <f>IFERROR(MATCH($E398,코드설정!$S$5:$S$10,0),0)</f>
        <v/>
      </c>
    </row>
    <row r="399">
      <c r="A399" s="118">
        <f>IF($B399="","",COUNT($B$5:$B399))</f>
        <v/>
      </c>
      <c r="B399" s="80" t="n"/>
      <c r="C399" s="74" t="n"/>
      <c r="D399" s="33">
        <f>IF($C399="","",IFERROR(INDEX(사업마스터!$B$5:$B$34,MATCH($C399,사업마스터!$A$5:$A$34,0)),"※ 미등록 사업번호"))</f>
        <v/>
      </c>
      <c r="E399" s="74" t="n"/>
      <c r="F399" s="36" t="n"/>
      <c r="G399" s="36" t="n"/>
      <c r="H399" s="74" t="n"/>
      <c r="I399" s="76" t="n"/>
      <c r="J399" s="74" t="n"/>
      <c r="K399" s="74" t="n"/>
      <c r="L399" s="36" t="n"/>
      <c r="N399">
        <f>IFERROR(MATCH($E399,코드설정!$S$5:$S$10,0),0)</f>
        <v/>
      </c>
    </row>
    <row r="400">
      <c r="A400" s="118">
        <f>IF($B400="","",COUNT($B$5:$B400))</f>
        <v/>
      </c>
      <c r="B400" s="80" t="n"/>
      <c r="C400" s="74" t="n"/>
      <c r="D400" s="33">
        <f>IF($C400="","",IFERROR(INDEX(사업마스터!$B$5:$B$34,MATCH($C400,사업마스터!$A$5:$A$34,0)),"※ 미등록 사업번호"))</f>
        <v/>
      </c>
      <c r="E400" s="74" t="n"/>
      <c r="F400" s="36" t="n"/>
      <c r="G400" s="36" t="n"/>
      <c r="H400" s="74" t="n"/>
      <c r="I400" s="76" t="n"/>
      <c r="J400" s="74" t="n"/>
      <c r="K400" s="74" t="n"/>
      <c r="L400" s="36" t="n"/>
      <c r="N400">
        <f>IFERROR(MATCH($E400,코드설정!$S$5:$S$10,0),0)</f>
        <v/>
      </c>
    </row>
    <row r="401">
      <c r="A401" s="118">
        <f>IF($B401="","",COUNT($B$5:$B401))</f>
        <v/>
      </c>
      <c r="B401" s="80" t="n"/>
      <c r="C401" s="74" t="n"/>
      <c r="D401" s="33">
        <f>IF($C401="","",IFERROR(INDEX(사업마스터!$B$5:$B$34,MATCH($C401,사업마스터!$A$5:$A$34,0)),"※ 미등록 사업번호"))</f>
        <v/>
      </c>
      <c r="E401" s="74" t="n"/>
      <c r="F401" s="36" t="n"/>
      <c r="G401" s="36" t="n"/>
      <c r="H401" s="74" t="n"/>
      <c r="I401" s="76" t="n"/>
      <c r="J401" s="74" t="n"/>
      <c r="K401" s="74" t="n"/>
      <c r="L401" s="36" t="n"/>
      <c r="N401">
        <f>IFERROR(MATCH($E401,코드설정!$S$5:$S$10,0),0)</f>
        <v/>
      </c>
    </row>
    <row r="402">
      <c r="A402" s="118">
        <f>IF($B402="","",COUNT($B$5:$B402))</f>
        <v/>
      </c>
      <c r="B402" s="80" t="n"/>
      <c r="C402" s="74" t="n"/>
      <c r="D402" s="33">
        <f>IF($C402="","",IFERROR(INDEX(사업마스터!$B$5:$B$34,MATCH($C402,사업마스터!$A$5:$A$34,0)),"※ 미등록 사업번호"))</f>
        <v/>
      </c>
      <c r="E402" s="74" t="n"/>
      <c r="F402" s="36" t="n"/>
      <c r="G402" s="36" t="n"/>
      <c r="H402" s="74" t="n"/>
      <c r="I402" s="76" t="n"/>
      <c r="J402" s="74" t="n"/>
      <c r="K402" s="74" t="n"/>
      <c r="L402" s="36" t="n"/>
      <c r="N402">
        <f>IFERROR(MATCH($E402,코드설정!$S$5:$S$10,0),0)</f>
        <v/>
      </c>
    </row>
    <row r="403">
      <c r="A403" s="118">
        <f>IF($B403="","",COUNT($B$5:$B403))</f>
        <v/>
      </c>
      <c r="B403" s="80" t="n"/>
      <c r="C403" s="74" t="n"/>
      <c r="D403" s="33">
        <f>IF($C403="","",IFERROR(INDEX(사업마스터!$B$5:$B$34,MATCH($C403,사업마스터!$A$5:$A$34,0)),"※ 미등록 사업번호"))</f>
        <v/>
      </c>
      <c r="E403" s="74" t="n"/>
      <c r="F403" s="36" t="n"/>
      <c r="G403" s="36" t="n"/>
      <c r="H403" s="74" t="n"/>
      <c r="I403" s="76" t="n"/>
      <c r="J403" s="74" t="n"/>
      <c r="K403" s="74" t="n"/>
      <c r="L403" s="36" t="n"/>
      <c r="N403">
        <f>IFERROR(MATCH($E403,코드설정!$S$5:$S$10,0),0)</f>
        <v/>
      </c>
    </row>
    <row r="404">
      <c r="A404" s="118">
        <f>IF($B404="","",COUNT($B$5:$B404))</f>
        <v/>
      </c>
      <c r="B404" s="80" t="n"/>
      <c r="C404" s="74" t="n"/>
      <c r="D404" s="33">
        <f>IF($C404="","",IFERROR(INDEX(사업마스터!$B$5:$B$34,MATCH($C404,사업마스터!$A$5:$A$34,0)),"※ 미등록 사업번호"))</f>
        <v/>
      </c>
      <c r="E404" s="74" t="n"/>
      <c r="F404" s="36" t="n"/>
      <c r="G404" s="36" t="n"/>
      <c r="H404" s="74" t="n"/>
      <c r="I404" s="76" t="n"/>
      <c r="J404" s="74" t="n"/>
      <c r="K404" s="74" t="n"/>
      <c r="L404" s="36" t="n"/>
      <c r="N404">
        <f>IFERROR(MATCH($E404,코드설정!$S$5:$S$10,0),0)</f>
        <v/>
      </c>
    </row>
  </sheetData>
  <autoFilter ref="A4:L404"/>
  <conditionalFormatting sqref="A5:L404">
    <cfRule type="expression" priority="1" dxfId="2" stopIfTrue="0">
      <formula>AND($B5&lt;&gt;"",$K5="완료")</formula>
    </cfRule>
    <cfRule type="expression" priority="2" dxfId="3" stopIfTrue="0">
      <formula>AND($B5&lt;&gt;"",$K5="보류")</formula>
    </cfRule>
  </conditionalFormatting>
  <dataValidations count="4">
    <dataValidation sqref="C5:C404" showDropDown="0" showInputMessage="0" showErrorMessage="0" allowBlank="1" type="list">
      <formula1>목록_사업번호</formula1>
    </dataValidation>
    <dataValidation sqref="E5:E404" showDropDown="0" showInputMessage="0" showErrorMessage="0" allowBlank="1" type="list">
      <formula1>목록_추진단계</formula1>
    </dataValidation>
    <dataValidation sqref="H5:H404" showDropDown="0" showInputMessage="0" showErrorMessage="0" allowBlank="1" type="list">
      <formula1>목록_담당자</formula1>
    </dataValidation>
    <dataValidation sqref="K5:K404" showDropDown="0" showInputMessage="0" showErrorMessage="0" allowBlank="1" type="list">
      <formula1>목록_진행상태</formula1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&amp;L&amp;"Arial"&amp;9사업추진일지&amp;R&amp;"Arial"&amp;9인쇄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K52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8" customWidth="1" min="4" max="4"/>
    <col width="13" customWidth="1" min="5" max="5"/>
    <col width="11" customWidth="1" min="6" max="6"/>
    <col width="13" customWidth="1" min="7" max="7"/>
    <col width="11" customWidth="1" min="8" max="8"/>
    <col width="10" customWidth="1" min="9" max="9"/>
    <col width="22" customWidth="1" min="10" max="10"/>
  </cols>
  <sheetData>
    <row r="1" ht="24" customHeight="1">
      <c r="A1" s="6" t="inlineStr">
        <is>
          <t>장비 · 매체 관리  ·  대장 및 불출 이력</t>
        </is>
      </c>
    </row>
    <row r="2" ht="26" customHeight="1">
      <c r="A2" s="7" t="inlineStr">
        <is>
          <t>※ 위쪽 [대장]에 장비를 한 번 등록하고, 아래쪽 [불출·반납 이력]에 관리번호를 골라 나갈 때마다 한 줄씩 씁니다.  ※ 반납일을 비워 두면 '사용중', 반납예정일이 지나면 '연체'로 자동 표시됩니다.  ※ 파란 글씨만 입력.</t>
        </is>
      </c>
    </row>
    <row r="4" ht="20" customHeight="1">
      <c r="A4" s="21" t="inlineStr">
        <is>
          <t>1.  장비 · 매체 대장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32" customHeight="1">
      <c r="A5" s="23" t="inlineStr">
        <is>
          <t>관리번호</t>
        </is>
      </c>
      <c r="B5" s="23" t="inlineStr">
        <is>
          <t>구분</t>
        </is>
      </c>
      <c r="C5" s="23" t="inlineStr">
        <is>
          <t>품명 · 모델</t>
        </is>
      </c>
      <c r="D5" s="23" t="inlineStr">
        <is>
          <t>자산번호 / S/N</t>
        </is>
      </c>
      <c r="E5" s="23" t="inlineStr">
        <is>
          <t>보유팀</t>
        </is>
      </c>
      <c r="F5" s="23" t="inlineStr">
        <is>
          <t>상태</t>
        </is>
      </c>
      <c r="G5" s="23" t="inlineStr">
        <is>
          <t>최근 점검일</t>
        </is>
      </c>
      <c r="H5" s="23" t="inlineStr">
        <is>
          <t>현재 불출</t>
        </is>
      </c>
      <c r="I5" s="23" t="inlineStr">
        <is>
          <t>누적 불출</t>
        </is>
      </c>
      <c r="J5" s="23" t="inlineStr">
        <is>
          <t>비고</t>
        </is>
      </c>
    </row>
    <row r="6">
      <c r="A6" s="74" t="n"/>
      <c r="B6" s="74" t="n"/>
      <c r="C6" s="36" t="n"/>
      <c r="D6" s="74" t="n"/>
      <c r="E6" s="74" t="n"/>
      <c r="F6" s="74" t="n"/>
      <c r="G6" s="80" t="n"/>
      <c r="H6" s="130">
        <f>IF($A6="","",IF(COUNTIFS($B$109:$B$508,$A6,$G$109:$G$508,"")&gt;0,"불출중","보관중"))</f>
        <v/>
      </c>
      <c r="I6" s="118">
        <f>IF($A6="","",COUNTIF($B$109:$B$508,$A6))</f>
        <v/>
      </c>
      <c r="J6" s="36" t="n"/>
    </row>
    <row r="7">
      <c r="A7" s="74" t="n"/>
      <c r="B7" s="74" t="n"/>
      <c r="C7" s="36" t="n"/>
      <c r="D7" s="74" t="n"/>
      <c r="E7" s="74" t="n"/>
      <c r="F7" s="74" t="n"/>
      <c r="G7" s="80" t="n"/>
      <c r="H7" s="130">
        <f>IF($A7="","",IF(COUNTIFS($B$109:$B$508,$A7,$G$109:$G$508,"")&gt;0,"불출중","보관중"))</f>
        <v/>
      </c>
      <c r="I7" s="118">
        <f>IF($A7="","",COUNTIF($B$109:$B$508,$A7))</f>
        <v/>
      </c>
      <c r="J7" s="36" t="n"/>
    </row>
    <row r="8">
      <c r="A8" s="74" t="n"/>
      <c r="B8" s="74" t="n"/>
      <c r="C8" s="36" t="n"/>
      <c r="D8" s="74" t="n"/>
      <c r="E8" s="74" t="n"/>
      <c r="F8" s="74" t="n"/>
      <c r="G8" s="80" t="n"/>
      <c r="H8" s="130">
        <f>IF($A8="","",IF(COUNTIFS($B$109:$B$508,$A8,$G$109:$G$508,"")&gt;0,"불출중","보관중"))</f>
        <v/>
      </c>
      <c r="I8" s="118">
        <f>IF($A8="","",COUNTIF($B$109:$B$508,$A8))</f>
        <v/>
      </c>
      <c r="J8" s="36" t="n"/>
    </row>
    <row r="9">
      <c r="A9" s="74" t="n"/>
      <c r="B9" s="74" t="n"/>
      <c r="C9" s="36" t="n"/>
      <c r="D9" s="74" t="n"/>
      <c r="E9" s="74" t="n"/>
      <c r="F9" s="74" t="n"/>
      <c r="G9" s="80" t="n"/>
      <c r="H9" s="130">
        <f>IF($A9="","",IF(COUNTIFS($B$109:$B$508,$A9,$G$109:$G$508,"")&gt;0,"불출중","보관중"))</f>
        <v/>
      </c>
      <c r="I9" s="118">
        <f>IF($A9="","",COUNTIF($B$109:$B$508,$A9))</f>
        <v/>
      </c>
      <c r="J9" s="36" t="n"/>
    </row>
    <row r="10">
      <c r="A10" s="74" t="n"/>
      <c r="B10" s="74" t="n"/>
      <c r="C10" s="36" t="n"/>
      <c r="D10" s="74" t="n"/>
      <c r="E10" s="74" t="n"/>
      <c r="F10" s="74" t="n"/>
      <c r="G10" s="80" t="n"/>
      <c r="H10" s="130">
        <f>IF($A10="","",IF(COUNTIFS($B$109:$B$508,$A10,$G$109:$G$508,"")&gt;0,"불출중","보관중"))</f>
        <v/>
      </c>
      <c r="I10" s="118">
        <f>IF($A10="","",COUNTIF($B$109:$B$508,$A10))</f>
        <v/>
      </c>
      <c r="J10" s="36" t="n"/>
    </row>
    <row r="11">
      <c r="A11" s="74" t="n"/>
      <c r="B11" s="74" t="n"/>
      <c r="C11" s="36" t="n"/>
      <c r="D11" s="74" t="n"/>
      <c r="E11" s="74" t="n"/>
      <c r="F11" s="74" t="n"/>
      <c r="G11" s="80" t="n"/>
      <c r="H11" s="130">
        <f>IF($A11="","",IF(COUNTIFS($B$109:$B$508,$A11,$G$109:$G$508,"")&gt;0,"불출중","보관중"))</f>
        <v/>
      </c>
      <c r="I11" s="118">
        <f>IF($A11="","",COUNTIF($B$109:$B$508,$A11))</f>
        <v/>
      </c>
      <c r="J11" s="36" t="n"/>
    </row>
    <row r="12">
      <c r="A12" s="74" t="n"/>
      <c r="B12" s="74" t="n"/>
      <c r="C12" s="36" t="n"/>
      <c r="D12" s="74" t="n"/>
      <c r="E12" s="74" t="n"/>
      <c r="F12" s="74" t="n"/>
      <c r="G12" s="80" t="n"/>
      <c r="H12" s="130">
        <f>IF($A12="","",IF(COUNTIFS($B$109:$B$508,$A12,$G$109:$G$508,"")&gt;0,"불출중","보관중"))</f>
        <v/>
      </c>
      <c r="I12" s="118">
        <f>IF($A12="","",COUNTIF($B$109:$B$508,$A12))</f>
        <v/>
      </c>
      <c r="J12" s="36" t="n"/>
    </row>
    <row r="13">
      <c r="A13" s="74" t="n"/>
      <c r="B13" s="74" t="n"/>
      <c r="C13" s="36" t="n"/>
      <c r="D13" s="74" t="n"/>
      <c r="E13" s="74" t="n"/>
      <c r="F13" s="74" t="n"/>
      <c r="G13" s="80" t="n"/>
      <c r="H13" s="130">
        <f>IF($A13="","",IF(COUNTIFS($B$109:$B$508,$A13,$G$109:$G$508,"")&gt;0,"불출중","보관중"))</f>
        <v/>
      </c>
      <c r="I13" s="118">
        <f>IF($A13="","",COUNTIF($B$109:$B$508,$A13))</f>
        <v/>
      </c>
      <c r="J13" s="36" t="n"/>
    </row>
    <row r="14">
      <c r="A14" s="74" t="n"/>
      <c r="B14" s="74" t="n"/>
      <c r="C14" s="36" t="n"/>
      <c r="D14" s="74" t="n"/>
      <c r="E14" s="74" t="n"/>
      <c r="F14" s="74" t="n"/>
      <c r="G14" s="80" t="n"/>
      <c r="H14" s="130">
        <f>IF($A14="","",IF(COUNTIFS($B$109:$B$508,$A14,$G$109:$G$508,"")&gt;0,"불출중","보관중"))</f>
        <v/>
      </c>
      <c r="I14" s="118">
        <f>IF($A14="","",COUNTIF($B$109:$B$508,$A14))</f>
        <v/>
      </c>
      <c r="J14" s="36" t="n"/>
    </row>
    <row r="15">
      <c r="A15" s="74" t="n"/>
      <c r="B15" s="74" t="n"/>
      <c r="C15" s="36" t="n"/>
      <c r="D15" s="74" t="n"/>
      <c r="E15" s="74" t="n"/>
      <c r="F15" s="74" t="n"/>
      <c r="G15" s="80" t="n"/>
      <c r="H15" s="130">
        <f>IF($A15="","",IF(COUNTIFS($B$109:$B$508,$A15,$G$109:$G$508,"")&gt;0,"불출중","보관중"))</f>
        <v/>
      </c>
      <c r="I15" s="118">
        <f>IF($A15="","",COUNTIF($B$109:$B$508,$A15))</f>
        <v/>
      </c>
      <c r="J15" s="36" t="n"/>
    </row>
    <row r="16">
      <c r="A16" s="74" t="n"/>
      <c r="B16" s="74" t="n"/>
      <c r="C16" s="36" t="n"/>
      <c r="D16" s="74" t="n"/>
      <c r="E16" s="74" t="n"/>
      <c r="F16" s="74" t="n"/>
      <c r="G16" s="80" t="n"/>
      <c r="H16" s="130">
        <f>IF($A16="","",IF(COUNTIFS($B$109:$B$508,$A16,$G$109:$G$508,"")&gt;0,"불출중","보관중"))</f>
        <v/>
      </c>
      <c r="I16" s="118">
        <f>IF($A16="","",COUNTIF($B$109:$B$508,$A16))</f>
        <v/>
      </c>
      <c r="J16" s="36" t="n"/>
    </row>
    <row r="17">
      <c r="A17" s="74" t="n"/>
      <c r="B17" s="74" t="n"/>
      <c r="C17" s="36" t="n"/>
      <c r="D17" s="74" t="n"/>
      <c r="E17" s="74" t="n"/>
      <c r="F17" s="74" t="n"/>
      <c r="G17" s="80" t="n"/>
      <c r="H17" s="130">
        <f>IF($A17="","",IF(COUNTIFS($B$109:$B$508,$A17,$G$109:$G$508,"")&gt;0,"불출중","보관중"))</f>
        <v/>
      </c>
      <c r="I17" s="118">
        <f>IF($A17="","",COUNTIF($B$109:$B$508,$A17))</f>
        <v/>
      </c>
      <c r="J17" s="36" t="n"/>
    </row>
    <row r="18">
      <c r="A18" s="74" t="n"/>
      <c r="B18" s="74" t="n"/>
      <c r="C18" s="36" t="n"/>
      <c r="D18" s="74" t="n"/>
      <c r="E18" s="74" t="n"/>
      <c r="F18" s="74" t="n"/>
      <c r="G18" s="80" t="n"/>
      <c r="H18" s="130">
        <f>IF($A18="","",IF(COUNTIFS($B$109:$B$508,$A18,$G$109:$G$508,"")&gt;0,"불출중","보관중"))</f>
        <v/>
      </c>
      <c r="I18" s="118">
        <f>IF($A18="","",COUNTIF($B$109:$B$508,$A18))</f>
        <v/>
      </c>
      <c r="J18" s="36" t="n"/>
    </row>
    <row r="19">
      <c r="A19" s="74" t="n"/>
      <c r="B19" s="74" t="n"/>
      <c r="C19" s="36" t="n"/>
      <c r="D19" s="74" t="n"/>
      <c r="E19" s="74" t="n"/>
      <c r="F19" s="74" t="n"/>
      <c r="G19" s="80" t="n"/>
      <c r="H19" s="130">
        <f>IF($A19="","",IF(COUNTIFS($B$109:$B$508,$A19,$G$109:$G$508,"")&gt;0,"불출중","보관중"))</f>
        <v/>
      </c>
      <c r="I19" s="118">
        <f>IF($A19="","",COUNTIF($B$109:$B$508,$A19))</f>
        <v/>
      </c>
      <c r="J19" s="36" t="n"/>
    </row>
    <row r="20">
      <c r="A20" s="74" t="n"/>
      <c r="B20" s="74" t="n"/>
      <c r="C20" s="36" t="n"/>
      <c r="D20" s="74" t="n"/>
      <c r="E20" s="74" t="n"/>
      <c r="F20" s="74" t="n"/>
      <c r="G20" s="80" t="n"/>
      <c r="H20" s="130">
        <f>IF($A20="","",IF(COUNTIFS($B$109:$B$508,$A20,$G$109:$G$508,"")&gt;0,"불출중","보관중"))</f>
        <v/>
      </c>
      <c r="I20" s="118">
        <f>IF($A20="","",COUNTIF($B$109:$B$508,$A20))</f>
        <v/>
      </c>
      <c r="J20" s="36" t="n"/>
    </row>
    <row r="21">
      <c r="A21" s="74" t="n"/>
      <c r="B21" s="74" t="n"/>
      <c r="C21" s="36" t="n"/>
      <c r="D21" s="74" t="n"/>
      <c r="E21" s="74" t="n"/>
      <c r="F21" s="74" t="n"/>
      <c r="G21" s="80" t="n"/>
      <c r="H21" s="130">
        <f>IF($A21="","",IF(COUNTIFS($B$109:$B$508,$A21,$G$109:$G$508,"")&gt;0,"불출중","보관중"))</f>
        <v/>
      </c>
      <c r="I21" s="118">
        <f>IF($A21="","",COUNTIF($B$109:$B$508,$A21))</f>
        <v/>
      </c>
      <c r="J21" s="36" t="n"/>
    </row>
    <row r="22">
      <c r="A22" s="74" t="n"/>
      <c r="B22" s="74" t="n"/>
      <c r="C22" s="36" t="n"/>
      <c r="D22" s="74" t="n"/>
      <c r="E22" s="74" t="n"/>
      <c r="F22" s="74" t="n"/>
      <c r="G22" s="80" t="n"/>
      <c r="H22" s="130">
        <f>IF($A22="","",IF(COUNTIFS($B$109:$B$508,$A22,$G$109:$G$508,"")&gt;0,"불출중","보관중"))</f>
        <v/>
      </c>
      <c r="I22" s="118">
        <f>IF($A22="","",COUNTIF($B$109:$B$508,$A22))</f>
        <v/>
      </c>
      <c r="J22" s="36" t="n"/>
    </row>
    <row r="23">
      <c r="A23" s="74" t="n"/>
      <c r="B23" s="74" t="n"/>
      <c r="C23" s="36" t="n"/>
      <c r="D23" s="74" t="n"/>
      <c r="E23" s="74" t="n"/>
      <c r="F23" s="74" t="n"/>
      <c r="G23" s="80" t="n"/>
      <c r="H23" s="130">
        <f>IF($A23="","",IF(COUNTIFS($B$109:$B$508,$A23,$G$109:$G$508,"")&gt;0,"불출중","보관중"))</f>
        <v/>
      </c>
      <c r="I23" s="118">
        <f>IF($A23="","",COUNTIF($B$109:$B$508,$A23))</f>
        <v/>
      </c>
      <c r="J23" s="36" t="n"/>
    </row>
    <row r="24">
      <c r="A24" s="74" t="n"/>
      <c r="B24" s="74" t="n"/>
      <c r="C24" s="36" t="n"/>
      <c r="D24" s="74" t="n"/>
      <c r="E24" s="74" t="n"/>
      <c r="F24" s="74" t="n"/>
      <c r="G24" s="80" t="n"/>
      <c r="H24" s="130">
        <f>IF($A24="","",IF(COUNTIFS($B$109:$B$508,$A24,$G$109:$G$508,"")&gt;0,"불출중","보관중"))</f>
        <v/>
      </c>
      <c r="I24" s="118">
        <f>IF($A24="","",COUNTIF($B$109:$B$508,$A24))</f>
        <v/>
      </c>
      <c r="J24" s="36" t="n"/>
    </row>
    <row r="25">
      <c r="A25" s="74" t="n"/>
      <c r="B25" s="74" t="n"/>
      <c r="C25" s="36" t="n"/>
      <c r="D25" s="74" t="n"/>
      <c r="E25" s="74" t="n"/>
      <c r="F25" s="74" t="n"/>
      <c r="G25" s="80" t="n"/>
      <c r="H25" s="130">
        <f>IF($A25="","",IF(COUNTIFS($B$109:$B$508,$A25,$G$109:$G$508,"")&gt;0,"불출중","보관중"))</f>
        <v/>
      </c>
      <c r="I25" s="118">
        <f>IF($A25="","",COUNTIF($B$109:$B$508,$A25))</f>
        <v/>
      </c>
      <c r="J25" s="36" t="n"/>
    </row>
    <row r="26">
      <c r="A26" s="74" t="n"/>
      <c r="B26" s="74" t="n"/>
      <c r="C26" s="36" t="n"/>
      <c r="D26" s="74" t="n"/>
      <c r="E26" s="74" t="n"/>
      <c r="F26" s="74" t="n"/>
      <c r="G26" s="80" t="n"/>
      <c r="H26" s="130">
        <f>IF($A26="","",IF(COUNTIFS($B$109:$B$508,$A26,$G$109:$G$508,"")&gt;0,"불출중","보관중"))</f>
        <v/>
      </c>
      <c r="I26" s="118">
        <f>IF($A26="","",COUNTIF($B$109:$B$508,$A26))</f>
        <v/>
      </c>
      <c r="J26" s="36" t="n"/>
    </row>
    <row r="27">
      <c r="A27" s="74" t="n"/>
      <c r="B27" s="74" t="n"/>
      <c r="C27" s="36" t="n"/>
      <c r="D27" s="74" t="n"/>
      <c r="E27" s="74" t="n"/>
      <c r="F27" s="74" t="n"/>
      <c r="G27" s="80" t="n"/>
      <c r="H27" s="130">
        <f>IF($A27="","",IF(COUNTIFS($B$109:$B$508,$A27,$G$109:$G$508,"")&gt;0,"불출중","보관중"))</f>
        <v/>
      </c>
      <c r="I27" s="118">
        <f>IF($A27="","",COUNTIF($B$109:$B$508,$A27))</f>
        <v/>
      </c>
      <c r="J27" s="36" t="n"/>
    </row>
    <row r="28">
      <c r="A28" s="74" t="n"/>
      <c r="B28" s="74" t="n"/>
      <c r="C28" s="36" t="n"/>
      <c r="D28" s="74" t="n"/>
      <c r="E28" s="74" t="n"/>
      <c r="F28" s="74" t="n"/>
      <c r="G28" s="80" t="n"/>
      <c r="H28" s="130">
        <f>IF($A28="","",IF(COUNTIFS($B$109:$B$508,$A28,$G$109:$G$508,"")&gt;0,"불출중","보관중"))</f>
        <v/>
      </c>
      <c r="I28" s="118">
        <f>IF($A28="","",COUNTIF($B$109:$B$508,$A28))</f>
        <v/>
      </c>
      <c r="J28" s="36" t="n"/>
    </row>
    <row r="29">
      <c r="A29" s="74" t="n"/>
      <c r="B29" s="74" t="n"/>
      <c r="C29" s="36" t="n"/>
      <c r="D29" s="74" t="n"/>
      <c r="E29" s="74" t="n"/>
      <c r="F29" s="74" t="n"/>
      <c r="G29" s="80" t="n"/>
      <c r="H29" s="130">
        <f>IF($A29="","",IF(COUNTIFS($B$109:$B$508,$A29,$G$109:$G$508,"")&gt;0,"불출중","보관중"))</f>
        <v/>
      </c>
      <c r="I29" s="118">
        <f>IF($A29="","",COUNTIF($B$109:$B$508,$A29))</f>
        <v/>
      </c>
      <c r="J29" s="36" t="n"/>
    </row>
    <row r="30">
      <c r="A30" s="74" t="n"/>
      <c r="B30" s="74" t="n"/>
      <c r="C30" s="36" t="n"/>
      <c r="D30" s="74" t="n"/>
      <c r="E30" s="74" t="n"/>
      <c r="F30" s="74" t="n"/>
      <c r="G30" s="80" t="n"/>
      <c r="H30" s="130">
        <f>IF($A30="","",IF(COUNTIFS($B$109:$B$508,$A30,$G$109:$G$508,"")&gt;0,"불출중","보관중"))</f>
        <v/>
      </c>
      <c r="I30" s="118">
        <f>IF($A30="","",COUNTIF($B$109:$B$508,$A30))</f>
        <v/>
      </c>
      <c r="J30" s="36" t="n"/>
    </row>
    <row r="31">
      <c r="A31" s="74" t="n"/>
      <c r="B31" s="74" t="n"/>
      <c r="C31" s="36" t="n"/>
      <c r="D31" s="74" t="n"/>
      <c r="E31" s="74" t="n"/>
      <c r="F31" s="74" t="n"/>
      <c r="G31" s="80" t="n"/>
      <c r="H31" s="130">
        <f>IF($A31="","",IF(COUNTIFS($B$109:$B$508,$A31,$G$109:$G$508,"")&gt;0,"불출중","보관중"))</f>
        <v/>
      </c>
      <c r="I31" s="118">
        <f>IF($A31="","",COUNTIF($B$109:$B$508,$A31))</f>
        <v/>
      </c>
      <c r="J31" s="36" t="n"/>
    </row>
    <row r="32">
      <c r="A32" s="74" t="n"/>
      <c r="B32" s="74" t="n"/>
      <c r="C32" s="36" t="n"/>
      <c r="D32" s="74" t="n"/>
      <c r="E32" s="74" t="n"/>
      <c r="F32" s="74" t="n"/>
      <c r="G32" s="80" t="n"/>
      <c r="H32" s="130">
        <f>IF($A32="","",IF(COUNTIFS($B$109:$B$508,$A32,$G$109:$G$508,"")&gt;0,"불출중","보관중"))</f>
        <v/>
      </c>
      <c r="I32" s="118">
        <f>IF($A32="","",COUNTIF($B$109:$B$508,$A32))</f>
        <v/>
      </c>
      <c r="J32" s="36" t="n"/>
    </row>
    <row r="33">
      <c r="A33" s="74" t="n"/>
      <c r="B33" s="74" t="n"/>
      <c r="C33" s="36" t="n"/>
      <c r="D33" s="74" t="n"/>
      <c r="E33" s="74" t="n"/>
      <c r="F33" s="74" t="n"/>
      <c r="G33" s="80" t="n"/>
      <c r="H33" s="130">
        <f>IF($A33="","",IF(COUNTIFS($B$109:$B$508,$A33,$G$109:$G$508,"")&gt;0,"불출중","보관중"))</f>
        <v/>
      </c>
      <c r="I33" s="118">
        <f>IF($A33="","",COUNTIF($B$109:$B$508,$A33))</f>
        <v/>
      </c>
      <c r="J33" s="36" t="n"/>
    </row>
    <row r="34">
      <c r="A34" s="74" t="n"/>
      <c r="B34" s="74" t="n"/>
      <c r="C34" s="36" t="n"/>
      <c r="D34" s="74" t="n"/>
      <c r="E34" s="74" t="n"/>
      <c r="F34" s="74" t="n"/>
      <c r="G34" s="80" t="n"/>
      <c r="H34" s="130">
        <f>IF($A34="","",IF(COUNTIFS($B$109:$B$508,$A34,$G$109:$G$508,"")&gt;0,"불출중","보관중"))</f>
        <v/>
      </c>
      <c r="I34" s="118">
        <f>IF($A34="","",COUNTIF($B$109:$B$508,$A34))</f>
        <v/>
      </c>
      <c r="J34" s="36" t="n"/>
    </row>
    <row r="35">
      <c r="A35" s="74" t="n"/>
      <c r="B35" s="74" t="n"/>
      <c r="C35" s="36" t="n"/>
      <c r="D35" s="74" t="n"/>
      <c r="E35" s="74" t="n"/>
      <c r="F35" s="74" t="n"/>
      <c r="G35" s="80" t="n"/>
      <c r="H35" s="130">
        <f>IF($A35="","",IF(COUNTIFS($B$109:$B$508,$A35,$G$109:$G$508,"")&gt;0,"불출중","보관중"))</f>
        <v/>
      </c>
      <c r="I35" s="118">
        <f>IF($A35="","",COUNTIF($B$109:$B$508,$A35))</f>
        <v/>
      </c>
      <c r="J35" s="36" t="n"/>
    </row>
    <row r="36">
      <c r="A36" s="74" t="n"/>
      <c r="B36" s="74" t="n"/>
      <c r="C36" s="36" t="n"/>
      <c r="D36" s="74" t="n"/>
      <c r="E36" s="74" t="n"/>
      <c r="F36" s="74" t="n"/>
      <c r="G36" s="80" t="n"/>
      <c r="H36" s="130">
        <f>IF($A36="","",IF(COUNTIFS($B$109:$B$508,$A36,$G$109:$G$508,"")&gt;0,"불출중","보관중"))</f>
        <v/>
      </c>
      <c r="I36" s="118">
        <f>IF($A36="","",COUNTIF($B$109:$B$508,$A36))</f>
        <v/>
      </c>
      <c r="J36" s="36" t="n"/>
    </row>
    <row r="37">
      <c r="A37" s="74" t="n"/>
      <c r="B37" s="74" t="n"/>
      <c r="C37" s="36" t="n"/>
      <c r="D37" s="74" t="n"/>
      <c r="E37" s="74" t="n"/>
      <c r="F37" s="74" t="n"/>
      <c r="G37" s="80" t="n"/>
      <c r="H37" s="130">
        <f>IF($A37="","",IF(COUNTIFS($B$109:$B$508,$A37,$G$109:$G$508,"")&gt;0,"불출중","보관중"))</f>
        <v/>
      </c>
      <c r="I37" s="118">
        <f>IF($A37="","",COUNTIF($B$109:$B$508,$A37))</f>
        <v/>
      </c>
      <c r="J37" s="36" t="n"/>
    </row>
    <row r="38">
      <c r="A38" s="74" t="n"/>
      <c r="B38" s="74" t="n"/>
      <c r="C38" s="36" t="n"/>
      <c r="D38" s="74" t="n"/>
      <c r="E38" s="74" t="n"/>
      <c r="F38" s="74" t="n"/>
      <c r="G38" s="80" t="n"/>
      <c r="H38" s="130">
        <f>IF($A38="","",IF(COUNTIFS($B$109:$B$508,$A38,$G$109:$G$508,"")&gt;0,"불출중","보관중"))</f>
        <v/>
      </c>
      <c r="I38" s="118">
        <f>IF($A38="","",COUNTIF($B$109:$B$508,$A38))</f>
        <v/>
      </c>
      <c r="J38" s="36" t="n"/>
    </row>
    <row r="39">
      <c r="A39" s="74" t="n"/>
      <c r="B39" s="74" t="n"/>
      <c r="C39" s="36" t="n"/>
      <c r="D39" s="74" t="n"/>
      <c r="E39" s="74" t="n"/>
      <c r="F39" s="74" t="n"/>
      <c r="G39" s="80" t="n"/>
      <c r="H39" s="130">
        <f>IF($A39="","",IF(COUNTIFS($B$109:$B$508,$A39,$G$109:$G$508,"")&gt;0,"불출중","보관중"))</f>
        <v/>
      </c>
      <c r="I39" s="118">
        <f>IF($A39="","",COUNTIF($B$109:$B$508,$A39))</f>
        <v/>
      </c>
      <c r="J39" s="36" t="n"/>
    </row>
    <row r="40">
      <c r="A40" s="74" t="n"/>
      <c r="B40" s="74" t="n"/>
      <c r="C40" s="36" t="n"/>
      <c r="D40" s="74" t="n"/>
      <c r="E40" s="74" t="n"/>
      <c r="F40" s="74" t="n"/>
      <c r="G40" s="80" t="n"/>
      <c r="H40" s="130">
        <f>IF($A40="","",IF(COUNTIFS($B$109:$B$508,$A40,$G$109:$G$508,"")&gt;0,"불출중","보관중"))</f>
        <v/>
      </c>
      <c r="I40" s="118">
        <f>IF($A40="","",COUNTIF($B$109:$B$508,$A40))</f>
        <v/>
      </c>
      <c r="J40" s="36" t="n"/>
    </row>
    <row r="41">
      <c r="A41" s="74" t="n"/>
      <c r="B41" s="74" t="n"/>
      <c r="C41" s="36" t="n"/>
      <c r="D41" s="74" t="n"/>
      <c r="E41" s="74" t="n"/>
      <c r="F41" s="74" t="n"/>
      <c r="G41" s="80" t="n"/>
      <c r="H41" s="130">
        <f>IF($A41="","",IF(COUNTIFS($B$109:$B$508,$A41,$G$109:$G$508,"")&gt;0,"불출중","보관중"))</f>
        <v/>
      </c>
      <c r="I41" s="118">
        <f>IF($A41="","",COUNTIF($B$109:$B$508,$A41))</f>
        <v/>
      </c>
      <c r="J41" s="36" t="n"/>
    </row>
    <row r="42">
      <c r="A42" s="74" t="n"/>
      <c r="B42" s="74" t="n"/>
      <c r="C42" s="36" t="n"/>
      <c r="D42" s="74" t="n"/>
      <c r="E42" s="74" t="n"/>
      <c r="F42" s="74" t="n"/>
      <c r="G42" s="80" t="n"/>
      <c r="H42" s="130">
        <f>IF($A42="","",IF(COUNTIFS($B$109:$B$508,$A42,$G$109:$G$508,"")&gt;0,"불출중","보관중"))</f>
        <v/>
      </c>
      <c r="I42" s="118">
        <f>IF($A42="","",COUNTIF($B$109:$B$508,$A42))</f>
        <v/>
      </c>
      <c r="J42" s="36" t="n"/>
    </row>
    <row r="43">
      <c r="A43" s="74" t="n"/>
      <c r="B43" s="74" t="n"/>
      <c r="C43" s="36" t="n"/>
      <c r="D43" s="74" t="n"/>
      <c r="E43" s="74" t="n"/>
      <c r="F43" s="74" t="n"/>
      <c r="G43" s="80" t="n"/>
      <c r="H43" s="130">
        <f>IF($A43="","",IF(COUNTIFS($B$109:$B$508,$A43,$G$109:$G$508,"")&gt;0,"불출중","보관중"))</f>
        <v/>
      </c>
      <c r="I43" s="118">
        <f>IF($A43="","",COUNTIF($B$109:$B$508,$A43))</f>
        <v/>
      </c>
      <c r="J43" s="36" t="n"/>
    </row>
    <row r="44">
      <c r="A44" s="74" t="n"/>
      <c r="B44" s="74" t="n"/>
      <c r="C44" s="36" t="n"/>
      <c r="D44" s="74" t="n"/>
      <c r="E44" s="74" t="n"/>
      <c r="F44" s="74" t="n"/>
      <c r="G44" s="80" t="n"/>
      <c r="H44" s="130">
        <f>IF($A44="","",IF(COUNTIFS($B$109:$B$508,$A44,$G$109:$G$508,"")&gt;0,"불출중","보관중"))</f>
        <v/>
      </c>
      <c r="I44" s="118">
        <f>IF($A44="","",COUNTIF($B$109:$B$508,$A44))</f>
        <v/>
      </c>
      <c r="J44" s="36" t="n"/>
    </row>
    <row r="45">
      <c r="A45" s="74" t="n"/>
      <c r="B45" s="74" t="n"/>
      <c r="C45" s="36" t="n"/>
      <c r="D45" s="74" t="n"/>
      <c r="E45" s="74" t="n"/>
      <c r="F45" s="74" t="n"/>
      <c r="G45" s="80" t="n"/>
      <c r="H45" s="130">
        <f>IF($A45="","",IF(COUNTIFS($B$109:$B$508,$A45,$G$109:$G$508,"")&gt;0,"불출중","보관중"))</f>
        <v/>
      </c>
      <c r="I45" s="118">
        <f>IF($A45="","",COUNTIF($B$109:$B$508,$A45))</f>
        <v/>
      </c>
      <c r="J45" s="36" t="n"/>
    </row>
    <row r="46">
      <c r="A46" s="74" t="n"/>
      <c r="B46" s="74" t="n"/>
      <c r="C46" s="36" t="n"/>
      <c r="D46" s="74" t="n"/>
      <c r="E46" s="74" t="n"/>
      <c r="F46" s="74" t="n"/>
      <c r="G46" s="80" t="n"/>
      <c r="H46" s="130">
        <f>IF($A46="","",IF(COUNTIFS($B$109:$B$508,$A46,$G$109:$G$508,"")&gt;0,"불출중","보관중"))</f>
        <v/>
      </c>
      <c r="I46" s="118">
        <f>IF($A46="","",COUNTIF($B$109:$B$508,$A46))</f>
        <v/>
      </c>
      <c r="J46" s="36" t="n"/>
    </row>
    <row r="47">
      <c r="A47" s="74" t="n"/>
      <c r="B47" s="74" t="n"/>
      <c r="C47" s="36" t="n"/>
      <c r="D47" s="74" t="n"/>
      <c r="E47" s="74" t="n"/>
      <c r="F47" s="74" t="n"/>
      <c r="G47" s="80" t="n"/>
      <c r="H47" s="130">
        <f>IF($A47="","",IF(COUNTIFS($B$109:$B$508,$A47,$G$109:$G$508,"")&gt;0,"불출중","보관중"))</f>
        <v/>
      </c>
      <c r="I47" s="118">
        <f>IF($A47="","",COUNTIF($B$109:$B$508,$A47))</f>
        <v/>
      </c>
      <c r="J47" s="36" t="n"/>
    </row>
    <row r="48">
      <c r="A48" s="74" t="n"/>
      <c r="B48" s="74" t="n"/>
      <c r="C48" s="36" t="n"/>
      <c r="D48" s="74" t="n"/>
      <c r="E48" s="74" t="n"/>
      <c r="F48" s="74" t="n"/>
      <c r="G48" s="80" t="n"/>
      <c r="H48" s="130">
        <f>IF($A48="","",IF(COUNTIFS($B$109:$B$508,$A48,$G$109:$G$508,"")&gt;0,"불출중","보관중"))</f>
        <v/>
      </c>
      <c r="I48" s="118">
        <f>IF($A48="","",COUNTIF($B$109:$B$508,$A48))</f>
        <v/>
      </c>
      <c r="J48" s="36" t="n"/>
    </row>
    <row r="49">
      <c r="A49" s="74" t="n"/>
      <c r="B49" s="74" t="n"/>
      <c r="C49" s="36" t="n"/>
      <c r="D49" s="74" t="n"/>
      <c r="E49" s="74" t="n"/>
      <c r="F49" s="74" t="n"/>
      <c r="G49" s="80" t="n"/>
      <c r="H49" s="130">
        <f>IF($A49="","",IF(COUNTIFS($B$109:$B$508,$A49,$G$109:$G$508,"")&gt;0,"불출중","보관중"))</f>
        <v/>
      </c>
      <c r="I49" s="118">
        <f>IF($A49="","",COUNTIF($B$109:$B$508,$A49))</f>
        <v/>
      </c>
      <c r="J49" s="36" t="n"/>
    </row>
    <row r="50">
      <c r="A50" s="74" t="n"/>
      <c r="B50" s="74" t="n"/>
      <c r="C50" s="36" t="n"/>
      <c r="D50" s="74" t="n"/>
      <c r="E50" s="74" t="n"/>
      <c r="F50" s="74" t="n"/>
      <c r="G50" s="80" t="n"/>
      <c r="H50" s="130">
        <f>IF($A50="","",IF(COUNTIFS($B$109:$B$508,$A50,$G$109:$G$508,"")&gt;0,"불출중","보관중"))</f>
        <v/>
      </c>
      <c r="I50" s="118">
        <f>IF($A50="","",COUNTIF($B$109:$B$508,$A50))</f>
        <v/>
      </c>
      <c r="J50" s="36" t="n"/>
    </row>
    <row r="51">
      <c r="A51" s="74" t="n"/>
      <c r="B51" s="74" t="n"/>
      <c r="C51" s="36" t="n"/>
      <c r="D51" s="74" t="n"/>
      <c r="E51" s="74" t="n"/>
      <c r="F51" s="74" t="n"/>
      <c r="G51" s="80" t="n"/>
      <c r="H51" s="130">
        <f>IF($A51="","",IF(COUNTIFS($B$109:$B$508,$A51,$G$109:$G$508,"")&gt;0,"불출중","보관중"))</f>
        <v/>
      </c>
      <c r="I51" s="118">
        <f>IF($A51="","",COUNTIF($B$109:$B$508,$A51))</f>
        <v/>
      </c>
      <c r="J51" s="36" t="n"/>
    </row>
    <row r="52">
      <c r="A52" s="74" t="n"/>
      <c r="B52" s="74" t="n"/>
      <c r="C52" s="36" t="n"/>
      <c r="D52" s="74" t="n"/>
      <c r="E52" s="74" t="n"/>
      <c r="F52" s="74" t="n"/>
      <c r="G52" s="80" t="n"/>
      <c r="H52" s="130">
        <f>IF($A52="","",IF(COUNTIFS($B$109:$B$508,$A52,$G$109:$G$508,"")&gt;0,"불출중","보관중"))</f>
        <v/>
      </c>
      <c r="I52" s="118">
        <f>IF($A52="","",COUNTIF($B$109:$B$508,$A52))</f>
        <v/>
      </c>
      <c r="J52" s="36" t="n"/>
    </row>
    <row r="53">
      <c r="A53" s="74" t="n"/>
      <c r="B53" s="74" t="n"/>
      <c r="C53" s="36" t="n"/>
      <c r="D53" s="74" t="n"/>
      <c r="E53" s="74" t="n"/>
      <c r="F53" s="74" t="n"/>
      <c r="G53" s="80" t="n"/>
      <c r="H53" s="130">
        <f>IF($A53="","",IF(COUNTIFS($B$109:$B$508,$A53,$G$109:$G$508,"")&gt;0,"불출중","보관중"))</f>
        <v/>
      </c>
      <c r="I53" s="118">
        <f>IF($A53="","",COUNTIF($B$109:$B$508,$A53))</f>
        <v/>
      </c>
      <c r="J53" s="36" t="n"/>
    </row>
    <row r="54">
      <c r="A54" s="74" t="n"/>
      <c r="B54" s="74" t="n"/>
      <c r="C54" s="36" t="n"/>
      <c r="D54" s="74" t="n"/>
      <c r="E54" s="74" t="n"/>
      <c r="F54" s="74" t="n"/>
      <c r="G54" s="80" t="n"/>
      <c r="H54" s="130">
        <f>IF($A54="","",IF(COUNTIFS($B$109:$B$508,$A54,$G$109:$G$508,"")&gt;0,"불출중","보관중"))</f>
        <v/>
      </c>
      <c r="I54" s="118">
        <f>IF($A54="","",COUNTIF($B$109:$B$508,$A54))</f>
        <v/>
      </c>
      <c r="J54" s="36" t="n"/>
    </row>
    <row r="55">
      <c r="A55" s="74" t="n"/>
      <c r="B55" s="74" t="n"/>
      <c r="C55" s="36" t="n"/>
      <c r="D55" s="74" t="n"/>
      <c r="E55" s="74" t="n"/>
      <c r="F55" s="74" t="n"/>
      <c r="G55" s="80" t="n"/>
      <c r="H55" s="130">
        <f>IF($A55="","",IF(COUNTIFS($B$109:$B$508,$A55,$G$109:$G$508,"")&gt;0,"불출중","보관중"))</f>
        <v/>
      </c>
      <c r="I55" s="118">
        <f>IF($A55="","",COUNTIF($B$109:$B$508,$A55))</f>
        <v/>
      </c>
      <c r="J55" s="36" t="n"/>
    </row>
    <row r="56">
      <c r="A56" s="74" t="n"/>
      <c r="B56" s="74" t="n"/>
      <c r="C56" s="36" t="n"/>
      <c r="D56" s="74" t="n"/>
      <c r="E56" s="74" t="n"/>
      <c r="F56" s="74" t="n"/>
      <c r="G56" s="80" t="n"/>
      <c r="H56" s="130">
        <f>IF($A56="","",IF(COUNTIFS($B$109:$B$508,$A56,$G$109:$G$508,"")&gt;0,"불출중","보관중"))</f>
        <v/>
      </c>
      <c r="I56" s="118">
        <f>IF($A56="","",COUNTIF($B$109:$B$508,$A56))</f>
        <v/>
      </c>
      <c r="J56" s="36" t="n"/>
    </row>
    <row r="57">
      <c r="A57" s="74" t="n"/>
      <c r="B57" s="74" t="n"/>
      <c r="C57" s="36" t="n"/>
      <c r="D57" s="74" t="n"/>
      <c r="E57" s="74" t="n"/>
      <c r="F57" s="74" t="n"/>
      <c r="G57" s="80" t="n"/>
      <c r="H57" s="130">
        <f>IF($A57="","",IF(COUNTIFS($B$109:$B$508,$A57,$G$109:$G$508,"")&gt;0,"불출중","보관중"))</f>
        <v/>
      </c>
      <c r="I57" s="118">
        <f>IF($A57="","",COUNTIF($B$109:$B$508,$A57))</f>
        <v/>
      </c>
      <c r="J57" s="36" t="n"/>
    </row>
    <row r="58">
      <c r="A58" s="74" t="n"/>
      <c r="B58" s="74" t="n"/>
      <c r="C58" s="36" t="n"/>
      <c r="D58" s="74" t="n"/>
      <c r="E58" s="74" t="n"/>
      <c r="F58" s="74" t="n"/>
      <c r="G58" s="80" t="n"/>
      <c r="H58" s="130">
        <f>IF($A58="","",IF(COUNTIFS($B$109:$B$508,$A58,$G$109:$G$508,"")&gt;0,"불출중","보관중"))</f>
        <v/>
      </c>
      <c r="I58" s="118">
        <f>IF($A58="","",COUNTIF($B$109:$B$508,$A58))</f>
        <v/>
      </c>
      <c r="J58" s="36" t="n"/>
    </row>
    <row r="59">
      <c r="A59" s="74" t="n"/>
      <c r="B59" s="74" t="n"/>
      <c r="C59" s="36" t="n"/>
      <c r="D59" s="74" t="n"/>
      <c r="E59" s="74" t="n"/>
      <c r="F59" s="74" t="n"/>
      <c r="G59" s="80" t="n"/>
      <c r="H59" s="130">
        <f>IF($A59="","",IF(COUNTIFS($B$109:$B$508,$A59,$G$109:$G$508,"")&gt;0,"불출중","보관중"))</f>
        <v/>
      </c>
      <c r="I59" s="118">
        <f>IF($A59="","",COUNTIF($B$109:$B$508,$A59))</f>
        <v/>
      </c>
      <c r="J59" s="36" t="n"/>
    </row>
    <row r="60">
      <c r="A60" s="74" t="n"/>
      <c r="B60" s="74" t="n"/>
      <c r="C60" s="36" t="n"/>
      <c r="D60" s="74" t="n"/>
      <c r="E60" s="74" t="n"/>
      <c r="F60" s="74" t="n"/>
      <c r="G60" s="80" t="n"/>
      <c r="H60" s="130">
        <f>IF($A60="","",IF(COUNTIFS($B$109:$B$508,$A60,$G$109:$G$508,"")&gt;0,"불출중","보관중"))</f>
        <v/>
      </c>
      <c r="I60" s="118">
        <f>IF($A60="","",COUNTIF($B$109:$B$508,$A60))</f>
        <v/>
      </c>
      <c r="J60" s="36" t="n"/>
    </row>
    <row r="61">
      <c r="A61" s="74" t="n"/>
      <c r="B61" s="74" t="n"/>
      <c r="C61" s="36" t="n"/>
      <c r="D61" s="74" t="n"/>
      <c r="E61" s="74" t="n"/>
      <c r="F61" s="74" t="n"/>
      <c r="G61" s="80" t="n"/>
      <c r="H61" s="130">
        <f>IF($A61="","",IF(COUNTIFS($B$109:$B$508,$A61,$G$109:$G$508,"")&gt;0,"불출중","보관중"))</f>
        <v/>
      </c>
      <c r="I61" s="118">
        <f>IF($A61="","",COUNTIF($B$109:$B$508,$A61))</f>
        <v/>
      </c>
      <c r="J61" s="36" t="n"/>
    </row>
    <row r="62">
      <c r="A62" s="74" t="n"/>
      <c r="B62" s="74" t="n"/>
      <c r="C62" s="36" t="n"/>
      <c r="D62" s="74" t="n"/>
      <c r="E62" s="74" t="n"/>
      <c r="F62" s="74" t="n"/>
      <c r="G62" s="80" t="n"/>
      <c r="H62" s="130">
        <f>IF($A62="","",IF(COUNTIFS($B$109:$B$508,$A62,$G$109:$G$508,"")&gt;0,"불출중","보관중"))</f>
        <v/>
      </c>
      <c r="I62" s="118">
        <f>IF($A62="","",COUNTIF($B$109:$B$508,$A62))</f>
        <v/>
      </c>
      <c r="J62" s="36" t="n"/>
    </row>
    <row r="63">
      <c r="A63" s="74" t="n"/>
      <c r="B63" s="74" t="n"/>
      <c r="C63" s="36" t="n"/>
      <c r="D63" s="74" t="n"/>
      <c r="E63" s="74" t="n"/>
      <c r="F63" s="74" t="n"/>
      <c r="G63" s="80" t="n"/>
      <c r="H63" s="130">
        <f>IF($A63="","",IF(COUNTIFS($B$109:$B$508,$A63,$G$109:$G$508,"")&gt;0,"불출중","보관중"))</f>
        <v/>
      </c>
      <c r="I63" s="118">
        <f>IF($A63="","",COUNTIF($B$109:$B$508,$A63))</f>
        <v/>
      </c>
      <c r="J63" s="36" t="n"/>
    </row>
    <row r="64">
      <c r="A64" s="74" t="n"/>
      <c r="B64" s="74" t="n"/>
      <c r="C64" s="36" t="n"/>
      <c r="D64" s="74" t="n"/>
      <c r="E64" s="74" t="n"/>
      <c r="F64" s="74" t="n"/>
      <c r="G64" s="80" t="n"/>
      <c r="H64" s="130">
        <f>IF($A64="","",IF(COUNTIFS($B$109:$B$508,$A64,$G$109:$G$508,"")&gt;0,"불출중","보관중"))</f>
        <v/>
      </c>
      <c r="I64" s="118">
        <f>IF($A64="","",COUNTIF($B$109:$B$508,$A64))</f>
        <v/>
      </c>
      <c r="J64" s="36" t="n"/>
    </row>
    <row r="65">
      <c r="A65" s="74" t="n"/>
      <c r="B65" s="74" t="n"/>
      <c r="C65" s="36" t="n"/>
      <c r="D65" s="74" t="n"/>
      <c r="E65" s="74" t="n"/>
      <c r="F65" s="74" t="n"/>
      <c r="G65" s="80" t="n"/>
      <c r="H65" s="130">
        <f>IF($A65="","",IF(COUNTIFS($B$109:$B$508,$A65,$G$109:$G$508,"")&gt;0,"불출중","보관중"))</f>
        <v/>
      </c>
      <c r="I65" s="118">
        <f>IF($A65="","",COUNTIF($B$109:$B$508,$A65))</f>
        <v/>
      </c>
      <c r="J65" s="36" t="n"/>
    </row>
    <row r="66">
      <c r="A66" s="74" t="n"/>
      <c r="B66" s="74" t="n"/>
      <c r="C66" s="36" t="n"/>
      <c r="D66" s="74" t="n"/>
      <c r="E66" s="74" t="n"/>
      <c r="F66" s="74" t="n"/>
      <c r="G66" s="80" t="n"/>
      <c r="H66" s="130">
        <f>IF($A66="","",IF(COUNTIFS($B$109:$B$508,$A66,$G$109:$G$508,"")&gt;0,"불출중","보관중"))</f>
        <v/>
      </c>
      <c r="I66" s="118">
        <f>IF($A66="","",COUNTIF($B$109:$B$508,$A66))</f>
        <v/>
      </c>
      <c r="J66" s="36" t="n"/>
    </row>
    <row r="67">
      <c r="A67" s="74" t="n"/>
      <c r="B67" s="74" t="n"/>
      <c r="C67" s="36" t="n"/>
      <c r="D67" s="74" t="n"/>
      <c r="E67" s="74" t="n"/>
      <c r="F67" s="74" t="n"/>
      <c r="G67" s="80" t="n"/>
      <c r="H67" s="130">
        <f>IF($A67="","",IF(COUNTIFS($B$109:$B$508,$A67,$G$109:$G$508,"")&gt;0,"불출중","보관중"))</f>
        <v/>
      </c>
      <c r="I67" s="118">
        <f>IF($A67="","",COUNTIF($B$109:$B$508,$A67))</f>
        <v/>
      </c>
      <c r="J67" s="36" t="n"/>
    </row>
    <row r="68">
      <c r="A68" s="74" t="n"/>
      <c r="B68" s="74" t="n"/>
      <c r="C68" s="36" t="n"/>
      <c r="D68" s="74" t="n"/>
      <c r="E68" s="74" t="n"/>
      <c r="F68" s="74" t="n"/>
      <c r="G68" s="80" t="n"/>
      <c r="H68" s="130">
        <f>IF($A68="","",IF(COUNTIFS($B$109:$B$508,$A68,$G$109:$G$508,"")&gt;0,"불출중","보관중"))</f>
        <v/>
      </c>
      <c r="I68" s="118">
        <f>IF($A68="","",COUNTIF($B$109:$B$508,$A68))</f>
        <v/>
      </c>
      <c r="J68" s="36" t="n"/>
    </row>
    <row r="69">
      <c r="A69" s="74" t="n"/>
      <c r="B69" s="74" t="n"/>
      <c r="C69" s="36" t="n"/>
      <c r="D69" s="74" t="n"/>
      <c r="E69" s="74" t="n"/>
      <c r="F69" s="74" t="n"/>
      <c r="G69" s="80" t="n"/>
      <c r="H69" s="130">
        <f>IF($A69="","",IF(COUNTIFS($B$109:$B$508,$A69,$G$109:$G$508,"")&gt;0,"불출중","보관중"))</f>
        <v/>
      </c>
      <c r="I69" s="118">
        <f>IF($A69="","",COUNTIF($B$109:$B$508,$A69))</f>
        <v/>
      </c>
      <c r="J69" s="36" t="n"/>
    </row>
    <row r="70">
      <c r="A70" s="74" t="n"/>
      <c r="B70" s="74" t="n"/>
      <c r="C70" s="36" t="n"/>
      <c r="D70" s="74" t="n"/>
      <c r="E70" s="74" t="n"/>
      <c r="F70" s="74" t="n"/>
      <c r="G70" s="80" t="n"/>
      <c r="H70" s="130">
        <f>IF($A70="","",IF(COUNTIFS($B$109:$B$508,$A70,$G$109:$G$508,"")&gt;0,"불출중","보관중"))</f>
        <v/>
      </c>
      <c r="I70" s="118">
        <f>IF($A70="","",COUNTIF($B$109:$B$508,$A70))</f>
        <v/>
      </c>
      <c r="J70" s="36" t="n"/>
    </row>
    <row r="71">
      <c r="A71" s="74" t="n"/>
      <c r="B71" s="74" t="n"/>
      <c r="C71" s="36" t="n"/>
      <c r="D71" s="74" t="n"/>
      <c r="E71" s="74" t="n"/>
      <c r="F71" s="74" t="n"/>
      <c r="G71" s="80" t="n"/>
      <c r="H71" s="130">
        <f>IF($A71="","",IF(COUNTIFS($B$109:$B$508,$A71,$G$109:$G$508,"")&gt;0,"불출중","보관중"))</f>
        <v/>
      </c>
      <c r="I71" s="118">
        <f>IF($A71="","",COUNTIF($B$109:$B$508,$A71))</f>
        <v/>
      </c>
      <c r="J71" s="36" t="n"/>
    </row>
    <row r="72">
      <c r="A72" s="74" t="n"/>
      <c r="B72" s="74" t="n"/>
      <c r="C72" s="36" t="n"/>
      <c r="D72" s="74" t="n"/>
      <c r="E72" s="74" t="n"/>
      <c r="F72" s="74" t="n"/>
      <c r="G72" s="80" t="n"/>
      <c r="H72" s="130">
        <f>IF($A72="","",IF(COUNTIFS($B$109:$B$508,$A72,$G$109:$G$508,"")&gt;0,"불출중","보관중"))</f>
        <v/>
      </c>
      <c r="I72" s="118">
        <f>IF($A72="","",COUNTIF($B$109:$B$508,$A72))</f>
        <v/>
      </c>
      <c r="J72" s="36" t="n"/>
    </row>
    <row r="73">
      <c r="A73" s="74" t="n"/>
      <c r="B73" s="74" t="n"/>
      <c r="C73" s="36" t="n"/>
      <c r="D73" s="74" t="n"/>
      <c r="E73" s="74" t="n"/>
      <c r="F73" s="74" t="n"/>
      <c r="G73" s="80" t="n"/>
      <c r="H73" s="130">
        <f>IF($A73="","",IF(COUNTIFS($B$109:$B$508,$A73,$G$109:$G$508,"")&gt;0,"불출중","보관중"))</f>
        <v/>
      </c>
      <c r="I73" s="118">
        <f>IF($A73="","",COUNTIF($B$109:$B$508,$A73))</f>
        <v/>
      </c>
      <c r="J73" s="36" t="n"/>
    </row>
    <row r="74">
      <c r="A74" s="74" t="n"/>
      <c r="B74" s="74" t="n"/>
      <c r="C74" s="36" t="n"/>
      <c r="D74" s="74" t="n"/>
      <c r="E74" s="74" t="n"/>
      <c r="F74" s="74" t="n"/>
      <c r="G74" s="80" t="n"/>
      <c r="H74" s="130">
        <f>IF($A74="","",IF(COUNTIFS($B$109:$B$508,$A74,$G$109:$G$508,"")&gt;0,"불출중","보관중"))</f>
        <v/>
      </c>
      <c r="I74" s="118">
        <f>IF($A74="","",COUNTIF($B$109:$B$508,$A74))</f>
        <v/>
      </c>
      <c r="J74" s="36" t="n"/>
    </row>
    <row r="75">
      <c r="A75" s="74" t="n"/>
      <c r="B75" s="74" t="n"/>
      <c r="C75" s="36" t="n"/>
      <c r="D75" s="74" t="n"/>
      <c r="E75" s="74" t="n"/>
      <c r="F75" s="74" t="n"/>
      <c r="G75" s="80" t="n"/>
      <c r="H75" s="130">
        <f>IF($A75="","",IF(COUNTIFS($B$109:$B$508,$A75,$G$109:$G$508,"")&gt;0,"불출중","보관중"))</f>
        <v/>
      </c>
      <c r="I75" s="118">
        <f>IF($A75="","",COUNTIF($B$109:$B$508,$A75))</f>
        <v/>
      </c>
      <c r="J75" s="36" t="n"/>
    </row>
    <row r="76">
      <c r="A76" s="74" t="n"/>
      <c r="B76" s="74" t="n"/>
      <c r="C76" s="36" t="n"/>
      <c r="D76" s="74" t="n"/>
      <c r="E76" s="74" t="n"/>
      <c r="F76" s="74" t="n"/>
      <c r="G76" s="80" t="n"/>
      <c r="H76" s="130">
        <f>IF($A76="","",IF(COUNTIFS($B$109:$B$508,$A76,$G$109:$G$508,"")&gt;0,"불출중","보관중"))</f>
        <v/>
      </c>
      <c r="I76" s="118">
        <f>IF($A76="","",COUNTIF($B$109:$B$508,$A76))</f>
        <v/>
      </c>
      <c r="J76" s="36" t="n"/>
    </row>
    <row r="77">
      <c r="A77" s="74" t="n"/>
      <c r="B77" s="74" t="n"/>
      <c r="C77" s="36" t="n"/>
      <c r="D77" s="74" t="n"/>
      <c r="E77" s="74" t="n"/>
      <c r="F77" s="74" t="n"/>
      <c r="G77" s="80" t="n"/>
      <c r="H77" s="130">
        <f>IF($A77="","",IF(COUNTIFS($B$109:$B$508,$A77,$G$109:$G$508,"")&gt;0,"불출중","보관중"))</f>
        <v/>
      </c>
      <c r="I77" s="118">
        <f>IF($A77="","",COUNTIF($B$109:$B$508,$A77))</f>
        <v/>
      </c>
      <c r="J77" s="36" t="n"/>
    </row>
    <row r="78">
      <c r="A78" s="74" t="n"/>
      <c r="B78" s="74" t="n"/>
      <c r="C78" s="36" t="n"/>
      <c r="D78" s="74" t="n"/>
      <c r="E78" s="74" t="n"/>
      <c r="F78" s="74" t="n"/>
      <c r="G78" s="80" t="n"/>
      <c r="H78" s="130">
        <f>IF($A78="","",IF(COUNTIFS($B$109:$B$508,$A78,$G$109:$G$508,"")&gt;0,"불출중","보관중"))</f>
        <v/>
      </c>
      <c r="I78" s="118">
        <f>IF($A78="","",COUNTIF($B$109:$B$508,$A78))</f>
        <v/>
      </c>
      <c r="J78" s="36" t="n"/>
    </row>
    <row r="79">
      <c r="A79" s="74" t="n"/>
      <c r="B79" s="74" t="n"/>
      <c r="C79" s="36" t="n"/>
      <c r="D79" s="74" t="n"/>
      <c r="E79" s="74" t="n"/>
      <c r="F79" s="74" t="n"/>
      <c r="G79" s="80" t="n"/>
      <c r="H79" s="130">
        <f>IF($A79="","",IF(COUNTIFS($B$109:$B$508,$A79,$G$109:$G$508,"")&gt;0,"불출중","보관중"))</f>
        <v/>
      </c>
      <c r="I79" s="118">
        <f>IF($A79="","",COUNTIF($B$109:$B$508,$A79))</f>
        <v/>
      </c>
      <c r="J79" s="36" t="n"/>
    </row>
    <row r="80">
      <c r="A80" s="74" t="n"/>
      <c r="B80" s="74" t="n"/>
      <c r="C80" s="36" t="n"/>
      <c r="D80" s="74" t="n"/>
      <c r="E80" s="74" t="n"/>
      <c r="F80" s="74" t="n"/>
      <c r="G80" s="80" t="n"/>
      <c r="H80" s="130">
        <f>IF($A80="","",IF(COUNTIFS($B$109:$B$508,$A80,$G$109:$G$508,"")&gt;0,"불출중","보관중"))</f>
        <v/>
      </c>
      <c r="I80" s="118">
        <f>IF($A80="","",COUNTIF($B$109:$B$508,$A80))</f>
        <v/>
      </c>
      <c r="J80" s="36" t="n"/>
    </row>
    <row r="81">
      <c r="A81" s="74" t="n"/>
      <c r="B81" s="74" t="n"/>
      <c r="C81" s="36" t="n"/>
      <c r="D81" s="74" t="n"/>
      <c r="E81" s="74" t="n"/>
      <c r="F81" s="74" t="n"/>
      <c r="G81" s="80" t="n"/>
      <c r="H81" s="130">
        <f>IF($A81="","",IF(COUNTIFS($B$109:$B$508,$A81,$G$109:$G$508,"")&gt;0,"불출중","보관중"))</f>
        <v/>
      </c>
      <c r="I81" s="118">
        <f>IF($A81="","",COUNTIF($B$109:$B$508,$A81))</f>
        <v/>
      </c>
      <c r="J81" s="36" t="n"/>
    </row>
    <row r="82">
      <c r="A82" s="74" t="n"/>
      <c r="B82" s="74" t="n"/>
      <c r="C82" s="36" t="n"/>
      <c r="D82" s="74" t="n"/>
      <c r="E82" s="74" t="n"/>
      <c r="F82" s="74" t="n"/>
      <c r="G82" s="80" t="n"/>
      <c r="H82" s="130">
        <f>IF($A82="","",IF(COUNTIFS($B$109:$B$508,$A82,$G$109:$G$508,"")&gt;0,"불출중","보관중"))</f>
        <v/>
      </c>
      <c r="I82" s="118">
        <f>IF($A82="","",COUNTIF($B$109:$B$508,$A82))</f>
        <v/>
      </c>
      <c r="J82" s="36" t="n"/>
    </row>
    <row r="83">
      <c r="A83" s="74" t="n"/>
      <c r="B83" s="74" t="n"/>
      <c r="C83" s="36" t="n"/>
      <c r="D83" s="74" t="n"/>
      <c r="E83" s="74" t="n"/>
      <c r="F83" s="74" t="n"/>
      <c r="G83" s="80" t="n"/>
      <c r="H83" s="130">
        <f>IF($A83="","",IF(COUNTIFS($B$109:$B$508,$A83,$G$109:$G$508,"")&gt;0,"불출중","보관중"))</f>
        <v/>
      </c>
      <c r="I83" s="118">
        <f>IF($A83="","",COUNTIF($B$109:$B$508,$A83))</f>
        <v/>
      </c>
      <c r="J83" s="36" t="n"/>
    </row>
    <row r="84">
      <c r="A84" s="74" t="n"/>
      <c r="B84" s="74" t="n"/>
      <c r="C84" s="36" t="n"/>
      <c r="D84" s="74" t="n"/>
      <c r="E84" s="74" t="n"/>
      <c r="F84" s="74" t="n"/>
      <c r="G84" s="80" t="n"/>
      <c r="H84" s="130">
        <f>IF($A84="","",IF(COUNTIFS($B$109:$B$508,$A84,$G$109:$G$508,"")&gt;0,"불출중","보관중"))</f>
        <v/>
      </c>
      <c r="I84" s="118">
        <f>IF($A84="","",COUNTIF($B$109:$B$508,$A84))</f>
        <v/>
      </c>
      <c r="J84" s="36" t="n"/>
    </row>
    <row r="85">
      <c r="A85" s="74" t="n"/>
      <c r="B85" s="74" t="n"/>
      <c r="C85" s="36" t="n"/>
      <c r="D85" s="74" t="n"/>
      <c r="E85" s="74" t="n"/>
      <c r="F85" s="74" t="n"/>
      <c r="G85" s="80" t="n"/>
      <c r="H85" s="130">
        <f>IF($A85="","",IF(COUNTIFS($B$109:$B$508,$A85,$G$109:$G$508,"")&gt;0,"불출중","보관중"))</f>
        <v/>
      </c>
      <c r="I85" s="118">
        <f>IF($A85="","",COUNTIF($B$109:$B$508,$A85))</f>
        <v/>
      </c>
      <c r="J85" s="36" t="n"/>
    </row>
    <row r="86">
      <c r="A86" s="74" t="n"/>
      <c r="B86" s="74" t="n"/>
      <c r="C86" s="36" t="n"/>
      <c r="D86" s="74" t="n"/>
      <c r="E86" s="74" t="n"/>
      <c r="F86" s="74" t="n"/>
      <c r="G86" s="80" t="n"/>
      <c r="H86" s="130">
        <f>IF($A86="","",IF(COUNTIFS($B$109:$B$508,$A86,$G$109:$G$508,"")&gt;0,"불출중","보관중"))</f>
        <v/>
      </c>
      <c r="I86" s="118">
        <f>IF($A86="","",COUNTIF($B$109:$B$508,$A86))</f>
        <v/>
      </c>
      <c r="J86" s="36" t="n"/>
    </row>
    <row r="87">
      <c r="A87" s="74" t="n"/>
      <c r="B87" s="74" t="n"/>
      <c r="C87" s="36" t="n"/>
      <c r="D87" s="74" t="n"/>
      <c r="E87" s="74" t="n"/>
      <c r="F87" s="74" t="n"/>
      <c r="G87" s="80" t="n"/>
      <c r="H87" s="130">
        <f>IF($A87="","",IF(COUNTIFS($B$109:$B$508,$A87,$G$109:$G$508,"")&gt;0,"불출중","보관중"))</f>
        <v/>
      </c>
      <c r="I87" s="118">
        <f>IF($A87="","",COUNTIF($B$109:$B$508,$A87))</f>
        <v/>
      </c>
      <c r="J87" s="36" t="n"/>
    </row>
    <row r="88">
      <c r="A88" s="74" t="n"/>
      <c r="B88" s="74" t="n"/>
      <c r="C88" s="36" t="n"/>
      <c r="D88" s="74" t="n"/>
      <c r="E88" s="74" t="n"/>
      <c r="F88" s="74" t="n"/>
      <c r="G88" s="80" t="n"/>
      <c r="H88" s="130">
        <f>IF($A88="","",IF(COUNTIFS($B$109:$B$508,$A88,$G$109:$G$508,"")&gt;0,"불출중","보관중"))</f>
        <v/>
      </c>
      <c r="I88" s="118">
        <f>IF($A88="","",COUNTIF($B$109:$B$508,$A88))</f>
        <v/>
      </c>
      <c r="J88" s="36" t="n"/>
    </row>
    <row r="89">
      <c r="A89" s="74" t="n"/>
      <c r="B89" s="74" t="n"/>
      <c r="C89" s="36" t="n"/>
      <c r="D89" s="74" t="n"/>
      <c r="E89" s="74" t="n"/>
      <c r="F89" s="74" t="n"/>
      <c r="G89" s="80" t="n"/>
      <c r="H89" s="130">
        <f>IF($A89="","",IF(COUNTIFS($B$109:$B$508,$A89,$G$109:$G$508,"")&gt;0,"불출중","보관중"))</f>
        <v/>
      </c>
      <c r="I89" s="118">
        <f>IF($A89="","",COUNTIF($B$109:$B$508,$A89))</f>
        <v/>
      </c>
      <c r="J89" s="36" t="n"/>
    </row>
    <row r="90">
      <c r="A90" s="74" t="n"/>
      <c r="B90" s="74" t="n"/>
      <c r="C90" s="36" t="n"/>
      <c r="D90" s="74" t="n"/>
      <c r="E90" s="74" t="n"/>
      <c r="F90" s="74" t="n"/>
      <c r="G90" s="80" t="n"/>
      <c r="H90" s="130">
        <f>IF($A90="","",IF(COUNTIFS($B$109:$B$508,$A90,$G$109:$G$508,"")&gt;0,"불출중","보관중"))</f>
        <v/>
      </c>
      <c r="I90" s="118">
        <f>IF($A90="","",COUNTIF($B$109:$B$508,$A90))</f>
        <v/>
      </c>
      <c r="J90" s="36" t="n"/>
    </row>
    <row r="91">
      <c r="A91" s="74" t="n"/>
      <c r="B91" s="74" t="n"/>
      <c r="C91" s="36" t="n"/>
      <c r="D91" s="74" t="n"/>
      <c r="E91" s="74" t="n"/>
      <c r="F91" s="74" t="n"/>
      <c r="G91" s="80" t="n"/>
      <c r="H91" s="130">
        <f>IF($A91="","",IF(COUNTIFS($B$109:$B$508,$A91,$G$109:$G$508,"")&gt;0,"불출중","보관중"))</f>
        <v/>
      </c>
      <c r="I91" s="118">
        <f>IF($A91="","",COUNTIF($B$109:$B$508,$A91))</f>
        <v/>
      </c>
      <c r="J91" s="36" t="n"/>
    </row>
    <row r="92">
      <c r="A92" s="74" t="n"/>
      <c r="B92" s="74" t="n"/>
      <c r="C92" s="36" t="n"/>
      <c r="D92" s="74" t="n"/>
      <c r="E92" s="74" t="n"/>
      <c r="F92" s="74" t="n"/>
      <c r="G92" s="80" t="n"/>
      <c r="H92" s="130">
        <f>IF($A92="","",IF(COUNTIFS($B$109:$B$508,$A92,$G$109:$G$508,"")&gt;0,"불출중","보관중"))</f>
        <v/>
      </c>
      <c r="I92" s="118">
        <f>IF($A92="","",COUNTIF($B$109:$B$508,$A92))</f>
        <v/>
      </c>
      <c r="J92" s="36" t="n"/>
    </row>
    <row r="93">
      <c r="A93" s="74" t="n"/>
      <c r="B93" s="74" t="n"/>
      <c r="C93" s="36" t="n"/>
      <c r="D93" s="74" t="n"/>
      <c r="E93" s="74" t="n"/>
      <c r="F93" s="74" t="n"/>
      <c r="G93" s="80" t="n"/>
      <c r="H93" s="130">
        <f>IF($A93="","",IF(COUNTIFS($B$109:$B$508,$A93,$G$109:$G$508,"")&gt;0,"불출중","보관중"))</f>
        <v/>
      </c>
      <c r="I93" s="118">
        <f>IF($A93="","",COUNTIF($B$109:$B$508,$A93))</f>
        <v/>
      </c>
      <c r="J93" s="36" t="n"/>
    </row>
    <row r="94">
      <c r="A94" s="74" t="n"/>
      <c r="B94" s="74" t="n"/>
      <c r="C94" s="36" t="n"/>
      <c r="D94" s="74" t="n"/>
      <c r="E94" s="74" t="n"/>
      <c r="F94" s="74" t="n"/>
      <c r="G94" s="80" t="n"/>
      <c r="H94" s="130">
        <f>IF($A94="","",IF(COUNTIFS($B$109:$B$508,$A94,$G$109:$G$508,"")&gt;0,"불출중","보관중"))</f>
        <v/>
      </c>
      <c r="I94" s="118">
        <f>IF($A94="","",COUNTIF($B$109:$B$508,$A94))</f>
        <v/>
      </c>
      <c r="J94" s="36" t="n"/>
    </row>
    <row r="95">
      <c r="A95" s="74" t="n"/>
      <c r="B95" s="74" t="n"/>
      <c r="C95" s="36" t="n"/>
      <c r="D95" s="74" t="n"/>
      <c r="E95" s="74" t="n"/>
      <c r="F95" s="74" t="n"/>
      <c r="G95" s="80" t="n"/>
      <c r="H95" s="130">
        <f>IF($A95="","",IF(COUNTIFS($B$109:$B$508,$A95,$G$109:$G$508,"")&gt;0,"불출중","보관중"))</f>
        <v/>
      </c>
      <c r="I95" s="118">
        <f>IF($A95="","",COUNTIF($B$109:$B$508,$A95))</f>
        <v/>
      </c>
      <c r="J95" s="36" t="n"/>
    </row>
    <row r="96">
      <c r="A96" s="74" t="n"/>
      <c r="B96" s="74" t="n"/>
      <c r="C96" s="36" t="n"/>
      <c r="D96" s="74" t="n"/>
      <c r="E96" s="74" t="n"/>
      <c r="F96" s="74" t="n"/>
      <c r="G96" s="80" t="n"/>
      <c r="H96" s="130">
        <f>IF($A96="","",IF(COUNTIFS($B$109:$B$508,$A96,$G$109:$G$508,"")&gt;0,"불출중","보관중"))</f>
        <v/>
      </c>
      <c r="I96" s="118">
        <f>IF($A96="","",COUNTIF($B$109:$B$508,$A96))</f>
        <v/>
      </c>
      <c r="J96" s="36" t="n"/>
    </row>
    <row r="97">
      <c r="A97" s="74" t="n"/>
      <c r="B97" s="74" t="n"/>
      <c r="C97" s="36" t="n"/>
      <c r="D97" s="74" t="n"/>
      <c r="E97" s="74" t="n"/>
      <c r="F97" s="74" t="n"/>
      <c r="G97" s="80" t="n"/>
      <c r="H97" s="130">
        <f>IF($A97="","",IF(COUNTIFS($B$109:$B$508,$A97,$G$109:$G$508,"")&gt;0,"불출중","보관중"))</f>
        <v/>
      </c>
      <c r="I97" s="118">
        <f>IF($A97="","",COUNTIF($B$109:$B$508,$A97))</f>
        <v/>
      </c>
      <c r="J97" s="36" t="n"/>
    </row>
    <row r="98">
      <c r="A98" s="74" t="n"/>
      <c r="B98" s="74" t="n"/>
      <c r="C98" s="36" t="n"/>
      <c r="D98" s="74" t="n"/>
      <c r="E98" s="74" t="n"/>
      <c r="F98" s="74" t="n"/>
      <c r="G98" s="80" t="n"/>
      <c r="H98" s="130">
        <f>IF($A98="","",IF(COUNTIFS($B$109:$B$508,$A98,$G$109:$G$508,"")&gt;0,"불출중","보관중"))</f>
        <v/>
      </c>
      <c r="I98" s="118">
        <f>IF($A98="","",COUNTIF($B$109:$B$508,$A98))</f>
        <v/>
      </c>
      <c r="J98" s="36" t="n"/>
    </row>
    <row r="99">
      <c r="A99" s="74" t="n"/>
      <c r="B99" s="74" t="n"/>
      <c r="C99" s="36" t="n"/>
      <c r="D99" s="74" t="n"/>
      <c r="E99" s="74" t="n"/>
      <c r="F99" s="74" t="n"/>
      <c r="G99" s="80" t="n"/>
      <c r="H99" s="130">
        <f>IF($A99="","",IF(COUNTIFS($B$109:$B$508,$A99,$G$109:$G$508,"")&gt;0,"불출중","보관중"))</f>
        <v/>
      </c>
      <c r="I99" s="118">
        <f>IF($A99="","",COUNTIF($B$109:$B$508,$A99))</f>
        <v/>
      </c>
      <c r="J99" s="36" t="n"/>
    </row>
    <row r="100">
      <c r="A100" s="74" t="n"/>
      <c r="B100" s="74" t="n"/>
      <c r="C100" s="36" t="n"/>
      <c r="D100" s="74" t="n"/>
      <c r="E100" s="74" t="n"/>
      <c r="F100" s="74" t="n"/>
      <c r="G100" s="80" t="n"/>
      <c r="H100" s="130">
        <f>IF($A100="","",IF(COUNTIFS($B$109:$B$508,$A100,$G$109:$G$508,"")&gt;0,"불출중","보관중"))</f>
        <v/>
      </c>
      <c r="I100" s="118">
        <f>IF($A100="","",COUNTIF($B$109:$B$508,$A100))</f>
        <v/>
      </c>
      <c r="J100" s="36" t="n"/>
    </row>
    <row r="101">
      <c r="A101" s="74" t="n"/>
      <c r="B101" s="74" t="n"/>
      <c r="C101" s="36" t="n"/>
      <c r="D101" s="74" t="n"/>
      <c r="E101" s="74" t="n"/>
      <c r="F101" s="74" t="n"/>
      <c r="G101" s="80" t="n"/>
      <c r="H101" s="130">
        <f>IF($A101="","",IF(COUNTIFS($B$109:$B$508,$A101,$G$109:$G$508,"")&gt;0,"불출중","보관중"))</f>
        <v/>
      </c>
      <c r="I101" s="118">
        <f>IF($A101="","",COUNTIF($B$109:$B$508,$A101))</f>
        <v/>
      </c>
      <c r="J101" s="36" t="n"/>
    </row>
    <row r="102">
      <c r="A102" s="74" t="n"/>
      <c r="B102" s="74" t="n"/>
      <c r="C102" s="36" t="n"/>
      <c r="D102" s="74" t="n"/>
      <c r="E102" s="74" t="n"/>
      <c r="F102" s="74" t="n"/>
      <c r="G102" s="80" t="n"/>
      <c r="H102" s="130">
        <f>IF($A102="","",IF(COUNTIFS($B$109:$B$508,$A102,$G$109:$G$508,"")&gt;0,"불출중","보관중"))</f>
        <v/>
      </c>
      <c r="I102" s="118">
        <f>IF($A102="","",COUNTIF($B$109:$B$508,$A102))</f>
        <v/>
      </c>
      <c r="J102" s="36" t="n"/>
    </row>
    <row r="103">
      <c r="A103" s="74" t="n"/>
      <c r="B103" s="74" t="n"/>
      <c r="C103" s="36" t="n"/>
      <c r="D103" s="74" t="n"/>
      <c r="E103" s="74" t="n"/>
      <c r="F103" s="74" t="n"/>
      <c r="G103" s="80" t="n"/>
      <c r="H103" s="130">
        <f>IF($A103="","",IF(COUNTIFS($B$109:$B$508,$A103,$G$109:$G$508,"")&gt;0,"불출중","보관중"))</f>
        <v/>
      </c>
      <c r="I103" s="118">
        <f>IF($A103="","",COUNTIF($B$109:$B$508,$A103))</f>
        <v/>
      </c>
      <c r="J103" s="36" t="n"/>
    </row>
    <row r="104">
      <c r="A104" s="74" t="n"/>
      <c r="B104" s="74" t="n"/>
      <c r="C104" s="36" t="n"/>
      <c r="D104" s="74" t="n"/>
      <c r="E104" s="74" t="n"/>
      <c r="F104" s="74" t="n"/>
      <c r="G104" s="80" t="n"/>
      <c r="H104" s="130">
        <f>IF($A104="","",IF(COUNTIFS($B$109:$B$508,$A104,$G$109:$G$508,"")&gt;0,"불출중","보관중"))</f>
        <v/>
      </c>
      <c r="I104" s="118">
        <f>IF($A104="","",COUNTIF($B$109:$B$508,$A104))</f>
        <v/>
      </c>
      <c r="J104" s="36" t="n"/>
    </row>
    <row r="105">
      <c r="A105" s="74" t="n"/>
      <c r="B105" s="74" t="n"/>
      <c r="C105" s="36" t="n"/>
      <c r="D105" s="74" t="n"/>
      <c r="E105" s="74" t="n"/>
      <c r="F105" s="74" t="n"/>
      <c r="G105" s="80" t="n"/>
      <c r="H105" s="130">
        <f>IF($A105="","",IF(COUNTIFS($B$109:$B$508,$A105,$G$109:$G$508,"")&gt;0,"불출중","보관중"))</f>
        <v/>
      </c>
      <c r="I105" s="118">
        <f>IF($A105="","",COUNTIF($B$109:$B$508,$A105))</f>
        <v/>
      </c>
      <c r="J105" s="36" t="n"/>
    </row>
    <row r="107" ht="20" customHeight="1">
      <c r="A107" s="21" t="inlineStr">
        <is>
          <t>2.  불출 · 반납 이력</t>
        </is>
      </c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</row>
    <row r="108" ht="32" customHeight="1">
      <c r="A108" s="23" t="inlineStr">
        <is>
          <t>연번</t>
        </is>
      </c>
      <c r="B108" s="23" t="inlineStr">
        <is>
          <t>관리번호</t>
        </is>
      </c>
      <c r="C108" s="23" t="inlineStr">
        <is>
          <t>품명(자동)</t>
        </is>
      </c>
      <c r="D108" s="23" t="inlineStr">
        <is>
          <t>관련 사건번호</t>
        </is>
      </c>
      <c r="E108" s="23" t="inlineStr">
        <is>
          <t>불출일</t>
        </is>
      </c>
      <c r="F108" s="23" t="inlineStr">
        <is>
          <t>반납예정일</t>
        </is>
      </c>
      <c r="G108" s="23" t="inlineStr">
        <is>
          <t>반납일</t>
        </is>
      </c>
      <c r="H108" s="23" t="inlineStr">
        <is>
          <t>사용자</t>
        </is>
      </c>
      <c r="I108" s="23" t="inlineStr">
        <is>
          <t>용도 / 반출 사유</t>
        </is>
      </c>
      <c r="J108" s="23" t="inlineStr">
        <is>
          <t>상태(자동)</t>
        </is>
      </c>
      <c r="K108" s="23" t="inlineStr">
        <is>
          <t>비고</t>
        </is>
      </c>
    </row>
    <row r="109">
      <c r="A109" s="118">
        <f>IF($B109="","",1-COUNTBLANK($B$109:$B109))</f>
        <v/>
      </c>
      <c r="B109" s="74" t="n"/>
      <c r="C109" s="131">
        <f>IF($B109="","",IFERROR(INDEX($C$6:$C$105,MATCH($B109,$A$6:$A$105,0)),"※ 미등록 관리번호"))</f>
        <v/>
      </c>
      <c r="D109" s="74" t="n"/>
      <c r="E109" s="80" t="n"/>
      <c r="F109" s="80" t="n"/>
      <c r="G109" s="80" t="n"/>
      <c r="H109" s="74" t="n"/>
      <c r="I109" s="36" t="n"/>
      <c r="J109" s="130">
        <f>IF($E109="","",IF($G109&lt;&gt;"","반납완료",IF(AND($F109&lt;&gt;"",$F109&lt;TODAY()),"연체","사용중")))</f>
        <v/>
      </c>
      <c r="K109" s="36" t="n"/>
    </row>
    <row r="110">
      <c r="A110" s="118">
        <f>IF($B110="","",2-COUNTBLANK($B$109:$B110))</f>
        <v/>
      </c>
      <c r="B110" s="74" t="n"/>
      <c r="C110" s="131">
        <f>IF($B110="","",IFERROR(INDEX($C$6:$C$105,MATCH($B110,$A$6:$A$105,0)),"※ 미등록 관리번호"))</f>
        <v/>
      </c>
      <c r="D110" s="74" t="n"/>
      <c r="E110" s="80" t="n"/>
      <c r="F110" s="80" t="n"/>
      <c r="G110" s="80" t="n"/>
      <c r="H110" s="74" t="n"/>
      <c r="I110" s="36" t="n"/>
      <c r="J110" s="130">
        <f>IF($E110="","",IF($G110&lt;&gt;"","반납완료",IF(AND($F110&lt;&gt;"",$F110&lt;TODAY()),"연체","사용중")))</f>
        <v/>
      </c>
      <c r="K110" s="36" t="n"/>
    </row>
    <row r="111">
      <c r="A111" s="118">
        <f>IF($B111="","",3-COUNTBLANK($B$109:$B111))</f>
        <v/>
      </c>
      <c r="B111" s="74" t="n"/>
      <c r="C111" s="131">
        <f>IF($B111="","",IFERROR(INDEX($C$6:$C$105,MATCH($B111,$A$6:$A$105,0)),"※ 미등록 관리번호"))</f>
        <v/>
      </c>
      <c r="D111" s="74" t="n"/>
      <c r="E111" s="80" t="n"/>
      <c r="F111" s="80" t="n"/>
      <c r="G111" s="80" t="n"/>
      <c r="H111" s="74" t="n"/>
      <c r="I111" s="36" t="n"/>
      <c r="J111" s="130">
        <f>IF($E111="","",IF($G111&lt;&gt;"","반납완료",IF(AND($F111&lt;&gt;"",$F111&lt;TODAY()),"연체","사용중")))</f>
        <v/>
      </c>
      <c r="K111" s="36" t="n"/>
    </row>
    <row r="112">
      <c r="A112" s="118">
        <f>IF($B112="","",4-COUNTBLANK($B$109:$B112))</f>
        <v/>
      </c>
      <c r="B112" s="74" t="n"/>
      <c r="C112" s="131">
        <f>IF($B112="","",IFERROR(INDEX($C$6:$C$105,MATCH($B112,$A$6:$A$105,0)),"※ 미등록 관리번호"))</f>
        <v/>
      </c>
      <c r="D112" s="74" t="n"/>
      <c r="E112" s="80" t="n"/>
      <c r="F112" s="80" t="n"/>
      <c r="G112" s="80" t="n"/>
      <c r="H112" s="74" t="n"/>
      <c r="I112" s="36" t="n"/>
      <c r="J112" s="130">
        <f>IF($E112="","",IF($G112&lt;&gt;"","반납완료",IF(AND($F112&lt;&gt;"",$F112&lt;TODAY()),"연체","사용중")))</f>
        <v/>
      </c>
      <c r="K112" s="36" t="n"/>
    </row>
    <row r="113">
      <c r="A113" s="118">
        <f>IF($B113="","",5-COUNTBLANK($B$109:$B113))</f>
        <v/>
      </c>
      <c r="B113" s="74" t="n"/>
      <c r="C113" s="131">
        <f>IF($B113="","",IFERROR(INDEX($C$6:$C$105,MATCH($B113,$A$6:$A$105,0)),"※ 미등록 관리번호"))</f>
        <v/>
      </c>
      <c r="D113" s="74" t="n"/>
      <c r="E113" s="80" t="n"/>
      <c r="F113" s="80" t="n"/>
      <c r="G113" s="80" t="n"/>
      <c r="H113" s="74" t="n"/>
      <c r="I113" s="36" t="n"/>
      <c r="J113" s="130">
        <f>IF($E113="","",IF($G113&lt;&gt;"","반납완료",IF(AND($F113&lt;&gt;"",$F113&lt;TODAY()),"연체","사용중")))</f>
        <v/>
      </c>
      <c r="K113" s="36" t="n"/>
    </row>
    <row r="114">
      <c r="A114" s="118">
        <f>IF($B114="","",6-COUNTBLANK($B$109:$B114))</f>
        <v/>
      </c>
      <c r="B114" s="74" t="n"/>
      <c r="C114" s="131">
        <f>IF($B114="","",IFERROR(INDEX($C$6:$C$105,MATCH($B114,$A$6:$A$105,0)),"※ 미등록 관리번호"))</f>
        <v/>
      </c>
      <c r="D114" s="74" t="n"/>
      <c r="E114" s="80" t="n"/>
      <c r="F114" s="80" t="n"/>
      <c r="G114" s="80" t="n"/>
      <c r="H114" s="74" t="n"/>
      <c r="I114" s="36" t="n"/>
      <c r="J114" s="130">
        <f>IF($E114="","",IF($G114&lt;&gt;"","반납완료",IF(AND($F114&lt;&gt;"",$F114&lt;TODAY()),"연체","사용중")))</f>
        <v/>
      </c>
      <c r="K114" s="36" t="n"/>
    </row>
    <row r="115">
      <c r="A115" s="118">
        <f>IF($B115="","",7-COUNTBLANK($B$109:$B115))</f>
        <v/>
      </c>
      <c r="B115" s="74" t="n"/>
      <c r="C115" s="131">
        <f>IF($B115="","",IFERROR(INDEX($C$6:$C$105,MATCH($B115,$A$6:$A$105,0)),"※ 미등록 관리번호"))</f>
        <v/>
      </c>
      <c r="D115" s="74" t="n"/>
      <c r="E115" s="80" t="n"/>
      <c r="F115" s="80" t="n"/>
      <c r="G115" s="80" t="n"/>
      <c r="H115" s="74" t="n"/>
      <c r="I115" s="36" t="n"/>
      <c r="J115" s="130">
        <f>IF($E115="","",IF($G115&lt;&gt;"","반납완료",IF(AND($F115&lt;&gt;"",$F115&lt;TODAY()),"연체","사용중")))</f>
        <v/>
      </c>
      <c r="K115" s="36" t="n"/>
    </row>
    <row r="116">
      <c r="A116" s="118">
        <f>IF($B116="","",8-COUNTBLANK($B$109:$B116))</f>
        <v/>
      </c>
      <c r="B116" s="74" t="n"/>
      <c r="C116" s="131">
        <f>IF($B116="","",IFERROR(INDEX($C$6:$C$105,MATCH($B116,$A$6:$A$105,0)),"※ 미등록 관리번호"))</f>
        <v/>
      </c>
      <c r="D116" s="74" t="n"/>
      <c r="E116" s="80" t="n"/>
      <c r="F116" s="80" t="n"/>
      <c r="G116" s="80" t="n"/>
      <c r="H116" s="74" t="n"/>
      <c r="I116" s="36" t="n"/>
      <c r="J116" s="130">
        <f>IF($E116="","",IF($G116&lt;&gt;"","반납완료",IF(AND($F116&lt;&gt;"",$F116&lt;TODAY()),"연체","사용중")))</f>
        <v/>
      </c>
      <c r="K116" s="36" t="n"/>
    </row>
    <row r="117">
      <c r="A117" s="118">
        <f>IF($B117="","",9-COUNTBLANK($B$109:$B117))</f>
        <v/>
      </c>
      <c r="B117" s="74" t="n"/>
      <c r="C117" s="131">
        <f>IF($B117="","",IFERROR(INDEX($C$6:$C$105,MATCH($B117,$A$6:$A$105,0)),"※ 미등록 관리번호"))</f>
        <v/>
      </c>
      <c r="D117" s="74" t="n"/>
      <c r="E117" s="80" t="n"/>
      <c r="F117" s="80" t="n"/>
      <c r="G117" s="80" t="n"/>
      <c r="H117" s="74" t="n"/>
      <c r="I117" s="36" t="n"/>
      <c r="J117" s="130">
        <f>IF($E117="","",IF($G117&lt;&gt;"","반납완료",IF(AND($F117&lt;&gt;"",$F117&lt;TODAY()),"연체","사용중")))</f>
        <v/>
      </c>
      <c r="K117" s="36" t="n"/>
    </row>
    <row r="118">
      <c r="A118" s="118">
        <f>IF($B118="","",10-COUNTBLANK($B$109:$B118))</f>
        <v/>
      </c>
      <c r="B118" s="74" t="n"/>
      <c r="C118" s="131">
        <f>IF($B118="","",IFERROR(INDEX($C$6:$C$105,MATCH($B118,$A$6:$A$105,0)),"※ 미등록 관리번호"))</f>
        <v/>
      </c>
      <c r="D118" s="74" t="n"/>
      <c r="E118" s="80" t="n"/>
      <c r="F118" s="80" t="n"/>
      <c r="G118" s="80" t="n"/>
      <c r="H118" s="74" t="n"/>
      <c r="I118" s="36" t="n"/>
      <c r="J118" s="130">
        <f>IF($E118="","",IF($G118&lt;&gt;"","반납완료",IF(AND($F118&lt;&gt;"",$F118&lt;TODAY()),"연체","사용중")))</f>
        <v/>
      </c>
      <c r="K118" s="36" t="n"/>
    </row>
    <row r="119">
      <c r="A119" s="118">
        <f>IF($B119="","",11-COUNTBLANK($B$109:$B119))</f>
        <v/>
      </c>
      <c r="B119" s="74" t="n"/>
      <c r="C119" s="131">
        <f>IF($B119="","",IFERROR(INDEX($C$6:$C$105,MATCH($B119,$A$6:$A$105,0)),"※ 미등록 관리번호"))</f>
        <v/>
      </c>
      <c r="D119" s="74" t="n"/>
      <c r="E119" s="80" t="n"/>
      <c r="F119" s="80" t="n"/>
      <c r="G119" s="80" t="n"/>
      <c r="H119" s="74" t="n"/>
      <c r="I119" s="36" t="n"/>
      <c r="J119" s="130">
        <f>IF($E119="","",IF($G119&lt;&gt;"","반납완료",IF(AND($F119&lt;&gt;"",$F119&lt;TODAY()),"연체","사용중")))</f>
        <v/>
      </c>
      <c r="K119" s="36" t="n"/>
    </row>
    <row r="120">
      <c r="A120" s="118">
        <f>IF($B120="","",12-COUNTBLANK($B$109:$B120))</f>
        <v/>
      </c>
      <c r="B120" s="74" t="n"/>
      <c r="C120" s="131">
        <f>IF($B120="","",IFERROR(INDEX($C$6:$C$105,MATCH($B120,$A$6:$A$105,0)),"※ 미등록 관리번호"))</f>
        <v/>
      </c>
      <c r="D120" s="74" t="n"/>
      <c r="E120" s="80" t="n"/>
      <c r="F120" s="80" t="n"/>
      <c r="G120" s="80" t="n"/>
      <c r="H120" s="74" t="n"/>
      <c r="I120" s="36" t="n"/>
      <c r="J120" s="130">
        <f>IF($E120="","",IF($G120&lt;&gt;"","반납완료",IF(AND($F120&lt;&gt;"",$F120&lt;TODAY()),"연체","사용중")))</f>
        <v/>
      </c>
      <c r="K120" s="36" t="n"/>
    </row>
    <row r="121">
      <c r="A121" s="118">
        <f>IF($B121="","",13-COUNTBLANK($B$109:$B121))</f>
        <v/>
      </c>
      <c r="B121" s="74" t="n"/>
      <c r="C121" s="131">
        <f>IF($B121="","",IFERROR(INDEX($C$6:$C$105,MATCH($B121,$A$6:$A$105,0)),"※ 미등록 관리번호"))</f>
        <v/>
      </c>
      <c r="D121" s="74" t="n"/>
      <c r="E121" s="80" t="n"/>
      <c r="F121" s="80" t="n"/>
      <c r="G121" s="80" t="n"/>
      <c r="H121" s="74" t="n"/>
      <c r="I121" s="36" t="n"/>
      <c r="J121" s="130">
        <f>IF($E121="","",IF($G121&lt;&gt;"","반납완료",IF(AND($F121&lt;&gt;"",$F121&lt;TODAY()),"연체","사용중")))</f>
        <v/>
      </c>
      <c r="K121" s="36" t="n"/>
    </row>
    <row r="122">
      <c r="A122" s="118">
        <f>IF($B122="","",14-COUNTBLANK($B$109:$B122))</f>
        <v/>
      </c>
      <c r="B122" s="74" t="n"/>
      <c r="C122" s="131">
        <f>IF($B122="","",IFERROR(INDEX($C$6:$C$105,MATCH($B122,$A$6:$A$105,0)),"※ 미등록 관리번호"))</f>
        <v/>
      </c>
      <c r="D122" s="74" t="n"/>
      <c r="E122" s="80" t="n"/>
      <c r="F122" s="80" t="n"/>
      <c r="G122" s="80" t="n"/>
      <c r="H122" s="74" t="n"/>
      <c r="I122" s="36" t="n"/>
      <c r="J122" s="130">
        <f>IF($E122="","",IF($G122&lt;&gt;"","반납완료",IF(AND($F122&lt;&gt;"",$F122&lt;TODAY()),"연체","사용중")))</f>
        <v/>
      </c>
      <c r="K122" s="36" t="n"/>
    </row>
    <row r="123">
      <c r="A123" s="118">
        <f>IF($B123="","",15-COUNTBLANK($B$109:$B123))</f>
        <v/>
      </c>
      <c r="B123" s="74" t="n"/>
      <c r="C123" s="131">
        <f>IF($B123="","",IFERROR(INDEX($C$6:$C$105,MATCH($B123,$A$6:$A$105,0)),"※ 미등록 관리번호"))</f>
        <v/>
      </c>
      <c r="D123" s="74" t="n"/>
      <c r="E123" s="80" t="n"/>
      <c r="F123" s="80" t="n"/>
      <c r="G123" s="80" t="n"/>
      <c r="H123" s="74" t="n"/>
      <c r="I123" s="36" t="n"/>
      <c r="J123" s="130">
        <f>IF($E123="","",IF($G123&lt;&gt;"","반납완료",IF(AND($F123&lt;&gt;"",$F123&lt;TODAY()),"연체","사용중")))</f>
        <v/>
      </c>
      <c r="K123" s="36" t="n"/>
    </row>
    <row r="124">
      <c r="A124" s="118">
        <f>IF($B124="","",16-COUNTBLANK($B$109:$B124))</f>
        <v/>
      </c>
      <c r="B124" s="74" t="n"/>
      <c r="C124" s="131">
        <f>IF($B124="","",IFERROR(INDEX($C$6:$C$105,MATCH($B124,$A$6:$A$105,0)),"※ 미등록 관리번호"))</f>
        <v/>
      </c>
      <c r="D124" s="74" t="n"/>
      <c r="E124" s="80" t="n"/>
      <c r="F124" s="80" t="n"/>
      <c r="G124" s="80" t="n"/>
      <c r="H124" s="74" t="n"/>
      <c r="I124" s="36" t="n"/>
      <c r="J124" s="130">
        <f>IF($E124="","",IF($G124&lt;&gt;"","반납완료",IF(AND($F124&lt;&gt;"",$F124&lt;TODAY()),"연체","사용중")))</f>
        <v/>
      </c>
      <c r="K124" s="36" t="n"/>
    </row>
    <row r="125">
      <c r="A125" s="118">
        <f>IF($B125="","",17-COUNTBLANK($B$109:$B125))</f>
        <v/>
      </c>
      <c r="B125" s="74" t="n"/>
      <c r="C125" s="131">
        <f>IF($B125="","",IFERROR(INDEX($C$6:$C$105,MATCH($B125,$A$6:$A$105,0)),"※ 미등록 관리번호"))</f>
        <v/>
      </c>
      <c r="D125" s="74" t="n"/>
      <c r="E125" s="80" t="n"/>
      <c r="F125" s="80" t="n"/>
      <c r="G125" s="80" t="n"/>
      <c r="H125" s="74" t="n"/>
      <c r="I125" s="36" t="n"/>
      <c r="J125" s="130">
        <f>IF($E125="","",IF($G125&lt;&gt;"","반납완료",IF(AND($F125&lt;&gt;"",$F125&lt;TODAY()),"연체","사용중")))</f>
        <v/>
      </c>
      <c r="K125" s="36" t="n"/>
    </row>
    <row r="126">
      <c r="A126" s="118">
        <f>IF($B126="","",18-COUNTBLANK($B$109:$B126))</f>
        <v/>
      </c>
      <c r="B126" s="74" t="n"/>
      <c r="C126" s="131">
        <f>IF($B126="","",IFERROR(INDEX($C$6:$C$105,MATCH($B126,$A$6:$A$105,0)),"※ 미등록 관리번호"))</f>
        <v/>
      </c>
      <c r="D126" s="74" t="n"/>
      <c r="E126" s="80" t="n"/>
      <c r="F126" s="80" t="n"/>
      <c r="G126" s="80" t="n"/>
      <c r="H126" s="74" t="n"/>
      <c r="I126" s="36" t="n"/>
      <c r="J126" s="130">
        <f>IF($E126="","",IF($G126&lt;&gt;"","반납완료",IF(AND($F126&lt;&gt;"",$F126&lt;TODAY()),"연체","사용중")))</f>
        <v/>
      </c>
      <c r="K126" s="36" t="n"/>
    </row>
    <row r="127">
      <c r="A127" s="118">
        <f>IF($B127="","",19-COUNTBLANK($B$109:$B127))</f>
        <v/>
      </c>
      <c r="B127" s="74" t="n"/>
      <c r="C127" s="131">
        <f>IF($B127="","",IFERROR(INDEX($C$6:$C$105,MATCH($B127,$A$6:$A$105,0)),"※ 미등록 관리번호"))</f>
        <v/>
      </c>
      <c r="D127" s="74" t="n"/>
      <c r="E127" s="80" t="n"/>
      <c r="F127" s="80" t="n"/>
      <c r="G127" s="80" t="n"/>
      <c r="H127" s="74" t="n"/>
      <c r="I127" s="36" t="n"/>
      <c r="J127" s="130">
        <f>IF($E127="","",IF($G127&lt;&gt;"","반납완료",IF(AND($F127&lt;&gt;"",$F127&lt;TODAY()),"연체","사용중")))</f>
        <v/>
      </c>
      <c r="K127" s="36" t="n"/>
    </row>
    <row r="128">
      <c r="A128" s="118">
        <f>IF($B128="","",20-COUNTBLANK($B$109:$B128))</f>
        <v/>
      </c>
      <c r="B128" s="74" t="n"/>
      <c r="C128" s="131">
        <f>IF($B128="","",IFERROR(INDEX($C$6:$C$105,MATCH($B128,$A$6:$A$105,0)),"※ 미등록 관리번호"))</f>
        <v/>
      </c>
      <c r="D128" s="74" t="n"/>
      <c r="E128" s="80" t="n"/>
      <c r="F128" s="80" t="n"/>
      <c r="G128" s="80" t="n"/>
      <c r="H128" s="74" t="n"/>
      <c r="I128" s="36" t="n"/>
      <c r="J128" s="130">
        <f>IF($E128="","",IF($G128&lt;&gt;"","반납완료",IF(AND($F128&lt;&gt;"",$F128&lt;TODAY()),"연체","사용중")))</f>
        <v/>
      </c>
      <c r="K128" s="36" t="n"/>
    </row>
    <row r="129">
      <c r="A129" s="118">
        <f>IF($B129="","",21-COUNTBLANK($B$109:$B129))</f>
        <v/>
      </c>
      <c r="B129" s="74" t="n"/>
      <c r="C129" s="131">
        <f>IF($B129="","",IFERROR(INDEX($C$6:$C$105,MATCH($B129,$A$6:$A$105,0)),"※ 미등록 관리번호"))</f>
        <v/>
      </c>
      <c r="D129" s="74" t="n"/>
      <c r="E129" s="80" t="n"/>
      <c r="F129" s="80" t="n"/>
      <c r="G129" s="80" t="n"/>
      <c r="H129" s="74" t="n"/>
      <c r="I129" s="36" t="n"/>
      <c r="J129" s="130">
        <f>IF($E129="","",IF($G129&lt;&gt;"","반납완료",IF(AND($F129&lt;&gt;"",$F129&lt;TODAY()),"연체","사용중")))</f>
        <v/>
      </c>
      <c r="K129" s="36" t="n"/>
    </row>
    <row r="130">
      <c r="A130" s="118">
        <f>IF($B130="","",22-COUNTBLANK($B$109:$B130))</f>
        <v/>
      </c>
      <c r="B130" s="74" t="n"/>
      <c r="C130" s="131">
        <f>IF($B130="","",IFERROR(INDEX($C$6:$C$105,MATCH($B130,$A$6:$A$105,0)),"※ 미등록 관리번호"))</f>
        <v/>
      </c>
      <c r="D130" s="74" t="n"/>
      <c r="E130" s="80" t="n"/>
      <c r="F130" s="80" t="n"/>
      <c r="G130" s="80" t="n"/>
      <c r="H130" s="74" t="n"/>
      <c r="I130" s="36" t="n"/>
      <c r="J130" s="130">
        <f>IF($E130="","",IF($G130&lt;&gt;"","반납완료",IF(AND($F130&lt;&gt;"",$F130&lt;TODAY()),"연체","사용중")))</f>
        <v/>
      </c>
      <c r="K130" s="36" t="n"/>
    </row>
    <row r="131">
      <c r="A131" s="118">
        <f>IF($B131="","",23-COUNTBLANK($B$109:$B131))</f>
        <v/>
      </c>
      <c r="B131" s="74" t="n"/>
      <c r="C131" s="131">
        <f>IF($B131="","",IFERROR(INDEX($C$6:$C$105,MATCH($B131,$A$6:$A$105,0)),"※ 미등록 관리번호"))</f>
        <v/>
      </c>
      <c r="D131" s="74" t="n"/>
      <c r="E131" s="80" t="n"/>
      <c r="F131" s="80" t="n"/>
      <c r="G131" s="80" t="n"/>
      <c r="H131" s="74" t="n"/>
      <c r="I131" s="36" t="n"/>
      <c r="J131" s="130">
        <f>IF($E131="","",IF($G131&lt;&gt;"","반납완료",IF(AND($F131&lt;&gt;"",$F131&lt;TODAY()),"연체","사용중")))</f>
        <v/>
      </c>
      <c r="K131" s="36" t="n"/>
    </row>
    <row r="132">
      <c r="A132" s="118">
        <f>IF($B132="","",24-COUNTBLANK($B$109:$B132))</f>
        <v/>
      </c>
      <c r="B132" s="74" t="n"/>
      <c r="C132" s="131">
        <f>IF($B132="","",IFERROR(INDEX($C$6:$C$105,MATCH($B132,$A$6:$A$105,0)),"※ 미등록 관리번호"))</f>
        <v/>
      </c>
      <c r="D132" s="74" t="n"/>
      <c r="E132" s="80" t="n"/>
      <c r="F132" s="80" t="n"/>
      <c r="G132" s="80" t="n"/>
      <c r="H132" s="74" t="n"/>
      <c r="I132" s="36" t="n"/>
      <c r="J132" s="130">
        <f>IF($E132="","",IF($G132&lt;&gt;"","반납완료",IF(AND($F132&lt;&gt;"",$F132&lt;TODAY()),"연체","사용중")))</f>
        <v/>
      </c>
      <c r="K132" s="36" t="n"/>
    </row>
    <row r="133">
      <c r="A133" s="118">
        <f>IF($B133="","",25-COUNTBLANK($B$109:$B133))</f>
        <v/>
      </c>
      <c r="B133" s="74" t="n"/>
      <c r="C133" s="131">
        <f>IF($B133="","",IFERROR(INDEX($C$6:$C$105,MATCH($B133,$A$6:$A$105,0)),"※ 미등록 관리번호"))</f>
        <v/>
      </c>
      <c r="D133" s="74" t="n"/>
      <c r="E133" s="80" t="n"/>
      <c r="F133" s="80" t="n"/>
      <c r="G133" s="80" t="n"/>
      <c r="H133" s="74" t="n"/>
      <c r="I133" s="36" t="n"/>
      <c r="J133" s="130">
        <f>IF($E133="","",IF($G133&lt;&gt;"","반납완료",IF(AND($F133&lt;&gt;"",$F133&lt;TODAY()),"연체","사용중")))</f>
        <v/>
      </c>
      <c r="K133" s="36" t="n"/>
    </row>
    <row r="134">
      <c r="A134" s="118">
        <f>IF($B134="","",26-COUNTBLANK($B$109:$B134))</f>
        <v/>
      </c>
      <c r="B134" s="74" t="n"/>
      <c r="C134" s="131">
        <f>IF($B134="","",IFERROR(INDEX($C$6:$C$105,MATCH($B134,$A$6:$A$105,0)),"※ 미등록 관리번호"))</f>
        <v/>
      </c>
      <c r="D134" s="74" t="n"/>
      <c r="E134" s="80" t="n"/>
      <c r="F134" s="80" t="n"/>
      <c r="G134" s="80" t="n"/>
      <c r="H134" s="74" t="n"/>
      <c r="I134" s="36" t="n"/>
      <c r="J134" s="130">
        <f>IF($E134="","",IF($G134&lt;&gt;"","반납완료",IF(AND($F134&lt;&gt;"",$F134&lt;TODAY()),"연체","사용중")))</f>
        <v/>
      </c>
      <c r="K134" s="36" t="n"/>
    </row>
    <row r="135">
      <c r="A135" s="118">
        <f>IF($B135="","",27-COUNTBLANK($B$109:$B135))</f>
        <v/>
      </c>
      <c r="B135" s="74" t="n"/>
      <c r="C135" s="131">
        <f>IF($B135="","",IFERROR(INDEX($C$6:$C$105,MATCH($B135,$A$6:$A$105,0)),"※ 미등록 관리번호"))</f>
        <v/>
      </c>
      <c r="D135" s="74" t="n"/>
      <c r="E135" s="80" t="n"/>
      <c r="F135" s="80" t="n"/>
      <c r="G135" s="80" t="n"/>
      <c r="H135" s="74" t="n"/>
      <c r="I135" s="36" t="n"/>
      <c r="J135" s="130">
        <f>IF($E135="","",IF($G135&lt;&gt;"","반납완료",IF(AND($F135&lt;&gt;"",$F135&lt;TODAY()),"연체","사용중")))</f>
        <v/>
      </c>
      <c r="K135" s="36" t="n"/>
    </row>
    <row r="136">
      <c r="A136" s="118">
        <f>IF($B136="","",28-COUNTBLANK($B$109:$B136))</f>
        <v/>
      </c>
      <c r="B136" s="74" t="n"/>
      <c r="C136" s="131">
        <f>IF($B136="","",IFERROR(INDEX($C$6:$C$105,MATCH($B136,$A$6:$A$105,0)),"※ 미등록 관리번호"))</f>
        <v/>
      </c>
      <c r="D136" s="74" t="n"/>
      <c r="E136" s="80" t="n"/>
      <c r="F136" s="80" t="n"/>
      <c r="G136" s="80" t="n"/>
      <c r="H136" s="74" t="n"/>
      <c r="I136" s="36" t="n"/>
      <c r="J136" s="130">
        <f>IF($E136="","",IF($G136&lt;&gt;"","반납완료",IF(AND($F136&lt;&gt;"",$F136&lt;TODAY()),"연체","사용중")))</f>
        <v/>
      </c>
      <c r="K136" s="36" t="n"/>
    </row>
    <row r="137">
      <c r="A137" s="118">
        <f>IF($B137="","",29-COUNTBLANK($B$109:$B137))</f>
        <v/>
      </c>
      <c r="B137" s="74" t="n"/>
      <c r="C137" s="131">
        <f>IF($B137="","",IFERROR(INDEX($C$6:$C$105,MATCH($B137,$A$6:$A$105,0)),"※ 미등록 관리번호"))</f>
        <v/>
      </c>
      <c r="D137" s="74" t="n"/>
      <c r="E137" s="80" t="n"/>
      <c r="F137" s="80" t="n"/>
      <c r="G137" s="80" t="n"/>
      <c r="H137" s="74" t="n"/>
      <c r="I137" s="36" t="n"/>
      <c r="J137" s="130">
        <f>IF($E137="","",IF($G137&lt;&gt;"","반납완료",IF(AND($F137&lt;&gt;"",$F137&lt;TODAY()),"연체","사용중")))</f>
        <v/>
      </c>
      <c r="K137" s="36" t="n"/>
    </row>
    <row r="138">
      <c r="A138" s="118">
        <f>IF($B138="","",30-COUNTBLANK($B$109:$B138))</f>
        <v/>
      </c>
      <c r="B138" s="74" t="n"/>
      <c r="C138" s="131">
        <f>IF($B138="","",IFERROR(INDEX($C$6:$C$105,MATCH($B138,$A$6:$A$105,0)),"※ 미등록 관리번호"))</f>
        <v/>
      </c>
      <c r="D138" s="74" t="n"/>
      <c r="E138" s="80" t="n"/>
      <c r="F138" s="80" t="n"/>
      <c r="G138" s="80" t="n"/>
      <c r="H138" s="74" t="n"/>
      <c r="I138" s="36" t="n"/>
      <c r="J138" s="130">
        <f>IF($E138="","",IF($G138&lt;&gt;"","반납완료",IF(AND($F138&lt;&gt;"",$F138&lt;TODAY()),"연체","사용중")))</f>
        <v/>
      </c>
      <c r="K138" s="36" t="n"/>
    </row>
    <row r="139">
      <c r="A139" s="118">
        <f>IF($B139="","",31-COUNTBLANK($B$109:$B139))</f>
        <v/>
      </c>
      <c r="B139" s="74" t="n"/>
      <c r="C139" s="131">
        <f>IF($B139="","",IFERROR(INDEX($C$6:$C$105,MATCH($B139,$A$6:$A$105,0)),"※ 미등록 관리번호"))</f>
        <v/>
      </c>
      <c r="D139" s="74" t="n"/>
      <c r="E139" s="80" t="n"/>
      <c r="F139" s="80" t="n"/>
      <c r="G139" s="80" t="n"/>
      <c r="H139" s="74" t="n"/>
      <c r="I139" s="36" t="n"/>
      <c r="J139" s="130">
        <f>IF($E139="","",IF($G139&lt;&gt;"","반납완료",IF(AND($F139&lt;&gt;"",$F139&lt;TODAY()),"연체","사용중")))</f>
        <v/>
      </c>
      <c r="K139" s="36" t="n"/>
    </row>
    <row r="140">
      <c r="A140" s="118">
        <f>IF($B140="","",32-COUNTBLANK($B$109:$B140))</f>
        <v/>
      </c>
      <c r="B140" s="74" t="n"/>
      <c r="C140" s="131">
        <f>IF($B140="","",IFERROR(INDEX($C$6:$C$105,MATCH($B140,$A$6:$A$105,0)),"※ 미등록 관리번호"))</f>
        <v/>
      </c>
      <c r="D140" s="74" t="n"/>
      <c r="E140" s="80" t="n"/>
      <c r="F140" s="80" t="n"/>
      <c r="G140" s="80" t="n"/>
      <c r="H140" s="74" t="n"/>
      <c r="I140" s="36" t="n"/>
      <c r="J140" s="130">
        <f>IF($E140="","",IF($G140&lt;&gt;"","반납완료",IF(AND($F140&lt;&gt;"",$F140&lt;TODAY()),"연체","사용중")))</f>
        <v/>
      </c>
      <c r="K140" s="36" t="n"/>
    </row>
    <row r="141">
      <c r="A141" s="118">
        <f>IF($B141="","",33-COUNTBLANK($B$109:$B141))</f>
        <v/>
      </c>
      <c r="B141" s="74" t="n"/>
      <c r="C141" s="131">
        <f>IF($B141="","",IFERROR(INDEX($C$6:$C$105,MATCH($B141,$A$6:$A$105,0)),"※ 미등록 관리번호"))</f>
        <v/>
      </c>
      <c r="D141" s="74" t="n"/>
      <c r="E141" s="80" t="n"/>
      <c r="F141" s="80" t="n"/>
      <c r="G141" s="80" t="n"/>
      <c r="H141" s="74" t="n"/>
      <c r="I141" s="36" t="n"/>
      <c r="J141" s="130">
        <f>IF($E141="","",IF($G141&lt;&gt;"","반납완료",IF(AND($F141&lt;&gt;"",$F141&lt;TODAY()),"연체","사용중")))</f>
        <v/>
      </c>
      <c r="K141" s="36" t="n"/>
    </row>
    <row r="142">
      <c r="A142" s="118">
        <f>IF($B142="","",34-COUNTBLANK($B$109:$B142))</f>
        <v/>
      </c>
      <c r="B142" s="74" t="n"/>
      <c r="C142" s="131">
        <f>IF($B142="","",IFERROR(INDEX($C$6:$C$105,MATCH($B142,$A$6:$A$105,0)),"※ 미등록 관리번호"))</f>
        <v/>
      </c>
      <c r="D142" s="74" t="n"/>
      <c r="E142" s="80" t="n"/>
      <c r="F142" s="80" t="n"/>
      <c r="G142" s="80" t="n"/>
      <c r="H142" s="74" t="n"/>
      <c r="I142" s="36" t="n"/>
      <c r="J142" s="130">
        <f>IF($E142="","",IF($G142&lt;&gt;"","반납완료",IF(AND($F142&lt;&gt;"",$F142&lt;TODAY()),"연체","사용중")))</f>
        <v/>
      </c>
      <c r="K142" s="36" t="n"/>
    </row>
    <row r="143">
      <c r="A143" s="118">
        <f>IF($B143="","",35-COUNTBLANK($B$109:$B143))</f>
        <v/>
      </c>
      <c r="B143" s="74" t="n"/>
      <c r="C143" s="131">
        <f>IF($B143="","",IFERROR(INDEX($C$6:$C$105,MATCH($B143,$A$6:$A$105,0)),"※ 미등록 관리번호"))</f>
        <v/>
      </c>
      <c r="D143" s="74" t="n"/>
      <c r="E143" s="80" t="n"/>
      <c r="F143" s="80" t="n"/>
      <c r="G143" s="80" t="n"/>
      <c r="H143" s="74" t="n"/>
      <c r="I143" s="36" t="n"/>
      <c r="J143" s="130">
        <f>IF($E143="","",IF($G143&lt;&gt;"","반납완료",IF(AND($F143&lt;&gt;"",$F143&lt;TODAY()),"연체","사용중")))</f>
        <v/>
      </c>
      <c r="K143" s="36" t="n"/>
    </row>
    <row r="144">
      <c r="A144" s="118">
        <f>IF($B144="","",36-COUNTBLANK($B$109:$B144))</f>
        <v/>
      </c>
      <c r="B144" s="74" t="n"/>
      <c r="C144" s="131">
        <f>IF($B144="","",IFERROR(INDEX($C$6:$C$105,MATCH($B144,$A$6:$A$105,0)),"※ 미등록 관리번호"))</f>
        <v/>
      </c>
      <c r="D144" s="74" t="n"/>
      <c r="E144" s="80" t="n"/>
      <c r="F144" s="80" t="n"/>
      <c r="G144" s="80" t="n"/>
      <c r="H144" s="74" t="n"/>
      <c r="I144" s="36" t="n"/>
      <c r="J144" s="130">
        <f>IF($E144="","",IF($G144&lt;&gt;"","반납완료",IF(AND($F144&lt;&gt;"",$F144&lt;TODAY()),"연체","사용중")))</f>
        <v/>
      </c>
      <c r="K144" s="36" t="n"/>
    </row>
    <row r="145">
      <c r="A145" s="118">
        <f>IF($B145="","",37-COUNTBLANK($B$109:$B145))</f>
        <v/>
      </c>
      <c r="B145" s="74" t="n"/>
      <c r="C145" s="131">
        <f>IF($B145="","",IFERROR(INDEX($C$6:$C$105,MATCH($B145,$A$6:$A$105,0)),"※ 미등록 관리번호"))</f>
        <v/>
      </c>
      <c r="D145" s="74" t="n"/>
      <c r="E145" s="80" t="n"/>
      <c r="F145" s="80" t="n"/>
      <c r="G145" s="80" t="n"/>
      <c r="H145" s="74" t="n"/>
      <c r="I145" s="36" t="n"/>
      <c r="J145" s="130">
        <f>IF($E145="","",IF($G145&lt;&gt;"","반납완료",IF(AND($F145&lt;&gt;"",$F145&lt;TODAY()),"연체","사용중")))</f>
        <v/>
      </c>
      <c r="K145" s="36" t="n"/>
    </row>
    <row r="146">
      <c r="A146" s="118">
        <f>IF($B146="","",38-COUNTBLANK($B$109:$B146))</f>
        <v/>
      </c>
      <c r="B146" s="74" t="n"/>
      <c r="C146" s="131">
        <f>IF($B146="","",IFERROR(INDEX($C$6:$C$105,MATCH($B146,$A$6:$A$105,0)),"※ 미등록 관리번호"))</f>
        <v/>
      </c>
      <c r="D146" s="74" t="n"/>
      <c r="E146" s="80" t="n"/>
      <c r="F146" s="80" t="n"/>
      <c r="G146" s="80" t="n"/>
      <c r="H146" s="74" t="n"/>
      <c r="I146" s="36" t="n"/>
      <c r="J146" s="130">
        <f>IF($E146="","",IF($G146&lt;&gt;"","반납완료",IF(AND($F146&lt;&gt;"",$F146&lt;TODAY()),"연체","사용중")))</f>
        <v/>
      </c>
      <c r="K146" s="36" t="n"/>
    </row>
    <row r="147">
      <c r="A147" s="118">
        <f>IF($B147="","",39-COUNTBLANK($B$109:$B147))</f>
        <v/>
      </c>
      <c r="B147" s="74" t="n"/>
      <c r="C147" s="131">
        <f>IF($B147="","",IFERROR(INDEX($C$6:$C$105,MATCH($B147,$A$6:$A$105,0)),"※ 미등록 관리번호"))</f>
        <v/>
      </c>
      <c r="D147" s="74" t="n"/>
      <c r="E147" s="80" t="n"/>
      <c r="F147" s="80" t="n"/>
      <c r="G147" s="80" t="n"/>
      <c r="H147" s="74" t="n"/>
      <c r="I147" s="36" t="n"/>
      <c r="J147" s="130">
        <f>IF($E147="","",IF($G147&lt;&gt;"","반납완료",IF(AND($F147&lt;&gt;"",$F147&lt;TODAY()),"연체","사용중")))</f>
        <v/>
      </c>
      <c r="K147" s="36" t="n"/>
    </row>
    <row r="148">
      <c r="A148" s="118">
        <f>IF($B148="","",40-COUNTBLANK($B$109:$B148))</f>
        <v/>
      </c>
      <c r="B148" s="74" t="n"/>
      <c r="C148" s="131">
        <f>IF($B148="","",IFERROR(INDEX($C$6:$C$105,MATCH($B148,$A$6:$A$105,0)),"※ 미등록 관리번호"))</f>
        <v/>
      </c>
      <c r="D148" s="74" t="n"/>
      <c r="E148" s="80" t="n"/>
      <c r="F148" s="80" t="n"/>
      <c r="G148" s="80" t="n"/>
      <c r="H148" s="74" t="n"/>
      <c r="I148" s="36" t="n"/>
      <c r="J148" s="130">
        <f>IF($E148="","",IF($G148&lt;&gt;"","반납완료",IF(AND($F148&lt;&gt;"",$F148&lt;TODAY()),"연체","사용중")))</f>
        <v/>
      </c>
      <c r="K148" s="36" t="n"/>
    </row>
    <row r="149">
      <c r="A149" s="118">
        <f>IF($B149="","",41-COUNTBLANK($B$109:$B149))</f>
        <v/>
      </c>
      <c r="B149" s="74" t="n"/>
      <c r="C149" s="131">
        <f>IF($B149="","",IFERROR(INDEX($C$6:$C$105,MATCH($B149,$A$6:$A$105,0)),"※ 미등록 관리번호"))</f>
        <v/>
      </c>
      <c r="D149" s="74" t="n"/>
      <c r="E149" s="80" t="n"/>
      <c r="F149" s="80" t="n"/>
      <c r="G149" s="80" t="n"/>
      <c r="H149" s="74" t="n"/>
      <c r="I149" s="36" t="n"/>
      <c r="J149" s="130">
        <f>IF($E149="","",IF($G149&lt;&gt;"","반납완료",IF(AND($F149&lt;&gt;"",$F149&lt;TODAY()),"연체","사용중")))</f>
        <v/>
      </c>
      <c r="K149" s="36" t="n"/>
    </row>
    <row r="150">
      <c r="A150" s="118">
        <f>IF($B150="","",42-COUNTBLANK($B$109:$B150))</f>
        <v/>
      </c>
      <c r="B150" s="74" t="n"/>
      <c r="C150" s="131">
        <f>IF($B150="","",IFERROR(INDEX($C$6:$C$105,MATCH($B150,$A$6:$A$105,0)),"※ 미등록 관리번호"))</f>
        <v/>
      </c>
      <c r="D150" s="74" t="n"/>
      <c r="E150" s="80" t="n"/>
      <c r="F150" s="80" t="n"/>
      <c r="G150" s="80" t="n"/>
      <c r="H150" s="74" t="n"/>
      <c r="I150" s="36" t="n"/>
      <c r="J150" s="130">
        <f>IF($E150="","",IF($G150&lt;&gt;"","반납완료",IF(AND($F150&lt;&gt;"",$F150&lt;TODAY()),"연체","사용중")))</f>
        <v/>
      </c>
      <c r="K150" s="36" t="n"/>
    </row>
    <row r="151">
      <c r="A151" s="118">
        <f>IF($B151="","",43-COUNTBLANK($B$109:$B151))</f>
        <v/>
      </c>
      <c r="B151" s="74" t="n"/>
      <c r="C151" s="131">
        <f>IF($B151="","",IFERROR(INDEX($C$6:$C$105,MATCH($B151,$A$6:$A$105,0)),"※ 미등록 관리번호"))</f>
        <v/>
      </c>
      <c r="D151" s="74" t="n"/>
      <c r="E151" s="80" t="n"/>
      <c r="F151" s="80" t="n"/>
      <c r="G151" s="80" t="n"/>
      <c r="H151" s="74" t="n"/>
      <c r="I151" s="36" t="n"/>
      <c r="J151" s="130">
        <f>IF($E151="","",IF($G151&lt;&gt;"","반납완료",IF(AND($F151&lt;&gt;"",$F151&lt;TODAY()),"연체","사용중")))</f>
        <v/>
      </c>
      <c r="K151" s="36" t="n"/>
    </row>
    <row r="152">
      <c r="A152" s="118">
        <f>IF($B152="","",44-COUNTBLANK($B$109:$B152))</f>
        <v/>
      </c>
      <c r="B152" s="74" t="n"/>
      <c r="C152" s="131">
        <f>IF($B152="","",IFERROR(INDEX($C$6:$C$105,MATCH($B152,$A$6:$A$105,0)),"※ 미등록 관리번호"))</f>
        <v/>
      </c>
      <c r="D152" s="74" t="n"/>
      <c r="E152" s="80" t="n"/>
      <c r="F152" s="80" t="n"/>
      <c r="G152" s="80" t="n"/>
      <c r="H152" s="74" t="n"/>
      <c r="I152" s="36" t="n"/>
      <c r="J152" s="130">
        <f>IF($E152="","",IF($G152&lt;&gt;"","반납완료",IF(AND($F152&lt;&gt;"",$F152&lt;TODAY()),"연체","사용중")))</f>
        <v/>
      </c>
      <c r="K152" s="36" t="n"/>
    </row>
    <row r="153">
      <c r="A153" s="118">
        <f>IF($B153="","",45-COUNTBLANK($B$109:$B153))</f>
        <v/>
      </c>
      <c r="B153" s="74" t="n"/>
      <c r="C153" s="131">
        <f>IF($B153="","",IFERROR(INDEX($C$6:$C$105,MATCH($B153,$A$6:$A$105,0)),"※ 미등록 관리번호"))</f>
        <v/>
      </c>
      <c r="D153" s="74" t="n"/>
      <c r="E153" s="80" t="n"/>
      <c r="F153" s="80" t="n"/>
      <c r="G153" s="80" t="n"/>
      <c r="H153" s="74" t="n"/>
      <c r="I153" s="36" t="n"/>
      <c r="J153" s="130">
        <f>IF($E153="","",IF($G153&lt;&gt;"","반납완료",IF(AND($F153&lt;&gt;"",$F153&lt;TODAY()),"연체","사용중")))</f>
        <v/>
      </c>
      <c r="K153" s="36" t="n"/>
    </row>
    <row r="154">
      <c r="A154" s="118">
        <f>IF($B154="","",46-COUNTBLANK($B$109:$B154))</f>
        <v/>
      </c>
      <c r="B154" s="74" t="n"/>
      <c r="C154" s="131">
        <f>IF($B154="","",IFERROR(INDEX($C$6:$C$105,MATCH($B154,$A$6:$A$105,0)),"※ 미등록 관리번호"))</f>
        <v/>
      </c>
      <c r="D154" s="74" t="n"/>
      <c r="E154" s="80" t="n"/>
      <c r="F154" s="80" t="n"/>
      <c r="G154" s="80" t="n"/>
      <c r="H154" s="74" t="n"/>
      <c r="I154" s="36" t="n"/>
      <c r="J154" s="130">
        <f>IF($E154="","",IF($G154&lt;&gt;"","반납완료",IF(AND($F154&lt;&gt;"",$F154&lt;TODAY()),"연체","사용중")))</f>
        <v/>
      </c>
      <c r="K154" s="36" t="n"/>
    </row>
    <row r="155">
      <c r="A155" s="118">
        <f>IF($B155="","",47-COUNTBLANK($B$109:$B155))</f>
        <v/>
      </c>
      <c r="B155" s="74" t="n"/>
      <c r="C155" s="131">
        <f>IF($B155="","",IFERROR(INDEX($C$6:$C$105,MATCH($B155,$A$6:$A$105,0)),"※ 미등록 관리번호"))</f>
        <v/>
      </c>
      <c r="D155" s="74" t="n"/>
      <c r="E155" s="80" t="n"/>
      <c r="F155" s="80" t="n"/>
      <c r="G155" s="80" t="n"/>
      <c r="H155" s="74" t="n"/>
      <c r="I155" s="36" t="n"/>
      <c r="J155" s="130">
        <f>IF($E155="","",IF($G155&lt;&gt;"","반납완료",IF(AND($F155&lt;&gt;"",$F155&lt;TODAY()),"연체","사용중")))</f>
        <v/>
      </c>
      <c r="K155" s="36" t="n"/>
    </row>
    <row r="156">
      <c r="A156" s="118">
        <f>IF($B156="","",48-COUNTBLANK($B$109:$B156))</f>
        <v/>
      </c>
      <c r="B156" s="74" t="n"/>
      <c r="C156" s="131">
        <f>IF($B156="","",IFERROR(INDEX($C$6:$C$105,MATCH($B156,$A$6:$A$105,0)),"※ 미등록 관리번호"))</f>
        <v/>
      </c>
      <c r="D156" s="74" t="n"/>
      <c r="E156" s="80" t="n"/>
      <c r="F156" s="80" t="n"/>
      <c r="G156" s="80" t="n"/>
      <c r="H156" s="74" t="n"/>
      <c r="I156" s="36" t="n"/>
      <c r="J156" s="130">
        <f>IF($E156="","",IF($G156&lt;&gt;"","반납완료",IF(AND($F156&lt;&gt;"",$F156&lt;TODAY()),"연체","사용중")))</f>
        <v/>
      </c>
      <c r="K156" s="36" t="n"/>
    </row>
    <row r="157">
      <c r="A157" s="118">
        <f>IF($B157="","",49-COUNTBLANK($B$109:$B157))</f>
        <v/>
      </c>
      <c r="B157" s="74" t="n"/>
      <c r="C157" s="131">
        <f>IF($B157="","",IFERROR(INDEX($C$6:$C$105,MATCH($B157,$A$6:$A$105,0)),"※ 미등록 관리번호"))</f>
        <v/>
      </c>
      <c r="D157" s="74" t="n"/>
      <c r="E157" s="80" t="n"/>
      <c r="F157" s="80" t="n"/>
      <c r="G157" s="80" t="n"/>
      <c r="H157" s="74" t="n"/>
      <c r="I157" s="36" t="n"/>
      <c r="J157" s="130">
        <f>IF($E157="","",IF($G157&lt;&gt;"","반납완료",IF(AND($F157&lt;&gt;"",$F157&lt;TODAY()),"연체","사용중")))</f>
        <v/>
      </c>
      <c r="K157" s="36" t="n"/>
    </row>
    <row r="158">
      <c r="A158" s="118">
        <f>IF($B158="","",50-COUNTBLANK($B$109:$B158))</f>
        <v/>
      </c>
      <c r="B158" s="74" t="n"/>
      <c r="C158" s="131">
        <f>IF($B158="","",IFERROR(INDEX($C$6:$C$105,MATCH($B158,$A$6:$A$105,0)),"※ 미등록 관리번호"))</f>
        <v/>
      </c>
      <c r="D158" s="74" t="n"/>
      <c r="E158" s="80" t="n"/>
      <c r="F158" s="80" t="n"/>
      <c r="G158" s="80" t="n"/>
      <c r="H158" s="74" t="n"/>
      <c r="I158" s="36" t="n"/>
      <c r="J158" s="130">
        <f>IF($E158="","",IF($G158&lt;&gt;"","반납완료",IF(AND($F158&lt;&gt;"",$F158&lt;TODAY()),"연체","사용중")))</f>
        <v/>
      </c>
      <c r="K158" s="36" t="n"/>
    </row>
    <row r="159">
      <c r="A159" s="118">
        <f>IF($B159="","",51-COUNTBLANK($B$109:$B159))</f>
        <v/>
      </c>
      <c r="B159" s="74" t="n"/>
      <c r="C159" s="131">
        <f>IF($B159="","",IFERROR(INDEX($C$6:$C$105,MATCH($B159,$A$6:$A$105,0)),"※ 미등록 관리번호"))</f>
        <v/>
      </c>
      <c r="D159" s="74" t="n"/>
      <c r="E159" s="80" t="n"/>
      <c r="F159" s="80" t="n"/>
      <c r="G159" s="80" t="n"/>
      <c r="H159" s="74" t="n"/>
      <c r="I159" s="36" t="n"/>
      <c r="J159" s="130">
        <f>IF($E159="","",IF($G159&lt;&gt;"","반납완료",IF(AND($F159&lt;&gt;"",$F159&lt;TODAY()),"연체","사용중")))</f>
        <v/>
      </c>
      <c r="K159" s="36" t="n"/>
    </row>
    <row r="160">
      <c r="A160" s="118">
        <f>IF($B160="","",52-COUNTBLANK($B$109:$B160))</f>
        <v/>
      </c>
      <c r="B160" s="74" t="n"/>
      <c r="C160" s="131">
        <f>IF($B160="","",IFERROR(INDEX($C$6:$C$105,MATCH($B160,$A$6:$A$105,0)),"※ 미등록 관리번호"))</f>
        <v/>
      </c>
      <c r="D160" s="74" t="n"/>
      <c r="E160" s="80" t="n"/>
      <c r="F160" s="80" t="n"/>
      <c r="G160" s="80" t="n"/>
      <c r="H160" s="74" t="n"/>
      <c r="I160" s="36" t="n"/>
      <c r="J160" s="130">
        <f>IF($E160="","",IF($G160&lt;&gt;"","반납완료",IF(AND($F160&lt;&gt;"",$F160&lt;TODAY()),"연체","사용중")))</f>
        <v/>
      </c>
      <c r="K160" s="36" t="n"/>
    </row>
    <row r="161">
      <c r="A161" s="118">
        <f>IF($B161="","",53-COUNTBLANK($B$109:$B161))</f>
        <v/>
      </c>
      <c r="B161" s="74" t="n"/>
      <c r="C161" s="131">
        <f>IF($B161="","",IFERROR(INDEX($C$6:$C$105,MATCH($B161,$A$6:$A$105,0)),"※ 미등록 관리번호"))</f>
        <v/>
      </c>
      <c r="D161" s="74" t="n"/>
      <c r="E161" s="80" t="n"/>
      <c r="F161" s="80" t="n"/>
      <c r="G161" s="80" t="n"/>
      <c r="H161" s="74" t="n"/>
      <c r="I161" s="36" t="n"/>
      <c r="J161" s="130">
        <f>IF($E161="","",IF($G161&lt;&gt;"","반납완료",IF(AND($F161&lt;&gt;"",$F161&lt;TODAY()),"연체","사용중")))</f>
        <v/>
      </c>
      <c r="K161" s="36" t="n"/>
    </row>
    <row r="162">
      <c r="A162" s="118">
        <f>IF($B162="","",54-COUNTBLANK($B$109:$B162))</f>
        <v/>
      </c>
      <c r="B162" s="74" t="n"/>
      <c r="C162" s="131">
        <f>IF($B162="","",IFERROR(INDEX($C$6:$C$105,MATCH($B162,$A$6:$A$105,0)),"※ 미등록 관리번호"))</f>
        <v/>
      </c>
      <c r="D162" s="74" t="n"/>
      <c r="E162" s="80" t="n"/>
      <c r="F162" s="80" t="n"/>
      <c r="G162" s="80" t="n"/>
      <c r="H162" s="74" t="n"/>
      <c r="I162" s="36" t="n"/>
      <c r="J162" s="130">
        <f>IF($E162="","",IF($G162&lt;&gt;"","반납완료",IF(AND($F162&lt;&gt;"",$F162&lt;TODAY()),"연체","사용중")))</f>
        <v/>
      </c>
      <c r="K162" s="36" t="n"/>
    </row>
    <row r="163">
      <c r="A163" s="118">
        <f>IF($B163="","",55-COUNTBLANK($B$109:$B163))</f>
        <v/>
      </c>
      <c r="B163" s="74" t="n"/>
      <c r="C163" s="131">
        <f>IF($B163="","",IFERROR(INDEX($C$6:$C$105,MATCH($B163,$A$6:$A$105,0)),"※ 미등록 관리번호"))</f>
        <v/>
      </c>
      <c r="D163" s="74" t="n"/>
      <c r="E163" s="80" t="n"/>
      <c r="F163" s="80" t="n"/>
      <c r="G163" s="80" t="n"/>
      <c r="H163" s="74" t="n"/>
      <c r="I163" s="36" t="n"/>
      <c r="J163" s="130">
        <f>IF($E163="","",IF($G163&lt;&gt;"","반납완료",IF(AND($F163&lt;&gt;"",$F163&lt;TODAY()),"연체","사용중")))</f>
        <v/>
      </c>
      <c r="K163" s="36" t="n"/>
    </row>
    <row r="164">
      <c r="A164" s="118">
        <f>IF($B164="","",56-COUNTBLANK($B$109:$B164))</f>
        <v/>
      </c>
      <c r="B164" s="74" t="n"/>
      <c r="C164" s="131">
        <f>IF($B164="","",IFERROR(INDEX($C$6:$C$105,MATCH($B164,$A$6:$A$105,0)),"※ 미등록 관리번호"))</f>
        <v/>
      </c>
      <c r="D164" s="74" t="n"/>
      <c r="E164" s="80" t="n"/>
      <c r="F164" s="80" t="n"/>
      <c r="G164" s="80" t="n"/>
      <c r="H164" s="74" t="n"/>
      <c r="I164" s="36" t="n"/>
      <c r="J164" s="130">
        <f>IF($E164="","",IF($G164&lt;&gt;"","반납완료",IF(AND($F164&lt;&gt;"",$F164&lt;TODAY()),"연체","사용중")))</f>
        <v/>
      </c>
      <c r="K164" s="36" t="n"/>
    </row>
    <row r="165">
      <c r="A165" s="118">
        <f>IF($B165="","",57-COUNTBLANK($B$109:$B165))</f>
        <v/>
      </c>
      <c r="B165" s="74" t="n"/>
      <c r="C165" s="131">
        <f>IF($B165="","",IFERROR(INDEX($C$6:$C$105,MATCH($B165,$A$6:$A$105,0)),"※ 미등록 관리번호"))</f>
        <v/>
      </c>
      <c r="D165" s="74" t="n"/>
      <c r="E165" s="80" t="n"/>
      <c r="F165" s="80" t="n"/>
      <c r="G165" s="80" t="n"/>
      <c r="H165" s="74" t="n"/>
      <c r="I165" s="36" t="n"/>
      <c r="J165" s="130">
        <f>IF($E165="","",IF($G165&lt;&gt;"","반납완료",IF(AND($F165&lt;&gt;"",$F165&lt;TODAY()),"연체","사용중")))</f>
        <v/>
      </c>
      <c r="K165" s="36" t="n"/>
    </row>
    <row r="166">
      <c r="A166" s="118">
        <f>IF($B166="","",58-COUNTBLANK($B$109:$B166))</f>
        <v/>
      </c>
      <c r="B166" s="74" t="n"/>
      <c r="C166" s="131">
        <f>IF($B166="","",IFERROR(INDEX($C$6:$C$105,MATCH($B166,$A$6:$A$105,0)),"※ 미등록 관리번호"))</f>
        <v/>
      </c>
      <c r="D166" s="74" t="n"/>
      <c r="E166" s="80" t="n"/>
      <c r="F166" s="80" t="n"/>
      <c r="G166" s="80" t="n"/>
      <c r="H166" s="74" t="n"/>
      <c r="I166" s="36" t="n"/>
      <c r="J166" s="130">
        <f>IF($E166="","",IF($G166&lt;&gt;"","반납완료",IF(AND($F166&lt;&gt;"",$F166&lt;TODAY()),"연체","사용중")))</f>
        <v/>
      </c>
      <c r="K166" s="36" t="n"/>
    </row>
    <row r="167">
      <c r="A167" s="118">
        <f>IF($B167="","",59-COUNTBLANK($B$109:$B167))</f>
        <v/>
      </c>
      <c r="B167" s="74" t="n"/>
      <c r="C167" s="131">
        <f>IF($B167="","",IFERROR(INDEX($C$6:$C$105,MATCH($B167,$A$6:$A$105,0)),"※ 미등록 관리번호"))</f>
        <v/>
      </c>
      <c r="D167" s="74" t="n"/>
      <c r="E167" s="80" t="n"/>
      <c r="F167" s="80" t="n"/>
      <c r="G167" s="80" t="n"/>
      <c r="H167" s="74" t="n"/>
      <c r="I167" s="36" t="n"/>
      <c r="J167" s="130">
        <f>IF($E167="","",IF($G167&lt;&gt;"","반납완료",IF(AND($F167&lt;&gt;"",$F167&lt;TODAY()),"연체","사용중")))</f>
        <v/>
      </c>
      <c r="K167" s="36" t="n"/>
    </row>
    <row r="168">
      <c r="A168" s="118">
        <f>IF($B168="","",60-COUNTBLANK($B$109:$B168))</f>
        <v/>
      </c>
      <c r="B168" s="74" t="n"/>
      <c r="C168" s="131">
        <f>IF($B168="","",IFERROR(INDEX($C$6:$C$105,MATCH($B168,$A$6:$A$105,0)),"※ 미등록 관리번호"))</f>
        <v/>
      </c>
      <c r="D168" s="74" t="n"/>
      <c r="E168" s="80" t="n"/>
      <c r="F168" s="80" t="n"/>
      <c r="G168" s="80" t="n"/>
      <c r="H168" s="74" t="n"/>
      <c r="I168" s="36" t="n"/>
      <c r="J168" s="130">
        <f>IF($E168="","",IF($G168&lt;&gt;"","반납완료",IF(AND($F168&lt;&gt;"",$F168&lt;TODAY()),"연체","사용중")))</f>
        <v/>
      </c>
      <c r="K168" s="36" t="n"/>
    </row>
    <row r="169">
      <c r="A169" s="118">
        <f>IF($B169="","",61-COUNTBLANK($B$109:$B169))</f>
        <v/>
      </c>
      <c r="B169" s="74" t="n"/>
      <c r="C169" s="131">
        <f>IF($B169="","",IFERROR(INDEX($C$6:$C$105,MATCH($B169,$A$6:$A$105,0)),"※ 미등록 관리번호"))</f>
        <v/>
      </c>
      <c r="D169" s="74" t="n"/>
      <c r="E169" s="80" t="n"/>
      <c r="F169" s="80" t="n"/>
      <c r="G169" s="80" t="n"/>
      <c r="H169" s="74" t="n"/>
      <c r="I169" s="36" t="n"/>
      <c r="J169" s="130">
        <f>IF($E169="","",IF($G169&lt;&gt;"","반납완료",IF(AND($F169&lt;&gt;"",$F169&lt;TODAY()),"연체","사용중")))</f>
        <v/>
      </c>
      <c r="K169" s="36" t="n"/>
    </row>
    <row r="170">
      <c r="A170" s="118">
        <f>IF($B170="","",62-COUNTBLANK($B$109:$B170))</f>
        <v/>
      </c>
      <c r="B170" s="74" t="n"/>
      <c r="C170" s="131">
        <f>IF($B170="","",IFERROR(INDEX($C$6:$C$105,MATCH($B170,$A$6:$A$105,0)),"※ 미등록 관리번호"))</f>
        <v/>
      </c>
      <c r="D170" s="74" t="n"/>
      <c r="E170" s="80" t="n"/>
      <c r="F170" s="80" t="n"/>
      <c r="G170" s="80" t="n"/>
      <c r="H170" s="74" t="n"/>
      <c r="I170" s="36" t="n"/>
      <c r="J170" s="130">
        <f>IF($E170="","",IF($G170&lt;&gt;"","반납완료",IF(AND($F170&lt;&gt;"",$F170&lt;TODAY()),"연체","사용중")))</f>
        <v/>
      </c>
      <c r="K170" s="36" t="n"/>
    </row>
    <row r="171">
      <c r="A171" s="118">
        <f>IF($B171="","",63-COUNTBLANK($B$109:$B171))</f>
        <v/>
      </c>
      <c r="B171" s="74" t="n"/>
      <c r="C171" s="131">
        <f>IF($B171="","",IFERROR(INDEX($C$6:$C$105,MATCH($B171,$A$6:$A$105,0)),"※ 미등록 관리번호"))</f>
        <v/>
      </c>
      <c r="D171" s="74" t="n"/>
      <c r="E171" s="80" t="n"/>
      <c r="F171" s="80" t="n"/>
      <c r="G171" s="80" t="n"/>
      <c r="H171" s="74" t="n"/>
      <c r="I171" s="36" t="n"/>
      <c r="J171" s="130">
        <f>IF($E171="","",IF($G171&lt;&gt;"","반납완료",IF(AND($F171&lt;&gt;"",$F171&lt;TODAY()),"연체","사용중")))</f>
        <v/>
      </c>
      <c r="K171" s="36" t="n"/>
    </row>
    <row r="172">
      <c r="A172" s="118">
        <f>IF($B172="","",64-COUNTBLANK($B$109:$B172))</f>
        <v/>
      </c>
      <c r="B172" s="74" t="n"/>
      <c r="C172" s="131">
        <f>IF($B172="","",IFERROR(INDEX($C$6:$C$105,MATCH($B172,$A$6:$A$105,0)),"※ 미등록 관리번호"))</f>
        <v/>
      </c>
      <c r="D172" s="74" t="n"/>
      <c r="E172" s="80" t="n"/>
      <c r="F172" s="80" t="n"/>
      <c r="G172" s="80" t="n"/>
      <c r="H172" s="74" t="n"/>
      <c r="I172" s="36" t="n"/>
      <c r="J172" s="130">
        <f>IF($E172="","",IF($G172&lt;&gt;"","반납완료",IF(AND($F172&lt;&gt;"",$F172&lt;TODAY()),"연체","사용중")))</f>
        <v/>
      </c>
      <c r="K172" s="36" t="n"/>
    </row>
    <row r="173">
      <c r="A173" s="118">
        <f>IF($B173="","",65-COUNTBLANK($B$109:$B173))</f>
        <v/>
      </c>
      <c r="B173" s="74" t="n"/>
      <c r="C173" s="131">
        <f>IF($B173="","",IFERROR(INDEX($C$6:$C$105,MATCH($B173,$A$6:$A$105,0)),"※ 미등록 관리번호"))</f>
        <v/>
      </c>
      <c r="D173" s="74" t="n"/>
      <c r="E173" s="80" t="n"/>
      <c r="F173" s="80" t="n"/>
      <c r="G173" s="80" t="n"/>
      <c r="H173" s="74" t="n"/>
      <c r="I173" s="36" t="n"/>
      <c r="J173" s="130">
        <f>IF($E173="","",IF($G173&lt;&gt;"","반납완료",IF(AND($F173&lt;&gt;"",$F173&lt;TODAY()),"연체","사용중")))</f>
        <v/>
      </c>
      <c r="K173" s="36" t="n"/>
    </row>
    <row r="174">
      <c r="A174" s="118">
        <f>IF($B174="","",66-COUNTBLANK($B$109:$B174))</f>
        <v/>
      </c>
      <c r="B174" s="74" t="n"/>
      <c r="C174" s="131">
        <f>IF($B174="","",IFERROR(INDEX($C$6:$C$105,MATCH($B174,$A$6:$A$105,0)),"※ 미등록 관리번호"))</f>
        <v/>
      </c>
      <c r="D174" s="74" t="n"/>
      <c r="E174" s="80" t="n"/>
      <c r="F174" s="80" t="n"/>
      <c r="G174" s="80" t="n"/>
      <c r="H174" s="74" t="n"/>
      <c r="I174" s="36" t="n"/>
      <c r="J174" s="130">
        <f>IF($E174="","",IF($G174&lt;&gt;"","반납완료",IF(AND($F174&lt;&gt;"",$F174&lt;TODAY()),"연체","사용중")))</f>
        <v/>
      </c>
      <c r="K174" s="36" t="n"/>
    </row>
    <row r="175">
      <c r="A175" s="118">
        <f>IF($B175="","",67-COUNTBLANK($B$109:$B175))</f>
        <v/>
      </c>
      <c r="B175" s="74" t="n"/>
      <c r="C175" s="131">
        <f>IF($B175="","",IFERROR(INDEX($C$6:$C$105,MATCH($B175,$A$6:$A$105,0)),"※ 미등록 관리번호"))</f>
        <v/>
      </c>
      <c r="D175" s="74" t="n"/>
      <c r="E175" s="80" t="n"/>
      <c r="F175" s="80" t="n"/>
      <c r="G175" s="80" t="n"/>
      <c r="H175" s="74" t="n"/>
      <c r="I175" s="36" t="n"/>
      <c r="J175" s="130">
        <f>IF($E175="","",IF($G175&lt;&gt;"","반납완료",IF(AND($F175&lt;&gt;"",$F175&lt;TODAY()),"연체","사용중")))</f>
        <v/>
      </c>
      <c r="K175" s="36" t="n"/>
    </row>
    <row r="176">
      <c r="A176" s="118">
        <f>IF($B176="","",68-COUNTBLANK($B$109:$B176))</f>
        <v/>
      </c>
      <c r="B176" s="74" t="n"/>
      <c r="C176" s="131">
        <f>IF($B176="","",IFERROR(INDEX($C$6:$C$105,MATCH($B176,$A$6:$A$105,0)),"※ 미등록 관리번호"))</f>
        <v/>
      </c>
      <c r="D176" s="74" t="n"/>
      <c r="E176" s="80" t="n"/>
      <c r="F176" s="80" t="n"/>
      <c r="G176" s="80" t="n"/>
      <c r="H176" s="74" t="n"/>
      <c r="I176" s="36" t="n"/>
      <c r="J176" s="130">
        <f>IF($E176="","",IF($G176&lt;&gt;"","반납완료",IF(AND($F176&lt;&gt;"",$F176&lt;TODAY()),"연체","사용중")))</f>
        <v/>
      </c>
      <c r="K176" s="36" t="n"/>
    </row>
    <row r="177">
      <c r="A177" s="118">
        <f>IF($B177="","",69-COUNTBLANK($B$109:$B177))</f>
        <v/>
      </c>
      <c r="B177" s="74" t="n"/>
      <c r="C177" s="131">
        <f>IF($B177="","",IFERROR(INDEX($C$6:$C$105,MATCH($B177,$A$6:$A$105,0)),"※ 미등록 관리번호"))</f>
        <v/>
      </c>
      <c r="D177" s="74" t="n"/>
      <c r="E177" s="80" t="n"/>
      <c r="F177" s="80" t="n"/>
      <c r="G177" s="80" t="n"/>
      <c r="H177" s="74" t="n"/>
      <c r="I177" s="36" t="n"/>
      <c r="J177" s="130">
        <f>IF($E177="","",IF($G177&lt;&gt;"","반납완료",IF(AND($F177&lt;&gt;"",$F177&lt;TODAY()),"연체","사용중")))</f>
        <v/>
      </c>
      <c r="K177" s="36" t="n"/>
    </row>
    <row r="178">
      <c r="A178" s="118">
        <f>IF($B178="","",70-COUNTBLANK($B$109:$B178))</f>
        <v/>
      </c>
      <c r="B178" s="74" t="n"/>
      <c r="C178" s="131">
        <f>IF($B178="","",IFERROR(INDEX($C$6:$C$105,MATCH($B178,$A$6:$A$105,0)),"※ 미등록 관리번호"))</f>
        <v/>
      </c>
      <c r="D178" s="74" t="n"/>
      <c r="E178" s="80" t="n"/>
      <c r="F178" s="80" t="n"/>
      <c r="G178" s="80" t="n"/>
      <c r="H178" s="74" t="n"/>
      <c r="I178" s="36" t="n"/>
      <c r="J178" s="130">
        <f>IF($E178="","",IF($G178&lt;&gt;"","반납완료",IF(AND($F178&lt;&gt;"",$F178&lt;TODAY()),"연체","사용중")))</f>
        <v/>
      </c>
      <c r="K178" s="36" t="n"/>
    </row>
    <row r="179">
      <c r="A179" s="118">
        <f>IF($B179="","",71-COUNTBLANK($B$109:$B179))</f>
        <v/>
      </c>
      <c r="B179" s="74" t="n"/>
      <c r="C179" s="131">
        <f>IF($B179="","",IFERROR(INDEX($C$6:$C$105,MATCH($B179,$A$6:$A$105,0)),"※ 미등록 관리번호"))</f>
        <v/>
      </c>
      <c r="D179" s="74" t="n"/>
      <c r="E179" s="80" t="n"/>
      <c r="F179" s="80" t="n"/>
      <c r="G179" s="80" t="n"/>
      <c r="H179" s="74" t="n"/>
      <c r="I179" s="36" t="n"/>
      <c r="J179" s="130">
        <f>IF($E179="","",IF($G179&lt;&gt;"","반납완료",IF(AND($F179&lt;&gt;"",$F179&lt;TODAY()),"연체","사용중")))</f>
        <v/>
      </c>
      <c r="K179" s="36" t="n"/>
    </row>
    <row r="180">
      <c r="A180" s="118">
        <f>IF($B180="","",72-COUNTBLANK($B$109:$B180))</f>
        <v/>
      </c>
      <c r="B180" s="74" t="n"/>
      <c r="C180" s="131">
        <f>IF($B180="","",IFERROR(INDEX($C$6:$C$105,MATCH($B180,$A$6:$A$105,0)),"※ 미등록 관리번호"))</f>
        <v/>
      </c>
      <c r="D180" s="74" t="n"/>
      <c r="E180" s="80" t="n"/>
      <c r="F180" s="80" t="n"/>
      <c r="G180" s="80" t="n"/>
      <c r="H180" s="74" t="n"/>
      <c r="I180" s="36" t="n"/>
      <c r="J180" s="130">
        <f>IF($E180="","",IF($G180&lt;&gt;"","반납완료",IF(AND($F180&lt;&gt;"",$F180&lt;TODAY()),"연체","사용중")))</f>
        <v/>
      </c>
      <c r="K180" s="36" t="n"/>
    </row>
    <row r="181">
      <c r="A181" s="118">
        <f>IF($B181="","",73-COUNTBLANK($B$109:$B181))</f>
        <v/>
      </c>
      <c r="B181" s="74" t="n"/>
      <c r="C181" s="131">
        <f>IF($B181="","",IFERROR(INDEX($C$6:$C$105,MATCH($B181,$A$6:$A$105,0)),"※ 미등록 관리번호"))</f>
        <v/>
      </c>
      <c r="D181" s="74" t="n"/>
      <c r="E181" s="80" t="n"/>
      <c r="F181" s="80" t="n"/>
      <c r="G181" s="80" t="n"/>
      <c r="H181" s="74" t="n"/>
      <c r="I181" s="36" t="n"/>
      <c r="J181" s="130">
        <f>IF($E181="","",IF($G181&lt;&gt;"","반납완료",IF(AND($F181&lt;&gt;"",$F181&lt;TODAY()),"연체","사용중")))</f>
        <v/>
      </c>
      <c r="K181" s="36" t="n"/>
    </row>
    <row r="182">
      <c r="A182" s="118">
        <f>IF($B182="","",74-COUNTBLANK($B$109:$B182))</f>
        <v/>
      </c>
      <c r="B182" s="74" t="n"/>
      <c r="C182" s="131">
        <f>IF($B182="","",IFERROR(INDEX($C$6:$C$105,MATCH($B182,$A$6:$A$105,0)),"※ 미등록 관리번호"))</f>
        <v/>
      </c>
      <c r="D182" s="74" t="n"/>
      <c r="E182" s="80" t="n"/>
      <c r="F182" s="80" t="n"/>
      <c r="G182" s="80" t="n"/>
      <c r="H182" s="74" t="n"/>
      <c r="I182" s="36" t="n"/>
      <c r="J182" s="130">
        <f>IF($E182="","",IF($G182&lt;&gt;"","반납완료",IF(AND($F182&lt;&gt;"",$F182&lt;TODAY()),"연체","사용중")))</f>
        <v/>
      </c>
      <c r="K182" s="36" t="n"/>
    </row>
    <row r="183">
      <c r="A183" s="118">
        <f>IF($B183="","",75-COUNTBLANK($B$109:$B183))</f>
        <v/>
      </c>
      <c r="B183" s="74" t="n"/>
      <c r="C183" s="131">
        <f>IF($B183="","",IFERROR(INDEX($C$6:$C$105,MATCH($B183,$A$6:$A$105,0)),"※ 미등록 관리번호"))</f>
        <v/>
      </c>
      <c r="D183" s="74" t="n"/>
      <c r="E183" s="80" t="n"/>
      <c r="F183" s="80" t="n"/>
      <c r="G183" s="80" t="n"/>
      <c r="H183" s="74" t="n"/>
      <c r="I183" s="36" t="n"/>
      <c r="J183" s="130">
        <f>IF($E183="","",IF($G183&lt;&gt;"","반납완료",IF(AND($F183&lt;&gt;"",$F183&lt;TODAY()),"연체","사용중")))</f>
        <v/>
      </c>
      <c r="K183" s="36" t="n"/>
    </row>
    <row r="184">
      <c r="A184" s="118">
        <f>IF($B184="","",76-COUNTBLANK($B$109:$B184))</f>
        <v/>
      </c>
      <c r="B184" s="74" t="n"/>
      <c r="C184" s="131">
        <f>IF($B184="","",IFERROR(INDEX($C$6:$C$105,MATCH($B184,$A$6:$A$105,0)),"※ 미등록 관리번호"))</f>
        <v/>
      </c>
      <c r="D184" s="74" t="n"/>
      <c r="E184" s="80" t="n"/>
      <c r="F184" s="80" t="n"/>
      <c r="G184" s="80" t="n"/>
      <c r="H184" s="74" t="n"/>
      <c r="I184" s="36" t="n"/>
      <c r="J184" s="130">
        <f>IF($E184="","",IF($G184&lt;&gt;"","반납완료",IF(AND($F184&lt;&gt;"",$F184&lt;TODAY()),"연체","사용중")))</f>
        <v/>
      </c>
      <c r="K184" s="36" t="n"/>
    </row>
    <row r="185">
      <c r="A185" s="118">
        <f>IF($B185="","",77-COUNTBLANK($B$109:$B185))</f>
        <v/>
      </c>
      <c r="B185" s="74" t="n"/>
      <c r="C185" s="131">
        <f>IF($B185="","",IFERROR(INDEX($C$6:$C$105,MATCH($B185,$A$6:$A$105,0)),"※ 미등록 관리번호"))</f>
        <v/>
      </c>
      <c r="D185" s="74" t="n"/>
      <c r="E185" s="80" t="n"/>
      <c r="F185" s="80" t="n"/>
      <c r="G185" s="80" t="n"/>
      <c r="H185" s="74" t="n"/>
      <c r="I185" s="36" t="n"/>
      <c r="J185" s="130">
        <f>IF($E185="","",IF($G185&lt;&gt;"","반납완료",IF(AND($F185&lt;&gt;"",$F185&lt;TODAY()),"연체","사용중")))</f>
        <v/>
      </c>
      <c r="K185" s="36" t="n"/>
    </row>
    <row r="186">
      <c r="A186" s="118">
        <f>IF($B186="","",78-COUNTBLANK($B$109:$B186))</f>
        <v/>
      </c>
      <c r="B186" s="74" t="n"/>
      <c r="C186" s="131">
        <f>IF($B186="","",IFERROR(INDEX($C$6:$C$105,MATCH($B186,$A$6:$A$105,0)),"※ 미등록 관리번호"))</f>
        <v/>
      </c>
      <c r="D186" s="74" t="n"/>
      <c r="E186" s="80" t="n"/>
      <c r="F186" s="80" t="n"/>
      <c r="G186" s="80" t="n"/>
      <c r="H186" s="74" t="n"/>
      <c r="I186" s="36" t="n"/>
      <c r="J186" s="130">
        <f>IF($E186="","",IF($G186&lt;&gt;"","반납완료",IF(AND($F186&lt;&gt;"",$F186&lt;TODAY()),"연체","사용중")))</f>
        <v/>
      </c>
      <c r="K186" s="36" t="n"/>
    </row>
    <row r="187">
      <c r="A187" s="118">
        <f>IF($B187="","",79-COUNTBLANK($B$109:$B187))</f>
        <v/>
      </c>
      <c r="B187" s="74" t="n"/>
      <c r="C187" s="131">
        <f>IF($B187="","",IFERROR(INDEX($C$6:$C$105,MATCH($B187,$A$6:$A$105,0)),"※ 미등록 관리번호"))</f>
        <v/>
      </c>
      <c r="D187" s="74" t="n"/>
      <c r="E187" s="80" t="n"/>
      <c r="F187" s="80" t="n"/>
      <c r="G187" s="80" t="n"/>
      <c r="H187" s="74" t="n"/>
      <c r="I187" s="36" t="n"/>
      <c r="J187" s="130">
        <f>IF($E187="","",IF($G187&lt;&gt;"","반납완료",IF(AND($F187&lt;&gt;"",$F187&lt;TODAY()),"연체","사용중")))</f>
        <v/>
      </c>
      <c r="K187" s="36" t="n"/>
    </row>
    <row r="188">
      <c r="A188" s="118">
        <f>IF($B188="","",80-COUNTBLANK($B$109:$B188))</f>
        <v/>
      </c>
      <c r="B188" s="74" t="n"/>
      <c r="C188" s="131">
        <f>IF($B188="","",IFERROR(INDEX($C$6:$C$105,MATCH($B188,$A$6:$A$105,0)),"※ 미등록 관리번호"))</f>
        <v/>
      </c>
      <c r="D188" s="74" t="n"/>
      <c r="E188" s="80" t="n"/>
      <c r="F188" s="80" t="n"/>
      <c r="G188" s="80" t="n"/>
      <c r="H188" s="74" t="n"/>
      <c r="I188" s="36" t="n"/>
      <c r="J188" s="130">
        <f>IF($E188="","",IF($G188&lt;&gt;"","반납완료",IF(AND($F188&lt;&gt;"",$F188&lt;TODAY()),"연체","사용중")))</f>
        <v/>
      </c>
      <c r="K188" s="36" t="n"/>
    </row>
    <row r="189">
      <c r="A189" s="118">
        <f>IF($B189="","",81-COUNTBLANK($B$109:$B189))</f>
        <v/>
      </c>
      <c r="B189" s="74" t="n"/>
      <c r="C189" s="131">
        <f>IF($B189="","",IFERROR(INDEX($C$6:$C$105,MATCH($B189,$A$6:$A$105,0)),"※ 미등록 관리번호"))</f>
        <v/>
      </c>
      <c r="D189" s="74" t="n"/>
      <c r="E189" s="80" t="n"/>
      <c r="F189" s="80" t="n"/>
      <c r="G189" s="80" t="n"/>
      <c r="H189" s="74" t="n"/>
      <c r="I189" s="36" t="n"/>
      <c r="J189" s="130">
        <f>IF($E189="","",IF($G189&lt;&gt;"","반납완료",IF(AND($F189&lt;&gt;"",$F189&lt;TODAY()),"연체","사용중")))</f>
        <v/>
      </c>
      <c r="K189" s="36" t="n"/>
    </row>
    <row r="190">
      <c r="A190" s="118">
        <f>IF($B190="","",82-COUNTBLANK($B$109:$B190))</f>
        <v/>
      </c>
      <c r="B190" s="74" t="n"/>
      <c r="C190" s="131">
        <f>IF($B190="","",IFERROR(INDEX($C$6:$C$105,MATCH($B190,$A$6:$A$105,0)),"※ 미등록 관리번호"))</f>
        <v/>
      </c>
      <c r="D190" s="74" t="n"/>
      <c r="E190" s="80" t="n"/>
      <c r="F190" s="80" t="n"/>
      <c r="G190" s="80" t="n"/>
      <c r="H190" s="74" t="n"/>
      <c r="I190" s="36" t="n"/>
      <c r="J190" s="130">
        <f>IF($E190="","",IF($G190&lt;&gt;"","반납완료",IF(AND($F190&lt;&gt;"",$F190&lt;TODAY()),"연체","사용중")))</f>
        <v/>
      </c>
      <c r="K190" s="36" t="n"/>
    </row>
    <row r="191">
      <c r="A191" s="118">
        <f>IF($B191="","",83-COUNTBLANK($B$109:$B191))</f>
        <v/>
      </c>
      <c r="B191" s="74" t="n"/>
      <c r="C191" s="131">
        <f>IF($B191="","",IFERROR(INDEX($C$6:$C$105,MATCH($B191,$A$6:$A$105,0)),"※ 미등록 관리번호"))</f>
        <v/>
      </c>
      <c r="D191" s="74" t="n"/>
      <c r="E191" s="80" t="n"/>
      <c r="F191" s="80" t="n"/>
      <c r="G191" s="80" t="n"/>
      <c r="H191" s="74" t="n"/>
      <c r="I191" s="36" t="n"/>
      <c r="J191" s="130">
        <f>IF($E191="","",IF($G191&lt;&gt;"","반납완료",IF(AND($F191&lt;&gt;"",$F191&lt;TODAY()),"연체","사용중")))</f>
        <v/>
      </c>
      <c r="K191" s="36" t="n"/>
    </row>
    <row r="192">
      <c r="A192" s="118">
        <f>IF($B192="","",84-COUNTBLANK($B$109:$B192))</f>
        <v/>
      </c>
      <c r="B192" s="74" t="n"/>
      <c r="C192" s="131">
        <f>IF($B192="","",IFERROR(INDEX($C$6:$C$105,MATCH($B192,$A$6:$A$105,0)),"※ 미등록 관리번호"))</f>
        <v/>
      </c>
      <c r="D192" s="74" t="n"/>
      <c r="E192" s="80" t="n"/>
      <c r="F192" s="80" t="n"/>
      <c r="G192" s="80" t="n"/>
      <c r="H192" s="74" t="n"/>
      <c r="I192" s="36" t="n"/>
      <c r="J192" s="130">
        <f>IF($E192="","",IF($G192&lt;&gt;"","반납완료",IF(AND($F192&lt;&gt;"",$F192&lt;TODAY()),"연체","사용중")))</f>
        <v/>
      </c>
      <c r="K192" s="36" t="n"/>
    </row>
    <row r="193">
      <c r="A193" s="118">
        <f>IF($B193="","",85-COUNTBLANK($B$109:$B193))</f>
        <v/>
      </c>
      <c r="B193" s="74" t="n"/>
      <c r="C193" s="131">
        <f>IF($B193="","",IFERROR(INDEX($C$6:$C$105,MATCH($B193,$A$6:$A$105,0)),"※ 미등록 관리번호"))</f>
        <v/>
      </c>
      <c r="D193" s="74" t="n"/>
      <c r="E193" s="80" t="n"/>
      <c r="F193" s="80" t="n"/>
      <c r="G193" s="80" t="n"/>
      <c r="H193" s="74" t="n"/>
      <c r="I193" s="36" t="n"/>
      <c r="J193" s="130">
        <f>IF($E193="","",IF($G193&lt;&gt;"","반납완료",IF(AND($F193&lt;&gt;"",$F193&lt;TODAY()),"연체","사용중")))</f>
        <v/>
      </c>
      <c r="K193" s="36" t="n"/>
    </row>
    <row r="194">
      <c r="A194" s="118">
        <f>IF($B194="","",86-COUNTBLANK($B$109:$B194))</f>
        <v/>
      </c>
      <c r="B194" s="74" t="n"/>
      <c r="C194" s="131">
        <f>IF($B194="","",IFERROR(INDEX($C$6:$C$105,MATCH($B194,$A$6:$A$105,0)),"※ 미등록 관리번호"))</f>
        <v/>
      </c>
      <c r="D194" s="74" t="n"/>
      <c r="E194" s="80" t="n"/>
      <c r="F194" s="80" t="n"/>
      <c r="G194" s="80" t="n"/>
      <c r="H194" s="74" t="n"/>
      <c r="I194" s="36" t="n"/>
      <c r="J194" s="130">
        <f>IF($E194="","",IF($G194&lt;&gt;"","반납완료",IF(AND($F194&lt;&gt;"",$F194&lt;TODAY()),"연체","사용중")))</f>
        <v/>
      </c>
      <c r="K194" s="36" t="n"/>
    </row>
    <row r="195">
      <c r="A195" s="118">
        <f>IF($B195="","",87-COUNTBLANK($B$109:$B195))</f>
        <v/>
      </c>
      <c r="B195" s="74" t="n"/>
      <c r="C195" s="131">
        <f>IF($B195="","",IFERROR(INDEX($C$6:$C$105,MATCH($B195,$A$6:$A$105,0)),"※ 미등록 관리번호"))</f>
        <v/>
      </c>
      <c r="D195" s="74" t="n"/>
      <c r="E195" s="80" t="n"/>
      <c r="F195" s="80" t="n"/>
      <c r="G195" s="80" t="n"/>
      <c r="H195" s="74" t="n"/>
      <c r="I195" s="36" t="n"/>
      <c r="J195" s="130">
        <f>IF($E195="","",IF($G195&lt;&gt;"","반납완료",IF(AND($F195&lt;&gt;"",$F195&lt;TODAY()),"연체","사용중")))</f>
        <v/>
      </c>
      <c r="K195" s="36" t="n"/>
    </row>
    <row r="196">
      <c r="A196" s="118">
        <f>IF($B196="","",88-COUNTBLANK($B$109:$B196))</f>
        <v/>
      </c>
      <c r="B196" s="74" t="n"/>
      <c r="C196" s="131">
        <f>IF($B196="","",IFERROR(INDEX($C$6:$C$105,MATCH($B196,$A$6:$A$105,0)),"※ 미등록 관리번호"))</f>
        <v/>
      </c>
      <c r="D196" s="74" t="n"/>
      <c r="E196" s="80" t="n"/>
      <c r="F196" s="80" t="n"/>
      <c r="G196" s="80" t="n"/>
      <c r="H196" s="74" t="n"/>
      <c r="I196" s="36" t="n"/>
      <c r="J196" s="130">
        <f>IF($E196="","",IF($G196&lt;&gt;"","반납완료",IF(AND($F196&lt;&gt;"",$F196&lt;TODAY()),"연체","사용중")))</f>
        <v/>
      </c>
      <c r="K196" s="36" t="n"/>
    </row>
    <row r="197">
      <c r="A197" s="118">
        <f>IF($B197="","",89-COUNTBLANK($B$109:$B197))</f>
        <v/>
      </c>
      <c r="B197" s="74" t="n"/>
      <c r="C197" s="131">
        <f>IF($B197="","",IFERROR(INDEX($C$6:$C$105,MATCH($B197,$A$6:$A$105,0)),"※ 미등록 관리번호"))</f>
        <v/>
      </c>
      <c r="D197" s="74" t="n"/>
      <c r="E197" s="80" t="n"/>
      <c r="F197" s="80" t="n"/>
      <c r="G197" s="80" t="n"/>
      <c r="H197" s="74" t="n"/>
      <c r="I197" s="36" t="n"/>
      <c r="J197" s="130">
        <f>IF($E197="","",IF($G197&lt;&gt;"","반납완료",IF(AND($F197&lt;&gt;"",$F197&lt;TODAY()),"연체","사용중")))</f>
        <v/>
      </c>
      <c r="K197" s="36" t="n"/>
    </row>
    <row r="198">
      <c r="A198" s="118">
        <f>IF($B198="","",90-COUNTBLANK($B$109:$B198))</f>
        <v/>
      </c>
      <c r="B198" s="74" t="n"/>
      <c r="C198" s="131">
        <f>IF($B198="","",IFERROR(INDEX($C$6:$C$105,MATCH($B198,$A$6:$A$105,0)),"※ 미등록 관리번호"))</f>
        <v/>
      </c>
      <c r="D198" s="74" t="n"/>
      <c r="E198" s="80" t="n"/>
      <c r="F198" s="80" t="n"/>
      <c r="G198" s="80" t="n"/>
      <c r="H198" s="74" t="n"/>
      <c r="I198" s="36" t="n"/>
      <c r="J198" s="130">
        <f>IF($E198="","",IF($G198&lt;&gt;"","반납완료",IF(AND($F198&lt;&gt;"",$F198&lt;TODAY()),"연체","사용중")))</f>
        <v/>
      </c>
      <c r="K198" s="36" t="n"/>
    </row>
    <row r="199">
      <c r="A199" s="118">
        <f>IF($B199="","",91-COUNTBLANK($B$109:$B199))</f>
        <v/>
      </c>
      <c r="B199" s="74" t="n"/>
      <c r="C199" s="131">
        <f>IF($B199="","",IFERROR(INDEX($C$6:$C$105,MATCH($B199,$A$6:$A$105,0)),"※ 미등록 관리번호"))</f>
        <v/>
      </c>
      <c r="D199" s="74" t="n"/>
      <c r="E199" s="80" t="n"/>
      <c r="F199" s="80" t="n"/>
      <c r="G199" s="80" t="n"/>
      <c r="H199" s="74" t="n"/>
      <c r="I199" s="36" t="n"/>
      <c r="J199" s="130">
        <f>IF($E199="","",IF($G199&lt;&gt;"","반납완료",IF(AND($F199&lt;&gt;"",$F199&lt;TODAY()),"연체","사용중")))</f>
        <v/>
      </c>
      <c r="K199" s="36" t="n"/>
    </row>
    <row r="200">
      <c r="A200" s="118">
        <f>IF($B200="","",92-COUNTBLANK($B$109:$B200))</f>
        <v/>
      </c>
      <c r="B200" s="74" t="n"/>
      <c r="C200" s="131">
        <f>IF($B200="","",IFERROR(INDEX($C$6:$C$105,MATCH($B200,$A$6:$A$105,0)),"※ 미등록 관리번호"))</f>
        <v/>
      </c>
      <c r="D200" s="74" t="n"/>
      <c r="E200" s="80" t="n"/>
      <c r="F200" s="80" t="n"/>
      <c r="G200" s="80" t="n"/>
      <c r="H200" s="74" t="n"/>
      <c r="I200" s="36" t="n"/>
      <c r="J200" s="130">
        <f>IF($E200="","",IF($G200&lt;&gt;"","반납완료",IF(AND($F200&lt;&gt;"",$F200&lt;TODAY()),"연체","사용중")))</f>
        <v/>
      </c>
      <c r="K200" s="36" t="n"/>
    </row>
    <row r="201">
      <c r="A201" s="118">
        <f>IF($B201="","",93-COUNTBLANK($B$109:$B201))</f>
        <v/>
      </c>
      <c r="B201" s="74" t="n"/>
      <c r="C201" s="131">
        <f>IF($B201="","",IFERROR(INDEX($C$6:$C$105,MATCH($B201,$A$6:$A$105,0)),"※ 미등록 관리번호"))</f>
        <v/>
      </c>
      <c r="D201" s="74" t="n"/>
      <c r="E201" s="80" t="n"/>
      <c r="F201" s="80" t="n"/>
      <c r="G201" s="80" t="n"/>
      <c r="H201" s="74" t="n"/>
      <c r="I201" s="36" t="n"/>
      <c r="J201" s="130">
        <f>IF($E201="","",IF($G201&lt;&gt;"","반납완료",IF(AND($F201&lt;&gt;"",$F201&lt;TODAY()),"연체","사용중")))</f>
        <v/>
      </c>
      <c r="K201" s="36" t="n"/>
    </row>
    <row r="202">
      <c r="A202" s="118">
        <f>IF($B202="","",94-COUNTBLANK($B$109:$B202))</f>
        <v/>
      </c>
      <c r="B202" s="74" t="n"/>
      <c r="C202" s="131">
        <f>IF($B202="","",IFERROR(INDEX($C$6:$C$105,MATCH($B202,$A$6:$A$105,0)),"※ 미등록 관리번호"))</f>
        <v/>
      </c>
      <c r="D202" s="74" t="n"/>
      <c r="E202" s="80" t="n"/>
      <c r="F202" s="80" t="n"/>
      <c r="G202" s="80" t="n"/>
      <c r="H202" s="74" t="n"/>
      <c r="I202" s="36" t="n"/>
      <c r="J202" s="130">
        <f>IF($E202="","",IF($G202&lt;&gt;"","반납완료",IF(AND($F202&lt;&gt;"",$F202&lt;TODAY()),"연체","사용중")))</f>
        <v/>
      </c>
      <c r="K202" s="36" t="n"/>
    </row>
    <row r="203">
      <c r="A203" s="118">
        <f>IF($B203="","",95-COUNTBLANK($B$109:$B203))</f>
        <v/>
      </c>
      <c r="B203" s="74" t="n"/>
      <c r="C203" s="131">
        <f>IF($B203="","",IFERROR(INDEX($C$6:$C$105,MATCH($B203,$A$6:$A$105,0)),"※ 미등록 관리번호"))</f>
        <v/>
      </c>
      <c r="D203" s="74" t="n"/>
      <c r="E203" s="80" t="n"/>
      <c r="F203" s="80" t="n"/>
      <c r="G203" s="80" t="n"/>
      <c r="H203" s="74" t="n"/>
      <c r="I203" s="36" t="n"/>
      <c r="J203" s="130">
        <f>IF($E203="","",IF($G203&lt;&gt;"","반납완료",IF(AND($F203&lt;&gt;"",$F203&lt;TODAY()),"연체","사용중")))</f>
        <v/>
      </c>
      <c r="K203" s="36" t="n"/>
    </row>
    <row r="204">
      <c r="A204" s="118">
        <f>IF($B204="","",96-COUNTBLANK($B$109:$B204))</f>
        <v/>
      </c>
      <c r="B204" s="74" t="n"/>
      <c r="C204" s="131">
        <f>IF($B204="","",IFERROR(INDEX($C$6:$C$105,MATCH($B204,$A$6:$A$105,0)),"※ 미등록 관리번호"))</f>
        <v/>
      </c>
      <c r="D204" s="74" t="n"/>
      <c r="E204" s="80" t="n"/>
      <c r="F204" s="80" t="n"/>
      <c r="G204" s="80" t="n"/>
      <c r="H204" s="74" t="n"/>
      <c r="I204" s="36" t="n"/>
      <c r="J204" s="130">
        <f>IF($E204="","",IF($G204&lt;&gt;"","반납완료",IF(AND($F204&lt;&gt;"",$F204&lt;TODAY()),"연체","사용중")))</f>
        <v/>
      </c>
      <c r="K204" s="36" t="n"/>
    </row>
    <row r="205">
      <c r="A205" s="118">
        <f>IF($B205="","",97-COUNTBLANK($B$109:$B205))</f>
        <v/>
      </c>
      <c r="B205" s="74" t="n"/>
      <c r="C205" s="131">
        <f>IF($B205="","",IFERROR(INDEX($C$6:$C$105,MATCH($B205,$A$6:$A$105,0)),"※ 미등록 관리번호"))</f>
        <v/>
      </c>
      <c r="D205" s="74" t="n"/>
      <c r="E205" s="80" t="n"/>
      <c r="F205" s="80" t="n"/>
      <c r="G205" s="80" t="n"/>
      <c r="H205" s="74" t="n"/>
      <c r="I205" s="36" t="n"/>
      <c r="J205" s="130">
        <f>IF($E205="","",IF($G205&lt;&gt;"","반납완료",IF(AND($F205&lt;&gt;"",$F205&lt;TODAY()),"연체","사용중")))</f>
        <v/>
      </c>
      <c r="K205" s="36" t="n"/>
    </row>
    <row r="206">
      <c r="A206" s="118">
        <f>IF($B206="","",98-COUNTBLANK($B$109:$B206))</f>
        <v/>
      </c>
      <c r="B206" s="74" t="n"/>
      <c r="C206" s="131">
        <f>IF($B206="","",IFERROR(INDEX($C$6:$C$105,MATCH($B206,$A$6:$A$105,0)),"※ 미등록 관리번호"))</f>
        <v/>
      </c>
      <c r="D206" s="74" t="n"/>
      <c r="E206" s="80" t="n"/>
      <c r="F206" s="80" t="n"/>
      <c r="G206" s="80" t="n"/>
      <c r="H206" s="74" t="n"/>
      <c r="I206" s="36" t="n"/>
      <c r="J206" s="130">
        <f>IF($E206="","",IF($G206&lt;&gt;"","반납완료",IF(AND($F206&lt;&gt;"",$F206&lt;TODAY()),"연체","사용중")))</f>
        <v/>
      </c>
      <c r="K206" s="36" t="n"/>
    </row>
    <row r="207">
      <c r="A207" s="118">
        <f>IF($B207="","",99-COUNTBLANK($B$109:$B207))</f>
        <v/>
      </c>
      <c r="B207" s="74" t="n"/>
      <c r="C207" s="131">
        <f>IF($B207="","",IFERROR(INDEX($C$6:$C$105,MATCH($B207,$A$6:$A$105,0)),"※ 미등록 관리번호"))</f>
        <v/>
      </c>
      <c r="D207" s="74" t="n"/>
      <c r="E207" s="80" t="n"/>
      <c r="F207" s="80" t="n"/>
      <c r="G207" s="80" t="n"/>
      <c r="H207" s="74" t="n"/>
      <c r="I207" s="36" t="n"/>
      <c r="J207" s="130">
        <f>IF($E207="","",IF($G207&lt;&gt;"","반납완료",IF(AND($F207&lt;&gt;"",$F207&lt;TODAY()),"연체","사용중")))</f>
        <v/>
      </c>
      <c r="K207" s="36" t="n"/>
    </row>
    <row r="208">
      <c r="A208" s="118">
        <f>IF($B208="","",100-COUNTBLANK($B$109:$B208))</f>
        <v/>
      </c>
      <c r="B208" s="74" t="n"/>
      <c r="C208" s="131">
        <f>IF($B208="","",IFERROR(INDEX($C$6:$C$105,MATCH($B208,$A$6:$A$105,0)),"※ 미등록 관리번호"))</f>
        <v/>
      </c>
      <c r="D208" s="74" t="n"/>
      <c r="E208" s="80" t="n"/>
      <c r="F208" s="80" t="n"/>
      <c r="G208" s="80" t="n"/>
      <c r="H208" s="74" t="n"/>
      <c r="I208" s="36" t="n"/>
      <c r="J208" s="130">
        <f>IF($E208="","",IF($G208&lt;&gt;"","반납완료",IF(AND($F208&lt;&gt;"",$F208&lt;TODAY()),"연체","사용중")))</f>
        <v/>
      </c>
      <c r="K208" s="36" t="n"/>
    </row>
    <row r="209">
      <c r="A209" s="118">
        <f>IF($B209="","",101-COUNTBLANK($B$109:$B209))</f>
        <v/>
      </c>
      <c r="B209" s="74" t="n"/>
      <c r="C209" s="131">
        <f>IF($B209="","",IFERROR(INDEX($C$6:$C$105,MATCH($B209,$A$6:$A$105,0)),"※ 미등록 관리번호"))</f>
        <v/>
      </c>
      <c r="D209" s="74" t="n"/>
      <c r="E209" s="80" t="n"/>
      <c r="F209" s="80" t="n"/>
      <c r="G209" s="80" t="n"/>
      <c r="H209" s="74" t="n"/>
      <c r="I209" s="36" t="n"/>
      <c r="J209" s="130">
        <f>IF($E209="","",IF($G209&lt;&gt;"","반납완료",IF(AND($F209&lt;&gt;"",$F209&lt;TODAY()),"연체","사용중")))</f>
        <v/>
      </c>
      <c r="K209" s="36" t="n"/>
    </row>
    <row r="210">
      <c r="A210" s="118">
        <f>IF($B210="","",102-COUNTBLANK($B$109:$B210))</f>
        <v/>
      </c>
      <c r="B210" s="74" t="n"/>
      <c r="C210" s="131">
        <f>IF($B210="","",IFERROR(INDEX($C$6:$C$105,MATCH($B210,$A$6:$A$105,0)),"※ 미등록 관리번호"))</f>
        <v/>
      </c>
      <c r="D210" s="74" t="n"/>
      <c r="E210" s="80" t="n"/>
      <c r="F210" s="80" t="n"/>
      <c r="G210" s="80" t="n"/>
      <c r="H210" s="74" t="n"/>
      <c r="I210" s="36" t="n"/>
      <c r="J210" s="130">
        <f>IF($E210="","",IF($G210&lt;&gt;"","반납완료",IF(AND($F210&lt;&gt;"",$F210&lt;TODAY()),"연체","사용중")))</f>
        <v/>
      </c>
      <c r="K210" s="36" t="n"/>
    </row>
    <row r="211">
      <c r="A211" s="118">
        <f>IF($B211="","",103-COUNTBLANK($B$109:$B211))</f>
        <v/>
      </c>
      <c r="B211" s="74" t="n"/>
      <c r="C211" s="131">
        <f>IF($B211="","",IFERROR(INDEX($C$6:$C$105,MATCH($B211,$A$6:$A$105,0)),"※ 미등록 관리번호"))</f>
        <v/>
      </c>
      <c r="D211" s="74" t="n"/>
      <c r="E211" s="80" t="n"/>
      <c r="F211" s="80" t="n"/>
      <c r="G211" s="80" t="n"/>
      <c r="H211" s="74" t="n"/>
      <c r="I211" s="36" t="n"/>
      <c r="J211" s="130">
        <f>IF($E211="","",IF($G211&lt;&gt;"","반납완료",IF(AND($F211&lt;&gt;"",$F211&lt;TODAY()),"연체","사용중")))</f>
        <v/>
      </c>
      <c r="K211" s="36" t="n"/>
    </row>
    <row r="212">
      <c r="A212" s="118">
        <f>IF($B212="","",104-COUNTBLANK($B$109:$B212))</f>
        <v/>
      </c>
      <c r="B212" s="74" t="n"/>
      <c r="C212" s="131">
        <f>IF($B212="","",IFERROR(INDEX($C$6:$C$105,MATCH($B212,$A$6:$A$105,0)),"※ 미등록 관리번호"))</f>
        <v/>
      </c>
      <c r="D212" s="74" t="n"/>
      <c r="E212" s="80" t="n"/>
      <c r="F212" s="80" t="n"/>
      <c r="G212" s="80" t="n"/>
      <c r="H212" s="74" t="n"/>
      <c r="I212" s="36" t="n"/>
      <c r="J212" s="130">
        <f>IF($E212="","",IF($G212&lt;&gt;"","반납완료",IF(AND($F212&lt;&gt;"",$F212&lt;TODAY()),"연체","사용중")))</f>
        <v/>
      </c>
      <c r="K212" s="36" t="n"/>
    </row>
    <row r="213">
      <c r="A213" s="118">
        <f>IF($B213="","",105-COUNTBLANK($B$109:$B213))</f>
        <v/>
      </c>
      <c r="B213" s="74" t="n"/>
      <c r="C213" s="131">
        <f>IF($B213="","",IFERROR(INDEX($C$6:$C$105,MATCH($B213,$A$6:$A$105,0)),"※ 미등록 관리번호"))</f>
        <v/>
      </c>
      <c r="D213" s="74" t="n"/>
      <c r="E213" s="80" t="n"/>
      <c r="F213" s="80" t="n"/>
      <c r="G213" s="80" t="n"/>
      <c r="H213" s="74" t="n"/>
      <c r="I213" s="36" t="n"/>
      <c r="J213" s="130">
        <f>IF($E213="","",IF($G213&lt;&gt;"","반납완료",IF(AND($F213&lt;&gt;"",$F213&lt;TODAY()),"연체","사용중")))</f>
        <v/>
      </c>
      <c r="K213" s="36" t="n"/>
    </row>
    <row r="214">
      <c r="A214" s="118">
        <f>IF($B214="","",106-COUNTBLANK($B$109:$B214))</f>
        <v/>
      </c>
      <c r="B214" s="74" t="n"/>
      <c r="C214" s="131">
        <f>IF($B214="","",IFERROR(INDEX($C$6:$C$105,MATCH($B214,$A$6:$A$105,0)),"※ 미등록 관리번호"))</f>
        <v/>
      </c>
      <c r="D214" s="74" t="n"/>
      <c r="E214" s="80" t="n"/>
      <c r="F214" s="80" t="n"/>
      <c r="G214" s="80" t="n"/>
      <c r="H214" s="74" t="n"/>
      <c r="I214" s="36" t="n"/>
      <c r="J214" s="130">
        <f>IF($E214="","",IF($G214&lt;&gt;"","반납완료",IF(AND($F214&lt;&gt;"",$F214&lt;TODAY()),"연체","사용중")))</f>
        <v/>
      </c>
      <c r="K214" s="36" t="n"/>
    </row>
    <row r="215">
      <c r="A215" s="118">
        <f>IF($B215="","",107-COUNTBLANK($B$109:$B215))</f>
        <v/>
      </c>
      <c r="B215" s="74" t="n"/>
      <c r="C215" s="131">
        <f>IF($B215="","",IFERROR(INDEX($C$6:$C$105,MATCH($B215,$A$6:$A$105,0)),"※ 미등록 관리번호"))</f>
        <v/>
      </c>
      <c r="D215" s="74" t="n"/>
      <c r="E215" s="80" t="n"/>
      <c r="F215" s="80" t="n"/>
      <c r="G215" s="80" t="n"/>
      <c r="H215" s="74" t="n"/>
      <c r="I215" s="36" t="n"/>
      <c r="J215" s="130">
        <f>IF($E215="","",IF($G215&lt;&gt;"","반납완료",IF(AND($F215&lt;&gt;"",$F215&lt;TODAY()),"연체","사용중")))</f>
        <v/>
      </c>
      <c r="K215" s="36" t="n"/>
    </row>
    <row r="216">
      <c r="A216" s="118">
        <f>IF($B216="","",108-COUNTBLANK($B$109:$B216))</f>
        <v/>
      </c>
      <c r="B216" s="74" t="n"/>
      <c r="C216" s="131">
        <f>IF($B216="","",IFERROR(INDEX($C$6:$C$105,MATCH($B216,$A$6:$A$105,0)),"※ 미등록 관리번호"))</f>
        <v/>
      </c>
      <c r="D216" s="74" t="n"/>
      <c r="E216" s="80" t="n"/>
      <c r="F216" s="80" t="n"/>
      <c r="G216" s="80" t="n"/>
      <c r="H216" s="74" t="n"/>
      <c r="I216" s="36" t="n"/>
      <c r="J216" s="130">
        <f>IF($E216="","",IF($G216&lt;&gt;"","반납완료",IF(AND($F216&lt;&gt;"",$F216&lt;TODAY()),"연체","사용중")))</f>
        <v/>
      </c>
      <c r="K216" s="36" t="n"/>
    </row>
    <row r="217">
      <c r="A217" s="118">
        <f>IF($B217="","",109-COUNTBLANK($B$109:$B217))</f>
        <v/>
      </c>
      <c r="B217" s="74" t="n"/>
      <c r="C217" s="131">
        <f>IF($B217="","",IFERROR(INDEX($C$6:$C$105,MATCH($B217,$A$6:$A$105,0)),"※ 미등록 관리번호"))</f>
        <v/>
      </c>
      <c r="D217" s="74" t="n"/>
      <c r="E217" s="80" t="n"/>
      <c r="F217" s="80" t="n"/>
      <c r="G217" s="80" t="n"/>
      <c r="H217" s="74" t="n"/>
      <c r="I217" s="36" t="n"/>
      <c r="J217" s="130">
        <f>IF($E217="","",IF($G217&lt;&gt;"","반납완료",IF(AND($F217&lt;&gt;"",$F217&lt;TODAY()),"연체","사용중")))</f>
        <v/>
      </c>
      <c r="K217" s="36" t="n"/>
    </row>
    <row r="218">
      <c r="A218" s="118">
        <f>IF($B218="","",110-COUNTBLANK($B$109:$B218))</f>
        <v/>
      </c>
      <c r="B218" s="74" t="n"/>
      <c r="C218" s="131">
        <f>IF($B218="","",IFERROR(INDEX($C$6:$C$105,MATCH($B218,$A$6:$A$105,0)),"※ 미등록 관리번호"))</f>
        <v/>
      </c>
      <c r="D218" s="74" t="n"/>
      <c r="E218" s="80" t="n"/>
      <c r="F218" s="80" t="n"/>
      <c r="G218" s="80" t="n"/>
      <c r="H218" s="74" t="n"/>
      <c r="I218" s="36" t="n"/>
      <c r="J218" s="130">
        <f>IF($E218="","",IF($G218&lt;&gt;"","반납완료",IF(AND($F218&lt;&gt;"",$F218&lt;TODAY()),"연체","사용중")))</f>
        <v/>
      </c>
      <c r="K218" s="36" t="n"/>
    </row>
    <row r="219">
      <c r="A219" s="118">
        <f>IF($B219="","",111-COUNTBLANK($B$109:$B219))</f>
        <v/>
      </c>
      <c r="B219" s="74" t="n"/>
      <c r="C219" s="131">
        <f>IF($B219="","",IFERROR(INDEX($C$6:$C$105,MATCH($B219,$A$6:$A$105,0)),"※ 미등록 관리번호"))</f>
        <v/>
      </c>
      <c r="D219" s="74" t="n"/>
      <c r="E219" s="80" t="n"/>
      <c r="F219" s="80" t="n"/>
      <c r="G219" s="80" t="n"/>
      <c r="H219" s="74" t="n"/>
      <c r="I219" s="36" t="n"/>
      <c r="J219" s="130">
        <f>IF($E219="","",IF($G219&lt;&gt;"","반납완료",IF(AND($F219&lt;&gt;"",$F219&lt;TODAY()),"연체","사용중")))</f>
        <v/>
      </c>
      <c r="K219" s="36" t="n"/>
    </row>
    <row r="220">
      <c r="A220" s="118">
        <f>IF($B220="","",112-COUNTBLANK($B$109:$B220))</f>
        <v/>
      </c>
      <c r="B220" s="74" t="n"/>
      <c r="C220" s="131">
        <f>IF($B220="","",IFERROR(INDEX($C$6:$C$105,MATCH($B220,$A$6:$A$105,0)),"※ 미등록 관리번호"))</f>
        <v/>
      </c>
      <c r="D220" s="74" t="n"/>
      <c r="E220" s="80" t="n"/>
      <c r="F220" s="80" t="n"/>
      <c r="G220" s="80" t="n"/>
      <c r="H220" s="74" t="n"/>
      <c r="I220" s="36" t="n"/>
      <c r="J220" s="130">
        <f>IF($E220="","",IF($G220&lt;&gt;"","반납완료",IF(AND($F220&lt;&gt;"",$F220&lt;TODAY()),"연체","사용중")))</f>
        <v/>
      </c>
      <c r="K220" s="36" t="n"/>
    </row>
    <row r="221">
      <c r="A221" s="118">
        <f>IF($B221="","",113-COUNTBLANK($B$109:$B221))</f>
        <v/>
      </c>
      <c r="B221" s="74" t="n"/>
      <c r="C221" s="131">
        <f>IF($B221="","",IFERROR(INDEX($C$6:$C$105,MATCH($B221,$A$6:$A$105,0)),"※ 미등록 관리번호"))</f>
        <v/>
      </c>
      <c r="D221" s="74" t="n"/>
      <c r="E221" s="80" t="n"/>
      <c r="F221" s="80" t="n"/>
      <c r="G221" s="80" t="n"/>
      <c r="H221" s="74" t="n"/>
      <c r="I221" s="36" t="n"/>
      <c r="J221" s="130">
        <f>IF($E221="","",IF($G221&lt;&gt;"","반납완료",IF(AND($F221&lt;&gt;"",$F221&lt;TODAY()),"연체","사용중")))</f>
        <v/>
      </c>
      <c r="K221" s="36" t="n"/>
    </row>
    <row r="222">
      <c r="A222" s="118">
        <f>IF($B222="","",114-COUNTBLANK($B$109:$B222))</f>
        <v/>
      </c>
      <c r="B222" s="74" t="n"/>
      <c r="C222" s="131">
        <f>IF($B222="","",IFERROR(INDEX($C$6:$C$105,MATCH($B222,$A$6:$A$105,0)),"※ 미등록 관리번호"))</f>
        <v/>
      </c>
      <c r="D222" s="74" t="n"/>
      <c r="E222" s="80" t="n"/>
      <c r="F222" s="80" t="n"/>
      <c r="G222" s="80" t="n"/>
      <c r="H222" s="74" t="n"/>
      <c r="I222" s="36" t="n"/>
      <c r="J222" s="130">
        <f>IF($E222="","",IF($G222&lt;&gt;"","반납완료",IF(AND($F222&lt;&gt;"",$F222&lt;TODAY()),"연체","사용중")))</f>
        <v/>
      </c>
      <c r="K222" s="36" t="n"/>
    </row>
    <row r="223">
      <c r="A223" s="118">
        <f>IF($B223="","",115-COUNTBLANK($B$109:$B223))</f>
        <v/>
      </c>
      <c r="B223" s="74" t="n"/>
      <c r="C223" s="131">
        <f>IF($B223="","",IFERROR(INDEX($C$6:$C$105,MATCH($B223,$A$6:$A$105,0)),"※ 미등록 관리번호"))</f>
        <v/>
      </c>
      <c r="D223" s="74" t="n"/>
      <c r="E223" s="80" t="n"/>
      <c r="F223" s="80" t="n"/>
      <c r="G223" s="80" t="n"/>
      <c r="H223" s="74" t="n"/>
      <c r="I223" s="36" t="n"/>
      <c r="J223" s="130">
        <f>IF($E223="","",IF($G223&lt;&gt;"","반납완료",IF(AND($F223&lt;&gt;"",$F223&lt;TODAY()),"연체","사용중")))</f>
        <v/>
      </c>
      <c r="K223" s="36" t="n"/>
    </row>
    <row r="224">
      <c r="A224" s="118">
        <f>IF($B224="","",116-COUNTBLANK($B$109:$B224))</f>
        <v/>
      </c>
      <c r="B224" s="74" t="n"/>
      <c r="C224" s="131">
        <f>IF($B224="","",IFERROR(INDEX($C$6:$C$105,MATCH($B224,$A$6:$A$105,0)),"※ 미등록 관리번호"))</f>
        <v/>
      </c>
      <c r="D224" s="74" t="n"/>
      <c r="E224" s="80" t="n"/>
      <c r="F224" s="80" t="n"/>
      <c r="G224" s="80" t="n"/>
      <c r="H224" s="74" t="n"/>
      <c r="I224" s="36" t="n"/>
      <c r="J224" s="130">
        <f>IF($E224="","",IF($G224&lt;&gt;"","반납완료",IF(AND($F224&lt;&gt;"",$F224&lt;TODAY()),"연체","사용중")))</f>
        <v/>
      </c>
      <c r="K224" s="36" t="n"/>
    </row>
    <row r="225">
      <c r="A225" s="118">
        <f>IF($B225="","",117-COUNTBLANK($B$109:$B225))</f>
        <v/>
      </c>
      <c r="B225" s="74" t="n"/>
      <c r="C225" s="131">
        <f>IF($B225="","",IFERROR(INDEX($C$6:$C$105,MATCH($B225,$A$6:$A$105,0)),"※ 미등록 관리번호"))</f>
        <v/>
      </c>
      <c r="D225" s="74" t="n"/>
      <c r="E225" s="80" t="n"/>
      <c r="F225" s="80" t="n"/>
      <c r="G225" s="80" t="n"/>
      <c r="H225" s="74" t="n"/>
      <c r="I225" s="36" t="n"/>
      <c r="J225" s="130">
        <f>IF($E225="","",IF($G225&lt;&gt;"","반납완료",IF(AND($F225&lt;&gt;"",$F225&lt;TODAY()),"연체","사용중")))</f>
        <v/>
      </c>
      <c r="K225" s="36" t="n"/>
    </row>
    <row r="226">
      <c r="A226" s="118">
        <f>IF($B226="","",118-COUNTBLANK($B$109:$B226))</f>
        <v/>
      </c>
      <c r="B226" s="74" t="n"/>
      <c r="C226" s="131">
        <f>IF($B226="","",IFERROR(INDEX($C$6:$C$105,MATCH($B226,$A$6:$A$105,0)),"※ 미등록 관리번호"))</f>
        <v/>
      </c>
      <c r="D226" s="74" t="n"/>
      <c r="E226" s="80" t="n"/>
      <c r="F226" s="80" t="n"/>
      <c r="G226" s="80" t="n"/>
      <c r="H226" s="74" t="n"/>
      <c r="I226" s="36" t="n"/>
      <c r="J226" s="130">
        <f>IF($E226="","",IF($G226&lt;&gt;"","반납완료",IF(AND($F226&lt;&gt;"",$F226&lt;TODAY()),"연체","사용중")))</f>
        <v/>
      </c>
      <c r="K226" s="36" t="n"/>
    </row>
    <row r="227">
      <c r="A227" s="118">
        <f>IF($B227="","",119-COUNTBLANK($B$109:$B227))</f>
        <v/>
      </c>
      <c r="B227" s="74" t="n"/>
      <c r="C227" s="131">
        <f>IF($B227="","",IFERROR(INDEX($C$6:$C$105,MATCH($B227,$A$6:$A$105,0)),"※ 미등록 관리번호"))</f>
        <v/>
      </c>
      <c r="D227" s="74" t="n"/>
      <c r="E227" s="80" t="n"/>
      <c r="F227" s="80" t="n"/>
      <c r="G227" s="80" t="n"/>
      <c r="H227" s="74" t="n"/>
      <c r="I227" s="36" t="n"/>
      <c r="J227" s="130">
        <f>IF($E227="","",IF($G227&lt;&gt;"","반납완료",IF(AND($F227&lt;&gt;"",$F227&lt;TODAY()),"연체","사용중")))</f>
        <v/>
      </c>
      <c r="K227" s="36" t="n"/>
    </row>
    <row r="228">
      <c r="A228" s="118">
        <f>IF($B228="","",120-COUNTBLANK($B$109:$B228))</f>
        <v/>
      </c>
      <c r="B228" s="74" t="n"/>
      <c r="C228" s="131">
        <f>IF($B228="","",IFERROR(INDEX($C$6:$C$105,MATCH($B228,$A$6:$A$105,0)),"※ 미등록 관리번호"))</f>
        <v/>
      </c>
      <c r="D228" s="74" t="n"/>
      <c r="E228" s="80" t="n"/>
      <c r="F228" s="80" t="n"/>
      <c r="G228" s="80" t="n"/>
      <c r="H228" s="74" t="n"/>
      <c r="I228" s="36" t="n"/>
      <c r="J228" s="130">
        <f>IF($E228="","",IF($G228&lt;&gt;"","반납완료",IF(AND($F228&lt;&gt;"",$F228&lt;TODAY()),"연체","사용중")))</f>
        <v/>
      </c>
      <c r="K228" s="36" t="n"/>
    </row>
    <row r="229">
      <c r="A229" s="118">
        <f>IF($B229="","",121-COUNTBLANK($B$109:$B229))</f>
        <v/>
      </c>
      <c r="B229" s="74" t="n"/>
      <c r="C229" s="131">
        <f>IF($B229="","",IFERROR(INDEX($C$6:$C$105,MATCH($B229,$A$6:$A$105,0)),"※ 미등록 관리번호"))</f>
        <v/>
      </c>
      <c r="D229" s="74" t="n"/>
      <c r="E229" s="80" t="n"/>
      <c r="F229" s="80" t="n"/>
      <c r="G229" s="80" t="n"/>
      <c r="H229" s="74" t="n"/>
      <c r="I229" s="36" t="n"/>
      <c r="J229" s="130">
        <f>IF($E229="","",IF($G229&lt;&gt;"","반납완료",IF(AND($F229&lt;&gt;"",$F229&lt;TODAY()),"연체","사용중")))</f>
        <v/>
      </c>
      <c r="K229" s="36" t="n"/>
    </row>
    <row r="230">
      <c r="A230" s="118">
        <f>IF($B230="","",122-COUNTBLANK($B$109:$B230))</f>
        <v/>
      </c>
      <c r="B230" s="74" t="n"/>
      <c r="C230" s="131">
        <f>IF($B230="","",IFERROR(INDEX($C$6:$C$105,MATCH($B230,$A$6:$A$105,0)),"※ 미등록 관리번호"))</f>
        <v/>
      </c>
      <c r="D230" s="74" t="n"/>
      <c r="E230" s="80" t="n"/>
      <c r="F230" s="80" t="n"/>
      <c r="G230" s="80" t="n"/>
      <c r="H230" s="74" t="n"/>
      <c r="I230" s="36" t="n"/>
      <c r="J230" s="130">
        <f>IF($E230="","",IF($G230&lt;&gt;"","반납완료",IF(AND($F230&lt;&gt;"",$F230&lt;TODAY()),"연체","사용중")))</f>
        <v/>
      </c>
      <c r="K230" s="36" t="n"/>
    </row>
    <row r="231">
      <c r="A231" s="118">
        <f>IF($B231="","",123-COUNTBLANK($B$109:$B231))</f>
        <v/>
      </c>
      <c r="B231" s="74" t="n"/>
      <c r="C231" s="131">
        <f>IF($B231="","",IFERROR(INDEX($C$6:$C$105,MATCH($B231,$A$6:$A$105,0)),"※ 미등록 관리번호"))</f>
        <v/>
      </c>
      <c r="D231" s="74" t="n"/>
      <c r="E231" s="80" t="n"/>
      <c r="F231" s="80" t="n"/>
      <c r="G231" s="80" t="n"/>
      <c r="H231" s="74" t="n"/>
      <c r="I231" s="36" t="n"/>
      <c r="J231" s="130">
        <f>IF($E231="","",IF($G231&lt;&gt;"","반납완료",IF(AND($F231&lt;&gt;"",$F231&lt;TODAY()),"연체","사용중")))</f>
        <v/>
      </c>
      <c r="K231" s="36" t="n"/>
    </row>
    <row r="232">
      <c r="A232" s="118">
        <f>IF($B232="","",124-COUNTBLANK($B$109:$B232))</f>
        <v/>
      </c>
      <c r="B232" s="74" t="n"/>
      <c r="C232" s="131">
        <f>IF($B232="","",IFERROR(INDEX($C$6:$C$105,MATCH($B232,$A$6:$A$105,0)),"※ 미등록 관리번호"))</f>
        <v/>
      </c>
      <c r="D232" s="74" t="n"/>
      <c r="E232" s="80" t="n"/>
      <c r="F232" s="80" t="n"/>
      <c r="G232" s="80" t="n"/>
      <c r="H232" s="74" t="n"/>
      <c r="I232" s="36" t="n"/>
      <c r="J232" s="130">
        <f>IF($E232="","",IF($G232&lt;&gt;"","반납완료",IF(AND($F232&lt;&gt;"",$F232&lt;TODAY()),"연체","사용중")))</f>
        <v/>
      </c>
      <c r="K232" s="36" t="n"/>
    </row>
    <row r="233">
      <c r="A233" s="118">
        <f>IF($B233="","",125-COUNTBLANK($B$109:$B233))</f>
        <v/>
      </c>
      <c r="B233" s="74" t="n"/>
      <c r="C233" s="131">
        <f>IF($B233="","",IFERROR(INDEX($C$6:$C$105,MATCH($B233,$A$6:$A$105,0)),"※ 미등록 관리번호"))</f>
        <v/>
      </c>
      <c r="D233" s="74" t="n"/>
      <c r="E233" s="80" t="n"/>
      <c r="F233" s="80" t="n"/>
      <c r="G233" s="80" t="n"/>
      <c r="H233" s="74" t="n"/>
      <c r="I233" s="36" t="n"/>
      <c r="J233" s="130">
        <f>IF($E233="","",IF($G233&lt;&gt;"","반납완료",IF(AND($F233&lt;&gt;"",$F233&lt;TODAY()),"연체","사용중")))</f>
        <v/>
      </c>
      <c r="K233" s="36" t="n"/>
    </row>
    <row r="234">
      <c r="A234" s="118">
        <f>IF($B234="","",126-COUNTBLANK($B$109:$B234))</f>
        <v/>
      </c>
      <c r="B234" s="74" t="n"/>
      <c r="C234" s="131">
        <f>IF($B234="","",IFERROR(INDEX($C$6:$C$105,MATCH($B234,$A$6:$A$105,0)),"※ 미등록 관리번호"))</f>
        <v/>
      </c>
      <c r="D234" s="74" t="n"/>
      <c r="E234" s="80" t="n"/>
      <c r="F234" s="80" t="n"/>
      <c r="G234" s="80" t="n"/>
      <c r="H234" s="74" t="n"/>
      <c r="I234" s="36" t="n"/>
      <c r="J234" s="130">
        <f>IF($E234="","",IF($G234&lt;&gt;"","반납완료",IF(AND($F234&lt;&gt;"",$F234&lt;TODAY()),"연체","사용중")))</f>
        <v/>
      </c>
      <c r="K234" s="36" t="n"/>
    </row>
    <row r="235">
      <c r="A235" s="118">
        <f>IF($B235="","",127-COUNTBLANK($B$109:$B235))</f>
        <v/>
      </c>
      <c r="B235" s="74" t="n"/>
      <c r="C235" s="131">
        <f>IF($B235="","",IFERROR(INDEX($C$6:$C$105,MATCH($B235,$A$6:$A$105,0)),"※ 미등록 관리번호"))</f>
        <v/>
      </c>
      <c r="D235" s="74" t="n"/>
      <c r="E235" s="80" t="n"/>
      <c r="F235" s="80" t="n"/>
      <c r="G235" s="80" t="n"/>
      <c r="H235" s="74" t="n"/>
      <c r="I235" s="36" t="n"/>
      <c r="J235" s="130">
        <f>IF($E235="","",IF($G235&lt;&gt;"","반납완료",IF(AND($F235&lt;&gt;"",$F235&lt;TODAY()),"연체","사용중")))</f>
        <v/>
      </c>
      <c r="K235" s="36" t="n"/>
    </row>
    <row r="236">
      <c r="A236" s="118">
        <f>IF($B236="","",128-COUNTBLANK($B$109:$B236))</f>
        <v/>
      </c>
      <c r="B236" s="74" t="n"/>
      <c r="C236" s="131">
        <f>IF($B236="","",IFERROR(INDEX($C$6:$C$105,MATCH($B236,$A$6:$A$105,0)),"※ 미등록 관리번호"))</f>
        <v/>
      </c>
      <c r="D236" s="74" t="n"/>
      <c r="E236" s="80" t="n"/>
      <c r="F236" s="80" t="n"/>
      <c r="G236" s="80" t="n"/>
      <c r="H236" s="74" t="n"/>
      <c r="I236" s="36" t="n"/>
      <c r="J236" s="130">
        <f>IF($E236="","",IF($G236&lt;&gt;"","반납완료",IF(AND($F236&lt;&gt;"",$F236&lt;TODAY()),"연체","사용중")))</f>
        <v/>
      </c>
      <c r="K236" s="36" t="n"/>
    </row>
    <row r="237">
      <c r="A237" s="118">
        <f>IF($B237="","",129-COUNTBLANK($B$109:$B237))</f>
        <v/>
      </c>
      <c r="B237" s="74" t="n"/>
      <c r="C237" s="131">
        <f>IF($B237="","",IFERROR(INDEX($C$6:$C$105,MATCH($B237,$A$6:$A$105,0)),"※ 미등록 관리번호"))</f>
        <v/>
      </c>
      <c r="D237" s="74" t="n"/>
      <c r="E237" s="80" t="n"/>
      <c r="F237" s="80" t="n"/>
      <c r="G237" s="80" t="n"/>
      <c r="H237" s="74" t="n"/>
      <c r="I237" s="36" t="n"/>
      <c r="J237" s="130">
        <f>IF($E237="","",IF($G237&lt;&gt;"","반납완료",IF(AND($F237&lt;&gt;"",$F237&lt;TODAY()),"연체","사용중")))</f>
        <v/>
      </c>
      <c r="K237" s="36" t="n"/>
    </row>
    <row r="238">
      <c r="A238" s="118">
        <f>IF($B238="","",130-COUNTBLANK($B$109:$B238))</f>
        <v/>
      </c>
      <c r="B238" s="74" t="n"/>
      <c r="C238" s="131">
        <f>IF($B238="","",IFERROR(INDEX($C$6:$C$105,MATCH($B238,$A$6:$A$105,0)),"※ 미등록 관리번호"))</f>
        <v/>
      </c>
      <c r="D238" s="74" t="n"/>
      <c r="E238" s="80" t="n"/>
      <c r="F238" s="80" t="n"/>
      <c r="G238" s="80" t="n"/>
      <c r="H238" s="74" t="n"/>
      <c r="I238" s="36" t="n"/>
      <c r="J238" s="130">
        <f>IF($E238="","",IF($G238&lt;&gt;"","반납완료",IF(AND($F238&lt;&gt;"",$F238&lt;TODAY()),"연체","사용중")))</f>
        <v/>
      </c>
      <c r="K238" s="36" t="n"/>
    </row>
    <row r="239">
      <c r="A239" s="118">
        <f>IF($B239="","",131-COUNTBLANK($B$109:$B239))</f>
        <v/>
      </c>
      <c r="B239" s="74" t="n"/>
      <c r="C239" s="131">
        <f>IF($B239="","",IFERROR(INDEX($C$6:$C$105,MATCH($B239,$A$6:$A$105,0)),"※ 미등록 관리번호"))</f>
        <v/>
      </c>
      <c r="D239" s="74" t="n"/>
      <c r="E239" s="80" t="n"/>
      <c r="F239" s="80" t="n"/>
      <c r="G239" s="80" t="n"/>
      <c r="H239" s="74" t="n"/>
      <c r="I239" s="36" t="n"/>
      <c r="J239" s="130">
        <f>IF($E239="","",IF($G239&lt;&gt;"","반납완료",IF(AND($F239&lt;&gt;"",$F239&lt;TODAY()),"연체","사용중")))</f>
        <v/>
      </c>
      <c r="K239" s="36" t="n"/>
    </row>
    <row r="240">
      <c r="A240" s="118">
        <f>IF($B240="","",132-COUNTBLANK($B$109:$B240))</f>
        <v/>
      </c>
      <c r="B240" s="74" t="n"/>
      <c r="C240" s="131">
        <f>IF($B240="","",IFERROR(INDEX($C$6:$C$105,MATCH($B240,$A$6:$A$105,0)),"※ 미등록 관리번호"))</f>
        <v/>
      </c>
      <c r="D240" s="74" t="n"/>
      <c r="E240" s="80" t="n"/>
      <c r="F240" s="80" t="n"/>
      <c r="G240" s="80" t="n"/>
      <c r="H240" s="74" t="n"/>
      <c r="I240" s="36" t="n"/>
      <c r="J240" s="130">
        <f>IF($E240="","",IF($G240&lt;&gt;"","반납완료",IF(AND($F240&lt;&gt;"",$F240&lt;TODAY()),"연체","사용중")))</f>
        <v/>
      </c>
      <c r="K240" s="36" t="n"/>
    </row>
    <row r="241">
      <c r="A241" s="118">
        <f>IF($B241="","",133-COUNTBLANK($B$109:$B241))</f>
        <v/>
      </c>
      <c r="B241" s="74" t="n"/>
      <c r="C241" s="131">
        <f>IF($B241="","",IFERROR(INDEX($C$6:$C$105,MATCH($B241,$A$6:$A$105,0)),"※ 미등록 관리번호"))</f>
        <v/>
      </c>
      <c r="D241" s="74" t="n"/>
      <c r="E241" s="80" t="n"/>
      <c r="F241" s="80" t="n"/>
      <c r="G241" s="80" t="n"/>
      <c r="H241" s="74" t="n"/>
      <c r="I241" s="36" t="n"/>
      <c r="J241" s="130">
        <f>IF($E241="","",IF($G241&lt;&gt;"","반납완료",IF(AND($F241&lt;&gt;"",$F241&lt;TODAY()),"연체","사용중")))</f>
        <v/>
      </c>
      <c r="K241" s="36" t="n"/>
    </row>
    <row r="242">
      <c r="A242" s="118">
        <f>IF($B242="","",134-COUNTBLANK($B$109:$B242))</f>
        <v/>
      </c>
      <c r="B242" s="74" t="n"/>
      <c r="C242" s="131">
        <f>IF($B242="","",IFERROR(INDEX($C$6:$C$105,MATCH($B242,$A$6:$A$105,0)),"※ 미등록 관리번호"))</f>
        <v/>
      </c>
      <c r="D242" s="74" t="n"/>
      <c r="E242" s="80" t="n"/>
      <c r="F242" s="80" t="n"/>
      <c r="G242" s="80" t="n"/>
      <c r="H242" s="74" t="n"/>
      <c r="I242" s="36" t="n"/>
      <c r="J242" s="130">
        <f>IF($E242="","",IF($G242&lt;&gt;"","반납완료",IF(AND($F242&lt;&gt;"",$F242&lt;TODAY()),"연체","사용중")))</f>
        <v/>
      </c>
      <c r="K242" s="36" t="n"/>
    </row>
    <row r="243">
      <c r="A243" s="118">
        <f>IF($B243="","",135-COUNTBLANK($B$109:$B243))</f>
        <v/>
      </c>
      <c r="B243" s="74" t="n"/>
      <c r="C243" s="131">
        <f>IF($B243="","",IFERROR(INDEX($C$6:$C$105,MATCH($B243,$A$6:$A$105,0)),"※ 미등록 관리번호"))</f>
        <v/>
      </c>
      <c r="D243" s="74" t="n"/>
      <c r="E243" s="80" t="n"/>
      <c r="F243" s="80" t="n"/>
      <c r="G243" s="80" t="n"/>
      <c r="H243" s="74" t="n"/>
      <c r="I243" s="36" t="n"/>
      <c r="J243" s="130">
        <f>IF($E243="","",IF($G243&lt;&gt;"","반납완료",IF(AND($F243&lt;&gt;"",$F243&lt;TODAY()),"연체","사용중")))</f>
        <v/>
      </c>
      <c r="K243" s="36" t="n"/>
    </row>
    <row r="244">
      <c r="A244" s="118">
        <f>IF($B244="","",136-COUNTBLANK($B$109:$B244))</f>
        <v/>
      </c>
      <c r="B244" s="74" t="n"/>
      <c r="C244" s="131">
        <f>IF($B244="","",IFERROR(INDEX($C$6:$C$105,MATCH($B244,$A$6:$A$105,0)),"※ 미등록 관리번호"))</f>
        <v/>
      </c>
      <c r="D244" s="74" t="n"/>
      <c r="E244" s="80" t="n"/>
      <c r="F244" s="80" t="n"/>
      <c r="G244" s="80" t="n"/>
      <c r="H244" s="74" t="n"/>
      <c r="I244" s="36" t="n"/>
      <c r="J244" s="130">
        <f>IF($E244="","",IF($G244&lt;&gt;"","반납완료",IF(AND($F244&lt;&gt;"",$F244&lt;TODAY()),"연체","사용중")))</f>
        <v/>
      </c>
      <c r="K244" s="36" t="n"/>
    </row>
    <row r="245">
      <c r="A245" s="118">
        <f>IF($B245="","",137-COUNTBLANK($B$109:$B245))</f>
        <v/>
      </c>
      <c r="B245" s="74" t="n"/>
      <c r="C245" s="131">
        <f>IF($B245="","",IFERROR(INDEX($C$6:$C$105,MATCH($B245,$A$6:$A$105,0)),"※ 미등록 관리번호"))</f>
        <v/>
      </c>
      <c r="D245" s="74" t="n"/>
      <c r="E245" s="80" t="n"/>
      <c r="F245" s="80" t="n"/>
      <c r="G245" s="80" t="n"/>
      <c r="H245" s="74" t="n"/>
      <c r="I245" s="36" t="n"/>
      <c r="J245" s="130">
        <f>IF($E245="","",IF($G245&lt;&gt;"","반납완료",IF(AND($F245&lt;&gt;"",$F245&lt;TODAY()),"연체","사용중")))</f>
        <v/>
      </c>
      <c r="K245" s="36" t="n"/>
    </row>
    <row r="246">
      <c r="A246" s="118">
        <f>IF($B246="","",138-COUNTBLANK($B$109:$B246))</f>
        <v/>
      </c>
      <c r="B246" s="74" t="n"/>
      <c r="C246" s="131">
        <f>IF($B246="","",IFERROR(INDEX($C$6:$C$105,MATCH($B246,$A$6:$A$105,0)),"※ 미등록 관리번호"))</f>
        <v/>
      </c>
      <c r="D246" s="74" t="n"/>
      <c r="E246" s="80" t="n"/>
      <c r="F246" s="80" t="n"/>
      <c r="G246" s="80" t="n"/>
      <c r="H246" s="74" t="n"/>
      <c r="I246" s="36" t="n"/>
      <c r="J246" s="130">
        <f>IF($E246="","",IF($G246&lt;&gt;"","반납완료",IF(AND($F246&lt;&gt;"",$F246&lt;TODAY()),"연체","사용중")))</f>
        <v/>
      </c>
      <c r="K246" s="36" t="n"/>
    </row>
    <row r="247">
      <c r="A247" s="118">
        <f>IF($B247="","",139-COUNTBLANK($B$109:$B247))</f>
        <v/>
      </c>
      <c r="B247" s="74" t="n"/>
      <c r="C247" s="131">
        <f>IF($B247="","",IFERROR(INDEX($C$6:$C$105,MATCH($B247,$A$6:$A$105,0)),"※ 미등록 관리번호"))</f>
        <v/>
      </c>
      <c r="D247" s="74" t="n"/>
      <c r="E247" s="80" t="n"/>
      <c r="F247" s="80" t="n"/>
      <c r="G247" s="80" t="n"/>
      <c r="H247" s="74" t="n"/>
      <c r="I247" s="36" t="n"/>
      <c r="J247" s="130">
        <f>IF($E247="","",IF($G247&lt;&gt;"","반납완료",IF(AND($F247&lt;&gt;"",$F247&lt;TODAY()),"연체","사용중")))</f>
        <v/>
      </c>
      <c r="K247" s="36" t="n"/>
    </row>
    <row r="248">
      <c r="A248" s="118">
        <f>IF($B248="","",140-COUNTBLANK($B$109:$B248))</f>
        <v/>
      </c>
      <c r="B248" s="74" t="n"/>
      <c r="C248" s="131">
        <f>IF($B248="","",IFERROR(INDEX($C$6:$C$105,MATCH($B248,$A$6:$A$105,0)),"※ 미등록 관리번호"))</f>
        <v/>
      </c>
      <c r="D248" s="74" t="n"/>
      <c r="E248" s="80" t="n"/>
      <c r="F248" s="80" t="n"/>
      <c r="G248" s="80" t="n"/>
      <c r="H248" s="74" t="n"/>
      <c r="I248" s="36" t="n"/>
      <c r="J248" s="130">
        <f>IF($E248="","",IF($G248&lt;&gt;"","반납완료",IF(AND($F248&lt;&gt;"",$F248&lt;TODAY()),"연체","사용중")))</f>
        <v/>
      </c>
      <c r="K248" s="36" t="n"/>
    </row>
    <row r="249">
      <c r="A249" s="118">
        <f>IF($B249="","",141-COUNTBLANK($B$109:$B249))</f>
        <v/>
      </c>
      <c r="B249" s="74" t="n"/>
      <c r="C249" s="131">
        <f>IF($B249="","",IFERROR(INDEX($C$6:$C$105,MATCH($B249,$A$6:$A$105,0)),"※ 미등록 관리번호"))</f>
        <v/>
      </c>
      <c r="D249" s="74" t="n"/>
      <c r="E249" s="80" t="n"/>
      <c r="F249" s="80" t="n"/>
      <c r="G249" s="80" t="n"/>
      <c r="H249" s="74" t="n"/>
      <c r="I249" s="36" t="n"/>
      <c r="J249" s="130">
        <f>IF($E249="","",IF($G249&lt;&gt;"","반납완료",IF(AND($F249&lt;&gt;"",$F249&lt;TODAY()),"연체","사용중")))</f>
        <v/>
      </c>
      <c r="K249" s="36" t="n"/>
    </row>
    <row r="250">
      <c r="A250" s="118">
        <f>IF($B250="","",142-COUNTBLANK($B$109:$B250))</f>
        <v/>
      </c>
      <c r="B250" s="74" t="n"/>
      <c r="C250" s="131">
        <f>IF($B250="","",IFERROR(INDEX($C$6:$C$105,MATCH($B250,$A$6:$A$105,0)),"※ 미등록 관리번호"))</f>
        <v/>
      </c>
      <c r="D250" s="74" t="n"/>
      <c r="E250" s="80" t="n"/>
      <c r="F250" s="80" t="n"/>
      <c r="G250" s="80" t="n"/>
      <c r="H250" s="74" t="n"/>
      <c r="I250" s="36" t="n"/>
      <c r="J250" s="130">
        <f>IF($E250="","",IF($G250&lt;&gt;"","반납완료",IF(AND($F250&lt;&gt;"",$F250&lt;TODAY()),"연체","사용중")))</f>
        <v/>
      </c>
      <c r="K250" s="36" t="n"/>
    </row>
    <row r="251">
      <c r="A251" s="118">
        <f>IF($B251="","",143-COUNTBLANK($B$109:$B251))</f>
        <v/>
      </c>
      <c r="B251" s="74" t="n"/>
      <c r="C251" s="131">
        <f>IF($B251="","",IFERROR(INDEX($C$6:$C$105,MATCH($B251,$A$6:$A$105,0)),"※ 미등록 관리번호"))</f>
        <v/>
      </c>
      <c r="D251" s="74" t="n"/>
      <c r="E251" s="80" t="n"/>
      <c r="F251" s="80" t="n"/>
      <c r="G251" s="80" t="n"/>
      <c r="H251" s="74" t="n"/>
      <c r="I251" s="36" t="n"/>
      <c r="J251" s="130">
        <f>IF($E251="","",IF($G251&lt;&gt;"","반납완료",IF(AND($F251&lt;&gt;"",$F251&lt;TODAY()),"연체","사용중")))</f>
        <v/>
      </c>
      <c r="K251" s="36" t="n"/>
    </row>
    <row r="252">
      <c r="A252" s="118">
        <f>IF($B252="","",144-COUNTBLANK($B$109:$B252))</f>
        <v/>
      </c>
      <c r="B252" s="74" t="n"/>
      <c r="C252" s="131">
        <f>IF($B252="","",IFERROR(INDEX($C$6:$C$105,MATCH($B252,$A$6:$A$105,0)),"※ 미등록 관리번호"))</f>
        <v/>
      </c>
      <c r="D252" s="74" t="n"/>
      <c r="E252" s="80" t="n"/>
      <c r="F252" s="80" t="n"/>
      <c r="G252" s="80" t="n"/>
      <c r="H252" s="74" t="n"/>
      <c r="I252" s="36" t="n"/>
      <c r="J252" s="130">
        <f>IF($E252="","",IF($G252&lt;&gt;"","반납완료",IF(AND($F252&lt;&gt;"",$F252&lt;TODAY()),"연체","사용중")))</f>
        <v/>
      </c>
      <c r="K252" s="36" t="n"/>
    </row>
    <row r="253">
      <c r="A253" s="118">
        <f>IF($B253="","",145-COUNTBLANK($B$109:$B253))</f>
        <v/>
      </c>
      <c r="B253" s="74" t="n"/>
      <c r="C253" s="131">
        <f>IF($B253="","",IFERROR(INDEX($C$6:$C$105,MATCH($B253,$A$6:$A$105,0)),"※ 미등록 관리번호"))</f>
        <v/>
      </c>
      <c r="D253" s="74" t="n"/>
      <c r="E253" s="80" t="n"/>
      <c r="F253" s="80" t="n"/>
      <c r="G253" s="80" t="n"/>
      <c r="H253" s="74" t="n"/>
      <c r="I253" s="36" t="n"/>
      <c r="J253" s="130">
        <f>IF($E253="","",IF($G253&lt;&gt;"","반납완료",IF(AND($F253&lt;&gt;"",$F253&lt;TODAY()),"연체","사용중")))</f>
        <v/>
      </c>
      <c r="K253" s="36" t="n"/>
    </row>
    <row r="254">
      <c r="A254" s="118">
        <f>IF($B254="","",146-COUNTBLANK($B$109:$B254))</f>
        <v/>
      </c>
      <c r="B254" s="74" t="n"/>
      <c r="C254" s="131">
        <f>IF($B254="","",IFERROR(INDEX($C$6:$C$105,MATCH($B254,$A$6:$A$105,0)),"※ 미등록 관리번호"))</f>
        <v/>
      </c>
      <c r="D254" s="74" t="n"/>
      <c r="E254" s="80" t="n"/>
      <c r="F254" s="80" t="n"/>
      <c r="G254" s="80" t="n"/>
      <c r="H254" s="74" t="n"/>
      <c r="I254" s="36" t="n"/>
      <c r="J254" s="130">
        <f>IF($E254="","",IF($G254&lt;&gt;"","반납완료",IF(AND($F254&lt;&gt;"",$F254&lt;TODAY()),"연체","사용중")))</f>
        <v/>
      </c>
      <c r="K254" s="36" t="n"/>
    </row>
    <row r="255">
      <c r="A255" s="118">
        <f>IF($B255="","",147-COUNTBLANK($B$109:$B255))</f>
        <v/>
      </c>
      <c r="B255" s="74" t="n"/>
      <c r="C255" s="131">
        <f>IF($B255="","",IFERROR(INDEX($C$6:$C$105,MATCH($B255,$A$6:$A$105,0)),"※ 미등록 관리번호"))</f>
        <v/>
      </c>
      <c r="D255" s="74" t="n"/>
      <c r="E255" s="80" t="n"/>
      <c r="F255" s="80" t="n"/>
      <c r="G255" s="80" t="n"/>
      <c r="H255" s="74" t="n"/>
      <c r="I255" s="36" t="n"/>
      <c r="J255" s="130">
        <f>IF($E255="","",IF($G255&lt;&gt;"","반납완료",IF(AND($F255&lt;&gt;"",$F255&lt;TODAY()),"연체","사용중")))</f>
        <v/>
      </c>
      <c r="K255" s="36" t="n"/>
    </row>
    <row r="256">
      <c r="A256" s="118">
        <f>IF($B256="","",148-COUNTBLANK($B$109:$B256))</f>
        <v/>
      </c>
      <c r="B256" s="74" t="n"/>
      <c r="C256" s="131">
        <f>IF($B256="","",IFERROR(INDEX($C$6:$C$105,MATCH($B256,$A$6:$A$105,0)),"※ 미등록 관리번호"))</f>
        <v/>
      </c>
      <c r="D256" s="74" t="n"/>
      <c r="E256" s="80" t="n"/>
      <c r="F256" s="80" t="n"/>
      <c r="G256" s="80" t="n"/>
      <c r="H256" s="74" t="n"/>
      <c r="I256" s="36" t="n"/>
      <c r="J256" s="130">
        <f>IF($E256="","",IF($G256&lt;&gt;"","반납완료",IF(AND($F256&lt;&gt;"",$F256&lt;TODAY()),"연체","사용중")))</f>
        <v/>
      </c>
      <c r="K256" s="36" t="n"/>
    </row>
    <row r="257">
      <c r="A257" s="118">
        <f>IF($B257="","",149-COUNTBLANK($B$109:$B257))</f>
        <v/>
      </c>
      <c r="B257" s="74" t="n"/>
      <c r="C257" s="131">
        <f>IF($B257="","",IFERROR(INDEX($C$6:$C$105,MATCH($B257,$A$6:$A$105,0)),"※ 미등록 관리번호"))</f>
        <v/>
      </c>
      <c r="D257" s="74" t="n"/>
      <c r="E257" s="80" t="n"/>
      <c r="F257" s="80" t="n"/>
      <c r="G257" s="80" t="n"/>
      <c r="H257" s="74" t="n"/>
      <c r="I257" s="36" t="n"/>
      <c r="J257" s="130">
        <f>IF($E257="","",IF($G257&lt;&gt;"","반납완료",IF(AND($F257&lt;&gt;"",$F257&lt;TODAY()),"연체","사용중")))</f>
        <v/>
      </c>
      <c r="K257" s="36" t="n"/>
    </row>
    <row r="258">
      <c r="A258" s="118">
        <f>IF($B258="","",150-COUNTBLANK($B$109:$B258))</f>
        <v/>
      </c>
      <c r="B258" s="74" t="n"/>
      <c r="C258" s="131">
        <f>IF($B258="","",IFERROR(INDEX($C$6:$C$105,MATCH($B258,$A$6:$A$105,0)),"※ 미등록 관리번호"))</f>
        <v/>
      </c>
      <c r="D258" s="74" t="n"/>
      <c r="E258" s="80" t="n"/>
      <c r="F258" s="80" t="n"/>
      <c r="G258" s="80" t="n"/>
      <c r="H258" s="74" t="n"/>
      <c r="I258" s="36" t="n"/>
      <c r="J258" s="130">
        <f>IF($E258="","",IF($G258&lt;&gt;"","반납완료",IF(AND($F258&lt;&gt;"",$F258&lt;TODAY()),"연체","사용중")))</f>
        <v/>
      </c>
      <c r="K258" s="36" t="n"/>
    </row>
    <row r="259">
      <c r="A259" s="118">
        <f>IF($B259="","",151-COUNTBLANK($B$109:$B259))</f>
        <v/>
      </c>
      <c r="B259" s="74" t="n"/>
      <c r="C259" s="131">
        <f>IF($B259="","",IFERROR(INDEX($C$6:$C$105,MATCH($B259,$A$6:$A$105,0)),"※ 미등록 관리번호"))</f>
        <v/>
      </c>
      <c r="D259" s="74" t="n"/>
      <c r="E259" s="80" t="n"/>
      <c r="F259" s="80" t="n"/>
      <c r="G259" s="80" t="n"/>
      <c r="H259" s="74" t="n"/>
      <c r="I259" s="36" t="n"/>
      <c r="J259" s="130">
        <f>IF($E259="","",IF($G259&lt;&gt;"","반납완료",IF(AND($F259&lt;&gt;"",$F259&lt;TODAY()),"연체","사용중")))</f>
        <v/>
      </c>
      <c r="K259" s="36" t="n"/>
    </row>
    <row r="260">
      <c r="A260" s="118">
        <f>IF($B260="","",152-COUNTBLANK($B$109:$B260))</f>
        <v/>
      </c>
      <c r="B260" s="74" t="n"/>
      <c r="C260" s="131">
        <f>IF($B260="","",IFERROR(INDEX($C$6:$C$105,MATCH($B260,$A$6:$A$105,0)),"※ 미등록 관리번호"))</f>
        <v/>
      </c>
      <c r="D260" s="74" t="n"/>
      <c r="E260" s="80" t="n"/>
      <c r="F260" s="80" t="n"/>
      <c r="G260" s="80" t="n"/>
      <c r="H260" s="74" t="n"/>
      <c r="I260" s="36" t="n"/>
      <c r="J260" s="130">
        <f>IF($E260="","",IF($G260&lt;&gt;"","반납완료",IF(AND($F260&lt;&gt;"",$F260&lt;TODAY()),"연체","사용중")))</f>
        <v/>
      </c>
      <c r="K260" s="36" t="n"/>
    </row>
    <row r="261">
      <c r="A261" s="118">
        <f>IF($B261="","",153-COUNTBLANK($B$109:$B261))</f>
        <v/>
      </c>
      <c r="B261" s="74" t="n"/>
      <c r="C261" s="131">
        <f>IF($B261="","",IFERROR(INDEX($C$6:$C$105,MATCH($B261,$A$6:$A$105,0)),"※ 미등록 관리번호"))</f>
        <v/>
      </c>
      <c r="D261" s="74" t="n"/>
      <c r="E261" s="80" t="n"/>
      <c r="F261" s="80" t="n"/>
      <c r="G261" s="80" t="n"/>
      <c r="H261" s="74" t="n"/>
      <c r="I261" s="36" t="n"/>
      <c r="J261" s="130">
        <f>IF($E261="","",IF($G261&lt;&gt;"","반납완료",IF(AND($F261&lt;&gt;"",$F261&lt;TODAY()),"연체","사용중")))</f>
        <v/>
      </c>
      <c r="K261" s="36" t="n"/>
    </row>
    <row r="262">
      <c r="A262" s="118">
        <f>IF($B262="","",154-COUNTBLANK($B$109:$B262))</f>
        <v/>
      </c>
      <c r="B262" s="74" t="n"/>
      <c r="C262" s="131">
        <f>IF($B262="","",IFERROR(INDEX($C$6:$C$105,MATCH($B262,$A$6:$A$105,0)),"※ 미등록 관리번호"))</f>
        <v/>
      </c>
      <c r="D262" s="74" t="n"/>
      <c r="E262" s="80" t="n"/>
      <c r="F262" s="80" t="n"/>
      <c r="G262" s="80" t="n"/>
      <c r="H262" s="74" t="n"/>
      <c r="I262" s="36" t="n"/>
      <c r="J262" s="130">
        <f>IF($E262="","",IF($G262&lt;&gt;"","반납완료",IF(AND($F262&lt;&gt;"",$F262&lt;TODAY()),"연체","사용중")))</f>
        <v/>
      </c>
      <c r="K262" s="36" t="n"/>
    </row>
    <row r="263">
      <c r="A263" s="118">
        <f>IF($B263="","",155-COUNTBLANK($B$109:$B263))</f>
        <v/>
      </c>
      <c r="B263" s="74" t="n"/>
      <c r="C263" s="131">
        <f>IF($B263="","",IFERROR(INDEX($C$6:$C$105,MATCH($B263,$A$6:$A$105,0)),"※ 미등록 관리번호"))</f>
        <v/>
      </c>
      <c r="D263" s="74" t="n"/>
      <c r="E263" s="80" t="n"/>
      <c r="F263" s="80" t="n"/>
      <c r="G263" s="80" t="n"/>
      <c r="H263" s="74" t="n"/>
      <c r="I263" s="36" t="n"/>
      <c r="J263" s="130">
        <f>IF($E263="","",IF($G263&lt;&gt;"","반납완료",IF(AND($F263&lt;&gt;"",$F263&lt;TODAY()),"연체","사용중")))</f>
        <v/>
      </c>
      <c r="K263" s="36" t="n"/>
    </row>
    <row r="264">
      <c r="A264" s="118">
        <f>IF($B264="","",156-COUNTBLANK($B$109:$B264))</f>
        <v/>
      </c>
      <c r="B264" s="74" t="n"/>
      <c r="C264" s="131">
        <f>IF($B264="","",IFERROR(INDEX($C$6:$C$105,MATCH($B264,$A$6:$A$105,0)),"※ 미등록 관리번호"))</f>
        <v/>
      </c>
      <c r="D264" s="74" t="n"/>
      <c r="E264" s="80" t="n"/>
      <c r="F264" s="80" t="n"/>
      <c r="G264" s="80" t="n"/>
      <c r="H264" s="74" t="n"/>
      <c r="I264" s="36" t="n"/>
      <c r="J264" s="130">
        <f>IF($E264="","",IF($G264&lt;&gt;"","반납완료",IF(AND($F264&lt;&gt;"",$F264&lt;TODAY()),"연체","사용중")))</f>
        <v/>
      </c>
      <c r="K264" s="36" t="n"/>
    </row>
    <row r="265">
      <c r="A265" s="118">
        <f>IF($B265="","",157-COUNTBLANK($B$109:$B265))</f>
        <v/>
      </c>
      <c r="B265" s="74" t="n"/>
      <c r="C265" s="131">
        <f>IF($B265="","",IFERROR(INDEX($C$6:$C$105,MATCH($B265,$A$6:$A$105,0)),"※ 미등록 관리번호"))</f>
        <v/>
      </c>
      <c r="D265" s="74" t="n"/>
      <c r="E265" s="80" t="n"/>
      <c r="F265" s="80" t="n"/>
      <c r="G265" s="80" t="n"/>
      <c r="H265" s="74" t="n"/>
      <c r="I265" s="36" t="n"/>
      <c r="J265" s="130">
        <f>IF($E265="","",IF($G265&lt;&gt;"","반납완료",IF(AND($F265&lt;&gt;"",$F265&lt;TODAY()),"연체","사용중")))</f>
        <v/>
      </c>
      <c r="K265" s="36" t="n"/>
    </row>
    <row r="266">
      <c r="A266" s="118">
        <f>IF($B266="","",158-COUNTBLANK($B$109:$B266))</f>
        <v/>
      </c>
      <c r="B266" s="74" t="n"/>
      <c r="C266" s="131">
        <f>IF($B266="","",IFERROR(INDEX($C$6:$C$105,MATCH($B266,$A$6:$A$105,0)),"※ 미등록 관리번호"))</f>
        <v/>
      </c>
      <c r="D266" s="74" t="n"/>
      <c r="E266" s="80" t="n"/>
      <c r="F266" s="80" t="n"/>
      <c r="G266" s="80" t="n"/>
      <c r="H266" s="74" t="n"/>
      <c r="I266" s="36" t="n"/>
      <c r="J266" s="130">
        <f>IF($E266="","",IF($G266&lt;&gt;"","반납완료",IF(AND($F266&lt;&gt;"",$F266&lt;TODAY()),"연체","사용중")))</f>
        <v/>
      </c>
      <c r="K266" s="36" t="n"/>
    </row>
    <row r="267">
      <c r="A267" s="118">
        <f>IF($B267="","",159-COUNTBLANK($B$109:$B267))</f>
        <v/>
      </c>
      <c r="B267" s="74" t="n"/>
      <c r="C267" s="131">
        <f>IF($B267="","",IFERROR(INDEX($C$6:$C$105,MATCH($B267,$A$6:$A$105,0)),"※ 미등록 관리번호"))</f>
        <v/>
      </c>
      <c r="D267" s="74" t="n"/>
      <c r="E267" s="80" t="n"/>
      <c r="F267" s="80" t="n"/>
      <c r="G267" s="80" t="n"/>
      <c r="H267" s="74" t="n"/>
      <c r="I267" s="36" t="n"/>
      <c r="J267" s="130">
        <f>IF($E267="","",IF($G267&lt;&gt;"","반납완료",IF(AND($F267&lt;&gt;"",$F267&lt;TODAY()),"연체","사용중")))</f>
        <v/>
      </c>
      <c r="K267" s="36" t="n"/>
    </row>
    <row r="268">
      <c r="A268" s="118">
        <f>IF($B268="","",160-COUNTBLANK($B$109:$B268))</f>
        <v/>
      </c>
      <c r="B268" s="74" t="n"/>
      <c r="C268" s="131">
        <f>IF($B268="","",IFERROR(INDEX($C$6:$C$105,MATCH($B268,$A$6:$A$105,0)),"※ 미등록 관리번호"))</f>
        <v/>
      </c>
      <c r="D268" s="74" t="n"/>
      <c r="E268" s="80" t="n"/>
      <c r="F268" s="80" t="n"/>
      <c r="G268" s="80" t="n"/>
      <c r="H268" s="74" t="n"/>
      <c r="I268" s="36" t="n"/>
      <c r="J268" s="130">
        <f>IF($E268="","",IF($G268&lt;&gt;"","반납완료",IF(AND($F268&lt;&gt;"",$F268&lt;TODAY()),"연체","사용중")))</f>
        <v/>
      </c>
      <c r="K268" s="36" t="n"/>
    </row>
    <row r="269">
      <c r="A269" s="118">
        <f>IF($B269="","",161-COUNTBLANK($B$109:$B269))</f>
        <v/>
      </c>
      <c r="B269" s="74" t="n"/>
      <c r="C269" s="131">
        <f>IF($B269="","",IFERROR(INDEX($C$6:$C$105,MATCH($B269,$A$6:$A$105,0)),"※ 미등록 관리번호"))</f>
        <v/>
      </c>
      <c r="D269" s="74" t="n"/>
      <c r="E269" s="80" t="n"/>
      <c r="F269" s="80" t="n"/>
      <c r="G269" s="80" t="n"/>
      <c r="H269" s="74" t="n"/>
      <c r="I269" s="36" t="n"/>
      <c r="J269" s="130">
        <f>IF($E269="","",IF($G269&lt;&gt;"","반납완료",IF(AND($F269&lt;&gt;"",$F269&lt;TODAY()),"연체","사용중")))</f>
        <v/>
      </c>
      <c r="K269" s="36" t="n"/>
    </row>
    <row r="270">
      <c r="A270" s="118">
        <f>IF($B270="","",162-COUNTBLANK($B$109:$B270))</f>
        <v/>
      </c>
      <c r="B270" s="74" t="n"/>
      <c r="C270" s="131">
        <f>IF($B270="","",IFERROR(INDEX($C$6:$C$105,MATCH($B270,$A$6:$A$105,0)),"※ 미등록 관리번호"))</f>
        <v/>
      </c>
      <c r="D270" s="74" t="n"/>
      <c r="E270" s="80" t="n"/>
      <c r="F270" s="80" t="n"/>
      <c r="G270" s="80" t="n"/>
      <c r="H270" s="74" t="n"/>
      <c r="I270" s="36" t="n"/>
      <c r="J270" s="130">
        <f>IF($E270="","",IF($G270&lt;&gt;"","반납완료",IF(AND($F270&lt;&gt;"",$F270&lt;TODAY()),"연체","사용중")))</f>
        <v/>
      </c>
      <c r="K270" s="36" t="n"/>
    </row>
    <row r="271">
      <c r="A271" s="118">
        <f>IF($B271="","",163-COUNTBLANK($B$109:$B271))</f>
        <v/>
      </c>
      <c r="B271" s="74" t="n"/>
      <c r="C271" s="131">
        <f>IF($B271="","",IFERROR(INDEX($C$6:$C$105,MATCH($B271,$A$6:$A$105,0)),"※ 미등록 관리번호"))</f>
        <v/>
      </c>
      <c r="D271" s="74" t="n"/>
      <c r="E271" s="80" t="n"/>
      <c r="F271" s="80" t="n"/>
      <c r="G271" s="80" t="n"/>
      <c r="H271" s="74" t="n"/>
      <c r="I271" s="36" t="n"/>
      <c r="J271" s="130">
        <f>IF($E271="","",IF($G271&lt;&gt;"","반납완료",IF(AND($F271&lt;&gt;"",$F271&lt;TODAY()),"연체","사용중")))</f>
        <v/>
      </c>
      <c r="K271" s="36" t="n"/>
    </row>
    <row r="272">
      <c r="A272" s="118">
        <f>IF($B272="","",164-COUNTBLANK($B$109:$B272))</f>
        <v/>
      </c>
      <c r="B272" s="74" t="n"/>
      <c r="C272" s="131">
        <f>IF($B272="","",IFERROR(INDEX($C$6:$C$105,MATCH($B272,$A$6:$A$105,0)),"※ 미등록 관리번호"))</f>
        <v/>
      </c>
      <c r="D272" s="74" t="n"/>
      <c r="E272" s="80" t="n"/>
      <c r="F272" s="80" t="n"/>
      <c r="G272" s="80" t="n"/>
      <c r="H272" s="74" t="n"/>
      <c r="I272" s="36" t="n"/>
      <c r="J272" s="130">
        <f>IF($E272="","",IF($G272&lt;&gt;"","반납완료",IF(AND($F272&lt;&gt;"",$F272&lt;TODAY()),"연체","사용중")))</f>
        <v/>
      </c>
      <c r="K272" s="36" t="n"/>
    </row>
    <row r="273">
      <c r="A273" s="118">
        <f>IF($B273="","",165-COUNTBLANK($B$109:$B273))</f>
        <v/>
      </c>
      <c r="B273" s="74" t="n"/>
      <c r="C273" s="131">
        <f>IF($B273="","",IFERROR(INDEX($C$6:$C$105,MATCH($B273,$A$6:$A$105,0)),"※ 미등록 관리번호"))</f>
        <v/>
      </c>
      <c r="D273" s="74" t="n"/>
      <c r="E273" s="80" t="n"/>
      <c r="F273" s="80" t="n"/>
      <c r="G273" s="80" t="n"/>
      <c r="H273" s="74" t="n"/>
      <c r="I273" s="36" t="n"/>
      <c r="J273" s="130">
        <f>IF($E273="","",IF($G273&lt;&gt;"","반납완료",IF(AND($F273&lt;&gt;"",$F273&lt;TODAY()),"연체","사용중")))</f>
        <v/>
      </c>
      <c r="K273" s="36" t="n"/>
    </row>
    <row r="274">
      <c r="A274" s="118">
        <f>IF($B274="","",166-COUNTBLANK($B$109:$B274))</f>
        <v/>
      </c>
      <c r="B274" s="74" t="n"/>
      <c r="C274" s="131">
        <f>IF($B274="","",IFERROR(INDEX($C$6:$C$105,MATCH($B274,$A$6:$A$105,0)),"※ 미등록 관리번호"))</f>
        <v/>
      </c>
      <c r="D274" s="74" t="n"/>
      <c r="E274" s="80" t="n"/>
      <c r="F274" s="80" t="n"/>
      <c r="G274" s="80" t="n"/>
      <c r="H274" s="74" t="n"/>
      <c r="I274" s="36" t="n"/>
      <c r="J274" s="130">
        <f>IF($E274="","",IF($G274&lt;&gt;"","반납완료",IF(AND($F274&lt;&gt;"",$F274&lt;TODAY()),"연체","사용중")))</f>
        <v/>
      </c>
      <c r="K274" s="36" t="n"/>
    </row>
    <row r="275">
      <c r="A275" s="118">
        <f>IF($B275="","",167-COUNTBLANK($B$109:$B275))</f>
        <v/>
      </c>
      <c r="B275" s="74" t="n"/>
      <c r="C275" s="131">
        <f>IF($B275="","",IFERROR(INDEX($C$6:$C$105,MATCH($B275,$A$6:$A$105,0)),"※ 미등록 관리번호"))</f>
        <v/>
      </c>
      <c r="D275" s="74" t="n"/>
      <c r="E275" s="80" t="n"/>
      <c r="F275" s="80" t="n"/>
      <c r="G275" s="80" t="n"/>
      <c r="H275" s="74" t="n"/>
      <c r="I275" s="36" t="n"/>
      <c r="J275" s="130">
        <f>IF($E275="","",IF($G275&lt;&gt;"","반납완료",IF(AND($F275&lt;&gt;"",$F275&lt;TODAY()),"연체","사용중")))</f>
        <v/>
      </c>
      <c r="K275" s="36" t="n"/>
    </row>
    <row r="276">
      <c r="A276" s="118">
        <f>IF($B276="","",168-COUNTBLANK($B$109:$B276))</f>
        <v/>
      </c>
      <c r="B276" s="74" t="n"/>
      <c r="C276" s="131">
        <f>IF($B276="","",IFERROR(INDEX($C$6:$C$105,MATCH($B276,$A$6:$A$105,0)),"※ 미등록 관리번호"))</f>
        <v/>
      </c>
      <c r="D276" s="74" t="n"/>
      <c r="E276" s="80" t="n"/>
      <c r="F276" s="80" t="n"/>
      <c r="G276" s="80" t="n"/>
      <c r="H276" s="74" t="n"/>
      <c r="I276" s="36" t="n"/>
      <c r="J276" s="130">
        <f>IF($E276="","",IF($G276&lt;&gt;"","반납완료",IF(AND($F276&lt;&gt;"",$F276&lt;TODAY()),"연체","사용중")))</f>
        <v/>
      </c>
      <c r="K276" s="36" t="n"/>
    </row>
    <row r="277">
      <c r="A277" s="118">
        <f>IF($B277="","",169-COUNTBLANK($B$109:$B277))</f>
        <v/>
      </c>
      <c r="B277" s="74" t="n"/>
      <c r="C277" s="131">
        <f>IF($B277="","",IFERROR(INDEX($C$6:$C$105,MATCH($B277,$A$6:$A$105,0)),"※ 미등록 관리번호"))</f>
        <v/>
      </c>
      <c r="D277" s="74" t="n"/>
      <c r="E277" s="80" t="n"/>
      <c r="F277" s="80" t="n"/>
      <c r="G277" s="80" t="n"/>
      <c r="H277" s="74" t="n"/>
      <c r="I277" s="36" t="n"/>
      <c r="J277" s="130">
        <f>IF($E277="","",IF($G277&lt;&gt;"","반납완료",IF(AND($F277&lt;&gt;"",$F277&lt;TODAY()),"연체","사용중")))</f>
        <v/>
      </c>
      <c r="K277" s="36" t="n"/>
    </row>
    <row r="278">
      <c r="A278" s="118">
        <f>IF($B278="","",170-COUNTBLANK($B$109:$B278))</f>
        <v/>
      </c>
      <c r="B278" s="74" t="n"/>
      <c r="C278" s="131">
        <f>IF($B278="","",IFERROR(INDEX($C$6:$C$105,MATCH($B278,$A$6:$A$105,0)),"※ 미등록 관리번호"))</f>
        <v/>
      </c>
      <c r="D278" s="74" t="n"/>
      <c r="E278" s="80" t="n"/>
      <c r="F278" s="80" t="n"/>
      <c r="G278" s="80" t="n"/>
      <c r="H278" s="74" t="n"/>
      <c r="I278" s="36" t="n"/>
      <c r="J278" s="130">
        <f>IF($E278="","",IF($G278&lt;&gt;"","반납완료",IF(AND($F278&lt;&gt;"",$F278&lt;TODAY()),"연체","사용중")))</f>
        <v/>
      </c>
      <c r="K278" s="36" t="n"/>
    </row>
    <row r="279">
      <c r="A279" s="118">
        <f>IF($B279="","",171-COUNTBLANK($B$109:$B279))</f>
        <v/>
      </c>
      <c r="B279" s="74" t="n"/>
      <c r="C279" s="131">
        <f>IF($B279="","",IFERROR(INDEX($C$6:$C$105,MATCH($B279,$A$6:$A$105,0)),"※ 미등록 관리번호"))</f>
        <v/>
      </c>
      <c r="D279" s="74" t="n"/>
      <c r="E279" s="80" t="n"/>
      <c r="F279" s="80" t="n"/>
      <c r="G279" s="80" t="n"/>
      <c r="H279" s="74" t="n"/>
      <c r="I279" s="36" t="n"/>
      <c r="J279" s="130">
        <f>IF($E279="","",IF($G279&lt;&gt;"","반납완료",IF(AND($F279&lt;&gt;"",$F279&lt;TODAY()),"연체","사용중")))</f>
        <v/>
      </c>
      <c r="K279" s="36" t="n"/>
    </row>
    <row r="280">
      <c r="A280" s="118">
        <f>IF($B280="","",172-COUNTBLANK($B$109:$B280))</f>
        <v/>
      </c>
      <c r="B280" s="74" t="n"/>
      <c r="C280" s="131">
        <f>IF($B280="","",IFERROR(INDEX($C$6:$C$105,MATCH($B280,$A$6:$A$105,0)),"※ 미등록 관리번호"))</f>
        <v/>
      </c>
      <c r="D280" s="74" t="n"/>
      <c r="E280" s="80" t="n"/>
      <c r="F280" s="80" t="n"/>
      <c r="G280" s="80" t="n"/>
      <c r="H280" s="74" t="n"/>
      <c r="I280" s="36" t="n"/>
      <c r="J280" s="130">
        <f>IF($E280="","",IF($G280&lt;&gt;"","반납완료",IF(AND($F280&lt;&gt;"",$F280&lt;TODAY()),"연체","사용중")))</f>
        <v/>
      </c>
      <c r="K280" s="36" t="n"/>
    </row>
    <row r="281">
      <c r="A281" s="118">
        <f>IF($B281="","",173-COUNTBLANK($B$109:$B281))</f>
        <v/>
      </c>
      <c r="B281" s="74" t="n"/>
      <c r="C281" s="131">
        <f>IF($B281="","",IFERROR(INDEX($C$6:$C$105,MATCH($B281,$A$6:$A$105,0)),"※ 미등록 관리번호"))</f>
        <v/>
      </c>
      <c r="D281" s="74" t="n"/>
      <c r="E281" s="80" t="n"/>
      <c r="F281" s="80" t="n"/>
      <c r="G281" s="80" t="n"/>
      <c r="H281" s="74" t="n"/>
      <c r="I281" s="36" t="n"/>
      <c r="J281" s="130">
        <f>IF($E281="","",IF($G281&lt;&gt;"","반납완료",IF(AND($F281&lt;&gt;"",$F281&lt;TODAY()),"연체","사용중")))</f>
        <v/>
      </c>
      <c r="K281" s="36" t="n"/>
    </row>
    <row r="282">
      <c r="A282" s="118">
        <f>IF($B282="","",174-COUNTBLANK($B$109:$B282))</f>
        <v/>
      </c>
      <c r="B282" s="74" t="n"/>
      <c r="C282" s="131">
        <f>IF($B282="","",IFERROR(INDEX($C$6:$C$105,MATCH($B282,$A$6:$A$105,0)),"※ 미등록 관리번호"))</f>
        <v/>
      </c>
      <c r="D282" s="74" t="n"/>
      <c r="E282" s="80" t="n"/>
      <c r="F282" s="80" t="n"/>
      <c r="G282" s="80" t="n"/>
      <c r="H282" s="74" t="n"/>
      <c r="I282" s="36" t="n"/>
      <c r="J282" s="130">
        <f>IF($E282="","",IF($G282&lt;&gt;"","반납완료",IF(AND($F282&lt;&gt;"",$F282&lt;TODAY()),"연체","사용중")))</f>
        <v/>
      </c>
      <c r="K282" s="36" t="n"/>
    </row>
    <row r="283">
      <c r="A283" s="118">
        <f>IF($B283="","",175-COUNTBLANK($B$109:$B283))</f>
        <v/>
      </c>
      <c r="B283" s="74" t="n"/>
      <c r="C283" s="131">
        <f>IF($B283="","",IFERROR(INDEX($C$6:$C$105,MATCH($B283,$A$6:$A$105,0)),"※ 미등록 관리번호"))</f>
        <v/>
      </c>
      <c r="D283" s="74" t="n"/>
      <c r="E283" s="80" t="n"/>
      <c r="F283" s="80" t="n"/>
      <c r="G283" s="80" t="n"/>
      <c r="H283" s="74" t="n"/>
      <c r="I283" s="36" t="n"/>
      <c r="J283" s="130">
        <f>IF($E283="","",IF($G283&lt;&gt;"","반납완료",IF(AND($F283&lt;&gt;"",$F283&lt;TODAY()),"연체","사용중")))</f>
        <v/>
      </c>
      <c r="K283" s="36" t="n"/>
    </row>
    <row r="284">
      <c r="A284" s="118">
        <f>IF($B284="","",176-COUNTBLANK($B$109:$B284))</f>
        <v/>
      </c>
      <c r="B284" s="74" t="n"/>
      <c r="C284" s="131">
        <f>IF($B284="","",IFERROR(INDEX($C$6:$C$105,MATCH($B284,$A$6:$A$105,0)),"※ 미등록 관리번호"))</f>
        <v/>
      </c>
      <c r="D284" s="74" t="n"/>
      <c r="E284" s="80" t="n"/>
      <c r="F284" s="80" t="n"/>
      <c r="G284" s="80" t="n"/>
      <c r="H284" s="74" t="n"/>
      <c r="I284" s="36" t="n"/>
      <c r="J284" s="130">
        <f>IF($E284="","",IF($G284&lt;&gt;"","반납완료",IF(AND($F284&lt;&gt;"",$F284&lt;TODAY()),"연체","사용중")))</f>
        <v/>
      </c>
      <c r="K284" s="36" t="n"/>
    </row>
    <row r="285">
      <c r="A285" s="118">
        <f>IF($B285="","",177-COUNTBLANK($B$109:$B285))</f>
        <v/>
      </c>
      <c r="B285" s="74" t="n"/>
      <c r="C285" s="131">
        <f>IF($B285="","",IFERROR(INDEX($C$6:$C$105,MATCH($B285,$A$6:$A$105,0)),"※ 미등록 관리번호"))</f>
        <v/>
      </c>
      <c r="D285" s="74" t="n"/>
      <c r="E285" s="80" t="n"/>
      <c r="F285" s="80" t="n"/>
      <c r="G285" s="80" t="n"/>
      <c r="H285" s="74" t="n"/>
      <c r="I285" s="36" t="n"/>
      <c r="J285" s="130">
        <f>IF($E285="","",IF($G285&lt;&gt;"","반납완료",IF(AND($F285&lt;&gt;"",$F285&lt;TODAY()),"연체","사용중")))</f>
        <v/>
      </c>
      <c r="K285" s="36" t="n"/>
    </row>
    <row r="286">
      <c r="A286" s="118">
        <f>IF($B286="","",178-COUNTBLANK($B$109:$B286))</f>
        <v/>
      </c>
      <c r="B286" s="74" t="n"/>
      <c r="C286" s="131">
        <f>IF($B286="","",IFERROR(INDEX($C$6:$C$105,MATCH($B286,$A$6:$A$105,0)),"※ 미등록 관리번호"))</f>
        <v/>
      </c>
      <c r="D286" s="74" t="n"/>
      <c r="E286" s="80" t="n"/>
      <c r="F286" s="80" t="n"/>
      <c r="G286" s="80" t="n"/>
      <c r="H286" s="74" t="n"/>
      <c r="I286" s="36" t="n"/>
      <c r="J286" s="130">
        <f>IF($E286="","",IF($G286&lt;&gt;"","반납완료",IF(AND($F286&lt;&gt;"",$F286&lt;TODAY()),"연체","사용중")))</f>
        <v/>
      </c>
      <c r="K286" s="36" t="n"/>
    </row>
    <row r="287">
      <c r="A287" s="118">
        <f>IF($B287="","",179-COUNTBLANK($B$109:$B287))</f>
        <v/>
      </c>
      <c r="B287" s="74" t="n"/>
      <c r="C287" s="131">
        <f>IF($B287="","",IFERROR(INDEX($C$6:$C$105,MATCH($B287,$A$6:$A$105,0)),"※ 미등록 관리번호"))</f>
        <v/>
      </c>
      <c r="D287" s="74" t="n"/>
      <c r="E287" s="80" t="n"/>
      <c r="F287" s="80" t="n"/>
      <c r="G287" s="80" t="n"/>
      <c r="H287" s="74" t="n"/>
      <c r="I287" s="36" t="n"/>
      <c r="J287" s="130">
        <f>IF($E287="","",IF($G287&lt;&gt;"","반납완료",IF(AND($F287&lt;&gt;"",$F287&lt;TODAY()),"연체","사용중")))</f>
        <v/>
      </c>
      <c r="K287" s="36" t="n"/>
    </row>
    <row r="288">
      <c r="A288" s="118">
        <f>IF($B288="","",180-COUNTBLANK($B$109:$B288))</f>
        <v/>
      </c>
      <c r="B288" s="74" t="n"/>
      <c r="C288" s="131">
        <f>IF($B288="","",IFERROR(INDEX($C$6:$C$105,MATCH($B288,$A$6:$A$105,0)),"※ 미등록 관리번호"))</f>
        <v/>
      </c>
      <c r="D288" s="74" t="n"/>
      <c r="E288" s="80" t="n"/>
      <c r="F288" s="80" t="n"/>
      <c r="G288" s="80" t="n"/>
      <c r="H288" s="74" t="n"/>
      <c r="I288" s="36" t="n"/>
      <c r="J288" s="130">
        <f>IF($E288="","",IF($G288&lt;&gt;"","반납완료",IF(AND($F288&lt;&gt;"",$F288&lt;TODAY()),"연체","사용중")))</f>
        <v/>
      </c>
      <c r="K288" s="36" t="n"/>
    </row>
    <row r="289">
      <c r="A289" s="118">
        <f>IF($B289="","",181-COUNTBLANK($B$109:$B289))</f>
        <v/>
      </c>
      <c r="B289" s="74" t="n"/>
      <c r="C289" s="131">
        <f>IF($B289="","",IFERROR(INDEX($C$6:$C$105,MATCH($B289,$A$6:$A$105,0)),"※ 미등록 관리번호"))</f>
        <v/>
      </c>
      <c r="D289" s="74" t="n"/>
      <c r="E289" s="80" t="n"/>
      <c r="F289" s="80" t="n"/>
      <c r="G289" s="80" t="n"/>
      <c r="H289" s="74" t="n"/>
      <c r="I289" s="36" t="n"/>
      <c r="J289" s="130">
        <f>IF($E289="","",IF($G289&lt;&gt;"","반납완료",IF(AND($F289&lt;&gt;"",$F289&lt;TODAY()),"연체","사용중")))</f>
        <v/>
      </c>
      <c r="K289" s="36" t="n"/>
    </row>
    <row r="290">
      <c r="A290" s="118">
        <f>IF($B290="","",182-COUNTBLANK($B$109:$B290))</f>
        <v/>
      </c>
      <c r="B290" s="74" t="n"/>
      <c r="C290" s="131">
        <f>IF($B290="","",IFERROR(INDEX($C$6:$C$105,MATCH($B290,$A$6:$A$105,0)),"※ 미등록 관리번호"))</f>
        <v/>
      </c>
      <c r="D290" s="74" t="n"/>
      <c r="E290" s="80" t="n"/>
      <c r="F290" s="80" t="n"/>
      <c r="G290" s="80" t="n"/>
      <c r="H290" s="74" t="n"/>
      <c r="I290" s="36" t="n"/>
      <c r="J290" s="130">
        <f>IF($E290="","",IF($G290&lt;&gt;"","반납완료",IF(AND($F290&lt;&gt;"",$F290&lt;TODAY()),"연체","사용중")))</f>
        <v/>
      </c>
      <c r="K290" s="36" t="n"/>
    </row>
    <row r="291">
      <c r="A291" s="118">
        <f>IF($B291="","",183-COUNTBLANK($B$109:$B291))</f>
        <v/>
      </c>
      <c r="B291" s="74" t="n"/>
      <c r="C291" s="131">
        <f>IF($B291="","",IFERROR(INDEX($C$6:$C$105,MATCH($B291,$A$6:$A$105,0)),"※ 미등록 관리번호"))</f>
        <v/>
      </c>
      <c r="D291" s="74" t="n"/>
      <c r="E291" s="80" t="n"/>
      <c r="F291" s="80" t="n"/>
      <c r="G291" s="80" t="n"/>
      <c r="H291" s="74" t="n"/>
      <c r="I291" s="36" t="n"/>
      <c r="J291" s="130">
        <f>IF($E291="","",IF($G291&lt;&gt;"","반납완료",IF(AND($F291&lt;&gt;"",$F291&lt;TODAY()),"연체","사용중")))</f>
        <v/>
      </c>
      <c r="K291" s="36" t="n"/>
    </row>
    <row r="292">
      <c r="A292" s="118">
        <f>IF($B292="","",184-COUNTBLANK($B$109:$B292))</f>
        <v/>
      </c>
      <c r="B292" s="74" t="n"/>
      <c r="C292" s="131">
        <f>IF($B292="","",IFERROR(INDEX($C$6:$C$105,MATCH($B292,$A$6:$A$105,0)),"※ 미등록 관리번호"))</f>
        <v/>
      </c>
      <c r="D292" s="74" t="n"/>
      <c r="E292" s="80" t="n"/>
      <c r="F292" s="80" t="n"/>
      <c r="G292" s="80" t="n"/>
      <c r="H292" s="74" t="n"/>
      <c r="I292" s="36" t="n"/>
      <c r="J292" s="130">
        <f>IF($E292="","",IF($G292&lt;&gt;"","반납완료",IF(AND($F292&lt;&gt;"",$F292&lt;TODAY()),"연체","사용중")))</f>
        <v/>
      </c>
      <c r="K292" s="36" t="n"/>
    </row>
    <row r="293">
      <c r="A293" s="118">
        <f>IF($B293="","",185-COUNTBLANK($B$109:$B293))</f>
        <v/>
      </c>
      <c r="B293" s="74" t="n"/>
      <c r="C293" s="131">
        <f>IF($B293="","",IFERROR(INDEX($C$6:$C$105,MATCH($B293,$A$6:$A$105,0)),"※ 미등록 관리번호"))</f>
        <v/>
      </c>
      <c r="D293" s="74" t="n"/>
      <c r="E293" s="80" t="n"/>
      <c r="F293" s="80" t="n"/>
      <c r="G293" s="80" t="n"/>
      <c r="H293" s="74" t="n"/>
      <c r="I293" s="36" t="n"/>
      <c r="J293" s="130">
        <f>IF($E293="","",IF($G293&lt;&gt;"","반납완료",IF(AND($F293&lt;&gt;"",$F293&lt;TODAY()),"연체","사용중")))</f>
        <v/>
      </c>
      <c r="K293" s="36" t="n"/>
    </row>
    <row r="294">
      <c r="A294" s="118">
        <f>IF($B294="","",186-COUNTBLANK($B$109:$B294))</f>
        <v/>
      </c>
      <c r="B294" s="74" t="n"/>
      <c r="C294" s="131">
        <f>IF($B294="","",IFERROR(INDEX($C$6:$C$105,MATCH($B294,$A$6:$A$105,0)),"※ 미등록 관리번호"))</f>
        <v/>
      </c>
      <c r="D294" s="74" t="n"/>
      <c r="E294" s="80" t="n"/>
      <c r="F294" s="80" t="n"/>
      <c r="G294" s="80" t="n"/>
      <c r="H294" s="74" t="n"/>
      <c r="I294" s="36" t="n"/>
      <c r="J294" s="130">
        <f>IF($E294="","",IF($G294&lt;&gt;"","반납완료",IF(AND($F294&lt;&gt;"",$F294&lt;TODAY()),"연체","사용중")))</f>
        <v/>
      </c>
      <c r="K294" s="36" t="n"/>
    </row>
    <row r="295">
      <c r="A295" s="118">
        <f>IF($B295="","",187-COUNTBLANK($B$109:$B295))</f>
        <v/>
      </c>
      <c r="B295" s="74" t="n"/>
      <c r="C295" s="131">
        <f>IF($B295="","",IFERROR(INDEX($C$6:$C$105,MATCH($B295,$A$6:$A$105,0)),"※ 미등록 관리번호"))</f>
        <v/>
      </c>
      <c r="D295" s="74" t="n"/>
      <c r="E295" s="80" t="n"/>
      <c r="F295" s="80" t="n"/>
      <c r="G295" s="80" t="n"/>
      <c r="H295" s="74" t="n"/>
      <c r="I295" s="36" t="n"/>
      <c r="J295" s="130">
        <f>IF($E295="","",IF($G295&lt;&gt;"","반납완료",IF(AND($F295&lt;&gt;"",$F295&lt;TODAY()),"연체","사용중")))</f>
        <v/>
      </c>
      <c r="K295" s="36" t="n"/>
    </row>
    <row r="296">
      <c r="A296" s="118">
        <f>IF($B296="","",188-COUNTBLANK($B$109:$B296))</f>
        <v/>
      </c>
      <c r="B296" s="74" t="n"/>
      <c r="C296" s="131">
        <f>IF($B296="","",IFERROR(INDEX($C$6:$C$105,MATCH($B296,$A$6:$A$105,0)),"※ 미등록 관리번호"))</f>
        <v/>
      </c>
      <c r="D296" s="74" t="n"/>
      <c r="E296" s="80" t="n"/>
      <c r="F296" s="80" t="n"/>
      <c r="G296" s="80" t="n"/>
      <c r="H296" s="74" t="n"/>
      <c r="I296" s="36" t="n"/>
      <c r="J296" s="130">
        <f>IF($E296="","",IF($G296&lt;&gt;"","반납완료",IF(AND($F296&lt;&gt;"",$F296&lt;TODAY()),"연체","사용중")))</f>
        <v/>
      </c>
      <c r="K296" s="36" t="n"/>
    </row>
    <row r="297">
      <c r="A297" s="118">
        <f>IF($B297="","",189-COUNTBLANK($B$109:$B297))</f>
        <v/>
      </c>
      <c r="B297" s="74" t="n"/>
      <c r="C297" s="131">
        <f>IF($B297="","",IFERROR(INDEX($C$6:$C$105,MATCH($B297,$A$6:$A$105,0)),"※ 미등록 관리번호"))</f>
        <v/>
      </c>
      <c r="D297" s="74" t="n"/>
      <c r="E297" s="80" t="n"/>
      <c r="F297" s="80" t="n"/>
      <c r="G297" s="80" t="n"/>
      <c r="H297" s="74" t="n"/>
      <c r="I297" s="36" t="n"/>
      <c r="J297" s="130">
        <f>IF($E297="","",IF($G297&lt;&gt;"","반납완료",IF(AND($F297&lt;&gt;"",$F297&lt;TODAY()),"연체","사용중")))</f>
        <v/>
      </c>
      <c r="K297" s="36" t="n"/>
    </row>
    <row r="298">
      <c r="A298" s="118">
        <f>IF($B298="","",190-COUNTBLANK($B$109:$B298))</f>
        <v/>
      </c>
      <c r="B298" s="74" t="n"/>
      <c r="C298" s="131">
        <f>IF($B298="","",IFERROR(INDEX($C$6:$C$105,MATCH($B298,$A$6:$A$105,0)),"※ 미등록 관리번호"))</f>
        <v/>
      </c>
      <c r="D298" s="74" t="n"/>
      <c r="E298" s="80" t="n"/>
      <c r="F298" s="80" t="n"/>
      <c r="G298" s="80" t="n"/>
      <c r="H298" s="74" t="n"/>
      <c r="I298" s="36" t="n"/>
      <c r="J298" s="130">
        <f>IF($E298="","",IF($G298&lt;&gt;"","반납완료",IF(AND($F298&lt;&gt;"",$F298&lt;TODAY()),"연체","사용중")))</f>
        <v/>
      </c>
      <c r="K298" s="36" t="n"/>
    </row>
    <row r="299">
      <c r="A299" s="118">
        <f>IF($B299="","",191-COUNTBLANK($B$109:$B299))</f>
        <v/>
      </c>
      <c r="B299" s="74" t="n"/>
      <c r="C299" s="131">
        <f>IF($B299="","",IFERROR(INDEX($C$6:$C$105,MATCH($B299,$A$6:$A$105,0)),"※ 미등록 관리번호"))</f>
        <v/>
      </c>
      <c r="D299" s="74" t="n"/>
      <c r="E299" s="80" t="n"/>
      <c r="F299" s="80" t="n"/>
      <c r="G299" s="80" t="n"/>
      <c r="H299" s="74" t="n"/>
      <c r="I299" s="36" t="n"/>
      <c r="J299" s="130">
        <f>IF($E299="","",IF($G299&lt;&gt;"","반납완료",IF(AND($F299&lt;&gt;"",$F299&lt;TODAY()),"연체","사용중")))</f>
        <v/>
      </c>
      <c r="K299" s="36" t="n"/>
    </row>
    <row r="300">
      <c r="A300" s="118">
        <f>IF($B300="","",192-COUNTBLANK($B$109:$B300))</f>
        <v/>
      </c>
      <c r="B300" s="74" t="n"/>
      <c r="C300" s="131">
        <f>IF($B300="","",IFERROR(INDEX($C$6:$C$105,MATCH($B300,$A$6:$A$105,0)),"※ 미등록 관리번호"))</f>
        <v/>
      </c>
      <c r="D300" s="74" t="n"/>
      <c r="E300" s="80" t="n"/>
      <c r="F300" s="80" t="n"/>
      <c r="G300" s="80" t="n"/>
      <c r="H300" s="74" t="n"/>
      <c r="I300" s="36" t="n"/>
      <c r="J300" s="130">
        <f>IF($E300="","",IF($G300&lt;&gt;"","반납완료",IF(AND($F300&lt;&gt;"",$F300&lt;TODAY()),"연체","사용중")))</f>
        <v/>
      </c>
      <c r="K300" s="36" t="n"/>
    </row>
    <row r="301">
      <c r="A301" s="118">
        <f>IF($B301="","",193-COUNTBLANK($B$109:$B301))</f>
        <v/>
      </c>
      <c r="B301" s="74" t="n"/>
      <c r="C301" s="131">
        <f>IF($B301="","",IFERROR(INDEX($C$6:$C$105,MATCH($B301,$A$6:$A$105,0)),"※ 미등록 관리번호"))</f>
        <v/>
      </c>
      <c r="D301" s="74" t="n"/>
      <c r="E301" s="80" t="n"/>
      <c r="F301" s="80" t="n"/>
      <c r="G301" s="80" t="n"/>
      <c r="H301" s="74" t="n"/>
      <c r="I301" s="36" t="n"/>
      <c r="J301" s="130">
        <f>IF($E301="","",IF($G301&lt;&gt;"","반납완료",IF(AND($F301&lt;&gt;"",$F301&lt;TODAY()),"연체","사용중")))</f>
        <v/>
      </c>
      <c r="K301" s="36" t="n"/>
    </row>
    <row r="302">
      <c r="A302" s="118">
        <f>IF($B302="","",194-COUNTBLANK($B$109:$B302))</f>
        <v/>
      </c>
      <c r="B302" s="74" t="n"/>
      <c r="C302" s="131">
        <f>IF($B302="","",IFERROR(INDEX($C$6:$C$105,MATCH($B302,$A$6:$A$105,0)),"※ 미등록 관리번호"))</f>
        <v/>
      </c>
      <c r="D302" s="74" t="n"/>
      <c r="E302" s="80" t="n"/>
      <c r="F302" s="80" t="n"/>
      <c r="G302" s="80" t="n"/>
      <c r="H302" s="74" t="n"/>
      <c r="I302" s="36" t="n"/>
      <c r="J302" s="130">
        <f>IF($E302="","",IF($G302&lt;&gt;"","반납완료",IF(AND($F302&lt;&gt;"",$F302&lt;TODAY()),"연체","사용중")))</f>
        <v/>
      </c>
      <c r="K302" s="36" t="n"/>
    </row>
    <row r="303">
      <c r="A303" s="118">
        <f>IF($B303="","",195-COUNTBLANK($B$109:$B303))</f>
        <v/>
      </c>
      <c r="B303" s="74" t="n"/>
      <c r="C303" s="131">
        <f>IF($B303="","",IFERROR(INDEX($C$6:$C$105,MATCH($B303,$A$6:$A$105,0)),"※ 미등록 관리번호"))</f>
        <v/>
      </c>
      <c r="D303" s="74" t="n"/>
      <c r="E303" s="80" t="n"/>
      <c r="F303" s="80" t="n"/>
      <c r="G303" s="80" t="n"/>
      <c r="H303" s="74" t="n"/>
      <c r="I303" s="36" t="n"/>
      <c r="J303" s="130">
        <f>IF($E303="","",IF($G303&lt;&gt;"","반납완료",IF(AND($F303&lt;&gt;"",$F303&lt;TODAY()),"연체","사용중")))</f>
        <v/>
      </c>
      <c r="K303" s="36" t="n"/>
    </row>
    <row r="304">
      <c r="A304" s="118">
        <f>IF($B304="","",196-COUNTBLANK($B$109:$B304))</f>
        <v/>
      </c>
      <c r="B304" s="74" t="n"/>
      <c r="C304" s="131">
        <f>IF($B304="","",IFERROR(INDEX($C$6:$C$105,MATCH($B304,$A$6:$A$105,0)),"※ 미등록 관리번호"))</f>
        <v/>
      </c>
      <c r="D304" s="74" t="n"/>
      <c r="E304" s="80" t="n"/>
      <c r="F304" s="80" t="n"/>
      <c r="G304" s="80" t="n"/>
      <c r="H304" s="74" t="n"/>
      <c r="I304" s="36" t="n"/>
      <c r="J304" s="130">
        <f>IF($E304="","",IF($G304&lt;&gt;"","반납완료",IF(AND($F304&lt;&gt;"",$F304&lt;TODAY()),"연체","사용중")))</f>
        <v/>
      </c>
      <c r="K304" s="36" t="n"/>
    </row>
    <row r="305">
      <c r="A305" s="118">
        <f>IF($B305="","",197-COUNTBLANK($B$109:$B305))</f>
        <v/>
      </c>
      <c r="B305" s="74" t="n"/>
      <c r="C305" s="131">
        <f>IF($B305="","",IFERROR(INDEX($C$6:$C$105,MATCH($B305,$A$6:$A$105,0)),"※ 미등록 관리번호"))</f>
        <v/>
      </c>
      <c r="D305" s="74" t="n"/>
      <c r="E305" s="80" t="n"/>
      <c r="F305" s="80" t="n"/>
      <c r="G305" s="80" t="n"/>
      <c r="H305" s="74" t="n"/>
      <c r="I305" s="36" t="n"/>
      <c r="J305" s="130">
        <f>IF($E305="","",IF($G305&lt;&gt;"","반납완료",IF(AND($F305&lt;&gt;"",$F305&lt;TODAY()),"연체","사용중")))</f>
        <v/>
      </c>
      <c r="K305" s="36" t="n"/>
    </row>
    <row r="306">
      <c r="A306" s="118">
        <f>IF($B306="","",198-COUNTBLANK($B$109:$B306))</f>
        <v/>
      </c>
      <c r="B306" s="74" t="n"/>
      <c r="C306" s="131">
        <f>IF($B306="","",IFERROR(INDEX($C$6:$C$105,MATCH($B306,$A$6:$A$105,0)),"※ 미등록 관리번호"))</f>
        <v/>
      </c>
      <c r="D306" s="74" t="n"/>
      <c r="E306" s="80" t="n"/>
      <c r="F306" s="80" t="n"/>
      <c r="G306" s="80" t="n"/>
      <c r="H306" s="74" t="n"/>
      <c r="I306" s="36" t="n"/>
      <c r="J306" s="130">
        <f>IF($E306="","",IF($G306&lt;&gt;"","반납완료",IF(AND($F306&lt;&gt;"",$F306&lt;TODAY()),"연체","사용중")))</f>
        <v/>
      </c>
      <c r="K306" s="36" t="n"/>
    </row>
    <row r="307">
      <c r="A307" s="118">
        <f>IF($B307="","",199-COUNTBLANK($B$109:$B307))</f>
        <v/>
      </c>
      <c r="B307" s="74" t="n"/>
      <c r="C307" s="131">
        <f>IF($B307="","",IFERROR(INDEX($C$6:$C$105,MATCH($B307,$A$6:$A$105,0)),"※ 미등록 관리번호"))</f>
        <v/>
      </c>
      <c r="D307" s="74" t="n"/>
      <c r="E307" s="80" t="n"/>
      <c r="F307" s="80" t="n"/>
      <c r="G307" s="80" t="n"/>
      <c r="H307" s="74" t="n"/>
      <c r="I307" s="36" t="n"/>
      <c r="J307" s="130">
        <f>IF($E307="","",IF($G307&lt;&gt;"","반납완료",IF(AND($F307&lt;&gt;"",$F307&lt;TODAY()),"연체","사용중")))</f>
        <v/>
      </c>
      <c r="K307" s="36" t="n"/>
    </row>
    <row r="308">
      <c r="A308" s="118">
        <f>IF($B308="","",200-COUNTBLANK($B$109:$B308))</f>
        <v/>
      </c>
      <c r="B308" s="74" t="n"/>
      <c r="C308" s="131">
        <f>IF($B308="","",IFERROR(INDEX($C$6:$C$105,MATCH($B308,$A$6:$A$105,0)),"※ 미등록 관리번호"))</f>
        <v/>
      </c>
      <c r="D308" s="74" t="n"/>
      <c r="E308" s="80" t="n"/>
      <c r="F308" s="80" t="n"/>
      <c r="G308" s="80" t="n"/>
      <c r="H308" s="74" t="n"/>
      <c r="I308" s="36" t="n"/>
      <c r="J308" s="130">
        <f>IF($E308="","",IF($G308&lt;&gt;"","반납완료",IF(AND($F308&lt;&gt;"",$F308&lt;TODAY()),"연체","사용중")))</f>
        <v/>
      </c>
      <c r="K308" s="36" t="n"/>
    </row>
    <row r="309">
      <c r="A309" s="118">
        <f>IF($B309="","",201-COUNTBLANK($B$109:$B309))</f>
        <v/>
      </c>
      <c r="B309" s="74" t="n"/>
      <c r="C309" s="131">
        <f>IF($B309="","",IFERROR(INDEX($C$6:$C$105,MATCH($B309,$A$6:$A$105,0)),"※ 미등록 관리번호"))</f>
        <v/>
      </c>
      <c r="D309" s="74" t="n"/>
      <c r="E309" s="80" t="n"/>
      <c r="F309" s="80" t="n"/>
      <c r="G309" s="80" t="n"/>
      <c r="H309" s="74" t="n"/>
      <c r="I309" s="36" t="n"/>
      <c r="J309" s="130">
        <f>IF($E309="","",IF($G309&lt;&gt;"","반납완료",IF(AND($F309&lt;&gt;"",$F309&lt;TODAY()),"연체","사용중")))</f>
        <v/>
      </c>
      <c r="K309" s="36" t="n"/>
    </row>
    <row r="310">
      <c r="A310" s="118">
        <f>IF($B310="","",202-COUNTBLANK($B$109:$B310))</f>
        <v/>
      </c>
      <c r="B310" s="74" t="n"/>
      <c r="C310" s="131">
        <f>IF($B310="","",IFERROR(INDEX($C$6:$C$105,MATCH($B310,$A$6:$A$105,0)),"※ 미등록 관리번호"))</f>
        <v/>
      </c>
      <c r="D310" s="74" t="n"/>
      <c r="E310" s="80" t="n"/>
      <c r="F310" s="80" t="n"/>
      <c r="G310" s="80" t="n"/>
      <c r="H310" s="74" t="n"/>
      <c r="I310" s="36" t="n"/>
      <c r="J310" s="130">
        <f>IF($E310="","",IF($G310&lt;&gt;"","반납완료",IF(AND($F310&lt;&gt;"",$F310&lt;TODAY()),"연체","사용중")))</f>
        <v/>
      </c>
      <c r="K310" s="36" t="n"/>
    </row>
    <row r="311">
      <c r="A311" s="118">
        <f>IF($B311="","",203-COUNTBLANK($B$109:$B311))</f>
        <v/>
      </c>
      <c r="B311" s="74" t="n"/>
      <c r="C311" s="131">
        <f>IF($B311="","",IFERROR(INDEX($C$6:$C$105,MATCH($B311,$A$6:$A$105,0)),"※ 미등록 관리번호"))</f>
        <v/>
      </c>
      <c r="D311" s="74" t="n"/>
      <c r="E311" s="80" t="n"/>
      <c r="F311" s="80" t="n"/>
      <c r="G311" s="80" t="n"/>
      <c r="H311" s="74" t="n"/>
      <c r="I311" s="36" t="n"/>
      <c r="J311" s="130">
        <f>IF($E311="","",IF($G311&lt;&gt;"","반납완료",IF(AND($F311&lt;&gt;"",$F311&lt;TODAY()),"연체","사용중")))</f>
        <v/>
      </c>
      <c r="K311" s="36" t="n"/>
    </row>
    <row r="312">
      <c r="A312" s="118">
        <f>IF($B312="","",204-COUNTBLANK($B$109:$B312))</f>
        <v/>
      </c>
      <c r="B312" s="74" t="n"/>
      <c r="C312" s="131">
        <f>IF($B312="","",IFERROR(INDEX($C$6:$C$105,MATCH($B312,$A$6:$A$105,0)),"※ 미등록 관리번호"))</f>
        <v/>
      </c>
      <c r="D312" s="74" t="n"/>
      <c r="E312" s="80" t="n"/>
      <c r="F312" s="80" t="n"/>
      <c r="G312" s="80" t="n"/>
      <c r="H312" s="74" t="n"/>
      <c r="I312" s="36" t="n"/>
      <c r="J312" s="130">
        <f>IF($E312="","",IF($G312&lt;&gt;"","반납완료",IF(AND($F312&lt;&gt;"",$F312&lt;TODAY()),"연체","사용중")))</f>
        <v/>
      </c>
      <c r="K312" s="36" t="n"/>
    </row>
    <row r="313">
      <c r="A313" s="118">
        <f>IF($B313="","",205-COUNTBLANK($B$109:$B313))</f>
        <v/>
      </c>
      <c r="B313" s="74" t="n"/>
      <c r="C313" s="131">
        <f>IF($B313="","",IFERROR(INDEX($C$6:$C$105,MATCH($B313,$A$6:$A$105,0)),"※ 미등록 관리번호"))</f>
        <v/>
      </c>
      <c r="D313" s="74" t="n"/>
      <c r="E313" s="80" t="n"/>
      <c r="F313" s="80" t="n"/>
      <c r="G313" s="80" t="n"/>
      <c r="H313" s="74" t="n"/>
      <c r="I313" s="36" t="n"/>
      <c r="J313" s="130">
        <f>IF($E313="","",IF($G313&lt;&gt;"","반납완료",IF(AND($F313&lt;&gt;"",$F313&lt;TODAY()),"연체","사용중")))</f>
        <v/>
      </c>
      <c r="K313" s="36" t="n"/>
    </row>
    <row r="314">
      <c r="A314" s="118">
        <f>IF($B314="","",206-COUNTBLANK($B$109:$B314))</f>
        <v/>
      </c>
      <c r="B314" s="74" t="n"/>
      <c r="C314" s="131">
        <f>IF($B314="","",IFERROR(INDEX($C$6:$C$105,MATCH($B314,$A$6:$A$105,0)),"※ 미등록 관리번호"))</f>
        <v/>
      </c>
      <c r="D314" s="74" t="n"/>
      <c r="E314" s="80" t="n"/>
      <c r="F314" s="80" t="n"/>
      <c r="G314" s="80" t="n"/>
      <c r="H314" s="74" t="n"/>
      <c r="I314" s="36" t="n"/>
      <c r="J314" s="130">
        <f>IF($E314="","",IF($G314&lt;&gt;"","반납완료",IF(AND($F314&lt;&gt;"",$F314&lt;TODAY()),"연체","사용중")))</f>
        <v/>
      </c>
      <c r="K314" s="36" t="n"/>
    </row>
    <row r="315">
      <c r="A315" s="118">
        <f>IF($B315="","",207-COUNTBLANK($B$109:$B315))</f>
        <v/>
      </c>
      <c r="B315" s="74" t="n"/>
      <c r="C315" s="131">
        <f>IF($B315="","",IFERROR(INDEX($C$6:$C$105,MATCH($B315,$A$6:$A$105,0)),"※ 미등록 관리번호"))</f>
        <v/>
      </c>
      <c r="D315" s="74" t="n"/>
      <c r="E315" s="80" t="n"/>
      <c r="F315" s="80" t="n"/>
      <c r="G315" s="80" t="n"/>
      <c r="H315" s="74" t="n"/>
      <c r="I315" s="36" t="n"/>
      <c r="J315" s="130">
        <f>IF($E315="","",IF($G315&lt;&gt;"","반납완료",IF(AND($F315&lt;&gt;"",$F315&lt;TODAY()),"연체","사용중")))</f>
        <v/>
      </c>
      <c r="K315" s="36" t="n"/>
    </row>
    <row r="316">
      <c r="A316" s="118">
        <f>IF($B316="","",208-COUNTBLANK($B$109:$B316))</f>
        <v/>
      </c>
      <c r="B316" s="74" t="n"/>
      <c r="C316" s="131">
        <f>IF($B316="","",IFERROR(INDEX($C$6:$C$105,MATCH($B316,$A$6:$A$105,0)),"※ 미등록 관리번호"))</f>
        <v/>
      </c>
      <c r="D316" s="74" t="n"/>
      <c r="E316" s="80" t="n"/>
      <c r="F316" s="80" t="n"/>
      <c r="G316" s="80" t="n"/>
      <c r="H316" s="74" t="n"/>
      <c r="I316" s="36" t="n"/>
      <c r="J316" s="130">
        <f>IF($E316="","",IF($G316&lt;&gt;"","반납완료",IF(AND($F316&lt;&gt;"",$F316&lt;TODAY()),"연체","사용중")))</f>
        <v/>
      </c>
      <c r="K316" s="36" t="n"/>
    </row>
    <row r="317">
      <c r="A317" s="118">
        <f>IF($B317="","",209-COUNTBLANK($B$109:$B317))</f>
        <v/>
      </c>
      <c r="B317" s="74" t="n"/>
      <c r="C317" s="131">
        <f>IF($B317="","",IFERROR(INDEX($C$6:$C$105,MATCH($B317,$A$6:$A$105,0)),"※ 미등록 관리번호"))</f>
        <v/>
      </c>
      <c r="D317" s="74" t="n"/>
      <c r="E317" s="80" t="n"/>
      <c r="F317" s="80" t="n"/>
      <c r="G317" s="80" t="n"/>
      <c r="H317" s="74" t="n"/>
      <c r="I317" s="36" t="n"/>
      <c r="J317" s="130">
        <f>IF($E317="","",IF($G317&lt;&gt;"","반납완료",IF(AND($F317&lt;&gt;"",$F317&lt;TODAY()),"연체","사용중")))</f>
        <v/>
      </c>
      <c r="K317" s="36" t="n"/>
    </row>
    <row r="318">
      <c r="A318" s="118">
        <f>IF($B318="","",210-COUNTBLANK($B$109:$B318))</f>
        <v/>
      </c>
      <c r="B318" s="74" t="n"/>
      <c r="C318" s="131">
        <f>IF($B318="","",IFERROR(INDEX($C$6:$C$105,MATCH($B318,$A$6:$A$105,0)),"※ 미등록 관리번호"))</f>
        <v/>
      </c>
      <c r="D318" s="74" t="n"/>
      <c r="E318" s="80" t="n"/>
      <c r="F318" s="80" t="n"/>
      <c r="G318" s="80" t="n"/>
      <c r="H318" s="74" t="n"/>
      <c r="I318" s="36" t="n"/>
      <c r="J318" s="130">
        <f>IF($E318="","",IF($G318&lt;&gt;"","반납완료",IF(AND($F318&lt;&gt;"",$F318&lt;TODAY()),"연체","사용중")))</f>
        <v/>
      </c>
      <c r="K318" s="36" t="n"/>
    </row>
    <row r="319">
      <c r="A319" s="118">
        <f>IF($B319="","",211-COUNTBLANK($B$109:$B319))</f>
        <v/>
      </c>
      <c r="B319" s="74" t="n"/>
      <c r="C319" s="131">
        <f>IF($B319="","",IFERROR(INDEX($C$6:$C$105,MATCH($B319,$A$6:$A$105,0)),"※ 미등록 관리번호"))</f>
        <v/>
      </c>
      <c r="D319" s="74" t="n"/>
      <c r="E319" s="80" t="n"/>
      <c r="F319" s="80" t="n"/>
      <c r="G319" s="80" t="n"/>
      <c r="H319" s="74" t="n"/>
      <c r="I319" s="36" t="n"/>
      <c r="J319" s="130">
        <f>IF($E319="","",IF($G319&lt;&gt;"","반납완료",IF(AND($F319&lt;&gt;"",$F319&lt;TODAY()),"연체","사용중")))</f>
        <v/>
      </c>
      <c r="K319" s="36" t="n"/>
    </row>
    <row r="320">
      <c r="A320" s="118">
        <f>IF($B320="","",212-COUNTBLANK($B$109:$B320))</f>
        <v/>
      </c>
      <c r="B320" s="74" t="n"/>
      <c r="C320" s="131">
        <f>IF($B320="","",IFERROR(INDEX($C$6:$C$105,MATCH($B320,$A$6:$A$105,0)),"※ 미등록 관리번호"))</f>
        <v/>
      </c>
      <c r="D320" s="74" t="n"/>
      <c r="E320" s="80" t="n"/>
      <c r="F320" s="80" t="n"/>
      <c r="G320" s="80" t="n"/>
      <c r="H320" s="74" t="n"/>
      <c r="I320" s="36" t="n"/>
      <c r="J320" s="130">
        <f>IF($E320="","",IF($G320&lt;&gt;"","반납완료",IF(AND($F320&lt;&gt;"",$F320&lt;TODAY()),"연체","사용중")))</f>
        <v/>
      </c>
      <c r="K320" s="36" t="n"/>
    </row>
    <row r="321">
      <c r="A321" s="118">
        <f>IF($B321="","",213-COUNTBLANK($B$109:$B321))</f>
        <v/>
      </c>
      <c r="B321" s="74" t="n"/>
      <c r="C321" s="131">
        <f>IF($B321="","",IFERROR(INDEX($C$6:$C$105,MATCH($B321,$A$6:$A$105,0)),"※ 미등록 관리번호"))</f>
        <v/>
      </c>
      <c r="D321" s="74" t="n"/>
      <c r="E321" s="80" t="n"/>
      <c r="F321" s="80" t="n"/>
      <c r="G321" s="80" t="n"/>
      <c r="H321" s="74" t="n"/>
      <c r="I321" s="36" t="n"/>
      <c r="J321" s="130">
        <f>IF($E321="","",IF($G321&lt;&gt;"","반납완료",IF(AND($F321&lt;&gt;"",$F321&lt;TODAY()),"연체","사용중")))</f>
        <v/>
      </c>
      <c r="K321" s="36" t="n"/>
    </row>
    <row r="322">
      <c r="A322" s="118">
        <f>IF($B322="","",214-COUNTBLANK($B$109:$B322))</f>
        <v/>
      </c>
      <c r="B322" s="74" t="n"/>
      <c r="C322" s="131">
        <f>IF($B322="","",IFERROR(INDEX($C$6:$C$105,MATCH($B322,$A$6:$A$105,0)),"※ 미등록 관리번호"))</f>
        <v/>
      </c>
      <c r="D322" s="74" t="n"/>
      <c r="E322" s="80" t="n"/>
      <c r="F322" s="80" t="n"/>
      <c r="G322" s="80" t="n"/>
      <c r="H322" s="74" t="n"/>
      <c r="I322" s="36" t="n"/>
      <c r="J322" s="130">
        <f>IF($E322="","",IF($G322&lt;&gt;"","반납완료",IF(AND($F322&lt;&gt;"",$F322&lt;TODAY()),"연체","사용중")))</f>
        <v/>
      </c>
      <c r="K322" s="36" t="n"/>
    </row>
    <row r="323">
      <c r="A323" s="118">
        <f>IF($B323="","",215-COUNTBLANK($B$109:$B323))</f>
        <v/>
      </c>
      <c r="B323" s="74" t="n"/>
      <c r="C323" s="131">
        <f>IF($B323="","",IFERROR(INDEX($C$6:$C$105,MATCH($B323,$A$6:$A$105,0)),"※ 미등록 관리번호"))</f>
        <v/>
      </c>
      <c r="D323" s="74" t="n"/>
      <c r="E323" s="80" t="n"/>
      <c r="F323" s="80" t="n"/>
      <c r="G323" s="80" t="n"/>
      <c r="H323" s="74" t="n"/>
      <c r="I323" s="36" t="n"/>
      <c r="J323" s="130">
        <f>IF($E323="","",IF($G323&lt;&gt;"","반납완료",IF(AND($F323&lt;&gt;"",$F323&lt;TODAY()),"연체","사용중")))</f>
        <v/>
      </c>
      <c r="K323" s="36" t="n"/>
    </row>
    <row r="324">
      <c r="A324" s="118">
        <f>IF($B324="","",216-COUNTBLANK($B$109:$B324))</f>
        <v/>
      </c>
      <c r="B324" s="74" t="n"/>
      <c r="C324" s="131">
        <f>IF($B324="","",IFERROR(INDEX($C$6:$C$105,MATCH($B324,$A$6:$A$105,0)),"※ 미등록 관리번호"))</f>
        <v/>
      </c>
      <c r="D324" s="74" t="n"/>
      <c r="E324" s="80" t="n"/>
      <c r="F324" s="80" t="n"/>
      <c r="G324" s="80" t="n"/>
      <c r="H324" s="74" t="n"/>
      <c r="I324" s="36" t="n"/>
      <c r="J324" s="130">
        <f>IF($E324="","",IF($G324&lt;&gt;"","반납완료",IF(AND($F324&lt;&gt;"",$F324&lt;TODAY()),"연체","사용중")))</f>
        <v/>
      </c>
      <c r="K324" s="36" t="n"/>
    </row>
    <row r="325">
      <c r="A325" s="118">
        <f>IF($B325="","",217-COUNTBLANK($B$109:$B325))</f>
        <v/>
      </c>
      <c r="B325" s="74" t="n"/>
      <c r="C325" s="131">
        <f>IF($B325="","",IFERROR(INDEX($C$6:$C$105,MATCH($B325,$A$6:$A$105,0)),"※ 미등록 관리번호"))</f>
        <v/>
      </c>
      <c r="D325" s="74" t="n"/>
      <c r="E325" s="80" t="n"/>
      <c r="F325" s="80" t="n"/>
      <c r="G325" s="80" t="n"/>
      <c r="H325" s="74" t="n"/>
      <c r="I325" s="36" t="n"/>
      <c r="J325" s="130">
        <f>IF($E325="","",IF($G325&lt;&gt;"","반납완료",IF(AND($F325&lt;&gt;"",$F325&lt;TODAY()),"연체","사용중")))</f>
        <v/>
      </c>
      <c r="K325" s="36" t="n"/>
    </row>
    <row r="326">
      <c r="A326" s="118">
        <f>IF($B326="","",218-COUNTBLANK($B$109:$B326))</f>
        <v/>
      </c>
      <c r="B326" s="74" t="n"/>
      <c r="C326" s="131">
        <f>IF($B326="","",IFERROR(INDEX($C$6:$C$105,MATCH($B326,$A$6:$A$105,0)),"※ 미등록 관리번호"))</f>
        <v/>
      </c>
      <c r="D326" s="74" t="n"/>
      <c r="E326" s="80" t="n"/>
      <c r="F326" s="80" t="n"/>
      <c r="G326" s="80" t="n"/>
      <c r="H326" s="74" t="n"/>
      <c r="I326" s="36" t="n"/>
      <c r="J326" s="130">
        <f>IF($E326="","",IF($G326&lt;&gt;"","반납완료",IF(AND($F326&lt;&gt;"",$F326&lt;TODAY()),"연체","사용중")))</f>
        <v/>
      </c>
      <c r="K326" s="36" t="n"/>
    </row>
    <row r="327">
      <c r="A327" s="118">
        <f>IF($B327="","",219-COUNTBLANK($B$109:$B327))</f>
        <v/>
      </c>
      <c r="B327" s="74" t="n"/>
      <c r="C327" s="131">
        <f>IF($B327="","",IFERROR(INDEX($C$6:$C$105,MATCH($B327,$A$6:$A$105,0)),"※ 미등록 관리번호"))</f>
        <v/>
      </c>
      <c r="D327" s="74" t="n"/>
      <c r="E327" s="80" t="n"/>
      <c r="F327" s="80" t="n"/>
      <c r="G327" s="80" t="n"/>
      <c r="H327" s="74" t="n"/>
      <c r="I327" s="36" t="n"/>
      <c r="J327" s="130">
        <f>IF($E327="","",IF($G327&lt;&gt;"","반납완료",IF(AND($F327&lt;&gt;"",$F327&lt;TODAY()),"연체","사용중")))</f>
        <v/>
      </c>
      <c r="K327" s="36" t="n"/>
    </row>
    <row r="328">
      <c r="A328" s="118">
        <f>IF($B328="","",220-COUNTBLANK($B$109:$B328))</f>
        <v/>
      </c>
      <c r="B328" s="74" t="n"/>
      <c r="C328" s="131">
        <f>IF($B328="","",IFERROR(INDEX($C$6:$C$105,MATCH($B328,$A$6:$A$105,0)),"※ 미등록 관리번호"))</f>
        <v/>
      </c>
      <c r="D328" s="74" t="n"/>
      <c r="E328" s="80" t="n"/>
      <c r="F328" s="80" t="n"/>
      <c r="G328" s="80" t="n"/>
      <c r="H328" s="74" t="n"/>
      <c r="I328" s="36" t="n"/>
      <c r="J328" s="130">
        <f>IF($E328="","",IF($G328&lt;&gt;"","반납완료",IF(AND($F328&lt;&gt;"",$F328&lt;TODAY()),"연체","사용중")))</f>
        <v/>
      </c>
      <c r="K328" s="36" t="n"/>
    </row>
    <row r="329">
      <c r="A329" s="118">
        <f>IF($B329="","",221-COUNTBLANK($B$109:$B329))</f>
        <v/>
      </c>
      <c r="B329" s="74" t="n"/>
      <c r="C329" s="131">
        <f>IF($B329="","",IFERROR(INDEX($C$6:$C$105,MATCH($B329,$A$6:$A$105,0)),"※ 미등록 관리번호"))</f>
        <v/>
      </c>
      <c r="D329" s="74" t="n"/>
      <c r="E329" s="80" t="n"/>
      <c r="F329" s="80" t="n"/>
      <c r="G329" s="80" t="n"/>
      <c r="H329" s="74" t="n"/>
      <c r="I329" s="36" t="n"/>
      <c r="J329" s="130">
        <f>IF($E329="","",IF($G329&lt;&gt;"","반납완료",IF(AND($F329&lt;&gt;"",$F329&lt;TODAY()),"연체","사용중")))</f>
        <v/>
      </c>
      <c r="K329" s="36" t="n"/>
    </row>
    <row r="330">
      <c r="A330" s="118">
        <f>IF($B330="","",222-COUNTBLANK($B$109:$B330))</f>
        <v/>
      </c>
      <c r="B330" s="74" t="n"/>
      <c r="C330" s="131">
        <f>IF($B330="","",IFERROR(INDEX($C$6:$C$105,MATCH($B330,$A$6:$A$105,0)),"※ 미등록 관리번호"))</f>
        <v/>
      </c>
      <c r="D330" s="74" t="n"/>
      <c r="E330" s="80" t="n"/>
      <c r="F330" s="80" t="n"/>
      <c r="G330" s="80" t="n"/>
      <c r="H330" s="74" t="n"/>
      <c r="I330" s="36" t="n"/>
      <c r="J330" s="130">
        <f>IF($E330="","",IF($G330&lt;&gt;"","반납완료",IF(AND($F330&lt;&gt;"",$F330&lt;TODAY()),"연체","사용중")))</f>
        <v/>
      </c>
      <c r="K330" s="36" t="n"/>
    </row>
    <row r="331">
      <c r="A331" s="118">
        <f>IF($B331="","",223-COUNTBLANK($B$109:$B331))</f>
        <v/>
      </c>
      <c r="B331" s="74" t="n"/>
      <c r="C331" s="131">
        <f>IF($B331="","",IFERROR(INDEX($C$6:$C$105,MATCH($B331,$A$6:$A$105,0)),"※ 미등록 관리번호"))</f>
        <v/>
      </c>
      <c r="D331" s="74" t="n"/>
      <c r="E331" s="80" t="n"/>
      <c r="F331" s="80" t="n"/>
      <c r="G331" s="80" t="n"/>
      <c r="H331" s="74" t="n"/>
      <c r="I331" s="36" t="n"/>
      <c r="J331" s="130">
        <f>IF($E331="","",IF($G331&lt;&gt;"","반납완료",IF(AND($F331&lt;&gt;"",$F331&lt;TODAY()),"연체","사용중")))</f>
        <v/>
      </c>
      <c r="K331" s="36" t="n"/>
    </row>
    <row r="332">
      <c r="A332" s="118">
        <f>IF($B332="","",224-COUNTBLANK($B$109:$B332))</f>
        <v/>
      </c>
      <c r="B332" s="74" t="n"/>
      <c r="C332" s="131">
        <f>IF($B332="","",IFERROR(INDEX($C$6:$C$105,MATCH($B332,$A$6:$A$105,0)),"※ 미등록 관리번호"))</f>
        <v/>
      </c>
      <c r="D332" s="74" t="n"/>
      <c r="E332" s="80" t="n"/>
      <c r="F332" s="80" t="n"/>
      <c r="G332" s="80" t="n"/>
      <c r="H332" s="74" t="n"/>
      <c r="I332" s="36" t="n"/>
      <c r="J332" s="130">
        <f>IF($E332="","",IF($G332&lt;&gt;"","반납완료",IF(AND($F332&lt;&gt;"",$F332&lt;TODAY()),"연체","사용중")))</f>
        <v/>
      </c>
      <c r="K332" s="36" t="n"/>
    </row>
    <row r="333">
      <c r="A333" s="118">
        <f>IF($B333="","",225-COUNTBLANK($B$109:$B333))</f>
        <v/>
      </c>
      <c r="B333" s="74" t="n"/>
      <c r="C333" s="131">
        <f>IF($B333="","",IFERROR(INDEX($C$6:$C$105,MATCH($B333,$A$6:$A$105,0)),"※ 미등록 관리번호"))</f>
        <v/>
      </c>
      <c r="D333" s="74" t="n"/>
      <c r="E333" s="80" t="n"/>
      <c r="F333" s="80" t="n"/>
      <c r="G333" s="80" t="n"/>
      <c r="H333" s="74" t="n"/>
      <c r="I333" s="36" t="n"/>
      <c r="J333" s="130">
        <f>IF($E333="","",IF($G333&lt;&gt;"","반납완료",IF(AND($F333&lt;&gt;"",$F333&lt;TODAY()),"연체","사용중")))</f>
        <v/>
      </c>
      <c r="K333" s="36" t="n"/>
    </row>
    <row r="334">
      <c r="A334" s="118">
        <f>IF($B334="","",226-COUNTBLANK($B$109:$B334))</f>
        <v/>
      </c>
      <c r="B334" s="74" t="n"/>
      <c r="C334" s="131">
        <f>IF($B334="","",IFERROR(INDEX($C$6:$C$105,MATCH($B334,$A$6:$A$105,0)),"※ 미등록 관리번호"))</f>
        <v/>
      </c>
      <c r="D334" s="74" t="n"/>
      <c r="E334" s="80" t="n"/>
      <c r="F334" s="80" t="n"/>
      <c r="G334" s="80" t="n"/>
      <c r="H334" s="74" t="n"/>
      <c r="I334" s="36" t="n"/>
      <c r="J334" s="130">
        <f>IF($E334="","",IF($G334&lt;&gt;"","반납완료",IF(AND($F334&lt;&gt;"",$F334&lt;TODAY()),"연체","사용중")))</f>
        <v/>
      </c>
      <c r="K334" s="36" t="n"/>
    </row>
    <row r="335">
      <c r="A335" s="118">
        <f>IF($B335="","",227-COUNTBLANK($B$109:$B335))</f>
        <v/>
      </c>
      <c r="B335" s="74" t="n"/>
      <c r="C335" s="131">
        <f>IF($B335="","",IFERROR(INDEX($C$6:$C$105,MATCH($B335,$A$6:$A$105,0)),"※ 미등록 관리번호"))</f>
        <v/>
      </c>
      <c r="D335" s="74" t="n"/>
      <c r="E335" s="80" t="n"/>
      <c r="F335" s="80" t="n"/>
      <c r="G335" s="80" t="n"/>
      <c r="H335" s="74" t="n"/>
      <c r="I335" s="36" t="n"/>
      <c r="J335" s="130">
        <f>IF($E335="","",IF($G335&lt;&gt;"","반납완료",IF(AND($F335&lt;&gt;"",$F335&lt;TODAY()),"연체","사용중")))</f>
        <v/>
      </c>
      <c r="K335" s="36" t="n"/>
    </row>
    <row r="336">
      <c r="A336" s="118">
        <f>IF($B336="","",228-COUNTBLANK($B$109:$B336))</f>
        <v/>
      </c>
      <c r="B336" s="74" t="n"/>
      <c r="C336" s="131">
        <f>IF($B336="","",IFERROR(INDEX($C$6:$C$105,MATCH($B336,$A$6:$A$105,0)),"※ 미등록 관리번호"))</f>
        <v/>
      </c>
      <c r="D336" s="74" t="n"/>
      <c r="E336" s="80" t="n"/>
      <c r="F336" s="80" t="n"/>
      <c r="G336" s="80" t="n"/>
      <c r="H336" s="74" t="n"/>
      <c r="I336" s="36" t="n"/>
      <c r="J336" s="130">
        <f>IF($E336="","",IF($G336&lt;&gt;"","반납완료",IF(AND($F336&lt;&gt;"",$F336&lt;TODAY()),"연체","사용중")))</f>
        <v/>
      </c>
      <c r="K336" s="36" t="n"/>
    </row>
    <row r="337">
      <c r="A337" s="118">
        <f>IF($B337="","",229-COUNTBLANK($B$109:$B337))</f>
        <v/>
      </c>
      <c r="B337" s="74" t="n"/>
      <c r="C337" s="131">
        <f>IF($B337="","",IFERROR(INDEX($C$6:$C$105,MATCH($B337,$A$6:$A$105,0)),"※ 미등록 관리번호"))</f>
        <v/>
      </c>
      <c r="D337" s="74" t="n"/>
      <c r="E337" s="80" t="n"/>
      <c r="F337" s="80" t="n"/>
      <c r="G337" s="80" t="n"/>
      <c r="H337" s="74" t="n"/>
      <c r="I337" s="36" t="n"/>
      <c r="J337" s="130">
        <f>IF($E337="","",IF($G337&lt;&gt;"","반납완료",IF(AND($F337&lt;&gt;"",$F337&lt;TODAY()),"연체","사용중")))</f>
        <v/>
      </c>
      <c r="K337" s="36" t="n"/>
    </row>
    <row r="338">
      <c r="A338" s="118">
        <f>IF($B338="","",230-COUNTBLANK($B$109:$B338))</f>
        <v/>
      </c>
      <c r="B338" s="74" t="n"/>
      <c r="C338" s="131">
        <f>IF($B338="","",IFERROR(INDEX($C$6:$C$105,MATCH($B338,$A$6:$A$105,0)),"※ 미등록 관리번호"))</f>
        <v/>
      </c>
      <c r="D338" s="74" t="n"/>
      <c r="E338" s="80" t="n"/>
      <c r="F338" s="80" t="n"/>
      <c r="G338" s="80" t="n"/>
      <c r="H338" s="74" t="n"/>
      <c r="I338" s="36" t="n"/>
      <c r="J338" s="130">
        <f>IF($E338="","",IF($G338&lt;&gt;"","반납완료",IF(AND($F338&lt;&gt;"",$F338&lt;TODAY()),"연체","사용중")))</f>
        <v/>
      </c>
      <c r="K338" s="36" t="n"/>
    </row>
    <row r="339">
      <c r="A339" s="118">
        <f>IF($B339="","",231-COUNTBLANK($B$109:$B339))</f>
        <v/>
      </c>
      <c r="B339" s="74" t="n"/>
      <c r="C339" s="131">
        <f>IF($B339="","",IFERROR(INDEX($C$6:$C$105,MATCH($B339,$A$6:$A$105,0)),"※ 미등록 관리번호"))</f>
        <v/>
      </c>
      <c r="D339" s="74" t="n"/>
      <c r="E339" s="80" t="n"/>
      <c r="F339" s="80" t="n"/>
      <c r="G339" s="80" t="n"/>
      <c r="H339" s="74" t="n"/>
      <c r="I339" s="36" t="n"/>
      <c r="J339" s="130">
        <f>IF($E339="","",IF($G339&lt;&gt;"","반납완료",IF(AND($F339&lt;&gt;"",$F339&lt;TODAY()),"연체","사용중")))</f>
        <v/>
      </c>
      <c r="K339" s="36" t="n"/>
    </row>
    <row r="340">
      <c r="A340" s="118">
        <f>IF($B340="","",232-COUNTBLANK($B$109:$B340))</f>
        <v/>
      </c>
      <c r="B340" s="74" t="n"/>
      <c r="C340" s="131">
        <f>IF($B340="","",IFERROR(INDEX($C$6:$C$105,MATCH($B340,$A$6:$A$105,0)),"※ 미등록 관리번호"))</f>
        <v/>
      </c>
      <c r="D340" s="74" t="n"/>
      <c r="E340" s="80" t="n"/>
      <c r="F340" s="80" t="n"/>
      <c r="G340" s="80" t="n"/>
      <c r="H340" s="74" t="n"/>
      <c r="I340" s="36" t="n"/>
      <c r="J340" s="130">
        <f>IF($E340="","",IF($G340&lt;&gt;"","반납완료",IF(AND($F340&lt;&gt;"",$F340&lt;TODAY()),"연체","사용중")))</f>
        <v/>
      </c>
      <c r="K340" s="36" t="n"/>
    </row>
    <row r="341">
      <c r="A341" s="118">
        <f>IF($B341="","",233-COUNTBLANK($B$109:$B341))</f>
        <v/>
      </c>
      <c r="B341" s="74" t="n"/>
      <c r="C341" s="131">
        <f>IF($B341="","",IFERROR(INDEX($C$6:$C$105,MATCH($B341,$A$6:$A$105,0)),"※ 미등록 관리번호"))</f>
        <v/>
      </c>
      <c r="D341" s="74" t="n"/>
      <c r="E341" s="80" t="n"/>
      <c r="F341" s="80" t="n"/>
      <c r="G341" s="80" t="n"/>
      <c r="H341" s="74" t="n"/>
      <c r="I341" s="36" t="n"/>
      <c r="J341" s="130">
        <f>IF($E341="","",IF($G341&lt;&gt;"","반납완료",IF(AND($F341&lt;&gt;"",$F341&lt;TODAY()),"연체","사용중")))</f>
        <v/>
      </c>
      <c r="K341" s="36" t="n"/>
    </row>
    <row r="342">
      <c r="A342" s="118">
        <f>IF($B342="","",234-COUNTBLANK($B$109:$B342))</f>
        <v/>
      </c>
      <c r="B342" s="74" t="n"/>
      <c r="C342" s="131">
        <f>IF($B342="","",IFERROR(INDEX($C$6:$C$105,MATCH($B342,$A$6:$A$105,0)),"※ 미등록 관리번호"))</f>
        <v/>
      </c>
      <c r="D342" s="74" t="n"/>
      <c r="E342" s="80" t="n"/>
      <c r="F342" s="80" t="n"/>
      <c r="G342" s="80" t="n"/>
      <c r="H342" s="74" t="n"/>
      <c r="I342" s="36" t="n"/>
      <c r="J342" s="130">
        <f>IF($E342="","",IF($G342&lt;&gt;"","반납완료",IF(AND($F342&lt;&gt;"",$F342&lt;TODAY()),"연체","사용중")))</f>
        <v/>
      </c>
      <c r="K342" s="36" t="n"/>
    </row>
    <row r="343">
      <c r="A343" s="118">
        <f>IF($B343="","",235-COUNTBLANK($B$109:$B343))</f>
        <v/>
      </c>
      <c r="B343" s="74" t="n"/>
      <c r="C343" s="131">
        <f>IF($B343="","",IFERROR(INDEX($C$6:$C$105,MATCH($B343,$A$6:$A$105,0)),"※ 미등록 관리번호"))</f>
        <v/>
      </c>
      <c r="D343" s="74" t="n"/>
      <c r="E343" s="80" t="n"/>
      <c r="F343" s="80" t="n"/>
      <c r="G343" s="80" t="n"/>
      <c r="H343" s="74" t="n"/>
      <c r="I343" s="36" t="n"/>
      <c r="J343" s="130">
        <f>IF($E343="","",IF($G343&lt;&gt;"","반납완료",IF(AND($F343&lt;&gt;"",$F343&lt;TODAY()),"연체","사용중")))</f>
        <v/>
      </c>
      <c r="K343" s="36" t="n"/>
    </row>
    <row r="344">
      <c r="A344" s="118">
        <f>IF($B344="","",236-COUNTBLANK($B$109:$B344))</f>
        <v/>
      </c>
      <c r="B344" s="74" t="n"/>
      <c r="C344" s="131">
        <f>IF($B344="","",IFERROR(INDEX($C$6:$C$105,MATCH($B344,$A$6:$A$105,0)),"※ 미등록 관리번호"))</f>
        <v/>
      </c>
      <c r="D344" s="74" t="n"/>
      <c r="E344" s="80" t="n"/>
      <c r="F344" s="80" t="n"/>
      <c r="G344" s="80" t="n"/>
      <c r="H344" s="74" t="n"/>
      <c r="I344" s="36" t="n"/>
      <c r="J344" s="130">
        <f>IF($E344="","",IF($G344&lt;&gt;"","반납완료",IF(AND($F344&lt;&gt;"",$F344&lt;TODAY()),"연체","사용중")))</f>
        <v/>
      </c>
      <c r="K344" s="36" t="n"/>
    </row>
    <row r="345">
      <c r="A345" s="118">
        <f>IF($B345="","",237-COUNTBLANK($B$109:$B345))</f>
        <v/>
      </c>
      <c r="B345" s="74" t="n"/>
      <c r="C345" s="131">
        <f>IF($B345="","",IFERROR(INDEX($C$6:$C$105,MATCH($B345,$A$6:$A$105,0)),"※ 미등록 관리번호"))</f>
        <v/>
      </c>
      <c r="D345" s="74" t="n"/>
      <c r="E345" s="80" t="n"/>
      <c r="F345" s="80" t="n"/>
      <c r="G345" s="80" t="n"/>
      <c r="H345" s="74" t="n"/>
      <c r="I345" s="36" t="n"/>
      <c r="J345" s="130">
        <f>IF($E345="","",IF($G345&lt;&gt;"","반납완료",IF(AND($F345&lt;&gt;"",$F345&lt;TODAY()),"연체","사용중")))</f>
        <v/>
      </c>
      <c r="K345" s="36" t="n"/>
    </row>
    <row r="346">
      <c r="A346" s="118">
        <f>IF($B346="","",238-COUNTBLANK($B$109:$B346))</f>
        <v/>
      </c>
      <c r="B346" s="74" t="n"/>
      <c r="C346" s="131">
        <f>IF($B346="","",IFERROR(INDEX($C$6:$C$105,MATCH($B346,$A$6:$A$105,0)),"※ 미등록 관리번호"))</f>
        <v/>
      </c>
      <c r="D346" s="74" t="n"/>
      <c r="E346" s="80" t="n"/>
      <c r="F346" s="80" t="n"/>
      <c r="G346" s="80" t="n"/>
      <c r="H346" s="74" t="n"/>
      <c r="I346" s="36" t="n"/>
      <c r="J346" s="130">
        <f>IF($E346="","",IF($G346&lt;&gt;"","반납완료",IF(AND($F346&lt;&gt;"",$F346&lt;TODAY()),"연체","사용중")))</f>
        <v/>
      </c>
      <c r="K346" s="36" t="n"/>
    </row>
    <row r="347">
      <c r="A347" s="118">
        <f>IF($B347="","",239-COUNTBLANK($B$109:$B347))</f>
        <v/>
      </c>
      <c r="B347" s="74" t="n"/>
      <c r="C347" s="131">
        <f>IF($B347="","",IFERROR(INDEX($C$6:$C$105,MATCH($B347,$A$6:$A$105,0)),"※ 미등록 관리번호"))</f>
        <v/>
      </c>
      <c r="D347" s="74" t="n"/>
      <c r="E347" s="80" t="n"/>
      <c r="F347" s="80" t="n"/>
      <c r="G347" s="80" t="n"/>
      <c r="H347" s="74" t="n"/>
      <c r="I347" s="36" t="n"/>
      <c r="J347" s="130">
        <f>IF($E347="","",IF($G347&lt;&gt;"","반납완료",IF(AND($F347&lt;&gt;"",$F347&lt;TODAY()),"연체","사용중")))</f>
        <v/>
      </c>
      <c r="K347" s="36" t="n"/>
    </row>
    <row r="348">
      <c r="A348" s="118">
        <f>IF($B348="","",240-COUNTBLANK($B$109:$B348))</f>
        <v/>
      </c>
      <c r="B348" s="74" t="n"/>
      <c r="C348" s="131">
        <f>IF($B348="","",IFERROR(INDEX($C$6:$C$105,MATCH($B348,$A$6:$A$105,0)),"※ 미등록 관리번호"))</f>
        <v/>
      </c>
      <c r="D348" s="74" t="n"/>
      <c r="E348" s="80" t="n"/>
      <c r="F348" s="80" t="n"/>
      <c r="G348" s="80" t="n"/>
      <c r="H348" s="74" t="n"/>
      <c r="I348" s="36" t="n"/>
      <c r="J348" s="130">
        <f>IF($E348="","",IF($G348&lt;&gt;"","반납완료",IF(AND($F348&lt;&gt;"",$F348&lt;TODAY()),"연체","사용중")))</f>
        <v/>
      </c>
      <c r="K348" s="36" t="n"/>
    </row>
    <row r="349">
      <c r="A349" s="118">
        <f>IF($B349="","",241-COUNTBLANK($B$109:$B349))</f>
        <v/>
      </c>
      <c r="B349" s="74" t="n"/>
      <c r="C349" s="131">
        <f>IF($B349="","",IFERROR(INDEX($C$6:$C$105,MATCH($B349,$A$6:$A$105,0)),"※ 미등록 관리번호"))</f>
        <v/>
      </c>
      <c r="D349" s="74" t="n"/>
      <c r="E349" s="80" t="n"/>
      <c r="F349" s="80" t="n"/>
      <c r="G349" s="80" t="n"/>
      <c r="H349" s="74" t="n"/>
      <c r="I349" s="36" t="n"/>
      <c r="J349" s="130">
        <f>IF($E349="","",IF($G349&lt;&gt;"","반납완료",IF(AND($F349&lt;&gt;"",$F349&lt;TODAY()),"연체","사용중")))</f>
        <v/>
      </c>
      <c r="K349" s="36" t="n"/>
    </row>
    <row r="350">
      <c r="A350" s="118">
        <f>IF($B350="","",242-COUNTBLANK($B$109:$B350))</f>
        <v/>
      </c>
      <c r="B350" s="74" t="n"/>
      <c r="C350" s="131">
        <f>IF($B350="","",IFERROR(INDEX($C$6:$C$105,MATCH($B350,$A$6:$A$105,0)),"※ 미등록 관리번호"))</f>
        <v/>
      </c>
      <c r="D350" s="74" t="n"/>
      <c r="E350" s="80" t="n"/>
      <c r="F350" s="80" t="n"/>
      <c r="G350" s="80" t="n"/>
      <c r="H350" s="74" t="n"/>
      <c r="I350" s="36" t="n"/>
      <c r="J350" s="130">
        <f>IF($E350="","",IF($G350&lt;&gt;"","반납완료",IF(AND($F350&lt;&gt;"",$F350&lt;TODAY()),"연체","사용중")))</f>
        <v/>
      </c>
      <c r="K350" s="36" t="n"/>
    </row>
    <row r="351">
      <c r="A351" s="118">
        <f>IF($B351="","",243-COUNTBLANK($B$109:$B351))</f>
        <v/>
      </c>
      <c r="B351" s="74" t="n"/>
      <c r="C351" s="131">
        <f>IF($B351="","",IFERROR(INDEX($C$6:$C$105,MATCH($B351,$A$6:$A$105,0)),"※ 미등록 관리번호"))</f>
        <v/>
      </c>
      <c r="D351" s="74" t="n"/>
      <c r="E351" s="80" t="n"/>
      <c r="F351" s="80" t="n"/>
      <c r="G351" s="80" t="n"/>
      <c r="H351" s="74" t="n"/>
      <c r="I351" s="36" t="n"/>
      <c r="J351" s="130">
        <f>IF($E351="","",IF($G351&lt;&gt;"","반납완료",IF(AND($F351&lt;&gt;"",$F351&lt;TODAY()),"연체","사용중")))</f>
        <v/>
      </c>
      <c r="K351" s="36" t="n"/>
    </row>
    <row r="352">
      <c r="A352" s="118">
        <f>IF($B352="","",244-COUNTBLANK($B$109:$B352))</f>
        <v/>
      </c>
      <c r="B352" s="74" t="n"/>
      <c r="C352" s="131">
        <f>IF($B352="","",IFERROR(INDEX($C$6:$C$105,MATCH($B352,$A$6:$A$105,0)),"※ 미등록 관리번호"))</f>
        <v/>
      </c>
      <c r="D352" s="74" t="n"/>
      <c r="E352" s="80" t="n"/>
      <c r="F352" s="80" t="n"/>
      <c r="G352" s="80" t="n"/>
      <c r="H352" s="74" t="n"/>
      <c r="I352" s="36" t="n"/>
      <c r="J352" s="130">
        <f>IF($E352="","",IF($G352&lt;&gt;"","반납완료",IF(AND($F352&lt;&gt;"",$F352&lt;TODAY()),"연체","사용중")))</f>
        <v/>
      </c>
      <c r="K352" s="36" t="n"/>
    </row>
    <row r="353">
      <c r="A353" s="118">
        <f>IF($B353="","",245-COUNTBLANK($B$109:$B353))</f>
        <v/>
      </c>
      <c r="B353" s="74" t="n"/>
      <c r="C353" s="131">
        <f>IF($B353="","",IFERROR(INDEX($C$6:$C$105,MATCH($B353,$A$6:$A$105,0)),"※ 미등록 관리번호"))</f>
        <v/>
      </c>
      <c r="D353" s="74" t="n"/>
      <c r="E353" s="80" t="n"/>
      <c r="F353" s="80" t="n"/>
      <c r="G353" s="80" t="n"/>
      <c r="H353" s="74" t="n"/>
      <c r="I353" s="36" t="n"/>
      <c r="J353" s="130">
        <f>IF($E353="","",IF($G353&lt;&gt;"","반납완료",IF(AND($F353&lt;&gt;"",$F353&lt;TODAY()),"연체","사용중")))</f>
        <v/>
      </c>
      <c r="K353" s="36" t="n"/>
    </row>
    <row r="354">
      <c r="A354" s="118">
        <f>IF($B354="","",246-COUNTBLANK($B$109:$B354))</f>
        <v/>
      </c>
      <c r="B354" s="74" t="n"/>
      <c r="C354" s="131">
        <f>IF($B354="","",IFERROR(INDEX($C$6:$C$105,MATCH($B354,$A$6:$A$105,0)),"※ 미등록 관리번호"))</f>
        <v/>
      </c>
      <c r="D354" s="74" t="n"/>
      <c r="E354" s="80" t="n"/>
      <c r="F354" s="80" t="n"/>
      <c r="G354" s="80" t="n"/>
      <c r="H354" s="74" t="n"/>
      <c r="I354" s="36" t="n"/>
      <c r="J354" s="130">
        <f>IF($E354="","",IF($G354&lt;&gt;"","반납완료",IF(AND($F354&lt;&gt;"",$F354&lt;TODAY()),"연체","사용중")))</f>
        <v/>
      </c>
      <c r="K354" s="36" t="n"/>
    </row>
    <row r="355">
      <c r="A355" s="118">
        <f>IF($B355="","",247-COUNTBLANK($B$109:$B355))</f>
        <v/>
      </c>
      <c r="B355" s="74" t="n"/>
      <c r="C355" s="131">
        <f>IF($B355="","",IFERROR(INDEX($C$6:$C$105,MATCH($B355,$A$6:$A$105,0)),"※ 미등록 관리번호"))</f>
        <v/>
      </c>
      <c r="D355" s="74" t="n"/>
      <c r="E355" s="80" t="n"/>
      <c r="F355" s="80" t="n"/>
      <c r="G355" s="80" t="n"/>
      <c r="H355" s="74" t="n"/>
      <c r="I355" s="36" t="n"/>
      <c r="J355" s="130">
        <f>IF($E355="","",IF($G355&lt;&gt;"","반납완료",IF(AND($F355&lt;&gt;"",$F355&lt;TODAY()),"연체","사용중")))</f>
        <v/>
      </c>
      <c r="K355" s="36" t="n"/>
    </row>
    <row r="356">
      <c r="A356" s="118">
        <f>IF($B356="","",248-COUNTBLANK($B$109:$B356))</f>
        <v/>
      </c>
      <c r="B356" s="74" t="n"/>
      <c r="C356" s="131">
        <f>IF($B356="","",IFERROR(INDEX($C$6:$C$105,MATCH($B356,$A$6:$A$105,0)),"※ 미등록 관리번호"))</f>
        <v/>
      </c>
      <c r="D356" s="74" t="n"/>
      <c r="E356" s="80" t="n"/>
      <c r="F356" s="80" t="n"/>
      <c r="G356" s="80" t="n"/>
      <c r="H356" s="74" t="n"/>
      <c r="I356" s="36" t="n"/>
      <c r="J356" s="130">
        <f>IF($E356="","",IF($G356&lt;&gt;"","반납완료",IF(AND($F356&lt;&gt;"",$F356&lt;TODAY()),"연체","사용중")))</f>
        <v/>
      </c>
      <c r="K356" s="36" t="n"/>
    </row>
    <row r="357">
      <c r="A357" s="118">
        <f>IF($B357="","",249-COUNTBLANK($B$109:$B357))</f>
        <v/>
      </c>
      <c r="B357" s="74" t="n"/>
      <c r="C357" s="131">
        <f>IF($B357="","",IFERROR(INDEX($C$6:$C$105,MATCH($B357,$A$6:$A$105,0)),"※ 미등록 관리번호"))</f>
        <v/>
      </c>
      <c r="D357" s="74" t="n"/>
      <c r="E357" s="80" t="n"/>
      <c r="F357" s="80" t="n"/>
      <c r="G357" s="80" t="n"/>
      <c r="H357" s="74" t="n"/>
      <c r="I357" s="36" t="n"/>
      <c r="J357" s="130">
        <f>IF($E357="","",IF($G357&lt;&gt;"","반납완료",IF(AND($F357&lt;&gt;"",$F357&lt;TODAY()),"연체","사용중")))</f>
        <v/>
      </c>
      <c r="K357" s="36" t="n"/>
    </row>
    <row r="358">
      <c r="A358" s="118">
        <f>IF($B358="","",250-COUNTBLANK($B$109:$B358))</f>
        <v/>
      </c>
      <c r="B358" s="74" t="n"/>
      <c r="C358" s="131">
        <f>IF($B358="","",IFERROR(INDEX($C$6:$C$105,MATCH($B358,$A$6:$A$105,0)),"※ 미등록 관리번호"))</f>
        <v/>
      </c>
      <c r="D358" s="74" t="n"/>
      <c r="E358" s="80" t="n"/>
      <c r="F358" s="80" t="n"/>
      <c r="G358" s="80" t="n"/>
      <c r="H358" s="74" t="n"/>
      <c r="I358" s="36" t="n"/>
      <c r="J358" s="130">
        <f>IF($E358="","",IF($G358&lt;&gt;"","반납완료",IF(AND($F358&lt;&gt;"",$F358&lt;TODAY()),"연체","사용중")))</f>
        <v/>
      </c>
      <c r="K358" s="36" t="n"/>
    </row>
    <row r="359">
      <c r="A359" s="118">
        <f>IF($B359="","",251-COUNTBLANK($B$109:$B359))</f>
        <v/>
      </c>
      <c r="B359" s="74" t="n"/>
      <c r="C359" s="131">
        <f>IF($B359="","",IFERROR(INDEX($C$6:$C$105,MATCH($B359,$A$6:$A$105,0)),"※ 미등록 관리번호"))</f>
        <v/>
      </c>
      <c r="D359" s="74" t="n"/>
      <c r="E359" s="80" t="n"/>
      <c r="F359" s="80" t="n"/>
      <c r="G359" s="80" t="n"/>
      <c r="H359" s="74" t="n"/>
      <c r="I359" s="36" t="n"/>
      <c r="J359" s="130">
        <f>IF($E359="","",IF($G359&lt;&gt;"","반납완료",IF(AND($F359&lt;&gt;"",$F359&lt;TODAY()),"연체","사용중")))</f>
        <v/>
      </c>
      <c r="K359" s="36" t="n"/>
    </row>
    <row r="360">
      <c r="A360" s="118">
        <f>IF($B360="","",252-COUNTBLANK($B$109:$B360))</f>
        <v/>
      </c>
      <c r="B360" s="74" t="n"/>
      <c r="C360" s="131">
        <f>IF($B360="","",IFERROR(INDEX($C$6:$C$105,MATCH($B360,$A$6:$A$105,0)),"※ 미등록 관리번호"))</f>
        <v/>
      </c>
      <c r="D360" s="74" t="n"/>
      <c r="E360" s="80" t="n"/>
      <c r="F360" s="80" t="n"/>
      <c r="G360" s="80" t="n"/>
      <c r="H360" s="74" t="n"/>
      <c r="I360" s="36" t="n"/>
      <c r="J360" s="130">
        <f>IF($E360="","",IF($G360&lt;&gt;"","반납완료",IF(AND($F360&lt;&gt;"",$F360&lt;TODAY()),"연체","사용중")))</f>
        <v/>
      </c>
      <c r="K360" s="36" t="n"/>
    </row>
    <row r="361">
      <c r="A361" s="118">
        <f>IF($B361="","",253-COUNTBLANK($B$109:$B361))</f>
        <v/>
      </c>
      <c r="B361" s="74" t="n"/>
      <c r="C361" s="131">
        <f>IF($B361="","",IFERROR(INDEX($C$6:$C$105,MATCH($B361,$A$6:$A$105,0)),"※ 미등록 관리번호"))</f>
        <v/>
      </c>
      <c r="D361" s="74" t="n"/>
      <c r="E361" s="80" t="n"/>
      <c r="F361" s="80" t="n"/>
      <c r="G361" s="80" t="n"/>
      <c r="H361" s="74" t="n"/>
      <c r="I361" s="36" t="n"/>
      <c r="J361" s="130">
        <f>IF($E361="","",IF($G361&lt;&gt;"","반납완료",IF(AND($F361&lt;&gt;"",$F361&lt;TODAY()),"연체","사용중")))</f>
        <v/>
      </c>
      <c r="K361" s="36" t="n"/>
    </row>
    <row r="362">
      <c r="A362" s="118">
        <f>IF($B362="","",254-COUNTBLANK($B$109:$B362))</f>
        <v/>
      </c>
      <c r="B362" s="74" t="n"/>
      <c r="C362" s="131">
        <f>IF($B362="","",IFERROR(INDEX($C$6:$C$105,MATCH($B362,$A$6:$A$105,0)),"※ 미등록 관리번호"))</f>
        <v/>
      </c>
      <c r="D362" s="74" t="n"/>
      <c r="E362" s="80" t="n"/>
      <c r="F362" s="80" t="n"/>
      <c r="G362" s="80" t="n"/>
      <c r="H362" s="74" t="n"/>
      <c r="I362" s="36" t="n"/>
      <c r="J362" s="130">
        <f>IF($E362="","",IF($G362&lt;&gt;"","반납완료",IF(AND($F362&lt;&gt;"",$F362&lt;TODAY()),"연체","사용중")))</f>
        <v/>
      </c>
      <c r="K362" s="36" t="n"/>
    </row>
    <row r="363">
      <c r="A363" s="118">
        <f>IF($B363="","",255-COUNTBLANK($B$109:$B363))</f>
        <v/>
      </c>
      <c r="B363" s="74" t="n"/>
      <c r="C363" s="131">
        <f>IF($B363="","",IFERROR(INDEX($C$6:$C$105,MATCH($B363,$A$6:$A$105,0)),"※ 미등록 관리번호"))</f>
        <v/>
      </c>
      <c r="D363" s="74" t="n"/>
      <c r="E363" s="80" t="n"/>
      <c r="F363" s="80" t="n"/>
      <c r="G363" s="80" t="n"/>
      <c r="H363" s="74" t="n"/>
      <c r="I363" s="36" t="n"/>
      <c r="J363" s="130">
        <f>IF($E363="","",IF($G363&lt;&gt;"","반납완료",IF(AND($F363&lt;&gt;"",$F363&lt;TODAY()),"연체","사용중")))</f>
        <v/>
      </c>
      <c r="K363" s="36" t="n"/>
    </row>
    <row r="364">
      <c r="A364" s="118">
        <f>IF($B364="","",256-COUNTBLANK($B$109:$B364))</f>
        <v/>
      </c>
      <c r="B364" s="74" t="n"/>
      <c r="C364" s="131">
        <f>IF($B364="","",IFERROR(INDEX($C$6:$C$105,MATCH($B364,$A$6:$A$105,0)),"※ 미등록 관리번호"))</f>
        <v/>
      </c>
      <c r="D364" s="74" t="n"/>
      <c r="E364" s="80" t="n"/>
      <c r="F364" s="80" t="n"/>
      <c r="G364" s="80" t="n"/>
      <c r="H364" s="74" t="n"/>
      <c r="I364" s="36" t="n"/>
      <c r="J364" s="130">
        <f>IF($E364="","",IF($G364&lt;&gt;"","반납완료",IF(AND($F364&lt;&gt;"",$F364&lt;TODAY()),"연체","사용중")))</f>
        <v/>
      </c>
      <c r="K364" s="36" t="n"/>
    </row>
    <row r="365">
      <c r="A365" s="118">
        <f>IF($B365="","",257-COUNTBLANK($B$109:$B365))</f>
        <v/>
      </c>
      <c r="B365" s="74" t="n"/>
      <c r="C365" s="131">
        <f>IF($B365="","",IFERROR(INDEX($C$6:$C$105,MATCH($B365,$A$6:$A$105,0)),"※ 미등록 관리번호"))</f>
        <v/>
      </c>
      <c r="D365" s="74" t="n"/>
      <c r="E365" s="80" t="n"/>
      <c r="F365" s="80" t="n"/>
      <c r="G365" s="80" t="n"/>
      <c r="H365" s="74" t="n"/>
      <c r="I365" s="36" t="n"/>
      <c r="J365" s="130">
        <f>IF($E365="","",IF($G365&lt;&gt;"","반납완료",IF(AND($F365&lt;&gt;"",$F365&lt;TODAY()),"연체","사용중")))</f>
        <v/>
      </c>
      <c r="K365" s="36" t="n"/>
    </row>
    <row r="366">
      <c r="A366" s="118">
        <f>IF($B366="","",258-COUNTBLANK($B$109:$B366))</f>
        <v/>
      </c>
      <c r="B366" s="74" t="n"/>
      <c r="C366" s="131">
        <f>IF($B366="","",IFERROR(INDEX($C$6:$C$105,MATCH($B366,$A$6:$A$105,0)),"※ 미등록 관리번호"))</f>
        <v/>
      </c>
      <c r="D366" s="74" t="n"/>
      <c r="E366" s="80" t="n"/>
      <c r="F366" s="80" t="n"/>
      <c r="G366" s="80" t="n"/>
      <c r="H366" s="74" t="n"/>
      <c r="I366" s="36" t="n"/>
      <c r="J366" s="130">
        <f>IF($E366="","",IF($G366&lt;&gt;"","반납완료",IF(AND($F366&lt;&gt;"",$F366&lt;TODAY()),"연체","사용중")))</f>
        <v/>
      </c>
      <c r="K366" s="36" t="n"/>
    </row>
    <row r="367">
      <c r="A367" s="118">
        <f>IF($B367="","",259-COUNTBLANK($B$109:$B367))</f>
        <v/>
      </c>
      <c r="B367" s="74" t="n"/>
      <c r="C367" s="131">
        <f>IF($B367="","",IFERROR(INDEX($C$6:$C$105,MATCH($B367,$A$6:$A$105,0)),"※ 미등록 관리번호"))</f>
        <v/>
      </c>
      <c r="D367" s="74" t="n"/>
      <c r="E367" s="80" t="n"/>
      <c r="F367" s="80" t="n"/>
      <c r="G367" s="80" t="n"/>
      <c r="H367" s="74" t="n"/>
      <c r="I367" s="36" t="n"/>
      <c r="J367" s="130">
        <f>IF($E367="","",IF($G367&lt;&gt;"","반납완료",IF(AND($F367&lt;&gt;"",$F367&lt;TODAY()),"연체","사용중")))</f>
        <v/>
      </c>
      <c r="K367" s="36" t="n"/>
    </row>
    <row r="368">
      <c r="A368" s="118">
        <f>IF($B368="","",260-COUNTBLANK($B$109:$B368))</f>
        <v/>
      </c>
      <c r="B368" s="74" t="n"/>
      <c r="C368" s="131">
        <f>IF($B368="","",IFERROR(INDEX($C$6:$C$105,MATCH($B368,$A$6:$A$105,0)),"※ 미등록 관리번호"))</f>
        <v/>
      </c>
      <c r="D368" s="74" t="n"/>
      <c r="E368" s="80" t="n"/>
      <c r="F368" s="80" t="n"/>
      <c r="G368" s="80" t="n"/>
      <c r="H368" s="74" t="n"/>
      <c r="I368" s="36" t="n"/>
      <c r="J368" s="130">
        <f>IF($E368="","",IF($G368&lt;&gt;"","반납완료",IF(AND($F368&lt;&gt;"",$F368&lt;TODAY()),"연체","사용중")))</f>
        <v/>
      </c>
      <c r="K368" s="36" t="n"/>
    </row>
    <row r="369">
      <c r="A369" s="118">
        <f>IF($B369="","",261-COUNTBLANK($B$109:$B369))</f>
        <v/>
      </c>
      <c r="B369" s="74" t="n"/>
      <c r="C369" s="131">
        <f>IF($B369="","",IFERROR(INDEX($C$6:$C$105,MATCH($B369,$A$6:$A$105,0)),"※ 미등록 관리번호"))</f>
        <v/>
      </c>
      <c r="D369" s="74" t="n"/>
      <c r="E369" s="80" t="n"/>
      <c r="F369" s="80" t="n"/>
      <c r="G369" s="80" t="n"/>
      <c r="H369" s="74" t="n"/>
      <c r="I369" s="36" t="n"/>
      <c r="J369" s="130">
        <f>IF($E369="","",IF($G369&lt;&gt;"","반납완료",IF(AND($F369&lt;&gt;"",$F369&lt;TODAY()),"연체","사용중")))</f>
        <v/>
      </c>
      <c r="K369" s="36" t="n"/>
    </row>
    <row r="370">
      <c r="A370" s="118">
        <f>IF($B370="","",262-COUNTBLANK($B$109:$B370))</f>
        <v/>
      </c>
      <c r="B370" s="74" t="n"/>
      <c r="C370" s="131">
        <f>IF($B370="","",IFERROR(INDEX($C$6:$C$105,MATCH($B370,$A$6:$A$105,0)),"※ 미등록 관리번호"))</f>
        <v/>
      </c>
      <c r="D370" s="74" t="n"/>
      <c r="E370" s="80" t="n"/>
      <c r="F370" s="80" t="n"/>
      <c r="G370" s="80" t="n"/>
      <c r="H370" s="74" t="n"/>
      <c r="I370" s="36" t="n"/>
      <c r="J370" s="130">
        <f>IF($E370="","",IF($G370&lt;&gt;"","반납완료",IF(AND($F370&lt;&gt;"",$F370&lt;TODAY()),"연체","사용중")))</f>
        <v/>
      </c>
      <c r="K370" s="36" t="n"/>
    </row>
    <row r="371">
      <c r="A371" s="118">
        <f>IF($B371="","",263-COUNTBLANK($B$109:$B371))</f>
        <v/>
      </c>
      <c r="B371" s="74" t="n"/>
      <c r="C371" s="131">
        <f>IF($B371="","",IFERROR(INDEX($C$6:$C$105,MATCH($B371,$A$6:$A$105,0)),"※ 미등록 관리번호"))</f>
        <v/>
      </c>
      <c r="D371" s="74" t="n"/>
      <c r="E371" s="80" t="n"/>
      <c r="F371" s="80" t="n"/>
      <c r="G371" s="80" t="n"/>
      <c r="H371" s="74" t="n"/>
      <c r="I371" s="36" t="n"/>
      <c r="J371" s="130">
        <f>IF($E371="","",IF($G371&lt;&gt;"","반납완료",IF(AND($F371&lt;&gt;"",$F371&lt;TODAY()),"연체","사용중")))</f>
        <v/>
      </c>
      <c r="K371" s="36" t="n"/>
    </row>
    <row r="372">
      <c r="A372" s="118">
        <f>IF($B372="","",264-COUNTBLANK($B$109:$B372))</f>
        <v/>
      </c>
      <c r="B372" s="74" t="n"/>
      <c r="C372" s="131">
        <f>IF($B372="","",IFERROR(INDEX($C$6:$C$105,MATCH($B372,$A$6:$A$105,0)),"※ 미등록 관리번호"))</f>
        <v/>
      </c>
      <c r="D372" s="74" t="n"/>
      <c r="E372" s="80" t="n"/>
      <c r="F372" s="80" t="n"/>
      <c r="G372" s="80" t="n"/>
      <c r="H372" s="74" t="n"/>
      <c r="I372" s="36" t="n"/>
      <c r="J372" s="130">
        <f>IF($E372="","",IF($G372&lt;&gt;"","반납완료",IF(AND($F372&lt;&gt;"",$F372&lt;TODAY()),"연체","사용중")))</f>
        <v/>
      </c>
      <c r="K372" s="36" t="n"/>
    </row>
    <row r="373">
      <c r="A373" s="118">
        <f>IF($B373="","",265-COUNTBLANK($B$109:$B373))</f>
        <v/>
      </c>
      <c r="B373" s="74" t="n"/>
      <c r="C373" s="131">
        <f>IF($B373="","",IFERROR(INDEX($C$6:$C$105,MATCH($B373,$A$6:$A$105,0)),"※ 미등록 관리번호"))</f>
        <v/>
      </c>
      <c r="D373" s="74" t="n"/>
      <c r="E373" s="80" t="n"/>
      <c r="F373" s="80" t="n"/>
      <c r="G373" s="80" t="n"/>
      <c r="H373" s="74" t="n"/>
      <c r="I373" s="36" t="n"/>
      <c r="J373" s="130">
        <f>IF($E373="","",IF($G373&lt;&gt;"","반납완료",IF(AND($F373&lt;&gt;"",$F373&lt;TODAY()),"연체","사용중")))</f>
        <v/>
      </c>
      <c r="K373" s="36" t="n"/>
    </row>
    <row r="374">
      <c r="A374" s="118">
        <f>IF($B374="","",266-COUNTBLANK($B$109:$B374))</f>
        <v/>
      </c>
      <c r="B374" s="74" t="n"/>
      <c r="C374" s="131">
        <f>IF($B374="","",IFERROR(INDEX($C$6:$C$105,MATCH($B374,$A$6:$A$105,0)),"※ 미등록 관리번호"))</f>
        <v/>
      </c>
      <c r="D374" s="74" t="n"/>
      <c r="E374" s="80" t="n"/>
      <c r="F374" s="80" t="n"/>
      <c r="G374" s="80" t="n"/>
      <c r="H374" s="74" t="n"/>
      <c r="I374" s="36" t="n"/>
      <c r="J374" s="130">
        <f>IF($E374="","",IF($G374&lt;&gt;"","반납완료",IF(AND($F374&lt;&gt;"",$F374&lt;TODAY()),"연체","사용중")))</f>
        <v/>
      </c>
      <c r="K374" s="36" t="n"/>
    </row>
    <row r="375">
      <c r="A375" s="118">
        <f>IF($B375="","",267-COUNTBLANK($B$109:$B375))</f>
        <v/>
      </c>
      <c r="B375" s="74" t="n"/>
      <c r="C375" s="131">
        <f>IF($B375="","",IFERROR(INDEX($C$6:$C$105,MATCH($B375,$A$6:$A$105,0)),"※ 미등록 관리번호"))</f>
        <v/>
      </c>
      <c r="D375" s="74" t="n"/>
      <c r="E375" s="80" t="n"/>
      <c r="F375" s="80" t="n"/>
      <c r="G375" s="80" t="n"/>
      <c r="H375" s="74" t="n"/>
      <c r="I375" s="36" t="n"/>
      <c r="J375" s="130">
        <f>IF($E375="","",IF($G375&lt;&gt;"","반납완료",IF(AND($F375&lt;&gt;"",$F375&lt;TODAY()),"연체","사용중")))</f>
        <v/>
      </c>
      <c r="K375" s="36" t="n"/>
    </row>
    <row r="376">
      <c r="A376" s="118">
        <f>IF($B376="","",268-COUNTBLANK($B$109:$B376))</f>
        <v/>
      </c>
      <c r="B376" s="74" t="n"/>
      <c r="C376" s="131">
        <f>IF($B376="","",IFERROR(INDEX($C$6:$C$105,MATCH($B376,$A$6:$A$105,0)),"※ 미등록 관리번호"))</f>
        <v/>
      </c>
      <c r="D376" s="74" t="n"/>
      <c r="E376" s="80" t="n"/>
      <c r="F376" s="80" t="n"/>
      <c r="G376" s="80" t="n"/>
      <c r="H376" s="74" t="n"/>
      <c r="I376" s="36" t="n"/>
      <c r="J376" s="130">
        <f>IF($E376="","",IF($G376&lt;&gt;"","반납완료",IF(AND($F376&lt;&gt;"",$F376&lt;TODAY()),"연체","사용중")))</f>
        <v/>
      </c>
      <c r="K376" s="36" t="n"/>
    </row>
    <row r="377">
      <c r="A377" s="118">
        <f>IF($B377="","",269-COUNTBLANK($B$109:$B377))</f>
        <v/>
      </c>
      <c r="B377" s="74" t="n"/>
      <c r="C377" s="131">
        <f>IF($B377="","",IFERROR(INDEX($C$6:$C$105,MATCH($B377,$A$6:$A$105,0)),"※ 미등록 관리번호"))</f>
        <v/>
      </c>
      <c r="D377" s="74" t="n"/>
      <c r="E377" s="80" t="n"/>
      <c r="F377" s="80" t="n"/>
      <c r="G377" s="80" t="n"/>
      <c r="H377" s="74" t="n"/>
      <c r="I377" s="36" t="n"/>
      <c r="J377" s="130">
        <f>IF($E377="","",IF($G377&lt;&gt;"","반납완료",IF(AND($F377&lt;&gt;"",$F377&lt;TODAY()),"연체","사용중")))</f>
        <v/>
      </c>
      <c r="K377" s="36" t="n"/>
    </row>
    <row r="378">
      <c r="A378" s="118">
        <f>IF($B378="","",270-COUNTBLANK($B$109:$B378))</f>
        <v/>
      </c>
      <c r="B378" s="74" t="n"/>
      <c r="C378" s="131">
        <f>IF($B378="","",IFERROR(INDEX($C$6:$C$105,MATCH($B378,$A$6:$A$105,0)),"※ 미등록 관리번호"))</f>
        <v/>
      </c>
      <c r="D378" s="74" t="n"/>
      <c r="E378" s="80" t="n"/>
      <c r="F378" s="80" t="n"/>
      <c r="G378" s="80" t="n"/>
      <c r="H378" s="74" t="n"/>
      <c r="I378" s="36" t="n"/>
      <c r="J378" s="130">
        <f>IF($E378="","",IF($G378&lt;&gt;"","반납완료",IF(AND($F378&lt;&gt;"",$F378&lt;TODAY()),"연체","사용중")))</f>
        <v/>
      </c>
      <c r="K378" s="36" t="n"/>
    </row>
    <row r="379">
      <c r="A379" s="118">
        <f>IF($B379="","",271-COUNTBLANK($B$109:$B379))</f>
        <v/>
      </c>
      <c r="B379" s="74" t="n"/>
      <c r="C379" s="131">
        <f>IF($B379="","",IFERROR(INDEX($C$6:$C$105,MATCH($B379,$A$6:$A$105,0)),"※ 미등록 관리번호"))</f>
        <v/>
      </c>
      <c r="D379" s="74" t="n"/>
      <c r="E379" s="80" t="n"/>
      <c r="F379" s="80" t="n"/>
      <c r="G379" s="80" t="n"/>
      <c r="H379" s="74" t="n"/>
      <c r="I379" s="36" t="n"/>
      <c r="J379" s="130">
        <f>IF($E379="","",IF($G379&lt;&gt;"","반납완료",IF(AND($F379&lt;&gt;"",$F379&lt;TODAY()),"연체","사용중")))</f>
        <v/>
      </c>
      <c r="K379" s="36" t="n"/>
    </row>
    <row r="380">
      <c r="A380" s="118">
        <f>IF($B380="","",272-COUNTBLANK($B$109:$B380))</f>
        <v/>
      </c>
      <c r="B380" s="74" t="n"/>
      <c r="C380" s="131">
        <f>IF($B380="","",IFERROR(INDEX($C$6:$C$105,MATCH($B380,$A$6:$A$105,0)),"※ 미등록 관리번호"))</f>
        <v/>
      </c>
      <c r="D380" s="74" t="n"/>
      <c r="E380" s="80" t="n"/>
      <c r="F380" s="80" t="n"/>
      <c r="G380" s="80" t="n"/>
      <c r="H380" s="74" t="n"/>
      <c r="I380" s="36" t="n"/>
      <c r="J380" s="130">
        <f>IF($E380="","",IF($G380&lt;&gt;"","반납완료",IF(AND($F380&lt;&gt;"",$F380&lt;TODAY()),"연체","사용중")))</f>
        <v/>
      </c>
      <c r="K380" s="36" t="n"/>
    </row>
    <row r="381">
      <c r="A381" s="118">
        <f>IF($B381="","",273-COUNTBLANK($B$109:$B381))</f>
        <v/>
      </c>
      <c r="B381" s="74" t="n"/>
      <c r="C381" s="131">
        <f>IF($B381="","",IFERROR(INDEX($C$6:$C$105,MATCH($B381,$A$6:$A$105,0)),"※ 미등록 관리번호"))</f>
        <v/>
      </c>
      <c r="D381" s="74" t="n"/>
      <c r="E381" s="80" t="n"/>
      <c r="F381" s="80" t="n"/>
      <c r="G381" s="80" t="n"/>
      <c r="H381" s="74" t="n"/>
      <c r="I381" s="36" t="n"/>
      <c r="J381" s="130">
        <f>IF($E381="","",IF($G381&lt;&gt;"","반납완료",IF(AND($F381&lt;&gt;"",$F381&lt;TODAY()),"연체","사용중")))</f>
        <v/>
      </c>
      <c r="K381" s="36" t="n"/>
    </row>
    <row r="382">
      <c r="A382" s="118">
        <f>IF($B382="","",274-COUNTBLANK($B$109:$B382))</f>
        <v/>
      </c>
      <c r="B382" s="74" t="n"/>
      <c r="C382" s="131">
        <f>IF($B382="","",IFERROR(INDEX($C$6:$C$105,MATCH($B382,$A$6:$A$105,0)),"※ 미등록 관리번호"))</f>
        <v/>
      </c>
      <c r="D382" s="74" t="n"/>
      <c r="E382" s="80" t="n"/>
      <c r="F382" s="80" t="n"/>
      <c r="G382" s="80" t="n"/>
      <c r="H382" s="74" t="n"/>
      <c r="I382" s="36" t="n"/>
      <c r="J382" s="130">
        <f>IF($E382="","",IF($G382&lt;&gt;"","반납완료",IF(AND($F382&lt;&gt;"",$F382&lt;TODAY()),"연체","사용중")))</f>
        <v/>
      </c>
      <c r="K382" s="36" t="n"/>
    </row>
    <row r="383">
      <c r="A383" s="118">
        <f>IF($B383="","",275-COUNTBLANK($B$109:$B383))</f>
        <v/>
      </c>
      <c r="B383" s="74" t="n"/>
      <c r="C383" s="131">
        <f>IF($B383="","",IFERROR(INDEX($C$6:$C$105,MATCH($B383,$A$6:$A$105,0)),"※ 미등록 관리번호"))</f>
        <v/>
      </c>
      <c r="D383" s="74" t="n"/>
      <c r="E383" s="80" t="n"/>
      <c r="F383" s="80" t="n"/>
      <c r="G383" s="80" t="n"/>
      <c r="H383" s="74" t="n"/>
      <c r="I383" s="36" t="n"/>
      <c r="J383" s="130">
        <f>IF($E383="","",IF($G383&lt;&gt;"","반납완료",IF(AND($F383&lt;&gt;"",$F383&lt;TODAY()),"연체","사용중")))</f>
        <v/>
      </c>
      <c r="K383" s="36" t="n"/>
    </row>
    <row r="384">
      <c r="A384" s="118">
        <f>IF($B384="","",276-COUNTBLANK($B$109:$B384))</f>
        <v/>
      </c>
      <c r="B384" s="74" t="n"/>
      <c r="C384" s="131">
        <f>IF($B384="","",IFERROR(INDEX($C$6:$C$105,MATCH($B384,$A$6:$A$105,0)),"※ 미등록 관리번호"))</f>
        <v/>
      </c>
      <c r="D384" s="74" t="n"/>
      <c r="E384" s="80" t="n"/>
      <c r="F384" s="80" t="n"/>
      <c r="G384" s="80" t="n"/>
      <c r="H384" s="74" t="n"/>
      <c r="I384" s="36" t="n"/>
      <c r="J384" s="130">
        <f>IF($E384="","",IF($G384&lt;&gt;"","반납완료",IF(AND($F384&lt;&gt;"",$F384&lt;TODAY()),"연체","사용중")))</f>
        <v/>
      </c>
      <c r="K384" s="36" t="n"/>
    </row>
    <row r="385">
      <c r="A385" s="118">
        <f>IF($B385="","",277-COUNTBLANK($B$109:$B385))</f>
        <v/>
      </c>
      <c r="B385" s="74" t="n"/>
      <c r="C385" s="131">
        <f>IF($B385="","",IFERROR(INDEX($C$6:$C$105,MATCH($B385,$A$6:$A$105,0)),"※ 미등록 관리번호"))</f>
        <v/>
      </c>
      <c r="D385" s="74" t="n"/>
      <c r="E385" s="80" t="n"/>
      <c r="F385" s="80" t="n"/>
      <c r="G385" s="80" t="n"/>
      <c r="H385" s="74" t="n"/>
      <c r="I385" s="36" t="n"/>
      <c r="J385" s="130">
        <f>IF($E385="","",IF($G385&lt;&gt;"","반납완료",IF(AND($F385&lt;&gt;"",$F385&lt;TODAY()),"연체","사용중")))</f>
        <v/>
      </c>
      <c r="K385" s="36" t="n"/>
    </row>
    <row r="386">
      <c r="A386" s="118">
        <f>IF($B386="","",278-COUNTBLANK($B$109:$B386))</f>
        <v/>
      </c>
      <c r="B386" s="74" t="n"/>
      <c r="C386" s="131">
        <f>IF($B386="","",IFERROR(INDEX($C$6:$C$105,MATCH($B386,$A$6:$A$105,0)),"※ 미등록 관리번호"))</f>
        <v/>
      </c>
      <c r="D386" s="74" t="n"/>
      <c r="E386" s="80" t="n"/>
      <c r="F386" s="80" t="n"/>
      <c r="G386" s="80" t="n"/>
      <c r="H386" s="74" t="n"/>
      <c r="I386" s="36" t="n"/>
      <c r="J386" s="130">
        <f>IF($E386="","",IF($G386&lt;&gt;"","반납완료",IF(AND($F386&lt;&gt;"",$F386&lt;TODAY()),"연체","사용중")))</f>
        <v/>
      </c>
      <c r="K386" s="36" t="n"/>
    </row>
    <row r="387">
      <c r="A387" s="118">
        <f>IF($B387="","",279-COUNTBLANK($B$109:$B387))</f>
        <v/>
      </c>
      <c r="B387" s="74" t="n"/>
      <c r="C387" s="131">
        <f>IF($B387="","",IFERROR(INDEX($C$6:$C$105,MATCH($B387,$A$6:$A$105,0)),"※ 미등록 관리번호"))</f>
        <v/>
      </c>
      <c r="D387" s="74" t="n"/>
      <c r="E387" s="80" t="n"/>
      <c r="F387" s="80" t="n"/>
      <c r="G387" s="80" t="n"/>
      <c r="H387" s="74" t="n"/>
      <c r="I387" s="36" t="n"/>
      <c r="J387" s="130">
        <f>IF($E387="","",IF($G387&lt;&gt;"","반납완료",IF(AND($F387&lt;&gt;"",$F387&lt;TODAY()),"연체","사용중")))</f>
        <v/>
      </c>
      <c r="K387" s="36" t="n"/>
    </row>
    <row r="388">
      <c r="A388" s="118">
        <f>IF($B388="","",280-COUNTBLANK($B$109:$B388))</f>
        <v/>
      </c>
      <c r="B388" s="74" t="n"/>
      <c r="C388" s="131">
        <f>IF($B388="","",IFERROR(INDEX($C$6:$C$105,MATCH($B388,$A$6:$A$105,0)),"※ 미등록 관리번호"))</f>
        <v/>
      </c>
      <c r="D388" s="74" t="n"/>
      <c r="E388" s="80" t="n"/>
      <c r="F388" s="80" t="n"/>
      <c r="G388" s="80" t="n"/>
      <c r="H388" s="74" t="n"/>
      <c r="I388" s="36" t="n"/>
      <c r="J388" s="130">
        <f>IF($E388="","",IF($G388&lt;&gt;"","반납완료",IF(AND($F388&lt;&gt;"",$F388&lt;TODAY()),"연체","사용중")))</f>
        <v/>
      </c>
      <c r="K388" s="36" t="n"/>
    </row>
    <row r="389">
      <c r="A389" s="118">
        <f>IF($B389="","",281-COUNTBLANK($B$109:$B389))</f>
        <v/>
      </c>
      <c r="B389" s="74" t="n"/>
      <c r="C389" s="131">
        <f>IF($B389="","",IFERROR(INDEX($C$6:$C$105,MATCH($B389,$A$6:$A$105,0)),"※ 미등록 관리번호"))</f>
        <v/>
      </c>
      <c r="D389" s="74" t="n"/>
      <c r="E389" s="80" t="n"/>
      <c r="F389" s="80" t="n"/>
      <c r="G389" s="80" t="n"/>
      <c r="H389" s="74" t="n"/>
      <c r="I389" s="36" t="n"/>
      <c r="J389" s="130">
        <f>IF($E389="","",IF($G389&lt;&gt;"","반납완료",IF(AND($F389&lt;&gt;"",$F389&lt;TODAY()),"연체","사용중")))</f>
        <v/>
      </c>
      <c r="K389" s="36" t="n"/>
    </row>
    <row r="390">
      <c r="A390" s="118">
        <f>IF($B390="","",282-COUNTBLANK($B$109:$B390))</f>
        <v/>
      </c>
      <c r="B390" s="74" t="n"/>
      <c r="C390" s="131">
        <f>IF($B390="","",IFERROR(INDEX($C$6:$C$105,MATCH($B390,$A$6:$A$105,0)),"※ 미등록 관리번호"))</f>
        <v/>
      </c>
      <c r="D390" s="74" t="n"/>
      <c r="E390" s="80" t="n"/>
      <c r="F390" s="80" t="n"/>
      <c r="G390" s="80" t="n"/>
      <c r="H390" s="74" t="n"/>
      <c r="I390" s="36" t="n"/>
      <c r="J390" s="130">
        <f>IF($E390="","",IF($G390&lt;&gt;"","반납완료",IF(AND($F390&lt;&gt;"",$F390&lt;TODAY()),"연체","사용중")))</f>
        <v/>
      </c>
      <c r="K390" s="36" t="n"/>
    </row>
    <row r="391">
      <c r="A391" s="118">
        <f>IF($B391="","",283-COUNTBLANK($B$109:$B391))</f>
        <v/>
      </c>
      <c r="B391" s="74" t="n"/>
      <c r="C391" s="131">
        <f>IF($B391="","",IFERROR(INDEX($C$6:$C$105,MATCH($B391,$A$6:$A$105,0)),"※ 미등록 관리번호"))</f>
        <v/>
      </c>
      <c r="D391" s="74" t="n"/>
      <c r="E391" s="80" t="n"/>
      <c r="F391" s="80" t="n"/>
      <c r="G391" s="80" t="n"/>
      <c r="H391" s="74" t="n"/>
      <c r="I391" s="36" t="n"/>
      <c r="J391" s="130">
        <f>IF($E391="","",IF($G391&lt;&gt;"","반납완료",IF(AND($F391&lt;&gt;"",$F391&lt;TODAY()),"연체","사용중")))</f>
        <v/>
      </c>
      <c r="K391" s="36" t="n"/>
    </row>
    <row r="392">
      <c r="A392" s="118">
        <f>IF($B392="","",284-COUNTBLANK($B$109:$B392))</f>
        <v/>
      </c>
      <c r="B392" s="74" t="n"/>
      <c r="C392" s="131">
        <f>IF($B392="","",IFERROR(INDEX($C$6:$C$105,MATCH($B392,$A$6:$A$105,0)),"※ 미등록 관리번호"))</f>
        <v/>
      </c>
      <c r="D392" s="74" t="n"/>
      <c r="E392" s="80" t="n"/>
      <c r="F392" s="80" t="n"/>
      <c r="G392" s="80" t="n"/>
      <c r="H392" s="74" t="n"/>
      <c r="I392" s="36" t="n"/>
      <c r="J392" s="130">
        <f>IF($E392="","",IF($G392&lt;&gt;"","반납완료",IF(AND($F392&lt;&gt;"",$F392&lt;TODAY()),"연체","사용중")))</f>
        <v/>
      </c>
      <c r="K392" s="36" t="n"/>
    </row>
    <row r="393">
      <c r="A393" s="118">
        <f>IF($B393="","",285-COUNTBLANK($B$109:$B393))</f>
        <v/>
      </c>
      <c r="B393" s="74" t="n"/>
      <c r="C393" s="131">
        <f>IF($B393="","",IFERROR(INDEX($C$6:$C$105,MATCH($B393,$A$6:$A$105,0)),"※ 미등록 관리번호"))</f>
        <v/>
      </c>
      <c r="D393" s="74" t="n"/>
      <c r="E393" s="80" t="n"/>
      <c r="F393" s="80" t="n"/>
      <c r="G393" s="80" t="n"/>
      <c r="H393" s="74" t="n"/>
      <c r="I393" s="36" t="n"/>
      <c r="J393" s="130">
        <f>IF($E393="","",IF($G393&lt;&gt;"","반납완료",IF(AND($F393&lt;&gt;"",$F393&lt;TODAY()),"연체","사용중")))</f>
        <v/>
      </c>
      <c r="K393" s="36" t="n"/>
    </row>
    <row r="394">
      <c r="A394" s="118">
        <f>IF($B394="","",286-COUNTBLANK($B$109:$B394))</f>
        <v/>
      </c>
      <c r="B394" s="74" t="n"/>
      <c r="C394" s="131">
        <f>IF($B394="","",IFERROR(INDEX($C$6:$C$105,MATCH($B394,$A$6:$A$105,0)),"※ 미등록 관리번호"))</f>
        <v/>
      </c>
      <c r="D394" s="74" t="n"/>
      <c r="E394" s="80" t="n"/>
      <c r="F394" s="80" t="n"/>
      <c r="G394" s="80" t="n"/>
      <c r="H394" s="74" t="n"/>
      <c r="I394" s="36" t="n"/>
      <c r="J394" s="130">
        <f>IF($E394="","",IF($G394&lt;&gt;"","반납완료",IF(AND($F394&lt;&gt;"",$F394&lt;TODAY()),"연체","사용중")))</f>
        <v/>
      </c>
      <c r="K394" s="36" t="n"/>
    </row>
    <row r="395">
      <c r="A395" s="118">
        <f>IF($B395="","",287-COUNTBLANK($B$109:$B395))</f>
        <v/>
      </c>
      <c r="B395" s="74" t="n"/>
      <c r="C395" s="131">
        <f>IF($B395="","",IFERROR(INDEX($C$6:$C$105,MATCH($B395,$A$6:$A$105,0)),"※ 미등록 관리번호"))</f>
        <v/>
      </c>
      <c r="D395" s="74" t="n"/>
      <c r="E395" s="80" t="n"/>
      <c r="F395" s="80" t="n"/>
      <c r="G395" s="80" t="n"/>
      <c r="H395" s="74" t="n"/>
      <c r="I395" s="36" t="n"/>
      <c r="J395" s="130">
        <f>IF($E395="","",IF($G395&lt;&gt;"","반납완료",IF(AND($F395&lt;&gt;"",$F395&lt;TODAY()),"연체","사용중")))</f>
        <v/>
      </c>
      <c r="K395" s="36" t="n"/>
    </row>
    <row r="396">
      <c r="A396" s="118">
        <f>IF($B396="","",288-COUNTBLANK($B$109:$B396))</f>
        <v/>
      </c>
      <c r="B396" s="74" t="n"/>
      <c r="C396" s="131">
        <f>IF($B396="","",IFERROR(INDEX($C$6:$C$105,MATCH($B396,$A$6:$A$105,0)),"※ 미등록 관리번호"))</f>
        <v/>
      </c>
      <c r="D396" s="74" t="n"/>
      <c r="E396" s="80" t="n"/>
      <c r="F396" s="80" t="n"/>
      <c r="G396" s="80" t="n"/>
      <c r="H396" s="74" t="n"/>
      <c r="I396" s="36" t="n"/>
      <c r="J396" s="130">
        <f>IF($E396="","",IF($G396&lt;&gt;"","반납완료",IF(AND($F396&lt;&gt;"",$F396&lt;TODAY()),"연체","사용중")))</f>
        <v/>
      </c>
      <c r="K396" s="36" t="n"/>
    </row>
    <row r="397">
      <c r="A397" s="118">
        <f>IF($B397="","",289-COUNTBLANK($B$109:$B397))</f>
        <v/>
      </c>
      <c r="B397" s="74" t="n"/>
      <c r="C397" s="131">
        <f>IF($B397="","",IFERROR(INDEX($C$6:$C$105,MATCH($B397,$A$6:$A$105,0)),"※ 미등록 관리번호"))</f>
        <v/>
      </c>
      <c r="D397" s="74" t="n"/>
      <c r="E397" s="80" t="n"/>
      <c r="F397" s="80" t="n"/>
      <c r="G397" s="80" t="n"/>
      <c r="H397" s="74" t="n"/>
      <c r="I397" s="36" t="n"/>
      <c r="J397" s="130">
        <f>IF($E397="","",IF($G397&lt;&gt;"","반납완료",IF(AND($F397&lt;&gt;"",$F397&lt;TODAY()),"연체","사용중")))</f>
        <v/>
      </c>
      <c r="K397" s="36" t="n"/>
    </row>
    <row r="398">
      <c r="A398" s="118">
        <f>IF($B398="","",290-COUNTBLANK($B$109:$B398))</f>
        <v/>
      </c>
      <c r="B398" s="74" t="n"/>
      <c r="C398" s="131">
        <f>IF($B398="","",IFERROR(INDEX($C$6:$C$105,MATCH($B398,$A$6:$A$105,0)),"※ 미등록 관리번호"))</f>
        <v/>
      </c>
      <c r="D398" s="74" t="n"/>
      <c r="E398" s="80" t="n"/>
      <c r="F398" s="80" t="n"/>
      <c r="G398" s="80" t="n"/>
      <c r="H398" s="74" t="n"/>
      <c r="I398" s="36" t="n"/>
      <c r="J398" s="130">
        <f>IF($E398="","",IF($G398&lt;&gt;"","반납완료",IF(AND($F398&lt;&gt;"",$F398&lt;TODAY()),"연체","사용중")))</f>
        <v/>
      </c>
      <c r="K398" s="36" t="n"/>
    </row>
    <row r="399">
      <c r="A399" s="118">
        <f>IF($B399="","",291-COUNTBLANK($B$109:$B399))</f>
        <v/>
      </c>
      <c r="B399" s="74" t="n"/>
      <c r="C399" s="131">
        <f>IF($B399="","",IFERROR(INDEX($C$6:$C$105,MATCH($B399,$A$6:$A$105,0)),"※ 미등록 관리번호"))</f>
        <v/>
      </c>
      <c r="D399" s="74" t="n"/>
      <c r="E399" s="80" t="n"/>
      <c r="F399" s="80" t="n"/>
      <c r="G399" s="80" t="n"/>
      <c r="H399" s="74" t="n"/>
      <c r="I399" s="36" t="n"/>
      <c r="J399" s="130">
        <f>IF($E399="","",IF($G399&lt;&gt;"","반납완료",IF(AND($F399&lt;&gt;"",$F399&lt;TODAY()),"연체","사용중")))</f>
        <v/>
      </c>
      <c r="K399" s="36" t="n"/>
    </row>
    <row r="400">
      <c r="A400" s="118">
        <f>IF($B400="","",292-COUNTBLANK($B$109:$B400))</f>
        <v/>
      </c>
      <c r="B400" s="74" t="n"/>
      <c r="C400" s="131">
        <f>IF($B400="","",IFERROR(INDEX($C$6:$C$105,MATCH($B400,$A$6:$A$105,0)),"※ 미등록 관리번호"))</f>
        <v/>
      </c>
      <c r="D400" s="74" t="n"/>
      <c r="E400" s="80" t="n"/>
      <c r="F400" s="80" t="n"/>
      <c r="G400" s="80" t="n"/>
      <c r="H400" s="74" t="n"/>
      <c r="I400" s="36" t="n"/>
      <c r="J400" s="130">
        <f>IF($E400="","",IF($G400&lt;&gt;"","반납완료",IF(AND($F400&lt;&gt;"",$F400&lt;TODAY()),"연체","사용중")))</f>
        <v/>
      </c>
      <c r="K400" s="36" t="n"/>
    </row>
    <row r="401">
      <c r="A401" s="118">
        <f>IF($B401="","",293-COUNTBLANK($B$109:$B401))</f>
        <v/>
      </c>
      <c r="B401" s="74" t="n"/>
      <c r="C401" s="131">
        <f>IF($B401="","",IFERROR(INDEX($C$6:$C$105,MATCH($B401,$A$6:$A$105,0)),"※ 미등록 관리번호"))</f>
        <v/>
      </c>
      <c r="D401" s="74" t="n"/>
      <c r="E401" s="80" t="n"/>
      <c r="F401" s="80" t="n"/>
      <c r="G401" s="80" t="n"/>
      <c r="H401" s="74" t="n"/>
      <c r="I401" s="36" t="n"/>
      <c r="J401" s="130">
        <f>IF($E401="","",IF($G401&lt;&gt;"","반납완료",IF(AND($F401&lt;&gt;"",$F401&lt;TODAY()),"연체","사용중")))</f>
        <v/>
      </c>
      <c r="K401" s="36" t="n"/>
    </row>
    <row r="402">
      <c r="A402" s="118">
        <f>IF($B402="","",294-COUNTBLANK($B$109:$B402))</f>
        <v/>
      </c>
      <c r="B402" s="74" t="n"/>
      <c r="C402" s="131">
        <f>IF($B402="","",IFERROR(INDEX($C$6:$C$105,MATCH($B402,$A$6:$A$105,0)),"※ 미등록 관리번호"))</f>
        <v/>
      </c>
      <c r="D402" s="74" t="n"/>
      <c r="E402" s="80" t="n"/>
      <c r="F402" s="80" t="n"/>
      <c r="G402" s="80" t="n"/>
      <c r="H402" s="74" t="n"/>
      <c r="I402" s="36" t="n"/>
      <c r="J402" s="130">
        <f>IF($E402="","",IF($G402&lt;&gt;"","반납완료",IF(AND($F402&lt;&gt;"",$F402&lt;TODAY()),"연체","사용중")))</f>
        <v/>
      </c>
      <c r="K402" s="36" t="n"/>
    </row>
    <row r="403">
      <c r="A403" s="118">
        <f>IF($B403="","",295-COUNTBLANK($B$109:$B403))</f>
        <v/>
      </c>
      <c r="B403" s="74" t="n"/>
      <c r="C403" s="131">
        <f>IF($B403="","",IFERROR(INDEX($C$6:$C$105,MATCH($B403,$A$6:$A$105,0)),"※ 미등록 관리번호"))</f>
        <v/>
      </c>
      <c r="D403" s="74" t="n"/>
      <c r="E403" s="80" t="n"/>
      <c r="F403" s="80" t="n"/>
      <c r="G403" s="80" t="n"/>
      <c r="H403" s="74" t="n"/>
      <c r="I403" s="36" t="n"/>
      <c r="J403" s="130">
        <f>IF($E403="","",IF($G403&lt;&gt;"","반납완료",IF(AND($F403&lt;&gt;"",$F403&lt;TODAY()),"연체","사용중")))</f>
        <v/>
      </c>
      <c r="K403" s="36" t="n"/>
    </row>
    <row r="404">
      <c r="A404" s="118">
        <f>IF($B404="","",296-COUNTBLANK($B$109:$B404))</f>
        <v/>
      </c>
      <c r="B404" s="74" t="n"/>
      <c r="C404" s="131">
        <f>IF($B404="","",IFERROR(INDEX($C$6:$C$105,MATCH($B404,$A$6:$A$105,0)),"※ 미등록 관리번호"))</f>
        <v/>
      </c>
      <c r="D404" s="74" t="n"/>
      <c r="E404" s="80" t="n"/>
      <c r="F404" s="80" t="n"/>
      <c r="G404" s="80" t="n"/>
      <c r="H404" s="74" t="n"/>
      <c r="I404" s="36" t="n"/>
      <c r="J404" s="130">
        <f>IF($E404="","",IF($G404&lt;&gt;"","반납완료",IF(AND($F404&lt;&gt;"",$F404&lt;TODAY()),"연체","사용중")))</f>
        <v/>
      </c>
      <c r="K404" s="36" t="n"/>
    </row>
    <row r="405">
      <c r="A405" s="118">
        <f>IF($B405="","",297-COUNTBLANK($B$109:$B405))</f>
        <v/>
      </c>
      <c r="B405" s="74" t="n"/>
      <c r="C405" s="131">
        <f>IF($B405="","",IFERROR(INDEX($C$6:$C$105,MATCH($B405,$A$6:$A$105,0)),"※ 미등록 관리번호"))</f>
        <v/>
      </c>
      <c r="D405" s="74" t="n"/>
      <c r="E405" s="80" t="n"/>
      <c r="F405" s="80" t="n"/>
      <c r="G405" s="80" t="n"/>
      <c r="H405" s="74" t="n"/>
      <c r="I405" s="36" t="n"/>
      <c r="J405" s="130">
        <f>IF($E405="","",IF($G405&lt;&gt;"","반납완료",IF(AND($F405&lt;&gt;"",$F405&lt;TODAY()),"연체","사용중")))</f>
        <v/>
      </c>
      <c r="K405" s="36" t="n"/>
    </row>
    <row r="406">
      <c r="A406" s="118">
        <f>IF($B406="","",298-COUNTBLANK($B$109:$B406))</f>
        <v/>
      </c>
      <c r="B406" s="74" t="n"/>
      <c r="C406" s="131">
        <f>IF($B406="","",IFERROR(INDEX($C$6:$C$105,MATCH($B406,$A$6:$A$105,0)),"※ 미등록 관리번호"))</f>
        <v/>
      </c>
      <c r="D406" s="74" t="n"/>
      <c r="E406" s="80" t="n"/>
      <c r="F406" s="80" t="n"/>
      <c r="G406" s="80" t="n"/>
      <c r="H406" s="74" t="n"/>
      <c r="I406" s="36" t="n"/>
      <c r="J406" s="130">
        <f>IF($E406="","",IF($G406&lt;&gt;"","반납완료",IF(AND($F406&lt;&gt;"",$F406&lt;TODAY()),"연체","사용중")))</f>
        <v/>
      </c>
      <c r="K406" s="36" t="n"/>
    </row>
    <row r="407">
      <c r="A407" s="118">
        <f>IF($B407="","",299-COUNTBLANK($B$109:$B407))</f>
        <v/>
      </c>
      <c r="B407" s="74" t="n"/>
      <c r="C407" s="131">
        <f>IF($B407="","",IFERROR(INDEX($C$6:$C$105,MATCH($B407,$A$6:$A$105,0)),"※ 미등록 관리번호"))</f>
        <v/>
      </c>
      <c r="D407" s="74" t="n"/>
      <c r="E407" s="80" t="n"/>
      <c r="F407" s="80" t="n"/>
      <c r="G407" s="80" t="n"/>
      <c r="H407" s="74" t="n"/>
      <c r="I407" s="36" t="n"/>
      <c r="J407" s="130">
        <f>IF($E407="","",IF($G407&lt;&gt;"","반납완료",IF(AND($F407&lt;&gt;"",$F407&lt;TODAY()),"연체","사용중")))</f>
        <v/>
      </c>
      <c r="K407" s="36" t="n"/>
    </row>
    <row r="408">
      <c r="A408" s="118">
        <f>IF($B408="","",300-COUNTBLANK($B$109:$B408))</f>
        <v/>
      </c>
      <c r="B408" s="74" t="n"/>
      <c r="C408" s="131">
        <f>IF($B408="","",IFERROR(INDEX($C$6:$C$105,MATCH($B408,$A$6:$A$105,0)),"※ 미등록 관리번호"))</f>
        <v/>
      </c>
      <c r="D408" s="74" t="n"/>
      <c r="E408" s="80" t="n"/>
      <c r="F408" s="80" t="n"/>
      <c r="G408" s="80" t="n"/>
      <c r="H408" s="74" t="n"/>
      <c r="I408" s="36" t="n"/>
      <c r="J408" s="130">
        <f>IF($E408="","",IF($G408&lt;&gt;"","반납완료",IF(AND($F408&lt;&gt;"",$F408&lt;TODAY()),"연체","사용중")))</f>
        <v/>
      </c>
      <c r="K408" s="36" t="n"/>
    </row>
    <row r="409">
      <c r="A409" s="118">
        <f>IF($B409="","",301-COUNTBLANK($B$109:$B409))</f>
        <v/>
      </c>
      <c r="B409" s="74" t="n"/>
      <c r="C409" s="131">
        <f>IF($B409="","",IFERROR(INDEX($C$6:$C$105,MATCH($B409,$A$6:$A$105,0)),"※ 미등록 관리번호"))</f>
        <v/>
      </c>
      <c r="D409" s="74" t="n"/>
      <c r="E409" s="80" t="n"/>
      <c r="F409" s="80" t="n"/>
      <c r="G409" s="80" t="n"/>
      <c r="H409" s="74" t="n"/>
      <c r="I409" s="36" t="n"/>
      <c r="J409" s="130">
        <f>IF($E409="","",IF($G409&lt;&gt;"","반납완료",IF(AND($F409&lt;&gt;"",$F409&lt;TODAY()),"연체","사용중")))</f>
        <v/>
      </c>
      <c r="K409" s="36" t="n"/>
    </row>
    <row r="410">
      <c r="A410" s="118">
        <f>IF($B410="","",302-COUNTBLANK($B$109:$B410))</f>
        <v/>
      </c>
      <c r="B410" s="74" t="n"/>
      <c r="C410" s="131">
        <f>IF($B410="","",IFERROR(INDEX($C$6:$C$105,MATCH($B410,$A$6:$A$105,0)),"※ 미등록 관리번호"))</f>
        <v/>
      </c>
      <c r="D410" s="74" t="n"/>
      <c r="E410" s="80" t="n"/>
      <c r="F410" s="80" t="n"/>
      <c r="G410" s="80" t="n"/>
      <c r="H410" s="74" t="n"/>
      <c r="I410" s="36" t="n"/>
      <c r="J410" s="130">
        <f>IF($E410="","",IF($G410&lt;&gt;"","반납완료",IF(AND($F410&lt;&gt;"",$F410&lt;TODAY()),"연체","사용중")))</f>
        <v/>
      </c>
      <c r="K410" s="36" t="n"/>
    </row>
    <row r="411">
      <c r="A411" s="118">
        <f>IF($B411="","",303-COUNTBLANK($B$109:$B411))</f>
        <v/>
      </c>
      <c r="B411" s="74" t="n"/>
      <c r="C411" s="131">
        <f>IF($B411="","",IFERROR(INDEX($C$6:$C$105,MATCH($B411,$A$6:$A$105,0)),"※ 미등록 관리번호"))</f>
        <v/>
      </c>
      <c r="D411" s="74" t="n"/>
      <c r="E411" s="80" t="n"/>
      <c r="F411" s="80" t="n"/>
      <c r="G411" s="80" t="n"/>
      <c r="H411" s="74" t="n"/>
      <c r="I411" s="36" t="n"/>
      <c r="J411" s="130">
        <f>IF($E411="","",IF($G411&lt;&gt;"","반납완료",IF(AND($F411&lt;&gt;"",$F411&lt;TODAY()),"연체","사용중")))</f>
        <v/>
      </c>
      <c r="K411" s="36" t="n"/>
    </row>
    <row r="412">
      <c r="A412" s="118">
        <f>IF($B412="","",304-COUNTBLANK($B$109:$B412))</f>
        <v/>
      </c>
      <c r="B412" s="74" t="n"/>
      <c r="C412" s="131">
        <f>IF($B412="","",IFERROR(INDEX($C$6:$C$105,MATCH($B412,$A$6:$A$105,0)),"※ 미등록 관리번호"))</f>
        <v/>
      </c>
      <c r="D412" s="74" t="n"/>
      <c r="E412" s="80" t="n"/>
      <c r="F412" s="80" t="n"/>
      <c r="G412" s="80" t="n"/>
      <c r="H412" s="74" t="n"/>
      <c r="I412" s="36" t="n"/>
      <c r="J412" s="130">
        <f>IF($E412="","",IF($G412&lt;&gt;"","반납완료",IF(AND($F412&lt;&gt;"",$F412&lt;TODAY()),"연체","사용중")))</f>
        <v/>
      </c>
      <c r="K412" s="36" t="n"/>
    </row>
    <row r="413">
      <c r="A413" s="118">
        <f>IF($B413="","",305-COUNTBLANK($B$109:$B413))</f>
        <v/>
      </c>
      <c r="B413" s="74" t="n"/>
      <c r="C413" s="131">
        <f>IF($B413="","",IFERROR(INDEX($C$6:$C$105,MATCH($B413,$A$6:$A$105,0)),"※ 미등록 관리번호"))</f>
        <v/>
      </c>
      <c r="D413" s="74" t="n"/>
      <c r="E413" s="80" t="n"/>
      <c r="F413" s="80" t="n"/>
      <c r="G413" s="80" t="n"/>
      <c r="H413" s="74" t="n"/>
      <c r="I413" s="36" t="n"/>
      <c r="J413" s="130">
        <f>IF($E413="","",IF($G413&lt;&gt;"","반납완료",IF(AND($F413&lt;&gt;"",$F413&lt;TODAY()),"연체","사용중")))</f>
        <v/>
      </c>
      <c r="K413" s="36" t="n"/>
    </row>
    <row r="414">
      <c r="A414" s="118">
        <f>IF($B414="","",306-COUNTBLANK($B$109:$B414))</f>
        <v/>
      </c>
      <c r="B414" s="74" t="n"/>
      <c r="C414" s="131">
        <f>IF($B414="","",IFERROR(INDEX($C$6:$C$105,MATCH($B414,$A$6:$A$105,0)),"※ 미등록 관리번호"))</f>
        <v/>
      </c>
      <c r="D414" s="74" t="n"/>
      <c r="E414" s="80" t="n"/>
      <c r="F414" s="80" t="n"/>
      <c r="G414" s="80" t="n"/>
      <c r="H414" s="74" t="n"/>
      <c r="I414" s="36" t="n"/>
      <c r="J414" s="130">
        <f>IF($E414="","",IF($G414&lt;&gt;"","반납완료",IF(AND($F414&lt;&gt;"",$F414&lt;TODAY()),"연체","사용중")))</f>
        <v/>
      </c>
      <c r="K414" s="36" t="n"/>
    </row>
    <row r="415">
      <c r="A415" s="118">
        <f>IF($B415="","",307-COUNTBLANK($B$109:$B415))</f>
        <v/>
      </c>
      <c r="B415" s="74" t="n"/>
      <c r="C415" s="131">
        <f>IF($B415="","",IFERROR(INDEX($C$6:$C$105,MATCH($B415,$A$6:$A$105,0)),"※ 미등록 관리번호"))</f>
        <v/>
      </c>
      <c r="D415" s="74" t="n"/>
      <c r="E415" s="80" t="n"/>
      <c r="F415" s="80" t="n"/>
      <c r="G415" s="80" t="n"/>
      <c r="H415" s="74" t="n"/>
      <c r="I415" s="36" t="n"/>
      <c r="J415" s="130">
        <f>IF($E415="","",IF($G415&lt;&gt;"","반납완료",IF(AND($F415&lt;&gt;"",$F415&lt;TODAY()),"연체","사용중")))</f>
        <v/>
      </c>
      <c r="K415" s="36" t="n"/>
    </row>
    <row r="416">
      <c r="A416" s="118">
        <f>IF($B416="","",308-COUNTBLANK($B$109:$B416))</f>
        <v/>
      </c>
      <c r="B416" s="74" t="n"/>
      <c r="C416" s="131">
        <f>IF($B416="","",IFERROR(INDEX($C$6:$C$105,MATCH($B416,$A$6:$A$105,0)),"※ 미등록 관리번호"))</f>
        <v/>
      </c>
      <c r="D416" s="74" t="n"/>
      <c r="E416" s="80" t="n"/>
      <c r="F416" s="80" t="n"/>
      <c r="G416" s="80" t="n"/>
      <c r="H416" s="74" t="n"/>
      <c r="I416" s="36" t="n"/>
      <c r="J416" s="130">
        <f>IF($E416="","",IF($G416&lt;&gt;"","반납완료",IF(AND($F416&lt;&gt;"",$F416&lt;TODAY()),"연체","사용중")))</f>
        <v/>
      </c>
      <c r="K416" s="36" t="n"/>
    </row>
    <row r="417">
      <c r="A417" s="118">
        <f>IF($B417="","",309-COUNTBLANK($B$109:$B417))</f>
        <v/>
      </c>
      <c r="B417" s="74" t="n"/>
      <c r="C417" s="131">
        <f>IF($B417="","",IFERROR(INDEX($C$6:$C$105,MATCH($B417,$A$6:$A$105,0)),"※ 미등록 관리번호"))</f>
        <v/>
      </c>
      <c r="D417" s="74" t="n"/>
      <c r="E417" s="80" t="n"/>
      <c r="F417" s="80" t="n"/>
      <c r="G417" s="80" t="n"/>
      <c r="H417" s="74" t="n"/>
      <c r="I417" s="36" t="n"/>
      <c r="J417" s="130">
        <f>IF($E417="","",IF($G417&lt;&gt;"","반납완료",IF(AND($F417&lt;&gt;"",$F417&lt;TODAY()),"연체","사용중")))</f>
        <v/>
      </c>
      <c r="K417" s="36" t="n"/>
    </row>
    <row r="418">
      <c r="A418" s="118">
        <f>IF($B418="","",310-COUNTBLANK($B$109:$B418))</f>
        <v/>
      </c>
      <c r="B418" s="74" t="n"/>
      <c r="C418" s="131">
        <f>IF($B418="","",IFERROR(INDEX($C$6:$C$105,MATCH($B418,$A$6:$A$105,0)),"※ 미등록 관리번호"))</f>
        <v/>
      </c>
      <c r="D418" s="74" t="n"/>
      <c r="E418" s="80" t="n"/>
      <c r="F418" s="80" t="n"/>
      <c r="G418" s="80" t="n"/>
      <c r="H418" s="74" t="n"/>
      <c r="I418" s="36" t="n"/>
      <c r="J418" s="130">
        <f>IF($E418="","",IF($G418&lt;&gt;"","반납완료",IF(AND($F418&lt;&gt;"",$F418&lt;TODAY()),"연체","사용중")))</f>
        <v/>
      </c>
      <c r="K418" s="36" t="n"/>
    </row>
    <row r="419">
      <c r="A419" s="118">
        <f>IF($B419="","",311-COUNTBLANK($B$109:$B419))</f>
        <v/>
      </c>
      <c r="B419" s="74" t="n"/>
      <c r="C419" s="131">
        <f>IF($B419="","",IFERROR(INDEX($C$6:$C$105,MATCH($B419,$A$6:$A$105,0)),"※ 미등록 관리번호"))</f>
        <v/>
      </c>
      <c r="D419" s="74" t="n"/>
      <c r="E419" s="80" t="n"/>
      <c r="F419" s="80" t="n"/>
      <c r="G419" s="80" t="n"/>
      <c r="H419" s="74" t="n"/>
      <c r="I419" s="36" t="n"/>
      <c r="J419" s="130">
        <f>IF($E419="","",IF($G419&lt;&gt;"","반납완료",IF(AND($F419&lt;&gt;"",$F419&lt;TODAY()),"연체","사용중")))</f>
        <v/>
      </c>
      <c r="K419" s="36" t="n"/>
    </row>
    <row r="420">
      <c r="A420" s="118">
        <f>IF($B420="","",312-COUNTBLANK($B$109:$B420))</f>
        <v/>
      </c>
      <c r="B420" s="74" t="n"/>
      <c r="C420" s="131">
        <f>IF($B420="","",IFERROR(INDEX($C$6:$C$105,MATCH($B420,$A$6:$A$105,0)),"※ 미등록 관리번호"))</f>
        <v/>
      </c>
      <c r="D420" s="74" t="n"/>
      <c r="E420" s="80" t="n"/>
      <c r="F420" s="80" t="n"/>
      <c r="G420" s="80" t="n"/>
      <c r="H420" s="74" t="n"/>
      <c r="I420" s="36" t="n"/>
      <c r="J420" s="130">
        <f>IF($E420="","",IF($G420&lt;&gt;"","반납완료",IF(AND($F420&lt;&gt;"",$F420&lt;TODAY()),"연체","사용중")))</f>
        <v/>
      </c>
      <c r="K420" s="36" t="n"/>
    </row>
    <row r="421">
      <c r="A421" s="118">
        <f>IF($B421="","",313-COUNTBLANK($B$109:$B421))</f>
        <v/>
      </c>
      <c r="B421" s="74" t="n"/>
      <c r="C421" s="131">
        <f>IF($B421="","",IFERROR(INDEX($C$6:$C$105,MATCH($B421,$A$6:$A$105,0)),"※ 미등록 관리번호"))</f>
        <v/>
      </c>
      <c r="D421" s="74" t="n"/>
      <c r="E421" s="80" t="n"/>
      <c r="F421" s="80" t="n"/>
      <c r="G421" s="80" t="n"/>
      <c r="H421" s="74" t="n"/>
      <c r="I421" s="36" t="n"/>
      <c r="J421" s="130">
        <f>IF($E421="","",IF($G421&lt;&gt;"","반납완료",IF(AND($F421&lt;&gt;"",$F421&lt;TODAY()),"연체","사용중")))</f>
        <v/>
      </c>
      <c r="K421" s="36" t="n"/>
    </row>
    <row r="422">
      <c r="A422" s="118">
        <f>IF($B422="","",314-COUNTBLANK($B$109:$B422))</f>
        <v/>
      </c>
      <c r="B422" s="74" t="n"/>
      <c r="C422" s="131">
        <f>IF($B422="","",IFERROR(INDEX($C$6:$C$105,MATCH($B422,$A$6:$A$105,0)),"※ 미등록 관리번호"))</f>
        <v/>
      </c>
      <c r="D422" s="74" t="n"/>
      <c r="E422" s="80" t="n"/>
      <c r="F422" s="80" t="n"/>
      <c r="G422" s="80" t="n"/>
      <c r="H422" s="74" t="n"/>
      <c r="I422" s="36" t="n"/>
      <c r="J422" s="130">
        <f>IF($E422="","",IF($G422&lt;&gt;"","반납완료",IF(AND($F422&lt;&gt;"",$F422&lt;TODAY()),"연체","사용중")))</f>
        <v/>
      </c>
      <c r="K422" s="36" t="n"/>
    </row>
    <row r="423">
      <c r="A423" s="118">
        <f>IF($B423="","",315-COUNTBLANK($B$109:$B423))</f>
        <v/>
      </c>
      <c r="B423" s="74" t="n"/>
      <c r="C423" s="131">
        <f>IF($B423="","",IFERROR(INDEX($C$6:$C$105,MATCH($B423,$A$6:$A$105,0)),"※ 미등록 관리번호"))</f>
        <v/>
      </c>
      <c r="D423" s="74" t="n"/>
      <c r="E423" s="80" t="n"/>
      <c r="F423" s="80" t="n"/>
      <c r="G423" s="80" t="n"/>
      <c r="H423" s="74" t="n"/>
      <c r="I423" s="36" t="n"/>
      <c r="J423" s="130">
        <f>IF($E423="","",IF($G423&lt;&gt;"","반납완료",IF(AND($F423&lt;&gt;"",$F423&lt;TODAY()),"연체","사용중")))</f>
        <v/>
      </c>
      <c r="K423" s="36" t="n"/>
    </row>
    <row r="424">
      <c r="A424" s="118">
        <f>IF($B424="","",316-COUNTBLANK($B$109:$B424))</f>
        <v/>
      </c>
      <c r="B424" s="74" t="n"/>
      <c r="C424" s="131">
        <f>IF($B424="","",IFERROR(INDEX($C$6:$C$105,MATCH($B424,$A$6:$A$105,0)),"※ 미등록 관리번호"))</f>
        <v/>
      </c>
      <c r="D424" s="74" t="n"/>
      <c r="E424" s="80" t="n"/>
      <c r="F424" s="80" t="n"/>
      <c r="G424" s="80" t="n"/>
      <c r="H424" s="74" t="n"/>
      <c r="I424" s="36" t="n"/>
      <c r="J424" s="130">
        <f>IF($E424="","",IF($G424&lt;&gt;"","반납완료",IF(AND($F424&lt;&gt;"",$F424&lt;TODAY()),"연체","사용중")))</f>
        <v/>
      </c>
      <c r="K424" s="36" t="n"/>
    </row>
    <row r="425">
      <c r="A425" s="118">
        <f>IF($B425="","",317-COUNTBLANK($B$109:$B425))</f>
        <v/>
      </c>
      <c r="B425" s="74" t="n"/>
      <c r="C425" s="131">
        <f>IF($B425="","",IFERROR(INDEX($C$6:$C$105,MATCH($B425,$A$6:$A$105,0)),"※ 미등록 관리번호"))</f>
        <v/>
      </c>
      <c r="D425" s="74" t="n"/>
      <c r="E425" s="80" t="n"/>
      <c r="F425" s="80" t="n"/>
      <c r="G425" s="80" t="n"/>
      <c r="H425" s="74" t="n"/>
      <c r="I425" s="36" t="n"/>
      <c r="J425" s="130">
        <f>IF($E425="","",IF($G425&lt;&gt;"","반납완료",IF(AND($F425&lt;&gt;"",$F425&lt;TODAY()),"연체","사용중")))</f>
        <v/>
      </c>
      <c r="K425" s="36" t="n"/>
    </row>
    <row r="426">
      <c r="A426" s="118">
        <f>IF($B426="","",318-COUNTBLANK($B$109:$B426))</f>
        <v/>
      </c>
      <c r="B426" s="74" t="n"/>
      <c r="C426" s="131">
        <f>IF($B426="","",IFERROR(INDEX($C$6:$C$105,MATCH($B426,$A$6:$A$105,0)),"※ 미등록 관리번호"))</f>
        <v/>
      </c>
      <c r="D426" s="74" t="n"/>
      <c r="E426" s="80" t="n"/>
      <c r="F426" s="80" t="n"/>
      <c r="G426" s="80" t="n"/>
      <c r="H426" s="74" t="n"/>
      <c r="I426" s="36" t="n"/>
      <c r="J426" s="130">
        <f>IF($E426="","",IF($G426&lt;&gt;"","반납완료",IF(AND($F426&lt;&gt;"",$F426&lt;TODAY()),"연체","사용중")))</f>
        <v/>
      </c>
      <c r="K426" s="36" t="n"/>
    </row>
    <row r="427">
      <c r="A427" s="118">
        <f>IF($B427="","",319-COUNTBLANK($B$109:$B427))</f>
        <v/>
      </c>
      <c r="B427" s="74" t="n"/>
      <c r="C427" s="131">
        <f>IF($B427="","",IFERROR(INDEX($C$6:$C$105,MATCH($B427,$A$6:$A$105,0)),"※ 미등록 관리번호"))</f>
        <v/>
      </c>
      <c r="D427" s="74" t="n"/>
      <c r="E427" s="80" t="n"/>
      <c r="F427" s="80" t="n"/>
      <c r="G427" s="80" t="n"/>
      <c r="H427" s="74" t="n"/>
      <c r="I427" s="36" t="n"/>
      <c r="J427" s="130">
        <f>IF($E427="","",IF($G427&lt;&gt;"","반납완료",IF(AND($F427&lt;&gt;"",$F427&lt;TODAY()),"연체","사용중")))</f>
        <v/>
      </c>
      <c r="K427" s="36" t="n"/>
    </row>
    <row r="428">
      <c r="A428" s="118">
        <f>IF($B428="","",320-COUNTBLANK($B$109:$B428))</f>
        <v/>
      </c>
      <c r="B428" s="74" t="n"/>
      <c r="C428" s="131">
        <f>IF($B428="","",IFERROR(INDEX($C$6:$C$105,MATCH($B428,$A$6:$A$105,0)),"※ 미등록 관리번호"))</f>
        <v/>
      </c>
      <c r="D428" s="74" t="n"/>
      <c r="E428" s="80" t="n"/>
      <c r="F428" s="80" t="n"/>
      <c r="G428" s="80" t="n"/>
      <c r="H428" s="74" t="n"/>
      <c r="I428" s="36" t="n"/>
      <c r="J428" s="130">
        <f>IF($E428="","",IF($G428&lt;&gt;"","반납완료",IF(AND($F428&lt;&gt;"",$F428&lt;TODAY()),"연체","사용중")))</f>
        <v/>
      </c>
      <c r="K428" s="36" t="n"/>
    </row>
    <row r="429">
      <c r="A429" s="118">
        <f>IF($B429="","",321-COUNTBLANK($B$109:$B429))</f>
        <v/>
      </c>
      <c r="B429" s="74" t="n"/>
      <c r="C429" s="131">
        <f>IF($B429="","",IFERROR(INDEX($C$6:$C$105,MATCH($B429,$A$6:$A$105,0)),"※ 미등록 관리번호"))</f>
        <v/>
      </c>
      <c r="D429" s="74" t="n"/>
      <c r="E429" s="80" t="n"/>
      <c r="F429" s="80" t="n"/>
      <c r="G429" s="80" t="n"/>
      <c r="H429" s="74" t="n"/>
      <c r="I429" s="36" t="n"/>
      <c r="J429" s="130">
        <f>IF($E429="","",IF($G429&lt;&gt;"","반납완료",IF(AND($F429&lt;&gt;"",$F429&lt;TODAY()),"연체","사용중")))</f>
        <v/>
      </c>
      <c r="K429" s="36" t="n"/>
    </row>
    <row r="430">
      <c r="A430" s="118">
        <f>IF($B430="","",322-COUNTBLANK($B$109:$B430))</f>
        <v/>
      </c>
      <c r="B430" s="74" t="n"/>
      <c r="C430" s="131">
        <f>IF($B430="","",IFERROR(INDEX($C$6:$C$105,MATCH($B430,$A$6:$A$105,0)),"※ 미등록 관리번호"))</f>
        <v/>
      </c>
      <c r="D430" s="74" t="n"/>
      <c r="E430" s="80" t="n"/>
      <c r="F430" s="80" t="n"/>
      <c r="G430" s="80" t="n"/>
      <c r="H430" s="74" t="n"/>
      <c r="I430" s="36" t="n"/>
      <c r="J430" s="130">
        <f>IF($E430="","",IF($G430&lt;&gt;"","반납완료",IF(AND($F430&lt;&gt;"",$F430&lt;TODAY()),"연체","사용중")))</f>
        <v/>
      </c>
      <c r="K430" s="36" t="n"/>
    </row>
    <row r="431">
      <c r="A431" s="118">
        <f>IF($B431="","",323-COUNTBLANK($B$109:$B431))</f>
        <v/>
      </c>
      <c r="B431" s="74" t="n"/>
      <c r="C431" s="131">
        <f>IF($B431="","",IFERROR(INDEX($C$6:$C$105,MATCH($B431,$A$6:$A$105,0)),"※ 미등록 관리번호"))</f>
        <v/>
      </c>
      <c r="D431" s="74" t="n"/>
      <c r="E431" s="80" t="n"/>
      <c r="F431" s="80" t="n"/>
      <c r="G431" s="80" t="n"/>
      <c r="H431" s="74" t="n"/>
      <c r="I431" s="36" t="n"/>
      <c r="J431" s="130">
        <f>IF($E431="","",IF($G431&lt;&gt;"","반납완료",IF(AND($F431&lt;&gt;"",$F431&lt;TODAY()),"연체","사용중")))</f>
        <v/>
      </c>
      <c r="K431" s="36" t="n"/>
    </row>
    <row r="432">
      <c r="A432" s="118">
        <f>IF($B432="","",324-COUNTBLANK($B$109:$B432))</f>
        <v/>
      </c>
      <c r="B432" s="74" t="n"/>
      <c r="C432" s="131">
        <f>IF($B432="","",IFERROR(INDEX($C$6:$C$105,MATCH($B432,$A$6:$A$105,0)),"※ 미등록 관리번호"))</f>
        <v/>
      </c>
      <c r="D432" s="74" t="n"/>
      <c r="E432" s="80" t="n"/>
      <c r="F432" s="80" t="n"/>
      <c r="G432" s="80" t="n"/>
      <c r="H432" s="74" t="n"/>
      <c r="I432" s="36" t="n"/>
      <c r="J432" s="130">
        <f>IF($E432="","",IF($G432&lt;&gt;"","반납완료",IF(AND($F432&lt;&gt;"",$F432&lt;TODAY()),"연체","사용중")))</f>
        <v/>
      </c>
      <c r="K432" s="36" t="n"/>
    </row>
    <row r="433">
      <c r="A433" s="118">
        <f>IF($B433="","",325-COUNTBLANK($B$109:$B433))</f>
        <v/>
      </c>
      <c r="B433" s="74" t="n"/>
      <c r="C433" s="131">
        <f>IF($B433="","",IFERROR(INDEX($C$6:$C$105,MATCH($B433,$A$6:$A$105,0)),"※ 미등록 관리번호"))</f>
        <v/>
      </c>
      <c r="D433" s="74" t="n"/>
      <c r="E433" s="80" t="n"/>
      <c r="F433" s="80" t="n"/>
      <c r="G433" s="80" t="n"/>
      <c r="H433" s="74" t="n"/>
      <c r="I433" s="36" t="n"/>
      <c r="J433" s="130">
        <f>IF($E433="","",IF($G433&lt;&gt;"","반납완료",IF(AND($F433&lt;&gt;"",$F433&lt;TODAY()),"연체","사용중")))</f>
        <v/>
      </c>
      <c r="K433" s="36" t="n"/>
    </row>
    <row r="434">
      <c r="A434" s="118">
        <f>IF($B434="","",326-COUNTBLANK($B$109:$B434))</f>
        <v/>
      </c>
      <c r="B434" s="74" t="n"/>
      <c r="C434" s="131">
        <f>IF($B434="","",IFERROR(INDEX($C$6:$C$105,MATCH($B434,$A$6:$A$105,0)),"※ 미등록 관리번호"))</f>
        <v/>
      </c>
      <c r="D434" s="74" t="n"/>
      <c r="E434" s="80" t="n"/>
      <c r="F434" s="80" t="n"/>
      <c r="G434" s="80" t="n"/>
      <c r="H434" s="74" t="n"/>
      <c r="I434" s="36" t="n"/>
      <c r="J434" s="130">
        <f>IF($E434="","",IF($G434&lt;&gt;"","반납완료",IF(AND($F434&lt;&gt;"",$F434&lt;TODAY()),"연체","사용중")))</f>
        <v/>
      </c>
      <c r="K434" s="36" t="n"/>
    </row>
    <row r="435">
      <c r="A435" s="118">
        <f>IF($B435="","",327-COUNTBLANK($B$109:$B435))</f>
        <v/>
      </c>
      <c r="B435" s="74" t="n"/>
      <c r="C435" s="131">
        <f>IF($B435="","",IFERROR(INDEX($C$6:$C$105,MATCH($B435,$A$6:$A$105,0)),"※ 미등록 관리번호"))</f>
        <v/>
      </c>
      <c r="D435" s="74" t="n"/>
      <c r="E435" s="80" t="n"/>
      <c r="F435" s="80" t="n"/>
      <c r="G435" s="80" t="n"/>
      <c r="H435" s="74" t="n"/>
      <c r="I435" s="36" t="n"/>
      <c r="J435" s="130">
        <f>IF($E435="","",IF($G435&lt;&gt;"","반납완료",IF(AND($F435&lt;&gt;"",$F435&lt;TODAY()),"연체","사용중")))</f>
        <v/>
      </c>
      <c r="K435" s="36" t="n"/>
    </row>
    <row r="436">
      <c r="A436" s="118">
        <f>IF($B436="","",328-COUNTBLANK($B$109:$B436))</f>
        <v/>
      </c>
      <c r="B436" s="74" t="n"/>
      <c r="C436" s="131">
        <f>IF($B436="","",IFERROR(INDEX($C$6:$C$105,MATCH($B436,$A$6:$A$105,0)),"※ 미등록 관리번호"))</f>
        <v/>
      </c>
      <c r="D436" s="74" t="n"/>
      <c r="E436" s="80" t="n"/>
      <c r="F436" s="80" t="n"/>
      <c r="G436" s="80" t="n"/>
      <c r="H436" s="74" t="n"/>
      <c r="I436" s="36" t="n"/>
      <c r="J436" s="130">
        <f>IF($E436="","",IF($G436&lt;&gt;"","반납완료",IF(AND($F436&lt;&gt;"",$F436&lt;TODAY()),"연체","사용중")))</f>
        <v/>
      </c>
      <c r="K436" s="36" t="n"/>
    </row>
    <row r="437">
      <c r="A437" s="118">
        <f>IF($B437="","",329-COUNTBLANK($B$109:$B437))</f>
        <v/>
      </c>
      <c r="B437" s="74" t="n"/>
      <c r="C437" s="131">
        <f>IF($B437="","",IFERROR(INDEX($C$6:$C$105,MATCH($B437,$A$6:$A$105,0)),"※ 미등록 관리번호"))</f>
        <v/>
      </c>
      <c r="D437" s="74" t="n"/>
      <c r="E437" s="80" t="n"/>
      <c r="F437" s="80" t="n"/>
      <c r="G437" s="80" t="n"/>
      <c r="H437" s="74" t="n"/>
      <c r="I437" s="36" t="n"/>
      <c r="J437" s="130">
        <f>IF($E437="","",IF($G437&lt;&gt;"","반납완료",IF(AND($F437&lt;&gt;"",$F437&lt;TODAY()),"연체","사용중")))</f>
        <v/>
      </c>
      <c r="K437" s="36" t="n"/>
    </row>
    <row r="438">
      <c r="A438" s="118">
        <f>IF($B438="","",330-COUNTBLANK($B$109:$B438))</f>
        <v/>
      </c>
      <c r="B438" s="74" t="n"/>
      <c r="C438" s="131">
        <f>IF($B438="","",IFERROR(INDEX($C$6:$C$105,MATCH($B438,$A$6:$A$105,0)),"※ 미등록 관리번호"))</f>
        <v/>
      </c>
      <c r="D438" s="74" t="n"/>
      <c r="E438" s="80" t="n"/>
      <c r="F438" s="80" t="n"/>
      <c r="G438" s="80" t="n"/>
      <c r="H438" s="74" t="n"/>
      <c r="I438" s="36" t="n"/>
      <c r="J438" s="130">
        <f>IF($E438="","",IF($G438&lt;&gt;"","반납완료",IF(AND($F438&lt;&gt;"",$F438&lt;TODAY()),"연체","사용중")))</f>
        <v/>
      </c>
      <c r="K438" s="36" t="n"/>
    </row>
    <row r="439">
      <c r="A439" s="118">
        <f>IF($B439="","",331-COUNTBLANK($B$109:$B439))</f>
        <v/>
      </c>
      <c r="B439" s="74" t="n"/>
      <c r="C439" s="131">
        <f>IF($B439="","",IFERROR(INDEX($C$6:$C$105,MATCH($B439,$A$6:$A$105,0)),"※ 미등록 관리번호"))</f>
        <v/>
      </c>
      <c r="D439" s="74" t="n"/>
      <c r="E439" s="80" t="n"/>
      <c r="F439" s="80" t="n"/>
      <c r="G439" s="80" t="n"/>
      <c r="H439" s="74" t="n"/>
      <c r="I439" s="36" t="n"/>
      <c r="J439" s="130">
        <f>IF($E439="","",IF($G439&lt;&gt;"","반납완료",IF(AND($F439&lt;&gt;"",$F439&lt;TODAY()),"연체","사용중")))</f>
        <v/>
      </c>
      <c r="K439" s="36" t="n"/>
    </row>
    <row r="440">
      <c r="A440" s="118">
        <f>IF($B440="","",332-COUNTBLANK($B$109:$B440))</f>
        <v/>
      </c>
      <c r="B440" s="74" t="n"/>
      <c r="C440" s="131">
        <f>IF($B440="","",IFERROR(INDEX($C$6:$C$105,MATCH($B440,$A$6:$A$105,0)),"※ 미등록 관리번호"))</f>
        <v/>
      </c>
      <c r="D440" s="74" t="n"/>
      <c r="E440" s="80" t="n"/>
      <c r="F440" s="80" t="n"/>
      <c r="G440" s="80" t="n"/>
      <c r="H440" s="74" t="n"/>
      <c r="I440" s="36" t="n"/>
      <c r="J440" s="130">
        <f>IF($E440="","",IF($G440&lt;&gt;"","반납완료",IF(AND($F440&lt;&gt;"",$F440&lt;TODAY()),"연체","사용중")))</f>
        <v/>
      </c>
      <c r="K440" s="36" t="n"/>
    </row>
    <row r="441">
      <c r="A441" s="118">
        <f>IF($B441="","",333-COUNTBLANK($B$109:$B441))</f>
        <v/>
      </c>
      <c r="B441" s="74" t="n"/>
      <c r="C441" s="131">
        <f>IF($B441="","",IFERROR(INDEX($C$6:$C$105,MATCH($B441,$A$6:$A$105,0)),"※ 미등록 관리번호"))</f>
        <v/>
      </c>
      <c r="D441" s="74" t="n"/>
      <c r="E441" s="80" t="n"/>
      <c r="F441" s="80" t="n"/>
      <c r="G441" s="80" t="n"/>
      <c r="H441" s="74" t="n"/>
      <c r="I441" s="36" t="n"/>
      <c r="J441" s="130">
        <f>IF($E441="","",IF($G441&lt;&gt;"","반납완료",IF(AND($F441&lt;&gt;"",$F441&lt;TODAY()),"연체","사용중")))</f>
        <v/>
      </c>
      <c r="K441" s="36" t="n"/>
    </row>
    <row r="442">
      <c r="A442" s="118">
        <f>IF($B442="","",334-COUNTBLANK($B$109:$B442))</f>
        <v/>
      </c>
      <c r="B442" s="74" t="n"/>
      <c r="C442" s="131">
        <f>IF($B442="","",IFERROR(INDEX($C$6:$C$105,MATCH($B442,$A$6:$A$105,0)),"※ 미등록 관리번호"))</f>
        <v/>
      </c>
      <c r="D442" s="74" t="n"/>
      <c r="E442" s="80" t="n"/>
      <c r="F442" s="80" t="n"/>
      <c r="G442" s="80" t="n"/>
      <c r="H442" s="74" t="n"/>
      <c r="I442" s="36" t="n"/>
      <c r="J442" s="130">
        <f>IF($E442="","",IF($G442&lt;&gt;"","반납완료",IF(AND($F442&lt;&gt;"",$F442&lt;TODAY()),"연체","사용중")))</f>
        <v/>
      </c>
      <c r="K442" s="36" t="n"/>
    </row>
    <row r="443">
      <c r="A443" s="118">
        <f>IF($B443="","",335-COUNTBLANK($B$109:$B443))</f>
        <v/>
      </c>
      <c r="B443" s="74" t="n"/>
      <c r="C443" s="131">
        <f>IF($B443="","",IFERROR(INDEX($C$6:$C$105,MATCH($B443,$A$6:$A$105,0)),"※ 미등록 관리번호"))</f>
        <v/>
      </c>
      <c r="D443" s="74" t="n"/>
      <c r="E443" s="80" t="n"/>
      <c r="F443" s="80" t="n"/>
      <c r="G443" s="80" t="n"/>
      <c r="H443" s="74" t="n"/>
      <c r="I443" s="36" t="n"/>
      <c r="J443" s="130">
        <f>IF($E443="","",IF($G443&lt;&gt;"","반납완료",IF(AND($F443&lt;&gt;"",$F443&lt;TODAY()),"연체","사용중")))</f>
        <v/>
      </c>
      <c r="K443" s="36" t="n"/>
    </row>
    <row r="444">
      <c r="A444" s="118">
        <f>IF($B444="","",336-COUNTBLANK($B$109:$B444))</f>
        <v/>
      </c>
      <c r="B444" s="74" t="n"/>
      <c r="C444" s="131">
        <f>IF($B444="","",IFERROR(INDEX($C$6:$C$105,MATCH($B444,$A$6:$A$105,0)),"※ 미등록 관리번호"))</f>
        <v/>
      </c>
      <c r="D444" s="74" t="n"/>
      <c r="E444" s="80" t="n"/>
      <c r="F444" s="80" t="n"/>
      <c r="G444" s="80" t="n"/>
      <c r="H444" s="74" t="n"/>
      <c r="I444" s="36" t="n"/>
      <c r="J444" s="130">
        <f>IF($E444="","",IF($G444&lt;&gt;"","반납완료",IF(AND($F444&lt;&gt;"",$F444&lt;TODAY()),"연체","사용중")))</f>
        <v/>
      </c>
      <c r="K444" s="36" t="n"/>
    </row>
    <row r="445">
      <c r="A445" s="118">
        <f>IF($B445="","",337-COUNTBLANK($B$109:$B445))</f>
        <v/>
      </c>
      <c r="B445" s="74" t="n"/>
      <c r="C445" s="131">
        <f>IF($B445="","",IFERROR(INDEX($C$6:$C$105,MATCH($B445,$A$6:$A$105,0)),"※ 미등록 관리번호"))</f>
        <v/>
      </c>
      <c r="D445" s="74" t="n"/>
      <c r="E445" s="80" t="n"/>
      <c r="F445" s="80" t="n"/>
      <c r="G445" s="80" t="n"/>
      <c r="H445" s="74" t="n"/>
      <c r="I445" s="36" t="n"/>
      <c r="J445" s="130">
        <f>IF($E445="","",IF($G445&lt;&gt;"","반납완료",IF(AND($F445&lt;&gt;"",$F445&lt;TODAY()),"연체","사용중")))</f>
        <v/>
      </c>
      <c r="K445" s="36" t="n"/>
    </row>
    <row r="446">
      <c r="A446" s="118">
        <f>IF($B446="","",338-COUNTBLANK($B$109:$B446))</f>
        <v/>
      </c>
      <c r="B446" s="74" t="n"/>
      <c r="C446" s="131">
        <f>IF($B446="","",IFERROR(INDEX($C$6:$C$105,MATCH($B446,$A$6:$A$105,0)),"※ 미등록 관리번호"))</f>
        <v/>
      </c>
      <c r="D446" s="74" t="n"/>
      <c r="E446" s="80" t="n"/>
      <c r="F446" s="80" t="n"/>
      <c r="G446" s="80" t="n"/>
      <c r="H446" s="74" t="n"/>
      <c r="I446" s="36" t="n"/>
      <c r="J446" s="130">
        <f>IF($E446="","",IF($G446&lt;&gt;"","반납완료",IF(AND($F446&lt;&gt;"",$F446&lt;TODAY()),"연체","사용중")))</f>
        <v/>
      </c>
      <c r="K446" s="36" t="n"/>
    </row>
    <row r="447">
      <c r="A447" s="118">
        <f>IF($B447="","",339-COUNTBLANK($B$109:$B447))</f>
        <v/>
      </c>
      <c r="B447" s="74" t="n"/>
      <c r="C447" s="131">
        <f>IF($B447="","",IFERROR(INDEX($C$6:$C$105,MATCH($B447,$A$6:$A$105,0)),"※ 미등록 관리번호"))</f>
        <v/>
      </c>
      <c r="D447" s="74" t="n"/>
      <c r="E447" s="80" t="n"/>
      <c r="F447" s="80" t="n"/>
      <c r="G447" s="80" t="n"/>
      <c r="H447" s="74" t="n"/>
      <c r="I447" s="36" t="n"/>
      <c r="J447" s="130">
        <f>IF($E447="","",IF($G447&lt;&gt;"","반납완료",IF(AND($F447&lt;&gt;"",$F447&lt;TODAY()),"연체","사용중")))</f>
        <v/>
      </c>
      <c r="K447" s="36" t="n"/>
    </row>
    <row r="448">
      <c r="A448" s="118">
        <f>IF($B448="","",340-COUNTBLANK($B$109:$B448))</f>
        <v/>
      </c>
      <c r="B448" s="74" t="n"/>
      <c r="C448" s="131">
        <f>IF($B448="","",IFERROR(INDEX($C$6:$C$105,MATCH($B448,$A$6:$A$105,0)),"※ 미등록 관리번호"))</f>
        <v/>
      </c>
      <c r="D448" s="74" t="n"/>
      <c r="E448" s="80" t="n"/>
      <c r="F448" s="80" t="n"/>
      <c r="G448" s="80" t="n"/>
      <c r="H448" s="74" t="n"/>
      <c r="I448" s="36" t="n"/>
      <c r="J448" s="130">
        <f>IF($E448="","",IF($G448&lt;&gt;"","반납완료",IF(AND($F448&lt;&gt;"",$F448&lt;TODAY()),"연체","사용중")))</f>
        <v/>
      </c>
      <c r="K448" s="36" t="n"/>
    </row>
    <row r="449">
      <c r="A449" s="118">
        <f>IF($B449="","",341-COUNTBLANK($B$109:$B449))</f>
        <v/>
      </c>
      <c r="B449" s="74" t="n"/>
      <c r="C449" s="131">
        <f>IF($B449="","",IFERROR(INDEX($C$6:$C$105,MATCH($B449,$A$6:$A$105,0)),"※ 미등록 관리번호"))</f>
        <v/>
      </c>
      <c r="D449" s="74" t="n"/>
      <c r="E449" s="80" t="n"/>
      <c r="F449" s="80" t="n"/>
      <c r="G449" s="80" t="n"/>
      <c r="H449" s="74" t="n"/>
      <c r="I449" s="36" t="n"/>
      <c r="J449" s="130">
        <f>IF($E449="","",IF($G449&lt;&gt;"","반납완료",IF(AND($F449&lt;&gt;"",$F449&lt;TODAY()),"연체","사용중")))</f>
        <v/>
      </c>
      <c r="K449" s="36" t="n"/>
    </row>
    <row r="450">
      <c r="A450" s="118">
        <f>IF($B450="","",342-COUNTBLANK($B$109:$B450))</f>
        <v/>
      </c>
      <c r="B450" s="74" t="n"/>
      <c r="C450" s="131">
        <f>IF($B450="","",IFERROR(INDEX($C$6:$C$105,MATCH($B450,$A$6:$A$105,0)),"※ 미등록 관리번호"))</f>
        <v/>
      </c>
      <c r="D450" s="74" t="n"/>
      <c r="E450" s="80" t="n"/>
      <c r="F450" s="80" t="n"/>
      <c r="G450" s="80" t="n"/>
      <c r="H450" s="74" t="n"/>
      <c r="I450" s="36" t="n"/>
      <c r="J450" s="130">
        <f>IF($E450="","",IF($G450&lt;&gt;"","반납완료",IF(AND($F450&lt;&gt;"",$F450&lt;TODAY()),"연체","사용중")))</f>
        <v/>
      </c>
      <c r="K450" s="36" t="n"/>
    </row>
    <row r="451">
      <c r="A451" s="118">
        <f>IF($B451="","",343-COUNTBLANK($B$109:$B451))</f>
        <v/>
      </c>
      <c r="B451" s="74" t="n"/>
      <c r="C451" s="131">
        <f>IF($B451="","",IFERROR(INDEX($C$6:$C$105,MATCH($B451,$A$6:$A$105,0)),"※ 미등록 관리번호"))</f>
        <v/>
      </c>
      <c r="D451" s="74" t="n"/>
      <c r="E451" s="80" t="n"/>
      <c r="F451" s="80" t="n"/>
      <c r="G451" s="80" t="n"/>
      <c r="H451" s="74" t="n"/>
      <c r="I451" s="36" t="n"/>
      <c r="J451" s="130">
        <f>IF($E451="","",IF($G451&lt;&gt;"","반납완료",IF(AND($F451&lt;&gt;"",$F451&lt;TODAY()),"연체","사용중")))</f>
        <v/>
      </c>
      <c r="K451" s="36" t="n"/>
    </row>
    <row r="452">
      <c r="A452" s="118">
        <f>IF($B452="","",344-COUNTBLANK($B$109:$B452))</f>
        <v/>
      </c>
      <c r="B452" s="74" t="n"/>
      <c r="C452" s="131">
        <f>IF($B452="","",IFERROR(INDEX($C$6:$C$105,MATCH($B452,$A$6:$A$105,0)),"※ 미등록 관리번호"))</f>
        <v/>
      </c>
      <c r="D452" s="74" t="n"/>
      <c r="E452" s="80" t="n"/>
      <c r="F452" s="80" t="n"/>
      <c r="G452" s="80" t="n"/>
      <c r="H452" s="74" t="n"/>
      <c r="I452" s="36" t="n"/>
      <c r="J452" s="130">
        <f>IF($E452="","",IF($G452&lt;&gt;"","반납완료",IF(AND($F452&lt;&gt;"",$F452&lt;TODAY()),"연체","사용중")))</f>
        <v/>
      </c>
      <c r="K452" s="36" t="n"/>
    </row>
    <row r="453">
      <c r="A453" s="118">
        <f>IF($B453="","",345-COUNTBLANK($B$109:$B453))</f>
        <v/>
      </c>
      <c r="B453" s="74" t="n"/>
      <c r="C453" s="131">
        <f>IF($B453="","",IFERROR(INDEX($C$6:$C$105,MATCH($B453,$A$6:$A$105,0)),"※ 미등록 관리번호"))</f>
        <v/>
      </c>
      <c r="D453" s="74" t="n"/>
      <c r="E453" s="80" t="n"/>
      <c r="F453" s="80" t="n"/>
      <c r="G453" s="80" t="n"/>
      <c r="H453" s="74" t="n"/>
      <c r="I453" s="36" t="n"/>
      <c r="J453" s="130">
        <f>IF($E453="","",IF($G453&lt;&gt;"","반납완료",IF(AND($F453&lt;&gt;"",$F453&lt;TODAY()),"연체","사용중")))</f>
        <v/>
      </c>
      <c r="K453" s="36" t="n"/>
    </row>
    <row r="454">
      <c r="A454" s="118">
        <f>IF($B454="","",346-COUNTBLANK($B$109:$B454))</f>
        <v/>
      </c>
      <c r="B454" s="74" t="n"/>
      <c r="C454" s="131">
        <f>IF($B454="","",IFERROR(INDEX($C$6:$C$105,MATCH($B454,$A$6:$A$105,0)),"※ 미등록 관리번호"))</f>
        <v/>
      </c>
      <c r="D454" s="74" t="n"/>
      <c r="E454" s="80" t="n"/>
      <c r="F454" s="80" t="n"/>
      <c r="G454" s="80" t="n"/>
      <c r="H454" s="74" t="n"/>
      <c r="I454" s="36" t="n"/>
      <c r="J454" s="130">
        <f>IF($E454="","",IF($G454&lt;&gt;"","반납완료",IF(AND($F454&lt;&gt;"",$F454&lt;TODAY()),"연체","사용중")))</f>
        <v/>
      </c>
      <c r="K454" s="36" t="n"/>
    </row>
    <row r="455">
      <c r="A455" s="118">
        <f>IF($B455="","",347-COUNTBLANK($B$109:$B455))</f>
        <v/>
      </c>
      <c r="B455" s="74" t="n"/>
      <c r="C455" s="131">
        <f>IF($B455="","",IFERROR(INDEX($C$6:$C$105,MATCH($B455,$A$6:$A$105,0)),"※ 미등록 관리번호"))</f>
        <v/>
      </c>
      <c r="D455" s="74" t="n"/>
      <c r="E455" s="80" t="n"/>
      <c r="F455" s="80" t="n"/>
      <c r="G455" s="80" t="n"/>
      <c r="H455" s="74" t="n"/>
      <c r="I455" s="36" t="n"/>
      <c r="J455" s="130">
        <f>IF($E455="","",IF($G455&lt;&gt;"","반납완료",IF(AND($F455&lt;&gt;"",$F455&lt;TODAY()),"연체","사용중")))</f>
        <v/>
      </c>
      <c r="K455" s="36" t="n"/>
    </row>
    <row r="456">
      <c r="A456" s="118">
        <f>IF($B456="","",348-COUNTBLANK($B$109:$B456))</f>
        <v/>
      </c>
      <c r="B456" s="74" t="n"/>
      <c r="C456" s="131">
        <f>IF($B456="","",IFERROR(INDEX($C$6:$C$105,MATCH($B456,$A$6:$A$105,0)),"※ 미등록 관리번호"))</f>
        <v/>
      </c>
      <c r="D456" s="74" t="n"/>
      <c r="E456" s="80" t="n"/>
      <c r="F456" s="80" t="n"/>
      <c r="G456" s="80" t="n"/>
      <c r="H456" s="74" t="n"/>
      <c r="I456" s="36" t="n"/>
      <c r="J456" s="130">
        <f>IF($E456="","",IF($G456&lt;&gt;"","반납완료",IF(AND($F456&lt;&gt;"",$F456&lt;TODAY()),"연체","사용중")))</f>
        <v/>
      </c>
      <c r="K456" s="36" t="n"/>
    </row>
    <row r="457">
      <c r="A457" s="118">
        <f>IF($B457="","",349-COUNTBLANK($B$109:$B457))</f>
        <v/>
      </c>
      <c r="B457" s="74" t="n"/>
      <c r="C457" s="131">
        <f>IF($B457="","",IFERROR(INDEX($C$6:$C$105,MATCH($B457,$A$6:$A$105,0)),"※ 미등록 관리번호"))</f>
        <v/>
      </c>
      <c r="D457" s="74" t="n"/>
      <c r="E457" s="80" t="n"/>
      <c r="F457" s="80" t="n"/>
      <c r="G457" s="80" t="n"/>
      <c r="H457" s="74" t="n"/>
      <c r="I457" s="36" t="n"/>
      <c r="J457" s="130">
        <f>IF($E457="","",IF($G457&lt;&gt;"","반납완료",IF(AND($F457&lt;&gt;"",$F457&lt;TODAY()),"연체","사용중")))</f>
        <v/>
      </c>
      <c r="K457" s="36" t="n"/>
    </row>
    <row r="458">
      <c r="A458" s="118">
        <f>IF($B458="","",350-COUNTBLANK($B$109:$B458))</f>
        <v/>
      </c>
      <c r="B458" s="74" t="n"/>
      <c r="C458" s="131">
        <f>IF($B458="","",IFERROR(INDEX($C$6:$C$105,MATCH($B458,$A$6:$A$105,0)),"※ 미등록 관리번호"))</f>
        <v/>
      </c>
      <c r="D458" s="74" t="n"/>
      <c r="E458" s="80" t="n"/>
      <c r="F458" s="80" t="n"/>
      <c r="G458" s="80" t="n"/>
      <c r="H458" s="74" t="n"/>
      <c r="I458" s="36" t="n"/>
      <c r="J458" s="130">
        <f>IF($E458="","",IF($G458&lt;&gt;"","반납완료",IF(AND($F458&lt;&gt;"",$F458&lt;TODAY()),"연체","사용중")))</f>
        <v/>
      </c>
      <c r="K458" s="36" t="n"/>
    </row>
    <row r="459">
      <c r="A459" s="118">
        <f>IF($B459="","",351-COUNTBLANK($B$109:$B459))</f>
        <v/>
      </c>
      <c r="B459" s="74" t="n"/>
      <c r="C459" s="131">
        <f>IF($B459="","",IFERROR(INDEX($C$6:$C$105,MATCH($B459,$A$6:$A$105,0)),"※ 미등록 관리번호"))</f>
        <v/>
      </c>
      <c r="D459" s="74" t="n"/>
      <c r="E459" s="80" t="n"/>
      <c r="F459" s="80" t="n"/>
      <c r="G459" s="80" t="n"/>
      <c r="H459" s="74" t="n"/>
      <c r="I459" s="36" t="n"/>
      <c r="J459" s="130">
        <f>IF($E459="","",IF($G459&lt;&gt;"","반납완료",IF(AND($F459&lt;&gt;"",$F459&lt;TODAY()),"연체","사용중")))</f>
        <v/>
      </c>
      <c r="K459" s="36" t="n"/>
    </row>
    <row r="460">
      <c r="A460" s="118">
        <f>IF($B460="","",352-COUNTBLANK($B$109:$B460))</f>
        <v/>
      </c>
      <c r="B460" s="74" t="n"/>
      <c r="C460" s="131">
        <f>IF($B460="","",IFERROR(INDEX($C$6:$C$105,MATCH($B460,$A$6:$A$105,0)),"※ 미등록 관리번호"))</f>
        <v/>
      </c>
      <c r="D460" s="74" t="n"/>
      <c r="E460" s="80" t="n"/>
      <c r="F460" s="80" t="n"/>
      <c r="G460" s="80" t="n"/>
      <c r="H460" s="74" t="n"/>
      <c r="I460" s="36" t="n"/>
      <c r="J460" s="130">
        <f>IF($E460="","",IF($G460&lt;&gt;"","반납완료",IF(AND($F460&lt;&gt;"",$F460&lt;TODAY()),"연체","사용중")))</f>
        <v/>
      </c>
      <c r="K460" s="36" t="n"/>
    </row>
    <row r="461">
      <c r="A461" s="118">
        <f>IF($B461="","",353-COUNTBLANK($B$109:$B461))</f>
        <v/>
      </c>
      <c r="B461" s="74" t="n"/>
      <c r="C461" s="131">
        <f>IF($B461="","",IFERROR(INDEX($C$6:$C$105,MATCH($B461,$A$6:$A$105,0)),"※ 미등록 관리번호"))</f>
        <v/>
      </c>
      <c r="D461" s="74" t="n"/>
      <c r="E461" s="80" t="n"/>
      <c r="F461" s="80" t="n"/>
      <c r="G461" s="80" t="n"/>
      <c r="H461" s="74" t="n"/>
      <c r="I461" s="36" t="n"/>
      <c r="J461" s="130">
        <f>IF($E461="","",IF($G461&lt;&gt;"","반납완료",IF(AND($F461&lt;&gt;"",$F461&lt;TODAY()),"연체","사용중")))</f>
        <v/>
      </c>
      <c r="K461" s="36" t="n"/>
    </row>
    <row r="462">
      <c r="A462" s="118">
        <f>IF($B462="","",354-COUNTBLANK($B$109:$B462))</f>
        <v/>
      </c>
      <c r="B462" s="74" t="n"/>
      <c r="C462" s="131">
        <f>IF($B462="","",IFERROR(INDEX($C$6:$C$105,MATCH($B462,$A$6:$A$105,0)),"※ 미등록 관리번호"))</f>
        <v/>
      </c>
      <c r="D462" s="74" t="n"/>
      <c r="E462" s="80" t="n"/>
      <c r="F462" s="80" t="n"/>
      <c r="G462" s="80" t="n"/>
      <c r="H462" s="74" t="n"/>
      <c r="I462" s="36" t="n"/>
      <c r="J462" s="130">
        <f>IF($E462="","",IF($G462&lt;&gt;"","반납완료",IF(AND($F462&lt;&gt;"",$F462&lt;TODAY()),"연체","사용중")))</f>
        <v/>
      </c>
      <c r="K462" s="36" t="n"/>
    </row>
    <row r="463">
      <c r="A463" s="118">
        <f>IF($B463="","",355-COUNTBLANK($B$109:$B463))</f>
        <v/>
      </c>
      <c r="B463" s="74" t="n"/>
      <c r="C463" s="131">
        <f>IF($B463="","",IFERROR(INDEX($C$6:$C$105,MATCH($B463,$A$6:$A$105,0)),"※ 미등록 관리번호"))</f>
        <v/>
      </c>
      <c r="D463" s="74" t="n"/>
      <c r="E463" s="80" t="n"/>
      <c r="F463" s="80" t="n"/>
      <c r="G463" s="80" t="n"/>
      <c r="H463" s="74" t="n"/>
      <c r="I463" s="36" t="n"/>
      <c r="J463" s="130">
        <f>IF($E463="","",IF($G463&lt;&gt;"","반납완료",IF(AND($F463&lt;&gt;"",$F463&lt;TODAY()),"연체","사용중")))</f>
        <v/>
      </c>
      <c r="K463" s="36" t="n"/>
    </row>
    <row r="464">
      <c r="A464" s="118">
        <f>IF($B464="","",356-COUNTBLANK($B$109:$B464))</f>
        <v/>
      </c>
      <c r="B464" s="74" t="n"/>
      <c r="C464" s="131">
        <f>IF($B464="","",IFERROR(INDEX($C$6:$C$105,MATCH($B464,$A$6:$A$105,0)),"※ 미등록 관리번호"))</f>
        <v/>
      </c>
      <c r="D464" s="74" t="n"/>
      <c r="E464" s="80" t="n"/>
      <c r="F464" s="80" t="n"/>
      <c r="G464" s="80" t="n"/>
      <c r="H464" s="74" t="n"/>
      <c r="I464" s="36" t="n"/>
      <c r="J464" s="130">
        <f>IF($E464="","",IF($G464&lt;&gt;"","반납완료",IF(AND($F464&lt;&gt;"",$F464&lt;TODAY()),"연체","사용중")))</f>
        <v/>
      </c>
      <c r="K464" s="36" t="n"/>
    </row>
    <row r="465">
      <c r="A465" s="118">
        <f>IF($B465="","",357-COUNTBLANK($B$109:$B465))</f>
        <v/>
      </c>
      <c r="B465" s="74" t="n"/>
      <c r="C465" s="131">
        <f>IF($B465="","",IFERROR(INDEX($C$6:$C$105,MATCH($B465,$A$6:$A$105,0)),"※ 미등록 관리번호"))</f>
        <v/>
      </c>
      <c r="D465" s="74" t="n"/>
      <c r="E465" s="80" t="n"/>
      <c r="F465" s="80" t="n"/>
      <c r="G465" s="80" t="n"/>
      <c r="H465" s="74" t="n"/>
      <c r="I465" s="36" t="n"/>
      <c r="J465" s="130">
        <f>IF($E465="","",IF($G465&lt;&gt;"","반납완료",IF(AND($F465&lt;&gt;"",$F465&lt;TODAY()),"연체","사용중")))</f>
        <v/>
      </c>
      <c r="K465" s="36" t="n"/>
    </row>
    <row r="466">
      <c r="A466" s="118">
        <f>IF($B466="","",358-COUNTBLANK($B$109:$B466))</f>
        <v/>
      </c>
      <c r="B466" s="74" t="n"/>
      <c r="C466" s="131">
        <f>IF($B466="","",IFERROR(INDEX($C$6:$C$105,MATCH($B466,$A$6:$A$105,0)),"※ 미등록 관리번호"))</f>
        <v/>
      </c>
      <c r="D466" s="74" t="n"/>
      <c r="E466" s="80" t="n"/>
      <c r="F466" s="80" t="n"/>
      <c r="G466" s="80" t="n"/>
      <c r="H466" s="74" t="n"/>
      <c r="I466" s="36" t="n"/>
      <c r="J466" s="130">
        <f>IF($E466="","",IF($G466&lt;&gt;"","반납완료",IF(AND($F466&lt;&gt;"",$F466&lt;TODAY()),"연체","사용중")))</f>
        <v/>
      </c>
      <c r="K466" s="36" t="n"/>
    </row>
    <row r="467">
      <c r="A467" s="118">
        <f>IF($B467="","",359-COUNTBLANK($B$109:$B467))</f>
        <v/>
      </c>
      <c r="B467" s="74" t="n"/>
      <c r="C467" s="131">
        <f>IF($B467="","",IFERROR(INDEX($C$6:$C$105,MATCH($B467,$A$6:$A$105,0)),"※ 미등록 관리번호"))</f>
        <v/>
      </c>
      <c r="D467" s="74" t="n"/>
      <c r="E467" s="80" t="n"/>
      <c r="F467" s="80" t="n"/>
      <c r="G467" s="80" t="n"/>
      <c r="H467" s="74" t="n"/>
      <c r="I467" s="36" t="n"/>
      <c r="J467" s="130">
        <f>IF($E467="","",IF($G467&lt;&gt;"","반납완료",IF(AND($F467&lt;&gt;"",$F467&lt;TODAY()),"연체","사용중")))</f>
        <v/>
      </c>
      <c r="K467" s="36" t="n"/>
    </row>
    <row r="468">
      <c r="A468" s="118">
        <f>IF($B468="","",360-COUNTBLANK($B$109:$B468))</f>
        <v/>
      </c>
      <c r="B468" s="74" t="n"/>
      <c r="C468" s="131">
        <f>IF($B468="","",IFERROR(INDEX($C$6:$C$105,MATCH($B468,$A$6:$A$105,0)),"※ 미등록 관리번호"))</f>
        <v/>
      </c>
      <c r="D468" s="74" t="n"/>
      <c r="E468" s="80" t="n"/>
      <c r="F468" s="80" t="n"/>
      <c r="G468" s="80" t="n"/>
      <c r="H468" s="74" t="n"/>
      <c r="I468" s="36" t="n"/>
      <c r="J468" s="130">
        <f>IF($E468="","",IF($G468&lt;&gt;"","반납완료",IF(AND($F468&lt;&gt;"",$F468&lt;TODAY()),"연체","사용중")))</f>
        <v/>
      </c>
      <c r="K468" s="36" t="n"/>
    </row>
    <row r="469">
      <c r="A469" s="118">
        <f>IF($B469="","",361-COUNTBLANK($B$109:$B469))</f>
        <v/>
      </c>
      <c r="B469" s="74" t="n"/>
      <c r="C469" s="131">
        <f>IF($B469="","",IFERROR(INDEX($C$6:$C$105,MATCH($B469,$A$6:$A$105,0)),"※ 미등록 관리번호"))</f>
        <v/>
      </c>
      <c r="D469" s="74" t="n"/>
      <c r="E469" s="80" t="n"/>
      <c r="F469" s="80" t="n"/>
      <c r="G469" s="80" t="n"/>
      <c r="H469" s="74" t="n"/>
      <c r="I469" s="36" t="n"/>
      <c r="J469" s="130">
        <f>IF($E469="","",IF($G469&lt;&gt;"","반납완료",IF(AND($F469&lt;&gt;"",$F469&lt;TODAY()),"연체","사용중")))</f>
        <v/>
      </c>
      <c r="K469" s="36" t="n"/>
    </row>
    <row r="470">
      <c r="A470" s="118">
        <f>IF($B470="","",362-COUNTBLANK($B$109:$B470))</f>
        <v/>
      </c>
      <c r="B470" s="74" t="n"/>
      <c r="C470" s="131">
        <f>IF($B470="","",IFERROR(INDEX($C$6:$C$105,MATCH($B470,$A$6:$A$105,0)),"※ 미등록 관리번호"))</f>
        <v/>
      </c>
      <c r="D470" s="74" t="n"/>
      <c r="E470" s="80" t="n"/>
      <c r="F470" s="80" t="n"/>
      <c r="G470" s="80" t="n"/>
      <c r="H470" s="74" t="n"/>
      <c r="I470" s="36" t="n"/>
      <c r="J470" s="130">
        <f>IF($E470="","",IF($G470&lt;&gt;"","반납완료",IF(AND($F470&lt;&gt;"",$F470&lt;TODAY()),"연체","사용중")))</f>
        <v/>
      </c>
      <c r="K470" s="36" t="n"/>
    </row>
    <row r="471">
      <c r="A471" s="118">
        <f>IF($B471="","",363-COUNTBLANK($B$109:$B471))</f>
        <v/>
      </c>
      <c r="B471" s="74" t="n"/>
      <c r="C471" s="131">
        <f>IF($B471="","",IFERROR(INDEX($C$6:$C$105,MATCH($B471,$A$6:$A$105,0)),"※ 미등록 관리번호"))</f>
        <v/>
      </c>
      <c r="D471" s="74" t="n"/>
      <c r="E471" s="80" t="n"/>
      <c r="F471" s="80" t="n"/>
      <c r="G471" s="80" t="n"/>
      <c r="H471" s="74" t="n"/>
      <c r="I471" s="36" t="n"/>
      <c r="J471" s="130">
        <f>IF($E471="","",IF($G471&lt;&gt;"","반납완료",IF(AND($F471&lt;&gt;"",$F471&lt;TODAY()),"연체","사용중")))</f>
        <v/>
      </c>
      <c r="K471" s="36" t="n"/>
    </row>
    <row r="472">
      <c r="A472" s="118">
        <f>IF($B472="","",364-COUNTBLANK($B$109:$B472))</f>
        <v/>
      </c>
      <c r="B472" s="74" t="n"/>
      <c r="C472" s="131">
        <f>IF($B472="","",IFERROR(INDEX($C$6:$C$105,MATCH($B472,$A$6:$A$105,0)),"※ 미등록 관리번호"))</f>
        <v/>
      </c>
      <c r="D472" s="74" t="n"/>
      <c r="E472" s="80" t="n"/>
      <c r="F472" s="80" t="n"/>
      <c r="G472" s="80" t="n"/>
      <c r="H472" s="74" t="n"/>
      <c r="I472" s="36" t="n"/>
      <c r="J472" s="130">
        <f>IF($E472="","",IF($G472&lt;&gt;"","반납완료",IF(AND($F472&lt;&gt;"",$F472&lt;TODAY()),"연체","사용중")))</f>
        <v/>
      </c>
      <c r="K472" s="36" t="n"/>
    </row>
    <row r="473">
      <c r="A473" s="118">
        <f>IF($B473="","",365-COUNTBLANK($B$109:$B473))</f>
        <v/>
      </c>
      <c r="B473" s="74" t="n"/>
      <c r="C473" s="131">
        <f>IF($B473="","",IFERROR(INDEX($C$6:$C$105,MATCH($B473,$A$6:$A$105,0)),"※ 미등록 관리번호"))</f>
        <v/>
      </c>
      <c r="D473" s="74" t="n"/>
      <c r="E473" s="80" t="n"/>
      <c r="F473" s="80" t="n"/>
      <c r="G473" s="80" t="n"/>
      <c r="H473" s="74" t="n"/>
      <c r="I473" s="36" t="n"/>
      <c r="J473" s="130">
        <f>IF($E473="","",IF($G473&lt;&gt;"","반납완료",IF(AND($F473&lt;&gt;"",$F473&lt;TODAY()),"연체","사용중")))</f>
        <v/>
      </c>
      <c r="K473" s="36" t="n"/>
    </row>
    <row r="474">
      <c r="A474" s="118">
        <f>IF($B474="","",366-COUNTBLANK($B$109:$B474))</f>
        <v/>
      </c>
      <c r="B474" s="74" t="n"/>
      <c r="C474" s="131">
        <f>IF($B474="","",IFERROR(INDEX($C$6:$C$105,MATCH($B474,$A$6:$A$105,0)),"※ 미등록 관리번호"))</f>
        <v/>
      </c>
      <c r="D474" s="74" t="n"/>
      <c r="E474" s="80" t="n"/>
      <c r="F474" s="80" t="n"/>
      <c r="G474" s="80" t="n"/>
      <c r="H474" s="74" t="n"/>
      <c r="I474" s="36" t="n"/>
      <c r="J474" s="130">
        <f>IF($E474="","",IF($G474&lt;&gt;"","반납완료",IF(AND($F474&lt;&gt;"",$F474&lt;TODAY()),"연체","사용중")))</f>
        <v/>
      </c>
      <c r="K474" s="36" t="n"/>
    </row>
    <row r="475">
      <c r="A475" s="118">
        <f>IF($B475="","",367-COUNTBLANK($B$109:$B475))</f>
        <v/>
      </c>
      <c r="B475" s="74" t="n"/>
      <c r="C475" s="131">
        <f>IF($B475="","",IFERROR(INDEX($C$6:$C$105,MATCH($B475,$A$6:$A$105,0)),"※ 미등록 관리번호"))</f>
        <v/>
      </c>
      <c r="D475" s="74" t="n"/>
      <c r="E475" s="80" t="n"/>
      <c r="F475" s="80" t="n"/>
      <c r="G475" s="80" t="n"/>
      <c r="H475" s="74" t="n"/>
      <c r="I475" s="36" t="n"/>
      <c r="J475" s="130">
        <f>IF($E475="","",IF($G475&lt;&gt;"","반납완료",IF(AND($F475&lt;&gt;"",$F475&lt;TODAY()),"연체","사용중")))</f>
        <v/>
      </c>
      <c r="K475" s="36" t="n"/>
    </row>
    <row r="476">
      <c r="A476" s="118">
        <f>IF($B476="","",368-COUNTBLANK($B$109:$B476))</f>
        <v/>
      </c>
      <c r="B476" s="74" t="n"/>
      <c r="C476" s="131">
        <f>IF($B476="","",IFERROR(INDEX($C$6:$C$105,MATCH($B476,$A$6:$A$105,0)),"※ 미등록 관리번호"))</f>
        <v/>
      </c>
      <c r="D476" s="74" t="n"/>
      <c r="E476" s="80" t="n"/>
      <c r="F476" s="80" t="n"/>
      <c r="G476" s="80" t="n"/>
      <c r="H476" s="74" t="n"/>
      <c r="I476" s="36" t="n"/>
      <c r="J476" s="130">
        <f>IF($E476="","",IF($G476&lt;&gt;"","반납완료",IF(AND($F476&lt;&gt;"",$F476&lt;TODAY()),"연체","사용중")))</f>
        <v/>
      </c>
      <c r="K476" s="36" t="n"/>
    </row>
    <row r="477">
      <c r="A477" s="118">
        <f>IF($B477="","",369-COUNTBLANK($B$109:$B477))</f>
        <v/>
      </c>
      <c r="B477" s="74" t="n"/>
      <c r="C477" s="131">
        <f>IF($B477="","",IFERROR(INDEX($C$6:$C$105,MATCH($B477,$A$6:$A$105,0)),"※ 미등록 관리번호"))</f>
        <v/>
      </c>
      <c r="D477" s="74" t="n"/>
      <c r="E477" s="80" t="n"/>
      <c r="F477" s="80" t="n"/>
      <c r="G477" s="80" t="n"/>
      <c r="H477" s="74" t="n"/>
      <c r="I477" s="36" t="n"/>
      <c r="J477" s="130">
        <f>IF($E477="","",IF($G477&lt;&gt;"","반납완료",IF(AND($F477&lt;&gt;"",$F477&lt;TODAY()),"연체","사용중")))</f>
        <v/>
      </c>
      <c r="K477" s="36" t="n"/>
    </row>
    <row r="478">
      <c r="A478" s="118">
        <f>IF($B478="","",370-COUNTBLANK($B$109:$B478))</f>
        <v/>
      </c>
      <c r="B478" s="74" t="n"/>
      <c r="C478" s="131">
        <f>IF($B478="","",IFERROR(INDEX($C$6:$C$105,MATCH($B478,$A$6:$A$105,0)),"※ 미등록 관리번호"))</f>
        <v/>
      </c>
      <c r="D478" s="74" t="n"/>
      <c r="E478" s="80" t="n"/>
      <c r="F478" s="80" t="n"/>
      <c r="G478" s="80" t="n"/>
      <c r="H478" s="74" t="n"/>
      <c r="I478" s="36" t="n"/>
      <c r="J478" s="130">
        <f>IF($E478="","",IF($G478&lt;&gt;"","반납완료",IF(AND($F478&lt;&gt;"",$F478&lt;TODAY()),"연체","사용중")))</f>
        <v/>
      </c>
      <c r="K478" s="36" t="n"/>
    </row>
    <row r="479">
      <c r="A479" s="118">
        <f>IF($B479="","",371-COUNTBLANK($B$109:$B479))</f>
        <v/>
      </c>
      <c r="B479" s="74" t="n"/>
      <c r="C479" s="131">
        <f>IF($B479="","",IFERROR(INDEX($C$6:$C$105,MATCH($B479,$A$6:$A$105,0)),"※ 미등록 관리번호"))</f>
        <v/>
      </c>
      <c r="D479" s="74" t="n"/>
      <c r="E479" s="80" t="n"/>
      <c r="F479" s="80" t="n"/>
      <c r="G479" s="80" t="n"/>
      <c r="H479" s="74" t="n"/>
      <c r="I479" s="36" t="n"/>
      <c r="J479" s="130">
        <f>IF($E479="","",IF($G479&lt;&gt;"","반납완료",IF(AND($F479&lt;&gt;"",$F479&lt;TODAY()),"연체","사용중")))</f>
        <v/>
      </c>
      <c r="K479" s="36" t="n"/>
    </row>
    <row r="480">
      <c r="A480" s="118">
        <f>IF($B480="","",372-COUNTBLANK($B$109:$B480))</f>
        <v/>
      </c>
      <c r="B480" s="74" t="n"/>
      <c r="C480" s="131">
        <f>IF($B480="","",IFERROR(INDEX($C$6:$C$105,MATCH($B480,$A$6:$A$105,0)),"※ 미등록 관리번호"))</f>
        <v/>
      </c>
      <c r="D480" s="74" t="n"/>
      <c r="E480" s="80" t="n"/>
      <c r="F480" s="80" t="n"/>
      <c r="G480" s="80" t="n"/>
      <c r="H480" s="74" t="n"/>
      <c r="I480" s="36" t="n"/>
      <c r="J480" s="130">
        <f>IF($E480="","",IF($G480&lt;&gt;"","반납완료",IF(AND($F480&lt;&gt;"",$F480&lt;TODAY()),"연체","사용중")))</f>
        <v/>
      </c>
      <c r="K480" s="36" t="n"/>
    </row>
    <row r="481">
      <c r="A481" s="118">
        <f>IF($B481="","",373-COUNTBLANK($B$109:$B481))</f>
        <v/>
      </c>
      <c r="B481" s="74" t="n"/>
      <c r="C481" s="131">
        <f>IF($B481="","",IFERROR(INDEX($C$6:$C$105,MATCH($B481,$A$6:$A$105,0)),"※ 미등록 관리번호"))</f>
        <v/>
      </c>
      <c r="D481" s="74" t="n"/>
      <c r="E481" s="80" t="n"/>
      <c r="F481" s="80" t="n"/>
      <c r="G481" s="80" t="n"/>
      <c r="H481" s="74" t="n"/>
      <c r="I481" s="36" t="n"/>
      <c r="J481" s="130">
        <f>IF($E481="","",IF($G481&lt;&gt;"","반납완료",IF(AND($F481&lt;&gt;"",$F481&lt;TODAY()),"연체","사용중")))</f>
        <v/>
      </c>
      <c r="K481" s="36" t="n"/>
    </row>
    <row r="482">
      <c r="A482" s="118">
        <f>IF($B482="","",374-COUNTBLANK($B$109:$B482))</f>
        <v/>
      </c>
      <c r="B482" s="74" t="n"/>
      <c r="C482" s="131">
        <f>IF($B482="","",IFERROR(INDEX($C$6:$C$105,MATCH($B482,$A$6:$A$105,0)),"※ 미등록 관리번호"))</f>
        <v/>
      </c>
      <c r="D482" s="74" t="n"/>
      <c r="E482" s="80" t="n"/>
      <c r="F482" s="80" t="n"/>
      <c r="G482" s="80" t="n"/>
      <c r="H482" s="74" t="n"/>
      <c r="I482" s="36" t="n"/>
      <c r="J482" s="130">
        <f>IF($E482="","",IF($G482&lt;&gt;"","반납완료",IF(AND($F482&lt;&gt;"",$F482&lt;TODAY()),"연체","사용중")))</f>
        <v/>
      </c>
      <c r="K482" s="36" t="n"/>
    </row>
    <row r="483">
      <c r="A483" s="118">
        <f>IF($B483="","",375-COUNTBLANK($B$109:$B483))</f>
        <v/>
      </c>
      <c r="B483" s="74" t="n"/>
      <c r="C483" s="131">
        <f>IF($B483="","",IFERROR(INDEX($C$6:$C$105,MATCH($B483,$A$6:$A$105,0)),"※ 미등록 관리번호"))</f>
        <v/>
      </c>
      <c r="D483" s="74" t="n"/>
      <c r="E483" s="80" t="n"/>
      <c r="F483" s="80" t="n"/>
      <c r="G483" s="80" t="n"/>
      <c r="H483" s="74" t="n"/>
      <c r="I483" s="36" t="n"/>
      <c r="J483" s="130">
        <f>IF($E483="","",IF($G483&lt;&gt;"","반납완료",IF(AND($F483&lt;&gt;"",$F483&lt;TODAY()),"연체","사용중")))</f>
        <v/>
      </c>
      <c r="K483" s="36" t="n"/>
    </row>
    <row r="484">
      <c r="A484" s="118">
        <f>IF($B484="","",376-COUNTBLANK($B$109:$B484))</f>
        <v/>
      </c>
      <c r="B484" s="74" t="n"/>
      <c r="C484" s="131">
        <f>IF($B484="","",IFERROR(INDEX($C$6:$C$105,MATCH($B484,$A$6:$A$105,0)),"※ 미등록 관리번호"))</f>
        <v/>
      </c>
      <c r="D484" s="74" t="n"/>
      <c r="E484" s="80" t="n"/>
      <c r="F484" s="80" t="n"/>
      <c r="G484" s="80" t="n"/>
      <c r="H484" s="74" t="n"/>
      <c r="I484" s="36" t="n"/>
      <c r="J484" s="130">
        <f>IF($E484="","",IF($G484&lt;&gt;"","반납완료",IF(AND($F484&lt;&gt;"",$F484&lt;TODAY()),"연체","사용중")))</f>
        <v/>
      </c>
      <c r="K484" s="36" t="n"/>
    </row>
    <row r="485">
      <c r="A485" s="118">
        <f>IF($B485="","",377-COUNTBLANK($B$109:$B485))</f>
        <v/>
      </c>
      <c r="B485" s="74" t="n"/>
      <c r="C485" s="131">
        <f>IF($B485="","",IFERROR(INDEX($C$6:$C$105,MATCH($B485,$A$6:$A$105,0)),"※ 미등록 관리번호"))</f>
        <v/>
      </c>
      <c r="D485" s="74" t="n"/>
      <c r="E485" s="80" t="n"/>
      <c r="F485" s="80" t="n"/>
      <c r="G485" s="80" t="n"/>
      <c r="H485" s="74" t="n"/>
      <c r="I485" s="36" t="n"/>
      <c r="J485" s="130">
        <f>IF($E485="","",IF($G485&lt;&gt;"","반납완료",IF(AND($F485&lt;&gt;"",$F485&lt;TODAY()),"연체","사용중")))</f>
        <v/>
      </c>
      <c r="K485" s="36" t="n"/>
    </row>
    <row r="486">
      <c r="A486" s="118">
        <f>IF($B486="","",378-COUNTBLANK($B$109:$B486))</f>
        <v/>
      </c>
      <c r="B486" s="74" t="n"/>
      <c r="C486" s="131">
        <f>IF($B486="","",IFERROR(INDEX($C$6:$C$105,MATCH($B486,$A$6:$A$105,0)),"※ 미등록 관리번호"))</f>
        <v/>
      </c>
      <c r="D486" s="74" t="n"/>
      <c r="E486" s="80" t="n"/>
      <c r="F486" s="80" t="n"/>
      <c r="G486" s="80" t="n"/>
      <c r="H486" s="74" t="n"/>
      <c r="I486" s="36" t="n"/>
      <c r="J486" s="130">
        <f>IF($E486="","",IF($G486&lt;&gt;"","반납완료",IF(AND($F486&lt;&gt;"",$F486&lt;TODAY()),"연체","사용중")))</f>
        <v/>
      </c>
      <c r="K486" s="36" t="n"/>
    </row>
    <row r="487">
      <c r="A487" s="118">
        <f>IF($B487="","",379-COUNTBLANK($B$109:$B487))</f>
        <v/>
      </c>
      <c r="B487" s="74" t="n"/>
      <c r="C487" s="131">
        <f>IF($B487="","",IFERROR(INDEX($C$6:$C$105,MATCH($B487,$A$6:$A$105,0)),"※ 미등록 관리번호"))</f>
        <v/>
      </c>
      <c r="D487" s="74" t="n"/>
      <c r="E487" s="80" t="n"/>
      <c r="F487" s="80" t="n"/>
      <c r="G487" s="80" t="n"/>
      <c r="H487" s="74" t="n"/>
      <c r="I487" s="36" t="n"/>
      <c r="J487" s="130">
        <f>IF($E487="","",IF($G487&lt;&gt;"","반납완료",IF(AND($F487&lt;&gt;"",$F487&lt;TODAY()),"연체","사용중")))</f>
        <v/>
      </c>
      <c r="K487" s="36" t="n"/>
    </row>
    <row r="488">
      <c r="A488" s="118">
        <f>IF($B488="","",380-COUNTBLANK($B$109:$B488))</f>
        <v/>
      </c>
      <c r="B488" s="74" t="n"/>
      <c r="C488" s="131">
        <f>IF($B488="","",IFERROR(INDEX($C$6:$C$105,MATCH($B488,$A$6:$A$105,0)),"※ 미등록 관리번호"))</f>
        <v/>
      </c>
      <c r="D488" s="74" t="n"/>
      <c r="E488" s="80" t="n"/>
      <c r="F488" s="80" t="n"/>
      <c r="G488" s="80" t="n"/>
      <c r="H488" s="74" t="n"/>
      <c r="I488" s="36" t="n"/>
      <c r="J488" s="130">
        <f>IF($E488="","",IF($G488&lt;&gt;"","반납완료",IF(AND($F488&lt;&gt;"",$F488&lt;TODAY()),"연체","사용중")))</f>
        <v/>
      </c>
      <c r="K488" s="36" t="n"/>
    </row>
    <row r="489">
      <c r="A489" s="118">
        <f>IF($B489="","",381-COUNTBLANK($B$109:$B489))</f>
        <v/>
      </c>
      <c r="B489" s="74" t="n"/>
      <c r="C489" s="131">
        <f>IF($B489="","",IFERROR(INDEX($C$6:$C$105,MATCH($B489,$A$6:$A$105,0)),"※ 미등록 관리번호"))</f>
        <v/>
      </c>
      <c r="D489" s="74" t="n"/>
      <c r="E489" s="80" t="n"/>
      <c r="F489" s="80" t="n"/>
      <c r="G489" s="80" t="n"/>
      <c r="H489" s="74" t="n"/>
      <c r="I489" s="36" t="n"/>
      <c r="J489" s="130">
        <f>IF($E489="","",IF($G489&lt;&gt;"","반납완료",IF(AND($F489&lt;&gt;"",$F489&lt;TODAY()),"연체","사용중")))</f>
        <v/>
      </c>
      <c r="K489" s="36" t="n"/>
    </row>
    <row r="490">
      <c r="A490" s="118">
        <f>IF($B490="","",382-COUNTBLANK($B$109:$B490))</f>
        <v/>
      </c>
      <c r="B490" s="74" t="n"/>
      <c r="C490" s="131">
        <f>IF($B490="","",IFERROR(INDEX($C$6:$C$105,MATCH($B490,$A$6:$A$105,0)),"※ 미등록 관리번호"))</f>
        <v/>
      </c>
      <c r="D490" s="74" t="n"/>
      <c r="E490" s="80" t="n"/>
      <c r="F490" s="80" t="n"/>
      <c r="G490" s="80" t="n"/>
      <c r="H490" s="74" t="n"/>
      <c r="I490" s="36" t="n"/>
      <c r="J490" s="130">
        <f>IF($E490="","",IF($G490&lt;&gt;"","반납완료",IF(AND($F490&lt;&gt;"",$F490&lt;TODAY()),"연체","사용중")))</f>
        <v/>
      </c>
      <c r="K490" s="36" t="n"/>
    </row>
    <row r="491">
      <c r="A491" s="118">
        <f>IF($B491="","",383-COUNTBLANK($B$109:$B491))</f>
        <v/>
      </c>
      <c r="B491" s="74" t="n"/>
      <c r="C491" s="131">
        <f>IF($B491="","",IFERROR(INDEX($C$6:$C$105,MATCH($B491,$A$6:$A$105,0)),"※ 미등록 관리번호"))</f>
        <v/>
      </c>
      <c r="D491" s="74" t="n"/>
      <c r="E491" s="80" t="n"/>
      <c r="F491" s="80" t="n"/>
      <c r="G491" s="80" t="n"/>
      <c r="H491" s="74" t="n"/>
      <c r="I491" s="36" t="n"/>
      <c r="J491" s="130">
        <f>IF($E491="","",IF($G491&lt;&gt;"","반납완료",IF(AND($F491&lt;&gt;"",$F491&lt;TODAY()),"연체","사용중")))</f>
        <v/>
      </c>
      <c r="K491" s="36" t="n"/>
    </row>
    <row r="492">
      <c r="A492" s="118">
        <f>IF($B492="","",384-COUNTBLANK($B$109:$B492))</f>
        <v/>
      </c>
      <c r="B492" s="74" t="n"/>
      <c r="C492" s="131">
        <f>IF($B492="","",IFERROR(INDEX($C$6:$C$105,MATCH($B492,$A$6:$A$105,0)),"※ 미등록 관리번호"))</f>
        <v/>
      </c>
      <c r="D492" s="74" t="n"/>
      <c r="E492" s="80" t="n"/>
      <c r="F492" s="80" t="n"/>
      <c r="G492" s="80" t="n"/>
      <c r="H492" s="74" t="n"/>
      <c r="I492" s="36" t="n"/>
      <c r="J492" s="130">
        <f>IF($E492="","",IF($G492&lt;&gt;"","반납완료",IF(AND($F492&lt;&gt;"",$F492&lt;TODAY()),"연체","사용중")))</f>
        <v/>
      </c>
      <c r="K492" s="36" t="n"/>
    </row>
    <row r="493">
      <c r="A493" s="118">
        <f>IF($B493="","",385-COUNTBLANK($B$109:$B493))</f>
        <v/>
      </c>
      <c r="B493" s="74" t="n"/>
      <c r="C493" s="131">
        <f>IF($B493="","",IFERROR(INDEX($C$6:$C$105,MATCH($B493,$A$6:$A$105,0)),"※ 미등록 관리번호"))</f>
        <v/>
      </c>
      <c r="D493" s="74" t="n"/>
      <c r="E493" s="80" t="n"/>
      <c r="F493" s="80" t="n"/>
      <c r="G493" s="80" t="n"/>
      <c r="H493" s="74" t="n"/>
      <c r="I493" s="36" t="n"/>
      <c r="J493" s="130">
        <f>IF($E493="","",IF($G493&lt;&gt;"","반납완료",IF(AND($F493&lt;&gt;"",$F493&lt;TODAY()),"연체","사용중")))</f>
        <v/>
      </c>
      <c r="K493" s="36" t="n"/>
    </row>
    <row r="494">
      <c r="A494" s="118">
        <f>IF($B494="","",386-COUNTBLANK($B$109:$B494))</f>
        <v/>
      </c>
      <c r="B494" s="74" t="n"/>
      <c r="C494" s="131">
        <f>IF($B494="","",IFERROR(INDEX($C$6:$C$105,MATCH($B494,$A$6:$A$105,0)),"※ 미등록 관리번호"))</f>
        <v/>
      </c>
      <c r="D494" s="74" t="n"/>
      <c r="E494" s="80" t="n"/>
      <c r="F494" s="80" t="n"/>
      <c r="G494" s="80" t="n"/>
      <c r="H494" s="74" t="n"/>
      <c r="I494" s="36" t="n"/>
      <c r="J494" s="130">
        <f>IF($E494="","",IF($G494&lt;&gt;"","반납완료",IF(AND($F494&lt;&gt;"",$F494&lt;TODAY()),"연체","사용중")))</f>
        <v/>
      </c>
      <c r="K494" s="36" t="n"/>
    </row>
    <row r="495">
      <c r="A495" s="118">
        <f>IF($B495="","",387-COUNTBLANK($B$109:$B495))</f>
        <v/>
      </c>
      <c r="B495" s="74" t="n"/>
      <c r="C495" s="131">
        <f>IF($B495="","",IFERROR(INDEX($C$6:$C$105,MATCH($B495,$A$6:$A$105,0)),"※ 미등록 관리번호"))</f>
        <v/>
      </c>
      <c r="D495" s="74" t="n"/>
      <c r="E495" s="80" t="n"/>
      <c r="F495" s="80" t="n"/>
      <c r="G495" s="80" t="n"/>
      <c r="H495" s="74" t="n"/>
      <c r="I495" s="36" t="n"/>
      <c r="J495" s="130">
        <f>IF($E495="","",IF($G495&lt;&gt;"","반납완료",IF(AND($F495&lt;&gt;"",$F495&lt;TODAY()),"연체","사용중")))</f>
        <v/>
      </c>
      <c r="K495" s="36" t="n"/>
    </row>
    <row r="496">
      <c r="A496" s="118">
        <f>IF($B496="","",388-COUNTBLANK($B$109:$B496))</f>
        <v/>
      </c>
      <c r="B496" s="74" t="n"/>
      <c r="C496" s="131">
        <f>IF($B496="","",IFERROR(INDEX($C$6:$C$105,MATCH($B496,$A$6:$A$105,0)),"※ 미등록 관리번호"))</f>
        <v/>
      </c>
      <c r="D496" s="74" t="n"/>
      <c r="E496" s="80" t="n"/>
      <c r="F496" s="80" t="n"/>
      <c r="G496" s="80" t="n"/>
      <c r="H496" s="74" t="n"/>
      <c r="I496" s="36" t="n"/>
      <c r="J496" s="130">
        <f>IF($E496="","",IF($G496&lt;&gt;"","반납완료",IF(AND($F496&lt;&gt;"",$F496&lt;TODAY()),"연체","사용중")))</f>
        <v/>
      </c>
      <c r="K496" s="36" t="n"/>
    </row>
    <row r="497">
      <c r="A497" s="118">
        <f>IF($B497="","",389-COUNTBLANK($B$109:$B497))</f>
        <v/>
      </c>
      <c r="B497" s="74" t="n"/>
      <c r="C497" s="131">
        <f>IF($B497="","",IFERROR(INDEX($C$6:$C$105,MATCH($B497,$A$6:$A$105,0)),"※ 미등록 관리번호"))</f>
        <v/>
      </c>
      <c r="D497" s="74" t="n"/>
      <c r="E497" s="80" t="n"/>
      <c r="F497" s="80" t="n"/>
      <c r="G497" s="80" t="n"/>
      <c r="H497" s="74" t="n"/>
      <c r="I497" s="36" t="n"/>
      <c r="J497" s="130">
        <f>IF($E497="","",IF($G497&lt;&gt;"","반납완료",IF(AND($F497&lt;&gt;"",$F497&lt;TODAY()),"연체","사용중")))</f>
        <v/>
      </c>
      <c r="K497" s="36" t="n"/>
    </row>
    <row r="498">
      <c r="A498" s="118">
        <f>IF($B498="","",390-COUNTBLANK($B$109:$B498))</f>
        <v/>
      </c>
      <c r="B498" s="74" t="n"/>
      <c r="C498" s="131">
        <f>IF($B498="","",IFERROR(INDEX($C$6:$C$105,MATCH($B498,$A$6:$A$105,0)),"※ 미등록 관리번호"))</f>
        <v/>
      </c>
      <c r="D498" s="74" t="n"/>
      <c r="E498" s="80" t="n"/>
      <c r="F498" s="80" t="n"/>
      <c r="G498" s="80" t="n"/>
      <c r="H498" s="74" t="n"/>
      <c r="I498" s="36" t="n"/>
      <c r="J498" s="130">
        <f>IF($E498="","",IF($G498&lt;&gt;"","반납완료",IF(AND($F498&lt;&gt;"",$F498&lt;TODAY()),"연체","사용중")))</f>
        <v/>
      </c>
      <c r="K498" s="36" t="n"/>
    </row>
    <row r="499">
      <c r="A499" s="118">
        <f>IF($B499="","",391-COUNTBLANK($B$109:$B499))</f>
        <v/>
      </c>
      <c r="B499" s="74" t="n"/>
      <c r="C499" s="131">
        <f>IF($B499="","",IFERROR(INDEX($C$6:$C$105,MATCH($B499,$A$6:$A$105,0)),"※ 미등록 관리번호"))</f>
        <v/>
      </c>
      <c r="D499" s="74" t="n"/>
      <c r="E499" s="80" t="n"/>
      <c r="F499" s="80" t="n"/>
      <c r="G499" s="80" t="n"/>
      <c r="H499" s="74" t="n"/>
      <c r="I499" s="36" t="n"/>
      <c r="J499" s="130">
        <f>IF($E499="","",IF($G499&lt;&gt;"","반납완료",IF(AND($F499&lt;&gt;"",$F499&lt;TODAY()),"연체","사용중")))</f>
        <v/>
      </c>
      <c r="K499" s="36" t="n"/>
    </row>
    <row r="500">
      <c r="A500" s="118">
        <f>IF($B500="","",392-COUNTBLANK($B$109:$B500))</f>
        <v/>
      </c>
      <c r="B500" s="74" t="n"/>
      <c r="C500" s="131">
        <f>IF($B500="","",IFERROR(INDEX($C$6:$C$105,MATCH($B500,$A$6:$A$105,0)),"※ 미등록 관리번호"))</f>
        <v/>
      </c>
      <c r="D500" s="74" t="n"/>
      <c r="E500" s="80" t="n"/>
      <c r="F500" s="80" t="n"/>
      <c r="G500" s="80" t="n"/>
      <c r="H500" s="74" t="n"/>
      <c r="I500" s="36" t="n"/>
      <c r="J500" s="130">
        <f>IF($E500="","",IF($G500&lt;&gt;"","반납완료",IF(AND($F500&lt;&gt;"",$F500&lt;TODAY()),"연체","사용중")))</f>
        <v/>
      </c>
      <c r="K500" s="36" t="n"/>
    </row>
    <row r="501">
      <c r="A501" s="118">
        <f>IF($B501="","",393-COUNTBLANK($B$109:$B501))</f>
        <v/>
      </c>
      <c r="B501" s="74" t="n"/>
      <c r="C501" s="131">
        <f>IF($B501="","",IFERROR(INDEX($C$6:$C$105,MATCH($B501,$A$6:$A$105,0)),"※ 미등록 관리번호"))</f>
        <v/>
      </c>
      <c r="D501" s="74" t="n"/>
      <c r="E501" s="80" t="n"/>
      <c r="F501" s="80" t="n"/>
      <c r="G501" s="80" t="n"/>
      <c r="H501" s="74" t="n"/>
      <c r="I501" s="36" t="n"/>
      <c r="J501" s="130">
        <f>IF($E501="","",IF($G501&lt;&gt;"","반납완료",IF(AND($F501&lt;&gt;"",$F501&lt;TODAY()),"연체","사용중")))</f>
        <v/>
      </c>
      <c r="K501" s="36" t="n"/>
    </row>
    <row r="502">
      <c r="A502" s="118">
        <f>IF($B502="","",394-COUNTBLANK($B$109:$B502))</f>
        <v/>
      </c>
      <c r="B502" s="74" t="n"/>
      <c r="C502" s="131">
        <f>IF($B502="","",IFERROR(INDEX($C$6:$C$105,MATCH($B502,$A$6:$A$105,0)),"※ 미등록 관리번호"))</f>
        <v/>
      </c>
      <c r="D502" s="74" t="n"/>
      <c r="E502" s="80" t="n"/>
      <c r="F502" s="80" t="n"/>
      <c r="G502" s="80" t="n"/>
      <c r="H502" s="74" t="n"/>
      <c r="I502" s="36" t="n"/>
      <c r="J502" s="130">
        <f>IF($E502="","",IF($G502&lt;&gt;"","반납완료",IF(AND($F502&lt;&gt;"",$F502&lt;TODAY()),"연체","사용중")))</f>
        <v/>
      </c>
      <c r="K502" s="36" t="n"/>
    </row>
    <row r="503">
      <c r="A503" s="118">
        <f>IF($B503="","",395-COUNTBLANK($B$109:$B503))</f>
        <v/>
      </c>
      <c r="B503" s="74" t="n"/>
      <c r="C503" s="131">
        <f>IF($B503="","",IFERROR(INDEX($C$6:$C$105,MATCH($B503,$A$6:$A$105,0)),"※ 미등록 관리번호"))</f>
        <v/>
      </c>
      <c r="D503" s="74" t="n"/>
      <c r="E503" s="80" t="n"/>
      <c r="F503" s="80" t="n"/>
      <c r="G503" s="80" t="n"/>
      <c r="H503" s="74" t="n"/>
      <c r="I503" s="36" t="n"/>
      <c r="J503" s="130">
        <f>IF($E503="","",IF($G503&lt;&gt;"","반납완료",IF(AND($F503&lt;&gt;"",$F503&lt;TODAY()),"연체","사용중")))</f>
        <v/>
      </c>
      <c r="K503" s="36" t="n"/>
    </row>
    <row r="504">
      <c r="A504" s="118">
        <f>IF($B504="","",396-COUNTBLANK($B$109:$B504))</f>
        <v/>
      </c>
      <c r="B504" s="74" t="n"/>
      <c r="C504" s="131">
        <f>IF($B504="","",IFERROR(INDEX($C$6:$C$105,MATCH($B504,$A$6:$A$105,0)),"※ 미등록 관리번호"))</f>
        <v/>
      </c>
      <c r="D504" s="74" t="n"/>
      <c r="E504" s="80" t="n"/>
      <c r="F504" s="80" t="n"/>
      <c r="G504" s="80" t="n"/>
      <c r="H504" s="74" t="n"/>
      <c r="I504" s="36" t="n"/>
      <c r="J504" s="130">
        <f>IF($E504="","",IF($G504&lt;&gt;"","반납완료",IF(AND($F504&lt;&gt;"",$F504&lt;TODAY()),"연체","사용중")))</f>
        <v/>
      </c>
      <c r="K504" s="36" t="n"/>
    </row>
    <row r="505">
      <c r="A505" s="118">
        <f>IF($B505="","",397-COUNTBLANK($B$109:$B505))</f>
        <v/>
      </c>
      <c r="B505" s="74" t="n"/>
      <c r="C505" s="131">
        <f>IF($B505="","",IFERROR(INDEX($C$6:$C$105,MATCH($B505,$A$6:$A$105,0)),"※ 미등록 관리번호"))</f>
        <v/>
      </c>
      <c r="D505" s="74" t="n"/>
      <c r="E505" s="80" t="n"/>
      <c r="F505" s="80" t="n"/>
      <c r="G505" s="80" t="n"/>
      <c r="H505" s="74" t="n"/>
      <c r="I505" s="36" t="n"/>
      <c r="J505" s="130">
        <f>IF($E505="","",IF($G505&lt;&gt;"","반납완료",IF(AND($F505&lt;&gt;"",$F505&lt;TODAY()),"연체","사용중")))</f>
        <v/>
      </c>
      <c r="K505" s="36" t="n"/>
    </row>
    <row r="506">
      <c r="A506" s="118">
        <f>IF($B506="","",398-COUNTBLANK($B$109:$B506))</f>
        <v/>
      </c>
      <c r="B506" s="74" t="n"/>
      <c r="C506" s="131">
        <f>IF($B506="","",IFERROR(INDEX($C$6:$C$105,MATCH($B506,$A$6:$A$105,0)),"※ 미등록 관리번호"))</f>
        <v/>
      </c>
      <c r="D506" s="74" t="n"/>
      <c r="E506" s="80" t="n"/>
      <c r="F506" s="80" t="n"/>
      <c r="G506" s="80" t="n"/>
      <c r="H506" s="74" t="n"/>
      <c r="I506" s="36" t="n"/>
      <c r="J506" s="130">
        <f>IF($E506="","",IF($G506&lt;&gt;"","반납완료",IF(AND($F506&lt;&gt;"",$F506&lt;TODAY()),"연체","사용중")))</f>
        <v/>
      </c>
      <c r="K506" s="36" t="n"/>
    </row>
    <row r="507">
      <c r="A507" s="118">
        <f>IF($B507="","",399-COUNTBLANK($B$109:$B507))</f>
        <v/>
      </c>
      <c r="B507" s="74" t="n"/>
      <c r="C507" s="131">
        <f>IF($B507="","",IFERROR(INDEX($C$6:$C$105,MATCH($B507,$A$6:$A$105,0)),"※ 미등록 관리번호"))</f>
        <v/>
      </c>
      <c r="D507" s="74" t="n"/>
      <c r="E507" s="80" t="n"/>
      <c r="F507" s="80" t="n"/>
      <c r="G507" s="80" t="n"/>
      <c r="H507" s="74" t="n"/>
      <c r="I507" s="36" t="n"/>
      <c r="J507" s="130">
        <f>IF($E507="","",IF($G507&lt;&gt;"","반납완료",IF(AND($F507&lt;&gt;"",$F507&lt;TODAY()),"연체","사용중")))</f>
        <v/>
      </c>
      <c r="K507" s="36" t="n"/>
    </row>
    <row r="508">
      <c r="A508" s="118">
        <f>IF($B508="","",400-COUNTBLANK($B$109:$B508))</f>
        <v/>
      </c>
      <c r="B508" s="74" t="n"/>
      <c r="C508" s="131">
        <f>IF($B508="","",IFERROR(INDEX($C$6:$C$105,MATCH($B508,$A$6:$A$105,0)),"※ 미등록 관리번호"))</f>
        <v/>
      </c>
      <c r="D508" s="74" t="n"/>
      <c r="E508" s="80" t="n"/>
      <c r="F508" s="80" t="n"/>
      <c r="G508" s="80" t="n"/>
      <c r="H508" s="74" t="n"/>
      <c r="I508" s="36" t="n"/>
      <c r="J508" s="130">
        <f>IF($E508="","",IF($G508&lt;&gt;"","반납완료",IF(AND($F508&lt;&gt;"",$F508&lt;TODAY()),"연체","사용중")))</f>
        <v/>
      </c>
      <c r="K508" s="36" t="n"/>
    </row>
    <row r="510" ht="20" customHeight="1">
      <c r="A510" s="21" t="inlineStr">
        <is>
          <t>3.  구분별 요약</t>
        </is>
      </c>
      <c r="B510" s="22" t="n"/>
      <c r="C510" s="22" t="n"/>
      <c r="D510" s="22" t="n"/>
      <c r="E510" s="22" t="n"/>
    </row>
    <row r="511" ht="32" customHeight="1">
      <c r="A511" s="23" t="inlineStr">
        <is>
          <t>장비 구분</t>
        </is>
      </c>
      <c r="B511" s="23" t="inlineStr">
        <is>
          <t>보유 대수</t>
        </is>
      </c>
      <c r="C511" s="23" t="inlineStr">
        <is>
          <t>불출중</t>
        </is>
      </c>
      <c r="D511" s="23" t="inlineStr">
        <is>
          <t>보관중</t>
        </is>
      </c>
      <c r="E511" s="23" t="inlineStr">
        <is>
          <t>누적 불출</t>
        </is>
      </c>
    </row>
    <row r="512">
      <c r="A512" s="115">
        <f>IF(코드설정!$M5="","",코드설정!$M5)</f>
        <v/>
      </c>
      <c r="B512" s="129">
        <f>IF($A512="","",COUNTIF($B$6:$B$105,$A512))</f>
        <v/>
      </c>
      <c r="C512" s="129">
        <f>IF($A512="","",COUNTIFS($B$6:$B$105,$A512,$H$6:$H$105,"불출중"))</f>
        <v/>
      </c>
      <c r="D512" s="129">
        <f>IF($A512="","",COUNTIFS($B$6:$B$105,$A512,$H$6:$H$105,"보관중"))</f>
        <v/>
      </c>
      <c r="E512" s="129">
        <f>IF($A512="","",SUMIFS($I$6:$I$105,$B$6:$B$105,$A512))</f>
        <v/>
      </c>
    </row>
    <row r="513">
      <c r="A513" s="115">
        <f>IF(코드설정!$M6="","",코드설정!$M6)</f>
        <v/>
      </c>
      <c r="B513" s="129">
        <f>IF($A513="","",COUNTIF($B$6:$B$105,$A513))</f>
        <v/>
      </c>
      <c r="C513" s="129">
        <f>IF($A513="","",COUNTIFS($B$6:$B$105,$A513,$H$6:$H$105,"불출중"))</f>
        <v/>
      </c>
      <c r="D513" s="129">
        <f>IF($A513="","",COUNTIFS($B$6:$B$105,$A513,$H$6:$H$105,"보관중"))</f>
        <v/>
      </c>
      <c r="E513" s="129">
        <f>IF($A513="","",SUMIFS($I$6:$I$105,$B$6:$B$105,$A513))</f>
        <v/>
      </c>
    </row>
    <row r="514">
      <c r="A514" s="115">
        <f>IF(코드설정!$M7="","",코드설정!$M7)</f>
        <v/>
      </c>
      <c r="B514" s="129">
        <f>IF($A514="","",COUNTIF($B$6:$B$105,$A514))</f>
        <v/>
      </c>
      <c r="C514" s="129">
        <f>IF($A514="","",COUNTIFS($B$6:$B$105,$A514,$H$6:$H$105,"불출중"))</f>
        <v/>
      </c>
      <c r="D514" s="129">
        <f>IF($A514="","",COUNTIFS($B$6:$B$105,$A514,$H$6:$H$105,"보관중"))</f>
        <v/>
      </c>
      <c r="E514" s="129">
        <f>IF($A514="","",SUMIFS($I$6:$I$105,$B$6:$B$105,$A514))</f>
        <v/>
      </c>
    </row>
    <row r="515">
      <c r="A515" s="115">
        <f>IF(코드설정!$M8="","",코드설정!$M8)</f>
        <v/>
      </c>
      <c r="B515" s="129">
        <f>IF($A515="","",COUNTIF($B$6:$B$105,$A515))</f>
        <v/>
      </c>
      <c r="C515" s="129">
        <f>IF($A515="","",COUNTIFS($B$6:$B$105,$A515,$H$6:$H$105,"불출중"))</f>
        <v/>
      </c>
      <c r="D515" s="129">
        <f>IF($A515="","",COUNTIFS($B$6:$B$105,$A515,$H$6:$H$105,"보관중"))</f>
        <v/>
      </c>
      <c r="E515" s="129">
        <f>IF($A515="","",SUMIFS($I$6:$I$105,$B$6:$B$105,$A515))</f>
        <v/>
      </c>
    </row>
    <row r="516">
      <c r="A516" s="115">
        <f>IF(코드설정!$M9="","",코드설정!$M9)</f>
        <v/>
      </c>
      <c r="B516" s="129">
        <f>IF($A516="","",COUNTIF($B$6:$B$105,$A516))</f>
        <v/>
      </c>
      <c r="C516" s="129">
        <f>IF($A516="","",COUNTIFS($B$6:$B$105,$A516,$H$6:$H$105,"불출중"))</f>
        <v/>
      </c>
      <c r="D516" s="129">
        <f>IF($A516="","",COUNTIFS($B$6:$B$105,$A516,$H$6:$H$105,"보관중"))</f>
        <v/>
      </c>
      <c r="E516" s="129">
        <f>IF($A516="","",SUMIFS($I$6:$I$105,$B$6:$B$105,$A516))</f>
        <v/>
      </c>
    </row>
    <row r="517">
      <c r="A517" s="115">
        <f>IF(코드설정!$M10="","",코드설정!$M10)</f>
        <v/>
      </c>
      <c r="B517" s="129">
        <f>IF($A517="","",COUNTIF($B$6:$B$105,$A517))</f>
        <v/>
      </c>
      <c r="C517" s="129">
        <f>IF($A517="","",COUNTIFS($B$6:$B$105,$A517,$H$6:$H$105,"불출중"))</f>
        <v/>
      </c>
      <c r="D517" s="129">
        <f>IF($A517="","",COUNTIFS($B$6:$B$105,$A517,$H$6:$H$105,"보관중"))</f>
        <v/>
      </c>
      <c r="E517" s="129">
        <f>IF($A517="","",SUMIFS($I$6:$I$105,$B$6:$B$105,$A517))</f>
        <v/>
      </c>
    </row>
    <row r="518">
      <c r="A518" s="115">
        <f>IF(코드설정!$M11="","",코드설정!$M11)</f>
        <v/>
      </c>
      <c r="B518" s="129">
        <f>IF($A518="","",COUNTIF($B$6:$B$105,$A518))</f>
        <v/>
      </c>
      <c r="C518" s="129">
        <f>IF($A518="","",COUNTIFS($B$6:$B$105,$A518,$H$6:$H$105,"불출중"))</f>
        <v/>
      </c>
      <c r="D518" s="129">
        <f>IF($A518="","",COUNTIFS($B$6:$B$105,$A518,$H$6:$H$105,"보관중"))</f>
        <v/>
      </c>
      <c r="E518" s="129">
        <f>IF($A518="","",SUMIFS($I$6:$I$105,$B$6:$B$105,$A518))</f>
        <v/>
      </c>
    </row>
    <row r="519">
      <c r="A519" s="115">
        <f>IF(코드설정!$M12="","",코드설정!$M12)</f>
        <v/>
      </c>
      <c r="B519" s="129">
        <f>IF($A519="","",COUNTIF($B$6:$B$105,$A519))</f>
        <v/>
      </c>
      <c r="C519" s="129">
        <f>IF($A519="","",COUNTIFS($B$6:$B$105,$A519,$H$6:$H$105,"불출중"))</f>
        <v/>
      </c>
      <c r="D519" s="129">
        <f>IF($A519="","",COUNTIFS($B$6:$B$105,$A519,$H$6:$H$105,"보관중"))</f>
        <v/>
      </c>
      <c r="E519" s="129">
        <f>IF($A519="","",SUMIFS($I$6:$I$105,$B$6:$B$105,$A519))</f>
        <v/>
      </c>
    </row>
    <row r="520">
      <c r="A520" s="115">
        <f>IF(코드설정!$M13="","",코드설정!$M13)</f>
        <v/>
      </c>
      <c r="B520" s="129">
        <f>IF($A520="","",COUNTIF($B$6:$B$105,$A520))</f>
        <v/>
      </c>
      <c r="C520" s="129">
        <f>IF($A520="","",COUNTIFS($B$6:$B$105,$A520,$H$6:$H$105,"불출중"))</f>
        <v/>
      </c>
      <c r="D520" s="129">
        <f>IF($A520="","",COUNTIFS($B$6:$B$105,$A520,$H$6:$H$105,"보관중"))</f>
        <v/>
      </c>
      <c r="E520" s="129">
        <f>IF($A520="","",SUMIFS($I$6:$I$105,$B$6:$B$105,$A520))</f>
        <v/>
      </c>
    </row>
    <row r="521">
      <c r="A521" s="115">
        <f>IF(코드설정!$M14="","",코드설정!$M14)</f>
        <v/>
      </c>
      <c r="B521" s="129">
        <f>IF($A521="","",COUNTIF($B$6:$B$105,$A521))</f>
        <v/>
      </c>
      <c r="C521" s="129">
        <f>IF($A521="","",COUNTIFS($B$6:$B$105,$A521,$H$6:$H$105,"불출중"))</f>
        <v/>
      </c>
      <c r="D521" s="129">
        <f>IF($A521="","",COUNTIFS($B$6:$B$105,$A521,$H$6:$H$105,"보관중"))</f>
        <v/>
      </c>
      <c r="E521" s="129">
        <f>IF($A521="","",SUMIFS($I$6:$I$105,$B$6:$B$105,$A521))</f>
        <v/>
      </c>
    </row>
    <row r="522">
      <c r="A522" s="112" t="inlineStr">
        <is>
          <t>합계</t>
        </is>
      </c>
      <c r="B522" s="113">
        <f>SUM(B512:B521)</f>
        <v/>
      </c>
      <c r="C522" s="113">
        <f>SUM(C512:C521)</f>
        <v/>
      </c>
      <c r="D522" s="113">
        <f>SUM(D512:D521)</f>
        <v/>
      </c>
      <c r="E522" s="113">
        <f>SUM(E512:E521)</f>
        <v/>
      </c>
    </row>
    <row r="524">
      <c r="A524" s="85" t="inlineStr">
        <is>
          <t>현재 연체 건수</t>
        </is>
      </c>
      <c r="B524" s="50">
        <f>COUNTIF($J$109:$J$508,"연체")</f>
        <v/>
      </c>
    </row>
    <row r="525">
      <c r="A525" s="85" t="inlineStr">
        <is>
          <t>현재 사용중 건수</t>
        </is>
      </c>
      <c r="B525" s="118">
        <f>COUNTIF($J$109:$J$508,"사용중")</f>
        <v/>
      </c>
    </row>
  </sheetData>
  <autoFilter ref="A108:K508"/>
  <conditionalFormatting sqref="A6:J105">
    <cfRule type="expression" priority="1" dxfId="7" stopIfTrue="0">
      <formula>$F6="불용"</formula>
    </cfRule>
    <cfRule type="expression" priority="3" dxfId="6" stopIfTrue="0">
      <formula>AND($A6&lt;&gt;"",COUNTIF($A$6:$A$105,$A6)&gt;1)</formula>
    </cfRule>
  </conditionalFormatting>
  <conditionalFormatting sqref="H6:H105">
    <cfRule type="expression" priority="2" dxfId="8" stopIfTrue="0">
      <formula>$H6="불출중"</formula>
    </cfRule>
  </conditionalFormatting>
  <conditionalFormatting sqref="A109:K508">
    <cfRule type="expression" priority="4" dxfId="2" stopIfTrue="0">
      <formula>$J109="반납완료"</formula>
    </cfRule>
    <cfRule type="expression" priority="5" dxfId="9" stopIfTrue="0">
      <formula>$J109="연체"</formula>
    </cfRule>
  </conditionalFormatting>
  <dataValidations count="6">
    <dataValidation sqref="B6:B105" showDropDown="0" showInputMessage="0" showErrorMessage="0" allowBlank="1" type="list">
      <formula1>목록_장비구분</formula1>
    </dataValidation>
    <dataValidation sqref="E6:E105" showDropDown="0" showInputMessage="0" showErrorMessage="0" allowBlank="1" type="list">
      <formula1>목록_팀</formula1>
    </dataValidation>
    <dataValidation sqref="F6:F105" showDropDown="0" showInputMessage="0" showErrorMessage="0" allowBlank="1" type="list">
      <formula1>목록_장비상태</formula1>
    </dataValidation>
    <dataValidation sqref="B109:B508" showDropDown="0" showInputMessage="0" showErrorMessage="0" allowBlank="1" type="list">
      <formula1>목록_관리번호</formula1>
    </dataValidation>
    <dataValidation sqref="D109:D508" showDropDown="0" showInputMessage="0" showErrorMessage="0" allowBlank="1" type="list">
      <formula1>목록_사건번호</formula1>
    </dataValidation>
    <dataValidation sqref="H109:H508" showDropDown="0" showInputMessage="0" showErrorMessage="0" allowBlank="1" type="list">
      <formula1>목록_담당자</formula1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&amp;L&amp;"Arial"&amp;9장비·매체 관리&amp;R&amp;"Arial"&amp;9인쇄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BD100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12" customWidth="1" min="5" max="5"/>
    <col width="18" customWidth="1" min="6" max="6"/>
    <col width="16" customWidth="1" min="7" max="7"/>
    <col width="28" customWidth="1" min="8" max="8"/>
    <col width="11" customWidth="1" min="9" max="9"/>
    <col width="11" customWidth="1" min="10" max="10"/>
    <col width="20" customWidth="1" min="11" max="11"/>
    <col width="22" customWidth="1" min="12" max="12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</cols>
  <sheetData>
    <row r="1" ht="24" customHeight="1">
      <c r="A1" s="6" t="inlineStr">
        <is>
          <t>진행중 보드  ·  경과일수 순</t>
        </is>
      </c>
      <c r="AZ1">
        <f>IF(AND(업무일지!$B5&lt;&gt;"",업무일지!$AG5="진행중"),MAX(0,TODAY()-업무일지!$B5)*10000+1000,"")</f>
        <v/>
      </c>
      <c r="BB1">
        <f>IF(AND(일일실시사항!$B5&lt;&gt;"",일일실시사항!$J5="진행중"),MAX(0,TODAY()-일일실시사항!$B5)*10000+1000,"")</f>
        <v/>
      </c>
    </row>
    <row r="2" ht="26" customHeight="1">
      <c r="A2" s="7" t="inlineStr">
        <is>
          <t>※ 입력할 것이 없습니다. [업무일지]·[일일실시사항]에서 진행상태가 '진행중'인 건을 오래된 순으로 자동 정렬합니다.  ※ 경과일수 = 오늘 − 시작일.  30일 초과는 주황, 60일 초과는 빨강으로 표시됩니다.  ※ 파일을 열 때마다 오늘 기준으로 다시 계산됩니다.</t>
        </is>
      </c>
      <c r="AZ2">
        <f>IF(AND(업무일지!$B6&lt;&gt;"",업무일지!$AG6="진행중"),MAX(0,TODAY()-업무일지!$B6)*10000+999,"")</f>
        <v/>
      </c>
      <c r="BB2">
        <f>IF(AND(일일실시사항!$B6&lt;&gt;"",일일실시사항!$J6="진행중"),MAX(0,TODAY()-일일실시사항!$B6)*10000+999,"")</f>
        <v/>
      </c>
    </row>
    <row r="3">
      <c r="AZ3">
        <f>IF(AND(업무일지!$B7&lt;&gt;"",업무일지!$AG7="진행중"),MAX(0,TODAY()-업무일지!$B7)*10000+998,"")</f>
        <v/>
      </c>
      <c r="BB3">
        <f>IF(AND(일일실시사항!$B7&lt;&gt;"",일일실시사항!$J7="진행중"),MAX(0,TODAY()-일일실시사항!$B7)*10000+998,"")</f>
        <v/>
      </c>
    </row>
    <row r="4" ht="20" customHeight="1">
      <c r="A4" s="21" t="inlineStr">
        <is>
          <t>1.  진행중 요약</t>
        </is>
      </c>
      <c r="B4" s="22" t="n"/>
      <c r="C4" s="22" t="n"/>
      <c r="D4" s="22" t="n"/>
      <c r="E4" s="22" t="n"/>
      <c r="AZ4">
        <f>IF(AND(업무일지!$B8&lt;&gt;"",업무일지!$AG8="진행중"),MAX(0,TODAY()-업무일지!$B8)*10000+997,"")</f>
        <v/>
      </c>
      <c r="BB4">
        <f>IF(AND(일일실시사항!$B8&lt;&gt;"",일일실시사항!$J8="진행중"),MAX(0,TODAY()-일일실시사항!$B8)*10000+997,"")</f>
        <v/>
      </c>
    </row>
    <row r="5" ht="32" customHeight="1">
      <c r="A5" s="23" t="inlineStr">
        <is>
          <t>구분</t>
        </is>
      </c>
      <c r="B5" s="23" t="inlineStr">
        <is>
          <t>진행중 회차</t>
        </is>
      </c>
      <c r="C5" s="23" t="inlineStr">
        <is>
          <t>30일 초과</t>
        </is>
      </c>
      <c r="D5" s="23" t="inlineStr">
        <is>
          <t>60일 초과</t>
        </is>
      </c>
      <c r="E5" s="23" t="inlineStr">
        <is>
          <t>최장 경과일</t>
        </is>
      </c>
      <c r="AZ5">
        <f>IF(AND(업무일지!$B9&lt;&gt;"",업무일지!$AG9="진행중"),MAX(0,TODAY()-업무일지!$B9)*10000+996,"")</f>
        <v/>
      </c>
      <c r="BB5">
        <f>IF(AND(일일실시사항!$B9&lt;&gt;"",일일실시사항!$J9="진행중"),MAX(0,TODAY()-일일실시사항!$B9)*10000+996,"")</f>
        <v/>
      </c>
    </row>
    <row r="6">
      <c r="A6" s="120" t="inlineStr">
        <is>
          <t>출장</t>
        </is>
      </c>
      <c r="B6" s="129">
        <f>COUNTIFS(업무일지!$AG$5:$AG$1004,"진행중",업무일지!$D$5:$D$1004,"출장")</f>
        <v/>
      </c>
      <c r="C6" s="129">
        <f>COUNTIFS(업무일지!$AG$5:$AG$1004,"진행중",업무일지!$D$5:$D$1004,"출장",업무일지!$B$5:$B$1004,"&lt;"&amp;TODAY()-30)</f>
        <v/>
      </c>
      <c r="D6" s="129">
        <f>COUNTIFS(업무일지!$AG$5:$AG$1004,"진행중",업무일지!$D$5:$D$1004,"출장",업무일지!$B$5:$B$1004,"&lt;"&amp;TODAY()-60)</f>
        <v/>
      </c>
      <c r="E6" s="129">
        <f>IF($BD6=0,0,TODAY()-(1000000-$BD6))</f>
        <v/>
      </c>
      <c r="AZ6">
        <f>IF(AND(업무일지!$B10&lt;&gt;"",업무일지!$AG10="진행중"),MAX(0,TODAY()-업무일지!$B10)*10000+995,"")</f>
        <v/>
      </c>
      <c r="BB6">
        <f>IF(AND(일일실시사항!$B10&lt;&gt;"",일일실시사항!$J10="진행중"),MAX(0,TODAY()-일일실시사항!$B10)*10000+995,"")</f>
        <v/>
      </c>
      <c r="BD6">
        <f>SUMPRODUCT(MAX((업무일지!$AG$5:$AG$1004="진행중")*(업무일지!$D$5:$D$1004="출장")*(업무일지!$B$5:$B$1004&gt;0)*(1000000-업무일지!$B$5:$B$1004)))</f>
        <v/>
      </c>
    </row>
    <row r="7">
      <c r="A7" s="120" t="inlineStr">
        <is>
          <t>분석</t>
        </is>
      </c>
      <c r="B7" s="129">
        <f>COUNTIFS(업무일지!$AG$5:$AG$1004,"진행중",업무일지!$D$5:$D$1004,"분석")</f>
        <v/>
      </c>
      <c r="C7" s="129">
        <f>COUNTIFS(업무일지!$AG$5:$AG$1004,"진행중",업무일지!$D$5:$D$1004,"분석",업무일지!$B$5:$B$1004,"&lt;"&amp;TODAY()-30)</f>
        <v/>
      </c>
      <c r="D7" s="129">
        <f>COUNTIFS(업무일지!$AG$5:$AG$1004,"진행중",업무일지!$D$5:$D$1004,"분석",업무일지!$B$5:$B$1004,"&lt;"&amp;TODAY()-60)</f>
        <v/>
      </c>
      <c r="E7" s="129">
        <f>IF($BD7=0,0,TODAY()-(1000000-$BD7))</f>
        <v/>
      </c>
      <c r="AZ7">
        <f>IF(AND(업무일지!$B11&lt;&gt;"",업무일지!$AG11="진행중"),MAX(0,TODAY()-업무일지!$B11)*10000+994,"")</f>
        <v/>
      </c>
      <c r="BB7">
        <f>IF(AND(일일실시사항!$B11&lt;&gt;"",일일실시사항!$J11="진행중"),MAX(0,TODAY()-일일실시사항!$B11)*10000+994,"")</f>
        <v/>
      </c>
      <c r="BD7">
        <f>SUMPRODUCT(MAX((업무일지!$AG$5:$AG$1004="진행중")*(업무일지!$D$5:$D$1004="분석")*(업무일지!$B$5:$B$1004&gt;0)*(1000000-업무일지!$B$5:$B$1004)))</f>
        <v/>
      </c>
    </row>
    <row r="8">
      <c r="A8" s="120" t="inlineStr">
        <is>
          <t>교육</t>
        </is>
      </c>
      <c r="B8" s="129">
        <f>COUNTIFS(업무일지!$AG$5:$AG$1004,"진행중",업무일지!$D$5:$D$1004,"교육")</f>
        <v/>
      </c>
      <c r="C8" s="129">
        <f>COUNTIFS(업무일지!$AG$5:$AG$1004,"진행중",업무일지!$D$5:$D$1004,"교육",업무일지!$B$5:$B$1004,"&lt;"&amp;TODAY()-30)</f>
        <v/>
      </c>
      <c r="D8" s="129">
        <f>COUNTIFS(업무일지!$AG$5:$AG$1004,"진행중",업무일지!$D$5:$D$1004,"교육",업무일지!$B$5:$B$1004,"&lt;"&amp;TODAY()-60)</f>
        <v/>
      </c>
      <c r="E8" s="129">
        <f>IF($BD8=0,0,TODAY()-(1000000-$BD8))</f>
        <v/>
      </c>
      <c r="AZ8">
        <f>IF(AND(업무일지!$B12&lt;&gt;"",업무일지!$AG12="진행중"),MAX(0,TODAY()-업무일지!$B12)*10000+993,"")</f>
        <v/>
      </c>
      <c r="BB8">
        <f>IF(AND(일일실시사항!$B12&lt;&gt;"",일일실시사항!$J12="진행중"),MAX(0,TODAY()-일일실시사항!$B12)*10000+993,"")</f>
        <v/>
      </c>
      <c r="BD8">
        <f>SUMPRODUCT(MAX((업무일지!$AG$5:$AG$1004="진행중")*(업무일지!$D$5:$D$1004="교육")*(업무일지!$B$5:$B$1004&gt;0)*(1000000-업무일지!$B$5:$B$1004)))</f>
        <v/>
      </c>
    </row>
    <row r="9">
      <c r="A9" s="120" t="inlineStr">
        <is>
          <t>일일실시</t>
        </is>
      </c>
      <c r="B9" s="129">
        <f>COUNTIF(일일실시사항!$J$5:$J$1004,"진행중")</f>
        <v/>
      </c>
      <c r="C9" s="129">
        <f>COUNTIFS(일일실시사항!$J$5:$J$1004,"진행중",일일실시사항!$B$5:$B$1004,"&lt;"&amp;TODAY()-30)</f>
        <v/>
      </c>
      <c r="D9" s="129">
        <f>COUNTIFS(일일실시사항!$J$5:$J$1004,"진행중",일일실시사항!$B$5:$B$1004,"&lt;"&amp;TODAY()-60)</f>
        <v/>
      </c>
      <c r="E9" s="129">
        <f>IF($BD9=0,0,TODAY()-(1000000-$BD9))</f>
        <v/>
      </c>
      <c r="AZ9">
        <f>IF(AND(업무일지!$B13&lt;&gt;"",업무일지!$AG13="진행중"),MAX(0,TODAY()-업무일지!$B13)*10000+992,"")</f>
        <v/>
      </c>
      <c r="BB9">
        <f>IF(AND(일일실시사항!$B13&lt;&gt;"",일일실시사항!$J13="진행중"),MAX(0,TODAY()-일일실시사항!$B13)*10000+992,"")</f>
        <v/>
      </c>
      <c r="BD9">
        <f>SUMPRODUCT(MAX((일일실시사항!$J$5:$J$1004="진행중")*(일일실시사항!$B$5:$B$1004&gt;0)*(1000000-일일실시사항!$B$5:$B$1004)))</f>
        <v/>
      </c>
    </row>
    <row r="10">
      <c r="A10" s="112" t="inlineStr">
        <is>
          <t>합계</t>
        </is>
      </c>
      <c r="B10" s="113">
        <f>SUM(B6:B9)</f>
        <v/>
      </c>
      <c r="C10" s="113">
        <f>SUM(C6:C9)</f>
        <v/>
      </c>
      <c r="D10" s="113">
        <f>SUM(D6:D9)</f>
        <v/>
      </c>
      <c r="E10" s="113">
        <f>MAX(E6:E9)</f>
        <v/>
      </c>
      <c r="AZ10">
        <f>IF(AND(업무일지!$B14&lt;&gt;"",업무일지!$AG14="진행중"),MAX(0,TODAY()-업무일지!$B14)*10000+991,"")</f>
        <v/>
      </c>
      <c r="BB10">
        <f>IF(AND(일일실시사항!$B14&lt;&gt;"",일일실시사항!$J14="진행중"),MAX(0,TODAY()-일일실시사항!$B14)*10000+991,"")</f>
        <v/>
      </c>
    </row>
    <row r="11">
      <c r="AZ11">
        <f>IF(AND(업무일지!$B15&lt;&gt;"",업무일지!$AG15="진행중"),MAX(0,TODAY()-업무일지!$B15)*10000+990,"")</f>
        <v/>
      </c>
      <c r="BB11">
        <f>IF(AND(일일실시사항!$B15&lt;&gt;"",일일실시사항!$J15="진행중"),MAX(0,TODAY()-일일실시사항!$B15)*10000+990,"")</f>
        <v/>
      </c>
    </row>
    <row r="12" ht="20" customHeight="1">
      <c r="A12" s="21" t="inlineStr">
        <is>
          <t>2.  진행중 업무 (오래된 순 · 상위 100건)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AZ12">
        <f>IF(AND(업무일지!$B16&lt;&gt;"",업무일지!$AG16="진행중"),MAX(0,TODAY()-업무일지!$B16)*10000+989,"")</f>
        <v/>
      </c>
      <c r="BB12">
        <f>IF(AND(일일실시사항!$B16&lt;&gt;"",일일실시사항!$J16="진행중"),MAX(0,TODAY()-일일실시사항!$B16)*10000+989,"")</f>
        <v/>
      </c>
    </row>
    <row r="13" ht="32" customHeight="1">
      <c r="A13" s="23" t="inlineStr">
        <is>
          <t>순위</t>
        </is>
      </c>
      <c r="B13" s="23" t="inlineStr">
        <is>
          <t>경과일수</t>
        </is>
      </c>
      <c r="C13" s="23" t="inlineStr">
        <is>
          <t>시작일</t>
        </is>
      </c>
      <c r="D13" s="23" t="inlineStr">
        <is>
          <t>종료(예정)일</t>
        </is>
      </c>
      <c r="E13" s="23" t="inlineStr">
        <is>
          <t>직무구분</t>
        </is>
      </c>
      <c r="F13" s="23" t="inlineStr">
        <is>
          <t>세부유형</t>
        </is>
      </c>
      <c r="G13" s="23" t="inlineStr">
        <is>
          <t>사건번호</t>
        </is>
      </c>
      <c r="H13" s="23" t="inlineStr">
        <is>
          <t>사건명</t>
        </is>
      </c>
      <c r="I13" s="23" t="inlineStr">
        <is>
          <t>주담당</t>
        </is>
      </c>
      <c r="J13" s="23" t="inlineStr">
        <is>
          <t>투입인원</t>
        </is>
      </c>
      <c r="K13" s="23" t="inlineStr">
        <is>
          <t>장소 / 분석실</t>
        </is>
      </c>
      <c r="L13" s="23" t="inlineStr">
        <is>
          <t>비고</t>
        </is>
      </c>
      <c r="AZ13">
        <f>IF(AND(업무일지!$B17&lt;&gt;"",업무일지!$AG17="진행중"),MAX(0,TODAY()-업무일지!$B17)*10000+988,"")</f>
        <v/>
      </c>
      <c r="BB13">
        <f>IF(AND(일일실시사항!$B17&lt;&gt;"",일일실시사항!$J17="진행중"),MAX(0,TODAY()-일일실시사항!$B17)*10000+988,"")</f>
        <v/>
      </c>
    </row>
    <row r="14">
      <c r="A14" s="118">
        <f>IF($BA14="","",1)</f>
        <v/>
      </c>
      <c r="B14" s="118">
        <f>IF($BA14="","",TODAY()-INDEX(업무일지!$B$5:$B$1004,$BA14))</f>
        <v/>
      </c>
      <c r="C14" s="137">
        <f>IF($BA14="","",INDEX(업무일지!$B$5:$B$1004,$BA14))</f>
        <v/>
      </c>
      <c r="D14" s="137">
        <f>IF($BA14="","",INDEX(업무일지!$C$5:$C$1004,$BA14))</f>
        <v/>
      </c>
      <c r="E14" s="136">
        <f>IF($BA14="","",INDEX(업무일지!$D$5:$D$1004,$BA14))</f>
        <v/>
      </c>
      <c r="F14" s="131">
        <f>IF($BA14="","",INDEX(업무일지!$E$5:$E$1004,$BA14))</f>
        <v/>
      </c>
      <c r="G14" s="136">
        <f>IF($BA14="","",INDEX(업무일지!$F$5:$F$1004,$BA14))</f>
        <v/>
      </c>
      <c r="H14" s="131">
        <f>IF($BA14="","",INDEX(업무일지!$H$5:$H$1004,$BA14))</f>
        <v/>
      </c>
      <c r="I14" s="136">
        <f>IF($BA14="","",INDEX(업무일지!$J$5:$J$1004,$BA14))</f>
        <v/>
      </c>
      <c r="J14" s="129">
        <f>IF($BA14="","",INDEX(업무일지!$Z$5:$Z$1004,$BA14))</f>
        <v/>
      </c>
      <c r="K14" s="131">
        <f>IF($BA14="","",INDEX(업무일지!$AC$5:$AC$1004,$BA14))</f>
        <v/>
      </c>
      <c r="L14" s="131">
        <f>IF($BA14="","",INDEX(업무일지!$AH$5:$AH$1004,$BA14))</f>
        <v/>
      </c>
      <c r="AZ14">
        <f>IF(AND(업무일지!$B18&lt;&gt;"",업무일지!$AG18="진행중"),MAX(0,TODAY()-업무일지!$B18)*10000+987,"")</f>
        <v/>
      </c>
      <c r="BA14">
        <f>IFERROR(MATCH(LARGE($AZ$1:$AZ$1000,1),$AZ$1:$AZ$1000,0),"")</f>
        <v/>
      </c>
      <c r="BB14">
        <f>IF(AND(일일실시사항!$B18&lt;&gt;"",일일실시사항!$J18="진행중"),MAX(0,TODAY()-일일실시사항!$B18)*10000+987,"")</f>
        <v/>
      </c>
    </row>
    <row r="15">
      <c r="A15" s="118">
        <f>IF($BA15="","",2)</f>
        <v/>
      </c>
      <c r="B15" s="118">
        <f>IF($BA15="","",TODAY()-INDEX(업무일지!$B$5:$B$1004,$BA15))</f>
        <v/>
      </c>
      <c r="C15" s="137">
        <f>IF($BA15="","",INDEX(업무일지!$B$5:$B$1004,$BA15))</f>
        <v/>
      </c>
      <c r="D15" s="137">
        <f>IF($BA15="","",INDEX(업무일지!$C$5:$C$1004,$BA15))</f>
        <v/>
      </c>
      <c r="E15" s="136">
        <f>IF($BA15="","",INDEX(업무일지!$D$5:$D$1004,$BA15))</f>
        <v/>
      </c>
      <c r="F15" s="131">
        <f>IF($BA15="","",INDEX(업무일지!$E$5:$E$1004,$BA15))</f>
        <v/>
      </c>
      <c r="G15" s="136">
        <f>IF($BA15="","",INDEX(업무일지!$F$5:$F$1004,$BA15))</f>
        <v/>
      </c>
      <c r="H15" s="131">
        <f>IF($BA15="","",INDEX(업무일지!$H$5:$H$1004,$BA15))</f>
        <v/>
      </c>
      <c r="I15" s="136">
        <f>IF($BA15="","",INDEX(업무일지!$J$5:$J$1004,$BA15))</f>
        <v/>
      </c>
      <c r="J15" s="129">
        <f>IF($BA15="","",INDEX(업무일지!$Z$5:$Z$1004,$BA15))</f>
        <v/>
      </c>
      <c r="K15" s="131">
        <f>IF($BA15="","",INDEX(업무일지!$AC$5:$AC$1004,$BA15))</f>
        <v/>
      </c>
      <c r="L15" s="131">
        <f>IF($BA15="","",INDEX(업무일지!$AH$5:$AH$1004,$BA15))</f>
        <v/>
      </c>
      <c r="AZ15">
        <f>IF(AND(업무일지!$B19&lt;&gt;"",업무일지!$AG19="진행중"),MAX(0,TODAY()-업무일지!$B19)*10000+986,"")</f>
        <v/>
      </c>
      <c r="BA15">
        <f>IFERROR(MATCH(LARGE($AZ$1:$AZ$1000,2),$AZ$1:$AZ$1000,0),"")</f>
        <v/>
      </c>
      <c r="BB15">
        <f>IF(AND(일일실시사항!$B19&lt;&gt;"",일일실시사항!$J19="진행중"),MAX(0,TODAY()-일일실시사항!$B19)*10000+986,"")</f>
        <v/>
      </c>
    </row>
    <row r="16">
      <c r="A16" s="118">
        <f>IF($BA16="","",3)</f>
        <v/>
      </c>
      <c r="B16" s="118">
        <f>IF($BA16="","",TODAY()-INDEX(업무일지!$B$5:$B$1004,$BA16))</f>
        <v/>
      </c>
      <c r="C16" s="137">
        <f>IF($BA16="","",INDEX(업무일지!$B$5:$B$1004,$BA16))</f>
        <v/>
      </c>
      <c r="D16" s="137">
        <f>IF($BA16="","",INDEX(업무일지!$C$5:$C$1004,$BA16))</f>
        <v/>
      </c>
      <c r="E16" s="136">
        <f>IF($BA16="","",INDEX(업무일지!$D$5:$D$1004,$BA16))</f>
        <v/>
      </c>
      <c r="F16" s="131">
        <f>IF($BA16="","",INDEX(업무일지!$E$5:$E$1004,$BA16))</f>
        <v/>
      </c>
      <c r="G16" s="136">
        <f>IF($BA16="","",INDEX(업무일지!$F$5:$F$1004,$BA16))</f>
        <v/>
      </c>
      <c r="H16" s="131">
        <f>IF($BA16="","",INDEX(업무일지!$H$5:$H$1004,$BA16))</f>
        <v/>
      </c>
      <c r="I16" s="136">
        <f>IF($BA16="","",INDEX(업무일지!$J$5:$J$1004,$BA16))</f>
        <v/>
      </c>
      <c r="J16" s="129">
        <f>IF($BA16="","",INDEX(업무일지!$Z$5:$Z$1004,$BA16))</f>
        <v/>
      </c>
      <c r="K16" s="131">
        <f>IF($BA16="","",INDEX(업무일지!$AC$5:$AC$1004,$BA16))</f>
        <v/>
      </c>
      <c r="L16" s="131">
        <f>IF($BA16="","",INDEX(업무일지!$AH$5:$AH$1004,$BA16))</f>
        <v/>
      </c>
      <c r="AZ16">
        <f>IF(AND(업무일지!$B20&lt;&gt;"",업무일지!$AG20="진행중"),MAX(0,TODAY()-업무일지!$B20)*10000+985,"")</f>
        <v/>
      </c>
      <c r="BA16">
        <f>IFERROR(MATCH(LARGE($AZ$1:$AZ$1000,3),$AZ$1:$AZ$1000,0),"")</f>
        <v/>
      </c>
      <c r="BB16">
        <f>IF(AND(일일실시사항!$B20&lt;&gt;"",일일실시사항!$J20="진행중"),MAX(0,TODAY()-일일실시사항!$B20)*10000+985,"")</f>
        <v/>
      </c>
    </row>
    <row r="17">
      <c r="A17" s="118">
        <f>IF($BA17="","",4)</f>
        <v/>
      </c>
      <c r="B17" s="118">
        <f>IF($BA17="","",TODAY()-INDEX(업무일지!$B$5:$B$1004,$BA17))</f>
        <v/>
      </c>
      <c r="C17" s="137">
        <f>IF($BA17="","",INDEX(업무일지!$B$5:$B$1004,$BA17))</f>
        <v/>
      </c>
      <c r="D17" s="137">
        <f>IF($BA17="","",INDEX(업무일지!$C$5:$C$1004,$BA17))</f>
        <v/>
      </c>
      <c r="E17" s="136">
        <f>IF($BA17="","",INDEX(업무일지!$D$5:$D$1004,$BA17))</f>
        <v/>
      </c>
      <c r="F17" s="131">
        <f>IF($BA17="","",INDEX(업무일지!$E$5:$E$1004,$BA17))</f>
        <v/>
      </c>
      <c r="G17" s="136">
        <f>IF($BA17="","",INDEX(업무일지!$F$5:$F$1004,$BA17))</f>
        <v/>
      </c>
      <c r="H17" s="131">
        <f>IF($BA17="","",INDEX(업무일지!$H$5:$H$1004,$BA17))</f>
        <v/>
      </c>
      <c r="I17" s="136">
        <f>IF($BA17="","",INDEX(업무일지!$J$5:$J$1004,$BA17))</f>
        <v/>
      </c>
      <c r="J17" s="129">
        <f>IF($BA17="","",INDEX(업무일지!$Z$5:$Z$1004,$BA17))</f>
        <v/>
      </c>
      <c r="K17" s="131">
        <f>IF($BA17="","",INDEX(업무일지!$AC$5:$AC$1004,$BA17))</f>
        <v/>
      </c>
      <c r="L17" s="131">
        <f>IF($BA17="","",INDEX(업무일지!$AH$5:$AH$1004,$BA17))</f>
        <v/>
      </c>
      <c r="AZ17">
        <f>IF(AND(업무일지!$B21&lt;&gt;"",업무일지!$AG21="진행중"),MAX(0,TODAY()-업무일지!$B21)*10000+984,"")</f>
        <v/>
      </c>
      <c r="BA17">
        <f>IFERROR(MATCH(LARGE($AZ$1:$AZ$1000,4),$AZ$1:$AZ$1000,0),"")</f>
        <v/>
      </c>
      <c r="BB17">
        <f>IF(AND(일일실시사항!$B21&lt;&gt;"",일일실시사항!$J21="진행중"),MAX(0,TODAY()-일일실시사항!$B21)*10000+984,"")</f>
        <v/>
      </c>
    </row>
    <row r="18">
      <c r="A18" s="118">
        <f>IF($BA18="","",5)</f>
        <v/>
      </c>
      <c r="B18" s="118">
        <f>IF($BA18="","",TODAY()-INDEX(업무일지!$B$5:$B$1004,$BA18))</f>
        <v/>
      </c>
      <c r="C18" s="137">
        <f>IF($BA18="","",INDEX(업무일지!$B$5:$B$1004,$BA18))</f>
        <v/>
      </c>
      <c r="D18" s="137">
        <f>IF($BA18="","",INDEX(업무일지!$C$5:$C$1004,$BA18))</f>
        <v/>
      </c>
      <c r="E18" s="136">
        <f>IF($BA18="","",INDEX(업무일지!$D$5:$D$1004,$BA18))</f>
        <v/>
      </c>
      <c r="F18" s="131">
        <f>IF($BA18="","",INDEX(업무일지!$E$5:$E$1004,$BA18))</f>
        <v/>
      </c>
      <c r="G18" s="136">
        <f>IF($BA18="","",INDEX(업무일지!$F$5:$F$1004,$BA18))</f>
        <v/>
      </c>
      <c r="H18" s="131">
        <f>IF($BA18="","",INDEX(업무일지!$H$5:$H$1004,$BA18))</f>
        <v/>
      </c>
      <c r="I18" s="136">
        <f>IF($BA18="","",INDEX(업무일지!$J$5:$J$1004,$BA18))</f>
        <v/>
      </c>
      <c r="J18" s="129">
        <f>IF($BA18="","",INDEX(업무일지!$Z$5:$Z$1004,$BA18))</f>
        <v/>
      </c>
      <c r="K18" s="131">
        <f>IF($BA18="","",INDEX(업무일지!$AC$5:$AC$1004,$BA18))</f>
        <v/>
      </c>
      <c r="L18" s="131">
        <f>IF($BA18="","",INDEX(업무일지!$AH$5:$AH$1004,$BA18))</f>
        <v/>
      </c>
      <c r="AZ18">
        <f>IF(AND(업무일지!$B22&lt;&gt;"",업무일지!$AG22="진행중"),MAX(0,TODAY()-업무일지!$B22)*10000+983,"")</f>
        <v/>
      </c>
      <c r="BA18">
        <f>IFERROR(MATCH(LARGE($AZ$1:$AZ$1000,5),$AZ$1:$AZ$1000,0),"")</f>
        <v/>
      </c>
      <c r="BB18">
        <f>IF(AND(일일실시사항!$B22&lt;&gt;"",일일실시사항!$J22="진행중"),MAX(0,TODAY()-일일실시사항!$B22)*10000+983,"")</f>
        <v/>
      </c>
    </row>
    <row r="19">
      <c r="A19" s="118">
        <f>IF($BA19="","",6)</f>
        <v/>
      </c>
      <c r="B19" s="118">
        <f>IF($BA19="","",TODAY()-INDEX(업무일지!$B$5:$B$1004,$BA19))</f>
        <v/>
      </c>
      <c r="C19" s="137">
        <f>IF($BA19="","",INDEX(업무일지!$B$5:$B$1004,$BA19))</f>
        <v/>
      </c>
      <c r="D19" s="137">
        <f>IF($BA19="","",INDEX(업무일지!$C$5:$C$1004,$BA19))</f>
        <v/>
      </c>
      <c r="E19" s="136">
        <f>IF($BA19="","",INDEX(업무일지!$D$5:$D$1004,$BA19))</f>
        <v/>
      </c>
      <c r="F19" s="131">
        <f>IF($BA19="","",INDEX(업무일지!$E$5:$E$1004,$BA19))</f>
        <v/>
      </c>
      <c r="G19" s="136">
        <f>IF($BA19="","",INDEX(업무일지!$F$5:$F$1004,$BA19))</f>
        <v/>
      </c>
      <c r="H19" s="131">
        <f>IF($BA19="","",INDEX(업무일지!$H$5:$H$1004,$BA19))</f>
        <v/>
      </c>
      <c r="I19" s="136">
        <f>IF($BA19="","",INDEX(업무일지!$J$5:$J$1004,$BA19))</f>
        <v/>
      </c>
      <c r="J19" s="129">
        <f>IF($BA19="","",INDEX(업무일지!$Z$5:$Z$1004,$BA19))</f>
        <v/>
      </c>
      <c r="K19" s="131">
        <f>IF($BA19="","",INDEX(업무일지!$AC$5:$AC$1004,$BA19))</f>
        <v/>
      </c>
      <c r="L19" s="131">
        <f>IF($BA19="","",INDEX(업무일지!$AH$5:$AH$1004,$BA19))</f>
        <v/>
      </c>
      <c r="AZ19">
        <f>IF(AND(업무일지!$B23&lt;&gt;"",업무일지!$AG23="진행중"),MAX(0,TODAY()-업무일지!$B23)*10000+982,"")</f>
        <v/>
      </c>
      <c r="BA19">
        <f>IFERROR(MATCH(LARGE($AZ$1:$AZ$1000,6),$AZ$1:$AZ$1000,0),"")</f>
        <v/>
      </c>
      <c r="BB19">
        <f>IF(AND(일일실시사항!$B23&lt;&gt;"",일일실시사항!$J23="진행중"),MAX(0,TODAY()-일일실시사항!$B23)*10000+982,"")</f>
        <v/>
      </c>
    </row>
    <row r="20">
      <c r="A20" s="118">
        <f>IF($BA20="","",7)</f>
        <v/>
      </c>
      <c r="B20" s="118">
        <f>IF($BA20="","",TODAY()-INDEX(업무일지!$B$5:$B$1004,$BA20))</f>
        <v/>
      </c>
      <c r="C20" s="137">
        <f>IF($BA20="","",INDEX(업무일지!$B$5:$B$1004,$BA20))</f>
        <v/>
      </c>
      <c r="D20" s="137">
        <f>IF($BA20="","",INDEX(업무일지!$C$5:$C$1004,$BA20))</f>
        <v/>
      </c>
      <c r="E20" s="136">
        <f>IF($BA20="","",INDEX(업무일지!$D$5:$D$1004,$BA20))</f>
        <v/>
      </c>
      <c r="F20" s="131">
        <f>IF($BA20="","",INDEX(업무일지!$E$5:$E$1004,$BA20))</f>
        <v/>
      </c>
      <c r="G20" s="136">
        <f>IF($BA20="","",INDEX(업무일지!$F$5:$F$1004,$BA20))</f>
        <v/>
      </c>
      <c r="H20" s="131">
        <f>IF($BA20="","",INDEX(업무일지!$H$5:$H$1004,$BA20))</f>
        <v/>
      </c>
      <c r="I20" s="136">
        <f>IF($BA20="","",INDEX(업무일지!$J$5:$J$1004,$BA20))</f>
        <v/>
      </c>
      <c r="J20" s="129">
        <f>IF($BA20="","",INDEX(업무일지!$Z$5:$Z$1004,$BA20))</f>
        <v/>
      </c>
      <c r="K20" s="131">
        <f>IF($BA20="","",INDEX(업무일지!$AC$5:$AC$1004,$BA20))</f>
        <v/>
      </c>
      <c r="L20" s="131">
        <f>IF($BA20="","",INDEX(업무일지!$AH$5:$AH$1004,$BA20))</f>
        <v/>
      </c>
      <c r="AZ20">
        <f>IF(AND(업무일지!$B24&lt;&gt;"",업무일지!$AG24="진행중"),MAX(0,TODAY()-업무일지!$B24)*10000+981,"")</f>
        <v/>
      </c>
      <c r="BA20">
        <f>IFERROR(MATCH(LARGE($AZ$1:$AZ$1000,7),$AZ$1:$AZ$1000,0),"")</f>
        <v/>
      </c>
      <c r="BB20">
        <f>IF(AND(일일실시사항!$B24&lt;&gt;"",일일실시사항!$J24="진행중"),MAX(0,TODAY()-일일실시사항!$B24)*10000+981,"")</f>
        <v/>
      </c>
    </row>
    <row r="21">
      <c r="A21" s="118">
        <f>IF($BA21="","",8)</f>
        <v/>
      </c>
      <c r="B21" s="118">
        <f>IF($BA21="","",TODAY()-INDEX(업무일지!$B$5:$B$1004,$BA21))</f>
        <v/>
      </c>
      <c r="C21" s="137">
        <f>IF($BA21="","",INDEX(업무일지!$B$5:$B$1004,$BA21))</f>
        <v/>
      </c>
      <c r="D21" s="137">
        <f>IF($BA21="","",INDEX(업무일지!$C$5:$C$1004,$BA21))</f>
        <v/>
      </c>
      <c r="E21" s="136">
        <f>IF($BA21="","",INDEX(업무일지!$D$5:$D$1004,$BA21))</f>
        <v/>
      </c>
      <c r="F21" s="131">
        <f>IF($BA21="","",INDEX(업무일지!$E$5:$E$1004,$BA21))</f>
        <v/>
      </c>
      <c r="G21" s="136">
        <f>IF($BA21="","",INDEX(업무일지!$F$5:$F$1004,$BA21))</f>
        <v/>
      </c>
      <c r="H21" s="131">
        <f>IF($BA21="","",INDEX(업무일지!$H$5:$H$1004,$BA21))</f>
        <v/>
      </c>
      <c r="I21" s="136">
        <f>IF($BA21="","",INDEX(업무일지!$J$5:$J$1004,$BA21))</f>
        <v/>
      </c>
      <c r="J21" s="129">
        <f>IF($BA21="","",INDEX(업무일지!$Z$5:$Z$1004,$BA21))</f>
        <v/>
      </c>
      <c r="K21" s="131">
        <f>IF($BA21="","",INDEX(업무일지!$AC$5:$AC$1004,$BA21))</f>
        <v/>
      </c>
      <c r="L21" s="131">
        <f>IF($BA21="","",INDEX(업무일지!$AH$5:$AH$1004,$BA21))</f>
        <v/>
      </c>
      <c r="AZ21">
        <f>IF(AND(업무일지!$B25&lt;&gt;"",업무일지!$AG25="진행중"),MAX(0,TODAY()-업무일지!$B25)*10000+980,"")</f>
        <v/>
      </c>
      <c r="BA21">
        <f>IFERROR(MATCH(LARGE($AZ$1:$AZ$1000,8),$AZ$1:$AZ$1000,0),"")</f>
        <v/>
      </c>
      <c r="BB21">
        <f>IF(AND(일일실시사항!$B25&lt;&gt;"",일일실시사항!$J25="진행중"),MAX(0,TODAY()-일일실시사항!$B25)*10000+980,"")</f>
        <v/>
      </c>
    </row>
    <row r="22">
      <c r="A22" s="118">
        <f>IF($BA22="","",9)</f>
        <v/>
      </c>
      <c r="B22" s="118">
        <f>IF($BA22="","",TODAY()-INDEX(업무일지!$B$5:$B$1004,$BA22))</f>
        <v/>
      </c>
      <c r="C22" s="137">
        <f>IF($BA22="","",INDEX(업무일지!$B$5:$B$1004,$BA22))</f>
        <v/>
      </c>
      <c r="D22" s="137">
        <f>IF($BA22="","",INDEX(업무일지!$C$5:$C$1004,$BA22))</f>
        <v/>
      </c>
      <c r="E22" s="136">
        <f>IF($BA22="","",INDEX(업무일지!$D$5:$D$1004,$BA22))</f>
        <v/>
      </c>
      <c r="F22" s="131">
        <f>IF($BA22="","",INDEX(업무일지!$E$5:$E$1004,$BA22))</f>
        <v/>
      </c>
      <c r="G22" s="136">
        <f>IF($BA22="","",INDEX(업무일지!$F$5:$F$1004,$BA22))</f>
        <v/>
      </c>
      <c r="H22" s="131">
        <f>IF($BA22="","",INDEX(업무일지!$H$5:$H$1004,$BA22))</f>
        <v/>
      </c>
      <c r="I22" s="136">
        <f>IF($BA22="","",INDEX(업무일지!$J$5:$J$1004,$BA22))</f>
        <v/>
      </c>
      <c r="J22" s="129">
        <f>IF($BA22="","",INDEX(업무일지!$Z$5:$Z$1004,$BA22))</f>
        <v/>
      </c>
      <c r="K22" s="131">
        <f>IF($BA22="","",INDEX(업무일지!$AC$5:$AC$1004,$BA22))</f>
        <v/>
      </c>
      <c r="L22" s="131">
        <f>IF($BA22="","",INDEX(업무일지!$AH$5:$AH$1004,$BA22))</f>
        <v/>
      </c>
      <c r="AZ22">
        <f>IF(AND(업무일지!$B26&lt;&gt;"",업무일지!$AG26="진행중"),MAX(0,TODAY()-업무일지!$B26)*10000+979,"")</f>
        <v/>
      </c>
      <c r="BA22">
        <f>IFERROR(MATCH(LARGE($AZ$1:$AZ$1000,9),$AZ$1:$AZ$1000,0),"")</f>
        <v/>
      </c>
      <c r="BB22">
        <f>IF(AND(일일실시사항!$B26&lt;&gt;"",일일실시사항!$J26="진행중"),MAX(0,TODAY()-일일실시사항!$B26)*10000+979,"")</f>
        <v/>
      </c>
    </row>
    <row r="23">
      <c r="A23" s="118">
        <f>IF($BA23="","",10)</f>
        <v/>
      </c>
      <c r="B23" s="118">
        <f>IF($BA23="","",TODAY()-INDEX(업무일지!$B$5:$B$1004,$BA23))</f>
        <v/>
      </c>
      <c r="C23" s="137">
        <f>IF($BA23="","",INDEX(업무일지!$B$5:$B$1004,$BA23))</f>
        <v/>
      </c>
      <c r="D23" s="137">
        <f>IF($BA23="","",INDEX(업무일지!$C$5:$C$1004,$BA23))</f>
        <v/>
      </c>
      <c r="E23" s="136">
        <f>IF($BA23="","",INDEX(업무일지!$D$5:$D$1004,$BA23))</f>
        <v/>
      </c>
      <c r="F23" s="131">
        <f>IF($BA23="","",INDEX(업무일지!$E$5:$E$1004,$BA23))</f>
        <v/>
      </c>
      <c r="G23" s="136">
        <f>IF($BA23="","",INDEX(업무일지!$F$5:$F$1004,$BA23))</f>
        <v/>
      </c>
      <c r="H23" s="131">
        <f>IF($BA23="","",INDEX(업무일지!$H$5:$H$1004,$BA23))</f>
        <v/>
      </c>
      <c r="I23" s="136">
        <f>IF($BA23="","",INDEX(업무일지!$J$5:$J$1004,$BA23))</f>
        <v/>
      </c>
      <c r="J23" s="129">
        <f>IF($BA23="","",INDEX(업무일지!$Z$5:$Z$1004,$BA23))</f>
        <v/>
      </c>
      <c r="K23" s="131">
        <f>IF($BA23="","",INDEX(업무일지!$AC$5:$AC$1004,$BA23))</f>
        <v/>
      </c>
      <c r="L23" s="131">
        <f>IF($BA23="","",INDEX(업무일지!$AH$5:$AH$1004,$BA23))</f>
        <v/>
      </c>
      <c r="AZ23">
        <f>IF(AND(업무일지!$B27&lt;&gt;"",업무일지!$AG27="진행중"),MAX(0,TODAY()-업무일지!$B27)*10000+978,"")</f>
        <v/>
      </c>
      <c r="BA23">
        <f>IFERROR(MATCH(LARGE($AZ$1:$AZ$1000,10),$AZ$1:$AZ$1000,0),"")</f>
        <v/>
      </c>
      <c r="BB23">
        <f>IF(AND(일일실시사항!$B27&lt;&gt;"",일일실시사항!$J27="진행중"),MAX(0,TODAY()-일일실시사항!$B27)*10000+978,"")</f>
        <v/>
      </c>
    </row>
    <row r="24">
      <c r="A24" s="118">
        <f>IF($BA24="","",11)</f>
        <v/>
      </c>
      <c r="B24" s="118">
        <f>IF($BA24="","",TODAY()-INDEX(업무일지!$B$5:$B$1004,$BA24))</f>
        <v/>
      </c>
      <c r="C24" s="137">
        <f>IF($BA24="","",INDEX(업무일지!$B$5:$B$1004,$BA24))</f>
        <v/>
      </c>
      <c r="D24" s="137">
        <f>IF($BA24="","",INDEX(업무일지!$C$5:$C$1004,$BA24))</f>
        <v/>
      </c>
      <c r="E24" s="136">
        <f>IF($BA24="","",INDEX(업무일지!$D$5:$D$1004,$BA24))</f>
        <v/>
      </c>
      <c r="F24" s="131">
        <f>IF($BA24="","",INDEX(업무일지!$E$5:$E$1004,$BA24))</f>
        <v/>
      </c>
      <c r="G24" s="136">
        <f>IF($BA24="","",INDEX(업무일지!$F$5:$F$1004,$BA24))</f>
        <v/>
      </c>
      <c r="H24" s="131">
        <f>IF($BA24="","",INDEX(업무일지!$H$5:$H$1004,$BA24))</f>
        <v/>
      </c>
      <c r="I24" s="136">
        <f>IF($BA24="","",INDEX(업무일지!$J$5:$J$1004,$BA24))</f>
        <v/>
      </c>
      <c r="J24" s="129">
        <f>IF($BA24="","",INDEX(업무일지!$Z$5:$Z$1004,$BA24))</f>
        <v/>
      </c>
      <c r="K24" s="131">
        <f>IF($BA24="","",INDEX(업무일지!$AC$5:$AC$1004,$BA24))</f>
        <v/>
      </c>
      <c r="L24" s="131">
        <f>IF($BA24="","",INDEX(업무일지!$AH$5:$AH$1004,$BA24))</f>
        <v/>
      </c>
      <c r="AZ24">
        <f>IF(AND(업무일지!$B28&lt;&gt;"",업무일지!$AG28="진행중"),MAX(0,TODAY()-업무일지!$B28)*10000+977,"")</f>
        <v/>
      </c>
      <c r="BA24">
        <f>IFERROR(MATCH(LARGE($AZ$1:$AZ$1000,11),$AZ$1:$AZ$1000,0),"")</f>
        <v/>
      </c>
      <c r="BB24">
        <f>IF(AND(일일실시사항!$B28&lt;&gt;"",일일실시사항!$J28="진행중"),MAX(0,TODAY()-일일실시사항!$B28)*10000+977,"")</f>
        <v/>
      </c>
    </row>
    <row r="25">
      <c r="A25" s="118">
        <f>IF($BA25="","",12)</f>
        <v/>
      </c>
      <c r="B25" s="118">
        <f>IF($BA25="","",TODAY()-INDEX(업무일지!$B$5:$B$1004,$BA25))</f>
        <v/>
      </c>
      <c r="C25" s="137">
        <f>IF($BA25="","",INDEX(업무일지!$B$5:$B$1004,$BA25))</f>
        <v/>
      </c>
      <c r="D25" s="137">
        <f>IF($BA25="","",INDEX(업무일지!$C$5:$C$1004,$BA25))</f>
        <v/>
      </c>
      <c r="E25" s="136">
        <f>IF($BA25="","",INDEX(업무일지!$D$5:$D$1004,$BA25))</f>
        <v/>
      </c>
      <c r="F25" s="131">
        <f>IF($BA25="","",INDEX(업무일지!$E$5:$E$1004,$BA25))</f>
        <v/>
      </c>
      <c r="G25" s="136">
        <f>IF($BA25="","",INDEX(업무일지!$F$5:$F$1004,$BA25))</f>
        <v/>
      </c>
      <c r="H25" s="131">
        <f>IF($BA25="","",INDEX(업무일지!$H$5:$H$1004,$BA25))</f>
        <v/>
      </c>
      <c r="I25" s="136">
        <f>IF($BA25="","",INDEX(업무일지!$J$5:$J$1004,$BA25))</f>
        <v/>
      </c>
      <c r="J25" s="129">
        <f>IF($BA25="","",INDEX(업무일지!$Z$5:$Z$1004,$BA25))</f>
        <v/>
      </c>
      <c r="K25" s="131">
        <f>IF($BA25="","",INDEX(업무일지!$AC$5:$AC$1004,$BA25))</f>
        <v/>
      </c>
      <c r="L25" s="131">
        <f>IF($BA25="","",INDEX(업무일지!$AH$5:$AH$1004,$BA25))</f>
        <v/>
      </c>
      <c r="AZ25">
        <f>IF(AND(업무일지!$B29&lt;&gt;"",업무일지!$AG29="진행중"),MAX(0,TODAY()-업무일지!$B29)*10000+976,"")</f>
        <v/>
      </c>
      <c r="BA25">
        <f>IFERROR(MATCH(LARGE($AZ$1:$AZ$1000,12),$AZ$1:$AZ$1000,0),"")</f>
        <v/>
      </c>
      <c r="BB25">
        <f>IF(AND(일일실시사항!$B29&lt;&gt;"",일일실시사항!$J29="진행중"),MAX(0,TODAY()-일일실시사항!$B29)*10000+976,"")</f>
        <v/>
      </c>
    </row>
    <row r="26">
      <c r="A26" s="118">
        <f>IF($BA26="","",13)</f>
        <v/>
      </c>
      <c r="B26" s="118">
        <f>IF($BA26="","",TODAY()-INDEX(업무일지!$B$5:$B$1004,$BA26))</f>
        <v/>
      </c>
      <c r="C26" s="137">
        <f>IF($BA26="","",INDEX(업무일지!$B$5:$B$1004,$BA26))</f>
        <v/>
      </c>
      <c r="D26" s="137">
        <f>IF($BA26="","",INDEX(업무일지!$C$5:$C$1004,$BA26))</f>
        <v/>
      </c>
      <c r="E26" s="136">
        <f>IF($BA26="","",INDEX(업무일지!$D$5:$D$1004,$BA26))</f>
        <v/>
      </c>
      <c r="F26" s="131">
        <f>IF($BA26="","",INDEX(업무일지!$E$5:$E$1004,$BA26))</f>
        <v/>
      </c>
      <c r="G26" s="136">
        <f>IF($BA26="","",INDEX(업무일지!$F$5:$F$1004,$BA26))</f>
        <v/>
      </c>
      <c r="H26" s="131">
        <f>IF($BA26="","",INDEX(업무일지!$H$5:$H$1004,$BA26))</f>
        <v/>
      </c>
      <c r="I26" s="136">
        <f>IF($BA26="","",INDEX(업무일지!$J$5:$J$1004,$BA26))</f>
        <v/>
      </c>
      <c r="J26" s="129">
        <f>IF($BA26="","",INDEX(업무일지!$Z$5:$Z$1004,$BA26))</f>
        <v/>
      </c>
      <c r="K26" s="131">
        <f>IF($BA26="","",INDEX(업무일지!$AC$5:$AC$1004,$BA26))</f>
        <v/>
      </c>
      <c r="L26" s="131">
        <f>IF($BA26="","",INDEX(업무일지!$AH$5:$AH$1004,$BA26))</f>
        <v/>
      </c>
      <c r="AZ26">
        <f>IF(AND(업무일지!$B30&lt;&gt;"",업무일지!$AG30="진행중"),MAX(0,TODAY()-업무일지!$B30)*10000+975,"")</f>
        <v/>
      </c>
      <c r="BA26">
        <f>IFERROR(MATCH(LARGE($AZ$1:$AZ$1000,13),$AZ$1:$AZ$1000,0),"")</f>
        <v/>
      </c>
      <c r="BB26">
        <f>IF(AND(일일실시사항!$B30&lt;&gt;"",일일실시사항!$J30="진행중"),MAX(0,TODAY()-일일실시사항!$B30)*10000+975,"")</f>
        <v/>
      </c>
    </row>
    <row r="27">
      <c r="A27" s="118">
        <f>IF($BA27="","",14)</f>
        <v/>
      </c>
      <c r="B27" s="118">
        <f>IF($BA27="","",TODAY()-INDEX(업무일지!$B$5:$B$1004,$BA27))</f>
        <v/>
      </c>
      <c r="C27" s="137">
        <f>IF($BA27="","",INDEX(업무일지!$B$5:$B$1004,$BA27))</f>
        <v/>
      </c>
      <c r="D27" s="137">
        <f>IF($BA27="","",INDEX(업무일지!$C$5:$C$1004,$BA27))</f>
        <v/>
      </c>
      <c r="E27" s="136">
        <f>IF($BA27="","",INDEX(업무일지!$D$5:$D$1004,$BA27))</f>
        <v/>
      </c>
      <c r="F27" s="131">
        <f>IF($BA27="","",INDEX(업무일지!$E$5:$E$1004,$BA27))</f>
        <v/>
      </c>
      <c r="G27" s="136">
        <f>IF($BA27="","",INDEX(업무일지!$F$5:$F$1004,$BA27))</f>
        <v/>
      </c>
      <c r="H27" s="131">
        <f>IF($BA27="","",INDEX(업무일지!$H$5:$H$1004,$BA27))</f>
        <v/>
      </c>
      <c r="I27" s="136">
        <f>IF($BA27="","",INDEX(업무일지!$J$5:$J$1004,$BA27))</f>
        <v/>
      </c>
      <c r="J27" s="129">
        <f>IF($BA27="","",INDEX(업무일지!$Z$5:$Z$1004,$BA27))</f>
        <v/>
      </c>
      <c r="K27" s="131">
        <f>IF($BA27="","",INDEX(업무일지!$AC$5:$AC$1004,$BA27))</f>
        <v/>
      </c>
      <c r="L27" s="131">
        <f>IF($BA27="","",INDEX(업무일지!$AH$5:$AH$1004,$BA27))</f>
        <v/>
      </c>
      <c r="AZ27">
        <f>IF(AND(업무일지!$B31&lt;&gt;"",업무일지!$AG31="진행중"),MAX(0,TODAY()-업무일지!$B31)*10000+974,"")</f>
        <v/>
      </c>
      <c r="BA27">
        <f>IFERROR(MATCH(LARGE($AZ$1:$AZ$1000,14),$AZ$1:$AZ$1000,0),"")</f>
        <v/>
      </c>
      <c r="BB27">
        <f>IF(AND(일일실시사항!$B31&lt;&gt;"",일일실시사항!$J31="진행중"),MAX(0,TODAY()-일일실시사항!$B31)*10000+974,"")</f>
        <v/>
      </c>
    </row>
    <row r="28">
      <c r="A28" s="118">
        <f>IF($BA28="","",15)</f>
        <v/>
      </c>
      <c r="B28" s="118">
        <f>IF($BA28="","",TODAY()-INDEX(업무일지!$B$5:$B$1004,$BA28))</f>
        <v/>
      </c>
      <c r="C28" s="137">
        <f>IF($BA28="","",INDEX(업무일지!$B$5:$B$1004,$BA28))</f>
        <v/>
      </c>
      <c r="D28" s="137">
        <f>IF($BA28="","",INDEX(업무일지!$C$5:$C$1004,$BA28))</f>
        <v/>
      </c>
      <c r="E28" s="136">
        <f>IF($BA28="","",INDEX(업무일지!$D$5:$D$1004,$BA28))</f>
        <v/>
      </c>
      <c r="F28" s="131">
        <f>IF($BA28="","",INDEX(업무일지!$E$5:$E$1004,$BA28))</f>
        <v/>
      </c>
      <c r="G28" s="136">
        <f>IF($BA28="","",INDEX(업무일지!$F$5:$F$1004,$BA28))</f>
        <v/>
      </c>
      <c r="H28" s="131">
        <f>IF($BA28="","",INDEX(업무일지!$H$5:$H$1004,$BA28))</f>
        <v/>
      </c>
      <c r="I28" s="136">
        <f>IF($BA28="","",INDEX(업무일지!$J$5:$J$1004,$BA28))</f>
        <v/>
      </c>
      <c r="J28" s="129">
        <f>IF($BA28="","",INDEX(업무일지!$Z$5:$Z$1004,$BA28))</f>
        <v/>
      </c>
      <c r="K28" s="131">
        <f>IF($BA28="","",INDEX(업무일지!$AC$5:$AC$1004,$BA28))</f>
        <v/>
      </c>
      <c r="L28" s="131">
        <f>IF($BA28="","",INDEX(업무일지!$AH$5:$AH$1004,$BA28))</f>
        <v/>
      </c>
      <c r="AZ28">
        <f>IF(AND(업무일지!$B32&lt;&gt;"",업무일지!$AG32="진행중"),MAX(0,TODAY()-업무일지!$B32)*10000+973,"")</f>
        <v/>
      </c>
      <c r="BA28">
        <f>IFERROR(MATCH(LARGE($AZ$1:$AZ$1000,15),$AZ$1:$AZ$1000,0),"")</f>
        <v/>
      </c>
      <c r="BB28">
        <f>IF(AND(일일실시사항!$B32&lt;&gt;"",일일실시사항!$J32="진행중"),MAX(0,TODAY()-일일실시사항!$B32)*10000+973,"")</f>
        <v/>
      </c>
    </row>
    <row r="29">
      <c r="A29" s="118">
        <f>IF($BA29="","",16)</f>
        <v/>
      </c>
      <c r="B29" s="118">
        <f>IF($BA29="","",TODAY()-INDEX(업무일지!$B$5:$B$1004,$BA29))</f>
        <v/>
      </c>
      <c r="C29" s="137">
        <f>IF($BA29="","",INDEX(업무일지!$B$5:$B$1004,$BA29))</f>
        <v/>
      </c>
      <c r="D29" s="137">
        <f>IF($BA29="","",INDEX(업무일지!$C$5:$C$1004,$BA29))</f>
        <v/>
      </c>
      <c r="E29" s="136">
        <f>IF($BA29="","",INDEX(업무일지!$D$5:$D$1004,$BA29))</f>
        <v/>
      </c>
      <c r="F29" s="131">
        <f>IF($BA29="","",INDEX(업무일지!$E$5:$E$1004,$BA29))</f>
        <v/>
      </c>
      <c r="G29" s="136">
        <f>IF($BA29="","",INDEX(업무일지!$F$5:$F$1004,$BA29))</f>
        <v/>
      </c>
      <c r="H29" s="131">
        <f>IF($BA29="","",INDEX(업무일지!$H$5:$H$1004,$BA29))</f>
        <v/>
      </c>
      <c r="I29" s="136">
        <f>IF($BA29="","",INDEX(업무일지!$J$5:$J$1004,$BA29))</f>
        <v/>
      </c>
      <c r="J29" s="129">
        <f>IF($BA29="","",INDEX(업무일지!$Z$5:$Z$1004,$BA29))</f>
        <v/>
      </c>
      <c r="K29" s="131">
        <f>IF($BA29="","",INDEX(업무일지!$AC$5:$AC$1004,$BA29))</f>
        <v/>
      </c>
      <c r="L29" s="131">
        <f>IF($BA29="","",INDEX(업무일지!$AH$5:$AH$1004,$BA29))</f>
        <v/>
      </c>
      <c r="AZ29">
        <f>IF(AND(업무일지!$B33&lt;&gt;"",업무일지!$AG33="진행중"),MAX(0,TODAY()-업무일지!$B33)*10000+972,"")</f>
        <v/>
      </c>
      <c r="BA29">
        <f>IFERROR(MATCH(LARGE($AZ$1:$AZ$1000,16),$AZ$1:$AZ$1000,0),"")</f>
        <v/>
      </c>
      <c r="BB29">
        <f>IF(AND(일일실시사항!$B33&lt;&gt;"",일일실시사항!$J33="진행중"),MAX(0,TODAY()-일일실시사항!$B33)*10000+972,"")</f>
        <v/>
      </c>
    </row>
    <row r="30">
      <c r="A30" s="118">
        <f>IF($BA30="","",17)</f>
        <v/>
      </c>
      <c r="B30" s="118">
        <f>IF($BA30="","",TODAY()-INDEX(업무일지!$B$5:$B$1004,$BA30))</f>
        <v/>
      </c>
      <c r="C30" s="137">
        <f>IF($BA30="","",INDEX(업무일지!$B$5:$B$1004,$BA30))</f>
        <v/>
      </c>
      <c r="D30" s="137">
        <f>IF($BA30="","",INDEX(업무일지!$C$5:$C$1004,$BA30))</f>
        <v/>
      </c>
      <c r="E30" s="136">
        <f>IF($BA30="","",INDEX(업무일지!$D$5:$D$1004,$BA30))</f>
        <v/>
      </c>
      <c r="F30" s="131">
        <f>IF($BA30="","",INDEX(업무일지!$E$5:$E$1004,$BA30))</f>
        <v/>
      </c>
      <c r="G30" s="136">
        <f>IF($BA30="","",INDEX(업무일지!$F$5:$F$1004,$BA30))</f>
        <v/>
      </c>
      <c r="H30" s="131">
        <f>IF($BA30="","",INDEX(업무일지!$H$5:$H$1004,$BA30))</f>
        <v/>
      </c>
      <c r="I30" s="136">
        <f>IF($BA30="","",INDEX(업무일지!$J$5:$J$1004,$BA30))</f>
        <v/>
      </c>
      <c r="J30" s="129">
        <f>IF($BA30="","",INDEX(업무일지!$Z$5:$Z$1004,$BA30))</f>
        <v/>
      </c>
      <c r="K30" s="131">
        <f>IF($BA30="","",INDEX(업무일지!$AC$5:$AC$1004,$BA30))</f>
        <v/>
      </c>
      <c r="L30" s="131">
        <f>IF($BA30="","",INDEX(업무일지!$AH$5:$AH$1004,$BA30))</f>
        <v/>
      </c>
      <c r="AZ30">
        <f>IF(AND(업무일지!$B34&lt;&gt;"",업무일지!$AG34="진행중"),MAX(0,TODAY()-업무일지!$B34)*10000+971,"")</f>
        <v/>
      </c>
      <c r="BA30">
        <f>IFERROR(MATCH(LARGE($AZ$1:$AZ$1000,17),$AZ$1:$AZ$1000,0),"")</f>
        <v/>
      </c>
      <c r="BB30">
        <f>IF(AND(일일실시사항!$B34&lt;&gt;"",일일실시사항!$J34="진행중"),MAX(0,TODAY()-일일실시사항!$B34)*10000+971,"")</f>
        <v/>
      </c>
    </row>
    <row r="31">
      <c r="A31" s="118">
        <f>IF($BA31="","",18)</f>
        <v/>
      </c>
      <c r="B31" s="118">
        <f>IF($BA31="","",TODAY()-INDEX(업무일지!$B$5:$B$1004,$BA31))</f>
        <v/>
      </c>
      <c r="C31" s="137">
        <f>IF($BA31="","",INDEX(업무일지!$B$5:$B$1004,$BA31))</f>
        <v/>
      </c>
      <c r="D31" s="137">
        <f>IF($BA31="","",INDEX(업무일지!$C$5:$C$1004,$BA31))</f>
        <v/>
      </c>
      <c r="E31" s="136">
        <f>IF($BA31="","",INDEX(업무일지!$D$5:$D$1004,$BA31))</f>
        <v/>
      </c>
      <c r="F31" s="131">
        <f>IF($BA31="","",INDEX(업무일지!$E$5:$E$1004,$BA31))</f>
        <v/>
      </c>
      <c r="G31" s="136">
        <f>IF($BA31="","",INDEX(업무일지!$F$5:$F$1004,$BA31))</f>
        <v/>
      </c>
      <c r="H31" s="131">
        <f>IF($BA31="","",INDEX(업무일지!$H$5:$H$1004,$BA31))</f>
        <v/>
      </c>
      <c r="I31" s="136">
        <f>IF($BA31="","",INDEX(업무일지!$J$5:$J$1004,$BA31))</f>
        <v/>
      </c>
      <c r="J31" s="129">
        <f>IF($BA31="","",INDEX(업무일지!$Z$5:$Z$1004,$BA31))</f>
        <v/>
      </c>
      <c r="K31" s="131">
        <f>IF($BA31="","",INDEX(업무일지!$AC$5:$AC$1004,$BA31))</f>
        <v/>
      </c>
      <c r="L31" s="131">
        <f>IF($BA31="","",INDEX(업무일지!$AH$5:$AH$1004,$BA31))</f>
        <v/>
      </c>
      <c r="AZ31">
        <f>IF(AND(업무일지!$B35&lt;&gt;"",업무일지!$AG35="진행중"),MAX(0,TODAY()-업무일지!$B35)*10000+970,"")</f>
        <v/>
      </c>
      <c r="BA31">
        <f>IFERROR(MATCH(LARGE($AZ$1:$AZ$1000,18),$AZ$1:$AZ$1000,0),"")</f>
        <v/>
      </c>
      <c r="BB31">
        <f>IF(AND(일일실시사항!$B35&lt;&gt;"",일일실시사항!$J35="진행중"),MAX(0,TODAY()-일일실시사항!$B35)*10000+970,"")</f>
        <v/>
      </c>
    </row>
    <row r="32">
      <c r="A32" s="118">
        <f>IF($BA32="","",19)</f>
        <v/>
      </c>
      <c r="B32" s="118">
        <f>IF($BA32="","",TODAY()-INDEX(업무일지!$B$5:$B$1004,$BA32))</f>
        <v/>
      </c>
      <c r="C32" s="137">
        <f>IF($BA32="","",INDEX(업무일지!$B$5:$B$1004,$BA32))</f>
        <v/>
      </c>
      <c r="D32" s="137">
        <f>IF($BA32="","",INDEX(업무일지!$C$5:$C$1004,$BA32))</f>
        <v/>
      </c>
      <c r="E32" s="136">
        <f>IF($BA32="","",INDEX(업무일지!$D$5:$D$1004,$BA32))</f>
        <v/>
      </c>
      <c r="F32" s="131">
        <f>IF($BA32="","",INDEX(업무일지!$E$5:$E$1004,$BA32))</f>
        <v/>
      </c>
      <c r="G32" s="136">
        <f>IF($BA32="","",INDEX(업무일지!$F$5:$F$1004,$BA32))</f>
        <v/>
      </c>
      <c r="H32" s="131">
        <f>IF($BA32="","",INDEX(업무일지!$H$5:$H$1004,$BA32))</f>
        <v/>
      </c>
      <c r="I32" s="136">
        <f>IF($BA32="","",INDEX(업무일지!$J$5:$J$1004,$BA32))</f>
        <v/>
      </c>
      <c r="J32" s="129">
        <f>IF($BA32="","",INDEX(업무일지!$Z$5:$Z$1004,$BA32))</f>
        <v/>
      </c>
      <c r="K32" s="131">
        <f>IF($BA32="","",INDEX(업무일지!$AC$5:$AC$1004,$BA32))</f>
        <v/>
      </c>
      <c r="L32" s="131">
        <f>IF($BA32="","",INDEX(업무일지!$AH$5:$AH$1004,$BA32))</f>
        <v/>
      </c>
      <c r="AZ32">
        <f>IF(AND(업무일지!$B36&lt;&gt;"",업무일지!$AG36="진행중"),MAX(0,TODAY()-업무일지!$B36)*10000+969,"")</f>
        <v/>
      </c>
      <c r="BA32">
        <f>IFERROR(MATCH(LARGE($AZ$1:$AZ$1000,19),$AZ$1:$AZ$1000,0),"")</f>
        <v/>
      </c>
      <c r="BB32">
        <f>IF(AND(일일실시사항!$B36&lt;&gt;"",일일실시사항!$J36="진행중"),MAX(0,TODAY()-일일실시사항!$B36)*10000+969,"")</f>
        <v/>
      </c>
    </row>
    <row r="33">
      <c r="A33" s="118">
        <f>IF($BA33="","",20)</f>
        <v/>
      </c>
      <c r="B33" s="118">
        <f>IF($BA33="","",TODAY()-INDEX(업무일지!$B$5:$B$1004,$BA33))</f>
        <v/>
      </c>
      <c r="C33" s="137">
        <f>IF($BA33="","",INDEX(업무일지!$B$5:$B$1004,$BA33))</f>
        <v/>
      </c>
      <c r="D33" s="137">
        <f>IF($BA33="","",INDEX(업무일지!$C$5:$C$1004,$BA33))</f>
        <v/>
      </c>
      <c r="E33" s="136">
        <f>IF($BA33="","",INDEX(업무일지!$D$5:$D$1004,$BA33))</f>
        <v/>
      </c>
      <c r="F33" s="131">
        <f>IF($BA33="","",INDEX(업무일지!$E$5:$E$1004,$BA33))</f>
        <v/>
      </c>
      <c r="G33" s="136">
        <f>IF($BA33="","",INDEX(업무일지!$F$5:$F$1004,$BA33))</f>
        <v/>
      </c>
      <c r="H33" s="131">
        <f>IF($BA33="","",INDEX(업무일지!$H$5:$H$1004,$BA33))</f>
        <v/>
      </c>
      <c r="I33" s="136">
        <f>IF($BA33="","",INDEX(업무일지!$J$5:$J$1004,$BA33))</f>
        <v/>
      </c>
      <c r="J33" s="129">
        <f>IF($BA33="","",INDEX(업무일지!$Z$5:$Z$1004,$BA33))</f>
        <v/>
      </c>
      <c r="K33" s="131">
        <f>IF($BA33="","",INDEX(업무일지!$AC$5:$AC$1004,$BA33))</f>
        <v/>
      </c>
      <c r="L33" s="131">
        <f>IF($BA33="","",INDEX(업무일지!$AH$5:$AH$1004,$BA33))</f>
        <v/>
      </c>
      <c r="AZ33">
        <f>IF(AND(업무일지!$B37&lt;&gt;"",업무일지!$AG37="진행중"),MAX(0,TODAY()-업무일지!$B37)*10000+968,"")</f>
        <v/>
      </c>
      <c r="BA33">
        <f>IFERROR(MATCH(LARGE($AZ$1:$AZ$1000,20),$AZ$1:$AZ$1000,0),"")</f>
        <v/>
      </c>
      <c r="BB33">
        <f>IF(AND(일일실시사항!$B37&lt;&gt;"",일일실시사항!$J37="진행중"),MAX(0,TODAY()-일일실시사항!$B37)*10000+968,"")</f>
        <v/>
      </c>
    </row>
    <row r="34">
      <c r="A34" s="118">
        <f>IF($BA34="","",21)</f>
        <v/>
      </c>
      <c r="B34" s="118">
        <f>IF($BA34="","",TODAY()-INDEX(업무일지!$B$5:$B$1004,$BA34))</f>
        <v/>
      </c>
      <c r="C34" s="137">
        <f>IF($BA34="","",INDEX(업무일지!$B$5:$B$1004,$BA34))</f>
        <v/>
      </c>
      <c r="D34" s="137">
        <f>IF($BA34="","",INDEX(업무일지!$C$5:$C$1004,$BA34))</f>
        <v/>
      </c>
      <c r="E34" s="136">
        <f>IF($BA34="","",INDEX(업무일지!$D$5:$D$1004,$BA34))</f>
        <v/>
      </c>
      <c r="F34" s="131">
        <f>IF($BA34="","",INDEX(업무일지!$E$5:$E$1004,$BA34))</f>
        <v/>
      </c>
      <c r="G34" s="136">
        <f>IF($BA34="","",INDEX(업무일지!$F$5:$F$1004,$BA34))</f>
        <v/>
      </c>
      <c r="H34" s="131">
        <f>IF($BA34="","",INDEX(업무일지!$H$5:$H$1004,$BA34))</f>
        <v/>
      </c>
      <c r="I34" s="136">
        <f>IF($BA34="","",INDEX(업무일지!$J$5:$J$1004,$BA34))</f>
        <v/>
      </c>
      <c r="J34" s="129">
        <f>IF($BA34="","",INDEX(업무일지!$Z$5:$Z$1004,$BA34))</f>
        <v/>
      </c>
      <c r="K34" s="131">
        <f>IF($BA34="","",INDEX(업무일지!$AC$5:$AC$1004,$BA34))</f>
        <v/>
      </c>
      <c r="L34" s="131">
        <f>IF($BA34="","",INDEX(업무일지!$AH$5:$AH$1004,$BA34))</f>
        <v/>
      </c>
      <c r="AZ34">
        <f>IF(AND(업무일지!$B38&lt;&gt;"",업무일지!$AG38="진행중"),MAX(0,TODAY()-업무일지!$B38)*10000+967,"")</f>
        <v/>
      </c>
      <c r="BA34">
        <f>IFERROR(MATCH(LARGE($AZ$1:$AZ$1000,21),$AZ$1:$AZ$1000,0),"")</f>
        <v/>
      </c>
      <c r="BB34">
        <f>IF(AND(일일실시사항!$B38&lt;&gt;"",일일실시사항!$J38="진행중"),MAX(0,TODAY()-일일실시사항!$B38)*10000+967,"")</f>
        <v/>
      </c>
    </row>
    <row r="35">
      <c r="A35" s="118">
        <f>IF($BA35="","",22)</f>
        <v/>
      </c>
      <c r="B35" s="118">
        <f>IF($BA35="","",TODAY()-INDEX(업무일지!$B$5:$B$1004,$BA35))</f>
        <v/>
      </c>
      <c r="C35" s="137">
        <f>IF($BA35="","",INDEX(업무일지!$B$5:$B$1004,$BA35))</f>
        <v/>
      </c>
      <c r="D35" s="137">
        <f>IF($BA35="","",INDEX(업무일지!$C$5:$C$1004,$BA35))</f>
        <v/>
      </c>
      <c r="E35" s="136">
        <f>IF($BA35="","",INDEX(업무일지!$D$5:$D$1004,$BA35))</f>
        <v/>
      </c>
      <c r="F35" s="131">
        <f>IF($BA35="","",INDEX(업무일지!$E$5:$E$1004,$BA35))</f>
        <v/>
      </c>
      <c r="G35" s="136">
        <f>IF($BA35="","",INDEX(업무일지!$F$5:$F$1004,$BA35))</f>
        <v/>
      </c>
      <c r="H35" s="131">
        <f>IF($BA35="","",INDEX(업무일지!$H$5:$H$1004,$BA35))</f>
        <v/>
      </c>
      <c r="I35" s="136">
        <f>IF($BA35="","",INDEX(업무일지!$J$5:$J$1004,$BA35))</f>
        <v/>
      </c>
      <c r="J35" s="129">
        <f>IF($BA35="","",INDEX(업무일지!$Z$5:$Z$1004,$BA35))</f>
        <v/>
      </c>
      <c r="K35" s="131">
        <f>IF($BA35="","",INDEX(업무일지!$AC$5:$AC$1004,$BA35))</f>
        <v/>
      </c>
      <c r="L35" s="131">
        <f>IF($BA35="","",INDEX(업무일지!$AH$5:$AH$1004,$BA35))</f>
        <v/>
      </c>
      <c r="AZ35">
        <f>IF(AND(업무일지!$B39&lt;&gt;"",업무일지!$AG39="진행중"),MAX(0,TODAY()-업무일지!$B39)*10000+966,"")</f>
        <v/>
      </c>
      <c r="BA35">
        <f>IFERROR(MATCH(LARGE($AZ$1:$AZ$1000,22),$AZ$1:$AZ$1000,0),"")</f>
        <v/>
      </c>
      <c r="BB35">
        <f>IF(AND(일일실시사항!$B39&lt;&gt;"",일일실시사항!$J39="진행중"),MAX(0,TODAY()-일일실시사항!$B39)*10000+966,"")</f>
        <v/>
      </c>
    </row>
    <row r="36">
      <c r="A36" s="118">
        <f>IF($BA36="","",23)</f>
        <v/>
      </c>
      <c r="B36" s="118">
        <f>IF($BA36="","",TODAY()-INDEX(업무일지!$B$5:$B$1004,$BA36))</f>
        <v/>
      </c>
      <c r="C36" s="137">
        <f>IF($BA36="","",INDEX(업무일지!$B$5:$B$1004,$BA36))</f>
        <v/>
      </c>
      <c r="D36" s="137">
        <f>IF($BA36="","",INDEX(업무일지!$C$5:$C$1004,$BA36))</f>
        <v/>
      </c>
      <c r="E36" s="136">
        <f>IF($BA36="","",INDEX(업무일지!$D$5:$D$1004,$BA36))</f>
        <v/>
      </c>
      <c r="F36" s="131">
        <f>IF($BA36="","",INDEX(업무일지!$E$5:$E$1004,$BA36))</f>
        <v/>
      </c>
      <c r="G36" s="136">
        <f>IF($BA36="","",INDEX(업무일지!$F$5:$F$1004,$BA36))</f>
        <v/>
      </c>
      <c r="H36" s="131">
        <f>IF($BA36="","",INDEX(업무일지!$H$5:$H$1004,$BA36))</f>
        <v/>
      </c>
      <c r="I36" s="136">
        <f>IF($BA36="","",INDEX(업무일지!$J$5:$J$1004,$BA36))</f>
        <v/>
      </c>
      <c r="J36" s="129">
        <f>IF($BA36="","",INDEX(업무일지!$Z$5:$Z$1004,$BA36))</f>
        <v/>
      </c>
      <c r="K36" s="131">
        <f>IF($BA36="","",INDEX(업무일지!$AC$5:$AC$1004,$BA36))</f>
        <v/>
      </c>
      <c r="L36" s="131">
        <f>IF($BA36="","",INDEX(업무일지!$AH$5:$AH$1004,$BA36))</f>
        <v/>
      </c>
      <c r="AZ36">
        <f>IF(AND(업무일지!$B40&lt;&gt;"",업무일지!$AG40="진행중"),MAX(0,TODAY()-업무일지!$B40)*10000+965,"")</f>
        <v/>
      </c>
      <c r="BA36">
        <f>IFERROR(MATCH(LARGE($AZ$1:$AZ$1000,23),$AZ$1:$AZ$1000,0),"")</f>
        <v/>
      </c>
      <c r="BB36">
        <f>IF(AND(일일실시사항!$B40&lt;&gt;"",일일실시사항!$J40="진행중"),MAX(0,TODAY()-일일실시사항!$B40)*10000+965,"")</f>
        <v/>
      </c>
    </row>
    <row r="37">
      <c r="A37" s="118">
        <f>IF($BA37="","",24)</f>
        <v/>
      </c>
      <c r="B37" s="118">
        <f>IF($BA37="","",TODAY()-INDEX(업무일지!$B$5:$B$1004,$BA37))</f>
        <v/>
      </c>
      <c r="C37" s="137">
        <f>IF($BA37="","",INDEX(업무일지!$B$5:$B$1004,$BA37))</f>
        <v/>
      </c>
      <c r="D37" s="137">
        <f>IF($BA37="","",INDEX(업무일지!$C$5:$C$1004,$BA37))</f>
        <v/>
      </c>
      <c r="E37" s="136">
        <f>IF($BA37="","",INDEX(업무일지!$D$5:$D$1004,$BA37))</f>
        <v/>
      </c>
      <c r="F37" s="131">
        <f>IF($BA37="","",INDEX(업무일지!$E$5:$E$1004,$BA37))</f>
        <v/>
      </c>
      <c r="G37" s="136">
        <f>IF($BA37="","",INDEX(업무일지!$F$5:$F$1004,$BA37))</f>
        <v/>
      </c>
      <c r="H37" s="131">
        <f>IF($BA37="","",INDEX(업무일지!$H$5:$H$1004,$BA37))</f>
        <v/>
      </c>
      <c r="I37" s="136">
        <f>IF($BA37="","",INDEX(업무일지!$J$5:$J$1004,$BA37))</f>
        <v/>
      </c>
      <c r="J37" s="129">
        <f>IF($BA37="","",INDEX(업무일지!$Z$5:$Z$1004,$BA37))</f>
        <v/>
      </c>
      <c r="K37" s="131">
        <f>IF($BA37="","",INDEX(업무일지!$AC$5:$AC$1004,$BA37))</f>
        <v/>
      </c>
      <c r="L37" s="131">
        <f>IF($BA37="","",INDEX(업무일지!$AH$5:$AH$1004,$BA37))</f>
        <v/>
      </c>
      <c r="AZ37">
        <f>IF(AND(업무일지!$B41&lt;&gt;"",업무일지!$AG41="진행중"),MAX(0,TODAY()-업무일지!$B41)*10000+964,"")</f>
        <v/>
      </c>
      <c r="BA37">
        <f>IFERROR(MATCH(LARGE($AZ$1:$AZ$1000,24),$AZ$1:$AZ$1000,0),"")</f>
        <v/>
      </c>
      <c r="BB37">
        <f>IF(AND(일일실시사항!$B41&lt;&gt;"",일일실시사항!$J41="진행중"),MAX(0,TODAY()-일일실시사항!$B41)*10000+964,"")</f>
        <v/>
      </c>
    </row>
    <row r="38">
      <c r="A38" s="118">
        <f>IF($BA38="","",25)</f>
        <v/>
      </c>
      <c r="B38" s="118">
        <f>IF($BA38="","",TODAY()-INDEX(업무일지!$B$5:$B$1004,$BA38))</f>
        <v/>
      </c>
      <c r="C38" s="137">
        <f>IF($BA38="","",INDEX(업무일지!$B$5:$B$1004,$BA38))</f>
        <v/>
      </c>
      <c r="D38" s="137">
        <f>IF($BA38="","",INDEX(업무일지!$C$5:$C$1004,$BA38))</f>
        <v/>
      </c>
      <c r="E38" s="136">
        <f>IF($BA38="","",INDEX(업무일지!$D$5:$D$1004,$BA38))</f>
        <v/>
      </c>
      <c r="F38" s="131">
        <f>IF($BA38="","",INDEX(업무일지!$E$5:$E$1004,$BA38))</f>
        <v/>
      </c>
      <c r="G38" s="136">
        <f>IF($BA38="","",INDEX(업무일지!$F$5:$F$1004,$BA38))</f>
        <v/>
      </c>
      <c r="H38" s="131">
        <f>IF($BA38="","",INDEX(업무일지!$H$5:$H$1004,$BA38))</f>
        <v/>
      </c>
      <c r="I38" s="136">
        <f>IF($BA38="","",INDEX(업무일지!$J$5:$J$1004,$BA38))</f>
        <v/>
      </c>
      <c r="J38" s="129">
        <f>IF($BA38="","",INDEX(업무일지!$Z$5:$Z$1004,$BA38))</f>
        <v/>
      </c>
      <c r="K38" s="131">
        <f>IF($BA38="","",INDEX(업무일지!$AC$5:$AC$1004,$BA38))</f>
        <v/>
      </c>
      <c r="L38" s="131">
        <f>IF($BA38="","",INDEX(업무일지!$AH$5:$AH$1004,$BA38))</f>
        <v/>
      </c>
      <c r="AZ38">
        <f>IF(AND(업무일지!$B42&lt;&gt;"",업무일지!$AG42="진행중"),MAX(0,TODAY()-업무일지!$B42)*10000+963,"")</f>
        <v/>
      </c>
      <c r="BA38">
        <f>IFERROR(MATCH(LARGE($AZ$1:$AZ$1000,25),$AZ$1:$AZ$1000,0),"")</f>
        <v/>
      </c>
      <c r="BB38">
        <f>IF(AND(일일실시사항!$B42&lt;&gt;"",일일실시사항!$J42="진행중"),MAX(0,TODAY()-일일실시사항!$B42)*10000+963,"")</f>
        <v/>
      </c>
    </row>
    <row r="39">
      <c r="A39" s="118">
        <f>IF($BA39="","",26)</f>
        <v/>
      </c>
      <c r="B39" s="118">
        <f>IF($BA39="","",TODAY()-INDEX(업무일지!$B$5:$B$1004,$BA39))</f>
        <v/>
      </c>
      <c r="C39" s="137">
        <f>IF($BA39="","",INDEX(업무일지!$B$5:$B$1004,$BA39))</f>
        <v/>
      </c>
      <c r="D39" s="137">
        <f>IF($BA39="","",INDEX(업무일지!$C$5:$C$1004,$BA39))</f>
        <v/>
      </c>
      <c r="E39" s="136">
        <f>IF($BA39="","",INDEX(업무일지!$D$5:$D$1004,$BA39))</f>
        <v/>
      </c>
      <c r="F39" s="131">
        <f>IF($BA39="","",INDEX(업무일지!$E$5:$E$1004,$BA39))</f>
        <v/>
      </c>
      <c r="G39" s="136">
        <f>IF($BA39="","",INDEX(업무일지!$F$5:$F$1004,$BA39))</f>
        <v/>
      </c>
      <c r="H39" s="131">
        <f>IF($BA39="","",INDEX(업무일지!$H$5:$H$1004,$BA39))</f>
        <v/>
      </c>
      <c r="I39" s="136">
        <f>IF($BA39="","",INDEX(업무일지!$J$5:$J$1004,$BA39))</f>
        <v/>
      </c>
      <c r="J39" s="129">
        <f>IF($BA39="","",INDEX(업무일지!$Z$5:$Z$1004,$BA39))</f>
        <v/>
      </c>
      <c r="K39" s="131">
        <f>IF($BA39="","",INDEX(업무일지!$AC$5:$AC$1004,$BA39))</f>
        <v/>
      </c>
      <c r="L39" s="131">
        <f>IF($BA39="","",INDEX(업무일지!$AH$5:$AH$1004,$BA39))</f>
        <v/>
      </c>
      <c r="AZ39">
        <f>IF(AND(업무일지!$B43&lt;&gt;"",업무일지!$AG43="진행중"),MAX(0,TODAY()-업무일지!$B43)*10000+962,"")</f>
        <v/>
      </c>
      <c r="BA39">
        <f>IFERROR(MATCH(LARGE($AZ$1:$AZ$1000,26),$AZ$1:$AZ$1000,0),"")</f>
        <v/>
      </c>
      <c r="BB39">
        <f>IF(AND(일일실시사항!$B43&lt;&gt;"",일일실시사항!$J43="진행중"),MAX(0,TODAY()-일일실시사항!$B43)*10000+962,"")</f>
        <v/>
      </c>
    </row>
    <row r="40">
      <c r="A40" s="118">
        <f>IF($BA40="","",27)</f>
        <v/>
      </c>
      <c r="B40" s="118">
        <f>IF($BA40="","",TODAY()-INDEX(업무일지!$B$5:$B$1004,$BA40))</f>
        <v/>
      </c>
      <c r="C40" s="137">
        <f>IF($BA40="","",INDEX(업무일지!$B$5:$B$1004,$BA40))</f>
        <v/>
      </c>
      <c r="D40" s="137">
        <f>IF($BA40="","",INDEX(업무일지!$C$5:$C$1004,$BA40))</f>
        <v/>
      </c>
      <c r="E40" s="136">
        <f>IF($BA40="","",INDEX(업무일지!$D$5:$D$1004,$BA40))</f>
        <v/>
      </c>
      <c r="F40" s="131">
        <f>IF($BA40="","",INDEX(업무일지!$E$5:$E$1004,$BA40))</f>
        <v/>
      </c>
      <c r="G40" s="136">
        <f>IF($BA40="","",INDEX(업무일지!$F$5:$F$1004,$BA40))</f>
        <v/>
      </c>
      <c r="H40" s="131">
        <f>IF($BA40="","",INDEX(업무일지!$H$5:$H$1004,$BA40))</f>
        <v/>
      </c>
      <c r="I40" s="136">
        <f>IF($BA40="","",INDEX(업무일지!$J$5:$J$1004,$BA40))</f>
        <v/>
      </c>
      <c r="J40" s="129">
        <f>IF($BA40="","",INDEX(업무일지!$Z$5:$Z$1004,$BA40))</f>
        <v/>
      </c>
      <c r="K40" s="131">
        <f>IF($BA40="","",INDEX(업무일지!$AC$5:$AC$1004,$BA40))</f>
        <v/>
      </c>
      <c r="L40" s="131">
        <f>IF($BA40="","",INDEX(업무일지!$AH$5:$AH$1004,$BA40))</f>
        <v/>
      </c>
      <c r="AZ40">
        <f>IF(AND(업무일지!$B44&lt;&gt;"",업무일지!$AG44="진행중"),MAX(0,TODAY()-업무일지!$B44)*10000+961,"")</f>
        <v/>
      </c>
      <c r="BA40">
        <f>IFERROR(MATCH(LARGE($AZ$1:$AZ$1000,27),$AZ$1:$AZ$1000,0),"")</f>
        <v/>
      </c>
      <c r="BB40">
        <f>IF(AND(일일실시사항!$B44&lt;&gt;"",일일실시사항!$J44="진행중"),MAX(0,TODAY()-일일실시사항!$B44)*10000+961,"")</f>
        <v/>
      </c>
    </row>
    <row r="41">
      <c r="A41" s="118">
        <f>IF($BA41="","",28)</f>
        <v/>
      </c>
      <c r="B41" s="118">
        <f>IF($BA41="","",TODAY()-INDEX(업무일지!$B$5:$B$1004,$BA41))</f>
        <v/>
      </c>
      <c r="C41" s="137">
        <f>IF($BA41="","",INDEX(업무일지!$B$5:$B$1004,$BA41))</f>
        <v/>
      </c>
      <c r="D41" s="137">
        <f>IF($BA41="","",INDEX(업무일지!$C$5:$C$1004,$BA41))</f>
        <v/>
      </c>
      <c r="E41" s="136">
        <f>IF($BA41="","",INDEX(업무일지!$D$5:$D$1004,$BA41))</f>
        <v/>
      </c>
      <c r="F41" s="131">
        <f>IF($BA41="","",INDEX(업무일지!$E$5:$E$1004,$BA41))</f>
        <v/>
      </c>
      <c r="G41" s="136">
        <f>IF($BA41="","",INDEX(업무일지!$F$5:$F$1004,$BA41))</f>
        <v/>
      </c>
      <c r="H41" s="131">
        <f>IF($BA41="","",INDEX(업무일지!$H$5:$H$1004,$BA41))</f>
        <v/>
      </c>
      <c r="I41" s="136">
        <f>IF($BA41="","",INDEX(업무일지!$J$5:$J$1004,$BA41))</f>
        <v/>
      </c>
      <c r="J41" s="129">
        <f>IF($BA41="","",INDEX(업무일지!$Z$5:$Z$1004,$BA41))</f>
        <v/>
      </c>
      <c r="K41" s="131">
        <f>IF($BA41="","",INDEX(업무일지!$AC$5:$AC$1004,$BA41))</f>
        <v/>
      </c>
      <c r="L41" s="131">
        <f>IF($BA41="","",INDEX(업무일지!$AH$5:$AH$1004,$BA41))</f>
        <v/>
      </c>
      <c r="AZ41">
        <f>IF(AND(업무일지!$B45&lt;&gt;"",업무일지!$AG45="진행중"),MAX(0,TODAY()-업무일지!$B45)*10000+960,"")</f>
        <v/>
      </c>
      <c r="BA41">
        <f>IFERROR(MATCH(LARGE($AZ$1:$AZ$1000,28),$AZ$1:$AZ$1000,0),"")</f>
        <v/>
      </c>
      <c r="BB41">
        <f>IF(AND(일일실시사항!$B45&lt;&gt;"",일일실시사항!$J45="진행중"),MAX(0,TODAY()-일일실시사항!$B45)*10000+960,"")</f>
        <v/>
      </c>
    </row>
    <row r="42">
      <c r="A42" s="118">
        <f>IF($BA42="","",29)</f>
        <v/>
      </c>
      <c r="B42" s="118">
        <f>IF($BA42="","",TODAY()-INDEX(업무일지!$B$5:$B$1004,$BA42))</f>
        <v/>
      </c>
      <c r="C42" s="137">
        <f>IF($BA42="","",INDEX(업무일지!$B$5:$B$1004,$BA42))</f>
        <v/>
      </c>
      <c r="D42" s="137">
        <f>IF($BA42="","",INDEX(업무일지!$C$5:$C$1004,$BA42))</f>
        <v/>
      </c>
      <c r="E42" s="136">
        <f>IF($BA42="","",INDEX(업무일지!$D$5:$D$1004,$BA42))</f>
        <v/>
      </c>
      <c r="F42" s="131">
        <f>IF($BA42="","",INDEX(업무일지!$E$5:$E$1004,$BA42))</f>
        <v/>
      </c>
      <c r="G42" s="136">
        <f>IF($BA42="","",INDEX(업무일지!$F$5:$F$1004,$BA42))</f>
        <v/>
      </c>
      <c r="H42" s="131">
        <f>IF($BA42="","",INDEX(업무일지!$H$5:$H$1004,$BA42))</f>
        <v/>
      </c>
      <c r="I42" s="136">
        <f>IF($BA42="","",INDEX(업무일지!$J$5:$J$1004,$BA42))</f>
        <v/>
      </c>
      <c r="J42" s="129">
        <f>IF($BA42="","",INDEX(업무일지!$Z$5:$Z$1004,$BA42))</f>
        <v/>
      </c>
      <c r="K42" s="131">
        <f>IF($BA42="","",INDEX(업무일지!$AC$5:$AC$1004,$BA42))</f>
        <v/>
      </c>
      <c r="L42" s="131">
        <f>IF($BA42="","",INDEX(업무일지!$AH$5:$AH$1004,$BA42))</f>
        <v/>
      </c>
      <c r="AZ42">
        <f>IF(AND(업무일지!$B46&lt;&gt;"",업무일지!$AG46="진행중"),MAX(0,TODAY()-업무일지!$B46)*10000+959,"")</f>
        <v/>
      </c>
      <c r="BA42">
        <f>IFERROR(MATCH(LARGE($AZ$1:$AZ$1000,29),$AZ$1:$AZ$1000,0),"")</f>
        <v/>
      </c>
      <c r="BB42">
        <f>IF(AND(일일실시사항!$B46&lt;&gt;"",일일실시사항!$J46="진행중"),MAX(0,TODAY()-일일실시사항!$B46)*10000+959,"")</f>
        <v/>
      </c>
    </row>
    <row r="43">
      <c r="A43" s="118">
        <f>IF($BA43="","",30)</f>
        <v/>
      </c>
      <c r="B43" s="118">
        <f>IF($BA43="","",TODAY()-INDEX(업무일지!$B$5:$B$1004,$BA43))</f>
        <v/>
      </c>
      <c r="C43" s="137">
        <f>IF($BA43="","",INDEX(업무일지!$B$5:$B$1004,$BA43))</f>
        <v/>
      </c>
      <c r="D43" s="137">
        <f>IF($BA43="","",INDEX(업무일지!$C$5:$C$1004,$BA43))</f>
        <v/>
      </c>
      <c r="E43" s="136">
        <f>IF($BA43="","",INDEX(업무일지!$D$5:$D$1004,$BA43))</f>
        <v/>
      </c>
      <c r="F43" s="131">
        <f>IF($BA43="","",INDEX(업무일지!$E$5:$E$1004,$BA43))</f>
        <v/>
      </c>
      <c r="G43" s="136">
        <f>IF($BA43="","",INDEX(업무일지!$F$5:$F$1004,$BA43))</f>
        <v/>
      </c>
      <c r="H43" s="131">
        <f>IF($BA43="","",INDEX(업무일지!$H$5:$H$1004,$BA43))</f>
        <v/>
      </c>
      <c r="I43" s="136">
        <f>IF($BA43="","",INDEX(업무일지!$J$5:$J$1004,$BA43))</f>
        <v/>
      </c>
      <c r="J43" s="129">
        <f>IF($BA43="","",INDEX(업무일지!$Z$5:$Z$1004,$BA43))</f>
        <v/>
      </c>
      <c r="K43" s="131">
        <f>IF($BA43="","",INDEX(업무일지!$AC$5:$AC$1004,$BA43))</f>
        <v/>
      </c>
      <c r="L43" s="131">
        <f>IF($BA43="","",INDEX(업무일지!$AH$5:$AH$1004,$BA43))</f>
        <v/>
      </c>
      <c r="AZ43">
        <f>IF(AND(업무일지!$B47&lt;&gt;"",업무일지!$AG47="진행중"),MAX(0,TODAY()-업무일지!$B47)*10000+958,"")</f>
        <v/>
      </c>
      <c r="BA43">
        <f>IFERROR(MATCH(LARGE($AZ$1:$AZ$1000,30),$AZ$1:$AZ$1000,0),"")</f>
        <v/>
      </c>
      <c r="BB43">
        <f>IF(AND(일일실시사항!$B47&lt;&gt;"",일일실시사항!$J47="진행중"),MAX(0,TODAY()-일일실시사항!$B47)*10000+958,"")</f>
        <v/>
      </c>
    </row>
    <row r="44">
      <c r="A44" s="118">
        <f>IF($BA44="","",31)</f>
        <v/>
      </c>
      <c r="B44" s="118">
        <f>IF($BA44="","",TODAY()-INDEX(업무일지!$B$5:$B$1004,$BA44))</f>
        <v/>
      </c>
      <c r="C44" s="137">
        <f>IF($BA44="","",INDEX(업무일지!$B$5:$B$1004,$BA44))</f>
        <v/>
      </c>
      <c r="D44" s="137">
        <f>IF($BA44="","",INDEX(업무일지!$C$5:$C$1004,$BA44))</f>
        <v/>
      </c>
      <c r="E44" s="136">
        <f>IF($BA44="","",INDEX(업무일지!$D$5:$D$1004,$BA44))</f>
        <v/>
      </c>
      <c r="F44" s="131">
        <f>IF($BA44="","",INDEX(업무일지!$E$5:$E$1004,$BA44))</f>
        <v/>
      </c>
      <c r="G44" s="136">
        <f>IF($BA44="","",INDEX(업무일지!$F$5:$F$1004,$BA44))</f>
        <v/>
      </c>
      <c r="H44" s="131">
        <f>IF($BA44="","",INDEX(업무일지!$H$5:$H$1004,$BA44))</f>
        <v/>
      </c>
      <c r="I44" s="136">
        <f>IF($BA44="","",INDEX(업무일지!$J$5:$J$1004,$BA44))</f>
        <v/>
      </c>
      <c r="J44" s="129">
        <f>IF($BA44="","",INDEX(업무일지!$Z$5:$Z$1004,$BA44))</f>
        <v/>
      </c>
      <c r="K44" s="131">
        <f>IF($BA44="","",INDEX(업무일지!$AC$5:$AC$1004,$BA44))</f>
        <v/>
      </c>
      <c r="L44" s="131">
        <f>IF($BA44="","",INDEX(업무일지!$AH$5:$AH$1004,$BA44))</f>
        <v/>
      </c>
      <c r="AZ44">
        <f>IF(AND(업무일지!$B48&lt;&gt;"",업무일지!$AG48="진행중"),MAX(0,TODAY()-업무일지!$B48)*10000+957,"")</f>
        <v/>
      </c>
      <c r="BA44">
        <f>IFERROR(MATCH(LARGE($AZ$1:$AZ$1000,31),$AZ$1:$AZ$1000,0),"")</f>
        <v/>
      </c>
      <c r="BB44">
        <f>IF(AND(일일실시사항!$B48&lt;&gt;"",일일실시사항!$J48="진행중"),MAX(0,TODAY()-일일실시사항!$B48)*10000+957,"")</f>
        <v/>
      </c>
    </row>
    <row r="45">
      <c r="A45" s="118">
        <f>IF($BA45="","",32)</f>
        <v/>
      </c>
      <c r="B45" s="118">
        <f>IF($BA45="","",TODAY()-INDEX(업무일지!$B$5:$B$1004,$BA45))</f>
        <v/>
      </c>
      <c r="C45" s="137">
        <f>IF($BA45="","",INDEX(업무일지!$B$5:$B$1004,$BA45))</f>
        <v/>
      </c>
      <c r="D45" s="137">
        <f>IF($BA45="","",INDEX(업무일지!$C$5:$C$1004,$BA45))</f>
        <v/>
      </c>
      <c r="E45" s="136">
        <f>IF($BA45="","",INDEX(업무일지!$D$5:$D$1004,$BA45))</f>
        <v/>
      </c>
      <c r="F45" s="131">
        <f>IF($BA45="","",INDEX(업무일지!$E$5:$E$1004,$BA45))</f>
        <v/>
      </c>
      <c r="G45" s="136">
        <f>IF($BA45="","",INDEX(업무일지!$F$5:$F$1004,$BA45))</f>
        <v/>
      </c>
      <c r="H45" s="131">
        <f>IF($BA45="","",INDEX(업무일지!$H$5:$H$1004,$BA45))</f>
        <v/>
      </c>
      <c r="I45" s="136">
        <f>IF($BA45="","",INDEX(업무일지!$J$5:$J$1004,$BA45))</f>
        <v/>
      </c>
      <c r="J45" s="129">
        <f>IF($BA45="","",INDEX(업무일지!$Z$5:$Z$1004,$BA45))</f>
        <v/>
      </c>
      <c r="K45" s="131">
        <f>IF($BA45="","",INDEX(업무일지!$AC$5:$AC$1004,$BA45))</f>
        <v/>
      </c>
      <c r="L45" s="131">
        <f>IF($BA45="","",INDEX(업무일지!$AH$5:$AH$1004,$BA45))</f>
        <v/>
      </c>
      <c r="AZ45">
        <f>IF(AND(업무일지!$B49&lt;&gt;"",업무일지!$AG49="진행중"),MAX(0,TODAY()-업무일지!$B49)*10000+956,"")</f>
        <v/>
      </c>
      <c r="BA45">
        <f>IFERROR(MATCH(LARGE($AZ$1:$AZ$1000,32),$AZ$1:$AZ$1000,0),"")</f>
        <v/>
      </c>
      <c r="BB45">
        <f>IF(AND(일일실시사항!$B49&lt;&gt;"",일일실시사항!$J49="진행중"),MAX(0,TODAY()-일일실시사항!$B49)*10000+956,"")</f>
        <v/>
      </c>
    </row>
    <row r="46">
      <c r="A46" s="118">
        <f>IF($BA46="","",33)</f>
        <v/>
      </c>
      <c r="B46" s="118">
        <f>IF($BA46="","",TODAY()-INDEX(업무일지!$B$5:$B$1004,$BA46))</f>
        <v/>
      </c>
      <c r="C46" s="137">
        <f>IF($BA46="","",INDEX(업무일지!$B$5:$B$1004,$BA46))</f>
        <v/>
      </c>
      <c r="D46" s="137">
        <f>IF($BA46="","",INDEX(업무일지!$C$5:$C$1004,$BA46))</f>
        <v/>
      </c>
      <c r="E46" s="136">
        <f>IF($BA46="","",INDEX(업무일지!$D$5:$D$1004,$BA46))</f>
        <v/>
      </c>
      <c r="F46" s="131">
        <f>IF($BA46="","",INDEX(업무일지!$E$5:$E$1004,$BA46))</f>
        <v/>
      </c>
      <c r="G46" s="136">
        <f>IF($BA46="","",INDEX(업무일지!$F$5:$F$1004,$BA46))</f>
        <v/>
      </c>
      <c r="H46" s="131">
        <f>IF($BA46="","",INDEX(업무일지!$H$5:$H$1004,$BA46))</f>
        <v/>
      </c>
      <c r="I46" s="136">
        <f>IF($BA46="","",INDEX(업무일지!$J$5:$J$1004,$BA46))</f>
        <v/>
      </c>
      <c r="J46" s="129">
        <f>IF($BA46="","",INDEX(업무일지!$Z$5:$Z$1004,$BA46))</f>
        <v/>
      </c>
      <c r="K46" s="131">
        <f>IF($BA46="","",INDEX(업무일지!$AC$5:$AC$1004,$BA46))</f>
        <v/>
      </c>
      <c r="L46" s="131">
        <f>IF($BA46="","",INDEX(업무일지!$AH$5:$AH$1004,$BA46))</f>
        <v/>
      </c>
      <c r="AZ46">
        <f>IF(AND(업무일지!$B50&lt;&gt;"",업무일지!$AG50="진행중"),MAX(0,TODAY()-업무일지!$B50)*10000+955,"")</f>
        <v/>
      </c>
      <c r="BA46">
        <f>IFERROR(MATCH(LARGE($AZ$1:$AZ$1000,33),$AZ$1:$AZ$1000,0),"")</f>
        <v/>
      </c>
      <c r="BB46">
        <f>IF(AND(일일실시사항!$B50&lt;&gt;"",일일실시사항!$J50="진행중"),MAX(0,TODAY()-일일실시사항!$B50)*10000+955,"")</f>
        <v/>
      </c>
    </row>
    <row r="47">
      <c r="A47" s="118">
        <f>IF($BA47="","",34)</f>
        <v/>
      </c>
      <c r="B47" s="118">
        <f>IF($BA47="","",TODAY()-INDEX(업무일지!$B$5:$B$1004,$BA47))</f>
        <v/>
      </c>
      <c r="C47" s="137">
        <f>IF($BA47="","",INDEX(업무일지!$B$5:$B$1004,$BA47))</f>
        <v/>
      </c>
      <c r="D47" s="137">
        <f>IF($BA47="","",INDEX(업무일지!$C$5:$C$1004,$BA47))</f>
        <v/>
      </c>
      <c r="E47" s="136">
        <f>IF($BA47="","",INDEX(업무일지!$D$5:$D$1004,$BA47))</f>
        <v/>
      </c>
      <c r="F47" s="131">
        <f>IF($BA47="","",INDEX(업무일지!$E$5:$E$1004,$BA47))</f>
        <v/>
      </c>
      <c r="G47" s="136">
        <f>IF($BA47="","",INDEX(업무일지!$F$5:$F$1004,$BA47))</f>
        <v/>
      </c>
      <c r="H47" s="131">
        <f>IF($BA47="","",INDEX(업무일지!$H$5:$H$1004,$BA47))</f>
        <v/>
      </c>
      <c r="I47" s="136">
        <f>IF($BA47="","",INDEX(업무일지!$J$5:$J$1004,$BA47))</f>
        <v/>
      </c>
      <c r="J47" s="129">
        <f>IF($BA47="","",INDEX(업무일지!$Z$5:$Z$1004,$BA47))</f>
        <v/>
      </c>
      <c r="K47" s="131">
        <f>IF($BA47="","",INDEX(업무일지!$AC$5:$AC$1004,$BA47))</f>
        <v/>
      </c>
      <c r="L47" s="131">
        <f>IF($BA47="","",INDEX(업무일지!$AH$5:$AH$1004,$BA47))</f>
        <v/>
      </c>
      <c r="AZ47">
        <f>IF(AND(업무일지!$B51&lt;&gt;"",업무일지!$AG51="진행중"),MAX(0,TODAY()-업무일지!$B51)*10000+954,"")</f>
        <v/>
      </c>
      <c r="BA47">
        <f>IFERROR(MATCH(LARGE($AZ$1:$AZ$1000,34),$AZ$1:$AZ$1000,0),"")</f>
        <v/>
      </c>
      <c r="BB47">
        <f>IF(AND(일일실시사항!$B51&lt;&gt;"",일일실시사항!$J51="진행중"),MAX(0,TODAY()-일일실시사항!$B51)*10000+954,"")</f>
        <v/>
      </c>
    </row>
    <row r="48">
      <c r="A48" s="118">
        <f>IF($BA48="","",35)</f>
        <v/>
      </c>
      <c r="B48" s="118">
        <f>IF($BA48="","",TODAY()-INDEX(업무일지!$B$5:$B$1004,$BA48))</f>
        <v/>
      </c>
      <c r="C48" s="137">
        <f>IF($BA48="","",INDEX(업무일지!$B$5:$B$1004,$BA48))</f>
        <v/>
      </c>
      <c r="D48" s="137">
        <f>IF($BA48="","",INDEX(업무일지!$C$5:$C$1004,$BA48))</f>
        <v/>
      </c>
      <c r="E48" s="136">
        <f>IF($BA48="","",INDEX(업무일지!$D$5:$D$1004,$BA48))</f>
        <v/>
      </c>
      <c r="F48" s="131">
        <f>IF($BA48="","",INDEX(업무일지!$E$5:$E$1004,$BA48))</f>
        <v/>
      </c>
      <c r="G48" s="136">
        <f>IF($BA48="","",INDEX(업무일지!$F$5:$F$1004,$BA48))</f>
        <v/>
      </c>
      <c r="H48" s="131">
        <f>IF($BA48="","",INDEX(업무일지!$H$5:$H$1004,$BA48))</f>
        <v/>
      </c>
      <c r="I48" s="136">
        <f>IF($BA48="","",INDEX(업무일지!$J$5:$J$1004,$BA48))</f>
        <v/>
      </c>
      <c r="J48" s="129">
        <f>IF($BA48="","",INDEX(업무일지!$Z$5:$Z$1004,$BA48))</f>
        <v/>
      </c>
      <c r="K48" s="131">
        <f>IF($BA48="","",INDEX(업무일지!$AC$5:$AC$1004,$BA48))</f>
        <v/>
      </c>
      <c r="L48" s="131">
        <f>IF($BA48="","",INDEX(업무일지!$AH$5:$AH$1004,$BA48))</f>
        <v/>
      </c>
      <c r="AZ48">
        <f>IF(AND(업무일지!$B52&lt;&gt;"",업무일지!$AG52="진행중"),MAX(0,TODAY()-업무일지!$B52)*10000+953,"")</f>
        <v/>
      </c>
      <c r="BA48">
        <f>IFERROR(MATCH(LARGE($AZ$1:$AZ$1000,35),$AZ$1:$AZ$1000,0),"")</f>
        <v/>
      </c>
      <c r="BB48">
        <f>IF(AND(일일실시사항!$B52&lt;&gt;"",일일실시사항!$J52="진행중"),MAX(0,TODAY()-일일실시사항!$B52)*10000+953,"")</f>
        <v/>
      </c>
    </row>
    <row r="49">
      <c r="A49" s="118">
        <f>IF($BA49="","",36)</f>
        <v/>
      </c>
      <c r="B49" s="118">
        <f>IF($BA49="","",TODAY()-INDEX(업무일지!$B$5:$B$1004,$BA49))</f>
        <v/>
      </c>
      <c r="C49" s="137">
        <f>IF($BA49="","",INDEX(업무일지!$B$5:$B$1004,$BA49))</f>
        <v/>
      </c>
      <c r="D49" s="137">
        <f>IF($BA49="","",INDEX(업무일지!$C$5:$C$1004,$BA49))</f>
        <v/>
      </c>
      <c r="E49" s="136">
        <f>IF($BA49="","",INDEX(업무일지!$D$5:$D$1004,$BA49))</f>
        <v/>
      </c>
      <c r="F49" s="131">
        <f>IF($BA49="","",INDEX(업무일지!$E$5:$E$1004,$BA49))</f>
        <v/>
      </c>
      <c r="G49" s="136">
        <f>IF($BA49="","",INDEX(업무일지!$F$5:$F$1004,$BA49))</f>
        <v/>
      </c>
      <c r="H49" s="131">
        <f>IF($BA49="","",INDEX(업무일지!$H$5:$H$1004,$BA49))</f>
        <v/>
      </c>
      <c r="I49" s="136">
        <f>IF($BA49="","",INDEX(업무일지!$J$5:$J$1004,$BA49))</f>
        <v/>
      </c>
      <c r="J49" s="129">
        <f>IF($BA49="","",INDEX(업무일지!$Z$5:$Z$1004,$BA49))</f>
        <v/>
      </c>
      <c r="K49" s="131">
        <f>IF($BA49="","",INDEX(업무일지!$AC$5:$AC$1004,$BA49))</f>
        <v/>
      </c>
      <c r="L49" s="131">
        <f>IF($BA49="","",INDEX(업무일지!$AH$5:$AH$1004,$BA49))</f>
        <v/>
      </c>
      <c r="AZ49">
        <f>IF(AND(업무일지!$B53&lt;&gt;"",업무일지!$AG53="진행중"),MAX(0,TODAY()-업무일지!$B53)*10000+952,"")</f>
        <v/>
      </c>
      <c r="BA49">
        <f>IFERROR(MATCH(LARGE($AZ$1:$AZ$1000,36),$AZ$1:$AZ$1000,0),"")</f>
        <v/>
      </c>
      <c r="BB49">
        <f>IF(AND(일일실시사항!$B53&lt;&gt;"",일일실시사항!$J53="진행중"),MAX(0,TODAY()-일일실시사항!$B53)*10000+952,"")</f>
        <v/>
      </c>
    </row>
    <row r="50">
      <c r="A50" s="118">
        <f>IF($BA50="","",37)</f>
        <v/>
      </c>
      <c r="B50" s="118">
        <f>IF($BA50="","",TODAY()-INDEX(업무일지!$B$5:$B$1004,$BA50))</f>
        <v/>
      </c>
      <c r="C50" s="137">
        <f>IF($BA50="","",INDEX(업무일지!$B$5:$B$1004,$BA50))</f>
        <v/>
      </c>
      <c r="D50" s="137">
        <f>IF($BA50="","",INDEX(업무일지!$C$5:$C$1004,$BA50))</f>
        <v/>
      </c>
      <c r="E50" s="136">
        <f>IF($BA50="","",INDEX(업무일지!$D$5:$D$1004,$BA50))</f>
        <v/>
      </c>
      <c r="F50" s="131">
        <f>IF($BA50="","",INDEX(업무일지!$E$5:$E$1004,$BA50))</f>
        <v/>
      </c>
      <c r="G50" s="136">
        <f>IF($BA50="","",INDEX(업무일지!$F$5:$F$1004,$BA50))</f>
        <v/>
      </c>
      <c r="H50" s="131">
        <f>IF($BA50="","",INDEX(업무일지!$H$5:$H$1004,$BA50))</f>
        <v/>
      </c>
      <c r="I50" s="136">
        <f>IF($BA50="","",INDEX(업무일지!$J$5:$J$1004,$BA50))</f>
        <v/>
      </c>
      <c r="J50" s="129">
        <f>IF($BA50="","",INDEX(업무일지!$Z$5:$Z$1004,$BA50))</f>
        <v/>
      </c>
      <c r="K50" s="131">
        <f>IF($BA50="","",INDEX(업무일지!$AC$5:$AC$1004,$BA50))</f>
        <v/>
      </c>
      <c r="L50" s="131">
        <f>IF($BA50="","",INDEX(업무일지!$AH$5:$AH$1004,$BA50))</f>
        <v/>
      </c>
      <c r="AZ50">
        <f>IF(AND(업무일지!$B54&lt;&gt;"",업무일지!$AG54="진행중"),MAX(0,TODAY()-업무일지!$B54)*10000+951,"")</f>
        <v/>
      </c>
      <c r="BA50">
        <f>IFERROR(MATCH(LARGE($AZ$1:$AZ$1000,37),$AZ$1:$AZ$1000,0),"")</f>
        <v/>
      </c>
      <c r="BB50">
        <f>IF(AND(일일실시사항!$B54&lt;&gt;"",일일실시사항!$J54="진행중"),MAX(0,TODAY()-일일실시사항!$B54)*10000+951,"")</f>
        <v/>
      </c>
    </row>
    <row r="51">
      <c r="A51" s="118">
        <f>IF($BA51="","",38)</f>
        <v/>
      </c>
      <c r="B51" s="118">
        <f>IF($BA51="","",TODAY()-INDEX(업무일지!$B$5:$B$1004,$BA51))</f>
        <v/>
      </c>
      <c r="C51" s="137">
        <f>IF($BA51="","",INDEX(업무일지!$B$5:$B$1004,$BA51))</f>
        <v/>
      </c>
      <c r="D51" s="137">
        <f>IF($BA51="","",INDEX(업무일지!$C$5:$C$1004,$BA51))</f>
        <v/>
      </c>
      <c r="E51" s="136">
        <f>IF($BA51="","",INDEX(업무일지!$D$5:$D$1004,$BA51))</f>
        <v/>
      </c>
      <c r="F51" s="131">
        <f>IF($BA51="","",INDEX(업무일지!$E$5:$E$1004,$BA51))</f>
        <v/>
      </c>
      <c r="G51" s="136">
        <f>IF($BA51="","",INDEX(업무일지!$F$5:$F$1004,$BA51))</f>
        <v/>
      </c>
      <c r="H51" s="131">
        <f>IF($BA51="","",INDEX(업무일지!$H$5:$H$1004,$BA51))</f>
        <v/>
      </c>
      <c r="I51" s="136">
        <f>IF($BA51="","",INDEX(업무일지!$J$5:$J$1004,$BA51))</f>
        <v/>
      </c>
      <c r="J51" s="129">
        <f>IF($BA51="","",INDEX(업무일지!$Z$5:$Z$1004,$BA51))</f>
        <v/>
      </c>
      <c r="K51" s="131">
        <f>IF($BA51="","",INDEX(업무일지!$AC$5:$AC$1004,$BA51))</f>
        <v/>
      </c>
      <c r="L51" s="131">
        <f>IF($BA51="","",INDEX(업무일지!$AH$5:$AH$1004,$BA51))</f>
        <v/>
      </c>
      <c r="AZ51">
        <f>IF(AND(업무일지!$B55&lt;&gt;"",업무일지!$AG55="진행중"),MAX(0,TODAY()-업무일지!$B55)*10000+950,"")</f>
        <v/>
      </c>
      <c r="BA51">
        <f>IFERROR(MATCH(LARGE($AZ$1:$AZ$1000,38),$AZ$1:$AZ$1000,0),"")</f>
        <v/>
      </c>
      <c r="BB51">
        <f>IF(AND(일일실시사항!$B55&lt;&gt;"",일일실시사항!$J55="진행중"),MAX(0,TODAY()-일일실시사항!$B55)*10000+950,"")</f>
        <v/>
      </c>
    </row>
    <row r="52">
      <c r="A52" s="118">
        <f>IF($BA52="","",39)</f>
        <v/>
      </c>
      <c r="B52" s="118">
        <f>IF($BA52="","",TODAY()-INDEX(업무일지!$B$5:$B$1004,$BA52))</f>
        <v/>
      </c>
      <c r="C52" s="137">
        <f>IF($BA52="","",INDEX(업무일지!$B$5:$B$1004,$BA52))</f>
        <v/>
      </c>
      <c r="D52" s="137">
        <f>IF($BA52="","",INDEX(업무일지!$C$5:$C$1004,$BA52))</f>
        <v/>
      </c>
      <c r="E52" s="136">
        <f>IF($BA52="","",INDEX(업무일지!$D$5:$D$1004,$BA52))</f>
        <v/>
      </c>
      <c r="F52" s="131">
        <f>IF($BA52="","",INDEX(업무일지!$E$5:$E$1004,$BA52))</f>
        <v/>
      </c>
      <c r="G52" s="136">
        <f>IF($BA52="","",INDEX(업무일지!$F$5:$F$1004,$BA52))</f>
        <v/>
      </c>
      <c r="H52" s="131">
        <f>IF($BA52="","",INDEX(업무일지!$H$5:$H$1004,$BA52))</f>
        <v/>
      </c>
      <c r="I52" s="136">
        <f>IF($BA52="","",INDEX(업무일지!$J$5:$J$1004,$BA52))</f>
        <v/>
      </c>
      <c r="J52" s="129">
        <f>IF($BA52="","",INDEX(업무일지!$Z$5:$Z$1004,$BA52))</f>
        <v/>
      </c>
      <c r="K52" s="131">
        <f>IF($BA52="","",INDEX(업무일지!$AC$5:$AC$1004,$BA52))</f>
        <v/>
      </c>
      <c r="L52" s="131">
        <f>IF($BA52="","",INDEX(업무일지!$AH$5:$AH$1004,$BA52))</f>
        <v/>
      </c>
      <c r="AZ52">
        <f>IF(AND(업무일지!$B56&lt;&gt;"",업무일지!$AG56="진행중"),MAX(0,TODAY()-업무일지!$B56)*10000+949,"")</f>
        <v/>
      </c>
      <c r="BA52">
        <f>IFERROR(MATCH(LARGE($AZ$1:$AZ$1000,39),$AZ$1:$AZ$1000,0),"")</f>
        <v/>
      </c>
      <c r="BB52">
        <f>IF(AND(일일실시사항!$B56&lt;&gt;"",일일실시사항!$J56="진행중"),MAX(0,TODAY()-일일실시사항!$B56)*10000+949,"")</f>
        <v/>
      </c>
    </row>
    <row r="53">
      <c r="A53" s="118">
        <f>IF($BA53="","",40)</f>
        <v/>
      </c>
      <c r="B53" s="118">
        <f>IF($BA53="","",TODAY()-INDEX(업무일지!$B$5:$B$1004,$BA53))</f>
        <v/>
      </c>
      <c r="C53" s="137">
        <f>IF($BA53="","",INDEX(업무일지!$B$5:$B$1004,$BA53))</f>
        <v/>
      </c>
      <c r="D53" s="137">
        <f>IF($BA53="","",INDEX(업무일지!$C$5:$C$1004,$BA53))</f>
        <v/>
      </c>
      <c r="E53" s="136">
        <f>IF($BA53="","",INDEX(업무일지!$D$5:$D$1004,$BA53))</f>
        <v/>
      </c>
      <c r="F53" s="131">
        <f>IF($BA53="","",INDEX(업무일지!$E$5:$E$1004,$BA53))</f>
        <v/>
      </c>
      <c r="G53" s="136">
        <f>IF($BA53="","",INDEX(업무일지!$F$5:$F$1004,$BA53))</f>
        <v/>
      </c>
      <c r="H53" s="131">
        <f>IF($BA53="","",INDEX(업무일지!$H$5:$H$1004,$BA53))</f>
        <v/>
      </c>
      <c r="I53" s="136">
        <f>IF($BA53="","",INDEX(업무일지!$J$5:$J$1004,$BA53))</f>
        <v/>
      </c>
      <c r="J53" s="129">
        <f>IF($BA53="","",INDEX(업무일지!$Z$5:$Z$1004,$BA53))</f>
        <v/>
      </c>
      <c r="K53" s="131">
        <f>IF($BA53="","",INDEX(업무일지!$AC$5:$AC$1004,$BA53))</f>
        <v/>
      </c>
      <c r="L53" s="131">
        <f>IF($BA53="","",INDEX(업무일지!$AH$5:$AH$1004,$BA53))</f>
        <v/>
      </c>
      <c r="AZ53">
        <f>IF(AND(업무일지!$B57&lt;&gt;"",업무일지!$AG57="진행중"),MAX(0,TODAY()-업무일지!$B57)*10000+948,"")</f>
        <v/>
      </c>
      <c r="BA53">
        <f>IFERROR(MATCH(LARGE($AZ$1:$AZ$1000,40),$AZ$1:$AZ$1000,0),"")</f>
        <v/>
      </c>
      <c r="BB53">
        <f>IF(AND(일일실시사항!$B57&lt;&gt;"",일일실시사항!$J57="진행중"),MAX(0,TODAY()-일일실시사항!$B57)*10000+948,"")</f>
        <v/>
      </c>
    </row>
    <row r="54">
      <c r="A54" s="118">
        <f>IF($BA54="","",41)</f>
        <v/>
      </c>
      <c r="B54" s="118">
        <f>IF($BA54="","",TODAY()-INDEX(업무일지!$B$5:$B$1004,$BA54))</f>
        <v/>
      </c>
      <c r="C54" s="137">
        <f>IF($BA54="","",INDEX(업무일지!$B$5:$B$1004,$BA54))</f>
        <v/>
      </c>
      <c r="D54" s="137">
        <f>IF($BA54="","",INDEX(업무일지!$C$5:$C$1004,$BA54))</f>
        <v/>
      </c>
      <c r="E54" s="136">
        <f>IF($BA54="","",INDEX(업무일지!$D$5:$D$1004,$BA54))</f>
        <v/>
      </c>
      <c r="F54" s="131">
        <f>IF($BA54="","",INDEX(업무일지!$E$5:$E$1004,$BA54))</f>
        <v/>
      </c>
      <c r="G54" s="136">
        <f>IF($BA54="","",INDEX(업무일지!$F$5:$F$1004,$BA54))</f>
        <v/>
      </c>
      <c r="H54" s="131">
        <f>IF($BA54="","",INDEX(업무일지!$H$5:$H$1004,$BA54))</f>
        <v/>
      </c>
      <c r="I54" s="136">
        <f>IF($BA54="","",INDEX(업무일지!$J$5:$J$1004,$BA54))</f>
        <v/>
      </c>
      <c r="J54" s="129">
        <f>IF($BA54="","",INDEX(업무일지!$Z$5:$Z$1004,$BA54))</f>
        <v/>
      </c>
      <c r="K54" s="131">
        <f>IF($BA54="","",INDEX(업무일지!$AC$5:$AC$1004,$BA54))</f>
        <v/>
      </c>
      <c r="L54" s="131">
        <f>IF($BA54="","",INDEX(업무일지!$AH$5:$AH$1004,$BA54))</f>
        <v/>
      </c>
      <c r="AZ54">
        <f>IF(AND(업무일지!$B58&lt;&gt;"",업무일지!$AG58="진행중"),MAX(0,TODAY()-업무일지!$B58)*10000+947,"")</f>
        <v/>
      </c>
      <c r="BA54">
        <f>IFERROR(MATCH(LARGE($AZ$1:$AZ$1000,41),$AZ$1:$AZ$1000,0),"")</f>
        <v/>
      </c>
      <c r="BB54">
        <f>IF(AND(일일실시사항!$B58&lt;&gt;"",일일실시사항!$J58="진행중"),MAX(0,TODAY()-일일실시사항!$B58)*10000+947,"")</f>
        <v/>
      </c>
    </row>
    <row r="55">
      <c r="A55" s="118">
        <f>IF($BA55="","",42)</f>
        <v/>
      </c>
      <c r="B55" s="118">
        <f>IF($BA55="","",TODAY()-INDEX(업무일지!$B$5:$B$1004,$BA55))</f>
        <v/>
      </c>
      <c r="C55" s="137">
        <f>IF($BA55="","",INDEX(업무일지!$B$5:$B$1004,$BA55))</f>
        <v/>
      </c>
      <c r="D55" s="137">
        <f>IF($BA55="","",INDEX(업무일지!$C$5:$C$1004,$BA55))</f>
        <v/>
      </c>
      <c r="E55" s="136">
        <f>IF($BA55="","",INDEX(업무일지!$D$5:$D$1004,$BA55))</f>
        <v/>
      </c>
      <c r="F55" s="131">
        <f>IF($BA55="","",INDEX(업무일지!$E$5:$E$1004,$BA55))</f>
        <v/>
      </c>
      <c r="G55" s="136">
        <f>IF($BA55="","",INDEX(업무일지!$F$5:$F$1004,$BA55))</f>
        <v/>
      </c>
      <c r="H55" s="131">
        <f>IF($BA55="","",INDEX(업무일지!$H$5:$H$1004,$BA55))</f>
        <v/>
      </c>
      <c r="I55" s="136">
        <f>IF($BA55="","",INDEX(업무일지!$J$5:$J$1004,$BA55))</f>
        <v/>
      </c>
      <c r="J55" s="129">
        <f>IF($BA55="","",INDEX(업무일지!$Z$5:$Z$1004,$BA55))</f>
        <v/>
      </c>
      <c r="K55" s="131">
        <f>IF($BA55="","",INDEX(업무일지!$AC$5:$AC$1004,$BA55))</f>
        <v/>
      </c>
      <c r="L55" s="131">
        <f>IF($BA55="","",INDEX(업무일지!$AH$5:$AH$1004,$BA55))</f>
        <v/>
      </c>
      <c r="AZ55">
        <f>IF(AND(업무일지!$B59&lt;&gt;"",업무일지!$AG59="진행중"),MAX(0,TODAY()-업무일지!$B59)*10000+946,"")</f>
        <v/>
      </c>
      <c r="BA55">
        <f>IFERROR(MATCH(LARGE($AZ$1:$AZ$1000,42),$AZ$1:$AZ$1000,0),"")</f>
        <v/>
      </c>
      <c r="BB55">
        <f>IF(AND(일일실시사항!$B59&lt;&gt;"",일일실시사항!$J59="진행중"),MAX(0,TODAY()-일일실시사항!$B59)*10000+946,"")</f>
        <v/>
      </c>
    </row>
    <row r="56">
      <c r="A56" s="118">
        <f>IF($BA56="","",43)</f>
        <v/>
      </c>
      <c r="B56" s="118">
        <f>IF($BA56="","",TODAY()-INDEX(업무일지!$B$5:$B$1004,$BA56))</f>
        <v/>
      </c>
      <c r="C56" s="137">
        <f>IF($BA56="","",INDEX(업무일지!$B$5:$B$1004,$BA56))</f>
        <v/>
      </c>
      <c r="D56" s="137">
        <f>IF($BA56="","",INDEX(업무일지!$C$5:$C$1004,$BA56))</f>
        <v/>
      </c>
      <c r="E56" s="136">
        <f>IF($BA56="","",INDEX(업무일지!$D$5:$D$1004,$BA56))</f>
        <v/>
      </c>
      <c r="F56" s="131">
        <f>IF($BA56="","",INDEX(업무일지!$E$5:$E$1004,$BA56))</f>
        <v/>
      </c>
      <c r="G56" s="136">
        <f>IF($BA56="","",INDEX(업무일지!$F$5:$F$1004,$BA56))</f>
        <v/>
      </c>
      <c r="H56" s="131">
        <f>IF($BA56="","",INDEX(업무일지!$H$5:$H$1004,$BA56))</f>
        <v/>
      </c>
      <c r="I56" s="136">
        <f>IF($BA56="","",INDEX(업무일지!$J$5:$J$1004,$BA56))</f>
        <v/>
      </c>
      <c r="J56" s="129">
        <f>IF($BA56="","",INDEX(업무일지!$Z$5:$Z$1004,$BA56))</f>
        <v/>
      </c>
      <c r="K56" s="131">
        <f>IF($BA56="","",INDEX(업무일지!$AC$5:$AC$1004,$BA56))</f>
        <v/>
      </c>
      <c r="L56" s="131">
        <f>IF($BA56="","",INDEX(업무일지!$AH$5:$AH$1004,$BA56))</f>
        <v/>
      </c>
      <c r="AZ56">
        <f>IF(AND(업무일지!$B60&lt;&gt;"",업무일지!$AG60="진행중"),MAX(0,TODAY()-업무일지!$B60)*10000+945,"")</f>
        <v/>
      </c>
      <c r="BA56">
        <f>IFERROR(MATCH(LARGE($AZ$1:$AZ$1000,43),$AZ$1:$AZ$1000,0),"")</f>
        <v/>
      </c>
      <c r="BB56">
        <f>IF(AND(일일실시사항!$B60&lt;&gt;"",일일실시사항!$J60="진행중"),MAX(0,TODAY()-일일실시사항!$B60)*10000+945,"")</f>
        <v/>
      </c>
    </row>
    <row r="57">
      <c r="A57" s="118">
        <f>IF($BA57="","",44)</f>
        <v/>
      </c>
      <c r="B57" s="118">
        <f>IF($BA57="","",TODAY()-INDEX(업무일지!$B$5:$B$1004,$BA57))</f>
        <v/>
      </c>
      <c r="C57" s="137">
        <f>IF($BA57="","",INDEX(업무일지!$B$5:$B$1004,$BA57))</f>
        <v/>
      </c>
      <c r="D57" s="137">
        <f>IF($BA57="","",INDEX(업무일지!$C$5:$C$1004,$BA57))</f>
        <v/>
      </c>
      <c r="E57" s="136">
        <f>IF($BA57="","",INDEX(업무일지!$D$5:$D$1004,$BA57))</f>
        <v/>
      </c>
      <c r="F57" s="131">
        <f>IF($BA57="","",INDEX(업무일지!$E$5:$E$1004,$BA57))</f>
        <v/>
      </c>
      <c r="G57" s="136">
        <f>IF($BA57="","",INDEX(업무일지!$F$5:$F$1004,$BA57))</f>
        <v/>
      </c>
      <c r="H57" s="131">
        <f>IF($BA57="","",INDEX(업무일지!$H$5:$H$1004,$BA57))</f>
        <v/>
      </c>
      <c r="I57" s="136">
        <f>IF($BA57="","",INDEX(업무일지!$J$5:$J$1004,$BA57))</f>
        <v/>
      </c>
      <c r="J57" s="129">
        <f>IF($BA57="","",INDEX(업무일지!$Z$5:$Z$1004,$BA57))</f>
        <v/>
      </c>
      <c r="K57" s="131">
        <f>IF($BA57="","",INDEX(업무일지!$AC$5:$AC$1004,$BA57))</f>
        <v/>
      </c>
      <c r="L57" s="131">
        <f>IF($BA57="","",INDEX(업무일지!$AH$5:$AH$1004,$BA57))</f>
        <v/>
      </c>
      <c r="AZ57">
        <f>IF(AND(업무일지!$B61&lt;&gt;"",업무일지!$AG61="진행중"),MAX(0,TODAY()-업무일지!$B61)*10000+944,"")</f>
        <v/>
      </c>
      <c r="BA57">
        <f>IFERROR(MATCH(LARGE($AZ$1:$AZ$1000,44),$AZ$1:$AZ$1000,0),"")</f>
        <v/>
      </c>
      <c r="BB57">
        <f>IF(AND(일일실시사항!$B61&lt;&gt;"",일일실시사항!$J61="진행중"),MAX(0,TODAY()-일일실시사항!$B61)*10000+944,"")</f>
        <v/>
      </c>
    </row>
    <row r="58">
      <c r="A58" s="118">
        <f>IF($BA58="","",45)</f>
        <v/>
      </c>
      <c r="B58" s="118">
        <f>IF($BA58="","",TODAY()-INDEX(업무일지!$B$5:$B$1004,$BA58))</f>
        <v/>
      </c>
      <c r="C58" s="137">
        <f>IF($BA58="","",INDEX(업무일지!$B$5:$B$1004,$BA58))</f>
        <v/>
      </c>
      <c r="D58" s="137">
        <f>IF($BA58="","",INDEX(업무일지!$C$5:$C$1004,$BA58))</f>
        <v/>
      </c>
      <c r="E58" s="136">
        <f>IF($BA58="","",INDEX(업무일지!$D$5:$D$1004,$BA58))</f>
        <v/>
      </c>
      <c r="F58" s="131">
        <f>IF($BA58="","",INDEX(업무일지!$E$5:$E$1004,$BA58))</f>
        <v/>
      </c>
      <c r="G58" s="136">
        <f>IF($BA58="","",INDEX(업무일지!$F$5:$F$1004,$BA58))</f>
        <v/>
      </c>
      <c r="H58" s="131">
        <f>IF($BA58="","",INDEX(업무일지!$H$5:$H$1004,$BA58))</f>
        <v/>
      </c>
      <c r="I58" s="136">
        <f>IF($BA58="","",INDEX(업무일지!$J$5:$J$1004,$BA58))</f>
        <v/>
      </c>
      <c r="J58" s="129">
        <f>IF($BA58="","",INDEX(업무일지!$Z$5:$Z$1004,$BA58))</f>
        <v/>
      </c>
      <c r="K58" s="131">
        <f>IF($BA58="","",INDEX(업무일지!$AC$5:$AC$1004,$BA58))</f>
        <v/>
      </c>
      <c r="L58" s="131">
        <f>IF($BA58="","",INDEX(업무일지!$AH$5:$AH$1004,$BA58))</f>
        <v/>
      </c>
      <c r="AZ58">
        <f>IF(AND(업무일지!$B62&lt;&gt;"",업무일지!$AG62="진행중"),MAX(0,TODAY()-업무일지!$B62)*10000+943,"")</f>
        <v/>
      </c>
      <c r="BA58">
        <f>IFERROR(MATCH(LARGE($AZ$1:$AZ$1000,45),$AZ$1:$AZ$1000,0),"")</f>
        <v/>
      </c>
      <c r="BB58">
        <f>IF(AND(일일실시사항!$B62&lt;&gt;"",일일실시사항!$J62="진행중"),MAX(0,TODAY()-일일실시사항!$B62)*10000+943,"")</f>
        <v/>
      </c>
    </row>
    <row r="59">
      <c r="A59" s="118">
        <f>IF($BA59="","",46)</f>
        <v/>
      </c>
      <c r="B59" s="118">
        <f>IF($BA59="","",TODAY()-INDEX(업무일지!$B$5:$B$1004,$BA59))</f>
        <v/>
      </c>
      <c r="C59" s="137">
        <f>IF($BA59="","",INDEX(업무일지!$B$5:$B$1004,$BA59))</f>
        <v/>
      </c>
      <c r="D59" s="137">
        <f>IF($BA59="","",INDEX(업무일지!$C$5:$C$1004,$BA59))</f>
        <v/>
      </c>
      <c r="E59" s="136">
        <f>IF($BA59="","",INDEX(업무일지!$D$5:$D$1004,$BA59))</f>
        <v/>
      </c>
      <c r="F59" s="131">
        <f>IF($BA59="","",INDEX(업무일지!$E$5:$E$1004,$BA59))</f>
        <v/>
      </c>
      <c r="G59" s="136">
        <f>IF($BA59="","",INDEX(업무일지!$F$5:$F$1004,$BA59))</f>
        <v/>
      </c>
      <c r="H59" s="131">
        <f>IF($BA59="","",INDEX(업무일지!$H$5:$H$1004,$BA59))</f>
        <v/>
      </c>
      <c r="I59" s="136">
        <f>IF($BA59="","",INDEX(업무일지!$J$5:$J$1004,$BA59))</f>
        <v/>
      </c>
      <c r="J59" s="129">
        <f>IF($BA59="","",INDEX(업무일지!$Z$5:$Z$1004,$BA59))</f>
        <v/>
      </c>
      <c r="K59" s="131">
        <f>IF($BA59="","",INDEX(업무일지!$AC$5:$AC$1004,$BA59))</f>
        <v/>
      </c>
      <c r="L59" s="131">
        <f>IF($BA59="","",INDEX(업무일지!$AH$5:$AH$1004,$BA59))</f>
        <v/>
      </c>
      <c r="AZ59">
        <f>IF(AND(업무일지!$B63&lt;&gt;"",업무일지!$AG63="진행중"),MAX(0,TODAY()-업무일지!$B63)*10000+942,"")</f>
        <v/>
      </c>
      <c r="BA59">
        <f>IFERROR(MATCH(LARGE($AZ$1:$AZ$1000,46),$AZ$1:$AZ$1000,0),"")</f>
        <v/>
      </c>
      <c r="BB59">
        <f>IF(AND(일일실시사항!$B63&lt;&gt;"",일일실시사항!$J63="진행중"),MAX(0,TODAY()-일일실시사항!$B63)*10000+942,"")</f>
        <v/>
      </c>
    </row>
    <row r="60">
      <c r="A60" s="118">
        <f>IF($BA60="","",47)</f>
        <v/>
      </c>
      <c r="B60" s="118">
        <f>IF($BA60="","",TODAY()-INDEX(업무일지!$B$5:$B$1004,$BA60))</f>
        <v/>
      </c>
      <c r="C60" s="137">
        <f>IF($BA60="","",INDEX(업무일지!$B$5:$B$1004,$BA60))</f>
        <v/>
      </c>
      <c r="D60" s="137">
        <f>IF($BA60="","",INDEX(업무일지!$C$5:$C$1004,$BA60))</f>
        <v/>
      </c>
      <c r="E60" s="136">
        <f>IF($BA60="","",INDEX(업무일지!$D$5:$D$1004,$BA60))</f>
        <v/>
      </c>
      <c r="F60" s="131">
        <f>IF($BA60="","",INDEX(업무일지!$E$5:$E$1004,$BA60))</f>
        <v/>
      </c>
      <c r="G60" s="136">
        <f>IF($BA60="","",INDEX(업무일지!$F$5:$F$1004,$BA60))</f>
        <v/>
      </c>
      <c r="H60" s="131">
        <f>IF($BA60="","",INDEX(업무일지!$H$5:$H$1004,$BA60))</f>
        <v/>
      </c>
      <c r="I60" s="136">
        <f>IF($BA60="","",INDEX(업무일지!$J$5:$J$1004,$BA60))</f>
        <v/>
      </c>
      <c r="J60" s="129">
        <f>IF($BA60="","",INDEX(업무일지!$Z$5:$Z$1004,$BA60))</f>
        <v/>
      </c>
      <c r="K60" s="131">
        <f>IF($BA60="","",INDEX(업무일지!$AC$5:$AC$1004,$BA60))</f>
        <v/>
      </c>
      <c r="L60" s="131">
        <f>IF($BA60="","",INDEX(업무일지!$AH$5:$AH$1004,$BA60))</f>
        <v/>
      </c>
      <c r="AZ60">
        <f>IF(AND(업무일지!$B64&lt;&gt;"",업무일지!$AG64="진행중"),MAX(0,TODAY()-업무일지!$B64)*10000+941,"")</f>
        <v/>
      </c>
      <c r="BA60">
        <f>IFERROR(MATCH(LARGE($AZ$1:$AZ$1000,47),$AZ$1:$AZ$1000,0),"")</f>
        <v/>
      </c>
      <c r="BB60">
        <f>IF(AND(일일실시사항!$B64&lt;&gt;"",일일실시사항!$J64="진행중"),MAX(0,TODAY()-일일실시사항!$B64)*10000+941,"")</f>
        <v/>
      </c>
    </row>
    <row r="61">
      <c r="A61" s="118">
        <f>IF($BA61="","",48)</f>
        <v/>
      </c>
      <c r="B61" s="118">
        <f>IF($BA61="","",TODAY()-INDEX(업무일지!$B$5:$B$1004,$BA61))</f>
        <v/>
      </c>
      <c r="C61" s="137">
        <f>IF($BA61="","",INDEX(업무일지!$B$5:$B$1004,$BA61))</f>
        <v/>
      </c>
      <c r="D61" s="137">
        <f>IF($BA61="","",INDEX(업무일지!$C$5:$C$1004,$BA61))</f>
        <v/>
      </c>
      <c r="E61" s="136">
        <f>IF($BA61="","",INDEX(업무일지!$D$5:$D$1004,$BA61))</f>
        <v/>
      </c>
      <c r="F61" s="131">
        <f>IF($BA61="","",INDEX(업무일지!$E$5:$E$1004,$BA61))</f>
        <v/>
      </c>
      <c r="G61" s="136">
        <f>IF($BA61="","",INDEX(업무일지!$F$5:$F$1004,$BA61))</f>
        <v/>
      </c>
      <c r="H61" s="131">
        <f>IF($BA61="","",INDEX(업무일지!$H$5:$H$1004,$BA61))</f>
        <v/>
      </c>
      <c r="I61" s="136">
        <f>IF($BA61="","",INDEX(업무일지!$J$5:$J$1004,$BA61))</f>
        <v/>
      </c>
      <c r="J61" s="129">
        <f>IF($BA61="","",INDEX(업무일지!$Z$5:$Z$1004,$BA61))</f>
        <v/>
      </c>
      <c r="K61" s="131">
        <f>IF($BA61="","",INDEX(업무일지!$AC$5:$AC$1004,$BA61))</f>
        <v/>
      </c>
      <c r="L61" s="131">
        <f>IF($BA61="","",INDEX(업무일지!$AH$5:$AH$1004,$BA61))</f>
        <v/>
      </c>
      <c r="AZ61">
        <f>IF(AND(업무일지!$B65&lt;&gt;"",업무일지!$AG65="진행중"),MAX(0,TODAY()-업무일지!$B65)*10000+940,"")</f>
        <v/>
      </c>
      <c r="BA61">
        <f>IFERROR(MATCH(LARGE($AZ$1:$AZ$1000,48),$AZ$1:$AZ$1000,0),"")</f>
        <v/>
      </c>
      <c r="BB61">
        <f>IF(AND(일일실시사항!$B65&lt;&gt;"",일일실시사항!$J65="진행중"),MAX(0,TODAY()-일일실시사항!$B65)*10000+940,"")</f>
        <v/>
      </c>
    </row>
    <row r="62">
      <c r="A62" s="118">
        <f>IF($BA62="","",49)</f>
        <v/>
      </c>
      <c r="B62" s="118">
        <f>IF($BA62="","",TODAY()-INDEX(업무일지!$B$5:$B$1004,$BA62))</f>
        <v/>
      </c>
      <c r="C62" s="137">
        <f>IF($BA62="","",INDEX(업무일지!$B$5:$B$1004,$BA62))</f>
        <v/>
      </c>
      <c r="D62" s="137">
        <f>IF($BA62="","",INDEX(업무일지!$C$5:$C$1004,$BA62))</f>
        <v/>
      </c>
      <c r="E62" s="136">
        <f>IF($BA62="","",INDEX(업무일지!$D$5:$D$1004,$BA62))</f>
        <v/>
      </c>
      <c r="F62" s="131">
        <f>IF($BA62="","",INDEX(업무일지!$E$5:$E$1004,$BA62))</f>
        <v/>
      </c>
      <c r="G62" s="136">
        <f>IF($BA62="","",INDEX(업무일지!$F$5:$F$1004,$BA62))</f>
        <v/>
      </c>
      <c r="H62" s="131">
        <f>IF($BA62="","",INDEX(업무일지!$H$5:$H$1004,$BA62))</f>
        <v/>
      </c>
      <c r="I62" s="136">
        <f>IF($BA62="","",INDEX(업무일지!$J$5:$J$1004,$BA62))</f>
        <v/>
      </c>
      <c r="J62" s="129">
        <f>IF($BA62="","",INDEX(업무일지!$Z$5:$Z$1004,$BA62))</f>
        <v/>
      </c>
      <c r="K62" s="131">
        <f>IF($BA62="","",INDEX(업무일지!$AC$5:$AC$1004,$BA62))</f>
        <v/>
      </c>
      <c r="L62" s="131">
        <f>IF($BA62="","",INDEX(업무일지!$AH$5:$AH$1004,$BA62))</f>
        <v/>
      </c>
      <c r="AZ62">
        <f>IF(AND(업무일지!$B66&lt;&gt;"",업무일지!$AG66="진행중"),MAX(0,TODAY()-업무일지!$B66)*10000+939,"")</f>
        <v/>
      </c>
      <c r="BA62">
        <f>IFERROR(MATCH(LARGE($AZ$1:$AZ$1000,49),$AZ$1:$AZ$1000,0),"")</f>
        <v/>
      </c>
      <c r="BB62">
        <f>IF(AND(일일실시사항!$B66&lt;&gt;"",일일실시사항!$J66="진행중"),MAX(0,TODAY()-일일실시사항!$B66)*10000+939,"")</f>
        <v/>
      </c>
    </row>
    <row r="63">
      <c r="A63" s="118">
        <f>IF($BA63="","",50)</f>
        <v/>
      </c>
      <c r="B63" s="118">
        <f>IF($BA63="","",TODAY()-INDEX(업무일지!$B$5:$B$1004,$BA63))</f>
        <v/>
      </c>
      <c r="C63" s="137">
        <f>IF($BA63="","",INDEX(업무일지!$B$5:$B$1004,$BA63))</f>
        <v/>
      </c>
      <c r="D63" s="137">
        <f>IF($BA63="","",INDEX(업무일지!$C$5:$C$1004,$BA63))</f>
        <v/>
      </c>
      <c r="E63" s="136">
        <f>IF($BA63="","",INDEX(업무일지!$D$5:$D$1004,$BA63))</f>
        <v/>
      </c>
      <c r="F63" s="131">
        <f>IF($BA63="","",INDEX(업무일지!$E$5:$E$1004,$BA63))</f>
        <v/>
      </c>
      <c r="G63" s="136">
        <f>IF($BA63="","",INDEX(업무일지!$F$5:$F$1004,$BA63))</f>
        <v/>
      </c>
      <c r="H63" s="131">
        <f>IF($BA63="","",INDEX(업무일지!$H$5:$H$1004,$BA63))</f>
        <v/>
      </c>
      <c r="I63" s="136">
        <f>IF($BA63="","",INDEX(업무일지!$J$5:$J$1004,$BA63))</f>
        <v/>
      </c>
      <c r="J63" s="129">
        <f>IF($BA63="","",INDEX(업무일지!$Z$5:$Z$1004,$BA63))</f>
        <v/>
      </c>
      <c r="K63" s="131">
        <f>IF($BA63="","",INDEX(업무일지!$AC$5:$AC$1004,$BA63))</f>
        <v/>
      </c>
      <c r="L63" s="131">
        <f>IF($BA63="","",INDEX(업무일지!$AH$5:$AH$1004,$BA63))</f>
        <v/>
      </c>
      <c r="AZ63">
        <f>IF(AND(업무일지!$B67&lt;&gt;"",업무일지!$AG67="진행중"),MAX(0,TODAY()-업무일지!$B67)*10000+938,"")</f>
        <v/>
      </c>
      <c r="BA63">
        <f>IFERROR(MATCH(LARGE($AZ$1:$AZ$1000,50),$AZ$1:$AZ$1000,0),"")</f>
        <v/>
      </c>
      <c r="BB63">
        <f>IF(AND(일일실시사항!$B67&lt;&gt;"",일일실시사항!$J67="진행중"),MAX(0,TODAY()-일일실시사항!$B67)*10000+938,"")</f>
        <v/>
      </c>
    </row>
    <row r="64">
      <c r="A64" s="118">
        <f>IF($BA64="","",51)</f>
        <v/>
      </c>
      <c r="B64" s="118">
        <f>IF($BA64="","",TODAY()-INDEX(업무일지!$B$5:$B$1004,$BA64))</f>
        <v/>
      </c>
      <c r="C64" s="137">
        <f>IF($BA64="","",INDEX(업무일지!$B$5:$B$1004,$BA64))</f>
        <v/>
      </c>
      <c r="D64" s="137">
        <f>IF($BA64="","",INDEX(업무일지!$C$5:$C$1004,$BA64))</f>
        <v/>
      </c>
      <c r="E64" s="136">
        <f>IF($BA64="","",INDEX(업무일지!$D$5:$D$1004,$BA64))</f>
        <v/>
      </c>
      <c r="F64" s="131">
        <f>IF($BA64="","",INDEX(업무일지!$E$5:$E$1004,$BA64))</f>
        <v/>
      </c>
      <c r="G64" s="136">
        <f>IF($BA64="","",INDEX(업무일지!$F$5:$F$1004,$BA64))</f>
        <v/>
      </c>
      <c r="H64" s="131">
        <f>IF($BA64="","",INDEX(업무일지!$H$5:$H$1004,$BA64))</f>
        <v/>
      </c>
      <c r="I64" s="136">
        <f>IF($BA64="","",INDEX(업무일지!$J$5:$J$1004,$BA64))</f>
        <v/>
      </c>
      <c r="J64" s="129">
        <f>IF($BA64="","",INDEX(업무일지!$Z$5:$Z$1004,$BA64))</f>
        <v/>
      </c>
      <c r="K64" s="131">
        <f>IF($BA64="","",INDEX(업무일지!$AC$5:$AC$1004,$BA64))</f>
        <v/>
      </c>
      <c r="L64" s="131">
        <f>IF($BA64="","",INDEX(업무일지!$AH$5:$AH$1004,$BA64))</f>
        <v/>
      </c>
      <c r="AZ64">
        <f>IF(AND(업무일지!$B68&lt;&gt;"",업무일지!$AG68="진행중"),MAX(0,TODAY()-업무일지!$B68)*10000+937,"")</f>
        <v/>
      </c>
      <c r="BA64">
        <f>IFERROR(MATCH(LARGE($AZ$1:$AZ$1000,51),$AZ$1:$AZ$1000,0),"")</f>
        <v/>
      </c>
      <c r="BB64">
        <f>IF(AND(일일실시사항!$B68&lt;&gt;"",일일실시사항!$J68="진행중"),MAX(0,TODAY()-일일실시사항!$B68)*10000+937,"")</f>
        <v/>
      </c>
    </row>
    <row r="65">
      <c r="A65" s="118">
        <f>IF($BA65="","",52)</f>
        <v/>
      </c>
      <c r="B65" s="118">
        <f>IF($BA65="","",TODAY()-INDEX(업무일지!$B$5:$B$1004,$BA65))</f>
        <v/>
      </c>
      <c r="C65" s="137">
        <f>IF($BA65="","",INDEX(업무일지!$B$5:$B$1004,$BA65))</f>
        <v/>
      </c>
      <c r="D65" s="137">
        <f>IF($BA65="","",INDEX(업무일지!$C$5:$C$1004,$BA65))</f>
        <v/>
      </c>
      <c r="E65" s="136">
        <f>IF($BA65="","",INDEX(업무일지!$D$5:$D$1004,$BA65))</f>
        <v/>
      </c>
      <c r="F65" s="131">
        <f>IF($BA65="","",INDEX(업무일지!$E$5:$E$1004,$BA65))</f>
        <v/>
      </c>
      <c r="G65" s="136">
        <f>IF($BA65="","",INDEX(업무일지!$F$5:$F$1004,$BA65))</f>
        <v/>
      </c>
      <c r="H65" s="131">
        <f>IF($BA65="","",INDEX(업무일지!$H$5:$H$1004,$BA65))</f>
        <v/>
      </c>
      <c r="I65" s="136">
        <f>IF($BA65="","",INDEX(업무일지!$J$5:$J$1004,$BA65))</f>
        <v/>
      </c>
      <c r="J65" s="129">
        <f>IF($BA65="","",INDEX(업무일지!$Z$5:$Z$1004,$BA65))</f>
        <v/>
      </c>
      <c r="K65" s="131">
        <f>IF($BA65="","",INDEX(업무일지!$AC$5:$AC$1004,$BA65))</f>
        <v/>
      </c>
      <c r="L65" s="131">
        <f>IF($BA65="","",INDEX(업무일지!$AH$5:$AH$1004,$BA65))</f>
        <v/>
      </c>
      <c r="AZ65">
        <f>IF(AND(업무일지!$B69&lt;&gt;"",업무일지!$AG69="진행중"),MAX(0,TODAY()-업무일지!$B69)*10000+936,"")</f>
        <v/>
      </c>
      <c r="BA65">
        <f>IFERROR(MATCH(LARGE($AZ$1:$AZ$1000,52),$AZ$1:$AZ$1000,0),"")</f>
        <v/>
      </c>
      <c r="BB65">
        <f>IF(AND(일일실시사항!$B69&lt;&gt;"",일일실시사항!$J69="진행중"),MAX(0,TODAY()-일일실시사항!$B69)*10000+936,"")</f>
        <v/>
      </c>
    </row>
    <row r="66">
      <c r="A66" s="118">
        <f>IF($BA66="","",53)</f>
        <v/>
      </c>
      <c r="B66" s="118">
        <f>IF($BA66="","",TODAY()-INDEX(업무일지!$B$5:$B$1004,$BA66))</f>
        <v/>
      </c>
      <c r="C66" s="137">
        <f>IF($BA66="","",INDEX(업무일지!$B$5:$B$1004,$BA66))</f>
        <v/>
      </c>
      <c r="D66" s="137">
        <f>IF($BA66="","",INDEX(업무일지!$C$5:$C$1004,$BA66))</f>
        <v/>
      </c>
      <c r="E66" s="136">
        <f>IF($BA66="","",INDEX(업무일지!$D$5:$D$1004,$BA66))</f>
        <v/>
      </c>
      <c r="F66" s="131">
        <f>IF($BA66="","",INDEX(업무일지!$E$5:$E$1004,$BA66))</f>
        <v/>
      </c>
      <c r="G66" s="136">
        <f>IF($BA66="","",INDEX(업무일지!$F$5:$F$1004,$BA66))</f>
        <v/>
      </c>
      <c r="H66" s="131">
        <f>IF($BA66="","",INDEX(업무일지!$H$5:$H$1004,$BA66))</f>
        <v/>
      </c>
      <c r="I66" s="136">
        <f>IF($BA66="","",INDEX(업무일지!$J$5:$J$1004,$BA66))</f>
        <v/>
      </c>
      <c r="J66" s="129">
        <f>IF($BA66="","",INDEX(업무일지!$Z$5:$Z$1004,$BA66))</f>
        <v/>
      </c>
      <c r="K66" s="131">
        <f>IF($BA66="","",INDEX(업무일지!$AC$5:$AC$1004,$BA66))</f>
        <v/>
      </c>
      <c r="L66" s="131">
        <f>IF($BA66="","",INDEX(업무일지!$AH$5:$AH$1004,$BA66))</f>
        <v/>
      </c>
      <c r="AZ66">
        <f>IF(AND(업무일지!$B70&lt;&gt;"",업무일지!$AG70="진행중"),MAX(0,TODAY()-업무일지!$B70)*10000+935,"")</f>
        <v/>
      </c>
      <c r="BA66">
        <f>IFERROR(MATCH(LARGE($AZ$1:$AZ$1000,53),$AZ$1:$AZ$1000,0),"")</f>
        <v/>
      </c>
      <c r="BB66">
        <f>IF(AND(일일실시사항!$B70&lt;&gt;"",일일실시사항!$J70="진행중"),MAX(0,TODAY()-일일실시사항!$B70)*10000+935,"")</f>
        <v/>
      </c>
    </row>
    <row r="67">
      <c r="A67" s="118">
        <f>IF($BA67="","",54)</f>
        <v/>
      </c>
      <c r="B67" s="118">
        <f>IF($BA67="","",TODAY()-INDEX(업무일지!$B$5:$B$1004,$BA67))</f>
        <v/>
      </c>
      <c r="C67" s="137">
        <f>IF($BA67="","",INDEX(업무일지!$B$5:$B$1004,$BA67))</f>
        <v/>
      </c>
      <c r="D67" s="137">
        <f>IF($BA67="","",INDEX(업무일지!$C$5:$C$1004,$BA67))</f>
        <v/>
      </c>
      <c r="E67" s="136">
        <f>IF($BA67="","",INDEX(업무일지!$D$5:$D$1004,$BA67))</f>
        <v/>
      </c>
      <c r="F67" s="131">
        <f>IF($BA67="","",INDEX(업무일지!$E$5:$E$1004,$BA67))</f>
        <v/>
      </c>
      <c r="G67" s="136">
        <f>IF($BA67="","",INDEX(업무일지!$F$5:$F$1004,$BA67))</f>
        <v/>
      </c>
      <c r="H67" s="131">
        <f>IF($BA67="","",INDEX(업무일지!$H$5:$H$1004,$BA67))</f>
        <v/>
      </c>
      <c r="I67" s="136">
        <f>IF($BA67="","",INDEX(업무일지!$J$5:$J$1004,$BA67))</f>
        <v/>
      </c>
      <c r="J67" s="129">
        <f>IF($BA67="","",INDEX(업무일지!$Z$5:$Z$1004,$BA67))</f>
        <v/>
      </c>
      <c r="K67" s="131">
        <f>IF($BA67="","",INDEX(업무일지!$AC$5:$AC$1004,$BA67))</f>
        <v/>
      </c>
      <c r="L67" s="131">
        <f>IF($BA67="","",INDEX(업무일지!$AH$5:$AH$1004,$BA67))</f>
        <v/>
      </c>
      <c r="AZ67">
        <f>IF(AND(업무일지!$B71&lt;&gt;"",업무일지!$AG71="진행중"),MAX(0,TODAY()-업무일지!$B71)*10000+934,"")</f>
        <v/>
      </c>
      <c r="BA67">
        <f>IFERROR(MATCH(LARGE($AZ$1:$AZ$1000,54),$AZ$1:$AZ$1000,0),"")</f>
        <v/>
      </c>
      <c r="BB67">
        <f>IF(AND(일일실시사항!$B71&lt;&gt;"",일일실시사항!$J71="진행중"),MAX(0,TODAY()-일일실시사항!$B71)*10000+934,"")</f>
        <v/>
      </c>
    </row>
    <row r="68">
      <c r="A68" s="118">
        <f>IF($BA68="","",55)</f>
        <v/>
      </c>
      <c r="B68" s="118">
        <f>IF($BA68="","",TODAY()-INDEX(업무일지!$B$5:$B$1004,$BA68))</f>
        <v/>
      </c>
      <c r="C68" s="137">
        <f>IF($BA68="","",INDEX(업무일지!$B$5:$B$1004,$BA68))</f>
        <v/>
      </c>
      <c r="D68" s="137">
        <f>IF($BA68="","",INDEX(업무일지!$C$5:$C$1004,$BA68))</f>
        <v/>
      </c>
      <c r="E68" s="136">
        <f>IF($BA68="","",INDEX(업무일지!$D$5:$D$1004,$BA68))</f>
        <v/>
      </c>
      <c r="F68" s="131">
        <f>IF($BA68="","",INDEX(업무일지!$E$5:$E$1004,$BA68))</f>
        <v/>
      </c>
      <c r="G68" s="136">
        <f>IF($BA68="","",INDEX(업무일지!$F$5:$F$1004,$BA68))</f>
        <v/>
      </c>
      <c r="H68" s="131">
        <f>IF($BA68="","",INDEX(업무일지!$H$5:$H$1004,$BA68))</f>
        <v/>
      </c>
      <c r="I68" s="136">
        <f>IF($BA68="","",INDEX(업무일지!$J$5:$J$1004,$BA68))</f>
        <v/>
      </c>
      <c r="J68" s="129">
        <f>IF($BA68="","",INDEX(업무일지!$Z$5:$Z$1004,$BA68))</f>
        <v/>
      </c>
      <c r="K68" s="131">
        <f>IF($BA68="","",INDEX(업무일지!$AC$5:$AC$1004,$BA68))</f>
        <v/>
      </c>
      <c r="L68" s="131">
        <f>IF($BA68="","",INDEX(업무일지!$AH$5:$AH$1004,$BA68))</f>
        <v/>
      </c>
      <c r="AZ68">
        <f>IF(AND(업무일지!$B72&lt;&gt;"",업무일지!$AG72="진행중"),MAX(0,TODAY()-업무일지!$B72)*10000+933,"")</f>
        <v/>
      </c>
      <c r="BA68">
        <f>IFERROR(MATCH(LARGE($AZ$1:$AZ$1000,55),$AZ$1:$AZ$1000,0),"")</f>
        <v/>
      </c>
      <c r="BB68">
        <f>IF(AND(일일실시사항!$B72&lt;&gt;"",일일실시사항!$J72="진행중"),MAX(0,TODAY()-일일실시사항!$B72)*10000+933,"")</f>
        <v/>
      </c>
    </row>
    <row r="69">
      <c r="A69" s="118">
        <f>IF($BA69="","",56)</f>
        <v/>
      </c>
      <c r="B69" s="118">
        <f>IF($BA69="","",TODAY()-INDEX(업무일지!$B$5:$B$1004,$BA69))</f>
        <v/>
      </c>
      <c r="C69" s="137">
        <f>IF($BA69="","",INDEX(업무일지!$B$5:$B$1004,$BA69))</f>
        <v/>
      </c>
      <c r="D69" s="137">
        <f>IF($BA69="","",INDEX(업무일지!$C$5:$C$1004,$BA69))</f>
        <v/>
      </c>
      <c r="E69" s="136">
        <f>IF($BA69="","",INDEX(업무일지!$D$5:$D$1004,$BA69))</f>
        <v/>
      </c>
      <c r="F69" s="131">
        <f>IF($BA69="","",INDEX(업무일지!$E$5:$E$1004,$BA69))</f>
        <v/>
      </c>
      <c r="G69" s="136">
        <f>IF($BA69="","",INDEX(업무일지!$F$5:$F$1004,$BA69))</f>
        <v/>
      </c>
      <c r="H69" s="131">
        <f>IF($BA69="","",INDEX(업무일지!$H$5:$H$1004,$BA69))</f>
        <v/>
      </c>
      <c r="I69" s="136">
        <f>IF($BA69="","",INDEX(업무일지!$J$5:$J$1004,$BA69))</f>
        <v/>
      </c>
      <c r="J69" s="129">
        <f>IF($BA69="","",INDEX(업무일지!$Z$5:$Z$1004,$BA69))</f>
        <v/>
      </c>
      <c r="K69" s="131">
        <f>IF($BA69="","",INDEX(업무일지!$AC$5:$AC$1004,$BA69))</f>
        <v/>
      </c>
      <c r="L69" s="131">
        <f>IF($BA69="","",INDEX(업무일지!$AH$5:$AH$1004,$BA69))</f>
        <v/>
      </c>
      <c r="AZ69">
        <f>IF(AND(업무일지!$B73&lt;&gt;"",업무일지!$AG73="진행중"),MAX(0,TODAY()-업무일지!$B73)*10000+932,"")</f>
        <v/>
      </c>
      <c r="BA69">
        <f>IFERROR(MATCH(LARGE($AZ$1:$AZ$1000,56),$AZ$1:$AZ$1000,0),"")</f>
        <v/>
      </c>
      <c r="BB69">
        <f>IF(AND(일일실시사항!$B73&lt;&gt;"",일일실시사항!$J73="진행중"),MAX(0,TODAY()-일일실시사항!$B73)*10000+932,"")</f>
        <v/>
      </c>
    </row>
    <row r="70">
      <c r="A70" s="118">
        <f>IF($BA70="","",57)</f>
        <v/>
      </c>
      <c r="B70" s="118">
        <f>IF($BA70="","",TODAY()-INDEX(업무일지!$B$5:$B$1004,$BA70))</f>
        <v/>
      </c>
      <c r="C70" s="137">
        <f>IF($BA70="","",INDEX(업무일지!$B$5:$B$1004,$BA70))</f>
        <v/>
      </c>
      <c r="D70" s="137">
        <f>IF($BA70="","",INDEX(업무일지!$C$5:$C$1004,$BA70))</f>
        <v/>
      </c>
      <c r="E70" s="136">
        <f>IF($BA70="","",INDEX(업무일지!$D$5:$D$1004,$BA70))</f>
        <v/>
      </c>
      <c r="F70" s="131">
        <f>IF($BA70="","",INDEX(업무일지!$E$5:$E$1004,$BA70))</f>
        <v/>
      </c>
      <c r="G70" s="136">
        <f>IF($BA70="","",INDEX(업무일지!$F$5:$F$1004,$BA70))</f>
        <v/>
      </c>
      <c r="H70" s="131">
        <f>IF($BA70="","",INDEX(업무일지!$H$5:$H$1004,$BA70))</f>
        <v/>
      </c>
      <c r="I70" s="136">
        <f>IF($BA70="","",INDEX(업무일지!$J$5:$J$1004,$BA70))</f>
        <v/>
      </c>
      <c r="J70" s="129">
        <f>IF($BA70="","",INDEX(업무일지!$Z$5:$Z$1004,$BA70))</f>
        <v/>
      </c>
      <c r="K70" s="131">
        <f>IF($BA70="","",INDEX(업무일지!$AC$5:$AC$1004,$BA70))</f>
        <v/>
      </c>
      <c r="L70" s="131">
        <f>IF($BA70="","",INDEX(업무일지!$AH$5:$AH$1004,$BA70))</f>
        <v/>
      </c>
      <c r="AZ70">
        <f>IF(AND(업무일지!$B74&lt;&gt;"",업무일지!$AG74="진행중"),MAX(0,TODAY()-업무일지!$B74)*10000+931,"")</f>
        <v/>
      </c>
      <c r="BA70">
        <f>IFERROR(MATCH(LARGE($AZ$1:$AZ$1000,57),$AZ$1:$AZ$1000,0),"")</f>
        <v/>
      </c>
      <c r="BB70">
        <f>IF(AND(일일실시사항!$B74&lt;&gt;"",일일실시사항!$J74="진행중"),MAX(0,TODAY()-일일실시사항!$B74)*10000+931,"")</f>
        <v/>
      </c>
    </row>
    <row r="71">
      <c r="A71" s="118">
        <f>IF($BA71="","",58)</f>
        <v/>
      </c>
      <c r="B71" s="118">
        <f>IF($BA71="","",TODAY()-INDEX(업무일지!$B$5:$B$1004,$BA71))</f>
        <v/>
      </c>
      <c r="C71" s="137">
        <f>IF($BA71="","",INDEX(업무일지!$B$5:$B$1004,$BA71))</f>
        <v/>
      </c>
      <c r="D71" s="137">
        <f>IF($BA71="","",INDEX(업무일지!$C$5:$C$1004,$BA71))</f>
        <v/>
      </c>
      <c r="E71" s="136">
        <f>IF($BA71="","",INDEX(업무일지!$D$5:$D$1004,$BA71))</f>
        <v/>
      </c>
      <c r="F71" s="131">
        <f>IF($BA71="","",INDEX(업무일지!$E$5:$E$1004,$BA71))</f>
        <v/>
      </c>
      <c r="G71" s="136">
        <f>IF($BA71="","",INDEX(업무일지!$F$5:$F$1004,$BA71))</f>
        <v/>
      </c>
      <c r="H71" s="131">
        <f>IF($BA71="","",INDEX(업무일지!$H$5:$H$1004,$BA71))</f>
        <v/>
      </c>
      <c r="I71" s="136">
        <f>IF($BA71="","",INDEX(업무일지!$J$5:$J$1004,$BA71))</f>
        <v/>
      </c>
      <c r="J71" s="129">
        <f>IF($BA71="","",INDEX(업무일지!$Z$5:$Z$1004,$BA71))</f>
        <v/>
      </c>
      <c r="K71" s="131">
        <f>IF($BA71="","",INDEX(업무일지!$AC$5:$AC$1004,$BA71))</f>
        <v/>
      </c>
      <c r="L71" s="131">
        <f>IF($BA71="","",INDEX(업무일지!$AH$5:$AH$1004,$BA71))</f>
        <v/>
      </c>
      <c r="AZ71">
        <f>IF(AND(업무일지!$B75&lt;&gt;"",업무일지!$AG75="진행중"),MAX(0,TODAY()-업무일지!$B75)*10000+930,"")</f>
        <v/>
      </c>
      <c r="BA71">
        <f>IFERROR(MATCH(LARGE($AZ$1:$AZ$1000,58),$AZ$1:$AZ$1000,0),"")</f>
        <v/>
      </c>
      <c r="BB71">
        <f>IF(AND(일일실시사항!$B75&lt;&gt;"",일일실시사항!$J75="진행중"),MAX(0,TODAY()-일일실시사항!$B75)*10000+930,"")</f>
        <v/>
      </c>
    </row>
    <row r="72">
      <c r="A72" s="118">
        <f>IF($BA72="","",59)</f>
        <v/>
      </c>
      <c r="B72" s="118">
        <f>IF($BA72="","",TODAY()-INDEX(업무일지!$B$5:$B$1004,$BA72))</f>
        <v/>
      </c>
      <c r="C72" s="137">
        <f>IF($BA72="","",INDEX(업무일지!$B$5:$B$1004,$BA72))</f>
        <v/>
      </c>
      <c r="D72" s="137">
        <f>IF($BA72="","",INDEX(업무일지!$C$5:$C$1004,$BA72))</f>
        <v/>
      </c>
      <c r="E72" s="136">
        <f>IF($BA72="","",INDEX(업무일지!$D$5:$D$1004,$BA72))</f>
        <v/>
      </c>
      <c r="F72" s="131">
        <f>IF($BA72="","",INDEX(업무일지!$E$5:$E$1004,$BA72))</f>
        <v/>
      </c>
      <c r="G72" s="136">
        <f>IF($BA72="","",INDEX(업무일지!$F$5:$F$1004,$BA72))</f>
        <v/>
      </c>
      <c r="H72" s="131">
        <f>IF($BA72="","",INDEX(업무일지!$H$5:$H$1004,$BA72))</f>
        <v/>
      </c>
      <c r="I72" s="136">
        <f>IF($BA72="","",INDEX(업무일지!$J$5:$J$1004,$BA72))</f>
        <v/>
      </c>
      <c r="J72" s="129">
        <f>IF($BA72="","",INDEX(업무일지!$Z$5:$Z$1004,$BA72))</f>
        <v/>
      </c>
      <c r="K72" s="131">
        <f>IF($BA72="","",INDEX(업무일지!$AC$5:$AC$1004,$BA72))</f>
        <v/>
      </c>
      <c r="L72" s="131">
        <f>IF($BA72="","",INDEX(업무일지!$AH$5:$AH$1004,$BA72))</f>
        <v/>
      </c>
      <c r="AZ72">
        <f>IF(AND(업무일지!$B76&lt;&gt;"",업무일지!$AG76="진행중"),MAX(0,TODAY()-업무일지!$B76)*10000+929,"")</f>
        <v/>
      </c>
      <c r="BA72">
        <f>IFERROR(MATCH(LARGE($AZ$1:$AZ$1000,59),$AZ$1:$AZ$1000,0),"")</f>
        <v/>
      </c>
      <c r="BB72">
        <f>IF(AND(일일실시사항!$B76&lt;&gt;"",일일실시사항!$J76="진행중"),MAX(0,TODAY()-일일실시사항!$B76)*10000+929,"")</f>
        <v/>
      </c>
    </row>
    <row r="73">
      <c r="A73" s="118">
        <f>IF($BA73="","",60)</f>
        <v/>
      </c>
      <c r="B73" s="118">
        <f>IF($BA73="","",TODAY()-INDEX(업무일지!$B$5:$B$1004,$BA73))</f>
        <v/>
      </c>
      <c r="C73" s="137">
        <f>IF($BA73="","",INDEX(업무일지!$B$5:$B$1004,$BA73))</f>
        <v/>
      </c>
      <c r="D73" s="137">
        <f>IF($BA73="","",INDEX(업무일지!$C$5:$C$1004,$BA73))</f>
        <v/>
      </c>
      <c r="E73" s="136">
        <f>IF($BA73="","",INDEX(업무일지!$D$5:$D$1004,$BA73))</f>
        <v/>
      </c>
      <c r="F73" s="131">
        <f>IF($BA73="","",INDEX(업무일지!$E$5:$E$1004,$BA73))</f>
        <v/>
      </c>
      <c r="G73" s="136">
        <f>IF($BA73="","",INDEX(업무일지!$F$5:$F$1004,$BA73))</f>
        <v/>
      </c>
      <c r="H73" s="131">
        <f>IF($BA73="","",INDEX(업무일지!$H$5:$H$1004,$BA73))</f>
        <v/>
      </c>
      <c r="I73" s="136">
        <f>IF($BA73="","",INDEX(업무일지!$J$5:$J$1004,$BA73))</f>
        <v/>
      </c>
      <c r="J73" s="129">
        <f>IF($BA73="","",INDEX(업무일지!$Z$5:$Z$1004,$BA73))</f>
        <v/>
      </c>
      <c r="K73" s="131">
        <f>IF($BA73="","",INDEX(업무일지!$AC$5:$AC$1004,$BA73))</f>
        <v/>
      </c>
      <c r="L73" s="131">
        <f>IF($BA73="","",INDEX(업무일지!$AH$5:$AH$1004,$BA73))</f>
        <v/>
      </c>
      <c r="AZ73">
        <f>IF(AND(업무일지!$B77&lt;&gt;"",업무일지!$AG77="진행중"),MAX(0,TODAY()-업무일지!$B77)*10000+928,"")</f>
        <v/>
      </c>
      <c r="BA73">
        <f>IFERROR(MATCH(LARGE($AZ$1:$AZ$1000,60),$AZ$1:$AZ$1000,0),"")</f>
        <v/>
      </c>
      <c r="BB73">
        <f>IF(AND(일일실시사항!$B77&lt;&gt;"",일일실시사항!$J77="진행중"),MAX(0,TODAY()-일일실시사항!$B77)*10000+928,"")</f>
        <v/>
      </c>
    </row>
    <row r="74">
      <c r="A74" s="118">
        <f>IF($BA74="","",61)</f>
        <v/>
      </c>
      <c r="B74" s="118">
        <f>IF($BA74="","",TODAY()-INDEX(업무일지!$B$5:$B$1004,$BA74))</f>
        <v/>
      </c>
      <c r="C74" s="137">
        <f>IF($BA74="","",INDEX(업무일지!$B$5:$B$1004,$BA74))</f>
        <v/>
      </c>
      <c r="D74" s="137">
        <f>IF($BA74="","",INDEX(업무일지!$C$5:$C$1004,$BA74))</f>
        <v/>
      </c>
      <c r="E74" s="136">
        <f>IF($BA74="","",INDEX(업무일지!$D$5:$D$1004,$BA74))</f>
        <v/>
      </c>
      <c r="F74" s="131">
        <f>IF($BA74="","",INDEX(업무일지!$E$5:$E$1004,$BA74))</f>
        <v/>
      </c>
      <c r="G74" s="136">
        <f>IF($BA74="","",INDEX(업무일지!$F$5:$F$1004,$BA74))</f>
        <v/>
      </c>
      <c r="H74" s="131">
        <f>IF($BA74="","",INDEX(업무일지!$H$5:$H$1004,$BA74))</f>
        <v/>
      </c>
      <c r="I74" s="136">
        <f>IF($BA74="","",INDEX(업무일지!$J$5:$J$1004,$BA74))</f>
        <v/>
      </c>
      <c r="J74" s="129">
        <f>IF($BA74="","",INDEX(업무일지!$Z$5:$Z$1004,$BA74))</f>
        <v/>
      </c>
      <c r="K74" s="131">
        <f>IF($BA74="","",INDEX(업무일지!$AC$5:$AC$1004,$BA74))</f>
        <v/>
      </c>
      <c r="L74" s="131">
        <f>IF($BA74="","",INDEX(업무일지!$AH$5:$AH$1004,$BA74))</f>
        <v/>
      </c>
      <c r="AZ74">
        <f>IF(AND(업무일지!$B78&lt;&gt;"",업무일지!$AG78="진행중"),MAX(0,TODAY()-업무일지!$B78)*10000+927,"")</f>
        <v/>
      </c>
      <c r="BA74">
        <f>IFERROR(MATCH(LARGE($AZ$1:$AZ$1000,61),$AZ$1:$AZ$1000,0),"")</f>
        <v/>
      </c>
      <c r="BB74">
        <f>IF(AND(일일실시사항!$B78&lt;&gt;"",일일실시사항!$J78="진행중"),MAX(0,TODAY()-일일실시사항!$B78)*10000+927,"")</f>
        <v/>
      </c>
    </row>
    <row r="75">
      <c r="A75" s="118">
        <f>IF($BA75="","",62)</f>
        <v/>
      </c>
      <c r="B75" s="118">
        <f>IF($BA75="","",TODAY()-INDEX(업무일지!$B$5:$B$1004,$BA75))</f>
        <v/>
      </c>
      <c r="C75" s="137">
        <f>IF($BA75="","",INDEX(업무일지!$B$5:$B$1004,$BA75))</f>
        <v/>
      </c>
      <c r="D75" s="137">
        <f>IF($BA75="","",INDEX(업무일지!$C$5:$C$1004,$BA75))</f>
        <v/>
      </c>
      <c r="E75" s="136">
        <f>IF($BA75="","",INDEX(업무일지!$D$5:$D$1004,$BA75))</f>
        <v/>
      </c>
      <c r="F75" s="131">
        <f>IF($BA75="","",INDEX(업무일지!$E$5:$E$1004,$BA75))</f>
        <v/>
      </c>
      <c r="G75" s="136">
        <f>IF($BA75="","",INDEX(업무일지!$F$5:$F$1004,$BA75))</f>
        <v/>
      </c>
      <c r="H75" s="131">
        <f>IF($BA75="","",INDEX(업무일지!$H$5:$H$1004,$BA75))</f>
        <v/>
      </c>
      <c r="I75" s="136">
        <f>IF($BA75="","",INDEX(업무일지!$J$5:$J$1004,$BA75))</f>
        <v/>
      </c>
      <c r="J75" s="129">
        <f>IF($BA75="","",INDEX(업무일지!$Z$5:$Z$1004,$BA75))</f>
        <v/>
      </c>
      <c r="K75" s="131">
        <f>IF($BA75="","",INDEX(업무일지!$AC$5:$AC$1004,$BA75))</f>
        <v/>
      </c>
      <c r="L75" s="131">
        <f>IF($BA75="","",INDEX(업무일지!$AH$5:$AH$1004,$BA75))</f>
        <v/>
      </c>
      <c r="AZ75">
        <f>IF(AND(업무일지!$B79&lt;&gt;"",업무일지!$AG79="진행중"),MAX(0,TODAY()-업무일지!$B79)*10000+926,"")</f>
        <v/>
      </c>
      <c r="BA75">
        <f>IFERROR(MATCH(LARGE($AZ$1:$AZ$1000,62),$AZ$1:$AZ$1000,0),"")</f>
        <v/>
      </c>
      <c r="BB75">
        <f>IF(AND(일일실시사항!$B79&lt;&gt;"",일일실시사항!$J79="진행중"),MAX(0,TODAY()-일일실시사항!$B79)*10000+926,"")</f>
        <v/>
      </c>
    </row>
    <row r="76">
      <c r="A76" s="118">
        <f>IF($BA76="","",63)</f>
        <v/>
      </c>
      <c r="B76" s="118">
        <f>IF($BA76="","",TODAY()-INDEX(업무일지!$B$5:$B$1004,$BA76))</f>
        <v/>
      </c>
      <c r="C76" s="137">
        <f>IF($BA76="","",INDEX(업무일지!$B$5:$B$1004,$BA76))</f>
        <v/>
      </c>
      <c r="D76" s="137">
        <f>IF($BA76="","",INDEX(업무일지!$C$5:$C$1004,$BA76))</f>
        <v/>
      </c>
      <c r="E76" s="136">
        <f>IF($BA76="","",INDEX(업무일지!$D$5:$D$1004,$BA76))</f>
        <v/>
      </c>
      <c r="F76" s="131">
        <f>IF($BA76="","",INDEX(업무일지!$E$5:$E$1004,$BA76))</f>
        <v/>
      </c>
      <c r="G76" s="136">
        <f>IF($BA76="","",INDEX(업무일지!$F$5:$F$1004,$BA76))</f>
        <v/>
      </c>
      <c r="H76" s="131">
        <f>IF($BA76="","",INDEX(업무일지!$H$5:$H$1004,$BA76))</f>
        <v/>
      </c>
      <c r="I76" s="136">
        <f>IF($BA76="","",INDEX(업무일지!$J$5:$J$1004,$BA76))</f>
        <v/>
      </c>
      <c r="J76" s="129">
        <f>IF($BA76="","",INDEX(업무일지!$Z$5:$Z$1004,$BA76))</f>
        <v/>
      </c>
      <c r="K76" s="131">
        <f>IF($BA76="","",INDEX(업무일지!$AC$5:$AC$1004,$BA76))</f>
        <v/>
      </c>
      <c r="L76" s="131">
        <f>IF($BA76="","",INDEX(업무일지!$AH$5:$AH$1004,$BA76))</f>
        <v/>
      </c>
      <c r="AZ76">
        <f>IF(AND(업무일지!$B80&lt;&gt;"",업무일지!$AG80="진행중"),MAX(0,TODAY()-업무일지!$B80)*10000+925,"")</f>
        <v/>
      </c>
      <c r="BA76">
        <f>IFERROR(MATCH(LARGE($AZ$1:$AZ$1000,63),$AZ$1:$AZ$1000,0),"")</f>
        <v/>
      </c>
      <c r="BB76">
        <f>IF(AND(일일실시사항!$B80&lt;&gt;"",일일실시사항!$J80="진행중"),MAX(0,TODAY()-일일실시사항!$B80)*10000+925,"")</f>
        <v/>
      </c>
    </row>
    <row r="77">
      <c r="A77" s="118">
        <f>IF($BA77="","",64)</f>
        <v/>
      </c>
      <c r="B77" s="118">
        <f>IF($BA77="","",TODAY()-INDEX(업무일지!$B$5:$B$1004,$BA77))</f>
        <v/>
      </c>
      <c r="C77" s="137">
        <f>IF($BA77="","",INDEX(업무일지!$B$5:$B$1004,$BA77))</f>
        <v/>
      </c>
      <c r="D77" s="137">
        <f>IF($BA77="","",INDEX(업무일지!$C$5:$C$1004,$BA77))</f>
        <v/>
      </c>
      <c r="E77" s="136">
        <f>IF($BA77="","",INDEX(업무일지!$D$5:$D$1004,$BA77))</f>
        <v/>
      </c>
      <c r="F77" s="131">
        <f>IF($BA77="","",INDEX(업무일지!$E$5:$E$1004,$BA77))</f>
        <v/>
      </c>
      <c r="G77" s="136">
        <f>IF($BA77="","",INDEX(업무일지!$F$5:$F$1004,$BA77))</f>
        <v/>
      </c>
      <c r="H77" s="131">
        <f>IF($BA77="","",INDEX(업무일지!$H$5:$H$1004,$BA77))</f>
        <v/>
      </c>
      <c r="I77" s="136">
        <f>IF($BA77="","",INDEX(업무일지!$J$5:$J$1004,$BA77))</f>
        <v/>
      </c>
      <c r="J77" s="129">
        <f>IF($BA77="","",INDEX(업무일지!$Z$5:$Z$1004,$BA77))</f>
        <v/>
      </c>
      <c r="K77" s="131">
        <f>IF($BA77="","",INDEX(업무일지!$AC$5:$AC$1004,$BA77))</f>
        <v/>
      </c>
      <c r="L77" s="131">
        <f>IF($BA77="","",INDEX(업무일지!$AH$5:$AH$1004,$BA77))</f>
        <v/>
      </c>
      <c r="AZ77">
        <f>IF(AND(업무일지!$B81&lt;&gt;"",업무일지!$AG81="진행중"),MAX(0,TODAY()-업무일지!$B81)*10000+924,"")</f>
        <v/>
      </c>
      <c r="BA77">
        <f>IFERROR(MATCH(LARGE($AZ$1:$AZ$1000,64),$AZ$1:$AZ$1000,0),"")</f>
        <v/>
      </c>
      <c r="BB77">
        <f>IF(AND(일일실시사항!$B81&lt;&gt;"",일일실시사항!$J81="진행중"),MAX(0,TODAY()-일일실시사항!$B81)*10000+924,"")</f>
        <v/>
      </c>
    </row>
    <row r="78">
      <c r="A78" s="118">
        <f>IF($BA78="","",65)</f>
        <v/>
      </c>
      <c r="B78" s="118">
        <f>IF($BA78="","",TODAY()-INDEX(업무일지!$B$5:$B$1004,$BA78))</f>
        <v/>
      </c>
      <c r="C78" s="137">
        <f>IF($BA78="","",INDEX(업무일지!$B$5:$B$1004,$BA78))</f>
        <v/>
      </c>
      <c r="D78" s="137">
        <f>IF($BA78="","",INDEX(업무일지!$C$5:$C$1004,$BA78))</f>
        <v/>
      </c>
      <c r="E78" s="136">
        <f>IF($BA78="","",INDEX(업무일지!$D$5:$D$1004,$BA78))</f>
        <v/>
      </c>
      <c r="F78" s="131">
        <f>IF($BA78="","",INDEX(업무일지!$E$5:$E$1004,$BA78))</f>
        <v/>
      </c>
      <c r="G78" s="136">
        <f>IF($BA78="","",INDEX(업무일지!$F$5:$F$1004,$BA78))</f>
        <v/>
      </c>
      <c r="H78" s="131">
        <f>IF($BA78="","",INDEX(업무일지!$H$5:$H$1004,$BA78))</f>
        <v/>
      </c>
      <c r="I78" s="136">
        <f>IF($BA78="","",INDEX(업무일지!$J$5:$J$1004,$BA78))</f>
        <v/>
      </c>
      <c r="J78" s="129">
        <f>IF($BA78="","",INDEX(업무일지!$Z$5:$Z$1004,$BA78))</f>
        <v/>
      </c>
      <c r="K78" s="131">
        <f>IF($BA78="","",INDEX(업무일지!$AC$5:$AC$1004,$BA78))</f>
        <v/>
      </c>
      <c r="L78" s="131">
        <f>IF($BA78="","",INDEX(업무일지!$AH$5:$AH$1004,$BA78))</f>
        <v/>
      </c>
      <c r="AZ78">
        <f>IF(AND(업무일지!$B82&lt;&gt;"",업무일지!$AG82="진행중"),MAX(0,TODAY()-업무일지!$B82)*10000+923,"")</f>
        <v/>
      </c>
      <c r="BA78">
        <f>IFERROR(MATCH(LARGE($AZ$1:$AZ$1000,65),$AZ$1:$AZ$1000,0),"")</f>
        <v/>
      </c>
      <c r="BB78">
        <f>IF(AND(일일실시사항!$B82&lt;&gt;"",일일실시사항!$J82="진행중"),MAX(0,TODAY()-일일실시사항!$B82)*10000+923,"")</f>
        <v/>
      </c>
    </row>
    <row r="79">
      <c r="A79" s="118">
        <f>IF($BA79="","",66)</f>
        <v/>
      </c>
      <c r="B79" s="118">
        <f>IF($BA79="","",TODAY()-INDEX(업무일지!$B$5:$B$1004,$BA79))</f>
        <v/>
      </c>
      <c r="C79" s="137">
        <f>IF($BA79="","",INDEX(업무일지!$B$5:$B$1004,$BA79))</f>
        <v/>
      </c>
      <c r="D79" s="137">
        <f>IF($BA79="","",INDEX(업무일지!$C$5:$C$1004,$BA79))</f>
        <v/>
      </c>
      <c r="E79" s="136">
        <f>IF($BA79="","",INDEX(업무일지!$D$5:$D$1004,$BA79))</f>
        <v/>
      </c>
      <c r="F79" s="131">
        <f>IF($BA79="","",INDEX(업무일지!$E$5:$E$1004,$BA79))</f>
        <v/>
      </c>
      <c r="G79" s="136">
        <f>IF($BA79="","",INDEX(업무일지!$F$5:$F$1004,$BA79))</f>
        <v/>
      </c>
      <c r="H79" s="131">
        <f>IF($BA79="","",INDEX(업무일지!$H$5:$H$1004,$BA79))</f>
        <v/>
      </c>
      <c r="I79" s="136">
        <f>IF($BA79="","",INDEX(업무일지!$J$5:$J$1004,$BA79))</f>
        <v/>
      </c>
      <c r="J79" s="129">
        <f>IF($BA79="","",INDEX(업무일지!$Z$5:$Z$1004,$BA79))</f>
        <v/>
      </c>
      <c r="K79" s="131">
        <f>IF($BA79="","",INDEX(업무일지!$AC$5:$AC$1004,$BA79))</f>
        <v/>
      </c>
      <c r="L79" s="131">
        <f>IF($BA79="","",INDEX(업무일지!$AH$5:$AH$1004,$BA79))</f>
        <v/>
      </c>
      <c r="AZ79">
        <f>IF(AND(업무일지!$B83&lt;&gt;"",업무일지!$AG83="진행중"),MAX(0,TODAY()-업무일지!$B83)*10000+922,"")</f>
        <v/>
      </c>
      <c r="BA79">
        <f>IFERROR(MATCH(LARGE($AZ$1:$AZ$1000,66),$AZ$1:$AZ$1000,0),"")</f>
        <v/>
      </c>
      <c r="BB79">
        <f>IF(AND(일일실시사항!$B83&lt;&gt;"",일일실시사항!$J83="진행중"),MAX(0,TODAY()-일일실시사항!$B83)*10000+922,"")</f>
        <v/>
      </c>
    </row>
    <row r="80">
      <c r="A80" s="118">
        <f>IF($BA80="","",67)</f>
        <v/>
      </c>
      <c r="B80" s="118">
        <f>IF($BA80="","",TODAY()-INDEX(업무일지!$B$5:$B$1004,$BA80))</f>
        <v/>
      </c>
      <c r="C80" s="137">
        <f>IF($BA80="","",INDEX(업무일지!$B$5:$B$1004,$BA80))</f>
        <v/>
      </c>
      <c r="D80" s="137">
        <f>IF($BA80="","",INDEX(업무일지!$C$5:$C$1004,$BA80))</f>
        <v/>
      </c>
      <c r="E80" s="136">
        <f>IF($BA80="","",INDEX(업무일지!$D$5:$D$1004,$BA80))</f>
        <v/>
      </c>
      <c r="F80" s="131">
        <f>IF($BA80="","",INDEX(업무일지!$E$5:$E$1004,$BA80))</f>
        <v/>
      </c>
      <c r="G80" s="136">
        <f>IF($BA80="","",INDEX(업무일지!$F$5:$F$1004,$BA80))</f>
        <v/>
      </c>
      <c r="H80" s="131">
        <f>IF($BA80="","",INDEX(업무일지!$H$5:$H$1004,$BA80))</f>
        <v/>
      </c>
      <c r="I80" s="136">
        <f>IF($BA80="","",INDEX(업무일지!$J$5:$J$1004,$BA80))</f>
        <v/>
      </c>
      <c r="J80" s="129">
        <f>IF($BA80="","",INDEX(업무일지!$Z$5:$Z$1004,$BA80))</f>
        <v/>
      </c>
      <c r="K80" s="131">
        <f>IF($BA80="","",INDEX(업무일지!$AC$5:$AC$1004,$BA80))</f>
        <v/>
      </c>
      <c r="L80" s="131">
        <f>IF($BA80="","",INDEX(업무일지!$AH$5:$AH$1004,$BA80))</f>
        <v/>
      </c>
      <c r="AZ80">
        <f>IF(AND(업무일지!$B84&lt;&gt;"",업무일지!$AG84="진행중"),MAX(0,TODAY()-업무일지!$B84)*10000+921,"")</f>
        <v/>
      </c>
      <c r="BA80">
        <f>IFERROR(MATCH(LARGE($AZ$1:$AZ$1000,67),$AZ$1:$AZ$1000,0),"")</f>
        <v/>
      </c>
      <c r="BB80">
        <f>IF(AND(일일실시사항!$B84&lt;&gt;"",일일실시사항!$J84="진행중"),MAX(0,TODAY()-일일실시사항!$B84)*10000+921,"")</f>
        <v/>
      </c>
    </row>
    <row r="81">
      <c r="A81" s="118">
        <f>IF($BA81="","",68)</f>
        <v/>
      </c>
      <c r="B81" s="118">
        <f>IF($BA81="","",TODAY()-INDEX(업무일지!$B$5:$B$1004,$BA81))</f>
        <v/>
      </c>
      <c r="C81" s="137">
        <f>IF($BA81="","",INDEX(업무일지!$B$5:$B$1004,$BA81))</f>
        <v/>
      </c>
      <c r="D81" s="137">
        <f>IF($BA81="","",INDEX(업무일지!$C$5:$C$1004,$BA81))</f>
        <v/>
      </c>
      <c r="E81" s="136">
        <f>IF($BA81="","",INDEX(업무일지!$D$5:$D$1004,$BA81))</f>
        <v/>
      </c>
      <c r="F81" s="131">
        <f>IF($BA81="","",INDEX(업무일지!$E$5:$E$1004,$BA81))</f>
        <v/>
      </c>
      <c r="G81" s="136">
        <f>IF($BA81="","",INDEX(업무일지!$F$5:$F$1004,$BA81))</f>
        <v/>
      </c>
      <c r="H81" s="131">
        <f>IF($BA81="","",INDEX(업무일지!$H$5:$H$1004,$BA81))</f>
        <v/>
      </c>
      <c r="I81" s="136">
        <f>IF($BA81="","",INDEX(업무일지!$J$5:$J$1004,$BA81))</f>
        <v/>
      </c>
      <c r="J81" s="129">
        <f>IF($BA81="","",INDEX(업무일지!$Z$5:$Z$1004,$BA81))</f>
        <v/>
      </c>
      <c r="K81" s="131">
        <f>IF($BA81="","",INDEX(업무일지!$AC$5:$AC$1004,$BA81))</f>
        <v/>
      </c>
      <c r="L81" s="131">
        <f>IF($BA81="","",INDEX(업무일지!$AH$5:$AH$1004,$BA81))</f>
        <v/>
      </c>
      <c r="AZ81">
        <f>IF(AND(업무일지!$B85&lt;&gt;"",업무일지!$AG85="진행중"),MAX(0,TODAY()-업무일지!$B85)*10000+920,"")</f>
        <v/>
      </c>
      <c r="BA81">
        <f>IFERROR(MATCH(LARGE($AZ$1:$AZ$1000,68),$AZ$1:$AZ$1000,0),"")</f>
        <v/>
      </c>
      <c r="BB81">
        <f>IF(AND(일일실시사항!$B85&lt;&gt;"",일일실시사항!$J85="진행중"),MAX(0,TODAY()-일일실시사항!$B85)*10000+920,"")</f>
        <v/>
      </c>
    </row>
    <row r="82">
      <c r="A82" s="118">
        <f>IF($BA82="","",69)</f>
        <v/>
      </c>
      <c r="B82" s="118">
        <f>IF($BA82="","",TODAY()-INDEX(업무일지!$B$5:$B$1004,$BA82))</f>
        <v/>
      </c>
      <c r="C82" s="137">
        <f>IF($BA82="","",INDEX(업무일지!$B$5:$B$1004,$BA82))</f>
        <v/>
      </c>
      <c r="D82" s="137">
        <f>IF($BA82="","",INDEX(업무일지!$C$5:$C$1004,$BA82))</f>
        <v/>
      </c>
      <c r="E82" s="136">
        <f>IF($BA82="","",INDEX(업무일지!$D$5:$D$1004,$BA82))</f>
        <v/>
      </c>
      <c r="F82" s="131">
        <f>IF($BA82="","",INDEX(업무일지!$E$5:$E$1004,$BA82))</f>
        <v/>
      </c>
      <c r="G82" s="136">
        <f>IF($BA82="","",INDEX(업무일지!$F$5:$F$1004,$BA82))</f>
        <v/>
      </c>
      <c r="H82" s="131">
        <f>IF($BA82="","",INDEX(업무일지!$H$5:$H$1004,$BA82))</f>
        <v/>
      </c>
      <c r="I82" s="136">
        <f>IF($BA82="","",INDEX(업무일지!$J$5:$J$1004,$BA82))</f>
        <v/>
      </c>
      <c r="J82" s="129">
        <f>IF($BA82="","",INDEX(업무일지!$Z$5:$Z$1004,$BA82))</f>
        <v/>
      </c>
      <c r="K82" s="131">
        <f>IF($BA82="","",INDEX(업무일지!$AC$5:$AC$1004,$BA82))</f>
        <v/>
      </c>
      <c r="L82" s="131">
        <f>IF($BA82="","",INDEX(업무일지!$AH$5:$AH$1004,$BA82))</f>
        <v/>
      </c>
      <c r="AZ82">
        <f>IF(AND(업무일지!$B86&lt;&gt;"",업무일지!$AG86="진행중"),MAX(0,TODAY()-업무일지!$B86)*10000+919,"")</f>
        <v/>
      </c>
      <c r="BA82">
        <f>IFERROR(MATCH(LARGE($AZ$1:$AZ$1000,69),$AZ$1:$AZ$1000,0),"")</f>
        <v/>
      </c>
      <c r="BB82">
        <f>IF(AND(일일실시사항!$B86&lt;&gt;"",일일실시사항!$J86="진행중"),MAX(0,TODAY()-일일실시사항!$B86)*10000+919,"")</f>
        <v/>
      </c>
    </row>
    <row r="83">
      <c r="A83" s="118">
        <f>IF($BA83="","",70)</f>
        <v/>
      </c>
      <c r="B83" s="118">
        <f>IF($BA83="","",TODAY()-INDEX(업무일지!$B$5:$B$1004,$BA83))</f>
        <v/>
      </c>
      <c r="C83" s="137">
        <f>IF($BA83="","",INDEX(업무일지!$B$5:$B$1004,$BA83))</f>
        <v/>
      </c>
      <c r="D83" s="137">
        <f>IF($BA83="","",INDEX(업무일지!$C$5:$C$1004,$BA83))</f>
        <v/>
      </c>
      <c r="E83" s="136">
        <f>IF($BA83="","",INDEX(업무일지!$D$5:$D$1004,$BA83))</f>
        <v/>
      </c>
      <c r="F83" s="131">
        <f>IF($BA83="","",INDEX(업무일지!$E$5:$E$1004,$BA83))</f>
        <v/>
      </c>
      <c r="G83" s="136">
        <f>IF($BA83="","",INDEX(업무일지!$F$5:$F$1004,$BA83))</f>
        <v/>
      </c>
      <c r="H83" s="131">
        <f>IF($BA83="","",INDEX(업무일지!$H$5:$H$1004,$BA83))</f>
        <v/>
      </c>
      <c r="I83" s="136">
        <f>IF($BA83="","",INDEX(업무일지!$J$5:$J$1004,$BA83))</f>
        <v/>
      </c>
      <c r="J83" s="129">
        <f>IF($BA83="","",INDEX(업무일지!$Z$5:$Z$1004,$BA83))</f>
        <v/>
      </c>
      <c r="K83" s="131">
        <f>IF($BA83="","",INDEX(업무일지!$AC$5:$AC$1004,$BA83))</f>
        <v/>
      </c>
      <c r="L83" s="131">
        <f>IF($BA83="","",INDEX(업무일지!$AH$5:$AH$1004,$BA83))</f>
        <v/>
      </c>
      <c r="AZ83">
        <f>IF(AND(업무일지!$B87&lt;&gt;"",업무일지!$AG87="진행중"),MAX(0,TODAY()-업무일지!$B87)*10000+918,"")</f>
        <v/>
      </c>
      <c r="BA83">
        <f>IFERROR(MATCH(LARGE($AZ$1:$AZ$1000,70),$AZ$1:$AZ$1000,0),"")</f>
        <v/>
      </c>
      <c r="BB83">
        <f>IF(AND(일일실시사항!$B87&lt;&gt;"",일일실시사항!$J87="진행중"),MAX(0,TODAY()-일일실시사항!$B87)*10000+918,"")</f>
        <v/>
      </c>
    </row>
    <row r="84">
      <c r="A84" s="118">
        <f>IF($BA84="","",71)</f>
        <v/>
      </c>
      <c r="B84" s="118">
        <f>IF($BA84="","",TODAY()-INDEX(업무일지!$B$5:$B$1004,$BA84))</f>
        <v/>
      </c>
      <c r="C84" s="137">
        <f>IF($BA84="","",INDEX(업무일지!$B$5:$B$1004,$BA84))</f>
        <v/>
      </c>
      <c r="D84" s="137">
        <f>IF($BA84="","",INDEX(업무일지!$C$5:$C$1004,$BA84))</f>
        <v/>
      </c>
      <c r="E84" s="136">
        <f>IF($BA84="","",INDEX(업무일지!$D$5:$D$1004,$BA84))</f>
        <v/>
      </c>
      <c r="F84" s="131">
        <f>IF($BA84="","",INDEX(업무일지!$E$5:$E$1004,$BA84))</f>
        <v/>
      </c>
      <c r="G84" s="136">
        <f>IF($BA84="","",INDEX(업무일지!$F$5:$F$1004,$BA84))</f>
        <v/>
      </c>
      <c r="H84" s="131">
        <f>IF($BA84="","",INDEX(업무일지!$H$5:$H$1004,$BA84))</f>
        <v/>
      </c>
      <c r="I84" s="136">
        <f>IF($BA84="","",INDEX(업무일지!$J$5:$J$1004,$BA84))</f>
        <v/>
      </c>
      <c r="J84" s="129">
        <f>IF($BA84="","",INDEX(업무일지!$Z$5:$Z$1004,$BA84))</f>
        <v/>
      </c>
      <c r="K84" s="131">
        <f>IF($BA84="","",INDEX(업무일지!$AC$5:$AC$1004,$BA84))</f>
        <v/>
      </c>
      <c r="L84" s="131">
        <f>IF($BA84="","",INDEX(업무일지!$AH$5:$AH$1004,$BA84))</f>
        <v/>
      </c>
      <c r="AZ84">
        <f>IF(AND(업무일지!$B88&lt;&gt;"",업무일지!$AG88="진행중"),MAX(0,TODAY()-업무일지!$B88)*10000+917,"")</f>
        <v/>
      </c>
      <c r="BA84">
        <f>IFERROR(MATCH(LARGE($AZ$1:$AZ$1000,71),$AZ$1:$AZ$1000,0),"")</f>
        <v/>
      </c>
      <c r="BB84">
        <f>IF(AND(일일실시사항!$B88&lt;&gt;"",일일실시사항!$J88="진행중"),MAX(0,TODAY()-일일실시사항!$B88)*10000+917,"")</f>
        <v/>
      </c>
    </row>
    <row r="85">
      <c r="A85" s="118">
        <f>IF($BA85="","",72)</f>
        <v/>
      </c>
      <c r="B85" s="118">
        <f>IF($BA85="","",TODAY()-INDEX(업무일지!$B$5:$B$1004,$BA85))</f>
        <v/>
      </c>
      <c r="C85" s="137">
        <f>IF($BA85="","",INDEX(업무일지!$B$5:$B$1004,$BA85))</f>
        <v/>
      </c>
      <c r="D85" s="137">
        <f>IF($BA85="","",INDEX(업무일지!$C$5:$C$1004,$BA85))</f>
        <v/>
      </c>
      <c r="E85" s="136">
        <f>IF($BA85="","",INDEX(업무일지!$D$5:$D$1004,$BA85))</f>
        <v/>
      </c>
      <c r="F85" s="131">
        <f>IF($BA85="","",INDEX(업무일지!$E$5:$E$1004,$BA85))</f>
        <v/>
      </c>
      <c r="G85" s="136">
        <f>IF($BA85="","",INDEX(업무일지!$F$5:$F$1004,$BA85))</f>
        <v/>
      </c>
      <c r="H85" s="131">
        <f>IF($BA85="","",INDEX(업무일지!$H$5:$H$1004,$BA85))</f>
        <v/>
      </c>
      <c r="I85" s="136">
        <f>IF($BA85="","",INDEX(업무일지!$J$5:$J$1004,$BA85))</f>
        <v/>
      </c>
      <c r="J85" s="129">
        <f>IF($BA85="","",INDEX(업무일지!$Z$5:$Z$1004,$BA85))</f>
        <v/>
      </c>
      <c r="K85" s="131">
        <f>IF($BA85="","",INDEX(업무일지!$AC$5:$AC$1004,$BA85))</f>
        <v/>
      </c>
      <c r="L85" s="131">
        <f>IF($BA85="","",INDEX(업무일지!$AH$5:$AH$1004,$BA85))</f>
        <v/>
      </c>
      <c r="AZ85">
        <f>IF(AND(업무일지!$B89&lt;&gt;"",업무일지!$AG89="진행중"),MAX(0,TODAY()-업무일지!$B89)*10000+916,"")</f>
        <v/>
      </c>
      <c r="BA85">
        <f>IFERROR(MATCH(LARGE($AZ$1:$AZ$1000,72),$AZ$1:$AZ$1000,0),"")</f>
        <v/>
      </c>
      <c r="BB85">
        <f>IF(AND(일일실시사항!$B89&lt;&gt;"",일일실시사항!$J89="진행중"),MAX(0,TODAY()-일일실시사항!$B89)*10000+916,"")</f>
        <v/>
      </c>
    </row>
    <row r="86">
      <c r="A86" s="118">
        <f>IF($BA86="","",73)</f>
        <v/>
      </c>
      <c r="B86" s="118">
        <f>IF($BA86="","",TODAY()-INDEX(업무일지!$B$5:$B$1004,$BA86))</f>
        <v/>
      </c>
      <c r="C86" s="137">
        <f>IF($BA86="","",INDEX(업무일지!$B$5:$B$1004,$BA86))</f>
        <v/>
      </c>
      <c r="D86" s="137">
        <f>IF($BA86="","",INDEX(업무일지!$C$5:$C$1004,$BA86))</f>
        <v/>
      </c>
      <c r="E86" s="136">
        <f>IF($BA86="","",INDEX(업무일지!$D$5:$D$1004,$BA86))</f>
        <v/>
      </c>
      <c r="F86" s="131">
        <f>IF($BA86="","",INDEX(업무일지!$E$5:$E$1004,$BA86))</f>
        <v/>
      </c>
      <c r="G86" s="136">
        <f>IF($BA86="","",INDEX(업무일지!$F$5:$F$1004,$BA86))</f>
        <v/>
      </c>
      <c r="H86" s="131">
        <f>IF($BA86="","",INDEX(업무일지!$H$5:$H$1004,$BA86))</f>
        <v/>
      </c>
      <c r="I86" s="136">
        <f>IF($BA86="","",INDEX(업무일지!$J$5:$J$1004,$BA86))</f>
        <v/>
      </c>
      <c r="J86" s="129">
        <f>IF($BA86="","",INDEX(업무일지!$Z$5:$Z$1004,$BA86))</f>
        <v/>
      </c>
      <c r="K86" s="131">
        <f>IF($BA86="","",INDEX(업무일지!$AC$5:$AC$1004,$BA86))</f>
        <v/>
      </c>
      <c r="L86" s="131">
        <f>IF($BA86="","",INDEX(업무일지!$AH$5:$AH$1004,$BA86))</f>
        <v/>
      </c>
      <c r="AZ86">
        <f>IF(AND(업무일지!$B90&lt;&gt;"",업무일지!$AG90="진행중"),MAX(0,TODAY()-업무일지!$B90)*10000+915,"")</f>
        <v/>
      </c>
      <c r="BA86">
        <f>IFERROR(MATCH(LARGE($AZ$1:$AZ$1000,73),$AZ$1:$AZ$1000,0),"")</f>
        <v/>
      </c>
      <c r="BB86">
        <f>IF(AND(일일실시사항!$B90&lt;&gt;"",일일실시사항!$J90="진행중"),MAX(0,TODAY()-일일실시사항!$B90)*10000+915,"")</f>
        <v/>
      </c>
    </row>
    <row r="87">
      <c r="A87" s="118">
        <f>IF($BA87="","",74)</f>
        <v/>
      </c>
      <c r="B87" s="118">
        <f>IF($BA87="","",TODAY()-INDEX(업무일지!$B$5:$B$1004,$BA87))</f>
        <v/>
      </c>
      <c r="C87" s="137">
        <f>IF($BA87="","",INDEX(업무일지!$B$5:$B$1004,$BA87))</f>
        <v/>
      </c>
      <c r="D87" s="137">
        <f>IF($BA87="","",INDEX(업무일지!$C$5:$C$1004,$BA87))</f>
        <v/>
      </c>
      <c r="E87" s="136">
        <f>IF($BA87="","",INDEX(업무일지!$D$5:$D$1004,$BA87))</f>
        <v/>
      </c>
      <c r="F87" s="131">
        <f>IF($BA87="","",INDEX(업무일지!$E$5:$E$1004,$BA87))</f>
        <v/>
      </c>
      <c r="G87" s="136">
        <f>IF($BA87="","",INDEX(업무일지!$F$5:$F$1004,$BA87))</f>
        <v/>
      </c>
      <c r="H87" s="131">
        <f>IF($BA87="","",INDEX(업무일지!$H$5:$H$1004,$BA87))</f>
        <v/>
      </c>
      <c r="I87" s="136">
        <f>IF($BA87="","",INDEX(업무일지!$J$5:$J$1004,$BA87))</f>
        <v/>
      </c>
      <c r="J87" s="129">
        <f>IF($BA87="","",INDEX(업무일지!$Z$5:$Z$1004,$BA87))</f>
        <v/>
      </c>
      <c r="K87" s="131">
        <f>IF($BA87="","",INDEX(업무일지!$AC$5:$AC$1004,$BA87))</f>
        <v/>
      </c>
      <c r="L87" s="131">
        <f>IF($BA87="","",INDEX(업무일지!$AH$5:$AH$1004,$BA87))</f>
        <v/>
      </c>
      <c r="AZ87">
        <f>IF(AND(업무일지!$B91&lt;&gt;"",업무일지!$AG91="진행중"),MAX(0,TODAY()-업무일지!$B91)*10000+914,"")</f>
        <v/>
      </c>
      <c r="BA87">
        <f>IFERROR(MATCH(LARGE($AZ$1:$AZ$1000,74),$AZ$1:$AZ$1000,0),"")</f>
        <v/>
      </c>
      <c r="BB87">
        <f>IF(AND(일일실시사항!$B91&lt;&gt;"",일일실시사항!$J91="진행중"),MAX(0,TODAY()-일일실시사항!$B91)*10000+914,"")</f>
        <v/>
      </c>
    </row>
    <row r="88">
      <c r="A88" s="118">
        <f>IF($BA88="","",75)</f>
        <v/>
      </c>
      <c r="B88" s="118">
        <f>IF($BA88="","",TODAY()-INDEX(업무일지!$B$5:$B$1004,$BA88))</f>
        <v/>
      </c>
      <c r="C88" s="137">
        <f>IF($BA88="","",INDEX(업무일지!$B$5:$B$1004,$BA88))</f>
        <v/>
      </c>
      <c r="D88" s="137">
        <f>IF($BA88="","",INDEX(업무일지!$C$5:$C$1004,$BA88))</f>
        <v/>
      </c>
      <c r="E88" s="136">
        <f>IF($BA88="","",INDEX(업무일지!$D$5:$D$1004,$BA88))</f>
        <v/>
      </c>
      <c r="F88" s="131">
        <f>IF($BA88="","",INDEX(업무일지!$E$5:$E$1004,$BA88))</f>
        <v/>
      </c>
      <c r="G88" s="136">
        <f>IF($BA88="","",INDEX(업무일지!$F$5:$F$1004,$BA88))</f>
        <v/>
      </c>
      <c r="H88" s="131">
        <f>IF($BA88="","",INDEX(업무일지!$H$5:$H$1004,$BA88))</f>
        <v/>
      </c>
      <c r="I88" s="136">
        <f>IF($BA88="","",INDEX(업무일지!$J$5:$J$1004,$BA88))</f>
        <v/>
      </c>
      <c r="J88" s="129">
        <f>IF($BA88="","",INDEX(업무일지!$Z$5:$Z$1004,$BA88))</f>
        <v/>
      </c>
      <c r="K88" s="131">
        <f>IF($BA88="","",INDEX(업무일지!$AC$5:$AC$1004,$BA88))</f>
        <v/>
      </c>
      <c r="L88" s="131">
        <f>IF($BA88="","",INDEX(업무일지!$AH$5:$AH$1004,$BA88))</f>
        <v/>
      </c>
      <c r="AZ88">
        <f>IF(AND(업무일지!$B92&lt;&gt;"",업무일지!$AG92="진행중"),MAX(0,TODAY()-업무일지!$B92)*10000+913,"")</f>
        <v/>
      </c>
      <c r="BA88">
        <f>IFERROR(MATCH(LARGE($AZ$1:$AZ$1000,75),$AZ$1:$AZ$1000,0),"")</f>
        <v/>
      </c>
      <c r="BB88">
        <f>IF(AND(일일실시사항!$B92&lt;&gt;"",일일실시사항!$J92="진행중"),MAX(0,TODAY()-일일실시사항!$B92)*10000+913,"")</f>
        <v/>
      </c>
    </row>
    <row r="89">
      <c r="A89" s="118">
        <f>IF($BA89="","",76)</f>
        <v/>
      </c>
      <c r="B89" s="118">
        <f>IF($BA89="","",TODAY()-INDEX(업무일지!$B$5:$B$1004,$BA89))</f>
        <v/>
      </c>
      <c r="C89" s="137">
        <f>IF($BA89="","",INDEX(업무일지!$B$5:$B$1004,$BA89))</f>
        <v/>
      </c>
      <c r="D89" s="137">
        <f>IF($BA89="","",INDEX(업무일지!$C$5:$C$1004,$BA89))</f>
        <v/>
      </c>
      <c r="E89" s="136">
        <f>IF($BA89="","",INDEX(업무일지!$D$5:$D$1004,$BA89))</f>
        <v/>
      </c>
      <c r="F89" s="131">
        <f>IF($BA89="","",INDEX(업무일지!$E$5:$E$1004,$BA89))</f>
        <v/>
      </c>
      <c r="G89" s="136">
        <f>IF($BA89="","",INDEX(업무일지!$F$5:$F$1004,$BA89))</f>
        <v/>
      </c>
      <c r="H89" s="131">
        <f>IF($BA89="","",INDEX(업무일지!$H$5:$H$1004,$BA89))</f>
        <v/>
      </c>
      <c r="I89" s="136">
        <f>IF($BA89="","",INDEX(업무일지!$J$5:$J$1004,$BA89))</f>
        <v/>
      </c>
      <c r="J89" s="129">
        <f>IF($BA89="","",INDEX(업무일지!$Z$5:$Z$1004,$BA89))</f>
        <v/>
      </c>
      <c r="K89" s="131">
        <f>IF($BA89="","",INDEX(업무일지!$AC$5:$AC$1004,$BA89))</f>
        <v/>
      </c>
      <c r="L89" s="131">
        <f>IF($BA89="","",INDEX(업무일지!$AH$5:$AH$1004,$BA89))</f>
        <v/>
      </c>
      <c r="AZ89">
        <f>IF(AND(업무일지!$B93&lt;&gt;"",업무일지!$AG93="진행중"),MAX(0,TODAY()-업무일지!$B93)*10000+912,"")</f>
        <v/>
      </c>
      <c r="BA89">
        <f>IFERROR(MATCH(LARGE($AZ$1:$AZ$1000,76),$AZ$1:$AZ$1000,0),"")</f>
        <v/>
      </c>
      <c r="BB89">
        <f>IF(AND(일일실시사항!$B93&lt;&gt;"",일일실시사항!$J93="진행중"),MAX(0,TODAY()-일일실시사항!$B93)*10000+912,"")</f>
        <v/>
      </c>
    </row>
    <row r="90">
      <c r="A90" s="118">
        <f>IF($BA90="","",77)</f>
        <v/>
      </c>
      <c r="B90" s="118">
        <f>IF($BA90="","",TODAY()-INDEX(업무일지!$B$5:$B$1004,$BA90))</f>
        <v/>
      </c>
      <c r="C90" s="137">
        <f>IF($BA90="","",INDEX(업무일지!$B$5:$B$1004,$BA90))</f>
        <v/>
      </c>
      <c r="D90" s="137">
        <f>IF($BA90="","",INDEX(업무일지!$C$5:$C$1004,$BA90))</f>
        <v/>
      </c>
      <c r="E90" s="136">
        <f>IF($BA90="","",INDEX(업무일지!$D$5:$D$1004,$BA90))</f>
        <v/>
      </c>
      <c r="F90" s="131">
        <f>IF($BA90="","",INDEX(업무일지!$E$5:$E$1004,$BA90))</f>
        <v/>
      </c>
      <c r="G90" s="136">
        <f>IF($BA90="","",INDEX(업무일지!$F$5:$F$1004,$BA90))</f>
        <v/>
      </c>
      <c r="H90" s="131">
        <f>IF($BA90="","",INDEX(업무일지!$H$5:$H$1004,$BA90))</f>
        <v/>
      </c>
      <c r="I90" s="136">
        <f>IF($BA90="","",INDEX(업무일지!$J$5:$J$1004,$BA90))</f>
        <v/>
      </c>
      <c r="J90" s="129">
        <f>IF($BA90="","",INDEX(업무일지!$Z$5:$Z$1004,$BA90))</f>
        <v/>
      </c>
      <c r="K90" s="131">
        <f>IF($BA90="","",INDEX(업무일지!$AC$5:$AC$1004,$BA90))</f>
        <v/>
      </c>
      <c r="L90" s="131">
        <f>IF($BA90="","",INDEX(업무일지!$AH$5:$AH$1004,$BA90))</f>
        <v/>
      </c>
      <c r="AZ90">
        <f>IF(AND(업무일지!$B94&lt;&gt;"",업무일지!$AG94="진행중"),MAX(0,TODAY()-업무일지!$B94)*10000+911,"")</f>
        <v/>
      </c>
      <c r="BA90">
        <f>IFERROR(MATCH(LARGE($AZ$1:$AZ$1000,77),$AZ$1:$AZ$1000,0),"")</f>
        <v/>
      </c>
      <c r="BB90">
        <f>IF(AND(일일실시사항!$B94&lt;&gt;"",일일실시사항!$J94="진행중"),MAX(0,TODAY()-일일실시사항!$B94)*10000+911,"")</f>
        <v/>
      </c>
    </row>
    <row r="91">
      <c r="A91" s="118">
        <f>IF($BA91="","",78)</f>
        <v/>
      </c>
      <c r="B91" s="118">
        <f>IF($BA91="","",TODAY()-INDEX(업무일지!$B$5:$B$1004,$BA91))</f>
        <v/>
      </c>
      <c r="C91" s="137">
        <f>IF($BA91="","",INDEX(업무일지!$B$5:$B$1004,$BA91))</f>
        <v/>
      </c>
      <c r="D91" s="137">
        <f>IF($BA91="","",INDEX(업무일지!$C$5:$C$1004,$BA91))</f>
        <v/>
      </c>
      <c r="E91" s="136">
        <f>IF($BA91="","",INDEX(업무일지!$D$5:$D$1004,$BA91))</f>
        <v/>
      </c>
      <c r="F91" s="131">
        <f>IF($BA91="","",INDEX(업무일지!$E$5:$E$1004,$BA91))</f>
        <v/>
      </c>
      <c r="G91" s="136">
        <f>IF($BA91="","",INDEX(업무일지!$F$5:$F$1004,$BA91))</f>
        <v/>
      </c>
      <c r="H91" s="131">
        <f>IF($BA91="","",INDEX(업무일지!$H$5:$H$1004,$BA91))</f>
        <v/>
      </c>
      <c r="I91" s="136">
        <f>IF($BA91="","",INDEX(업무일지!$J$5:$J$1004,$BA91))</f>
        <v/>
      </c>
      <c r="J91" s="129">
        <f>IF($BA91="","",INDEX(업무일지!$Z$5:$Z$1004,$BA91))</f>
        <v/>
      </c>
      <c r="K91" s="131">
        <f>IF($BA91="","",INDEX(업무일지!$AC$5:$AC$1004,$BA91))</f>
        <v/>
      </c>
      <c r="L91" s="131">
        <f>IF($BA91="","",INDEX(업무일지!$AH$5:$AH$1004,$BA91))</f>
        <v/>
      </c>
      <c r="AZ91">
        <f>IF(AND(업무일지!$B95&lt;&gt;"",업무일지!$AG95="진행중"),MAX(0,TODAY()-업무일지!$B95)*10000+910,"")</f>
        <v/>
      </c>
      <c r="BA91">
        <f>IFERROR(MATCH(LARGE($AZ$1:$AZ$1000,78),$AZ$1:$AZ$1000,0),"")</f>
        <v/>
      </c>
      <c r="BB91">
        <f>IF(AND(일일실시사항!$B95&lt;&gt;"",일일실시사항!$J95="진행중"),MAX(0,TODAY()-일일실시사항!$B95)*10000+910,"")</f>
        <v/>
      </c>
    </row>
    <row r="92">
      <c r="A92" s="118">
        <f>IF($BA92="","",79)</f>
        <v/>
      </c>
      <c r="B92" s="118">
        <f>IF($BA92="","",TODAY()-INDEX(업무일지!$B$5:$B$1004,$BA92))</f>
        <v/>
      </c>
      <c r="C92" s="137">
        <f>IF($BA92="","",INDEX(업무일지!$B$5:$B$1004,$BA92))</f>
        <v/>
      </c>
      <c r="D92" s="137">
        <f>IF($BA92="","",INDEX(업무일지!$C$5:$C$1004,$BA92))</f>
        <v/>
      </c>
      <c r="E92" s="136">
        <f>IF($BA92="","",INDEX(업무일지!$D$5:$D$1004,$BA92))</f>
        <v/>
      </c>
      <c r="F92" s="131">
        <f>IF($BA92="","",INDEX(업무일지!$E$5:$E$1004,$BA92))</f>
        <v/>
      </c>
      <c r="G92" s="136">
        <f>IF($BA92="","",INDEX(업무일지!$F$5:$F$1004,$BA92))</f>
        <v/>
      </c>
      <c r="H92" s="131">
        <f>IF($BA92="","",INDEX(업무일지!$H$5:$H$1004,$BA92))</f>
        <v/>
      </c>
      <c r="I92" s="136">
        <f>IF($BA92="","",INDEX(업무일지!$J$5:$J$1004,$BA92))</f>
        <v/>
      </c>
      <c r="J92" s="129">
        <f>IF($BA92="","",INDEX(업무일지!$Z$5:$Z$1004,$BA92))</f>
        <v/>
      </c>
      <c r="K92" s="131">
        <f>IF($BA92="","",INDEX(업무일지!$AC$5:$AC$1004,$BA92))</f>
        <v/>
      </c>
      <c r="L92" s="131">
        <f>IF($BA92="","",INDEX(업무일지!$AH$5:$AH$1004,$BA92))</f>
        <v/>
      </c>
      <c r="AZ92">
        <f>IF(AND(업무일지!$B96&lt;&gt;"",업무일지!$AG96="진행중"),MAX(0,TODAY()-업무일지!$B96)*10000+909,"")</f>
        <v/>
      </c>
      <c r="BA92">
        <f>IFERROR(MATCH(LARGE($AZ$1:$AZ$1000,79),$AZ$1:$AZ$1000,0),"")</f>
        <v/>
      </c>
      <c r="BB92">
        <f>IF(AND(일일실시사항!$B96&lt;&gt;"",일일실시사항!$J96="진행중"),MAX(0,TODAY()-일일실시사항!$B96)*10000+909,"")</f>
        <v/>
      </c>
    </row>
    <row r="93">
      <c r="A93" s="118">
        <f>IF($BA93="","",80)</f>
        <v/>
      </c>
      <c r="B93" s="118">
        <f>IF($BA93="","",TODAY()-INDEX(업무일지!$B$5:$B$1004,$BA93))</f>
        <v/>
      </c>
      <c r="C93" s="137">
        <f>IF($BA93="","",INDEX(업무일지!$B$5:$B$1004,$BA93))</f>
        <v/>
      </c>
      <c r="D93" s="137">
        <f>IF($BA93="","",INDEX(업무일지!$C$5:$C$1004,$BA93))</f>
        <v/>
      </c>
      <c r="E93" s="136">
        <f>IF($BA93="","",INDEX(업무일지!$D$5:$D$1004,$BA93))</f>
        <v/>
      </c>
      <c r="F93" s="131">
        <f>IF($BA93="","",INDEX(업무일지!$E$5:$E$1004,$BA93))</f>
        <v/>
      </c>
      <c r="G93" s="136">
        <f>IF($BA93="","",INDEX(업무일지!$F$5:$F$1004,$BA93))</f>
        <v/>
      </c>
      <c r="H93" s="131">
        <f>IF($BA93="","",INDEX(업무일지!$H$5:$H$1004,$BA93))</f>
        <v/>
      </c>
      <c r="I93" s="136">
        <f>IF($BA93="","",INDEX(업무일지!$J$5:$J$1004,$BA93))</f>
        <v/>
      </c>
      <c r="J93" s="129">
        <f>IF($BA93="","",INDEX(업무일지!$Z$5:$Z$1004,$BA93))</f>
        <v/>
      </c>
      <c r="K93" s="131">
        <f>IF($BA93="","",INDEX(업무일지!$AC$5:$AC$1004,$BA93))</f>
        <v/>
      </c>
      <c r="L93" s="131">
        <f>IF($BA93="","",INDEX(업무일지!$AH$5:$AH$1004,$BA93))</f>
        <v/>
      </c>
      <c r="AZ93">
        <f>IF(AND(업무일지!$B97&lt;&gt;"",업무일지!$AG97="진행중"),MAX(0,TODAY()-업무일지!$B97)*10000+908,"")</f>
        <v/>
      </c>
      <c r="BA93">
        <f>IFERROR(MATCH(LARGE($AZ$1:$AZ$1000,80),$AZ$1:$AZ$1000,0),"")</f>
        <v/>
      </c>
      <c r="BB93">
        <f>IF(AND(일일실시사항!$B97&lt;&gt;"",일일실시사항!$J97="진행중"),MAX(0,TODAY()-일일실시사항!$B97)*10000+908,"")</f>
        <v/>
      </c>
    </row>
    <row r="94">
      <c r="A94" s="118">
        <f>IF($BA94="","",81)</f>
        <v/>
      </c>
      <c r="B94" s="118">
        <f>IF($BA94="","",TODAY()-INDEX(업무일지!$B$5:$B$1004,$BA94))</f>
        <v/>
      </c>
      <c r="C94" s="137">
        <f>IF($BA94="","",INDEX(업무일지!$B$5:$B$1004,$BA94))</f>
        <v/>
      </c>
      <c r="D94" s="137">
        <f>IF($BA94="","",INDEX(업무일지!$C$5:$C$1004,$BA94))</f>
        <v/>
      </c>
      <c r="E94" s="136">
        <f>IF($BA94="","",INDEX(업무일지!$D$5:$D$1004,$BA94))</f>
        <v/>
      </c>
      <c r="F94" s="131">
        <f>IF($BA94="","",INDEX(업무일지!$E$5:$E$1004,$BA94))</f>
        <v/>
      </c>
      <c r="G94" s="136">
        <f>IF($BA94="","",INDEX(업무일지!$F$5:$F$1004,$BA94))</f>
        <v/>
      </c>
      <c r="H94" s="131">
        <f>IF($BA94="","",INDEX(업무일지!$H$5:$H$1004,$BA94))</f>
        <v/>
      </c>
      <c r="I94" s="136">
        <f>IF($BA94="","",INDEX(업무일지!$J$5:$J$1004,$BA94))</f>
        <v/>
      </c>
      <c r="J94" s="129">
        <f>IF($BA94="","",INDEX(업무일지!$Z$5:$Z$1004,$BA94))</f>
        <v/>
      </c>
      <c r="K94" s="131">
        <f>IF($BA94="","",INDEX(업무일지!$AC$5:$AC$1004,$BA94))</f>
        <v/>
      </c>
      <c r="L94" s="131">
        <f>IF($BA94="","",INDEX(업무일지!$AH$5:$AH$1004,$BA94))</f>
        <v/>
      </c>
      <c r="AZ94">
        <f>IF(AND(업무일지!$B98&lt;&gt;"",업무일지!$AG98="진행중"),MAX(0,TODAY()-업무일지!$B98)*10000+907,"")</f>
        <v/>
      </c>
      <c r="BA94">
        <f>IFERROR(MATCH(LARGE($AZ$1:$AZ$1000,81),$AZ$1:$AZ$1000,0),"")</f>
        <v/>
      </c>
      <c r="BB94">
        <f>IF(AND(일일실시사항!$B98&lt;&gt;"",일일실시사항!$J98="진행중"),MAX(0,TODAY()-일일실시사항!$B98)*10000+907,"")</f>
        <v/>
      </c>
    </row>
    <row r="95">
      <c r="A95" s="118">
        <f>IF($BA95="","",82)</f>
        <v/>
      </c>
      <c r="B95" s="118">
        <f>IF($BA95="","",TODAY()-INDEX(업무일지!$B$5:$B$1004,$BA95))</f>
        <v/>
      </c>
      <c r="C95" s="137">
        <f>IF($BA95="","",INDEX(업무일지!$B$5:$B$1004,$BA95))</f>
        <v/>
      </c>
      <c r="D95" s="137">
        <f>IF($BA95="","",INDEX(업무일지!$C$5:$C$1004,$BA95))</f>
        <v/>
      </c>
      <c r="E95" s="136">
        <f>IF($BA95="","",INDEX(업무일지!$D$5:$D$1004,$BA95))</f>
        <v/>
      </c>
      <c r="F95" s="131">
        <f>IF($BA95="","",INDEX(업무일지!$E$5:$E$1004,$BA95))</f>
        <v/>
      </c>
      <c r="G95" s="136">
        <f>IF($BA95="","",INDEX(업무일지!$F$5:$F$1004,$BA95))</f>
        <v/>
      </c>
      <c r="H95" s="131">
        <f>IF($BA95="","",INDEX(업무일지!$H$5:$H$1004,$BA95))</f>
        <v/>
      </c>
      <c r="I95" s="136">
        <f>IF($BA95="","",INDEX(업무일지!$J$5:$J$1004,$BA95))</f>
        <v/>
      </c>
      <c r="J95" s="129">
        <f>IF($BA95="","",INDEX(업무일지!$Z$5:$Z$1004,$BA95))</f>
        <v/>
      </c>
      <c r="K95" s="131">
        <f>IF($BA95="","",INDEX(업무일지!$AC$5:$AC$1004,$BA95))</f>
        <v/>
      </c>
      <c r="L95" s="131">
        <f>IF($BA95="","",INDEX(업무일지!$AH$5:$AH$1004,$BA95))</f>
        <v/>
      </c>
      <c r="AZ95">
        <f>IF(AND(업무일지!$B99&lt;&gt;"",업무일지!$AG99="진행중"),MAX(0,TODAY()-업무일지!$B99)*10000+906,"")</f>
        <v/>
      </c>
      <c r="BA95">
        <f>IFERROR(MATCH(LARGE($AZ$1:$AZ$1000,82),$AZ$1:$AZ$1000,0),"")</f>
        <v/>
      </c>
      <c r="BB95">
        <f>IF(AND(일일실시사항!$B99&lt;&gt;"",일일실시사항!$J99="진행중"),MAX(0,TODAY()-일일실시사항!$B99)*10000+906,"")</f>
        <v/>
      </c>
    </row>
    <row r="96">
      <c r="A96" s="118">
        <f>IF($BA96="","",83)</f>
        <v/>
      </c>
      <c r="B96" s="118">
        <f>IF($BA96="","",TODAY()-INDEX(업무일지!$B$5:$B$1004,$BA96))</f>
        <v/>
      </c>
      <c r="C96" s="137">
        <f>IF($BA96="","",INDEX(업무일지!$B$5:$B$1004,$BA96))</f>
        <v/>
      </c>
      <c r="D96" s="137">
        <f>IF($BA96="","",INDEX(업무일지!$C$5:$C$1004,$BA96))</f>
        <v/>
      </c>
      <c r="E96" s="136">
        <f>IF($BA96="","",INDEX(업무일지!$D$5:$D$1004,$BA96))</f>
        <v/>
      </c>
      <c r="F96" s="131">
        <f>IF($BA96="","",INDEX(업무일지!$E$5:$E$1004,$BA96))</f>
        <v/>
      </c>
      <c r="G96" s="136">
        <f>IF($BA96="","",INDEX(업무일지!$F$5:$F$1004,$BA96))</f>
        <v/>
      </c>
      <c r="H96" s="131">
        <f>IF($BA96="","",INDEX(업무일지!$H$5:$H$1004,$BA96))</f>
        <v/>
      </c>
      <c r="I96" s="136">
        <f>IF($BA96="","",INDEX(업무일지!$J$5:$J$1004,$BA96))</f>
        <v/>
      </c>
      <c r="J96" s="129">
        <f>IF($BA96="","",INDEX(업무일지!$Z$5:$Z$1004,$BA96))</f>
        <v/>
      </c>
      <c r="K96" s="131">
        <f>IF($BA96="","",INDEX(업무일지!$AC$5:$AC$1004,$BA96))</f>
        <v/>
      </c>
      <c r="L96" s="131">
        <f>IF($BA96="","",INDEX(업무일지!$AH$5:$AH$1004,$BA96))</f>
        <v/>
      </c>
      <c r="AZ96">
        <f>IF(AND(업무일지!$B100&lt;&gt;"",업무일지!$AG100="진행중"),MAX(0,TODAY()-업무일지!$B100)*10000+905,"")</f>
        <v/>
      </c>
      <c r="BA96">
        <f>IFERROR(MATCH(LARGE($AZ$1:$AZ$1000,83),$AZ$1:$AZ$1000,0),"")</f>
        <v/>
      </c>
      <c r="BB96">
        <f>IF(AND(일일실시사항!$B100&lt;&gt;"",일일실시사항!$J100="진행중"),MAX(0,TODAY()-일일실시사항!$B100)*10000+905,"")</f>
        <v/>
      </c>
    </row>
    <row r="97">
      <c r="A97" s="118">
        <f>IF($BA97="","",84)</f>
        <v/>
      </c>
      <c r="B97" s="118">
        <f>IF($BA97="","",TODAY()-INDEX(업무일지!$B$5:$B$1004,$BA97))</f>
        <v/>
      </c>
      <c r="C97" s="137">
        <f>IF($BA97="","",INDEX(업무일지!$B$5:$B$1004,$BA97))</f>
        <v/>
      </c>
      <c r="D97" s="137">
        <f>IF($BA97="","",INDEX(업무일지!$C$5:$C$1004,$BA97))</f>
        <v/>
      </c>
      <c r="E97" s="136">
        <f>IF($BA97="","",INDEX(업무일지!$D$5:$D$1004,$BA97))</f>
        <v/>
      </c>
      <c r="F97" s="131">
        <f>IF($BA97="","",INDEX(업무일지!$E$5:$E$1004,$BA97))</f>
        <v/>
      </c>
      <c r="G97" s="136">
        <f>IF($BA97="","",INDEX(업무일지!$F$5:$F$1004,$BA97))</f>
        <v/>
      </c>
      <c r="H97" s="131">
        <f>IF($BA97="","",INDEX(업무일지!$H$5:$H$1004,$BA97))</f>
        <v/>
      </c>
      <c r="I97" s="136">
        <f>IF($BA97="","",INDEX(업무일지!$J$5:$J$1004,$BA97))</f>
        <v/>
      </c>
      <c r="J97" s="129">
        <f>IF($BA97="","",INDEX(업무일지!$Z$5:$Z$1004,$BA97))</f>
        <v/>
      </c>
      <c r="K97" s="131">
        <f>IF($BA97="","",INDEX(업무일지!$AC$5:$AC$1004,$BA97))</f>
        <v/>
      </c>
      <c r="L97" s="131">
        <f>IF($BA97="","",INDEX(업무일지!$AH$5:$AH$1004,$BA97))</f>
        <v/>
      </c>
      <c r="AZ97">
        <f>IF(AND(업무일지!$B101&lt;&gt;"",업무일지!$AG101="진행중"),MAX(0,TODAY()-업무일지!$B101)*10000+904,"")</f>
        <v/>
      </c>
      <c r="BA97">
        <f>IFERROR(MATCH(LARGE($AZ$1:$AZ$1000,84),$AZ$1:$AZ$1000,0),"")</f>
        <v/>
      </c>
      <c r="BB97">
        <f>IF(AND(일일실시사항!$B101&lt;&gt;"",일일실시사항!$J101="진행중"),MAX(0,TODAY()-일일실시사항!$B101)*10000+904,"")</f>
        <v/>
      </c>
    </row>
    <row r="98">
      <c r="A98" s="118">
        <f>IF($BA98="","",85)</f>
        <v/>
      </c>
      <c r="B98" s="118">
        <f>IF($BA98="","",TODAY()-INDEX(업무일지!$B$5:$B$1004,$BA98))</f>
        <v/>
      </c>
      <c r="C98" s="137">
        <f>IF($BA98="","",INDEX(업무일지!$B$5:$B$1004,$BA98))</f>
        <v/>
      </c>
      <c r="D98" s="137">
        <f>IF($BA98="","",INDEX(업무일지!$C$5:$C$1004,$BA98))</f>
        <v/>
      </c>
      <c r="E98" s="136">
        <f>IF($BA98="","",INDEX(업무일지!$D$5:$D$1004,$BA98))</f>
        <v/>
      </c>
      <c r="F98" s="131">
        <f>IF($BA98="","",INDEX(업무일지!$E$5:$E$1004,$BA98))</f>
        <v/>
      </c>
      <c r="G98" s="136">
        <f>IF($BA98="","",INDEX(업무일지!$F$5:$F$1004,$BA98))</f>
        <v/>
      </c>
      <c r="H98" s="131">
        <f>IF($BA98="","",INDEX(업무일지!$H$5:$H$1004,$BA98))</f>
        <v/>
      </c>
      <c r="I98" s="136">
        <f>IF($BA98="","",INDEX(업무일지!$J$5:$J$1004,$BA98))</f>
        <v/>
      </c>
      <c r="J98" s="129">
        <f>IF($BA98="","",INDEX(업무일지!$Z$5:$Z$1004,$BA98))</f>
        <v/>
      </c>
      <c r="K98" s="131">
        <f>IF($BA98="","",INDEX(업무일지!$AC$5:$AC$1004,$BA98))</f>
        <v/>
      </c>
      <c r="L98" s="131">
        <f>IF($BA98="","",INDEX(업무일지!$AH$5:$AH$1004,$BA98))</f>
        <v/>
      </c>
      <c r="AZ98">
        <f>IF(AND(업무일지!$B102&lt;&gt;"",업무일지!$AG102="진행중"),MAX(0,TODAY()-업무일지!$B102)*10000+903,"")</f>
        <v/>
      </c>
      <c r="BA98">
        <f>IFERROR(MATCH(LARGE($AZ$1:$AZ$1000,85),$AZ$1:$AZ$1000,0),"")</f>
        <v/>
      </c>
      <c r="BB98">
        <f>IF(AND(일일실시사항!$B102&lt;&gt;"",일일실시사항!$J102="진행중"),MAX(0,TODAY()-일일실시사항!$B102)*10000+903,"")</f>
        <v/>
      </c>
    </row>
    <row r="99">
      <c r="A99" s="118">
        <f>IF($BA99="","",86)</f>
        <v/>
      </c>
      <c r="B99" s="118">
        <f>IF($BA99="","",TODAY()-INDEX(업무일지!$B$5:$B$1004,$BA99))</f>
        <v/>
      </c>
      <c r="C99" s="137">
        <f>IF($BA99="","",INDEX(업무일지!$B$5:$B$1004,$BA99))</f>
        <v/>
      </c>
      <c r="D99" s="137">
        <f>IF($BA99="","",INDEX(업무일지!$C$5:$C$1004,$BA99))</f>
        <v/>
      </c>
      <c r="E99" s="136">
        <f>IF($BA99="","",INDEX(업무일지!$D$5:$D$1004,$BA99))</f>
        <v/>
      </c>
      <c r="F99" s="131">
        <f>IF($BA99="","",INDEX(업무일지!$E$5:$E$1004,$BA99))</f>
        <v/>
      </c>
      <c r="G99" s="136">
        <f>IF($BA99="","",INDEX(업무일지!$F$5:$F$1004,$BA99))</f>
        <v/>
      </c>
      <c r="H99" s="131">
        <f>IF($BA99="","",INDEX(업무일지!$H$5:$H$1004,$BA99))</f>
        <v/>
      </c>
      <c r="I99" s="136">
        <f>IF($BA99="","",INDEX(업무일지!$J$5:$J$1004,$BA99))</f>
        <v/>
      </c>
      <c r="J99" s="129">
        <f>IF($BA99="","",INDEX(업무일지!$Z$5:$Z$1004,$BA99))</f>
        <v/>
      </c>
      <c r="K99" s="131">
        <f>IF($BA99="","",INDEX(업무일지!$AC$5:$AC$1004,$BA99))</f>
        <v/>
      </c>
      <c r="L99" s="131">
        <f>IF($BA99="","",INDEX(업무일지!$AH$5:$AH$1004,$BA99))</f>
        <v/>
      </c>
      <c r="AZ99">
        <f>IF(AND(업무일지!$B103&lt;&gt;"",업무일지!$AG103="진행중"),MAX(0,TODAY()-업무일지!$B103)*10000+902,"")</f>
        <v/>
      </c>
      <c r="BA99">
        <f>IFERROR(MATCH(LARGE($AZ$1:$AZ$1000,86),$AZ$1:$AZ$1000,0),"")</f>
        <v/>
      </c>
      <c r="BB99">
        <f>IF(AND(일일실시사항!$B103&lt;&gt;"",일일실시사항!$J103="진행중"),MAX(0,TODAY()-일일실시사항!$B103)*10000+902,"")</f>
        <v/>
      </c>
    </row>
    <row r="100">
      <c r="A100" s="118">
        <f>IF($BA100="","",87)</f>
        <v/>
      </c>
      <c r="B100" s="118">
        <f>IF($BA100="","",TODAY()-INDEX(업무일지!$B$5:$B$1004,$BA100))</f>
        <v/>
      </c>
      <c r="C100" s="137">
        <f>IF($BA100="","",INDEX(업무일지!$B$5:$B$1004,$BA100))</f>
        <v/>
      </c>
      <c r="D100" s="137">
        <f>IF($BA100="","",INDEX(업무일지!$C$5:$C$1004,$BA100))</f>
        <v/>
      </c>
      <c r="E100" s="136">
        <f>IF($BA100="","",INDEX(업무일지!$D$5:$D$1004,$BA100))</f>
        <v/>
      </c>
      <c r="F100" s="131">
        <f>IF($BA100="","",INDEX(업무일지!$E$5:$E$1004,$BA100))</f>
        <v/>
      </c>
      <c r="G100" s="136">
        <f>IF($BA100="","",INDEX(업무일지!$F$5:$F$1004,$BA100))</f>
        <v/>
      </c>
      <c r="H100" s="131">
        <f>IF($BA100="","",INDEX(업무일지!$H$5:$H$1004,$BA100))</f>
        <v/>
      </c>
      <c r="I100" s="136">
        <f>IF($BA100="","",INDEX(업무일지!$J$5:$J$1004,$BA100))</f>
        <v/>
      </c>
      <c r="J100" s="129">
        <f>IF($BA100="","",INDEX(업무일지!$Z$5:$Z$1004,$BA100))</f>
        <v/>
      </c>
      <c r="K100" s="131">
        <f>IF($BA100="","",INDEX(업무일지!$AC$5:$AC$1004,$BA100))</f>
        <v/>
      </c>
      <c r="L100" s="131">
        <f>IF($BA100="","",INDEX(업무일지!$AH$5:$AH$1004,$BA100))</f>
        <v/>
      </c>
      <c r="AZ100">
        <f>IF(AND(업무일지!$B104&lt;&gt;"",업무일지!$AG104="진행중"),MAX(0,TODAY()-업무일지!$B104)*10000+901,"")</f>
        <v/>
      </c>
      <c r="BA100">
        <f>IFERROR(MATCH(LARGE($AZ$1:$AZ$1000,87),$AZ$1:$AZ$1000,0),"")</f>
        <v/>
      </c>
      <c r="BB100">
        <f>IF(AND(일일실시사항!$B104&lt;&gt;"",일일실시사항!$J104="진행중"),MAX(0,TODAY()-일일실시사항!$B104)*10000+901,"")</f>
        <v/>
      </c>
    </row>
    <row r="101">
      <c r="A101" s="118">
        <f>IF($BA101="","",88)</f>
        <v/>
      </c>
      <c r="B101" s="118">
        <f>IF($BA101="","",TODAY()-INDEX(업무일지!$B$5:$B$1004,$BA101))</f>
        <v/>
      </c>
      <c r="C101" s="137">
        <f>IF($BA101="","",INDEX(업무일지!$B$5:$B$1004,$BA101))</f>
        <v/>
      </c>
      <c r="D101" s="137">
        <f>IF($BA101="","",INDEX(업무일지!$C$5:$C$1004,$BA101))</f>
        <v/>
      </c>
      <c r="E101" s="136">
        <f>IF($BA101="","",INDEX(업무일지!$D$5:$D$1004,$BA101))</f>
        <v/>
      </c>
      <c r="F101" s="131">
        <f>IF($BA101="","",INDEX(업무일지!$E$5:$E$1004,$BA101))</f>
        <v/>
      </c>
      <c r="G101" s="136">
        <f>IF($BA101="","",INDEX(업무일지!$F$5:$F$1004,$BA101))</f>
        <v/>
      </c>
      <c r="H101" s="131">
        <f>IF($BA101="","",INDEX(업무일지!$H$5:$H$1004,$BA101))</f>
        <v/>
      </c>
      <c r="I101" s="136">
        <f>IF($BA101="","",INDEX(업무일지!$J$5:$J$1004,$BA101))</f>
        <v/>
      </c>
      <c r="J101" s="129">
        <f>IF($BA101="","",INDEX(업무일지!$Z$5:$Z$1004,$BA101))</f>
        <v/>
      </c>
      <c r="K101" s="131">
        <f>IF($BA101="","",INDEX(업무일지!$AC$5:$AC$1004,$BA101))</f>
        <v/>
      </c>
      <c r="L101" s="131">
        <f>IF($BA101="","",INDEX(업무일지!$AH$5:$AH$1004,$BA101))</f>
        <v/>
      </c>
      <c r="AZ101">
        <f>IF(AND(업무일지!$B105&lt;&gt;"",업무일지!$AG105="진행중"),MAX(0,TODAY()-업무일지!$B105)*10000+900,"")</f>
        <v/>
      </c>
      <c r="BA101">
        <f>IFERROR(MATCH(LARGE($AZ$1:$AZ$1000,88),$AZ$1:$AZ$1000,0),"")</f>
        <v/>
      </c>
      <c r="BB101">
        <f>IF(AND(일일실시사항!$B105&lt;&gt;"",일일실시사항!$J105="진행중"),MAX(0,TODAY()-일일실시사항!$B105)*10000+900,"")</f>
        <v/>
      </c>
    </row>
    <row r="102">
      <c r="A102" s="118">
        <f>IF($BA102="","",89)</f>
        <v/>
      </c>
      <c r="B102" s="118">
        <f>IF($BA102="","",TODAY()-INDEX(업무일지!$B$5:$B$1004,$BA102))</f>
        <v/>
      </c>
      <c r="C102" s="137">
        <f>IF($BA102="","",INDEX(업무일지!$B$5:$B$1004,$BA102))</f>
        <v/>
      </c>
      <c r="D102" s="137">
        <f>IF($BA102="","",INDEX(업무일지!$C$5:$C$1004,$BA102))</f>
        <v/>
      </c>
      <c r="E102" s="136">
        <f>IF($BA102="","",INDEX(업무일지!$D$5:$D$1004,$BA102))</f>
        <v/>
      </c>
      <c r="F102" s="131">
        <f>IF($BA102="","",INDEX(업무일지!$E$5:$E$1004,$BA102))</f>
        <v/>
      </c>
      <c r="G102" s="136">
        <f>IF($BA102="","",INDEX(업무일지!$F$5:$F$1004,$BA102))</f>
        <v/>
      </c>
      <c r="H102" s="131">
        <f>IF($BA102="","",INDEX(업무일지!$H$5:$H$1004,$BA102))</f>
        <v/>
      </c>
      <c r="I102" s="136">
        <f>IF($BA102="","",INDEX(업무일지!$J$5:$J$1004,$BA102))</f>
        <v/>
      </c>
      <c r="J102" s="129">
        <f>IF($BA102="","",INDEX(업무일지!$Z$5:$Z$1004,$BA102))</f>
        <v/>
      </c>
      <c r="K102" s="131">
        <f>IF($BA102="","",INDEX(업무일지!$AC$5:$AC$1004,$BA102))</f>
        <v/>
      </c>
      <c r="L102" s="131">
        <f>IF($BA102="","",INDEX(업무일지!$AH$5:$AH$1004,$BA102))</f>
        <v/>
      </c>
      <c r="AZ102">
        <f>IF(AND(업무일지!$B106&lt;&gt;"",업무일지!$AG106="진행중"),MAX(0,TODAY()-업무일지!$B106)*10000+899,"")</f>
        <v/>
      </c>
      <c r="BA102">
        <f>IFERROR(MATCH(LARGE($AZ$1:$AZ$1000,89),$AZ$1:$AZ$1000,0),"")</f>
        <v/>
      </c>
      <c r="BB102">
        <f>IF(AND(일일실시사항!$B106&lt;&gt;"",일일실시사항!$J106="진행중"),MAX(0,TODAY()-일일실시사항!$B106)*10000+899,"")</f>
        <v/>
      </c>
    </row>
    <row r="103">
      <c r="A103" s="118">
        <f>IF($BA103="","",90)</f>
        <v/>
      </c>
      <c r="B103" s="118">
        <f>IF($BA103="","",TODAY()-INDEX(업무일지!$B$5:$B$1004,$BA103))</f>
        <v/>
      </c>
      <c r="C103" s="137">
        <f>IF($BA103="","",INDEX(업무일지!$B$5:$B$1004,$BA103))</f>
        <v/>
      </c>
      <c r="D103" s="137">
        <f>IF($BA103="","",INDEX(업무일지!$C$5:$C$1004,$BA103))</f>
        <v/>
      </c>
      <c r="E103" s="136">
        <f>IF($BA103="","",INDEX(업무일지!$D$5:$D$1004,$BA103))</f>
        <v/>
      </c>
      <c r="F103" s="131">
        <f>IF($BA103="","",INDEX(업무일지!$E$5:$E$1004,$BA103))</f>
        <v/>
      </c>
      <c r="G103" s="136">
        <f>IF($BA103="","",INDEX(업무일지!$F$5:$F$1004,$BA103))</f>
        <v/>
      </c>
      <c r="H103" s="131">
        <f>IF($BA103="","",INDEX(업무일지!$H$5:$H$1004,$BA103))</f>
        <v/>
      </c>
      <c r="I103" s="136">
        <f>IF($BA103="","",INDEX(업무일지!$J$5:$J$1004,$BA103))</f>
        <v/>
      </c>
      <c r="J103" s="129">
        <f>IF($BA103="","",INDEX(업무일지!$Z$5:$Z$1004,$BA103))</f>
        <v/>
      </c>
      <c r="K103" s="131">
        <f>IF($BA103="","",INDEX(업무일지!$AC$5:$AC$1004,$BA103))</f>
        <v/>
      </c>
      <c r="L103" s="131">
        <f>IF($BA103="","",INDEX(업무일지!$AH$5:$AH$1004,$BA103))</f>
        <v/>
      </c>
      <c r="AZ103">
        <f>IF(AND(업무일지!$B107&lt;&gt;"",업무일지!$AG107="진행중"),MAX(0,TODAY()-업무일지!$B107)*10000+898,"")</f>
        <v/>
      </c>
      <c r="BA103">
        <f>IFERROR(MATCH(LARGE($AZ$1:$AZ$1000,90),$AZ$1:$AZ$1000,0),"")</f>
        <v/>
      </c>
      <c r="BB103">
        <f>IF(AND(일일실시사항!$B107&lt;&gt;"",일일실시사항!$J107="진행중"),MAX(0,TODAY()-일일실시사항!$B107)*10000+898,"")</f>
        <v/>
      </c>
    </row>
    <row r="104">
      <c r="A104" s="118">
        <f>IF($BA104="","",91)</f>
        <v/>
      </c>
      <c r="B104" s="118">
        <f>IF($BA104="","",TODAY()-INDEX(업무일지!$B$5:$B$1004,$BA104))</f>
        <v/>
      </c>
      <c r="C104" s="137">
        <f>IF($BA104="","",INDEX(업무일지!$B$5:$B$1004,$BA104))</f>
        <v/>
      </c>
      <c r="D104" s="137">
        <f>IF($BA104="","",INDEX(업무일지!$C$5:$C$1004,$BA104))</f>
        <v/>
      </c>
      <c r="E104" s="136">
        <f>IF($BA104="","",INDEX(업무일지!$D$5:$D$1004,$BA104))</f>
        <v/>
      </c>
      <c r="F104" s="131">
        <f>IF($BA104="","",INDEX(업무일지!$E$5:$E$1004,$BA104))</f>
        <v/>
      </c>
      <c r="G104" s="136">
        <f>IF($BA104="","",INDEX(업무일지!$F$5:$F$1004,$BA104))</f>
        <v/>
      </c>
      <c r="H104" s="131">
        <f>IF($BA104="","",INDEX(업무일지!$H$5:$H$1004,$BA104))</f>
        <v/>
      </c>
      <c r="I104" s="136">
        <f>IF($BA104="","",INDEX(업무일지!$J$5:$J$1004,$BA104))</f>
        <v/>
      </c>
      <c r="J104" s="129">
        <f>IF($BA104="","",INDEX(업무일지!$Z$5:$Z$1004,$BA104))</f>
        <v/>
      </c>
      <c r="K104" s="131">
        <f>IF($BA104="","",INDEX(업무일지!$AC$5:$AC$1004,$BA104))</f>
        <v/>
      </c>
      <c r="L104" s="131">
        <f>IF($BA104="","",INDEX(업무일지!$AH$5:$AH$1004,$BA104))</f>
        <v/>
      </c>
      <c r="AZ104">
        <f>IF(AND(업무일지!$B108&lt;&gt;"",업무일지!$AG108="진행중"),MAX(0,TODAY()-업무일지!$B108)*10000+897,"")</f>
        <v/>
      </c>
      <c r="BA104">
        <f>IFERROR(MATCH(LARGE($AZ$1:$AZ$1000,91),$AZ$1:$AZ$1000,0),"")</f>
        <v/>
      </c>
      <c r="BB104">
        <f>IF(AND(일일실시사항!$B108&lt;&gt;"",일일실시사항!$J108="진행중"),MAX(0,TODAY()-일일실시사항!$B108)*10000+897,"")</f>
        <v/>
      </c>
    </row>
    <row r="105">
      <c r="A105" s="118">
        <f>IF($BA105="","",92)</f>
        <v/>
      </c>
      <c r="B105" s="118">
        <f>IF($BA105="","",TODAY()-INDEX(업무일지!$B$5:$B$1004,$BA105))</f>
        <v/>
      </c>
      <c r="C105" s="137">
        <f>IF($BA105="","",INDEX(업무일지!$B$5:$B$1004,$BA105))</f>
        <v/>
      </c>
      <c r="D105" s="137">
        <f>IF($BA105="","",INDEX(업무일지!$C$5:$C$1004,$BA105))</f>
        <v/>
      </c>
      <c r="E105" s="136">
        <f>IF($BA105="","",INDEX(업무일지!$D$5:$D$1004,$BA105))</f>
        <v/>
      </c>
      <c r="F105" s="131">
        <f>IF($BA105="","",INDEX(업무일지!$E$5:$E$1004,$BA105))</f>
        <v/>
      </c>
      <c r="G105" s="136">
        <f>IF($BA105="","",INDEX(업무일지!$F$5:$F$1004,$BA105))</f>
        <v/>
      </c>
      <c r="H105" s="131">
        <f>IF($BA105="","",INDEX(업무일지!$H$5:$H$1004,$BA105))</f>
        <v/>
      </c>
      <c r="I105" s="136">
        <f>IF($BA105="","",INDEX(업무일지!$J$5:$J$1004,$BA105))</f>
        <v/>
      </c>
      <c r="J105" s="129">
        <f>IF($BA105="","",INDEX(업무일지!$Z$5:$Z$1004,$BA105))</f>
        <v/>
      </c>
      <c r="K105" s="131">
        <f>IF($BA105="","",INDEX(업무일지!$AC$5:$AC$1004,$BA105))</f>
        <v/>
      </c>
      <c r="L105" s="131">
        <f>IF($BA105="","",INDEX(업무일지!$AH$5:$AH$1004,$BA105))</f>
        <v/>
      </c>
      <c r="AZ105">
        <f>IF(AND(업무일지!$B109&lt;&gt;"",업무일지!$AG109="진행중"),MAX(0,TODAY()-업무일지!$B109)*10000+896,"")</f>
        <v/>
      </c>
      <c r="BA105">
        <f>IFERROR(MATCH(LARGE($AZ$1:$AZ$1000,92),$AZ$1:$AZ$1000,0),"")</f>
        <v/>
      </c>
      <c r="BB105">
        <f>IF(AND(일일실시사항!$B109&lt;&gt;"",일일실시사항!$J109="진행중"),MAX(0,TODAY()-일일실시사항!$B109)*10000+896,"")</f>
        <v/>
      </c>
    </row>
    <row r="106">
      <c r="A106" s="118">
        <f>IF($BA106="","",93)</f>
        <v/>
      </c>
      <c r="B106" s="118">
        <f>IF($BA106="","",TODAY()-INDEX(업무일지!$B$5:$B$1004,$BA106))</f>
        <v/>
      </c>
      <c r="C106" s="137">
        <f>IF($BA106="","",INDEX(업무일지!$B$5:$B$1004,$BA106))</f>
        <v/>
      </c>
      <c r="D106" s="137">
        <f>IF($BA106="","",INDEX(업무일지!$C$5:$C$1004,$BA106))</f>
        <v/>
      </c>
      <c r="E106" s="136">
        <f>IF($BA106="","",INDEX(업무일지!$D$5:$D$1004,$BA106))</f>
        <v/>
      </c>
      <c r="F106" s="131">
        <f>IF($BA106="","",INDEX(업무일지!$E$5:$E$1004,$BA106))</f>
        <v/>
      </c>
      <c r="G106" s="136">
        <f>IF($BA106="","",INDEX(업무일지!$F$5:$F$1004,$BA106))</f>
        <v/>
      </c>
      <c r="H106" s="131">
        <f>IF($BA106="","",INDEX(업무일지!$H$5:$H$1004,$BA106))</f>
        <v/>
      </c>
      <c r="I106" s="136">
        <f>IF($BA106="","",INDEX(업무일지!$J$5:$J$1004,$BA106))</f>
        <v/>
      </c>
      <c r="J106" s="129">
        <f>IF($BA106="","",INDEX(업무일지!$Z$5:$Z$1004,$BA106))</f>
        <v/>
      </c>
      <c r="K106" s="131">
        <f>IF($BA106="","",INDEX(업무일지!$AC$5:$AC$1004,$BA106))</f>
        <v/>
      </c>
      <c r="L106" s="131">
        <f>IF($BA106="","",INDEX(업무일지!$AH$5:$AH$1004,$BA106))</f>
        <v/>
      </c>
      <c r="AZ106">
        <f>IF(AND(업무일지!$B110&lt;&gt;"",업무일지!$AG110="진행중"),MAX(0,TODAY()-업무일지!$B110)*10000+895,"")</f>
        <v/>
      </c>
      <c r="BA106">
        <f>IFERROR(MATCH(LARGE($AZ$1:$AZ$1000,93),$AZ$1:$AZ$1000,0),"")</f>
        <v/>
      </c>
      <c r="BB106">
        <f>IF(AND(일일실시사항!$B110&lt;&gt;"",일일실시사항!$J110="진행중"),MAX(0,TODAY()-일일실시사항!$B110)*10000+895,"")</f>
        <v/>
      </c>
    </row>
    <row r="107">
      <c r="A107" s="118">
        <f>IF($BA107="","",94)</f>
        <v/>
      </c>
      <c r="B107" s="118">
        <f>IF($BA107="","",TODAY()-INDEX(업무일지!$B$5:$B$1004,$BA107))</f>
        <v/>
      </c>
      <c r="C107" s="137">
        <f>IF($BA107="","",INDEX(업무일지!$B$5:$B$1004,$BA107))</f>
        <v/>
      </c>
      <c r="D107" s="137">
        <f>IF($BA107="","",INDEX(업무일지!$C$5:$C$1004,$BA107))</f>
        <v/>
      </c>
      <c r="E107" s="136">
        <f>IF($BA107="","",INDEX(업무일지!$D$5:$D$1004,$BA107))</f>
        <v/>
      </c>
      <c r="F107" s="131">
        <f>IF($BA107="","",INDEX(업무일지!$E$5:$E$1004,$BA107))</f>
        <v/>
      </c>
      <c r="G107" s="136">
        <f>IF($BA107="","",INDEX(업무일지!$F$5:$F$1004,$BA107))</f>
        <v/>
      </c>
      <c r="H107" s="131">
        <f>IF($BA107="","",INDEX(업무일지!$H$5:$H$1004,$BA107))</f>
        <v/>
      </c>
      <c r="I107" s="136">
        <f>IF($BA107="","",INDEX(업무일지!$J$5:$J$1004,$BA107))</f>
        <v/>
      </c>
      <c r="J107" s="129">
        <f>IF($BA107="","",INDEX(업무일지!$Z$5:$Z$1004,$BA107))</f>
        <v/>
      </c>
      <c r="K107" s="131">
        <f>IF($BA107="","",INDEX(업무일지!$AC$5:$AC$1004,$BA107))</f>
        <v/>
      </c>
      <c r="L107" s="131">
        <f>IF($BA107="","",INDEX(업무일지!$AH$5:$AH$1004,$BA107))</f>
        <v/>
      </c>
      <c r="AZ107">
        <f>IF(AND(업무일지!$B111&lt;&gt;"",업무일지!$AG111="진행중"),MAX(0,TODAY()-업무일지!$B111)*10000+894,"")</f>
        <v/>
      </c>
      <c r="BA107">
        <f>IFERROR(MATCH(LARGE($AZ$1:$AZ$1000,94),$AZ$1:$AZ$1000,0),"")</f>
        <v/>
      </c>
      <c r="BB107">
        <f>IF(AND(일일실시사항!$B111&lt;&gt;"",일일실시사항!$J111="진행중"),MAX(0,TODAY()-일일실시사항!$B111)*10000+894,"")</f>
        <v/>
      </c>
    </row>
    <row r="108">
      <c r="A108" s="118">
        <f>IF($BA108="","",95)</f>
        <v/>
      </c>
      <c r="B108" s="118">
        <f>IF($BA108="","",TODAY()-INDEX(업무일지!$B$5:$B$1004,$BA108))</f>
        <v/>
      </c>
      <c r="C108" s="137">
        <f>IF($BA108="","",INDEX(업무일지!$B$5:$B$1004,$BA108))</f>
        <v/>
      </c>
      <c r="D108" s="137">
        <f>IF($BA108="","",INDEX(업무일지!$C$5:$C$1004,$BA108))</f>
        <v/>
      </c>
      <c r="E108" s="136">
        <f>IF($BA108="","",INDEX(업무일지!$D$5:$D$1004,$BA108))</f>
        <v/>
      </c>
      <c r="F108" s="131">
        <f>IF($BA108="","",INDEX(업무일지!$E$5:$E$1004,$BA108))</f>
        <v/>
      </c>
      <c r="G108" s="136">
        <f>IF($BA108="","",INDEX(업무일지!$F$5:$F$1004,$BA108))</f>
        <v/>
      </c>
      <c r="H108" s="131">
        <f>IF($BA108="","",INDEX(업무일지!$H$5:$H$1004,$BA108))</f>
        <v/>
      </c>
      <c r="I108" s="136">
        <f>IF($BA108="","",INDEX(업무일지!$J$5:$J$1004,$BA108))</f>
        <v/>
      </c>
      <c r="J108" s="129">
        <f>IF($BA108="","",INDEX(업무일지!$Z$5:$Z$1004,$BA108))</f>
        <v/>
      </c>
      <c r="K108" s="131">
        <f>IF($BA108="","",INDEX(업무일지!$AC$5:$AC$1004,$BA108))</f>
        <v/>
      </c>
      <c r="L108" s="131">
        <f>IF($BA108="","",INDEX(업무일지!$AH$5:$AH$1004,$BA108))</f>
        <v/>
      </c>
      <c r="AZ108">
        <f>IF(AND(업무일지!$B112&lt;&gt;"",업무일지!$AG112="진행중"),MAX(0,TODAY()-업무일지!$B112)*10000+893,"")</f>
        <v/>
      </c>
      <c r="BA108">
        <f>IFERROR(MATCH(LARGE($AZ$1:$AZ$1000,95),$AZ$1:$AZ$1000,0),"")</f>
        <v/>
      </c>
      <c r="BB108">
        <f>IF(AND(일일실시사항!$B112&lt;&gt;"",일일실시사항!$J112="진행중"),MAX(0,TODAY()-일일실시사항!$B112)*10000+893,"")</f>
        <v/>
      </c>
    </row>
    <row r="109">
      <c r="A109" s="118">
        <f>IF($BA109="","",96)</f>
        <v/>
      </c>
      <c r="B109" s="118">
        <f>IF($BA109="","",TODAY()-INDEX(업무일지!$B$5:$B$1004,$BA109))</f>
        <v/>
      </c>
      <c r="C109" s="137">
        <f>IF($BA109="","",INDEX(업무일지!$B$5:$B$1004,$BA109))</f>
        <v/>
      </c>
      <c r="D109" s="137">
        <f>IF($BA109="","",INDEX(업무일지!$C$5:$C$1004,$BA109))</f>
        <v/>
      </c>
      <c r="E109" s="136">
        <f>IF($BA109="","",INDEX(업무일지!$D$5:$D$1004,$BA109))</f>
        <v/>
      </c>
      <c r="F109" s="131">
        <f>IF($BA109="","",INDEX(업무일지!$E$5:$E$1004,$BA109))</f>
        <v/>
      </c>
      <c r="G109" s="136">
        <f>IF($BA109="","",INDEX(업무일지!$F$5:$F$1004,$BA109))</f>
        <v/>
      </c>
      <c r="H109" s="131">
        <f>IF($BA109="","",INDEX(업무일지!$H$5:$H$1004,$BA109))</f>
        <v/>
      </c>
      <c r="I109" s="136">
        <f>IF($BA109="","",INDEX(업무일지!$J$5:$J$1004,$BA109))</f>
        <v/>
      </c>
      <c r="J109" s="129">
        <f>IF($BA109="","",INDEX(업무일지!$Z$5:$Z$1004,$BA109))</f>
        <v/>
      </c>
      <c r="K109" s="131">
        <f>IF($BA109="","",INDEX(업무일지!$AC$5:$AC$1004,$BA109))</f>
        <v/>
      </c>
      <c r="L109" s="131">
        <f>IF($BA109="","",INDEX(업무일지!$AH$5:$AH$1004,$BA109))</f>
        <v/>
      </c>
      <c r="AZ109">
        <f>IF(AND(업무일지!$B113&lt;&gt;"",업무일지!$AG113="진행중"),MAX(0,TODAY()-업무일지!$B113)*10000+892,"")</f>
        <v/>
      </c>
      <c r="BA109">
        <f>IFERROR(MATCH(LARGE($AZ$1:$AZ$1000,96),$AZ$1:$AZ$1000,0),"")</f>
        <v/>
      </c>
      <c r="BB109">
        <f>IF(AND(일일실시사항!$B113&lt;&gt;"",일일실시사항!$J113="진행중"),MAX(0,TODAY()-일일실시사항!$B113)*10000+892,"")</f>
        <v/>
      </c>
    </row>
    <row r="110">
      <c r="A110" s="118">
        <f>IF($BA110="","",97)</f>
        <v/>
      </c>
      <c r="B110" s="118">
        <f>IF($BA110="","",TODAY()-INDEX(업무일지!$B$5:$B$1004,$BA110))</f>
        <v/>
      </c>
      <c r="C110" s="137">
        <f>IF($BA110="","",INDEX(업무일지!$B$5:$B$1004,$BA110))</f>
        <v/>
      </c>
      <c r="D110" s="137">
        <f>IF($BA110="","",INDEX(업무일지!$C$5:$C$1004,$BA110))</f>
        <v/>
      </c>
      <c r="E110" s="136">
        <f>IF($BA110="","",INDEX(업무일지!$D$5:$D$1004,$BA110))</f>
        <v/>
      </c>
      <c r="F110" s="131">
        <f>IF($BA110="","",INDEX(업무일지!$E$5:$E$1004,$BA110))</f>
        <v/>
      </c>
      <c r="G110" s="136">
        <f>IF($BA110="","",INDEX(업무일지!$F$5:$F$1004,$BA110))</f>
        <v/>
      </c>
      <c r="H110" s="131">
        <f>IF($BA110="","",INDEX(업무일지!$H$5:$H$1004,$BA110))</f>
        <v/>
      </c>
      <c r="I110" s="136">
        <f>IF($BA110="","",INDEX(업무일지!$J$5:$J$1004,$BA110))</f>
        <v/>
      </c>
      <c r="J110" s="129">
        <f>IF($BA110="","",INDEX(업무일지!$Z$5:$Z$1004,$BA110))</f>
        <v/>
      </c>
      <c r="K110" s="131">
        <f>IF($BA110="","",INDEX(업무일지!$AC$5:$AC$1004,$BA110))</f>
        <v/>
      </c>
      <c r="L110" s="131">
        <f>IF($BA110="","",INDEX(업무일지!$AH$5:$AH$1004,$BA110))</f>
        <v/>
      </c>
      <c r="AZ110">
        <f>IF(AND(업무일지!$B114&lt;&gt;"",업무일지!$AG114="진행중"),MAX(0,TODAY()-업무일지!$B114)*10000+891,"")</f>
        <v/>
      </c>
      <c r="BA110">
        <f>IFERROR(MATCH(LARGE($AZ$1:$AZ$1000,97),$AZ$1:$AZ$1000,0),"")</f>
        <v/>
      </c>
      <c r="BB110">
        <f>IF(AND(일일실시사항!$B114&lt;&gt;"",일일실시사항!$J114="진행중"),MAX(0,TODAY()-일일실시사항!$B114)*10000+891,"")</f>
        <v/>
      </c>
    </row>
    <row r="111">
      <c r="A111" s="118">
        <f>IF($BA111="","",98)</f>
        <v/>
      </c>
      <c r="B111" s="118">
        <f>IF($BA111="","",TODAY()-INDEX(업무일지!$B$5:$B$1004,$BA111))</f>
        <v/>
      </c>
      <c r="C111" s="137">
        <f>IF($BA111="","",INDEX(업무일지!$B$5:$B$1004,$BA111))</f>
        <v/>
      </c>
      <c r="D111" s="137">
        <f>IF($BA111="","",INDEX(업무일지!$C$5:$C$1004,$BA111))</f>
        <v/>
      </c>
      <c r="E111" s="136">
        <f>IF($BA111="","",INDEX(업무일지!$D$5:$D$1004,$BA111))</f>
        <v/>
      </c>
      <c r="F111" s="131">
        <f>IF($BA111="","",INDEX(업무일지!$E$5:$E$1004,$BA111))</f>
        <v/>
      </c>
      <c r="G111" s="136">
        <f>IF($BA111="","",INDEX(업무일지!$F$5:$F$1004,$BA111))</f>
        <v/>
      </c>
      <c r="H111" s="131">
        <f>IF($BA111="","",INDEX(업무일지!$H$5:$H$1004,$BA111))</f>
        <v/>
      </c>
      <c r="I111" s="136">
        <f>IF($BA111="","",INDEX(업무일지!$J$5:$J$1004,$BA111))</f>
        <v/>
      </c>
      <c r="J111" s="129">
        <f>IF($BA111="","",INDEX(업무일지!$Z$5:$Z$1004,$BA111))</f>
        <v/>
      </c>
      <c r="K111" s="131">
        <f>IF($BA111="","",INDEX(업무일지!$AC$5:$AC$1004,$BA111))</f>
        <v/>
      </c>
      <c r="L111" s="131">
        <f>IF($BA111="","",INDEX(업무일지!$AH$5:$AH$1004,$BA111))</f>
        <v/>
      </c>
      <c r="AZ111">
        <f>IF(AND(업무일지!$B115&lt;&gt;"",업무일지!$AG115="진행중"),MAX(0,TODAY()-업무일지!$B115)*10000+890,"")</f>
        <v/>
      </c>
      <c r="BA111">
        <f>IFERROR(MATCH(LARGE($AZ$1:$AZ$1000,98),$AZ$1:$AZ$1000,0),"")</f>
        <v/>
      </c>
      <c r="BB111">
        <f>IF(AND(일일실시사항!$B115&lt;&gt;"",일일실시사항!$J115="진행중"),MAX(0,TODAY()-일일실시사항!$B115)*10000+890,"")</f>
        <v/>
      </c>
    </row>
    <row r="112">
      <c r="A112" s="118">
        <f>IF($BA112="","",99)</f>
        <v/>
      </c>
      <c r="B112" s="118">
        <f>IF($BA112="","",TODAY()-INDEX(업무일지!$B$5:$B$1004,$BA112))</f>
        <v/>
      </c>
      <c r="C112" s="137">
        <f>IF($BA112="","",INDEX(업무일지!$B$5:$B$1004,$BA112))</f>
        <v/>
      </c>
      <c r="D112" s="137">
        <f>IF($BA112="","",INDEX(업무일지!$C$5:$C$1004,$BA112))</f>
        <v/>
      </c>
      <c r="E112" s="136">
        <f>IF($BA112="","",INDEX(업무일지!$D$5:$D$1004,$BA112))</f>
        <v/>
      </c>
      <c r="F112" s="131">
        <f>IF($BA112="","",INDEX(업무일지!$E$5:$E$1004,$BA112))</f>
        <v/>
      </c>
      <c r="G112" s="136">
        <f>IF($BA112="","",INDEX(업무일지!$F$5:$F$1004,$BA112))</f>
        <v/>
      </c>
      <c r="H112" s="131">
        <f>IF($BA112="","",INDEX(업무일지!$H$5:$H$1004,$BA112))</f>
        <v/>
      </c>
      <c r="I112" s="136">
        <f>IF($BA112="","",INDEX(업무일지!$J$5:$J$1004,$BA112))</f>
        <v/>
      </c>
      <c r="J112" s="129">
        <f>IF($BA112="","",INDEX(업무일지!$Z$5:$Z$1004,$BA112))</f>
        <v/>
      </c>
      <c r="K112" s="131">
        <f>IF($BA112="","",INDEX(업무일지!$AC$5:$AC$1004,$BA112))</f>
        <v/>
      </c>
      <c r="L112" s="131">
        <f>IF($BA112="","",INDEX(업무일지!$AH$5:$AH$1004,$BA112))</f>
        <v/>
      </c>
      <c r="AZ112">
        <f>IF(AND(업무일지!$B116&lt;&gt;"",업무일지!$AG116="진행중"),MAX(0,TODAY()-업무일지!$B116)*10000+889,"")</f>
        <v/>
      </c>
      <c r="BA112">
        <f>IFERROR(MATCH(LARGE($AZ$1:$AZ$1000,99),$AZ$1:$AZ$1000,0),"")</f>
        <v/>
      </c>
      <c r="BB112">
        <f>IF(AND(일일실시사항!$B116&lt;&gt;"",일일실시사항!$J116="진행중"),MAX(0,TODAY()-일일실시사항!$B116)*10000+889,"")</f>
        <v/>
      </c>
    </row>
    <row r="113">
      <c r="A113" s="118">
        <f>IF($BA113="","",100)</f>
        <v/>
      </c>
      <c r="B113" s="118">
        <f>IF($BA113="","",TODAY()-INDEX(업무일지!$B$5:$B$1004,$BA113))</f>
        <v/>
      </c>
      <c r="C113" s="137">
        <f>IF($BA113="","",INDEX(업무일지!$B$5:$B$1004,$BA113))</f>
        <v/>
      </c>
      <c r="D113" s="137">
        <f>IF($BA113="","",INDEX(업무일지!$C$5:$C$1004,$BA113))</f>
        <v/>
      </c>
      <c r="E113" s="136">
        <f>IF($BA113="","",INDEX(업무일지!$D$5:$D$1004,$BA113))</f>
        <v/>
      </c>
      <c r="F113" s="131">
        <f>IF($BA113="","",INDEX(업무일지!$E$5:$E$1004,$BA113))</f>
        <v/>
      </c>
      <c r="G113" s="136">
        <f>IF($BA113="","",INDEX(업무일지!$F$5:$F$1004,$BA113))</f>
        <v/>
      </c>
      <c r="H113" s="131">
        <f>IF($BA113="","",INDEX(업무일지!$H$5:$H$1004,$BA113))</f>
        <v/>
      </c>
      <c r="I113" s="136">
        <f>IF($BA113="","",INDEX(업무일지!$J$5:$J$1004,$BA113))</f>
        <v/>
      </c>
      <c r="J113" s="129">
        <f>IF($BA113="","",INDEX(업무일지!$Z$5:$Z$1004,$BA113))</f>
        <v/>
      </c>
      <c r="K113" s="131">
        <f>IF($BA113="","",INDEX(업무일지!$AC$5:$AC$1004,$BA113))</f>
        <v/>
      </c>
      <c r="L113" s="131">
        <f>IF($BA113="","",INDEX(업무일지!$AH$5:$AH$1004,$BA113))</f>
        <v/>
      </c>
      <c r="AZ113">
        <f>IF(AND(업무일지!$B117&lt;&gt;"",업무일지!$AG117="진행중"),MAX(0,TODAY()-업무일지!$B117)*10000+888,"")</f>
        <v/>
      </c>
      <c r="BA113">
        <f>IFERROR(MATCH(LARGE($AZ$1:$AZ$1000,100),$AZ$1:$AZ$1000,0),"")</f>
        <v/>
      </c>
      <c r="BB113">
        <f>IF(AND(일일실시사항!$B117&lt;&gt;"",일일실시사항!$J117="진행중"),MAX(0,TODAY()-일일실시사항!$B117)*10000+888,"")</f>
        <v/>
      </c>
    </row>
    <row r="114">
      <c r="AZ114">
        <f>IF(AND(업무일지!$B118&lt;&gt;"",업무일지!$AG118="진행중"),MAX(0,TODAY()-업무일지!$B118)*10000+887,"")</f>
        <v/>
      </c>
      <c r="BB114">
        <f>IF(AND(일일실시사항!$B118&lt;&gt;"",일일실시사항!$J118="진행중"),MAX(0,TODAY()-일일실시사항!$B118)*10000+887,"")</f>
        <v/>
      </c>
    </row>
    <row r="115">
      <c r="A115" s="53">
        <f>IF($B$10&gt;100,"※ 진행중이 "&amp;$B$10&amp;"건이라 위 표에 "&amp;(100)&amp;"건만 표시했습니다. 나머지는 [업무일지]에서 진행상태로 필터를 거세요.","")</f>
        <v/>
      </c>
      <c r="AZ115">
        <f>IF(AND(업무일지!$B119&lt;&gt;"",업무일지!$AG119="진행중"),MAX(0,TODAY()-업무일지!$B119)*10000+886,"")</f>
        <v/>
      </c>
      <c r="BB115">
        <f>IF(AND(일일실시사항!$B119&lt;&gt;"",일일실시사항!$J119="진행중"),MAX(0,TODAY()-일일실시사항!$B119)*10000+886,"")</f>
        <v/>
      </c>
    </row>
    <row r="116">
      <c r="AZ116">
        <f>IF(AND(업무일지!$B120&lt;&gt;"",업무일지!$AG120="진행중"),MAX(0,TODAY()-업무일지!$B120)*10000+885,"")</f>
        <v/>
      </c>
      <c r="BB116">
        <f>IF(AND(일일실시사항!$B120&lt;&gt;"",일일실시사항!$J120="진행중"),MAX(0,TODAY()-일일실시사항!$B120)*10000+885,"")</f>
        <v/>
      </c>
    </row>
    <row r="117" ht="20" customHeight="1">
      <c r="A117" s="21" t="inlineStr">
        <is>
          <t>3.  진행중 일일 실시사항 (오래된 순 · 상위 30건)</t>
        </is>
      </c>
      <c r="B117" s="22" t="n"/>
      <c r="C117" s="22" t="n"/>
      <c r="D117" s="22" t="n"/>
      <c r="E117" s="22" t="n"/>
      <c r="F117" s="22" t="n"/>
      <c r="G117" s="22" t="n"/>
      <c r="AZ117">
        <f>IF(AND(업무일지!$B121&lt;&gt;"",업무일지!$AG121="진행중"),MAX(0,TODAY()-업무일지!$B121)*10000+884,"")</f>
        <v/>
      </c>
      <c r="BB117">
        <f>IF(AND(일일실시사항!$B121&lt;&gt;"",일일실시사항!$J121="진행중"),MAX(0,TODAY()-일일실시사항!$B121)*10000+884,"")</f>
        <v/>
      </c>
    </row>
    <row r="118" ht="32" customHeight="1">
      <c r="A118" s="23" t="inlineStr">
        <is>
          <t>순위</t>
        </is>
      </c>
      <c r="B118" s="23" t="inlineStr">
        <is>
          <t>경과일수</t>
        </is>
      </c>
      <c r="C118" s="23" t="inlineStr">
        <is>
          <t>일자</t>
        </is>
      </c>
      <c r="D118" s="23" t="inlineStr">
        <is>
          <t>담당자</t>
        </is>
      </c>
      <c r="E118" s="23" t="inlineStr">
        <is>
          <t>소속팀</t>
        </is>
      </c>
      <c r="F118" s="23" t="inlineStr">
        <is>
          <t>업무구분</t>
        </is>
      </c>
      <c r="G118" s="23" t="inlineStr">
        <is>
          <t>실시 내용</t>
        </is>
      </c>
      <c r="AZ118">
        <f>IF(AND(업무일지!$B122&lt;&gt;"",업무일지!$AG122="진행중"),MAX(0,TODAY()-업무일지!$B122)*10000+883,"")</f>
        <v/>
      </c>
      <c r="BB118">
        <f>IF(AND(일일실시사항!$B122&lt;&gt;"",일일실시사항!$J122="진행중"),MAX(0,TODAY()-일일실시사항!$B122)*10000+883,"")</f>
        <v/>
      </c>
    </row>
    <row r="119">
      <c r="A119" s="118">
        <f>IF($BC119="","",1)</f>
        <v/>
      </c>
      <c r="B119" s="118">
        <f>IF($BC119="","",TODAY()-INDEX(일일실시사항!$B$5:$B$1004,$BC119))</f>
        <v/>
      </c>
      <c r="C119" s="137">
        <f>IF($BC119="","",INDEX(일일실시사항!$B$5:$B$1004,$BC119))</f>
        <v/>
      </c>
      <c r="D119" s="136">
        <f>IF($BC119="","",INDEX(일일실시사항!$D$5:$D$1004,$BC119))</f>
        <v/>
      </c>
      <c r="E119" s="136">
        <f>IF($BC119="","",INDEX(일일실시사항!$E$5:$E$1004,$BC119))</f>
        <v/>
      </c>
      <c r="F119" s="131">
        <f>IF($BC119="","",INDEX(일일실시사항!$F$5:$F$1004,$BC119))</f>
        <v/>
      </c>
      <c r="G119" s="131">
        <f>IF($BC119="","",INDEX(일일실시사항!$H$5:$H$1004,$BC119))</f>
        <v/>
      </c>
      <c r="AZ119">
        <f>IF(AND(업무일지!$B123&lt;&gt;"",업무일지!$AG123="진행중"),MAX(0,TODAY()-업무일지!$B123)*10000+882,"")</f>
        <v/>
      </c>
      <c r="BB119">
        <f>IF(AND(일일실시사항!$B123&lt;&gt;"",일일실시사항!$J123="진행중"),MAX(0,TODAY()-일일실시사항!$B123)*10000+882,"")</f>
        <v/>
      </c>
      <c r="BC119">
        <f>IFERROR(MATCH(LARGE($BB$1:$BB$1000,1),$BB$1:$BB$1000,0),"")</f>
        <v/>
      </c>
    </row>
    <row r="120">
      <c r="A120" s="118">
        <f>IF($BC120="","",2)</f>
        <v/>
      </c>
      <c r="B120" s="118">
        <f>IF($BC120="","",TODAY()-INDEX(일일실시사항!$B$5:$B$1004,$BC120))</f>
        <v/>
      </c>
      <c r="C120" s="137">
        <f>IF($BC120="","",INDEX(일일실시사항!$B$5:$B$1004,$BC120))</f>
        <v/>
      </c>
      <c r="D120" s="136">
        <f>IF($BC120="","",INDEX(일일실시사항!$D$5:$D$1004,$BC120))</f>
        <v/>
      </c>
      <c r="E120" s="136">
        <f>IF($BC120="","",INDEX(일일실시사항!$E$5:$E$1004,$BC120))</f>
        <v/>
      </c>
      <c r="F120" s="131">
        <f>IF($BC120="","",INDEX(일일실시사항!$F$5:$F$1004,$BC120))</f>
        <v/>
      </c>
      <c r="G120" s="131">
        <f>IF($BC120="","",INDEX(일일실시사항!$H$5:$H$1004,$BC120))</f>
        <v/>
      </c>
      <c r="AZ120">
        <f>IF(AND(업무일지!$B124&lt;&gt;"",업무일지!$AG124="진행중"),MAX(0,TODAY()-업무일지!$B124)*10000+881,"")</f>
        <v/>
      </c>
      <c r="BB120">
        <f>IF(AND(일일실시사항!$B124&lt;&gt;"",일일실시사항!$J124="진행중"),MAX(0,TODAY()-일일실시사항!$B124)*10000+881,"")</f>
        <v/>
      </c>
      <c r="BC120">
        <f>IFERROR(MATCH(LARGE($BB$1:$BB$1000,2),$BB$1:$BB$1000,0),"")</f>
        <v/>
      </c>
    </row>
    <row r="121">
      <c r="A121" s="118">
        <f>IF($BC121="","",3)</f>
        <v/>
      </c>
      <c r="B121" s="118">
        <f>IF($BC121="","",TODAY()-INDEX(일일실시사항!$B$5:$B$1004,$BC121))</f>
        <v/>
      </c>
      <c r="C121" s="137">
        <f>IF($BC121="","",INDEX(일일실시사항!$B$5:$B$1004,$BC121))</f>
        <v/>
      </c>
      <c r="D121" s="136">
        <f>IF($BC121="","",INDEX(일일실시사항!$D$5:$D$1004,$BC121))</f>
        <v/>
      </c>
      <c r="E121" s="136">
        <f>IF($BC121="","",INDEX(일일실시사항!$E$5:$E$1004,$BC121))</f>
        <v/>
      </c>
      <c r="F121" s="131">
        <f>IF($BC121="","",INDEX(일일실시사항!$F$5:$F$1004,$BC121))</f>
        <v/>
      </c>
      <c r="G121" s="131">
        <f>IF($BC121="","",INDEX(일일실시사항!$H$5:$H$1004,$BC121))</f>
        <v/>
      </c>
      <c r="AZ121">
        <f>IF(AND(업무일지!$B125&lt;&gt;"",업무일지!$AG125="진행중"),MAX(0,TODAY()-업무일지!$B125)*10000+880,"")</f>
        <v/>
      </c>
      <c r="BB121">
        <f>IF(AND(일일실시사항!$B125&lt;&gt;"",일일실시사항!$J125="진행중"),MAX(0,TODAY()-일일실시사항!$B125)*10000+880,"")</f>
        <v/>
      </c>
      <c r="BC121">
        <f>IFERROR(MATCH(LARGE($BB$1:$BB$1000,3),$BB$1:$BB$1000,0),"")</f>
        <v/>
      </c>
    </row>
    <row r="122">
      <c r="A122" s="118">
        <f>IF($BC122="","",4)</f>
        <v/>
      </c>
      <c r="B122" s="118">
        <f>IF($BC122="","",TODAY()-INDEX(일일실시사항!$B$5:$B$1004,$BC122))</f>
        <v/>
      </c>
      <c r="C122" s="137">
        <f>IF($BC122="","",INDEX(일일실시사항!$B$5:$B$1004,$BC122))</f>
        <v/>
      </c>
      <c r="D122" s="136">
        <f>IF($BC122="","",INDEX(일일실시사항!$D$5:$D$1004,$BC122))</f>
        <v/>
      </c>
      <c r="E122" s="136">
        <f>IF($BC122="","",INDEX(일일실시사항!$E$5:$E$1004,$BC122))</f>
        <v/>
      </c>
      <c r="F122" s="131">
        <f>IF($BC122="","",INDEX(일일실시사항!$F$5:$F$1004,$BC122))</f>
        <v/>
      </c>
      <c r="G122" s="131">
        <f>IF($BC122="","",INDEX(일일실시사항!$H$5:$H$1004,$BC122))</f>
        <v/>
      </c>
      <c r="AZ122">
        <f>IF(AND(업무일지!$B126&lt;&gt;"",업무일지!$AG126="진행중"),MAX(0,TODAY()-업무일지!$B126)*10000+879,"")</f>
        <v/>
      </c>
      <c r="BB122">
        <f>IF(AND(일일실시사항!$B126&lt;&gt;"",일일실시사항!$J126="진행중"),MAX(0,TODAY()-일일실시사항!$B126)*10000+879,"")</f>
        <v/>
      </c>
      <c r="BC122">
        <f>IFERROR(MATCH(LARGE($BB$1:$BB$1000,4),$BB$1:$BB$1000,0),"")</f>
        <v/>
      </c>
    </row>
    <row r="123">
      <c r="A123" s="118">
        <f>IF($BC123="","",5)</f>
        <v/>
      </c>
      <c r="B123" s="118">
        <f>IF($BC123="","",TODAY()-INDEX(일일실시사항!$B$5:$B$1004,$BC123))</f>
        <v/>
      </c>
      <c r="C123" s="137">
        <f>IF($BC123="","",INDEX(일일실시사항!$B$5:$B$1004,$BC123))</f>
        <v/>
      </c>
      <c r="D123" s="136">
        <f>IF($BC123="","",INDEX(일일실시사항!$D$5:$D$1004,$BC123))</f>
        <v/>
      </c>
      <c r="E123" s="136">
        <f>IF($BC123="","",INDEX(일일실시사항!$E$5:$E$1004,$BC123))</f>
        <v/>
      </c>
      <c r="F123" s="131">
        <f>IF($BC123="","",INDEX(일일실시사항!$F$5:$F$1004,$BC123))</f>
        <v/>
      </c>
      <c r="G123" s="131">
        <f>IF($BC123="","",INDEX(일일실시사항!$H$5:$H$1004,$BC123))</f>
        <v/>
      </c>
      <c r="AZ123">
        <f>IF(AND(업무일지!$B127&lt;&gt;"",업무일지!$AG127="진행중"),MAX(0,TODAY()-업무일지!$B127)*10000+878,"")</f>
        <v/>
      </c>
      <c r="BB123">
        <f>IF(AND(일일실시사항!$B127&lt;&gt;"",일일실시사항!$J127="진행중"),MAX(0,TODAY()-일일실시사항!$B127)*10000+878,"")</f>
        <v/>
      </c>
      <c r="BC123">
        <f>IFERROR(MATCH(LARGE($BB$1:$BB$1000,5),$BB$1:$BB$1000,0),"")</f>
        <v/>
      </c>
    </row>
    <row r="124">
      <c r="A124" s="118">
        <f>IF($BC124="","",6)</f>
        <v/>
      </c>
      <c r="B124" s="118">
        <f>IF($BC124="","",TODAY()-INDEX(일일실시사항!$B$5:$B$1004,$BC124))</f>
        <v/>
      </c>
      <c r="C124" s="137">
        <f>IF($BC124="","",INDEX(일일실시사항!$B$5:$B$1004,$BC124))</f>
        <v/>
      </c>
      <c r="D124" s="136">
        <f>IF($BC124="","",INDEX(일일실시사항!$D$5:$D$1004,$BC124))</f>
        <v/>
      </c>
      <c r="E124" s="136">
        <f>IF($BC124="","",INDEX(일일실시사항!$E$5:$E$1004,$BC124))</f>
        <v/>
      </c>
      <c r="F124" s="131">
        <f>IF($BC124="","",INDEX(일일실시사항!$F$5:$F$1004,$BC124))</f>
        <v/>
      </c>
      <c r="G124" s="131">
        <f>IF($BC124="","",INDEX(일일실시사항!$H$5:$H$1004,$BC124))</f>
        <v/>
      </c>
      <c r="AZ124">
        <f>IF(AND(업무일지!$B128&lt;&gt;"",업무일지!$AG128="진행중"),MAX(0,TODAY()-업무일지!$B128)*10000+877,"")</f>
        <v/>
      </c>
      <c r="BB124">
        <f>IF(AND(일일실시사항!$B128&lt;&gt;"",일일실시사항!$J128="진행중"),MAX(0,TODAY()-일일실시사항!$B128)*10000+877,"")</f>
        <v/>
      </c>
      <c r="BC124">
        <f>IFERROR(MATCH(LARGE($BB$1:$BB$1000,6),$BB$1:$BB$1000,0),"")</f>
        <v/>
      </c>
    </row>
    <row r="125">
      <c r="A125" s="118">
        <f>IF($BC125="","",7)</f>
        <v/>
      </c>
      <c r="B125" s="118">
        <f>IF($BC125="","",TODAY()-INDEX(일일실시사항!$B$5:$B$1004,$BC125))</f>
        <v/>
      </c>
      <c r="C125" s="137">
        <f>IF($BC125="","",INDEX(일일실시사항!$B$5:$B$1004,$BC125))</f>
        <v/>
      </c>
      <c r="D125" s="136">
        <f>IF($BC125="","",INDEX(일일실시사항!$D$5:$D$1004,$BC125))</f>
        <v/>
      </c>
      <c r="E125" s="136">
        <f>IF($BC125="","",INDEX(일일실시사항!$E$5:$E$1004,$BC125))</f>
        <v/>
      </c>
      <c r="F125" s="131">
        <f>IF($BC125="","",INDEX(일일실시사항!$F$5:$F$1004,$BC125))</f>
        <v/>
      </c>
      <c r="G125" s="131">
        <f>IF($BC125="","",INDEX(일일실시사항!$H$5:$H$1004,$BC125))</f>
        <v/>
      </c>
      <c r="AZ125">
        <f>IF(AND(업무일지!$B129&lt;&gt;"",업무일지!$AG129="진행중"),MAX(0,TODAY()-업무일지!$B129)*10000+876,"")</f>
        <v/>
      </c>
      <c r="BB125">
        <f>IF(AND(일일실시사항!$B129&lt;&gt;"",일일실시사항!$J129="진행중"),MAX(0,TODAY()-일일실시사항!$B129)*10000+876,"")</f>
        <v/>
      </c>
      <c r="BC125">
        <f>IFERROR(MATCH(LARGE($BB$1:$BB$1000,7),$BB$1:$BB$1000,0),"")</f>
        <v/>
      </c>
    </row>
    <row r="126">
      <c r="A126" s="118">
        <f>IF($BC126="","",8)</f>
        <v/>
      </c>
      <c r="B126" s="118">
        <f>IF($BC126="","",TODAY()-INDEX(일일실시사항!$B$5:$B$1004,$BC126))</f>
        <v/>
      </c>
      <c r="C126" s="137">
        <f>IF($BC126="","",INDEX(일일실시사항!$B$5:$B$1004,$BC126))</f>
        <v/>
      </c>
      <c r="D126" s="136">
        <f>IF($BC126="","",INDEX(일일실시사항!$D$5:$D$1004,$BC126))</f>
        <v/>
      </c>
      <c r="E126" s="136">
        <f>IF($BC126="","",INDEX(일일실시사항!$E$5:$E$1004,$BC126))</f>
        <v/>
      </c>
      <c r="F126" s="131">
        <f>IF($BC126="","",INDEX(일일실시사항!$F$5:$F$1004,$BC126))</f>
        <v/>
      </c>
      <c r="G126" s="131">
        <f>IF($BC126="","",INDEX(일일실시사항!$H$5:$H$1004,$BC126))</f>
        <v/>
      </c>
      <c r="AZ126">
        <f>IF(AND(업무일지!$B130&lt;&gt;"",업무일지!$AG130="진행중"),MAX(0,TODAY()-업무일지!$B130)*10000+875,"")</f>
        <v/>
      </c>
      <c r="BB126">
        <f>IF(AND(일일실시사항!$B130&lt;&gt;"",일일실시사항!$J130="진행중"),MAX(0,TODAY()-일일실시사항!$B130)*10000+875,"")</f>
        <v/>
      </c>
      <c r="BC126">
        <f>IFERROR(MATCH(LARGE($BB$1:$BB$1000,8),$BB$1:$BB$1000,0),"")</f>
        <v/>
      </c>
    </row>
    <row r="127">
      <c r="A127" s="118">
        <f>IF($BC127="","",9)</f>
        <v/>
      </c>
      <c r="B127" s="118">
        <f>IF($BC127="","",TODAY()-INDEX(일일실시사항!$B$5:$B$1004,$BC127))</f>
        <v/>
      </c>
      <c r="C127" s="137">
        <f>IF($BC127="","",INDEX(일일실시사항!$B$5:$B$1004,$BC127))</f>
        <v/>
      </c>
      <c r="D127" s="136">
        <f>IF($BC127="","",INDEX(일일실시사항!$D$5:$D$1004,$BC127))</f>
        <v/>
      </c>
      <c r="E127" s="136">
        <f>IF($BC127="","",INDEX(일일실시사항!$E$5:$E$1004,$BC127))</f>
        <v/>
      </c>
      <c r="F127" s="131">
        <f>IF($BC127="","",INDEX(일일실시사항!$F$5:$F$1004,$BC127))</f>
        <v/>
      </c>
      <c r="G127" s="131">
        <f>IF($BC127="","",INDEX(일일실시사항!$H$5:$H$1004,$BC127))</f>
        <v/>
      </c>
      <c r="AZ127">
        <f>IF(AND(업무일지!$B131&lt;&gt;"",업무일지!$AG131="진행중"),MAX(0,TODAY()-업무일지!$B131)*10000+874,"")</f>
        <v/>
      </c>
      <c r="BB127">
        <f>IF(AND(일일실시사항!$B131&lt;&gt;"",일일실시사항!$J131="진행중"),MAX(0,TODAY()-일일실시사항!$B131)*10000+874,"")</f>
        <v/>
      </c>
      <c r="BC127">
        <f>IFERROR(MATCH(LARGE($BB$1:$BB$1000,9),$BB$1:$BB$1000,0),"")</f>
        <v/>
      </c>
    </row>
    <row r="128">
      <c r="A128" s="118">
        <f>IF($BC128="","",10)</f>
        <v/>
      </c>
      <c r="B128" s="118">
        <f>IF($BC128="","",TODAY()-INDEX(일일실시사항!$B$5:$B$1004,$BC128))</f>
        <v/>
      </c>
      <c r="C128" s="137">
        <f>IF($BC128="","",INDEX(일일실시사항!$B$5:$B$1004,$BC128))</f>
        <v/>
      </c>
      <c r="D128" s="136">
        <f>IF($BC128="","",INDEX(일일실시사항!$D$5:$D$1004,$BC128))</f>
        <v/>
      </c>
      <c r="E128" s="136">
        <f>IF($BC128="","",INDEX(일일실시사항!$E$5:$E$1004,$BC128))</f>
        <v/>
      </c>
      <c r="F128" s="131">
        <f>IF($BC128="","",INDEX(일일실시사항!$F$5:$F$1004,$BC128))</f>
        <v/>
      </c>
      <c r="G128" s="131">
        <f>IF($BC128="","",INDEX(일일실시사항!$H$5:$H$1004,$BC128))</f>
        <v/>
      </c>
      <c r="AZ128">
        <f>IF(AND(업무일지!$B132&lt;&gt;"",업무일지!$AG132="진행중"),MAX(0,TODAY()-업무일지!$B132)*10000+873,"")</f>
        <v/>
      </c>
      <c r="BB128">
        <f>IF(AND(일일실시사항!$B132&lt;&gt;"",일일실시사항!$J132="진행중"),MAX(0,TODAY()-일일실시사항!$B132)*10000+873,"")</f>
        <v/>
      </c>
      <c r="BC128">
        <f>IFERROR(MATCH(LARGE($BB$1:$BB$1000,10),$BB$1:$BB$1000,0),"")</f>
        <v/>
      </c>
    </row>
    <row r="129">
      <c r="A129" s="118">
        <f>IF($BC129="","",11)</f>
        <v/>
      </c>
      <c r="B129" s="118">
        <f>IF($BC129="","",TODAY()-INDEX(일일실시사항!$B$5:$B$1004,$BC129))</f>
        <v/>
      </c>
      <c r="C129" s="137">
        <f>IF($BC129="","",INDEX(일일실시사항!$B$5:$B$1004,$BC129))</f>
        <v/>
      </c>
      <c r="D129" s="136">
        <f>IF($BC129="","",INDEX(일일실시사항!$D$5:$D$1004,$BC129))</f>
        <v/>
      </c>
      <c r="E129" s="136">
        <f>IF($BC129="","",INDEX(일일실시사항!$E$5:$E$1004,$BC129))</f>
        <v/>
      </c>
      <c r="F129" s="131">
        <f>IF($BC129="","",INDEX(일일실시사항!$F$5:$F$1004,$BC129))</f>
        <v/>
      </c>
      <c r="G129" s="131">
        <f>IF($BC129="","",INDEX(일일실시사항!$H$5:$H$1004,$BC129))</f>
        <v/>
      </c>
      <c r="AZ129">
        <f>IF(AND(업무일지!$B133&lt;&gt;"",업무일지!$AG133="진행중"),MAX(0,TODAY()-업무일지!$B133)*10000+872,"")</f>
        <v/>
      </c>
      <c r="BB129">
        <f>IF(AND(일일실시사항!$B133&lt;&gt;"",일일실시사항!$J133="진행중"),MAX(0,TODAY()-일일실시사항!$B133)*10000+872,"")</f>
        <v/>
      </c>
      <c r="BC129">
        <f>IFERROR(MATCH(LARGE($BB$1:$BB$1000,11),$BB$1:$BB$1000,0),"")</f>
        <v/>
      </c>
    </row>
    <row r="130">
      <c r="A130" s="118">
        <f>IF($BC130="","",12)</f>
        <v/>
      </c>
      <c r="B130" s="118">
        <f>IF($BC130="","",TODAY()-INDEX(일일실시사항!$B$5:$B$1004,$BC130))</f>
        <v/>
      </c>
      <c r="C130" s="137">
        <f>IF($BC130="","",INDEX(일일실시사항!$B$5:$B$1004,$BC130))</f>
        <v/>
      </c>
      <c r="D130" s="136">
        <f>IF($BC130="","",INDEX(일일실시사항!$D$5:$D$1004,$BC130))</f>
        <v/>
      </c>
      <c r="E130" s="136">
        <f>IF($BC130="","",INDEX(일일실시사항!$E$5:$E$1004,$BC130))</f>
        <v/>
      </c>
      <c r="F130" s="131">
        <f>IF($BC130="","",INDEX(일일실시사항!$F$5:$F$1004,$BC130))</f>
        <v/>
      </c>
      <c r="G130" s="131">
        <f>IF($BC130="","",INDEX(일일실시사항!$H$5:$H$1004,$BC130))</f>
        <v/>
      </c>
      <c r="AZ130">
        <f>IF(AND(업무일지!$B134&lt;&gt;"",업무일지!$AG134="진행중"),MAX(0,TODAY()-업무일지!$B134)*10000+871,"")</f>
        <v/>
      </c>
      <c r="BB130">
        <f>IF(AND(일일실시사항!$B134&lt;&gt;"",일일실시사항!$J134="진행중"),MAX(0,TODAY()-일일실시사항!$B134)*10000+871,"")</f>
        <v/>
      </c>
      <c r="BC130">
        <f>IFERROR(MATCH(LARGE($BB$1:$BB$1000,12),$BB$1:$BB$1000,0),"")</f>
        <v/>
      </c>
    </row>
    <row r="131">
      <c r="A131" s="118">
        <f>IF($BC131="","",13)</f>
        <v/>
      </c>
      <c r="B131" s="118">
        <f>IF($BC131="","",TODAY()-INDEX(일일실시사항!$B$5:$B$1004,$BC131))</f>
        <v/>
      </c>
      <c r="C131" s="137">
        <f>IF($BC131="","",INDEX(일일실시사항!$B$5:$B$1004,$BC131))</f>
        <v/>
      </c>
      <c r="D131" s="136">
        <f>IF($BC131="","",INDEX(일일실시사항!$D$5:$D$1004,$BC131))</f>
        <v/>
      </c>
      <c r="E131" s="136">
        <f>IF($BC131="","",INDEX(일일실시사항!$E$5:$E$1004,$BC131))</f>
        <v/>
      </c>
      <c r="F131" s="131">
        <f>IF($BC131="","",INDEX(일일실시사항!$F$5:$F$1004,$BC131))</f>
        <v/>
      </c>
      <c r="G131" s="131">
        <f>IF($BC131="","",INDEX(일일실시사항!$H$5:$H$1004,$BC131))</f>
        <v/>
      </c>
      <c r="AZ131">
        <f>IF(AND(업무일지!$B135&lt;&gt;"",업무일지!$AG135="진행중"),MAX(0,TODAY()-업무일지!$B135)*10000+870,"")</f>
        <v/>
      </c>
      <c r="BB131">
        <f>IF(AND(일일실시사항!$B135&lt;&gt;"",일일실시사항!$J135="진행중"),MAX(0,TODAY()-일일실시사항!$B135)*10000+870,"")</f>
        <v/>
      </c>
      <c r="BC131">
        <f>IFERROR(MATCH(LARGE($BB$1:$BB$1000,13),$BB$1:$BB$1000,0),"")</f>
        <v/>
      </c>
    </row>
    <row r="132">
      <c r="A132" s="118">
        <f>IF($BC132="","",14)</f>
        <v/>
      </c>
      <c r="B132" s="118">
        <f>IF($BC132="","",TODAY()-INDEX(일일실시사항!$B$5:$B$1004,$BC132))</f>
        <v/>
      </c>
      <c r="C132" s="137">
        <f>IF($BC132="","",INDEX(일일실시사항!$B$5:$B$1004,$BC132))</f>
        <v/>
      </c>
      <c r="D132" s="136">
        <f>IF($BC132="","",INDEX(일일실시사항!$D$5:$D$1004,$BC132))</f>
        <v/>
      </c>
      <c r="E132" s="136">
        <f>IF($BC132="","",INDEX(일일실시사항!$E$5:$E$1004,$BC132))</f>
        <v/>
      </c>
      <c r="F132" s="131">
        <f>IF($BC132="","",INDEX(일일실시사항!$F$5:$F$1004,$BC132))</f>
        <v/>
      </c>
      <c r="G132" s="131">
        <f>IF($BC132="","",INDEX(일일실시사항!$H$5:$H$1004,$BC132))</f>
        <v/>
      </c>
      <c r="AZ132">
        <f>IF(AND(업무일지!$B136&lt;&gt;"",업무일지!$AG136="진행중"),MAX(0,TODAY()-업무일지!$B136)*10000+869,"")</f>
        <v/>
      </c>
      <c r="BB132">
        <f>IF(AND(일일실시사항!$B136&lt;&gt;"",일일실시사항!$J136="진행중"),MAX(0,TODAY()-일일실시사항!$B136)*10000+869,"")</f>
        <v/>
      </c>
      <c r="BC132">
        <f>IFERROR(MATCH(LARGE($BB$1:$BB$1000,14),$BB$1:$BB$1000,0),"")</f>
        <v/>
      </c>
    </row>
    <row r="133">
      <c r="A133" s="118">
        <f>IF($BC133="","",15)</f>
        <v/>
      </c>
      <c r="B133" s="118">
        <f>IF($BC133="","",TODAY()-INDEX(일일실시사항!$B$5:$B$1004,$BC133))</f>
        <v/>
      </c>
      <c r="C133" s="137">
        <f>IF($BC133="","",INDEX(일일실시사항!$B$5:$B$1004,$BC133))</f>
        <v/>
      </c>
      <c r="D133" s="136">
        <f>IF($BC133="","",INDEX(일일실시사항!$D$5:$D$1004,$BC133))</f>
        <v/>
      </c>
      <c r="E133" s="136">
        <f>IF($BC133="","",INDEX(일일실시사항!$E$5:$E$1004,$BC133))</f>
        <v/>
      </c>
      <c r="F133" s="131">
        <f>IF($BC133="","",INDEX(일일실시사항!$F$5:$F$1004,$BC133))</f>
        <v/>
      </c>
      <c r="G133" s="131">
        <f>IF($BC133="","",INDEX(일일실시사항!$H$5:$H$1004,$BC133))</f>
        <v/>
      </c>
      <c r="AZ133">
        <f>IF(AND(업무일지!$B137&lt;&gt;"",업무일지!$AG137="진행중"),MAX(0,TODAY()-업무일지!$B137)*10000+868,"")</f>
        <v/>
      </c>
      <c r="BB133">
        <f>IF(AND(일일실시사항!$B137&lt;&gt;"",일일실시사항!$J137="진행중"),MAX(0,TODAY()-일일실시사항!$B137)*10000+868,"")</f>
        <v/>
      </c>
      <c r="BC133">
        <f>IFERROR(MATCH(LARGE($BB$1:$BB$1000,15),$BB$1:$BB$1000,0),"")</f>
        <v/>
      </c>
    </row>
    <row r="134">
      <c r="A134" s="118">
        <f>IF($BC134="","",16)</f>
        <v/>
      </c>
      <c r="B134" s="118">
        <f>IF($BC134="","",TODAY()-INDEX(일일실시사항!$B$5:$B$1004,$BC134))</f>
        <v/>
      </c>
      <c r="C134" s="137">
        <f>IF($BC134="","",INDEX(일일실시사항!$B$5:$B$1004,$BC134))</f>
        <v/>
      </c>
      <c r="D134" s="136">
        <f>IF($BC134="","",INDEX(일일실시사항!$D$5:$D$1004,$BC134))</f>
        <v/>
      </c>
      <c r="E134" s="136">
        <f>IF($BC134="","",INDEX(일일실시사항!$E$5:$E$1004,$BC134))</f>
        <v/>
      </c>
      <c r="F134" s="131">
        <f>IF($BC134="","",INDEX(일일실시사항!$F$5:$F$1004,$BC134))</f>
        <v/>
      </c>
      <c r="G134" s="131">
        <f>IF($BC134="","",INDEX(일일실시사항!$H$5:$H$1004,$BC134))</f>
        <v/>
      </c>
      <c r="AZ134">
        <f>IF(AND(업무일지!$B138&lt;&gt;"",업무일지!$AG138="진행중"),MAX(0,TODAY()-업무일지!$B138)*10000+867,"")</f>
        <v/>
      </c>
      <c r="BB134">
        <f>IF(AND(일일실시사항!$B138&lt;&gt;"",일일실시사항!$J138="진행중"),MAX(0,TODAY()-일일실시사항!$B138)*10000+867,"")</f>
        <v/>
      </c>
      <c r="BC134">
        <f>IFERROR(MATCH(LARGE($BB$1:$BB$1000,16),$BB$1:$BB$1000,0),"")</f>
        <v/>
      </c>
    </row>
    <row r="135">
      <c r="A135" s="118">
        <f>IF($BC135="","",17)</f>
        <v/>
      </c>
      <c r="B135" s="118">
        <f>IF($BC135="","",TODAY()-INDEX(일일실시사항!$B$5:$B$1004,$BC135))</f>
        <v/>
      </c>
      <c r="C135" s="137">
        <f>IF($BC135="","",INDEX(일일실시사항!$B$5:$B$1004,$BC135))</f>
        <v/>
      </c>
      <c r="D135" s="136">
        <f>IF($BC135="","",INDEX(일일실시사항!$D$5:$D$1004,$BC135))</f>
        <v/>
      </c>
      <c r="E135" s="136">
        <f>IF($BC135="","",INDEX(일일실시사항!$E$5:$E$1004,$BC135))</f>
        <v/>
      </c>
      <c r="F135" s="131">
        <f>IF($BC135="","",INDEX(일일실시사항!$F$5:$F$1004,$BC135))</f>
        <v/>
      </c>
      <c r="G135" s="131">
        <f>IF($BC135="","",INDEX(일일실시사항!$H$5:$H$1004,$BC135))</f>
        <v/>
      </c>
      <c r="AZ135">
        <f>IF(AND(업무일지!$B139&lt;&gt;"",업무일지!$AG139="진행중"),MAX(0,TODAY()-업무일지!$B139)*10000+866,"")</f>
        <v/>
      </c>
      <c r="BB135">
        <f>IF(AND(일일실시사항!$B139&lt;&gt;"",일일실시사항!$J139="진행중"),MAX(0,TODAY()-일일실시사항!$B139)*10000+866,"")</f>
        <v/>
      </c>
      <c r="BC135">
        <f>IFERROR(MATCH(LARGE($BB$1:$BB$1000,17),$BB$1:$BB$1000,0),"")</f>
        <v/>
      </c>
    </row>
    <row r="136">
      <c r="A136" s="118">
        <f>IF($BC136="","",18)</f>
        <v/>
      </c>
      <c r="B136" s="118">
        <f>IF($BC136="","",TODAY()-INDEX(일일실시사항!$B$5:$B$1004,$BC136))</f>
        <v/>
      </c>
      <c r="C136" s="137">
        <f>IF($BC136="","",INDEX(일일실시사항!$B$5:$B$1004,$BC136))</f>
        <v/>
      </c>
      <c r="D136" s="136">
        <f>IF($BC136="","",INDEX(일일실시사항!$D$5:$D$1004,$BC136))</f>
        <v/>
      </c>
      <c r="E136" s="136">
        <f>IF($BC136="","",INDEX(일일실시사항!$E$5:$E$1004,$BC136))</f>
        <v/>
      </c>
      <c r="F136" s="131">
        <f>IF($BC136="","",INDEX(일일실시사항!$F$5:$F$1004,$BC136))</f>
        <v/>
      </c>
      <c r="G136" s="131">
        <f>IF($BC136="","",INDEX(일일실시사항!$H$5:$H$1004,$BC136))</f>
        <v/>
      </c>
      <c r="AZ136">
        <f>IF(AND(업무일지!$B140&lt;&gt;"",업무일지!$AG140="진행중"),MAX(0,TODAY()-업무일지!$B140)*10000+865,"")</f>
        <v/>
      </c>
      <c r="BB136">
        <f>IF(AND(일일실시사항!$B140&lt;&gt;"",일일실시사항!$J140="진행중"),MAX(0,TODAY()-일일실시사항!$B140)*10000+865,"")</f>
        <v/>
      </c>
      <c r="BC136">
        <f>IFERROR(MATCH(LARGE($BB$1:$BB$1000,18),$BB$1:$BB$1000,0),"")</f>
        <v/>
      </c>
    </row>
    <row r="137">
      <c r="A137" s="118">
        <f>IF($BC137="","",19)</f>
        <v/>
      </c>
      <c r="B137" s="118">
        <f>IF($BC137="","",TODAY()-INDEX(일일실시사항!$B$5:$B$1004,$BC137))</f>
        <v/>
      </c>
      <c r="C137" s="137">
        <f>IF($BC137="","",INDEX(일일실시사항!$B$5:$B$1004,$BC137))</f>
        <v/>
      </c>
      <c r="D137" s="136">
        <f>IF($BC137="","",INDEX(일일실시사항!$D$5:$D$1004,$BC137))</f>
        <v/>
      </c>
      <c r="E137" s="136">
        <f>IF($BC137="","",INDEX(일일실시사항!$E$5:$E$1004,$BC137))</f>
        <v/>
      </c>
      <c r="F137" s="131">
        <f>IF($BC137="","",INDEX(일일실시사항!$F$5:$F$1004,$BC137))</f>
        <v/>
      </c>
      <c r="G137" s="131">
        <f>IF($BC137="","",INDEX(일일실시사항!$H$5:$H$1004,$BC137))</f>
        <v/>
      </c>
      <c r="AZ137">
        <f>IF(AND(업무일지!$B141&lt;&gt;"",업무일지!$AG141="진행중"),MAX(0,TODAY()-업무일지!$B141)*10000+864,"")</f>
        <v/>
      </c>
      <c r="BB137">
        <f>IF(AND(일일실시사항!$B141&lt;&gt;"",일일실시사항!$J141="진행중"),MAX(0,TODAY()-일일실시사항!$B141)*10000+864,"")</f>
        <v/>
      </c>
      <c r="BC137">
        <f>IFERROR(MATCH(LARGE($BB$1:$BB$1000,19),$BB$1:$BB$1000,0),"")</f>
        <v/>
      </c>
    </row>
    <row r="138">
      <c r="A138" s="118">
        <f>IF($BC138="","",20)</f>
        <v/>
      </c>
      <c r="B138" s="118">
        <f>IF($BC138="","",TODAY()-INDEX(일일실시사항!$B$5:$B$1004,$BC138))</f>
        <v/>
      </c>
      <c r="C138" s="137">
        <f>IF($BC138="","",INDEX(일일실시사항!$B$5:$B$1004,$BC138))</f>
        <v/>
      </c>
      <c r="D138" s="136">
        <f>IF($BC138="","",INDEX(일일실시사항!$D$5:$D$1004,$BC138))</f>
        <v/>
      </c>
      <c r="E138" s="136">
        <f>IF($BC138="","",INDEX(일일실시사항!$E$5:$E$1004,$BC138))</f>
        <v/>
      </c>
      <c r="F138" s="131">
        <f>IF($BC138="","",INDEX(일일실시사항!$F$5:$F$1004,$BC138))</f>
        <v/>
      </c>
      <c r="G138" s="131">
        <f>IF($BC138="","",INDEX(일일실시사항!$H$5:$H$1004,$BC138))</f>
        <v/>
      </c>
      <c r="AZ138">
        <f>IF(AND(업무일지!$B142&lt;&gt;"",업무일지!$AG142="진행중"),MAX(0,TODAY()-업무일지!$B142)*10000+863,"")</f>
        <v/>
      </c>
      <c r="BB138">
        <f>IF(AND(일일실시사항!$B142&lt;&gt;"",일일실시사항!$J142="진행중"),MAX(0,TODAY()-일일실시사항!$B142)*10000+863,"")</f>
        <v/>
      </c>
      <c r="BC138">
        <f>IFERROR(MATCH(LARGE($BB$1:$BB$1000,20),$BB$1:$BB$1000,0),"")</f>
        <v/>
      </c>
    </row>
    <row r="139">
      <c r="A139" s="118">
        <f>IF($BC139="","",21)</f>
        <v/>
      </c>
      <c r="B139" s="118">
        <f>IF($BC139="","",TODAY()-INDEX(일일실시사항!$B$5:$B$1004,$BC139))</f>
        <v/>
      </c>
      <c r="C139" s="137">
        <f>IF($BC139="","",INDEX(일일실시사항!$B$5:$B$1004,$BC139))</f>
        <v/>
      </c>
      <c r="D139" s="136">
        <f>IF($BC139="","",INDEX(일일실시사항!$D$5:$D$1004,$BC139))</f>
        <v/>
      </c>
      <c r="E139" s="136">
        <f>IF($BC139="","",INDEX(일일실시사항!$E$5:$E$1004,$BC139))</f>
        <v/>
      </c>
      <c r="F139" s="131">
        <f>IF($BC139="","",INDEX(일일실시사항!$F$5:$F$1004,$BC139))</f>
        <v/>
      </c>
      <c r="G139" s="131">
        <f>IF($BC139="","",INDEX(일일실시사항!$H$5:$H$1004,$BC139))</f>
        <v/>
      </c>
      <c r="AZ139">
        <f>IF(AND(업무일지!$B143&lt;&gt;"",업무일지!$AG143="진행중"),MAX(0,TODAY()-업무일지!$B143)*10000+862,"")</f>
        <v/>
      </c>
      <c r="BB139">
        <f>IF(AND(일일실시사항!$B143&lt;&gt;"",일일실시사항!$J143="진행중"),MAX(0,TODAY()-일일실시사항!$B143)*10000+862,"")</f>
        <v/>
      </c>
      <c r="BC139">
        <f>IFERROR(MATCH(LARGE($BB$1:$BB$1000,21),$BB$1:$BB$1000,0),"")</f>
        <v/>
      </c>
    </row>
    <row r="140">
      <c r="A140" s="118">
        <f>IF($BC140="","",22)</f>
        <v/>
      </c>
      <c r="B140" s="118">
        <f>IF($BC140="","",TODAY()-INDEX(일일실시사항!$B$5:$B$1004,$BC140))</f>
        <v/>
      </c>
      <c r="C140" s="137">
        <f>IF($BC140="","",INDEX(일일실시사항!$B$5:$B$1004,$BC140))</f>
        <v/>
      </c>
      <c r="D140" s="136">
        <f>IF($BC140="","",INDEX(일일실시사항!$D$5:$D$1004,$BC140))</f>
        <v/>
      </c>
      <c r="E140" s="136">
        <f>IF($BC140="","",INDEX(일일실시사항!$E$5:$E$1004,$BC140))</f>
        <v/>
      </c>
      <c r="F140" s="131">
        <f>IF($BC140="","",INDEX(일일실시사항!$F$5:$F$1004,$BC140))</f>
        <v/>
      </c>
      <c r="G140" s="131">
        <f>IF($BC140="","",INDEX(일일실시사항!$H$5:$H$1004,$BC140))</f>
        <v/>
      </c>
      <c r="AZ140">
        <f>IF(AND(업무일지!$B144&lt;&gt;"",업무일지!$AG144="진행중"),MAX(0,TODAY()-업무일지!$B144)*10000+861,"")</f>
        <v/>
      </c>
      <c r="BB140">
        <f>IF(AND(일일실시사항!$B144&lt;&gt;"",일일실시사항!$J144="진행중"),MAX(0,TODAY()-일일실시사항!$B144)*10000+861,"")</f>
        <v/>
      </c>
      <c r="BC140">
        <f>IFERROR(MATCH(LARGE($BB$1:$BB$1000,22),$BB$1:$BB$1000,0),"")</f>
        <v/>
      </c>
    </row>
    <row r="141">
      <c r="A141" s="118">
        <f>IF($BC141="","",23)</f>
        <v/>
      </c>
      <c r="B141" s="118">
        <f>IF($BC141="","",TODAY()-INDEX(일일실시사항!$B$5:$B$1004,$BC141))</f>
        <v/>
      </c>
      <c r="C141" s="137">
        <f>IF($BC141="","",INDEX(일일실시사항!$B$5:$B$1004,$BC141))</f>
        <v/>
      </c>
      <c r="D141" s="136">
        <f>IF($BC141="","",INDEX(일일실시사항!$D$5:$D$1004,$BC141))</f>
        <v/>
      </c>
      <c r="E141" s="136">
        <f>IF($BC141="","",INDEX(일일실시사항!$E$5:$E$1004,$BC141))</f>
        <v/>
      </c>
      <c r="F141" s="131">
        <f>IF($BC141="","",INDEX(일일실시사항!$F$5:$F$1004,$BC141))</f>
        <v/>
      </c>
      <c r="G141" s="131">
        <f>IF($BC141="","",INDEX(일일실시사항!$H$5:$H$1004,$BC141))</f>
        <v/>
      </c>
      <c r="AZ141">
        <f>IF(AND(업무일지!$B145&lt;&gt;"",업무일지!$AG145="진행중"),MAX(0,TODAY()-업무일지!$B145)*10000+860,"")</f>
        <v/>
      </c>
      <c r="BB141">
        <f>IF(AND(일일실시사항!$B145&lt;&gt;"",일일실시사항!$J145="진행중"),MAX(0,TODAY()-일일실시사항!$B145)*10000+860,"")</f>
        <v/>
      </c>
      <c r="BC141">
        <f>IFERROR(MATCH(LARGE($BB$1:$BB$1000,23),$BB$1:$BB$1000,0),"")</f>
        <v/>
      </c>
    </row>
    <row r="142">
      <c r="A142" s="118">
        <f>IF($BC142="","",24)</f>
        <v/>
      </c>
      <c r="B142" s="118">
        <f>IF($BC142="","",TODAY()-INDEX(일일실시사항!$B$5:$B$1004,$BC142))</f>
        <v/>
      </c>
      <c r="C142" s="137">
        <f>IF($BC142="","",INDEX(일일실시사항!$B$5:$B$1004,$BC142))</f>
        <v/>
      </c>
      <c r="D142" s="136">
        <f>IF($BC142="","",INDEX(일일실시사항!$D$5:$D$1004,$BC142))</f>
        <v/>
      </c>
      <c r="E142" s="136">
        <f>IF($BC142="","",INDEX(일일실시사항!$E$5:$E$1004,$BC142))</f>
        <v/>
      </c>
      <c r="F142" s="131">
        <f>IF($BC142="","",INDEX(일일실시사항!$F$5:$F$1004,$BC142))</f>
        <v/>
      </c>
      <c r="G142" s="131">
        <f>IF($BC142="","",INDEX(일일실시사항!$H$5:$H$1004,$BC142))</f>
        <v/>
      </c>
      <c r="AZ142">
        <f>IF(AND(업무일지!$B146&lt;&gt;"",업무일지!$AG146="진행중"),MAX(0,TODAY()-업무일지!$B146)*10000+859,"")</f>
        <v/>
      </c>
      <c r="BB142">
        <f>IF(AND(일일실시사항!$B146&lt;&gt;"",일일실시사항!$J146="진행중"),MAX(0,TODAY()-일일실시사항!$B146)*10000+859,"")</f>
        <v/>
      </c>
      <c r="BC142">
        <f>IFERROR(MATCH(LARGE($BB$1:$BB$1000,24),$BB$1:$BB$1000,0),"")</f>
        <v/>
      </c>
    </row>
    <row r="143">
      <c r="A143" s="118">
        <f>IF($BC143="","",25)</f>
        <v/>
      </c>
      <c r="B143" s="118">
        <f>IF($BC143="","",TODAY()-INDEX(일일실시사항!$B$5:$B$1004,$BC143))</f>
        <v/>
      </c>
      <c r="C143" s="137">
        <f>IF($BC143="","",INDEX(일일실시사항!$B$5:$B$1004,$BC143))</f>
        <v/>
      </c>
      <c r="D143" s="136">
        <f>IF($BC143="","",INDEX(일일실시사항!$D$5:$D$1004,$BC143))</f>
        <v/>
      </c>
      <c r="E143" s="136">
        <f>IF($BC143="","",INDEX(일일실시사항!$E$5:$E$1004,$BC143))</f>
        <v/>
      </c>
      <c r="F143" s="131">
        <f>IF($BC143="","",INDEX(일일실시사항!$F$5:$F$1004,$BC143))</f>
        <v/>
      </c>
      <c r="G143" s="131">
        <f>IF($BC143="","",INDEX(일일실시사항!$H$5:$H$1004,$BC143))</f>
        <v/>
      </c>
      <c r="AZ143">
        <f>IF(AND(업무일지!$B147&lt;&gt;"",업무일지!$AG147="진행중"),MAX(0,TODAY()-업무일지!$B147)*10000+858,"")</f>
        <v/>
      </c>
      <c r="BB143">
        <f>IF(AND(일일실시사항!$B147&lt;&gt;"",일일실시사항!$J147="진행중"),MAX(0,TODAY()-일일실시사항!$B147)*10000+858,"")</f>
        <v/>
      </c>
      <c r="BC143">
        <f>IFERROR(MATCH(LARGE($BB$1:$BB$1000,25),$BB$1:$BB$1000,0),"")</f>
        <v/>
      </c>
    </row>
    <row r="144">
      <c r="A144" s="118">
        <f>IF($BC144="","",26)</f>
        <v/>
      </c>
      <c r="B144" s="118">
        <f>IF($BC144="","",TODAY()-INDEX(일일실시사항!$B$5:$B$1004,$BC144))</f>
        <v/>
      </c>
      <c r="C144" s="137">
        <f>IF($BC144="","",INDEX(일일실시사항!$B$5:$B$1004,$BC144))</f>
        <v/>
      </c>
      <c r="D144" s="136">
        <f>IF($BC144="","",INDEX(일일실시사항!$D$5:$D$1004,$BC144))</f>
        <v/>
      </c>
      <c r="E144" s="136">
        <f>IF($BC144="","",INDEX(일일실시사항!$E$5:$E$1004,$BC144))</f>
        <v/>
      </c>
      <c r="F144" s="131">
        <f>IF($BC144="","",INDEX(일일실시사항!$F$5:$F$1004,$BC144))</f>
        <v/>
      </c>
      <c r="G144" s="131">
        <f>IF($BC144="","",INDEX(일일실시사항!$H$5:$H$1004,$BC144))</f>
        <v/>
      </c>
      <c r="AZ144">
        <f>IF(AND(업무일지!$B148&lt;&gt;"",업무일지!$AG148="진행중"),MAX(0,TODAY()-업무일지!$B148)*10000+857,"")</f>
        <v/>
      </c>
      <c r="BB144">
        <f>IF(AND(일일실시사항!$B148&lt;&gt;"",일일실시사항!$J148="진행중"),MAX(0,TODAY()-일일실시사항!$B148)*10000+857,"")</f>
        <v/>
      </c>
      <c r="BC144">
        <f>IFERROR(MATCH(LARGE($BB$1:$BB$1000,26),$BB$1:$BB$1000,0),"")</f>
        <v/>
      </c>
    </row>
    <row r="145">
      <c r="A145" s="118">
        <f>IF($BC145="","",27)</f>
        <v/>
      </c>
      <c r="B145" s="118">
        <f>IF($BC145="","",TODAY()-INDEX(일일실시사항!$B$5:$B$1004,$BC145))</f>
        <v/>
      </c>
      <c r="C145" s="137">
        <f>IF($BC145="","",INDEX(일일실시사항!$B$5:$B$1004,$BC145))</f>
        <v/>
      </c>
      <c r="D145" s="136">
        <f>IF($BC145="","",INDEX(일일실시사항!$D$5:$D$1004,$BC145))</f>
        <v/>
      </c>
      <c r="E145" s="136">
        <f>IF($BC145="","",INDEX(일일실시사항!$E$5:$E$1004,$BC145))</f>
        <v/>
      </c>
      <c r="F145" s="131">
        <f>IF($BC145="","",INDEX(일일실시사항!$F$5:$F$1004,$BC145))</f>
        <v/>
      </c>
      <c r="G145" s="131">
        <f>IF($BC145="","",INDEX(일일실시사항!$H$5:$H$1004,$BC145))</f>
        <v/>
      </c>
      <c r="AZ145">
        <f>IF(AND(업무일지!$B149&lt;&gt;"",업무일지!$AG149="진행중"),MAX(0,TODAY()-업무일지!$B149)*10000+856,"")</f>
        <v/>
      </c>
      <c r="BB145">
        <f>IF(AND(일일실시사항!$B149&lt;&gt;"",일일실시사항!$J149="진행중"),MAX(0,TODAY()-일일실시사항!$B149)*10000+856,"")</f>
        <v/>
      </c>
      <c r="BC145">
        <f>IFERROR(MATCH(LARGE($BB$1:$BB$1000,27),$BB$1:$BB$1000,0),"")</f>
        <v/>
      </c>
    </row>
    <row r="146">
      <c r="A146" s="118">
        <f>IF($BC146="","",28)</f>
        <v/>
      </c>
      <c r="B146" s="118">
        <f>IF($BC146="","",TODAY()-INDEX(일일실시사항!$B$5:$B$1004,$BC146))</f>
        <v/>
      </c>
      <c r="C146" s="137">
        <f>IF($BC146="","",INDEX(일일실시사항!$B$5:$B$1004,$BC146))</f>
        <v/>
      </c>
      <c r="D146" s="136">
        <f>IF($BC146="","",INDEX(일일실시사항!$D$5:$D$1004,$BC146))</f>
        <v/>
      </c>
      <c r="E146" s="136">
        <f>IF($BC146="","",INDEX(일일실시사항!$E$5:$E$1004,$BC146))</f>
        <v/>
      </c>
      <c r="F146" s="131">
        <f>IF($BC146="","",INDEX(일일실시사항!$F$5:$F$1004,$BC146))</f>
        <v/>
      </c>
      <c r="G146" s="131">
        <f>IF($BC146="","",INDEX(일일실시사항!$H$5:$H$1004,$BC146))</f>
        <v/>
      </c>
      <c r="AZ146">
        <f>IF(AND(업무일지!$B150&lt;&gt;"",업무일지!$AG150="진행중"),MAX(0,TODAY()-업무일지!$B150)*10000+855,"")</f>
        <v/>
      </c>
      <c r="BB146">
        <f>IF(AND(일일실시사항!$B150&lt;&gt;"",일일실시사항!$J150="진행중"),MAX(0,TODAY()-일일실시사항!$B150)*10000+855,"")</f>
        <v/>
      </c>
      <c r="BC146">
        <f>IFERROR(MATCH(LARGE($BB$1:$BB$1000,28),$BB$1:$BB$1000,0),"")</f>
        <v/>
      </c>
    </row>
    <row r="147">
      <c r="A147" s="118">
        <f>IF($BC147="","",29)</f>
        <v/>
      </c>
      <c r="B147" s="118">
        <f>IF($BC147="","",TODAY()-INDEX(일일실시사항!$B$5:$B$1004,$BC147))</f>
        <v/>
      </c>
      <c r="C147" s="137">
        <f>IF($BC147="","",INDEX(일일실시사항!$B$5:$B$1004,$BC147))</f>
        <v/>
      </c>
      <c r="D147" s="136">
        <f>IF($BC147="","",INDEX(일일실시사항!$D$5:$D$1004,$BC147))</f>
        <v/>
      </c>
      <c r="E147" s="136">
        <f>IF($BC147="","",INDEX(일일실시사항!$E$5:$E$1004,$BC147))</f>
        <v/>
      </c>
      <c r="F147" s="131">
        <f>IF($BC147="","",INDEX(일일실시사항!$F$5:$F$1004,$BC147))</f>
        <v/>
      </c>
      <c r="G147" s="131">
        <f>IF($BC147="","",INDEX(일일실시사항!$H$5:$H$1004,$BC147))</f>
        <v/>
      </c>
      <c r="AZ147">
        <f>IF(AND(업무일지!$B151&lt;&gt;"",업무일지!$AG151="진행중"),MAX(0,TODAY()-업무일지!$B151)*10000+854,"")</f>
        <v/>
      </c>
      <c r="BB147">
        <f>IF(AND(일일실시사항!$B151&lt;&gt;"",일일실시사항!$J151="진행중"),MAX(0,TODAY()-일일실시사항!$B151)*10000+854,"")</f>
        <v/>
      </c>
      <c r="BC147">
        <f>IFERROR(MATCH(LARGE($BB$1:$BB$1000,29),$BB$1:$BB$1000,0),"")</f>
        <v/>
      </c>
    </row>
    <row r="148">
      <c r="A148" s="118">
        <f>IF($BC148="","",30)</f>
        <v/>
      </c>
      <c r="B148" s="118">
        <f>IF($BC148="","",TODAY()-INDEX(일일실시사항!$B$5:$B$1004,$BC148))</f>
        <v/>
      </c>
      <c r="C148" s="137">
        <f>IF($BC148="","",INDEX(일일실시사항!$B$5:$B$1004,$BC148))</f>
        <v/>
      </c>
      <c r="D148" s="136">
        <f>IF($BC148="","",INDEX(일일실시사항!$D$5:$D$1004,$BC148))</f>
        <v/>
      </c>
      <c r="E148" s="136">
        <f>IF($BC148="","",INDEX(일일실시사항!$E$5:$E$1004,$BC148))</f>
        <v/>
      </c>
      <c r="F148" s="131">
        <f>IF($BC148="","",INDEX(일일실시사항!$F$5:$F$1004,$BC148))</f>
        <v/>
      </c>
      <c r="G148" s="131">
        <f>IF($BC148="","",INDEX(일일실시사항!$H$5:$H$1004,$BC148))</f>
        <v/>
      </c>
      <c r="AZ148">
        <f>IF(AND(업무일지!$B152&lt;&gt;"",업무일지!$AG152="진행중"),MAX(0,TODAY()-업무일지!$B152)*10000+853,"")</f>
        <v/>
      </c>
      <c r="BB148">
        <f>IF(AND(일일실시사항!$B152&lt;&gt;"",일일실시사항!$J152="진행중"),MAX(0,TODAY()-일일실시사항!$B152)*10000+853,"")</f>
        <v/>
      </c>
      <c r="BC148">
        <f>IFERROR(MATCH(LARGE($BB$1:$BB$1000,30),$BB$1:$BB$1000,0),"")</f>
        <v/>
      </c>
    </row>
    <row r="149">
      <c r="AZ149">
        <f>IF(AND(업무일지!$B153&lt;&gt;"",업무일지!$AG153="진행중"),MAX(0,TODAY()-업무일지!$B153)*10000+852,"")</f>
        <v/>
      </c>
      <c r="BB149">
        <f>IF(AND(일일실시사항!$B153&lt;&gt;"",일일실시사항!$J153="진행중"),MAX(0,TODAY()-일일실시사항!$B153)*10000+852,"")</f>
        <v/>
      </c>
    </row>
    <row r="150">
      <c r="AZ150">
        <f>IF(AND(업무일지!$B154&lt;&gt;"",업무일지!$AG154="진행중"),MAX(0,TODAY()-업무일지!$B154)*10000+851,"")</f>
        <v/>
      </c>
      <c r="BB150">
        <f>IF(AND(일일실시사항!$B154&lt;&gt;"",일일실시사항!$J154="진행중"),MAX(0,TODAY()-일일실시사항!$B154)*10000+851,"")</f>
        <v/>
      </c>
    </row>
    <row r="151">
      <c r="AZ151">
        <f>IF(AND(업무일지!$B155&lt;&gt;"",업무일지!$AG155="진행중"),MAX(0,TODAY()-업무일지!$B155)*10000+850,"")</f>
        <v/>
      </c>
      <c r="BB151">
        <f>IF(AND(일일실시사항!$B155&lt;&gt;"",일일실시사항!$J155="진행중"),MAX(0,TODAY()-일일실시사항!$B155)*10000+850,"")</f>
        <v/>
      </c>
    </row>
    <row r="152">
      <c r="AZ152">
        <f>IF(AND(업무일지!$B156&lt;&gt;"",업무일지!$AG156="진행중"),MAX(0,TODAY()-업무일지!$B156)*10000+849,"")</f>
        <v/>
      </c>
      <c r="BB152">
        <f>IF(AND(일일실시사항!$B156&lt;&gt;"",일일실시사항!$J156="진행중"),MAX(0,TODAY()-일일실시사항!$B156)*10000+849,"")</f>
        <v/>
      </c>
    </row>
    <row r="153">
      <c r="AZ153">
        <f>IF(AND(업무일지!$B157&lt;&gt;"",업무일지!$AG157="진행중"),MAX(0,TODAY()-업무일지!$B157)*10000+848,"")</f>
        <v/>
      </c>
      <c r="BB153">
        <f>IF(AND(일일실시사항!$B157&lt;&gt;"",일일실시사항!$J157="진행중"),MAX(0,TODAY()-일일실시사항!$B157)*10000+848,"")</f>
        <v/>
      </c>
    </row>
    <row r="154">
      <c r="AZ154">
        <f>IF(AND(업무일지!$B158&lt;&gt;"",업무일지!$AG158="진행중"),MAX(0,TODAY()-업무일지!$B158)*10000+847,"")</f>
        <v/>
      </c>
      <c r="BB154">
        <f>IF(AND(일일실시사항!$B158&lt;&gt;"",일일실시사항!$J158="진행중"),MAX(0,TODAY()-일일실시사항!$B158)*10000+847,"")</f>
        <v/>
      </c>
    </row>
    <row r="155">
      <c r="AZ155">
        <f>IF(AND(업무일지!$B159&lt;&gt;"",업무일지!$AG159="진행중"),MAX(0,TODAY()-업무일지!$B159)*10000+846,"")</f>
        <v/>
      </c>
      <c r="BB155">
        <f>IF(AND(일일실시사항!$B159&lt;&gt;"",일일실시사항!$J159="진행중"),MAX(0,TODAY()-일일실시사항!$B159)*10000+846,"")</f>
        <v/>
      </c>
    </row>
    <row r="156">
      <c r="AZ156">
        <f>IF(AND(업무일지!$B160&lt;&gt;"",업무일지!$AG160="진행중"),MAX(0,TODAY()-업무일지!$B160)*10000+845,"")</f>
        <v/>
      </c>
      <c r="BB156">
        <f>IF(AND(일일실시사항!$B160&lt;&gt;"",일일실시사항!$J160="진행중"),MAX(0,TODAY()-일일실시사항!$B160)*10000+845,"")</f>
        <v/>
      </c>
    </row>
    <row r="157">
      <c r="AZ157">
        <f>IF(AND(업무일지!$B161&lt;&gt;"",업무일지!$AG161="진행중"),MAX(0,TODAY()-업무일지!$B161)*10000+844,"")</f>
        <v/>
      </c>
      <c r="BB157">
        <f>IF(AND(일일실시사항!$B161&lt;&gt;"",일일실시사항!$J161="진행중"),MAX(0,TODAY()-일일실시사항!$B161)*10000+844,"")</f>
        <v/>
      </c>
    </row>
    <row r="158">
      <c r="AZ158">
        <f>IF(AND(업무일지!$B162&lt;&gt;"",업무일지!$AG162="진행중"),MAX(0,TODAY()-업무일지!$B162)*10000+843,"")</f>
        <v/>
      </c>
      <c r="BB158">
        <f>IF(AND(일일실시사항!$B162&lt;&gt;"",일일실시사항!$J162="진행중"),MAX(0,TODAY()-일일실시사항!$B162)*10000+843,"")</f>
        <v/>
      </c>
    </row>
    <row r="159">
      <c r="AZ159">
        <f>IF(AND(업무일지!$B163&lt;&gt;"",업무일지!$AG163="진행중"),MAX(0,TODAY()-업무일지!$B163)*10000+842,"")</f>
        <v/>
      </c>
      <c r="BB159">
        <f>IF(AND(일일실시사항!$B163&lt;&gt;"",일일실시사항!$J163="진행중"),MAX(0,TODAY()-일일실시사항!$B163)*10000+842,"")</f>
        <v/>
      </c>
    </row>
    <row r="160">
      <c r="AZ160">
        <f>IF(AND(업무일지!$B164&lt;&gt;"",업무일지!$AG164="진행중"),MAX(0,TODAY()-업무일지!$B164)*10000+841,"")</f>
        <v/>
      </c>
      <c r="BB160">
        <f>IF(AND(일일실시사항!$B164&lt;&gt;"",일일실시사항!$J164="진행중"),MAX(0,TODAY()-일일실시사항!$B164)*10000+841,"")</f>
        <v/>
      </c>
    </row>
    <row r="161">
      <c r="AZ161">
        <f>IF(AND(업무일지!$B165&lt;&gt;"",업무일지!$AG165="진행중"),MAX(0,TODAY()-업무일지!$B165)*10000+840,"")</f>
        <v/>
      </c>
      <c r="BB161">
        <f>IF(AND(일일실시사항!$B165&lt;&gt;"",일일실시사항!$J165="진행중"),MAX(0,TODAY()-일일실시사항!$B165)*10000+840,"")</f>
        <v/>
      </c>
    </row>
    <row r="162">
      <c r="AZ162">
        <f>IF(AND(업무일지!$B166&lt;&gt;"",업무일지!$AG166="진행중"),MAX(0,TODAY()-업무일지!$B166)*10000+839,"")</f>
        <v/>
      </c>
      <c r="BB162">
        <f>IF(AND(일일실시사항!$B166&lt;&gt;"",일일실시사항!$J166="진행중"),MAX(0,TODAY()-일일실시사항!$B166)*10000+839,"")</f>
        <v/>
      </c>
    </row>
    <row r="163">
      <c r="AZ163">
        <f>IF(AND(업무일지!$B167&lt;&gt;"",업무일지!$AG167="진행중"),MAX(0,TODAY()-업무일지!$B167)*10000+838,"")</f>
        <v/>
      </c>
      <c r="BB163">
        <f>IF(AND(일일실시사항!$B167&lt;&gt;"",일일실시사항!$J167="진행중"),MAX(0,TODAY()-일일실시사항!$B167)*10000+838,"")</f>
        <v/>
      </c>
    </row>
    <row r="164">
      <c r="AZ164">
        <f>IF(AND(업무일지!$B168&lt;&gt;"",업무일지!$AG168="진행중"),MAX(0,TODAY()-업무일지!$B168)*10000+837,"")</f>
        <v/>
      </c>
      <c r="BB164">
        <f>IF(AND(일일실시사항!$B168&lt;&gt;"",일일실시사항!$J168="진행중"),MAX(0,TODAY()-일일실시사항!$B168)*10000+837,"")</f>
        <v/>
      </c>
    </row>
    <row r="165">
      <c r="AZ165">
        <f>IF(AND(업무일지!$B169&lt;&gt;"",업무일지!$AG169="진행중"),MAX(0,TODAY()-업무일지!$B169)*10000+836,"")</f>
        <v/>
      </c>
      <c r="BB165">
        <f>IF(AND(일일실시사항!$B169&lt;&gt;"",일일실시사항!$J169="진행중"),MAX(0,TODAY()-일일실시사항!$B169)*10000+836,"")</f>
        <v/>
      </c>
    </row>
    <row r="166">
      <c r="AZ166">
        <f>IF(AND(업무일지!$B170&lt;&gt;"",업무일지!$AG170="진행중"),MAX(0,TODAY()-업무일지!$B170)*10000+835,"")</f>
        <v/>
      </c>
      <c r="BB166">
        <f>IF(AND(일일실시사항!$B170&lt;&gt;"",일일실시사항!$J170="진행중"),MAX(0,TODAY()-일일실시사항!$B170)*10000+835,"")</f>
        <v/>
      </c>
    </row>
    <row r="167">
      <c r="AZ167">
        <f>IF(AND(업무일지!$B171&lt;&gt;"",업무일지!$AG171="진행중"),MAX(0,TODAY()-업무일지!$B171)*10000+834,"")</f>
        <v/>
      </c>
      <c r="BB167">
        <f>IF(AND(일일실시사항!$B171&lt;&gt;"",일일실시사항!$J171="진행중"),MAX(0,TODAY()-일일실시사항!$B171)*10000+834,"")</f>
        <v/>
      </c>
    </row>
    <row r="168">
      <c r="AZ168">
        <f>IF(AND(업무일지!$B172&lt;&gt;"",업무일지!$AG172="진행중"),MAX(0,TODAY()-업무일지!$B172)*10000+833,"")</f>
        <v/>
      </c>
      <c r="BB168">
        <f>IF(AND(일일실시사항!$B172&lt;&gt;"",일일실시사항!$J172="진행중"),MAX(0,TODAY()-일일실시사항!$B172)*10000+833,"")</f>
        <v/>
      </c>
    </row>
    <row r="169">
      <c r="AZ169">
        <f>IF(AND(업무일지!$B173&lt;&gt;"",업무일지!$AG173="진행중"),MAX(0,TODAY()-업무일지!$B173)*10000+832,"")</f>
        <v/>
      </c>
      <c r="BB169">
        <f>IF(AND(일일실시사항!$B173&lt;&gt;"",일일실시사항!$J173="진행중"),MAX(0,TODAY()-일일실시사항!$B173)*10000+832,"")</f>
        <v/>
      </c>
    </row>
    <row r="170">
      <c r="AZ170">
        <f>IF(AND(업무일지!$B174&lt;&gt;"",업무일지!$AG174="진행중"),MAX(0,TODAY()-업무일지!$B174)*10000+831,"")</f>
        <v/>
      </c>
      <c r="BB170">
        <f>IF(AND(일일실시사항!$B174&lt;&gt;"",일일실시사항!$J174="진행중"),MAX(0,TODAY()-일일실시사항!$B174)*10000+831,"")</f>
        <v/>
      </c>
    </row>
    <row r="171">
      <c r="AZ171">
        <f>IF(AND(업무일지!$B175&lt;&gt;"",업무일지!$AG175="진행중"),MAX(0,TODAY()-업무일지!$B175)*10000+830,"")</f>
        <v/>
      </c>
      <c r="BB171">
        <f>IF(AND(일일실시사항!$B175&lt;&gt;"",일일실시사항!$J175="진행중"),MAX(0,TODAY()-일일실시사항!$B175)*10000+830,"")</f>
        <v/>
      </c>
    </row>
    <row r="172">
      <c r="AZ172">
        <f>IF(AND(업무일지!$B176&lt;&gt;"",업무일지!$AG176="진행중"),MAX(0,TODAY()-업무일지!$B176)*10000+829,"")</f>
        <v/>
      </c>
      <c r="BB172">
        <f>IF(AND(일일실시사항!$B176&lt;&gt;"",일일실시사항!$J176="진행중"),MAX(0,TODAY()-일일실시사항!$B176)*10000+829,"")</f>
        <v/>
      </c>
    </row>
    <row r="173">
      <c r="AZ173">
        <f>IF(AND(업무일지!$B177&lt;&gt;"",업무일지!$AG177="진행중"),MAX(0,TODAY()-업무일지!$B177)*10000+828,"")</f>
        <v/>
      </c>
      <c r="BB173">
        <f>IF(AND(일일실시사항!$B177&lt;&gt;"",일일실시사항!$J177="진행중"),MAX(0,TODAY()-일일실시사항!$B177)*10000+828,"")</f>
        <v/>
      </c>
    </row>
    <row r="174">
      <c r="AZ174">
        <f>IF(AND(업무일지!$B178&lt;&gt;"",업무일지!$AG178="진행중"),MAX(0,TODAY()-업무일지!$B178)*10000+827,"")</f>
        <v/>
      </c>
      <c r="BB174">
        <f>IF(AND(일일실시사항!$B178&lt;&gt;"",일일실시사항!$J178="진행중"),MAX(0,TODAY()-일일실시사항!$B178)*10000+827,"")</f>
        <v/>
      </c>
    </row>
    <row r="175">
      <c r="AZ175">
        <f>IF(AND(업무일지!$B179&lt;&gt;"",업무일지!$AG179="진행중"),MAX(0,TODAY()-업무일지!$B179)*10000+826,"")</f>
        <v/>
      </c>
      <c r="BB175">
        <f>IF(AND(일일실시사항!$B179&lt;&gt;"",일일실시사항!$J179="진행중"),MAX(0,TODAY()-일일실시사항!$B179)*10000+826,"")</f>
        <v/>
      </c>
    </row>
    <row r="176">
      <c r="AZ176">
        <f>IF(AND(업무일지!$B180&lt;&gt;"",업무일지!$AG180="진행중"),MAX(0,TODAY()-업무일지!$B180)*10000+825,"")</f>
        <v/>
      </c>
      <c r="BB176">
        <f>IF(AND(일일실시사항!$B180&lt;&gt;"",일일실시사항!$J180="진행중"),MAX(0,TODAY()-일일실시사항!$B180)*10000+825,"")</f>
        <v/>
      </c>
    </row>
    <row r="177">
      <c r="AZ177">
        <f>IF(AND(업무일지!$B181&lt;&gt;"",업무일지!$AG181="진행중"),MAX(0,TODAY()-업무일지!$B181)*10000+824,"")</f>
        <v/>
      </c>
      <c r="BB177">
        <f>IF(AND(일일실시사항!$B181&lt;&gt;"",일일실시사항!$J181="진행중"),MAX(0,TODAY()-일일실시사항!$B181)*10000+824,"")</f>
        <v/>
      </c>
    </row>
    <row r="178">
      <c r="AZ178">
        <f>IF(AND(업무일지!$B182&lt;&gt;"",업무일지!$AG182="진행중"),MAX(0,TODAY()-업무일지!$B182)*10000+823,"")</f>
        <v/>
      </c>
      <c r="BB178">
        <f>IF(AND(일일실시사항!$B182&lt;&gt;"",일일실시사항!$J182="진행중"),MAX(0,TODAY()-일일실시사항!$B182)*10000+823,"")</f>
        <v/>
      </c>
    </row>
    <row r="179">
      <c r="AZ179">
        <f>IF(AND(업무일지!$B183&lt;&gt;"",업무일지!$AG183="진행중"),MAX(0,TODAY()-업무일지!$B183)*10000+822,"")</f>
        <v/>
      </c>
      <c r="BB179">
        <f>IF(AND(일일실시사항!$B183&lt;&gt;"",일일실시사항!$J183="진행중"),MAX(0,TODAY()-일일실시사항!$B183)*10000+822,"")</f>
        <v/>
      </c>
    </row>
    <row r="180">
      <c r="AZ180">
        <f>IF(AND(업무일지!$B184&lt;&gt;"",업무일지!$AG184="진행중"),MAX(0,TODAY()-업무일지!$B184)*10000+821,"")</f>
        <v/>
      </c>
      <c r="BB180">
        <f>IF(AND(일일실시사항!$B184&lt;&gt;"",일일실시사항!$J184="진행중"),MAX(0,TODAY()-일일실시사항!$B184)*10000+821,"")</f>
        <v/>
      </c>
    </row>
    <row r="181">
      <c r="AZ181">
        <f>IF(AND(업무일지!$B185&lt;&gt;"",업무일지!$AG185="진행중"),MAX(0,TODAY()-업무일지!$B185)*10000+820,"")</f>
        <v/>
      </c>
      <c r="BB181">
        <f>IF(AND(일일실시사항!$B185&lt;&gt;"",일일실시사항!$J185="진행중"),MAX(0,TODAY()-일일실시사항!$B185)*10000+820,"")</f>
        <v/>
      </c>
    </row>
    <row r="182">
      <c r="AZ182">
        <f>IF(AND(업무일지!$B186&lt;&gt;"",업무일지!$AG186="진행중"),MAX(0,TODAY()-업무일지!$B186)*10000+819,"")</f>
        <v/>
      </c>
      <c r="BB182">
        <f>IF(AND(일일실시사항!$B186&lt;&gt;"",일일실시사항!$J186="진행중"),MAX(0,TODAY()-일일실시사항!$B186)*10000+819,"")</f>
        <v/>
      </c>
    </row>
    <row r="183">
      <c r="AZ183">
        <f>IF(AND(업무일지!$B187&lt;&gt;"",업무일지!$AG187="진행중"),MAX(0,TODAY()-업무일지!$B187)*10000+818,"")</f>
        <v/>
      </c>
      <c r="BB183">
        <f>IF(AND(일일실시사항!$B187&lt;&gt;"",일일실시사항!$J187="진행중"),MAX(0,TODAY()-일일실시사항!$B187)*10000+818,"")</f>
        <v/>
      </c>
    </row>
    <row r="184">
      <c r="AZ184">
        <f>IF(AND(업무일지!$B188&lt;&gt;"",업무일지!$AG188="진행중"),MAX(0,TODAY()-업무일지!$B188)*10000+817,"")</f>
        <v/>
      </c>
      <c r="BB184">
        <f>IF(AND(일일실시사항!$B188&lt;&gt;"",일일실시사항!$J188="진행중"),MAX(0,TODAY()-일일실시사항!$B188)*10000+817,"")</f>
        <v/>
      </c>
    </row>
    <row r="185">
      <c r="AZ185">
        <f>IF(AND(업무일지!$B189&lt;&gt;"",업무일지!$AG189="진행중"),MAX(0,TODAY()-업무일지!$B189)*10000+816,"")</f>
        <v/>
      </c>
      <c r="BB185">
        <f>IF(AND(일일실시사항!$B189&lt;&gt;"",일일실시사항!$J189="진행중"),MAX(0,TODAY()-일일실시사항!$B189)*10000+816,"")</f>
        <v/>
      </c>
    </row>
    <row r="186">
      <c r="AZ186">
        <f>IF(AND(업무일지!$B190&lt;&gt;"",업무일지!$AG190="진행중"),MAX(0,TODAY()-업무일지!$B190)*10000+815,"")</f>
        <v/>
      </c>
      <c r="BB186">
        <f>IF(AND(일일실시사항!$B190&lt;&gt;"",일일실시사항!$J190="진행중"),MAX(0,TODAY()-일일실시사항!$B190)*10000+815,"")</f>
        <v/>
      </c>
    </row>
    <row r="187">
      <c r="AZ187">
        <f>IF(AND(업무일지!$B191&lt;&gt;"",업무일지!$AG191="진행중"),MAX(0,TODAY()-업무일지!$B191)*10000+814,"")</f>
        <v/>
      </c>
      <c r="BB187">
        <f>IF(AND(일일실시사항!$B191&lt;&gt;"",일일실시사항!$J191="진행중"),MAX(0,TODAY()-일일실시사항!$B191)*10000+814,"")</f>
        <v/>
      </c>
    </row>
    <row r="188">
      <c r="AZ188">
        <f>IF(AND(업무일지!$B192&lt;&gt;"",업무일지!$AG192="진행중"),MAX(0,TODAY()-업무일지!$B192)*10000+813,"")</f>
        <v/>
      </c>
      <c r="BB188">
        <f>IF(AND(일일실시사항!$B192&lt;&gt;"",일일실시사항!$J192="진행중"),MAX(0,TODAY()-일일실시사항!$B192)*10000+813,"")</f>
        <v/>
      </c>
    </row>
    <row r="189">
      <c r="AZ189">
        <f>IF(AND(업무일지!$B193&lt;&gt;"",업무일지!$AG193="진행중"),MAX(0,TODAY()-업무일지!$B193)*10000+812,"")</f>
        <v/>
      </c>
      <c r="BB189">
        <f>IF(AND(일일실시사항!$B193&lt;&gt;"",일일실시사항!$J193="진행중"),MAX(0,TODAY()-일일실시사항!$B193)*10000+812,"")</f>
        <v/>
      </c>
    </row>
    <row r="190">
      <c r="AZ190">
        <f>IF(AND(업무일지!$B194&lt;&gt;"",업무일지!$AG194="진행중"),MAX(0,TODAY()-업무일지!$B194)*10000+811,"")</f>
        <v/>
      </c>
      <c r="BB190">
        <f>IF(AND(일일실시사항!$B194&lt;&gt;"",일일실시사항!$J194="진행중"),MAX(0,TODAY()-일일실시사항!$B194)*10000+811,"")</f>
        <v/>
      </c>
    </row>
    <row r="191">
      <c r="AZ191">
        <f>IF(AND(업무일지!$B195&lt;&gt;"",업무일지!$AG195="진행중"),MAX(0,TODAY()-업무일지!$B195)*10000+810,"")</f>
        <v/>
      </c>
      <c r="BB191">
        <f>IF(AND(일일실시사항!$B195&lt;&gt;"",일일실시사항!$J195="진행중"),MAX(0,TODAY()-일일실시사항!$B195)*10000+810,"")</f>
        <v/>
      </c>
    </row>
    <row r="192">
      <c r="AZ192">
        <f>IF(AND(업무일지!$B196&lt;&gt;"",업무일지!$AG196="진행중"),MAX(0,TODAY()-업무일지!$B196)*10000+809,"")</f>
        <v/>
      </c>
      <c r="BB192">
        <f>IF(AND(일일실시사항!$B196&lt;&gt;"",일일실시사항!$J196="진행중"),MAX(0,TODAY()-일일실시사항!$B196)*10000+809,"")</f>
        <v/>
      </c>
    </row>
    <row r="193">
      <c r="AZ193">
        <f>IF(AND(업무일지!$B197&lt;&gt;"",업무일지!$AG197="진행중"),MAX(0,TODAY()-업무일지!$B197)*10000+808,"")</f>
        <v/>
      </c>
      <c r="BB193">
        <f>IF(AND(일일실시사항!$B197&lt;&gt;"",일일실시사항!$J197="진행중"),MAX(0,TODAY()-일일실시사항!$B197)*10000+808,"")</f>
        <v/>
      </c>
    </row>
    <row r="194">
      <c r="AZ194">
        <f>IF(AND(업무일지!$B198&lt;&gt;"",업무일지!$AG198="진행중"),MAX(0,TODAY()-업무일지!$B198)*10000+807,"")</f>
        <v/>
      </c>
      <c r="BB194">
        <f>IF(AND(일일실시사항!$B198&lt;&gt;"",일일실시사항!$J198="진행중"),MAX(0,TODAY()-일일실시사항!$B198)*10000+807,"")</f>
        <v/>
      </c>
    </row>
    <row r="195">
      <c r="AZ195">
        <f>IF(AND(업무일지!$B199&lt;&gt;"",업무일지!$AG199="진행중"),MAX(0,TODAY()-업무일지!$B199)*10000+806,"")</f>
        <v/>
      </c>
      <c r="BB195">
        <f>IF(AND(일일실시사항!$B199&lt;&gt;"",일일실시사항!$J199="진행중"),MAX(0,TODAY()-일일실시사항!$B199)*10000+806,"")</f>
        <v/>
      </c>
    </row>
    <row r="196">
      <c r="AZ196">
        <f>IF(AND(업무일지!$B200&lt;&gt;"",업무일지!$AG200="진행중"),MAX(0,TODAY()-업무일지!$B200)*10000+805,"")</f>
        <v/>
      </c>
      <c r="BB196">
        <f>IF(AND(일일실시사항!$B200&lt;&gt;"",일일실시사항!$J200="진행중"),MAX(0,TODAY()-일일실시사항!$B200)*10000+805,"")</f>
        <v/>
      </c>
    </row>
    <row r="197">
      <c r="AZ197">
        <f>IF(AND(업무일지!$B201&lt;&gt;"",업무일지!$AG201="진행중"),MAX(0,TODAY()-업무일지!$B201)*10000+804,"")</f>
        <v/>
      </c>
      <c r="BB197">
        <f>IF(AND(일일실시사항!$B201&lt;&gt;"",일일실시사항!$J201="진행중"),MAX(0,TODAY()-일일실시사항!$B201)*10000+804,"")</f>
        <v/>
      </c>
    </row>
    <row r="198">
      <c r="AZ198">
        <f>IF(AND(업무일지!$B202&lt;&gt;"",업무일지!$AG202="진행중"),MAX(0,TODAY()-업무일지!$B202)*10000+803,"")</f>
        <v/>
      </c>
      <c r="BB198">
        <f>IF(AND(일일실시사항!$B202&lt;&gt;"",일일실시사항!$J202="진행중"),MAX(0,TODAY()-일일실시사항!$B202)*10000+803,"")</f>
        <v/>
      </c>
    </row>
    <row r="199">
      <c r="AZ199">
        <f>IF(AND(업무일지!$B203&lt;&gt;"",업무일지!$AG203="진행중"),MAX(0,TODAY()-업무일지!$B203)*10000+802,"")</f>
        <v/>
      </c>
      <c r="BB199">
        <f>IF(AND(일일실시사항!$B203&lt;&gt;"",일일실시사항!$J203="진행중"),MAX(0,TODAY()-일일실시사항!$B203)*10000+802,"")</f>
        <v/>
      </c>
    </row>
    <row r="200">
      <c r="AZ200">
        <f>IF(AND(업무일지!$B204&lt;&gt;"",업무일지!$AG204="진행중"),MAX(0,TODAY()-업무일지!$B204)*10000+801,"")</f>
        <v/>
      </c>
      <c r="BB200">
        <f>IF(AND(일일실시사항!$B204&lt;&gt;"",일일실시사항!$J204="진행중"),MAX(0,TODAY()-일일실시사항!$B204)*10000+801,"")</f>
        <v/>
      </c>
    </row>
    <row r="201">
      <c r="AZ201">
        <f>IF(AND(업무일지!$B205&lt;&gt;"",업무일지!$AG205="진행중"),MAX(0,TODAY()-업무일지!$B205)*10000+800,"")</f>
        <v/>
      </c>
      <c r="BB201">
        <f>IF(AND(일일실시사항!$B205&lt;&gt;"",일일실시사항!$J205="진행중"),MAX(0,TODAY()-일일실시사항!$B205)*10000+800,"")</f>
        <v/>
      </c>
    </row>
    <row r="202">
      <c r="AZ202">
        <f>IF(AND(업무일지!$B206&lt;&gt;"",업무일지!$AG206="진행중"),MAX(0,TODAY()-업무일지!$B206)*10000+799,"")</f>
        <v/>
      </c>
      <c r="BB202">
        <f>IF(AND(일일실시사항!$B206&lt;&gt;"",일일실시사항!$J206="진행중"),MAX(0,TODAY()-일일실시사항!$B206)*10000+799,"")</f>
        <v/>
      </c>
    </row>
    <row r="203">
      <c r="AZ203">
        <f>IF(AND(업무일지!$B207&lt;&gt;"",업무일지!$AG207="진행중"),MAX(0,TODAY()-업무일지!$B207)*10000+798,"")</f>
        <v/>
      </c>
      <c r="BB203">
        <f>IF(AND(일일실시사항!$B207&lt;&gt;"",일일실시사항!$J207="진행중"),MAX(0,TODAY()-일일실시사항!$B207)*10000+798,"")</f>
        <v/>
      </c>
    </row>
    <row r="204">
      <c r="AZ204">
        <f>IF(AND(업무일지!$B208&lt;&gt;"",업무일지!$AG208="진행중"),MAX(0,TODAY()-업무일지!$B208)*10000+797,"")</f>
        <v/>
      </c>
      <c r="BB204">
        <f>IF(AND(일일실시사항!$B208&lt;&gt;"",일일실시사항!$J208="진행중"),MAX(0,TODAY()-일일실시사항!$B208)*10000+797,"")</f>
        <v/>
      </c>
    </row>
    <row r="205">
      <c r="AZ205">
        <f>IF(AND(업무일지!$B209&lt;&gt;"",업무일지!$AG209="진행중"),MAX(0,TODAY()-업무일지!$B209)*10000+796,"")</f>
        <v/>
      </c>
      <c r="BB205">
        <f>IF(AND(일일실시사항!$B209&lt;&gt;"",일일실시사항!$J209="진행중"),MAX(0,TODAY()-일일실시사항!$B209)*10000+796,"")</f>
        <v/>
      </c>
    </row>
    <row r="206">
      <c r="AZ206">
        <f>IF(AND(업무일지!$B210&lt;&gt;"",업무일지!$AG210="진행중"),MAX(0,TODAY()-업무일지!$B210)*10000+795,"")</f>
        <v/>
      </c>
      <c r="BB206">
        <f>IF(AND(일일실시사항!$B210&lt;&gt;"",일일실시사항!$J210="진행중"),MAX(0,TODAY()-일일실시사항!$B210)*10000+795,"")</f>
        <v/>
      </c>
    </row>
    <row r="207">
      <c r="AZ207">
        <f>IF(AND(업무일지!$B211&lt;&gt;"",업무일지!$AG211="진행중"),MAX(0,TODAY()-업무일지!$B211)*10000+794,"")</f>
        <v/>
      </c>
      <c r="BB207">
        <f>IF(AND(일일실시사항!$B211&lt;&gt;"",일일실시사항!$J211="진행중"),MAX(0,TODAY()-일일실시사항!$B211)*10000+794,"")</f>
        <v/>
      </c>
    </row>
    <row r="208">
      <c r="AZ208">
        <f>IF(AND(업무일지!$B212&lt;&gt;"",업무일지!$AG212="진행중"),MAX(0,TODAY()-업무일지!$B212)*10000+793,"")</f>
        <v/>
      </c>
      <c r="BB208">
        <f>IF(AND(일일실시사항!$B212&lt;&gt;"",일일실시사항!$J212="진행중"),MAX(0,TODAY()-일일실시사항!$B212)*10000+793,"")</f>
        <v/>
      </c>
    </row>
    <row r="209">
      <c r="AZ209">
        <f>IF(AND(업무일지!$B213&lt;&gt;"",업무일지!$AG213="진행중"),MAX(0,TODAY()-업무일지!$B213)*10000+792,"")</f>
        <v/>
      </c>
      <c r="BB209">
        <f>IF(AND(일일실시사항!$B213&lt;&gt;"",일일실시사항!$J213="진행중"),MAX(0,TODAY()-일일실시사항!$B213)*10000+792,"")</f>
        <v/>
      </c>
    </row>
    <row r="210">
      <c r="AZ210">
        <f>IF(AND(업무일지!$B214&lt;&gt;"",업무일지!$AG214="진행중"),MAX(0,TODAY()-업무일지!$B214)*10000+791,"")</f>
        <v/>
      </c>
      <c r="BB210">
        <f>IF(AND(일일실시사항!$B214&lt;&gt;"",일일실시사항!$J214="진행중"),MAX(0,TODAY()-일일실시사항!$B214)*10000+791,"")</f>
        <v/>
      </c>
    </row>
    <row r="211">
      <c r="AZ211">
        <f>IF(AND(업무일지!$B215&lt;&gt;"",업무일지!$AG215="진행중"),MAX(0,TODAY()-업무일지!$B215)*10000+790,"")</f>
        <v/>
      </c>
      <c r="BB211">
        <f>IF(AND(일일실시사항!$B215&lt;&gt;"",일일실시사항!$J215="진행중"),MAX(0,TODAY()-일일실시사항!$B215)*10000+790,"")</f>
        <v/>
      </c>
    </row>
    <row r="212">
      <c r="AZ212">
        <f>IF(AND(업무일지!$B216&lt;&gt;"",업무일지!$AG216="진행중"),MAX(0,TODAY()-업무일지!$B216)*10000+789,"")</f>
        <v/>
      </c>
      <c r="BB212">
        <f>IF(AND(일일실시사항!$B216&lt;&gt;"",일일실시사항!$J216="진행중"),MAX(0,TODAY()-일일실시사항!$B216)*10000+789,"")</f>
        <v/>
      </c>
    </row>
    <row r="213">
      <c r="AZ213">
        <f>IF(AND(업무일지!$B217&lt;&gt;"",업무일지!$AG217="진행중"),MAX(0,TODAY()-업무일지!$B217)*10000+788,"")</f>
        <v/>
      </c>
      <c r="BB213">
        <f>IF(AND(일일실시사항!$B217&lt;&gt;"",일일실시사항!$J217="진행중"),MAX(0,TODAY()-일일실시사항!$B217)*10000+788,"")</f>
        <v/>
      </c>
    </row>
    <row r="214">
      <c r="AZ214">
        <f>IF(AND(업무일지!$B218&lt;&gt;"",업무일지!$AG218="진행중"),MAX(0,TODAY()-업무일지!$B218)*10000+787,"")</f>
        <v/>
      </c>
      <c r="BB214">
        <f>IF(AND(일일실시사항!$B218&lt;&gt;"",일일실시사항!$J218="진행중"),MAX(0,TODAY()-일일실시사항!$B218)*10000+787,"")</f>
        <v/>
      </c>
    </row>
    <row r="215">
      <c r="AZ215">
        <f>IF(AND(업무일지!$B219&lt;&gt;"",업무일지!$AG219="진행중"),MAX(0,TODAY()-업무일지!$B219)*10000+786,"")</f>
        <v/>
      </c>
      <c r="BB215">
        <f>IF(AND(일일실시사항!$B219&lt;&gt;"",일일실시사항!$J219="진행중"),MAX(0,TODAY()-일일실시사항!$B219)*10000+786,"")</f>
        <v/>
      </c>
    </row>
    <row r="216">
      <c r="AZ216">
        <f>IF(AND(업무일지!$B220&lt;&gt;"",업무일지!$AG220="진행중"),MAX(0,TODAY()-업무일지!$B220)*10000+785,"")</f>
        <v/>
      </c>
      <c r="BB216">
        <f>IF(AND(일일실시사항!$B220&lt;&gt;"",일일실시사항!$J220="진행중"),MAX(0,TODAY()-일일실시사항!$B220)*10000+785,"")</f>
        <v/>
      </c>
    </row>
    <row r="217">
      <c r="AZ217">
        <f>IF(AND(업무일지!$B221&lt;&gt;"",업무일지!$AG221="진행중"),MAX(0,TODAY()-업무일지!$B221)*10000+784,"")</f>
        <v/>
      </c>
      <c r="BB217">
        <f>IF(AND(일일실시사항!$B221&lt;&gt;"",일일실시사항!$J221="진행중"),MAX(0,TODAY()-일일실시사항!$B221)*10000+784,"")</f>
        <v/>
      </c>
    </row>
    <row r="218">
      <c r="AZ218">
        <f>IF(AND(업무일지!$B222&lt;&gt;"",업무일지!$AG222="진행중"),MAX(0,TODAY()-업무일지!$B222)*10000+783,"")</f>
        <v/>
      </c>
      <c r="BB218">
        <f>IF(AND(일일실시사항!$B222&lt;&gt;"",일일실시사항!$J222="진행중"),MAX(0,TODAY()-일일실시사항!$B222)*10000+783,"")</f>
        <v/>
      </c>
    </row>
    <row r="219">
      <c r="AZ219">
        <f>IF(AND(업무일지!$B223&lt;&gt;"",업무일지!$AG223="진행중"),MAX(0,TODAY()-업무일지!$B223)*10000+782,"")</f>
        <v/>
      </c>
      <c r="BB219">
        <f>IF(AND(일일실시사항!$B223&lt;&gt;"",일일실시사항!$J223="진행중"),MAX(0,TODAY()-일일실시사항!$B223)*10000+782,"")</f>
        <v/>
      </c>
    </row>
    <row r="220">
      <c r="AZ220">
        <f>IF(AND(업무일지!$B224&lt;&gt;"",업무일지!$AG224="진행중"),MAX(0,TODAY()-업무일지!$B224)*10000+781,"")</f>
        <v/>
      </c>
      <c r="BB220">
        <f>IF(AND(일일실시사항!$B224&lt;&gt;"",일일실시사항!$J224="진행중"),MAX(0,TODAY()-일일실시사항!$B224)*10000+781,"")</f>
        <v/>
      </c>
    </row>
    <row r="221">
      <c r="AZ221">
        <f>IF(AND(업무일지!$B225&lt;&gt;"",업무일지!$AG225="진행중"),MAX(0,TODAY()-업무일지!$B225)*10000+780,"")</f>
        <v/>
      </c>
      <c r="BB221">
        <f>IF(AND(일일실시사항!$B225&lt;&gt;"",일일실시사항!$J225="진행중"),MAX(0,TODAY()-일일실시사항!$B225)*10000+780,"")</f>
        <v/>
      </c>
    </row>
    <row r="222">
      <c r="AZ222">
        <f>IF(AND(업무일지!$B226&lt;&gt;"",업무일지!$AG226="진행중"),MAX(0,TODAY()-업무일지!$B226)*10000+779,"")</f>
        <v/>
      </c>
      <c r="BB222">
        <f>IF(AND(일일실시사항!$B226&lt;&gt;"",일일실시사항!$J226="진행중"),MAX(0,TODAY()-일일실시사항!$B226)*10000+779,"")</f>
        <v/>
      </c>
    </row>
    <row r="223">
      <c r="AZ223">
        <f>IF(AND(업무일지!$B227&lt;&gt;"",업무일지!$AG227="진행중"),MAX(0,TODAY()-업무일지!$B227)*10000+778,"")</f>
        <v/>
      </c>
      <c r="BB223">
        <f>IF(AND(일일실시사항!$B227&lt;&gt;"",일일실시사항!$J227="진행중"),MAX(0,TODAY()-일일실시사항!$B227)*10000+778,"")</f>
        <v/>
      </c>
    </row>
    <row r="224">
      <c r="AZ224">
        <f>IF(AND(업무일지!$B228&lt;&gt;"",업무일지!$AG228="진행중"),MAX(0,TODAY()-업무일지!$B228)*10000+777,"")</f>
        <v/>
      </c>
      <c r="BB224">
        <f>IF(AND(일일실시사항!$B228&lt;&gt;"",일일실시사항!$J228="진행중"),MAX(0,TODAY()-일일실시사항!$B228)*10000+777,"")</f>
        <v/>
      </c>
    </row>
    <row r="225">
      <c r="AZ225">
        <f>IF(AND(업무일지!$B229&lt;&gt;"",업무일지!$AG229="진행중"),MAX(0,TODAY()-업무일지!$B229)*10000+776,"")</f>
        <v/>
      </c>
      <c r="BB225">
        <f>IF(AND(일일실시사항!$B229&lt;&gt;"",일일실시사항!$J229="진행중"),MAX(0,TODAY()-일일실시사항!$B229)*10000+776,"")</f>
        <v/>
      </c>
    </row>
    <row r="226">
      <c r="AZ226">
        <f>IF(AND(업무일지!$B230&lt;&gt;"",업무일지!$AG230="진행중"),MAX(0,TODAY()-업무일지!$B230)*10000+775,"")</f>
        <v/>
      </c>
      <c r="BB226">
        <f>IF(AND(일일실시사항!$B230&lt;&gt;"",일일실시사항!$J230="진행중"),MAX(0,TODAY()-일일실시사항!$B230)*10000+775,"")</f>
        <v/>
      </c>
    </row>
    <row r="227">
      <c r="AZ227">
        <f>IF(AND(업무일지!$B231&lt;&gt;"",업무일지!$AG231="진행중"),MAX(0,TODAY()-업무일지!$B231)*10000+774,"")</f>
        <v/>
      </c>
      <c r="BB227">
        <f>IF(AND(일일실시사항!$B231&lt;&gt;"",일일실시사항!$J231="진행중"),MAX(0,TODAY()-일일실시사항!$B231)*10000+774,"")</f>
        <v/>
      </c>
    </row>
    <row r="228">
      <c r="AZ228">
        <f>IF(AND(업무일지!$B232&lt;&gt;"",업무일지!$AG232="진행중"),MAX(0,TODAY()-업무일지!$B232)*10000+773,"")</f>
        <v/>
      </c>
      <c r="BB228">
        <f>IF(AND(일일실시사항!$B232&lt;&gt;"",일일실시사항!$J232="진행중"),MAX(0,TODAY()-일일실시사항!$B232)*10000+773,"")</f>
        <v/>
      </c>
    </row>
    <row r="229">
      <c r="AZ229">
        <f>IF(AND(업무일지!$B233&lt;&gt;"",업무일지!$AG233="진행중"),MAX(0,TODAY()-업무일지!$B233)*10000+772,"")</f>
        <v/>
      </c>
      <c r="BB229">
        <f>IF(AND(일일실시사항!$B233&lt;&gt;"",일일실시사항!$J233="진행중"),MAX(0,TODAY()-일일실시사항!$B233)*10000+772,"")</f>
        <v/>
      </c>
    </row>
    <row r="230">
      <c r="AZ230">
        <f>IF(AND(업무일지!$B234&lt;&gt;"",업무일지!$AG234="진행중"),MAX(0,TODAY()-업무일지!$B234)*10000+771,"")</f>
        <v/>
      </c>
      <c r="BB230">
        <f>IF(AND(일일실시사항!$B234&lt;&gt;"",일일실시사항!$J234="진행중"),MAX(0,TODAY()-일일실시사항!$B234)*10000+771,"")</f>
        <v/>
      </c>
    </row>
    <row r="231">
      <c r="AZ231">
        <f>IF(AND(업무일지!$B235&lt;&gt;"",업무일지!$AG235="진행중"),MAX(0,TODAY()-업무일지!$B235)*10000+770,"")</f>
        <v/>
      </c>
      <c r="BB231">
        <f>IF(AND(일일실시사항!$B235&lt;&gt;"",일일실시사항!$J235="진행중"),MAX(0,TODAY()-일일실시사항!$B235)*10000+770,"")</f>
        <v/>
      </c>
    </row>
    <row r="232">
      <c r="AZ232">
        <f>IF(AND(업무일지!$B236&lt;&gt;"",업무일지!$AG236="진행중"),MAX(0,TODAY()-업무일지!$B236)*10000+769,"")</f>
        <v/>
      </c>
      <c r="BB232">
        <f>IF(AND(일일실시사항!$B236&lt;&gt;"",일일실시사항!$J236="진행중"),MAX(0,TODAY()-일일실시사항!$B236)*10000+769,"")</f>
        <v/>
      </c>
    </row>
    <row r="233">
      <c r="AZ233">
        <f>IF(AND(업무일지!$B237&lt;&gt;"",업무일지!$AG237="진행중"),MAX(0,TODAY()-업무일지!$B237)*10000+768,"")</f>
        <v/>
      </c>
      <c r="BB233">
        <f>IF(AND(일일실시사항!$B237&lt;&gt;"",일일실시사항!$J237="진행중"),MAX(0,TODAY()-일일실시사항!$B237)*10000+768,"")</f>
        <v/>
      </c>
    </row>
    <row r="234">
      <c r="AZ234">
        <f>IF(AND(업무일지!$B238&lt;&gt;"",업무일지!$AG238="진행중"),MAX(0,TODAY()-업무일지!$B238)*10000+767,"")</f>
        <v/>
      </c>
      <c r="BB234">
        <f>IF(AND(일일실시사항!$B238&lt;&gt;"",일일실시사항!$J238="진행중"),MAX(0,TODAY()-일일실시사항!$B238)*10000+767,"")</f>
        <v/>
      </c>
    </row>
    <row r="235">
      <c r="AZ235">
        <f>IF(AND(업무일지!$B239&lt;&gt;"",업무일지!$AG239="진행중"),MAX(0,TODAY()-업무일지!$B239)*10000+766,"")</f>
        <v/>
      </c>
      <c r="BB235">
        <f>IF(AND(일일실시사항!$B239&lt;&gt;"",일일실시사항!$J239="진행중"),MAX(0,TODAY()-일일실시사항!$B239)*10000+766,"")</f>
        <v/>
      </c>
    </row>
    <row r="236">
      <c r="AZ236">
        <f>IF(AND(업무일지!$B240&lt;&gt;"",업무일지!$AG240="진행중"),MAX(0,TODAY()-업무일지!$B240)*10000+765,"")</f>
        <v/>
      </c>
      <c r="BB236">
        <f>IF(AND(일일실시사항!$B240&lt;&gt;"",일일실시사항!$J240="진행중"),MAX(0,TODAY()-일일실시사항!$B240)*10000+765,"")</f>
        <v/>
      </c>
    </row>
    <row r="237">
      <c r="AZ237">
        <f>IF(AND(업무일지!$B241&lt;&gt;"",업무일지!$AG241="진행중"),MAX(0,TODAY()-업무일지!$B241)*10000+764,"")</f>
        <v/>
      </c>
      <c r="BB237">
        <f>IF(AND(일일실시사항!$B241&lt;&gt;"",일일실시사항!$J241="진행중"),MAX(0,TODAY()-일일실시사항!$B241)*10000+764,"")</f>
        <v/>
      </c>
    </row>
    <row r="238">
      <c r="AZ238">
        <f>IF(AND(업무일지!$B242&lt;&gt;"",업무일지!$AG242="진행중"),MAX(0,TODAY()-업무일지!$B242)*10000+763,"")</f>
        <v/>
      </c>
      <c r="BB238">
        <f>IF(AND(일일실시사항!$B242&lt;&gt;"",일일실시사항!$J242="진행중"),MAX(0,TODAY()-일일실시사항!$B242)*10000+763,"")</f>
        <v/>
      </c>
    </row>
    <row r="239">
      <c r="AZ239">
        <f>IF(AND(업무일지!$B243&lt;&gt;"",업무일지!$AG243="진행중"),MAX(0,TODAY()-업무일지!$B243)*10000+762,"")</f>
        <v/>
      </c>
      <c r="BB239">
        <f>IF(AND(일일실시사항!$B243&lt;&gt;"",일일실시사항!$J243="진행중"),MAX(0,TODAY()-일일실시사항!$B243)*10000+762,"")</f>
        <v/>
      </c>
    </row>
    <row r="240">
      <c r="AZ240">
        <f>IF(AND(업무일지!$B244&lt;&gt;"",업무일지!$AG244="진행중"),MAX(0,TODAY()-업무일지!$B244)*10000+761,"")</f>
        <v/>
      </c>
      <c r="BB240">
        <f>IF(AND(일일실시사항!$B244&lt;&gt;"",일일실시사항!$J244="진행중"),MAX(0,TODAY()-일일실시사항!$B244)*10000+761,"")</f>
        <v/>
      </c>
    </row>
    <row r="241">
      <c r="AZ241">
        <f>IF(AND(업무일지!$B245&lt;&gt;"",업무일지!$AG245="진행중"),MAX(0,TODAY()-업무일지!$B245)*10000+760,"")</f>
        <v/>
      </c>
      <c r="BB241">
        <f>IF(AND(일일실시사항!$B245&lt;&gt;"",일일실시사항!$J245="진행중"),MAX(0,TODAY()-일일실시사항!$B245)*10000+760,"")</f>
        <v/>
      </c>
    </row>
    <row r="242">
      <c r="AZ242">
        <f>IF(AND(업무일지!$B246&lt;&gt;"",업무일지!$AG246="진행중"),MAX(0,TODAY()-업무일지!$B246)*10000+759,"")</f>
        <v/>
      </c>
      <c r="BB242">
        <f>IF(AND(일일실시사항!$B246&lt;&gt;"",일일실시사항!$J246="진행중"),MAX(0,TODAY()-일일실시사항!$B246)*10000+759,"")</f>
        <v/>
      </c>
    </row>
    <row r="243">
      <c r="AZ243">
        <f>IF(AND(업무일지!$B247&lt;&gt;"",업무일지!$AG247="진행중"),MAX(0,TODAY()-업무일지!$B247)*10000+758,"")</f>
        <v/>
      </c>
      <c r="BB243">
        <f>IF(AND(일일실시사항!$B247&lt;&gt;"",일일실시사항!$J247="진행중"),MAX(0,TODAY()-일일실시사항!$B247)*10000+758,"")</f>
        <v/>
      </c>
    </row>
    <row r="244">
      <c r="AZ244">
        <f>IF(AND(업무일지!$B248&lt;&gt;"",업무일지!$AG248="진행중"),MAX(0,TODAY()-업무일지!$B248)*10000+757,"")</f>
        <v/>
      </c>
      <c r="BB244">
        <f>IF(AND(일일실시사항!$B248&lt;&gt;"",일일실시사항!$J248="진행중"),MAX(0,TODAY()-일일실시사항!$B248)*10000+757,"")</f>
        <v/>
      </c>
    </row>
    <row r="245">
      <c r="AZ245">
        <f>IF(AND(업무일지!$B249&lt;&gt;"",업무일지!$AG249="진행중"),MAX(0,TODAY()-업무일지!$B249)*10000+756,"")</f>
        <v/>
      </c>
      <c r="BB245">
        <f>IF(AND(일일실시사항!$B249&lt;&gt;"",일일실시사항!$J249="진행중"),MAX(0,TODAY()-일일실시사항!$B249)*10000+756,"")</f>
        <v/>
      </c>
    </row>
    <row r="246">
      <c r="AZ246">
        <f>IF(AND(업무일지!$B250&lt;&gt;"",업무일지!$AG250="진행중"),MAX(0,TODAY()-업무일지!$B250)*10000+755,"")</f>
        <v/>
      </c>
      <c r="BB246">
        <f>IF(AND(일일실시사항!$B250&lt;&gt;"",일일실시사항!$J250="진행중"),MAX(0,TODAY()-일일실시사항!$B250)*10000+755,"")</f>
        <v/>
      </c>
    </row>
    <row r="247">
      <c r="AZ247">
        <f>IF(AND(업무일지!$B251&lt;&gt;"",업무일지!$AG251="진행중"),MAX(0,TODAY()-업무일지!$B251)*10000+754,"")</f>
        <v/>
      </c>
      <c r="BB247">
        <f>IF(AND(일일실시사항!$B251&lt;&gt;"",일일실시사항!$J251="진행중"),MAX(0,TODAY()-일일실시사항!$B251)*10000+754,"")</f>
        <v/>
      </c>
    </row>
    <row r="248">
      <c r="AZ248">
        <f>IF(AND(업무일지!$B252&lt;&gt;"",업무일지!$AG252="진행중"),MAX(0,TODAY()-업무일지!$B252)*10000+753,"")</f>
        <v/>
      </c>
      <c r="BB248">
        <f>IF(AND(일일실시사항!$B252&lt;&gt;"",일일실시사항!$J252="진행중"),MAX(0,TODAY()-일일실시사항!$B252)*10000+753,"")</f>
        <v/>
      </c>
    </row>
    <row r="249">
      <c r="AZ249">
        <f>IF(AND(업무일지!$B253&lt;&gt;"",업무일지!$AG253="진행중"),MAX(0,TODAY()-업무일지!$B253)*10000+752,"")</f>
        <v/>
      </c>
      <c r="BB249">
        <f>IF(AND(일일실시사항!$B253&lt;&gt;"",일일실시사항!$J253="진행중"),MAX(0,TODAY()-일일실시사항!$B253)*10000+752,"")</f>
        <v/>
      </c>
    </row>
    <row r="250">
      <c r="AZ250">
        <f>IF(AND(업무일지!$B254&lt;&gt;"",업무일지!$AG254="진행중"),MAX(0,TODAY()-업무일지!$B254)*10000+751,"")</f>
        <v/>
      </c>
      <c r="BB250">
        <f>IF(AND(일일실시사항!$B254&lt;&gt;"",일일실시사항!$J254="진행중"),MAX(0,TODAY()-일일실시사항!$B254)*10000+751,"")</f>
        <v/>
      </c>
    </row>
    <row r="251">
      <c r="AZ251">
        <f>IF(AND(업무일지!$B255&lt;&gt;"",업무일지!$AG255="진행중"),MAX(0,TODAY()-업무일지!$B255)*10000+750,"")</f>
        <v/>
      </c>
      <c r="BB251">
        <f>IF(AND(일일실시사항!$B255&lt;&gt;"",일일실시사항!$J255="진행중"),MAX(0,TODAY()-일일실시사항!$B255)*10000+750,"")</f>
        <v/>
      </c>
    </row>
    <row r="252">
      <c r="AZ252">
        <f>IF(AND(업무일지!$B256&lt;&gt;"",업무일지!$AG256="진행중"),MAX(0,TODAY()-업무일지!$B256)*10000+749,"")</f>
        <v/>
      </c>
      <c r="BB252">
        <f>IF(AND(일일실시사항!$B256&lt;&gt;"",일일실시사항!$J256="진행중"),MAX(0,TODAY()-일일실시사항!$B256)*10000+749,"")</f>
        <v/>
      </c>
    </row>
    <row r="253">
      <c r="AZ253">
        <f>IF(AND(업무일지!$B257&lt;&gt;"",업무일지!$AG257="진행중"),MAX(0,TODAY()-업무일지!$B257)*10000+748,"")</f>
        <v/>
      </c>
      <c r="BB253">
        <f>IF(AND(일일실시사항!$B257&lt;&gt;"",일일실시사항!$J257="진행중"),MAX(0,TODAY()-일일실시사항!$B257)*10000+748,"")</f>
        <v/>
      </c>
    </row>
    <row r="254">
      <c r="AZ254">
        <f>IF(AND(업무일지!$B258&lt;&gt;"",업무일지!$AG258="진행중"),MAX(0,TODAY()-업무일지!$B258)*10000+747,"")</f>
        <v/>
      </c>
      <c r="BB254">
        <f>IF(AND(일일실시사항!$B258&lt;&gt;"",일일실시사항!$J258="진행중"),MAX(0,TODAY()-일일실시사항!$B258)*10000+747,"")</f>
        <v/>
      </c>
    </row>
    <row r="255">
      <c r="AZ255">
        <f>IF(AND(업무일지!$B259&lt;&gt;"",업무일지!$AG259="진행중"),MAX(0,TODAY()-업무일지!$B259)*10000+746,"")</f>
        <v/>
      </c>
      <c r="BB255">
        <f>IF(AND(일일실시사항!$B259&lt;&gt;"",일일실시사항!$J259="진행중"),MAX(0,TODAY()-일일실시사항!$B259)*10000+746,"")</f>
        <v/>
      </c>
    </row>
    <row r="256">
      <c r="AZ256">
        <f>IF(AND(업무일지!$B260&lt;&gt;"",업무일지!$AG260="진행중"),MAX(0,TODAY()-업무일지!$B260)*10000+745,"")</f>
        <v/>
      </c>
      <c r="BB256">
        <f>IF(AND(일일실시사항!$B260&lt;&gt;"",일일실시사항!$J260="진행중"),MAX(0,TODAY()-일일실시사항!$B260)*10000+745,"")</f>
        <v/>
      </c>
    </row>
    <row r="257">
      <c r="AZ257">
        <f>IF(AND(업무일지!$B261&lt;&gt;"",업무일지!$AG261="진행중"),MAX(0,TODAY()-업무일지!$B261)*10000+744,"")</f>
        <v/>
      </c>
      <c r="BB257">
        <f>IF(AND(일일실시사항!$B261&lt;&gt;"",일일실시사항!$J261="진행중"),MAX(0,TODAY()-일일실시사항!$B261)*10000+744,"")</f>
        <v/>
      </c>
    </row>
    <row r="258">
      <c r="AZ258">
        <f>IF(AND(업무일지!$B262&lt;&gt;"",업무일지!$AG262="진행중"),MAX(0,TODAY()-업무일지!$B262)*10000+743,"")</f>
        <v/>
      </c>
      <c r="BB258">
        <f>IF(AND(일일실시사항!$B262&lt;&gt;"",일일실시사항!$J262="진행중"),MAX(0,TODAY()-일일실시사항!$B262)*10000+743,"")</f>
        <v/>
      </c>
    </row>
    <row r="259">
      <c r="AZ259">
        <f>IF(AND(업무일지!$B263&lt;&gt;"",업무일지!$AG263="진행중"),MAX(0,TODAY()-업무일지!$B263)*10000+742,"")</f>
        <v/>
      </c>
      <c r="BB259">
        <f>IF(AND(일일실시사항!$B263&lt;&gt;"",일일실시사항!$J263="진행중"),MAX(0,TODAY()-일일실시사항!$B263)*10000+742,"")</f>
        <v/>
      </c>
    </row>
    <row r="260">
      <c r="AZ260">
        <f>IF(AND(업무일지!$B264&lt;&gt;"",업무일지!$AG264="진행중"),MAX(0,TODAY()-업무일지!$B264)*10000+741,"")</f>
        <v/>
      </c>
      <c r="BB260">
        <f>IF(AND(일일실시사항!$B264&lt;&gt;"",일일실시사항!$J264="진행중"),MAX(0,TODAY()-일일실시사항!$B264)*10000+741,"")</f>
        <v/>
      </c>
    </row>
    <row r="261">
      <c r="AZ261">
        <f>IF(AND(업무일지!$B265&lt;&gt;"",업무일지!$AG265="진행중"),MAX(0,TODAY()-업무일지!$B265)*10000+740,"")</f>
        <v/>
      </c>
      <c r="BB261">
        <f>IF(AND(일일실시사항!$B265&lt;&gt;"",일일실시사항!$J265="진행중"),MAX(0,TODAY()-일일실시사항!$B265)*10000+740,"")</f>
        <v/>
      </c>
    </row>
    <row r="262">
      <c r="AZ262">
        <f>IF(AND(업무일지!$B266&lt;&gt;"",업무일지!$AG266="진행중"),MAX(0,TODAY()-업무일지!$B266)*10000+739,"")</f>
        <v/>
      </c>
      <c r="BB262">
        <f>IF(AND(일일실시사항!$B266&lt;&gt;"",일일실시사항!$J266="진행중"),MAX(0,TODAY()-일일실시사항!$B266)*10000+739,"")</f>
        <v/>
      </c>
    </row>
    <row r="263">
      <c r="AZ263">
        <f>IF(AND(업무일지!$B267&lt;&gt;"",업무일지!$AG267="진행중"),MAX(0,TODAY()-업무일지!$B267)*10000+738,"")</f>
        <v/>
      </c>
      <c r="BB263">
        <f>IF(AND(일일실시사항!$B267&lt;&gt;"",일일실시사항!$J267="진행중"),MAX(0,TODAY()-일일실시사항!$B267)*10000+738,"")</f>
        <v/>
      </c>
    </row>
    <row r="264">
      <c r="AZ264">
        <f>IF(AND(업무일지!$B268&lt;&gt;"",업무일지!$AG268="진행중"),MAX(0,TODAY()-업무일지!$B268)*10000+737,"")</f>
        <v/>
      </c>
      <c r="BB264">
        <f>IF(AND(일일실시사항!$B268&lt;&gt;"",일일실시사항!$J268="진행중"),MAX(0,TODAY()-일일실시사항!$B268)*10000+737,"")</f>
        <v/>
      </c>
    </row>
    <row r="265">
      <c r="AZ265">
        <f>IF(AND(업무일지!$B269&lt;&gt;"",업무일지!$AG269="진행중"),MAX(0,TODAY()-업무일지!$B269)*10000+736,"")</f>
        <v/>
      </c>
      <c r="BB265">
        <f>IF(AND(일일실시사항!$B269&lt;&gt;"",일일실시사항!$J269="진행중"),MAX(0,TODAY()-일일실시사항!$B269)*10000+736,"")</f>
        <v/>
      </c>
    </row>
    <row r="266">
      <c r="AZ266">
        <f>IF(AND(업무일지!$B270&lt;&gt;"",업무일지!$AG270="진행중"),MAX(0,TODAY()-업무일지!$B270)*10000+735,"")</f>
        <v/>
      </c>
      <c r="BB266">
        <f>IF(AND(일일실시사항!$B270&lt;&gt;"",일일실시사항!$J270="진행중"),MAX(0,TODAY()-일일실시사항!$B270)*10000+735,"")</f>
        <v/>
      </c>
    </row>
    <row r="267">
      <c r="AZ267">
        <f>IF(AND(업무일지!$B271&lt;&gt;"",업무일지!$AG271="진행중"),MAX(0,TODAY()-업무일지!$B271)*10000+734,"")</f>
        <v/>
      </c>
      <c r="BB267">
        <f>IF(AND(일일실시사항!$B271&lt;&gt;"",일일실시사항!$J271="진행중"),MAX(0,TODAY()-일일실시사항!$B271)*10000+734,"")</f>
        <v/>
      </c>
    </row>
    <row r="268">
      <c r="AZ268">
        <f>IF(AND(업무일지!$B272&lt;&gt;"",업무일지!$AG272="진행중"),MAX(0,TODAY()-업무일지!$B272)*10000+733,"")</f>
        <v/>
      </c>
      <c r="BB268">
        <f>IF(AND(일일실시사항!$B272&lt;&gt;"",일일실시사항!$J272="진행중"),MAX(0,TODAY()-일일실시사항!$B272)*10000+733,"")</f>
        <v/>
      </c>
    </row>
    <row r="269">
      <c r="AZ269">
        <f>IF(AND(업무일지!$B273&lt;&gt;"",업무일지!$AG273="진행중"),MAX(0,TODAY()-업무일지!$B273)*10000+732,"")</f>
        <v/>
      </c>
      <c r="BB269">
        <f>IF(AND(일일실시사항!$B273&lt;&gt;"",일일실시사항!$J273="진행중"),MAX(0,TODAY()-일일실시사항!$B273)*10000+732,"")</f>
        <v/>
      </c>
    </row>
    <row r="270">
      <c r="AZ270">
        <f>IF(AND(업무일지!$B274&lt;&gt;"",업무일지!$AG274="진행중"),MAX(0,TODAY()-업무일지!$B274)*10000+731,"")</f>
        <v/>
      </c>
      <c r="BB270">
        <f>IF(AND(일일실시사항!$B274&lt;&gt;"",일일실시사항!$J274="진행중"),MAX(0,TODAY()-일일실시사항!$B274)*10000+731,"")</f>
        <v/>
      </c>
    </row>
    <row r="271">
      <c r="AZ271">
        <f>IF(AND(업무일지!$B275&lt;&gt;"",업무일지!$AG275="진행중"),MAX(0,TODAY()-업무일지!$B275)*10000+730,"")</f>
        <v/>
      </c>
      <c r="BB271">
        <f>IF(AND(일일실시사항!$B275&lt;&gt;"",일일실시사항!$J275="진행중"),MAX(0,TODAY()-일일실시사항!$B275)*10000+730,"")</f>
        <v/>
      </c>
    </row>
    <row r="272">
      <c r="AZ272">
        <f>IF(AND(업무일지!$B276&lt;&gt;"",업무일지!$AG276="진행중"),MAX(0,TODAY()-업무일지!$B276)*10000+729,"")</f>
        <v/>
      </c>
      <c r="BB272">
        <f>IF(AND(일일실시사항!$B276&lt;&gt;"",일일실시사항!$J276="진행중"),MAX(0,TODAY()-일일실시사항!$B276)*10000+729,"")</f>
        <v/>
      </c>
    </row>
    <row r="273">
      <c r="AZ273">
        <f>IF(AND(업무일지!$B277&lt;&gt;"",업무일지!$AG277="진행중"),MAX(0,TODAY()-업무일지!$B277)*10000+728,"")</f>
        <v/>
      </c>
      <c r="BB273">
        <f>IF(AND(일일실시사항!$B277&lt;&gt;"",일일실시사항!$J277="진행중"),MAX(0,TODAY()-일일실시사항!$B277)*10000+728,"")</f>
        <v/>
      </c>
    </row>
    <row r="274">
      <c r="AZ274">
        <f>IF(AND(업무일지!$B278&lt;&gt;"",업무일지!$AG278="진행중"),MAX(0,TODAY()-업무일지!$B278)*10000+727,"")</f>
        <v/>
      </c>
      <c r="BB274">
        <f>IF(AND(일일실시사항!$B278&lt;&gt;"",일일실시사항!$J278="진행중"),MAX(0,TODAY()-일일실시사항!$B278)*10000+727,"")</f>
        <v/>
      </c>
    </row>
    <row r="275">
      <c r="AZ275">
        <f>IF(AND(업무일지!$B279&lt;&gt;"",업무일지!$AG279="진행중"),MAX(0,TODAY()-업무일지!$B279)*10000+726,"")</f>
        <v/>
      </c>
      <c r="BB275">
        <f>IF(AND(일일실시사항!$B279&lt;&gt;"",일일실시사항!$J279="진행중"),MAX(0,TODAY()-일일실시사항!$B279)*10000+726,"")</f>
        <v/>
      </c>
    </row>
    <row r="276">
      <c r="AZ276">
        <f>IF(AND(업무일지!$B280&lt;&gt;"",업무일지!$AG280="진행중"),MAX(0,TODAY()-업무일지!$B280)*10000+725,"")</f>
        <v/>
      </c>
      <c r="BB276">
        <f>IF(AND(일일실시사항!$B280&lt;&gt;"",일일실시사항!$J280="진행중"),MAX(0,TODAY()-일일실시사항!$B280)*10000+725,"")</f>
        <v/>
      </c>
    </row>
    <row r="277">
      <c r="AZ277">
        <f>IF(AND(업무일지!$B281&lt;&gt;"",업무일지!$AG281="진행중"),MAX(0,TODAY()-업무일지!$B281)*10000+724,"")</f>
        <v/>
      </c>
      <c r="BB277">
        <f>IF(AND(일일실시사항!$B281&lt;&gt;"",일일실시사항!$J281="진행중"),MAX(0,TODAY()-일일실시사항!$B281)*10000+724,"")</f>
        <v/>
      </c>
    </row>
    <row r="278">
      <c r="AZ278">
        <f>IF(AND(업무일지!$B282&lt;&gt;"",업무일지!$AG282="진행중"),MAX(0,TODAY()-업무일지!$B282)*10000+723,"")</f>
        <v/>
      </c>
      <c r="BB278">
        <f>IF(AND(일일실시사항!$B282&lt;&gt;"",일일실시사항!$J282="진행중"),MAX(0,TODAY()-일일실시사항!$B282)*10000+723,"")</f>
        <v/>
      </c>
    </row>
    <row r="279">
      <c r="AZ279">
        <f>IF(AND(업무일지!$B283&lt;&gt;"",업무일지!$AG283="진행중"),MAX(0,TODAY()-업무일지!$B283)*10000+722,"")</f>
        <v/>
      </c>
      <c r="BB279">
        <f>IF(AND(일일실시사항!$B283&lt;&gt;"",일일실시사항!$J283="진행중"),MAX(0,TODAY()-일일실시사항!$B283)*10000+722,"")</f>
        <v/>
      </c>
    </row>
    <row r="280">
      <c r="AZ280">
        <f>IF(AND(업무일지!$B284&lt;&gt;"",업무일지!$AG284="진행중"),MAX(0,TODAY()-업무일지!$B284)*10000+721,"")</f>
        <v/>
      </c>
      <c r="BB280">
        <f>IF(AND(일일실시사항!$B284&lt;&gt;"",일일실시사항!$J284="진행중"),MAX(0,TODAY()-일일실시사항!$B284)*10000+721,"")</f>
        <v/>
      </c>
    </row>
    <row r="281">
      <c r="AZ281">
        <f>IF(AND(업무일지!$B285&lt;&gt;"",업무일지!$AG285="진행중"),MAX(0,TODAY()-업무일지!$B285)*10000+720,"")</f>
        <v/>
      </c>
      <c r="BB281">
        <f>IF(AND(일일실시사항!$B285&lt;&gt;"",일일실시사항!$J285="진행중"),MAX(0,TODAY()-일일실시사항!$B285)*10000+720,"")</f>
        <v/>
      </c>
    </row>
    <row r="282">
      <c r="AZ282">
        <f>IF(AND(업무일지!$B286&lt;&gt;"",업무일지!$AG286="진행중"),MAX(0,TODAY()-업무일지!$B286)*10000+719,"")</f>
        <v/>
      </c>
      <c r="BB282">
        <f>IF(AND(일일실시사항!$B286&lt;&gt;"",일일실시사항!$J286="진행중"),MAX(0,TODAY()-일일실시사항!$B286)*10000+719,"")</f>
        <v/>
      </c>
    </row>
    <row r="283">
      <c r="AZ283">
        <f>IF(AND(업무일지!$B287&lt;&gt;"",업무일지!$AG287="진행중"),MAX(0,TODAY()-업무일지!$B287)*10000+718,"")</f>
        <v/>
      </c>
      <c r="BB283">
        <f>IF(AND(일일실시사항!$B287&lt;&gt;"",일일실시사항!$J287="진행중"),MAX(0,TODAY()-일일실시사항!$B287)*10000+718,"")</f>
        <v/>
      </c>
    </row>
    <row r="284">
      <c r="AZ284">
        <f>IF(AND(업무일지!$B288&lt;&gt;"",업무일지!$AG288="진행중"),MAX(0,TODAY()-업무일지!$B288)*10000+717,"")</f>
        <v/>
      </c>
      <c r="BB284">
        <f>IF(AND(일일실시사항!$B288&lt;&gt;"",일일실시사항!$J288="진행중"),MAX(0,TODAY()-일일실시사항!$B288)*10000+717,"")</f>
        <v/>
      </c>
    </row>
    <row r="285">
      <c r="AZ285">
        <f>IF(AND(업무일지!$B289&lt;&gt;"",업무일지!$AG289="진행중"),MAX(0,TODAY()-업무일지!$B289)*10000+716,"")</f>
        <v/>
      </c>
      <c r="BB285">
        <f>IF(AND(일일실시사항!$B289&lt;&gt;"",일일실시사항!$J289="진행중"),MAX(0,TODAY()-일일실시사항!$B289)*10000+716,"")</f>
        <v/>
      </c>
    </row>
    <row r="286">
      <c r="AZ286">
        <f>IF(AND(업무일지!$B290&lt;&gt;"",업무일지!$AG290="진행중"),MAX(0,TODAY()-업무일지!$B290)*10000+715,"")</f>
        <v/>
      </c>
      <c r="BB286">
        <f>IF(AND(일일실시사항!$B290&lt;&gt;"",일일실시사항!$J290="진행중"),MAX(0,TODAY()-일일실시사항!$B290)*10000+715,"")</f>
        <v/>
      </c>
    </row>
    <row r="287">
      <c r="AZ287">
        <f>IF(AND(업무일지!$B291&lt;&gt;"",업무일지!$AG291="진행중"),MAX(0,TODAY()-업무일지!$B291)*10000+714,"")</f>
        <v/>
      </c>
      <c r="BB287">
        <f>IF(AND(일일실시사항!$B291&lt;&gt;"",일일실시사항!$J291="진행중"),MAX(0,TODAY()-일일실시사항!$B291)*10000+714,"")</f>
        <v/>
      </c>
    </row>
    <row r="288">
      <c r="AZ288">
        <f>IF(AND(업무일지!$B292&lt;&gt;"",업무일지!$AG292="진행중"),MAX(0,TODAY()-업무일지!$B292)*10000+713,"")</f>
        <v/>
      </c>
      <c r="BB288">
        <f>IF(AND(일일실시사항!$B292&lt;&gt;"",일일실시사항!$J292="진행중"),MAX(0,TODAY()-일일실시사항!$B292)*10000+713,"")</f>
        <v/>
      </c>
    </row>
    <row r="289">
      <c r="AZ289">
        <f>IF(AND(업무일지!$B293&lt;&gt;"",업무일지!$AG293="진행중"),MAX(0,TODAY()-업무일지!$B293)*10000+712,"")</f>
        <v/>
      </c>
      <c r="BB289">
        <f>IF(AND(일일실시사항!$B293&lt;&gt;"",일일실시사항!$J293="진행중"),MAX(0,TODAY()-일일실시사항!$B293)*10000+712,"")</f>
        <v/>
      </c>
    </row>
    <row r="290">
      <c r="AZ290">
        <f>IF(AND(업무일지!$B294&lt;&gt;"",업무일지!$AG294="진행중"),MAX(0,TODAY()-업무일지!$B294)*10000+711,"")</f>
        <v/>
      </c>
      <c r="BB290">
        <f>IF(AND(일일실시사항!$B294&lt;&gt;"",일일실시사항!$J294="진행중"),MAX(0,TODAY()-일일실시사항!$B294)*10000+711,"")</f>
        <v/>
      </c>
    </row>
    <row r="291">
      <c r="AZ291">
        <f>IF(AND(업무일지!$B295&lt;&gt;"",업무일지!$AG295="진행중"),MAX(0,TODAY()-업무일지!$B295)*10000+710,"")</f>
        <v/>
      </c>
      <c r="BB291">
        <f>IF(AND(일일실시사항!$B295&lt;&gt;"",일일실시사항!$J295="진행중"),MAX(0,TODAY()-일일실시사항!$B295)*10000+710,"")</f>
        <v/>
      </c>
    </row>
    <row r="292">
      <c r="AZ292">
        <f>IF(AND(업무일지!$B296&lt;&gt;"",업무일지!$AG296="진행중"),MAX(0,TODAY()-업무일지!$B296)*10000+709,"")</f>
        <v/>
      </c>
      <c r="BB292">
        <f>IF(AND(일일실시사항!$B296&lt;&gt;"",일일실시사항!$J296="진행중"),MAX(0,TODAY()-일일실시사항!$B296)*10000+709,"")</f>
        <v/>
      </c>
    </row>
    <row r="293">
      <c r="AZ293">
        <f>IF(AND(업무일지!$B297&lt;&gt;"",업무일지!$AG297="진행중"),MAX(0,TODAY()-업무일지!$B297)*10000+708,"")</f>
        <v/>
      </c>
      <c r="BB293">
        <f>IF(AND(일일실시사항!$B297&lt;&gt;"",일일실시사항!$J297="진행중"),MAX(0,TODAY()-일일실시사항!$B297)*10000+708,"")</f>
        <v/>
      </c>
    </row>
    <row r="294">
      <c r="AZ294">
        <f>IF(AND(업무일지!$B298&lt;&gt;"",업무일지!$AG298="진행중"),MAX(0,TODAY()-업무일지!$B298)*10000+707,"")</f>
        <v/>
      </c>
      <c r="BB294">
        <f>IF(AND(일일실시사항!$B298&lt;&gt;"",일일실시사항!$J298="진행중"),MAX(0,TODAY()-일일실시사항!$B298)*10000+707,"")</f>
        <v/>
      </c>
    </row>
    <row r="295">
      <c r="AZ295">
        <f>IF(AND(업무일지!$B299&lt;&gt;"",업무일지!$AG299="진행중"),MAX(0,TODAY()-업무일지!$B299)*10000+706,"")</f>
        <v/>
      </c>
      <c r="BB295">
        <f>IF(AND(일일실시사항!$B299&lt;&gt;"",일일실시사항!$J299="진행중"),MAX(0,TODAY()-일일실시사항!$B299)*10000+706,"")</f>
        <v/>
      </c>
    </row>
    <row r="296">
      <c r="AZ296">
        <f>IF(AND(업무일지!$B300&lt;&gt;"",업무일지!$AG300="진행중"),MAX(0,TODAY()-업무일지!$B300)*10000+705,"")</f>
        <v/>
      </c>
      <c r="BB296">
        <f>IF(AND(일일실시사항!$B300&lt;&gt;"",일일실시사항!$J300="진행중"),MAX(0,TODAY()-일일실시사항!$B300)*10000+705,"")</f>
        <v/>
      </c>
    </row>
    <row r="297">
      <c r="AZ297">
        <f>IF(AND(업무일지!$B301&lt;&gt;"",업무일지!$AG301="진행중"),MAX(0,TODAY()-업무일지!$B301)*10000+704,"")</f>
        <v/>
      </c>
      <c r="BB297">
        <f>IF(AND(일일실시사항!$B301&lt;&gt;"",일일실시사항!$J301="진행중"),MAX(0,TODAY()-일일실시사항!$B301)*10000+704,"")</f>
        <v/>
      </c>
    </row>
    <row r="298">
      <c r="AZ298">
        <f>IF(AND(업무일지!$B302&lt;&gt;"",업무일지!$AG302="진행중"),MAX(0,TODAY()-업무일지!$B302)*10000+703,"")</f>
        <v/>
      </c>
      <c r="BB298">
        <f>IF(AND(일일실시사항!$B302&lt;&gt;"",일일실시사항!$J302="진행중"),MAX(0,TODAY()-일일실시사항!$B302)*10000+703,"")</f>
        <v/>
      </c>
    </row>
    <row r="299">
      <c r="AZ299">
        <f>IF(AND(업무일지!$B303&lt;&gt;"",업무일지!$AG303="진행중"),MAX(0,TODAY()-업무일지!$B303)*10000+702,"")</f>
        <v/>
      </c>
      <c r="BB299">
        <f>IF(AND(일일실시사항!$B303&lt;&gt;"",일일실시사항!$J303="진행중"),MAX(0,TODAY()-일일실시사항!$B303)*10000+702,"")</f>
        <v/>
      </c>
    </row>
    <row r="300">
      <c r="AZ300">
        <f>IF(AND(업무일지!$B304&lt;&gt;"",업무일지!$AG304="진행중"),MAX(0,TODAY()-업무일지!$B304)*10000+701,"")</f>
        <v/>
      </c>
      <c r="BB300">
        <f>IF(AND(일일실시사항!$B304&lt;&gt;"",일일실시사항!$J304="진행중"),MAX(0,TODAY()-일일실시사항!$B304)*10000+701,"")</f>
        <v/>
      </c>
    </row>
    <row r="301">
      <c r="AZ301">
        <f>IF(AND(업무일지!$B305&lt;&gt;"",업무일지!$AG305="진행중"),MAX(0,TODAY()-업무일지!$B305)*10000+700,"")</f>
        <v/>
      </c>
      <c r="BB301">
        <f>IF(AND(일일실시사항!$B305&lt;&gt;"",일일실시사항!$J305="진행중"),MAX(0,TODAY()-일일실시사항!$B305)*10000+700,"")</f>
        <v/>
      </c>
    </row>
    <row r="302">
      <c r="AZ302">
        <f>IF(AND(업무일지!$B306&lt;&gt;"",업무일지!$AG306="진행중"),MAX(0,TODAY()-업무일지!$B306)*10000+699,"")</f>
        <v/>
      </c>
      <c r="BB302">
        <f>IF(AND(일일실시사항!$B306&lt;&gt;"",일일실시사항!$J306="진행중"),MAX(0,TODAY()-일일실시사항!$B306)*10000+699,"")</f>
        <v/>
      </c>
    </row>
    <row r="303">
      <c r="AZ303">
        <f>IF(AND(업무일지!$B307&lt;&gt;"",업무일지!$AG307="진행중"),MAX(0,TODAY()-업무일지!$B307)*10000+698,"")</f>
        <v/>
      </c>
      <c r="BB303">
        <f>IF(AND(일일실시사항!$B307&lt;&gt;"",일일실시사항!$J307="진행중"),MAX(0,TODAY()-일일실시사항!$B307)*10000+698,"")</f>
        <v/>
      </c>
    </row>
    <row r="304">
      <c r="AZ304">
        <f>IF(AND(업무일지!$B308&lt;&gt;"",업무일지!$AG308="진행중"),MAX(0,TODAY()-업무일지!$B308)*10000+697,"")</f>
        <v/>
      </c>
      <c r="BB304">
        <f>IF(AND(일일실시사항!$B308&lt;&gt;"",일일실시사항!$J308="진행중"),MAX(0,TODAY()-일일실시사항!$B308)*10000+697,"")</f>
        <v/>
      </c>
    </row>
    <row r="305">
      <c r="AZ305">
        <f>IF(AND(업무일지!$B309&lt;&gt;"",업무일지!$AG309="진행중"),MAX(0,TODAY()-업무일지!$B309)*10000+696,"")</f>
        <v/>
      </c>
      <c r="BB305">
        <f>IF(AND(일일실시사항!$B309&lt;&gt;"",일일실시사항!$J309="진행중"),MAX(0,TODAY()-일일실시사항!$B309)*10000+696,"")</f>
        <v/>
      </c>
    </row>
    <row r="306">
      <c r="AZ306">
        <f>IF(AND(업무일지!$B310&lt;&gt;"",업무일지!$AG310="진행중"),MAX(0,TODAY()-업무일지!$B310)*10000+695,"")</f>
        <v/>
      </c>
      <c r="BB306">
        <f>IF(AND(일일실시사항!$B310&lt;&gt;"",일일실시사항!$J310="진행중"),MAX(0,TODAY()-일일실시사항!$B310)*10000+695,"")</f>
        <v/>
      </c>
    </row>
    <row r="307">
      <c r="AZ307">
        <f>IF(AND(업무일지!$B311&lt;&gt;"",업무일지!$AG311="진행중"),MAX(0,TODAY()-업무일지!$B311)*10000+694,"")</f>
        <v/>
      </c>
      <c r="BB307">
        <f>IF(AND(일일실시사항!$B311&lt;&gt;"",일일실시사항!$J311="진행중"),MAX(0,TODAY()-일일실시사항!$B311)*10000+694,"")</f>
        <v/>
      </c>
    </row>
    <row r="308">
      <c r="AZ308">
        <f>IF(AND(업무일지!$B312&lt;&gt;"",업무일지!$AG312="진행중"),MAX(0,TODAY()-업무일지!$B312)*10000+693,"")</f>
        <v/>
      </c>
      <c r="BB308">
        <f>IF(AND(일일실시사항!$B312&lt;&gt;"",일일실시사항!$J312="진행중"),MAX(0,TODAY()-일일실시사항!$B312)*10000+693,"")</f>
        <v/>
      </c>
    </row>
    <row r="309">
      <c r="AZ309">
        <f>IF(AND(업무일지!$B313&lt;&gt;"",업무일지!$AG313="진행중"),MAX(0,TODAY()-업무일지!$B313)*10000+692,"")</f>
        <v/>
      </c>
      <c r="BB309">
        <f>IF(AND(일일실시사항!$B313&lt;&gt;"",일일실시사항!$J313="진행중"),MAX(0,TODAY()-일일실시사항!$B313)*10000+692,"")</f>
        <v/>
      </c>
    </row>
    <row r="310">
      <c r="AZ310">
        <f>IF(AND(업무일지!$B314&lt;&gt;"",업무일지!$AG314="진행중"),MAX(0,TODAY()-업무일지!$B314)*10000+691,"")</f>
        <v/>
      </c>
      <c r="BB310">
        <f>IF(AND(일일실시사항!$B314&lt;&gt;"",일일실시사항!$J314="진행중"),MAX(0,TODAY()-일일실시사항!$B314)*10000+691,"")</f>
        <v/>
      </c>
    </row>
    <row r="311">
      <c r="AZ311">
        <f>IF(AND(업무일지!$B315&lt;&gt;"",업무일지!$AG315="진행중"),MAX(0,TODAY()-업무일지!$B315)*10000+690,"")</f>
        <v/>
      </c>
      <c r="BB311">
        <f>IF(AND(일일실시사항!$B315&lt;&gt;"",일일실시사항!$J315="진행중"),MAX(0,TODAY()-일일실시사항!$B315)*10000+690,"")</f>
        <v/>
      </c>
    </row>
    <row r="312">
      <c r="AZ312">
        <f>IF(AND(업무일지!$B316&lt;&gt;"",업무일지!$AG316="진행중"),MAX(0,TODAY()-업무일지!$B316)*10000+689,"")</f>
        <v/>
      </c>
      <c r="BB312">
        <f>IF(AND(일일실시사항!$B316&lt;&gt;"",일일실시사항!$J316="진행중"),MAX(0,TODAY()-일일실시사항!$B316)*10000+689,"")</f>
        <v/>
      </c>
    </row>
    <row r="313">
      <c r="AZ313">
        <f>IF(AND(업무일지!$B317&lt;&gt;"",업무일지!$AG317="진행중"),MAX(0,TODAY()-업무일지!$B317)*10000+688,"")</f>
        <v/>
      </c>
      <c r="BB313">
        <f>IF(AND(일일실시사항!$B317&lt;&gt;"",일일실시사항!$J317="진행중"),MAX(0,TODAY()-일일실시사항!$B317)*10000+688,"")</f>
        <v/>
      </c>
    </row>
    <row r="314">
      <c r="AZ314">
        <f>IF(AND(업무일지!$B318&lt;&gt;"",업무일지!$AG318="진행중"),MAX(0,TODAY()-업무일지!$B318)*10000+687,"")</f>
        <v/>
      </c>
      <c r="BB314">
        <f>IF(AND(일일실시사항!$B318&lt;&gt;"",일일실시사항!$J318="진행중"),MAX(0,TODAY()-일일실시사항!$B318)*10000+687,"")</f>
        <v/>
      </c>
    </row>
    <row r="315">
      <c r="AZ315">
        <f>IF(AND(업무일지!$B319&lt;&gt;"",업무일지!$AG319="진행중"),MAX(0,TODAY()-업무일지!$B319)*10000+686,"")</f>
        <v/>
      </c>
      <c r="BB315">
        <f>IF(AND(일일실시사항!$B319&lt;&gt;"",일일실시사항!$J319="진행중"),MAX(0,TODAY()-일일실시사항!$B319)*10000+686,"")</f>
        <v/>
      </c>
    </row>
    <row r="316">
      <c r="AZ316">
        <f>IF(AND(업무일지!$B320&lt;&gt;"",업무일지!$AG320="진행중"),MAX(0,TODAY()-업무일지!$B320)*10000+685,"")</f>
        <v/>
      </c>
      <c r="BB316">
        <f>IF(AND(일일실시사항!$B320&lt;&gt;"",일일실시사항!$J320="진행중"),MAX(0,TODAY()-일일실시사항!$B320)*10000+685,"")</f>
        <v/>
      </c>
    </row>
    <row r="317">
      <c r="AZ317">
        <f>IF(AND(업무일지!$B321&lt;&gt;"",업무일지!$AG321="진행중"),MAX(0,TODAY()-업무일지!$B321)*10000+684,"")</f>
        <v/>
      </c>
      <c r="BB317">
        <f>IF(AND(일일실시사항!$B321&lt;&gt;"",일일실시사항!$J321="진행중"),MAX(0,TODAY()-일일실시사항!$B321)*10000+684,"")</f>
        <v/>
      </c>
    </row>
    <row r="318">
      <c r="AZ318">
        <f>IF(AND(업무일지!$B322&lt;&gt;"",업무일지!$AG322="진행중"),MAX(0,TODAY()-업무일지!$B322)*10000+683,"")</f>
        <v/>
      </c>
      <c r="BB318">
        <f>IF(AND(일일실시사항!$B322&lt;&gt;"",일일실시사항!$J322="진행중"),MAX(0,TODAY()-일일실시사항!$B322)*10000+683,"")</f>
        <v/>
      </c>
    </row>
    <row r="319">
      <c r="AZ319">
        <f>IF(AND(업무일지!$B323&lt;&gt;"",업무일지!$AG323="진행중"),MAX(0,TODAY()-업무일지!$B323)*10000+682,"")</f>
        <v/>
      </c>
      <c r="BB319">
        <f>IF(AND(일일실시사항!$B323&lt;&gt;"",일일실시사항!$J323="진행중"),MAX(0,TODAY()-일일실시사항!$B323)*10000+682,"")</f>
        <v/>
      </c>
    </row>
    <row r="320">
      <c r="AZ320">
        <f>IF(AND(업무일지!$B324&lt;&gt;"",업무일지!$AG324="진행중"),MAX(0,TODAY()-업무일지!$B324)*10000+681,"")</f>
        <v/>
      </c>
      <c r="BB320">
        <f>IF(AND(일일실시사항!$B324&lt;&gt;"",일일실시사항!$J324="진행중"),MAX(0,TODAY()-일일실시사항!$B324)*10000+681,"")</f>
        <v/>
      </c>
    </row>
    <row r="321">
      <c r="AZ321">
        <f>IF(AND(업무일지!$B325&lt;&gt;"",업무일지!$AG325="진행중"),MAX(0,TODAY()-업무일지!$B325)*10000+680,"")</f>
        <v/>
      </c>
      <c r="BB321">
        <f>IF(AND(일일실시사항!$B325&lt;&gt;"",일일실시사항!$J325="진행중"),MAX(0,TODAY()-일일실시사항!$B325)*10000+680,"")</f>
        <v/>
      </c>
    </row>
    <row r="322">
      <c r="AZ322">
        <f>IF(AND(업무일지!$B326&lt;&gt;"",업무일지!$AG326="진행중"),MAX(0,TODAY()-업무일지!$B326)*10000+679,"")</f>
        <v/>
      </c>
      <c r="BB322">
        <f>IF(AND(일일실시사항!$B326&lt;&gt;"",일일실시사항!$J326="진행중"),MAX(0,TODAY()-일일실시사항!$B326)*10000+679,"")</f>
        <v/>
      </c>
    </row>
    <row r="323">
      <c r="AZ323">
        <f>IF(AND(업무일지!$B327&lt;&gt;"",업무일지!$AG327="진행중"),MAX(0,TODAY()-업무일지!$B327)*10000+678,"")</f>
        <v/>
      </c>
      <c r="BB323">
        <f>IF(AND(일일실시사항!$B327&lt;&gt;"",일일실시사항!$J327="진행중"),MAX(0,TODAY()-일일실시사항!$B327)*10000+678,"")</f>
        <v/>
      </c>
    </row>
    <row r="324">
      <c r="AZ324">
        <f>IF(AND(업무일지!$B328&lt;&gt;"",업무일지!$AG328="진행중"),MAX(0,TODAY()-업무일지!$B328)*10000+677,"")</f>
        <v/>
      </c>
      <c r="BB324">
        <f>IF(AND(일일실시사항!$B328&lt;&gt;"",일일실시사항!$J328="진행중"),MAX(0,TODAY()-일일실시사항!$B328)*10000+677,"")</f>
        <v/>
      </c>
    </row>
    <row r="325">
      <c r="AZ325">
        <f>IF(AND(업무일지!$B329&lt;&gt;"",업무일지!$AG329="진행중"),MAX(0,TODAY()-업무일지!$B329)*10000+676,"")</f>
        <v/>
      </c>
      <c r="BB325">
        <f>IF(AND(일일실시사항!$B329&lt;&gt;"",일일실시사항!$J329="진행중"),MAX(0,TODAY()-일일실시사항!$B329)*10000+676,"")</f>
        <v/>
      </c>
    </row>
    <row r="326">
      <c r="AZ326">
        <f>IF(AND(업무일지!$B330&lt;&gt;"",업무일지!$AG330="진행중"),MAX(0,TODAY()-업무일지!$B330)*10000+675,"")</f>
        <v/>
      </c>
      <c r="BB326">
        <f>IF(AND(일일실시사항!$B330&lt;&gt;"",일일실시사항!$J330="진행중"),MAX(0,TODAY()-일일실시사항!$B330)*10000+675,"")</f>
        <v/>
      </c>
    </row>
    <row r="327">
      <c r="AZ327">
        <f>IF(AND(업무일지!$B331&lt;&gt;"",업무일지!$AG331="진행중"),MAX(0,TODAY()-업무일지!$B331)*10000+674,"")</f>
        <v/>
      </c>
      <c r="BB327">
        <f>IF(AND(일일실시사항!$B331&lt;&gt;"",일일실시사항!$J331="진행중"),MAX(0,TODAY()-일일실시사항!$B331)*10000+674,"")</f>
        <v/>
      </c>
    </row>
    <row r="328">
      <c r="AZ328">
        <f>IF(AND(업무일지!$B332&lt;&gt;"",업무일지!$AG332="진행중"),MAX(0,TODAY()-업무일지!$B332)*10000+673,"")</f>
        <v/>
      </c>
      <c r="BB328">
        <f>IF(AND(일일실시사항!$B332&lt;&gt;"",일일실시사항!$J332="진행중"),MAX(0,TODAY()-일일실시사항!$B332)*10000+673,"")</f>
        <v/>
      </c>
    </row>
    <row r="329">
      <c r="AZ329">
        <f>IF(AND(업무일지!$B333&lt;&gt;"",업무일지!$AG333="진행중"),MAX(0,TODAY()-업무일지!$B333)*10000+672,"")</f>
        <v/>
      </c>
      <c r="BB329">
        <f>IF(AND(일일실시사항!$B333&lt;&gt;"",일일실시사항!$J333="진행중"),MAX(0,TODAY()-일일실시사항!$B333)*10000+672,"")</f>
        <v/>
      </c>
    </row>
    <row r="330">
      <c r="AZ330">
        <f>IF(AND(업무일지!$B334&lt;&gt;"",업무일지!$AG334="진행중"),MAX(0,TODAY()-업무일지!$B334)*10000+671,"")</f>
        <v/>
      </c>
      <c r="BB330">
        <f>IF(AND(일일실시사항!$B334&lt;&gt;"",일일실시사항!$J334="진행중"),MAX(0,TODAY()-일일실시사항!$B334)*10000+671,"")</f>
        <v/>
      </c>
    </row>
    <row r="331">
      <c r="AZ331">
        <f>IF(AND(업무일지!$B335&lt;&gt;"",업무일지!$AG335="진행중"),MAX(0,TODAY()-업무일지!$B335)*10000+670,"")</f>
        <v/>
      </c>
      <c r="BB331">
        <f>IF(AND(일일실시사항!$B335&lt;&gt;"",일일실시사항!$J335="진행중"),MAX(0,TODAY()-일일실시사항!$B335)*10000+670,"")</f>
        <v/>
      </c>
    </row>
    <row r="332">
      <c r="AZ332">
        <f>IF(AND(업무일지!$B336&lt;&gt;"",업무일지!$AG336="진행중"),MAX(0,TODAY()-업무일지!$B336)*10000+669,"")</f>
        <v/>
      </c>
      <c r="BB332">
        <f>IF(AND(일일실시사항!$B336&lt;&gt;"",일일실시사항!$J336="진행중"),MAX(0,TODAY()-일일실시사항!$B336)*10000+669,"")</f>
        <v/>
      </c>
    </row>
    <row r="333">
      <c r="AZ333">
        <f>IF(AND(업무일지!$B337&lt;&gt;"",업무일지!$AG337="진행중"),MAX(0,TODAY()-업무일지!$B337)*10000+668,"")</f>
        <v/>
      </c>
      <c r="BB333">
        <f>IF(AND(일일실시사항!$B337&lt;&gt;"",일일실시사항!$J337="진행중"),MAX(0,TODAY()-일일실시사항!$B337)*10000+668,"")</f>
        <v/>
      </c>
    </row>
    <row r="334">
      <c r="AZ334">
        <f>IF(AND(업무일지!$B338&lt;&gt;"",업무일지!$AG338="진행중"),MAX(0,TODAY()-업무일지!$B338)*10000+667,"")</f>
        <v/>
      </c>
      <c r="BB334">
        <f>IF(AND(일일실시사항!$B338&lt;&gt;"",일일실시사항!$J338="진행중"),MAX(0,TODAY()-일일실시사항!$B338)*10000+667,"")</f>
        <v/>
      </c>
    </row>
    <row r="335">
      <c r="AZ335">
        <f>IF(AND(업무일지!$B339&lt;&gt;"",업무일지!$AG339="진행중"),MAX(0,TODAY()-업무일지!$B339)*10000+666,"")</f>
        <v/>
      </c>
      <c r="BB335">
        <f>IF(AND(일일실시사항!$B339&lt;&gt;"",일일실시사항!$J339="진행중"),MAX(0,TODAY()-일일실시사항!$B339)*10000+666,"")</f>
        <v/>
      </c>
    </row>
    <row r="336">
      <c r="AZ336">
        <f>IF(AND(업무일지!$B340&lt;&gt;"",업무일지!$AG340="진행중"),MAX(0,TODAY()-업무일지!$B340)*10000+665,"")</f>
        <v/>
      </c>
      <c r="BB336">
        <f>IF(AND(일일실시사항!$B340&lt;&gt;"",일일실시사항!$J340="진행중"),MAX(0,TODAY()-일일실시사항!$B340)*10000+665,"")</f>
        <v/>
      </c>
    </row>
    <row r="337">
      <c r="AZ337">
        <f>IF(AND(업무일지!$B341&lt;&gt;"",업무일지!$AG341="진행중"),MAX(0,TODAY()-업무일지!$B341)*10000+664,"")</f>
        <v/>
      </c>
      <c r="BB337">
        <f>IF(AND(일일실시사항!$B341&lt;&gt;"",일일실시사항!$J341="진행중"),MAX(0,TODAY()-일일실시사항!$B341)*10000+664,"")</f>
        <v/>
      </c>
    </row>
    <row r="338">
      <c r="AZ338">
        <f>IF(AND(업무일지!$B342&lt;&gt;"",업무일지!$AG342="진행중"),MAX(0,TODAY()-업무일지!$B342)*10000+663,"")</f>
        <v/>
      </c>
      <c r="BB338">
        <f>IF(AND(일일실시사항!$B342&lt;&gt;"",일일실시사항!$J342="진행중"),MAX(0,TODAY()-일일실시사항!$B342)*10000+663,"")</f>
        <v/>
      </c>
    </row>
    <row r="339">
      <c r="AZ339">
        <f>IF(AND(업무일지!$B343&lt;&gt;"",업무일지!$AG343="진행중"),MAX(0,TODAY()-업무일지!$B343)*10000+662,"")</f>
        <v/>
      </c>
      <c r="BB339">
        <f>IF(AND(일일실시사항!$B343&lt;&gt;"",일일실시사항!$J343="진행중"),MAX(0,TODAY()-일일실시사항!$B343)*10000+662,"")</f>
        <v/>
      </c>
    </row>
    <row r="340">
      <c r="AZ340">
        <f>IF(AND(업무일지!$B344&lt;&gt;"",업무일지!$AG344="진행중"),MAX(0,TODAY()-업무일지!$B344)*10000+661,"")</f>
        <v/>
      </c>
      <c r="BB340">
        <f>IF(AND(일일실시사항!$B344&lt;&gt;"",일일실시사항!$J344="진행중"),MAX(0,TODAY()-일일실시사항!$B344)*10000+661,"")</f>
        <v/>
      </c>
    </row>
    <row r="341">
      <c r="AZ341">
        <f>IF(AND(업무일지!$B345&lt;&gt;"",업무일지!$AG345="진행중"),MAX(0,TODAY()-업무일지!$B345)*10000+660,"")</f>
        <v/>
      </c>
      <c r="BB341">
        <f>IF(AND(일일실시사항!$B345&lt;&gt;"",일일실시사항!$J345="진행중"),MAX(0,TODAY()-일일실시사항!$B345)*10000+660,"")</f>
        <v/>
      </c>
    </row>
    <row r="342">
      <c r="AZ342">
        <f>IF(AND(업무일지!$B346&lt;&gt;"",업무일지!$AG346="진행중"),MAX(0,TODAY()-업무일지!$B346)*10000+659,"")</f>
        <v/>
      </c>
      <c r="BB342">
        <f>IF(AND(일일실시사항!$B346&lt;&gt;"",일일실시사항!$J346="진행중"),MAX(0,TODAY()-일일실시사항!$B346)*10000+659,"")</f>
        <v/>
      </c>
    </row>
    <row r="343">
      <c r="AZ343">
        <f>IF(AND(업무일지!$B347&lt;&gt;"",업무일지!$AG347="진행중"),MAX(0,TODAY()-업무일지!$B347)*10000+658,"")</f>
        <v/>
      </c>
      <c r="BB343">
        <f>IF(AND(일일실시사항!$B347&lt;&gt;"",일일실시사항!$J347="진행중"),MAX(0,TODAY()-일일실시사항!$B347)*10000+658,"")</f>
        <v/>
      </c>
    </row>
    <row r="344">
      <c r="AZ344">
        <f>IF(AND(업무일지!$B348&lt;&gt;"",업무일지!$AG348="진행중"),MAX(0,TODAY()-업무일지!$B348)*10000+657,"")</f>
        <v/>
      </c>
      <c r="BB344">
        <f>IF(AND(일일실시사항!$B348&lt;&gt;"",일일실시사항!$J348="진행중"),MAX(0,TODAY()-일일실시사항!$B348)*10000+657,"")</f>
        <v/>
      </c>
    </row>
    <row r="345">
      <c r="AZ345">
        <f>IF(AND(업무일지!$B349&lt;&gt;"",업무일지!$AG349="진행중"),MAX(0,TODAY()-업무일지!$B349)*10000+656,"")</f>
        <v/>
      </c>
      <c r="BB345">
        <f>IF(AND(일일실시사항!$B349&lt;&gt;"",일일실시사항!$J349="진행중"),MAX(0,TODAY()-일일실시사항!$B349)*10000+656,"")</f>
        <v/>
      </c>
    </row>
    <row r="346">
      <c r="AZ346">
        <f>IF(AND(업무일지!$B350&lt;&gt;"",업무일지!$AG350="진행중"),MAX(0,TODAY()-업무일지!$B350)*10000+655,"")</f>
        <v/>
      </c>
      <c r="BB346">
        <f>IF(AND(일일실시사항!$B350&lt;&gt;"",일일실시사항!$J350="진행중"),MAX(0,TODAY()-일일실시사항!$B350)*10000+655,"")</f>
        <v/>
      </c>
    </row>
    <row r="347">
      <c r="AZ347">
        <f>IF(AND(업무일지!$B351&lt;&gt;"",업무일지!$AG351="진행중"),MAX(0,TODAY()-업무일지!$B351)*10000+654,"")</f>
        <v/>
      </c>
      <c r="BB347">
        <f>IF(AND(일일실시사항!$B351&lt;&gt;"",일일실시사항!$J351="진행중"),MAX(0,TODAY()-일일실시사항!$B351)*10000+654,"")</f>
        <v/>
      </c>
    </row>
    <row r="348">
      <c r="AZ348">
        <f>IF(AND(업무일지!$B352&lt;&gt;"",업무일지!$AG352="진행중"),MAX(0,TODAY()-업무일지!$B352)*10000+653,"")</f>
        <v/>
      </c>
      <c r="BB348">
        <f>IF(AND(일일실시사항!$B352&lt;&gt;"",일일실시사항!$J352="진행중"),MAX(0,TODAY()-일일실시사항!$B352)*10000+653,"")</f>
        <v/>
      </c>
    </row>
    <row r="349">
      <c r="AZ349">
        <f>IF(AND(업무일지!$B353&lt;&gt;"",업무일지!$AG353="진행중"),MAX(0,TODAY()-업무일지!$B353)*10000+652,"")</f>
        <v/>
      </c>
      <c r="BB349">
        <f>IF(AND(일일실시사항!$B353&lt;&gt;"",일일실시사항!$J353="진행중"),MAX(0,TODAY()-일일실시사항!$B353)*10000+652,"")</f>
        <v/>
      </c>
    </row>
    <row r="350">
      <c r="AZ350">
        <f>IF(AND(업무일지!$B354&lt;&gt;"",업무일지!$AG354="진행중"),MAX(0,TODAY()-업무일지!$B354)*10000+651,"")</f>
        <v/>
      </c>
      <c r="BB350">
        <f>IF(AND(일일실시사항!$B354&lt;&gt;"",일일실시사항!$J354="진행중"),MAX(0,TODAY()-일일실시사항!$B354)*10000+651,"")</f>
        <v/>
      </c>
    </row>
    <row r="351">
      <c r="AZ351">
        <f>IF(AND(업무일지!$B355&lt;&gt;"",업무일지!$AG355="진행중"),MAX(0,TODAY()-업무일지!$B355)*10000+650,"")</f>
        <v/>
      </c>
      <c r="BB351">
        <f>IF(AND(일일실시사항!$B355&lt;&gt;"",일일실시사항!$J355="진행중"),MAX(0,TODAY()-일일실시사항!$B355)*10000+650,"")</f>
        <v/>
      </c>
    </row>
    <row r="352">
      <c r="AZ352">
        <f>IF(AND(업무일지!$B356&lt;&gt;"",업무일지!$AG356="진행중"),MAX(0,TODAY()-업무일지!$B356)*10000+649,"")</f>
        <v/>
      </c>
      <c r="BB352">
        <f>IF(AND(일일실시사항!$B356&lt;&gt;"",일일실시사항!$J356="진행중"),MAX(0,TODAY()-일일실시사항!$B356)*10000+649,"")</f>
        <v/>
      </c>
    </row>
    <row r="353">
      <c r="AZ353">
        <f>IF(AND(업무일지!$B357&lt;&gt;"",업무일지!$AG357="진행중"),MAX(0,TODAY()-업무일지!$B357)*10000+648,"")</f>
        <v/>
      </c>
      <c r="BB353">
        <f>IF(AND(일일실시사항!$B357&lt;&gt;"",일일실시사항!$J357="진행중"),MAX(0,TODAY()-일일실시사항!$B357)*10000+648,"")</f>
        <v/>
      </c>
    </row>
    <row r="354">
      <c r="AZ354">
        <f>IF(AND(업무일지!$B358&lt;&gt;"",업무일지!$AG358="진행중"),MAX(0,TODAY()-업무일지!$B358)*10000+647,"")</f>
        <v/>
      </c>
      <c r="BB354">
        <f>IF(AND(일일실시사항!$B358&lt;&gt;"",일일실시사항!$J358="진행중"),MAX(0,TODAY()-일일실시사항!$B358)*10000+647,"")</f>
        <v/>
      </c>
    </row>
    <row r="355">
      <c r="AZ355">
        <f>IF(AND(업무일지!$B359&lt;&gt;"",업무일지!$AG359="진행중"),MAX(0,TODAY()-업무일지!$B359)*10000+646,"")</f>
        <v/>
      </c>
      <c r="BB355">
        <f>IF(AND(일일실시사항!$B359&lt;&gt;"",일일실시사항!$J359="진행중"),MAX(0,TODAY()-일일실시사항!$B359)*10000+646,"")</f>
        <v/>
      </c>
    </row>
    <row r="356">
      <c r="AZ356">
        <f>IF(AND(업무일지!$B360&lt;&gt;"",업무일지!$AG360="진행중"),MAX(0,TODAY()-업무일지!$B360)*10000+645,"")</f>
        <v/>
      </c>
      <c r="BB356">
        <f>IF(AND(일일실시사항!$B360&lt;&gt;"",일일실시사항!$J360="진행중"),MAX(0,TODAY()-일일실시사항!$B360)*10000+645,"")</f>
        <v/>
      </c>
    </row>
    <row r="357">
      <c r="AZ357">
        <f>IF(AND(업무일지!$B361&lt;&gt;"",업무일지!$AG361="진행중"),MAX(0,TODAY()-업무일지!$B361)*10000+644,"")</f>
        <v/>
      </c>
      <c r="BB357">
        <f>IF(AND(일일실시사항!$B361&lt;&gt;"",일일실시사항!$J361="진행중"),MAX(0,TODAY()-일일실시사항!$B361)*10000+644,"")</f>
        <v/>
      </c>
    </row>
    <row r="358">
      <c r="AZ358">
        <f>IF(AND(업무일지!$B362&lt;&gt;"",업무일지!$AG362="진행중"),MAX(0,TODAY()-업무일지!$B362)*10000+643,"")</f>
        <v/>
      </c>
      <c r="BB358">
        <f>IF(AND(일일실시사항!$B362&lt;&gt;"",일일실시사항!$J362="진행중"),MAX(0,TODAY()-일일실시사항!$B362)*10000+643,"")</f>
        <v/>
      </c>
    </row>
    <row r="359">
      <c r="AZ359">
        <f>IF(AND(업무일지!$B363&lt;&gt;"",업무일지!$AG363="진행중"),MAX(0,TODAY()-업무일지!$B363)*10000+642,"")</f>
        <v/>
      </c>
      <c r="BB359">
        <f>IF(AND(일일실시사항!$B363&lt;&gt;"",일일실시사항!$J363="진행중"),MAX(0,TODAY()-일일실시사항!$B363)*10000+642,"")</f>
        <v/>
      </c>
    </row>
    <row r="360">
      <c r="AZ360">
        <f>IF(AND(업무일지!$B364&lt;&gt;"",업무일지!$AG364="진행중"),MAX(0,TODAY()-업무일지!$B364)*10000+641,"")</f>
        <v/>
      </c>
      <c r="BB360">
        <f>IF(AND(일일실시사항!$B364&lt;&gt;"",일일실시사항!$J364="진행중"),MAX(0,TODAY()-일일실시사항!$B364)*10000+641,"")</f>
        <v/>
      </c>
    </row>
    <row r="361">
      <c r="AZ361">
        <f>IF(AND(업무일지!$B365&lt;&gt;"",업무일지!$AG365="진행중"),MAX(0,TODAY()-업무일지!$B365)*10000+640,"")</f>
        <v/>
      </c>
      <c r="BB361">
        <f>IF(AND(일일실시사항!$B365&lt;&gt;"",일일실시사항!$J365="진행중"),MAX(0,TODAY()-일일실시사항!$B365)*10000+640,"")</f>
        <v/>
      </c>
    </row>
    <row r="362">
      <c r="AZ362">
        <f>IF(AND(업무일지!$B366&lt;&gt;"",업무일지!$AG366="진행중"),MAX(0,TODAY()-업무일지!$B366)*10000+639,"")</f>
        <v/>
      </c>
      <c r="BB362">
        <f>IF(AND(일일실시사항!$B366&lt;&gt;"",일일실시사항!$J366="진행중"),MAX(0,TODAY()-일일실시사항!$B366)*10000+639,"")</f>
        <v/>
      </c>
    </row>
    <row r="363">
      <c r="AZ363">
        <f>IF(AND(업무일지!$B367&lt;&gt;"",업무일지!$AG367="진행중"),MAX(0,TODAY()-업무일지!$B367)*10000+638,"")</f>
        <v/>
      </c>
      <c r="BB363">
        <f>IF(AND(일일실시사항!$B367&lt;&gt;"",일일실시사항!$J367="진행중"),MAX(0,TODAY()-일일실시사항!$B367)*10000+638,"")</f>
        <v/>
      </c>
    </row>
    <row r="364">
      <c r="AZ364">
        <f>IF(AND(업무일지!$B368&lt;&gt;"",업무일지!$AG368="진행중"),MAX(0,TODAY()-업무일지!$B368)*10000+637,"")</f>
        <v/>
      </c>
      <c r="BB364">
        <f>IF(AND(일일실시사항!$B368&lt;&gt;"",일일실시사항!$J368="진행중"),MAX(0,TODAY()-일일실시사항!$B368)*10000+637,"")</f>
        <v/>
      </c>
    </row>
    <row r="365">
      <c r="AZ365">
        <f>IF(AND(업무일지!$B369&lt;&gt;"",업무일지!$AG369="진행중"),MAX(0,TODAY()-업무일지!$B369)*10000+636,"")</f>
        <v/>
      </c>
      <c r="BB365">
        <f>IF(AND(일일실시사항!$B369&lt;&gt;"",일일실시사항!$J369="진행중"),MAX(0,TODAY()-일일실시사항!$B369)*10000+636,"")</f>
        <v/>
      </c>
    </row>
    <row r="366">
      <c r="AZ366">
        <f>IF(AND(업무일지!$B370&lt;&gt;"",업무일지!$AG370="진행중"),MAX(0,TODAY()-업무일지!$B370)*10000+635,"")</f>
        <v/>
      </c>
      <c r="BB366">
        <f>IF(AND(일일실시사항!$B370&lt;&gt;"",일일실시사항!$J370="진행중"),MAX(0,TODAY()-일일실시사항!$B370)*10000+635,"")</f>
        <v/>
      </c>
    </row>
    <row r="367">
      <c r="AZ367">
        <f>IF(AND(업무일지!$B371&lt;&gt;"",업무일지!$AG371="진행중"),MAX(0,TODAY()-업무일지!$B371)*10000+634,"")</f>
        <v/>
      </c>
      <c r="BB367">
        <f>IF(AND(일일실시사항!$B371&lt;&gt;"",일일실시사항!$J371="진행중"),MAX(0,TODAY()-일일실시사항!$B371)*10000+634,"")</f>
        <v/>
      </c>
    </row>
    <row r="368">
      <c r="AZ368">
        <f>IF(AND(업무일지!$B372&lt;&gt;"",업무일지!$AG372="진행중"),MAX(0,TODAY()-업무일지!$B372)*10000+633,"")</f>
        <v/>
      </c>
      <c r="BB368">
        <f>IF(AND(일일실시사항!$B372&lt;&gt;"",일일실시사항!$J372="진행중"),MAX(0,TODAY()-일일실시사항!$B372)*10000+633,"")</f>
        <v/>
      </c>
    </row>
    <row r="369">
      <c r="AZ369">
        <f>IF(AND(업무일지!$B373&lt;&gt;"",업무일지!$AG373="진행중"),MAX(0,TODAY()-업무일지!$B373)*10000+632,"")</f>
        <v/>
      </c>
      <c r="BB369">
        <f>IF(AND(일일실시사항!$B373&lt;&gt;"",일일실시사항!$J373="진행중"),MAX(0,TODAY()-일일실시사항!$B373)*10000+632,"")</f>
        <v/>
      </c>
    </row>
    <row r="370">
      <c r="AZ370">
        <f>IF(AND(업무일지!$B374&lt;&gt;"",업무일지!$AG374="진행중"),MAX(0,TODAY()-업무일지!$B374)*10000+631,"")</f>
        <v/>
      </c>
      <c r="BB370">
        <f>IF(AND(일일실시사항!$B374&lt;&gt;"",일일실시사항!$J374="진행중"),MAX(0,TODAY()-일일실시사항!$B374)*10000+631,"")</f>
        <v/>
      </c>
    </row>
    <row r="371">
      <c r="AZ371">
        <f>IF(AND(업무일지!$B375&lt;&gt;"",업무일지!$AG375="진행중"),MAX(0,TODAY()-업무일지!$B375)*10000+630,"")</f>
        <v/>
      </c>
      <c r="BB371">
        <f>IF(AND(일일실시사항!$B375&lt;&gt;"",일일실시사항!$J375="진행중"),MAX(0,TODAY()-일일실시사항!$B375)*10000+630,"")</f>
        <v/>
      </c>
    </row>
    <row r="372">
      <c r="AZ372">
        <f>IF(AND(업무일지!$B376&lt;&gt;"",업무일지!$AG376="진행중"),MAX(0,TODAY()-업무일지!$B376)*10000+629,"")</f>
        <v/>
      </c>
      <c r="BB372">
        <f>IF(AND(일일실시사항!$B376&lt;&gt;"",일일실시사항!$J376="진행중"),MAX(0,TODAY()-일일실시사항!$B376)*10000+629,"")</f>
        <v/>
      </c>
    </row>
    <row r="373">
      <c r="AZ373">
        <f>IF(AND(업무일지!$B377&lt;&gt;"",업무일지!$AG377="진행중"),MAX(0,TODAY()-업무일지!$B377)*10000+628,"")</f>
        <v/>
      </c>
      <c r="BB373">
        <f>IF(AND(일일실시사항!$B377&lt;&gt;"",일일실시사항!$J377="진행중"),MAX(0,TODAY()-일일실시사항!$B377)*10000+628,"")</f>
        <v/>
      </c>
    </row>
    <row r="374">
      <c r="AZ374">
        <f>IF(AND(업무일지!$B378&lt;&gt;"",업무일지!$AG378="진행중"),MAX(0,TODAY()-업무일지!$B378)*10000+627,"")</f>
        <v/>
      </c>
      <c r="BB374">
        <f>IF(AND(일일실시사항!$B378&lt;&gt;"",일일실시사항!$J378="진행중"),MAX(0,TODAY()-일일실시사항!$B378)*10000+627,"")</f>
        <v/>
      </c>
    </row>
    <row r="375">
      <c r="AZ375">
        <f>IF(AND(업무일지!$B379&lt;&gt;"",업무일지!$AG379="진행중"),MAX(0,TODAY()-업무일지!$B379)*10000+626,"")</f>
        <v/>
      </c>
      <c r="BB375">
        <f>IF(AND(일일실시사항!$B379&lt;&gt;"",일일실시사항!$J379="진행중"),MAX(0,TODAY()-일일실시사항!$B379)*10000+626,"")</f>
        <v/>
      </c>
    </row>
    <row r="376">
      <c r="AZ376">
        <f>IF(AND(업무일지!$B380&lt;&gt;"",업무일지!$AG380="진행중"),MAX(0,TODAY()-업무일지!$B380)*10000+625,"")</f>
        <v/>
      </c>
      <c r="BB376">
        <f>IF(AND(일일실시사항!$B380&lt;&gt;"",일일실시사항!$J380="진행중"),MAX(0,TODAY()-일일실시사항!$B380)*10000+625,"")</f>
        <v/>
      </c>
    </row>
    <row r="377">
      <c r="AZ377">
        <f>IF(AND(업무일지!$B381&lt;&gt;"",업무일지!$AG381="진행중"),MAX(0,TODAY()-업무일지!$B381)*10000+624,"")</f>
        <v/>
      </c>
      <c r="BB377">
        <f>IF(AND(일일실시사항!$B381&lt;&gt;"",일일실시사항!$J381="진행중"),MAX(0,TODAY()-일일실시사항!$B381)*10000+624,"")</f>
        <v/>
      </c>
    </row>
    <row r="378">
      <c r="AZ378">
        <f>IF(AND(업무일지!$B382&lt;&gt;"",업무일지!$AG382="진행중"),MAX(0,TODAY()-업무일지!$B382)*10000+623,"")</f>
        <v/>
      </c>
      <c r="BB378">
        <f>IF(AND(일일실시사항!$B382&lt;&gt;"",일일실시사항!$J382="진행중"),MAX(0,TODAY()-일일실시사항!$B382)*10000+623,"")</f>
        <v/>
      </c>
    </row>
    <row r="379">
      <c r="AZ379">
        <f>IF(AND(업무일지!$B383&lt;&gt;"",업무일지!$AG383="진행중"),MAX(0,TODAY()-업무일지!$B383)*10000+622,"")</f>
        <v/>
      </c>
      <c r="BB379">
        <f>IF(AND(일일실시사항!$B383&lt;&gt;"",일일실시사항!$J383="진행중"),MAX(0,TODAY()-일일실시사항!$B383)*10000+622,"")</f>
        <v/>
      </c>
    </row>
    <row r="380">
      <c r="AZ380">
        <f>IF(AND(업무일지!$B384&lt;&gt;"",업무일지!$AG384="진행중"),MAX(0,TODAY()-업무일지!$B384)*10000+621,"")</f>
        <v/>
      </c>
      <c r="BB380">
        <f>IF(AND(일일실시사항!$B384&lt;&gt;"",일일실시사항!$J384="진행중"),MAX(0,TODAY()-일일실시사항!$B384)*10000+621,"")</f>
        <v/>
      </c>
    </row>
    <row r="381">
      <c r="AZ381">
        <f>IF(AND(업무일지!$B385&lt;&gt;"",업무일지!$AG385="진행중"),MAX(0,TODAY()-업무일지!$B385)*10000+620,"")</f>
        <v/>
      </c>
      <c r="BB381">
        <f>IF(AND(일일실시사항!$B385&lt;&gt;"",일일실시사항!$J385="진행중"),MAX(0,TODAY()-일일실시사항!$B385)*10000+620,"")</f>
        <v/>
      </c>
    </row>
    <row r="382">
      <c r="AZ382">
        <f>IF(AND(업무일지!$B386&lt;&gt;"",업무일지!$AG386="진행중"),MAX(0,TODAY()-업무일지!$B386)*10000+619,"")</f>
        <v/>
      </c>
      <c r="BB382">
        <f>IF(AND(일일실시사항!$B386&lt;&gt;"",일일실시사항!$J386="진행중"),MAX(0,TODAY()-일일실시사항!$B386)*10000+619,"")</f>
        <v/>
      </c>
    </row>
    <row r="383">
      <c r="AZ383">
        <f>IF(AND(업무일지!$B387&lt;&gt;"",업무일지!$AG387="진행중"),MAX(0,TODAY()-업무일지!$B387)*10000+618,"")</f>
        <v/>
      </c>
      <c r="BB383">
        <f>IF(AND(일일실시사항!$B387&lt;&gt;"",일일실시사항!$J387="진행중"),MAX(0,TODAY()-일일실시사항!$B387)*10000+618,"")</f>
        <v/>
      </c>
    </row>
    <row r="384">
      <c r="AZ384">
        <f>IF(AND(업무일지!$B388&lt;&gt;"",업무일지!$AG388="진행중"),MAX(0,TODAY()-업무일지!$B388)*10000+617,"")</f>
        <v/>
      </c>
      <c r="BB384">
        <f>IF(AND(일일실시사항!$B388&lt;&gt;"",일일실시사항!$J388="진행중"),MAX(0,TODAY()-일일실시사항!$B388)*10000+617,"")</f>
        <v/>
      </c>
    </row>
    <row r="385">
      <c r="AZ385">
        <f>IF(AND(업무일지!$B389&lt;&gt;"",업무일지!$AG389="진행중"),MAX(0,TODAY()-업무일지!$B389)*10000+616,"")</f>
        <v/>
      </c>
      <c r="BB385">
        <f>IF(AND(일일실시사항!$B389&lt;&gt;"",일일실시사항!$J389="진행중"),MAX(0,TODAY()-일일실시사항!$B389)*10000+616,"")</f>
        <v/>
      </c>
    </row>
    <row r="386">
      <c r="AZ386">
        <f>IF(AND(업무일지!$B390&lt;&gt;"",업무일지!$AG390="진행중"),MAX(0,TODAY()-업무일지!$B390)*10000+615,"")</f>
        <v/>
      </c>
      <c r="BB386">
        <f>IF(AND(일일실시사항!$B390&lt;&gt;"",일일실시사항!$J390="진행중"),MAX(0,TODAY()-일일실시사항!$B390)*10000+615,"")</f>
        <v/>
      </c>
    </row>
    <row r="387">
      <c r="AZ387">
        <f>IF(AND(업무일지!$B391&lt;&gt;"",업무일지!$AG391="진행중"),MAX(0,TODAY()-업무일지!$B391)*10000+614,"")</f>
        <v/>
      </c>
      <c r="BB387">
        <f>IF(AND(일일실시사항!$B391&lt;&gt;"",일일실시사항!$J391="진행중"),MAX(0,TODAY()-일일실시사항!$B391)*10000+614,"")</f>
        <v/>
      </c>
    </row>
    <row r="388">
      <c r="AZ388">
        <f>IF(AND(업무일지!$B392&lt;&gt;"",업무일지!$AG392="진행중"),MAX(0,TODAY()-업무일지!$B392)*10000+613,"")</f>
        <v/>
      </c>
      <c r="BB388">
        <f>IF(AND(일일실시사항!$B392&lt;&gt;"",일일실시사항!$J392="진행중"),MAX(0,TODAY()-일일실시사항!$B392)*10000+613,"")</f>
        <v/>
      </c>
    </row>
    <row r="389">
      <c r="AZ389">
        <f>IF(AND(업무일지!$B393&lt;&gt;"",업무일지!$AG393="진행중"),MAX(0,TODAY()-업무일지!$B393)*10000+612,"")</f>
        <v/>
      </c>
      <c r="BB389">
        <f>IF(AND(일일실시사항!$B393&lt;&gt;"",일일실시사항!$J393="진행중"),MAX(0,TODAY()-일일실시사항!$B393)*10000+612,"")</f>
        <v/>
      </c>
    </row>
    <row r="390">
      <c r="AZ390">
        <f>IF(AND(업무일지!$B394&lt;&gt;"",업무일지!$AG394="진행중"),MAX(0,TODAY()-업무일지!$B394)*10000+611,"")</f>
        <v/>
      </c>
      <c r="BB390">
        <f>IF(AND(일일실시사항!$B394&lt;&gt;"",일일실시사항!$J394="진행중"),MAX(0,TODAY()-일일실시사항!$B394)*10000+611,"")</f>
        <v/>
      </c>
    </row>
    <row r="391">
      <c r="AZ391">
        <f>IF(AND(업무일지!$B395&lt;&gt;"",업무일지!$AG395="진행중"),MAX(0,TODAY()-업무일지!$B395)*10000+610,"")</f>
        <v/>
      </c>
      <c r="BB391">
        <f>IF(AND(일일실시사항!$B395&lt;&gt;"",일일실시사항!$J395="진행중"),MAX(0,TODAY()-일일실시사항!$B395)*10000+610,"")</f>
        <v/>
      </c>
    </row>
    <row r="392">
      <c r="AZ392">
        <f>IF(AND(업무일지!$B396&lt;&gt;"",업무일지!$AG396="진행중"),MAX(0,TODAY()-업무일지!$B396)*10000+609,"")</f>
        <v/>
      </c>
      <c r="BB392">
        <f>IF(AND(일일실시사항!$B396&lt;&gt;"",일일실시사항!$J396="진행중"),MAX(0,TODAY()-일일실시사항!$B396)*10000+609,"")</f>
        <v/>
      </c>
    </row>
    <row r="393">
      <c r="AZ393">
        <f>IF(AND(업무일지!$B397&lt;&gt;"",업무일지!$AG397="진행중"),MAX(0,TODAY()-업무일지!$B397)*10000+608,"")</f>
        <v/>
      </c>
      <c r="BB393">
        <f>IF(AND(일일실시사항!$B397&lt;&gt;"",일일실시사항!$J397="진행중"),MAX(0,TODAY()-일일실시사항!$B397)*10000+608,"")</f>
        <v/>
      </c>
    </row>
    <row r="394">
      <c r="AZ394">
        <f>IF(AND(업무일지!$B398&lt;&gt;"",업무일지!$AG398="진행중"),MAX(0,TODAY()-업무일지!$B398)*10000+607,"")</f>
        <v/>
      </c>
      <c r="BB394">
        <f>IF(AND(일일실시사항!$B398&lt;&gt;"",일일실시사항!$J398="진행중"),MAX(0,TODAY()-일일실시사항!$B398)*10000+607,"")</f>
        <v/>
      </c>
    </row>
    <row r="395">
      <c r="AZ395">
        <f>IF(AND(업무일지!$B399&lt;&gt;"",업무일지!$AG399="진행중"),MAX(0,TODAY()-업무일지!$B399)*10000+606,"")</f>
        <v/>
      </c>
      <c r="BB395">
        <f>IF(AND(일일실시사항!$B399&lt;&gt;"",일일실시사항!$J399="진행중"),MAX(0,TODAY()-일일실시사항!$B399)*10000+606,"")</f>
        <v/>
      </c>
    </row>
    <row r="396">
      <c r="AZ396">
        <f>IF(AND(업무일지!$B400&lt;&gt;"",업무일지!$AG400="진행중"),MAX(0,TODAY()-업무일지!$B400)*10000+605,"")</f>
        <v/>
      </c>
      <c r="BB396">
        <f>IF(AND(일일실시사항!$B400&lt;&gt;"",일일실시사항!$J400="진행중"),MAX(0,TODAY()-일일실시사항!$B400)*10000+605,"")</f>
        <v/>
      </c>
    </row>
    <row r="397">
      <c r="AZ397">
        <f>IF(AND(업무일지!$B401&lt;&gt;"",업무일지!$AG401="진행중"),MAX(0,TODAY()-업무일지!$B401)*10000+604,"")</f>
        <v/>
      </c>
      <c r="BB397">
        <f>IF(AND(일일실시사항!$B401&lt;&gt;"",일일실시사항!$J401="진행중"),MAX(0,TODAY()-일일실시사항!$B401)*10000+604,"")</f>
        <v/>
      </c>
    </row>
    <row r="398">
      <c r="AZ398">
        <f>IF(AND(업무일지!$B402&lt;&gt;"",업무일지!$AG402="진행중"),MAX(0,TODAY()-업무일지!$B402)*10000+603,"")</f>
        <v/>
      </c>
      <c r="BB398">
        <f>IF(AND(일일실시사항!$B402&lt;&gt;"",일일실시사항!$J402="진행중"),MAX(0,TODAY()-일일실시사항!$B402)*10000+603,"")</f>
        <v/>
      </c>
    </row>
    <row r="399">
      <c r="AZ399">
        <f>IF(AND(업무일지!$B403&lt;&gt;"",업무일지!$AG403="진행중"),MAX(0,TODAY()-업무일지!$B403)*10000+602,"")</f>
        <v/>
      </c>
      <c r="BB399">
        <f>IF(AND(일일실시사항!$B403&lt;&gt;"",일일실시사항!$J403="진행중"),MAX(0,TODAY()-일일실시사항!$B403)*10000+602,"")</f>
        <v/>
      </c>
    </row>
    <row r="400">
      <c r="AZ400">
        <f>IF(AND(업무일지!$B404&lt;&gt;"",업무일지!$AG404="진행중"),MAX(0,TODAY()-업무일지!$B404)*10000+601,"")</f>
        <v/>
      </c>
      <c r="BB400">
        <f>IF(AND(일일실시사항!$B404&lt;&gt;"",일일실시사항!$J404="진행중"),MAX(0,TODAY()-일일실시사항!$B404)*10000+601,"")</f>
        <v/>
      </c>
    </row>
    <row r="401">
      <c r="AZ401">
        <f>IF(AND(업무일지!$B405&lt;&gt;"",업무일지!$AG405="진행중"),MAX(0,TODAY()-업무일지!$B405)*10000+600,"")</f>
        <v/>
      </c>
      <c r="BB401">
        <f>IF(AND(일일실시사항!$B405&lt;&gt;"",일일실시사항!$J405="진행중"),MAX(0,TODAY()-일일실시사항!$B405)*10000+600,"")</f>
        <v/>
      </c>
    </row>
    <row r="402">
      <c r="AZ402">
        <f>IF(AND(업무일지!$B406&lt;&gt;"",업무일지!$AG406="진행중"),MAX(0,TODAY()-업무일지!$B406)*10000+599,"")</f>
        <v/>
      </c>
      <c r="BB402">
        <f>IF(AND(일일실시사항!$B406&lt;&gt;"",일일실시사항!$J406="진행중"),MAX(0,TODAY()-일일실시사항!$B406)*10000+599,"")</f>
        <v/>
      </c>
    </row>
    <row r="403">
      <c r="AZ403">
        <f>IF(AND(업무일지!$B407&lt;&gt;"",업무일지!$AG407="진행중"),MAX(0,TODAY()-업무일지!$B407)*10000+598,"")</f>
        <v/>
      </c>
      <c r="BB403">
        <f>IF(AND(일일실시사항!$B407&lt;&gt;"",일일실시사항!$J407="진행중"),MAX(0,TODAY()-일일실시사항!$B407)*10000+598,"")</f>
        <v/>
      </c>
    </row>
    <row r="404">
      <c r="AZ404">
        <f>IF(AND(업무일지!$B408&lt;&gt;"",업무일지!$AG408="진행중"),MAX(0,TODAY()-업무일지!$B408)*10000+597,"")</f>
        <v/>
      </c>
      <c r="BB404">
        <f>IF(AND(일일실시사항!$B408&lt;&gt;"",일일실시사항!$J408="진행중"),MAX(0,TODAY()-일일실시사항!$B408)*10000+597,"")</f>
        <v/>
      </c>
    </row>
    <row r="405">
      <c r="AZ405">
        <f>IF(AND(업무일지!$B409&lt;&gt;"",업무일지!$AG409="진행중"),MAX(0,TODAY()-업무일지!$B409)*10000+596,"")</f>
        <v/>
      </c>
      <c r="BB405">
        <f>IF(AND(일일실시사항!$B409&lt;&gt;"",일일실시사항!$J409="진행중"),MAX(0,TODAY()-일일실시사항!$B409)*10000+596,"")</f>
        <v/>
      </c>
    </row>
    <row r="406">
      <c r="AZ406">
        <f>IF(AND(업무일지!$B410&lt;&gt;"",업무일지!$AG410="진행중"),MAX(0,TODAY()-업무일지!$B410)*10000+595,"")</f>
        <v/>
      </c>
      <c r="BB406">
        <f>IF(AND(일일실시사항!$B410&lt;&gt;"",일일실시사항!$J410="진행중"),MAX(0,TODAY()-일일실시사항!$B410)*10000+595,"")</f>
        <v/>
      </c>
    </row>
    <row r="407">
      <c r="AZ407">
        <f>IF(AND(업무일지!$B411&lt;&gt;"",업무일지!$AG411="진행중"),MAX(0,TODAY()-업무일지!$B411)*10000+594,"")</f>
        <v/>
      </c>
      <c r="BB407">
        <f>IF(AND(일일실시사항!$B411&lt;&gt;"",일일실시사항!$J411="진행중"),MAX(0,TODAY()-일일실시사항!$B411)*10000+594,"")</f>
        <v/>
      </c>
    </row>
    <row r="408">
      <c r="AZ408">
        <f>IF(AND(업무일지!$B412&lt;&gt;"",업무일지!$AG412="진행중"),MAX(0,TODAY()-업무일지!$B412)*10000+593,"")</f>
        <v/>
      </c>
      <c r="BB408">
        <f>IF(AND(일일실시사항!$B412&lt;&gt;"",일일실시사항!$J412="진행중"),MAX(0,TODAY()-일일실시사항!$B412)*10000+593,"")</f>
        <v/>
      </c>
    </row>
    <row r="409">
      <c r="AZ409">
        <f>IF(AND(업무일지!$B413&lt;&gt;"",업무일지!$AG413="진행중"),MAX(0,TODAY()-업무일지!$B413)*10000+592,"")</f>
        <v/>
      </c>
      <c r="BB409">
        <f>IF(AND(일일실시사항!$B413&lt;&gt;"",일일실시사항!$J413="진행중"),MAX(0,TODAY()-일일실시사항!$B413)*10000+592,"")</f>
        <v/>
      </c>
    </row>
    <row r="410">
      <c r="AZ410">
        <f>IF(AND(업무일지!$B414&lt;&gt;"",업무일지!$AG414="진행중"),MAX(0,TODAY()-업무일지!$B414)*10000+591,"")</f>
        <v/>
      </c>
      <c r="BB410">
        <f>IF(AND(일일실시사항!$B414&lt;&gt;"",일일실시사항!$J414="진행중"),MAX(0,TODAY()-일일실시사항!$B414)*10000+591,"")</f>
        <v/>
      </c>
    </row>
    <row r="411">
      <c r="AZ411">
        <f>IF(AND(업무일지!$B415&lt;&gt;"",업무일지!$AG415="진행중"),MAX(0,TODAY()-업무일지!$B415)*10000+590,"")</f>
        <v/>
      </c>
      <c r="BB411">
        <f>IF(AND(일일실시사항!$B415&lt;&gt;"",일일실시사항!$J415="진행중"),MAX(0,TODAY()-일일실시사항!$B415)*10000+590,"")</f>
        <v/>
      </c>
    </row>
    <row r="412">
      <c r="AZ412">
        <f>IF(AND(업무일지!$B416&lt;&gt;"",업무일지!$AG416="진행중"),MAX(0,TODAY()-업무일지!$B416)*10000+589,"")</f>
        <v/>
      </c>
      <c r="BB412">
        <f>IF(AND(일일실시사항!$B416&lt;&gt;"",일일실시사항!$J416="진행중"),MAX(0,TODAY()-일일실시사항!$B416)*10000+589,"")</f>
        <v/>
      </c>
    </row>
    <row r="413">
      <c r="AZ413">
        <f>IF(AND(업무일지!$B417&lt;&gt;"",업무일지!$AG417="진행중"),MAX(0,TODAY()-업무일지!$B417)*10000+588,"")</f>
        <v/>
      </c>
      <c r="BB413">
        <f>IF(AND(일일실시사항!$B417&lt;&gt;"",일일실시사항!$J417="진행중"),MAX(0,TODAY()-일일실시사항!$B417)*10000+588,"")</f>
        <v/>
      </c>
    </row>
    <row r="414">
      <c r="AZ414">
        <f>IF(AND(업무일지!$B418&lt;&gt;"",업무일지!$AG418="진행중"),MAX(0,TODAY()-업무일지!$B418)*10000+587,"")</f>
        <v/>
      </c>
      <c r="BB414">
        <f>IF(AND(일일실시사항!$B418&lt;&gt;"",일일실시사항!$J418="진행중"),MAX(0,TODAY()-일일실시사항!$B418)*10000+587,"")</f>
        <v/>
      </c>
    </row>
    <row r="415">
      <c r="AZ415">
        <f>IF(AND(업무일지!$B419&lt;&gt;"",업무일지!$AG419="진행중"),MAX(0,TODAY()-업무일지!$B419)*10000+586,"")</f>
        <v/>
      </c>
      <c r="BB415">
        <f>IF(AND(일일실시사항!$B419&lt;&gt;"",일일실시사항!$J419="진행중"),MAX(0,TODAY()-일일실시사항!$B419)*10000+586,"")</f>
        <v/>
      </c>
    </row>
    <row r="416">
      <c r="AZ416">
        <f>IF(AND(업무일지!$B420&lt;&gt;"",업무일지!$AG420="진행중"),MAX(0,TODAY()-업무일지!$B420)*10000+585,"")</f>
        <v/>
      </c>
      <c r="BB416">
        <f>IF(AND(일일실시사항!$B420&lt;&gt;"",일일실시사항!$J420="진행중"),MAX(0,TODAY()-일일실시사항!$B420)*10000+585,"")</f>
        <v/>
      </c>
    </row>
    <row r="417">
      <c r="AZ417">
        <f>IF(AND(업무일지!$B421&lt;&gt;"",업무일지!$AG421="진행중"),MAX(0,TODAY()-업무일지!$B421)*10000+584,"")</f>
        <v/>
      </c>
      <c r="BB417">
        <f>IF(AND(일일실시사항!$B421&lt;&gt;"",일일실시사항!$J421="진행중"),MAX(0,TODAY()-일일실시사항!$B421)*10000+584,"")</f>
        <v/>
      </c>
    </row>
    <row r="418">
      <c r="AZ418">
        <f>IF(AND(업무일지!$B422&lt;&gt;"",업무일지!$AG422="진행중"),MAX(0,TODAY()-업무일지!$B422)*10000+583,"")</f>
        <v/>
      </c>
      <c r="BB418">
        <f>IF(AND(일일실시사항!$B422&lt;&gt;"",일일실시사항!$J422="진행중"),MAX(0,TODAY()-일일실시사항!$B422)*10000+583,"")</f>
        <v/>
      </c>
    </row>
    <row r="419">
      <c r="AZ419">
        <f>IF(AND(업무일지!$B423&lt;&gt;"",업무일지!$AG423="진행중"),MAX(0,TODAY()-업무일지!$B423)*10000+582,"")</f>
        <v/>
      </c>
      <c r="BB419">
        <f>IF(AND(일일실시사항!$B423&lt;&gt;"",일일실시사항!$J423="진행중"),MAX(0,TODAY()-일일실시사항!$B423)*10000+582,"")</f>
        <v/>
      </c>
    </row>
    <row r="420">
      <c r="AZ420">
        <f>IF(AND(업무일지!$B424&lt;&gt;"",업무일지!$AG424="진행중"),MAX(0,TODAY()-업무일지!$B424)*10000+581,"")</f>
        <v/>
      </c>
      <c r="BB420">
        <f>IF(AND(일일실시사항!$B424&lt;&gt;"",일일실시사항!$J424="진행중"),MAX(0,TODAY()-일일실시사항!$B424)*10000+581,"")</f>
        <v/>
      </c>
    </row>
    <row r="421">
      <c r="AZ421">
        <f>IF(AND(업무일지!$B425&lt;&gt;"",업무일지!$AG425="진행중"),MAX(0,TODAY()-업무일지!$B425)*10000+580,"")</f>
        <v/>
      </c>
      <c r="BB421">
        <f>IF(AND(일일실시사항!$B425&lt;&gt;"",일일실시사항!$J425="진행중"),MAX(0,TODAY()-일일실시사항!$B425)*10000+580,"")</f>
        <v/>
      </c>
    </row>
    <row r="422">
      <c r="AZ422">
        <f>IF(AND(업무일지!$B426&lt;&gt;"",업무일지!$AG426="진행중"),MAX(0,TODAY()-업무일지!$B426)*10000+579,"")</f>
        <v/>
      </c>
      <c r="BB422">
        <f>IF(AND(일일실시사항!$B426&lt;&gt;"",일일실시사항!$J426="진행중"),MAX(0,TODAY()-일일실시사항!$B426)*10000+579,"")</f>
        <v/>
      </c>
    </row>
    <row r="423">
      <c r="AZ423">
        <f>IF(AND(업무일지!$B427&lt;&gt;"",업무일지!$AG427="진행중"),MAX(0,TODAY()-업무일지!$B427)*10000+578,"")</f>
        <v/>
      </c>
      <c r="BB423">
        <f>IF(AND(일일실시사항!$B427&lt;&gt;"",일일실시사항!$J427="진행중"),MAX(0,TODAY()-일일실시사항!$B427)*10000+578,"")</f>
        <v/>
      </c>
    </row>
    <row r="424">
      <c r="AZ424">
        <f>IF(AND(업무일지!$B428&lt;&gt;"",업무일지!$AG428="진행중"),MAX(0,TODAY()-업무일지!$B428)*10000+577,"")</f>
        <v/>
      </c>
      <c r="BB424">
        <f>IF(AND(일일실시사항!$B428&lt;&gt;"",일일실시사항!$J428="진행중"),MAX(0,TODAY()-일일실시사항!$B428)*10000+577,"")</f>
        <v/>
      </c>
    </row>
    <row r="425">
      <c r="AZ425">
        <f>IF(AND(업무일지!$B429&lt;&gt;"",업무일지!$AG429="진행중"),MAX(0,TODAY()-업무일지!$B429)*10000+576,"")</f>
        <v/>
      </c>
      <c r="BB425">
        <f>IF(AND(일일실시사항!$B429&lt;&gt;"",일일실시사항!$J429="진행중"),MAX(0,TODAY()-일일실시사항!$B429)*10000+576,"")</f>
        <v/>
      </c>
    </row>
    <row r="426">
      <c r="AZ426">
        <f>IF(AND(업무일지!$B430&lt;&gt;"",업무일지!$AG430="진행중"),MAX(0,TODAY()-업무일지!$B430)*10000+575,"")</f>
        <v/>
      </c>
      <c r="BB426">
        <f>IF(AND(일일실시사항!$B430&lt;&gt;"",일일실시사항!$J430="진행중"),MAX(0,TODAY()-일일실시사항!$B430)*10000+575,"")</f>
        <v/>
      </c>
    </row>
    <row r="427">
      <c r="AZ427">
        <f>IF(AND(업무일지!$B431&lt;&gt;"",업무일지!$AG431="진행중"),MAX(0,TODAY()-업무일지!$B431)*10000+574,"")</f>
        <v/>
      </c>
      <c r="BB427">
        <f>IF(AND(일일실시사항!$B431&lt;&gt;"",일일실시사항!$J431="진행중"),MAX(0,TODAY()-일일실시사항!$B431)*10000+574,"")</f>
        <v/>
      </c>
    </row>
    <row r="428">
      <c r="AZ428">
        <f>IF(AND(업무일지!$B432&lt;&gt;"",업무일지!$AG432="진행중"),MAX(0,TODAY()-업무일지!$B432)*10000+573,"")</f>
        <v/>
      </c>
      <c r="BB428">
        <f>IF(AND(일일실시사항!$B432&lt;&gt;"",일일실시사항!$J432="진행중"),MAX(0,TODAY()-일일실시사항!$B432)*10000+573,"")</f>
        <v/>
      </c>
    </row>
    <row r="429">
      <c r="AZ429">
        <f>IF(AND(업무일지!$B433&lt;&gt;"",업무일지!$AG433="진행중"),MAX(0,TODAY()-업무일지!$B433)*10000+572,"")</f>
        <v/>
      </c>
      <c r="BB429">
        <f>IF(AND(일일실시사항!$B433&lt;&gt;"",일일실시사항!$J433="진행중"),MAX(0,TODAY()-일일실시사항!$B433)*10000+572,"")</f>
        <v/>
      </c>
    </row>
    <row r="430">
      <c r="AZ430">
        <f>IF(AND(업무일지!$B434&lt;&gt;"",업무일지!$AG434="진행중"),MAX(0,TODAY()-업무일지!$B434)*10000+571,"")</f>
        <v/>
      </c>
      <c r="BB430">
        <f>IF(AND(일일실시사항!$B434&lt;&gt;"",일일실시사항!$J434="진행중"),MAX(0,TODAY()-일일실시사항!$B434)*10000+571,"")</f>
        <v/>
      </c>
    </row>
    <row r="431">
      <c r="AZ431">
        <f>IF(AND(업무일지!$B435&lt;&gt;"",업무일지!$AG435="진행중"),MAX(0,TODAY()-업무일지!$B435)*10000+570,"")</f>
        <v/>
      </c>
      <c r="BB431">
        <f>IF(AND(일일실시사항!$B435&lt;&gt;"",일일실시사항!$J435="진행중"),MAX(0,TODAY()-일일실시사항!$B435)*10000+570,"")</f>
        <v/>
      </c>
    </row>
    <row r="432">
      <c r="AZ432">
        <f>IF(AND(업무일지!$B436&lt;&gt;"",업무일지!$AG436="진행중"),MAX(0,TODAY()-업무일지!$B436)*10000+569,"")</f>
        <v/>
      </c>
      <c r="BB432">
        <f>IF(AND(일일실시사항!$B436&lt;&gt;"",일일실시사항!$J436="진행중"),MAX(0,TODAY()-일일실시사항!$B436)*10000+569,"")</f>
        <v/>
      </c>
    </row>
    <row r="433">
      <c r="AZ433">
        <f>IF(AND(업무일지!$B437&lt;&gt;"",업무일지!$AG437="진행중"),MAX(0,TODAY()-업무일지!$B437)*10000+568,"")</f>
        <v/>
      </c>
      <c r="BB433">
        <f>IF(AND(일일실시사항!$B437&lt;&gt;"",일일실시사항!$J437="진행중"),MAX(0,TODAY()-일일실시사항!$B437)*10000+568,"")</f>
        <v/>
      </c>
    </row>
    <row r="434">
      <c r="AZ434">
        <f>IF(AND(업무일지!$B438&lt;&gt;"",업무일지!$AG438="진행중"),MAX(0,TODAY()-업무일지!$B438)*10000+567,"")</f>
        <v/>
      </c>
      <c r="BB434">
        <f>IF(AND(일일실시사항!$B438&lt;&gt;"",일일실시사항!$J438="진행중"),MAX(0,TODAY()-일일실시사항!$B438)*10000+567,"")</f>
        <v/>
      </c>
    </row>
    <row r="435">
      <c r="AZ435">
        <f>IF(AND(업무일지!$B439&lt;&gt;"",업무일지!$AG439="진행중"),MAX(0,TODAY()-업무일지!$B439)*10000+566,"")</f>
        <v/>
      </c>
      <c r="BB435">
        <f>IF(AND(일일실시사항!$B439&lt;&gt;"",일일실시사항!$J439="진행중"),MAX(0,TODAY()-일일실시사항!$B439)*10000+566,"")</f>
        <v/>
      </c>
    </row>
    <row r="436">
      <c r="AZ436">
        <f>IF(AND(업무일지!$B440&lt;&gt;"",업무일지!$AG440="진행중"),MAX(0,TODAY()-업무일지!$B440)*10000+565,"")</f>
        <v/>
      </c>
      <c r="BB436">
        <f>IF(AND(일일실시사항!$B440&lt;&gt;"",일일실시사항!$J440="진행중"),MAX(0,TODAY()-일일실시사항!$B440)*10000+565,"")</f>
        <v/>
      </c>
    </row>
    <row r="437">
      <c r="AZ437">
        <f>IF(AND(업무일지!$B441&lt;&gt;"",업무일지!$AG441="진행중"),MAX(0,TODAY()-업무일지!$B441)*10000+564,"")</f>
        <v/>
      </c>
      <c r="BB437">
        <f>IF(AND(일일실시사항!$B441&lt;&gt;"",일일실시사항!$J441="진행중"),MAX(0,TODAY()-일일실시사항!$B441)*10000+564,"")</f>
        <v/>
      </c>
    </row>
    <row r="438">
      <c r="AZ438">
        <f>IF(AND(업무일지!$B442&lt;&gt;"",업무일지!$AG442="진행중"),MAX(0,TODAY()-업무일지!$B442)*10000+563,"")</f>
        <v/>
      </c>
      <c r="BB438">
        <f>IF(AND(일일실시사항!$B442&lt;&gt;"",일일실시사항!$J442="진행중"),MAX(0,TODAY()-일일실시사항!$B442)*10000+563,"")</f>
        <v/>
      </c>
    </row>
    <row r="439">
      <c r="AZ439">
        <f>IF(AND(업무일지!$B443&lt;&gt;"",업무일지!$AG443="진행중"),MAX(0,TODAY()-업무일지!$B443)*10000+562,"")</f>
        <v/>
      </c>
      <c r="BB439">
        <f>IF(AND(일일실시사항!$B443&lt;&gt;"",일일실시사항!$J443="진행중"),MAX(0,TODAY()-일일실시사항!$B443)*10000+562,"")</f>
        <v/>
      </c>
    </row>
    <row r="440">
      <c r="AZ440">
        <f>IF(AND(업무일지!$B444&lt;&gt;"",업무일지!$AG444="진행중"),MAX(0,TODAY()-업무일지!$B444)*10000+561,"")</f>
        <v/>
      </c>
      <c r="BB440">
        <f>IF(AND(일일실시사항!$B444&lt;&gt;"",일일실시사항!$J444="진행중"),MAX(0,TODAY()-일일실시사항!$B444)*10000+561,"")</f>
        <v/>
      </c>
    </row>
    <row r="441">
      <c r="AZ441">
        <f>IF(AND(업무일지!$B445&lt;&gt;"",업무일지!$AG445="진행중"),MAX(0,TODAY()-업무일지!$B445)*10000+560,"")</f>
        <v/>
      </c>
      <c r="BB441">
        <f>IF(AND(일일실시사항!$B445&lt;&gt;"",일일실시사항!$J445="진행중"),MAX(0,TODAY()-일일실시사항!$B445)*10000+560,"")</f>
        <v/>
      </c>
    </row>
    <row r="442">
      <c r="AZ442">
        <f>IF(AND(업무일지!$B446&lt;&gt;"",업무일지!$AG446="진행중"),MAX(0,TODAY()-업무일지!$B446)*10000+559,"")</f>
        <v/>
      </c>
      <c r="BB442">
        <f>IF(AND(일일실시사항!$B446&lt;&gt;"",일일실시사항!$J446="진행중"),MAX(0,TODAY()-일일실시사항!$B446)*10000+559,"")</f>
        <v/>
      </c>
    </row>
    <row r="443">
      <c r="AZ443">
        <f>IF(AND(업무일지!$B447&lt;&gt;"",업무일지!$AG447="진행중"),MAX(0,TODAY()-업무일지!$B447)*10000+558,"")</f>
        <v/>
      </c>
      <c r="BB443">
        <f>IF(AND(일일실시사항!$B447&lt;&gt;"",일일실시사항!$J447="진행중"),MAX(0,TODAY()-일일실시사항!$B447)*10000+558,"")</f>
        <v/>
      </c>
    </row>
    <row r="444">
      <c r="AZ444">
        <f>IF(AND(업무일지!$B448&lt;&gt;"",업무일지!$AG448="진행중"),MAX(0,TODAY()-업무일지!$B448)*10000+557,"")</f>
        <v/>
      </c>
      <c r="BB444">
        <f>IF(AND(일일실시사항!$B448&lt;&gt;"",일일실시사항!$J448="진행중"),MAX(0,TODAY()-일일실시사항!$B448)*10000+557,"")</f>
        <v/>
      </c>
    </row>
    <row r="445">
      <c r="AZ445">
        <f>IF(AND(업무일지!$B449&lt;&gt;"",업무일지!$AG449="진행중"),MAX(0,TODAY()-업무일지!$B449)*10000+556,"")</f>
        <v/>
      </c>
      <c r="BB445">
        <f>IF(AND(일일실시사항!$B449&lt;&gt;"",일일실시사항!$J449="진행중"),MAX(0,TODAY()-일일실시사항!$B449)*10000+556,"")</f>
        <v/>
      </c>
    </row>
    <row r="446">
      <c r="AZ446">
        <f>IF(AND(업무일지!$B450&lt;&gt;"",업무일지!$AG450="진행중"),MAX(0,TODAY()-업무일지!$B450)*10000+555,"")</f>
        <v/>
      </c>
      <c r="BB446">
        <f>IF(AND(일일실시사항!$B450&lt;&gt;"",일일실시사항!$J450="진행중"),MAX(0,TODAY()-일일실시사항!$B450)*10000+555,"")</f>
        <v/>
      </c>
    </row>
    <row r="447">
      <c r="AZ447">
        <f>IF(AND(업무일지!$B451&lt;&gt;"",업무일지!$AG451="진행중"),MAX(0,TODAY()-업무일지!$B451)*10000+554,"")</f>
        <v/>
      </c>
      <c r="BB447">
        <f>IF(AND(일일실시사항!$B451&lt;&gt;"",일일실시사항!$J451="진행중"),MAX(0,TODAY()-일일실시사항!$B451)*10000+554,"")</f>
        <v/>
      </c>
    </row>
    <row r="448">
      <c r="AZ448">
        <f>IF(AND(업무일지!$B452&lt;&gt;"",업무일지!$AG452="진행중"),MAX(0,TODAY()-업무일지!$B452)*10000+553,"")</f>
        <v/>
      </c>
      <c r="BB448">
        <f>IF(AND(일일실시사항!$B452&lt;&gt;"",일일실시사항!$J452="진행중"),MAX(0,TODAY()-일일실시사항!$B452)*10000+553,"")</f>
        <v/>
      </c>
    </row>
    <row r="449">
      <c r="AZ449">
        <f>IF(AND(업무일지!$B453&lt;&gt;"",업무일지!$AG453="진행중"),MAX(0,TODAY()-업무일지!$B453)*10000+552,"")</f>
        <v/>
      </c>
      <c r="BB449">
        <f>IF(AND(일일실시사항!$B453&lt;&gt;"",일일실시사항!$J453="진행중"),MAX(0,TODAY()-일일실시사항!$B453)*10000+552,"")</f>
        <v/>
      </c>
    </row>
    <row r="450">
      <c r="AZ450">
        <f>IF(AND(업무일지!$B454&lt;&gt;"",업무일지!$AG454="진행중"),MAX(0,TODAY()-업무일지!$B454)*10000+551,"")</f>
        <v/>
      </c>
      <c r="BB450">
        <f>IF(AND(일일실시사항!$B454&lt;&gt;"",일일실시사항!$J454="진행중"),MAX(0,TODAY()-일일실시사항!$B454)*10000+551,"")</f>
        <v/>
      </c>
    </row>
    <row r="451">
      <c r="AZ451">
        <f>IF(AND(업무일지!$B455&lt;&gt;"",업무일지!$AG455="진행중"),MAX(0,TODAY()-업무일지!$B455)*10000+550,"")</f>
        <v/>
      </c>
      <c r="BB451">
        <f>IF(AND(일일실시사항!$B455&lt;&gt;"",일일실시사항!$J455="진행중"),MAX(0,TODAY()-일일실시사항!$B455)*10000+550,"")</f>
        <v/>
      </c>
    </row>
    <row r="452">
      <c r="AZ452">
        <f>IF(AND(업무일지!$B456&lt;&gt;"",업무일지!$AG456="진행중"),MAX(0,TODAY()-업무일지!$B456)*10000+549,"")</f>
        <v/>
      </c>
      <c r="BB452">
        <f>IF(AND(일일실시사항!$B456&lt;&gt;"",일일실시사항!$J456="진행중"),MAX(0,TODAY()-일일실시사항!$B456)*10000+549,"")</f>
        <v/>
      </c>
    </row>
    <row r="453">
      <c r="AZ453">
        <f>IF(AND(업무일지!$B457&lt;&gt;"",업무일지!$AG457="진행중"),MAX(0,TODAY()-업무일지!$B457)*10000+548,"")</f>
        <v/>
      </c>
      <c r="BB453">
        <f>IF(AND(일일실시사항!$B457&lt;&gt;"",일일실시사항!$J457="진행중"),MAX(0,TODAY()-일일실시사항!$B457)*10000+548,"")</f>
        <v/>
      </c>
    </row>
    <row r="454">
      <c r="AZ454">
        <f>IF(AND(업무일지!$B458&lt;&gt;"",업무일지!$AG458="진행중"),MAX(0,TODAY()-업무일지!$B458)*10000+547,"")</f>
        <v/>
      </c>
      <c r="BB454">
        <f>IF(AND(일일실시사항!$B458&lt;&gt;"",일일실시사항!$J458="진행중"),MAX(0,TODAY()-일일실시사항!$B458)*10000+547,"")</f>
        <v/>
      </c>
    </row>
    <row r="455">
      <c r="AZ455">
        <f>IF(AND(업무일지!$B459&lt;&gt;"",업무일지!$AG459="진행중"),MAX(0,TODAY()-업무일지!$B459)*10000+546,"")</f>
        <v/>
      </c>
      <c r="BB455">
        <f>IF(AND(일일실시사항!$B459&lt;&gt;"",일일실시사항!$J459="진행중"),MAX(0,TODAY()-일일실시사항!$B459)*10000+546,"")</f>
        <v/>
      </c>
    </row>
    <row r="456">
      <c r="AZ456">
        <f>IF(AND(업무일지!$B460&lt;&gt;"",업무일지!$AG460="진행중"),MAX(0,TODAY()-업무일지!$B460)*10000+545,"")</f>
        <v/>
      </c>
      <c r="BB456">
        <f>IF(AND(일일실시사항!$B460&lt;&gt;"",일일실시사항!$J460="진행중"),MAX(0,TODAY()-일일실시사항!$B460)*10000+545,"")</f>
        <v/>
      </c>
    </row>
    <row r="457">
      <c r="AZ457">
        <f>IF(AND(업무일지!$B461&lt;&gt;"",업무일지!$AG461="진행중"),MAX(0,TODAY()-업무일지!$B461)*10000+544,"")</f>
        <v/>
      </c>
      <c r="BB457">
        <f>IF(AND(일일실시사항!$B461&lt;&gt;"",일일실시사항!$J461="진행중"),MAX(0,TODAY()-일일실시사항!$B461)*10000+544,"")</f>
        <v/>
      </c>
    </row>
    <row r="458">
      <c r="AZ458">
        <f>IF(AND(업무일지!$B462&lt;&gt;"",업무일지!$AG462="진행중"),MAX(0,TODAY()-업무일지!$B462)*10000+543,"")</f>
        <v/>
      </c>
      <c r="BB458">
        <f>IF(AND(일일실시사항!$B462&lt;&gt;"",일일실시사항!$J462="진행중"),MAX(0,TODAY()-일일실시사항!$B462)*10000+543,"")</f>
        <v/>
      </c>
    </row>
    <row r="459">
      <c r="AZ459">
        <f>IF(AND(업무일지!$B463&lt;&gt;"",업무일지!$AG463="진행중"),MAX(0,TODAY()-업무일지!$B463)*10000+542,"")</f>
        <v/>
      </c>
      <c r="BB459">
        <f>IF(AND(일일실시사항!$B463&lt;&gt;"",일일실시사항!$J463="진행중"),MAX(0,TODAY()-일일실시사항!$B463)*10000+542,"")</f>
        <v/>
      </c>
    </row>
    <row r="460">
      <c r="AZ460">
        <f>IF(AND(업무일지!$B464&lt;&gt;"",업무일지!$AG464="진행중"),MAX(0,TODAY()-업무일지!$B464)*10000+541,"")</f>
        <v/>
      </c>
      <c r="BB460">
        <f>IF(AND(일일실시사항!$B464&lt;&gt;"",일일실시사항!$J464="진행중"),MAX(0,TODAY()-일일실시사항!$B464)*10000+541,"")</f>
        <v/>
      </c>
    </row>
    <row r="461">
      <c r="AZ461">
        <f>IF(AND(업무일지!$B465&lt;&gt;"",업무일지!$AG465="진행중"),MAX(0,TODAY()-업무일지!$B465)*10000+540,"")</f>
        <v/>
      </c>
      <c r="BB461">
        <f>IF(AND(일일실시사항!$B465&lt;&gt;"",일일실시사항!$J465="진행중"),MAX(0,TODAY()-일일실시사항!$B465)*10000+540,"")</f>
        <v/>
      </c>
    </row>
    <row r="462">
      <c r="AZ462">
        <f>IF(AND(업무일지!$B466&lt;&gt;"",업무일지!$AG466="진행중"),MAX(0,TODAY()-업무일지!$B466)*10000+539,"")</f>
        <v/>
      </c>
      <c r="BB462">
        <f>IF(AND(일일실시사항!$B466&lt;&gt;"",일일실시사항!$J466="진행중"),MAX(0,TODAY()-일일실시사항!$B466)*10000+539,"")</f>
        <v/>
      </c>
    </row>
    <row r="463">
      <c r="AZ463">
        <f>IF(AND(업무일지!$B467&lt;&gt;"",업무일지!$AG467="진행중"),MAX(0,TODAY()-업무일지!$B467)*10000+538,"")</f>
        <v/>
      </c>
      <c r="BB463">
        <f>IF(AND(일일실시사항!$B467&lt;&gt;"",일일실시사항!$J467="진행중"),MAX(0,TODAY()-일일실시사항!$B467)*10000+538,"")</f>
        <v/>
      </c>
    </row>
    <row r="464">
      <c r="AZ464">
        <f>IF(AND(업무일지!$B468&lt;&gt;"",업무일지!$AG468="진행중"),MAX(0,TODAY()-업무일지!$B468)*10000+537,"")</f>
        <v/>
      </c>
      <c r="BB464">
        <f>IF(AND(일일실시사항!$B468&lt;&gt;"",일일실시사항!$J468="진행중"),MAX(0,TODAY()-일일실시사항!$B468)*10000+537,"")</f>
        <v/>
      </c>
    </row>
    <row r="465">
      <c r="AZ465">
        <f>IF(AND(업무일지!$B469&lt;&gt;"",업무일지!$AG469="진행중"),MAX(0,TODAY()-업무일지!$B469)*10000+536,"")</f>
        <v/>
      </c>
      <c r="BB465">
        <f>IF(AND(일일실시사항!$B469&lt;&gt;"",일일실시사항!$J469="진행중"),MAX(0,TODAY()-일일실시사항!$B469)*10000+536,"")</f>
        <v/>
      </c>
    </row>
    <row r="466">
      <c r="AZ466">
        <f>IF(AND(업무일지!$B470&lt;&gt;"",업무일지!$AG470="진행중"),MAX(0,TODAY()-업무일지!$B470)*10000+535,"")</f>
        <v/>
      </c>
      <c r="BB466">
        <f>IF(AND(일일실시사항!$B470&lt;&gt;"",일일실시사항!$J470="진행중"),MAX(0,TODAY()-일일실시사항!$B470)*10000+535,"")</f>
        <v/>
      </c>
    </row>
    <row r="467">
      <c r="AZ467">
        <f>IF(AND(업무일지!$B471&lt;&gt;"",업무일지!$AG471="진행중"),MAX(0,TODAY()-업무일지!$B471)*10000+534,"")</f>
        <v/>
      </c>
      <c r="BB467">
        <f>IF(AND(일일실시사항!$B471&lt;&gt;"",일일실시사항!$J471="진행중"),MAX(0,TODAY()-일일실시사항!$B471)*10000+534,"")</f>
        <v/>
      </c>
    </row>
    <row r="468">
      <c r="AZ468">
        <f>IF(AND(업무일지!$B472&lt;&gt;"",업무일지!$AG472="진행중"),MAX(0,TODAY()-업무일지!$B472)*10000+533,"")</f>
        <v/>
      </c>
      <c r="BB468">
        <f>IF(AND(일일실시사항!$B472&lt;&gt;"",일일실시사항!$J472="진행중"),MAX(0,TODAY()-일일실시사항!$B472)*10000+533,"")</f>
        <v/>
      </c>
    </row>
    <row r="469">
      <c r="AZ469">
        <f>IF(AND(업무일지!$B473&lt;&gt;"",업무일지!$AG473="진행중"),MAX(0,TODAY()-업무일지!$B473)*10000+532,"")</f>
        <v/>
      </c>
      <c r="BB469">
        <f>IF(AND(일일실시사항!$B473&lt;&gt;"",일일실시사항!$J473="진행중"),MAX(0,TODAY()-일일실시사항!$B473)*10000+532,"")</f>
        <v/>
      </c>
    </row>
    <row r="470">
      <c r="AZ470">
        <f>IF(AND(업무일지!$B474&lt;&gt;"",업무일지!$AG474="진행중"),MAX(0,TODAY()-업무일지!$B474)*10000+531,"")</f>
        <v/>
      </c>
      <c r="BB470">
        <f>IF(AND(일일실시사항!$B474&lt;&gt;"",일일실시사항!$J474="진행중"),MAX(0,TODAY()-일일실시사항!$B474)*10000+531,"")</f>
        <v/>
      </c>
    </row>
    <row r="471">
      <c r="AZ471">
        <f>IF(AND(업무일지!$B475&lt;&gt;"",업무일지!$AG475="진행중"),MAX(0,TODAY()-업무일지!$B475)*10000+530,"")</f>
        <v/>
      </c>
      <c r="BB471">
        <f>IF(AND(일일실시사항!$B475&lt;&gt;"",일일실시사항!$J475="진행중"),MAX(0,TODAY()-일일실시사항!$B475)*10000+530,"")</f>
        <v/>
      </c>
    </row>
    <row r="472">
      <c r="AZ472">
        <f>IF(AND(업무일지!$B476&lt;&gt;"",업무일지!$AG476="진행중"),MAX(0,TODAY()-업무일지!$B476)*10000+529,"")</f>
        <v/>
      </c>
      <c r="BB472">
        <f>IF(AND(일일실시사항!$B476&lt;&gt;"",일일실시사항!$J476="진행중"),MAX(0,TODAY()-일일실시사항!$B476)*10000+529,"")</f>
        <v/>
      </c>
    </row>
    <row r="473">
      <c r="AZ473">
        <f>IF(AND(업무일지!$B477&lt;&gt;"",업무일지!$AG477="진행중"),MAX(0,TODAY()-업무일지!$B477)*10000+528,"")</f>
        <v/>
      </c>
      <c r="BB473">
        <f>IF(AND(일일실시사항!$B477&lt;&gt;"",일일실시사항!$J477="진행중"),MAX(0,TODAY()-일일실시사항!$B477)*10000+528,"")</f>
        <v/>
      </c>
    </row>
    <row r="474">
      <c r="AZ474">
        <f>IF(AND(업무일지!$B478&lt;&gt;"",업무일지!$AG478="진행중"),MAX(0,TODAY()-업무일지!$B478)*10000+527,"")</f>
        <v/>
      </c>
      <c r="BB474">
        <f>IF(AND(일일실시사항!$B478&lt;&gt;"",일일실시사항!$J478="진행중"),MAX(0,TODAY()-일일실시사항!$B478)*10000+527,"")</f>
        <v/>
      </c>
    </row>
    <row r="475">
      <c r="AZ475">
        <f>IF(AND(업무일지!$B479&lt;&gt;"",업무일지!$AG479="진행중"),MAX(0,TODAY()-업무일지!$B479)*10000+526,"")</f>
        <v/>
      </c>
      <c r="BB475">
        <f>IF(AND(일일실시사항!$B479&lt;&gt;"",일일실시사항!$J479="진행중"),MAX(0,TODAY()-일일실시사항!$B479)*10000+526,"")</f>
        <v/>
      </c>
    </row>
    <row r="476">
      <c r="AZ476">
        <f>IF(AND(업무일지!$B480&lt;&gt;"",업무일지!$AG480="진행중"),MAX(0,TODAY()-업무일지!$B480)*10000+525,"")</f>
        <v/>
      </c>
      <c r="BB476">
        <f>IF(AND(일일실시사항!$B480&lt;&gt;"",일일실시사항!$J480="진행중"),MAX(0,TODAY()-일일실시사항!$B480)*10000+525,"")</f>
        <v/>
      </c>
    </row>
    <row r="477">
      <c r="AZ477">
        <f>IF(AND(업무일지!$B481&lt;&gt;"",업무일지!$AG481="진행중"),MAX(0,TODAY()-업무일지!$B481)*10000+524,"")</f>
        <v/>
      </c>
      <c r="BB477">
        <f>IF(AND(일일실시사항!$B481&lt;&gt;"",일일실시사항!$J481="진행중"),MAX(0,TODAY()-일일실시사항!$B481)*10000+524,"")</f>
        <v/>
      </c>
    </row>
    <row r="478">
      <c r="AZ478">
        <f>IF(AND(업무일지!$B482&lt;&gt;"",업무일지!$AG482="진행중"),MAX(0,TODAY()-업무일지!$B482)*10000+523,"")</f>
        <v/>
      </c>
      <c r="BB478">
        <f>IF(AND(일일실시사항!$B482&lt;&gt;"",일일실시사항!$J482="진행중"),MAX(0,TODAY()-일일실시사항!$B482)*10000+523,"")</f>
        <v/>
      </c>
    </row>
    <row r="479">
      <c r="AZ479">
        <f>IF(AND(업무일지!$B483&lt;&gt;"",업무일지!$AG483="진행중"),MAX(0,TODAY()-업무일지!$B483)*10000+522,"")</f>
        <v/>
      </c>
      <c r="BB479">
        <f>IF(AND(일일실시사항!$B483&lt;&gt;"",일일실시사항!$J483="진행중"),MAX(0,TODAY()-일일실시사항!$B483)*10000+522,"")</f>
        <v/>
      </c>
    </row>
    <row r="480">
      <c r="AZ480">
        <f>IF(AND(업무일지!$B484&lt;&gt;"",업무일지!$AG484="진행중"),MAX(0,TODAY()-업무일지!$B484)*10000+521,"")</f>
        <v/>
      </c>
      <c r="BB480">
        <f>IF(AND(일일실시사항!$B484&lt;&gt;"",일일실시사항!$J484="진행중"),MAX(0,TODAY()-일일실시사항!$B484)*10000+521,"")</f>
        <v/>
      </c>
    </row>
    <row r="481">
      <c r="AZ481">
        <f>IF(AND(업무일지!$B485&lt;&gt;"",업무일지!$AG485="진행중"),MAX(0,TODAY()-업무일지!$B485)*10000+520,"")</f>
        <v/>
      </c>
      <c r="BB481">
        <f>IF(AND(일일실시사항!$B485&lt;&gt;"",일일실시사항!$J485="진행중"),MAX(0,TODAY()-일일실시사항!$B485)*10000+520,"")</f>
        <v/>
      </c>
    </row>
    <row r="482">
      <c r="AZ482">
        <f>IF(AND(업무일지!$B486&lt;&gt;"",업무일지!$AG486="진행중"),MAX(0,TODAY()-업무일지!$B486)*10000+519,"")</f>
        <v/>
      </c>
      <c r="BB482">
        <f>IF(AND(일일실시사항!$B486&lt;&gt;"",일일실시사항!$J486="진행중"),MAX(0,TODAY()-일일실시사항!$B486)*10000+519,"")</f>
        <v/>
      </c>
    </row>
    <row r="483">
      <c r="AZ483">
        <f>IF(AND(업무일지!$B487&lt;&gt;"",업무일지!$AG487="진행중"),MAX(0,TODAY()-업무일지!$B487)*10000+518,"")</f>
        <v/>
      </c>
      <c r="BB483">
        <f>IF(AND(일일실시사항!$B487&lt;&gt;"",일일실시사항!$J487="진행중"),MAX(0,TODAY()-일일실시사항!$B487)*10000+518,"")</f>
        <v/>
      </c>
    </row>
    <row r="484">
      <c r="AZ484">
        <f>IF(AND(업무일지!$B488&lt;&gt;"",업무일지!$AG488="진행중"),MAX(0,TODAY()-업무일지!$B488)*10000+517,"")</f>
        <v/>
      </c>
      <c r="BB484">
        <f>IF(AND(일일실시사항!$B488&lt;&gt;"",일일실시사항!$J488="진행중"),MAX(0,TODAY()-일일실시사항!$B488)*10000+517,"")</f>
        <v/>
      </c>
    </row>
    <row r="485">
      <c r="AZ485">
        <f>IF(AND(업무일지!$B489&lt;&gt;"",업무일지!$AG489="진행중"),MAX(0,TODAY()-업무일지!$B489)*10000+516,"")</f>
        <v/>
      </c>
      <c r="BB485">
        <f>IF(AND(일일실시사항!$B489&lt;&gt;"",일일실시사항!$J489="진행중"),MAX(0,TODAY()-일일실시사항!$B489)*10000+516,"")</f>
        <v/>
      </c>
    </row>
    <row r="486">
      <c r="AZ486">
        <f>IF(AND(업무일지!$B490&lt;&gt;"",업무일지!$AG490="진행중"),MAX(0,TODAY()-업무일지!$B490)*10000+515,"")</f>
        <v/>
      </c>
      <c r="BB486">
        <f>IF(AND(일일실시사항!$B490&lt;&gt;"",일일실시사항!$J490="진행중"),MAX(0,TODAY()-일일실시사항!$B490)*10000+515,"")</f>
        <v/>
      </c>
    </row>
    <row r="487">
      <c r="AZ487">
        <f>IF(AND(업무일지!$B491&lt;&gt;"",업무일지!$AG491="진행중"),MAX(0,TODAY()-업무일지!$B491)*10000+514,"")</f>
        <v/>
      </c>
      <c r="BB487">
        <f>IF(AND(일일실시사항!$B491&lt;&gt;"",일일실시사항!$J491="진행중"),MAX(0,TODAY()-일일실시사항!$B491)*10000+514,"")</f>
        <v/>
      </c>
    </row>
    <row r="488">
      <c r="AZ488">
        <f>IF(AND(업무일지!$B492&lt;&gt;"",업무일지!$AG492="진행중"),MAX(0,TODAY()-업무일지!$B492)*10000+513,"")</f>
        <v/>
      </c>
      <c r="BB488">
        <f>IF(AND(일일실시사항!$B492&lt;&gt;"",일일실시사항!$J492="진행중"),MAX(0,TODAY()-일일실시사항!$B492)*10000+513,"")</f>
        <v/>
      </c>
    </row>
    <row r="489">
      <c r="AZ489">
        <f>IF(AND(업무일지!$B493&lt;&gt;"",업무일지!$AG493="진행중"),MAX(0,TODAY()-업무일지!$B493)*10000+512,"")</f>
        <v/>
      </c>
      <c r="BB489">
        <f>IF(AND(일일실시사항!$B493&lt;&gt;"",일일실시사항!$J493="진행중"),MAX(0,TODAY()-일일실시사항!$B493)*10000+512,"")</f>
        <v/>
      </c>
    </row>
    <row r="490">
      <c r="AZ490">
        <f>IF(AND(업무일지!$B494&lt;&gt;"",업무일지!$AG494="진행중"),MAX(0,TODAY()-업무일지!$B494)*10000+511,"")</f>
        <v/>
      </c>
      <c r="BB490">
        <f>IF(AND(일일실시사항!$B494&lt;&gt;"",일일실시사항!$J494="진행중"),MAX(0,TODAY()-일일실시사항!$B494)*10000+511,"")</f>
        <v/>
      </c>
    </row>
    <row r="491">
      <c r="AZ491">
        <f>IF(AND(업무일지!$B495&lt;&gt;"",업무일지!$AG495="진행중"),MAX(0,TODAY()-업무일지!$B495)*10000+510,"")</f>
        <v/>
      </c>
      <c r="BB491">
        <f>IF(AND(일일실시사항!$B495&lt;&gt;"",일일실시사항!$J495="진행중"),MAX(0,TODAY()-일일실시사항!$B495)*10000+510,"")</f>
        <v/>
      </c>
    </row>
    <row r="492">
      <c r="AZ492">
        <f>IF(AND(업무일지!$B496&lt;&gt;"",업무일지!$AG496="진행중"),MAX(0,TODAY()-업무일지!$B496)*10000+509,"")</f>
        <v/>
      </c>
      <c r="BB492">
        <f>IF(AND(일일실시사항!$B496&lt;&gt;"",일일실시사항!$J496="진행중"),MAX(0,TODAY()-일일실시사항!$B496)*10000+509,"")</f>
        <v/>
      </c>
    </row>
    <row r="493">
      <c r="AZ493">
        <f>IF(AND(업무일지!$B497&lt;&gt;"",업무일지!$AG497="진행중"),MAX(0,TODAY()-업무일지!$B497)*10000+508,"")</f>
        <v/>
      </c>
      <c r="BB493">
        <f>IF(AND(일일실시사항!$B497&lt;&gt;"",일일실시사항!$J497="진행중"),MAX(0,TODAY()-일일실시사항!$B497)*10000+508,"")</f>
        <v/>
      </c>
    </row>
    <row r="494">
      <c r="AZ494">
        <f>IF(AND(업무일지!$B498&lt;&gt;"",업무일지!$AG498="진행중"),MAX(0,TODAY()-업무일지!$B498)*10000+507,"")</f>
        <v/>
      </c>
      <c r="BB494">
        <f>IF(AND(일일실시사항!$B498&lt;&gt;"",일일실시사항!$J498="진행중"),MAX(0,TODAY()-일일실시사항!$B498)*10000+507,"")</f>
        <v/>
      </c>
    </row>
    <row r="495">
      <c r="AZ495">
        <f>IF(AND(업무일지!$B499&lt;&gt;"",업무일지!$AG499="진행중"),MAX(0,TODAY()-업무일지!$B499)*10000+506,"")</f>
        <v/>
      </c>
      <c r="BB495">
        <f>IF(AND(일일실시사항!$B499&lt;&gt;"",일일실시사항!$J499="진행중"),MAX(0,TODAY()-일일실시사항!$B499)*10000+506,"")</f>
        <v/>
      </c>
    </row>
    <row r="496">
      <c r="AZ496">
        <f>IF(AND(업무일지!$B500&lt;&gt;"",업무일지!$AG500="진행중"),MAX(0,TODAY()-업무일지!$B500)*10000+505,"")</f>
        <v/>
      </c>
      <c r="BB496">
        <f>IF(AND(일일실시사항!$B500&lt;&gt;"",일일실시사항!$J500="진행중"),MAX(0,TODAY()-일일실시사항!$B500)*10000+505,"")</f>
        <v/>
      </c>
    </row>
    <row r="497">
      <c r="AZ497">
        <f>IF(AND(업무일지!$B501&lt;&gt;"",업무일지!$AG501="진행중"),MAX(0,TODAY()-업무일지!$B501)*10000+504,"")</f>
        <v/>
      </c>
      <c r="BB497">
        <f>IF(AND(일일실시사항!$B501&lt;&gt;"",일일실시사항!$J501="진행중"),MAX(0,TODAY()-일일실시사항!$B501)*10000+504,"")</f>
        <v/>
      </c>
    </row>
    <row r="498">
      <c r="AZ498">
        <f>IF(AND(업무일지!$B502&lt;&gt;"",업무일지!$AG502="진행중"),MAX(0,TODAY()-업무일지!$B502)*10000+503,"")</f>
        <v/>
      </c>
      <c r="BB498">
        <f>IF(AND(일일실시사항!$B502&lt;&gt;"",일일실시사항!$J502="진행중"),MAX(0,TODAY()-일일실시사항!$B502)*10000+503,"")</f>
        <v/>
      </c>
    </row>
    <row r="499">
      <c r="AZ499">
        <f>IF(AND(업무일지!$B503&lt;&gt;"",업무일지!$AG503="진행중"),MAX(0,TODAY()-업무일지!$B503)*10000+502,"")</f>
        <v/>
      </c>
      <c r="BB499">
        <f>IF(AND(일일실시사항!$B503&lt;&gt;"",일일실시사항!$J503="진행중"),MAX(0,TODAY()-일일실시사항!$B503)*10000+502,"")</f>
        <v/>
      </c>
    </row>
    <row r="500">
      <c r="AZ500">
        <f>IF(AND(업무일지!$B504&lt;&gt;"",업무일지!$AG504="진행중"),MAX(0,TODAY()-업무일지!$B504)*10000+501,"")</f>
        <v/>
      </c>
      <c r="BB500">
        <f>IF(AND(일일실시사항!$B504&lt;&gt;"",일일실시사항!$J504="진행중"),MAX(0,TODAY()-일일실시사항!$B504)*10000+501,"")</f>
        <v/>
      </c>
    </row>
    <row r="501">
      <c r="AZ501">
        <f>IF(AND(업무일지!$B505&lt;&gt;"",업무일지!$AG505="진행중"),MAX(0,TODAY()-업무일지!$B505)*10000+500,"")</f>
        <v/>
      </c>
      <c r="BB501">
        <f>IF(AND(일일실시사항!$B505&lt;&gt;"",일일실시사항!$J505="진행중"),MAX(0,TODAY()-일일실시사항!$B505)*10000+500,"")</f>
        <v/>
      </c>
    </row>
    <row r="502">
      <c r="AZ502">
        <f>IF(AND(업무일지!$B506&lt;&gt;"",업무일지!$AG506="진행중"),MAX(0,TODAY()-업무일지!$B506)*10000+499,"")</f>
        <v/>
      </c>
      <c r="BB502">
        <f>IF(AND(일일실시사항!$B506&lt;&gt;"",일일실시사항!$J506="진행중"),MAX(0,TODAY()-일일실시사항!$B506)*10000+499,"")</f>
        <v/>
      </c>
    </row>
    <row r="503">
      <c r="AZ503">
        <f>IF(AND(업무일지!$B507&lt;&gt;"",업무일지!$AG507="진행중"),MAX(0,TODAY()-업무일지!$B507)*10000+498,"")</f>
        <v/>
      </c>
      <c r="BB503">
        <f>IF(AND(일일실시사항!$B507&lt;&gt;"",일일실시사항!$J507="진행중"),MAX(0,TODAY()-일일실시사항!$B507)*10000+498,"")</f>
        <v/>
      </c>
    </row>
    <row r="504">
      <c r="AZ504">
        <f>IF(AND(업무일지!$B508&lt;&gt;"",업무일지!$AG508="진행중"),MAX(0,TODAY()-업무일지!$B508)*10000+497,"")</f>
        <v/>
      </c>
      <c r="BB504">
        <f>IF(AND(일일실시사항!$B508&lt;&gt;"",일일실시사항!$J508="진행중"),MAX(0,TODAY()-일일실시사항!$B508)*10000+497,"")</f>
        <v/>
      </c>
    </row>
    <row r="505">
      <c r="AZ505">
        <f>IF(AND(업무일지!$B509&lt;&gt;"",업무일지!$AG509="진행중"),MAX(0,TODAY()-업무일지!$B509)*10000+496,"")</f>
        <v/>
      </c>
      <c r="BB505">
        <f>IF(AND(일일실시사항!$B509&lt;&gt;"",일일실시사항!$J509="진행중"),MAX(0,TODAY()-일일실시사항!$B509)*10000+496,"")</f>
        <v/>
      </c>
    </row>
    <row r="506">
      <c r="AZ506">
        <f>IF(AND(업무일지!$B510&lt;&gt;"",업무일지!$AG510="진행중"),MAX(0,TODAY()-업무일지!$B510)*10000+495,"")</f>
        <v/>
      </c>
      <c r="BB506">
        <f>IF(AND(일일실시사항!$B510&lt;&gt;"",일일실시사항!$J510="진행중"),MAX(0,TODAY()-일일실시사항!$B510)*10000+495,"")</f>
        <v/>
      </c>
    </row>
    <row r="507">
      <c r="AZ507">
        <f>IF(AND(업무일지!$B511&lt;&gt;"",업무일지!$AG511="진행중"),MAX(0,TODAY()-업무일지!$B511)*10000+494,"")</f>
        <v/>
      </c>
      <c r="BB507">
        <f>IF(AND(일일실시사항!$B511&lt;&gt;"",일일실시사항!$J511="진행중"),MAX(0,TODAY()-일일실시사항!$B511)*10000+494,"")</f>
        <v/>
      </c>
    </row>
    <row r="508">
      <c r="AZ508">
        <f>IF(AND(업무일지!$B512&lt;&gt;"",업무일지!$AG512="진행중"),MAX(0,TODAY()-업무일지!$B512)*10000+493,"")</f>
        <v/>
      </c>
      <c r="BB508">
        <f>IF(AND(일일실시사항!$B512&lt;&gt;"",일일실시사항!$J512="진행중"),MAX(0,TODAY()-일일실시사항!$B512)*10000+493,"")</f>
        <v/>
      </c>
    </row>
    <row r="509">
      <c r="AZ509">
        <f>IF(AND(업무일지!$B513&lt;&gt;"",업무일지!$AG513="진행중"),MAX(0,TODAY()-업무일지!$B513)*10000+492,"")</f>
        <v/>
      </c>
      <c r="BB509">
        <f>IF(AND(일일실시사항!$B513&lt;&gt;"",일일실시사항!$J513="진행중"),MAX(0,TODAY()-일일실시사항!$B513)*10000+492,"")</f>
        <v/>
      </c>
    </row>
    <row r="510">
      <c r="AZ510">
        <f>IF(AND(업무일지!$B514&lt;&gt;"",업무일지!$AG514="진행중"),MAX(0,TODAY()-업무일지!$B514)*10000+491,"")</f>
        <v/>
      </c>
      <c r="BB510">
        <f>IF(AND(일일실시사항!$B514&lt;&gt;"",일일실시사항!$J514="진행중"),MAX(0,TODAY()-일일실시사항!$B514)*10000+491,"")</f>
        <v/>
      </c>
    </row>
    <row r="511">
      <c r="AZ511">
        <f>IF(AND(업무일지!$B515&lt;&gt;"",업무일지!$AG515="진행중"),MAX(0,TODAY()-업무일지!$B515)*10000+490,"")</f>
        <v/>
      </c>
      <c r="BB511">
        <f>IF(AND(일일실시사항!$B515&lt;&gt;"",일일실시사항!$J515="진행중"),MAX(0,TODAY()-일일실시사항!$B515)*10000+490,"")</f>
        <v/>
      </c>
    </row>
    <row r="512">
      <c r="AZ512">
        <f>IF(AND(업무일지!$B516&lt;&gt;"",업무일지!$AG516="진행중"),MAX(0,TODAY()-업무일지!$B516)*10000+489,"")</f>
        <v/>
      </c>
      <c r="BB512">
        <f>IF(AND(일일실시사항!$B516&lt;&gt;"",일일실시사항!$J516="진행중"),MAX(0,TODAY()-일일실시사항!$B516)*10000+489,"")</f>
        <v/>
      </c>
    </row>
    <row r="513">
      <c r="AZ513">
        <f>IF(AND(업무일지!$B517&lt;&gt;"",업무일지!$AG517="진행중"),MAX(0,TODAY()-업무일지!$B517)*10000+488,"")</f>
        <v/>
      </c>
      <c r="BB513">
        <f>IF(AND(일일실시사항!$B517&lt;&gt;"",일일실시사항!$J517="진행중"),MAX(0,TODAY()-일일실시사항!$B517)*10000+488,"")</f>
        <v/>
      </c>
    </row>
    <row r="514">
      <c r="AZ514">
        <f>IF(AND(업무일지!$B518&lt;&gt;"",업무일지!$AG518="진행중"),MAX(0,TODAY()-업무일지!$B518)*10000+487,"")</f>
        <v/>
      </c>
      <c r="BB514">
        <f>IF(AND(일일실시사항!$B518&lt;&gt;"",일일실시사항!$J518="진행중"),MAX(0,TODAY()-일일실시사항!$B518)*10000+487,"")</f>
        <v/>
      </c>
    </row>
    <row r="515">
      <c r="AZ515">
        <f>IF(AND(업무일지!$B519&lt;&gt;"",업무일지!$AG519="진행중"),MAX(0,TODAY()-업무일지!$B519)*10000+486,"")</f>
        <v/>
      </c>
      <c r="BB515">
        <f>IF(AND(일일실시사항!$B519&lt;&gt;"",일일실시사항!$J519="진행중"),MAX(0,TODAY()-일일실시사항!$B519)*10000+486,"")</f>
        <v/>
      </c>
    </row>
    <row r="516">
      <c r="AZ516">
        <f>IF(AND(업무일지!$B520&lt;&gt;"",업무일지!$AG520="진행중"),MAX(0,TODAY()-업무일지!$B520)*10000+485,"")</f>
        <v/>
      </c>
      <c r="BB516">
        <f>IF(AND(일일실시사항!$B520&lt;&gt;"",일일실시사항!$J520="진행중"),MAX(0,TODAY()-일일실시사항!$B520)*10000+485,"")</f>
        <v/>
      </c>
    </row>
    <row r="517">
      <c r="AZ517">
        <f>IF(AND(업무일지!$B521&lt;&gt;"",업무일지!$AG521="진행중"),MAX(0,TODAY()-업무일지!$B521)*10000+484,"")</f>
        <v/>
      </c>
      <c r="BB517">
        <f>IF(AND(일일실시사항!$B521&lt;&gt;"",일일실시사항!$J521="진행중"),MAX(0,TODAY()-일일실시사항!$B521)*10000+484,"")</f>
        <v/>
      </c>
    </row>
    <row r="518">
      <c r="AZ518">
        <f>IF(AND(업무일지!$B522&lt;&gt;"",업무일지!$AG522="진행중"),MAX(0,TODAY()-업무일지!$B522)*10000+483,"")</f>
        <v/>
      </c>
      <c r="BB518">
        <f>IF(AND(일일실시사항!$B522&lt;&gt;"",일일실시사항!$J522="진행중"),MAX(0,TODAY()-일일실시사항!$B522)*10000+483,"")</f>
        <v/>
      </c>
    </row>
    <row r="519">
      <c r="AZ519">
        <f>IF(AND(업무일지!$B523&lt;&gt;"",업무일지!$AG523="진행중"),MAX(0,TODAY()-업무일지!$B523)*10000+482,"")</f>
        <v/>
      </c>
      <c r="BB519">
        <f>IF(AND(일일실시사항!$B523&lt;&gt;"",일일실시사항!$J523="진행중"),MAX(0,TODAY()-일일실시사항!$B523)*10000+482,"")</f>
        <v/>
      </c>
    </row>
    <row r="520">
      <c r="AZ520">
        <f>IF(AND(업무일지!$B524&lt;&gt;"",업무일지!$AG524="진행중"),MAX(0,TODAY()-업무일지!$B524)*10000+481,"")</f>
        <v/>
      </c>
      <c r="BB520">
        <f>IF(AND(일일실시사항!$B524&lt;&gt;"",일일실시사항!$J524="진행중"),MAX(0,TODAY()-일일실시사항!$B524)*10000+481,"")</f>
        <v/>
      </c>
    </row>
    <row r="521">
      <c r="AZ521">
        <f>IF(AND(업무일지!$B525&lt;&gt;"",업무일지!$AG525="진행중"),MAX(0,TODAY()-업무일지!$B525)*10000+480,"")</f>
        <v/>
      </c>
      <c r="BB521">
        <f>IF(AND(일일실시사항!$B525&lt;&gt;"",일일실시사항!$J525="진행중"),MAX(0,TODAY()-일일실시사항!$B525)*10000+480,"")</f>
        <v/>
      </c>
    </row>
    <row r="522">
      <c r="AZ522">
        <f>IF(AND(업무일지!$B526&lt;&gt;"",업무일지!$AG526="진행중"),MAX(0,TODAY()-업무일지!$B526)*10000+479,"")</f>
        <v/>
      </c>
      <c r="BB522">
        <f>IF(AND(일일실시사항!$B526&lt;&gt;"",일일실시사항!$J526="진행중"),MAX(0,TODAY()-일일실시사항!$B526)*10000+479,"")</f>
        <v/>
      </c>
    </row>
    <row r="523">
      <c r="AZ523">
        <f>IF(AND(업무일지!$B527&lt;&gt;"",업무일지!$AG527="진행중"),MAX(0,TODAY()-업무일지!$B527)*10000+478,"")</f>
        <v/>
      </c>
      <c r="BB523">
        <f>IF(AND(일일실시사항!$B527&lt;&gt;"",일일실시사항!$J527="진행중"),MAX(0,TODAY()-일일실시사항!$B527)*10000+478,"")</f>
        <v/>
      </c>
    </row>
    <row r="524">
      <c r="AZ524">
        <f>IF(AND(업무일지!$B528&lt;&gt;"",업무일지!$AG528="진행중"),MAX(0,TODAY()-업무일지!$B528)*10000+477,"")</f>
        <v/>
      </c>
      <c r="BB524">
        <f>IF(AND(일일실시사항!$B528&lt;&gt;"",일일실시사항!$J528="진행중"),MAX(0,TODAY()-일일실시사항!$B528)*10000+477,"")</f>
        <v/>
      </c>
    </row>
    <row r="525">
      <c r="AZ525">
        <f>IF(AND(업무일지!$B529&lt;&gt;"",업무일지!$AG529="진행중"),MAX(0,TODAY()-업무일지!$B529)*10000+476,"")</f>
        <v/>
      </c>
      <c r="BB525">
        <f>IF(AND(일일실시사항!$B529&lt;&gt;"",일일실시사항!$J529="진행중"),MAX(0,TODAY()-일일실시사항!$B529)*10000+476,"")</f>
        <v/>
      </c>
    </row>
    <row r="526">
      <c r="AZ526">
        <f>IF(AND(업무일지!$B530&lt;&gt;"",업무일지!$AG530="진행중"),MAX(0,TODAY()-업무일지!$B530)*10000+475,"")</f>
        <v/>
      </c>
      <c r="BB526">
        <f>IF(AND(일일실시사항!$B530&lt;&gt;"",일일실시사항!$J530="진행중"),MAX(0,TODAY()-일일실시사항!$B530)*10000+475,"")</f>
        <v/>
      </c>
    </row>
    <row r="527">
      <c r="AZ527">
        <f>IF(AND(업무일지!$B531&lt;&gt;"",업무일지!$AG531="진행중"),MAX(0,TODAY()-업무일지!$B531)*10000+474,"")</f>
        <v/>
      </c>
      <c r="BB527">
        <f>IF(AND(일일실시사항!$B531&lt;&gt;"",일일실시사항!$J531="진행중"),MAX(0,TODAY()-일일실시사항!$B531)*10000+474,"")</f>
        <v/>
      </c>
    </row>
    <row r="528">
      <c r="AZ528">
        <f>IF(AND(업무일지!$B532&lt;&gt;"",업무일지!$AG532="진행중"),MAX(0,TODAY()-업무일지!$B532)*10000+473,"")</f>
        <v/>
      </c>
      <c r="BB528">
        <f>IF(AND(일일실시사항!$B532&lt;&gt;"",일일실시사항!$J532="진행중"),MAX(0,TODAY()-일일실시사항!$B532)*10000+473,"")</f>
        <v/>
      </c>
    </row>
    <row r="529">
      <c r="AZ529">
        <f>IF(AND(업무일지!$B533&lt;&gt;"",업무일지!$AG533="진행중"),MAX(0,TODAY()-업무일지!$B533)*10000+472,"")</f>
        <v/>
      </c>
      <c r="BB529">
        <f>IF(AND(일일실시사항!$B533&lt;&gt;"",일일실시사항!$J533="진행중"),MAX(0,TODAY()-일일실시사항!$B533)*10000+472,"")</f>
        <v/>
      </c>
    </row>
    <row r="530">
      <c r="AZ530">
        <f>IF(AND(업무일지!$B534&lt;&gt;"",업무일지!$AG534="진행중"),MAX(0,TODAY()-업무일지!$B534)*10000+471,"")</f>
        <v/>
      </c>
      <c r="BB530">
        <f>IF(AND(일일실시사항!$B534&lt;&gt;"",일일실시사항!$J534="진행중"),MAX(0,TODAY()-일일실시사항!$B534)*10000+471,"")</f>
        <v/>
      </c>
    </row>
    <row r="531">
      <c r="AZ531">
        <f>IF(AND(업무일지!$B535&lt;&gt;"",업무일지!$AG535="진행중"),MAX(0,TODAY()-업무일지!$B535)*10000+470,"")</f>
        <v/>
      </c>
      <c r="BB531">
        <f>IF(AND(일일실시사항!$B535&lt;&gt;"",일일실시사항!$J535="진행중"),MAX(0,TODAY()-일일실시사항!$B535)*10000+470,"")</f>
        <v/>
      </c>
    </row>
    <row r="532">
      <c r="AZ532">
        <f>IF(AND(업무일지!$B536&lt;&gt;"",업무일지!$AG536="진행중"),MAX(0,TODAY()-업무일지!$B536)*10000+469,"")</f>
        <v/>
      </c>
      <c r="BB532">
        <f>IF(AND(일일실시사항!$B536&lt;&gt;"",일일실시사항!$J536="진행중"),MAX(0,TODAY()-일일실시사항!$B536)*10000+469,"")</f>
        <v/>
      </c>
    </row>
    <row r="533">
      <c r="AZ533">
        <f>IF(AND(업무일지!$B537&lt;&gt;"",업무일지!$AG537="진행중"),MAX(0,TODAY()-업무일지!$B537)*10000+468,"")</f>
        <v/>
      </c>
      <c r="BB533">
        <f>IF(AND(일일실시사항!$B537&lt;&gt;"",일일실시사항!$J537="진행중"),MAX(0,TODAY()-일일실시사항!$B537)*10000+468,"")</f>
        <v/>
      </c>
    </row>
    <row r="534">
      <c r="AZ534">
        <f>IF(AND(업무일지!$B538&lt;&gt;"",업무일지!$AG538="진행중"),MAX(0,TODAY()-업무일지!$B538)*10000+467,"")</f>
        <v/>
      </c>
      <c r="BB534">
        <f>IF(AND(일일실시사항!$B538&lt;&gt;"",일일실시사항!$J538="진행중"),MAX(0,TODAY()-일일실시사항!$B538)*10000+467,"")</f>
        <v/>
      </c>
    </row>
    <row r="535">
      <c r="AZ535">
        <f>IF(AND(업무일지!$B539&lt;&gt;"",업무일지!$AG539="진행중"),MAX(0,TODAY()-업무일지!$B539)*10000+466,"")</f>
        <v/>
      </c>
      <c r="BB535">
        <f>IF(AND(일일실시사항!$B539&lt;&gt;"",일일실시사항!$J539="진행중"),MAX(0,TODAY()-일일실시사항!$B539)*10000+466,"")</f>
        <v/>
      </c>
    </row>
    <row r="536">
      <c r="AZ536">
        <f>IF(AND(업무일지!$B540&lt;&gt;"",업무일지!$AG540="진행중"),MAX(0,TODAY()-업무일지!$B540)*10000+465,"")</f>
        <v/>
      </c>
      <c r="BB536">
        <f>IF(AND(일일실시사항!$B540&lt;&gt;"",일일실시사항!$J540="진행중"),MAX(0,TODAY()-일일실시사항!$B540)*10000+465,"")</f>
        <v/>
      </c>
    </row>
    <row r="537">
      <c r="AZ537">
        <f>IF(AND(업무일지!$B541&lt;&gt;"",업무일지!$AG541="진행중"),MAX(0,TODAY()-업무일지!$B541)*10000+464,"")</f>
        <v/>
      </c>
      <c r="BB537">
        <f>IF(AND(일일실시사항!$B541&lt;&gt;"",일일실시사항!$J541="진행중"),MAX(0,TODAY()-일일실시사항!$B541)*10000+464,"")</f>
        <v/>
      </c>
    </row>
    <row r="538">
      <c r="AZ538">
        <f>IF(AND(업무일지!$B542&lt;&gt;"",업무일지!$AG542="진행중"),MAX(0,TODAY()-업무일지!$B542)*10000+463,"")</f>
        <v/>
      </c>
      <c r="BB538">
        <f>IF(AND(일일실시사항!$B542&lt;&gt;"",일일실시사항!$J542="진행중"),MAX(0,TODAY()-일일실시사항!$B542)*10000+463,"")</f>
        <v/>
      </c>
    </row>
    <row r="539">
      <c r="AZ539">
        <f>IF(AND(업무일지!$B543&lt;&gt;"",업무일지!$AG543="진행중"),MAX(0,TODAY()-업무일지!$B543)*10000+462,"")</f>
        <v/>
      </c>
      <c r="BB539">
        <f>IF(AND(일일실시사항!$B543&lt;&gt;"",일일실시사항!$J543="진행중"),MAX(0,TODAY()-일일실시사항!$B543)*10000+462,"")</f>
        <v/>
      </c>
    </row>
    <row r="540">
      <c r="AZ540">
        <f>IF(AND(업무일지!$B544&lt;&gt;"",업무일지!$AG544="진행중"),MAX(0,TODAY()-업무일지!$B544)*10000+461,"")</f>
        <v/>
      </c>
      <c r="BB540">
        <f>IF(AND(일일실시사항!$B544&lt;&gt;"",일일실시사항!$J544="진행중"),MAX(0,TODAY()-일일실시사항!$B544)*10000+461,"")</f>
        <v/>
      </c>
    </row>
    <row r="541">
      <c r="AZ541">
        <f>IF(AND(업무일지!$B545&lt;&gt;"",업무일지!$AG545="진행중"),MAX(0,TODAY()-업무일지!$B545)*10000+460,"")</f>
        <v/>
      </c>
      <c r="BB541">
        <f>IF(AND(일일실시사항!$B545&lt;&gt;"",일일실시사항!$J545="진행중"),MAX(0,TODAY()-일일실시사항!$B545)*10000+460,"")</f>
        <v/>
      </c>
    </row>
    <row r="542">
      <c r="AZ542">
        <f>IF(AND(업무일지!$B546&lt;&gt;"",업무일지!$AG546="진행중"),MAX(0,TODAY()-업무일지!$B546)*10000+459,"")</f>
        <v/>
      </c>
      <c r="BB542">
        <f>IF(AND(일일실시사항!$B546&lt;&gt;"",일일실시사항!$J546="진행중"),MAX(0,TODAY()-일일실시사항!$B546)*10000+459,"")</f>
        <v/>
      </c>
    </row>
    <row r="543">
      <c r="AZ543">
        <f>IF(AND(업무일지!$B547&lt;&gt;"",업무일지!$AG547="진행중"),MAX(0,TODAY()-업무일지!$B547)*10000+458,"")</f>
        <v/>
      </c>
      <c r="BB543">
        <f>IF(AND(일일실시사항!$B547&lt;&gt;"",일일실시사항!$J547="진행중"),MAX(0,TODAY()-일일실시사항!$B547)*10000+458,"")</f>
        <v/>
      </c>
    </row>
    <row r="544">
      <c r="AZ544">
        <f>IF(AND(업무일지!$B548&lt;&gt;"",업무일지!$AG548="진행중"),MAX(0,TODAY()-업무일지!$B548)*10000+457,"")</f>
        <v/>
      </c>
      <c r="BB544">
        <f>IF(AND(일일실시사항!$B548&lt;&gt;"",일일실시사항!$J548="진행중"),MAX(0,TODAY()-일일실시사항!$B548)*10000+457,"")</f>
        <v/>
      </c>
    </row>
    <row r="545">
      <c r="AZ545">
        <f>IF(AND(업무일지!$B549&lt;&gt;"",업무일지!$AG549="진행중"),MAX(0,TODAY()-업무일지!$B549)*10000+456,"")</f>
        <v/>
      </c>
      <c r="BB545">
        <f>IF(AND(일일실시사항!$B549&lt;&gt;"",일일실시사항!$J549="진행중"),MAX(0,TODAY()-일일실시사항!$B549)*10000+456,"")</f>
        <v/>
      </c>
    </row>
    <row r="546">
      <c r="AZ546">
        <f>IF(AND(업무일지!$B550&lt;&gt;"",업무일지!$AG550="진행중"),MAX(0,TODAY()-업무일지!$B550)*10000+455,"")</f>
        <v/>
      </c>
      <c r="BB546">
        <f>IF(AND(일일실시사항!$B550&lt;&gt;"",일일실시사항!$J550="진행중"),MAX(0,TODAY()-일일실시사항!$B550)*10000+455,"")</f>
        <v/>
      </c>
    </row>
    <row r="547">
      <c r="AZ547">
        <f>IF(AND(업무일지!$B551&lt;&gt;"",업무일지!$AG551="진행중"),MAX(0,TODAY()-업무일지!$B551)*10000+454,"")</f>
        <v/>
      </c>
      <c r="BB547">
        <f>IF(AND(일일실시사항!$B551&lt;&gt;"",일일실시사항!$J551="진행중"),MAX(0,TODAY()-일일실시사항!$B551)*10000+454,"")</f>
        <v/>
      </c>
    </row>
    <row r="548">
      <c r="AZ548">
        <f>IF(AND(업무일지!$B552&lt;&gt;"",업무일지!$AG552="진행중"),MAX(0,TODAY()-업무일지!$B552)*10000+453,"")</f>
        <v/>
      </c>
      <c r="BB548">
        <f>IF(AND(일일실시사항!$B552&lt;&gt;"",일일실시사항!$J552="진행중"),MAX(0,TODAY()-일일실시사항!$B552)*10000+453,"")</f>
        <v/>
      </c>
    </row>
    <row r="549">
      <c r="AZ549">
        <f>IF(AND(업무일지!$B553&lt;&gt;"",업무일지!$AG553="진행중"),MAX(0,TODAY()-업무일지!$B553)*10000+452,"")</f>
        <v/>
      </c>
      <c r="BB549">
        <f>IF(AND(일일실시사항!$B553&lt;&gt;"",일일실시사항!$J553="진행중"),MAX(0,TODAY()-일일실시사항!$B553)*10000+452,"")</f>
        <v/>
      </c>
    </row>
    <row r="550">
      <c r="AZ550">
        <f>IF(AND(업무일지!$B554&lt;&gt;"",업무일지!$AG554="진행중"),MAX(0,TODAY()-업무일지!$B554)*10000+451,"")</f>
        <v/>
      </c>
      <c r="BB550">
        <f>IF(AND(일일실시사항!$B554&lt;&gt;"",일일실시사항!$J554="진행중"),MAX(0,TODAY()-일일실시사항!$B554)*10000+451,"")</f>
        <v/>
      </c>
    </row>
    <row r="551">
      <c r="AZ551">
        <f>IF(AND(업무일지!$B555&lt;&gt;"",업무일지!$AG555="진행중"),MAX(0,TODAY()-업무일지!$B555)*10000+450,"")</f>
        <v/>
      </c>
      <c r="BB551">
        <f>IF(AND(일일실시사항!$B555&lt;&gt;"",일일실시사항!$J555="진행중"),MAX(0,TODAY()-일일실시사항!$B555)*10000+450,"")</f>
        <v/>
      </c>
    </row>
    <row r="552">
      <c r="AZ552">
        <f>IF(AND(업무일지!$B556&lt;&gt;"",업무일지!$AG556="진행중"),MAX(0,TODAY()-업무일지!$B556)*10000+449,"")</f>
        <v/>
      </c>
      <c r="BB552">
        <f>IF(AND(일일실시사항!$B556&lt;&gt;"",일일실시사항!$J556="진행중"),MAX(0,TODAY()-일일실시사항!$B556)*10000+449,"")</f>
        <v/>
      </c>
    </row>
    <row r="553">
      <c r="AZ553">
        <f>IF(AND(업무일지!$B557&lt;&gt;"",업무일지!$AG557="진행중"),MAX(0,TODAY()-업무일지!$B557)*10000+448,"")</f>
        <v/>
      </c>
      <c r="BB553">
        <f>IF(AND(일일실시사항!$B557&lt;&gt;"",일일실시사항!$J557="진행중"),MAX(0,TODAY()-일일실시사항!$B557)*10000+448,"")</f>
        <v/>
      </c>
    </row>
    <row r="554">
      <c r="AZ554">
        <f>IF(AND(업무일지!$B558&lt;&gt;"",업무일지!$AG558="진행중"),MAX(0,TODAY()-업무일지!$B558)*10000+447,"")</f>
        <v/>
      </c>
      <c r="BB554">
        <f>IF(AND(일일실시사항!$B558&lt;&gt;"",일일실시사항!$J558="진행중"),MAX(0,TODAY()-일일실시사항!$B558)*10000+447,"")</f>
        <v/>
      </c>
    </row>
    <row r="555">
      <c r="AZ555">
        <f>IF(AND(업무일지!$B559&lt;&gt;"",업무일지!$AG559="진행중"),MAX(0,TODAY()-업무일지!$B559)*10000+446,"")</f>
        <v/>
      </c>
      <c r="BB555">
        <f>IF(AND(일일실시사항!$B559&lt;&gt;"",일일실시사항!$J559="진행중"),MAX(0,TODAY()-일일실시사항!$B559)*10000+446,"")</f>
        <v/>
      </c>
    </row>
    <row r="556">
      <c r="AZ556">
        <f>IF(AND(업무일지!$B560&lt;&gt;"",업무일지!$AG560="진행중"),MAX(0,TODAY()-업무일지!$B560)*10000+445,"")</f>
        <v/>
      </c>
      <c r="BB556">
        <f>IF(AND(일일실시사항!$B560&lt;&gt;"",일일실시사항!$J560="진행중"),MAX(0,TODAY()-일일실시사항!$B560)*10000+445,"")</f>
        <v/>
      </c>
    </row>
    <row r="557">
      <c r="AZ557">
        <f>IF(AND(업무일지!$B561&lt;&gt;"",업무일지!$AG561="진행중"),MAX(0,TODAY()-업무일지!$B561)*10000+444,"")</f>
        <v/>
      </c>
      <c r="BB557">
        <f>IF(AND(일일실시사항!$B561&lt;&gt;"",일일실시사항!$J561="진행중"),MAX(0,TODAY()-일일실시사항!$B561)*10000+444,"")</f>
        <v/>
      </c>
    </row>
    <row r="558">
      <c r="AZ558">
        <f>IF(AND(업무일지!$B562&lt;&gt;"",업무일지!$AG562="진행중"),MAX(0,TODAY()-업무일지!$B562)*10000+443,"")</f>
        <v/>
      </c>
      <c r="BB558">
        <f>IF(AND(일일실시사항!$B562&lt;&gt;"",일일실시사항!$J562="진행중"),MAX(0,TODAY()-일일실시사항!$B562)*10000+443,"")</f>
        <v/>
      </c>
    </row>
    <row r="559">
      <c r="AZ559">
        <f>IF(AND(업무일지!$B563&lt;&gt;"",업무일지!$AG563="진행중"),MAX(0,TODAY()-업무일지!$B563)*10000+442,"")</f>
        <v/>
      </c>
      <c r="BB559">
        <f>IF(AND(일일실시사항!$B563&lt;&gt;"",일일실시사항!$J563="진행중"),MAX(0,TODAY()-일일실시사항!$B563)*10000+442,"")</f>
        <v/>
      </c>
    </row>
    <row r="560">
      <c r="AZ560">
        <f>IF(AND(업무일지!$B564&lt;&gt;"",업무일지!$AG564="진행중"),MAX(0,TODAY()-업무일지!$B564)*10000+441,"")</f>
        <v/>
      </c>
      <c r="BB560">
        <f>IF(AND(일일실시사항!$B564&lt;&gt;"",일일실시사항!$J564="진행중"),MAX(0,TODAY()-일일실시사항!$B564)*10000+441,"")</f>
        <v/>
      </c>
    </row>
    <row r="561">
      <c r="AZ561">
        <f>IF(AND(업무일지!$B565&lt;&gt;"",업무일지!$AG565="진행중"),MAX(0,TODAY()-업무일지!$B565)*10000+440,"")</f>
        <v/>
      </c>
      <c r="BB561">
        <f>IF(AND(일일실시사항!$B565&lt;&gt;"",일일실시사항!$J565="진행중"),MAX(0,TODAY()-일일실시사항!$B565)*10000+440,"")</f>
        <v/>
      </c>
    </row>
    <row r="562">
      <c r="AZ562">
        <f>IF(AND(업무일지!$B566&lt;&gt;"",업무일지!$AG566="진행중"),MAX(0,TODAY()-업무일지!$B566)*10000+439,"")</f>
        <v/>
      </c>
      <c r="BB562">
        <f>IF(AND(일일실시사항!$B566&lt;&gt;"",일일실시사항!$J566="진행중"),MAX(0,TODAY()-일일실시사항!$B566)*10000+439,"")</f>
        <v/>
      </c>
    </row>
    <row r="563">
      <c r="AZ563">
        <f>IF(AND(업무일지!$B567&lt;&gt;"",업무일지!$AG567="진행중"),MAX(0,TODAY()-업무일지!$B567)*10000+438,"")</f>
        <v/>
      </c>
      <c r="BB563">
        <f>IF(AND(일일실시사항!$B567&lt;&gt;"",일일실시사항!$J567="진행중"),MAX(0,TODAY()-일일실시사항!$B567)*10000+438,"")</f>
        <v/>
      </c>
    </row>
    <row r="564">
      <c r="AZ564">
        <f>IF(AND(업무일지!$B568&lt;&gt;"",업무일지!$AG568="진행중"),MAX(0,TODAY()-업무일지!$B568)*10000+437,"")</f>
        <v/>
      </c>
      <c r="BB564">
        <f>IF(AND(일일실시사항!$B568&lt;&gt;"",일일실시사항!$J568="진행중"),MAX(0,TODAY()-일일실시사항!$B568)*10000+437,"")</f>
        <v/>
      </c>
    </row>
    <row r="565">
      <c r="AZ565">
        <f>IF(AND(업무일지!$B569&lt;&gt;"",업무일지!$AG569="진행중"),MAX(0,TODAY()-업무일지!$B569)*10000+436,"")</f>
        <v/>
      </c>
      <c r="BB565">
        <f>IF(AND(일일실시사항!$B569&lt;&gt;"",일일실시사항!$J569="진행중"),MAX(0,TODAY()-일일실시사항!$B569)*10000+436,"")</f>
        <v/>
      </c>
    </row>
    <row r="566">
      <c r="AZ566">
        <f>IF(AND(업무일지!$B570&lt;&gt;"",업무일지!$AG570="진행중"),MAX(0,TODAY()-업무일지!$B570)*10000+435,"")</f>
        <v/>
      </c>
      <c r="BB566">
        <f>IF(AND(일일실시사항!$B570&lt;&gt;"",일일실시사항!$J570="진행중"),MAX(0,TODAY()-일일실시사항!$B570)*10000+435,"")</f>
        <v/>
      </c>
    </row>
    <row r="567">
      <c r="AZ567">
        <f>IF(AND(업무일지!$B571&lt;&gt;"",업무일지!$AG571="진행중"),MAX(0,TODAY()-업무일지!$B571)*10000+434,"")</f>
        <v/>
      </c>
      <c r="BB567">
        <f>IF(AND(일일실시사항!$B571&lt;&gt;"",일일실시사항!$J571="진행중"),MAX(0,TODAY()-일일실시사항!$B571)*10000+434,"")</f>
        <v/>
      </c>
    </row>
    <row r="568">
      <c r="AZ568">
        <f>IF(AND(업무일지!$B572&lt;&gt;"",업무일지!$AG572="진행중"),MAX(0,TODAY()-업무일지!$B572)*10000+433,"")</f>
        <v/>
      </c>
      <c r="BB568">
        <f>IF(AND(일일실시사항!$B572&lt;&gt;"",일일실시사항!$J572="진행중"),MAX(0,TODAY()-일일실시사항!$B572)*10000+433,"")</f>
        <v/>
      </c>
    </row>
    <row r="569">
      <c r="AZ569">
        <f>IF(AND(업무일지!$B573&lt;&gt;"",업무일지!$AG573="진행중"),MAX(0,TODAY()-업무일지!$B573)*10000+432,"")</f>
        <v/>
      </c>
      <c r="BB569">
        <f>IF(AND(일일실시사항!$B573&lt;&gt;"",일일실시사항!$J573="진행중"),MAX(0,TODAY()-일일실시사항!$B573)*10000+432,"")</f>
        <v/>
      </c>
    </row>
    <row r="570">
      <c r="AZ570">
        <f>IF(AND(업무일지!$B574&lt;&gt;"",업무일지!$AG574="진행중"),MAX(0,TODAY()-업무일지!$B574)*10000+431,"")</f>
        <v/>
      </c>
      <c r="BB570">
        <f>IF(AND(일일실시사항!$B574&lt;&gt;"",일일실시사항!$J574="진행중"),MAX(0,TODAY()-일일실시사항!$B574)*10000+431,"")</f>
        <v/>
      </c>
    </row>
    <row r="571">
      <c r="AZ571">
        <f>IF(AND(업무일지!$B575&lt;&gt;"",업무일지!$AG575="진행중"),MAX(0,TODAY()-업무일지!$B575)*10000+430,"")</f>
        <v/>
      </c>
      <c r="BB571">
        <f>IF(AND(일일실시사항!$B575&lt;&gt;"",일일실시사항!$J575="진행중"),MAX(0,TODAY()-일일실시사항!$B575)*10000+430,"")</f>
        <v/>
      </c>
    </row>
    <row r="572">
      <c r="AZ572">
        <f>IF(AND(업무일지!$B576&lt;&gt;"",업무일지!$AG576="진행중"),MAX(0,TODAY()-업무일지!$B576)*10000+429,"")</f>
        <v/>
      </c>
      <c r="BB572">
        <f>IF(AND(일일실시사항!$B576&lt;&gt;"",일일실시사항!$J576="진행중"),MAX(0,TODAY()-일일실시사항!$B576)*10000+429,"")</f>
        <v/>
      </c>
    </row>
    <row r="573">
      <c r="AZ573">
        <f>IF(AND(업무일지!$B577&lt;&gt;"",업무일지!$AG577="진행중"),MAX(0,TODAY()-업무일지!$B577)*10000+428,"")</f>
        <v/>
      </c>
      <c r="BB573">
        <f>IF(AND(일일실시사항!$B577&lt;&gt;"",일일실시사항!$J577="진행중"),MAX(0,TODAY()-일일실시사항!$B577)*10000+428,"")</f>
        <v/>
      </c>
    </row>
    <row r="574">
      <c r="AZ574">
        <f>IF(AND(업무일지!$B578&lt;&gt;"",업무일지!$AG578="진행중"),MAX(0,TODAY()-업무일지!$B578)*10000+427,"")</f>
        <v/>
      </c>
      <c r="BB574">
        <f>IF(AND(일일실시사항!$B578&lt;&gt;"",일일실시사항!$J578="진행중"),MAX(0,TODAY()-일일실시사항!$B578)*10000+427,"")</f>
        <v/>
      </c>
    </row>
    <row r="575">
      <c r="AZ575">
        <f>IF(AND(업무일지!$B579&lt;&gt;"",업무일지!$AG579="진행중"),MAX(0,TODAY()-업무일지!$B579)*10000+426,"")</f>
        <v/>
      </c>
      <c r="BB575">
        <f>IF(AND(일일실시사항!$B579&lt;&gt;"",일일실시사항!$J579="진행중"),MAX(0,TODAY()-일일실시사항!$B579)*10000+426,"")</f>
        <v/>
      </c>
    </row>
    <row r="576">
      <c r="AZ576">
        <f>IF(AND(업무일지!$B580&lt;&gt;"",업무일지!$AG580="진행중"),MAX(0,TODAY()-업무일지!$B580)*10000+425,"")</f>
        <v/>
      </c>
      <c r="BB576">
        <f>IF(AND(일일실시사항!$B580&lt;&gt;"",일일실시사항!$J580="진행중"),MAX(0,TODAY()-일일실시사항!$B580)*10000+425,"")</f>
        <v/>
      </c>
    </row>
    <row r="577">
      <c r="AZ577">
        <f>IF(AND(업무일지!$B581&lt;&gt;"",업무일지!$AG581="진행중"),MAX(0,TODAY()-업무일지!$B581)*10000+424,"")</f>
        <v/>
      </c>
      <c r="BB577">
        <f>IF(AND(일일실시사항!$B581&lt;&gt;"",일일실시사항!$J581="진행중"),MAX(0,TODAY()-일일실시사항!$B581)*10000+424,"")</f>
        <v/>
      </c>
    </row>
    <row r="578">
      <c r="AZ578">
        <f>IF(AND(업무일지!$B582&lt;&gt;"",업무일지!$AG582="진행중"),MAX(0,TODAY()-업무일지!$B582)*10000+423,"")</f>
        <v/>
      </c>
      <c r="BB578">
        <f>IF(AND(일일실시사항!$B582&lt;&gt;"",일일실시사항!$J582="진행중"),MAX(0,TODAY()-일일실시사항!$B582)*10000+423,"")</f>
        <v/>
      </c>
    </row>
    <row r="579">
      <c r="AZ579">
        <f>IF(AND(업무일지!$B583&lt;&gt;"",업무일지!$AG583="진행중"),MAX(0,TODAY()-업무일지!$B583)*10000+422,"")</f>
        <v/>
      </c>
      <c r="BB579">
        <f>IF(AND(일일실시사항!$B583&lt;&gt;"",일일실시사항!$J583="진행중"),MAX(0,TODAY()-일일실시사항!$B583)*10000+422,"")</f>
        <v/>
      </c>
    </row>
    <row r="580">
      <c r="AZ580">
        <f>IF(AND(업무일지!$B584&lt;&gt;"",업무일지!$AG584="진행중"),MAX(0,TODAY()-업무일지!$B584)*10000+421,"")</f>
        <v/>
      </c>
      <c r="BB580">
        <f>IF(AND(일일실시사항!$B584&lt;&gt;"",일일실시사항!$J584="진행중"),MAX(0,TODAY()-일일실시사항!$B584)*10000+421,"")</f>
        <v/>
      </c>
    </row>
    <row r="581">
      <c r="AZ581">
        <f>IF(AND(업무일지!$B585&lt;&gt;"",업무일지!$AG585="진행중"),MAX(0,TODAY()-업무일지!$B585)*10000+420,"")</f>
        <v/>
      </c>
      <c r="BB581">
        <f>IF(AND(일일실시사항!$B585&lt;&gt;"",일일실시사항!$J585="진행중"),MAX(0,TODAY()-일일실시사항!$B585)*10000+420,"")</f>
        <v/>
      </c>
    </row>
    <row r="582">
      <c r="AZ582">
        <f>IF(AND(업무일지!$B586&lt;&gt;"",업무일지!$AG586="진행중"),MAX(0,TODAY()-업무일지!$B586)*10000+419,"")</f>
        <v/>
      </c>
      <c r="BB582">
        <f>IF(AND(일일실시사항!$B586&lt;&gt;"",일일실시사항!$J586="진행중"),MAX(0,TODAY()-일일실시사항!$B586)*10000+419,"")</f>
        <v/>
      </c>
    </row>
    <row r="583">
      <c r="AZ583">
        <f>IF(AND(업무일지!$B587&lt;&gt;"",업무일지!$AG587="진행중"),MAX(0,TODAY()-업무일지!$B587)*10000+418,"")</f>
        <v/>
      </c>
      <c r="BB583">
        <f>IF(AND(일일실시사항!$B587&lt;&gt;"",일일실시사항!$J587="진행중"),MAX(0,TODAY()-일일실시사항!$B587)*10000+418,"")</f>
        <v/>
      </c>
    </row>
    <row r="584">
      <c r="AZ584">
        <f>IF(AND(업무일지!$B588&lt;&gt;"",업무일지!$AG588="진행중"),MAX(0,TODAY()-업무일지!$B588)*10000+417,"")</f>
        <v/>
      </c>
      <c r="BB584">
        <f>IF(AND(일일실시사항!$B588&lt;&gt;"",일일실시사항!$J588="진행중"),MAX(0,TODAY()-일일실시사항!$B588)*10000+417,"")</f>
        <v/>
      </c>
    </row>
    <row r="585">
      <c r="AZ585">
        <f>IF(AND(업무일지!$B589&lt;&gt;"",업무일지!$AG589="진행중"),MAX(0,TODAY()-업무일지!$B589)*10000+416,"")</f>
        <v/>
      </c>
      <c r="BB585">
        <f>IF(AND(일일실시사항!$B589&lt;&gt;"",일일실시사항!$J589="진행중"),MAX(0,TODAY()-일일실시사항!$B589)*10000+416,"")</f>
        <v/>
      </c>
    </row>
    <row r="586">
      <c r="AZ586">
        <f>IF(AND(업무일지!$B590&lt;&gt;"",업무일지!$AG590="진행중"),MAX(0,TODAY()-업무일지!$B590)*10000+415,"")</f>
        <v/>
      </c>
      <c r="BB586">
        <f>IF(AND(일일실시사항!$B590&lt;&gt;"",일일실시사항!$J590="진행중"),MAX(0,TODAY()-일일실시사항!$B590)*10000+415,"")</f>
        <v/>
      </c>
    </row>
    <row r="587">
      <c r="AZ587">
        <f>IF(AND(업무일지!$B591&lt;&gt;"",업무일지!$AG591="진행중"),MAX(0,TODAY()-업무일지!$B591)*10000+414,"")</f>
        <v/>
      </c>
      <c r="BB587">
        <f>IF(AND(일일실시사항!$B591&lt;&gt;"",일일실시사항!$J591="진행중"),MAX(0,TODAY()-일일실시사항!$B591)*10000+414,"")</f>
        <v/>
      </c>
    </row>
    <row r="588">
      <c r="AZ588">
        <f>IF(AND(업무일지!$B592&lt;&gt;"",업무일지!$AG592="진행중"),MAX(0,TODAY()-업무일지!$B592)*10000+413,"")</f>
        <v/>
      </c>
      <c r="BB588">
        <f>IF(AND(일일실시사항!$B592&lt;&gt;"",일일실시사항!$J592="진행중"),MAX(0,TODAY()-일일실시사항!$B592)*10000+413,"")</f>
        <v/>
      </c>
    </row>
    <row r="589">
      <c r="AZ589">
        <f>IF(AND(업무일지!$B593&lt;&gt;"",업무일지!$AG593="진행중"),MAX(0,TODAY()-업무일지!$B593)*10000+412,"")</f>
        <v/>
      </c>
      <c r="BB589">
        <f>IF(AND(일일실시사항!$B593&lt;&gt;"",일일실시사항!$J593="진행중"),MAX(0,TODAY()-일일실시사항!$B593)*10000+412,"")</f>
        <v/>
      </c>
    </row>
    <row r="590">
      <c r="AZ590">
        <f>IF(AND(업무일지!$B594&lt;&gt;"",업무일지!$AG594="진행중"),MAX(0,TODAY()-업무일지!$B594)*10000+411,"")</f>
        <v/>
      </c>
      <c r="BB590">
        <f>IF(AND(일일실시사항!$B594&lt;&gt;"",일일실시사항!$J594="진행중"),MAX(0,TODAY()-일일실시사항!$B594)*10000+411,"")</f>
        <v/>
      </c>
    </row>
    <row r="591">
      <c r="AZ591">
        <f>IF(AND(업무일지!$B595&lt;&gt;"",업무일지!$AG595="진행중"),MAX(0,TODAY()-업무일지!$B595)*10000+410,"")</f>
        <v/>
      </c>
      <c r="BB591">
        <f>IF(AND(일일실시사항!$B595&lt;&gt;"",일일실시사항!$J595="진행중"),MAX(0,TODAY()-일일실시사항!$B595)*10000+410,"")</f>
        <v/>
      </c>
    </row>
    <row r="592">
      <c r="AZ592">
        <f>IF(AND(업무일지!$B596&lt;&gt;"",업무일지!$AG596="진행중"),MAX(0,TODAY()-업무일지!$B596)*10000+409,"")</f>
        <v/>
      </c>
      <c r="BB592">
        <f>IF(AND(일일실시사항!$B596&lt;&gt;"",일일실시사항!$J596="진행중"),MAX(0,TODAY()-일일실시사항!$B596)*10000+409,"")</f>
        <v/>
      </c>
    </row>
    <row r="593">
      <c r="AZ593">
        <f>IF(AND(업무일지!$B597&lt;&gt;"",업무일지!$AG597="진행중"),MAX(0,TODAY()-업무일지!$B597)*10000+408,"")</f>
        <v/>
      </c>
      <c r="BB593">
        <f>IF(AND(일일실시사항!$B597&lt;&gt;"",일일실시사항!$J597="진행중"),MAX(0,TODAY()-일일실시사항!$B597)*10000+408,"")</f>
        <v/>
      </c>
    </row>
    <row r="594">
      <c r="AZ594">
        <f>IF(AND(업무일지!$B598&lt;&gt;"",업무일지!$AG598="진행중"),MAX(0,TODAY()-업무일지!$B598)*10000+407,"")</f>
        <v/>
      </c>
      <c r="BB594">
        <f>IF(AND(일일실시사항!$B598&lt;&gt;"",일일실시사항!$J598="진행중"),MAX(0,TODAY()-일일실시사항!$B598)*10000+407,"")</f>
        <v/>
      </c>
    </row>
    <row r="595">
      <c r="AZ595">
        <f>IF(AND(업무일지!$B599&lt;&gt;"",업무일지!$AG599="진행중"),MAX(0,TODAY()-업무일지!$B599)*10000+406,"")</f>
        <v/>
      </c>
      <c r="BB595">
        <f>IF(AND(일일실시사항!$B599&lt;&gt;"",일일실시사항!$J599="진행중"),MAX(0,TODAY()-일일실시사항!$B599)*10000+406,"")</f>
        <v/>
      </c>
    </row>
    <row r="596">
      <c r="AZ596">
        <f>IF(AND(업무일지!$B600&lt;&gt;"",업무일지!$AG600="진행중"),MAX(0,TODAY()-업무일지!$B600)*10000+405,"")</f>
        <v/>
      </c>
      <c r="BB596">
        <f>IF(AND(일일실시사항!$B600&lt;&gt;"",일일실시사항!$J600="진행중"),MAX(0,TODAY()-일일실시사항!$B600)*10000+405,"")</f>
        <v/>
      </c>
    </row>
    <row r="597">
      <c r="AZ597">
        <f>IF(AND(업무일지!$B601&lt;&gt;"",업무일지!$AG601="진행중"),MAX(0,TODAY()-업무일지!$B601)*10000+404,"")</f>
        <v/>
      </c>
      <c r="BB597">
        <f>IF(AND(일일실시사항!$B601&lt;&gt;"",일일실시사항!$J601="진행중"),MAX(0,TODAY()-일일실시사항!$B601)*10000+404,"")</f>
        <v/>
      </c>
    </row>
    <row r="598">
      <c r="AZ598">
        <f>IF(AND(업무일지!$B602&lt;&gt;"",업무일지!$AG602="진행중"),MAX(0,TODAY()-업무일지!$B602)*10000+403,"")</f>
        <v/>
      </c>
      <c r="BB598">
        <f>IF(AND(일일실시사항!$B602&lt;&gt;"",일일실시사항!$J602="진행중"),MAX(0,TODAY()-일일실시사항!$B602)*10000+403,"")</f>
        <v/>
      </c>
    </row>
    <row r="599">
      <c r="AZ599">
        <f>IF(AND(업무일지!$B603&lt;&gt;"",업무일지!$AG603="진행중"),MAX(0,TODAY()-업무일지!$B603)*10000+402,"")</f>
        <v/>
      </c>
      <c r="BB599">
        <f>IF(AND(일일실시사항!$B603&lt;&gt;"",일일실시사항!$J603="진행중"),MAX(0,TODAY()-일일실시사항!$B603)*10000+402,"")</f>
        <v/>
      </c>
    </row>
    <row r="600">
      <c r="AZ600">
        <f>IF(AND(업무일지!$B604&lt;&gt;"",업무일지!$AG604="진행중"),MAX(0,TODAY()-업무일지!$B604)*10000+401,"")</f>
        <v/>
      </c>
      <c r="BB600">
        <f>IF(AND(일일실시사항!$B604&lt;&gt;"",일일실시사항!$J604="진행중"),MAX(0,TODAY()-일일실시사항!$B604)*10000+401,"")</f>
        <v/>
      </c>
    </row>
    <row r="601">
      <c r="AZ601">
        <f>IF(AND(업무일지!$B605&lt;&gt;"",업무일지!$AG605="진행중"),MAX(0,TODAY()-업무일지!$B605)*10000+400,"")</f>
        <v/>
      </c>
      <c r="BB601">
        <f>IF(AND(일일실시사항!$B605&lt;&gt;"",일일실시사항!$J605="진행중"),MAX(0,TODAY()-일일실시사항!$B605)*10000+400,"")</f>
        <v/>
      </c>
    </row>
    <row r="602">
      <c r="AZ602">
        <f>IF(AND(업무일지!$B606&lt;&gt;"",업무일지!$AG606="진행중"),MAX(0,TODAY()-업무일지!$B606)*10000+399,"")</f>
        <v/>
      </c>
      <c r="BB602">
        <f>IF(AND(일일실시사항!$B606&lt;&gt;"",일일실시사항!$J606="진행중"),MAX(0,TODAY()-일일실시사항!$B606)*10000+399,"")</f>
        <v/>
      </c>
    </row>
    <row r="603">
      <c r="AZ603">
        <f>IF(AND(업무일지!$B607&lt;&gt;"",업무일지!$AG607="진행중"),MAX(0,TODAY()-업무일지!$B607)*10000+398,"")</f>
        <v/>
      </c>
      <c r="BB603">
        <f>IF(AND(일일실시사항!$B607&lt;&gt;"",일일실시사항!$J607="진행중"),MAX(0,TODAY()-일일실시사항!$B607)*10000+398,"")</f>
        <v/>
      </c>
    </row>
    <row r="604">
      <c r="AZ604">
        <f>IF(AND(업무일지!$B608&lt;&gt;"",업무일지!$AG608="진행중"),MAX(0,TODAY()-업무일지!$B608)*10000+397,"")</f>
        <v/>
      </c>
      <c r="BB604">
        <f>IF(AND(일일실시사항!$B608&lt;&gt;"",일일실시사항!$J608="진행중"),MAX(0,TODAY()-일일실시사항!$B608)*10000+397,"")</f>
        <v/>
      </c>
    </row>
    <row r="605">
      <c r="AZ605">
        <f>IF(AND(업무일지!$B609&lt;&gt;"",업무일지!$AG609="진행중"),MAX(0,TODAY()-업무일지!$B609)*10000+396,"")</f>
        <v/>
      </c>
      <c r="BB605">
        <f>IF(AND(일일실시사항!$B609&lt;&gt;"",일일실시사항!$J609="진행중"),MAX(0,TODAY()-일일실시사항!$B609)*10000+396,"")</f>
        <v/>
      </c>
    </row>
    <row r="606">
      <c r="AZ606">
        <f>IF(AND(업무일지!$B610&lt;&gt;"",업무일지!$AG610="진행중"),MAX(0,TODAY()-업무일지!$B610)*10000+395,"")</f>
        <v/>
      </c>
      <c r="BB606">
        <f>IF(AND(일일실시사항!$B610&lt;&gt;"",일일실시사항!$J610="진행중"),MAX(0,TODAY()-일일실시사항!$B610)*10000+395,"")</f>
        <v/>
      </c>
    </row>
    <row r="607">
      <c r="AZ607">
        <f>IF(AND(업무일지!$B611&lt;&gt;"",업무일지!$AG611="진행중"),MAX(0,TODAY()-업무일지!$B611)*10000+394,"")</f>
        <v/>
      </c>
      <c r="BB607">
        <f>IF(AND(일일실시사항!$B611&lt;&gt;"",일일실시사항!$J611="진행중"),MAX(0,TODAY()-일일실시사항!$B611)*10000+394,"")</f>
        <v/>
      </c>
    </row>
    <row r="608">
      <c r="AZ608">
        <f>IF(AND(업무일지!$B612&lt;&gt;"",업무일지!$AG612="진행중"),MAX(0,TODAY()-업무일지!$B612)*10000+393,"")</f>
        <v/>
      </c>
      <c r="BB608">
        <f>IF(AND(일일실시사항!$B612&lt;&gt;"",일일실시사항!$J612="진행중"),MAX(0,TODAY()-일일실시사항!$B612)*10000+393,"")</f>
        <v/>
      </c>
    </row>
    <row r="609">
      <c r="AZ609">
        <f>IF(AND(업무일지!$B613&lt;&gt;"",업무일지!$AG613="진행중"),MAX(0,TODAY()-업무일지!$B613)*10000+392,"")</f>
        <v/>
      </c>
      <c r="BB609">
        <f>IF(AND(일일실시사항!$B613&lt;&gt;"",일일실시사항!$J613="진행중"),MAX(0,TODAY()-일일실시사항!$B613)*10000+392,"")</f>
        <v/>
      </c>
    </row>
    <row r="610">
      <c r="AZ610">
        <f>IF(AND(업무일지!$B614&lt;&gt;"",업무일지!$AG614="진행중"),MAX(0,TODAY()-업무일지!$B614)*10000+391,"")</f>
        <v/>
      </c>
      <c r="BB610">
        <f>IF(AND(일일실시사항!$B614&lt;&gt;"",일일실시사항!$J614="진행중"),MAX(0,TODAY()-일일실시사항!$B614)*10000+391,"")</f>
        <v/>
      </c>
    </row>
    <row r="611">
      <c r="AZ611">
        <f>IF(AND(업무일지!$B615&lt;&gt;"",업무일지!$AG615="진행중"),MAX(0,TODAY()-업무일지!$B615)*10000+390,"")</f>
        <v/>
      </c>
      <c r="BB611">
        <f>IF(AND(일일실시사항!$B615&lt;&gt;"",일일실시사항!$J615="진행중"),MAX(0,TODAY()-일일실시사항!$B615)*10000+390,"")</f>
        <v/>
      </c>
    </row>
    <row r="612">
      <c r="AZ612">
        <f>IF(AND(업무일지!$B616&lt;&gt;"",업무일지!$AG616="진행중"),MAX(0,TODAY()-업무일지!$B616)*10000+389,"")</f>
        <v/>
      </c>
      <c r="BB612">
        <f>IF(AND(일일실시사항!$B616&lt;&gt;"",일일실시사항!$J616="진행중"),MAX(0,TODAY()-일일실시사항!$B616)*10000+389,"")</f>
        <v/>
      </c>
    </row>
    <row r="613">
      <c r="AZ613">
        <f>IF(AND(업무일지!$B617&lt;&gt;"",업무일지!$AG617="진행중"),MAX(0,TODAY()-업무일지!$B617)*10000+388,"")</f>
        <v/>
      </c>
      <c r="BB613">
        <f>IF(AND(일일실시사항!$B617&lt;&gt;"",일일실시사항!$J617="진행중"),MAX(0,TODAY()-일일실시사항!$B617)*10000+388,"")</f>
        <v/>
      </c>
    </row>
    <row r="614">
      <c r="AZ614">
        <f>IF(AND(업무일지!$B618&lt;&gt;"",업무일지!$AG618="진행중"),MAX(0,TODAY()-업무일지!$B618)*10000+387,"")</f>
        <v/>
      </c>
      <c r="BB614">
        <f>IF(AND(일일실시사항!$B618&lt;&gt;"",일일실시사항!$J618="진행중"),MAX(0,TODAY()-일일실시사항!$B618)*10000+387,"")</f>
        <v/>
      </c>
    </row>
    <row r="615">
      <c r="AZ615">
        <f>IF(AND(업무일지!$B619&lt;&gt;"",업무일지!$AG619="진행중"),MAX(0,TODAY()-업무일지!$B619)*10000+386,"")</f>
        <v/>
      </c>
      <c r="BB615">
        <f>IF(AND(일일실시사항!$B619&lt;&gt;"",일일실시사항!$J619="진행중"),MAX(0,TODAY()-일일실시사항!$B619)*10000+386,"")</f>
        <v/>
      </c>
    </row>
    <row r="616">
      <c r="AZ616">
        <f>IF(AND(업무일지!$B620&lt;&gt;"",업무일지!$AG620="진행중"),MAX(0,TODAY()-업무일지!$B620)*10000+385,"")</f>
        <v/>
      </c>
      <c r="BB616">
        <f>IF(AND(일일실시사항!$B620&lt;&gt;"",일일실시사항!$J620="진행중"),MAX(0,TODAY()-일일실시사항!$B620)*10000+385,"")</f>
        <v/>
      </c>
    </row>
    <row r="617">
      <c r="AZ617">
        <f>IF(AND(업무일지!$B621&lt;&gt;"",업무일지!$AG621="진행중"),MAX(0,TODAY()-업무일지!$B621)*10000+384,"")</f>
        <v/>
      </c>
      <c r="BB617">
        <f>IF(AND(일일실시사항!$B621&lt;&gt;"",일일실시사항!$J621="진행중"),MAX(0,TODAY()-일일실시사항!$B621)*10000+384,"")</f>
        <v/>
      </c>
    </row>
    <row r="618">
      <c r="AZ618">
        <f>IF(AND(업무일지!$B622&lt;&gt;"",업무일지!$AG622="진행중"),MAX(0,TODAY()-업무일지!$B622)*10000+383,"")</f>
        <v/>
      </c>
      <c r="BB618">
        <f>IF(AND(일일실시사항!$B622&lt;&gt;"",일일실시사항!$J622="진행중"),MAX(0,TODAY()-일일실시사항!$B622)*10000+383,"")</f>
        <v/>
      </c>
    </row>
    <row r="619">
      <c r="AZ619">
        <f>IF(AND(업무일지!$B623&lt;&gt;"",업무일지!$AG623="진행중"),MAX(0,TODAY()-업무일지!$B623)*10000+382,"")</f>
        <v/>
      </c>
      <c r="BB619">
        <f>IF(AND(일일실시사항!$B623&lt;&gt;"",일일실시사항!$J623="진행중"),MAX(0,TODAY()-일일실시사항!$B623)*10000+382,"")</f>
        <v/>
      </c>
    </row>
    <row r="620">
      <c r="AZ620">
        <f>IF(AND(업무일지!$B624&lt;&gt;"",업무일지!$AG624="진행중"),MAX(0,TODAY()-업무일지!$B624)*10000+381,"")</f>
        <v/>
      </c>
      <c r="BB620">
        <f>IF(AND(일일실시사항!$B624&lt;&gt;"",일일실시사항!$J624="진행중"),MAX(0,TODAY()-일일실시사항!$B624)*10000+381,"")</f>
        <v/>
      </c>
    </row>
    <row r="621">
      <c r="AZ621">
        <f>IF(AND(업무일지!$B625&lt;&gt;"",업무일지!$AG625="진행중"),MAX(0,TODAY()-업무일지!$B625)*10000+380,"")</f>
        <v/>
      </c>
      <c r="BB621">
        <f>IF(AND(일일실시사항!$B625&lt;&gt;"",일일실시사항!$J625="진행중"),MAX(0,TODAY()-일일실시사항!$B625)*10000+380,"")</f>
        <v/>
      </c>
    </row>
    <row r="622">
      <c r="AZ622">
        <f>IF(AND(업무일지!$B626&lt;&gt;"",업무일지!$AG626="진행중"),MAX(0,TODAY()-업무일지!$B626)*10000+379,"")</f>
        <v/>
      </c>
      <c r="BB622">
        <f>IF(AND(일일실시사항!$B626&lt;&gt;"",일일실시사항!$J626="진행중"),MAX(0,TODAY()-일일실시사항!$B626)*10000+379,"")</f>
        <v/>
      </c>
    </row>
    <row r="623">
      <c r="AZ623">
        <f>IF(AND(업무일지!$B627&lt;&gt;"",업무일지!$AG627="진행중"),MAX(0,TODAY()-업무일지!$B627)*10000+378,"")</f>
        <v/>
      </c>
      <c r="BB623">
        <f>IF(AND(일일실시사항!$B627&lt;&gt;"",일일실시사항!$J627="진행중"),MAX(0,TODAY()-일일실시사항!$B627)*10000+378,"")</f>
        <v/>
      </c>
    </row>
    <row r="624">
      <c r="AZ624">
        <f>IF(AND(업무일지!$B628&lt;&gt;"",업무일지!$AG628="진행중"),MAX(0,TODAY()-업무일지!$B628)*10000+377,"")</f>
        <v/>
      </c>
      <c r="BB624">
        <f>IF(AND(일일실시사항!$B628&lt;&gt;"",일일실시사항!$J628="진행중"),MAX(0,TODAY()-일일실시사항!$B628)*10000+377,"")</f>
        <v/>
      </c>
    </row>
    <row r="625">
      <c r="AZ625">
        <f>IF(AND(업무일지!$B629&lt;&gt;"",업무일지!$AG629="진행중"),MAX(0,TODAY()-업무일지!$B629)*10000+376,"")</f>
        <v/>
      </c>
      <c r="BB625">
        <f>IF(AND(일일실시사항!$B629&lt;&gt;"",일일실시사항!$J629="진행중"),MAX(0,TODAY()-일일실시사항!$B629)*10000+376,"")</f>
        <v/>
      </c>
    </row>
    <row r="626">
      <c r="AZ626">
        <f>IF(AND(업무일지!$B630&lt;&gt;"",업무일지!$AG630="진행중"),MAX(0,TODAY()-업무일지!$B630)*10000+375,"")</f>
        <v/>
      </c>
      <c r="BB626">
        <f>IF(AND(일일실시사항!$B630&lt;&gt;"",일일실시사항!$J630="진행중"),MAX(0,TODAY()-일일실시사항!$B630)*10000+375,"")</f>
        <v/>
      </c>
    </row>
    <row r="627">
      <c r="AZ627">
        <f>IF(AND(업무일지!$B631&lt;&gt;"",업무일지!$AG631="진행중"),MAX(0,TODAY()-업무일지!$B631)*10000+374,"")</f>
        <v/>
      </c>
      <c r="BB627">
        <f>IF(AND(일일실시사항!$B631&lt;&gt;"",일일실시사항!$J631="진행중"),MAX(0,TODAY()-일일실시사항!$B631)*10000+374,"")</f>
        <v/>
      </c>
    </row>
    <row r="628">
      <c r="AZ628">
        <f>IF(AND(업무일지!$B632&lt;&gt;"",업무일지!$AG632="진행중"),MAX(0,TODAY()-업무일지!$B632)*10000+373,"")</f>
        <v/>
      </c>
      <c r="BB628">
        <f>IF(AND(일일실시사항!$B632&lt;&gt;"",일일실시사항!$J632="진행중"),MAX(0,TODAY()-일일실시사항!$B632)*10000+373,"")</f>
        <v/>
      </c>
    </row>
    <row r="629">
      <c r="AZ629">
        <f>IF(AND(업무일지!$B633&lt;&gt;"",업무일지!$AG633="진행중"),MAX(0,TODAY()-업무일지!$B633)*10000+372,"")</f>
        <v/>
      </c>
      <c r="BB629">
        <f>IF(AND(일일실시사항!$B633&lt;&gt;"",일일실시사항!$J633="진행중"),MAX(0,TODAY()-일일실시사항!$B633)*10000+372,"")</f>
        <v/>
      </c>
    </row>
    <row r="630">
      <c r="AZ630">
        <f>IF(AND(업무일지!$B634&lt;&gt;"",업무일지!$AG634="진행중"),MAX(0,TODAY()-업무일지!$B634)*10000+371,"")</f>
        <v/>
      </c>
      <c r="BB630">
        <f>IF(AND(일일실시사항!$B634&lt;&gt;"",일일실시사항!$J634="진행중"),MAX(0,TODAY()-일일실시사항!$B634)*10000+371,"")</f>
        <v/>
      </c>
    </row>
    <row r="631">
      <c r="AZ631">
        <f>IF(AND(업무일지!$B635&lt;&gt;"",업무일지!$AG635="진행중"),MAX(0,TODAY()-업무일지!$B635)*10000+370,"")</f>
        <v/>
      </c>
      <c r="BB631">
        <f>IF(AND(일일실시사항!$B635&lt;&gt;"",일일실시사항!$J635="진행중"),MAX(0,TODAY()-일일실시사항!$B635)*10000+370,"")</f>
        <v/>
      </c>
    </row>
    <row r="632">
      <c r="AZ632">
        <f>IF(AND(업무일지!$B636&lt;&gt;"",업무일지!$AG636="진행중"),MAX(0,TODAY()-업무일지!$B636)*10000+369,"")</f>
        <v/>
      </c>
      <c r="BB632">
        <f>IF(AND(일일실시사항!$B636&lt;&gt;"",일일실시사항!$J636="진행중"),MAX(0,TODAY()-일일실시사항!$B636)*10000+369,"")</f>
        <v/>
      </c>
    </row>
    <row r="633">
      <c r="AZ633">
        <f>IF(AND(업무일지!$B637&lt;&gt;"",업무일지!$AG637="진행중"),MAX(0,TODAY()-업무일지!$B637)*10000+368,"")</f>
        <v/>
      </c>
      <c r="BB633">
        <f>IF(AND(일일실시사항!$B637&lt;&gt;"",일일실시사항!$J637="진행중"),MAX(0,TODAY()-일일실시사항!$B637)*10000+368,"")</f>
        <v/>
      </c>
    </row>
    <row r="634">
      <c r="AZ634">
        <f>IF(AND(업무일지!$B638&lt;&gt;"",업무일지!$AG638="진행중"),MAX(0,TODAY()-업무일지!$B638)*10000+367,"")</f>
        <v/>
      </c>
      <c r="BB634">
        <f>IF(AND(일일실시사항!$B638&lt;&gt;"",일일실시사항!$J638="진행중"),MAX(0,TODAY()-일일실시사항!$B638)*10000+367,"")</f>
        <v/>
      </c>
    </row>
    <row r="635">
      <c r="AZ635">
        <f>IF(AND(업무일지!$B639&lt;&gt;"",업무일지!$AG639="진행중"),MAX(0,TODAY()-업무일지!$B639)*10000+366,"")</f>
        <v/>
      </c>
      <c r="BB635">
        <f>IF(AND(일일실시사항!$B639&lt;&gt;"",일일실시사항!$J639="진행중"),MAX(0,TODAY()-일일실시사항!$B639)*10000+366,"")</f>
        <v/>
      </c>
    </row>
    <row r="636">
      <c r="AZ636">
        <f>IF(AND(업무일지!$B640&lt;&gt;"",업무일지!$AG640="진행중"),MAX(0,TODAY()-업무일지!$B640)*10000+365,"")</f>
        <v/>
      </c>
      <c r="BB636">
        <f>IF(AND(일일실시사항!$B640&lt;&gt;"",일일실시사항!$J640="진행중"),MAX(0,TODAY()-일일실시사항!$B640)*10000+365,"")</f>
        <v/>
      </c>
    </row>
    <row r="637">
      <c r="AZ637">
        <f>IF(AND(업무일지!$B641&lt;&gt;"",업무일지!$AG641="진행중"),MAX(0,TODAY()-업무일지!$B641)*10000+364,"")</f>
        <v/>
      </c>
      <c r="BB637">
        <f>IF(AND(일일실시사항!$B641&lt;&gt;"",일일실시사항!$J641="진행중"),MAX(0,TODAY()-일일실시사항!$B641)*10000+364,"")</f>
        <v/>
      </c>
    </row>
    <row r="638">
      <c r="AZ638">
        <f>IF(AND(업무일지!$B642&lt;&gt;"",업무일지!$AG642="진행중"),MAX(0,TODAY()-업무일지!$B642)*10000+363,"")</f>
        <v/>
      </c>
      <c r="BB638">
        <f>IF(AND(일일실시사항!$B642&lt;&gt;"",일일실시사항!$J642="진행중"),MAX(0,TODAY()-일일실시사항!$B642)*10000+363,"")</f>
        <v/>
      </c>
    </row>
    <row r="639">
      <c r="AZ639">
        <f>IF(AND(업무일지!$B643&lt;&gt;"",업무일지!$AG643="진행중"),MAX(0,TODAY()-업무일지!$B643)*10000+362,"")</f>
        <v/>
      </c>
      <c r="BB639">
        <f>IF(AND(일일실시사항!$B643&lt;&gt;"",일일실시사항!$J643="진행중"),MAX(0,TODAY()-일일실시사항!$B643)*10000+362,"")</f>
        <v/>
      </c>
    </row>
    <row r="640">
      <c r="AZ640">
        <f>IF(AND(업무일지!$B644&lt;&gt;"",업무일지!$AG644="진행중"),MAX(0,TODAY()-업무일지!$B644)*10000+361,"")</f>
        <v/>
      </c>
      <c r="BB640">
        <f>IF(AND(일일실시사항!$B644&lt;&gt;"",일일실시사항!$J644="진행중"),MAX(0,TODAY()-일일실시사항!$B644)*10000+361,"")</f>
        <v/>
      </c>
    </row>
    <row r="641">
      <c r="AZ641">
        <f>IF(AND(업무일지!$B645&lt;&gt;"",업무일지!$AG645="진행중"),MAX(0,TODAY()-업무일지!$B645)*10000+360,"")</f>
        <v/>
      </c>
      <c r="BB641">
        <f>IF(AND(일일실시사항!$B645&lt;&gt;"",일일실시사항!$J645="진행중"),MAX(0,TODAY()-일일실시사항!$B645)*10000+360,"")</f>
        <v/>
      </c>
    </row>
    <row r="642">
      <c r="AZ642">
        <f>IF(AND(업무일지!$B646&lt;&gt;"",업무일지!$AG646="진행중"),MAX(0,TODAY()-업무일지!$B646)*10000+359,"")</f>
        <v/>
      </c>
      <c r="BB642">
        <f>IF(AND(일일실시사항!$B646&lt;&gt;"",일일실시사항!$J646="진행중"),MAX(0,TODAY()-일일실시사항!$B646)*10000+359,"")</f>
        <v/>
      </c>
    </row>
    <row r="643">
      <c r="AZ643">
        <f>IF(AND(업무일지!$B647&lt;&gt;"",업무일지!$AG647="진행중"),MAX(0,TODAY()-업무일지!$B647)*10000+358,"")</f>
        <v/>
      </c>
      <c r="BB643">
        <f>IF(AND(일일실시사항!$B647&lt;&gt;"",일일실시사항!$J647="진행중"),MAX(0,TODAY()-일일실시사항!$B647)*10000+358,"")</f>
        <v/>
      </c>
    </row>
    <row r="644">
      <c r="AZ644">
        <f>IF(AND(업무일지!$B648&lt;&gt;"",업무일지!$AG648="진행중"),MAX(0,TODAY()-업무일지!$B648)*10000+357,"")</f>
        <v/>
      </c>
      <c r="BB644">
        <f>IF(AND(일일실시사항!$B648&lt;&gt;"",일일실시사항!$J648="진행중"),MAX(0,TODAY()-일일실시사항!$B648)*10000+357,"")</f>
        <v/>
      </c>
    </row>
    <row r="645">
      <c r="AZ645">
        <f>IF(AND(업무일지!$B649&lt;&gt;"",업무일지!$AG649="진행중"),MAX(0,TODAY()-업무일지!$B649)*10000+356,"")</f>
        <v/>
      </c>
      <c r="BB645">
        <f>IF(AND(일일실시사항!$B649&lt;&gt;"",일일실시사항!$J649="진행중"),MAX(0,TODAY()-일일실시사항!$B649)*10000+356,"")</f>
        <v/>
      </c>
    </row>
    <row r="646">
      <c r="AZ646">
        <f>IF(AND(업무일지!$B650&lt;&gt;"",업무일지!$AG650="진행중"),MAX(0,TODAY()-업무일지!$B650)*10000+355,"")</f>
        <v/>
      </c>
      <c r="BB646">
        <f>IF(AND(일일실시사항!$B650&lt;&gt;"",일일실시사항!$J650="진행중"),MAX(0,TODAY()-일일실시사항!$B650)*10000+355,"")</f>
        <v/>
      </c>
    </row>
    <row r="647">
      <c r="AZ647">
        <f>IF(AND(업무일지!$B651&lt;&gt;"",업무일지!$AG651="진행중"),MAX(0,TODAY()-업무일지!$B651)*10000+354,"")</f>
        <v/>
      </c>
      <c r="BB647">
        <f>IF(AND(일일실시사항!$B651&lt;&gt;"",일일실시사항!$J651="진행중"),MAX(0,TODAY()-일일실시사항!$B651)*10000+354,"")</f>
        <v/>
      </c>
    </row>
    <row r="648">
      <c r="AZ648">
        <f>IF(AND(업무일지!$B652&lt;&gt;"",업무일지!$AG652="진행중"),MAX(0,TODAY()-업무일지!$B652)*10000+353,"")</f>
        <v/>
      </c>
      <c r="BB648">
        <f>IF(AND(일일실시사항!$B652&lt;&gt;"",일일실시사항!$J652="진행중"),MAX(0,TODAY()-일일실시사항!$B652)*10000+353,"")</f>
        <v/>
      </c>
    </row>
    <row r="649">
      <c r="AZ649">
        <f>IF(AND(업무일지!$B653&lt;&gt;"",업무일지!$AG653="진행중"),MAX(0,TODAY()-업무일지!$B653)*10000+352,"")</f>
        <v/>
      </c>
      <c r="BB649">
        <f>IF(AND(일일실시사항!$B653&lt;&gt;"",일일실시사항!$J653="진행중"),MAX(0,TODAY()-일일실시사항!$B653)*10000+352,"")</f>
        <v/>
      </c>
    </row>
    <row r="650">
      <c r="AZ650">
        <f>IF(AND(업무일지!$B654&lt;&gt;"",업무일지!$AG654="진행중"),MAX(0,TODAY()-업무일지!$B654)*10000+351,"")</f>
        <v/>
      </c>
      <c r="BB650">
        <f>IF(AND(일일실시사항!$B654&lt;&gt;"",일일실시사항!$J654="진행중"),MAX(0,TODAY()-일일실시사항!$B654)*10000+351,"")</f>
        <v/>
      </c>
    </row>
    <row r="651">
      <c r="AZ651">
        <f>IF(AND(업무일지!$B655&lt;&gt;"",업무일지!$AG655="진행중"),MAX(0,TODAY()-업무일지!$B655)*10000+350,"")</f>
        <v/>
      </c>
      <c r="BB651">
        <f>IF(AND(일일실시사항!$B655&lt;&gt;"",일일실시사항!$J655="진행중"),MAX(0,TODAY()-일일실시사항!$B655)*10000+350,"")</f>
        <v/>
      </c>
    </row>
    <row r="652">
      <c r="AZ652">
        <f>IF(AND(업무일지!$B656&lt;&gt;"",업무일지!$AG656="진행중"),MAX(0,TODAY()-업무일지!$B656)*10000+349,"")</f>
        <v/>
      </c>
      <c r="BB652">
        <f>IF(AND(일일실시사항!$B656&lt;&gt;"",일일실시사항!$J656="진행중"),MAX(0,TODAY()-일일실시사항!$B656)*10000+349,"")</f>
        <v/>
      </c>
    </row>
    <row r="653">
      <c r="AZ653">
        <f>IF(AND(업무일지!$B657&lt;&gt;"",업무일지!$AG657="진행중"),MAX(0,TODAY()-업무일지!$B657)*10000+348,"")</f>
        <v/>
      </c>
      <c r="BB653">
        <f>IF(AND(일일실시사항!$B657&lt;&gt;"",일일실시사항!$J657="진행중"),MAX(0,TODAY()-일일실시사항!$B657)*10000+348,"")</f>
        <v/>
      </c>
    </row>
    <row r="654">
      <c r="AZ654">
        <f>IF(AND(업무일지!$B658&lt;&gt;"",업무일지!$AG658="진행중"),MAX(0,TODAY()-업무일지!$B658)*10000+347,"")</f>
        <v/>
      </c>
      <c r="BB654">
        <f>IF(AND(일일실시사항!$B658&lt;&gt;"",일일실시사항!$J658="진행중"),MAX(0,TODAY()-일일실시사항!$B658)*10000+347,"")</f>
        <v/>
      </c>
    </row>
    <row r="655">
      <c r="AZ655">
        <f>IF(AND(업무일지!$B659&lt;&gt;"",업무일지!$AG659="진행중"),MAX(0,TODAY()-업무일지!$B659)*10000+346,"")</f>
        <v/>
      </c>
      <c r="BB655">
        <f>IF(AND(일일실시사항!$B659&lt;&gt;"",일일실시사항!$J659="진행중"),MAX(0,TODAY()-일일실시사항!$B659)*10000+346,"")</f>
        <v/>
      </c>
    </row>
    <row r="656">
      <c r="AZ656">
        <f>IF(AND(업무일지!$B660&lt;&gt;"",업무일지!$AG660="진행중"),MAX(0,TODAY()-업무일지!$B660)*10000+345,"")</f>
        <v/>
      </c>
      <c r="BB656">
        <f>IF(AND(일일실시사항!$B660&lt;&gt;"",일일실시사항!$J660="진행중"),MAX(0,TODAY()-일일실시사항!$B660)*10000+345,"")</f>
        <v/>
      </c>
    </row>
    <row r="657">
      <c r="AZ657">
        <f>IF(AND(업무일지!$B661&lt;&gt;"",업무일지!$AG661="진행중"),MAX(0,TODAY()-업무일지!$B661)*10000+344,"")</f>
        <v/>
      </c>
      <c r="BB657">
        <f>IF(AND(일일실시사항!$B661&lt;&gt;"",일일실시사항!$J661="진행중"),MAX(0,TODAY()-일일실시사항!$B661)*10000+344,"")</f>
        <v/>
      </c>
    </row>
    <row r="658">
      <c r="AZ658">
        <f>IF(AND(업무일지!$B662&lt;&gt;"",업무일지!$AG662="진행중"),MAX(0,TODAY()-업무일지!$B662)*10000+343,"")</f>
        <v/>
      </c>
      <c r="BB658">
        <f>IF(AND(일일실시사항!$B662&lt;&gt;"",일일실시사항!$J662="진행중"),MAX(0,TODAY()-일일실시사항!$B662)*10000+343,"")</f>
        <v/>
      </c>
    </row>
    <row r="659">
      <c r="AZ659">
        <f>IF(AND(업무일지!$B663&lt;&gt;"",업무일지!$AG663="진행중"),MAX(0,TODAY()-업무일지!$B663)*10000+342,"")</f>
        <v/>
      </c>
      <c r="BB659">
        <f>IF(AND(일일실시사항!$B663&lt;&gt;"",일일실시사항!$J663="진행중"),MAX(0,TODAY()-일일실시사항!$B663)*10000+342,"")</f>
        <v/>
      </c>
    </row>
    <row r="660">
      <c r="AZ660">
        <f>IF(AND(업무일지!$B664&lt;&gt;"",업무일지!$AG664="진행중"),MAX(0,TODAY()-업무일지!$B664)*10000+341,"")</f>
        <v/>
      </c>
      <c r="BB660">
        <f>IF(AND(일일실시사항!$B664&lt;&gt;"",일일실시사항!$J664="진행중"),MAX(0,TODAY()-일일실시사항!$B664)*10000+341,"")</f>
        <v/>
      </c>
    </row>
    <row r="661">
      <c r="AZ661">
        <f>IF(AND(업무일지!$B665&lt;&gt;"",업무일지!$AG665="진행중"),MAX(0,TODAY()-업무일지!$B665)*10000+340,"")</f>
        <v/>
      </c>
      <c r="BB661">
        <f>IF(AND(일일실시사항!$B665&lt;&gt;"",일일실시사항!$J665="진행중"),MAX(0,TODAY()-일일실시사항!$B665)*10000+340,"")</f>
        <v/>
      </c>
    </row>
    <row r="662">
      <c r="AZ662">
        <f>IF(AND(업무일지!$B666&lt;&gt;"",업무일지!$AG666="진행중"),MAX(0,TODAY()-업무일지!$B666)*10000+339,"")</f>
        <v/>
      </c>
      <c r="BB662">
        <f>IF(AND(일일실시사항!$B666&lt;&gt;"",일일실시사항!$J666="진행중"),MAX(0,TODAY()-일일실시사항!$B666)*10000+339,"")</f>
        <v/>
      </c>
    </row>
    <row r="663">
      <c r="AZ663">
        <f>IF(AND(업무일지!$B667&lt;&gt;"",업무일지!$AG667="진행중"),MAX(0,TODAY()-업무일지!$B667)*10000+338,"")</f>
        <v/>
      </c>
      <c r="BB663">
        <f>IF(AND(일일실시사항!$B667&lt;&gt;"",일일실시사항!$J667="진행중"),MAX(0,TODAY()-일일실시사항!$B667)*10000+338,"")</f>
        <v/>
      </c>
    </row>
    <row r="664">
      <c r="AZ664">
        <f>IF(AND(업무일지!$B668&lt;&gt;"",업무일지!$AG668="진행중"),MAX(0,TODAY()-업무일지!$B668)*10000+337,"")</f>
        <v/>
      </c>
      <c r="BB664">
        <f>IF(AND(일일실시사항!$B668&lt;&gt;"",일일실시사항!$J668="진행중"),MAX(0,TODAY()-일일실시사항!$B668)*10000+337,"")</f>
        <v/>
      </c>
    </row>
    <row r="665">
      <c r="AZ665">
        <f>IF(AND(업무일지!$B669&lt;&gt;"",업무일지!$AG669="진행중"),MAX(0,TODAY()-업무일지!$B669)*10000+336,"")</f>
        <v/>
      </c>
      <c r="BB665">
        <f>IF(AND(일일실시사항!$B669&lt;&gt;"",일일실시사항!$J669="진행중"),MAX(0,TODAY()-일일실시사항!$B669)*10000+336,"")</f>
        <v/>
      </c>
    </row>
    <row r="666">
      <c r="AZ666">
        <f>IF(AND(업무일지!$B670&lt;&gt;"",업무일지!$AG670="진행중"),MAX(0,TODAY()-업무일지!$B670)*10000+335,"")</f>
        <v/>
      </c>
      <c r="BB666">
        <f>IF(AND(일일실시사항!$B670&lt;&gt;"",일일실시사항!$J670="진행중"),MAX(0,TODAY()-일일실시사항!$B670)*10000+335,"")</f>
        <v/>
      </c>
    </row>
    <row r="667">
      <c r="AZ667">
        <f>IF(AND(업무일지!$B671&lt;&gt;"",업무일지!$AG671="진행중"),MAX(0,TODAY()-업무일지!$B671)*10000+334,"")</f>
        <v/>
      </c>
      <c r="BB667">
        <f>IF(AND(일일실시사항!$B671&lt;&gt;"",일일실시사항!$J671="진행중"),MAX(0,TODAY()-일일실시사항!$B671)*10000+334,"")</f>
        <v/>
      </c>
    </row>
    <row r="668">
      <c r="AZ668">
        <f>IF(AND(업무일지!$B672&lt;&gt;"",업무일지!$AG672="진행중"),MAX(0,TODAY()-업무일지!$B672)*10000+333,"")</f>
        <v/>
      </c>
      <c r="BB668">
        <f>IF(AND(일일실시사항!$B672&lt;&gt;"",일일실시사항!$J672="진행중"),MAX(0,TODAY()-일일실시사항!$B672)*10000+333,"")</f>
        <v/>
      </c>
    </row>
    <row r="669">
      <c r="AZ669">
        <f>IF(AND(업무일지!$B673&lt;&gt;"",업무일지!$AG673="진행중"),MAX(0,TODAY()-업무일지!$B673)*10000+332,"")</f>
        <v/>
      </c>
      <c r="BB669">
        <f>IF(AND(일일실시사항!$B673&lt;&gt;"",일일실시사항!$J673="진행중"),MAX(0,TODAY()-일일실시사항!$B673)*10000+332,"")</f>
        <v/>
      </c>
    </row>
    <row r="670">
      <c r="AZ670">
        <f>IF(AND(업무일지!$B674&lt;&gt;"",업무일지!$AG674="진행중"),MAX(0,TODAY()-업무일지!$B674)*10000+331,"")</f>
        <v/>
      </c>
      <c r="BB670">
        <f>IF(AND(일일실시사항!$B674&lt;&gt;"",일일실시사항!$J674="진행중"),MAX(0,TODAY()-일일실시사항!$B674)*10000+331,"")</f>
        <v/>
      </c>
    </row>
    <row r="671">
      <c r="AZ671">
        <f>IF(AND(업무일지!$B675&lt;&gt;"",업무일지!$AG675="진행중"),MAX(0,TODAY()-업무일지!$B675)*10000+330,"")</f>
        <v/>
      </c>
      <c r="BB671">
        <f>IF(AND(일일실시사항!$B675&lt;&gt;"",일일실시사항!$J675="진행중"),MAX(0,TODAY()-일일실시사항!$B675)*10000+330,"")</f>
        <v/>
      </c>
    </row>
    <row r="672">
      <c r="AZ672">
        <f>IF(AND(업무일지!$B676&lt;&gt;"",업무일지!$AG676="진행중"),MAX(0,TODAY()-업무일지!$B676)*10000+329,"")</f>
        <v/>
      </c>
      <c r="BB672">
        <f>IF(AND(일일실시사항!$B676&lt;&gt;"",일일실시사항!$J676="진행중"),MAX(0,TODAY()-일일실시사항!$B676)*10000+329,"")</f>
        <v/>
      </c>
    </row>
    <row r="673">
      <c r="AZ673">
        <f>IF(AND(업무일지!$B677&lt;&gt;"",업무일지!$AG677="진행중"),MAX(0,TODAY()-업무일지!$B677)*10000+328,"")</f>
        <v/>
      </c>
      <c r="BB673">
        <f>IF(AND(일일실시사항!$B677&lt;&gt;"",일일실시사항!$J677="진행중"),MAX(0,TODAY()-일일실시사항!$B677)*10000+328,"")</f>
        <v/>
      </c>
    </row>
    <row r="674">
      <c r="AZ674">
        <f>IF(AND(업무일지!$B678&lt;&gt;"",업무일지!$AG678="진행중"),MAX(0,TODAY()-업무일지!$B678)*10000+327,"")</f>
        <v/>
      </c>
      <c r="BB674">
        <f>IF(AND(일일실시사항!$B678&lt;&gt;"",일일실시사항!$J678="진행중"),MAX(0,TODAY()-일일실시사항!$B678)*10000+327,"")</f>
        <v/>
      </c>
    </row>
    <row r="675">
      <c r="AZ675">
        <f>IF(AND(업무일지!$B679&lt;&gt;"",업무일지!$AG679="진행중"),MAX(0,TODAY()-업무일지!$B679)*10000+326,"")</f>
        <v/>
      </c>
      <c r="BB675">
        <f>IF(AND(일일실시사항!$B679&lt;&gt;"",일일실시사항!$J679="진행중"),MAX(0,TODAY()-일일실시사항!$B679)*10000+326,"")</f>
        <v/>
      </c>
    </row>
    <row r="676">
      <c r="AZ676">
        <f>IF(AND(업무일지!$B680&lt;&gt;"",업무일지!$AG680="진행중"),MAX(0,TODAY()-업무일지!$B680)*10000+325,"")</f>
        <v/>
      </c>
      <c r="BB676">
        <f>IF(AND(일일실시사항!$B680&lt;&gt;"",일일실시사항!$J680="진행중"),MAX(0,TODAY()-일일실시사항!$B680)*10000+325,"")</f>
        <v/>
      </c>
    </row>
    <row r="677">
      <c r="AZ677">
        <f>IF(AND(업무일지!$B681&lt;&gt;"",업무일지!$AG681="진행중"),MAX(0,TODAY()-업무일지!$B681)*10000+324,"")</f>
        <v/>
      </c>
      <c r="BB677">
        <f>IF(AND(일일실시사항!$B681&lt;&gt;"",일일실시사항!$J681="진행중"),MAX(0,TODAY()-일일실시사항!$B681)*10000+324,"")</f>
        <v/>
      </c>
    </row>
    <row r="678">
      <c r="AZ678">
        <f>IF(AND(업무일지!$B682&lt;&gt;"",업무일지!$AG682="진행중"),MAX(0,TODAY()-업무일지!$B682)*10000+323,"")</f>
        <v/>
      </c>
      <c r="BB678">
        <f>IF(AND(일일실시사항!$B682&lt;&gt;"",일일실시사항!$J682="진행중"),MAX(0,TODAY()-일일실시사항!$B682)*10000+323,"")</f>
        <v/>
      </c>
    </row>
    <row r="679">
      <c r="AZ679">
        <f>IF(AND(업무일지!$B683&lt;&gt;"",업무일지!$AG683="진행중"),MAX(0,TODAY()-업무일지!$B683)*10000+322,"")</f>
        <v/>
      </c>
      <c r="BB679">
        <f>IF(AND(일일실시사항!$B683&lt;&gt;"",일일실시사항!$J683="진행중"),MAX(0,TODAY()-일일실시사항!$B683)*10000+322,"")</f>
        <v/>
      </c>
    </row>
    <row r="680">
      <c r="AZ680">
        <f>IF(AND(업무일지!$B684&lt;&gt;"",업무일지!$AG684="진행중"),MAX(0,TODAY()-업무일지!$B684)*10000+321,"")</f>
        <v/>
      </c>
      <c r="BB680">
        <f>IF(AND(일일실시사항!$B684&lt;&gt;"",일일실시사항!$J684="진행중"),MAX(0,TODAY()-일일실시사항!$B684)*10000+321,"")</f>
        <v/>
      </c>
    </row>
    <row r="681">
      <c r="AZ681">
        <f>IF(AND(업무일지!$B685&lt;&gt;"",업무일지!$AG685="진행중"),MAX(0,TODAY()-업무일지!$B685)*10000+320,"")</f>
        <v/>
      </c>
      <c r="BB681">
        <f>IF(AND(일일실시사항!$B685&lt;&gt;"",일일실시사항!$J685="진행중"),MAX(0,TODAY()-일일실시사항!$B685)*10000+320,"")</f>
        <v/>
      </c>
    </row>
    <row r="682">
      <c r="AZ682">
        <f>IF(AND(업무일지!$B686&lt;&gt;"",업무일지!$AG686="진행중"),MAX(0,TODAY()-업무일지!$B686)*10000+319,"")</f>
        <v/>
      </c>
      <c r="BB682">
        <f>IF(AND(일일실시사항!$B686&lt;&gt;"",일일실시사항!$J686="진행중"),MAX(0,TODAY()-일일실시사항!$B686)*10000+319,"")</f>
        <v/>
      </c>
    </row>
    <row r="683">
      <c r="AZ683">
        <f>IF(AND(업무일지!$B687&lt;&gt;"",업무일지!$AG687="진행중"),MAX(0,TODAY()-업무일지!$B687)*10000+318,"")</f>
        <v/>
      </c>
      <c r="BB683">
        <f>IF(AND(일일실시사항!$B687&lt;&gt;"",일일실시사항!$J687="진행중"),MAX(0,TODAY()-일일실시사항!$B687)*10000+318,"")</f>
        <v/>
      </c>
    </row>
    <row r="684">
      <c r="AZ684">
        <f>IF(AND(업무일지!$B688&lt;&gt;"",업무일지!$AG688="진행중"),MAX(0,TODAY()-업무일지!$B688)*10000+317,"")</f>
        <v/>
      </c>
      <c r="BB684">
        <f>IF(AND(일일실시사항!$B688&lt;&gt;"",일일실시사항!$J688="진행중"),MAX(0,TODAY()-일일실시사항!$B688)*10000+317,"")</f>
        <v/>
      </c>
    </row>
    <row r="685">
      <c r="AZ685">
        <f>IF(AND(업무일지!$B689&lt;&gt;"",업무일지!$AG689="진행중"),MAX(0,TODAY()-업무일지!$B689)*10000+316,"")</f>
        <v/>
      </c>
      <c r="BB685">
        <f>IF(AND(일일실시사항!$B689&lt;&gt;"",일일실시사항!$J689="진행중"),MAX(0,TODAY()-일일실시사항!$B689)*10000+316,"")</f>
        <v/>
      </c>
    </row>
    <row r="686">
      <c r="AZ686">
        <f>IF(AND(업무일지!$B690&lt;&gt;"",업무일지!$AG690="진행중"),MAX(0,TODAY()-업무일지!$B690)*10000+315,"")</f>
        <v/>
      </c>
      <c r="BB686">
        <f>IF(AND(일일실시사항!$B690&lt;&gt;"",일일실시사항!$J690="진행중"),MAX(0,TODAY()-일일실시사항!$B690)*10000+315,"")</f>
        <v/>
      </c>
    </row>
    <row r="687">
      <c r="AZ687">
        <f>IF(AND(업무일지!$B691&lt;&gt;"",업무일지!$AG691="진행중"),MAX(0,TODAY()-업무일지!$B691)*10000+314,"")</f>
        <v/>
      </c>
      <c r="BB687">
        <f>IF(AND(일일실시사항!$B691&lt;&gt;"",일일실시사항!$J691="진행중"),MAX(0,TODAY()-일일실시사항!$B691)*10000+314,"")</f>
        <v/>
      </c>
    </row>
    <row r="688">
      <c r="AZ688">
        <f>IF(AND(업무일지!$B692&lt;&gt;"",업무일지!$AG692="진행중"),MAX(0,TODAY()-업무일지!$B692)*10000+313,"")</f>
        <v/>
      </c>
      <c r="BB688">
        <f>IF(AND(일일실시사항!$B692&lt;&gt;"",일일실시사항!$J692="진행중"),MAX(0,TODAY()-일일실시사항!$B692)*10000+313,"")</f>
        <v/>
      </c>
    </row>
    <row r="689">
      <c r="AZ689">
        <f>IF(AND(업무일지!$B693&lt;&gt;"",업무일지!$AG693="진행중"),MAX(0,TODAY()-업무일지!$B693)*10000+312,"")</f>
        <v/>
      </c>
      <c r="BB689">
        <f>IF(AND(일일실시사항!$B693&lt;&gt;"",일일실시사항!$J693="진행중"),MAX(0,TODAY()-일일실시사항!$B693)*10000+312,"")</f>
        <v/>
      </c>
    </row>
    <row r="690">
      <c r="AZ690">
        <f>IF(AND(업무일지!$B694&lt;&gt;"",업무일지!$AG694="진행중"),MAX(0,TODAY()-업무일지!$B694)*10000+311,"")</f>
        <v/>
      </c>
      <c r="BB690">
        <f>IF(AND(일일실시사항!$B694&lt;&gt;"",일일실시사항!$J694="진행중"),MAX(0,TODAY()-일일실시사항!$B694)*10000+311,"")</f>
        <v/>
      </c>
    </row>
    <row r="691">
      <c r="AZ691">
        <f>IF(AND(업무일지!$B695&lt;&gt;"",업무일지!$AG695="진행중"),MAX(0,TODAY()-업무일지!$B695)*10000+310,"")</f>
        <v/>
      </c>
      <c r="BB691">
        <f>IF(AND(일일실시사항!$B695&lt;&gt;"",일일실시사항!$J695="진행중"),MAX(0,TODAY()-일일실시사항!$B695)*10000+310,"")</f>
        <v/>
      </c>
    </row>
    <row r="692">
      <c r="AZ692">
        <f>IF(AND(업무일지!$B696&lt;&gt;"",업무일지!$AG696="진행중"),MAX(0,TODAY()-업무일지!$B696)*10000+309,"")</f>
        <v/>
      </c>
      <c r="BB692">
        <f>IF(AND(일일실시사항!$B696&lt;&gt;"",일일실시사항!$J696="진행중"),MAX(0,TODAY()-일일실시사항!$B696)*10000+309,"")</f>
        <v/>
      </c>
    </row>
    <row r="693">
      <c r="AZ693">
        <f>IF(AND(업무일지!$B697&lt;&gt;"",업무일지!$AG697="진행중"),MAX(0,TODAY()-업무일지!$B697)*10000+308,"")</f>
        <v/>
      </c>
      <c r="BB693">
        <f>IF(AND(일일실시사항!$B697&lt;&gt;"",일일실시사항!$J697="진행중"),MAX(0,TODAY()-일일실시사항!$B697)*10000+308,"")</f>
        <v/>
      </c>
    </row>
    <row r="694">
      <c r="AZ694">
        <f>IF(AND(업무일지!$B698&lt;&gt;"",업무일지!$AG698="진행중"),MAX(0,TODAY()-업무일지!$B698)*10000+307,"")</f>
        <v/>
      </c>
      <c r="BB694">
        <f>IF(AND(일일실시사항!$B698&lt;&gt;"",일일실시사항!$J698="진행중"),MAX(0,TODAY()-일일실시사항!$B698)*10000+307,"")</f>
        <v/>
      </c>
    </row>
    <row r="695">
      <c r="AZ695">
        <f>IF(AND(업무일지!$B699&lt;&gt;"",업무일지!$AG699="진행중"),MAX(0,TODAY()-업무일지!$B699)*10000+306,"")</f>
        <v/>
      </c>
      <c r="BB695">
        <f>IF(AND(일일실시사항!$B699&lt;&gt;"",일일실시사항!$J699="진행중"),MAX(0,TODAY()-일일실시사항!$B699)*10000+306,"")</f>
        <v/>
      </c>
    </row>
    <row r="696">
      <c r="AZ696">
        <f>IF(AND(업무일지!$B700&lt;&gt;"",업무일지!$AG700="진행중"),MAX(0,TODAY()-업무일지!$B700)*10000+305,"")</f>
        <v/>
      </c>
      <c r="BB696">
        <f>IF(AND(일일실시사항!$B700&lt;&gt;"",일일실시사항!$J700="진행중"),MAX(0,TODAY()-일일실시사항!$B700)*10000+305,"")</f>
        <v/>
      </c>
    </row>
    <row r="697">
      <c r="AZ697">
        <f>IF(AND(업무일지!$B701&lt;&gt;"",업무일지!$AG701="진행중"),MAX(0,TODAY()-업무일지!$B701)*10000+304,"")</f>
        <v/>
      </c>
      <c r="BB697">
        <f>IF(AND(일일실시사항!$B701&lt;&gt;"",일일실시사항!$J701="진행중"),MAX(0,TODAY()-일일실시사항!$B701)*10000+304,"")</f>
        <v/>
      </c>
    </row>
    <row r="698">
      <c r="AZ698">
        <f>IF(AND(업무일지!$B702&lt;&gt;"",업무일지!$AG702="진행중"),MAX(0,TODAY()-업무일지!$B702)*10000+303,"")</f>
        <v/>
      </c>
      <c r="BB698">
        <f>IF(AND(일일실시사항!$B702&lt;&gt;"",일일실시사항!$J702="진행중"),MAX(0,TODAY()-일일실시사항!$B702)*10000+303,"")</f>
        <v/>
      </c>
    </row>
    <row r="699">
      <c r="AZ699">
        <f>IF(AND(업무일지!$B703&lt;&gt;"",업무일지!$AG703="진행중"),MAX(0,TODAY()-업무일지!$B703)*10000+302,"")</f>
        <v/>
      </c>
      <c r="BB699">
        <f>IF(AND(일일실시사항!$B703&lt;&gt;"",일일실시사항!$J703="진행중"),MAX(0,TODAY()-일일실시사항!$B703)*10000+302,"")</f>
        <v/>
      </c>
    </row>
    <row r="700">
      <c r="AZ700">
        <f>IF(AND(업무일지!$B704&lt;&gt;"",업무일지!$AG704="진행중"),MAX(0,TODAY()-업무일지!$B704)*10000+301,"")</f>
        <v/>
      </c>
      <c r="BB700">
        <f>IF(AND(일일실시사항!$B704&lt;&gt;"",일일실시사항!$J704="진행중"),MAX(0,TODAY()-일일실시사항!$B704)*10000+301,"")</f>
        <v/>
      </c>
    </row>
    <row r="701">
      <c r="AZ701">
        <f>IF(AND(업무일지!$B705&lt;&gt;"",업무일지!$AG705="진행중"),MAX(0,TODAY()-업무일지!$B705)*10000+300,"")</f>
        <v/>
      </c>
      <c r="BB701">
        <f>IF(AND(일일실시사항!$B705&lt;&gt;"",일일실시사항!$J705="진행중"),MAX(0,TODAY()-일일실시사항!$B705)*10000+300,"")</f>
        <v/>
      </c>
    </row>
    <row r="702">
      <c r="AZ702">
        <f>IF(AND(업무일지!$B706&lt;&gt;"",업무일지!$AG706="진행중"),MAX(0,TODAY()-업무일지!$B706)*10000+299,"")</f>
        <v/>
      </c>
      <c r="BB702">
        <f>IF(AND(일일실시사항!$B706&lt;&gt;"",일일실시사항!$J706="진행중"),MAX(0,TODAY()-일일실시사항!$B706)*10000+299,"")</f>
        <v/>
      </c>
    </row>
    <row r="703">
      <c r="AZ703">
        <f>IF(AND(업무일지!$B707&lt;&gt;"",업무일지!$AG707="진행중"),MAX(0,TODAY()-업무일지!$B707)*10000+298,"")</f>
        <v/>
      </c>
      <c r="BB703">
        <f>IF(AND(일일실시사항!$B707&lt;&gt;"",일일실시사항!$J707="진행중"),MAX(0,TODAY()-일일실시사항!$B707)*10000+298,"")</f>
        <v/>
      </c>
    </row>
    <row r="704">
      <c r="AZ704">
        <f>IF(AND(업무일지!$B708&lt;&gt;"",업무일지!$AG708="진행중"),MAX(0,TODAY()-업무일지!$B708)*10000+297,"")</f>
        <v/>
      </c>
      <c r="BB704">
        <f>IF(AND(일일실시사항!$B708&lt;&gt;"",일일실시사항!$J708="진행중"),MAX(0,TODAY()-일일실시사항!$B708)*10000+297,"")</f>
        <v/>
      </c>
    </row>
    <row r="705">
      <c r="AZ705">
        <f>IF(AND(업무일지!$B709&lt;&gt;"",업무일지!$AG709="진행중"),MAX(0,TODAY()-업무일지!$B709)*10000+296,"")</f>
        <v/>
      </c>
      <c r="BB705">
        <f>IF(AND(일일실시사항!$B709&lt;&gt;"",일일실시사항!$J709="진행중"),MAX(0,TODAY()-일일실시사항!$B709)*10000+296,"")</f>
        <v/>
      </c>
    </row>
    <row r="706">
      <c r="AZ706">
        <f>IF(AND(업무일지!$B710&lt;&gt;"",업무일지!$AG710="진행중"),MAX(0,TODAY()-업무일지!$B710)*10000+295,"")</f>
        <v/>
      </c>
      <c r="BB706">
        <f>IF(AND(일일실시사항!$B710&lt;&gt;"",일일실시사항!$J710="진행중"),MAX(0,TODAY()-일일실시사항!$B710)*10000+295,"")</f>
        <v/>
      </c>
    </row>
    <row r="707">
      <c r="AZ707">
        <f>IF(AND(업무일지!$B711&lt;&gt;"",업무일지!$AG711="진행중"),MAX(0,TODAY()-업무일지!$B711)*10000+294,"")</f>
        <v/>
      </c>
      <c r="BB707">
        <f>IF(AND(일일실시사항!$B711&lt;&gt;"",일일실시사항!$J711="진행중"),MAX(0,TODAY()-일일실시사항!$B711)*10000+294,"")</f>
        <v/>
      </c>
    </row>
    <row r="708">
      <c r="AZ708">
        <f>IF(AND(업무일지!$B712&lt;&gt;"",업무일지!$AG712="진행중"),MAX(0,TODAY()-업무일지!$B712)*10000+293,"")</f>
        <v/>
      </c>
      <c r="BB708">
        <f>IF(AND(일일실시사항!$B712&lt;&gt;"",일일실시사항!$J712="진행중"),MAX(0,TODAY()-일일실시사항!$B712)*10000+293,"")</f>
        <v/>
      </c>
    </row>
    <row r="709">
      <c r="AZ709">
        <f>IF(AND(업무일지!$B713&lt;&gt;"",업무일지!$AG713="진행중"),MAX(0,TODAY()-업무일지!$B713)*10000+292,"")</f>
        <v/>
      </c>
      <c r="BB709">
        <f>IF(AND(일일실시사항!$B713&lt;&gt;"",일일실시사항!$J713="진행중"),MAX(0,TODAY()-일일실시사항!$B713)*10000+292,"")</f>
        <v/>
      </c>
    </row>
    <row r="710">
      <c r="AZ710">
        <f>IF(AND(업무일지!$B714&lt;&gt;"",업무일지!$AG714="진행중"),MAX(0,TODAY()-업무일지!$B714)*10000+291,"")</f>
        <v/>
      </c>
      <c r="BB710">
        <f>IF(AND(일일실시사항!$B714&lt;&gt;"",일일실시사항!$J714="진행중"),MAX(0,TODAY()-일일실시사항!$B714)*10000+291,"")</f>
        <v/>
      </c>
    </row>
    <row r="711">
      <c r="AZ711">
        <f>IF(AND(업무일지!$B715&lt;&gt;"",업무일지!$AG715="진행중"),MAX(0,TODAY()-업무일지!$B715)*10000+290,"")</f>
        <v/>
      </c>
      <c r="BB711">
        <f>IF(AND(일일실시사항!$B715&lt;&gt;"",일일실시사항!$J715="진행중"),MAX(0,TODAY()-일일실시사항!$B715)*10000+290,"")</f>
        <v/>
      </c>
    </row>
    <row r="712">
      <c r="AZ712">
        <f>IF(AND(업무일지!$B716&lt;&gt;"",업무일지!$AG716="진행중"),MAX(0,TODAY()-업무일지!$B716)*10000+289,"")</f>
        <v/>
      </c>
      <c r="BB712">
        <f>IF(AND(일일실시사항!$B716&lt;&gt;"",일일실시사항!$J716="진행중"),MAX(0,TODAY()-일일실시사항!$B716)*10000+289,"")</f>
        <v/>
      </c>
    </row>
    <row r="713">
      <c r="AZ713">
        <f>IF(AND(업무일지!$B717&lt;&gt;"",업무일지!$AG717="진행중"),MAX(0,TODAY()-업무일지!$B717)*10000+288,"")</f>
        <v/>
      </c>
      <c r="BB713">
        <f>IF(AND(일일실시사항!$B717&lt;&gt;"",일일실시사항!$J717="진행중"),MAX(0,TODAY()-일일실시사항!$B717)*10000+288,"")</f>
        <v/>
      </c>
    </row>
    <row r="714">
      <c r="AZ714">
        <f>IF(AND(업무일지!$B718&lt;&gt;"",업무일지!$AG718="진행중"),MAX(0,TODAY()-업무일지!$B718)*10000+287,"")</f>
        <v/>
      </c>
      <c r="BB714">
        <f>IF(AND(일일실시사항!$B718&lt;&gt;"",일일실시사항!$J718="진행중"),MAX(0,TODAY()-일일실시사항!$B718)*10000+287,"")</f>
        <v/>
      </c>
    </row>
    <row r="715">
      <c r="AZ715">
        <f>IF(AND(업무일지!$B719&lt;&gt;"",업무일지!$AG719="진행중"),MAX(0,TODAY()-업무일지!$B719)*10000+286,"")</f>
        <v/>
      </c>
      <c r="BB715">
        <f>IF(AND(일일실시사항!$B719&lt;&gt;"",일일실시사항!$J719="진행중"),MAX(0,TODAY()-일일실시사항!$B719)*10000+286,"")</f>
        <v/>
      </c>
    </row>
    <row r="716">
      <c r="AZ716">
        <f>IF(AND(업무일지!$B720&lt;&gt;"",업무일지!$AG720="진행중"),MAX(0,TODAY()-업무일지!$B720)*10000+285,"")</f>
        <v/>
      </c>
      <c r="BB716">
        <f>IF(AND(일일실시사항!$B720&lt;&gt;"",일일실시사항!$J720="진행중"),MAX(0,TODAY()-일일실시사항!$B720)*10000+285,"")</f>
        <v/>
      </c>
    </row>
    <row r="717">
      <c r="AZ717">
        <f>IF(AND(업무일지!$B721&lt;&gt;"",업무일지!$AG721="진행중"),MAX(0,TODAY()-업무일지!$B721)*10000+284,"")</f>
        <v/>
      </c>
      <c r="BB717">
        <f>IF(AND(일일실시사항!$B721&lt;&gt;"",일일실시사항!$J721="진행중"),MAX(0,TODAY()-일일실시사항!$B721)*10000+284,"")</f>
        <v/>
      </c>
    </row>
    <row r="718">
      <c r="AZ718">
        <f>IF(AND(업무일지!$B722&lt;&gt;"",업무일지!$AG722="진행중"),MAX(0,TODAY()-업무일지!$B722)*10000+283,"")</f>
        <v/>
      </c>
      <c r="BB718">
        <f>IF(AND(일일실시사항!$B722&lt;&gt;"",일일실시사항!$J722="진행중"),MAX(0,TODAY()-일일실시사항!$B722)*10000+283,"")</f>
        <v/>
      </c>
    </row>
    <row r="719">
      <c r="AZ719">
        <f>IF(AND(업무일지!$B723&lt;&gt;"",업무일지!$AG723="진행중"),MAX(0,TODAY()-업무일지!$B723)*10000+282,"")</f>
        <v/>
      </c>
      <c r="BB719">
        <f>IF(AND(일일실시사항!$B723&lt;&gt;"",일일실시사항!$J723="진행중"),MAX(0,TODAY()-일일실시사항!$B723)*10000+282,"")</f>
        <v/>
      </c>
    </row>
    <row r="720">
      <c r="AZ720">
        <f>IF(AND(업무일지!$B724&lt;&gt;"",업무일지!$AG724="진행중"),MAX(0,TODAY()-업무일지!$B724)*10000+281,"")</f>
        <v/>
      </c>
      <c r="BB720">
        <f>IF(AND(일일실시사항!$B724&lt;&gt;"",일일실시사항!$J724="진행중"),MAX(0,TODAY()-일일실시사항!$B724)*10000+281,"")</f>
        <v/>
      </c>
    </row>
    <row r="721">
      <c r="AZ721">
        <f>IF(AND(업무일지!$B725&lt;&gt;"",업무일지!$AG725="진행중"),MAX(0,TODAY()-업무일지!$B725)*10000+280,"")</f>
        <v/>
      </c>
      <c r="BB721">
        <f>IF(AND(일일실시사항!$B725&lt;&gt;"",일일실시사항!$J725="진행중"),MAX(0,TODAY()-일일실시사항!$B725)*10000+280,"")</f>
        <v/>
      </c>
    </row>
    <row r="722">
      <c r="AZ722">
        <f>IF(AND(업무일지!$B726&lt;&gt;"",업무일지!$AG726="진행중"),MAX(0,TODAY()-업무일지!$B726)*10000+279,"")</f>
        <v/>
      </c>
      <c r="BB722">
        <f>IF(AND(일일실시사항!$B726&lt;&gt;"",일일실시사항!$J726="진행중"),MAX(0,TODAY()-일일실시사항!$B726)*10000+279,"")</f>
        <v/>
      </c>
    </row>
    <row r="723">
      <c r="AZ723">
        <f>IF(AND(업무일지!$B727&lt;&gt;"",업무일지!$AG727="진행중"),MAX(0,TODAY()-업무일지!$B727)*10000+278,"")</f>
        <v/>
      </c>
      <c r="BB723">
        <f>IF(AND(일일실시사항!$B727&lt;&gt;"",일일실시사항!$J727="진행중"),MAX(0,TODAY()-일일실시사항!$B727)*10000+278,"")</f>
        <v/>
      </c>
    </row>
    <row r="724">
      <c r="AZ724">
        <f>IF(AND(업무일지!$B728&lt;&gt;"",업무일지!$AG728="진행중"),MAX(0,TODAY()-업무일지!$B728)*10000+277,"")</f>
        <v/>
      </c>
      <c r="BB724">
        <f>IF(AND(일일실시사항!$B728&lt;&gt;"",일일실시사항!$J728="진행중"),MAX(0,TODAY()-일일실시사항!$B728)*10000+277,"")</f>
        <v/>
      </c>
    </row>
    <row r="725">
      <c r="AZ725">
        <f>IF(AND(업무일지!$B729&lt;&gt;"",업무일지!$AG729="진행중"),MAX(0,TODAY()-업무일지!$B729)*10000+276,"")</f>
        <v/>
      </c>
      <c r="BB725">
        <f>IF(AND(일일실시사항!$B729&lt;&gt;"",일일실시사항!$J729="진행중"),MAX(0,TODAY()-일일실시사항!$B729)*10000+276,"")</f>
        <v/>
      </c>
    </row>
    <row r="726">
      <c r="AZ726">
        <f>IF(AND(업무일지!$B730&lt;&gt;"",업무일지!$AG730="진행중"),MAX(0,TODAY()-업무일지!$B730)*10000+275,"")</f>
        <v/>
      </c>
      <c r="BB726">
        <f>IF(AND(일일실시사항!$B730&lt;&gt;"",일일실시사항!$J730="진행중"),MAX(0,TODAY()-일일실시사항!$B730)*10000+275,"")</f>
        <v/>
      </c>
    </row>
    <row r="727">
      <c r="AZ727">
        <f>IF(AND(업무일지!$B731&lt;&gt;"",업무일지!$AG731="진행중"),MAX(0,TODAY()-업무일지!$B731)*10000+274,"")</f>
        <v/>
      </c>
      <c r="BB727">
        <f>IF(AND(일일실시사항!$B731&lt;&gt;"",일일실시사항!$J731="진행중"),MAX(0,TODAY()-일일실시사항!$B731)*10000+274,"")</f>
        <v/>
      </c>
    </row>
    <row r="728">
      <c r="AZ728">
        <f>IF(AND(업무일지!$B732&lt;&gt;"",업무일지!$AG732="진행중"),MAX(0,TODAY()-업무일지!$B732)*10000+273,"")</f>
        <v/>
      </c>
      <c r="BB728">
        <f>IF(AND(일일실시사항!$B732&lt;&gt;"",일일실시사항!$J732="진행중"),MAX(0,TODAY()-일일실시사항!$B732)*10000+273,"")</f>
        <v/>
      </c>
    </row>
    <row r="729">
      <c r="AZ729">
        <f>IF(AND(업무일지!$B733&lt;&gt;"",업무일지!$AG733="진행중"),MAX(0,TODAY()-업무일지!$B733)*10000+272,"")</f>
        <v/>
      </c>
      <c r="BB729">
        <f>IF(AND(일일실시사항!$B733&lt;&gt;"",일일실시사항!$J733="진행중"),MAX(0,TODAY()-일일실시사항!$B733)*10000+272,"")</f>
        <v/>
      </c>
    </row>
    <row r="730">
      <c r="AZ730">
        <f>IF(AND(업무일지!$B734&lt;&gt;"",업무일지!$AG734="진행중"),MAX(0,TODAY()-업무일지!$B734)*10000+271,"")</f>
        <v/>
      </c>
      <c r="BB730">
        <f>IF(AND(일일실시사항!$B734&lt;&gt;"",일일실시사항!$J734="진행중"),MAX(0,TODAY()-일일실시사항!$B734)*10000+271,"")</f>
        <v/>
      </c>
    </row>
    <row r="731">
      <c r="AZ731">
        <f>IF(AND(업무일지!$B735&lt;&gt;"",업무일지!$AG735="진행중"),MAX(0,TODAY()-업무일지!$B735)*10000+270,"")</f>
        <v/>
      </c>
      <c r="BB731">
        <f>IF(AND(일일실시사항!$B735&lt;&gt;"",일일실시사항!$J735="진행중"),MAX(0,TODAY()-일일실시사항!$B735)*10000+270,"")</f>
        <v/>
      </c>
    </row>
    <row r="732">
      <c r="AZ732">
        <f>IF(AND(업무일지!$B736&lt;&gt;"",업무일지!$AG736="진행중"),MAX(0,TODAY()-업무일지!$B736)*10000+269,"")</f>
        <v/>
      </c>
      <c r="BB732">
        <f>IF(AND(일일실시사항!$B736&lt;&gt;"",일일실시사항!$J736="진행중"),MAX(0,TODAY()-일일실시사항!$B736)*10000+269,"")</f>
        <v/>
      </c>
    </row>
    <row r="733">
      <c r="AZ733">
        <f>IF(AND(업무일지!$B737&lt;&gt;"",업무일지!$AG737="진행중"),MAX(0,TODAY()-업무일지!$B737)*10000+268,"")</f>
        <v/>
      </c>
      <c r="BB733">
        <f>IF(AND(일일실시사항!$B737&lt;&gt;"",일일실시사항!$J737="진행중"),MAX(0,TODAY()-일일실시사항!$B737)*10000+268,"")</f>
        <v/>
      </c>
    </row>
    <row r="734">
      <c r="AZ734">
        <f>IF(AND(업무일지!$B738&lt;&gt;"",업무일지!$AG738="진행중"),MAX(0,TODAY()-업무일지!$B738)*10000+267,"")</f>
        <v/>
      </c>
      <c r="BB734">
        <f>IF(AND(일일실시사항!$B738&lt;&gt;"",일일실시사항!$J738="진행중"),MAX(0,TODAY()-일일실시사항!$B738)*10000+267,"")</f>
        <v/>
      </c>
    </row>
    <row r="735">
      <c r="AZ735">
        <f>IF(AND(업무일지!$B739&lt;&gt;"",업무일지!$AG739="진행중"),MAX(0,TODAY()-업무일지!$B739)*10000+266,"")</f>
        <v/>
      </c>
      <c r="BB735">
        <f>IF(AND(일일실시사항!$B739&lt;&gt;"",일일실시사항!$J739="진행중"),MAX(0,TODAY()-일일실시사항!$B739)*10000+266,"")</f>
        <v/>
      </c>
    </row>
    <row r="736">
      <c r="AZ736">
        <f>IF(AND(업무일지!$B740&lt;&gt;"",업무일지!$AG740="진행중"),MAX(0,TODAY()-업무일지!$B740)*10000+265,"")</f>
        <v/>
      </c>
      <c r="BB736">
        <f>IF(AND(일일실시사항!$B740&lt;&gt;"",일일실시사항!$J740="진행중"),MAX(0,TODAY()-일일실시사항!$B740)*10000+265,"")</f>
        <v/>
      </c>
    </row>
    <row r="737">
      <c r="AZ737">
        <f>IF(AND(업무일지!$B741&lt;&gt;"",업무일지!$AG741="진행중"),MAX(0,TODAY()-업무일지!$B741)*10000+264,"")</f>
        <v/>
      </c>
      <c r="BB737">
        <f>IF(AND(일일실시사항!$B741&lt;&gt;"",일일실시사항!$J741="진행중"),MAX(0,TODAY()-일일실시사항!$B741)*10000+264,"")</f>
        <v/>
      </c>
    </row>
    <row r="738">
      <c r="AZ738">
        <f>IF(AND(업무일지!$B742&lt;&gt;"",업무일지!$AG742="진행중"),MAX(0,TODAY()-업무일지!$B742)*10000+263,"")</f>
        <v/>
      </c>
      <c r="BB738">
        <f>IF(AND(일일실시사항!$B742&lt;&gt;"",일일실시사항!$J742="진행중"),MAX(0,TODAY()-일일실시사항!$B742)*10000+263,"")</f>
        <v/>
      </c>
    </row>
    <row r="739">
      <c r="AZ739">
        <f>IF(AND(업무일지!$B743&lt;&gt;"",업무일지!$AG743="진행중"),MAX(0,TODAY()-업무일지!$B743)*10000+262,"")</f>
        <v/>
      </c>
      <c r="BB739">
        <f>IF(AND(일일실시사항!$B743&lt;&gt;"",일일실시사항!$J743="진행중"),MAX(0,TODAY()-일일실시사항!$B743)*10000+262,"")</f>
        <v/>
      </c>
    </row>
    <row r="740">
      <c r="AZ740">
        <f>IF(AND(업무일지!$B744&lt;&gt;"",업무일지!$AG744="진행중"),MAX(0,TODAY()-업무일지!$B744)*10000+261,"")</f>
        <v/>
      </c>
      <c r="BB740">
        <f>IF(AND(일일실시사항!$B744&lt;&gt;"",일일실시사항!$J744="진행중"),MAX(0,TODAY()-일일실시사항!$B744)*10000+261,"")</f>
        <v/>
      </c>
    </row>
    <row r="741">
      <c r="AZ741">
        <f>IF(AND(업무일지!$B745&lt;&gt;"",업무일지!$AG745="진행중"),MAX(0,TODAY()-업무일지!$B745)*10000+260,"")</f>
        <v/>
      </c>
      <c r="BB741">
        <f>IF(AND(일일실시사항!$B745&lt;&gt;"",일일실시사항!$J745="진행중"),MAX(0,TODAY()-일일실시사항!$B745)*10000+260,"")</f>
        <v/>
      </c>
    </row>
    <row r="742">
      <c r="AZ742">
        <f>IF(AND(업무일지!$B746&lt;&gt;"",업무일지!$AG746="진행중"),MAX(0,TODAY()-업무일지!$B746)*10000+259,"")</f>
        <v/>
      </c>
      <c r="BB742">
        <f>IF(AND(일일실시사항!$B746&lt;&gt;"",일일실시사항!$J746="진행중"),MAX(0,TODAY()-일일실시사항!$B746)*10000+259,"")</f>
        <v/>
      </c>
    </row>
    <row r="743">
      <c r="AZ743">
        <f>IF(AND(업무일지!$B747&lt;&gt;"",업무일지!$AG747="진행중"),MAX(0,TODAY()-업무일지!$B747)*10000+258,"")</f>
        <v/>
      </c>
      <c r="BB743">
        <f>IF(AND(일일실시사항!$B747&lt;&gt;"",일일실시사항!$J747="진행중"),MAX(0,TODAY()-일일실시사항!$B747)*10000+258,"")</f>
        <v/>
      </c>
    </row>
    <row r="744">
      <c r="AZ744">
        <f>IF(AND(업무일지!$B748&lt;&gt;"",업무일지!$AG748="진행중"),MAX(0,TODAY()-업무일지!$B748)*10000+257,"")</f>
        <v/>
      </c>
      <c r="BB744">
        <f>IF(AND(일일실시사항!$B748&lt;&gt;"",일일실시사항!$J748="진행중"),MAX(0,TODAY()-일일실시사항!$B748)*10000+257,"")</f>
        <v/>
      </c>
    </row>
    <row r="745">
      <c r="AZ745">
        <f>IF(AND(업무일지!$B749&lt;&gt;"",업무일지!$AG749="진행중"),MAX(0,TODAY()-업무일지!$B749)*10000+256,"")</f>
        <v/>
      </c>
      <c r="BB745">
        <f>IF(AND(일일실시사항!$B749&lt;&gt;"",일일실시사항!$J749="진행중"),MAX(0,TODAY()-일일실시사항!$B749)*10000+256,"")</f>
        <v/>
      </c>
    </row>
    <row r="746">
      <c r="AZ746">
        <f>IF(AND(업무일지!$B750&lt;&gt;"",업무일지!$AG750="진행중"),MAX(0,TODAY()-업무일지!$B750)*10000+255,"")</f>
        <v/>
      </c>
      <c r="BB746">
        <f>IF(AND(일일실시사항!$B750&lt;&gt;"",일일실시사항!$J750="진행중"),MAX(0,TODAY()-일일실시사항!$B750)*10000+255,"")</f>
        <v/>
      </c>
    </row>
    <row r="747">
      <c r="AZ747">
        <f>IF(AND(업무일지!$B751&lt;&gt;"",업무일지!$AG751="진행중"),MAX(0,TODAY()-업무일지!$B751)*10000+254,"")</f>
        <v/>
      </c>
      <c r="BB747">
        <f>IF(AND(일일실시사항!$B751&lt;&gt;"",일일실시사항!$J751="진행중"),MAX(0,TODAY()-일일실시사항!$B751)*10000+254,"")</f>
        <v/>
      </c>
    </row>
    <row r="748">
      <c r="AZ748">
        <f>IF(AND(업무일지!$B752&lt;&gt;"",업무일지!$AG752="진행중"),MAX(0,TODAY()-업무일지!$B752)*10000+253,"")</f>
        <v/>
      </c>
      <c r="BB748">
        <f>IF(AND(일일실시사항!$B752&lt;&gt;"",일일실시사항!$J752="진행중"),MAX(0,TODAY()-일일실시사항!$B752)*10000+253,"")</f>
        <v/>
      </c>
    </row>
    <row r="749">
      <c r="AZ749">
        <f>IF(AND(업무일지!$B753&lt;&gt;"",업무일지!$AG753="진행중"),MAX(0,TODAY()-업무일지!$B753)*10000+252,"")</f>
        <v/>
      </c>
      <c r="BB749">
        <f>IF(AND(일일실시사항!$B753&lt;&gt;"",일일실시사항!$J753="진행중"),MAX(0,TODAY()-일일실시사항!$B753)*10000+252,"")</f>
        <v/>
      </c>
    </row>
    <row r="750">
      <c r="AZ750">
        <f>IF(AND(업무일지!$B754&lt;&gt;"",업무일지!$AG754="진행중"),MAX(0,TODAY()-업무일지!$B754)*10000+251,"")</f>
        <v/>
      </c>
      <c r="BB750">
        <f>IF(AND(일일실시사항!$B754&lt;&gt;"",일일실시사항!$J754="진행중"),MAX(0,TODAY()-일일실시사항!$B754)*10000+251,"")</f>
        <v/>
      </c>
    </row>
    <row r="751">
      <c r="AZ751">
        <f>IF(AND(업무일지!$B755&lt;&gt;"",업무일지!$AG755="진행중"),MAX(0,TODAY()-업무일지!$B755)*10000+250,"")</f>
        <v/>
      </c>
      <c r="BB751">
        <f>IF(AND(일일실시사항!$B755&lt;&gt;"",일일실시사항!$J755="진행중"),MAX(0,TODAY()-일일실시사항!$B755)*10000+250,"")</f>
        <v/>
      </c>
    </row>
    <row r="752">
      <c r="AZ752">
        <f>IF(AND(업무일지!$B756&lt;&gt;"",업무일지!$AG756="진행중"),MAX(0,TODAY()-업무일지!$B756)*10000+249,"")</f>
        <v/>
      </c>
      <c r="BB752">
        <f>IF(AND(일일실시사항!$B756&lt;&gt;"",일일실시사항!$J756="진행중"),MAX(0,TODAY()-일일실시사항!$B756)*10000+249,"")</f>
        <v/>
      </c>
    </row>
    <row r="753">
      <c r="AZ753">
        <f>IF(AND(업무일지!$B757&lt;&gt;"",업무일지!$AG757="진행중"),MAX(0,TODAY()-업무일지!$B757)*10000+248,"")</f>
        <v/>
      </c>
      <c r="BB753">
        <f>IF(AND(일일실시사항!$B757&lt;&gt;"",일일실시사항!$J757="진행중"),MAX(0,TODAY()-일일실시사항!$B757)*10000+248,"")</f>
        <v/>
      </c>
    </row>
    <row r="754">
      <c r="AZ754">
        <f>IF(AND(업무일지!$B758&lt;&gt;"",업무일지!$AG758="진행중"),MAX(0,TODAY()-업무일지!$B758)*10000+247,"")</f>
        <v/>
      </c>
      <c r="BB754">
        <f>IF(AND(일일실시사항!$B758&lt;&gt;"",일일실시사항!$J758="진행중"),MAX(0,TODAY()-일일실시사항!$B758)*10000+247,"")</f>
        <v/>
      </c>
    </row>
    <row r="755">
      <c r="AZ755">
        <f>IF(AND(업무일지!$B759&lt;&gt;"",업무일지!$AG759="진행중"),MAX(0,TODAY()-업무일지!$B759)*10000+246,"")</f>
        <v/>
      </c>
      <c r="BB755">
        <f>IF(AND(일일실시사항!$B759&lt;&gt;"",일일실시사항!$J759="진행중"),MAX(0,TODAY()-일일실시사항!$B759)*10000+246,"")</f>
        <v/>
      </c>
    </row>
    <row r="756">
      <c r="AZ756">
        <f>IF(AND(업무일지!$B760&lt;&gt;"",업무일지!$AG760="진행중"),MAX(0,TODAY()-업무일지!$B760)*10000+245,"")</f>
        <v/>
      </c>
      <c r="BB756">
        <f>IF(AND(일일실시사항!$B760&lt;&gt;"",일일실시사항!$J760="진행중"),MAX(0,TODAY()-일일실시사항!$B760)*10000+245,"")</f>
        <v/>
      </c>
    </row>
    <row r="757">
      <c r="AZ757">
        <f>IF(AND(업무일지!$B761&lt;&gt;"",업무일지!$AG761="진행중"),MAX(0,TODAY()-업무일지!$B761)*10000+244,"")</f>
        <v/>
      </c>
      <c r="BB757">
        <f>IF(AND(일일실시사항!$B761&lt;&gt;"",일일실시사항!$J761="진행중"),MAX(0,TODAY()-일일실시사항!$B761)*10000+244,"")</f>
        <v/>
      </c>
    </row>
    <row r="758">
      <c r="AZ758">
        <f>IF(AND(업무일지!$B762&lt;&gt;"",업무일지!$AG762="진행중"),MAX(0,TODAY()-업무일지!$B762)*10000+243,"")</f>
        <v/>
      </c>
      <c r="BB758">
        <f>IF(AND(일일실시사항!$B762&lt;&gt;"",일일실시사항!$J762="진행중"),MAX(0,TODAY()-일일실시사항!$B762)*10000+243,"")</f>
        <v/>
      </c>
    </row>
    <row r="759">
      <c r="AZ759">
        <f>IF(AND(업무일지!$B763&lt;&gt;"",업무일지!$AG763="진행중"),MAX(0,TODAY()-업무일지!$B763)*10000+242,"")</f>
        <v/>
      </c>
      <c r="BB759">
        <f>IF(AND(일일실시사항!$B763&lt;&gt;"",일일실시사항!$J763="진행중"),MAX(0,TODAY()-일일실시사항!$B763)*10000+242,"")</f>
        <v/>
      </c>
    </row>
    <row r="760">
      <c r="AZ760">
        <f>IF(AND(업무일지!$B764&lt;&gt;"",업무일지!$AG764="진행중"),MAX(0,TODAY()-업무일지!$B764)*10000+241,"")</f>
        <v/>
      </c>
      <c r="BB760">
        <f>IF(AND(일일실시사항!$B764&lt;&gt;"",일일실시사항!$J764="진행중"),MAX(0,TODAY()-일일실시사항!$B764)*10000+241,"")</f>
        <v/>
      </c>
    </row>
    <row r="761">
      <c r="AZ761">
        <f>IF(AND(업무일지!$B765&lt;&gt;"",업무일지!$AG765="진행중"),MAX(0,TODAY()-업무일지!$B765)*10000+240,"")</f>
        <v/>
      </c>
      <c r="BB761">
        <f>IF(AND(일일실시사항!$B765&lt;&gt;"",일일실시사항!$J765="진행중"),MAX(0,TODAY()-일일실시사항!$B765)*10000+240,"")</f>
        <v/>
      </c>
    </row>
    <row r="762">
      <c r="AZ762">
        <f>IF(AND(업무일지!$B766&lt;&gt;"",업무일지!$AG766="진행중"),MAX(0,TODAY()-업무일지!$B766)*10000+239,"")</f>
        <v/>
      </c>
      <c r="BB762">
        <f>IF(AND(일일실시사항!$B766&lt;&gt;"",일일실시사항!$J766="진행중"),MAX(0,TODAY()-일일실시사항!$B766)*10000+239,"")</f>
        <v/>
      </c>
    </row>
    <row r="763">
      <c r="AZ763">
        <f>IF(AND(업무일지!$B767&lt;&gt;"",업무일지!$AG767="진행중"),MAX(0,TODAY()-업무일지!$B767)*10000+238,"")</f>
        <v/>
      </c>
      <c r="BB763">
        <f>IF(AND(일일실시사항!$B767&lt;&gt;"",일일실시사항!$J767="진행중"),MAX(0,TODAY()-일일실시사항!$B767)*10000+238,"")</f>
        <v/>
      </c>
    </row>
    <row r="764">
      <c r="AZ764">
        <f>IF(AND(업무일지!$B768&lt;&gt;"",업무일지!$AG768="진행중"),MAX(0,TODAY()-업무일지!$B768)*10000+237,"")</f>
        <v/>
      </c>
      <c r="BB764">
        <f>IF(AND(일일실시사항!$B768&lt;&gt;"",일일실시사항!$J768="진행중"),MAX(0,TODAY()-일일실시사항!$B768)*10000+237,"")</f>
        <v/>
      </c>
    </row>
    <row r="765">
      <c r="AZ765">
        <f>IF(AND(업무일지!$B769&lt;&gt;"",업무일지!$AG769="진행중"),MAX(0,TODAY()-업무일지!$B769)*10000+236,"")</f>
        <v/>
      </c>
      <c r="BB765">
        <f>IF(AND(일일실시사항!$B769&lt;&gt;"",일일실시사항!$J769="진행중"),MAX(0,TODAY()-일일실시사항!$B769)*10000+236,"")</f>
        <v/>
      </c>
    </row>
    <row r="766">
      <c r="AZ766">
        <f>IF(AND(업무일지!$B770&lt;&gt;"",업무일지!$AG770="진행중"),MAX(0,TODAY()-업무일지!$B770)*10000+235,"")</f>
        <v/>
      </c>
      <c r="BB766">
        <f>IF(AND(일일실시사항!$B770&lt;&gt;"",일일실시사항!$J770="진행중"),MAX(0,TODAY()-일일실시사항!$B770)*10000+235,"")</f>
        <v/>
      </c>
    </row>
    <row r="767">
      <c r="AZ767">
        <f>IF(AND(업무일지!$B771&lt;&gt;"",업무일지!$AG771="진행중"),MAX(0,TODAY()-업무일지!$B771)*10000+234,"")</f>
        <v/>
      </c>
      <c r="BB767">
        <f>IF(AND(일일실시사항!$B771&lt;&gt;"",일일실시사항!$J771="진행중"),MAX(0,TODAY()-일일실시사항!$B771)*10000+234,"")</f>
        <v/>
      </c>
    </row>
    <row r="768">
      <c r="AZ768">
        <f>IF(AND(업무일지!$B772&lt;&gt;"",업무일지!$AG772="진행중"),MAX(0,TODAY()-업무일지!$B772)*10000+233,"")</f>
        <v/>
      </c>
      <c r="BB768">
        <f>IF(AND(일일실시사항!$B772&lt;&gt;"",일일실시사항!$J772="진행중"),MAX(0,TODAY()-일일실시사항!$B772)*10000+233,"")</f>
        <v/>
      </c>
    </row>
    <row r="769">
      <c r="AZ769">
        <f>IF(AND(업무일지!$B773&lt;&gt;"",업무일지!$AG773="진행중"),MAX(0,TODAY()-업무일지!$B773)*10000+232,"")</f>
        <v/>
      </c>
      <c r="BB769">
        <f>IF(AND(일일실시사항!$B773&lt;&gt;"",일일실시사항!$J773="진행중"),MAX(0,TODAY()-일일실시사항!$B773)*10000+232,"")</f>
        <v/>
      </c>
    </row>
    <row r="770">
      <c r="AZ770">
        <f>IF(AND(업무일지!$B774&lt;&gt;"",업무일지!$AG774="진행중"),MAX(0,TODAY()-업무일지!$B774)*10000+231,"")</f>
        <v/>
      </c>
      <c r="BB770">
        <f>IF(AND(일일실시사항!$B774&lt;&gt;"",일일실시사항!$J774="진행중"),MAX(0,TODAY()-일일실시사항!$B774)*10000+231,"")</f>
        <v/>
      </c>
    </row>
    <row r="771">
      <c r="AZ771">
        <f>IF(AND(업무일지!$B775&lt;&gt;"",업무일지!$AG775="진행중"),MAX(0,TODAY()-업무일지!$B775)*10000+230,"")</f>
        <v/>
      </c>
      <c r="BB771">
        <f>IF(AND(일일실시사항!$B775&lt;&gt;"",일일실시사항!$J775="진행중"),MAX(0,TODAY()-일일실시사항!$B775)*10000+230,"")</f>
        <v/>
      </c>
    </row>
    <row r="772">
      <c r="AZ772">
        <f>IF(AND(업무일지!$B776&lt;&gt;"",업무일지!$AG776="진행중"),MAX(0,TODAY()-업무일지!$B776)*10000+229,"")</f>
        <v/>
      </c>
      <c r="BB772">
        <f>IF(AND(일일실시사항!$B776&lt;&gt;"",일일실시사항!$J776="진행중"),MAX(0,TODAY()-일일실시사항!$B776)*10000+229,"")</f>
        <v/>
      </c>
    </row>
    <row r="773">
      <c r="AZ773">
        <f>IF(AND(업무일지!$B777&lt;&gt;"",업무일지!$AG777="진행중"),MAX(0,TODAY()-업무일지!$B777)*10000+228,"")</f>
        <v/>
      </c>
      <c r="BB773">
        <f>IF(AND(일일실시사항!$B777&lt;&gt;"",일일실시사항!$J777="진행중"),MAX(0,TODAY()-일일실시사항!$B777)*10000+228,"")</f>
        <v/>
      </c>
    </row>
    <row r="774">
      <c r="AZ774">
        <f>IF(AND(업무일지!$B778&lt;&gt;"",업무일지!$AG778="진행중"),MAX(0,TODAY()-업무일지!$B778)*10000+227,"")</f>
        <v/>
      </c>
      <c r="BB774">
        <f>IF(AND(일일실시사항!$B778&lt;&gt;"",일일실시사항!$J778="진행중"),MAX(0,TODAY()-일일실시사항!$B778)*10000+227,"")</f>
        <v/>
      </c>
    </row>
    <row r="775">
      <c r="AZ775">
        <f>IF(AND(업무일지!$B779&lt;&gt;"",업무일지!$AG779="진행중"),MAX(0,TODAY()-업무일지!$B779)*10000+226,"")</f>
        <v/>
      </c>
      <c r="BB775">
        <f>IF(AND(일일실시사항!$B779&lt;&gt;"",일일실시사항!$J779="진행중"),MAX(0,TODAY()-일일실시사항!$B779)*10000+226,"")</f>
        <v/>
      </c>
    </row>
    <row r="776">
      <c r="AZ776">
        <f>IF(AND(업무일지!$B780&lt;&gt;"",업무일지!$AG780="진행중"),MAX(0,TODAY()-업무일지!$B780)*10000+225,"")</f>
        <v/>
      </c>
      <c r="BB776">
        <f>IF(AND(일일실시사항!$B780&lt;&gt;"",일일실시사항!$J780="진행중"),MAX(0,TODAY()-일일실시사항!$B780)*10000+225,"")</f>
        <v/>
      </c>
    </row>
    <row r="777">
      <c r="AZ777">
        <f>IF(AND(업무일지!$B781&lt;&gt;"",업무일지!$AG781="진행중"),MAX(0,TODAY()-업무일지!$B781)*10000+224,"")</f>
        <v/>
      </c>
      <c r="BB777">
        <f>IF(AND(일일실시사항!$B781&lt;&gt;"",일일실시사항!$J781="진행중"),MAX(0,TODAY()-일일실시사항!$B781)*10000+224,"")</f>
        <v/>
      </c>
    </row>
    <row r="778">
      <c r="AZ778">
        <f>IF(AND(업무일지!$B782&lt;&gt;"",업무일지!$AG782="진행중"),MAX(0,TODAY()-업무일지!$B782)*10000+223,"")</f>
        <v/>
      </c>
      <c r="BB778">
        <f>IF(AND(일일실시사항!$B782&lt;&gt;"",일일실시사항!$J782="진행중"),MAX(0,TODAY()-일일실시사항!$B782)*10000+223,"")</f>
        <v/>
      </c>
    </row>
    <row r="779">
      <c r="AZ779">
        <f>IF(AND(업무일지!$B783&lt;&gt;"",업무일지!$AG783="진행중"),MAX(0,TODAY()-업무일지!$B783)*10000+222,"")</f>
        <v/>
      </c>
      <c r="BB779">
        <f>IF(AND(일일실시사항!$B783&lt;&gt;"",일일실시사항!$J783="진행중"),MAX(0,TODAY()-일일실시사항!$B783)*10000+222,"")</f>
        <v/>
      </c>
    </row>
    <row r="780">
      <c r="AZ780">
        <f>IF(AND(업무일지!$B784&lt;&gt;"",업무일지!$AG784="진행중"),MAX(0,TODAY()-업무일지!$B784)*10000+221,"")</f>
        <v/>
      </c>
      <c r="BB780">
        <f>IF(AND(일일실시사항!$B784&lt;&gt;"",일일실시사항!$J784="진행중"),MAX(0,TODAY()-일일실시사항!$B784)*10000+221,"")</f>
        <v/>
      </c>
    </row>
    <row r="781">
      <c r="AZ781">
        <f>IF(AND(업무일지!$B785&lt;&gt;"",업무일지!$AG785="진행중"),MAX(0,TODAY()-업무일지!$B785)*10000+220,"")</f>
        <v/>
      </c>
      <c r="BB781">
        <f>IF(AND(일일실시사항!$B785&lt;&gt;"",일일실시사항!$J785="진행중"),MAX(0,TODAY()-일일실시사항!$B785)*10000+220,"")</f>
        <v/>
      </c>
    </row>
    <row r="782">
      <c r="AZ782">
        <f>IF(AND(업무일지!$B786&lt;&gt;"",업무일지!$AG786="진행중"),MAX(0,TODAY()-업무일지!$B786)*10000+219,"")</f>
        <v/>
      </c>
      <c r="BB782">
        <f>IF(AND(일일실시사항!$B786&lt;&gt;"",일일실시사항!$J786="진행중"),MAX(0,TODAY()-일일실시사항!$B786)*10000+219,"")</f>
        <v/>
      </c>
    </row>
    <row r="783">
      <c r="AZ783">
        <f>IF(AND(업무일지!$B787&lt;&gt;"",업무일지!$AG787="진행중"),MAX(0,TODAY()-업무일지!$B787)*10000+218,"")</f>
        <v/>
      </c>
      <c r="BB783">
        <f>IF(AND(일일실시사항!$B787&lt;&gt;"",일일실시사항!$J787="진행중"),MAX(0,TODAY()-일일실시사항!$B787)*10000+218,"")</f>
        <v/>
      </c>
    </row>
    <row r="784">
      <c r="AZ784">
        <f>IF(AND(업무일지!$B788&lt;&gt;"",업무일지!$AG788="진행중"),MAX(0,TODAY()-업무일지!$B788)*10000+217,"")</f>
        <v/>
      </c>
      <c r="BB784">
        <f>IF(AND(일일실시사항!$B788&lt;&gt;"",일일실시사항!$J788="진행중"),MAX(0,TODAY()-일일실시사항!$B788)*10000+217,"")</f>
        <v/>
      </c>
    </row>
    <row r="785">
      <c r="AZ785">
        <f>IF(AND(업무일지!$B789&lt;&gt;"",업무일지!$AG789="진행중"),MAX(0,TODAY()-업무일지!$B789)*10000+216,"")</f>
        <v/>
      </c>
      <c r="BB785">
        <f>IF(AND(일일실시사항!$B789&lt;&gt;"",일일실시사항!$J789="진행중"),MAX(0,TODAY()-일일실시사항!$B789)*10000+216,"")</f>
        <v/>
      </c>
    </row>
    <row r="786">
      <c r="AZ786">
        <f>IF(AND(업무일지!$B790&lt;&gt;"",업무일지!$AG790="진행중"),MAX(0,TODAY()-업무일지!$B790)*10000+215,"")</f>
        <v/>
      </c>
      <c r="BB786">
        <f>IF(AND(일일실시사항!$B790&lt;&gt;"",일일실시사항!$J790="진행중"),MAX(0,TODAY()-일일실시사항!$B790)*10000+215,"")</f>
        <v/>
      </c>
    </row>
    <row r="787">
      <c r="AZ787">
        <f>IF(AND(업무일지!$B791&lt;&gt;"",업무일지!$AG791="진행중"),MAX(0,TODAY()-업무일지!$B791)*10000+214,"")</f>
        <v/>
      </c>
      <c r="BB787">
        <f>IF(AND(일일실시사항!$B791&lt;&gt;"",일일실시사항!$J791="진행중"),MAX(0,TODAY()-일일실시사항!$B791)*10000+214,"")</f>
        <v/>
      </c>
    </row>
    <row r="788">
      <c r="AZ788">
        <f>IF(AND(업무일지!$B792&lt;&gt;"",업무일지!$AG792="진행중"),MAX(0,TODAY()-업무일지!$B792)*10000+213,"")</f>
        <v/>
      </c>
      <c r="BB788">
        <f>IF(AND(일일실시사항!$B792&lt;&gt;"",일일실시사항!$J792="진행중"),MAX(0,TODAY()-일일실시사항!$B792)*10000+213,"")</f>
        <v/>
      </c>
    </row>
    <row r="789">
      <c r="AZ789">
        <f>IF(AND(업무일지!$B793&lt;&gt;"",업무일지!$AG793="진행중"),MAX(0,TODAY()-업무일지!$B793)*10000+212,"")</f>
        <v/>
      </c>
      <c r="BB789">
        <f>IF(AND(일일실시사항!$B793&lt;&gt;"",일일실시사항!$J793="진행중"),MAX(0,TODAY()-일일실시사항!$B793)*10000+212,"")</f>
        <v/>
      </c>
    </row>
    <row r="790">
      <c r="AZ790">
        <f>IF(AND(업무일지!$B794&lt;&gt;"",업무일지!$AG794="진행중"),MAX(0,TODAY()-업무일지!$B794)*10000+211,"")</f>
        <v/>
      </c>
      <c r="BB790">
        <f>IF(AND(일일실시사항!$B794&lt;&gt;"",일일실시사항!$J794="진행중"),MAX(0,TODAY()-일일실시사항!$B794)*10000+211,"")</f>
        <v/>
      </c>
    </row>
    <row r="791">
      <c r="AZ791">
        <f>IF(AND(업무일지!$B795&lt;&gt;"",업무일지!$AG795="진행중"),MAX(0,TODAY()-업무일지!$B795)*10000+210,"")</f>
        <v/>
      </c>
      <c r="BB791">
        <f>IF(AND(일일실시사항!$B795&lt;&gt;"",일일실시사항!$J795="진행중"),MAX(0,TODAY()-일일실시사항!$B795)*10000+210,"")</f>
        <v/>
      </c>
    </row>
    <row r="792">
      <c r="AZ792">
        <f>IF(AND(업무일지!$B796&lt;&gt;"",업무일지!$AG796="진행중"),MAX(0,TODAY()-업무일지!$B796)*10000+209,"")</f>
        <v/>
      </c>
      <c r="BB792">
        <f>IF(AND(일일실시사항!$B796&lt;&gt;"",일일실시사항!$J796="진행중"),MAX(0,TODAY()-일일실시사항!$B796)*10000+209,"")</f>
        <v/>
      </c>
    </row>
    <row r="793">
      <c r="AZ793">
        <f>IF(AND(업무일지!$B797&lt;&gt;"",업무일지!$AG797="진행중"),MAX(0,TODAY()-업무일지!$B797)*10000+208,"")</f>
        <v/>
      </c>
      <c r="BB793">
        <f>IF(AND(일일실시사항!$B797&lt;&gt;"",일일실시사항!$J797="진행중"),MAX(0,TODAY()-일일실시사항!$B797)*10000+208,"")</f>
        <v/>
      </c>
    </row>
    <row r="794">
      <c r="AZ794">
        <f>IF(AND(업무일지!$B798&lt;&gt;"",업무일지!$AG798="진행중"),MAX(0,TODAY()-업무일지!$B798)*10000+207,"")</f>
        <v/>
      </c>
      <c r="BB794">
        <f>IF(AND(일일실시사항!$B798&lt;&gt;"",일일실시사항!$J798="진행중"),MAX(0,TODAY()-일일실시사항!$B798)*10000+207,"")</f>
        <v/>
      </c>
    </row>
    <row r="795">
      <c r="AZ795">
        <f>IF(AND(업무일지!$B799&lt;&gt;"",업무일지!$AG799="진행중"),MAX(0,TODAY()-업무일지!$B799)*10000+206,"")</f>
        <v/>
      </c>
      <c r="BB795">
        <f>IF(AND(일일실시사항!$B799&lt;&gt;"",일일실시사항!$J799="진행중"),MAX(0,TODAY()-일일실시사항!$B799)*10000+206,"")</f>
        <v/>
      </c>
    </row>
    <row r="796">
      <c r="AZ796">
        <f>IF(AND(업무일지!$B800&lt;&gt;"",업무일지!$AG800="진행중"),MAX(0,TODAY()-업무일지!$B800)*10000+205,"")</f>
        <v/>
      </c>
      <c r="BB796">
        <f>IF(AND(일일실시사항!$B800&lt;&gt;"",일일실시사항!$J800="진행중"),MAX(0,TODAY()-일일실시사항!$B800)*10000+205,"")</f>
        <v/>
      </c>
    </row>
    <row r="797">
      <c r="AZ797">
        <f>IF(AND(업무일지!$B801&lt;&gt;"",업무일지!$AG801="진행중"),MAX(0,TODAY()-업무일지!$B801)*10000+204,"")</f>
        <v/>
      </c>
      <c r="BB797">
        <f>IF(AND(일일실시사항!$B801&lt;&gt;"",일일실시사항!$J801="진행중"),MAX(0,TODAY()-일일실시사항!$B801)*10000+204,"")</f>
        <v/>
      </c>
    </row>
    <row r="798">
      <c r="AZ798">
        <f>IF(AND(업무일지!$B802&lt;&gt;"",업무일지!$AG802="진행중"),MAX(0,TODAY()-업무일지!$B802)*10000+203,"")</f>
        <v/>
      </c>
      <c r="BB798">
        <f>IF(AND(일일실시사항!$B802&lt;&gt;"",일일실시사항!$J802="진행중"),MAX(0,TODAY()-일일실시사항!$B802)*10000+203,"")</f>
        <v/>
      </c>
    </row>
    <row r="799">
      <c r="AZ799">
        <f>IF(AND(업무일지!$B803&lt;&gt;"",업무일지!$AG803="진행중"),MAX(0,TODAY()-업무일지!$B803)*10000+202,"")</f>
        <v/>
      </c>
      <c r="BB799">
        <f>IF(AND(일일실시사항!$B803&lt;&gt;"",일일실시사항!$J803="진행중"),MAX(0,TODAY()-일일실시사항!$B803)*10000+202,"")</f>
        <v/>
      </c>
    </row>
    <row r="800">
      <c r="AZ800">
        <f>IF(AND(업무일지!$B804&lt;&gt;"",업무일지!$AG804="진행중"),MAX(0,TODAY()-업무일지!$B804)*10000+201,"")</f>
        <v/>
      </c>
      <c r="BB800">
        <f>IF(AND(일일실시사항!$B804&lt;&gt;"",일일실시사항!$J804="진행중"),MAX(0,TODAY()-일일실시사항!$B804)*10000+201,"")</f>
        <v/>
      </c>
    </row>
    <row r="801">
      <c r="AZ801">
        <f>IF(AND(업무일지!$B805&lt;&gt;"",업무일지!$AG805="진행중"),MAX(0,TODAY()-업무일지!$B805)*10000+200,"")</f>
        <v/>
      </c>
      <c r="BB801">
        <f>IF(AND(일일실시사항!$B805&lt;&gt;"",일일실시사항!$J805="진행중"),MAX(0,TODAY()-일일실시사항!$B805)*10000+200,"")</f>
        <v/>
      </c>
    </row>
    <row r="802">
      <c r="AZ802">
        <f>IF(AND(업무일지!$B806&lt;&gt;"",업무일지!$AG806="진행중"),MAX(0,TODAY()-업무일지!$B806)*10000+199,"")</f>
        <v/>
      </c>
      <c r="BB802">
        <f>IF(AND(일일실시사항!$B806&lt;&gt;"",일일실시사항!$J806="진행중"),MAX(0,TODAY()-일일실시사항!$B806)*10000+199,"")</f>
        <v/>
      </c>
    </row>
    <row r="803">
      <c r="AZ803">
        <f>IF(AND(업무일지!$B807&lt;&gt;"",업무일지!$AG807="진행중"),MAX(0,TODAY()-업무일지!$B807)*10000+198,"")</f>
        <v/>
      </c>
      <c r="BB803">
        <f>IF(AND(일일실시사항!$B807&lt;&gt;"",일일실시사항!$J807="진행중"),MAX(0,TODAY()-일일실시사항!$B807)*10000+198,"")</f>
        <v/>
      </c>
    </row>
    <row r="804">
      <c r="AZ804">
        <f>IF(AND(업무일지!$B808&lt;&gt;"",업무일지!$AG808="진행중"),MAX(0,TODAY()-업무일지!$B808)*10000+197,"")</f>
        <v/>
      </c>
      <c r="BB804">
        <f>IF(AND(일일실시사항!$B808&lt;&gt;"",일일실시사항!$J808="진행중"),MAX(0,TODAY()-일일실시사항!$B808)*10000+197,"")</f>
        <v/>
      </c>
    </row>
    <row r="805">
      <c r="AZ805">
        <f>IF(AND(업무일지!$B809&lt;&gt;"",업무일지!$AG809="진행중"),MAX(0,TODAY()-업무일지!$B809)*10000+196,"")</f>
        <v/>
      </c>
      <c r="BB805">
        <f>IF(AND(일일실시사항!$B809&lt;&gt;"",일일실시사항!$J809="진행중"),MAX(0,TODAY()-일일실시사항!$B809)*10000+196,"")</f>
        <v/>
      </c>
    </row>
    <row r="806">
      <c r="AZ806">
        <f>IF(AND(업무일지!$B810&lt;&gt;"",업무일지!$AG810="진행중"),MAX(0,TODAY()-업무일지!$B810)*10000+195,"")</f>
        <v/>
      </c>
      <c r="BB806">
        <f>IF(AND(일일실시사항!$B810&lt;&gt;"",일일실시사항!$J810="진행중"),MAX(0,TODAY()-일일실시사항!$B810)*10000+195,"")</f>
        <v/>
      </c>
    </row>
    <row r="807">
      <c r="AZ807">
        <f>IF(AND(업무일지!$B811&lt;&gt;"",업무일지!$AG811="진행중"),MAX(0,TODAY()-업무일지!$B811)*10000+194,"")</f>
        <v/>
      </c>
      <c r="BB807">
        <f>IF(AND(일일실시사항!$B811&lt;&gt;"",일일실시사항!$J811="진행중"),MAX(0,TODAY()-일일실시사항!$B811)*10000+194,"")</f>
        <v/>
      </c>
    </row>
    <row r="808">
      <c r="AZ808">
        <f>IF(AND(업무일지!$B812&lt;&gt;"",업무일지!$AG812="진행중"),MAX(0,TODAY()-업무일지!$B812)*10000+193,"")</f>
        <v/>
      </c>
      <c r="BB808">
        <f>IF(AND(일일실시사항!$B812&lt;&gt;"",일일실시사항!$J812="진행중"),MAX(0,TODAY()-일일실시사항!$B812)*10000+193,"")</f>
        <v/>
      </c>
    </row>
    <row r="809">
      <c r="AZ809">
        <f>IF(AND(업무일지!$B813&lt;&gt;"",업무일지!$AG813="진행중"),MAX(0,TODAY()-업무일지!$B813)*10000+192,"")</f>
        <v/>
      </c>
      <c r="BB809">
        <f>IF(AND(일일실시사항!$B813&lt;&gt;"",일일실시사항!$J813="진행중"),MAX(0,TODAY()-일일실시사항!$B813)*10000+192,"")</f>
        <v/>
      </c>
    </row>
    <row r="810">
      <c r="AZ810">
        <f>IF(AND(업무일지!$B814&lt;&gt;"",업무일지!$AG814="진행중"),MAX(0,TODAY()-업무일지!$B814)*10000+191,"")</f>
        <v/>
      </c>
      <c r="BB810">
        <f>IF(AND(일일실시사항!$B814&lt;&gt;"",일일실시사항!$J814="진행중"),MAX(0,TODAY()-일일실시사항!$B814)*10000+191,"")</f>
        <v/>
      </c>
    </row>
    <row r="811">
      <c r="AZ811">
        <f>IF(AND(업무일지!$B815&lt;&gt;"",업무일지!$AG815="진행중"),MAX(0,TODAY()-업무일지!$B815)*10000+190,"")</f>
        <v/>
      </c>
      <c r="BB811">
        <f>IF(AND(일일실시사항!$B815&lt;&gt;"",일일실시사항!$J815="진행중"),MAX(0,TODAY()-일일실시사항!$B815)*10000+190,"")</f>
        <v/>
      </c>
    </row>
    <row r="812">
      <c r="AZ812">
        <f>IF(AND(업무일지!$B816&lt;&gt;"",업무일지!$AG816="진행중"),MAX(0,TODAY()-업무일지!$B816)*10000+189,"")</f>
        <v/>
      </c>
      <c r="BB812">
        <f>IF(AND(일일실시사항!$B816&lt;&gt;"",일일실시사항!$J816="진행중"),MAX(0,TODAY()-일일실시사항!$B816)*10000+189,"")</f>
        <v/>
      </c>
    </row>
    <row r="813">
      <c r="AZ813">
        <f>IF(AND(업무일지!$B817&lt;&gt;"",업무일지!$AG817="진행중"),MAX(0,TODAY()-업무일지!$B817)*10000+188,"")</f>
        <v/>
      </c>
      <c r="BB813">
        <f>IF(AND(일일실시사항!$B817&lt;&gt;"",일일실시사항!$J817="진행중"),MAX(0,TODAY()-일일실시사항!$B817)*10000+188,"")</f>
        <v/>
      </c>
    </row>
    <row r="814">
      <c r="AZ814">
        <f>IF(AND(업무일지!$B818&lt;&gt;"",업무일지!$AG818="진행중"),MAX(0,TODAY()-업무일지!$B818)*10000+187,"")</f>
        <v/>
      </c>
      <c r="BB814">
        <f>IF(AND(일일실시사항!$B818&lt;&gt;"",일일실시사항!$J818="진행중"),MAX(0,TODAY()-일일실시사항!$B818)*10000+187,"")</f>
        <v/>
      </c>
    </row>
    <row r="815">
      <c r="AZ815">
        <f>IF(AND(업무일지!$B819&lt;&gt;"",업무일지!$AG819="진행중"),MAX(0,TODAY()-업무일지!$B819)*10000+186,"")</f>
        <v/>
      </c>
      <c r="BB815">
        <f>IF(AND(일일실시사항!$B819&lt;&gt;"",일일실시사항!$J819="진행중"),MAX(0,TODAY()-일일실시사항!$B819)*10000+186,"")</f>
        <v/>
      </c>
    </row>
    <row r="816">
      <c r="AZ816">
        <f>IF(AND(업무일지!$B820&lt;&gt;"",업무일지!$AG820="진행중"),MAX(0,TODAY()-업무일지!$B820)*10000+185,"")</f>
        <v/>
      </c>
      <c r="BB816">
        <f>IF(AND(일일실시사항!$B820&lt;&gt;"",일일실시사항!$J820="진행중"),MAX(0,TODAY()-일일실시사항!$B820)*10000+185,"")</f>
        <v/>
      </c>
    </row>
    <row r="817">
      <c r="AZ817">
        <f>IF(AND(업무일지!$B821&lt;&gt;"",업무일지!$AG821="진행중"),MAX(0,TODAY()-업무일지!$B821)*10000+184,"")</f>
        <v/>
      </c>
      <c r="BB817">
        <f>IF(AND(일일실시사항!$B821&lt;&gt;"",일일실시사항!$J821="진행중"),MAX(0,TODAY()-일일실시사항!$B821)*10000+184,"")</f>
        <v/>
      </c>
    </row>
    <row r="818">
      <c r="AZ818">
        <f>IF(AND(업무일지!$B822&lt;&gt;"",업무일지!$AG822="진행중"),MAX(0,TODAY()-업무일지!$B822)*10000+183,"")</f>
        <v/>
      </c>
      <c r="BB818">
        <f>IF(AND(일일실시사항!$B822&lt;&gt;"",일일실시사항!$J822="진행중"),MAX(0,TODAY()-일일실시사항!$B822)*10000+183,"")</f>
        <v/>
      </c>
    </row>
    <row r="819">
      <c r="AZ819">
        <f>IF(AND(업무일지!$B823&lt;&gt;"",업무일지!$AG823="진행중"),MAX(0,TODAY()-업무일지!$B823)*10000+182,"")</f>
        <v/>
      </c>
      <c r="BB819">
        <f>IF(AND(일일실시사항!$B823&lt;&gt;"",일일실시사항!$J823="진행중"),MAX(0,TODAY()-일일실시사항!$B823)*10000+182,"")</f>
        <v/>
      </c>
    </row>
    <row r="820">
      <c r="AZ820">
        <f>IF(AND(업무일지!$B824&lt;&gt;"",업무일지!$AG824="진행중"),MAX(0,TODAY()-업무일지!$B824)*10000+181,"")</f>
        <v/>
      </c>
      <c r="BB820">
        <f>IF(AND(일일실시사항!$B824&lt;&gt;"",일일실시사항!$J824="진행중"),MAX(0,TODAY()-일일실시사항!$B824)*10000+181,"")</f>
        <v/>
      </c>
    </row>
    <row r="821">
      <c r="AZ821">
        <f>IF(AND(업무일지!$B825&lt;&gt;"",업무일지!$AG825="진행중"),MAX(0,TODAY()-업무일지!$B825)*10000+180,"")</f>
        <v/>
      </c>
      <c r="BB821">
        <f>IF(AND(일일실시사항!$B825&lt;&gt;"",일일실시사항!$J825="진행중"),MAX(0,TODAY()-일일실시사항!$B825)*10000+180,"")</f>
        <v/>
      </c>
    </row>
    <row r="822">
      <c r="AZ822">
        <f>IF(AND(업무일지!$B826&lt;&gt;"",업무일지!$AG826="진행중"),MAX(0,TODAY()-업무일지!$B826)*10000+179,"")</f>
        <v/>
      </c>
      <c r="BB822">
        <f>IF(AND(일일실시사항!$B826&lt;&gt;"",일일실시사항!$J826="진행중"),MAX(0,TODAY()-일일실시사항!$B826)*10000+179,"")</f>
        <v/>
      </c>
    </row>
    <row r="823">
      <c r="AZ823">
        <f>IF(AND(업무일지!$B827&lt;&gt;"",업무일지!$AG827="진행중"),MAX(0,TODAY()-업무일지!$B827)*10000+178,"")</f>
        <v/>
      </c>
      <c r="BB823">
        <f>IF(AND(일일실시사항!$B827&lt;&gt;"",일일실시사항!$J827="진행중"),MAX(0,TODAY()-일일실시사항!$B827)*10000+178,"")</f>
        <v/>
      </c>
    </row>
    <row r="824">
      <c r="AZ824">
        <f>IF(AND(업무일지!$B828&lt;&gt;"",업무일지!$AG828="진행중"),MAX(0,TODAY()-업무일지!$B828)*10000+177,"")</f>
        <v/>
      </c>
      <c r="BB824">
        <f>IF(AND(일일실시사항!$B828&lt;&gt;"",일일실시사항!$J828="진행중"),MAX(0,TODAY()-일일실시사항!$B828)*10000+177,"")</f>
        <v/>
      </c>
    </row>
    <row r="825">
      <c r="AZ825">
        <f>IF(AND(업무일지!$B829&lt;&gt;"",업무일지!$AG829="진행중"),MAX(0,TODAY()-업무일지!$B829)*10000+176,"")</f>
        <v/>
      </c>
      <c r="BB825">
        <f>IF(AND(일일실시사항!$B829&lt;&gt;"",일일실시사항!$J829="진행중"),MAX(0,TODAY()-일일실시사항!$B829)*10000+176,"")</f>
        <v/>
      </c>
    </row>
    <row r="826">
      <c r="AZ826">
        <f>IF(AND(업무일지!$B830&lt;&gt;"",업무일지!$AG830="진행중"),MAX(0,TODAY()-업무일지!$B830)*10000+175,"")</f>
        <v/>
      </c>
      <c r="BB826">
        <f>IF(AND(일일실시사항!$B830&lt;&gt;"",일일실시사항!$J830="진행중"),MAX(0,TODAY()-일일실시사항!$B830)*10000+175,"")</f>
        <v/>
      </c>
    </row>
    <row r="827">
      <c r="AZ827">
        <f>IF(AND(업무일지!$B831&lt;&gt;"",업무일지!$AG831="진행중"),MAX(0,TODAY()-업무일지!$B831)*10000+174,"")</f>
        <v/>
      </c>
      <c r="BB827">
        <f>IF(AND(일일실시사항!$B831&lt;&gt;"",일일실시사항!$J831="진행중"),MAX(0,TODAY()-일일실시사항!$B831)*10000+174,"")</f>
        <v/>
      </c>
    </row>
    <row r="828">
      <c r="AZ828">
        <f>IF(AND(업무일지!$B832&lt;&gt;"",업무일지!$AG832="진행중"),MAX(0,TODAY()-업무일지!$B832)*10000+173,"")</f>
        <v/>
      </c>
      <c r="BB828">
        <f>IF(AND(일일실시사항!$B832&lt;&gt;"",일일실시사항!$J832="진행중"),MAX(0,TODAY()-일일실시사항!$B832)*10000+173,"")</f>
        <v/>
      </c>
    </row>
    <row r="829">
      <c r="AZ829">
        <f>IF(AND(업무일지!$B833&lt;&gt;"",업무일지!$AG833="진행중"),MAX(0,TODAY()-업무일지!$B833)*10000+172,"")</f>
        <v/>
      </c>
      <c r="BB829">
        <f>IF(AND(일일실시사항!$B833&lt;&gt;"",일일실시사항!$J833="진행중"),MAX(0,TODAY()-일일실시사항!$B833)*10000+172,"")</f>
        <v/>
      </c>
    </row>
    <row r="830">
      <c r="AZ830">
        <f>IF(AND(업무일지!$B834&lt;&gt;"",업무일지!$AG834="진행중"),MAX(0,TODAY()-업무일지!$B834)*10000+171,"")</f>
        <v/>
      </c>
      <c r="BB830">
        <f>IF(AND(일일실시사항!$B834&lt;&gt;"",일일실시사항!$J834="진행중"),MAX(0,TODAY()-일일실시사항!$B834)*10000+171,"")</f>
        <v/>
      </c>
    </row>
    <row r="831">
      <c r="AZ831">
        <f>IF(AND(업무일지!$B835&lt;&gt;"",업무일지!$AG835="진행중"),MAX(0,TODAY()-업무일지!$B835)*10000+170,"")</f>
        <v/>
      </c>
      <c r="BB831">
        <f>IF(AND(일일실시사항!$B835&lt;&gt;"",일일실시사항!$J835="진행중"),MAX(0,TODAY()-일일실시사항!$B835)*10000+170,"")</f>
        <v/>
      </c>
    </row>
    <row r="832">
      <c r="AZ832">
        <f>IF(AND(업무일지!$B836&lt;&gt;"",업무일지!$AG836="진행중"),MAX(0,TODAY()-업무일지!$B836)*10000+169,"")</f>
        <v/>
      </c>
      <c r="BB832">
        <f>IF(AND(일일실시사항!$B836&lt;&gt;"",일일실시사항!$J836="진행중"),MAX(0,TODAY()-일일실시사항!$B836)*10000+169,"")</f>
        <v/>
      </c>
    </row>
    <row r="833">
      <c r="AZ833">
        <f>IF(AND(업무일지!$B837&lt;&gt;"",업무일지!$AG837="진행중"),MAX(0,TODAY()-업무일지!$B837)*10000+168,"")</f>
        <v/>
      </c>
      <c r="BB833">
        <f>IF(AND(일일실시사항!$B837&lt;&gt;"",일일실시사항!$J837="진행중"),MAX(0,TODAY()-일일실시사항!$B837)*10000+168,"")</f>
        <v/>
      </c>
    </row>
    <row r="834">
      <c r="AZ834">
        <f>IF(AND(업무일지!$B838&lt;&gt;"",업무일지!$AG838="진행중"),MAX(0,TODAY()-업무일지!$B838)*10000+167,"")</f>
        <v/>
      </c>
      <c r="BB834">
        <f>IF(AND(일일실시사항!$B838&lt;&gt;"",일일실시사항!$J838="진행중"),MAX(0,TODAY()-일일실시사항!$B838)*10000+167,"")</f>
        <v/>
      </c>
    </row>
    <row r="835">
      <c r="AZ835">
        <f>IF(AND(업무일지!$B839&lt;&gt;"",업무일지!$AG839="진행중"),MAX(0,TODAY()-업무일지!$B839)*10000+166,"")</f>
        <v/>
      </c>
      <c r="BB835">
        <f>IF(AND(일일실시사항!$B839&lt;&gt;"",일일실시사항!$J839="진행중"),MAX(0,TODAY()-일일실시사항!$B839)*10000+166,"")</f>
        <v/>
      </c>
    </row>
    <row r="836">
      <c r="AZ836">
        <f>IF(AND(업무일지!$B840&lt;&gt;"",업무일지!$AG840="진행중"),MAX(0,TODAY()-업무일지!$B840)*10000+165,"")</f>
        <v/>
      </c>
      <c r="BB836">
        <f>IF(AND(일일실시사항!$B840&lt;&gt;"",일일실시사항!$J840="진행중"),MAX(0,TODAY()-일일실시사항!$B840)*10000+165,"")</f>
        <v/>
      </c>
    </row>
    <row r="837">
      <c r="AZ837">
        <f>IF(AND(업무일지!$B841&lt;&gt;"",업무일지!$AG841="진행중"),MAX(0,TODAY()-업무일지!$B841)*10000+164,"")</f>
        <v/>
      </c>
      <c r="BB837">
        <f>IF(AND(일일실시사항!$B841&lt;&gt;"",일일실시사항!$J841="진행중"),MAX(0,TODAY()-일일실시사항!$B841)*10000+164,"")</f>
        <v/>
      </c>
    </row>
    <row r="838">
      <c r="AZ838">
        <f>IF(AND(업무일지!$B842&lt;&gt;"",업무일지!$AG842="진행중"),MAX(0,TODAY()-업무일지!$B842)*10000+163,"")</f>
        <v/>
      </c>
      <c r="BB838">
        <f>IF(AND(일일실시사항!$B842&lt;&gt;"",일일실시사항!$J842="진행중"),MAX(0,TODAY()-일일실시사항!$B842)*10000+163,"")</f>
        <v/>
      </c>
    </row>
    <row r="839">
      <c r="AZ839">
        <f>IF(AND(업무일지!$B843&lt;&gt;"",업무일지!$AG843="진행중"),MAX(0,TODAY()-업무일지!$B843)*10000+162,"")</f>
        <v/>
      </c>
      <c r="BB839">
        <f>IF(AND(일일실시사항!$B843&lt;&gt;"",일일실시사항!$J843="진행중"),MAX(0,TODAY()-일일실시사항!$B843)*10000+162,"")</f>
        <v/>
      </c>
    </row>
    <row r="840">
      <c r="AZ840">
        <f>IF(AND(업무일지!$B844&lt;&gt;"",업무일지!$AG844="진행중"),MAX(0,TODAY()-업무일지!$B844)*10000+161,"")</f>
        <v/>
      </c>
      <c r="BB840">
        <f>IF(AND(일일실시사항!$B844&lt;&gt;"",일일실시사항!$J844="진행중"),MAX(0,TODAY()-일일실시사항!$B844)*10000+161,"")</f>
        <v/>
      </c>
    </row>
    <row r="841">
      <c r="AZ841">
        <f>IF(AND(업무일지!$B845&lt;&gt;"",업무일지!$AG845="진행중"),MAX(0,TODAY()-업무일지!$B845)*10000+160,"")</f>
        <v/>
      </c>
      <c r="BB841">
        <f>IF(AND(일일실시사항!$B845&lt;&gt;"",일일실시사항!$J845="진행중"),MAX(0,TODAY()-일일실시사항!$B845)*10000+160,"")</f>
        <v/>
      </c>
    </row>
    <row r="842">
      <c r="AZ842">
        <f>IF(AND(업무일지!$B846&lt;&gt;"",업무일지!$AG846="진행중"),MAX(0,TODAY()-업무일지!$B846)*10000+159,"")</f>
        <v/>
      </c>
      <c r="BB842">
        <f>IF(AND(일일실시사항!$B846&lt;&gt;"",일일실시사항!$J846="진행중"),MAX(0,TODAY()-일일실시사항!$B846)*10000+159,"")</f>
        <v/>
      </c>
    </row>
    <row r="843">
      <c r="AZ843">
        <f>IF(AND(업무일지!$B847&lt;&gt;"",업무일지!$AG847="진행중"),MAX(0,TODAY()-업무일지!$B847)*10000+158,"")</f>
        <v/>
      </c>
      <c r="BB843">
        <f>IF(AND(일일실시사항!$B847&lt;&gt;"",일일실시사항!$J847="진행중"),MAX(0,TODAY()-일일실시사항!$B847)*10000+158,"")</f>
        <v/>
      </c>
    </row>
    <row r="844">
      <c r="AZ844">
        <f>IF(AND(업무일지!$B848&lt;&gt;"",업무일지!$AG848="진행중"),MAX(0,TODAY()-업무일지!$B848)*10000+157,"")</f>
        <v/>
      </c>
      <c r="BB844">
        <f>IF(AND(일일실시사항!$B848&lt;&gt;"",일일실시사항!$J848="진행중"),MAX(0,TODAY()-일일실시사항!$B848)*10000+157,"")</f>
        <v/>
      </c>
    </row>
    <row r="845">
      <c r="AZ845">
        <f>IF(AND(업무일지!$B849&lt;&gt;"",업무일지!$AG849="진행중"),MAX(0,TODAY()-업무일지!$B849)*10000+156,"")</f>
        <v/>
      </c>
      <c r="BB845">
        <f>IF(AND(일일실시사항!$B849&lt;&gt;"",일일실시사항!$J849="진행중"),MAX(0,TODAY()-일일실시사항!$B849)*10000+156,"")</f>
        <v/>
      </c>
    </row>
    <row r="846">
      <c r="AZ846">
        <f>IF(AND(업무일지!$B850&lt;&gt;"",업무일지!$AG850="진행중"),MAX(0,TODAY()-업무일지!$B850)*10000+155,"")</f>
        <v/>
      </c>
      <c r="BB846">
        <f>IF(AND(일일실시사항!$B850&lt;&gt;"",일일실시사항!$J850="진행중"),MAX(0,TODAY()-일일실시사항!$B850)*10000+155,"")</f>
        <v/>
      </c>
    </row>
    <row r="847">
      <c r="AZ847">
        <f>IF(AND(업무일지!$B851&lt;&gt;"",업무일지!$AG851="진행중"),MAX(0,TODAY()-업무일지!$B851)*10000+154,"")</f>
        <v/>
      </c>
      <c r="BB847">
        <f>IF(AND(일일실시사항!$B851&lt;&gt;"",일일실시사항!$J851="진행중"),MAX(0,TODAY()-일일실시사항!$B851)*10000+154,"")</f>
        <v/>
      </c>
    </row>
    <row r="848">
      <c r="AZ848">
        <f>IF(AND(업무일지!$B852&lt;&gt;"",업무일지!$AG852="진행중"),MAX(0,TODAY()-업무일지!$B852)*10000+153,"")</f>
        <v/>
      </c>
      <c r="BB848">
        <f>IF(AND(일일실시사항!$B852&lt;&gt;"",일일실시사항!$J852="진행중"),MAX(0,TODAY()-일일실시사항!$B852)*10000+153,"")</f>
        <v/>
      </c>
    </row>
    <row r="849">
      <c r="AZ849">
        <f>IF(AND(업무일지!$B853&lt;&gt;"",업무일지!$AG853="진행중"),MAX(0,TODAY()-업무일지!$B853)*10000+152,"")</f>
        <v/>
      </c>
      <c r="BB849">
        <f>IF(AND(일일실시사항!$B853&lt;&gt;"",일일실시사항!$J853="진행중"),MAX(0,TODAY()-일일실시사항!$B853)*10000+152,"")</f>
        <v/>
      </c>
    </row>
    <row r="850">
      <c r="AZ850">
        <f>IF(AND(업무일지!$B854&lt;&gt;"",업무일지!$AG854="진행중"),MAX(0,TODAY()-업무일지!$B854)*10000+151,"")</f>
        <v/>
      </c>
      <c r="BB850">
        <f>IF(AND(일일실시사항!$B854&lt;&gt;"",일일실시사항!$J854="진행중"),MAX(0,TODAY()-일일실시사항!$B854)*10000+151,"")</f>
        <v/>
      </c>
    </row>
    <row r="851">
      <c r="AZ851">
        <f>IF(AND(업무일지!$B855&lt;&gt;"",업무일지!$AG855="진행중"),MAX(0,TODAY()-업무일지!$B855)*10000+150,"")</f>
        <v/>
      </c>
      <c r="BB851">
        <f>IF(AND(일일실시사항!$B855&lt;&gt;"",일일실시사항!$J855="진행중"),MAX(0,TODAY()-일일실시사항!$B855)*10000+150,"")</f>
        <v/>
      </c>
    </row>
    <row r="852">
      <c r="AZ852">
        <f>IF(AND(업무일지!$B856&lt;&gt;"",업무일지!$AG856="진행중"),MAX(0,TODAY()-업무일지!$B856)*10000+149,"")</f>
        <v/>
      </c>
      <c r="BB852">
        <f>IF(AND(일일실시사항!$B856&lt;&gt;"",일일실시사항!$J856="진행중"),MAX(0,TODAY()-일일실시사항!$B856)*10000+149,"")</f>
        <v/>
      </c>
    </row>
    <row r="853">
      <c r="AZ853">
        <f>IF(AND(업무일지!$B857&lt;&gt;"",업무일지!$AG857="진행중"),MAX(0,TODAY()-업무일지!$B857)*10000+148,"")</f>
        <v/>
      </c>
      <c r="BB853">
        <f>IF(AND(일일실시사항!$B857&lt;&gt;"",일일실시사항!$J857="진행중"),MAX(0,TODAY()-일일실시사항!$B857)*10000+148,"")</f>
        <v/>
      </c>
    </row>
    <row r="854">
      <c r="AZ854">
        <f>IF(AND(업무일지!$B858&lt;&gt;"",업무일지!$AG858="진행중"),MAX(0,TODAY()-업무일지!$B858)*10000+147,"")</f>
        <v/>
      </c>
      <c r="BB854">
        <f>IF(AND(일일실시사항!$B858&lt;&gt;"",일일실시사항!$J858="진행중"),MAX(0,TODAY()-일일실시사항!$B858)*10000+147,"")</f>
        <v/>
      </c>
    </row>
    <row r="855">
      <c r="AZ855">
        <f>IF(AND(업무일지!$B859&lt;&gt;"",업무일지!$AG859="진행중"),MAX(0,TODAY()-업무일지!$B859)*10000+146,"")</f>
        <v/>
      </c>
      <c r="BB855">
        <f>IF(AND(일일실시사항!$B859&lt;&gt;"",일일실시사항!$J859="진행중"),MAX(0,TODAY()-일일실시사항!$B859)*10000+146,"")</f>
        <v/>
      </c>
    </row>
    <row r="856">
      <c r="AZ856">
        <f>IF(AND(업무일지!$B860&lt;&gt;"",업무일지!$AG860="진행중"),MAX(0,TODAY()-업무일지!$B860)*10000+145,"")</f>
        <v/>
      </c>
      <c r="BB856">
        <f>IF(AND(일일실시사항!$B860&lt;&gt;"",일일실시사항!$J860="진행중"),MAX(0,TODAY()-일일실시사항!$B860)*10000+145,"")</f>
        <v/>
      </c>
    </row>
    <row r="857">
      <c r="AZ857">
        <f>IF(AND(업무일지!$B861&lt;&gt;"",업무일지!$AG861="진행중"),MAX(0,TODAY()-업무일지!$B861)*10000+144,"")</f>
        <v/>
      </c>
      <c r="BB857">
        <f>IF(AND(일일실시사항!$B861&lt;&gt;"",일일실시사항!$J861="진행중"),MAX(0,TODAY()-일일실시사항!$B861)*10000+144,"")</f>
        <v/>
      </c>
    </row>
    <row r="858">
      <c r="AZ858">
        <f>IF(AND(업무일지!$B862&lt;&gt;"",업무일지!$AG862="진행중"),MAX(0,TODAY()-업무일지!$B862)*10000+143,"")</f>
        <v/>
      </c>
      <c r="BB858">
        <f>IF(AND(일일실시사항!$B862&lt;&gt;"",일일실시사항!$J862="진행중"),MAX(0,TODAY()-일일실시사항!$B862)*10000+143,"")</f>
        <v/>
      </c>
    </row>
    <row r="859">
      <c r="AZ859">
        <f>IF(AND(업무일지!$B863&lt;&gt;"",업무일지!$AG863="진행중"),MAX(0,TODAY()-업무일지!$B863)*10000+142,"")</f>
        <v/>
      </c>
      <c r="BB859">
        <f>IF(AND(일일실시사항!$B863&lt;&gt;"",일일실시사항!$J863="진행중"),MAX(0,TODAY()-일일실시사항!$B863)*10000+142,"")</f>
        <v/>
      </c>
    </row>
    <row r="860">
      <c r="AZ860">
        <f>IF(AND(업무일지!$B864&lt;&gt;"",업무일지!$AG864="진행중"),MAX(0,TODAY()-업무일지!$B864)*10000+141,"")</f>
        <v/>
      </c>
      <c r="BB860">
        <f>IF(AND(일일실시사항!$B864&lt;&gt;"",일일실시사항!$J864="진행중"),MAX(0,TODAY()-일일실시사항!$B864)*10000+141,"")</f>
        <v/>
      </c>
    </row>
    <row r="861">
      <c r="AZ861">
        <f>IF(AND(업무일지!$B865&lt;&gt;"",업무일지!$AG865="진행중"),MAX(0,TODAY()-업무일지!$B865)*10000+140,"")</f>
        <v/>
      </c>
      <c r="BB861">
        <f>IF(AND(일일실시사항!$B865&lt;&gt;"",일일실시사항!$J865="진행중"),MAX(0,TODAY()-일일실시사항!$B865)*10000+140,"")</f>
        <v/>
      </c>
    </row>
    <row r="862">
      <c r="AZ862">
        <f>IF(AND(업무일지!$B866&lt;&gt;"",업무일지!$AG866="진행중"),MAX(0,TODAY()-업무일지!$B866)*10000+139,"")</f>
        <v/>
      </c>
      <c r="BB862">
        <f>IF(AND(일일실시사항!$B866&lt;&gt;"",일일실시사항!$J866="진행중"),MAX(0,TODAY()-일일실시사항!$B866)*10000+139,"")</f>
        <v/>
      </c>
    </row>
    <row r="863">
      <c r="AZ863">
        <f>IF(AND(업무일지!$B867&lt;&gt;"",업무일지!$AG867="진행중"),MAX(0,TODAY()-업무일지!$B867)*10000+138,"")</f>
        <v/>
      </c>
      <c r="BB863">
        <f>IF(AND(일일실시사항!$B867&lt;&gt;"",일일실시사항!$J867="진행중"),MAX(0,TODAY()-일일실시사항!$B867)*10000+138,"")</f>
        <v/>
      </c>
    </row>
    <row r="864">
      <c r="AZ864">
        <f>IF(AND(업무일지!$B868&lt;&gt;"",업무일지!$AG868="진행중"),MAX(0,TODAY()-업무일지!$B868)*10000+137,"")</f>
        <v/>
      </c>
      <c r="BB864">
        <f>IF(AND(일일실시사항!$B868&lt;&gt;"",일일실시사항!$J868="진행중"),MAX(0,TODAY()-일일실시사항!$B868)*10000+137,"")</f>
        <v/>
      </c>
    </row>
    <row r="865">
      <c r="AZ865">
        <f>IF(AND(업무일지!$B869&lt;&gt;"",업무일지!$AG869="진행중"),MAX(0,TODAY()-업무일지!$B869)*10000+136,"")</f>
        <v/>
      </c>
      <c r="BB865">
        <f>IF(AND(일일실시사항!$B869&lt;&gt;"",일일실시사항!$J869="진행중"),MAX(0,TODAY()-일일실시사항!$B869)*10000+136,"")</f>
        <v/>
      </c>
    </row>
    <row r="866">
      <c r="AZ866">
        <f>IF(AND(업무일지!$B870&lt;&gt;"",업무일지!$AG870="진행중"),MAX(0,TODAY()-업무일지!$B870)*10000+135,"")</f>
        <v/>
      </c>
      <c r="BB866">
        <f>IF(AND(일일실시사항!$B870&lt;&gt;"",일일실시사항!$J870="진행중"),MAX(0,TODAY()-일일실시사항!$B870)*10000+135,"")</f>
        <v/>
      </c>
    </row>
    <row r="867">
      <c r="AZ867">
        <f>IF(AND(업무일지!$B871&lt;&gt;"",업무일지!$AG871="진행중"),MAX(0,TODAY()-업무일지!$B871)*10000+134,"")</f>
        <v/>
      </c>
      <c r="BB867">
        <f>IF(AND(일일실시사항!$B871&lt;&gt;"",일일실시사항!$J871="진행중"),MAX(0,TODAY()-일일실시사항!$B871)*10000+134,"")</f>
        <v/>
      </c>
    </row>
    <row r="868">
      <c r="AZ868">
        <f>IF(AND(업무일지!$B872&lt;&gt;"",업무일지!$AG872="진행중"),MAX(0,TODAY()-업무일지!$B872)*10000+133,"")</f>
        <v/>
      </c>
      <c r="BB868">
        <f>IF(AND(일일실시사항!$B872&lt;&gt;"",일일실시사항!$J872="진행중"),MAX(0,TODAY()-일일실시사항!$B872)*10000+133,"")</f>
        <v/>
      </c>
    </row>
    <row r="869">
      <c r="AZ869">
        <f>IF(AND(업무일지!$B873&lt;&gt;"",업무일지!$AG873="진행중"),MAX(0,TODAY()-업무일지!$B873)*10000+132,"")</f>
        <v/>
      </c>
      <c r="BB869">
        <f>IF(AND(일일실시사항!$B873&lt;&gt;"",일일실시사항!$J873="진행중"),MAX(0,TODAY()-일일실시사항!$B873)*10000+132,"")</f>
        <v/>
      </c>
    </row>
    <row r="870">
      <c r="AZ870">
        <f>IF(AND(업무일지!$B874&lt;&gt;"",업무일지!$AG874="진행중"),MAX(0,TODAY()-업무일지!$B874)*10000+131,"")</f>
        <v/>
      </c>
      <c r="BB870">
        <f>IF(AND(일일실시사항!$B874&lt;&gt;"",일일실시사항!$J874="진행중"),MAX(0,TODAY()-일일실시사항!$B874)*10000+131,"")</f>
        <v/>
      </c>
    </row>
    <row r="871">
      <c r="AZ871">
        <f>IF(AND(업무일지!$B875&lt;&gt;"",업무일지!$AG875="진행중"),MAX(0,TODAY()-업무일지!$B875)*10000+130,"")</f>
        <v/>
      </c>
      <c r="BB871">
        <f>IF(AND(일일실시사항!$B875&lt;&gt;"",일일실시사항!$J875="진행중"),MAX(0,TODAY()-일일실시사항!$B875)*10000+130,"")</f>
        <v/>
      </c>
    </row>
    <row r="872">
      <c r="AZ872">
        <f>IF(AND(업무일지!$B876&lt;&gt;"",업무일지!$AG876="진행중"),MAX(0,TODAY()-업무일지!$B876)*10000+129,"")</f>
        <v/>
      </c>
      <c r="BB872">
        <f>IF(AND(일일실시사항!$B876&lt;&gt;"",일일실시사항!$J876="진행중"),MAX(0,TODAY()-일일실시사항!$B876)*10000+129,"")</f>
        <v/>
      </c>
    </row>
    <row r="873">
      <c r="AZ873">
        <f>IF(AND(업무일지!$B877&lt;&gt;"",업무일지!$AG877="진행중"),MAX(0,TODAY()-업무일지!$B877)*10000+128,"")</f>
        <v/>
      </c>
      <c r="BB873">
        <f>IF(AND(일일실시사항!$B877&lt;&gt;"",일일실시사항!$J877="진행중"),MAX(0,TODAY()-일일실시사항!$B877)*10000+128,"")</f>
        <v/>
      </c>
    </row>
    <row r="874">
      <c r="AZ874">
        <f>IF(AND(업무일지!$B878&lt;&gt;"",업무일지!$AG878="진행중"),MAX(0,TODAY()-업무일지!$B878)*10000+127,"")</f>
        <v/>
      </c>
      <c r="BB874">
        <f>IF(AND(일일실시사항!$B878&lt;&gt;"",일일실시사항!$J878="진행중"),MAX(0,TODAY()-일일실시사항!$B878)*10000+127,"")</f>
        <v/>
      </c>
    </row>
    <row r="875">
      <c r="AZ875">
        <f>IF(AND(업무일지!$B879&lt;&gt;"",업무일지!$AG879="진행중"),MAX(0,TODAY()-업무일지!$B879)*10000+126,"")</f>
        <v/>
      </c>
      <c r="BB875">
        <f>IF(AND(일일실시사항!$B879&lt;&gt;"",일일실시사항!$J879="진행중"),MAX(0,TODAY()-일일실시사항!$B879)*10000+126,"")</f>
        <v/>
      </c>
    </row>
    <row r="876">
      <c r="AZ876">
        <f>IF(AND(업무일지!$B880&lt;&gt;"",업무일지!$AG880="진행중"),MAX(0,TODAY()-업무일지!$B880)*10000+125,"")</f>
        <v/>
      </c>
      <c r="BB876">
        <f>IF(AND(일일실시사항!$B880&lt;&gt;"",일일실시사항!$J880="진행중"),MAX(0,TODAY()-일일실시사항!$B880)*10000+125,"")</f>
        <v/>
      </c>
    </row>
    <row r="877">
      <c r="AZ877">
        <f>IF(AND(업무일지!$B881&lt;&gt;"",업무일지!$AG881="진행중"),MAX(0,TODAY()-업무일지!$B881)*10000+124,"")</f>
        <v/>
      </c>
      <c r="BB877">
        <f>IF(AND(일일실시사항!$B881&lt;&gt;"",일일실시사항!$J881="진행중"),MAX(0,TODAY()-일일실시사항!$B881)*10000+124,"")</f>
        <v/>
      </c>
    </row>
    <row r="878">
      <c r="AZ878">
        <f>IF(AND(업무일지!$B882&lt;&gt;"",업무일지!$AG882="진행중"),MAX(0,TODAY()-업무일지!$B882)*10000+123,"")</f>
        <v/>
      </c>
      <c r="BB878">
        <f>IF(AND(일일실시사항!$B882&lt;&gt;"",일일실시사항!$J882="진행중"),MAX(0,TODAY()-일일실시사항!$B882)*10000+123,"")</f>
        <v/>
      </c>
    </row>
    <row r="879">
      <c r="AZ879">
        <f>IF(AND(업무일지!$B883&lt;&gt;"",업무일지!$AG883="진행중"),MAX(0,TODAY()-업무일지!$B883)*10000+122,"")</f>
        <v/>
      </c>
      <c r="BB879">
        <f>IF(AND(일일실시사항!$B883&lt;&gt;"",일일실시사항!$J883="진행중"),MAX(0,TODAY()-일일실시사항!$B883)*10000+122,"")</f>
        <v/>
      </c>
    </row>
    <row r="880">
      <c r="AZ880">
        <f>IF(AND(업무일지!$B884&lt;&gt;"",업무일지!$AG884="진행중"),MAX(0,TODAY()-업무일지!$B884)*10000+121,"")</f>
        <v/>
      </c>
      <c r="BB880">
        <f>IF(AND(일일실시사항!$B884&lt;&gt;"",일일실시사항!$J884="진행중"),MAX(0,TODAY()-일일실시사항!$B884)*10000+121,"")</f>
        <v/>
      </c>
    </row>
    <row r="881">
      <c r="AZ881">
        <f>IF(AND(업무일지!$B885&lt;&gt;"",업무일지!$AG885="진행중"),MAX(0,TODAY()-업무일지!$B885)*10000+120,"")</f>
        <v/>
      </c>
      <c r="BB881">
        <f>IF(AND(일일실시사항!$B885&lt;&gt;"",일일실시사항!$J885="진행중"),MAX(0,TODAY()-일일실시사항!$B885)*10000+120,"")</f>
        <v/>
      </c>
    </row>
    <row r="882">
      <c r="AZ882">
        <f>IF(AND(업무일지!$B886&lt;&gt;"",업무일지!$AG886="진행중"),MAX(0,TODAY()-업무일지!$B886)*10000+119,"")</f>
        <v/>
      </c>
      <c r="BB882">
        <f>IF(AND(일일실시사항!$B886&lt;&gt;"",일일실시사항!$J886="진행중"),MAX(0,TODAY()-일일실시사항!$B886)*10000+119,"")</f>
        <v/>
      </c>
    </row>
    <row r="883">
      <c r="AZ883">
        <f>IF(AND(업무일지!$B887&lt;&gt;"",업무일지!$AG887="진행중"),MAX(0,TODAY()-업무일지!$B887)*10000+118,"")</f>
        <v/>
      </c>
      <c r="BB883">
        <f>IF(AND(일일실시사항!$B887&lt;&gt;"",일일실시사항!$J887="진행중"),MAX(0,TODAY()-일일실시사항!$B887)*10000+118,"")</f>
        <v/>
      </c>
    </row>
    <row r="884">
      <c r="AZ884">
        <f>IF(AND(업무일지!$B888&lt;&gt;"",업무일지!$AG888="진행중"),MAX(0,TODAY()-업무일지!$B888)*10000+117,"")</f>
        <v/>
      </c>
      <c r="BB884">
        <f>IF(AND(일일실시사항!$B888&lt;&gt;"",일일실시사항!$J888="진행중"),MAX(0,TODAY()-일일실시사항!$B888)*10000+117,"")</f>
        <v/>
      </c>
    </row>
    <row r="885">
      <c r="AZ885">
        <f>IF(AND(업무일지!$B889&lt;&gt;"",업무일지!$AG889="진행중"),MAX(0,TODAY()-업무일지!$B889)*10000+116,"")</f>
        <v/>
      </c>
      <c r="BB885">
        <f>IF(AND(일일실시사항!$B889&lt;&gt;"",일일실시사항!$J889="진행중"),MAX(0,TODAY()-일일실시사항!$B889)*10000+116,"")</f>
        <v/>
      </c>
    </row>
    <row r="886">
      <c r="AZ886">
        <f>IF(AND(업무일지!$B890&lt;&gt;"",업무일지!$AG890="진행중"),MAX(0,TODAY()-업무일지!$B890)*10000+115,"")</f>
        <v/>
      </c>
      <c r="BB886">
        <f>IF(AND(일일실시사항!$B890&lt;&gt;"",일일실시사항!$J890="진행중"),MAX(0,TODAY()-일일실시사항!$B890)*10000+115,"")</f>
        <v/>
      </c>
    </row>
    <row r="887">
      <c r="AZ887">
        <f>IF(AND(업무일지!$B891&lt;&gt;"",업무일지!$AG891="진행중"),MAX(0,TODAY()-업무일지!$B891)*10000+114,"")</f>
        <v/>
      </c>
      <c r="BB887">
        <f>IF(AND(일일실시사항!$B891&lt;&gt;"",일일실시사항!$J891="진행중"),MAX(0,TODAY()-일일실시사항!$B891)*10000+114,"")</f>
        <v/>
      </c>
    </row>
    <row r="888">
      <c r="AZ888">
        <f>IF(AND(업무일지!$B892&lt;&gt;"",업무일지!$AG892="진행중"),MAX(0,TODAY()-업무일지!$B892)*10000+113,"")</f>
        <v/>
      </c>
      <c r="BB888">
        <f>IF(AND(일일실시사항!$B892&lt;&gt;"",일일실시사항!$J892="진행중"),MAX(0,TODAY()-일일실시사항!$B892)*10000+113,"")</f>
        <v/>
      </c>
    </row>
    <row r="889">
      <c r="AZ889">
        <f>IF(AND(업무일지!$B893&lt;&gt;"",업무일지!$AG893="진행중"),MAX(0,TODAY()-업무일지!$B893)*10000+112,"")</f>
        <v/>
      </c>
      <c r="BB889">
        <f>IF(AND(일일실시사항!$B893&lt;&gt;"",일일실시사항!$J893="진행중"),MAX(0,TODAY()-일일실시사항!$B893)*10000+112,"")</f>
        <v/>
      </c>
    </row>
    <row r="890">
      <c r="AZ890">
        <f>IF(AND(업무일지!$B894&lt;&gt;"",업무일지!$AG894="진행중"),MAX(0,TODAY()-업무일지!$B894)*10000+111,"")</f>
        <v/>
      </c>
      <c r="BB890">
        <f>IF(AND(일일실시사항!$B894&lt;&gt;"",일일실시사항!$J894="진행중"),MAX(0,TODAY()-일일실시사항!$B894)*10000+111,"")</f>
        <v/>
      </c>
    </row>
    <row r="891">
      <c r="AZ891">
        <f>IF(AND(업무일지!$B895&lt;&gt;"",업무일지!$AG895="진행중"),MAX(0,TODAY()-업무일지!$B895)*10000+110,"")</f>
        <v/>
      </c>
      <c r="BB891">
        <f>IF(AND(일일실시사항!$B895&lt;&gt;"",일일실시사항!$J895="진행중"),MAX(0,TODAY()-일일실시사항!$B895)*10000+110,"")</f>
        <v/>
      </c>
    </row>
    <row r="892">
      <c r="AZ892">
        <f>IF(AND(업무일지!$B896&lt;&gt;"",업무일지!$AG896="진행중"),MAX(0,TODAY()-업무일지!$B896)*10000+109,"")</f>
        <v/>
      </c>
      <c r="BB892">
        <f>IF(AND(일일실시사항!$B896&lt;&gt;"",일일실시사항!$J896="진행중"),MAX(0,TODAY()-일일실시사항!$B896)*10000+109,"")</f>
        <v/>
      </c>
    </row>
    <row r="893">
      <c r="AZ893">
        <f>IF(AND(업무일지!$B897&lt;&gt;"",업무일지!$AG897="진행중"),MAX(0,TODAY()-업무일지!$B897)*10000+108,"")</f>
        <v/>
      </c>
      <c r="BB893">
        <f>IF(AND(일일실시사항!$B897&lt;&gt;"",일일실시사항!$J897="진행중"),MAX(0,TODAY()-일일실시사항!$B897)*10000+108,"")</f>
        <v/>
      </c>
    </row>
    <row r="894">
      <c r="AZ894">
        <f>IF(AND(업무일지!$B898&lt;&gt;"",업무일지!$AG898="진행중"),MAX(0,TODAY()-업무일지!$B898)*10000+107,"")</f>
        <v/>
      </c>
      <c r="BB894">
        <f>IF(AND(일일실시사항!$B898&lt;&gt;"",일일실시사항!$J898="진행중"),MAX(0,TODAY()-일일실시사항!$B898)*10000+107,"")</f>
        <v/>
      </c>
    </row>
    <row r="895">
      <c r="AZ895">
        <f>IF(AND(업무일지!$B899&lt;&gt;"",업무일지!$AG899="진행중"),MAX(0,TODAY()-업무일지!$B899)*10000+106,"")</f>
        <v/>
      </c>
      <c r="BB895">
        <f>IF(AND(일일실시사항!$B899&lt;&gt;"",일일실시사항!$J899="진행중"),MAX(0,TODAY()-일일실시사항!$B899)*10000+106,"")</f>
        <v/>
      </c>
    </row>
    <row r="896">
      <c r="AZ896">
        <f>IF(AND(업무일지!$B900&lt;&gt;"",업무일지!$AG900="진행중"),MAX(0,TODAY()-업무일지!$B900)*10000+105,"")</f>
        <v/>
      </c>
      <c r="BB896">
        <f>IF(AND(일일실시사항!$B900&lt;&gt;"",일일실시사항!$J900="진행중"),MAX(0,TODAY()-일일실시사항!$B900)*10000+105,"")</f>
        <v/>
      </c>
    </row>
    <row r="897">
      <c r="AZ897">
        <f>IF(AND(업무일지!$B901&lt;&gt;"",업무일지!$AG901="진행중"),MAX(0,TODAY()-업무일지!$B901)*10000+104,"")</f>
        <v/>
      </c>
      <c r="BB897">
        <f>IF(AND(일일실시사항!$B901&lt;&gt;"",일일실시사항!$J901="진행중"),MAX(0,TODAY()-일일실시사항!$B901)*10000+104,"")</f>
        <v/>
      </c>
    </row>
    <row r="898">
      <c r="AZ898">
        <f>IF(AND(업무일지!$B902&lt;&gt;"",업무일지!$AG902="진행중"),MAX(0,TODAY()-업무일지!$B902)*10000+103,"")</f>
        <v/>
      </c>
      <c r="BB898">
        <f>IF(AND(일일실시사항!$B902&lt;&gt;"",일일실시사항!$J902="진행중"),MAX(0,TODAY()-일일실시사항!$B902)*10000+103,"")</f>
        <v/>
      </c>
    </row>
    <row r="899">
      <c r="AZ899">
        <f>IF(AND(업무일지!$B903&lt;&gt;"",업무일지!$AG903="진행중"),MAX(0,TODAY()-업무일지!$B903)*10000+102,"")</f>
        <v/>
      </c>
      <c r="BB899">
        <f>IF(AND(일일실시사항!$B903&lt;&gt;"",일일실시사항!$J903="진행중"),MAX(0,TODAY()-일일실시사항!$B903)*10000+102,"")</f>
        <v/>
      </c>
    </row>
    <row r="900">
      <c r="AZ900">
        <f>IF(AND(업무일지!$B904&lt;&gt;"",업무일지!$AG904="진행중"),MAX(0,TODAY()-업무일지!$B904)*10000+101,"")</f>
        <v/>
      </c>
      <c r="BB900">
        <f>IF(AND(일일실시사항!$B904&lt;&gt;"",일일실시사항!$J904="진행중"),MAX(0,TODAY()-일일실시사항!$B904)*10000+101,"")</f>
        <v/>
      </c>
    </row>
    <row r="901">
      <c r="AZ901">
        <f>IF(AND(업무일지!$B905&lt;&gt;"",업무일지!$AG905="진행중"),MAX(0,TODAY()-업무일지!$B905)*10000+100,"")</f>
        <v/>
      </c>
      <c r="BB901">
        <f>IF(AND(일일실시사항!$B905&lt;&gt;"",일일실시사항!$J905="진행중"),MAX(0,TODAY()-일일실시사항!$B905)*10000+100,"")</f>
        <v/>
      </c>
    </row>
    <row r="902">
      <c r="AZ902">
        <f>IF(AND(업무일지!$B906&lt;&gt;"",업무일지!$AG906="진행중"),MAX(0,TODAY()-업무일지!$B906)*10000+99,"")</f>
        <v/>
      </c>
      <c r="BB902">
        <f>IF(AND(일일실시사항!$B906&lt;&gt;"",일일실시사항!$J906="진행중"),MAX(0,TODAY()-일일실시사항!$B906)*10000+99,"")</f>
        <v/>
      </c>
    </row>
    <row r="903">
      <c r="AZ903">
        <f>IF(AND(업무일지!$B907&lt;&gt;"",업무일지!$AG907="진행중"),MAX(0,TODAY()-업무일지!$B907)*10000+98,"")</f>
        <v/>
      </c>
      <c r="BB903">
        <f>IF(AND(일일실시사항!$B907&lt;&gt;"",일일실시사항!$J907="진행중"),MAX(0,TODAY()-일일실시사항!$B907)*10000+98,"")</f>
        <v/>
      </c>
    </row>
    <row r="904">
      <c r="AZ904">
        <f>IF(AND(업무일지!$B908&lt;&gt;"",업무일지!$AG908="진행중"),MAX(0,TODAY()-업무일지!$B908)*10000+97,"")</f>
        <v/>
      </c>
      <c r="BB904">
        <f>IF(AND(일일실시사항!$B908&lt;&gt;"",일일실시사항!$J908="진행중"),MAX(0,TODAY()-일일실시사항!$B908)*10000+97,"")</f>
        <v/>
      </c>
    </row>
    <row r="905">
      <c r="AZ905">
        <f>IF(AND(업무일지!$B909&lt;&gt;"",업무일지!$AG909="진행중"),MAX(0,TODAY()-업무일지!$B909)*10000+96,"")</f>
        <v/>
      </c>
      <c r="BB905">
        <f>IF(AND(일일실시사항!$B909&lt;&gt;"",일일실시사항!$J909="진행중"),MAX(0,TODAY()-일일실시사항!$B909)*10000+96,"")</f>
        <v/>
      </c>
    </row>
    <row r="906">
      <c r="AZ906">
        <f>IF(AND(업무일지!$B910&lt;&gt;"",업무일지!$AG910="진행중"),MAX(0,TODAY()-업무일지!$B910)*10000+95,"")</f>
        <v/>
      </c>
      <c r="BB906">
        <f>IF(AND(일일실시사항!$B910&lt;&gt;"",일일실시사항!$J910="진행중"),MAX(0,TODAY()-일일실시사항!$B910)*10000+95,"")</f>
        <v/>
      </c>
    </row>
    <row r="907">
      <c r="AZ907">
        <f>IF(AND(업무일지!$B911&lt;&gt;"",업무일지!$AG911="진행중"),MAX(0,TODAY()-업무일지!$B911)*10000+94,"")</f>
        <v/>
      </c>
      <c r="BB907">
        <f>IF(AND(일일실시사항!$B911&lt;&gt;"",일일실시사항!$J911="진행중"),MAX(0,TODAY()-일일실시사항!$B911)*10000+94,"")</f>
        <v/>
      </c>
    </row>
    <row r="908">
      <c r="AZ908">
        <f>IF(AND(업무일지!$B912&lt;&gt;"",업무일지!$AG912="진행중"),MAX(0,TODAY()-업무일지!$B912)*10000+93,"")</f>
        <v/>
      </c>
      <c r="BB908">
        <f>IF(AND(일일실시사항!$B912&lt;&gt;"",일일실시사항!$J912="진행중"),MAX(0,TODAY()-일일실시사항!$B912)*10000+93,"")</f>
        <v/>
      </c>
    </row>
    <row r="909">
      <c r="AZ909">
        <f>IF(AND(업무일지!$B913&lt;&gt;"",업무일지!$AG913="진행중"),MAX(0,TODAY()-업무일지!$B913)*10000+92,"")</f>
        <v/>
      </c>
      <c r="BB909">
        <f>IF(AND(일일실시사항!$B913&lt;&gt;"",일일실시사항!$J913="진행중"),MAX(0,TODAY()-일일실시사항!$B913)*10000+92,"")</f>
        <v/>
      </c>
    </row>
    <row r="910">
      <c r="AZ910">
        <f>IF(AND(업무일지!$B914&lt;&gt;"",업무일지!$AG914="진행중"),MAX(0,TODAY()-업무일지!$B914)*10000+91,"")</f>
        <v/>
      </c>
      <c r="BB910">
        <f>IF(AND(일일실시사항!$B914&lt;&gt;"",일일실시사항!$J914="진행중"),MAX(0,TODAY()-일일실시사항!$B914)*10000+91,"")</f>
        <v/>
      </c>
    </row>
    <row r="911">
      <c r="AZ911">
        <f>IF(AND(업무일지!$B915&lt;&gt;"",업무일지!$AG915="진행중"),MAX(0,TODAY()-업무일지!$B915)*10000+90,"")</f>
        <v/>
      </c>
      <c r="BB911">
        <f>IF(AND(일일실시사항!$B915&lt;&gt;"",일일실시사항!$J915="진행중"),MAX(0,TODAY()-일일실시사항!$B915)*10000+90,"")</f>
        <v/>
      </c>
    </row>
    <row r="912">
      <c r="AZ912">
        <f>IF(AND(업무일지!$B916&lt;&gt;"",업무일지!$AG916="진행중"),MAX(0,TODAY()-업무일지!$B916)*10000+89,"")</f>
        <v/>
      </c>
      <c r="BB912">
        <f>IF(AND(일일실시사항!$B916&lt;&gt;"",일일실시사항!$J916="진행중"),MAX(0,TODAY()-일일실시사항!$B916)*10000+89,"")</f>
        <v/>
      </c>
    </row>
    <row r="913">
      <c r="AZ913">
        <f>IF(AND(업무일지!$B917&lt;&gt;"",업무일지!$AG917="진행중"),MAX(0,TODAY()-업무일지!$B917)*10000+88,"")</f>
        <v/>
      </c>
      <c r="BB913">
        <f>IF(AND(일일실시사항!$B917&lt;&gt;"",일일실시사항!$J917="진행중"),MAX(0,TODAY()-일일실시사항!$B917)*10000+88,"")</f>
        <v/>
      </c>
    </row>
    <row r="914">
      <c r="AZ914">
        <f>IF(AND(업무일지!$B918&lt;&gt;"",업무일지!$AG918="진행중"),MAX(0,TODAY()-업무일지!$B918)*10000+87,"")</f>
        <v/>
      </c>
      <c r="BB914">
        <f>IF(AND(일일실시사항!$B918&lt;&gt;"",일일실시사항!$J918="진행중"),MAX(0,TODAY()-일일실시사항!$B918)*10000+87,"")</f>
        <v/>
      </c>
    </row>
    <row r="915">
      <c r="AZ915">
        <f>IF(AND(업무일지!$B919&lt;&gt;"",업무일지!$AG919="진행중"),MAX(0,TODAY()-업무일지!$B919)*10000+86,"")</f>
        <v/>
      </c>
      <c r="BB915">
        <f>IF(AND(일일실시사항!$B919&lt;&gt;"",일일실시사항!$J919="진행중"),MAX(0,TODAY()-일일실시사항!$B919)*10000+86,"")</f>
        <v/>
      </c>
    </row>
    <row r="916">
      <c r="AZ916">
        <f>IF(AND(업무일지!$B920&lt;&gt;"",업무일지!$AG920="진행중"),MAX(0,TODAY()-업무일지!$B920)*10000+85,"")</f>
        <v/>
      </c>
      <c r="BB916">
        <f>IF(AND(일일실시사항!$B920&lt;&gt;"",일일실시사항!$J920="진행중"),MAX(0,TODAY()-일일실시사항!$B920)*10000+85,"")</f>
        <v/>
      </c>
    </row>
    <row r="917">
      <c r="AZ917">
        <f>IF(AND(업무일지!$B921&lt;&gt;"",업무일지!$AG921="진행중"),MAX(0,TODAY()-업무일지!$B921)*10000+84,"")</f>
        <v/>
      </c>
      <c r="BB917">
        <f>IF(AND(일일실시사항!$B921&lt;&gt;"",일일실시사항!$J921="진행중"),MAX(0,TODAY()-일일실시사항!$B921)*10000+84,"")</f>
        <v/>
      </c>
    </row>
    <row r="918">
      <c r="AZ918">
        <f>IF(AND(업무일지!$B922&lt;&gt;"",업무일지!$AG922="진행중"),MAX(0,TODAY()-업무일지!$B922)*10000+83,"")</f>
        <v/>
      </c>
      <c r="BB918">
        <f>IF(AND(일일실시사항!$B922&lt;&gt;"",일일실시사항!$J922="진행중"),MAX(0,TODAY()-일일실시사항!$B922)*10000+83,"")</f>
        <v/>
      </c>
    </row>
    <row r="919">
      <c r="AZ919">
        <f>IF(AND(업무일지!$B923&lt;&gt;"",업무일지!$AG923="진행중"),MAX(0,TODAY()-업무일지!$B923)*10000+82,"")</f>
        <v/>
      </c>
      <c r="BB919">
        <f>IF(AND(일일실시사항!$B923&lt;&gt;"",일일실시사항!$J923="진행중"),MAX(0,TODAY()-일일실시사항!$B923)*10000+82,"")</f>
        <v/>
      </c>
    </row>
    <row r="920">
      <c r="AZ920">
        <f>IF(AND(업무일지!$B924&lt;&gt;"",업무일지!$AG924="진행중"),MAX(0,TODAY()-업무일지!$B924)*10000+81,"")</f>
        <v/>
      </c>
      <c r="BB920">
        <f>IF(AND(일일실시사항!$B924&lt;&gt;"",일일실시사항!$J924="진행중"),MAX(0,TODAY()-일일실시사항!$B924)*10000+81,"")</f>
        <v/>
      </c>
    </row>
    <row r="921">
      <c r="AZ921">
        <f>IF(AND(업무일지!$B925&lt;&gt;"",업무일지!$AG925="진행중"),MAX(0,TODAY()-업무일지!$B925)*10000+80,"")</f>
        <v/>
      </c>
      <c r="BB921">
        <f>IF(AND(일일실시사항!$B925&lt;&gt;"",일일실시사항!$J925="진행중"),MAX(0,TODAY()-일일실시사항!$B925)*10000+80,"")</f>
        <v/>
      </c>
    </row>
    <row r="922">
      <c r="AZ922">
        <f>IF(AND(업무일지!$B926&lt;&gt;"",업무일지!$AG926="진행중"),MAX(0,TODAY()-업무일지!$B926)*10000+79,"")</f>
        <v/>
      </c>
      <c r="BB922">
        <f>IF(AND(일일실시사항!$B926&lt;&gt;"",일일실시사항!$J926="진행중"),MAX(0,TODAY()-일일실시사항!$B926)*10000+79,"")</f>
        <v/>
      </c>
    </row>
    <row r="923">
      <c r="AZ923">
        <f>IF(AND(업무일지!$B927&lt;&gt;"",업무일지!$AG927="진행중"),MAX(0,TODAY()-업무일지!$B927)*10000+78,"")</f>
        <v/>
      </c>
      <c r="BB923">
        <f>IF(AND(일일실시사항!$B927&lt;&gt;"",일일실시사항!$J927="진행중"),MAX(0,TODAY()-일일실시사항!$B927)*10000+78,"")</f>
        <v/>
      </c>
    </row>
    <row r="924">
      <c r="AZ924">
        <f>IF(AND(업무일지!$B928&lt;&gt;"",업무일지!$AG928="진행중"),MAX(0,TODAY()-업무일지!$B928)*10000+77,"")</f>
        <v/>
      </c>
      <c r="BB924">
        <f>IF(AND(일일실시사항!$B928&lt;&gt;"",일일실시사항!$J928="진행중"),MAX(0,TODAY()-일일실시사항!$B928)*10000+77,"")</f>
        <v/>
      </c>
    </row>
    <row r="925">
      <c r="AZ925">
        <f>IF(AND(업무일지!$B929&lt;&gt;"",업무일지!$AG929="진행중"),MAX(0,TODAY()-업무일지!$B929)*10000+76,"")</f>
        <v/>
      </c>
      <c r="BB925">
        <f>IF(AND(일일실시사항!$B929&lt;&gt;"",일일실시사항!$J929="진행중"),MAX(0,TODAY()-일일실시사항!$B929)*10000+76,"")</f>
        <v/>
      </c>
    </row>
    <row r="926">
      <c r="AZ926">
        <f>IF(AND(업무일지!$B930&lt;&gt;"",업무일지!$AG930="진행중"),MAX(0,TODAY()-업무일지!$B930)*10000+75,"")</f>
        <v/>
      </c>
      <c r="BB926">
        <f>IF(AND(일일실시사항!$B930&lt;&gt;"",일일실시사항!$J930="진행중"),MAX(0,TODAY()-일일실시사항!$B930)*10000+75,"")</f>
        <v/>
      </c>
    </row>
    <row r="927">
      <c r="AZ927">
        <f>IF(AND(업무일지!$B931&lt;&gt;"",업무일지!$AG931="진행중"),MAX(0,TODAY()-업무일지!$B931)*10000+74,"")</f>
        <v/>
      </c>
      <c r="BB927">
        <f>IF(AND(일일실시사항!$B931&lt;&gt;"",일일실시사항!$J931="진행중"),MAX(0,TODAY()-일일실시사항!$B931)*10000+74,"")</f>
        <v/>
      </c>
    </row>
    <row r="928">
      <c r="AZ928">
        <f>IF(AND(업무일지!$B932&lt;&gt;"",업무일지!$AG932="진행중"),MAX(0,TODAY()-업무일지!$B932)*10000+73,"")</f>
        <v/>
      </c>
      <c r="BB928">
        <f>IF(AND(일일실시사항!$B932&lt;&gt;"",일일실시사항!$J932="진행중"),MAX(0,TODAY()-일일실시사항!$B932)*10000+73,"")</f>
        <v/>
      </c>
    </row>
    <row r="929">
      <c r="AZ929">
        <f>IF(AND(업무일지!$B933&lt;&gt;"",업무일지!$AG933="진행중"),MAX(0,TODAY()-업무일지!$B933)*10000+72,"")</f>
        <v/>
      </c>
      <c r="BB929">
        <f>IF(AND(일일실시사항!$B933&lt;&gt;"",일일실시사항!$J933="진행중"),MAX(0,TODAY()-일일실시사항!$B933)*10000+72,"")</f>
        <v/>
      </c>
    </row>
    <row r="930">
      <c r="AZ930">
        <f>IF(AND(업무일지!$B934&lt;&gt;"",업무일지!$AG934="진행중"),MAX(0,TODAY()-업무일지!$B934)*10000+71,"")</f>
        <v/>
      </c>
      <c r="BB930">
        <f>IF(AND(일일실시사항!$B934&lt;&gt;"",일일실시사항!$J934="진행중"),MAX(0,TODAY()-일일실시사항!$B934)*10000+71,"")</f>
        <v/>
      </c>
    </row>
    <row r="931">
      <c r="AZ931">
        <f>IF(AND(업무일지!$B935&lt;&gt;"",업무일지!$AG935="진행중"),MAX(0,TODAY()-업무일지!$B935)*10000+70,"")</f>
        <v/>
      </c>
      <c r="BB931">
        <f>IF(AND(일일실시사항!$B935&lt;&gt;"",일일실시사항!$J935="진행중"),MAX(0,TODAY()-일일실시사항!$B935)*10000+70,"")</f>
        <v/>
      </c>
    </row>
    <row r="932">
      <c r="AZ932">
        <f>IF(AND(업무일지!$B936&lt;&gt;"",업무일지!$AG936="진행중"),MAX(0,TODAY()-업무일지!$B936)*10000+69,"")</f>
        <v/>
      </c>
      <c r="BB932">
        <f>IF(AND(일일실시사항!$B936&lt;&gt;"",일일실시사항!$J936="진행중"),MAX(0,TODAY()-일일실시사항!$B936)*10000+69,"")</f>
        <v/>
      </c>
    </row>
    <row r="933">
      <c r="AZ933">
        <f>IF(AND(업무일지!$B937&lt;&gt;"",업무일지!$AG937="진행중"),MAX(0,TODAY()-업무일지!$B937)*10000+68,"")</f>
        <v/>
      </c>
      <c r="BB933">
        <f>IF(AND(일일실시사항!$B937&lt;&gt;"",일일실시사항!$J937="진행중"),MAX(0,TODAY()-일일실시사항!$B937)*10000+68,"")</f>
        <v/>
      </c>
    </row>
    <row r="934">
      <c r="AZ934">
        <f>IF(AND(업무일지!$B938&lt;&gt;"",업무일지!$AG938="진행중"),MAX(0,TODAY()-업무일지!$B938)*10000+67,"")</f>
        <v/>
      </c>
      <c r="BB934">
        <f>IF(AND(일일실시사항!$B938&lt;&gt;"",일일실시사항!$J938="진행중"),MAX(0,TODAY()-일일실시사항!$B938)*10000+67,"")</f>
        <v/>
      </c>
    </row>
    <row r="935">
      <c r="AZ935">
        <f>IF(AND(업무일지!$B939&lt;&gt;"",업무일지!$AG939="진행중"),MAX(0,TODAY()-업무일지!$B939)*10000+66,"")</f>
        <v/>
      </c>
      <c r="BB935">
        <f>IF(AND(일일실시사항!$B939&lt;&gt;"",일일실시사항!$J939="진행중"),MAX(0,TODAY()-일일실시사항!$B939)*10000+66,"")</f>
        <v/>
      </c>
    </row>
    <row r="936">
      <c r="AZ936">
        <f>IF(AND(업무일지!$B940&lt;&gt;"",업무일지!$AG940="진행중"),MAX(0,TODAY()-업무일지!$B940)*10000+65,"")</f>
        <v/>
      </c>
      <c r="BB936">
        <f>IF(AND(일일실시사항!$B940&lt;&gt;"",일일실시사항!$J940="진행중"),MAX(0,TODAY()-일일실시사항!$B940)*10000+65,"")</f>
        <v/>
      </c>
    </row>
    <row r="937">
      <c r="AZ937">
        <f>IF(AND(업무일지!$B941&lt;&gt;"",업무일지!$AG941="진행중"),MAX(0,TODAY()-업무일지!$B941)*10000+64,"")</f>
        <v/>
      </c>
      <c r="BB937">
        <f>IF(AND(일일실시사항!$B941&lt;&gt;"",일일실시사항!$J941="진행중"),MAX(0,TODAY()-일일실시사항!$B941)*10000+64,"")</f>
        <v/>
      </c>
    </row>
    <row r="938">
      <c r="AZ938">
        <f>IF(AND(업무일지!$B942&lt;&gt;"",업무일지!$AG942="진행중"),MAX(0,TODAY()-업무일지!$B942)*10000+63,"")</f>
        <v/>
      </c>
      <c r="BB938">
        <f>IF(AND(일일실시사항!$B942&lt;&gt;"",일일실시사항!$J942="진행중"),MAX(0,TODAY()-일일실시사항!$B942)*10000+63,"")</f>
        <v/>
      </c>
    </row>
    <row r="939">
      <c r="AZ939">
        <f>IF(AND(업무일지!$B943&lt;&gt;"",업무일지!$AG943="진행중"),MAX(0,TODAY()-업무일지!$B943)*10000+62,"")</f>
        <v/>
      </c>
      <c r="BB939">
        <f>IF(AND(일일실시사항!$B943&lt;&gt;"",일일실시사항!$J943="진행중"),MAX(0,TODAY()-일일실시사항!$B943)*10000+62,"")</f>
        <v/>
      </c>
    </row>
    <row r="940">
      <c r="AZ940">
        <f>IF(AND(업무일지!$B944&lt;&gt;"",업무일지!$AG944="진행중"),MAX(0,TODAY()-업무일지!$B944)*10000+61,"")</f>
        <v/>
      </c>
      <c r="BB940">
        <f>IF(AND(일일실시사항!$B944&lt;&gt;"",일일실시사항!$J944="진행중"),MAX(0,TODAY()-일일실시사항!$B944)*10000+61,"")</f>
        <v/>
      </c>
    </row>
    <row r="941">
      <c r="AZ941">
        <f>IF(AND(업무일지!$B945&lt;&gt;"",업무일지!$AG945="진행중"),MAX(0,TODAY()-업무일지!$B945)*10000+60,"")</f>
        <v/>
      </c>
      <c r="BB941">
        <f>IF(AND(일일실시사항!$B945&lt;&gt;"",일일실시사항!$J945="진행중"),MAX(0,TODAY()-일일실시사항!$B945)*10000+60,"")</f>
        <v/>
      </c>
    </row>
    <row r="942">
      <c r="AZ942">
        <f>IF(AND(업무일지!$B946&lt;&gt;"",업무일지!$AG946="진행중"),MAX(0,TODAY()-업무일지!$B946)*10000+59,"")</f>
        <v/>
      </c>
      <c r="BB942">
        <f>IF(AND(일일실시사항!$B946&lt;&gt;"",일일실시사항!$J946="진행중"),MAX(0,TODAY()-일일실시사항!$B946)*10000+59,"")</f>
        <v/>
      </c>
    </row>
    <row r="943">
      <c r="AZ943">
        <f>IF(AND(업무일지!$B947&lt;&gt;"",업무일지!$AG947="진행중"),MAX(0,TODAY()-업무일지!$B947)*10000+58,"")</f>
        <v/>
      </c>
      <c r="BB943">
        <f>IF(AND(일일실시사항!$B947&lt;&gt;"",일일실시사항!$J947="진행중"),MAX(0,TODAY()-일일실시사항!$B947)*10000+58,"")</f>
        <v/>
      </c>
    </row>
    <row r="944">
      <c r="AZ944">
        <f>IF(AND(업무일지!$B948&lt;&gt;"",업무일지!$AG948="진행중"),MAX(0,TODAY()-업무일지!$B948)*10000+57,"")</f>
        <v/>
      </c>
      <c r="BB944">
        <f>IF(AND(일일실시사항!$B948&lt;&gt;"",일일실시사항!$J948="진행중"),MAX(0,TODAY()-일일실시사항!$B948)*10000+57,"")</f>
        <v/>
      </c>
    </row>
    <row r="945">
      <c r="AZ945">
        <f>IF(AND(업무일지!$B949&lt;&gt;"",업무일지!$AG949="진행중"),MAX(0,TODAY()-업무일지!$B949)*10000+56,"")</f>
        <v/>
      </c>
      <c r="BB945">
        <f>IF(AND(일일실시사항!$B949&lt;&gt;"",일일실시사항!$J949="진행중"),MAX(0,TODAY()-일일실시사항!$B949)*10000+56,"")</f>
        <v/>
      </c>
    </row>
    <row r="946">
      <c r="AZ946">
        <f>IF(AND(업무일지!$B950&lt;&gt;"",업무일지!$AG950="진행중"),MAX(0,TODAY()-업무일지!$B950)*10000+55,"")</f>
        <v/>
      </c>
      <c r="BB946">
        <f>IF(AND(일일실시사항!$B950&lt;&gt;"",일일실시사항!$J950="진행중"),MAX(0,TODAY()-일일실시사항!$B950)*10000+55,"")</f>
        <v/>
      </c>
    </row>
    <row r="947">
      <c r="AZ947">
        <f>IF(AND(업무일지!$B951&lt;&gt;"",업무일지!$AG951="진행중"),MAX(0,TODAY()-업무일지!$B951)*10000+54,"")</f>
        <v/>
      </c>
      <c r="BB947">
        <f>IF(AND(일일실시사항!$B951&lt;&gt;"",일일실시사항!$J951="진행중"),MAX(0,TODAY()-일일실시사항!$B951)*10000+54,"")</f>
        <v/>
      </c>
    </row>
    <row r="948">
      <c r="AZ948">
        <f>IF(AND(업무일지!$B952&lt;&gt;"",업무일지!$AG952="진행중"),MAX(0,TODAY()-업무일지!$B952)*10000+53,"")</f>
        <v/>
      </c>
      <c r="BB948">
        <f>IF(AND(일일실시사항!$B952&lt;&gt;"",일일실시사항!$J952="진행중"),MAX(0,TODAY()-일일실시사항!$B952)*10000+53,"")</f>
        <v/>
      </c>
    </row>
    <row r="949">
      <c r="AZ949">
        <f>IF(AND(업무일지!$B953&lt;&gt;"",업무일지!$AG953="진행중"),MAX(0,TODAY()-업무일지!$B953)*10000+52,"")</f>
        <v/>
      </c>
      <c r="BB949">
        <f>IF(AND(일일실시사항!$B953&lt;&gt;"",일일실시사항!$J953="진행중"),MAX(0,TODAY()-일일실시사항!$B953)*10000+52,"")</f>
        <v/>
      </c>
    </row>
    <row r="950">
      <c r="AZ950">
        <f>IF(AND(업무일지!$B954&lt;&gt;"",업무일지!$AG954="진행중"),MAX(0,TODAY()-업무일지!$B954)*10000+51,"")</f>
        <v/>
      </c>
      <c r="BB950">
        <f>IF(AND(일일실시사항!$B954&lt;&gt;"",일일실시사항!$J954="진행중"),MAX(0,TODAY()-일일실시사항!$B954)*10000+51,"")</f>
        <v/>
      </c>
    </row>
    <row r="951">
      <c r="AZ951">
        <f>IF(AND(업무일지!$B955&lt;&gt;"",업무일지!$AG955="진행중"),MAX(0,TODAY()-업무일지!$B955)*10000+50,"")</f>
        <v/>
      </c>
      <c r="BB951">
        <f>IF(AND(일일실시사항!$B955&lt;&gt;"",일일실시사항!$J955="진행중"),MAX(0,TODAY()-일일실시사항!$B955)*10000+50,"")</f>
        <v/>
      </c>
    </row>
    <row r="952">
      <c r="AZ952">
        <f>IF(AND(업무일지!$B956&lt;&gt;"",업무일지!$AG956="진행중"),MAX(0,TODAY()-업무일지!$B956)*10000+49,"")</f>
        <v/>
      </c>
      <c r="BB952">
        <f>IF(AND(일일실시사항!$B956&lt;&gt;"",일일실시사항!$J956="진행중"),MAX(0,TODAY()-일일실시사항!$B956)*10000+49,"")</f>
        <v/>
      </c>
    </row>
    <row r="953">
      <c r="AZ953">
        <f>IF(AND(업무일지!$B957&lt;&gt;"",업무일지!$AG957="진행중"),MAX(0,TODAY()-업무일지!$B957)*10000+48,"")</f>
        <v/>
      </c>
      <c r="BB953">
        <f>IF(AND(일일실시사항!$B957&lt;&gt;"",일일실시사항!$J957="진행중"),MAX(0,TODAY()-일일실시사항!$B957)*10000+48,"")</f>
        <v/>
      </c>
    </row>
    <row r="954">
      <c r="AZ954">
        <f>IF(AND(업무일지!$B958&lt;&gt;"",업무일지!$AG958="진행중"),MAX(0,TODAY()-업무일지!$B958)*10000+47,"")</f>
        <v/>
      </c>
      <c r="BB954">
        <f>IF(AND(일일실시사항!$B958&lt;&gt;"",일일실시사항!$J958="진행중"),MAX(0,TODAY()-일일실시사항!$B958)*10000+47,"")</f>
        <v/>
      </c>
    </row>
    <row r="955">
      <c r="AZ955">
        <f>IF(AND(업무일지!$B959&lt;&gt;"",업무일지!$AG959="진행중"),MAX(0,TODAY()-업무일지!$B959)*10000+46,"")</f>
        <v/>
      </c>
      <c r="BB955">
        <f>IF(AND(일일실시사항!$B959&lt;&gt;"",일일실시사항!$J959="진행중"),MAX(0,TODAY()-일일실시사항!$B959)*10000+46,"")</f>
        <v/>
      </c>
    </row>
    <row r="956">
      <c r="AZ956">
        <f>IF(AND(업무일지!$B960&lt;&gt;"",업무일지!$AG960="진행중"),MAX(0,TODAY()-업무일지!$B960)*10000+45,"")</f>
        <v/>
      </c>
      <c r="BB956">
        <f>IF(AND(일일실시사항!$B960&lt;&gt;"",일일실시사항!$J960="진행중"),MAX(0,TODAY()-일일실시사항!$B960)*10000+45,"")</f>
        <v/>
      </c>
    </row>
    <row r="957">
      <c r="AZ957">
        <f>IF(AND(업무일지!$B961&lt;&gt;"",업무일지!$AG961="진행중"),MAX(0,TODAY()-업무일지!$B961)*10000+44,"")</f>
        <v/>
      </c>
      <c r="BB957">
        <f>IF(AND(일일실시사항!$B961&lt;&gt;"",일일실시사항!$J961="진행중"),MAX(0,TODAY()-일일실시사항!$B961)*10000+44,"")</f>
        <v/>
      </c>
    </row>
    <row r="958">
      <c r="AZ958">
        <f>IF(AND(업무일지!$B962&lt;&gt;"",업무일지!$AG962="진행중"),MAX(0,TODAY()-업무일지!$B962)*10000+43,"")</f>
        <v/>
      </c>
      <c r="BB958">
        <f>IF(AND(일일실시사항!$B962&lt;&gt;"",일일실시사항!$J962="진행중"),MAX(0,TODAY()-일일실시사항!$B962)*10000+43,"")</f>
        <v/>
      </c>
    </row>
    <row r="959">
      <c r="AZ959">
        <f>IF(AND(업무일지!$B963&lt;&gt;"",업무일지!$AG963="진행중"),MAX(0,TODAY()-업무일지!$B963)*10000+42,"")</f>
        <v/>
      </c>
      <c r="BB959">
        <f>IF(AND(일일실시사항!$B963&lt;&gt;"",일일실시사항!$J963="진행중"),MAX(0,TODAY()-일일실시사항!$B963)*10000+42,"")</f>
        <v/>
      </c>
    </row>
    <row r="960">
      <c r="AZ960">
        <f>IF(AND(업무일지!$B964&lt;&gt;"",업무일지!$AG964="진행중"),MAX(0,TODAY()-업무일지!$B964)*10000+41,"")</f>
        <v/>
      </c>
      <c r="BB960">
        <f>IF(AND(일일실시사항!$B964&lt;&gt;"",일일실시사항!$J964="진행중"),MAX(0,TODAY()-일일실시사항!$B964)*10000+41,"")</f>
        <v/>
      </c>
    </row>
    <row r="961">
      <c r="AZ961">
        <f>IF(AND(업무일지!$B965&lt;&gt;"",업무일지!$AG965="진행중"),MAX(0,TODAY()-업무일지!$B965)*10000+40,"")</f>
        <v/>
      </c>
      <c r="BB961">
        <f>IF(AND(일일실시사항!$B965&lt;&gt;"",일일실시사항!$J965="진행중"),MAX(0,TODAY()-일일실시사항!$B965)*10000+40,"")</f>
        <v/>
      </c>
    </row>
    <row r="962">
      <c r="AZ962">
        <f>IF(AND(업무일지!$B966&lt;&gt;"",업무일지!$AG966="진행중"),MAX(0,TODAY()-업무일지!$B966)*10000+39,"")</f>
        <v/>
      </c>
      <c r="BB962">
        <f>IF(AND(일일실시사항!$B966&lt;&gt;"",일일실시사항!$J966="진행중"),MAX(0,TODAY()-일일실시사항!$B966)*10000+39,"")</f>
        <v/>
      </c>
    </row>
    <row r="963">
      <c r="AZ963">
        <f>IF(AND(업무일지!$B967&lt;&gt;"",업무일지!$AG967="진행중"),MAX(0,TODAY()-업무일지!$B967)*10000+38,"")</f>
        <v/>
      </c>
      <c r="BB963">
        <f>IF(AND(일일실시사항!$B967&lt;&gt;"",일일실시사항!$J967="진행중"),MAX(0,TODAY()-일일실시사항!$B967)*10000+38,"")</f>
        <v/>
      </c>
    </row>
    <row r="964">
      <c r="AZ964">
        <f>IF(AND(업무일지!$B968&lt;&gt;"",업무일지!$AG968="진행중"),MAX(0,TODAY()-업무일지!$B968)*10000+37,"")</f>
        <v/>
      </c>
      <c r="BB964">
        <f>IF(AND(일일실시사항!$B968&lt;&gt;"",일일실시사항!$J968="진행중"),MAX(0,TODAY()-일일실시사항!$B968)*10000+37,"")</f>
        <v/>
      </c>
    </row>
    <row r="965">
      <c r="AZ965">
        <f>IF(AND(업무일지!$B969&lt;&gt;"",업무일지!$AG969="진행중"),MAX(0,TODAY()-업무일지!$B969)*10000+36,"")</f>
        <v/>
      </c>
      <c r="BB965">
        <f>IF(AND(일일실시사항!$B969&lt;&gt;"",일일실시사항!$J969="진행중"),MAX(0,TODAY()-일일실시사항!$B969)*10000+36,"")</f>
        <v/>
      </c>
    </row>
    <row r="966">
      <c r="AZ966">
        <f>IF(AND(업무일지!$B970&lt;&gt;"",업무일지!$AG970="진행중"),MAX(0,TODAY()-업무일지!$B970)*10000+35,"")</f>
        <v/>
      </c>
      <c r="BB966">
        <f>IF(AND(일일실시사항!$B970&lt;&gt;"",일일실시사항!$J970="진행중"),MAX(0,TODAY()-일일실시사항!$B970)*10000+35,"")</f>
        <v/>
      </c>
    </row>
    <row r="967">
      <c r="AZ967">
        <f>IF(AND(업무일지!$B971&lt;&gt;"",업무일지!$AG971="진행중"),MAX(0,TODAY()-업무일지!$B971)*10000+34,"")</f>
        <v/>
      </c>
      <c r="BB967">
        <f>IF(AND(일일실시사항!$B971&lt;&gt;"",일일실시사항!$J971="진행중"),MAX(0,TODAY()-일일실시사항!$B971)*10000+34,"")</f>
        <v/>
      </c>
    </row>
    <row r="968">
      <c r="AZ968">
        <f>IF(AND(업무일지!$B972&lt;&gt;"",업무일지!$AG972="진행중"),MAX(0,TODAY()-업무일지!$B972)*10000+33,"")</f>
        <v/>
      </c>
      <c r="BB968">
        <f>IF(AND(일일실시사항!$B972&lt;&gt;"",일일실시사항!$J972="진행중"),MAX(0,TODAY()-일일실시사항!$B972)*10000+33,"")</f>
        <v/>
      </c>
    </row>
    <row r="969">
      <c r="AZ969">
        <f>IF(AND(업무일지!$B973&lt;&gt;"",업무일지!$AG973="진행중"),MAX(0,TODAY()-업무일지!$B973)*10000+32,"")</f>
        <v/>
      </c>
      <c r="BB969">
        <f>IF(AND(일일실시사항!$B973&lt;&gt;"",일일실시사항!$J973="진행중"),MAX(0,TODAY()-일일실시사항!$B973)*10000+32,"")</f>
        <v/>
      </c>
    </row>
    <row r="970">
      <c r="AZ970">
        <f>IF(AND(업무일지!$B974&lt;&gt;"",업무일지!$AG974="진행중"),MAX(0,TODAY()-업무일지!$B974)*10000+31,"")</f>
        <v/>
      </c>
      <c r="BB970">
        <f>IF(AND(일일실시사항!$B974&lt;&gt;"",일일실시사항!$J974="진행중"),MAX(0,TODAY()-일일실시사항!$B974)*10000+31,"")</f>
        <v/>
      </c>
    </row>
    <row r="971">
      <c r="AZ971">
        <f>IF(AND(업무일지!$B975&lt;&gt;"",업무일지!$AG975="진행중"),MAX(0,TODAY()-업무일지!$B975)*10000+30,"")</f>
        <v/>
      </c>
      <c r="BB971">
        <f>IF(AND(일일실시사항!$B975&lt;&gt;"",일일실시사항!$J975="진행중"),MAX(0,TODAY()-일일실시사항!$B975)*10000+30,"")</f>
        <v/>
      </c>
    </row>
    <row r="972">
      <c r="AZ972">
        <f>IF(AND(업무일지!$B976&lt;&gt;"",업무일지!$AG976="진행중"),MAX(0,TODAY()-업무일지!$B976)*10000+29,"")</f>
        <v/>
      </c>
      <c r="BB972">
        <f>IF(AND(일일실시사항!$B976&lt;&gt;"",일일실시사항!$J976="진행중"),MAX(0,TODAY()-일일실시사항!$B976)*10000+29,"")</f>
        <v/>
      </c>
    </row>
    <row r="973">
      <c r="AZ973">
        <f>IF(AND(업무일지!$B977&lt;&gt;"",업무일지!$AG977="진행중"),MAX(0,TODAY()-업무일지!$B977)*10000+28,"")</f>
        <v/>
      </c>
      <c r="BB973">
        <f>IF(AND(일일실시사항!$B977&lt;&gt;"",일일실시사항!$J977="진행중"),MAX(0,TODAY()-일일실시사항!$B977)*10000+28,"")</f>
        <v/>
      </c>
    </row>
    <row r="974">
      <c r="AZ974">
        <f>IF(AND(업무일지!$B978&lt;&gt;"",업무일지!$AG978="진행중"),MAX(0,TODAY()-업무일지!$B978)*10000+27,"")</f>
        <v/>
      </c>
      <c r="BB974">
        <f>IF(AND(일일실시사항!$B978&lt;&gt;"",일일실시사항!$J978="진행중"),MAX(0,TODAY()-일일실시사항!$B978)*10000+27,"")</f>
        <v/>
      </c>
    </row>
    <row r="975">
      <c r="AZ975">
        <f>IF(AND(업무일지!$B979&lt;&gt;"",업무일지!$AG979="진행중"),MAX(0,TODAY()-업무일지!$B979)*10000+26,"")</f>
        <v/>
      </c>
      <c r="BB975">
        <f>IF(AND(일일실시사항!$B979&lt;&gt;"",일일실시사항!$J979="진행중"),MAX(0,TODAY()-일일실시사항!$B979)*10000+26,"")</f>
        <v/>
      </c>
    </row>
    <row r="976">
      <c r="AZ976">
        <f>IF(AND(업무일지!$B980&lt;&gt;"",업무일지!$AG980="진행중"),MAX(0,TODAY()-업무일지!$B980)*10000+25,"")</f>
        <v/>
      </c>
      <c r="BB976">
        <f>IF(AND(일일실시사항!$B980&lt;&gt;"",일일실시사항!$J980="진행중"),MAX(0,TODAY()-일일실시사항!$B980)*10000+25,"")</f>
        <v/>
      </c>
    </row>
    <row r="977">
      <c r="AZ977">
        <f>IF(AND(업무일지!$B981&lt;&gt;"",업무일지!$AG981="진행중"),MAX(0,TODAY()-업무일지!$B981)*10000+24,"")</f>
        <v/>
      </c>
      <c r="BB977">
        <f>IF(AND(일일실시사항!$B981&lt;&gt;"",일일실시사항!$J981="진행중"),MAX(0,TODAY()-일일실시사항!$B981)*10000+24,"")</f>
        <v/>
      </c>
    </row>
    <row r="978">
      <c r="AZ978">
        <f>IF(AND(업무일지!$B982&lt;&gt;"",업무일지!$AG982="진행중"),MAX(0,TODAY()-업무일지!$B982)*10000+23,"")</f>
        <v/>
      </c>
      <c r="BB978">
        <f>IF(AND(일일실시사항!$B982&lt;&gt;"",일일실시사항!$J982="진행중"),MAX(0,TODAY()-일일실시사항!$B982)*10000+23,"")</f>
        <v/>
      </c>
    </row>
    <row r="979">
      <c r="AZ979">
        <f>IF(AND(업무일지!$B983&lt;&gt;"",업무일지!$AG983="진행중"),MAX(0,TODAY()-업무일지!$B983)*10000+22,"")</f>
        <v/>
      </c>
      <c r="BB979">
        <f>IF(AND(일일실시사항!$B983&lt;&gt;"",일일실시사항!$J983="진행중"),MAX(0,TODAY()-일일실시사항!$B983)*10000+22,"")</f>
        <v/>
      </c>
    </row>
    <row r="980">
      <c r="AZ980">
        <f>IF(AND(업무일지!$B984&lt;&gt;"",업무일지!$AG984="진행중"),MAX(0,TODAY()-업무일지!$B984)*10000+21,"")</f>
        <v/>
      </c>
      <c r="BB980">
        <f>IF(AND(일일실시사항!$B984&lt;&gt;"",일일실시사항!$J984="진행중"),MAX(0,TODAY()-일일실시사항!$B984)*10000+21,"")</f>
        <v/>
      </c>
    </row>
    <row r="981">
      <c r="AZ981">
        <f>IF(AND(업무일지!$B985&lt;&gt;"",업무일지!$AG985="진행중"),MAX(0,TODAY()-업무일지!$B985)*10000+20,"")</f>
        <v/>
      </c>
      <c r="BB981">
        <f>IF(AND(일일실시사항!$B985&lt;&gt;"",일일실시사항!$J985="진행중"),MAX(0,TODAY()-일일실시사항!$B985)*10000+20,"")</f>
        <v/>
      </c>
    </row>
    <row r="982">
      <c r="AZ982">
        <f>IF(AND(업무일지!$B986&lt;&gt;"",업무일지!$AG986="진행중"),MAX(0,TODAY()-업무일지!$B986)*10000+19,"")</f>
        <v/>
      </c>
      <c r="BB982">
        <f>IF(AND(일일실시사항!$B986&lt;&gt;"",일일실시사항!$J986="진행중"),MAX(0,TODAY()-일일실시사항!$B986)*10000+19,"")</f>
        <v/>
      </c>
    </row>
    <row r="983">
      <c r="AZ983">
        <f>IF(AND(업무일지!$B987&lt;&gt;"",업무일지!$AG987="진행중"),MAX(0,TODAY()-업무일지!$B987)*10000+18,"")</f>
        <v/>
      </c>
      <c r="BB983">
        <f>IF(AND(일일실시사항!$B987&lt;&gt;"",일일실시사항!$J987="진행중"),MAX(0,TODAY()-일일실시사항!$B987)*10000+18,"")</f>
        <v/>
      </c>
    </row>
    <row r="984">
      <c r="AZ984">
        <f>IF(AND(업무일지!$B988&lt;&gt;"",업무일지!$AG988="진행중"),MAX(0,TODAY()-업무일지!$B988)*10000+17,"")</f>
        <v/>
      </c>
      <c r="BB984">
        <f>IF(AND(일일실시사항!$B988&lt;&gt;"",일일실시사항!$J988="진행중"),MAX(0,TODAY()-일일실시사항!$B988)*10000+17,"")</f>
        <v/>
      </c>
    </row>
    <row r="985">
      <c r="AZ985">
        <f>IF(AND(업무일지!$B989&lt;&gt;"",업무일지!$AG989="진행중"),MAX(0,TODAY()-업무일지!$B989)*10000+16,"")</f>
        <v/>
      </c>
      <c r="BB985">
        <f>IF(AND(일일실시사항!$B989&lt;&gt;"",일일실시사항!$J989="진행중"),MAX(0,TODAY()-일일실시사항!$B989)*10000+16,"")</f>
        <v/>
      </c>
    </row>
    <row r="986">
      <c r="AZ986">
        <f>IF(AND(업무일지!$B990&lt;&gt;"",업무일지!$AG990="진행중"),MAX(0,TODAY()-업무일지!$B990)*10000+15,"")</f>
        <v/>
      </c>
      <c r="BB986">
        <f>IF(AND(일일실시사항!$B990&lt;&gt;"",일일실시사항!$J990="진행중"),MAX(0,TODAY()-일일실시사항!$B990)*10000+15,"")</f>
        <v/>
      </c>
    </row>
    <row r="987">
      <c r="AZ987">
        <f>IF(AND(업무일지!$B991&lt;&gt;"",업무일지!$AG991="진행중"),MAX(0,TODAY()-업무일지!$B991)*10000+14,"")</f>
        <v/>
      </c>
      <c r="BB987">
        <f>IF(AND(일일실시사항!$B991&lt;&gt;"",일일실시사항!$J991="진행중"),MAX(0,TODAY()-일일실시사항!$B991)*10000+14,"")</f>
        <v/>
      </c>
    </row>
    <row r="988">
      <c r="AZ988">
        <f>IF(AND(업무일지!$B992&lt;&gt;"",업무일지!$AG992="진행중"),MAX(0,TODAY()-업무일지!$B992)*10000+13,"")</f>
        <v/>
      </c>
      <c r="BB988">
        <f>IF(AND(일일실시사항!$B992&lt;&gt;"",일일실시사항!$J992="진행중"),MAX(0,TODAY()-일일실시사항!$B992)*10000+13,"")</f>
        <v/>
      </c>
    </row>
    <row r="989">
      <c r="AZ989">
        <f>IF(AND(업무일지!$B993&lt;&gt;"",업무일지!$AG993="진행중"),MAX(0,TODAY()-업무일지!$B993)*10000+12,"")</f>
        <v/>
      </c>
      <c r="BB989">
        <f>IF(AND(일일실시사항!$B993&lt;&gt;"",일일실시사항!$J993="진행중"),MAX(0,TODAY()-일일실시사항!$B993)*10000+12,"")</f>
        <v/>
      </c>
    </row>
    <row r="990">
      <c r="AZ990">
        <f>IF(AND(업무일지!$B994&lt;&gt;"",업무일지!$AG994="진행중"),MAX(0,TODAY()-업무일지!$B994)*10000+11,"")</f>
        <v/>
      </c>
      <c r="BB990">
        <f>IF(AND(일일실시사항!$B994&lt;&gt;"",일일실시사항!$J994="진행중"),MAX(0,TODAY()-일일실시사항!$B994)*10000+11,"")</f>
        <v/>
      </c>
    </row>
    <row r="991">
      <c r="AZ991">
        <f>IF(AND(업무일지!$B995&lt;&gt;"",업무일지!$AG995="진행중"),MAX(0,TODAY()-업무일지!$B995)*10000+10,"")</f>
        <v/>
      </c>
      <c r="BB991">
        <f>IF(AND(일일실시사항!$B995&lt;&gt;"",일일실시사항!$J995="진행중"),MAX(0,TODAY()-일일실시사항!$B995)*10000+10,"")</f>
        <v/>
      </c>
    </row>
    <row r="992">
      <c r="AZ992">
        <f>IF(AND(업무일지!$B996&lt;&gt;"",업무일지!$AG996="진행중"),MAX(0,TODAY()-업무일지!$B996)*10000+9,"")</f>
        <v/>
      </c>
      <c r="BB992">
        <f>IF(AND(일일실시사항!$B996&lt;&gt;"",일일실시사항!$J996="진행중"),MAX(0,TODAY()-일일실시사항!$B996)*10000+9,"")</f>
        <v/>
      </c>
    </row>
    <row r="993">
      <c r="AZ993">
        <f>IF(AND(업무일지!$B997&lt;&gt;"",업무일지!$AG997="진행중"),MAX(0,TODAY()-업무일지!$B997)*10000+8,"")</f>
        <v/>
      </c>
      <c r="BB993">
        <f>IF(AND(일일실시사항!$B997&lt;&gt;"",일일실시사항!$J997="진행중"),MAX(0,TODAY()-일일실시사항!$B997)*10000+8,"")</f>
        <v/>
      </c>
    </row>
    <row r="994">
      <c r="AZ994">
        <f>IF(AND(업무일지!$B998&lt;&gt;"",업무일지!$AG998="진행중"),MAX(0,TODAY()-업무일지!$B998)*10000+7,"")</f>
        <v/>
      </c>
      <c r="BB994">
        <f>IF(AND(일일실시사항!$B998&lt;&gt;"",일일실시사항!$J998="진행중"),MAX(0,TODAY()-일일실시사항!$B998)*10000+7,"")</f>
        <v/>
      </c>
    </row>
    <row r="995">
      <c r="AZ995">
        <f>IF(AND(업무일지!$B999&lt;&gt;"",업무일지!$AG999="진행중"),MAX(0,TODAY()-업무일지!$B999)*10000+6,"")</f>
        <v/>
      </c>
      <c r="BB995">
        <f>IF(AND(일일실시사항!$B999&lt;&gt;"",일일실시사항!$J999="진행중"),MAX(0,TODAY()-일일실시사항!$B999)*10000+6,"")</f>
        <v/>
      </c>
    </row>
    <row r="996">
      <c r="AZ996">
        <f>IF(AND(업무일지!$B1000&lt;&gt;"",업무일지!$AG1000="진행중"),MAX(0,TODAY()-업무일지!$B1000)*10000+5,"")</f>
        <v/>
      </c>
      <c r="BB996">
        <f>IF(AND(일일실시사항!$B1000&lt;&gt;"",일일실시사항!$J1000="진행중"),MAX(0,TODAY()-일일실시사항!$B1000)*10000+5,"")</f>
        <v/>
      </c>
    </row>
    <row r="997">
      <c r="AZ997">
        <f>IF(AND(업무일지!$B1001&lt;&gt;"",업무일지!$AG1001="진행중"),MAX(0,TODAY()-업무일지!$B1001)*10000+4,"")</f>
        <v/>
      </c>
      <c r="BB997">
        <f>IF(AND(일일실시사항!$B1001&lt;&gt;"",일일실시사항!$J1001="진행중"),MAX(0,TODAY()-일일실시사항!$B1001)*10000+4,"")</f>
        <v/>
      </c>
    </row>
    <row r="998">
      <c r="AZ998">
        <f>IF(AND(업무일지!$B1002&lt;&gt;"",업무일지!$AG1002="진행중"),MAX(0,TODAY()-업무일지!$B1002)*10000+3,"")</f>
        <v/>
      </c>
      <c r="BB998">
        <f>IF(AND(일일실시사항!$B1002&lt;&gt;"",일일실시사항!$J1002="진행중"),MAX(0,TODAY()-일일실시사항!$B1002)*10000+3,"")</f>
        <v/>
      </c>
    </row>
    <row r="999">
      <c r="AZ999">
        <f>IF(AND(업무일지!$B1003&lt;&gt;"",업무일지!$AG1003="진행중"),MAX(0,TODAY()-업무일지!$B1003)*10000+2,"")</f>
        <v/>
      </c>
      <c r="BB999">
        <f>IF(AND(일일실시사항!$B1003&lt;&gt;"",일일실시사항!$J1003="진행중"),MAX(0,TODAY()-일일실시사항!$B1003)*10000+2,"")</f>
        <v/>
      </c>
    </row>
    <row r="1000">
      <c r="AZ1000">
        <f>IF(AND(업무일지!$B1004&lt;&gt;"",업무일지!$AG1004="진행중"),MAX(0,TODAY()-업무일지!$B1004)*10000+1,"")</f>
        <v/>
      </c>
      <c r="BB1000">
        <f>IF(AND(일일실시사항!$B1004&lt;&gt;"",일일실시사항!$J1004="진행중"),MAX(0,TODAY()-일일실시사항!$B1004)*10000+1,"")</f>
        <v/>
      </c>
    </row>
  </sheetData>
  <conditionalFormatting sqref="A14:L113">
    <cfRule type="expression" priority="1" dxfId="9" stopIfTrue="1">
      <formula>AND($B14&lt;&gt;"",$B14&gt;60)</formula>
    </cfRule>
    <cfRule type="expression" priority="2" dxfId="3" stopIfTrue="1">
      <formula>AND($B14&lt;&gt;"",$B14&gt;30)</formula>
    </cfRule>
  </conditionalFormatting>
  <printOptions horizontalCentered="1"/>
  <pageMargins left="0.35" right="0.35" top="0.55" bottom="0.5" header="0.25" footer="0.25"/>
  <pageSetup orientation="landscape" paperSize="9" fitToHeight="0" fitToWidth="1"/>
  <headerFooter>
    <oddHeader>&amp;L&amp;"Arial"&amp;9진행중 보드&amp;R&amp;"Arial"&amp;9인쇄 &amp;D</oddHeader>
    <oddFooter>&amp;C&amp;"Arial"&amp;9&amp;P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BK100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8" customWidth="1" min="4" max="4"/>
    <col width="10" customWidth="1" min="5" max="5"/>
    <col width="18" customWidth="1" min="6" max="6"/>
    <col width="32" customWidth="1" min="7" max="7"/>
    <col width="20" customWidth="1" min="8" max="8"/>
    <col width="11" customWidth="1" min="9" max="9"/>
    <col width="12" customWidth="1" min="10" max="10"/>
    <col width="11" customWidth="1" min="11" max="11"/>
    <col width="22" customWidth="1" min="12" max="12"/>
    <col width="13" customWidth="1" min="13" max="13"/>
    <col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 ht="24" customHeight="1">
      <c r="A1" s="6" t="inlineStr">
        <is>
          <t>사건 이력 조회  ·  사건별 타임라인</t>
        </is>
      </c>
      <c r="BF1">
        <f>IF(AND(업무일지!$F5=$B$4,업무일지!$B5&lt;&gt;""),업무일지!$B5*10000+1,"")</f>
        <v/>
      </c>
      <c r="BH1">
        <f>IF(AND(일일실시사항!$G5=$B$4,일일실시사항!$B5&lt;&gt;""),일일실시사항!$B5*10000+1,"")</f>
        <v/>
      </c>
      <c r="BK1">
        <f>IF($B$4="",0,SUMPRODUCT(MAX((업무일지!$F$5:$F$1004=$B$4)*(업무일지!$B$5:$B$1004&gt;0)*(1000000-업무일지!$B$5:$B$1004))))</f>
        <v/>
      </c>
    </row>
    <row r="2" ht="26" customHeight="1">
      <c r="A2" s="7" t="inlineStr">
        <is>
          <t>※ 노란 칸에서 사건번호를 고르면 그 사건의 모든 업무가 날짜순으로 정리됩니다.  ※ 입력할 것은 사건번호 하나뿐이며, 나머지는 전부 자동입니다.</t>
        </is>
      </c>
      <c r="BF2">
        <f>IF(AND(업무일지!$F6=$B$4,업무일지!$B6&lt;&gt;""),업무일지!$B6*10000+2,"")</f>
        <v/>
      </c>
      <c r="BH2">
        <f>IF(AND(일일실시사항!$G6=$B$4,일일실시사항!$B6&lt;&gt;""),일일실시사항!$B6*10000+2,"")</f>
        <v/>
      </c>
      <c r="BK2">
        <f>IF($B$4="",0,SUMPRODUCT(MAX((업무일지!$F$5:$F$1004=$B$4)*업무일지!$C$5:$C$1004)))</f>
        <v/>
      </c>
    </row>
    <row r="3">
      <c r="BF3">
        <f>IF(AND(업무일지!$F7=$B$4,업무일지!$B7&lt;&gt;""),업무일지!$B7*10000+3,"")</f>
        <v/>
      </c>
      <c r="BH3">
        <f>IF(AND(일일실시사항!$G7=$B$4,일일실시사항!$B7&lt;&gt;""),일일실시사항!$B7*10000+3,"")</f>
        <v/>
      </c>
    </row>
    <row r="4">
      <c r="A4" s="85" t="inlineStr">
        <is>
          <t>사건번호 선택 →</t>
        </is>
      </c>
      <c r="B4" s="86" t="n"/>
      <c r="BF4">
        <f>IF(AND(업무일지!$F8=$B$4,업무일지!$B8&lt;&gt;""),업무일지!$B8*10000+4,"")</f>
        <v/>
      </c>
      <c r="BH4">
        <f>IF(AND(일일실시사항!$G8=$B$4,일일실시사항!$B8&lt;&gt;""),일일실시사항!$B8*10000+4,"")</f>
        <v/>
      </c>
    </row>
    <row r="5">
      <c r="BF5">
        <f>IF(AND(업무일지!$F9=$B$4,업무일지!$B9&lt;&gt;""),업무일지!$B9*10000+5,"")</f>
        <v/>
      </c>
      <c r="BH5">
        <f>IF(AND(일일실시사항!$G9=$B$4,일일실시사항!$B9&lt;&gt;""),일일실시사항!$B9*10000+5,"")</f>
        <v/>
      </c>
    </row>
    <row r="6" ht="32" customHeight="1">
      <c r="A6" s="23" t="inlineStr">
        <is>
          <t>사건명</t>
        </is>
      </c>
      <c r="B6" s="23" t="inlineStr">
        <is>
          <t>요청·의뢰처</t>
        </is>
      </c>
      <c r="C6" s="23" t="inlineStr">
        <is>
          <t>접수일</t>
        </is>
      </c>
      <c r="D6" s="23" t="inlineStr">
        <is>
          <t>주무팀</t>
        </is>
      </c>
      <c r="E6" s="23" t="inlineStr">
        <is>
          <t>진행상태</t>
        </is>
      </c>
      <c r="F6" s="23" t="inlineStr">
        <is>
          <t>배정인원</t>
        </is>
      </c>
      <c r="G6" s="23" t="inlineStr">
        <is>
          <t>배정 담당자 명단</t>
        </is>
      </c>
      <c r="BF6">
        <f>IF(AND(업무일지!$F10=$B$4,업무일지!$B10&lt;&gt;""),업무일지!$B10*10000+6,"")</f>
        <v/>
      </c>
      <c r="BH6">
        <f>IF(AND(일일실시사항!$G10=$B$4,일일실시사항!$B10&lt;&gt;""),일일실시사항!$B10*10000+6,"")</f>
        <v/>
      </c>
    </row>
    <row r="7">
      <c r="A7" s="131">
        <f>IF($B$4="","",IFERROR(INDEX(사건마스터!$B$5:$B$64,MATCH($B$4,사건마스터!$A$5:$A$64,0)),"※ 미등록 사건번호"))</f>
        <v/>
      </c>
      <c r="B7" s="131">
        <f>IF($B$4="","",IFERROR(INDEX(사건마스터!$C$5:$C$64,MATCH($B$4,사건마스터!$A$5:$A$64,0)),"※ 미등록 사건번호"))</f>
        <v/>
      </c>
      <c r="C7" s="137">
        <f>IF($B$4="","",IFERROR(INDEX(사건마스터!$D$5:$D$64,MATCH($B$4,사건마스터!$A$5:$A$64,0)),"※ 미등록 사건번호"))</f>
        <v/>
      </c>
      <c r="D7" s="136">
        <f>IF($B$4="","",IFERROR(INDEX(사건마스터!$F$5:$F$64,MATCH($B$4,사건마스터!$A$5:$A$64,0)),"※ 미등록 사건번호"))</f>
        <v/>
      </c>
      <c r="E7" s="136">
        <f>IF($B$4="","",IFERROR(INDEX(사건마스터!$E$5:$E$64,MATCH($B$4,사건마스터!$A$5:$A$64,0)),"※ 미등록 사건번호"))</f>
        <v/>
      </c>
      <c r="F7" s="129">
        <f>IF($B$4="","",IFERROR(INDEX(사건마스터!$G$5:$G$64,MATCH($B$4,사건마스터!$A$5:$A$64,0)),"※ 미등록 사건번호"))</f>
        <v/>
      </c>
      <c r="G7" s="131">
        <f>IF($B$4="","",IFERROR(INDEX(사건마스터!$I$5:$I$64,MATCH($B$4,사건마스터!$A$5:$A$64,0)),"※ 미등록 사건번호"))</f>
        <v/>
      </c>
      <c r="H7" s="11" t="n"/>
      <c r="I7" s="12" t="n"/>
      <c r="BF7">
        <f>IF(AND(업무일지!$F11=$B$4,업무일지!$B11&lt;&gt;""),업무일지!$B11*10000+7,"")</f>
        <v/>
      </c>
      <c r="BH7">
        <f>IF(AND(일일실시사항!$G11=$B$4,일일실시사항!$B11&lt;&gt;""),일일실시사항!$B11*10000+7,"")</f>
        <v/>
      </c>
    </row>
    <row r="8">
      <c r="BF8">
        <f>IF(AND(업무일지!$F12=$B$4,업무일지!$B12&lt;&gt;""),업무일지!$B12*10000+8,"")</f>
        <v/>
      </c>
      <c r="BH8">
        <f>IF(AND(일일실시사항!$G12=$B$4,일일실시사항!$B12&lt;&gt;""),일일실시사항!$B12*10000+8,"")</f>
        <v/>
      </c>
    </row>
    <row r="9" ht="20" customHeight="1">
      <c r="A9" s="21" t="inlineStr">
        <is>
          <t>1.  업무 타임라인 (날짜순)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BF9">
        <f>IF(AND(업무일지!$F13=$B$4,업무일지!$B13&lt;&gt;""),업무일지!$B13*10000+9,"")</f>
        <v/>
      </c>
      <c r="BH9">
        <f>IF(AND(일일실시사항!$G13=$B$4,일일실시사항!$B13&lt;&gt;""),일일실시사항!$B13*10000+9,"")</f>
        <v/>
      </c>
    </row>
    <row r="10" ht="32" customHeight="1">
      <c r="A10" s="23" t="inlineStr">
        <is>
          <t>회차</t>
        </is>
      </c>
      <c r="B10" s="23" t="inlineStr">
        <is>
          <t>시작일</t>
        </is>
      </c>
      <c r="C10" s="23" t="inlineStr">
        <is>
          <t>종료일</t>
        </is>
      </c>
      <c r="D10" s="23" t="inlineStr">
        <is>
          <t>일수</t>
        </is>
      </c>
      <c r="E10" s="23" t="inlineStr">
        <is>
          <t>직무구분</t>
        </is>
      </c>
      <c r="F10" s="23" t="inlineStr">
        <is>
          <t>세부유형</t>
        </is>
      </c>
      <c r="G10" s="23" t="inlineStr">
        <is>
          <t>참여자 명단</t>
        </is>
      </c>
      <c r="H10" s="23" t="inlineStr">
        <is>
          <t>장소 / 분석실</t>
        </is>
      </c>
      <c r="I10" s="23" t="inlineStr">
        <is>
          <t>대상매체(건)</t>
        </is>
      </c>
      <c r="J10" s="23" t="inlineStr">
        <is>
          <t>데이터량(GB)</t>
        </is>
      </c>
      <c r="K10" s="23" t="inlineStr">
        <is>
          <t>진행상태</t>
        </is>
      </c>
      <c r="L10" s="23" t="inlineStr">
        <is>
          <t>비고</t>
        </is>
      </c>
      <c r="BF10">
        <f>IF(AND(업무일지!$F14=$B$4,업무일지!$B14&lt;&gt;""),업무일지!$B14*10000+10,"")</f>
        <v/>
      </c>
      <c r="BH10">
        <f>IF(AND(일일실시사항!$G14=$B$4,일일실시사항!$B14&lt;&gt;""),일일실시사항!$B14*10000+10,"")</f>
        <v/>
      </c>
    </row>
    <row r="11">
      <c r="A11" s="118">
        <f>IF($BG11="","",1)</f>
        <v/>
      </c>
      <c r="B11" s="137">
        <f>IF($BG11="","",INDEX(업무일지!$B$5:$B$1004,$BG11))</f>
        <v/>
      </c>
      <c r="C11" s="137">
        <f>IF($BG11="","",INDEX(업무일지!$C$5:$C$1004,$BG11))</f>
        <v/>
      </c>
      <c r="D11" s="129">
        <f>IF($BG11="","",INDEX(업무일지!$AF$5:$AF$1004,$BG11))</f>
        <v/>
      </c>
      <c r="E11" s="136">
        <f>IF($BG11="","",INDEX(업무일지!$D$5:$D$1004,$BG11))</f>
        <v/>
      </c>
      <c r="F11" s="131">
        <f>IF($BG11="","",INDEX(업무일지!$E$5:$E$1004,$BG11))</f>
        <v/>
      </c>
      <c r="G11" s="131">
        <f>IF($BG11="","",INDEX(업무일지!$AA$5:$AA$1004,$BG11))</f>
        <v/>
      </c>
      <c r="H11" s="131">
        <f>IF($BG11="","",INDEX(업무일지!$AC$5:$AC$1004,$BG11))</f>
        <v/>
      </c>
      <c r="I11" s="129">
        <f>IF($BG11="","",INDEX(업무일지!$AD$5:$AD$1004,$BG11))</f>
        <v/>
      </c>
      <c r="J11" s="25">
        <f>IF($BG11="","",INDEX(업무일지!$AE$5:$AE$1004,$BG11))</f>
        <v/>
      </c>
      <c r="K11" s="136">
        <f>IF($BG11="","",INDEX(업무일지!$AG$5:$AG$1004,$BG11))</f>
        <v/>
      </c>
      <c r="L11" s="131">
        <f>IF($BG11="","",INDEX(업무일지!$AH$5:$AH$1004,$BG11))</f>
        <v/>
      </c>
      <c r="BF11">
        <f>IF(AND(업무일지!$F15=$B$4,업무일지!$B15&lt;&gt;""),업무일지!$B15*10000+11,"")</f>
        <v/>
      </c>
      <c r="BG11">
        <f>IFERROR(MATCH(SMALL($BF$1:$BF$1000,1),$BF$1:$BF$1000,0),"")</f>
        <v/>
      </c>
      <c r="BH11">
        <f>IF(AND(일일실시사항!$G15=$B$4,일일실시사항!$B15&lt;&gt;""),일일실시사항!$B15*10000+11,"")</f>
        <v/>
      </c>
    </row>
    <row r="12">
      <c r="A12" s="118">
        <f>IF($BG12="","",2)</f>
        <v/>
      </c>
      <c r="B12" s="137">
        <f>IF($BG12="","",INDEX(업무일지!$B$5:$B$1004,$BG12))</f>
        <v/>
      </c>
      <c r="C12" s="137">
        <f>IF($BG12="","",INDEX(업무일지!$C$5:$C$1004,$BG12))</f>
        <v/>
      </c>
      <c r="D12" s="129">
        <f>IF($BG12="","",INDEX(업무일지!$AF$5:$AF$1004,$BG12))</f>
        <v/>
      </c>
      <c r="E12" s="136">
        <f>IF($BG12="","",INDEX(업무일지!$D$5:$D$1004,$BG12))</f>
        <v/>
      </c>
      <c r="F12" s="131">
        <f>IF($BG12="","",INDEX(업무일지!$E$5:$E$1004,$BG12))</f>
        <v/>
      </c>
      <c r="G12" s="131">
        <f>IF($BG12="","",INDEX(업무일지!$AA$5:$AA$1004,$BG12))</f>
        <v/>
      </c>
      <c r="H12" s="131">
        <f>IF($BG12="","",INDEX(업무일지!$AC$5:$AC$1004,$BG12))</f>
        <v/>
      </c>
      <c r="I12" s="129">
        <f>IF($BG12="","",INDEX(업무일지!$AD$5:$AD$1004,$BG12))</f>
        <v/>
      </c>
      <c r="J12" s="25">
        <f>IF($BG12="","",INDEX(업무일지!$AE$5:$AE$1004,$BG12))</f>
        <v/>
      </c>
      <c r="K12" s="136">
        <f>IF($BG12="","",INDEX(업무일지!$AG$5:$AG$1004,$BG12))</f>
        <v/>
      </c>
      <c r="L12" s="131">
        <f>IF($BG12="","",INDEX(업무일지!$AH$5:$AH$1004,$BG12))</f>
        <v/>
      </c>
      <c r="BF12">
        <f>IF(AND(업무일지!$F16=$B$4,업무일지!$B16&lt;&gt;""),업무일지!$B16*10000+12,"")</f>
        <v/>
      </c>
      <c r="BG12">
        <f>IFERROR(MATCH(SMALL($BF$1:$BF$1000,2),$BF$1:$BF$1000,0),"")</f>
        <v/>
      </c>
      <c r="BH12">
        <f>IF(AND(일일실시사항!$G16=$B$4,일일실시사항!$B16&lt;&gt;""),일일실시사항!$B16*10000+12,"")</f>
        <v/>
      </c>
    </row>
    <row r="13">
      <c r="A13" s="118">
        <f>IF($BG13="","",3)</f>
        <v/>
      </c>
      <c r="B13" s="137">
        <f>IF($BG13="","",INDEX(업무일지!$B$5:$B$1004,$BG13))</f>
        <v/>
      </c>
      <c r="C13" s="137">
        <f>IF($BG13="","",INDEX(업무일지!$C$5:$C$1004,$BG13))</f>
        <v/>
      </c>
      <c r="D13" s="129">
        <f>IF($BG13="","",INDEX(업무일지!$AF$5:$AF$1004,$BG13))</f>
        <v/>
      </c>
      <c r="E13" s="136">
        <f>IF($BG13="","",INDEX(업무일지!$D$5:$D$1004,$BG13))</f>
        <v/>
      </c>
      <c r="F13" s="131">
        <f>IF($BG13="","",INDEX(업무일지!$E$5:$E$1004,$BG13))</f>
        <v/>
      </c>
      <c r="G13" s="131">
        <f>IF($BG13="","",INDEX(업무일지!$AA$5:$AA$1004,$BG13))</f>
        <v/>
      </c>
      <c r="H13" s="131">
        <f>IF($BG13="","",INDEX(업무일지!$AC$5:$AC$1004,$BG13))</f>
        <v/>
      </c>
      <c r="I13" s="129">
        <f>IF($BG13="","",INDEX(업무일지!$AD$5:$AD$1004,$BG13))</f>
        <v/>
      </c>
      <c r="J13" s="25">
        <f>IF($BG13="","",INDEX(업무일지!$AE$5:$AE$1004,$BG13))</f>
        <v/>
      </c>
      <c r="K13" s="136">
        <f>IF($BG13="","",INDEX(업무일지!$AG$5:$AG$1004,$BG13))</f>
        <v/>
      </c>
      <c r="L13" s="131">
        <f>IF($BG13="","",INDEX(업무일지!$AH$5:$AH$1004,$BG13))</f>
        <v/>
      </c>
      <c r="BF13">
        <f>IF(AND(업무일지!$F17=$B$4,업무일지!$B17&lt;&gt;""),업무일지!$B17*10000+13,"")</f>
        <v/>
      </c>
      <c r="BG13">
        <f>IFERROR(MATCH(SMALL($BF$1:$BF$1000,3),$BF$1:$BF$1000,0),"")</f>
        <v/>
      </c>
      <c r="BH13">
        <f>IF(AND(일일실시사항!$G17=$B$4,일일실시사항!$B17&lt;&gt;""),일일실시사항!$B17*10000+13,"")</f>
        <v/>
      </c>
    </row>
    <row r="14">
      <c r="A14" s="118">
        <f>IF($BG14="","",4)</f>
        <v/>
      </c>
      <c r="B14" s="137">
        <f>IF($BG14="","",INDEX(업무일지!$B$5:$B$1004,$BG14))</f>
        <v/>
      </c>
      <c r="C14" s="137">
        <f>IF($BG14="","",INDEX(업무일지!$C$5:$C$1004,$BG14))</f>
        <v/>
      </c>
      <c r="D14" s="129">
        <f>IF($BG14="","",INDEX(업무일지!$AF$5:$AF$1004,$BG14))</f>
        <v/>
      </c>
      <c r="E14" s="136">
        <f>IF($BG14="","",INDEX(업무일지!$D$5:$D$1004,$BG14))</f>
        <v/>
      </c>
      <c r="F14" s="131">
        <f>IF($BG14="","",INDEX(업무일지!$E$5:$E$1004,$BG14))</f>
        <v/>
      </c>
      <c r="G14" s="131">
        <f>IF($BG14="","",INDEX(업무일지!$AA$5:$AA$1004,$BG14))</f>
        <v/>
      </c>
      <c r="H14" s="131">
        <f>IF($BG14="","",INDEX(업무일지!$AC$5:$AC$1004,$BG14))</f>
        <v/>
      </c>
      <c r="I14" s="129">
        <f>IF($BG14="","",INDEX(업무일지!$AD$5:$AD$1004,$BG14))</f>
        <v/>
      </c>
      <c r="J14" s="25">
        <f>IF($BG14="","",INDEX(업무일지!$AE$5:$AE$1004,$BG14))</f>
        <v/>
      </c>
      <c r="K14" s="136">
        <f>IF($BG14="","",INDEX(업무일지!$AG$5:$AG$1004,$BG14))</f>
        <v/>
      </c>
      <c r="L14" s="131">
        <f>IF($BG14="","",INDEX(업무일지!$AH$5:$AH$1004,$BG14))</f>
        <v/>
      </c>
      <c r="BF14">
        <f>IF(AND(업무일지!$F18=$B$4,업무일지!$B18&lt;&gt;""),업무일지!$B18*10000+14,"")</f>
        <v/>
      </c>
      <c r="BG14">
        <f>IFERROR(MATCH(SMALL($BF$1:$BF$1000,4),$BF$1:$BF$1000,0),"")</f>
        <v/>
      </c>
      <c r="BH14">
        <f>IF(AND(일일실시사항!$G18=$B$4,일일실시사항!$B18&lt;&gt;""),일일실시사항!$B18*10000+14,"")</f>
        <v/>
      </c>
    </row>
    <row r="15">
      <c r="A15" s="118">
        <f>IF($BG15="","",5)</f>
        <v/>
      </c>
      <c r="B15" s="137">
        <f>IF($BG15="","",INDEX(업무일지!$B$5:$B$1004,$BG15))</f>
        <v/>
      </c>
      <c r="C15" s="137">
        <f>IF($BG15="","",INDEX(업무일지!$C$5:$C$1004,$BG15))</f>
        <v/>
      </c>
      <c r="D15" s="129">
        <f>IF($BG15="","",INDEX(업무일지!$AF$5:$AF$1004,$BG15))</f>
        <v/>
      </c>
      <c r="E15" s="136">
        <f>IF($BG15="","",INDEX(업무일지!$D$5:$D$1004,$BG15))</f>
        <v/>
      </c>
      <c r="F15" s="131">
        <f>IF($BG15="","",INDEX(업무일지!$E$5:$E$1004,$BG15))</f>
        <v/>
      </c>
      <c r="G15" s="131">
        <f>IF($BG15="","",INDEX(업무일지!$AA$5:$AA$1004,$BG15))</f>
        <v/>
      </c>
      <c r="H15" s="131">
        <f>IF($BG15="","",INDEX(업무일지!$AC$5:$AC$1004,$BG15))</f>
        <v/>
      </c>
      <c r="I15" s="129">
        <f>IF($BG15="","",INDEX(업무일지!$AD$5:$AD$1004,$BG15))</f>
        <v/>
      </c>
      <c r="J15" s="25">
        <f>IF($BG15="","",INDEX(업무일지!$AE$5:$AE$1004,$BG15))</f>
        <v/>
      </c>
      <c r="K15" s="136">
        <f>IF($BG15="","",INDEX(업무일지!$AG$5:$AG$1004,$BG15))</f>
        <v/>
      </c>
      <c r="L15" s="131">
        <f>IF($BG15="","",INDEX(업무일지!$AH$5:$AH$1004,$BG15))</f>
        <v/>
      </c>
      <c r="BF15">
        <f>IF(AND(업무일지!$F19=$B$4,업무일지!$B19&lt;&gt;""),업무일지!$B19*10000+15,"")</f>
        <v/>
      </c>
      <c r="BG15">
        <f>IFERROR(MATCH(SMALL($BF$1:$BF$1000,5),$BF$1:$BF$1000,0),"")</f>
        <v/>
      </c>
      <c r="BH15">
        <f>IF(AND(일일실시사항!$G19=$B$4,일일실시사항!$B19&lt;&gt;""),일일실시사항!$B19*10000+15,"")</f>
        <v/>
      </c>
    </row>
    <row r="16">
      <c r="A16" s="118">
        <f>IF($BG16="","",6)</f>
        <v/>
      </c>
      <c r="B16" s="137">
        <f>IF($BG16="","",INDEX(업무일지!$B$5:$B$1004,$BG16))</f>
        <v/>
      </c>
      <c r="C16" s="137">
        <f>IF($BG16="","",INDEX(업무일지!$C$5:$C$1004,$BG16))</f>
        <v/>
      </c>
      <c r="D16" s="129">
        <f>IF($BG16="","",INDEX(업무일지!$AF$5:$AF$1004,$BG16))</f>
        <v/>
      </c>
      <c r="E16" s="136">
        <f>IF($BG16="","",INDEX(업무일지!$D$5:$D$1004,$BG16))</f>
        <v/>
      </c>
      <c r="F16" s="131">
        <f>IF($BG16="","",INDEX(업무일지!$E$5:$E$1004,$BG16))</f>
        <v/>
      </c>
      <c r="G16" s="131">
        <f>IF($BG16="","",INDEX(업무일지!$AA$5:$AA$1004,$BG16))</f>
        <v/>
      </c>
      <c r="H16" s="131">
        <f>IF($BG16="","",INDEX(업무일지!$AC$5:$AC$1004,$BG16))</f>
        <v/>
      </c>
      <c r="I16" s="129">
        <f>IF($BG16="","",INDEX(업무일지!$AD$5:$AD$1004,$BG16))</f>
        <v/>
      </c>
      <c r="J16" s="25">
        <f>IF($BG16="","",INDEX(업무일지!$AE$5:$AE$1004,$BG16))</f>
        <v/>
      </c>
      <c r="K16" s="136">
        <f>IF($BG16="","",INDEX(업무일지!$AG$5:$AG$1004,$BG16))</f>
        <v/>
      </c>
      <c r="L16" s="131">
        <f>IF($BG16="","",INDEX(업무일지!$AH$5:$AH$1004,$BG16))</f>
        <v/>
      </c>
      <c r="BF16">
        <f>IF(AND(업무일지!$F20=$B$4,업무일지!$B20&lt;&gt;""),업무일지!$B20*10000+16,"")</f>
        <v/>
      </c>
      <c r="BG16">
        <f>IFERROR(MATCH(SMALL($BF$1:$BF$1000,6),$BF$1:$BF$1000,0),"")</f>
        <v/>
      </c>
      <c r="BH16">
        <f>IF(AND(일일실시사항!$G20=$B$4,일일실시사항!$B20&lt;&gt;""),일일실시사항!$B20*10000+16,"")</f>
        <v/>
      </c>
    </row>
    <row r="17">
      <c r="A17" s="118">
        <f>IF($BG17="","",7)</f>
        <v/>
      </c>
      <c r="B17" s="137">
        <f>IF($BG17="","",INDEX(업무일지!$B$5:$B$1004,$BG17))</f>
        <v/>
      </c>
      <c r="C17" s="137">
        <f>IF($BG17="","",INDEX(업무일지!$C$5:$C$1004,$BG17))</f>
        <v/>
      </c>
      <c r="D17" s="129">
        <f>IF($BG17="","",INDEX(업무일지!$AF$5:$AF$1004,$BG17))</f>
        <v/>
      </c>
      <c r="E17" s="136">
        <f>IF($BG17="","",INDEX(업무일지!$D$5:$D$1004,$BG17))</f>
        <v/>
      </c>
      <c r="F17" s="131">
        <f>IF($BG17="","",INDEX(업무일지!$E$5:$E$1004,$BG17))</f>
        <v/>
      </c>
      <c r="G17" s="131">
        <f>IF($BG17="","",INDEX(업무일지!$AA$5:$AA$1004,$BG17))</f>
        <v/>
      </c>
      <c r="H17" s="131">
        <f>IF($BG17="","",INDEX(업무일지!$AC$5:$AC$1004,$BG17))</f>
        <v/>
      </c>
      <c r="I17" s="129">
        <f>IF($BG17="","",INDEX(업무일지!$AD$5:$AD$1004,$BG17))</f>
        <v/>
      </c>
      <c r="J17" s="25">
        <f>IF($BG17="","",INDEX(업무일지!$AE$5:$AE$1004,$BG17))</f>
        <v/>
      </c>
      <c r="K17" s="136">
        <f>IF($BG17="","",INDEX(업무일지!$AG$5:$AG$1004,$BG17))</f>
        <v/>
      </c>
      <c r="L17" s="131">
        <f>IF($BG17="","",INDEX(업무일지!$AH$5:$AH$1004,$BG17))</f>
        <v/>
      </c>
      <c r="BF17">
        <f>IF(AND(업무일지!$F21=$B$4,업무일지!$B21&lt;&gt;""),업무일지!$B21*10000+17,"")</f>
        <v/>
      </c>
      <c r="BG17">
        <f>IFERROR(MATCH(SMALL($BF$1:$BF$1000,7),$BF$1:$BF$1000,0),"")</f>
        <v/>
      </c>
      <c r="BH17">
        <f>IF(AND(일일실시사항!$G21=$B$4,일일실시사항!$B21&lt;&gt;""),일일실시사항!$B21*10000+17,"")</f>
        <v/>
      </c>
    </row>
    <row r="18">
      <c r="A18" s="118">
        <f>IF($BG18="","",8)</f>
        <v/>
      </c>
      <c r="B18" s="137">
        <f>IF($BG18="","",INDEX(업무일지!$B$5:$B$1004,$BG18))</f>
        <v/>
      </c>
      <c r="C18" s="137">
        <f>IF($BG18="","",INDEX(업무일지!$C$5:$C$1004,$BG18))</f>
        <v/>
      </c>
      <c r="D18" s="129">
        <f>IF($BG18="","",INDEX(업무일지!$AF$5:$AF$1004,$BG18))</f>
        <v/>
      </c>
      <c r="E18" s="136">
        <f>IF($BG18="","",INDEX(업무일지!$D$5:$D$1004,$BG18))</f>
        <v/>
      </c>
      <c r="F18" s="131">
        <f>IF($BG18="","",INDEX(업무일지!$E$5:$E$1004,$BG18))</f>
        <v/>
      </c>
      <c r="G18" s="131">
        <f>IF($BG18="","",INDEX(업무일지!$AA$5:$AA$1004,$BG18))</f>
        <v/>
      </c>
      <c r="H18" s="131">
        <f>IF($BG18="","",INDEX(업무일지!$AC$5:$AC$1004,$BG18))</f>
        <v/>
      </c>
      <c r="I18" s="129">
        <f>IF($BG18="","",INDEX(업무일지!$AD$5:$AD$1004,$BG18))</f>
        <v/>
      </c>
      <c r="J18" s="25">
        <f>IF($BG18="","",INDEX(업무일지!$AE$5:$AE$1004,$BG18))</f>
        <v/>
      </c>
      <c r="K18" s="136">
        <f>IF($BG18="","",INDEX(업무일지!$AG$5:$AG$1004,$BG18))</f>
        <v/>
      </c>
      <c r="L18" s="131">
        <f>IF($BG18="","",INDEX(업무일지!$AH$5:$AH$1004,$BG18))</f>
        <v/>
      </c>
      <c r="BF18">
        <f>IF(AND(업무일지!$F22=$B$4,업무일지!$B22&lt;&gt;""),업무일지!$B22*10000+18,"")</f>
        <v/>
      </c>
      <c r="BG18">
        <f>IFERROR(MATCH(SMALL($BF$1:$BF$1000,8),$BF$1:$BF$1000,0),"")</f>
        <v/>
      </c>
      <c r="BH18">
        <f>IF(AND(일일실시사항!$G22=$B$4,일일실시사항!$B22&lt;&gt;""),일일실시사항!$B22*10000+18,"")</f>
        <v/>
      </c>
    </row>
    <row r="19">
      <c r="A19" s="118">
        <f>IF($BG19="","",9)</f>
        <v/>
      </c>
      <c r="B19" s="137">
        <f>IF($BG19="","",INDEX(업무일지!$B$5:$B$1004,$BG19))</f>
        <v/>
      </c>
      <c r="C19" s="137">
        <f>IF($BG19="","",INDEX(업무일지!$C$5:$C$1004,$BG19))</f>
        <v/>
      </c>
      <c r="D19" s="129">
        <f>IF($BG19="","",INDEX(업무일지!$AF$5:$AF$1004,$BG19))</f>
        <v/>
      </c>
      <c r="E19" s="136">
        <f>IF($BG19="","",INDEX(업무일지!$D$5:$D$1004,$BG19))</f>
        <v/>
      </c>
      <c r="F19" s="131">
        <f>IF($BG19="","",INDEX(업무일지!$E$5:$E$1004,$BG19))</f>
        <v/>
      </c>
      <c r="G19" s="131">
        <f>IF($BG19="","",INDEX(업무일지!$AA$5:$AA$1004,$BG19))</f>
        <v/>
      </c>
      <c r="H19" s="131">
        <f>IF($BG19="","",INDEX(업무일지!$AC$5:$AC$1004,$BG19))</f>
        <v/>
      </c>
      <c r="I19" s="129">
        <f>IF($BG19="","",INDEX(업무일지!$AD$5:$AD$1004,$BG19))</f>
        <v/>
      </c>
      <c r="J19" s="25">
        <f>IF($BG19="","",INDEX(업무일지!$AE$5:$AE$1004,$BG19))</f>
        <v/>
      </c>
      <c r="K19" s="136">
        <f>IF($BG19="","",INDEX(업무일지!$AG$5:$AG$1004,$BG19))</f>
        <v/>
      </c>
      <c r="L19" s="131">
        <f>IF($BG19="","",INDEX(업무일지!$AH$5:$AH$1004,$BG19))</f>
        <v/>
      </c>
      <c r="BF19">
        <f>IF(AND(업무일지!$F23=$B$4,업무일지!$B23&lt;&gt;""),업무일지!$B23*10000+19,"")</f>
        <v/>
      </c>
      <c r="BG19">
        <f>IFERROR(MATCH(SMALL($BF$1:$BF$1000,9),$BF$1:$BF$1000,0),"")</f>
        <v/>
      </c>
      <c r="BH19">
        <f>IF(AND(일일실시사항!$G23=$B$4,일일실시사항!$B23&lt;&gt;""),일일실시사항!$B23*10000+19,"")</f>
        <v/>
      </c>
    </row>
    <row r="20">
      <c r="A20" s="118">
        <f>IF($BG20="","",10)</f>
        <v/>
      </c>
      <c r="B20" s="137">
        <f>IF($BG20="","",INDEX(업무일지!$B$5:$B$1004,$BG20))</f>
        <v/>
      </c>
      <c r="C20" s="137">
        <f>IF($BG20="","",INDEX(업무일지!$C$5:$C$1004,$BG20))</f>
        <v/>
      </c>
      <c r="D20" s="129">
        <f>IF($BG20="","",INDEX(업무일지!$AF$5:$AF$1004,$BG20))</f>
        <v/>
      </c>
      <c r="E20" s="136">
        <f>IF($BG20="","",INDEX(업무일지!$D$5:$D$1004,$BG20))</f>
        <v/>
      </c>
      <c r="F20" s="131">
        <f>IF($BG20="","",INDEX(업무일지!$E$5:$E$1004,$BG20))</f>
        <v/>
      </c>
      <c r="G20" s="131">
        <f>IF($BG20="","",INDEX(업무일지!$AA$5:$AA$1004,$BG20))</f>
        <v/>
      </c>
      <c r="H20" s="131">
        <f>IF($BG20="","",INDEX(업무일지!$AC$5:$AC$1004,$BG20))</f>
        <v/>
      </c>
      <c r="I20" s="129">
        <f>IF($BG20="","",INDEX(업무일지!$AD$5:$AD$1004,$BG20))</f>
        <v/>
      </c>
      <c r="J20" s="25">
        <f>IF($BG20="","",INDEX(업무일지!$AE$5:$AE$1004,$BG20))</f>
        <v/>
      </c>
      <c r="K20" s="136">
        <f>IF($BG20="","",INDEX(업무일지!$AG$5:$AG$1004,$BG20))</f>
        <v/>
      </c>
      <c r="L20" s="131">
        <f>IF($BG20="","",INDEX(업무일지!$AH$5:$AH$1004,$BG20))</f>
        <v/>
      </c>
      <c r="BF20">
        <f>IF(AND(업무일지!$F24=$B$4,업무일지!$B24&lt;&gt;""),업무일지!$B24*10000+20,"")</f>
        <v/>
      </c>
      <c r="BG20">
        <f>IFERROR(MATCH(SMALL($BF$1:$BF$1000,10),$BF$1:$BF$1000,0),"")</f>
        <v/>
      </c>
      <c r="BH20">
        <f>IF(AND(일일실시사항!$G24=$B$4,일일실시사항!$B24&lt;&gt;""),일일실시사항!$B24*10000+20,"")</f>
        <v/>
      </c>
    </row>
    <row r="21">
      <c r="A21" s="118">
        <f>IF($BG21="","",11)</f>
        <v/>
      </c>
      <c r="B21" s="137">
        <f>IF($BG21="","",INDEX(업무일지!$B$5:$B$1004,$BG21))</f>
        <v/>
      </c>
      <c r="C21" s="137">
        <f>IF($BG21="","",INDEX(업무일지!$C$5:$C$1004,$BG21))</f>
        <v/>
      </c>
      <c r="D21" s="129">
        <f>IF($BG21="","",INDEX(업무일지!$AF$5:$AF$1004,$BG21))</f>
        <v/>
      </c>
      <c r="E21" s="136">
        <f>IF($BG21="","",INDEX(업무일지!$D$5:$D$1004,$BG21))</f>
        <v/>
      </c>
      <c r="F21" s="131">
        <f>IF($BG21="","",INDEX(업무일지!$E$5:$E$1004,$BG21))</f>
        <v/>
      </c>
      <c r="G21" s="131">
        <f>IF($BG21="","",INDEX(업무일지!$AA$5:$AA$1004,$BG21))</f>
        <v/>
      </c>
      <c r="H21" s="131">
        <f>IF($BG21="","",INDEX(업무일지!$AC$5:$AC$1004,$BG21))</f>
        <v/>
      </c>
      <c r="I21" s="129">
        <f>IF($BG21="","",INDEX(업무일지!$AD$5:$AD$1004,$BG21))</f>
        <v/>
      </c>
      <c r="J21" s="25">
        <f>IF($BG21="","",INDEX(업무일지!$AE$5:$AE$1004,$BG21))</f>
        <v/>
      </c>
      <c r="K21" s="136">
        <f>IF($BG21="","",INDEX(업무일지!$AG$5:$AG$1004,$BG21))</f>
        <v/>
      </c>
      <c r="L21" s="131">
        <f>IF($BG21="","",INDEX(업무일지!$AH$5:$AH$1004,$BG21))</f>
        <v/>
      </c>
      <c r="BF21">
        <f>IF(AND(업무일지!$F25=$B$4,업무일지!$B25&lt;&gt;""),업무일지!$B25*10000+21,"")</f>
        <v/>
      </c>
      <c r="BG21">
        <f>IFERROR(MATCH(SMALL($BF$1:$BF$1000,11),$BF$1:$BF$1000,0),"")</f>
        <v/>
      </c>
      <c r="BH21">
        <f>IF(AND(일일실시사항!$G25=$B$4,일일실시사항!$B25&lt;&gt;""),일일실시사항!$B25*10000+21,"")</f>
        <v/>
      </c>
    </row>
    <row r="22">
      <c r="A22" s="118">
        <f>IF($BG22="","",12)</f>
        <v/>
      </c>
      <c r="B22" s="137">
        <f>IF($BG22="","",INDEX(업무일지!$B$5:$B$1004,$BG22))</f>
        <v/>
      </c>
      <c r="C22" s="137">
        <f>IF($BG22="","",INDEX(업무일지!$C$5:$C$1004,$BG22))</f>
        <v/>
      </c>
      <c r="D22" s="129">
        <f>IF($BG22="","",INDEX(업무일지!$AF$5:$AF$1004,$BG22))</f>
        <v/>
      </c>
      <c r="E22" s="136">
        <f>IF($BG22="","",INDEX(업무일지!$D$5:$D$1004,$BG22))</f>
        <v/>
      </c>
      <c r="F22" s="131">
        <f>IF($BG22="","",INDEX(업무일지!$E$5:$E$1004,$BG22))</f>
        <v/>
      </c>
      <c r="G22" s="131">
        <f>IF($BG22="","",INDEX(업무일지!$AA$5:$AA$1004,$BG22))</f>
        <v/>
      </c>
      <c r="H22" s="131">
        <f>IF($BG22="","",INDEX(업무일지!$AC$5:$AC$1004,$BG22))</f>
        <v/>
      </c>
      <c r="I22" s="129">
        <f>IF($BG22="","",INDEX(업무일지!$AD$5:$AD$1004,$BG22))</f>
        <v/>
      </c>
      <c r="J22" s="25">
        <f>IF($BG22="","",INDEX(업무일지!$AE$5:$AE$1004,$BG22))</f>
        <v/>
      </c>
      <c r="K22" s="136">
        <f>IF($BG22="","",INDEX(업무일지!$AG$5:$AG$1004,$BG22))</f>
        <v/>
      </c>
      <c r="L22" s="131">
        <f>IF($BG22="","",INDEX(업무일지!$AH$5:$AH$1004,$BG22))</f>
        <v/>
      </c>
      <c r="BF22">
        <f>IF(AND(업무일지!$F26=$B$4,업무일지!$B26&lt;&gt;""),업무일지!$B26*10000+22,"")</f>
        <v/>
      </c>
      <c r="BG22">
        <f>IFERROR(MATCH(SMALL($BF$1:$BF$1000,12),$BF$1:$BF$1000,0),"")</f>
        <v/>
      </c>
      <c r="BH22">
        <f>IF(AND(일일실시사항!$G26=$B$4,일일실시사항!$B26&lt;&gt;""),일일실시사항!$B26*10000+22,"")</f>
        <v/>
      </c>
    </row>
    <row r="23">
      <c r="A23" s="118">
        <f>IF($BG23="","",13)</f>
        <v/>
      </c>
      <c r="B23" s="137">
        <f>IF($BG23="","",INDEX(업무일지!$B$5:$B$1004,$BG23))</f>
        <v/>
      </c>
      <c r="C23" s="137">
        <f>IF($BG23="","",INDEX(업무일지!$C$5:$C$1004,$BG23))</f>
        <v/>
      </c>
      <c r="D23" s="129">
        <f>IF($BG23="","",INDEX(업무일지!$AF$5:$AF$1004,$BG23))</f>
        <v/>
      </c>
      <c r="E23" s="136">
        <f>IF($BG23="","",INDEX(업무일지!$D$5:$D$1004,$BG23))</f>
        <v/>
      </c>
      <c r="F23" s="131">
        <f>IF($BG23="","",INDEX(업무일지!$E$5:$E$1004,$BG23))</f>
        <v/>
      </c>
      <c r="G23" s="131">
        <f>IF($BG23="","",INDEX(업무일지!$AA$5:$AA$1004,$BG23))</f>
        <v/>
      </c>
      <c r="H23" s="131">
        <f>IF($BG23="","",INDEX(업무일지!$AC$5:$AC$1004,$BG23))</f>
        <v/>
      </c>
      <c r="I23" s="129">
        <f>IF($BG23="","",INDEX(업무일지!$AD$5:$AD$1004,$BG23))</f>
        <v/>
      </c>
      <c r="J23" s="25">
        <f>IF($BG23="","",INDEX(업무일지!$AE$5:$AE$1004,$BG23))</f>
        <v/>
      </c>
      <c r="K23" s="136">
        <f>IF($BG23="","",INDEX(업무일지!$AG$5:$AG$1004,$BG23))</f>
        <v/>
      </c>
      <c r="L23" s="131">
        <f>IF($BG23="","",INDEX(업무일지!$AH$5:$AH$1004,$BG23))</f>
        <v/>
      </c>
      <c r="BF23">
        <f>IF(AND(업무일지!$F27=$B$4,업무일지!$B27&lt;&gt;""),업무일지!$B27*10000+23,"")</f>
        <v/>
      </c>
      <c r="BG23">
        <f>IFERROR(MATCH(SMALL($BF$1:$BF$1000,13),$BF$1:$BF$1000,0),"")</f>
        <v/>
      </c>
      <c r="BH23">
        <f>IF(AND(일일실시사항!$G27=$B$4,일일실시사항!$B27&lt;&gt;""),일일실시사항!$B27*10000+23,"")</f>
        <v/>
      </c>
    </row>
    <row r="24">
      <c r="A24" s="118">
        <f>IF($BG24="","",14)</f>
        <v/>
      </c>
      <c r="B24" s="137">
        <f>IF($BG24="","",INDEX(업무일지!$B$5:$B$1004,$BG24))</f>
        <v/>
      </c>
      <c r="C24" s="137">
        <f>IF($BG24="","",INDEX(업무일지!$C$5:$C$1004,$BG24))</f>
        <v/>
      </c>
      <c r="D24" s="129">
        <f>IF($BG24="","",INDEX(업무일지!$AF$5:$AF$1004,$BG24))</f>
        <v/>
      </c>
      <c r="E24" s="136">
        <f>IF($BG24="","",INDEX(업무일지!$D$5:$D$1004,$BG24))</f>
        <v/>
      </c>
      <c r="F24" s="131">
        <f>IF($BG24="","",INDEX(업무일지!$E$5:$E$1004,$BG24))</f>
        <v/>
      </c>
      <c r="G24" s="131">
        <f>IF($BG24="","",INDEX(업무일지!$AA$5:$AA$1004,$BG24))</f>
        <v/>
      </c>
      <c r="H24" s="131">
        <f>IF($BG24="","",INDEX(업무일지!$AC$5:$AC$1004,$BG24))</f>
        <v/>
      </c>
      <c r="I24" s="129">
        <f>IF($BG24="","",INDEX(업무일지!$AD$5:$AD$1004,$BG24))</f>
        <v/>
      </c>
      <c r="J24" s="25">
        <f>IF($BG24="","",INDEX(업무일지!$AE$5:$AE$1004,$BG24))</f>
        <v/>
      </c>
      <c r="K24" s="136">
        <f>IF($BG24="","",INDEX(업무일지!$AG$5:$AG$1004,$BG24))</f>
        <v/>
      </c>
      <c r="L24" s="131">
        <f>IF($BG24="","",INDEX(업무일지!$AH$5:$AH$1004,$BG24))</f>
        <v/>
      </c>
      <c r="BF24">
        <f>IF(AND(업무일지!$F28=$B$4,업무일지!$B28&lt;&gt;""),업무일지!$B28*10000+24,"")</f>
        <v/>
      </c>
      <c r="BG24">
        <f>IFERROR(MATCH(SMALL($BF$1:$BF$1000,14),$BF$1:$BF$1000,0),"")</f>
        <v/>
      </c>
      <c r="BH24">
        <f>IF(AND(일일실시사항!$G28=$B$4,일일실시사항!$B28&lt;&gt;""),일일실시사항!$B28*10000+24,"")</f>
        <v/>
      </c>
    </row>
    <row r="25">
      <c r="A25" s="118">
        <f>IF($BG25="","",15)</f>
        <v/>
      </c>
      <c r="B25" s="137">
        <f>IF($BG25="","",INDEX(업무일지!$B$5:$B$1004,$BG25))</f>
        <v/>
      </c>
      <c r="C25" s="137">
        <f>IF($BG25="","",INDEX(업무일지!$C$5:$C$1004,$BG25))</f>
        <v/>
      </c>
      <c r="D25" s="129">
        <f>IF($BG25="","",INDEX(업무일지!$AF$5:$AF$1004,$BG25))</f>
        <v/>
      </c>
      <c r="E25" s="136">
        <f>IF($BG25="","",INDEX(업무일지!$D$5:$D$1004,$BG25))</f>
        <v/>
      </c>
      <c r="F25" s="131">
        <f>IF($BG25="","",INDEX(업무일지!$E$5:$E$1004,$BG25))</f>
        <v/>
      </c>
      <c r="G25" s="131">
        <f>IF($BG25="","",INDEX(업무일지!$AA$5:$AA$1004,$BG25))</f>
        <v/>
      </c>
      <c r="H25" s="131">
        <f>IF($BG25="","",INDEX(업무일지!$AC$5:$AC$1004,$BG25))</f>
        <v/>
      </c>
      <c r="I25" s="129">
        <f>IF($BG25="","",INDEX(업무일지!$AD$5:$AD$1004,$BG25))</f>
        <v/>
      </c>
      <c r="J25" s="25">
        <f>IF($BG25="","",INDEX(업무일지!$AE$5:$AE$1004,$BG25))</f>
        <v/>
      </c>
      <c r="K25" s="136">
        <f>IF($BG25="","",INDEX(업무일지!$AG$5:$AG$1004,$BG25))</f>
        <v/>
      </c>
      <c r="L25" s="131">
        <f>IF($BG25="","",INDEX(업무일지!$AH$5:$AH$1004,$BG25))</f>
        <v/>
      </c>
      <c r="BF25">
        <f>IF(AND(업무일지!$F29=$B$4,업무일지!$B29&lt;&gt;""),업무일지!$B29*10000+25,"")</f>
        <v/>
      </c>
      <c r="BG25">
        <f>IFERROR(MATCH(SMALL($BF$1:$BF$1000,15),$BF$1:$BF$1000,0),"")</f>
        <v/>
      </c>
      <c r="BH25">
        <f>IF(AND(일일실시사항!$G29=$B$4,일일실시사항!$B29&lt;&gt;""),일일실시사항!$B29*10000+25,"")</f>
        <v/>
      </c>
    </row>
    <row r="26">
      <c r="A26" s="118">
        <f>IF($BG26="","",16)</f>
        <v/>
      </c>
      <c r="B26" s="137">
        <f>IF($BG26="","",INDEX(업무일지!$B$5:$B$1004,$BG26))</f>
        <v/>
      </c>
      <c r="C26" s="137">
        <f>IF($BG26="","",INDEX(업무일지!$C$5:$C$1004,$BG26))</f>
        <v/>
      </c>
      <c r="D26" s="129">
        <f>IF($BG26="","",INDEX(업무일지!$AF$5:$AF$1004,$BG26))</f>
        <v/>
      </c>
      <c r="E26" s="136">
        <f>IF($BG26="","",INDEX(업무일지!$D$5:$D$1004,$BG26))</f>
        <v/>
      </c>
      <c r="F26" s="131">
        <f>IF($BG26="","",INDEX(업무일지!$E$5:$E$1004,$BG26))</f>
        <v/>
      </c>
      <c r="G26" s="131">
        <f>IF($BG26="","",INDEX(업무일지!$AA$5:$AA$1004,$BG26))</f>
        <v/>
      </c>
      <c r="H26" s="131">
        <f>IF($BG26="","",INDEX(업무일지!$AC$5:$AC$1004,$BG26))</f>
        <v/>
      </c>
      <c r="I26" s="129">
        <f>IF($BG26="","",INDEX(업무일지!$AD$5:$AD$1004,$BG26))</f>
        <v/>
      </c>
      <c r="J26" s="25">
        <f>IF($BG26="","",INDEX(업무일지!$AE$5:$AE$1004,$BG26))</f>
        <v/>
      </c>
      <c r="K26" s="136">
        <f>IF($BG26="","",INDEX(업무일지!$AG$5:$AG$1004,$BG26))</f>
        <v/>
      </c>
      <c r="L26" s="131">
        <f>IF($BG26="","",INDEX(업무일지!$AH$5:$AH$1004,$BG26))</f>
        <v/>
      </c>
      <c r="BF26">
        <f>IF(AND(업무일지!$F30=$B$4,업무일지!$B30&lt;&gt;""),업무일지!$B30*10000+26,"")</f>
        <v/>
      </c>
      <c r="BG26">
        <f>IFERROR(MATCH(SMALL($BF$1:$BF$1000,16),$BF$1:$BF$1000,0),"")</f>
        <v/>
      </c>
      <c r="BH26">
        <f>IF(AND(일일실시사항!$G30=$B$4,일일실시사항!$B30&lt;&gt;""),일일실시사항!$B30*10000+26,"")</f>
        <v/>
      </c>
    </row>
    <row r="27">
      <c r="A27" s="118">
        <f>IF($BG27="","",17)</f>
        <v/>
      </c>
      <c r="B27" s="137">
        <f>IF($BG27="","",INDEX(업무일지!$B$5:$B$1004,$BG27))</f>
        <v/>
      </c>
      <c r="C27" s="137">
        <f>IF($BG27="","",INDEX(업무일지!$C$5:$C$1004,$BG27))</f>
        <v/>
      </c>
      <c r="D27" s="129">
        <f>IF($BG27="","",INDEX(업무일지!$AF$5:$AF$1004,$BG27))</f>
        <v/>
      </c>
      <c r="E27" s="136">
        <f>IF($BG27="","",INDEX(업무일지!$D$5:$D$1004,$BG27))</f>
        <v/>
      </c>
      <c r="F27" s="131">
        <f>IF($BG27="","",INDEX(업무일지!$E$5:$E$1004,$BG27))</f>
        <v/>
      </c>
      <c r="G27" s="131">
        <f>IF($BG27="","",INDEX(업무일지!$AA$5:$AA$1004,$BG27))</f>
        <v/>
      </c>
      <c r="H27" s="131">
        <f>IF($BG27="","",INDEX(업무일지!$AC$5:$AC$1004,$BG27))</f>
        <v/>
      </c>
      <c r="I27" s="129">
        <f>IF($BG27="","",INDEX(업무일지!$AD$5:$AD$1004,$BG27))</f>
        <v/>
      </c>
      <c r="J27" s="25">
        <f>IF($BG27="","",INDEX(업무일지!$AE$5:$AE$1004,$BG27))</f>
        <v/>
      </c>
      <c r="K27" s="136">
        <f>IF($BG27="","",INDEX(업무일지!$AG$5:$AG$1004,$BG27))</f>
        <v/>
      </c>
      <c r="L27" s="131">
        <f>IF($BG27="","",INDEX(업무일지!$AH$5:$AH$1004,$BG27))</f>
        <v/>
      </c>
      <c r="BF27">
        <f>IF(AND(업무일지!$F31=$B$4,업무일지!$B31&lt;&gt;""),업무일지!$B31*10000+27,"")</f>
        <v/>
      </c>
      <c r="BG27">
        <f>IFERROR(MATCH(SMALL($BF$1:$BF$1000,17),$BF$1:$BF$1000,0),"")</f>
        <v/>
      </c>
      <c r="BH27">
        <f>IF(AND(일일실시사항!$G31=$B$4,일일실시사항!$B31&lt;&gt;""),일일실시사항!$B31*10000+27,"")</f>
        <v/>
      </c>
    </row>
    <row r="28">
      <c r="A28" s="118">
        <f>IF($BG28="","",18)</f>
        <v/>
      </c>
      <c r="B28" s="137">
        <f>IF($BG28="","",INDEX(업무일지!$B$5:$B$1004,$BG28))</f>
        <v/>
      </c>
      <c r="C28" s="137">
        <f>IF($BG28="","",INDEX(업무일지!$C$5:$C$1004,$BG28))</f>
        <v/>
      </c>
      <c r="D28" s="129">
        <f>IF($BG28="","",INDEX(업무일지!$AF$5:$AF$1004,$BG28))</f>
        <v/>
      </c>
      <c r="E28" s="136">
        <f>IF($BG28="","",INDEX(업무일지!$D$5:$D$1004,$BG28))</f>
        <v/>
      </c>
      <c r="F28" s="131">
        <f>IF($BG28="","",INDEX(업무일지!$E$5:$E$1004,$BG28))</f>
        <v/>
      </c>
      <c r="G28" s="131">
        <f>IF($BG28="","",INDEX(업무일지!$AA$5:$AA$1004,$BG28))</f>
        <v/>
      </c>
      <c r="H28" s="131">
        <f>IF($BG28="","",INDEX(업무일지!$AC$5:$AC$1004,$BG28))</f>
        <v/>
      </c>
      <c r="I28" s="129">
        <f>IF($BG28="","",INDEX(업무일지!$AD$5:$AD$1004,$BG28))</f>
        <v/>
      </c>
      <c r="J28" s="25">
        <f>IF($BG28="","",INDEX(업무일지!$AE$5:$AE$1004,$BG28))</f>
        <v/>
      </c>
      <c r="K28" s="136">
        <f>IF($BG28="","",INDEX(업무일지!$AG$5:$AG$1004,$BG28))</f>
        <v/>
      </c>
      <c r="L28" s="131">
        <f>IF($BG28="","",INDEX(업무일지!$AH$5:$AH$1004,$BG28))</f>
        <v/>
      </c>
      <c r="BF28">
        <f>IF(AND(업무일지!$F32=$B$4,업무일지!$B32&lt;&gt;""),업무일지!$B32*10000+28,"")</f>
        <v/>
      </c>
      <c r="BG28">
        <f>IFERROR(MATCH(SMALL($BF$1:$BF$1000,18),$BF$1:$BF$1000,0),"")</f>
        <v/>
      </c>
      <c r="BH28">
        <f>IF(AND(일일실시사항!$G32=$B$4,일일실시사항!$B32&lt;&gt;""),일일실시사항!$B32*10000+28,"")</f>
        <v/>
      </c>
    </row>
    <row r="29">
      <c r="A29" s="118">
        <f>IF($BG29="","",19)</f>
        <v/>
      </c>
      <c r="B29" s="137">
        <f>IF($BG29="","",INDEX(업무일지!$B$5:$B$1004,$BG29))</f>
        <v/>
      </c>
      <c r="C29" s="137">
        <f>IF($BG29="","",INDEX(업무일지!$C$5:$C$1004,$BG29))</f>
        <v/>
      </c>
      <c r="D29" s="129">
        <f>IF($BG29="","",INDEX(업무일지!$AF$5:$AF$1004,$BG29))</f>
        <v/>
      </c>
      <c r="E29" s="136">
        <f>IF($BG29="","",INDEX(업무일지!$D$5:$D$1004,$BG29))</f>
        <v/>
      </c>
      <c r="F29" s="131">
        <f>IF($BG29="","",INDEX(업무일지!$E$5:$E$1004,$BG29))</f>
        <v/>
      </c>
      <c r="G29" s="131">
        <f>IF($BG29="","",INDEX(업무일지!$AA$5:$AA$1004,$BG29))</f>
        <v/>
      </c>
      <c r="H29" s="131">
        <f>IF($BG29="","",INDEX(업무일지!$AC$5:$AC$1004,$BG29))</f>
        <v/>
      </c>
      <c r="I29" s="129">
        <f>IF($BG29="","",INDEX(업무일지!$AD$5:$AD$1004,$BG29))</f>
        <v/>
      </c>
      <c r="J29" s="25">
        <f>IF($BG29="","",INDEX(업무일지!$AE$5:$AE$1004,$BG29))</f>
        <v/>
      </c>
      <c r="K29" s="136">
        <f>IF($BG29="","",INDEX(업무일지!$AG$5:$AG$1004,$BG29))</f>
        <v/>
      </c>
      <c r="L29" s="131">
        <f>IF($BG29="","",INDEX(업무일지!$AH$5:$AH$1004,$BG29))</f>
        <v/>
      </c>
      <c r="BF29">
        <f>IF(AND(업무일지!$F33=$B$4,업무일지!$B33&lt;&gt;""),업무일지!$B33*10000+29,"")</f>
        <v/>
      </c>
      <c r="BG29">
        <f>IFERROR(MATCH(SMALL($BF$1:$BF$1000,19),$BF$1:$BF$1000,0),"")</f>
        <v/>
      </c>
      <c r="BH29">
        <f>IF(AND(일일실시사항!$G33=$B$4,일일실시사항!$B33&lt;&gt;""),일일실시사항!$B33*10000+29,"")</f>
        <v/>
      </c>
    </row>
    <row r="30">
      <c r="A30" s="118">
        <f>IF($BG30="","",20)</f>
        <v/>
      </c>
      <c r="B30" s="137">
        <f>IF($BG30="","",INDEX(업무일지!$B$5:$B$1004,$BG30))</f>
        <v/>
      </c>
      <c r="C30" s="137">
        <f>IF($BG30="","",INDEX(업무일지!$C$5:$C$1004,$BG30))</f>
        <v/>
      </c>
      <c r="D30" s="129">
        <f>IF($BG30="","",INDEX(업무일지!$AF$5:$AF$1004,$BG30))</f>
        <v/>
      </c>
      <c r="E30" s="136">
        <f>IF($BG30="","",INDEX(업무일지!$D$5:$D$1004,$BG30))</f>
        <v/>
      </c>
      <c r="F30" s="131">
        <f>IF($BG30="","",INDEX(업무일지!$E$5:$E$1004,$BG30))</f>
        <v/>
      </c>
      <c r="G30" s="131">
        <f>IF($BG30="","",INDEX(업무일지!$AA$5:$AA$1004,$BG30))</f>
        <v/>
      </c>
      <c r="H30" s="131">
        <f>IF($BG30="","",INDEX(업무일지!$AC$5:$AC$1004,$BG30))</f>
        <v/>
      </c>
      <c r="I30" s="129">
        <f>IF($BG30="","",INDEX(업무일지!$AD$5:$AD$1004,$BG30))</f>
        <v/>
      </c>
      <c r="J30" s="25">
        <f>IF($BG30="","",INDEX(업무일지!$AE$5:$AE$1004,$BG30))</f>
        <v/>
      </c>
      <c r="K30" s="136">
        <f>IF($BG30="","",INDEX(업무일지!$AG$5:$AG$1004,$BG30))</f>
        <v/>
      </c>
      <c r="L30" s="131">
        <f>IF($BG30="","",INDEX(업무일지!$AH$5:$AH$1004,$BG30))</f>
        <v/>
      </c>
      <c r="BF30">
        <f>IF(AND(업무일지!$F34=$B$4,업무일지!$B34&lt;&gt;""),업무일지!$B34*10000+30,"")</f>
        <v/>
      </c>
      <c r="BG30">
        <f>IFERROR(MATCH(SMALL($BF$1:$BF$1000,20),$BF$1:$BF$1000,0),"")</f>
        <v/>
      </c>
      <c r="BH30">
        <f>IF(AND(일일실시사항!$G34=$B$4,일일실시사항!$B34&lt;&gt;""),일일실시사항!$B34*10000+30,"")</f>
        <v/>
      </c>
    </row>
    <row r="31">
      <c r="A31" s="118">
        <f>IF($BG31="","",21)</f>
        <v/>
      </c>
      <c r="B31" s="137">
        <f>IF($BG31="","",INDEX(업무일지!$B$5:$B$1004,$BG31))</f>
        <v/>
      </c>
      <c r="C31" s="137">
        <f>IF($BG31="","",INDEX(업무일지!$C$5:$C$1004,$BG31))</f>
        <v/>
      </c>
      <c r="D31" s="129">
        <f>IF($BG31="","",INDEX(업무일지!$AF$5:$AF$1004,$BG31))</f>
        <v/>
      </c>
      <c r="E31" s="136">
        <f>IF($BG31="","",INDEX(업무일지!$D$5:$D$1004,$BG31))</f>
        <v/>
      </c>
      <c r="F31" s="131">
        <f>IF($BG31="","",INDEX(업무일지!$E$5:$E$1004,$BG31))</f>
        <v/>
      </c>
      <c r="G31" s="131">
        <f>IF($BG31="","",INDEX(업무일지!$AA$5:$AA$1004,$BG31))</f>
        <v/>
      </c>
      <c r="H31" s="131">
        <f>IF($BG31="","",INDEX(업무일지!$AC$5:$AC$1004,$BG31))</f>
        <v/>
      </c>
      <c r="I31" s="129">
        <f>IF($BG31="","",INDEX(업무일지!$AD$5:$AD$1004,$BG31))</f>
        <v/>
      </c>
      <c r="J31" s="25">
        <f>IF($BG31="","",INDEX(업무일지!$AE$5:$AE$1004,$BG31))</f>
        <v/>
      </c>
      <c r="K31" s="136">
        <f>IF($BG31="","",INDEX(업무일지!$AG$5:$AG$1004,$BG31))</f>
        <v/>
      </c>
      <c r="L31" s="131">
        <f>IF($BG31="","",INDEX(업무일지!$AH$5:$AH$1004,$BG31))</f>
        <v/>
      </c>
      <c r="BF31">
        <f>IF(AND(업무일지!$F35=$B$4,업무일지!$B35&lt;&gt;""),업무일지!$B35*10000+31,"")</f>
        <v/>
      </c>
      <c r="BG31">
        <f>IFERROR(MATCH(SMALL($BF$1:$BF$1000,21),$BF$1:$BF$1000,0),"")</f>
        <v/>
      </c>
      <c r="BH31">
        <f>IF(AND(일일실시사항!$G35=$B$4,일일실시사항!$B35&lt;&gt;""),일일실시사항!$B35*10000+31,"")</f>
        <v/>
      </c>
    </row>
    <row r="32">
      <c r="A32" s="118">
        <f>IF($BG32="","",22)</f>
        <v/>
      </c>
      <c r="B32" s="137">
        <f>IF($BG32="","",INDEX(업무일지!$B$5:$B$1004,$BG32))</f>
        <v/>
      </c>
      <c r="C32" s="137">
        <f>IF($BG32="","",INDEX(업무일지!$C$5:$C$1004,$BG32))</f>
        <v/>
      </c>
      <c r="D32" s="129">
        <f>IF($BG32="","",INDEX(업무일지!$AF$5:$AF$1004,$BG32))</f>
        <v/>
      </c>
      <c r="E32" s="136">
        <f>IF($BG32="","",INDEX(업무일지!$D$5:$D$1004,$BG32))</f>
        <v/>
      </c>
      <c r="F32" s="131">
        <f>IF($BG32="","",INDEX(업무일지!$E$5:$E$1004,$BG32))</f>
        <v/>
      </c>
      <c r="G32" s="131">
        <f>IF($BG32="","",INDEX(업무일지!$AA$5:$AA$1004,$BG32))</f>
        <v/>
      </c>
      <c r="H32" s="131">
        <f>IF($BG32="","",INDEX(업무일지!$AC$5:$AC$1004,$BG32))</f>
        <v/>
      </c>
      <c r="I32" s="129">
        <f>IF($BG32="","",INDEX(업무일지!$AD$5:$AD$1004,$BG32))</f>
        <v/>
      </c>
      <c r="J32" s="25">
        <f>IF($BG32="","",INDEX(업무일지!$AE$5:$AE$1004,$BG32))</f>
        <v/>
      </c>
      <c r="K32" s="136">
        <f>IF($BG32="","",INDEX(업무일지!$AG$5:$AG$1004,$BG32))</f>
        <v/>
      </c>
      <c r="L32" s="131">
        <f>IF($BG32="","",INDEX(업무일지!$AH$5:$AH$1004,$BG32))</f>
        <v/>
      </c>
      <c r="BF32">
        <f>IF(AND(업무일지!$F36=$B$4,업무일지!$B36&lt;&gt;""),업무일지!$B36*10000+32,"")</f>
        <v/>
      </c>
      <c r="BG32">
        <f>IFERROR(MATCH(SMALL($BF$1:$BF$1000,22),$BF$1:$BF$1000,0),"")</f>
        <v/>
      </c>
      <c r="BH32">
        <f>IF(AND(일일실시사항!$G36=$B$4,일일실시사항!$B36&lt;&gt;""),일일실시사항!$B36*10000+32,"")</f>
        <v/>
      </c>
    </row>
    <row r="33">
      <c r="A33" s="118">
        <f>IF($BG33="","",23)</f>
        <v/>
      </c>
      <c r="B33" s="137">
        <f>IF($BG33="","",INDEX(업무일지!$B$5:$B$1004,$BG33))</f>
        <v/>
      </c>
      <c r="C33" s="137">
        <f>IF($BG33="","",INDEX(업무일지!$C$5:$C$1004,$BG33))</f>
        <v/>
      </c>
      <c r="D33" s="129">
        <f>IF($BG33="","",INDEX(업무일지!$AF$5:$AF$1004,$BG33))</f>
        <v/>
      </c>
      <c r="E33" s="136">
        <f>IF($BG33="","",INDEX(업무일지!$D$5:$D$1004,$BG33))</f>
        <v/>
      </c>
      <c r="F33" s="131">
        <f>IF($BG33="","",INDEX(업무일지!$E$5:$E$1004,$BG33))</f>
        <v/>
      </c>
      <c r="G33" s="131">
        <f>IF($BG33="","",INDEX(업무일지!$AA$5:$AA$1004,$BG33))</f>
        <v/>
      </c>
      <c r="H33" s="131">
        <f>IF($BG33="","",INDEX(업무일지!$AC$5:$AC$1004,$BG33))</f>
        <v/>
      </c>
      <c r="I33" s="129">
        <f>IF($BG33="","",INDEX(업무일지!$AD$5:$AD$1004,$BG33))</f>
        <v/>
      </c>
      <c r="J33" s="25">
        <f>IF($BG33="","",INDEX(업무일지!$AE$5:$AE$1004,$BG33))</f>
        <v/>
      </c>
      <c r="K33" s="136">
        <f>IF($BG33="","",INDEX(업무일지!$AG$5:$AG$1004,$BG33))</f>
        <v/>
      </c>
      <c r="L33" s="131">
        <f>IF($BG33="","",INDEX(업무일지!$AH$5:$AH$1004,$BG33))</f>
        <v/>
      </c>
      <c r="BF33">
        <f>IF(AND(업무일지!$F37=$B$4,업무일지!$B37&lt;&gt;""),업무일지!$B37*10000+33,"")</f>
        <v/>
      </c>
      <c r="BG33">
        <f>IFERROR(MATCH(SMALL($BF$1:$BF$1000,23),$BF$1:$BF$1000,0),"")</f>
        <v/>
      </c>
      <c r="BH33">
        <f>IF(AND(일일실시사항!$G37=$B$4,일일실시사항!$B37&lt;&gt;""),일일실시사항!$B37*10000+33,"")</f>
        <v/>
      </c>
    </row>
    <row r="34">
      <c r="A34" s="118">
        <f>IF($BG34="","",24)</f>
        <v/>
      </c>
      <c r="B34" s="137">
        <f>IF($BG34="","",INDEX(업무일지!$B$5:$B$1004,$BG34))</f>
        <v/>
      </c>
      <c r="C34" s="137">
        <f>IF($BG34="","",INDEX(업무일지!$C$5:$C$1004,$BG34))</f>
        <v/>
      </c>
      <c r="D34" s="129">
        <f>IF($BG34="","",INDEX(업무일지!$AF$5:$AF$1004,$BG34))</f>
        <v/>
      </c>
      <c r="E34" s="136">
        <f>IF($BG34="","",INDEX(업무일지!$D$5:$D$1004,$BG34))</f>
        <v/>
      </c>
      <c r="F34" s="131">
        <f>IF($BG34="","",INDEX(업무일지!$E$5:$E$1004,$BG34))</f>
        <v/>
      </c>
      <c r="G34" s="131">
        <f>IF($BG34="","",INDEX(업무일지!$AA$5:$AA$1004,$BG34))</f>
        <v/>
      </c>
      <c r="H34" s="131">
        <f>IF($BG34="","",INDEX(업무일지!$AC$5:$AC$1004,$BG34))</f>
        <v/>
      </c>
      <c r="I34" s="129">
        <f>IF($BG34="","",INDEX(업무일지!$AD$5:$AD$1004,$BG34))</f>
        <v/>
      </c>
      <c r="J34" s="25">
        <f>IF($BG34="","",INDEX(업무일지!$AE$5:$AE$1004,$BG34))</f>
        <v/>
      </c>
      <c r="K34" s="136">
        <f>IF($BG34="","",INDEX(업무일지!$AG$5:$AG$1004,$BG34))</f>
        <v/>
      </c>
      <c r="L34" s="131">
        <f>IF($BG34="","",INDEX(업무일지!$AH$5:$AH$1004,$BG34))</f>
        <v/>
      </c>
      <c r="BF34">
        <f>IF(AND(업무일지!$F38=$B$4,업무일지!$B38&lt;&gt;""),업무일지!$B38*10000+34,"")</f>
        <v/>
      </c>
      <c r="BG34">
        <f>IFERROR(MATCH(SMALL($BF$1:$BF$1000,24),$BF$1:$BF$1000,0),"")</f>
        <v/>
      </c>
      <c r="BH34">
        <f>IF(AND(일일실시사항!$G38=$B$4,일일실시사항!$B38&lt;&gt;""),일일실시사항!$B38*10000+34,"")</f>
        <v/>
      </c>
    </row>
    <row r="35">
      <c r="A35" s="118">
        <f>IF($BG35="","",25)</f>
        <v/>
      </c>
      <c r="B35" s="137">
        <f>IF($BG35="","",INDEX(업무일지!$B$5:$B$1004,$BG35))</f>
        <v/>
      </c>
      <c r="C35" s="137">
        <f>IF($BG35="","",INDEX(업무일지!$C$5:$C$1004,$BG35))</f>
        <v/>
      </c>
      <c r="D35" s="129">
        <f>IF($BG35="","",INDEX(업무일지!$AF$5:$AF$1004,$BG35))</f>
        <v/>
      </c>
      <c r="E35" s="136">
        <f>IF($BG35="","",INDEX(업무일지!$D$5:$D$1004,$BG35))</f>
        <v/>
      </c>
      <c r="F35" s="131">
        <f>IF($BG35="","",INDEX(업무일지!$E$5:$E$1004,$BG35))</f>
        <v/>
      </c>
      <c r="G35" s="131">
        <f>IF($BG35="","",INDEX(업무일지!$AA$5:$AA$1004,$BG35))</f>
        <v/>
      </c>
      <c r="H35" s="131">
        <f>IF($BG35="","",INDEX(업무일지!$AC$5:$AC$1004,$BG35))</f>
        <v/>
      </c>
      <c r="I35" s="129">
        <f>IF($BG35="","",INDEX(업무일지!$AD$5:$AD$1004,$BG35))</f>
        <v/>
      </c>
      <c r="J35" s="25">
        <f>IF($BG35="","",INDEX(업무일지!$AE$5:$AE$1004,$BG35))</f>
        <v/>
      </c>
      <c r="K35" s="136">
        <f>IF($BG35="","",INDEX(업무일지!$AG$5:$AG$1004,$BG35))</f>
        <v/>
      </c>
      <c r="L35" s="131">
        <f>IF($BG35="","",INDEX(업무일지!$AH$5:$AH$1004,$BG35))</f>
        <v/>
      </c>
      <c r="BF35">
        <f>IF(AND(업무일지!$F39=$B$4,업무일지!$B39&lt;&gt;""),업무일지!$B39*10000+35,"")</f>
        <v/>
      </c>
      <c r="BG35">
        <f>IFERROR(MATCH(SMALL($BF$1:$BF$1000,25),$BF$1:$BF$1000,0),"")</f>
        <v/>
      </c>
      <c r="BH35">
        <f>IF(AND(일일실시사항!$G39=$B$4,일일실시사항!$B39&lt;&gt;""),일일실시사항!$B39*10000+35,"")</f>
        <v/>
      </c>
    </row>
    <row r="36">
      <c r="A36" s="118">
        <f>IF($BG36="","",26)</f>
        <v/>
      </c>
      <c r="B36" s="137">
        <f>IF($BG36="","",INDEX(업무일지!$B$5:$B$1004,$BG36))</f>
        <v/>
      </c>
      <c r="C36" s="137">
        <f>IF($BG36="","",INDEX(업무일지!$C$5:$C$1004,$BG36))</f>
        <v/>
      </c>
      <c r="D36" s="129">
        <f>IF($BG36="","",INDEX(업무일지!$AF$5:$AF$1004,$BG36))</f>
        <v/>
      </c>
      <c r="E36" s="136">
        <f>IF($BG36="","",INDEX(업무일지!$D$5:$D$1004,$BG36))</f>
        <v/>
      </c>
      <c r="F36" s="131">
        <f>IF($BG36="","",INDEX(업무일지!$E$5:$E$1004,$BG36))</f>
        <v/>
      </c>
      <c r="G36" s="131">
        <f>IF($BG36="","",INDEX(업무일지!$AA$5:$AA$1004,$BG36))</f>
        <v/>
      </c>
      <c r="H36" s="131">
        <f>IF($BG36="","",INDEX(업무일지!$AC$5:$AC$1004,$BG36))</f>
        <v/>
      </c>
      <c r="I36" s="129">
        <f>IF($BG36="","",INDEX(업무일지!$AD$5:$AD$1004,$BG36))</f>
        <v/>
      </c>
      <c r="J36" s="25">
        <f>IF($BG36="","",INDEX(업무일지!$AE$5:$AE$1004,$BG36))</f>
        <v/>
      </c>
      <c r="K36" s="136">
        <f>IF($BG36="","",INDEX(업무일지!$AG$5:$AG$1004,$BG36))</f>
        <v/>
      </c>
      <c r="L36" s="131">
        <f>IF($BG36="","",INDEX(업무일지!$AH$5:$AH$1004,$BG36))</f>
        <v/>
      </c>
      <c r="BF36">
        <f>IF(AND(업무일지!$F40=$B$4,업무일지!$B40&lt;&gt;""),업무일지!$B40*10000+36,"")</f>
        <v/>
      </c>
      <c r="BG36">
        <f>IFERROR(MATCH(SMALL($BF$1:$BF$1000,26),$BF$1:$BF$1000,0),"")</f>
        <v/>
      </c>
      <c r="BH36">
        <f>IF(AND(일일실시사항!$G40=$B$4,일일실시사항!$B40&lt;&gt;""),일일실시사항!$B40*10000+36,"")</f>
        <v/>
      </c>
    </row>
    <row r="37">
      <c r="A37" s="118">
        <f>IF($BG37="","",27)</f>
        <v/>
      </c>
      <c r="B37" s="137">
        <f>IF($BG37="","",INDEX(업무일지!$B$5:$B$1004,$BG37))</f>
        <v/>
      </c>
      <c r="C37" s="137">
        <f>IF($BG37="","",INDEX(업무일지!$C$5:$C$1004,$BG37))</f>
        <v/>
      </c>
      <c r="D37" s="129">
        <f>IF($BG37="","",INDEX(업무일지!$AF$5:$AF$1004,$BG37))</f>
        <v/>
      </c>
      <c r="E37" s="136">
        <f>IF($BG37="","",INDEX(업무일지!$D$5:$D$1004,$BG37))</f>
        <v/>
      </c>
      <c r="F37" s="131">
        <f>IF($BG37="","",INDEX(업무일지!$E$5:$E$1004,$BG37))</f>
        <v/>
      </c>
      <c r="G37" s="131">
        <f>IF($BG37="","",INDEX(업무일지!$AA$5:$AA$1004,$BG37))</f>
        <v/>
      </c>
      <c r="H37" s="131">
        <f>IF($BG37="","",INDEX(업무일지!$AC$5:$AC$1004,$BG37))</f>
        <v/>
      </c>
      <c r="I37" s="129">
        <f>IF($BG37="","",INDEX(업무일지!$AD$5:$AD$1004,$BG37))</f>
        <v/>
      </c>
      <c r="J37" s="25">
        <f>IF($BG37="","",INDEX(업무일지!$AE$5:$AE$1004,$BG37))</f>
        <v/>
      </c>
      <c r="K37" s="136">
        <f>IF($BG37="","",INDEX(업무일지!$AG$5:$AG$1004,$BG37))</f>
        <v/>
      </c>
      <c r="L37" s="131">
        <f>IF($BG37="","",INDEX(업무일지!$AH$5:$AH$1004,$BG37))</f>
        <v/>
      </c>
      <c r="BF37">
        <f>IF(AND(업무일지!$F41=$B$4,업무일지!$B41&lt;&gt;""),업무일지!$B41*10000+37,"")</f>
        <v/>
      </c>
      <c r="BG37">
        <f>IFERROR(MATCH(SMALL($BF$1:$BF$1000,27),$BF$1:$BF$1000,0),"")</f>
        <v/>
      </c>
      <c r="BH37">
        <f>IF(AND(일일실시사항!$G41=$B$4,일일실시사항!$B41&lt;&gt;""),일일실시사항!$B41*10000+37,"")</f>
        <v/>
      </c>
    </row>
    <row r="38">
      <c r="A38" s="118">
        <f>IF($BG38="","",28)</f>
        <v/>
      </c>
      <c r="B38" s="137">
        <f>IF($BG38="","",INDEX(업무일지!$B$5:$B$1004,$BG38))</f>
        <v/>
      </c>
      <c r="C38" s="137">
        <f>IF($BG38="","",INDEX(업무일지!$C$5:$C$1004,$BG38))</f>
        <v/>
      </c>
      <c r="D38" s="129">
        <f>IF($BG38="","",INDEX(업무일지!$AF$5:$AF$1004,$BG38))</f>
        <v/>
      </c>
      <c r="E38" s="136">
        <f>IF($BG38="","",INDEX(업무일지!$D$5:$D$1004,$BG38))</f>
        <v/>
      </c>
      <c r="F38" s="131">
        <f>IF($BG38="","",INDEX(업무일지!$E$5:$E$1004,$BG38))</f>
        <v/>
      </c>
      <c r="G38" s="131">
        <f>IF($BG38="","",INDEX(업무일지!$AA$5:$AA$1004,$BG38))</f>
        <v/>
      </c>
      <c r="H38" s="131">
        <f>IF($BG38="","",INDEX(업무일지!$AC$5:$AC$1004,$BG38))</f>
        <v/>
      </c>
      <c r="I38" s="129">
        <f>IF($BG38="","",INDEX(업무일지!$AD$5:$AD$1004,$BG38))</f>
        <v/>
      </c>
      <c r="J38" s="25">
        <f>IF($BG38="","",INDEX(업무일지!$AE$5:$AE$1004,$BG38))</f>
        <v/>
      </c>
      <c r="K38" s="136">
        <f>IF($BG38="","",INDEX(업무일지!$AG$5:$AG$1004,$BG38))</f>
        <v/>
      </c>
      <c r="L38" s="131">
        <f>IF($BG38="","",INDEX(업무일지!$AH$5:$AH$1004,$BG38))</f>
        <v/>
      </c>
      <c r="BF38">
        <f>IF(AND(업무일지!$F42=$B$4,업무일지!$B42&lt;&gt;""),업무일지!$B42*10000+38,"")</f>
        <v/>
      </c>
      <c r="BG38">
        <f>IFERROR(MATCH(SMALL($BF$1:$BF$1000,28),$BF$1:$BF$1000,0),"")</f>
        <v/>
      </c>
      <c r="BH38">
        <f>IF(AND(일일실시사항!$G42=$B$4,일일실시사항!$B42&lt;&gt;""),일일실시사항!$B42*10000+38,"")</f>
        <v/>
      </c>
    </row>
    <row r="39">
      <c r="A39" s="118">
        <f>IF($BG39="","",29)</f>
        <v/>
      </c>
      <c r="B39" s="137">
        <f>IF($BG39="","",INDEX(업무일지!$B$5:$B$1004,$BG39))</f>
        <v/>
      </c>
      <c r="C39" s="137">
        <f>IF($BG39="","",INDEX(업무일지!$C$5:$C$1004,$BG39))</f>
        <v/>
      </c>
      <c r="D39" s="129">
        <f>IF($BG39="","",INDEX(업무일지!$AF$5:$AF$1004,$BG39))</f>
        <v/>
      </c>
      <c r="E39" s="136">
        <f>IF($BG39="","",INDEX(업무일지!$D$5:$D$1004,$BG39))</f>
        <v/>
      </c>
      <c r="F39" s="131">
        <f>IF($BG39="","",INDEX(업무일지!$E$5:$E$1004,$BG39))</f>
        <v/>
      </c>
      <c r="G39" s="131">
        <f>IF($BG39="","",INDEX(업무일지!$AA$5:$AA$1004,$BG39))</f>
        <v/>
      </c>
      <c r="H39" s="131">
        <f>IF($BG39="","",INDEX(업무일지!$AC$5:$AC$1004,$BG39))</f>
        <v/>
      </c>
      <c r="I39" s="129">
        <f>IF($BG39="","",INDEX(업무일지!$AD$5:$AD$1004,$BG39))</f>
        <v/>
      </c>
      <c r="J39" s="25">
        <f>IF($BG39="","",INDEX(업무일지!$AE$5:$AE$1004,$BG39))</f>
        <v/>
      </c>
      <c r="K39" s="136">
        <f>IF($BG39="","",INDEX(업무일지!$AG$5:$AG$1004,$BG39))</f>
        <v/>
      </c>
      <c r="L39" s="131">
        <f>IF($BG39="","",INDEX(업무일지!$AH$5:$AH$1004,$BG39))</f>
        <v/>
      </c>
      <c r="BF39">
        <f>IF(AND(업무일지!$F43=$B$4,업무일지!$B43&lt;&gt;""),업무일지!$B43*10000+39,"")</f>
        <v/>
      </c>
      <c r="BG39">
        <f>IFERROR(MATCH(SMALL($BF$1:$BF$1000,29),$BF$1:$BF$1000,0),"")</f>
        <v/>
      </c>
      <c r="BH39">
        <f>IF(AND(일일실시사항!$G43=$B$4,일일실시사항!$B43&lt;&gt;""),일일실시사항!$B43*10000+39,"")</f>
        <v/>
      </c>
    </row>
    <row r="40">
      <c r="A40" s="118">
        <f>IF($BG40="","",30)</f>
        <v/>
      </c>
      <c r="B40" s="137">
        <f>IF($BG40="","",INDEX(업무일지!$B$5:$B$1004,$BG40))</f>
        <v/>
      </c>
      <c r="C40" s="137">
        <f>IF($BG40="","",INDEX(업무일지!$C$5:$C$1004,$BG40))</f>
        <v/>
      </c>
      <c r="D40" s="129">
        <f>IF($BG40="","",INDEX(업무일지!$AF$5:$AF$1004,$BG40))</f>
        <v/>
      </c>
      <c r="E40" s="136">
        <f>IF($BG40="","",INDEX(업무일지!$D$5:$D$1004,$BG40))</f>
        <v/>
      </c>
      <c r="F40" s="131">
        <f>IF($BG40="","",INDEX(업무일지!$E$5:$E$1004,$BG40))</f>
        <v/>
      </c>
      <c r="G40" s="131">
        <f>IF($BG40="","",INDEX(업무일지!$AA$5:$AA$1004,$BG40))</f>
        <v/>
      </c>
      <c r="H40" s="131">
        <f>IF($BG40="","",INDEX(업무일지!$AC$5:$AC$1004,$BG40))</f>
        <v/>
      </c>
      <c r="I40" s="129">
        <f>IF($BG40="","",INDEX(업무일지!$AD$5:$AD$1004,$BG40))</f>
        <v/>
      </c>
      <c r="J40" s="25">
        <f>IF($BG40="","",INDEX(업무일지!$AE$5:$AE$1004,$BG40))</f>
        <v/>
      </c>
      <c r="K40" s="136">
        <f>IF($BG40="","",INDEX(업무일지!$AG$5:$AG$1004,$BG40))</f>
        <v/>
      </c>
      <c r="L40" s="131">
        <f>IF($BG40="","",INDEX(업무일지!$AH$5:$AH$1004,$BG40))</f>
        <v/>
      </c>
      <c r="BF40">
        <f>IF(AND(업무일지!$F44=$B$4,업무일지!$B44&lt;&gt;""),업무일지!$B44*10000+40,"")</f>
        <v/>
      </c>
      <c r="BG40">
        <f>IFERROR(MATCH(SMALL($BF$1:$BF$1000,30),$BF$1:$BF$1000,0),"")</f>
        <v/>
      </c>
      <c r="BH40">
        <f>IF(AND(일일실시사항!$G44=$B$4,일일실시사항!$B44&lt;&gt;""),일일실시사항!$B44*10000+40,"")</f>
        <v/>
      </c>
    </row>
    <row r="41">
      <c r="A41" s="118">
        <f>IF($BG41="","",31)</f>
        <v/>
      </c>
      <c r="B41" s="137">
        <f>IF($BG41="","",INDEX(업무일지!$B$5:$B$1004,$BG41))</f>
        <v/>
      </c>
      <c r="C41" s="137">
        <f>IF($BG41="","",INDEX(업무일지!$C$5:$C$1004,$BG41))</f>
        <v/>
      </c>
      <c r="D41" s="129">
        <f>IF($BG41="","",INDEX(업무일지!$AF$5:$AF$1004,$BG41))</f>
        <v/>
      </c>
      <c r="E41" s="136">
        <f>IF($BG41="","",INDEX(업무일지!$D$5:$D$1004,$BG41))</f>
        <v/>
      </c>
      <c r="F41" s="131">
        <f>IF($BG41="","",INDEX(업무일지!$E$5:$E$1004,$BG41))</f>
        <v/>
      </c>
      <c r="G41" s="131">
        <f>IF($BG41="","",INDEX(업무일지!$AA$5:$AA$1004,$BG41))</f>
        <v/>
      </c>
      <c r="H41" s="131">
        <f>IF($BG41="","",INDEX(업무일지!$AC$5:$AC$1004,$BG41))</f>
        <v/>
      </c>
      <c r="I41" s="129">
        <f>IF($BG41="","",INDEX(업무일지!$AD$5:$AD$1004,$BG41))</f>
        <v/>
      </c>
      <c r="J41" s="25">
        <f>IF($BG41="","",INDEX(업무일지!$AE$5:$AE$1004,$BG41))</f>
        <v/>
      </c>
      <c r="K41" s="136">
        <f>IF($BG41="","",INDEX(업무일지!$AG$5:$AG$1004,$BG41))</f>
        <v/>
      </c>
      <c r="L41" s="131">
        <f>IF($BG41="","",INDEX(업무일지!$AH$5:$AH$1004,$BG41))</f>
        <v/>
      </c>
      <c r="BF41">
        <f>IF(AND(업무일지!$F45=$B$4,업무일지!$B45&lt;&gt;""),업무일지!$B45*10000+41,"")</f>
        <v/>
      </c>
      <c r="BG41">
        <f>IFERROR(MATCH(SMALL($BF$1:$BF$1000,31),$BF$1:$BF$1000,0),"")</f>
        <v/>
      </c>
      <c r="BH41">
        <f>IF(AND(일일실시사항!$G45=$B$4,일일실시사항!$B45&lt;&gt;""),일일실시사항!$B45*10000+41,"")</f>
        <v/>
      </c>
    </row>
    <row r="42">
      <c r="A42" s="118">
        <f>IF($BG42="","",32)</f>
        <v/>
      </c>
      <c r="B42" s="137">
        <f>IF($BG42="","",INDEX(업무일지!$B$5:$B$1004,$BG42))</f>
        <v/>
      </c>
      <c r="C42" s="137">
        <f>IF($BG42="","",INDEX(업무일지!$C$5:$C$1004,$BG42))</f>
        <v/>
      </c>
      <c r="D42" s="129">
        <f>IF($BG42="","",INDEX(업무일지!$AF$5:$AF$1004,$BG42))</f>
        <v/>
      </c>
      <c r="E42" s="136">
        <f>IF($BG42="","",INDEX(업무일지!$D$5:$D$1004,$BG42))</f>
        <v/>
      </c>
      <c r="F42" s="131">
        <f>IF($BG42="","",INDEX(업무일지!$E$5:$E$1004,$BG42))</f>
        <v/>
      </c>
      <c r="G42" s="131">
        <f>IF($BG42="","",INDEX(업무일지!$AA$5:$AA$1004,$BG42))</f>
        <v/>
      </c>
      <c r="H42" s="131">
        <f>IF($BG42="","",INDEX(업무일지!$AC$5:$AC$1004,$BG42))</f>
        <v/>
      </c>
      <c r="I42" s="129">
        <f>IF($BG42="","",INDEX(업무일지!$AD$5:$AD$1004,$BG42))</f>
        <v/>
      </c>
      <c r="J42" s="25">
        <f>IF($BG42="","",INDEX(업무일지!$AE$5:$AE$1004,$BG42))</f>
        <v/>
      </c>
      <c r="K42" s="136">
        <f>IF($BG42="","",INDEX(업무일지!$AG$5:$AG$1004,$BG42))</f>
        <v/>
      </c>
      <c r="L42" s="131">
        <f>IF($BG42="","",INDEX(업무일지!$AH$5:$AH$1004,$BG42))</f>
        <v/>
      </c>
      <c r="BF42">
        <f>IF(AND(업무일지!$F46=$B$4,업무일지!$B46&lt;&gt;""),업무일지!$B46*10000+42,"")</f>
        <v/>
      </c>
      <c r="BG42">
        <f>IFERROR(MATCH(SMALL($BF$1:$BF$1000,32),$BF$1:$BF$1000,0),"")</f>
        <v/>
      </c>
      <c r="BH42">
        <f>IF(AND(일일실시사항!$G46=$B$4,일일실시사항!$B46&lt;&gt;""),일일실시사항!$B46*10000+42,"")</f>
        <v/>
      </c>
    </row>
    <row r="43">
      <c r="A43" s="118">
        <f>IF($BG43="","",33)</f>
        <v/>
      </c>
      <c r="B43" s="137">
        <f>IF($BG43="","",INDEX(업무일지!$B$5:$B$1004,$BG43))</f>
        <v/>
      </c>
      <c r="C43" s="137">
        <f>IF($BG43="","",INDEX(업무일지!$C$5:$C$1004,$BG43))</f>
        <v/>
      </c>
      <c r="D43" s="129">
        <f>IF($BG43="","",INDEX(업무일지!$AF$5:$AF$1004,$BG43))</f>
        <v/>
      </c>
      <c r="E43" s="136">
        <f>IF($BG43="","",INDEX(업무일지!$D$5:$D$1004,$BG43))</f>
        <v/>
      </c>
      <c r="F43" s="131">
        <f>IF($BG43="","",INDEX(업무일지!$E$5:$E$1004,$BG43))</f>
        <v/>
      </c>
      <c r="G43" s="131">
        <f>IF($BG43="","",INDEX(업무일지!$AA$5:$AA$1004,$BG43))</f>
        <v/>
      </c>
      <c r="H43" s="131">
        <f>IF($BG43="","",INDEX(업무일지!$AC$5:$AC$1004,$BG43))</f>
        <v/>
      </c>
      <c r="I43" s="129">
        <f>IF($BG43="","",INDEX(업무일지!$AD$5:$AD$1004,$BG43))</f>
        <v/>
      </c>
      <c r="J43" s="25">
        <f>IF($BG43="","",INDEX(업무일지!$AE$5:$AE$1004,$BG43))</f>
        <v/>
      </c>
      <c r="K43" s="136">
        <f>IF($BG43="","",INDEX(업무일지!$AG$5:$AG$1004,$BG43))</f>
        <v/>
      </c>
      <c r="L43" s="131">
        <f>IF($BG43="","",INDEX(업무일지!$AH$5:$AH$1004,$BG43))</f>
        <v/>
      </c>
      <c r="BF43">
        <f>IF(AND(업무일지!$F47=$B$4,업무일지!$B47&lt;&gt;""),업무일지!$B47*10000+43,"")</f>
        <v/>
      </c>
      <c r="BG43">
        <f>IFERROR(MATCH(SMALL($BF$1:$BF$1000,33),$BF$1:$BF$1000,0),"")</f>
        <v/>
      </c>
      <c r="BH43">
        <f>IF(AND(일일실시사항!$G47=$B$4,일일실시사항!$B47&lt;&gt;""),일일실시사항!$B47*10000+43,"")</f>
        <v/>
      </c>
    </row>
    <row r="44">
      <c r="A44" s="118">
        <f>IF($BG44="","",34)</f>
        <v/>
      </c>
      <c r="B44" s="137">
        <f>IF($BG44="","",INDEX(업무일지!$B$5:$B$1004,$BG44))</f>
        <v/>
      </c>
      <c r="C44" s="137">
        <f>IF($BG44="","",INDEX(업무일지!$C$5:$C$1004,$BG44))</f>
        <v/>
      </c>
      <c r="D44" s="129">
        <f>IF($BG44="","",INDEX(업무일지!$AF$5:$AF$1004,$BG44))</f>
        <v/>
      </c>
      <c r="E44" s="136">
        <f>IF($BG44="","",INDEX(업무일지!$D$5:$D$1004,$BG44))</f>
        <v/>
      </c>
      <c r="F44" s="131">
        <f>IF($BG44="","",INDEX(업무일지!$E$5:$E$1004,$BG44))</f>
        <v/>
      </c>
      <c r="G44" s="131">
        <f>IF($BG44="","",INDEX(업무일지!$AA$5:$AA$1004,$BG44))</f>
        <v/>
      </c>
      <c r="H44" s="131">
        <f>IF($BG44="","",INDEX(업무일지!$AC$5:$AC$1004,$BG44))</f>
        <v/>
      </c>
      <c r="I44" s="129">
        <f>IF($BG44="","",INDEX(업무일지!$AD$5:$AD$1004,$BG44))</f>
        <v/>
      </c>
      <c r="J44" s="25">
        <f>IF($BG44="","",INDEX(업무일지!$AE$5:$AE$1004,$BG44))</f>
        <v/>
      </c>
      <c r="K44" s="136">
        <f>IF($BG44="","",INDEX(업무일지!$AG$5:$AG$1004,$BG44))</f>
        <v/>
      </c>
      <c r="L44" s="131">
        <f>IF($BG44="","",INDEX(업무일지!$AH$5:$AH$1004,$BG44))</f>
        <v/>
      </c>
      <c r="BF44">
        <f>IF(AND(업무일지!$F48=$B$4,업무일지!$B48&lt;&gt;""),업무일지!$B48*10000+44,"")</f>
        <v/>
      </c>
      <c r="BG44">
        <f>IFERROR(MATCH(SMALL($BF$1:$BF$1000,34),$BF$1:$BF$1000,0),"")</f>
        <v/>
      </c>
      <c r="BH44">
        <f>IF(AND(일일실시사항!$G48=$B$4,일일실시사항!$B48&lt;&gt;""),일일실시사항!$B48*10000+44,"")</f>
        <v/>
      </c>
    </row>
    <row r="45">
      <c r="A45" s="118">
        <f>IF($BG45="","",35)</f>
        <v/>
      </c>
      <c r="B45" s="137">
        <f>IF($BG45="","",INDEX(업무일지!$B$5:$B$1004,$BG45))</f>
        <v/>
      </c>
      <c r="C45" s="137">
        <f>IF($BG45="","",INDEX(업무일지!$C$5:$C$1004,$BG45))</f>
        <v/>
      </c>
      <c r="D45" s="129">
        <f>IF($BG45="","",INDEX(업무일지!$AF$5:$AF$1004,$BG45))</f>
        <v/>
      </c>
      <c r="E45" s="136">
        <f>IF($BG45="","",INDEX(업무일지!$D$5:$D$1004,$BG45))</f>
        <v/>
      </c>
      <c r="F45" s="131">
        <f>IF($BG45="","",INDEX(업무일지!$E$5:$E$1004,$BG45))</f>
        <v/>
      </c>
      <c r="G45" s="131">
        <f>IF($BG45="","",INDEX(업무일지!$AA$5:$AA$1004,$BG45))</f>
        <v/>
      </c>
      <c r="H45" s="131">
        <f>IF($BG45="","",INDEX(업무일지!$AC$5:$AC$1004,$BG45))</f>
        <v/>
      </c>
      <c r="I45" s="129">
        <f>IF($BG45="","",INDEX(업무일지!$AD$5:$AD$1004,$BG45))</f>
        <v/>
      </c>
      <c r="J45" s="25">
        <f>IF($BG45="","",INDEX(업무일지!$AE$5:$AE$1004,$BG45))</f>
        <v/>
      </c>
      <c r="K45" s="136">
        <f>IF($BG45="","",INDEX(업무일지!$AG$5:$AG$1004,$BG45))</f>
        <v/>
      </c>
      <c r="L45" s="131">
        <f>IF($BG45="","",INDEX(업무일지!$AH$5:$AH$1004,$BG45))</f>
        <v/>
      </c>
      <c r="BF45">
        <f>IF(AND(업무일지!$F49=$B$4,업무일지!$B49&lt;&gt;""),업무일지!$B49*10000+45,"")</f>
        <v/>
      </c>
      <c r="BG45">
        <f>IFERROR(MATCH(SMALL($BF$1:$BF$1000,35),$BF$1:$BF$1000,0),"")</f>
        <v/>
      </c>
      <c r="BH45">
        <f>IF(AND(일일실시사항!$G49=$B$4,일일실시사항!$B49&lt;&gt;""),일일실시사항!$B49*10000+45,"")</f>
        <v/>
      </c>
    </row>
    <row r="46">
      <c r="A46" s="118">
        <f>IF($BG46="","",36)</f>
        <v/>
      </c>
      <c r="B46" s="137">
        <f>IF($BG46="","",INDEX(업무일지!$B$5:$B$1004,$BG46))</f>
        <v/>
      </c>
      <c r="C46" s="137">
        <f>IF($BG46="","",INDEX(업무일지!$C$5:$C$1004,$BG46))</f>
        <v/>
      </c>
      <c r="D46" s="129">
        <f>IF($BG46="","",INDEX(업무일지!$AF$5:$AF$1004,$BG46))</f>
        <v/>
      </c>
      <c r="E46" s="136">
        <f>IF($BG46="","",INDEX(업무일지!$D$5:$D$1004,$BG46))</f>
        <v/>
      </c>
      <c r="F46" s="131">
        <f>IF($BG46="","",INDEX(업무일지!$E$5:$E$1004,$BG46))</f>
        <v/>
      </c>
      <c r="G46" s="131">
        <f>IF($BG46="","",INDEX(업무일지!$AA$5:$AA$1004,$BG46))</f>
        <v/>
      </c>
      <c r="H46" s="131">
        <f>IF($BG46="","",INDEX(업무일지!$AC$5:$AC$1004,$BG46))</f>
        <v/>
      </c>
      <c r="I46" s="129">
        <f>IF($BG46="","",INDEX(업무일지!$AD$5:$AD$1004,$BG46))</f>
        <v/>
      </c>
      <c r="J46" s="25">
        <f>IF($BG46="","",INDEX(업무일지!$AE$5:$AE$1004,$BG46))</f>
        <v/>
      </c>
      <c r="K46" s="136">
        <f>IF($BG46="","",INDEX(업무일지!$AG$5:$AG$1004,$BG46))</f>
        <v/>
      </c>
      <c r="L46" s="131">
        <f>IF($BG46="","",INDEX(업무일지!$AH$5:$AH$1004,$BG46))</f>
        <v/>
      </c>
      <c r="BF46">
        <f>IF(AND(업무일지!$F50=$B$4,업무일지!$B50&lt;&gt;""),업무일지!$B50*10000+46,"")</f>
        <v/>
      </c>
      <c r="BG46">
        <f>IFERROR(MATCH(SMALL($BF$1:$BF$1000,36),$BF$1:$BF$1000,0),"")</f>
        <v/>
      </c>
      <c r="BH46">
        <f>IF(AND(일일실시사항!$G50=$B$4,일일실시사항!$B50&lt;&gt;""),일일실시사항!$B50*10000+46,"")</f>
        <v/>
      </c>
    </row>
    <row r="47">
      <c r="A47" s="118">
        <f>IF($BG47="","",37)</f>
        <v/>
      </c>
      <c r="B47" s="137">
        <f>IF($BG47="","",INDEX(업무일지!$B$5:$B$1004,$BG47))</f>
        <v/>
      </c>
      <c r="C47" s="137">
        <f>IF($BG47="","",INDEX(업무일지!$C$5:$C$1004,$BG47))</f>
        <v/>
      </c>
      <c r="D47" s="129">
        <f>IF($BG47="","",INDEX(업무일지!$AF$5:$AF$1004,$BG47))</f>
        <v/>
      </c>
      <c r="E47" s="136">
        <f>IF($BG47="","",INDEX(업무일지!$D$5:$D$1004,$BG47))</f>
        <v/>
      </c>
      <c r="F47" s="131">
        <f>IF($BG47="","",INDEX(업무일지!$E$5:$E$1004,$BG47))</f>
        <v/>
      </c>
      <c r="G47" s="131">
        <f>IF($BG47="","",INDEX(업무일지!$AA$5:$AA$1004,$BG47))</f>
        <v/>
      </c>
      <c r="H47" s="131">
        <f>IF($BG47="","",INDEX(업무일지!$AC$5:$AC$1004,$BG47))</f>
        <v/>
      </c>
      <c r="I47" s="129">
        <f>IF($BG47="","",INDEX(업무일지!$AD$5:$AD$1004,$BG47))</f>
        <v/>
      </c>
      <c r="J47" s="25">
        <f>IF($BG47="","",INDEX(업무일지!$AE$5:$AE$1004,$BG47))</f>
        <v/>
      </c>
      <c r="K47" s="136">
        <f>IF($BG47="","",INDEX(업무일지!$AG$5:$AG$1004,$BG47))</f>
        <v/>
      </c>
      <c r="L47" s="131">
        <f>IF($BG47="","",INDEX(업무일지!$AH$5:$AH$1004,$BG47))</f>
        <v/>
      </c>
      <c r="BF47">
        <f>IF(AND(업무일지!$F51=$B$4,업무일지!$B51&lt;&gt;""),업무일지!$B51*10000+47,"")</f>
        <v/>
      </c>
      <c r="BG47">
        <f>IFERROR(MATCH(SMALL($BF$1:$BF$1000,37),$BF$1:$BF$1000,0),"")</f>
        <v/>
      </c>
      <c r="BH47">
        <f>IF(AND(일일실시사항!$G51=$B$4,일일실시사항!$B51&lt;&gt;""),일일실시사항!$B51*10000+47,"")</f>
        <v/>
      </c>
    </row>
    <row r="48">
      <c r="A48" s="118">
        <f>IF($BG48="","",38)</f>
        <v/>
      </c>
      <c r="B48" s="137">
        <f>IF($BG48="","",INDEX(업무일지!$B$5:$B$1004,$BG48))</f>
        <v/>
      </c>
      <c r="C48" s="137">
        <f>IF($BG48="","",INDEX(업무일지!$C$5:$C$1004,$BG48))</f>
        <v/>
      </c>
      <c r="D48" s="129">
        <f>IF($BG48="","",INDEX(업무일지!$AF$5:$AF$1004,$BG48))</f>
        <v/>
      </c>
      <c r="E48" s="136">
        <f>IF($BG48="","",INDEX(업무일지!$D$5:$D$1004,$BG48))</f>
        <v/>
      </c>
      <c r="F48" s="131">
        <f>IF($BG48="","",INDEX(업무일지!$E$5:$E$1004,$BG48))</f>
        <v/>
      </c>
      <c r="G48" s="131">
        <f>IF($BG48="","",INDEX(업무일지!$AA$5:$AA$1004,$BG48))</f>
        <v/>
      </c>
      <c r="H48" s="131">
        <f>IF($BG48="","",INDEX(업무일지!$AC$5:$AC$1004,$BG48))</f>
        <v/>
      </c>
      <c r="I48" s="129">
        <f>IF($BG48="","",INDEX(업무일지!$AD$5:$AD$1004,$BG48))</f>
        <v/>
      </c>
      <c r="J48" s="25">
        <f>IF($BG48="","",INDEX(업무일지!$AE$5:$AE$1004,$BG48))</f>
        <v/>
      </c>
      <c r="K48" s="136">
        <f>IF($BG48="","",INDEX(업무일지!$AG$5:$AG$1004,$BG48))</f>
        <v/>
      </c>
      <c r="L48" s="131">
        <f>IF($BG48="","",INDEX(업무일지!$AH$5:$AH$1004,$BG48))</f>
        <v/>
      </c>
      <c r="BF48">
        <f>IF(AND(업무일지!$F52=$B$4,업무일지!$B52&lt;&gt;""),업무일지!$B52*10000+48,"")</f>
        <v/>
      </c>
      <c r="BG48">
        <f>IFERROR(MATCH(SMALL($BF$1:$BF$1000,38),$BF$1:$BF$1000,0),"")</f>
        <v/>
      </c>
      <c r="BH48">
        <f>IF(AND(일일실시사항!$G52=$B$4,일일실시사항!$B52&lt;&gt;""),일일실시사항!$B52*10000+48,"")</f>
        <v/>
      </c>
    </row>
    <row r="49">
      <c r="A49" s="118">
        <f>IF($BG49="","",39)</f>
        <v/>
      </c>
      <c r="B49" s="137">
        <f>IF($BG49="","",INDEX(업무일지!$B$5:$B$1004,$BG49))</f>
        <v/>
      </c>
      <c r="C49" s="137">
        <f>IF($BG49="","",INDEX(업무일지!$C$5:$C$1004,$BG49))</f>
        <v/>
      </c>
      <c r="D49" s="129">
        <f>IF($BG49="","",INDEX(업무일지!$AF$5:$AF$1004,$BG49))</f>
        <v/>
      </c>
      <c r="E49" s="136">
        <f>IF($BG49="","",INDEX(업무일지!$D$5:$D$1004,$BG49))</f>
        <v/>
      </c>
      <c r="F49" s="131">
        <f>IF($BG49="","",INDEX(업무일지!$E$5:$E$1004,$BG49))</f>
        <v/>
      </c>
      <c r="G49" s="131">
        <f>IF($BG49="","",INDEX(업무일지!$AA$5:$AA$1004,$BG49))</f>
        <v/>
      </c>
      <c r="H49" s="131">
        <f>IF($BG49="","",INDEX(업무일지!$AC$5:$AC$1004,$BG49))</f>
        <v/>
      </c>
      <c r="I49" s="129">
        <f>IF($BG49="","",INDEX(업무일지!$AD$5:$AD$1004,$BG49))</f>
        <v/>
      </c>
      <c r="J49" s="25">
        <f>IF($BG49="","",INDEX(업무일지!$AE$5:$AE$1004,$BG49))</f>
        <v/>
      </c>
      <c r="K49" s="136">
        <f>IF($BG49="","",INDEX(업무일지!$AG$5:$AG$1004,$BG49))</f>
        <v/>
      </c>
      <c r="L49" s="131">
        <f>IF($BG49="","",INDEX(업무일지!$AH$5:$AH$1004,$BG49))</f>
        <v/>
      </c>
      <c r="BF49">
        <f>IF(AND(업무일지!$F53=$B$4,업무일지!$B53&lt;&gt;""),업무일지!$B53*10000+49,"")</f>
        <v/>
      </c>
      <c r="BG49">
        <f>IFERROR(MATCH(SMALL($BF$1:$BF$1000,39),$BF$1:$BF$1000,0),"")</f>
        <v/>
      </c>
      <c r="BH49">
        <f>IF(AND(일일실시사항!$G53=$B$4,일일실시사항!$B53&lt;&gt;""),일일실시사항!$B53*10000+49,"")</f>
        <v/>
      </c>
    </row>
    <row r="50">
      <c r="A50" s="118">
        <f>IF($BG50="","",40)</f>
        <v/>
      </c>
      <c r="B50" s="137">
        <f>IF($BG50="","",INDEX(업무일지!$B$5:$B$1004,$BG50))</f>
        <v/>
      </c>
      <c r="C50" s="137">
        <f>IF($BG50="","",INDEX(업무일지!$C$5:$C$1004,$BG50))</f>
        <v/>
      </c>
      <c r="D50" s="129">
        <f>IF($BG50="","",INDEX(업무일지!$AF$5:$AF$1004,$BG50))</f>
        <v/>
      </c>
      <c r="E50" s="136">
        <f>IF($BG50="","",INDEX(업무일지!$D$5:$D$1004,$BG50))</f>
        <v/>
      </c>
      <c r="F50" s="131">
        <f>IF($BG50="","",INDEX(업무일지!$E$5:$E$1004,$BG50))</f>
        <v/>
      </c>
      <c r="G50" s="131">
        <f>IF($BG50="","",INDEX(업무일지!$AA$5:$AA$1004,$BG50))</f>
        <v/>
      </c>
      <c r="H50" s="131">
        <f>IF($BG50="","",INDEX(업무일지!$AC$5:$AC$1004,$BG50))</f>
        <v/>
      </c>
      <c r="I50" s="129">
        <f>IF($BG50="","",INDEX(업무일지!$AD$5:$AD$1004,$BG50))</f>
        <v/>
      </c>
      <c r="J50" s="25">
        <f>IF($BG50="","",INDEX(업무일지!$AE$5:$AE$1004,$BG50))</f>
        <v/>
      </c>
      <c r="K50" s="136">
        <f>IF($BG50="","",INDEX(업무일지!$AG$5:$AG$1004,$BG50))</f>
        <v/>
      </c>
      <c r="L50" s="131">
        <f>IF($BG50="","",INDEX(업무일지!$AH$5:$AH$1004,$BG50))</f>
        <v/>
      </c>
      <c r="BF50">
        <f>IF(AND(업무일지!$F54=$B$4,업무일지!$B54&lt;&gt;""),업무일지!$B54*10000+50,"")</f>
        <v/>
      </c>
      <c r="BG50">
        <f>IFERROR(MATCH(SMALL($BF$1:$BF$1000,40),$BF$1:$BF$1000,0),"")</f>
        <v/>
      </c>
      <c r="BH50">
        <f>IF(AND(일일실시사항!$G54=$B$4,일일실시사항!$B54&lt;&gt;""),일일실시사항!$B54*10000+50,"")</f>
        <v/>
      </c>
    </row>
    <row r="51">
      <c r="A51" s="118">
        <f>IF($BG51="","",41)</f>
        <v/>
      </c>
      <c r="B51" s="137">
        <f>IF($BG51="","",INDEX(업무일지!$B$5:$B$1004,$BG51))</f>
        <v/>
      </c>
      <c r="C51" s="137">
        <f>IF($BG51="","",INDEX(업무일지!$C$5:$C$1004,$BG51))</f>
        <v/>
      </c>
      <c r="D51" s="129">
        <f>IF($BG51="","",INDEX(업무일지!$AF$5:$AF$1004,$BG51))</f>
        <v/>
      </c>
      <c r="E51" s="136">
        <f>IF($BG51="","",INDEX(업무일지!$D$5:$D$1004,$BG51))</f>
        <v/>
      </c>
      <c r="F51" s="131">
        <f>IF($BG51="","",INDEX(업무일지!$E$5:$E$1004,$BG51))</f>
        <v/>
      </c>
      <c r="G51" s="131">
        <f>IF($BG51="","",INDEX(업무일지!$AA$5:$AA$1004,$BG51))</f>
        <v/>
      </c>
      <c r="H51" s="131">
        <f>IF($BG51="","",INDEX(업무일지!$AC$5:$AC$1004,$BG51))</f>
        <v/>
      </c>
      <c r="I51" s="129">
        <f>IF($BG51="","",INDEX(업무일지!$AD$5:$AD$1004,$BG51))</f>
        <v/>
      </c>
      <c r="J51" s="25">
        <f>IF($BG51="","",INDEX(업무일지!$AE$5:$AE$1004,$BG51))</f>
        <v/>
      </c>
      <c r="K51" s="136">
        <f>IF($BG51="","",INDEX(업무일지!$AG$5:$AG$1004,$BG51))</f>
        <v/>
      </c>
      <c r="L51" s="131">
        <f>IF($BG51="","",INDEX(업무일지!$AH$5:$AH$1004,$BG51))</f>
        <v/>
      </c>
      <c r="BF51">
        <f>IF(AND(업무일지!$F55=$B$4,업무일지!$B55&lt;&gt;""),업무일지!$B55*10000+51,"")</f>
        <v/>
      </c>
      <c r="BG51">
        <f>IFERROR(MATCH(SMALL($BF$1:$BF$1000,41),$BF$1:$BF$1000,0),"")</f>
        <v/>
      </c>
      <c r="BH51">
        <f>IF(AND(일일실시사항!$G55=$B$4,일일실시사항!$B55&lt;&gt;""),일일실시사항!$B55*10000+51,"")</f>
        <v/>
      </c>
    </row>
    <row r="52">
      <c r="A52" s="118">
        <f>IF($BG52="","",42)</f>
        <v/>
      </c>
      <c r="B52" s="137">
        <f>IF($BG52="","",INDEX(업무일지!$B$5:$B$1004,$BG52))</f>
        <v/>
      </c>
      <c r="C52" s="137">
        <f>IF($BG52="","",INDEX(업무일지!$C$5:$C$1004,$BG52))</f>
        <v/>
      </c>
      <c r="D52" s="129">
        <f>IF($BG52="","",INDEX(업무일지!$AF$5:$AF$1004,$BG52))</f>
        <v/>
      </c>
      <c r="E52" s="136">
        <f>IF($BG52="","",INDEX(업무일지!$D$5:$D$1004,$BG52))</f>
        <v/>
      </c>
      <c r="F52" s="131">
        <f>IF($BG52="","",INDEX(업무일지!$E$5:$E$1004,$BG52))</f>
        <v/>
      </c>
      <c r="G52" s="131">
        <f>IF($BG52="","",INDEX(업무일지!$AA$5:$AA$1004,$BG52))</f>
        <v/>
      </c>
      <c r="H52" s="131">
        <f>IF($BG52="","",INDEX(업무일지!$AC$5:$AC$1004,$BG52))</f>
        <v/>
      </c>
      <c r="I52" s="129">
        <f>IF($BG52="","",INDEX(업무일지!$AD$5:$AD$1004,$BG52))</f>
        <v/>
      </c>
      <c r="J52" s="25">
        <f>IF($BG52="","",INDEX(업무일지!$AE$5:$AE$1004,$BG52))</f>
        <v/>
      </c>
      <c r="K52" s="136">
        <f>IF($BG52="","",INDEX(업무일지!$AG$5:$AG$1004,$BG52))</f>
        <v/>
      </c>
      <c r="L52" s="131">
        <f>IF($BG52="","",INDEX(업무일지!$AH$5:$AH$1004,$BG52))</f>
        <v/>
      </c>
      <c r="BF52">
        <f>IF(AND(업무일지!$F56=$B$4,업무일지!$B56&lt;&gt;""),업무일지!$B56*10000+52,"")</f>
        <v/>
      </c>
      <c r="BG52">
        <f>IFERROR(MATCH(SMALL($BF$1:$BF$1000,42),$BF$1:$BF$1000,0),"")</f>
        <v/>
      </c>
      <c r="BH52">
        <f>IF(AND(일일실시사항!$G56=$B$4,일일실시사항!$B56&lt;&gt;""),일일실시사항!$B56*10000+52,"")</f>
        <v/>
      </c>
    </row>
    <row r="53">
      <c r="A53" s="118">
        <f>IF($BG53="","",43)</f>
        <v/>
      </c>
      <c r="B53" s="137">
        <f>IF($BG53="","",INDEX(업무일지!$B$5:$B$1004,$BG53))</f>
        <v/>
      </c>
      <c r="C53" s="137">
        <f>IF($BG53="","",INDEX(업무일지!$C$5:$C$1004,$BG53))</f>
        <v/>
      </c>
      <c r="D53" s="129">
        <f>IF($BG53="","",INDEX(업무일지!$AF$5:$AF$1004,$BG53))</f>
        <v/>
      </c>
      <c r="E53" s="136">
        <f>IF($BG53="","",INDEX(업무일지!$D$5:$D$1004,$BG53))</f>
        <v/>
      </c>
      <c r="F53" s="131">
        <f>IF($BG53="","",INDEX(업무일지!$E$5:$E$1004,$BG53))</f>
        <v/>
      </c>
      <c r="G53" s="131">
        <f>IF($BG53="","",INDEX(업무일지!$AA$5:$AA$1004,$BG53))</f>
        <v/>
      </c>
      <c r="H53" s="131">
        <f>IF($BG53="","",INDEX(업무일지!$AC$5:$AC$1004,$BG53))</f>
        <v/>
      </c>
      <c r="I53" s="129">
        <f>IF($BG53="","",INDEX(업무일지!$AD$5:$AD$1004,$BG53))</f>
        <v/>
      </c>
      <c r="J53" s="25">
        <f>IF($BG53="","",INDEX(업무일지!$AE$5:$AE$1004,$BG53))</f>
        <v/>
      </c>
      <c r="K53" s="136">
        <f>IF($BG53="","",INDEX(업무일지!$AG$5:$AG$1004,$BG53))</f>
        <v/>
      </c>
      <c r="L53" s="131">
        <f>IF($BG53="","",INDEX(업무일지!$AH$5:$AH$1004,$BG53))</f>
        <v/>
      </c>
      <c r="BF53">
        <f>IF(AND(업무일지!$F57=$B$4,업무일지!$B57&lt;&gt;""),업무일지!$B57*10000+53,"")</f>
        <v/>
      </c>
      <c r="BG53">
        <f>IFERROR(MATCH(SMALL($BF$1:$BF$1000,43),$BF$1:$BF$1000,0),"")</f>
        <v/>
      </c>
      <c r="BH53">
        <f>IF(AND(일일실시사항!$G57=$B$4,일일실시사항!$B57&lt;&gt;""),일일실시사항!$B57*10000+53,"")</f>
        <v/>
      </c>
    </row>
    <row r="54">
      <c r="A54" s="118">
        <f>IF($BG54="","",44)</f>
        <v/>
      </c>
      <c r="B54" s="137">
        <f>IF($BG54="","",INDEX(업무일지!$B$5:$B$1004,$BG54))</f>
        <v/>
      </c>
      <c r="C54" s="137">
        <f>IF($BG54="","",INDEX(업무일지!$C$5:$C$1004,$BG54))</f>
        <v/>
      </c>
      <c r="D54" s="129">
        <f>IF($BG54="","",INDEX(업무일지!$AF$5:$AF$1004,$BG54))</f>
        <v/>
      </c>
      <c r="E54" s="136">
        <f>IF($BG54="","",INDEX(업무일지!$D$5:$D$1004,$BG54))</f>
        <v/>
      </c>
      <c r="F54" s="131">
        <f>IF($BG54="","",INDEX(업무일지!$E$5:$E$1004,$BG54))</f>
        <v/>
      </c>
      <c r="G54" s="131">
        <f>IF($BG54="","",INDEX(업무일지!$AA$5:$AA$1004,$BG54))</f>
        <v/>
      </c>
      <c r="H54" s="131">
        <f>IF($BG54="","",INDEX(업무일지!$AC$5:$AC$1004,$BG54))</f>
        <v/>
      </c>
      <c r="I54" s="129">
        <f>IF($BG54="","",INDEX(업무일지!$AD$5:$AD$1004,$BG54))</f>
        <v/>
      </c>
      <c r="J54" s="25">
        <f>IF($BG54="","",INDEX(업무일지!$AE$5:$AE$1004,$BG54))</f>
        <v/>
      </c>
      <c r="K54" s="136">
        <f>IF($BG54="","",INDEX(업무일지!$AG$5:$AG$1004,$BG54))</f>
        <v/>
      </c>
      <c r="L54" s="131">
        <f>IF($BG54="","",INDEX(업무일지!$AH$5:$AH$1004,$BG54))</f>
        <v/>
      </c>
      <c r="BF54">
        <f>IF(AND(업무일지!$F58=$B$4,업무일지!$B58&lt;&gt;""),업무일지!$B58*10000+54,"")</f>
        <v/>
      </c>
      <c r="BG54">
        <f>IFERROR(MATCH(SMALL($BF$1:$BF$1000,44),$BF$1:$BF$1000,0),"")</f>
        <v/>
      </c>
      <c r="BH54">
        <f>IF(AND(일일실시사항!$G58=$B$4,일일실시사항!$B58&lt;&gt;""),일일실시사항!$B58*10000+54,"")</f>
        <v/>
      </c>
    </row>
    <row r="55">
      <c r="A55" s="118">
        <f>IF($BG55="","",45)</f>
        <v/>
      </c>
      <c r="B55" s="137">
        <f>IF($BG55="","",INDEX(업무일지!$B$5:$B$1004,$BG55))</f>
        <v/>
      </c>
      <c r="C55" s="137">
        <f>IF($BG55="","",INDEX(업무일지!$C$5:$C$1004,$BG55))</f>
        <v/>
      </c>
      <c r="D55" s="129">
        <f>IF($BG55="","",INDEX(업무일지!$AF$5:$AF$1004,$BG55))</f>
        <v/>
      </c>
      <c r="E55" s="136">
        <f>IF($BG55="","",INDEX(업무일지!$D$5:$D$1004,$BG55))</f>
        <v/>
      </c>
      <c r="F55" s="131">
        <f>IF($BG55="","",INDEX(업무일지!$E$5:$E$1004,$BG55))</f>
        <v/>
      </c>
      <c r="G55" s="131">
        <f>IF($BG55="","",INDEX(업무일지!$AA$5:$AA$1004,$BG55))</f>
        <v/>
      </c>
      <c r="H55" s="131">
        <f>IF($BG55="","",INDEX(업무일지!$AC$5:$AC$1004,$BG55))</f>
        <v/>
      </c>
      <c r="I55" s="129">
        <f>IF($BG55="","",INDEX(업무일지!$AD$5:$AD$1004,$BG55))</f>
        <v/>
      </c>
      <c r="J55" s="25">
        <f>IF($BG55="","",INDEX(업무일지!$AE$5:$AE$1004,$BG55))</f>
        <v/>
      </c>
      <c r="K55" s="136">
        <f>IF($BG55="","",INDEX(업무일지!$AG$5:$AG$1004,$BG55))</f>
        <v/>
      </c>
      <c r="L55" s="131">
        <f>IF($BG55="","",INDEX(업무일지!$AH$5:$AH$1004,$BG55))</f>
        <v/>
      </c>
      <c r="BF55">
        <f>IF(AND(업무일지!$F59=$B$4,업무일지!$B59&lt;&gt;""),업무일지!$B59*10000+55,"")</f>
        <v/>
      </c>
      <c r="BG55">
        <f>IFERROR(MATCH(SMALL($BF$1:$BF$1000,45),$BF$1:$BF$1000,0),"")</f>
        <v/>
      </c>
      <c r="BH55">
        <f>IF(AND(일일실시사항!$G59=$B$4,일일실시사항!$B59&lt;&gt;""),일일실시사항!$B59*10000+55,"")</f>
        <v/>
      </c>
    </row>
    <row r="56">
      <c r="A56" s="118">
        <f>IF($BG56="","",46)</f>
        <v/>
      </c>
      <c r="B56" s="137">
        <f>IF($BG56="","",INDEX(업무일지!$B$5:$B$1004,$BG56))</f>
        <v/>
      </c>
      <c r="C56" s="137">
        <f>IF($BG56="","",INDEX(업무일지!$C$5:$C$1004,$BG56))</f>
        <v/>
      </c>
      <c r="D56" s="129">
        <f>IF($BG56="","",INDEX(업무일지!$AF$5:$AF$1004,$BG56))</f>
        <v/>
      </c>
      <c r="E56" s="136">
        <f>IF($BG56="","",INDEX(업무일지!$D$5:$D$1004,$BG56))</f>
        <v/>
      </c>
      <c r="F56" s="131">
        <f>IF($BG56="","",INDEX(업무일지!$E$5:$E$1004,$BG56))</f>
        <v/>
      </c>
      <c r="G56" s="131">
        <f>IF($BG56="","",INDEX(업무일지!$AA$5:$AA$1004,$BG56))</f>
        <v/>
      </c>
      <c r="H56" s="131">
        <f>IF($BG56="","",INDEX(업무일지!$AC$5:$AC$1004,$BG56))</f>
        <v/>
      </c>
      <c r="I56" s="129">
        <f>IF($BG56="","",INDEX(업무일지!$AD$5:$AD$1004,$BG56))</f>
        <v/>
      </c>
      <c r="J56" s="25">
        <f>IF($BG56="","",INDEX(업무일지!$AE$5:$AE$1004,$BG56))</f>
        <v/>
      </c>
      <c r="K56" s="136">
        <f>IF($BG56="","",INDEX(업무일지!$AG$5:$AG$1004,$BG56))</f>
        <v/>
      </c>
      <c r="L56" s="131">
        <f>IF($BG56="","",INDEX(업무일지!$AH$5:$AH$1004,$BG56))</f>
        <v/>
      </c>
      <c r="BF56">
        <f>IF(AND(업무일지!$F60=$B$4,업무일지!$B60&lt;&gt;""),업무일지!$B60*10000+56,"")</f>
        <v/>
      </c>
      <c r="BG56">
        <f>IFERROR(MATCH(SMALL($BF$1:$BF$1000,46),$BF$1:$BF$1000,0),"")</f>
        <v/>
      </c>
      <c r="BH56">
        <f>IF(AND(일일실시사항!$G60=$B$4,일일실시사항!$B60&lt;&gt;""),일일실시사항!$B60*10000+56,"")</f>
        <v/>
      </c>
    </row>
    <row r="57">
      <c r="A57" s="118">
        <f>IF($BG57="","",47)</f>
        <v/>
      </c>
      <c r="B57" s="137">
        <f>IF($BG57="","",INDEX(업무일지!$B$5:$B$1004,$BG57))</f>
        <v/>
      </c>
      <c r="C57" s="137">
        <f>IF($BG57="","",INDEX(업무일지!$C$5:$C$1004,$BG57))</f>
        <v/>
      </c>
      <c r="D57" s="129">
        <f>IF($BG57="","",INDEX(업무일지!$AF$5:$AF$1004,$BG57))</f>
        <v/>
      </c>
      <c r="E57" s="136">
        <f>IF($BG57="","",INDEX(업무일지!$D$5:$D$1004,$BG57))</f>
        <v/>
      </c>
      <c r="F57" s="131">
        <f>IF($BG57="","",INDEX(업무일지!$E$5:$E$1004,$BG57))</f>
        <v/>
      </c>
      <c r="G57" s="131">
        <f>IF($BG57="","",INDEX(업무일지!$AA$5:$AA$1004,$BG57))</f>
        <v/>
      </c>
      <c r="H57" s="131">
        <f>IF($BG57="","",INDEX(업무일지!$AC$5:$AC$1004,$BG57))</f>
        <v/>
      </c>
      <c r="I57" s="129">
        <f>IF($BG57="","",INDEX(업무일지!$AD$5:$AD$1004,$BG57))</f>
        <v/>
      </c>
      <c r="J57" s="25">
        <f>IF($BG57="","",INDEX(업무일지!$AE$5:$AE$1004,$BG57))</f>
        <v/>
      </c>
      <c r="K57" s="136">
        <f>IF($BG57="","",INDEX(업무일지!$AG$5:$AG$1004,$BG57))</f>
        <v/>
      </c>
      <c r="L57" s="131">
        <f>IF($BG57="","",INDEX(업무일지!$AH$5:$AH$1004,$BG57))</f>
        <v/>
      </c>
      <c r="BF57">
        <f>IF(AND(업무일지!$F61=$B$4,업무일지!$B61&lt;&gt;""),업무일지!$B61*10000+57,"")</f>
        <v/>
      </c>
      <c r="BG57">
        <f>IFERROR(MATCH(SMALL($BF$1:$BF$1000,47),$BF$1:$BF$1000,0),"")</f>
        <v/>
      </c>
      <c r="BH57">
        <f>IF(AND(일일실시사항!$G61=$B$4,일일실시사항!$B61&lt;&gt;""),일일실시사항!$B61*10000+57,"")</f>
        <v/>
      </c>
    </row>
    <row r="58">
      <c r="A58" s="118">
        <f>IF($BG58="","",48)</f>
        <v/>
      </c>
      <c r="B58" s="137">
        <f>IF($BG58="","",INDEX(업무일지!$B$5:$B$1004,$BG58))</f>
        <v/>
      </c>
      <c r="C58" s="137">
        <f>IF($BG58="","",INDEX(업무일지!$C$5:$C$1004,$BG58))</f>
        <v/>
      </c>
      <c r="D58" s="129">
        <f>IF($BG58="","",INDEX(업무일지!$AF$5:$AF$1004,$BG58))</f>
        <v/>
      </c>
      <c r="E58" s="136">
        <f>IF($BG58="","",INDEX(업무일지!$D$5:$D$1004,$BG58))</f>
        <v/>
      </c>
      <c r="F58" s="131">
        <f>IF($BG58="","",INDEX(업무일지!$E$5:$E$1004,$BG58))</f>
        <v/>
      </c>
      <c r="G58" s="131">
        <f>IF($BG58="","",INDEX(업무일지!$AA$5:$AA$1004,$BG58))</f>
        <v/>
      </c>
      <c r="H58" s="131">
        <f>IF($BG58="","",INDEX(업무일지!$AC$5:$AC$1004,$BG58))</f>
        <v/>
      </c>
      <c r="I58" s="129">
        <f>IF($BG58="","",INDEX(업무일지!$AD$5:$AD$1004,$BG58))</f>
        <v/>
      </c>
      <c r="J58" s="25">
        <f>IF($BG58="","",INDEX(업무일지!$AE$5:$AE$1004,$BG58))</f>
        <v/>
      </c>
      <c r="K58" s="136">
        <f>IF($BG58="","",INDEX(업무일지!$AG$5:$AG$1004,$BG58))</f>
        <v/>
      </c>
      <c r="L58" s="131">
        <f>IF($BG58="","",INDEX(업무일지!$AH$5:$AH$1004,$BG58))</f>
        <v/>
      </c>
      <c r="BF58">
        <f>IF(AND(업무일지!$F62=$B$4,업무일지!$B62&lt;&gt;""),업무일지!$B62*10000+58,"")</f>
        <v/>
      </c>
      <c r="BG58">
        <f>IFERROR(MATCH(SMALL($BF$1:$BF$1000,48),$BF$1:$BF$1000,0),"")</f>
        <v/>
      </c>
      <c r="BH58">
        <f>IF(AND(일일실시사항!$G62=$B$4,일일실시사항!$B62&lt;&gt;""),일일실시사항!$B62*10000+58,"")</f>
        <v/>
      </c>
    </row>
    <row r="59">
      <c r="A59" s="118">
        <f>IF($BG59="","",49)</f>
        <v/>
      </c>
      <c r="B59" s="137">
        <f>IF($BG59="","",INDEX(업무일지!$B$5:$B$1004,$BG59))</f>
        <v/>
      </c>
      <c r="C59" s="137">
        <f>IF($BG59="","",INDEX(업무일지!$C$5:$C$1004,$BG59))</f>
        <v/>
      </c>
      <c r="D59" s="129">
        <f>IF($BG59="","",INDEX(업무일지!$AF$5:$AF$1004,$BG59))</f>
        <v/>
      </c>
      <c r="E59" s="136">
        <f>IF($BG59="","",INDEX(업무일지!$D$5:$D$1004,$BG59))</f>
        <v/>
      </c>
      <c r="F59" s="131">
        <f>IF($BG59="","",INDEX(업무일지!$E$5:$E$1004,$BG59))</f>
        <v/>
      </c>
      <c r="G59" s="131">
        <f>IF($BG59="","",INDEX(업무일지!$AA$5:$AA$1004,$BG59))</f>
        <v/>
      </c>
      <c r="H59" s="131">
        <f>IF($BG59="","",INDEX(업무일지!$AC$5:$AC$1004,$BG59))</f>
        <v/>
      </c>
      <c r="I59" s="129">
        <f>IF($BG59="","",INDEX(업무일지!$AD$5:$AD$1004,$BG59))</f>
        <v/>
      </c>
      <c r="J59" s="25">
        <f>IF($BG59="","",INDEX(업무일지!$AE$5:$AE$1004,$BG59))</f>
        <v/>
      </c>
      <c r="K59" s="136">
        <f>IF($BG59="","",INDEX(업무일지!$AG$5:$AG$1004,$BG59))</f>
        <v/>
      </c>
      <c r="L59" s="131">
        <f>IF($BG59="","",INDEX(업무일지!$AH$5:$AH$1004,$BG59))</f>
        <v/>
      </c>
      <c r="BF59">
        <f>IF(AND(업무일지!$F63=$B$4,업무일지!$B63&lt;&gt;""),업무일지!$B63*10000+59,"")</f>
        <v/>
      </c>
      <c r="BG59">
        <f>IFERROR(MATCH(SMALL($BF$1:$BF$1000,49),$BF$1:$BF$1000,0),"")</f>
        <v/>
      </c>
      <c r="BH59">
        <f>IF(AND(일일실시사항!$G63=$B$4,일일실시사항!$B63&lt;&gt;""),일일실시사항!$B63*10000+59,"")</f>
        <v/>
      </c>
    </row>
    <row r="60">
      <c r="A60" s="118">
        <f>IF($BG60="","",50)</f>
        <v/>
      </c>
      <c r="B60" s="137">
        <f>IF($BG60="","",INDEX(업무일지!$B$5:$B$1004,$BG60))</f>
        <v/>
      </c>
      <c r="C60" s="137">
        <f>IF($BG60="","",INDEX(업무일지!$C$5:$C$1004,$BG60))</f>
        <v/>
      </c>
      <c r="D60" s="129">
        <f>IF($BG60="","",INDEX(업무일지!$AF$5:$AF$1004,$BG60))</f>
        <v/>
      </c>
      <c r="E60" s="136">
        <f>IF($BG60="","",INDEX(업무일지!$D$5:$D$1004,$BG60))</f>
        <v/>
      </c>
      <c r="F60" s="131">
        <f>IF($BG60="","",INDEX(업무일지!$E$5:$E$1004,$BG60))</f>
        <v/>
      </c>
      <c r="G60" s="131">
        <f>IF($BG60="","",INDEX(업무일지!$AA$5:$AA$1004,$BG60))</f>
        <v/>
      </c>
      <c r="H60" s="131">
        <f>IF($BG60="","",INDEX(업무일지!$AC$5:$AC$1004,$BG60))</f>
        <v/>
      </c>
      <c r="I60" s="129">
        <f>IF($BG60="","",INDEX(업무일지!$AD$5:$AD$1004,$BG60))</f>
        <v/>
      </c>
      <c r="J60" s="25">
        <f>IF($BG60="","",INDEX(업무일지!$AE$5:$AE$1004,$BG60))</f>
        <v/>
      </c>
      <c r="K60" s="136">
        <f>IF($BG60="","",INDEX(업무일지!$AG$5:$AG$1004,$BG60))</f>
        <v/>
      </c>
      <c r="L60" s="131">
        <f>IF($BG60="","",INDEX(업무일지!$AH$5:$AH$1004,$BG60))</f>
        <v/>
      </c>
      <c r="BF60">
        <f>IF(AND(업무일지!$F64=$B$4,업무일지!$B64&lt;&gt;""),업무일지!$B64*10000+60,"")</f>
        <v/>
      </c>
      <c r="BG60">
        <f>IFERROR(MATCH(SMALL($BF$1:$BF$1000,50),$BF$1:$BF$1000,0),"")</f>
        <v/>
      </c>
      <c r="BH60">
        <f>IF(AND(일일실시사항!$G64=$B$4,일일실시사항!$B64&lt;&gt;""),일일실시사항!$B64*10000+60,"")</f>
        <v/>
      </c>
    </row>
    <row r="61">
      <c r="A61" s="118">
        <f>IF($BG61="","",51)</f>
        <v/>
      </c>
      <c r="B61" s="137">
        <f>IF($BG61="","",INDEX(업무일지!$B$5:$B$1004,$BG61))</f>
        <v/>
      </c>
      <c r="C61" s="137">
        <f>IF($BG61="","",INDEX(업무일지!$C$5:$C$1004,$BG61))</f>
        <v/>
      </c>
      <c r="D61" s="129">
        <f>IF($BG61="","",INDEX(업무일지!$AF$5:$AF$1004,$BG61))</f>
        <v/>
      </c>
      <c r="E61" s="136">
        <f>IF($BG61="","",INDEX(업무일지!$D$5:$D$1004,$BG61))</f>
        <v/>
      </c>
      <c r="F61" s="131">
        <f>IF($BG61="","",INDEX(업무일지!$E$5:$E$1004,$BG61))</f>
        <v/>
      </c>
      <c r="G61" s="131">
        <f>IF($BG61="","",INDEX(업무일지!$AA$5:$AA$1004,$BG61))</f>
        <v/>
      </c>
      <c r="H61" s="131">
        <f>IF($BG61="","",INDEX(업무일지!$AC$5:$AC$1004,$BG61))</f>
        <v/>
      </c>
      <c r="I61" s="129">
        <f>IF($BG61="","",INDEX(업무일지!$AD$5:$AD$1004,$BG61))</f>
        <v/>
      </c>
      <c r="J61" s="25">
        <f>IF($BG61="","",INDEX(업무일지!$AE$5:$AE$1004,$BG61))</f>
        <v/>
      </c>
      <c r="K61" s="136">
        <f>IF($BG61="","",INDEX(업무일지!$AG$5:$AG$1004,$BG61))</f>
        <v/>
      </c>
      <c r="L61" s="131">
        <f>IF($BG61="","",INDEX(업무일지!$AH$5:$AH$1004,$BG61))</f>
        <v/>
      </c>
      <c r="BF61">
        <f>IF(AND(업무일지!$F65=$B$4,업무일지!$B65&lt;&gt;""),업무일지!$B65*10000+61,"")</f>
        <v/>
      </c>
      <c r="BG61">
        <f>IFERROR(MATCH(SMALL($BF$1:$BF$1000,51),$BF$1:$BF$1000,0),"")</f>
        <v/>
      </c>
      <c r="BH61">
        <f>IF(AND(일일실시사항!$G65=$B$4,일일실시사항!$B65&lt;&gt;""),일일실시사항!$B65*10000+61,"")</f>
        <v/>
      </c>
    </row>
    <row r="62">
      <c r="A62" s="118">
        <f>IF($BG62="","",52)</f>
        <v/>
      </c>
      <c r="B62" s="137">
        <f>IF($BG62="","",INDEX(업무일지!$B$5:$B$1004,$BG62))</f>
        <v/>
      </c>
      <c r="C62" s="137">
        <f>IF($BG62="","",INDEX(업무일지!$C$5:$C$1004,$BG62))</f>
        <v/>
      </c>
      <c r="D62" s="129">
        <f>IF($BG62="","",INDEX(업무일지!$AF$5:$AF$1004,$BG62))</f>
        <v/>
      </c>
      <c r="E62" s="136">
        <f>IF($BG62="","",INDEX(업무일지!$D$5:$D$1004,$BG62))</f>
        <v/>
      </c>
      <c r="F62" s="131">
        <f>IF($BG62="","",INDEX(업무일지!$E$5:$E$1004,$BG62))</f>
        <v/>
      </c>
      <c r="G62" s="131">
        <f>IF($BG62="","",INDEX(업무일지!$AA$5:$AA$1004,$BG62))</f>
        <v/>
      </c>
      <c r="H62" s="131">
        <f>IF($BG62="","",INDEX(업무일지!$AC$5:$AC$1004,$BG62))</f>
        <v/>
      </c>
      <c r="I62" s="129">
        <f>IF($BG62="","",INDEX(업무일지!$AD$5:$AD$1004,$BG62))</f>
        <v/>
      </c>
      <c r="J62" s="25">
        <f>IF($BG62="","",INDEX(업무일지!$AE$5:$AE$1004,$BG62))</f>
        <v/>
      </c>
      <c r="K62" s="136">
        <f>IF($BG62="","",INDEX(업무일지!$AG$5:$AG$1004,$BG62))</f>
        <v/>
      </c>
      <c r="L62" s="131">
        <f>IF($BG62="","",INDEX(업무일지!$AH$5:$AH$1004,$BG62))</f>
        <v/>
      </c>
      <c r="BF62">
        <f>IF(AND(업무일지!$F66=$B$4,업무일지!$B66&lt;&gt;""),업무일지!$B66*10000+62,"")</f>
        <v/>
      </c>
      <c r="BG62">
        <f>IFERROR(MATCH(SMALL($BF$1:$BF$1000,52),$BF$1:$BF$1000,0),"")</f>
        <v/>
      </c>
      <c r="BH62">
        <f>IF(AND(일일실시사항!$G66=$B$4,일일실시사항!$B66&lt;&gt;""),일일실시사항!$B66*10000+62,"")</f>
        <v/>
      </c>
    </row>
    <row r="63">
      <c r="A63" s="118">
        <f>IF($BG63="","",53)</f>
        <v/>
      </c>
      <c r="B63" s="137">
        <f>IF($BG63="","",INDEX(업무일지!$B$5:$B$1004,$BG63))</f>
        <v/>
      </c>
      <c r="C63" s="137">
        <f>IF($BG63="","",INDEX(업무일지!$C$5:$C$1004,$BG63))</f>
        <v/>
      </c>
      <c r="D63" s="129">
        <f>IF($BG63="","",INDEX(업무일지!$AF$5:$AF$1004,$BG63))</f>
        <v/>
      </c>
      <c r="E63" s="136">
        <f>IF($BG63="","",INDEX(업무일지!$D$5:$D$1004,$BG63))</f>
        <v/>
      </c>
      <c r="F63" s="131">
        <f>IF($BG63="","",INDEX(업무일지!$E$5:$E$1004,$BG63))</f>
        <v/>
      </c>
      <c r="G63" s="131">
        <f>IF($BG63="","",INDEX(업무일지!$AA$5:$AA$1004,$BG63))</f>
        <v/>
      </c>
      <c r="H63" s="131">
        <f>IF($BG63="","",INDEX(업무일지!$AC$5:$AC$1004,$BG63))</f>
        <v/>
      </c>
      <c r="I63" s="129">
        <f>IF($BG63="","",INDEX(업무일지!$AD$5:$AD$1004,$BG63))</f>
        <v/>
      </c>
      <c r="J63" s="25">
        <f>IF($BG63="","",INDEX(업무일지!$AE$5:$AE$1004,$BG63))</f>
        <v/>
      </c>
      <c r="K63" s="136">
        <f>IF($BG63="","",INDEX(업무일지!$AG$5:$AG$1004,$BG63))</f>
        <v/>
      </c>
      <c r="L63" s="131">
        <f>IF($BG63="","",INDEX(업무일지!$AH$5:$AH$1004,$BG63))</f>
        <v/>
      </c>
      <c r="BF63">
        <f>IF(AND(업무일지!$F67=$B$4,업무일지!$B67&lt;&gt;""),업무일지!$B67*10000+63,"")</f>
        <v/>
      </c>
      <c r="BG63">
        <f>IFERROR(MATCH(SMALL($BF$1:$BF$1000,53),$BF$1:$BF$1000,0),"")</f>
        <v/>
      </c>
      <c r="BH63">
        <f>IF(AND(일일실시사항!$G67=$B$4,일일실시사항!$B67&lt;&gt;""),일일실시사항!$B67*10000+63,"")</f>
        <v/>
      </c>
    </row>
    <row r="64">
      <c r="A64" s="118">
        <f>IF($BG64="","",54)</f>
        <v/>
      </c>
      <c r="B64" s="137">
        <f>IF($BG64="","",INDEX(업무일지!$B$5:$B$1004,$BG64))</f>
        <v/>
      </c>
      <c r="C64" s="137">
        <f>IF($BG64="","",INDEX(업무일지!$C$5:$C$1004,$BG64))</f>
        <v/>
      </c>
      <c r="D64" s="129">
        <f>IF($BG64="","",INDEX(업무일지!$AF$5:$AF$1004,$BG64))</f>
        <v/>
      </c>
      <c r="E64" s="136">
        <f>IF($BG64="","",INDEX(업무일지!$D$5:$D$1004,$BG64))</f>
        <v/>
      </c>
      <c r="F64" s="131">
        <f>IF($BG64="","",INDEX(업무일지!$E$5:$E$1004,$BG64))</f>
        <v/>
      </c>
      <c r="G64" s="131">
        <f>IF($BG64="","",INDEX(업무일지!$AA$5:$AA$1004,$BG64))</f>
        <v/>
      </c>
      <c r="H64" s="131">
        <f>IF($BG64="","",INDEX(업무일지!$AC$5:$AC$1004,$BG64))</f>
        <v/>
      </c>
      <c r="I64" s="129">
        <f>IF($BG64="","",INDEX(업무일지!$AD$5:$AD$1004,$BG64))</f>
        <v/>
      </c>
      <c r="J64" s="25">
        <f>IF($BG64="","",INDEX(업무일지!$AE$5:$AE$1004,$BG64))</f>
        <v/>
      </c>
      <c r="K64" s="136">
        <f>IF($BG64="","",INDEX(업무일지!$AG$5:$AG$1004,$BG64))</f>
        <v/>
      </c>
      <c r="L64" s="131">
        <f>IF($BG64="","",INDEX(업무일지!$AH$5:$AH$1004,$BG64))</f>
        <v/>
      </c>
      <c r="BF64">
        <f>IF(AND(업무일지!$F68=$B$4,업무일지!$B68&lt;&gt;""),업무일지!$B68*10000+64,"")</f>
        <v/>
      </c>
      <c r="BG64">
        <f>IFERROR(MATCH(SMALL($BF$1:$BF$1000,54),$BF$1:$BF$1000,0),"")</f>
        <v/>
      </c>
      <c r="BH64">
        <f>IF(AND(일일실시사항!$G68=$B$4,일일실시사항!$B68&lt;&gt;""),일일실시사항!$B68*10000+64,"")</f>
        <v/>
      </c>
    </row>
    <row r="65">
      <c r="A65" s="118">
        <f>IF($BG65="","",55)</f>
        <v/>
      </c>
      <c r="B65" s="137">
        <f>IF($BG65="","",INDEX(업무일지!$B$5:$B$1004,$BG65))</f>
        <v/>
      </c>
      <c r="C65" s="137">
        <f>IF($BG65="","",INDEX(업무일지!$C$5:$C$1004,$BG65))</f>
        <v/>
      </c>
      <c r="D65" s="129">
        <f>IF($BG65="","",INDEX(업무일지!$AF$5:$AF$1004,$BG65))</f>
        <v/>
      </c>
      <c r="E65" s="136">
        <f>IF($BG65="","",INDEX(업무일지!$D$5:$D$1004,$BG65))</f>
        <v/>
      </c>
      <c r="F65" s="131">
        <f>IF($BG65="","",INDEX(업무일지!$E$5:$E$1004,$BG65))</f>
        <v/>
      </c>
      <c r="G65" s="131">
        <f>IF($BG65="","",INDEX(업무일지!$AA$5:$AA$1004,$BG65))</f>
        <v/>
      </c>
      <c r="H65" s="131">
        <f>IF($BG65="","",INDEX(업무일지!$AC$5:$AC$1004,$BG65))</f>
        <v/>
      </c>
      <c r="I65" s="129">
        <f>IF($BG65="","",INDEX(업무일지!$AD$5:$AD$1004,$BG65))</f>
        <v/>
      </c>
      <c r="J65" s="25">
        <f>IF($BG65="","",INDEX(업무일지!$AE$5:$AE$1004,$BG65))</f>
        <v/>
      </c>
      <c r="K65" s="136">
        <f>IF($BG65="","",INDEX(업무일지!$AG$5:$AG$1004,$BG65))</f>
        <v/>
      </c>
      <c r="L65" s="131">
        <f>IF($BG65="","",INDEX(업무일지!$AH$5:$AH$1004,$BG65))</f>
        <v/>
      </c>
      <c r="BF65">
        <f>IF(AND(업무일지!$F69=$B$4,업무일지!$B69&lt;&gt;""),업무일지!$B69*10000+65,"")</f>
        <v/>
      </c>
      <c r="BG65">
        <f>IFERROR(MATCH(SMALL($BF$1:$BF$1000,55),$BF$1:$BF$1000,0),"")</f>
        <v/>
      </c>
      <c r="BH65">
        <f>IF(AND(일일실시사항!$G69=$B$4,일일실시사항!$B69&lt;&gt;""),일일실시사항!$B69*10000+65,"")</f>
        <v/>
      </c>
    </row>
    <row r="66">
      <c r="A66" s="118">
        <f>IF($BG66="","",56)</f>
        <v/>
      </c>
      <c r="B66" s="137">
        <f>IF($BG66="","",INDEX(업무일지!$B$5:$B$1004,$BG66))</f>
        <v/>
      </c>
      <c r="C66" s="137">
        <f>IF($BG66="","",INDEX(업무일지!$C$5:$C$1004,$BG66))</f>
        <v/>
      </c>
      <c r="D66" s="129">
        <f>IF($BG66="","",INDEX(업무일지!$AF$5:$AF$1004,$BG66))</f>
        <v/>
      </c>
      <c r="E66" s="136">
        <f>IF($BG66="","",INDEX(업무일지!$D$5:$D$1004,$BG66))</f>
        <v/>
      </c>
      <c r="F66" s="131">
        <f>IF($BG66="","",INDEX(업무일지!$E$5:$E$1004,$BG66))</f>
        <v/>
      </c>
      <c r="G66" s="131">
        <f>IF($BG66="","",INDEX(업무일지!$AA$5:$AA$1004,$BG66))</f>
        <v/>
      </c>
      <c r="H66" s="131">
        <f>IF($BG66="","",INDEX(업무일지!$AC$5:$AC$1004,$BG66))</f>
        <v/>
      </c>
      <c r="I66" s="129">
        <f>IF($BG66="","",INDEX(업무일지!$AD$5:$AD$1004,$BG66))</f>
        <v/>
      </c>
      <c r="J66" s="25">
        <f>IF($BG66="","",INDEX(업무일지!$AE$5:$AE$1004,$BG66))</f>
        <v/>
      </c>
      <c r="K66" s="136">
        <f>IF($BG66="","",INDEX(업무일지!$AG$5:$AG$1004,$BG66))</f>
        <v/>
      </c>
      <c r="L66" s="131">
        <f>IF($BG66="","",INDEX(업무일지!$AH$5:$AH$1004,$BG66))</f>
        <v/>
      </c>
      <c r="BF66">
        <f>IF(AND(업무일지!$F70=$B$4,업무일지!$B70&lt;&gt;""),업무일지!$B70*10000+66,"")</f>
        <v/>
      </c>
      <c r="BG66">
        <f>IFERROR(MATCH(SMALL($BF$1:$BF$1000,56),$BF$1:$BF$1000,0),"")</f>
        <v/>
      </c>
      <c r="BH66">
        <f>IF(AND(일일실시사항!$G70=$B$4,일일실시사항!$B70&lt;&gt;""),일일실시사항!$B70*10000+66,"")</f>
        <v/>
      </c>
    </row>
    <row r="67">
      <c r="A67" s="118">
        <f>IF($BG67="","",57)</f>
        <v/>
      </c>
      <c r="B67" s="137">
        <f>IF($BG67="","",INDEX(업무일지!$B$5:$B$1004,$BG67))</f>
        <v/>
      </c>
      <c r="C67" s="137">
        <f>IF($BG67="","",INDEX(업무일지!$C$5:$C$1004,$BG67))</f>
        <v/>
      </c>
      <c r="D67" s="129">
        <f>IF($BG67="","",INDEX(업무일지!$AF$5:$AF$1004,$BG67))</f>
        <v/>
      </c>
      <c r="E67" s="136">
        <f>IF($BG67="","",INDEX(업무일지!$D$5:$D$1004,$BG67))</f>
        <v/>
      </c>
      <c r="F67" s="131">
        <f>IF($BG67="","",INDEX(업무일지!$E$5:$E$1004,$BG67))</f>
        <v/>
      </c>
      <c r="G67" s="131">
        <f>IF($BG67="","",INDEX(업무일지!$AA$5:$AA$1004,$BG67))</f>
        <v/>
      </c>
      <c r="H67" s="131">
        <f>IF($BG67="","",INDEX(업무일지!$AC$5:$AC$1004,$BG67))</f>
        <v/>
      </c>
      <c r="I67" s="129">
        <f>IF($BG67="","",INDEX(업무일지!$AD$5:$AD$1004,$BG67))</f>
        <v/>
      </c>
      <c r="J67" s="25">
        <f>IF($BG67="","",INDEX(업무일지!$AE$5:$AE$1004,$BG67))</f>
        <v/>
      </c>
      <c r="K67" s="136">
        <f>IF($BG67="","",INDEX(업무일지!$AG$5:$AG$1004,$BG67))</f>
        <v/>
      </c>
      <c r="L67" s="131">
        <f>IF($BG67="","",INDEX(업무일지!$AH$5:$AH$1004,$BG67))</f>
        <v/>
      </c>
      <c r="BF67">
        <f>IF(AND(업무일지!$F71=$B$4,업무일지!$B71&lt;&gt;""),업무일지!$B71*10000+67,"")</f>
        <v/>
      </c>
      <c r="BG67">
        <f>IFERROR(MATCH(SMALL($BF$1:$BF$1000,57),$BF$1:$BF$1000,0),"")</f>
        <v/>
      </c>
      <c r="BH67">
        <f>IF(AND(일일실시사항!$G71=$B$4,일일실시사항!$B71&lt;&gt;""),일일실시사항!$B71*10000+67,"")</f>
        <v/>
      </c>
    </row>
    <row r="68">
      <c r="A68" s="118">
        <f>IF($BG68="","",58)</f>
        <v/>
      </c>
      <c r="B68" s="137">
        <f>IF($BG68="","",INDEX(업무일지!$B$5:$B$1004,$BG68))</f>
        <v/>
      </c>
      <c r="C68" s="137">
        <f>IF($BG68="","",INDEX(업무일지!$C$5:$C$1004,$BG68))</f>
        <v/>
      </c>
      <c r="D68" s="129">
        <f>IF($BG68="","",INDEX(업무일지!$AF$5:$AF$1004,$BG68))</f>
        <v/>
      </c>
      <c r="E68" s="136">
        <f>IF($BG68="","",INDEX(업무일지!$D$5:$D$1004,$BG68))</f>
        <v/>
      </c>
      <c r="F68" s="131">
        <f>IF($BG68="","",INDEX(업무일지!$E$5:$E$1004,$BG68))</f>
        <v/>
      </c>
      <c r="G68" s="131">
        <f>IF($BG68="","",INDEX(업무일지!$AA$5:$AA$1004,$BG68))</f>
        <v/>
      </c>
      <c r="H68" s="131">
        <f>IF($BG68="","",INDEX(업무일지!$AC$5:$AC$1004,$BG68))</f>
        <v/>
      </c>
      <c r="I68" s="129">
        <f>IF($BG68="","",INDEX(업무일지!$AD$5:$AD$1004,$BG68))</f>
        <v/>
      </c>
      <c r="J68" s="25">
        <f>IF($BG68="","",INDEX(업무일지!$AE$5:$AE$1004,$BG68))</f>
        <v/>
      </c>
      <c r="K68" s="136">
        <f>IF($BG68="","",INDEX(업무일지!$AG$5:$AG$1004,$BG68))</f>
        <v/>
      </c>
      <c r="L68" s="131">
        <f>IF($BG68="","",INDEX(업무일지!$AH$5:$AH$1004,$BG68))</f>
        <v/>
      </c>
      <c r="BF68">
        <f>IF(AND(업무일지!$F72=$B$4,업무일지!$B72&lt;&gt;""),업무일지!$B72*10000+68,"")</f>
        <v/>
      </c>
      <c r="BG68">
        <f>IFERROR(MATCH(SMALL($BF$1:$BF$1000,58),$BF$1:$BF$1000,0),"")</f>
        <v/>
      </c>
      <c r="BH68">
        <f>IF(AND(일일실시사항!$G72=$B$4,일일실시사항!$B72&lt;&gt;""),일일실시사항!$B72*10000+68,"")</f>
        <v/>
      </c>
    </row>
    <row r="69">
      <c r="A69" s="118">
        <f>IF($BG69="","",59)</f>
        <v/>
      </c>
      <c r="B69" s="137">
        <f>IF($BG69="","",INDEX(업무일지!$B$5:$B$1004,$BG69))</f>
        <v/>
      </c>
      <c r="C69" s="137">
        <f>IF($BG69="","",INDEX(업무일지!$C$5:$C$1004,$BG69))</f>
        <v/>
      </c>
      <c r="D69" s="129">
        <f>IF($BG69="","",INDEX(업무일지!$AF$5:$AF$1004,$BG69))</f>
        <v/>
      </c>
      <c r="E69" s="136">
        <f>IF($BG69="","",INDEX(업무일지!$D$5:$D$1004,$BG69))</f>
        <v/>
      </c>
      <c r="F69" s="131">
        <f>IF($BG69="","",INDEX(업무일지!$E$5:$E$1004,$BG69))</f>
        <v/>
      </c>
      <c r="G69" s="131">
        <f>IF($BG69="","",INDEX(업무일지!$AA$5:$AA$1004,$BG69))</f>
        <v/>
      </c>
      <c r="H69" s="131">
        <f>IF($BG69="","",INDEX(업무일지!$AC$5:$AC$1004,$BG69))</f>
        <v/>
      </c>
      <c r="I69" s="129">
        <f>IF($BG69="","",INDEX(업무일지!$AD$5:$AD$1004,$BG69))</f>
        <v/>
      </c>
      <c r="J69" s="25">
        <f>IF($BG69="","",INDEX(업무일지!$AE$5:$AE$1004,$BG69))</f>
        <v/>
      </c>
      <c r="K69" s="136">
        <f>IF($BG69="","",INDEX(업무일지!$AG$5:$AG$1004,$BG69))</f>
        <v/>
      </c>
      <c r="L69" s="131">
        <f>IF($BG69="","",INDEX(업무일지!$AH$5:$AH$1004,$BG69))</f>
        <v/>
      </c>
      <c r="BF69">
        <f>IF(AND(업무일지!$F73=$B$4,업무일지!$B73&lt;&gt;""),업무일지!$B73*10000+69,"")</f>
        <v/>
      </c>
      <c r="BG69">
        <f>IFERROR(MATCH(SMALL($BF$1:$BF$1000,59),$BF$1:$BF$1000,0),"")</f>
        <v/>
      </c>
      <c r="BH69">
        <f>IF(AND(일일실시사항!$G73=$B$4,일일실시사항!$B73&lt;&gt;""),일일실시사항!$B73*10000+69,"")</f>
        <v/>
      </c>
    </row>
    <row r="70">
      <c r="A70" s="118">
        <f>IF($BG70="","",60)</f>
        <v/>
      </c>
      <c r="B70" s="137">
        <f>IF($BG70="","",INDEX(업무일지!$B$5:$B$1004,$BG70))</f>
        <v/>
      </c>
      <c r="C70" s="137">
        <f>IF($BG70="","",INDEX(업무일지!$C$5:$C$1004,$BG70))</f>
        <v/>
      </c>
      <c r="D70" s="129">
        <f>IF($BG70="","",INDEX(업무일지!$AF$5:$AF$1004,$BG70))</f>
        <v/>
      </c>
      <c r="E70" s="136">
        <f>IF($BG70="","",INDEX(업무일지!$D$5:$D$1004,$BG70))</f>
        <v/>
      </c>
      <c r="F70" s="131">
        <f>IF($BG70="","",INDEX(업무일지!$E$5:$E$1004,$BG70))</f>
        <v/>
      </c>
      <c r="G70" s="131">
        <f>IF($BG70="","",INDEX(업무일지!$AA$5:$AA$1004,$BG70))</f>
        <v/>
      </c>
      <c r="H70" s="131">
        <f>IF($BG70="","",INDEX(업무일지!$AC$5:$AC$1004,$BG70))</f>
        <v/>
      </c>
      <c r="I70" s="129">
        <f>IF($BG70="","",INDEX(업무일지!$AD$5:$AD$1004,$BG70))</f>
        <v/>
      </c>
      <c r="J70" s="25">
        <f>IF($BG70="","",INDEX(업무일지!$AE$5:$AE$1004,$BG70))</f>
        <v/>
      </c>
      <c r="K70" s="136">
        <f>IF($BG70="","",INDEX(업무일지!$AG$5:$AG$1004,$BG70))</f>
        <v/>
      </c>
      <c r="L70" s="131">
        <f>IF($BG70="","",INDEX(업무일지!$AH$5:$AH$1004,$BG70))</f>
        <v/>
      </c>
      <c r="BF70">
        <f>IF(AND(업무일지!$F74=$B$4,업무일지!$B74&lt;&gt;""),업무일지!$B74*10000+70,"")</f>
        <v/>
      </c>
      <c r="BG70">
        <f>IFERROR(MATCH(SMALL($BF$1:$BF$1000,60),$BF$1:$BF$1000,0),"")</f>
        <v/>
      </c>
      <c r="BH70">
        <f>IF(AND(일일실시사항!$G74=$B$4,일일실시사항!$B74&lt;&gt;""),일일실시사항!$B74*10000+70,"")</f>
        <v/>
      </c>
    </row>
    <row r="71">
      <c r="BF71">
        <f>IF(AND(업무일지!$F75=$B$4,업무일지!$B75&lt;&gt;""),업무일지!$B75*10000+71,"")</f>
        <v/>
      </c>
      <c r="BH71">
        <f>IF(AND(일일실시사항!$G75=$B$4,일일실시사항!$B75&lt;&gt;""),일일실시사항!$B75*10000+71,"")</f>
        <v/>
      </c>
    </row>
    <row r="72" ht="20" customHeight="1">
      <c r="A72" s="21" t="inlineStr">
        <is>
          <t>2.  관련 일일 실시사항 (날짜순)</t>
        </is>
      </c>
      <c r="B72" s="22" t="n"/>
      <c r="C72" s="22" t="n"/>
      <c r="D72" s="22" t="n"/>
      <c r="E72" s="22" t="n"/>
      <c r="F72" s="22" t="n"/>
      <c r="G72" s="22" t="n"/>
      <c r="BF72">
        <f>IF(AND(업무일지!$F76=$B$4,업무일지!$B76&lt;&gt;""),업무일지!$B76*10000+72,"")</f>
        <v/>
      </c>
      <c r="BH72">
        <f>IF(AND(일일실시사항!$G76=$B$4,일일실시사항!$B76&lt;&gt;""),일일실시사항!$B76*10000+72,"")</f>
        <v/>
      </c>
    </row>
    <row r="73" ht="32" customHeight="1">
      <c r="A73" s="23" t="inlineStr">
        <is>
          <t>순번</t>
        </is>
      </c>
      <c r="B73" s="23" t="inlineStr">
        <is>
          <t>일자</t>
        </is>
      </c>
      <c r="C73" s="23" t="inlineStr">
        <is>
          <t>담당자</t>
        </is>
      </c>
      <c r="D73" s="23" t="inlineStr">
        <is>
          <t>업무구분</t>
        </is>
      </c>
      <c r="E73" s="23" t="inlineStr">
        <is>
          <t>실시 내용</t>
        </is>
      </c>
      <c r="F73" s="23" t="inlineStr">
        <is>
          <t>조치 · 결과</t>
        </is>
      </c>
      <c r="G73" s="23" t="inlineStr">
        <is>
          <t>진행상태</t>
        </is>
      </c>
      <c r="BF73">
        <f>IF(AND(업무일지!$F77=$B$4,업무일지!$B77&lt;&gt;""),업무일지!$B77*10000+73,"")</f>
        <v/>
      </c>
      <c r="BH73">
        <f>IF(AND(일일실시사항!$G77=$B$4,일일실시사항!$B77&lt;&gt;""),일일실시사항!$B77*10000+73,"")</f>
        <v/>
      </c>
    </row>
    <row r="74">
      <c r="A74" s="118">
        <f>IF($BI74="","",1)</f>
        <v/>
      </c>
      <c r="B74" s="137">
        <f>IF($BI74="","",INDEX(일일실시사항!$B$5:$B$1004,$BI74))</f>
        <v/>
      </c>
      <c r="C74" s="136">
        <f>IF($BI74="","",INDEX(일일실시사항!$D$5:$D$1004,$BI74))</f>
        <v/>
      </c>
      <c r="D74" s="131">
        <f>IF($BI74="","",INDEX(일일실시사항!$F$5:$F$1004,$BI74))</f>
        <v/>
      </c>
      <c r="E74" s="131">
        <f>IF($BI74="","",INDEX(일일실시사항!$H$5:$H$1004,$BI74))</f>
        <v/>
      </c>
      <c r="F74" s="131">
        <f>IF($BI74="","",INDEX(일일실시사항!$I$5:$I$1004,$BI74))</f>
        <v/>
      </c>
      <c r="G74" s="136">
        <f>IF($BI74="","",INDEX(일일실시사항!$J$5:$J$1004,$BI74))</f>
        <v/>
      </c>
      <c r="BF74">
        <f>IF(AND(업무일지!$F78=$B$4,업무일지!$B78&lt;&gt;""),업무일지!$B78*10000+74,"")</f>
        <v/>
      </c>
      <c r="BH74">
        <f>IF(AND(일일실시사항!$G78=$B$4,일일실시사항!$B78&lt;&gt;""),일일실시사항!$B78*10000+74,"")</f>
        <v/>
      </c>
      <c r="BI74">
        <f>IFERROR(MATCH(SMALL($BH$1:$BH$1000,1),$BH$1:$BH$1000,0),"")</f>
        <v/>
      </c>
    </row>
    <row r="75">
      <c r="A75" s="118">
        <f>IF($BI75="","",2)</f>
        <v/>
      </c>
      <c r="B75" s="137">
        <f>IF($BI75="","",INDEX(일일실시사항!$B$5:$B$1004,$BI75))</f>
        <v/>
      </c>
      <c r="C75" s="136">
        <f>IF($BI75="","",INDEX(일일실시사항!$D$5:$D$1004,$BI75))</f>
        <v/>
      </c>
      <c r="D75" s="131">
        <f>IF($BI75="","",INDEX(일일실시사항!$F$5:$F$1004,$BI75))</f>
        <v/>
      </c>
      <c r="E75" s="131">
        <f>IF($BI75="","",INDEX(일일실시사항!$H$5:$H$1004,$BI75))</f>
        <v/>
      </c>
      <c r="F75" s="131">
        <f>IF($BI75="","",INDEX(일일실시사항!$I$5:$I$1004,$BI75))</f>
        <v/>
      </c>
      <c r="G75" s="136">
        <f>IF($BI75="","",INDEX(일일실시사항!$J$5:$J$1004,$BI75))</f>
        <v/>
      </c>
      <c r="BF75">
        <f>IF(AND(업무일지!$F79=$B$4,업무일지!$B79&lt;&gt;""),업무일지!$B79*10000+75,"")</f>
        <v/>
      </c>
      <c r="BH75">
        <f>IF(AND(일일실시사항!$G79=$B$4,일일실시사항!$B79&lt;&gt;""),일일실시사항!$B79*10000+75,"")</f>
        <v/>
      </c>
      <c r="BI75">
        <f>IFERROR(MATCH(SMALL($BH$1:$BH$1000,2),$BH$1:$BH$1000,0),"")</f>
        <v/>
      </c>
    </row>
    <row r="76">
      <c r="A76" s="118">
        <f>IF($BI76="","",3)</f>
        <v/>
      </c>
      <c r="B76" s="137">
        <f>IF($BI76="","",INDEX(일일실시사항!$B$5:$B$1004,$BI76))</f>
        <v/>
      </c>
      <c r="C76" s="136">
        <f>IF($BI76="","",INDEX(일일실시사항!$D$5:$D$1004,$BI76))</f>
        <v/>
      </c>
      <c r="D76" s="131">
        <f>IF($BI76="","",INDEX(일일실시사항!$F$5:$F$1004,$BI76))</f>
        <v/>
      </c>
      <c r="E76" s="131">
        <f>IF($BI76="","",INDEX(일일실시사항!$H$5:$H$1004,$BI76))</f>
        <v/>
      </c>
      <c r="F76" s="131">
        <f>IF($BI76="","",INDEX(일일실시사항!$I$5:$I$1004,$BI76))</f>
        <v/>
      </c>
      <c r="G76" s="136">
        <f>IF($BI76="","",INDEX(일일실시사항!$J$5:$J$1004,$BI76))</f>
        <v/>
      </c>
      <c r="BF76">
        <f>IF(AND(업무일지!$F80=$B$4,업무일지!$B80&lt;&gt;""),업무일지!$B80*10000+76,"")</f>
        <v/>
      </c>
      <c r="BH76">
        <f>IF(AND(일일실시사항!$G80=$B$4,일일실시사항!$B80&lt;&gt;""),일일실시사항!$B80*10000+76,"")</f>
        <v/>
      </c>
      <c r="BI76">
        <f>IFERROR(MATCH(SMALL($BH$1:$BH$1000,3),$BH$1:$BH$1000,0),"")</f>
        <v/>
      </c>
    </row>
    <row r="77">
      <c r="A77" s="118">
        <f>IF($BI77="","",4)</f>
        <v/>
      </c>
      <c r="B77" s="137">
        <f>IF($BI77="","",INDEX(일일실시사항!$B$5:$B$1004,$BI77))</f>
        <v/>
      </c>
      <c r="C77" s="136">
        <f>IF($BI77="","",INDEX(일일실시사항!$D$5:$D$1004,$BI77))</f>
        <v/>
      </c>
      <c r="D77" s="131">
        <f>IF($BI77="","",INDEX(일일실시사항!$F$5:$F$1004,$BI77))</f>
        <v/>
      </c>
      <c r="E77" s="131">
        <f>IF($BI77="","",INDEX(일일실시사항!$H$5:$H$1004,$BI77))</f>
        <v/>
      </c>
      <c r="F77" s="131">
        <f>IF($BI77="","",INDEX(일일실시사항!$I$5:$I$1004,$BI77))</f>
        <v/>
      </c>
      <c r="G77" s="136">
        <f>IF($BI77="","",INDEX(일일실시사항!$J$5:$J$1004,$BI77))</f>
        <v/>
      </c>
      <c r="BF77">
        <f>IF(AND(업무일지!$F81=$B$4,업무일지!$B81&lt;&gt;""),업무일지!$B81*10000+77,"")</f>
        <v/>
      </c>
      <c r="BH77">
        <f>IF(AND(일일실시사항!$G81=$B$4,일일실시사항!$B81&lt;&gt;""),일일실시사항!$B81*10000+77,"")</f>
        <v/>
      </c>
      <c r="BI77">
        <f>IFERROR(MATCH(SMALL($BH$1:$BH$1000,4),$BH$1:$BH$1000,0),"")</f>
        <v/>
      </c>
    </row>
    <row r="78">
      <c r="A78" s="118">
        <f>IF($BI78="","",5)</f>
        <v/>
      </c>
      <c r="B78" s="137">
        <f>IF($BI78="","",INDEX(일일실시사항!$B$5:$B$1004,$BI78))</f>
        <v/>
      </c>
      <c r="C78" s="136">
        <f>IF($BI78="","",INDEX(일일실시사항!$D$5:$D$1004,$BI78))</f>
        <v/>
      </c>
      <c r="D78" s="131">
        <f>IF($BI78="","",INDEX(일일실시사항!$F$5:$F$1004,$BI78))</f>
        <v/>
      </c>
      <c r="E78" s="131">
        <f>IF($BI78="","",INDEX(일일실시사항!$H$5:$H$1004,$BI78))</f>
        <v/>
      </c>
      <c r="F78" s="131">
        <f>IF($BI78="","",INDEX(일일실시사항!$I$5:$I$1004,$BI78))</f>
        <v/>
      </c>
      <c r="G78" s="136">
        <f>IF($BI78="","",INDEX(일일실시사항!$J$5:$J$1004,$BI78))</f>
        <v/>
      </c>
      <c r="BF78">
        <f>IF(AND(업무일지!$F82=$B$4,업무일지!$B82&lt;&gt;""),업무일지!$B82*10000+78,"")</f>
        <v/>
      </c>
      <c r="BH78">
        <f>IF(AND(일일실시사항!$G82=$B$4,일일실시사항!$B82&lt;&gt;""),일일실시사항!$B82*10000+78,"")</f>
        <v/>
      </c>
      <c r="BI78">
        <f>IFERROR(MATCH(SMALL($BH$1:$BH$1000,5),$BH$1:$BH$1000,0),"")</f>
        <v/>
      </c>
    </row>
    <row r="79">
      <c r="A79" s="118">
        <f>IF($BI79="","",6)</f>
        <v/>
      </c>
      <c r="B79" s="137">
        <f>IF($BI79="","",INDEX(일일실시사항!$B$5:$B$1004,$BI79))</f>
        <v/>
      </c>
      <c r="C79" s="136">
        <f>IF($BI79="","",INDEX(일일실시사항!$D$5:$D$1004,$BI79))</f>
        <v/>
      </c>
      <c r="D79" s="131">
        <f>IF($BI79="","",INDEX(일일실시사항!$F$5:$F$1004,$BI79))</f>
        <v/>
      </c>
      <c r="E79" s="131">
        <f>IF($BI79="","",INDEX(일일실시사항!$H$5:$H$1004,$BI79))</f>
        <v/>
      </c>
      <c r="F79" s="131">
        <f>IF($BI79="","",INDEX(일일실시사항!$I$5:$I$1004,$BI79))</f>
        <v/>
      </c>
      <c r="G79" s="136">
        <f>IF($BI79="","",INDEX(일일실시사항!$J$5:$J$1004,$BI79))</f>
        <v/>
      </c>
      <c r="BF79">
        <f>IF(AND(업무일지!$F83=$B$4,업무일지!$B83&lt;&gt;""),업무일지!$B83*10000+79,"")</f>
        <v/>
      </c>
      <c r="BH79">
        <f>IF(AND(일일실시사항!$G83=$B$4,일일실시사항!$B83&lt;&gt;""),일일실시사항!$B83*10000+79,"")</f>
        <v/>
      </c>
      <c r="BI79">
        <f>IFERROR(MATCH(SMALL($BH$1:$BH$1000,6),$BH$1:$BH$1000,0),"")</f>
        <v/>
      </c>
    </row>
    <row r="80">
      <c r="A80" s="118">
        <f>IF($BI80="","",7)</f>
        <v/>
      </c>
      <c r="B80" s="137">
        <f>IF($BI80="","",INDEX(일일실시사항!$B$5:$B$1004,$BI80))</f>
        <v/>
      </c>
      <c r="C80" s="136">
        <f>IF($BI80="","",INDEX(일일실시사항!$D$5:$D$1004,$BI80))</f>
        <v/>
      </c>
      <c r="D80" s="131">
        <f>IF($BI80="","",INDEX(일일실시사항!$F$5:$F$1004,$BI80))</f>
        <v/>
      </c>
      <c r="E80" s="131">
        <f>IF($BI80="","",INDEX(일일실시사항!$H$5:$H$1004,$BI80))</f>
        <v/>
      </c>
      <c r="F80" s="131">
        <f>IF($BI80="","",INDEX(일일실시사항!$I$5:$I$1004,$BI80))</f>
        <v/>
      </c>
      <c r="G80" s="136">
        <f>IF($BI80="","",INDEX(일일실시사항!$J$5:$J$1004,$BI80))</f>
        <v/>
      </c>
      <c r="BF80">
        <f>IF(AND(업무일지!$F84=$B$4,업무일지!$B84&lt;&gt;""),업무일지!$B84*10000+80,"")</f>
        <v/>
      </c>
      <c r="BH80">
        <f>IF(AND(일일실시사항!$G84=$B$4,일일실시사항!$B84&lt;&gt;""),일일실시사항!$B84*10000+80,"")</f>
        <v/>
      </c>
      <c r="BI80">
        <f>IFERROR(MATCH(SMALL($BH$1:$BH$1000,7),$BH$1:$BH$1000,0),"")</f>
        <v/>
      </c>
    </row>
    <row r="81">
      <c r="A81" s="118">
        <f>IF($BI81="","",8)</f>
        <v/>
      </c>
      <c r="B81" s="137">
        <f>IF($BI81="","",INDEX(일일실시사항!$B$5:$B$1004,$BI81))</f>
        <v/>
      </c>
      <c r="C81" s="136">
        <f>IF($BI81="","",INDEX(일일실시사항!$D$5:$D$1004,$BI81))</f>
        <v/>
      </c>
      <c r="D81" s="131">
        <f>IF($BI81="","",INDEX(일일실시사항!$F$5:$F$1004,$BI81))</f>
        <v/>
      </c>
      <c r="E81" s="131">
        <f>IF($BI81="","",INDEX(일일실시사항!$H$5:$H$1004,$BI81))</f>
        <v/>
      </c>
      <c r="F81" s="131">
        <f>IF($BI81="","",INDEX(일일실시사항!$I$5:$I$1004,$BI81))</f>
        <v/>
      </c>
      <c r="G81" s="136">
        <f>IF($BI81="","",INDEX(일일실시사항!$J$5:$J$1004,$BI81))</f>
        <v/>
      </c>
      <c r="BF81">
        <f>IF(AND(업무일지!$F85=$B$4,업무일지!$B85&lt;&gt;""),업무일지!$B85*10000+81,"")</f>
        <v/>
      </c>
      <c r="BH81">
        <f>IF(AND(일일실시사항!$G85=$B$4,일일실시사항!$B85&lt;&gt;""),일일실시사항!$B85*10000+81,"")</f>
        <v/>
      </c>
      <c r="BI81">
        <f>IFERROR(MATCH(SMALL($BH$1:$BH$1000,8),$BH$1:$BH$1000,0),"")</f>
        <v/>
      </c>
    </row>
    <row r="82">
      <c r="A82" s="118">
        <f>IF($BI82="","",9)</f>
        <v/>
      </c>
      <c r="B82" s="137">
        <f>IF($BI82="","",INDEX(일일실시사항!$B$5:$B$1004,$BI82))</f>
        <v/>
      </c>
      <c r="C82" s="136">
        <f>IF($BI82="","",INDEX(일일실시사항!$D$5:$D$1004,$BI82))</f>
        <v/>
      </c>
      <c r="D82" s="131">
        <f>IF($BI82="","",INDEX(일일실시사항!$F$5:$F$1004,$BI82))</f>
        <v/>
      </c>
      <c r="E82" s="131">
        <f>IF($BI82="","",INDEX(일일실시사항!$H$5:$H$1004,$BI82))</f>
        <v/>
      </c>
      <c r="F82" s="131">
        <f>IF($BI82="","",INDEX(일일실시사항!$I$5:$I$1004,$BI82))</f>
        <v/>
      </c>
      <c r="G82" s="136">
        <f>IF($BI82="","",INDEX(일일실시사항!$J$5:$J$1004,$BI82))</f>
        <v/>
      </c>
      <c r="BF82">
        <f>IF(AND(업무일지!$F86=$B$4,업무일지!$B86&lt;&gt;""),업무일지!$B86*10000+82,"")</f>
        <v/>
      </c>
      <c r="BH82">
        <f>IF(AND(일일실시사항!$G86=$B$4,일일실시사항!$B86&lt;&gt;""),일일실시사항!$B86*10000+82,"")</f>
        <v/>
      </c>
      <c r="BI82">
        <f>IFERROR(MATCH(SMALL($BH$1:$BH$1000,9),$BH$1:$BH$1000,0),"")</f>
        <v/>
      </c>
    </row>
    <row r="83">
      <c r="A83" s="118">
        <f>IF($BI83="","",10)</f>
        <v/>
      </c>
      <c r="B83" s="137">
        <f>IF($BI83="","",INDEX(일일실시사항!$B$5:$B$1004,$BI83))</f>
        <v/>
      </c>
      <c r="C83" s="136">
        <f>IF($BI83="","",INDEX(일일실시사항!$D$5:$D$1004,$BI83))</f>
        <v/>
      </c>
      <c r="D83" s="131">
        <f>IF($BI83="","",INDEX(일일실시사항!$F$5:$F$1004,$BI83))</f>
        <v/>
      </c>
      <c r="E83" s="131">
        <f>IF($BI83="","",INDEX(일일실시사항!$H$5:$H$1004,$BI83))</f>
        <v/>
      </c>
      <c r="F83" s="131">
        <f>IF($BI83="","",INDEX(일일실시사항!$I$5:$I$1004,$BI83))</f>
        <v/>
      </c>
      <c r="G83" s="136">
        <f>IF($BI83="","",INDEX(일일실시사항!$J$5:$J$1004,$BI83))</f>
        <v/>
      </c>
      <c r="BF83">
        <f>IF(AND(업무일지!$F87=$B$4,업무일지!$B87&lt;&gt;""),업무일지!$B87*10000+83,"")</f>
        <v/>
      </c>
      <c r="BH83">
        <f>IF(AND(일일실시사항!$G87=$B$4,일일실시사항!$B87&lt;&gt;""),일일실시사항!$B87*10000+83,"")</f>
        <v/>
      </c>
      <c r="BI83">
        <f>IFERROR(MATCH(SMALL($BH$1:$BH$1000,10),$BH$1:$BH$1000,0),"")</f>
        <v/>
      </c>
    </row>
    <row r="84">
      <c r="A84" s="118">
        <f>IF($BI84="","",11)</f>
        <v/>
      </c>
      <c r="B84" s="137">
        <f>IF($BI84="","",INDEX(일일실시사항!$B$5:$B$1004,$BI84))</f>
        <v/>
      </c>
      <c r="C84" s="136">
        <f>IF($BI84="","",INDEX(일일실시사항!$D$5:$D$1004,$BI84))</f>
        <v/>
      </c>
      <c r="D84" s="131">
        <f>IF($BI84="","",INDEX(일일실시사항!$F$5:$F$1004,$BI84))</f>
        <v/>
      </c>
      <c r="E84" s="131">
        <f>IF($BI84="","",INDEX(일일실시사항!$H$5:$H$1004,$BI84))</f>
        <v/>
      </c>
      <c r="F84" s="131">
        <f>IF($BI84="","",INDEX(일일실시사항!$I$5:$I$1004,$BI84))</f>
        <v/>
      </c>
      <c r="G84" s="136">
        <f>IF($BI84="","",INDEX(일일실시사항!$J$5:$J$1004,$BI84))</f>
        <v/>
      </c>
      <c r="BF84">
        <f>IF(AND(업무일지!$F88=$B$4,업무일지!$B88&lt;&gt;""),업무일지!$B88*10000+84,"")</f>
        <v/>
      </c>
      <c r="BH84">
        <f>IF(AND(일일실시사항!$G88=$B$4,일일실시사항!$B88&lt;&gt;""),일일실시사항!$B88*10000+84,"")</f>
        <v/>
      </c>
      <c r="BI84">
        <f>IFERROR(MATCH(SMALL($BH$1:$BH$1000,11),$BH$1:$BH$1000,0),"")</f>
        <v/>
      </c>
    </row>
    <row r="85">
      <c r="A85" s="118">
        <f>IF($BI85="","",12)</f>
        <v/>
      </c>
      <c r="B85" s="137">
        <f>IF($BI85="","",INDEX(일일실시사항!$B$5:$B$1004,$BI85))</f>
        <v/>
      </c>
      <c r="C85" s="136">
        <f>IF($BI85="","",INDEX(일일실시사항!$D$5:$D$1004,$BI85))</f>
        <v/>
      </c>
      <c r="D85" s="131">
        <f>IF($BI85="","",INDEX(일일실시사항!$F$5:$F$1004,$BI85))</f>
        <v/>
      </c>
      <c r="E85" s="131">
        <f>IF($BI85="","",INDEX(일일실시사항!$H$5:$H$1004,$BI85))</f>
        <v/>
      </c>
      <c r="F85" s="131">
        <f>IF($BI85="","",INDEX(일일실시사항!$I$5:$I$1004,$BI85))</f>
        <v/>
      </c>
      <c r="G85" s="136">
        <f>IF($BI85="","",INDEX(일일실시사항!$J$5:$J$1004,$BI85))</f>
        <v/>
      </c>
      <c r="BF85">
        <f>IF(AND(업무일지!$F89=$B$4,업무일지!$B89&lt;&gt;""),업무일지!$B89*10000+85,"")</f>
        <v/>
      </c>
      <c r="BH85">
        <f>IF(AND(일일실시사항!$G89=$B$4,일일실시사항!$B89&lt;&gt;""),일일실시사항!$B89*10000+85,"")</f>
        <v/>
      </c>
      <c r="BI85">
        <f>IFERROR(MATCH(SMALL($BH$1:$BH$1000,12),$BH$1:$BH$1000,0),"")</f>
        <v/>
      </c>
    </row>
    <row r="86">
      <c r="A86" s="118">
        <f>IF($BI86="","",13)</f>
        <v/>
      </c>
      <c r="B86" s="137">
        <f>IF($BI86="","",INDEX(일일실시사항!$B$5:$B$1004,$BI86))</f>
        <v/>
      </c>
      <c r="C86" s="136">
        <f>IF($BI86="","",INDEX(일일실시사항!$D$5:$D$1004,$BI86))</f>
        <v/>
      </c>
      <c r="D86" s="131">
        <f>IF($BI86="","",INDEX(일일실시사항!$F$5:$F$1004,$BI86))</f>
        <v/>
      </c>
      <c r="E86" s="131">
        <f>IF($BI86="","",INDEX(일일실시사항!$H$5:$H$1004,$BI86))</f>
        <v/>
      </c>
      <c r="F86" s="131">
        <f>IF($BI86="","",INDEX(일일실시사항!$I$5:$I$1004,$BI86))</f>
        <v/>
      </c>
      <c r="G86" s="136">
        <f>IF($BI86="","",INDEX(일일실시사항!$J$5:$J$1004,$BI86))</f>
        <v/>
      </c>
      <c r="BF86">
        <f>IF(AND(업무일지!$F90=$B$4,업무일지!$B90&lt;&gt;""),업무일지!$B90*10000+86,"")</f>
        <v/>
      </c>
      <c r="BH86">
        <f>IF(AND(일일실시사항!$G90=$B$4,일일실시사항!$B90&lt;&gt;""),일일실시사항!$B90*10000+86,"")</f>
        <v/>
      </c>
      <c r="BI86">
        <f>IFERROR(MATCH(SMALL($BH$1:$BH$1000,13),$BH$1:$BH$1000,0),"")</f>
        <v/>
      </c>
    </row>
    <row r="87">
      <c r="A87" s="118">
        <f>IF($BI87="","",14)</f>
        <v/>
      </c>
      <c r="B87" s="137">
        <f>IF($BI87="","",INDEX(일일실시사항!$B$5:$B$1004,$BI87))</f>
        <v/>
      </c>
      <c r="C87" s="136">
        <f>IF($BI87="","",INDEX(일일실시사항!$D$5:$D$1004,$BI87))</f>
        <v/>
      </c>
      <c r="D87" s="131">
        <f>IF($BI87="","",INDEX(일일실시사항!$F$5:$F$1004,$BI87))</f>
        <v/>
      </c>
      <c r="E87" s="131">
        <f>IF($BI87="","",INDEX(일일실시사항!$H$5:$H$1004,$BI87))</f>
        <v/>
      </c>
      <c r="F87" s="131">
        <f>IF($BI87="","",INDEX(일일실시사항!$I$5:$I$1004,$BI87))</f>
        <v/>
      </c>
      <c r="G87" s="136">
        <f>IF($BI87="","",INDEX(일일실시사항!$J$5:$J$1004,$BI87))</f>
        <v/>
      </c>
      <c r="BF87">
        <f>IF(AND(업무일지!$F91=$B$4,업무일지!$B91&lt;&gt;""),업무일지!$B91*10000+87,"")</f>
        <v/>
      </c>
      <c r="BH87">
        <f>IF(AND(일일실시사항!$G91=$B$4,일일실시사항!$B91&lt;&gt;""),일일실시사항!$B91*10000+87,"")</f>
        <v/>
      </c>
      <c r="BI87">
        <f>IFERROR(MATCH(SMALL($BH$1:$BH$1000,14),$BH$1:$BH$1000,0),"")</f>
        <v/>
      </c>
    </row>
    <row r="88">
      <c r="A88" s="118">
        <f>IF($BI88="","",15)</f>
        <v/>
      </c>
      <c r="B88" s="137">
        <f>IF($BI88="","",INDEX(일일실시사항!$B$5:$B$1004,$BI88))</f>
        <v/>
      </c>
      <c r="C88" s="136">
        <f>IF($BI88="","",INDEX(일일실시사항!$D$5:$D$1004,$BI88))</f>
        <v/>
      </c>
      <c r="D88" s="131">
        <f>IF($BI88="","",INDEX(일일실시사항!$F$5:$F$1004,$BI88))</f>
        <v/>
      </c>
      <c r="E88" s="131">
        <f>IF($BI88="","",INDEX(일일실시사항!$H$5:$H$1004,$BI88))</f>
        <v/>
      </c>
      <c r="F88" s="131">
        <f>IF($BI88="","",INDEX(일일실시사항!$I$5:$I$1004,$BI88))</f>
        <v/>
      </c>
      <c r="G88" s="136">
        <f>IF($BI88="","",INDEX(일일실시사항!$J$5:$J$1004,$BI88))</f>
        <v/>
      </c>
      <c r="BF88">
        <f>IF(AND(업무일지!$F92=$B$4,업무일지!$B92&lt;&gt;""),업무일지!$B92*10000+88,"")</f>
        <v/>
      </c>
      <c r="BH88">
        <f>IF(AND(일일실시사항!$G92=$B$4,일일실시사항!$B92&lt;&gt;""),일일실시사항!$B92*10000+88,"")</f>
        <v/>
      </c>
      <c r="BI88">
        <f>IFERROR(MATCH(SMALL($BH$1:$BH$1000,15),$BH$1:$BH$1000,0),"")</f>
        <v/>
      </c>
    </row>
    <row r="89">
      <c r="A89" s="118">
        <f>IF($BI89="","",16)</f>
        <v/>
      </c>
      <c r="B89" s="137">
        <f>IF($BI89="","",INDEX(일일실시사항!$B$5:$B$1004,$BI89))</f>
        <v/>
      </c>
      <c r="C89" s="136">
        <f>IF($BI89="","",INDEX(일일실시사항!$D$5:$D$1004,$BI89))</f>
        <v/>
      </c>
      <c r="D89" s="131">
        <f>IF($BI89="","",INDEX(일일실시사항!$F$5:$F$1004,$BI89))</f>
        <v/>
      </c>
      <c r="E89" s="131">
        <f>IF($BI89="","",INDEX(일일실시사항!$H$5:$H$1004,$BI89))</f>
        <v/>
      </c>
      <c r="F89" s="131">
        <f>IF($BI89="","",INDEX(일일실시사항!$I$5:$I$1004,$BI89))</f>
        <v/>
      </c>
      <c r="G89" s="136">
        <f>IF($BI89="","",INDEX(일일실시사항!$J$5:$J$1004,$BI89))</f>
        <v/>
      </c>
      <c r="BF89">
        <f>IF(AND(업무일지!$F93=$B$4,업무일지!$B93&lt;&gt;""),업무일지!$B93*10000+89,"")</f>
        <v/>
      </c>
      <c r="BH89">
        <f>IF(AND(일일실시사항!$G93=$B$4,일일실시사항!$B93&lt;&gt;""),일일실시사항!$B93*10000+89,"")</f>
        <v/>
      </c>
      <c r="BI89">
        <f>IFERROR(MATCH(SMALL($BH$1:$BH$1000,16),$BH$1:$BH$1000,0),"")</f>
        <v/>
      </c>
    </row>
    <row r="90">
      <c r="A90" s="118">
        <f>IF($BI90="","",17)</f>
        <v/>
      </c>
      <c r="B90" s="137">
        <f>IF($BI90="","",INDEX(일일실시사항!$B$5:$B$1004,$BI90))</f>
        <v/>
      </c>
      <c r="C90" s="136">
        <f>IF($BI90="","",INDEX(일일실시사항!$D$5:$D$1004,$BI90))</f>
        <v/>
      </c>
      <c r="D90" s="131">
        <f>IF($BI90="","",INDEX(일일실시사항!$F$5:$F$1004,$BI90))</f>
        <v/>
      </c>
      <c r="E90" s="131">
        <f>IF($BI90="","",INDEX(일일실시사항!$H$5:$H$1004,$BI90))</f>
        <v/>
      </c>
      <c r="F90" s="131">
        <f>IF($BI90="","",INDEX(일일실시사항!$I$5:$I$1004,$BI90))</f>
        <v/>
      </c>
      <c r="G90" s="136">
        <f>IF($BI90="","",INDEX(일일실시사항!$J$5:$J$1004,$BI90))</f>
        <v/>
      </c>
      <c r="BF90">
        <f>IF(AND(업무일지!$F94=$B$4,업무일지!$B94&lt;&gt;""),업무일지!$B94*10000+90,"")</f>
        <v/>
      </c>
      <c r="BH90">
        <f>IF(AND(일일실시사항!$G94=$B$4,일일실시사항!$B94&lt;&gt;""),일일실시사항!$B94*10000+90,"")</f>
        <v/>
      </c>
      <c r="BI90">
        <f>IFERROR(MATCH(SMALL($BH$1:$BH$1000,17),$BH$1:$BH$1000,0),"")</f>
        <v/>
      </c>
    </row>
    <row r="91">
      <c r="A91" s="118">
        <f>IF($BI91="","",18)</f>
        <v/>
      </c>
      <c r="B91" s="137">
        <f>IF($BI91="","",INDEX(일일실시사항!$B$5:$B$1004,$BI91))</f>
        <v/>
      </c>
      <c r="C91" s="136">
        <f>IF($BI91="","",INDEX(일일실시사항!$D$5:$D$1004,$BI91))</f>
        <v/>
      </c>
      <c r="D91" s="131">
        <f>IF($BI91="","",INDEX(일일실시사항!$F$5:$F$1004,$BI91))</f>
        <v/>
      </c>
      <c r="E91" s="131">
        <f>IF($BI91="","",INDEX(일일실시사항!$H$5:$H$1004,$BI91))</f>
        <v/>
      </c>
      <c r="F91" s="131">
        <f>IF($BI91="","",INDEX(일일실시사항!$I$5:$I$1004,$BI91))</f>
        <v/>
      </c>
      <c r="G91" s="136">
        <f>IF($BI91="","",INDEX(일일실시사항!$J$5:$J$1004,$BI91))</f>
        <v/>
      </c>
      <c r="BF91">
        <f>IF(AND(업무일지!$F95=$B$4,업무일지!$B95&lt;&gt;""),업무일지!$B95*10000+91,"")</f>
        <v/>
      </c>
      <c r="BH91">
        <f>IF(AND(일일실시사항!$G95=$B$4,일일실시사항!$B95&lt;&gt;""),일일실시사항!$B95*10000+91,"")</f>
        <v/>
      </c>
      <c r="BI91">
        <f>IFERROR(MATCH(SMALL($BH$1:$BH$1000,18),$BH$1:$BH$1000,0),"")</f>
        <v/>
      </c>
    </row>
    <row r="92">
      <c r="A92" s="118">
        <f>IF($BI92="","",19)</f>
        <v/>
      </c>
      <c r="B92" s="137">
        <f>IF($BI92="","",INDEX(일일실시사항!$B$5:$B$1004,$BI92))</f>
        <v/>
      </c>
      <c r="C92" s="136">
        <f>IF($BI92="","",INDEX(일일실시사항!$D$5:$D$1004,$BI92))</f>
        <v/>
      </c>
      <c r="D92" s="131">
        <f>IF($BI92="","",INDEX(일일실시사항!$F$5:$F$1004,$BI92))</f>
        <v/>
      </c>
      <c r="E92" s="131">
        <f>IF($BI92="","",INDEX(일일실시사항!$H$5:$H$1004,$BI92))</f>
        <v/>
      </c>
      <c r="F92" s="131">
        <f>IF($BI92="","",INDEX(일일실시사항!$I$5:$I$1004,$BI92))</f>
        <v/>
      </c>
      <c r="G92" s="136">
        <f>IF($BI92="","",INDEX(일일실시사항!$J$5:$J$1004,$BI92))</f>
        <v/>
      </c>
      <c r="BF92">
        <f>IF(AND(업무일지!$F96=$B$4,업무일지!$B96&lt;&gt;""),업무일지!$B96*10000+92,"")</f>
        <v/>
      </c>
      <c r="BH92">
        <f>IF(AND(일일실시사항!$G96=$B$4,일일실시사항!$B96&lt;&gt;""),일일실시사항!$B96*10000+92,"")</f>
        <v/>
      </c>
      <c r="BI92">
        <f>IFERROR(MATCH(SMALL($BH$1:$BH$1000,19),$BH$1:$BH$1000,0),"")</f>
        <v/>
      </c>
    </row>
    <row r="93">
      <c r="A93" s="118">
        <f>IF($BI93="","",20)</f>
        <v/>
      </c>
      <c r="B93" s="137">
        <f>IF($BI93="","",INDEX(일일실시사항!$B$5:$B$1004,$BI93))</f>
        <v/>
      </c>
      <c r="C93" s="136">
        <f>IF($BI93="","",INDEX(일일실시사항!$D$5:$D$1004,$BI93))</f>
        <v/>
      </c>
      <c r="D93" s="131">
        <f>IF($BI93="","",INDEX(일일실시사항!$F$5:$F$1004,$BI93))</f>
        <v/>
      </c>
      <c r="E93" s="131">
        <f>IF($BI93="","",INDEX(일일실시사항!$H$5:$H$1004,$BI93))</f>
        <v/>
      </c>
      <c r="F93" s="131">
        <f>IF($BI93="","",INDEX(일일실시사항!$I$5:$I$1004,$BI93))</f>
        <v/>
      </c>
      <c r="G93" s="136">
        <f>IF($BI93="","",INDEX(일일실시사항!$J$5:$J$1004,$BI93))</f>
        <v/>
      </c>
      <c r="BF93">
        <f>IF(AND(업무일지!$F97=$B$4,업무일지!$B97&lt;&gt;""),업무일지!$B97*10000+93,"")</f>
        <v/>
      </c>
      <c r="BH93">
        <f>IF(AND(일일실시사항!$G97=$B$4,일일실시사항!$B97&lt;&gt;""),일일실시사항!$B97*10000+93,"")</f>
        <v/>
      </c>
      <c r="BI93">
        <f>IFERROR(MATCH(SMALL($BH$1:$BH$1000,20),$BH$1:$BH$1000,0),"")</f>
        <v/>
      </c>
    </row>
    <row r="94">
      <c r="A94" s="118">
        <f>IF($BI94="","",21)</f>
        <v/>
      </c>
      <c r="B94" s="137">
        <f>IF($BI94="","",INDEX(일일실시사항!$B$5:$B$1004,$BI94))</f>
        <v/>
      </c>
      <c r="C94" s="136">
        <f>IF($BI94="","",INDEX(일일실시사항!$D$5:$D$1004,$BI94))</f>
        <v/>
      </c>
      <c r="D94" s="131">
        <f>IF($BI94="","",INDEX(일일실시사항!$F$5:$F$1004,$BI94))</f>
        <v/>
      </c>
      <c r="E94" s="131">
        <f>IF($BI94="","",INDEX(일일실시사항!$H$5:$H$1004,$BI94))</f>
        <v/>
      </c>
      <c r="F94" s="131">
        <f>IF($BI94="","",INDEX(일일실시사항!$I$5:$I$1004,$BI94))</f>
        <v/>
      </c>
      <c r="G94" s="136">
        <f>IF($BI94="","",INDEX(일일실시사항!$J$5:$J$1004,$BI94))</f>
        <v/>
      </c>
      <c r="BF94">
        <f>IF(AND(업무일지!$F98=$B$4,업무일지!$B98&lt;&gt;""),업무일지!$B98*10000+94,"")</f>
        <v/>
      </c>
      <c r="BH94">
        <f>IF(AND(일일실시사항!$G98=$B$4,일일실시사항!$B98&lt;&gt;""),일일실시사항!$B98*10000+94,"")</f>
        <v/>
      </c>
      <c r="BI94">
        <f>IFERROR(MATCH(SMALL($BH$1:$BH$1000,21),$BH$1:$BH$1000,0),"")</f>
        <v/>
      </c>
    </row>
    <row r="95">
      <c r="A95" s="118">
        <f>IF($BI95="","",22)</f>
        <v/>
      </c>
      <c r="B95" s="137">
        <f>IF($BI95="","",INDEX(일일실시사항!$B$5:$B$1004,$BI95))</f>
        <v/>
      </c>
      <c r="C95" s="136">
        <f>IF($BI95="","",INDEX(일일실시사항!$D$5:$D$1004,$BI95))</f>
        <v/>
      </c>
      <c r="D95" s="131">
        <f>IF($BI95="","",INDEX(일일실시사항!$F$5:$F$1004,$BI95))</f>
        <v/>
      </c>
      <c r="E95" s="131">
        <f>IF($BI95="","",INDEX(일일실시사항!$H$5:$H$1004,$BI95))</f>
        <v/>
      </c>
      <c r="F95" s="131">
        <f>IF($BI95="","",INDEX(일일실시사항!$I$5:$I$1004,$BI95))</f>
        <v/>
      </c>
      <c r="G95" s="136">
        <f>IF($BI95="","",INDEX(일일실시사항!$J$5:$J$1004,$BI95))</f>
        <v/>
      </c>
      <c r="BF95">
        <f>IF(AND(업무일지!$F99=$B$4,업무일지!$B99&lt;&gt;""),업무일지!$B99*10000+95,"")</f>
        <v/>
      </c>
      <c r="BH95">
        <f>IF(AND(일일실시사항!$G99=$B$4,일일실시사항!$B99&lt;&gt;""),일일실시사항!$B99*10000+95,"")</f>
        <v/>
      </c>
      <c r="BI95">
        <f>IFERROR(MATCH(SMALL($BH$1:$BH$1000,22),$BH$1:$BH$1000,0),"")</f>
        <v/>
      </c>
    </row>
    <row r="96">
      <c r="A96" s="118">
        <f>IF($BI96="","",23)</f>
        <v/>
      </c>
      <c r="B96" s="137">
        <f>IF($BI96="","",INDEX(일일실시사항!$B$5:$B$1004,$BI96))</f>
        <v/>
      </c>
      <c r="C96" s="136">
        <f>IF($BI96="","",INDEX(일일실시사항!$D$5:$D$1004,$BI96))</f>
        <v/>
      </c>
      <c r="D96" s="131">
        <f>IF($BI96="","",INDEX(일일실시사항!$F$5:$F$1004,$BI96))</f>
        <v/>
      </c>
      <c r="E96" s="131">
        <f>IF($BI96="","",INDEX(일일실시사항!$H$5:$H$1004,$BI96))</f>
        <v/>
      </c>
      <c r="F96" s="131">
        <f>IF($BI96="","",INDEX(일일실시사항!$I$5:$I$1004,$BI96))</f>
        <v/>
      </c>
      <c r="G96" s="136">
        <f>IF($BI96="","",INDEX(일일실시사항!$J$5:$J$1004,$BI96))</f>
        <v/>
      </c>
      <c r="BF96">
        <f>IF(AND(업무일지!$F100=$B$4,업무일지!$B100&lt;&gt;""),업무일지!$B100*10000+96,"")</f>
        <v/>
      </c>
      <c r="BH96">
        <f>IF(AND(일일실시사항!$G100=$B$4,일일실시사항!$B100&lt;&gt;""),일일실시사항!$B100*10000+96,"")</f>
        <v/>
      </c>
      <c r="BI96">
        <f>IFERROR(MATCH(SMALL($BH$1:$BH$1000,23),$BH$1:$BH$1000,0),"")</f>
        <v/>
      </c>
    </row>
    <row r="97">
      <c r="A97" s="118">
        <f>IF($BI97="","",24)</f>
        <v/>
      </c>
      <c r="B97" s="137">
        <f>IF($BI97="","",INDEX(일일실시사항!$B$5:$B$1004,$BI97))</f>
        <v/>
      </c>
      <c r="C97" s="136">
        <f>IF($BI97="","",INDEX(일일실시사항!$D$5:$D$1004,$BI97))</f>
        <v/>
      </c>
      <c r="D97" s="131">
        <f>IF($BI97="","",INDEX(일일실시사항!$F$5:$F$1004,$BI97))</f>
        <v/>
      </c>
      <c r="E97" s="131">
        <f>IF($BI97="","",INDEX(일일실시사항!$H$5:$H$1004,$BI97))</f>
        <v/>
      </c>
      <c r="F97" s="131">
        <f>IF($BI97="","",INDEX(일일실시사항!$I$5:$I$1004,$BI97))</f>
        <v/>
      </c>
      <c r="G97" s="136">
        <f>IF($BI97="","",INDEX(일일실시사항!$J$5:$J$1004,$BI97))</f>
        <v/>
      </c>
      <c r="BF97">
        <f>IF(AND(업무일지!$F101=$B$4,업무일지!$B101&lt;&gt;""),업무일지!$B101*10000+97,"")</f>
        <v/>
      </c>
      <c r="BH97">
        <f>IF(AND(일일실시사항!$G101=$B$4,일일실시사항!$B101&lt;&gt;""),일일실시사항!$B101*10000+97,"")</f>
        <v/>
      </c>
      <c r="BI97">
        <f>IFERROR(MATCH(SMALL($BH$1:$BH$1000,24),$BH$1:$BH$1000,0),"")</f>
        <v/>
      </c>
    </row>
    <row r="98">
      <c r="A98" s="118">
        <f>IF($BI98="","",25)</f>
        <v/>
      </c>
      <c r="B98" s="137">
        <f>IF($BI98="","",INDEX(일일실시사항!$B$5:$B$1004,$BI98))</f>
        <v/>
      </c>
      <c r="C98" s="136">
        <f>IF($BI98="","",INDEX(일일실시사항!$D$5:$D$1004,$BI98))</f>
        <v/>
      </c>
      <c r="D98" s="131">
        <f>IF($BI98="","",INDEX(일일실시사항!$F$5:$F$1004,$BI98))</f>
        <v/>
      </c>
      <c r="E98" s="131">
        <f>IF($BI98="","",INDEX(일일실시사항!$H$5:$H$1004,$BI98))</f>
        <v/>
      </c>
      <c r="F98" s="131">
        <f>IF($BI98="","",INDEX(일일실시사항!$I$5:$I$1004,$BI98))</f>
        <v/>
      </c>
      <c r="G98" s="136">
        <f>IF($BI98="","",INDEX(일일실시사항!$J$5:$J$1004,$BI98))</f>
        <v/>
      </c>
      <c r="BF98">
        <f>IF(AND(업무일지!$F102=$B$4,업무일지!$B102&lt;&gt;""),업무일지!$B102*10000+98,"")</f>
        <v/>
      </c>
      <c r="BH98">
        <f>IF(AND(일일실시사항!$G102=$B$4,일일실시사항!$B102&lt;&gt;""),일일실시사항!$B102*10000+98,"")</f>
        <v/>
      </c>
      <c r="BI98">
        <f>IFERROR(MATCH(SMALL($BH$1:$BH$1000,25),$BH$1:$BH$1000,0),"")</f>
        <v/>
      </c>
    </row>
    <row r="99">
      <c r="A99" s="118">
        <f>IF($BI99="","",26)</f>
        <v/>
      </c>
      <c r="B99" s="137">
        <f>IF($BI99="","",INDEX(일일실시사항!$B$5:$B$1004,$BI99))</f>
        <v/>
      </c>
      <c r="C99" s="136">
        <f>IF($BI99="","",INDEX(일일실시사항!$D$5:$D$1004,$BI99))</f>
        <v/>
      </c>
      <c r="D99" s="131">
        <f>IF($BI99="","",INDEX(일일실시사항!$F$5:$F$1004,$BI99))</f>
        <v/>
      </c>
      <c r="E99" s="131">
        <f>IF($BI99="","",INDEX(일일실시사항!$H$5:$H$1004,$BI99))</f>
        <v/>
      </c>
      <c r="F99" s="131">
        <f>IF($BI99="","",INDEX(일일실시사항!$I$5:$I$1004,$BI99))</f>
        <v/>
      </c>
      <c r="G99" s="136">
        <f>IF($BI99="","",INDEX(일일실시사항!$J$5:$J$1004,$BI99))</f>
        <v/>
      </c>
      <c r="BF99">
        <f>IF(AND(업무일지!$F103=$B$4,업무일지!$B103&lt;&gt;""),업무일지!$B103*10000+99,"")</f>
        <v/>
      </c>
      <c r="BH99">
        <f>IF(AND(일일실시사항!$G103=$B$4,일일실시사항!$B103&lt;&gt;""),일일실시사항!$B103*10000+99,"")</f>
        <v/>
      </c>
      <c r="BI99">
        <f>IFERROR(MATCH(SMALL($BH$1:$BH$1000,26),$BH$1:$BH$1000,0),"")</f>
        <v/>
      </c>
    </row>
    <row r="100">
      <c r="A100" s="118">
        <f>IF($BI100="","",27)</f>
        <v/>
      </c>
      <c r="B100" s="137">
        <f>IF($BI100="","",INDEX(일일실시사항!$B$5:$B$1004,$BI100))</f>
        <v/>
      </c>
      <c r="C100" s="136">
        <f>IF($BI100="","",INDEX(일일실시사항!$D$5:$D$1004,$BI100))</f>
        <v/>
      </c>
      <c r="D100" s="131">
        <f>IF($BI100="","",INDEX(일일실시사항!$F$5:$F$1004,$BI100))</f>
        <v/>
      </c>
      <c r="E100" s="131">
        <f>IF($BI100="","",INDEX(일일실시사항!$H$5:$H$1004,$BI100))</f>
        <v/>
      </c>
      <c r="F100" s="131">
        <f>IF($BI100="","",INDEX(일일실시사항!$I$5:$I$1004,$BI100))</f>
        <v/>
      </c>
      <c r="G100" s="136">
        <f>IF($BI100="","",INDEX(일일실시사항!$J$5:$J$1004,$BI100))</f>
        <v/>
      </c>
      <c r="BF100">
        <f>IF(AND(업무일지!$F104=$B$4,업무일지!$B104&lt;&gt;""),업무일지!$B104*10000+100,"")</f>
        <v/>
      </c>
      <c r="BH100">
        <f>IF(AND(일일실시사항!$G104=$B$4,일일실시사항!$B104&lt;&gt;""),일일실시사항!$B104*10000+100,"")</f>
        <v/>
      </c>
      <c r="BI100">
        <f>IFERROR(MATCH(SMALL($BH$1:$BH$1000,27),$BH$1:$BH$1000,0),"")</f>
        <v/>
      </c>
    </row>
    <row r="101">
      <c r="A101" s="118">
        <f>IF($BI101="","",28)</f>
        <v/>
      </c>
      <c r="B101" s="137">
        <f>IF($BI101="","",INDEX(일일실시사항!$B$5:$B$1004,$BI101))</f>
        <v/>
      </c>
      <c r="C101" s="136">
        <f>IF($BI101="","",INDEX(일일실시사항!$D$5:$D$1004,$BI101))</f>
        <v/>
      </c>
      <c r="D101" s="131">
        <f>IF($BI101="","",INDEX(일일실시사항!$F$5:$F$1004,$BI101))</f>
        <v/>
      </c>
      <c r="E101" s="131">
        <f>IF($BI101="","",INDEX(일일실시사항!$H$5:$H$1004,$BI101))</f>
        <v/>
      </c>
      <c r="F101" s="131">
        <f>IF($BI101="","",INDEX(일일실시사항!$I$5:$I$1004,$BI101))</f>
        <v/>
      </c>
      <c r="G101" s="136">
        <f>IF($BI101="","",INDEX(일일실시사항!$J$5:$J$1004,$BI101))</f>
        <v/>
      </c>
      <c r="BF101">
        <f>IF(AND(업무일지!$F105=$B$4,업무일지!$B105&lt;&gt;""),업무일지!$B105*10000+101,"")</f>
        <v/>
      </c>
      <c r="BH101">
        <f>IF(AND(일일실시사항!$G105=$B$4,일일실시사항!$B105&lt;&gt;""),일일실시사항!$B105*10000+101,"")</f>
        <v/>
      </c>
      <c r="BI101">
        <f>IFERROR(MATCH(SMALL($BH$1:$BH$1000,28),$BH$1:$BH$1000,0),"")</f>
        <v/>
      </c>
    </row>
    <row r="102">
      <c r="A102" s="118">
        <f>IF($BI102="","",29)</f>
        <v/>
      </c>
      <c r="B102" s="137">
        <f>IF($BI102="","",INDEX(일일실시사항!$B$5:$B$1004,$BI102))</f>
        <v/>
      </c>
      <c r="C102" s="136">
        <f>IF($BI102="","",INDEX(일일실시사항!$D$5:$D$1004,$BI102))</f>
        <v/>
      </c>
      <c r="D102" s="131">
        <f>IF($BI102="","",INDEX(일일실시사항!$F$5:$F$1004,$BI102))</f>
        <v/>
      </c>
      <c r="E102" s="131">
        <f>IF($BI102="","",INDEX(일일실시사항!$H$5:$H$1004,$BI102))</f>
        <v/>
      </c>
      <c r="F102" s="131">
        <f>IF($BI102="","",INDEX(일일실시사항!$I$5:$I$1004,$BI102))</f>
        <v/>
      </c>
      <c r="G102" s="136">
        <f>IF($BI102="","",INDEX(일일실시사항!$J$5:$J$1004,$BI102))</f>
        <v/>
      </c>
      <c r="BF102">
        <f>IF(AND(업무일지!$F106=$B$4,업무일지!$B106&lt;&gt;""),업무일지!$B106*10000+102,"")</f>
        <v/>
      </c>
      <c r="BH102">
        <f>IF(AND(일일실시사항!$G106=$B$4,일일실시사항!$B106&lt;&gt;""),일일실시사항!$B106*10000+102,"")</f>
        <v/>
      </c>
      <c r="BI102">
        <f>IFERROR(MATCH(SMALL($BH$1:$BH$1000,29),$BH$1:$BH$1000,0),"")</f>
        <v/>
      </c>
    </row>
    <row r="103">
      <c r="A103" s="118">
        <f>IF($BI103="","",30)</f>
        <v/>
      </c>
      <c r="B103" s="137">
        <f>IF($BI103="","",INDEX(일일실시사항!$B$5:$B$1004,$BI103))</f>
        <v/>
      </c>
      <c r="C103" s="136">
        <f>IF($BI103="","",INDEX(일일실시사항!$D$5:$D$1004,$BI103))</f>
        <v/>
      </c>
      <c r="D103" s="131">
        <f>IF($BI103="","",INDEX(일일실시사항!$F$5:$F$1004,$BI103))</f>
        <v/>
      </c>
      <c r="E103" s="131">
        <f>IF($BI103="","",INDEX(일일실시사항!$H$5:$H$1004,$BI103))</f>
        <v/>
      </c>
      <c r="F103" s="131">
        <f>IF($BI103="","",INDEX(일일실시사항!$I$5:$I$1004,$BI103))</f>
        <v/>
      </c>
      <c r="G103" s="136">
        <f>IF($BI103="","",INDEX(일일실시사항!$J$5:$J$1004,$BI103))</f>
        <v/>
      </c>
      <c r="BF103">
        <f>IF(AND(업무일지!$F107=$B$4,업무일지!$B107&lt;&gt;""),업무일지!$B107*10000+103,"")</f>
        <v/>
      </c>
      <c r="BH103">
        <f>IF(AND(일일실시사항!$G107=$B$4,일일실시사항!$B107&lt;&gt;""),일일실시사항!$B107*10000+103,"")</f>
        <v/>
      </c>
      <c r="BI103">
        <f>IFERROR(MATCH(SMALL($BH$1:$BH$1000,30),$BH$1:$BH$1000,0),"")</f>
        <v/>
      </c>
    </row>
    <row r="104">
      <c r="BF104">
        <f>IF(AND(업무일지!$F108=$B$4,업무일지!$B108&lt;&gt;""),업무일지!$B108*10000+104,"")</f>
        <v/>
      </c>
      <c r="BH104">
        <f>IF(AND(일일실시사항!$G108=$B$4,일일실시사항!$B108&lt;&gt;""),일일실시사항!$B108*10000+104,"")</f>
        <v/>
      </c>
    </row>
    <row r="105" ht="20" customHeight="1">
      <c r="A105" s="21" t="inlineStr">
        <is>
          <t>3.  사건 누계</t>
        </is>
      </c>
      <c r="B105" s="22" t="n"/>
      <c r="C105" s="22" t="n"/>
      <c r="D105" s="22" t="n"/>
      <c r="E105" s="22" t="n"/>
      <c r="F105" s="22" t="n"/>
      <c r="G105" s="22" t="n"/>
      <c r="H105" s="22" t="n"/>
      <c r="I105" s="22" t="n"/>
      <c r="BF105">
        <f>IF(AND(업무일지!$F109=$B$4,업무일지!$B109&lt;&gt;""),업무일지!$B109*10000+105,"")</f>
        <v/>
      </c>
      <c r="BH105">
        <f>IF(AND(일일실시사항!$G109=$B$4,일일실시사항!$B109&lt;&gt;""),일일실시사항!$B109*10000+105,"")</f>
        <v/>
      </c>
    </row>
    <row r="106" ht="32" customHeight="1">
      <c r="A106" s="23" t="inlineStr">
        <is>
          <t>출장 회차</t>
        </is>
      </c>
      <c r="B106" s="23" t="inlineStr">
        <is>
          <t>분석 회차</t>
        </is>
      </c>
      <c r="C106" s="23" t="inlineStr">
        <is>
          <t>출장 소요일수</t>
        </is>
      </c>
      <c r="D106" s="23" t="inlineStr">
        <is>
          <t>대상매체(건)</t>
        </is>
      </c>
      <c r="E106" s="23" t="inlineStr">
        <is>
          <t>데이터량(GB)</t>
        </is>
      </c>
      <c r="F106" s="23" t="inlineStr">
        <is>
          <t>일일지원(건)</t>
        </is>
      </c>
      <c r="G106" s="23" t="inlineStr">
        <is>
          <t>최초 착수일</t>
        </is>
      </c>
      <c r="H106" s="23" t="inlineStr">
        <is>
          <t>최종 종료일</t>
        </is>
      </c>
      <c r="I106" s="23" t="inlineStr">
        <is>
          <t>처리기간(일)</t>
        </is>
      </c>
      <c r="BF106">
        <f>IF(AND(업무일지!$F110=$B$4,업무일지!$B110&lt;&gt;""),업무일지!$B110*10000+106,"")</f>
        <v/>
      </c>
      <c r="BH106">
        <f>IF(AND(일일실시사항!$G110=$B$4,일일실시사항!$B110&lt;&gt;""),일일실시사항!$B110*10000+106,"")</f>
        <v/>
      </c>
    </row>
    <row r="107">
      <c r="A107" s="129">
        <f>IF($B$4="","",COUNTIFS(업무일지!$F$5:$F$1004,$B$4,업무일지!$D$5:$D$1004,"출장"))</f>
        <v/>
      </c>
      <c r="B107" s="129">
        <f>IF($B$4="","",COUNTIFS(업무일지!$F$5:$F$1004,$B$4,업무일지!$D$5:$D$1004,"분석"))</f>
        <v/>
      </c>
      <c r="C107" s="129">
        <f>IF($B$4="","",SUMIFS(업무일지!$AF$5:$AF$1004,업무일지!$F$5:$F$1004,$B$4,업무일지!$D$5:$D$1004,"출장"))</f>
        <v/>
      </c>
      <c r="D107" s="129">
        <f>IF($B$4="","",SUMIFS(업무일지!$AD$5:$AD$1004,업무일지!$F$5:$F$1004,$B$4))</f>
        <v/>
      </c>
      <c r="E107" s="25">
        <f>IF($B$4="","",SUMIFS(업무일지!$AE$5:$AE$1004,업무일지!$F$5:$F$1004,$B$4))</f>
        <v/>
      </c>
      <c r="F107" s="129">
        <f>IF($B$4="","",COUNTIF(일일실시사항!$G$5:$G$1004,$B$4))</f>
        <v/>
      </c>
      <c r="G107" s="137">
        <f>IF($BK$1=0,"",1000000-$BK$1)</f>
        <v/>
      </c>
      <c r="H107" s="137">
        <f>IF($BK$2=0,"",$BK$2)</f>
        <v/>
      </c>
      <c r="I107" s="118">
        <f>IF(OR($G107="",$H107=""),"",$H107-$G107+1)</f>
        <v/>
      </c>
      <c r="BF107">
        <f>IF(AND(업무일지!$F111=$B$4,업무일지!$B111&lt;&gt;""),업무일지!$B111*10000+107,"")</f>
        <v/>
      </c>
      <c r="BH107">
        <f>IF(AND(일일실시사항!$G111=$B$4,일일실시사항!$B111&lt;&gt;""),일일실시사항!$B111*10000+107,"")</f>
        <v/>
      </c>
    </row>
    <row r="108">
      <c r="BF108">
        <f>IF(AND(업무일지!$F112=$B$4,업무일지!$B112&lt;&gt;""),업무일지!$B112*10000+108,"")</f>
        <v/>
      </c>
      <c r="BH108">
        <f>IF(AND(일일실시사항!$G112=$B$4,일일실시사항!$B112&lt;&gt;""),일일실시사항!$B112*10000+108,"")</f>
        <v/>
      </c>
    </row>
    <row r="109">
      <c r="A109" s="7" t="inlineStr">
        <is>
          <t>※ 타임라인은 상위 60건, 일일 실시사항은 30건까지 표시합니다. 그보다 많으면 [사건별 현황]의 누계와 [업무일지] 필터를 함께 보세요.</t>
        </is>
      </c>
      <c r="BF109">
        <f>IF(AND(업무일지!$F113=$B$4,업무일지!$B113&lt;&gt;""),업무일지!$B113*10000+109,"")</f>
        <v/>
      </c>
      <c r="BH109">
        <f>IF(AND(일일실시사항!$G113=$B$4,일일실시사항!$B113&lt;&gt;""),일일실시사항!$B113*10000+109,"")</f>
        <v/>
      </c>
    </row>
    <row r="110">
      <c r="BF110">
        <f>IF(AND(업무일지!$F114=$B$4,업무일지!$B114&lt;&gt;""),업무일지!$B114*10000+110,"")</f>
        <v/>
      </c>
      <c r="BH110">
        <f>IF(AND(일일실시사항!$G114=$B$4,일일실시사항!$B114&lt;&gt;""),일일실시사항!$B114*10000+110,"")</f>
        <v/>
      </c>
    </row>
    <row r="111">
      <c r="BF111">
        <f>IF(AND(업무일지!$F115=$B$4,업무일지!$B115&lt;&gt;""),업무일지!$B115*10000+111,"")</f>
        <v/>
      </c>
      <c r="BH111">
        <f>IF(AND(일일실시사항!$G115=$B$4,일일실시사항!$B115&lt;&gt;""),일일실시사항!$B115*10000+111,"")</f>
        <v/>
      </c>
    </row>
    <row r="112">
      <c r="BF112">
        <f>IF(AND(업무일지!$F116=$B$4,업무일지!$B116&lt;&gt;""),업무일지!$B116*10000+112,"")</f>
        <v/>
      </c>
      <c r="BH112">
        <f>IF(AND(일일실시사항!$G116=$B$4,일일실시사항!$B116&lt;&gt;""),일일실시사항!$B116*10000+112,"")</f>
        <v/>
      </c>
    </row>
    <row r="113">
      <c r="BF113">
        <f>IF(AND(업무일지!$F117=$B$4,업무일지!$B117&lt;&gt;""),업무일지!$B117*10000+113,"")</f>
        <v/>
      </c>
      <c r="BH113">
        <f>IF(AND(일일실시사항!$G117=$B$4,일일실시사항!$B117&lt;&gt;""),일일실시사항!$B117*10000+113,"")</f>
        <v/>
      </c>
    </row>
    <row r="114">
      <c r="BF114">
        <f>IF(AND(업무일지!$F118=$B$4,업무일지!$B118&lt;&gt;""),업무일지!$B118*10000+114,"")</f>
        <v/>
      </c>
      <c r="BH114">
        <f>IF(AND(일일실시사항!$G118=$B$4,일일실시사항!$B118&lt;&gt;""),일일실시사항!$B118*10000+114,"")</f>
        <v/>
      </c>
    </row>
    <row r="115">
      <c r="BF115">
        <f>IF(AND(업무일지!$F119=$B$4,업무일지!$B119&lt;&gt;""),업무일지!$B119*10000+115,"")</f>
        <v/>
      </c>
      <c r="BH115">
        <f>IF(AND(일일실시사항!$G119=$B$4,일일실시사항!$B119&lt;&gt;""),일일실시사항!$B119*10000+115,"")</f>
        <v/>
      </c>
    </row>
    <row r="116">
      <c r="BF116">
        <f>IF(AND(업무일지!$F120=$B$4,업무일지!$B120&lt;&gt;""),업무일지!$B120*10000+116,"")</f>
        <v/>
      </c>
      <c r="BH116">
        <f>IF(AND(일일실시사항!$G120=$B$4,일일실시사항!$B120&lt;&gt;""),일일실시사항!$B120*10000+116,"")</f>
        <v/>
      </c>
    </row>
    <row r="117">
      <c r="BF117">
        <f>IF(AND(업무일지!$F121=$B$4,업무일지!$B121&lt;&gt;""),업무일지!$B121*10000+117,"")</f>
        <v/>
      </c>
      <c r="BH117">
        <f>IF(AND(일일실시사항!$G121=$B$4,일일실시사항!$B121&lt;&gt;""),일일실시사항!$B121*10000+117,"")</f>
        <v/>
      </c>
    </row>
    <row r="118">
      <c r="BF118">
        <f>IF(AND(업무일지!$F122=$B$4,업무일지!$B122&lt;&gt;""),업무일지!$B122*10000+118,"")</f>
        <v/>
      </c>
      <c r="BH118">
        <f>IF(AND(일일실시사항!$G122=$B$4,일일실시사항!$B122&lt;&gt;""),일일실시사항!$B122*10000+118,"")</f>
        <v/>
      </c>
    </row>
    <row r="119">
      <c r="BF119">
        <f>IF(AND(업무일지!$F123=$B$4,업무일지!$B123&lt;&gt;""),업무일지!$B123*10000+119,"")</f>
        <v/>
      </c>
      <c r="BH119">
        <f>IF(AND(일일실시사항!$G123=$B$4,일일실시사항!$B123&lt;&gt;""),일일실시사항!$B123*10000+119,"")</f>
        <v/>
      </c>
    </row>
    <row r="120">
      <c r="BF120">
        <f>IF(AND(업무일지!$F124=$B$4,업무일지!$B124&lt;&gt;""),업무일지!$B124*10000+120,"")</f>
        <v/>
      </c>
      <c r="BH120">
        <f>IF(AND(일일실시사항!$G124=$B$4,일일실시사항!$B124&lt;&gt;""),일일실시사항!$B124*10000+120,"")</f>
        <v/>
      </c>
    </row>
    <row r="121">
      <c r="BF121">
        <f>IF(AND(업무일지!$F125=$B$4,업무일지!$B125&lt;&gt;""),업무일지!$B125*10000+121,"")</f>
        <v/>
      </c>
      <c r="BH121">
        <f>IF(AND(일일실시사항!$G125=$B$4,일일실시사항!$B125&lt;&gt;""),일일실시사항!$B125*10000+121,"")</f>
        <v/>
      </c>
    </row>
    <row r="122">
      <c r="BF122">
        <f>IF(AND(업무일지!$F126=$B$4,업무일지!$B126&lt;&gt;""),업무일지!$B126*10000+122,"")</f>
        <v/>
      </c>
      <c r="BH122">
        <f>IF(AND(일일실시사항!$G126=$B$4,일일실시사항!$B126&lt;&gt;""),일일실시사항!$B126*10000+122,"")</f>
        <v/>
      </c>
    </row>
    <row r="123">
      <c r="BF123">
        <f>IF(AND(업무일지!$F127=$B$4,업무일지!$B127&lt;&gt;""),업무일지!$B127*10000+123,"")</f>
        <v/>
      </c>
      <c r="BH123">
        <f>IF(AND(일일실시사항!$G127=$B$4,일일실시사항!$B127&lt;&gt;""),일일실시사항!$B127*10000+123,"")</f>
        <v/>
      </c>
    </row>
    <row r="124">
      <c r="BF124">
        <f>IF(AND(업무일지!$F128=$B$4,업무일지!$B128&lt;&gt;""),업무일지!$B128*10000+124,"")</f>
        <v/>
      </c>
      <c r="BH124">
        <f>IF(AND(일일실시사항!$G128=$B$4,일일실시사항!$B128&lt;&gt;""),일일실시사항!$B128*10000+124,"")</f>
        <v/>
      </c>
    </row>
    <row r="125">
      <c r="BF125">
        <f>IF(AND(업무일지!$F129=$B$4,업무일지!$B129&lt;&gt;""),업무일지!$B129*10000+125,"")</f>
        <v/>
      </c>
      <c r="BH125">
        <f>IF(AND(일일실시사항!$G129=$B$4,일일실시사항!$B129&lt;&gt;""),일일실시사항!$B129*10000+125,"")</f>
        <v/>
      </c>
    </row>
    <row r="126">
      <c r="BF126">
        <f>IF(AND(업무일지!$F130=$B$4,업무일지!$B130&lt;&gt;""),업무일지!$B130*10000+126,"")</f>
        <v/>
      </c>
      <c r="BH126">
        <f>IF(AND(일일실시사항!$G130=$B$4,일일실시사항!$B130&lt;&gt;""),일일실시사항!$B130*10000+126,"")</f>
        <v/>
      </c>
    </row>
    <row r="127">
      <c r="BF127">
        <f>IF(AND(업무일지!$F131=$B$4,업무일지!$B131&lt;&gt;""),업무일지!$B131*10000+127,"")</f>
        <v/>
      </c>
      <c r="BH127">
        <f>IF(AND(일일실시사항!$G131=$B$4,일일실시사항!$B131&lt;&gt;""),일일실시사항!$B131*10000+127,"")</f>
        <v/>
      </c>
    </row>
    <row r="128">
      <c r="BF128">
        <f>IF(AND(업무일지!$F132=$B$4,업무일지!$B132&lt;&gt;""),업무일지!$B132*10000+128,"")</f>
        <v/>
      </c>
      <c r="BH128">
        <f>IF(AND(일일실시사항!$G132=$B$4,일일실시사항!$B132&lt;&gt;""),일일실시사항!$B132*10000+128,"")</f>
        <v/>
      </c>
    </row>
    <row r="129">
      <c r="BF129">
        <f>IF(AND(업무일지!$F133=$B$4,업무일지!$B133&lt;&gt;""),업무일지!$B133*10000+129,"")</f>
        <v/>
      </c>
      <c r="BH129">
        <f>IF(AND(일일실시사항!$G133=$B$4,일일실시사항!$B133&lt;&gt;""),일일실시사항!$B133*10000+129,"")</f>
        <v/>
      </c>
    </row>
    <row r="130">
      <c r="BF130">
        <f>IF(AND(업무일지!$F134=$B$4,업무일지!$B134&lt;&gt;""),업무일지!$B134*10000+130,"")</f>
        <v/>
      </c>
      <c r="BH130">
        <f>IF(AND(일일실시사항!$G134=$B$4,일일실시사항!$B134&lt;&gt;""),일일실시사항!$B134*10000+130,"")</f>
        <v/>
      </c>
    </row>
    <row r="131">
      <c r="BF131">
        <f>IF(AND(업무일지!$F135=$B$4,업무일지!$B135&lt;&gt;""),업무일지!$B135*10000+131,"")</f>
        <v/>
      </c>
      <c r="BH131">
        <f>IF(AND(일일실시사항!$G135=$B$4,일일실시사항!$B135&lt;&gt;""),일일실시사항!$B135*10000+131,"")</f>
        <v/>
      </c>
    </row>
    <row r="132">
      <c r="BF132">
        <f>IF(AND(업무일지!$F136=$B$4,업무일지!$B136&lt;&gt;""),업무일지!$B136*10000+132,"")</f>
        <v/>
      </c>
      <c r="BH132">
        <f>IF(AND(일일실시사항!$G136=$B$4,일일실시사항!$B136&lt;&gt;""),일일실시사항!$B136*10000+132,"")</f>
        <v/>
      </c>
    </row>
    <row r="133">
      <c r="BF133">
        <f>IF(AND(업무일지!$F137=$B$4,업무일지!$B137&lt;&gt;""),업무일지!$B137*10000+133,"")</f>
        <v/>
      </c>
      <c r="BH133">
        <f>IF(AND(일일실시사항!$G137=$B$4,일일실시사항!$B137&lt;&gt;""),일일실시사항!$B137*10000+133,"")</f>
        <v/>
      </c>
    </row>
    <row r="134">
      <c r="BF134">
        <f>IF(AND(업무일지!$F138=$B$4,업무일지!$B138&lt;&gt;""),업무일지!$B138*10000+134,"")</f>
        <v/>
      </c>
      <c r="BH134">
        <f>IF(AND(일일실시사항!$G138=$B$4,일일실시사항!$B138&lt;&gt;""),일일실시사항!$B138*10000+134,"")</f>
        <v/>
      </c>
    </row>
    <row r="135">
      <c r="BF135">
        <f>IF(AND(업무일지!$F139=$B$4,업무일지!$B139&lt;&gt;""),업무일지!$B139*10000+135,"")</f>
        <v/>
      </c>
      <c r="BH135">
        <f>IF(AND(일일실시사항!$G139=$B$4,일일실시사항!$B139&lt;&gt;""),일일실시사항!$B139*10000+135,"")</f>
        <v/>
      </c>
    </row>
    <row r="136">
      <c r="BF136">
        <f>IF(AND(업무일지!$F140=$B$4,업무일지!$B140&lt;&gt;""),업무일지!$B140*10000+136,"")</f>
        <v/>
      </c>
      <c r="BH136">
        <f>IF(AND(일일실시사항!$G140=$B$4,일일실시사항!$B140&lt;&gt;""),일일실시사항!$B140*10000+136,"")</f>
        <v/>
      </c>
    </row>
    <row r="137">
      <c r="BF137">
        <f>IF(AND(업무일지!$F141=$B$4,업무일지!$B141&lt;&gt;""),업무일지!$B141*10000+137,"")</f>
        <v/>
      </c>
      <c r="BH137">
        <f>IF(AND(일일실시사항!$G141=$B$4,일일실시사항!$B141&lt;&gt;""),일일실시사항!$B141*10000+137,"")</f>
        <v/>
      </c>
    </row>
    <row r="138">
      <c r="BF138">
        <f>IF(AND(업무일지!$F142=$B$4,업무일지!$B142&lt;&gt;""),업무일지!$B142*10000+138,"")</f>
        <v/>
      </c>
      <c r="BH138">
        <f>IF(AND(일일실시사항!$G142=$B$4,일일실시사항!$B142&lt;&gt;""),일일실시사항!$B142*10000+138,"")</f>
        <v/>
      </c>
    </row>
    <row r="139">
      <c r="BF139">
        <f>IF(AND(업무일지!$F143=$B$4,업무일지!$B143&lt;&gt;""),업무일지!$B143*10000+139,"")</f>
        <v/>
      </c>
      <c r="BH139">
        <f>IF(AND(일일실시사항!$G143=$B$4,일일실시사항!$B143&lt;&gt;""),일일실시사항!$B143*10000+139,"")</f>
        <v/>
      </c>
    </row>
    <row r="140">
      <c r="BF140">
        <f>IF(AND(업무일지!$F144=$B$4,업무일지!$B144&lt;&gt;""),업무일지!$B144*10000+140,"")</f>
        <v/>
      </c>
      <c r="BH140">
        <f>IF(AND(일일실시사항!$G144=$B$4,일일실시사항!$B144&lt;&gt;""),일일실시사항!$B144*10000+140,"")</f>
        <v/>
      </c>
    </row>
    <row r="141">
      <c r="BF141">
        <f>IF(AND(업무일지!$F145=$B$4,업무일지!$B145&lt;&gt;""),업무일지!$B145*10000+141,"")</f>
        <v/>
      </c>
      <c r="BH141">
        <f>IF(AND(일일실시사항!$G145=$B$4,일일실시사항!$B145&lt;&gt;""),일일실시사항!$B145*10000+141,"")</f>
        <v/>
      </c>
    </row>
    <row r="142">
      <c r="BF142">
        <f>IF(AND(업무일지!$F146=$B$4,업무일지!$B146&lt;&gt;""),업무일지!$B146*10000+142,"")</f>
        <v/>
      </c>
      <c r="BH142">
        <f>IF(AND(일일실시사항!$G146=$B$4,일일실시사항!$B146&lt;&gt;""),일일실시사항!$B146*10000+142,"")</f>
        <v/>
      </c>
    </row>
    <row r="143">
      <c r="BF143">
        <f>IF(AND(업무일지!$F147=$B$4,업무일지!$B147&lt;&gt;""),업무일지!$B147*10000+143,"")</f>
        <v/>
      </c>
      <c r="BH143">
        <f>IF(AND(일일실시사항!$G147=$B$4,일일실시사항!$B147&lt;&gt;""),일일실시사항!$B147*10000+143,"")</f>
        <v/>
      </c>
    </row>
    <row r="144">
      <c r="BF144">
        <f>IF(AND(업무일지!$F148=$B$4,업무일지!$B148&lt;&gt;""),업무일지!$B148*10000+144,"")</f>
        <v/>
      </c>
      <c r="BH144">
        <f>IF(AND(일일실시사항!$G148=$B$4,일일실시사항!$B148&lt;&gt;""),일일실시사항!$B148*10000+144,"")</f>
        <v/>
      </c>
    </row>
    <row r="145">
      <c r="BF145">
        <f>IF(AND(업무일지!$F149=$B$4,업무일지!$B149&lt;&gt;""),업무일지!$B149*10000+145,"")</f>
        <v/>
      </c>
      <c r="BH145">
        <f>IF(AND(일일실시사항!$G149=$B$4,일일실시사항!$B149&lt;&gt;""),일일실시사항!$B149*10000+145,"")</f>
        <v/>
      </c>
    </row>
    <row r="146">
      <c r="BF146">
        <f>IF(AND(업무일지!$F150=$B$4,업무일지!$B150&lt;&gt;""),업무일지!$B150*10000+146,"")</f>
        <v/>
      </c>
      <c r="BH146">
        <f>IF(AND(일일실시사항!$G150=$B$4,일일실시사항!$B150&lt;&gt;""),일일실시사항!$B150*10000+146,"")</f>
        <v/>
      </c>
    </row>
    <row r="147">
      <c r="BF147">
        <f>IF(AND(업무일지!$F151=$B$4,업무일지!$B151&lt;&gt;""),업무일지!$B151*10000+147,"")</f>
        <v/>
      </c>
      <c r="BH147">
        <f>IF(AND(일일실시사항!$G151=$B$4,일일실시사항!$B151&lt;&gt;""),일일실시사항!$B151*10000+147,"")</f>
        <v/>
      </c>
    </row>
    <row r="148">
      <c r="BF148">
        <f>IF(AND(업무일지!$F152=$B$4,업무일지!$B152&lt;&gt;""),업무일지!$B152*10000+148,"")</f>
        <v/>
      </c>
      <c r="BH148">
        <f>IF(AND(일일실시사항!$G152=$B$4,일일실시사항!$B152&lt;&gt;""),일일실시사항!$B152*10000+148,"")</f>
        <v/>
      </c>
    </row>
    <row r="149">
      <c r="BF149">
        <f>IF(AND(업무일지!$F153=$B$4,업무일지!$B153&lt;&gt;""),업무일지!$B153*10000+149,"")</f>
        <v/>
      </c>
      <c r="BH149">
        <f>IF(AND(일일실시사항!$G153=$B$4,일일실시사항!$B153&lt;&gt;""),일일실시사항!$B153*10000+149,"")</f>
        <v/>
      </c>
    </row>
    <row r="150">
      <c r="BF150">
        <f>IF(AND(업무일지!$F154=$B$4,업무일지!$B154&lt;&gt;""),업무일지!$B154*10000+150,"")</f>
        <v/>
      </c>
      <c r="BH150">
        <f>IF(AND(일일실시사항!$G154=$B$4,일일실시사항!$B154&lt;&gt;""),일일실시사항!$B154*10000+150,"")</f>
        <v/>
      </c>
    </row>
    <row r="151">
      <c r="BF151">
        <f>IF(AND(업무일지!$F155=$B$4,업무일지!$B155&lt;&gt;""),업무일지!$B155*10000+151,"")</f>
        <v/>
      </c>
      <c r="BH151">
        <f>IF(AND(일일실시사항!$G155=$B$4,일일실시사항!$B155&lt;&gt;""),일일실시사항!$B155*10000+151,"")</f>
        <v/>
      </c>
    </row>
    <row r="152">
      <c r="BF152">
        <f>IF(AND(업무일지!$F156=$B$4,업무일지!$B156&lt;&gt;""),업무일지!$B156*10000+152,"")</f>
        <v/>
      </c>
      <c r="BH152">
        <f>IF(AND(일일실시사항!$G156=$B$4,일일실시사항!$B156&lt;&gt;""),일일실시사항!$B156*10000+152,"")</f>
        <v/>
      </c>
    </row>
    <row r="153">
      <c r="BF153">
        <f>IF(AND(업무일지!$F157=$B$4,업무일지!$B157&lt;&gt;""),업무일지!$B157*10000+153,"")</f>
        <v/>
      </c>
      <c r="BH153">
        <f>IF(AND(일일실시사항!$G157=$B$4,일일실시사항!$B157&lt;&gt;""),일일실시사항!$B157*10000+153,"")</f>
        <v/>
      </c>
    </row>
    <row r="154">
      <c r="BF154">
        <f>IF(AND(업무일지!$F158=$B$4,업무일지!$B158&lt;&gt;""),업무일지!$B158*10000+154,"")</f>
        <v/>
      </c>
      <c r="BH154">
        <f>IF(AND(일일실시사항!$G158=$B$4,일일실시사항!$B158&lt;&gt;""),일일실시사항!$B158*10000+154,"")</f>
        <v/>
      </c>
    </row>
    <row r="155">
      <c r="BF155">
        <f>IF(AND(업무일지!$F159=$B$4,업무일지!$B159&lt;&gt;""),업무일지!$B159*10000+155,"")</f>
        <v/>
      </c>
      <c r="BH155">
        <f>IF(AND(일일실시사항!$G159=$B$4,일일실시사항!$B159&lt;&gt;""),일일실시사항!$B159*10000+155,"")</f>
        <v/>
      </c>
    </row>
    <row r="156">
      <c r="BF156">
        <f>IF(AND(업무일지!$F160=$B$4,업무일지!$B160&lt;&gt;""),업무일지!$B160*10000+156,"")</f>
        <v/>
      </c>
      <c r="BH156">
        <f>IF(AND(일일실시사항!$G160=$B$4,일일실시사항!$B160&lt;&gt;""),일일실시사항!$B160*10000+156,"")</f>
        <v/>
      </c>
    </row>
    <row r="157">
      <c r="BF157">
        <f>IF(AND(업무일지!$F161=$B$4,업무일지!$B161&lt;&gt;""),업무일지!$B161*10000+157,"")</f>
        <v/>
      </c>
      <c r="BH157">
        <f>IF(AND(일일실시사항!$G161=$B$4,일일실시사항!$B161&lt;&gt;""),일일실시사항!$B161*10000+157,"")</f>
        <v/>
      </c>
    </row>
    <row r="158">
      <c r="BF158">
        <f>IF(AND(업무일지!$F162=$B$4,업무일지!$B162&lt;&gt;""),업무일지!$B162*10000+158,"")</f>
        <v/>
      </c>
      <c r="BH158">
        <f>IF(AND(일일실시사항!$G162=$B$4,일일실시사항!$B162&lt;&gt;""),일일실시사항!$B162*10000+158,"")</f>
        <v/>
      </c>
    </row>
    <row r="159">
      <c r="BF159">
        <f>IF(AND(업무일지!$F163=$B$4,업무일지!$B163&lt;&gt;""),업무일지!$B163*10000+159,"")</f>
        <v/>
      </c>
      <c r="BH159">
        <f>IF(AND(일일실시사항!$G163=$B$4,일일실시사항!$B163&lt;&gt;""),일일실시사항!$B163*10000+159,"")</f>
        <v/>
      </c>
    </row>
    <row r="160">
      <c r="BF160">
        <f>IF(AND(업무일지!$F164=$B$4,업무일지!$B164&lt;&gt;""),업무일지!$B164*10000+160,"")</f>
        <v/>
      </c>
      <c r="BH160">
        <f>IF(AND(일일실시사항!$G164=$B$4,일일실시사항!$B164&lt;&gt;""),일일실시사항!$B164*10000+160,"")</f>
        <v/>
      </c>
    </row>
    <row r="161">
      <c r="BF161">
        <f>IF(AND(업무일지!$F165=$B$4,업무일지!$B165&lt;&gt;""),업무일지!$B165*10000+161,"")</f>
        <v/>
      </c>
      <c r="BH161">
        <f>IF(AND(일일실시사항!$G165=$B$4,일일실시사항!$B165&lt;&gt;""),일일실시사항!$B165*10000+161,"")</f>
        <v/>
      </c>
    </row>
    <row r="162">
      <c r="BF162">
        <f>IF(AND(업무일지!$F166=$B$4,업무일지!$B166&lt;&gt;""),업무일지!$B166*10000+162,"")</f>
        <v/>
      </c>
      <c r="BH162">
        <f>IF(AND(일일실시사항!$G166=$B$4,일일실시사항!$B166&lt;&gt;""),일일실시사항!$B166*10000+162,"")</f>
        <v/>
      </c>
    </row>
    <row r="163">
      <c r="BF163">
        <f>IF(AND(업무일지!$F167=$B$4,업무일지!$B167&lt;&gt;""),업무일지!$B167*10000+163,"")</f>
        <v/>
      </c>
      <c r="BH163">
        <f>IF(AND(일일실시사항!$G167=$B$4,일일실시사항!$B167&lt;&gt;""),일일실시사항!$B167*10000+163,"")</f>
        <v/>
      </c>
    </row>
    <row r="164">
      <c r="BF164">
        <f>IF(AND(업무일지!$F168=$B$4,업무일지!$B168&lt;&gt;""),업무일지!$B168*10000+164,"")</f>
        <v/>
      </c>
      <c r="BH164">
        <f>IF(AND(일일실시사항!$G168=$B$4,일일실시사항!$B168&lt;&gt;""),일일실시사항!$B168*10000+164,"")</f>
        <v/>
      </c>
    </row>
    <row r="165">
      <c r="BF165">
        <f>IF(AND(업무일지!$F169=$B$4,업무일지!$B169&lt;&gt;""),업무일지!$B169*10000+165,"")</f>
        <v/>
      </c>
      <c r="BH165">
        <f>IF(AND(일일실시사항!$G169=$B$4,일일실시사항!$B169&lt;&gt;""),일일실시사항!$B169*10000+165,"")</f>
        <v/>
      </c>
    </row>
    <row r="166">
      <c r="BF166">
        <f>IF(AND(업무일지!$F170=$B$4,업무일지!$B170&lt;&gt;""),업무일지!$B170*10000+166,"")</f>
        <v/>
      </c>
      <c r="BH166">
        <f>IF(AND(일일실시사항!$G170=$B$4,일일실시사항!$B170&lt;&gt;""),일일실시사항!$B170*10000+166,"")</f>
        <v/>
      </c>
    </row>
    <row r="167">
      <c r="BF167">
        <f>IF(AND(업무일지!$F171=$B$4,업무일지!$B171&lt;&gt;""),업무일지!$B171*10000+167,"")</f>
        <v/>
      </c>
      <c r="BH167">
        <f>IF(AND(일일실시사항!$G171=$B$4,일일실시사항!$B171&lt;&gt;""),일일실시사항!$B171*10000+167,"")</f>
        <v/>
      </c>
    </row>
    <row r="168">
      <c r="BF168">
        <f>IF(AND(업무일지!$F172=$B$4,업무일지!$B172&lt;&gt;""),업무일지!$B172*10000+168,"")</f>
        <v/>
      </c>
      <c r="BH168">
        <f>IF(AND(일일실시사항!$G172=$B$4,일일실시사항!$B172&lt;&gt;""),일일실시사항!$B172*10000+168,"")</f>
        <v/>
      </c>
    </row>
    <row r="169">
      <c r="BF169">
        <f>IF(AND(업무일지!$F173=$B$4,업무일지!$B173&lt;&gt;""),업무일지!$B173*10000+169,"")</f>
        <v/>
      </c>
      <c r="BH169">
        <f>IF(AND(일일실시사항!$G173=$B$4,일일실시사항!$B173&lt;&gt;""),일일실시사항!$B173*10000+169,"")</f>
        <v/>
      </c>
    </row>
    <row r="170">
      <c r="BF170">
        <f>IF(AND(업무일지!$F174=$B$4,업무일지!$B174&lt;&gt;""),업무일지!$B174*10000+170,"")</f>
        <v/>
      </c>
      <c r="BH170">
        <f>IF(AND(일일실시사항!$G174=$B$4,일일실시사항!$B174&lt;&gt;""),일일실시사항!$B174*10000+170,"")</f>
        <v/>
      </c>
    </row>
    <row r="171">
      <c r="BF171">
        <f>IF(AND(업무일지!$F175=$B$4,업무일지!$B175&lt;&gt;""),업무일지!$B175*10000+171,"")</f>
        <v/>
      </c>
      <c r="BH171">
        <f>IF(AND(일일실시사항!$G175=$B$4,일일실시사항!$B175&lt;&gt;""),일일실시사항!$B175*10000+171,"")</f>
        <v/>
      </c>
    </row>
    <row r="172">
      <c r="BF172">
        <f>IF(AND(업무일지!$F176=$B$4,업무일지!$B176&lt;&gt;""),업무일지!$B176*10000+172,"")</f>
        <v/>
      </c>
      <c r="BH172">
        <f>IF(AND(일일실시사항!$G176=$B$4,일일실시사항!$B176&lt;&gt;""),일일실시사항!$B176*10000+172,"")</f>
        <v/>
      </c>
    </row>
    <row r="173">
      <c r="BF173">
        <f>IF(AND(업무일지!$F177=$B$4,업무일지!$B177&lt;&gt;""),업무일지!$B177*10000+173,"")</f>
        <v/>
      </c>
      <c r="BH173">
        <f>IF(AND(일일실시사항!$G177=$B$4,일일실시사항!$B177&lt;&gt;""),일일실시사항!$B177*10000+173,"")</f>
        <v/>
      </c>
    </row>
    <row r="174">
      <c r="BF174">
        <f>IF(AND(업무일지!$F178=$B$4,업무일지!$B178&lt;&gt;""),업무일지!$B178*10000+174,"")</f>
        <v/>
      </c>
      <c r="BH174">
        <f>IF(AND(일일실시사항!$G178=$B$4,일일실시사항!$B178&lt;&gt;""),일일실시사항!$B178*10000+174,"")</f>
        <v/>
      </c>
    </row>
    <row r="175">
      <c r="BF175">
        <f>IF(AND(업무일지!$F179=$B$4,업무일지!$B179&lt;&gt;""),업무일지!$B179*10000+175,"")</f>
        <v/>
      </c>
      <c r="BH175">
        <f>IF(AND(일일실시사항!$G179=$B$4,일일실시사항!$B179&lt;&gt;""),일일실시사항!$B179*10000+175,"")</f>
        <v/>
      </c>
    </row>
    <row r="176">
      <c r="BF176">
        <f>IF(AND(업무일지!$F180=$B$4,업무일지!$B180&lt;&gt;""),업무일지!$B180*10000+176,"")</f>
        <v/>
      </c>
      <c r="BH176">
        <f>IF(AND(일일실시사항!$G180=$B$4,일일실시사항!$B180&lt;&gt;""),일일실시사항!$B180*10000+176,"")</f>
        <v/>
      </c>
    </row>
    <row r="177">
      <c r="BF177">
        <f>IF(AND(업무일지!$F181=$B$4,업무일지!$B181&lt;&gt;""),업무일지!$B181*10000+177,"")</f>
        <v/>
      </c>
      <c r="BH177">
        <f>IF(AND(일일실시사항!$G181=$B$4,일일실시사항!$B181&lt;&gt;""),일일실시사항!$B181*10000+177,"")</f>
        <v/>
      </c>
    </row>
    <row r="178">
      <c r="BF178">
        <f>IF(AND(업무일지!$F182=$B$4,업무일지!$B182&lt;&gt;""),업무일지!$B182*10000+178,"")</f>
        <v/>
      </c>
      <c r="BH178">
        <f>IF(AND(일일실시사항!$G182=$B$4,일일실시사항!$B182&lt;&gt;""),일일실시사항!$B182*10000+178,"")</f>
        <v/>
      </c>
    </row>
    <row r="179">
      <c r="BF179">
        <f>IF(AND(업무일지!$F183=$B$4,업무일지!$B183&lt;&gt;""),업무일지!$B183*10000+179,"")</f>
        <v/>
      </c>
      <c r="BH179">
        <f>IF(AND(일일실시사항!$G183=$B$4,일일실시사항!$B183&lt;&gt;""),일일실시사항!$B183*10000+179,"")</f>
        <v/>
      </c>
    </row>
    <row r="180">
      <c r="BF180">
        <f>IF(AND(업무일지!$F184=$B$4,업무일지!$B184&lt;&gt;""),업무일지!$B184*10000+180,"")</f>
        <v/>
      </c>
      <c r="BH180">
        <f>IF(AND(일일실시사항!$G184=$B$4,일일실시사항!$B184&lt;&gt;""),일일실시사항!$B184*10000+180,"")</f>
        <v/>
      </c>
    </row>
    <row r="181">
      <c r="BF181">
        <f>IF(AND(업무일지!$F185=$B$4,업무일지!$B185&lt;&gt;""),업무일지!$B185*10000+181,"")</f>
        <v/>
      </c>
      <c r="BH181">
        <f>IF(AND(일일실시사항!$G185=$B$4,일일실시사항!$B185&lt;&gt;""),일일실시사항!$B185*10000+181,"")</f>
        <v/>
      </c>
    </row>
    <row r="182">
      <c r="BF182">
        <f>IF(AND(업무일지!$F186=$B$4,업무일지!$B186&lt;&gt;""),업무일지!$B186*10000+182,"")</f>
        <v/>
      </c>
      <c r="BH182">
        <f>IF(AND(일일실시사항!$G186=$B$4,일일실시사항!$B186&lt;&gt;""),일일실시사항!$B186*10000+182,"")</f>
        <v/>
      </c>
    </row>
    <row r="183">
      <c r="BF183">
        <f>IF(AND(업무일지!$F187=$B$4,업무일지!$B187&lt;&gt;""),업무일지!$B187*10000+183,"")</f>
        <v/>
      </c>
      <c r="BH183">
        <f>IF(AND(일일실시사항!$G187=$B$4,일일실시사항!$B187&lt;&gt;""),일일실시사항!$B187*10000+183,"")</f>
        <v/>
      </c>
    </row>
    <row r="184">
      <c r="BF184">
        <f>IF(AND(업무일지!$F188=$B$4,업무일지!$B188&lt;&gt;""),업무일지!$B188*10000+184,"")</f>
        <v/>
      </c>
      <c r="BH184">
        <f>IF(AND(일일실시사항!$G188=$B$4,일일실시사항!$B188&lt;&gt;""),일일실시사항!$B188*10000+184,"")</f>
        <v/>
      </c>
    </row>
    <row r="185">
      <c r="BF185">
        <f>IF(AND(업무일지!$F189=$B$4,업무일지!$B189&lt;&gt;""),업무일지!$B189*10000+185,"")</f>
        <v/>
      </c>
      <c r="BH185">
        <f>IF(AND(일일실시사항!$G189=$B$4,일일실시사항!$B189&lt;&gt;""),일일실시사항!$B189*10000+185,"")</f>
        <v/>
      </c>
    </row>
    <row r="186">
      <c r="BF186">
        <f>IF(AND(업무일지!$F190=$B$4,업무일지!$B190&lt;&gt;""),업무일지!$B190*10000+186,"")</f>
        <v/>
      </c>
      <c r="BH186">
        <f>IF(AND(일일실시사항!$G190=$B$4,일일실시사항!$B190&lt;&gt;""),일일실시사항!$B190*10000+186,"")</f>
        <v/>
      </c>
    </row>
    <row r="187">
      <c r="BF187">
        <f>IF(AND(업무일지!$F191=$B$4,업무일지!$B191&lt;&gt;""),업무일지!$B191*10000+187,"")</f>
        <v/>
      </c>
      <c r="BH187">
        <f>IF(AND(일일실시사항!$G191=$B$4,일일실시사항!$B191&lt;&gt;""),일일실시사항!$B191*10000+187,"")</f>
        <v/>
      </c>
    </row>
    <row r="188">
      <c r="BF188">
        <f>IF(AND(업무일지!$F192=$B$4,업무일지!$B192&lt;&gt;""),업무일지!$B192*10000+188,"")</f>
        <v/>
      </c>
      <c r="BH188">
        <f>IF(AND(일일실시사항!$G192=$B$4,일일실시사항!$B192&lt;&gt;""),일일실시사항!$B192*10000+188,"")</f>
        <v/>
      </c>
    </row>
    <row r="189">
      <c r="BF189">
        <f>IF(AND(업무일지!$F193=$B$4,업무일지!$B193&lt;&gt;""),업무일지!$B193*10000+189,"")</f>
        <v/>
      </c>
      <c r="BH189">
        <f>IF(AND(일일실시사항!$G193=$B$4,일일실시사항!$B193&lt;&gt;""),일일실시사항!$B193*10000+189,"")</f>
        <v/>
      </c>
    </row>
    <row r="190">
      <c r="BF190">
        <f>IF(AND(업무일지!$F194=$B$4,업무일지!$B194&lt;&gt;""),업무일지!$B194*10000+190,"")</f>
        <v/>
      </c>
      <c r="BH190">
        <f>IF(AND(일일실시사항!$G194=$B$4,일일실시사항!$B194&lt;&gt;""),일일실시사항!$B194*10000+190,"")</f>
        <v/>
      </c>
    </row>
    <row r="191">
      <c r="BF191">
        <f>IF(AND(업무일지!$F195=$B$4,업무일지!$B195&lt;&gt;""),업무일지!$B195*10000+191,"")</f>
        <v/>
      </c>
      <c r="BH191">
        <f>IF(AND(일일실시사항!$G195=$B$4,일일실시사항!$B195&lt;&gt;""),일일실시사항!$B195*10000+191,"")</f>
        <v/>
      </c>
    </row>
    <row r="192">
      <c r="BF192">
        <f>IF(AND(업무일지!$F196=$B$4,업무일지!$B196&lt;&gt;""),업무일지!$B196*10000+192,"")</f>
        <v/>
      </c>
      <c r="BH192">
        <f>IF(AND(일일실시사항!$G196=$B$4,일일실시사항!$B196&lt;&gt;""),일일실시사항!$B196*10000+192,"")</f>
        <v/>
      </c>
    </row>
    <row r="193">
      <c r="BF193">
        <f>IF(AND(업무일지!$F197=$B$4,업무일지!$B197&lt;&gt;""),업무일지!$B197*10000+193,"")</f>
        <v/>
      </c>
      <c r="BH193">
        <f>IF(AND(일일실시사항!$G197=$B$4,일일실시사항!$B197&lt;&gt;""),일일실시사항!$B197*10000+193,"")</f>
        <v/>
      </c>
    </row>
    <row r="194">
      <c r="BF194">
        <f>IF(AND(업무일지!$F198=$B$4,업무일지!$B198&lt;&gt;""),업무일지!$B198*10000+194,"")</f>
        <v/>
      </c>
      <c r="BH194">
        <f>IF(AND(일일실시사항!$G198=$B$4,일일실시사항!$B198&lt;&gt;""),일일실시사항!$B198*10000+194,"")</f>
        <v/>
      </c>
    </row>
    <row r="195">
      <c r="BF195">
        <f>IF(AND(업무일지!$F199=$B$4,업무일지!$B199&lt;&gt;""),업무일지!$B199*10000+195,"")</f>
        <v/>
      </c>
      <c r="BH195">
        <f>IF(AND(일일실시사항!$G199=$B$4,일일실시사항!$B199&lt;&gt;""),일일실시사항!$B199*10000+195,"")</f>
        <v/>
      </c>
    </row>
    <row r="196">
      <c r="BF196">
        <f>IF(AND(업무일지!$F200=$B$4,업무일지!$B200&lt;&gt;""),업무일지!$B200*10000+196,"")</f>
        <v/>
      </c>
      <c r="BH196">
        <f>IF(AND(일일실시사항!$G200=$B$4,일일실시사항!$B200&lt;&gt;""),일일실시사항!$B200*10000+196,"")</f>
        <v/>
      </c>
    </row>
    <row r="197">
      <c r="BF197">
        <f>IF(AND(업무일지!$F201=$B$4,업무일지!$B201&lt;&gt;""),업무일지!$B201*10000+197,"")</f>
        <v/>
      </c>
      <c r="BH197">
        <f>IF(AND(일일실시사항!$G201=$B$4,일일실시사항!$B201&lt;&gt;""),일일실시사항!$B201*10000+197,"")</f>
        <v/>
      </c>
    </row>
    <row r="198">
      <c r="BF198">
        <f>IF(AND(업무일지!$F202=$B$4,업무일지!$B202&lt;&gt;""),업무일지!$B202*10000+198,"")</f>
        <v/>
      </c>
      <c r="BH198">
        <f>IF(AND(일일실시사항!$G202=$B$4,일일실시사항!$B202&lt;&gt;""),일일실시사항!$B202*10000+198,"")</f>
        <v/>
      </c>
    </row>
    <row r="199">
      <c r="BF199">
        <f>IF(AND(업무일지!$F203=$B$4,업무일지!$B203&lt;&gt;""),업무일지!$B203*10000+199,"")</f>
        <v/>
      </c>
      <c r="BH199">
        <f>IF(AND(일일실시사항!$G203=$B$4,일일실시사항!$B203&lt;&gt;""),일일실시사항!$B203*10000+199,"")</f>
        <v/>
      </c>
    </row>
    <row r="200">
      <c r="BF200">
        <f>IF(AND(업무일지!$F204=$B$4,업무일지!$B204&lt;&gt;""),업무일지!$B204*10000+200,"")</f>
        <v/>
      </c>
      <c r="BH200">
        <f>IF(AND(일일실시사항!$G204=$B$4,일일실시사항!$B204&lt;&gt;""),일일실시사항!$B204*10000+200,"")</f>
        <v/>
      </c>
    </row>
    <row r="201">
      <c r="BF201">
        <f>IF(AND(업무일지!$F205=$B$4,업무일지!$B205&lt;&gt;""),업무일지!$B205*10000+201,"")</f>
        <v/>
      </c>
      <c r="BH201">
        <f>IF(AND(일일실시사항!$G205=$B$4,일일실시사항!$B205&lt;&gt;""),일일실시사항!$B205*10000+201,"")</f>
        <v/>
      </c>
    </row>
    <row r="202">
      <c r="BF202">
        <f>IF(AND(업무일지!$F206=$B$4,업무일지!$B206&lt;&gt;""),업무일지!$B206*10000+202,"")</f>
        <v/>
      </c>
      <c r="BH202">
        <f>IF(AND(일일실시사항!$G206=$B$4,일일실시사항!$B206&lt;&gt;""),일일실시사항!$B206*10000+202,"")</f>
        <v/>
      </c>
    </row>
    <row r="203">
      <c r="BF203">
        <f>IF(AND(업무일지!$F207=$B$4,업무일지!$B207&lt;&gt;""),업무일지!$B207*10000+203,"")</f>
        <v/>
      </c>
      <c r="BH203">
        <f>IF(AND(일일실시사항!$G207=$B$4,일일실시사항!$B207&lt;&gt;""),일일실시사항!$B207*10000+203,"")</f>
        <v/>
      </c>
    </row>
    <row r="204">
      <c r="BF204">
        <f>IF(AND(업무일지!$F208=$B$4,업무일지!$B208&lt;&gt;""),업무일지!$B208*10000+204,"")</f>
        <v/>
      </c>
      <c r="BH204">
        <f>IF(AND(일일실시사항!$G208=$B$4,일일실시사항!$B208&lt;&gt;""),일일실시사항!$B208*10000+204,"")</f>
        <v/>
      </c>
    </row>
    <row r="205">
      <c r="BF205">
        <f>IF(AND(업무일지!$F209=$B$4,업무일지!$B209&lt;&gt;""),업무일지!$B209*10000+205,"")</f>
        <v/>
      </c>
      <c r="BH205">
        <f>IF(AND(일일실시사항!$G209=$B$4,일일실시사항!$B209&lt;&gt;""),일일실시사항!$B209*10000+205,"")</f>
        <v/>
      </c>
    </row>
    <row r="206">
      <c r="BF206">
        <f>IF(AND(업무일지!$F210=$B$4,업무일지!$B210&lt;&gt;""),업무일지!$B210*10000+206,"")</f>
        <v/>
      </c>
      <c r="BH206">
        <f>IF(AND(일일실시사항!$G210=$B$4,일일실시사항!$B210&lt;&gt;""),일일실시사항!$B210*10000+206,"")</f>
        <v/>
      </c>
    </row>
    <row r="207">
      <c r="BF207">
        <f>IF(AND(업무일지!$F211=$B$4,업무일지!$B211&lt;&gt;""),업무일지!$B211*10000+207,"")</f>
        <v/>
      </c>
      <c r="BH207">
        <f>IF(AND(일일실시사항!$G211=$B$4,일일실시사항!$B211&lt;&gt;""),일일실시사항!$B211*10000+207,"")</f>
        <v/>
      </c>
    </row>
    <row r="208">
      <c r="BF208">
        <f>IF(AND(업무일지!$F212=$B$4,업무일지!$B212&lt;&gt;""),업무일지!$B212*10000+208,"")</f>
        <v/>
      </c>
      <c r="BH208">
        <f>IF(AND(일일실시사항!$G212=$B$4,일일실시사항!$B212&lt;&gt;""),일일실시사항!$B212*10000+208,"")</f>
        <v/>
      </c>
    </row>
    <row r="209">
      <c r="BF209">
        <f>IF(AND(업무일지!$F213=$B$4,업무일지!$B213&lt;&gt;""),업무일지!$B213*10000+209,"")</f>
        <v/>
      </c>
      <c r="BH209">
        <f>IF(AND(일일실시사항!$G213=$B$4,일일실시사항!$B213&lt;&gt;""),일일실시사항!$B213*10000+209,"")</f>
        <v/>
      </c>
    </row>
    <row r="210">
      <c r="BF210">
        <f>IF(AND(업무일지!$F214=$B$4,업무일지!$B214&lt;&gt;""),업무일지!$B214*10000+210,"")</f>
        <v/>
      </c>
      <c r="BH210">
        <f>IF(AND(일일실시사항!$G214=$B$4,일일실시사항!$B214&lt;&gt;""),일일실시사항!$B214*10000+210,"")</f>
        <v/>
      </c>
    </row>
    <row r="211">
      <c r="BF211">
        <f>IF(AND(업무일지!$F215=$B$4,업무일지!$B215&lt;&gt;""),업무일지!$B215*10000+211,"")</f>
        <v/>
      </c>
      <c r="BH211">
        <f>IF(AND(일일실시사항!$G215=$B$4,일일실시사항!$B215&lt;&gt;""),일일실시사항!$B215*10000+211,"")</f>
        <v/>
      </c>
    </row>
    <row r="212">
      <c r="BF212">
        <f>IF(AND(업무일지!$F216=$B$4,업무일지!$B216&lt;&gt;""),업무일지!$B216*10000+212,"")</f>
        <v/>
      </c>
      <c r="BH212">
        <f>IF(AND(일일실시사항!$G216=$B$4,일일실시사항!$B216&lt;&gt;""),일일실시사항!$B216*10000+212,"")</f>
        <v/>
      </c>
    </row>
    <row r="213">
      <c r="BF213">
        <f>IF(AND(업무일지!$F217=$B$4,업무일지!$B217&lt;&gt;""),업무일지!$B217*10000+213,"")</f>
        <v/>
      </c>
      <c r="BH213">
        <f>IF(AND(일일실시사항!$G217=$B$4,일일실시사항!$B217&lt;&gt;""),일일실시사항!$B217*10000+213,"")</f>
        <v/>
      </c>
    </row>
    <row r="214">
      <c r="BF214">
        <f>IF(AND(업무일지!$F218=$B$4,업무일지!$B218&lt;&gt;""),업무일지!$B218*10000+214,"")</f>
        <v/>
      </c>
      <c r="BH214">
        <f>IF(AND(일일실시사항!$G218=$B$4,일일실시사항!$B218&lt;&gt;""),일일실시사항!$B218*10000+214,"")</f>
        <v/>
      </c>
    </row>
    <row r="215">
      <c r="BF215">
        <f>IF(AND(업무일지!$F219=$B$4,업무일지!$B219&lt;&gt;""),업무일지!$B219*10000+215,"")</f>
        <v/>
      </c>
      <c r="BH215">
        <f>IF(AND(일일실시사항!$G219=$B$4,일일실시사항!$B219&lt;&gt;""),일일실시사항!$B219*10000+215,"")</f>
        <v/>
      </c>
    </row>
    <row r="216">
      <c r="BF216">
        <f>IF(AND(업무일지!$F220=$B$4,업무일지!$B220&lt;&gt;""),업무일지!$B220*10000+216,"")</f>
        <v/>
      </c>
      <c r="BH216">
        <f>IF(AND(일일실시사항!$G220=$B$4,일일실시사항!$B220&lt;&gt;""),일일실시사항!$B220*10000+216,"")</f>
        <v/>
      </c>
    </row>
    <row r="217">
      <c r="BF217">
        <f>IF(AND(업무일지!$F221=$B$4,업무일지!$B221&lt;&gt;""),업무일지!$B221*10000+217,"")</f>
        <v/>
      </c>
      <c r="BH217">
        <f>IF(AND(일일실시사항!$G221=$B$4,일일실시사항!$B221&lt;&gt;""),일일실시사항!$B221*10000+217,"")</f>
        <v/>
      </c>
    </row>
    <row r="218">
      <c r="BF218">
        <f>IF(AND(업무일지!$F222=$B$4,업무일지!$B222&lt;&gt;""),업무일지!$B222*10000+218,"")</f>
        <v/>
      </c>
      <c r="BH218">
        <f>IF(AND(일일실시사항!$G222=$B$4,일일실시사항!$B222&lt;&gt;""),일일실시사항!$B222*10000+218,"")</f>
        <v/>
      </c>
    </row>
    <row r="219">
      <c r="BF219">
        <f>IF(AND(업무일지!$F223=$B$4,업무일지!$B223&lt;&gt;""),업무일지!$B223*10000+219,"")</f>
        <v/>
      </c>
      <c r="BH219">
        <f>IF(AND(일일실시사항!$G223=$B$4,일일실시사항!$B223&lt;&gt;""),일일실시사항!$B223*10000+219,"")</f>
        <v/>
      </c>
    </row>
    <row r="220">
      <c r="BF220">
        <f>IF(AND(업무일지!$F224=$B$4,업무일지!$B224&lt;&gt;""),업무일지!$B224*10000+220,"")</f>
        <v/>
      </c>
      <c r="BH220">
        <f>IF(AND(일일실시사항!$G224=$B$4,일일실시사항!$B224&lt;&gt;""),일일실시사항!$B224*10000+220,"")</f>
        <v/>
      </c>
    </row>
    <row r="221">
      <c r="BF221">
        <f>IF(AND(업무일지!$F225=$B$4,업무일지!$B225&lt;&gt;""),업무일지!$B225*10000+221,"")</f>
        <v/>
      </c>
      <c r="BH221">
        <f>IF(AND(일일실시사항!$G225=$B$4,일일실시사항!$B225&lt;&gt;""),일일실시사항!$B225*10000+221,"")</f>
        <v/>
      </c>
    </row>
    <row r="222">
      <c r="BF222">
        <f>IF(AND(업무일지!$F226=$B$4,업무일지!$B226&lt;&gt;""),업무일지!$B226*10000+222,"")</f>
        <v/>
      </c>
      <c r="BH222">
        <f>IF(AND(일일실시사항!$G226=$B$4,일일실시사항!$B226&lt;&gt;""),일일실시사항!$B226*10000+222,"")</f>
        <v/>
      </c>
    </row>
    <row r="223">
      <c r="BF223">
        <f>IF(AND(업무일지!$F227=$B$4,업무일지!$B227&lt;&gt;""),업무일지!$B227*10000+223,"")</f>
        <v/>
      </c>
      <c r="BH223">
        <f>IF(AND(일일실시사항!$G227=$B$4,일일실시사항!$B227&lt;&gt;""),일일실시사항!$B227*10000+223,"")</f>
        <v/>
      </c>
    </row>
    <row r="224">
      <c r="BF224">
        <f>IF(AND(업무일지!$F228=$B$4,업무일지!$B228&lt;&gt;""),업무일지!$B228*10000+224,"")</f>
        <v/>
      </c>
      <c r="BH224">
        <f>IF(AND(일일실시사항!$G228=$B$4,일일실시사항!$B228&lt;&gt;""),일일실시사항!$B228*10000+224,"")</f>
        <v/>
      </c>
    </row>
    <row r="225">
      <c r="BF225">
        <f>IF(AND(업무일지!$F229=$B$4,업무일지!$B229&lt;&gt;""),업무일지!$B229*10000+225,"")</f>
        <v/>
      </c>
      <c r="BH225">
        <f>IF(AND(일일실시사항!$G229=$B$4,일일실시사항!$B229&lt;&gt;""),일일실시사항!$B229*10000+225,"")</f>
        <v/>
      </c>
    </row>
    <row r="226">
      <c r="BF226">
        <f>IF(AND(업무일지!$F230=$B$4,업무일지!$B230&lt;&gt;""),업무일지!$B230*10000+226,"")</f>
        <v/>
      </c>
      <c r="BH226">
        <f>IF(AND(일일실시사항!$G230=$B$4,일일실시사항!$B230&lt;&gt;""),일일실시사항!$B230*10000+226,"")</f>
        <v/>
      </c>
    </row>
    <row r="227">
      <c r="BF227">
        <f>IF(AND(업무일지!$F231=$B$4,업무일지!$B231&lt;&gt;""),업무일지!$B231*10000+227,"")</f>
        <v/>
      </c>
      <c r="BH227">
        <f>IF(AND(일일실시사항!$G231=$B$4,일일실시사항!$B231&lt;&gt;""),일일실시사항!$B231*10000+227,"")</f>
        <v/>
      </c>
    </row>
    <row r="228">
      <c r="BF228">
        <f>IF(AND(업무일지!$F232=$B$4,업무일지!$B232&lt;&gt;""),업무일지!$B232*10000+228,"")</f>
        <v/>
      </c>
      <c r="BH228">
        <f>IF(AND(일일실시사항!$G232=$B$4,일일실시사항!$B232&lt;&gt;""),일일실시사항!$B232*10000+228,"")</f>
        <v/>
      </c>
    </row>
    <row r="229">
      <c r="BF229">
        <f>IF(AND(업무일지!$F233=$B$4,업무일지!$B233&lt;&gt;""),업무일지!$B233*10000+229,"")</f>
        <v/>
      </c>
      <c r="BH229">
        <f>IF(AND(일일실시사항!$G233=$B$4,일일실시사항!$B233&lt;&gt;""),일일실시사항!$B233*10000+229,"")</f>
        <v/>
      </c>
    </row>
    <row r="230">
      <c r="BF230">
        <f>IF(AND(업무일지!$F234=$B$4,업무일지!$B234&lt;&gt;""),업무일지!$B234*10000+230,"")</f>
        <v/>
      </c>
      <c r="BH230">
        <f>IF(AND(일일실시사항!$G234=$B$4,일일실시사항!$B234&lt;&gt;""),일일실시사항!$B234*10000+230,"")</f>
        <v/>
      </c>
    </row>
    <row r="231">
      <c r="BF231">
        <f>IF(AND(업무일지!$F235=$B$4,업무일지!$B235&lt;&gt;""),업무일지!$B235*10000+231,"")</f>
        <v/>
      </c>
      <c r="BH231">
        <f>IF(AND(일일실시사항!$G235=$B$4,일일실시사항!$B235&lt;&gt;""),일일실시사항!$B235*10000+231,"")</f>
        <v/>
      </c>
    </row>
    <row r="232">
      <c r="BF232">
        <f>IF(AND(업무일지!$F236=$B$4,업무일지!$B236&lt;&gt;""),업무일지!$B236*10000+232,"")</f>
        <v/>
      </c>
      <c r="BH232">
        <f>IF(AND(일일실시사항!$G236=$B$4,일일실시사항!$B236&lt;&gt;""),일일실시사항!$B236*10000+232,"")</f>
        <v/>
      </c>
    </row>
    <row r="233">
      <c r="BF233">
        <f>IF(AND(업무일지!$F237=$B$4,업무일지!$B237&lt;&gt;""),업무일지!$B237*10000+233,"")</f>
        <v/>
      </c>
      <c r="BH233">
        <f>IF(AND(일일실시사항!$G237=$B$4,일일실시사항!$B237&lt;&gt;""),일일실시사항!$B237*10000+233,"")</f>
        <v/>
      </c>
    </row>
    <row r="234">
      <c r="BF234">
        <f>IF(AND(업무일지!$F238=$B$4,업무일지!$B238&lt;&gt;""),업무일지!$B238*10000+234,"")</f>
        <v/>
      </c>
      <c r="BH234">
        <f>IF(AND(일일실시사항!$G238=$B$4,일일실시사항!$B238&lt;&gt;""),일일실시사항!$B238*10000+234,"")</f>
        <v/>
      </c>
    </row>
    <row r="235">
      <c r="BF235">
        <f>IF(AND(업무일지!$F239=$B$4,업무일지!$B239&lt;&gt;""),업무일지!$B239*10000+235,"")</f>
        <v/>
      </c>
      <c r="BH235">
        <f>IF(AND(일일실시사항!$G239=$B$4,일일실시사항!$B239&lt;&gt;""),일일실시사항!$B239*10000+235,"")</f>
        <v/>
      </c>
    </row>
    <row r="236">
      <c r="BF236">
        <f>IF(AND(업무일지!$F240=$B$4,업무일지!$B240&lt;&gt;""),업무일지!$B240*10000+236,"")</f>
        <v/>
      </c>
      <c r="BH236">
        <f>IF(AND(일일실시사항!$G240=$B$4,일일실시사항!$B240&lt;&gt;""),일일실시사항!$B240*10000+236,"")</f>
        <v/>
      </c>
    </row>
    <row r="237">
      <c r="BF237">
        <f>IF(AND(업무일지!$F241=$B$4,업무일지!$B241&lt;&gt;""),업무일지!$B241*10000+237,"")</f>
        <v/>
      </c>
      <c r="BH237">
        <f>IF(AND(일일실시사항!$G241=$B$4,일일실시사항!$B241&lt;&gt;""),일일실시사항!$B241*10000+237,"")</f>
        <v/>
      </c>
    </row>
    <row r="238">
      <c r="BF238">
        <f>IF(AND(업무일지!$F242=$B$4,업무일지!$B242&lt;&gt;""),업무일지!$B242*10000+238,"")</f>
        <v/>
      </c>
      <c r="BH238">
        <f>IF(AND(일일실시사항!$G242=$B$4,일일실시사항!$B242&lt;&gt;""),일일실시사항!$B242*10000+238,"")</f>
        <v/>
      </c>
    </row>
    <row r="239">
      <c r="BF239">
        <f>IF(AND(업무일지!$F243=$B$4,업무일지!$B243&lt;&gt;""),업무일지!$B243*10000+239,"")</f>
        <v/>
      </c>
      <c r="BH239">
        <f>IF(AND(일일실시사항!$G243=$B$4,일일실시사항!$B243&lt;&gt;""),일일실시사항!$B243*10000+239,"")</f>
        <v/>
      </c>
    </row>
    <row r="240">
      <c r="BF240">
        <f>IF(AND(업무일지!$F244=$B$4,업무일지!$B244&lt;&gt;""),업무일지!$B244*10000+240,"")</f>
        <v/>
      </c>
      <c r="BH240">
        <f>IF(AND(일일실시사항!$G244=$B$4,일일실시사항!$B244&lt;&gt;""),일일실시사항!$B244*10000+240,"")</f>
        <v/>
      </c>
    </row>
    <row r="241">
      <c r="BF241">
        <f>IF(AND(업무일지!$F245=$B$4,업무일지!$B245&lt;&gt;""),업무일지!$B245*10000+241,"")</f>
        <v/>
      </c>
      <c r="BH241">
        <f>IF(AND(일일실시사항!$G245=$B$4,일일실시사항!$B245&lt;&gt;""),일일실시사항!$B245*10000+241,"")</f>
        <v/>
      </c>
    </row>
    <row r="242">
      <c r="BF242">
        <f>IF(AND(업무일지!$F246=$B$4,업무일지!$B246&lt;&gt;""),업무일지!$B246*10000+242,"")</f>
        <v/>
      </c>
      <c r="BH242">
        <f>IF(AND(일일실시사항!$G246=$B$4,일일실시사항!$B246&lt;&gt;""),일일실시사항!$B246*10000+242,"")</f>
        <v/>
      </c>
    </row>
    <row r="243">
      <c r="BF243">
        <f>IF(AND(업무일지!$F247=$B$4,업무일지!$B247&lt;&gt;""),업무일지!$B247*10000+243,"")</f>
        <v/>
      </c>
      <c r="BH243">
        <f>IF(AND(일일실시사항!$G247=$B$4,일일실시사항!$B247&lt;&gt;""),일일실시사항!$B247*10000+243,"")</f>
        <v/>
      </c>
    </row>
    <row r="244">
      <c r="BF244">
        <f>IF(AND(업무일지!$F248=$B$4,업무일지!$B248&lt;&gt;""),업무일지!$B248*10000+244,"")</f>
        <v/>
      </c>
      <c r="BH244">
        <f>IF(AND(일일실시사항!$G248=$B$4,일일실시사항!$B248&lt;&gt;""),일일실시사항!$B248*10000+244,"")</f>
        <v/>
      </c>
    </row>
    <row r="245">
      <c r="BF245">
        <f>IF(AND(업무일지!$F249=$B$4,업무일지!$B249&lt;&gt;""),업무일지!$B249*10000+245,"")</f>
        <v/>
      </c>
      <c r="BH245">
        <f>IF(AND(일일실시사항!$G249=$B$4,일일실시사항!$B249&lt;&gt;""),일일실시사항!$B249*10000+245,"")</f>
        <v/>
      </c>
    </row>
    <row r="246">
      <c r="BF246">
        <f>IF(AND(업무일지!$F250=$B$4,업무일지!$B250&lt;&gt;""),업무일지!$B250*10000+246,"")</f>
        <v/>
      </c>
      <c r="BH246">
        <f>IF(AND(일일실시사항!$G250=$B$4,일일실시사항!$B250&lt;&gt;""),일일실시사항!$B250*10000+246,"")</f>
        <v/>
      </c>
    </row>
    <row r="247">
      <c r="BF247">
        <f>IF(AND(업무일지!$F251=$B$4,업무일지!$B251&lt;&gt;""),업무일지!$B251*10000+247,"")</f>
        <v/>
      </c>
      <c r="BH247">
        <f>IF(AND(일일실시사항!$G251=$B$4,일일실시사항!$B251&lt;&gt;""),일일실시사항!$B251*10000+247,"")</f>
        <v/>
      </c>
    </row>
    <row r="248">
      <c r="BF248">
        <f>IF(AND(업무일지!$F252=$B$4,업무일지!$B252&lt;&gt;""),업무일지!$B252*10000+248,"")</f>
        <v/>
      </c>
      <c r="BH248">
        <f>IF(AND(일일실시사항!$G252=$B$4,일일실시사항!$B252&lt;&gt;""),일일실시사항!$B252*10000+248,"")</f>
        <v/>
      </c>
    </row>
    <row r="249">
      <c r="BF249">
        <f>IF(AND(업무일지!$F253=$B$4,업무일지!$B253&lt;&gt;""),업무일지!$B253*10000+249,"")</f>
        <v/>
      </c>
      <c r="BH249">
        <f>IF(AND(일일실시사항!$G253=$B$4,일일실시사항!$B253&lt;&gt;""),일일실시사항!$B253*10000+249,"")</f>
        <v/>
      </c>
    </row>
    <row r="250">
      <c r="BF250">
        <f>IF(AND(업무일지!$F254=$B$4,업무일지!$B254&lt;&gt;""),업무일지!$B254*10000+250,"")</f>
        <v/>
      </c>
      <c r="BH250">
        <f>IF(AND(일일실시사항!$G254=$B$4,일일실시사항!$B254&lt;&gt;""),일일실시사항!$B254*10000+250,"")</f>
        <v/>
      </c>
    </row>
    <row r="251">
      <c r="BF251">
        <f>IF(AND(업무일지!$F255=$B$4,업무일지!$B255&lt;&gt;""),업무일지!$B255*10000+251,"")</f>
        <v/>
      </c>
      <c r="BH251">
        <f>IF(AND(일일실시사항!$G255=$B$4,일일실시사항!$B255&lt;&gt;""),일일실시사항!$B255*10000+251,"")</f>
        <v/>
      </c>
    </row>
    <row r="252">
      <c r="BF252">
        <f>IF(AND(업무일지!$F256=$B$4,업무일지!$B256&lt;&gt;""),업무일지!$B256*10000+252,"")</f>
        <v/>
      </c>
      <c r="BH252">
        <f>IF(AND(일일실시사항!$G256=$B$4,일일실시사항!$B256&lt;&gt;""),일일실시사항!$B256*10000+252,"")</f>
        <v/>
      </c>
    </row>
    <row r="253">
      <c r="BF253">
        <f>IF(AND(업무일지!$F257=$B$4,업무일지!$B257&lt;&gt;""),업무일지!$B257*10000+253,"")</f>
        <v/>
      </c>
      <c r="BH253">
        <f>IF(AND(일일실시사항!$G257=$B$4,일일실시사항!$B257&lt;&gt;""),일일실시사항!$B257*10000+253,"")</f>
        <v/>
      </c>
    </row>
    <row r="254">
      <c r="BF254">
        <f>IF(AND(업무일지!$F258=$B$4,업무일지!$B258&lt;&gt;""),업무일지!$B258*10000+254,"")</f>
        <v/>
      </c>
      <c r="BH254">
        <f>IF(AND(일일실시사항!$G258=$B$4,일일실시사항!$B258&lt;&gt;""),일일실시사항!$B258*10000+254,"")</f>
        <v/>
      </c>
    </row>
    <row r="255">
      <c r="BF255">
        <f>IF(AND(업무일지!$F259=$B$4,업무일지!$B259&lt;&gt;""),업무일지!$B259*10000+255,"")</f>
        <v/>
      </c>
      <c r="BH255">
        <f>IF(AND(일일실시사항!$G259=$B$4,일일실시사항!$B259&lt;&gt;""),일일실시사항!$B259*10000+255,"")</f>
        <v/>
      </c>
    </row>
    <row r="256">
      <c r="BF256">
        <f>IF(AND(업무일지!$F260=$B$4,업무일지!$B260&lt;&gt;""),업무일지!$B260*10000+256,"")</f>
        <v/>
      </c>
      <c r="BH256">
        <f>IF(AND(일일실시사항!$G260=$B$4,일일실시사항!$B260&lt;&gt;""),일일실시사항!$B260*10000+256,"")</f>
        <v/>
      </c>
    </row>
    <row r="257">
      <c r="BF257">
        <f>IF(AND(업무일지!$F261=$B$4,업무일지!$B261&lt;&gt;""),업무일지!$B261*10000+257,"")</f>
        <v/>
      </c>
      <c r="BH257">
        <f>IF(AND(일일실시사항!$G261=$B$4,일일실시사항!$B261&lt;&gt;""),일일실시사항!$B261*10000+257,"")</f>
        <v/>
      </c>
    </row>
    <row r="258">
      <c r="BF258">
        <f>IF(AND(업무일지!$F262=$B$4,업무일지!$B262&lt;&gt;""),업무일지!$B262*10000+258,"")</f>
        <v/>
      </c>
      <c r="BH258">
        <f>IF(AND(일일실시사항!$G262=$B$4,일일실시사항!$B262&lt;&gt;""),일일실시사항!$B262*10000+258,"")</f>
        <v/>
      </c>
    </row>
    <row r="259">
      <c r="BF259">
        <f>IF(AND(업무일지!$F263=$B$4,업무일지!$B263&lt;&gt;""),업무일지!$B263*10000+259,"")</f>
        <v/>
      </c>
      <c r="BH259">
        <f>IF(AND(일일실시사항!$G263=$B$4,일일실시사항!$B263&lt;&gt;""),일일실시사항!$B263*10000+259,"")</f>
        <v/>
      </c>
    </row>
    <row r="260">
      <c r="BF260">
        <f>IF(AND(업무일지!$F264=$B$4,업무일지!$B264&lt;&gt;""),업무일지!$B264*10000+260,"")</f>
        <v/>
      </c>
      <c r="BH260">
        <f>IF(AND(일일실시사항!$G264=$B$4,일일실시사항!$B264&lt;&gt;""),일일실시사항!$B264*10000+260,"")</f>
        <v/>
      </c>
    </row>
    <row r="261">
      <c r="BF261">
        <f>IF(AND(업무일지!$F265=$B$4,업무일지!$B265&lt;&gt;""),업무일지!$B265*10000+261,"")</f>
        <v/>
      </c>
      <c r="BH261">
        <f>IF(AND(일일실시사항!$G265=$B$4,일일실시사항!$B265&lt;&gt;""),일일실시사항!$B265*10000+261,"")</f>
        <v/>
      </c>
    </row>
    <row r="262">
      <c r="BF262">
        <f>IF(AND(업무일지!$F266=$B$4,업무일지!$B266&lt;&gt;""),업무일지!$B266*10000+262,"")</f>
        <v/>
      </c>
      <c r="BH262">
        <f>IF(AND(일일실시사항!$G266=$B$4,일일실시사항!$B266&lt;&gt;""),일일실시사항!$B266*10000+262,"")</f>
        <v/>
      </c>
    </row>
    <row r="263">
      <c r="BF263">
        <f>IF(AND(업무일지!$F267=$B$4,업무일지!$B267&lt;&gt;""),업무일지!$B267*10000+263,"")</f>
        <v/>
      </c>
      <c r="BH263">
        <f>IF(AND(일일실시사항!$G267=$B$4,일일실시사항!$B267&lt;&gt;""),일일실시사항!$B267*10000+263,"")</f>
        <v/>
      </c>
    </row>
    <row r="264">
      <c r="BF264">
        <f>IF(AND(업무일지!$F268=$B$4,업무일지!$B268&lt;&gt;""),업무일지!$B268*10000+264,"")</f>
        <v/>
      </c>
      <c r="BH264">
        <f>IF(AND(일일실시사항!$G268=$B$4,일일실시사항!$B268&lt;&gt;""),일일실시사항!$B268*10000+264,"")</f>
        <v/>
      </c>
    </row>
    <row r="265">
      <c r="BF265">
        <f>IF(AND(업무일지!$F269=$B$4,업무일지!$B269&lt;&gt;""),업무일지!$B269*10000+265,"")</f>
        <v/>
      </c>
      <c r="BH265">
        <f>IF(AND(일일실시사항!$G269=$B$4,일일실시사항!$B269&lt;&gt;""),일일실시사항!$B269*10000+265,"")</f>
        <v/>
      </c>
    </row>
    <row r="266">
      <c r="BF266">
        <f>IF(AND(업무일지!$F270=$B$4,업무일지!$B270&lt;&gt;""),업무일지!$B270*10000+266,"")</f>
        <v/>
      </c>
      <c r="BH266">
        <f>IF(AND(일일실시사항!$G270=$B$4,일일실시사항!$B270&lt;&gt;""),일일실시사항!$B270*10000+266,"")</f>
        <v/>
      </c>
    </row>
    <row r="267">
      <c r="BF267">
        <f>IF(AND(업무일지!$F271=$B$4,업무일지!$B271&lt;&gt;""),업무일지!$B271*10000+267,"")</f>
        <v/>
      </c>
      <c r="BH267">
        <f>IF(AND(일일실시사항!$G271=$B$4,일일실시사항!$B271&lt;&gt;""),일일실시사항!$B271*10000+267,"")</f>
        <v/>
      </c>
    </row>
    <row r="268">
      <c r="BF268">
        <f>IF(AND(업무일지!$F272=$B$4,업무일지!$B272&lt;&gt;""),업무일지!$B272*10000+268,"")</f>
        <v/>
      </c>
      <c r="BH268">
        <f>IF(AND(일일실시사항!$G272=$B$4,일일실시사항!$B272&lt;&gt;""),일일실시사항!$B272*10000+268,"")</f>
        <v/>
      </c>
    </row>
    <row r="269">
      <c r="BF269">
        <f>IF(AND(업무일지!$F273=$B$4,업무일지!$B273&lt;&gt;""),업무일지!$B273*10000+269,"")</f>
        <v/>
      </c>
      <c r="BH269">
        <f>IF(AND(일일실시사항!$G273=$B$4,일일실시사항!$B273&lt;&gt;""),일일실시사항!$B273*10000+269,"")</f>
        <v/>
      </c>
    </row>
    <row r="270">
      <c r="BF270">
        <f>IF(AND(업무일지!$F274=$B$4,업무일지!$B274&lt;&gt;""),업무일지!$B274*10000+270,"")</f>
        <v/>
      </c>
      <c r="BH270">
        <f>IF(AND(일일실시사항!$G274=$B$4,일일실시사항!$B274&lt;&gt;""),일일실시사항!$B274*10000+270,"")</f>
        <v/>
      </c>
    </row>
    <row r="271">
      <c r="BF271">
        <f>IF(AND(업무일지!$F275=$B$4,업무일지!$B275&lt;&gt;""),업무일지!$B275*10000+271,"")</f>
        <v/>
      </c>
      <c r="BH271">
        <f>IF(AND(일일실시사항!$G275=$B$4,일일실시사항!$B275&lt;&gt;""),일일실시사항!$B275*10000+271,"")</f>
        <v/>
      </c>
    </row>
    <row r="272">
      <c r="BF272">
        <f>IF(AND(업무일지!$F276=$B$4,업무일지!$B276&lt;&gt;""),업무일지!$B276*10000+272,"")</f>
        <v/>
      </c>
      <c r="BH272">
        <f>IF(AND(일일실시사항!$G276=$B$4,일일실시사항!$B276&lt;&gt;""),일일실시사항!$B276*10000+272,"")</f>
        <v/>
      </c>
    </row>
    <row r="273">
      <c r="BF273">
        <f>IF(AND(업무일지!$F277=$B$4,업무일지!$B277&lt;&gt;""),업무일지!$B277*10000+273,"")</f>
        <v/>
      </c>
      <c r="BH273">
        <f>IF(AND(일일실시사항!$G277=$B$4,일일실시사항!$B277&lt;&gt;""),일일실시사항!$B277*10000+273,"")</f>
        <v/>
      </c>
    </row>
    <row r="274">
      <c r="BF274">
        <f>IF(AND(업무일지!$F278=$B$4,업무일지!$B278&lt;&gt;""),업무일지!$B278*10000+274,"")</f>
        <v/>
      </c>
      <c r="BH274">
        <f>IF(AND(일일실시사항!$G278=$B$4,일일실시사항!$B278&lt;&gt;""),일일실시사항!$B278*10000+274,"")</f>
        <v/>
      </c>
    </row>
    <row r="275">
      <c r="BF275">
        <f>IF(AND(업무일지!$F279=$B$4,업무일지!$B279&lt;&gt;""),업무일지!$B279*10000+275,"")</f>
        <v/>
      </c>
      <c r="BH275">
        <f>IF(AND(일일실시사항!$G279=$B$4,일일실시사항!$B279&lt;&gt;""),일일실시사항!$B279*10000+275,"")</f>
        <v/>
      </c>
    </row>
    <row r="276">
      <c r="BF276">
        <f>IF(AND(업무일지!$F280=$B$4,업무일지!$B280&lt;&gt;""),업무일지!$B280*10000+276,"")</f>
        <v/>
      </c>
      <c r="BH276">
        <f>IF(AND(일일실시사항!$G280=$B$4,일일실시사항!$B280&lt;&gt;""),일일실시사항!$B280*10000+276,"")</f>
        <v/>
      </c>
    </row>
    <row r="277">
      <c r="BF277">
        <f>IF(AND(업무일지!$F281=$B$4,업무일지!$B281&lt;&gt;""),업무일지!$B281*10000+277,"")</f>
        <v/>
      </c>
      <c r="BH277">
        <f>IF(AND(일일실시사항!$G281=$B$4,일일실시사항!$B281&lt;&gt;""),일일실시사항!$B281*10000+277,"")</f>
        <v/>
      </c>
    </row>
    <row r="278">
      <c r="BF278">
        <f>IF(AND(업무일지!$F282=$B$4,업무일지!$B282&lt;&gt;""),업무일지!$B282*10000+278,"")</f>
        <v/>
      </c>
      <c r="BH278">
        <f>IF(AND(일일실시사항!$G282=$B$4,일일실시사항!$B282&lt;&gt;""),일일실시사항!$B282*10000+278,"")</f>
        <v/>
      </c>
    </row>
    <row r="279">
      <c r="BF279">
        <f>IF(AND(업무일지!$F283=$B$4,업무일지!$B283&lt;&gt;""),업무일지!$B283*10000+279,"")</f>
        <v/>
      </c>
      <c r="BH279">
        <f>IF(AND(일일실시사항!$G283=$B$4,일일실시사항!$B283&lt;&gt;""),일일실시사항!$B283*10000+279,"")</f>
        <v/>
      </c>
    </row>
    <row r="280">
      <c r="BF280">
        <f>IF(AND(업무일지!$F284=$B$4,업무일지!$B284&lt;&gt;""),업무일지!$B284*10000+280,"")</f>
        <v/>
      </c>
      <c r="BH280">
        <f>IF(AND(일일실시사항!$G284=$B$4,일일실시사항!$B284&lt;&gt;""),일일실시사항!$B284*10000+280,"")</f>
        <v/>
      </c>
    </row>
    <row r="281">
      <c r="BF281">
        <f>IF(AND(업무일지!$F285=$B$4,업무일지!$B285&lt;&gt;""),업무일지!$B285*10000+281,"")</f>
        <v/>
      </c>
      <c r="BH281">
        <f>IF(AND(일일실시사항!$G285=$B$4,일일실시사항!$B285&lt;&gt;""),일일실시사항!$B285*10000+281,"")</f>
        <v/>
      </c>
    </row>
    <row r="282">
      <c r="BF282">
        <f>IF(AND(업무일지!$F286=$B$4,업무일지!$B286&lt;&gt;""),업무일지!$B286*10000+282,"")</f>
        <v/>
      </c>
      <c r="BH282">
        <f>IF(AND(일일실시사항!$G286=$B$4,일일실시사항!$B286&lt;&gt;""),일일실시사항!$B286*10000+282,"")</f>
        <v/>
      </c>
    </row>
    <row r="283">
      <c r="BF283">
        <f>IF(AND(업무일지!$F287=$B$4,업무일지!$B287&lt;&gt;""),업무일지!$B287*10000+283,"")</f>
        <v/>
      </c>
      <c r="BH283">
        <f>IF(AND(일일실시사항!$G287=$B$4,일일실시사항!$B287&lt;&gt;""),일일실시사항!$B287*10000+283,"")</f>
        <v/>
      </c>
    </row>
    <row r="284">
      <c r="BF284">
        <f>IF(AND(업무일지!$F288=$B$4,업무일지!$B288&lt;&gt;""),업무일지!$B288*10000+284,"")</f>
        <v/>
      </c>
      <c r="BH284">
        <f>IF(AND(일일실시사항!$G288=$B$4,일일실시사항!$B288&lt;&gt;""),일일실시사항!$B288*10000+284,"")</f>
        <v/>
      </c>
    </row>
    <row r="285">
      <c r="BF285">
        <f>IF(AND(업무일지!$F289=$B$4,업무일지!$B289&lt;&gt;""),업무일지!$B289*10000+285,"")</f>
        <v/>
      </c>
      <c r="BH285">
        <f>IF(AND(일일실시사항!$G289=$B$4,일일실시사항!$B289&lt;&gt;""),일일실시사항!$B289*10000+285,"")</f>
        <v/>
      </c>
    </row>
    <row r="286">
      <c r="BF286">
        <f>IF(AND(업무일지!$F290=$B$4,업무일지!$B290&lt;&gt;""),업무일지!$B290*10000+286,"")</f>
        <v/>
      </c>
      <c r="BH286">
        <f>IF(AND(일일실시사항!$G290=$B$4,일일실시사항!$B290&lt;&gt;""),일일실시사항!$B290*10000+286,"")</f>
        <v/>
      </c>
    </row>
    <row r="287">
      <c r="BF287">
        <f>IF(AND(업무일지!$F291=$B$4,업무일지!$B291&lt;&gt;""),업무일지!$B291*10000+287,"")</f>
        <v/>
      </c>
      <c r="BH287">
        <f>IF(AND(일일실시사항!$G291=$B$4,일일실시사항!$B291&lt;&gt;""),일일실시사항!$B291*10000+287,"")</f>
        <v/>
      </c>
    </row>
    <row r="288">
      <c r="BF288">
        <f>IF(AND(업무일지!$F292=$B$4,업무일지!$B292&lt;&gt;""),업무일지!$B292*10000+288,"")</f>
        <v/>
      </c>
      <c r="BH288">
        <f>IF(AND(일일실시사항!$G292=$B$4,일일실시사항!$B292&lt;&gt;""),일일실시사항!$B292*10000+288,"")</f>
        <v/>
      </c>
    </row>
    <row r="289">
      <c r="BF289">
        <f>IF(AND(업무일지!$F293=$B$4,업무일지!$B293&lt;&gt;""),업무일지!$B293*10000+289,"")</f>
        <v/>
      </c>
      <c r="BH289">
        <f>IF(AND(일일실시사항!$G293=$B$4,일일실시사항!$B293&lt;&gt;""),일일실시사항!$B293*10000+289,"")</f>
        <v/>
      </c>
    </row>
    <row r="290">
      <c r="BF290">
        <f>IF(AND(업무일지!$F294=$B$4,업무일지!$B294&lt;&gt;""),업무일지!$B294*10000+290,"")</f>
        <v/>
      </c>
      <c r="BH290">
        <f>IF(AND(일일실시사항!$G294=$B$4,일일실시사항!$B294&lt;&gt;""),일일실시사항!$B294*10000+290,"")</f>
        <v/>
      </c>
    </row>
    <row r="291">
      <c r="BF291">
        <f>IF(AND(업무일지!$F295=$B$4,업무일지!$B295&lt;&gt;""),업무일지!$B295*10000+291,"")</f>
        <v/>
      </c>
      <c r="BH291">
        <f>IF(AND(일일실시사항!$G295=$B$4,일일실시사항!$B295&lt;&gt;""),일일실시사항!$B295*10000+291,"")</f>
        <v/>
      </c>
    </row>
    <row r="292">
      <c r="BF292">
        <f>IF(AND(업무일지!$F296=$B$4,업무일지!$B296&lt;&gt;""),업무일지!$B296*10000+292,"")</f>
        <v/>
      </c>
      <c r="BH292">
        <f>IF(AND(일일실시사항!$G296=$B$4,일일실시사항!$B296&lt;&gt;""),일일실시사항!$B296*10000+292,"")</f>
        <v/>
      </c>
    </row>
    <row r="293">
      <c r="BF293">
        <f>IF(AND(업무일지!$F297=$B$4,업무일지!$B297&lt;&gt;""),업무일지!$B297*10000+293,"")</f>
        <v/>
      </c>
      <c r="BH293">
        <f>IF(AND(일일실시사항!$G297=$B$4,일일실시사항!$B297&lt;&gt;""),일일실시사항!$B297*10000+293,"")</f>
        <v/>
      </c>
    </row>
    <row r="294">
      <c r="BF294">
        <f>IF(AND(업무일지!$F298=$B$4,업무일지!$B298&lt;&gt;""),업무일지!$B298*10000+294,"")</f>
        <v/>
      </c>
      <c r="BH294">
        <f>IF(AND(일일실시사항!$G298=$B$4,일일실시사항!$B298&lt;&gt;""),일일실시사항!$B298*10000+294,"")</f>
        <v/>
      </c>
    </row>
    <row r="295">
      <c r="BF295">
        <f>IF(AND(업무일지!$F299=$B$4,업무일지!$B299&lt;&gt;""),업무일지!$B299*10000+295,"")</f>
        <v/>
      </c>
      <c r="BH295">
        <f>IF(AND(일일실시사항!$G299=$B$4,일일실시사항!$B299&lt;&gt;""),일일실시사항!$B299*10000+295,"")</f>
        <v/>
      </c>
    </row>
    <row r="296">
      <c r="BF296">
        <f>IF(AND(업무일지!$F300=$B$4,업무일지!$B300&lt;&gt;""),업무일지!$B300*10000+296,"")</f>
        <v/>
      </c>
      <c r="BH296">
        <f>IF(AND(일일실시사항!$G300=$B$4,일일실시사항!$B300&lt;&gt;""),일일실시사항!$B300*10000+296,"")</f>
        <v/>
      </c>
    </row>
    <row r="297">
      <c r="BF297">
        <f>IF(AND(업무일지!$F301=$B$4,업무일지!$B301&lt;&gt;""),업무일지!$B301*10000+297,"")</f>
        <v/>
      </c>
      <c r="BH297">
        <f>IF(AND(일일실시사항!$G301=$B$4,일일실시사항!$B301&lt;&gt;""),일일실시사항!$B301*10000+297,"")</f>
        <v/>
      </c>
    </row>
    <row r="298">
      <c r="BF298">
        <f>IF(AND(업무일지!$F302=$B$4,업무일지!$B302&lt;&gt;""),업무일지!$B302*10000+298,"")</f>
        <v/>
      </c>
      <c r="BH298">
        <f>IF(AND(일일실시사항!$G302=$B$4,일일실시사항!$B302&lt;&gt;""),일일실시사항!$B302*10000+298,"")</f>
        <v/>
      </c>
    </row>
    <row r="299">
      <c r="BF299">
        <f>IF(AND(업무일지!$F303=$B$4,업무일지!$B303&lt;&gt;""),업무일지!$B303*10000+299,"")</f>
        <v/>
      </c>
      <c r="BH299">
        <f>IF(AND(일일실시사항!$G303=$B$4,일일실시사항!$B303&lt;&gt;""),일일실시사항!$B303*10000+299,"")</f>
        <v/>
      </c>
    </row>
    <row r="300">
      <c r="BF300">
        <f>IF(AND(업무일지!$F304=$B$4,업무일지!$B304&lt;&gt;""),업무일지!$B304*10000+300,"")</f>
        <v/>
      </c>
      <c r="BH300">
        <f>IF(AND(일일실시사항!$G304=$B$4,일일실시사항!$B304&lt;&gt;""),일일실시사항!$B304*10000+300,"")</f>
        <v/>
      </c>
    </row>
    <row r="301">
      <c r="BF301">
        <f>IF(AND(업무일지!$F305=$B$4,업무일지!$B305&lt;&gt;""),업무일지!$B305*10000+301,"")</f>
        <v/>
      </c>
      <c r="BH301">
        <f>IF(AND(일일실시사항!$G305=$B$4,일일실시사항!$B305&lt;&gt;""),일일실시사항!$B305*10000+301,"")</f>
        <v/>
      </c>
    </row>
    <row r="302">
      <c r="BF302">
        <f>IF(AND(업무일지!$F306=$B$4,업무일지!$B306&lt;&gt;""),업무일지!$B306*10000+302,"")</f>
        <v/>
      </c>
      <c r="BH302">
        <f>IF(AND(일일실시사항!$G306=$B$4,일일실시사항!$B306&lt;&gt;""),일일실시사항!$B306*10000+302,"")</f>
        <v/>
      </c>
    </row>
    <row r="303">
      <c r="BF303">
        <f>IF(AND(업무일지!$F307=$B$4,업무일지!$B307&lt;&gt;""),업무일지!$B307*10000+303,"")</f>
        <v/>
      </c>
      <c r="BH303">
        <f>IF(AND(일일실시사항!$G307=$B$4,일일실시사항!$B307&lt;&gt;""),일일실시사항!$B307*10000+303,"")</f>
        <v/>
      </c>
    </row>
    <row r="304">
      <c r="BF304">
        <f>IF(AND(업무일지!$F308=$B$4,업무일지!$B308&lt;&gt;""),업무일지!$B308*10000+304,"")</f>
        <v/>
      </c>
      <c r="BH304">
        <f>IF(AND(일일실시사항!$G308=$B$4,일일실시사항!$B308&lt;&gt;""),일일실시사항!$B308*10000+304,"")</f>
        <v/>
      </c>
    </row>
    <row r="305">
      <c r="BF305">
        <f>IF(AND(업무일지!$F309=$B$4,업무일지!$B309&lt;&gt;""),업무일지!$B309*10000+305,"")</f>
        <v/>
      </c>
      <c r="BH305">
        <f>IF(AND(일일실시사항!$G309=$B$4,일일실시사항!$B309&lt;&gt;""),일일실시사항!$B309*10000+305,"")</f>
        <v/>
      </c>
    </row>
    <row r="306">
      <c r="BF306">
        <f>IF(AND(업무일지!$F310=$B$4,업무일지!$B310&lt;&gt;""),업무일지!$B310*10000+306,"")</f>
        <v/>
      </c>
      <c r="BH306">
        <f>IF(AND(일일실시사항!$G310=$B$4,일일실시사항!$B310&lt;&gt;""),일일실시사항!$B310*10000+306,"")</f>
        <v/>
      </c>
    </row>
    <row r="307">
      <c r="BF307">
        <f>IF(AND(업무일지!$F311=$B$4,업무일지!$B311&lt;&gt;""),업무일지!$B311*10000+307,"")</f>
        <v/>
      </c>
      <c r="BH307">
        <f>IF(AND(일일실시사항!$G311=$B$4,일일실시사항!$B311&lt;&gt;""),일일실시사항!$B311*10000+307,"")</f>
        <v/>
      </c>
    </row>
    <row r="308">
      <c r="BF308">
        <f>IF(AND(업무일지!$F312=$B$4,업무일지!$B312&lt;&gt;""),업무일지!$B312*10000+308,"")</f>
        <v/>
      </c>
      <c r="BH308">
        <f>IF(AND(일일실시사항!$G312=$B$4,일일실시사항!$B312&lt;&gt;""),일일실시사항!$B312*10000+308,"")</f>
        <v/>
      </c>
    </row>
    <row r="309">
      <c r="BF309">
        <f>IF(AND(업무일지!$F313=$B$4,업무일지!$B313&lt;&gt;""),업무일지!$B313*10000+309,"")</f>
        <v/>
      </c>
      <c r="BH309">
        <f>IF(AND(일일실시사항!$G313=$B$4,일일실시사항!$B313&lt;&gt;""),일일실시사항!$B313*10000+309,"")</f>
        <v/>
      </c>
    </row>
    <row r="310">
      <c r="BF310">
        <f>IF(AND(업무일지!$F314=$B$4,업무일지!$B314&lt;&gt;""),업무일지!$B314*10000+310,"")</f>
        <v/>
      </c>
      <c r="BH310">
        <f>IF(AND(일일실시사항!$G314=$B$4,일일실시사항!$B314&lt;&gt;""),일일실시사항!$B314*10000+310,"")</f>
        <v/>
      </c>
    </row>
    <row r="311">
      <c r="BF311">
        <f>IF(AND(업무일지!$F315=$B$4,업무일지!$B315&lt;&gt;""),업무일지!$B315*10000+311,"")</f>
        <v/>
      </c>
      <c r="BH311">
        <f>IF(AND(일일실시사항!$G315=$B$4,일일실시사항!$B315&lt;&gt;""),일일실시사항!$B315*10000+311,"")</f>
        <v/>
      </c>
    </row>
    <row r="312">
      <c r="BF312">
        <f>IF(AND(업무일지!$F316=$B$4,업무일지!$B316&lt;&gt;""),업무일지!$B316*10000+312,"")</f>
        <v/>
      </c>
      <c r="BH312">
        <f>IF(AND(일일실시사항!$G316=$B$4,일일실시사항!$B316&lt;&gt;""),일일실시사항!$B316*10000+312,"")</f>
        <v/>
      </c>
    </row>
    <row r="313">
      <c r="BF313">
        <f>IF(AND(업무일지!$F317=$B$4,업무일지!$B317&lt;&gt;""),업무일지!$B317*10000+313,"")</f>
        <v/>
      </c>
      <c r="BH313">
        <f>IF(AND(일일실시사항!$G317=$B$4,일일실시사항!$B317&lt;&gt;""),일일실시사항!$B317*10000+313,"")</f>
        <v/>
      </c>
    </row>
    <row r="314">
      <c r="BF314">
        <f>IF(AND(업무일지!$F318=$B$4,업무일지!$B318&lt;&gt;""),업무일지!$B318*10000+314,"")</f>
        <v/>
      </c>
      <c r="BH314">
        <f>IF(AND(일일실시사항!$G318=$B$4,일일실시사항!$B318&lt;&gt;""),일일실시사항!$B318*10000+314,"")</f>
        <v/>
      </c>
    </row>
    <row r="315">
      <c r="BF315">
        <f>IF(AND(업무일지!$F319=$B$4,업무일지!$B319&lt;&gt;""),업무일지!$B319*10000+315,"")</f>
        <v/>
      </c>
      <c r="BH315">
        <f>IF(AND(일일실시사항!$G319=$B$4,일일실시사항!$B319&lt;&gt;""),일일실시사항!$B319*10000+315,"")</f>
        <v/>
      </c>
    </row>
    <row r="316">
      <c r="BF316">
        <f>IF(AND(업무일지!$F320=$B$4,업무일지!$B320&lt;&gt;""),업무일지!$B320*10000+316,"")</f>
        <v/>
      </c>
      <c r="BH316">
        <f>IF(AND(일일실시사항!$G320=$B$4,일일실시사항!$B320&lt;&gt;""),일일실시사항!$B320*10000+316,"")</f>
        <v/>
      </c>
    </row>
    <row r="317">
      <c r="BF317">
        <f>IF(AND(업무일지!$F321=$B$4,업무일지!$B321&lt;&gt;""),업무일지!$B321*10000+317,"")</f>
        <v/>
      </c>
      <c r="BH317">
        <f>IF(AND(일일실시사항!$G321=$B$4,일일실시사항!$B321&lt;&gt;""),일일실시사항!$B321*10000+317,"")</f>
        <v/>
      </c>
    </row>
    <row r="318">
      <c r="BF318">
        <f>IF(AND(업무일지!$F322=$B$4,업무일지!$B322&lt;&gt;""),업무일지!$B322*10000+318,"")</f>
        <v/>
      </c>
      <c r="BH318">
        <f>IF(AND(일일실시사항!$G322=$B$4,일일실시사항!$B322&lt;&gt;""),일일실시사항!$B322*10000+318,"")</f>
        <v/>
      </c>
    </row>
    <row r="319">
      <c r="BF319">
        <f>IF(AND(업무일지!$F323=$B$4,업무일지!$B323&lt;&gt;""),업무일지!$B323*10000+319,"")</f>
        <v/>
      </c>
      <c r="BH319">
        <f>IF(AND(일일실시사항!$G323=$B$4,일일실시사항!$B323&lt;&gt;""),일일실시사항!$B323*10000+319,"")</f>
        <v/>
      </c>
    </row>
    <row r="320">
      <c r="BF320">
        <f>IF(AND(업무일지!$F324=$B$4,업무일지!$B324&lt;&gt;""),업무일지!$B324*10000+320,"")</f>
        <v/>
      </c>
      <c r="BH320">
        <f>IF(AND(일일실시사항!$G324=$B$4,일일실시사항!$B324&lt;&gt;""),일일실시사항!$B324*10000+320,"")</f>
        <v/>
      </c>
    </row>
    <row r="321">
      <c r="BF321">
        <f>IF(AND(업무일지!$F325=$B$4,업무일지!$B325&lt;&gt;""),업무일지!$B325*10000+321,"")</f>
        <v/>
      </c>
      <c r="BH321">
        <f>IF(AND(일일실시사항!$G325=$B$4,일일실시사항!$B325&lt;&gt;""),일일실시사항!$B325*10000+321,"")</f>
        <v/>
      </c>
    </row>
    <row r="322">
      <c r="BF322">
        <f>IF(AND(업무일지!$F326=$B$4,업무일지!$B326&lt;&gt;""),업무일지!$B326*10000+322,"")</f>
        <v/>
      </c>
      <c r="BH322">
        <f>IF(AND(일일실시사항!$G326=$B$4,일일실시사항!$B326&lt;&gt;""),일일실시사항!$B326*10000+322,"")</f>
        <v/>
      </c>
    </row>
    <row r="323">
      <c r="BF323">
        <f>IF(AND(업무일지!$F327=$B$4,업무일지!$B327&lt;&gt;""),업무일지!$B327*10000+323,"")</f>
        <v/>
      </c>
      <c r="BH323">
        <f>IF(AND(일일실시사항!$G327=$B$4,일일실시사항!$B327&lt;&gt;""),일일실시사항!$B327*10000+323,"")</f>
        <v/>
      </c>
    </row>
    <row r="324">
      <c r="BF324">
        <f>IF(AND(업무일지!$F328=$B$4,업무일지!$B328&lt;&gt;""),업무일지!$B328*10000+324,"")</f>
        <v/>
      </c>
      <c r="BH324">
        <f>IF(AND(일일실시사항!$G328=$B$4,일일실시사항!$B328&lt;&gt;""),일일실시사항!$B328*10000+324,"")</f>
        <v/>
      </c>
    </row>
    <row r="325">
      <c r="BF325">
        <f>IF(AND(업무일지!$F329=$B$4,업무일지!$B329&lt;&gt;""),업무일지!$B329*10000+325,"")</f>
        <v/>
      </c>
      <c r="BH325">
        <f>IF(AND(일일실시사항!$G329=$B$4,일일실시사항!$B329&lt;&gt;""),일일실시사항!$B329*10000+325,"")</f>
        <v/>
      </c>
    </row>
    <row r="326">
      <c r="BF326">
        <f>IF(AND(업무일지!$F330=$B$4,업무일지!$B330&lt;&gt;""),업무일지!$B330*10000+326,"")</f>
        <v/>
      </c>
      <c r="BH326">
        <f>IF(AND(일일실시사항!$G330=$B$4,일일실시사항!$B330&lt;&gt;""),일일실시사항!$B330*10000+326,"")</f>
        <v/>
      </c>
    </row>
    <row r="327">
      <c r="BF327">
        <f>IF(AND(업무일지!$F331=$B$4,업무일지!$B331&lt;&gt;""),업무일지!$B331*10000+327,"")</f>
        <v/>
      </c>
      <c r="BH327">
        <f>IF(AND(일일실시사항!$G331=$B$4,일일실시사항!$B331&lt;&gt;""),일일실시사항!$B331*10000+327,"")</f>
        <v/>
      </c>
    </row>
    <row r="328">
      <c r="BF328">
        <f>IF(AND(업무일지!$F332=$B$4,업무일지!$B332&lt;&gt;""),업무일지!$B332*10000+328,"")</f>
        <v/>
      </c>
      <c r="BH328">
        <f>IF(AND(일일실시사항!$G332=$B$4,일일실시사항!$B332&lt;&gt;""),일일실시사항!$B332*10000+328,"")</f>
        <v/>
      </c>
    </row>
    <row r="329">
      <c r="BF329">
        <f>IF(AND(업무일지!$F333=$B$4,업무일지!$B333&lt;&gt;""),업무일지!$B333*10000+329,"")</f>
        <v/>
      </c>
      <c r="BH329">
        <f>IF(AND(일일실시사항!$G333=$B$4,일일실시사항!$B333&lt;&gt;""),일일실시사항!$B333*10000+329,"")</f>
        <v/>
      </c>
    </row>
    <row r="330">
      <c r="BF330">
        <f>IF(AND(업무일지!$F334=$B$4,업무일지!$B334&lt;&gt;""),업무일지!$B334*10000+330,"")</f>
        <v/>
      </c>
      <c r="BH330">
        <f>IF(AND(일일실시사항!$G334=$B$4,일일실시사항!$B334&lt;&gt;""),일일실시사항!$B334*10000+330,"")</f>
        <v/>
      </c>
    </row>
    <row r="331">
      <c r="BF331">
        <f>IF(AND(업무일지!$F335=$B$4,업무일지!$B335&lt;&gt;""),업무일지!$B335*10000+331,"")</f>
        <v/>
      </c>
      <c r="BH331">
        <f>IF(AND(일일실시사항!$G335=$B$4,일일실시사항!$B335&lt;&gt;""),일일실시사항!$B335*10000+331,"")</f>
        <v/>
      </c>
    </row>
    <row r="332">
      <c r="BF332">
        <f>IF(AND(업무일지!$F336=$B$4,업무일지!$B336&lt;&gt;""),업무일지!$B336*10000+332,"")</f>
        <v/>
      </c>
      <c r="BH332">
        <f>IF(AND(일일실시사항!$G336=$B$4,일일실시사항!$B336&lt;&gt;""),일일실시사항!$B336*10000+332,"")</f>
        <v/>
      </c>
    </row>
    <row r="333">
      <c r="BF333">
        <f>IF(AND(업무일지!$F337=$B$4,업무일지!$B337&lt;&gt;""),업무일지!$B337*10000+333,"")</f>
        <v/>
      </c>
      <c r="BH333">
        <f>IF(AND(일일실시사항!$G337=$B$4,일일실시사항!$B337&lt;&gt;""),일일실시사항!$B337*10000+333,"")</f>
        <v/>
      </c>
    </row>
    <row r="334">
      <c r="BF334">
        <f>IF(AND(업무일지!$F338=$B$4,업무일지!$B338&lt;&gt;""),업무일지!$B338*10000+334,"")</f>
        <v/>
      </c>
      <c r="BH334">
        <f>IF(AND(일일실시사항!$G338=$B$4,일일실시사항!$B338&lt;&gt;""),일일실시사항!$B338*10000+334,"")</f>
        <v/>
      </c>
    </row>
    <row r="335">
      <c r="BF335">
        <f>IF(AND(업무일지!$F339=$B$4,업무일지!$B339&lt;&gt;""),업무일지!$B339*10000+335,"")</f>
        <v/>
      </c>
      <c r="BH335">
        <f>IF(AND(일일실시사항!$G339=$B$4,일일실시사항!$B339&lt;&gt;""),일일실시사항!$B339*10000+335,"")</f>
        <v/>
      </c>
    </row>
    <row r="336">
      <c r="BF336">
        <f>IF(AND(업무일지!$F340=$B$4,업무일지!$B340&lt;&gt;""),업무일지!$B340*10000+336,"")</f>
        <v/>
      </c>
      <c r="BH336">
        <f>IF(AND(일일실시사항!$G340=$B$4,일일실시사항!$B340&lt;&gt;""),일일실시사항!$B340*10000+336,"")</f>
        <v/>
      </c>
    </row>
    <row r="337">
      <c r="BF337">
        <f>IF(AND(업무일지!$F341=$B$4,업무일지!$B341&lt;&gt;""),업무일지!$B341*10000+337,"")</f>
        <v/>
      </c>
      <c r="BH337">
        <f>IF(AND(일일실시사항!$G341=$B$4,일일실시사항!$B341&lt;&gt;""),일일실시사항!$B341*10000+337,"")</f>
        <v/>
      </c>
    </row>
    <row r="338">
      <c r="BF338">
        <f>IF(AND(업무일지!$F342=$B$4,업무일지!$B342&lt;&gt;""),업무일지!$B342*10000+338,"")</f>
        <v/>
      </c>
      <c r="BH338">
        <f>IF(AND(일일실시사항!$G342=$B$4,일일실시사항!$B342&lt;&gt;""),일일실시사항!$B342*10000+338,"")</f>
        <v/>
      </c>
    </row>
    <row r="339">
      <c r="BF339">
        <f>IF(AND(업무일지!$F343=$B$4,업무일지!$B343&lt;&gt;""),업무일지!$B343*10000+339,"")</f>
        <v/>
      </c>
      <c r="BH339">
        <f>IF(AND(일일실시사항!$G343=$B$4,일일실시사항!$B343&lt;&gt;""),일일실시사항!$B343*10000+339,"")</f>
        <v/>
      </c>
    </row>
    <row r="340">
      <c r="BF340">
        <f>IF(AND(업무일지!$F344=$B$4,업무일지!$B344&lt;&gt;""),업무일지!$B344*10000+340,"")</f>
        <v/>
      </c>
      <c r="BH340">
        <f>IF(AND(일일실시사항!$G344=$B$4,일일실시사항!$B344&lt;&gt;""),일일실시사항!$B344*10000+340,"")</f>
        <v/>
      </c>
    </row>
    <row r="341">
      <c r="BF341">
        <f>IF(AND(업무일지!$F345=$B$4,업무일지!$B345&lt;&gt;""),업무일지!$B345*10000+341,"")</f>
        <v/>
      </c>
      <c r="BH341">
        <f>IF(AND(일일실시사항!$G345=$B$4,일일실시사항!$B345&lt;&gt;""),일일실시사항!$B345*10000+341,"")</f>
        <v/>
      </c>
    </row>
    <row r="342">
      <c r="BF342">
        <f>IF(AND(업무일지!$F346=$B$4,업무일지!$B346&lt;&gt;""),업무일지!$B346*10000+342,"")</f>
        <v/>
      </c>
      <c r="BH342">
        <f>IF(AND(일일실시사항!$G346=$B$4,일일실시사항!$B346&lt;&gt;""),일일실시사항!$B346*10000+342,"")</f>
        <v/>
      </c>
    </row>
    <row r="343">
      <c r="BF343">
        <f>IF(AND(업무일지!$F347=$B$4,업무일지!$B347&lt;&gt;""),업무일지!$B347*10000+343,"")</f>
        <v/>
      </c>
      <c r="BH343">
        <f>IF(AND(일일실시사항!$G347=$B$4,일일실시사항!$B347&lt;&gt;""),일일실시사항!$B347*10000+343,"")</f>
        <v/>
      </c>
    </row>
    <row r="344">
      <c r="BF344">
        <f>IF(AND(업무일지!$F348=$B$4,업무일지!$B348&lt;&gt;""),업무일지!$B348*10000+344,"")</f>
        <v/>
      </c>
      <c r="BH344">
        <f>IF(AND(일일실시사항!$G348=$B$4,일일실시사항!$B348&lt;&gt;""),일일실시사항!$B348*10000+344,"")</f>
        <v/>
      </c>
    </row>
    <row r="345">
      <c r="BF345">
        <f>IF(AND(업무일지!$F349=$B$4,업무일지!$B349&lt;&gt;""),업무일지!$B349*10000+345,"")</f>
        <v/>
      </c>
      <c r="BH345">
        <f>IF(AND(일일실시사항!$G349=$B$4,일일실시사항!$B349&lt;&gt;""),일일실시사항!$B349*10000+345,"")</f>
        <v/>
      </c>
    </row>
    <row r="346">
      <c r="BF346">
        <f>IF(AND(업무일지!$F350=$B$4,업무일지!$B350&lt;&gt;""),업무일지!$B350*10000+346,"")</f>
        <v/>
      </c>
      <c r="BH346">
        <f>IF(AND(일일실시사항!$G350=$B$4,일일실시사항!$B350&lt;&gt;""),일일실시사항!$B350*10000+346,"")</f>
        <v/>
      </c>
    </row>
    <row r="347">
      <c r="BF347">
        <f>IF(AND(업무일지!$F351=$B$4,업무일지!$B351&lt;&gt;""),업무일지!$B351*10000+347,"")</f>
        <v/>
      </c>
      <c r="BH347">
        <f>IF(AND(일일실시사항!$G351=$B$4,일일실시사항!$B351&lt;&gt;""),일일실시사항!$B351*10000+347,"")</f>
        <v/>
      </c>
    </row>
    <row r="348">
      <c r="BF348">
        <f>IF(AND(업무일지!$F352=$B$4,업무일지!$B352&lt;&gt;""),업무일지!$B352*10000+348,"")</f>
        <v/>
      </c>
      <c r="BH348">
        <f>IF(AND(일일실시사항!$G352=$B$4,일일실시사항!$B352&lt;&gt;""),일일실시사항!$B352*10000+348,"")</f>
        <v/>
      </c>
    </row>
    <row r="349">
      <c r="BF349">
        <f>IF(AND(업무일지!$F353=$B$4,업무일지!$B353&lt;&gt;""),업무일지!$B353*10000+349,"")</f>
        <v/>
      </c>
      <c r="BH349">
        <f>IF(AND(일일실시사항!$G353=$B$4,일일실시사항!$B353&lt;&gt;""),일일실시사항!$B353*10000+349,"")</f>
        <v/>
      </c>
    </row>
    <row r="350">
      <c r="BF350">
        <f>IF(AND(업무일지!$F354=$B$4,업무일지!$B354&lt;&gt;""),업무일지!$B354*10000+350,"")</f>
        <v/>
      </c>
      <c r="BH350">
        <f>IF(AND(일일실시사항!$G354=$B$4,일일실시사항!$B354&lt;&gt;""),일일실시사항!$B354*10000+350,"")</f>
        <v/>
      </c>
    </row>
    <row r="351">
      <c r="BF351">
        <f>IF(AND(업무일지!$F355=$B$4,업무일지!$B355&lt;&gt;""),업무일지!$B355*10000+351,"")</f>
        <v/>
      </c>
      <c r="BH351">
        <f>IF(AND(일일실시사항!$G355=$B$4,일일실시사항!$B355&lt;&gt;""),일일실시사항!$B355*10000+351,"")</f>
        <v/>
      </c>
    </row>
    <row r="352">
      <c r="BF352">
        <f>IF(AND(업무일지!$F356=$B$4,업무일지!$B356&lt;&gt;""),업무일지!$B356*10000+352,"")</f>
        <v/>
      </c>
      <c r="BH352">
        <f>IF(AND(일일실시사항!$G356=$B$4,일일실시사항!$B356&lt;&gt;""),일일실시사항!$B356*10000+352,"")</f>
        <v/>
      </c>
    </row>
    <row r="353">
      <c r="BF353">
        <f>IF(AND(업무일지!$F357=$B$4,업무일지!$B357&lt;&gt;""),업무일지!$B357*10000+353,"")</f>
        <v/>
      </c>
      <c r="BH353">
        <f>IF(AND(일일실시사항!$G357=$B$4,일일실시사항!$B357&lt;&gt;""),일일실시사항!$B357*10000+353,"")</f>
        <v/>
      </c>
    </row>
    <row r="354">
      <c r="BF354">
        <f>IF(AND(업무일지!$F358=$B$4,업무일지!$B358&lt;&gt;""),업무일지!$B358*10000+354,"")</f>
        <v/>
      </c>
      <c r="BH354">
        <f>IF(AND(일일실시사항!$G358=$B$4,일일실시사항!$B358&lt;&gt;""),일일실시사항!$B358*10000+354,"")</f>
        <v/>
      </c>
    </row>
    <row r="355">
      <c r="BF355">
        <f>IF(AND(업무일지!$F359=$B$4,업무일지!$B359&lt;&gt;""),업무일지!$B359*10000+355,"")</f>
        <v/>
      </c>
      <c r="BH355">
        <f>IF(AND(일일실시사항!$G359=$B$4,일일실시사항!$B359&lt;&gt;""),일일실시사항!$B359*10000+355,"")</f>
        <v/>
      </c>
    </row>
    <row r="356">
      <c r="BF356">
        <f>IF(AND(업무일지!$F360=$B$4,업무일지!$B360&lt;&gt;""),업무일지!$B360*10000+356,"")</f>
        <v/>
      </c>
      <c r="BH356">
        <f>IF(AND(일일실시사항!$G360=$B$4,일일실시사항!$B360&lt;&gt;""),일일실시사항!$B360*10000+356,"")</f>
        <v/>
      </c>
    </row>
    <row r="357">
      <c r="BF357">
        <f>IF(AND(업무일지!$F361=$B$4,업무일지!$B361&lt;&gt;""),업무일지!$B361*10000+357,"")</f>
        <v/>
      </c>
      <c r="BH357">
        <f>IF(AND(일일실시사항!$G361=$B$4,일일실시사항!$B361&lt;&gt;""),일일실시사항!$B361*10000+357,"")</f>
        <v/>
      </c>
    </row>
    <row r="358">
      <c r="BF358">
        <f>IF(AND(업무일지!$F362=$B$4,업무일지!$B362&lt;&gt;""),업무일지!$B362*10000+358,"")</f>
        <v/>
      </c>
      <c r="BH358">
        <f>IF(AND(일일실시사항!$G362=$B$4,일일실시사항!$B362&lt;&gt;""),일일실시사항!$B362*10000+358,"")</f>
        <v/>
      </c>
    </row>
    <row r="359">
      <c r="BF359">
        <f>IF(AND(업무일지!$F363=$B$4,업무일지!$B363&lt;&gt;""),업무일지!$B363*10000+359,"")</f>
        <v/>
      </c>
      <c r="BH359">
        <f>IF(AND(일일실시사항!$G363=$B$4,일일실시사항!$B363&lt;&gt;""),일일실시사항!$B363*10000+359,"")</f>
        <v/>
      </c>
    </row>
    <row r="360">
      <c r="BF360">
        <f>IF(AND(업무일지!$F364=$B$4,업무일지!$B364&lt;&gt;""),업무일지!$B364*10000+360,"")</f>
        <v/>
      </c>
      <c r="BH360">
        <f>IF(AND(일일실시사항!$G364=$B$4,일일실시사항!$B364&lt;&gt;""),일일실시사항!$B364*10000+360,"")</f>
        <v/>
      </c>
    </row>
    <row r="361">
      <c r="BF361">
        <f>IF(AND(업무일지!$F365=$B$4,업무일지!$B365&lt;&gt;""),업무일지!$B365*10000+361,"")</f>
        <v/>
      </c>
      <c r="BH361">
        <f>IF(AND(일일실시사항!$G365=$B$4,일일실시사항!$B365&lt;&gt;""),일일실시사항!$B365*10000+361,"")</f>
        <v/>
      </c>
    </row>
    <row r="362">
      <c r="BF362">
        <f>IF(AND(업무일지!$F366=$B$4,업무일지!$B366&lt;&gt;""),업무일지!$B366*10000+362,"")</f>
        <v/>
      </c>
      <c r="BH362">
        <f>IF(AND(일일실시사항!$G366=$B$4,일일실시사항!$B366&lt;&gt;""),일일실시사항!$B366*10000+362,"")</f>
        <v/>
      </c>
    </row>
    <row r="363">
      <c r="BF363">
        <f>IF(AND(업무일지!$F367=$B$4,업무일지!$B367&lt;&gt;""),업무일지!$B367*10000+363,"")</f>
        <v/>
      </c>
      <c r="BH363">
        <f>IF(AND(일일실시사항!$G367=$B$4,일일실시사항!$B367&lt;&gt;""),일일실시사항!$B367*10000+363,"")</f>
        <v/>
      </c>
    </row>
    <row r="364">
      <c r="BF364">
        <f>IF(AND(업무일지!$F368=$B$4,업무일지!$B368&lt;&gt;""),업무일지!$B368*10000+364,"")</f>
        <v/>
      </c>
      <c r="BH364">
        <f>IF(AND(일일실시사항!$G368=$B$4,일일실시사항!$B368&lt;&gt;""),일일실시사항!$B368*10000+364,"")</f>
        <v/>
      </c>
    </row>
    <row r="365">
      <c r="BF365">
        <f>IF(AND(업무일지!$F369=$B$4,업무일지!$B369&lt;&gt;""),업무일지!$B369*10000+365,"")</f>
        <v/>
      </c>
      <c r="BH365">
        <f>IF(AND(일일실시사항!$G369=$B$4,일일실시사항!$B369&lt;&gt;""),일일실시사항!$B369*10000+365,"")</f>
        <v/>
      </c>
    </row>
    <row r="366">
      <c r="BF366">
        <f>IF(AND(업무일지!$F370=$B$4,업무일지!$B370&lt;&gt;""),업무일지!$B370*10000+366,"")</f>
        <v/>
      </c>
      <c r="BH366">
        <f>IF(AND(일일실시사항!$G370=$B$4,일일실시사항!$B370&lt;&gt;""),일일실시사항!$B370*10000+366,"")</f>
        <v/>
      </c>
    </row>
    <row r="367">
      <c r="BF367">
        <f>IF(AND(업무일지!$F371=$B$4,업무일지!$B371&lt;&gt;""),업무일지!$B371*10000+367,"")</f>
        <v/>
      </c>
      <c r="BH367">
        <f>IF(AND(일일실시사항!$G371=$B$4,일일실시사항!$B371&lt;&gt;""),일일실시사항!$B371*10000+367,"")</f>
        <v/>
      </c>
    </row>
    <row r="368">
      <c r="BF368">
        <f>IF(AND(업무일지!$F372=$B$4,업무일지!$B372&lt;&gt;""),업무일지!$B372*10000+368,"")</f>
        <v/>
      </c>
      <c r="BH368">
        <f>IF(AND(일일실시사항!$G372=$B$4,일일실시사항!$B372&lt;&gt;""),일일실시사항!$B372*10000+368,"")</f>
        <v/>
      </c>
    </row>
    <row r="369">
      <c r="BF369">
        <f>IF(AND(업무일지!$F373=$B$4,업무일지!$B373&lt;&gt;""),업무일지!$B373*10000+369,"")</f>
        <v/>
      </c>
      <c r="BH369">
        <f>IF(AND(일일실시사항!$G373=$B$4,일일실시사항!$B373&lt;&gt;""),일일실시사항!$B373*10000+369,"")</f>
        <v/>
      </c>
    </row>
    <row r="370">
      <c r="BF370">
        <f>IF(AND(업무일지!$F374=$B$4,업무일지!$B374&lt;&gt;""),업무일지!$B374*10000+370,"")</f>
        <v/>
      </c>
      <c r="BH370">
        <f>IF(AND(일일실시사항!$G374=$B$4,일일실시사항!$B374&lt;&gt;""),일일실시사항!$B374*10000+370,"")</f>
        <v/>
      </c>
    </row>
    <row r="371">
      <c r="BF371">
        <f>IF(AND(업무일지!$F375=$B$4,업무일지!$B375&lt;&gt;""),업무일지!$B375*10000+371,"")</f>
        <v/>
      </c>
      <c r="BH371">
        <f>IF(AND(일일실시사항!$G375=$B$4,일일실시사항!$B375&lt;&gt;""),일일실시사항!$B375*10000+371,"")</f>
        <v/>
      </c>
    </row>
    <row r="372">
      <c r="BF372">
        <f>IF(AND(업무일지!$F376=$B$4,업무일지!$B376&lt;&gt;""),업무일지!$B376*10000+372,"")</f>
        <v/>
      </c>
      <c r="BH372">
        <f>IF(AND(일일실시사항!$G376=$B$4,일일실시사항!$B376&lt;&gt;""),일일실시사항!$B376*10000+372,"")</f>
        <v/>
      </c>
    </row>
    <row r="373">
      <c r="BF373">
        <f>IF(AND(업무일지!$F377=$B$4,업무일지!$B377&lt;&gt;""),업무일지!$B377*10000+373,"")</f>
        <v/>
      </c>
      <c r="BH373">
        <f>IF(AND(일일실시사항!$G377=$B$4,일일실시사항!$B377&lt;&gt;""),일일실시사항!$B377*10000+373,"")</f>
        <v/>
      </c>
    </row>
    <row r="374">
      <c r="BF374">
        <f>IF(AND(업무일지!$F378=$B$4,업무일지!$B378&lt;&gt;""),업무일지!$B378*10000+374,"")</f>
        <v/>
      </c>
      <c r="BH374">
        <f>IF(AND(일일실시사항!$G378=$B$4,일일실시사항!$B378&lt;&gt;""),일일실시사항!$B378*10000+374,"")</f>
        <v/>
      </c>
    </row>
    <row r="375">
      <c r="BF375">
        <f>IF(AND(업무일지!$F379=$B$4,업무일지!$B379&lt;&gt;""),업무일지!$B379*10000+375,"")</f>
        <v/>
      </c>
      <c r="BH375">
        <f>IF(AND(일일실시사항!$G379=$B$4,일일실시사항!$B379&lt;&gt;""),일일실시사항!$B379*10000+375,"")</f>
        <v/>
      </c>
    </row>
    <row r="376">
      <c r="BF376">
        <f>IF(AND(업무일지!$F380=$B$4,업무일지!$B380&lt;&gt;""),업무일지!$B380*10000+376,"")</f>
        <v/>
      </c>
      <c r="BH376">
        <f>IF(AND(일일실시사항!$G380=$B$4,일일실시사항!$B380&lt;&gt;""),일일실시사항!$B380*10000+376,"")</f>
        <v/>
      </c>
    </row>
    <row r="377">
      <c r="BF377">
        <f>IF(AND(업무일지!$F381=$B$4,업무일지!$B381&lt;&gt;""),업무일지!$B381*10000+377,"")</f>
        <v/>
      </c>
      <c r="BH377">
        <f>IF(AND(일일실시사항!$G381=$B$4,일일실시사항!$B381&lt;&gt;""),일일실시사항!$B381*10000+377,"")</f>
        <v/>
      </c>
    </row>
    <row r="378">
      <c r="BF378">
        <f>IF(AND(업무일지!$F382=$B$4,업무일지!$B382&lt;&gt;""),업무일지!$B382*10000+378,"")</f>
        <v/>
      </c>
      <c r="BH378">
        <f>IF(AND(일일실시사항!$G382=$B$4,일일실시사항!$B382&lt;&gt;""),일일실시사항!$B382*10000+378,"")</f>
        <v/>
      </c>
    </row>
    <row r="379">
      <c r="BF379">
        <f>IF(AND(업무일지!$F383=$B$4,업무일지!$B383&lt;&gt;""),업무일지!$B383*10000+379,"")</f>
        <v/>
      </c>
      <c r="BH379">
        <f>IF(AND(일일실시사항!$G383=$B$4,일일실시사항!$B383&lt;&gt;""),일일실시사항!$B383*10000+379,"")</f>
        <v/>
      </c>
    </row>
    <row r="380">
      <c r="BF380">
        <f>IF(AND(업무일지!$F384=$B$4,업무일지!$B384&lt;&gt;""),업무일지!$B384*10000+380,"")</f>
        <v/>
      </c>
      <c r="BH380">
        <f>IF(AND(일일실시사항!$G384=$B$4,일일실시사항!$B384&lt;&gt;""),일일실시사항!$B384*10000+380,"")</f>
        <v/>
      </c>
    </row>
    <row r="381">
      <c r="BF381">
        <f>IF(AND(업무일지!$F385=$B$4,업무일지!$B385&lt;&gt;""),업무일지!$B385*10000+381,"")</f>
        <v/>
      </c>
      <c r="BH381">
        <f>IF(AND(일일실시사항!$G385=$B$4,일일실시사항!$B385&lt;&gt;""),일일실시사항!$B385*10000+381,"")</f>
        <v/>
      </c>
    </row>
    <row r="382">
      <c r="BF382">
        <f>IF(AND(업무일지!$F386=$B$4,업무일지!$B386&lt;&gt;""),업무일지!$B386*10000+382,"")</f>
        <v/>
      </c>
      <c r="BH382">
        <f>IF(AND(일일실시사항!$G386=$B$4,일일실시사항!$B386&lt;&gt;""),일일실시사항!$B386*10000+382,"")</f>
        <v/>
      </c>
    </row>
    <row r="383">
      <c r="BF383">
        <f>IF(AND(업무일지!$F387=$B$4,업무일지!$B387&lt;&gt;""),업무일지!$B387*10000+383,"")</f>
        <v/>
      </c>
      <c r="BH383">
        <f>IF(AND(일일실시사항!$G387=$B$4,일일실시사항!$B387&lt;&gt;""),일일실시사항!$B387*10000+383,"")</f>
        <v/>
      </c>
    </row>
    <row r="384">
      <c r="BF384">
        <f>IF(AND(업무일지!$F388=$B$4,업무일지!$B388&lt;&gt;""),업무일지!$B388*10000+384,"")</f>
        <v/>
      </c>
      <c r="BH384">
        <f>IF(AND(일일실시사항!$G388=$B$4,일일실시사항!$B388&lt;&gt;""),일일실시사항!$B388*10000+384,"")</f>
        <v/>
      </c>
    </row>
    <row r="385">
      <c r="BF385">
        <f>IF(AND(업무일지!$F389=$B$4,업무일지!$B389&lt;&gt;""),업무일지!$B389*10000+385,"")</f>
        <v/>
      </c>
      <c r="BH385">
        <f>IF(AND(일일실시사항!$G389=$B$4,일일실시사항!$B389&lt;&gt;""),일일실시사항!$B389*10000+385,"")</f>
        <v/>
      </c>
    </row>
    <row r="386">
      <c r="BF386">
        <f>IF(AND(업무일지!$F390=$B$4,업무일지!$B390&lt;&gt;""),업무일지!$B390*10000+386,"")</f>
        <v/>
      </c>
      <c r="BH386">
        <f>IF(AND(일일실시사항!$G390=$B$4,일일실시사항!$B390&lt;&gt;""),일일실시사항!$B390*10000+386,"")</f>
        <v/>
      </c>
    </row>
    <row r="387">
      <c r="BF387">
        <f>IF(AND(업무일지!$F391=$B$4,업무일지!$B391&lt;&gt;""),업무일지!$B391*10000+387,"")</f>
        <v/>
      </c>
      <c r="BH387">
        <f>IF(AND(일일실시사항!$G391=$B$4,일일실시사항!$B391&lt;&gt;""),일일실시사항!$B391*10000+387,"")</f>
        <v/>
      </c>
    </row>
    <row r="388">
      <c r="BF388">
        <f>IF(AND(업무일지!$F392=$B$4,업무일지!$B392&lt;&gt;""),업무일지!$B392*10000+388,"")</f>
        <v/>
      </c>
      <c r="BH388">
        <f>IF(AND(일일실시사항!$G392=$B$4,일일실시사항!$B392&lt;&gt;""),일일실시사항!$B392*10000+388,"")</f>
        <v/>
      </c>
    </row>
    <row r="389">
      <c r="BF389">
        <f>IF(AND(업무일지!$F393=$B$4,업무일지!$B393&lt;&gt;""),업무일지!$B393*10000+389,"")</f>
        <v/>
      </c>
      <c r="BH389">
        <f>IF(AND(일일실시사항!$G393=$B$4,일일실시사항!$B393&lt;&gt;""),일일실시사항!$B393*10000+389,"")</f>
        <v/>
      </c>
    </row>
    <row r="390">
      <c r="BF390">
        <f>IF(AND(업무일지!$F394=$B$4,업무일지!$B394&lt;&gt;""),업무일지!$B394*10000+390,"")</f>
        <v/>
      </c>
      <c r="BH390">
        <f>IF(AND(일일실시사항!$G394=$B$4,일일실시사항!$B394&lt;&gt;""),일일실시사항!$B394*10000+390,"")</f>
        <v/>
      </c>
    </row>
    <row r="391">
      <c r="BF391">
        <f>IF(AND(업무일지!$F395=$B$4,업무일지!$B395&lt;&gt;""),업무일지!$B395*10000+391,"")</f>
        <v/>
      </c>
      <c r="BH391">
        <f>IF(AND(일일실시사항!$G395=$B$4,일일실시사항!$B395&lt;&gt;""),일일실시사항!$B395*10000+391,"")</f>
        <v/>
      </c>
    </row>
    <row r="392">
      <c r="BF392">
        <f>IF(AND(업무일지!$F396=$B$4,업무일지!$B396&lt;&gt;""),업무일지!$B396*10000+392,"")</f>
        <v/>
      </c>
      <c r="BH392">
        <f>IF(AND(일일실시사항!$G396=$B$4,일일실시사항!$B396&lt;&gt;""),일일실시사항!$B396*10000+392,"")</f>
        <v/>
      </c>
    </row>
    <row r="393">
      <c r="BF393">
        <f>IF(AND(업무일지!$F397=$B$4,업무일지!$B397&lt;&gt;""),업무일지!$B397*10000+393,"")</f>
        <v/>
      </c>
      <c r="BH393">
        <f>IF(AND(일일실시사항!$G397=$B$4,일일실시사항!$B397&lt;&gt;""),일일실시사항!$B397*10000+393,"")</f>
        <v/>
      </c>
    </row>
    <row r="394">
      <c r="BF394">
        <f>IF(AND(업무일지!$F398=$B$4,업무일지!$B398&lt;&gt;""),업무일지!$B398*10000+394,"")</f>
        <v/>
      </c>
      <c r="BH394">
        <f>IF(AND(일일실시사항!$G398=$B$4,일일실시사항!$B398&lt;&gt;""),일일실시사항!$B398*10000+394,"")</f>
        <v/>
      </c>
    </row>
    <row r="395">
      <c r="BF395">
        <f>IF(AND(업무일지!$F399=$B$4,업무일지!$B399&lt;&gt;""),업무일지!$B399*10000+395,"")</f>
        <v/>
      </c>
      <c r="BH395">
        <f>IF(AND(일일실시사항!$G399=$B$4,일일실시사항!$B399&lt;&gt;""),일일실시사항!$B399*10000+395,"")</f>
        <v/>
      </c>
    </row>
    <row r="396">
      <c r="BF396">
        <f>IF(AND(업무일지!$F400=$B$4,업무일지!$B400&lt;&gt;""),업무일지!$B400*10000+396,"")</f>
        <v/>
      </c>
      <c r="BH396">
        <f>IF(AND(일일실시사항!$G400=$B$4,일일실시사항!$B400&lt;&gt;""),일일실시사항!$B400*10000+396,"")</f>
        <v/>
      </c>
    </row>
    <row r="397">
      <c r="BF397">
        <f>IF(AND(업무일지!$F401=$B$4,업무일지!$B401&lt;&gt;""),업무일지!$B401*10000+397,"")</f>
        <v/>
      </c>
      <c r="BH397">
        <f>IF(AND(일일실시사항!$G401=$B$4,일일실시사항!$B401&lt;&gt;""),일일실시사항!$B401*10000+397,"")</f>
        <v/>
      </c>
    </row>
    <row r="398">
      <c r="BF398">
        <f>IF(AND(업무일지!$F402=$B$4,업무일지!$B402&lt;&gt;""),업무일지!$B402*10000+398,"")</f>
        <v/>
      </c>
      <c r="BH398">
        <f>IF(AND(일일실시사항!$G402=$B$4,일일실시사항!$B402&lt;&gt;""),일일실시사항!$B402*10000+398,"")</f>
        <v/>
      </c>
    </row>
    <row r="399">
      <c r="BF399">
        <f>IF(AND(업무일지!$F403=$B$4,업무일지!$B403&lt;&gt;""),업무일지!$B403*10000+399,"")</f>
        <v/>
      </c>
      <c r="BH399">
        <f>IF(AND(일일실시사항!$G403=$B$4,일일실시사항!$B403&lt;&gt;""),일일실시사항!$B403*10000+399,"")</f>
        <v/>
      </c>
    </row>
    <row r="400">
      <c r="BF400">
        <f>IF(AND(업무일지!$F404=$B$4,업무일지!$B404&lt;&gt;""),업무일지!$B404*10000+400,"")</f>
        <v/>
      </c>
      <c r="BH400">
        <f>IF(AND(일일실시사항!$G404=$B$4,일일실시사항!$B404&lt;&gt;""),일일실시사항!$B404*10000+400,"")</f>
        <v/>
      </c>
    </row>
    <row r="401">
      <c r="BF401">
        <f>IF(AND(업무일지!$F405=$B$4,업무일지!$B405&lt;&gt;""),업무일지!$B405*10000+401,"")</f>
        <v/>
      </c>
      <c r="BH401">
        <f>IF(AND(일일실시사항!$G405=$B$4,일일실시사항!$B405&lt;&gt;""),일일실시사항!$B405*10000+401,"")</f>
        <v/>
      </c>
    </row>
    <row r="402">
      <c r="BF402">
        <f>IF(AND(업무일지!$F406=$B$4,업무일지!$B406&lt;&gt;""),업무일지!$B406*10000+402,"")</f>
        <v/>
      </c>
      <c r="BH402">
        <f>IF(AND(일일실시사항!$G406=$B$4,일일실시사항!$B406&lt;&gt;""),일일실시사항!$B406*10000+402,"")</f>
        <v/>
      </c>
    </row>
    <row r="403">
      <c r="BF403">
        <f>IF(AND(업무일지!$F407=$B$4,업무일지!$B407&lt;&gt;""),업무일지!$B407*10000+403,"")</f>
        <v/>
      </c>
      <c r="BH403">
        <f>IF(AND(일일실시사항!$G407=$B$4,일일실시사항!$B407&lt;&gt;""),일일실시사항!$B407*10000+403,"")</f>
        <v/>
      </c>
    </row>
    <row r="404">
      <c r="BF404">
        <f>IF(AND(업무일지!$F408=$B$4,업무일지!$B408&lt;&gt;""),업무일지!$B408*10000+404,"")</f>
        <v/>
      </c>
      <c r="BH404">
        <f>IF(AND(일일실시사항!$G408=$B$4,일일실시사항!$B408&lt;&gt;""),일일실시사항!$B408*10000+404,"")</f>
        <v/>
      </c>
    </row>
    <row r="405">
      <c r="BF405">
        <f>IF(AND(업무일지!$F409=$B$4,업무일지!$B409&lt;&gt;""),업무일지!$B409*10000+405,"")</f>
        <v/>
      </c>
      <c r="BH405">
        <f>IF(AND(일일실시사항!$G409=$B$4,일일실시사항!$B409&lt;&gt;""),일일실시사항!$B409*10000+405,"")</f>
        <v/>
      </c>
    </row>
    <row r="406">
      <c r="BF406">
        <f>IF(AND(업무일지!$F410=$B$4,업무일지!$B410&lt;&gt;""),업무일지!$B410*10000+406,"")</f>
        <v/>
      </c>
      <c r="BH406">
        <f>IF(AND(일일실시사항!$G410=$B$4,일일실시사항!$B410&lt;&gt;""),일일실시사항!$B410*10000+406,"")</f>
        <v/>
      </c>
    </row>
    <row r="407">
      <c r="BF407">
        <f>IF(AND(업무일지!$F411=$B$4,업무일지!$B411&lt;&gt;""),업무일지!$B411*10000+407,"")</f>
        <v/>
      </c>
      <c r="BH407">
        <f>IF(AND(일일실시사항!$G411=$B$4,일일실시사항!$B411&lt;&gt;""),일일실시사항!$B411*10000+407,"")</f>
        <v/>
      </c>
    </row>
    <row r="408">
      <c r="BF408">
        <f>IF(AND(업무일지!$F412=$B$4,업무일지!$B412&lt;&gt;""),업무일지!$B412*10000+408,"")</f>
        <v/>
      </c>
      <c r="BH408">
        <f>IF(AND(일일실시사항!$G412=$B$4,일일실시사항!$B412&lt;&gt;""),일일실시사항!$B412*10000+408,"")</f>
        <v/>
      </c>
    </row>
    <row r="409">
      <c r="BF409">
        <f>IF(AND(업무일지!$F413=$B$4,업무일지!$B413&lt;&gt;""),업무일지!$B413*10000+409,"")</f>
        <v/>
      </c>
      <c r="BH409">
        <f>IF(AND(일일실시사항!$G413=$B$4,일일실시사항!$B413&lt;&gt;""),일일실시사항!$B413*10000+409,"")</f>
        <v/>
      </c>
    </row>
    <row r="410">
      <c r="BF410">
        <f>IF(AND(업무일지!$F414=$B$4,업무일지!$B414&lt;&gt;""),업무일지!$B414*10000+410,"")</f>
        <v/>
      </c>
      <c r="BH410">
        <f>IF(AND(일일실시사항!$G414=$B$4,일일실시사항!$B414&lt;&gt;""),일일실시사항!$B414*10000+410,"")</f>
        <v/>
      </c>
    </row>
    <row r="411">
      <c r="BF411">
        <f>IF(AND(업무일지!$F415=$B$4,업무일지!$B415&lt;&gt;""),업무일지!$B415*10000+411,"")</f>
        <v/>
      </c>
      <c r="BH411">
        <f>IF(AND(일일실시사항!$G415=$B$4,일일실시사항!$B415&lt;&gt;""),일일실시사항!$B415*10000+411,"")</f>
        <v/>
      </c>
    </row>
    <row r="412">
      <c r="BF412">
        <f>IF(AND(업무일지!$F416=$B$4,업무일지!$B416&lt;&gt;""),업무일지!$B416*10000+412,"")</f>
        <v/>
      </c>
      <c r="BH412">
        <f>IF(AND(일일실시사항!$G416=$B$4,일일실시사항!$B416&lt;&gt;""),일일실시사항!$B416*10000+412,"")</f>
        <v/>
      </c>
    </row>
    <row r="413">
      <c r="BF413">
        <f>IF(AND(업무일지!$F417=$B$4,업무일지!$B417&lt;&gt;""),업무일지!$B417*10000+413,"")</f>
        <v/>
      </c>
      <c r="BH413">
        <f>IF(AND(일일실시사항!$G417=$B$4,일일실시사항!$B417&lt;&gt;""),일일실시사항!$B417*10000+413,"")</f>
        <v/>
      </c>
    </row>
    <row r="414">
      <c r="BF414">
        <f>IF(AND(업무일지!$F418=$B$4,업무일지!$B418&lt;&gt;""),업무일지!$B418*10000+414,"")</f>
        <v/>
      </c>
      <c r="BH414">
        <f>IF(AND(일일실시사항!$G418=$B$4,일일실시사항!$B418&lt;&gt;""),일일실시사항!$B418*10000+414,"")</f>
        <v/>
      </c>
    </row>
    <row r="415">
      <c r="BF415">
        <f>IF(AND(업무일지!$F419=$B$4,업무일지!$B419&lt;&gt;""),업무일지!$B419*10000+415,"")</f>
        <v/>
      </c>
      <c r="BH415">
        <f>IF(AND(일일실시사항!$G419=$B$4,일일실시사항!$B419&lt;&gt;""),일일실시사항!$B419*10000+415,"")</f>
        <v/>
      </c>
    </row>
    <row r="416">
      <c r="BF416">
        <f>IF(AND(업무일지!$F420=$B$4,업무일지!$B420&lt;&gt;""),업무일지!$B420*10000+416,"")</f>
        <v/>
      </c>
      <c r="BH416">
        <f>IF(AND(일일실시사항!$G420=$B$4,일일실시사항!$B420&lt;&gt;""),일일실시사항!$B420*10000+416,"")</f>
        <v/>
      </c>
    </row>
    <row r="417">
      <c r="BF417">
        <f>IF(AND(업무일지!$F421=$B$4,업무일지!$B421&lt;&gt;""),업무일지!$B421*10000+417,"")</f>
        <v/>
      </c>
      <c r="BH417">
        <f>IF(AND(일일실시사항!$G421=$B$4,일일실시사항!$B421&lt;&gt;""),일일실시사항!$B421*10000+417,"")</f>
        <v/>
      </c>
    </row>
    <row r="418">
      <c r="BF418">
        <f>IF(AND(업무일지!$F422=$B$4,업무일지!$B422&lt;&gt;""),업무일지!$B422*10000+418,"")</f>
        <v/>
      </c>
      <c r="BH418">
        <f>IF(AND(일일실시사항!$G422=$B$4,일일실시사항!$B422&lt;&gt;""),일일실시사항!$B422*10000+418,"")</f>
        <v/>
      </c>
    </row>
    <row r="419">
      <c r="BF419">
        <f>IF(AND(업무일지!$F423=$B$4,업무일지!$B423&lt;&gt;""),업무일지!$B423*10000+419,"")</f>
        <v/>
      </c>
      <c r="BH419">
        <f>IF(AND(일일실시사항!$G423=$B$4,일일실시사항!$B423&lt;&gt;""),일일실시사항!$B423*10000+419,"")</f>
        <v/>
      </c>
    </row>
    <row r="420">
      <c r="BF420">
        <f>IF(AND(업무일지!$F424=$B$4,업무일지!$B424&lt;&gt;""),업무일지!$B424*10000+420,"")</f>
        <v/>
      </c>
      <c r="BH420">
        <f>IF(AND(일일실시사항!$G424=$B$4,일일실시사항!$B424&lt;&gt;""),일일실시사항!$B424*10000+420,"")</f>
        <v/>
      </c>
    </row>
    <row r="421">
      <c r="BF421">
        <f>IF(AND(업무일지!$F425=$B$4,업무일지!$B425&lt;&gt;""),업무일지!$B425*10000+421,"")</f>
        <v/>
      </c>
      <c r="BH421">
        <f>IF(AND(일일실시사항!$G425=$B$4,일일실시사항!$B425&lt;&gt;""),일일실시사항!$B425*10000+421,"")</f>
        <v/>
      </c>
    </row>
    <row r="422">
      <c r="BF422">
        <f>IF(AND(업무일지!$F426=$B$4,업무일지!$B426&lt;&gt;""),업무일지!$B426*10000+422,"")</f>
        <v/>
      </c>
      <c r="BH422">
        <f>IF(AND(일일실시사항!$G426=$B$4,일일실시사항!$B426&lt;&gt;""),일일실시사항!$B426*10000+422,"")</f>
        <v/>
      </c>
    </row>
    <row r="423">
      <c r="BF423">
        <f>IF(AND(업무일지!$F427=$B$4,업무일지!$B427&lt;&gt;""),업무일지!$B427*10000+423,"")</f>
        <v/>
      </c>
      <c r="BH423">
        <f>IF(AND(일일실시사항!$G427=$B$4,일일실시사항!$B427&lt;&gt;""),일일실시사항!$B427*10000+423,"")</f>
        <v/>
      </c>
    </row>
    <row r="424">
      <c r="BF424">
        <f>IF(AND(업무일지!$F428=$B$4,업무일지!$B428&lt;&gt;""),업무일지!$B428*10000+424,"")</f>
        <v/>
      </c>
      <c r="BH424">
        <f>IF(AND(일일실시사항!$G428=$B$4,일일실시사항!$B428&lt;&gt;""),일일실시사항!$B428*10000+424,"")</f>
        <v/>
      </c>
    </row>
    <row r="425">
      <c r="BF425">
        <f>IF(AND(업무일지!$F429=$B$4,업무일지!$B429&lt;&gt;""),업무일지!$B429*10000+425,"")</f>
        <v/>
      </c>
      <c r="BH425">
        <f>IF(AND(일일실시사항!$G429=$B$4,일일실시사항!$B429&lt;&gt;""),일일실시사항!$B429*10000+425,"")</f>
        <v/>
      </c>
    </row>
    <row r="426">
      <c r="BF426">
        <f>IF(AND(업무일지!$F430=$B$4,업무일지!$B430&lt;&gt;""),업무일지!$B430*10000+426,"")</f>
        <v/>
      </c>
      <c r="BH426">
        <f>IF(AND(일일실시사항!$G430=$B$4,일일실시사항!$B430&lt;&gt;""),일일실시사항!$B430*10000+426,"")</f>
        <v/>
      </c>
    </row>
    <row r="427">
      <c r="BF427">
        <f>IF(AND(업무일지!$F431=$B$4,업무일지!$B431&lt;&gt;""),업무일지!$B431*10000+427,"")</f>
        <v/>
      </c>
      <c r="BH427">
        <f>IF(AND(일일실시사항!$G431=$B$4,일일실시사항!$B431&lt;&gt;""),일일실시사항!$B431*10000+427,"")</f>
        <v/>
      </c>
    </row>
    <row r="428">
      <c r="BF428">
        <f>IF(AND(업무일지!$F432=$B$4,업무일지!$B432&lt;&gt;""),업무일지!$B432*10000+428,"")</f>
        <v/>
      </c>
      <c r="BH428">
        <f>IF(AND(일일실시사항!$G432=$B$4,일일실시사항!$B432&lt;&gt;""),일일실시사항!$B432*10000+428,"")</f>
        <v/>
      </c>
    </row>
    <row r="429">
      <c r="BF429">
        <f>IF(AND(업무일지!$F433=$B$4,업무일지!$B433&lt;&gt;""),업무일지!$B433*10000+429,"")</f>
        <v/>
      </c>
      <c r="BH429">
        <f>IF(AND(일일실시사항!$G433=$B$4,일일실시사항!$B433&lt;&gt;""),일일실시사항!$B433*10000+429,"")</f>
        <v/>
      </c>
    </row>
    <row r="430">
      <c r="BF430">
        <f>IF(AND(업무일지!$F434=$B$4,업무일지!$B434&lt;&gt;""),업무일지!$B434*10000+430,"")</f>
        <v/>
      </c>
      <c r="BH430">
        <f>IF(AND(일일실시사항!$G434=$B$4,일일실시사항!$B434&lt;&gt;""),일일실시사항!$B434*10000+430,"")</f>
        <v/>
      </c>
    </row>
    <row r="431">
      <c r="BF431">
        <f>IF(AND(업무일지!$F435=$B$4,업무일지!$B435&lt;&gt;""),업무일지!$B435*10000+431,"")</f>
        <v/>
      </c>
      <c r="BH431">
        <f>IF(AND(일일실시사항!$G435=$B$4,일일실시사항!$B435&lt;&gt;""),일일실시사항!$B435*10000+431,"")</f>
        <v/>
      </c>
    </row>
    <row r="432">
      <c r="BF432">
        <f>IF(AND(업무일지!$F436=$B$4,업무일지!$B436&lt;&gt;""),업무일지!$B436*10000+432,"")</f>
        <v/>
      </c>
      <c r="BH432">
        <f>IF(AND(일일실시사항!$G436=$B$4,일일실시사항!$B436&lt;&gt;""),일일실시사항!$B436*10000+432,"")</f>
        <v/>
      </c>
    </row>
    <row r="433">
      <c r="BF433">
        <f>IF(AND(업무일지!$F437=$B$4,업무일지!$B437&lt;&gt;""),업무일지!$B437*10000+433,"")</f>
        <v/>
      </c>
      <c r="BH433">
        <f>IF(AND(일일실시사항!$G437=$B$4,일일실시사항!$B437&lt;&gt;""),일일실시사항!$B437*10000+433,"")</f>
        <v/>
      </c>
    </row>
    <row r="434">
      <c r="BF434">
        <f>IF(AND(업무일지!$F438=$B$4,업무일지!$B438&lt;&gt;""),업무일지!$B438*10000+434,"")</f>
        <v/>
      </c>
      <c r="BH434">
        <f>IF(AND(일일실시사항!$G438=$B$4,일일실시사항!$B438&lt;&gt;""),일일실시사항!$B438*10000+434,"")</f>
        <v/>
      </c>
    </row>
    <row r="435">
      <c r="BF435">
        <f>IF(AND(업무일지!$F439=$B$4,업무일지!$B439&lt;&gt;""),업무일지!$B439*10000+435,"")</f>
        <v/>
      </c>
      <c r="BH435">
        <f>IF(AND(일일실시사항!$G439=$B$4,일일실시사항!$B439&lt;&gt;""),일일실시사항!$B439*10000+435,"")</f>
        <v/>
      </c>
    </row>
    <row r="436">
      <c r="BF436">
        <f>IF(AND(업무일지!$F440=$B$4,업무일지!$B440&lt;&gt;""),업무일지!$B440*10000+436,"")</f>
        <v/>
      </c>
      <c r="BH436">
        <f>IF(AND(일일실시사항!$G440=$B$4,일일실시사항!$B440&lt;&gt;""),일일실시사항!$B440*10000+436,"")</f>
        <v/>
      </c>
    </row>
    <row r="437">
      <c r="BF437">
        <f>IF(AND(업무일지!$F441=$B$4,업무일지!$B441&lt;&gt;""),업무일지!$B441*10000+437,"")</f>
        <v/>
      </c>
      <c r="BH437">
        <f>IF(AND(일일실시사항!$G441=$B$4,일일실시사항!$B441&lt;&gt;""),일일실시사항!$B441*10000+437,"")</f>
        <v/>
      </c>
    </row>
    <row r="438">
      <c r="BF438">
        <f>IF(AND(업무일지!$F442=$B$4,업무일지!$B442&lt;&gt;""),업무일지!$B442*10000+438,"")</f>
        <v/>
      </c>
      <c r="BH438">
        <f>IF(AND(일일실시사항!$G442=$B$4,일일실시사항!$B442&lt;&gt;""),일일실시사항!$B442*10000+438,"")</f>
        <v/>
      </c>
    </row>
    <row r="439">
      <c r="BF439">
        <f>IF(AND(업무일지!$F443=$B$4,업무일지!$B443&lt;&gt;""),업무일지!$B443*10000+439,"")</f>
        <v/>
      </c>
      <c r="BH439">
        <f>IF(AND(일일실시사항!$G443=$B$4,일일실시사항!$B443&lt;&gt;""),일일실시사항!$B443*10000+439,"")</f>
        <v/>
      </c>
    </row>
    <row r="440">
      <c r="BF440">
        <f>IF(AND(업무일지!$F444=$B$4,업무일지!$B444&lt;&gt;""),업무일지!$B444*10000+440,"")</f>
        <v/>
      </c>
      <c r="BH440">
        <f>IF(AND(일일실시사항!$G444=$B$4,일일실시사항!$B444&lt;&gt;""),일일실시사항!$B444*10000+440,"")</f>
        <v/>
      </c>
    </row>
    <row r="441">
      <c r="BF441">
        <f>IF(AND(업무일지!$F445=$B$4,업무일지!$B445&lt;&gt;""),업무일지!$B445*10000+441,"")</f>
        <v/>
      </c>
      <c r="BH441">
        <f>IF(AND(일일실시사항!$G445=$B$4,일일실시사항!$B445&lt;&gt;""),일일실시사항!$B445*10000+441,"")</f>
        <v/>
      </c>
    </row>
    <row r="442">
      <c r="BF442">
        <f>IF(AND(업무일지!$F446=$B$4,업무일지!$B446&lt;&gt;""),업무일지!$B446*10000+442,"")</f>
        <v/>
      </c>
      <c r="BH442">
        <f>IF(AND(일일실시사항!$G446=$B$4,일일실시사항!$B446&lt;&gt;""),일일실시사항!$B446*10000+442,"")</f>
        <v/>
      </c>
    </row>
    <row r="443">
      <c r="BF443">
        <f>IF(AND(업무일지!$F447=$B$4,업무일지!$B447&lt;&gt;""),업무일지!$B447*10000+443,"")</f>
        <v/>
      </c>
      <c r="BH443">
        <f>IF(AND(일일실시사항!$G447=$B$4,일일실시사항!$B447&lt;&gt;""),일일실시사항!$B447*10000+443,"")</f>
        <v/>
      </c>
    </row>
    <row r="444">
      <c r="BF444">
        <f>IF(AND(업무일지!$F448=$B$4,업무일지!$B448&lt;&gt;""),업무일지!$B448*10000+444,"")</f>
        <v/>
      </c>
      <c r="BH444">
        <f>IF(AND(일일실시사항!$G448=$B$4,일일실시사항!$B448&lt;&gt;""),일일실시사항!$B448*10000+444,"")</f>
        <v/>
      </c>
    </row>
    <row r="445">
      <c r="BF445">
        <f>IF(AND(업무일지!$F449=$B$4,업무일지!$B449&lt;&gt;""),업무일지!$B449*10000+445,"")</f>
        <v/>
      </c>
      <c r="BH445">
        <f>IF(AND(일일실시사항!$G449=$B$4,일일실시사항!$B449&lt;&gt;""),일일실시사항!$B449*10000+445,"")</f>
        <v/>
      </c>
    </row>
    <row r="446">
      <c r="BF446">
        <f>IF(AND(업무일지!$F450=$B$4,업무일지!$B450&lt;&gt;""),업무일지!$B450*10000+446,"")</f>
        <v/>
      </c>
      <c r="BH446">
        <f>IF(AND(일일실시사항!$G450=$B$4,일일실시사항!$B450&lt;&gt;""),일일실시사항!$B450*10000+446,"")</f>
        <v/>
      </c>
    </row>
    <row r="447">
      <c r="BF447">
        <f>IF(AND(업무일지!$F451=$B$4,업무일지!$B451&lt;&gt;""),업무일지!$B451*10000+447,"")</f>
        <v/>
      </c>
      <c r="BH447">
        <f>IF(AND(일일실시사항!$G451=$B$4,일일실시사항!$B451&lt;&gt;""),일일실시사항!$B451*10000+447,"")</f>
        <v/>
      </c>
    </row>
    <row r="448">
      <c r="BF448">
        <f>IF(AND(업무일지!$F452=$B$4,업무일지!$B452&lt;&gt;""),업무일지!$B452*10000+448,"")</f>
        <v/>
      </c>
      <c r="BH448">
        <f>IF(AND(일일실시사항!$G452=$B$4,일일실시사항!$B452&lt;&gt;""),일일실시사항!$B452*10000+448,"")</f>
        <v/>
      </c>
    </row>
    <row r="449">
      <c r="BF449">
        <f>IF(AND(업무일지!$F453=$B$4,업무일지!$B453&lt;&gt;""),업무일지!$B453*10000+449,"")</f>
        <v/>
      </c>
      <c r="BH449">
        <f>IF(AND(일일실시사항!$G453=$B$4,일일실시사항!$B453&lt;&gt;""),일일실시사항!$B453*10000+449,"")</f>
        <v/>
      </c>
    </row>
    <row r="450">
      <c r="BF450">
        <f>IF(AND(업무일지!$F454=$B$4,업무일지!$B454&lt;&gt;""),업무일지!$B454*10000+450,"")</f>
        <v/>
      </c>
      <c r="BH450">
        <f>IF(AND(일일실시사항!$G454=$B$4,일일실시사항!$B454&lt;&gt;""),일일실시사항!$B454*10000+450,"")</f>
        <v/>
      </c>
    </row>
    <row r="451">
      <c r="BF451">
        <f>IF(AND(업무일지!$F455=$B$4,업무일지!$B455&lt;&gt;""),업무일지!$B455*10000+451,"")</f>
        <v/>
      </c>
      <c r="BH451">
        <f>IF(AND(일일실시사항!$G455=$B$4,일일실시사항!$B455&lt;&gt;""),일일실시사항!$B455*10000+451,"")</f>
        <v/>
      </c>
    </row>
    <row r="452">
      <c r="BF452">
        <f>IF(AND(업무일지!$F456=$B$4,업무일지!$B456&lt;&gt;""),업무일지!$B456*10000+452,"")</f>
        <v/>
      </c>
      <c r="BH452">
        <f>IF(AND(일일실시사항!$G456=$B$4,일일실시사항!$B456&lt;&gt;""),일일실시사항!$B456*10000+452,"")</f>
        <v/>
      </c>
    </row>
    <row r="453">
      <c r="BF453">
        <f>IF(AND(업무일지!$F457=$B$4,업무일지!$B457&lt;&gt;""),업무일지!$B457*10000+453,"")</f>
        <v/>
      </c>
      <c r="BH453">
        <f>IF(AND(일일실시사항!$G457=$B$4,일일실시사항!$B457&lt;&gt;""),일일실시사항!$B457*10000+453,"")</f>
        <v/>
      </c>
    </row>
    <row r="454">
      <c r="BF454">
        <f>IF(AND(업무일지!$F458=$B$4,업무일지!$B458&lt;&gt;""),업무일지!$B458*10000+454,"")</f>
        <v/>
      </c>
      <c r="BH454">
        <f>IF(AND(일일실시사항!$G458=$B$4,일일실시사항!$B458&lt;&gt;""),일일실시사항!$B458*10000+454,"")</f>
        <v/>
      </c>
    </row>
    <row r="455">
      <c r="BF455">
        <f>IF(AND(업무일지!$F459=$B$4,업무일지!$B459&lt;&gt;""),업무일지!$B459*10000+455,"")</f>
        <v/>
      </c>
      <c r="BH455">
        <f>IF(AND(일일실시사항!$G459=$B$4,일일실시사항!$B459&lt;&gt;""),일일실시사항!$B459*10000+455,"")</f>
        <v/>
      </c>
    </row>
    <row r="456">
      <c r="BF456">
        <f>IF(AND(업무일지!$F460=$B$4,업무일지!$B460&lt;&gt;""),업무일지!$B460*10000+456,"")</f>
        <v/>
      </c>
      <c r="BH456">
        <f>IF(AND(일일실시사항!$G460=$B$4,일일실시사항!$B460&lt;&gt;""),일일실시사항!$B460*10000+456,"")</f>
        <v/>
      </c>
    </row>
    <row r="457">
      <c r="BF457">
        <f>IF(AND(업무일지!$F461=$B$4,업무일지!$B461&lt;&gt;""),업무일지!$B461*10000+457,"")</f>
        <v/>
      </c>
      <c r="BH457">
        <f>IF(AND(일일실시사항!$G461=$B$4,일일실시사항!$B461&lt;&gt;""),일일실시사항!$B461*10000+457,"")</f>
        <v/>
      </c>
    </row>
    <row r="458">
      <c r="BF458">
        <f>IF(AND(업무일지!$F462=$B$4,업무일지!$B462&lt;&gt;""),업무일지!$B462*10000+458,"")</f>
        <v/>
      </c>
      <c r="BH458">
        <f>IF(AND(일일실시사항!$G462=$B$4,일일실시사항!$B462&lt;&gt;""),일일실시사항!$B462*10000+458,"")</f>
        <v/>
      </c>
    </row>
    <row r="459">
      <c r="BF459">
        <f>IF(AND(업무일지!$F463=$B$4,업무일지!$B463&lt;&gt;""),업무일지!$B463*10000+459,"")</f>
        <v/>
      </c>
      <c r="BH459">
        <f>IF(AND(일일실시사항!$G463=$B$4,일일실시사항!$B463&lt;&gt;""),일일실시사항!$B463*10000+459,"")</f>
        <v/>
      </c>
    </row>
    <row r="460">
      <c r="BF460">
        <f>IF(AND(업무일지!$F464=$B$4,업무일지!$B464&lt;&gt;""),업무일지!$B464*10000+460,"")</f>
        <v/>
      </c>
      <c r="BH460">
        <f>IF(AND(일일실시사항!$G464=$B$4,일일실시사항!$B464&lt;&gt;""),일일실시사항!$B464*10000+460,"")</f>
        <v/>
      </c>
    </row>
    <row r="461">
      <c r="BF461">
        <f>IF(AND(업무일지!$F465=$B$4,업무일지!$B465&lt;&gt;""),업무일지!$B465*10000+461,"")</f>
        <v/>
      </c>
      <c r="BH461">
        <f>IF(AND(일일실시사항!$G465=$B$4,일일실시사항!$B465&lt;&gt;""),일일실시사항!$B465*10000+461,"")</f>
        <v/>
      </c>
    </row>
    <row r="462">
      <c r="BF462">
        <f>IF(AND(업무일지!$F466=$B$4,업무일지!$B466&lt;&gt;""),업무일지!$B466*10000+462,"")</f>
        <v/>
      </c>
      <c r="BH462">
        <f>IF(AND(일일실시사항!$G466=$B$4,일일실시사항!$B466&lt;&gt;""),일일실시사항!$B466*10000+462,"")</f>
        <v/>
      </c>
    </row>
    <row r="463">
      <c r="BF463">
        <f>IF(AND(업무일지!$F467=$B$4,업무일지!$B467&lt;&gt;""),업무일지!$B467*10000+463,"")</f>
        <v/>
      </c>
      <c r="BH463">
        <f>IF(AND(일일실시사항!$G467=$B$4,일일실시사항!$B467&lt;&gt;""),일일실시사항!$B467*10000+463,"")</f>
        <v/>
      </c>
    </row>
    <row r="464">
      <c r="BF464">
        <f>IF(AND(업무일지!$F468=$B$4,업무일지!$B468&lt;&gt;""),업무일지!$B468*10000+464,"")</f>
        <v/>
      </c>
      <c r="BH464">
        <f>IF(AND(일일실시사항!$G468=$B$4,일일실시사항!$B468&lt;&gt;""),일일실시사항!$B468*10000+464,"")</f>
        <v/>
      </c>
    </row>
    <row r="465">
      <c r="BF465">
        <f>IF(AND(업무일지!$F469=$B$4,업무일지!$B469&lt;&gt;""),업무일지!$B469*10000+465,"")</f>
        <v/>
      </c>
      <c r="BH465">
        <f>IF(AND(일일실시사항!$G469=$B$4,일일실시사항!$B469&lt;&gt;""),일일실시사항!$B469*10000+465,"")</f>
        <v/>
      </c>
    </row>
    <row r="466">
      <c r="BF466">
        <f>IF(AND(업무일지!$F470=$B$4,업무일지!$B470&lt;&gt;""),업무일지!$B470*10000+466,"")</f>
        <v/>
      </c>
      <c r="BH466">
        <f>IF(AND(일일실시사항!$G470=$B$4,일일실시사항!$B470&lt;&gt;""),일일실시사항!$B470*10000+466,"")</f>
        <v/>
      </c>
    </row>
    <row r="467">
      <c r="BF467">
        <f>IF(AND(업무일지!$F471=$B$4,업무일지!$B471&lt;&gt;""),업무일지!$B471*10000+467,"")</f>
        <v/>
      </c>
      <c r="BH467">
        <f>IF(AND(일일실시사항!$G471=$B$4,일일실시사항!$B471&lt;&gt;""),일일실시사항!$B471*10000+467,"")</f>
        <v/>
      </c>
    </row>
    <row r="468">
      <c r="BF468">
        <f>IF(AND(업무일지!$F472=$B$4,업무일지!$B472&lt;&gt;""),업무일지!$B472*10000+468,"")</f>
        <v/>
      </c>
      <c r="BH468">
        <f>IF(AND(일일실시사항!$G472=$B$4,일일실시사항!$B472&lt;&gt;""),일일실시사항!$B472*10000+468,"")</f>
        <v/>
      </c>
    </row>
    <row r="469">
      <c r="BF469">
        <f>IF(AND(업무일지!$F473=$B$4,업무일지!$B473&lt;&gt;""),업무일지!$B473*10000+469,"")</f>
        <v/>
      </c>
      <c r="BH469">
        <f>IF(AND(일일실시사항!$G473=$B$4,일일실시사항!$B473&lt;&gt;""),일일실시사항!$B473*10000+469,"")</f>
        <v/>
      </c>
    </row>
    <row r="470">
      <c r="BF470">
        <f>IF(AND(업무일지!$F474=$B$4,업무일지!$B474&lt;&gt;""),업무일지!$B474*10000+470,"")</f>
        <v/>
      </c>
      <c r="BH470">
        <f>IF(AND(일일실시사항!$G474=$B$4,일일실시사항!$B474&lt;&gt;""),일일실시사항!$B474*10000+470,"")</f>
        <v/>
      </c>
    </row>
    <row r="471">
      <c r="BF471">
        <f>IF(AND(업무일지!$F475=$B$4,업무일지!$B475&lt;&gt;""),업무일지!$B475*10000+471,"")</f>
        <v/>
      </c>
      <c r="BH471">
        <f>IF(AND(일일실시사항!$G475=$B$4,일일실시사항!$B475&lt;&gt;""),일일실시사항!$B475*10000+471,"")</f>
        <v/>
      </c>
    </row>
    <row r="472">
      <c r="BF472">
        <f>IF(AND(업무일지!$F476=$B$4,업무일지!$B476&lt;&gt;""),업무일지!$B476*10000+472,"")</f>
        <v/>
      </c>
      <c r="BH472">
        <f>IF(AND(일일실시사항!$G476=$B$4,일일실시사항!$B476&lt;&gt;""),일일실시사항!$B476*10000+472,"")</f>
        <v/>
      </c>
    </row>
    <row r="473">
      <c r="BF473">
        <f>IF(AND(업무일지!$F477=$B$4,업무일지!$B477&lt;&gt;""),업무일지!$B477*10000+473,"")</f>
        <v/>
      </c>
      <c r="BH473">
        <f>IF(AND(일일실시사항!$G477=$B$4,일일실시사항!$B477&lt;&gt;""),일일실시사항!$B477*10000+473,"")</f>
        <v/>
      </c>
    </row>
    <row r="474">
      <c r="BF474">
        <f>IF(AND(업무일지!$F478=$B$4,업무일지!$B478&lt;&gt;""),업무일지!$B478*10000+474,"")</f>
        <v/>
      </c>
      <c r="BH474">
        <f>IF(AND(일일실시사항!$G478=$B$4,일일실시사항!$B478&lt;&gt;""),일일실시사항!$B478*10000+474,"")</f>
        <v/>
      </c>
    </row>
    <row r="475">
      <c r="BF475">
        <f>IF(AND(업무일지!$F479=$B$4,업무일지!$B479&lt;&gt;""),업무일지!$B479*10000+475,"")</f>
        <v/>
      </c>
      <c r="BH475">
        <f>IF(AND(일일실시사항!$G479=$B$4,일일실시사항!$B479&lt;&gt;""),일일실시사항!$B479*10000+475,"")</f>
        <v/>
      </c>
    </row>
    <row r="476">
      <c r="BF476">
        <f>IF(AND(업무일지!$F480=$B$4,업무일지!$B480&lt;&gt;""),업무일지!$B480*10000+476,"")</f>
        <v/>
      </c>
      <c r="BH476">
        <f>IF(AND(일일실시사항!$G480=$B$4,일일실시사항!$B480&lt;&gt;""),일일실시사항!$B480*10000+476,"")</f>
        <v/>
      </c>
    </row>
    <row r="477">
      <c r="BF477">
        <f>IF(AND(업무일지!$F481=$B$4,업무일지!$B481&lt;&gt;""),업무일지!$B481*10000+477,"")</f>
        <v/>
      </c>
      <c r="BH477">
        <f>IF(AND(일일실시사항!$G481=$B$4,일일실시사항!$B481&lt;&gt;""),일일실시사항!$B481*10000+477,"")</f>
        <v/>
      </c>
    </row>
    <row r="478">
      <c r="BF478">
        <f>IF(AND(업무일지!$F482=$B$4,업무일지!$B482&lt;&gt;""),업무일지!$B482*10000+478,"")</f>
        <v/>
      </c>
      <c r="BH478">
        <f>IF(AND(일일실시사항!$G482=$B$4,일일실시사항!$B482&lt;&gt;""),일일실시사항!$B482*10000+478,"")</f>
        <v/>
      </c>
    </row>
    <row r="479">
      <c r="BF479">
        <f>IF(AND(업무일지!$F483=$B$4,업무일지!$B483&lt;&gt;""),업무일지!$B483*10000+479,"")</f>
        <v/>
      </c>
      <c r="BH479">
        <f>IF(AND(일일실시사항!$G483=$B$4,일일실시사항!$B483&lt;&gt;""),일일실시사항!$B483*10000+479,"")</f>
        <v/>
      </c>
    </row>
    <row r="480">
      <c r="BF480">
        <f>IF(AND(업무일지!$F484=$B$4,업무일지!$B484&lt;&gt;""),업무일지!$B484*10000+480,"")</f>
        <v/>
      </c>
      <c r="BH480">
        <f>IF(AND(일일실시사항!$G484=$B$4,일일실시사항!$B484&lt;&gt;""),일일실시사항!$B484*10000+480,"")</f>
        <v/>
      </c>
    </row>
    <row r="481">
      <c r="BF481">
        <f>IF(AND(업무일지!$F485=$B$4,업무일지!$B485&lt;&gt;""),업무일지!$B485*10000+481,"")</f>
        <v/>
      </c>
      <c r="BH481">
        <f>IF(AND(일일실시사항!$G485=$B$4,일일실시사항!$B485&lt;&gt;""),일일실시사항!$B485*10000+481,"")</f>
        <v/>
      </c>
    </row>
    <row r="482">
      <c r="BF482">
        <f>IF(AND(업무일지!$F486=$B$4,업무일지!$B486&lt;&gt;""),업무일지!$B486*10000+482,"")</f>
        <v/>
      </c>
      <c r="BH482">
        <f>IF(AND(일일실시사항!$G486=$B$4,일일실시사항!$B486&lt;&gt;""),일일실시사항!$B486*10000+482,"")</f>
        <v/>
      </c>
    </row>
    <row r="483">
      <c r="BF483">
        <f>IF(AND(업무일지!$F487=$B$4,업무일지!$B487&lt;&gt;""),업무일지!$B487*10000+483,"")</f>
        <v/>
      </c>
      <c r="BH483">
        <f>IF(AND(일일실시사항!$G487=$B$4,일일실시사항!$B487&lt;&gt;""),일일실시사항!$B487*10000+483,"")</f>
        <v/>
      </c>
    </row>
    <row r="484">
      <c r="BF484">
        <f>IF(AND(업무일지!$F488=$B$4,업무일지!$B488&lt;&gt;""),업무일지!$B488*10000+484,"")</f>
        <v/>
      </c>
      <c r="BH484">
        <f>IF(AND(일일실시사항!$G488=$B$4,일일실시사항!$B488&lt;&gt;""),일일실시사항!$B488*10000+484,"")</f>
        <v/>
      </c>
    </row>
    <row r="485">
      <c r="BF485">
        <f>IF(AND(업무일지!$F489=$B$4,업무일지!$B489&lt;&gt;""),업무일지!$B489*10000+485,"")</f>
        <v/>
      </c>
      <c r="BH485">
        <f>IF(AND(일일실시사항!$G489=$B$4,일일실시사항!$B489&lt;&gt;""),일일실시사항!$B489*10000+485,"")</f>
        <v/>
      </c>
    </row>
    <row r="486">
      <c r="BF486">
        <f>IF(AND(업무일지!$F490=$B$4,업무일지!$B490&lt;&gt;""),업무일지!$B490*10000+486,"")</f>
        <v/>
      </c>
      <c r="BH486">
        <f>IF(AND(일일실시사항!$G490=$B$4,일일실시사항!$B490&lt;&gt;""),일일실시사항!$B490*10000+486,"")</f>
        <v/>
      </c>
    </row>
    <row r="487">
      <c r="BF487">
        <f>IF(AND(업무일지!$F491=$B$4,업무일지!$B491&lt;&gt;""),업무일지!$B491*10000+487,"")</f>
        <v/>
      </c>
      <c r="BH487">
        <f>IF(AND(일일실시사항!$G491=$B$4,일일실시사항!$B491&lt;&gt;""),일일실시사항!$B491*10000+487,"")</f>
        <v/>
      </c>
    </row>
    <row r="488">
      <c r="BF488">
        <f>IF(AND(업무일지!$F492=$B$4,업무일지!$B492&lt;&gt;""),업무일지!$B492*10000+488,"")</f>
        <v/>
      </c>
      <c r="BH488">
        <f>IF(AND(일일실시사항!$G492=$B$4,일일실시사항!$B492&lt;&gt;""),일일실시사항!$B492*10000+488,"")</f>
        <v/>
      </c>
    </row>
    <row r="489">
      <c r="BF489">
        <f>IF(AND(업무일지!$F493=$B$4,업무일지!$B493&lt;&gt;""),업무일지!$B493*10000+489,"")</f>
        <v/>
      </c>
      <c r="BH489">
        <f>IF(AND(일일실시사항!$G493=$B$4,일일실시사항!$B493&lt;&gt;""),일일실시사항!$B493*10000+489,"")</f>
        <v/>
      </c>
    </row>
    <row r="490">
      <c r="BF490">
        <f>IF(AND(업무일지!$F494=$B$4,업무일지!$B494&lt;&gt;""),업무일지!$B494*10000+490,"")</f>
        <v/>
      </c>
      <c r="BH490">
        <f>IF(AND(일일실시사항!$G494=$B$4,일일실시사항!$B494&lt;&gt;""),일일실시사항!$B494*10000+490,"")</f>
        <v/>
      </c>
    </row>
    <row r="491">
      <c r="BF491">
        <f>IF(AND(업무일지!$F495=$B$4,업무일지!$B495&lt;&gt;""),업무일지!$B495*10000+491,"")</f>
        <v/>
      </c>
      <c r="BH491">
        <f>IF(AND(일일실시사항!$G495=$B$4,일일실시사항!$B495&lt;&gt;""),일일실시사항!$B495*10000+491,"")</f>
        <v/>
      </c>
    </row>
    <row r="492">
      <c r="BF492">
        <f>IF(AND(업무일지!$F496=$B$4,업무일지!$B496&lt;&gt;""),업무일지!$B496*10000+492,"")</f>
        <v/>
      </c>
      <c r="BH492">
        <f>IF(AND(일일실시사항!$G496=$B$4,일일실시사항!$B496&lt;&gt;""),일일실시사항!$B496*10000+492,"")</f>
        <v/>
      </c>
    </row>
    <row r="493">
      <c r="BF493">
        <f>IF(AND(업무일지!$F497=$B$4,업무일지!$B497&lt;&gt;""),업무일지!$B497*10000+493,"")</f>
        <v/>
      </c>
      <c r="BH493">
        <f>IF(AND(일일실시사항!$G497=$B$4,일일실시사항!$B497&lt;&gt;""),일일실시사항!$B497*10000+493,"")</f>
        <v/>
      </c>
    </row>
    <row r="494">
      <c r="BF494">
        <f>IF(AND(업무일지!$F498=$B$4,업무일지!$B498&lt;&gt;""),업무일지!$B498*10000+494,"")</f>
        <v/>
      </c>
      <c r="BH494">
        <f>IF(AND(일일실시사항!$G498=$B$4,일일실시사항!$B498&lt;&gt;""),일일실시사항!$B498*10000+494,"")</f>
        <v/>
      </c>
    </row>
    <row r="495">
      <c r="BF495">
        <f>IF(AND(업무일지!$F499=$B$4,업무일지!$B499&lt;&gt;""),업무일지!$B499*10000+495,"")</f>
        <v/>
      </c>
      <c r="BH495">
        <f>IF(AND(일일실시사항!$G499=$B$4,일일실시사항!$B499&lt;&gt;""),일일실시사항!$B499*10000+495,"")</f>
        <v/>
      </c>
    </row>
    <row r="496">
      <c r="BF496">
        <f>IF(AND(업무일지!$F500=$B$4,업무일지!$B500&lt;&gt;""),업무일지!$B500*10000+496,"")</f>
        <v/>
      </c>
      <c r="BH496">
        <f>IF(AND(일일실시사항!$G500=$B$4,일일실시사항!$B500&lt;&gt;""),일일실시사항!$B500*10000+496,"")</f>
        <v/>
      </c>
    </row>
    <row r="497">
      <c r="BF497">
        <f>IF(AND(업무일지!$F501=$B$4,업무일지!$B501&lt;&gt;""),업무일지!$B501*10000+497,"")</f>
        <v/>
      </c>
      <c r="BH497">
        <f>IF(AND(일일실시사항!$G501=$B$4,일일실시사항!$B501&lt;&gt;""),일일실시사항!$B501*10000+497,"")</f>
        <v/>
      </c>
    </row>
    <row r="498">
      <c r="BF498">
        <f>IF(AND(업무일지!$F502=$B$4,업무일지!$B502&lt;&gt;""),업무일지!$B502*10000+498,"")</f>
        <v/>
      </c>
      <c r="BH498">
        <f>IF(AND(일일실시사항!$G502=$B$4,일일실시사항!$B502&lt;&gt;""),일일실시사항!$B502*10000+498,"")</f>
        <v/>
      </c>
    </row>
    <row r="499">
      <c r="BF499">
        <f>IF(AND(업무일지!$F503=$B$4,업무일지!$B503&lt;&gt;""),업무일지!$B503*10000+499,"")</f>
        <v/>
      </c>
      <c r="BH499">
        <f>IF(AND(일일실시사항!$G503=$B$4,일일실시사항!$B503&lt;&gt;""),일일실시사항!$B503*10000+499,"")</f>
        <v/>
      </c>
    </row>
    <row r="500">
      <c r="BF500">
        <f>IF(AND(업무일지!$F504=$B$4,업무일지!$B504&lt;&gt;""),업무일지!$B504*10000+500,"")</f>
        <v/>
      </c>
      <c r="BH500">
        <f>IF(AND(일일실시사항!$G504=$B$4,일일실시사항!$B504&lt;&gt;""),일일실시사항!$B504*10000+500,"")</f>
        <v/>
      </c>
    </row>
    <row r="501">
      <c r="BF501">
        <f>IF(AND(업무일지!$F505=$B$4,업무일지!$B505&lt;&gt;""),업무일지!$B505*10000+501,"")</f>
        <v/>
      </c>
      <c r="BH501">
        <f>IF(AND(일일실시사항!$G505=$B$4,일일실시사항!$B505&lt;&gt;""),일일실시사항!$B505*10000+501,"")</f>
        <v/>
      </c>
    </row>
    <row r="502">
      <c r="BF502">
        <f>IF(AND(업무일지!$F506=$B$4,업무일지!$B506&lt;&gt;""),업무일지!$B506*10000+502,"")</f>
        <v/>
      </c>
      <c r="BH502">
        <f>IF(AND(일일실시사항!$G506=$B$4,일일실시사항!$B506&lt;&gt;""),일일실시사항!$B506*10000+502,"")</f>
        <v/>
      </c>
    </row>
    <row r="503">
      <c r="BF503">
        <f>IF(AND(업무일지!$F507=$B$4,업무일지!$B507&lt;&gt;""),업무일지!$B507*10000+503,"")</f>
        <v/>
      </c>
      <c r="BH503">
        <f>IF(AND(일일실시사항!$G507=$B$4,일일실시사항!$B507&lt;&gt;""),일일실시사항!$B507*10000+503,"")</f>
        <v/>
      </c>
    </row>
    <row r="504">
      <c r="BF504">
        <f>IF(AND(업무일지!$F508=$B$4,업무일지!$B508&lt;&gt;""),업무일지!$B508*10000+504,"")</f>
        <v/>
      </c>
      <c r="BH504">
        <f>IF(AND(일일실시사항!$G508=$B$4,일일실시사항!$B508&lt;&gt;""),일일실시사항!$B508*10000+504,"")</f>
        <v/>
      </c>
    </row>
    <row r="505">
      <c r="BF505">
        <f>IF(AND(업무일지!$F509=$B$4,업무일지!$B509&lt;&gt;""),업무일지!$B509*10000+505,"")</f>
        <v/>
      </c>
      <c r="BH505">
        <f>IF(AND(일일실시사항!$G509=$B$4,일일실시사항!$B509&lt;&gt;""),일일실시사항!$B509*10000+505,"")</f>
        <v/>
      </c>
    </row>
    <row r="506">
      <c r="BF506">
        <f>IF(AND(업무일지!$F510=$B$4,업무일지!$B510&lt;&gt;""),업무일지!$B510*10000+506,"")</f>
        <v/>
      </c>
      <c r="BH506">
        <f>IF(AND(일일실시사항!$G510=$B$4,일일실시사항!$B510&lt;&gt;""),일일실시사항!$B510*10000+506,"")</f>
        <v/>
      </c>
    </row>
    <row r="507">
      <c r="BF507">
        <f>IF(AND(업무일지!$F511=$B$4,업무일지!$B511&lt;&gt;""),업무일지!$B511*10000+507,"")</f>
        <v/>
      </c>
      <c r="BH507">
        <f>IF(AND(일일실시사항!$G511=$B$4,일일실시사항!$B511&lt;&gt;""),일일실시사항!$B511*10000+507,"")</f>
        <v/>
      </c>
    </row>
    <row r="508">
      <c r="BF508">
        <f>IF(AND(업무일지!$F512=$B$4,업무일지!$B512&lt;&gt;""),업무일지!$B512*10000+508,"")</f>
        <v/>
      </c>
      <c r="BH508">
        <f>IF(AND(일일실시사항!$G512=$B$4,일일실시사항!$B512&lt;&gt;""),일일실시사항!$B512*10000+508,"")</f>
        <v/>
      </c>
    </row>
    <row r="509">
      <c r="BF509">
        <f>IF(AND(업무일지!$F513=$B$4,업무일지!$B513&lt;&gt;""),업무일지!$B513*10000+509,"")</f>
        <v/>
      </c>
      <c r="BH509">
        <f>IF(AND(일일실시사항!$G513=$B$4,일일실시사항!$B513&lt;&gt;""),일일실시사항!$B513*10000+509,"")</f>
        <v/>
      </c>
    </row>
    <row r="510">
      <c r="BF510">
        <f>IF(AND(업무일지!$F514=$B$4,업무일지!$B514&lt;&gt;""),업무일지!$B514*10000+510,"")</f>
        <v/>
      </c>
      <c r="BH510">
        <f>IF(AND(일일실시사항!$G514=$B$4,일일실시사항!$B514&lt;&gt;""),일일실시사항!$B514*10000+510,"")</f>
        <v/>
      </c>
    </row>
    <row r="511">
      <c r="BF511">
        <f>IF(AND(업무일지!$F515=$B$4,업무일지!$B515&lt;&gt;""),업무일지!$B515*10000+511,"")</f>
        <v/>
      </c>
      <c r="BH511">
        <f>IF(AND(일일실시사항!$G515=$B$4,일일실시사항!$B515&lt;&gt;""),일일실시사항!$B515*10000+511,"")</f>
        <v/>
      </c>
    </row>
    <row r="512">
      <c r="BF512">
        <f>IF(AND(업무일지!$F516=$B$4,업무일지!$B516&lt;&gt;""),업무일지!$B516*10000+512,"")</f>
        <v/>
      </c>
      <c r="BH512">
        <f>IF(AND(일일실시사항!$G516=$B$4,일일실시사항!$B516&lt;&gt;""),일일실시사항!$B516*10000+512,"")</f>
        <v/>
      </c>
    </row>
    <row r="513">
      <c r="BF513">
        <f>IF(AND(업무일지!$F517=$B$4,업무일지!$B517&lt;&gt;""),업무일지!$B517*10000+513,"")</f>
        <v/>
      </c>
      <c r="BH513">
        <f>IF(AND(일일실시사항!$G517=$B$4,일일실시사항!$B517&lt;&gt;""),일일실시사항!$B517*10000+513,"")</f>
        <v/>
      </c>
    </row>
    <row r="514">
      <c r="BF514">
        <f>IF(AND(업무일지!$F518=$B$4,업무일지!$B518&lt;&gt;""),업무일지!$B518*10000+514,"")</f>
        <v/>
      </c>
      <c r="BH514">
        <f>IF(AND(일일실시사항!$G518=$B$4,일일실시사항!$B518&lt;&gt;""),일일실시사항!$B518*10000+514,"")</f>
        <v/>
      </c>
    </row>
    <row r="515">
      <c r="BF515">
        <f>IF(AND(업무일지!$F519=$B$4,업무일지!$B519&lt;&gt;""),업무일지!$B519*10000+515,"")</f>
        <v/>
      </c>
      <c r="BH515">
        <f>IF(AND(일일실시사항!$G519=$B$4,일일실시사항!$B519&lt;&gt;""),일일실시사항!$B519*10000+515,"")</f>
        <v/>
      </c>
    </row>
    <row r="516">
      <c r="BF516">
        <f>IF(AND(업무일지!$F520=$B$4,업무일지!$B520&lt;&gt;""),업무일지!$B520*10000+516,"")</f>
        <v/>
      </c>
      <c r="BH516">
        <f>IF(AND(일일실시사항!$G520=$B$4,일일실시사항!$B520&lt;&gt;""),일일실시사항!$B520*10000+516,"")</f>
        <v/>
      </c>
    </row>
    <row r="517">
      <c r="BF517">
        <f>IF(AND(업무일지!$F521=$B$4,업무일지!$B521&lt;&gt;""),업무일지!$B521*10000+517,"")</f>
        <v/>
      </c>
      <c r="BH517">
        <f>IF(AND(일일실시사항!$G521=$B$4,일일실시사항!$B521&lt;&gt;""),일일실시사항!$B521*10000+517,"")</f>
        <v/>
      </c>
    </row>
    <row r="518">
      <c r="BF518">
        <f>IF(AND(업무일지!$F522=$B$4,업무일지!$B522&lt;&gt;""),업무일지!$B522*10000+518,"")</f>
        <v/>
      </c>
      <c r="BH518">
        <f>IF(AND(일일실시사항!$G522=$B$4,일일실시사항!$B522&lt;&gt;""),일일실시사항!$B522*10000+518,"")</f>
        <v/>
      </c>
    </row>
    <row r="519">
      <c r="BF519">
        <f>IF(AND(업무일지!$F523=$B$4,업무일지!$B523&lt;&gt;""),업무일지!$B523*10000+519,"")</f>
        <v/>
      </c>
      <c r="BH519">
        <f>IF(AND(일일실시사항!$G523=$B$4,일일실시사항!$B523&lt;&gt;""),일일실시사항!$B523*10000+519,"")</f>
        <v/>
      </c>
    </row>
    <row r="520">
      <c r="BF520">
        <f>IF(AND(업무일지!$F524=$B$4,업무일지!$B524&lt;&gt;""),업무일지!$B524*10000+520,"")</f>
        <v/>
      </c>
      <c r="BH520">
        <f>IF(AND(일일실시사항!$G524=$B$4,일일실시사항!$B524&lt;&gt;""),일일실시사항!$B524*10000+520,"")</f>
        <v/>
      </c>
    </row>
    <row r="521">
      <c r="BF521">
        <f>IF(AND(업무일지!$F525=$B$4,업무일지!$B525&lt;&gt;""),업무일지!$B525*10000+521,"")</f>
        <v/>
      </c>
      <c r="BH521">
        <f>IF(AND(일일실시사항!$G525=$B$4,일일실시사항!$B525&lt;&gt;""),일일실시사항!$B525*10000+521,"")</f>
        <v/>
      </c>
    </row>
    <row r="522">
      <c r="BF522">
        <f>IF(AND(업무일지!$F526=$B$4,업무일지!$B526&lt;&gt;""),업무일지!$B526*10000+522,"")</f>
        <v/>
      </c>
      <c r="BH522">
        <f>IF(AND(일일실시사항!$G526=$B$4,일일실시사항!$B526&lt;&gt;""),일일실시사항!$B526*10000+522,"")</f>
        <v/>
      </c>
    </row>
    <row r="523">
      <c r="BF523">
        <f>IF(AND(업무일지!$F527=$B$4,업무일지!$B527&lt;&gt;""),업무일지!$B527*10000+523,"")</f>
        <v/>
      </c>
      <c r="BH523">
        <f>IF(AND(일일실시사항!$G527=$B$4,일일실시사항!$B527&lt;&gt;""),일일실시사항!$B527*10000+523,"")</f>
        <v/>
      </c>
    </row>
    <row r="524">
      <c r="BF524">
        <f>IF(AND(업무일지!$F528=$B$4,업무일지!$B528&lt;&gt;""),업무일지!$B528*10000+524,"")</f>
        <v/>
      </c>
      <c r="BH524">
        <f>IF(AND(일일실시사항!$G528=$B$4,일일실시사항!$B528&lt;&gt;""),일일실시사항!$B528*10000+524,"")</f>
        <v/>
      </c>
    </row>
    <row r="525">
      <c r="BF525">
        <f>IF(AND(업무일지!$F529=$B$4,업무일지!$B529&lt;&gt;""),업무일지!$B529*10000+525,"")</f>
        <v/>
      </c>
      <c r="BH525">
        <f>IF(AND(일일실시사항!$G529=$B$4,일일실시사항!$B529&lt;&gt;""),일일실시사항!$B529*10000+525,"")</f>
        <v/>
      </c>
    </row>
    <row r="526">
      <c r="BF526">
        <f>IF(AND(업무일지!$F530=$B$4,업무일지!$B530&lt;&gt;""),업무일지!$B530*10000+526,"")</f>
        <v/>
      </c>
      <c r="BH526">
        <f>IF(AND(일일실시사항!$G530=$B$4,일일실시사항!$B530&lt;&gt;""),일일실시사항!$B530*10000+526,"")</f>
        <v/>
      </c>
    </row>
    <row r="527">
      <c r="BF527">
        <f>IF(AND(업무일지!$F531=$B$4,업무일지!$B531&lt;&gt;""),업무일지!$B531*10000+527,"")</f>
        <v/>
      </c>
      <c r="BH527">
        <f>IF(AND(일일실시사항!$G531=$B$4,일일실시사항!$B531&lt;&gt;""),일일실시사항!$B531*10000+527,"")</f>
        <v/>
      </c>
    </row>
    <row r="528">
      <c r="BF528">
        <f>IF(AND(업무일지!$F532=$B$4,업무일지!$B532&lt;&gt;""),업무일지!$B532*10000+528,"")</f>
        <v/>
      </c>
      <c r="BH528">
        <f>IF(AND(일일실시사항!$G532=$B$4,일일실시사항!$B532&lt;&gt;""),일일실시사항!$B532*10000+528,"")</f>
        <v/>
      </c>
    </row>
    <row r="529">
      <c r="BF529">
        <f>IF(AND(업무일지!$F533=$B$4,업무일지!$B533&lt;&gt;""),업무일지!$B533*10000+529,"")</f>
        <v/>
      </c>
      <c r="BH529">
        <f>IF(AND(일일실시사항!$G533=$B$4,일일실시사항!$B533&lt;&gt;""),일일실시사항!$B533*10000+529,"")</f>
        <v/>
      </c>
    </row>
    <row r="530">
      <c r="BF530">
        <f>IF(AND(업무일지!$F534=$B$4,업무일지!$B534&lt;&gt;""),업무일지!$B534*10000+530,"")</f>
        <v/>
      </c>
      <c r="BH530">
        <f>IF(AND(일일실시사항!$G534=$B$4,일일실시사항!$B534&lt;&gt;""),일일실시사항!$B534*10000+530,"")</f>
        <v/>
      </c>
    </row>
    <row r="531">
      <c r="BF531">
        <f>IF(AND(업무일지!$F535=$B$4,업무일지!$B535&lt;&gt;""),업무일지!$B535*10000+531,"")</f>
        <v/>
      </c>
      <c r="BH531">
        <f>IF(AND(일일실시사항!$G535=$B$4,일일실시사항!$B535&lt;&gt;""),일일실시사항!$B535*10000+531,"")</f>
        <v/>
      </c>
    </row>
    <row r="532">
      <c r="BF532">
        <f>IF(AND(업무일지!$F536=$B$4,업무일지!$B536&lt;&gt;""),업무일지!$B536*10000+532,"")</f>
        <v/>
      </c>
      <c r="BH532">
        <f>IF(AND(일일실시사항!$G536=$B$4,일일실시사항!$B536&lt;&gt;""),일일실시사항!$B536*10000+532,"")</f>
        <v/>
      </c>
    </row>
    <row r="533">
      <c r="BF533">
        <f>IF(AND(업무일지!$F537=$B$4,업무일지!$B537&lt;&gt;""),업무일지!$B537*10000+533,"")</f>
        <v/>
      </c>
      <c r="BH533">
        <f>IF(AND(일일실시사항!$G537=$B$4,일일실시사항!$B537&lt;&gt;""),일일실시사항!$B537*10000+533,"")</f>
        <v/>
      </c>
    </row>
    <row r="534">
      <c r="BF534">
        <f>IF(AND(업무일지!$F538=$B$4,업무일지!$B538&lt;&gt;""),업무일지!$B538*10000+534,"")</f>
        <v/>
      </c>
      <c r="BH534">
        <f>IF(AND(일일실시사항!$G538=$B$4,일일실시사항!$B538&lt;&gt;""),일일실시사항!$B538*10000+534,"")</f>
        <v/>
      </c>
    </row>
    <row r="535">
      <c r="BF535">
        <f>IF(AND(업무일지!$F539=$B$4,업무일지!$B539&lt;&gt;""),업무일지!$B539*10000+535,"")</f>
        <v/>
      </c>
      <c r="BH535">
        <f>IF(AND(일일실시사항!$G539=$B$4,일일실시사항!$B539&lt;&gt;""),일일실시사항!$B539*10000+535,"")</f>
        <v/>
      </c>
    </row>
    <row r="536">
      <c r="BF536">
        <f>IF(AND(업무일지!$F540=$B$4,업무일지!$B540&lt;&gt;""),업무일지!$B540*10000+536,"")</f>
        <v/>
      </c>
      <c r="BH536">
        <f>IF(AND(일일실시사항!$G540=$B$4,일일실시사항!$B540&lt;&gt;""),일일실시사항!$B540*10000+536,"")</f>
        <v/>
      </c>
    </row>
    <row r="537">
      <c r="BF537">
        <f>IF(AND(업무일지!$F541=$B$4,업무일지!$B541&lt;&gt;""),업무일지!$B541*10000+537,"")</f>
        <v/>
      </c>
      <c r="BH537">
        <f>IF(AND(일일실시사항!$G541=$B$4,일일실시사항!$B541&lt;&gt;""),일일실시사항!$B541*10000+537,"")</f>
        <v/>
      </c>
    </row>
    <row r="538">
      <c r="BF538">
        <f>IF(AND(업무일지!$F542=$B$4,업무일지!$B542&lt;&gt;""),업무일지!$B542*10000+538,"")</f>
        <v/>
      </c>
      <c r="BH538">
        <f>IF(AND(일일실시사항!$G542=$B$4,일일실시사항!$B542&lt;&gt;""),일일실시사항!$B542*10000+538,"")</f>
        <v/>
      </c>
    </row>
    <row r="539">
      <c r="BF539">
        <f>IF(AND(업무일지!$F543=$B$4,업무일지!$B543&lt;&gt;""),업무일지!$B543*10000+539,"")</f>
        <v/>
      </c>
      <c r="BH539">
        <f>IF(AND(일일실시사항!$G543=$B$4,일일실시사항!$B543&lt;&gt;""),일일실시사항!$B543*10000+539,"")</f>
        <v/>
      </c>
    </row>
    <row r="540">
      <c r="BF540">
        <f>IF(AND(업무일지!$F544=$B$4,업무일지!$B544&lt;&gt;""),업무일지!$B544*10000+540,"")</f>
        <v/>
      </c>
      <c r="BH540">
        <f>IF(AND(일일실시사항!$G544=$B$4,일일실시사항!$B544&lt;&gt;""),일일실시사항!$B544*10000+540,"")</f>
        <v/>
      </c>
    </row>
    <row r="541">
      <c r="BF541">
        <f>IF(AND(업무일지!$F545=$B$4,업무일지!$B545&lt;&gt;""),업무일지!$B545*10000+541,"")</f>
        <v/>
      </c>
      <c r="BH541">
        <f>IF(AND(일일실시사항!$G545=$B$4,일일실시사항!$B545&lt;&gt;""),일일실시사항!$B545*10000+541,"")</f>
        <v/>
      </c>
    </row>
    <row r="542">
      <c r="BF542">
        <f>IF(AND(업무일지!$F546=$B$4,업무일지!$B546&lt;&gt;""),업무일지!$B546*10000+542,"")</f>
        <v/>
      </c>
      <c r="BH542">
        <f>IF(AND(일일실시사항!$G546=$B$4,일일실시사항!$B546&lt;&gt;""),일일실시사항!$B546*10000+542,"")</f>
        <v/>
      </c>
    </row>
    <row r="543">
      <c r="BF543">
        <f>IF(AND(업무일지!$F547=$B$4,업무일지!$B547&lt;&gt;""),업무일지!$B547*10000+543,"")</f>
        <v/>
      </c>
      <c r="BH543">
        <f>IF(AND(일일실시사항!$G547=$B$4,일일실시사항!$B547&lt;&gt;""),일일실시사항!$B547*10000+543,"")</f>
        <v/>
      </c>
    </row>
    <row r="544">
      <c r="BF544">
        <f>IF(AND(업무일지!$F548=$B$4,업무일지!$B548&lt;&gt;""),업무일지!$B548*10000+544,"")</f>
        <v/>
      </c>
      <c r="BH544">
        <f>IF(AND(일일실시사항!$G548=$B$4,일일실시사항!$B548&lt;&gt;""),일일실시사항!$B548*10000+544,"")</f>
        <v/>
      </c>
    </row>
    <row r="545">
      <c r="BF545">
        <f>IF(AND(업무일지!$F549=$B$4,업무일지!$B549&lt;&gt;""),업무일지!$B549*10000+545,"")</f>
        <v/>
      </c>
      <c r="BH545">
        <f>IF(AND(일일실시사항!$G549=$B$4,일일실시사항!$B549&lt;&gt;""),일일실시사항!$B549*10000+545,"")</f>
        <v/>
      </c>
    </row>
    <row r="546">
      <c r="BF546">
        <f>IF(AND(업무일지!$F550=$B$4,업무일지!$B550&lt;&gt;""),업무일지!$B550*10000+546,"")</f>
        <v/>
      </c>
      <c r="BH546">
        <f>IF(AND(일일실시사항!$G550=$B$4,일일실시사항!$B550&lt;&gt;""),일일실시사항!$B550*10000+546,"")</f>
        <v/>
      </c>
    </row>
    <row r="547">
      <c r="BF547">
        <f>IF(AND(업무일지!$F551=$B$4,업무일지!$B551&lt;&gt;""),업무일지!$B551*10000+547,"")</f>
        <v/>
      </c>
      <c r="BH547">
        <f>IF(AND(일일실시사항!$G551=$B$4,일일실시사항!$B551&lt;&gt;""),일일실시사항!$B551*10000+547,"")</f>
        <v/>
      </c>
    </row>
    <row r="548">
      <c r="BF548">
        <f>IF(AND(업무일지!$F552=$B$4,업무일지!$B552&lt;&gt;""),업무일지!$B552*10000+548,"")</f>
        <v/>
      </c>
      <c r="BH548">
        <f>IF(AND(일일실시사항!$G552=$B$4,일일실시사항!$B552&lt;&gt;""),일일실시사항!$B552*10000+548,"")</f>
        <v/>
      </c>
    </row>
    <row r="549">
      <c r="BF549">
        <f>IF(AND(업무일지!$F553=$B$4,업무일지!$B553&lt;&gt;""),업무일지!$B553*10000+549,"")</f>
        <v/>
      </c>
      <c r="BH549">
        <f>IF(AND(일일실시사항!$G553=$B$4,일일실시사항!$B553&lt;&gt;""),일일실시사항!$B553*10000+549,"")</f>
        <v/>
      </c>
    </row>
    <row r="550">
      <c r="BF550">
        <f>IF(AND(업무일지!$F554=$B$4,업무일지!$B554&lt;&gt;""),업무일지!$B554*10000+550,"")</f>
        <v/>
      </c>
      <c r="BH550">
        <f>IF(AND(일일실시사항!$G554=$B$4,일일실시사항!$B554&lt;&gt;""),일일실시사항!$B554*10000+550,"")</f>
        <v/>
      </c>
    </row>
    <row r="551">
      <c r="BF551">
        <f>IF(AND(업무일지!$F555=$B$4,업무일지!$B555&lt;&gt;""),업무일지!$B555*10000+551,"")</f>
        <v/>
      </c>
      <c r="BH551">
        <f>IF(AND(일일실시사항!$G555=$B$4,일일실시사항!$B555&lt;&gt;""),일일실시사항!$B555*10000+551,"")</f>
        <v/>
      </c>
    </row>
    <row r="552">
      <c r="BF552">
        <f>IF(AND(업무일지!$F556=$B$4,업무일지!$B556&lt;&gt;""),업무일지!$B556*10000+552,"")</f>
        <v/>
      </c>
      <c r="BH552">
        <f>IF(AND(일일실시사항!$G556=$B$4,일일실시사항!$B556&lt;&gt;""),일일실시사항!$B556*10000+552,"")</f>
        <v/>
      </c>
    </row>
    <row r="553">
      <c r="BF553">
        <f>IF(AND(업무일지!$F557=$B$4,업무일지!$B557&lt;&gt;""),업무일지!$B557*10000+553,"")</f>
        <v/>
      </c>
      <c r="BH553">
        <f>IF(AND(일일실시사항!$G557=$B$4,일일실시사항!$B557&lt;&gt;""),일일실시사항!$B557*10000+553,"")</f>
        <v/>
      </c>
    </row>
    <row r="554">
      <c r="BF554">
        <f>IF(AND(업무일지!$F558=$B$4,업무일지!$B558&lt;&gt;""),업무일지!$B558*10000+554,"")</f>
        <v/>
      </c>
      <c r="BH554">
        <f>IF(AND(일일실시사항!$G558=$B$4,일일실시사항!$B558&lt;&gt;""),일일실시사항!$B558*10000+554,"")</f>
        <v/>
      </c>
    </row>
    <row r="555">
      <c r="BF555">
        <f>IF(AND(업무일지!$F559=$B$4,업무일지!$B559&lt;&gt;""),업무일지!$B559*10000+555,"")</f>
        <v/>
      </c>
      <c r="BH555">
        <f>IF(AND(일일실시사항!$G559=$B$4,일일실시사항!$B559&lt;&gt;""),일일실시사항!$B559*10000+555,"")</f>
        <v/>
      </c>
    </row>
    <row r="556">
      <c r="BF556">
        <f>IF(AND(업무일지!$F560=$B$4,업무일지!$B560&lt;&gt;""),업무일지!$B560*10000+556,"")</f>
        <v/>
      </c>
      <c r="BH556">
        <f>IF(AND(일일실시사항!$G560=$B$4,일일실시사항!$B560&lt;&gt;""),일일실시사항!$B560*10000+556,"")</f>
        <v/>
      </c>
    </row>
    <row r="557">
      <c r="BF557">
        <f>IF(AND(업무일지!$F561=$B$4,업무일지!$B561&lt;&gt;""),업무일지!$B561*10000+557,"")</f>
        <v/>
      </c>
      <c r="BH557">
        <f>IF(AND(일일실시사항!$G561=$B$4,일일실시사항!$B561&lt;&gt;""),일일실시사항!$B561*10000+557,"")</f>
        <v/>
      </c>
    </row>
    <row r="558">
      <c r="BF558">
        <f>IF(AND(업무일지!$F562=$B$4,업무일지!$B562&lt;&gt;""),업무일지!$B562*10000+558,"")</f>
        <v/>
      </c>
      <c r="BH558">
        <f>IF(AND(일일실시사항!$G562=$B$4,일일실시사항!$B562&lt;&gt;""),일일실시사항!$B562*10000+558,"")</f>
        <v/>
      </c>
    </row>
    <row r="559">
      <c r="BF559">
        <f>IF(AND(업무일지!$F563=$B$4,업무일지!$B563&lt;&gt;""),업무일지!$B563*10000+559,"")</f>
        <v/>
      </c>
      <c r="BH559">
        <f>IF(AND(일일실시사항!$G563=$B$4,일일실시사항!$B563&lt;&gt;""),일일실시사항!$B563*10000+559,"")</f>
        <v/>
      </c>
    </row>
    <row r="560">
      <c r="BF560">
        <f>IF(AND(업무일지!$F564=$B$4,업무일지!$B564&lt;&gt;""),업무일지!$B564*10000+560,"")</f>
        <v/>
      </c>
      <c r="BH560">
        <f>IF(AND(일일실시사항!$G564=$B$4,일일실시사항!$B564&lt;&gt;""),일일실시사항!$B564*10000+560,"")</f>
        <v/>
      </c>
    </row>
    <row r="561">
      <c r="BF561">
        <f>IF(AND(업무일지!$F565=$B$4,업무일지!$B565&lt;&gt;""),업무일지!$B565*10000+561,"")</f>
        <v/>
      </c>
      <c r="BH561">
        <f>IF(AND(일일실시사항!$G565=$B$4,일일실시사항!$B565&lt;&gt;""),일일실시사항!$B565*10000+561,"")</f>
        <v/>
      </c>
    </row>
    <row r="562">
      <c r="BF562">
        <f>IF(AND(업무일지!$F566=$B$4,업무일지!$B566&lt;&gt;""),업무일지!$B566*10000+562,"")</f>
        <v/>
      </c>
      <c r="BH562">
        <f>IF(AND(일일실시사항!$G566=$B$4,일일실시사항!$B566&lt;&gt;""),일일실시사항!$B566*10000+562,"")</f>
        <v/>
      </c>
    </row>
    <row r="563">
      <c r="BF563">
        <f>IF(AND(업무일지!$F567=$B$4,업무일지!$B567&lt;&gt;""),업무일지!$B567*10000+563,"")</f>
        <v/>
      </c>
      <c r="BH563">
        <f>IF(AND(일일실시사항!$G567=$B$4,일일실시사항!$B567&lt;&gt;""),일일실시사항!$B567*10000+563,"")</f>
        <v/>
      </c>
    </row>
    <row r="564">
      <c r="BF564">
        <f>IF(AND(업무일지!$F568=$B$4,업무일지!$B568&lt;&gt;""),업무일지!$B568*10000+564,"")</f>
        <v/>
      </c>
      <c r="BH564">
        <f>IF(AND(일일실시사항!$G568=$B$4,일일실시사항!$B568&lt;&gt;""),일일실시사항!$B568*10000+564,"")</f>
        <v/>
      </c>
    </row>
    <row r="565">
      <c r="BF565">
        <f>IF(AND(업무일지!$F569=$B$4,업무일지!$B569&lt;&gt;""),업무일지!$B569*10000+565,"")</f>
        <v/>
      </c>
      <c r="BH565">
        <f>IF(AND(일일실시사항!$G569=$B$4,일일실시사항!$B569&lt;&gt;""),일일실시사항!$B569*10000+565,"")</f>
        <v/>
      </c>
    </row>
    <row r="566">
      <c r="BF566">
        <f>IF(AND(업무일지!$F570=$B$4,업무일지!$B570&lt;&gt;""),업무일지!$B570*10000+566,"")</f>
        <v/>
      </c>
      <c r="BH566">
        <f>IF(AND(일일실시사항!$G570=$B$4,일일실시사항!$B570&lt;&gt;""),일일실시사항!$B570*10000+566,"")</f>
        <v/>
      </c>
    </row>
    <row r="567">
      <c r="BF567">
        <f>IF(AND(업무일지!$F571=$B$4,업무일지!$B571&lt;&gt;""),업무일지!$B571*10000+567,"")</f>
        <v/>
      </c>
      <c r="BH567">
        <f>IF(AND(일일실시사항!$G571=$B$4,일일실시사항!$B571&lt;&gt;""),일일실시사항!$B571*10000+567,"")</f>
        <v/>
      </c>
    </row>
    <row r="568">
      <c r="BF568">
        <f>IF(AND(업무일지!$F572=$B$4,업무일지!$B572&lt;&gt;""),업무일지!$B572*10000+568,"")</f>
        <v/>
      </c>
      <c r="BH568">
        <f>IF(AND(일일실시사항!$G572=$B$4,일일실시사항!$B572&lt;&gt;""),일일실시사항!$B572*10000+568,"")</f>
        <v/>
      </c>
    </row>
    <row r="569">
      <c r="BF569">
        <f>IF(AND(업무일지!$F573=$B$4,업무일지!$B573&lt;&gt;""),업무일지!$B573*10000+569,"")</f>
        <v/>
      </c>
      <c r="BH569">
        <f>IF(AND(일일실시사항!$G573=$B$4,일일실시사항!$B573&lt;&gt;""),일일실시사항!$B573*10000+569,"")</f>
        <v/>
      </c>
    </row>
    <row r="570">
      <c r="BF570">
        <f>IF(AND(업무일지!$F574=$B$4,업무일지!$B574&lt;&gt;""),업무일지!$B574*10000+570,"")</f>
        <v/>
      </c>
      <c r="BH570">
        <f>IF(AND(일일실시사항!$G574=$B$4,일일실시사항!$B574&lt;&gt;""),일일실시사항!$B574*10000+570,"")</f>
        <v/>
      </c>
    </row>
    <row r="571">
      <c r="BF571">
        <f>IF(AND(업무일지!$F575=$B$4,업무일지!$B575&lt;&gt;""),업무일지!$B575*10000+571,"")</f>
        <v/>
      </c>
      <c r="BH571">
        <f>IF(AND(일일실시사항!$G575=$B$4,일일실시사항!$B575&lt;&gt;""),일일실시사항!$B575*10000+571,"")</f>
        <v/>
      </c>
    </row>
    <row r="572">
      <c r="BF572">
        <f>IF(AND(업무일지!$F576=$B$4,업무일지!$B576&lt;&gt;""),업무일지!$B576*10000+572,"")</f>
        <v/>
      </c>
      <c r="BH572">
        <f>IF(AND(일일실시사항!$G576=$B$4,일일실시사항!$B576&lt;&gt;""),일일실시사항!$B576*10000+572,"")</f>
        <v/>
      </c>
    </row>
    <row r="573">
      <c r="BF573">
        <f>IF(AND(업무일지!$F577=$B$4,업무일지!$B577&lt;&gt;""),업무일지!$B577*10000+573,"")</f>
        <v/>
      </c>
      <c r="BH573">
        <f>IF(AND(일일실시사항!$G577=$B$4,일일실시사항!$B577&lt;&gt;""),일일실시사항!$B577*10000+573,"")</f>
        <v/>
      </c>
    </row>
    <row r="574">
      <c r="BF574">
        <f>IF(AND(업무일지!$F578=$B$4,업무일지!$B578&lt;&gt;""),업무일지!$B578*10000+574,"")</f>
        <v/>
      </c>
      <c r="BH574">
        <f>IF(AND(일일실시사항!$G578=$B$4,일일실시사항!$B578&lt;&gt;""),일일실시사항!$B578*10000+574,"")</f>
        <v/>
      </c>
    </row>
    <row r="575">
      <c r="BF575">
        <f>IF(AND(업무일지!$F579=$B$4,업무일지!$B579&lt;&gt;""),업무일지!$B579*10000+575,"")</f>
        <v/>
      </c>
      <c r="BH575">
        <f>IF(AND(일일실시사항!$G579=$B$4,일일실시사항!$B579&lt;&gt;""),일일실시사항!$B579*10000+575,"")</f>
        <v/>
      </c>
    </row>
    <row r="576">
      <c r="BF576">
        <f>IF(AND(업무일지!$F580=$B$4,업무일지!$B580&lt;&gt;""),업무일지!$B580*10000+576,"")</f>
        <v/>
      </c>
      <c r="BH576">
        <f>IF(AND(일일실시사항!$G580=$B$4,일일실시사항!$B580&lt;&gt;""),일일실시사항!$B580*10000+576,"")</f>
        <v/>
      </c>
    </row>
    <row r="577">
      <c r="BF577">
        <f>IF(AND(업무일지!$F581=$B$4,업무일지!$B581&lt;&gt;""),업무일지!$B581*10000+577,"")</f>
        <v/>
      </c>
      <c r="BH577">
        <f>IF(AND(일일실시사항!$G581=$B$4,일일실시사항!$B581&lt;&gt;""),일일실시사항!$B581*10000+577,"")</f>
        <v/>
      </c>
    </row>
    <row r="578">
      <c r="BF578">
        <f>IF(AND(업무일지!$F582=$B$4,업무일지!$B582&lt;&gt;""),업무일지!$B582*10000+578,"")</f>
        <v/>
      </c>
      <c r="BH578">
        <f>IF(AND(일일실시사항!$G582=$B$4,일일실시사항!$B582&lt;&gt;""),일일실시사항!$B582*10000+578,"")</f>
        <v/>
      </c>
    </row>
    <row r="579">
      <c r="BF579">
        <f>IF(AND(업무일지!$F583=$B$4,업무일지!$B583&lt;&gt;""),업무일지!$B583*10000+579,"")</f>
        <v/>
      </c>
      <c r="BH579">
        <f>IF(AND(일일실시사항!$G583=$B$4,일일실시사항!$B583&lt;&gt;""),일일실시사항!$B583*10000+579,"")</f>
        <v/>
      </c>
    </row>
    <row r="580">
      <c r="BF580">
        <f>IF(AND(업무일지!$F584=$B$4,업무일지!$B584&lt;&gt;""),업무일지!$B584*10000+580,"")</f>
        <v/>
      </c>
      <c r="BH580">
        <f>IF(AND(일일실시사항!$G584=$B$4,일일실시사항!$B584&lt;&gt;""),일일실시사항!$B584*10000+580,"")</f>
        <v/>
      </c>
    </row>
    <row r="581">
      <c r="BF581">
        <f>IF(AND(업무일지!$F585=$B$4,업무일지!$B585&lt;&gt;""),업무일지!$B585*10000+581,"")</f>
        <v/>
      </c>
      <c r="BH581">
        <f>IF(AND(일일실시사항!$G585=$B$4,일일실시사항!$B585&lt;&gt;""),일일실시사항!$B585*10000+581,"")</f>
        <v/>
      </c>
    </row>
    <row r="582">
      <c r="BF582">
        <f>IF(AND(업무일지!$F586=$B$4,업무일지!$B586&lt;&gt;""),업무일지!$B586*10000+582,"")</f>
        <v/>
      </c>
      <c r="BH582">
        <f>IF(AND(일일실시사항!$G586=$B$4,일일실시사항!$B586&lt;&gt;""),일일실시사항!$B586*10000+582,"")</f>
        <v/>
      </c>
    </row>
    <row r="583">
      <c r="BF583">
        <f>IF(AND(업무일지!$F587=$B$4,업무일지!$B587&lt;&gt;""),업무일지!$B587*10000+583,"")</f>
        <v/>
      </c>
      <c r="BH583">
        <f>IF(AND(일일실시사항!$G587=$B$4,일일실시사항!$B587&lt;&gt;""),일일실시사항!$B587*10000+583,"")</f>
        <v/>
      </c>
    </row>
    <row r="584">
      <c r="BF584">
        <f>IF(AND(업무일지!$F588=$B$4,업무일지!$B588&lt;&gt;""),업무일지!$B588*10000+584,"")</f>
        <v/>
      </c>
      <c r="BH584">
        <f>IF(AND(일일실시사항!$G588=$B$4,일일실시사항!$B588&lt;&gt;""),일일실시사항!$B588*10000+584,"")</f>
        <v/>
      </c>
    </row>
    <row r="585">
      <c r="BF585">
        <f>IF(AND(업무일지!$F589=$B$4,업무일지!$B589&lt;&gt;""),업무일지!$B589*10000+585,"")</f>
        <v/>
      </c>
      <c r="BH585">
        <f>IF(AND(일일실시사항!$G589=$B$4,일일실시사항!$B589&lt;&gt;""),일일실시사항!$B589*10000+585,"")</f>
        <v/>
      </c>
    </row>
    <row r="586">
      <c r="BF586">
        <f>IF(AND(업무일지!$F590=$B$4,업무일지!$B590&lt;&gt;""),업무일지!$B590*10000+586,"")</f>
        <v/>
      </c>
      <c r="BH586">
        <f>IF(AND(일일실시사항!$G590=$B$4,일일실시사항!$B590&lt;&gt;""),일일실시사항!$B590*10000+586,"")</f>
        <v/>
      </c>
    </row>
    <row r="587">
      <c r="BF587">
        <f>IF(AND(업무일지!$F591=$B$4,업무일지!$B591&lt;&gt;""),업무일지!$B591*10000+587,"")</f>
        <v/>
      </c>
      <c r="BH587">
        <f>IF(AND(일일실시사항!$G591=$B$4,일일실시사항!$B591&lt;&gt;""),일일실시사항!$B591*10000+587,"")</f>
        <v/>
      </c>
    </row>
    <row r="588">
      <c r="BF588">
        <f>IF(AND(업무일지!$F592=$B$4,업무일지!$B592&lt;&gt;""),업무일지!$B592*10000+588,"")</f>
        <v/>
      </c>
      <c r="BH588">
        <f>IF(AND(일일실시사항!$G592=$B$4,일일실시사항!$B592&lt;&gt;""),일일실시사항!$B592*10000+588,"")</f>
        <v/>
      </c>
    </row>
    <row r="589">
      <c r="BF589">
        <f>IF(AND(업무일지!$F593=$B$4,업무일지!$B593&lt;&gt;""),업무일지!$B593*10000+589,"")</f>
        <v/>
      </c>
      <c r="BH589">
        <f>IF(AND(일일실시사항!$G593=$B$4,일일실시사항!$B593&lt;&gt;""),일일실시사항!$B593*10000+589,"")</f>
        <v/>
      </c>
    </row>
    <row r="590">
      <c r="BF590">
        <f>IF(AND(업무일지!$F594=$B$4,업무일지!$B594&lt;&gt;""),업무일지!$B594*10000+590,"")</f>
        <v/>
      </c>
      <c r="BH590">
        <f>IF(AND(일일실시사항!$G594=$B$4,일일실시사항!$B594&lt;&gt;""),일일실시사항!$B594*10000+590,"")</f>
        <v/>
      </c>
    </row>
    <row r="591">
      <c r="BF591">
        <f>IF(AND(업무일지!$F595=$B$4,업무일지!$B595&lt;&gt;""),업무일지!$B595*10000+591,"")</f>
        <v/>
      </c>
      <c r="BH591">
        <f>IF(AND(일일실시사항!$G595=$B$4,일일실시사항!$B595&lt;&gt;""),일일실시사항!$B595*10000+591,"")</f>
        <v/>
      </c>
    </row>
    <row r="592">
      <c r="BF592">
        <f>IF(AND(업무일지!$F596=$B$4,업무일지!$B596&lt;&gt;""),업무일지!$B596*10000+592,"")</f>
        <v/>
      </c>
      <c r="BH592">
        <f>IF(AND(일일실시사항!$G596=$B$4,일일실시사항!$B596&lt;&gt;""),일일실시사항!$B596*10000+592,"")</f>
        <v/>
      </c>
    </row>
    <row r="593">
      <c r="BF593">
        <f>IF(AND(업무일지!$F597=$B$4,업무일지!$B597&lt;&gt;""),업무일지!$B597*10000+593,"")</f>
        <v/>
      </c>
      <c r="BH593">
        <f>IF(AND(일일실시사항!$G597=$B$4,일일실시사항!$B597&lt;&gt;""),일일실시사항!$B597*10000+593,"")</f>
        <v/>
      </c>
    </row>
    <row r="594">
      <c r="BF594">
        <f>IF(AND(업무일지!$F598=$B$4,업무일지!$B598&lt;&gt;""),업무일지!$B598*10000+594,"")</f>
        <v/>
      </c>
      <c r="BH594">
        <f>IF(AND(일일실시사항!$G598=$B$4,일일실시사항!$B598&lt;&gt;""),일일실시사항!$B598*10000+594,"")</f>
        <v/>
      </c>
    </row>
    <row r="595">
      <c r="BF595">
        <f>IF(AND(업무일지!$F599=$B$4,업무일지!$B599&lt;&gt;""),업무일지!$B599*10000+595,"")</f>
        <v/>
      </c>
      <c r="BH595">
        <f>IF(AND(일일실시사항!$G599=$B$4,일일실시사항!$B599&lt;&gt;""),일일실시사항!$B599*10000+595,"")</f>
        <v/>
      </c>
    </row>
    <row r="596">
      <c r="BF596">
        <f>IF(AND(업무일지!$F600=$B$4,업무일지!$B600&lt;&gt;""),업무일지!$B600*10000+596,"")</f>
        <v/>
      </c>
      <c r="BH596">
        <f>IF(AND(일일실시사항!$G600=$B$4,일일실시사항!$B600&lt;&gt;""),일일실시사항!$B600*10000+596,"")</f>
        <v/>
      </c>
    </row>
    <row r="597">
      <c r="BF597">
        <f>IF(AND(업무일지!$F601=$B$4,업무일지!$B601&lt;&gt;""),업무일지!$B601*10000+597,"")</f>
        <v/>
      </c>
      <c r="BH597">
        <f>IF(AND(일일실시사항!$G601=$B$4,일일실시사항!$B601&lt;&gt;""),일일실시사항!$B601*10000+597,"")</f>
        <v/>
      </c>
    </row>
    <row r="598">
      <c r="BF598">
        <f>IF(AND(업무일지!$F602=$B$4,업무일지!$B602&lt;&gt;""),업무일지!$B602*10000+598,"")</f>
        <v/>
      </c>
      <c r="BH598">
        <f>IF(AND(일일실시사항!$G602=$B$4,일일실시사항!$B602&lt;&gt;""),일일실시사항!$B602*10000+598,"")</f>
        <v/>
      </c>
    </row>
    <row r="599">
      <c r="BF599">
        <f>IF(AND(업무일지!$F603=$B$4,업무일지!$B603&lt;&gt;""),업무일지!$B603*10000+599,"")</f>
        <v/>
      </c>
      <c r="BH599">
        <f>IF(AND(일일실시사항!$G603=$B$4,일일실시사항!$B603&lt;&gt;""),일일실시사항!$B603*10000+599,"")</f>
        <v/>
      </c>
    </row>
    <row r="600">
      <c r="BF600">
        <f>IF(AND(업무일지!$F604=$B$4,업무일지!$B604&lt;&gt;""),업무일지!$B604*10000+600,"")</f>
        <v/>
      </c>
      <c r="BH600">
        <f>IF(AND(일일실시사항!$G604=$B$4,일일실시사항!$B604&lt;&gt;""),일일실시사항!$B604*10000+600,"")</f>
        <v/>
      </c>
    </row>
    <row r="601">
      <c r="BF601">
        <f>IF(AND(업무일지!$F605=$B$4,업무일지!$B605&lt;&gt;""),업무일지!$B605*10000+601,"")</f>
        <v/>
      </c>
      <c r="BH601">
        <f>IF(AND(일일실시사항!$G605=$B$4,일일실시사항!$B605&lt;&gt;""),일일실시사항!$B605*10000+601,"")</f>
        <v/>
      </c>
    </row>
    <row r="602">
      <c r="BF602">
        <f>IF(AND(업무일지!$F606=$B$4,업무일지!$B606&lt;&gt;""),업무일지!$B606*10000+602,"")</f>
        <v/>
      </c>
      <c r="BH602">
        <f>IF(AND(일일실시사항!$G606=$B$4,일일실시사항!$B606&lt;&gt;""),일일실시사항!$B606*10000+602,"")</f>
        <v/>
      </c>
    </row>
    <row r="603">
      <c r="BF603">
        <f>IF(AND(업무일지!$F607=$B$4,업무일지!$B607&lt;&gt;""),업무일지!$B607*10000+603,"")</f>
        <v/>
      </c>
      <c r="BH603">
        <f>IF(AND(일일실시사항!$G607=$B$4,일일실시사항!$B607&lt;&gt;""),일일실시사항!$B607*10000+603,"")</f>
        <v/>
      </c>
    </row>
    <row r="604">
      <c r="BF604">
        <f>IF(AND(업무일지!$F608=$B$4,업무일지!$B608&lt;&gt;""),업무일지!$B608*10000+604,"")</f>
        <v/>
      </c>
      <c r="BH604">
        <f>IF(AND(일일실시사항!$G608=$B$4,일일실시사항!$B608&lt;&gt;""),일일실시사항!$B608*10000+604,"")</f>
        <v/>
      </c>
    </row>
    <row r="605">
      <c r="BF605">
        <f>IF(AND(업무일지!$F609=$B$4,업무일지!$B609&lt;&gt;""),업무일지!$B609*10000+605,"")</f>
        <v/>
      </c>
      <c r="BH605">
        <f>IF(AND(일일실시사항!$G609=$B$4,일일실시사항!$B609&lt;&gt;""),일일실시사항!$B609*10000+605,"")</f>
        <v/>
      </c>
    </row>
    <row r="606">
      <c r="BF606">
        <f>IF(AND(업무일지!$F610=$B$4,업무일지!$B610&lt;&gt;""),업무일지!$B610*10000+606,"")</f>
        <v/>
      </c>
      <c r="BH606">
        <f>IF(AND(일일실시사항!$G610=$B$4,일일실시사항!$B610&lt;&gt;""),일일실시사항!$B610*10000+606,"")</f>
        <v/>
      </c>
    </row>
    <row r="607">
      <c r="BF607">
        <f>IF(AND(업무일지!$F611=$B$4,업무일지!$B611&lt;&gt;""),업무일지!$B611*10000+607,"")</f>
        <v/>
      </c>
      <c r="BH607">
        <f>IF(AND(일일실시사항!$G611=$B$4,일일실시사항!$B611&lt;&gt;""),일일실시사항!$B611*10000+607,"")</f>
        <v/>
      </c>
    </row>
    <row r="608">
      <c r="BF608">
        <f>IF(AND(업무일지!$F612=$B$4,업무일지!$B612&lt;&gt;""),업무일지!$B612*10000+608,"")</f>
        <v/>
      </c>
      <c r="BH608">
        <f>IF(AND(일일실시사항!$G612=$B$4,일일실시사항!$B612&lt;&gt;""),일일실시사항!$B612*10000+608,"")</f>
        <v/>
      </c>
    </row>
    <row r="609">
      <c r="BF609">
        <f>IF(AND(업무일지!$F613=$B$4,업무일지!$B613&lt;&gt;""),업무일지!$B613*10000+609,"")</f>
        <v/>
      </c>
      <c r="BH609">
        <f>IF(AND(일일실시사항!$G613=$B$4,일일실시사항!$B613&lt;&gt;""),일일실시사항!$B613*10000+609,"")</f>
        <v/>
      </c>
    </row>
    <row r="610">
      <c r="BF610">
        <f>IF(AND(업무일지!$F614=$B$4,업무일지!$B614&lt;&gt;""),업무일지!$B614*10000+610,"")</f>
        <v/>
      </c>
      <c r="BH610">
        <f>IF(AND(일일실시사항!$G614=$B$4,일일실시사항!$B614&lt;&gt;""),일일실시사항!$B614*10000+610,"")</f>
        <v/>
      </c>
    </row>
    <row r="611">
      <c r="BF611">
        <f>IF(AND(업무일지!$F615=$B$4,업무일지!$B615&lt;&gt;""),업무일지!$B615*10000+611,"")</f>
        <v/>
      </c>
      <c r="BH611">
        <f>IF(AND(일일실시사항!$G615=$B$4,일일실시사항!$B615&lt;&gt;""),일일실시사항!$B615*10000+611,"")</f>
        <v/>
      </c>
    </row>
    <row r="612">
      <c r="BF612">
        <f>IF(AND(업무일지!$F616=$B$4,업무일지!$B616&lt;&gt;""),업무일지!$B616*10000+612,"")</f>
        <v/>
      </c>
      <c r="BH612">
        <f>IF(AND(일일실시사항!$G616=$B$4,일일실시사항!$B616&lt;&gt;""),일일실시사항!$B616*10000+612,"")</f>
        <v/>
      </c>
    </row>
    <row r="613">
      <c r="BF613">
        <f>IF(AND(업무일지!$F617=$B$4,업무일지!$B617&lt;&gt;""),업무일지!$B617*10000+613,"")</f>
        <v/>
      </c>
      <c r="BH613">
        <f>IF(AND(일일실시사항!$G617=$B$4,일일실시사항!$B617&lt;&gt;""),일일실시사항!$B617*10000+613,"")</f>
        <v/>
      </c>
    </row>
    <row r="614">
      <c r="BF614">
        <f>IF(AND(업무일지!$F618=$B$4,업무일지!$B618&lt;&gt;""),업무일지!$B618*10000+614,"")</f>
        <v/>
      </c>
      <c r="BH614">
        <f>IF(AND(일일실시사항!$G618=$B$4,일일실시사항!$B618&lt;&gt;""),일일실시사항!$B618*10000+614,"")</f>
        <v/>
      </c>
    </row>
    <row r="615">
      <c r="BF615">
        <f>IF(AND(업무일지!$F619=$B$4,업무일지!$B619&lt;&gt;""),업무일지!$B619*10000+615,"")</f>
        <v/>
      </c>
      <c r="BH615">
        <f>IF(AND(일일실시사항!$G619=$B$4,일일실시사항!$B619&lt;&gt;""),일일실시사항!$B619*10000+615,"")</f>
        <v/>
      </c>
    </row>
    <row r="616">
      <c r="BF616">
        <f>IF(AND(업무일지!$F620=$B$4,업무일지!$B620&lt;&gt;""),업무일지!$B620*10000+616,"")</f>
        <v/>
      </c>
      <c r="BH616">
        <f>IF(AND(일일실시사항!$G620=$B$4,일일실시사항!$B620&lt;&gt;""),일일실시사항!$B620*10000+616,"")</f>
        <v/>
      </c>
    </row>
    <row r="617">
      <c r="BF617">
        <f>IF(AND(업무일지!$F621=$B$4,업무일지!$B621&lt;&gt;""),업무일지!$B621*10000+617,"")</f>
        <v/>
      </c>
      <c r="BH617">
        <f>IF(AND(일일실시사항!$G621=$B$4,일일실시사항!$B621&lt;&gt;""),일일실시사항!$B621*10000+617,"")</f>
        <v/>
      </c>
    </row>
    <row r="618">
      <c r="BF618">
        <f>IF(AND(업무일지!$F622=$B$4,업무일지!$B622&lt;&gt;""),업무일지!$B622*10000+618,"")</f>
        <v/>
      </c>
      <c r="BH618">
        <f>IF(AND(일일실시사항!$G622=$B$4,일일실시사항!$B622&lt;&gt;""),일일실시사항!$B622*10000+618,"")</f>
        <v/>
      </c>
    </row>
    <row r="619">
      <c r="BF619">
        <f>IF(AND(업무일지!$F623=$B$4,업무일지!$B623&lt;&gt;""),업무일지!$B623*10000+619,"")</f>
        <v/>
      </c>
      <c r="BH619">
        <f>IF(AND(일일실시사항!$G623=$B$4,일일실시사항!$B623&lt;&gt;""),일일실시사항!$B623*10000+619,"")</f>
        <v/>
      </c>
    </row>
    <row r="620">
      <c r="BF620">
        <f>IF(AND(업무일지!$F624=$B$4,업무일지!$B624&lt;&gt;""),업무일지!$B624*10000+620,"")</f>
        <v/>
      </c>
      <c r="BH620">
        <f>IF(AND(일일실시사항!$G624=$B$4,일일실시사항!$B624&lt;&gt;""),일일실시사항!$B624*10000+620,"")</f>
        <v/>
      </c>
    </row>
    <row r="621">
      <c r="BF621">
        <f>IF(AND(업무일지!$F625=$B$4,업무일지!$B625&lt;&gt;""),업무일지!$B625*10000+621,"")</f>
        <v/>
      </c>
      <c r="BH621">
        <f>IF(AND(일일실시사항!$G625=$B$4,일일실시사항!$B625&lt;&gt;""),일일실시사항!$B625*10000+621,"")</f>
        <v/>
      </c>
    </row>
    <row r="622">
      <c r="BF622">
        <f>IF(AND(업무일지!$F626=$B$4,업무일지!$B626&lt;&gt;""),업무일지!$B626*10000+622,"")</f>
        <v/>
      </c>
      <c r="BH622">
        <f>IF(AND(일일실시사항!$G626=$B$4,일일실시사항!$B626&lt;&gt;""),일일실시사항!$B626*10000+622,"")</f>
        <v/>
      </c>
    </row>
    <row r="623">
      <c r="BF623">
        <f>IF(AND(업무일지!$F627=$B$4,업무일지!$B627&lt;&gt;""),업무일지!$B627*10000+623,"")</f>
        <v/>
      </c>
      <c r="BH623">
        <f>IF(AND(일일실시사항!$G627=$B$4,일일실시사항!$B627&lt;&gt;""),일일실시사항!$B627*10000+623,"")</f>
        <v/>
      </c>
    </row>
    <row r="624">
      <c r="BF624">
        <f>IF(AND(업무일지!$F628=$B$4,업무일지!$B628&lt;&gt;""),업무일지!$B628*10000+624,"")</f>
        <v/>
      </c>
      <c r="BH624">
        <f>IF(AND(일일실시사항!$G628=$B$4,일일실시사항!$B628&lt;&gt;""),일일실시사항!$B628*10000+624,"")</f>
        <v/>
      </c>
    </row>
    <row r="625">
      <c r="BF625">
        <f>IF(AND(업무일지!$F629=$B$4,업무일지!$B629&lt;&gt;""),업무일지!$B629*10000+625,"")</f>
        <v/>
      </c>
      <c r="BH625">
        <f>IF(AND(일일실시사항!$G629=$B$4,일일실시사항!$B629&lt;&gt;""),일일실시사항!$B629*10000+625,"")</f>
        <v/>
      </c>
    </row>
    <row r="626">
      <c r="BF626">
        <f>IF(AND(업무일지!$F630=$B$4,업무일지!$B630&lt;&gt;""),업무일지!$B630*10000+626,"")</f>
        <v/>
      </c>
      <c r="BH626">
        <f>IF(AND(일일실시사항!$G630=$B$4,일일실시사항!$B630&lt;&gt;""),일일실시사항!$B630*10000+626,"")</f>
        <v/>
      </c>
    </row>
    <row r="627">
      <c r="BF627">
        <f>IF(AND(업무일지!$F631=$B$4,업무일지!$B631&lt;&gt;""),업무일지!$B631*10000+627,"")</f>
        <v/>
      </c>
      <c r="BH627">
        <f>IF(AND(일일실시사항!$G631=$B$4,일일실시사항!$B631&lt;&gt;""),일일실시사항!$B631*10000+627,"")</f>
        <v/>
      </c>
    </row>
    <row r="628">
      <c r="BF628">
        <f>IF(AND(업무일지!$F632=$B$4,업무일지!$B632&lt;&gt;""),업무일지!$B632*10000+628,"")</f>
        <v/>
      </c>
      <c r="BH628">
        <f>IF(AND(일일실시사항!$G632=$B$4,일일실시사항!$B632&lt;&gt;""),일일실시사항!$B632*10000+628,"")</f>
        <v/>
      </c>
    </row>
    <row r="629">
      <c r="BF629">
        <f>IF(AND(업무일지!$F633=$B$4,업무일지!$B633&lt;&gt;""),업무일지!$B633*10000+629,"")</f>
        <v/>
      </c>
      <c r="BH629">
        <f>IF(AND(일일실시사항!$G633=$B$4,일일실시사항!$B633&lt;&gt;""),일일실시사항!$B633*10000+629,"")</f>
        <v/>
      </c>
    </row>
    <row r="630">
      <c r="BF630">
        <f>IF(AND(업무일지!$F634=$B$4,업무일지!$B634&lt;&gt;""),업무일지!$B634*10000+630,"")</f>
        <v/>
      </c>
      <c r="BH630">
        <f>IF(AND(일일실시사항!$G634=$B$4,일일실시사항!$B634&lt;&gt;""),일일실시사항!$B634*10000+630,"")</f>
        <v/>
      </c>
    </row>
    <row r="631">
      <c r="BF631">
        <f>IF(AND(업무일지!$F635=$B$4,업무일지!$B635&lt;&gt;""),업무일지!$B635*10000+631,"")</f>
        <v/>
      </c>
      <c r="BH631">
        <f>IF(AND(일일실시사항!$G635=$B$4,일일실시사항!$B635&lt;&gt;""),일일실시사항!$B635*10000+631,"")</f>
        <v/>
      </c>
    </row>
    <row r="632">
      <c r="BF632">
        <f>IF(AND(업무일지!$F636=$B$4,업무일지!$B636&lt;&gt;""),업무일지!$B636*10000+632,"")</f>
        <v/>
      </c>
      <c r="BH632">
        <f>IF(AND(일일실시사항!$G636=$B$4,일일실시사항!$B636&lt;&gt;""),일일실시사항!$B636*10000+632,"")</f>
        <v/>
      </c>
    </row>
    <row r="633">
      <c r="BF633">
        <f>IF(AND(업무일지!$F637=$B$4,업무일지!$B637&lt;&gt;""),업무일지!$B637*10000+633,"")</f>
        <v/>
      </c>
      <c r="BH633">
        <f>IF(AND(일일실시사항!$G637=$B$4,일일실시사항!$B637&lt;&gt;""),일일실시사항!$B637*10000+633,"")</f>
        <v/>
      </c>
    </row>
    <row r="634">
      <c r="BF634">
        <f>IF(AND(업무일지!$F638=$B$4,업무일지!$B638&lt;&gt;""),업무일지!$B638*10000+634,"")</f>
        <v/>
      </c>
      <c r="BH634">
        <f>IF(AND(일일실시사항!$G638=$B$4,일일실시사항!$B638&lt;&gt;""),일일실시사항!$B638*10000+634,"")</f>
        <v/>
      </c>
    </row>
    <row r="635">
      <c r="BF635">
        <f>IF(AND(업무일지!$F639=$B$4,업무일지!$B639&lt;&gt;""),업무일지!$B639*10000+635,"")</f>
        <v/>
      </c>
      <c r="BH635">
        <f>IF(AND(일일실시사항!$G639=$B$4,일일실시사항!$B639&lt;&gt;""),일일실시사항!$B639*10000+635,"")</f>
        <v/>
      </c>
    </row>
    <row r="636">
      <c r="BF636">
        <f>IF(AND(업무일지!$F640=$B$4,업무일지!$B640&lt;&gt;""),업무일지!$B640*10000+636,"")</f>
        <v/>
      </c>
      <c r="BH636">
        <f>IF(AND(일일실시사항!$G640=$B$4,일일실시사항!$B640&lt;&gt;""),일일실시사항!$B640*10000+636,"")</f>
        <v/>
      </c>
    </row>
    <row r="637">
      <c r="BF637">
        <f>IF(AND(업무일지!$F641=$B$4,업무일지!$B641&lt;&gt;""),업무일지!$B641*10000+637,"")</f>
        <v/>
      </c>
      <c r="BH637">
        <f>IF(AND(일일실시사항!$G641=$B$4,일일실시사항!$B641&lt;&gt;""),일일실시사항!$B641*10000+637,"")</f>
        <v/>
      </c>
    </row>
    <row r="638">
      <c r="BF638">
        <f>IF(AND(업무일지!$F642=$B$4,업무일지!$B642&lt;&gt;""),업무일지!$B642*10000+638,"")</f>
        <v/>
      </c>
      <c r="BH638">
        <f>IF(AND(일일실시사항!$G642=$B$4,일일실시사항!$B642&lt;&gt;""),일일실시사항!$B642*10000+638,"")</f>
        <v/>
      </c>
    </row>
    <row r="639">
      <c r="BF639">
        <f>IF(AND(업무일지!$F643=$B$4,업무일지!$B643&lt;&gt;""),업무일지!$B643*10000+639,"")</f>
        <v/>
      </c>
      <c r="BH639">
        <f>IF(AND(일일실시사항!$G643=$B$4,일일실시사항!$B643&lt;&gt;""),일일실시사항!$B643*10000+639,"")</f>
        <v/>
      </c>
    </row>
    <row r="640">
      <c r="BF640">
        <f>IF(AND(업무일지!$F644=$B$4,업무일지!$B644&lt;&gt;""),업무일지!$B644*10000+640,"")</f>
        <v/>
      </c>
      <c r="BH640">
        <f>IF(AND(일일실시사항!$G644=$B$4,일일실시사항!$B644&lt;&gt;""),일일실시사항!$B644*10000+640,"")</f>
        <v/>
      </c>
    </row>
    <row r="641">
      <c r="BF641">
        <f>IF(AND(업무일지!$F645=$B$4,업무일지!$B645&lt;&gt;""),업무일지!$B645*10000+641,"")</f>
        <v/>
      </c>
      <c r="BH641">
        <f>IF(AND(일일실시사항!$G645=$B$4,일일실시사항!$B645&lt;&gt;""),일일실시사항!$B645*10000+641,"")</f>
        <v/>
      </c>
    </row>
    <row r="642">
      <c r="BF642">
        <f>IF(AND(업무일지!$F646=$B$4,업무일지!$B646&lt;&gt;""),업무일지!$B646*10000+642,"")</f>
        <v/>
      </c>
      <c r="BH642">
        <f>IF(AND(일일실시사항!$G646=$B$4,일일실시사항!$B646&lt;&gt;""),일일실시사항!$B646*10000+642,"")</f>
        <v/>
      </c>
    </row>
    <row r="643">
      <c r="BF643">
        <f>IF(AND(업무일지!$F647=$B$4,업무일지!$B647&lt;&gt;""),업무일지!$B647*10000+643,"")</f>
        <v/>
      </c>
      <c r="BH643">
        <f>IF(AND(일일실시사항!$G647=$B$4,일일실시사항!$B647&lt;&gt;""),일일실시사항!$B647*10000+643,"")</f>
        <v/>
      </c>
    </row>
    <row r="644">
      <c r="BF644">
        <f>IF(AND(업무일지!$F648=$B$4,업무일지!$B648&lt;&gt;""),업무일지!$B648*10000+644,"")</f>
        <v/>
      </c>
      <c r="BH644">
        <f>IF(AND(일일실시사항!$G648=$B$4,일일실시사항!$B648&lt;&gt;""),일일실시사항!$B648*10000+644,"")</f>
        <v/>
      </c>
    </row>
    <row r="645">
      <c r="BF645">
        <f>IF(AND(업무일지!$F649=$B$4,업무일지!$B649&lt;&gt;""),업무일지!$B649*10000+645,"")</f>
        <v/>
      </c>
      <c r="BH645">
        <f>IF(AND(일일실시사항!$G649=$B$4,일일실시사항!$B649&lt;&gt;""),일일실시사항!$B649*10000+645,"")</f>
        <v/>
      </c>
    </row>
    <row r="646">
      <c r="BF646">
        <f>IF(AND(업무일지!$F650=$B$4,업무일지!$B650&lt;&gt;""),업무일지!$B650*10000+646,"")</f>
        <v/>
      </c>
      <c r="BH646">
        <f>IF(AND(일일실시사항!$G650=$B$4,일일실시사항!$B650&lt;&gt;""),일일실시사항!$B650*10000+646,"")</f>
        <v/>
      </c>
    </row>
    <row r="647">
      <c r="BF647">
        <f>IF(AND(업무일지!$F651=$B$4,업무일지!$B651&lt;&gt;""),업무일지!$B651*10000+647,"")</f>
        <v/>
      </c>
      <c r="BH647">
        <f>IF(AND(일일실시사항!$G651=$B$4,일일실시사항!$B651&lt;&gt;""),일일실시사항!$B651*10000+647,"")</f>
        <v/>
      </c>
    </row>
    <row r="648">
      <c r="BF648">
        <f>IF(AND(업무일지!$F652=$B$4,업무일지!$B652&lt;&gt;""),업무일지!$B652*10000+648,"")</f>
        <v/>
      </c>
      <c r="BH648">
        <f>IF(AND(일일실시사항!$G652=$B$4,일일실시사항!$B652&lt;&gt;""),일일실시사항!$B652*10000+648,"")</f>
        <v/>
      </c>
    </row>
    <row r="649">
      <c r="BF649">
        <f>IF(AND(업무일지!$F653=$B$4,업무일지!$B653&lt;&gt;""),업무일지!$B653*10000+649,"")</f>
        <v/>
      </c>
      <c r="BH649">
        <f>IF(AND(일일실시사항!$G653=$B$4,일일실시사항!$B653&lt;&gt;""),일일실시사항!$B653*10000+649,"")</f>
        <v/>
      </c>
    </row>
    <row r="650">
      <c r="BF650">
        <f>IF(AND(업무일지!$F654=$B$4,업무일지!$B654&lt;&gt;""),업무일지!$B654*10000+650,"")</f>
        <v/>
      </c>
      <c r="BH650">
        <f>IF(AND(일일실시사항!$G654=$B$4,일일실시사항!$B654&lt;&gt;""),일일실시사항!$B654*10000+650,"")</f>
        <v/>
      </c>
    </row>
    <row r="651">
      <c r="BF651">
        <f>IF(AND(업무일지!$F655=$B$4,업무일지!$B655&lt;&gt;""),업무일지!$B655*10000+651,"")</f>
        <v/>
      </c>
      <c r="BH651">
        <f>IF(AND(일일실시사항!$G655=$B$4,일일실시사항!$B655&lt;&gt;""),일일실시사항!$B655*10000+651,"")</f>
        <v/>
      </c>
    </row>
    <row r="652">
      <c r="BF652">
        <f>IF(AND(업무일지!$F656=$B$4,업무일지!$B656&lt;&gt;""),업무일지!$B656*10000+652,"")</f>
        <v/>
      </c>
      <c r="BH652">
        <f>IF(AND(일일실시사항!$G656=$B$4,일일실시사항!$B656&lt;&gt;""),일일실시사항!$B656*10000+652,"")</f>
        <v/>
      </c>
    </row>
    <row r="653">
      <c r="BF653">
        <f>IF(AND(업무일지!$F657=$B$4,업무일지!$B657&lt;&gt;""),업무일지!$B657*10000+653,"")</f>
        <v/>
      </c>
      <c r="BH653">
        <f>IF(AND(일일실시사항!$G657=$B$4,일일실시사항!$B657&lt;&gt;""),일일실시사항!$B657*10000+653,"")</f>
        <v/>
      </c>
    </row>
    <row r="654">
      <c r="BF654">
        <f>IF(AND(업무일지!$F658=$B$4,업무일지!$B658&lt;&gt;""),업무일지!$B658*10000+654,"")</f>
        <v/>
      </c>
      <c r="BH654">
        <f>IF(AND(일일실시사항!$G658=$B$4,일일실시사항!$B658&lt;&gt;""),일일실시사항!$B658*10000+654,"")</f>
        <v/>
      </c>
    </row>
    <row r="655">
      <c r="BF655">
        <f>IF(AND(업무일지!$F659=$B$4,업무일지!$B659&lt;&gt;""),업무일지!$B659*10000+655,"")</f>
        <v/>
      </c>
      <c r="BH655">
        <f>IF(AND(일일실시사항!$G659=$B$4,일일실시사항!$B659&lt;&gt;""),일일실시사항!$B659*10000+655,"")</f>
        <v/>
      </c>
    </row>
    <row r="656">
      <c r="BF656">
        <f>IF(AND(업무일지!$F660=$B$4,업무일지!$B660&lt;&gt;""),업무일지!$B660*10000+656,"")</f>
        <v/>
      </c>
      <c r="BH656">
        <f>IF(AND(일일실시사항!$G660=$B$4,일일실시사항!$B660&lt;&gt;""),일일실시사항!$B660*10000+656,"")</f>
        <v/>
      </c>
    </row>
    <row r="657">
      <c r="BF657">
        <f>IF(AND(업무일지!$F661=$B$4,업무일지!$B661&lt;&gt;""),업무일지!$B661*10000+657,"")</f>
        <v/>
      </c>
      <c r="BH657">
        <f>IF(AND(일일실시사항!$G661=$B$4,일일실시사항!$B661&lt;&gt;""),일일실시사항!$B661*10000+657,"")</f>
        <v/>
      </c>
    </row>
    <row r="658">
      <c r="BF658">
        <f>IF(AND(업무일지!$F662=$B$4,업무일지!$B662&lt;&gt;""),업무일지!$B662*10000+658,"")</f>
        <v/>
      </c>
      <c r="BH658">
        <f>IF(AND(일일실시사항!$G662=$B$4,일일실시사항!$B662&lt;&gt;""),일일실시사항!$B662*10000+658,"")</f>
        <v/>
      </c>
    </row>
    <row r="659">
      <c r="BF659">
        <f>IF(AND(업무일지!$F663=$B$4,업무일지!$B663&lt;&gt;""),업무일지!$B663*10000+659,"")</f>
        <v/>
      </c>
      <c r="BH659">
        <f>IF(AND(일일실시사항!$G663=$B$4,일일실시사항!$B663&lt;&gt;""),일일실시사항!$B663*10000+659,"")</f>
        <v/>
      </c>
    </row>
    <row r="660">
      <c r="BF660">
        <f>IF(AND(업무일지!$F664=$B$4,업무일지!$B664&lt;&gt;""),업무일지!$B664*10000+660,"")</f>
        <v/>
      </c>
      <c r="BH660">
        <f>IF(AND(일일실시사항!$G664=$B$4,일일실시사항!$B664&lt;&gt;""),일일실시사항!$B664*10000+660,"")</f>
        <v/>
      </c>
    </row>
    <row r="661">
      <c r="BF661">
        <f>IF(AND(업무일지!$F665=$B$4,업무일지!$B665&lt;&gt;""),업무일지!$B665*10000+661,"")</f>
        <v/>
      </c>
      <c r="BH661">
        <f>IF(AND(일일실시사항!$G665=$B$4,일일실시사항!$B665&lt;&gt;""),일일실시사항!$B665*10000+661,"")</f>
        <v/>
      </c>
    </row>
    <row r="662">
      <c r="BF662">
        <f>IF(AND(업무일지!$F666=$B$4,업무일지!$B666&lt;&gt;""),업무일지!$B666*10000+662,"")</f>
        <v/>
      </c>
      <c r="BH662">
        <f>IF(AND(일일실시사항!$G666=$B$4,일일실시사항!$B666&lt;&gt;""),일일실시사항!$B666*10000+662,"")</f>
        <v/>
      </c>
    </row>
    <row r="663">
      <c r="BF663">
        <f>IF(AND(업무일지!$F667=$B$4,업무일지!$B667&lt;&gt;""),업무일지!$B667*10000+663,"")</f>
        <v/>
      </c>
      <c r="BH663">
        <f>IF(AND(일일실시사항!$G667=$B$4,일일실시사항!$B667&lt;&gt;""),일일실시사항!$B667*10000+663,"")</f>
        <v/>
      </c>
    </row>
    <row r="664">
      <c r="BF664">
        <f>IF(AND(업무일지!$F668=$B$4,업무일지!$B668&lt;&gt;""),업무일지!$B668*10000+664,"")</f>
        <v/>
      </c>
      <c r="BH664">
        <f>IF(AND(일일실시사항!$G668=$B$4,일일실시사항!$B668&lt;&gt;""),일일실시사항!$B668*10000+664,"")</f>
        <v/>
      </c>
    </row>
    <row r="665">
      <c r="BF665">
        <f>IF(AND(업무일지!$F669=$B$4,업무일지!$B669&lt;&gt;""),업무일지!$B669*10000+665,"")</f>
        <v/>
      </c>
      <c r="BH665">
        <f>IF(AND(일일실시사항!$G669=$B$4,일일실시사항!$B669&lt;&gt;""),일일실시사항!$B669*10000+665,"")</f>
        <v/>
      </c>
    </row>
    <row r="666">
      <c r="BF666">
        <f>IF(AND(업무일지!$F670=$B$4,업무일지!$B670&lt;&gt;""),업무일지!$B670*10000+666,"")</f>
        <v/>
      </c>
      <c r="BH666">
        <f>IF(AND(일일실시사항!$G670=$B$4,일일실시사항!$B670&lt;&gt;""),일일실시사항!$B670*10000+666,"")</f>
        <v/>
      </c>
    </row>
    <row r="667">
      <c r="BF667">
        <f>IF(AND(업무일지!$F671=$B$4,업무일지!$B671&lt;&gt;""),업무일지!$B671*10000+667,"")</f>
        <v/>
      </c>
      <c r="BH667">
        <f>IF(AND(일일실시사항!$G671=$B$4,일일실시사항!$B671&lt;&gt;""),일일실시사항!$B671*10000+667,"")</f>
        <v/>
      </c>
    </row>
    <row r="668">
      <c r="BF668">
        <f>IF(AND(업무일지!$F672=$B$4,업무일지!$B672&lt;&gt;""),업무일지!$B672*10000+668,"")</f>
        <v/>
      </c>
      <c r="BH668">
        <f>IF(AND(일일실시사항!$G672=$B$4,일일실시사항!$B672&lt;&gt;""),일일실시사항!$B672*10000+668,"")</f>
        <v/>
      </c>
    </row>
    <row r="669">
      <c r="BF669">
        <f>IF(AND(업무일지!$F673=$B$4,업무일지!$B673&lt;&gt;""),업무일지!$B673*10000+669,"")</f>
        <v/>
      </c>
      <c r="BH669">
        <f>IF(AND(일일실시사항!$G673=$B$4,일일실시사항!$B673&lt;&gt;""),일일실시사항!$B673*10000+669,"")</f>
        <v/>
      </c>
    </row>
    <row r="670">
      <c r="BF670">
        <f>IF(AND(업무일지!$F674=$B$4,업무일지!$B674&lt;&gt;""),업무일지!$B674*10000+670,"")</f>
        <v/>
      </c>
      <c r="BH670">
        <f>IF(AND(일일실시사항!$G674=$B$4,일일실시사항!$B674&lt;&gt;""),일일실시사항!$B674*10000+670,"")</f>
        <v/>
      </c>
    </row>
    <row r="671">
      <c r="BF671">
        <f>IF(AND(업무일지!$F675=$B$4,업무일지!$B675&lt;&gt;""),업무일지!$B675*10000+671,"")</f>
        <v/>
      </c>
      <c r="BH671">
        <f>IF(AND(일일실시사항!$G675=$B$4,일일실시사항!$B675&lt;&gt;""),일일실시사항!$B675*10000+671,"")</f>
        <v/>
      </c>
    </row>
    <row r="672">
      <c r="BF672">
        <f>IF(AND(업무일지!$F676=$B$4,업무일지!$B676&lt;&gt;""),업무일지!$B676*10000+672,"")</f>
        <v/>
      </c>
      <c r="BH672">
        <f>IF(AND(일일실시사항!$G676=$B$4,일일실시사항!$B676&lt;&gt;""),일일실시사항!$B676*10000+672,"")</f>
        <v/>
      </c>
    </row>
    <row r="673">
      <c r="BF673">
        <f>IF(AND(업무일지!$F677=$B$4,업무일지!$B677&lt;&gt;""),업무일지!$B677*10000+673,"")</f>
        <v/>
      </c>
      <c r="BH673">
        <f>IF(AND(일일실시사항!$G677=$B$4,일일실시사항!$B677&lt;&gt;""),일일실시사항!$B677*10000+673,"")</f>
        <v/>
      </c>
    </row>
    <row r="674">
      <c r="BF674">
        <f>IF(AND(업무일지!$F678=$B$4,업무일지!$B678&lt;&gt;""),업무일지!$B678*10000+674,"")</f>
        <v/>
      </c>
      <c r="BH674">
        <f>IF(AND(일일실시사항!$G678=$B$4,일일실시사항!$B678&lt;&gt;""),일일실시사항!$B678*10000+674,"")</f>
        <v/>
      </c>
    </row>
    <row r="675">
      <c r="BF675">
        <f>IF(AND(업무일지!$F679=$B$4,업무일지!$B679&lt;&gt;""),업무일지!$B679*10000+675,"")</f>
        <v/>
      </c>
      <c r="BH675">
        <f>IF(AND(일일실시사항!$G679=$B$4,일일실시사항!$B679&lt;&gt;""),일일실시사항!$B679*10000+675,"")</f>
        <v/>
      </c>
    </row>
    <row r="676">
      <c r="BF676">
        <f>IF(AND(업무일지!$F680=$B$4,업무일지!$B680&lt;&gt;""),업무일지!$B680*10000+676,"")</f>
        <v/>
      </c>
      <c r="BH676">
        <f>IF(AND(일일실시사항!$G680=$B$4,일일실시사항!$B680&lt;&gt;""),일일실시사항!$B680*10000+676,"")</f>
        <v/>
      </c>
    </row>
    <row r="677">
      <c r="BF677">
        <f>IF(AND(업무일지!$F681=$B$4,업무일지!$B681&lt;&gt;""),업무일지!$B681*10000+677,"")</f>
        <v/>
      </c>
      <c r="BH677">
        <f>IF(AND(일일실시사항!$G681=$B$4,일일실시사항!$B681&lt;&gt;""),일일실시사항!$B681*10000+677,"")</f>
        <v/>
      </c>
    </row>
    <row r="678">
      <c r="BF678">
        <f>IF(AND(업무일지!$F682=$B$4,업무일지!$B682&lt;&gt;""),업무일지!$B682*10000+678,"")</f>
        <v/>
      </c>
      <c r="BH678">
        <f>IF(AND(일일실시사항!$G682=$B$4,일일실시사항!$B682&lt;&gt;""),일일실시사항!$B682*10000+678,"")</f>
        <v/>
      </c>
    </row>
    <row r="679">
      <c r="BF679">
        <f>IF(AND(업무일지!$F683=$B$4,업무일지!$B683&lt;&gt;""),업무일지!$B683*10000+679,"")</f>
        <v/>
      </c>
      <c r="BH679">
        <f>IF(AND(일일실시사항!$G683=$B$4,일일실시사항!$B683&lt;&gt;""),일일실시사항!$B683*10000+679,"")</f>
        <v/>
      </c>
    </row>
    <row r="680">
      <c r="BF680">
        <f>IF(AND(업무일지!$F684=$B$4,업무일지!$B684&lt;&gt;""),업무일지!$B684*10000+680,"")</f>
        <v/>
      </c>
      <c r="BH680">
        <f>IF(AND(일일실시사항!$G684=$B$4,일일실시사항!$B684&lt;&gt;""),일일실시사항!$B684*10000+680,"")</f>
        <v/>
      </c>
    </row>
    <row r="681">
      <c r="BF681">
        <f>IF(AND(업무일지!$F685=$B$4,업무일지!$B685&lt;&gt;""),업무일지!$B685*10000+681,"")</f>
        <v/>
      </c>
      <c r="BH681">
        <f>IF(AND(일일실시사항!$G685=$B$4,일일실시사항!$B685&lt;&gt;""),일일실시사항!$B685*10000+681,"")</f>
        <v/>
      </c>
    </row>
    <row r="682">
      <c r="BF682">
        <f>IF(AND(업무일지!$F686=$B$4,업무일지!$B686&lt;&gt;""),업무일지!$B686*10000+682,"")</f>
        <v/>
      </c>
      <c r="BH682">
        <f>IF(AND(일일실시사항!$G686=$B$4,일일실시사항!$B686&lt;&gt;""),일일실시사항!$B686*10000+682,"")</f>
        <v/>
      </c>
    </row>
    <row r="683">
      <c r="BF683">
        <f>IF(AND(업무일지!$F687=$B$4,업무일지!$B687&lt;&gt;""),업무일지!$B687*10000+683,"")</f>
        <v/>
      </c>
      <c r="BH683">
        <f>IF(AND(일일실시사항!$G687=$B$4,일일실시사항!$B687&lt;&gt;""),일일실시사항!$B687*10000+683,"")</f>
        <v/>
      </c>
    </row>
    <row r="684">
      <c r="BF684">
        <f>IF(AND(업무일지!$F688=$B$4,업무일지!$B688&lt;&gt;""),업무일지!$B688*10000+684,"")</f>
        <v/>
      </c>
      <c r="BH684">
        <f>IF(AND(일일실시사항!$G688=$B$4,일일실시사항!$B688&lt;&gt;""),일일실시사항!$B688*10000+684,"")</f>
        <v/>
      </c>
    </row>
    <row r="685">
      <c r="BF685">
        <f>IF(AND(업무일지!$F689=$B$4,업무일지!$B689&lt;&gt;""),업무일지!$B689*10000+685,"")</f>
        <v/>
      </c>
      <c r="BH685">
        <f>IF(AND(일일실시사항!$G689=$B$4,일일실시사항!$B689&lt;&gt;""),일일실시사항!$B689*10000+685,"")</f>
        <v/>
      </c>
    </row>
    <row r="686">
      <c r="BF686">
        <f>IF(AND(업무일지!$F690=$B$4,업무일지!$B690&lt;&gt;""),업무일지!$B690*10000+686,"")</f>
        <v/>
      </c>
      <c r="BH686">
        <f>IF(AND(일일실시사항!$G690=$B$4,일일실시사항!$B690&lt;&gt;""),일일실시사항!$B690*10000+686,"")</f>
        <v/>
      </c>
    </row>
    <row r="687">
      <c r="BF687">
        <f>IF(AND(업무일지!$F691=$B$4,업무일지!$B691&lt;&gt;""),업무일지!$B691*10000+687,"")</f>
        <v/>
      </c>
      <c r="BH687">
        <f>IF(AND(일일실시사항!$G691=$B$4,일일실시사항!$B691&lt;&gt;""),일일실시사항!$B691*10000+687,"")</f>
        <v/>
      </c>
    </row>
    <row r="688">
      <c r="BF688">
        <f>IF(AND(업무일지!$F692=$B$4,업무일지!$B692&lt;&gt;""),업무일지!$B692*10000+688,"")</f>
        <v/>
      </c>
      <c r="BH688">
        <f>IF(AND(일일실시사항!$G692=$B$4,일일실시사항!$B692&lt;&gt;""),일일실시사항!$B692*10000+688,"")</f>
        <v/>
      </c>
    </row>
    <row r="689">
      <c r="BF689">
        <f>IF(AND(업무일지!$F693=$B$4,업무일지!$B693&lt;&gt;""),업무일지!$B693*10000+689,"")</f>
        <v/>
      </c>
      <c r="BH689">
        <f>IF(AND(일일실시사항!$G693=$B$4,일일실시사항!$B693&lt;&gt;""),일일실시사항!$B693*10000+689,"")</f>
        <v/>
      </c>
    </row>
    <row r="690">
      <c r="BF690">
        <f>IF(AND(업무일지!$F694=$B$4,업무일지!$B694&lt;&gt;""),업무일지!$B694*10000+690,"")</f>
        <v/>
      </c>
      <c r="BH690">
        <f>IF(AND(일일실시사항!$G694=$B$4,일일실시사항!$B694&lt;&gt;""),일일실시사항!$B694*10000+690,"")</f>
        <v/>
      </c>
    </row>
    <row r="691">
      <c r="BF691">
        <f>IF(AND(업무일지!$F695=$B$4,업무일지!$B695&lt;&gt;""),업무일지!$B695*10000+691,"")</f>
        <v/>
      </c>
      <c r="BH691">
        <f>IF(AND(일일실시사항!$G695=$B$4,일일실시사항!$B695&lt;&gt;""),일일실시사항!$B695*10000+691,"")</f>
        <v/>
      </c>
    </row>
    <row r="692">
      <c r="BF692">
        <f>IF(AND(업무일지!$F696=$B$4,업무일지!$B696&lt;&gt;""),업무일지!$B696*10000+692,"")</f>
        <v/>
      </c>
      <c r="BH692">
        <f>IF(AND(일일실시사항!$G696=$B$4,일일실시사항!$B696&lt;&gt;""),일일실시사항!$B696*10000+692,"")</f>
        <v/>
      </c>
    </row>
    <row r="693">
      <c r="BF693">
        <f>IF(AND(업무일지!$F697=$B$4,업무일지!$B697&lt;&gt;""),업무일지!$B697*10000+693,"")</f>
        <v/>
      </c>
      <c r="BH693">
        <f>IF(AND(일일실시사항!$G697=$B$4,일일실시사항!$B697&lt;&gt;""),일일실시사항!$B697*10000+693,"")</f>
        <v/>
      </c>
    </row>
    <row r="694">
      <c r="BF694">
        <f>IF(AND(업무일지!$F698=$B$4,업무일지!$B698&lt;&gt;""),업무일지!$B698*10000+694,"")</f>
        <v/>
      </c>
      <c r="BH694">
        <f>IF(AND(일일실시사항!$G698=$B$4,일일실시사항!$B698&lt;&gt;""),일일실시사항!$B698*10000+694,"")</f>
        <v/>
      </c>
    </row>
    <row r="695">
      <c r="BF695">
        <f>IF(AND(업무일지!$F699=$B$4,업무일지!$B699&lt;&gt;""),업무일지!$B699*10000+695,"")</f>
        <v/>
      </c>
      <c r="BH695">
        <f>IF(AND(일일실시사항!$G699=$B$4,일일실시사항!$B699&lt;&gt;""),일일실시사항!$B699*10000+695,"")</f>
        <v/>
      </c>
    </row>
    <row r="696">
      <c r="BF696">
        <f>IF(AND(업무일지!$F700=$B$4,업무일지!$B700&lt;&gt;""),업무일지!$B700*10000+696,"")</f>
        <v/>
      </c>
      <c r="BH696">
        <f>IF(AND(일일실시사항!$G700=$B$4,일일실시사항!$B700&lt;&gt;""),일일실시사항!$B700*10000+696,"")</f>
        <v/>
      </c>
    </row>
    <row r="697">
      <c r="BF697">
        <f>IF(AND(업무일지!$F701=$B$4,업무일지!$B701&lt;&gt;""),업무일지!$B701*10000+697,"")</f>
        <v/>
      </c>
      <c r="BH697">
        <f>IF(AND(일일실시사항!$G701=$B$4,일일실시사항!$B701&lt;&gt;""),일일실시사항!$B701*10000+697,"")</f>
        <v/>
      </c>
    </row>
    <row r="698">
      <c r="BF698">
        <f>IF(AND(업무일지!$F702=$B$4,업무일지!$B702&lt;&gt;""),업무일지!$B702*10000+698,"")</f>
        <v/>
      </c>
      <c r="BH698">
        <f>IF(AND(일일실시사항!$G702=$B$4,일일실시사항!$B702&lt;&gt;""),일일실시사항!$B702*10000+698,"")</f>
        <v/>
      </c>
    </row>
    <row r="699">
      <c r="BF699">
        <f>IF(AND(업무일지!$F703=$B$4,업무일지!$B703&lt;&gt;""),업무일지!$B703*10000+699,"")</f>
        <v/>
      </c>
      <c r="BH699">
        <f>IF(AND(일일실시사항!$G703=$B$4,일일실시사항!$B703&lt;&gt;""),일일실시사항!$B703*10000+699,"")</f>
        <v/>
      </c>
    </row>
    <row r="700">
      <c r="BF700">
        <f>IF(AND(업무일지!$F704=$B$4,업무일지!$B704&lt;&gt;""),업무일지!$B704*10000+700,"")</f>
        <v/>
      </c>
      <c r="BH700">
        <f>IF(AND(일일실시사항!$G704=$B$4,일일실시사항!$B704&lt;&gt;""),일일실시사항!$B704*10000+700,"")</f>
        <v/>
      </c>
    </row>
    <row r="701">
      <c r="BF701">
        <f>IF(AND(업무일지!$F705=$B$4,업무일지!$B705&lt;&gt;""),업무일지!$B705*10000+701,"")</f>
        <v/>
      </c>
      <c r="BH701">
        <f>IF(AND(일일실시사항!$G705=$B$4,일일실시사항!$B705&lt;&gt;""),일일실시사항!$B705*10000+701,"")</f>
        <v/>
      </c>
    </row>
    <row r="702">
      <c r="BF702">
        <f>IF(AND(업무일지!$F706=$B$4,업무일지!$B706&lt;&gt;""),업무일지!$B706*10000+702,"")</f>
        <v/>
      </c>
      <c r="BH702">
        <f>IF(AND(일일실시사항!$G706=$B$4,일일실시사항!$B706&lt;&gt;""),일일실시사항!$B706*10000+702,"")</f>
        <v/>
      </c>
    </row>
    <row r="703">
      <c r="BF703">
        <f>IF(AND(업무일지!$F707=$B$4,업무일지!$B707&lt;&gt;""),업무일지!$B707*10000+703,"")</f>
        <v/>
      </c>
      <c r="BH703">
        <f>IF(AND(일일실시사항!$G707=$B$4,일일실시사항!$B707&lt;&gt;""),일일실시사항!$B707*10000+703,"")</f>
        <v/>
      </c>
    </row>
    <row r="704">
      <c r="BF704">
        <f>IF(AND(업무일지!$F708=$B$4,업무일지!$B708&lt;&gt;""),업무일지!$B708*10000+704,"")</f>
        <v/>
      </c>
      <c r="BH704">
        <f>IF(AND(일일실시사항!$G708=$B$4,일일실시사항!$B708&lt;&gt;""),일일실시사항!$B708*10000+704,"")</f>
        <v/>
      </c>
    </row>
    <row r="705">
      <c r="BF705">
        <f>IF(AND(업무일지!$F709=$B$4,업무일지!$B709&lt;&gt;""),업무일지!$B709*10000+705,"")</f>
        <v/>
      </c>
      <c r="BH705">
        <f>IF(AND(일일실시사항!$G709=$B$4,일일실시사항!$B709&lt;&gt;""),일일실시사항!$B709*10000+705,"")</f>
        <v/>
      </c>
    </row>
    <row r="706">
      <c r="BF706">
        <f>IF(AND(업무일지!$F710=$B$4,업무일지!$B710&lt;&gt;""),업무일지!$B710*10000+706,"")</f>
        <v/>
      </c>
      <c r="BH706">
        <f>IF(AND(일일실시사항!$G710=$B$4,일일실시사항!$B710&lt;&gt;""),일일실시사항!$B710*10000+706,"")</f>
        <v/>
      </c>
    </row>
    <row r="707">
      <c r="BF707">
        <f>IF(AND(업무일지!$F711=$B$4,업무일지!$B711&lt;&gt;""),업무일지!$B711*10000+707,"")</f>
        <v/>
      </c>
      <c r="BH707">
        <f>IF(AND(일일실시사항!$G711=$B$4,일일실시사항!$B711&lt;&gt;""),일일실시사항!$B711*10000+707,"")</f>
        <v/>
      </c>
    </row>
    <row r="708">
      <c r="BF708">
        <f>IF(AND(업무일지!$F712=$B$4,업무일지!$B712&lt;&gt;""),업무일지!$B712*10000+708,"")</f>
        <v/>
      </c>
      <c r="BH708">
        <f>IF(AND(일일실시사항!$G712=$B$4,일일실시사항!$B712&lt;&gt;""),일일실시사항!$B712*10000+708,"")</f>
        <v/>
      </c>
    </row>
    <row r="709">
      <c r="BF709">
        <f>IF(AND(업무일지!$F713=$B$4,업무일지!$B713&lt;&gt;""),업무일지!$B713*10000+709,"")</f>
        <v/>
      </c>
      <c r="BH709">
        <f>IF(AND(일일실시사항!$G713=$B$4,일일실시사항!$B713&lt;&gt;""),일일실시사항!$B713*10000+709,"")</f>
        <v/>
      </c>
    </row>
    <row r="710">
      <c r="BF710">
        <f>IF(AND(업무일지!$F714=$B$4,업무일지!$B714&lt;&gt;""),업무일지!$B714*10000+710,"")</f>
        <v/>
      </c>
      <c r="BH710">
        <f>IF(AND(일일실시사항!$G714=$B$4,일일실시사항!$B714&lt;&gt;""),일일실시사항!$B714*10000+710,"")</f>
        <v/>
      </c>
    </row>
    <row r="711">
      <c r="BF711">
        <f>IF(AND(업무일지!$F715=$B$4,업무일지!$B715&lt;&gt;""),업무일지!$B715*10000+711,"")</f>
        <v/>
      </c>
      <c r="BH711">
        <f>IF(AND(일일실시사항!$G715=$B$4,일일실시사항!$B715&lt;&gt;""),일일실시사항!$B715*10000+711,"")</f>
        <v/>
      </c>
    </row>
    <row r="712">
      <c r="BF712">
        <f>IF(AND(업무일지!$F716=$B$4,업무일지!$B716&lt;&gt;""),업무일지!$B716*10000+712,"")</f>
        <v/>
      </c>
      <c r="BH712">
        <f>IF(AND(일일실시사항!$G716=$B$4,일일실시사항!$B716&lt;&gt;""),일일실시사항!$B716*10000+712,"")</f>
        <v/>
      </c>
    </row>
    <row r="713">
      <c r="BF713">
        <f>IF(AND(업무일지!$F717=$B$4,업무일지!$B717&lt;&gt;""),업무일지!$B717*10000+713,"")</f>
        <v/>
      </c>
      <c r="BH713">
        <f>IF(AND(일일실시사항!$G717=$B$4,일일실시사항!$B717&lt;&gt;""),일일실시사항!$B717*10000+713,"")</f>
        <v/>
      </c>
    </row>
    <row r="714">
      <c r="BF714">
        <f>IF(AND(업무일지!$F718=$B$4,업무일지!$B718&lt;&gt;""),업무일지!$B718*10000+714,"")</f>
        <v/>
      </c>
      <c r="BH714">
        <f>IF(AND(일일실시사항!$G718=$B$4,일일실시사항!$B718&lt;&gt;""),일일실시사항!$B718*10000+714,"")</f>
        <v/>
      </c>
    </row>
    <row r="715">
      <c r="BF715">
        <f>IF(AND(업무일지!$F719=$B$4,업무일지!$B719&lt;&gt;""),업무일지!$B719*10000+715,"")</f>
        <v/>
      </c>
      <c r="BH715">
        <f>IF(AND(일일실시사항!$G719=$B$4,일일실시사항!$B719&lt;&gt;""),일일실시사항!$B719*10000+715,"")</f>
        <v/>
      </c>
    </row>
    <row r="716">
      <c r="BF716">
        <f>IF(AND(업무일지!$F720=$B$4,업무일지!$B720&lt;&gt;""),업무일지!$B720*10000+716,"")</f>
        <v/>
      </c>
      <c r="BH716">
        <f>IF(AND(일일실시사항!$G720=$B$4,일일실시사항!$B720&lt;&gt;""),일일실시사항!$B720*10000+716,"")</f>
        <v/>
      </c>
    </row>
    <row r="717">
      <c r="BF717">
        <f>IF(AND(업무일지!$F721=$B$4,업무일지!$B721&lt;&gt;""),업무일지!$B721*10000+717,"")</f>
        <v/>
      </c>
      <c r="BH717">
        <f>IF(AND(일일실시사항!$G721=$B$4,일일실시사항!$B721&lt;&gt;""),일일실시사항!$B721*10000+717,"")</f>
        <v/>
      </c>
    </row>
    <row r="718">
      <c r="BF718">
        <f>IF(AND(업무일지!$F722=$B$4,업무일지!$B722&lt;&gt;""),업무일지!$B722*10000+718,"")</f>
        <v/>
      </c>
      <c r="BH718">
        <f>IF(AND(일일실시사항!$G722=$B$4,일일실시사항!$B722&lt;&gt;""),일일실시사항!$B722*10000+718,"")</f>
        <v/>
      </c>
    </row>
    <row r="719">
      <c r="BF719">
        <f>IF(AND(업무일지!$F723=$B$4,업무일지!$B723&lt;&gt;""),업무일지!$B723*10000+719,"")</f>
        <v/>
      </c>
      <c r="BH719">
        <f>IF(AND(일일실시사항!$G723=$B$4,일일실시사항!$B723&lt;&gt;""),일일실시사항!$B723*10000+719,"")</f>
        <v/>
      </c>
    </row>
    <row r="720">
      <c r="BF720">
        <f>IF(AND(업무일지!$F724=$B$4,업무일지!$B724&lt;&gt;""),업무일지!$B724*10000+720,"")</f>
        <v/>
      </c>
      <c r="BH720">
        <f>IF(AND(일일실시사항!$G724=$B$4,일일실시사항!$B724&lt;&gt;""),일일실시사항!$B724*10000+720,"")</f>
        <v/>
      </c>
    </row>
    <row r="721">
      <c r="BF721">
        <f>IF(AND(업무일지!$F725=$B$4,업무일지!$B725&lt;&gt;""),업무일지!$B725*10000+721,"")</f>
        <v/>
      </c>
      <c r="BH721">
        <f>IF(AND(일일실시사항!$G725=$B$4,일일실시사항!$B725&lt;&gt;""),일일실시사항!$B725*10000+721,"")</f>
        <v/>
      </c>
    </row>
    <row r="722">
      <c r="BF722">
        <f>IF(AND(업무일지!$F726=$B$4,업무일지!$B726&lt;&gt;""),업무일지!$B726*10000+722,"")</f>
        <v/>
      </c>
      <c r="BH722">
        <f>IF(AND(일일실시사항!$G726=$B$4,일일실시사항!$B726&lt;&gt;""),일일실시사항!$B726*10000+722,"")</f>
        <v/>
      </c>
    </row>
    <row r="723">
      <c r="BF723">
        <f>IF(AND(업무일지!$F727=$B$4,업무일지!$B727&lt;&gt;""),업무일지!$B727*10000+723,"")</f>
        <v/>
      </c>
      <c r="BH723">
        <f>IF(AND(일일실시사항!$G727=$B$4,일일실시사항!$B727&lt;&gt;""),일일실시사항!$B727*10000+723,"")</f>
        <v/>
      </c>
    </row>
    <row r="724">
      <c r="BF724">
        <f>IF(AND(업무일지!$F728=$B$4,업무일지!$B728&lt;&gt;""),업무일지!$B728*10000+724,"")</f>
        <v/>
      </c>
      <c r="BH724">
        <f>IF(AND(일일실시사항!$G728=$B$4,일일실시사항!$B728&lt;&gt;""),일일실시사항!$B728*10000+724,"")</f>
        <v/>
      </c>
    </row>
    <row r="725">
      <c r="BF725">
        <f>IF(AND(업무일지!$F729=$B$4,업무일지!$B729&lt;&gt;""),업무일지!$B729*10000+725,"")</f>
        <v/>
      </c>
      <c r="BH725">
        <f>IF(AND(일일실시사항!$G729=$B$4,일일실시사항!$B729&lt;&gt;""),일일실시사항!$B729*10000+725,"")</f>
        <v/>
      </c>
    </row>
    <row r="726">
      <c r="BF726">
        <f>IF(AND(업무일지!$F730=$B$4,업무일지!$B730&lt;&gt;""),업무일지!$B730*10000+726,"")</f>
        <v/>
      </c>
      <c r="BH726">
        <f>IF(AND(일일실시사항!$G730=$B$4,일일실시사항!$B730&lt;&gt;""),일일실시사항!$B730*10000+726,"")</f>
        <v/>
      </c>
    </row>
    <row r="727">
      <c r="BF727">
        <f>IF(AND(업무일지!$F731=$B$4,업무일지!$B731&lt;&gt;""),업무일지!$B731*10000+727,"")</f>
        <v/>
      </c>
      <c r="BH727">
        <f>IF(AND(일일실시사항!$G731=$B$4,일일실시사항!$B731&lt;&gt;""),일일실시사항!$B731*10000+727,"")</f>
        <v/>
      </c>
    </row>
    <row r="728">
      <c r="BF728">
        <f>IF(AND(업무일지!$F732=$B$4,업무일지!$B732&lt;&gt;""),업무일지!$B732*10000+728,"")</f>
        <v/>
      </c>
      <c r="BH728">
        <f>IF(AND(일일실시사항!$G732=$B$4,일일실시사항!$B732&lt;&gt;""),일일실시사항!$B732*10000+728,"")</f>
        <v/>
      </c>
    </row>
    <row r="729">
      <c r="BF729">
        <f>IF(AND(업무일지!$F733=$B$4,업무일지!$B733&lt;&gt;""),업무일지!$B733*10000+729,"")</f>
        <v/>
      </c>
      <c r="BH729">
        <f>IF(AND(일일실시사항!$G733=$B$4,일일실시사항!$B733&lt;&gt;""),일일실시사항!$B733*10000+729,"")</f>
        <v/>
      </c>
    </row>
    <row r="730">
      <c r="BF730">
        <f>IF(AND(업무일지!$F734=$B$4,업무일지!$B734&lt;&gt;""),업무일지!$B734*10000+730,"")</f>
        <v/>
      </c>
      <c r="BH730">
        <f>IF(AND(일일실시사항!$G734=$B$4,일일실시사항!$B734&lt;&gt;""),일일실시사항!$B734*10000+730,"")</f>
        <v/>
      </c>
    </row>
    <row r="731">
      <c r="BF731">
        <f>IF(AND(업무일지!$F735=$B$4,업무일지!$B735&lt;&gt;""),업무일지!$B735*10000+731,"")</f>
        <v/>
      </c>
      <c r="BH731">
        <f>IF(AND(일일실시사항!$G735=$B$4,일일실시사항!$B735&lt;&gt;""),일일실시사항!$B735*10000+731,"")</f>
        <v/>
      </c>
    </row>
    <row r="732">
      <c r="BF732">
        <f>IF(AND(업무일지!$F736=$B$4,업무일지!$B736&lt;&gt;""),업무일지!$B736*10000+732,"")</f>
        <v/>
      </c>
      <c r="BH732">
        <f>IF(AND(일일실시사항!$G736=$B$4,일일실시사항!$B736&lt;&gt;""),일일실시사항!$B736*10000+732,"")</f>
        <v/>
      </c>
    </row>
    <row r="733">
      <c r="BF733">
        <f>IF(AND(업무일지!$F737=$B$4,업무일지!$B737&lt;&gt;""),업무일지!$B737*10000+733,"")</f>
        <v/>
      </c>
      <c r="BH733">
        <f>IF(AND(일일실시사항!$G737=$B$4,일일실시사항!$B737&lt;&gt;""),일일실시사항!$B737*10000+733,"")</f>
        <v/>
      </c>
    </row>
    <row r="734">
      <c r="BF734">
        <f>IF(AND(업무일지!$F738=$B$4,업무일지!$B738&lt;&gt;""),업무일지!$B738*10000+734,"")</f>
        <v/>
      </c>
      <c r="BH734">
        <f>IF(AND(일일실시사항!$G738=$B$4,일일실시사항!$B738&lt;&gt;""),일일실시사항!$B738*10000+734,"")</f>
        <v/>
      </c>
    </row>
    <row r="735">
      <c r="BF735">
        <f>IF(AND(업무일지!$F739=$B$4,업무일지!$B739&lt;&gt;""),업무일지!$B739*10000+735,"")</f>
        <v/>
      </c>
      <c r="BH735">
        <f>IF(AND(일일실시사항!$G739=$B$4,일일실시사항!$B739&lt;&gt;""),일일실시사항!$B739*10000+735,"")</f>
        <v/>
      </c>
    </row>
    <row r="736">
      <c r="BF736">
        <f>IF(AND(업무일지!$F740=$B$4,업무일지!$B740&lt;&gt;""),업무일지!$B740*10000+736,"")</f>
        <v/>
      </c>
      <c r="BH736">
        <f>IF(AND(일일실시사항!$G740=$B$4,일일실시사항!$B740&lt;&gt;""),일일실시사항!$B740*10000+736,"")</f>
        <v/>
      </c>
    </row>
    <row r="737">
      <c r="BF737">
        <f>IF(AND(업무일지!$F741=$B$4,업무일지!$B741&lt;&gt;""),업무일지!$B741*10000+737,"")</f>
        <v/>
      </c>
      <c r="BH737">
        <f>IF(AND(일일실시사항!$G741=$B$4,일일실시사항!$B741&lt;&gt;""),일일실시사항!$B741*10000+737,"")</f>
        <v/>
      </c>
    </row>
    <row r="738">
      <c r="BF738">
        <f>IF(AND(업무일지!$F742=$B$4,업무일지!$B742&lt;&gt;""),업무일지!$B742*10000+738,"")</f>
        <v/>
      </c>
      <c r="BH738">
        <f>IF(AND(일일실시사항!$G742=$B$4,일일실시사항!$B742&lt;&gt;""),일일실시사항!$B742*10000+738,"")</f>
        <v/>
      </c>
    </row>
    <row r="739">
      <c r="BF739">
        <f>IF(AND(업무일지!$F743=$B$4,업무일지!$B743&lt;&gt;""),업무일지!$B743*10000+739,"")</f>
        <v/>
      </c>
      <c r="BH739">
        <f>IF(AND(일일실시사항!$G743=$B$4,일일실시사항!$B743&lt;&gt;""),일일실시사항!$B743*10000+739,"")</f>
        <v/>
      </c>
    </row>
    <row r="740">
      <c r="BF740">
        <f>IF(AND(업무일지!$F744=$B$4,업무일지!$B744&lt;&gt;""),업무일지!$B744*10000+740,"")</f>
        <v/>
      </c>
      <c r="BH740">
        <f>IF(AND(일일실시사항!$G744=$B$4,일일실시사항!$B744&lt;&gt;""),일일실시사항!$B744*10000+740,"")</f>
        <v/>
      </c>
    </row>
    <row r="741">
      <c r="BF741">
        <f>IF(AND(업무일지!$F745=$B$4,업무일지!$B745&lt;&gt;""),업무일지!$B745*10000+741,"")</f>
        <v/>
      </c>
      <c r="BH741">
        <f>IF(AND(일일실시사항!$G745=$B$4,일일실시사항!$B745&lt;&gt;""),일일실시사항!$B745*10000+741,"")</f>
        <v/>
      </c>
    </row>
    <row r="742">
      <c r="BF742">
        <f>IF(AND(업무일지!$F746=$B$4,업무일지!$B746&lt;&gt;""),업무일지!$B746*10000+742,"")</f>
        <v/>
      </c>
      <c r="BH742">
        <f>IF(AND(일일실시사항!$G746=$B$4,일일실시사항!$B746&lt;&gt;""),일일실시사항!$B746*10000+742,"")</f>
        <v/>
      </c>
    </row>
    <row r="743">
      <c r="BF743">
        <f>IF(AND(업무일지!$F747=$B$4,업무일지!$B747&lt;&gt;""),업무일지!$B747*10000+743,"")</f>
        <v/>
      </c>
      <c r="BH743">
        <f>IF(AND(일일실시사항!$G747=$B$4,일일실시사항!$B747&lt;&gt;""),일일실시사항!$B747*10000+743,"")</f>
        <v/>
      </c>
    </row>
    <row r="744">
      <c r="BF744">
        <f>IF(AND(업무일지!$F748=$B$4,업무일지!$B748&lt;&gt;""),업무일지!$B748*10000+744,"")</f>
        <v/>
      </c>
      <c r="BH744">
        <f>IF(AND(일일실시사항!$G748=$B$4,일일실시사항!$B748&lt;&gt;""),일일실시사항!$B748*10000+744,"")</f>
        <v/>
      </c>
    </row>
    <row r="745">
      <c r="BF745">
        <f>IF(AND(업무일지!$F749=$B$4,업무일지!$B749&lt;&gt;""),업무일지!$B749*10000+745,"")</f>
        <v/>
      </c>
      <c r="BH745">
        <f>IF(AND(일일실시사항!$G749=$B$4,일일실시사항!$B749&lt;&gt;""),일일실시사항!$B749*10000+745,"")</f>
        <v/>
      </c>
    </row>
    <row r="746">
      <c r="BF746">
        <f>IF(AND(업무일지!$F750=$B$4,업무일지!$B750&lt;&gt;""),업무일지!$B750*10000+746,"")</f>
        <v/>
      </c>
      <c r="BH746">
        <f>IF(AND(일일실시사항!$G750=$B$4,일일실시사항!$B750&lt;&gt;""),일일실시사항!$B750*10000+746,"")</f>
        <v/>
      </c>
    </row>
    <row r="747">
      <c r="BF747">
        <f>IF(AND(업무일지!$F751=$B$4,업무일지!$B751&lt;&gt;""),업무일지!$B751*10000+747,"")</f>
        <v/>
      </c>
      <c r="BH747">
        <f>IF(AND(일일실시사항!$G751=$B$4,일일실시사항!$B751&lt;&gt;""),일일실시사항!$B751*10000+747,"")</f>
        <v/>
      </c>
    </row>
    <row r="748">
      <c r="BF748">
        <f>IF(AND(업무일지!$F752=$B$4,업무일지!$B752&lt;&gt;""),업무일지!$B752*10000+748,"")</f>
        <v/>
      </c>
      <c r="BH748">
        <f>IF(AND(일일실시사항!$G752=$B$4,일일실시사항!$B752&lt;&gt;""),일일실시사항!$B752*10000+748,"")</f>
        <v/>
      </c>
    </row>
    <row r="749">
      <c r="BF749">
        <f>IF(AND(업무일지!$F753=$B$4,업무일지!$B753&lt;&gt;""),업무일지!$B753*10000+749,"")</f>
        <v/>
      </c>
      <c r="BH749">
        <f>IF(AND(일일실시사항!$G753=$B$4,일일실시사항!$B753&lt;&gt;""),일일실시사항!$B753*10000+749,"")</f>
        <v/>
      </c>
    </row>
    <row r="750">
      <c r="BF750">
        <f>IF(AND(업무일지!$F754=$B$4,업무일지!$B754&lt;&gt;""),업무일지!$B754*10000+750,"")</f>
        <v/>
      </c>
      <c r="BH750">
        <f>IF(AND(일일실시사항!$G754=$B$4,일일실시사항!$B754&lt;&gt;""),일일실시사항!$B754*10000+750,"")</f>
        <v/>
      </c>
    </row>
    <row r="751">
      <c r="BF751">
        <f>IF(AND(업무일지!$F755=$B$4,업무일지!$B755&lt;&gt;""),업무일지!$B755*10000+751,"")</f>
        <v/>
      </c>
      <c r="BH751">
        <f>IF(AND(일일실시사항!$G755=$B$4,일일실시사항!$B755&lt;&gt;""),일일실시사항!$B755*10000+751,"")</f>
        <v/>
      </c>
    </row>
    <row r="752">
      <c r="BF752">
        <f>IF(AND(업무일지!$F756=$B$4,업무일지!$B756&lt;&gt;""),업무일지!$B756*10000+752,"")</f>
        <v/>
      </c>
      <c r="BH752">
        <f>IF(AND(일일실시사항!$G756=$B$4,일일실시사항!$B756&lt;&gt;""),일일실시사항!$B756*10000+752,"")</f>
        <v/>
      </c>
    </row>
    <row r="753">
      <c r="BF753">
        <f>IF(AND(업무일지!$F757=$B$4,업무일지!$B757&lt;&gt;""),업무일지!$B757*10000+753,"")</f>
        <v/>
      </c>
      <c r="BH753">
        <f>IF(AND(일일실시사항!$G757=$B$4,일일실시사항!$B757&lt;&gt;""),일일실시사항!$B757*10000+753,"")</f>
        <v/>
      </c>
    </row>
    <row r="754">
      <c r="BF754">
        <f>IF(AND(업무일지!$F758=$B$4,업무일지!$B758&lt;&gt;""),업무일지!$B758*10000+754,"")</f>
        <v/>
      </c>
      <c r="BH754">
        <f>IF(AND(일일실시사항!$G758=$B$4,일일실시사항!$B758&lt;&gt;""),일일실시사항!$B758*10000+754,"")</f>
        <v/>
      </c>
    </row>
    <row r="755">
      <c r="BF755">
        <f>IF(AND(업무일지!$F759=$B$4,업무일지!$B759&lt;&gt;""),업무일지!$B759*10000+755,"")</f>
        <v/>
      </c>
      <c r="BH755">
        <f>IF(AND(일일실시사항!$G759=$B$4,일일실시사항!$B759&lt;&gt;""),일일실시사항!$B759*10000+755,"")</f>
        <v/>
      </c>
    </row>
    <row r="756">
      <c r="BF756">
        <f>IF(AND(업무일지!$F760=$B$4,업무일지!$B760&lt;&gt;""),업무일지!$B760*10000+756,"")</f>
        <v/>
      </c>
      <c r="BH756">
        <f>IF(AND(일일실시사항!$G760=$B$4,일일실시사항!$B760&lt;&gt;""),일일실시사항!$B760*10000+756,"")</f>
        <v/>
      </c>
    </row>
    <row r="757">
      <c r="BF757">
        <f>IF(AND(업무일지!$F761=$B$4,업무일지!$B761&lt;&gt;""),업무일지!$B761*10000+757,"")</f>
        <v/>
      </c>
      <c r="BH757">
        <f>IF(AND(일일실시사항!$G761=$B$4,일일실시사항!$B761&lt;&gt;""),일일실시사항!$B761*10000+757,"")</f>
        <v/>
      </c>
    </row>
    <row r="758">
      <c r="BF758">
        <f>IF(AND(업무일지!$F762=$B$4,업무일지!$B762&lt;&gt;""),업무일지!$B762*10000+758,"")</f>
        <v/>
      </c>
      <c r="BH758">
        <f>IF(AND(일일실시사항!$G762=$B$4,일일실시사항!$B762&lt;&gt;""),일일실시사항!$B762*10000+758,"")</f>
        <v/>
      </c>
    </row>
    <row r="759">
      <c r="BF759">
        <f>IF(AND(업무일지!$F763=$B$4,업무일지!$B763&lt;&gt;""),업무일지!$B763*10000+759,"")</f>
        <v/>
      </c>
      <c r="BH759">
        <f>IF(AND(일일실시사항!$G763=$B$4,일일실시사항!$B763&lt;&gt;""),일일실시사항!$B763*10000+759,"")</f>
        <v/>
      </c>
    </row>
    <row r="760">
      <c r="BF760">
        <f>IF(AND(업무일지!$F764=$B$4,업무일지!$B764&lt;&gt;""),업무일지!$B764*10000+760,"")</f>
        <v/>
      </c>
      <c r="BH760">
        <f>IF(AND(일일실시사항!$G764=$B$4,일일실시사항!$B764&lt;&gt;""),일일실시사항!$B764*10000+760,"")</f>
        <v/>
      </c>
    </row>
    <row r="761">
      <c r="BF761">
        <f>IF(AND(업무일지!$F765=$B$4,업무일지!$B765&lt;&gt;""),업무일지!$B765*10000+761,"")</f>
        <v/>
      </c>
      <c r="BH761">
        <f>IF(AND(일일실시사항!$G765=$B$4,일일실시사항!$B765&lt;&gt;""),일일실시사항!$B765*10000+761,"")</f>
        <v/>
      </c>
    </row>
    <row r="762">
      <c r="BF762">
        <f>IF(AND(업무일지!$F766=$B$4,업무일지!$B766&lt;&gt;""),업무일지!$B766*10000+762,"")</f>
        <v/>
      </c>
      <c r="BH762">
        <f>IF(AND(일일실시사항!$G766=$B$4,일일실시사항!$B766&lt;&gt;""),일일실시사항!$B766*10000+762,"")</f>
        <v/>
      </c>
    </row>
    <row r="763">
      <c r="BF763">
        <f>IF(AND(업무일지!$F767=$B$4,업무일지!$B767&lt;&gt;""),업무일지!$B767*10000+763,"")</f>
        <v/>
      </c>
      <c r="BH763">
        <f>IF(AND(일일실시사항!$G767=$B$4,일일실시사항!$B767&lt;&gt;""),일일실시사항!$B767*10000+763,"")</f>
        <v/>
      </c>
    </row>
    <row r="764">
      <c r="BF764">
        <f>IF(AND(업무일지!$F768=$B$4,업무일지!$B768&lt;&gt;""),업무일지!$B768*10000+764,"")</f>
        <v/>
      </c>
      <c r="BH764">
        <f>IF(AND(일일실시사항!$G768=$B$4,일일실시사항!$B768&lt;&gt;""),일일실시사항!$B768*10000+764,"")</f>
        <v/>
      </c>
    </row>
    <row r="765">
      <c r="BF765">
        <f>IF(AND(업무일지!$F769=$B$4,업무일지!$B769&lt;&gt;""),업무일지!$B769*10000+765,"")</f>
        <v/>
      </c>
      <c r="BH765">
        <f>IF(AND(일일실시사항!$G769=$B$4,일일실시사항!$B769&lt;&gt;""),일일실시사항!$B769*10000+765,"")</f>
        <v/>
      </c>
    </row>
    <row r="766">
      <c r="BF766">
        <f>IF(AND(업무일지!$F770=$B$4,업무일지!$B770&lt;&gt;""),업무일지!$B770*10000+766,"")</f>
        <v/>
      </c>
      <c r="BH766">
        <f>IF(AND(일일실시사항!$G770=$B$4,일일실시사항!$B770&lt;&gt;""),일일실시사항!$B770*10000+766,"")</f>
        <v/>
      </c>
    </row>
    <row r="767">
      <c r="BF767">
        <f>IF(AND(업무일지!$F771=$B$4,업무일지!$B771&lt;&gt;""),업무일지!$B771*10000+767,"")</f>
        <v/>
      </c>
      <c r="BH767">
        <f>IF(AND(일일실시사항!$G771=$B$4,일일실시사항!$B771&lt;&gt;""),일일실시사항!$B771*10000+767,"")</f>
        <v/>
      </c>
    </row>
    <row r="768">
      <c r="BF768">
        <f>IF(AND(업무일지!$F772=$B$4,업무일지!$B772&lt;&gt;""),업무일지!$B772*10000+768,"")</f>
        <v/>
      </c>
      <c r="BH768">
        <f>IF(AND(일일실시사항!$G772=$B$4,일일실시사항!$B772&lt;&gt;""),일일실시사항!$B772*10000+768,"")</f>
        <v/>
      </c>
    </row>
    <row r="769">
      <c r="BF769">
        <f>IF(AND(업무일지!$F773=$B$4,업무일지!$B773&lt;&gt;""),업무일지!$B773*10000+769,"")</f>
        <v/>
      </c>
      <c r="BH769">
        <f>IF(AND(일일실시사항!$G773=$B$4,일일실시사항!$B773&lt;&gt;""),일일실시사항!$B773*10000+769,"")</f>
        <v/>
      </c>
    </row>
    <row r="770">
      <c r="BF770">
        <f>IF(AND(업무일지!$F774=$B$4,업무일지!$B774&lt;&gt;""),업무일지!$B774*10000+770,"")</f>
        <v/>
      </c>
      <c r="BH770">
        <f>IF(AND(일일실시사항!$G774=$B$4,일일실시사항!$B774&lt;&gt;""),일일실시사항!$B774*10000+770,"")</f>
        <v/>
      </c>
    </row>
    <row r="771">
      <c r="BF771">
        <f>IF(AND(업무일지!$F775=$B$4,업무일지!$B775&lt;&gt;""),업무일지!$B775*10000+771,"")</f>
        <v/>
      </c>
      <c r="BH771">
        <f>IF(AND(일일실시사항!$G775=$B$4,일일실시사항!$B775&lt;&gt;""),일일실시사항!$B775*10000+771,"")</f>
        <v/>
      </c>
    </row>
    <row r="772">
      <c r="BF772">
        <f>IF(AND(업무일지!$F776=$B$4,업무일지!$B776&lt;&gt;""),업무일지!$B776*10000+772,"")</f>
        <v/>
      </c>
      <c r="BH772">
        <f>IF(AND(일일실시사항!$G776=$B$4,일일실시사항!$B776&lt;&gt;""),일일실시사항!$B776*10000+772,"")</f>
        <v/>
      </c>
    </row>
    <row r="773">
      <c r="BF773">
        <f>IF(AND(업무일지!$F777=$B$4,업무일지!$B777&lt;&gt;""),업무일지!$B777*10000+773,"")</f>
        <v/>
      </c>
      <c r="BH773">
        <f>IF(AND(일일실시사항!$G777=$B$4,일일실시사항!$B777&lt;&gt;""),일일실시사항!$B777*10000+773,"")</f>
        <v/>
      </c>
    </row>
    <row r="774">
      <c r="BF774">
        <f>IF(AND(업무일지!$F778=$B$4,업무일지!$B778&lt;&gt;""),업무일지!$B778*10000+774,"")</f>
        <v/>
      </c>
      <c r="BH774">
        <f>IF(AND(일일실시사항!$G778=$B$4,일일실시사항!$B778&lt;&gt;""),일일실시사항!$B778*10000+774,"")</f>
        <v/>
      </c>
    </row>
    <row r="775">
      <c r="BF775">
        <f>IF(AND(업무일지!$F779=$B$4,업무일지!$B779&lt;&gt;""),업무일지!$B779*10000+775,"")</f>
        <v/>
      </c>
      <c r="BH775">
        <f>IF(AND(일일실시사항!$G779=$B$4,일일실시사항!$B779&lt;&gt;""),일일실시사항!$B779*10000+775,"")</f>
        <v/>
      </c>
    </row>
    <row r="776">
      <c r="BF776">
        <f>IF(AND(업무일지!$F780=$B$4,업무일지!$B780&lt;&gt;""),업무일지!$B780*10000+776,"")</f>
        <v/>
      </c>
      <c r="BH776">
        <f>IF(AND(일일실시사항!$G780=$B$4,일일실시사항!$B780&lt;&gt;""),일일실시사항!$B780*10000+776,"")</f>
        <v/>
      </c>
    </row>
    <row r="777">
      <c r="BF777">
        <f>IF(AND(업무일지!$F781=$B$4,업무일지!$B781&lt;&gt;""),업무일지!$B781*10000+777,"")</f>
        <v/>
      </c>
      <c r="BH777">
        <f>IF(AND(일일실시사항!$G781=$B$4,일일실시사항!$B781&lt;&gt;""),일일실시사항!$B781*10000+777,"")</f>
        <v/>
      </c>
    </row>
    <row r="778">
      <c r="BF778">
        <f>IF(AND(업무일지!$F782=$B$4,업무일지!$B782&lt;&gt;""),업무일지!$B782*10000+778,"")</f>
        <v/>
      </c>
      <c r="BH778">
        <f>IF(AND(일일실시사항!$G782=$B$4,일일실시사항!$B782&lt;&gt;""),일일실시사항!$B782*10000+778,"")</f>
        <v/>
      </c>
    </row>
    <row r="779">
      <c r="BF779">
        <f>IF(AND(업무일지!$F783=$B$4,업무일지!$B783&lt;&gt;""),업무일지!$B783*10000+779,"")</f>
        <v/>
      </c>
      <c r="BH779">
        <f>IF(AND(일일실시사항!$G783=$B$4,일일실시사항!$B783&lt;&gt;""),일일실시사항!$B783*10000+779,"")</f>
        <v/>
      </c>
    </row>
    <row r="780">
      <c r="BF780">
        <f>IF(AND(업무일지!$F784=$B$4,업무일지!$B784&lt;&gt;""),업무일지!$B784*10000+780,"")</f>
        <v/>
      </c>
      <c r="BH780">
        <f>IF(AND(일일실시사항!$G784=$B$4,일일실시사항!$B784&lt;&gt;""),일일실시사항!$B784*10000+780,"")</f>
        <v/>
      </c>
    </row>
    <row r="781">
      <c r="BF781">
        <f>IF(AND(업무일지!$F785=$B$4,업무일지!$B785&lt;&gt;""),업무일지!$B785*10000+781,"")</f>
        <v/>
      </c>
      <c r="BH781">
        <f>IF(AND(일일실시사항!$G785=$B$4,일일실시사항!$B785&lt;&gt;""),일일실시사항!$B785*10000+781,"")</f>
        <v/>
      </c>
    </row>
    <row r="782">
      <c r="BF782">
        <f>IF(AND(업무일지!$F786=$B$4,업무일지!$B786&lt;&gt;""),업무일지!$B786*10000+782,"")</f>
        <v/>
      </c>
      <c r="BH782">
        <f>IF(AND(일일실시사항!$G786=$B$4,일일실시사항!$B786&lt;&gt;""),일일실시사항!$B786*10000+782,"")</f>
        <v/>
      </c>
    </row>
    <row r="783">
      <c r="BF783">
        <f>IF(AND(업무일지!$F787=$B$4,업무일지!$B787&lt;&gt;""),업무일지!$B787*10000+783,"")</f>
        <v/>
      </c>
      <c r="BH783">
        <f>IF(AND(일일실시사항!$G787=$B$4,일일실시사항!$B787&lt;&gt;""),일일실시사항!$B787*10000+783,"")</f>
        <v/>
      </c>
    </row>
    <row r="784">
      <c r="BF784">
        <f>IF(AND(업무일지!$F788=$B$4,업무일지!$B788&lt;&gt;""),업무일지!$B788*10000+784,"")</f>
        <v/>
      </c>
      <c r="BH784">
        <f>IF(AND(일일실시사항!$G788=$B$4,일일실시사항!$B788&lt;&gt;""),일일실시사항!$B788*10000+784,"")</f>
        <v/>
      </c>
    </row>
    <row r="785">
      <c r="BF785">
        <f>IF(AND(업무일지!$F789=$B$4,업무일지!$B789&lt;&gt;""),업무일지!$B789*10000+785,"")</f>
        <v/>
      </c>
      <c r="BH785">
        <f>IF(AND(일일실시사항!$G789=$B$4,일일실시사항!$B789&lt;&gt;""),일일실시사항!$B789*10000+785,"")</f>
        <v/>
      </c>
    </row>
    <row r="786">
      <c r="BF786">
        <f>IF(AND(업무일지!$F790=$B$4,업무일지!$B790&lt;&gt;""),업무일지!$B790*10000+786,"")</f>
        <v/>
      </c>
      <c r="BH786">
        <f>IF(AND(일일실시사항!$G790=$B$4,일일실시사항!$B790&lt;&gt;""),일일실시사항!$B790*10000+786,"")</f>
        <v/>
      </c>
    </row>
    <row r="787">
      <c r="BF787">
        <f>IF(AND(업무일지!$F791=$B$4,업무일지!$B791&lt;&gt;""),업무일지!$B791*10000+787,"")</f>
        <v/>
      </c>
      <c r="BH787">
        <f>IF(AND(일일실시사항!$G791=$B$4,일일실시사항!$B791&lt;&gt;""),일일실시사항!$B791*10000+787,"")</f>
        <v/>
      </c>
    </row>
    <row r="788">
      <c r="BF788">
        <f>IF(AND(업무일지!$F792=$B$4,업무일지!$B792&lt;&gt;""),업무일지!$B792*10000+788,"")</f>
        <v/>
      </c>
      <c r="BH788">
        <f>IF(AND(일일실시사항!$G792=$B$4,일일실시사항!$B792&lt;&gt;""),일일실시사항!$B792*10000+788,"")</f>
        <v/>
      </c>
    </row>
    <row r="789">
      <c r="BF789">
        <f>IF(AND(업무일지!$F793=$B$4,업무일지!$B793&lt;&gt;""),업무일지!$B793*10000+789,"")</f>
        <v/>
      </c>
      <c r="BH789">
        <f>IF(AND(일일실시사항!$G793=$B$4,일일실시사항!$B793&lt;&gt;""),일일실시사항!$B793*10000+789,"")</f>
        <v/>
      </c>
    </row>
    <row r="790">
      <c r="BF790">
        <f>IF(AND(업무일지!$F794=$B$4,업무일지!$B794&lt;&gt;""),업무일지!$B794*10000+790,"")</f>
        <v/>
      </c>
      <c r="BH790">
        <f>IF(AND(일일실시사항!$G794=$B$4,일일실시사항!$B794&lt;&gt;""),일일실시사항!$B794*10000+790,"")</f>
        <v/>
      </c>
    </row>
    <row r="791">
      <c r="BF791">
        <f>IF(AND(업무일지!$F795=$B$4,업무일지!$B795&lt;&gt;""),업무일지!$B795*10000+791,"")</f>
        <v/>
      </c>
      <c r="BH791">
        <f>IF(AND(일일실시사항!$G795=$B$4,일일실시사항!$B795&lt;&gt;""),일일실시사항!$B795*10000+791,"")</f>
        <v/>
      </c>
    </row>
    <row r="792">
      <c r="BF792">
        <f>IF(AND(업무일지!$F796=$B$4,업무일지!$B796&lt;&gt;""),업무일지!$B796*10000+792,"")</f>
        <v/>
      </c>
      <c r="BH792">
        <f>IF(AND(일일실시사항!$G796=$B$4,일일실시사항!$B796&lt;&gt;""),일일실시사항!$B796*10000+792,"")</f>
        <v/>
      </c>
    </row>
    <row r="793">
      <c r="BF793">
        <f>IF(AND(업무일지!$F797=$B$4,업무일지!$B797&lt;&gt;""),업무일지!$B797*10000+793,"")</f>
        <v/>
      </c>
      <c r="BH793">
        <f>IF(AND(일일실시사항!$G797=$B$4,일일실시사항!$B797&lt;&gt;""),일일실시사항!$B797*10000+793,"")</f>
        <v/>
      </c>
    </row>
    <row r="794">
      <c r="BF794">
        <f>IF(AND(업무일지!$F798=$B$4,업무일지!$B798&lt;&gt;""),업무일지!$B798*10000+794,"")</f>
        <v/>
      </c>
      <c r="BH794">
        <f>IF(AND(일일실시사항!$G798=$B$4,일일실시사항!$B798&lt;&gt;""),일일실시사항!$B798*10000+794,"")</f>
        <v/>
      </c>
    </row>
    <row r="795">
      <c r="BF795">
        <f>IF(AND(업무일지!$F799=$B$4,업무일지!$B799&lt;&gt;""),업무일지!$B799*10000+795,"")</f>
        <v/>
      </c>
      <c r="BH795">
        <f>IF(AND(일일실시사항!$G799=$B$4,일일실시사항!$B799&lt;&gt;""),일일실시사항!$B799*10000+795,"")</f>
        <v/>
      </c>
    </row>
    <row r="796">
      <c r="BF796">
        <f>IF(AND(업무일지!$F800=$B$4,업무일지!$B800&lt;&gt;""),업무일지!$B800*10000+796,"")</f>
        <v/>
      </c>
      <c r="BH796">
        <f>IF(AND(일일실시사항!$G800=$B$4,일일실시사항!$B800&lt;&gt;""),일일실시사항!$B800*10000+796,"")</f>
        <v/>
      </c>
    </row>
    <row r="797">
      <c r="BF797">
        <f>IF(AND(업무일지!$F801=$B$4,업무일지!$B801&lt;&gt;""),업무일지!$B801*10000+797,"")</f>
        <v/>
      </c>
      <c r="BH797">
        <f>IF(AND(일일실시사항!$G801=$B$4,일일실시사항!$B801&lt;&gt;""),일일실시사항!$B801*10000+797,"")</f>
        <v/>
      </c>
    </row>
    <row r="798">
      <c r="BF798">
        <f>IF(AND(업무일지!$F802=$B$4,업무일지!$B802&lt;&gt;""),업무일지!$B802*10000+798,"")</f>
        <v/>
      </c>
      <c r="BH798">
        <f>IF(AND(일일실시사항!$G802=$B$4,일일실시사항!$B802&lt;&gt;""),일일실시사항!$B802*10000+798,"")</f>
        <v/>
      </c>
    </row>
    <row r="799">
      <c r="BF799">
        <f>IF(AND(업무일지!$F803=$B$4,업무일지!$B803&lt;&gt;""),업무일지!$B803*10000+799,"")</f>
        <v/>
      </c>
      <c r="BH799">
        <f>IF(AND(일일실시사항!$G803=$B$4,일일실시사항!$B803&lt;&gt;""),일일실시사항!$B803*10000+799,"")</f>
        <v/>
      </c>
    </row>
    <row r="800">
      <c r="BF800">
        <f>IF(AND(업무일지!$F804=$B$4,업무일지!$B804&lt;&gt;""),업무일지!$B804*10000+800,"")</f>
        <v/>
      </c>
      <c r="BH800">
        <f>IF(AND(일일실시사항!$G804=$B$4,일일실시사항!$B804&lt;&gt;""),일일실시사항!$B804*10000+800,"")</f>
        <v/>
      </c>
    </row>
    <row r="801">
      <c r="BF801">
        <f>IF(AND(업무일지!$F805=$B$4,업무일지!$B805&lt;&gt;""),업무일지!$B805*10000+801,"")</f>
        <v/>
      </c>
      <c r="BH801">
        <f>IF(AND(일일실시사항!$G805=$B$4,일일실시사항!$B805&lt;&gt;""),일일실시사항!$B805*10000+801,"")</f>
        <v/>
      </c>
    </row>
    <row r="802">
      <c r="BF802">
        <f>IF(AND(업무일지!$F806=$B$4,업무일지!$B806&lt;&gt;""),업무일지!$B806*10000+802,"")</f>
        <v/>
      </c>
      <c r="BH802">
        <f>IF(AND(일일실시사항!$G806=$B$4,일일실시사항!$B806&lt;&gt;""),일일실시사항!$B806*10000+802,"")</f>
        <v/>
      </c>
    </row>
    <row r="803">
      <c r="BF803">
        <f>IF(AND(업무일지!$F807=$B$4,업무일지!$B807&lt;&gt;""),업무일지!$B807*10000+803,"")</f>
        <v/>
      </c>
      <c r="BH803">
        <f>IF(AND(일일실시사항!$G807=$B$4,일일실시사항!$B807&lt;&gt;""),일일실시사항!$B807*10000+803,"")</f>
        <v/>
      </c>
    </row>
    <row r="804">
      <c r="BF804">
        <f>IF(AND(업무일지!$F808=$B$4,업무일지!$B808&lt;&gt;""),업무일지!$B808*10000+804,"")</f>
        <v/>
      </c>
      <c r="BH804">
        <f>IF(AND(일일실시사항!$G808=$B$4,일일실시사항!$B808&lt;&gt;""),일일실시사항!$B808*10000+804,"")</f>
        <v/>
      </c>
    </row>
    <row r="805">
      <c r="BF805">
        <f>IF(AND(업무일지!$F809=$B$4,업무일지!$B809&lt;&gt;""),업무일지!$B809*10000+805,"")</f>
        <v/>
      </c>
      <c r="BH805">
        <f>IF(AND(일일실시사항!$G809=$B$4,일일실시사항!$B809&lt;&gt;""),일일실시사항!$B809*10000+805,"")</f>
        <v/>
      </c>
    </row>
    <row r="806">
      <c r="BF806">
        <f>IF(AND(업무일지!$F810=$B$4,업무일지!$B810&lt;&gt;""),업무일지!$B810*10000+806,"")</f>
        <v/>
      </c>
      <c r="BH806">
        <f>IF(AND(일일실시사항!$G810=$B$4,일일실시사항!$B810&lt;&gt;""),일일실시사항!$B810*10000+806,"")</f>
        <v/>
      </c>
    </row>
    <row r="807">
      <c r="BF807">
        <f>IF(AND(업무일지!$F811=$B$4,업무일지!$B811&lt;&gt;""),업무일지!$B811*10000+807,"")</f>
        <v/>
      </c>
      <c r="BH807">
        <f>IF(AND(일일실시사항!$G811=$B$4,일일실시사항!$B811&lt;&gt;""),일일실시사항!$B811*10000+807,"")</f>
        <v/>
      </c>
    </row>
    <row r="808">
      <c r="BF808">
        <f>IF(AND(업무일지!$F812=$B$4,업무일지!$B812&lt;&gt;""),업무일지!$B812*10000+808,"")</f>
        <v/>
      </c>
      <c r="BH808">
        <f>IF(AND(일일실시사항!$G812=$B$4,일일실시사항!$B812&lt;&gt;""),일일실시사항!$B812*10000+808,"")</f>
        <v/>
      </c>
    </row>
    <row r="809">
      <c r="BF809">
        <f>IF(AND(업무일지!$F813=$B$4,업무일지!$B813&lt;&gt;""),업무일지!$B813*10000+809,"")</f>
        <v/>
      </c>
      <c r="BH809">
        <f>IF(AND(일일실시사항!$G813=$B$4,일일실시사항!$B813&lt;&gt;""),일일실시사항!$B813*10000+809,"")</f>
        <v/>
      </c>
    </row>
    <row r="810">
      <c r="BF810">
        <f>IF(AND(업무일지!$F814=$B$4,업무일지!$B814&lt;&gt;""),업무일지!$B814*10000+810,"")</f>
        <v/>
      </c>
      <c r="BH810">
        <f>IF(AND(일일실시사항!$G814=$B$4,일일실시사항!$B814&lt;&gt;""),일일실시사항!$B814*10000+810,"")</f>
        <v/>
      </c>
    </row>
    <row r="811">
      <c r="BF811">
        <f>IF(AND(업무일지!$F815=$B$4,업무일지!$B815&lt;&gt;""),업무일지!$B815*10000+811,"")</f>
        <v/>
      </c>
      <c r="BH811">
        <f>IF(AND(일일실시사항!$G815=$B$4,일일실시사항!$B815&lt;&gt;""),일일실시사항!$B815*10000+811,"")</f>
        <v/>
      </c>
    </row>
    <row r="812">
      <c r="BF812">
        <f>IF(AND(업무일지!$F816=$B$4,업무일지!$B816&lt;&gt;""),업무일지!$B816*10000+812,"")</f>
        <v/>
      </c>
      <c r="BH812">
        <f>IF(AND(일일실시사항!$G816=$B$4,일일실시사항!$B816&lt;&gt;""),일일실시사항!$B816*10000+812,"")</f>
        <v/>
      </c>
    </row>
    <row r="813">
      <c r="BF813">
        <f>IF(AND(업무일지!$F817=$B$4,업무일지!$B817&lt;&gt;""),업무일지!$B817*10000+813,"")</f>
        <v/>
      </c>
      <c r="BH813">
        <f>IF(AND(일일실시사항!$G817=$B$4,일일실시사항!$B817&lt;&gt;""),일일실시사항!$B817*10000+813,"")</f>
        <v/>
      </c>
    </row>
    <row r="814">
      <c r="BF814">
        <f>IF(AND(업무일지!$F818=$B$4,업무일지!$B818&lt;&gt;""),업무일지!$B818*10000+814,"")</f>
        <v/>
      </c>
      <c r="BH814">
        <f>IF(AND(일일실시사항!$G818=$B$4,일일실시사항!$B818&lt;&gt;""),일일실시사항!$B818*10000+814,"")</f>
        <v/>
      </c>
    </row>
    <row r="815">
      <c r="BF815">
        <f>IF(AND(업무일지!$F819=$B$4,업무일지!$B819&lt;&gt;""),업무일지!$B819*10000+815,"")</f>
        <v/>
      </c>
      <c r="BH815">
        <f>IF(AND(일일실시사항!$G819=$B$4,일일실시사항!$B819&lt;&gt;""),일일실시사항!$B819*10000+815,"")</f>
        <v/>
      </c>
    </row>
    <row r="816">
      <c r="BF816">
        <f>IF(AND(업무일지!$F820=$B$4,업무일지!$B820&lt;&gt;""),업무일지!$B820*10000+816,"")</f>
        <v/>
      </c>
      <c r="BH816">
        <f>IF(AND(일일실시사항!$G820=$B$4,일일실시사항!$B820&lt;&gt;""),일일실시사항!$B820*10000+816,"")</f>
        <v/>
      </c>
    </row>
    <row r="817">
      <c r="BF817">
        <f>IF(AND(업무일지!$F821=$B$4,업무일지!$B821&lt;&gt;""),업무일지!$B821*10000+817,"")</f>
        <v/>
      </c>
      <c r="BH817">
        <f>IF(AND(일일실시사항!$G821=$B$4,일일실시사항!$B821&lt;&gt;""),일일실시사항!$B821*10000+817,"")</f>
        <v/>
      </c>
    </row>
    <row r="818">
      <c r="BF818">
        <f>IF(AND(업무일지!$F822=$B$4,업무일지!$B822&lt;&gt;""),업무일지!$B822*10000+818,"")</f>
        <v/>
      </c>
      <c r="BH818">
        <f>IF(AND(일일실시사항!$G822=$B$4,일일실시사항!$B822&lt;&gt;""),일일실시사항!$B822*10000+818,"")</f>
        <v/>
      </c>
    </row>
    <row r="819">
      <c r="BF819">
        <f>IF(AND(업무일지!$F823=$B$4,업무일지!$B823&lt;&gt;""),업무일지!$B823*10000+819,"")</f>
        <v/>
      </c>
      <c r="BH819">
        <f>IF(AND(일일실시사항!$G823=$B$4,일일실시사항!$B823&lt;&gt;""),일일실시사항!$B823*10000+819,"")</f>
        <v/>
      </c>
    </row>
    <row r="820">
      <c r="BF820">
        <f>IF(AND(업무일지!$F824=$B$4,업무일지!$B824&lt;&gt;""),업무일지!$B824*10000+820,"")</f>
        <v/>
      </c>
      <c r="BH820">
        <f>IF(AND(일일실시사항!$G824=$B$4,일일실시사항!$B824&lt;&gt;""),일일실시사항!$B824*10000+820,"")</f>
        <v/>
      </c>
    </row>
    <row r="821">
      <c r="BF821">
        <f>IF(AND(업무일지!$F825=$B$4,업무일지!$B825&lt;&gt;""),업무일지!$B825*10000+821,"")</f>
        <v/>
      </c>
      <c r="BH821">
        <f>IF(AND(일일실시사항!$G825=$B$4,일일실시사항!$B825&lt;&gt;""),일일실시사항!$B825*10000+821,"")</f>
        <v/>
      </c>
    </row>
    <row r="822">
      <c r="BF822">
        <f>IF(AND(업무일지!$F826=$B$4,업무일지!$B826&lt;&gt;""),업무일지!$B826*10000+822,"")</f>
        <v/>
      </c>
      <c r="BH822">
        <f>IF(AND(일일실시사항!$G826=$B$4,일일실시사항!$B826&lt;&gt;""),일일실시사항!$B826*10000+822,"")</f>
        <v/>
      </c>
    </row>
    <row r="823">
      <c r="BF823">
        <f>IF(AND(업무일지!$F827=$B$4,업무일지!$B827&lt;&gt;""),업무일지!$B827*10000+823,"")</f>
        <v/>
      </c>
      <c r="BH823">
        <f>IF(AND(일일실시사항!$G827=$B$4,일일실시사항!$B827&lt;&gt;""),일일실시사항!$B827*10000+823,"")</f>
        <v/>
      </c>
    </row>
    <row r="824">
      <c r="BF824">
        <f>IF(AND(업무일지!$F828=$B$4,업무일지!$B828&lt;&gt;""),업무일지!$B828*10000+824,"")</f>
        <v/>
      </c>
      <c r="BH824">
        <f>IF(AND(일일실시사항!$G828=$B$4,일일실시사항!$B828&lt;&gt;""),일일실시사항!$B828*10000+824,"")</f>
        <v/>
      </c>
    </row>
    <row r="825">
      <c r="BF825">
        <f>IF(AND(업무일지!$F829=$B$4,업무일지!$B829&lt;&gt;""),업무일지!$B829*10000+825,"")</f>
        <v/>
      </c>
      <c r="BH825">
        <f>IF(AND(일일실시사항!$G829=$B$4,일일실시사항!$B829&lt;&gt;""),일일실시사항!$B829*10000+825,"")</f>
        <v/>
      </c>
    </row>
    <row r="826">
      <c r="BF826">
        <f>IF(AND(업무일지!$F830=$B$4,업무일지!$B830&lt;&gt;""),업무일지!$B830*10000+826,"")</f>
        <v/>
      </c>
      <c r="BH826">
        <f>IF(AND(일일실시사항!$G830=$B$4,일일실시사항!$B830&lt;&gt;""),일일실시사항!$B830*10000+826,"")</f>
        <v/>
      </c>
    </row>
    <row r="827">
      <c r="BF827">
        <f>IF(AND(업무일지!$F831=$B$4,업무일지!$B831&lt;&gt;""),업무일지!$B831*10000+827,"")</f>
        <v/>
      </c>
      <c r="BH827">
        <f>IF(AND(일일실시사항!$G831=$B$4,일일실시사항!$B831&lt;&gt;""),일일실시사항!$B831*10000+827,"")</f>
        <v/>
      </c>
    </row>
    <row r="828">
      <c r="BF828">
        <f>IF(AND(업무일지!$F832=$B$4,업무일지!$B832&lt;&gt;""),업무일지!$B832*10000+828,"")</f>
        <v/>
      </c>
      <c r="BH828">
        <f>IF(AND(일일실시사항!$G832=$B$4,일일실시사항!$B832&lt;&gt;""),일일실시사항!$B832*10000+828,"")</f>
        <v/>
      </c>
    </row>
    <row r="829">
      <c r="BF829">
        <f>IF(AND(업무일지!$F833=$B$4,업무일지!$B833&lt;&gt;""),업무일지!$B833*10000+829,"")</f>
        <v/>
      </c>
      <c r="BH829">
        <f>IF(AND(일일실시사항!$G833=$B$4,일일실시사항!$B833&lt;&gt;""),일일실시사항!$B833*10000+829,"")</f>
        <v/>
      </c>
    </row>
    <row r="830">
      <c r="BF830">
        <f>IF(AND(업무일지!$F834=$B$4,업무일지!$B834&lt;&gt;""),업무일지!$B834*10000+830,"")</f>
        <v/>
      </c>
      <c r="BH830">
        <f>IF(AND(일일실시사항!$G834=$B$4,일일실시사항!$B834&lt;&gt;""),일일실시사항!$B834*10000+830,"")</f>
        <v/>
      </c>
    </row>
    <row r="831">
      <c r="BF831">
        <f>IF(AND(업무일지!$F835=$B$4,업무일지!$B835&lt;&gt;""),업무일지!$B835*10000+831,"")</f>
        <v/>
      </c>
      <c r="BH831">
        <f>IF(AND(일일실시사항!$G835=$B$4,일일실시사항!$B835&lt;&gt;""),일일실시사항!$B835*10000+831,"")</f>
        <v/>
      </c>
    </row>
    <row r="832">
      <c r="BF832">
        <f>IF(AND(업무일지!$F836=$B$4,업무일지!$B836&lt;&gt;""),업무일지!$B836*10000+832,"")</f>
        <v/>
      </c>
      <c r="BH832">
        <f>IF(AND(일일실시사항!$G836=$B$4,일일실시사항!$B836&lt;&gt;""),일일실시사항!$B836*10000+832,"")</f>
        <v/>
      </c>
    </row>
    <row r="833">
      <c r="BF833">
        <f>IF(AND(업무일지!$F837=$B$4,업무일지!$B837&lt;&gt;""),업무일지!$B837*10000+833,"")</f>
        <v/>
      </c>
      <c r="BH833">
        <f>IF(AND(일일실시사항!$G837=$B$4,일일실시사항!$B837&lt;&gt;""),일일실시사항!$B837*10000+833,"")</f>
        <v/>
      </c>
    </row>
    <row r="834">
      <c r="BF834">
        <f>IF(AND(업무일지!$F838=$B$4,업무일지!$B838&lt;&gt;""),업무일지!$B838*10000+834,"")</f>
        <v/>
      </c>
      <c r="BH834">
        <f>IF(AND(일일실시사항!$G838=$B$4,일일실시사항!$B838&lt;&gt;""),일일실시사항!$B838*10000+834,"")</f>
        <v/>
      </c>
    </row>
    <row r="835">
      <c r="BF835">
        <f>IF(AND(업무일지!$F839=$B$4,업무일지!$B839&lt;&gt;""),업무일지!$B839*10000+835,"")</f>
        <v/>
      </c>
      <c r="BH835">
        <f>IF(AND(일일실시사항!$G839=$B$4,일일실시사항!$B839&lt;&gt;""),일일실시사항!$B839*10000+835,"")</f>
        <v/>
      </c>
    </row>
    <row r="836">
      <c r="BF836">
        <f>IF(AND(업무일지!$F840=$B$4,업무일지!$B840&lt;&gt;""),업무일지!$B840*10000+836,"")</f>
        <v/>
      </c>
      <c r="BH836">
        <f>IF(AND(일일실시사항!$G840=$B$4,일일실시사항!$B840&lt;&gt;""),일일실시사항!$B840*10000+836,"")</f>
        <v/>
      </c>
    </row>
    <row r="837">
      <c r="BF837">
        <f>IF(AND(업무일지!$F841=$B$4,업무일지!$B841&lt;&gt;""),업무일지!$B841*10000+837,"")</f>
        <v/>
      </c>
      <c r="BH837">
        <f>IF(AND(일일실시사항!$G841=$B$4,일일실시사항!$B841&lt;&gt;""),일일실시사항!$B841*10000+837,"")</f>
        <v/>
      </c>
    </row>
    <row r="838">
      <c r="BF838">
        <f>IF(AND(업무일지!$F842=$B$4,업무일지!$B842&lt;&gt;""),업무일지!$B842*10000+838,"")</f>
        <v/>
      </c>
      <c r="BH838">
        <f>IF(AND(일일실시사항!$G842=$B$4,일일실시사항!$B842&lt;&gt;""),일일실시사항!$B842*10000+838,"")</f>
        <v/>
      </c>
    </row>
    <row r="839">
      <c r="BF839">
        <f>IF(AND(업무일지!$F843=$B$4,업무일지!$B843&lt;&gt;""),업무일지!$B843*10000+839,"")</f>
        <v/>
      </c>
      <c r="BH839">
        <f>IF(AND(일일실시사항!$G843=$B$4,일일실시사항!$B843&lt;&gt;""),일일실시사항!$B843*10000+839,"")</f>
        <v/>
      </c>
    </row>
    <row r="840">
      <c r="BF840">
        <f>IF(AND(업무일지!$F844=$B$4,업무일지!$B844&lt;&gt;""),업무일지!$B844*10000+840,"")</f>
        <v/>
      </c>
      <c r="BH840">
        <f>IF(AND(일일실시사항!$G844=$B$4,일일실시사항!$B844&lt;&gt;""),일일실시사항!$B844*10000+840,"")</f>
        <v/>
      </c>
    </row>
    <row r="841">
      <c r="BF841">
        <f>IF(AND(업무일지!$F845=$B$4,업무일지!$B845&lt;&gt;""),업무일지!$B845*10000+841,"")</f>
        <v/>
      </c>
      <c r="BH841">
        <f>IF(AND(일일실시사항!$G845=$B$4,일일실시사항!$B845&lt;&gt;""),일일실시사항!$B845*10000+841,"")</f>
        <v/>
      </c>
    </row>
    <row r="842">
      <c r="BF842">
        <f>IF(AND(업무일지!$F846=$B$4,업무일지!$B846&lt;&gt;""),업무일지!$B846*10000+842,"")</f>
        <v/>
      </c>
      <c r="BH842">
        <f>IF(AND(일일실시사항!$G846=$B$4,일일실시사항!$B846&lt;&gt;""),일일실시사항!$B846*10000+842,"")</f>
        <v/>
      </c>
    </row>
    <row r="843">
      <c r="BF843">
        <f>IF(AND(업무일지!$F847=$B$4,업무일지!$B847&lt;&gt;""),업무일지!$B847*10000+843,"")</f>
        <v/>
      </c>
      <c r="BH843">
        <f>IF(AND(일일실시사항!$G847=$B$4,일일실시사항!$B847&lt;&gt;""),일일실시사항!$B847*10000+843,"")</f>
        <v/>
      </c>
    </row>
    <row r="844">
      <c r="BF844">
        <f>IF(AND(업무일지!$F848=$B$4,업무일지!$B848&lt;&gt;""),업무일지!$B848*10000+844,"")</f>
        <v/>
      </c>
      <c r="BH844">
        <f>IF(AND(일일실시사항!$G848=$B$4,일일실시사항!$B848&lt;&gt;""),일일실시사항!$B848*10000+844,"")</f>
        <v/>
      </c>
    </row>
    <row r="845">
      <c r="BF845">
        <f>IF(AND(업무일지!$F849=$B$4,업무일지!$B849&lt;&gt;""),업무일지!$B849*10000+845,"")</f>
        <v/>
      </c>
      <c r="BH845">
        <f>IF(AND(일일실시사항!$G849=$B$4,일일실시사항!$B849&lt;&gt;""),일일실시사항!$B849*10000+845,"")</f>
        <v/>
      </c>
    </row>
    <row r="846">
      <c r="BF846">
        <f>IF(AND(업무일지!$F850=$B$4,업무일지!$B850&lt;&gt;""),업무일지!$B850*10000+846,"")</f>
        <v/>
      </c>
      <c r="BH846">
        <f>IF(AND(일일실시사항!$G850=$B$4,일일실시사항!$B850&lt;&gt;""),일일실시사항!$B850*10000+846,"")</f>
        <v/>
      </c>
    </row>
    <row r="847">
      <c r="BF847">
        <f>IF(AND(업무일지!$F851=$B$4,업무일지!$B851&lt;&gt;""),업무일지!$B851*10000+847,"")</f>
        <v/>
      </c>
      <c r="BH847">
        <f>IF(AND(일일실시사항!$G851=$B$4,일일실시사항!$B851&lt;&gt;""),일일실시사항!$B851*10000+847,"")</f>
        <v/>
      </c>
    </row>
    <row r="848">
      <c r="BF848">
        <f>IF(AND(업무일지!$F852=$B$4,업무일지!$B852&lt;&gt;""),업무일지!$B852*10000+848,"")</f>
        <v/>
      </c>
      <c r="BH848">
        <f>IF(AND(일일실시사항!$G852=$B$4,일일실시사항!$B852&lt;&gt;""),일일실시사항!$B852*10000+848,"")</f>
        <v/>
      </c>
    </row>
    <row r="849">
      <c r="BF849">
        <f>IF(AND(업무일지!$F853=$B$4,업무일지!$B853&lt;&gt;""),업무일지!$B853*10000+849,"")</f>
        <v/>
      </c>
      <c r="BH849">
        <f>IF(AND(일일실시사항!$G853=$B$4,일일실시사항!$B853&lt;&gt;""),일일실시사항!$B853*10000+849,"")</f>
        <v/>
      </c>
    </row>
    <row r="850">
      <c r="BF850">
        <f>IF(AND(업무일지!$F854=$B$4,업무일지!$B854&lt;&gt;""),업무일지!$B854*10000+850,"")</f>
        <v/>
      </c>
      <c r="BH850">
        <f>IF(AND(일일실시사항!$G854=$B$4,일일실시사항!$B854&lt;&gt;""),일일실시사항!$B854*10000+850,"")</f>
        <v/>
      </c>
    </row>
    <row r="851">
      <c r="BF851">
        <f>IF(AND(업무일지!$F855=$B$4,업무일지!$B855&lt;&gt;""),업무일지!$B855*10000+851,"")</f>
        <v/>
      </c>
      <c r="BH851">
        <f>IF(AND(일일실시사항!$G855=$B$4,일일실시사항!$B855&lt;&gt;""),일일실시사항!$B855*10000+851,"")</f>
        <v/>
      </c>
    </row>
    <row r="852">
      <c r="BF852">
        <f>IF(AND(업무일지!$F856=$B$4,업무일지!$B856&lt;&gt;""),업무일지!$B856*10000+852,"")</f>
        <v/>
      </c>
      <c r="BH852">
        <f>IF(AND(일일실시사항!$G856=$B$4,일일실시사항!$B856&lt;&gt;""),일일실시사항!$B856*10000+852,"")</f>
        <v/>
      </c>
    </row>
    <row r="853">
      <c r="BF853">
        <f>IF(AND(업무일지!$F857=$B$4,업무일지!$B857&lt;&gt;""),업무일지!$B857*10000+853,"")</f>
        <v/>
      </c>
      <c r="BH853">
        <f>IF(AND(일일실시사항!$G857=$B$4,일일실시사항!$B857&lt;&gt;""),일일실시사항!$B857*10000+853,"")</f>
        <v/>
      </c>
    </row>
    <row r="854">
      <c r="BF854">
        <f>IF(AND(업무일지!$F858=$B$4,업무일지!$B858&lt;&gt;""),업무일지!$B858*10000+854,"")</f>
        <v/>
      </c>
      <c r="BH854">
        <f>IF(AND(일일실시사항!$G858=$B$4,일일실시사항!$B858&lt;&gt;""),일일실시사항!$B858*10000+854,"")</f>
        <v/>
      </c>
    </row>
    <row r="855">
      <c r="BF855">
        <f>IF(AND(업무일지!$F859=$B$4,업무일지!$B859&lt;&gt;""),업무일지!$B859*10000+855,"")</f>
        <v/>
      </c>
      <c r="BH855">
        <f>IF(AND(일일실시사항!$G859=$B$4,일일실시사항!$B859&lt;&gt;""),일일실시사항!$B859*10000+855,"")</f>
        <v/>
      </c>
    </row>
    <row r="856">
      <c r="BF856">
        <f>IF(AND(업무일지!$F860=$B$4,업무일지!$B860&lt;&gt;""),업무일지!$B860*10000+856,"")</f>
        <v/>
      </c>
      <c r="BH856">
        <f>IF(AND(일일실시사항!$G860=$B$4,일일실시사항!$B860&lt;&gt;""),일일실시사항!$B860*10000+856,"")</f>
        <v/>
      </c>
    </row>
    <row r="857">
      <c r="BF857">
        <f>IF(AND(업무일지!$F861=$B$4,업무일지!$B861&lt;&gt;""),업무일지!$B861*10000+857,"")</f>
        <v/>
      </c>
      <c r="BH857">
        <f>IF(AND(일일실시사항!$G861=$B$4,일일실시사항!$B861&lt;&gt;""),일일실시사항!$B861*10000+857,"")</f>
        <v/>
      </c>
    </row>
    <row r="858">
      <c r="BF858">
        <f>IF(AND(업무일지!$F862=$B$4,업무일지!$B862&lt;&gt;""),업무일지!$B862*10000+858,"")</f>
        <v/>
      </c>
      <c r="BH858">
        <f>IF(AND(일일실시사항!$G862=$B$4,일일실시사항!$B862&lt;&gt;""),일일실시사항!$B862*10000+858,"")</f>
        <v/>
      </c>
    </row>
    <row r="859">
      <c r="BF859">
        <f>IF(AND(업무일지!$F863=$B$4,업무일지!$B863&lt;&gt;""),업무일지!$B863*10000+859,"")</f>
        <v/>
      </c>
      <c r="BH859">
        <f>IF(AND(일일실시사항!$G863=$B$4,일일실시사항!$B863&lt;&gt;""),일일실시사항!$B863*10000+859,"")</f>
        <v/>
      </c>
    </row>
    <row r="860">
      <c r="BF860">
        <f>IF(AND(업무일지!$F864=$B$4,업무일지!$B864&lt;&gt;""),업무일지!$B864*10000+860,"")</f>
        <v/>
      </c>
      <c r="BH860">
        <f>IF(AND(일일실시사항!$G864=$B$4,일일실시사항!$B864&lt;&gt;""),일일실시사항!$B864*10000+860,"")</f>
        <v/>
      </c>
    </row>
    <row r="861">
      <c r="BF861">
        <f>IF(AND(업무일지!$F865=$B$4,업무일지!$B865&lt;&gt;""),업무일지!$B865*10000+861,"")</f>
        <v/>
      </c>
      <c r="BH861">
        <f>IF(AND(일일실시사항!$G865=$B$4,일일실시사항!$B865&lt;&gt;""),일일실시사항!$B865*10000+861,"")</f>
        <v/>
      </c>
    </row>
    <row r="862">
      <c r="BF862">
        <f>IF(AND(업무일지!$F866=$B$4,업무일지!$B866&lt;&gt;""),업무일지!$B866*10000+862,"")</f>
        <v/>
      </c>
      <c r="BH862">
        <f>IF(AND(일일실시사항!$G866=$B$4,일일실시사항!$B866&lt;&gt;""),일일실시사항!$B866*10000+862,"")</f>
        <v/>
      </c>
    </row>
    <row r="863">
      <c r="BF863">
        <f>IF(AND(업무일지!$F867=$B$4,업무일지!$B867&lt;&gt;""),업무일지!$B867*10000+863,"")</f>
        <v/>
      </c>
      <c r="BH863">
        <f>IF(AND(일일실시사항!$G867=$B$4,일일실시사항!$B867&lt;&gt;""),일일실시사항!$B867*10000+863,"")</f>
        <v/>
      </c>
    </row>
    <row r="864">
      <c r="BF864">
        <f>IF(AND(업무일지!$F868=$B$4,업무일지!$B868&lt;&gt;""),업무일지!$B868*10000+864,"")</f>
        <v/>
      </c>
      <c r="BH864">
        <f>IF(AND(일일실시사항!$G868=$B$4,일일실시사항!$B868&lt;&gt;""),일일실시사항!$B868*10000+864,"")</f>
        <v/>
      </c>
    </row>
    <row r="865">
      <c r="BF865">
        <f>IF(AND(업무일지!$F869=$B$4,업무일지!$B869&lt;&gt;""),업무일지!$B869*10000+865,"")</f>
        <v/>
      </c>
      <c r="BH865">
        <f>IF(AND(일일실시사항!$G869=$B$4,일일실시사항!$B869&lt;&gt;""),일일실시사항!$B869*10000+865,"")</f>
        <v/>
      </c>
    </row>
    <row r="866">
      <c r="BF866">
        <f>IF(AND(업무일지!$F870=$B$4,업무일지!$B870&lt;&gt;""),업무일지!$B870*10000+866,"")</f>
        <v/>
      </c>
      <c r="BH866">
        <f>IF(AND(일일실시사항!$G870=$B$4,일일실시사항!$B870&lt;&gt;""),일일실시사항!$B870*10000+866,"")</f>
        <v/>
      </c>
    </row>
    <row r="867">
      <c r="BF867">
        <f>IF(AND(업무일지!$F871=$B$4,업무일지!$B871&lt;&gt;""),업무일지!$B871*10000+867,"")</f>
        <v/>
      </c>
      <c r="BH867">
        <f>IF(AND(일일실시사항!$G871=$B$4,일일실시사항!$B871&lt;&gt;""),일일실시사항!$B871*10000+867,"")</f>
        <v/>
      </c>
    </row>
    <row r="868">
      <c r="BF868">
        <f>IF(AND(업무일지!$F872=$B$4,업무일지!$B872&lt;&gt;""),업무일지!$B872*10000+868,"")</f>
        <v/>
      </c>
      <c r="BH868">
        <f>IF(AND(일일실시사항!$G872=$B$4,일일실시사항!$B872&lt;&gt;""),일일실시사항!$B872*10000+868,"")</f>
        <v/>
      </c>
    </row>
    <row r="869">
      <c r="BF869">
        <f>IF(AND(업무일지!$F873=$B$4,업무일지!$B873&lt;&gt;""),업무일지!$B873*10000+869,"")</f>
        <v/>
      </c>
      <c r="BH869">
        <f>IF(AND(일일실시사항!$G873=$B$4,일일실시사항!$B873&lt;&gt;""),일일실시사항!$B873*10000+869,"")</f>
        <v/>
      </c>
    </row>
    <row r="870">
      <c r="BF870">
        <f>IF(AND(업무일지!$F874=$B$4,업무일지!$B874&lt;&gt;""),업무일지!$B874*10000+870,"")</f>
        <v/>
      </c>
      <c r="BH870">
        <f>IF(AND(일일실시사항!$G874=$B$4,일일실시사항!$B874&lt;&gt;""),일일실시사항!$B874*10000+870,"")</f>
        <v/>
      </c>
    </row>
    <row r="871">
      <c r="BF871">
        <f>IF(AND(업무일지!$F875=$B$4,업무일지!$B875&lt;&gt;""),업무일지!$B875*10000+871,"")</f>
        <v/>
      </c>
      <c r="BH871">
        <f>IF(AND(일일실시사항!$G875=$B$4,일일실시사항!$B875&lt;&gt;""),일일실시사항!$B875*10000+871,"")</f>
        <v/>
      </c>
    </row>
    <row r="872">
      <c r="BF872">
        <f>IF(AND(업무일지!$F876=$B$4,업무일지!$B876&lt;&gt;""),업무일지!$B876*10000+872,"")</f>
        <v/>
      </c>
      <c r="BH872">
        <f>IF(AND(일일실시사항!$G876=$B$4,일일실시사항!$B876&lt;&gt;""),일일실시사항!$B876*10000+872,"")</f>
        <v/>
      </c>
    </row>
    <row r="873">
      <c r="BF873">
        <f>IF(AND(업무일지!$F877=$B$4,업무일지!$B877&lt;&gt;""),업무일지!$B877*10000+873,"")</f>
        <v/>
      </c>
      <c r="BH873">
        <f>IF(AND(일일실시사항!$G877=$B$4,일일실시사항!$B877&lt;&gt;""),일일실시사항!$B877*10000+873,"")</f>
        <v/>
      </c>
    </row>
    <row r="874">
      <c r="BF874">
        <f>IF(AND(업무일지!$F878=$B$4,업무일지!$B878&lt;&gt;""),업무일지!$B878*10000+874,"")</f>
        <v/>
      </c>
      <c r="BH874">
        <f>IF(AND(일일실시사항!$G878=$B$4,일일실시사항!$B878&lt;&gt;""),일일실시사항!$B878*10000+874,"")</f>
        <v/>
      </c>
    </row>
    <row r="875">
      <c r="BF875">
        <f>IF(AND(업무일지!$F879=$B$4,업무일지!$B879&lt;&gt;""),업무일지!$B879*10000+875,"")</f>
        <v/>
      </c>
      <c r="BH875">
        <f>IF(AND(일일실시사항!$G879=$B$4,일일실시사항!$B879&lt;&gt;""),일일실시사항!$B879*10000+875,"")</f>
        <v/>
      </c>
    </row>
    <row r="876">
      <c r="BF876">
        <f>IF(AND(업무일지!$F880=$B$4,업무일지!$B880&lt;&gt;""),업무일지!$B880*10000+876,"")</f>
        <v/>
      </c>
      <c r="BH876">
        <f>IF(AND(일일실시사항!$G880=$B$4,일일실시사항!$B880&lt;&gt;""),일일실시사항!$B880*10000+876,"")</f>
        <v/>
      </c>
    </row>
    <row r="877">
      <c r="BF877">
        <f>IF(AND(업무일지!$F881=$B$4,업무일지!$B881&lt;&gt;""),업무일지!$B881*10000+877,"")</f>
        <v/>
      </c>
      <c r="BH877">
        <f>IF(AND(일일실시사항!$G881=$B$4,일일실시사항!$B881&lt;&gt;""),일일실시사항!$B881*10000+877,"")</f>
        <v/>
      </c>
    </row>
    <row r="878">
      <c r="BF878">
        <f>IF(AND(업무일지!$F882=$B$4,업무일지!$B882&lt;&gt;""),업무일지!$B882*10000+878,"")</f>
        <v/>
      </c>
      <c r="BH878">
        <f>IF(AND(일일실시사항!$G882=$B$4,일일실시사항!$B882&lt;&gt;""),일일실시사항!$B882*10000+878,"")</f>
        <v/>
      </c>
    </row>
    <row r="879">
      <c r="BF879">
        <f>IF(AND(업무일지!$F883=$B$4,업무일지!$B883&lt;&gt;""),업무일지!$B883*10000+879,"")</f>
        <v/>
      </c>
      <c r="BH879">
        <f>IF(AND(일일실시사항!$G883=$B$4,일일실시사항!$B883&lt;&gt;""),일일실시사항!$B883*10000+879,"")</f>
        <v/>
      </c>
    </row>
    <row r="880">
      <c r="BF880">
        <f>IF(AND(업무일지!$F884=$B$4,업무일지!$B884&lt;&gt;""),업무일지!$B884*10000+880,"")</f>
        <v/>
      </c>
      <c r="BH880">
        <f>IF(AND(일일실시사항!$G884=$B$4,일일실시사항!$B884&lt;&gt;""),일일실시사항!$B884*10000+880,"")</f>
        <v/>
      </c>
    </row>
    <row r="881">
      <c r="BF881">
        <f>IF(AND(업무일지!$F885=$B$4,업무일지!$B885&lt;&gt;""),업무일지!$B885*10000+881,"")</f>
        <v/>
      </c>
      <c r="BH881">
        <f>IF(AND(일일실시사항!$G885=$B$4,일일실시사항!$B885&lt;&gt;""),일일실시사항!$B885*10000+881,"")</f>
        <v/>
      </c>
    </row>
    <row r="882">
      <c r="BF882">
        <f>IF(AND(업무일지!$F886=$B$4,업무일지!$B886&lt;&gt;""),업무일지!$B886*10000+882,"")</f>
        <v/>
      </c>
      <c r="BH882">
        <f>IF(AND(일일실시사항!$G886=$B$4,일일실시사항!$B886&lt;&gt;""),일일실시사항!$B886*10000+882,"")</f>
        <v/>
      </c>
    </row>
    <row r="883">
      <c r="BF883">
        <f>IF(AND(업무일지!$F887=$B$4,업무일지!$B887&lt;&gt;""),업무일지!$B887*10000+883,"")</f>
        <v/>
      </c>
      <c r="BH883">
        <f>IF(AND(일일실시사항!$G887=$B$4,일일실시사항!$B887&lt;&gt;""),일일실시사항!$B887*10000+883,"")</f>
        <v/>
      </c>
    </row>
    <row r="884">
      <c r="BF884">
        <f>IF(AND(업무일지!$F888=$B$4,업무일지!$B888&lt;&gt;""),업무일지!$B888*10000+884,"")</f>
        <v/>
      </c>
      <c r="BH884">
        <f>IF(AND(일일실시사항!$G888=$B$4,일일실시사항!$B888&lt;&gt;""),일일실시사항!$B888*10000+884,"")</f>
        <v/>
      </c>
    </row>
    <row r="885">
      <c r="BF885">
        <f>IF(AND(업무일지!$F889=$B$4,업무일지!$B889&lt;&gt;""),업무일지!$B889*10000+885,"")</f>
        <v/>
      </c>
      <c r="BH885">
        <f>IF(AND(일일실시사항!$G889=$B$4,일일실시사항!$B889&lt;&gt;""),일일실시사항!$B889*10000+885,"")</f>
        <v/>
      </c>
    </row>
    <row r="886">
      <c r="BF886">
        <f>IF(AND(업무일지!$F890=$B$4,업무일지!$B890&lt;&gt;""),업무일지!$B890*10000+886,"")</f>
        <v/>
      </c>
      <c r="BH886">
        <f>IF(AND(일일실시사항!$G890=$B$4,일일실시사항!$B890&lt;&gt;""),일일실시사항!$B890*10000+886,"")</f>
        <v/>
      </c>
    </row>
    <row r="887">
      <c r="BF887">
        <f>IF(AND(업무일지!$F891=$B$4,업무일지!$B891&lt;&gt;""),업무일지!$B891*10000+887,"")</f>
        <v/>
      </c>
      <c r="BH887">
        <f>IF(AND(일일실시사항!$G891=$B$4,일일실시사항!$B891&lt;&gt;""),일일실시사항!$B891*10000+887,"")</f>
        <v/>
      </c>
    </row>
    <row r="888">
      <c r="BF888">
        <f>IF(AND(업무일지!$F892=$B$4,업무일지!$B892&lt;&gt;""),업무일지!$B892*10000+888,"")</f>
        <v/>
      </c>
      <c r="BH888">
        <f>IF(AND(일일실시사항!$G892=$B$4,일일실시사항!$B892&lt;&gt;""),일일실시사항!$B892*10000+888,"")</f>
        <v/>
      </c>
    </row>
    <row r="889">
      <c r="BF889">
        <f>IF(AND(업무일지!$F893=$B$4,업무일지!$B893&lt;&gt;""),업무일지!$B893*10000+889,"")</f>
        <v/>
      </c>
      <c r="BH889">
        <f>IF(AND(일일실시사항!$G893=$B$4,일일실시사항!$B893&lt;&gt;""),일일실시사항!$B893*10000+889,"")</f>
        <v/>
      </c>
    </row>
    <row r="890">
      <c r="BF890">
        <f>IF(AND(업무일지!$F894=$B$4,업무일지!$B894&lt;&gt;""),업무일지!$B894*10000+890,"")</f>
        <v/>
      </c>
      <c r="BH890">
        <f>IF(AND(일일실시사항!$G894=$B$4,일일실시사항!$B894&lt;&gt;""),일일실시사항!$B894*10000+890,"")</f>
        <v/>
      </c>
    </row>
    <row r="891">
      <c r="BF891">
        <f>IF(AND(업무일지!$F895=$B$4,업무일지!$B895&lt;&gt;""),업무일지!$B895*10000+891,"")</f>
        <v/>
      </c>
      <c r="BH891">
        <f>IF(AND(일일실시사항!$G895=$B$4,일일실시사항!$B895&lt;&gt;""),일일실시사항!$B895*10000+891,"")</f>
        <v/>
      </c>
    </row>
    <row r="892">
      <c r="BF892">
        <f>IF(AND(업무일지!$F896=$B$4,업무일지!$B896&lt;&gt;""),업무일지!$B896*10000+892,"")</f>
        <v/>
      </c>
      <c r="BH892">
        <f>IF(AND(일일실시사항!$G896=$B$4,일일실시사항!$B896&lt;&gt;""),일일실시사항!$B896*10000+892,"")</f>
        <v/>
      </c>
    </row>
    <row r="893">
      <c r="BF893">
        <f>IF(AND(업무일지!$F897=$B$4,업무일지!$B897&lt;&gt;""),업무일지!$B897*10000+893,"")</f>
        <v/>
      </c>
      <c r="BH893">
        <f>IF(AND(일일실시사항!$G897=$B$4,일일실시사항!$B897&lt;&gt;""),일일실시사항!$B897*10000+893,"")</f>
        <v/>
      </c>
    </row>
    <row r="894">
      <c r="BF894">
        <f>IF(AND(업무일지!$F898=$B$4,업무일지!$B898&lt;&gt;""),업무일지!$B898*10000+894,"")</f>
        <v/>
      </c>
      <c r="BH894">
        <f>IF(AND(일일실시사항!$G898=$B$4,일일실시사항!$B898&lt;&gt;""),일일실시사항!$B898*10000+894,"")</f>
        <v/>
      </c>
    </row>
    <row r="895">
      <c r="BF895">
        <f>IF(AND(업무일지!$F899=$B$4,업무일지!$B899&lt;&gt;""),업무일지!$B899*10000+895,"")</f>
        <v/>
      </c>
      <c r="BH895">
        <f>IF(AND(일일실시사항!$G899=$B$4,일일실시사항!$B899&lt;&gt;""),일일실시사항!$B899*10000+895,"")</f>
        <v/>
      </c>
    </row>
    <row r="896">
      <c r="BF896">
        <f>IF(AND(업무일지!$F900=$B$4,업무일지!$B900&lt;&gt;""),업무일지!$B900*10000+896,"")</f>
        <v/>
      </c>
      <c r="BH896">
        <f>IF(AND(일일실시사항!$G900=$B$4,일일실시사항!$B900&lt;&gt;""),일일실시사항!$B900*10000+896,"")</f>
        <v/>
      </c>
    </row>
    <row r="897">
      <c r="BF897">
        <f>IF(AND(업무일지!$F901=$B$4,업무일지!$B901&lt;&gt;""),업무일지!$B901*10000+897,"")</f>
        <v/>
      </c>
      <c r="BH897">
        <f>IF(AND(일일실시사항!$G901=$B$4,일일실시사항!$B901&lt;&gt;""),일일실시사항!$B901*10000+897,"")</f>
        <v/>
      </c>
    </row>
    <row r="898">
      <c r="BF898">
        <f>IF(AND(업무일지!$F902=$B$4,업무일지!$B902&lt;&gt;""),업무일지!$B902*10000+898,"")</f>
        <v/>
      </c>
      <c r="BH898">
        <f>IF(AND(일일실시사항!$G902=$B$4,일일실시사항!$B902&lt;&gt;""),일일실시사항!$B902*10000+898,"")</f>
        <v/>
      </c>
    </row>
    <row r="899">
      <c r="BF899">
        <f>IF(AND(업무일지!$F903=$B$4,업무일지!$B903&lt;&gt;""),업무일지!$B903*10000+899,"")</f>
        <v/>
      </c>
      <c r="BH899">
        <f>IF(AND(일일실시사항!$G903=$B$4,일일실시사항!$B903&lt;&gt;""),일일실시사항!$B903*10000+899,"")</f>
        <v/>
      </c>
    </row>
    <row r="900">
      <c r="BF900">
        <f>IF(AND(업무일지!$F904=$B$4,업무일지!$B904&lt;&gt;""),업무일지!$B904*10000+900,"")</f>
        <v/>
      </c>
      <c r="BH900">
        <f>IF(AND(일일실시사항!$G904=$B$4,일일실시사항!$B904&lt;&gt;""),일일실시사항!$B904*10000+900,"")</f>
        <v/>
      </c>
    </row>
    <row r="901">
      <c r="BF901">
        <f>IF(AND(업무일지!$F905=$B$4,업무일지!$B905&lt;&gt;""),업무일지!$B905*10000+901,"")</f>
        <v/>
      </c>
      <c r="BH901">
        <f>IF(AND(일일실시사항!$G905=$B$4,일일실시사항!$B905&lt;&gt;""),일일실시사항!$B905*10000+901,"")</f>
        <v/>
      </c>
    </row>
    <row r="902">
      <c r="BF902">
        <f>IF(AND(업무일지!$F906=$B$4,업무일지!$B906&lt;&gt;""),업무일지!$B906*10000+902,"")</f>
        <v/>
      </c>
      <c r="BH902">
        <f>IF(AND(일일실시사항!$G906=$B$4,일일실시사항!$B906&lt;&gt;""),일일실시사항!$B906*10000+902,"")</f>
        <v/>
      </c>
    </row>
    <row r="903">
      <c r="BF903">
        <f>IF(AND(업무일지!$F907=$B$4,업무일지!$B907&lt;&gt;""),업무일지!$B907*10000+903,"")</f>
        <v/>
      </c>
      <c r="BH903">
        <f>IF(AND(일일실시사항!$G907=$B$4,일일실시사항!$B907&lt;&gt;""),일일실시사항!$B907*10000+903,"")</f>
        <v/>
      </c>
    </row>
    <row r="904">
      <c r="BF904">
        <f>IF(AND(업무일지!$F908=$B$4,업무일지!$B908&lt;&gt;""),업무일지!$B908*10000+904,"")</f>
        <v/>
      </c>
      <c r="BH904">
        <f>IF(AND(일일실시사항!$G908=$B$4,일일실시사항!$B908&lt;&gt;""),일일실시사항!$B908*10000+904,"")</f>
        <v/>
      </c>
    </row>
    <row r="905">
      <c r="BF905">
        <f>IF(AND(업무일지!$F909=$B$4,업무일지!$B909&lt;&gt;""),업무일지!$B909*10000+905,"")</f>
        <v/>
      </c>
      <c r="BH905">
        <f>IF(AND(일일실시사항!$G909=$B$4,일일실시사항!$B909&lt;&gt;""),일일실시사항!$B909*10000+905,"")</f>
        <v/>
      </c>
    </row>
    <row r="906">
      <c r="BF906">
        <f>IF(AND(업무일지!$F910=$B$4,업무일지!$B910&lt;&gt;""),업무일지!$B910*10000+906,"")</f>
        <v/>
      </c>
      <c r="BH906">
        <f>IF(AND(일일실시사항!$G910=$B$4,일일실시사항!$B910&lt;&gt;""),일일실시사항!$B910*10000+906,"")</f>
        <v/>
      </c>
    </row>
    <row r="907">
      <c r="BF907">
        <f>IF(AND(업무일지!$F911=$B$4,업무일지!$B911&lt;&gt;""),업무일지!$B911*10000+907,"")</f>
        <v/>
      </c>
      <c r="BH907">
        <f>IF(AND(일일실시사항!$G911=$B$4,일일실시사항!$B911&lt;&gt;""),일일실시사항!$B911*10000+907,"")</f>
        <v/>
      </c>
    </row>
    <row r="908">
      <c r="BF908">
        <f>IF(AND(업무일지!$F912=$B$4,업무일지!$B912&lt;&gt;""),업무일지!$B912*10000+908,"")</f>
        <v/>
      </c>
      <c r="BH908">
        <f>IF(AND(일일실시사항!$G912=$B$4,일일실시사항!$B912&lt;&gt;""),일일실시사항!$B912*10000+908,"")</f>
        <v/>
      </c>
    </row>
    <row r="909">
      <c r="BF909">
        <f>IF(AND(업무일지!$F913=$B$4,업무일지!$B913&lt;&gt;""),업무일지!$B913*10000+909,"")</f>
        <v/>
      </c>
      <c r="BH909">
        <f>IF(AND(일일실시사항!$G913=$B$4,일일실시사항!$B913&lt;&gt;""),일일실시사항!$B913*10000+909,"")</f>
        <v/>
      </c>
    </row>
    <row r="910">
      <c r="BF910">
        <f>IF(AND(업무일지!$F914=$B$4,업무일지!$B914&lt;&gt;""),업무일지!$B914*10000+910,"")</f>
        <v/>
      </c>
      <c r="BH910">
        <f>IF(AND(일일실시사항!$G914=$B$4,일일실시사항!$B914&lt;&gt;""),일일실시사항!$B914*10000+910,"")</f>
        <v/>
      </c>
    </row>
    <row r="911">
      <c r="BF911">
        <f>IF(AND(업무일지!$F915=$B$4,업무일지!$B915&lt;&gt;""),업무일지!$B915*10000+911,"")</f>
        <v/>
      </c>
      <c r="BH911">
        <f>IF(AND(일일실시사항!$G915=$B$4,일일실시사항!$B915&lt;&gt;""),일일실시사항!$B915*10000+911,"")</f>
        <v/>
      </c>
    </row>
    <row r="912">
      <c r="BF912">
        <f>IF(AND(업무일지!$F916=$B$4,업무일지!$B916&lt;&gt;""),업무일지!$B916*10000+912,"")</f>
        <v/>
      </c>
      <c r="BH912">
        <f>IF(AND(일일실시사항!$G916=$B$4,일일실시사항!$B916&lt;&gt;""),일일실시사항!$B916*10000+912,"")</f>
        <v/>
      </c>
    </row>
    <row r="913">
      <c r="BF913">
        <f>IF(AND(업무일지!$F917=$B$4,업무일지!$B917&lt;&gt;""),업무일지!$B917*10000+913,"")</f>
        <v/>
      </c>
      <c r="BH913">
        <f>IF(AND(일일실시사항!$G917=$B$4,일일실시사항!$B917&lt;&gt;""),일일실시사항!$B917*10000+913,"")</f>
        <v/>
      </c>
    </row>
    <row r="914">
      <c r="BF914">
        <f>IF(AND(업무일지!$F918=$B$4,업무일지!$B918&lt;&gt;""),업무일지!$B918*10000+914,"")</f>
        <v/>
      </c>
      <c r="BH914">
        <f>IF(AND(일일실시사항!$G918=$B$4,일일실시사항!$B918&lt;&gt;""),일일실시사항!$B918*10000+914,"")</f>
        <v/>
      </c>
    </row>
    <row r="915">
      <c r="BF915">
        <f>IF(AND(업무일지!$F919=$B$4,업무일지!$B919&lt;&gt;""),업무일지!$B919*10000+915,"")</f>
        <v/>
      </c>
      <c r="BH915">
        <f>IF(AND(일일실시사항!$G919=$B$4,일일실시사항!$B919&lt;&gt;""),일일실시사항!$B919*10000+915,"")</f>
        <v/>
      </c>
    </row>
    <row r="916">
      <c r="BF916">
        <f>IF(AND(업무일지!$F920=$B$4,업무일지!$B920&lt;&gt;""),업무일지!$B920*10000+916,"")</f>
        <v/>
      </c>
      <c r="BH916">
        <f>IF(AND(일일실시사항!$G920=$B$4,일일실시사항!$B920&lt;&gt;""),일일실시사항!$B920*10000+916,"")</f>
        <v/>
      </c>
    </row>
    <row r="917">
      <c r="BF917">
        <f>IF(AND(업무일지!$F921=$B$4,업무일지!$B921&lt;&gt;""),업무일지!$B921*10000+917,"")</f>
        <v/>
      </c>
      <c r="BH917">
        <f>IF(AND(일일실시사항!$G921=$B$4,일일실시사항!$B921&lt;&gt;""),일일실시사항!$B921*10000+917,"")</f>
        <v/>
      </c>
    </row>
    <row r="918">
      <c r="BF918">
        <f>IF(AND(업무일지!$F922=$B$4,업무일지!$B922&lt;&gt;""),업무일지!$B922*10000+918,"")</f>
        <v/>
      </c>
      <c r="BH918">
        <f>IF(AND(일일실시사항!$G922=$B$4,일일실시사항!$B922&lt;&gt;""),일일실시사항!$B922*10000+918,"")</f>
        <v/>
      </c>
    </row>
    <row r="919">
      <c r="BF919">
        <f>IF(AND(업무일지!$F923=$B$4,업무일지!$B923&lt;&gt;""),업무일지!$B923*10000+919,"")</f>
        <v/>
      </c>
      <c r="BH919">
        <f>IF(AND(일일실시사항!$G923=$B$4,일일실시사항!$B923&lt;&gt;""),일일실시사항!$B923*10000+919,"")</f>
        <v/>
      </c>
    </row>
    <row r="920">
      <c r="BF920">
        <f>IF(AND(업무일지!$F924=$B$4,업무일지!$B924&lt;&gt;""),업무일지!$B924*10000+920,"")</f>
        <v/>
      </c>
      <c r="BH920">
        <f>IF(AND(일일실시사항!$G924=$B$4,일일실시사항!$B924&lt;&gt;""),일일실시사항!$B924*10000+920,"")</f>
        <v/>
      </c>
    </row>
    <row r="921">
      <c r="BF921">
        <f>IF(AND(업무일지!$F925=$B$4,업무일지!$B925&lt;&gt;""),업무일지!$B925*10000+921,"")</f>
        <v/>
      </c>
      <c r="BH921">
        <f>IF(AND(일일실시사항!$G925=$B$4,일일실시사항!$B925&lt;&gt;""),일일실시사항!$B925*10000+921,"")</f>
        <v/>
      </c>
    </row>
    <row r="922">
      <c r="BF922">
        <f>IF(AND(업무일지!$F926=$B$4,업무일지!$B926&lt;&gt;""),업무일지!$B926*10000+922,"")</f>
        <v/>
      </c>
      <c r="BH922">
        <f>IF(AND(일일실시사항!$G926=$B$4,일일실시사항!$B926&lt;&gt;""),일일실시사항!$B926*10000+922,"")</f>
        <v/>
      </c>
    </row>
    <row r="923">
      <c r="BF923">
        <f>IF(AND(업무일지!$F927=$B$4,업무일지!$B927&lt;&gt;""),업무일지!$B927*10000+923,"")</f>
        <v/>
      </c>
      <c r="BH923">
        <f>IF(AND(일일실시사항!$G927=$B$4,일일실시사항!$B927&lt;&gt;""),일일실시사항!$B927*10000+923,"")</f>
        <v/>
      </c>
    </row>
    <row r="924">
      <c r="BF924">
        <f>IF(AND(업무일지!$F928=$B$4,업무일지!$B928&lt;&gt;""),업무일지!$B928*10000+924,"")</f>
        <v/>
      </c>
      <c r="BH924">
        <f>IF(AND(일일실시사항!$G928=$B$4,일일실시사항!$B928&lt;&gt;""),일일실시사항!$B928*10000+924,"")</f>
        <v/>
      </c>
    </row>
    <row r="925">
      <c r="BF925">
        <f>IF(AND(업무일지!$F929=$B$4,업무일지!$B929&lt;&gt;""),업무일지!$B929*10000+925,"")</f>
        <v/>
      </c>
      <c r="BH925">
        <f>IF(AND(일일실시사항!$G929=$B$4,일일실시사항!$B929&lt;&gt;""),일일실시사항!$B929*10000+925,"")</f>
        <v/>
      </c>
    </row>
    <row r="926">
      <c r="BF926">
        <f>IF(AND(업무일지!$F930=$B$4,업무일지!$B930&lt;&gt;""),업무일지!$B930*10000+926,"")</f>
        <v/>
      </c>
      <c r="BH926">
        <f>IF(AND(일일실시사항!$G930=$B$4,일일실시사항!$B930&lt;&gt;""),일일실시사항!$B930*10000+926,"")</f>
        <v/>
      </c>
    </row>
    <row r="927">
      <c r="BF927">
        <f>IF(AND(업무일지!$F931=$B$4,업무일지!$B931&lt;&gt;""),업무일지!$B931*10000+927,"")</f>
        <v/>
      </c>
      <c r="BH927">
        <f>IF(AND(일일실시사항!$G931=$B$4,일일실시사항!$B931&lt;&gt;""),일일실시사항!$B931*10000+927,"")</f>
        <v/>
      </c>
    </row>
    <row r="928">
      <c r="BF928">
        <f>IF(AND(업무일지!$F932=$B$4,업무일지!$B932&lt;&gt;""),업무일지!$B932*10000+928,"")</f>
        <v/>
      </c>
      <c r="BH928">
        <f>IF(AND(일일실시사항!$G932=$B$4,일일실시사항!$B932&lt;&gt;""),일일실시사항!$B932*10000+928,"")</f>
        <v/>
      </c>
    </row>
    <row r="929">
      <c r="BF929">
        <f>IF(AND(업무일지!$F933=$B$4,업무일지!$B933&lt;&gt;""),업무일지!$B933*10000+929,"")</f>
        <v/>
      </c>
      <c r="BH929">
        <f>IF(AND(일일실시사항!$G933=$B$4,일일실시사항!$B933&lt;&gt;""),일일실시사항!$B933*10000+929,"")</f>
        <v/>
      </c>
    </row>
    <row r="930">
      <c r="BF930">
        <f>IF(AND(업무일지!$F934=$B$4,업무일지!$B934&lt;&gt;""),업무일지!$B934*10000+930,"")</f>
        <v/>
      </c>
      <c r="BH930">
        <f>IF(AND(일일실시사항!$G934=$B$4,일일실시사항!$B934&lt;&gt;""),일일실시사항!$B934*10000+930,"")</f>
        <v/>
      </c>
    </row>
    <row r="931">
      <c r="BF931">
        <f>IF(AND(업무일지!$F935=$B$4,업무일지!$B935&lt;&gt;""),업무일지!$B935*10000+931,"")</f>
        <v/>
      </c>
      <c r="BH931">
        <f>IF(AND(일일실시사항!$G935=$B$4,일일실시사항!$B935&lt;&gt;""),일일실시사항!$B935*10000+931,"")</f>
        <v/>
      </c>
    </row>
    <row r="932">
      <c r="BF932">
        <f>IF(AND(업무일지!$F936=$B$4,업무일지!$B936&lt;&gt;""),업무일지!$B936*10000+932,"")</f>
        <v/>
      </c>
      <c r="BH932">
        <f>IF(AND(일일실시사항!$G936=$B$4,일일실시사항!$B936&lt;&gt;""),일일실시사항!$B936*10000+932,"")</f>
        <v/>
      </c>
    </row>
    <row r="933">
      <c r="BF933">
        <f>IF(AND(업무일지!$F937=$B$4,업무일지!$B937&lt;&gt;""),업무일지!$B937*10000+933,"")</f>
        <v/>
      </c>
      <c r="BH933">
        <f>IF(AND(일일실시사항!$G937=$B$4,일일실시사항!$B937&lt;&gt;""),일일실시사항!$B937*10000+933,"")</f>
        <v/>
      </c>
    </row>
    <row r="934">
      <c r="BF934">
        <f>IF(AND(업무일지!$F938=$B$4,업무일지!$B938&lt;&gt;""),업무일지!$B938*10000+934,"")</f>
        <v/>
      </c>
      <c r="BH934">
        <f>IF(AND(일일실시사항!$G938=$B$4,일일실시사항!$B938&lt;&gt;""),일일실시사항!$B938*10000+934,"")</f>
        <v/>
      </c>
    </row>
    <row r="935">
      <c r="BF935">
        <f>IF(AND(업무일지!$F939=$B$4,업무일지!$B939&lt;&gt;""),업무일지!$B939*10000+935,"")</f>
        <v/>
      </c>
      <c r="BH935">
        <f>IF(AND(일일실시사항!$G939=$B$4,일일실시사항!$B939&lt;&gt;""),일일실시사항!$B939*10000+935,"")</f>
        <v/>
      </c>
    </row>
    <row r="936">
      <c r="BF936">
        <f>IF(AND(업무일지!$F940=$B$4,업무일지!$B940&lt;&gt;""),업무일지!$B940*10000+936,"")</f>
        <v/>
      </c>
      <c r="BH936">
        <f>IF(AND(일일실시사항!$G940=$B$4,일일실시사항!$B940&lt;&gt;""),일일실시사항!$B940*10000+936,"")</f>
        <v/>
      </c>
    </row>
    <row r="937">
      <c r="BF937">
        <f>IF(AND(업무일지!$F941=$B$4,업무일지!$B941&lt;&gt;""),업무일지!$B941*10000+937,"")</f>
        <v/>
      </c>
      <c r="BH937">
        <f>IF(AND(일일실시사항!$G941=$B$4,일일실시사항!$B941&lt;&gt;""),일일실시사항!$B941*10000+937,"")</f>
        <v/>
      </c>
    </row>
    <row r="938">
      <c r="BF938">
        <f>IF(AND(업무일지!$F942=$B$4,업무일지!$B942&lt;&gt;""),업무일지!$B942*10000+938,"")</f>
        <v/>
      </c>
      <c r="BH938">
        <f>IF(AND(일일실시사항!$G942=$B$4,일일실시사항!$B942&lt;&gt;""),일일실시사항!$B942*10000+938,"")</f>
        <v/>
      </c>
    </row>
    <row r="939">
      <c r="BF939">
        <f>IF(AND(업무일지!$F943=$B$4,업무일지!$B943&lt;&gt;""),업무일지!$B943*10000+939,"")</f>
        <v/>
      </c>
      <c r="BH939">
        <f>IF(AND(일일실시사항!$G943=$B$4,일일실시사항!$B943&lt;&gt;""),일일실시사항!$B943*10000+939,"")</f>
        <v/>
      </c>
    </row>
    <row r="940">
      <c r="BF940">
        <f>IF(AND(업무일지!$F944=$B$4,업무일지!$B944&lt;&gt;""),업무일지!$B944*10000+940,"")</f>
        <v/>
      </c>
      <c r="BH940">
        <f>IF(AND(일일실시사항!$G944=$B$4,일일실시사항!$B944&lt;&gt;""),일일실시사항!$B944*10000+940,"")</f>
        <v/>
      </c>
    </row>
    <row r="941">
      <c r="BF941">
        <f>IF(AND(업무일지!$F945=$B$4,업무일지!$B945&lt;&gt;""),업무일지!$B945*10000+941,"")</f>
        <v/>
      </c>
      <c r="BH941">
        <f>IF(AND(일일실시사항!$G945=$B$4,일일실시사항!$B945&lt;&gt;""),일일실시사항!$B945*10000+941,"")</f>
        <v/>
      </c>
    </row>
    <row r="942">
      <c r="BF942">
        <f>IF(AND(업무일지!$F946=$B$4,업무일지!$B946&lt;&gt;""),업무일지!$B946*10000+942,"")</f>
        <v/>
      </c>
      <c r="BH942">
        <f>IF(AND(일일실시사항!$G946=$B$4,일일실시사항!$B946&lt;&gt;""),일일실시사항!$B946*10000+942,"")</f>
        <v/>
      </c>
    </row>
    <row r="943">
      <c r="BF943">
        <f>IF(AND(업무일지!$F947=$B$4,업무일지!$B947&lt;&gt;""),업무일지!$B947*10000+943,"")</f>
        <v/>
      </c>
      <c r="BH943">
        <f>IF(AND(일일실시사항!$G947=$B$4,일일실시사항!$B947&lt;&gt;""),일일실시사항!$B947*10000+943,"")</f>
        <v/>
      </c>
    </row>
    <row r="944">
      <c r="BF944">
        <f>IF(AND(업무일지!$F948=$B$4,업무일지!$B948&lt;&gt;""),업무일지!$B948*10000+944,"")</f>
        <v/>
      </c>
      <c r="BH944">
        <f>IF(AND(일일실시사항!$G948=$B$4,일일실시사항!$B948&lt;&gt;""),일일실시사항!$B948*10000+944,"")</f>
        <v/>
      </c>
    </row>
    <row r="945">
      <c r="BF945">
        <f>IF(AND(업무일지!$F949=$B$4,업무일지!$B949&lt;&gt;""),업무일지!$B949*10000+945,"")</f>
        <v/>
      </c>
      <c r="BH945">
        <f>IF(AND(일일실시사항!$G949=$B$4,일일실시사항!$B949&lt;&gt;""),일일실시사항!$B949*10000+945,"")</f>
        <v/>
      </c>
    </row>
    <row r="946">
      <c r="BF946">
        <f>IF(AND(업무일지!$F950=$B$4,업무일지!$B950&lt;&gt;""),업무일지!$B950*10000+946,"")</f>
        <v/>
      </c>
      <c r="BH946">
        <f>IF(AND(일일실시사항!$G950=$B$4,일일실시사항!$B950&lt;&gt;""),일일실시사항!$B950*10000+946,"")</f>
        <v/>
      </c>
    </row>
    <row r="947">
      <c r="BF947">
        <f>IF(AND(업무일지!$F951=$B$4,업무일지!$B951&lt;&gt;""),업무일지!$B951*10000+947,"")</f>
        <v/>
      </c>
      <c r="BH947">
        <f>IF(AND(일일실시사항!$G951=$B$4,일일실시사항!$B951&lt;&gt;""),일일실시사항!$B951*10000+947,"")</f>
        <v/>
      </c>
    </row>
    <row r="948">
      <c r="BF948">
        <f>IF(AND(업무일지!$F952=$B$4,업무일지!$B952&lt;&gt;""),업무일지!$B952*10000+948,"")</f>
        <v/>
      </c>
      <c r="BH948">
        <f>IF(AND(일일실시사항!$G952=$B$4,일일실시사항!$B952&lt;&gt;""),일일실시사항!$B952*10000+948,"")</f>
        <v/>
      </c>
    </row>
    <row r="949">
      <c r="BF949">
        <f>IF(AND(업무일지!$F953=$B$4,업무일지!$B953&lt;&gt;""),업무일지!$B953*10000+949,"")</f>
        <v/>
      </c>
      <c r="BH949">
        <f>IF(AND(일일실시사항!$G953=$B$4,일일실시사항!$B953&lt;&gt;""),일일실시사항!$B953*10000+949,"")</f>
        <v/>
      </c>
    </row>
    <row r="950">
      <c r="BF950">
        <f>IF(AND(업무일지!$F954=$B$4,업무일지!$B954&lt;&gt;""),업무일지!$B954*10000+950,"")</f>
        <v/>
      </c>
      <c r="BH950">
        <f>IF(AND(일일실시사항!$G954=$B$4,일일실시사항!$B954&lt;&gt;""),일일실시사항!$B954*10000+950,"")</f>
        <v/>
      </c>
    </row>
    <row r="951">
      <c r="BF951">
        <f>IF(AND(업무일지!$F955=$B$4,업무일지!$B955&lt;&gt;""),업무일지!$B955*10000+951,"")</f>
        <v/>
      </c>
      <c r="BH951">
        <f>IF(AND(일일실시사항!$G955=$B$4,일일실시사항!$B955&lt;&gt;""),일일실시사항!$B955*10000+951,"")</f>
        <v/>
      </c>
    </row>
    <row r="952">
      <c r="BF952">
        <f>IF(AND(업무일지!$F956=$B$4,업무일지!$B956&lt;&gt;""),업무일지!$B956*10000+952,"")</f>
        <v/>
      </c>
      <c r="BH952">
        <f>IF(AND(일일실시사항!$G956=$B$4,일일실시사항!$B956&lt;&gt;""),일일실시사항!$B956*10000+952,"")</f>
        <v/>
      </c>
    </row>
    <row r="953">
      <c r="BF953">
        <f>IF(AND(업무일지!$F957=$B$4,업무일지!$B957&lt;&gt;""),업무일지!$B957*10000+953,"")</f>
        <v/>
      </c>
      <c r="BH953">
        <f>IF(AND(일일실시사항!$G957=$B$4,일일실시사항!$B957&lt;&gt;""),일일실시사항!$B957*10000+953,"")</f>
        <v/>
      </c>
    </row>
    <row r="954">
      <c r="BF954">
        <f>IF(AND(업무일지!$F958=$B$4,업무일지!$B958&lt;&gt;""),업무일지!$B958*10000+954,"")</f>
        <v/>
      </c>
      <c r="BH954">
        <f>IF(AND(일일실시사항!$G958=$B$4,일일실시사항!$B958&lt;&gt;""),일일실시사항!$B958*10000+954,"")</f>
        <v/>
      </c>
    </row>
    <row r="955">
      <c r="BF955">
        <f>IF(AND(업무일지!$F959=$B$4,업무일지!$B959&lt;&gt;""),업무일지!$B959*10000+955,"")</f>
        <v/>
      </c>
      <c r="BH955">
        <f>IF(AND(일일실시사항!$G959=$B$4,일일실시사항!$B959&lt;&gt;""),일일실시사항!$B959*10000+955,"")</f>
        <v/>
      </c>
    </row>
    <row r="956">
      <c r="BF956">
        <f>IF(AND(업무일지!$F960=$B$4,업무일지!$B960&lt;&gt;""),업무일지!$B960*10000+956,"")</f>
        <v/>
      </c>
      <c r="BH956">
        <f>IF(AND(일일실시사항!$G960=$B$4,일일실시사항!$B960&lt;&gt;""),일일실시사항!$B960*10000+956,"")</f>
        <v/>
      </c>
    </row>
    <row r="957">
      <c r="BF957">
        <f>IF(AND(업무일지!$F961=$B$4,업무일지!$B961&lt;&gt;""),업무일지!$B961*10000+957,"")</f>
        <v/>
      </c>
      <c r="BH957">
        <f>IF(AND(일일실시사항!$G961=$B$4,일일실시사항!$B961&lt;&gt;""),일일실시사항!$B961*10000+957,"")</f>
        <v/>
      </c>
    </row>
    <row r="958">
      <c r="BF958">
        <f>IF(AND(업무일지!$F962=$B$4,업무일지!$B962&lt;&gt;""),업무일지!$B962*10000+958,"")</f>
        <v/>
      </c>
      <c r="BH958">
        <f>IF(AND(일일실시사항!$G962=$B$4,일일실시사항!$B962&lt;&gt;""),일일실시사항!$B962*10000+958,"")</f>
        <v/>
      </c>
    </row>
    <row r="959">
      <c r="BF959">
        <f>IF(AND(업무일지!$F963=$B$4,업무일지!$B963&lt;&gt;""),업무일지!$B963*10000+959,"")</f>
        <v/>
      </c>
      <c r="BH959">
        <f>IF(AND(일일실시사항!$G963=$B$4,일일실시사항!$B963&lt;&gt;""),일일실시사항!$B963*10000+959,"")</f>
        <v/>
      </c>
    </row>
    <row r="960">
      <c r="BF960">
        <f>IF(AND(업무일지!$F964=$B$4,업무일지!$B964&lt;&gt;""),업무일지!$B964*10000+960,"")</f>
        <v/>
      </c>
      <c r="BH960">
        <f>IF(AND(일일실시사항!$G964=$B$4,일일실시사항!$B964&lt;&gt;""),일일실시사항!$B964*10000+960,"")</f>
        <v/>
      </c>
    </row>
    <row r="961">
      <c r="BF961">
        <f>IF(AND(업무일지!$F965=$B$4,업무일지!$B965&lt;&gt;""),업무일지!$B965*10000+961,"")</f>
        <v/>
      </c>
      <c r="BH961">
        <f>IF(AND(일일실시사항!$G965=$B$4,일일실시사항!$B965&lt;&gt;""),일일실시사항!$B965*10000+961,"")</f>
        <v/>
      </c>
    </row>
    <row r="962">
      <c r="BF962">
        <f>IF(AND(업무일지!$F966=$B$4,업무일지!$B966&lt;&gt;""),업무일지!$B966*10000+962,"")</f>
        <v/>
      </c>
      <c r="BH962">
        <f>IF(AND(일일실시사항!$G966=$B$4,일일실시사항!$B966&lt;&gt;""),일일실시사항!$B966*10000+962,"")</f>
        <v/>
      </c>
    </row>
    <row r="963">
      <c r="BF963">
        <f>IF(AND(업무일지!$F967=$B$4,업무일지!$B967&lt;&gt;""),업무일지!$B967*10000+963,"")</f>
        <v/>
      </c>
      <c r="BH963">
        <f>IF(AND(일일실시사항!$G967=$B$4,일일실시사항!$B967&lt;&gt;""),일일실시사항!$B967*10000+963,"")</f>
        <v/>
      </c>
    </row>
    <row r="964">
      <c r="BF964">
        <f>IF(AND(업무일지!$F968=$B$4,업무일지!$B968&lt;&gt;""),업무일지!$B968*10000+964,"")</f>
        <v/>
      </c>
      <c r="BH964">
        <f>IF(AND(일일실시사항!$G968=$B$4,일일실시사항!$B968&lt;&gt;""),일일실시사항!$B968*10000+964,"")</f>
        <v/>
      </c>
    </row>
    <row r="965">
      <c r="BF965">
        <f>IF(AND(업무일지!$F969=$B$4,업무일지!$B969&lt;&gt;""),업무일지!$B969*10000+965,"")</f>
        <v/>
      </c>
      <c r="BH965">
        <f>IF(AND(일일실시사항!$G969=$B$4,일일실시사항!$B969&lt;&gt;""),일일실시사항!$B969*10000+965,"")</f>
        <v/>
      </c>
    </row>
    <row r="966">
      <c r="BF966">
        <f>IF(AND(업무일지!$F970=$B$4,업무일지!$B970&lt;&gt;""),업무일지!$B970*10000+966,"")</f>
        <v/>
      </c>
      <c r="BH966">
        <f>IF(AND(일일실시사항!$G970=$B$4,일일실시사항!$B970&lt;&gt;""),일일실시사항!$B970*10000+966,"")</f>
        <v/>
      </c>
    </row>
    <row r="967">
      <c r="BF967">
        <f>IF(AND(업무일지!$F971=$B$4,업무일지!$B971&lt;&gt;""),업무일지!$B971*10000+967,"")</f>
        <v/>
      </c>
      <c r="BH967">
        <f>IF(AND(일일실시사항!$G971=$B$4,일일실시사항!$B971&lt;&gt;""),일일실시사항!$B971*10000+967,"")</f>
        <v/>
      </c>
    </row>
    <row r="968">
      <c r="BF968">
        <f>IF(AND(업무일지!$F972=$B$4,업무일지!$B972&lt;&gt;""),업무일지!$B972*10000+968,"")</f>
        <v/>
      </c>
      <c r="BH968">
        <f>IF(AND(일일실시사항!$G972=$B$4,일일실시사항!$B972&lt;&gt;""),일일실시사항!$B972*10000+968,"")</f>
        <v/>
      </c>
    </row>
    <row r="969">
      <c r="BF969">
        <f>IF(AND(업무일지!$F973=$B$4,업무일지!$B973&lt;&gt;""),업무일지!$B973*10000+969,"")</f>
        <v/>
      </c>
      <c r="BH969">
        <f>IF(AND(일일실시사항!$G973=$B$4,일일실시사항!$B973&lt;&gt;""),일일실시사항!$B973*10000+969,"")</f>
        <v/>
      </c>
    </row>
    <row r="970">
      <c r="BF970">
        <f>IF(AND(업무일지!$F974=$B$4,업무일지!$B974&lt;&gt;""),업무일지!$B974*10000+970,"")</f>
        <v/>
      </c>
      <c r="BH970">
        <f>IF(AND(일일실시사항!$G974=$B$4,일일실시사항!$B974&lt;&gt;""),일일실시사항!$B974*10000+970,"")</f>
        <v/>
      </c>
    </row>
    <row r="971">
      <c r="BF971">
        <f>IF(AND(업무일지!$F975=$B$4,업무일지!$B975&lt;&gt;""),업무일지!$B975*10000+971,"")</f>
        <v/>
      </c>
      <c r="BH971">
        <f>IF(AND(일일실시사항!$G975=$B$4,일일실시사항!$B975&lt;&gt;""),일일실시사항!$B975*10000+971,"")</f>
        <v/>
      </c>
    </row>
    <row r="972">
      <c r="BF972">
        <f>IF(AND(업무일지!$F976=$B$4,업무일지!$B976&lt;&gt;""),업무일지!$B976*10000+972,"")</f>
        <v/>
      </c>
      <c r="BH972">
        <f>IF(AND(일일실시사항!$G976=$B$4,일일실시사항!$B976&lt;&gt;""),일일실시사항!$B976*10000+972,"")</f>
        <v/>
      </c>
    </row>
    <row r="973">
      <c r="BF973">
        <f>IF(AND(업무일지!$F977=$B$4,업무일지!$B977&lt;&gt;""),업무일지!$B977*10000+973,"")</f>
        <v/>
      </c>
      <c r="BH973">
        <f>IF(AND(일일실시사항!$G977=$B$4,일일실시사항!$B977&lt;&gt;""),일일실시사항!$B977*10000+973,"")</f>
        <v/>
      </c>
    </row>
    <row r="974">
      <c r="BF974">
        <f>IF(AND(업무일지!$F978=$B$4,업무일지!$B978&lt;&gt;""),업무일지!$B978*10000+974,"")</f>
        <v/>
      </c>
      <c r="BH974">
        <f>IF(AND(일일실시사항!$G978=$B$4,일일실시사항!$B978&lt;&gt;""),일일실시사항!$B978*10000+974,"")</f>
        <v/>
      </c>
    </row>
    <row r="975">
      <c r="BF975">
        <f>IF(AND(업무일지!$F979=$B$4,업무일지!$B979&lt;&gt;""),업무일지!$B979*10000+975,"")</f>
        <v/>
      </c>
      <c r="BH975">
        <f>IF(AND(일일실시사항!$G979=$B$4,일일실시사항!$B979&lt;&gt;""),일일실시사항!$B979*10000+975,"")</f>
        <v/>
      </c>
    </row>
    <row r="976">
      <c r="BF976">
        <f>IF(AND(업무일지!$F980=$B$4,업무일지!$B980&lt;&gt;""),업무일지!$B980*10000+976,"")</f>
        <v/>
      </c>
      <c r="BH976">
        <f>IF(AND(일일실시사항!$G980=$B$4,일일실시사항!$B980&lt;&gt;""),일일실시사항!$B980*10000+976,"")</f>
        <v/>
      </c>
    </row>
    <row r="977">
      <c r="BF977">
        <f>IF(AND(업무일지!$F981=$B$4,업무일지!$B981&lt;&gt;""),업무일지!$B981*10000+977,"")</f>
        <v/>
      </c>
      <c r="BH977">
        <f>IF(AND(일일실시사항!$G981=$B$4,일일실시사항!$B981&lt;&gt;""),일일실시사항!$B981*10000+977,"")</f>
        <v/>
      </c>
    </row>
    <row r="978">
      <c r="BF978">
        <f>IF(AND(업무일지!$F982=$B$4,업무일지!$B982&lt;&gt;""),업무일지!$B982*10000+978,"")</f>
        <v/>
      </c>
      <c r="BH978">
        <f>IF(AND(일일실시사항!$G982=$B$4,일일실시사항!$B982&lt;&gt;""),일일실시사항!$B982*10000+978,"")</f>
        <v/>
      </c>
    </row>
    <row r="979">
      <c r="BF979">
        <f>IF(AND(업무일지!$F983=$B$4,업무일지!$B983&lt;&gt;""),업무일지!$B983*10000+979,"")</f>
        <v/>
      </c>
      <c r="BH979">
        <f>IF(AND(일일실시사항!$G983=$B$4,일일실시사항!$B983&lt;&gt;""),일일실시사항!$B983*10000+979,"")</f>
        <v/>
      </c>
    </row>
    <row r="980">
      <c r="BF980">
        <f>IF(AND(업무일지!$F984=$B$4,업무일지!$B984&lt;&gt;""),업무일지!$B984*10000+980,"")</f>
        <v/>
      </c>
      <c r="BH980">
        <f>IF(AND(일일실시사항!$G984=$B$4,일일실시사항!$B984&lt;&gt;""),일일실시사항!$B984*10000+980,"")</f>
        <v/>
      </c>
    </row>
    <row r="981">
      <c r="BF981">
        <f>IF(AND(업무일지!$F985=$B$4,업무일지!$B985&lt;&gt;""),업무일지!$B985*10000+981,"")</f>
        <v/>
      </c>
      <c r="BH981">
        <f>IF(AND(일일실시사항!$G985=$B$4,일일실시사항!$B985&lt;&gt;""),일일실시사항!$B985*10000+981,"")</f>
        <v/>
      </c>
    </row>
    <row r="982">
      <c r="BF982">
        <f>IF(AND(업무일지!$F986=$B$4,업무일지!$B986&lt;&gt;""),업무일지!$B986*10000+982,"")</f>
        <v/>
      </c>
      <c r="BH982">
        <f>IF(AND(일일실시사항!$G986=$B$4,일일실시사항!$B986&lt;&gt;""),일일실시사항!$B986*10000+982,"")</f>
        <v/>
      </c>
    </row>
    <row r="983">
      <c r="BF983">
        <f>IF(AND(업무일지!$F987=$B$4,업무일지!$B987&lt;&gt;""),업무일지!$B987*10000+983,"")</f>
        <v/>
      </c>
      <c r="BH983">
        <f>IF(AND(일일실시사항!$G987=$B$4,일일실시사항!$B987&lt;&gt;""),일일실시사항!$B987*10000+983,"")</f>
        <v/>
      </c>
    </row>
    <row r="984">
      <c r="BF984">
        <f>IF(AND(업무일지!$F988=$B$4,업무일지!$B988&lt;&gt;""),업무일지!$B988*10000+984,"")</f>
        <v/>
      </c>
      <c r="BH984">
        <f>IF(AND(일일실시사항!$G988=$B$4,일일실시사항!$B988&lt;&gt;""),일일실시사항!$B988*10000+984,"")</f>
        <v/>
      </c>
    </row>
    <row r="985">
      <c r="BF985">
        <f>IF(AND(업무일지!$F989=$B$4,업무일지!$B989&lt;&gt;""),업무일지!$B989*10000+985,"")</f>
        <v/>
      </c>
      <c r="BH985">
        <f>IF(AND(일일실시사항!$G989=$B$4,일일실시사항!$B989&lt;&gt;""),일일실시사항!$B989*10000+985,"")</f>
        <v/>
      </c>
    </row>
    <row r="986">
      <c r="BF986">
        <f>IF(AND(업무일지!$F990=$B$4,업무일지!$B990&lt;&gt;""),업무일지!$B990*10000+986,"")</f>
        <v/>
      </c>
      <c r="BH986">
        <f>IF(AND(일일실시사항!$G990=$B$4,일일실시사항!$B990&lt;&gt;""),일일실시사항!$B990*10000+986,"")</f>
        <v/>
      </c>
    </row>
    <row r="987">
      <c r="BF987">
        <f>IF(AND(업무일지!$F991=$B$4,업무일지!$B991&lt;&gt;""),업무일지!$B991*10000+987,"")</f>
        <v/>
      </c>
      <c r="BH987">
        <f>IF(AND(일일실시사항!$G991=$B$4,일일실시사항!$B991&lt;&gt;""),일일실시사항!$B991*10000+987,"")</f>
        <v/>
      </c>
    </row>
    <row r="988">
      <c r="BF988">
        <f>IF(AND(업무일지!$F992=$B$4,업무일지!$B992&lt;&gt;""),업무일지!$B992*10000+988,"")</f>
        <v/>
      </c>
      <c r="BH988">
        <f>IF(AND(일일실시사항!$G992=$B$4,일일실시사항!$B992&lt;&gt;""),일일실시사항!$B992*10000+988,"")</f>
        <v/>
      </c>
    </row>
    <row r="989">
      <c r="BF989">
        <f>IF(AND(업무일지!$F993=$B$4,업무일지!$B993&lt;&gt;""),업무일지!$B993*10000+989,"")</f>
        <v/>
      </c>
      <c r="BH989">
        <f>IF(AND(일일실시사항!$G993=$B$4,일일실시사항!$B993&lt;&gt;""),일일실시사항!$B993*10000+989,"")</f>
        <v/>
      </c>
    </row>
    <row r="990">
      <c r="BF990">
        <f>IF(AND(업무일지!$F994=$B$4,업무일지!$B994&lt;&gt;""),업무일지!$B994*10000+990,"")</f>
        <v/>
      </c>
      <c r="BH990">
        <f>IF(AND(일일실시사항!$G994=$B$4,일일실시사항!$B994&lt;&gt;""),일일실시사항!$B994*10000+990,"")</f>
        <v/>
      </c>
    </row>
    <row r="991">
      <c r="BF991">
        <f>IF(AND(업무일지!$F995=$B$4,업무일지!$B995&lt;&gt;""),업무일지!$B995*10000+991,"")</f>
        <v/>
      </c>
      <c r="BH991">
        <f>IF(AND(일일실시사항!$G995=$B$4,일일실시사항!$B995&lt;&gt;""),일일실시사항!$B995*10000+991,"")</f>
        <v/>
      </c>
    </row>
    <row r="992">
      <c r="BF992">
        <f>IF(AND(업무일지!$F996=$B$4,업무일지!$B996&lt;&gt;""),업무일지!$B996*10000+992,"")</f>
        <v/>
      </c>
      <c r="BH992">
        <f>IF(AND(일일실시사항!$G996=$B$4,일일실시사항!$B996&lt;&gt;""),일일실시사항!$B996*10000+992,"")</f>
        <v/>
      </c>
    </row>
    <row r="993">
      <c r="BF993">
        <f>IF(AND(업무일지!$F997=$B$4,업무일지!$B997&lt;&gt;""),업무일지!$B997*10000+993,"")</f>
        <v/>
      </c>
      <c r="BH993">
        <f>IF(AND(일일실시사항!$G997=$B$4,일일실시사항!$B997&lt;&gt;""),일일실시사항!$B997*10000+993,"")</f>
        <v/>
      </c>
    </row>
    <row r="994">
      <c r="BF994">
        <f>IF(AND(업무일지!$F998=$B$4,업무일지!$B998&lt;&gt;""),업무일지!$B998*10000+994,"")</f>
        <v/>
      </c>
      <c r="BH994">
        <f>IF(AND(일일실시사항!$G998=$B$4,일일실시사항!$B998&lt;&gt;""),일일실시사항!$B998*10000+994,"")</f>
        <v/>
      </c>
    </row>
    <row r="995">
      <c r="BF995">
        <f>IF(AND(업무일지!$F999=$B$4,업무일지!$B999&lt;&gt;""),업무일지!$B999*10000+995,"")</f>
        <v/>
      </c>
      <c r="BH995">
        <f>IF(AND(일일실시사항!$G999=$B$4,일일실시사항!$B999&lt;&gt;""),일일실시사항!$B999*10000+995,"")</f>
        <v/>
      </c>
    </row>
    <row r="996">
      <c r="BF996">
        <f>IF(AND(업무일지!$F1000=$B$4,업무일지!$B1000&lt;&gt;""),업무일지!$B1000*10000+996,"")</f>
        <v/>
      </c>
      <c r="BH996">
        <f>IF(AND(일일실시사항!$G1000=$B$4,일일실시사항!$B1000&lt;&gt;""),일일실시사항!$B1000*10000+996,"")</f>
        <v/>
      </c>
    </row>
    <row r="997">
      <c r="BF997">
        <f>IF(AND(업무일지!$F1001=$B$4,업무일지!$B1001&lt;&gt;""),업무일지!$B1001*10000+997,"")</f>
        <v/>
      </c>
      <c r="BH997">
        <f>IF(AND(일일실시사항!$G1001=$B$4,일일실시사항!$B1001&lt;&gt;""),일일실시사항!$B1001*10000+997,"")</f>
        <v/>
      </c>
    </row>
    <row r="998">
      <c r="BF998">
        <f>IF(AND(업무일지!$F1002=$B$4,업무일지!$B1002&lt;&gt;""),업무일지!$B1002*10000+998,"")</f>
        <v/>
      </c>
      <c r="BH998">
        <f>IF(AND(일일실시사항!$G1002=$B$4,일일실시사항!$B1002&lt;&gt;""),일일실시사항!$B1002*10000+998,"")</f>
        <v/>
      </c>
    </row>
    <row r="999">
      <c r="BF999">
        <f>IF(AND(업무일지!$F1003=$B$4,업무일지!$B1003&lt;&gt;""),업무일지!$B1003*10000+999,"")</f>
        <v/>
      </c>
      <c r="BH999">
        <f>IF(AND(일일실시사항!$G1003=$B$4,일일실시사항!$B1003&lt;&gt;""),일일실시사항!$B1003*10000+999,"")</f>
        <v/>
      </c>
    </row>
    <row r="1000">
      <c r="BF1000">
        <f>IF(AND(업무일지!$F1004=$B$4,업무일지!$B1004&lt;&gt;""),업무일지!$B1004*10000+1000,"")</f>
        <v/>
      </c>
      <c r="BH1000">
        <f>IF(AND(일일실시사항!$G1004=$B$4,일일실시사항!$B1004&lt;&gt;""),일일실시사항!$B1004*10000+1000,"")</f>
        <v/>
      </c>
    </row>
  </sheetData>
  <mergeCells count="1">
    <mergeCell ref="G7:I7"/>
  </mergeCells>
  <conditionalFormatting sqref="A11:L70">
    <cfRule type="expression" priority="1" dxfId="2" stopIfTrue="0">
      <formula>$K11="완료"</formula>
    </cfRule>
    <cfRule type="expression" priority="2" dxfId="3" stopIfTrue="0">
      <formula>$K11="보류"</formula>
    </cfRule>
  </conditionalFormatting>
  <dataValidations count="1">
    <dataValidation sqref="B4" showDropDown="0" showInputMessage="0" showErrorMessage="0" allowBlank="1" type="list">
      <formula1>목록_사건번호</formula1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&amp;L&amp;"Arial"&amp;9사건 이력 조회&amp;R&amp;"Arial"&amp;9인쇄 &amp;D</oddHeader>
    <oddFooter>&amp;C&amp;"Arial"&amp;9&amp;P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BE40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34" customWidth="1" min="4" max="4"/>
    <col width="30" customWidth="1" min="5" max="5"/>
    <col width="12" customWidth="1" min="6" max="6"/>
    <col width="15" customWidth="1" min="7" max="7"/>
    <col width="18" customWidth="1" min="8" max="8"/>
    <col width="11" customWidth="1" min="9" max="9"/>
    <col hidden="1" width="3" customWidth="1" min="10" max="10"/>
    <col hidden="1" width="3" customWidth="1" min="11" max="11"/>
    <col hidden="1" width="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</cols>
  <sheetData>
    <row r="1" ht="24" customHeight="1">
      <c r="A1" s="6" t="inlineStr">
        <is>
          <t>사업별 현황  ·  추진 경과 추적</t>
        </is>
      </c>
      <c r="BA1">
        <f>IF(AND(사업추진일지!$C5=$B$4,사업추진일지!$B5&lt;&gt;""),사업추진일지!$B5*10000+1,"")</f>
        <v/>
      </c>
    </row>
    <row r="2" ht="26" customHeight="1">
      <c r="A2" s="7" t="inlineStr">
        <is>
          <t>※ 노란 칸에서 사업번호를 고르면 그 사업이 언제 무슨 일을 했는지 전부 정리됩니다.  ※ 입력할 것은 사업번호 하나뿐이며 나머지는 자동입니다.  ※ 예산이 없는 사업은 집행률·잔액이 빈칸으로 남습니다.</t>
        </is>
      </c>
      <c r="BA2">
        <f>IF(AND(사업추진일지!$C6=$B$4,사업추진일지!$B6&lt;&gt;""),사업추진일지!$B6*10000+2,"")</f>
        <v/>
      </c>
    </row>
    <row r="3">
      <c r="BA3">
        <f>IF(AND(사업추진일지!$C7=$B$4,사업추진일지!$B7&lt;&gt;""),사업추진일지!$B7*10000+3,"")</f>
        <v/>
      </c>
    </row>
    <row r="4">
      <c r="A4" s="85" t="inlineStr">
        <is>
          <t>사업번호 선택 →</t>
        </is>
      </c>
      <c r="B4" s="86" t="n"/>
      <c r="BA4">
        <f>IF(AND(사업추진일지!$C8=$B$4,사업추진일지!$B8&lt;&gt;""),사업추진일지!$B8*10000+4,"")</f>
        <v/>
      </c>
    </row>
    <row r="5">
      <c r="BA5">
        <f>IF(AND(사업추진일지!$C9=$B$4,사업추진일지!$B9&lt;&gt;""),사업추진일지!$B9*10000+5,"")</f>
        <v/>
      </c>
    </row>
    <row r="6" ht="30" customHeight="1">
      <c r="A6" s="23" t="inlineStr">
        <is>
          <t>사업명</t>
        </is>
      </c>
      <c r="B6" s="23" t="inlineStr">
        <is>
          <t>연도</t>
        </is>
      </c>
      <c r="C6" s="23" t="inlineStr">
        <is>
          <t>사업 구분</t>
        </is>
      </c>
      <c r="D6" s="23" t="inlineStr">
        <is>
          <t>주관팀</t>
        </is>
      </c>
      <c r="E6" s="23" t="inlineStr">
        <is>
          <t>총괄 담당자</t>
        </is>
      </c>
      <c r="F6" s="23" t="inlineStr">
        <is>
          <t>진행상태</t>
        </is>
      </c>
      <c r="G6" s="23" t="inlineStr">
        <is>
          <t>현재 단계</t>
        </is>
      </c>
      <c r="H6" s="23" t="inlineStr">
        <is>
          <t>진척률</t>
        </is>
      </c>
      <c r="BA6">
        <f>IF(AND(사업추진일지!$C10=$B$4,사업추진일지!$B10&lt;&gt;""),사업추진일지!$B10*10000+6,"")</f>
        <v/>
      </c>
    </row>
    <row r="7">
      <c r="A7" s="131">
        <f>IF($B$4="","",IFERROR(INDEX(사업마스터!$B$5:$B$34,MATCH($B$4,사업마스터!$A$5:$A$34,0)),"※ 미등록 사업번호"))</f>
        <v/>
      </c>
      <c r="B7" s="88">
        <f>IF($B$4="","",IFERROR(INDEX(사업마스터!$C$5:$C$34,MATCH($B$4,사업마스터!$A$5:$A$34,0)),""))</f>
        <v/>
      </c>
      <c r="C7" s="136">
        <f>IF($B$4="","",IFERROR(INDEX(사업마스터!$D$5:$D$34,MATCH($B$4,사업마스터!$A$5:$A$34,0)),""))</f>
        <v/>
      </c>
      <c r="D7" s="136">
        <f>IF($B$4="","",IFERROR(INDEX(사업마스터!$E$5:$E$34,MATCH($B$4,사업마스터!$A$5:$A$34,0)),""))</f>
        <v/>
      </c>
      <c r="E7" s="136">
        <f>IF($B$4="","",IFERROR(INDEX(사업마스터!$F$5:$F$34,MATCH($B$4,사업마스터!$A$5:$A$34,0)),""))</f>
        <v/>
      </c>
      <c r="F7" s="136">
        <f>IF($B$4="","",IFERROR(INDEX(사업마스터!$P$5:$P$34,MATCH($B$4,사업마스터!$A$5:$A$34,0)),""))</f>
        <v/>
      </c>
      <c r="G7" s="136">
        <f>IF($B$4="","",IFERROR(INDEX(사업마스터!$M$5:$M$34,MATCH($B$4,사업마스터!$A$5:$A$34,0)),""))</f>
        <v/>
      </c>
      <c r="H7" s="138">
        <f>IF($B$4="","",IFERROR(INDEX(사업마스터!$N$5:$N$34,MATCH($B$4,사업마스터!$A$5:$A$34,0)),0))</f>
        <v/>
      </c>
      <c r="BA7">
        <f>IF(AND(사업추진일지!$C11=$B$4,사업추진일지!$B11&lt;&gt;""),사업추진일지!$B11*10000+7,"")</f>
        <v/>
      </c>
    </row>
    <row r="8">
      <c r="BA8">
        <f>IF(AND(사업추진일지!$C12=$B$4,사업추진일지!$B12&lt;&gt;""),사업추진일지!$B12*10000+8,"")</f>
        <v/>
      </c>
    </row>
    <row r="9" ht="20" customHeight="1">
      <c r="A9" s="21" t="inlineStr">
        <is>
          <t>1.  예산 집행</t>
        </is>
      </c>
      <c r="B9" s="22" t="n"/>
      <c r="C9" s="22" t="n"/>
      <c r="D9" s="22" t="n"/>
      <c r="E9" s="22" t="n"/>
      <c r="F9" s="22" t="n"/>
      <c r="G9" s="22" t="n"/>
      <c r="H9" s="22" t="n"/>
      <c r="BA9">
        <f>IF(AND(사업추진일지!$C13=$B$4,사업추진일지!$B13&lt;&gt;""),사업추진일지!$B13*10000+9,"")</f>
        <v/>
      </c>
    </row>
    <row r="10" ht="30" customHeight="1">
      <c r="A10" s="23" t="inlineStr">
        <is>
          <t>예산액(원)</t>
        </is>
      </c>
      <c r="B10" s="23" t="inlineStr">
        <is>
          <t>집행액(원)</t>
        </is>
      </c>
      <c r="C10" s="23" t="inlineStr">
        <is>
          <t>잔액(원)</t>
        </is>
      </c>
      <c r="D10" s="23" t="inlineStr">
        <is>
          <t>집행률</t>
        </is>
      </c>
      <c r="E10" s="23" t="inlineStr">
        <is>
          <t>추진 건수</t>
        </is>
      </c>
      <c r="F10" s="23" t="inlineStr">
        <is>
          <t>최초 기록일</t>
        </is>
      </c>
      <c r="G10" s="23" t="inlineStr">
        <is>
          <t>최종 기록일</t>
        </is>
      </c>
      <c r="H10" s="23" t="inlineStr">
        <is>
          <t>경과일</t>
        </is>
      </c>
      <c r="BA10">
        <f>IF(AND(사업추진일지!$C14=$B$4,사업추진일지!$B14&lt;&gt;""),사업추진일지!$B14*10000+10,"")</f>
        <v/>
      </c>
    </row>
    <row r="11">
      <c r="A11" s="139">
        <f>IF($B$4="","",IFERROR(INDEX(사업마스터!$G$5:$G$34,MATCH($B$4,사업마스터!$A$5:$A$34,0)),""))</f>
        <v/>
      </c>
      <c r="B11" s="139">
        <f>IF($B$4="","",IFERROR(INDEX(사업마스터!$H$5:$H$34,MATCH($B$4,사업마스터!$A$5:$A$34,0)),""))</f>
        <v/>
      </c>
      <c r="C11" s="139">
        <f>IF($B$4="","",IFERROR(INDEX(사업마스터!$J$5:$J$34,MATCH($B$4,사업마스터!$A$5:$A$34,0)),""))</f>
        <v/>
      </c>
      <c r="D11" s="140">
        <f>IF($B$4="","",IFERROR(INDEX(사업마스터!$I$5:$I$34,MATCH($B$4,사업마스터!$A$5:$A$34,0)),""))</f>
        <v/>
      </c>
      <c r="E11" s="129">
        <f>IF($B$4="","",IFERROR(INDEX(사업마스터!$O$5:$O$34,MATCH($B$4,사업마스터!$A$5:$A$34,0)),""))</f>
        <v/>
      </c>
      <c r="F11" s="123">
        <f>IF($BD$11=0,"",1000000-$BD$11)</f>
        <v/>
      </c>
      <c r="G11" s="123">
        <f>IF($BD$12=0,"",$BD$12)</f>
        <v/>
      </c>
      <c r="H11" s="118">
        <f>IF(OR($F11="",$G11=""),"",$G11-$F11+1)</f>
        <v/>
      </c>
      <c r="BA11">
        <f>IF(AND(사업추진일지!$C15=$B$4,사업추진일지!$B15&lt;&gt;""),사업추진일지!$B15*10000+11,"")</f>
        <v/>
      </c>
      <c r="BD11">
        <f>IF($B$4="",0,SUMPRODUCT(MAX((사업추진일지!$C$5:$C$404=$B$4)*(사업추진일지!$B$5:$B$404&gt;0)*(1000000-사업추진일지!$B$5:$B$404))))</f>
        <v/>
      </c>
    </row>
    <row r="12">
      <c r="A12" s="96">
        <f>IF($B$4="","",IF(IFERROR(INDEX(사업마스터!$G$5:$G$34,MATCH($B$4,사업마스터!$A$5:$A$34,0)),"")="","※ 예산이 배정되지 않은 사업입니다 — 집행률·잔액은 표시되지 않습니다.",""))</f>
        <v/>
      </c>
      <c r="BA12">
        <f>IF(AND(사업추진일지!$C16=$B$4,사업추진일지!$B16&lt;&gt;""),사업추진일지!$B16*10000+12,"")</f>
        <v/>
      </c>
      <c r="BD12">
        <f>IF($B$4="",0,SUMPRODUCT(MAX((사업추진일지!$C$5:$C$404=$B$4)*사업추진일지!$B$5:$B$404)))</f>
        <v/>
      </c>
    </row>
    <row r="13">
      <c r="BA13">
        <f>IF(AND(사업추진일지!$C17=$B$4,사업추진일지!$B17&lt;&gt;""),사업추진일지!$B17*10000+13,"")</f>
        <v/>
      </c>
    </row>
    <row r="14" ht="20" customHeight="1">
      <c r="A14" s="21" t="inlineStr">
        <is>
          <t>2.  단계별 추진 현황</t>
        </is>
      </c>
      <c r="B14" s="22" t="n"/>
      <c r="C14" s="22" t="n"/>
      <c r="D14" s="22" t="n"/>
      <c r="E14" s="22" t="n"/>
      <c r="F14" s="22" t="n"/>
      <c r="BA14">
        <f>IF(AND(사업추진일지!$C18=$B$4,사업추진일지!$B18&lt;&gt;""),사업추진일지!$B18*10000+14,"")</f>
        <v/>
      </c>
    </row>
    <row r="15" ht="30" customHeight="1">
      <c r="A15" s="23" t="inlineStr">
        <is>
          <t>추진 단계</t>
        </is>
      </c>
      <c r="B15" s="23" t="inlineStr">
        <is>
          <t>기록 건수</t>
        </is>
      </c>
      <c r="C15" s="23" t="inlineStr">
        <is>
          <t>집행액(원)</t>
        </is>
      </c>
      <c r="D15" s="23" t="inlineStr">
        <is>
          <t>최초 일자</t>
        </is>
      </c>
      <c r="E15" s="23" t="inlineStr">
        <is>
          <t>최종 일자</t>
        </is>
      </c>
      <c r="F15" s="23" t="inlineStr">
        <is>
          <t>도달</t>
        </is>
      </c>
      <c r="BA15">
        <f>IF(AND(사업추진일지!$C19=$B$4,사업추진일지!$B19&lt;&gt;""),사업추진일지!$B19*10000+15,"")</f>
        <v/>
      </c>
    </row>
    <row r="16">
      <c r="A16" s="107">
        <f>IF(코드설정!$S5="","",코드설정!$S5)</f>
        <v/>
      </c>
      <c r="B16" s="129">
        <f>IF(OR($B$4="",$A16=""),"",COUNTIFS(사업추진일지!$C$5:$C$404,$B$4,사업추진일지!$E$5:$E$404,$A16))</f>
        <v/>
      </c>
      <c r="C16" s="139">
        <f>IF(OR($B$4="",$A16=""),"",SUMIFS(사업추진일지!$I$5:$I$404,사업추진일지!$C$5:$C$404,$B$4,사업추진일지!$E$5:$E$404,$A16))</f>
        <v/>
      </c>
      <c r="D16" s="123">
        <f>IF($BD16=0,"",1000000-$BD16)</f>
        <v/>
      </c>
      <c r="E16" s="123">
        <f>IF($BE16=0,"",$BE16)</f>
        <v/>
      </c>
      <c r="F16" s="130">
        <f>IF(OR($B$4="",$A16=""),"",IF($B16&gt;0,"○","-"))</f>
        <v/>
      </c>
      <c r="BA16">
        <f>IF(AND(사업추진일지!$C20=$B$4,사업추진일지!$B20&lt;&gt;""),사업추진일지!$B20*10000+16,"")</f>
        <v/>
      </c>
      <c r="BD16">
        <f>IF(OR($B$4="",$A16=""),0,SUMPRODUCT(MAX((사업추진일지!$C$5:$C$404=$B$4)*(사업추진일지!$E$5:$E$404=$A16)*(사업추진일지!$B$5:$B$404&gt;0)*(1000000-사업추진일지!$B$5:$B$404))))</f>
        <v/>
      </c>
      <c r="BE16">
        <f>IF(OR($B$4="",$A16=""),0,SUMPRODUCT(MAX((사업추진일지!$C$5:$C$404=$B$4)*(사업추진일지!$E$5:$E$404=$A16)*사업추진일지!$B$5:$B$404)))</f>
        <v/>
      </c>
    </row>
    <row r="17">
      <c r="A17" s="107">
        <f>IF(코드설정!$S6="","",코드설정!$S6)</f>
        <v/>
      </c>
      <c r="B17" s="129">
        <f>IF(OR($B$4="",$A17=""),"",COUNTIFS(사업추진일지!$C$5:$C$404,$B$4,사업추진일지!$E$5:$E$404,$A17))</f>
        <v/>
      </c>
      <c r="C17" s="139">
        <f>IF(OR($B$4="",$A17=""),"",SUMIFS(사업추진일지!$I$5:$I$404,사업추진일지!$C$5:$C$404,$B$4,사업추진일지!$E$5:$E$404,$A17))</f>
        <v/>
      </c>
      <c r="D17" s="123">
        <f>IF($BD17=0,"",1000000-$BD17)</f>
        <v/>
      </c>
      <c r="E17" s="123">
        <f>IF($BE17=0,"",$BE17)</f>
        <v/>
      </c>
      <c r="F17" s="130">
        <f>IF(OR($B$4="",$A17=""),"",IF($B17&gt;0,"○","-"))</f>
        <v/>
      </c>
      <c r="BA17">
        <f>IF(AND(사업추진일지!$C21=$B$4,사업추진일지!$B21&lt;&gt;""),사업추진일지!$B21*10000+17,"")</f>
        <v/>
      </c>
      <c r="BD17">
        <f>IF(OR($B$4="",$A17=""),0,SUMPRODUCT(MAX((사업추진일지!$C$5:$C$404=$B$4)*(사업추진일지!$E$5:$E$404=$A17)*(사업추진일지!$B$5:$B$404&gt;0)*(1000000-사업추진일지!$B$5:$B$404))))</f>
        <v/>
      </c>
      <c r="BE17">
        <f>IF(OR($B$4="",$A17=""),0,SUMPRODUCT(MAX((사업추진일지!$C$5:$C$404=$B$4)*(사업추진일지!$E$5:$E$404=$A17)*사업추진일지!$B$5:$B$404)))</f>
        <v/>
      </c>
    </row>
    <row r="18">
      <c r="A18" s="107">
        <f>IF(코드설정!$S7="","",코드설정!$S7)</f>
        <v/>
      </c>
      <c r="B18" s="129">
        <f>IF(OR($B$4="",$A18=""),"",COUNTIFS(사업추진일지!$C$5:$C$404,$B$4,사업추진일지!$E$5:$E$404,$A18))</f>
        <v/>
      </c>
      <c r="C18" s="139">
        <f>IF(OR($B$4="",$A18=""),"",SUMIFS(사업추진일지!$I$5:$I$404,사업추진일지!$C$5:$C$404,$B$4,사업추진일지!$E$5:$E$404,$A18))</f>
        <v/>
      </c>
      <c r="D18" s="123">
        <f>IF($BD18=0,"",1000000-$BD18)</f>
        <v/>
      </c>
      <c r="E18" s="123">
        <f>IF($BE18=0,"",$BE18)</f>
        <v/>
      </c>
      <c r="F18" s="130">
        <f>IF(OR($B$4="",$A18=""),"",IF($B18&gt;0,"○","-"))</f>
        <v/>
      </c>
      <c r="BA18">
        <f>IF(AND(사업추진일지!$C22=$B$4,사업추진일지!$B22&lt;&gt;""),사업추진일지!$B22*10000+18,"")</f>
        <v/>
      </c>
      <c r="BD18">
        <f>IF(OR($B$4="",$A18=""),0,SUMPRODUCT(MAX((사업추진일지!$C$5:$C$404=$B$4)*(사업추진일지!$E$5:$E$404=$A18)*(사업추진일지!$B$5:$B$404&gt;0)*(1000000-사업추진일지!$B$5:$B$404))))</f>
        <v/>
      </c>
      <c r="BE18">
        <f>IF(OR($B$4="",$A18=""),0,SUMPRODUCT(MAX((사업추진일지!$C$5:$C$404=$B$4)*(사업추진일지!$E$5:$E$404=$A18)*사업추진일지!$B$5:$B$404)))</f>
        <v/>
      </c>
    </row>
    <row r="19">
      <c r="A19" s="107">
        <f>IF(코드설정!$S8="","",코드설정!$S8)</f>
        <v/>
      </c>
      <c r="B19" s="129">
        <f>IF(OR($B$4="",$A19=""),"",COUNTIFS(사업추진일지!$C$5:$C$404,$B$4,사업추진일지!$E$5:$E$404,$A19))</f>
        <v/>
      </c>
      <c r="C19" s="139">
        <f>IF(OR($B$4="",$A19=""),"",SUMIFS(사업추진일지!$I$5:$I$404,사업추진일지!$C$5:$C$404,$B$4,사업추진일지!$E$5:$E$404,$A19))</f>
        <v/>
      </c>
      <c r="D19" s="123">
        <f>IF($BD19=0,"",1000000-$BD19)</f>
        <v/>
      </c>
      <c r="E19" s="123">
        <f>IF($BE19=0,"",$BE19)</f>
        <v/>
      </c>
      <c r="F19" s="130">
        <f>IF(OR($B$4="",$A19=""),"",IF($B19&gt;0,"○","-"))</f>
        <v/>
      </c>
      <c r="BA19">
        <f>IF(AND(사업추진일지!$C23=$B$4,사업추진일지!$B23&lt;&gt;""),사업추진일지!$B23*10000+19,"")</f>
        <v/>
      </c>
      <c r="BD19">
        <f>IF(OR($B$4="",$A19=""),0,SUMPRODUCT(MAX((사업추진일지!$C$5:$C$404=$B$4)*(사업추진일지!$E$5:$E$404=$A19)*(사업추진일지!$B$5:$B$404&gt;0)*(1000000-사업추진일지!$B$5:$B$404))))</f>
        <v/>
      </c>
      <c r="BE19">
        <f>IF(OR($B$4="",$A19=""),0,SUMPRODUCT(MAX((사업추진일지!$C$5:$C$404=$B$4)*(사업추진일지!$E$5:$E$404=$A19)*사업추진일지!$B$5:$B$404)))</f>
        <v/>
      </c>
    </row>
    <row r="20">
      <c r="A20" s="107">
        <f>IF(코드설정!$S9="","",코드설정!$S9)</f>
        <v/>
      </c>
      <c r="B20" s="129">
        <f>IF(OR($B$4="",$A20=""),"",COUNTIFS(사업추진일지!$C$5:$C$404,$B$4,사업추진일지!$E$5:$E$404,$A20))</f>
        <v/>
      </c>
      <c r="C20" s="139">
        <f>IF(OR($B$4="",$A20=""),"",SUMIFS(사업추진일지!$I$5:$I$404,사업추진일지!$C$5:$C$404,$B$4,사업추진일지!$E$5:$E$404,$A20))</f>
        <v/>
      </c>
      <c r="D20" s="123">
        <f>IF($BD20=0,"",1000000-$BD20)</f>
        <v/>
      </c>
      <c r="E20" s="123">
        <f>IF($BE20=0,"",$BE20)</f>
        <v/>
      </c>
      <c r="F20" s="130">
        <f>IF(OR($B$4="",$A20=""),"",IF($B20&gt;0,"○","-"))</f>
        <v/>
      </c>
      <c r="BA20">
        <f>IF(AND(사업추진일지!$C24=$B$4,사업추진일지!$B24&lt;&gt;""),사업추진일지!$B24*10000+20,"")</f>
        <v/>
      </c>
      <c r="BD20">
        <f>IF(OR($B$4="",$A20=""),0,SUMPRODUCT(MAX((사업추진일지!$C$5:$C$404=$B$4)*(사업추진일지!$E$5:$E$404=$A20)*(사업추진일지!$B$5:$B$404&gt;0)*(1000000-사업추진일지!$B$5:$B$404))))</f>
        <v/>
      </c>
      <c r="BE20">
        <f>IF(OR($B$4="",$A20=""),0,SUMPRODUCT(MAX((사업추진일지!$C$5:$C$404=$B$4)*(사업추진일지!$E$5:$E$404=$A20)*사업추진일지!$B$5:$B$404)))</f>
        <v/>
      </c>
    </row>
    <row r="21">
      <c r="A21" s="107">
        <f>IF(코드설정!$S10="","",코드설정!$S10)</f>
        <v/>
      </c>
      <c r="B21" s="129">
        <f>IF(OR($B$4="",$A21=""),"",COUNTIFS(사업추진일지!$C$5:$C$404,$B$4,사업추진일지!$E$5:$E$404,$A21))</f>
        <v/>
      </c>
      <c r="C21" s="139">
        <f>IF(OR($B$4="",$A21=""),"",SUMIFS(사업추진일지!$I$5:$I$404,사업추진일지!$C$5:$C$404,$B$4,사업추진일지!$E$5:$E$404,$A21))</f>
        <v/>
      </c>
      <c r="D21" s="123">
        <f>IF($BD21=0,"",1000000-$BD21)</f>
        <v/>
      </c>
      <c r="E21" s="123">
        <f>IF($BE21=0,"",$BE21)</f>
        <v/>
      </c>
      <c r="F21" s="130">
        <f>IF(OR($B$4="",$A21=""),"",IF($B21&gt;0,"○","-"))</f>
        <v/>
      </c>
      <c r="BA21">
        <f>IF(AND(사업추진일지!$C25=$B$4,사업추진일지!$B25&lt;&gt;""),사업추진일지!$B25*10000+21,"")</f>
        <v/>
      </c>
      <c r="BD21">
        <f>IF(OR($B$4="",$A21=""),0,SUMPRODUCT(MAX((사업추진일지!$C$5:$C$404=$B$4)*(사업추진일지!$E$5:$E$404=$A21)*(사업추진일지!$B$5:$B$404&gt;0)*(1000000-사업추진일지!$B$5:$B$404))))</f>
        <v/>
      </c>
      <c r="BE21">
        <f>IF(OR($B$4="",$A21=""),0,SUMPRODUCT(MAX((사업추진일지!$C$5:$C$404=$B$4)*(사업추진일지!$E$5:$E$404=$A21)*사업추진일지!$B$5:$B$404)))</f>
        <v/>
      </c>
    </row>
    <row r="22">
      <c r="A22" s="112" t="inlineStr">
        <is>
          <t>합계</t>
        </is>
      </c>
      <c r="B22" s="113">
        <f>SUM(B16:B21)</f>
        <v/>
      </c>
      <c r="C22" s="101">
        <f>SUM(C16:C21)</f>
        <v/>
      </c>
      <c r="D22" s="141" t="inlineStr"/>
      <c r="E22" s="141" t="inlineStr"/>
      <c r="F22" s="141">
        <f>IF($B$4="","",COUNTIF(F16:F21,"○")&amp;" / "&amp;6)</f>
        <v/>
      </c>
      <c r="BA22">
        <f>IF(AND(사업추진일지!$C26=$B$4,사업추진일지!$B26&lt;&gt;""),사업추진일지!$B26*10000+22,"")</f>
        <v/>
      </c>
    </row>
    <row r="23">
      <c r="A23" s="7" t="inlineStr">
        <is>
          <t>※ 단계를 적지 않은 기록은 단계별 표에 잡히지 않습니다. 아래 타임라인에는 모두 나옵니다 — 그래서 단계별 합계가 전체 추진 건수보다 적을 수 있습니다.</t>
        </is>
      </c>
      <c r="BA23">
        <f>IF(AND(사업추진일지!$C27=$B$4,사업추진일지!$B27&lt;&gt;""),사업추진일지!$B27*10000+23,"")</f>
        <v/>
      </c>
    </row>
    <row r="24">
      <c r="BA24">
        <f>IF(AND(사업추진일지!$C28=$B$4,사업추진일지!$B28&lt;&gt;""),사업추진일지!$B28*10000+24,"")</f>
        <v/>
      </c>
    </row>
    <row r="25" ht="20" customHeight="1">
      <c r="A25" s="21" t="inlineStr">
        <is>
          <t>3.  추진 타임라인 (날짜순 · 상위 60건)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BA25">
        <f>IF(AND(사업추진일지!$C29=$B$4,사업추진일지!$B29&lt;&gt;""),사업추진일지!$B29*10000+25,"")</f>
        <v/>
      </c>
    </row>
    <row r="26" ht="30" customHeight="1">
      <c r="A26" s="23" t="inlineStr">
        <is>
          <t>순번</t>
        </is>
      </c>
      <c r="B26" s="23" t="inlineStr">
        <is>
          <t>일자</t>
        </is>
      </c>
      <c r="C26" s="23" t="inlineStr">
        <is>
          <t>추진 단계</t>
        </is>
      </c>
      <c r="D26" s="23" t="inlineStr">
        <is>
          <t>추진 내용</t>
        </is>
      </c>
      <c r="E26" s="23" t="inlineStr">
        <is>
          <t>조치 · 결과</t>
        </is>
      </c>
      <c r="F26" s="23" t="inlineStr">
        <is>
          <t>담당자</t>
        </is>
      </c>
      <c r="G26" s="23" t="inlineStr">
        <is>
          <t>집행액(원)</t>
        </is>
      </c>
      <c r="H26" s="23" t="inlineStr">
        <is>
          <t>증빙 · 문서번호</t>
        </is>
      </c>
      <c r="I26" s="23" t="inlineStr">
        <is>
          <t>진행상태</t>
        </is>
      </c>
      <c r="BA26">
        <f>IF(AND(사업추진일지!$C30=$B$4,사업추진일지!$B30&lt;&gt;""),사업추진일지!$B30*10000+26,"")</f>
        <v/>
      </c>
    </row>
    <row r="27">
      <c r="A27" s="118">
        <f>IF($BB27="","",1)</f>
        <v/>
      </c>
      <c r="B27" s="137">
        <f>IF($BB27="","",INDEX(사업추진일지!$B$5:$B$404,$BB27))</f>
        <v/>
      </c>
      <c r="C27" s="136">
        <f>IF($BB27="","",INDEX(사업추진일지!$E$5:$E$404,$BB27))</f>
        <v/>
      </c>
      <c r="D27" s="131">
        <f>IF($BB27="","",INDEX(사업추진일지!$F$5:$F$404,$BB27))</f>
        <v/>
      </c>
      <c r="E27" s="131">
        <f>IF($BB27="","",INDEX(사업추진일지!$G$5:$G$404,$BB27))</f>
        <v/>
      </c>
      <c r="F27" s="136">
        <f>IF($BB27="","",INDEX(사업추진일지!$H$5:$H$404,$BB27))</f>
        <v/>
      </c>
      <c r="G27" s="139">
        <f>IF($BB27="","",INDEX(사업추진일지!$I$5:$I$404,$BB27))</f>
        <v/>
      </c>
      <c r="H27" s="136">
        <f>IF($BB27="","",INDEX(사업추진일지!$J$5:$J$404,$BB27))</f>
        <v/>
      </c>
      <c r="I27" s="136">
        <f>IF($BB27="","",INDEX(사업추진일지!$K$5:$K$404,$BB27))</f>
        <v/>
      </c>
      <c r="BA27">
        <f>IF(AND(사업추진일지!$C31=$B$4,사업추진일지!$B31&lt;&gt;""),사업추진일지!$B31*10000+27,"")</f>
        <v/>
      </c>
      <c r="BB27">
        <f>IFERROR(MATCH(SMALL($BA$1:$BA$400,1),$BA$1:$BA$400,0),"")</f>
        <v/>
      </c>
    </row>
    <row r="28">
      <c r="A28" s="118">
        <f>IF($BB28="","",2)</f>
        <v/>
      </c>
      <c r="B28" s="137">
        <f>IF($BB28="","",INDEX(사업추진일지!$B$5:$B$404,$BB28))</f>
        <v/>
      </c>
      <c r="C28" s="136">
        <f>IF($BB28="","",INDEX(사업추진일지!$E$5:$E$404,$BB28))</f>
        <v/>
      </c>
      <c r="D28" s="131">
        <f>IF($BB28="","",INDEX(사업추진일지!$F$5:$F$404,$BB28))</f>
        <v/>
      </c>
      <c r="E28" s="131">
        <f>IF($BB28="","",INDEX(사업추진일지!$G$5:$G$404,$BB28))</f>
        <v/>
      </c>
      <c r="F28" s="136">
        <f>IF($BB28="","",INDEX(사업추진일지!$H$5:$H$404,$BB28))</f>
        <v/>
      </c>
      <c r="G28" s="139">
        <f>IF($BB28="","",INDEX(사업추진일지!$I$5:$I$404,$BB28))</f>
        <v/>
      </c>
      <c r="H28" s="136">
        <f>IF($BB28="","",INDEX(사업추진일지!$J$5:$J$404,$BB28))</f>
        <v/>
      </c>
      <c r="I28" s="136">
        <f>IF($BB28="","",INDEX(사업추진일지!$K$5:$K$404,$BB28))</f>
        <v/>
      </c>
      <c r="BA28">
        <f>IF(AND(사업추진일지!$C32=$B$4,사업추진일지!$B32&lt;&gt;""),사업추진일지!$B32*10000+28,"")</f>
        <v/>
      </c>
      <c r="BB28">
        <f>IFERROR(MATCH(SMALL($BA$1:$BA$400,2),$BA$1:$BA$400,0),"")</f>
        <v/>
      </c>
    </row>
    <row r="29">
      <c r="A29" s="118">
        <f>IF($BB29="","",3)</f>
        <v/>
      </c>
      <c r="B29" s="137">
        <f>IF($BB29="","",INDEX(사업추진일지!$B$5:$B$404,$BB29))</f>
        <v/>
      </c>
      <c r="C29" s="136">
        <f>IF($BB29="","",INDEX(사업추진일지!$E$5:$E$404,$BB29))</f>
        <v/>
      </c>
      <c r="D29" s="131">
        <f>IF($BB29="","",INDEX(사업추진일지!$F$5:$F$404,$BB29))</f>
        <v/>
      </c>
      <c r="E29" s="131">
        <f>IF($BB29="","",INDEX(사업추진일지!$G$5:$G$404,$BB29))</f>
        <v/>
      </c>
      <c r="F29" s="136">
        <f>IF($BB29="","",INDEX(사업추진일지!$H$5:$H$404,$BB29))</f>
        <v/>
      </c>
      <c r="G29" s="139">
        <f>IF($BB29="","",INDEX(사업추진일지!$I$5:$I$404,$BB29))</f>
        <v/>
      </c>
      <c r="H29" s="136">
        <f>IF($BB29="","",INDEX(사업추진일지!$J$5:$J$404,$BB29))</f>
        <v/>
      </c>
      <c r="I29" s="136">
        <f>IF($BB29="","",INDEX(사업추진일지!$K$5:$K$404,$BB29))</f>
        <v/>
      </c>
      <c r="BA29">
        <f>IF(AND(사업추진일지!$C33=$B$4,사업추진일지!$B33&lt;&gt;""),사업추진일지!$B33*10000+29,"")</f>
        <v/>
      </c>
      <c r="BB29">
        <f>IFERROR(MATCH(SMALL($BA$1:$BA$400,3),$BA$1:$BA$400,0),"")</f>
        <v/>
      </c>
    </row>
    <row r="30">
      <c r="A30" s="118">
        <f>IF($BB30="","",4)</f>
        <v/>
      </c>
      <c r="B30" s="137">
        <f>IF($BB30="","",INDEX(사업추진일지!$B$5:$B$404,$BB30))</f>
        <v/>
      </c>
      <c r="C30" s="136">
        <f>IF($BB30="","",INDEX(사업추진일지!$E$5:$E$404,$BB30))</f>
        <v/>
      </c>
      <c r="D30" s="131">
        <f>IF($BB30="","",INDEX(사업추진일지!$F$5:$F$404,$BB30))</f>
        <v/>
      </c>
      <c r="E30" s="131">
        <f>IF($BB30="","",INDEX(사업추진일지!$G$5:$G$404,$BB30))</f>
        <v/>
      </c>
      <c r="F30" s="136">
        <f>IF($BB30="","",INDEX(사업추진일지!$H$5:$H$404,$BB30))</f>
        <v/>
      </c>
      <c r="G30" s="139">
        <f>IF($BB30="","",INDEX(사업추진일지!$I$5:$I$404,$BB30))</f>
        <v/>
      </c>
      <c r="H30" s="136">
        <f>IF($BB30="","",INDEX(사업추진일지!$J$5:$J$404,$BB30))</f>
        <v/>
      </c>
      <c r="I30" s="136">
        <f>IF($BB30="","",INDEX(사업추진일지!$K$5:$K$404,$BB30))</f>
        <v/>
      </c>
      <c r="BA30">
        <f>IF(AND(사업추진일지!$C34=$B$4,사업추진일지!$B34&lt;&gt;""),사업추진일지!$B34*10000+30,"")</f>
        <v/>
      </c>
      <c r="BB30">
        <f>IFERROR(MATCH(SMALL($BA$1:$BA$400,4),$BA$1:$BA$400,0),"")</f>
        <v/>
      </c>
    </row>
    <row r="31">
      <c r="A31" s="118">
        <f>IF($BB31="","",5)</f>
        <v/>
      </c>
      <c r="B31" s="137">
        <f>IF($BB31="","",INDEX(사업추진일지!$B$5:$B$404,$BB31))</f>
        <v/>
      </c>
      <c r="C31" s="136">
        <f>IF($BB31="","",INDEX(사업추진일지!$E$5:$E$404,$BB31))</f>
        <v/>
      </c>
      <c r="D31" s="131">
        <f>IF($BB31="","",INDEX(사업추진일지!$F$5:$F$404,$BB31))</f>
        <v/>
      </c>
      <c r="E31" s="131">
        <f>IF($BB31="","",INDEX(사업추진일지!$G$5:$G$404,$BB31))</f>
        <v/>
      </c>
      <c r="F31" s="136">
        <f>IF($BB31="","",INDEX(사업추진일지!$H$5:$H$404,$BB31))</f>
        <v/>
      </c>
      <c r="G31" s="139">
        <f>IF($BB31="","",INDEX(사업추진일지!$I$5:$I$404,$BB31))</f>
        <v/>
      </c>
      <c r="H31" s="136">
        <f>IF($BB31="","",INDEX(사업추진일지!$J$5:$J$404,$BB31))</f>
        <v/>
      </c>
      <c r="I31" s="136">
        <f>IF($BB31="","",INDEX(사업추진일지!$K$5:$K$404,$BB31))</f>
        <v/>
      </c>
      <c r="BA31">
        <f>IF(AND(사업추진일지!$C35=$B$4,사업추진일지!$B35&lt;&gt;""),사업추진일지!$B35*10000+31,"")</f>
        <v/>
      </c>
      <c r="BB31">
        <f>IFERROR(MATCH(SMALL($BA$1:$BA$400,5),$BA$1:$BA$400,0),"")</f>
        <v/>
      </c>
    </row>
    <row r="32">
      <c r="A32" s="118">
        <f>IF($BB32="","",6)</f>
        <v/>
      </c>
      <c r="B32" s="137">
        <f>IF($BB32="","",INDEX(사업추진일지!$B$5:$B$404,$BB32))</f>
        <v/>
      </c>
      <c r="C32" s="136">
        <f>IF($BB32="","",INDEX(사업추진일지!$E$5:$E$404,$BB32))</f>
        <v/>
      </c>
      <c r="D32" s="131">
        <f>IF($BB32="","",INDEX(사업추진일지!$F$5:$F$404,$BB32))</f>
        <v/>
      </c>
      <c r="E32" s="131">
        <f>IF($BB32="","",INDEX(사업추진일지!$G$5:$G$404,$BB32))</f>
        <v/>
      </c>
      <c r="F32" s="136">
        <f>IF($BB32="","",INDEX(사업추진일지!$H$5:$H$404,$BB32))</f>
        <v/>
      </c>
      <c r="G32" s="139">
        <f>IF($BB32="","",INDEX(사업추진일지!$I$5:$I$404,$BB32))</f>
        <v/>
      </c>
      <c r="H32" s="136">
        <f>IF($BB32="","",INDEX(사업추진일지!$J$5:$J$404,$BB32))</f>
        <v/>
      </c>
      <c r="I32" s="136">
        <f>IF($BB32="","",INDEX(사업추진일지!$K$5:$K$404,$BB32))</f>
        <v/>
      </c>
      <c r="BA32">
        <f>IF(AND(사업추진일지!$C36=$B$4,사업추진일지!$B36&lt;&gt;""),사업추진일지!$B36*10000+32,"")</f>
        <v/>
      </c>
      <c r="BB32">
        <f>IFERROR(MATCH(SMALL($BA$1:$BA$400,6),$BA$1:$BA$400,0),"")</f>
        <v/>
      </c>
    </row>
    <row r="33">
      <c r="A33" s="118">
        <f>IF($BB33="","",7)</f>
        <v/>
      </c>
      <c r="B33" s="137">
        <f>IF($BB33="","",INDEX(사업추진일지!$B$5:$B$404,$BB33))</f>
        <v/>
      </c>
      <c r="C33" s="136">
        <f>IF($BB33="","",INDEX(사업추진일지!$E$5:$E$404,$BB33))</f>
        <v/>
      </c>
      <c r="D33" s="131">
        <f>IF($BB33="","",INDEX(사업추진일지!$F$5:$F$404,$BB33))</f>
        <v/>
      </c>
      <c r="E33" s="131">
        <f>IF($BB33="","",INDEX(사업추진일지!$G$5:$G$404,$BB33))</f>
        <v/>
      </c>
      <c r="F33" s="136">
        <f>IF($BB33="","",INDEX(사업추진일지!$H$5:$H$404,$BB33))</f>
        <v/>
      </c>
      <c r="G33" s="139">
        <f>IF($BB33="","",INDEX(사업추진일지!$I$5:$I$404,$BB33))</f>
        <v/>
      </c>
      <c r="H33" s="136">
        <f>IF($BB33="","",INDEX(사업추진일지!$J$5:$J$404,$BB33))</f>
        <v/>
      </c>
      <c r="I33" s="136">
        <f>IF($BB33="","",INDEX(사업추진일지!$K$5:$K$404,$BB33))</f>
        <v/>
      </c>
      <c r="BA33">
        <f>IF(AND(사업추진일지!$C37=$B$4,사업추진일지!$B37&lt;&gt;""),사업추진일지!$B37*10000+33,"")</f>
        <v/>
      </c>
      <c r="BB33">
        <f>IFERROR(MATCH(SMALL($BA$1:$BA$400,7),$BA$1:$BA$400,0),"")</f>
        <v/>
      </c>
    </row>
    <row r="34">
      <c r="A34" s="118">
        <f>IF($BB34="","",8)</f>
        <v/>
      </c>
      <c r="B34" s="137">
        <f>IF($BB34="","",INDEX(사업추진일지!$B$5:$B$404,$BB34))</f>
        <v/>
      </c>
      <c r="C34" s="136">
        <f>IF($BB34="","",INDEX(사업추진일지!$E$5:$E$404,$BB34))</f>
        <v/>
      </c>
      <c r="D34" s="131">
        <f>IF($BB34="","",INDEX(사업추진일지!$F$5:$F$404,$BB34))</f>
        <v/>
      </c>
      <c r="E34" s="131">
        <f>IF($BB34="","",INDEX(사업추진일지!$G$5:$G$404,$BB34))</f>
        <v/>
      </c>
      <c r="F34" s="136">
        <f>IF($BB34="","",INDEX(사업추진일지!$H$5:$H$404,$BB34))</f>
        <v/>
      </c>
      <c r="G34" s="139">
        <f>IF($BB34="","",INDEX(사업추진일지!$I$5:$I$404,$BB34))</f>
        <v/>
      </c>
      <c r="H34" s="136">
        <f>IF($BB34="","",INDEX(사업추진일지!$J$5:$J$404,$BB34))</f>
        <v/>
      </c>
      <c r="I34" s="136">
        <f>IF($BB34="","",INDEX(사업추진일지!$K$5:$K$404,$BB34))</f>
        <v/>
      </c>
      <c r="BA34">
        <f>IF(AND(사업추진일지!$C38=$B$4,사업추진일지!$B38&lt;&gt;""),사업추진일지!$B38*10000+34,"")</f>
        <v/>
      </c>
      <c r="BB34">
        <f>IFERROR(MATCH(SMALL($BA$1:$BA$400,8),$BA$1:$BA$400,0),"")</f>
        <v/>
      </c>
    </row>
    <row r="35">
      <c r="A35" s="118">
        <f>IF($BB35="","",9)</f>
        <v/>
      </c>
      <c r="B35" s="137">
        <f>IF($BB35="","",INDEX(사업추진일지!$B$5:$B$404,$BB35))</f>
        <v/>
      </c>
      <c r="C35" s="136">
        <f>IF($BB35="","",INDEX(사업추진일지!$E$5:$E$404,$BB35))</f>
        <v/>
      </c>
      <c r="D35" s="131">
        <f>IF($BB35="","",INDEX(사업추진일지!$F$5:$F$404,$BB35))</f>
        <v/>
      </c>
      <c r="E35" s="131">
        <f>IF($BB35="","",INDEX(사업추진일지!$G$5:$G$404,$BB35))</f>
        <v/>
      </c>
      <c r="F35" s="136">
        <f>IF($BB35="","",INDEX(사업추진일지!$H$5:$H$404,$BB35))</f>
        <v/>
      </c>
      <c r="G35" s="139">
        <f>IF($BB35="","",INDEX(사업추진일지!$I$5:$I$404,$BB35))</f>
        <v/>
      </c>
      <c r="H35" s="136">
        <f>IF($BB35="","",INDEX(사업추진일지!$J$5:$J$404,$BB35))</f>
        <v/>
      </c>
      <c r="I35" s="136">
        <f>IF($BB35="","",INDEX(사업추진일지!$K$5:$K$404,$BB35))</f>
        <v/>
      </c>
      <c r="BA35">
        <f>IF(AND(사업추진일지!$C39=$B$4,사업추진일지!$B39&lt;&gt;""),사업추진일지!$B39*10000+35,"")</f>
        <v/>
      </c>
      <c r="BB35">
        <f>IFERROR(MATCH(SMALL($BA$1:$BA$400,9),$BA$1:$BA$400,0),"")</f>
        <v/>
      </c>
    </row>
    <row r="36">
      <c r="A36" s="118">
        <f>IF($BB36="","",10)</f>
        <v/>
      </c>
      <c r="B36" s="137">
        <f>IF($BB36="","",INDEX(사업추진일지!$B$5:$B$404,$BB36))</f>
        <v/>
      </c>
      <c r="C36" s="136">
        <f>IF($BB36="","",INDEX(사업추진일지!$E$5:$E$404,$BB36))</f>
        <v/>
      </c>
      <c r="D36" s="131">
        <f>IF($BB36="","",INDEX(사업추진일지!$F$5:$F$404,$BB36))</f>
        <v/>
      </c>
      <c r="E36" s="131">
        <f>IF($BB36="","",INDEX(사업추진일지!$G$5:$G$404,$BB36))</f>
        <v/>
      </c>
      <c r="F36" s="136">
        <f>IF($BB36="","",INDEX(사업추진일지!$H$5:$H$404,$BB36))</f>
        <v/>
      </c>
      <c r="G36" s="139">
        <f>IF($BB36="","",INDEX(사업추진일지!$I$5:$I$404,$BB36))</f>
        <v/>
      </c>
      <c r="H36" s="136">
        <f>IF($BB36="","",INDEX(사업추진일지!$J$5:$J$404,$BB36))</f>
        <v/>
      </c>
      <c r="I36" s="136">
        <f>IF($BB36="","",INDEX(사업추진일지!$K$5:$K$404,$BB36))</f>
        <v/>
      </c>
      <c r="BA36">
        <f>IF(AND(사업추진일지!$C40=$B$4,사업추진일지!$B40&lt;&gt;""),사업추진일지!$B40*10000+36,"")</f>
        <v/>
      </c>
      <c r="BB36">
        <f>IFERROR(MATCH(SMALL($BA$1:$BA$400,10),$BA$1:$BA$400,0),"")</f>
        <v/>
      </c>
    </row>
    <row r="37">
      <c r="A37" s="118">
        <f>IF($BB37="","",11)</f>
        <v/>
      </c>
      <c r="B37" s="137">
        <f>IF($BB37="","",INDEX(사업추진일지!$B$5:$B$404,$BB37))</f>
        <v/>
      </c>
      <c r="C37" s="136">
        <f>IF($BB37="","",INDEX(사업추진일지!$E$5:$E$404,$BB37))</f>
        <v/>
      </c>
      <c r="D37" s="131">
        <f>IF($BB37="","",INDEX(사업추진일지!$F$5:$F$404,$BB37))</f>
        <v/>
      </c>
      <c r="E37" s="131">
        <f>IF($BB37="","",INDEX(사업추진일지!$G$5:$G$404,$BB37))</f>
        <v/>
      </c>
      <c r="F37" s="136">
        <f>IF($BB37="","",INDEX(사업추진일지!$H$5:$H$404,$BB37))</f>
        <v/>
      </c>
      <c r="G37" s="139">
        <f>IF($BB37="","",INDEX(사업추진일지!$I$5:$I$404,$BB37))</f>
        <v/>
      </c>
      <c r="H37" s="136">
        <f>IF($BB37="","",INDEX(사업추진일지!$J$5:$J$404,$BB37))</f>
        <v/>
      </c>
      <c r="I37" s="136">
        <f>IF($BB37="","",INDEX(사업추진일지!$K$5:$K$404,$BB37))</f>
        <v/>
      </c>
      <c r="BA37">
        <f>IF(AND(사업추진일지!$C41=$B$4,사업추진일지!$B41&lt;&gt;""),사업추진일지!$B41*10000+37,"")</f>
        <v/>
      </c>
      <c r="BB37">
        <f>IFERROR(MATCH(SMALL($BA$1:$BA$400,11),$BA$1:$BA$400,0),"")</f>
        <v/>
      </c>
    </row>
    <row r="38">
      <c r="A38" s="118">
        <f>IF($BB38="","",12)</f>
        <v/>
      </c>
      <c r="B38" s="137">
        <f>IF($BB38="","",INDEX(사업추진일지!$B$5:$B$404,$BB38))</f>
        <v/>
      </c>
      <c r="C38" s="136">
        <f>IF($BB38="","",INDEX(사업추진일지!$E$5:$E$404,$BB38))</f>
        <v/>
      </c>
      <c r="D38" s="131">
        <f>IF($BB38="","",INDEX(사업추진일지!$F$5:$F$404,$BB38))</f>
        <v/>
      </c>
      <c r="E38" s="131">
        <f>IF($BB38="","",INDEX(사업추진일지!$G$5:$G$404,$BB38))</f>
        <v/>
      </c>
      <c r="F38" s="136">
        <f>IF($BB38="","",INDEX(사업추진일지!$H$5:$H$404,$BB38))</f>
        <v/>
      </c>
      <c r="G38" s="139">
        <f>IF($BB38="","",INDEX(사업추진일지!$I$5:$I$404,$BB38))</f>
        <v/>
      </c>
      <c r="H38" s="136">
        <f>IF($BB38="","",INDEX(사업추진일지!$J$5:$J$404,$BB38))</f>
        <v/>
      </c>
      <c r="I38" s="136">
        <f>IF($BB38="","",INDEX(사업추진일지!$K$5:$K$404,$BB38))</f>
        <v/>
      </c>
      <c r="BA38">
        <f>IF(AND(사업추진일지!$C42=$B$4,사업추진일지!$B42&lt;&gt;""),사업추진일지!$B42*10000+38,"")</f>
        <v/>
      </c>
      <c r="BB38">
        <f>IFERROR(MATCH(SMALL($BA$1:$BA$400,12),$BA$1:$BA$400,0),"")</f>
        <v/>
      </c>
    </row>
    <row r="39">
      <c r="A39" s="118">
        <f>IF($BB39="","",13)</f>
        <v/>
      </c>
      <c r="B39" s="137">
        <f>IF($BB39="","",INDEX(사업추진일지!$B$5:$B$404,$BB39))</f>
        <v/>
      </c>
      <c r="C39" s="136">
        <f>IF($BB39="","",INDEX(사업추진일지!$E$5:$E$404,$BB39))</f>
        <v/>
      </c>
      <c r="D39" s="131">
        <f>IF($BB39="","",INDEX(사업추진일지!$F$5:$F$404,$BB39))</f>
        <v/>
      </c>
      <c r="E39" s="131">
        <f>IF($BB39="","",INDEX(사업추진일지!$G$5:$G$404,$BB39))</f>
        <v/>
      </c>
      <c r="F39" s="136">
        <f>IF($BB39="","",INDEX(사업추진일지!$H$5:$H$404,$BB39))</f>
        <v/>
      </c>
      <c r="G39" s="139">
        <f>IF($BB39="","",INDEX(사업추진일지!$I$5:$I$404,$BB39))</f>
        <v/>
      </c>
      <c r="H39" s="136">
        <f>IF($BB39="","",INDEX(사업추진일지!$J$5:$J$404,$BB39))</f>
        <v/>
      </c>
      <c r="I39" s="136">
        <f>IF($BB39="","",INDEX(사업추진일지!$K$5:$K$404,$BB39))</f>
        <v/>
      </c>
      <c r="BA39">
        <f>IF(AND(사업추진일지!$C43=$B$4,사업추진일지!$B43&lt;&gt;""),사업추진일지!$B43*10000+39,"")</f>
        <v/>
      </c>
      <c r="BB39">
        <f>IFERROR(MATCH(SMALL($BA$1:$BA$400,13),$BA$1:$BA$400,0),"")</f>
        <v/>
      </c>
    </row>
    <row r="40">
      <c r="A40" s="118">
        <f>IF($BB40="","",14)</f>
        <v/>
      </c>
      <c r="B40" s="137">
        <f>IF($BB40="","",INDEX(사업추진일지!$B$5:$B$404,$BB40))</f>
        <v/>
      </c>
      <c r="C40" s="136">
        <f>IF($BB40="","",INDEX(사업추진일지!$E$5:$E$404,$BB40))</f>
        <v/>
      </c>
      <c r="D40" s="131">
        <f>IF($BB40="","",INDEX(사업추진일지!$F$5:$F$404,$BB40))</f>
        <v/>
      </c>
      <c r="E40" s="131">
        <f>IF($BB40="","",INDEX(사업추진일지!$G$5:$G$404,$BB40))</f>
        <v/>
      </c>
      <c r="F40" s="136">
        <f>IF($BB40="","",INDEX(사업추진일지!$H$5:$H$404,$BB40))</f>
        <v/>
      </c>
      <c r="G40" s="139">
        <f>IF($BB40="","",INDEX(사업추진일지!$I$5:$I$404,$BB40))</f>
        <v/>
      </c>
      <c r="H40" s="136">
        <f>IF($BB40="","",INDEX(사업추진일지!$J$5:$J$404,$BB40))</f>
        <v/>
      </c>
      <c r="I40" s="136">
        <f>IF($BB40="","",INDEX(사업추진일지!$K$5:$K$404,$BB40))</f>
        <v/>
      </c>
      <c r="BA40">
        <f>IF(AND(사업추진일지!$C44=$B$4,사업추진일지!$B44&lt;&gt;""),사업추진일지!$B44*10000+40,"")</f>
        <v/>
      </c>
      <c r="BB40">
        <f>IFERROR(MATCH(SMALL($BA$1:$BA$400,14),$BA$1:$BA$400,0),"")</f>
        <v/>
      </c>
    </row>
    <row r="41">
      <c r="A41" s="118">
        <f>IF($BB41="","",15)</f>
        <v/>
      </c>
      <c r="B41" s="137">
        <f>IF($BB41="","",INDEX(사업추진일지!$B$5:$B$404,$BB41))</f>
        <v/>
      </c>
      <c r="C41" s="136">
        <f>IF($BB41="","",INDEX(사업추진일지!$E$5:$E$404,$BB41))</f>
        <v/>
      </c>
      <c r="D41" s="131">
        <f>IF($BB41="","",INDEX(사업추진일지!$F$5:$F$404,$BB41))</f>
        <v/>
      </c>
      <c r="E41" s="131">
        <f>IF($BB41="","",INDEX(사업추진일지!$G$5:$G$404,$BB41))</f>
        <v/>
      </c>
      <c r="F41" s="136">
        <f>IF($BB41="","",INDEX(사업추진일지!$H$5:$H$404,$BB41))</f>
        <v/>
      </c>
      <c r="G41" s="139">
        <f>IF($BB41="","",INDEX(사업추진일지!$I$5:$I$404,$BB41))</f>
        <v/>
      </c>
      <c r="H41" s="136">
        <f>IF($BB41="","",INDEX(사업추진일지!$J$5:$J$404,$BB41))</f>
        <v/>
      </c>
      <c r="I41" s="136">
        <f>IF($BB41="","",INDEX(사업추진일지!$K$5:$K$404,$BB41))</f>
        <v/>
      </c>
      <c r="BA41">
        <f>IF(AND(사업추진일지!$C45=$B$4,사업추진일지!$B45&lt;&gt;""),사업추진일지!$B45*10000+41,"")</f>
        <v/>
      </c>
      <c r="BB41">
        <f>IFERROR(MATCH(SMALL($BA$1:$BA$400,15),$BA$1:$BA$400,0),"")</f>
        <v/>
      </c>
    </row>
    <row r="42">
      <c r="A42" s="118">
        <f>IF($BB42="","",16)</f>
        <v/>
      </c>
      <c r="B42" s="137">
        <f>IF($BB42="","",INDEX(사업추진일지!$B$5:$B$404,$BB42))</f>
        <v/>
      </c>
      <c r="C42" s="136">
        <f>IF($BB42="","",INDEX(사업추진일지!$E$5:$E$404,$BB42))</f>
        <v/>
      </c>
      <c r="D42" s="131">
        <f>IF($BB42="","",INDEX(사업추진일지!$F$5:$F$404,$BB42))</f>
        <v/>
      </c>
      <c r="E42" s="131">
        <f>IF($BB42="","",INDEX(사업추진일지!$G$5:$G$404,$BB42))</f>
        <v/>
      </c>
      <c r="F42" s="136">
        <f>IF($BB42="","",INDEX(사업추진일지!$H$5:$H$404,$BB42))</f>
        <v/>
      </c>
      <c r="G42" s="139">
        <f>IF($BB42="","",INDEX(사업추진일지!$I$5:$I$404,$BB42))</f>
        <v/>
      </c>
      <c r="H42" s="136">
        <f>IF($BB42="","",INDEX(사업추진일지!$J$5:$J$404,$BB42))</f>
        <v/>
      </c>
      <c r="I42" s="136">
        <f>IF($BB42="","",INDEX(사업추진일지!$K$5:$K$404,$BB42))</f>
        <v/>
      </c>
      <c r="BA42">
        <f>IF(AND(사업추진일지!$C46=$B$4,사업추진일지!$B46&lt;&gt;""),사업추진일지!$B46*10000+42,"")</f>
        <v/>
      </c>
      <c r="BB42">
        <f>IFERROR(MATCH(SMALL($BA$1:$BA$400,16),$BA$1:$BA$400,0),"")</f>
        <v/>
      </c>
    </row>
    <row r="43">
      <c r="A43" s="118">
        <f>IF($BB43="","",17)</f>
        <v/>
      </c>
      <c r="B43" s="137">
        <f>IF($BB43="","",INDEX(사업추진일지!$B$5:$B$404,$BB43))</f>
        <v/>
      </c>
      <c r="C43" s="136">
        <f>IF($BB43="","",INDEX(사업추진일지!$E$5:$E$404,$BB43))</f>
        <v/>
      </c>
      <c r="D43" s="131">
        <f>IF($BB43="","",INDEX(사업추진일지!$F$5:$F$404,$BB43))</f>
        <v/>
      </c>
      <c r="E43" s="131">
        <f>IF($BB43="","",INDEX(사업추진일지!$G$5:$G$404,$BB43))</f>
        <v/>
      </c>
      <c r="F43" s="136">
        <f>IF($BB43="","",INDEX(사업추진일지!$H$5:$H$404,$BB43))</f>
        <v/>
      </c>
      <c r="G43" s="139">
        <f>IF($BB43="","",INDEX(사업추진일지!$I$5:$I$404,$BB43))</f>
        <v/>
      </c>
      <c r="H43" s="136">
        <f>IF($BB43="","",INDEX(사업추진일지!$J$5:$J$404,$BB43))</f>
        <v/>
      </c>
      <c r="I43" s="136">
        <f>IF($BB43="","",INDEX(사업추진일지!$K$5:$K$404,$BB43))</f>
        <v/>
      </c>
      <c r="BA43">
        <f>IF(AND(사업추진일지!$C47=$B$4,사업추진일지!$B47&lt;&gt;""),사업추진일지!$B47*10000+43,"")</f>
        <v/>
      </c>
      <c r="BB43">
        <f>IFERROR(MATCH(SMALL($BA$1:$BA$400,17),$BA$1:$BA$400,0),"")</f>
        <v/>
      </c>
    </row>
    <row r="44">
      <c r="A44" s="118">
        <f>IF($BB44="","",18)</f>
        <v/>
      </c>
      <c r="B44" s="137">
        <f>IF($BB44="","",INDEX(사업추진일지!$B$5:$B$404,$BB44))</f>
        <v/>
      </c>
      <c r="C44" s="136">
        <f>IF($BB44="","",INDEX(사업추진일지!$E$5:$E$404,$BB44))</f>
        <v/>
      </c>
      <c r="D44" s="131">
        <f>IF($BB44="","",INDEX(사업추진일지!$F$5:$F$404,$BB44))</f>
        <v/>
      </c>
      <c r="E44" s="131">
        <f>IF($BB44="","",INDEX(사업추진일지!$G$5:$G$404,$BB44))</f>
        <v/>
      </c>
      <c r="F44" s="136">
        <f>IF($BB44="","",INDEX(사업추진일지!$H$5:$H$404,$BB44))</f>
        <v/>
      </c>
      <c r="G44" s="139">
        <f>IF($BB44="","",INDEX(사업추진일지!$I$5:$I$404,$BB44))</f>
        <v/>
      </c>
      <c r="H44" s="136">
        <f>IF($BB44="","",INDEX(사업추진일지!$J$5:$J$404,$BB44))</f>
        <v/>
      </c>
      <c r="I44" s="136">
        <f>IF($BB44="","",INDEX(사업추진일지!$K$5:$K$404,$BB44))</f>
        <v/>
      </c>
      <c r="BA44">
        <f>IF(AND(사업추진일지!$C48=$B$4,사업추진일지!$B48&lt;&gt;""),사업추진일지!$B48*10000+44,"")</f>
        <v/>
      </c>
      <c r="BB44">
        <f>IFERROR(MATCH(SMALL($BA$1:$BA$400,18),$BA$1:$BA$400,0),"")</f>
        <v/>
      </c>
    </row>
    <row r="45">
      <c r="A45" s="118">
        <f>IF($BB45="","",19)</f>
        <v/>
      </c>
      <c r="B45" s="137">
        <f>IF($BB45="","",INDEX(사업추진일지!$B$5:$B$404,$BB45))</f>
        <v/>
      </c>
      <c r="C45" s="136">
        <f>IF($BB45="","",INDEX(사업추진일지!$E$5:$E$404,$BB45))</f>
        <v/>
      </c>
      <c r="D45" s="131">
        <f>IF($BB45="","",INDEX(사업추진일지!$F$5:$F$404,$BB45))</f>
        <v/>
      </c>
      <c r="E45" s="131">
        <f>IF($BB45="","",INDEX(사업추진일지!$G$5:$G$404,$BB45))</f>
        <v/>
      </c>
      <c r="F45" s="136">
        <f>IF($BB45="","",INDEX(사업추진일지!$H$5:$H$404,$BB45))</f>
        <v/>
      </c>
      <c r="G45" s="139">
        <f>IF($BB45="","",INDEX(사업추진일지!$I$5:$I$404,$BB45))</f>
        <v/>
      </c>
      <c r="H45" s="136">
        <f>IF($BB45="","",INDEX(사업추진일지!$J$5:$J$404,$BB45))</f>
        <v/>
      </c>
      <c r="I45" s="136">
        <f>IF($BB45="","",INDEX(사업추진일지!$K$5:$K$404,$BB45))</f>
        <v/>
      </c>
      <c r="BA45">
        <f>IF(AND(사업추진일지!$C49=$B$4,사업추진일지!$B49&lt;&gt;""),사업추진일지!$B49*10000+45,"")</f>
        <v/>
      </c>
      <c r="BB45">
        <f>IFERROR(MATCH(SMALL($BA$1:$BA$400,19),$BA$1:$BA$400,0),"")</f>
        <v/>
      </c>
    </row>
    <row r="46">
      <c r="A46" s="118">
        <f>IF($BB46="","",20)</f>
        <v/>
      </c>
      <c r="B46" s="137">
        <f>IF($BB46="","",INDEX(사업추진일지!$B$5:$B$404,$BB46))</f>
        <v/>
      </c>
      <c r="C46" s="136">
        <f>IF($BB46="","",INDEX(사업추진일지!$E$5:$E$404,$BB46))</f>
        <v/>
      </c>
      <c r="D46" s="131">
        <f>IF($BB46="","",INDEX(사업추진일지!$F$5:$F$404,$BB46))</f>
        <v/>
      </c>
      <c r="E46" s="131">
        <f>IF($BB46="","",INDEX(사업추진일지!$G$5:$G$404,$BB46))</f>
        <v/>
      </c>
      <c r="F46" s="136">
        <f>IF($BB46="","",INDEX(사업추진일지!$H$5:$H$404,$BB46))</f>
        <v/>
      </c>
      <c r="G46" s="139">
        <f>IF($BB46="","",INDEX(사업추진일지!$I$5:$I$404,$BB46))</f>
        <v/>
      </c>
      <c r="H46" s="136">
        <f>IF($BB46="","",INDEX(사업추진일지!$J$5:$J$404,$BB46))</f>
        <v/>
      </c>
      <c r="I46" s="136">
        <f>IF($BB46="","",INDEX(사업추진일지!$K$5:$K$404,$BB46))</f>
        <v/>
      </c>
      <c r="BA46">
        <f>IF(AND(사업추진일지!$C50=$B$4,사업추진일지!$B50&lt;&gt;""),사업추진일지!$B50*10000+46,"")</f>
        <v/>
      </c>
      <c r="BB46">
        <f>IFERROR(MATCH(SMALL($BA$1:$BA$400,20),$BA$1:$BA$400,0),"")</f>
        <v/>
      </c>
    </row>
    <row r="47">
      <c r="A47" s="118">
        <f>IF($BB47="","",21)</f>
        <v/>
      </c>
      <c r="B47" s="137">
        <f>IF($BB47="","",INDEX(사업추진일지!$B$5:$B$404,$BB47))</f>
        <v/>
      </c>
      <c r="C47" s="136">
        <f>IF($BB47="","",INDEX(사업추진일지!$E$5:$E$404,$BB47))</f>
        <v/>
      </c>
      <c r="D47" s="131">
        <f>IF($BB47="","",INDEX(사업추진일지!$F$5:$F$404,$BB47))</f>
        <v/>
      </c>
      <c r="E47" s="131">
        <f>IF($BB47="","",INDEX(사업추진일지!$G$5:$G$404,$BB47))</f>
        <v/>
      </c>
      <c r="F47" s="136">
        <f>IF($BB47="","",INDEX(사업추진일지!$H$5:$H$404,$BB47))</f>
        <v/>
      </c>
      <c r="G47" s="139">
        <f>IF($BB47="","",INDEX(사업추진일지!$I$5:$I$404,$BB47))</f>
        <v/>
      </c>
      <c r="H47" s="136">
        <f>IF($BB47="","",INDEX(사업추진일지!$J$5:$J$404,$BB47))</f>
        <v/>
      </c>
      <c r="I47" s="136">
        <f>IF($BB47="","",INDEX(사업추진일지!$K$5:$K$404,$BB47))</f>
        <v/>
      </c>
      <c r="BA47">
        <f>IF(AND(사업추진일지!$C51=$B$4,사업추진일지!$B51&lt;&gt;""),사업추진일지!$B51*10000+47,"")</f>
        <v/>
      </c>
      <c r="BB47">
        <f>IFERROR(MATCH(SMALL($BA$1:$BA$400,21),$BA$1:$BA$400,0),"")</f>
        <v/>
      </c>
    </row>
    <row r="48">
      <c r="A48" s="118">
        <f>IF($BB48="","",22)</f>
        <v/>
      </c>
      <c r="B48" s="137">
        <f>IF($BB48="","",INDEX(사업추진일지!$B$5:$B$404,$BB48))</f>
        <v/>
      </c>
      <c r="C48" s="136">
        <f>IF($BB48="","",INDEX(사업추진일지!$E$5:$E$404,$BB48))</f>
        <v/>
      </c>
      <c r="D48" s="131">
        <f>IF($BB48="","",INDEX(사업추진일지!$F$5:$F$404,$BB48))</f>
        <v/>
      </c>
      <c r="E48" s="131">
        <f>IF($BB48="","",INDEX(사업추진일지!$G$5:$G$404,$BB48))</f>
        <v/>
      </c>
      <c r="F48" s="136">
        <f>IF($BB48="","",INDEX(사업추진일지!$H$5:$H$404,$BB48))</f>
        <v/>
      </c>
      <c r="G48" s="139">
        <f>IF($BB48="","",INDEX(사업추진일지!$I$5:$I$404,$BB48))</f>
        <v/>
      </c>
      <c r="H48" s="136">
        <f>IF($BB48="","",INDEX(사업추진일지!$J$5:$J$404,$BB48))</f>
        <v/>
      </c>
      <c r="I48" s="136">
        <f>IF($BB48="","",INDEX(사업추진일지!$K$5:$K$404,$BB48))</f>
        <v/>
      </c>
      <c r="BA48">
        <f>IF(AND(사업추진일지!$C52=$B$4,사업추진일지!$B52&lt;&gt;""),사업추진일지!$B52*10000+48,"")</f>
        <v/>
      </c>
      <c r="BB48">
        <f>IFERROR(MATCH(SMALL($BA$1:$BA$400,22),$BA$1:$BA$400,0),"")</f>
        <v/>
      </c>
    </row>
    <row r="49">
      <c r="A49" s="118">
        <f>IF($BB49="","",23)</f>
        <v/>
      </c>
      <c r="B49" s="137">
        <f>IF($BB49="","",INDEX(사업추진일지!$B$5:$B$404,$BB49))</f>
        <v/>
      </c>
      <c r="C49" s="136">
        <f>IF($BB49="","",INDEX(사업추진일지!$E$5:$E$404,$BB49))</f>
        <v/>
      </c>
      <c r="D49" s="131">
        <f>IF($BB49="","",INDEX(사업추진일지!$F$5:$F$404,$BB49))</f>
        <v/>
      </c>
      <c r="E49" s="131">
        <f>IF($BB49="","",INDEX(사업추진일지!$G$5:$G$404,$BB49))</f>
        <v/>
      </c>
      <c r="F49" s="136">
        <f>IF($BB49="","",INDEX(사업추진일지!$H$5:$H$404,$BB49))</f>
        <v/>
      </c>
      <c r="G49" s="139">
        <f>IF($BB49="","",INDEX(사업추진일지!$I$5:$I$404,$BB49))</f>
        <v/>
      </c>
      <c r="H49" s="136">
        <f>IF($BB49="","",INDEX(사업추진일지!$J$5:$J$404,$BB49))</f>
        <v/>
      </c>
      <c r="I49" s="136">
        <f>IF($BB49="","",INDEX(사업추진일지!$K$5:$K$404,$BB49))</f>
        <v/>
      </c>
      <c r="BA49">
        <f>IF(AND(사업추진일지!$C53=$B$4,사업추진일지!$B53&lt;&gt;""),사업추진일지!$B53*10000+49,"")</f>
        <v/>
      </c>
      <c r="BB49">
        <f>IFERROR(MATCH(SMALL($BA$1:$BA$400,23),$BA$1:$BA$400,0),"")</f>
        <v/>
      </c>
    </row>
    <row r="50">
      <c r="A50" s="118">
        <f>IF($BB50="","",24)</f>
        <v/>
      </c>
      <c r="B50" s="137">
        <f>IF($BB50="","",INDEX(사업추진일지!$B$5:$B$404,$BB50))</f>
        <v/>
      </c>
      <c r="C50" s="136">
        <f>IF($BB50="","",INDEX(사업추진일지!$E$5:$E$404,$BB50))</f>
        <v/>
      </c>
      <c r="D50" s="131">
        <f>IF($BB50="","",INDEX(사업추진일지!$F$5:$F$404,$BB50))</f>
        <v/>
      </c>
      <c r="E50" s="131">
        <f>IF($BB50="","",INDEX(사업추진일지!$G$5:$G$404,$BB50))</f>
        <v/>
      </c>
      <c r="F50" s="136">
        <f>IF($BB50="","",INDEX(사업추진일지!$H$5:$H$404,$BB50))</f>
        <v/>
      </c>
      <c r="G50" s="139">
        <f>IF($BB50="","",INDEX(사업추진일지!$I$5:$I$404,$BB50))</f>
        <v/>
      </c>
      <c r="H50" s="136">
        <f>IF($BB50="","",INDEX(사업추진일지!$J$5:$J$404,$BB50))</f>
        <v/>
      </c>
      <c r="I50" s="136">
        <f>IF($BB50="","",INDEX(사업추진일지!$K$5:$K$404,$BB50))</f>
        <v/>
      </c>
      <c r="BA50">
        <f>IF(AND(사업추진일지!$C54=$B$4,사업추진일지!$B54&lt;&gt;""),사업추진일지!$B54*10000+50,"")</f>
        <v/>
      </c>
      <c r="BB50">
        <f>IFERROR(MATCH(SMALL($BA$1:$BA$400,24),$BA$1:$BA$400,0),"")</f>
        <v/>
      </c>
    </row>
    <row r="51">
      <c r="A51" s="118">
        <f>IF($BB51="","",25)</f>
        <v/>
      </c>
      <c r="B51" s="137">
        <f>IF($BB51="","",INDEX(사업추진일지!$B$5:$B$404,$BB51))</f>
        <v/>
      </c>
      <c r="C51" s="136">
        <f>IF($BB51="","",INDEX(사업추진일지!$E$5:$E$404,$BB51))</f>
        <v/>
      </c>
      <c r="D51" s="131">
        <f>IF($BB51="","",INDEX(사업추진일지!$F$5:$F$404,$BB51))</f>
        <v/>
      </c>
      <c r="E51" s="131">
        <f>IF($BB51="","",INDEX(사업추진일지!$G$5:$G$404,$BB51))</f>
        <v/>
      </c>
      <c r="F51" s="136">
        <f>IF($BB51="","",INDEX(사업추진일지!$H$5:$H$404,$BB51))</f>
        <v/>
      </c>
      <c r="G51" s="139">
        <f>IF($BB51="","",INDEX(사업추진일지!$I$5:$I$404,$BB51))</f>
        <v/>
      </c>
      <c r="H51" s="136">
        <f>IF($BB51="","",INDEX(사업추진일지!$J$5:$J$404,$BB51))</f>
        <v/>
      </c>
      <c r="I51" s="136">
        <f>IF($BB51="","",INDEX(사업추진일지!$K$5:$K$404,$BB51))</f>
        <v/>
      </c>
      <c r="BA51">
        <f>IF(AND(사업추진일지!$C55=$B$4,사업추진일지!$B55&lt;&gt;""),사업추진일지!$B55*10000+51,"")</f>
        <v/>
      </c>
      <c r="BB51">
        <f>IFERROR(MATCH(SMALL($BA$1:$BA$400,25),$BA$1:$BA$400,0),"")</f>
        <v/>
      </c>
    </row>
    <row r="52">
      <c r="A52" s="118">
        <f>IF($BB52="","",26)</f>
        <v/>
      </c>
      <c r="B52" s="137">
        <f>IF($BB52="","",INDEX(사업추진일지!$B$5:$B$404,$BB52))</f>
        <v/>
      </c>
      <c r="C52" s="136">
        <f>IF($BB52="","",INDEX(사업추진일지!$E$5:$E$404,$BB52))</f>
        <v/>
      </c>
      <c r="D52" s="131">
        <f>IF($BB52="","",INDEX(사업추진일지!$F$5:$F$404,$BB52))</f>
        <v/>
      </c>
      <c r="E52" s="131">
        <f>IF($BB52="","",INDEX(사업추진일지!$G$5:$G$404,$BB52))</f>
        <v/>
      </c>
      <c r="F52" s="136">
        <f>IF($BB52="","",INDEX(사업추진일지!$H$5:$H$404,$BB52))</f>
        <v/>
      </c>
      <c r="G52" s="139">
        <f>IF($BB52="","",INDEX(사업추진일지!$I$5:$I$404,$BB52))</f>
        <v/>
      </c>
      <c r="H52" s="136">
        <f>IF($BB52="","",INDEX(사업추진일지!$J$5:$J$404,$BB52))</f>
        <v/>
      </c>
      <c r="I52" s="136">
        <f>IF($BB52="","",INDEX(사업추진일지!$K$5:$K$404,$BB52))</f>
        <v/>
      </c>
      <c r="BA52">
        <f>IF(AND(사업추진일지!$C56=$B$4,사업추진일지!$B56&lt;&gt;""),사업추진일지!$B56*10000+52,"")</f>
        <v/>
      </c>
      <c r="BB52">
        <f>IFERROR(MATCH(SMALL($BA$1:$BA$400,26),$BA$1:$BA$400,0),"")</f>
        <v/>
      </c>
    </row>
    <row r="53">
      <c r="A53" s="118">
        <f>IF($BB53="","",27)</f>
        <v/>
      </c>
      <c r="B53" s="137">
        <f>IF($BB53="","",INDEX(사업추진일지!$B$5:$B$404,$BB53))</f>
        <v/>
      </c>
      <c r="C53" s="136">
        <f>IF($BB53="","",INDEX(사업추진일지!$E$5:$E$404,$BB53))</f>
        <v/>
      </c>
      <c r="D53" s="131">
        <f>IF($BB53="","",INDEX(사업추진일지!$F$5:$F$404,$BB53))</f>
        <v/>
      </c>
      <c r="E53" s="131">
        <f>IF($BB53="","",INDEX(사업추진일지!$G$5:$G$404,$BB53))</f>
        <v/>
      </c>
      <c r="F53" s="136">
        <f>IF($BB53="","",INDEX(사업추진일지!$H$5:$H$404,$BB53))</f>
        <v/>
      </c>
      <c r="G53" s="139">
        <f>IF($BB53="","",INDEX(사업추진일지!$I$5:$I$404,$BB53))</f>
        <v/>
      </c>
      <c r="H53" s="136">
        <f>IF($BB53="","",INDEX(사업추진일지!$J$5:$J$404,$BB53))</f>
        <v/>
      </c>
      <c r="I53" s="136">
        <f>IF($BB53="","",INDEX(사업추진일지!$K$5:$K$404,$BB53))</f>
        <v/>
      </c>
      <c r="BA53">
        <f>IF(AND(사업추진일지!$C57=$B$4,사업추진일지!$B57&lt;&gt;""),사업추진일지!$B57*10000+53,"")</f>
        <v/>
      </c>
      <c r="BB53">
        <f>IFERROR(MATCH(SMALL($BA$1:$BA$400,27),$BA$1:$BA$400,0),"")</f>
        <v/>
      </c>
    </row>
    <row r="54">
      <c r="A54" s="118">
        <f>IF($BB54="","",28)</f>
        <v/>
      </c>
      <c r="B54" s="137">
        <f>IF($BB54="","",INDEX(사업추진일지!$B$5:$B$404,$BB54))</f>
        <v/>
      </c>
      <c r="C54" s="136">
        <f>IF($BB54="","",INDEX(사업추진일지!$E$5:$E$404,$BB54))</f>
        <v/>
      </c>
      <c r="D54" s="131">
        <f>IF($BB54="","",INDEX(사업추진일지!$F$5:$F$404,$BB54))</f>
        <v/>
      </c>
      <c r="E54" s="131">
        <f>IF($BB54="","",INDEX(사업추진일지!$G$5:$G$404,$BB54))</f>
        <v/>
      </c>
      <c r="F54" s="136">
        <f>IF($BB54="","",INDEX(사업추진일지!$H$5:$H$404,$BB54))</f>
        <v/>
      </c>
      <c r="G54" s="139">
        <f>IF($BB54="","",INDEX(사업추진일지!$I$5:$I$404,$BB54))</f>
        <v/>
      </c>
      <c r="H54" s="136">
        <f>IF($BB54="","",INDEX(사업추진일지!$J$5:$J$404,$BB54))</f>
        <v/>
      </c>
      <c r="I54" s="136">
        <f>IF($BB54="","",INDEX(사업추진일지!$K$5:$K$404,$BB54))</f>
        <v/>
      </c>
      <c r="BA54">
        <f>IF(AND(사업추진일지!$C58=$B$4,사업추진일지!$B58&lt;&gt;""),사업추진일지!$B58*10000+54,"")</f>
        <v/>
      </c>
      <c r="BB54">
        <f>IFERROR(MATCH(SMALL($BA$1:$BA$400,28),$BA$1:$BA$400,0),"")</f>
        <v/>
      </c>
    </row>
    <row r="55">
      <c r="A55" s="118">
        <f>IF($BB55="","",29)</f>
        <v/>
      </c>
      <c r="B55" s="137">
        <f>IF($BB55="","",INDEX(사업추진일지!$B$5:$B$404,$BB55))</f>
        <v/>
      </c>
      <c r="C55" s="136">
        <f>IF($BB55="","",INDEX(사업추진일지!$E$5:$E$404,$BB55))</f>
        <v/>
      </c>
      <c r="D55" s="131">
        <f>IF($BB55="","",INDEX(사업추진일지!$F$5:$F$404,$BB55))</f>
        <v/>
      </c>
      <c r="E55" s="131">
        <f>IF($BB55="","",INDEX(사업추진일지!$G$5:$G$404,$BB55))</f>
        <v/>
      </c>
      <c r="F55" s="136">
        <f>IF($BB55="","",INDEX(사업추진일지!$H$5:$H$404,$BB55))</f>
        <v/>
      </c>
      <c r="G55" s="139">
        <f>IF($BB55="","",INDEX(사업추진일지!$I$5:$I$404,$BB55))</f>
        <v/>
      </c>
      <c r="H55" s="136">
        <f>IF($BB55="","",INDEX(사업추진일지!$J$5:$J$404,$BB55))</f>
        <v/>
      </c>
      <c r="I55" s="136">
        <f>IF($BB55="","",INDEX(사업추진일지!$K$5:$K$404,$BB55))</f>
        <v/>
      </c>
      <c r="BA55">
        <f>IF(AND(사업추진일지!$C59=$B$4,사업추진일지!$B59&lt;&gt;""),사업추진일지!$B59*10000+55,"")</f>
        <v/>
      </c>
      <c r="BB55">
        <f>IFERROR(MATCH(SMALL($BA$1:$BA$400,29),$BA$1:$BA$400,0),"")</f>
        <v/>
      </c>
    </row>
    <row r="56">
      <c r="A56" s="118">
        <f>IF($BB56="","",30)</f>
        <v/>
      </c>
      <c r="B56" s="137">
        <f>IF($BB56="","",INDEX(사업추진일지!$B$5:$B$404,$BB56))</f>
        <v/>
      </c>
      <c r="C56" s="136">
        <f>IF($BB56="","",INDEX(사업추진일지!$E$5:$E$404,$BB56))</f>
        <v/>
      </c>
      <c r="D56" s="131">
        <f>IF($BB56="","",INDEX(사업추진일지!$F$5:$F$404,$BB56))</f>
        <v/>
      </c>
      <c r="E56" s="131">
        <f>IF($BB56="","",INDEX(사업추진일지!$G$5:$G$404,$BB56))</f>
        <v/>
      </c>
      <c r="F56" s="136">
        <f>IF($BB56="","",INDEX(사업추진일지!$H$5:$H$404,$BB56))</f>
        <v/>
      </c>
      <c r="G56" s="139">
        <f>IF($BB56="","",INDEX(사업추진일지!$I$5:$I$404,$BB56))</f>
        <v/>
      </c>
      <c r="H56" s="136">
        <f>IF($BB56="","",INDEX(사업추진일지!$J$5:$J$404,$BB56))</f>
        <v/>
      </c>
      <c r="I56" s="136">
        <f>IF($BB56="","",INDEX(사업추진일지!$K$5:$K$404,$BB56))</f>
        <v/>
      </c>
      <c r="BA56">
        <f>IF(AND(사업추진일지!$C60=$B$4,사업추진일지!$B60&lt;&gt;""),사업추진일지!$B60*10000+56,"")</f>
        <v/>
      </c>
      <c r="BB56">
        <f>IFERROR(MATCH(SMALL($BA$1:$BA$400,30),$BA$1:$BA$400,0),"")</f>
        <v/>
      </c>
    </row>
    <row r="57">
      <c r="A57" s="118">
        <f>IF($BB57="","",31)</f>
        <v/>
      </c>
      <c r="B57" s="137">
        <f>IF($BB57="","",INDEX(사업추진일지!$B$5:$B$404,$BB57))</f>
        <v/>
      </c>
      <c r="C57" s="136">
        <f>IF($BB57="","",INDEX(사업추진일지!$E$5:$E$404,$BB57))</f>
        <v/>
      </c>
      <c r="D57" s="131">
        <f>IF($BB57="","",INDEX(사업추진일지!$F$5:$F$404,$BB57))</f>
        <v/>
      </c>
      <c r="E57" s="131">
        <f>IF($BB57="","",INDEX(사업추진일지!$G$5:$G$404,$BB57))</f>
        <v/>
      </c>
      <c r="F57" s="136">
        <f>IF($BB57="","",INDEX(사업추진일지!$H$5:$H$404,$BB57))</f>
        <v/>
      </c>
      <c r="G57" s="139">
        <f>IF($BB57="","",INDEX(사업추진일지!$I$5:$I$404,$BB57))</f>
        <v/>
      </c>
      <c r="H57" s="136">
        <f>IF($BB57="","",INDEX(사업추진일지!$J$5:$J$404,$BB57))</f>
        <v/>
      </c>
      <c r="I57" s="136">
        <f>IF($BB57="","",INDEX(사업추진일지!$K$5:$K$404,$BB57))</f>
        <v/>
      </c>
      <c r="BA57">
        <f>IF(AND(사업추진일지!$C61=$B$4,사업추진일지!$B61&lt;&gt;""),사업추진일지!$B61*10000+57,"")</f>
        <v/>
      </c>
      <c r="BB57">
        <f>IFERROR(MATCH(SMALL($BA$1:$BA$400,31),$BA$1:$BA$400,0),"")</f>
        <v/>
      </c>
    </row>
    <row r="58">
      <c r="A58" s="118">
        <f>IF($BB58="","",32)</f>
        <v/>
      </c>
      <c r="B58" s="137">
        <f>IF($BB58="","",INDEX(사업추진일지!$B$5:$B$404,$BB58))</f>
        <v/>
      </c>
      <c r="C58" s="136">
        <f>IF($BB58="","",INDEX(사업추진일지!$E$5:$E$404,$BB58))</f>
        <v/>
      </c>
      <c r="D58" s="131">
        <f>IF($BB58="","",INDEX(사업추진일지!$F$5:$F$404,$BB58))</f>
        <v/>
      </c>
      <c r="E58" s="131">
        <f>IF($BB58="","",INDEX(사업추진일지!$G$5:$G$404,$BB58))</f>
        <v/>
      </c>
      <c r="F58" s="136">
        <f>IF($BB58="","",INDEX(사업추진일지!$H$5:$H$404,$BB58))</f>
        <v/>
      </c>
      <c r="G58" s="139">
        <f>IF($BB58="","",INDEX(사업추진일지!$I$5:$I$404,$BB58))</f>
        <v/>
      </c>
      <c r="H58" s="136">
        <f>IF($BB58="","",INDEX(사업추진일지!$J$5:$J$404,$BB58))</f>
        <v/>
      </c>
      <c r="I58" s="136">
        <f>IF($BB58="","",INDEX(사업추진일지!$K$5:$K$404,$BB58))</f>
        <v/>
      </c>
      <c r="BA58">
        <f>IF(AND(사업추진일지!$C62=$B$4,사업추진일지!$B62&lt;&gt;""),사업추진일지!$B62*10000+58,"")</f>
        <v/>
      </c>
      <c r="BB58">
        <f>IFERROR(MATCH(SMALL($BA$1:$BA$400,32),$BA$1:$BA$400,0),"")</f>
        <v/>
      </c>
    </row>
    <row r="59">
      <c r="A59" s="118">
        <f>IF($BB59="","",33)</f>
        <v/>
      </c>
      <c r="B59" s="137">
        <f>IF($BB59="","",INDEX(사업추진일지!$B$5:$B$404,$BB59))</f>
        <v/>
      </c>
      <c r="C59" s="136">
        <f>IF($BB59="","",INDEX(사업추진일지!$E$5:$E$404,$BB59))</f>
        <v/>
      </c>
      <c r="D59" s="131">
        <f>IF($BB59="","",INDEX(사업추진일지!$F$5:$F$404,$BB59))</f>
        <v/>
      </c>
      <c r="E59" s="131">
        <f>IF($BB59="","",INDEX(사업추진일지!$G$5:$G$404,$BB59))</f>
        <v/>
      </c>
      <c r="F59" s="136">
        <f>IF($BB59="","",INDEX(사업추진일지!$H$5:$H$404,$BB59))</f>
        <v/>
      </c>
      <c r="G59" s="139">
        <f>IF($BB59="","",INDEX(사업추진일지!$I$5:$I$404,$BB59))</f>
        <v/>
      </c>
      <c r="H59" s="136">
        <f>IF($BB59="","",INDEX(사업추진일지!$J$5:$J$404,$BB59))</f>
        <v/>
      </c>
      <c r="I59" s="136">
        <f>IF($BB59="","",INDEX(사업추진일지!$K$5:$K$404,$BB59))</f>
        <v/>
      </c>
      <c r="BA59">
        <f>IF(AND(사업추진일지!$C63=$B$4,사업추진일지!$B63&lt;&gt;""),사업추진일지!$B63*10000+59,"")</f>
        <v/>
      </c>
      <c r="BB59">
        <f>IFERROR(MATCH(SMALL($BA$1:$BA$400,33),$BA$1:$BA$400,0),"")</f>
        <v/>
      </c>
    </row>
    <row r="60">
      <c r="A60" s="118">
        <f>IF($BB60="","",34)</f>
        <v/>
      </c>
      <c r="B60" s="137">
        <f>IF($BB60="","",INDEX(사업추진일지!$B$5:$B$404,$BB60))</f>
        <v/>
      </c>
      <c r="C60" s="136">
        <f>IF($BB60="","",INDEX(사업추진일지!$E$5:$E$404,$BB60))</f>
        <v/>
      </c>
      <c r="D60" s="131">
        <f>IF($BB60="","",INDEX(사업추진일지!$F$5:$F$404,$BB60))</f>
        <v/>
      </c>
      <c r="E60" s="131">
        <f>IF($BB60="","",INDEX(사업추진일지!$G$5:$G$404,$BB60))</f>
        <v/>
      </c>
      <c r="F60" s="136">
        <f>IF($BB60="","",INDEX(사업추진일지!$H$5:$H$404,$BB60))</f>
        <v/>
      </c>
      <c r="G60" s="139">
        <f>IF($BB60="","",INDEX(사업추진일지!$I$5:$I$404,$BB60))</f>
        <v/>
      </c>
      <c r="H60" s="136">
        <f>IF($BB60="","",INDEX(사업추진일지!$J$5:$J$404,$BB60))</f>
        <v/>
      </c>
      <c r="I60" s="136">
        <f>IF($BB60="","",INDEX(사업추진일지!$K$5:$K$404,$BB60))</f>
        <v/>
      </c>
      <c r="BA60">
        <f>IF(AND(사업추진일지!$C64=$B$4,사업추진일지!$B64&lt;&gt;""),사업추진일지!$B64*10000+60,"")</f>
        <v/>
      </c>
      <c r="BB60">
        <f>IFERROR(MATCH(SMALL($BA$1:$BA$400,34),$BA$1:$BA$400,0),"")</f>
        <v/>
      </c>
    </row>
    <row r="61">
      <c r="A61" s="118">
        <f>IF($BB61="","",35)</f>
        <v/>
      </c>
      <c r="B61" s="137">
        <f>IF($BB61="","",INDEX(사업추진일지!$B$5:$B$404,$BB61))</f>
        <v/>
      </c>
      <c r="C61" s="136">
        <f>IF($BB61="","",INDEX(사업추진일지!$E$5:$E$404,$BB61))</f>
        <v/>
      </c>
      <c r="D61" s="131">
        <f>IF($BB61="","",INDEX(사업추진일지!$F$5:$F$404,$BB61))</f>
        <v/>
      </c>
      <c r="E61" s="131">
        <f>IF($BB61="","",INDEX(사업추진일지!$G$5:$G$404,$BB61))</f>
        <v/>
      </c>
      <c r="F61" s="136">
        <f>IF($BB61="","",INDEX(사업추진일지!$H$5:$H$404,$BB61))</f>
        <v/>
      </c>
      <c r="G61" s="139">
        <f>IF($BB61="","",INDEX(사업추진일지!$I$5:$I$404,$BB61))</f>
        <v/>
      </c>
      <c r="H61" s="136">
        <f>IF($BB61="","",INDEX(사업추진일지!$J$5:$J$404,$BB61))</f>
        <v/>
      </c>
      <c r="I61" s="136">
        <f>IF($BB61="","",INDEX(사업추진일지!$K$5:$K$404,$BB61))</f>
        <v/>
      </c>
      <c r="BA61">
        <f>IF(AND(사업추진일지!$C65=$B$4,사업추진일지!$B65&lt;&gt;""),사업추진일지!$B65*10000+61,"")</f>
        <v/>
      </c>
      <c r="BB61">
        <f>IFERROR(MATCH(SMALL($BA$1:$BA$400,35),$BA$1:$BA$400,0),"")</f>
        <v/>
      </c>
    </row>
    <row r="62">
      <c r="A62" s="118">
        <f>IF($BB62="","",36)</f>
        <v/>
      </c>
      <c r="B62" s="137">
        <f>IF($BB62="","",INDEX(사업추진일지!$B$5:$B$404,$BB62))</f>
        <v/>
      </c>
      <c r="C62" s="136">
        <f>IF($BB62="","",INDEX(사업추진일지!$E$5:$E$404,$BB62))</f>
        <v/>
      </c>
      <c r="D62" s="131">
        <f>IF($BB62="","",INDEX(사업추진일지!$F$5:$F$404,$BB62))</f>
        <v/>
      </c>
      <c r="E62" s="131">
        <f>IF($BB62="","",INDEX(사업추진일지!$G$5:$G$404,$BB62))</f>
        <v/>
      </c>
      <c r="F62" s="136">
        <f>IF($BB62="","",INDEX(사업추진일지!$H$5:$H$404,$BB62))</f>
        <v/>
      </c>
      <c r="G62" s="139">
        <f>IF($BB62="","",INDEX(사업추진일지!$I$5:$I$404,$BB62))</f>
        <v/>
      </c>
      <c r="H62" s="136">
        <f>IF($BB62="","",INDEX(사업추진일지!$J$5:$J$404,$BB62))</f>
        <v/>
      </c>
      <c r="I62" s="136">
        <f>IF($BB62="","",INDEX(사업추진일지!$K$5:$K$404,$BB62))</f>
        <v/>
      </c>
      <c r="BA62">
        <f>IF(AND(사업추진일지!$C66=$B$4,사업추진일지!$B66&lt;&gt;""),사업추진일지!$B66*10000+62,"")</f>
        <v/>
      </c>
      <c r="BB62">
        <f>IFERROR(MATCH(SMALL($BA$1:$BA$400,36),$BA$1:$BA$400,0),"")</f>
        <v/>
      </c>
    </row>
    <row r="63">
      <c r="A63" s="118">
        <f>IF($BB63="","",37)</f>
        <v/>
      </c>
      <c r="B63" s="137">
        <f>IF($BB63="","",INDEX(사업추진일지!$B$5:$B$404,$BB63))</f>
        <v/>
      </c>
      <c r="C63" s="136">
        <f>IF($BB63="","",INDEX(사업추진일지!$E$5:$E$404,$BB63))</f>
        <v/>
      </c>
      <c r="D63" s="131">
        <f>IF($BB63="","",INDEX(사업추진일지!$F$5:$F$404,$BB63))</f>
        <v/>
      </c>
      <c r="E63" s="131">
        <f>IF($BB63="","",INDEX(사업추진일지!$G$5:$G$404,$BB63))</f>
        <v/>
      </c>
      <c r="F63" s="136">
        <f>IF($BB63="","",INDEX(사업추진일지!$H$5:$H$404,$BB63))</f>
        <v/>
      </c>
      <c r="G63" s="139">
        <f>IF($BB63="","",INDEX(사업추진일지!$I$5:$I$404,$BB63))</f>
        <v/>
      </c>
      <c r="H63" s="136">
        <f>IF($BB63="","",INDEX(사업추진일지!$J$5:$J$404,$BB63))</f>
        <v/>
      </c>
      <c r="I63" s="136">
        <f>IF($BB63="","",INDEX(사업추진일지!$K$5:$K$404,$BB63))</f>
        <v/>
      </c>
      <c r="BA63">
        <f>IF(AND(사업추진일지!$C67=$B$4,사업추진일지!$B67&lt;&gt;""),사업추진일지!$B67*10000+63,"")</f>
        <v/>
      </c>
      <c r="BB63">
        <f>IFERROR(MATCH(SMALL($BA$1:$BA$400,37),$BA$1:$BA$400,0),"")</f>
        <v/>
      </c>
    </row>
    <row r="64">
      <c r="A64" s="118">
        <f>IF($BB64="","",38)</f>
        <v/>
      </c>
      <c r="B64" s="137">
        <f>IF($BB64="","",INDEX(사업추진일지!$B$5:$B$404,$BB64))</f>
        <v/>
      </c>
      <c r="C64" s="136">
        <f>IF($BB64="","",INDEX(사업추진일지!$E$5:$E$404,$BB64))</f>
        <v/>
      </c>
      <c r="D64" s="131">
        <f>IF($BB64="","",INDEX(사업추진일지!$F$5:$F$404,$BB64))</f>
        <v/>
      </c>
      <c r="E64" s="131">
        <f>IF($BB64="","",INDEX(사업추진일지!$G$5:$G$404,$BB64))</f>
        <v/>
      </c>
      <c r="F64" s="136">
        <f>IF($BB64="","",INDEX(사업추진일지!$H$5:$H$404,$BB64))</f>
        <v/>
      </c>
      <c r="G64" s="139">
        <f>IF($BB64="","",INDEX(사업추진일지!$I$5:$I$404,$BB64))</f>
        <v/>
      </c>
      <c r="H64" s="136">
        <f>IF($BB64="","",INDEX(사업추진일지!$J$5:$J$404,$BB64))</f>
        <v/>
      </c>
      <c r="I64" s="136">
        <f>IF($BB64="","",INDEX(사업추진일지!$K$5:$K$404,$BB64))</f>
        <v/>
      </c>
      <c r="BA64">
        <f>IF(AND(사업추진일지!$C68=$B$4,사업추진일지!$B68&lt;&gt;""),사업추진일지!$B68*10000+64,"")</f>
        <v/>
      </c>
      <c r="BB64">
        <f>IFERROR(MATCH(SMALL($BA$1:$BA$400,38),$BA$1:$BA$400,0),"")</f>
        <v/>
      </c>
    </row>
    <row r="65">
      <c r="A65" s="118">
        <f>IF($BB65="","",39)</f>
        <v/>
      </c>
      <c r="B65" s="137">
        <f>IF($BB65="","",INDEX(사업추진일지!$B$5:$B$404,$BB65))</f>
        <v/>
      </c>
      <c r="C65" s="136">
        <f>IF($BB65="","",INDEX(사업추진일지!$E$5:$E$404,$BB65))</f>
        <v/>
      </c>
      <c r="D65" s="131">
        <f>IF($BB65="","",INDEX(사업추진일지!$F$5:$F$404,$BB65))</f>
        <v/>
      </c>
      <c r="E65" s="131">
        <f>IF($BB65="","",INDEX(사업추진일지!$G$5:$G$404,$BB65))</f>
        <v/>
      </c>
      <c r="F65" s="136">
        <f>IF($BB65="","",INDEX(사업추진일지!$H$5:$H$404,$BB65))</f>
        <v/>
      </c>
      <c r="G65" s="139">
        <f>IF($BB65="","",INDEX(사업추진일지!$I$5:$I$404,$BB65))</f>
        <v/>
      </c>
      <c r="H65" s="136">
        <f>IF($BB65="","",INDEX(사업추진일지!$J$5:$J$404,$BB65))</f>
        <v/>
      </c>
      <c r="I65" s="136">
        <f>IF($BB65="","",INDEX(사업추진일지!$K$5:$K$404,$BB65))</f>
        <v/>
      </c>
      <c r="BA65">
        <f>IF(AND(사업추진일지!$C69=$B$4,사업추진일지!$B69&lt;&gt;""),사업추진일지!$B69*10000+65,"")</f>
        <v/>
      </c>
      <c r="BB65">
        <f>IFERROR(MATCH(SMALL($BA$1:$BA$400,39),$BA$1:$BA$400,0),"")</f>
        <v/>
      </c>
    </row>
    <row r="66">
      <c r="A66" s="118">
        <f>IF($BB66="","",40)</f>
        <v/>
      </c>
      <c r="B66" s="137">
        <f>IF($BB66="","",INDEX(사업추진일지!$B$5:$B$404,$BB66))</f>
        <v/>
      </c>
      <c r="C66" s="136">
        <f>IF($BB66="","",INDEX(사업추진일지!$E$5:$E$404,$BB66))</f>
        <v/>
      </c>
      <c r="D66" s="131">
        <f>IF($BB66="","",INDEX(사업추진일지!$F$5:$F$404,$BB66))</f>
        <v/>
      </c>
      <c r="E66" s="131">
        <f>IF($BB66="","",INDEX(사업추진일지!$G$5:$G$404,$BB66))</f>
        <v/>
      </c>
      <c r="F66" s="136">
        <f>IF($BB66="","",INDEX(사업추진일지!$H$5:$H$404,$BB66))</f>
        <v/>
      </c>
      <c r="G66" s="139">
        <f>IF($BB66="","",INDEX(사업추진일지!$I$5:$I$404,$BB66))</f>
        <v/>
      </c>
      <c r="H66" s="136">
        <f>IF($BB66="","",INDEX(사업추진일지!$J$5:$J$404,$BB66))</f>
        <v/>
      </c>
      <c r="I66" s="136">
        <f>IF($BB66="","",INDEX(사업추진일지!$K$5:$K$404,$BB66))</f>
        <v/>
      </c>
      <c r="BA66">
        <f>IF(AND(사업추진일지!$C70=$B$4,사업추진일지!$B70&lt;&gt;""),사업추진일지!$B70*10000+66,"")</f>
        <v/>
      </c>
      <c r="BB66">
        <f>IFERROR(MATCH(SMALL($BA$1:$BA$400,40),$BA$1:$BA$400,0),"")</f>
        <v/>
      </c>
    </row>
    <row r="67">
      <c r="A67" s="118">
        <f>IF($BB67="","",41)</f>
        <v/>
      </c>
      <c r="B67" s="137">
        <f>IF($BB67="","",INDEX(사업추진일지!$B$5:$B$404,$BB67))</f>
        <v/>
      </c>
      <c r="C67" s="136">
        <f>IF($BB67="","",INDEX(사업추진일지!$E$5:$E$404,$BB67))</f>
        <v/>
      </c>
      <c r="D67" s="131">
        <f>IF($BB67="","",INDEX(사업추진일지!$F$5:$F$404,$BB67))</f>
        <v/>
      </c>
      <c r="E67" s="131">
        <f>IF($BB67="","",INDEX(사업추진일지!$G$5:$G$404,$BB67))</f>
        <v/>
      </c>
      <c r="F67" s="136">
        <f>IF($BB67="","",INDEX(사업추진일지!$H$5:$H$404,$BB67))</f>
        <v/>
      </c>
      <c r="G67" s="139">
        <f>IF($BB67="","",INDEX(사업추진일지!$I$5:$I$404,$BB67))</f>
        <v/>
      </c>
      <c r="H67" s="136">
        <f>IF($BB67="","",INDEX(사업추진일지!$J$5:$J$404,$BB67))</f>
        <v/>
      </c>
      <c r="I67" s="136">
        <f>IF($BB67="","",INDEX(사업추진일지!$K$5:$K$404,$BB67))</f>
        <v/>
      </c>
      <c r="BA67">
        <f>IF(AND(사업추진일지!$C71=$B$4,사업추진일지!$B71&lt;&gt;""),사업추진일지!$B71*10000+67,"")</f>
        <v/>
      </c>
      <c r="BB67">
        <f>IFERROR(MATCH(SMALL($BA$1:$BA$400,41),$BA$1:$BA$400,0),"")</f>
        <v/>
      </c>
    </row>
    <row r="68">
      <c r="A68" s="118">
        <f>IF($BB68="","",42)</f>
        <v/>
      </c>
      <c r="B68" s="137">
        <f>IF($BB68="","",INDEX(사업추진일지!$B$5:$B$404,$BB68))</f>
        <v/>
      </c>
      <c r="C68" s="136">
        <f>IF($BB68="","",INDEX(사업추진일지!$E$5:$E$404,$BB68))</f>
        <v/>
      </c>
      <c r="D68" s="131">
        <f>IF($BB68="","",INDEX(사업추진일지!$F$5:$F$404,$BB68))</f>
        <v/>
      </c>
      <c r="E68" s="131">
        <f>IF($BB68="","",INDEX(사업추진일지!$G$5:$G$404,$BB68))</f>
        <v/>
      </c>
      <c r="F68" s="136">
        <f>IF($BB68="","",INDEX(사업추진일지!$H$5:$H$404,$BB68))</f>
        <v/>
      </c>
      <c r="G68" s="139">
        <f>IF($BB68="","",INDEX(사업추진일지!$I$5:$I$404,$BB68))</f>
        <v/>
      </c>
      <c r="H68" s="136">
        <f>IF($BB68="","",INDEX(사업추진일지!$J$5:$J$404,$BB68))</f>
        <v/>
      </c>
      <c r="I68" s="136">
        <f>IF($BB68="","",INDEX(사업추진일지!$K$5:$K$404,$BB68))</f>
        <v/>
      </c>
      <c r="BA68">
        <f>IF(AND(사업추진일지!$C72=$B$4,사업추진일지!$B72&lt;&gt;""),사업추진일지!$B72*10000+68,"")</f>
        <v/>
      </c>
      <c r="BB68">
        <f>IFERROR(MATCH(SMALL($BA$1:$BA$400,42),$BA$1:$BA$400,0),"")</f>
        <v/>
      </c>
    </row>
    <row r="69">
      <c r="A69" s="118">
        <f>IF($BB69="","",43)</f>
        <v/>
      </c>
      <c r="B69" s="137">
        <f>IF($BB69="","",INDEX(사업추진일지!$B$5:$B$404,$BB69))</f>
        <v/>
      </c>
      <c r="C69" s="136">
        <f>IF($BB69="","",INDEX(사업추진일지!$E$5:$E$404,$BB69))</f>
        <v/>
      </c>
      <c r="D69" s="131">
        <f>IF($BB69="","",INDEX(사업추진일지!$F$5:$F$404,$BB69))</f>
        <v/>
      </c>
      <c r="E69" s="131">
        <f>IF($BB69="","",INDEX(사업추진일지!$G$5:$G$404,$BB69))</f>
        <v/>
      </c>
      <c r="F69" s="136">
        <f>IF($BB69="","",INDEX(사업추진일지!$H$5:$H$404,$BB69))</f>
        <v/>
      </c>
      <c r="G69" s="139">
        <f>IF($BB69="","",INDEX(사업추진일지!$I$5:$I$404,$BB69))</f>
        <v/>
      </c>
      <c r="H69" s="136">
        <f>IF($BB69="","",INDEX(사업추진일지!$J$5:$J$404,$BB69))</f>
        <v/>
      </c>
      <c r="I69" s="136">
        <f>IF($BB69="","",INDEX(사업추진일지!$K$5:$K$404,$BB69))</f>
        <v/>
      </c>
      <c r="BA69">
        <f>IF(AND(사업추진일지!$C73=$B$4,사업추진일지!$B73&lt;&gt;""),사업추진일지!$B73*10000+69,"")</f>
        <v/>
      </c>
      <c r="BB69">
        <f>IFERROR(MATCH(SMALL($BA$1:$BA$400,43),$BA$1:$BA$400,0),"")</f>
        <v/>
      </c>
    </row>
    <row r="70">
      <c r="A70" s="118">
        <f>IF($BB70="","",44)</f>
        <v/>
      </c>
      <c r="B70" s="137">
        <f>IF($BB70="","",INDEX(사업추진일지!$B$5:$B$404,$BB70))</f>
        <v/>
      </c>
      <c r="C70" s="136">
        <f>IF($BB70="","",INDEX(사업추진일지!$E$5:$E$404,$BB70))</f>
        <v/>
      </c>
      <c r="D70" s="131">
        <f>IF($BB70="","",INDEX(사업추진일지!$F$5:$F$404,$BB70))</f>
        <v/>
      </c>
      <c r="E70" s="131">
        <f>IF($BB70="","",INDEX(사업추진일지!$G$5:$G$404,$BB70))</f>
        <v/>
      </c>
      <c r="F70" s="136">
        <f>IF($BB70="","",INDEX(사업추진일지!$H$5:$H$404,$BB70))</f>
        <v/>
      </c>
      <c r="G70" s="139">
        <f>IF($BB70="","",INDEX(사업추진일지!$I$5:$I$404,$BB70))</f>
        <v/>
      </c>
      <c r="H70" s="136">
        <f>IF($BB70="","",INDEX(사업추진일지!$J$5:$J$404,$BB70))</f>
        <v/>
      </c>
      <c r="I70" s="136">
        <f>IF($BB70="","",INDEX(사업추진일지!$K$5:$K$404,$BB70))</f>
        <v/>
      </c>
      <c r="BA70">
        <f>IF(AND(사업추진일지!$C74=$B$4,사업추진일지!$B74&lt;&gt;""),사업추진일지!$B74*10000+70,"")</f>
        <v/>
      </c>
      <c r="BB70">
        <f>IFERROR(MATCH(SMALL($BA$1:$BA$400,44),$BA$1:$BA$400,0),"")</f>
        <v/>
      </c>
    </row>
    <row r="71">
      <c r="A71" s="118">
        <f>IF($BB71="","",45)</f>
        <v/>
      </c>
      <c r="B71" s="137">
        <f>IF($BB71="","",INDEX(사업추진일지!$B$5:$B$404,$BB71))</f>
        <v/>
      </c>
      <c r="C71" s="136">
        <f>IF($BB71="","",INDEX(사업추진일지!$E$5:$E$404,$BB71))</f>
        <v/>
      </c>
      <c r="D71" s="131">
        <f>IF($BB71="","",INDEX(사업추진일지!$F$5:$F$404,$BB71))</f>
        <v/>
      </c>
      <c r="E71" s="131">
        <f>IF($BB71="","",INDEX(사업추진일지!$G$5:$G$404,$BB71))</f>
        <v/>
      </c>
      <c r="F71" s="136">
        <f>IF($BB71="","",INDEX(사업추진일지!$H$5:$H$404,$BB71))</f>
        <v/>
      </c>
      <c r="G71" s="139">
        <f>IF($BB71="","",INDEX(사업추진일지!$I$5:$I$404,$BB71))</f>
        <v/>
      </c>
      <c r="H71" s="136">
        <f>IF($BB71="","",INDEX(사업추진일지!$J$5:$J$404,$BB71))</f>
        <v/>
      </c>
      <c r="I71" s="136">
        <f>IF($BB71="","",INDEX(사업추진일지!$K$5:$K$404,$BB71))</f>
        <v/>
      </c>
      <c r="BA71">
        <f>IF(AND(사업추진일지!$C75=$B$4,사업추진일지!$B75&lt;&gt;""),사업추진일지!$B75*10000+71,"")</f>
        <v/>
      </c>
      <c r="BB71">
        <f>IFERROR(MATCH(SMALL($BA$1:$BA$400,45),$BA$1:$BA$400,0),"")</f>
        <v/>
      </c>
    </row>
    <row r="72">
      <c r="A72" s="118">
        <f>IF($BB72="","",46)</f>
        <v/>
      </c>
      <c r="B72" s="137">
        <f>IF($BB72="","",INDEX(사업추진일지!$B$5:$B$404,$BB72))</f>
        <v/>
      </c>
      <c r="C72" s="136">
        <f>IF($BB72="","",INDEX(사업추진일지!$E$5:$E$404,$BB72))</f>
        <v/>
      </c>
      <c r="D72" s="131">
        <f>IF($BB72="","",INDEX(사업추진일지!$F$5:$F$404,$BB72))</f>
        <v/>
      </c>
      <c r="E72" s="131">
        <f>IF($BB72="","",INDEX(사업추진일지!$G$5:$G$404,$BB72))</f>
        <v/>
      </c>
      <c r="F72" s="136">
        <f>IF($BB72="","",INDEX(사업추진일지!$H$5:$H$404,$BB72))</f>
        <v/>
      </c>
      <c r="G72" s="139">
        <f>IF($BB72="","",INDEX(사업추진일지!$I$5:$I$404,$BB72))</f>
        <v/>
      </c>
      <c r="H72" s="136">
        <f>IF($BB72="","",INDEX(사업추진일지!$J$5:$J$404,$BB72))</f>
        <v/>
      </c>
      <c r="I72" s="136">
        <f>IF($BB72="","",INDEX(사업추진일지!$K$5:$K$404,$BB72))</f>
        <v/>
      </c>
      <c r="BA72">
        <f>IF(AND(사업추진일지!$C76=$B$4,사업추진일지!$B76&lt;&gt;""),사업추진일지!$B76*10000+72,"")</f>
        <v/>
      </c>
      <c r="BB72">
        <f>IFERROR(MATCH(SMALL($BA$1:$BA$400,46),$BA$1:$BA$400,0),"")</f>
        <v/>
      </c>
    </row>
    <row r="73">
      <c r="A73" s="118">
        <f>IF($BB73="","",47)</f>
        <v/>
      </c>
      <c r="B73" s="137">
        <f>IF($BB73="","",INDEX(사업추진일지!$B$5:$B$404,$BB73))</f>
        <v/>
      </c>
      <c r="C73" s="136">
        <f>IF($BB73="","",INDEX(사업추진일지!$E$5:$E$404,$BB73))</f>
        <v/>
      </c>
      <c r="D73" s="131">
        <f>IF($BB73="","",INDEX(사업추진일지!$F$5:$F$404,$BB73))</f>
        <v/>
      </c>
      <c r="E73" s="131">
        <f>IF($BB73="","",INDEX(사업추진일지!$G$5:$G$404,$BB73))</f>
        <v/>
      </c>
      <c r="F73" s="136">
        <f>IF($BB73="","",INDEX(사업추진일지!$H$5:$H$404,$BB73))</f>
        <v/>
      </c>
      <c r="G73" s="139">
        <f>IF($BB73="","",INDEX(사업추진일지!$I$5:$I$404,$BB73))</f>
        <v/>
      </c>
      <c r="H73" s="136">
        <f>IF($BB73="","",INDEX(사업추진일지!$J$5:$J$404,$BB73))</f>
        <v/>
      </c>
      <c r="I73" s="136">
        <f>IF($BB73="","",INDEX(사업추진일지!$K$5:$K$404,$BB73))</f>
        <v/>
      </c>
      <c r="BA73">
        <f>IF(AND(사업추진일지!$C77=$B$4,사업추진일지!$B77&lt;&gt;""),사업추진일지!$B77*10000+73,"")</f>
        <v/>
      </c>
      <c r="BB73">
        <f>IFERROR(MATCH(SMALL($BA$1:$BA$400,47),$BA$1:$BA$400,0),"")</f>
        <v/>
      </c>
    </row>
    <row r="74">
      <c r="A74" s="118">
        <f>IF($BB74="","",48)</f>
        <v/>
      </c>
      <c r="B74" s="137">
        <f>IF($BB74="","",INDEX(사업추진일지!$B$5:$B$404,$BB74))</f>
        <v/>
      </c>
      <c r="C74" s="136">
        <f>IF($BB74="","",INDEX(사업추진일지!$E$5:$E$404,$BB74))</f>
        <v/>
      </c>
      <c r="D74" s="131">
        <f>IF($BB74="","",INDEX(사업추진일지!$F$5:$F$404,$BB74))</f>
        <v/>
      </c>
      <c r="E74" s="131">
        <f>IF($BB74="","",INDEX(사업추진일지!$G$5:$G$404,$BB74))</f>
        <v/>
      </c>
      <c r="F74" s="136">
        <f>IF($BB74="","",INDEX(사업추진일지!$H$5:$H$404,$BB74))</f>
        <v/>
      </c>
      <c r="G74" s="139">
        <f>IF($BB74="","",INDEX(사업추진일지!$I$5:$I$404,$BB74))</f>
        <v/>
      </c>
      <c r="H74" s="136">
        <f>IF($BB74="","",INDEX(사업추진일지!$J$5:$J$404,$BB74))</f>
        <v/>
      </c>
      <c r="I74" s="136">
        <f>IF($BB74="","",INDEX(사업추진일지!$K$5:$K$404,$BB74))</f>
        <v/>
      </c>
      <c r="BA74">
        <f>IF(AND(사업추진일지!$C78=$B$4,사업추진일지!$B78&lt;&gt;""),사업추진일지!$B78*10000+74,"")</f>
        <v/>
      </c>
      <c r="BB74">
        <f>IFERROR(MATCH(SMALL($BA$1:$BA$400,48),$BA$1:$BA$400,0),"")</f>
        <v/>
      </c>
    </row>
    <row r="75">
      <c r="A75" s="118">
        <f>IF($BB75="","",49)</f>
        <v/>
      </c>
      <c r="B75" s="137">
        <f>IF($BB75="","",INDEX(사업추진일지!$B$5:$B$404,$BB75))</f>
        <v/>
      </c>
      <c r="C75" s="136">
        <f>IF($BB75="","",INDEX(사업추진일지!$E$5:$E$404,$BB75))</f>
        <v/>
      </c>
      <c r="D75" s="131">
        <f>IF($BB75="","",INDEX(사업추진일지!$F$5:$F$404,$BB75))</f>
        <v/>
      </c>
      <c r="E75" s="131">
        <f>IF($BB75="","",INDEX(사업추진일지!$G$5:$G$404,$BB75))</f>
        <v/>
      </c>
      <c r="F75" s="136">
        <f>IF($BB75="","",INDEX(사업추진일지!$H$5:$H$404,$BB75))</f>
        <v/>
      </c>
      <c r="G75" s="139">
        <f>IF($BB75="","",INDEX(사업추진일지!$I$5:$I$404,$BB75))</f>
        <v/>
      </c>
      <c r="H75" s="136">
        <f>IF($BB75="","",INDEX(사업추진일지!$J$5:$J$404,$BB75))</f>
        <v/>
      </c>
      <c r="I75" s="136">
        <f>IF($BB75="","",INDEX(사업추진일지!$K$5:$K$404,$BB75))</f>
        <v/>
      </c>
      <c r="BA75">
        <f>IF(AND(사업추진일지!$C79=$B$4,사업추진일지!$B79&lt;&gt;""),사업추진일지!$B79*10000+75,"")</f>
        <v/>
      </c>
      <c r="BB75">
        <f>IFERROR(MATCH(SMALL($BA$1:$BA$400,49),$BA$1:$BA$400,0),"")</f>
        <v/>
      </c>
    </row>
    <row r="76">
      <c r="A76" s="118">
        <f>IF($BB76="","",50)</f>
        <v/>
      </c>
      <c r="B76" s="137">
        <f>IF($BB76="","",INDEX(사업추진일지!$B$5:$B$404,$BB76))</f>
        <v/>
      </c>
      <c r="C76" s="136">
        <f>IF($BB76="","",INDEX(사업추진일지!$E$5:$E$404,$BB76))</f>
        <v/>
      </c>
      <c r="D76" s="131">
        <f>IF($BB76="","",INDEX(사업추진일지!$F$5:$F$404,$BB76))</f>
        <v/>
      </c>
      <c r="E76" s="131">
        <f>IF($BB76="","",INDEX(사업추진일지!$G$5:$G$404,$BB76))</f>
        <v/>
      </c>
      <c r="F76" s="136">
        <f>IF($BB76="","",INDEX(사업추진일지!$H$5:$H$404,$BB76))</f>
        <v/>
      </c>
      <c r="G76" s="139">
        <f>IF($BB76="","",INDEX(사업추진일지!$I$5:$I$404,$BB76))</f>
        <v/>
      </c>
      <c r="H76" s="136">
        <f>IF($BB76="","",INDEX(사업추진일지!$J$5:$J$404,$BB76))</f>
        <v/>
      </c>
      <c r="I76" s="136">
        <f>IF($BB76="","",INDEX(사업추진일지!$K$5:$K$404,$BB76))</f>
        <v/>
      </c>
      <c r="BA76">
        <f>IF(AND(사업추진일지!$C80=$B$4,사업추진일지!$B80&lt;&gt;""),사업추진일지!$B80*10000+76,"")</f>
        <v/>
      </c>
      <c r="BB76">
        <f>IFERROR(MATCH(SMALL($BA$1:$BA$400,50),$BA$1:$BA$400,0),"")</f>
        <v/>
      </c>
    </row>
    <row r="77">
      <c r="A77" s="118">
        <f>IF($BB77="","",51)</f>
        <v/>
      </c>
      <c r="B77" s="137">
        <f>IF($BB77="","",INDEX(사업추진일지!$B$5:$B$404,$BB77))</f>
        <v/>
      </c>
      <c r="C77" s="136">
        <f>IF($BB77="","",INDEX(사업추진일지!$E$5:$E$404,$BB77))</f>
        <v/>
      </c>
      <c r="D77" s="131">
        <f>IF($BB77="","",INDEX(사업추진일지!$F$5:$F$404,$BB77))</f>
        <v/>
      </c>
      <c r="E77" s="131">
        <f>IF($BB77="","",INDEX(사업추진일지!$G$5:$G$404,$BB77))</f>
        <v/>
      </c>
      <c r="F77" s="136">
        <f>IF($BB77="","",INDEX(사업추진일지!$H$5:$H$404,$BB77))</f>
        <v/>
      </c>
      <c r="G77" s="139">
        <f>IF($BB77="","",INDEX(사업추진일지!$I$5:$I$404,$BB77))</f>
        <v/>
      </c>
      <c r="H77" s="136">
        <f>IF($BB77="","",INDEX(사업추진일지!$J$5:$J$404,$BB77))</f>
        <v/>
      </c>
      <c r="I77" s="136">
        <f>IF($BB77="","",INDEX(사업추진일지!$K$5:$K$404,$BB77))</f>
        <v/>
      </c>
      <c r="BA77">
        <f>IF(AND(사업추진일지!$C81=$B$4,사업추진일지!$B81&lt;&gt;""),사업추진일지!$B81*10000+77,"")</f>
        <v/>
      </c>
      <c r="BB77">
        <f>IFERROR(MATCH(SMALL($BA$1:$BA$400,51),$BA$1:$BA$400,0),"")</f>
        <v/>
      </c>
    </row>
    <row r="78">
      <c r="A78" s="118">
        <f>IF($BB78="","",52)</f>
        <v/>
      </c>
      <c r="B78" s="137">
        <f>IF($BB78="","",INDEX(사업추진일지!$B$5:$B$404,$BB78))</f>
        <v/>
      </c>
      <c r="C78" s="136">
        <f>IF($BB78="","",INDEX(사업추진일지!$E$5:$E$404,$BB78))</f>
        <v/>
      </c>
      <c r="D78" s="131">
        <f>IF($BB78="","",INDEX(사업추진일지!$F$5:$F$404,$BB78))</f>
        <v/>
      </c>
      <c r="E78" s="131">
        <f>IF($BB78="","",INDEX(사업추진일지!$G$5:$G$404,$BB78))</f>
        <v/>
      </c>
      <c r="F78" s="136">
        <f>IF($BB78="","",INDEX(사업추진일지!$H$5:$H$404,$BB78))</f>
        <v/>
      </c>
      <c r="G78" s="139">
        <f>IF($BB78="","",INDEX(사업추진일지!$I$5:$I$404,$BB78))</f>
        <v/>
      </c>
      <c r="H78" s="136">
        <f>IF($BB78="","",INDEX(사업추진일지!$J$5:$J$404,$BB78))</f>
        <v/>
      </c>
      <c r="I78" s="136">
        <f>IF($BB78="","",INDEX(사업추진일지!$K$5:$K$404,$BB78))</f>
        <v/>
      </c>
      <c r="BA78">
        <f>IF(AND(사업추진일지!$C82=$B$4,사업추진일지!$B82&lt;&gt;""),사업추진일지!$B82*10000+78,"")</f>
        <v/>
      </c>
      <c r="BB78">
        <f>IFERROR(MATCH(SMALL($BA$1:$BA$400,52),$BA$1:$BA$400,0),"")</f>
        <v/>
      </c>
    </row>
    <row r="79">
      <c r="A79" s="118">
        <f>IF($BB79="","",53)</f>
        <v/>
      </c>
      <c r="B79" s="137">
        <f>IF($BB79="","",INDEX(사업추진일지!$B$5:$B$404,$BB79))</f>
        <v/>
      </c>
      <c r="C79" s="136">
        <f>IF($BB79="","",INDEX(사업추진일지!$E$5:$E$404,$BB79))</f>
        <v/>
      </c>
      <c r="D79" s="131">
        <f>IF($BB79="","",INDEX(사업추진일지!$F$5:$F$404,$BB79))</f>
        <v/>
      </c>
      <c r="E79" s="131">
        <f>IF($BB79="","",INDEX(사업추진일지!$G$5:$G$404,$BB79))</f>
        <v/>
      </c>
      <c r="F79" s="136">
        <f>IF($BB79="","",INDEX(사업추진일지!$H$5:$H$404,$BB79))</f>
        <v/>
      </c>
      <c r="G79" s="139">
        <f>IF($BB79="","",INDEX(사업추진일지!$I$5:$I$404,$BB79))</f>
        <v/>
      </c>
      <c r="H79" s="136">
        <f>IF($BB79="","",INDEX(사업추진일지!$J$5:$J$404,$BB79))</f>
        <v/>
      </c>
      <c r="I79" s="136">
        <f>IF($BB79="","",INDEX(사업추진일지!$K$5:$K$404,$BB79))</f>
        <v/>
      </c>
      <c r="BA79">
        <f>IF(AND(사업추진일지!$C83=$B$4,사업추진일지!$B83&lt;&gt;""),사업추진일지!$B83*10000+79,"")</f>
        <v/>
      </c>
      <c r="BB79">
        <f>IFERROR(MATCH(SMALL($BA$1:$BA$400,53),$BA$1:$BA$400,0),"")</f>
        <v/>
      </c>
    </row>
    <row r="80">
      <c r="A80" s="118">
        <f>IF($BB80="","",54)</f>
        <v/>
      </c>
      <c r="B80" s="137">
        <f>IF($BB80="","",INDEX(사업추진일지!$B$5:$B$404,$BB80))</f>
        <v/>
      </c>
      <c r="C80" s="136">
        <f>IF($BB80="","",INDEX(사업추진일지!$E$5:$E$404,$BB80))</f>
        <v/>
      </c>
      <c r="D80" s="131">
        <f>IF($BB80="","",INDEX(사업추진일지!$F$5:$F$404,$BB80))</f>
        <v/>
      </c>
      <c r="E80" s="131">
        <f>IF($BB80="","",INDEX(사업추진일지!$G$5:$G$404,$BB80))</f>
        <v/>
      </c>
      <c r="F80" s="136">
        <f>IF($BB80="","",INDEX(사업추진일지!$H$5:$H$404,$BB80))</f>
        <v/>
      </c>
      <c r="G80" s="139">
        <f>IF($BB80="","",INDEX(사업추진일지!$I$5:$I$404,$BB80))</f>
        <v/>
      </c>
      <c r="H80" s="136">
        <f>IF($BB80="","",INDEX(사업추진일지!$J$5:$J$404,$BB80))</f>
        <v/>
      </c>
      <c r="I80" s="136">
        <f>IF($BB80="","",INDEX(사업추진일지!$K$5:$K$404,$BB80))</f>
        <v/>
      </c>
      <c r="BA80">
        <f>IF(AND(사업추진일지!$C84=$B$4,사업추진일지!$B84&lt;&gt;""),사업추진일지!$B84*10000+80,"")</f>
        <v/>
      </c>
      <c r="BB80">
        <f>IFERROR(MATCH(SMALL($BA$1:$BA$400,54),$BA$1:$BA$400,0),"")</f>
        <v/>
      </c>
    </row>
    <row r="81">
      <c r="A81" s="118">
        <f>IF($BB81="","",55)</f>
        <v/>
      </c>
      <c r="B81" s="137">
        <f>IF($BB81="","",INDEX(사업추진일지!$B$5:$B$404,$BB81))</f>
        <v/>
      </c>
      <c r="C81" s="136">
        <f>IF($BB81="","",INDEX(사업추진일지!$E$5:$E$404,$BB81))</f>
        <v/>
      </c>
      <c r="D81" s="131">
        <f>IF($BB81="","",INDEX(사업추진일지!$F$5:$F$404,$BB81))</f>
        <v/>
      </c>
      <c r="E81" s="131">
        <f>IF($BB81="","",INDEX(사업추진일지!$G$5:$G$404,$BB81))</f>
        <v/>
      </c>
      <c r="F81" s="136">
        <f>IF($BB81="","",INDEX(사업추진일지!$H$5:$H$404,$BB81))</f>
        <v/>
      </c>
      <c r="G81" s="139">
        <f>IF($BB81="","",INDEX(사업추진일지!$I$5:$I$404,$BB81))</f>
        <v/>
      </c>
      <c r="H81" s="136">
        <f>IF($BB81="","",INDEX(사업추진일지!$J$5:$J$404,$BB81))</f>
        <v/>
      </c>
      <c r="I81" s="136">
        <f>IF($BB81="","",INDEX(사업추진일지!$K$5:$K$404,$BB81))</f>
        <v/>
      </c>
      <c r="BA81">
        <f>IF(AND(사업추진일지!$C85=$B$4,사업추진일지!$B85&lt;&gt;""),사업추진일지!$B85*10000+81,"")</f>
        <v/>
      </c>
      <c r="BB81">
        <f>IFERROR(MATCH(SMALL($BA$1:$BA$400,55),$BA$1:$BA$400,0),"")</f>
        <v/>
      </c>
    </row>
    <row r="82">
      <c r="A82" s="118">
        <f>IF($BB82="","",56)</f>
        <v/>
      </c>
      <c r="B82" s="137">
        <f>IF($BB82="","",INDEX(사업추진일지!$B$5:$B$404,$BB82))</f>
        <v/>
      </c>
      <c r="C82" s="136">
        <f>IF($BB82="","",INDEX(사업추진일지!$E$5:$E$404,$BB82))</f>
        <v/>
      </c>
      <c r="D82" s="131">
        <f>IF($BB82="","",INDEX(사업추진일지!$F$5:$F$404,$BB82))</f>
        <v/>
      </c>
      <c r="E82" s="131">
        <f>IF($BB82="","",INDEX(사업추진일지!$G$5:$G$404,$BB82))</f>
        <v/>
      </c>
      <c r="F82" s="136">
        <f>IF($BB82="","",INDEX(사업추진일지!$H$5:$H$404,$BB82))</f>
        <v/>
      </c>
      <c r="G82" s="139">
        <f>IF($BB82="","",INDEX(사업추진일지!$I$5:$I$404,$BB82))</f>
        <v/>
      </c>
      <c r="H82" s="136">
        <f>IF($BB82="","",INDEX(사업추진일지!$J$5:$J$404,$BB82))</f>
        <v/>
      </c>
      <c r="I82" s="136">
        <f>IF($BB82="","",INDEX(사업추진일지!$K$5:$K$404,$BB82))</f>
        <v/>
      </c>
      <c r="BA82">
        <f>IF(AND(사업추진일지!$C86=$B$4,사업추진일지!$B86&lt;&gt;""),사업추진일지!$B86*10000+82,"")</f>
        <v/>
      </c>
      <c r="BB82">
        <f>IFERROR(MATCH(SMALL($BA$1:$BA$400,56),$BA$1:$BA$400,0),"")</f>
        <v/>
      </c>
    </row>
    <row r="83">
      <c r="A83" s="118">
        <f>IF($BB83="","",57)</f>
        <v/>
      </c>
      <c r="B83" s="137">
        <f>IF($BB83="","",INDEX(사업추진일지!$B$5:$B$404,$BB83))</f>
        <v/>
      </c>
      <c r="C83" s="136">
        <f>IF($BB83="","",INDEX(사업추진일지!$E$5:$E$404,$BB83))</f>
        <v/>
      </c>
      <c r="D83" s="131">
        <f>IF($BB83="","",INDEX(사업추진일지!$F$5:$F$404,$BB83))</f>
        <v/>
      </c>
      <c r="E83" s="131">
        <f>IF($BB83="","",INDEX(사업추진일지!$G$5:$G$404,$BB83))</f>
        <v/>
      </c>
      <c r="F83" s="136">
        <f>IF($BB83="","",INDEX(사업추진일지!$H$5:$H$404,$BB83))</f>
        <v/>
      </c>
      <c r="G83" s="139">
        <f>IF($BB83="","",INDEX(사업추진일지!$I$5:$I$404,$BB83))</f>
        <v/>
      </c>
      <c r="H83" s="136">
        <f>IF($BB83="","",INDEX(사업추진일지!$J$5:$J$404,$BB83))</f>
        <v/>
      </c>
      <c r="I83" s="136">
        <f>IF($BB83="","",INDEX(사업추진일지!$K$5:$K$404,$BB83))</f>
        <v/>
      </c>
      <c r="BA83">
        <f>IF(AND(사업추진일지!$C87=$B$4,사업추진일지!$B87&lt;&gt;""),사업추진일지!$B87*10000+83,"")</f>
        <v/>
      </c>
      <c r="BB83">
        <f>IFERROR(MATCH(SMALL($BA$1:$BA$400,57),$BA$1:$BA$400,0),"")</f>
        <v/>
      </c>
    </row>
    <row r="84">
      <c r="A84" s="118">
        <f>IF($BB84="","",58)</f>
        <v/>
      </c>
      <c r="B84" s="137">
        <f>IF($BB84="","",INDEX(사업추진일지!$B$5:$B$404,$BB84))</f>
        <v/>
      </c>
      <c r="C84" s="136">
        <f>IF($BB84="","",INDEX(사업추진일지!$E$5:$E$404,$BB84))</f>
        <v/>
      </c>
      <c r="D84" s="131">
        <f>IF($BB84="","",INDEX(사업추진일지!$F$5:$F$404,$BB84))</f>
        <v/>
      </c>
      <c r="E84" s="131">
        <f>IF($BB84="","",INDEX(사업추진일지!$G$5:$G$404,$BB84))</f>
        <v/>
      </c>
      <c r="F84" s="136">
        <f>IF($BB84="","",INDEX(사업추진일지!$H$5:$H$404,$BB84))</f>
        <v/>
      </c>
      <c r="G84" s="139">
        <f>IF($BB84="","",INDEX(사업추진일지!$I$5:$I$404,$BB84))</f>
        <v/>
      </c>
      <c r="H84" s="136">
        <f>IF($BB84="","",INDEX(사업추진일지!$J$5:$J$404,$BB84))</f>
        <v/>
      </c>
      <c r="I84" s="136">
        <f>IF($BB84="","",INDEX(사업추진일지!$K$5:$K$404,$BB84))</f>
        <v/>
      </c>
      <c r="BA84">
        <f>IF(AND(사업추진일지!$C88=$B$4,사업추진일지!$B88&lt;&gt;""),사업추진일지!$B88*10000+84,"")</f>
        <v/>
      </c>
      <c r="BB84">
        <f>IFERROR(MATCH(SMALL($BA$1:$BA$400,58),$BA$1:$BA$400,0),"")</f>
        <v/>
      </c>
    </row>
    <row r="85">
      <c r="A85" s="118">
        <f>IF($BB85="","",59)</f>
        <v/>
      </c>
      <c r="B85" s="137">
        <f>IF($BB85="","",INDEX(사업추진일지!$B$5:$B$404,$BB85))</f>
        <v/>
      </c>
      <c r="C85" s="136">
        <f>IF($BB85="","",INDEX(사업추진일지!$E$5:$E$404,$BB85))</f>
        <v/>
      </c>
      <c r="D85" s="131">
        <f>IF($BB85="","",INDEX(사업추진일지!$F$5:$F$404,$BB85))</f>
        <v/>
      </c>
      <c r="E85" s="131">
        <f>IF($BB85="","",INDEX(사업추진일지!$G$5:$G$404,$BB85))</f>
        <v/>
      </c>
      <c r="F85" s="136">
        <f>IF($BB85="","",INDEX(사업추진일지!$H$5:$H$404,$BB85))</f>
        <v/>
      </c>
      <c r="G85" s="139">
        <f>IF($BB85="","",INDEX(사업추진일지!$I$5:$I$404,$BB85))</f>
        <v/>
      </c>
      <c r="H85" s="136">
        <f>IF($BB85="","",INDEX(사업추진일지!$J$5:$J$404,$BB85))</f>
        <v/>
      </c>
      <c r="I85" s="136">
        <f>IF($BB85="","",INDEX(사업추진일지!$K$5:$K$404,$BB85))</f>
        <v/>
      </c>
      <c r="BA85">
        <f>IF(AND(사업추진일지!$C89=$B$4,사업추진일지!$B89&lt;&gt;""),사업추진일지!$B89*10000+85,"")</f>
        <v/>
      </c>
      <c r="BB85">
        <f>IFERROR(MATCH(SMALL($BA$1:$BA$400,59),$BA$1:$BA$400,0),"")</f>
        <v/>
      </c>
    </row>
    <row r="86">
      <c r="A86" s="118">
        <f>IF($BB86="","",60)</f>
        <v/>
      </c>
      <c r="B86" s="137">
        <f>IF($BB86="","",INDEX(사업추진일지!$B$5:$B$404,$BB86))</f>
        <v/>
      </c>
      <c r="C86" s="136">
        <f>IF($BB86="","",INDEX(사업추진일지!$E$5:$E$404,$BB86))</f>
        <v/>
      </c>
      <c r="D86" s="131">
        <f>IF($BB86="","",INDEX(사업추진일지!$F$5:$F$404,$BB86))</f>
        <v/>
      </c>
      <c r="E86" s="131">
        <f>IF($BB86="","",INDEX(사업추진일지!$G$5:$G$404,$BB86))</f>
        <v/>
      </c>
      <c r="F86" s="136">
        <f>IF($BB86="","",INDEX(사업추진일지!$H$5:$H$404,$BB86))</f>
        <v/>
      </c>
      <c r="G86" s="139">
        <f>IF($BB86="","",INDEX(사업추진일지!$I$5:$I$404,$BB86))</f>
        <v/>
      </c>
      <c r="H86" s="136">
        <f>IF($BB86="","",INDEX(사업추진일지!$J$5:$J$404,$BB86))</f>
        <v/>
      </c>
      <c r="I86" s="136">
        <f>IF($BB86="","",INDEX(사업추진일지!$K$5:$K$404,$BB86))</f>
        <v/>
      </c>
      <c r="BA86">
        <f>IF(AND(사업추진일지!$C90=$B$4,사업추진일지!$B90&lt;&gt;""),사업추진일지!$B90*10000+86,"")</f>
        <v/>
      </c>
      <c r="BB86">
        <f>IFERROR(MATCH(SMALL($BA$1:$BA$400,60),$BA$1:$BA$400,0),"")</f>
        <v/>
      </c>
    </row>
    <row r="87">
      <c r="BA87">
        <f>IF(AND(사업추진일지!$C91=$B$4,사업추진일지!$B91&lt;&gt;""),사업추진일지!$B91*10000+87,"")</f>
        <v/>
      </c>
    </row>
    <row r="88">
      <c r="A88" s="7" t="inlineStr">
        <is>
          <t>※ 타임라인은 상위 60건까지 표시합니다. 그보다 많으면 [사업추진일지]에서 사업번호로 필터를 거세요.</t>
        </is>
      </c>
      <c r="BA88">
        <f>IF(AND(사업추진일지!$C92=$B$4,사업추진일지!$B92&lt;&gt;""),사업추진일지!$B92*10000+88,"")</f>
        <v/>
      </c>
    </row>
    <row r="89">
      <c r="BA89">
        <f>IF(AND(사업추진일지!$C93=$B$4,사업추진일지!$B93&lt;&gt;""),사업추진일지!$B93*10000+89,"")</f>
        <v/>
      </c>
    </row>
    <row r="90">
      <c r="BA90">
        <f>IF(AND(사업추진일지!$C94=$B$4,사업추진일지!$B94&lt;&gt;""),사업추진일지!$B94*10000+90,"")</f>
        <v/>
      </c>
    </row>
    <row r="91">
      <c r="BA91">
        <f>IF(AND(사업추진일지!$C95=$B$4,사업추진일지!$B95&lt;&gt;""),사업추진일지!$B95*10000+91,"")</f>
        <v/>
      </c>
    </row>
    <row r="92">
      <c r="BA92">
        <f>IF(AND(사업추진일지!$C96=$B$4,사업추진일지!$B96&lt;&gt;""),사업추진일지!$B96*10000+92,"")</f>
        <v/>
      </c>
    </row>
    <row r="93">
      <c r="BA93">
        <f>IF(AND(사업추진일지!$C97=$B$4,사업추진일지!$B97&lt;&gt;""),사업추진일지!$B97*10000+93,"")</f>
        <v/>
      </c>
    </row>
    <row r="94">
      <c r="BA94">
        <f>IF(AND(사업추진일지!$C98=$B$4,사업추진일지!$B98&lt;&gt;""),사업추진일지!$B98*10000+94,"")</f>
        <v/>
      </c>
    </row>
    <row r="95">
      <c r="BA95">
        <f>IF(AND(사업추진일지!$C99=$B$4,사업추진일지!$B99&lt;&gt;""),사업추진일지!$B99*10000+95,"")</f>
        <v/>
      </c>
    </row>
    <row r="96">
      <c r="BA96">
        <f>IF(AND(사업추진일지!$C100=$B$4,사업추진일지!$B100&lt;&gt;""),사업추진일지!$B100*10000+96,"")</f>
        <v/>
      </c>
    </row>
    <row r="97">
      <c r="BA97">
        <f>IF(AND(사업추진일지!$C101=$B$4,사업추진일지!$B101&lt;&gt;""),사업추진일지!$B101*10000+97,"")</f>
        <v/>
      </c>
    </row>
    <row r="98">
      <c r="BA98">
        <f>IF(AND(사업추진일지!$C102=$B$4,사업추진일지!$B102&lt;&gt;""),사업추진일지!$B102*10000+98,"")</f>
        <v/>
      </c>
    </row>
    <row r="99">
      <c r="BA99">
        <f>IF(AND(사업추진일지!$C103=$B$4,사업추진일지!$B103&lt;&gt;""),사업추진일지!$B103*10000+99,"")</f>
        <v/>
      </c>
    </row>
    <row r="100">
      <c r="BA100">
        <f>IF(AND(사업추진일지!$C104=$B$4,사업추진일지!$B104&lt;&gt;""),사업추진일지!$B104*10000+100,"")</f>
        <v/>
      </c>
    </row>
    <row r="101">
      <c r="BA101">
        <f>IF(AND(사업추진일지!$C105=$B$4,사업추진일지!$B105&lt;&gt;""),사업추진일지!$B105*10000+101,"")</f>
        <v/>
      </c>
    </row>
    <row r="102">
      <c r="BA102">
        <f>IF(AND(사업추진일지!$C106=$B$4,사업추진일지!$B106&lt;&gt;""),사업추진일지!$B106*10000+102,"")</f>
        <v/>
      </c>
    </row>
    <row r="103">
      <c r="BA103">
        <f>IF(AND(사업추진일지!$C107=$B$4,사업추진일지!$B107&lt;&gt;""),사업추진일지!$B107*10000+103,"")</f>
        <v/>
      </c>
    </row>
    <row r="104">
      <c r="BA104">
        <f>IF(AND(사업추진일지!$C108=$B$4,사업추진일지!$B108&lt;&gt;""),사업추진일지!$B108*10000+104,"")</f>
        <v/>
      </c>
    </row>
    <row r="105">
      <c r="BA105">
        <f>IF(AND(사업추진일지!$C109=$B$4,사업추진일지!$B109&lt;&gt;""),사업추진일지!$B109*10000+105,"")</f>
        <v/>
      </c>
    </row>
    <row r="106">
      <c r="BA106">
        <f>IF(AND(사업추진일지!$C110=$B$4,사업추진일지!$B110&lt;&gt;""),사업추진일지!$B110*10000+106,"")</f>
        <v/>
      </c>
    </row>
    <row r="107">
      <c r="BA107">
        <f>IF(AND(사업추진일지!$C111=$B$4,사업추진일지!$B111&lt;&gt;""),사업추진일지!$B111*10000+107,"")</f>
        <v/>
      </c>
    </row>
    <row r="108">
      <c r="BA108">
        <f>IF(AND(사업추진일지!$C112=$B$4,사업추진일지!$B112&lt;&gt;""),사업추진일지!$B112*10000+108,"")</f>
        <v/>
      </c>
    </row>
    <row r="109">
      <c r="BA109">
        <f>IF(AND(사업추진일지!$C113=$B$4,사업추진일지!$B113&lt;&gt;""),사업추진일지!$B113*10000+109,"")</f>
        <v/>
      </c>
    </row>
    <row r="110">
      <c r="BA110">
        <f>IF(AND(사업추진일지!$C114=$B$4,사업추진일지!$B114&lt;&gt;""),사업추진일지!$B114*10000+110,"")</f>
        <v/>
      </c>
    </row>
    <row r="111">
      <c r="BA111">
        <f>IF(AND(사업추진일지!$C115=$B$4,사업추진일지!$B115&lt;&gt;""),사업추진일지!$B115*10000+111,"")</f>
        <v/>
      </c>
    </row>
    <row r="112">
      <c r="BA112">
        <f>IF(AND(사업추진일지!$C116=$B$4,사업추진일지!$B116&lt;&gt;""),사업추진일지!$B116*10000+112,"")</f>
        <v/>
      </c>
    </row>
    <row r="113">
      <c r="BA113">
        <f>IF(AND(사업추진일지!$C117=$B$4,사업추진일지!$B117&lt;&gt;""),사업추진일지!$B117*10000+113,"")</f>
        <v/>
      </c>
    </row>
    <row r="114">
      <c r="BA114">
        <f>IF(AND(사업추진일지!$C118=$B$4,사업추진일지!$B118&lt;&gt;""),사업추진일지!$B118*10000+114,"")</f>
        <v/>
      </c>
    </row>
    <row r="115">
      <c r="BA115">
        <f>IF(AND(사업추진일지!$C119=$B$4,사업추진일지!$B119&lt;&gt;""),사업추진일지!$B119*10000+115,"")</f>
        <v/>
      </c>
    </row>
    <row r="116">
      <c r="BA116">
        <f>IF(AND(사업추진일지!$C120=$B$4,사업추진일지!$B120&lt;&gt;""),사업추진일지!$B120*10000+116,"")</f>
        <v/>
      </c>
    </row>
    <row r="117">
      <c r="BA117">
        <f>IF(AND(사업추진일지!$C121=$B$4,사업추진일지!$B121&lt;&gt;""),사업추진일지!$B121*10000+117,"")</f>
        <v/>
      </c>
    </row>
    <row r="118">
      <c r="BA118">
        <f>IF(AND(사업추진일지!$C122=$B$4,사업추진일지!$B122&lt;&gt;""),사업추진일지!$B122*10000+118,"")</f>
        <v/>
      </c>
    </row>
    <row r="119">
      <c r="BA119">
        <f>IF(AND(사업추진일지!$C123=$B$4,사업추진일지!$B123&lt;&gt;""),사업추진일지!$B123*10000+119,"")</f>
        <v/>
      </c>
    </row>
    <row r="120">
      <c r="BA120">
        <f>IF(AND(사업추진일지!$C124=$B$4,사업추진일지!$B124&lt;&gt;""),사업추진일지!$B124*10000+120,"")</f>
        <v/>
      </c>
    </row>
    <row r="121">
      <c r="BA121">
        <f>IF(AND(사업추진일지!$C125=$B$4,사업추진일지!$B125&lt;&gt;""),사업추진일지!$B125*10000+121,"")</f>
        <v/>
      </c>
    </row>
    <row r="122">
      <c r="BA122">
        <f>IF(AND(사업추진일지!$C126=$B$4,사업추진일지!$B126&lt;&gt;""),사업추진일지!$B126*10000+122,"")</f>
        <v/>
      </c>
    </row>
    <row r="123">
      <c r="BA123">
        <f>IF(AND(사업추진일지!$C127=$B$4,사업추진일지!$B127&lt;&gt;""),사업추진일지!$B127*10000+123,"")</f>
        <v/>
      </c>
    </row>
    <row r="124">
      <c r="BA124">
        <f>IF(AND(사업추진일지!$C128=$B$4,사업추진일지!$B128&lt;&gt;""),사업추진일지!$B128*10000+124,"")</f>
        <v/>
      </c>
    </row>
    <row r="125">
      <c r="BA125">
        <f>IF(AND(사업추진일지!$C129=$B$4,사업추진일지!$B129&lt;&gt;""),사업추진일지!$B129*10000+125,"")</f>
        <v/>
      </c>
    </row>
    <row r="126">
      <c r="BA126">
        <f>IF(AND(사업추진일지!$C130=$B$4,사업추진일지!$B130&lt;&gt;""),사업추진일지!$B130*10000+126,"")</f>
        <v/>
      </c>
    </row>
    <row r="127">
      <c r="BA127">
        <f>IF(AND(사업추진일지!$C131=$B$4,사업추진일지!$B131&lt;&gt;""),사업추진일지!$B131*10000+127,"")</f>
        <v/>
      </c>
    </row>
    <row r="128">
      <c r="BA128">
        <f>IF(AND(사업추진일지!$C132=$B$4,사업추진일지!$B132&lt;&gt;""),사업추진일지!$B132*10000+128,"")</f>
        <v/>
      </c>
    </row>
    <row r="129">
      <c r="BA129">
        <f>IF(AND(사업추진일지!$C133=$B$4,사업추진일지!$B133&lt;&gt;""),사업추진일지!$B133*10000+129,"")</f>
        <v/>
      </c>
    </row>
    <row r="130">
      <c r="BA130">
        <f>IF(AND(사업추진일지!$C134=$B$4,사업추진일지!$B134&lt;&gt;""),사업추진일지!$B134*10000+130,"")</f>
        <v/>
      </c>
    </row>
    <row r="131">
      <c r="BA131">
        <f>IF(AND(사업추진일지!$C135=$B$4,사업추진일지!$B135&lt;&gt;""),사업추진일지!$B135*10000+131,"")</f>
        <v/>
      </c>
    </row>
    <row r="132">
      <c r="BA132">
        <f>IF(AND(사업추진일지!$C136=$B$4,사업추진일지!$B136&lt;&gt;""),사업추진일지!$B136*10000+132,"")</f>
        <v/>
      </c>
    </row>
    <row r="133">
      <c r="BA133">
        <f>IF(AND(사업추진일지!$C137=$B$4,사업추진일지!$B137&lt;&gt;""),사업추진일지!$B137*10000+133,"")</f>
        <v/>
      </c>
    </row>
    <row r="134">
      <c r="BA134">
        <f>IF(AND(사업추진일지!$C138=$B$4,사업추진일지!$B138&lt;&gt;""),사업추진일지!$B138*10000+134,"")</f>
        <v/>
      </c>
    </row>
    <row r="135">
      <c r="BA135">
        <f>IF(AND(사업추진일지!$C139=$B$4,사업추진일지!$B139&lt;&gt;""),사업추진일지!$B139*10000+135,"")</f>
        <v/>
      </c>
    </row>
    <row r="136">
      <c r="BA136">
        <f>IF(AND(사업추진일지!$C140=$B$4,사업추진일지!$B140&lt;&gt;""),사업추진일지!$B140*10000+136,"")</f>
        <v/>
      </c>
    </row>
    <row r="137">
      <c r="BA137">
        <f>IF(AND(사업추진일지!$C141=$B$4,사업추진일지!$B141&lt;&gt;""),사업추진일지!$B141*10000+137,"")</f>
        <v/>
      </c>
    </row>
    <row r="138">
      <c r="BA138">
        <f>IF(AND(사업추진일지!$C142=$B$4,사업추진일지!$B142&lt;&gt;""),사업추진일지!$B142*10000+138,"")</f>
        <v/>
      </c>
    </row>
    <row r="139">
      <c r="BA139">
        <f>IF(AND(사업추진일지!$C143=$B$4,사업추진일지!$B143&lt;&gt;""),사업추진일지!$B143*10000+139,"")</f>
        <v/>
      </c>
    </row>
    <row r="140">
      <c r="BA140">
        <f>IF(AND(사업추진일지!$C144=$B$4,사업추진일지!$B144&lt;&gt;""),사업추진일지!$B144*10000+140,"")</f>
        <v/>
      </c>
    </row>
    <row r="141">
      <c r="BA141">
        <f>IF(AND(사업추진일지!$C145=$B$4,사업추진일지!$B145&lt;&gt;""),사업추진일지!$B145*10000+141,"")</f>
        <v/>
      </c>
    </row>
    <row r="142">
      <c r="BA142">
        <f>IF(AND(사업추진일지!$C146=$B$4,사업추진일지!$B146&lt;&gt;""),사업추진일지!$B146*10000+142,"")</f>
        <v/>
      </c>
    </row>
    <row r="143">
      <c r="BA143">
        <f>IF(AND(사업추진일지!$C147=$B$4,사업추진일지!$B147&lt;&gt;""),사업추진일지!$B147*10000+143,"")</f>
        <v/>
      </c>
    </row>
    <row r="144">
      <c r="BA144">
        <f>IF(AND(사업추진일지!$C148=$B$4,사업추진일지!$B148&lt;&gt;""),사업추진일지!$B148*10000+144,"")</f>
        <v/>
      </c>
    </row>
    <row r="145">
      <c r="BA145">
        <f>IF(AND(사업추진일지!$C149=$B$4,사업추진일지!$B149&lt;&gt;""),사업추진일지!$B149*10000+145,"")</f>
        <v/>
      </c>
    </row>
    <row r="146">
      <c r="BA146">
        <f>IF(AND(사업추진일지!$C150=$B$4,사업추진일지!$B150&lt;&gt;""),사업추진일지!$B150*10000+146,"")</f>
        <v/>
      </c>
    </row>
    <row r="147">
      <c r="BA147">
        <f>IF(AND(사업추진일지!$C151=$B$4,사업추진일지!$B151&lt;&gt;""),사업추진일지!$B151*10000+147,"")</f>
        <v/>
      </c>
    </row>
    <row r="148">
      <c r="BA148">
        <f>IF(AND(사업추진일지!$C152=$B$4,사업추진일지!$B152&lt;&gt;""),사업추진일지!$B152*10000+148,"")</f>
        <v/>
      </c>
    </row>
    <row r="149">
      <c r="BA149">
        <f>IF(AND(사업추진일지!$C153=$B$4,사업추진일지!$B153&lt;&gt;""),사업추진일지!$B153*10000+149,"")</f>
        <v/>
      </c>
    </row>
    <row r="150">
      <c r="BA150">
        <f>IF(AND(사업추진일지!$C154=$B$4,사업추진일지!$B154&lt;&gt;""),사업추진일지!$B154*10000+150,"")</f>
        <v/>
      </c>
    </row>
    <row r="151">
      <c r="BA151">
        <f>IF(AND(사업추진일지!$C155=$B$4,사업추진일지!$B155&lt;&gt;""),사업추진일지!$B155*10000+151,"")</f>
        <v/>
      </c>
    </row>
    <row r="152">
      <c r="BA152">
        <f>IF(AND(사업추진일지!$C156=$B$4,사업추진일지!$B156&lt;&gt;""),사업추진일지!$B156*10000+152,"")</f>
        <v/>
      </c>
    </row>
    <row r="153">
      <c r="BA153">
        <f>IF(AND(사업추진일지!$C157=$B$4,사업추진일지!$B157&lt;&gt;""),사업추진일지!$B157*10000+153,"")</f>
        <v/>
      </c>
    </row>
    <row r="154">
      <c r="BA154">
        <f>IF(AND(사업추진일지!$C158=$B$4,사업추진일지!$B158&lt;&gt;""),사업추진일지!$B158*10000+154,"")</f>
        <v/>
      </c>
    </row>
    <row r="155">
      <c r="BA155">
        <f>IF(AND(사업추진일지!$C159=$B$4,사업추진일지!$B159&lt;&gt;""),사업추진일지!$B159*10000+155,"")</f>
        <v/>
      </c>
    </row>
    <row r="156">
      <c r="BA156">
        <f>IF(AND(사업추진일지!$C160=$B$4,사업추진일지!$B160&lt;&gt;""),사업추진일지!$B160*10000+156,"")</f>
        <v/>
      </c>
    </row>
    <row r="157">
      <c r="BA157">
        <f>IF(AND(사업추진일지!$C161=$B$4,사업추진일지!$B161&lt;&gt;""),사업추진일지!$B161*10000+157,"")</f>
        <v/>
      </c>
    </row>
    <row r="158">
      <c r="BA158">
        <f>IF(AND(사업추진일지!$C162=$B$4,사업추진일지!$B162&lt;&gt;""),사업추진일지!$B162*10000+158,"")</f>
        <v/>
      </c>
    </row>
    <row r="159">
      <c r="BA159">
        <f>IF(AND(사업추진일지!$C163=$B$4,사업추진일지!$B163&lt;&gt;""),사업추진일지!$B163*10000+159,"")</f>
        <v/>
      </c>
    </row>
    <row r="160">
      <c r="BA160">
        <f>IF(AND(사업추진일지!$C164=$B$4,사업추진일지!$B164&lt;&gt;""),사업추진일지!$B164*10000+160,"")</f>
        <v/>
      </c>
    </row>
    <row r="161">
      <c r="BA161">
        <f>IF(AND(사업추진일지!$C165=$B$4,사업추진일지!$B165&lt;&gt;""),사업추진일지!$B165*10000+161,"")</f>
        <v/>
      </c>
    </row>
    <row r="162">
      <c r="BA162">
        <f>IF(AND(사업추진일지!$C166=$B$4,사업추진일지!$B166&lt;&gt;""),사업추진일지!$B166*10000+162,"")</f>
        <v/>
      </c>
    </row>
    <row r="163">
      <c r="BA163">
        <f>IF(AND(사업추진일지!$C167=$B$4,사업추진일지!$B167&lt;&gt;""),사업추진일지!$B167*10000+163,"")</f>
        <v/>
      </c>
    </row>
    <row r="164">
      <c r="BA164">
        <f>IF(AND(사업추진일지!$C168=$B$4,사업추진일지!$B168&lt;&gt;""),사업추진일지!$B168*10000+164,"")</f>
        <v/>
      </c>
    </row>
    <row r="165">
      <c r="BA165">
        <f>IF(AND(사업추진일지!$C169=$B$4,사업추진일지!$B169&lt;&gt;""),사업추진일지!$B169*10000+165,"")</f>
        <v/>
      </c>
    </row>
    <row r="166">
      <c r="BA166">
        <f>IF(AND(사업추진일지!$C170=$B$4,사업추진일지!$B170&lt;&gt;""),사업추진일지!$B170*10000+166,"")</f>
        <v/>
      </c>
    </row>
    <row r="167">
      <c r="BA167">
        <f>IF(AND(사업추진일지!$C171=$B$4,사업추진일지!$B171&lt;&gt;""),사업추진일지!$B171*10000+167,"")</f>
        <v/>
      </c>
    </row>
    <row r="168">
      <c r="BA168">
        <f>IF(AND(사업추진일지!$C172=$B$4,사업추진일지!$B172&lt;&gt;""),사업추진일지!$B172*10000+168,"")</f>
        <v/>
      </c>
    </row>
    <row r="169">
      <c r="BA169">
        <f>IF(AND(사업추진일지!$C173=$B$4,사업추진일지!$B173&lt;&gt;""),사업추진일지!$B173*10000+169,"")</f>
        <v/>
      </c>
    </row>
    <row r="170">
      <c r="BA170">
        <f>IF(AND(사업추진일지!$C174=$B$4,사업추진일지!$B174&lt;&gt;""),사업추진일지!$B174*10000+170,"")</f>
        <v/>
      </c>
    </row>
    <row r="171">
      <c r="BA171">
        <f>IF(AND(사업추진일지!$C175=$B$4,사업추진일지!$B175&lt;&gt;""),사업추진일지!$B175*10000+171,"")</f>
        <v/>
      </c>
    </row>
    <row r="172">
      <c r="BA172">
        <f>IF(AND(사업추진일지!$C176=$B$4,사업추진일지!$B176&lt;&gt;""),사업추진일지!$B176*10000+172,"")</f>
        <v/>
      </c>
    </row>
    <row r="173">
      <c r="BA173">
        <f>IF(AND(사업추진일지!$C177=$B$4,사업추진일지!$B177&lt;&gt;""),사업추진일지!$B177*10000+173,"")</f>
        <v/>
      </c>
    </row>
    <row r="174">
      <c r="BA174">
        <f>IF(AND(사업추진일지!$C178=$B$4,사업추진일지!$B178&lt;&gt;""),사업추진일지!$B178*10000+174,"")</f>
        <v/>
      </c>
    </row>
    <row r="175">
      <c r="BA175">
        <f>IF(AND(사업추진일지!$C179=$B$4,사업추진일지!$B179&lt;&gt;""),사업추진일지!$B179*10000+175,"")</f>
        <v/>
      </c>
    </row>
    <row r="176">
      <c r="BA176">
        <f>IF(AND(사업추진일지!$C180=$B$4,사업추진일지!$B180&lt;&gt;""),사업추진일지!$B180*10000+176,"")</f>
        <v/>
      </c>
    </row>
    <row r="177">
      <c r="BA177">
        <f>IF(AND(사업추진일지!$C181=$B$4,사업추진일지!$B181&lt;&gt;""),사업추진일지!$B181*10000+177,"")</f>
        <v/>
      </c>
    </row>
    <row r="178">
      <c r="BA178">
        <f>IF(AND(사업추진일지!$C182=$B$4,사업추진일지!$B182&lt;&gt;""),사업추진일지!$B182*10000+178,"")</f>
        <v/>
      </c>
    </row>
    <row r="179">
      <c r="BA179">
        <f>IF(AND(사업추진일지!$C183=$B$4,사업추진일지!$B183&lt;&gt;""),사업추진일지!$B183*10000+179,"")</f>
        <v/>
      </c>
    </row>
    <row r="180">
      <c r="BA180">
        <f>IF(AND(사업추진일지!$C184=$B$4,사업추진일지!$B184&lt;&gt;""),사업추진일지!$B184*10000+180,"")</f>
        <v/>
      </c>
    </row>
    <row r="181">
      <c r="BA181">
        <f>IF(AND(사업추진일지!$C185=$B$4,사업추진일지!$B185&lt;&gt;""),사업추진일지!$B185*10000+181,"")</f>
        <v/>
      </c>
    </row>
    <row r="182">
      <c r="BA182">
        <f>IF(AND(사업추진일지!$C186=$B$4,사업추진일지!$B186&lt;&gt;""),사업추진일지!$B186*10000+182,"")</f>
        <v/>
      </c>
    </row>
    <row r="183">
      <c r="BA183">
        <f>IF(AND(사업추진일지!$C187=$B$4,사업추진일지!$B187&lt;&gt;""),사업추진일지!$B187*10000+183,"")</f>
        <v/>
      </c>
    </row>
    <row r="184">
      <c r="BA184">
        <f>IF(AND(사업추진일지!$C188=$B$4,사업추진일지!$B188&lt;&gt;""),사업추진일지!$B188*10000+184,"")</f>
        <v/>
      </c>
    </row>
    <row r="185">
      <c r="BA185">
        <f>IF(AND(사업추진일지!$C189=$B$4,사업추진일지!$B189&lt;&gt;""),사업추진일지!$B189*10000+185,"")</f>
        <v/>
      </c>
    </row>
    <row r="186">
      <c r="BA186">
        <f>IF(AND(사업추진일지!$C190=$B$4,사업추진일지!$B190&lt;&gt;""),사업추진일지!$B190*10000+186,"")</f>
        <v/>
      </c>
    </row>
    <row r="187">
      <c r="BA187">
        <f>IF(AND(사업추진일지!$C191=$B$4,사업추진일지!$B191&lt;&gt;""),사업추진일지!$B191*10000+187,"")</f>
        <v/>
      </c>
    </row>
    <row r="188">
      <c r="BA188">
        <f>IF(AND(사업추진일지!$C192=$B$4,사업추진일지!$B192&lt;&gt;""),사업추진일지!$B192*10000+188,"")</f>
        <v/>
      </c>
    </row>
    <row r="189">
      <c r="BA189">
        <f>IF(AND(사업추진일지!$C193=$B$4,사업추진일지!$B193&lt;&gt;""),사업추진일지!$B193*10000+189,"")</f>
        <v/>
      </c>
    </row>
    <row r="190">
      <c r="BA190">
        <f>IF(AND(사업추진일지!$C194=$B$4,사업추진일지!$B194&lt;&gt;""),사업추진일지!$B194*10000+190,"")</f>
        <v/>
      </c>
    </row>
    <row r="191">
      <c r="BA191">
        <f>IF(AND(사업추진일지!$C195=$B$4,사업추진일지!$B195&lt;&gt;""),사업추진일지!$B195*10000+191,"")</f>
        <v/>
      </c>
    </row>
    <row r="192">
      <c r="BA192">
        <f>IF(AND(사업추진일지!$C196=$B$4,사업추진일지!$B196&lt;&gt;""),사업추진일지!$B196*10000+192,"")</f>
        <v/>
      </c>
    </row>
    <row r="193">
      <c r="BA193">
        <f>IF(AND(사업추진일지!$C197=$B$4,사업추진일지!$B197&lt;&gt;""),사업추진일지!$B197*10000+193,"")</f>
        <v/>
      </c>
    </row>
    <row r="194">
      <c r="BA194">
        <f>IF(AND(사업추진일지!$C198=$B$4,사업추진일지!$B198&lt;&gt;""),사업추진일지!$B198*10000+194,"")</f>
        <v/>
      </c>
    </row>
    <row r="195">
      <c r="BA195">
        <f>IF(AND(사업추진일지!$C199=$B$4,사업추진일지!$B199&lt;&gt;""),사업추진일지!$B199*10000+195,"")</f>
        <v/>
      </c>
    </row>
    <row r="196">
      <c r="BA196">
        <f>IF(AND(사업추진일지!$C200=$B$4,사업추진일지!$B200&lt;&gt;""),사업추진일지!$B200*10000+196,"")</f>
        <v/>
      </c>
    </row>
    <row r="197">
      <c r="BA197">
        <f>IF(AND(사업추진일지!$C201=$B$4,사업추진일지!$B201&lt;&gt;""),사업추진일지!$B201*10000+197,"")</f>
        <v/>
      </c>
    </row>
    <row r="198">
      <c r="BA198">
        <f>IF(AND(사업추진일지!$C202=$B$4,사업추진일지!$B202&lt;&gt;""),사업추진일지!$B202*10000+198,"")</f>
        <v/>
      </c>
    </row>
    <row r="199">
      <c r="BA199">
        <f>IF(AND(사업추진일지!$C203=$B$4,사업추진일지!$B203&lt;&gt;""),사업추진일지!$B203*10000+199,"")</f>
        <v/>
      </c>
    </row>
    <row r="200">
      <c r="BA200">
        <f>IF(AND(사업추진일지!$C204=$B$4,사업추진일지!$B204&lt;&gt;""),사업추진일지!$B204*10000+200,"")</f>
        <v/>
      </c>
    </row>
    <row r="201">
      <c r="BA201">
        <f>IF(AND(사업추진일지!$C205=$B$4,사업추진일지!$B205&lt;&gt;""),사업추진일지!$B205*10000+201,"")</f>
        <v/>
      </c>
    </row>
    <row r="202">
      <c r="BA202">
        <f>IF(AND(사업추진일지!$C206=$B$4,사업추진일지!$B206&lt;&gt;""),사업추진일지!$B206*10000+202,"")</f>
        <v/>
      </c>
    </row>
    <row r="203">
      <c r="BA203">
        <f>IF(AND(사업추진일지!$C207=$B$4,사업추진일지!$B207&lt;&gt;""),사업추진일지!$B207*10000+203,"")</f>
        <v/>
      </c>
    </row>
    <row r="204">
      <c r="BA204">
        <f>IF(AND(사업추진일지!$C208=$B$4,사업추진일지!$B208&lt;&gt;""),사업추진일지!$B208*10000+204,"")</f>
        <v/>
      </c>
    </row>
    <row r="205">
      <c r="BA205">
        <f>IF(AND(사업추진일지!$C209=$B$4,사업추진일지!$B209&lt;&gt;""),사업추진일지!$B209*10000+205,"")</f>
        <v/>
      </c>
    </row>
    <row r="206">
      <c r="BA206">
        <f>IF(AND(사업추진일지!$C210=$B$4,사업추진일지!$B210&lt;&gt;""),사업추진일지!$B210*10000+206,"")</f>
        <v/>
      </c>
    </row>
    <row r="207">
      <c r="BA207">
        <f>IF(AND(사업추진일지!$C211=$B$4,사업추진일지!$B211&lt;&gt;""),사업추진일지!$B211*10000+207,"")</f>
        <v/>
      </c>
    </row>
    <row r="208">
      <c r="BA208">
        <f>IF(AND(사업추진일지!$C212=$B$4,사업추진일지!$B212&lt;&gt;""),사업추진일지!$B212*10000+208,"")</f>
        <v/>
      </c>
    </row>
    <row r="209">
      <c r="BA209">
        <f>IF(AND(사업추진일지!$C213=$B$4,사업추진일지!$B213&lt;&gt;""),사업추진일지!$B213*10000+209,"")</f>
        <v/>
      </c>
    </row>
    <row r="210">
      <c r="BA210">
        <f>IF(AND(사업추진일지!$C214=$B$4,사업추진일지!$B214&lt;&gt;""),사업추진일지!$B214*10000+210,"")</f>
        <v/>
      </c>
    </row>
    <row r="211">
      <c r="BA211">
        <f>IF(AND(사업추진일지!$C215=$B$4,사업추진일지!$B215&lt;&gt;""),사업추진일지!$B215*10000+211,"")</f>
        <v/>
      </c>
    </row>
    <row r="212">
      <c r="BA212">
        <f>IF(AND(사업추진일지!$C216=$B$4,사업추진일지!$B216&lt;&gt;""),사업추진일지!$B216*10000+212,"")</f>
        <v/>
      </c>
    </row>
    <row r="213">
      <c r="BA213">
        <f>IF(AND(사업추진일지!$C217=$B$4,사업추진일지!$B217&lt;&gt;""),사업추진일지!$B217*10000+213,"")</f>
        <v/>
      </c>
    </row>
    <row r="214">
      <c r="BA214">
        <f>IF(AND(사업추진일지!$C218=$B$4,사업추진일지!$B218&lt;&gt;""),사업추진일지!$B218*10000+214,"")</f>
        <v/>
      </c>
    </row>
    <row r="215">
      <c r="BA215">
        <f>IF(AND(사업추진일지!$C219=$B$4,사업추진일지!$B219&lt;&gt;""),사업추진일지!$B219*10000+215,"")</f>
        <v/>
      </c>
    </row>
    <row r="216">
      <c r="BA216">
        <f>IF(AND(사업추진일지!$C220=$B$4,사업추진일지!$B220&lt;&gt;""),사업추진일지!$B220*10000+216,"")</f>
        <v/>
      </c>
    </row>
    <row r="217">
      <c r="BA217">
        <f>IF(AND(사업추진일지!$C221=$B$4,사업추진일지!$B221&lt;&gt;""),사업추진일지!$B221*10000+217,"")</f>
        <v/>
      </c>
    </row>
    <row r="218">
      <c r="BA218">
        <f>IF(AND(사업추진일지!$C222=$B$4,사업추진일지!$B222&lt;&gt;""),사업추진일지!$B222*10000+218,"")</f>
        <v/>
      </c>
    </row>
    <row r="219">
      <c r="BA219">
        <f>IF(AND(사업추진일지!$C223=$B$4,사업추진일지!$B223&lt;&gt;""),사업추진일지!$B223*10000+219,"")</f>
        <v/>
      </c>
    </row>
    <row r="220">
      <c r="BA220">
        <f>IF(AND(사업추진일지!$C224=$B$4,사업추진일지!$B224&lt;&gt;""),사업추진일지!$B224*10000+220,"")</f>
        <v/>
      </c>
    </row>
    <row r="221">
      <c r="BA221">
        <f>IF(AND(사업추진일지!$C225=$B$4,사업추진일지!$B225&lt;&gt;""),사업추진일지!$B225*10000+221,"")</f>
        <v/>
      </c>
    </row>
    <row r="222">
      <c r="BA222">
        <f>IF(AND(사업추진일지!$C226=$B$4,사업추진일지!$B226&lt;&gt;""),사업추진일지!$B226*10000+222,"")</f>
        <v/>
      </c>
    </row>
    <row r="223">
      <c r="BA223">
        <f>IF(AND(사업추진일지!$C227=$B$4,사업추진일지!$B227&lt;&gt;""),사업추진일지!$B227*10000+223,"")</f>
        <v/>
      </c>
    </row>
    <row r="224">
      <c r="BA224">
        <f>IF(AND(사업추진일지!$C228=$B$4,사업추진일지!$B228&lt;&gt;""),사업추진일지!$B228*10000+224,"")</f>
        <v/>
      </c>
    </row>
    <row r="225">
      <c r="BA225">
        <f>IF(AND(사업추진일지!$C229=$B$4,사업추진일지!$B229&lt;&gt;""),사업추진일지!$B229*10000+225,"")</f>
        <v/>
      </c>
    </row>
    <row r="226">
      <c r="BA226">
        <f>IF(AND(사업추진일지!$C230=$B$4,사업추진일지!$B230&lt;&gt;""),사업추진일지!$B230*10000+226,"")</f>
        <v/>
      </c>
    </row>
    <row r="227">
      <c r="BA227">
        <f>IF(AND(사업추진일지!$C231=$B$4,사업추진일지!$B231&lt;&gt;""),사업추진일지!$B231*10000+227,"")</f>
        <v/>
      </c>
    </row>
    <row r="228">
      <c r="BA228">
        <f>IF(AND(사업추진일지!$C232=$B$4,사업추진일지!$B232&lt;&gt;""),사업추진일지!$B232*10000+228,"")</f>
        <v/>
      </c>
    </row>
    <row r="229">
      <c r="BA229">
        <f>IF(AND(사업추진일지!$C233=$B$4,사업추진일지!$B233&lt;&gt;""),사업추진일지!$B233*10000+229,"")</f>
        <v/>
      </c>
    </row>
    <row r="230">
      <c r="BA230">
        <f>IF(AND(사업추진일지!$C234=$B$4,사업추진일지!$B234&lt;&gt;""),사업추진일지!$B234*10000+230,"")</f>
        <v/>
      </c>
    </row>
    <row r="231">
      <c r="BA231">
        <f>IF(AND(사업추진일지!$C235=$B$4,사업추진일지!$B235&lt;&gt;""),사업추진일지!$B235*10000+231,"")</f>
        <v/>
      </c>
    </row>
    <row r="232">
      <c r="BA232">
        <f>IF(AND(사업추진일지!$C236=$B$4,사업추진일지!$B236&lt;&gt;""),사업추진일지!$B236*10000+232,"")</f>
        <v/>
      </c>
    </row>
    <row r="233">
      <c r="BA233">
        <f>IF(AND(사업추진일지!$C237=$B$4,사업추진일지!$B237&lt;&gt;""),사업추진일지!$B237*10000+233,"")</f>
        <v/>
      </c>
    </row>
    <row r="234">
      <c r="BA234">
        <f>IF(AND(사업추진일지!$C238=$B$4,사업추진일지!$B238&lt;&gt;""),사업추진일지!$B238*10000+234,"")</f>
        <v/>
      </c>
    </row>
    <row r="235">
      <c r="BA235">
        <f>IF(AND(사업추진일지!$C239=$B$4,사업추진일지!$B239&lt;&gt;""),사업추진일지!$B239*10000+235,"")</f>
        <v/>
      </c>
    </row>
    <row r="236">
      <c r="BA236">
        <f>IF(AND(사업추진일지!$C240=$B$4,사업추진일지!$B240&lt;&gt;""),사업추진일지!$B240*10000+236,"")</f>
        <v/>
      </c>
    </row>
    <row r="237">
      <c r="BA237">
        <f>IF(AND(사업추진일지!$C241=$B$4,사업추진일지!$B241&lt;&gt;""),사업추진일지!$B241*10000+237,"")</f>
        <v/>
      </c>
    </row>
    <row r="238">
      <c r="BA238">
        <f>IF(AND(사업추진일지!$C242=$B$4,사업추진일지!$B242&lt;&gt;""),사업추진일지!$B242*10000+238,"")</f>
        <v/>
      </c>
    </row>
    <row r="239">
      <c r="BA239">
        <f>IF(AND(사업추진일지!$C243=$B$4,사업추진일지!$B243&lt;&gt;""),사업추진일지!$B243*10000+239,"")</f>
        <v/>
      </c>
    </row>
    <row r="240">
      <c r="BA240">
        <f>IF(AND(사업추진일지!$C244=$B$4,사업추진일지!$B244&lt;&gt;""),사업추진일지!$B244*10000+240,"")</f>
        <v/>
      </c>
    </row>
    <row r="241">
      <c r="BA241">
        <f>IF(AND(사업추진일지!$C245=$B$4,사업추진일지!$B245&lt;&gt;""),사업추진일지!$B245*10000+241,"")</f>
        <v/>
      </c>
    </row>
    <row r="242">
      <c r="BA242">
        <f>IF(AND(사업추진일지!$C246=$B$4,사업추진일지!$B246&lt;&gt;""),사업추진일지!$B246*10000+242,"")</f>
        <v/>
      </c>
    </row>
    <row r="243">
      <c r="BA243">
        <f>IF(AND(사업추진일지!$C247=$B$4,사업추진일지!$B247&lt;&gt;""),사업추진일지!$B247*10000+243,"")</f>
        <v/>
      </c>
    </row>
    <row r="244">
      <c r="BA244">
        <f>IF(AND(사업추진일지!$C248=$B$4,사업추진일지!$B248&lt;&gt;""),사업추진일지!$B248*10000+244,"")</f>
        <v/>
      </c>
    </row>
    <row r="245">
      <c r="BA245">
        <f>IF(AND(사업추진일지!$C249=$B$4,사업추진일지!$B249&lt;&gt;""),사업추진일지!$B249*10000+245,"")</f>
        <v/>
      </c>
    </row>
    <row r="246">
      <c r="BA246">
        <f>IF(AND(사업추진일지!$C250=$B$4,사업추진일지!$B250&lt;&gt;""),사업추진일지!$B250*10000+246,"")</f>
        <v/>
      </c>
    </row>
    <row r="247">
      <c r="BA247">
        <f>IF(AND(사업추진일지!$C251=$B$4,사업추진일지!$B251&lt;&gt;""),사업추진일지!$B251*10000+247,"")</f>
        <v/>
      </c>
    </row>
    <row r="248">
      <c r="BA248">
        <f>IF(AND(사업추진일지!$C252=$B$4,사업추진일지!$B252&lt;&gt;""),사업추진일지!$B252*10000+248,"")</f>
        <v/>
      </c>
    </row>
    <row r="249">
      <c r="BA249">
        <f>IF(AND(사업추진일지!$C253=$B$4,사업추진일지!$B253&lt;&gt;""),사업추진일지!$B253*10000+249,"")</f>
        <v/>
      </c>
    </row>
    <row r="250">
      <c r="BA250">
        <f>IF(AND(사업추진일지!$C254=$B$4,사업추진일지!$B254&lt;&gt;""),사업추진일지!$B254*10000+250,"")</f>
        <v/>
      </c>
    </row>
    <row r="251">
      <c r="BA251">
        <f>IF(AND(사업추진일지!$C255=$B$4,사업추진일지!$B255&lt;&gt;""),사업추진일지!$B255*10000+251,"")</f>
        <v/>
      </c>
    </row>
    <row r="252">
      <c r="BA252">
        <f>IF(AND(사업추진일지!$C256=$B$4,사업추진일지!$B256&lt;&gt;""),사업추진일지!$B256*10000+252,"")</f>
        <v/>
      </c>
    </row>
    <row r="253">
      <c r="BA253">
        <f>IF(AND(사업추진일지!$C257=$B$4,사업추진일지!$B257&lt;&gt;""),사업추진일지!$B257*10000+253,"")</f>
        <v/>
      </c>
    </row>
    <row r="254">
      <c r="BA254">
        <f>IF(AND(사업추진일지!$C258=$B$4,사업추진일지!$B258&lt;&gt;""),사업추진일지!$B258*10000+254,"")</f>
        <v/>
      </c>
    </row>
    <row r="255">
      <c r="BA255">
        <f>IF(AND(사업추진일지!$C259=$B$4,사업추진일지!$B259&lt;&gt;""),사업추진일지!$B259*10000+255,"")</f>
        <v/>
      </c>
    </row>
    <row r="256">
      <c r="BA256">
        <f>IF(AND(사업추진일지!$C260=$B$4,사업추진일지!$B260&lt;&gt;""),사업추진일지!$B260*10000+256,"")</f>
        <v/>
      </c>
    </row>
    <row r="257">
      <c r="BA257">
        <f>IF(AND(사업추진일지!$C261=$B$4,사업추진일지!$B261&lt;&gt;""),사업추진일지!$B261*10000+257,"")</f>
        <v/>
      </c>
    </row>
    <row r="258">
      <c r="BA258">
        <f>IF(AND(사업추진일지!$C262=$B$4,사업추진일지!$B262&lt;&gt;""),사업추진일지!$B262*10000+258,"")</f>
        <v/>
      </c>
    </row>
    <row r="259">
      <c r="BA259">
        <f>IF(AND(사업추진일지!$C263=$B$4,사업추진일지!$B263&lt;&gt;""),사업추진일지!$B263*10000+259,"")</f>
        <v/>
      </c>
    </row>
    <row r="260">
      <c r="BA260">
        <f>IF(AND(사업추진일지!$C264=$B$4,사업추진일지!$B264&lt;&gt;""),사업추진일지!$B264*10000+260,"")</f>
        <v/>
      </c>
    </row>
    <row r="261">
      <c r="BA261">
        <f>IF(AND(사업추진일지!$C265=$B$4,사업추진일지!$B265&lt;&gt;""),사업추진일지!$B265*10000+261,"")</f>
        <v/>
      </c>
    </row>
    <row r="262">
      <c r="BA262">
        <f>IF(AND(사업추진일지!$C266=$B$4,사업추진일지!$B266&lt;&gt;""),사업추진일지!$B266*10000+262,"")</f>
        <v/>
      </c>
    </row>
    <row r="263">
      <c r="BA263">
        <f>IF(AND(사업추진일지!$C267=$B$4,사업추진일지!$B267&lt;&gt;""),사업추진일지!$B267*10000+263,"")</f>
        <v/>
      </c>
    </row>
    <row r="264">
      <c r="BA264">
        <f>IF(AND(사업추진일지!$C268=$B$4,사업추진일지!$B268&lt;&gt;""),사업추진일지!$B268*10000+264,"")</f>
        <v/>
      </c>
    </row>
    <row r="265">
      <c r="BA265">
        <f>IF(AND(사업추진일지!$C269=$B$4,사업추진일지!$B269&lt;&gt;""),사업추진일지!$B269*10000+265,"")</f>
        <v/>
      </c>
    </row>
    <row r="266">
      <c r="BA266">
        <f>IF(AND(사업추진일지!$C270=$B$4,사업추진일지!$B270&lt;&gt;""),사업추진일지!$B270*10000+266,"")</f>
        <v/>
      </c>
    </row>
    <row r="267">
      <c r="BA267">
        <f>IF(AND(사업추진일지!$C271=$B$4,사업추진일지!$B271&lt;&gt;""),사업추진일지!$B271*10000+267,"")</f>
        <v/>
      </c>
    </row>
    <row r="268">
      <c r="BA268">
        <f>IF(AND(사업추진일지!$C272=$B$4,사업추진일지!$B272&lt;&gt;""),사업추진일지!$B272*10000+268,"")</f>
        <v/>
      </c>
    </row>
    <row r="269">
      <c r="BA269">
        <f>IF(AND(사업추진일지!$C273=$B$4,사업추진일지!$B273&lt;&gt;""),사업추진일지!$B273*10000+269,"")</f>
        <v/>
      </c>
    </row>
    <row r="270">
      <c r="BA270">
        <f>IF(AND(사업추진일지!$C274=$B$4,사업추진일지!$B274&lt;&gt;""),사업추진일지!$B274*10000+270,"")</f>
        <v/>
      </c>
    </row>
    <row r="271">
      <c r="BA271">
        <f>IF(AND(사업추진일지!$C275=$B$4,사업추진일지!$B275&lt;&gt;""),사업추진일지!$B275*10000+271,"")</f>
        <v/>
      </c>
    </row>
    <row r="272">
      <c r="BA272">
        <f>IF(AND(사업추진일지!$C276=$B$4,사업추진일지!$B276&lt;&gt;""),사업추진일지!$B276*10000+272,"")</f>
        <v/>
      </c>
    </row>
    <row r="273">
      <c r="BA273">
        <f>IF(AND(사업추진일지!$C277=$B$4,사업추진일지!$B277&lt;&gt;""),사업추진일지!$B277*10000+273,"")</f>
        <v/>
      </c>
    </row>
    <row r="274">
      <c r="BA274">
        <f>IF(AND(사업추진일지!$C278=$B$4,사업추진일지!$B278&lt;&gt;""),사업추진일지!$B278*10000+274,"")</f>
        <v/>
      </c>
    </row>
    <row r="275">
      <c r="BA275">
        <f>IF(AND(사업추진일지!$C279=$B$4,사업추진일지!$B279&lt;&gt;""),사업추진일지!$B279*10000+275,"")</f>
        <v/>
      </c>
    </row>
    <row r="276">
      <c r="BA276">
        <f>IF(AND(사업추진일지!$C280=$B$4,사업추진일지!$B280&lt;&gt;""),사업추진일지!$B280*10000+276,"")</f>
        <v/>
      </c>
    </row>
    <row r="277">
      <c r="BA277">
        <f>IF(AND(사업추진일지!$C281=$B$4,사업추진일지!$B281&lt;&gt;""),사업추진일지!$B281*10000+277,"")</f>
        <v/>
      </c>
    </row>
    <row r="278">
      <c r="BA278">
        <f>IF(AND(사업추진일지!$C282=$B$4,사업추진일지!$B282&lt;&gt;""),사업추진일지!$B282*10000+278,"")</f>
        <v/>
      </c>
    </row>
    <row r="279">
      <c r="BA279">
        <f>IF(AND(사업추진일지!$C283=$B$4,사업추진일지!$B283&lt;&gt;""),사업추진일지!$B283*10000+279,"")</f>
        <v/>
      </c>
    </row>
    <row r="280">
      <c r="BA280">
        <f>IF(AND(사업추진일지!$C284=$B$4,사업추진일지!$B284&lt;&gt;""),사업추진일지!$B284*10000+280,"")</f>
        <v/>
      </c>
    </row>
    <row r="281">
      <c r="BA281">
        <f>IF(AND(사업추진일지!$C285=$B$4,사업추진일지!$B285&lt;&gt;""),사업추진일지!$B285*10000+281,"")</f>
        <v/>
      </c>
    </row>
    <row r="282">
      <c r="BA282">
        <f>IF(AND(사업추진일지!$C286=$B$4,사업추진일지!$B286&lt;&gt;""),사업추진일지!$B286*10000+282,"")</f>
        <v/>
      </c>
    </row>
    <row r="283">
      <c r="BA283">
        <f>IF(AND(사업추진일지!$C287=$B$4,사업추진일지!$B287&lt;&gt;""),사업추진일지!$B287*10000+283,"")</f>
        <v/>
      </c>
    </row>
    <row r="284">
      <c r="BA284">
        <f>IF(AND(사업추진일지!$C288=$B$4,사업추진일지!$B288&lt;&gt;""),사업추진일지!$B288*10000+284,"")</f>
        <v/>
      </c>
    </row>
    <row r="285">
      <c r="BA285">
        <f>IF(AND(사업추진일지!$C289=$B$4,사업추진일지!$B289&lt;&gt;""),사업추진일지!$B289*10000+285,"")</f>
        <v/>
      </c>
    </row>
    <row r="286">
      <c r="BA286">
        <f>IF(AND(사업추진일지!$C290=$B$4,사업추진일지!$B290&lt;&gt;""),사업추진일지!$B290*10000+286,"")</f>
        <v/>
      </c>
    </row>
    <row r="287">
      <c r="BA287">
        <f>IF(AND(사업추진일지!$C291=$B$4,사업추진일지!$B291&lt;&gt;""),사업추진일지!$B291*10000+287,"")</f>
        <v/>
      </c>
    </row>
    <row r="288">
      <c r="BA288">
        <f>IF(AND(사업추진일지!$C292=$B$4,사업추진일지!$B292&lt;&gt;""),사업추진일지!$B292*10000+288,"")</f>
        <v/>
      </c>
    </row>
    <row r="289">
      <c r="BA289">
        <f>IF(AND(사업추진일지!$C293=$B$4,사업추진일지!$B293&lt;&gt;""),사업추진일지!$B293*10000+289,"")</f>
        <v/>
      </c>
    </row>
    <row r="290">
      <c r="BA290">
        <f>IF(AND(사업추진일지!$C294=$B$4,사업추진일지!$B294&lt;&gt;""),사업추진일지!$B294*10000+290,"")</f>
        <v/>
      </c>
    </row>
    <row r="291">
      <c r="BA291">
        <f>IF(AND(사업추진일지!$C295=$B$4,사업추진일지!$B295&lt;&gt;""),사업추진일지!$B295*10000+291,"")</f>
        <v/>
      </c>
    </row>
    <row r="292">
      <c r="BA292">
        <f>IF(AND(사업추진일지!$C296=$B$4,사업추진일지!$B296&lt;&gt;""),사업추진일지!$B296*10000+292,"")</f>
        <v/>
      </c>
    </row>
    <row r="293">
      <c r="BA293">
        <f>IF(AND(사업추진일지!$C297=$B$4,사업추진일지!$B297&lt;&gt;""),사업추진일지!$B297*10000+293,"")</f>
        <v/>
      </c>
    </row>
    <row r="294">
      <c r="BA294">
        <f>IF(AND(사업추진일지!$C298=$B$4,사업추진일지!$B298&lt;&gt;""),사업추진일지!$B298*10000+294,"")</f>
        <v/>
      </c>
    </row>
    <row r="295">
      <c r="BA295">
        <f>IF(AND(사업추진일지!$C299=$B$4,사업추진일지!$B299&lt;&gt;""),사업추진일지!$B299*10000+295,"")</f>
        <v/>
      </c>
    </row>
    <row r="296">
      <c r="BA296">
        <f>IF(AND(사업추진일지!$C300=$B$4,사업추진일지!$B300&lt;&gt;""),사업추진일지!$B300*10000+296,"")</f>
        <v/>
      </c>
    </row>
    <row r="297">
      <c r="BA297">
        <f>IF(AND(사업추진일지!$C301=$B$4,사업추진일지!$B301&lt;&gt;""),사업추진일지!$B301*10000+297,"")</f>
        <v/>
      </c>
    </row>
    <row r="298">
      <c r="BA298">
        <f>IF(AND(사업추진일지!$C302=$B$4,사업추진일지!$B302&lt;&gt;""),사업추진일지!$B302*10000+298,"")</f>
        <v/>
      </c>
    </row>
    <row r="299">
      <c r="BA299">
        <f>IF(AND(사업추진일지!$C303=$B$4,사업추진일지!$B303&lt;&gt;""),사업추진일지!$B303*10000+299,"")</f>
        <v/>
      </c>
    </row>
    <row r="300">
      <c r="BA300">
        <f>IF(AND(사업추진일지!$C304=$B$4,사업추진일지!$B304&lt;&gt;""),사업추진일지!$B304*10000+300,"")</f>
        <v/>
      </c>
    </row>
    <row r="301">
      <c r="BA301">
        <f>IF(AND(사업추진일지!$C305=$B$4,사업추진일지!$B305&lt;&gt;""),사업추진일지!$B305*10000+301,"")</f>
        <v/>
      </c>
    </row>
    <row r="302">
      <c r="BA302">
        <f>IF(AND(사업추진일지!$C306=$B$4,사업추진일지!$B306&lt;&gt;""),사업추진일지!$B306*10000+302,"")</f>
        <v/>
      </c>
    </row>
    <row r="303">
      <c r="BA303">
        <f>IF(AND(사업추진일지!$C307=$B$4,사업추진일지!$B307&lt;&gt;""),사업추진일지!$B307*10000+303,"")</f>
        <v/>
      </c>
    </row>
    <row r="304">
      <c r="BA304">
        <f>IF(AND(사업추진일지!$C308=$B$4,사업추진일지!$B308&lt;&gt;""),사업추진일지!$B308*10000+304,"")</f>
        <v/>
      </c>
    </row>
    <row r="305">
      <c r="BA305">
        <f>IF(AND(사업추진일지!$C309=$B$4,사업추진일지!$B309&lt;&gt;""),사업추진일지!$B309*10000+305,"")</f>
        <v/>
      </c>
    </row>
    <row r="306">
      <c r="BA306">
        <f>IF(AND(사업추진일지!$C310=$B$4,사업추진일지!$B310&lt;&gt;""),사업추진일지!$B310*10000+306,"")</f>
        <v/>
      </c>
    </row>
    <row r="307">
      <c r="BA307">
        <f>IF(AND(사업추진일지!$C311=$B$4,사업추진일지!$B311&lt;&gt;""),사업추진일지!$B311*10000+307,"")</f>
        <v/>
      </c>
    </row>
    <row r="308">
      <c r="BA308">
        <f>IF(AND(사업추진일지!$C312=$B$4,사업추진일지!$B312&lt;&gt;""),사업추진일지!$B312*10000+308,"")</f>
        <v/>
      </c>
    </row>
    <row r="309">
      <c r="BA309">
        <f>IF(AND(사업추진일지!$C313=$B$4,사업추진일지!$B313&lt;&gt;""),사업추진일지!$B313*10000+309,"")</f>
        <v/>
      </c>
    </row>
    <row r="310">
      <c r="BA310">
        <f>IF(AND(사업추진일지!$C314=$B$4,사업추진일지!$B314&lt;&gt;""),사업추진일지!$B314*10000+310,"")</f>
        <v/>
      </c>
    </row>
    <row r="311">
      <c r="BA311">
        <f>IF(AND(사업추진일지!$C315=$B$4,사업추진일지!$B315&lt;&gt;""),사업추진일지!$B315*10000+311,"")</f>
        <v/>
      </c>
    </row>
    <row r="312">
      <c r="BA312">
        <f>IF(AND(사업추진일지!$C316=$B$4,사업추진일지!$B316&lt;&gt;""),사업추진일지!$B316*10000+312,"")</f>
        <v/>
      </c>
    </row>
    <row r="313">
      <c r="BA313">
        <f>IF(AND(사업추진일지!$C317=$B$4,사업추진일지!$B317&lt;&gt;""),사업추진일지!$B317*10000+313,"")</f>
        <v/>
      </c>
    </row>
    <row r="314">
      <c r="BA314">
        <f>IF(AND(사업추진일지!$C318=$B$4,사업추진일지!$B318&lt;&gt;""),사업추진일지!$B318*10000+314,"")</f>
        <v/>
      </c>
    </row>
    <row r="315">
      <c r="BA315">
        <f>IF(AND(사업추진일지!$C319=$B$4,사업추진일지!$B319&lt;&gt;""),사업추진일지!$B319*10000+315,"")</f>
        <v/>
      </c>
    </row>
    <row r="316">
      <c r="BA316">
        <f>IF(AND(사업추진일지!$C320=$B$4,사업추진일지!$B320&lt;&gt;""),사업추진일지!$B320*10000+316,"")</f>
        <v/>
      </c>
    </row>
    <row r="317">
      <c r="BA317">
        <f>IF(AND(사업추진일지!$C321=$B$4,사업추진일지!$B321&lt;&gt;""),사업추진일지!$B321*10000+317,"")</f>
        <v/>
      </c>
    </row>
    <row r="318">
      <c r="BA318">
        <f>IF(AND(사업추진일지!$C322=$B$4,사업추진일지!$B322&lt;&gt;""),사업추진일지!$B322*10000+318,"")</f>
        <v/>
      </c>
    </row>
    <row r="319">
      <c r="BA319">
        <f>IF(AND(사업추진일지!$C323=$B$4,사업추진일지!$B323&lt;&gt;""),사업추진일지!$B323*10000+319,"")</f>
        <v/>
      </c>
    </row>
    <row r="320">
      <c r="BA320">
        <f>IF(AND(사업추진일지!$C324=$B$4,사업추진일지!$B324&lt;&gt;""),사업추진일지!$B324*10000+320,"")</f>
        <v/>
      </c>
    </row>
    <row r="321">
      <c r="BA321">
        <f>IF(AND(사업추진일지!$C325=$B$4,사업추진일지!$B325&lt;&gt;""),사업추진일지!$B325*10000+321,"")</f>
        <v/>
      </c>
    </row>
    <row r="322">
      <c r="BA322">
        <f>IF(AND(사업추진일지!$C326=$B$4,사업추진일지!$B326&lt;&gt;""),사업추진일지!$B326*10000+322,"")</f>
        <v/>
      </c>
    </row>
    <row r="323">
      <c r="BA323">
        <f>IF(AND(사업추진일지!$C327=$B$4,사업추진일지!$B327&lt;&gt;""),사업추진일지!$B327*10000+323,"")</f>
        <v/>
      </c>
    </row>
    <row r="324">
      <c r="BA324">
        <f>IF(AND(사업추진일지!$C328=$B$4,사업추진일지!$B328&lt;&gt;""),사업추진일지!$B328*10000+324,"")</f>
        <v/>
      </c>
    </row>
    <row r="325">
      <c r="BA325">
        <f>IF(AND(사업추진일지!$C329=$B$4,사업추진일지!$B329&lt;&gt;""),사업추진일지!$B329*10000+325,"")</f>
        <v/>
      </c>
    </row>
    <row r="326">
      <c r="BA326">
        <f>IF(AND(사업추진일지!$C330=$B$4,사업추진일지!$B330&lt;&gt;""),사업추진일지!$B330*10000+326,"")</f>
        <v/>
      </c>
    </row>
    <row r="327">
      <c r="BA327">
        <f>IF(AND(사업추진일지!$C331=$B$4,사업추진일지!$B331&lt;&gt;""),사업추진일지!$B331*10000+327,"")</f>
        <v/>
      </c>
    </row>
    <row r="328">
      <c r="BA328">
        <f>IF(AND(사업추진일지!$C332=$B$4,사업추진일지!$B332&lt;&gt;""),사업추진일지!$B332*10000+328,"")</f>
        <v/>
      </c>
    </row>
    <row r="329">
      <c r="BA329">
        <f>IF(AND(사업추진일지!$C333=$B$4,사업추진일지!$B333&lt;&gt;""),사업추진일지!$B333*10000+329,"")</f>
        <v/>
      </c>
    </row>
    <row r="330">
      <c r="BA330">
        <f>IF(AND(사업추진일지!$C334=$B$4,사업추진일지!$B334&lt;&gt;""),사업추진일지!$B334*10000+330,"")</f>
        <v/>
      </c>
    </row>
    <row r="331">
      <c r="BA331">
        <f>IF(AND(사업추진일지!$C335=$B$4,사업추진일지!$B335&lt;&gt;""),사업추진일지!$B335*10000+331,"")</f>
        <v/>
      </c>
    </row>
    <row r="332">
      <c r="BA332">
        <f>IF(AND(사업추진일지!$C336=$B$4,사업추진일지!$B336&lt;&gt;""),사업추진일지!$B336*10000+332,"")</f>
        <v/>
      </c>
    </row>
    <row r="333">
      <c r="BA333">
        <f>IF(AND(사업추진일지!$C337=$B$4,사업추진일지!$B337&lt;&gt;""),사업추진일지!$B337*10000+333,"")</f>
        <v/>
      </c>
    </row>
    <row r="334">
      <c r="BA334">
        <f>IF(AND(사업추진일지!$C338=$B$4,사업추진일지!$B338&lt;&gt;""),사업추진일지!$B338*10000+334,"")</f>
        <v/>
      </c>
    </row>
    <row r="335">
      <c r="BA335">
        <f>IF(AND(사업추진일지!$C339=$B$4,사업추진일지!$B339&lt;&gt;""),사업추진일지!$B339*10000+335,"")</f>
        <v/>
      </c>
    </row>
    <row r="336">
      <c r="BA336">
        <f>IF(AND(사업추진일지!$C340=$B$4,사업추진일지!$B340&lt;&gt;""),사업추진일지!$B340*10000+336,"")</f>
        <v/>
      </c>
    </row>
    <row r="337">
      <c r="BA337">
        <f>IF(AND(사업추진일지!$C341=$B$4,사업추진일지!$B341&lt;&gt;""),사업추진일지!$B341*10000+337,"")</f>
        <v/>
      </c>
    </row>
    <row r="338">
      <c r="BA338">
        <f>IF(AND(사업추진일지!$C342=$B$4,사업추진일지!$B342&lt;&gt;""),사업추진일지!$B342*10000+338,"")</f>
        <v/>
      </c>
    </row>
    <row r="339">
      <c r="BA339">
        <f>IF(AND(사업추진일지!$C343=$B$4,사업추진일지!$B343&lt;&gt;""),사업추진일지!$B343*10000+339,"")</f>
        <v/>
      </c>
    </row>
    <row r="340">
      <c r="BA340">
        <f>IF(AND(사업추진일지!$C344=$B$4,사업추진일지!$B344&lt;&gt;""),사업추진일지!$B344*10000+340,"")</f>
        <v/>
      </c>
    </row>
    <row r="341">
      <c r="BA341">
        <f>IF(AND(사업추진일지!$C345=$B$4,사업추진일지!$B345&lt;&gt;""),사업추진일지!$B345*10000+341,"")</f>
        <v/>
      </c>
    </row>
    <row r="342">
      <c r="BA342">
        <f>IF(AND(사업추진일지!$C346=$B$4,사업추진일지!$B346&lt;&gt;""),사업추진일지!$B346*10000+342,"")</f>
        <v/>
      </c>
    </row>
    <row r="343">
      <c r="BA343">
        <f>IF(AND(사업추진일지!$C347=$B$4,사업추진일지!$B347&lt;&gt;""),사업추진일지!$B347*10000+343,"")</f>
        <v/>
      </c>
    </row>
    <row r="344">
      <c r="BA344">
        <f>IF(AND(사업추진일지!$C348=$B$4,사업추진일지!$B348&lt;&gt;""),사업추진일지!$B348*10000+344,"")</f>
        <v/>
      </c>
    </row>
    <row r="345">
      <c r="BA345">
        <f>IF(AND(사업추진일지!$C349=$B$4,사업추진일지!$B349&lt;&gt;""),사업추진일지!$B349*10000+345,"")</f>
        <v/>
      </c>
    </row>
    <row r="346">
      <c r="BA346">
        <f>IF(AND(사업추진일지!$C350=$B$4,사업추진일지!$B350&lt;&gt;""),사업추진일지!$B350*10000+346,"")</f>
        <v/>
      </c>
    </row>
    <row r="347">
      <c r="BA347">
        <f>IF(AND(사업추진일지!$C351=$B$4,사업추진일지!$B351&lt;&gt;""),사업추진일지!$B351*10000+347,"")</f>
        <v/>
      </c>
    </row>
    <row r="348">
      <c r="BA348">
        <f>IF(AND(사업추진일지!$C352=$B$4,사업추진일지!$B352&lt;&gt;""),사업추진일지!$B352*10000+348,"")</f>
        <v/>
      </c>
    </row>
    <row r="349">
      <c r="BA349">
        <f>IF(AND(사업추진일지!$C353=$B$4,사업추진일지!$B353&lt;&gt;""),사업추진일지!$B353*10000+349,"")</f>
        <v/>
      </c>
    </row>
    <row r="350">
      <c r="BA350">
        <f>IF(AND(사업추진일지!$C354=$B$4,사업추진일지!$B354&lt;&gt;""),사업추진일지!$B354*10000+350,"")</f>
        <v/>
      </c>
    </row>
    <row r="351">
      <c r="BA351">
        <f>IF(AND(사업추진일지!$C355=$B$4,사업추진일지!$B355&lt;&gt;""),사업추진일지!$B355*10000+351,"")</f>
        <v/>
      </c>
    </row>
    <row r="352">
      <c r="BA352">
        <f>IF(AND(사업추진일지!$C356=$B$4,사업추진일지!$B356&lt;&gt;""),사업추진일지!$B356*10000+352,"")</f>
        <v/>
      </c>
    </row>
    <row r="353">
      <c r="BA353">
        <f>IF(AND(사업추진일지!$C357=$B$4,사업추진일지!$B357&lt;&gt;""),사업추진일지!$B357*10000+353,"")</f>
        <v/>
      </c>
    </row>
    <row r="354">
      <c r="BA354">
        <f>IF(AND(사업추진일지!$C358=$B$4,사업추진일지!$B358&lt;&gt;""),사업추진일지!$B358*10000+354,"")</f>
        <v/>
      </c>
    </row>
    <row r="355">
      <c r="BA355">
        <f>IF(AND(사업추진일지!$C359=$B$4,사업추진일지!$B359&lt;&gt;""),사업추진일지!$B359*10000+355,"")</f>
        <v/>
      </c>
    </row>
    <row r="356">
      <c r="BA356">
        <f>IF(AND(사업추진일지!$C360=$B$4,사업추진일지!$B360&lt;&gt;""),사업추진일지!$B360*10000+356,"")</f>
        <v/>
      </c>
    </row>
    <row r="357">
      <c r="BA357">
        <f>IF(AND(사업추진일지!$C361=$B$4,사업추진일지!$B361&lt;&gt;""),사업추진일지!$B361*10000+357,"")</f>
        <v/>
      </c>
    </row>
    <row r="358">
      <c r="BA358">
        <f>IF(AND(사업추진일지!$C362=$B$4,사업추진일지!$B362&lt;&gt;""),사업추진일지!$B362*10000+358,"")</f>
        <v/>
      </c>
    </row>
    <row r="359">
      <c r="BA359">
        <f>IF(AND(사업추진일지!$C363=$B$4,사업추진일지!$B363&lt;&gt;""),사업추진일지!$B363*10000+359,"")</f>
        <v/>
      </c>
    </row>
    <row r="360">
      <c r="BA360">
        <f>IF(AND(사업추진일지!$C364=$B$4,사업추진일지!$B364&lt;&gt;""),사업추진일지!$B364*10000+360,"")</f>
        <v/>
      </c>
    </row>
    <row r="361">
      <c r="BA361">
        <f>IF(AND(사업추진일지!$C365=$B$4,사업추진일지!$B365&lt;&gt;""),사업추진일지!$B365*10000+361,"")</f>
        <v/>
      </c>
    </row>
    <row r="362">
      <c r="BA362">
        <f>IF(AND(사업추진일지!$C366=$B$4,사업추진일지!$B366&lt;&gt;""),사업추진일지!$B366*10000+362,"")</f>
        <v/>
      </c>
    </row>
    <row r="363">
      <c r="BA363">
        <f>IF(AND(사업추진일지!$C367=$B$4,사업추진일지!$B367&lt;&gt;""),사업추진일지!$B367*10000+363,"")</f>
        <v/>
      </c>
    </row>
    <row r="364">
      <c r="BA364">
        <f>IF(AND(사업추진일지!$C368=$B$4,사업추진일지!$B368&lt;&gt;""),사업추진일지!$B368*10000+364,"")</f>
        <v/>
      </c>
    </row>
    <row r="365">
      <c r="BA365">
        <f>IF(AND(사업추진일지!$C369=$B$4,사업추진일지!$B369&lt;&gt;""),사업추진일지!$B369*10000+365,"")</f>
        <v/>
      </c>
    </row>
    <row r="366">
      <c r="BA366">
        <f>IF(AND(사업추진일지!$C370=$B$4,사업추진일지!$B370&lt;&gt;""),사업추진일지!$B370*10000+366,"")</f>
        <v/>
      </c>
    </row>
    <row r="367">
      <c r="BA367">
        <f>IF(AND(사업추진일지!$C371=$B$4,사업추진일지!$B371&lt;&gt;""),사업추진일지!$B371*10000+367,"")</f>
        <v/>
      </c>
    </row>
    <row r="368">
      <c r="BA368">
        <f>IF(AND(사업추진일지!$C372=$B$4,사업추진일지!$B372&lt;&gt;""),사업추진일지!$B372*10000+368,"")</f>
        <v/>
      </c>
    </row>
    <row r="369">
      <c r="BA369">
        <f>IF(AND(사업추진일지!$C373=$B$4,사업추진일지!$B373&lt;&gt;""),사업추진일지!$B373*10000+369,"")</f>
        <v/>
      </c>
    </row>
    <row r="370">
      <c r="BA370">
        <f>IF(AND(사업추진일지!$C374=$B$4,사업추진일지!$B374&lt;&gt;""),사업추진일지!$B374*10000+370,"")</f>
        <v/>
      </c>
    </row>
    <row r="371">
      <c r="BA371">
        <f>IF(AND(사업추진일지!$C375=$B$4,사업추진일지!$B375&lt;&gt;""),사업추진일지!$B375*10000+371,"")</f>
        <v/>
      </c>
    </row>
    <row r="372">
      <c r="BA372">
        <f>IF(AND(사업추진일지!$C376=$B$4,사업추진일지!$B376&lt;&gt;""),사업추진일지!$B376*10000+372,"")</f>
        <v/>
      </c>
    </row>
    <row r="373">
      <c r="BA373">
        <f>IF(AND(사업추진일지!$C377=$B$4,사업추진일지!$B377&lt;&gt;""),사업추진일지!$B377*10000+373,"")</f>
        <v/>
      </c>
    </row>
    <row r="374">
      <c r="BA374">
        <f>IF(AND(사업추진일지!$C378=$B$4,사업추진일지!$B378&lt;&gt;""),사업추진일지!$B378*10000+374,"")</f>
        <v/>
      </c>
    </row>
    <row r="375">
      <c r="BA375">
        <f>IF(AND(사업추진일지!$C379=$B$4,사업추진일지!$B379&lt;&gt;""),사업추진일지!$B379*10000+375,"")</f>
        <v/>
      </c>
    </row>
    <row r="376">
      <c r="BA376">
        <f>IF(AND(사업추진일지!$C380=$B$4,사업추진일지!$B380&lt;&gt;""),사업추진일지!$B380*10000+376,"")</f>
        <v/>
      </c>
    </row>
    <row r="377">
      <c r="BA377">
        <f>IF(AND(사업추진일지!$C381=$B$4,사업추진일지!$B381&lt;&gt;""),사업추진일지!$B381*10000+377,"")</f>
        <v/>
      </c>
    </row>
    <row r="378">
      <c r="BA378">
        <f>IF(AND(사업추진일지!$C382=$B$4,사업추진일지!$B382&lt;&gt;""),사업추진일지!$B382*10000+378,"")</f>
        <v/>
      </c>
    </row>
    <row r="379">
      <c r="BA379">
        <f>IF(AND(사업추진일지!$C383=$B$4,사업추진일지!$B383&lt;&gt;""),사업추진일지!$B383*10000+379,"")</f>
        <v/>
      </c>
    </row>
    <row r="380">
      <c r="BA380">
        <f>IF(AND(사업추진일지!$C384=$B$4,사업추진일지!$B384&lt;&gt;""),사업추진일지!$B384*10000+380,"")</f>
        <v/>
      </c>
    </row>
    <row r="381">
      <c r="BA381">
        <f>IF(AND(사업추진일지!$C385=$B$4,사업추진일지!$B385&lt;&gt;""),사업추진일지!$B385*10000+381,"")</f>
        <v/>
      </c>
    </row>
    <row r="382">
      <c r="BA382">
        <f>IF(AND(사업추진일지!$C386=$B$4,사업추진일지!$B386&lt;&gt;""),사업추진일지!$B386*10000+382,"")</f>
        <v/>
      </c>
    </row>
    <row r="383">
      <c r="BA383">
        <f>IF(AND(사업추진일지!$C387=$B$4,사업추진일지!$B387&lt;&gt;""),사업추진일지!$B387*10000+383,"")</f>
        <v/>
      </c>
    </row>
    <row r="384">
      <c r="BA384">
        <f>IF(AND(사업추진일지!$C388=$B$4,사업추진일지!$B388&lt;&gt;""),사업추진일지!$B388*10000+384,"")</f>
        <v/>
      </c>
    </row>
    <row r="385">
      <c r="BA385">
        <f>IF(AND(사업추진일지!$C389=$B$4,사업추진일지!$B389&lt;&gt;""),사업추진일지!$B389*10000+385,"")</f>
        <v/>
      </c>
    </row>
    <row r="386">
      <c r="BA386">
        <f>IF(AND(사업추진일지!$C390=$B$4,사업추진일지!$B390&lt;&gt;""),사업추진일지!$B390*10000+386,"")</f>
        <v/>
      </c>
    </row>
    <row r="387">
      <c r="BA387">
        <f>IF(AND(사업추진일지!$C391=$B$4,사업추진일지!$B391&lt;&gt;""),사업추진일지!$B391*10000+387,"")</f>
        <v/>
      </c>
    </row>
    <row r="388">
      <c r="BA388">
        <f>IF(AND(사업추진일지!$C392=$B$4,사업추진일지!$B392&lt;&gt;""),사업추진일지!$B392*10000+388,"")</f>
        <v/>
      </c>
    </row>
    <row r="389">
      <c r="BA389">
        <f>IF(AND(사업추진일지!$C393=$B$4,사업추진일지!$B393&lt;&gt;""),사업추진일지!$B393*10000+389,"")</f>
        <v/>
      </c>
    </row>
    <row r="390">
      <c r="BA390">
        <f>IF(AND(사업추진일지!$C394=$B$4,사업추진일지!$B394&lt;&gt;""),사업추진일지!$B394*10000+390,"")</f>
        <v/>
      </c>
    </row>
    <row r="391">
      <c r="BA391">
        <f>IF(AND(사업추진일지!$C395=$B$4,사업추진일지!$B395&lt;&gt;""),사업추진일지!$B395*10000+391,"")</f>
        <v/>
      </c>
    </row>
    <row r="392">
      <c r="BA392">
        <f>IF(AND(사업추진일지!$C396=$B$4,사업추진일지!$B396&lt;&gt;""),사업추진일지!$B396*10000+392,"")</f>
        <v/>
      </c>
    </row>
    <row r="393">
      <c r="BA393">
        <f>IF(AND(사업추진일지!$C397=$B$4,사업추진일지!$B397&lt;&gt;""),사업추진일지!$B397*10000+393,"")</f>
        <v/>
      </c>
    </row>
    <row r="394">
      <c r="BA394">
        <f>IF(AND(사업추진일지!$C398=$B$4,사업추진일지!$B398&lt;&gt;""),사업추진일지!$B398*10000+394,"")</f>
        <v/>
      </c>
    </row>
    <row r="395">
      <c r="BA395">
        <f>IF(AND(사업추진일지!$C399=$B$4,사업추진일지!$B399&lt;&gt;""),사업추진일지!$B399*10000+395,"")</f>
        <v/>
      </c>
    </row>
    <row r="396">
      <c r="BA396">
        <f>IF(AND(사업추진일지!$C400=$B$4,사업추진일지!$B400&lt;&gt;""),사업추진일지!$B400*10000+396,"")</f>
        <v/>
      </c>
    </row>
    <row r="397">
      <c r="BA397">
        <f>IF(AND(사업추진일지!$C401=$B$4,사업추진일지!$B401&lt;&gt;""),사업추진일지!$B401*10000+397,"")</f>
        <v/>
      </c>
    </row>
    <row r="398">
      <c r="BA398">
        <f>IF(AND(사업추진일지!$C402=$B$4,사업추진일지!$B402&lt;&gt;""),사업추진일지!$B402*10000+398,"")</f>
        <v/>
      </c>
    </row>
    <row r="399">
      <c r="BA399">
        <f>IF(AND(사업추진일지!$C403=$B$4,사업추진일지!$B403&lt;&gt;""),사업추진일지!$B403*10000+399,"")</f>
        <v/>
      </c>
    </row>
    <row r="400">
      <c r="BA400">
        <f>IF(AND(사업추진일지!$C404=$B$4,사업추진일지!$B404&lt;&gt;""),사업추진일지!$B404*10000+400,"")</f>
        <v/>
      </c>
    </row>
  </sheetData>
  <conditionalFormatting sqref="A27:I86">
    <cfRule type="expression" priority="1" dxfId="2" stopIfTrue="0">
      <formula>$I27="완료"</formula>
    </cfRule>
    <cfRule type="expression" priority="2" dxfId="3" stopIfTrue="0">
      <formula>$I27="보류"</formula>
    </cfRule>
  </conditionalFormatting>
  <dataValidations count="1">
    <dataValidation sqref="B4" showDropDown="0" showInputMessage="0" showErrorMessage="0" allowBlank="1" type="list">
      <formula1>목록_사업번호</formula1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&amp;L&amp;"Arial"&amp;9사업별 현황&amp;R&amp;"Arial"&amp;9인쇄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CI1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2" customWidth="1" min="13" max="13"/>
    <col hidden="1" width="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</cols>
  <sheetData>
    <row r="1" ht="24" customHeight="1">
      <c r="A1" s="6" t="inlineStr">
        <is>
          <t>부서 전체 현황  ·  출장 / 분석 / 교육 / 일일</t>
        </is>
      </c>
    </row>
    <row r="2" ht="26" customHeight="1">
      <c r="A2" s="7" t="inlineStr">
        <is>
          <t>※ 노란 칸(기준연도)만 바꾸면 아래 모든 표가 다시 계산됩니다.  ※ 회차 = 업무일지에 기록된 줄 수 / 사건 = 고유 사건 수(같은 사건을 여러 번 나눠 해도 1).</t>
        </is>
      </c>
    </row>
    <row r="3">
      <c r="A3" s="120" t="inlineStr">
        <is>
          <t>기준연도</t>
        </is>
      </c>
      <c r="B3" s="121" t="n">
        <v>2026</v>
      </c>
    </row>
    <row r="5" ht="20" customHeight="1">
      <c r="A5" s="21" t="inlineStr">
        <is>
          <t>1.  월별 추이   ※ 회차 = 업무일지 줄 수 / 사건 = 고유 사건 수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6" ht="32" customHeight="1">
      <c r="A6" s="23" t="inlineStr">
        <is>
          <t>월</t>
        </is>
      </c>
      <c r="B6" s="23" t="inlineStr">
        <is>
          <t>출장 회차</t>
        </is>
      </c>
      <c r="C6" s="23" t="inlineStr">
        <is>
          <t>출장 사건</t>
        </is>
      </c>
      <c r="D6" s="23" t="inlineStr">
        <is>
          <t>분석 회차</t>
        </is>
      </c>
      <c r="E6" s="23" t="inlineStr">
        <is>
          <t>분석 사건</t>
        </is>
      </c>
      <c r="F6" s="23" t="inlineStr">
        <is>
          <t>교육 회차</t>
        </is>
      </c>
      <c r="G6" s="23" t="inlineStr">
        <is>
          <t>전체 회차</t>
        </is>
      </c>
      <c r="H6" s="23" t="inlineStr">
        <is>
          <t>전체 사건</t>
        </is>
      </c>
      <c r="I6" s="23" t="inlineStr">
        <is>
          <t>신규 사건</t>
        </is>
      </c>
      <c r="J6" s="23" t="inlineStr">
        <is>
          <t>출장 소요일수</t>
        </is>
      </c>
      <c r="K6" s="23" t="inlineStr">
        <is>
          <t>연인원(명)</t>
        </is>
      </c>
      <c r="L6" s="23" t="inlineStr">
        <is>
          <t>대상매체(건)</t>
        </is>
      </c>
      <c r="M6" s="23" t="inlineStr">
        <is>
          <t>일일실시(건)</t>
        </is>
      </c>
    </row>
    <row r="7">
      <c r="A7" s="120" t="inlineStr">
        <is>
          <t>1월</t>
        </is>
      </c>
      <c r="B7" s="129">
        <f>COUNTIFS(업무일지!$B$5:$B$1004,"&gt;="&amp;DATE($B$3,1,1),업무일지!$B$5:$B$1004,"&lt;"&amp;DATE($B$3,1+1,1),업무일지!$D$5:$D$1004,"출장")</f>
        <v/>
      </c>
      <c r="C7" s="118">
        <f>SUM(P$85:P$144)</f>
        <v/>
      </c>
      <c r="D7" s="129">
        <f>COUNTIFS(업무일지!$B$5:$B$1004,"&gt;="&amp;DATE($B$3,1,1),업무일지!$B$5:$B$1004,"&lt;"&amp;DATE($B$3,1+1,1),업무일지!$D$5:$D$1004,"분석")</f>
        <v/>
      </c>
      <c r="E7" s="118">
        <f>SUM(AB$85:AB$144)</f>
        <v/>
      </c>
      <c r="F7" s="129">
        <f>COUNTIFS(업무일지!$B$5:$B$1004,"&gt;="&amp;DATE($B$3,1,1),업무일지!$B$5:$B$1004,"&lt;"&amp;DATE($B$3,1+1,1),업무일지!$D$5:$D$1004,"교육")</f>
        <v/>
      </c>
      <c r="G7" s="118">
        <f>B7+D7+F7</f>
        <v/>
      </c>
      <c r="H7" s="118">
        <f>SUM(AN$85:AN$144)</f>
        <v/>
      </c>
      <c r="I7" s="129">
        <f>COUNTIFS('사건별 현황'!$M$6:$M$65,"&gt;="&amp;DATE($B$3,1,1),'사건별 현황'!$M$6:$M$65,"&lt;"&amp;DATE($B$3,1+1,1))</f>
        <v/>
      </c>
      <c r="J7" s="129">
        <f>SUMIFS(업무일지!$AF$5:$AF$1004,업무일지!$B$5:$B$1004,"&gt;="&amp;DATE($B$3,1,1),업무일지!$B$5:$B$1004,"&lt;"&amp;DATE($B$3,1+1,1),업무일지!$D$5:$D$1004,"출장")</f>
        <v/>
      </c>
      <c r="K7" s="129">
        <f>SUMIFS(업무일지!$Z$5:$Z$1004,업무일지!$B$5:$B$1004,"&gt;="&amp;DATE($B$3,1,1),업무일지!$B$5:$B$1004,"&lt;"&amp;DATE($B$3,1+1,1))</f>
        <v/>
      </c>
      <c r="L7" s="129">
        <f>SUMIFS(업무일지!$AD$5:$AD$1004,업무일지!$B$5:$B$1004,"&gt;="&amp;DATE($B$3,1,1),업무일지!$B$5:$B$1004,"&lt;"&amp;DATE($B$3,1+1,1))</f>
        <v/>
      </c>
      <c r="M7" s="129">
        <f>COUNTIFS(일일실시사항!$B$5:$B$1004,"&gt;="&amp;DATE($B$3,1,1),일일실시사항!$B$5:$B$1004,"&lt;"&amp;DATE($B$3,1+1,1))</f>
        <v/>
      </c>
    </row>
    <row r="8">
      <c r="A8" s="120" t="inlineStr">
        <is>
          <t>2월</t>
        </is>
      </c>
      <c r="B8" s="129">
        <f>COUNTIFS(업무일지!$B$5:$B$1004,"&gt;="&amp;DATE($B$3,2,1),업무일지!$B$5:$B$1004,"&lt;"&amp;DATE($B$3,2+1,1),업무일지!$D$5:$D$1004,"출장")</f>
        <v/>
      </c>
      <c r="C8" s="118">
        <f>SUM(Q$85:Q$144)</f>
        <v/>
      </c>
      <c r="D8" s="129">
        <f>COUNTIFS(업무일지!$B$5:$B$1004,"&gt;="&amp;DATE($B$3,2,1),업무일지!$B$5:$B$1004,"&lt;"&amp;DATE($B$3,2+1,1),업무일지!$D$5:$D$1004,"분석")</f>
        <v/>
      </c>
      <c r="E8" s="118">
        <f>SUM(AC$85:AC$144)</f>
        <v/>
      </c>
      <c r="F8" s="129">
        <f>COUNTIFS(업무일지!$B$5:$B$1004,"&gt;="&amp;DATE($B$3,2,1),업무일지!$B$5:$B$1004,"&lt;"&amp;DATE($B$3,2+1,1),업무일지!$D$5:$D$1004,"교육")</f>
        <v/>
      </c>
      <c r="G8" s="118">
        <f>B8+D8+F8</f>
        <v/>
      </c>
      <c r="H8" s="118">
        <f>SUM(AO$85:AO$144)</f>
        <v/>
      </c>
      <c r="I8" s="129">
        <f>COUNTIFS('사건별 현황'!$M$6:$M$65,"&gt;="&amp;DATE($B$3,2,1),'사건별 현황'!$M$6:$M$65,"&lt;"&amp;DATE($B$3,2+1,1))</f>
        <v/>
      </c>
      <c r="J8" s="129">
        <f>SUMIFS(업무일지!$AF$5:$AF$1004,업무일지!$B$5:$B$1004,"&gt;="&amp;DATE($B$3,2,1),업무일지!$B$5:$B$1004,"&lt;"&amp;DATE($B$3,2+1,1),업무일지!$D$5:$D$1004,"출장")</f>
        <v/>
      </c>
      <c r="K8" s="129">
        <f>SUMIFS(업무일지!$Z$5:$Z$1004,업무일지!$B$5:$B$1004,"&gt;="&amp;DATE($B$3,2,1),업무일지!$B$5:$B$1004,"&lt;"&amp;DATE($B$3,2+1,1))</f>
        <v/>
      </c>
      <c r="L8" s="129">
        <f>SUMIFS(업무일지!$AD$5:$AD$1004,업무일지!$B$5:$B$1004,"&gt;="&amp;DATE($B$3,2,1),업무일지!$B$5:$B$1004,"&lt;"&amp;DATE($B$3,2+1,1))</f>
        <v/>
      </c>
      <c r="M8" s="129">
        <f>COUNTIFS(일일실시사항!$B$5:$B$1004,"&gt;="&amp;DATE($B$3,2,1),일일실시사항!$B$5:$B$1004,"&lt;"&amp;DATE($B$3,2+1,1))</f>
        <v/>
      </c>
    </row>
    <row r="9">
      <c r="A9" s="120" t="inlineStr">
        <is>
          <t>3월</t>
        </is>
      </c>
      <c r="B9" s="129">
        <f>COUNTIFS(업무일지!$B$5:$B$1004,"&gt;="&amp;DATE($B$3,3,1),업무일지!$B$5:$B$1004,"&lt;"&amp;DATE($B$3,3+1,1),업무일지!$D$5:$D$1004,"출장")</f>
        <v/>
      </c>
      <c r="C9" s="118">
        <f>SUM(R$85:R$144)</f>
        <v/>
      </c>
      <c r="D9" s="129">
        <f>COUNTIFS(업무일지!$B$5:$B$1004,"&gt;="&amp;DATE($B$3,3,1),업무일지!$B$5:$B$1004,"&lt;"&amp;DATE($B$3,3+1,1),업무일지!$D$5:$D$1004,"분석")</f>
        <v/>
      </c>
      <c r="E9" s="118">
        <f>SUM(AD$85:AD$144)</f>
        <v/>
      </c>
      <c r="F9" s="129">
        <f>COUNTIFS(업무일지!$B$5:$B$1004,"&gt;="&amp;DATE($B$3,3,1),업무일지!$B$5:$B$1004,"&lt;"&amp;DATE($B$3,3+1,1),업무일지!$D$5:$D$1004,"교육")</f>
        <v/>
      </c>
      <c r="G9" s="118">
        <f>B9+D9+F9</f>
        <v/>
      </c>
      <c r="H9" s="118">
        <f>SUM(AP$85:AP$144)</f>
        <v/>
      </c>
      <c r="I9" s="129">
        <f>COUNTIFS('사건별 현황'!$M$6:$M$65,"&gt;="&amp;DATE($B$3,3,1),'사건별 현황'!$M$6:$M$65,"&lt;"&amp;DATE($B$3,3+1,1))</f>
        <v/>
      </c>
      <c r="J9" s="129">
        <f>SUMIFS(업무일지!$AF$5:$AF$1004,업무일지!$B$5:$B$1004,"&gt;="&amp;DATE($B$3,3,1),업무일지!$B$5:$B$1004,"&lt;"&amp;DATE($B$3,3+1,1),업무일지!$D$5:$D$1004,"출장")</f>
        <v/>
      </c>
      <c r="K9" s="129">
        <f>SUMIFS(업무일지!$Z$5:$Z$1004,업무일지!$B$5:$B$1004,"&gt;="&amp;DATE($B$3,3,1),업무일지!$B$5:$B$1004,"&lt;"&amp;DATE($B$3,3+1,1))</f>
        <v/>
      </c>
      <c r="L9" s="129">
        <f>SUMIFS(업무일지!$AD$5:$AD$1004,업무일지!$B$5:$B$1004,"&gt;="&amp;DATE($B$3,3,1),업무일지!$B$5:$B$1004,"&lt;"&amp;DATE($B$3,3+1,1))</f>
        <v/>
      </c>
      <c r="M9" s="129">
        <f>COUNTIFS(일일실시사항!$B$5:$B$1004,"&gt;="&amp;DATE($B$3,3,1),일일실시사항!$B$5:$B$1004,"&lt;"&amp;DATE($B$3,3+1,1))</f>
        <v/>
      </c>
    </row>
    <row r="10">
      <c r="A10" s="120" t="inlineStr">
        <is>
          <t>4월</t>
        </is>
      </c>
      <c r="B10" s="129">
        <f>COUNTIFS(업무일지!$B$5:$B$1004,"&gt;="&amp;DATE($B$3,4,1),업무일지!$B$5:$B$1004,"&lt;"&amp;DATE($B$3,4+1,1),업무일지!$D$5:$D$1004,"출장")</f>
        <v/>
      </c>
      <c r="C10" s="118">
        <f>SUM(S$85:S$144)</f>
        <v/>
      </c>
      <c r="D10" s="129">
        <f>COUNTIFS(업무일지!$B$5:$B$1004,"&gt;="&amp;DATE($B$3,4,1),업무일지!$B$5:$B$1004,"&lt;"&amp;DATE($B$3,4+1,1),업무일지!$D$5:$D$1004,"분석")</f>
        <v/>
      </c>
      <c r="E10" s="118">
        <f>SUM(AE$85:AE$144)</f>
        <v/>
      </c>
      <c r="F10" s="129">
        <f>COUNTIFS(업무일지!$B$5:$B$1004,"&gt;="&amp;DATE($B$3,4,1),업무일지!$B$5:$B$1004,"&lt;"&amp;DATE($B$3,4+1,1),업무일지!$D$5:$D$1004,"교육")</f>
        <v/>
      </c>
      <c r="G10" s="118">
        <f>B10+D10+F10</f>
        <v/>
      </c>
      <c r="H10" s="118">
        <f>SUM(AQ$85:AQ$144)</f>
        <v/>
      </c>
      <c r="I10" s="129">
        <f>COUNTIFS('사건별 현황'!$M$6:$M$65,"&gt;="&amp;DATE($B$3,4,1),'사건별 현황'!$M$6:$M$65,"&lt;"&amp;DATE($B$3,4+1,1))</f>
        <v/>
      </c>
      <c r="J10" s="129">
        <f>SUMIFS(업무일지!$AF$5:$AF$1004,업무일지!$B$5:$B$1004,"&gt;="&amp;DATE($B$3,4,1),업무일지!$B$5:$B$1004,"&lt;"&amp;DATE($B$3,4+1,1),업무일지!$D$5:$D$1004,"출장")</f>
        <v/>
      </c>
      <c r="K10" s="129">
        <f>SUMIFS(업무일지!$Z$5:$Z$1004,업무일지!$B$5:$B$1004,"&gt;="&amp;DATE($B$3,4,1),업무일지!$B$5:$B$1004,"&lt;"&amp;DATE($B$3,4+1,1))</f>
        <v/>
      </c>
      <c r="L10" s="129">
        <f>SUMIFS(업무일지!$AD$5:$AD$1004,업무일지!$B$5:$B$1004,"&gt;="&amp;DATE($B$3,4,1),업무일지!$B$5:$B$1004,"&lt;"&amp;DATE($B$3,4+1,1))</f>
        <v/>
      </c>
      <c r="M10" s="129">
        <f>COUNTIFS(일일실시사항!$B$5:$B$1004,"&gt;="&amp;DATE($B$3,4,1),일일실시사항!$B$5:$B$1004,"&lt;"&amp;DATE($B$3,4+1,1))</f>
        <v/>
      </c>
    </row>
    <row r="11">
      <c r="A11" s="120" t="inlineStr">
        <is>
          <t>5월</t>
        </is>
      </c>
      <c r="B11" s="129">
        <f>COUNTIFS(업무일지!$B$5:$B$1004,"&gt;="&amp;DATE($B$3,5,1),업무일지!$B$5:$B$1004,"&lt;"&amp;DATE($B$3,5+1,1),업무일지!$D$5:$D$1004,"출장")</f>
        <v/>
      </c>
      <c r="C11" s="118">
        <f>SUM(T$85:T$144)</f>
        <v/>
      </c>
      <c r="D11" s="129">
        <f>COUNTIFS(업무일지!$B$5:$B$1004,"&gt;="&amp;DATE($B$3,5,1),업무일지!$B$5:$B$1004,"&lt;"&amp;DATE($B$3,5+1,1),업무일지!$D$5:$D$1004,"분석")</f>
        <v/>
      </c>
      <c r="E11" s="118">
        <f>SUM(AF$85:AF$144)</f>
        <v/>
      </c>
      <c r="F11" s="129">
        <f>COUNTIFS(업무일지!$B$5:$B$1004,"&gt;="&amp;DATE($B$3,5,1),업무일지!$B$5:$B$1004,"&lt;"&amp;DATE($B$3,5+1,1),업무일지!$D$5:$D$1004,"교육")</f>
        <v/>
      </c>
      <c r="G11" s="118">
        <f>B11+D11+F11</f>
        <v/>
      </c>
      <c r="H11" s="118">
        <f>SUM(AR$85:AR$144)</f>
        <v/>
      </c>
      <c r="I11" s="129">
        <f>COUNTIFS('사건별 현황'!$M$6:$M$65,"&gt;="&amp;DATE($B$3,5,1),'사건별 현황'!$M$6:$M$65,"&lt;"&amp;DATE($B$3,5+1,1))</f>
        <v/>
      </c>
      <c r="J11" s="129">
        <f>SUMIFS(업무일지!$AF$5:$AF$1004,업무일지!$B$5:$B$1004,"&gt;="&amp;DATE($B$3,5,1),업무일지!$B$5:$B$1004,"&lt;"&amp;DATE($B$3,5+1,1),업무일지!$D$5:$D$1004,"출장")</f>
        <v/>
      </c>
      <c r="K11" s="129">
        <f>SUMIFS(업무일지!$Z$5:$Z$1004,업무일지!$B$5:$B$1004,"&gt;="&amp;DATE($B$3,5,1),업무일지!$B$5:$B$1004,"&lt;"&amp;DATE($B$3,5+1,1))</f>
        <v/>
      </c>
      <c r="L11" s="129">
        <f>SUMIFS(업무일지!$AD$5:$AD$1004,업무일지!$B$5:$B$1004,"&gt;="&amp;DATE($B$3,5,1),업무일지!$B$5:$B$1004,"&lt;"&amp;DATE($B$3,5+1,1))</f>
        <v/>
      </c>
      <c r="M11" s="129">
        <f>COUNTIFS(일일실시사항!$B$5:$B$1004,"&gt;="&amp;DATE($B$3,5,1),일일실시사항!$B$5:$B$1004,"&lt;"&amp;DATE($B$3,5+1,1))</f>
        <v/>
      </c>
    </row>
    <row r="12">
      <c r="A12" s="120" t="inlineStr">
        <is>
          <t>6월</t>
        </is>
      </c>
      <c r="B12" s="129">
        <f>COUNTIFS(업무일지!$B$5:$B$1004,"&gt;="&amp;DATE($B$3,6,1),업무일지!$B$5:$B$1004,"&lt;"&amp;DATE($B$3,6+1,1),업무일지!$D$5:$D$1004,"출장")</f>
        <v/>
      </c>
      <c r="C12" s="118">
        <f>SUM(U$85:U$144)</f>
        <v/>
      </c>
      <c r="D12" s="129">
        <f>COUNTIFS(업무일지!$B$5:$B$1004,"&gt;="&amp;DATE($B$3,6,1),업무일지!$B$5:$B$1004,"&lt;"&amp;DATE($B$3,6+1,1),업무일지!$D$5:$D$1004,"분석")</f>
        <v/>
      </c>
      <c r="E12" s="118">
        <f>SUM(AG$85:AG$144)</f>
        <v/>
      </c>
      <c r="F12" s="129">
        <f>COUNTIFS(업무일지!$B$5:$B$1004,"&gt;="&amp;DATE($B$3,6,1),업무일지!$B$5:$B$1004,"&lt;"&amp;DATE($B$3,6+1,1),업무일지!$D$5:$D$1004,"교육")</f>
        <v/>
      </c>
      <c r="G12" s="118">
        <f>B12+D12+F12</f>
        <v/>
      </c>
      <c r="H12" s="118">
        <f>SUM(AS$85:AS$144)</f>
        <v/>
      </c>
      <c r="I12" s="129">
        <f>COUNTIFS('사건별 현황'!$M$6:$M$65,"&gt;="&amp;DATE($B$3,6,1),'사건별 현황'!$M$6:$M$65,"&lt;"&amp;DATE($B$3,6+1,1))</f>
        <v/>
      </c>
      <c r="J12" s="129">
        <f>SUMIFS(업무일지!$AF$5:$AF$1004,업무일지!$B$5:$B$1004,"&gt;="&amp;DATE($B$3,6,1),업무일지!$B$5:$B$1004,"&lt;"&amp;DATE($B$3,6+1,1),업무일지!$D$5:$D$1004,"출장")</f>
        <v/>
      </c>
      <c r="K12" s="129">
        <f>SUMIFS(업무일지!$Z$5:$Z$1004,업무일지!$B$5:$B$1004,"&gt;="&amp;DATE($B$3,6,1),업무일지!$B$5:$B$1004,"&lt;"&amp;DATE($B$3,6+1,1))</f>
        <v/>
      </c>
      <c r="L12" s="129">
        <f>SUMIFS(업무일지!$AD$5:$AD$1004,업무일지!$B$5:$B$1004,"&gt;="&amp;DATE($B$3,6,1),업무일지!$B$5:$B$1004,"&lt;"&amp;DATE($B$3,6+1,1))</f>
        <v/>
      </c>
      <c r="M12" s="129">
        <f>COUNTIFS(일일실시사항!$B$5:$B$1004,"&gt;="&amp;DATE($B$3,6,1),일일실시사항!$B$5:$B$1004,"&lt;"&amp;DATE($B$3,6+1,1))</f>
        <v/>
      </c>
    </row>
    <row r="13">
      <c r="A13" s="120" t="inlineStr">
        <is>
          <t>7월</t>
        </is>
      </c>
      <c r="B13" s="129">
        <f>COUNTIFS(업무일지!$B$5:$B$1004,"&gt;="&amp;DATE($B$3,7,1),업무일지!$B$5:$B$1004,"&lt;"&amp;DATE($B$3,7+1,1),업무일지!$D$5:$D$1004,"출장")</f>
        <v/>
      </c>
      <c r="C13" s="118">
        <f>SUM(V$85:V$144)</f>
        <v/>
      </c>
      <c r="D13" s="129">
        <f>COUNTIFS(업무일지!$B$5:$B$1004,"&gt;="&amp;DATE($B$3,7,1),업무일지!$B$5:$B$1004,"&lt;"&amp;DATE($B$3,7+1,1),업무일지!$D$5:$D$1004,"분석")</f>
        <v/>
      </c>
      <c r="E13" s="118">
        <f>SUM(AH$85:AH$144)</f>
        <v/>
      </c>
      <c r="F13" s="129">
        <f>COUNTIFS(업무일지!$B$5:$B$1004,"&gt;="&amp;DATE($B$3,7,1),업무일지!$B$5:$B$1004,"&lt;"&amp;DATE($B$3,7+1,1),업무일지!$D$5:$D$1004,"교육")</f>
        <v/>
      </c>
      <c r="G13" s="118">
        <f>B13+D13+F13</f>
        <v/>
      </c>
      <c r="H13" s="118">
        <f>SUM(AT$85:AT$144)</f>
        <v/>
      </c>
      <c r="I13" s="129">
        <f>COUNTIFS('사건별 현황'!$M$6:$M$65,"&gt;="&amp;DATE($B$3,7,1),'사건별 현황'!$M$6:$M$65,"&lt;"&amp;DATE($B$3,7+1,1))</f>
        <v/>
      </c>
      <c r="J13" s="129">
        <f>SUMIFS(업무일지!$AF$5:$AF$1004,업무일지!$B$5:$B$1004,"&gt;="&amp;DATE($B$3,7,1),업무일지!$B$5:$B$1004,"&lt;"&amp;DATE($B$3,7+1,1),업무일지!$D$5:$D$1004,"출장")</f>
        <v/>
      </c>
      <c r="K13" s="129">
        <f>SUMIFS(업무일지!$Z$5:$Z$1004,업무일지!$B$5:$B$1004,"&gt;="&amp;DATE($B$3,7,1),업무일지!$B$5:$B$1004,"&lt;"&amp;DATE($B$3,7+1,1))</f>
        <v/>
      </c>
      <c r="L13" s="129">
        <f>SUMIFS(업무일지!$AD$5:$AD$1004,업무일지!$B$5:$B$1004,"&gt;="&amp;DATE($B$3,7,1),업무일지!$B$5:$B$1004,"&lt;"&amp;DATE($B$3,7+1,1))</f>
        <v/>
      </c>
      <c r="M13" s="129">
        <f>COUNTIFS(일일실시사항!$B$5:$B$1004,"&gt;="&amp;DATE($B$3,7,1),일일실시사항!$B$5:$B$1004,"&lt;"&amp;DATE($B$3,7+1,1))</f>
        <v/>
      </c>
    </row>
    <row r="14">
      <c r="A14" s="120" t="inlineStr">
        <is>
          <t>8월</t>
        </is>
      </c>
      <c r="B14" s="129">
        <f>COUNTIFS(업무일지!$B$5:$B$1004,"&gt;="&amp;DATE($B$3,8,1),업무일지!$B$5:$B$1004,"&lt;"&amp;DATE($B$3,8+1,1),업무일지!$D$5:$D$1004,"출장")</f>
        <v/>
      </c>
      <c r="C14" s="118">
        <f>SUM(W$85:W$144)</f>
        <v/>
      </c>
      <c r="D14" s="129">
        <f>COUNTIFS(업무일지!$B$5:$B$1004,"&gt;="&amp;DATE($B$3,8,1),업무일지!$B$5:$B$1004,"&lt;"&amp;DATE($B$3,8+1,1),업무일지!$D$5:$D$1004,"분석")</f>
        <v/>
      </c>
      <c r="E14" s="118">
        <f>SUM(AI$85:AI$144)</f>
        <v/>
      </c>
      <c r="F14" s="129">
        <f>COUNTIFS(업무일지!$B$5:$B$1004,"&gt;="&amp;DATE($B$3,8,1),업무일지!$B$5:$B$1004,"&lt;"&amp;DATE($B$3,8+1,1),업무일지!$D$5:$D$1004,"교육")</f>
        <v/>
      </c>
      <c r="G14" s="118">
        <f>B14+D14+F14</f>
        <v/>
      </c>
      <c r="H14" s="118">
        <f>SUM(AU$85:AU$144)</f>
        <v/>
      </c>
      <c r="I14" s="129">
        <f>COUNTIFS('사건별 현황'!$M$6:$M$65,"&gt;="&amp;DATE($B$3,8,1),'사건별 현황'!$M$6:$M$65,"&lt;"&amp;DATE($B$3,8+1,1))</f>
        <v/>
      </c>
      <c r="J14" s="129">
        <f>SUMIFS(업무일지!$AF$5:$AF$1004,업무일지!$B$5:$B$1004,"&gt;="&amp;DATE($B$3,8,1),업무일지!$B$5:$B$1004,"&lt;"&amp;DATE($B$3,8+1,1),업무일지!$D$5:$D$1004,"출장")</f>
        <v/>
      </c>
      <c r="K14" s="129">
        <f>SUMIFS(업무일지!$Z$5:$Z$1004,업무일지!$B$5:$B$1004,"&gt;="&amp;DATE($B$3,8,1),업무일지!$B$5:$B$1004,"&lt;"&amp;DATE($B$3,8+1,1))</f>
        <v/>
      </c>
      <c r="L14" s="129">
        <f>SUMIFS(업무일지!$AD$5:$AD$1004,업무일지!$B$5:$B$1004,"&gt;="&amp;DATE($B$3,8,1),업무일지!$B$5:$B$1004,"&lt;"&amp;DATE($B$3,8+1,1))</f>
        <v/>
      </c>
      <c r="M14" s="129">
        <f>COUNTIFS(일일실시사항!$B$5:$B$1004,"&gt;="&amp;DATE($B$3,8,1),일일실시사항!$B$5:$B$1004,"&lt;"&amp;DATE($B$3,8+1,1))</f>
        <v/>
      </c>
    </row>
    <row r="15">
      <c r="A15" s="120" t="inlineStr">
        <is>
          <t>9월</t>
        </is>
      </c>
      <c r="B15" s="129">
        <f>COUNTIFS(업무일지!$B$5:$B$1004,"&gt;="&amp;DATE($B$3,9,1),업무일지!$B$5:$B$1004,"&lt;"&amp;DATE($B$3,9+1,1),업무일지!$D$5:$D$1004,"출장")</f>
        <v/>
      </c>
      <c r="C15" s="118">
        <f>SUM(X$85:X$144)</f>
        <v/>
      </c>
      <c r="D15" s="129">
        <f>COUNTIFS(업무일지!$B$5:$B$1004,"&gt;="&amp;DATE($B$3,9,1),업무일지!$B$5:$B$1004,"&lt;"&amp;DATE($B$3,9+1,1),업무일지!$D$5:$D$1004,"분석")</f>
        <v/>
      </c>
      <c r="E15" s="118">
        <f>SUM(AJ$85:AJ$144)</f>
        <v/>
      </c>
      <c r="F15" s="129">
        <f>COUNTIFS(업무일지!$B$5:$B$1004,"&gt;="&amp;DATE($B$3,9,1),업무일지!$B$5:$B$1004,"&lt;"&amp;DATE($B$3,9+1,1),업무일지!$D$5:$D$1004,"교육")</f>
        <v/>
      </c>
      <c r="G15" s="118">
        <f>B15+D15+F15</f>
        <v/>
      </c>
      <c r="H15" s="118">
        <f>SUM(AV$85:AV$144)</f>
        <v/>
      </c>
      <c r="I15" s="129">
        <f>COUNTIFS('사건별 현황'!$M$6:$M$65,"&gt;="&amp;DATE($B$3,9,1),'사건별 현황'!$M$6:$M$65,"&lt;"&amp;DATE($B$3,9+1,1))</f>
        <v/>
      </c>
      <c r="J15" s="129">
        <f>SUMIFS(업무일지!$AF$5:$AF$1004,업무일지!$B$5:$B$1004,"&gt;="&amp;DATE($B$3,9,1),업무일지!$B$5:$B$1004,"&lt;"&amp;DATE($B$3,9+1,1),업무일지!$D$5:$D$1004,"출장")</f>
        <v/>
      </c>
      <c r="K15" s="129">
        <f>SUMIFS(업무일지!$Z$5:$Z$1004,업무일지!$B$5:$B$1004,"&gt;="&amp;DATE($B$3,9,1),업무일지!$B$5:$B$1004,"&lt;"&amp;DATE($B$3,9+1,1))</f>
        <v/>
      </c>
      <c r="L15" s="129">
        <f>SUMIFS(업무일지!$AD$5:$AD$1004,업무일지!$B$5:$B$1004,"&gt;="&amp;DATE($B$3,9,1),업무일지!$B$5:$B$1004,"&lt;"&amp;DATE($B$3,9+1,1))</f>
        <v/>
      </c>
      <c r="M15" s="129">
        <f>COUNTIFS(일일실시사항!$B$5:$B$1004,"&gt;="&amp;DATE($B$3,9,1),일일실시사항!$B$5:$B$1004,"&lt;"&amp;DATE($B$3,9+1,1))</f>
        <v/>
      </c>
    </row>
    <row r="16">
      <c r="A16" s="120" t="inlineStr">
        <is>
          <t>10월</t>
        </is>
      </c>
      <c r="B16" s="129">
        <f>COUNTIFS(업무일지!$B$5:$B$1004,"&gt;="&amp;DATE($B$3,10,1),업무일지!$B$5:$B$1004,"&lt;"&amp;DATE($B$3,10+1,1),업무일지!$D$5:$D$1004,"출장")</f>
        <v/>
      </c>
      <c r="C16" s="118">
        <f>SUM(Y$85:Y$144)</f>
        <v/>
      </c>
      <c r="D16" s="129">
        <f>COUNTIFS(업무일지!$B$5:$B$1004,"&gt;="&amp;DATE($B$3,10,1),업무일지!$B$5:$B$1004,"&lt;"&amp;DATE($B$3,10+1,1),업무일지!$D$5:$D$1004,"분석")</f>
        <v/>
      </c>
      <c r="E16" s="118">
        <f>SUM(AK$85:AK$144)</f>
        <v/>
      </c>
      <c r="F16" s="129">
        <f>COUNTIFS(업무일지!$B$5:$B$1004,"&gt;="&amp;DATE($B$3,10,1),업무일지!$B$5:$B$1004,"&lt;"&amp;DATE($B$3,10+1,1),업무일지!$D$5:$D$1004,"교육")</f>
        <v/>
      </c>
      <c r="G16" s="118">
        <f>B16+D16+F16</f>
        <v/>
      </c>
      <c r="H16" s="118">
        <f>SUM(AW$85:AW$144)</f>
        <v/>
      </c>
      <c r="I16" s="129">
        <f>COUNTIFS('사건별 현황'!$M$6:$M$65,"&gt;="&amp;DATE($B$3,10,1),'사건별 현황'!$M$6:$M$65,"&lt;"&amp;DATE($B$3,10+1,1))</f>
        <v/>
      </c>
      <c r="J16" s="129">
        <f>SUMIFS(업무일지!$AF$5:$AF$1004,업무일지!$B$5:$B$1004,"&gt;="&amp;DATE($B$3,10,1),업무일지!$B$5:$B$1004,"&lt;"&amp;DATE($B$3,10+1,1),업무일지!$D$5:$D$1004,"출장")</f>
        <v/>
      </c>
      <c r="K16" s="129">
        <f>SUMIFS(업무일지!$Z$5:$Z$1004,업무일지!$B$5:$B$1004,"&gt;="&amp;DATE($B$3,10,1),업무일지!$B$5:$B$1004,"&lt;"&amp;DATE($B$3,10+1,1))</f>
        <v/>
      </c>
      <c r="L16" s="129">
        <f>SUMIFS(업무일지!$AD$5:$AD$1004,업무일지!$B$5:$B$1004,"&gt;="&amp;DATE($B$3,10,1),업무일지!$B$5:$B$1004,"&lt;"&amp;DATE($B$3,10+1,1))</f>
        <v/>
      </c>
      <c r="M16" s="129">
        <f>COUNTIFS(일일실시사항!$B$5:$B$1004,"&gt;="&amp;DATE($B$3,10,1),일일실시사항!$B$5:$B$1004,"&lt;"&amp;DATE($B$3,10+1,1))</f>
        <v/>
      </c>
    </row>
    <row r="17">
      <c r="A17" s="120" t="inlineStr">
        <is>
          <t>11월</t>
        </is>
      </c>
      <c r="B17" s="129">
        <f>COUNTIFS(업무일지!$B$5:$B$1004,"&gt;="&amp;DATE($B$3,11,1),업무일지!$B$5:$B$1004,"&lt;"&amp;DATE($B$3,11+1,1),업무일지!$D$5:$D$1004,"출장")</f>
        <v/>
      </c>
      <c r="C17" s="118">
        <f>SUM(Z$85:Z$144)</f>
        <v/>
      </c>
      <c r="D17" s="129">
        <f>COUNTIFS(업무일지!$B$5:$B$1004,"&gt;="&amp;DATE($B$3,11,1),업무일지!$B$5:$B$1004,"&lt;"&amp;DATE($B$3,11+1,1),업무일지!$D$5:$D$1004,"분석")</f>
        <v/>
      </c>
      <c r="E17" s="118">
        <f>SUM(AL$85:AL$144)</f>
        <v/>
      </c>
      <c r="F17" s="129">
        <f>COUNTIFS(업무일지!$B$5:$B$1004,"&gt;="&amp;DATE($B$3,11,1),업무일지!$B$5:$B$1004,"&lt;"&amp;DATE($B$3,11+1,1),업무일지!$D$5:$D$1004,"교육")</f>
        <v/>
      </c>
      <c r="G17" s="118">
        <f>B17+D17+F17</f>
        <v/>
      </c>
      <c r="H17" s="118">
        <f>SUM(AX$85:AX$144)</f>
        <v/>
      </c>
      <c r="I17" s="129">
        <f>COUNTIFS('사건별 현황'!$M$6:$M$65,"&gt;="&amp;DATE($B$3,11,1),'사건별 현황'!$M$6:$M$65,"&lt;"&amp;DATE($B$3,11+1,1))</f>
        <v/>
      </c>
      <c r="J17" s="129">
        <f>SUMIFS(업무일지!$AF$5:$AF$1004,업무일지!$B$5:$B$1004,"&gt;="&amp;DATE($B$3,11,1),업무일지!$B$5:$B$1004,"&lt;"&amp;DATE($B$3,11+1,1),업무일지!$D$5:$D$1004,"출장")</f>
        <v/>
      </c>
      <c r="K17" s="129">
        <f>SUMIFS(업무일지!$Z$5:$Z$1004,업무일지!$B$5:$B$1004,"&gt;="&amp;DATE($B$3,11,1),업무일지!$B$5:$B$1004,"&lt;"&amp;DATE($B$3,11+1,1))</f>
        <v/>
      </c>
      <c r="L17" s="129">
        <f>SUMIFS(업무일지!$AD$5:$AD$1004,업무일지!$B$5:$B$1004,"&gt;="&amp;DATE($B$3,11,1),업무일지!$B$5:$B$1004,"&lt;"&amp;DATE($B$3,11+1,1))</f>
        <v/>
      </c>
      <c r="M17" s="129">
        <f>COUNTIFS(일일실시사항!$B$5:$B$1004,"&gt;="&amp;DATE($B$3,11,1),일일실시사항!$B$5:$B$1004,"&lt;"&amp;DATE($B$3,11+1,1))</f>
        <v/>
      </c>
    </row>
    <row r="18">
      <c r="A18" s="120" t="inlineStr">
        <is>
          <t>12월</t>
        </is>
      </c>
      <c r="B18" s="129">
        <f>COUNTIFS(업무일지!$B$5:$B$1004,"&gt;="&amp;DATE($B$3,12,1),업무일지!$B$5:$B$1004,"&lt;"&amp;DATE($B$3,12+1,1),업무일지!$D$5:$D$1004,"출장")</f>
        <v/>
      </c>
      <c r="C18" s="118">
        <f>SUM(AA$85:AA$144)</f>
        <v/>
      </c>
      <c r="D18" s="129">
        <f>COUNTIFS(업무일지!$B$5:$B$1004,"&gt;="&amp;DATE($B$3,12,1),업무일지!$B$5:$B$1004,"&lt;"&amp;DATE($B$3,12+1,1),업무일지!$D$5:$D$1004,"분석")</f>
        <v/>
      </c>
      <c r="E18" s="118">
        <f>SUM(AM$85:AM$144)</f>
        <v/>
      </c>
      <c r="F18" s="129">
        <f>COUNTIFS(업무일지!$B$5:$B$1004,"&gt;="&amp;DATE($B$3,12,1),업무일지!$B$5:$B$1004,"&lt;"&amp;DATE($B$3,12+1,1),업무일지!$D$5:$D$1004,"교육")</f>
        <v/>
      </c>
      <c r="G18" s="118">
        <f>B18+D18+F18</f>
        <v/>
      </c>
      <c r="H18" s="118">
        <f>SUM(AY$85:AY$144)</f>
        <v/>
      </c>
      <c r="I18" s="129">
        <f>COUNTIFS('사건별 현황'!$M$6:$M$65,"&gt;="&amp;DATE($B$3,12,1),'사건별 현황'!$M$6:$M$65,"&lt;"&amp;DATE($B$3,12+1,1))</f>
        <v/>
      </c>
      <c r="J18" s="129">
        <f>SUMIFS(업무일지!$AF$5:$AF$1004,업무일지!$B$5:$B$1004,"&gt;="&amp;DATE($B$3,12,1),업무일지!$B$5:$B$1004,"&lt;"&amp;DATE($B$3,12+1,1),업무일지!$D$5:$D$1004,"출장")</f>
        <v/>
      </c>
      <c r="K18" s="129">
        <f>SUMIFS(업무일지!$Z$5:$Z$1004,업무일지!$B$5:$B$1004,"&gt;="&amp;DATE($B$3,12,1),업무일지!$B$5:$B$1004,"&lt;"&amp;DATE($B$3,12+1,1))</f>
        <v/>
      </c>
      <c r="L18" s="129">
        <f>SUMIFS(업무일지!$AD$5:$AD$1004,업무일지!$B$5:$B$1004,"&gt;="&amp;DATE($B$3,12,1),업무일지!$B$5:$B$1004,"&lt;"&amp;DATE($B$3,12+1,1))</f>
        <v/>
      </c>
      <c r="M18" s="129">
        <f>COUNTIFS(일일실시사항!$B$5:$B$1004,"&gt;="&amp;DATE($B$3,12,1),일일실시사항!$B$5:$B$1004,"&lt;"&amp;DATE($B$3,12+1,1))</f>
        <v/>
      </c>
    </row>
    <row r="19">
      <c r="A19" s="112" t="inlineStr">
        <is>
          <t>합계</t>
        </is>
      </c>
      <c r="B19" s="113">
        <f>SUM(B7:B18)</f>
        <v/>
      </c>
      <c r="C19" s="113">
        <f>SUM($AZ$85:$AZ$144)</f>
        <v/>
      </c>
      <c r="D19" s="113">
        <f>SUM(D7:D18)</f>
        <v/>
      </c>
      <c r="E19" s="113">
        <f>SUM($BA$85:$BA$144)</f>
        <v/>
      </c>
      <c r="F19" s="113">
        <f>SUM(F7:F18)</f>
        <v/>
      </c>
      <c r="G19" s="113">
        <f>SUM(G7:G18)</f>
        <v/>
      </c>
      <c r="H19" s="113">
        <f>SUM($BB$85:$BB$144)</f>
        <v/>
      </c>
      <c r="I19" s="113">
        <f>SUM(I7:I18)</f>
        <v/>
      </c>
      <c r="J19" s="113">
        <f>SUM(J7:J18)</f>
        <v/>
      </c>
      <c r="K19" s="113">
        <f>SUM(K7:K18)</f>
        <v/>
      </c>
      <c r="L19" s="113">
        <f>SUM(L7:L18)</f>
        <v/>
      </c>
      <c r="M19" s="113">
        <f>SUM(M7:M18)</f>
        <v/>
      </c>
    </row>
    <row r="21" ht="20" customHeight="1">
      <c r="A21" s="21" t="inlineStr">
        <is>
          <t>2.  직무구분 · 세부유형별 현황 (연간 누계)</t>
        </is>
      </c>
      <c r="B21" s="22" t="n"/>
      <c r="C21" s="22" t="n"/>
      <c r="D21" s="22" t="n"/>
      <c r="E21" s="22" t="n"/>
      <c r="F21" s="22" t="n"/>
      <c r="G21" s="22" t="n"/>
      <c r="H21" s="22" t="n"/>
    </row>
    <row r="22" ht="32" customHeight="1">
      <c r="A22" s="23" t="inlineStr">
        <is>
          <t>직무구분</t>
        </is>
      </c>
      <c r="B22" s="23" t="inlineStr">
        <is>
          <t>세부유형</t>
        </is>
      </c>
      <c r="C22" s="23" t="inlineStr">
        <is>
          <t>회차</t>
        </is>
      </c>
      <c r="D22" s="23" t="inlineStr">
        <is>
          <t>비중</t>
        </is>
      </c>
      <c r="E22" s="23" t="inlineStr">
        <is>
          <t>연인원(명)</t>
        </is>
      </c>
      <c r="F22" s="23" t="inlineStr">
        <is>
          <t>대상매체(건)</t>
        </is>
      </c>
      <c r="G22" s="23" t="inlineStr">
        <is>
          <t>데이터량(GB)</t>
        </is>
      </c>
      <c r="H22" s="23" t="inlineStr">
        <is>
          <t>평균 소요일수</t>
        </is>
      </c>
    </row>
    <row r="23">
      <c r="A23" s="107">
        <f>IF(코드설정!$A5="","",코드설정!$A5)</f>
        <v/>
      </c>
      <c r="B23" s="115">
        <f>IF(코드설정!$B5="","",코드설정!$B5)</f>
        <v/>
      </c>
      <c r="C23" s="129">
        <f>IF($B23="","",COUNTIFS(업무일지!$B$5:$B$1004,"&gt;="&amp;DATE($B$3,1,1),업무일지!$B$5:$B$1004,"&lt;"&amp;DATE($B$3+1,1,1),업무일지!$E$5:$E$1004,$B23))</f>
        <v/>
      </c>
      <c r="D23" s="116">
        <f>IFERROR(C23/$C$40,0)</f>
        <v/>
      </c>
      <c r="E23" s="129">
        <f>IF($B23="","",SUMIFS(업무일지!$Z$5:$Z$1004,업무일지!$B$5:$B$1004,"&gt;="&amp;DATE($B$3,1,1),업무일지!$B$5:$B$1004,"&lt;"&amp;DATE($B$3+1,1,1),업무일지!$E$5:$E$1004,$B23))</f>
        <v/>
      </c>
      <c r="F23" s="129">
        <f>IF($B23="","",SUMIFS(업무일지!$AD$5:$AD$1004,업무일지!$B$5:$B$1004,"&gt;="&amp;DATE($B$3,1,1),업무일지!$B$5:$B$1004,"&lt;"&amp;DATE($B$3+1,1,1),업무일지!$E$5:$E$1004,$B23))</f>
        <v/>
      </c>
      <c r="G23" s="25">
        <f>IF($B23="","",SUMIFS(업무일지!$AE$5:$AE$1004,업무일지!$B$5:$B$1004,"&gt;="&amp;DATE($B$3,1,1),업무일지!$B$5:$B$1004,"&lt;"&amp;DATE($B$3+1,1,1),업무일지!$E$5:$E$1004,$B23))</f>
        <v/>
      </c>
      <c r="H23" s="57">
        <f>IFERROR(SUMIFS(업무일지!$AF$5:$AF$1004,업무일지!$B$5:$B$1004,"&gt;="&amp;DATE($B$3,1,1),업무일지!$B$5:$B$1004,"&lt;"&amp;DATE($B$3+1,1,1),업무일지!$E$5:$E$1004,$B23)/C23,0)</f>
        <v/>
      </c>
    </row>
    <row r="24">
      <c r="A24" s="107">
        <f>IF(코드설정!$A6="","",코드설정!$A6)</f>
        <v/>
      </c>
      <c r="B24" s="115">
        <f>IF(코드설정!$B6="","",코드설정!$B6)</f>
        <v/>
      </c>
      <c r="C24" s="129">
        <f>IF($B24="","",COUNTIFS(업무일지!$B$5:$B$1004,"&gt;="&amp;DATE($B$3,1,1),업무일지!$B$5:$B$1004,"&lt;"&amp;DATE($B$3+1,1,1),업무일지!$E$5:$E$1004,$B24))</f>
        <v/>
      </c>
      <c r="D24" s="116">
        <f>IFERROR(C24/$C$40,0)</f>
        <v/>
      </c>
      <c r="E24" s="129">
        <f>IF($B24="","",SUMIFS(업무일지!$Z$5:$Z$1004,업무일지!$B$5:$B$1004,"&gt;="&amp;DATE($B$3,1,1),업무일지!$B$5:$B$1004,"&lt;"&amp;DATE($B$3+1,1,1),업무일지!$E$5:$E$1004,$B24))</f>
        <v/>
      </c>
      <c r="F24" s="129">
        <f>IF($B24="","",SUMIFS(업무일지!$AD$5:$AD$1004,업무일지!$B$5:$B$1004,"&gt;="&amp;DATE($B$3,1,1),업무일지!$B$5:$B$1004,"&lt;"&amp;DATE($B$3+1,1,1),업무일지!$E$5:$E$1004,$B24))</f>
        <v/>
      </c>
      <c r="G24" s="25">
        <f>IF($B24="","",SUMIFS(업무일지!$AE$5:$AE$1004,업무일지!$B$5:$B$1004,"&gt;="&amp;DATE($B$3,1,1),업무일지!$B$5:$B$1004,"&lt;"&amp;DATE($B$3+1,1,1),업무일지!$E$5:$E$1004,$B24))</f>
        <v/>
      </c>
      <c r="H24" s="57">
        <f>IFERROR(SUMIFS(업무일지!$AF$5:$AF$1004,업무일지!$B$5:$B$1004,"&gt;="&amp;DATE($B$3,1,1),업무일지!$B$5:$B$1004,"&lt;"&amp;DATE($B$3+1,1,1),업무일지!$E$5:$E$1004,$B24)/C24,0)</f>
        <v/>
      </c>
    </row>
    <row r="25">
      <c r="A25" s="107">
        <f>IF(코드설정!$A7="","",코드설정!$A7)</f>
        <v/>
      </c>
      <c r="B25" s="115">
        <f>IF(코드설정!$B7="","",코드설정!$B7)</f>
        <v/>
      </c>
      <c r="C25" s="129">
        <f>IF($B25="","",COUNTIFS(업무일지!$B$5:$B$1004,"&gt;="&amp;DATE($B$3,1,1),업무일지!$B$5:$B$1004,"&lt;"&amp;DATE($B$3+1,1,1),업무일지!$E$5:$E$1004,$B25))</f>
        <v/>
      </c>
      <c r="D25" s="116">
        <f>IFERROR(C25/$C$40,0)</f>
        <v/>
      </c>
      <c r="E25" s="129">
        <f>IF($B25="","",SUMIFS(업무일지!$Z$5:$Z$1004,업무일지!$B$5:$B$1004,"&gt;="&amp;DATE($B$3,1,1),업무일지!$B$5:$B$1004,"&lt;"&amp;DATE($B$3+1,1,1),업무일지!$E$5:$E$1004,$B25))</f>
        <v/>
      </c>
      <c r="F25" s="129">
        <f>IF($B25="","",SUMIFS(업무일지!$AD$5:$AD$1004,업무일지!$B$5:$B$1004,"&gt;="&amp;DATE($B$3,1,1),업무일지!$B$5:$B$1004,"&lt;"&amp;DATE($B$3+1,1,1),업무일지!$E$5:$E$1004,$B25))</f>
        <v/>
      </c>
      <c r="G25" s="25">
        <f>IF($B25="","",SUMIFS(업무일지!$AE$5:$AE$1004,업무일지!$B$5:$B$1004,"&gt;="&amp;DATE($B$3,1,1),업무일지!$B$5:$B$1004,"&lt;"&amp;DATE($B$3+1,1,1),업무일지!$E$5:$E$1004,$B25))</f>
        <v/>
      </c>
      <c r="H25" s="57">
        <f>IFERROR(SUMIFS(업무일지!$AF$5:$AF$1004,업무일지!$B$5:$B$1004,"&gt;="&amp;DATE($B$3,1,1),업무일지!$B$5:$B$1004,"&lt;"&amp;DATE($B$3+1,1,1),업무일지!$E$5:$E$1004,$B25)/C25,0)</f>
        <v/>
      </c>
    </row>
    <row r="26">
      <c r="A26" s="107">
        <f>IF(코드설정!$A8="","",코드설정!$A8)</f>
        <v/>
      </c>
      <c r="B26" s="115">
        <f>IF(코드설정!$B8="","",코드설정!$B8)</f>
        <v/>
      </c>
      <c r="C26" s="129">
        <f>IF($B26="","",COUNTIFS(업무일지!$B$5:$B$1004,"&gt;="&amp;DATE($B$3,1,1),업무일지!$B$5:$B$1004,"&lt;"&amp;DATE($B$3+1,1,1),업무일지!$E$5:$E$1004,$B26))</f>
        <v/>
      </c>
      <c r="D26" s="116">
        <f>IFERROR(C26/$C$40,0)</f>
        <v/>
      </c>
      <c r="E26" s="129">
        <f>IF($B26="","",SUMIFS(업무일지!$Z$5:$Z$1004,업무일지!$B$5:$B$1004,"&gt;="&amp;DATE($B$3,1,1),업무일지!$B$5:$B$1004,"&lt;"&amp;DATE($B$3+1,1,1),업무일지!$E$5:$E$1004,$B26))</f>
        <v/>
      </c>
      <c r="F26" s="129">
        <f>IF($B26="","",SUMIFS(업무일지!$AD$5:$AD$1004,업무일지!$B$5:$B$1004,"&gt;="&amp;DATE($B$3,1,1),업무일지!$B$5:$B$1004,"&lt;"&amp;DATE($B$3+1,1,1),업무일지!$E$5:$E$1004,$B26))</f>
        <v/>
      </c>
      <c r="G26" s="25">
        <f>IF($B26="","",SUMIFS(업무일지!$AE$5:$AE$1004,업무일지!$B$5:$B$1004,"&gt;="&amp;DATE($B$3,1,1),업무일지!$B$5:$B$1004,"&lt;"&amp;DATE($B$3+1,1,1),업무일지!$E$5:$E$1004,$B26))</f>
        <v/>
      </c>
      <c r="H26" s="57">
        <f>IFERROR(SUMIFS(업무일지!$AF$5:$AF$1004,업무일지!$B$5:$B$1004,"&gt;="&amp;DATE($B$3,1,1),업무일지!$B$5:$B$1004,"&lt;"&amp;DATE($B$3+1,1,1),업무일지!$E$5:$E$1004,$B26)/C26,0)</f>
        <v/>
      </c>
    </row>
    <row r="27">
      <c r="A27" s="107">
        <f>IF(코드설정!$A9="","",코드설정!$A9)</f>
        <v/>
      </c>
      <c r="B27" s="115">
        <f>IF(코드설정!$B9="","",코드설정!$B9)</f>
        <v/>
      </c>
      <c r="C27" s="129">
        <f>IF($B27="","",COUNTIFS(업무일지!$B$5:$B$1004,"&gt;="&amp;DATE($B$3,1,1),업무일지!$B$5:$B$1004,"&lt;"&amp;DATE($B$3+1,1,1),업무일지!$E$5:$E$1004,$B27))</f>
        <v/>
      </c>
      <c r="D27" s="116">
        <f>IFERROR(C27/$C$40,0)</f>
        <v/>
      </c>
      <c r="E27" s="129">
        <f>IF($B27="","",SUMIFS(업무일지!$Z$5:$Z$1004,업무일지!$B$5:$B$1004,"&gt;="&amp;DATE($B$3,1,1),업무일지!$B$5:$B$1004,"&lt;"&amp;DATE($B$3+1,1,1),업무일지!$E$5:$E$1004,$B27))</f>
        <v/>
      </c>
      <c r="F27" s="129">
        <f>IF($B27="","",SUMIFS(업무일지!$AD$5:$AD$1004,업무일지!$B$5:$B$1004,"&gt;="&amp;DATE($B$3,1,1),업무일지!$B$5:$B$1004,"&lt;"&amp;DATE($B$3+1,1,1),업무일지!$E$5:$E$1004,$B27))</f>
        <v/>
      </c>
      <c r="G27" s="25">
        <f>IF($B27="","",SUMIFS(업무일지!$AE$5:$AE$1004,업무일지!$B$5:$B$1004,"&gt;="&amp;DATE($B$3,1,1),업무일지!$B$5:$B$1004,"&lt;"&amp;DATE($B$3+1,1,1),업무일지!$E$5:$E$1004,$B27))</f>
        <v/>
      </c>
      <c r="H27" s="57">
        <f>IFERROR(SUMIFS(업무일지!$AF$5:$AF$1004,업무일지!$B$5:$B$1004,"&gt;="&amp;DATE($B$3,1,1),업무일지!$B$5:$B$1004,"&lt;"&amp;DATE($B$3+1,1,1),업무일지!$E$5:$E$1004,$B27)/C27,0)</f>
        <v/>
      </c>
    </row>
    <row r="28">
      <c r="A28" s="107">
        <f>IF(코드설정!$A10="","",코드설정!$A10)</f>
        <v/>
      </c>
      <c r="B28" s="115">
        <f>IF(코드설정!$B10="","",코드설정!$B10)</f>
        <v/>
      </c>
      <c r="C28" s="129">
        <f>IF($B28="","",COUNTIFS(업무일지!$B$5:$B$1004,"&gt;="&amp;DATE($B$3,1,1),업무일지!$B$5:$B$1004,"&lt;"&amp;DATE($B$3+1,1,1),업무일지!$E$5:$E$1004,$B28))</f>
        <v/>
      </c>
      <c r="D28" s="116">
        <f>IFERROR(C28/$C$40,0)</f>
        <v/>
      </c>
      <c r="E28" s="129">
        <f>IF($B28="","",SUMIFS(업무일지!$Z$5:$Z$1004,업무일지!$B$5:$B$1004,"&gt;="&amp;DATE($B$3,1,1),업무일지!$B$5:$B$1004,"&lt;"&amp;DATE($B$3+1,1,1),업무일지!$E$5:$E$1004,$B28))</f>
        <v/>
      </c>
      <c r="F28" s="129">
        <f>IF($B28="","",SUMIFS(업무일지!$AD$5:$AD$1004,업무일지!$B$5:$B$1004,"&gt;="&amp;DATE($B$3,1,1),업무일지!$B$5:$B$1004,"&lt;"&amp;DATE($B$3+1,1,1),업무일지!$E$5:$E$1004,$B28))</f>
        <v/>
      </c>
      <c r="G28" s="25">
        <f>IF($B28="","",SUMIFS(업무일지!$AE$5:$AE$1004,업무일지!$B$5:$B$1004,"&gt;="&amp;DATE($B$3,1,1),업무일지!$B$5:$B$1004,"&lt;"&amp;DATE($B$3+1,1,1),업무일지!$E$5:$E$1004,$B28))</f>
        <v/>
      </c>
      <c r="H28" s="57">
        <f>IFERROR(SUMIFS(업무일지!$AF$5:$AF$1004,업무일지!$B$5:$B$1004,"&gt;="&amp;DATE($B$3,1,1),업무일지!$B$5:$B$1004,"&lt;"&amp;DATE($B$3+1,1,1),업무일지!$E$5:$E$1004,$B28)/C28,0)</f>
        <v/>
      </c>
    </row>
    <row r="29">
      <c r="A29" s="107">
        <f>IF(코드설정!$A11="","",코드설정!$A11)</f>
        <v/>
      </c>
      <c r="B29" s="115">
        <f>IF(코드설정!$B11="","",코드설정!$B11)</f>
        <v/>
      </c>
      <c r="C29" s="129">
        <f>IF($B29="","",COUNTIFS(업무일지!$B$5:$B$1004,"&gt;="&amp;DATE($B$3,1,1),업무일지!$B$5:$B$1004,"&lt;"&amp;DATE($B$3+1,1,1),업무일지!$E$5:$E$1004,$B29))</f>
        <v/>
      </c>
      <c r="D29" s="116">
        <f>IFERROR(C29/$C$40,0)</f>
        <v/>
      </c>
      <c r="E29" s="129">
        <f>IF($B29="","",SUMIFS(업무일지!$Z$5:$Z$1004,업무일지!$B$5:$B$1004,"&gt;="&amp;DATE($B$3,1,1),업무일지!$B$5:$B$1004,"&lt;"&amp;DATE($B$3+1,1,1),업무일지!$E$5:$E$1004,$B29))</f>
        <v/>
      </c>
      <c r="F29" s="129">
        <f>IF($B29="","",SUMIFS(업무일지!$AD$5:$AD$1004,업무일지!$B$5:$B$1004,"&gt;="&amp;DATE($B$3,1,1),업무일지!$B$5:$B$1004,"&lt;"&amp;DATE($B$3+1,1,1),업무일지!$E$5:$E$1004,$B29))</f>
        <v/>
      </c>
      <c r="G29" s="25">
        <f>IF($B29="","",SUMIFS(업무일지!$AE$5:$AE$1004,업무일지!$B$5:$B$1004,"&gt;="&amp;DATE($B$3,1,1),업무일지!$B$5:$B$1004,"&lt;"&amp;DATE($B$3+1,1,1),업무일지!$E$5:$E$1004,$B29))</f>
        <v/>
      </c>
      <c r="H29" s="57">
        <f>IFERROR(SUMIFS(업무일지!$AF$5:$AF$1004,업무일지!$B$5:$B$1004,"&gt;="&amp;DATE($B$3,1,1),업무일지!$B$5:$B$1004,"&lt;"&amp;DATE($B$3+1,1,1),업무일지!$E$5:$E$1004,$B29)/C29,0)</f>
        <v/>
      </c>
    </row>
    <row r="30">
      <c r="A30" s="107">
        <f>IF(코드설정!$A12="","",코드설정!$A12)</f>
        <v/>
      </c>
      <c r="B30" s="115">
        <f>IF(코드설정!$B12="","",코드설정!$B12)</f>
        <v/>
      </c>
      <c r="C30" s="129">
        <f>IF($B30="","",COUNTIFS(업무일지!$B$5:$B$1004,"&gt;="&amp;DATE($B$3,1,1),업무일지!$B$5:$B$1004,"&lt;"&amp;DATE($B$3+1,1,1),업무일지!$E$5:$E$1004,$B30))</f>
        <v/>
      </c>
      <c r="D30" s="116">
        <f>IFERROR(C30/$C$40,0)</f>
        <v/>
      </c>
      <c r="E30" s="129">
        <f>IF($B30="","",SUMIFS(업무일지!$Z$5:$Z$1004,업무일지!$B$5:$B$1004,"&gt;="&amp;DATE($B$3,1,1),업무일지!$B$5:$B$1004,"&lt;"&amp;DATE($B$3+1,1,1),업무일지!$E$5:$E$1004,$B30))</f>
        <v/>
      </c>
      <c r="F30" s="129">
        <f>IF($B30="","",SUMIFS(업무일지!$AD$5:$AD$1004,업무일지!$B$5:$B$1004,"&gt;="&amp;DATE($B$3,1,1),업무일지!$B$5:$B$1004,"&lt;"&amp;DATE($B$3+1,1,1),업무일지!$E$5:$E$1004,$B30))</f>
        <v/>
      </c>
      <c r="G30" s="25">
        <f>IF($B30="","",SUMIFS(업무일지!$AE$5:$AE$1004,업무일지!$B$5:$B$1004,"&gt;="&amp;DATE($B$3,1,1),업무일지!$B$5:$B$1004,"&lt;"&amp;DATE($B$3+1,1,1),업무일지!$E$5:$E$1004,$B30))</f>
        <v/>
      </c>
      <c r="H30" s="57">
        <f>IFERROR(SUMIFS(업무일지!$AF$5:$AF$1004,업무일지!$B$5:$B$1004,"&gt;="&amp;DATE($B$3,1,1),업무일지!$B$5:$B$1004,"&lt;"&amp;DATE($B$3+1,1,1),업무일지!$E$5:$E$1004,$B30)/C30,0)</f>
        <v/>
      </c>
    </row>
    <row r="31">
      <c r="A31" s="107">
        <f>IF(코드설정!$A13="","",코드설정!$A13)</f>
        <v/>
      </c>
      <c r="B31" s="115">
        <f>IF(코드설정!$B13="","",코드설정!$B13)</f>
        <v/>
      </c>
      <c r="C31" s="129">
        <f>IF($B31="","",COUNTIFS(업무일지!$B$5:$B$1004,"&gt;="&amp;DATE($B$3,1,1),업무일지!$B$5:$B$1004,"&lt;"&amp;DATE($B$3+1,1,1),업무일지!$E$5:$E$1004,$B31))</f>
        <v/>
      </c>
      <c r="D31" s="116">
        <f>IFERROR(C31/$C$40,0)</f>
        <v/>
      </c>
      <c r="E31" s="129">
        <f>IF($B31="","",SUMIFS(업무일지!$Z$5:$Z$1004,업무일지!$B$5:$B$1004,"&gt;="&amp;DATE($B$3,1,1),업무일지!$B$5:$B$1004,"&lt;"&amp;DATE($B$3+1,1,1),업무일지!$E$5:$E$1004,$B31))</f>
        <v/>
      </c>
      <c r="F31" s="129">
        <f>IF($B31="","",SUMIFS(업무일지!$AD$5:$AD$1004,업무일지!$B$5:$B$1004,"&gt;="&amp;DATE($B$3,1,1),업무일지!$B$5:$B$1004,"&lt;"&amp;DATE($B$3+1,1,1),업무일지!$E$5:$E$1004,$B31))</f>
        <v/>
      </c>
      <c r="G31" s="25">
        <f>IF($B31="","",SUMIFS(업무일지!$AE$5:$AE$1004,업무일지!$B$5:$B$1004,"&gt;="&amp;DATE($B$3,1,1),업무일지!$B$5:$B$1004,"&lt;"&amp;DATE($B$3+1,1,1),업무일지!$E$5:$E$1004,$B31))</f>
        <v/>
      </c>
      <c r="H31" s="57">
        <f>IFERROR(SUMIFS(업무일지!$AF$5:$AF$1004,업무일지!$B$5:$B$1004,"&gt;="&amp;DATE($B$3,1,1),업무일지!$B$5:$B$1004,"&lt;"&amp;DATE($B$3+1,1,1),업무일지!$E$5:$E$1004,$B31)/C31,0)</f>
        <v/>
      </c>
    </row>
    <row r="32">
      <c r="A32" s="107">
        <f>IF(코드설정!$A14="","",코드설정!$A14)</f>
        <v/>
      </c>
      <c r="B32" s="115">
        <f>IF(코드설정!$B14="","",코드설정!$B14)</f>
        <v/>
      </c>
      <c r="C32" s="129">
        <f>IF($B32="","",COUNTIFS(업무일지!$B$5:$B$1004,"&gt;="&amp;DATE($B$3,1,1),업무일지!$B$5:$B$1004,"&lt;"&amp;DATE($B$3+1,1,1),업무일지!$E$5:$E$1004,$B32))</f>
        <v/>
      </c>
      <c r="D32" s="116">
        <f>IFERROR(C32/$C$40,0)</f>
        <v/>
      </c>
      <c r="E32" s="129">
        <f>IF($B32="","",SUMIFS(업무일지!$Z$5:$Z$1004,업무일지!$B$5:$B$1004,"&gt;="&amp;DATE($B$3,1,1),업무일지!$B$5:$B$1004,"&lt;"&amp;DATE($B$3+1,1,1),업무일지!$E$5:$E$1004,$B32))</f>
        <v/>
      </c>
      <c r="F32" s="129">
        <f>IF($B32="","",SUMIFS(업무일지!$AD$5:$AD$1004,업무일지!$B$5:$B$1004,"&gt;="&amp;DATE($B$3,1,1),업무일지!$B$5:$B$1004,"&lt;"&amp;DATE($B$3+1,1,1),업무일지!$E$5:$E$1004,$B32))</f>
        <v/>
      </c>
      <c r="G32" s="25">
        <f>IF($B32="","",SUMIFS(업무일지!$AE$5:$AE$1004,업무일지!$B$5:$B$1004,"&gt;="&amp;DATE($B$3,1,1),업무일지!$B$5:$B$1004,"&lt;"&amp;DATE($B$3+1,1,1),업무일지!$E$5:$E$1004,$B32))</f>
        <v/>
      </c>
      <c r="H32" s="57">
        <f>IFERROR(SUMIFS(업무일지!$AF$5:$AF$1004,업무일지!$B$5:$B$1004,"&gt;="&amp;DATE($B$3,1,1),업무일지!$B$5:$B$1004,"&lt;"&amp;DATE($B$3+1,1,1),업무일지!$E$5:$E$1004,$B32)/C32,0)</f>
        <v/>
      </c>
    </row>
    <row r="33">
      <c r="A33" s="107">
        <f>IF(코드설정!$A15="","",코드설정!$A15)</f>
        <v/>
      </c>
      <c r="B33" s="115">
        <f>IF(코드설정!$B15="","",코드설정!$B15)</f>
        <v/>
      </c>
      <c r="C33" s="129">
        <f>IF($B33="","",COUNTIFS(업무일지!$B$5:$B$1004,"&gt;="&amp;DATE($B$3,1,1),업무일지!$B$5:$B$1004,"&lt;"&amp;DATE($B$3+1,1,1),업무일지!$E$5:$E$1004,$B33))</f>
        <v/>
      </c>
      <c r="D33" s="116">
        <f>IFERROR(C33/$C$40,0)</f>
        <v/>
      </c>
      <c r="E33" s="129">
        <f>IF($B33="","",SUMIFS(업무일지!$Z$5:$Z$1004,업무일지!$B$5:$B$1004,"&gt;="&amp;DATE($B$3,1,1),업무일지!$B$5:$B$1004,"&lt;"&amp;DATE($B$3+1,1,1),업무일지!$E$5:$E$1004,$B33))</f>
        <v/>
      </c>
      <c r="F33" s="129">
        <f>IF($B33="","",SUMIFS(업무일지!$AD$5:$AD$1004,업무일지!$B$5:$B$1004,"&gt;="&amp;DATE($B$3,1,1),업무일지!$B$5:$B$1004,"&lt;"&amp;DATE($B$3+1,1,1),업무일지!$E$5:$E$1004,$B33))</f>
        <v/>
      </c>
      <c r="G33" s="25">
        <f>IF($B33="","",SUMIFS(업무일지!$AE$5:$AE$1004,업무일지!$B$5:$B$1004,"&gt;="&amp;DATE($B$3,1,1),업무일지!$B$5:$B$1004,"&lt;"&amp;DATE($B$3+1,1,1),업무일지!$E$5:$E$1004,$B33))</f>
        <v/>
      </c>
      <c r="H33" s="57">
        <f>IFERROR(SUMIFS(업무일지!$AF$5:$AF$1004,업무일지!$B$5:$B$1004,"&gt;="&amp;DATE($B$3,1,1),업무일지!$B$5:$B$1004,"&lt;"&amp;DATE($B$3+1,1,1),업무일지!$E$5:$E$1004,$B33)/C33,0)</f>
        <v/>
      </c>
    </row>
    <row r="34">
      <c r="A34" s="107">
        <f>IF(코드설정!$A16="","",코드설정!$A16)</f>
        <v/>
      </c>
      <c r="B34" s="115">
        <f>IF(코드설정!$B16="","",코드설정!$B16)</f>
        <v/>
      </c>
      <c r="C34" s="129">
        <f>IF($B34="","",COUNTIFS(업무일지!$B$5:$B$1004,"&gt;="&amp;DATE($B$3,1,1),업무일지!$B$5:$B$1004,"&lt;"&amp;DATE($B$3+1,1,1),업무일지!$E$5:$E$1004,$B34))</f>
        <v/>
      </c>
      <c r="D34" s="116">
        <f>IFERROR(C34/$C$40,0)</f>
        <v/>
      </c>
      <c r="E34" s="129">
        <f>IF($B34="","",SUMIFS(업무일지!$Z$5:$Z$1004,업무일지!$B$5:$B$1004,"&gt;="&amp;DATE($B$3,1,1),업무일지!$B$5:$B$1004,"&lt;"&amp;DATE($B$3+1,1,1),업무일지!$E$5:$E$1004,$B34))</f>
        <v/>
      </c>
      <c r="F34" s="129">
        <f>IF($B34="","",SUMIFS(업무일지!$AD$5:$AD$1004,업무일지!$B$5:$B$1004,"&gt;="&amp;DATE($B$3,1,1),업무일지!$B$5:$B$1004,"&lt;"&amp;DATE($B$3+1,1,1),업무일지!$E$5:$E$1004,$B34))</f>
        <v/>
      </c>
      <c r="G34" s="25">
        <f>IF($B34="","",SUMIFS(업무일지!$AE$5:$AE$1004,업무일지!$B$5:$B$1004,"&gt;="&amp;DATE($B$3,1,1),업무일지!$B$5:$B$1004,"&lt;"&amp;DATE($B$3+1,1,1),업무일지!$E$5:$E$1004,$B34))</f>
        <v/>
      </c>
      <c r="H34" s="57">
        <f>IFERROR(SUMIFS(업무일지!$AF$5:$AF$1004,업무일지!$B$5:$B$1004,"&gt;="&amp;DATE($B$3,1,1),업무일지!$B$5:$B$1004,"&lt;"&amp;DATE($B$3+1,1,1),업무일지!$E$5:$E$1004,$B34)/C34,0)</f>
        <v/>
      </c>
    </row>
    <row r="35">
      <c r="A35" s="107">
        <f>IF(코드설정!$A17="","",코드설정!$A17)</f>
        <v/>
      </c>
      <c r="B35" s="115">
        <f>IF(코드설정!$B17="","",코드설정!$B17)</f>
        <v/>
      </c>
      <c r="C35" s="129">
        <f>IF($B35="","",COUNTIFS(업무일지!$B$5:$B$1004,"&gt;="&amp;DATE($B$3,1,1),업무일지!$B$5:$B$1004,"&lt;"&amp;DATE($B$3+1,1,1),업무일지!$E$5:$E$1004,$B35))</f>
        <v/>
      </c>
      <c r="D35" s="116">
        <f>IFERROR(C35/$C$40,0)</f>
        <v/>
      </c>
      <c r="E35" s="129">
        <f>IF($B35="","",SUMIFS(업무일지!$Z$5:$Z$1004,업무일지!$B$5:$B$1004,"&gt;="&amp;DATE($B$3,1,1),업무일지!$B$5:$B$1004,"&lt;"&amp;DATE($B$3+1,1,1),업무일지!$E$5:$E$1004,$B35))</f>
        <v/>
      </c>
      <c r="F35" s="129">
        <f>IF($B35="","",SUMIFS(업무일지!$AD$5:$AD$1004,업무일지!$B$5:$B$1004,"&gt;="&amp;DATE($B$3,1,1),업무일지!$B$5:$B$1004,"&lt;"&amp;DATE($B$3+1,1,1),업무일지!$E$5:$E$1004,$B35))</f>
        <v/>
      </c>
      <c r="G35" s="25">
        <f>IF($B35="","",SUMIFS(업무일지!$AE$5:$AE$1004,업무일지!$B$5:$B$1004,"&gt;="&amp;DATE($B$3,1,1),업무일지!$B$5:$B$1004,"&lt;"&amp;DATE($B$3+1,1,1),업무일지!$E$5:$E$1004,$B35))</f>
        <v/>
      </c>
      <c r="H35" s="57">
        <f>IFERROR(SUMIFS(업무일지!$AF$5:$AF$1004,업무일지!$B$5:$B$1004,"&gt;="&amp;DATE($B$3,1,1),업무일지!$B$5:$B$1004,"&lt;"&amp;DATE($B$3+1,1,1),업무일지!$E$5:$E$1004,$B35)/C35,0)</f>
        <v/>
      </c>
    </row>
    <row r="36">
      <c r="A36" s="107">
        <f>IF(코드설정!$A18="","",코드설정!$A18)</f>
        <v/>
      </c>
      <c r="B36" s="115">
        <f>IF(코드설정!$B18="","",코드설정!$B18)</f>
        <v/>
      </c>
      <c r="C36" s="129">
        <f>IF($B36="","",COUNTIFS(업무일지!$B$5:$B$1004,"&gt;="&amp;DATE($B$3,1,1),업무일지!$B$5:$B$1004,"&lt;"&amp;DATE($B$3+1,1,1),업무일지!$E$5:$E$1004,$B36))</f>
        <v/>
      </c>
      <c r="D36" s="116">
        <f>IFERROR(C36/$C$40,0)</f>
        <v/>
      </c>
      <c r="E36" s="129">
        <f>IF($B36="","",SUMIFS(업무일지!$Z$5:$Z$1004,업무일지!$B$5:$B$1004,"&gt;="&amp;DATE($B$3,1,1),업무일지!$B$5:$B$1004,"&lt;"&amp;DATE($B$3+1,1,1),업무일지!$E$5:$E$1004,$B36))</f>
        <v/>
      </c>
      <c r="F36" s="129">
        <f>IF($B36="","",SUMIFS(업무일지!$AD$5:$AD$1004,업무일지!$B$5:$B$1004,"&gt;="&amp;DATE($B$3,1,1),업무일지!$B$5:$B$1004,"&lt;"&amp;DATE($B$3+1,1,1),업무일지!$E$5:$E$1004,$B36))</f>
        <v/>
      </c>
      <c r="G36" s="25">
        <f>IF($B36="","",SUMIFS(업무일지!$AE$5:$AE$1004,업무일지!$B$5:$B$1004,"&gt;="&amp;DATE($B$3,1,1),업무일지!$B$5:$B$1004,"&lt;"&amp;DATE($B$3+1,1,1),업무일지!$E$5:$E$1004,$B36))</f>
        <v/>
      </c>
      <c r="H36" s="57">
        <f>IFERROR(SUMIFS(업무일지!$AF$5:$AF$1004,업무일지!$B$5:$B$1004,"&gt;="&amp;DATE($B$3,1,1),업무일지!$B$5:$B$1004,"&lt;"&amp;DATE($B$3+1,1,1),업무일지!$E$5:$E$1004,$B36)/C36,0)</f>
        <v/>
      </c>
    </row>
    <row r="37">
      <c r="A37" s="107">
        <f>IF(코드설정!$A19="","",코드설정!$A19)</f>
        <v/>
      </c>
      <c r="B37" s="115">
        <f>IF(코드설정!$B19="","",코드설정!$B19)</f>
        <v/>
      </c>
      <c r="C37" s="129">
        <f>IF($B37="","",COUNTIFS(업무일지!$B$5:$B$1004,"&gt;="&amp;DATE($B$3,1,1),업무일지!$B$5:$B$1004,"&lt;"&amp;DATE($B$3+1,1,1),업무일지!$E$5:$E$1004,$B37))</f>
        <v/>
      </c>
      <c r="D37" s="116">
        <f>IFERROR(C37/$C$40,0)</f>
        <v/>
      </c>
      <c r="E37" s="129">
        <f>IF($B37="","",SUMIFS(업무일지!$Z$5:$Z$1004,업무일지!$B$5:$B$1004,"&gt;="&amp;DATE($B$3,1,1),업무일지!$B$5:$B$1004,"&lt;"&amp;DATE($B$3+1,1,1),업무일지!$E$5:$E$1004,$B37))</f>
        <v/>
      </c>
      <c r="F37" s="129">
        <f>IF($B37="","",SUMIFS(업무일지!$AD$5:$AD$1004,업무일지!$B$5:$B$1004,"&gt;="&amp;DATE($B$3,1,1),업무일지!$B$5:$B$1004,"&lt;"&amp;DATE($B$3+1,1,1),업무일지!$E$5:$E$1004,$B37))</f>
        <v/>
      </c>
      <c r="G37" s="25">
        <f>IF($B37="","",SUMIFS(업무일지!$AE$5:$AE$1004,업무일지!$B$5:$B$1004,"&gt;="&amp;DATE($B$3,1,1),업무일지!$B$5:$B$1004,"&lt;"&amp;DATE($B$3+1,1,1),업무일지!$E$5:$E$1004,$B37))</f>
        <v/>
      </c>
      <c r="H37" s="57">
        <f>IFERROR(SUMIFS(업무일지!$AF$5:$AF$1004,업무일지!$B$5:$B$1004,"&gt;="&amp;DATE($B$3,1,1),업무일지!$B$5:$B$1004,"&lt;"&amp;DATE($B$3+1,1,1),업무일지!$E$5:$E$1004,$B37)/C37,0)</f>
        <v/>
      </c>
    </row>
    <row r="38">
      <c r="A38" s="107">
        <f>IF(코드설정!$A20="","",코드설정!$A20)</f>
        <v/>
      </c>
      <c r="B38" s="115">
        <f>IF(코드설정!$B20="","",코드설정!$B20)</f>
        <v/>
      </c>
      <c r="C38" s="129">
        <f>IF($B38="","",COUNTIFS(업무일지!$B$5:$B$1004,"&gt;="&amp;DATE($B$3,1,1),업무일지!$B$5:$B$1004,"&lt;"&amp;DATE($B$3+1,1,1),업무일지!$E$5:$E$1004,$B38))</f>
        <v/>
      </c>
      <c r="D38" s="116">
        <f>IFERROR(C38/$C$40,0)</f>
        <v/>
      </c>
      <c r="E38" s="129">
        <f>IF($B38="","",SUMIFS(업무일지!$Z$5:$Z$1004,업무일지!$B$5:$B$1004,"&gt;="&amp;DATE($B$3,1,1),업무일지!$B$5:$B$1004,"&lt;"&amp;DATE($B$3+1,1,1),업무일지!$E$5:$E$1004,$B38))</f>
        <v/>
      </c>
      <c r="F38" s="129">
        <f>IF($B38="","",SUMIFS(업무일지!$AD$5:$AD$1004,업무일지!$B$5:$B$1004,"&gt;="&amp;DATE($B$3,1,1),업무일지!$B$5:$B$1004,"&lt;"&amp;DATE($B$3+1,1,1),업무일지!$E$5:$E$1004,$B38))</f>
        <v/>
      </c>
      <c r="G38" s="25">
        <f>IF($B38="","",SUMIFS(업무일지!$AE$5:$AE$1004,업무일지!$B$5:$B$1004,"&gt;="&amp;DATE($B$3,1,1),업무일지!$B$5:$B$1004,"&lt;"&amp;DATE($B$3+1,1,1),업무일지!$E$5:$E$1004,$B38))</f>
        <v/>
      </c>
      <c r="H38" s="57">
        <f>IFERROR(SUMIFS(업무일지!$AF$5:$AF$1004,업무일지!$B$5:$B$1004,"&gt;="&amp;DATE($B$3,1,1),업무일지!$B$5:$B$1004,"&lt;"&amp;DATE($B$3+1,1,1),업무일지!$E$5:$E$1004,$B38)/C38,0)</f>
        <v/>
      </c>
    </row>
    <row r="39">
      <c r="A39" s="107">
        <f>IF(코드설정!$A21="","",코드설정!$A21)</f>
        <v/>
      </c>
      <c r="B39" s="115">
        <f>IF(코드설정!$B21="","",코드설정!$B21)</f>
        <v/>
      </c>
      <c r="C39" s="129">
        <f>IF($B39="","",COUNTIFS(업무일지!$B$5:$B$1004,"&gt;="&amp;DATE($B$3,1,1),업무일지!$B$5:$B$1004,"&lt;"&amp;DATE($B$3+1,1,1),업무일지!$E$5:$E$1004,$B39))</f>
        <v/>
      </c>
      <c r="D39" s="116">
        <f>IFERROR(C39/$C$40,0)</f>
        <v/>
      </c>
      <c r="E39" s="129">
        <f>IF($B39="","",SUMIFS(업무일지!$Z$5:$Z$1004,업무일지!$B$5:$B$1004,"&gt;="&amp;DATE($B$3,1,1),업무일지!$B$5:$B$1004,"&lt;"&amp;DATE($B$3+1,1,1),업무일지!$E$5:$E$1004,$B39))</f>
        <v/>
      </c>
      <c r="F39" s="129">
        <f>IF($B39="","",SUMIFS(업무일지!$AD$5:$AD$1004,업무일지!$B$5:$B$1004,"&gt;="&amp;DATE($B$3,1,1),업무일지!$B$5:$B$1004,"&lt;"&amp;DATE($B$3+1,1,1),업무일지!$E$5:$E$1004,$B39))</f>
        <v/>
      </c>
      <c r="G39" s="25">
        <f>IF($B39="","",SUMIFS(업무일지!$AE$5:$AE$1004,업무일지!$B$5:$B$1004,"&gt;="&amp;DATE($B$3,1,1),업무일지!$B$5:$B$1004,"&lt;"&amp;DATE($B$3+1,1,1),업무일지!$E$5:$E$1004,$B39))</f>
        <v/>
      </c>
      <c r="H39" s="57">
        <f>IFERROR(SUMIFS(업무일지!$AF$5:$AF$1004,업무일지!$B$5:$B$1004,"&gt;="&amp;DATE($B$3,1,1),업무일지!$B$5:$B$1004,"&lt;"&amp;DATE($B$3+1,1,1),업무일지!$E$5:$E$1004,$B39)/C39,0)</f>
        <v/>
      </c>
    </row>
    <row r="40">
      <c r="A40" s="112" t="inlineStr">
        <is>
          <t>합계</t>
        </is>
      </c>
      <c r="B40" s="112" t="inlineStr"/>
      <c r="C40" s="113">
        <f>SUM(C23:C39)</f>
        <v/>
      </c>
      <c r="D40" s="143">
        <f>IFERROR(C40/$C$40,0)</f>
        <v/>
      </c>
      <c r="E40" s="113">
        <f>SUM(E23:E39)</f>
        <v/>
      </c>
      <c r="F40" s="113">
        <f>SUM(F23:F39)</f>
        <v/>
      </c>
      <c r="G40" s="29">
        <f>SUM(G23:G39)</f>
        <v/>
      </c>
      <c r="H40" s="59">
        <f>IFERROR(SUMIFS(업무일지!$AF$5:$AF$1004,업무일지!$B$5:$B$1004,"&gt;="&amp;DATE($B$3,1,1),업무일지!$B$5:$B$1004,"&lt;"&amp;DATE($B$3+1,1,1))/C40,0)</f>
        <v/>
      </c>
    </row>
    <row r="42" ht="20" customHeight="1">
      <c r="A42" s="21" t="inlineStr">
        <is>
          <t>3.  팀별 현황 (연간 누계)   ※ 주담당자의 소속팀 기준 / 회차 = 줄 수, 사건 = 고유 사건 수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32" customHeight="1">
      <c r="A43" s="23" t="inlineStr">
        <is>
          <t>소속팀</t>
        </is>
      </c>
      <c r="B43" s="23" t="inlineStr">
        <is>
          <t>출장 회차</t>
        </is>
      </c>
      <c r="C43" s="23" t="inlineStr">
        <is>
          <t>분석 회차</t>
        </is>
      </c>
      <c r="D43" s="23" t="inlineStr">
        <is>
          <t>교육 회차</t>
        </is>
      </c>
      <c r="E43" s="23" t="inlineStr">
        <is>
          <t>전체 회차</t>
        </is>
      </c>
      <c r="F43" s="23" t="inlineStr">
        <is>
          <t>출장 소요일수</t>
        </is>
      </c>
      <c r="G43" s="23" t="inlineStr">
        <is>
          <t>연인원(명)</t>
        </is>
      </c>
      <c r="H43" s="23" t="inlineStr">
        <is>
          <t>대상매체(건)</t>
        </is>
      </c>
      <c r="I43" s="23" t="inlineStr">
        <is>
          <t>진행중</t>
        </is>
      </c>
      <c r="J43" s="23" t="inlineStr">
        <is>
          <t>출장 사건</t>
        </is>
      </c>
      <c r="K43" s="23" t="inlineStr">
        <is>
          <t>분석 사건</t>
        </is>
      </c>
      <c r="L43" s="23" t="inlineStr">
        <is>
          <t>전체 사건</t>
        </is>
      </c>
    </row>
    <row r="44">
      <c r="A44" s="107">
        <f>IF(코드설정!$I5="","",코드설정!$I5)</f>
        <v/>
      </c>
      <c r="B44" s="129">
        <f>IF($A44="","",COUNTIFS(업무일지!$B$5:$B$1004,"&gt;="&amp;DATE($B$3,1,1),업무일지!$B$5:$B$1004,"&lt;"&amp;DATE($B$3+1,1,1),업무일지!$AB$5:$AB$1004,$A44,업무일지!$D$5:$D$1004,"출장"))</f>
        <v/>
      </c>
      <c r="C44" s="129">
        <f>IF($A44="","",COUNTIFS(업무일지!$B$5:$B$1004,"&gt;="&amp;DATE($B$3,1,1),업무일지!$B$5:$B$1004,"&lt;"&amp;DATE($B$3+1,1,1),업무일지!$AB$5:$AB$1004,$A44,업무일지!$D$5:$D$1004,"분석"))</f>
        <v/>
      </c>
      <c r="D44" s="129">
        <f>IF($A44="","",COUNTIFS(업무일지!$B$5:$B$1004,"&gt;="&amp;DATE($B$3,1,1),업무일지!$B$5:$B$1004,"&lt;"&amp;DATE($B$3+1,1,1),업무일지!$AB$5:$AB$1004,$A44,업무일지!$D$5:$D$1004,"교육"))</f>
        <v/>
      </c>
      <c r="E44" s="118">
        <f>IF($A44="","",B44+C44+D44)</f>
        <v/>
      </c>
      <c r="F44" s="129">
        <f>IF($A44="","",SUMIFS(업무일지!$AF$5:$AF$1004,업무일지!$B$5:$B$1004,"&gt;="&amp;DATE($B$3,1,1),업무일지!$B$5:$B$1004,"&lt;"&amp;DATE($B$3+1,1,1),업무일지!$AB$5:$AB$1004,$A44,업무일지!$D$5:$D$1004,"출장"))</f>
        <v/>
      </c>
      <c r="G44" s="129">
        <f>IF($A44="","",SUMIFS(업무일지!$Z$5:$Z$1004,업무일지!$B$5:$B$1004,"&gt;="&amp;DATE($B$3,1,1),업무일지!$B$5:$B$1004,"&lt;"&amp;DATE($B$3+1,1,1),업무일지!$AB$5:$AB$1004,$A44))</f>
        <v/>
      </c>
      <c r="H44" s="129">
        <f>IF($A44="","",SUMIFS(업무일지!$AD$5:$AD$1004,업무일지!$B$5:$B$1004,"&gt;="&amp;DATE($B$3,1,1),업무일지!$B$5:$B$1004,"&lt;"&amp;DATE($B$3+1,1,1),업무일지!$AB$5:$AB$1004,$A44))</f>
        <v/>
      </c>
      <c r="I44" s="129">
        <f>IF($A44="","",COUNTIFS(업무일지!$B$5:$B$1004,"&gt;="&amp;DATE($B$3,1,1),업무일지!$B$5:$B$1004,"&lt;"&amp;DATE($B$3+1,1,1),업무일지!$AB$5:$AB$1004,$A44,업무일지!$AG$5:$AG$1004,"진행중"))</f>
        <v/>
      </c>
      <c r="J44" s="118">
        <f>IF($A$44="","",SUM(BD$85:BD$144))</f>
        <v/>
      </c>
      <c r="K44" s="118">
        <f>IF($A$44="","",SUM(BO$85:BO$144))</f>
        <v/>
      </c>
      <c r="L44" s="118">
        <f>IF($A$44="","",SUM(BZ$85:BZ$144))</f>
        <v/>
      </c>
    </row>
    <row r="45">
      <c r="A45" s="107">
        <f>IF(코드설정!$I6="","",코드설정!$I6)</f>
        <v/>
      </c>
      <c r="B45" s="129">
        <f>IF($A45="","",COUNTIFS(업무일지!$B$5:$B$1004,"&gt;="&amp;DATE($B$3,1,1),업무일지!$B$5:$B$1004,"&lt;"&amp;DATE($B$3+1,1,1),업무일지!$AB$5:$AB$1004,$A45,업무일지!$D$5:$D$1004,"출장"))</f>
        <v/>
      </c>
      <c r="C45" s="129">
        <f>IF($A45="","",COUNTIFS(업무일지!$B$5:$B$1004,"&gt;="&amp;DATE($B$3,1,1),업무일지!$B$5:$B$1004,"&lt;"&amp;DATE($B$3+1,1,1),업무일지!$AB$5:$AB$1004,$A45,업무일지!$D$5:$D$1004,"분석"))</f>
        <v/>
      </c>
      <c r="D45" s="129">
        <f>IF($A45="","",COUNTIFS(업무일지!$B$5:$B$1004,"&gt;="&amp;DATE($B$3,1,1),업무일지!$B$5:$B$1004,"&lt;"&amp;DATE($B$3+1,1,1),업무일지!$AB$5:$AB$1004,$A45,업무일지!$D$5:$D$1004,"교육"))</f>
        <v/>
      </c>
      <c r="E45" s="118">
        <f>IF($A45="","",B45+C45+D45)</f>
        <v/>
      </c>
      <c r="F45" s="129">
        <f>IF($A45="","",SUMIFS(업무일지!$AF$5:$AF$1004,업무일지!$B$5:$B$1004,"&gt;="&amp;DATE($B$3,1,1),업무일지!$B$5:$B$1004,"&lt;"&amp;DATE($B$3+1,1,1),업무일지!$AB$5:$AB$1004,$A45,업무일지!$D$5:$D$1004,"출장"))</f>
        <v/>
      </c>
      <c r="G45" s="129">
        <f>IF($A45="","",SUMIFS(업무일지!$Z$5:$Z$1004,업무일지!$B$5:$B$1004,"&gt;="&amp;DATE($B$3,1,1),업무일지!$B$5:$B$1004,"&lt;"&amp;DATE($B$3+1,1,1),업무일지!$AB$5:$AB$1004,$A45))</f>
        <v/>
      </c>
      <c r="H45" s="129">
        <f>IF($A45="","",SUMIFS(업무일지!$AD$5:$AD$1004,업무일지!$B$5:$B$1004,"&gt;="&amp;DATE($B$3,1,1),업무일지!$B$5:$B$1004,"&lt;"&amp;DATE($B$3+1,1,1),업무일지!$AB$5:$AB$1004,$A45))</f>
        <v/>
      </c>
      <c r="I45" s="129">
        <f>IF($A45="","",COUNTIFS(업무일지!$B$5:$B$1004,"&gt;="&amp;DATE($B$3,1,1),업무일지!$B$5:$B$1004,"&lt;"&amp;DATE($B$3+1,1,1),업무일지!$AB$5:$AB$1004,$A45,업무일지!$AG$5:$AG$1004,"진행중"))</f>
        <v/>
      </c>
      <c r="J45" s="118">
        <f>IF($A$45="","",SUM(BE$85:BE$144))</f>
        <v/>
      </c>
      <c r="K45" s="118">
        <f>IF($A$45="","",SUM(BP$85:BP$144))</f>
        <v/>
      </c>
      <c r="L45" s="118">
        <f>IF($A$45="","",SUM(CA$85:CA$144))</f>
        <v/>
      </c>
    </row>
    <row r="46">
      <c r="A46" s="107">
        <f>IF(코드설정!$I7="","",코드설정!$I7)</f>
        <v/>
      </c>
      <c r="B46" s="129">
        <f>IF($A46="","",COUNTIFS(업무일지!$B$5:$B$1004,"&gt;="&amp;DATE($B$3,1,1),업무일지!$B$5:$B$1004,"&lt;"&amp;DATE($B$3+1,1,1),업무일지!$AB$5:$AB$1004,$A46,업무일지!$D$5:$D$1004,"출장"))</f>
        <v/>
      </c>
      <c r="C46" s="129">
        <f>IF($A46="","",COUNTIFS(업무일지!$B$5:$B$1004,"&gt;="&amp;DATE($B$3,1,1),업무일지!$B$5:$B$1004,"&lt;"&amp;DATE($B$3+1,1,1),업무일지!$AB$5:$AB$1004,$A46,업무일지!$D$5:$D$1004,"분석"))</f>
        <v/>
      </c>
      <c r="D46" s="129">
        <f>IF($A46="","",COUNTIFS(업무일지!$B$5:$B$1004,"&gt;="&amp;DATE($B$3,1,1),업무일지!$B$5:$B$1004,"&lt;"&amp;DATE($B$3+1,1,1),업무일지!$AB$5:$AB$1004,$A46,업무일지!$D$5:$D$1004,"교육"))</f>
        <v/>
      </c>
      <c r="E46" s="118">
        <f>IF($A46="","",B46+C46+D46)</f>
        <v/>
      </c>
      <c r="F46" s="129">
        <f>IF($A46="","",SUMIFS(업무일지!$AF$5:$AF$1004,업무일지!$B$5:$B$1004,"&gt;="&amp;DATE($B$3,1,1),업무일지!$B$5:$B$1004,"&lt;"&amp;DATE($B$3+1,1,1),업무일지!$AB$5:$AB$1004,$A46,업무일지!$D$5:$D$1004,"출장"))</f>
        <v/>
      </c>
      <c r="G46" s="129">
        <f>IF($A46="","",SUMIFS(업무일지!$Z$5:$Z$1004,업무일지!$B$5:$B$1004,"&gt;="&amp;DATE($B$3,1,1),업무일지!$B$5:$B$1004,"&lt;"&amp;DATE($B$3+1,1,1),업무일지!$AB$5:$AB$1004,$A46))</f>
        <v/>
      </c>
      <c r="H46" s="129">
        <f>IF($A46="","",SUMIFS(업무일지!$AD$5:$AD$1004,업무일지!$B$5:$B$1004,"&gt;="&amp;DATE($B$3,1,1),업무일지!$B$5:$B$1004,"&lt;"&amp;DATE($B$3+1,1,1),업무일지!$AB$5:$AB$1004,$A46))</f>
        <v/>
      </c>
      <c r="I46" s="129">
        <f>IF($A46="","",COUNTIFS(업무일지!$B$5:$B$1004,"&gt;="&amp;DATE($B$3,1,1),업무일지!$B$5:$B$1004,"&lt;"&amp;DATE($B$3+1,1,1),업무일지!$AB$5:$AB$1004,$A46,업무일지!$AG$5:$AG$1004,"진행중"))</f>
        <v/>
      </c>
      <c r="J46" s="118">
        <f>IF($A$46="","",SUM(BF$85:BF$144))</f>
        <v/>
      </c>
      <c r="K46" s="118">
        <f>IF($A$46="","",SUM(BQ$85:BQ$144))</f>
        <v/>
      </c>
      <c r="L46" s="118">
        <f>IF($A$46="","",SUM(CB$85:CB$144))</f>
        <v/>
      </c>
    </row>
    <row r="47">
      <c r="A47" s="107">
        <f>IF(코드설정!$I8="","",코드설정!$I8)</f>
        <v/>
      </c>
      <c r="B47" s="129">
        <f>IF($A47="","",COUNTIFS(업무일지!$B$5:$B$1004,"&gt;="&amp;DATE($B$3,1,1),업무일지!$B$5:$B$1004,"&lt;"&amp;DATE($B$3+1,1,1),업무일지!$AB$5:$AB$1004,$A47,업무일지!$D$5:$D$1004,"출장"))</f>
        <v/>
      </c>
      <c r="C47" s="129">
        <f>IF($A47="","",COUNTIFS(업무일지!$B$5:$B$1004,"&gt;="&amp;DATE($B$3,1,1),업무일지!$B$5:$B$1004,"&lt;"&amp;DATE($B$3+1,1,1),업무일지!$AB$5:$AB$1004,$A47,업무일지!$D$5:$D$1004,"분석"))</f>
        <v/>
      </c>
      <c r="D47" s="129">
        <f>IF($A47="","",COUNTIFS(업무일지!$B$5:$B$1004,"&gt;="&amp;DATE($B$3,1,1),업무일지!$B$5:$B$1004,"&lt;"&amp;DATE($B$3+1,1,1),업무일지!$AB$5:$AB$1004,$A47,업무일지!$D$5:$D$1004,"교육"))</f>
        <v/>
      </c>
      <c r="E47" s="118">
        <f>IF($A47="","",B47+C47+D47)</f>
        <v/>
      </c>
      <c r="F47" s="129">
        <f>IF($A47="","",SUMIFS(업무일지!$AF$5:$AF$1004,업무일지!$B$5:$B$1004,"&gt;="&amp;DATE($B$3,1,1),업무일지!$B$5:$B$1004,"&lt;"&amp;DATE($B$3+1,1,1),업무일지!$AB$5:$AB$1004,$A47,업무일지!$D$5:$D$1004,"출장"))</f>
        <v/>
      </c>
      <c r="G47" s="129">
        <f>IF($A47="","",SUMIFS(업무일지!$Z$5:$Z$1004,업무일지!$B$5:$B$1004,"&gt;="&amp;DATE($B$3,1,1),업무일지!$B$5:$B$1004,"&lt;"&amp;DATE($B$3+1,1,1),업무일지!$AB$5:$AB$1004,$A47))</f>
        <v/>
      </c>
      <c r="H47" s="129">
        <f>IF($A47="","",SUMIFS(업무일지!$AD$5:$AD$1004,업무일지!$B$5:$B$1004,"&gt;="&amp;DATE($B$3,1,1),업무일지!$B$5:$B$1004,"&lt;"&amp;DATE($B$3+1,1,1),업무일지!$AB$5:$AB$1004,$A47))</f>
        <v/>
      </c>
      <c r="I47" s="129">
        <f>IF($A47="","",COUNTIFS(업무일지!$B$5:$B$1004,"&gt;="&amp;DATE($B$3,1,1),업무일지!$B$5:$B$1004,"&lt;"&amp;DATE($B$3+1,1,1),업무일지!$AB$5:$AB$1004,$A47,업무일지!$AG$5:$AG$1004,"진행중"))</f>
        <v/>
      </c>
      <c r="J47" s="118">
        <f>IF($A$47="","",SUM(BG$85:BG$144))</f>
        <v/>
      </c>
      <c r="K47" s="118">
        <f>IF($A$47="","",SUM(BR$85:BR$144))</f>
        <v/>
      </c>
      <c r="L47" s="118">
        <f>IF($A$47="","",SUM(CC$85:CC$144))</f>
        <v/>
      </c>
    </row>
    <row r="48">
      <c r="A48" s="107">
        <f>IF(코드설정!$I9="","",코드설정!$I9)</f>
        <v/>
      </c>
      <c r="B48" s="129">
        <f>IF($A48="","",COUNTIFS(업무일지!$B$5:$B$1004,"&gt;="&amp;DATE($B$3,1,1),업무일지!$B$5:$B$1004,"&lt;"&amp;DATE($B$3+1,1,1),업무일지!$AB$5:$AB$1004,$A48,업무일지!$D$5:$D$1004,"출장"))</f>
        <v/>
      </c>
      <c r="C48" s="129">
        <f>IF($A48="","",COUNTIFS(업무일지!$B$5:$B$1004,"&gt;="&amp;DATE($B$3,1,1),업무일지!$B$5:$B$1004,"&lt;"&amp;DATE($B$3+1,1,1),업무일지!$AB$5:$AB$1004,$A48,업무일지!$D$5:$D$1004,"분석"))</f>
        <v/>
      </c>
      <c r="D48" s="129">
        <f>IF($A48="","",COUNTIFS(업무일지!$B$5:$B$1004,"&gt;="&amp;DATE($B$3,1,1),업무일지!$B$5:$B$1004,"&lt;"&amp;DATE($B$3+1,1,1),업무일지!$AB$5:$AB$1004,$A48,업무일지!$D$5:$D$1004,"교육"))</f>
        <v/>
      </c>
      <c r="E48" s="118">
        <f>IF($A48="","",B48+C48+D48)</f>
        <v/>
      </c>
      <c r="F48" s="129">
        <f>IF($A48="","",SUMIFS(업무일지!$AF$5:$AF$1004,업무일지!$B$5:$B$1004,"&gt;="&amp;DATE($B$3,1,1),업무일지!$B$5:$B$1004,"&lt;"&amp;DATE($B$3+1,1,1),업무일지!$AB$5:$AB$1004,$A48,업무일지!$D$5:$D$1004,"출장"))</f>
        <v/>
      </c>
      <c r="G48" s="129">
        <f>IF($A48="","",SUMIFS(업무일지!$Z$5:$Z$1004,업무일지!$B$5:$B$1004,"&gt;="&amp;DATE($B$3,1,1),업무일지!$B$5:$B$1004,"&lt;"&amp;DATE($B$3+1,1,1),업무일지!$AB$5:$AB$1004,$A48))</f>
        <v/>
      </c>
      <c r="H48" s="129">
        <f>IF($A48="","",SUMIFS(업무일지!$AD$5:$AD$1004,업무일지!$B$5:$B$1004,"&gt;="&amp;DATE($B$3,1,1),업무일지!$B$5:$B$1004,"&lt;"&amp;DATE($B$3+1,1,1),업무일지!$AB$5:$AB$1004,$A48))</f>
        <v/>
      </c>
      <c r="I48" s="129">
        <f>IF($A48="","",COUNTIFS(업무일지!$B$5:$B$1004,"&gt;="&amp;DATE($B$3,1,1),업무일지!$B$5:$B$1004,"&lt;"&amp;DATE($B$3+1,1,1),업무일지!$AB$5:$AB$1004,$A48,업무일지!$AG$5:$AG$1004,"진행중"))</f>
        <v/>
      </c>
      <c r="J48" s="118">
        <f>IF($A$48="","",SUM(BH$85:BH$144))</f>
        <v/>
      </c>
      <c r="K48" s="118">
        <f>IF($A$48="","",SUM(BS$85:BS$144))</f>
        <v/>
      </c>
      <c r="L48" s="118">
        <f>IF($A$48="","",SUM(CD$85:CD$144))</f>
        <v/>
      </c>
    </row>
    <row r="49">
      <c r="A49" s="107">
        <f>IF(코드설정!$I10="","",코드설정!$I10)</f>
        <v/>
      </c>
      <c r="B49" s="129">
        <f>IF($A49="","",COUNTIFS(업무일지!$B$5:$B$1004,"&gt;="&amp;DATE($B$3,1,1),업무일지!$B$5:$B$1004,"&lt;"&amp;DATE($B$3+1,1,1),업무일지!$AB$5:$AB$1004,$A49,업무일지!$D$5:$D$1004,"출장"))</f>
        <v/>
      </c>
      <c r="C49" s="129">
        <f>IF($A49="","",COUNTIFS(업무일지!$B$5:$B$1004,"&gt;="&amp;DATE($B$3,1,1),업무일지!$B$5:$B$1004,"&lt;"&amp;DATE($B$3+1,1,1),업무일지!$AB$5:$AB$1004,$A49,업무일지!$D$5:$D$1004,"분석"))</f>
        <v/>
      </c>
      <c r="D49" s="129">
        <f>IF($A49="","",COUNTIFS(업무일지!$B$5:$B$1004,"&gt;="&amp;DATE($B$3,1,1),업무일지!$B$5:$B$1004,"&lt;"&amp;DATE($B$3+1,1,1),업무일지!$AB$5:$AB$1004,$A49,업무일지!$D$5:$D$1004,"교육"))</f>
        <v/>
      </c>
      <c r="E49" s="118">
        <f>IF($A49="","",B49+C49+D49)</f>
        <v/>
      </c>
      <c r="F49" s="129">
        <f>IF($A49="","",SUMIFS(업무일지!$AF$5:$AF$1004,업무일지!$B$5:$B$1004,"&gt;="&amp;DATE($B$3,1,1),업무일지!$B$5:$B$1004,"&lt;"&amp;DATE($B$3+1,1,1),업무일지!$AB$5:$AB$1004,$A49,업무일지!$D$5:$D$1004,"출장"))</f>
        <v/>
      </c>
      <c r="G49" s="129">
        <f>IF($A49="","",SUMIFS(업무일지!$Z$5:$Z$1004,업무일지!$B$5:$B$1004,"&gt;="&amp;DATE($B$3,1,1),업무일지!$B$5:$B$1004,"&lt;"&amp;DATE($B$3+1,1,1),업무일지!$AB$5:$AB$1004,$A49))</f>
        <v/>
      </c>
      <c r="H49" s="129">
        <f>IF($A49="","",SUMIFS(업무일지!$AD$5:$AD$1004,업무일지!$B$5:$B$1004,"&gt;="&amp;DATE($B$3,1,1),업무일지!$B$5:$B$1004,"&lt;"&amp;DATE($B$3+1,1,1),업무일지!$AB$5:$AB$1004,$A49))</f>
        <v/>
      </c>
      <c r="I49" s="129">
        <f>IF($A49="","",COUNTIFS(업무일지!$B$5:$B$1004,"&gt;="&amp;DATE($B$3,1,1),업무일지!$B$5:$B$1004,"&lt;"&amp;DATE($B$3+1,1,1),업무일지!$AB$5:$AB$1004,$A49,업무일지!$AG$5:$AG$1004,"진행중"))</f>
        <v/>
      </c>
      <c r="J49" s="118">
        <f>IF($A$49="","",SUM(BI$85:BI$144))</f>
        <v/>
      </c>
      <c r="K49" s="118">
        <f>IF($A$49="","",SUM(BT$85:BT$144))</f>
        <v/>
      </c>
      <c r="L49" s="118">
        <f>IF($A$49="","",SUM(CE$85:CE$144))</f>
        <v/>
      </c>
    </row>
    <row r="50">
      <c r="A50" s="107">
        <f>IF(코드설정!$I11="","",코드설정!$I11)</f>
        <v/>
      </c>
      <c r="B50" s="129">
        <f>IF($A50="","",COUNTIFS(업무일지!$B$5:$B$1004,"&gt;="&amp;DATE($B$3,1,1),업무일지!$B$5:$B$1004,"&lt;"&amp;DATE($B$3+1,1,1),업무일지!$AB$5:$AB$1004,$A50,업무일지!$D$5:$D$1004,"출장"))</f>
        <v/>
      </c>
      <c r="C50" s="129">
        <f>IF($A50="","",COUNTIFS(업무일지!$B$5:$B$1004,"&gt;="&amp;DATE($B$3,1,1),업무일지!$B$5:$B$1004,"&lt;"&amp;DATE($B$3+1,1,1),업무일지!$AB$5:$AB$1004,$A50,업무일지!$D$5:$D$1004,"분석"))</f>
        <v/>
      </c>
      <c r="D50" s="129">
        <f>IF($A50="","",COUNTIFS(업무일지!$B$5:$B$1004,"&gt;="&amp;DATE($B$3,1,1),업무일지!$B$5:$B$1004,"&lt;"&amp;DATE($B$3+1,1,1),업무일지!$AB$5:$AB$1004,$A50,업무일지!$D$5:$D$1004,"교육"))</f>
        <v/>
      </c>
      <c r="E50" s="118">
        <f>IF($A50="","",B50+C50+D50)</f>
        <v/>
      </c>
      <c r="F50" s="129">
        <f>IF($A50="","",SUMIFS(업무일지!$AF$5:$AF$1004,업무일지!$B$5:$B$1004,"&gt;="&amp;DATE($B$3,1,1),업무일지!$B$5:$B$1004,"&lt;"&amp;DATE($B$3+1,1,1),업무일지!$AB$5:$AB$1004,$A50,업무일지!$D$5:$D$1004,"출장"))</f>
        <v/>
      </c>
      <c r="G50" s="129">
        <f>IF($A50="","",SUMIFS(업무일지!$Z$5:$Z$1004,업무일지!$B$5:$B$1004,"&gt;="&amp;DATE($B$3,1,1),업무일지!$B$5:$B$1004,"&lt;"&amp;DATE($B$3+1,1,1),업무일지!$AB$5:$AB$1004,$A50))</f>
        <v/>
      </c>
      <c r="H50" s="129">
        <f>IF($A50="","",SUMIFS(업무일지!$AD$5:$AD$1004,업무일지!$B$5:$B$1004,"&gt;="&amp;DATE($B$3,1,1),업무일지!$B$5:$B$1004,"&lt;"&amp;DATE($B$3+1,1,1),업무일지!$AB$5:$AB$1004,$A50))</f>
        <v/>
      </c>
      <c r="I50" s="129">
        <f>IF($A50="","",COUNTIFS(업무일지!$B$5:$B$1004,"&gt;="&amp;DATE($B$3,1,1),업무일지!$B$5:$B$1004,"&lt;"&amp;DATE($B$3+1,1,1),업무일지!$AB$5:$AB$1004,$A50,업무일지!$AG$5:$AG$1004,"진행중"))</f>
        <v/>
      </c>
      <c r="J50" s="118">
        <f>IF($A$50="","",SUM(BJ$85:BJ$144))</f>
        <v/>
      </c>
      <c r="K50" s="118">
        <f>IF($A$50="","",SUM(BU$85:BU$144))</f>
        <v/>
      </c>
      <c r="L50" s="118">
        <f>IF($A$50="","",SUM(CF$85:CF$144))</f>
        <v/>
      </c>
    </row>
    <row r="51">
      <c r="A51" s="107">
        <f>IF(코드설정!$I12="","",코드설정!$I12)</f>
        <v/>
      </c>
      <c r="B51" s="129">
        <f>IF($A51="","",COUNTIFS(업무일지!$B$5:$B$1004,"&gt;="&amp;DATE($B$3,1,1),업무일지!$B$5:$B$1004,"&lt;"&amp;DATE($B$3+1,1,1),업무일지!$AB$5:$AB$1004,$A51,업무일지!$D$5:$D$1004,"출장"))</f>
        <v/>
      </c>
      <c r="C51" s="129">
        <f>IF($A51="","",COUNTIFS(업무일지!$B$5:$B$1004,"&gt;="&amp;DATE($B$3,1,1),업무일지!$B$5:$B$1004,"&lt;"&amp;DATE($B$3+1,1,1),업무일지!$AB$5:$AB$1004,$A51,업무일지!$D$5:$D$1004,"분석"))</f>
        <v/>
      </c>
      <c r="D51" s="129">
        <f>IF($A51="","",COUNTIFS(업무일지!$B$5:$B$1004,"&gt;="&amp;DATE($B$3,1,1),업무일지!$B$5:$B$1004,"&lt;"&amp;DATE($B$3+1,1,1),업무일지!$AB$5:$AB$1004,$A51,업무일지!$D$5:$D$1004,"교육"))</f>
        <v/>
      </c>
      <c r="E51" s="118">
        <f>IF($A51="","",B51+C51+D51)</f>
        <v/>
      </c>
      <c r="F51" s="129">
        <f>IF($A51="","",SUMIFS(업무일지!$AF$5:$AF$1004,업무일지!$B$5:$B$1004,"&gt;="&amp;DATE($B$3,1,1),업무일지!$B$5:$B$1004,"&lt;"&amp;DATE($B$3+1,1,1),업무일지!$AB$5:$AB$1004,$A51,업무일지!$D$5:$D$1004,"출장"))</f>
        <v/>
      </c>
      <c r="G51" s="129">
        <f>IF($A51="","",SUMIFS(업무일지!$Z$5:$Z$1004,업무일지!$B$5:$B$1004,"&gt;="&amp;DATE($B$3,1,1),업무일지!$B$5:$B$1004,"&lt;"&amp;DATE($B$3+1,1,1),업무일지!$AB$5:$AB$1004,$A51))</f>
        <v/>
      </c>
      <c r="H51" s="129">
        <f>IF($A51="","",SUMIFS(업무일지!$AD$5:$AD$1004,업무일지!$B$5:$B$1004,"&gt;="&amp;DATE($B$3,1,1),업무일지!$B$5:$B$1004,"&lt;"&amp;DATE($B$3+1,1,1),업무일지!$AB$5:$AB$1004,$A51))</f>
        <v/>
      </c>
      <c r="I51" s="129">
        <f>IF($A51="","",COUNTIFS(업무일지!$B$5:$B$1004,"&gt;="&amp;DATE($B$3,1,1),업무일지!$B$5:$B$1004,"&lt;"&amp;DATE($B$3+1,1,1),업무일지!$AB$5:$AB$1004,$A51,업무일지!$AG$5:$AG$1004,"진행중"))</f>
        <v/>
      </c>
      <c r="J51" s="118">
        <f>IF($A$51="","",SUM(BK$85:BK$144))</f>
        <v/>
      </c>
      <c r="K51" s="118">
        <f>IF($A$51="","",SUM(BV$85:BV$144))</f>
        <v/>
      </c>
      <c r="L51" s="118">
        <f>IF($A$51="","",SUM(CG$85:CG$144))</f>
        <v/>
      </c>
    </row>
    <row r="52">
      <c r="A52" s="107">
        <f>IF(코드설정!$I13="","",코드설정!$I13)</f>
        <v/>
      </c>
      <c r="B52" s="129">
        <f>IF($A52="","",COUNTIFS(업무일지!$B$5:$B$1004,"&gt;="&amp;DATE($B$3,1,1),업무일지!$B$5:$B$1004,"&lt;"&amp;DATE($B$3+1,1,1),업무일지!$AB$5:$AB$1004,$A52,업무일지!$D$5:$D$1004,"출장"))</f>
        <v/>
      </c>
      <c r="C52" s="129">
        <f>IF($A52="","",COUNTIFS(업무일지!$B$5:$B$1004,"&gt;="&amp;DATE($B$3,1,1),업무일지!$B$5:$B$1004,"&lt;"&amp;DATE($B$3+1,1,1),업무일지!$AB$5:$AB$1004,$A52,업무일지!$D$5:$D$1004,"분석"))</f>
        <v/>
      </c>
      <c r="D52" s="129">
        <f>IF($A52="","",COUNTIFS(업무일지!$B$5:$B$1004,"&gt;="&amp;DATE($B$3,1,1),업무일지!$B$5:$B$1004,"&lt;"&amp;DATE($B$3+1,1,1),업무일지!$AB$5:$AB$1004,$A52,업무일지!$D$5:$D$1004,"교육"))</f>
        <v/>
      </c>
      <c r="E52" s="118">
        <f>IF($A52="","",B52+C52+D52)</f>
        <v/>
      </c>
      <c r="F52" s="129">
        <f>IF($A52="","",SUMIFS(업무일지!$AF$5:$AF$1004,업무일지!$B$5:$B$1004,"&gt;="&amp;DATE($B$3,1,1),업무일지!$B$5:$B$1004,"&lt;"&amp;DATE($B$3+1,1,1),업무일지!$AB$5:$AB$1004,$A52,업무일지!$D$5:$D$1004,"출장"))</f>
        <v/>
      </c>
      <c r="G52" s="129">
        <f>IF($A52="","",SUMIFS(업무일지!$Z$5:$Z$1004,업무일지!$B$5:$B$1004,"&gt;="&amp;DATE($B$3,1,1),업무일지!$B$5:$B$1004,"&lt;"&amp;DATE($B$3+1,1,1),업무일지!$AB$5:$AB$1004,$A52))</f>
        <v/>
      </c>
      <c r="H52" s="129">
        <f>IF($A52="","",SUMIFS(업무일지!$AD$5:$AD$1004,업무일지!$B$5:$B$1004,"&gt;="&amp;DATE($B$3,1,1),업무일지!$B$5:$B$1004,"&lt;"&amp;DATE($B$3+1,1,1),업무일지!$AB$5:$AB$1004,$A52))</f>
        <v/>
      </c>
      <c r="I52" s="129">
        <f>IF($A52="","",COUNTIFS(업무일지!$B$5:$B$1004,"&gt;="&amp;DATE($B$3,1,1),업무일지!$B$5:$B$1004,"&lt;"&amp;DATE($B$3+1,1,1),업무일지!$AB$5:$AB$1004,$A52,업무일지!$AG$5:$AG$1004,"진행중"))</f>
        <v/>
      </c>
      <c r="J52" s="118">
        <f>IF($A$52="","",SUM(BL$85:BL$144))</f>
        <v/>
      </c>
      <c r="K52" s="118">
        <f>IF($A$52="","",SUM(BW$85:BW$144))</f>
        <v/>
      </c>
      <c r="L52" s="118">
        <f>IF($A$52="","",SUM(CH$85:CH$144))</f>
        <v/>
      </c>
    </row>
    <row r="53">
      <c r="A53" s="107">
        <f>IF(코드설정!$I14="","",코드설정!$I14)</f>
        <v/>
      </c>
      <c r="B53" s="129">
        <f>IF($A53="","",COUNTIFS(업무일지!$B$5:$B$1004,"&gt;="&amp;DATE($B$3,1,1),업무일지!$B$5:$B$1004,"&lt;"&amp;DATE($B$3+1,1,1),업무일지!$AB$5:$AB$1004,$A53,업무일지!$D$5:$D$1004,"출장"))</f>
        <v/>
      </c>
      <c r="C53" s="129">
        <f>IF($A53="","",COUNTIFS(업무일지!$B$5:$B$1004,"&gt;="&amp;DATE($B$3,1,1),업무일지!$B$5:$B$1004,"&lt;"&amp;DATE($B$3+1,1,1),업무일지!$AB$5:$AB$1004,$A53,업무일지!$D$5:$D$1004,"분석"))</f>
        <v/>
      </c>
      <c r="D53" s="129">
        <f>IF($A53="","",COUNTIFS(업무일지!$B$5:$B$1004,"&gt;="&amp;DATE($B$3,1,1),업무일지!$B$5:$B$1004,"&lt;"&amp;DATE($B$3+1,1,1),업무일지!$AB$5:$AB$1004,$A53,업무일지!$D$5:$D$1004,"교육"))</f>
        <v/>
      </c>
      <c r="E53" s="118">
        <f>IF($A53="","",B53+C53+D53)</f>
        <v/>
      </c>
      <c r="F53" s="129">
        <f>IF($A53="","",SUMIFS(업무일지!$AF$5:$AF$1004,업무일지!$B$5:$B$1004,"&gt;="&amp;DATE($B$3,1,1),업무일지!$B$5:$B$1004,"&lt;"&amp;DATE($B$3+1,1,1),업무일지!$AB$5:$AB$1004,$A53,업무일지!$D$5:$D$1004,"출장"))</f>
        <v/>
      </c>
      <c r="G53" s="129">
        <f>IF($A53="","",SUMIFS(업무일지!$Z$5:$Z$1004,업무일지!$B$5:$B$1004,"&gt;="&amp;DATE($B$3,1,1),업무일지!$B$5:$B$1004,"&lt;"&amp;DATE($B$3+1,1,1),업무일지!$AB$5:$AB$1004,$A53))</f>
        <v/>
      </c>
      <c r="H53" s="129">
        <f>IF($A53="","",SUMIFS(업무일지!$AD$5:$AD$1004,업무일지!$B$5:$B$1004,"&gt;="&amp;DATE($B$3,1,1),업무일지!$B$5:$B$1004,"&lt;"&amp;DATE($B$3+1,1,1),업무일지!$AB$5:$AB$1004,$A53))</f>
        <v/>
      </c>
      <c r="I53" s="129">
        <f>IF($A53="","",COUNTIFS(업무일지!$B$5:$B$1004,"&gt;="&amp;DATE($B$3,1,1),업무일지!$B$5:$B$1004,"&lt;"&amp;DATE($B$3+1,1,1),업무일지!$AB$5:$AB$1004,$A53,업무일지!$AG$5:$AG$1004,"진행중"))</f>
        <v/>
      </c>
      <c r="J53" s="118">
        <f>IF($A$53="","",SUM(BM$85:BM$144))</f>
        <v/>
      </c>
      <c r="K53" s="118">
        <f>IF($A$53="","",SUM(BX$85:BX$144))</f>
        <v/>
      </c>
      <c r="L53" s="118">
        <f>IF($A$53="","",SUM(CI$85:CI$144))</f>
        <v/>
      </c>
    </row>
    <row r="54">
      <c r="A54" s="112" t="inlineStr">
        <is>
          <t>합계</t>
        </is>
      </c>
      <c r="B54" s="113">
        <f>SUM(B44:B53)</f>
        <v/>
      </c>
      <c r="C54" s="113">
        <f>SUM(C44:C53)</f>
        <v/>
      </c>
      <c r="D54" s="113">
        <f>SUM(D44:D53)</f>
        <v/>
      </c>
      <c r="E54" s="113">
        <f>SUM(E44:E53)</f>
        <v/>
      </c>
      <c r="F54" s="113">
        <f>SUM(F44:F53)</f>
        <v/>
      </c>
      <c r="G54" s="113">
        <f>SUM(G44:G53)</f>
        <v/>
      </c>
      <c r="H54" s="113">
        <f>SUM(H44:H53)</f>
        <v/>
      </c>
      <c r="I54" s="113">
        <f>SUM(I44:I53)</f>
        <v/>
      </c>
      <c r="J54" s="134">
        <f>$C$19</f>
        <v/>
      </c>
      <c r="K54" s="134">
        <f>$E$19</f>
        <v/>
      </c>
      <c r="L54" s="134">
        <f>$H$19</f>
        <v/>
      </c>
    </row>
    <row r="56" ht="20" customHeight="1">
      <c r="A56" s="21" t="inlineStr">
        <is>
          <t>4.  진행상태별 · 요청·의뢰처별 현황 (연간 누계)</t>
        </is>
      </c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</row>
    <row r="57" ht="32" customHeight="1">
      <c r="A57" s="23" t="inlineStr">
        <is>
          <t>진행상태</t>
        </is>
      </c>
      <c r="B57" s="23" t="inlineStr">
        <is>
          <t>출장</t>
        </is>
      </c>
      <c r="C57" s="23" t="inlineStr">
        <is>
          <t>분석</t>
        </is>
      </c>
      <c r="D57" s="23" t="inlineStr">
        <is>
          <t>교육</t>
        </is>
      </c>
      <c r="E57" s="23" t="inlineStr">
        <is>
          <t>합계</t>
        </is>
      </c>
      <c r="F57" s="60" t="inlineStr"/>
      <c r="G57" s="23" t="inlineStr">
        <is>
          <t>요청·의뢰처</t>
        </is>
      </c>
      <c r="H57" s="23" t="inlineStr">
        <is>
          <t>출장</t>
        </is>
      </c>
      <c r="I57" s="23" t="inlineStr">
        <is>
          <t>분석</t>
        </is>
      </c>
      <c r="J57" s="23" t="inlineStr">
        <is>
          <t>교육</t>
        </is>
      </c>
      <c r="K57" s="23" t="inlineStr">
        <is>
          <t>합계</t>
        </is>
      </c>
    </row>
    <row r="58">
      <c r="A58" s="107">
        <f>IF(코드설정!$F5="","",코드설정!$F5)</f>
        <v/>
      </c>
      <c r="B58" s="129">
        <f>IF($A58="","",COUNTIFS(업무일지!$B$5:$B$1004,"&gt;="&amp;DATE($B$3,1,1),업무일지!$B$5:$B$1004,"&lt;"&amp;DATE($B$3+1,1,1),업무일지!$AG$5:$AG$1004,$A58,업무일지!$D$5:$D$1004,"출장"))</f>
        <v/>
      </c>
      <c r="C58" s="129">
        <f>IF($A58="","",COUNTIFS(업무일지!$B$5:$B$1004,"&gt;="&amp;DATE($B$3,1,1),업무일지!$B$5:$B$1004,"&lt;"&amp;DATE($B$3+1,1,1),업무일지!$AG$5:$AG$1004,$A58,업무일지!$D$5:$D$1004,"분석"))</f>
        <v/>
      </c>
      <c r="D58" s="129">
        <f>IF($A58="","",COUNTIFS(업무일지!$B$5:$B$1004,"&gt;="&amp;DATE($B$3,1,1),업무일지!$B$5:$B$1004,"&lt;"&amp;DATE($B$3+1,1,1),업무일지!$AG$5:$AG$1004,$A58,업무일지!$D$5:$D$1004,"교육"))</f>
        <v/>
      </c>
      <c r="E58" s="118">
        <f>IF($A58="","",B58+C58+D58)</f>
        <v/>
      </c>
      <c r="G58" s="115">
        <f>IF(코드설정!$E5="","",코드설정!$E5)</f>
        <v/>
      </c>
      <c r="H58" s="129">
        <f>IF($G58="","",COUNTIFS(업무일지!$B$5:$B$1004,"&gt;="&amp;DATE($B$3,1,1),업무일지!$B$5:$B$1004,"&lt;"&amp;DATE($B$3+1,1,1),업무일지!$I$5:$I$1004,$G58,업무일지!$D$5:$D$1004,"출장"))</f>
        <v/>
      </c>
      <c r="I58" s="129">
        <f>IF($G58="","",COUNTIFS(업무일지!$B$5:$B$1004,"&gt;="&amp;DATE($B$3,1,1),업무일지!$B$5:$B$1004,"&lt;"&amp;DATE($B$3+1,1,1),업무일지!$I$5:$I$1004,$G58,업무일지!$D$5:$D$1004,"분석"))</f>
        <v/>
      </c>
      <c r="J58" s="129">
        <f>IF($G58="","",COUNTIFS(업무일지!$B$5:$B$1004,"&gt;="&amp;DATE($B$3,1,1),업무일지!$B$5:$B$1004,"&lt;"&amp;DATE($B$3+1,1,1),업무일지!$I$5:$I$1004,$G58,업무일지!$D$5:$D$1004,"교육"))</f>
        <v/>
      </c>
      <c r="K58" s="118">
        <f>IF($G58="","",H58+I58+J58)</f>
        <v/>
      </c>
    </row>
    <row r="59">
      <c r="A59" s="107">
        <f>IF(코드설정!$F6="","",코드설정!$F6)</f>
        <v/>
      </c>
      <c r="B59" s="129">
        <f>IF($A59="","",COUNTIFS(업무일지!$B$5:$B$1004,"&gt;="&amp;DATE($B$3,1,1),업무일지!$B$5:$B$1004,"&lt;"&amp;DATE($B$3+1,1,1),업무일지!$AG$5:$AG$1004,$A59,업무일지!$D$5:$D$1004,"출장"))</f>
        <v/>
      </c>
      <c r="C59" s="129">
        <f>IF($A59="","",COUNTIFS(업무일지!$B$5:$B$1004,"&gt;="&amp;DATE($B$3,1,1),업무일지!$B$5:$B$1004,"&lt;"&amp;DATE($B$3+1,1,1),업무일지!$AG$5:$AG$1004,$A59,업무일지!$D$5:$D$1004,"분석"))</f>
        <v/>
      </c>
      <c r="D59" s="129">
        <f>IF($A59="","",COUNTIFS(업무일지!$B$5:$B$1004,"&gt;="&amp;DATE($B$3,1,1),업무일지!$B$5:$B$1004,"&lt;"&amp;DATE($B$3+1,1,1),업무일지!$AG$5:$AG$1004,$A59,업무일지!$D$5:$D$1004,"교육"))</f>
        <v/>
      </c>
      <c r="E59" s="118">
        <f>IF($A59="","",B59+C59+D59)</f>
        <v/>
      </c>
      <c r="G59" s="115">
        <f>IF(코드설정!$E6="","",코드설정!$E6)</f>
        <v/>
      </c>
      <c r="H59" s="129">
        <f>IF($G59="","",COUNTIFS(업무일지!$B$5:$B$1004,"&gt;="&amp;DATE($B$3,1,1),업무일지!$B$5:$B$1004,"&lt;"&amp;DATE($B$3+1,1,1),업무일지!$I$5:$I$1004,$G59,업무일지!$D$5:$D$1004,"출장"))</f>
        <v/>
      </c>
      <c r="I59" s="129">
        <f>IF($G59="","",COUNTIFS(업무일지!$B$5:$B$1004,"&gt;="&amp;DATE($B$3,1,1),업무일지!$B$5:$B$1004,"&lt;"&amp;DATE($B$3+1,1,1),업무일지!$I$5:$I$1004,$G59,업무일지!$D$5:$D$1004,"분석"))</f>
        <v/>
      </c>
      <c r="J59" s="129">
        <f>IF($G59="","",COUNTIFS(업무일지!$B$5:$B$1004,"&gt;="&amp;DATE($B$3,1,1),업무일지!$B$5:$B$1004,"&lt;"&amp;DATE($B$3+1,1,1),업무일지!$I$5:$I$1004,$G59,업무일지!$D$5:$D$1004,"교육"))</f>
        <v/>
      </c>
      <c r="K59" s="118">
        <f>IF($G59="","",H59+I59+J59)</f>
        <v/>
      </c>
    </row>
    <row r="60">
      <c r="A60" s="107">
        <f>IF(코드설정!$F7="","",코드설정!$F7)</f>
        <v/>
      </c>
      <c r="B60" s="129">
        <f>IF($A60="","",COUNTIFS(업무일지!$B$5:$B$1004,"&gt;="&amp;DATE($B$3,1,1),업무일지!$B$5:$B$1004,"&lt;"&amp;DATE($B$3+1,1,1),업무일지!$AG$5:$AG$1004,$A60,업무일지!$D$5:$D$1004,"출장"))</f>
        <v/>
      </c>
      <c r="C60" s="129">
        <f>IF($A60="","",COUNTIFS(업무일지!$B$5:$B$1004,"&gt;="&amp;DATE($B$3,1,1),업무일지!$B$5:$B$1004,"&lt;"&amp;DATE($B$3+1,1,1),업무일지!$AG$5:$AG$1004,$A60,업무일지!$D$5:$D$1004,"분석"))</f>
        <v/>
      </c>
      <c r="D60" s="129">
        <f>IF($A60="","",COUNTIFS(업무일지!$B$5:$B$1004,"&gt;="&amp;DATE($B$3,1,1),업무일지!$B$5:$B$1004,"&lt;"&amp;DATE($B$3+1,1,1),업무일지!$AG$5:$AG$1004,$A60,업무일지!$D$5:$D$1004,"교육"))</f>
        <v/>
      </c>
      <c r="E60" s="118">
        <f>IF($A60="","",B60+C60+D60)</f>
        <v/>
      </c>
      <c r="G60" s="115">
        <f>IF(코드설정!$E7="","",코드설정!$E7)</f>
        <v/>
      </c>
      <c r="H60" s="129">
        <f>IF($G60="","",COUNTIFS(업무일지!$B$5:$B$1004,"&gt;="&amp;DATE($B$3,1,1),업무일지!$B$5:$B$1004,"&lt;"&amp;DATE($B$3+1,1,1),업무일지!$I$5:$I$1004,$G60,업무일지!$D$5:$D$1004,"출장"))</f>
        <v/>
      </c>
      <c r="I60" s="129">
        <f>IF($G60="","",COUNTIFS(업무일지!$B$5:$B$1004,"&gt;="&amp;DATE($B$3,1,1),업무일지!$B$5:$B$1004,"&lt;"&amp;DATE($B$3+1,1,1),업무일지!$I$5:$I$1004,$G60,업무일지!$D$5:$D$1004,"분석"))</f>
        <v/>
      </c>
      <c r="J60" s="129">
        <f>IF($G60="","",COUNTIFS(업무일지!$B$5:$B$1004,"&gt;="&amp;DATE($B$3,1,1),업무일지!$B$5:$B$1004,"&lt;"&amp;DATE($B$3+1,1,1),업무일지!$I$5:$I$1004,$G60,업무일지!$D$5:$D$1004,"교육"))</f>
        <v/>
      </c>
      <c r="K60" s="118">
        <f>IF($G60="","",H60+I60+J60)</f>
        <v/>
      </c>
    </row>
    <row r="61">
      <c r="G61" s="115">
        <f>IF(코드설정!$E8="","",코드설정!$E8)</f>
        <v/>
      </c>
      <c r="H61" s="129">
        <f>IF($G61="","",COUNTIFS(업무일지!$B$5:$B$1004,"&gt;="&amp;DATE($B$3,1,1),업무일지!$B$5:$B$1004,"&lt;"&amp;DATE($B$3+1,1,1),업무일지!$I$5:$I$1004,$G61,업무일지!$D$5:$D$1004,"출장"))</f>
        <v/>
      </c>
      <c r="I61" s="129">
        <f>IF($G61="","",COUNTIFS(업무일지!$B$5:$B$1004,"&gt;="&amp;DATE($B$3,1,1),업무일지!$B$5:$B$1004,"&lt;"&amp;DATE($B$3+1,1,1),업무일지!$I$5:$I$1004,$G61,업무일지!$D$5:$D$1004,"분석"))</f>
        <v/>
      </c>
      <c r="J61" s="129">
        <f>IF($G61="","",COUNTIFS(업무일지!$B$5:$B$1004,"&gt;="&amp;DATE($B$3,1,1),업무일지!$B$5:$B$1004,"&lt;"&amp;DATE($B$3+1,1,1),업무일지!$I$5:$I$1004,$G61,업무일지!$D$5:$D$1004,"교육"))</f>
        <v/>
      </c>
      <c r="K61" s="118">
        <f>IF($G61="","",H61+I61+J61)</f>
        <v/>
      </c>
    </row>
    <row r="62">
      <c r="G62" s="115">
        <f>IF(코드설정!$E9="","",코드설정!$E9)</f>
        <v/>
      </c>
      <c r="H62" s="129">
        <f>IF($G62="","",COUNTIFS(업무일지!$B$5:$B$1004,"&gt;="&amp;DATE($B$3,1,1),업무일지!$B$5:$B$1004,"&lt;"&amp;DATE($B$3+1,1,1),업무일지!$I$5:$I$1004,$G62,업무일지!$D$5:$D$1004,"출장"))</f>
        <v/>
      </c>
      <c r="I62" s="129">
        <f>IF($G62="","",COUNTIFS(업무일지!$B$5:$B$1004,"&gt;="&amp;DATE($B$3,1,1),업무일지!$B$5:$B$1004,"&lt;"&amp;DATE($B$3+1,1,1),업무일지!$I$5:$I$1004,$G62,업무일지!$D$5:$D$1004,"분석"))</f>
        <v/>
      </c>
      <c r="J62" s="129">
        <f>IF($G62="","",COUNTIFS(업무일지!$B$5:$B$1004,"&gt;="&amp;DATE($B$3,1,1),업무일지!$B$5:$B$1004,"&lt;"&amp;DATE($B$3+1,1,1),업무일지!$I$5:$I$1004,$G62,업무일지!$D$5:$D$1004,"교육"))</f>
        <v/>
      </c>
      <c r="K62" s="118">
        <f>IF($G62="","",H62+I62+J62)</f>
        <v/>
      </c>
    </row>
    <row r="63">
      <c r="G63" s="115">
        <f>IF(코드설정!$E10="","",코드설정!$E10)</f>
        <v/>
      </c>
      <c r="H63" s="129">
        <f>IF($G63="","",COUNTIFS(업무일지!$B$5:$B$1004,"&gt;="&amp;DATE($B$3,1,1),업무일지!$B$5:$B$1004,"&lt;"&amp;DATE($B$3+1,1,1),업무일지!$I$5:$I$1004,$G63,업무일지!$D$5:$D$1004,"출장"))</f>
        <v/>
      </c>
      <c r="I63" s="129">
        <f>IF($G63="","",COUNTIFS(업무일지!$B$5:$B$1004,"&gt;="&amp;DATE($B$3,1,1),업무일지!$B$5:$B$1004,"&lt;"&amp;DATE($B$3+1,1,1),업무일지!$I$5:$I$1004,$G63,업무일지!$D$5:$D$1004,"분석"))</f>
        <v/>
      </c>
      <c r="J63" s="129">
        <f>IF($G63="","",COUNTIFS(업무일지!$B$5:$B$1004,"&gt;="&amp;DATE($B$3,1,1),업무일지!$B$5:$B$1004,"&lt;"&amp;DATE($B$3+1,1,1),업무일지!$I$5:$I$1004,$G63,업무일지!$D$5:$D$1004,"교육"))</f>
        <v/>
      </c>
      <c r="K63" s="118">
        <f>IF($G63="","",H63+I63+J63)</f>
        <v/>
      </c>
    </row>
    <row r="64">
      <c r="G64" s="115">
        <f>IF(코드설정!$E11="","",코드설정!$E11)</f>
        <v/>
      </c>
      <c r="H64" s="129">
        <f>IF($G64="","",COUNTIFS(업무일지!$B$5:$B$1004,"&gt;="&amp;DATE($B$3,1,1),업무일지!$B$5:$B$1004,"&lt;"&amp;DATE($B$3+1,1,1),업무일지!$I$5:$I$1004,$G64,업무일지!$D$5:$D$1004,"출장"))</f>
        <v/>
      </c>
      <c r="I64" s="129">
        <f>IF($G64="","",COUNTIFS(업무일지!$B$5:$B$1004,"&gt;="&amp;DATE($B$3,1,1),업무일지!$B$5:$B$1004,"&lt;"&amp;DATE($B$3+1,1,1),업무일지!$I$5:$I$1004,$G64,업무일지!$D$5:$D$1004,"분석"))</f>
        <v/>
      </c>
      <c r="J64" s="129">
        <f>IF($G64="","",COUNTIFS(업무일지!$B$5:$B$1004,"&gt;="&amp;DATE($B$3,1,1),업무일지!$B$5:$B$1004,"&lt;"&amp;DATE($B$3+1,1,1),업무일지!$I$5:$I$1004,$G64,업무일지!$D$5:$D$1004,"교육"))</f>
        <v/>
      </c>
      <c r="K64" s="118">
        <f>IF($G64="","",H64+I64+J64)</f>
        <v/>
      </c>
    </row>
    <row r="65">
      <c r="G65" s="115">
        <f>IF(코드설정!$E12="","",코드설정!$E12)</f>
        <v/>
      </c>
      <c r="H65" s="129">
        <f>IF($G65="","",COUNTIFS(업무일지!$B$5:$B$1004,"&gt;="&amp;DATE($B$3,1,1),업무일지!$B$5:$B$1004,"&lt;"&amp;DATE($B$3+1,1,1),업무일지!$I$5:$I$1004,$G65,업무일지!$D$5:$D$1004,"출장"))</f>
        <v/>
      </c>
      <c r="I65" s="129">
        <f>IF($G65="","",COUNTIFS(업무일지!$B$5:$B$1004,"&gt;="&amp;DATE($B$3,1,1),업무일지!$B$5:$B$1004,"&lt;"&amp;DATE($B$3+1,1,1),업무일지!$I$5:$I$1004,$G65,업무일지!$D$5:$D$1004,"분석"))</f>
        <v/>
      </c>
      <c r="J65" s="129">
        <f>IF($G65="","",COUNTIFS(업무일지!$B$5:$B$1004,"&gt;="&amp;DATE($B$3,1,1),업무일지!$B$5:$B$1004,"&lt;"&amp;DATE($B$3+1,1,1),업무일지!$I$5:$I$1004,$G65,업무일지!$D$5:$D$1004,"교육"))</f>
        <v/>
      </c>
      <c r="K65" s="118">
        <f>IF($G65="","",H65+I65+J65)</f>
        <v/>
      </c>
    </row>
    <row r="66">
      <c r="G66" s="115">
        <f>IF(코드설정!$E13="","",코드설정!$E13)</f>
        <v/>
      </c>
      <c r="H66" s="129">
        <f>IF($G66="","",COUNTIFS(업무일지!$B$5:$B$1004,"&gt;="&amp;DATE($B$3,1,1),업무일지!$B$5:$B$1004,"&lt;"&amp;DATE($B$3+1,1,1),업무일지!$I$5:$I$1004,$G66,업무일지!$D$5:$D$1004,"출장"))</f>
        <v/>
      </c>
      <c r="I66" s="129">
        <f>IF($G66="","",COUNTIFS(업무일지!$B$5:$B$1004,"&gt;="&amp;DATE($B$3,1,1),업무일지!$B$5:$B$1004,"&lt;"&amp;DATE($B$3+1,1,1),업무일지!$I$5:$I$1004,$G66,업무일지!$D$5:$D$1004,"분석"))</f>
        <v/>
      </c>
      <c r="J66" s="129">
        <f>IF($G66="","",COUNTIFS(업무일지!$B$5:$B$1004,"&gt;="&amp;DATE($B$3,1,1),업무일지!$B$5:$B$1004,"&lt;"&amp;DATE($B$3+1,1,1),업무일지!$I$5:$I$1004,$G66,업무일지!$D$5:$D$1004,"교육"))</f>
        <v/>
      </c>
      <c r="K66" s="118">
        <f>IF($G66="","",H66+I66+J66)</f>
        <v/>
      </c>
    </row>
    <row r="67">
      <c r="G67" s="115">
        <f>IF(코드설정!$E14="","",코드설정!$E14)</f>
        <v/>
      </c>
      <c r="H67" s="129">
        <f>IF($G67="","",COUNTIFS(업무일지!$B$5:$B$1004,"&gt;="&amp;DATE($B$3,1,1),업무일지!$B$5:$B$1004,"&lt;"&amp;DATE($B$3+1,1,1),업무일지!$I$5:$I$1004,$G67,업무일지!$D$5:$D$1004,"출장"))</f>
        <v/>
      </c>
      <c r="I67" s="129">
        <f>IF($G67="","",COUNTIFS(업무일지!$B$5:$B$1004,"&gt;="&amp;DATE($B$3,1,1),업무일지!$B$5:$B$1004,"&lt;"&amp;DATE($B$3+1,1,1),업무일지!$I$5:$I$1004,$G67,업무일지!$D$5:$D$1004,"분석"))</f>
        <v/>
      </c>
      <c r="J67" s="129">
        <f>IF($G67="","",COUNTIFS(업무일지!$B$5:$B$1004,"&gt;="&amp;DATE($B$3,1,1),업무일지!$B$5:$B$1004,"&lt;"&amp;DATE($B$3+1,1,1),업무일지!$I$5:$I$1004,$G67,업무일지!$D$5:$D$1004,"교육"))</f>
        <v/>
      </c>
      <c r="K67" s="118">
        <f>IF($G67="","",H67+I67+J67)</f>
        <v/>
      </c>
    </row>
    <row r="69" ht="20" customHeight="1">
      <c r="A69" s="21" t="inlineStr">
        <is>
          <t>5.  일일 실시사항 요약 (연간 누계)</t>
        </is>
      </c>
      <c r="B69" s="22" t="n"/>
      <c r="C69" s="22" t="n"/>
      <c r="D69" s="22" t="n"/>
    </row>
    <row r="70" ht="32" customHeight="1">
      <c r="A70" s="23" t="inlineStr">
        <is>
          <t>업무구분</t>
        </is>
      </c>
      <c r="B70" s="23" t="inlineStr">
        <is>
          <t>건수</t>
        </is>
      </c>
      <c r="C70" s="23" t="inlineStr">
        <is>
          <t>비중</t>
        </is>
      </c>
      <c r="D70" s="23" t="inlineStr">
        <is>
          <t>진행중</t>
        </is>
      </c>
    </row>
    <row r="71">
      <c r="A71" s="115">
        <f>IF(코드설정!$G5="","",코드설정!$G5)</f>
        <v/>
      </c>
      <c r="B71" s="129">
        <f>IF($A71="","",COUNTIFS(일일실시사항!$B$5:$B$1004,"&gt;="&amp;DATE($B$3,1,1),일일실시사항!$B$5:$B$1004,"&lt;"&amp;DATE($B$3+1,1,1),일일실시사항!$F$5:$F$1004,$A71))</f>
        <v/>
      </c>
      <c r="C71" s="116">
        <f>IFERROR(B71/$B$81,0)</f>
        <v/>
      </c>
      <c r="D71" s="129">
        <f>IF($A71="","",COUNTIFS(일일실시사항!$B$5:$B$1004,"&gt;="&amp;DATE($B$3,1,1),일일실시사항!$B$5:$B$1004,"&lt;"&amp;DATE($B$3+1,1,1),일일실시사항!$F$5:$F$1004,$A71,일일실시사항!$J$5:$J$1004,"진행중"))</f>
        <v/>
      </c>
    </row>
    <row r="72">
      <c r="A72" s="115">
        <f>IF(코드설정!$G6="","",코드설정!$G6)</f>
        <v/>
      </c>
      <c r="B72" s="129">
        <f>IF($A72="","",COUNTIFS(일일실시사항!$B$5:$B$1004,"&gt;="&amp;DATE($B$3,1,1),일일실시사항!$B$5:$B$1004,"&lt;"&amp;DATE($B$3+1,1,1),일일실시사항!$F$5:$F$1004,$A72))</f>
        <v/>
      </c>
      <c r="C72" s="116">
        <f>IFERROR(B72/$B$81,0)</f>
        <v/>
      </c>
      <c r="D72" s="129">
        <f>IF($A72="","",COUNTIFS(일일실시사항!$B$5:$B$1004,"&gt;="&amp;DATE($B$3,1,1),일일실시사항!$B$5:$B$1004,"&lt;"&amp;DATE($B$3+1,1,1),일일실시사항!$F$5:$F$1004,$A72,일일실시사항!$J$5:$J$1004,"진행중"))</f>
        <v/>
      </c>
    </row>
    <row r="73">
      <c r="A73" s="115">
        <f>IF(코드설정!$G7="","",코드설정!$G7)</f>
        <v/>
      </c>
      <c r="B73" s="129">
        <f>IF($A73="","",COUNTIFS(일일실시사항!$B$5:$B$1004,"&gt;="&amp;DATE($B$3,1,1),일일실시사항!$B$5:$B$1004,"&lt;"&amp;DATE($B$3+1,1,1),일일실시사항!$F$5:$F$1004,$A73))</f>
        <v/>
      </c>
      <c r="C73" s="116">
        <f>IFERROR(B73/$B$81,0)</f>
        <v/>
      </c>
      <c r="D73" s="129">
        <f>IF($A73="","",COUNTIFS(일일실시사항!$B$5:$B$1004,"&gt;="&amp;DATE($B$3,1,1),일일실시사항!$B$5:$B$1004,"&lt;"&amp;DATE($B$3+1,1,1),일일실시사항!$F$5:$F$1004,$A73,일일실시사항!$J$5:$J$1004,"진행중"))</f>
        <v/>
      </c>
    </row>
    <row r="74">
      <c r="A74" s="115">
        <f>IF(코드설정!$G8="","",코드설정!$G8)</f>
        <v/>
      </c>
      <c r="B74" s="129">
        <f>IF($A74="","",COUNTIFS(일일실시사항!$B$5:$B$1004,"&gt;="&amp;DATE($B$3,1,1),일일실시사항!$B$5:$B$1004,"&lt;"&amp;DATE($B$3+1,1,1),일일실시사항!$F$5:$F$1004,$A74))</f>
        <v/>
      </c>
      <c r="C74" s="116">
        <f>IFERROR(B74/$B$81,0)</f>
        <v/>
      </c>
      <c r="D74" s="129">
        <f>IF($A74="","",COUNTIFS(일일실시사항!$B$5:$B$1004,"&gt;="&amp;DATE($B$3,1,1),일일실시사항!$B$5:$B$1004,"&lt;"&amp;DATE($B$3+1,1,1),일일실시사항!$F$5:$F$1004,$A74,일일실시사항!$J$5:$J$1004,"진행중"))</f>
        <v/>
      </c>
    </row>
    <row r="75">
      <c r="A75" s="115">
        <f>IF(코드설정!$G9="","",코드설정!$G9)</f>
        <v/>
      </c>
      <c r="B75" s="129">
        <f>IF($A75="","",COUNTIFS(일일실시사항!$B$5:$B$1004,"&gt;="&amp;DATE($B$3,1,1),일일실시사항!$B$5:$B$1004,"&lt;"&amp;DATE($B$3+1,1,1),일일실시사항!$F$5:$F$1004,$A75))</f>
        <v/>
      </c>
      <c r="C75" s="116">
        <f>IFERROR(B75/$B$81,0)</f>
        <v/>
      </c>
      <c r="D75" s="129">
        <f>IF($A75="","",COUNTIFS(일일실시사항!$B$5:$B$1004,"&gt;="&amp;DATE($B$3,1,1),일일실시사항!$B$5:$B$1004,"&lt;"&amp;DATE($B$3+1,1,1),일일실시사항!$F$5:$F$1004,$A75,일일실시사항!$J$5:$J$1004,"진행중"))</f>
        <v/>
      </c>
    </row>
    <row r="76">
      <c r="A76" s="115">
        <f>IF(코드설정!$G10="","",코드설정!$G10)</f>
        <v/>
      </c>
      <c r="B76" s="129">
        <f>IF($A76="","",COUNTIFS(일일실시사항!$B$5:$B$1004,"&gt;="&amp;DATE($B$3,1,1),일일실시사항!$B$5:$B$1004,"&lt;"&amp;DATE($B$3+1,1,1),일일실시사항!$F$5:$F$1004,$A76))</f>
        <v/>
      </c>
      <c r="C76" s="116">
        <f>IFERROR(B76/$B$81,0)</f>
        <v/>
      </c>
      <c r="D76" s="129">
        <f>IF($A76="","",COUNTIFS(일일실시사항!$B$5:$B$1004,"&gt;="&amp;DATE($B$3,1,1),일일실시사항!$B$5:$B$1004,"&lt;"&amp;DATE($B$3+1,1,1),일일실시사항!$F$5:$F$1004,$A76,일일실시사항!$J$5:$J$1004,"진행중"))</f>
        <v/>
      </c>
    </row>
    <row r="77">
      <c r="A77" s="115">
        <f>IF(코드설정!$G11="","",코드설정!$G11)</f>
        <v/>
      </c>
      <c r="B77" s="129">
        <f>IF($A77="","",COUNTIFS(일일실시사항!$B$5:$B$1004,"&gt;="&amp;DATE($B$3,1,1),일일실시사항!$B$5:$B$1004,"&lt;"&amp;DATE($B$3+1,1,1),일일실시사항!$F$5:$F$1004,$A77))</f>
        <v/>
      </c>
      <c r="C77" s="116">
        <f>IFERROR(B77/$B$81,0)</f>
        <v/>
      </c>
      <c r="D77" s="129">
        <f>IF($A77="","",COUNTIFS(일일실시사항!$B$5:$B$1004,"&gt;="&amp;DATE($B$3,1,1),일일실시사항!$B$5:$B$1004,"&lt;"&amp;DATE($B$3+1,1,1),일일실시사항!$F$5:$F$1004,$A77,일일실시사항!$J$5:$J$1004,"진행중"))</f>
        <v/>
      </c>
    </row>
    <row r="78">
      <c r="A78" s="115">
        <f>IF(코드설정!$G12="","",코드설정!$G12)</f>
        <v/>
      </c>
      <c r="B78" s="129">
        <f>IF($A78="","",COUNTIFS(일일실시사항!$B$5:$B$1004,"&gt;="&amp;DATE($B$3,1,1),일일실시사항!$B$5:$B$1004,"&lt;"&amp;DATE($B$3+1,1,1),일일실시사항!$F$5:$F$1004,$A78))</f>
        <v/>
      </c>
      <c r="C78" s="116">
        <f>IFERROR(B78/$B$81,0)</f>
        <v/>
      </c>
      <c r="D78" s="129">
        <f>IF($A78="","",COUNTIFS(일일실시사항!$B$5:$B$1004,"&gt;="&amp;DATE($B$3,1,1),일일실시사항!$B$5:$B$1004,"&lt;"&amp;DATE($B$3+1,1,1),일일실시사항!$F$5:$F$1004,$A78,일일실시사항!$J$5:$J$1004,"진행중"))</f>
        <v/>
      </c>
    </row>
    <row r="79">
      <c r="A79" s="115">
        <f>IF(코드설정!$G13="","",코드설정!$G13)</f>
        <v/>
      </c>
      <c r="B79" s="129">
        <f>IF($A79="","",COUNTIFS(일일실시사항!$B$5:$B$1004,"&gt;="&amp;DATE($B$3,1,1),일일실시사항!$B$5:$B$1004,"&lt;"&amp;DATE($B$3+1,1,1),일일실시사항!$F$5:$F$1004,$A79))</f>
        <v/>
      </c>
      <c r="C79" s="116">
        <f>IFERROR(B79/$B$81,0)</f>
        <v/>
      </c>
      <c r="D79" s="129">
        <f>IF($A79="","",COUNTIFS(일일실시사항!$B$5:$B$1004,"&gt;="&amp;DATE($B$3,1,1),일일실시사항!$B$5:$B$1004,"&lt;"&amp;DATE($B$3+1,1,1),일일실시사항!$F$5:$F$1004,$A79,일일실시사항!$J$5:$J$1004,"진행중"))</f>
        <v/>
      </c>
    </row>
    <row r="80">
      <c r="A80" s="115">
        <f>IF(코드설정!$G14="","",코드설정!$G14)</f>
        <v/>
      </c>
      <c r="B80" s="129">
        <f>IF($A80="","",COUNTIFS(일일실시사항!$B$5:$B$1004,"&gt;="&amp;DATE($B$3,1,1),일일실시사항!$B$5:$B$1004,"&lt;"&amp;DATE($B$3+1,1,1),일일실시사항!$F$5:$F$1004,$A80))</f>
        <v/>
      </c>
      <c r="C80" s="116">
        <f>IFERROR(B80/$B$81,0)</f>
        <v/>
      </c>
      <c r="D80" s="129">
        <f>IF($A80="","",COUNTIFS(일일실시사항!$B$5:$B$1004,"&gt;="&amp;DATE($B$3,1,1),일일실시사항!$B$5:$B$1004,"&lt;"&amp;DATE($B$3+1,1,1),일일실시사항!$F$5:$F$1004,$A80,일일실시사항!$J$5:$J$1004,"진행중"))</f>
        <v/>
      </c>
    </row>
    <row r="81">
      <c r="A81" s="112" t="inlineStr">
        <is>
          <t>합계</t>
        </is>
      </c>
      <c r="B81" s="113">
        <f>SUM(B71:B80)</f>
        <v/>
      </c>
      <c r="C81" s="143">
        <f>IFERROR(B81/$B$81,0)</f>
        <v/>
      </c>
      <c r="D81" s="113">
        <f>SUM(D71:D80)</f>
        <v/>
      </c>
    </row>
    <row r="83">
      <c r="A83" s="7" t="inlineStr">
        <is>
          <t>※ 연인원 = 각 건의 투입인원을 그대로 합산한 값(같은 사람이 여러 건에 참여하면 중복 계상)입니다.</t>
        </is>
      </c>
    </row>
    <row r="84">
      <c r="A84" s="7" t="inlineStr">
        <is>
          <t>※ [전체 사건]은 [출장 사건] + [분석 사건]이 아닙니다. 한 사건에서 둘 다 했으면 전체에는 1로만 잡힙니다.</t>
        </is>
      </c>
      <c r="O84" s="7" t="inlineStr">
        <is>
          <t>▼ 고유 사건 수 계산용 (지우지 마세요) — 사건번호 / 출장 월별 / 분석 월별 / 전체 월별 / 연간</t>
        </is>
      </c>
      <c r="BD84" s="7" t="inlineStr">
        <is>
          <t>▼ 팀별 고유 사건 수 계산용 (지우지 마세요) — 출장 / 분석 / 전체</t>
        </is>
      </c>
    </row>
    <row r="85">
      <c r="A85" s="7" t="inlineStr">
        <is>
          <t>※ 교육은 사건과 묶이지 않으므로 회차만 집계합니다.</t>
        </is>
      </c>
      <c r="O85">
        <f>IF(사건마스터!$A5="","",사건마스터!$A5)</f>
        <v/>
      </c>
      <c r="P85">
        <f>IF($O85="",0,IF(COUNTIFS(업무일지!$F$5:$F$1004,$O85,업무일지!$B$5:$B$1004,"&gt;="&amp;DATE($B$3,1,1),업무일지!$B$5:$B$1004,"&lt;"&amp;DATE($B$3,1+1,1),업무일지!$D$5:$D$1004,"출장")&gt;0,1,0))</f>
        <v/>
      </c>
      <c r="Q85">
        <f>IF($O85="",0,IF(COUNTIFS(업무일지!$F$5:$F$1004,$O85,업무일지!$B$5:$B$1004,"&gt;="&amp;DATE($B$3,2,1),업무일지!$B$5:$B$1004,"&lt;"&amp;DATE($B$3,2+1,1),업무일지!$D$5:$D$1004,"출장")&gt;0,1,0))</f>
        <v/>
      </c>
      <c r="R85">
        <f>IF($O85="",0,IF(COUNTIFS(업무일지!$F$5:$F$1004,$O85,업무일지!$B$5:$B$1004,"&gt;="&amp;DATE($B$3,3,1),업무일지!$B$5:$B$1004,"&lt;"&amp;DATE($B$3,3+1,1),업무일지!$D$5:$D$1004,"출장")&gt;0,1,0))</f>
        <v/>
      </c>
      <c r="S85">
        <f>IF($O85="",0,IF(COUNTIFS(업무일지!$F$5:$F$1004,$O85,업무일지!$B$5:$B$1004,"&gt;="&amp;DATE($B$3,4,1),업무일지!$B$5:$B$1004,"&lt;"&amp;DATE($B$3,4+1,1),업무일지!$D$5:$D$1004,"출장")&gt;0,1,0))</f>
        <v/>
      </c>
      <c r="T85">
        <f>IF($O85="",0,IF(COUNTIFS(업무일지!$F$5:$F$1004,$O85,업무일지!$B$5:$B$1004,"&gt;="&amp;DATE($B$3,5,1),업무일지!$B$5:$B$1004,"&lt;"&amp;DATE($B$3,5+1,1),업무일지!$D$5:$D$1004,"출장")&gt;0,1,0))</f>
        <v/>
      </c>
      <c r="U85">
        <f>IF($O85="",0,IF(COUNTIFS(업무일지!$F$5:$F$1004,$O85,업무일지!$B$5:$B$1004,"&gt;="&amp;DATE($B$3,6,1),업무일지!$B$5:$B$1004,"&lt;"&amp;DATE($B$3,6+1,1),업무일지!$D$5:$D$1004,"출장")&gt;0,1,0))</f>
        <v/>
      </c>
      <c r="V85">
        <f>IF($O85="",0,IF(COUNTIFS(업무일지!$F$5:$F$1004,$O85,업무일지!$B$5:$B$1004,"&gt;="&amp;DATE($B$3,7,1),업무일지!$B$5:$B$1004,"&lt;"&amp;DATE($B$3,7+1,1),업무일지!$D$5:$D$1004,"출장")&gt;0,1,0))</f>
        <v/>
      </c>
      <c r="W85">
        <f>IF($O85="",0,IF(COUNTIFS(업무일지!$F$5:$F$1004,$O85,업무일지!$B$5:$B$1004,"&gt;="&amp;DATE($B$3,8,1),업무일지!$B$5:$B$1004,"&lt;"&amp;DATE($B$3,8+1,1),업무일지!$D$5:$D$1004,"출장")&gt;0,1,0))</f>
        <v/>
      </c>
      <c r="X85">
        <f>IF($O85="",0,IF(COUNTIFS(업무일지!$F$5:$F$1004,$O85,업무일지!$B$5:$B$1004,"&gt;="&amp;DATE($B$3,9,1),업무일지!$B$5:$B$1004,"&lt;"&amp;DATE($B$3,9+1,1),업무일지!$D$5:$D$1004,"출장")&gt;0,1,0))</f>
        <v/>
      </c>
      <c r="Y85">
        <f>IF($O85="",0,IF(COUNTIFS(업무일지!$F$5:$F$1004,$O85,업무일지!$B$5:$B$1004,"&gt;="&amp;DATE($B$3,10,1),업무일지!$B$5:$B$1004,"&lt;"&amp;DATE($B$3,10+1,1),업무일지!$D$5:$D$1004,"출장")&gt;0,1,0))</f>
        <v/>
      </c>
      <c r="Z85">
        <f>IF($O85="",0,IF(COUNTIFS(업무일지!$F$5:$F$1004,$O85,업무일지!$B$5:$B$1004,"&gt;="&amp;DATE($B$3,11,1),업무일지!$B$5:$B$1004,"&lt;"&amp;DATE($B$3,11+1,1),업무일지!$D$5:$D$1004,"출장")&gt;0,1,0))</f>
        <v/>
      </c>
      <c r="AA85">
        <f>IF($O85="",0,IF(COUNTIFS(업무일지!$F$5:$F$1004,$O85,업무일지!$B$5:$B$1004,"&gt;="&amp;DATE($B$3,12,1),업무일지!$B$5:$B$1004,"&lt;"&amp;DATE($B$3,12+1,1),업무일지!$D$5:$D$1004,"출장")&gt;0,1,0))</f>
        <v/>
      </c>
      <c r="AB85">
        <f>IF($O85="",0,IF(COUNTIFS(업무일지!$F$5:$F$1004,$O85,업무일지!$B$5:$B$1004,"&gt;="&amp;DATE($B$3,1,1),업무일지!$B$5:$B$1004,"&lt;"&amp;DATE($B$3,1+1,1),업무일지!$D$5:$D$1004,"분석")&gt;0,1,0))</f>
        <v/>
      </c>
      <c r="AC85">
        <f>IF($O85="",0,IF(COUNTIFS(업무일지!$F$5:$F$1004,$O85,업무일지!$B$5:$B$1004,"&gt;="&amp;DATE($B$3,2,1),업무일지!$B$5:$B$1004,"&lt;"&amp;DATE($B$3,2+1,1),업무일지!$D$5:$D$1004,"분석")&gt;0,1,0))</f>
        <v/>
      </c>
      <c r="AD85">
        <f>IF($O85="",0,IF(COUNTIFS(업무일지!$F$5:$F$1004,$O85,업무일지!$B$5:$B$1004,"&gt;="&amp;DATE($B$3,3,1),업무일지!$B$5:$B$1004,"&lt;"&amp;DATE($B$3,3+1,1),업무일지!$D$5:$D$1004,"분석")&gt;0,1,0))</f>
        <v/>
      </c>
      <c r="AE85">
        <f>IF($O85="",0,IF(COUNTIFS(업무일지!$F$5:$F$1004,$O85,업무일지!$B$5:$B$1004,"&gt;="&amp;DATE($B$3,4,1),업무일지!$B$5:$B$1004,"&lt;"&amp;DATE($B$3,4+1,1),업무일지!$D$5:$D$1004,"분석")&gt;0,1,0))</f>
        <v/>
      </c>
      <c r="AF85">
        <f>IF($O85="",0,IF(COUNTIFS(업무일지!$F$5:$F$1004,$O85,업무일지!$B$5:$B$1004,"&gt;="&amp;DATE($B$3,5,1),업무일지!$B$5:$B$1004,"&lt;"&amp;DATE($B$3,5+1,1),업무일지!$D$5:$D$1004,"분석")&gt;0,1,0))</f>
        <v/>
      </c>
      <c r="AG85">
        <f>IF($O85="",0,IF(COUNTIFS(업무일지!$F$5:$F$1004,$O85,업무일지!$B$5:$B$1004,"&gt;="&amp;DATE($B$3,6,1),업무일지!$B$5:$B$1004,"&lt;"&amp;DATE($B$3,6+1,1),업무일지!$D$5:$D$1004,"분석")&gt;0,1,0))</f>
        <v/>
      </c>
      <c r="AH85">
        <f>IF($O85="",0,IF(COUNTIFS(업무일지!$F$5:$F$1004,$O85,업무일지!$B$5:$B$1004,"&gt;="&amp;DATE($B$3,7,1),업무일지!$B$5:$B$1004,"&lt;"&amp;DATE($B$3,7+1,1),업무일지!$D$5:$D$1004,"분석")&gt;0,1,0))</f>
        <v/>
      </c>
      <c r="AI85">
        <f>IF($O85="",0,IF(COUNTIFS(업무일지!$F$5:$F$1004,$O85,업무일지!$B$5:$B$1004,"&gt;="&amp;DATE($B$3,8,1),업무일지!$B$5:$B$1004,"&lt;"&amp;DATE($B$3,8+1,1),업무일지!$D$5:$D$1004,"분석")&gt;0,1,0))</f>
        <v/>
      </c>
      <c r="AJ85">
        <f>IF($O85="",0,IF(COUNTIFS(업무일지!$F$5:$F$1004,$O85,업무일지!$B$5:$B$1004,"&gt;="&amp;DATE($B$3,9,1),업무일지!$B$5:$B$1004,"&lt;"&amp;DATE($B$3,9+1,1),업무일지!$D$5:$D$1004,"분석")&gt;0,1,0))</f>
        <v/>
      </c>
      <c r="AK85">
        <f>IF($O85="",0,IF(COUNTIFS(업무일지!$F$5:$F$1004,$O85,업무일지!$B$5:$B$1004,"&gt;="&amp;DATE($B$3,10,1),업무일지!$B$5:$B$1004,"&lt;"&amp;DATE($B$3,10+1,1),업무일지!$D$5:$D$1004,"분석")&gt;0,1,0))</f>
        <v/>
      </c>
      <c r="AL85">
        <f>IF($O85="",0,IF(COUNTIFS(업무일지!$F$5:$F$1004,$O85,업무일지!$B$5:$B$1004,"&gt;="&amp;DATE($B$3,11,1),업무일지!$B$5:$B$1004,"&lt;"&amp;DATE($B$3,11+1,1),업무일지!$D$5:$D$1004,"분석")&gt;0,1,0))</f>
        <v/>
      </c>
      <c r="AM85">
        <f>IF($O85="",0,IF(COUNTIFS(업무일지!$F$5:$F$1004,$O85,업무일지!$B$5:$B$1004,"&gt;="&amp;DATE($B$3,12,1),업무일지!$B$5:$B$1004,"&lt;"&amp;DATE($B$3,12+1,1),업무일지!$D$5:$D$1004,"분석")&gt;0,1,0))</f>
        <v/>
      </c>
      <c r="AN85">
        <f>IF($O85="",0,IF(COUNTIFS(업무일지!$F$5:$F$1004,$O85,업무일지!$B$5:$B$1004,"&gt;="&amp;DATE($B$3,1,1),업무일지!$B$5:$B$1004,"&lt;"&amp;DATE($B$3,1+1,1))&gt;0,1,0))</f>
        <v/>
      </c>
      <c r="AO85">
        <f>IF($O85="",0,IF(COUNTIFS(업무일지!$F$5:$F$1004,$O85,업무일지!$B$5:$B$1004,"&gt;="&amp;DATE($B$3,2,1),업무일지!$B$5:$B$1004,"&lt;"&amp;DATE($B$3,2+1,1))&gt;0,1,0))</f>
        <v/>
      </c>
      <c r="AP85">
        <f>IF($O85="",0,IF(COUNTIFS(업무일지!$F$5:$F$1004,$O85,업무일지!$B$5:$B$1004,"&gt;="&amp;DATE($B$3,3,1),업무일지!$B$5:$B$1004,"&lt;"&amp;DATE($B$3,3+1,1))&gt;0,1,0))</f>
        <v/>
      </c>
      <c r="AQ85">
        <f>IF($O85="",0,IF(COUNTIFS(업무일지!$F$5:$F$1004,$O85,업무일지!$B$5:$B$1004,"&gt;="&amp;DATE($B$3,4,1),업무일지!$B$5:$B$1004,"&lt;"&amp;DATE($B$3,4+1,1))&gt;0,1,0))</f>
        <v/>
      </c>
      <c r="AR85">
        <f>IF($O85="",0,IF(COUNTIFS(업무일지!$F$5:$F$1004,$O85,업무일지!$B$5:$B$1004,"&gt;="&amp;DATE($B$3,5,1),업무일지!$B$5:$B$1004,"&lt;"&amp;DATE($B$3,5+1,1))&gt;0,1,0))</f>
        <v/>
      </c>
      <c r="AS85">
        <f>IF($O85="",0,IF(COUNTIFS(업무일지!$F$5:$F$1004,$O85,업무일지!$B$5:$B$1004,"&gt;="&amp;DATE($B$3,6,1),업무일지!$B$5:$B$1004,"&lt;"&amp;DATE($B$3,6+1,1))&gt;0,1,0))</f>
        <v/>
      </c>
      <c r="AT85">
        <f>IF($O85="",0,IF(COUNTIFS(업무일지!$F$5:$F$1004,$O85,업무일지!$B$5:$B$1004,"&gt;="&amp;DATE($B$3,7,1),업무일지!$B$5:$B$1004,"&lt;"&amp;DATE($B$3,7+1,1))&gt;0,1,0))</f>
        <v/>
      </c>
      <c r="AU85">
        <f>IF($O85="",0,IF(COUNTIFS(업무일지!$F$5:$F$1004,$O85,업무일지!$B$5:$B$1004,"&gt;="&amp;DATE($B$3,8,1),업무일지!$B$5:$B$1004,"&lt;"&amp;DATE($B$3,8+1,1))&gt;0,1,0))</f>
        <v/>
      </c>
      <c r="AV85">
        <f>IF($O85="",0,IF(COUNTIFS(업무일지!$F$5:$F$1004,$O85,업무일지!$B$5:$B$1004,"&gt;="&amp;DATE($B$3,9,1),업무일지!$B$5:$B$1004,"&lt;"&amp;DATE($B$3,9+1,1))&gt;0,1,0))</f>
        <v/>
      </c>
      <c r="AW85">
        <f>IF($O85="",0,IF(COUNTIFS(업무일지!$F$5:$F$1004,$O85,업무일지!$B$5:$B$1004,"&gt;="&amp;DATE($B$3,10,1),업무일지!$B$5:$B$1004,"&lt;"&amp;DATE($B$3,10+1,1))&gt;0,1,0))</f>
        <v/>
      </c>
      <c r="AX85">
        <f>IF($O85="",0,IF(COUNTIFS(업무일지!$F$5:$F$1004,$O85,업무일지!$B$5:$B$1004,"&gt;="&amp;DATE($B$3,11,1),업무일지!$B$5:$B$1004,"&lt;"&amp;DATE($B$3,11+1,1))&gt;0,1,0))</f>
        <v/>
      </c>
      <c r="AY85">
        <f>IF($O85="",0,IF(COUNTIFS(업무일지!$F$5:$F$1004,$O85,업무일지!$B$5:$B$1004,"&gt;="&amp;DATE($B$3,12,1),업무일지!$B$5:$B$1004,"&lt;"&amp;DATE($B$3,12+1,1))&gt;0,1,0))</f>
        <v/>
      </c>
      <c r="AZ85">
        <f>IF($O85="",0,IF(COUNTIFS(업무일지!$F$5:$F$1004,$O85,업무일지!$B$5:$B$1004,"&gt;="&amp;DATE($B$3,1,1),업무일지!$B$5:$B$1004,"&lt;"&amp;DATE($B$3+1,1,1),업무일지!$D$5:$D$1004,"출장")&gt;0,1,0))</f>
        <v/>
      </c>
      <c r="BA85">
        <f>IF($O85="",0,IF(COUNTIFS(업무일지!$F$5:$F$1004,$O85,업무일지!$B$5:$B$1004,"&gt;="&amp;DATE($B$3,1,1),업무일지!$B$5:$B$1004,"&lt;"&amp;DATE($B$3+1,1,1),업무일지!$D$5:$D$1004,"분석")&gt;0,1,0))</f>
        <v/>
      </c>
      <c r="BB85">
        <f>IF($O85="",0,IF(COUNTIFS(업무일지!$F$5:$F$1004,$O85,업무일지!$B$5:$B$1004,"&gt;="&amp;DATE($B$3,1,1),업무일지!$B$5:$B$1004,"&lt;"&amp;DATE($B$3+1,1,1))&gt;0,1,0))</f>
        <v/>
      </c>
      <c r="BD85">
        <f>IF($O85="",0,IF(COUNTIFS(업무일지!$F$5:$F$1004,$O85,업무일지!$B$5:$B$1004,"&gt;="&amp;DATE($B$3,1,1),업무일지!$B$5:$B$1004,"&lt;"&amp;DATE($B$3+1,1,1),업무일지!$AB$5:$AB$1004,$A$44,업무일지!$D$5:$D$1004,"출장")&gt;0,1,0))</f>
        <v/>
      </c>
      <c r="BE85">
        <f>IF($O85="",0,IF(COUNTIFS(업무일지!$F$5:$F$1004,$O85,업무일지!$B$5:$B$1004,"&gt;="&amp;DATE($B$3,1,1),업무일지!$B$5:$B$1004,"&lt;"&amp;DATE($B$3+1,1,1),업무일지!$AB$5:$AB$1004,$A$45,업무일지!$D$5:$D$1004,"출장")&gt;0,1,0))</f>
        <v/>
      </c>
      <c r="BF85">
        <f>IF($O85="",0,IF(COUNTIFS(업무일지!$F$5:$F$1004,$O85,업무일지!$B$5:$B$1004,"&gt;="&amp;DATE($B$3,1,1),업무일지!$B$5:$B$1004,"&lt;"&amp;DATE($B$3+1,1,1),업무일지!$AB$5:$AB$1004,$A$46,업무일지!$D$5:$D$1004,"출장")&gt;0,1,0))</f>
        <v/>
      </c>
      <c r="BG85">
        <f>IF($O85="",0,IF(COUNTIFS(업무일지!$F$5:$F$1004,$O85,업무일지!$B$5:$B$1004,"&gt;="&amp;DATE($B$3,1,1),업무일지!$B$5:$B$1004,"&lt;"&amp;DATE($B$3+1,1,1),업무일지!$AB$5:$AB$1004,$A$47,업무일지!$D$5:$D$1004,"출장")&gt;0,1,0))</f>
        <v/>
      </c>
      <c r="BH85">
        <f>IF($O85="",0,IF(COUNTIFS(업무일지!$F$5:$F$1004,$O85,업무일지!$B$5:$B$1004,"&gt;="&amp;DATE($B$3,1,1),업무일지!$B$5:$B$1004,"&lt;"&amp;DATE($B$3+1,1,1),업무일지!$AB$5:$AB$1004,$A$48,업무일지!$D$5:$D$1004,"출장")&gt;0,1,0))</f>
        <v/>
      </c>
      <c r="BI85">
        <f>IF($O85="",0,IF(COUNTIFS(업무일지!$F$5:$F$1004,$O85,업무일지!$B$5:$B$1004,"&gt;="&amp;DATE($B$3,1,1),업무일지!$B$5:$B$1004,"&lt;"&amp;DATE($B$3+1,1,1),업무일지!$AB$5:$AB$1004,$A$49,업무일지!$D$5:$D$1004,"출장")&gt;0,1,0))</f>
        <v/>
      </c>
      <c r="BJ85">
        <f>IF($O85="",0,IF(COUNTIFS(업무일지!$F$5:$F$1004,$O85,업무일지!$B$5:$B$1004,"&gt;="&amp;DATE($B$3,1,1),업무일지!$B$5:$B$1004,"&lt;"&amp;DATE($B$3+1,1,1),업무일지!$AB$5:$AB$1004,$A$50,업무일지!$D$5:$D$1004,"출장")&gt;0,1,0))</f>
        <v/>
      </c>
      <c r="BK85">
        <f>IF($O85="",0,IF(COUNTIFS(업무일지!$F$5:$F$1004,$O85,업무일지!$B$5:$B$1004,"&gt;="&amp;DATE($B$3,1,1),업무일지!$B$5:$B$1004,"&lt;"&amp;DATE($B$3+1,1,1),업무일지!$AB$5:$AB$1004,$A$51,업무일지!$D$5:$D$1004,"출장")&gt;0,1,0))</f>
        <v/>
      </c>
      <c r="BL85">
        <f>IF($O85="",0,IF(COUNTIFS(업무일지!$F$5:$F$1004,$O85,업무일지!$B$5:$B$1004,"&gt;="&amp;DATE($B$3,1,1),업무일지!$B$5:$B$1004,"&lt;"&amp;DATE($B$3+1,1,1),업무일지!$AB$5:$AB$1004,$A$52,업무일지!$D$5:$D$1004,"출장")&gt;0,1,0))</f>
        <v/>
      </c>
      <c r="BM85">
        <f>IF($O85="",0,IF(COUNTIFS(업무일지!$F$5:$F$1004,$O85,업무일지!$B$5:$B$1004,"&gt;="&amp;DATE($B$3,1,1),업무일지!$B$5:$B$1004,"&lt;"&amp;DATE($B$3+1,1,1),업무일지!$AB$5:$AB$1004,$A$53,업무일지!$D$5:$D$1004,"출장")&gt;0,1,0))</f>
        <v/>
      </c>
      <c r="BO85">
        <f>IF($O85="",0,IF(COUNTIFS(업무일지!$F$5:$F$1004,$O85,업무일지!$B$5:$B$1004,"&gt;="&amp;DATE($B$3,1,1),업무일지!$B$5:$B$1004,"&lt;"&amp;DATE($B$3+1,1,1),업무일지!$AB$5:$AB$1004,$A$44,업무일지!$D$5:$D$1004,"분석")&gt;0,1,0))</f>
        <v/>
      </c>
      <c r="BP85">
        <f>IF($O85="",0,IF(COUNTIFS(업무일지!$F$5:$F$1004,$O85,업무일지!$B$5:$B$1004,"&gt;="&amp;DATE($B$3,1,1),업무일지!$B$5:$B$1004,"&lt;"&amp;DATE($B$3+1,1,1),업무일지!$AB$5:$AB$1004,$A$45,업무일지!$D$5:$D$1004,"분석")&gt;0,1,0))</f>
        <v/>
      </c>
      <c r="BQ85">
        <f>IF($O85="",0,IF(COUNTIFS(업무일지!$F$5:$F$1004,$O85,업무일지!$B$5:$B$1004,"&gt;="&amp;DATE($B$3,1,1),업무일지!$B$5:$B$1004,"&lt;"&amp;DATE($B$3+1,1,1),업무일지!$AB$5:$AB$1004,$A$46,업무일지!$D$5:$D$1004,"분석")&gt;0,1,0))</f>
        <v/>
      </c>
      <c r="BR85">
        <f>IF($O85="",0,IF(COUNTIFS(업무일지!$F$5:$F$1004,$O85,업무일지!$B$5:$B$1004,"&gt;="&amp;DATE($B$3,1,1),업무일지!$B$5:$B$1004,"&lt;"&amp;DATE($B$3+1,1,1),업무일지!$AB$5:$AB$1004,$A$47,업무일지!$D$5:$D$1004,"분석")&gt;0,1,0))</f>
        <v/>
      </c>
      <c r="BS85">
        <f>IF($O85="",0,IF(COUNTIFS(업무일지!$F$5:$F$1004,$O85,업무일지!$B$5:$B$1004,"&gt;="&amp;DATE($B$3,1,1),업무일지!$B$5:$B$1004,"&lt;"&amp;DATE($B$3+1,1,1),업무일지!$AB$5:$AB$1004,$A$48,업무일지!$D$5:$D$1004,"분석")&gt;0,1,0))</f>
        <v/>
      </c>
      <c r="BT85">
        <f>IF($O85="",0,IF(COUNTIFS(업무일지!$F$5:$F$1004,$O85,업무일지!$B$5:$B$1004,"&gt;="&amp;DATE($B$3,1,1),업무일지!$B$5:$B$1004,"&lt;"&amp;DATE($B$3+1,1,1),업무일지!$AB$5:$AB$1004,$A$49,업무일지!$D$5:$D$1004,"분석")&gt;0,1,0))</f>
        <v/>
      </c>
      <c r="BU85">
        <f>IF($O85="",0,IF(COUNTIFS(업무일지!$F$5:$F$1004,$O85,업무일지!$B$5:$B$1004,"&gt;="&amp;DATE($B$3,1,1),업무일지!$B$5:$B$1004,"&lt;"&amp;DATE($B$3+1,1,1),업무일지!$AB$5:$AB$1004,$A$50,업무일지!$D$5:$D$1004,"분석")&gt;0,1,0))</f>
        <v/>
      </c>
      <c r="BV85">
        <f>IF($O85="",0,IF(COUNTIFS(업무일지!$F$5:$F$1004,$O85,업무일지!$B$5:$B$1004,"&gt;="&amp;DATE($B$3,1,1),업무일지!$B$5:$B$1004,"&lt;"&amp;DATE($B$3+1,1,1),업무일지!$AB$5:$AB$1004,$A$51,업무일지!$D$5:$D$1004,"분석")&gt;0,1,0))</f>
        <v/>
      </c>
      <c r="BW85">
        <f>IF($O85="",0,IF(COUNTIFS(업무일지!$F$5:$F$1004,$O85,업무일지!$B$5:$B$1004,"&gt;="&amp;DATE($B$3,1,1),업무일지!$B$5:$B$1004,"&lt;"&amp;DATE($B$3+1,1,1),업무일지!$AB$5:$AB$1004,$A$52,업무일지!$D$5:$D$1004,"분석")&gt;0,1,0))</f>
        <v/>
      </c>
      <c r="BX85">
        <f>IF($O85="",0,IF(COUNTIFS(업무일지!$F$5:$F$1004,$O85,업무일지!$B$5:$B$1004,"&gt;="&amp;DATE($B$3,1,1),업무일지!$B$5:$B$1004,"&lt;"&amp;DATE($B$3+1,1,1),업무일지!$AB$5:$AB$1004,$A$53,업무일지!$D$5:$D$1004,"분석")&gt;0,1,0))</f>
        <v/>
      </c>
      <c r="BZ85">
        <f>IF($O85="",0,IF(COUNTIFS(업무일지!$F$5:$F$1004,$O85,업무일지!$B$5:$B$1004,"&gt;="&amp;DATE($B$3,1,1),업무일지!$B$5:$B$1004,"&lt;"&amp;DATE($B$3+1,1,1),업무일지!$AB$5:$AB$1004,$A$44)&gt;0,1,0))</f>
        <v/>
      </c>
      <c r="CA85">
        <f>IF($O85="",0,IF(COUNTIFS(업무일지!$F$5:$F$1004,$O85,업무일지!$B$5:$B$1004,"&gt;="&amp;DATE($B$3,1,1),업무일지!$B$5:$B$1004,"&lt;"&amp;DATE($B$3+1,1,1),업무일지!$AB$5:$AB$1004,$A$45)&gt;0,1,0))</f>
        <v/>
      </c>
      <c r="CB85">
        <f>IF($O85="",0,IF(COUNTIFS(업무일지!$F$5:$F$1004,$O85,업무일지!$B$5:$B$1004,"&gt;="&amp;DATE($B$3,1,1),업무일지!$B$5:$B$1004,"&lt;"&amp;DATE($B$3+1,1,1),업무일지!$AB$5:$AB$1004,$A$46)&gt;0,1,0))</f>
        <v/>
      </c>
      <c r="CC85">
        <f>IF($O85="",0,IF(COUNTIFS(업무일지!$F$5:$F$1004,$O85,업무일지!$B$5:$B$1004,"&gt;="&amp;DATE($B$3,1,1),업무일지!$B$5:$B$1004,"&lt;"&amp;DATE($B$3+1,1,1),업무일지!$AB$5:$AB$1004,$A$47)&gt;0,1,0))</f>
        <v/>
      </c>
      <c r="CD85">
        <f>IF($O85="",0,IF(COUNTIFS(업무일지!$F$5:$F$1004,$O85,업무일지!$B$5:$B$1004,"&gt;="&amp;DATE($B$3,1,1),업무일지!$B$5:$B$1004,"&lt;"&amp;DATE($B$3+1,1,1),업무일지!$AB$5:$AB$1004,$A$48)&gt;0,1,0))</f>
        <v/>
      </c>
      <c r="CE85">
        <f>IF($O85="",0,IF(COUNTIFS(업무일지!$F$5:$F$1004,$O85,업무일지!$B$5:$B$1004,"&gt;="&amp;DATE($B$3,1,1),업무일지!$B$5:$B$1004,"&lt;"&amp;DATE($B$3+1,1,1),업무일지!$AB$5:$AB$1004,$A$49)&gt;0,1,0))</f>
        <v/>
      </c>
      <c r="CF85">
        <f>IF($O85="",0,IF(COUNTIFS(업무일지!$F$5:$F$1004,$O85,업무일지!$B$5:$B$1004,"&gt;="&amp;DATE($B$3,1,1),업무일지!$B$5:$B$1004,"&lt;"&amp;DATE($B$3+1,1,1),업무일지!$AB$5:$AB$1004,$A$50)&gt;0,1,0))</f>
        <v/>
      </c>
      <c r="CG85">
        <f>IF($O85="",0,IF(COUNTIFS(업무일지!$F$5:$F$1004,$O85,업무일지!$B$5:$B$1004,"&gt;="&amp;DATE($B$3,1,1),업무일지!$B$5:$B$1004,"&lt;"&amp;DATE($B$3+1,1,1),업무일지!$AB$5:$AB$1004,$A$51)&gt;0,1,0))</f>
        <v/>
      </c>
      <c r="CH85">
        <f>IF($O85="",0,IF(COUNTIFS(업무일지!$F$5:$F$1004,$O85,업무일지!$B$5:$B$1004,"&gt;="&amp;DATE($B$3,1,1),업무일지!$B$5:$B$1004,"&lt;"&amp;DATE($B$3+1,1,1),업무일지!$AB$5:$AB$1004,$A$52)&gt;0,1,0))</f>
        <v/>
      </c>
      <c r="CI85">
        <f>IF($O85="",0,IF(COUNTIFS(업무일지!$F$5:$F$1004,$O85,업무일지!$B$5:$B$1004,"&gt;="&amp;DATE($B$3,1,1),업무일지!$B$5:$B$1004,"&lt;"&amp;DATE($B$3+1,1,1),업무일지!$AB$5:$AB$1004,$A$53)&gt;0,1,0))</f>
        <v/>
      </c>
    </row>
    <row r="86">
      <c r="O86">
        <f>IF(사건마스터!$A6="","",사건마스터!$A6)</f>
        <v/>
      </c>
      <c r="P86">
        <f>IF($O86="",0,IF(COUNTIFS(업무일지!$F$5:$F$1004,$O86,업무일지!$B$5:$B$1004,"&gt;="&amp;DATE($B$3,1,1),업무일지!$B$5:$B$1004,"&lt;"&amp;DATE($B$3,1+1,1),업무일지!$D$5:$D$1004,"출장")&gt;0,1,0))</f>
        <v/>
      </c>
      <c r="Q86">
        <f>IF($O86="",0,IF(COUNTIFS(업무일지!$F$5:$F$1004,$O86,업무일지!$B$5:$B$1004,"&gt;="&amp;DATE($B$3,2,1),업무일지!$B$5:$B$1004,"&lt;"&amp;DATE($B$3,2+1,1),업무일지!$D$5:$D$1004,"출장")&gt;0,1,0))</f>
        <v/>
      </c>
      <c r="R86">
        <f>IF($O86="",0,IF(COUNTIFS(업무일지!$F$5:$F$1004,$O86,업무일지!$B$5:$B$1004,"&gt;="&amp;DATE($B$3,3,1),업무일지!$B$5:$B$1004,"&lt;"&amp;DATE($B$3,3+1,1),업무일지!$D$5:$D$1004,"출장")&gt;0,1,0))</f>
        <v/>
      </c>
      <c r="S86">
        <f>IF($O86="",0,IF(COUNTIFS(업무일지!$F$5:$F$1004,$O86,업무일지!$B$5:$B$1004,"&gt;="&amp;DATE($B$3,4,1),업무일지!$B$5:$B$1004,"&lt;"&amp;DATE($B$3,4+1,1),업무일지!$D$5:$D$1004,"출장")&gt;0,1,0))</f>
        <v/>
      </c>
      <c r="T86">
        <f>IF($O86="",0,IF(COUNTIFS(업무일지!$F$5:$F$1004,$O86,업무일지!$B$5:$B$1004,"&gt;="&amp;DATE($B$3,5,1),업무일지!$B$5:$B$1004,"&lt;"&amp;DATE($B$3,5+1,1),업무일지!$D$5:$D$1004,"출장")&gt;0,1,0))</f>
        <v/>
      </c>
      <c r="U86">
        <f>IF($O86="",0,IF(COUNTIFS(업무일지!$F$5:$F$1004,$O86,업무일지!$B$5:$B$1004,"&gt;="&amp;DATE($B$3,6,1),업무일지!$B$5:$B$1004,"&lt;"&amp;DATE($B$3,6+1,1),업무일지!$D$5:$D$1004,"출장")&gt;0,1,0))</f>
        <v/>
      </c>
      <c r="V86">
        <f>IF($O86="",0,IF(COUNTIFS(업무일지!$F$5:$F$1004,$O86,업무일지!$B$5:$B$1004,"&gt;="&amp;DATE($B$3,7,1),업무일지!$B$5:$B$1004,"&lt;"&amp;DATE($B$3,7+1,1),업무일지!$D$5:$D$1004,"출장")&gt;0,1,0))</f>
        <v/>
      </c>
      <c r="W86">
        <f>IF($O86="",0,IF(COUNTIFS(업무일지!$F$5:$F$1004,$O86,업무일지!$B$5:$B$1004,"&gt;="&amp;DATE($B$3,8,1),업무일지!$B$5:$B$1004,"&lt;"&amp;DATE($B$3,8+1,1),업무일지!$D$5:$D$1004,"출장")&gt;0,1,0))</f>
        <v/>
      </c>
      <c r="X86">
        <f>IF($O86="",0,IF(COUNTIFS(업무일지!$F$5:$F$1004,$O86,업무일지!$B$5:$B$1004,"&gt;="&amp;DATE($B$3,9,1),업무일지!$B$5:$B$1004,"&lt;"&amp;DATE($B$3,9+1,1),업무일지!$D$5:$D$1004,"출장")&gt;0,1,0))</f>
        <v/>
      </c>
      <c r="Y86">
        <f>IF($O86="",0,IF(COUNTIFS(업무일지!$F$5:$F$1004,$O86,업무일지!$B$5:$B$1004,"&gt;="&amp;DATE($B$3,10,1),업무일지!$B$5:$B$1004,"&lt;"&amp;DATE($B$3,10+1,1),업무일지!$D$5:$D$1004,"출장")&gt;0,1,0))</f>
        <v/>
      </c>
      <c r="Z86">
        <f>IF($O86="",0,IF(COUNTIFS(업무일지!$F$5:$F$1004,$O86,업무일지!$B$5:$B$1004,"&gt;="&amp;DATE($B$3,11,1),업무일지!$B$5:$B$1004,"&lt;"&amp;DATE($B$3,11+1,1),업무일지!$D$5:$D$1004,"출장")&gt;0,1,0))</f>
        <v/>
      </c>
      <c r="AA86">
        <f>IF($O86="",0,IF(COUNTIFS(업무일지!$F$5:$F$1004,$O86,업무일지!$B$5:$B$1004,"&gt;="&amp;DATE($B$3,12,1),업무일지!$B$5:$B$1004,"&lt;"&amp;DATE($B$3,12+1,1),업무일지!$D$5:$D$1004,"출장")&gt;0,1,0))</f>
        <v/>
      </c>
      <c r="AB86">
        <f>IF($O86="",0,IF(COUNTIFS(업무일지!$F$5:$F$1004,$O86,업무일지!$B$5:$B$1004,"&gt;="&amp;DATE($B$3,1,1),업무일지!$B$5:$B$1004,"&lt;"&amp;DATE($B$3,1+1,1),업무일지!$D$5:$D$1004,"분석")&gt;0,1,0))</f>
        <v/>
      </c>
      <c r="AC86">
        <f>IF($O86="",0,IF(COUNTIFS(업무일지!$F$5:$F$1004,$O86,업무일지!$B$5:$B$1004,"&gt;="&amp;DATE($B$3,2,1),업무일지!$B$5:$B$1004,"&lt;"&amp;DATE($B$3,2+1,1),업무일지!$D$5:$D$1004,"분석")&gt;0,1,0))</f>
        <v/>
      </c>
      <c r="AD86">
        <f>IF($O86="",0,IF(COUNTIFS(업무일지!$F$5:$F$1004,$O86,업무일지!$B$5:$B$1004,"&gt;="&amp;DATE($B$3,3,1),업무일지!$B$5:$B$1004,"&lt;"&amp;DATE($B$3,3+1,1),업무일지!$D$5:$D$1004,"분석")&gt;0,1,0))</f>
        <v/>
      </c>
      <c r="AE86">
        <f>IF($O86="",0,IF(COUNTIFS(업무일지!$F$5:$F$1004,$O86,업무일지!$B$5:$B$1004,"&gt;="&amp;DATE($B$3,4,1),업무일지!$B$5:$B$1004,"&lt;"&amp;DATE($B$3,4+1,1),업무일지!$D$5:$D$1004,"분석")&gt;0,1,0))</f>
        <v/>
      </c>
      <c r="AF86">
        <f>IF($O86="",0,IF(COUNTIFS(업무일지!$F$5:$F$1004,$O86,업무일지!$B$5:$B$1004,"&gt;="&amp;DATE($B$3,5,1),업무일지!$B$5:$B$1004,"&lt;"&amp;DATE($B$3,5+1,1),업무일지!$D$5:$D$1004,"분석")&gt;0,1,0))</f>
        <v/>
      </c>
      <c r="AG86">
        <f>IF($O86="",0,IF(COUNTIFS(업무일지!$F$5:$F$1004,$O86,업무일지!$B$5:$B$1004,"&gt;="&amp;DATE($B$3,6,1),업무일지!$B$5:$B$1004,"&lt;"&amp;DATE($B$3,6+1,1),업무일지!$D$5:$D$1004,"분석")&gt;0,1,0))</f>
        <v/>
      </c>
      <c r="AH86">
        <f>IF($O86="",0,IF(COUNTIFS(업무일지!$F$5:$F$1004,$O86,업무일지!$B$5:$B$1004,"&gt;="&amp;DATE($B$3,7,1),업무일지!$B$5:$B$1004,"&lt;"&amp;DATE($B$3,7+1,1),업무일지!$D$5:$D$1004,"분석")&gt;0,1,0))</f>
        <v/>
      </c>
      <c r="AI86">
        <f>IF($O86="",0,IF(COUNTIFS(업무일지!$F$5:$F$1004,$O86,업무일지!$B$5:$B$1004,"&gt;="&amp;DATE($B$3,8,1),업무일지!$B$5:$B$1004,"&lt;"&amp;DATE($B$3,8+1,1),업무일지!$D$5:$D$1004,"분석")&gt;0,1,0))</f>
        <v/>
      </c>
      <c r="AJ86">
        <f>IF($O86="",0,IF(COUNTIFS(업무일지!$F$5:$F$1004,$O86,업무일지!$B$5:$B$1004,"&gt;="&amp;DATE($B$3,9,1),업무일지!$B$5:$B$1004,"&lt;"&amp;DATE($B$3,9+1,1),업무일지!$D$5:$D$1004,"분석")&gt;0,1,0))</f>
        <v/>
      </c>
      <c r="AK86">
        <f>IF($O86="",0,IF(COUNTIFS(업무일지!$F$5:$F$1004,$O86,업무일지!$B$5:$B$1004,"&gt;="&amp;DATE($B$3,10,1),업무일지!$B$5:$B$1004,"&lt;"&amp;DATE($B$3,10+1,1),업무일지!$D$5:$D$1004,"분석")&gt;0,1,0))</f>
        <v/>
      </c>
      <c r="AL86">
        <f>IF($O86="",0,IF(COUNTIFS(업무일지!$F$5:$F$1004,$O86,업무일지!$B$5:$B$1004,"&gt;="&amp;DATE($B$3,11,1),업무일지!$B$5:$B$1004,"&lt;"&amp;DATE($B$3,11+1,1),업무일지!$D$5:$D$1004,"분석")&gt;0,1,0))</f>
        <v/>
      </c>
      <c r="AM86">
        <f>IF($O86="",0,IF(COUNTIFS(업무일지!$F$5:$F$1004,$O86,업무일지!$B$5:$B$1004,"&gt;="&amp;DATE($B$3,12,1),업무일지!$B$5:$B$1004,"&lt;"&amp;DATE($B$3,12+1,1),업무일지!$D$5:$D$1004,"분석")&gt;0,1,0))</f>
        <v/>
      </c>
      <c r="AN86">
        <f>IF($O86="",0,IF(COUNTIFS(업무일지!$F$5:$F$1004,$O86,업무일지!$B$5:$B$1004,"&gt;="&amp;DATE($B$3,1,1),업무일지!$B$5:$B$1004,"&lt;"&amp;DATE($B$3,1+1,1))&gt;0,1,0))</f>
        <v/>
      </c>
      <c r="AO86">
        <f>IF($O86="",0,IF(COUNTIFS(업무일지!$F$5:$F$1004,$O86,업무일지!$B$5:$B$1004,"&gt;="&amp;DATE($B$3,2,1),업무일지!$B$5:$B$1004,"&lt;"&amp;DATE($B$3,2+1,1))&gt;0,1,0))</f>
        <v/>
      </c>
      <c r="AP86">
        <f>IF($O86="",0,IF(COUNTIFS(업무일지!$F$5:$F$1004,$O86,업무일지!$B$5:$B$1004,"&gt;="&amp;DATE($B$3,3,1),업무일지!$B$5:$B$1004,"&lt;"&amp;DATE($B$3,3+1,1))&gt;0,1,0))</f>
        <v/>
      </c>
      <c r="AQ86">
        <f>IF($O86="",0,IF(COUNTIFS(업무일지!$F$5:$F$1004,$O86,업무일지!$B$5:$B$1004,"&gt;="&amp;DATE($B$3,4,1),업무일지!$B$5:$B$1004,"&lt;"&amp;DATE($B$3,4+1,1))&gt;0,1,0))</f>
        <v/>
      </c>
      <c r="AR86">
        <f>IF($O86="",0,IF(COUNTIFS(업무일지!$F$5:$F$1004,$O86,업무일지!$B$5:$B$1004,"&gt;="&amp;DATE($B$3,5,1),업무일지!$B$5:$B$1004,"&lt;"&amp;DATE($B$3,5+1,1))&gt;0,1,0))</f>
        <v/>
      </c>
      <c r="AS86">
        <f>IF($O86="",0,IF(COUNTIFS(업무일지!$F$5:$F$1004,$O86,업무일지!$B$5:$B$1004,"&gt;="&amp;DATE($B$3,6,1),업무일지!$B$5:$B$1004,"&lt;"&amp;DATE($B$3,6+1,1))&gt;0,1,0))</f>
        <v/>
      </c>
      <c r="AT86">
        <f>IF($O86="",0,IF(COUNTIFS(업무일지!$F$5:$F$1004,$O86,업무일지!$B$5:$B$1004,"&gt;="&amp;DATE($B$3,7,1),업무일지!$B$5:$B$1004,"&lt;"&amp;DATE($B$3,7+1,1))&gt;0,1,0))</f>
        <v/>
      </c>
      <c r="AU86">
        <f>IF($O86="",0,IF(COUNTIFS(업무일지!$F$5:$F$1004,$O86,업무일지!$B$5:$B$1004,"&gt;="&amp;DATE($B$3,8,1),업무일지!$B$5:$B$1004,"&lt;"&amp;DATE($B$3,8+1,1))&gt;0,1,0))</f>
        <v/>
      </c>
      <c r="AV86">
        <f>IF($O86="",0,IF(COUNTIFS(업무일지!$F$5:$F$1004,$O86,업무일지!$B$5:$B$1004,"&gt;="&amp;DATE($B$3,9,1),업무일지!$B$5:$B$1004,"&lt;"&amp;DATE($B$3,9+1,1))&gt;0,1,0))</f>
        <v/>
      </c>
      <c r="AW86">
        <f>IF($O86="",0,IF(COUNTIFS(업무일지!$F$5:$F$1004,$O86,업무일지!$B$5:$B$1004,"&gt;="&amp;DATE($B$3,10,1),업무일지!$B$5:$B$1004,"&lt;"&amp;DATE($B$3,10+1,1))&gt;0,1,0))</f>
        <v/>
      </c>
      <c r="AX86">
        <f>IF($O86="",0,IF(COUNTIFS(업무일지!$F$5:$F$1004,$O86,업무일지!$B$5:$B$1004,"&gt;="&amp;DATE($B$3,11,1),업무일지!$B$5:$B$1004,"&lt;"&amp;DATE($B$3,11+1,1))&gt;0,1,0))</f>
        <v/>
      </c>
      <c r="AY86">
        <f>IF($O86="",0,IF(COUNTIFS(업무일지!$F$5:$F$1004,$O86,업무일지!$B$5:$B$1004,"&gt;="&amp;DATE($B$3,12,1),업무일지!$B$5:$B$1004,"&lt;"&amp;DATE($B$3,12+1,1))&gt;0,1,0))</f>
        <v/>
      </c>
      <c r="AZ86">
        <f>IF($O86="",0,IF(COUNTIFS(업무일지!$F$5:$F$1004,$O86,업무일지!$B$5:$B$1004,"&gt;="&amp;DATE($B$3,1,1),업무일지!$B$5:$B$1004,"&lt;"&amp;DATE($B$3+1,1,1),업무일지!$D$5:$D$1004,"출장")&gt;0,1,0))</f>
        <v/>
      </c>
      <c r="BA86">
        <f>IF($O86="",0,IF(COUNTIFS(업무일지!$F$5:$F$1004,$O86,업무일지!$B$5:$B$1004,"&gt;="&amp;DATE($B$3,1,1),업무일지!$B$5:$B$1004,"&lt;"&amp;DATE($B$3+1,1,1),업무일지!$D$5:$D$1004,"분석")&gt;0,1,0))</f>
        <v/>
      </c>
      <c r="BB86">
        <f>IF($O86="",0,IF(COUNTIFS(업무일지!$F$5:$F$1004,$O86,업무일지!$B$5:$B$1004,"&gt;="&amp;DATE($B$3,1,1),업무일지!$B$5:$B$1004,"&lt;"&amp;DATE($B$3+1,1,1))&gt;0,1,0))</f>
        <v/>
      </c>
      <c r="BD86">
        <f>IF($O86="",0,IF(COUNTIFS(업무일지!$F$5:$F$1004,$O86,업무일지!$B$5:$B$1004,"&gt;="&amp;DATE($B$3,1,1),업무일지!$B$5:$B$1004,"&lt;"&amp;DATE($B$3+1,1,1),업무일지!$AB$5:$AB$1004,$A$44,업무일지!$D$5:$D$1004,"출장")&gt;0,1,0))</f>
        <v/>
      </c>
      <c r="BE86">
        <f>IF($O86="",0,IF(COUNTIFS(업무일지!$F$5:$F$1004,$O86,업무일지!$B$5:$B$1004,"&gt;="&amp;DATE($B$3,1,1),업무일지!$B$5:$B$1004,"&lt;"&amp;DATE($B$3+1,1,1),업무일지!$AB$5:$AB$1004,$A$45,업무일지!$D$5:$D$1004,"출장")&gt;0,1,0))</f>
        <v/>
      </c>
      <c r="BF86">
        <f>IF($O86="",0,IF(COUNTIFS(업무일지!$F$5:$F$1004,$O86,업무일지!$B$5:$B$1004,"&gt;="&amp;DATE($B$3,1,1),업무일지!$B$5:$B$1004,"&lt;"&amp;DATE($B$3+1,1,1),업무일지!$AB$5:$AB$1004,$A$46,업무일지!$D$5:$D$1004,"출장")&gt;0,1,0))</f>
        <v/>
      </c>
      <c r="BG86">
        <f>IF($O86="",0,IF(COUNTIFS(업무일지!$F$5:$F$1004,$O86,업무일지!$B$5:$B$1004,"&gt;="&amp;DATE($B$3,1,1),업무일지!$B$5:$B$1004,"&lt;"&amp;DATE($B$3+1,1,1),업무일지!$AB$5:$AB$1004,$A$47,업무일지!$D$5:$D$1004,"출장")&gt;0,1,0))</f>
        <v/>
      </c>
      <c r="BH86">
        <f>IF($O86="",0,IF(COUNTIFS(업무일지!$F$5:$F$1004,$O86,업무일지!$B$5:$B$1004,"&gt;="&amp;DATE($B$3,1,1),업무일지!$B$5:$B$1004,"&lt;"&amp;DATE($B$3+1,1,1),업무일지!$AB$5:$AB$1004,$A$48,업무일지!$D$5:$D$1004,"출장")&gt;0,1,0))</f>
        <v/>
      </c>
      <c r="BI86">
        <f>IF($O86="",0,IF(COUNTIFS(업무일지!$F$5:$F$1004,$O86,업무일지!$B$5:$B$1004,"&gt;="&amp;DATE($B$3,1,1),업무일지!$B$5:$B$1004,"&lt;"&amp;DATE($B$3+1,1,1),업무일지!$AB$5:$AB$1004,$A$49,업무일지!$D$5:$D$1004,"출장")&gt;0,1,0))</f>
        <v/>
      </c>
      <c r="BJ86">
        <f>IF($O86="",0,IF(COUNTIFS(업무일지!$F$5:$F$1004,$O86,업무일지!$B$5:$B$1004,"&gt;="&amp;DATE($B$3,1,1),업무일지!$B$5:$B$1004,"&lt;"&amp;DATE($B$3+1,1,1),업무일지!$AB$5:$AB$1004,$A$50,업무일지!$D$5:$D$1004,"출장")&gt;0,1,0))</f>
        <v/>
      </c>
      <c r="BK86">
        <f>IF($O86="",0,IF(COUNTIFS(업무일지!$F$5:$F$1004,$O86,업무일지!$B$5:$B$1004,"&gt;="&amp;DATE($B$3,1,1),업무일지!$B$5:$B$1004,"&lt;"&amp;DATE($B$3+1,1,1),업무일지!$AB$5:$AB$1004,$A$51,업무일지!$D$5:$D$1004,"출장")&gt;0,1,0))</f>
        <v/>
      </c>
      <c r="BL86">
        <f>IF($O86="",0,IF(COUNTIFS(업무일지!$F$5:$F$1004,$O86,업무일지!$B$5:$B$1004,"&gt;="&amp;DATE($B$3,1,1),업무일지!$B$5:$B$1004,"&lt;"&amp;DATE($B$3+1,1,1),업무일지!$AB$5:$AB$1004,$A$52,업무일지!$D$5:$D$1004,"출장")&gt;0,1,0))</f>
        <v/>
      </c>
      <c r="BM86">
        <f>IF($O86="",0,IF(COUNTIFS(업무일지!$F$5:$F$1004,$O86,업무일지!$B$5:$B$1004,"&gt;="&amp;DATE($B$3,1,1),업무일지!$B$5:$B$1004,"&lt;"&amp;DATE($B$3+1,1,1),업무일지!$AB$5:$AB$1004,$A$53,업무일지!$D$5:$D$1004,"출장")&gt;0,1,0))</f>
        <v/>
      </c>
      <c r="BO86">
        <f>IF($O86="",0,IF(COUNTIFS(업무일지!$F$5:$F$1004,$O86,업무일지!$B$5:$B$1004,"&gt;="&amp;DATE($B$3,1,1),업무일지!$B$5:$B$1004,"&lt;"&amp;DATE($B$3+1,1,1),업무일지!$AB$5:$AB$1004,$A$44,업무일지!$D$5:$D$1004,"분석")&gt;0,1,0))</f>
        <v/>
      </c>
      <c r="BP86">
        <f>IF($O86="",0,IF(COUNTIFS(업무일지!$F$5:$F$1004,$O86,업무일지!$B$5:$B$1004,"&gt;="&amp;DATE($B$3,1,1),업무일지!$B$5:$B$1004,"&lt;"&amp;DATE($B$3+1,1,1),업무일지!$AB$5:$AB$1004,$A$45,업무일지!$D$5:$D$1004,"분석")&gt;0,1,0))</f>
        <v/>
      </c>
      <c r="BQ86">
        <f>IF($O86="",0,IF(COUNTIFS(업무일지!$F$5:$F$1004,$O86,업무일지!$B$5:$B$1004,"&gt;="&amp;DATE($B$3,1,1),업무일지!$B$5:$B$1004,"&lt;"&amp;DATE($B$3+1,1,1),업무일지!$AB$5:$AB$1004,$A$46,업무일지!$D$5:$D$1004,"분석")&gt;0,1,0))</f>
        <v/>
      </c>
      <c r="BR86">
        <f>IF($O86="",0,IF(COUNTIFS(업무일지!$F$5:$F$1004,$O86,업무일지!$B$5:$B$1004,"&gt;="&amp;DATE($B$3,1,1),업무일지!$B$5:$B$1004,"&lt;"&amp;DATE($B$3+1,1,1),업무일지!$AB$5:$AB$1004,$A$47,업무일지!$D$5:$D$1004,"분석")&gt;0,1,0))</f>
        <v/>
      </c>
      <c r="BS86">
        <f>IF($O86="",0,IF(COUNTIFS(업무일지!$F$5:$F$1004,$O86,업무일지!$B$5:$B$1004,"&gt;="&amp;DATE($B$3,1,1),업무일지!$B$5:$B$1004,"&lt;"&amp;DATE($B$3+1,1,1),업무일지!$AB$5:$AB$1004,$A$48,업무일지!$D$5:$D$1004,"분석")&gt;0,1,0))</f>
        <v/>
      </c>
      <c r="BT86">
        <f>IF($O86="",0,IF(COUNTIFS(업무일지!$F$5:$F$1004,$O86,업무일지!$B$5:$B$1004,"&gt;="&amp;DATE($B$3,1,1),업무일지!$B$5:$B$1004,"&lt;"&amp;DATE($B$3+1,1,1),업무일지!$AB$5:$AB$1004,$A$49,업무일지!$D$5:$D$1004,"분석")&gt;0,1,0))</f>
        <v/>
      </c>
      <c r="BU86">
        <f>IF($O86="",0,IF(COUNTIFS(업무일지!$F$5:$F$1004,$O86,업무일지!$B$5:$B$1004,"&gt;="&amp;DATE($B$3,1,1),업무일지!$B$5:$B$1004,"&lt;"&amp;DATE($B$3+1,1,1),업무일지!$AB$5:$AB$1004,$A$50,업무일지!$D$5:$D$1004,"분석")&gt;0,1,0))</f>
        <v/>
      </c>
      <c r="BV86">
        <f>IF($O86="",0,IF(COUNTIFS(업무일지!$F$5:$F$1004,$O86,업무일지!$B$5:$B$1004,"&gt;="&amp;DATE($B$3,1,1),업무일지!$B$5:$B$1004,"&lt;"&amp;DATE($B$3+1,1,1),업무일지!$AB$5:$AB$1004,$A$51,업무일지!$D$5:$D$1004,"분석")&gt;0,1,0))</f>
        <v/>
      </c>
      <c r="BW86">
        <f>IF($O86="",0,IF(COUNTIFS(업무일지!$F$5:$F$1004,$O86,업무일지!$B$5:$B$1004,"&gt;="&amp;DATE($B$3,1,1),업무일지!$B$5:$B$1004,"&lt;"&amp;DATE($B$3+1,1,1),업무일지!$AB$5:$AB$1004,$A$52,업무일지!$D$5:$D$1004,"분석")&gt;0,1,0))</f>
        <v/>
      </c>
      <c r="BX86">
        <f>IF($O86="",0,IF(COUNTIFS(업무일지!$F$5:$F$1004,$O86,업무일지!$B$5:$B$1004,"&gt;="&amp;DATE($B$3,1,1),업무일지!$B$5:$B$1004,"&lt;"&amp;DATE($B$3+1,1,1),업무일지!$AB$5:$AB$1004,$A$53,업무일지!$D$5:$D$1004,"분석")&gt;0,1,0))</f>
        <v/>
      </c>
      <c r="BZ86">
        <f>IF($O86="",0,IF(COUNTIFS(업무일지!$F$5:$F$1004,$O86,업무일지!$B$5:$B$1004,"&gt;="&amp;DATE($B$3,1,1),업무일지!$B$5:$B$1004,"&lt;"&amp;DATE($B$3+1,1,1),업무일지!$AB$5:$AB$1004,$A$44)&gt;0,1,0))</f>
        <v/>
      </c>
      <c r="CA86">
        <f>IF($O86="",0,IF(COUNTIFS(업무일지!$F$5:$F$1004,$O86,업무일지!$B$5:$B$1004,"&gt;="&amp;DATE($B$3,1,1),업무일지!$B$5:$B$1004,"&lt;"&amp;DATE($B$3+1,1,1),업무일지!$AB$5:$AB$1004,$A$45)&gt;0,1,0))</f>
        <v/>
      </c>
      <c r="CB86">
        <f>IF($O86="",0,IF(COUNTIFS(업무일지!$F$5:$F$1004,$O86,업무일지!$B$5:$B$1004,"&gt;="&amp;DATE($B$3,1,1),업무일지!$B$5:$B$1004,"&lt;"&amp;DATE($B$3+1,1,1),업무일지!$AB$5:$AB$1004,$A$46)&gt;0,1,0))</f>
        <v/>
      </c>
      <c r="CC86">
        <f>IF($O86="",0,IF(COUNTIFS(업무일지!$F$5:$F$1004,$O86,업무일지!$B$5:$B$1004,"&gt;="&amp;DATE($B$3,1,1),업무일지!$B$5:$B$1004,"&lt;"&amp;DATE($B$3+1,1,1),업무일지!$AB$5:$AB$1004,$A$47)&gt;0,1,0))</f>
        <v/>
      </c>
      <c r="CD86">
        <f>IF($O86="",0,IF(COUNTIFS(업무일지!$F$5:$F$1004,$O86,업무일지!$B$5:$B$1004,"&gt;="&amp;DATE($B$3,1,1),업무일지!$B$5:$B$1004,"&lt;"&amp;DATE($B$3+1,1,1),업무일지!$AB$5:$AB$1004,$A$48)&gt;0,1,0))</f>
        <v/>
      </c>
      <c r="CE86">
        <f>IF($O86="",0,IF(COUNTIFS(업무일지!$F$5:$F$1004,$O86,업무일지!$B$5:$B$1004,"&gt;="&amp;DATE($B$3,1,1),업무일지!$B$5:$B$1004,"&lt;"&amp;DATE($B$3+1,1,1),업무일지!$AB$5:$AB$1004,$A$49)&gt;0,1,0))</f>
        <v/>
      </c>
      <c r="CF86">
        <f>IF($O86="",0,IF(COUNTIFS(업무일지!$F$5:$F$1004,$O86,업무일지!$B$5:$B$1004,"&gt;="&amp;DATE($B$3,1,1),업무일지!$B$5:$B$1004,"&lt;"&amp;DATE($B$3+1,1,1),업무일지!$AB$5:$AB$1004,$A$50)&gt;0,1,0))</f>
        <v/>
      </c>
      <c r="CG86">
        <f>IF($O86="",0,IF(COUNTIFS(업무일지!$F$5:$F$1004,$O86,업무일지!$B$5:$B$1004,"&gt;="&amp;DATE($B$3,1,1),업무일지!$B$5:$B$1004,"&lt;"&amp;DATE($B$3+1,1,1),업무일지!$AB$5:$AB$1004,$A$51)&gt;0,1,0))</f>
        <v/>
      </c>
      <c r="CH86">
        <f>IF($O86="",0,IF(COUNTIFS(업무일지!$F$5:$F$1004,$O86,업무일지!$B$5:$B$1004,"&gt;="&amp;DATE($B$3,1,1),업무일지!$B$5:$B$1004,"&lt;"&amp;DATE($B$3+1,1,1),업무일지!$AB$5:$AB$1004,$A$52)&gt;0,1,0))</f>
        <v/>
      </c>
      <c r="CI86">
        <f>IF($O86="",0,IF(COUNTIFS(업무일지!$F$5:$F$1004,$O86,업무일지!$B$5:$B$1004,"&gt;="&amp;DATE($B$3,1,1),업무일지!$B$5:$B$1004,"&lt;"&amp;DATE($B$3+1,1,1),업무일지!$AB$5:$AB$1004,$A$53)&gt;0,1,0))</f>
        <v/>
      </c>
    </row>
    <row r="87">
      <c r="O87">
        <f>IF(사건마스터!$A7="","",사건마스터!$A7)</f>
        <v/>
      </c>
      <c r="P87">
        <f>IF($O87="",0,IF(COUNTIFS(업무일지!$F$5:$F$1004,$O87,업무일지!$B$5:$B$1004,"&gt;="&amp;DATE($B$3,1,1),업무일지!$B$5:$B$1004,"&lt;"&amp;DATE($B$3,1+1,1),업무일지!$D$5:$D$1004,"출장")&gt;0,1,0))</f>
        <v/>
      </c>
      <c r="Q87">
        <f>IF($O87="",0,IF(COUNTIFS(업무일지!$F$5:$F$1004,$O87,업무일지!$B$5:$B$1004,"&gt;="&amp;DATE($B$3,2,1),업무일지!$B$5:$B$1004,"&lt;"&amp;DATE($B$3,2+1,1),업무일지!$D$5:$D$1004,"출장")&gt;0,1,0))</f>
        <v/>
      </c>
      <c r="R87">
        <f>IF($O87="",0,IF(COUNTIFS(업무일지!$F$5:$F$1004,$O87,업무일지!$B$5:$B$1004,"&gt;="&amp;DATE($B$3,3,1),업무일지!$B$5:$B$1004,"&lt;"&amp;DATE($B$3,3+1,1),업무일지!$D$5:$D$1004,"출장")&gt;0,1,0))</f>
        <v/>
      </c>
      <c r="S87">
        <f>IF($O87="",0,IF(COUNTIFS(업무일지!$F$5:$F$1004,$O87,업무일지!$B$5:$B$1004,"&gt;="&amp;DATE($B$3,4,1),업무일지!$B$5:$B$1004,"&lt;"&amp;DATE($B$3,4+1,1),업무일지!$D$5:$D$1004,"출장")&gt;0,1,0))</f>
        <v/>
      </c>
      <c r="T87">
        <f>IF($O87="",0,IF(COUNTIFS(업무일지!$F$5:$F$1004,$O87,업무일지!$B$5:$B$1004,"&gt;="&amp;DATE($B$3,5,1),업무일지!$B$5:$B$1004,"&lt;"&amp;DATE($B$3,5+1,1),업무일지!$D$5:$D$1004,"출장")&gt;0,1,0))</f>
        <v/>
      </c>
      <c r="U87">
        <f>IF($O87="",0,IF(COUNTIFS(업무일지!$F$5:$F$1004,$O87,업무일지!$B$5:$B$1004,"&gt;="&amp;DATE($B$3,6,1),업무일지!$B$5:$B$1004,"&lt;"&amp;DATE($B$3,6+1,1),업무일지!$D$5:$D$1004,"출장")&gt;0,1,0))</f>
        <v/>
      </c>
      <c r="V87">
        <f>IF($O87="",0,IF(COUNTIFS(업무일지!$F$5:$F$1004,$O87,업무일지!$B$5:$B$1004,"&gt;="&amp;DATE($B$3,7,1),업무일지!$B$5:$B$1004,"&lt;"&amp;DATE($B$3,7+1,1),업무일지!$D$5:$D$1004,"출장")&gt;0,1,0))</f>
        <v/>
      </c>
      <c r="W87">
        <f>IF($O87="",0,IF(COUNTIFS(업무일지!$F$5:$F$1004,$O87,업무일지!$B$5:$B$1004,"&gt;="&amp;DATE($B$3,8,1),업무일지!$B$5:$B$1004,"&lt;"&amp;DATE($B$3,8+1,1),업무일지!$D$5:$D$1004,"출장")&gt;0,1,0))</f>
        <v/>
      </c>
      <c r="X87">
        <f>IF($O87="",0,IF(COUNTIFS(업무일지!$F$5:$F$1004,$O87,업무일지!$B$5:$B$1004,"&gt;="&amp;DATE($B$3,9,1),업무일지!$B$5:$B$1004,"&lt;"&amp;DATE($B$3,9+1,1),업무일지!$D$5:$D$1004,"출장")&gt;0,1,0))</f>
        <v/>
      </c>
      <c r="Y87">
        <f>IF($O87="",0,IF(COUNTIFS(업무일지!$F$5:$F$1004,$O87,업무일지!$B$5:$B$1004,"&gt;="&amp;DATE($B$3,10,1),업무일지!$B$5:$B$1004,"&lt;"&amp;DATE($B$3,10+1,1),업무일지!$D$5:$D$1004,"출장")&gt;0,1,0))</f>
        <v/>
      </c>
      <c r="Z87">
        <f>IF($O87="",0,IF(COUNTIFS(업무일지!$F$5:$F$1004,$O87,업무일지!$B$5:$B$1004,"&gt;="&amp;DATE($B$3,11,1),업무일지!$B$5:$B$1004,"&lt;"&amp;DATE($B$3,11+1,1),업무일지!$D$5:$D$1004,"출장")&gt;0,1,0))</f>
        <v/>
      </c>
      <c r="AA87">
        <f>IF($O87="",0,IF(COUNTIFS(업무일지!$F$5:$F$1004,$O87,업무일지!$B$5:$B$1004,"&gt;="&amp;DATE($B$3,12,1),업무일지!$B$5:$B$1004,"&lt;"&amp;DATE($B$3,12+1,1),업무일지!$D$5:$D$1004,"출장")&gt;0,1,0))</f>
        <v/>
      </c>
      <c r="AB87">
        <f>IF($O87="",0,IF(COUNTIFS(업무일지!$F$5:$F$1004,$O87,업무일지!$B$5:$B$1004,"&gt;="&amp;DATE($B$3,1,1),업무일지!$B$5:$B$1004,"&lt;"&amp;DATE($B$3,1+1,1),업무일지!$D$5:$D$1004,"분석")&gt;0,1,0))</f>
        <v/>
      </c>
      <c r="AC87">
        <f>IF($O87="",0,IF(COUNTIFS(업무일지!$F$5:$F$1004,$O87,업무일지!$B$5:$B$1004,"&gt;="&amp;DATE($B$3,2,1),업무일지!$B$5:$B$1004,"&lt;"&amp;DATE($B$3,2+1,1),업무일지!$D$5:$D$1004,"분석")&gt;0,1,0))</f>
        <v/>
      </c>
      <c r="AD87">
        <f>IF($O87="",0,IF(COUNTIFS(업무일지!$F$5:$F$1004,$O87,업무일지!$B$5:$B$1004,"&gt;="&amp;DATE($B$3,3,1),업무일지!$B$5:$B$1004,"&lt;"&amp;DATE($B$3,3+1,1),업무일지!$D$5:$D$1004,"분석")&gt;0,1,0))</f>
        <v/>
      </c>
      <c r="AE87">
        <f>IF($O87="",0,IF(COUNTIFS(업무일지!$F$5:$F$1004,$O87,업무일지!$B$5:$B$1004,"&gt;="&amp;DATE($B$3,4,1),업무일지!$B$5:$B$1004,"&lt;"&amp;DATE($B$3,4+1,1),업무일지!$D$5:$D$1004,"분석")&gt;0,1,0))</f>
        <v/>
      </c>
      <c r="AF87">
        <f>IF($O87="",0,IF(COUNTIFS(업무일지!$F$5:$F$1004,$O87,업무일지!$B$5:$B$1004,"&gt;="&amp;DATE($B$3,5,1),업무일지!$B$5:$B$1004,"&lt;"&amp;DATE($B$3,5+1,1),업무일지!$D$5:$D$1004,"분석")&gt;0,1,0))</f>
        <v/>
      </c>
      <c r="AG87">
        <f>IF($O87="",0,IF(COUNTIFS(업무일지!$F$5:$F$1004,$O87,업무일지!$B$5:$B$1004,"&gt;="&amp;DATE($B$3,6,1),업무일지!$B$5:$B$1004,"&lt;"&amp;DATE($B$3,6+1,1),업무일지!$D$5:$D$1004,"분석")&gt;0,1,0))</f>
        <v/>
      </c>
      <c r="AH87">
        <f>IF($O87="",0,IF(COUNTIFS(업무일지!$F$5:$F$1004,$O87,업무일지!$B$5:$B$1004,"&gt;="&amp;DATE($B$3,7,1),업무일지!$B$5:$B$1004,"&lt;"&amp;DATE($B$3,7+1,1),업무일지!$D$5:$D$1004,"분석")&gt;0,1,0))</f>
        <v/>
      </c>
      <c r="AI87">
        <f>IF($O87="",0,IF(COUNTIFS(업무일지!$F$5:$F$1004,$O87,업무일지!$B$5:$B$1004,"&gt;="&amp;DATE($B$3,8,1),업무일지!$B$5:$B$1004,"&lt;"&amp;DATE($B$3,8+1,1),업무일지!$D$5:$D$1004,"분석")&gt;0,1,0))</f>
        <v/>
      </c>
      <c r="AJ87">
        <f>IF($O87="",0,IF(COUNTIFS(업무일지!$F$5:$F$1004,$O87,업무일지!$B$5:$B$1004,"&gt;="&amp;DATE($B$3,9,1),업무일지!$B$5:$B$1004,"&lt;"&amp;DATE($B$3,9+1,1),업무일지!$D$5:$D$1004,"분석")&gt;0,1,0))</f>
        <v/>
      </c>
      <c r="AK87">
        <f>IF($O87="",0,IF(COUNTIFS(업무일지!$F$5:$F$1004,$O87,업무일지!$B$5:$B$1004,"&gt;="&amp;DATE($B$3,10,1),업무일지!$B$5:$B$1004,"&lt;"&amp;DATE($B$3,10+1,1),업무일지!$D$5:$D$1004,"분석")&gt;0,1,0))</f>
        <v/>
      </c>
      <c r="AL87">
        <f>IF($O87="",0,IF(COUNTIFS(업무일지!$F$5:$F$1004,$O87,업무일지!$B$5:$B$1004,"&gt;="&amp;DATE($B$3,11,1),업무일지!$B$5:$B$1004,"&lt;"&amp;DATE($B$3,11+1,1),업무일지!$D$5:$D$1004,"분석")&gt;0,1,0))</f>
        <v/>
      </c>
      <c r="AM87">
        <f>IF($O87="",0,IF(COUNTIFS(업무일지!$F$5:$F$1004,$O87,업무일지!$B$5:$B$1004,"&gt;="&amp;DATE($B$3,12,1),업무일지!$B$5:$B$1004,"&lt;"&amp;DATE($B$3,12+1,1),업무일지!$D$5:$D$1004,"분석")&gt;0,1,0))</f>
        <v/>
      </c>
      <c r="AN87">
        <f>IF($O87="",0,IF(COUNTIFS(업무일지!$F$5:$F$1004,$O87,업무일지!$B$5:$B$1004,"&gt;="&amp;DATE($B$3,1,1),업무일지!$B$5:$B$1004,"&lt;"&amp;DATE($B$3,1+1,1))&gt;0,1,0))</f>
        <v/>
      </c>
      <c r="AO87">
        <f>IF($O87="",0,IF(COUNTIFS(업무일지!$F$5:$F$1004,$O87,업무일지!$B$5:$B$1004,"&gt;="&amp;DATE($B$3,2,1),업무일지!$B$5:$B$1004,"&lt;"&amp;DATE($B$3,2+1,1))&gt;0,1,0))</f>
        <v/>
      </c>
      <c r="AP87">
        <f>IF($O87="",0,IF(COUNTIFS(업무일지!$F$5:$F$1004,$O87,업무일지!$B$5:$B$1004,"&gt;="&amp;DATE($B$3,3,1),업무일지!$B$5:$B$1004,"&lt;"&amp;DATE($B$3,3+1,1))&gt;0,1,0))</f>
        <v/>
      </c>
      <c r="AQ87">
        <f>IF($O87="",0,IF(COUNTIFS(업무일지!$F$5:$F$1004,$O87,업무일지!$B$5:$B$1004,"&gt;="&amp;DATE($B$3,4,1),업무일지!$B$5:$B$1004,"&lt;"&amp;DATE($B$3,4+1,1))&gt;0,1,0))</f>
        <v/>
      </c>
      <c r="AR87">
        <f>IF($O87="",0,IF(COUNTIFS(업무일지!$F$5:$F$1004,$O87,업무일지!$B$5:$B$1004,"&gt;="&amp;DATE($B$3,5,1),업무일지!$B$5:$B$1004,"&lt;"&amp;DATE($B$3,5+1,1))&gt;0,1,0))</f>
        <v/>
      </c>
      <c r="AS87">
        <f>IF($O87="",0,IF(COUNTIFS(업무일지!$F$5:$F$1004,$O87,업무일지!$B$5:$B$1004,"&gt;="&amp;DATE($B$3,6,1),업무일지!$B$5:$B$1004,"&lt;"&amp;DATE($B$3,6+1,1))&gt;0,1,0))</f>
        <v/>
      </c>
      <c r="AT87">
        <f>IF($O87="",0,IF(COUNTIFS(업무일지!$F$5:$F$1004,$O87,업무일지!$B$5:$B$1004,"&gt;="&amp;DATE($B$3,7,1),업무일지!$B$5:$B$1004,"&lt;"&amp;DATE($B$3,7+1,1))&gt;0,1,0))</f>
        <v/>
      </c>
      <c r="AU87">
        <f>IF($O87="",0,IF(COUNTIFS(업무일지!$F$5:$F$1004,$O87,업무일지!$B$5:$B$1004,"&gt;="&amp;DATE($B$3,8,1),업무일지!$B$5:$B$1004,"&lt;"&amp;DATE($B$3,8+1,1))&gt;0,1,0))</f>
        <v/>
      </c>
      <c r="AV87">
        <f>IF($O87="",0,IF(COUNTIFS(업무일지!$F$5:$F$1004,$O87,업무일지!$B$5:$B$1004,"&gt;="&amp;DATE($B$3,9,1),업무일지!$B$5:$B$1004,"&lt;"&amp;DATE($B$3,9+1,1))&gt;0,1,0))</f>
        <v/>
      </c>
      <c r="AW87">
        <f>IF($O87="",0,IF(COUNTIFS(업무일지!$F$5:$F$1004,$O87,업무일지!$B$5:$B$1004,"&gt;="&amp;DATE($B$3,10,1),업무일지!$B$5:$B$1004,"&lt;"&amp;DATE($B$3,10+1,1))&gt;0,1,0))</f>
        <v/>
      </c>
      <c r="AX87">
        <f>IF($O87="",0,IF(COUNTIFS(업무일지!$F$5:$F$1004,$O87,업무일지!$B$5:$B$1004,"&gt;="&amp;DATE($B$3,11,1),업무일지!$B$5:$B$1004,"&lt;"&amp;DATE($B$3,11+1,1))&gt;0,1,0))</f>
        <v/>
      </c>
      <c r="AY87">
        <f>IF($O87="",0,IF(COUNTIFS(업무일지!$F$5:$F$1004,$O87,업무일지!$B$5:$B$1004,"&gt;="&amp;DATE($B$3,12,1),업무일지!$B$5:$B$1004,"&lt;"&amp;DATE($B$3,12+1,1))&gt;0,1,0))</f>
        <v/>
      </c>
      <c r="AZ87">
        <f>IF($O87="",0,IF(COUNTIFS(업무일지!$F$5:$F$1004,$O87,업무일지!$B$5:$B$1004,"&gt;="&amp;DATE($B$3,1,1),업무일지!$B$5:$B$1004,"&lt;"&amp;DATE($B$3+1,1,1),업무일지!$D$5:$D$1004,"출장")&gt;0,1,0))</f>
        <v/>
      </c>
      <c r="BA87">
        <f>IF($O87="",0,IF(COUNTIFS(업무일지!$F$5:$F$1004,$O87,업무일지!$B$5:$B$1004,"&gt;="&amp;DATE($B$3,1,1),업무일지!$B$5:$B$1004,"&lt;"&amp;DATE($B$3+1,1,1),업무일지!$D$5:$D$1004,"분석")&gt;0,1,0))</f>
        <v/>
      </c>
      <c r="BB87">
        <f>IF($O87="",0,IF(COUNTIFS(업무일지!$F$5:$F$1004,$O87,업무일지!$B$5:$B$1004,"&gt;="&amp;DATE($B$3,1,1),업무일지!$B$5:$B$1004,"&lt;"&amp;DATE($B$3+1,1,1))&gt;0,1,0))</f>
        <v/>
      </c>
      <c r="BD87">
        <f>IF($O87="",0,IF(COUNTIFS(업무일지!$F$5:$F$1004,$O87,업무일지!$B$5:$B$1004,"&gt;="&amp;DATE($B$3,1,1),업무일지!$B$5:$B$1004,"&lt;"&amp;DATE($B$3+1,1,1),업무일지!$AB$5:$AB$1004,$A$44,업무일지!$D$5:$D$1004,"출장")&gt;0,1,0))</f>
        <v/>
      </c>
      <c r="BE87">
        <f>IF($O87="",0,IF(COUNTIFS(업무일지!$F$5:$F$1004,$O87,업무일지!$B$5:$B$1004,"&gt;="&amp;DATE($B$3,1,1),업무일지!$B$5:$B$1004,"&lt;"&amp;DATE($B$3+1,1,1),업무일지!$AB$5:$AB$1004,$A$45,업무일지!$D$5:$D$1004,"출장")&gt;0,1,0))</f>
        <v/>
      </c>
      <c r="BF87">
        <f>IF($O87="",0,IF(COUNTIFS(업무일지!$F$5:$F$1004,$O87,업무일지!$B$5:$B$1004,"&gt;="&amp;DATE($B$3,1,1),업무일지!$B$5:$B$1004,"&lt;"&amp;DATE($B$3+1,1,1),업무일지!$AB$5:$AB$1004,$A$46,업무일지!$D$5:$D$1004,"출장")&gt;0,1,0))</f>
        <v/>
      </c>
      <c r="BG87">
        <f>IF($O87="",0,IF(COUNTIFS(업무일지!$F$5:$F$1004,$O87,업무일지!$B$5:$B$1004,"&gt;="&amp;DATE($B$3,1,1),업무일지!$B$5:$B$1004,"&lt;"&amp;DATE($B$3+1,1,1),업무일지!$AB$5:$AB$1004,$A$47,업무일지!$D$5:$D$1004,"출장")&gt;0,1,0))</f>
        <v/>
      </c>
      <c r="BH87">
        <f>IF($O87="",0,IF(COUNTIFS(업무일지!$F$5:$F$1004,$O87,업무일지!$B$5:$B$1004,"&gt;="&amp;DATE($B$3,1,1),업무일지!$B$5:$B$1004,"&lt;"&amp;DATE($B$3+1,1,1),업무일지!$AB$5:$AB$1004,$A$48,업무일지!$D$5:$D$1004,"출장")&gt;0,1,0))</f>
        <v/>
      </c>
      <c r="BI87">
        <f>IF($O87="",0,IF(COUNTIFS(업무일지!$F$5:$F$1004,$O87,업무일지!$B$5:$B$1004,"&gt;="&amp;DATE($B$3,1,1),업무일지!$B$5:$B$1004,"&lt;"&amp;DATE($B$3+1,1,1),업무일지!$AB$5:$AB$1004,$A$49,업무일지!$D$5:$D$1004,"출장")&gt;0,1,0))</f>
        <v/>
      </c>
      <c r="BJ87">
        <f>IF($O87="",0,IF(COUNTIFS(업무일지!$F$5:$F$1004,$O87,업무일지!$B$5:$B$1004,"&gt;="&amp;DATE($B$3,1,1),업무일지!$B$5:$B$1004,"&lt;"&amp;DATE($B$3+1,1,1),업무일지!$AB$5:$AB$1004,$A$50,업무일지!$D$5:$D$1004,"출장")&gt;0,1,0))</f>
        <v/>
      </c>
      <c r="BK87">
        <f>IF($O87="",0,IF(COUNTIFS(업무일지!$F$5:$F$1004,$O87,업무일지!$B$5:$B$1004,"&gt;="&amp;DATE($B$3,1,1),업무일지!$B$5:$B$1004,"&lt;"&amp;DATE($B$3+1,1,1),업무일지!$AB$5:$AB$1004,$A$51,업무일지!$D$5:$D$1004,"출장")&gt;0,1,0))</f>
        <v/>
      </c>
      <c r="BL87">
        <f>IF($O87="",0,IF(COUNTIFS(업무일지!$F$5:$F$1004,$O87,업무일지!$B$5:$B$1004,"&gt;="&amp;DATE($B$3,1,1),업무일지!$B$5:$B$1004,"&lt;"&amp;DATE($B$3+1,1,1),업무일지!$AB$5:$AB$1004,$A$52,업무일지!$D$5:$D$1004,"출장")&gt;0,1,0))</f>
        <v/>
      </c>
      <c r="BM87">
        <f>IF($O87="",0,IF(COUNTIFS(업무일지!$F$5:$F$1004,$O87,업무일지!$B$5:$B$1004,"&gt;="&amp;DATE($B$3,1,1),업무일지!$B$5:$B$1004,"&lt;"&amp;DATE($B$3+1,1,1),업무일지!$AB$5:$AB$1004,$A$53,업무일지!$D$5:$D$1004,"출장")&gt;0,1,0))</f>
        <v/>
      </c>
      <c r="BO87">
        <f>IF($O87="",0,IF(COUNTIFS(업무일지!$F$5:$F$1004,$O87,업무일지!$B$5:$B$1004,"&gt;="&amp;DATE($B$3,1,1),업무일지!$B$5:$B$1004,"&lt;"&amp;DATE($B$3+1,1,1),업무일지!$AB$5:$AB$1004,$A$44,업무일지!$D$5:$D$1004,"분석")&gt;0,1,0))</f>
        <v/>
      </c>
      <c r="BP87">
        <f>IF($O87="",0,IF(COUNTIFS(업무일지!$F$5:$F$1004,$O87,업무일지!$B$5:$B$1004,"&gt;="&amp;DATE($B$3,1,1),업무일지!$B$5:$B$1004,"&lt;"&amp;DATE($B$3+1,1,1),업무일지!$AB$5:$AB$1004,$A$45,업무일지!$D$5:$D$1004,"분석")&gt;0,1,0))</f>
        <v/>
      </c>
      <c r="BQ87">
        <f>IF($O87="",0,IF(COUNTIFS(업무일지!$F$5:$F$1004,$O87,업무일지!$B$5:$B$1004,"&gt;="&amp;DATE($B$3,1,1),업무일지!$B$5:$B$1004,"&lt;"&amp;DATE($B$3+1,1,1),업무일지!$AB$5:$AB$1004,$A$46,업무일지!$D$5:$D$1004,"분석")&gt;0,1,0))</f>
        <v/>
      </c>
      <c r="BR87">
        <f>IF($O87="",0,IF(COUNTIFS(업무일지!$F$5:$F$1004,$O87,업무일지!$B$5:$B$1004,"&gt;="&amp;DATE($B$3,1,1),업무일지!$B$5:$B$1004,"&lt;"&amp;DATE($B$3+1,1,1),업무일지!$AB$5:$AB$1004,$A$47,업무일지!$D$5:$D$1004,"분석")&gt;0,1,0))</f>
        <v/>
      </c>
      <c r="BS87">
        <f>IF($O87="",0,IF(COUNTIFS(업무일지!$F$5:$F$1004,$O87,업무일지!$B$5:$B$1004,"&gt;="&amp;DATE($B$3,1,1),업무일지!$B$5:$B$1004,"&lt;"&amp;DATE($B$3+1,1,1),업무일지!$AB$5:$AB$1004,$A$48,업무일지!$D$5:$D$1004,"분석")&gt;0,1,0))</f>
        <v/>
      </c>
      <c r="BT87">
        <f>IF($O87="",0,IF(COUNTIFS(업무일지!$F$5:$F$1004,$O87,업무일지!$B$5:$B$1004,"&gt;="&amp;DATE($B$3,1,1),업무일지!$B$5:$B$1004,"&lt;"&amp;DATE($B$3+1,1,1),업무일지!$AB$5:$AB$1004,$A$49,업무일지!$D$5:$D$1004,"분석")&gt;0,1,0))</f>
        <v/>
      </c>
      <c r="BU87">
        <f>IF($O87="",0,IF(COUNTIFS(업무일지!$F$5:$F$1004,$O87,업무일지!$B$5:$B$1004,"&gt;="&amp;DATE($B$3,1,1),업무일지!$B$5:$B$1004,"&lt;"&amp;DATE($B$3+1,1,1),업무일지!$AB$5:$AB$1004,$A$50,업무일지!$D$5:$D$1004,"분석")&gt;0,1,0))</f>
        <v/>
      </c>
      <c r="BV87">
        <f>IF($O87="",0,IF(COUNTIFS(업무일지!$F$5:$F$1004,$O87,업무일지!$B$5:$B$1004,"&gt;="&amp;DATE($B$3,1,1),업무일지!$B$5:$B$1004,"&lt;"&amp;DATE($B$3+1,1,1),업무일지!$AB$5:$AB$1004,$A$51,업무일지!$D$5:$D$1004,"분석")&gt;0,1,0))</f>
        <v/>
      </c>
      <c r="BW87">
        <f>IF($O87="",0,IF(COUNTIFS(업무일지!$F$5:$F$1004,$O87,업무일지!$B$5:$B$1004,"&gt;="&amp;DATE($B$3,1,1),업무일지!$B$5:$B$1004,"&lt;"&amp;DATE($B$3+1,1,1),업무일지!$AB$5:$AB$1004,$A$52,업무일지!$D$5:$D$1004,"분석")&gt;0,1,0))</f>
        <v/>
      </c>
      <c r="BX87">
        <f>IF($O87="",0,IF(COUNTIFS(업무일지!$F$5:$F$1004,$O87,업무일지!$B$5:$B$1004,"&gt;="&amp;DATE($B$3,1,1),업무일지!$B$5:$B$1004,"&lt;"&amp;DATE($B$3+1,1,1),업무일지!$AB$5:$AB$1004,$A$53,업무일지!$D$5:$D$1004,"분석")&gt;0,1,0))</f>
        <v/>
      </c>
      <c r="BZ87">
        <f>IF($O87="",0,IF(COUNTIFS(업무일지!$F$5:$F$1004,$O87,업무일지!$B$5:$B$1004,"&gt;="&amp;DATE($B$3,1,1),업무일지!$B$5:$B$1004,"&lt;"&amp;DATE($B$3+1,1,1),업무일지!$AB$5:$AB$1004,$A$44)&gt;0,1,0))</f>
        <v/>
      </c>
      <c r="CA87">
        <f>IF($O87="",0,IF(COUNTIFS(업무일지!$F$5:$F$1004,$O87,업무일지!$B$5:$B$1004,"&gt;="&amp;DATE($B$3,1,1),업무일지!$B$5:$B$1004,"&lt;"&amp;DATE($B$3+1,1,1),업무일지!$AB$5:$AB$1004,$A$45)&gt;0,1,0))</f>
        <v/>
      </c>
      <c r="CB87">
        <f>IF($O87="",0,IF(COUNTIFS(업무일지!$F$5:$F$1004,$O87,업무일지!$B$5:$B$1004,"&gt;="&amp;DATE($B$3,1,1),업무일지!$B$5:$B$1004,"&lt;"&amp;DATE($B$3+1,1,1),업무일지!$AB$5:$AB$1004,$A$46)&gt;0,1,0))</f>
        <v/>
      </c>
      <c r="CC87">
        <f>IF($O87="",0,IF(COUNTIFS(업무일지!$F$5:$F$1004,$O87,업무일지!$B$5:$B$1004,"&gt;="&amp;DATE($B$3,1,1),업무일지!$B$5:$B$1004,"&lt;"&amp;DATE($B$3+1,1,1),업무일지!$AB$5:$AB$1004,$A$47)&gt;0,1,0))</f>
        <v/>
      </c>
      <c r="CD87">
        <f>IF($O87="",0,IF(COUNTIFS(업무일지!$F$5:$F$1004,$O87,업무일지!$B$5:$B$1004,"&gt;="&amp;DATE($B$3,1,1),업무일지!$B$5:$B$1004,"&lt;"&amp;DATE($B$3+1,1,1),업무일지!$AB$5:$AB$1004,$A$48)&gt;0,1,0))</f>
        <v/>
      </c>
      <c r="CE87">
        <f>IF($O87="",0,IF(COUNTIFS(업무일지!$F$5:$F$1004,$O87,업무일지!$B$5:$B$1004,"&gt;="&amp;DATE($B$3,1,1),업무일지!$B$5:$B$1004,"&lt;"&amp;DATE($B$3+1,1,1),업무일지!$AB$5:$AB$1004,$A$49)&gt;0,1,0))</f>
        <v/>
      </c>
      <c r="CF87">
        <f>IF($O87="",0,IF(COUNTIFS(업무일지!$F$5:$F$1004,$O87,업무일지!$B$5:$B$1004,"&gt;="&amp;DATE($B$3,1,1),업무일지!$B$5:$B$1004,"&lt;"&amp;DATE($B$3+1,1,1),업무일지!$AB$5:$AB$1004,$A$50)&gt;0,1,0))</f>
        <v/>
      </c>
      <c r="CG87">
        <f>IF($O87="",0,IF(COUNTIFS(업무일지!$F$5:$F$1004,$O87,업무일지!$B$5:$B$1004,"&gt;="&amp;DATE($B$3,1,1),업무일지!$B$5:$B$1004,"&lt;"&amp;DATE($B$3+1,1,1),업무일지!$AB$5:$AB$1004,$A$51)&gt;0,1,0))</f>
        <v/>
      </c>
      <c r="CH87">
        <f>IF($O87="",0,IF(COUNTIFS(업무일지!$F$5:$F$1004,$O87,업무일지!$B$5:$B$1004,"&gt;="&amp;DATE($B$3,1,1),업무일지!$B$5:$B$1004,"&lt;"&amp;DATE($B$3+1,1,1),업무일지!$AB$5:$AB$1004,$A$52)&gt;0,1,0))</f>
        <v/>
      </c>
      <c r="CI87">
        <f>IF($O87="",0,IF(COUNTIFS(업무일지!$F$5:$F$1004,$O87,업무일지!$B$5:$B$1004,"&gt;="&amp;DATE($B$3,1,1),업무일지!$B$5:$B$1004,"&lt;"&amp;DATE($B$3+1,1,1),업무일지!$AB$5:$AB$1004,$A$53)&gt;0,1,0))</f>
        <v/>
      </c>
    </row>
    <row r="88">
      <c r="O88">
        <f>IF(사건마스터!$A8="","",사건마스터!$A8)</f>
        <v/>
      </c>
      <c r="P88">
        <f>IF($O88="",0,IF(COUNTIFS(업무일지!$F$5:$F$1004,$O88,업무일지!$B$5:$B$1004,"&gt;="&amp;DATE($B$3,1,1),업무일지!$B$5:$B$1004,"&lt;"&amp;DATE($B$3,1+1,1),업무일지!$D$5:$D$1004,"출장")&gt;0,1,0))</f>
        <v/>
      </c>
      <c r="Q88">
        <f>IF($O88="",0,IF(COUNTIFS(업무일지!$F$5:$F$1004,$O88,업무일지!$B$5:$B$1004,"&gt;="&amp;DATE($B$3,2,1),업무일지!$B$5:$B$1004,"&lt;"&amp;DATE($B$3,2+1,1),업무일지!$D$5:$D$1004,"출장")&gt;0,1,0))</f>
        <v/>
      </c>
      <c r="R88">
        <f>IF($O88="",0,IF(COUNTIFS(업무일지!$F$5:$F$1004,$O88,업무일지!$B$5:$B$1004,"&gt;="&amp;DATE($B$3,3,1),업무일지!$B$5:$B$1004,"&lt;"&amp;DATE($B$3,3+1,1),업무일지!$D$5:$D$1004,"출장")&gt;0,1,0))</f>
        <v/>
      </c>
      <c r="S88">
        <f>IF($O88="",0,IF(COUNTIFS(업무일지!$F$5:$F$1004,$O88,업무일지!$B$5:$B$1004,"&gt;="&amp;DATE($B$3,4,1),업무일지!$B$5:$B$1004,"&lt;"&amp;DATE($B$3,4+1,1),업무일지!$D$5:$D$1004,"출장")&gt;0,1,0))</f>
        <v/>
      </c>
      <c r="T88">
        <f>IF($O88="",0,IF(COUNTIFS(업무일지!$F$5:$F$1004,$O88,업무일지!$B$5:$B$1004,"&gt;="&amp;DATE($B$3,5,1),업무일지!$B$5:$B$1004,"&lt;"&amp;DATE($B$3,5+1,1),업무일지!$D$5:$D$1004,"출장")&gt;0,1,0))</f>
        <v/>
      </c>
      <c r="U88">
        <f>IF($O88="",0,IF(COUNTIFS(업무일지!$F$5:$F$1004,$O88,업무일지!$B$5:$B$1004,"&gt;="&amp;DATE($B$3,6,1),업무일지!$B$5:$B$1004,"&lt;"&amp;DATE($B$3,6+1,1),업무일지!$D$5:$D$1004,"출장")&gt;0,1,0))</f>
        <v/>
      </c>
      <c r="V88">
        <f>IF($O88="",0,IF(COUNTIFS(업무일지!$F$5:$F$1004,$O88,업무일지!$B$5:$B$1004,"&gt;="&amp;DATE($B$3,7,1),업무일지!$B$5:$B$1004,"&lt;"&amp;DATE($B$3,7+1,1),업무일지!$D$5:$D$1004,"출장")&gt;0,1,0))</f>
        <v/>
      </c>
      <c r="W88">
        <f>IF($O88="",0,IF(COUNTIFS(업무일지!$F$5:$F$1004,$O88,업무일지!$B$5:$B$1004,"&gt;="&amp;DATE($B$3,8,1),업무일지!$B$5:$B$1004,"&lt;"&amp;DATE($B$3,8+1,1),업무일지!$D$5:$D$1004,"출장")&gt;0,1,0))</f>
        <v/>
      </c>
      <c r="X88">
        <f>IF($O88="",0,IF(COUNTIFS(업무일지!$F$5:$F$1004,$O88,업무일지!$B$5:$B$1004,"&gt;="&amp;DATE($B$3,9,1),업무일지!$B$5:$B$1004,"&lt;"&amp;DATE($B$3,9+1,1),업무일지!$D$5:$D$1004,"출장")&gt;0,1,0))</f>
        <v/>
      </c>
      <c r="Y88">
        <f>IF($O88="",0,IF(COUNTIFS(업무일지!$F$5:$F$1004,$O88,업무일지!$B$5:$B$1004,"&gt;="&amp;DATE($B$3,10,1),업무일지!$B$5:$B$1004,"&lt;"&amp;DATE($B$3,10+1,1),업무일지!$D$5:$D$1004,"출장")&gt;0,1,0))</f>
        <v/>
      </c>
      <c r="Z88">
        <f>IF($O88="",0,IF(COUNTIFS(업무일지!$F$5:$F$1004,$O88,업무일지!$B$5:$B$1004,"&gt;="&amp;DATE($B$3,11,1),업무일지!$B$5:$B$1004,"&lt;"&amp;DATE($B$3,11+1,1),업무일지!$D$5:$D$1004,"출장")&gt;0,1,0))</f>
        <v/>
      </c>
      <c r="AA88">
        <f>IF($O88="",0,IF(COUNTIFS(업무일지!$F$5:$F$1004,$O88,업무일지!$B$5:$B$1004,"&gt;="&amp;DATE($B$3,12,1),업무일지!$B$5:$B$1004,"&lt;"&amp;DATE($B$3,12+1,1),업무일지!$D$5:$D$1004,"출장")&gt;0,1,0))</f>
        <v/>
      </c>
      <c r="AB88">
        <f>IF($O88="",0,IF(COUNTIFS(업무일지!$F$5:$F$1004,$O88,업무일지!$B$5:$B$1004,"&gt;="&amp;DATE($B$3,1,1),업무일지!$B$5:$B$1004,"&lt;"&amp;DATE($B$3,1+1,1),업무일지!$D$5:$D$1004,"분석")&gt;0,1,0))</f>
        <v/>
      </c>
      <c r="AC88">
        <f>IF($O88="",0,IF(COUNTIFS(업무일지!$F$5:$F$1004,$O88,업무일지!$B$5:$B$1004,"&gt;="&amp;DATE($B$3,2,1),업무일지!$B$5:$B$1004,"&lt;"&amp;DATE($B$3,2+1,1),업무일지!$D$5:$D$1004,"분석")&gt;0,1,0))</f>
        <v/>
      </c>
      <c r="AD88">
        <f>IF($O88="",0,IF(COUNTIFS(업무일지!$F$5:$F$1004,$O88,업무일지!$B$5:$B$1004,"&gt;="&amp;DATE($B$3,3,1),업무일지!$B$5:$B$1004,"&lt;"&amp;DATE($B$3,3+1,1),업무일지!$D$5:$D$1004,"분석")&gt;0,1,0))</f>
        <v/>
      </c>
      <c r="AE88">
        <f>IF($O88="",0,IF(COUNTIFS(업무일지!$F$5:$F$1004,$O88,업무일지!$B$5:$B$1004,"&gt;="&amp;DATE($B$3,4,1),업무일지!$B$5:$B$1004,"&lt;"&amp;DATE($B$3,4+1,1),업무일지!$D$5:$D$1004,"분석")&gt;0,1,0))</f>
        <v/>
      </c>
      <c r="AF88">
        <f>IF($O88="",0,IF(COUNTIFS(업무일지!$F$5:$F$1004,$O88,업무일지!$B$5:$B$1004,"&gt;="&amp;DATE($B$3,5,1),업무일지!$B$5:$B$1004,"&lt;"&amp;DATE($B$3,5+1,1),업무일지!$D$5:$D$1004,"분석")&gt;0,1,0))</f>
        <v/>
      </c>
      <c r="AG88">
        <f>IF($O88="",0,IF(COUNTIFS(업무일지!$F$5:$F$1004,$O88,업무일지!$B$5:$B$1004,"&gt;="&amp;DATE($B$3,6,1),업무일지!$B$5:$B$1004,"&lt;"&amp;DATE($B$3,6+1,1),업무일지!$D$5:$D$1004,"분석")&gt;0,1,0))</f>
        <v/>
      </c>
      <c r="AH88">
        <f>IF($O88="",0,IF(COUNTIFS(업무일지!$F$5:$F$1004,$O88,업무일지!$B$5:$B$1004,"&gt;="&amp;DATE($B$3,7,1),업무일지!$B$5:$B$1004,"&lt;"&amp;DATE($B$3,7+1,1),업무일지!$D$5:$D$1004,"분석")&gt;0,1,0))</f>
        <v/>
      </c>
      <c r="AI88">
        <f>IF($O88="",0,IF(COUNTIFS(업무일지!$F$5:$F$1004,$O88,업무일지!$B$5:$B$1004,"&gt;="&amp;DATE($B$3,8,1),업무일지!$B$5:$B$1004,"&lt;"&amp;DATE($B$3,8+1,1),업무일지!$D$5:$D$1004,"분석")&gt;0,1,0))</f>
        <v/>
      </c>
      <c r="AJ88">
        <f>IF($O88="",0,IF(COUNTIFS(업무일지!$F$5:$F$1004,$O88,업무일지!$B$5:$B$1004,"&gt;="&amp;DATE($B$3,9,1),업무일지!$B$5:$B$1004,"&lt;"&amp;DATE($B$3,9+1,1),업무일지!$D$5:$D$1004,"분석")&gt;0,1,0))</f>
        <v/>
      </c>
      <c r="AK88">
        <f>IF($O88="",0,IF(COUNTIFS(업무일지!$F$5:$F$1004,$O88,업무일지!$B$5:$B$1004,"&gt;="&amp;DATE($B$3,10,1),업무일지!$B$5:$B$1004,"&lt;"&amp;DATE($B$3,10+1,1),업무일지!$D$5:$D$1004,"분석")&gt;0,1,0))</f>
        <v/>
      </c>
      <c r="AL88">
        <f>IF($O88="",0,IF(COUNTIFS(업무일지!$F$5:$F$1004,$O88,업무일지!$B$5:$B$1004,"&gt;="&amp;DATE($B$3,11,1),업무일지!$B$5:$B$1004,"&lt;"&amp;DATE($B$3,11+1,1),업무일지!$D$5:$D$1004,"분석")&gt;0,1,0))</f>
        <v/>
      </c>
      <c r="AM88">
        <f>IF($O88="",0,IF(COUNTIFS(업무일지!$F$5:$F$1004,$O88,업무일지!$B$5:$B$1004,"&gt;="&amp;DATE($B$3,12,1),업무일지!$B$5:$B$1004,"&lt;"&amp;DATE($B$3,12+1,1),업무일지!$D$5:$D$1004,"분석")&gt;0,1,0))</f>
        <v/>
      </c>
      <c r="AN88">
        <f>IF($O88="",0,IF(COUNTIFS(업무일지!$F$5:$F$1004,$O88,업무일지!$B$5:$B$1004,"&gt;="&amp;DATE($B$3,1,1),업무일지!$B$5:$B$1004,"&lt;"&amp;DATE($B$3,1+1,1))&gt;0,1,0))</f>
        <v/>
      </c>
      <c r="AO88">
        <f>IF($O88="",0,IF(COUNTIFS(업무일지!$F$5:$F$1004,$O88,업무일지!$B$5:$B$1004,"&gt;="&amp;DATE($B$3,2,1),업무일지!$B$5:$B$1004,"&lt;"&amp;DATE($B$3,2+1,1))&gt;0,1,0))</f>
        <v/>
      </c>
      <c r="AP88">
        <f>IF($O88="",0,IF(COUNTIFS(업무일지!$F$5:$F$1004,$O88,업무일지!$B$5:$B$1004,"&gt;="&amp;DATE($B$3,3,1),업무일지!$B$5:$B$1004,"&lt;"&amp;DATE($B$3,3+1,1))&gt;0,1,0))</f>
        <v/>
      </c>
      <c r="AQ88">
        <f>IF($O88="",0,IF(COUNTIFS(업무일지!$F$5:$F$1004,$O88,업무일지!$B$5:$B$1004,"&gt;="&amp;DATE($B$3,4,1),업무일지!$B$5:$B$1004,"&lt;"&amp;DATE($B$3,4+1,1))&gt;0,1,0))</f>
        <v/>
      </c>
      <c r="AR88">
        <f>IF($O88="",0,IF(COUNTIFS(업무일지!$F$5:$F$1004,$O88,업무일지!$B$5:$B$1004,"&gt;="&amp;DATE($B$3,5,1),업무일지!$B$5:$B$1004,"&lt;"&amp;DATE($B$3,5+1,1))&gt;0,1,0))</f>
        <v/>
      </c>
      <c r="AS88">
        <f>IF($O88="",0,IF(COUNTIFS(업무일지!$F$5:$F$1004,$O88,업무일지!$B$5:$B$1004,"&gt;="&amp;DATE($B$3,6,1),업무일지!$B$5:$B$1004,"&lt;"&amp;DATE($B$3,6+1,1))&gt;0,1,0))</f>
        <v/>
      </c>
      <c r="AT88">
        <f>IF($O88="",0,IF(COUNTIFS(업무일지!$F$5:$F$1004,$O88,업무일지!$B$5:$B$1004,"&gt;="&amp;DATE($B$3,7,1),업무일지!$B$5:$B$1004,"&lt;"&amp;DATE($B$3,7+1,1))&gt;0,1,0))</f>
        <v/>
      </c>
      <c r="AU88">
        <f>IF($O88="",0,IF(COUNTIFS(업무일지!$F$5:$F$1004,$O88,업무일지!$B$5:$B$1004,"&gt;="&amp;DATE($B$3,8,1),업무일지!$B$5:$B$1004,"&lt;"&amp;DATE($B$3,8+1,1))&gt;0,1,0))</f>
        <v/>
      </c>
      <c r="AV88">
        <f>IF($O88="",0,IF(COUNTIFS(업무일지!$F$5:$F$1004,$O88,업무일지!$B$5:$B$1004,"&gt;="&amp;DATE($B$3,9,1),업무일지!$B$5:$B$1004,"&lt;"&amp;DATE($B$3,9+1,1))&gt;0,1,0))</f>
        <v/>
      </c>
      <c r="AW88">
        <f>IF($O88="",0,IF(COUNTIFS(업무일지!$F$5:$F$1004,$O88,업무일지!$B$5:$B$1004,"&gt;="&amp;DATE($B$3,10,1),업무일지!$B$5:$B$1004,"&lt;"&amp;DATE($B$3,10+1,1))&gt;0,1,0))</f>
        <v/>
      </c>
      <c r="AX88">
        <f>IF($O88="",0,IF(COUNTIFS(업무일지!$F$5:$F$1004,$O88,업무일지!$B$5:$B$1004,"&gt;="&amp;DATE($B$3,11,1),업무일지!$B$5:$B$1004,"&lt;"&amp;DATE($B$3,11+1,1))&gt;0,1,0))</f>
        <v/>
      </c>
      <c r="AY88">
        <f>IF($O88="",0,IF(COUNTIFS(업무일지!$F$5:$F$1004,$O88,업무일지!$B$5:$B$1004,"&gt;="&amp;DATE($B$3,12,1),업무일지!$B$5:$B$1004,"&lt;"&amp;DATE($B$3,12+1,1))&gt;0,1,0))</f>
        <v/>
      </c>
      <c r="AZ88">
        <f>IF($O88="",0,IF(COUNTIFS(업무일지!$F$5:$F$1004,$O88,업무일지!$B$5:$B$1004,"&gt;="&amp;DATE($B$3,1,1),업무일지!$B$5:$B$1004,"&lt;"&amp;DATE($B$3+1,1,1),업무일지!$D$5:$D$1004,"출장")&gt;0,1,0))</f>
        <v/>
      </c>
      <c r="BA88">
        <f>IF($O88="",0,IF(COUNTIFS(업무일지!$F$5:$F$1004,$O88,업무일지!$B$5:$B$1004,"&gt;="&amp;DATE($B$3,1,1),업무일지!$B$5:$B$1004,"&lt;"&amp;DATE($B$3+1,1,1),업무일지!$D$5:$D$1004,"분석")&gt;0,1,0))</f>
        <v/>
      </c>
      <c r="BB88">
        <f>IF($O88="",0,IF(COUNTIFS(업무일지!$F$5:$F$1004,$O88,업무일지!$B$5:$B$1004,"&gt;="&amp;DATE($B$3,1,1),업무일지!$B$5:$B$1004,"&lt;"&amp;DATE($B$3+1,1,1))&gt;0,1,0))</f>
        <v/>
      </c>
      <c r="BD88">
        <f>IF($O88="",0,IF(COUNTIFS(업무일지!$F$5:$F$1004,$O88,업무일지!$B$5:$B$1004,"&gt;="&amp;DATE($B$3,1,1),업무일지!$B$5:$B$1004,"&lt;"&amp;DATE($B$3+1,1,1),업무일지!$AB$5:$AB$1004,$A$44,업무일지!$D$5:$D$1004,"출장")&gt;0,1,0))</f>
        <v/>
      </c>
      <c r="BE88">
        <f>IF($O88="",0,IF(COUNTIFS(업무일지!$F$5:$F$1004,$O88,업무일지!$B$5:$B$1004,"&gt;="&amp;DATE($B$3,1,1),업무일지!$B$5:$B$1004,"&lt;"&amp;DATE($B$3+1,1,1),업무일지!$AB$5:$AB$1004,$A$45,업무일지!$D$5:$D$1004,"출장")&gt;0,1,0))</f>
        <v/>
      </c>
      <c r="BF88">
        <f>IF($O88="",0,IF(COUNTIFS(업무일지!$F$5:$F$1004,$O88,업무일지!$B$5:$B$1004,"&gt;="&amp;DATE($B$3,1,1),업무일지!$B$5:$B$1004,"&lt;"&amp;DATE($B$3+1,1,1),업무일지!$AB$5:$AB$1004,$A$46,업무일지!$D$5:$D$1004,"출장")&gt;0,1,0))</f>
        <v/>
      </c>
      <c r="BG88">
        <f>IF($O88="",0,IF(COUNTIFS(업무일지!$F$5:$F$1004,$O88,업무일지!$B$5:$B$1004,"&gt;="&amp;DATE($B$3,1,1),업무일지!$B$5:$B$1004,"&lt;"&amp;DATE($B$3+1,1,1),업무일지!$AB$5:$AB$1004,$A$47,업무일지!$D$5:$D$1004,"출장")&gt;0,1,0))</f>
        <v/>
      </c>
      <c r="BH88">
        <f>IF($O88="",0,IF(COUNTIFS(업무일지!$F$5:$F$1004,$O88,업무일지!$B$5:$B$1004,"&gt;="&amp;DATE($B$3,1,1),업무일지!$B$5:$B$1004,"&lt;"&amp;DATE($B$3+1,1,1),업무일지!$AB$5:$AB$1004,$A$48,업무일지!$D$5:$D$1004,"출장")&gt;0,1,0))</f>
        <v/>
      </c>
      <c r="BI88">
        <f>IF($O88="",0,IF(COUNTIFS(업무일지!$F$5:$F$1004,$O88,업무일지!$B$5:$B$1004,"&gt;="&amp;DATE($B$3,1,1),업무일지!$B$5:$B$1004,"&lt;"&amp;DATE($B$3+1,1,1),업무일지!$AB$5:$AB$1004,$A$49,업무일지!$D$5:$D$1004,"출장")&gt;0,1,0))</f>
        <v/>
      </c>
      <c r="BJ88">
        <f>IF($O88="",0,IF(COUNTIFS(업무일지!$F$5:$F$1004,$O88,업무일지!$B$5:$B$1004,"&gt;="&amp;DATE($B$3,1,1),업무일지!$B$5:$B$1004,"&lt;"&amp;DATE($B$3+1,1,1),업무일지!$AB$5:$AB$1004,$A$50,업무일지!$D$5:$D$1004,"출장")&gt;0,1,0))</f>
        <v/>
      </c>
      <c r="BK88">
        <f>IF($O88="",0,IF(COUNTIFS(업무일지!$F$5:$F$1004,$O88,업무일지!$B$5:$B$1004,"&gt;="&amp;DATE($B$3,1,1),업무일지!$B$5:$B$1004,"&lt;"&amp;DATE($B$3+1,1,1),업무일지!$AB$5:$AB$1004,$A$51,업무일지!$D$5:$D$1004,"출장")&gt;0,1,0))</f>
        <v/>
      </c>
      <c r="BL88">
        <f>IF($O88="",0,IF(COUNTIFS(업무일지!$F$5:$F$1004,$O88,업무일지!$B$5:$B$1004,"&gt;="&amp;DATE($B$3,1,1),업무일지!$B$5:$B$1004,"&lt;"&amp;DATE($B$3+1,1,1),업무일지!$AB$5:$AB$1004,$A$52,업무일지!$D$5:$D$1004,"출장")&gt;0,1,0))</f>
        <v/>
      </c>
      <c r="BM88">
        <f>IF($O88="",0,IF(COUNTIFS(업무일지!$F$5:$F$1004,$O88,업무일지!$B$5:$B$1004,"&gt;="&amp;DATE($B$3,1,1),업무일지!$B$5:$B$1004,"&lt;"&amp;DATE($B$3+1,1,1),업무일지!$AB$5:$AB$1004,$A$53,업무일지!$D$5:$D$1004,"출장")&gt;0,1,0))</f>
        <v/>
      </c>
      <c r="BO88">
        <f>IF($O88="",0,IF(COUNTIFS(업무일지!$F$5:$F$1004,$O88,업무일지!$B$5:$B$1004,"&gt;="&amp;DATE($B$3,1,1),업무일지!$B$5:$B$1004,"&lt;"&amp;DATE($B$3+1,1,1),업무일지!$AB$5:$AB$1004,$A$44,업무일지!$D$5:$D$1004,"분석")&gt;0,1,0))</f>
        <v/>
      </c>
      <c r="BP88">
        <f>IF($O88="",0,IF(COUNTIFS(업무일지!$F$5:$F$1004,$O88,업무일지!$B$5:$B$1004,"&gt;="&amp;DATE($B$3,1,1),업무일지!$B$5:$B$1004,"&lt;"&amp;DATE($B$3+1,1,1),업무일지!$AB$5:$AB$1004,$A$45,업무일지!$D$5:$D$1004,"분석")&gt;0,1,0))</f>
        <v/>
      </c>
      <c r="BQ88">
        <f>IF($O88="",0,IF(COUNTIFS(업무일지!$F$5:$F$1004,$O88,업무일지!$B$5:$B$1004,"&gt;="&amp;DATE($B$3,1,1),업무일지!$B$5:$B$1004,"&lt;"&amp;DATE($B$3+1,1,1),업무일지!$AB$5:$AB$1004,$A$46,업무일지!$D$5:$D$1004,"분석")&gt;0,1,0))</f>
        <v/>
      </c>
      <c r="BR88">
        <f>IF($O88="",0,IF(COUNTIFS(업무일지!$F$5:$F$1004,$O88,업무일지!$B$5:$B$1004,"&gt;="&amp;DATE($B$3,1,1),업무일지!$B$5:$B$1004,"&lt;"&amp;DATE($B$3+1,1,1),업무일지!$AB$5:$AB$1004,$A$47,업무일지!$D$5:$D$1004,"분석")&gt;0,1,0))</f>
        <v/>
      </c>
      <c r="BS88">
        <f>IF($O88="",0,IF(COUNTIFS(업무일지!$F$5:$F$1004,$O88,업무일지!$B$5:$B$1004,"&gt;="&amp;DATE($B$3,1,1),업무일지!$B$5:$B$1004,"&lt;"&amp;DATE($B$3+1,1,1),업무일지!$AB$5:$AB$1004,$A$48,업무일지!$D$5:$D$1004,"분석")&gt;0,1,0))</f>
        <v/>
      </c>
      <c r="BT88">
        <f>IF($O88="",0,IF(COUNTIFS(업무일지!$F$5:$F$1004,$O88,업무일지!$B$5:$B$1004,"&gt;="&amp;DATE($B$3,1,1),업무일지!$B$5:$B$1004,"&lt;"&amp;DATE($B$3+1,1,1),업무일지!$AB$5:$AB$1004,$A$49,업무일지!$D$5:$D$1004,"분석")&gt;0,1,0))</f>
        <v/>
      </c>
      <c r="BU88">
        <f>IF($O88="",0,IF(COUNTIFS(업무일지!$F$5:$F$1004,$O88,업무일지!$B$5:$B$1004,"&gt;="&amp;DATE($B$3,1,1),업무일지!$B$5:$B$1004,"&lt;"&amp;DATE($B$3+1,1,1),업무일지!$AB$5:$AB$1004,$A$50,업무일지!$D$5:$D$1004,"분석")&gt;0,1,0))</f>
        <v/>
      </c>
      <c r="BV88">
        <f>IF($O88="",0,IF(COUNTIFS(업무일지!$F$5:$F$1004,$O88,업무일지!$B$5:$B$1004,"&gt;="&amp;DATE($B$3,1,1),업무일지!$B$5:$B$1004,"&lt;"&amp;DATE($B$3+1,1,1),업무일지!$AB$5:$AB$1004,$A$51,업무일지!$D$5:$D$1004,"분석")&gt;0,1,0))</f>
        <v/>
      </c>
      <c r="BW88">
        <f>IF($O88="",0,IF(COUNTIFS(업무일지!$F$5:$F$1004,$O88,업무일지!$B$5:$B$1004,"&gt;="&amp;DATE($B$3,1,1),업무일지!$B$5:$B$1004,"&lt;"&amp;DATE($B$3+1,1,1),업무일지!$AB$5:$AB$1004,$A$52,업무일지!$D$5:$D$1004,"분석")&gt;0,1,0))</f>
        <v/>
      </c>
      <c r="BX88">
        <f>IF($O88="",0,IF(COUNTIFS(업무일지!$F$5:$F$1004,$O88,업무일지!$B$5:$B$1004,"&gt;="&amp;DATE($B$3,1,1),업무일지!$B$5:$B$1004,"&lt;"&amp;DATE($B$3+1,1,1),업무일지!$AB$5:$AB$1004,$A$53,업무일지!$D$5:$D$1004,"분석")&gt;0,1,0))</f>
        <v/>
      </c>
      <c r="BZ88">
        <f>IF($O88="",0,IF(COUNTIFS(업무일지!$F$5:$F$1004,$O88,업무일지!$B$5:$B$1004,"&gt;="&amp;DATE($B$3,1,1),업무일지!$B$5:$B$1004,"&lt;"&amp;DATE($B$3+1,1,1),업무일지!$AB$5:$AB$1004,$A$44)&gt;0,1,0))</f>
        <v/>
      </c>
      <c r="CA88">
        <f>IF($O88="",0,IF(COUNTIFS(업무일지!$F$5:$F$1004,$O88,업무일지!$B$5:$B$1004,"&gt;="&amp;DATE($B$3,1,1),업무일지!$B$5:$B$1004,"&lt;"&amp;DATE($B$3+1,1,1),업무일지!$AB$5:$AB$1004,$A$45)&gt;0,1,0))</f>
        <v/>
      </c>
      <c r="CB88">
        <f>IF($O88="",0,IF(COUNTIFS(업무일지!$F$5:$F$1004,$O88,업무일지!$B$5:$B$1004,"&gt;="&amp;DATE($B$3,1,1),업무일지!$B$5:$B$1004,"&lt;"&amp;DATE($B$3+1,1,1),업무일지!$AB$5:$AB$1004,$A$46)&gt;0,1,0))</f>
        <v/>
      </c>
      <c r="CC88">
        <f>IF($O88="",0,IF(COUNTIFS(업무일지!$F$5:$F$1004,$O88,업무일지!$B$5:$B$1004,"&gt;="&amp;DATE($B$3,1,1),업무일지!$B$5:$B$1004,"&lt;"&amp;DATE($B$3+1,1,1),업무일지!$AB$5:$AB$1004,$A$47)&gt;0,1,0))</f>
        <v/>
      </c>
      <c r="CD88">
        <f>IF($O88="",0,IF(COUNTIFS(업무일지!$F$5:$F$1004,$O88,업무일지!$B$5:$B$1004,"&gt;="&amp;DATE($B$3,1,1),업무일지!$B$5:$B$1004,"&lt;"&amp;DATE($B$3+1,1,1),업무일지!$AB$5:$AB$1004,$A$48)&gt;0,1,0))</f>
        <v/>
      </c>
      <c r="CE88">
        <f>IF($O88="",0,IF(COUNTIFS(업무일지!$F$5:$F$1004,$O88,업무일지!$B$5:$B$1004,"&gt;="&amp;DATE($B$3,1,1),업무일지!$B$5:$B$1004,"&lt;"&amp;DATE($B$3+1,1,1),업무일지!$AB$5:$AB$1004,$A$49)&gt;0,1,0))</f>
        <v/>
      </c>
      <c r="CF88">
        <f>IF($O88="",0,IF(COUNTIFS(업무일지!$F$5:$F$1004,$O88,업무일지!$B$5:$B$1004,"&gt;="&amp;DATE($B$3,1,1),업무일지!$B$5:$B$1004,"&lt;"&amp;DATE($B$3+1,1,1),업무일지!$AB$5:$AB$1004,$A$50)&gt;0,1,0))</f>
        <v/>
      </c>
      <c r="CG88">
        <f>IF($O88="",0,IF(COUNTIFS(업무일지!$F$5:$F$1004,$O88,업무일지!$B$5:$B$1004,"&gt;="&amp;DATE($B$3,1,1),업무일지!$B$5:$B$1004,"&lt;"&amp;DATE($B$3+1,1,1),업무일지!$AB$5:$AB$1004,$A$51)&gt;0,1,0))</f>
        <v/>
      </c>
      <c r="CH88">
        <f>IF($O88="",0,IF(COUNTIFS(업무일지!$F$5:$F$1004,$O88,업무일지!$B$5:$B$1004,"&gt;="&amp;DATE($B$3,1,1),업무일지!$B$5:$B$1004,"&lt;"&amp;DATE($B$3+1,1,1),업무일지!$AB$5:$AB$1004,$A$52)&gt;0,1,0))</f>
        <v/>
      </c>
      <c r="CI88">
        <f>IF($O88="",0,IF(COUNTIFS(업무일지!$F$5:$F$1004,$O88,업무일지!$B$5:$B$1004,"&gt;="&amp;DATE($B$3,1,1),업무일지!$B$5:$B$1004,"&lt;"&amp;DATE($B$3+1,1,1),업무일지!$AB$5:$AB$1004,$A$53)&gt;0,1,0))</f>
        <v/>
      </c>
    </row>
    <row r="89">
      <c r="O89">
        <f>IF(사건마스터!$A9="","",사건마스터!$A9)</f>
        <v/>
      </c>
      <c r="P89">
        <f>IF($O89="",0,IF(COUNTIFS(업무일지!$F$5:$F$1004,$O89,업무일지!$B$5:$B$1004,"&gt;="&amp;DATE($B$3,1,1),업무일지!$B$5:$B$1004,"&lt;"&amp;DATE($B$3,1+1,1),업무일지!$D$5:$D$1004,"출장")&gt;0,1,0))</f>
        <v/>
      </c>
      <c r="Q89">
        <f>IF($O89="",0,IF(COUNTIFS(업무일지!$F$5:$F$1004,$O89,업무일지!$B$5:$B$1004,"&gt;="&amp;DATE($B$3,2,1),업무일지!$B$5:$B$1004,"&lt;"&amp;DATE($B$3,2+1,1),업무일지!$D$5:$D$1004,"출장")&gt;0,1,0))</f>
        <v/>
      </c>
      <c r="R89">
        <f>IF($O89="",0,IF(COUNTIFS(업무일지!$F$5:$F$1004,$O89,업무일지!$B$5:$B$1004,"&gt;="&amp;DATE($B$3,3,1),업무일지!$B$5:$B$1004,"&lt;"&amp;DATE($B$3,3+1,1),업무일지!$D$5:$D$1004,"출장")&gt;0,1,0))</f>
        <v/>
      </c>
      <c r="S89">
        <f>IF($O89="",0,IF(COUNTIFS(업무일지!$F$5:$F$1004,$O89,업무일지!$B$5:$B$1004,"&gt;="&amp;DATE($B$3,4,1),업무일지!$B$5:$B$1004,"&lt;"&amp;DATE($B$3,4+1,1),업무일지!$D$5:$D$1004,"출장")&gt;0,1,0))</f>
        <v/>
      </c>
      <c r="T89">
        <f>IF($O89="",0,IF(COUNTIFS(업무일지!$F$5:$F$1004,$O89,업무일지!$B$5:$B$1004,"&gt;="&amp;DATE($B$3,5,1),업무일지!$B$5:$B$1004,"&lt;"&amp;DATE($B$3,5+1,1),업무일지!$D$5:$D$1004,"출장")&gt;0,1,0))</f>
        <v/>
      </c>
      <c r="U89">
        <f>IF($O89="",0,IF(COUNTIFS(업무일지!$F$5:$F$1004,$O89,업무일지!$B$5:$B$1004,"&gt;="&amp;DATE($B$3,6,1),업무일지!$B$5:$B$1004,"&lt;"&amp;DATE($B$3,6+1,1),업무일지!$D$5:$D$1004,"출장")&gt;0,1,0))</f>
        <v/>
      </c>
      <c r="V89">
        <f>IF($O89="",0,IF(COUNTIFS(업무일지!$F$5:$F$1004,$O89,업무일지!$B$5:$B$1004,"&gt;="&amp;DATE($B$3,7,1),업무일지!$B$5:$B$1004,"&lt;"&amp;DATE($B$3,7+1,1),업무일지!$D$5:$D$1004,"출장")&gt;0,1,0))</f>
        <v/>
      </c>
      <c r="W89">
        <f>IF($O89="",0,IF(COUNTIFS(업무일지!$F$5:$F$1004,$O89,업무일지!$B$5:$B$1004,"&gt;="&amp;DATE($B$3,8,1),업무일지!$B$5:$B$1004,"&lt;"&amp;DATE($B$3,8+1,1),업무일지!$D$5:$D$1004,"출장")&gt;0,1,0))</f>
        <v/>
      </c>
      <c r="X89">
        <f>IF($O89="",0,IF(COUNTIFS(업무일지!$F$5:$F$1004,$O89,업무일지!$B$5:$B$1004,"&gt;="&amp;DATE($B$3,9,1),업무일지!$B$5:$B$1004,"&lt;"&amp;DATE($B$3,9+1,1),업무일지!$D$5:$D$1004,"출장")&gt;0,1,0))</f>
        <v/>
      </c>
      <c r="Y89">
        <f>IF($O89="",0,IF(COUNTIFS(업무일지!$F$5:$F$1004,$O89,업무일지!$B$5:$B$1004,"&gt;="&amp;DATE($B$3,10,1),업무일지!$B$5:$B$1004,"&lt;"&amp;DATE($B$3,10+1,1),업무일지!$D$5:$D$1004,"출장")&gt;0,1,0))</f>
        <v/>
      </c>
      <c r="Z89">
        <f>IF($O89="",0,IF(COUNTIFS(업무일지!$F$5:$F$1004,$O89,업무일지!$B$5:$B$1004,"&gt;="&amp;DATE($B$3,11,1),업무일지!$B$5:$B$1004,"&lt;"&amp;DATE($B$3,11+1,1),업무일지!$D$5:$D$1004,"출장")&gt;0,1,0))</f>
        <v/>
      </c>
      <c r="AA89">
        <f>IF($O89="",0,IF(COUNTIFS(업무일지!$F$5:$F$1004,$O89,업무일지!$B$5:$B$1004,"&gt;="&amp;DATE($B$3,12,1),업무일지!$B$5:$B$1004,"&lt;"&amp;DATE($B$3,12+1,1),업무일지!$D$5:$D$1004,"출장")&gt;0,1,0))</f>
        <v/>
      </c>
      <c r="AB89">
        <f>IF($O89="",0,IF(COUNTIFS(업무일지!$F$5:$F$1004,$O89,업무일지!$B$5:$B$1004,"&gt;="&amp;DATE($B$3,1,1),업무일지!$B$5:$B$1004,"&lt;"&amp;DATE($B$3,1+1,1),업무일지!$D$5:$D$1004,"분석")&gt;0,1,0))</f>
        <v/>
      </c>
      <c r="AC89">
        <f>IF($O89="",0,IF(COUNTIFS(업무일지!$F$5:$F$1004,$O89,업무일지!$B$5:$B$1004,"&gt;="&amp;DATE($B$3,2,1),업무일지!$B$5:$B$1004,"&lt;"&amp;DATE($B$3,2+1,1),업무일지!$D$5:$D$1004,"분석")&gt;0,1,0))</f>
        <v/>
      </c>
      <c r="AD89">
        <f>IF($O89="",0,IF(COUNTIFS(업무일지!$F$5:$F$1004,$O89,업무일지!$B$5:$B$1004,"&gt;="&amp;DATE($B$3,3,1),업무일지!$B$5:$B$1004,"&lt;"&amp;DATE($B$3,3+1,1),업무일지!$D$5:$D$1004,"분석")&gt;0,1,0))</f>
        <v/>
      </c>
      <c r="AE89">
        <f>IF($O89="",0,IF(COUNTIFS(업무일지!$F$5:$F$1004,$O89,업무일지!$B$5:$B$1004,"&gt;="&amp;DATE($B$3,4,1),업무일지!$B$5:$B$1004,"&lt;"&amp;DATE($B$3,4+1,1),업무일지!$D$5:$D$1004,"분석")&gt;0,1,0))</f>
        <v/>
      </c>
      <c r="AF89">
        <f>IF($O89="",0,IF(COUNTIFS(업무일지!$F$5:$F$1004,$O89,업무일지!$B$5:$B$1004,"&gt;="&amp;DATE($B$3,5,1),업무일지!$B$5:$B$1004,"&lt;"&amp;DATE($B$3,5+1,1),업무일지!$D$5:$D$1004,"분석")&gt;0,1,0))</f>
        <v/>
      </c>
      <c r="AG89">
        <f>IF($O89="",0,IF(COUNTIFS(업무일지!$F$5:$F$1004,$O89,업무일지!$B$5:$B$1004,"&gt;="&amp;DATE($B$3,6,1),업무일지!$B$5:$B$1004,"&lt;"&amp;DATE($B$3,6+1,1),업무일지!$D$5:$D$1004,"분석")&gt;0,1,0))</f>
        <v/>
      </c>
      <c r="AH89">
        <f>IF($O89="",0,IF(COUNTIFS(업무일지!$F$5:$F$1004,$O89,업무일지!$B$5:$B$1004,"&gt;="&amp;DATE($B$3,7,1),업무일지!$B$5:$B$1004,"&lt;"&amp;DATE($B$3,7+1,1),업무일지!$D$5:$D$1004,"분석")&gt;0,1,0))</f>
        <v/>
      </c>
      <c r="AI89">
        <f>IF($O89="",0,IF(COUNTIFS(업무일지!$F$5:$F$1004,$O89,업무일지!$B$5:$B$1004,"&gt;="&amp;DATE($B$3,8,1),업무일지!$B$5:$B$1004,"&lt;"&amp;DATE($B$3,8+1,1),업무일지!$D$5:$D$1004,"분석")&gt;0,1,0))</f>
        <v/>
      </c>
      <c r="AJ89">
        <f>IF($O89="",0,IF(COUNTIFS(업무일지!$F$5:$F$1004,$O89,업무일지!$B$5:$B$1004,"&gt;="&amp;DATE($B$3,9,1),업무일지!$B$5:$B$1004,"&lt;"&amp;DATE($B$3,9+1,1),업무일지!$D$5:$D$1004,"분석")&gt;0,1,0))</f>
        <v/>
      </c>
      <c r="AK89">
        <f>IF($O89="",0,IF(COUNTIFS(업무일지!$F$5:$F$1004,$O89,업무일지!$B$5:$B$1004,"&gt;="&amp;DATE($B$3,10,1),업무일지!$B$5:$B$1004,"&lt;"&amp;DATE($B$3,10+1,1),업무일지!$D$5:$D$1004,"분석")&gt;0,1,0))</f>
        <v/>
      </c>
      <c r="AL89">
        <f>IF($O89="",0,IF(COUNTIFS(업무일지!$F$5:$F$1004,$O89,업무일지!$B$5:$B$1004,"&gt;="&amp;DATE($B$3,11,1),업무일지!$B$5:$B$1004,"&lt;"&amp;DATE($B$3,11+1,1),업무일지!$D$5:$D$1004,"분석")&gt;0,1,0))</f>
        <v/>
      </c>
      <c r="AM89">
        <f>IF($O89="",0,IF(COUNTIFS(업무일지!$F$5:$F$1004,$O89,업무일지!$B$5:$B$1004,"&gt;="&amp;DATE($B$3,12,1),업무일지!$B$5:$B$1004,"&lt;"&amp;DATE($B$3,12+1,1),업무일지!$D$5:$D$1004,"분석")&gt;0,1,0))</f>
        <v/>
      </c>
      <c r="AN89">
        <f>IF($O89="",0,IF(COUNTIFS(업무일지!$F$5:$F$1004,$O89,업무일지!$B$5:$B$1004,"&gt;="&amp;DATE($B$3,1,1),업무일지!$B$5:$B$1004,"&lt;"&amp;DATE($B$3,1+1,1))&gt;0,1,0))</f>
        <v/>
      </c>
      <c r="AO89">
        <f>IF($O89="",0,IF(COUNTIFS(업무일지!$F$5:$F$1004,$O89,업무일지!$B$5:$B$1004,"&gt;="&amp;DATE($B$3,2,1),업무일지!$B$5:$B$1004,"&lt;"&amp;DATE($B$3,2+1,1))&gt;0,1,0))</f>
        <v/>
      </c>
      <c r="AP89">
        <f>IF($O89="",0,IF(COUNTIFS(업무일지!$F$5:$F$1004,$O89,업무일지!$B$5:$B$1004,"&gt;="&amp;DATE($B$3,3,1),업무일지!$B$5:$B$1004,"&lt;"&amp;DATE($B$3,3+1,1))&gt;0,1,0))</f>
        <v/>
      </c>
      <c r="AQ89">
        <f>IF($O89="",0,IF(COUNTIFS(업무일지!$F$5:$F$1004,$O89,업무일지!$B$5:$B$1004,"&gt;="&amp;DATE($B$3,4,1),업무일지!$B$5:$B$1004,"&lt;"&amp;DATE($B$3,4+1,1))&gt;0,1,0))</f>
        <v/>
      </c>
      <c r="AR89">
        <f>IF($O89="",0,IF(COUNTIFS(업무일지!$F$5:$F$1004,$O89,업무일지!$B$5:$B$1004,"&gt;="&amp;DATE($B$3,5,1),업무일지!$B$5:$B$1004,"&lt;"&amp;DATE($B$3,5+1,1))&gt;0,1,0))</f>
        <v/>
      </c>
      <c r="AS89">
        <f>IF($O89="",0,IF(COUNTIFS(업무일지!$F$5:$F$1004,$O89,업무일지!$B$5:$B$1004,"&gt;="&amp;DATE($B$3,6,1),업무일지!$B$5:$B$1004,"&lt;"&amp;DATE($B$3,6+1,1))&gt;0,1,0))</f>
        <v/>
      </c>
      <c r="AT89">
        <f>IF($O89="",0,IF(COUNTIFS(업무일지!$F$5:$F$1004,$O89,업무일지!$B$5:$B$1004,"&gt;="&amp;DATE($B$3,7,1),업무일지!$B$5:$B$1004,"&lt;"&amp;DATE($B$3,7+1,1))&gt;0,1,0))</f>
        <v/>
      </c>
      <c r="AU89">
        <f>IF($O89="",0,IF(COUNTIFS(업무일지!$F$5:$F$1004,$O89,업무일지!$B$5:$B$1004,"&gt;="&amp;DATE($B$3,8,1),업무일지!$B$5:$B$1004,"&lt;"&amp;DATE($B$3,8+1,1))&gt;0,1,0))</f>
        <v/>
      </c>
      <c r="AV89">
        <f>IF($O89="",0,IF(COUNTIFS(업무일지!$F$5:$F$1004,$O89,업무일지!$B$5:$B$1004,"&gt;="&amp;DATE($B$3,9,1),업무일지!$B$5:$B$1004,"&lt;"&amp;DATE($B$3,9+1,1))&gt;0,1,0))</f>
        <v/>
      </c>
      <c r="AW89">
        <f>IF($O89="",0,IF(COUNTIFS(업무일지!$F$5:$F$1004,$O89,업무일지!$B$5:$B$1004,"&gt;="&amp;DATE($B$3,10,1),업무일지!$B$5:$B$1004,"&lt;"&amp;DATE($B$3,10+1,1))&gt;0,1,0))</f>
        <v/>
      </c>
      <c r="AX89">
        <f>IF($O89="",0,IF(COUNTIFS(업무일지!$F$5:$F$1004,$O89,업무일지!$B$5:$B$1004,"&gt;="&amp;DATE($B$3,11,1),업무일지!$B$5:$B$1004,"&lt;"&amp;DATE($B$3,11+1,1))&gt;0,1,0))</f>
        <v/>
      </c>
      <c r="AY89">
        <f>IF($O89="",0,IF(COUNTIFS(업무일지!$F$5:$F$1004,$O89,업무일지!$B$5:$B$1004,"&gt;="&amp;DATE($B$3,12,1),업무일지!$B$5:$B$1004,"&lt;"&amp;DATE($B$3,12+1,1))&gt;0,1,0))</f>
        <v/>
      </c>
      <c r="AZ89">
        <f>IF($O89="",0,IF(COUNTIFS(업무일지!$F$5:$F$1004,$O89,업무일지!$B$5:$B$1004,"&gt;="&amp;DATE($B$3,1,1),업무일지!$B$5:$B$1004,"&lt;"&amp;DATE($B$3+1,1,1),업무일지!$D$5:$D$1004,"출장")&gt;0,1,0))</f>
        <v/>
      </c>
      <c r="BA89">
        <f>IF($O89="",0,IF(COUNTIFS(업무일지!$F$5:$F$1004,$O89,업무일지!$B$5:$B$1004,"&gt;="&amp;DATE($B$3,1,1),업무일지!$B$5:$B$1004,"&lt;"&amp;DATE($B$3+1,1,1),업무일지!$D$5:$D$1004,"분석")&gt;0,1,0))</f>
        <v/>
      </c>
      <c r="BB89">
        <f>IF($O89="",0,IF(COUNTIFS(업무일지!$F$5:$F$1004,$O89,업무일지!$B$5:$B$1004,"&gt;="&amp;DATE($B$3,1,1),업무일지!$B$5:$B$1004,"&lt;"&amp;DATE($B$3+1,1,1))&gt;0,1,0))</f>
        <v/>
      </c>
      <c r="BD89">
        <f>IF($O89="",0,IF(COUNTIFS(업무일지!$F$5:$F$1004,$O89,업무일지!$B$5:$B$1004,"&gt;="&amp;DATE($B$3,1,1),업무일지!$B$5:$B$1004,"&lt;"&amp;DATE($B$3+1,1,1),업무일지!$AB$5:$AB$1004,$A$44,업무일지!$D$5:$D$1004,"출장")&gt;0,1,0))</f>
        <v/>
      </c>
      <c r="BE89">
        <f>IF($O89="",0,IF(COUNTIFS(업무일지!$F$5:$F$1004,$O89,업무일지!$B$5:$B$1004,"&gt;="&amp;DATE($B$3,1,1),업무일지!$B$5:$B$1004,"&lt;"&amp;DATE($B$3+1,1,1),업무일지!$AB$5:$AB$1004,$A$45,업무일지!$D$5:$D$1004,"출장")&gt;0,1,0))</f>
        <v/>
      </c>
      <c r="BF89">
        <f>IF($O89="",0,IF(COUNTIFS(업무일지!$F$5:$F$1004,$O89,업무일지!$B$5:$B$1004,"&gt;="&amp;DATE($B$3,1,1),업무일지!$B$5:$B$1004,"&lt;"&amp;DATE($B$3+1,1,1),업무일지!$AB$5:$AB$1004,$A$46,업무일지!$D$5:$D$1004,"출장")&gt;0,1,0))</f>
        <v/>
      </c>
      <c r="BG89">
        <f>IF($O89="",0,IF(COUNTIFS(업무일지!$F$5:$F$1004,$O89,업무일지!$B$5:$B$1004,"&gt;="&amp;DATE($B$3,1,1),업무일지!$B$5:$B$1004,"&lt;"&amp;DATE($B$3+1,1,1),업무일지!$AB$5:$AB$1004,$A$47,업무일지!$D$5:$D$1004,"출장")&gt;0,1,0))</f>
        <v/>
      </c>
      <c r="BH89">
        <f>IF($O89="",0,IF(COUNTIFS(업무일지!$F$5:$F$1004,$O89,업무일지!$B$5:$B$1004,"&gt;="&amp;DATE($B$3,1,1),업무일지!$B$5:$B$1004,"&lt;"&amp;DATE($B$3+1,1,1),업무일지!$AB$5:$AB$1004,$A$48,업무일지!$D$5:$D$1004,"출장")&gt;0,1,0))</f>
        <v/>
      </c>
      <c r="BI89">
        <f>IF($O89="",0,IF(COUNTIFS(업무일지!$F$5:$F$1004,$O89,업무일지!$B$5:$B$1004,"&gt;="&amp;DATE($B$3,1,1),업무일지!$B$5:$B$1004,"&lt;"&amp;DATE($B$3+1,1,1),업무일지!$AB$5:$AB$1004,$A$49,업무일지!$D$5:$D$1004,"출장")&gt;0,1,0))</f>
        <v/>
      </c>
      <c r="BJ89">
        <f>IF($O89="",0,IF(COUNTIFS(업무일지!$F$5:$F$1004,$O89,업무일지!$B$5:$B$1004,"&gt;="&amp;DATE($B$3,1,1),업무일지!$B$5:$B$1004,"&lt;"&amp;DATE($B$3+1,1,1),업무일지!$AB$5:$AB$1004,$A$50,업무일지!$D$5:$D$1004,"출장")&gt;0,1,0))</f>
        <v/>
      </c>
      <c r="BK89">
        <f>IF($O89="",0,IF(COUNTIFS(업무일지!$F$5:$F$1004,$O89,업무일지!$B$5:$B$1004,"&gt;="&amp;DATE($B$3,1,1),업무일지!$B$5:$B$1004,"&lt;"&amp;DATE($B$3+1,1,1),업무일지!$AB$5:$AB$1004,$A$51,업무일지!$D$5:$D$1004,"출장")&gt;0,1,0))</f>
        <v/>
      </c>
      <c r="BL89">
        <f>IF($O89="",0,IF(COUNTIFS(업무일지!$F$5:$F$1004,$O89,업무일지!$B$5:$B$1004,"&gt;="&amp;DATE($B$3,1,1),업무일지!$B$5:$B$1004,"&lt;"&amp;DATE($B$3+1,1,1),업무일지!$AB$5:$AB$1004,$A$52,업무일지!$D$5:$D$1004,"출장")&gt;0,1,0))</f>
        <v/>
      </c>
      <c r="BM89">
        <f>IF($O89="",0,IF(COUNTIFS(업무일지!$F$5:$F$1004,$O89,업무일지!$B$5:$B$1004,"&gt;="&amp;DATE($B$3,1,1),업무일지!$B$5:$B$1004,"&lt;"&amp;DATE($B$3+1,1,1),업무일지!$AB$5:$AB$1004,$A$53,업무일지!$D$5:$D$1004,"출장")&gt;0,1,0))</f>
        <v/>
      </c>
      <c r="BO89">
        <f>IF($O89="",0,IF(COUNTIFS(업무일지!$F$5:$F$1004,$O89,업무일지!$B$5:$B$1004,"&gt;="&amp;DATE($B$3,1,1),업무일지!$B$5:$B$1004,"&lt;"&amp;DATE($B$3+1,1,1),업무일지!$AB$5:$AB$1004,$A$44,업무일지!$D$5:$D$1004,"분석")&gt;0,1,0))</f>
        <v/>
      </c>
      <c r="BP89">
        <f>IF($O89="",0,IF(COUNTIFS(업무일지!$F$5:$F$1004,$O89,업무일지!$B$5:$B$1004,"&gt;="&amp;DATE($B$3,1,1),업무일지!$B$5:$B$1004,"&lt;"&amp;DATE($B$3+1,1,1),업무일지!$AB$5:$AB$1004,$A$45,업무일지!$D$5:$D$1004,"분석")&gt;0,1,0))</f>
        <v/>
      </c>
      <c r="BQ89">
        <f>IF($O89="",0,IF(COUNTIFS(업무일지!$F$5:$F$1004,$O89,업무일지!$B$5:$B$1004,"&gt;="&amp;DATE($B$3,1,1),업무일지!$B$5:$B$1004,"&lt;"&amp;DATE($B$3+1,1,1),업무일지!$AB$5:$AB$1004,$A$46,업무일지!$D$5:$D$1004,"분석")&gt;0,1,0))</f>
        <v/>
      </c>
      <c r="BR89">
        <f>IF($O89="",0,IF(COUNTIFS(업무일지!$F$5:$F$1004,$O89,업무일지!$B$5:$B$1004,"&gt;="&amp;DATE($B$3,1,1),업무일지!$B$5:$B$1004,"&lt;"&amp;DATE($B$3+1,1,1),업무일지!$AB$5:$AB$1004,$A$47,업무일지!$D$5:$D$1004,"분석")&gt;0,1,0))</f>
        <v/>
      </c>
      <c r="BS89">
        <f>IF($O89="",0,IF(COUNTIFS(업무일지!$F$5:$F$1004,$O89,업무일지!$B$5:$B$1004,"&gt;="&amp;DATE($B$3,1,1),업무일지!$B$5:$B$1004,"&lt;"&amp;DATE($B$3+1,1,1),업무일지!$AB$5:$AB$1004,$A$48,업무일지!$D$5:$D$1004,"분석")&gt;0,1,0))</f>
        <v/>
      </c>
      <c r="BT89">
        <f>IF($O89="",0,IF(COUNTIFS(업무일지!$F$5:$F$1004,$O89,업무일지!$B$5:$B$1004,"&gt;="&amp;DATE($B$3,1,1),업무일지!$B$5:$B$1004,"&lt;"&amp;DATE($B$3+1,1,1),업무일지!$AB$5:$AB$1004,$A$49,업무일지!$D$5:$D$1004,"분석")&gt;0,1,0))</f>
        <v/>
      </c>
      <c r="BU89">
        <f>IF($O89="",0,IF(COUNTIFS(업무일지!$F$5:$F$1004,$O89,업무일지!$B$5:$B$1004,"&gt;="&amp;DATE($B$3,1,1),업무일지!$B$5:$B$1004,"&lt;"&amp;DATE($B$3+1,1,1),업무일지!$AB$5:$AB$1004,$A$50,업무일지!$D$5:$D$1004,"분석")&gt;0,1,0))</f>
        <v/>
      </c>
      <c r="BV89">
        <f>IF($O89="",0,IF(COUNTIFS(업무일지!$F$5:$F$1004,$O89,업무일지!$B$5:$B$1004,"&gt;="&amp;DATE($B$3,1,1),업무일지!$B$5:$B$1004,"&lt;"&amp;DATE($B$3+1,1,1),업무일지!$AB$5:$AB$1004,$A$51,업무일지!$D$5:$D$1004,"분석")&gt;0,1,0))</f>
        <v/>
      </c>
      <c r="BW89">
        <f>IF($O89="",0,IF(COUNTIFS(업무일지!$F$5:$F$1004,$O89,업무일지!$B$5:$B$1004,"&gt;="&amp;DATE($B$3,1,1),업무일지!$B$5:$B$1004,"&lt;"&amp;DATE($B$3+1,1,1),업무일지!$AB$5:$AB$1004,$A$52,업무일지!$D$5:$D$1004,"분석")&gt;0,1,0))</f>
        <v/>
      </c>
      <c r="BX89">
        <f>IF($O89="",0,IF(COUNTIFS(업무일지!$F$5:$F$1004,$O89,업무일지!$B$5:$B$1004,"&gt;="&amp;DATE($B$3,1,1),업무일지!$B$5:$B$1004,"&lt;"&amp;DATE($B$3+1,1,1),업무일지!$AB$5:$AB$1004,$A$53,업무일지!$D$5:$D$1004,"분석")&gt;0,1,0))</f>
        <v/>
      </c>
      <c r="BZ89">
        <f>IF($O89="",0,IF(COUNTIFS(업무일지!$F$5:$F$1004,$O89,업무일지!$B$5:$B$1004,"&gt;="&amp;DATE($B$3,1,1),업무일지!$B$5:$B$1004,"&lt;"&amp;DATE($B$3+1,1,1),업무일지!$AB$5:$AB$1004,$A$44)&gt;0,1,0))</f>
        <v/>
      </c>
      <c r="CA89">
        <f>IF($O89="",0,IF(COUNTIFS(업무일지!$F$5:$F$1004,$O89,업무일지!$B$5:$B$1004,"&gt;="&amp;DATE($B$3,1,1),업무일지!$B$5:$B$1004,"&lt;"&amp;DATE($B$3+1,1,1),업무일지!$AB$5:$AB$1004,$A$45)&gt;0,1,0))</f>
        <v/>
      </c>
      <c r="CB89">
        <f>IF($O89="",0,IF(COUNTIFS(업무일지!$F$5:$F$1004,$O89,업무일지!$B$5:$B$1004,"&gt;="&amp;DATE($B$3,1,1),업무일지!$B$5:$B$1004,"&lt;"&amp;DATE($B$3+1,1,1),업무일지!$AB$5:$AB$1004,$A$46)&gt;0,1,0))</f>
        <v/>
      </c>
      <c r="CC89">
        <f>IF($O89="",0,IF(COUNTIFS(업무일지!$F$5:$F$1004,$O89,업무일지!$B$5:$B$1004,"&gt;="&amp;DATE($B$3,1,1),업무일지!$B$5:$B$1004,"&lt;"&amp;DATE($B$3+1,1,1),업무일지!$AB$5:$AB$1004,$A$47)&gt;0,1,0))</f>
        <v/>
      </c>
      <c r="CD89">
        <f>IF($O89="",0,IF(COUNTIFS(업무일지!$F$5:$F$1004,$O89,업무일지!$B$5:$B$1004,"&gt;="&amp;DATE($B$3,1,1),업무일지!$B$5:$B$1004,"&lt;"&amp;DATE($B$3+1,1,1),업무일지!$AB$5:$AB$1004,$A$48)&gt;0,1,0))</f>
        <v/>
      </c>
      <c r="CE89">
        <f>IF($O89="",0,IF(COUNTIFS(업무일지!$F$5:$F$1004,$O89,업무일지!$B$5:$B$1004,"&gt;="&amp;DATE($B$3,1,1),업무일지!$B$5:$B$1004,"&lt;"&amp;DATE($B$3+1,1,1),업무일지!$AB$5:$AB$1004,$A$49)&gt;0,1,0))</f>
        <v/>
      </c>
      <c r="CF89">
        <f>IF($O89="",0,IF(COUNTIFS(업무일지!$F$5:$F$1004,$O89,업무일지!$B$5:$B$1004,"&gt;="&amp;DATE($B$3,1,1),업무일지!$B$5:$B$1004,"&lt;"&amp;DATE($B$3+1,1,1),업무일지!$AB$5:$AB$1004,$A$50)&gt;0,1,0))</f>
        <v/>
      </c>
      <c r="CG89">
        <f>IF($O89="",0,IF(COUNTIFS(업무일지!$F$5:$F$1004,$O89,업무일지!$B$5:$B$1004,"&gt;="&amp;DATE($B$3,1,1),업무일지!$B$5:$B$1004,"&lt;"&amp;DATE($B$3+1,1,1),업무일지!$AB$5:$AB$1004,$A$51)&gt;0,1,0))</f>
        <v/>
      </c>
      <c r="CH89">
        <f>IF($O89="",0,IF(COUNTIFS(업무일지!$F$5:$F$1004,$O89,업무일지!$B$5:$B$1004,"&gt;="&amp;DATE($B$3,1,1),업무일지!$B$5:$B$1004,"&lt;"&amp;DATE($B$3+1,1,1),업무일지!$AB$5:$AB$1004,$A$52)&gt;0,1,0))</f>
        <v/>
      </c>
      <c r="CI89">
        <f>IF($O89="",0,IF(COUNTIFS(업무일지!$F$5:$F$1004,$O89,업무일지!$B$5:$B$1004,"&gt;="&amp;DATE($B$3,1,1),업무일지!$B$5:$B$1004,"&lt;"&amp;DATE($B$3+1,1,1),업무일지!$AB$5:$AB$1004,$A$53)&gt;0,1,0))</f>
        <v/>
      </c>
    </row>
    <row r="90">
      <c r="O90">
        <f>IF(사건마스터!$A10="","",사건마스터!$A10)</f>
        <v/>
      </c>
      <c r="P90">
        <f>IF($O90="",0,IF(COUNTIFS(업무일지!$F$5:$F$1004,$O90,업무일지!$B$5:$B$1004,"&gt;="&amp;DATE($B$3,1,1),업무일지!$B$5:$B$1004,"&lt;"&amp;DATE($B$3,1+1,1),업무일지!$D$5:$D$1004,"출장")&gt;0,1,0))</f>
        <v/>
      </c>
      <c r="Q90">
        <f>IF($O90="",0,IF(COUNTIFS(업무일지!$F$5:$F$1004,$O90,업무일지!$B$5:$B$1004,"&gt;="&amp;DATE($B$3,2,1),업무일지!$B$5:$B$1004,"&lt;"&amp;DATE($B$3,2+1,1),업무일지!$D$5:$D$1004,"출장")&gt;0,1,0))</f>
        <v/>
      </c>
      <c r="R90">
        <f>IF($O90="",0,IF(COUNTIFS(업무일지!$F$5:$F$1004,$O90,업무일지!$B$5:$B$1004,"&gt;="&amp;DATE($B$3,3,1),업무일지!$B$5:$B$1004,"&lt;"&amp;DATE($B$3,3+1,1),업무일지!$D$5:$D$1004,"출장")&gt;0,1,0))</f>
        <v/>
      </c>
      <c r="S90">
        <f>IF($O90="",0,IF(COUNTIFS(업무일지!$F$5:$F$1004,$O90,업무일지!$B$5:$B$1004,"&gt;="&amp;DATE($B$3,4,1),업무일지!$B$5:$B$1004,"&lt;"&amp;DATE($B$3,4+1,1),업무일지!$D$5:$D$1004,"출장")&gt;0,1,0))</f>
        <v/>
      </c>
      <c r="T90">
        <f>IF($O90="",0,IF(COUNTIFS(업무일지!$F$5:$F$1004,$O90,업무일지!$B$5:$B$1004,"&gt;="&amp;DATE($B$3,5,1),업무일지!$B$5:$B$1004,"&lt;"&amp;DATE($B$3,5+1,1),업무일지!$D$5:$D$1004,"출장")&gt;0,1,0))</f>
        <v/>
      </c>
      <c r="U90">
        <f>IF($O90="",0,IF(COUNTIFS(업무일지!$F$5:$F$1004,$O90,업무일지!$B$5:$B$1004,"&gt;="&amp;DATE($B$3,6,1),업무일지!$B$5:$B$1004,"&lt;"&amp;DATE($B$3,6+1,1),업무일지!$D$5:$D$1004,"출장")&gt;0,1,0))</f>
        <v/>
      </c>
      <c r="V90">
        <f>IF($O90="",0,IF(COUNTIFS(업무일지!$F$5:$F$1004,$O90,업무일지!$B$5:$B$1004,"&gt;="&amp;DATE($B$3,7,1),업무일지!$B$5:$B$1004,"&lt;"&amp;DATE($B$3,7+1,1),업무일지!$D$5:$D$1004,"출장")&gt;0,1,0))</f>
        <v/>
      </c>
      <c r="W90">
        <f>IF($O90="",0,IF(COUNTIFS(업무일지!$F$5:$F$1004,$O90,업무일지!$B$5:$B$1004,"&gt;="&amp;DATE($B$3,8,1),업무일지!$B$5:$B$1004,"&lt;"&amp;DATE($B$3,8+1,1),업무일지!$D$5:$D$1004,"출장")&gt;0,1,0))</f>
        <v/>
      </c>
      <c r="X90">
        <f>IF($O90="",0,IF(COUNTIFS(업무일지!$F$5:$F$1004,$O90,업무일지!$B$5:$B$1004,"&gt;="&amp;DATE($B$3,9,1),업무일지!$B$5:$B$1004,"&lt;"&amp;DATE($B$3,9+1,1),업무일지!$D$5:$D$1004,"출장")&gt;0,1,0))</f>
        <v/>
      </c>
      <c r="Y90">
        <f>IF($O90="",0,IF(COUNTIFS(업무일지!$F$5:$F$1004,$O90,업무일지!$B$5:$B$1004,"&gt;="&amp;DATE($B$3,10,1),업무일지!$B$5:$B$1004,"&lt;"&amp;DATE($B$3,10+1,1),업무일지!$D$5:$D$1004,"출장")&gt;0,1,0))</f>
        <v/>
      </c>
      <c r="Z90">
        <f>IF($O90="",0,IF(COUNTIFS(업무일지!$F$5:$F$1004,$O90,업무일지!$B$5:$B$1004,"&gt;="&amp;DATE($B$3,11,1),업무일지!$B$5:$B$1004,"&lt;"&amp;DATE($B$3,11+1,1),업무일지!$D$5:$D$1004,"출장")&gt;0,1,0))</f>
        <v/>
      </c>
      <c r="AA90">
        <f>IF($O90="",0,IF(COUNTIFS(업무일지!$F$5:$F$1004,$O90,업무일지!$B$5:$B$1004,"&gt;="&amp;DATE($B$3,12,1),업무일지!$B$5:$B$1004,"&lt;"&amp;DATE($B$3,12+1,1),업무일지!$D$5:$D$1004,"출장")&gt;0,1,0))</f>
        <v/>
      </c>
      <c r="AB90">
        <f>IF($O90="",0,IF(COUNTIFS(업무일지!$F$5:$F$1004,$O90,업무일지!$B$5:$B$1004,"&gt;="&amp;DATE($B$3,1,1),업무일지!$B$5:$B$1004,"&lt;"&amp;DATE($B$3,1+1,1),업무일지!$D$5:$D$1004,"분석")&gt;0,1,0))</f>
        <v/>
      </c>
      <c r="AC90">
        <f>IF($O90="",0,IF(COUNTIFS(업무일지!$F$5:$F$1004,$O90,업무일지!$B$5:$B$1004,"&gt;="&amp;DATE($B$3,2,1),업무일지!$B$5:$B$1004,"&lt;"&amp;DATE($B$3,2+1,1),업무일지!$D$5:$D$1004,"분석")&gt;0,1,0))</f>
        <v/>
      </c>
      <c r="AD90">
        <f>IF($O90="",0,IF(COUNTIFS(업무일지!$F$5:$F$1004,$O90,업무일지!$B$5:$B$1004,"&gt;="&amp;DATE($B$3,3,1),업무일지!$B$5:$B$1004,"&lt;"&amp;DATE($B$3,3+1,1),업무일지!$D$5:$D$1004,"분석")&gt;0,1,0))</f>
        <v/>
      </c>
      <c r="AE90">
        <f>IF($O90="",0,IF(COUNTIFS(업무일지!$F$5:$F$1004,$O90,업무일지!$B$5:$B$1004,"&gt;="&amp;DATE($B$3,4,1),업무일지!$B$5:$B$1004,"&lt;"&amp;DATE($B$3,4+1,1),업무일지!$D$5:$D$1004,"분석")&gt;0,1,0))</f>
        <v/>
      </c>
      <c r="AF90">
        <f>IF($O90="",0,IF(COUNTIFS(업무일지!$F$5:$F$1004,$O90,업무일지!$B$5:$B$1004,"&gt;="&amp;DATE($B$3,5,1),업무일지!$B$5:$B$1004,"&lt;"&amp;DATE($B$3,5+1,1),업무일지!$D$5:$D$1004,"분석")&gt;0,1,0))</f>
        <v/>
      </c>
      <c r="AG90">
        <f>IF($O90="",0,IF(COUNTIFS(업무일지!$F$5:$F$1004,$O90,업무일지!$B$5:$B$1004,"&gt;="&amp;DATE($B$3,6,1),업무일지!$B$5:$B$1004,"&lt;"&amp;DATE($B$3,6+1,1),업무일지!$D$5:$D$1004,"분석")&gt;0,1,0))</f>
        <v/>
      </c>
      <c r="AH90">
        <f>IF($O90="",0,IF(COUNTIFS(업무일지!$F$5:$F$1004,$O90,업무일지!$B$5:$B$1004,"&gt;="&amp;DATE($B$3,7,1),업무일지!$B$5:$B$1004,"&lt;"&amp;DATE($B$3,7+1,1),업무일지!$D$5:$D$1004,"분석")&gt;0,1,0))</f>
        <v/>
      </c>
      <c r="AI90">
        <f>IF($O90="",0,IF(COUNTIFS(업무일지!$F$5:$F$1004,$O90,업무일지!$B$5:$B$1004,"&gt;="&amp;DATE($B$3,8,1),업무일지!$B$5:$B$1004,"&lt;"&amp;DATE($B$3,8+1,1),업무일지!$D$5:$D$1004,"분석")&gt;0,1,0))</f>
        <v/>
      </c>
      <c r="AJ90">
        <f>IF($O90="",0,IF(COUNTIFS(업무일지!$F$5:$F$1004,$O90,업무일지!$B$5:$B$1004,"&gt;="&amp;DATE($B$3,9,1),업무일지!$B$5:$B$1004,"&lt;"&amp;DATE($B$3,9+1,1),업무일지!$D$5:$D$1004,"분석")&gt;0,1,0))</f>
        <v/>
      </c>
      <c r="AK90">
        <f>IF($O90="",0,IF(COUNTIFS(업무일지!$F$5:$F$1004,$O90,업무일지!$B$5:$B$1004,"&gt;="&amp;DATE($B$3,10,1),업무일지!$B$5:$B$1004,"&lt;"&amp;DATE($B$3,10+1,1),업무일지!$D$5:$D$1004,"분석")&gt;0,1,0))</f>
        <v/>
      </c>
      <c r="AL90">
        <f>IF($O90="",0,IF(COUNTIFS(업무일지!$F$5:$F$1004,$O90,업무일지!$B$5:$B$1004,"&gt;="&amp;DATE($B$3,11,1),업무일지!$B$5:$B$1004,"&lt;"&amp;DATE($B$3,11+1,1),업무일지!$D$5:$D$1004,"분석")&gt;0,1,0))</f>
        <v/>
      </c>
      <c r="AM90">
        <f>IF($O90="",0,IF(COUNTIFS(업무일지!$F$5:$F$1004,$O90,업무일지!$B$5:$B$1004,"&gt;="&amp;DATE($B$3,12,1),업무일지!$B$5:$B$1004,"&lt;"&amp;DATE($B$3,12+1,1),업무일지!$D$5:$D$1004,"분석")&gt;0,1,0))</f>
        <v/>
      </c>
      <c r="AN90">
        <f>IF($O90="",0,IF(COUNTIFS(업무일지!$F$5:$F$1004,$O90,업무일지!$B$5:$B$1004,"&gt;="&amp;DATE($B$3,1,1),업무일지!$B$5:$B$1004,"&lt;"&amp;DATE($B$3,1+1,1))&gt;0,1,0))</f>
        <v/>
      </c>
      <c r="AO90">
        <f>IF($O90="",0,IF(COUNTIFS(업무일지!$F$5:$F$1004,$O90,업무일지!$B$5:$B$1004,"&gt;="&amp;DATE($B$3,2,1),업무일지!$B$5:$B$1004,"&lt;"&amp;DATE($B$3,2+1,1))&gt;0,1,0))</f>
        <v/>
      </c>
      <c r="AP90">
        <f>IF($O90="",0,IF(COUNTIFS(업무일지!$F$5:$F$1004,$O90,업무일지!$B$5:$B$1004,"&gt;="&amp;DATE($B$3,3,1),업무일지!$B$5:$B$1004,"&lt;"&amp;DATE($B$3,3+1,1))&gt;0,1,0))</f>
        <v/>
      </c>
      <c r="AQ90">
        <f>IF($O90="",0,IF(COUNTIFS(업무일지!$F$5:$F$1004,$O90,업무일지!$B$5:$B$1004,"&gt;="&amp;DATE($B$3,4,1),업무일지!$B$5:$B$1004,"&lt;"&amp;DATE($B$3,4+1,1))&gt;0,1,0))</f>
        <v/>
      </c>
      <c r="AR90">
        <f>IF($O90="",0,IF(COUNTIFS(업무일지!$F$5:$F$1004,$O90,업무일지!$B$5:$B$1004,"&gt;="&amp;DATE($B$3,5,1),업무일지!$B$5:$B$1004,"&lt;"&amp;DATE($B$3,5+1,1))&gt;0,1,0))</f>
        <v/>
      </c>
      <c r="AS90">
        <f>IF($O90="",0,IF(COUNTIFS(업무일지!$F$5:$F$1004,$O90,업무일지!$B$5:$B$1004,"&gt;="&amp;DATE($B$3,6,1),업무일지!$B$5:$B$1004,"&lt;"&amp;DATE($B$3,6+1,1))&gt;0,1,0))</f>
        <v/>
      </c>
      <c r="AT90">
        <f>IF($O90="",0,IF(COUNTIFS(업무일지!$F$5:$F$1004,$O90,업무일지!$B$5:$B$1004,"&gt;="&amp;DATE($B$3,7,1),업무일지!$B$5:$B$1004,"&lt;"&amp;DATE($B$3,7+1,1))&gt;0,1,0))</f>
        <v/>
      </c>
      <c r="AU90">
        <f>IF($O90="",0,IF(COUNTIFS(업무일지!$F$5:$F$1004,$O90,업무일지!$B$5:$B$1004,"&gt;="&amp;DATE($B$3,8,1),업무일지!$B$5:$B$1004,"&lt;"&amp;DATE($B$3,8+1,1))&gt;0,1,0))</f>
        <v/>
      </c>
      <c r="AV90">
        <f>IF($O90="",0,IF(COUNTIFS(업무일지!$F$5:$F$1004,$O90,업무일지!$B$5:$B$1004,"&gt;="&amp;DATE($B$3,9,1),업무일지!$B$5:$B$1004,"&lt;"&amp;DATE($B$3,9+1,1))&gt;0,1,0))</f>
        <v/>
      </c>
      <c r="AW90">
        <f>IF($O90="",0,IF(COUNTIFS(업무일지!$F$5:$F$1004,$O90,업무일지!$B$5:$B$1004,"&gt;="&amp;DATE($B$3,10,1),업무일지!$B$5:$B$1004,"&lt;"&amp;DATE($B$3,10+1,1))&gt;0,1,0))</f>
        <v/>
      </c>
      <c r="AX90">
        <f>IF($O90="",0,IF(COUNTIFS(업무일지!$F$5:$F$1004,$O90,업무일지!$B$5:$B$1004,"&gt;="&amp;DATE($B$3,11,1),업무일지!$B$5:$B$1004,"&lt;"&amp;DATE($B$3,11+1,1))&gt;0,1,0))</f>
        <v/>
      </c>
      <c r="AY90">
        <f>IF($O90="",0,IF(COUNTIFS(업무일지!$F$5:$F$1004,$O90,업무일지!$B$5:$B$1004,"&gt;="&amp;DATE($B$3,12,1),업무일지!$B$5:$B$1004,"&lt;"&amp;DATE($B$3,12+1,1))&gt;0,1,0))</f>
        <v/>
      </c>
      <c r="AZ90">
        <f>IF($O90="",0,IF(COUNTIFS(업무일지!$F$5:$F$1004,$O90,업무일지!$B$5:$B$1004,"&gt;="&amp;DATE($B$3,1,1),업무일지!$B$5:$B$1004,"&lt;"&amp;DATE($B$3+1,1,1),업무일지!$D$5:$D$1004,"출장")&gt;0,1,0))</f>
        <v/>
      </c>
      <c r="BA90">
        <f>IF($O90="",0,IF(COUNTIFS(업무일지!$F$5:$F$1004,$O90,업무일지!$B$5:$B$1004,"&gt;="&amp;DATE($B$3,1,1),업무일지!$B$5:$B$1004,"&lt;"&amp;DATE($B$3+1,1,1),업무일지!$D$5:$D$1004,"분석")&gt;0,1,0))</f>
        <v/>
      </c>
      <c r="BB90">
        <f>IF($O90="",0,IF(COUNTIFS(업무일지!$F$5:$F$1004,$O90,업무일지!$B$5:$B$1004,"&gt;="&amp;DATE($B$3,1,1),업무일지!$B$5:$B$1004,"&lt;"&amp;DATE($B$3+1,1,1))&gt;0,1,0))</f>
        <v/>
      </c>
      <c r="BD90">
        <f>IF($O90="",0,IF(COUNTIFS(업무일지!$F$5:$F$1004,$O90,업무일지!$B$5:$B$1004,"&gt;="&amp;DATE($B$3,1,1),업무일지!$B$5:$B$1004,"&lt;"&amp;DATE($B$3+1,1,1),업무일지!$AB$5:$AB$1004,$A$44,업무일지!$D$5:$D$1004,"출장")&gt;0,1,0))</f>
        <v/>
      </c>
      <c r="BE90">
        <f>IF($O90="",0,IF(COUNTIFS(업무일지!$F$5:$F$1004,$O90,업무일지!$B$5:$B$1004,"&gt;="&amp;DATE($B$3,1,1),업무일지!$B$5:$B$1004,"&lt;"&amp;DATE($B$3+1,1,1),업무일지!$AB$5:$AB$1004,$A$45,업무일지!$D$5:$D$1004,"출장")&gt;0,1,0))</f>
        <v/>
      </c>
      <c r="BF90">
        <f>IF($O90="",0,IF(COUNTIFS(업무일지!$F$5:$F$1004,$O90,업무일지!$B$5:$B$1004,"&gt;="&amp;DATE($B$3,1,1),업무일지!$B$5:$B$1004,"&lt;"&amp;DATE($B$3+1,1,1),업무일지!$AB$5:$AB$1004,$A$46,업무일지!$D$5:$D$1004,"출장")&gt;0,1,0))</f>
        <v/>
      </c>
      <c r="BG90">
        <f>IF($O90="",0,IF(COUNTIFS(업무일지!$F$5:$F$1004,$O90,업무일지!$B$5:$B$1004,"&gt;="&amp;DATE($B$3,1,1),업무일지!$B$5:$B$1004,"&lt;"&amp;DATE($B$3+1,1,1),업무일지!$AB$5:$AB$1004,$A$47,업무일지!$D$5:$D$1004,"출장")&gt;0,1,0))</f>
        <v/>
      </c>
      <c r="BH90">
        <f>IF($O90="",0,IF(COUNTIFS(업무일지!$F$5:$F$1004,$O90,업무일지!$B$5:$B$1004,"&gt;="&amp;DATE($B$3,1,1),업무일지!$B$5:$B$1004,"&lt;"&amp;DATE($B$3+1,1,1),업무일지!$AB$5:$AB$1004,$A$48,업무일지!$D$5:$D$1004,"출장")&gt;0,1,0))</f>
        <v/>
      </c>
      <c r="BI90">
        <f>IF($O90="",0,IF(COUNTIFS(업무일지!$F$5:$F$1004,$O90,업무일지!$B$5:$B$1004,"&gt;="&amp;DATE($B$3,1,1),업무일지!$B$5:$B$1004,"&lt;"&amp;DATE($B$3+1,1,1),업무일지!$AB$5:$AB$1004,$A$49,업무일지!$D$5:$D$1004,"출장")&gt;0,1,0))</f>
        <v/>
      </c>
      <c r="BJ90">
        <f>IF($O90="",0,IF(COUNTIFS(업무일지!$F$5:$F$1004,$O90,업무일지!$B$5:$B$1004,"&gt;="&amp;DATE($B$3,1,1),업무일지!$B$5:$B$1004,"&lt;"&amp;DATE($B$3+1,1,1),업무일지!$AB$5:$AB$1004,$A$50,업무일지!$D$5:$D$1004,"출장")&gt;0,1,0))</f>
        <v/>
      </c>
      <c r="BK90">
        <f>IF($O90="",0,IF(COUNTIFS(업무일지!$F$5:$F$1004,$O90,업무일지!$B$5:$B$1004,"&gt;="&amp;DATE($B$3,1,1),업무일지!$B$5:$B$1004,"&lt;"&amp;DATE($B$3+1,1,1),업무일지!$AB$5:$AB$1004,$A$51,업무일지!$D$5:$D$1004,"출장")&gt;0,1,0))</f>
        <v/>
      </c>
      <c r="BL90">
        <f>IF($O90="",0,IF(COUNTIFS(업무일지!$F$5:$F$1004,$O90,업무일지!$B$5:$B$1004,"&gt;="&amp;DATE($B$3,1,1),업무일지!$B$5:$B$1004,"&lt;"&amp;DATE($B$3+1,1,1),업무일지!$AB$5:$AB$1004,$A$52,업무일지!$D$5:$D$1004,"출장")&gt;0,1,0))</f>
        <v/>
      </c>
      <c r="BM90">
        <f>IF($O90="",0,IF(COUNTIFS(업무일지!$F$5:$F$1004,$O90,업무일지!$B$5:$B$1004,"&gt;="&amp;DATE($B$3,1,1),업무일지!$B$5:$B$1004,"&lt;"&amp;DATE($B$3+1,1,1),업무일지!$AB$5:$AB$1004,$A$53,업무일지!$D$5:$D$1004,"출장")&gt;0,1,0))</f>
        <v/>
      </c>
      <c r="BO90">
        <f>IF($O90="",0,IF(COUNTIFS(업무일지!$F$5:$F$1004,$O90,업무일지!$B$5:$B$1004,"&gt;="&amp;DATE($B$3,1,1),업무일지!$B$5:$B$1004,"&lt;"&amp;DATE($B$3+1,1,1),업무일지!$AB$5:$AB$1004,$A$44,업무일지!$D$5:$D$1004,"분석")&gt;0,1,0))</f>
        <v/>
      </c>
      <c r="BP90">
        <f>IF($O90="",0,IF(COUNTIFS(업무일지!$F$5:$F$1004,$O90,업무일지!$B$5:$B$1004,"&gt;="&amp;DATE($B$3,1,1),업무일지!$B$5:$B$1004,"&lt;"&amp;DATE($B$3+1,1,1),업무일지!$AB$5:$AB$1004,$A$45,업무일지!$D$5:$D$1004,"분석")&gt;0,1,0))</f>
        <v/>
      </c>
      <c r="BQ90">
        <f>IF($O90="",0,IF(COUNTIFS(업무일지!$F$5:$F$1004,$O90,업무일지!$B$5:$B$1004,"&gt;="&amp;DATE($B$3,1,1),업무일지!$B$5:$B$1004,"&lt;"&amp;DATE($B$3+1,1,1),업무일지!$AB$5:$AB$1004,$A$46,업무일지!$D$5:$D$1004,"분석")&gt;0,1,0))</f>
        <v/>
      </c>
      <c r="BR90">
        <f>IF($O90="",0,IF(COUNTIFS(업무일지!$F$5:$F$1004,$O90,업무일지!$B$5:$B$1004,"&gt;="&amp;DATE($B$3,1,1),업무일지!$B$5:$B$1004,"&lt;"&amp;DATE($B$3+1,1,1),업무일지!$AB$5:$AB$1004,$A$47,업무일지!$D$5:$D$1004,"분석")&gt;0,1,0))</f>
        <v/>
      </c>
      <c r="BS90">
        <f>IF($O90="",0,IF(COUNTIFS(업무일지!$F$5:$F$1004,$O90,업무일지!$B$5:$B$1004,"&gt;="&amp;DATE($B$3,1,1),업무일지!$B$5:$B$1004,"&lt;"&amp;DATE($B$3+1,1,1),업무일지!$AB$5:$AB$1004,$A$48,업무일지!$D$5:$D$1004,"분석")&gt;0,1,0))</f>
        <v/>
      </c>
      <c r="BT90">
        <f>IF($O90="",0,IF(COUNTIFS(업무일지!$F$5:$F$1004,$O90,업무일지!$B$5:$B$1004,"&gt;="&amp;DATE($B$3,1,1),업무일지!$B$5:$B$1004,"&lt;"&amp;DATE($B$3+1,1,1),업무일지!$AB$5:$AB$1004,$A$49,업무일지!$D$5:$D$1004,"분석")&gt;0,1,0))</f>
        <v/>
      </c>
      <c r="BU90">
        <f>IF($O90="",0,IF(COUNTIFS(업무일지!$F$5:$F$1004,$O90,업무일지!$B$5:$B$1004,"&gt;="&amp;DATE($B$3,1,1),업무일지!$B$5:$B$1004,"&lt;"&amp;DATE($B$3+1,1,1),업무일지!$AB$5:$AB$1004,$A$50,업무일지!$D$5:$D$1004,"분석")&gt;0,1,0))</f>
        <v/>
      </c>
      <c r="BV90">
        <f>IF($O90="",0,IF(COUNTIFS(업무일지!$F$5:$F$1004,$O90,업무일지!$B$5:$B$1004,"&gt;="&amp;DATE($B$3,1,1),업무일지!$B$5:$B$1004,"&lt;"&amp;DATE($B$3+1,1,1),업무일지!$AB$5:$AB$1004,$A$51,업무일지!$D$5:$D$1004,"분석")&gt;0,1,0))</f>
        <v/>
      </c>
      <c r="BW90">
        <f>IF($O90="",0,IF(COUNTIFS(업무일지!$F$5:$F$1004,$O90,업무일지!$B$5:$B$1004,"&gt;="&amp;DATE($B$3,1,1),업무일지!$B$5:$B$1004,"&lt;"&amp;DATE($B$3+1,1,1),업무일지!$AB$5:$AB$1004,$A$52,업무일지!$D$5:$D$1004,"분석")&gt;0,1,0))</f>
        <v/>
      </c>
      <c r="BX90">
        <f>IF($O90="",0,IF(COUNTIFS(업무일지!$F$5:$F$1004,$O90,업무일지!$B$5:$B$1004,"&gt;="&amp;DATE($B$3,1,1),업무일지!$B$5:$B$1004,"&lt;"&amp;DATE($B$3+1,1,1),업무일지!$AB$5:$AB$1004,$A$53,업무일지!$D$5:$D$1004,"분석")&gt;0,1,0))</f>
        <v/>
      </c>
      <c r="BZ90">
        <f>IF($O90="",0,IF(COUNTIFS(업무일지!$F$5:$F$1004,$O90,업무일지!$B$5:$B$1004,"&gt;="&amp;DATE($B$3,1,1),업무일지!$B$5:$B$1004,"&lt;"&amp;DATE($B$3+1,1,1),업무일지!$AB$5:$AB$1004,$A$44)&gt;0,1,0))</f>
        <v/>
      </c>
      <c r="CA90">
        <f>IF($O90="",0,IF(COUNTIFS(업무일지!$F$5:$F$1004,$O90,업무일지!$B$5:$B$1004,"&gt;="&amp;DATE($B$3,1,1),업무일지!$B$5:$B$1004,"&lt;"&amp;DATE($B$3+1,1,1),업무일지!$AB$5:$AB$1004,$A$45)&gt;0,1,0))</f>
        <v/>
      </c>
      <c r="CB90">
        <f>IF($O90="",0,IF(COUNTIFS(업무일지!$F$5:$F$1004,$O90,업무일지!$B$5:$B$1004,"&gt;="&amp;DATE($B$3,1,1),업무일지!$B$5:$B$1004,"&lt;"&amp;DATE($B$3+1,1,1),업무일지!$AB$5:$AB$1004,$A$46)&gt;0,1,0))</f>
        <v/>
      </c>
      <c r="CC90">
        <f>IF($O90="",0,IF(COUNTIFS(업무일지!$F$5:$F$1004,$O90,업무일지!$B$5:$B$1004,"&gt;="&amp;DATE($B$3,1,1),업무일지!$B$5:$B$1004,"&lt;"&amp;DATE($B$3+1,1,1),업무일지!$AB$5:$AB$1004,$A$47)&gt;0,1,0))</f>
        <v/>
      </c>
      <c r="CD90">
        <f>IF($O90="",0,IF(COUNTIFS(업무일지!$F$5:$F$1004,$O90,업무일지!$B$5:$B$1004,"&gt;="&amp;DATE($B$3,1,1),업무일지!$B$5:$B$1004,"&lt;"&amp;DATE($B$3+1,1,1),업무일지!$AB$5:$AB$1004,$A$48)&gt;0,1,0))</f>
        <v/>
      </c>
      <c r="CE90">
        <f>IF($O90="",0,IF(COUNTIFS(업무일지!$F$5:$F$1004,$O90,업무일지!$B$5:$B$1004,"&gt;="&amp;DATE($B$3,1,1),업무일지!$B$5:$B$1004,"&lt;"&amp;DATE($B$3+1,1,1),업무일지!$AB$5:$AB$1004,$A$49)&gt;0,1,0))</f>
        <v/>
      </c>
      <c r="CF90">
        <f>IF($O90="",0,IF(COUNTIFS(업무일지!$F$5:$F$1004,$O90,업무일지!$B$5:$B$1004,"&gt;="&amp;DATE($B$3,1,1),업무일지!$B$5:$B$1004,"&lt;"&amp;DATE($B$3+1,1,1),업무일지!$AB$5:$AB$1004,$A$50)&gt;0,1,0))</f>
        <v/>
      </c>
      <c r="CG90">
        <f>IF($O90="",0,IF(COUNTIFS(업무일지!$F$5:$F$1004,$O90,업무일지!$B$5:$B$1004,"&gt;="&amp;DATE($B$3,1,1),업무일지!$B$5:$B$1004,"&lt;"&amp;DATE($B$3+1,1,1),업무일지!$AB$5:$AB$1004,$A$51)&gt;0,1,0))</f>
        <v/>
      </c>
      <c r="CH90">
        <f>IF($O90="",0,IF(COUNTIFS(업무일지!$F$5:$F$1004,$O90,업무일지!$B$5:$B$1004,"&gt;="&amp;DATE($B$3,1,1),업무일지!$B$5:$B$1004,"&lt;"&amp;DATE($B$3+1,1,1),업무일지!$AB$5:$AB$1004,$A$52)&gt;0,1,0))</f>
        <v/>
      </c>
      <c r="CI90">
        <f>IF($O90="",0,IF(COUNTIFS(업무일지!$F$5:$F$1004,$O90,업무일지!$B$5:$B$1004,"&gt;="&amp;DATE($B$3,1,1),업무일지!$B$5:$B$1004,"&lt;"&amp;DATE($B$3+1,1,1),업무일지!$AB$5:$AB$1004,$A$53)&gt;0,1,0))</f>
        <v/>
      </c>
    </row>
    <row r="91">
      <c r="O91">
        <f>IF(사건마스터!$A11="","",사건마스터!$A11)</f>
        <v/>
      </c>
      <c r="P91">
        <f>IF($O91="",0,IF(COUNTIFS(업무일지!$F$5:$F$1004,$O91,업무일지!$B$5:$B$1004,"&gt;="&amp;DATE($B$3,1,1),업무일지!$B$5:$B$1004,"&lt;"&amp;DATE($B$3,1+1,1),업무일지!$D$5:$D$1004,"출장")&gt;0,1,0))</f>
        <v/>
      </c>
      <c r="Q91">
        <f>IF($O91="",0,IF(COUNTIFS(업무일지!$F$5:$F$1004,$O91,업무일지!$B$5:$B$1004,"&gt;="&amp;DATE($B$3,2,1),업무일지!$B$5:$B$1004,"&lt;"&amp;DATE($B$3,2+1,1),업무일지!$D$5:$D$1004,"출장")&gt;0,1,0))</f>
        <v/>
      </c>
      <c r="R91">
        <f>IF($O91="",0,IF(COUNTIFS(업무일지!$F$5:$F$1004,$O91,업무일지!$B$5:$B$1004,"&gt;="&amp;DATE($B$3,3,1),업무일지!$B$5:$B$1004,"&lt;"&amp;DATE($B$3,3+1,1),업무일지!$D$5:$D$1004,"출장")&gt;0,1,0))</f>
        <v/>
      </c>
      <c r="S91">
        <f>IF($O91="",0,IF(COUNTIFS(업무일지!$F$5:$F$1004,$O91,업무일지!$B$5:$B$1004,"&gt;="&amp;DATE($B$3,4,1),업무일지!$B$5:$B$1004,"&lt;"&amp;DATE($B$3,4+1,1),업무일지!$D$5:$D$1004,"출장")&gt;0,1,0))</f>
        <v/>
      </c>
      <c r="T91">
        <f>IF($O91="",0,IF(COUNTIFS(업무일지!$F$5:$F$1004,$O91,업무일지!$B$5:$B$1004,"&gt;="&amp;DATE($B$3,5,1),업무일지!$B$5:$B$1004,"&lt;"&amp;DATE($B$3,5+1,1),업무일지!$D$5:$D$1004,"출장")&gt;0,1,0))</f>
        <v/>
      </c>
      <c r="U91">
        <f>IF($O91="",0,IF(COUNTIFS(업무일지!$F$5:$F$1004,$O91,업무일지!$B$5:$B$1004,"&gt;="&amp;DATE($B$3,6,1),업무일지!$B$5:$B$1004,"&lt;"&amp;DATE($B$3,6+1,1),업무일지!$D$5:$D$1004,"출장")&gt;0,1,0))</f>
        <v/>
      </c>
      <c r="V91">
        <f>IF($O91="",0,IF(COUNTIFS(업무일지!$F$5:$F$1004,$O91,업무일지!$B$5:$B$1004,"&gt;="&amp;DATE($B$3,7,1),업무일지!$B$5:$B$1004,"&lt;"&amp;DATE($B$3,7+1,1),업무일지!$D$5:$D$1004,"출장")&gt;0,1,0))</f>
        <v/>
      </c>
      <c r="W91">
        <f>IF($O91="",0,IF(COUNTIFS(업무일지!$F$5:$F$1004,$O91,업무일지!$B$5:$B$1004,"&gt;="&amp;DATE($B$3,8,1),업무일지!$B$5:$B$1004,"&lt;"&amp;DATE($B$3,8+1,1),업무일지!$D$5:$D$1004,"출장")&gt;0,1,0))</f>
        <v/>
      </c>
      <c r="X91">
        <f>IF($O91="",0,IF(COUNTIFS(업무일지!$F$5:$F$1004,$O91,업무일지!$B$5:$B$1004,"&gt;="&amp;DATE($B$3,9,1),업무일지!$B$5:$B$1004,"&lt;"&amp;DATE($B$3,9+1,1),업무일지!$D$5:$D$1004,"출장")&gt;0,1,0))</f>
        <v/>
      </c>
      <c r="Y91">
        <f>IF($O91="",0,IF(COUNTIFS(업무일지!$F$5:$F$1004,$O91,업무일지!$B$5:$B$1004,"&gt;="&amp;DATE($B$3,10,1),업무일지!$B$5:$B$1004,"&lt;"&amp;DATE($B$3,10+1,1),업무일지!$D$5:$D$1004,"출장")&gt;0,1,0))</f>
        <v/>
      </c>
      <c r="Z91">
        <f>IF($O91="",0,IF(COUNTIFS(업무일지!$F$5:$F$1004,$O91,업무일지!$B$5:$B$1004,"&gt;="&amp;DATE($B$3,11,1),업무일지!$B$5:$B$1004,"&lt;"&amp;DATE($B$3,11+1,1),업무일지!$D$5:$D$1004,"출장")&gt;0,1,0))</f>
        <v/>
      </c>
      <c r="AA91">
        <f>IF($O91="",0,IF(COUNTIFS(업무일지!$F$5:$F$1004,$O91,업무일지!$B$5:$B$1004,"&gt;="&amp;DATE($B$3,12,1),업무일지!$B$5:$B$1004,"&lt;"&amp;DATE($B$3,12+1,1),업무일지!$D$5:$D$1004,"출장")&gt;0,1,0))</f>
        <v/>
      </c>
      <c r="AB91">
        <f>IF($O91="",0,IF(COUNTIFS(업무일지!$F$5:$F$1004,$O91,업무일지!$B$5:$B$1004,"&gt;="&amp;DATE($B$3,1,1),업무일지!$B$5:$B$1004,"&lt;"&amp;DATE($B$3,1+1,1),업무일지!$D$5:$D$1004,"분석")&gt;0,1,0))</f>
        <v/>
      </c>
      <c r="AC91">
        <f>IF($O91="",0,IF(COUNTIFS(업무일지!$F$5:$F$1004,$O91,업무일지!$B$5:$B$1004,"&gt;="&amp;DATE($B$3,2,1),업무일지!$B$5:$B$1004,"&lt;"&amp;DATE($B$3,2+1,1),업무일지!$D$5:$D$1004,"분석")&gt;0,1,0))</f>
        <v/>
      </c>
      <c r="AD91">
        <f>IF($O91="",0,IF(COUNTIFS(업무일지!$F$5:$F$1004,$O91,업무일지!$B$5:$B$1004,"&gt;="&amp;DATE($B$3,3,1),업무일지!$B$5:$B$1004,"&lt;"&amp;DATE($B$3,3+1,1),업무일지!$D$5:$D$1004,"분석")&gt;0,1,0))</f>
        <v/>
      </c>
      <c r="AE91">
        <f>IF($O91="",0,IF(COUNTIFS(업무일지!$F$5:$F$1004,$O91,업무일지!$B$5:$B$1004,"&gt;="&amp;DATE($B$3,4,1),업무일지!$B$5:$B$1004,"&lt;"&amp;DATE($B$3,4+1,1),업무일지!$D$5:$D$1004,"분석")&gt;0,1,0))</f>
        <v/>
      </c>
      <c r="AF91">
        <f>IF($O91="",0,IF(COUNTIFS(업무일지!$F$5:$F$1004,$O91,업무일지!$B$5:$B$1004,"&gt;="&amp;DATE($B$3,5,1),업무일지!$B$5:$B$1004,"&lt;"&amp;DATE($B$3,5+1,1),업무일지!$D$5:$D$1004,"분석")&gt;0,1,0))</f>
        <v/>
      </c>
      <c r="AG91">
        <f>IF($O91="",0,IF(COUNTIFS(업무일지!$F$5:$F$1004,$O91,업무일지!$B$5:$B$1004,"&gt;="&amp;DATE($B$3,6,1),업무일지!$B$5:$B$1004,"&lt;"&amp;DATE($B$3,6+1,1),업무일지!$D$5:$D$1004,"분석")&gt;0,1,0))</f>
        <v/>
      </c>
      <c r="AH91">
        <f>IF($O91="",0,IF(COUNTIFS(업무일지!$F$5:$F$1004,$O91,업무일지!$B$5:$B$1004,"&gt;="&amp;DATE($B$3,7,1),업무일지!$B$5:$B$1004,"&lt;"&amp;DATE($B$3,7+1,1),업무일지!$D$5:$D$1004,"분석")&gt;0,1,0))</f>
        <v/>
      </c>
      <c r="AI91">
        <f>IF($O91="",0,IF(COUNTIFS(업무일지!$F$5:$F$1004,$O91,업무일지!$B$5:$B$1004,"&gt;="&amp;DATE($B$3,8,1),업무일지!$B$5:$B$1004,"&lt;"&amp;DATE($B$3,8+1,1),업무일지!$D$5:$D$1004,"분석")&gt;0,1,0))</f>
        <v/>
      </c>
      <c r="AJ91">
        <f>IF($O91="",0,IF(COUNTIFS(업무일지!$F$5:$F$1004,$O91,업무일지!$B$5:$B$1004,"&gt;="&amp;DATE($B$3,9,1),업무일지!$B$5:$B$1004,"&lt;"&amp;DATE($B$3,9+1,1),업무일지!$D$5:$D$1004,"분석")&gt;0,1,0))</f>
        <v/>
      </c>
      <c r="AK91">
        <f>IF($O91="",0,IF(COUNTIFS(업무일지!$F$5:$F$1004,$O91,업무일지!$B$5:$B$1004,"&gt;="&amp;DATE($B$3,10,1),업무일지!$B$5:$B$1004,"&lt;"&amp;DATE($B$3,10+1,1),업무일지!$D$5:$D$1004,"분석")&gt;0,1,0))</f>
        <v/>
      </c>
      <c r="AL91">
        <f>IF($O91="",0,IF(COUNTIFS(업무일지!$F$5:$F$1004,$O91,업무일지!$B$5:$B$1004,"&gt;="&amp;DATE($B$3,11,1),업무일지!$B$5:$B$1004,"&lt;"&amp;DATE($B$3,11+1,1),업무일지!$D$5:$D$1004,"분석")&gt;0,1,0))</f>
        <v/>
      </c>
      <c r="AM91">
        <f>IF($O91="",0,IF(COUNTIFS(업무일지!$F$5:$F$1004,$O91,업무일지!$B$5:$B$1004,"&gt;="&amp;DATE($B$3,12,1),업무일지!$B$5:$B$1004,"&lt;"&amp;DATE($B$3,12+1,1),업무일지!$D$5:$D$1004,"분석")&gt;0,1,0))</f>
        <v/>
      </c>
      <c r="AN91">
        <f>IF($O91="",0,IF(COUNTIFS(업무일지!$F$5:$F$1004,$O91,업무일지!$B$5:$B$1004,"&gt;="&amp;DATE($B$3,1,1),업무일지!$B$5:$B$1004,"&lt;"&amp;DATE($B$3,1+1,1))&gt;0,1,0))</f>
        <v/>
      </c>
      <c r="AO91">
        <f>IF($O91="",0,IF(COUNTIFS(업무일지!$F$5:$F$1004,$O91,업무일지!$B$5:$B$1004,"&gt;="&amp;DATE($B$3,2,1),업무일지!$B$5:$B$1004,"&lt;"&amp;DATE($B$3,2+1,1))&gt;0,1,0))</f>
        <v/>
      </c>
      <c r="AP91">
        <f>IF($O91="",0,IF(COUNTIFS(업무일지!$F$5:$F$1004,$O91,업무일지!$B$5:$B$1004,"&gt;="&amp;DATE($B$3,3,1),업무일지!$B$5:$B$1004,"&lt;"&amp;DATE($B$3,3+1,1))&gt;0,1,0))</f>
        <v/>
      </c>
      <c r="AQ91">
        <f>IF($O91="",0,IF(COUNTIFS(업무일지!$F$5:$F$1004,$O91,업무일지!$B$5:$B$1004,"&gt;="&amp;DATE($B$3,4,1),업무일지!$B$5:$B$1004,"&lt;"&amp;DATE($B$3,4+1,1))&gt;0,1,0))</f>
        <v/>
      </c>
      <c r="AR91">
        <f>IF($O91="",0,IF(COUNTIFS(업무일지!$F$5:$F$1004,$O91,업무일지!$B$5:$B$1004,"&gt;="&amp;DATE($B$3,5,1),업무일지!$B$5:$B$1004,"&lt;"&amp;DATE($B$3,5+1,1))&gt;0,1,0))</f>
        <v/>
      </c>
      <c r="AS91">
        <f>IF($O91="",0,IF(COUNTIFS(업무일지!$F$5:$F$1004,$O91,업무일지!$B$5:$B$1004,"&gt;="&amp;DATE($B$3,6,1),업무일지!$B$5:$B$1004,"&lt;"&amp;DATE($B$3,6+1,1))&gt;0,1,0))</f>
        <v/>
      </c>
      <c r="AT91">
        <f>IF($O91="",0,IF(COUNTIFS(업무일지!$F$5:$F$1004,$O91,업무일지!$B$5:$B$1004,"&gt;="&amp;DATE($B$3,7,1),업무일지!$B$5:$B$1004,"&lt;"&amp;DATE($B$3,7+1,1))&gt;0,1,0))</f>
        <v/>
      </c>
      <c r="AU91">
        <f>IF($O91="",0,IF(COUNTIFS(업무일지!$F$5:$F$1004,$O91,업무일지!$B$5:$B$1004,"&gt;="&amp;DATE($B$3,8,1),업무일지!$B$5:$B$1004,"&lt;"&amp;DATE($B$3,8+1,1))&gt;0,1,0))</f>
        <v/>
      </c>
      <c r="AV91">
        <f>IF($O91="",0,IF(COUNTIFS(업무일지!$F$5:$F$1004,$O91,업무일지!$B$5:$B$1004,"&gt;="&amp;DATE($B$3,9,1),업무일지!$B$5:$B$1004,"&lt;"&amp;DATE($B$3,9+1,1))&gt;0,1,0))</f>
        <v/>
      </c>
      <c r="AW91">
        <f>IF($O91="",0,IF(COUNTIFS(업무일지!$F$5:$F$1004,$O91,업무일지!$B$5:$B$1004,"&gt;="&amp;DATE($B$3,10,1),업무일지!$B$5:$B$1004,"&lt;"&amp;DATE($B$3,10+1,1))&gt;0,1,0))</f>
        <v/>
      </c>
      <c r="AX91">
        <f>IF($O91="",0,IF(COUNTIFS(업무일지!$F$5:$F$1004,$O91,업무일지!$B$5:$B$1004,"&gt;="&amp;DATE($B$3,11,1),업무일지!$B$5:$B$1004,"&lt;"&amp;DATE($B$3,11+1,1))&gt;0,1,0))</f>
        <v/>
      </c>
      <c r="AY91">
        <f>IF($O91="",0,IF(COUNTIFS(업무일지!$F$5:$F$1004,$O91,업무일지!$B$5:$B$1004,"&gt;="&amp;DATE($B$3,12,1),업무일지!$B$5:$B$1004,"&lt;"&amp;DATE($B$3,12+1,1))&gt;0,1,0))</f>
        <v/>
      </c>
      <c r="AZ91">
        <f>IF($O91="",0,IF(COUNTIFS(업무일지!$F$5:$F$1004,$O91,업무일지!$B$5:$B$1004,"&gt;="&amp;DATE($B$3,1,1),업무일지!$B$5:$B$1004,"&lt;"&amp;DATE($B$3+1,1,1),업무일지!$D$5:$D$1004,"출장")&gt;0,1,0))</f>
        <v/>
      </c>
      <c r="BA91">
        <f>IF($O91="",0,IF(COUNTIFS(업무일지!$F$5:$F$1004,$O91,업무일지!$B$5:$B$1004,"&gt;="&amp;DATE($B$3,1,1),업무일지!$B$5:$B$1004,"&lt;"&amp;DATE($B$3+1,1,1),업무일지!$D$5:$D$1004,"분석")&gt;0,1,0))</f>
        <v/>
      </c>
      <c r="BB91">
        <f>IF($O91="",0,IF(COUNTIFS(업무일지!$F$5:$F$1004,$O91,업무일지!$B$5:$B$1004,"&gt;="&amp;DATE($B$3,1,1),업무일지!$B$5:$B$1004,"&lt;"&amp;DATE($B$3+1,1,1))&gt;0,1,0))</f>
        <v/>
      </c>
      <c r="BD91">
        <f>IF($O91="",0,IF(COUNTIFS(업무일지!$F$5:$F$1004,$O91,업무일지!$B$5:$B$1004,"&gt;="&amp;DATE($B$3,1,1),업무일지!$B$5:$B$1004,"&lt;"&amp;DATE($B$3+1,1,1),업무일지!$AB$5:$AB$1004,$A$44,업무일지!$D$5:$D$1004,"출장")&gt;0,1,0))</f>
        <v/>
      </c>
      <c r="BE91">
        <f>IF($O91="",0,IF(COUNTIFS(업무일지!$F$5:$F$1004,$O91,업무일지!$B$5:$B$1004,"&gt;="&amp;DATE($B$3,1,1),업무일지!$B$5:$B$1004,"&lt;"&amp;DATE($B$3+1,1,1),업무일지!$AB$5:$AB$1004,$A$45,업무일지!$D$5:$D$1004,"출장")&gt;0,1,0))</f>
        <v/>
      </c>
      <c r="BF91">
        <f>IF($O91="",0,IF(COUNTIFS(업무일지!$F$5:$F$1004,$O91,업무일지!$B$5:$B$1004,"&gt;="&amp;DATE($B$3,1,1),업무일지!$B$5:$B$1004,"&lt;"&amp;DATE($B$3+1,1,1),업무일지!$AB$5:$AB$1004,$A$46,업무일지!$D$5:$D$1004,"출장")&gt;0,1,0))</f>
        <v/>
      </c>
      <c r="BG91">
        <f>IF($O91="",0,IF(COUNTIFS(업무일지!$F$5:$F$1004,$O91,업무일지!$B$5:$B$1004,"&gt;="&amp;DATE($B$3,1,1),업무일지!$B$5:$B$1004,"&lt;"&amp;DATE($B$3+1,1,1),업무일지!$AB$5:$AB$1004,$A$47,업무일지!$D$5:$D$1004,"출장")&gt;0,1,0))</f>
        <v/>
      </c>
      <c r="BH91">
        <f>IF($O91="",0,IF(COUNTIFS(업무일지!$F$5:$F$1004,$O91,업무일지!$B$5:$B$1004,"&gt;="&amp;DATE($B$3,1,1),업무일지!$B$5:$B$1004,"&lt;"&amp;DATE($B$3+1,1,1),업무일지!$AB$5:$AB$1004,$A$48,업무일지!$D$5:$D$1004,"출장")&gt;0,1,0))</f>
        <v/>
      </c>
      <c r="BI91">
        <f>IF($O91="",0,IF(COUNTIFS(업무일지!$F$5:$F$1004,$O91,업무일지!$B$5:$B$1004,"&gt;="&amp;DATE($B$3,1,1),업무일지!$B$5:$B$1004,"&lt;"&amp;DATE($B$3+1,1,1),업무일지!$AB$5:$AB$1004,$A$49,업무일지!$D$5:$D$1004,"출장")&gt;0,1,0))</f>
        <v/>
      </c>
      <c r="BJ91">
        <f>IF($O91="",0,IF(COUNTIFS(업무일지!$F$5:$F$1004,$O91,업무일지!$B$5:$B$1004,"&gt;="&amp;DATE($B$3,1,1),업무일지!$B$5:$B$1004,"&lt;"&amp;DATE($B$3+1,1,1),업무일지!$AB$5:$AB$1004,$A$50,업무일지!$D$5:$D$1004,"출장")&gt;0,1,0))</f>
        <v/>
      </c>
      <c r="BK91">
        <f>IF($O91="",0,IF(COUNTIFS(업무일지!$F$5:$F$1004,$O91,업무일지!$B$5:$B$1004,"&gt;="&amp;DATE($B$3,1,1),업무일지!$B$5:$B$1004,"&lt;"&amp;DATE($B$3+1,1,1),업무일지!$AB$5:$AB$1004,$A$51,업무일지!$D$5:$D$1004,"출장")&gt;0,1,0))</f>
        <v/>
      </c>
      <c r="BL91">
        <f>IF($O91="",0,IF(COUNTIFS(업무일지!$F$5:$F$1004,$O91,업무일지!$B$5:$B$1004,"&gt;="&amp;DATE($B$3,1,1),업무일지!$B$5:$B$1004,"&lt;"&amp;DATE($B$3+1,1,1),업무일지!$AB$5:$AB$1004,$A$52,업무일지!$D$5:$D$1004,"출장")&gt;0,1,0))</f>
        <v/>
      </c>
      <c r="BM91">
        <f>IF($O91="",0,IF(COUNTIFS(업무일지!$F$5:$F$1004,$O91,업무일지!$B$5:$B$1004,"&gt;="&amp;DATE($B$3,1,1),업무일지!$B$5:$B$1004,"&lt;"&amp;DATE($B$3+1,1,1),업무일지!$AB$5:$AB$1004,$A$53,업무일지!$D$5:$D$1004,"출장")&gt;0,1,0))</f>
        <v/>
      </c>
      <c r="BO91">
        <f>IF($O91="",0,IF(COUNTIFS(업무일지!$F$5:$F$1004,$O91,업무일지!$B$5:$B$1004,"&gt;="&amp;DATE($B$3,1,1),업무일지!$B$5:$B$1004,"&lt;"&amp;DATE($B$3+1,1,1),업무일지!$AB$5:$AB$1004,$A$44,업무일지!$D$5:$D$1004,"분석")&gt;0,1,0))</f>
        <v/>
      </c>
      <c r="BP91">
        <f>IF($O91="",0,IF(COUNTIFS(업무일지!$F$5:$F$1004,$O91,업무일지!$B$5:$B$1004,"&gt;="&amp;DATE($B$3,1,1),업무일지!$B$5:$B$1004,"&lt;"&amp;DATE($B$3+1,1,1),업무일지!$AB$5:$AB$1004,$A$45,업무일지!$D$5:$D$1004,"분석")&gt;0,1,0))</f>
        <v/>
      </c>
      <c r="BQ91">
        <f>IF($O91="",0,IF(COUNTIFS(업무일지!$F$5:$F$1004,$O91,업무일지!$B$5:$B$1004,"&gt;="&amp;DATE($B$3,1,1),업무일지!$B$5:$B$1004,"&lt;"&amp;DATE($B$3+1,1,1),업무일지!$AB$5:$AB$1004,$A$46,업무일지!$D$5:$D$1004,"분석")&gt;0,1,0))</f>
        <v/>
      </c>
      <c r="BR91">
        <f>IF($O91="",0,IF(COUNTIFS(업무일지!$F$5:$F$1004,$O91,업무일지!$B$5:$B$1004,"&gt;="&amp;DATE($B$3,1,1),업무일지!$B$5:$B$1004,"&lt;"&amp;DATE($B$3+1,1,1),업무일지!$AB$5:$AB$1004,$A$47,업무일지!$D$5:$D$1004,"분석")&gt;0,1,0))</f>
        <v/>
      </c>
      <c r="BS91">
        <f>IF($O91="",0,IF(COUNTIFS(업무일지!$F$5:$F$1004,$O91,업무일지!$B$5:$B$1004,"&gt;="&amp;DATE($B$3,1,1),업무일지!$B$5:$B$1004,"&lt;"&amp;DATE($B$3+1,1,1),업무일지!$AB$5:$AB$1004,$A$48,업무일지!$D$5:$D$1004,"분석")&gt;0,1,0))</f>
        <v/>
      </c>
      <c r="BT91">
        <f>IF($O91="",0,IF(COUNTIFS(업무일지!$F$5:$F$1004,$O91,업무일지!$B$5:$B$1004,"&gt;="&amp;DATE($B$3,1,1),업무일지!$B$5:$B$1004,"&lt;"&amp;DATE($B$3+1,1,1),업무일지!$AB$5:$AB$1004,$A$49,업무일지!$D$5:$D$1004,"분석")&gt;0,1,0))</f>
        <v/>
      </c>
      <c r="BU91">
        <f>IF($O91="",0,IF(COUNTIFS(업무일지!$F$5:$F$1004,$O91,업무일지!$B$5:$B$1004,"&gt;="&amp;DATE($B$3,1,1),업무일지!$B$5:$B$1004,"&lt;"&amp;DATE($B$3+1,1,1),업무일지!$AB$5:$AB$1004,$A$50,업무일지!$D$5:$D$1004,"분석")&gt;0,1,0))</f>
        <v/>
      </c>
      <c r="BV91">
        <f>IF($O91="",0,IF(COUNTIFS(업무일지!$F$5:$F$1004,$O91,업무일지!$B$5:$B$1004,"&gt;="&amp;DATE($B$3,1,1),업무일지!$B$5:$B$1004,"&lt;"&amp;DATE($B$3+1,1,1),업무일지!$AB$5:$AB$1004,$A$51,업무일지!$D$5:$D$1004,"분석")&gt;0,1,0))</f>
        <v/>
      </c>
      <c r="BW91">
        <f>IF($O91="",0,IF(COUNTIFS(업무일지!$F$5:$F$1004,$O91,업무일지!$B$5:$B$1004,"&gt;="&amp;DATE($B$3,1,1),업무일지!$B$5:$B$1004,"&lt;"&amp;DATE($B$3+1,1,1),업무일지!$AB$5:$AB$1004,$A$52,업무일지!$D$5:$D$1004,"분석")&gt;0,1,0))</f>
        <v/>
      </c>
      <c r="BX91">
        <f>IF($O91="",0,IF(COUNTIFS(업무일지!$F$5:$F$1004,$O91,업무일지!$B$5:$B$1004,"&gt;="&amp;DATE($B$3,1,1),업무일지!$B$5:$B$1004,"&lt;"&amp;DATE($B$3+1,1,1),업무일지!$AB$5:$AB$1004,$A$53,업무일지!$D$5:$D$1004,"분석")&gt;0,1,0))</f>
        <v/>
      </c>
      <c r="BZ91">
        <f>IF($O91="",0,IF(COUNTIFS(업무일지!$F$5:$F$1004,$O91,업무일지!$B$5:$B$1004,"&gt;="&amp;DATE($B$3,1,1),업무일지!$B$5:$B$1004,"&lt;"&amp;DATE($B$3+1,1,1),업무일지!$AB$5:$AB$1004,$A$44)&gt;0,1,0))</f>
        <v/>
      </c>
      <c r="CA91">
        <f>IF($O91="",0,IF(COUNTIFS(업무일지!$F$5:$F$1004,$O91,업무일지!$B$5:$B$1004,"&gt;="&amp;DATE($B$3,1,1),업무일지!$B$5:$B$1004,"&lt;"&amp;DATE($B$3+1,1,1),업무일지!$AB$5:$AB$1004,$A$45)&gt;0,1,0))</f>
        <v/>
      </c>
      <c r="CB91">
        <f>IF($O91="",0,IF(COUNTIFS(업무일지!$F$5:$F$1004,$O91,업무일지!$B$5:$B$1004,"&gt;="&amp;DATE($B$3,1,1),업무일지!$B$5:$B$1004,"&lt;"&amp;DATE($B$3+1,1,1),업무일지!$AB$5:$AB$1004,$A$46)&gt;0,1,0))</f>
        <v/>
      </c>
      <c r="CC91">
        <f>IF($O91="",0,IF(COUNTIFS(업무일지!$F$5:$F$1004,$O91,업무일지!$B$5:$B$1004,"&gt;="&amp;DATE($B$3,1,1),업무일지!$B$5:$B$1004,"&lt;"&amp;DATE($B$3+1,1,1),업무일지!$AB$5:$AB$1004,$A$47)&gt;0,1,0))</f>
        <v/>
      </c>
      <c r="CD91">
        <f>IF($O91="",0,IF(COUNTIFS(업무일지!$F$5:$F$1004,$O91,업무일지!$B$5:$B$1004,"&gt;="&amp;DATE($B$3,1,1),업무일지!$B$5:$B$1004,"&lt;"&amp;DATE($B$3+1,1,1),업무일지!$AB$5:$AB$1004,$A$48)&gt;0,1,0))</f>
        <v/>
      </c>
      <c r="CE91">
        <f>IF($O91="",0,IF(COUNTIFS(업무일지!$F$5:$F$1004,$O91,업무일지!$B$5:$B$1004,"&gt;="&amp;DATE($B$3,1,1),업무일지!$B$5:$B$1004,"&lt;"&amp;DATE($B$3+1,1,1),업무일지!$AB$5:$AB$1004,$A$49)&gt;0,1,0))</f>
        <v/>
      </c>
      <c r="CF91">
        <f>IF($O91="",0,IF(COUNTIFS(업무일지!$F$5:$F$1004,$O91,업무일지!$B$5:$B$1004,"&gt;="&amp;DATE($B$3,1,1),업무일지!$B$5:$B$1004,"&lt;"&amp;DATE($B$3+1,1,1),업무일지!$AB$5:$AB$1004,$A$50)&gt;0,1,0))</f>
        <v/>
      </c>
      <c r="CG91">
        <f>IF($O91="",0,IF(COUNTIFS(업무일지!$F$5:$F$1004,$O91,업무일지!$B$5:$B$1004,"&gt;="&amp;DATE($B$3,1,1),업무일지!$B$5:$B$1004,"&lt;"&amp;DATE($B$3+1,1,1),업무일지!$AB$5:$AB$1004,$A$51)&gt;0,1,0))</f>
        <v/>
      </c>
      <c r="CH91">
        <f>IF($O91="",0,IF(COUNTIFS(업무일지!$F$5:$F$1004,$O91,업무일지!$B$5:$B$1004,"&gt;="&amp;DATE($B$3,1,1),업무일지!$B$5:$B$1004,"&lt;"&amp;DATE($B$3+1,1,1),업무일지!$AB$5:$AB$1004,$A$52)&gt;0,1,0))</f>
        <v/>
      </c>
      <c r="CI91">
        <f>IF($O91="",0,IF(COUNTIFS(업무일지!$F$5:$F$1004,$O91,업무일지!$B$5:$B$1004,"&gt;="&amp;DATE($B$3,1,1),업무일지!$B$5:$B$1004,"&lt;"&amp;DATE($B$3+1,1,1),업무일지!$AB$5:$AB$1004,$A$53)&gt;0,1,0))</f>
        <v/>
      </c>
    </row>
    <row r="92">
      <c r="O92">
        <f>IF(사건마스터!$A12="","",사건마스터!$A12)</f>
        <v/>
      </c>
      <c r="P92">
        <f>IF($O92="",0,IF(COUNTIFS(업무일지!$F$5:$F$1004,$O92,업무일지!$B$5:$B$1004,"&gt;="&amp;DATE($B$3,1,1),업무일지!$B$5:$B$1004,"&lt;"&amp;DATE($B$3,1+1,1),업무일지!$D$5:$D$1004,"출장")&gt;0,1,0))</f>
        <v/>
      </c>
      <c r="Q92">
        <f>IF($O92="",0,IF(COUNTIFS(업무일지!$F$5:$F$1004,$O92,업무일지!$B$5:$B$1004,"&gt;="&amp;DATE($B$3,2,1),업무일지!$B$5:$B$1004,"&lt;"&amp;DATE($B$3,2+1,1),업무일지!$D$5:$D$1004,"출장")&gt;0,1,0))</f>
        <v/>
      </c>
      <c r="R92">
        <f>IF($O92="",0,IF(COUNTIFS(업무일지!$F$5:$F$1004,$O92,업무일지!$B$5:$B$1004,"&gt;="&amp;DATE($B$3,3,1),업무일지!$B$5:$B$1004,"&lt;"&amp;DATE($B$3,3+1,1),업무일지!$D$5:$D$1004,"출장")&gt;0,1,0))</f>
        <v/>
      </c>
      <c r="S92">
        <f>IF($O92="",0,IF(COUNTIFS(업무일지!$F$5:$F$1004,$O92,업무일지!$B$5:$B$1004,"&gt;="&amp;DATE($B$3,4,1),업무일지!$B$5:$B$1004,"&lt;"&amp;DATE($B$3,4+1,1),업무일지!$D$5:$D$1004,"출장")&gt;0,1,0))</f>
        <v/>
      </c>
      <c r="T92">
        <f>IF($O92="",0,IF(COUNTIFS(업무일지!$F$5:$F$1004,$O92,업무일지!$B$5:$B$1004,"&gt;="&amp;DATE($B$3,5,1),업무일지!$B$5:$B$1004,"&lt;"&amp;DATE($B$3,5+1,1),업무일지!$D$5:$D$1004,"출장")&gt;0,1,0))</f>
        <v/>
      </c>
      <c r="U92">
        <f>IF($O92="",0,IF(COUNTIFS(업무일지!$F$5:$F$1004,$O92,업무일지!$B$5:$B$1004,"&gt;="&amp;DATE($B$3,6,1),업무일지!$B$5:$B$1004,"&lt;"&amp;DATE($B$3,6+1,1),업무일지!$D$5:$D$1004,"출장")&gt;0,1,0))</f>
        <v/>
      </c>
      <c r="V92">
        <f>IF($O92="",0,IF(COUNTIFS(업무일지!$F$5:$F$1004,$O92,업무일지!$B$5:$B$1004,"&gt;="&amp;DATE($B$3,7,1),업무일지!$B$5:$B$1004,"&lt;"&amp;DATE($B$3,7+1,1),업무일지!$D$5:$D$1004,"출장")&gt;0,1,0))</f>
        <v/>
      </c>
      <c r="W92">
        <f>IF($O92="",0,IF(COUNTIFS(업무일지!$F$5:$F$1004,$O92,업무일지!$B$5:$B$1004,"&gt;="&amp;DATE($B$3,8,1),업무일지!$B$5:$B$1004,"&lt;"&amp;DATE($B$3,8+1,1),업무일지!$D$5:$D$1004,"출장")&gt;0,1,0))</f>
        <v/>
      </c>
      <c r="X92">
        <f>IF($O92="",0,IF(COUNTIFS(업무일지!$F$5:$F$1004,$O92,업무일지!$B$5:$B$1004,"&gt;="&amp;DATE($B$3,9,1),업무일지!$B$5:$B$1004,"&lt;"&amp;DATE($B$3,9+1,1),업무일지!$D$5:$D$1004,"출장")&gt;0,1,0))</f>
        <v/>
      </c>
      <c r="Y92">
        <f>IF($O92="",0,IF(COUNTIFS(업무일지!$F$5:$F$1004,$O92,업무일지!$B$5:$B$1004,"&gt;="&amp;DATE($B$3,10,1),업무일지!$B$5:$B$1004,"&lt;"&amp;DATE($B$3,10+1,1),업무일지!$D$5:$D$1004,"출장")&gt;0,1,0))</f>
        <v/>
      </c>
      <c r="Z92">
        <f>IF($O92="",0,IF(COUNTIFS(업무일지!$F$5:$F$1004,$O92,업무일지!$B$5:$B$1004,"&gt;="&amp;DATE($B$3,11,1),업무일지!$B$5:$B$1004,"&lt;"&amp;DATE($B$3,11+1,1),업무일지!$D$5:$D$1004,"출장")&gt;0,1,0))</f>
        <v/>
      </c>
      <c r="AA92">
        <f>IF($O92="",0,IF(COUNTIFS(업무일지!$F$5:$F$1004,$O92,업무일지!$B$5:$B$1004,"&gt;="&amp;DATE($B$3,12,1),업무일지!$B$5:$B$1004,"&lt;"&amp;DATE($B$3,12+1,1),업무일지!$D$5:$D$1004,"출장")&gt;0,1,0))</f>
        <v/>
      </c>
      <c r="AB92">
        <f>IF($O92="",0,IF(COUNTIFS(업무일지!$F$5:$F$1004,$O92,업무일지!$B$5:$B$1004,"&gt;="&amp;DATE($B$3,1,1),업무일지!$B$5:$B$1004,"&lt;"&amp;DATE($B$3,1+1,1),업무일지!$D$5:$D$1004,"분석")&gt;0,1,0))</f>
        <v/>
      </c>
      <c r="AC92">
        <f>IF($O92="",0,IF(COUNTIFS(업무일지!$F$5:$F$1004,$O92,업무일지!$B$5:$B$1004,"&gt;="&amp;DATE($B$3,2,1),업무일지!$B$5:$B$1004,"&lt;"&amp;DATE($B$3,2+1,1),업무일지!$D$5:$D$1004,"분석")&gt;0,1,0))</f>
        <v/>
      </c>
      <c r="AD92">
        <f>IF($O92="",0,IF(COUNTIFS(업무일지!$F$5:$F$1004,$O92,업무일지!$B$5:$B$1004,"&gt;="&amp;DATE($B$3,3,1),업무일지!$B$5:$B$1004,"&lt;"&amp;DATE($B$3,3+1,1),업무일지!$D$5:$D$1004,"분석")&gt;0,1,0))</f>
        <v/>
      </c>
      <c r="AE92">
        <f>IF($O92="",0,IF(COUNTIFS(업무일지!$F$5:$F$1004,$O92,업무일지!$B$5:$B$1004,"&gt;="&amp;DATE($B$3,4,1),업무일지!$B$5:$B$1004,"&lt;"&amp;DATE($B$3,4+1,1),업무일지!$D$5:$D$1004,"분석")&gt;0,1,0))</f>
        <v/>
      </c>
      <c r="AF92">
        <f>IF($O92="",0,IF(COUNTIFS(업무일지!$F$5:$F$1004,$O92,업무일지!$B$5:$B$1004,"&gt;="&amp;DATE($B$3,5,1),업무일지!$B$5:$B$1004,"&lt;"&amp;DATE($B$3,5+1,1),업무일지!$D$5:$D$1004,"분석")&gt;0,1,0))</f>
        <v/>
      </c>
      <c r="AG92">
        <f>IF($O92="",0,IF(COUNTIFS(업무일지!$F$5:$F$1004,$O92,업무일지!$B$5:$B$1004,"&gt;="&amp;DATE($B$3,6,1),업무일지!$B$5:$B$1004,"&lt;"&amp;DATE($B$3,6+1,1),업무일지!$D$5:$D$1004,"분석")&gt;0,1,0))</f>
        <v/>
      </c>
      <c r="AH92">
        <f>IF($O92="",0,IF(COUNTIFS(업무일지!$F$5:$F$1004,$O92,업무일지!$B$5:$B$1004,"&gt;="&amp;DATE($B$3,7,1),업무일지!$B$5:$B$1004,"&lt;"&amp;DATE($B$3,7+1,1),업무일지!$D$5:$D$1004,"분석")&gt;0,1,0))</f>
        <v/>
      </c>
      <c r="AI92">
        <f>IF($O92="",0,IF(COUNTIFS(업무일지!$F$5:$F$1004,$O92,업무일지!$B$5:$B$1004,"&gt;="&amp;DATE($B$3,8,1),업무일지!$B$5:$B$1004,"&lt;"&amp;DATE($B$3,8+1,1),업무일지!$D$5:$D$1004,"분석")&gt;0,1,0))</f>
        <v/>
      </c>
      <c r="AJ92">
        <f>IF($O92="",0,IF(COUNTIFS(업무일지!$F$5:$F$1004,$O92,업무일지!$B$5:$B$1004,"&gt;="&amp;DATE($B$3,9,1),업무일지!$B$5:$B$1004,"&lt;"&amp;DATE($B$3,9+1,1),업무일지!$D$5:$D$1004,"분석")&gt;0,1,0))</f>
        <v/>
      </c>
      <c r="AK92">
        <f>IF($O92="",0,IF(COUNTIFS(업무일지!$F$5:$F$1004,$O92,업무일지!$B$5:$B$1004,"&gt;="&amp;DATE($B$3,10,1),업무일지!$B$5:$B$1004,"&lt;"&amp;DATE($B$3,10+1,1),업무일지!$D$5:$D$1004,"분석")&gt;0,1,0))</f>
        <v/>
      </c>
      <c r="AL92">
        <f>IF($O92="",0,IF(COUNTIFS(업무일지!$F$5:$F$1004,$O92,업무일지!$B$5:$B$1004,"&gt;="&amp;DATE($B$3,11,1),업무일지!$B$5:$B$1004,"&lt;"&amp;DATE($B$3,11+1,1),업무일지!$D$5:$D$1004,"분석")&gt;0,1,0))</f>
        <v/>
      </c>
      <c r="AM92">
        <f>IF($O92="",0,IF(COUNTIFS(업무일지!$F$5:$F$1004,$O92,업무일지!$B$5:$B$1004,"&gt;="&amp;DATE($B$3,12,1),업무일지!$B$5:$B$1004,"&lt;"&amp;DATE($B$3,12+1,1),업무일지!$D$5:$D$1004,"분석")&gt;0,1,0))</f>
        <v/>
      </c>
      <c r="AN92">
        <f>IF($O92="",0,IF(COUNTIFS(업무일지!$F$5:$F$1004,$O92,업무일지!$B$5:$B$1004,"&gt;="&amp;DATE($B$3,1,1),업무일지!$B$5:$B$1004,"&lt;"&amp;DATE($B$3,1+1,1))&gt;0,1,0))</f>
        <v/>
      </c>
      <c r="AO92">
        <f>IF($O92="",0,IF(COUNTIFS(업무일지!$F$5:$F$1004,$O92,업무일지!$B$5:$B$1004,"&gt;="&amp;DATE($B$3,2,1),업무일지!$B$5:$B$1004,"&lt;"&amp;DATE($B$3,2+1,1))&gt;0,1,0))</f>
        <v/>
      </c>
      <c r="AP92">
        <f>IF($O92="",0,IF(COUNTIFS(업무일지!$F$5:$F$1004,$O92,업무일지!$B$5:$B$1004,"&gt;="&amp;DATE($B$3,3,1),업무일지!$B$5:$B$1004,"&lt;"&amp;DATE($B$3,3+1,1))&gt;0,1,0))</f>
        <v/>
      </c>
      <c r="AQ92">
        <f>IF($O92="",0,IF(COUNTIFS(업무일지!$F$5:$F$1004,$O92,업무일지!$B$5:$B$1004,"&gt;="&amp;DATE($B$3,4,1),업무일지!$B$5:$B$1004,"&lt;"&amp;DATE($B$3,4+1,1))&gt;0,1,0))</f>
        <v/>
      </c>
      <c r="AR92">
        <f>IF($O92="",0,IF(COUNTIFS(업무일지!$F$5:$F$1004,$O92,업무일지!$B$5:$B$1004,"&gt;="&amp;DATE($B$3,5,1),업무일지!$B$5:$B$1004,"&lt;"&amp;DATE($B$3,5+1,1))&gt;0,1,0))</f>
        <v/>
      </c>
      <c r="AS92">
        <f>IF($O92="",0,IF(COUNTIFS(업무일지!$F$5:$F$1004,$O92,업무일지!$B$5:$B$1004,"&gt;="&amp;DATE($B$3,6,1),업무일지!$B$5:$B$1004,"&lt;"&amp;DATE($B$3,6+1,1))&gt;0,1,0))</f>
        <v/>
      </c>
      <c r="AT92">
        <f>IF($O92="",0,IF(COUNTIFS(업무일지!$F$5:$F$1004,$O92,업무일지!$B$5:$B$1004,"&gt;="&amp;DATE($B$3,7,1),업무일지!$B$5:$B$1004,"&lt;"&amp;DATE($B$3,7+1,1))&gt;0,1,0))</f>
        <v/>
      </c>
      <c r="AU92">
        <f>IF($O92="",0,IF(COUNTIFS(업무일지!$F$5:$F$1004,$O92,업무일지!$B$5:$B$1004,"&gt;="&amp;DATE($B$3,8,1),업무일지!$B$5:$B$1004,"&lt;"&amp;DATE($B$3,8+1,1))&gt;0,1,0))</f>
        <v/>
      </c>
      <c r="AV92">
        <f>IF($O92="",0,IF(COUNTIFS(업무일지!$F$5:$F$1004,$O92,업무일지!$B$5:$B$1004,"&gt;="&amp;DATE($B$3,9,1),업무일지!$B$5:$B$1004,"&lt;"&amp;DATE($B$3,9+1,1))&gt;0,1,0))</f>
        <v/>
      </c>
      <c r="AW92">
        <f>IF($O92="",0,IF(COUNTIFS(업무일지!$F$5:$F$1004,$O92,업무일지!$B$5:$B$1004,"&gt;="&amp;DATE($B$3,10,1),업무일지!$B$5:$B$1004,"&lt;"&amp;DATE($B$3,10+1,1))&gt;0,1,0))</f>
        <v/>
      </c>
      <c r="AX92">
        <f>IF($O92="",0,IF(COUNTIFS(업무일지!$F$5:$F$1004,$O92,업무일지!$B$5:$B$1004,"&gt;="&amp;DATE($B$3,11,1),업무일지!$B$5:$B$1004,"&lt;"&amp;DATE($B$3,11+1,1))&gt;0,1,0))</f>
        <v/>
      </c>
      <c r="AY92">
        <f>IF($O92="",0,IF(COUNTIFS(업무일지!$F$5:$F$1004,$O92,업무일지!$B$5:$B$1004,"&gt;="&amp;DATE($B$3,12,1),업무일지!$B$5:$B$1004,"&lt;"&amp;DATE($B$3,12+1,1))&gt;0,1,0))</f>
        <v/>
      </c>
      <c r="AZ92">
        <f>IF($O92="",0,IF(COUNTIFS(업무일지!$F$5:$F$1004,$O92,업무일지!$B$5:$B$1004,"&gt;="&amp;DATE($B$3,1,1),업무일지!$B$5:$B$1004,"&lt;"&amp;DATE($B$3+1,1,1),업무일지!$D$5:$D$1004,"출장")&gt;0,1,0))</f>
        <v/>
      </c>
      <c r="BA92">
        <f>IF($O92="",0,IF(COUNTIFS(업무일지!$F$5:$F$1004,$O92,업무일지!$B$5:$B$1004,"&gt;="&amp;DATE($B$3,1,1),업무일지!$B$5:$B$1004,"&lt;"&amp;DATE($B$3+1,1,1),업무일지!$D$5:$D$1004,"분석")&gt;0,1,0))</f>
        <v/>
      </c>
      <c r="BB92">
        <f>IF($O92="",0,IF(COUNTIFS(업무일지!$F$5:$F$1004,$O92,업무일지!$B$5:$B$1004,"&gt;="&amp;DATE($B$3,1,1),업무일지!$B$5:$B$1004,"&lt;"&amp;DATE($B$3+1,1,1))&gt;0,1,0))</f>
        <v/>
      </c>
      <c r="BD92">
        <f>IF($O92="",0,IF(COUNTIFS(업무일지!$F$5:$F$1004,$O92,업무일지!$B$5:$B$1004,"&gt;="&amp;DATE($B$3,1,1),업무일지!$B$5:$B$1004,"&lt;"&amp;DATE($B$3+1,1,1),업무일지!$AB$5:$AB$1004,$A$44,업무일지!$D$5:$D$1004,"출장")&gt;0,1,0))</f>
        <v/>
      </c>
      <c r="BE92">
        <f>IF($O92="",0,IF(COUNTIFS(업무일지!$F$5:$F$1004,$O92,업무일지!$B$5:$B$1004,"&gt;="&amp;DATE($B$3,1,1),업무일지!$B$5:$B$1004,"&lt;"&amp;DATE($B$3+1,1,1),업무일지!$AB$5:$AB$1004,$A$45,업무일지!$D$5:$D$1004,"출장")&gt;0,1,0))</f>
        <v/>
      </c>
      <c r="BF92">
        <f>IF($O92="",0,IF(COUNTIFS(업무일지!$F$5:$F$1004,$O92,업무일지!$B$5:$B$1004,"&gt;="&amp;DATE($B$3,1,1),업무일지!$B$5:$B$1004,"&lt;"&amp;DATE($B$3+1,1,1),업무일지!$AB$5:$AB$1004,$A$46,업무일지!$D$5:$D$1004,"출장")&gt;0,1,0))</f>
        <v/>
      </c>
      <c r="BG92">
        <f>IF($O92="",0,IF(COUNTIFS(업무일지!$F$5:$F$1004,$O92,업무일지!$B$5:$B$1004,"&gt;="&amp;DATE($B$3,1,1),업무일지!$B$5:$B$1004,"&lt;"&amp;DATE($B$3+1,1,1),업무일지!$AB$5:$AB$1004,$A$47,업무일지!$D$5:$D$1004,"출장")&gt;0,1,0))</f>
        <v/>
      </c>
      <c r="BH92">
        <f>IF($O92="",0,IF(COUNTIFS(업무일지!$F$5:$F$1004,$O92,업무일지!$B$5:$B$1004,"&gt;="&amp;DATE($B$3,1,1),업무일지!$B$5:$B$1004,"&lt;"&amp;DATE($B$3+1,1,1),업무일지!$AB$5:$AB$1004,$A$48,업무일지!$D$5:$D$1004,"출장")&gt;0,1,0))</f>
        <v/>
      </c>
      <c r="BI92">
        <f>IF($O92="",0,IF(COUNTIFS(업무일지!$F$5:$F$1004,$O92,업무일지!$B$5:$B$1004,"&gt;="&amp;DATE($B$3,1,1),업무일지!$B$5:$B$1004,"&lt;"&amp;DATE($B$3+1,1,1),업무일지!$AB$5:$AB$1004,$A$49,업무일지!$D$5:$D$1004,"출장")&gt;0,1,0))</f>
        <v/>
      </c>
      <c r="BJ92">
        <f>IF($O92="",0,IF(COUNTIFS(업무일지!$F$5:$F$1004,$O92,업무일지!$B$5:$B$1004,"&gt;="&amp;DATE($B$3,1,1),업무일지!$B$5:$B$1004,"&lt;"&amp;DATE($B$3+1,1,1),업무일지!$AB$5:$AB$1004,$A$50,업무일지!$D$5:$D$1004,"출장")&gt;0,1,0))</f>
        <v/>
      </c>
      <c r="BK92">
        <f>IF($O92="",0,IF(COUNTIFS(업무일지!$F$5:$F$1004,$O92,업무일지!$B$5:$B$1004,"&gt;="&amp;DATE($B$3,1,1),업무일지!$B$5:$B$1004,"&lt;"&amp;DATE($B$3+1,1,1),업무일지!$AB$5:$AB$1004,$A$51,업무일지!$D$5:$D$1004,"출장")&gt;0,1,0))</f>
        <v/>
      </c>
      <c r="BL92">
        <f>IF($O92="",0,IF(COUNTIFS(업무일지!$F$5:$F$1004,$O92,업무일지!$B$5:$B$1004,"&gt;="&amp;DATE($B$3,1,1),업무일지!$B$5:$B$1004,"&lt;"&amp;DATE($B$3+1,1,1),업무일지!$AB$5:$AB$1004,$A$52,업무일지!$D$5:$D$1004,"출장")&gt;0,1,0))</f>
        <v/>
      </c>
      <c r="BM92">
        <f>IF($O92="",0,IF(COUNTIFS(업무일지!$F$5:$F$1004,$O92,업무일지!$B$5:$B$1004,"&gt;="&amp;DATE($B$3,1,1),업무일지!$B$5:$B$1004,"&lt;"&amp;DATE($B$3+1,1,1),업무일지!$AB$5:$AB$1004,$A$53,업무일지!$D$5:$D$1004,"출장")&gt;0,1,0))</f>
        <v/>
      </c>
      <c r="BO92">
        <f>IF($O92="",0,IF(COUNTIFS(업무일지!$F$5:$F$1004,$O92,업무일지!$B$5:$B$1004,"&gt;="&amp;DATE($B$3,1,1),업무일지!$B$5:$B$1004,"&lt;"&amp;DATE($B$3+1,1,1),업무일지!$AB$5:$AB$1004,$A$44,업무일지!$D$5:$D$1004,"분석")&gt;0,1,0))</f>
        <v/>
      </c>
      <c r="BP92">
        <f>IF($O92="",0,IF(COUNTIFS(업무일지!$F$5:$F$1004,$O92,업무일지!$B$5:$B$1004,"&gt;="&amp;DATE($B$3,1,1),업무일지!$B$5:$B$1004,"&lt;"&amp;DATE($B$3+1,1,1),업무일지!$AB$5:$AB$1004,$A$45,업무일지!$D$5:$D$1004,"분석")&gt;0,1,0))</f>
        <v/>
      </c>
      <c r="BQ92">
        <f>IF($O92="",0,IF(COUNTIFS(업무일지!$F$5:$F$1004,$O92,업무일지!$B$5:$B$1004,"&gt;="&amp;DATE($B$3,1,1),업무일지!$B$5:$B$1004,"&lt;"&amp;DATE($B$3+1,1,1),업무일지!$AB$5:$AB$1004,$A$46,업무일지!$D$5:$D$1004,"분석")&gt;0,1,0))</f>
        <v/>
      </c>
      <c r="BR92">
        <f>IF($O92="",0,IF(COUNTIFS(업무일지!$F$5:$F$1004,$O92,업무일지!$B$5:$B$1004,"&gt;="&amp;DATE($B$3,1,1),업무일지!$B$5:$B$1004,"&lt;"&amp;DATE($B$3+1,1,1),업무일지!$AB$5:$AB$1004,$A$47,업무일지!$D$5:$D$1004,"분석")&gt;0,1,0))</f>
        <v/>
      </c>
      <c r="BS92">
        <f>IF($O92="",0,IF(COUNTIFS(업무일지!$F$5:$F$1004,$O92,업무일지!$B$5:$B$1004,"&gt;="&amp;DATE($B$3,1,1),업무일지!$B$5:$B$1004,"&lt;"&amp;DATE($B$3+1,1,1),업무일지!$AB$5:$AB$1004,$A$48,업무일지!$D$5:$D$1004,"분석")&gt;0,1,0))</f>
        <v/>
      </c>
      <c r="BT92">
        <f>IF($O92="",0,IF(COUNTIFS(업무일지!$F$5:$F$1004,$O92,업무일지!$B$5:$B$1004,"&gt;="&amp;DATE($B$3,1,1),업무일지!$B$5:$B$1004,"&lt;"&amp;DATE($B$3+1,1,1),업무일지!$AB$5:$AB$1004,$A$49,업무일지!$D$5:$D$1004,"분석")&gt;0,1,0))</f>
        <v/>
      </c>
      <c r="BU92">
        <f>IF($O92="",0,IF(COUNTIFS(업무일지!$F$5:$F$1004,$O92,업무일지!$B$5:$B$1004,"&gt;="&amp;DATE($B$3,1,1),업무일지!$B$5:$B$1004,"&lt;"&amp;DATE($B$3+1,1,1),업무일지!$AB$5:$AB$1004,$A$50,업무일지!$D$5:$D$1004,"분석")&gt;0,1,0))</f>
        <v/>
      </c>
      <c r="BV92">
        <f>IF($O92="",0,IF(COUNTIFS(업무일지!$F$5:$F$1004,$O92,업무일지!$B$5:$B$1004,"&gt;="&amp;DATE($B$3,1,1),업무일지!$B$5:$B$1004,"&lt;"&amp;DATE($B$3+1,1,1),업무일지!$AB$5:$AB$1004,$A$51,업무일지!$D$5:$D$1004,"분석")&gt;0,1,0))</f>
        <v/>
      </c>
      <c r="BW92">
        <f>IF($O92="",0,IF(COUNTIFS(업무일지!$F$5:$F$1004,$O92,업무일지!$B$5:$B$1004,"&gt;="&amp;DATE($B$3,1,1),업무일지!$B$5:$B$1004,"&lt;"&amp;DATE($B$3+1,1,1),업무일지!$AB$5:$AB$1004,$A$52,업무일지!$D$5:$D$1004,"분석")&gt;0,1,0))</f>
        <v/>
      </c>
      <c r="BX92">
        <f>IF($O92="",0,IF(COUNTIFS(업무일지!$F$5:$F$1004,$O92,업무일지!$B$5:$B$1004,"&gt;="&amp;DATE($B$3,1,1),업무일지!$B$5:$B$1004,"&lt;"&amp;DATE($B$3+1,1,1),업무일지!$AB$5:$AB$1004,$A$53,업무일지!$D$5:$D$1004,"분석")&gt;0,1,0))</f>
        <v/>
      </c>
      <c r="BZ92">
        <f>IF($O92="",0,IF(COUNTIFS(업무일지!$F$5:$F$1004,$O92,업무일지!$B$5:$B$1004,"&gt;="&amp;DATE($B$3,1,1),업무일지!$B$5:$B$1004,"&lt;"&amp;DATE($B$3+1,1,1),업무일지!$AB$5:$AB$1004,$A$44)&gt;0,1,0))</f>
        <v/>
      </c>
      <c r="CA92">
        <f>IF($O92="",0,IF(COUNTIFS(업무일지!$F$5:$F$1004,$O92,업무일지!$B$5:$B$1004,"&gt;="&amp;DATE($B$3,1,1),업무일지!$B$5:$B$1004,"&lt;"&amp;DATE($B$3+1,1,1),업무일지!$AB$5:$AB$1004,$A$45)&gt;0,1,0))</f>
        <v/>
      </c>
      <c r="CB92">
        <f>IF($O92="",0,IF(COUNTIFS(업무일지!$F$5:$F$1004,$O92,업무일지!$B$5:$B$1004,"&gt;="&amp;DATE($B$3,1,1),업무일지!$B$5:$B$1004,"&lt;"&amp;DATE($B$3+1,1,1),업무일지!$AB$5:$AB$1004,$A$46)&gt;0,1,0))</f>
        <v/>
      </c>
      <c r="CC92">
        <f>IF($O92="",0,IF(COUNTIFS(업무일지!$F$5:$F$1004,$O92,업무일지!$B$5:$B$1004,"&gt;="&amp;DATE($B$3,1,1),업무일지!$B$5:$B$1004,"&lt;"&amp;DATE($B$3+1,1,1),업무일지!$AB$5:$AB$1004,$A$47)&gt;0,1,0))</f>
        <v/>
      </c>
      <c r="CD92">
        <f>IF($O92="",0,IF(COUNTIFS(업무일지!$F$5:$F$1004,$O92,업무일지!$B$5:$B$1004,"&gt;="&amp;DATE($B$3,1,1),업무일지!$B$5:$B$1004,"&lt;"&amp;DATE($B$3+1,1,1),업무일지!$AB$5:$AB$1004,$A$48)&gt;0,1,0))</f>
        <v/>
      </c>
      <c r="CE92">
        <f>IF($O92="",0,IF(COUNTIFS(업무일지!$F$5:$F$1004,$O92,업무일지!$B$5:$B$1004,"&gt;="&amp;DATE($B$3,1,1),업무일지!$B$5:$B$1004,"&lt;"&amp;DATE($B$3+1,1,1),업무일지!$AB$5:$AB$1004,$A$49)&gt;0,1,0))</f>
        <v/>
      </c>
      <c r="CF92">
        <f>IF($O92="",0,IF(COUNTIFS(업무일지!$F$5:$F$1004,$O92,업무일지!$B$5:$B$1004,"&gt;="&amp;DATE($B$3,1,1),업무일지!$B$5:$B$1004,"&lt;"&amp;DATE($B$3+1,1,1),업무일지!$AB$5:$AB$1004,$A$50)&gt;0,1,0))</f>
        <v/>
      </c>
      <c r="CG92">
        <f>IF($O92="",0,IF(COUNTIFS(업무일지!$F$5:$F$1004,$O92,업무일지!$B$5:$B$1004,"&gt;="&amp;DATE($B$3,1,1),업무일지!$B$5:$B$1004,"&lt;"&amp;DATE($B$3+1,1,1),업무일지!$AB$5:$AB$1004,$A$51)&gt;0,1,0))</f>
        <v/>
      </c>
      <c r="CH92">
        <f>IF($O92="",0,IF(COUNTIFS(업무일지!$F$5:$F$1004,$O92,업무일지!$B$5:$B$1004,"&gt;="&amp;DATE($B$3,1,1),업무일지!$B$5:$B$1004,"&lt;"&amp;DATE($B$3+1,1,1),업무일지!$AB$5:$AB$1004,$A$52)&gt;0,1,0))</f>
        <v/>
      </c>
      <c r="CI92">
        <f>IF($O92="",0,IF(COUNTIFS(업무일지!$F$5:$F$1004,$O92,업무일지!$B$5:$B$1004,"&gt;="&amp;DATE($B$3,1,1),업무일지!$B$5:$B$1004,"&lt;"&amp;DATE($B$3+1,1,1),업무일지!$AB$5:$AB$1004,$A$53)&gt;0,1,0))</f>
        <v/>
      </c>
    </row>
    <row r="93">
      <c r="O93">
        <f>IF(사건마스터!$A13="","",사건마스터!$A13)</f>
        <v/>
      </c>
      <c r="P93">
        <f>IF($O93="",0,IF(COUNTIFS(업무일지!$F$5:$F$1004,$O93,업무일지!$B$5:$B$1004,"&gt;="&amp;DATE($B$3,1,1),업무일지!$B$5:$B$1004,"&lt;"&amp;DATE($B$3,1+1,1),업무일지!$D$5:$D$1004,"출장")&gt;0,1,0))</f>
        <v/>
      </c>
      <c r="Q93">
        <f>IF($O93="",0,IF(COUNTIFS(업무일지!$F$5:$F$1004,$O93,업무일지!$B$5:$B$1004,"&gt;="&amp;DATE($B$3,2,1),업무일지!$B$5:$B$1004,"&lt;"&amp;DATE($B$3,2+1,1),업무일지!$D$5:$D$1004,"출장")&gt;0,1,0))</f>
        <v/>
      </c>
      <c r="R93">
        <f>IF($O93="",0,IF(COUNTIFS(업무일지!$F$5:$F$1004,$O93,업무일지!$B$5:$B$1004,"&gt;="&amp;DATE($B$3,3,1),업무일지!$B$5:$B$1004,"&lt;"&amp;DATE($B$3,3+1,1),업무일지!$D$5:$D$1004,"출장")&gt;0,1,0))</f>
        <v/>
      </c>
      <c r="S93">
        <f>IF($O93="",0,IF(COUNTIFS(업무일지!$F$5:$F$1004,$O93,업무일지!$B$5:$B$1004,"&gt;="&amp;DATE($B$3,4,1),업무일지!$B$5:$B$1004,"&lt;"&amp;DATE($B$3,4+1,1),업무일지!$D$5:$D$1004,"출장")&gt;0,1,0))</f>
        <v/>
      </c>
      <c r="T93">
        <f>IF($O93="",0,IF(COUNTIFS(업무일지!$F$5:$F$1004,$O93,업무일지!$B$5:$B$1004,"&gt;="&amp;DATE($B$3,5,1),업무일지!$B$5:$B$1004,"&lt;"&amp;DATE($B$3,5+1,1),업무일지!$D$5:$D$1004,"출장")&gt;0,1,0))</f>
        <v/>
      </c>
      <c r="U93">
        <f>IF($O93="",0,IF(COUNTIFS(업무일지!$F$5:$F$1004,$O93,업무일지!$B$5:$B$1004,"&gt;="&amp;DATE($B$3,6,1),업무일지!$B$5:$B$1004,"&lt;"&amp;DATE($B$3,6+1,1),업무일지!$D$5:$D$1004,"출장")&gt;0,1,0))</f>
        <v/>
      </c>
      <c r="V93">
        <f>IF($O93="",0,IF(COUNTIFS(업무일지!$F$5:$F$1004,$O93,업무일지!$B$5:$B$1004,"&gt;="&amp;DATE($B$3,7,1),업무일지!$B$5:$B$1004,"&lt;"&amp;DATE($B$3,7+1,1),업무일지!$D$5:$D$1004,"출장")&gt;0,1,0))</f>
        <v/>
      </c>
      <c r="W93">
        <f>IF($O93="",0,IF(COUNTIFS(업무일지!$F$5:$F$1004,$O93,업무일지!$B$5:$B$1004,"&gt;="&amp;DATE($B$3,8,1),업무일지!$B$5:$B$1004,"&lt;"&amp;DATE($B$3,8+1,1),업무일지!$D$5:$D$1004,"출장")&gt;0,1,0))</f>
        <v/>
      </c>
      <c r="X93">
        <f>IF($O93="",0,IF(COUNTIFS(업무일지!$F$5:$F$1004,$O93,업무일지!$B$5:$B$1004,"&gt;="&amp;DATE($B$3,9,1),업무일지!$B$5:$B$1004,"&lt;"&amp;DATE($B$3,9+1,1),업무일지!$D$5:$D$1004,"출장")&gt;0,1,0))</f>
        <v/>
      </c>
      <c r="Y93">
        <f>IF($O93="",0,IF(COUNTIFS(업무일지!$F$5:$F$1004,$O93,업무일지!$B$5:$B$1004,"&gt;="&amp;DATE($B$3,10,1),업무일지!$B$5:$B$1004,"&lt;"&amp;DATE($B$3,10+1,1),업무일지!$D$5:$D$1004,"출장")&gt;0,1,0))</f>
        <v/>
      </c>
      <c r="Z93">
        <f>IF($O93="",0,IF(COUNTIFS(업무일지!$F$5:$F$1004,$O93,업무일지!$B$5:$B$1004,"&gt;="&amp;DATE($B$3,11,1),업무일지!$B$5:$B$1004,"&lt;"&amp;DATE($B$3,11+1,1),업무일지!$D$5:$D$1004,"출장")&gt;0,1,0))</f>
        <v/>
      </c>
      <c r="AA93">
        <f>IF($O93="",0,IF(COUNTIFS(업무일지!$F$5:$F$1004,$O93,업무일지!$B$5:$B$1004,"&gt;="&amp;DATE($B$3,12,1),업무일지!$B$5:$B$1004,"&lt;"&amp;DATE($B$3,12+1,1),업무일지!$D$5:$D$1004,"출장")&gt;0,1,0))</f>
        <v/>
      </c>
      <c r="AB93">
        <f>IF($O93="",0,IF(COUNTIFS(업무일지!$F$5:$F$1004,$O93,업무일지!$B$5:$B$1004,"&gt;="&amp;DATE($B$3,1,1),업무일지!$B$5:$B$1004,"&lt;"&amp;DATE($B$3,1+1,1),업무일지!$D$5:$D$1004,"분석")&gt;0,1,0))</f>
        <v/>
      </c>
      <c r="AC93">
        <f>IF($O93="",0,IF(COUNTIFS(업무일지!$F$5:$F$1004,$O93,업무일지!$B$5:$B$1004,"&gt;="&amp;DATE($B$3,2,1),업무일지!$B$5:$B$1004,"&lt;"&amp;DATE($B$3,2+1,1),업무일지!$D$5:$D$1004,"분석")&gt;0,1,0))</f>
        <v/>
      </c>
      <c r="AD93">
        <f>IF($O93="",0,IF(COUNTIFS(업무일지!$F$5:$F$1004,$O93,업무일지!$B$5:$B$1004,"&gt;="&amp;DATE($B$3,3,1),업무일지!$B$5:$B$1004,"&lt;"&amp;DATE($B$3,3+1,1),업무일지!$D$5:$D$1004,"분석")&gt;0,1,0))</f>
        <v/>
      </c>
      <c r="AE93">
        <f>IF($O93="",0,IF(COUNTIFS(업무일지!$F$5:$F$1004,$O93,업무일지!$B$5:$B$1004,"&gt;="&amp;DATE($B$3,4,1),업무일지!$B$5:$B$1004,"&lt;"&amp;DATE($B$3,4+1,1),업무일지!$D$5:$D$1004,"분석")&gt;0,1,0))</f>
        <v/>
      </c>
      <c r="AF93">
        <f>IF($O93="",0,IF(COUNTIFS(업무일지!$F$5:$F$1004,$O93,업무일지!$B$5:$B$1004,"&gt;="&amp;DATE($B$3,5,1),업무일지!$B$5:$B$1004,"&lt;"&amp;DATE($B$3,5+1,1),업무일지!$D$5:$D$1004,"분석")&gt;0,1,0))</f>
        <v/>
      </c>
      <c r="AG93">
        <f>IF($O93="",0,IF(COUNTIFS(업무일지!$F$5:$F$1004,$O93,업무일지!$B$5:$B$1004,"&gt;="&amp;DATE($B$3,6,1),업무일지!$B$5:$B$1004,"&lt;"&amp;DATE($B$3,6+1,1),업무일지!$D$5:$D$1004,"분석")&gt;0,1,0))</f>
        <v/>
      </c>
      <c r="AH93">
        <f>IF($O93="",0,IF(COUNTIFS(업무일지!$F$5:$F$1004,$O93,업무일지!$B$5:$B$1004,"&gt;="&amp;DATE($B$3,7,1),업무일지!$B$5:$B$1004,"&lt;"&amp;DATE($B$3,7+1,1),업무일지!$D$5:$D$1004,"분석")&gt;0,1,0))</f>
        <v/>
      </c>
      <c r="AI93">
        <f>IF($O93="",0,IF(COUNTIFS(업무일지!$F$5:$F$1004,$O93,업무일지!$B$5:$B$1004,"&gt;="&amp;DATE($B$3,8,1),업무일지!$B$5:$B$1004,"&lt;"&amp;DATE($B$3,8+1,1),업무일지!$D$5:$D$1004,"분석")&gt;0,1,0))</f>
        <v/>
      </c>
      <c r="AJ93">
        <f>IF($O93="",0,IF(COUNTIFS(업무일지!$F$5:$F$1004,$O93,업무일지!$B$5:$B$1004,"&gt;="&amp;DATE($B$3,9,1),업무일지!$B$5:$B$1004,"&lt;"&amp;DATE($B$3,9+1,1),업무일지!$D$5:$D$1004,"분석")&gt;0,1,0))</f>
        <v/>
      </c>
      <c r="AK93">
        <f>IF($O93="",0,IF(COUNTIFS(업무일지!$F$5:$F$1004,$O93,업무일지!$B$5:$B$1004,"&gt;="&amp;DATE($B$3,10,1),업무일지!$B$5:$B$1004,"&lt;"&amp;DATE($B$3,10+1,1),업무일지!$D$5:$D$1004,"분석")&gt;0,1,0))</f>
        <v/>
      </c>
      <c r="AL93">
        <f>IF($O93="",0,IF(COUNTIFS(업무일지!$F$5:$F$1004,$O93,업무일지!$B$5:$B$1004,"&gt;="&amp;DATE($B$3,11,1),업무일지!$B$5:$B$1004,"&lt;"&amp;DATE($B$3,11+1,1),업무일지!$D$5:$D$1004,"분석")&gt;0,1,0))</f>
        <v/>
      </c>
      <c r="AM93">
        <f>IF($O93="",0,IF(COUNTIFS(업무일지!$F$5:$F$1004,$O93,업무일지!$B$5:$B$1004,"&gt;="&amp;DATE($B$3,12,1),업무일지!$B$5:$B$1004,"&lt;"&amp;DATE($B$3,12+1,1),업무일지!$D$5:$D$1004,"분석")&gt;0,1,0))</f>
        <v/>
      </c>
      <c r="AN93">
        <f>IF($O93="",0,IF(COUNTIFS(업무일지!$F$5:$F$1004,$O93,업무일지!$B$5:$B$1004,"&gt;="&amp;DATE($B$3,1,1),업무일지!$B$5:$B$1004,"&lt;"&amp;DATE($B$3,1+1,1))&gt;0,1,0))</f>
        <v/>
      </c>
      <c r="AO93">
        <f>IF($O93="",0,IF(COUNTIFS(업무일지!$F$5:$F$1004,$O93,업무일지!$B$5:$B$1004,"&gt;="&amp;DATE($B$3,2,1),업무일지!$B$5:$B$1004,"&lt;"&amp;DATE($B$3,2+1,1))&gt;0,1,0))</f>
        <v/>
      </c>
      <c r="AP93">
        <f>IF($O93="",0,IF(COUNTIFS(업무일지!$F$5:$F$1004,$O93,업무일지!$B$5:$B$1004,"&gt;="&amp;DATE($B$3,3,1),업무일지!$B$5:$B$1004,"&lt;"&amp;DATE($B$3,3+1,1))&gt;0,1,0))</f>
        <v/>
      </c>
      <c r="AQ93">
        <f>IF($O93="",0,IF(COUNTIFS(업무일지!$F$5:$F$1004,$O93,업무일지!$B$5:$B$1004,"&gt;="&amp;DATE($B$3,4,1),업무일지!$B$5:$B$1004,"&lt;"&amp;DATE($B$3,4+1,1))&gt;0,1,0))</f>
        <v/>
      </c>
      <c r="AR93">
        <f>IF($O93="",0,IF(COUNTIFS(업무일지!$F$5:$F$1004,$O93,업무일지!$B$5:$B$1004,"&gt;="&amp;DATE($B$3,5,1),업무일지!$B$5:$B$1004,"&lt;"&amp;DATE($B$3,5+1,1))&gt;0,1,0))</f>
        <v/>
      </c>
      <c r="AS93">
        <f>IF($O93="",0,IF(COUNTIFS(업무일지!$F$5:$F$1004,$O93,업무일지!$B$5:$B$1004,"&gt;="&amp;DATE($B$3,6,1),업무일지!$B$5:$B$1004,"&lt;"&amp;DATE($B$3,6+1,1))&gt;0,1,0))</f>
        <v/>
      </c>
      <c r="AT93">
        <f>IF($O93="",0,IF(COUNTIFS(업무일지!$F$5:$F$1004,$O93,업무일지!$B$5:$B$1004,"&gt;="&amp;DATE($B$3,7,1),업무일지!$B$5:$B$1004,"&lt;"&amp;DATE($B$3,7+1,1))&gt;0,1,0))</f>
        <v/>
      </c>
      <c r="AU93">
        <f>IF($O93="",0,IF(COUNTIFS(업무일지!$F$5:$F$1004,$O93,업무일지!$B$5:$B$1004,"&gt;="&amp;DATE($B$3,8,1),업무일지!$B$5:$B$1004,"&lt;"&amp;DATE($B$3,8+1,1))&gt;0,1,0))</f>
        <v/>
      </c>
      <c r="AV93">
        <f>IF($O93="",0,IF(COUNTIFS(업무일지!$F$5:$F$1004,$O93,업무일지!$B$5:$B$1004,"&gt;="&amp;DATE($B$3,9,1),업무일지!$B$5:$B$1004,"&lt;"&amp;DATE($B$3,9+1,1))&gt;0,1,0))</f>
        <v/>
      </c>
      <c r="AW93">
        <f>IF($O93="",0,IF(COUNTIFS(업무일지!$F$5:$F$1004,$O93,업무일지!$B$5:$B$1004,"&gt;="&amp;DATE($B$3,10,1),업무일지!$B$5:$B$1004,"&lt;"&amp;DATE($B$3,10+1,1))&gt;0,1,0))</f>
        <v/>
      </c>
      <c r="AX93">
        <f>IF($O93="",0,IF(COUNTIFS(업무일지!$F$5:$F$1004,$O93,업무일지!$B$5:$B$1004,"&gt;="&amp;DATE($B$3,11,1),업무일지!$B$5:$B$1004,"&lt;"&amp;DATE($B$3,11+1,1))&gt;0,1,0))</f>
        <v/>
      </c>
      <c r="AY93">
        <f>IF($O93="",0,IF(COUNTIFS(업무일지!$F$5:$F$1004,$O93,업무일지!$B$5:$B$1004,"&gt;="&amp;DATE($B$3,12,1),업무일지!$B$5:$B$1004,"&lt;"&amp;DATE($B$3,12+1,1))&gt;0,1,0))</f>
        <v/>
      </c>
      <c r="AZ93">
        <f>IF($O93="",0,IF(COUNTIFS(업무일지!$F$5:$F$1004,$O93,업무일지!$B$5:$B$1004,"&gt;="&amp;DATE($B$3,1,1),업무일지!$B$5:$B$1004,"&lt;"&amp;DATE($B$3+1,1,1),업무일지!$D$5:$D$1004,"출장")&gt;0,1,0))</f>
        <v/>
      </c>
      <c r="BA93">
        <f>IF($O93="",0,IF(COUNTIFS(업무일지!$F$5:$F$1004,$O93,업무일지!$B$5:$B$1004,"&gt;="&amp;DATE($B$3,1,1),업무일지!$B$5:$B$1004,"&lt;"&amp;DATE($B$3+1,1,1),업무일지!$D$5:$D$1004,"분석")&gt;0,1,0))</f>
        <v/>
      </c>
      <c r="BB93">
        <f>IF($O93="",0,IF(COUNTIFS(업무일지!$F$5:$F$1004,$O93,업무일지!$B$5:$B$1004,"&gt;="&amp;DATE($B$3,1,1),업무일지!$B$5:$B$1004,"&lt;"&amp;DATE($B$3+1,1,1))&gt;0,1,0))</f>
        <v/>
      </c>
      <c r="BD93">
        <f>IF($O93="",0,IF(COUNTIFS(업무일지!$F$5:$F$1004,$O93,업무일지!$B$5:$B$1004,"&gt;="&amp;DATE($B$3,1,1),업무일지!$B$5:$B$1004,"&lt;"&amp;DATE($B$3+1,1,1),업무일지!$AB$5:$AB$1004,$A$44,업무일지!$D$5:$D$1004,"출장")&gt;0,1,0))</f>
        <v/>
      </c>
      <c r="BE93">
        <f>IF($O93="",0,IF(COUNTIFS(업무일지!$F$5:$F$1004,$O93,업무일지!$B$5:$B$1004,"&gt;="&amp;DATE($B$3,1,1),업무일지!$B$5:$B$1004,"&lt;"&amp;DATE($B$3+1,1,1),업무일지!$AB$5:$AB$1004,$A$45,업무일지!$D$5:$D$1004,"출장")&gt;0,1,0))</f>
        <v/>
      </c>
      <c r="BF93">
        <f>IF($O93="",0,IF(COUNTIFS(업무일지!$F$5:$F$1004,$O93,업무일지!$B$5:$B$1004,"&gt;="&amp;DATE($B$3,1,1),업무일지!$B$5:$B$1004,"&lt;"&amp;DATE($B$3+1,1,1),업무일지!$AB$5:$AB$1004,$A$46,업무일지!$D$5:$D$1004,"출장")&gt;0,1,0))</f>
        <v/>
      </c>
      <c r="BG93">
        <f>IF($O93="",0,IF(COUNTIFS(업무일지!$F$5:$F$1004,$O93,업무일지!$B$5:$B$1004,"&gt;="&amp;DATE($B$3,1,1),업무일지!$B$5:$B$1004,"&lt;"&amp;DATE($B$3+1,1,1),업무일지!$AB$5:$AB$1004,$A$47,업무일지!$D$5:$D$1004,"출장")&gt;0,1,0))</f>
        <v/>
      </c>
      <c r="BH93">
        <f>IF($O93="",0,IF(COUNTIFS(업무일지!$F$5:$F$1004,$O93,업무일지!$B$5:$B$1004,"&gt;="&amp;DATE($B$3,1,1),업무일지!$B$5:$B$1004,"&lt;"&amp;DATE($B$3+1,1,1),업무일지!$AB$5:$AB$1004,$A$48,업무일지!$D$5:$D$1004,"출장")&gt;0,1,0))</f>
        <v/>
      </c>
      <c r="BI93">
        <f>IF($O93="",0,IF(COUNTIFS(업무일지!$F$5:$F$1004,$O93,업무일지!$B$5:$B$1004,"&gt;="&amp;DATE($B$3,1,1),업무일지!$B$5:$B$1004,"&lt;"&amp;DATE($B$3+1,1,1),업무일지!$AB$5:$AB$1004,$A$49,업무일지!$D$5:$D$1004,"출장")&gt;0,1,0))</f>
        <v/>
      </c>
      <c r="BJ93">
        <f>IF($O93="",0,IF(COUNTIFS(업무일지!$F$5:$F$1004,$O93,업무일지!$B$5:$B$1004,"&gt;="&amp;DATE($B$3,1,1),업무일지!$B$5:$B$1004,"&lt;"&amp;DATE($B$3+1,1,1),업무일지!$AB$5:$AB$1004,$A$50,업무일지!$D$5:$D$1004,"출장")&gt;0,1,0))</f>
        <v/>
      </c>
      <c r="BK93">
        <f>IF($O93="",0,IF(COUNTIFS(업무일지!$F$5:$F$1004,$O93,업무일지!$B$5:$B$1004,"&gt;="&amp;DATE($B$3,1,1),업무일지!$B$5:$B$1004,"&lt;"&amp;DATE($B$3+1,1,1),업무일지!$AB$5:$AB$1004,$A$51,업무일지!$D$5:$D$1004,"출장")&gt;0,1,0))</f>
        <v/>
      </c>
      <c r="BL93">
        <f>IF($O93="",0,IF(COUNTIFS(업무일지!$F$5:$F$1004,$O93,업무일지!$B$5:$B$1004,"&gt;="&amp;DATE($B$3,1,1),업무일지!$B$5:$B$1004,"&lt;"&amp;DATE($B$3+1,1,1),업무일지!$AB$5:$AB$1004,$A$52,업무일지!$D$5:$D$1004,"출장")&gt;0,1,0))</f>
        <v/>
      </c>
      <c r="BM93">
        <f>IF($O93="",0,IF(COUNTIFS(업무일지!$F$5:$F$1004,$O93,업무일지!$B$5:$B$1004,"&gt;="&amp;DATE($B$3,1,1),업무일지!$B$5:$B$1004,"&lt;"&amp;DATE($B$3+1,1,1),업무일지!$AB$5:$AB$1004,$A$53,업무일지!$D$5:$D$1004,"출장")&gt;0,1,0))</f>
        <v/>
      </c>
      <c r="BO93">
        <f>IF($O93="",0,IF(COUNTIFS(업무일지!$F$5:$F$1004,$O93,업무일지!$B$5:$B$1004,"&gt;="&amp;DATE($B$3,1,1),업무일지!$B$5:$B$1004,"&lt;"&amp;DATE($B$3+1,1,1),업무일지!$AB$5:$AB$1004,$A$44,업무일지!$D$5:$D$1004,"분석")&gt;0,1,0))</f>
        <v/>
      </c>
      <c r="BP93">
        <f>IF($O93="",0,IF(COUNTIFS(업무일지!$F$5:$F$1004,$O93,업무일지!$B$5:$B$1004,"&gt;="&amp;DATE($B$3,1,1),업무일지!$B$5:$B$1004,"&lt;"&amp;DATE($B$3+1,1,1),업무일지!$AB$5:$AB$1004,$A$45,업무일지!$D$5:$D$1004,"분석")&gt;0,1,0))</f>
        <v/>
      </c>
      <c r="BQ93">
        <f>IF($O93="",0,IF(COUNTIFS(업무일지!$F$5:$F$1004,$O93,업무일지!$B$5:$B$1004,"&gt;="&amp;DATE($B$3,1,1),업무일지!$B$5:$B$1004,"&lt;"&amp;DATE($B$3+1,1,1),업무일지!$AB$5:$AB$1004,$A$46,업무일지!$D$5:$D$1004,"분석")&gt;0,1,0))</f>
        <v/>
      </c>
      <c r="BR93">
        <f>IF($O93="",0,IF(COUNTIFS(업무일지!$F$5:$F$1004,$O93,업무일지!$B$5:$B$1004,"&gt;="&amp;DATE($B$3,1,1),업무일지!$B$5:$B$1004,"&lt;"&amp;DATE($B$3+1,1,1),업무일지!$AB$5:$AB$1004,$A$47,업무일지!$D$5:$D$1004,"분석")&gt;0,1,0))</f>
        <v/>
      </c>
      <c r="BS93">
        <f>IF($O93="",0,IF(COUNTIFS(업무일지!$F$5:$F$1004,$O93,업무일지!$B$5:$B$1004,"&gt;="&amp;DATE($B$3,1,1),업무일지!$B$5:$B$1004,"&lt;"&amp;DATE($B$3+1,1,1),업무일지!$AB$5:$AB$1004,$A$48,업무일지!$D$5:$D$1004,"분석")&gt;0,1,0))</f>
        <v/>
      </c>
      <c r="BT93">
        <f>IF($O93="",0,IF(COUNTIFS(업무일지!$F$5:$F$1004,$O93,업무일지!$B$5:$B$1004,"&gt;="&amp;DATE($B$3,1,1),업무일지!$B$5:$B$1004,"&lt;"&amp;DATE($B$3+1,1,1),업무일지!$AB$5:$AB$1004,$A$49,업무일지!$D$5:$D$1004,"분석")&gt;0,1,0))</f>
        <v/>
      </c>
      <c r="BU93">
        <f>IF($O93="",0,IF(COUNTIFS(업무일지!$F$5:$F$1004,$O93,업무일지!$B$5:$B$1004,"&gt;="&amp;DATE($B$3,1,1),업무일지!$B$5:$B$1004,"&lt;"&amp;DATE($B$3+1,1,1),업무일지!$AB$5:$AB$1004,$A$50,업무일지!$D$5:$D$1004,"분석")&gt;0,1,0))</f>
        <v/>
      </c>
      <c r="BV93">
        <f>IF($O93="",0,IF(COUNTIFS(업무일지!$F$5:$F$1004,$O93,업무일지!$B$5:$B$1004,"&gt;="&amp;DATE($B$3,1,1),업무일지!$B$5:$B$1004,"&lt;"&amp;DATE($B$3+1,1,1),업무일지!$AB$5:$AB$1004,$A$51,업무일지!$D$5:$D$1004,"분석")&gt;0,1,0))</f>
        <v/>
      </c>
      <c r="BW93">
        <f>IF($O93="",0,IF(COUNTIFS(업무일지!$F$5:$F$1004,$O93,업무일지!$B$5:$B$1004,"&gt;="&amp;DATE($B$3,1,1),업무일지!$B$5:$B$1004,"&lt;"&amp;DATE($B$3+1,1,1),업무일지!$AB$5:$AB$1004,$A$52,업무일지!$D$5:$D$1004,"분석")&gt;0,1,0))</f>
        <v/>
      </c>
      <c r="BX93">
        <f>IF($O93="",0,IF(COUNTIFS(업무일지!$F$5:$F$1004,$O93,업무일지!$B$5:$B$1004,"&gt;="&amp;DATE($B$3,1,1),업무일지!$B$5:$B$1004,"&lt;"&amp;DATE($B$3+1,1,1),업무일지!$AB$5:$AB$1004,$A$53,업무일지!$D$5:$D$1004,"분석")&gt;0,1,0))</f>
        <v/>
      </c>
      <c r="BZ93">
        <f>IF($O93="",0,IF(COUNTIFS(업무일지!$F$5:$F$1004,$O93,업무일지!$B$5:$B$1004,"&gt;="&amp;DATE($B$3,1,1),업무일지!$B$5:$B$1004,"&lt;"&amp;DATE($B$3+1,1,1),업무일지!$AB$5:$AB$1004,$A$44)&gt;0,1,0))</f>
        <v/>
      </c>
      <c r="CA93">
        <f>IF($O93="",0,IF(COUNTIFS(업무일지!$F$5:$F$1004,$O93,업무일지!$B$5:$B$1004,"&gt;="&amp;DATE($B$3,1,1),업무일지!$B$5:$B$1004,"&lt;"&amp;DATE($B$3+1,1,1),업무일지!$AB$5:$AB$1004,$A$45)&gt;0,1,0))</f>
        <v/>
      </c>
      <c r="CB93">
        <f>IF($O93="",0,IF(COUNTIFS(업무일지!$F$5:$F$1004,$O93,업무일지!$B$5:$B$1004,"&gt;="&amp;DATE($B$3,1,1),업무일지!$B$5:$B$1004,"&lt;"&amp;DATE($B$3+1,1,1),업무일지!$AB$5:$AB$1004,$A$46)&gt;0,1,0))</f>
        <v/>
      </c>
      <c r="CC93">
        <f>IF($O93="",0,IF(COUNTIFS(업무일지!$F$5:$F$1004,$O93,업무일지!$B$5:$B$1004,"&gt;="&amp;DATE($B$3,1,1),업무일지!$B$5:$B$1004,"&lt;"&amp;DATE($B$3+1,1,1),업무일지!$AB$5:$AB$1004,$A$47)&gt;0,1,0))</f>
        <v/>
      </c>
      <c r="CD93">
        <f>IF($O93="",0,IF(COUNTIFS(업무일지!$F$5:$F$1004,$O93,업무일지!$B$5:$B$1004,"&gt;="&amp;DATE($B$3,1,1),업무일지!$B$5:$B$1004,"&lt;"&amp;DATE($B$3+1,1,1),업무일지!$AB$5:$AB$1004,$A$48)&gt;0,1,0))</f>
        <v/>
      </c>
      <c r="CE93">
        <f>IF($O93="",0,IF(COUNTIFS(업무일지!$F$5:$F$1004,$O93,업무일지!$B$5:$B$1004,"&gt;="&amp;DATE($B$3,1,1),업무일지!$B$5:$B$1004,"&lt;"&amp;DATE($B$3+1,1,1),업무일지!$AB$5:$AB$1004,$A$49)&gt;0,1,0))</f>
        <v/>
      </c>
      <c r="CF93">
        <f>IF($O93="",0,IF(COUNTIFS(업무일지!$F$5:$F$1004,$O93,업무일지!$B$5:$B$1004,"&gt;="&amp;DATE($B$3,1,1),업무일지!$B$5:$B$1004,"&lt;"&amp;DATE($B$3+1,1,1),업무일지!$AB$5:$AB$1004,$A$50)&gt;0,1,0))</f>
        <v/>
      </c>
      <c r="CG93">
        <f>IF($O93="",0,IF(COUNTIFS(업무일지!$F$5:$F$1004,$O93,업무일지!$B$5:$B$1004,"&gt;="&amp;DATE($B$3,1,1),업무일지!$B$5:$B$1004,"&lt;"&amp;DATE($B$3+1,1,1),업무일지!$AB$5:$AB$1004,$A$51)&gt;0,1,0))</f>
        <v/>
      </c>
      <c r="CH93">
        <f>IF($O93="",0,IF(COUNTIFS(업무일지!$F$5:$F$1004,$O93,업무일지!$B$5:$B$1004,"&gt;="&amp;DATE($B$3,1,1),업무일지!$B$5:$B$1004,"&lt;"&amp;DATE($B$3+1,1,1),업무일지!$AB$5:$AB$1004,$A$52)&gt;0,1,0))</f>
        <v/>
      </c>
      <c r="CI93">
        <f>IF($O93="",0,IF(COUNTIFS(업무일지!$F$5:$F$1004,$O93,업무일지!$B$5:$B$1004,"&gt;="&amp;DATE($B$3,1,1),업무일지!$B$5:$B$1004,"&lt;"&amp;DATE($B$3+1,1,1),업무일지!$AB$5:$AB$1004,$A$53)&gt;0,1,0))</f>
        <v/>
      </c>
    </row>
    <row r="94">
      <c r="O94">
        <f>IF(사건마스터!$A14="","",사건마스터!$A14)</f>
        <v/>
      </c>
      <c r="P94">
        <f>IF($O94="",0,IF(COUNTIFS(업무일지!$F$5:$F$1004,$O94,업무일지!$B$5:$B$1004,"&gt;="&amp;DATE($B$3,1,1),업무일지!$B$5:$B$1004,"&lt;"&amp;DATE($B$3,1+1,1),업무일지!$D$5:$D$1004,"출장")&gt;0,1,0))</f>
        <v/>
      </c>
      <c r="Q94">
        <f>IF($O94="",0,IF(COUNTIFS(업무일지!$F$5:$F$1004,$O94,업무일지!$B$5:$B$1004,"&gt;="&amp;DATE($B$3,2,1),업무일지!$B$5:$B$1004,"&lt;"&amp;DATE($B$3,2+1,1),업무일지!$D$5:$D$1004,"출장")&gt;0,1,0))</f>
        <v/>
      </c>
      <c r="R94">
        <f>IF($O94="",0,IF(COUNTIFS(업무일지!$F$5:$F$1004,$O94,업무일지!$B$5:$B$1004,"&gt;="&amp;DATE($B$3,3,1),업무일지!$B$5:$B$1004,"&lt;"&amp;DATE($B$3,3+1,1),업무일지!$D$5:$D$1004,"출장")&gt;0,1,0))</f>
        <v/>
      </c>
      <c r="S94">
        <f>IF($O94="",0,IF(COUNTIFS(업무일지!$F$5:$F$1004,$O94,업무일지!$B$5:$B$1004,"&gt;="&amp;DATE($B$3,4,1),업무일지!$B$5:$B$1004,"&lt;"&amp;DATE($B$3,4+1,1),업무일지!$D$5:$D$1004,"출장")&gt;0,1,0))</f>
        <v/>
      </c>
      <c r="T94">
        <f>IF($O94="",0,IF(COUNTIFS(업무일지!$F$5:$F$1004,$O94,업무일지!$B$5:$B$1004,"&gt;="&amp;DATE($B$3,5,1),업무일지!$B$5:$B$1004,"&lt;"&amp;DATE($B$3,5+1,1),업무일지!$D$5:$D$1004,"출장")&gt;0,1,0))</f>
        <v/>
      </c>
      <c r="U94">
        <f>IF($O94="",0,IF(COUNTIFS(업무일지!$F$5:$F$1004,$O94,업무일지!$B$5:$B$1004,"&gt;="&amp;DATE($B$3,6,1),업무일지!$B$5:$B$1004,"&lt;"&amp;DATE($B$3,6+1,1),업무일지!$D$5:$D$1004,"출장")&gt;0,1,0))</f>
        <v/>
      </c>
      <c r="V94">
        <f>IF($O94="",0,IF(COUNTIFS(업무일지!$F$5:$F$1004,$O94,업무일지!$B$5:$B$1004,"&gt;="&amp;DATE($B$3,7,1),업무일지!$B$5:$B$1004,"&lt;"&amp;DATE($B$3,7+1,1),업무일지!$D$5:$D$1004,"출장")&gt;0,1,0))</f>
        <v/>
      </c>
      <c r="W94">
        <f>IF($O94="",0,IF(COUNTIFS(업무일지!$F$5:$F$1004,$O94,업무일지!$B$5:$B$1004,"&gt;="&amp;DATE($B$3,8,1),업무일지!$B$5:$B$1004,"&lt;"&amp;DATE($B$3,8+1,1),업무일지!$D$5:$D$1004,"출장")&gt;0,1,0))</f>
        <v/>
      </c>
      <c r="X94">
        <f>IF($O94="",0,IF(COUNTIFS(업무일지!$F$5:$F$1004,$O94,업무일지!$B$5:$B$1004,"&gt;="&amp;DATE($B$3,9,1),업무일지!$B$5:$B$1004,"&lt;"&amp;DATE($B$3,9+1,1),업무일지!$D$5:$D$1004,"출장")&gt;0,1,0))</f>
        <v/>
      </c>
      <c r="Y94">
        <f>IF($O94="",0,IF(COUNTIFS(업무일지!$F$5:$F$1004,$O94,업무일지!$B$5:$B$1004,"&gt;="&amp;DATE($B$3,10,1),업무일지!$B$5:$B$1004,"&lt;"&amp;DATE($B$3,10+1,1),업무일지!$D$5:$D$1004,"출장")&gt;0,1,0))</f>
        <v/>
      </c>
      <c r="Z94">
        <f>IF($O94="",0,IF(COUNTIFS(업무일지!$F$5:$F$1004,$O94,업무일지!$B$5:$B$1004,"&gt;="&amp;DATE($B$3,11,1),업무일지!$B$5:$B$1004,"&lt;"&amp;DATE($B$3,11+1,1),업무일지!$D$5:$D$1004,"출장")&gt;0,1,0))</f>
        <v/>
      </c>
      <c r="AA94">
        <f>IF($O94="",0,IF(COUNTIFS(업무일지!$F$5:$F$1004,$O94,업무일지!$B$5:$B$1004,"&gt;="&amp;DATE($B$3,12,1),업무일지!$B$5:$B$1004,"&lt;"&amp;DATE($B$3,12+1,1),업무일지!$D$5:$D$1004,"출장")&gt;0,1,0))</f>
        <v/>
      </c>
      <c r="AB94">
        <f>IF($O94="",0,IF(COUNTIFS(업무일지!$F$5:$F$1004,$O94,업무일지!$B$5:$B$1004,"&gt;="&amp;DATE($B$3,1,1),업무일지!$B$5:$B$1004,"&lt;"&amp;DATE($B$3,1+1,1),업무일지!$D$5:$D$1004,"분석")&gt;0,1,0))</f>
        <v/>
      </c>
      <c r="AC94">
        <f>IF($O94="",0,IF(COUNTIFS(업무일지!$F$5:$F$1004,$O94,업무일지!$B$5:$B$1004,"&gt;="&amp;DATE($B$3,2,1),업무일지!$B$5:$B$1004,"&lt;"&amp;DATE($B$3,2+1,1),업무일지!$D$5:$D$1004,"분석")&gt;0,1,0))</f>
        <v/>
      </c>
      <c r="AD94">
        <f>IF($O94="",0,IF(COUNTIFS(업무일지!$F$5:$F$1004,$O94,업무일지!$B$5:$B$1004,"&gt;="&amp;DATE($B$3,3,1),업무일지!$B$5:$B$1004,"&lt;"&amp;DATE($B$3,3+1,1),업무일지!$D$5:$D$1004,"분석")&gt;0,1,0))</f>
        <v/>
      </c>
      <c r="AE94">
        <f>IF($O94="",0,IF(COUNTIFS(업무일지!$F$5:$F$1004,$O94,업무일지!$B$5:$B$1004,"&gt;="&amp;DATE($B$3,4,1),업무일지!$B$5:$B$1004,"&lt;"&amp;DATE($B$3,4+1,1),업무일지!$D$5:$D$1004,"분석")&gt;0,1,0))</f>
        <v/>
      </c>
      <c r="AF94">
        <f>IF($O94="",0,IF(COUNTIFS(업무일지!$F$5:$F$1004,$O94,업무일지!$B$5:$B$1004,"&gt;="&amp;DATE($B$3,5,1),업무일지!$B$5:$B$1004,"&lt;"&amp;DATE($B$3,5+1,1),업무일지!$D$5:$D$1004,"분석")&gt;0,1,0))</f>
        <v/>
      </c>
      <c r="AG94">
        <f>IF($O94="",0,IF(COUNTIFS(업무일지!$F$5:$F$1004,$O94,업무일지!$B$5:$B$1004,"&gt;="&amp;DATE($B$3,6,1),업무일지!$B$5:$B$1004,"&lt;"&amp;DATE($B$3,6+1,1),업무일지!$D$5:$D$1004,"분석")&gt;0,1,0))</f>
        <v/>
      </c>
      <c r="AH94">
        <f>IF($O94="",0,IF(COUNTIFS(업무일지!$F$5:$F$1004,$O94,업무일지!$B$5:$B$1004,"&gt;="&amp;DATE($B$3,7,1),업무일지!$B$5:$B$1004,"&lt;"&amp;DATE($B$3,7+1,1),업무일지!$D$5:$D$1004,"분석")&gt;0,1,0))</f>
        <v/>
      </c>
      <c r="AI94">
        <f>IF($O94="",0,IF(COUNTIFS(업무일지!$F$5:$F$1004,$O94,업무일지!$B$5:$B$1004,"&gt;="&amp;DATE($B$3,8,1),업무일지!$B$5:$B$1004,"&lt;"&amp;DATE($B$3,8+1,1),업무일지!$D$5:$D$1004,"분석")&gt;0,1,0))</f>
        <v/>
      </c>
      <c r="AJ94">
        <f>IF($O94="",0,IF(COUNTIFS(업무일지!$F$5:$F$1004,$O94,업무일지!$B$5:$B$1004,"&gt;="&amp;DATE($B$3,9,1),업무일지!$B$5:$B$1004,"&lt;"&amp;DATE($B$3,9+1,1),업무일지!$D$5:$D$1004,"분석")&gt;0,1,0))</f>
        <v/>
      </c>
      <c r="AK94">
        <f>IF($O94="",0,IF(COUNTIFS(업무일지!$F$5:$F$1004,$O94,업무일지!$B$5:$B$1004,"&gt;="&amp;DATE($B$3,10,1),업무일지!$B$5:$B$1004,"&lt;"&amp;DATE($B$3,10+1,1),업무일지!$D$5:$D$1004,"분석")&gt;0,1,0))</f>
        <v/>
      </c>
      <c r="AL94">
        <f>IF($O94="",0,IF(COUNTIFS(업무일지!$F$5:$F$1004,$O94,업무일지!$B$5:$B$1004,"&gt;="&amp;DATE($B$3,11,1),업무일지!$B$5:$B$1004,"&lt;"&amp;DATE($B$3,11+1,1),업무일지!$D$5:$D$1004,"분석")&gt;0,1,0))</f>
        <v/>
      </c>
      <c r="AM94">
        <f>IF($O94="",0,IF(COUNTIFS(업무일지!$F$5:$F$1004,$O94,업무일지!$B$5:$B$1004,"&gt;="&amp;DATE($B$3,12,1),업무일지!$B$5:$B$1004,"&lt;"&amp;DATE($B$3,12+1,1),업무일지!$D$5:$D$1004,"분석")&gt;0,1,0))</f>
        <v/>
      </c>
      <c r="AN94">
        <f>IF($O94="",0,IF(COUNTIFS(업무일지!$F$5:$F$1004,$O94,업무일지!$B$5:$B$1004,"&gt;="&amp;DATE($B$3,1,1),업무일지!$B$5:$B$1004,"&lt;"&amp;DATE($B$3,1+1,1))&gt;0,1,0))</f>
        <v/>
      </c>
      <c r="AO94">
        <f>IF($O94="",0,IF(COUNTIFS(업무일지!$F$5:$F$1004,$O94,업무일지!$B$5:$B$1004,"&gt;="&amp;DATE($B$3,2,1),업무일지!$B$5:$B$1004,"&lt;"&amp;DATE($B$3,2+1,1))&gt;0,1,0))</f>
        <v/>
      </c>
      <c r="AP94">
        <f>IF($O94="",0,IF(COUNTIFS(업무일지!$F$5:$F$1004,$O94,업무일지!$B$5:$B$1004,"&gt;="&amp;DATE($B$3,3,1),업무일지!$B$5:$B$1004,"&lt;"&amp;DATE($B$3,3+1,1))&gt;0,1,0))</f>
        <v/>
      </c>
      <c r="AQ94">
        <f>IF($O94="",0,IF(COUNTIFS(업무일지!$F$5:$F$1004,$O94,업무일지!$B$5:$B$1004,"&gt;="&amp;DATE($B$3,4,1),업무일지!$B$5:$B$1004,"&lt;"&amp;DATE($B$3,4+1,1))&gt;0,1,0))</f>
        <v/>
      </c>
      <c r="AR94">
        <f>IF($O94="",0,IF(COUNTIFS(업무일지!$F$5:$F$1004,$O94,업무일지!$B$5:$B$1004,"&gt;="&amp;DATE($B$3,5,1),업무일지!$B$5:$B$1004,"&lt;"&amp;DATE($B$3,5+1,1))&gt;0,1,0))</f>
        <v/>
      </c>
      <c r="AS94">
        <f>IF($O94="",0,IF(COUNTIFS(업무일지!$F$5:$F$1004,$O94,업무일지!$B$5:$B$1004,"&gt;="&amp;DATE($B$3,6,1),업무일지!$B$5:$B$1004,"&lt;"&amp;DATE($B$3,6+1,1))&gt;0,1,0))</f>
        <v/>
      </c>
      <c r="AT94">
        <f>IF($O94="",0,IF(COUNTIFS(업무일지!$F$5:$F$1004,$O94,업무일지!$B$5:$B$1004,"&gt;="&amp;DATE($B$3,7,1),업무일지!$B$5:$B$1004,"&lt;"&amp;DATE($B$3,7+1,1))&gt;0,1,0))</f>
        <v/>
      </c>
      <c r="AU94">
        <f>IF($O94="",0,IF(COUNTIFS(업무일지!$F$5:$F$1004,$O94,업무일지!$B$5:$B$1004,"&gt;="&amp;DATE($B$3,8,1),업무일지!$B$5:$B$1004,"&lt;"&amp;DATE($B$3,8+1,1))&gt;0,1,0))</f>
        <v/>
      </c>
      <c r="AV94">
        <f>IF($O94="",0,IF(COUNTIFS(업무일지!$F$5:$F$1004,$O94,업무일지!$B$5:$B$1004,"&gt;="&amp;DATE($B$3,9,1),업무일지!$B$5:$B$1004,"&lt;"&amp;DATE($B$3,9+1,1))&gt;0,1,0))</f>
        <v/>
      </c>
      <c r="AW94">
        <f>IF($O94="",0,IF(COUNTIFS(업무일지!$F$5:$F$1004,$O94,업무일지!$B$5:$B$1004,"&gt;="&amp;DATE($B$3,10,1),업무일지!$B$5:$B$1004,"&lt;"&amp;DATE($B$3,10+1,1))&gt;0,1,0))</f>
        <v/>
      </c>
      <c r="AX94">
        <f>IF($O94="",0,IF(COUNTIFS(업무일지!$F$5:$F$1004,$O94,업무일지!$B$5:$B$1004,"&gt;="&amp;DATE($B$3,11,1),업무일지!$B$5:$B$1004,"&lt;"&amp;DATE($B$3,11+1,1))&gt;0,1,0))</f>
        <v/>
      </c>
      <c r="AY94">
        <f>IF($O94="",0,IF(COUNTIFS(업무일지!$F$5:$F$1004,$O94,업무일지!$B$5:$B$1004,"&gt;="&amp;DATE($B$3,12,1),업무일지!$B$5:$B$1004,"&lt;"&amp;DATE($B$3,12+1,1))&gt;0,1,0))</f>
        <v/>
      </c>
      <c r="AZ94">
        <f>IF($O94="",0,IF(COUNTIFS(업무일지!$F$5:$F$1004,$O94,업무일지!$B$5:$B$1004,"&gt;="&amp;DATE($B$3,1,1),업무일지!$B$5:$B$1004,"&lt;"&amp;DATE($B$3+1,1,1),업무일지!$D$5:$D$1004,"출장")&gt;0,1,0))</f>
        <v/>
      </c>
      <c r="BA94">
        <f>IF($O94="",0,IF(COUNTIFS(업무일지!$F$5:$F$1004,$O94,업무일지!$B$5:$B$1004,"&gt;="&amp;DATE($B$3,1,1),업무일지!$B$5:$B$1004,"&lt;"&amp;DATE($B$3+1,1,1),업무일지!$D$5:$D$1004,"분석")&gt;0,1,0))</f>
        <v/>
      </c>
      <c r="BB94">
        <f>IF($O94="",0,IF(COUNTIFS(업무일지!$F$5:$F$1004,$O94,업무일지!$B$5:$B$1004,"&gt;="&amp;DATE($B$3,1,1),업무일지!$B$5:$B$1004,"&lt;"&amp;DATE($B$3+1,1,1))&gt;0,1,0))</f>
        <v/>
      </c>
      <c r="BD94">
        <f>IF($O94="",0,IF(COUNTIFS(업무일지!$F$5:$F$1004,$O94,업무일지!$B$5:$B$1004,"&gt;="&amp;DATE($B$3,1,1),업무일지!$B$5:$B$1004,"&lt;"&amp;DATE($B$3+1,1,1),업무일지!$AB$5:$AB$1004,$A$44,업무일지!$D$5:$D$1004,"출장")&gt;0,1,0))</f>
        <v/>
      </c>
      <c r="BE94">
        <f>IF($O94="",0,IF(COUNTIFS(업무일지!$F$5:$F$1004,$O94,업무일지!$B$5:$B$1004,"&gt;="&amp;DATE($B$3,1,1),업무일지!$B$5:$B$1004,"&lt;"&amp;DATE($B$3+1,1,1),업무일지!$AB$5:$AB$1004,$A$45,업무일지!$D$5:$D$1004,"출장")&gt;0,1,0))</f>
        <v/>
      </c>
      <c r="BF94">
        <f>IF($O94="",0,IF(COUNTIFS(업무일지!$F$5:$F$1004,$O94,업무일지!$B$5:$B$1004,"&gt;="&amp;DATE($B$3,1,1),업무일지!$B$5:$B$1004,"&lt;"&amp;DATE($B$3+1,1,1),업무일지!$AB$5:$AB$1004,$A$46,업무일지!$D$5:$D$1004,"출장")&gt;0,1,0))</f>
        <v/>
      </c>
      <c r="BG94">
        <f>IF($O94="",0,IF(COUNTIFS(업무일지!$F$5:$F$1004,$O94,업무일지!$B$5:$B$1004,"&gt;="&amp;DATE($B$3,1,1),업무일지!$B$5:$B$1004,"&lt;"&amp;DATE($B$3+1,1,1),업무일지!$AB$5:$AB$1004,$A$47,업무일지!$D$5:$D$1004,"출장")&gt;0,1,0))</f>
        <v/>
      </c>
      <c r="BH94">
        <f>IF($O94="",0,IF(COUNTIFS(업무일지!$F$5:$F$1004,$O94,업무일지!$B$5:$B$1004,"&gt;="&amp;DATE($B$3,1,1),업무일지!$B$5:$B$1004,"&lt;"&amp;DATE($B$3+1,1,1),업무일지!$AB$5:$AB$1004,$A$48,업무일지!$D$5:$D$1004,"출장")&gt;0,1,0))</f>
        <v/>
      </c>
      <c r="BI94">
        <f>IF($O94="",0,IF(COUNTIFS(업무일지!$F$5:$F$1004,$O94,업무일지!$B$5:$B$1004,"&gt;="&amp;DATE($B$3,1,1),업무일지!$B$5:$B$1004,"&lt;"&amp;DATE($B$3+1,1,1),업무일지!$AB$5:$AB$1004,$A$49,업무일지!$D$5:$D$1004,"출장")&gt;0,1,0))</f>
        <v/>
      </c>
      <c r="BJ94">
        <f>IF($O94="",0,IF(COUNTIFS(업무일지!$F$5:$F$1004,$O94,업무일지!$B$5:$B$1004,"&gt;="&amp;DATE($B$3,1,1),업무일지!$B$5:$B$1004,"&lt;"&amp;DATE($B$3+1,1,1),업무일지!$AB$5:$AB$1004,$A$50,업무일지!$D$5:$D$1004,"출장")&gt;0,1,0))</f>
        <v/>
      </c>
      <c r="BK94">
        <f>IF($O94="",0,IF(COUNTIFS(업무일지!$F$5:$F$1004,$O94,업무일지!$B$5:$B$1004,"&gt;="&amp;DATE($B$3,1,1),업무일지!$B$5:$B$1004,"&lt;"&amp;DATE($B$3+1,1,1),업무일지!$AB$5:$AB$1004,$A$51,업무일지!$D$5:$D$1004,"출장")&gt;0,1,0))</f>
        <v/>
      </c>
      <c r="BL94">
        <f>IF($O94="",0,IF(COUNTIFS(업무일지!$F$5:$F$1004,$O94,업무일지!$B$5:$B$1004,"&gt;="&amp;DATE($B$3,1,1),업무일지!$B$5:$B$1004,"&lt;"&amp;DATE($B$3+1,1,1),업무일지!$AB$5:$AB$1004,$A$52,업무일지!$D$5:$D$1004,"출장")&gt;0,1,0))</f>
        <v/>
      </c>
      <c r="BM94">
        <f>IF($O94="",0,IF(COUNTIFS(업무일지!$F$5:$F$1004,$O94,업무일지!$B$5:$B$1004,"&gt;="&amp;DATE($B$3,1,1),업무일지!$B$5:$B$1004,"&lt;"&amp;DATE($B$3+1,1,1),업무일지!$AB$5:$AB$1004,$A$53,업무일지!$D$5:$D$1004,"출장")&gt;0,1,0))</f>
        <v/>
      </c>
      <c r="BO94">
        <f>IF($O94="",0,IF(COUNTIFS(업무일지!$F$5:$F$1004,$O94,업무일지!$B$5:$B$1004,"&gt;="&amp;DATE($B$3,1,1),업무일지!$B$5:$B$1004,"&lt;"&amp;DATE($B$3+1,1,1),업무일지!$AB$5:$AB$1004,$A$44,업무일지!$D$5:$D$1004,"분석")&gt;0,1,0))</f>
        <v/>
      </c>
      <c r="BP94">
        <f>IF($O94="",0,IF(COUNTIFS(업무일지!$F$5:$F$1004,$O94,업무일지!$B$5:$B$1004,"&gt;="&amp;DATE($B$3,1,1),업무일지!$B$5:$B$1004,"&lt;"&amp;DATE($B$3+1,1,1),업무일지!$AB$5:$AB$1004,$A$45,업무일지!$D$5:$D$1004,"분석")&gt;0,1,0))</f>
        <v/>
      </c>
      <c r="BQ94">
        <f>IF($O94="",0,IF(COUNTIFS(업무일지!$F$5:$F$1004,$O94,업무일지!$B$5:$B$1004,"&gt;="&amp;DATE($B$3,1,1),업무일지!$B$5:$B$1004,"&lt;"&amp;DATE($B$3+1,1,1),업무일지!$AB$5:$AB$1004,$A$46,업무일지!$D$5:$D$1004,"분석")&gt;0,1,0))</f>
        <v/>
      </c>
      <c r="BR94">
        <f>IF($O94="",0,IF(COUNTIFS(업무일지!$F$5:$F$1004,$O94,업무일지!$B$5:$B$1004,"&gt;="&amp;DATE($B$3,1,1),업무일지!$B$5:$B$1004,"&lt;"&amp;DATE($B$3+1,1,1),업무일지!$AB$5:$AB$1004,$A$47,업무일지!$D$5:$D$1004,"분석")&gt;0,1,0))</f>
        <v/>
      </c>
      <c r="BS94">
        <f>IF($O94="",0,IF(COUNTIFS(업무일지!$F$5:$F$1004,$O94,업무일지!$B$5:$B$1004,"&gt;="&amp;DATE($B$3,1,1),업무일지!$B$5:$B$1004,"&lt;"&amp;DATE($B$3+1,1,1),업무일지!$AB$5:$AB$1004,$A$48,업무일지!$D$5:$D$1004,"분석")&gt;0,1,0))</f>
        <v/>
      </c>
      <c r="BT94">
        <f>IF($O94="",0,IF(COUNTIFS(업무일지!$F$5:$F$1004,$O94,업무일지!$B$5:$B$1004,"&gt;="&amp;DATE($B$3,1,1),업무일지!$B$5:$B$1004,"&lt;"&amp;DATE($B$3+1,1,1),업무일지!$AB$5:$AB$1004,$A$49,업무일지!$D$5:$D$1004,"분석")&gt;0,1,0))</f>
        <v/>
      </c>
      <c r="BU94">
        <f>IF($O94="",0,IF(COUNTIFS(업무일지!$F$5:$F$1004,$O94,업무일지!$B$5:$B$1004,"&gt;="&amp;DATE($B$3,1,1),업무일지!$B$5:$B$1004,"&lt;"&amp;DATE($B$3+1,1,1),업무일지!$AB$5:$AB$1004,$A$50,업무일지!$D$5:$D$1004,"분석")&gt;0,1,0))</f>
        <v/>
      </c>
      <c r="BV94">
        <f>IF($O94="",0,IF(COUNTIFS(업무일지!$F$5:$F$1004,$O94,업무일지!$B$5:$B$1004,"&gt;="&amp;DATE($B$3,1,1),업무일지!$B$5:$B$1004,"&lt;"&amp;DATE($B$3+1,1,1),업무일지!$AB$5:$AB$1004,$A$51,업무일지!$D$5:$D$1004,"분석")&gt;0,1,0))</f>
        <v/>
      </c>
      <c r="BW94">
        <f>IF($O94="",0,IF(COUNTIFS(업무일지!$F$5:$F$1004,$O94,업무일지!$B$5:$B$1004,"&gt;="&amp;DATE($B$3,1,1),업무일지!$B$5:$B$1004,"&lt;"&amp;DATE($B$3+1,1,1),업무일지!$AB$5:$AB$1004,$A$52,업무일지!$D$5:$D$1004,"분석")&gt;0,1,0))</f>
        <v/>
      </c>
      <c r="BX94">
        <f>IF($O94="",0,IF(COUNTIFS(업무일지!$F$5:$F$1004,$O94,업무일지!$B$5:$B$1004,"&gt;="&amp;DATE($B$3,1,1),업무일지!$B$5:$B$1004,"&lt;"&amp;DATE($B$3+1,1,1),업무일지!$AB$5:$AB$1004,$A$53,업무일지!$D$5:$D$1004,"분석")&gt;0,1,0))</f>
        <v/>
      </c>
      <c r="BZ94">
        <f>IF($O94="",0,IF(COUNTIFS(업무일지!$F$5:$F$1004,$O94,업무일지!$B$5:$B$1004,"&gt;="&amp;DATE($B$3,1,1),업무일지!$B$5:$B$1004,"&lt;"&amp;DATE($B$3+1,1,1),업무일지!$AB$5:$AB$1004,$A$44)&gt;0,1,0))</f>
        <v/>
      </c>
      <c r="CA94">
        <f>IF($O94="",0,IF(COUNTIFS(업무일지!$F$5:$F$1004,$O94,업무일지!$B$5:$B$1004,"&gt;="&amp;DATE($B$3,1,1),업무일지!$B$5:$B$1004,"&lt;"&amp;DATE($B$3+1,1,1),업무일지!$AB$5:$AB$1004,$A$45)&gt;0,1,0))</f>
        <v/>
      </c>
      <c r="CB94">
        <f>IF($O94="",0,IF(COUNTIFS(업무일지!$F$5:$F$1004,$O94,업무일지!$B$5:$B$1004,"&gt;="&amp;DATE($B$3,1,1),업무일지!$B$5:$B$1004,"&lt;"&amp;DATE($B$3+1,1,1),업무일지!$AB$5:$AB$1004,$A$46)&gt;0,1,0))</f>
        <v/>
      </c>
      <c r="CC94">
        <f>IF($O94="",0,IF(COUNTIFS(업무일지!$F$5:$F$1004,$O94,업무일지!$B$5:$B$1004,"&gt;="&amp;DATE($B$3,1,1),업무일지!$B$5:$B$1004,"&lt;"&amp;DATE($B$3+1,1,1),업무일지!$AB$5:$AB$1004,$A$47)&gt;0,1,0))</f>
        <v/>
      </c>
      <c r="CD94">
        <f>IF($O94="",0,IF(COUNTIFS(업무일지!$F$5:$F$1004,$O94,업무일지!$B$5:$B$1004,"&gt;="&amp;DATE($B$3,1,1),업무일지!$B$5:$B$1004,"&lt;"&amp;DATE($B$3+1,1,1),업무일지!$AB$5:$AB$1004,$A$48)&gt;0,1,0))</f>
        <v/>
      </c>
      <c r="CE94">
        <f>IF($O94="",0,IF(COUNTIFS(업무일지!$F$5:$F$1004,$O94,업무일지!$B$5:$B$1004,"&gt;="&amp;DATE($B$3,1,1),업무일지!$B$5:$B$1004,"&lt;"&amp;DATE($B$3+1,1,1),업무일지!$AB$5:$AB$1004,$A$49)&gt;0,1,0))</f>
        <v/>
      </c>
      <c r="CF94">
        <f>IF($O94="",0,IF(COUNTIFS(업무일지!$F$5:$F$1004,$O94,업무일지!$B$5:$B$1004,"&gt;="&amp;DATE($B$3,1,1),업무일지!$B$5:$B$1004,"&lt;"&amp;DATE($B$3+1,1,1),업무일지!$AB$5:$AB$1004,$A$50)&gt;0,1,0))</f>
        <v/>
      </c>
      <c r="CG94">
        <f>IF($O94="",0,IF(COUNTIFS(업무일지!$F$5:$F$1004,$O94,업무일지!$B$5:$B$1004,"&gt;="&amp;DATE($B$3,1,1),업무일지!$B$5:$B$1004,"&lt;"&amp;DATE($B$3+1,1,1),업무일지!$AB$5:$AB$1004,$A$51)&gt;0,1,0))</f>
        <v/>
      </c>
      <c r="CH94">
        <f>IF($O94="",0,IF(COUNTIFS(업무일지!$F$5:$F$1004,$O94,업무일지!$B$5:$B$1004,"&gt;="&amp;DATE($B$3,1,1),업무일지!$B$5:$B$1004,"&lt;"&amp;DATE($B$3+1,1,1),업무일지!$AB$5:$AB$1004,$A$52)&gt;0,1,0))</f>
        <v/>
      </c>
      <c r="CI94">
        <f>IF($O94="",0,IF(COUNTIFS(업무일지!$F$5:$F$1004,$O94,업무일지!$B$5:$B$1004,"&gt;="&amp;DATE($B$3,1,1),업무일지!$B$5:$B$1004,"&lt;"&amp;DATE($B$3+1,1,1),업무일지!$AB$5:$AB$1004,$A$53)&gt;0,1,0))</f>
        <v/>
      </c>
    </row>
    <row r="95">
      <c r="O95">
        <f>IF(사건마스터!$A15="","",사건마스터!$A15)</f>
        <v/>
      </c>
      <c r="P95">
        <f>IF($O95="",0,IF(COUNTIFS(업무일지!$F$5:$F$1004,$O95,업무일지!$B$5:$B$1004,"&gt;="&amp;DATE($B$3,1,1),업무일지!$B$5:$B$1004,"&lt;"&amp;DATE($B$3,1+1,1),업무일지!$D$5:$D$1004,"출장")&gt;0,1,0))</f>
        <v/>
      </c>
      <c r="Q95">
        <f>IF($O95="",0,IF(COUNTIFS(업무일지!$F$5:$F$1004,$O95,업무일지!$B$5:$B$1004,"&gt;="&amp;DATE($B$3,2,1),업무일지!$B$5:$B$1004,"&lt;"&amp;DATE($B$3,2+1,1),업무일지!$D$5:$D$1004,"출장")&gt;0,1,0))</f>
        <v/>
      </c>
      <c r="R95">
        <f>IF($O95="",0,IF(COUNTIFS(업무일지!$F$5:$F$1004,$O95,업무일지!$B$5:$B$1004,"&gt;="&amp;DATE($B$3,3,1),업무일지!$B$5:$B$1004,"&lt;"&amp;DATE($B$3,3+1,1),업무일지!$D$5:$D$1004,"출장")&gt;0,1,0))</f>
        <v/>
      </c>
      <c r="S95">
        <f>IF($O95="",0,IF(COUNTIFS(업무일지!$F$5:$F$1004,$O95,업무일지!$B$5:$B$1004,"&gt;="&amp;DATE($B$3,4,1),업무일지!$B$5:$B$1004,"&lt;"&amp;DATE($B$3,4+1,1),업무일지!$D$5:$D$1004,"출장")&gt;0,1,0))</f>
        <v/>
      </c>
      <c r="T95">
        <f>IF($O95="",0,IF(COUNTIFS(업무일지!$F$5:$F$1004,$O95,업무일지!$B$5:$B$1004,"&gt;="&amp;DATE($B$3,5,1),업무일지!$B$5:$B$1004,"&lt;"&amp;DATE($B$3,5+1,1),업무일지!$D$5:$D$1004,"출장")&gt;0,1,0))</f>
        <v/>
      </c>
      <c r="U95">
        <f>IF($O95="",0,IF(COUNTIFS(업무일지!$F$5:$F$1004,$O95,업무일지!$B$5:$B$1004,"&gt;="&amp;DATE($B$3,6,1),업무일지!$B$5:$B$1004,"&lt;"&amp;DATE($B$3,6+1,1),업무일지!$D$5:$D$1004,"출장")&gt;0,1,0))</f>
        <v/>
      </c>
      <c r="V95">
        <f>IF($O95="",0,IF(COUNTIFS(업무일지!$F$5:$F$1004,$O95,업무일지!$B$5:$B$1004,"&gt;="&amp;DATE($B$3,7,1),업무일지!$B$5:$B$1004,"&lt;"&amp;DATE($B$3,7+1,1),업무일지!$D$5:$D$1004,"출장")&gt;0,1,0))</f>
        <v/>
      </c>
      <c r="W95">
        <f>IF($O95="",0,IF(COUNTIFS(업무일지!$F$5:$F$1004,$O95,업무일지!$B$5:$B$1004,"&gt;="&amp;DATE($B$3,8,1),업무일지!$B$5:$B$1004,"&lt;"&amp;DATE($B$3,8+1,1),업무일지!$D$5:$D$1004,"출장")&gt;0,1,0))</f>
        <v/>
      </c>
      <c r="X95">
        <f>IF($O95="",0,IF(COUNTIFS(업무일지!$F$5:$F$1004,$O95,업무일지!$B$5:$B$1004,"&gt;="&amp;DATE($B$3,9,1),업무일지!$B$5:$B$1004,"&lt;"&amp;DATE($B$3,9+1,1),업무일지!$D$5:$D$1004,"출장")&gt;0,1,0))</f>
        <v/>
      </c>
      <c r="Y95">
        <f>IF($O95="",0,IF(COUNTIFS(업무일지!$F$5:$F$1004,$O95,업무일지!$B$5:$B$1004,"&gt;="&amp;DATE($B$3,10,1),업무일지!$B$5:$B$1004,"&lt;"&amp;DATE($B$3,10+1,1),업무일지!$D$5:$D$1004,"출장")&gt;0,1,0))</f>
        <v/>
      </c>
      <c r="Z95">
        <f>IF($O95="",0,IF(COUNTIFS(업무일지!$F$5:$F$1004,$O95,업무일지!$B$5:$B$1004,"&gt;="&amp;DATE($B$3,11,1),업무일지!$B$5:$B$1004,"&lt;"&amp;DATE($B$3,11+1,1),업무일지!$D$5:$D$1004,"출장")&gt;0,1,0))</f>
        <v/>
      </c>
      <c r="AA95">
        <f>IF($O95="",0,IF(COUNTIFS(업무일지!$F$5:$F$1004,$O95,업무일지!$B$5:$B$1004,"&gt;="&amp;DATE($B$3,12,1),업무일지!$B$5:$B$1004,"&lt;"&amp;DATE($B$3,12+1,1),업무일지!$D$5:$D$1004,"출장")&gt;0,1,0))</f>
        <v/>
      </c>
      <c r="AB95">
        <f>IF($O95="",0,IF(COUNTIFS(업무일지!$F$5:$F$1004,$O95,업무일지!$B$5:$B$1004,"&gt;="&amp;DATE($B$3,1,1),업무일지!$B$5:$B$1004,"&lt;"&amp;DATE($B$3,1+1,1),업무일지!$D$5:$D$1004,"분석")&gt;0,1,0))</f>
        <v/>
      </c>
      <c r="AC95">
        <f>IF($O95="",0,IF(COUNTIFS(업무일지!$F$5:$F$1004,$O95,업무일지!$B$5:$B$1004,"&gt;="&amp;DATE($B$3,2,1),업무일지!$B$5:$B$1004,"&lt;"&amp;DATE($B$3,2+1,1),업무일지!$D$5:$D$1004,"분석")&gt;0,1,0))</f>
        <v/>
      </c>
      <c r="AD95">
        <f>IF($O95="",0,IF(COUNTIFS(업무일지!$F$5:$F$1004,$O95,업무일지!$B$5:$B$1004,"&gt;="&amp;DATE($B$3,3,1),업무일지!$B$5:$B$1004,"&lt;"&amp;DATE($B$3,3+1,1),업무일지!$D$5:$D$1004,"분석")&gt;0,1,0))</f>
        <v/>
      </c>
      <c r="AE95">
        <f>IF($O95="",0,IF(COUNTIFS(업무일지!$F$5:$F$1004,$O95,업무일지!$B$5:$B$1004,"&gt;="&amp;DATE($B$3,4,1),업무일지!$B$5:$B$1004,"&lt;"&amp;DATE($B$3,4+1,1),업무일지!$D$5:$D$1004,"분석")&gt;0,1,0))</f>
        <v/>
      </c>
      <c r="AF95">
        <f>IF($O95="",0,IF(COUNTIFS(업무일지!$F$5:$F$1004,$O95,업무일지!$B$5:$B$1004,"&gt;="&amp;DATE($B$3,5,1),업무일지!$B$5:$B$1004,"&lt;"&amp;DATE($B$3,5+1,1),업무일지!$D$5:$D$1004,"분석")&gt;0,1,0))</f>
        <v/>
      </c>
      <c r="AG95">
        <f>IF($O95="",0,IF(COUNTIFS(업무일지!$F$5:$F$1004,$O95,업무일지!$B$5:$B$1004,"&gt;="&amp;DATE($B$3,6,1),업무일지!$B$5:$B$1004,"&lt;"&amp;DATE($B$3,6+1,1),업무일지!$D$5:$D$1004,"분석")&gt;0,1,0))</f>
        <v/>
      </c>
      <c r="AH95">
        <f>IF($O95="",0,IF(COUNTIFS(업무일지!$F$5:$F$1004,$O95,업무일지!$B$5:$B$1004,"&gt;="&amp;DATE($B$3,7,1),업무일지!$B$5:$B$1004,"&lt;"&amp;DATE($B$3,7+1,1),업무일지!$D$5:$D$1004,"분석")&gt;0,1,0))</f>
        <v/>
      </c>
      <c r="AI95">
        <f>IF($O95="",0,IF(COUNTIFS(업무일지!$F$5:$F$1004,$O95,업무일지!$B$5:$B$1004,"&gt;="&amp;DATE($B$3,8,1),업무일지!$B$5:$B$1004,"&lt;"&amp;DATE($B$3,8+1,1),업무일지!$D$5:$D$1004,"분석")&gt;0,1,0))</f>
        <v/>
      </c>
      <c r="AJ95">
        <f>IF($O95="",0,IF(COUNTIFS(업무일지!$F$5:$F$1004,$O95,업무일지!$B$5:$B$1004,"&gt;="&amp;DATE($B$3,9,1),업무일지!$B$5:$B$1004,"&lt;"&amp;DATE($B$3,9+1,1),업무일지!$D$5:$D$1004,"분석")&gt;0,1,0))</f>
        <v/>
      </c>
      <c r="AK95">
        <f>IF($O95="",0,IF(COUNTIFS(업무일지!$F$5:$F$1004,$O95,업무일지!$B$5:$B$1004,"&gt;="&amp;DATE($B$3,10,1),업무일지!$B$5:$B$1004,"&lt;"&amp;DATE($B$3,10+1,1),업무일지!$D$5:$D$1004,"분석")&gt;0,1,0))</f>
        <v/>
      </c>
      <c r="AL95">
        <f>IF($O95="",0,IF(COUNTIFS(업무일지!$F$5:$F$1004,$O95,업무일지!$B$5:$B$1004,"&gt;="&amp;DATE($B$3,11,1),업무일지!$B$5:$B$1004,"&lt;"&amp;DATE($B$3,11+1,1),업무일지!$D$5:$D$1004,"분석")&gt;0,1,0))</f>
        <v/>
      </c>
      <c r="AM95">
        <f>IF($O95="",0,IF(COUNTIFS(업무일지!$F$5:$F$1004,$O95,업무일지!$B$5:$B$1004,"&gt;="&amp;DATE($B$3,12,1),업무일지!$B$5:$B$1004,"&lt;"&amp;DATE($B$3,12+1,1),업무일지!$D$5:$D$1004,"분석")&gt;0,1,0))</f>
        <v/>
      </c>
      <c r="AN95">
        <f>IF($O95="",0,IF(COUNTIFS(업무일지!$F$5:$F$1004,$O95,업무일지!$B$5:$B$1004,"&gt;="&amp;DATE($B$3,1,1),업무일지!$B$5:$B$1004,"&lt;"&amp;DATE($B$3,1+1,1))&gt;0,1,0))</f>
        <v/>
      </c>
      <c r="AO95">
        <f>IF($O95="",0,IF(COUNTIFS(업무일지!$F$5:$F$1004,$O95,업무일지!$B$5:$B$1004,"&gt;="&amp;DATE($B$3,2,1),업무일지!$B$5:$B$1004,"&lt;"&amp;DATE($B$3,2+1,1))&gt;0,1,0))</f>
        <v/>
      </c>
      <c r="AP95">
        <f>IF($O95="",0,IF(COUNTIFS(업무일지!$F$5:$F$1004,$O95,업무일지!$B$5:$B$1004,"&gt;="&amp;DATE($B$3,3,1),업무일지!$B$5:$B$1004,"&lt;"&amp;DATE($B$3,3+1,1))&gt;0,1,0))</f>
        <v/>
      </c>
      <c r="AQ95">
        <f>IF($O95="",0,IF(COUNTIFS(업무일지!$F$5:$F$1004,$O95,업무일지!$B$5:$B$1004,"&gt;="&amp;DATE($B$3,4,1),업무일지!$B$5:$B$1004,"&lt;"&amp;DATE($B$3,4+1,1))&gt;0,1,0))</f>
        <v/>
      </c>
      <c r="AR95">
        <f>IF($O95="",0,IF(COUNTIFS(업무일지!$F$5:$F$1004,$O95,업무일지!$B$5:$B$1004,"&gt;="&amp;DATE($B$3,5,1),업무일지!$B$5:$B$1004,"&lt;"&amp;DATE($B$3,5+1,1))&gt;0,1,0))</f>
        <v/>
      </c>
      <c r="AS95">
        <f>IF($O95="",0,IF(COUNTIFS(업무일지!$F$5:$F$1004,$O95,업무일지!$B$5:$B$1004,"&gt;="&amp;DATE($B$3,6,1),업무일지!$B$5:$B$1004,"&lt;"&amp;DATE($B$3,6+1,1))&gt;0,1,0))</f>
        <v/>
      </c>
      <c r="AT95">
        <f>IF($O95="",0,IF(COUNTIFS(업무일지!$F$5:$F$1004,$O95,업무일지!$B$5:$B$1004,"&gt;="&amp;DATE($B$3,7,1),업무일지!$B$5:$B$1004,"&lt;"&amp;DATE($B$3,7+1,1))&gt;0,1,0))</f>
        <v/>
      </c>
      <c r="AU95">
        <f>IF($O95="",0,IF(COUNTIFS(업무일지!$F$5:$F$1004,$O95,업무일지!$B$5:$B$1004,"&gt;="&amp;DATE($B$3,8,1),업무일지!$B$5:$B$1004,"&lt;"&amp;DATE($B$3,8+1,1))&gt;0,1,0))</f>
        <v/>
      </c>
      <c r="AV95">
        <f>IF($O95="",0,IF(COUNTIFS(업무일지!$F$5:$F$1004,$O95,업무일지!$B$5:$B$1004,"&gt;="&amp;DATE($B$3,9,1),업무일지!$B$5:$B$1004,"&lt;"&amp;DATE($B$3,9+1,1))&gt;0,1,0))</f>
        <v/>
      </c>
      <c r="AW95">
        <f>IF($O95="",0,IF(COUNTIFS(업무일지!$F$5:$F$1004,$O95,업무일지!$B$5:$B$1004,"&gt;="&amp;DATE($B$3,10,1),업무일지!$B$5:$B$1004,"&lt;"&amp;DATE($B$3,10+1,1))&gt;0,1,0))</f>
        <v/>
      </c>
      <c r="AX95">
        <f>IF($O95="",0,IF(COUNTIFS(업무일지!$F$5:$F$1004,$O95,업무일지!$B$5:$B$1004,"&gt;="&amp;DATE($B$3,11,1),업무일지!$B$5:$B$1004,"&lt;"&amp;DATE($B$3,11+1,1))&gt;0,1,0))</f>
        <v/>
      </c>
      <c r="AY95">
        <f>IF($O95="",0,IF(COUNTIFS(업무일지!$F$5:$F$1004,$O95,업무일지!$B$5:$B$1004,"&gt;="&amp;DATE($B$3,12,1),업무일지!$B$5:$B$1004,"&lt;"&amp;DATE($B$3,12+1,1))&gt;0,1,0))</f>
        <v/>
      </c>
      <c r="AZ95">
        <f>IF($O95="",0,IF(COUNTIFS(업무일지!$F$5:$F$1004,$O95,업무일지!$B$5:$B$1004,"&gt;="&amp;DATE($B$3,1,1),업무일지!$B$5:$B$1004,"&lt;"&amp;DATE($B$3+1,1,1),업무일지!$D$5:$D$1004,"출장")&gt;0,1,0))</f>
        <v/>
      </c>
      <c r="BA95">
        <f>IF($O95="",0,IF(COUNTIFS(업무일지!$F$5:$F$1004,$O95,업무일지!$B$5:$B$1004,"&gt;="&amp;DATE($B$3,1,1),업무일지!$B$5:$B$1004,"&lt;"&amp;DATE($B$3+1,1,1),업무일지!$D$5:$D$1004,"분석")&gt;0,1,0))</f>
        <v/>
      </c>
      <c r="BB95">
        <f>IF($O95="",0,IF(COUNTIFS(업무일지!$F$5:$F$1004,$O95,업무일지!$B$5:$B$1004,"&gt;="&amp;DATE($B$3,1,1),업무일지!$B$5:$B$1004,"&lt;"&amp;DATE($B$3+1,1,1))&gt;0,1,0))</f>
        <v/>
      </c>
      <c r="BD95">
        <f>IF($O95="",0,IF(COUNTIFS(업무일지!$F$5:$F$1004,$O95,업무일지!$B$5:$B$1004,"&gt;="&amp;DATE($B$3,1,1),업무일지!$B$5:$B$1004,"&lt;"&amp;DATE($B$3+1,1,1),업무일지!$AB$5:$AB$1004,$A$44,업무일지!$D$5:$D$1004,"출장")&gt;0,1,0))</f>
        <v/>
      </c>
      <c r="BE95">
        <f>IF($O95="",0,IF(COUNTIFS(업무일지!$F$5:$F$1004,$O95,업무일지!$B$5:$B$1004,"&gt;="&amp;DATE($B$3,1,1),업무일지!$B$5:$B$1004,"&lt;"&amp;DATE($B$3+1,1,1),업무일지!$AB$5:$AB$1004,$A$45,업무일지!$D$5:$D$1004,"출장")&gt;0,1,0))</f>
        <v/>
      </c>
      <c r="BF95">
        <f>IF($O95="",0,IF(COUNTIFS(업무일지!$F$5:$F$1004,$O95,업무일지!$B$5:$B$1004,"&gt;="&amp;DATE($B$3,1,1),업무일지!$B$5:$B$1004,"&lt;"&amp;DATE($B$3+1,1,1),업무일지!$AB$5:$AB$1004,$A$46,업무일지!$D$5:$D$1004,"출장")&gt;0,1,0))</f>
        <v/>
      </c>
      <c r="BG95">
        <f>IF($O95="",0,IF(COUNTIFS(업무일지!$F$5:$F$1004,$O95,업무일지!$B$5:$B$1004,"&gt;="&amp;DATE($B$3,1,1),업무일지!$B$5:$B$1004,"&lt;"&amp;DATE($B$3+1,1,1),업무일지!$AB$5:$AB$1004,$A$47,업무일지!$D$5:$D$1004,"출장")&gt;0,1,0))</f>
        <v/>
      </c>
      <c r="BH95">
        <f>IF($O95="",0,IF(COUNTIFS(업무일지!$F$5:$F$1004,$O95,업무일지!$B$5:$B$1004,"&gt;="&amp;DATE($B$3,1,1),업무일지!$B$5:$B$1004,"&lt;"&amp;DATE($B$3+1,1,1),업무일지!$AB$5:$AB$1004,$A$48,업무일지!$D$5:$D$1004,"출장")&gt;0,1,0))</f>
        <v/>
      </c>
      <c r="BI95">
        <f>IF($O95="",0,IF(COUNTIFS(업무일지!$F$5:$F$1004,$O95,업무일지!$B$5:$B$1004,"&gt;="&amp;DATE($B$3,1,1),업무일지!$B$5:$B$1004,"&lt;"&amp;DATE($B$3+1,1,1),업무일지!$AB$5:$AB$1004,$A$49,업무일지!$D$5:$D$1004,"출장")&gt;0,1,0))</f>
        <v/>
      </c>
      <c r="BJ95">
        <f>IF($O95="",0,IF(COUNTIFS(업무일지!$F$5:$F$1004,$O95,업무일지!$B$5:$B$1004,"&gt;="&amp;DATE($B$3,1,1),업무일지!$B$5:$B$1004,"&lt;"&amp;DATE($B$3+1,1,1),업무일지!$AB$5:$AB$1004,$A$50,업무일지!$D$5:$D$1004,"출장")&gt;0,1,0))</f>
        <v/>
      </c>
      <c r="BK95">
        <f>IF($O95="",0,IF(COUNTIFS(업무일지!$F$5:$F$1004,$O95,업무일지!$B$5:$B$1004,"&gt;="&amp;DATE($B$3,1,1),업무일지!$B$5:$B$1004,"&lt;"&amp;DATE($B$3+1,1,1),업무일지!$AB$5:$AB$1004,$A$51,업무일지!$D$5:$D$1004,"출장")&gt;0,1,0))</f>
        <v/>
      </c>
      <c r="BL95">
        <f>IF($O95="",0,IF(COUNTIFS(업무일지!$F$5:$F$1004,$O95,업무일지!$B$5:$B$1004,"&gt;="&amp;DATE($B$3,1,1),업무일지!$B$5:$B$1004,"&lt;"&amp;DATE($B$3+1,1,1),업무일지!$AB$5:$AB$1004,$A$52,업무일지!$D$5:$D$1004,"출장")&gt;0,1,0))</f>
        <v/>
      </c>
      <c r="BM95">
        <f>IF($O95="",0,IF(COUNTIFS(업무일지!$F$5:$F$1004,$O95,업무일지!$B$5:$B$1004,"&gt;="&amp;DATE($B$3,1,1),업무일지!$B$5:$B$1004,"&lt;"&amp;DATE($B$3+1,1,1),업무일지!$AB$5:$AB$1004,$A$53,업무일지!$D$5:$D$1004,"출장")&gt;0,1,0))</f>
        <v/>
      </c>
      <c r="BO95">
        <f>IF($O95="",0,IF(COUNTIFS(업무일지!$F$5:$F$1004,$O95,업무일지!$B$5:$B$1004,"&gt;="&amp;DATE($B$3,1,1),업무일지!$B$5:$B$1004,"&lt;"&amp;DATE($B$3+1,1,1),업무일지!$AB$5:$AB$1004,$A$44,업무일지!$D$5:$D$1004,"분석")&gt;0,1,0))</f>
        <v/>
      </c>
      <c r="BP95">
        <f>IF($O95="",0,IF(COUNTIFS(업무일지!$F$5:$F$1004,$O95,업무일지!$B$5:$B$1004,"&gt;="&amp;DATE($B$3,1,1),업무일지!$B$5:$B$1004,"&lt;"&amp;DATE($B$3+1,1,1),업무일지!$AB$5:$AB$1004,$A$45,업무일지!$D$5:$D$1004,"분석")&gt;0,1,0))</f>
        <v/>
      </c>
      <c r="BQ95">
        <f>IF($O95="",0,IF(COUNTIFS(업무일지!$F$5:$F$1004,$O95,업무일지!$B$5:$B$1004,"&gt;="&amp;DATE($B$3,1,1),업무일지!$B$5:$B$1004,"&lt;"&amp;DATE($B$3+1,1,1),업무일지!$AB$5:$AB$1004,$A$46,업무일지!$D$5:$D$1004,"분석")&gt;0,1,0))</f>
        <v/>
      </c>
      <c r="BR95">
        <f>IF($O95="",0,IF(COUNTIFS(업무일지!$F$5:$F$1004,$O95,업무일지!$B$5:$B$1004,"&gt;="&amp;DATE($B$3,1,1),업무일지!$B$5:$B$1004,"&lt;"&amp;DATE($B$3+1,1,1),업무일지!$AB$5:$AB$1004,$A$47,업무일지!$D$5:$D$1004,"분석")&gt;0,1,0))</f>
        <v/>
      </c>
      <c r="BS95">
        <f>IF($O95="",0,IF(COUNTIFS(업무일지!$F$5:$F$1004,$O95,업무일지!$B$5:$B$1004,"&gt;="&amp;DATE($B$3,1,1),업무일지!$B$5:$B$1004,"&lt;"&amp;DATE($B$3+1,1,1),업무일지!$AB$5:$AB$1004,$A$48,업무일지!$D$5:$D$1004,"분석")&gt;0,1,0))</f>
        <v/>
      </c>
      <c r="BT95">
        <f>IF($O95="",0,IF(COUNTIFS(업무일지!$F$5:$F$1004,$O95,업무일지!$B$5:$B$1004,"&gt;="&amp;DATE($B$3,1,1),업무일지!$B$5:$B$1004,"&lt;"&amp;DATE($B$3+1,1,1),업무일지!$AB$5:$AB$1004,$A$49,업무일지!$D$5:$D$1004,"분석")&gt;0,1,0))</f>
        <v/>
      </c>
      <c r="BU95">
        <f>IF($O95="",0,IF(COUNTIFS(업무일지!$F$5:$F$1004,$O95,업무일지!$B$5:$B$1004,"&gt;="&amp;DATE($B$3,1,1),업무일지!$B$5:$B$1004,"&lt;"&amp;DATE($B$3+1,1,1),업무일지!$AB$5:$AB$1004,$A$50,업무일지!$D$5:$D$1004,"분석")&gt;0,1,0))</f>
        <v/>
      </c>
      <c r="BV95">
        <f>IF($O95="",0,IF(COUNTIFS(업무일지!$F$5:$F$1004,$O95,업무일지!$B$5:$B$1004,"&gt;="&amp;DATE($B$3,1,1),업무일지!$B$5:$B$1004,"&lt;"&amp;DATE($B$3+1,1,1),업무일지!$AB$5:$AB$1004,$A$51,업무일지!$D$5:$D$1004,"분석")&gt;0,1,0))</f>
        <v/>
      </c>
      <c r="BW95">
        <f>IF($O95="",0,IF(COUNTIFS(업무일지!$F$5:$F$1004,$O95,업무일지!$B$5:$B$1004,"&gt;="&amp;DATE($B$3,1,1),업무일지!$B$5:$B$1004,"&lt;"&amp;DATE($B$3+1,1,1),업무일지!$AB$5:$AB$1004,$A$52,업무일지!$D$5:$D$1004,"분석")&gt;0,1,0))</f>
        <v/>
      </c>
      <c r="BX95">
        <f>IF($O95="",0,IF(COUNTIFS(업무일지!$F$5:$F$1004,$O95,업무일지!$B$5:$B$1004,"&gt;="&amp;DATE($B$3,1,1),업무일지!$B$5:$B$1004,"&lt;"&amp;DATE($B$3+1,1,1),업무일지!$AB$5:$AB$1004,$A$53,업무일지!$D$5:$D$1004,"분석")&gt;0,1,0))</f>
        <v/>
      </c>
      <c r="BZ95">
        <f>IF($O95="",0,IF(COUNTIFS(업무일지!$F$5:$F$1004,$O95,업무일지!$B$5:$B$1004,"&gt;="&amp;DATE($B$3,1,1),업무일지!$B$5:$B$1004,"&lt;"&amp;DATE($B$3+1,1,1),업무일지!$AB$5:$AB$1004,$A$44)&gt;0,1,0))</f>
        <v/>
      </c>
      <c r="CA95">
        <f>IF($O95="",0,IF(COUNTIFS(업무일지!$F$5:$F$1004,$O95,업무일지!$B$5:$B$1004,"&gt;="&amp;DATE($B$3,1,1),업무일지!$B$5:$B$1004,"&lt;"&amp;DATE($B$3+1,1,1),업무일지!$AB$5:$AB$1004,$A$45)&gt;0,1,0))</f>
        <v/>
      </c>
      <c r="CB95">
        <f>IF($O95="",0,IF(COUNTIFS(업무일지!$F$5:$F$1004,$O95,업무일지!$B$5:$B$1004,"&gt;="&amp;DATE($B$3,1,1),업무일지!$B$5:$B$1004,"&lt;"&amp;DATE($B$3+1,1,1),업무일지!$AB$5:$AB$1004,$A$46)&gt;0,1,0))</f>
        <v/>
      </c>
      <c r="CC95">
        <f>IF($O95="",0,IF(COUNTIFS(업무일지!$F$5:$F$1004,$O95,업무일지!$B$5:$B$1004,"&gt;="&amp;DATE($B$3,1,1),업무일지!$B$5:$B$1004,"&lt;"&amp;DATE($B$3+1,1,1),업무일지!$AB$5:$AB$1004,$A$47)&gt;0,1,0))</f>
        <v/>
      </c>
      <c r="CD95">
        <f>IF($O95="",0,IF(COUNTIFS(업무일지!$F$5:$F$1004,$O95,업무일지!$B$5:$B$1004,"&gt;="&amp;DATE($B$3,1,1),업무일지!$B$5:$B$1004,"&lt;"&amp;DATE($B$3+1,1,1),업무일지!$AB$5:$AB$1004,$A$48)&gt;0,1,0))</f>
        <v/>
      </c>
      <c r="CE95">
        <f>IF($O95="",0,IF(COUNTIFS(업무일지!$F$5:$F$1004,$O95,업무일지!$B$5:$B$1004,"&gt;="&amp;DATE($B$3,1,1),업무일지!$B$5:$B$1004,"&lt;"&amp;DATE($B$3+1,1,1),업무일지!$AB$5:$AB$1004,$A$49)&gt;0,1,0))</f>
        <v/>
      </c>
      <c r="CF95">
        <f>IF($O95="",0,IF(COUNTIFS(업무일지!$F$5:$F$1004,$O95,업무일지!$B$5:$B$1004,"&gt;="&amp;DATE($B$3,1,1),업무일지!$B$5:$B$1004,"&lt;"&amp;DATE($B$3+1,1,1),업무일지!$AB$5:$AB$1004,$A$50)&gt;0,1,0))</f>
        <v/>
      </c>
      <c r="CG95">
        <f>IF($O95="",0,IF(COUNTIFS(업무일지!$F$5:$F$1004,$O95,업무일지!$B$5:$B$1004,"&gt;="&amp;DATE($B$3,1,1),업무일지!$B$5:$B$1004,"&lt;"&amp;DATE($B$3+1,1,1),업무일지!$AB$5:$AB$1004,$A$51)&gt;0,1,0))</f>
        <v/>
      </c>
      <c r="CH95">
        <f>IF($O95="",0,IF(COUNTIFS(업무일지!$F$5:$F$1004,$O95,업무일지!$B$5:$B$1004,"&gt;="&amp;DATE($B$3,1,1),업무일지!$B$5:$B$1004,"&lt;"&amp;DATE($B$3+1,1,1),업무일지!$AB$5:$AB$1004,$A$52)&gt;0,1,0))</f>
        <v/>
      </c>
      <c r="CI95">
        <f>IF($O95="",0,IF(COUNTIFS(업무일지!$F$5:$F$1004,$O95,업무일지!$B$5:$B$1004,"&gt;="&amp;DATE($B$3,1,1),업무일지!$B$5:$B$1004,"&lt;"&amp;DATE($B$3+1,1,1),업무일지!$AB$5:$AB$1004,$A$53)&gt;0,1,0))</f>
        <v/>
      </c>
    </row>
    <row r="96">
      <c r="O96">
        <f>IF(사건마스터!$A16="","",사건마스터!$A16)</f>
        <v/>
      </c>
      <c r="P96">
        <f>IF($O96="",0,IF(COUNTIFS(업무일지!$F$5:$F$1004,$O96,업무일지!$B$5:$B$1004,"&gt;="&amp;DATE($B$3,1,1),업무일지!$B$5:$B$1004,"&lt;"&amp;DATE($B$3,1+1,1),업무일지!$D$5:$D$1004,"출장")&gt;0,1,0))</f>
        <v/>
      </c>
      <c r="Q96">
        <f>IF($O96="",0,IF(COUNTIFS(업무일지!$F$5:$F$1004,$O96,업무일지!$B$5:$B$1004,"&gt;="&amp;DATE($B$3,2,1),업무일지!$B$5:$B$1004,"&lt;"&amp;DATE($B$3,2+1,1),업무일지!$D$5:$D$1004,"출장")&gt;0,1,0))</f>
        <v/>
      </c>
      <c r="R96">
        <f>IF($O96="",0,IF(COUNTIFS(업무일지!$F$5:$F$1004,$O96,업무일지!$B$5:$B$1004,"&gt;="&amp;DATE($B$3,3,1),업무일지!$B$5:$B$1004,"&lt;"&amp;DATE($B$3,3+1,1),업무일지!$D$5:$D$1004,"출장")&gt;0,1,0))</f>
        <v/>
      </c>
      <c r="S96">
        <f>IF($O96="",0,IF(COUNTIFS(업무일지!$F$5:$F$1004,$O96,업무일지!$B$5:$B$1004,"&gt;="&amp;DATE($B$3,4,1),업무일지!$B$5:$B$1004,"&lt;"&amp;DATE($B$3,4+1,1),업무일지!$D$5:$D$1004,"출장")&gt;0,1,0))</f>
        <v/>
      </c>
      <c r="T96">
        <f>IF($O96="",0,IF(COUNTIFS(업무일지!$F$5:$F$1004,$O96,업무일지!$B$5:$B$1004,"&gt;="&amp;DATE($B$3,5,1),업무일지!$B$5:$B$1004,"&lt;"&amp;DATE($B$3,5+1,1),업무일지!$D$5:$D$1004,"출장")&gt;0,1,0))</f>
        <v/>
      </c>
      <c r="U96">
        <f>IF($O96="",0,IF(COUNTIFS(업무일지!$F$5:$F$1004,$O96,업무일지!$B$5:$B$1004,"&gt;="&amp;DATE($B$3,6,1),업무일지!$B$5:$B$1004,"&lt;"&amp;DATE($B$3,6+1,1),업무일지!$D$5:$D$1004,"출장")&gt;0,1,0))</f>
        <v/>
      </c>
      <c r="V96">
        <f>IF($O96="",0,IF(COUNTIFS(업무일지!$F$5:$F$1004,$O96,업무일지!$B$5:$B$1004,"&gt;="&amp;DATE($B$3,7,1),업무일지!$B$5:$B$1004,"&lt;"&amp;DATE($B$3,7+1,1),업무일지!$D$5:$D$1004,"출장")&gt;0,1,0))</f>
        <v/>
      </c>
      <c r="W96">
        <f>IF($O96="",0,IF(COUNTIFS(업무일지!$F$5:$F$1004,$O96,업무일지!$B$5:$B$1004,"&gt;="&amp;DATE($B$3,8,1),업무일지!$B$5:$B$1004,"&lt;"&amp;DATE($B$3,8+1,1),업무일지!$D$5:$D$1004,"출장")&gt;0,1,0))</f>
        <v/>
      </c>
      <c r="X96">
        <f>IF($O96="",0,IF(COUNTIFS(업무일지!$F$5:$F$1004,$O96,업무일지!$B$5:$B$1004,"&gt;="&amp;DATE($B$3,9,1),업무일지!$B$5:$B$1004,"&lt;"&amp;DATE($B$3,9+1,1),업무일지!$D$5:$D$1004,"출장")&gt;0,1,0))</f>
        <v/>
      </c>
      <c r="Y96">
        <f>IF($O96="",0,IF(COUNTIFS(업무일지!$F$5:$F$1004,$O96,업무일지!$B$5:$B$1004,"&gt;="&amp;DATE($B$3,10,1),업무일지!$B$5:$B$1004,"&lt;"&amp;DATE($B$3,10+1,1),업무일지!$D$5:$D$1004,"출장")&gt;0,1,0))</f>
        <v/>
      </c>
      <c r="Z96">
        <f>IF($O96="",0,IF(COUNTIFS(업무일지!$F$5:$F$1004,$O96,업무일지!$B$5:$B$1004,"&gt;="&amp;DATE($B$3,11,1),업무일지!$B$5:$B$1004,"&lt;"&amp;DATE($B$3,11+1,1),업무일지!$D$5:$D$1004,"출장")&gt;0,1,0))</f>
        <v/>
      </c>
      <c r="AA96">
        <f>IF($O96="",0,IF(COUNTIFS(업무일지!$F$5:$F$1004,$O96,업무일지!$B$5:$B$1004,"&gt;="&amp;DATE($B$3,12,1),업무일지!$B$5:$B$1004,"&lt;"&amp;DATE($B$3,12+1,1),업무일지!$D$5:$D$1004,"출장")&gt;0,1,0))</f>
        <v/>
      </c>
      <c r="AB96">
        <f>IF($O96="",0,IF(COUNTIFS(업무일지!$F$5:$F$1004,$O96,업무일지!$B$5:$B$1004,"&gt;="&amp;DATE($B$3,1,1),업무일지!$B$5:$B$1004,"&lt;"&amp;DATE($B$3,1+1,1),업무일지!$D$5:$D$1004,"분석")&gt;0,1,0))</f>
        <v/>
      </c>
      <c r="AC96">
        <f>IF($O96="",0,IF(COUNTIFS(업무일지!$F$5:$F$1004,$O96,업무일지!$B$5:$B$1004,"&gt;="&amp;DATE($B$3,2,1),업무일지!$B$5:$B$1004,"&lt;"&amp;DATE($B$3,2+1,1),업무일지!$D$5:$D$1004,"분석")&gt;0,1,0))</f>
        <v/>
      </c>
      <c r="AD96">
        <f>IF($O96="",0,IF(COUNTIFS(업무일지!$F$5:$F$1004,$O96,업무일지!$B$5:$B$1004,"&gt;="&amp;DATE($B$3,3,1),업무일지!$B$5:$B$1004,"&lt;"&amp;DATE($B$3,3+1,1),업무일지!$D$5:$D$1004,"분석")&gt;0,1,0))</f>
        <v/>
      </c>
      <c r="AE96">
        <f>IF($O96="",0,IF(COUNTIFS(업무일지!$F$5:$F$1004,$O96,업무일지!$B$5:$B$1004,"&gt;="&amp;DATE($B$3,4,1),업무일지!$B$5:$B$1004,"&lt;"&amp;DATE($B$3,4+1,1),업무일지!$D$5:$D$1004,"분석")&gt;0,1,0))</f>
        <v/>
      </c>
      <c r="AF96">
        <f>IF($O96="",0,IF(COUNTIFS(업무일지!$F$5:$F$1004,$O96,업무일지!$B$5:$B$1004,"&gt;="&amp;DATE($B$3,5,1),업무일지!$B$5:$B$1004,"&lt;"&amp;DATE($B$3,5+1,1),업무일지!$D$5:$D$1004,"분석")&gt;0,1,0))</f>
        <v/>
      </c>
      <c r="AG96">
        <f>IF($O96="",0,IF(COUNTIFS(업무일지!$F$5:$F$1004,$O96,업무일지!$B$5:$B$1004,"&gt;="&amp;DATE($B$3,6,1),업무일지!$B$5:$B$1004,"&lt;"&amp;DATE($B$3,6+1,1),업무일지!$D$5:$D$1004,"분석")&gt;0,1,0))</f>
        <v/>
      </c>
      <c r="AH96">
        <f>IF($O96="",0,IF(COUNTIFS(업무일지!$F$5:$F$1004,$O96,업무일지!$B$5:$B$1004,"&gt;="&amp;DATE($B$3,7,1),업무일지!$B$5:$B$1004,"&lt;"&amp;DATE($B$3,7+1,1),업무일지!$D$5:$D$1004,"분석")&gt;0,1,0))</f>
        <v/>
      </c>
      <c r="AI96">
        <f>IF($O96="",0,IF(COUNTIFS(업무일지!$F$5:$F$1004,$O96,업무일지!$B$5:$B$1004,"&gt;="&amp;DATE($B$3,8,1),업무일지!$B$5:$B$1004,"&lt;"&amp;DATE($B$3,8+1,1),업무일지!$D$5:$D$1004,"분석")&gt;0,1,0))</f>
        <v/>
      </c>
      <c r="AJ96">
        <f>IF($O96="",0,IF(COUNTIFS(업무일지!$F$5:$F$1004,$O96,업무일지!$B$5:$B$1004,"&gt;="&amp;DATE($B$3,9,1),업무일지!$B$5:$B$1004,"&lt;"&amp;DATE($B$3,9+1,1),업무일지!$D$5:$D$1004,"분석")&gt;0,1,0))</f>
        <v/>
      </c>
      <c r="AK96">
        <f>IF($O96="",0,IF(COUNTIFS(업무일지!$F$5:$F$1004,$O96,업무일지!$B$5:$B$1004,"&gt;="&amp;DATE($B$3,10,1),업무일지!$B$5:$B$1004,"&lt;"&amp;DATE($B$3,10+1,1),업무일지!$D$5:$D$1004,"분석")&gt;0,1,0))</f>
        <v/>
      </c>
      <c r="AL96">
        <f>IF($O96="",0,IF(COUNTIFS(업무일지!$F$5:$F$1004,$O96,업무일지!$B$5:$B$1004,"&gt;="&amp;DATE($B$3,11,1),업무일지!$B$5:$B$1004,"&lt;"&amp;DATE($B$3,11+1,1),업무일지!$D$5:$D$1004,"분석")&gt;0,1,0))</f>
        <v/>
      </c>
      <c r="AM96">
        <f>IF($O96="",0,IF(COUNTIFS(업무일지!$F$5:$F$1004,$O96,업무일지!$B$5:$B$1004,"&gt;="&amp;DATE($B$3,12,1),업무일지!$B$5:$B$1004,"&lt;"&amp;DATE($B$3,12+1,1),업무일지!$D$5:$D$1004,"분석")&gt;0,1,0))</f>
        <v/>
      </c>
      <c r="AN96">
        <f>IF($O96="",0,IF(COUNTIFS(업무일지!$F$5:$F$1004,$O96,업무일지!$B$5:$B$1004,"&gt;="&amp;DATE($B$3,1,1),업무일지!$B$5:$B$1004,"&lt;"&amp;DATE($B$3,1+1,1))&gt;0,1,0))</f>
        <v/>
      </c>
      <c r="AO96">
        <f>IF($O96="",0,IF(COUNTIFS(업무일지!$F$5:$F$1004,$O96,업무일지!$B$5:$B$1004,"&gt;="&amp;DATE($B$3,2,1),업무일지!$B$5:$B$1004,"&lt;"&amp;DATE($B$3,2+1,1))&gt;0,1,0))</f>
        <v/>
      </c>
      <c r="AP96">
        <f>IF($O96="",0,IF(COUNTIFS(업무일지!$F$5:$F$1004,$O96,업무일지!$B$5:$B$1004,"&gt;="&amp;DATE($B$3,3,1),업무일지!$B$5:$B$1004,"&lt;"&amp;DATE($B$3,3+1,1))&gt;0,1,0))</f>
        <v/>
      </c>
      <c r="AQ96">
        <f>IF($O96="",0,IF(COUNTIFS(업무일지!$F$5:$F$1004,$O96,업무일지!$B$5:$B$1004,"&gt;="&amp;DATE($B$3,4,1),업무일지!$B$5:$B$1004,"&lt;"&amp;DATE($B$3,4+1,1))&gt;0,1,0))</f>
        <v/>
      </c>
      <c r="AR96">
        <f>IF($O96="",0,IF(COUNTIFS(업무일지!$F$5:$F$1004,$O96,업무일지!$B$5:$B$1004,"&gt;="&amp;DATE($B$3,5,1),업무일지!$B$5:$B$1004,"&lt;"&amp;DATE($B$3,5+1,1))&gt;0,1,0))</f>
        <v/>
      </c>
      <c r="AS96">
        <f>IF($O96="",0,IF(COUNTIFS(업무일지!$F$5:$F$1004,$O96,업무일지!$B$5:$B$1004,"&gt;="&amp;DATE($B$3,6,1),업무일지!$B$5:$B$1004,"&lt;"&amp;DATE($B$3,6+1,1))&gt;0,1,0))</f>
        <v/>
      </c>
      <c r="AT96">
        <f>IF($O96="",0,IF(COUNTIFS(업무일지!$F$5:$F$1004,$O96,업무일지!$B$5:$B$1004,"&gt;="&amp;DATE($B$3,7,1),업무일지!$B$5:$B$1004,"&lt;"&amp;DATE($B$3,7+1,1))&gt;0,1,0))</f>
        <v/>
      </c>
      <c r="AU96">
        <f>IF($O96="",0,IF(COUNTIFS(업무일지!$F$5:$F$1004,$O96,업무일지!$B$5:$B$1004,"&gt;="&amp;DATE($B$3,8,1),업무일지!$B$5:$B$1004,"&lt;"&amp;DATE($B$3,8+1,1))&gt;0,1,0))</f>
        <v/>
      </c>
      <c r="AV96">
        <f>IF($O96="",0,IF(COUNTIFS(업무일지!$F$5:$F$1004,$O96,업무일지!$B$5:$B$1004,"&gt;="&amp;DATE($B$3,9,1),업무일지!$B$5:$B$1004,"&lt;"&amp;DATE($B$3,9+1,1))&gt;0,1,0))</f>
        <v/>
      </c>
      <c r="AW96">
        <f>IF($O96="",0,IF(COUNTIFS(업무일지!$F$5:$F$1004,$O96,업무일지!$B$5:$B$1004,"&gt;="&amp;DATE($B$3,10,1),업무일지!$B$5:$B$1004,"&lt;"&amp;DATE($B$3,10+1,1))&gt;0,1,0))</f>
        <v/>
      </c>
      <c r="AX96">
        <f>IF($O96="",0,IF(COUNTIFS(업무일지!$F$5:$F$1004,$O96,업무일지!$B$5:$B$1004,"&gt;="&amp;DATE($B$3,11,1),업무일지!$B$5:$B$1004,"&lt;"&amp;DATE($B$3,11+1,1))&gt;0,1,0))</f>
        <v/>
      </c>
      <c r="AY96">
        <f>IF($O96="",0,IF(COUNTIFS(업무일지!$F$5:$F$1004,$O96,업무일지!$B$5:$B$1004,"&gt;="&amp;DATE($B$3,12,1),업무일지!$B$5:$B$1004,"&lt;"&amp;DATE($B$3,12+1,1))&gt;0,1,0))</f>
        <v/>
      </c>
      <c r="AZ96">
        <f>IF($O96="",0,IF(COUNTIFS(업무일지!$F$5:$F$1004,$O96,업무일지!$B$5:$B$1004,"&gt;="&amp;DATE($B$3,1,1),업무일지!$B$5:$B$1004,"&lt;"&amp;DATE($B$3+1,1,1),업무일지!$D$5:$D$1004,"출장")&gt;0,1,0))</f>
        <v/>
      </c>
      <c r="BA96">
        <f>IF($O96="",0,IF(COUNTIFS(업무일지!$F$5:$F$1004,$O96,업무일지!$B$5:$B$1004,"&gt;="&amp;DATE($B$3,1,1),업무일지!$B$5:$B$1004,"&lt;"&amp;DATE($B$3+1,1,1),업무일지!$D$5:$D$1004,"분석")&gt;0,1,0))</f>
        <v/>
      </c>
      <c r="BB96">
        <f>IF($O96="",0,IF(COUNTIFS(업무일지!$F$5:$F$1004,$O96,업무일지!$B$5:$B$1004,"&gt;="&amp;DATE($B$3,1,1),업무일지!$B$5:$B$1004,"&lt;"&amp;DATE($B$3+1,1,1))&gt;0,1,0))</f>
        <v/>
      </c>
      <c r="BD96">
        <f>IF($O96="",0,IF(COUNTIFS(업무일지!$F$5:$F$1004,$O96,업무일지!$B$5:$B$1004,"&gt;="&amp;DATE($B$3,1,1),업무일지!$B$5:$B$1004,"&lt;"&amp;DATE($B$3+1,1,1),업무일지!$AB$5:$AB$1004,$A$44,업무일지!$D$5:$D$1004,"출장")&gt;0,1,0))</f>
        <v/>
      </c>
      <c r="BE96">
        <f>IF($O96="",0,IF(COUNTIFS(업무일지!$F$5:$F$1004,$O96,업무일지!$B$5:$B$1004,"&gt;="&amp;DATE($B$3,1,1),업무일지!$B$5:$B$1004,"&lt;"&amp;DATE($B$3+1,1,1),업무일지!$AB$5:$AB$1004,$A$45,업무일지!$D$5:$D$1004,"출장")&gt;0,1,0))</f>
        <v/>
      </c>
      <c r="BF96">
        <f>IF($O96="",0,IF(COUNTIFS(업무일지!$F$5:$F$1004,$O96,업무일지!$B$5:$B$1004,"&gt;="&amp;DATE($B$3,1,1),업무일지!$B$5:$B$1004,"&lt;"&amp;DATE($B$3+1,1,1),업무일지!$AB$5:$AB$1004,$A$46,업무일지!$D$5:$D$1004,"출장")&gt;0,1,0))</f>
        <v/>
      </c>
      <c r="BG96">
        <f>IF($O96="",0,IF(COUNTIFS(업무일지!$F$5:$F$1004,$O96,업무일지!$B$5:$B$1004,"&gt;="&amp;DATE($B$3,1,1),업무일지!$B$5:$B$1004,"&lt;"&amp;DATE($B$3+1,1,1),업무일지!$AB$5:$AB$1004,$A$47,업무일지!$D$5:$D$1004,"출장")&gt;0,1,0))</f>
        <v/>
      </c>
      <c r="BH96">
        <f>IF($O96="",0,IF(COUNTIFS(업무일지!$F$5:$F$1004,$O96,업무일지!$B$5:$B$1004,"&gt;="&amp;DATE($B$3,1,1),업무일지!$B$5:$B$1004,"&lt;"&amp;DATE($B$3+1,1,1),업무일지!$AB$5:$AB$1004,$A$48,업무일지!$D$5:$D$1004,"출장")&gt;0,1,0))</f>
        <v/>
      </c>
      <c r="BI96">
        <f>IF($O96="",0,IF(COUNTIFS(업무일지!$F$5:$F$1004,$O96,업무일지!$B$5:$B$1004,"&gt;="&amp;DATE($B$3,1,1),업무일지!$B$5:$B$1004,"&lt;"&amp;DATE($B$3+1,1,1),업무일지!$AB$5:$AB$1004,$A$49,업무일지!$D$5:$D$1004,"출장")&gt;0,1,0))</f>
        <v/>
      </c>
      <c r="BJ96">
        <f>IF($O96="",0,IF(COUNTIFS(업무일지!$F$5:$F$1004,$O96,업무일지!$B$5:$B$1004,"&gt;="&amp;DATE($B$3,1,1),업무일지!$B$5:$B$1004,"&lt;"&amp;DATE($B$3+1,1,1),업무일지!$AB$5:$AB$1004,$A$50,업무일지!$D$5:$D$1004,"출장")&gt;0,1,0))</f>
        <v/>
      </c>
      <c r="BK96">
        <f>IF($O96="",0,IF(COUNTIFS(업무일지!$F$5:$F$1004,$O96,업무일지!$B$5:$B$1004,"&gt;="&amp;DATE($B$3,1,1),업무일지!$B$5:$B$1004,"&lt;"&amp;DATE($B$3+1,1,1),업무일지!$AB$5:$AB$1004,$A$51,업무일지!$D$5:$D$1004,"출장")&gt;0,1,0))</f>
        <v/>
      </c>
      <c r="BL96">
        <f>IF($O96="",0,IF(COUNTIFS(업무일지!$F$5:$F$1004,$O96,업무일지!$B$5:$B$1004,"&gt;="&amp;DATE($B$3,1,1),업무일지!$B$5:$B$1004,"&lt;"&amp;DATE($B$3+1,1,1),업무일지!$AB$5:$AB$1004,$A$52,업무일지!$D$5:$D$1004,"출장")&gt;0,1,0))</f>
        <v/>
      </c>
      <c r="BM96">
        <f>IF($O96="",0,IF(COUNTIFS(업무일지!$F$5:$F$1004,$O96,업무일지!$B$5:$B$1004,"&gt;="&amp;DATE($B$3,1,1),업무일지!$B$5:$B$1004,"&lt;"&amp;DATE($B$3+1,1,1),업무일지!$AB$5:$AB$1004,$A$53,업무일지!$D$5:$D$1004,"출장")&gt;0,1,0))</f>
        <v/>
      </c>
      <c r="BO96">
        <f>IF($O96="",0,IF(COUNTIFS(업무일지!$F$5:$F$1004,$O96,업무일지!$B$5:$B$1004,"&gt;="&amp;DATE($B$3,1,1),업무일지!$B$5:$B$1004,"&lt;"&amp;DATE($B$3+1,1,1),업무일지!$AB$5:$AB$1004,$A$44,업무일지!$D$5:$D$1004,"분석")&gt;0,1,0))</f>
        <v/>
      </c>
      <c r="BP96">
        <f>IF($O96="",0,IF(COUNTIFS(업무일지!$F$5:$F$1004,$O96,업무일지!$B$5:$B$1004,"&gt;="&amp;DATE($B$3,1,1),업무일지!$B$5:$B$1004,"&lt;"&amp;DATE($B$3+1,1,1),업무일지!$AB$5:$AB$1004,$A$45,업무일지!$D$5:$D$1004,"분석")&gt;0,1,0))</f>
        <v/>
      </c>
      <c r="BQ96">
        <f>IF($O96="",0,IF(COUNTIFS(업무일지!$F$5:$F$1004,$O96,업무일지!$B$5:$B$1004,"&gt;="&amp;DATE($B$3,1,1),업무일지!$B$5:$B$1004,"&lt;"&amp;DATE($B$3+1,1,1),업무일지!$AB$5:$AB$1004,$A$46,업무일지!$D$5:$D$1004,"분석")&gt;0,1,0))</f>
        <v/>
      </c>
      <c r="BR96">
        <f>IF($O96="",0,IF(COUNTIFS(업무일지!$F$5:$F$1004,$O96,업무일지!$B$5:$B$1004,"&gt;="&amp;DATE($B$3,1,1),업무일지!$B$5:$B$1004,"&lt;"&amp;DATE($B$3+1,1,1),업무일지!$AB$5:$AB$1004,$A$47,업무일지!$D$5:$D$1004,"분석")&gt;0,1,0))</f>
        <v/>
      </c>
      <c r="BS96">
        <f>IF($O96="",0,IF(COUNTIFS(업무일지!$F$5:$F$1004,$O96,업무일지!$B$5:$B$1004,"&gt;="&amp;DATE($B$3,1,1),업무일지!$B$5:$B$1004,"&lt;"&amp;DATE($B$3+1,1,1),업무일지!$AB$5:$AB$1004,$A$48,업무일지!$D$5:$D$1004,"분석")&gt;0,1,0))</f>
        <v/>
      </c>
      <c r="BT96">
        <f>IF($O96="",0,IF(COUNTIFS(업무일지!$F$5:$F$1004,$O96,업무일지!$B$5:$B$1004,"&gt;="&amp;DATE($B$3,1,1),업무일지!$B$5:$B$1004,"&lt;"&amp;DATE($B$3+1,1,1),업무일지!$AB$5:$AB$1004,$A$49,업무일지!$D$5:$D$1004,"분석")&gt;0,1,0))</f>
        <v/>
      </c>
      <c r="BU96">
        <f>IF($O96="",0,IF(COUNTIFS(업무일지!$F$5:$F$1004,$O96,업무일지!$B$5:$B$1004,"&gt;="&amp;DATE($B$3,1,1),업무일지!$B$5:$B$1004,"&lt;"&amp;DATE($B$3+1,1,1),업무일지!$AB$5:$AB$1004,$A$50,업무일지!$D$5:$D$1004,"분석")&gt;0,1,0))</f>
        <v/>
      </c>
      <c r="BV96">
        <f>IF($O96="",0,IF(COUNTIFS(업무일지!$F$5:$F$1004,$O96,업무일지!$B$5:$B$1004,"&gt;="&amp;DATE($B$3,1,1),업무일지!$B$5:$B$1004,"&lt;"&amp;DATE($B$3+1,1,1),업무일지!$AB$5:$AB$1004,$A$51,업무일지!$D$5:$D$1004,"분석")&gt;0,1,0))</f>
        <v/>
      </c>
      <c r="BW96">
        <f>IF($O96="",0,IF(COUNTIFS(업무일지!$F$5:$F$1004,$O96,업무일지!$B$5:$B$1004,"&gt;="&amp;DATE($B$3,1,1),업무일지!$B$5:$B$1004,"&lt;"&amp;DATE($B$3+1,1,1),업무일지!$AB$5:$AB$1004,$A$52,업무일지!$D$5:$D$1004,"분석")&gt;0,1,0))</f>
        <v/>
      </c>
      <c r="BX96">
        <f>IF($O96="",0,IF(COUNTIFS(업무일지!$F$5:$F$1004,$O96,업무일지!$B$5:$B$1004,"&gt;="&amp;DATE($B$3,1,1),업무일지!$B$5:$B$1004,"&lt;"&amp;DATE($B$3+1,1,1),업무일지!$AB$5:$AB$1004,$A$53,업무일지!$D$5:$D$1004,"분석")&gt;0,1,0))</f>
        <v/>
      </c>
      <c r="BZ96">
        <f>IF($O96="",0,IF(COUNTIFS(업무일지!$F$5:$F$1004,$O96,업무일지!$B$5:$B$1004,"&gt;="&amp;DATE($B$3,1,1),업무일지!$B$5:$B$1004,"&lt;"&amp;DATE($B$3+1,1,1),업무일지!$AB$5:$AB$1004,$A$44)&gt;0,1,0))</f>
        <v/>
      </c>
      <c r="CA96">
        <f>IF($O96="",0,IF(COUNTIFS(업무일지!$F$5:$F$1004,$O96,업무일지!$B$5:$B$1004,"&gt;="&amp;DATE($B$3,1,1),업무일지!$B$5:$B$1004,"&lt;"&amp;DATE($B$3+1,1,1),업무일지!$AB$5:$AB$1004,$A$45)&gt;0,1,0))</f>
        <v/>
      </c>
      <c r="CB96">
        <f>IF($O96="",0,IF(COUNTIFS(업무일지!$F$5:$F$1004,$O96,업무일지!$B$5:$B$1004,"&gt;="&amp;DATE($B$3,1,1),업무일지!$B$5:$B$1004,"&lt;"&amp;DATE($B$3+1,1,1),업무일지!$AB$5:$AB$1004,$A$46)&gt;0,1,0))</f>
        <v/>
      </c>
      <c r="CC96">
        <f>IF($O96="",0,IF(COUNTIFS(업무일지!$F$5:$F$1004,$O96,업무일지!$B$5:$B$1004,"&gt;="&amp;DATE($B$3,1,1),업무일지!$B$5:$B$1004,"&lt;"&amp;DATE($B$3+1,1,1),업무일지!$AB$5:$AB$1004,$A$47)&gt;0,1,0))</f>
        <v/>
      </c>
      <c r="CD96">
        <f>IF($O96="",0,IF(COUNTIFS(업무일지!$F$5:$F$1004,$O96,업무일지!$B$5:$B$1004,"&gt;="&amp;DATE($B$3,1,1),업무일지!$B$5:$B$1004,"&lt;"&amp;DATE($B$3+1,1,1),업무일지!$AB$5:$AB$1004,$A$48)&gt;0,1,0))</f>
        <v/>
      </c>
      <c r="CE96">
        <f>IF($O96="",0,IF(COUNTIFS(업무일지!$F$5:$F$1004,$O96,업무일지!$B$5:$B$1004,"&gt;="&amp;DATE($B$3,1,1),업무일지!$B$5:$B$1004,"&lt;"&amp;DATE($B$3+1,1,1),업무일지!$AB$5:$AB$1004,$A$49)&gt;0,1,0))</f>
        <v/>
      </c>
      <c r="CF96">
        <f>IF($O96="",0,IF(COUNTIFS(업무일지!$F$5:$F$1004,$O96,업무일지!$B$5:$B$1004,"&gt;="&amp;DATE($B$3,1,1),업무일지!$B$5:$B$1004,"&lt;"&amp;DATE($B$3+1,1,1),업무일지!$AB$5:$AB$1004,$A$50)&gt;0,1,0))</f>
        <v/>
      </c>
      <c r="CG96">
        <f>IF($O96="",0,IF(COUNTIFS(업무일지!$F$5:$F$1004,$O96,업무일지!$B$5:$B$1004,"&gt;="&amp;DATE($B$3,1,1),업무일지!$B$5:$B$1004,"&lt;"&amp;DATE($B$3+1,1,1),업무일지!$AB$5:$AB$1004,$A$51)&gt;0,1,0))</f>
        <v/>
      </c>
      <c r="CH96">
        <f>IF($O96="",0,IF(COUNTIFS(업무일지!$F$5:$F$1004,$O96,업무일지!$B$5:$B$1004,"&gt;="&amp;DATE($B$3,1,1),업무일지!$B$5:$B$1004,"&lt;"&amp;DATE($B$3+1,1,1),업무일지!$AB$5:$AB$1004,$A$52)&gt;0,1,0))</f>
        <v/>
      </c>
      <c r="CI96">
        <f>IF($O96="",0,IF(COUNTIFS(업무일지!$F$5:$F$1004,$O96,업무일지!$B$5:$B$1004,"&gt;="&amp;DATE($B$3,1,1),업무일지!$B$5:$B$1004,"&lt;"&amp;DATE($B$3+1,1,1),업무일지!$AB$5:$AB$1004,$A$53)&gt;0,1,0))</f>
        <v/>
      </c>
    </row>
    <row r="97">
      <c r="O97">
        <f>IF(사건마스터!$A17="","",사건마스터!$A17)</f>
        <v/>
      </c>
      <c r="P97">
        <f>IF($O97="",0,IF(COUNTIFS(업무일지!$F$5:$F$1004,$O97,업무일지!$B$5:$B$1004,"&gt;="&amp;DATE($B$3,1,1),업무일지!$B$5:$B$1004,"&lt;"&amp;DATE($B$3,1+1,1),업무일지!$D$5:$D$1004,"출장")&gt;0,1,0))</f>
        <v/>
      </c>
      <c r="Q97">
        <f>IF($O97="",0,IF(COUNTIFS(업무일지!$F$5:$F$1004,$O97,업무일지!$B$5:$B$1004,"&gt;="&amp;DATE($B$3,2,1),업무일지!$B$5:$B$1004,"&lt;"&amp;DATE($B$3,2+1,1),업무일지!$D$5:$D$1004,"출장")&gt;0,1,0))</f>
        <v/>
      </c>
      <c r="R97">
        <f>IF($O97="",0,IF(COUNTIFS(업무일지!$F$5:$F$1004,$O97,업무일지!$B$5:$B$1004,"&gt;="&amp;DATE($B$3,3,1),업무일지!$B$5:$B$1004,"&lt;"&amp;DATE($B$3,3+1,1),업무일지!$D$5:$D$1004,"출장")&gt;0,1,0))</f>
        <v/>
      </c>
      <c r="S97">
        <f>IF($O97="",0,IF(COUNTIFS(업무일지!$F$5:$F$1004,$O97,업무일지!$B$5:$B$1004,"&gt;="&amp;DATE($B$3,4,1),업무일지!$B$5:$B$1004,"&lt;"&amp;DATE($B$3,4+1,1),업무일지!$D$5:$D$1004,"출장")&gt;0,1,0))</f>
        <v/>
      </c>
      <c r="T97">
        <f>IF($O97="",0,IF(COUNTIFS(업무일지!$F$5:$F$1004,$O97,업무일지!$B$5:$B$1004,"&gt;="&amp;DATE($B$3,5,1),업무일지!$B$5:$B$1004,"&lt;"&amp;DATE($B$3,5+1,1),업무일지!$D$5:$D$1004,"출장")&gt;0,1,0))</f>
        <v/>
      </c>
      <c r="U97">
        <f>IF($O97="",0,IF(COUNTIFS(업무일지!$F$5:$F$1004,$O97,업무일지!$B$5:$B$1004,"&gt;="&amp;DATE($B$3,6,1),업무일지!$B$5:$B$1004,"&lt;"&amp;DATE($B$3,6+1,1),업무일지!$D$5:$D$1004,"출장")&gt;0,1,0))</f>
        <v/>
      </c>
      <c r="V97">
        <f>IF($O97="",0,IF(COUNTIFS(업무일지!$F$5:$F$1004,$O97,업무일지!$B$5:$B$1004,"&gt;="&amp;DATE($B$3,7,1),업무일지!$B$5:$B$1004,"&lt;"&amp;DATE($B$3,7+1,1),업무일지!$D$5:$D$1004,"출장")&gt;0,1,0))</f>
        <v/>
      </c>
      <c r="W97">
        <f>IF($O97="",0,IF(COUNTIFS(업무일지!$F$5:$F$1004,$O97,업무일지!$B$5:$B$1004,"&gt;="&amp;DATE($B$3,8,1),업무일지!$B$5:$B$1004,"&lt;"&amp;DATE($B$3,8+1,1),업무일지!$D$5:$D$1004,"출장")&gt;0,1,0))</f>
        <v/>
      </c>
      <c r="X97">
        <f>IF($O97="",0,IF(COUNTIFS(업무일지!$F$5:$F$1004,$O97,업무일지!$B$5:$B$1004,"&gt;="&amp;DATE($B$3,9,1),업무일지!$B$5:$B$1004,"&lt;"&amp;DATE($B$3,9+1,1),업무일지!$D$5:$D$1004,"출장")&gt;0,1,0))</f>
        <v/>
      </c>
      <c r="Y97">
        <f>IF($O97="",0,IF(COUNTIFS(업무일지!$F$5:$F$1004,$O97,업무일지!$B$5:$B$1004,"&gt;="&amp;DATE($B$3,10,1),업무일지!$B$5:$B$1004,"&lt;"&amp;DATE($B$3,10+1,1),업무일지!$D$5:$D$1004,"출장")&gt;0,1,0))</f>
        <v/>
      </c>
      <c r="Z97">
        <f>IF($O97="",0,IF(COUNTIFS(업무일지!$F$5:$F$1004,$O97,업무일지!$B$5:$B$1004,"&gt;="&amp;DATE($B$3,11,1),업무일지!$B$5:$B$1004,"&lt;"&amp;DATE($B$3,11+1,1),업무일지!$D$5:$D$1004,"출장")&gt;0,1,0))</f>
        <v/>
      </c>
      <c r="AA97">
        <f>IF($O97="",0,IF(COUNTIFS(업무일지!$F$5:$F$1004,$O97,업무일지!$B$5:$B$1004,"&gt;="&amp;DATE($B$3,12,1),업무일지!$B$5:$B$1004,"&lt;"&amp;DATE($B$3,12+1,1),업무일지!$D$5:$D$1004,"출장")&gt;0,1,0))</f>
        <v/>
      </c>
      <c r="AB97">
        <f>IF($O97="",0,IF(COUNTIFS(업무일지!$F$5:$F$1004,$O97,업무일지!$B$5:$B$1004,"&gt;="&amp;DATE($B$3,1,1),업무일지!$B$5:$B$1004,"&lt;"&amp;DATE($B$3,1+1,1),업무일지!$D$5:$D$1004,"분석")&gt;0,1,0))</f>
        <v/>
      </c>
      <c r="AC97">
        <f>IF($O97="",0,IF(COUNTIFS(업무일지!$F$5:$F$1004,$O97,업무일지!$B$5:$B$1004,"&gt;="&amp;DATE($B$3,2,1),업무일지!$B$5:$B$1004,"&lt;"&amp;DATE($B$3,2+1,1),업무일지!$D$5:$D$1004,"분석")&gt;0,1,0))</f>
        <v/>
      </c>
      <c r="AD97">
        <f>IF($O97="",0,IF(COUNTIFS(업무일지!$F$5:$F$1004,$O97,업무일지!$B$5:$B$1004,"&gt;="&amp;DATE($B$3,3,1),업무일지!$B$5:$B$1004,"&lt;"&amp;DATE($B$3,3+1,1),업무일지!$D$5:$D$1004,"분석")&gt;0,1,0))</f>
        <v/>
      </c>
      <c r="AE97">
        <f>IF($O97="",0,IF(COUNTIFS(업무일지!$F$5:$F$1004,$O97,업무일지!$B$5:$B$1004,"&gt;="&amp;DATE($B$3,4,1),업무일지!$B$5:$B$1004,"&lt;"&amp;DATE($B$3,4+1,1),업무일지!$D$5:$D$1004,"분석")&gt;0,1,0))</f>
        <v/>
      </c>
      <c r="AF97">
        <f>IF($O97="",0,IF(COUNTIFS(업무일지!$F$5:$F$1004,$O97,업무일지!$B$5:$B$1004,"&gt;="&amp;DATE($B$3,5,1),업무일지!$B$5:$B$1004,"&lt;"&amp;DATE($B$3,5+1,1),업무일지!$D$5:$D$1004,"분석")&gt;0,1,0))</f>
        <v/>
      </c>
      <c r="AG97">
        <f>IF($O97="",0,IF(COUNTIFS(업무일지!$F$5:$F$1004,$O97,업무일지!$B$5:$B$1004,"&gt;="&amp;DATE($B$3,6,1),업무일지!$B$5:$B$1004,"&lt;"&amp;DATE($B$3,6+1,1),업무일지!$D$5:$D$1004,"분석")&gt;0,1,0))</f>
        <v/>
      </c>
      <c r="AH97">
        <f>IF($O97="",0,IF(COUNTIFS(업무일지!$F$5:$F$1004,$O97,업무일지!$B$5:$B$1004,"&gt;="&amp;DATE($B$3,7,1),업무일지!$B$5:$B$1004,"&lt;"&amp;DATE($B$3,7+1,1),업무일지!$D$5:$D$1004,"분석")&gt;0,1,0))</f>
        <v/>
      </c>
      <c r="AI97">
        <f>IF($O97="",0,IF(COUNTIFS(업무일지!$F$5:$F$1004,$O97,업무일지!$B$5:$B$1004,"&gt;="&amp;DATE($B$3,8,1),업무일지!$B$5:$B$1004,"&lt;"&amp;DATE($B$3,8+1,1),업무일지!$D$5:$D$1004,"분석")&gt;0,1,0))</f>
        <v/>
      </c>
      <c r="AJ97">
        <f>IF($O97="",0,IF(COUNTIFS(업무일지!$F$5:$F$1004,$O97,업무일지!$B$5:$B$1004,"&gt;="&amp;DATE($B$3,9,1),업무일지!$B$5:$B$1004,"&lt;"&amp;DATE($B$3,9+1,1),업무일지!$D$5:$D$1004,"분석")&gt;0,1,0))</f>
        <v/>
      </c>
      <c r="AK97">
        <f>IF($O97="",0,IF(COUNTIFS(업무일지!$F$5:$F$1004,$O97,업무일지!$B$5:$B$1004,"&gt;="&amp;DATE($B$3,10,1),업무일지!$B$5:$B$1004,"&lt;"&amp;DATE($B$3,10+1,1),업무일지!$D$5:$D$1004,"분석")&gt;0,1,0))</f>
        <v/>
      </c>
      <c r="AL97">
        <f>IF($O97="",0,IF(COUNTIFS(업무일지!$F$5:$F$1004,$O97,업무일지!$B$5:$B$1004,"&gt;="&amp;DATE($B$3,11,1),업무일지!$B$5:$B$1004,"&lt;"&amp;DATE($B$3,11+1,1),업무일지!$D$5:$D$1004,"분석")&gt;0,1,0))</f>
        <v/>
      </c>
      <c r="AM97">
        <f>IF($O97="",0,IF(COUNTIFS(업무일지!$F$5:$F$1004,$O97,업무일지!$B$5:$B$1004,"&gt;="&amp;DATE($B$3,12,1),업무일지!$B$5:$B$1004,"&lt;"&amp;DATE($B$3,12+1,1),업무일지!$D$5:$D$1004,"분석")&gt;0,1,0))</f>
        <v/>
      </c>
      <c r="AN97">
        <f>IF($O97="",0,IF(COUNTIFS(업무일지!$F$5:$F$1004,$O97,업무일지!$B$5:$B$1004,"&gt;="&amp;DATE($B$3,1,1),업무일지!$B$5:$B$1004,"&lt;"&amp;DATE($B$3,1+1,1))&gt;0,1,0))</f>
        <v/>
      </c>
      <c r="AO97">
        <f>IF($O97="",0,IF(COUNTIFS(업무일지!$F$5:$F$1004,$O97,업무일지!$B$5:$B$1004,"&gt;="&amp;DATE($B$3,2,1),업무일지!$B$5:$B$1004,"&lt;"&amp;DATE($B$3,2+1,1))&gt;0,1,0))</f>
        <v/>
      </c>
      <c r="AP97">
        <f>IF($O97="",0,IF(COUNTIFS(업무일지!$F$5:$F$1004,$O97,업무일지!$B$5:$B$1004,"&gt;="&amp;DATE($B$3,3,1),업무일지!$B$5:$B$1004,"&lt;"&amp;DATE($B$3,3+1,1))&gt;0,1,0))</f>
        <v/>
      </c>
      <c r="AQ97">
        <f>IF($O97="",0,IF(COUNTIFS(업무일지!$F$5:$F$1004,$O97,업무일지!$B$5:$B$1004,"&gt;="&amp;DATE($B$3,4,1),업무일지!$B$5:$B$1004,"&lt;"&amp;DATE($B$3,4+1,1))&gt;0,1,0))</f>
        <v/>
      </c>
      <c r="AR97">
        <f>IF($O97="",0,IF(COUNTIFS(업무일지!$F$5:$F$1004,$O97,업무일지!$B$5:$B$1004,"&gt;="&amp;DATE($B$3,5,1),업무일지!$B$5:$B$1004,"&lt;"&amp;DATE($B$3,5+1,1))&gt;0,1,0))</f>
        <v/>
      </c>
      <c r="AS97">
        <f>IF($O97="",0,IF(COUNTIFS(업무일지!$F$5:$F$1004,$O97,업무일지!$B$5:$B$1004,"&gt;="&amp;DATE($B$3,6,1),업무일지!$B$5:$B$1004,"&lt;"&amp;DATE($B$3,6+1,1))&gt;0,1,0))</f>
        <v/>
      </c>
      <c r="AT97">
        <f>IF($O97="",0,IF(COUNTIFS(업무일지!$F$5:$F$1004,$O97,업무일지!$B$5:$B$1004,"&gt;="&amp;DATE($B$3,7,1),업무일지!$B$5:$B$1004,"&lt;"&amp;DATE($B$3,7+1,1))&gt;0,1,0))</f>
        <v/>
      </c>
      <c r="AU97">
        <f>IF($O97="",0,IF(COUNTIFS(업무일지!$F$5:$F$1004,$O97,업무일지!$B$5:$B$1004,"&gt;="&amp;DATE($B$3,8,1),업무일지!$B$5:$B$1004,"&lt;"&amp;DATE($B$3,8+1,1))&gt;0,1,0))</f>
        <v/>
      </c>
      <c r="AV97">
        <f>IF($O97="",0,IF(COUNTIFS(업무일지!$F$5:$F$1004,$O97,업무일지!$B$5:$B$1004,"&gt;="&amp;DATE($B$3,9,1),업무일지!$B$5:$B$1004,"&lt;"&amp;DATE($B$3,9+1,1))&gt;0,1,0))</f>
        <v/>
      </c>
      <c r="AW97">
        <f>IF($O97="",0,IF(COUNTIFS(업무일지!$F$5:$F$1004,$O97,업무일지!$B$5:$B$1004,"&gt;="&amp;DATE($B$3,10,1),업무일지!$B$5:$B$1004,"&lt;"&amp;DATE($B$3,10+1,1))&gt;0,1,0))</f>
        <v/>
      </c>
      <c r="AX97">
        <f>IF($O97="",0,IF(COUNTIFS(업무일지!$F$5:$F$1004,$O97,업무일지!$B$5:$B$1004,"&gt;="&amp;DATE($B$3,11,1),업무일지!$B$5:$B$1004,"&lt;"&amp;DATE($B$3,11+1,1))&gt;0,1,0))</f>
        <v/>
      </c>
      <c r="AY97">
        <f>IF($O97="",0,IF(COUNTIFS(업무일지!$F$5:$F$1004,$O97,업무일지!$B$5:$B$1004,"&gt;="&amp;DATE($B$3,12,1),업무일지!$B$5:$B$1004,"&lt;"&amp;DATE($B$3,12+1,1))&gt;0,1,0))</f>
        <v/>
      </c>
      <c r="AZ97">
        <f>IF($O97="",0,IF(COUNTIFS(업무일지!$F$5:$F$1004,$O97,업무일지!$B$5:$B$1004,"&gt;="&amp;DATE($B$3,1,1),업무일지!$B$5:$B$1004,"&lt;"&amp;DATE($B$3+1,1,1),업무일지!$D$5:$D$1004,"출장")&gt;0,1,0))</f>
        <v/>
      </c>
      <c r="BA97">
        <f>IF($O97="",0,IF(COUNTIFS(업무일지!$F$5:$F$1004,$O97,업무일지!$B$5:$B$1004,"&gt;="&amp;DATE($B$3,1,1),업무일지!$B$5:$B$1004,"&lt;"&amp;DATE($B$3+1,1,1),업무일지!$D$5:$D$1004,"분석")&gt;0,1,0))</f>
        <v/>
      </c>
      <c r="BB97">
        <f>IF($O97="",0,IF(COUNTIFS(업무일지!$F$5:$F$1004,$O97,업무일지!$B$5:$B$1004,"&gt;="&amp;DATE($B$3,1,1),업무일지!$B$5:$B$1004,"&lt;"&amp;DATE($B$3+1,1,1))&gt;0,1,0))</f>
        <v/>
      </c>
      <c r="BD97">
        <f>IF($O97="",0,IF(COUNTIFS(업무일지!$F$5:$F$1004,$O97,업무일지!$B$5:$B$1004,"&gt;="&amp;DATE($B$3,1,1),업무일지!$B$5:$B$1004,"&lt;"&amp;DATE($B$3+1,1,1),업무일지!$AB$5:$AB$1004,$A$44,업무일지!$D$5:$D$1004,"출장")&gt;0,1,0))</f>
        <v/>
      </c>
      <c r="BE97">
        <f>IF($O97="",0,IF(COUNTIFS(업무일지!$F$5:$F$1004,$O97,업무일지!$B$5:$B$1004,"&gt;="&amp;DATE($B$3,1,1),업무일지!$B$5:$B$1004,"&lt;"&amp;DATE($B$3+1,1,1),업무일지!$AB$5:$AB$1004,$A$45,업무일지!$D$5:$D$1004,"출장")&gt;0,1,0))</f>
        <v/>
      </c>
      <c r="BF97">
        <f>IF($O97="",0,IF(COUNTIFS(업무일지!$F$5:$F$1004,$O97,업무일지!$B$5:$B$1004,"&gt;="&amp;DATE($B$3,1,1),업무일지!$B$5:$B$1004,"&lt;"&amp;DATE($B$3+1,1,1),업무일지!$AB$5:$AB$1004,$A$46,업무일지!$D$5:$D$1004,"출장")&gt;0,1,0))</f>
        <v/>
      </c>
      <c r="BG97">
        <f>IF($O97="",0,IF(COUNTIFS(업무일지!$F$5:$F$1004,$O97,업무일지!$B$5:$B$1004,"&gt;="&amp;DATE($B$3,1,1),업무일지!$B$5:$B$1004,"&lt;"&amp;DATE($B$3+1,1,1),업무일지!$AB$5:$AB$1004,$A$47,업무일지!$D$5:$D$1004,"출장")&gt;0,1,0))</f>
        <v/>
      </c>
      <c r="BH97">
        <f>IF($O97="",0,IF(COUNTIFS(업무일지!$F$5:$F$1004,$O97,업무일지!$B$5:$B$1004,"&gt;="&amp;DATE($B$3,1,1),업무일지!$B$5:$B$1004,"&lt;"&amp;DATE($B$3+1,1,1),업무일지!$AB$5:$AB$1004,$A$48,업무일지!$D$5:$D$1004,"출장")&gt;0,1,0))</f>
        <v/>
      </c>
      <c r="BI97">
        <f>IF($O97="",0,IF(COUNTIFS(업무일지!$F$5:$F$1004,$O97,업무일지!$B$5:$B$1004,"&gt;="&amp;DATE($B$3,1,1),업무일지!$B$5:$B$1004,"&lt;"&amp;DATE($B$3+1,1,1),업무일지!$AB$5:$AB$1004,$A$49,업무일지!$D$5:$D$1004,"출장")&gt;0,1,0))</f>
        <v/>
      </c>
      <c r="BJ97">
        <f>IF($O97="",0,IF(COUNTIFS(업무일지!$F$5:$F$1004,$O97,업무일지!$B$5:$B$1004,"&gt;="&amp;DATE($B$3,1,1),업무일지!$B$5:$B$1004,"&lt;"&amp;DATE($B$3+1,1,1),업무일지!$AB$5:$AB$1004,$A$50,업무일지!$D$5:$D$1004,"출장")&gt;0,1,0))</f>
        <v/>
      </c>
      <c r="BK97">
        <f>IF($O97="",0,IF(COUNTIFS(업무일지!$F$5:$F$1004,$O97,업무일지!$B$5:$B$1004,"&gt;="&amp;DATE($B$3,1,1),업무일지!$B$5:$B$1004,"&lt;"&amp;DATE($B$3+1,1,1),업무일지!$AB$5:$AB$1004,$A$51,업무일지!$D$5:$D$1004,"출장")&gt;0,1,0))</f>
        <v/>
      </c>
      <c r="BL97">
        <f>IF($O97="",0,IF(COUNTIFS(업무일지!$F$5:$F$1004,$O97,업무일지!$B$5:$B$1004,"&gt;="&amp;DATE($B$3,1,1),업무일지!$B$5:$B$1004,"&lt;"&amp;DATE($B$3+1,1,1),업무일지!$AB$5:$AB$1004,$A$52,업무일지!$D$5:$D$1004,"출장")&gt;0,1,0))</f>
        <v/>
      </c>
      <c r="BM97">
        <f>IF($O97="",0,IF(COUNTIFS(업무일지!$F$5:$F$1004,$O97,업무일지!$B$5:$B$1004,"&gt;="&amp;DATE($B$3,1,1),업무일지!$B$5:$B$1004,"&lt;"&amp;DATE($B$3+1,1,1),업무일지!$AB$5:$AB$1004,$A$53,업무일지!$D$5:$D$1004,"출장")&gt;0,1,0))</f>
        <v/>
      </c>
      <c r="BO97">
        <f>IF($O97="",0,IF(COUNTIFS(업무일지!$F$5:$F$1004,$O97,업무일지!$B$5:$B$1004,"&gt;="&amp;DATE($B$3,1,1),업무일지!$B$5:$B$1004,"&lt;"&amp;DATE($B$3+1,1,1),업무일지!$AB$5:$AB$1004,$A$44,업무일지!$D$5:$D$1004,"분석")&gt;0,1,0))</f>
        <v/>
      </c>
      <c r="BP97">
        <f>IF($O97="",0,IF(COUNTIFS(업무일지!$F$5:$F$1004,$O97,업무일지!$B$5:$B$1004,"&gt;="&amp;DATE($B$3,1,1),업무일지!$B$5:$B$1004,"&lt;"&amp;DATE($B$3+1,1,1),업무일지!$AB$5:$AB$1004,$A$45,업무일지!$D$5:$D$1004,"분석")&gt;0,1,0))</f>
        <v/>
      </c>
      <c r="BQ97">
        <f>IF($O97="",0,IF(COUNTIFS(업무일지!$F$5:$F$1004,$O97,업무일지!$B$5:$B$1004,"&gt;="&amp;DATE($B$3,1,1),업무일지!$B$5:$B$1004,"&lt;"&amp;DATE($B$3+1,1,1),업무일지!$AB$5:$AB$1004,$A$46,업무일지!$D$5:$D$1004,"분석")&gt;0,1,0))</f>
        <v/>
      </c>
      <c r="BR97">
        <f>IF($O97="",0,IF(COUNTIFS(업무일지!$F$5:$F$1004,$O97,업무일지!$B$5:$B$1004,"&gt;="&amp;DATE($B$3,1,1),업무일지!$B$5:$B$1004,"&lt;"&amp;DATE($B$3+1,1,1),업무일지!$AB$5:$AB$1004,$A$47,업무일지!$D$5:$D$1004,"분석")&gt;0,1,0))</f>
        <v/>
      </c>
      <c r="BS97">
        <f>IF($O97="",0,IF(COUNTIFS(업무일지!$F$5:$F$1004,$O97,업무일지!$B$5:$B$1004,"&gt;="&amp;DATE($B$3,1,1),업무일지!$B$5:$B$1004,"&lt;"&amp;DATE($B$3+1,1,1),업무일지!$AB$5:$AB$1004,$A$48,업무일지!$D$5:$D$1004,"분석")&gt;0,1,0))</f>
        <v/>
      </c>
      <c r="BT97">
        <f>IF($O97="",0,IF(COUNTIFS(업무일지!$F$5:$F$1004,$O97,업무일지!$B$5:$B$1004,"&gt;="&amp;DATE($B$3,1,1),업무일지!$B$5:$B$1004,"&lt;"&amp;DATE($B$3+1,1,1),업무일지!$AB$5:$AB$1004,$A$49,업무일지!$D$5:$D$1004,"분석")&gt;0,1,0))</f>
        <v/>
      </c>
      <c r="BU97">
        <f>IF($O97="",0,IF(COUNTIFS(업무일지!$F$5:$F$1004,$O97,업무일지!$B$5:$B$1004,"&gt;="&amp;DATE($B$3,1,1),업무일지!$B$5:$B$1004,"&lt;"&amp;DATE($B$3+1,1,1),업무일지!$AB$5:$AB$1004,$A$50,업무일지!$D$5:$D$1004,"분석")&gt;0,1,0))</f>
        <v/>
      </c>
      <c r="BV97">
        <f>IF($O97="",0,IF(COUNTIFS(업무일지!$F$5:$F$1004,$O97,업무일지!$B$5:$B$1004,"&gt;="&amp;DATE($B$3,1,1),업무일지!$B$5:$B$1004,"&lt;"&amp;DATE($B$3+1,1,1),업무일지!$AB$5:$AB$1004,$A$51,업무일지!$D$5:$D$1004,"분석")&gt;0,1,0))</f>
        <v/>
      </c>
      <c r="BW97">
        <f>IF($O97="",0,IF(COUNTIFS(업무일지!$F$5:$F$1004,$O97,업무일지!$B$5:$B$1004,"&gt;="&amp;DATE($B$3,1,1),업무일지!$B$5:$B$1004,"&lt;"&amp;DATE($B$3+1,1,1),업무일지!$AB$5:$AB$1004,$A$52,업무일지!$D$5:$D$1004,"분석")&gt;0,1,0))</f>
        <v/>
      </c>
      <c r="BX97">
        <f>IF($O97="",0,IF(COUNTIFS(업무일지!$F$5:$F$1004,$O97,업무일지!$B$5:$B$1004,"&gt;="&amp;DATE($B$3,1,1),업무일지!$B$5:$B$1004,"&lt;"&amp;DATE($B$3+1,1,1),업무일지!$AB$5:$AB$1004,$A$53,업무일지!$D$5:$D$1004,"분석")&gt;0,1,0))</f>
        <v/>
      </c>
      <c r="BZ97">
        <f>IF($O97="",0,IF(COUNTIFS(업무일지!$F$5:$F$1004,$O97,업무일지!$B$5:$B$1004,"&gt;="&amp;DATE($B$3,1,1),업무일지!$B$5:$B$1004,"&lt;"&amp;DATE($B$3+1,1,1),업무일지!$AB$5:$AB$1004,$A$44)&gt;0,1,0))</f>
        <v/>
      </c>
      <c r="CA97">
        <f>IF($O97="",0,IF(COUNTIFS(업무일지!$F$5:$F$1004,$O97,업무일지!$B$5:$B$1004,"&gt;="&amp;DATE($B$3,1,1),업무일지!$B$5:$B$1004,"&lt;"&amp;DATE($B$3+1,1,1),업무일지!$AB$5:$AB$1004,$A$45)&gt;0,1,0))</f>
        <v/>
      </c>
      <c r="CB97">
        <f>IF($O97="",0,IF(COUNTIFS(업무일지!$F$5:$F$1004,$O97,업무일지!$B$5:$B$1004,"&gt;="&amp;DATE($B$3,1,1),업무일지!$B$5:$B$1004,"&lt;"&amp;DATE($B$3+1,1,1),업무일지!$AB$5:$AB$1004,$A$46)&gt;0,1,0))</f>
        <v/>
      </c>
      <c r="CC97">
        <f>IF($O97="",0,IF(COUNTIFS(업무일지!$F$5:$F$1004,$O97,업무일지!$B$5:$B$1004,"&gt;="&amp;DATE($B$3,1,1),업무일지!$B$5:$B$1004,"&lt;"&amp;DATE($B$3+1,1,1),업무일지!$AB$5:$AB$1004,$A$47)&gt;0,1,0))</f>
        <v/>
      </c>
      <c r="CD97">
        <f>IF($O97="",0,IF(COUNTIFS(업무일지!$F$5:$F$1004,$O97,업무일지!$B$5:$B$1004,"&gt;="&amp;DATE($B$3,1,1),업무일지!$B$5:$B$1004,"&lt;"&amp;DATE($B$3+1,1,1),업무일지!$AB$5:$AB$1004,$A$48)&gt;0,1,0))</f>
        <v/>
      </c>
      <c r="CE97">
        <f>IF($O97="",0,IF(COUNTIFS(업무일지!$F$5:$F$1004,$O97,업무일지!$B$5:$B$1004,"&gt;="&amp;DATE($B$3,1,1),업무일지!$B$5:$B$1004,"&lt;"&amp;DATE($B$3+1,1,1),업무일지!$AB$5:$AB$1004,$A$49)&gt;0,1,0))</f>
        <v/>
      </c>
      <c r="CF97">
        <f>IF($O97="",0,IF(COUNTIFS(업무일지!$F$5:$F$1004,$O97,업무일지!$B$5:$B$1004,"&gt;="&amp;DATE($B$3,1,1),업무일지!$B$5:$B$1004,"&lt;"&amp;DATE($B$3+1,1,1),업무일지!$AB$5:$AB$1004,$A$50)&gt;0,1,0))</f>
        <v/>
      </c>
      <c r="CG97">
        <f>IF($O97="",0,IF(COUNTIFS(업무일지!$F$5:$F$1004,$O97,업무일지!$B$5:$B$1004,"&gt;="&amp;DATE($B$3,1,1),업무일지!$B$5:$B$1004,"&lt;"&amp;DATE($B$3+1,1,1),업무일지!$AB$5:$AB$1004,$A$51)&gt;0,1,0))</f>
        <v/>
      </c>
      <c r="CH97">
        <f>IF($O97="",0,IF(COUNTIFS(업무일지!$F$5:$F$1004,$O97,업무일지!$B$5:$B$1004,"&gt;="&amp;DATE($B$3,1,1),업무일지!$B$5:$B$1004,"&lt;"&amp;DATE($B$3+1,1,1),업무일지!$AB$5:$AB$1004,$A$52)&gt;0,1,0))</f>
        <v/>
      </c>
      <c r="CI97">
        <f>IF($O97="",0,IF(COUNTIFS(업무일지!$F$5:$F$1004,$O97,업무일지!$B$5:$B$1004,"&gt;="&amp;DATE($B$3,1,1),업무일지!$B$5:$B$1004,"&lt;"&amp;DATE($B$3+1,1,1),업무일지!$AB$5:$AB$1004,$A$53)&gt;0,1,0))</f>
        <v/>
      </c>
    </row>
    <row r="98">
      <c r="O98">
        <f>IF(사건마스터!$A18="","",사건마스터!$A18)</f>
        <v/>
      </c>
      <c r="P98">
        <f>IF($O98="",0,IF(COUNTIFS(업무일지!$F$5:$F$1004,$O98,업무일지!$B$5:$B$1004,"&gt;="&amp;DATE($B$3,1,1),업무일지!$B$5:$B$1004,"&lt;"&amp;DATE($B$3,1+1,1),업무일지!$D$5:$D$1004,"출장")&gt;0,1,0))</f>
        <v/>
      </c>
      <c r="Q98">
        <f>IF($O98="",0,IF(COUNTIFS(업무일지!$F$5:$F$1004,$O98,업무일지!$B$5:$B$1004,"&gt;="&amp;DATE($B$3,2,1),업무일지!$B$5:$B$1004,"&lt;"&amp;DATE($B$3,2+1,1),업무일지!$D$5:$D$1004,"출장")&gt;0,1,0))</f>
        <v/>
      </c>
      <c r="R98">
        <f>IF($O98="",0,IF(COUNTIFS(업무일지!$F$5:$F$1004,$O98,업무일지!$B$5:$B$1004,"&gt;="&amp;DATE($B$3,3,1),업무일지!$B$5:$B$1004,"&lt;"&amp;DATE($B$3,3+1,1),업무일지!$D$5:$D$1004,"출장")&gt;0,1,0))</f>
        <v/>
      </c>
      <c r="S98">
        <f>IF($O98="",0,IF(COUNTIFS(업무일지!$F$5:$F$1004,$O98,업무일지!$B$5:$B$1004,"&gt;="&amp;DATE($B$3,4,1),업무일지!$B$5:$B$1004,"&lt;"&amp;DATE($B$3,4+1,1),업무일지!$D$5:$D$1004,"출장")&gt;0,1,0))</f>
        <v/>
      </c>
      <c r="T98">
        <f>IF($O98="",0,IF(COUNTIFS(업무일지!$F$5:$F$1004,$O98,업무일지!$B$5:$B$1004,"&gt;="&amp;DATE($B$3,5,1),업무일지!$B$5:$B$1004,"&lt;"&amp;DATE($B$3,5+1,1),업무일지!$D$5:$D$1004,"출장")&gt;0,1,0))</f>
        <v/>
      </c>
      <c r="U98">
        <f>IF($O98="",0,IF(COUNTIFS(업무일지!$F$5:$F$1004,$O98,업무일지!$B$5:$B$1004,"&gt;="&amp;DATE($B$3,6,1),업무일지!$B$5:$B$1004,"&lt;"&amp;DATE($B$3,6+1,1),업무일지!$D$5:$D$1004,"출장")&gt;0,1,0))</f>
        <v/>
      </c>
      <c r="V98">
        <f>IF($O98="",0,IF(COUNTIFS(업무일지!$F$5:$F$1004,$O98,업무일지!$B$5:$B$1004,"&gt;="&amp;DATE($B$3,7,1),업무일지!$B$5:$B$1004,"&lt;"&amp;DATE($B$3,7+1,1),업무일지!$D$5:$D$1004,"출장")&gt;0,1,0))</f>
        <v/>
      </c>
      <c r="W98">
        <f>IF($O98="",0,IF(COUNTIFS(업무일지!$F$5:$F$1004,$O98,업무일지!$B$5:$B$1004,"&gt;="&amp;DATE($B$3,8,1),업무일지!$B$5:$B$1004,"&lt;"&amp;DATE($B$3,8+1,1),업무일지!$D$5:$D$1004,"출장")&gt;0,1,0))</f>
        <v/>
      </c>
      <c r="X98">
        <f>IF($O98="",0,IF(COUNTIFS(업무일지!$F$5:$F$1004,$O98,업무일지!$B$5:$B$1004,"&gt;="&amp;DATE($B$3,9,1),업무일지!$B$5:$B$1004,"&lt;"&amp;DATE($B$3,9+1,1),업무일지!$D$5:$D$1004,"출장")&gt;0,1,0))</f>
        <v/>
      </c>
      <c r="Y98">
        <f>IF($O98="",0,IF(COUNTIFS(업무일지!$F$5:$F$1004,$O98,업무일지!$B$5:$B$1004,"&gt;="&amp;DATE($B$3,10,1),업무일지!$B$5:$B$1004,"&lt;"&amp;DATE($B$3,10+1,1),업무일지!$D$5:$D$1004,"출장")&gt;0,1,0))</f>
        <v/>
      </c>
      <c r="Z98">
        <f>IF($O98="",0,IF(COUNTIFS(업무일지!$F$5:$F$1004,$O98,업무일지!$B$5:$B$1004,"&gt;="&amp;DATE($B$3,11,1),업무일지!$B$5:$B$1004,"&lt;"&amp;DATE($B$3,11+1,1),업무일지!$D$5:$D$1004,"출장")&gt;0,1,0))</f>
        <v/>
      </c>
      <c r="AA98">
        <f>IF($O98="",0,IF(COUNTIFS(업무일지!$F$5:$F$1004,$O98,업무일지!$B$5:$B$1004,"&gt;="&amp;DATE($B$3,12,1),업무일지!$B$5:$B$1004,"&lt;"&amp;DATE($B$3,12+1,1),업무일지!$D$5:$D$1004,"출장")&gt;0,1,0))</f>
        <v/>
      </c>
      <c r="AB98">
        <f>IF($O98="",0,IF(COUNTIFS(업무일지!$F$5:$F$1004,$O98,업무일지!$B$5:$B$1004,"&gt;="&amp;DATE($B$3,1,1),업무일지!$B$5:$B$1004,"&lt;"&amp;DATE($B$3,1+1,1),업무일지!$D$5:$D$1004,"분석")&gt;0,1,0))</f>
        <v/>
      </c>
      <c r="AC98">
        <f>IF($O98="",0,IF(COUNTIFS(업무일지!$F$5:$F$1004,$O98,업무일지!$B$5:$B$1004,"&gt;="&amp;DATE($B$3,2,1),업무일지!$B$5:$B$1004,"&lt;"&amp;DATE($B$3,2+1,1),업무일지!$D$5:$D$1004,"분석")&gt;0,1,0))</f>
        <v/>
      </c>
      <c r="AD98">
        <f>IF($O98="",0,IF(COUNTIFS(업무일지!$F$5:$F$1004,$O98,업무일지!$B$5:$B$1004,"&gt;="&amp;DATE($B$3,3,1),업무일지!$B$5:$B$1004,"&lt;"&amp;DATE($B$3,3+1,1),업무일지!$D$5:$D$1004,"분석")&gt;0,1,0))</f>
        <v/>
      </c>
      <c r="AE98">
        <f>IF($O98="",0,IF(COUNTIFS(업무일지!$F$5:$F$1004,$O98,업무일지!$B$5:$B$1004,"&gt;="&amp;DATE($B$3,4,1),업무일지!$B$5:$B$1004,"&lt;"&amp;DATE($B$3,4+1,1),업무일지!$D$5:$D$1004,"분석")&gt;0,1,0))</f>
        <v/>
      </c>
      <c r="AF98">
        <f>IF($O98="",0,IF(COUNTIFS(업무일지!$F$5:$F$1004,$O98,업무일지!$B$5:$B$1004,"&gt;="&amp;DATE($B$3,5,1),업무일지!$B$5:$B$1004,"&lt;"&amp;DATE($B$3,5+1,1),업무일지!$D$5:$D$1004,"분석")&gt;0,1,0))</f>
        <v/>
      </c>
      <c r="AG98">
        <f>IF($O98="",0,IF(COUNTIFS(업무일지!$F$5:$F$1004,$O98,업무일지!$B$5:$B$1004,"&gt;="&amp;DATE($B$3,6,1),업무일지!$B$5:$B$1004,"&lt;"&amp;DATE($B$3,6+1,1),업무일지!$D$5:$D$1004,"분석")&gt;0,1,0))</f>
        <v/>
      </c>
      <c r="AH98">
        <f>IF($O98="",0,IF(COUNTIFS(업무일지!$F$5:$F$1004,$O98,업무일지!$B$5:$B$1004,"&gt;="&amp;DATE($B$3,7,1),업무일지!$B$5:$B$1004,"&lt;"&amp;DATE($B$3,7+1,1),업무일지!$D$5:$D$1004,"분석")&gt;0,1,0))</f>
        <v/>
      </c>
      <c r="AI98">
        <f>IF($O98="",0,IF(COUNTIFS(업무일지!$F$5:$F$1004,$O98,업무일지!$B$5:$B$1004,"&gt;="&amp;DATE($B$3,8,1),업무일지!$B$5:$B$1004,"&lt;"&amp;DATE($B$3,8+1,1),업무일지!$D$5:$D$1004,"분석")&gt;0,1,0))</f>
        <v/>
      </c>
      <c r="AJ98">
        <f>IF($O98="",0,IF(COUNTIFS(업무일지!$F$5:$F$1004,$O98,업무일지!$B$5:$B$1004,"&gt;="&amp;DATE($B$3,9,1),업무일지!$B$5:$B$1004,"&lt;"&amp;DATE($B$3,9+1,1),업무일지!$D$5:$D$1004,"분석")&gt;0,1,0))</f>
        <v/>
      </c>
      <c r="AK98">
        <f>IF($O98="",0,IF(COUNTIFS(업무일지!$F$5:$F$1004,$O98,업무일지!$B$5:$B$1004,"&gt;="&amp;DATE($B$3,10,1),업무일지!$B$5:$B$1004,"&lt;"&amp;DATE($B$3,10+1,1),업무일지!$D$5:$D$1004,"분석")&gt;0,1,0))</f>
        <v/>
      </c>
      <c r="AL98">
        <f>IF($O98="",0,IF(COUNTIFS(업무일지!$F$5:$F$1004,$O98,업무일지!$B$5:$B$1004,"&gt;="&amp;DATE($B$3,11,1),업무일지!$B$5:$B$1004,"&lt;"&amp;DATE($B$3,11+1,1),업무일지!$D$5:$D$1004,"분석")&gt;0,1,0))</f>
        <v/>
      </c>
      <c r="AM98">
        <f>IF($O98="",0,IF(COUNTIFS(업무일지!$F$5:$F$1004,$O98,업무일지!$B$5:$B$1004,"&gt;="&amp;DATE($B$3,12,1),업무일지!$B$5:$B$1004,"&lt;"&amp;DATE($B$3,12+1,1),업무일지!$D$5:$D$1004,"분석")&gt;0,1,0))</f>
        <v/>
      </c>
      <c r="AN98">
        <f>IF($O98="",0,IF(COUNTIFS(업무일지!$F$5:$F$1004,$O98,업무일지!$B$5:$B$1004,"&gt;="&amp;DATE($B$3,1,1),업무일지!$B$5:$B$1004,"&lt;"&amp;DATE($B$3,1+1,1))&gt;0,1,0))</f>
        <v/>
      </c>
      <c r="AO98">
        <f>IF($O98="",0,IF(COUNTIFS(업무일지!$F$5:$F$1004,$O98,업무일지!$B$5:$B$1004,"&gt;="&amp;DATE($B$3,2,1),업무일지!$B$5:$B$1004,"&lt;"&amp;DATE($B$3,2+1,1))&gt;0,1,0))</f>
        <v/>
      </c>
      <c r="AP98">
        <f>IF($O98="",0,IF(COUNTIFS(업무일지!$F$5:$F$1004,$O98,업무일지!$B$5:$B$1004,"&gt;="&amp;DATE($B$3,3,1),업무일지!$B$5:$B$1004,"&lt;"&amp;DATE($B$3,3+1,1))&gt;0,1,0))</f>
        <v/>
      </c>
      <c r="AQ98">
        <f>IF($O98="",0,IF(COUNTIFS(업무일지!$F$5:$F$1004,$O98,업무일지!$B$5:$B$1004,"&gt;="&amp;DATE($B$3,4,1),업무일지!$B$5:$B$1004,"&lt;"&amp;DATE($B$3,4+1,1))&gt;0,1,0))</f>
        <v/>
      </c>
      <c r="AR98">
        <f>IF($O98="",0,IF(COUNTIFS(업무일지!$F$5:$F$1004,$O98,업무일지!$B$5:$B$1004,"&gt;="&amp;DATE($B$3,5,1),업무일지!$B$5:$B$1004,"&lt;"&amp;DATE($B$3,5+1,1))&gt;0,1,0))</f>
        <v/>
      </c>
      <c r="AS98">
        <f>IF($O98="",0,IF(COUNTIFS(업무일지!$F$5:$F$1004,$O98,업무일지!$B$5:$B$1004,"&gt;="&amp;DATE($B$3,6,1),업무일지!$B$5:$B$1004,"&lt;"&amp;DATE($B$3,6+1,1))&gt;0,1,0))</f>
        <v/>
      </c>
      <c r="AT98">
        <f>IF($O98="",0,IF(COUNTIFS(업무일지!$F$5:$F$1004,$O98,업무일지!$B$5:$B$1004,"&gt;="&amp;DATE($B$3,7,1),업무일지!$B$5:$B$1004,"&lt;"&amp;DATE($B$3,7+1,1))&gt;0,1,0))</f>
        <v/>
      </c>
      <c r="AU98">
        <f>IF($O98="",0,IF(COUNTIFS(업무일지!$F$5:$F$1004,$O98,업무일지!$B$5:$B$1004,"&gt;="&amp;DATE($B$3,8,1),업무일지!$B$5:$B$1004,"&lt;"&amp;DATE($B$3,8+1,1))&gt;0,1,0))</f>
        <v/>
      </c>
      <c r="AV98">
        <f>IF($O98="",0,IF(COUNTIFS(업무일지!$F$5:$F$1004,$O98,업무일지!$B$5:$B$1004,"&gt;="&amp;DATE($B$3,9,1),업무일지!$B$5:$B$1004,"&lt;"&amp;DATE($B$3,9+1,1))&gt;0,1,0))</f>
        <v/>
      </c>
      <c r="AW98">
        <f>IF($O98="",0,IF(COUNTIFS(업무일지!$F$5:$F$1004,$O98,업무일지!$B$5:$B$1004,"&gt;="&amp;DATE($B$3,10,1),업무일지!$B$5:$B$1004,"&lt;"&amp;DATE($B$3,10+1,1))&gt;0,1,0))</f>
        <v/>
      </c>
      <c r="AX98">
        <f>IF($O98="",0,IF(COUNTIFS(업무일지!$F$5:$F$1004,$O98,업무일지!$B$5:$B$1004,"&gt;="&amp;DATE($B$3,11,1),업무일지!$B$5:$B$1004,"&lt;"&amp;DATE($B$3,11+1,1))&gt;0,1,0))</f>
        <v/>
      </c>
      <c r="AY98">
        <f>IF($O98="",0,IF(COUNTIFS(업무일지!$F$5:$F$1004,$O98,업무일지!$B$5:$B$1004,"&gt;="&amp;DATE($B$3,12,1),업무일지!$B$5:$B$1004,"&lt;"&amp;DATE($B$3,12+1,1))&gt;0,1,0))</f>
        <v/>
      </c>
      <c r="AZ98">
        <f>IF($O98="",0,IF(COUNTIFS(업무일지!$F$5:$F$1004,$O98,업무일지!$B$5:$B$1004,"&gt;="&amp;DATE($B$3,1,1),업무일지!$B$5:$B$1004,"&lt;"&amp;DATE($B$3+1,1,1),업무일지!$D$5:$D$1004,"출장")&gt;0,1,0))</f>
        <v/>
      </c>
      <c r="BA98">
        <f>IF($O98="",0,IF(COUNTIFS(업무일지!$F$5:$F$1004,$O98,업무일지!$B$5:$B$1004,"&gt;="&amp;DATE($B$3,1,1),업무일지!$B$5:$B$1004,"&lt;"&amp;DATE($B$3+1,1,1),업무일지!$D$5:$D$1004,"분석")&gt;0,1,0))</f>
        <v/>
      </c>
      <c r="BB98">
        <f>IF($O98="",0,IF(COUNTIFS(업무일지!$F$5:$F$1004,$O98,업무일지!$B$5:$B$1004,"&gt;="&amp;DATE($B$3,1,1),업무일지!$B$5:$B$1004,"&lt;"&amp;DATE($B$3+1,1,1))&gt;0,1,0))</f>
        <v/>
      </c>
      <c r="BD98">
        <f>IF($O98="",0,IF(COUNTIFS(업무일지!$F$5:$F$1004,$O98,업무일지!$B$5:$B$1004,"&gt;="&amp;DATE($B$3,1,1),업무일지!$B$5:$B$1004,"&lt;"&amp;DATE($B$3+1,1,1),업무일지!$AB$5:$AB$1004,$A$44,업무일지!$D$5:$D$1004,"출장")&gt;0,1,0))</f>
        <v/>
      </c>
      <c r="BE98">
        <f>IF($O98="",0,IF(COUNTIFS(업무일지!$F$5:$F$1004,$O98,업무일지!$B$5:$B$1004,"&gt;="&amp;DATE($B$3,1,1),업무일지!$B$5:$B$1004,"&lt;"&amp;DATE($B$3+1,1,1),업무일지!$AB$5:$AB$1004,$A$45,업무일지!$D$5:$D$1004,"출장")&gt;0,1,0))</f>
        <v/>
      </c>
      <c r="BF98">
        <f>IF($O98="",0,IF(COUNTIFS(업무일지!$F$5:$F$1004,$O98,업무일지!$B$5:$B$1004,"&gt;="&amp;DATE($B$3,1,1),업무일지!$B$5:$B$1004,"&lt;"&amp;DATE($B$3+1,1,1),업무일지!$AB$5:$AB$1004,$A$46,업무일지!$D$5:$D$1004,"출장")&gt;0,1,0))</f>
        <v/>
      </c>
      <c r="BG98">
        <f>IF($O98="",0,IF(COUNTIFS(업무일지!$F$5:$F$1004,$O98,업무일지!$B$5:$B$1004,"&gt;="&amp;DATE($B$3,1,1),업무일지!$B$5:$B$1004,"&lt;"&amp;DATE($B$3+1,1,1),업무일지!$AB$5:$AB$1004,$A$47,업무일지!$D$5:$D$1004,"출장")&gt;0,1,0))</f>
        <v/>
      </c>
      <c r="BH98">
        <f>IF($O98="",0,IF(COUNTIFS(업무일지!$F$5:$F$1004,$O98,업무일지!$B$5:$B$1004,"&gt;="&amp;DATE($B$3,1,1),업무일지!$B$5:$B$1004,"&lt;"&amp;DATE($B$3+1,1,1),업무일지!$AB$5:$AB$1004,$A$48,업무일지!$D$5:$D$1004,"출장")&gt;0,1,0))</f>
        <v/>
      </c>
      <c r="BI98">
        <f>IF($O98="",0,IF(COUNTIFS(업무일지!$F$5:$F$1004,$O98,업무일지!$B$5:$B$1004,"&gt;="&amp;DATE($B$3,1,1),업무일지!$B$5:$B$1004,"&lt;"&amp;DATE($B$3+1,1,1),업무일지!$AB$5:$AB$1004,$A$49,업무일지!$D$5:$D$1004,"출장")&gt;0,1,0))</f>
        <v/>
      </c>
      <c r="BJ98">
        <f>IF($O98="",0,IF(COUNTIFS(업무일지!$F$5:$F$1004,$O98,업무일지!$B$5:$B$1004,"&gt;="&amp;DATE($B$3,1,1),업무일지!$B$5:$B$1004,"&lt;"&amp;DATE($B$3+1,1,1),업무일지!$AB$5:$AB$1004,$A$50,업무일지!$D$5:$D$1004,"출장")&gt;0,1,0))</f>
        <v/>
      </c>
      <c r="BK98">
        <f>IF($O98="",0,IF(COUNTIFS(업무일지!$F$5:$F$1004,$O98,업무일지!$B$5:$B$1004,"&gt;="&amp;DATE($B$3,1,1),업무일지!$B$5:$B$1004,"&lt;"&amp;DATE($B$3+1,1,1),업무일지!$AB$5:$AB$1004,$A$51,업무일지!$D$5:$D$1004,"출장")&gt;0,1,0))</f>
        <v/>
      </c>
      <c r="BL98">
        <f>IF($O98="",0,IF(COUNTIFS(업무일지!$F$5:$F$1004,$O98,업무일지!$B$5:$B$1004,"&gt;="&amp;DATE($B$3,1,1),업무일지!$B$5:$B$1004,"&lt;"&amp;DATE($B$3+1,1,1),업무일지!$AB$5:$AB$1004,$A$52,업무일지!$D$5:$D$1004,"출장")&gt;0,1,0))</f>
        <v/>
      </c>
      <c r="BM98">
        <f>IF($O98="",0,IF(COUNTIFS(업무일지!$F$5:$F$1004,$O98,업무일지!$B$5:$B$1004,"&gt;="&amp;DATE($B$3,1,1),업무일지!$B$5:$B$1004,"&lt;"&amp;DATE($B$3+1,1,1),업무일지!$AB$5:$AB$1004,$A$53,업무일지!$D$5:$D$1004,"출장")&gt;0,1,0))</f>
        <v/>
      </c>
      <c r="BO98">
        <f>IF($O98="",0,IF(COUNTIFS(업무일지!$F$5:$F$1004,$O98,업무일지!$B$5:$B$1004,"&gt;="&amp;DATE($B$3,1,1),업무일지!$B$5:$B$1004,"&lt;"&amp;DATE($B$3+1,1,1),업무일지!$AB$5:$AB$1004,$A$44,업무일지!$D$5:$D$1004,"분석")&gt;0,1,0))</f>
        <v/>
      </c>
      <c r="BP98">
        <f>IF($O98="",0,IF(COUNTIFS(업무일지!$F$5:$F$1004,$O98,업무일지!$B$5:$B$1004,"&gt;="&amp;DATE($B$3,1,1),업무일지!$B$5:$B$1004,"&lt;"&amp;DATE($B$3+1,1,1),업무일지!$AB$5:$AB$1004,$A$45,업무일지!$D$5:$D$1004,"분석")&gt;0,1,0))</f>
        <v/>
      </c>
      <c r="BQ98">
        <f>IF($O98="",0,IF(COUNTIFS(업무일지!$F$5:$F$1004,$O98,업무일지!$B$5:$B$1004,"&gt;="&amp;DATE($B$3,1,1),업무일지!$B$5:$B$1004,"&lt;"&amp;DATE($B$3+1,1,1),업무일지!$AB$5:$AB$1004,$A$46,업무일지!$D$5:$D$1004,"분석")&gt;0,1,0))</f>
        <v/>
      </c>
      <c r="BR98">
        <f>IF($O98="",0,IF(COUNTIFS(업무일지!$F$5:$F$1004,$O98,업무일지!$B$5:$B$1004,"&gt;="&amp;DATE($B$3,1,1),업무일지!$B$5:$B$1004,"&lt;"&amp;DATE($B$3+1,1,1),업무일지!$AB$5:$AB$1004,$A$47,업무일지!$D$5:$D$1004,"분석")&gt;0,1,0))</f>
        <v/>
      </c>
      <c r="BS98">
        <f>IF($O98="",0,IF(COUNTIFS(업무일지!$F$5:$F$1004,$O98,업무일지!$B$5:$B$1004,"&gt;="&amp;DATE($B$3,1,1),업무일지!$B$5:$B$1004,"&lt;"&amp;DATE($B$3+1,1,1),업무일지!$AB$5:$AB$1004,$A$48,업무일지!$D$5:$D$1004,"분석")&gt;0,1,0))</f>
        <v/>
      </c>
      <c r="BT98">
        <f>IF($O98="",0,IF(COUNTIFS(업무일지!$F$5:$F$1004,$O98,업무일지!$B$5:$B$1004,"&gt;="&amp;DATE($B$3,1,1),업무일지!$B$5:$B$1004,"&lt;"&amp;DATE($B$3+1,1,1),업무일지!$AB$5:$AB$1004,$A$49,업무일지!$D$5:$D$1004,"분석")&gt;0,1,0))</f>
        <v/>
      </c>
      <c r="BU98">
        <f>IF($O98="",0,IF(COUNTIFS(업무일지!$F$5:$F$1004,$O98,업무일지!$B$5:$B$1004,"&gt;="&amp;DATE($B$3,1,1),업무일지!$B$5:$B$1004,"&lt;"&amp;DATE($B$3+1,1,1),업무일지!$AB$5:$AB$1004,$A$50,업무일지!$D$5:$D$1004,"분석")&gt;0,1,0))</f>
        <v/>
      </c>
      <c r="BV98">
        <f>IF($O98="",0,IF(COUNTIFS(업무일지!$F$5:$F$1004,$O98,업무일지!$B$5:$B$1004,"&gt;="&amp;DATE($B$3,1,1),업무일지!$B$5:$B$1004,"&lt;"&amp;DATE($B$3+1,1,1),업무일지!$AB$5:$AB$1004,$A$51,업무일지!$D$5:$D$1004,"분석")&gt;0,1,0))</f>
        <v/>
      </c>
      <c r="BW98">
        <f>IF($O98="",0,IF(COUNTIFS(업무일지!$F$5:$F$1004,$O98,업무일지!$B$5:$B$1004,"&gt;="&amp;DATE($B$3,1,1),업무일지!$B$5:$B$1004,"&lt;"&amp;DATE($B$3+1,1,1),업무일지!$AB$5:$AB$1004,$A$52,업무일지!$D$5:$D$1004,"분석")&gt;0,1,0))</f>
        <v/>
      </c>
      <c r="BX98">
        <f>IF($O98="",0,IF(COUNTIFS(업무일지!$F$5:$F$1004,$O98,업무일지!$B$5:$B$1004,"&gt;="&amp;DATE($B$3,1,1),업무일지!$B$5:$B$1004,"&lt;"&amp;DATE($B$3+1,1,1),업무일지!$AB$5:$AB$1004,$A$53,업무일지!$D$5:$D$1004,"분석")&gt;0,1,0))</f>
        <v/>
      </c>
      <c r="BZ98">
        <f>IF($O98="",0,IF(COUNTIFS(업무일지!$F$5:$F$1004,$O98,업무일지!$B$5:$B$1004,"&gt;="&amp;DATE($B$3,1,1),업무일지!$B$5:$B$1004,"&lt;"&amp;DATE($B$3+1,1,1),업무일지!$AB$5:$AB$1004,$A$44)&gt;0,1,0))</f>
        <v/>
      </c>
      <c r="CA98">
        <f>IF($O98="",0,IF(COUNTIFS(업무일지!$F$5:$F$1004,$O98,업무일지!$B$5:$B$1004,"&gt;="&amp;DATE($B$3,1,1),업무일지!$B$5:$B$1004,"&lt;"&amp;DATE($B$3+1,1,1),업무일지!$AB$5:$AB$1004,$A$45)&gt;0,1,0))</f>
        <v/>
      </c>
      <c r="CB98">
        <f>IF($O98="",0,IF(COUNTIFS(업무일지!$F$5:$F$1004,$O98,업무일지!$B$5:$B$1004,"&gt;="&amp;DATE($B$3,1,1),업무일지!$B$5:$B$1004,"&lt;"&amp;DATE($B$3+1,1,1),업무일지!$AB$5:$AB$1004,$A$46)&gt;0,1,0))</f>
        <v/>
      </c>
      <c r="CC98">
        <f>IF($O98="",0,IF(COUNTIFS(업무일지!$F$5:$F$1004,$O98,업무일지!$B$5:$B$1004,"&gt;="&amp;DATE($B$3,1,1),업무일지!$B$5:$B$1004,"&lt;"&amp;DATE($B$3+1,1,1),업무일지!$AB$5:$AB$1004,$A$47)&gt;0,1,0))</f>
        <v/>
      </c>
      <c r="CD98">
        <f>IF($O98="",0,IF(COUNTIFS(업무일지!$F$5:$F$1004,$O98,업무일지!$B$5:$B$1004,"&gt;="&amp;DATE($B$3,1,1),업무일지!$B$5:$B$1004,"&lt;"&amp;DATE($B$3+1,1,1),업무일지!$AB$5:$AB$1004,$A$48)&gt;0,1,0))</f>
        <v/>
      </c>
      <c r="CE98">
        <f>IF($O98="",0,IF(COUNTIFS(업무일지!$F$5:$F$1004,$O98,업무일지!$B$5:$B$1004,"&gt;="&amp;DATE($B$3,1,1),업무일지!$B$5:$B$1004,"&lt;"&amp;DATE($B$3+1,1,1),업무일지!$AB$5:$AB$1004,$A$49)&gt;0,1,0))</f>
        <v/>
      </c>
      <c r="CF98">
        <f>IF($O98="",0,IF(COUNTIFS(업무일지!$F$5:$F$1004,$O98,업무일지!$B$5:$B$1004,"&gt;="&amp;DATE($B$3,1,1),업무일지!$B$5:$B$1004,"&lt;"&amp;DATE($B$3+1,1,1),업무일지!$AB$5:$AB$1004,$A$50)&gt;0,1,0))</f>
        <v/>
      </c>
      <c r="CG98">
        <f>IF($O98="",0,IF(COUNTIFS(업무일지!$F$5:$F$1004,$O98,업무일지!$B$5:$B$1004,"&gt;="&amp;DATE($B$3,1,1),업무일지!$B$5:$B$1004,"&lt;"&amp;DATE($B$3+1,1,1),업무일지!$AB$5:$AB$1004,$A$51)&gt;0,1,0))</f>
        <v/>
      </c>
      <c r="CH98">
        <f>IF($O98="",0,IF(COUNTIFS(업무일지!$F$5:$F$1004,$O98,업무일지!$B$5:$B$1004,"&gt;="&amp;DATE($B$3,1,1),업무일지!$B$5:$B$1004,"&lt;"&amp;DATE($B$3+1,1,1),업무일지!$AB$5:$AB$1004,$A$52)&gt;0,1,0))</f>
        <v/>
      </c>
      <c r="CI98">
        <f>IF($O98="",0,IF(COUNTIFS(업무일지!$F$5:$F$1004,$O98,업무일지!$B$5:$B$1004,"&gt;="&amp;DATE($B$3,1,1),업무일지!$B$5:$B$1004,"&lt;"&amp;DATE($B$3+1,1,1),업무일지!$AB$5:$AB$1004,$A$53)&gt;0,1,0))</f>
        <v/>
      </c>
    </row>
    <row r="99">
      <c r="O99">
        <f>IF(사건마스터!$A19="","",사건마스터!$A19)</f>
        <v/>
      </c>
      <c r="P99">
        <f>IF($O99="",0,IF(COUNTIFS(업무일지!$F$5:$F$1004,$O99,업무일지!$B$5:$B$1004,"&gt;="&amp;DATE($B$3,1,1),업무일지!$B$5:$B$1004,"&lt;"&amp;DATE($B$3,1+1,1),업무일지!$D$5:$D$1004,"출장")&gt;0,1,0))</f>
        <v/>
      </c>
      <c r="Q99">
        <f>IF($O99="",0,IF(COUNTIFS(업무일지!$F$5:$F$1004,$O99,업무일지!$B$5:$B$1004,"&gt;="&amp;DATE($B$3,2,1),업무일지!$B$5:$B$1004,"&lt;"&amp;DATE($B$3,2+1,1),업무일지!$D$5:$D$1004,"출장")&gt;0,1,0))</f>
        <v/>
      </c>
      <c r="R99">
        <f>IF($O99="",0,IF(COUNTIFS(업무일지!$F$5:$F$1004,$O99,업무일지!$B$5:$B$1004,"&gt;="&amp;DATE($B$3,3,1),업무일지!$B$5:$B$1004,"&lt;"&amp;DATE($B$3,3+1,1),업무일지!$D$5:$D$1004,"출장")&gt;0,1,0))</f>
        <v/>
      </c>
      <c r="S99">
        <f>IF($O99="",0,IF(COUNTIFS(업무일지!$F$5:$F$1004,$O99,업무일지!$B$5:$B$1004,"&gt;="&amp;DATE($B$3,4,1),업무일지!$B$5:$B$1004,"&lt;"&amp;DATE($B$3,4+1,1),업무일지!$D$5:$D$1004,"출장")&gt;0,1,0))</f>
        <v/>
      </c>
      <c r="T99">
        <f>IF($O99="",0,IF(COUNTIFS(업무일지!$F$5:$F$1004,$O99,업무일지!$B$5:$B$1004,"&gt;="&amp;DATE($B$3,5,1),업무일지!$B$5:$B$1004,"&lt;"&amp;DATE($B$3,5+1,1),업무일지!$D$5:$D$1004,"출장")&gt;0,1,0))</f>
        <v/>
      </c>
      <c r="U99">
        <f>IF($O99="",0,IF(COUNTIFS(업무일지!$F$5:$F$1004,$O99,업무일지!$B$5:$B$1004,"&gt;="&amp;DATE($B$3,6,1),업무일지!$B$5:$B$1004,"&lt;"&amp;DATE($B$3,6+1,1),업무일지!$D$5:$D$1004,"출장")&gt;0,1,0))</f>
        <v/>
      </c>
      <c r="V99">
        <f>IF($O99="",0,IF(COUNTIFS(업무일지!$F$5:$F$1004,$O99,업무일지!$B$5:$B$1004,"&gt;="&amp;DATE($B$3,7,1),업무일지!$B$5:$B$1004,"&lt;"&amp;DATE($B$3,7+1,1),업무일지!$D$5:$D$1004,"출장")&gt;0,1,0))</f>
        <v/>
      </c>
      <c r="W99">
        <f>IF($O99="",0,IF(COUNTIFS(업무일지!$F$5:$F$1004,$O99,업무일지!$B$5:$B$1004,"&gt;="&amp;DATE($B$3,8,1),업무일지!$B$5:$B$1004,"&lt;"&amp;DATE($B$3,8+1,1),업무일지!$D$5:$D$1004,"출장")&gt;0,1,0))</f>
        <v/>
      </c>
      <c r="X99">
        <f>IF($O99="",0,IF(COUNTIFS(업무일지!$F$5:$F$1004,$O99,업무일지!$B$5:$B$1004,"&gt;="&amp;DATE($B$3,9,1),업무일지!$B$5:$B$1004,"&lt;"&amp;DATE($B$3,9+1,1),업무일지!$D$5:$D$1004,"출장")&gt;0,1,0))</f>
        <v/>
      </c>
      <c r="Y99">
        <f>IF($O99="",0,IF(COUNTIFS(업무일지!$F$5:$F$1004,$O99,업무일지!$B$5:$B$1004,"&gt;="&amp;DATE($B$3,10,1),업무일지!$B$5:$B$1004,"&lt;"&amp;DATE($B$3,10+1,1),업무일지!$D$5:$D$1004,"출장")&gt;0,1,0))</f>
        <v/>
      </c>
      <c r="Z99">
        <f>IF($O99="",0,IF(COUNTIFS(업무일지!$F$5:$F$1004,$O99,업무일지!$B$5:$B$1004,"&gt;="&amp;DATE($B$3,11,1),업무일지!$B$5:$B$1004,"&lt;"&amp;DATE($B$3,11+1,1),업무일지!$D$5:$D$1004,"출장")&gt;0,1,0))</f>
        <v/>
      </c>
      <c r="AA99">
        <f>IF($O99="",0,IF(COUNTIFS(업무일지!$F$5:$F$1004,$O99,업무일지!$B$5:$B$1004,"&gt;="&amp;DATE($B$3,12,1),업무일지!$B$5:$B$1004,"&lt;"&amp;DATE($B$3,12+1,1),업무일지!$D$5:$D$1004,"출장")&gt;0,1,0))</f>
        <v/>
      </c>
      <c r="AB99">
        <f>IF($O99="",0,IF(COUNTIFS(업무일지!$F$5:$F$1004,$O99,업무일지!$B$5:$B$1004,"&gt;="&amp;DATE($B$3,1,1),업무일지!$B$5:$B$1004,"&lt;"&amp;DATE($B$3,1+1,1),업무일지!$D$5:$D$1004,"분석")&gt;0,1,0))</f>
        <v/>
      </c>
      <c r="AC99">
        <f>IF($O99="",0,IF(COUNTIFS(업무일지!$F$5:$F$1004,$O99,업무일지!$B$5:$B$1004,"&gt;="&amp;DATE($B$3,2,1),업무일지!$B$5:$B$1004,"&lt;"&amp;DATE($B$3,2+1,1),업무일지!$D$5:$D$1004,"분석")&gt;0,1,0))</f>
        <v/>
      </c>
      <c r="AD99">
        <f>IF($O99="",0,IF(COUNTIFS(업무일지!$F$5:$F$1004,$O99,업무일지!$B$5:$B$1004,"&gt;="&amp;DATE($B$3,3,1),업무일지!$B$5:$B$1004,"&lt;"&amp;DATE($B$3,3+1,1),업무일지!$D$5:$D$1004,"분석")&gt;0,1,0))</f>
        <v/>
      </c>
      <c r="AE99">
        <f>IF($O99="",0,IF(COUNTIFS(업무일지!$F$5:$F$1004,$O99,업무일지!$B$5:$B$1004,"&gt;="&amp;DATE($B$3,4,1),업무일지!$B$5:$B$1004,"&lt;"&amp;DATE($B$3,4+1,1),업무일지!$D$5:$D$1004,"분석")&gt;0,1,0))</f>
        <v/>
      </c>
      <c r="AF99">
        <f>IF($O99="",0,IF(COUNTIFS(업무일지!$F$5:$F$1004,$O99,업무일지!$B$5:$B$1004,"&gt;="&amp;DATE($B$3,5,1),업무일지!$B$5:$B$1004,"&lt;"&amp;DATE($B$3,5+1,1),업무일지!$D$5:$D$1004,"분석")&gt;0,1,0))</f>
        <v/>
      </c>
      <c r="AG99">
        <f>IF($O99="",0,IF(COUNTIFS(업무일지!$F$5:$F$1004,$O99,업무일지!$B$5:$B$1004,"&gt;="&amp;DATE($B$3,6,1),업무일지!$B$5:$B$1004,"&lt;"&amp;DATE($B$3,6+1,1),업무일지!$D$5:$D$1004,"분석")&gt;0,1,0))</f>
        <v/>
      </c>
      <c r="AH99">
        <f>IF($O99="",0,IF(COUNTIFS(업무일지!$F$5:$F$1004,$O99,업무일지!$B$5:$B$1004,"&gt;="&amp;DATE($B$3,7,1),업무일지!$B$5:$B$1004,"&lt;"&amp;DATE($B$3,7+1,1),업무일지!$D$5:$D$1004,"분석")&gt;0,1,0))</f>
        <v/>
      </c>
      <c r="AI99">
        <f>IF($O99="",0,IF(COUNTIFS(업무일지!$F$5:$F$1004,$O99,업무일지!$B$5:$B$1004,"&gt;="&amp;DATE($B$3,8,1),업무일지!$B$5:$B$1004,"&lt;"&amp;DATE($B$3,8+1,1),업무일지!$D$5:$D$1004,"분석")&gt;0,1,0))</f>
        <v/>
      </c>
      <c r="AJ99">
        <f>IF($O99="",0,IF(COUNTIFS(업무일지!$F$5:$F$1004,$O99,업무일지!$B$5:$B$1004,"&gt;="&amp;DATE($B$3,9,1),업무일지!$B$5:$B$1004,"&lt;"&amp;DATE($B$3,9+1,1),업무일지!$D$5:$D$1004,"분석")&gt;0,1,0))</f>
        <v/>
      </c>
      <c r="AK99">
        <f>IF($O99="",0,IF(COUNTIFS(업무일지!$F$5:$F$1004,$O99,업무일지!$B$5:$B$1004,"&gt;="&amp;DATE($B$3,10,1),업무일지!$B$5:$B$1004,"&lt;"&amp;DATE($B$3,10+1,1),업무일지!$D$5:$D$1004,"분석")&gt;0,1,0))</f>
        <v/>
      </c>
      <c r="AL99">
        <f>IF($O99="",0,IF(COUNTIFS(업무일지!$F$5:$F$1004,$O99,업무일지!$B$5:$B$1004,"&gt;="&amp;DATE($B$3,11,1),업무일지!$B$5:$B$1004,"&lt;"&amp;DATE($B$3,11+1,1),업무일지!$D$5:$D$1004,"분석")&gt;0,1,0))</f>
        <v/>
      </c>
      <c r="AM99">
        <f>IF($O99="",0,IF(COUNTIFS(업무일지!$F$5:$F$1004,$O99,업무일지!$B$5:$B$1004,"&gt;="&amp;DATE($B$3,12,1),업무일지!$B$5:$B$1004,"&lt;"&amp;DATE($B$3,12+1,1),업무일지!$D$5:$D$1004,"분석")&gt;0,1,0))</f>
        <v/>
      </c>
      <c r="AN99">
        <f>IF($O99="",0,IF(COUNTIFS(업무일지!$F$5:$F$1004,$O99,업무일지!$B$5:$B$1004,"&gt;="&amp;DATE($B$3,1,1),업무일지!$B$5:$B$1004,"&lt;"&amp;DATE($B$3,1+1,1))&gt;0,1,0))</f>
        <v/>
      </c>
      <c r="AO99">
        <f>IF($O99="",0,IF(COUNTIFS(업무일지!$F$5:$F$1004,$O99,업무일지!$B$5:$B$1004,"&gt;="&amp;DATE($B$3,2,1),업무일지!$B$5:$B$1004,"&lt;"&amp;DATE($B$3,2+1,1))&gt;0,1,0))</f>
        <v/>
      </c>
      <c r="AP99">
        <f>IF($O99="",0,IF(COUNTIFS(업무일지!$F$5:$F$1004,$O99,업무일지!$B$5:$B$1004,"&gt;="&amp;DATE($B$3,3,1),업무일지!$B$5:$B$1004,"&lt;"&amp;DATE($B$3,3+1,1))&gt;0,1,0))</f>
        <v/>
      </c>
      <c r="AQ99">
        <f>IF($O99="",0,IF(COUNTIFS(업무일지!$F$5:$F$1004,$O99,업무일지!$B$5:$B$1004,"&gt;="&amp;DATE($B$3,4,1),업무일지!$B$5:$B$1004,"&lt;"&amp;DATE($B$3,4+1,1))&gt;0,1,0))</f>
        <v/>
      </c>
      <c r="AR99">
        <f>IF($O99="",0,IF(COUNTIFS(업무일지!$F$5:$F$1004,$O99,업무일지!$B$5:$B$1004,"&gt;="&amp;DATE($B$3,5,1),업무일지!$B$5:$B$1004,"&lt;"&amp;DATE($B$3,5+1,1))&gt;0,1,0))</f>
        <v/>
      </c>
      <c r="AS99">
        <f>IF($O99="",0,IF(COUNTIFS(업무일지!$F$5:$F$1004,$O99,업무일지!$B$5:$B$1004,"&gt;="&amp;DATE($B$3,6,1),업무일지!$B$5:$B$1004,"&lt;"&amp;DATE($B$3,6+1,1))&gt;0,1,0))</f>
        <v/>
      </c>
      <c r="AT99">
        <f>IF($O99="",0,IF(COUNTIFS(업무일지!$F$5:$F$1004,$O99,업무일지!$B$5:$B$1004,"&gt;="&amp;DATE($B$3,7,1),업무일지!$B$5:$B$1004,"&lt;"&amp;DATE($B$3,7+1,1))&gt;0,1,0))</f>
        <v/>
      </c>
      <c r="AU99">
        <f>IF($O99="",0,IF(COUNTIFS(업무일지!$F$5:$F$1004,$O99,업무일지!$B$5:$B$1004,"&gt;="&amp;DATE($B$3,8,1),업무일지!$B$5:$B$1004,"&lt;"&amp;DATE($B$3,8+1,1))&gt;0,1,0))</f>
        <v/>
      </c>
      <c r="AV99">
        <f>IF($O99="",0,IF(COUNTIFS(업무일지!$F$5:$F$1004,$O99,업무일지!$B$5:$B$1004,"&gt;="&amp;DATE($B$3,9,1),업무일지!$B$5:$B$1004,"&lt;"&amp;DATE($B$3,9+1,1))&gt;0,1,0))</f>
        <v/>
      </c>
      <c r="AW99">
        <f>IF($O99="",0,IF(COUNTIFS(업무일지!$F$5:$F$1004,$O99,업무일지!$B$5:$B$1004,"&gt;="&amp;DATE($B$3,10,1),업무일지!$B$5:$B$1004,"&lt;"&amp;DATE($B$3,10+1,1))&gt;0,1,0))</f>
        <v/>
      </c>
      <c r="AX99">
        <f>IF($O99="",0,IF(COUNTIFS(업무일지!$F$5:$F$1004,$O99,업무일지!$B$5:$B$1004,"&gt;="&amp;DATE($B$3,11,1),업무일지!$B$5:$B$1004,"&lt;"&amp;DATE($B$3,11+1,1))&gt;0,1,0))</f>
        <v/>
      </c>
      <c r="AY99">
        <f>IF($O99="",0,IF(COUNTIFS(업무일지!$F$5:$F$1004,$O99,업무일지!$B$5:$B$1004,"&gt;="&amp;DATE($B$3,12,1),업무일지!$B$5:$B$1004,"&lt;"&amp;DATE($B$3,12+1,1))&gt;0,1,0))</f>
        <v/>
      </c>
      <c r="AZ99">
        <f>IF($O99="",0,IF(COUNTIFS(업무일지!$F$5:$F$1004,$O99,업무일지!$B$5:$B$1004,"&gt;="&amp;DATE($B$3,1,1),업무일지!$B$5:$B$1004,"&lt;"&amp;DATE($B$3+1,1,1),업무일지!$D$5:$D$1004,"출장")&gt;0,1,0))</f>
        <v/>
      </c>
      <c r="BA99">
        <f>IF($O99="",0,IF(COUNTIFS(업무일지!$F$5:$F$1004,$O99,업무일지!$B$5:$B$1004,"&gt;="&amp;DATE($B$3,1,1),업무일지!$B$5:$B$1004,"&lt;"&amp;DATE($B$3+1,1,1),업무일지!$D$5:$D$1004,"분석")&gt;0,1,0))</f>
        <v/>
      </c>
      <c r="BB99">
        <f>IF($O99="",0,IF(COUNTIFS(업무일지!$F$5:$F$1004,$O99,업무일지!$B$5:$B$1004,"&gt;="&amp;DATE($B$3,1,1),업무일지!$B$5:$B$1004,"&lt;"&amp;DATE($B$3+1,1,1))&gt;0,1,0))</f>
        <v/>
      </c>
      <c r="BD99">
        <f>IF($O99="",0,IF(COUNTIFS(업무일지!$F$5:$F$1004,$O99,업무일지!$B$5:$B$1004,"&gt;="&amp;DATE($B$3,1,1),업무일지!$B$5:$B$1004,"&lt;"&amp;DATE($B$3+1,1,1),업무일지!$AB$5:$AB$1004,$A$44,업무일지!$D$5:$D$1004,"출장")&gt;0,1,0))</f>
        <v/>
      </c>
      <c r="BE99">
        <f>IF($O99="",0,IF(COUNTIFS(업무일지!$F$5:$F$1004,$O99,업무일지!$B$5:$B$1004,"&gt;="&amp;DATE($B$3,1,1),업무일지!$B$5:$B$1004,"&lt;"&amp;DATE($B$3+1,1,1),업무일지!$AB$5:$AB$1004,$A$45,업무일지!$D$5:$D$1004,"출장")&gt;0,1,0))</f>
        <v/>
      </c>
      <c r="BF99">
        <f>IF($O99="",0,IF(COUNTIFS(업무일지!$F$5:$F$1004,$O99,업무일지!$B$5:$B$1004,"&gt;="&amp;DATE($B$3,1,1),업무일지!$B$5:$B$1004,"&lt;"&amp;DATE($B$3+1,1,1),업무일지!$AB$5:$AB$1004,$A$46,업무일지!$D$5:$D$1004,"출장")&gt;0,1,0))</f>
        <v/>
      </c>
      <c r="BG99">
        <f>IF($O99="",0,IF(COUNTIFS(업무일지!$F$5:$F$1004,$O99,업무일지!$B$5:$B$1004,"&gt;="&amp;DATE($B$3,1,1),업무일지!$B$5:$B$1004,"&lt;"&amp;DATE($B$3+1,1,1),업무일지!$AB$5:$AB$1004,$A$47,업무일지!$D$5:$D$1004,"출장")&gt;0,1,0))</f>
        <v/>
      </c>
      <c r="BH99">
        <f>IF($O99="",0,IF(COUNTIFS(업무일지!$F$5:$F$1004,$O99,업무일지!$B$5:$B$1004,"&gt;="&amp;DATE($B$3,1,1),업무일지!$B$5:$B$1004,"&lt;"&amp;DATE($B$3+1,1,1),업무일지!$AB$5:$AB$1004,$A$48,업무일지!$D$5:$D$1004,"출장")&gt;0,1,0))</f>
        <v/>
      </c>
      <c r="BI99">
        <f>IF($O99="",0,IF(COUNTIFS(업무일지!$F$5:$F$1004,$O99,업무일지!$B$5:$B$1004,"&gt;="&amp;DATE($B$3,1,1),업무일지!$B$5:$B$1004,"&lt;"&amp;DATE($B$3+1,1,1),업무일지!$AB$5:$AB$1004,$A$49,업무일지!$D$5:$D$1004,"출장")&gt;0,1,0))</f>
        <v/>
      </c>
      <c r="BJ99">
        <f>IF($O99="",0,IF(COUNTIFS(업무일지!$F$5:$F$1004,$O99,업무일지!$B$5:$B$1004,"&gt;="&amp;DATE($B$3,1,1),업무일지!$B$5:$B$1004,"&lt;"&amp;DATE($B$3+1,1,1),업무일지!$AB$5:$AB$1004,$A$50,업무일지!$D$5:$D$1004,"출장")&gt;0,1,0))</f>
        <v/>
      </c>
      <c r="BK99">
        <f>IF($O99="",0,IF(COUNTIFS(업무일지!$F$5:$F$1004,$O99,업무일지!$B$5:$B$1004,"&gt;="&amp;DATE($B$3,1,1),업무일지!$B$5:$B$1004,"&lt;"&amp;DATE($B$3+1,1,1),업무일지!$AB$5:$AB$1004,$A$51,업무일지!$D$5:$D$1004,"출장")&gt;0,1,0))</f>
        <v/>
      </c>
      <c r="BL99">
        <f>IF($O99="",0,IF(COUNTIFS(업무일지!$F$5:$F$1004,$O99,업무일지!$B$5:$B$1004,"&gt;="&amp;DATE($B$3,1,1),업무일지!$B$5:$B$1004,"&lt;"&amp;DATE($B$3+1,1,1),업무일지!$AB$5:$AB$1004,$A$52,업무일지!$D$5:$D$1004,"출장")&gt;0,1,0))</f>
        <v/>
      </c>
      <c r="BM99">
        <f>IF($O99="",0,IF(COUNTIFS(업무일지!$F$5:$F$1004,$O99,업무일지!$B$5:$B$1004,"&gt;="&amp;DATE($B$3,1,1),업무일지!$B$5:$B$1004,"&lt;"&amp;DATE($B$3+1,1,1),업무일지!$AB$5:$AB$1004,$A$53,업무일지!$D$5:$D$1004,"출장")&gt;0,1,0))</f>
        <v/>
      </c>
      <c r="BO99">
        <f>IF($O99="",0,IF(COUNTIFS(업무일지!$F$5:$F$1004,$O99,업무일지!$B$5:$B$1004,"&gt;="&amp;DATE($B$3,1,1),업무일지!$B$5:$B$1004,"&lt;"&amp;DATE($B$3+1,1,1),업무일지!$AB$5:$AB$1004,$A$44,업무일지!$D$5:$D$1004,"분석")&gt;0,1,0))</f>
        <v/>
      </c>
      <c r="BP99">
        <f>IF($O99="",0,IF(COUNTIFS(업무일지!$F$5:$F$1004,$O99,업무일지!$B$5:$B$1004,"&gt;="&amp;DATE($B$3,1,1),업무일지!$B$5:$B$1004,"&lt;"&amp;DATE($B$3+1,1,1),업무일지!$AB$5:$AB$1004,$A$45,업무일지!$D$5:$D$1004,"분석")&gt;0,1,0))</f>
        <v/>
      </c>
      <c r="BQ99">
        <f>IF($O99="",0,IF(COUNTIFS(업무일지!$F$5:$F$1004,$O99,업무일지!$B$5:$B$1004,"&gt;="&amp;DATE($B$3,1,1),업무일지!$B$5:$B$1004,"&lt;"&amp;DATE($B$3+1,1,1),업무일지!$AB$5:$AB$1004,$A$46,업무일지!$D$5:$D$1004,"분석")&gt;0,1,0))</f>
        <v/>
      </c>
      <c r="BR99">
        <f>IF($O99="",0,IF(COUNTIFS(업무일지!$F$5:$F$1004,$O99,업무일지!$B$5:$B$1004,"&gt;="&amp;DATE($B$3,1,1),업무일지!$B$5:$B$1004,"&lt;"&amp;DATE($B$3+1,1,1),업무일지!$AB$5:$AB$1004,$A$47,업무일지!$D$5:$D$1004,"분석")&gt;0,1,0))</f>
        <v/>
      </c>
      <c r="BS99">
        <f>IF($O99="",0,IF(COUNTIFS(업무일지!$F$5:$F$1004,$O99,업무일지!$B$5:$B$1004,"&gt;="&amp;DATE($B$3,1,1),업무일지!$B$5:$B$1004,"&lt;"&amp;DATE($B$3+1,1,1),업무일지!$AB$5:$AB$1004,$A$48,업무일지!$D$5:$D$1004,"분석")&gt;0,1,0))</f>
        <v/>
      </c>
      <c r="BT99">
        <f>IF($O99="",0,IF(COUNTIFS(업무일지!$F$5:$F$1004,$O99,업무일지!$B$5:$B$1004,"&gt;="&amp;DATE($B$3,1,1),업무일지!$B$5:$B$1004,"&lt;"&amp;DATE($B$3+1,1,1),업무일지!$AB$5:$AB$1004,$A$49,업무일지!$D$5:$D$1004,"분석")&gt;0,1,0))</f>
        <v/>
      </c>
      <c r="BU99">
        <f>IF($O99="",0,IF(COUNTIFS(업무일지!$F$5:$F$1004,$O99,업무일지!$B$5:$B$1004,"&gt;="&amp;DATE($B$3,1,1),업무일지!$B$5:$B$1004,"&lt;"&amp;DATE($B$3+1,1,1),업무일지!$AB$5:$AB$1004,$A$50,업무일지!$D$5:$D$1004,"분석")&gt;0,1,0))</f>
        <v/>
      </c>
      <c r="BV99">
        <f>IF($O99="",0,IF(COUNTIFS(업무일지!$F$5:$F$1004,$O99,업무일지!$B$5:$B$1004,"&gt;="&amp;DATE($B$3,1,1),업무일지!$B$5:$B$1004,"&lt;"&amp;DATE($B$3+1,1,1),업무일지!$AB$5:$AB$1004,$A$51,업무일지!$D$5:$D$1004,"분석")&gt;0,1,0))</f>
        <v/>
      </c>
      <c r="BW99">
        <f>IF($O99="",0,IF(COUNTIFS(업무일지!$F$5:$F$1004,$O99,업무일지!$B$5:$B$1004,"&gt;="&amp;DATE($B$3,1,1),업무일지!$B$5:$B$1004,"&lt;"&amp;DATE($B$3+1,1,1),업무일지!$AB$5:$AB$1004,$A$52,업무일지!$D$5:$D$1004,"분석")&gt;0,1,0))</f>
        <v/>
      </c>
      <c r="BX99">
        <f>IF($O99="",0,IF(COUNTIFS(업무일지!$F$5:$F$1004,$O99,업무일지!$B$5:$B$1004,"&gt;="&amp;DATE($B$3,1,1),업무일지!$B$5:$B$1004,"&lt;"&amp;DATE($B$3+1,1,1),업무일지!$AB$5:$AB$1004,$A$53,업무일지!$D$5:$D$1004,"분석")&gt;0,1,0))</f>
        <v/>
      </c>
      <c r="BZ99">
        <f>IF($O99="",0,IF(COUNTIFS(업무일지!$F$5:$F$1004,$O99,업무일지!$B$5:$B$1004,"&gt;="&amp;DATE($B$3,1,1),업무일지!$B$5:$B$1004,"&lt;"&amp;DATE($B$3+1,1,1),업무일지!$AB$5:$AB$1004,$A$44)&gt;0,1,0))</f>
        <v/>
      </c>
      <c r="CA99">
        <f>IF($O99="",0,IF(COUNTIFS(업무일지!$F$5:$F$1004,$O99,업무일지!$B$5:$B$1004,"&gt;="&amp;DATE($B$3,1,1),업무일지!$B$5:$B$1004,"&lt;"&amp;DATE($B$3+1,1,1),업무일지!$AB$5:$AB$1004,$A$45)&gt;0,1,0))</f>
        <v/>
      </c>
      <c r="CB99">
        <f>IF($O99="",0,IF(COUNTIFS(업무일지!$F$5:$F$1004,$O99,업무일지!$B$5:$B$1004,"&gt;="&amp;DATE($B$3,1,1),업무일지!$B$5:$B$1004,"&lt;"&amp;DATE($B$3+1,1,1),업무일지!$AB$5:$AB$1004,$A$46)&gt;0,1,0))</f>
        <v/>
      </c>
      <c r="CC99">
        <f>IF($O99="",0,IF(COUNTIFS(업무일지!$F$5:$F$1004,$O99,업무일지!$B$5:$B$1004,"&gt;="&amp;DATE($B$3,1,1),업무일지!$B$5:$B$1004,"&lt;"&amp;DATE($B$3+1,1,1),업무일지!$AB$5:$AB$1004,$A$47)&gt;0,1,0))</f>
        <v/>
      </c>
      <c r="CD99">
        <f>IF($O99="",0,IF(COUNTIFS(업무일지!$F$5:$F$1004,$O99,업무일지!$B$5:$B$1004,"&gt;="&amp;DATE($B$3,1,1),업무일지!$B$5:$B$1004,"&lt;"&amp;DATE($B$3+1,1,1),업무일지!$AB$5:$AB$1004,$A$48)&gt;0,1,0))</f>
        <v/>
      </c>
      <c r="CE99">
        <f>IF($O99="",0,IF(COUNTIFS(업무일지!$F$5:$F$1004,$O99,업무일지!$B$5:$B$1004,"&gt;="&amp;DATE($B$3,1,1),업무일지!$B$5:$B$1004,"&lt;"&amp;DATE($B$3+1,1,1),업무일지!$AB$5:$AB$1004,$A$49)&gt;0,1,0))</f>
        <v/>
      </c>
      <c r="CF99">
        <f>IF($O99="",0,IF(COUNTIFS(업무일지!$F$5:$F$1004,$O99,업무일지!$B$5:$B$1004,"&gt;="&amp;DATE($B$3,1,1),업무일지!$B$5:$B$1004,"&lt;"&amp;DATE($B$3+1,1,1),업무일지!$AB$5:$AB$1004,$A$50)&gt;0,1,0))</f>
        <v/>
      </c>
      <c r="CG99">
        <f>IF($O99="",0,IF(COUNTIFS(업무일지!$F$5:$F$1004,$O99,업무일지!$B$5:$B$1004,"&gt;="&amp;DATE($B$3,1,1),업무일지!$B$5:$B$1004,"&lt;"&amp;DATE($B$3+1,1,1),업무일지!$AB$5:$AB$1004,$A$51)&gt;0,1,0))</f>
        <v/>
      </c>
      <c r="CH99">
        <f>IF($O99="",0,IF(COUNTIFS(업무일지!$F$5:$F$1004,$O99,업무일지!$B$5:$B$1004,"&gt;="&amp;DATE($B$3,1,1),업무일지!$B$5:$B$1004,"&lt;"&amp;DATE($B$3+1,1,1),업무일지!$AB$5:$AB$1004,$A$52)&gt;0,1,0))</f>
        <v/>
      </c>
      <c r="CI99">
        <f>IF($O99="",0,IF(COUNTIFS(업무일지!$F$5:$F$1004,$O99,업무일지!$B$5:$B$1004,"&gt;="&amp;DATE($B$3,1,1),업무일지!$B$5:$B$1004,"&lt;"&amp;DATE($B$3+1,1,1),업무일지!$AB$5:$AB$1004,$A$53)&gt;0,1,0))</f>
        <v/>
      </c>
    </row>
    <row r="100">
      <c r="O100">
        <f>IF(사건마스터!$A20="","",사건마스터!$A20)</f>
        <v/>
      </c>
      <c r="P100">
        <f>IF($O100="",0,IF(COUNTIFS(업무일지!$F$5:$F$1004,$O100,업무일지!$B$5:$B$1004,"&gt;="&amp;DATE($B$3,1,1),업무일지!$B$5:$B$1004,"&lt;"&amp;DATE($B$3,1+1,1),업무일지!$D$5:$D$1004,"출장")&gt;0,1,0))</f>
        <v/>
      </c>
      <c r="Q100">
        <f>IF($O100="",0,IF(COUNTIFS(업무일지!$F$5:$F$1004,$O100,업무일지!$B$5:$B$1004,"&gt;="&amp;DATE($B$3,2,1),업무일지!$B$5:$B$1004,"&lt;"&amp;DATE($B$3,2+1,1),업무일지!$D$5:$D$1004,"출장")&gt;0,1,0))</f>
        <v/>
      </c>
      <c r="R100">
        <f>IF($O100="",0,IF(COUNTIFS(업무일지!$F$5:$F$1004,$O100,업무일지!$B$5:$B$1004,"&gt;="&amp;DATE($B$3,3,1),업무일지!$B$5:$B$1004,"&lt;"&amp;DATE($B$3,3+1,1),업무일지!$D$5:$D$1004,"출장")&gt;0,1,0))</f>
        <v/>
      </c>
      <c r="S100">
        <f>IF($O100="",0,IF(COUNTIFS(업무일지!$F$5:$F$1004,$O100,업무일지!$B$5:$B$1004,"&gt;="&amp;DATE($B$3,4,1),업무일지!$B$5:$B$1004,"&lt;"&amp;DATE($B$3,4+1,1),업무일지!$D$5:$D$1004,"출장")&gt;0,1,0))</f>
        <v/>
      </c>
      <c r="T100">
        <f>IF($O100="",0,IF(COUNTIFS(업무일지!$F$5:$F$1004,$O100,업무일지!$B$5:$B$1004,"&gt;="&amp;DATE($B$3,5,1),업무일지!$B$5:$B$1004,"&lt;"&amp;DATE($B$3,5+1,1),업무일지!$D$5:$D$1004,"출장")&gt;0,1,0))</f>
        <v/>
      </c>
      <c r="U100">
        <f>IF($O100="",0,IF(COUNTIFS(업무일지!$F$5:$F$1004,$O100,업무일지!$B$5:$B$1004,"&gt;="&amp;DATE($B$3,6,1),업무일지!$B$5:$B$1004,"&lt;"&amp;DATE($B$3,6+1,1),업무일지!$D$5:$D$1004,"출장")&gt;0,1,0))</f>
        <v/>
      </c>
      <c r="V100">
        <f>IF($O100="",0,IF(COUNTIFS(업무일지!$F$5:$F$1004,$O100,업무일지!$B$5:$B$1004,"&gt;="&amp;DATE($B$3,7,1),업무일지!$B$5:$B$1004,"&lt;"&amp;DATE($B$3,7+1,1),업무일지!$D$5:$D$1004,"출장")&gt;0,1,0))</f>
        <v/>
      </c>
      <c r="W100">
        <f>IF($O100="",0,IF(COUNTIFS(업무일지!$F$5:$F$1004,$O100,업무일지!$B$5:$B$1004,"&gt;="&amp;DATE($B$3,8,1),업무일지!$B$5:$B$1004,"&lt;"&amp;DATE($B$3,8+1,1),업무일지!$D$5:$D$1004,"출장")&gt;0,1,0))</f>
        <v/>
      </c>
      <c r="X100">
        <f>IF($O100="",0,IF(COUNTIFS(업무일지!$F$5:$F$1004,$O100,업무일지!$B$5:$B$1004,"&gt;="&amp;DATE($B$3,9,1),업무일지!$B$5:$B$1004,"&lt;"&amp;DATE($B$3,9+1,1),업무일지!$D$5:$D$1004,"출장")&gt;0,1,0))</f>
        <v/>
      </c>
      <c r="Y100">
        <f>IF($O100="",0,IF(COUNTIFS(업무일지!$F$5:$F$1004,$O100,업무일지!$B$5:$B$1004,"&gt;="&amp;DATE($B$3,10,1),업무일지!$B$5:$B$1004,"&lt;"&amp;DATE($B$3,10+1,1),업무일지!$D$5:$D$1004,"출장")&gt;0,1,0))</f>
        <v/>
      </c>
      <c r="Z100">
        <f>IF($O100="",0,IF(COUNTIFS(업무일지!$F$5:$F$1004,$O100,업무일지!$B$5:$B$1004,"&gt;="&amp;DATE($B$3,11,1),업무일지!$B$5:$B$1004,"&lt;"&amp;DATE($B$3,11+1,1),업무일지!$D$5:$D$1004,"출장")&gt;0,1,0))</f>
        <v/>
      </c>
      <c r="AA100">
        <f>IF($O100="",0,IF(COUNTIFS(업무일지!$F$5:$F$1004,$O100,업무일지!$B$5:$B$1004,"&gt;="&amp;DATE($B$3,12,1),업무일지!$B$5:$B$1004,"&lt;"&amp;DATE($B$3,12+1,1),업무일지!$D$5:$D$1004,"출장")&gt;0,1,0))</f>
        <v/>
      </c>
      <c r="AB100">
        <f>IF($O100="",0,IF(COUNTIFS(업무일지!$F$5:$F$1004,$O100,업무일지!$B$5:$B$1004,"&gt;="&amp;DATE($B$3,1,1),업무일지!$B$5:$B$1004,"&lt;"&amp;DATE($B$3,1+1,1),업무일지!$D$5:$D$1004,"분석")&gt;0,1,0))</f>
        <v/>
      </c>
      <c r="AC100">
        <f>IF($O100="",0,IF(COUNTIFS(업무일지!$F$5:$F$1004,$O100,업무일지!$B$5:$B$1004,"&gt;="&amp;DATE($B$3,2,1),업무일지!$B$5:$B$1004,"&lt;"&amp;DATE($B$3,2+1,1),업무일지!$D$5:$D$1004,"분석")&gt;0,1,0))</f>
        <v/>
      </c>
      <c r="AD100">
        <f>IF($O100="",0,IF(COUNTIFS(업무일지!$F$5:$F$1004,$O100,업무일지!$B$5:$B$1004,"&gt;="&amp;DATE($B$3,3,1),업무일지!$B$5:$B$1004,"&lt;"&amp;DATE($B$3,3+1,1),업무일지!$D$5:$D$1004,"분석")&gt;0,1,0))</f>
        <v/>
      </c>
      <c r="AE100">
        <f>IF($O100="",0,IF(COUNTIFS(업무일지!$F$5:$F$1004,$O100,업무일지!$B$5:$B$1004,"&gt;="&amp;DATE($B$3,4,1),업무일지!$B$5:$B$1004,"&lt;"&amp;DATE($B$3,4+1,1),업무일지!$D$5:$D$1004,"분석")&gt;0,1,0))</f>
        <v/>
      </c>
      <c r="AF100">
        <f>IF($O100="",0,IF(COUNTIFS(업무일지!$F$5:$F$1004,$O100,업무일지!$B$5:$B$1004,"&gt;="&amp;DATE($B$3,5,1),업무일지!$B$5:$B$1004,"&lt;"&amp;DATE($B$3,5+1,1),업무일지!$D$5:$D$1004,"분석")&gt;0,1,0))</f>
        <v/>
      </c>
      <c r="AG100">
        <f>IF($O100="",0,IF(COUNTIFS(업무일지!$F$5:$F$1004,$O100,업무일지!$B$5:$B$1004,"&gt;="&amp;DATE($B$3,6,1),업무일지!$B$5:$B$1004,"&lt;"&amp;DATE($B$3,6+1,1),업무일지!$D$5:$D$1004,"분석")&gt;0,1,0))</f>
        <v/>
      </c>
      <c r="AH100">
        <f>IF($O100="",0,IF(COUNTIFS(업무일지!$F$5:$F$1004,$O100,업무일지!$B$5:$B$1004,"&gt;="&amp;DATE($B$3,7,1),업무일지!$B$5:$B$1004,"&lt;"&amp;DATE($B$3,7+1,1),업무일지!$D$5:$D$1004,"분석")&gt;0,1,0))</f>
        <v/>
      </c>
      <c r="AI100">
        <f>IF($O100="",0,IF(COUNTIFS(업무일지!$F$5:$F$1004,$O100,업무일지!$B$5:$B$1004,"&gt;="&amp;DATE($B$3,8,1),업무일지!$B$5:$B$1004,"&lt;"&amp;DATE($B$3,8+1,1),업무일지!$D$5:$D$1004,"분석")&gt;0,1,0))</f>
        <v/>
      </c>
      <c r="AJ100">
        <f>IF($O100="",0,IF(COUNTIFS(업무일지!$F$5:$F$1004,$O100,업무일지!$B$5:$B$1004,"&gt;="&amp;DATE($B$3,9,1),업무일지!$B$5:$B$1004,"&lt;"&amp;DATE($B$3,9+1,1),업무일지!$D$5:$D$1004,"분석")&gt;0,1,0))</f>
        <v/>
      </c>
      <c r="AK100">
        <f>IF($O100="",0,IF(COUNTIFS(업무일지!$F$5:$F$1004,$O100,업무일지!$B$5:$B$1004,"&gt;="&amp;DATE($B$3,10,1),업무일지!$B$5:$B$1004,"&lt;"&amp;DATE($B$3,10+1,1),업무일지!$D$5:$D$1004,"분석")&gt;0,1,0))</f>
        <v/>
      </c>
      <c r="AL100">
        <f>IF($O100="",0,IF(COUNTIFS(업무일지!$F$5:$F$1004,$O100,업무일지!$B$5:$B$1004,"&gt;="&amp;DATE($B$3,11,1),업무일지!$B$5:$B$1004,"&lt;"&amp;DATE($B$3,11+1,1),업무일지!$D$5:$D$1004,"분석")&gt;0,1,0))</f>
        <v/>
      </c>
      <c r="AM100">
        <f>IF($O100="",0,IF(COUNTIFS(업무일지!$F$5:$F$1004,$O100,업무일지!$B$5:$B$1004,"&gt;="&amp;DATE($B$3,12,1),업무일지!$B$5:$B$1004,"&lt;"&amp;DATE($B$3,12+1,1),업무일지!$D$5:$D$1004,"분석")&gt;0,1,0))</f>
        <v/>
      </c>
      <c r="AN100">
        <f>IF($O100="",0,IF(COUNTIFS(업무일지!$F$5:$F$1004,$O100,업무일지!$B$5:$B$1004,"&gt;="&amp;DATE($B$3,1,1),업무일지!$B$5:$B$1004,"&lt;"&amp;DATE($B$3,1+1,1))&gt;0,1,0))</f>
        <v/>
      </c>
      <c r="AO100">
        <f>IF($O100="",0,IF(COUNTIFS(업무일지!$F$5:$F$1004,$O100,업무일지!$B$5:$B$1004,"&gt;="&amp;DATE($B$3,2,1),업무일지!$B$5:$B$1004,"&lt;"&amp;DATE($B$3,2+1,1))&gt;0,1,0))</f>
        <v/>
      </c>
      <c r="AP100">
        <f>IF($O100="",0,IF(COUNTIFS(업무일지!$F$5:$F$1004,$O100,업무일지!$B$5:$B$1004,"&gt;="&amp;DATE($B$3,3,1),업무일지!$B$5:$B$1004,"&lt;"&amp;DATE($B$3,3+1,1))&gt;0,1,0))</f>
        <v/>
      </c>
      <c r="AQ100">
        <f>IF($O100="",0,IF(COUNTIFS(업무일지!$F$5:$F$1004,$O100,업무일지!$B$5:$B$1004,"&gt;="&amp;DATE($B$3,4,1),업무일지!$B$5:$B$1004,"&lt;"&amp;DATE($B$3,4+1,1))&gt;0,1,0))</f>
        <v/>
      </c>
      <c r="AR100">
        <f>IF($O100="",0,IF(COUNTIFS(업무일지!$F$5:$F$1004,$O100,업무일지!$B$5:$B$1004,"&gt;="&amp;DATE($B$3,5,1),업무일지!$B$5:$B$1004,"&lt;"&amp;DATE($B$3,5+1,1))&gt;0,1,0))</f>
        <v/>
      </c>
      <c r="AS100">
        <f>IF($O100="",0,IF(COUNTIFS(업무일지!$F$5:$F$1004,$O100,업무일지!$B$5:$B$1004,"&gt;="&amp;DATE($B$3,6,1),업무일지!$B$5:$B$1004,"&lt;"&amp;DATE($B$3,6+1,1))&gt;0,1,0))</f>
        <v/>
      </c>
      <c r="AT100">
        <f>IF($O100="",0,IF(COUNTIFS(업무일지!$F$5:$F$1004,$O100,업무일지!$B$5:$B$1004,"&gt;="&amp;DATE($B$3,7,1),업무일지!$B$5:$B$1004,"&lt;"&amp;DATE($B$3,7+1,1))&gt;0,1,0))</f>
        <v/>
      </c>
      <c r="AU100">
        <f>IF($O100="",0,IF(COUNTIFS(업무일지!$F$5:$F$1004,$O100,업무일지!$B$5:$B$1004,"&gt;="&amp;DATE($B$3,8,1),업무일지!$B$5:$B$1004,"&lt;"&amp;DATE($B$3,8+1,1))&gt;0,1,0))</f>
        <v/>
      </c>
      <c r="AV100">
        <f>IF($O100="",0,IF(COUNTIFS(업무일지!$F$5:$F$1004,$O100,업무일지!$B$5:$B$1004,"&gt;="&amp;DATE($B$3,9,1),업무일지!$B$5:$B$1004,"&lt;"&amp;DATE($B$3,9+1,1))&gt;0,1,0))</f>
        <v/>
      </c>
      <c r="AW100">
        <f>IF($O100="",0,IF(COUNTIFS(업무일지!$F$5:$F$1004,$O100,업무일지!$B$5:$B$1004,"&gt;="&amp;DATE($B$3,10,1),업무일지!$B$5:$B$1004,"&lt;"&amp;DATE($B$3,10+1,1))&gt;0,1,0))</f>
        <v/>
      </c>
      <c r="AX100">
        <f>IF($O100="",0,IF(COUNTIFS(업무일지!$F$5:$F$1004,$O100,업무일지!$B$5:$B$1004,"&gt;="&amp;DATE($B$3,11,1),업무일지!$B$5:$B$1004,"&lt;"&amp;DATE($B$3,11+1,1))&gt;0,1,0))</f>
        <v/>
      </c>
      <c r="AY100">
        <f>IF($O100="",0,IF(COUNTIFS(업무일지!$F$5:$F$1004,$O100,업무일지!$B$5:$B$1004,"&gt;="&amp;DATE($B$3,12,1),업무일지!$B$5:$B$1004,"&lt;"&amp;DATE($B$3,12+1,1))&gt;0,1,0))</f>
        <v/>
      </c>
      <c r="AZ100">
        <f>IF($O100="",0,IF(COUNTIFS(업무일지!$F$5:$F$1004,$O100,업무일지!$B$5:$B$1004,"&gt;="&amp;DATE($B$3,1,1),업무일지!$B$5:$B$1004,"&lt;"&amp;DATE($B$3+1,1,1),업무일지!$D$5:$D$1004,"출장")&gt;0,1,0))</f>
        <v/>
      </c>
      <c r="BA100">
        <f>IF($O100="",0,IF(COUNTIFS(업무일지!$F$5:$F$1004,$O100,업무일지!$B$5:$B$1004,"&gt;="&amp;DATE($B$3,1,1),업무일지!$B$5:$B$1004,"&lt;"&amp;DATE($B$3+1,1,1),업무일지!$D$5:$D$1004,"분석")&gt;0,1,0))</f>
        <v/>
      </c>
      <c r="BB100">
        <f>IF($O100="",0,IF(COUNTIFS(업무일지!$F$5:$F$1004,$O100,업무일지!$B$5:$B$1004,"&gt;="&amp;DATE($B$3,1,1),업무일지!$B$5:$B$1004,"&lt;"&amp;DATE($B$3+1,1,1))&gt;0,1,0))</f>
        <v/>
      </c>
      <c r="BD100">
        <f>IF($O100="",0,IF(COUNTIFS(업무일지!$F$5:$F$1004,$O100,업무일지!$B$5:$B$1004,"&gt;="&amp;DATE($B$3,1,1),업무일지!$B$5:$B$1004,"&lt;"&amp;DATE($B$3+1,1,1),업무일지!$AB$5:$AB$1004,$A$44,업무일지!$D$5:$D$1004,"출장")&gt;0,1,0))</f>
        <v/>
      </c>
      <c r="BE100">
        <f>IF($O100="",0,IF(COUNTIFS(업무일지!$F$5:$F$1004,$O100,업무일지!$B$5:$B$1004,"&gt;="&amp;DATE($B$3,1,1),업무일지!$B$5:$B$1004,"&lt;"&amp;DATE($B$3+1,1,1),업무일지!$AB$5:$AB$1004,$A$45,업무일지!$D$5:$D$1004,"출장")&gt;0,1,0))</f>
        <v/>
      </c>
      <c r="BF100">
        <f>IF($O100="",0,IF(COUNTIFS(업무일지!$F$5:$F$1004,$O100,업무일지!$B$5:$B$1004,"&gt;="&amp;DATE($B$3,1,1),업무일지!$B$5:$B$1004,"&lt;"&amp;DATE($B$3+1,1,1),업무일지!$AB$5:$AB$1004,$A$46,업무일지!$D$5:$D$1004,"출장")&gt;0,1,0))</f>
        <v/>
      </c>
      <c r="BG100">
        <f>IF($O100="",0,IF(COUNTIFS(업무일지!$F$5:$F$1004,$O100,업무일지!$B$5:$B$1004,"&gt;="&amp;DATE($B$3,1,1),업무일지!$B$5:$B$1004,"&lt;"&amp;DATE($B$3+1,1,1),업무일지!$AB$5:$AB$1004,$A$47,업무일지!$D$5:$D$1004,"출장")&gt;0,1,0))</f>
        <v/>
      </c>
      <c r="BH100">
        <f>IF($O100="",0,IF(COUNTIFS(업무일지!$F$5:$F$1004,$O100,업무일지!$B$5:$B$1004,"&gt;="&amp;DATE($B$3,1,1),업무일지!$B$5:$B$1004,"&lt;"&amp;DATE($B$3+1,1,1),업무일지!$AB$5:$AB$1004,$A$48,업무일지!$D$5:$D$1004,"출장")&gt;0,1,0))</f>
        <v/>
      </c>
      <c r="BI100">
        <f>IF($O100="",0,IF(COUNTIFS(업무일지!$F$5:$F$1004,$O100,업무일지!$B$5:$B$1004,"&gt;="&amp;DATE($B$3,1,1),업무일지!$B$5:$B$1004,"&lt;"&amp;DATE($B$3+1,1,1),업무일지!$AB$5:$AB$1004,$A$49,업무일지!$D$5:$D$1004,"출장")&gt;0,1,0))</f>
        <v/>
      </c>
      <c r="BJ100">
        <f>IF($O100="",0,IF(COUNTIFS(업무일지!$F$5:$F$1004,$O100,업무일지!$B$5:$B$1004,"&gt;="&amp;DATE($B$3,1,1),업무일지!$B$5:$B$1004,"&lt;"&amp;DATE($B$3+1,1,1),업무일지!$AB$5:$AB$1004,$A$50,업무일지!$D$5:$D$1004,"출장")&gt;0,1,0))</f>
        <v/>
      </c>
      <c r="BK100">
        <f>IF($O100="",0,IF(COUNTIFS(업무일지!$F$5:$F$1004,$O100,업무일지!$B$5:$B$1004,"&gt;="&amp;DATE($B$3,1,1),업무일지!$B$5:$B$1004,"&lt;"&amp;DATE($B$3+1,1,1),업무일지!$AB$5:$AB$1004,$A$51,업무일지!$D$5:$D$1004,"출장")&gt;0,1,0))</f>
        <v/>
      </c>
      <c r="BL100">
        <f>IF($O100="",0,IF(COUNTIFS(업무일지!$F$5:$F$1004,$O100,업무일지!$B$5:$B$1004,"&gt;="&amp;DATE($B$3,1,1),업무일지!$B$5:$B$1004,"&lt;"&amp;DATE($B$3+1,1,1),업무일지!$AB$5:$AB$1004,$A$52,업무일지!$D$5:$D$1004,"출장")&gt;0,1,0))</f>
        <v/>
      </c>
      <c r="BM100">
        <f>IF($O100="",0,IF(COUNTIFS(업무일지!$F$5:$F$1004,$O100,업무일지!$B$5:$B$1004,"&gt;="&amp;DATE($B$3,1,1),업무일지!$B$5:$B$1004,"&lt;"&amp;DATE($B$3+1,1,1),업무일지!$AB$5:$AB$1004,$A$53,업무일지!$D$5:$D$1004,"출장")&gt;0,1,0))</f>
        <v/>
      </c>
      <c r="BO100">
        <f>IF($O100="",0,IF(COUNTIFS(업무일지!$F$5:$F$1004,$O100,업무일지!$B$5:$B$1004,"&gt;="&amp;DATE($B$3,1,1),업무일지!$B$5:$B$1004,"&lt;"&amp;DATE($B$3+1,1,1),업무일지!$AB$5:$AB$1004,$A$44,업무일지!$D$5:$D$1004,"분석")&gt;0,1,0))</f>
        <v/>
      </c>
      <c r="BP100">
        <f>IF($O100="",0,IF(COUNTIFS(업무일지!$F$5:$F$1004,$O100,업무일지!$B$5:$B$1004,"&gt;="&amp;DATE($B$3,1,1),업무일지!$B$5:$B$1004,"&lt;"&amp;DATE($B$3+1,1,1),업무일지!$AB$5:$AB$1004,$A$45,업무일지!$D$5:$D$1004,"분석")&gt;0,1,0))</f>
        <v/>
      </c>
      <c r="BQ100">
        <f>IF($O100="",0,IF(COUNTIFS(업무일지!$F$5:$F$1004,$O100,업무일지!$B$5:$B$1004,"&gt;="&amp;DATE($B$3,1,1),업무일지!$B$5:$B$1004,"&lt;"&amp;DATE($B$3+1,1,1),업무일지!$AB$5:$AB$1004,$A$46,업무일지!$D$5:$D$1004,"분석")&gt;0,1,0))</f>
        <v/>
      </c>
      <c r="BR100">
        <f>IF($O100="",0,IF(COUNTIFS(업무일지!$F$5:$F$1004,$O100,업무일지!$B$5:$B$1004,"&gt;="&amp;DATE($B$3,1,1),업무일지!$B$5:$B$1004,"&lt;"&amp;DATE($B$3+1,1,1),업무일지!$AB$5:$AB$1004,$A$47,업무일지!$D$5:$D$1004,"분석")&gt;0,1,0))</f>
        <v/>
      </c>
      <c r="BS100">
        <f>IF($O100="",0,IF(COUNTIFS(업무일지!$F$5:$F$1004,$O100,업무일지!$B$5:$B$1004,"&gt;="&amp;DATE($B$3,1,1),업무일지!$B$5:$B$1004,"&lt;"&amp;DATE($B$3+1,1,1),업무일지!$AB$5:$AB$1004,$A$48,업무일지!$D$5:$D$1004,"분석")&gt;0,1,0))</f>
        <v/>
      </c>
      <c r="BT100">
        <f>IF($O100="",0,IF(COUNTIFS(업무일지!$F$5:$F$1004,$O100,업무일지!$B$5:$B$1004,"&gt;="&amp;DATE($B$3,1,1),업무일지!$B$5:$B$1004,"&lt;"&amp;DATE($B$3+1,1,1),업무일지!$AB$5:$AB$1004,$A$49,업무일지!$D$5:$D$1004,"분석")&gt;0,1,0))</f>
        <v/>
      </c>
      <c r="BU100">
        <f>IF($O100="",0,IF(COUNTIFS(업무일지!$F$5:$F$1004,$O100,업무일지!$B$5:$B$1004,"&gt;="&amp;DATE($B$3,1,1),업무일지!$B$5:$B$1004,"&lt;"&amp;DATE($B$3+1,1,1),업무일지!$AB$5:$AB$1004,$A$50,업무일지!$D$5:$D$1004,"분석")&gt;0,1,0))</f>
        <v/>
      </c>
      <c r="BV100">
        <f>IF($O100="",0,IF(COUNTIFS(업무일지!$F$5:$F$1004,$O100,업무일지!$B$5:$B$1004,"&gt;="&amp;DATE($B$3,1,1),업무일지!$B$5:$B$1004,"&lt;"&amp;DATE($B$3+1,1,1),업무일지!$AB$5:$AB$1004,$A$51,업무일지!$D$5:$D$1004,"분석")&gt;0,1,0))</f>
        <v/>
      </c>
      <c r="BW100">
        <f>IF($O100="",0,IF(COUNTIFS(업무일지!$F$5:$F$1004,$O100,업무일지!$B$5:$B$1004,"&gt;="&amp;DATE($B$3,1,1),업무일지!$B$5:$B$1004,"&lt;"&amp;DATE($B$3+1,1,1),업무일지!$AB$5:$AB$1004,$A$52,업무일지!$D$5:$D$1004,"분석")&gt;0,1,0))</f>
        <v/>
      </c>
      <c r="BX100">
        <f>IF($O100="",0,IF(COUNTIFS(업무일지!$F$5:$F$1004,$O100,업무일지!$B$5:$B$1004,"&gt;="&amp;DATE($B$3,1,1),업무일지!$B$5:$B$1004,"&lt;"&amp;DATE($B$3+1,1,1),업무일지!$AB$5:$AB$1004,$A$53,업무일지!$D$5:$D$1004,"분석")&gt;0,1,0))</f>
        <v/>
      </c>
      <c r="BZ100">
        <f>IF($O100="",0,IF(COUNTIFS(업무일지!$F$5:$F$1004,$O100,업무일지!$B$5:$B$1004,"&gt;="&amp;DATE($B$3,1,1),업무일지!$B$5:$B$1004,"&lt;"&amp;DATE($B$3+1,1,1),업무일지!$AB$5:$AB$1004,$A$44)&gt;0,1,0))</f>
        <v/>
      </c>
      <c r="CA100">
        <f>IF($O100="",0,IF(COUNTIFS(업무일지!$F$5:$F$1004,$O100,업무일지!$B$5:$B$1004,"&gt;="&amp;DATE($B$3,1,1),업무일지!$B$5:$B$1004,"&lt;"&amp;DATE($B$3+1,1,1),업무일지!$AB$5:$AB$1004,$A$45)&gt;0,1,0))</f>
        <v/>
      </c>
      <c r="CB100">
        <f>IF($O100="",0,IF(COUNTIFS(업무일지!$F$5:$F$1004,$O100,업무일지!$B$5:$B$1004,"&gt;="&amp;DATE($B$3,1,1),업무일지!$B$5:$B$1004,"&lt;"&amp;DATE($B$3+1,1,1),업무일지!$AB$5:$AB$1004,$A$46)&gt;0,1,0))</f>
        <v/>
      </c>
      <c r="CC100">
        <f>IF($O100="",0,IF(COUNTIFS(업무일지!$F$5:$F$1004,$O100,업무일지!$B$5:$B$1004,"&gt;="&amp;DATE($B$3,1,1),업무일지!$B$5:$B$1004,"&lt;"&amp;DATE($B$3+1,1,1),업무일지!$AB$5:$AB$1004,$A$47)&gt;0,1,0))</f>
        <v/>
      </c>
      <c r="CD100">
        <f>IF($O100="",0,IF(COUNTIFS(업무일지!$F$5:$F$1004,$O100,업무일지!$B$5:$B$1004,"&gt;="&amp;DATE($B$3,1,1),업무일지!$B$5:$B$1004,"&lt;"&amp;DATE($B$3+1,1,1),업무일지!$AB$5:$AB$1004,$A$48)&gt;0,1,0))</f>
        <v/>
      </c>
      <c r="CE100">
        <f>IF($O100="",0,IF(COUNTIFS(업무일지!$F$5:$F$1004,$O100,업무일지!$B$5:$B$1004,"&gt;="&amp;DATE($B$3,1,1),업무일지!$B$5:$B$1004,"&lt;"&amp;DATE($B$3+1,1,1),업무일지!$AB$5:$AB$1004,$A$49)&gt;0,1,0))</f>
        <v/>
      </c>
      <c r="CF100">
        <f>IF($O100="",0,IF(COUNTIFS(업무일지!$F$5:$F$1004,$O100,업무일지!$B$5:$B$1004,"&gt;="&amp;DATE($B$3,1,1),업무일지!$B$5:$B$1004,"&lt;"&amp;DATE($B$3+1,1,1),업무일지!$AB$5:$AB$1004,$A$50)&gt;0,1,0))</f>
        <v/>
      </c>
      <c r="CG100">
        <f>IF($O100="",0,IF(COUNTIFS(업무일지!$F$5:$F$1004,$O100,업무일지!$B$5:$B$1004,"&gt;="&amp;DATE($B$3,1,1),업무일지!$B$5:$B$1004,"&lt;"&amp;DATE($B$3+1,1,1),업무일지!$AB$5:$AB$1004,$A$51)&gt;0,1,0))</f>
        <v/>
      </c>
      <c r="CH100">
        <f>IF($O100="",0,IF(COUNTIFS(업무일지!$F$5:$F$1004,$O100,업무일지!$B$5:$B$1004,"&gt;="&amp;DATE($B$3,1,1),업무일지!$B$5:$B$1004,"&lt;"&amp;DATE($B$3+1,1,1),업무일지!$AB$5:$AB$1004,$A$52)&gt;0,1,0))</f>
        <v/>
      </c>
      <c r="CI100">
        <f>IF($O100="",0,IF(COUNTIFS(업무일지!$F$5:$F$1004,$O100,업무일지!$B$5:$B$1004,"&gt;="&amp;DATE($B$3,1,1),업무일지!$B$5:$B$1004,"&lt;"&amp;DATE($B$3+1,1,1),업무일지!$AB$5:$AB$1004,$A$53)&gt;0,1,0))</f>
        <v/>
      </c>
    </row>
    <row r="101">
      <c r="O101">
        <f>IF(사건마스터!$A21="","",사건마스터!$A21)</f>
        <v/>
      </c>
      <c r="P101">
        <f>IF($O101="",0,IF(COUNTIFS(업무일지!$F$5:$F$1004,$O101,업무일지!$B$5:$B$1004,"&gt;="&amp;DATE($B$3,1,1),업무일지!$B$5:$B$1004,"&lt;"&amp;DATE($B$3,1+1,1),업무일지!$D$5:$D$1004,"출장")&gt;0,1,0))</f>
        <v/>
      </c>
      <c r="Q101">
        <f>IF($O101="",0,IF(COUNTIFS(업무일지!$F$5:$F$1004,$O101,업무일지!$B$5:$B$1004,"&gt;="&amp;DATE($B$3,2,1),업무일지!$B$5:$B$1004,"&lt;"&amp;DATE($B$3,2+1,1),업무일지!$D$5:$D$1004,"출장")&gt;0,1,0))</f>
        <v/>
      </c>
      <c r="R101">
        <f>IF($O101="",0,IF(COUNTIFS(업무일지!$F$5:$F$1004,$O101,업무일지!$B$5:$B$1004,"&gt;="&amp;DATE($B$3,3,1),업무일지!$B$5:$B$1004,"&lt;"&amp;DATE($B$3,3+1,1),업무일지!$D$5:$D$1004,"출장")&gt;0,1,0))</f>
        <v/>
      </c>
      <c r="S101">
        <f>IF($O101="",0,IF(COUNTIFS(업무일지!$F$5:$F$1004,$O101,업무일지!$B$5:$B$1004,"&gt;="&amp;DATE($B$3,4,1),업무일지!$B$5:$B$1004,"&lt;"&amp;DATE($B$3,4+1,1),업무일지!$D$5:$D$1004,"출장")&gt;0,1,0))</f>
        <v/>
      </c>
      <c r="T101">
        <f>IF($O101="",0,IF(COUNTIFS(업무일지!$F$5:$F$1004,$O101,업무일지!$B$5:$B$1004,"&gt;="&amp;DATE($B$3,5,1),업무일지!$B$5:$B$1004,"&lt;"&amp;DATE($B$3,5+1,1),업무일지!$D$5:$D$1004,"출장")&gt;0,1,0))</f>
        <v/>
      </c>
      <c r="U101">
        <f>IF($O101="",0,IF(COUNTIFS(업무일지!$F$5:$F$1004,$O101,업무일지!$B$5:$B$1004,"&gt;="&amp;DATE($B$3,6,1),업무일지!$B$5:$B$1004,"&lt;"&amp;DATE($B$3,6+1,1),업무일지!$D$5:$D$1004,"출장")&gt;0,1,0))</f>
        <v/>
      </c>
      <c r="V101">
        <f>IF($O101="",0,IF(COUNTIFS(업무일지!$F$5:$F$1004,$O101,업무일지!$B$5:$B$1004,"&gt;="&amp;DATE($B$3,7,1),업무일지!$B$5:$B$1004,"&lt;"&amp;DATE($B$3,7+1,1),업무일지!$D$5:$D$1004,"출장")&gt;0,1,0))</f>
        <v/>
      </c>
      <c r="W101">
        <f>IF($O101="",0,IF(COUNTIFS(업무일지!$F$5:$F$1004,$O101,업무일지!$B$5:$B$1004,"&gt;="&amp;DATE($B$3,8,1),업무일지!$B$5:$B$1004,"&lt;"&amp;DATE($B$3,8+1,1),업무일지!$D$5:$D$1004,"출장")&gt;0,1,0))</f>
        <v/>
      </c>
      <c r="X101">
        <f>IF($O101="",0,IF(COUNTIFS(업무일지!$F$5:$F$1004,$O101,업무일지!$B$5:$B$1004,"&gt;="&amp;DATE($B$3,9,1),업무일지!$B$5:$B$1004,"&lt;"&amp;DATE($B$3,9+1,1),업무일지!$D$5:$D$1004,"출장")&gt;0,1,0))</f>
        <v/>
      </c>
      <c r="Y101">
        <f>IF($O101="",0,IF(COUNTIFS(업무일지!$F$5:$F$1004,$O101,업무일지!$B$5:$B$1004,"&gt;="&amp;DATE($B$3,10,1),업무일지!$B$5:$B$1004,"&lt;"&amp;DATE($B$3,10+1,1),업무일지!$D$5:$D$1004,"출장")&gt;0,1,0))</f>
        <v/>
      </c>
      <c r="Z101">
        <f>IF($O101="",0,IF(COUNTIFS(업무일지!$F$5:$F$1004,$O101,업무일지!$B$5:$B$1004,"&gt;="&amp;DATE($B$3,11,1),업무일지!$B$5:$B$1004,"&lt;"&amp;DATE($B$3,11+1,1),업무일지!$D$5:$D$1004,"출장")&gt;0,1,0))</f>
        <v/>
      </c>
      <c r="AA101">
        <f>IF($O101="",0,IF(COUNTIFS(업무일지!$F$5:$F$1004,$O101,업무일지!$B$5:$B$1004,"&gt;="&amp;DATE($B$3,12,1),업무일지!$B$5:$B$1004,"&lt;"&amp;DATE($B$3,12+1,1),업무일지!$D$5:$D$1004,"출장")&gt;0,1,0))</f>
        <v/>
      </c>
      <c r="AB101">
        <f>IF($O101="",0,IF(COUNTIFS(업무일지!$F$5:$F$1004,$O101,업무일지!$B$5:$B$1004,"&gt;="&amp;DATE($B$3,1,1),업무일지!$B$5:$B$1004,"&lt;"&amp;DATE($B$3,1+1,1),업무일지!$D$5:$D$1004,"분석")&gt;0,1,0))</f>
        <v/>
      </c>
      <c r="AC101">
        <f>IF($O101="",0,IF(COUNTIFS(업무일지!$F$5:$F$1004,$O101,업무일지!$B$5:$B$1004,"&gt;="&amp;DATE($B$3,2,1),업무일지!$B$5:$B$1004,"&lt;"&amp;DATE($B$3,2+1,1),업무일지!$D$5:$D$1004,"분석")&gt;0,1,0))</f>
        <v/>
      </c>
      <c r="AD101">
        <f>IF($O101="",0,IF(COUNTIFS(업무일지!$F$5:$F$1004,$O101,업무일지!$B$5:$B$1004,"&gt;="&amp;DATE($B$3,3,1),업무일지!$B$5:$B$1004,"&lt;"&amp;DATE($B$3,3+1,1),업무일지!$D$5:$D$1004,"분석")&gt;0,1,0))</f>
        <v/>
      </c>
      <c r="AE101">
        <f>IF($O101="",0,IF(COUNTIFS(업무일지!$F$5:$F$1004,$O101,업무일지!$B$5:$B$1004,"&gt;="&amp;DATE($B$3,4,1),업무일지!$B$5:$B$1004,"&lt;"&amp;DATE($B$3,4+1,1),업무일지!$D$5:$D$1004,"분석")&gt;0,1,0))</f>
        <v/>
      </c>
      <c r="AF101">
        <f>IF($O101="",0,IF(COUNTIFS(업무일지!$F$5:$F$1004,$O101,업무일지!$B$5:$B$1004,"&gt;="&amp;DATE($B$3,5,1),업무일지!$B$5:$B$1004,"&lt;"&amp;DATE($B$3,5+1,1),업무일지!$D$5:$D$1004,"분석")&gt;0,1,0))</f>
        <v/>
      </c>
      <c r="AG101">
        <f>IF($O101="",0,IF(COUNTIFS(업무일지!$F$5:$F$1004,$O101,업무일지!$B$5:$B$1004,"&gt;="&amp;DATE($B$3,6,1),업무일지!$B$5:$B$1004,"&lt;"&amp;DATE($B$3,6+1,1),업무일지!$D$5:$D$1004,"분석")&gt;0,1,0))</f>
        <v/>
      </c>
      <c r="AH101">
        <f>IF($O101="",0,IF(COUNTIFS(업무일지!$F$5:$F$1004,$O101,업무일지!$B$5:$B$1004,"&gt;="&amp;DATE($B$3,7,1),업무일지!$B$5:$B$1004,"&lt;"&amp;DATE($B$3,7+1,1),업무일지!$D$5:$D$1004,"분석")&gt;0,1,0))</f>
        <v/>
      </c>
      <c r="AI101">
        <f>IF($O101="",0,IF(COUNTIFS(업무일지!$F$5:$F$1004,$O101,업무일지!$B$5:$B$1004,"&gt;="&amp;DATE($B$3,8,1),업무일지!$B$5:$B$1004,"&lt;"&amp;DATE($B$3,8+1,1),업무일지!$D$5:$D$1004,"분석")&gt;0,1,0))</f>
        <v/>
      </c>
      <c r="AJ101">
        <f>IF($O101="",0,IF(COUNTIFS(업무일지!$F$5:$F$1004,$O101,업무일지!$B$5:$B$1004,"&gt;="&amp;DATE($B$3,9,1),업무일지!$B$5:$B$1004,"&lt;"&amp;DATE($B$3,9+1,1),업무일지!$D$5:$D$1004,"분석")&gt;0,1,0))</f>
        <v/>
      </c>
      <c r="AK101">
        <f>IF($O101="",0,IF(COUNTIFS(업무일지!$F$5:$F$1004,$O101,업무일지!$B$5:$B$1004,"&gt;="&amp;DATE($B$3,10,1),업무일지!$B$5:$B$1004,"&lt;"&amp;DATE($B$3,10+1,1),업무일지!$D$5:$D$1004,"분석")&gt;0,1,0))</f>
        <v/>
      </c>
      <c r="AL101">
        <f>IF($O101="",0,IF(COUNTIFS(업무일지!$F$5:$F$1004,$O101,업무일지!$B$5:$B$1004,"&gt;="&amp;DATE($B$3,11,1),업무일지!$B$5:$B$1004,"&lt;"&amp;DATE($B$3,11+1,1),업무일지!$D$5:$D$1004,"분석")&gt;0,1,0))</f>
        <v/>
      </c>
      <c r="AM101">
        <f>IF($O101="",0,IF(COUNTIFS(업무일지!$F$5:$F$1004,$O101,업무일지!$B$5:$B$1004,"&gt;="&amp;DATE($B$3,12,1),업무일지!$B$5:$B$1004,"&lt;"&amp;DATE($B$3,12+1,1),업무일지!$D$5:$D$1004,"분석")&gt;0,1,0))</f>
        <v/>
      </c>
      <c r="AN101">
        <f>IF($O101="",0,IF(COUNTIFS(업무일지!$F$5:$F$1004,$O101,업무일지!$B$5:$B$1004,"&gt;="&amp;DATE($B$3,1,1),업무일지!$B$5:$B$1004,"&lt;"&amp;DATE($B$3,1+1,1))&gt;0,1,0))</f>
        <v/>
      </c>
      <c r="AO101">
        <f>IF($O101="",0,IF(COUNTIFS(업무일지!$F$5:$F$1004,$O101,업무일지!$B$5:$B$1004,"&gt;="&amp;DATE($B$3,2,1),업무일지!$B$5:$B$1004,"&lt;"&amp;DATE($B$3,2+1,1))&gt;0,1,0))</f>
        <v/>
      </c>
      <c r="AP101">
        <f>IF($O101="",0,IF(COUNTIFS(업무일지!$F$5:$F$1004,$O101,업무일지!$B$5:$B$1004,"&gt;="&amp;DATE($B$3,3,1),업무일지!$B$5:$B$1004,"&lt;"&amp;DATE($B$3,3+1,1))&gt;0,1,0))</f>
        <v/>
      </c>
      <c r="AQ101">
        <f>IF($O101="",0,IF(COUNTIFS(업무일지!$F$5:$F$1004,$O101,업무일지!$B$5:$B$1004,"&gt;="&amp;DATE($B$3,4,1),업무일지!$B$5:$B$1004,"&lt;"&amp;DATE($B$3,4+1,1))&gt;0,1,0))</f>
        <v/>
      </c>
      <c r="AR101">
        <f>IF($O101="",0,IF(COUNTIFS(업무일지!$F$5:$F$1004,$O101,업무일지!$B$5:$B$1004,"&gt;="&amp;DATE($B$3,5,1),업무일지!$B$5:$B$1004,"&lt;"&amp;DATE($B$3,5+1,1))&gt;0,1,0))</f>
        <v/>
      </c>
      <c r="AS101">
        <f>IF($O101="",0,IF(COUNTIFS(업무일지!$F$5:$F$1004,$O101,업무일지!$B$5:$B$1004,"&gt;="&amp;DATE($B$3,6,1),업무일지!$B$5:$B$1004,"&lt;"&amp;DATE($B$3,6+1,1))&gt;0,1,0))</f>
        <v/>
      </c>
      <c r="AT101">
        <f>IF($O101="",0,IF(COUNTIFS(업무일지!$F$5:$F$1004,$O101,업무일지!$B$5:$B$1004,"&gt;="&amp;DATE($B$3,7,1),업무일지!$B$5:$B$1004,"&lt;"&amp;DATE($B$3,7+1,1))&gt;0,1,0))</f>
        <v/>
      </c>
      <c r="AU101">
        <f>IF($O101="",0,IF(COUNTIFS(업무일지!$F$5:$F$1004,$O101,업무일지!$B$5:$B$1004,"&gt;="&amp;DATE($B$3,8,1),업무일지!$B$5:$B$1004,"&lt;"&amp;DATE($B$3,8+1,1))&gt;0,1,0))</f>
        <v/>
      </c>
      <c r="AV101">
        <f>IF($O101="",0,IF(COUNTIFS(업무일지!$F$5:$F$1004,$O101,업무일지!$B$5:$B$1004,"&gt;="&amp;DATE($B$3,9,1),업무일지!$B$5:$B$1004,"&lt;"&amp;DATE($B$3,9+1,1))&gt;0,1,0))</f>
        <v/>
      </c>
      <c r="AW101">
        <f>IF($O101="",0,IF(COUNTIFS(업무일지!$F$5:$F$1004,$O101,업무일지!$B$5:$B$1004,"&gt;="&amp;DATE($B$3,10,1),업무일지!$B$5:$B$1004,"&lt;"&amp;DATE($B$3,10+1,1))&gt;0,1,0))</f>
        <v/>
      </c>
      <c r="AX101">
        <f>IF($O101="",0,IF(COUNTIFS(업무일지!$F$5:$F$1004,$O101,업무일지!$B$5:$B$1004,"&gt;="&amp;DATE($B$3,11,1),업무일지!$B$5:$B$1004,"&lt;"&amp;DATE($B$3,11+1,1))&gt;0,1,0))</f>
        <v/>
      </c>
      <c r="AY101">
        <f>IF($O101="",0,IF(COUNTIFS(업무일지!$F$5:$F$1004,$O101,업무일지!$B$5:$B$1004,"&gt;="&amp;DATE($B$3,12,1),업무일지!$B$5:$B$1004,"&lt;"&amp;DATE($B$3,12+1,1))&gt;0,1,0))</f>
        <v/>
      </c>
      <c r="AZ101">
        <f>IF($O101="",0,IF(COUNTIFS(업무일지!$F$5:$F$1004,$O101,업무일지!$B$5:$B$1004,"&gt;="&amp;DATE($B$3,1,1),업무일지!$B$5:$B$1004,"&lt;"&amp;DATE($B$3+1,1,1),업무일지!$D$5:$D$1004,"출장")&gt;0,1,0))</f>
        <v/>
      </c>
      <c r="BA101">
        <f>IF($O101="",0,IF(COUNTIFS(업무일지!$F$5:$F$1004,$O101,업무일지!$B$5:$B$1004,"&gt;="&amp;DATE($B$3,1,1),업무일지!$B$5:$B$1004,"&lt;"&amp;DATE($B$3+1,1,1),업무일지!$D$5:$D$1004,"분석")&gt;0,1,0))</f>
        <v/>
      </c>
      <c r="BB101">
        <f>IF($O101="",0,IF(COUNTIFS(업무일지!$F$5:$F$1004,$O101,업무일지!$B$5:$B$1004,"&gt;="&amp;DATE($B$3,1,1),업무일지!$B$5:$B$1004,"&lt;"&amp;DATE($B$3+1,1,1))&gt;0,1,0))</f>
        <v/>
      </c>
      <c r="BD101">
        <f>IF($O101="",0,IF(COUNTIFS(업무일지!$F$5:$F$1004,$O101,업무일지!$B$5:$B$1004,"&gt;="&amp;DATE($B$3,1,1),업무일지!$B$5:$B$1004,"&lt;"&amp;DATE($B$3+1,1,1),업무일지!$AB$5:$AB$1004,$A$44,업무일지!$D$5:$D$1004,"출장")&gt;0,1,0))</f>
        <v/>
      </c>
      <c r="BE101">
        <f>IF($O101="",0,IF(COUNTIFS(업무일지!$F$5:$F$1004,$O101,업무일지!$B$5:$B$1004,"&gt;="&amp;DATE($B$3,1,1),업무일지!$B$5:$B$1004,"&lt;"&amp;DATE($B$3+1,1,1),업무일지!$AB$5:$AB$1004,$A$45,업무일지!$D$5:$D$1004,"출장")&gt;0,1,0))</f>
        <v/>
      </c>
      <c r="BF101">
        <f>IF($O101="",0,IF(COUNTIFS(업무일지!$F$5:$F$1004,$O101,업무일지!$B$5:$B$1004,"&gt;="&amp;DATE($B$3,1,1),업무일지!$B$5:$B$1004,"&lt;"&amp;DATE($B$3+1,1,1),업무일지!$AB$5:$AB$1004,$A$46,업무일지!$D$5:$D$1004,"출장")&gt;0,1,0))</f>
        <v/>
      </c>
      <c r="BG101">
        <f>IF($O101="",0,IF(COUNTIFS(업무일지!$F$5:$F$1004,$O101,업무일지!$B$5:$B$1004,"&gt;="&amp;DATE($B$3,1,1),업무일지!$B$5:$B$1004,"&lt;"&amp;DATE($B$3+1,1,1),업무일지!$AB$5:$AB$1004,$A$47,업무일지!$D$5:$D$1004,"출장")&gt;0,1,0))</f>
        <v/>
      </c>
      <c r="BH101">
        <f>IF($O101="",0,IF(COUNTIFS(업무일지!$F$5:$F$1004,$O101,업무일지!$B$5:$B$1004,"&gt;="&amp;DATE($B$3,1,1),업무일지!$B$5:$B$1004,"&lt;"&amp;DATE($B$3+1,1,1),업무일지!$AB$5:$AB$1004,$A$48,업무일지!$D$5:$D$1004,"출장")&gt;0,1,0))</f>
        <v/>
      </c>
      <c r="BI101">
        <f>IF($O101="",0,IF(COUNTIFS(업무일지!$F$5:$F$1004,$O101,업무일지!$B$5:$B$1004,"&gt;="&amp;DATE($B$3,1,1),업무일지!$B$5:$B$1004,"&lt;"&amp;DATE($B$3+1,1,1),업무일지!$AB$5:$AB$1004,$A$49,업무일지!$D$5:$D$1004,"출장")&gt;0,1,0))</f>
        <v/>
      </c>
      <c r="BJ101">
        <f>IF($O101="",0,IF(COUNTIFS(업무일지!$F$5:$F$1004,$O101,업무일지!$B$5:$B$1004,"&gt;="&amp;DATE($B$3,1,1),업무일지!$B$5:$B$1004,"&lt;"&amp;DATE($B$3+1,1,1),업무일지!$AB$5:$AB$1004,$A$50,업무일지!$D$5:$D$1004,"출장")&gt;0,1,0))</f>
        <v/>
      </c>
      <c r="BK101">
        <f>IF($O101="",0,IF(COUNTIFS(업무일지!$F$5:$F$1004,$O101,업무일지!$B$5:$B$1004,"&gt;="&amp;DATE($B$3,1,1),업무일지!$B$5:$B$1004,"&lt;"&amp;DATE($B$3+1,1,1),업무일지!$AB$5:$AB$1004,$A$51,업무일지!$D$5:$D$1004,"출장")&gt;0,1,0))</f>
        <v/>
      </c>
      <c r="BL101">
        <f>IF($O101="",0,IF(COUNTIFS(업무일지!$F$5:$F$1004,$O101,업무일지!$B$5:$B$1004,"&gt;="&amp;DATE($B$3,1,1),업무일지!$B$5:$B$1004,"&lt;"&amp;DATE($B$3+1,1,1),업무일지!$AB$5:$AB$1004,$A$52,업무일지!$D$5:$D$1004,"출장")&gt;0,1,0))</f>
        <v/>
      </c>
      <c r="BM101">
        <f>IF($O101="",0,IF(COUNTIFS(업무일지!$F$5:$F$1004,$O101,업무일지!$B$5:$B$1004,"&gt;="&amp;DATE($B$3,1,1),업무일지!$B$5:$B$1004,"&lt;"&amp;DATE($B$3+1,1,1),업무일지!$AB$5:$AB$1004,$A$53,업무일지!$D$5:$D$1004,"출장")&gt;0,1,0))</f>
        <v/>
      </c>
      <c r="BO101">
        <f>IF($O101="",0,IF(COUNTIFS(업무일지!$F$5:$F$1004,$O101,업무일지!$B$5:$B$1004,"&gt;="&amp;DATE($B$3,1,1),업무일지!$B$5:$B$1004,"&lt;"&amp;DATE($B$3+1,1,1),업무일지!$AB$5:$AB$1004,$A$44,업무일지!$D$5:$D$1004,"분석")&gt;0,1,0))</f>
        <v/>
      </c>
      <c r="BP101">
        <f>IF($O101="",0,IF(COUNTIFS(업무일지!$F$5:$F$1004,$O101,업무일지!$B$5:$B$1004,"&gt;="&amp;DATE($B$3,1,1),업무일지!$B$5:$B$1004,"&lt;"&amp;DATE($B$3+1,1,1),업무일지!$AB$5:$AB$1004,$A$45,업무일지!$D$5:$D$1004,"분석")&gt;0,1,0))</f>
        <v/>
      </c>
      <c r="BQ101">
        <f>IF($O101="",0,IF(COUNTIFS(업무일지!$F$5:$F$1004,$O101,업무일지!$B$5:$B$1004,"&gt;="&amp;DATE($B$3,1,1),업무일지!$B$5:$B$1004,"&lt;"&amp;DATE($B$3+1,1,1),업무일지!$AB$5:$AB$1004,$A$46,업무일지!$D$5:$D$1004,"분석")&gt;0,1,0))</f>
        <v/>
      </c>
      <c r="BR101">
        <f>IF($O101="",0,IF(COUNTIFS(업무일지!$F$5:$F$1004,$O101,업무일지!$B$5:$B$1004,"&gt;="&amp;DATE($B$3,1,1),업무일지!$B$5:$B$1004,"&lt;"&amp;DATE($B$3+1,1,1),업무일지!$AB$5:$AB$1004,$A$47,업무일지!$D$5:$D$1004,"분석")&gt;0,1,0))</f>
        <v/>
      </c>
      <c r="BS101">
        <f>IF($O101="",0,IF(COUNTIFS(업무일지!$F$5:$F$1004,$O101,업무일지!$B$5:$B$1004,"&gt;="&amp;DATE($B$3,1,1),업무일지!$B$5:$B$1004,"&lt;"&amp;DATE($B$3+1,1,1),업무일지!$AB$5:$AB$1004,$A$48,업무일지!$D$5:$D$1004,"분석")&gt;0,1,0))</f>
        <v/>
      </c>
      <c r="BT101">
        <f>IF($O101="",0,IF(COUNTIFS(업무일지!$F$5:$F$1004,$O101,업무일지!$B$5:$B$1004,"&gt;="&amp;DATE($B$3,1,1),업무일지!$B$5:$B$1004,"&lt;"&amp;DATE($B$3+1,1,1),업무일지!$AB$5:$AB$1004,$A$49,업무일지!$D$5:$D$1004,"분석")&gt;0,1,0))</f>
        <v/>
      </c>
      <c r="BU101">
        <f>IF($O101="",0,IF(COUNTIFS(업무일지!$F$5:$F$1004,$O101,업무일지!$B$5:$B$1004,"&gt;="&amp;DATE($B$3,1,1),업무일지!$B$5:$B$1004,"&lt;"&amp;DATE($B$3+1,1,1),업무일지!$AB$5:$AB$1004,$A$50,업무일지!$D$5:$D$1004,"분석")&gt;0,1,0))</f>
        <v/>
      </c>
      <c r="BV101">
        <f>IF($O101="",0,IF(COUNTIFS(업무일지!$F$5:$F$1004,$O101,업무일지!$B$5:$B$1004,"&gt;="&amp;DATE($B$3,1,1),업무일지!$B$5:$B$1004,"&lt;"&amp;DATE($B$3+1,1,1),업무일지!$AB$5:$AB$1004,$A$51,업무일지!$D$5:$D$1004,"분석")&gt;0,1,0))</f>
        <v/>
      </c>
      <c r="BW101">
        <f>IF($O101="",0,IF(COUNTIFS(업무일지!$F$5:$F$1004,$O101,업무일지!$B$5:$B$1004,"&gt;="&amp;DATE($B$3,1,1),업무일지!$B$5:$B$1004,"&lt;"&amp;DATE($B$3+1,1,1),업무일지!$AB$5:$AB$1004,$A$52,업무일지!$D$5:$D$1004,"분석")&gt;0,1,0))</f>
        <v/>
      </c>
      <c r="BX101">
        <f>IF($O101="",0,IF(COUNTIFS(업무일지!$F$5:$F$1004,$O101,업무일지!$B$5:$B$1004,"&gt;="&amp;DATE($B$3,1,1),업무일지!$B$5:$B$1004,"&lt;"&amp;DATE($B$3+1,1,1),업무일지!$AB$5:$AB$1004,$A$53,업무일지!$D$5:$D$1004,"분석")&gt;0,1,0))</f>
        <v/>
      </c>
      <c r="BZ101">
        <f>IF($O101="",0,IF(COUNTIFS(업무일지!$F$5:$F$1004,$O101,업무일지!$B$5:$B$1004,"&gt;="&amp;DATE($B$3,1,1),업무일지!$B$5:$B$1004,"&lt;"&amp;DATE($B$3+1,1,1),업무일지!$AB$5:$AB$1004,$A$44)&gt;0,1,0))</f>
        <v/>
      </c>
      <c r="CA101">
        <f>IF($O101="",0,IF(COUNTIFS(업무일지!$F$5:$F$1004,$O101,업무일지!$B$5:$B$1004,"&gt;="&amp;DATE($B$3,1,1),업무일지!$B$5:$B$1004,"&lt;"&amp;DATE($B$3+1,1,1),업무일지!$AB$5:$AB$1004,$A$45)&gt;0,1,0))</f>
        <v/>
      </c>
      <c r="CB101">
        <f>IF($O101="",0,IF(COUNTIFS(업무일지!$F$5:$F$1004,$O101,업무일지!$B$5:$B$1004,"&gt;="&amp;DATE($B$3,1,1),업무일지!$B$5:$B$1004,"&lt;"&amp;DATE($B$3+1,1,1),업무일지!$AB$5:$AB$1004,$A$46)&gt;0,1,0))</f>
        <v/>
      </c>
      <c r="CC101">
        <f>IF($O101="",0,IF(COUNTIFS(업무일지!$F$5:$F$1004,$O101,업무일지!$B$5:$B$1004,"&gt;="&amp;DATE($B$3,1,1),업무일지!$B$5:$B$1004,"&lt;"&amp;DATE($B$3+1,1,1),업무일지!$AB$5:$AB$1004,$A$47)&gt;0,1,0))</f>
        <v/>
      </c>
      <c r="CD101">
        <f>IF($O101="",0,IF(COUNTIFS(업무일지!$F$5:$F$1004,$O101,업무일지!$B$5:$B$1004,"&gt;="&amp;DATE($B$3,1,1),업무일지!$B$5:$B$1004,"&lt;"&amp;DATE($B$3+1,1,1),업무일지!$AB$5:$AB$1004,$A$48)&gt;0,1,0))</f>
        <v/>
      </c>
      <c r="CE101">
        <f>IF($O101="",0,IF(COUNTIFS(업무일지!$F$5:$F$1004,$O101,업무일지!$B$5:$B$1004,"&gt;="&amp;DATE($B$3,1,1),업무일지!$B$5:$B$1004,"&lt;"&amp;DATE($B$3+1,1,1),업무일지!$AB$5:$AB$1004,$A$49)&gt;0,1,0))</f>
        <v/>
      </c>
      <c r="CF101">
        <f>IF($O101="",0,IF(COUNTIFS(업무일지!$F$5:$F$1004,$O101,업무일지!$B$5:$B$1004,"&gt;="&amp;DATE($B$3,1,1),업무일지!$B$5:$B$1004,"&lt;"&amp;DATE($B$3+1,1,1),업무일지!$AB$5:$AB$1004,$A$50)&gt;0,1,0))</f>
        <v/>
      </c>
      <c r="CG101">
        <f>IF($O101="",0,IF(COUNTIFS(업무일지!$F$5:$F$1004,$O101,업무일지!$B$5:$B$1004,"&gt;="&amp;DATE($B$3,1,1),업무일지!$B$5:$B$1004,"&lt;"&amp;DATE($B$3+1,1,1),업무일지!$AB$5:$AB$1004,$A$51)&gt;0,1,0))</f>
        <v/>
      </c>
      <c r="CH101">
        <f>IF($O101="",0,IF(COUNTIFS(업무일지!$F$5:$F$1004,$O101,업무일지!$B$5:$B$1004,"&gt;="&amp;DATE($B$3,1,1),업무일지!$B$5:$B$1004,"&lt;"&amp;DATE($B$3+1,1,1),업무일지!$AB$5:$AB$1004,$A$52)&gt;0,1,0))</f>
        <v/>
      </c>
      <c r="CI101">
        <f>IF($O101="",0,IF(COUNTIFS(업무일지!$F$5:$F$1004,$O101,업무일지!$B$5:$B$1004,"&gt;="&amp;DATE($B$3,1,1),업무일지!$B$5:$B$1004,"&lt;"&amp;DATE($B$3+1,1,1),업무일지!$AB$5:$AB$1004,$A$53)&gt;0,1,0))</f>
        <v/>
      </c>
    </row>
    <row r="102">
      <c r="O102">
        <f>IF(사건마스터!$A22="","",사건마스터!$A22)</f>
        <v/>
      </c>
      <c r="P102">
        <f>IF($O102="",0,IF(COUNTIFS(업무일지!$F$5:$F$1004,$O102,업무일지!$B$5:$B$1004,"&gt;="&amp;DATE($B$3,1,1),업무일지!$B$5:$B$1004,"&lt;"&amp;DATE($B$3,1+1,1),업무일지!$D$5:$D$1004,"출장")&gt;0,1,0))</f>
        <v/>
      </c>
      <c r="Q102">
        <f>IF($O102="",0,IF(COUNTIFS(업무일지!$F$5:$F$1004,$O102,업무일지!$B$5:$B$1004,"&gt;="&amp;DATE($B$3,2,1),업무일지!$B$5:$B$1004,"&lt;"&amp;DATE($B$3,2+1,1),업무일지!$D$5:$D$1004,"출장")&gt;0,1,0))</f>
        <v/>
      </c>
      <c r="R102">
        <f>IF($O102="",0,IF(COUNTIFS(업무일지!$F$5:$F$1004,$O102,업무일지!$B$5:$B$1004,"&gt;="&amp;DATE($B$3,3,1),업무일지!$B$5:$B$1004,"&lt;"&amp;DATE($B$3,3+1,1),업무일지!$D$5:$D$1004,"출장")&gt;0,1,0))</f>
        <v/>
      </c>
      <c r="S102">
        <f>IF($O102="",0,IF(COUNTIFS(업무일지!$F$5:$F$1004,$O102,업무일지!$B$5:$B$1004,"&gt;="&amp;DATE($B$3,4,1),업무일지!$B$5:$B$1004,"&lt;"&amp;DATE($B$3,4+1,1),업무일지!$D$5:$D$1004,"출장")&gt;0,1,0))</f>
        <v/>
      </c>
      <c r="T102">
        <f>IF($O102="",0,IF(COUNTIFS(업무일지!$F$5:$F$1004,$O102,업무일지!$B$5:$B$1004,"&gt;="&amp;DATE($B$3,5,1),업무일지!$B$5:$B$1004,"&lt;"&amp;DATE($B$3,5+1,1),업무일지!$D$5:$D$1004,"출장")&gt;0,1,0))</f>
        <v/>
      </c>
      <c r="U102">
        <f>IF($O102="",0,IF(COUNTIFS(업무일지!$F$5:$F$1004,$O102,업무일지!$B$5:$B$1004,"&gt;="&amp;DATE($B$3,6,1),업무일지!$B$5:$B$1004,"&lt;"&amp;DATE($B$3,6+1,1),업무일지!$D$5:$D$1004,"출장")&gt;0,1,0))</f>
        <v/>
      </c>
      <c r="V102">
        <f>IF($O102="",0,IF(COUNTIFS(업무일지!$F$5:$F$1004,$O102,업무일지!$B$5:$B$1004,"&gt;="&amp;DATE($B$3,7,1),업무일지!$B$5:$B$1004,"&lt;"&amp;DATE($B$3,7+1,1),업무일지!$D$5:$D$1004,"출장")&gt;0,1,0))</f>
        <v/>
      </c>
      <c r="W102">
        <f>IF($O102="",0,IF(COUNTIFS(업무일지!$F$5:$F$1004,$O102,업무일지!$B$5:$B$1004,"&gt;="&amp;DATE($B$3,8,1),업무일지!$B$5:$B$1004,"&lt;"&amp;DATE($B$3,8+1,1),업무일지!$D$5:$D$1004,"출장")&gt;0,1,0))</f>
        <v/>
      </c>
      <c r="X102">
        <f>IF($O102="",0,IF(COUNTIFS(업무일지!$F$5:$F$1004,$O102,업무일지!$B$5:$B$1004,"&gt;="&amp;DATE($B$3,9,1),업무일지!$B$5:$B$1004,"&lt;"&amp;DATE($B$3,9+1,1),업무일지!$D$5:$D$1004,"출장")&gt;0,1,0))</f>
        <v/>
      </c>
      <c r="Y102">
        <f>IF($O102="",0,IF(COUNTIFS(업무일지!$F$5:$F$1004,$O102,업무일지!$B$5:$B$1004,"&gt;="&amp;DATE($B$3,10,1),업무일지!$B$5:$B$1004,"&lt;"&amp;DATE($B$3,10+1,1),업무일지!$D$5:$D$1004,"출장")&gt;0,1,0))</f>
        <v/>
      </c>
      <c r="Z102">
        <f>IF($O102="",0,IF(COUNTIFS(업무일지!$F$5:$F$1004,$O102,업무일지!$B$5:$B$1004,"&gt;="&amp;DATE($B$3,11,1),업무일지!$B$5:$B$1004,"&lt;"&amp;DATE($B$3,11+1,1),업무일지!$D$5:$D$1004,"출장")&gt;0,1,0))</f>
        <v/>
      </c>
      <c r="AA102">
        <f>IF($O102="",0,IF(COUNTIFS(업무일지!$F$5:$F$1004,$O102,업무일지!$B$5:$B$1004,"&gt;="&amp;DATE($B$3,12,1),업무일지!$B$5:$B$1004,"&lt;"&amp;DATE($B$3,12+1,1),업무일지!$D$5:$D$1004,"출장")&gt;0,1,0))</f>
        <v/>
      </c>
      <c r="AB102">
        <f>IF($O102="",0,IF(COUNTIFS(업무일지!$F$5:$F$1004,$O102,업무일지!$B$5:$B$1004,"&gt;="&amp;DATE($B$3,1,1),업무일지!$B$5:$B$1004,"&lt;"&amp;DATE($B$3,1+1,1),업무일지!$D$5:$D$1004,"분석")&gt;0,1,0))</f>
        <v/>
      </c>
      <c r="AC102">
        <f>IF($O102="",0,IF(COUNTIFS(업무일지!$F$5:$F$1004,$O102,업무일지!$B$5:$B$1004,"&gt;="&amp;DATE($B$3,2,1),업무일지!$B$5:$B$1004,"&lt;"&amp;DATE($B$3,2+1,1),업무일지!$D$5:$D$1004,"분석")&gt;0,1,0))</f>
        <v/>
      </c>
      <c r="AD102">
        <f>IF($O102="",0,IF(COUNTIFS(업무일지!$F$5:$F$1004,$O102,업무일지!$B$5:$B$1004,"&gt;="&amp;DATE($B$3,3,1),업무일지!$B$5:$B$1004,"&lt;"&amp;DATE($B$3,3+1,1),업무일지!$D$5:$D$1004,"분석")&gt;0,1,0))</f>
        <v/>
      </c>
      <c r="AE102">
        <f>IF($O102="",0,IF(COUNTIFS(업무일지!$F$5:$F$1004,$O102,업무일지!$B$5:$B$1004,"&gt;="&amp;DATE($B$3,4,1),업무일지!$B$5:$B$1004,"&lt;"&amp;DATE($B$3,4+1,1),업무일지!$D$5:$D$1004,"분석")&gt;0,1,0))</f>
        <v/>
      </c>
      <c r="AF102">
        <f>IF($O102="",0,IF(COUNTIFS(업무일지!$F$5:$F$1004,$O102,업무일지!$B$5:$B$1004,"&gt;="&amp;DATE($B$3,5,1),업무일지!$B$5:$B$1004,"&lt;"&amp;DATE($B$3,5+1,1),업무일지!$D$5:$D$1004,"분석")&gt;0,1,0))</f>
        <v/>
      </c>
      <c r="AG102">
        <f>IF($O102="",0,IF(COUNTIFS(업무일지!$F$5:$F$1004,$O102,업무일지!$B$5:$B$1004,"&gt;="&amp;DATE($B$3,6,1),업무일지!$B$5:$B$1004,"&lt;"&amp;DATE($B$3,6+1,1),업무일지!$D$5:$D$1004,"분석")&gt;0,1,0))</f>
        <v/>
      </c>
      <c r="AH102">
        <f>IF($O102="",0,IF(COUNTIFS(업무일지!$F$5:$F$1004,$O102,업무일지!$B$5:$B$1004,"&gt;="&amp;DATE($B$3,7,1),업무일지!$B$5:$B$1004,"&lt;"&amp;DATE($B$3,7+1,1),업무일지!$D$5:$D$1004,"분석")&gt;0,1,0))</f>
        <v/>
      </c>
      <c r="AI102">
        <f>IF($O102="",0,IF(COUNTIFS(업무일지!$F$5:$F$1004,$O102,업무일지!$B$5:$B$1004,"&gt;="&amp;DATE($B$3,8,1),업무일지!$B$5:$B$1004,"&lt;"&amp;DATE($B$3,8+1,1),업무일지!$D$5:$D$1004,"분석")&gt;0,1,0))</f>
        <v/>
      </c>
      <c r="AJ102">
        <f>IF($O102="",0,IF(COUNTIFS(업무일지!$F$5:$F$1004,$O102,업무일지!$B$5:$B$1004,"&gt;="&amp;DATE($B$3,9,1),업무일지!$B$5:$B$1004,"&lt;"&amp;DATE($B$3,9+1,1),업무일지!$D$5:$D$1004,"분석")&gt;0,1,0))</f>
        <v/>
      </c>
      <c r="AK102">
        <f>IF($O102="",0,IF(COUNTIFS(업무일지!$F$5:$F$1004,$O102,업무일지!$B$5:$B$1004,"&gt;="&amp;DATE($B$3,10,1),업무일지!$B$5:$B$1004,"&lt;"&amp;DATE($B$3,10+1,1),업무일지!$D$5:$D$1004,"분석")&gt;0,1,0))</f>
        <v/>
      </c>
      <c r="AL102">
        <f>IF($O102="",0,IF(COUNTIFS(업무일지!$F$5:$F$1004,$O102,업무일지!$B$5:$B$1004,"&gt;="&amp;DATE($B$3,11,1),업무일지!$B$5:$B$1004,"&lt;"&amp;DATE($B$3,11+1,1),업무일지!$D$5:$D$1004,"분석")&gt;0,1,0))</f>
        <v/>
      </c>
      <c r="AM102">
        <f>IF($O102="",0,IF(COUNTIFS(업무일지!$F$5:$F$1004,$O102,업무일지!$B$5:$B$1004,"&gt;="&amp;DATE($B$3,12,1),업무일지!$B$5:$B$1004,"&lt;"&amp;DATE($B$3,12+1,1),업무일지!$D$5:$D$1004,"분석")&gt;0,1,0))</f>
        <v/>
      </c>
      <c r="AN102">
        <f>IF($O102="",0,IF(COUNTIFS(업무일지!$F$5:$F$1004,$O102,업무일지!$B$5:$B$1004,"&gt;="&amp;DATE($B$3,1,1),업무일지!$B$5:$B$1004,"&lt;"&amp;DATE($B$3,1+1,1))&gt;0,1,0))</f>
        <v/>
      </c>
      <c r="AO102">
        <f>IF($O102="",0,IF(COUNTIFS(업무일지!$F$5:$F$1004,$O102,업무일지!$B$5:$B$1004,"&gt;="&amp;DATE($B$3,2,1),업무일지!$B$5:$B$1004,"&lt;"&amp;DATE($B$3,2+1,1))&gt;0,1,0))</f>
        <v/>
      </c>
      <c r="AP102">
        <f>IF($O102="",0,IF(COUNTIFS(업무일지!$F$5:$F$1004,$O102,업무일지!$B$5:$B$1004,"&gt;="&amp;DATE($B$3,3,1),업무일지!$B$5:$B$1004,"&lt;"&amp;DATE($B$3,3+1,1))&gt;0,1,0))</f>
        <v/>
      </c>
      <c r="AQ102">
        <f>IF($O102="",0,IF(COUNTIFS(업무일지!$F$5:$F$1004,$O102,업무일지!$B$5:$B$1004,"&gt;="&amp;DATE($B$3,4,1),업무일지!$B$5:$B$1004,"&lt;"&amp;DATE($B$3,4+1,1))&gt;0,1,0))</f>
        <v/>
      </c>
      <c r="AR102">
        <f>IF($O102="",0,IF(COUNTIFS(업무일지!$F$5:$F$1004,$O102,업무일지!$B$5:$B$1004,"&gt;="&amp;DATE($B$3,5,1),업무일지!$B$5:$B$1004,"&lt;"&amp;DATE($B$3,5+1,1))&gt;0,1,0))</f>
        <v/>
      </c>
      <c r="AS102">
        <f>IF($O102="",0,IF(COUNTIFS(업무일지!$F$5:$F$1004,$O102,업무일지!$B$5:$B$1004,"&gt;="&amp;DATE($B$3,6,1),업무일지!$B$5:$B$1004,"&lt;"&amp;DATE($B$3,6+1,1))&gt;0,1,0))</f>
        <v/>
      </c>
      <c r="AT102">
        <f>IF($O102="",0,IF(COUNTIFS(업무일지!$F$5:$F$1004,$O102,업무일지!$B$5:$B$1004,"&gt;="&amp;DATE($B$3,7,1),업무일지!$B$5:$B$1004,"&lt;"&amp;DATE($B$3,7+1,1))&gt;0,1,0))</f>
        <v/>
      </c>
      <c r="AU102">
        <f>IF($O102="",0,IF(COUNTIFS(업무일지!$F$5:$F$1004,$O102,업무일지!$B$5:$B$1004,"&gt;="&amp;DATE($B$3,8,1),업무일지!$B$5:$B$1004,"&lt;"&amp;DATE($B$3,8+1,1))&gt;0,1,0))</f>
        <v/>
      </c>
      <c r="AV102">
        <f>IF($O102="",0,IF(COUNTIFS(업무일지!$F$5:$F$1004,$O102,업무일지!$B$5:$B$1004,"&gt;="&amp;DATE($B$3,9,1),업무일지!$B$5:$B$1004,"&lt;"&amp;DATE($B$3,9+1,1))&gt;0,1,0))</f>
        <v/>
      </c>
      <c r="AW102">
        <f>IF($O102="",0,IF(COUNTIFS(업무일지!$F$5:$F$1004,$O102,업무일지!$B$5:$B$1004,"&gt;="&amp;DATE($B$3,10,1),업무일지!$B$5:$B$1004,"&lt;"&amp;DATE($B$3,10+1,1))&gt;0,1,0))</f>
        <v/>
      </c>
      <c r="AX102">
        <f>IF($O102="",0,IF(COUNTIFS(업무일지!$F$5:$F$1004,$O102,업무일지!$B$5:$B$1004,"&gt;="&amp;DATE($B$3,11,1),업무일지!$B$5:$B$1004,"&lt;"&amp;DATE($B$3,11+1,1))&gt;0,1,0))</f>
        <v/>
      </c>
      <c r="AY102">
        <f>IF($O102="",0,IF(COUNTIFS(업무일지!$F$5:$F$1004,$O102,업무일지!$B$5:$B$1004,"&gt;="&amp;DATE($B$3,12,1),업무일지!$B$5:$B$1004,"&lt;"&amp;DATE($B$3,12+1,1))&gt;0,1,0))</f>
        <v/>
      </c>
      <c r="AZ102">
        <f>IF($O102="",0,IF(COUNTIFS(업무일지!$F$5:$F$1004,$O102,업무일지!$B$5:$B$1004,"&gt;="&amp;DATE($B$3,1,1),업무일지!$B$5:$B$1004,"&lt;"&amp;DATE($B$3+1,1,1),업무일지!$D$5:$D$1004,"출장")&gt;0,1,0))</f>
        <v/>
      </c>
      <c r="BA102">
        <f>IF($O102="",0,IF(COUNTIFS(업무일지!$F$5:$F$1004,$O102,업무일지!$B$5:$B$1004,"&gt;="&amp;DATE($B$3,1,1),업무일지!$B$5:$B$1004,"&lt;"&amp;DATE($B$3+1,1,1),업무일지!$D$5:$D$1004,"분석")&gt;0,1,0))</f>
        <v/>
      </c>
      <c r="BB102">
        <f>IF($O102="",0,IF(COUNTIFS(업무일지!$F$5:$F$1004,$O102,업무일지!$B$5:$B$1004,"&gt;="&amp;DATE($B$3,1,1),업무일지!$B$5:$B$1004,"&lt;"&amp;DATE($B$3+1,1,1))&gt;0,1,0))</f>
        <v/>
      </c>
      <c r="BD102">
        <f>IF($O102="",0,IF(COUNTIFS(업무일지!$F$5:$F$1004,$O102,업무일지!$B$5:$B$1004,"&gt;="&amp;DATE($B$3,1,1),업무일지!$B$5:$B$1004,"&lt;"&amp;DATE($B$3+1,1,1),업무일지!$AB$5:$AB$1004,$A$44,업무일지!$D$5:$D$1004,"출장")&gt;0,1,0))</f>
        <v/>
      </c>
      <c r="BE102">
        <f>IF($O102="",0,IF(COUNTIFS(업무일지!$F$5:$F$1004,$O102,업무일지!$B$5:$B$1004,"&gt;="&amp;DATE($B$3,1,1),업무일지!$B$5:$B$1004,"&lt;"&amp;DATE($B$3+1,1,1),업무일지!$AB$5:$AB$1004,$A$45,업무일지!$D$5:$D$1004,"출장")&gt;0,1,0))</f>
        <v/>
      </c>
      <c r="BF102">
        <f>IF($O102="",0,IF(COUNTIFS(업무일지!$F$5:$F$1004,$O102,업무일지!$B$5:$B$1004,"&gt;="&amp;DATE($B$3,1,1),업무일지!$B$5:$B$1004,"&lt;"&amp;DATE($B$3+1,1,1),업무일지!$AB$5:$AB$1004,$A$46,업무일지!$D$5:$D$1004,"출장")&gt;0,1,0))</f>
        <v/>
      </c>
      <c r="BG102">
        <f>IF($O102="",0,IF(COUNTIFS(업무일지!$F$5:$F$1004,$O102,업무일지!$B$5:$B$1004,"&gt;="&amp;DATE($B$3,1,1),업무일지!$B$5:$B$1004,"&lt;"&amp;DATE($B$3+1,1,1),업무일지!$AB$5:$AB$1004,$A$47,업무일지!$D$5:$D$1004,"출장")&gt;0,1,0))</f>
        <v/>
      </c>
      <c r="BH102">
        <f>IF($O102="",0,IF(COUNTIFS(업무일지!$F$5:$F$1004,$O102,업무일지!$B$5:$B$1004,"&gt;="&amp;DATE($B$3,1,1),업무일지!$B$5:$B$1004,"&lt;"&amp;DATE($B$3+1,1,1),업무일지!$AB$5:$AB$1004,$A$48,업무일지!$D$5:$D$1004,"출장")&gt;0,1,0))</f>
        <v/>
      </c>
      <c r="BI102">
        <f>IF($O102="",0,IF(COUNTIFS(업무일지!$F$5:$F$1004,$O102,업무일지!$B$5:$B$1004,"&gt;="&amp;DATE($B$3,1,1),업무일지!$B$5:$B$1004,"&lt;"&amp;DATE($B$3+1,1,1),업무일지!$AB$5:$AB$1004,$A$49,업무일지!$D$5:$D$1004,"출장")&gt;0,1,0))</f>
        <v/>
      </c>
      <c r="BJ102">
        <f>IF($O102="",0,IF(COUNTIFS(업무일지!$F$5:$F$1004,$O102,업무일지!$B$5:$B$1004,"&gt;="&amp;DATE($B$3,1,1),업무일지!$B$5:$B$1004,"&lt;"&amp;DATE($B$3+1,1,1),업무일지!$AB$5:$AB$1004,$A$50,업무일지!$D$5:$D$1004,"출장")&gt;0,1,0))</f>
        <v/>
      </c>
      <c r="BK102">
        <f>IF($O102="",0,IF(COUNTIFS(업무일지!$F$5:$F$1004,$O102,업무일지!$B$5:$B$1004,"&gt;="&amp;DATE($B$3,1,1),업무일지!$B$5:$B$1004,"&lt;"&amp;DATE($B$3+1,1,1),업무일지!$AB$5:$AB$1004,$A$51,업무일지!$D$5:$D$1004,"출장")&gt;0,1,0))</f>
        <v/>
      </c>
      <c r="BL102">
        <f>IF($O102="",0,IF(COUNTIFS(업무일지!$F$5:$F$1004,$O102,업무일지!$B$5:$B$1004,"&gt;="&amp;DATE($B$3,1,1),업무일지!$B$5:$B$1004,"&lt;"&amp;DATE($B$3+1,1,1),업무일지!$AB$5:$AB$1004,$A$52,업무일지!$D$5:$D$1004,"출장")&gt;0,1,0))</f>
        <v/>
      </c>
      <c r="BM102">
        <f>IF($O102="",0,IF(COUNTIFS(업무일지!$F$5:$F$1004,$O102,업무일지!$B$5:$B$1004,"&gt;="&amp;DATE($B$3,1,1),업무일지!$B$5:$B$1004,"&lt;"&amp;DATE($B$3+1,1,1),업무일지!$AB$5:$AB$1004,$A$53,업무일지!$D$5:$D$1004,"출장")&gt;0,1,0))</f>
        <v/>
      </c>
      <c r="BO102">
        <f>IF($O102="",0,IF(COUNTIFS(업무일지!$F$5:$F$1004,$O102,업무일지!$B$5:$B$1004,"&gt;="&amp;DATE($B$3,1,1),업무일지!$B$5:$B$1004,"&lt;"&amp;DATE($B$3+1,1,1),업무일지!$AB$5:$AB$1004,$A$44,업무일지!$D$5:$D$1004,"분석")&gt;0,1,0))</f>
        <v/>
      </c>
      <c r="BP102">
        <f>IF($O102="",0,IF(COUNTIFS(업무일지!$F$5:$F$1004,$O102,업무일지!$B$5:$B$1004,"&gt;="&amp;DATE($B$3,1,1),업무일지!$B$5:$B$1004,"&lt;"&amp;DATE($B$3+1,1,1),업무일지!$AB$5:$AB$1004,$A$45,업무일지!$D$5:$D$1004,"분석")&gt;0,1,0))</f>
        <v/>
      </c>
      <c r="BQ102">
        <f>IF($O102="",0,IF(COUNTIFS(업무일지!$F$5:$F$1004,$O102,업무일지!$B$5:$B$1004,"&gt;="&amp;DATE($B$3,1,1),업무일지!$B$5:$B$1004,"&lt;"&amp;DATE($B$3+1,1,1),업무일지!$AB$5:$AB$1004,$A$46,업무일지!$D$5:$D$1004,"분석")&gt;0,1,0))</f>
        <v/>
      </c>
      <c r="BR102">
        <f>IF($O102="",0,IF(COUNTIFS(업무일지!$F$5:$F$1004,$O102,업무일지!$B$5:$B$1004,"&gt;="&amp;DATE($B$3,1,1),업무일지!$B$5:$B$1004,"&lt;"&amp;DATE($B$3+1,1,1),업무일지!$AB$5:$AB$1004,$A$47,업무일지!$D$5:$D$1004,"분석")&gt;0,1,0))</f>
        <v/>
      </c>
      <c r="BS102">
        <f>IF($O102="",0,IF(COUNTIFS(업무일지!$F$5:$F$1004,$O102,업무일지!$B$5:$B$1004,"&gt;="&amp;DATE($B$3,1,1),업무일지!$B$5:$B$1004,"&lt;"&amp;DATE($B$3+1,1,1),업무일지!$AB$5:$AB$1004,$A$48,업무일지!$D$5:$D$1004,"분석")&gt;0,1,0))</f>
        <v/>
      </c>
      <c r="BT102">
        <f>IF($O102="",0,IF(COUNTIFS(업무일지!$F$5:$F$1004,$O102,업무일지!$B$5:$B$1004,"&gt;="&amp;DATE($B$3,1,1),업무일지!$B$5:$B$1004,"&lt;"&amp;DATE($B$3+1,1,1),업무일지!$AB$5:$AB$1004,$A$49,업무일지!$D$5:$D$1004,"분석")&gt;0,1,0))</f>
        <v/>
      </c>
      <c r="BU102">
        <f>IF($O102="",0,IF(COUNTIFS(업무일지!$F$5:$F$1004,$O102,업무일지!$B$5:$B$1004,"&gt;="&amp;DATE($B$3,1,1),업무일지!$B$5:$B$1004,"&lt;"&amp;DATE($B$3+1,1,1),업무일지!$AB$5:$AB$1004,$A$50,업무일지!$D$5:$D$1004,"분석")&gt;0,1,0))</f>
        <v/>
      </c>
      <c r="BV102">
        <f>IF($O102="",0,IF(COUNTIFS(업무일지!$F$5:$F$1004,$O102,업무일지!$B$5:$B$1004,"&gt;="&amp;DATE($B$3,1,1),업무일지!$B$5:$B$1004,"&lt;"&amp;DATE($B$3+1,1,1),업무일지!$AB$5:$AB$1004,$A$51,업무일지!$D$5:$D$1004,"분석")&gt;0,1,0))</f>
        <v/>
      </c>
      <c r="BW102">
        <f>IF($O102="",0,IF(COUNTIFS(업무일지!$F$5:$F$1004,$O102,업무일지!$B$5:$B$1004,"&gt;="&amp;DATE($B$3,1,1),업무일지!$B$5:$B$1004,"&lt;"&amp;DATE($B$3+1,1,1),업무일지!$AB$5:$AB$1004,$A$52,업무일지!$D$5:$D$1004,"분석")&gt;0,1,0))</f>
        <v/>
      </c>
      <c r="BX102">
        <f>IF($O102="",0,IF(COUNTIFS(업무일지!$F$5:$F$1004,$O102,업무일지!$B$5:$B$1004,"&gt;="&amp;DATE($B$3,1,1),업무일지!$B$5:$B$1004,"&lt;"&amp;DATE($B$3+1,1,1),업무일지!$AB$5:$AB$1004,$A$53,업무일지!$D$5:$D$1004,"분석")&gt;0,1,0))</f>
        <v/>
      </c>
      <c r="BZ102">
        <f>IF($O102="",0,IF(COUNTIFS(업무일지!$F$5:$F$1004,$O102,업무일지!$B$5:$B$1004,"&gt;="&amp;DATE($B$3,1,1),업무일지!$B$5:$B$1004,"&lt;"&amp;DATE($B$3+1,1,1),업무일지!$AB$5:$AB$1004,$A$44)&gt;0,1,0))</f>
        <v/>
      </c>
      <c r="CA102">
        <f>IF($O102="",0,IF(COUNTIFS(업무일지!$F$5:$F$1004,$O102,업무일지!$B$5:$B$1004,"&gt;="&amp;DATE($B$3,1,1),업무일지!$B$5:$B$1004,"&lt;"&amp;DATE($B$3+1,1,1),업무일지!$AB$5:$AB$1004,$A$45)&gt;0,1,0))</f>
        <v/>
      </c>
      <c r="CB102">
        <f>IF($O102="",0,IF(COUNTIFS(업무일지!$F$5:$F$1004,$O102,업무일지!$B$5:$B$1004,"&gt;="&amp;DATE($B$3,1,1),업무일지!$B$5:$B$1004,"&lt;"&amp;DATE($B$3+1,1,1),업무일지!$AB$5:$AB$1004,$A$46)&gt;0,1,0))</f>
        <v/>
      </c>
      <c r="CC102">
        <f>IF($O102="",0,IF(COUNTIFS(업무일지!$F$5:$F$1004,$O102,업무일지!$B$5:$B$1004,"&gt;="&amp;DATE($B$3,1,1),업무일지!$B$5:$B$1004,"&lt;"&amp;DATE($B$3+1,1,1),업무일지!$AB$5:$AB$1004,$A$47)&gt;0,1,0))</f>
        <v/>
      </c>
      <c r="CD102">
        <f>IF($O102="",0,IF(COUNTIFS(업무일지!$F$5:$F$1004,$O102,업무일지!$B$5:$B$1004,"&gt;="&amp;DATE($B$3,1,1),업무일지!$B$5:$B$1004,"&lt;"&amp;DATE($B$3+1,1,1),업무일지!$AB$5:$AB$1004,$A$48)&gt;0,1,0))</f>
        <v/>
      </c>
      <c r="CE102">
        <f>IF($O102="",0,IF(COUNTIFS(업무일지!$F$5:$F$1004,$O102,업무일지!$B$5:$B$1004,"&gt;="&amp;DATE($B$3,1,1),업무일지!$B$5:$B$1004,"&lt;"&amp;DATE($B$3+1,1,1),업무일지!$AB$5:$AB$1004,$A$49)&gt;0,1,0))</f>
        <v/>
      </c>
      <c r="CF102">
        <f>IF($O102="",0,IF(COUNTIFS(업무일지!$F$5:$F$1004,$O102,업무일지!$B$5:$B$1004,"&gt;="&amp;DATE($B$3,1,1),업무일지!$B$5:$B$1004,"&lt;"&amp;DATE($B$3+1,1,1),업무일지!$AB$5:$AB$1004,$A$50)&gt;0,1,0))</f>
        <v/>
      </c>
      <c r="CG102">
        <f>IF($O102="",0,IF(COUNTIFS(업무일지!$F$5:$F$1004,$O102,업무일지!$B$5:$B$1004,"&gt;="&amp;DATE($B$3,1,1),업무일지!$B$5:$B$1004,"&lt;"&amp;DATE($B$3+1,1,1),업무일지!$AB$5:$AB$1004,$A$51)&gt;0,1,0))</f>
        <v/>
      </c>
      <c r="CH102">
        <f>IF($O102="",0,IF(COUNTIFS(업무일지!$F$5:$F$1004,$O102,업무일지!$B$5:$B$1004,"&gt;="&amp;DATE($B$3,1,1),업무일지!$B$5:$B$1004,"&lt;"&amp;DATE($B$3+1,1,1),업무일지!$AB$5:$AB$1004,$A$52)&gt;0,1,0))</f>
        <v/>
      </c>
      <c r="CI102">
        <f>IF($O102="",0,IF(COUNTIFS(업무일지!$F$5:$F$1004,$O102,업무일지!$B$5:$B$1004,"&gt;="&amp;DATE($B$3,1,1),업무일지!$B$5:$B$1004,"&lt;"&amp;DATE($B$3+1,1,1),업무일지!$AB$5:$AB$1004,$A$53)&gt;0,1,0))</f>
        <v/>
      </c>
    </row>
    <row r="103">
      <c r="O103">
        <f>IF(사건마스터!$A23="","",사건마스터!$A23)</f>
        <v/>
      </c>
      <c r="P103">
        <f>IF($O103="",0,IF(COUNTIFS(업무일지!$F$5:$F$1004,$O103,업무일지!$B$5:$B$1004,"&gt;="&amp;DATE($B$3,1,1),업무일지!$B$5:$B$1004,"&lt;"&amp;DATE($B$3,1+1,1),업무일지!$D$5:$D$1004,"출장")&gt;0,1,0))</f>
        <v/>
      </c>
      <c r="Q103">
        <f>IF($O103="",0,IF(COUNTIFS(업무일지!$F$5:$F$1004,$O103,업무일지!$B$5:$B$1004,"&gt;="&amp;DATE($B$3,2,1),업무일지!$B$5:$B$1004,"&lt;"&amp;DATE($B$3,2+1,1),업무일지!$D$5:$D$1004,"출장")&gt;0,1,0))</f>
        <v/>
      </c>
      <c r="R103">
        <f>IF($O103="",0,IF(COUNTIFS(업무일지!$F$5:$F$1004,$O103,업무일지!$B$5:$B$1004,"&gt;="&amp;DATE($B$3,3,1),업무일지!$B$5:$B$1004,"&lt;"&amp;DATE($B$3,3+1,1),업무일지!$D$5:$D$1004,"출장")&gt;0,1,0))</f>
        <v/>
      </c>
      <c r="S103">
        <f>IF($O103="",0,IF(COUNTIFS(업무일지!$F$5:$F$1004,$O103,업무일지!$B$5:$B$1004,"&gt;="&amp;DATE($B$3,4,1),업무일지!$B$5:$B$1004,"&lt;"&amp;DATE($B$3,4+1,1),업무일지!$D$5:$D$1004,"출장")&gt;0,1,0))</f>
        <v/>
      </c>
      <c r="T103">
        <f>IF($O103="",0,IF(COUNTIFS(업무일지!$F$5:$F$1004,$O103,업무일지!$B$5:$B$1004,"&gt;="&amp;DATE($B$3,5,1),업무일지!$B$5:$B$1004,"&lt;"&amp;DATE($B$3,5+1,1),업무일지!$D$5:$D$1004,"출장")&gt;0,1,0))</f>
        <v/>
      </c>
      <c r="U103">
        <f>IF($O103="",0,IF(COUNTIFS(업무일지!$F$5:$F$1004,$O103,업무일지!$B$5:$B$1004,"&gt;="&amp;DATE($B$3,6,1),업무일지!$B$5:$B$1004,"&lt;"&amp;DATE($B$3,6+1,1),업무일지!$D$5:$D$1004,"출장")&gt;0,1,0))</f>
        <v/>
      </c>
      <c r="V103">
        <f>IF($O103="",0,IF(COUNTIFS(업무일지!$F$5:$F$1004,$O103,업무일지!$B$5:$B$1004,"&gt;="&amp;DATE($B$3,7,1),업무일지!$B$5:$B$1004,"&lt;"&amp;DATE($B$3,7+1,1),업무일지!$D$5:$D$1004,"출장")&gt;0,1,0))</f>
        <v/>
      </c>
      <c r="W103">
        <f>IF($O103="",0,IF(COUNTIFS(업무일지!$F$5:$F$1004,$O103,업무일지!$B$5:$B$1004,"&gt;="&amp;DATE($B$3,8,1),업무일지!$B$5:$B$1004,"&lt;"&amp;DATE($B$3,8+1,1),업무일지!$D$5:$D$1004,"출장")&gt;0,1,0))</f>
        <v/>
      </c>
      <c r="X103">
        <f>IF($O103="",0,IF(COUNTIFS(업무일지!$F$5:$F$1004,$O103,업무일지!$B$5:$B$1004,"&gt;="&amp;DATE($B$3,9,1),업무일지!$B$5:$B$1004,"&lt;"&amp;DATE($B$3,9+1,1),업무일지!$D$5:$D$1004,"출장")&gt;0,1,0))</f>
        <v/>
      </c>
      <c r="Y103">
        <f>IF($O103="",0,IF(COUNTIFS(업무일지!$F$5:$F$1004,$O103,업무일지!$B$5:$B$1004,"&gt;="&amp;DATE($B$3,10,1),업무일지!$B$5:$B$1004,"&lt;"&amp;DATE($B$3,10+1,1),업무일지!$D$5:$D$1004,"출장")&gt;0,1,0))</f>
        <v/>
      </c>
      <c r="Z103">
        <f>IF($O103="",0,IF(COUNTIFS(업무일지!$F$5:$F$1004,$O103,업무일지!$B$5:$B$1004,"&gt;="&amp;DATE($B$3,11,1),업무일지!$B$5:$B$1004,"&lt;"&amp;DATE($B$3,11+1,1),업무일지!$D$5:$D$1004,"출장")&gt;0,1,0))</f>
        <v/>
      </c>
      <c r="AA103">
        <f>IF($O103="",0,IF(COUNTIFS(업무일지!$F$5:$F$1004,$O103,업무일지!$B$5:$B$1004,"&gt;="&amp;DATE($B$3,12,1),업무일지!$B$5:$B$1004,"&lt;"&amp;DATE($B$3,12+1,1),업무일지!$D$5:$D$1004,"출장")&gt;0,1,0))</f>
        <v/>
      </c>
      <c r="AB103">
        <f>IF($O103="",0,IF(COUNTIFS(업무일지!$F$5:$F$1004,$O103,업무일지!$B$5:$B$1004,"&gt;="&amp;DATE($B$3,1,1),업무일지!$B$5:$B$1004,"&lt;"&amp;DATE($B$3,1+1,1),업무일지!$D$5:$D$1004,"분석")&gt;0,1,0))</f>
        <v/>
      </c>
      <c r="AC103">
        <f>IF($O103="",0,IF(COUNTIFS(업무일지!$F$5:$F$1004,$O103,업무일지!$B$5:$B$1004,"&gt;="&amp;DATE($B$3,2,1),업무일지!$B$5:$B$1004,"&lt;"&amp;DATE($B$3,2+1,1),업무일지!$D$5:$D$1004,"분석")&gt;0,1,0))</f>
        <v/>
      </c>
      <c r="AD103">
        <f>IF($O103="",0,IF(COUNTIFS(업무일지!$F$5:$F$1004,$O103,업무일지!$B$5:$B$1004,"&gt;="&amp;DATE($B$3,3,1),업무일지!$B$5:$B$1004,"&lt;"&amp;DATE($B$3,3+1,1),업무일지!$D$5:$D$1004,"분석")&gt;0,1,0))</f>
        <v/>
      </c>
      <c r="AE103">
        <f>IF($O103="",0,IF(COUNTIFS(업무일지!$F$5:$F$1004,$O103,업무일지!$B$5:$B$1004,"&gt;="&amp;DATE($B$3,4,1),업무일지!$B$5:$B$1004,"&lt;"&amp;DATE($B$3,4+1,1),업무일지!$D$5:$D$1004,"분석")&gt;0,1,0))</f>
        <v/>
      </c>
      <c r="AF103">
        <f>IF($O103="",0,IF(COUNTIFS(업무일지!$F$5:$F$1004,$O103,업무일지!$B$5:$B$1004,"&gt;="&amp;DATE($B$3,5,1),업무일지!$B$5:$B$1004,"&lt;"&amp;DATE($B$3,5+1,1),업무일지!$D$5:$D$1004,"분석")&gt;0,1,0))</f>
        <v/>
      </c>
      <c r="AG103">
        <f>IF($O103="",0,IF(COUNTIFS(업무일지!$F$5:$F$1004,$O103,업무일지!$B$5:$B$1004,"&gt;="&amp;DATE($B$3,6,1),업무일지!$B$5:$B$1004,"&lt;"&amp;DATE($B$3,6+1,1),업무일지!$D$5:$D$1004,"분석")&gt;0,1,0))</f>
        <v/>
      </c>
      <c r="AH103">
        <f>IF($O103="",0,IF(COUNTIFS(업무일지!$F$5:$F$1004,$O103,업무일지!$B$5:$B$1004,"&gt;="&amp;DATE($B$3,7,1),업무일지!$B$5:$B$1004,"&lt;"&amp;DATE($B$3,7+1,1),업무일지!$D$5:$D$1004,"분석")&gt;0,1,0))</f>
        <v/>
      </c>
      <c r="AI103">
        <f>IF($O103="",0,IF(COUNTIFS(업무일지!$F$5:$F$1004,$O103,업무일지!$B$5:$B$1004,"&gt;="&amp;DATE($B$3,8,1),업무일지!$B$5:$B$1004,"&lt;"&amp;DATE($B$3,8+1,1),업무일지!$D$5:$D$1004,"분석")&gt;0,1,0))</f>
        <v/>
      </c>
      <c r="AJ103">
        <f>IF($O103="",0,IF(COUNTIFS(업무일지!$F$5:$F$1004,$O103,업무일지!$B$5:$B$1004,"&gt;="&amp;DATE($B$3,9,1),업무일지!$B$5:$B$1004,"&lt;"&amp;DATE($B$3,9+1,1),업무일지!$D$5:$D$1004,"분석")&gt;0,1,0))</f>
        <v/>
      </c>
      <c r="AK103">
        <f>IF($O103="",0,IF(COUNTIFS(업무일지!$F$5:$F$1004,$O103,업무일지!$B$5:$B$1004,"&gt;="&amp;DATE($B$3,10,1),업무일지!$B$5:$B$1004,"&lt;"&amp;DATE($B$3,10+1,1),업무일지!$D$5:$D$1004,"분석")&gt;0,1,0))</f>
        <v/>
      </c>
      <c r="AL103">
        <f>IF($O103="",0,IF(COUNTIFS(업무일지!$F$5:$F$1004,$O103,업무일지!$B$5:$B$1004,"&gt;="&amp;DATE($B$3,11,1),업무일지!$B$5:$B$1004,"&lt;"&amp;DATE($B$3,11+1,1),업무일지!$D$5:$D$1004,"분석")&gt;0,1,0))</f>
        <v/>
      </c>
      <c r="AM103">
        <f>IF($O103="",0,IF(COUNTIFS(업무일지!$F$5:$F$1004,$O103,업무일지!$B$5:$B$1004,"&gt;="&amp;DATE($B$3,12,1),업무일지!$B$5:$B$1004,"&lt;"&amp;DATE($B$3,12+1,1),업무일지!$D$5:$D$1004,"분석")&gt;0,1,0))</f>
        <v/>
      </c>
      <c r="AN103">
        <f>IF($O103="",0,IF(COUNTIFS(업무일지!$F$5:$F$1004,$O103,업무일지!$B$5:$B$1004,"&gt;="&amp;DATE($B$3,1,1),업무일지!$B$5:$B$1004,"&lt;"&amp;DATE($B$3,1+1,1))&gt;0,1,0))</f>
        <v/>
      </c>
      <c r="AO103">
        <f>IF($O103="",0,IF(COUNTIFS(업무일지!$F$5:$F$1004,$O103,업무일지!$B$5:$B$1004,"&gt;="&amp;DATE($B$3,2,1),업무일지!$B$5:$B$1004,"&lt;"&amp;DATE($B$3,2+1,1))&gt;0,1,0))</f>
        <v/>
      </c>
      <c r="AP103">
        <f>IF($O103="",0,IF(COUNTIFS(업무일지!$F$5:$F$1004,$O103,업무일지!$B$5:$B$1004,"&gt;="&amp;DATE($B$3,3,1),업무일지!$B$5:$B$1004,"&lt;"&amp;DATE($B$3,3+1,1))&gt;0,1,0))</f>
        <v/>
      </c>
      <c r="AQ103">
        <f>IF($O103="",0,IF(COUNTIFS(업무일지!$F$5:$F$1004,$O103,업무일지!$B$5:$B$1004,"&gt;="&amp;DATE($B$3,4,1),업무일지!$B$5:$B$1004,"&lt;"&amp;DATE($B$3,4+1,1))&gt;0,1,0))</f>
        <v/>
      </c>
      <c r="AR103">
        <f>IF($O103="",0,IF(COUNTIFS(업무일지!$F$5:$F$1004,$O103,업무일지!$B$5:$B$1004,"&gt;="&amp;DATE($B$3,5,1),업무일지!$B$5:$B$1004,"&lt;"&amp;DATE($B$3,5+1,1))&gt;0,1,0))</f>
        <v/>
      </c>
      <c r="AS103">
        <f>IF($O103="",0,IF(COUNTIFS(업무일지!$F$5:$F$1004,$O103,업무일지!$B$5:$B$1004,"&gt;="&amp;DATE($B$3,6,1),업무일지!$B$5:$B$1004,"&lt;"&amp;DATE($B$3,6+1,1))&gt;0,1,0))</f>
        <v/>
      </c>
      <c r="AT103">
        <f>IF($O103="",0,IF(COUNTIFS(업무일지!$F$5:$F$1004,$O103,업무일지!$B$5:$B$1004,"&gt;="&amp;DATE($B$3,7,1),업무일지!$B$5:$B$1004,"&lt;"&amp;DATE($B$3,7+1,1))&gt;0,1,0))</f>
        <v/>
      </c>
      <c r="AU103">
        <f>IF($O103="",0,IF(COUNTIFS(업무일지!$F$5:$F$1004,$O103,업무일지!$B$5:$B$1004,"&gt;="&amp;DATE($B$3,8,1),업무일지!$B$5:$B$1004,"&lt;"&amp;DATE($B$3,8+1,1))&gt;0,1,0))</f>
        <v/>
      </c>
      <c r="AV103">
        <f>IF($O103="",0,IF(COUNTIFS(업무일지!$F$5:$F$1004,$O103,업무일지!$B$5:$B$1004,"&gt;="&amp;DATE($B$3,9,1),업무일지!$B$5:$B$1004,"&lt;"&amp;DATE($B$3,9+1,1))&gt;0,1,0))</f>
        <v/>
      </c>
      <c r="AW103">
        <f>IF($O103="",0,IF(COUNTIFS(업무일지!$F$5:$F$1004,$O103,업무일지!$B$5:$B$1004,"&gt;="&amp;DATE($B$3,10,1),업무일지!$B$5:$B$1004,"&lt;"&amp;DATE($B$3,10+1,1))&gt;0,1,0))</f>
        <v/>
      </c>
      <c r="AX103">
        <f>IF($O103="",0,IF(COUNTIFS(업무일지!$F$5:$F$1004,$O103,업무일지!$B$5:$B$1004,"&gt;="&amp;DATE($B$3,11,1),업무일지!$B$5:$B$1004,"&lt;"&amp;DATE($B$3,11+1,1))&gt;0,1,0))</f>
        <v/>
      </c>
      <c r="AY103">
        <f>IF($O103="",0,IF(COUNTIFS(업무일지!$F$5:$F$1004,$O103,업무일지!$B$5:$B$1004,"&gt;="&amp;DATE($B$3,12,1),업무일지!$B$5:$B$1004,"&lt;"&amp;DATE($B$3,12+1,1))&gt;0,1,0))</f>
        <v/>
      </c>
      <c r="AZ103">
        <f>IF($O103="",0,IF(COUNTIFS(업무일지!$F$5:$F$1004,$O103,업무일지!$B$5:$B$1004,"&gt;="&amp;DATE($B$3,1,1),업무일지!$B$5:$B$1004,"&lt;"&amp;DATE($B$3+1,1,1),업무일지!$D$5:$D$1004,"출장")&gt;0,1,0))</f>
        <v/>
      </c>
      <c r="BA103">
        <f>IF($O103="",0,IF(COUNTIFS(업무일지!$F$5:$F$1004,$O103,업무일지!$B$5:$B$1004,"&gt;="&amp;DATE($B$3,1,1),업무일지!$B$5:$B$1004,"&lt;"&amp;DATE($B$3+1,1,1),업무일지!$D$5:$D$1004,"분석")&gt;0,1,0))</f>
        <v/>
      </c>
      <c r="BB103">
        <f>IF($O103="",0,IF(COUNTIFS(업무일지!$F$5:$F$1004,$O103,업무일지!$B$5:$B$1004,"&gt;="&amp;DATE($B$3,1,1),업무일지!$B$5:$B$1004,"&lt;"&amp;DATE($B$3+1,1,1))&gt;0,1,0))</f>
        <v/>
      </c>
      <c r="BD103">
        <f>IF($O103="",0,IF(COUNTIFS(업무일지!$F$5:$F$1004,$O103,업무일지!$B$5:$B$1004,"&gt;="&amp;DATE($B$3,1,1),업무일지!$B$5:$B$1004,"&lt;"&amp;DATE($B$3+1,1,1),업무일지!$AB$5:$AB$1004,$A$44,업무일지!$D$5:$D$1004,"출장")&gt;0,1,0))</f>
        <v/>
      </c>
      <c r="BE103">
        <f>IF($O103="",0,IF(COUNTIFS(업무일지!$F$5:$F$1004,$O103,업무일지!$B$5:$B$1004,"&gt;="&amp;DATE($B$3,1,1),업무일지!$B$5:$B$1004,"&lt;"&amp;DATE($B$3+1,1,1),업무일지!$AB$5:$AB$1004,$A$45,업무일지!$D$5:$D$1004,"출장")&gt;0,1,0))</f>
        <v/>
      </c>
      <c r="BF103">
        <f>IF($O103="",0,IF(COUNTIFS(업무일지!$F$5:$F$1004,$O103,업무일지!$B$5:$B$1004,"&gt;="&amp;DATE($B$3,1,1),업무일지!$B$5:$B$1004,"&lt;"&amp;DATE($B$3+1,1,1),업무일지!$AB$5:$AB$1004,$A$46,업무일지!$D$5:$D$1004,"출장")&gt;0,1,0))</f>
        <v/>
      </c>
      <c r="BG103">
        <f>IF($O103="",0,IF(COUNTIFS(업무일지!$F$5:$F$1004,$O103,업무일지!$B$5:$B$1004,"&gt;="&amp;DATE($B$3,1,1),업무일지!$B$5:$B$1004,"&lt;"&amp;DATE($B$3+1,1,1),업무일지!$AB$5:$AB$1004,$A$47,업무일지!$D$5:$D$1004,"출장")&gt;0,1,0))</f>
        <v/>
      </c>
      <c r="BH103">
        <f>IF($O103="",0,IF(COUNTIFS(업무일지!$F$5:$F$1004,$O103,업무일지!$B$5:$B$1004,"&gt;="&amp;DATE($B$3,1,1),업무일지!$B$5:$B$1004,"&lt;"&amp;DATE($B$3+1,1,1),업무일지!$AB$5:$AB$1004,$A$48,업무일지!$D$5:$D$1004,"출장")&gt;0,1,0))</f>
        <v/>
      </c>
      <c r="BI103">
        <f>IF($O103="",0,IF(COUNTIFS(업무일지!$F$5:$F$1004,$O103,업무일지!$B$5:$B$1004,"&gt;="&amp;DATE($B$3,1,1),업무일지!$B$5:$B$1004,"&lt;"&amp;DATE($B$3+1,1,1),업무일지!$AB$5:$AB$1004,$A$49,업무일지!$D$5:$D$1004,"출장")&gt;0,1,0))</f>
        <v/>
      </c>
      <c r="BJ103">
        <f>IF($O103="",0,IF(COUNTIFS(업무일지!$F$5:$F$1004,$O103,업무일지!$B$5:$B$1004,"&gt;="&amp;DATE($B$3,1,1),업무일지!$B$5:$B$1004,"&lt;"&amp;DATE($B$3+1,1,1),업무일지!$AB$5:$AB$1004,$A$50,업무일지!$D$5:$D$1004,"출장")&gt;0,1,0))</f>
        <v/>
      </c>
      <c r="BK103">
        <f>IF($O103="",0,IF(COUNTIFS(업무일지!$F$5:$F$1004,$O103,업무일지!$B$5:$B$1004,"&gt;="&amp;DATE($B$3,1,1),업무일지!$B$5:$B$1004,"&lt;"&amp;DATE($B$3+1,1,1),업무일지!$AB$5:$AB$1004,$A$51,업무일지!$D$5:$D$1004,"출장")&gt;0,1,0))</f>
        <v/>
      </c>
      <c r="BL103">
        <f>IF($O103="",0,IF(COUNTIFS(업무일지!$F$5:$F$1004,$O103,업무일지!$B$5:$B$1004,"&gt;="&amp;DATE($B$3,1,1),업무일지!$B$5:$B$1004,"&lt;"&amp;DATE($B$3+1,1,1),업무일지!$AB$5:$AB$1004,$A$52,업무일지!$D$5:$D$1004,"출장")&gt;0,1,0))</f>
        <v/>
      </c>
      <c r="BM103">
        <f>IF($O103="",0,IF(COUNTIFS(업무일지!$F$5:$F$1004,$O103,업무일지!$B$5:$B$1004,"&gt;="&amp;DATE($B$3,1,1),업무일지!$B$5:$B$1004,"&lt;"&amp;DATE($B$3+1,1,1),업무일지!$AB$5:$AB$1004,$A$53,업무일지!$D$5:$D$1004,"출장")&gt;0,1,0))</f>
        <v/>
      </c>
      <c r="BO103">
        <f>IF($O103="",0,IF(COUNTIFS(업무일지!$F$5:$F$1004,$O103,업무일지!$B$5:$B$1004,"&gt;="&amp;DATE($B$3,1,1),업무일지!$B$5:$B$1004,"&lt;"&amp;DATE($B$3+1,1,1),업무일지!$AB$5:$AB$1004,$A$44,업무일지!$D$5:$D$1004,"분석")&gt;0,1,0))</f>
        <v/>
      </c>
      <c r="BP103">
        <f>IF($O103="",0,IF(COUNTIFS(업무일지!$F$5:$F$1004,$O103,업무일지!$B$5:$B$1004,"&gt;="&amp;DATE($B$3,1,1),업무일지!$B$5:$B$1004,"&lt;"&amp;DATE($B$3+1,1,1),업무일지!$AB$5:$AB$1004,$A$45,업무일지!$D$5:$D$1004,"분석")&gt;0,1,0))</f>
        <v/>
      </c>
      <c r="BQ103">
        <f>IF($O103="",0,IF(COUNTIFS(업무일지!$F$5:$F$1004,$O103,업무일지!$B$5:$B$1004,"&gt;="&amp;DATE($B$3,1,1),업무일지!$B$5:$B$1004,"&lt;"&amp;DATE($B$3+1,1,1),업무일지!$AB$5:$AB$1004,$A$46,업무일지!$D$5:$D$1004,"분석")&gt;0,1,0))</f>
        <v/>
      </c>
      <c r="BR103">
        <f>IF($O103="",0,IF(COUNTIFS(업무일지!$F$5:$F$1004,$O103,업무일지!$B$5:$B$1004,"&gt;="&amp;DATE($B$3,1,1),업무일지!$B$5:$B$1004,"&lt;"&amp;DATE($B$3+1,1,1),업무일지!$AB$5:$AB$1004,$A$47,업무일지!$D$5:$D$1004,"분석")&gt;0,1,0))</f>
        <v/>
      </c>
      <c r="BS103">
        <f>IF($O103="",0,IF(COUNTIFS(업무일지!$F$5:$F$1004,$O103,업무일지!$B$5:$B$1004,"&gt;="&amp;DATE($B$3,1,1),업무일지!$B$5:$B$1004,"&lt;"&amp;DATE($B$3+1,1,1),업무일지!$AB$5:$AB$1004,$A$48,업무일지!$D$5:$D$1004,"분석")&gt;0,1,0))</f>
        <v/>
      </c>
      <c r="BT103">
        <f>IF($O103="",0,IF(COUNTIFS(업무일지!$F$5:$F$1004,$O103,업무일지!$B$5:$B$1004,"&gt;="&amp;DATE($B$3,1,1),업무일지!$B$5:$B$1004,"&lt;"&amp;DATE($B$3+1,1,1),업무일지!$AB$5:$AB$1004,$A$49,업무일지!$D$5:$D$1004,"분석")&gt;0,1,0))</f>
        <v/>
      </c>
      <c r="BU103">
        <f>IF($O103="",0,IF(COUNTIFS(업무일지!$F$5:$F$1004,$O103,업무일지!$B$5:$B$1004,"&gt;="&amp;DATE($B$3,1,1),업무일지!$B$5:$B$1004,"&lt;"&amp;DATE($B$3+1,1,1),업무일지!$AB$5:$AB$1004,$A$50,업무일지!$D$5:$D$1004,"분석")&gt;0,1,0))</f>
        <v/>
      </c>
      <c r="BV103">
        <f>IF($O103="",0,IF(COUNTIFS(업무일지!$F$5:$F$1004,$O103,업무일지!$B$5:$B$1004,"&gt;="&amp;DATE($B$3,1,1),업무일지!$B$5:$B$1004,"&lt;"&amp;DATE($B$3+1,1,1),업무일지!$AB$5:$AB$1004,$A$51,업무일지!$D$5:$D$1004,"분석")&gt;0,1,0))</f>
        <v/>
      </c>
      <c r="BW103">
        <f>IF($O103="",0,IF(COUNTIFS(업무일지!$F$5:$F$1004,$O103,업무일지!$B$5:$B$1004,"&gt;="&amp;DATE($B$3,1,1),업무일지!$B$5:$B$1004,"&lt;"&amp;DATE($B$3+1,1,1),업무일지!$AB$5:$AB$1004,$A$52,업무일지!$D$5:$D$1004,"분석")&gt;0,1,0))</f>
        <v/>
      </c>
      <c r="BX103">
        <f>IF($O103="",0,IF(COUNTIFS(업무일지!$F$5:$F$1004,$O103,업무일지!$B$5:$B$1004,"&gt;="&amp;DATE($B$3,1,1),업무일지!$B$5:$B$1004,"&lt;"&amp;DATE($B$3+1,1,1),업무일지!$AB$5:$AB$1004,$A$53,업무일지!$D$5:$D$1004,"분석")&gt;0,1,0))</f>
        <v/>
      </c>
      <c r="BZ103">
        <f>IF($O103="",0,IF(COUNTIFS(업무일지!$F$5:$F$1004,$O103,업무일지!$B$5:$B$1004,"&gt;="&amp;DATE($B$3,1,1),업무일지!$B$5:$B$1004,"&lt;"&amp;DATE($B$3+1,1,1),업무일지!$AB$5:$AB$1004,$A$44)&gt;0,1,0))</f>
        <v/>
      </c>
      <c r="CA103">
        <f>IF($O103="",0,IF(COUNTIFS(업무일지!$F$5:$F$1004,$O103,업무일지!$B$5:$B$1004,"&gt;="&amp;DATE($B$3,1,1),업무일지!$B$5:$B$1004,"&lt;"&amp;DATE($B$3+1,1,1),업무일지!$AB$5:$AB$1004,$A$45)&gt;0,1,0))</f>
        <v/>
      </c>
      <c r="CB103">
        <f>IF($O103="",0,IF(COUNTIFS(업무일지!$F$5:$F$1004,$O103,업무일지!$B$5:$B$1004,"&gt;="&amp;DATE($B$3,1,1),업무일지!$B$5:$B$1004,"&lt;"&amp;DATE($B$3+1,1,1),업무일지!$AB$5:$AB$1004,$A$46)&gt;0,1,0))</f>
        <v/>
      </c>
      <c r="CC103">
        <f>IF($O103="",0,IF(COUNTIFS(업무일지!$F$5:$F$1004,$O103,업무일지!$B$5:$B$1004,"&gt;="&amp;DATE($B$3,1,1),업무일지!$B$5:$B$1004,"&lt;"&amp;DATE($B$3+1,1,1),업무일지!$AB$5:$AB$1004,$A$47)&gt;0,1,0))</f>
        <v/>
      </c>
      <c r="CD103">
        <f>IF($O103="",0,IF(COUNTIFS(업무일지!$F$5:$F$1004,$O103,업무일지!$B$5:$B$1004,"&gt;="&amp;DATE($B$3,1,1),업무일지!$B$5:$B$1004,"&lt;"&amp;DATE($B$3+1,1,1),업무일지!$AB$5:$AB$1004,$A$48)&gt;0,1,0))</f>
        <v/>
      </c>
      <c r="CE103">
        <f>IF($O103="",0,IF(COUNTIFS(업무일지!$F$5:$F$1004,$O103,업무일지!$B$5:$B$1004,"&gt;="&amp;DATE($B$3,1,1),업무일지!$B$5:$B$1004,"&lt;"&amp;DATE($B$3+1,1,1),업무일지!$AB$5:$AB$1004,$A$49)&gt;0,1,0))</f>
        <v/>
      </c>
      <c r="CF103">
        <f>IF($O103="",0,IF(COUNTIFS(업무일지!$F$5:$F$1004,$O103,업무일지!$B$5:$B$1004,"&gt;="&amp;DATE($B$3,1,1),업무일지!$B$5:$B$1004,"&lt;"&amp;DATE($B$3+1,1,1),업무일지!$AB$5:$AB$1004,$A$50)&gt;0,1,0))</f>
        <v/>
      </c>
      <c r="CG103">
        <f>IF($O103="",0,IF(COUNTIFS(업무일지!$F$5:$F$1004,$O103,업무일지!$B$5:$B$1004,"&gt;="&amp;DATE($B$3,1,1),업무일지!$B$5:$B$1004,"&lt;"&amp;DATE($B$3+1,1,1),업무일지!$AB$5:$AB$1004,$A$51)&gt;0,1,0))</f>
        <v/>
      </c>
      <c r="CH103">
        <f>IF($O103="",0,IF(COUNTIFS(업무일지!$F$5:$F$1004,$O103,업무일지!$B$5:$B$1004,"&gt;="&amp;DATE($B$3,1,1),업무일지!$B$5:$B$1004,"&lt;"&amp;DATE($B$3+1,1,1),업무일지!$AB$5:$AB$1004,$A$52)&gt;0,1,0))</f>
        <v/>
      </c>
      <c r="CI103">
        <f>IF($O103="",0,IF(COUNTIFS(업무일지!$F$5:$F$1004,$O103,업무일지!$B$5:$B$1004,"&gt;="&amp;DATE($B$3,1,1),업무일지!$B$5:$B$1004,"&lt;"&amp;DATE($B$3+1,1,1),업무일지!$AB$5:$AB$1004,$A$53)&gt;0,1,0))</f>
        <v/>
      </c>
    </row>
    <row r="104">
      <c r="O104">
        <f>IF(사건마스터!$A24="","",사건마스터!$A24)</f>
        <v/>
      </c>
      <c r="P104">
        <f>IF($O104="",0,IF(COUNTIFS(업무일지!$F$5:$F$1004,$O104,업무일지!$B$5:$B$1004,"&gt;="&amp;DATE($B$3,1,1),업무일지!$B$5:$B$1004,"&lt;"&amp;DATE($B$3,1+1,1),업무일지!$D$5:$D$1004,"출장")&gt;0,1,0))</f>
        <v/>
      </c>
      <c r="Q104">
        <f>IF($O104="",0,IF(COUNTIFS(업무일지!$F$5:$F$1004,$O104,업무일지!$B$5:$B$1004,"&gt;="&amp;DATE($B$3,2,1),업무일지!$B$5:$B$1004,"&lt;"&amp;DATE($B$3,2+1,1),업무일지!$D$5:$D$1004,"출장")&gt;0,1,0))</f>
        <v/>
      </c>
      <c r="R104">
        <f>IF($O104="",0,IF(COUNTIFS(업무일지!$F$5:$F$1004,$O104,업무일지!$B$5:$B$1004,"&gt;="&amp;DATE($B$3,3,1),업무일지!$B$5:$B$1004,"&lt;"&amp;DATE($B$3,3+1,1),업무일지!$D$5:$D$1004,"출장")&gt;0,1,0))</f>
        <v/>
      </c>
      <c r="S104">
        <f>IF($O104="",0,IF(COUNTIFS(업무일지!$F$5:$F$1004,$O104,업무일지!$B$5:$B$1004,"&gt;="&amp;DATE($B$3,4,1),업무일지!$B$5:$B$1004,"&lt;"&amp;DATE($B$3,4+1,1),업무일지!$D$5:$D$1004,"출장")&gt;0,1,0))</f>
        <v/>
      </c>
      <c r="T104">
        <f>IF($O104="",0,IF(COUNTIFS(업무일지!$F$5:$F$1004,$O104,업무일지!$B$5:$B$1004,"&gt;="&amp;DATE($B$3,5,1),업무일지!$B$5:$B$1004,"&lt;"&amp;DATE($B$3,5+1,1),업무일지!$D$5:$D$1004,"출장")&gt;0,1,0))</f>
        <v/>
      </c>
      <c r="U104">
        <f>IF($O104="",0,IF(COUNTIFS(업무일지!$F$5:$F$1004,$O104,업무일지!$B$5:$B$1004,"&gt;="&amp;DATE($B$3,6,1),업무일지!$B$5:$B$1004,"&lt;"&amp;DATE($B$3,6+1,1),업무일지!$D$5:$D$1004,"출장")&gt;0,1,0))</f>
        <v/>
      </c>
      <c r="V104">
        <f>IF($O104="",0,IF(COUNTIFS(업무일지!$F$5:$F$1004,$O104,업무일지!$B$5:$B$1004,"&gt;="&amp;DATE($B$3,7,1),업무일지!$B$5:$B$1004,"&lt;"&amp;DATE($B$3,7+1,1),업무일지!$D$5:$D$1004,"출장")&gt;0,1,0))</f>
        <v/>
      </c>
      <c r="W104">
        <f>IF($O104="",0,IF(COUNTIFS(업무일지!$F$5:$F$1004,$O104,업무일지!$B$5:$B$1004,"&gt;="&amp;DATE($B$3,8,1),업무일지!$B$5:$B$1004,"&lt;"&amp;DATE($B$3,8+1,1),업무일지!$D$5:$D$1004,"출장")&gt;0,1,0))</f>
        <v/>
      </c>
      <c r="X104">
        <f>IF($O104="",0,IF(COUNTIFS(업무일지!$F$5:$F$1004,$O104,업무일지!$B$5:$B$1004,"&gt;="&amp;DATE($B$3,9,1),업무일지!$B$5:$B$1004,"&lt;"&amp;DATE($B$3,9+1,1),업무일지!$D$5:$D$1004,"출장")&gt;0,1,0))</f>
        <v/>
      </c>
      <c r="Y104">
        <f>IF($O104="",0,IF(COUNTIFS(업무일지!$F$5:$F$1004,$O104,업무일지!$B$5:$B$1004,"&gt;="&amp;DATE($B$3,10,1),업무일지!$B$5:$B$1004,"&lt;"&amp;DATE($B$3,10+1,1),업무일지!$D$5:$D$1004,"출장")&gt;0,1,0))</f>
        <v/>
      </c>
      <c r="Z104">
        <f>IF($O104="",0,IF(COUNTIFS(업무일지!$F$5:$F$1004,$O104,업무일지!$B$5:$B$1004,"&gt;="&amp;DATE($B$3,11,1),업무일지!$B$5:$B$1004,"&lt;"&amp;DATE($B$3,11+1,1),업무일지!$D$5:$D$1004,"출장")&gt;0,1,0))</f>
        <v/>
      </c>
      <c r="AA104">
        <f>IF($O104="",0,IF(COUNTIFS(업무일지!$F$5:$F$1004,$O104,업무일지!$B$5:$B$1004,"&gt;="&amp;DATE($B$3,12,1),업무일지!$B$5:$B$1004,"&lt;"&amp;DATE($B$3,12+1,1),업무일지!$D$5:$D$1004,"출장")&gt;0,1,0))</f>
        <v/>
      </c>
      <c r="AB104">
        <f>IF($O104="",0,IF(COUNTIFS(업무일지!$F$5:$F$1004,$O104,업무일지!$B$5:$B$1004,"&gt;="&amp;DATE($B$3,1,1),업무일지!$B$5:$B$1004,"&lt;"&amp;DATE($B$3,1+1,1),업무일지!$D$5:$D$1004,"분석")&gt;0,1,0))</f>
        <v/>
      </c>
      <c r="AC104">
        <f>IF($O104="",0,IF(COUNTIFS(업무일지!$F$5:$F$1004,$O104,업무일지!$B$5:$B$1004,"&gt;="&amp;DATE($B$3,2,1),업무일지!$B$5:$B$1004,"&lt;"&amp;DATE($B$3,2+1,1),업무일지!$D$5:$D$1004,"분석")&gt;0,1,0))</f>
        <v/>
      </c>
      <c r="AD104">
        <f>IF($O104="",0,IF(COUNTIFS(업무일지!$F$5:$F$1004,$O104,업무일지!$B$5:$B$1004,"&gt;="&amp;DATE($B$3,3,1),업무일지!$B$5:$B$1004,"&lt;"&amp;DATE($B$3,3+1,1),업무일지!$D$5:$D$1004,"분석")&gt;0,1,0))</f>
        <v/>
      </c>
      <c r="AE104">
        <f>IF($O104="",0,IF(COUNTIFS(업무일지!$F$5:$F$1004,$O104,업무일지!$B$5:$B$1004,"&gt;="&amp;DATE($B$3,4,1),업무일지!$B$5:$B$1004,"&lt;"&amp;DATE($B$3,4+1,1),업무일지!$D$5:$D$1004,"분석")&gt;0,1,0))</f>
        <v/>
      </c>
      <c r="AF104">
        <f>IF($O104="",0,IF(COUNTIFS(업무일지!$F$5:$F$1004,$O104,업무일지!$B$5:$B$1004,"&gt;="&amp;DATE($B$3,5,1),업무일지!$B$5:$B$1004,"&lt;"&amp;DATE($B$3,5+1,1),업무일지!$D$5:$D$1004,"분석")&gt;0,1,0))</f>
        <v/>
      </c>
      <c r="AG104">
        <f>IF($O104="",0,IF(COUNTIFS(업무일지!$F$5:$F$1004,$O104,업무일지!$B$5:$B$1004,"&gt;="&amp;DATE($B$3,6,1),업무일지!$B$5:$B$1004,"&lt;"&amp;DATE($B$3,6+1,1),업무일지!$D$5:$D$1004,"분석")&gt;0,1,0))</f>
        <v/>
      </c>
      <c r="AH104">
        <f>IF($O104="",0,IF(COUNTIFS(업무일지!$F$5:$F$1004,$O104,업무일지!$B$5:$B$1004,"&gt;="&amp;DATE($B$3,7,1),업무일지!$B$5:$B$1004,"&lt;"&amp;DATE($B$3,7+1,1),업무일지!$D$5:$D$1004,"분석")&gt;0,1,0))</f>
        <v/>
      </c>
      <c r="AI104">
        <f>IF($O104="",0,IF(COUNTIFS(업무일지!$F$5:$F$1004,$O104,업무일지!$B$5:$B$1004,"&gt;="&amp;DATE($B$3,8,1),업무일지!$B$5:$B$1004,"&lt;"&amp;DATE($B$3,8+1,1),업무일지!$D$5:$D$1004,"분석")&gt;0,1,0))</f>
        <v/>
      </c>
      <c r="AJ104">
        <f>IF($O104="",0,IF(COUNTIFS(업무일지!$F$5:$F$1004,$O104,업무일지!$B$5:$B$1004,"&gt;="&amp;DATE($B$3,9,1),업무일지!$B$5:$B$1004,"&lt;"&amp;DATE($B$3,9+1,1),업무일지!$D$5:$D$1004,"분석")&gt;0,1,0))</f>
        <v/>
      </c>
      <c r="AK104">
        <f>IF($O104="",0,IF(COUNTIFS(업무일지!$F$5:$F$1004,$O104,업무일지!$B$5:$B$1004,"&gt;="&amp;DATE($B$3,10,1),업무일지!$B$5:$B$1004,"&lt;"&amp;DATE($B$3,10+1,1),업무일지!$D$5:$D$1004,"분석")&gt;0,1,0))</f>
        <v/>
      </c>
      <c r="AL104">
        <f>IF($O104="",0,IF(COUNTIFS(업무일지!$F$5:$F$1004,$O104,업무일지!$B$5:$B$1004,"&gt;="&amp;DATE($B$3,11,1),업무일지!$B$5:$B$1004,"&lt;"&amp;DATE($B$3,11+1,1),업무일지!$D$5:$D$1004,"분석")&gt;0,1,0))</f>
        <v/>
      </c>
      <c r="AM104">
        <f>IF($O104="",0,IF(COUNTIFS(업무일지!$F$5:$F$1004,$O104,업무일지!$B$5:$B$1004,"&gt;="&amp;DATE($B$3,12,1),업무일지!$B$5:$B$1004,"&lt;"&amp;DATE($B$3,12+1,1),업무일지!$D$5:$D$1004,"분석")&gt;0,1,0))</f>
        <v/>
      </c>
      <c r="AN104">
        <f>IF($O104="",0,IF(COUNTIFS(업무일지!$F$5:$F$1004,$O104,업무일지!$B$5:$B$1004,"&gt;="&amp;DATE($B$3,1,1),업무일지!$B$5:$B$1004,"&lt;"&amp;DATE($B$3,1+1,1))&gt;0,1,0))</f>
        <v/>
      </c>
      <c r="AO104">
        <f>IF($O104="",0,IF(COUNTIFS(업무일지!$F$5:$F$1004,$O104,업무일지!$B$5:$B$1004,"&gt;="&amp;DATE($B$3,2,1),업무일지!$B$5:$B$1004,"&lt;"&amp;DATE($B$3,2+1,1))&gt;0,1,0))</f>
        <v/>
      </c>
      <c r="AP104">
        <f>IF($O104="",0,IF(COUNTIFS(업무일지!$F$5:$F$1004,$O104,업무일지!$B$5:$B$1004,"&gt;="&amp;DATE($B$3,3,1),업무일지!$B$5:$B$1004,"&lt;"&amp;DATE($B$3,3+1,1))&gt;0,1,0))</f>
        <v/>
      </c>
      <c r="AQ104">
        <f>IF($O104="",0,IF(COUNTIFS(업무일지!$F$5:$F$1004,$O104,업무일지!$B$5:$B$1004,"&gt;="&amp;DATE($B$3,4,1),업무일지!$B$5:$B$1004,"&lt;"&amp;DATE($B$3,4+1,1))&gt;0,1,0))</f>
        <v/>
      </c>
      <c r="AR104">
        <f>IF($O104="",0,IF(COUNTIFS(업무일지!$F$5:$F$1004,$O104,업무일지!$B$5:$B$1004,"&gt;="&amp;DATE($B$3,5,1),업무일지!$B$5:$B$1004,"&lt;"&amp;DATE($B$3,5+1,1))&gt;0,1,0))</f>
        <v/>
      </c>
      <c r="AS104">
        <f>IF($O104="",0,IF(COUNTIFS(업무일지!$F$5:$F$1004,$O104,업무일지!$B$5:$B$1004,"&gt;="&amp;DATE($B$3,6,1),업무일지!$B$5:$B$1004,"&lt;"&amp;DATE($B$3,6+1,1))&gt;0,1,0))</f>
        <v/>
      </c>
      <c r="AT104">
        <f>IF($O104="",0,IF(COUNTIFS(업무일지!$F$5:$F$1004,$O104,업무일지!$B$5:$B$1004,"&gt;="&amp;DATE($B$3,7,1),업무일지!$B$5:$B$1004,"&lt;"&amp;DATE($B$3,7+1,1))&gt;0,1,0))</f>
        <v/>
      </c>
      <c r="AU104">
        <f>IF($O104="",0,IF(COUNTIFS(업무일지!$F$5:$F$1004,$O104,업무일지!$B$5:$B$1004,"&gt;="&amp;DATE($B$3,8,1),업무일지!$B$5:$B$1004,"&lt;"&amp;DATE($B$3,8+1,1))&gt;0,1,0))</f>
        <v/>
      </c>
      <c r="AV104">
        <f>IF($O104="",0,IF(COUNTIFS(업무일지!$F$5:$F$1004,$O104,업무일지!$B$5:$B$1004,"&gt;="&amp;DATE($B$3,9,1),업무일지!$B$5:$B$1004,"&lt;"&amp;DATE($B$3,9+1,1))&gt;0,1,0))</f>
        <v/>
      </c>
      <c r="AW104">
        <f>IF($O104="",0,IF(COUNTIFS(업무일지!$F$5:$F$1004,$O104,업무일지!$B$5:$B$1004,"&gt;="&amp;DATE($B$3,10,1),업무일지!$B$5:$B$1004,"&lt;"&amp;DATE($B$3,10+1,1))&gt;0,1,0))</f>
        <v/>
      </c>
      <c r="AX104">
        <f>IF($O104="",0,IF(COUNTIFS(업무일지!$F$5:$F$1004,$O104,업무일지!$B$5:$B$1004,"&gt;="&amp;DATE($B$3,11,1),업무일지!$B$5:$B$1004,"&lt;"&amp;DATE($B$3,11+1,1))&gt;0,1,0))</f>
        <v/>
      </c>
      <c r="AY104">
        <f>IF($O104="",0,IF(COUNTIFS(업무일지!$F$5:$F$1004,$O104,업무일지!$B$5:$B$1004,"&gt;="&amp;DATE($B$3,12,1),업무일지!$B$5:$B$1004,"&lt;"&amp;DATE($B$3,12+1,1))&gt;0,1,0))</f>
        <v/>
      </c>
      <c r="AZ104">
        <f>IF($O104="",0,IF(COUNTIFS(업무일지!$F$5:$F$1004,$O104,업무일지!$B$5:$B$1004,"&gt;="&amp;DATE($B$3,1,1),업무일지!$B$5:$B$1004,"&lt;"&amp;DATE($B$3+1,1,1),업무일지!$D$5:$D$1004,"출장")&gt;0,1,0))</f>
        <v/>
      </c>
      <c r="BA104">
        <f>IF($O104="",0,IF(COUNTIFS(업무일지!$F$5:$F$1004,$O104,업무일지!$B$5:$B$1004,"&gt;="&amp;DATE($B$3,1,1),업무일지!$B$5:$B$1004,"&lt;"&amp;DATE($B$3+1,1,1),업무일지!$D$5:$D$1004,"분석")&gt;0,1,0))</f>
        <v/>
      </c>
      <c r="BB104">
        <f>IF($O104="",0,IF(COUNTIFS(업무일지!$F$5:$F$1004,$O104,업무일지!$B$5:$B$1004,"&gt;="&amp;DATE($B$3,1,1),업무일지!$B$5:$B$1004,"&lt;"&amp;DATE($B$3+1,1,1))&gt;0,1,0))</f>
        <v/>
      </c>
      <c r="BD104">
        <f>IF($O104="",0,IF(COUNTIFS(업무일지!$F$5:$F$1004,$O104,업무일지!$B$5:$B$1004,"&gt;="&amp;DATE($B$3,1,1),업무일지!$B$5:$B$1004,"&lt;"&amp;DATE($B$3+1,1,1),업무일지!$AB$5:$AB$1004,$A$44,업무일지!$D$5:$D$1004,"출장")&gt;0,1,0))</f>
        <v/>
      </c>
      <c r="BE104">
        <f>IF($O104="",0,IF(COUNTIFS(업무일지!$F$5:$F$1004,$O104,업무일지!$B$5:$B$1004,"&gt;="&amp;DATE($B$3,1,1),업무일지!$B$5:$B$1004,"&lt;"&amp;DATE($B$3+1,1,1),업무일지!$AB$5:$AB$1004,$A$45,업무일지!$D$5:$D$1004,"출장")&gt;0,1,0))</f>
        <v/>
      </c>
      <c r="BF104">
        <f>IF($O104="",0,IF(COUNTIFS(업무일지!$F$5:$F$1004,$O104,업무일지!$B$5:$B$1004,"&gt;="&amp;DATE($B$3,1,1),업무일지!$B$5:$B$1004,"&lt;"&amp;DATE($B$3+1,1,1),업무일지!$AB$5:$AB$1004,$A$46,업무일지!$D$5:$D$1004,"출장")&gt;0,1,0))</f>
        <v/>
      </c>
      <c r="BG104">
        <f>IF($O104="",0,IF(COUNTIFS(업무일지!$F$5:$F$1004,$O104,업무일지!$B$5:$B$1004,"&gt;="&amp;DATE($B$3,1,1),업무일지!$B$5:$B$1004,"&lt;"&amp;DATE($B$3+1,1,1),업무일지!$AB$5:$AB$1004,$A$47,업무일지!$D$5:$D$1004,"출장")&gt;0,1,0))</f>
        <v/>
      </c>
      <c r="BH104">
        <f>IF($O104="",0,IF(COUNTIFS(업무일지!$F$5:$F$1004,$O104,업무일지!$B$5:$B$1004,"&gt;="&amp;DATE($B$3,1,1),업무일지!$B$5:$B$1004,"&lt;"&amp;DATE($B$3+1,1,1),업무일지!$AB$5:$AB$1004,$A$48,업무일지!$D$5:$D$1004,"출장")&gt;0,1,0))</f>
        <v/>
      </c>
      <c r="BI104">
        <f>IF($O104="",0,IF(COUNTIFS(업무일지!$F$5:$F$1004,$O104,업무일지!$B$5:$B$1004,"&gt;="&amp;DATE($B$3,1,1),업무일지!$B$5:$B$1004,"&lt;"&amp;DATE($B$3+1,1,1),업무일지!$AB$5:$AB$1004,$A$49,업무일지!$D$5:$D$1004,"출장")&gt;0,1,0))</f>
        <v/>
      </c>
      <c r="BJ104">
        <f>IF($O104="",0,IF(COUNTIFS(업무일지!$F$5:$F$1004,$O104,업무일지!$B$5:$B$1004,"&gt;="&amp;DATE($B$3,1,1),업무일지!$B$5:$B$1004,"&lt;"&amp;DATE($B$3+1,1,1),업무일지!$AB$5:$AB$1004,$A$50,업무일지!$D$5:$D$1004,"출장")&gt;0,1,0))</f>
        <v/>
      </c>
      <c r="BK104">
        <f>IF($O104="",0,IF(COUNTIFS(업무일지!$F$5:$F$1004,$O104,업무일지!$B$5:$B$1004,"&gt;="&amp;DATE($B$3,1,1),업무일지!$B$5:$B$1004,"&lt;"&amp;DATE($B$3+1,1,1),업무일지!$AB$5:$AB$1004,$A$51,업무일지!$D$5:$D$1004,"출장")&gt;0,1,0))</f>
        <v/>
      </c>
      <c r="BL104">
        <f>IF($O104="",0,IF(COUNTIFS(업무일지!$F$5:$F$1004,$O104,업무일지!$B$5:$B$1004,"&gt;="&amp;DATE($B$3,1,1),업무일지!$B$5:$B$1004,"&lt;"&amp;DATE($B$3+1,1,1),업무일지!$AB$5:$AB$1004,$A$52,업무일지!$D$5:$D$1004,"출장")&gt;0,1,0))</f>
        <v/>
      </c>
      <c r="BM104">
        <f>IF($O104="",0,IF(COUNTIFS(업무일지!$F$5:$F$1004,$O104,업무일지!$B$5:$B$1004,"&gt;="&amp;DATE($B$3,1,1),업무일지!$B$5:$B$1004,"&lt;"&amp;DATE($B$3+1,1,1),업무일지!$AB$5:$AB$1004,$A$53,업무일지!$D$5:$D$1004,"출장")&gt;0,1,0))</f>
        <v/>
      </c>
      <c r="BO104">
        <f>IF($O104="",0,IF(COUNTIFS(업무일지!$F$5:$F$1004,$O104,업무일지!$B$5:$B$1004,"&gt;="&amp;DATE($B$3,1,1),업무일지!$B$5:$B$1004,"&lt;"&amp;DATE($B$3+1,1,1),업무일지!$AB$5:$AB$1004,$A$44,업무일지!$D$5:$D$1004,"분석")&gt;0,1,0))</f>
        <v/>
      </c>
      <c r="BP104">
        <f>IF($O104="",0,IF(COUNTIFS(업무일지!$F$5:$F$1004,$O104,업무일지!$B$5:$B$1004,"&gt;="&amp;DATE($B$3,1,1),업무일지!$B$5:$B$1004,"&lt;"&amp;DATE($B$3+1,1,1),업무일지!$AB$5:$AB$1004,$A$45,업무일지!$D$5:$D$1004,"분석")&gt;0,1,0))</f>
        <v/>
      </c>
      <c r="BQ104">
        <f>IF($O104="",0,IF(COUNTIFS(업무일지!$F$5:$F$1004,$O104,업무일지!$B$5:$B$1004,"&gt;="&amp;DATE($B$3,1,1),업무일지!$B$5:$B$1004,"&lt;"&amp;DATE($B$3+1,1,1),업무일지!$AB$5:$AB$1004,$A$46,업무일지!$D$5:$D$1004,"분석")&gt;0,1,0))</f>
        <v/>
      </c>
      <c r="BR104">
        <f>IF($O104="",0,IF(COUNTIFS(업무일지!$F$5:$F$1004,$O104,업무일지!$B$5:$B$1004,"&gt;="&amp;DATE($B$3,1,1),업무일지!$B$5:$B$1004,"&lt;"&amp;DATE($B$3+1,1,1),업무일지!$AB$5:$AB$1004,$A$47,업무일지!$D$5:$D$1004,"분석")&gt;0,1,0))</f>
        <v/>
      </c>
      <c r="BS104">
        <f>IF($O104="",0,IF(COUNTIFS(업무일지!$F$5:$F$1004,$O104,업무일지!$B$5:$B$1004,"&gt;="&amp;DATE($B$3,1,1),업무일지!$B$5:$B$1004,"&lt;"&amp;DATE($B$3+1,1,1),업무일지!$AB$5:$AB$1004,$A$48,업무일지!$D$5:$D$1004,"분석")&gt;0,1,0))</f>
        <v/>
      </c>
      <c r="BT104">
        <f>IF($O104="",0,IF(COUNTIFS(업무일지!$F$5:$F$1004,$O104,업무일지!$B$5:$B$1004,"&gt;="&amp;DATE($B$3,1,1),업무일지!$B$5:$B$1004,"&lt;"&amp;DATE($B$3+1,1,1),업무일지!$AB$5:$AB$1004,$A$49,업무일지!$D$5:$D$1004,"분석")&gt;0,1,0))</f>
        <v/>
      </c>
      <c r="BU104">
        <f>IF($O104="",0,IF(COUNTIFS(업무일지!$F$5:$F$1004,$O104,업무일지!$B$5:$B$1004,"&gt;="&amp;DATE($B$3,1,1),업무일지!$B$5:$B$1004,"&lt;"&amp;DATE($B$3+1,1,1),업무일지!$AB$5:$AB$1004,$A$50,업무일지!$D$5:$D$1004,"분석")&gt;0,1,0))</f>
        <v/>
      </c>
      <c r="BV104">
        <f>IF($O104="",0,IF(COUNTIFS(업무일지!$F$5:$F$1004,$O104,업무일지!$B$5:$B$1004,"&gt;="&amp;DATE($B$3,1,1),업무일지!$B$5:$B$1004,"&lt;"&amp;DATE($B$3+1,1,1),업무일지!$AB$5:$AB$1004,$A$51,업무일지!$D$5:$D$1004,"분석")&gt;0,1,0))</f>
        <v/>
      </c>
      <c r="BW104">
        <f>IF($O104="",0,IF(COUNTIFS(업무일지!$F$5:$F$1004,$O104,업무일지!$B$5:$B$1004,"&gt;="&amp;DATE($B$3,1,1),업무일지!$B$5:$B$1004,"&lt;"&amp;DATE($B$3+1,1,1),업무일지!$AB$5:$AB$1004,$A$52,업무일지!$D$5:$D$1004,"분석")&gt;0,1,0))</f>
        <v/>
      </c>
      <c r="BX104">
        <f>IF($O104="",0,IF(COUNTIFS(업무일지!$F$5:$F$1004,$O104,업무일지!$B$5:$B$1004,"&gt;="&amp;DATE($B$3,1,1),업무일지!$B$5:$B$1004,"&lt;"&amp;DATE($B$3+1,1,1),업무일지!$AB$5:$AB$1004,$A$53,업무일지!$D$5:$D$1004,"분석")&gt;0,1,0))</f>
        <v/>
      </c>
      <c r="BZ104">
        <f>IF($O104="",0,IF(COUNTIFS(업무일지!$F$5:$F$1004,$O104,업무일지!$B$5:$B$1004,"&gt;="&amp;DATE($B$3,1,1),업무일지!$B$5:$B$1004,"&lt;"&amp;DATE($B$3+1,1,1),업무일지!$AB$5:$AB$1004,$A$44)&gt;0,1,0))</f>
        <v/>
      </c>
      <c r="CA104">
        <f>IF($O104="",0,IF(COUNTIFS(업무일지!$F$5:$F$1004,$O104,업무일지!$B$5:$B$1004,"&gt;="&amp;DATE($B$3,1,1),업무일지!$B$5:$B$1004,"&lt;"&amp;DATE($B$3+1,1,1),업무일지!$AB$5:$AB$1004,$A$45)&gt;0,1,0))</f>
        <v/>
      </c>
      <c r="CB104">
        <f>IF($O104="",0,IF(COUNTIFS(업무일지!$F$5:$F$1004,$O104,업무일지!$B$5:$B$1004,"&gt;="&amp;DATE($B$3,1,1),업무일지!$B$5:$B$1004,"&lt;"&amp;DATE($B$3+1,1,1),업무일지!$AB$5:$AB$1004,$A$46)&gt;0,1,0))</f>
        <v/>
      </c>
      <c r="CC104">
        <f>IF($O104="",0,IF(COUNTIFS(업무일지!$F$5:$F$1004,$O104,업무일지!$B$5:$B$1004,"&gt;="&amp;DATE($B$3,1,1),업무일지!$B$5:$B$1004,"&lt;"&amp;DATE($B$3+1,1,1),업무일지!$AB$5:$AB$1004,$A$47)&gt;0,1,0))</f>
        <v/>
      </c>
      <c r="CD104">
        <f>IF($O104="",0,IF(COUNTIFS(업무일지!$F$5:$F$1004,$O104,업무일지!$B$5:$B$1004,"&gt;="&amp;DATE($B$3,1,1),업무일지!$B$5:$B$1004,"&lt;"&amp;DATE($B$3+1,1,1),업무일지!$AB$5:$AB$1004,$A$48)&gt;0,1,0))</f>
        <v/>
      </c>
      <c r="CE104">
        <f>IF($O104="",0,IF(COUNTIFS(업무일지!$F$5:$F$1004,$O104,업무일지!$B$5:$B$1004,"&gt;="&amp;DATE($B$3,1,1),업무일지!$B$5:$B$1004,"&lt;"&amp;DATE($B$3+1,1,1),업무일지!$AB$5:$AB$1004,$A$49)&gt;0,1,0))</f>
        <v/>
      </c>
      <c r="CF104">
        <f>IF($O104="",0,IF(COUNTIFS(업무일지!$F$5:$F$1004,$O104,업무일지!$B$5:$B$1004,"&gt;="&amp;DATE($B$3,1,1),업무일지!$B$5:$B$1004,"&lt;"&amp;DATE($B$3+1,1,1),업무일지!$AB$5:$AB$1004,$A$50)&gt;0,1,0))</f>
        <v/>
      </c>
      <c r="CG104">
        <f>IF($O104="",0,IF(COUNTIFS(업무일지!$F$5:$F$1004,$O104,업무일지!$B$5:$B$1004,"&gt;="&amp;DATE($B$3,1,1),업무일지!$B$5:$B$1004,"&lt;"&amp;DATE($B$3+1,1,1),업무일지!$AB$5:$AB$1004,$A$51)&gt;0,1,0))</f>
        <v/>
      </c>
      <c r="CH104">
        <f>IF($O104="",0,IF(COUNTIFS(업무일지!$F$5:$F$1004,$O104,업무일지!$B$5:$B$1004,"&gt;="&amp;DATE($B$3,1,1),업무일지!$B$5:$B$1004,"&lt;"&amp;DATE($B$3+1,1,1),업무일지!$AB$5:$AB$1004,$A$52)&gt;0,1,0))</f>
        <v/>
      </c>
      <c r="CI104">
        <f>IF($O104="",0,IF(COUNTIFS(업무일지!$F$5:$F$1004,$O104,업무일지!$B$5:$B$1004,"&gt;="&amp;DATE($B$3,1,1),업무일지!$B$5:$B$1004,"&lt;"&amp;DATE($B$3+1,1,1),업무일지!$AB$5:$AB$1004,$A$53)&gt;0,1,0))</f>
        <v/>
      </c>
    </row>
    <row r="105">
      <c r="O105">
        <f>IF(사건마스터!$A25="","",사건마스터!$A25)</f>
        <v/>
      </c>
      <c r="P105">
        <f>IF($O105="",0,IF(COUNTIFS(업무일지!$F$5:$F$1004,$O105,업무일지!$B$5:$B$1004,"&gt;="&amp;DATE($B$3,1,1),업무일지!$B$5:$B$1004,"&lt;"&amp;DATE($B$3,1+1,1),업무일지!$D$5:$D$1004,"출장")&gt;0,1,0))</f>
        <v/>
      </c>
      <c r="Q105">
        <f>IF($O105="",0,IF(COUNTIFS(업무일지!$F$5:$F$1004,$O105,업무일지!$B$5:$B$1004,"&gt;="&amp;DATE($B$3,2,1),업무일지!$B$5:$B$1004,"&lt;"&amp;DATE($B$3,2+1,1),업무일지!$D$5:$D$1004,"출장")&gt;0,1,0))</f>
        <v/>
      </c>
      <c r="R105">
        <f>IF($O105="",0,IF(COUNTIFS(업무일지!$F$5:$F$1004,$O105,업무일지!$B$5:$B$1004,"&gt;="&amp;DATE($B$3,3,1),업무일지!$B$5:$B$1004,"&lt;"&amp;DATE($B$3,3+1,1),업무일지!$D$5:$D$1004,"출장")&gt;0,1,0))</f>
        <v/>
      </c>
      <c r="S105">
        <f>IF($O105="",0,IF(COUNTIFS(업무일지!$F$5:$F$1004,$O105,업무일지!$B$5:$B$1004,"&gt;="&amp;DATE($B$3,4,1),업무일지!$B$5:$B$1004,"&lt;"&amp;DATE($B$3,4+1,1),업무일지!$D$5:$D$1004,"출장")&gt;0,1,0))</f>
        <v/>
      </c>
      <c r="T105">
        <f>IF($O105="",0,IF(COUNTIFS(업무일지!$F$5:$F$1004,$O105,업무일지!$B$5:$B$1004,"&gt;="&amp;DATE($B$3,5,1),업무일지!$B$5:$B$1004,"&lt;"&amp;DATE($B$3,5+1,1),업무일지!$D$5:$D$1004,"출장")&gt;0,1,0))</f>
        <v/>
      </c>
      <c r="U105">
        <f>IF($O105="",0,IF(COUNTIFS(업무일지!$F$5:$F$1004,$O105,업무일지!$B$5:$B$1004,"&gt;="&amp;DATE($B$3,6,1),업무일지!$B$5:$B$1004,"&lt;"&amp;DATE($B$3,6+1,1),업무일지!$D$5:$D$1004,"출장")&gt;0,1,0))</f>
        <v/>
      </c>
      <c r="V105">
        <f>IF($O105="",0,IF(COUNTIFS(업무일지!$F$5:$F$1004,$O105,업무일지!$B$5:$B$1004,"&gt;="&amp;DATE($B$3,7,1),업무일지!$B$5:$B$1004,"&lt;"&amp;DATE($B$3,7+1,1),업무일지!$D$5:$D$1004,"출장")&gt;0,1,0))</f>
        <v/>
      </c>
      <c r="W105">
        <f>IF($O105="",0,IF(COUNTIFS(업무일지!$F$5:$F$1004,$O105,업무일지!$B$5:$B$1004,"&gt;="&amp;DATE($B$3,8,1),업무일지!$B$5:$B$1004,"&lt;"&amp;DATE($B$3,8+1,1),업무일지!$D$5:$D$1004,"출장")&gt;0,1,0))</f>
        <v/>
      </c>
      <c r="X105">
        <f>IF($O105="",0,IF(COUNTIFS(업무일지!$F$5:$F$1004,$O105,업무일지!$B$5:$B$1004,"&gt;="&amp;DATE($B$3,9,1),업무일지!$B$5:$B$1004,"&lt;"&amp;DATE($B$3,9+1,1),업무일지!$D$5:$D$1004,"출장")&gt;0,1,0))</f>
        <v/>
      </c>
      <c r="Y105">
        <f>IF($O105="",0,IF(COUNTIFS(업무일지!$F$5:$F$1004,$O105,업무일지!$B$5:$B$1004,"&gt;="&amp;DATE($B$3,10,1),업무일지!$B$5:$B$1004,"&lt;"&amp;DATE($B$3,10+1,1),업무일지!$D$5:$D$1004,"출장")&gt;0,1,0))</f>
        <v/>
      </c>
      <c r="Z105">
        <f>IF($O105="",0,IF(COUNTIFS(업무일지!$F$5:$F$1004,$O105,업무일지!$B$5:$B$1004,"&gt;="&amp;DATE($B$3,11,1),업무일지!$B$5:$B$1004,"&lt;"&amp;DATE($B$3,11+1,1),업무일지!$D$5:$D$1004,"출장")&gt;0,1,0))</f>
        <v/>
      </c>
      <c r="AA105">
        <f>IF($O105="",0,IF(COUNTIFS(업무일지!$F$5:$F$1004,$O105,업무일지!$B$5:$B$1004,"&gt;="&amp;DATE($B$3,12,1),업무일지!$B$5:$B$1004,"&lt;"&amp;DATE($B$3,12+1,1),업무일지!$D$5:$D$1004,"출장")&gt;0,1,0))</f>
        <v/>
      </c>
      <c r="AB105">
        <f>IF($O105="",0,IF(COUNTIFS(업무일지!$F$5:$F$1004,$O105,업무일지!$B$5:$B$1004,"&gt;="&amp;DATE($B$3,1,1),업무일지!$B$5:$B$1004,"&lt;"&amp;DATE($B$3,1+1,1),업무일지!$D$5:$D$1004,"분석")&gt;0,1,0))</f>
        <v/>
      </c>
      <c r="AC105">
        <f>IF($O105="",0,IF(COUNTIFS(업무일지!$F$5:$F$1004,$O105,업무일지!$B$5:$B$1004,"&gt;="&amp;DATE($B$3,2,1),업무일지!$B$5:$B$1004,"&lt;"&amp;DATE($B$3,2+1,1),업무일지!$D$5:$D$1004,"분석")&gt;0,1,0))</f>
        <v/>
      </c>
      <c r="AD105">
        <f>IF($O105="",0,IF(COUNTIFS(업무일지!$F$5:$F$1004,$O105,업무일지!$B$5:$B$1004,"&gt;="&amp;DATE($B$3,3,1),업무일지!$B$5:$B$1004,"&lt;"&amp;DATE($B$3,3+1,1),업무일지!$D$5:$D$1004,"분석")&gt;0,1,0))</f>
        <v/>
      </c>
      <c r="AE105">
        <f>IF($O105="",0,IF(COUNTIFS(업무일지!$F$5:$F$1004,$O105,업무일지!$B$5:$B$1004,"&gt;="&amp;DATE($B$3,4,1),업무일지!$B$5:$B$1004,"&lt;"&amp;DATE($B$3,4+1,1),업무일지!$D$5:$D$1004,"분석")&gt;0,1,0))</f>
        <v/>
      </c>
      <c r="AF105">
        <f>IF($O105="",0,IF(COUNTIFS(업무일지!$F$5:$F$1004,$O105,업무일지!$B$5:$B$1004,"&gt;="&amp;DATE($B$3,5,1),업무일지!$B$5:$B$1004,"&lt;"&amp;DATE($B$3,5+1,1),업무일지!$D$5:$D$1004,"분석")&gt;0,1,0))</f>
        <v/>
      </c>
      <c r="AG105">
        <f>IF($O105="",0,IF(COUNTIFS(업무일지!$F$5:$F$1004,$O105,업무일지!$B$5:$B$1004,"&gt;="&amp;DATE($B$3,6,1),업무일지!$B$5:$B$1004,"&lt;"&amp;DATE($B$3,6+1,1),업무일지!$D$5:$D$1004,"분석")&gt;0,1,0))</f>
        <v/>
      </c>
      <c r="AH105">
        <f>IF($O105="",0,IF(COUNTIFS(업무일지!$F$5:$F$1004,$O105,업무일지!$B$5:$B$1004,"&gt;="&amp;DATE($B$3,7,1),업무일지!$B$5:$B$1004,"&lt;"&amp;DATE($B$3,7+1,1),업무일지!$D$5:$D$1004,"분석")&gt;0,1,0))</f>
        <v/>
      </c>
      <c r="AI105">
        <f>IF($O105="",0,IF(COUNTIFS(업무일지!$F$5:$F$1004,$O105,업무일지!$B$5:$B$1004,"&gt;="&amp;DATE($B$3,8,1),업무일지!$B$5:$B$1004,"&lt;"&amp;DATE($B$3,8+1,1),업무일지!$D$5:$D$1004,"분석")&gt;0,1,0))</f>
        <v/>
      </c>
      <c r="AJ105">
        <f>IF($O105="",0,IF(COUNTIFS(업무일지!$F$5:$F$1004,$O105,업무일지!$B$5:$B$1004,"&gt;="&amp;DATE($B$3,9,1),업무일지!$B$5:$B$1004,"&lt;"&amp;DATE($B$3,9+1,1),업무일지!$D$5:$D$1004,"분석")&gt;0,1,0))</f>
        <v/>
      </c>
      <c r="AK105">
        <f>IF($O105="",0,IF(COUNTIFS(업무일지!$F$5:$F$1004,$O105,업무일지!$B$5:$B$1004,"&gt;="&amp;DATE($B$3,10,1),업무일지!$B$5:$B$1004,"&lt;"&amp;DATE($B$3,10+1,1),업무일지!$D$5:$D$1004,"분석")&gt;0,1,0))</f>
        <v/>
      </c>
      <c r="AL105">
        <f>IF($O105="",0,IF(COUNTIFS(업무일지!$F$5:$F$1004,$O105,업무일지!$B$5:$B$1004,"&gt;="&amp;DATE($B$3,11,1),업무일지!$B$5:$B$1004,"&lt;"&amp;DATE($B$3,11+1,1),업무일지!$D$5:$D$1004,"분석")&gt;0,1,0))</f>
        <v/>
      </c>
      <c r="AM105">
        <f>IF($O105="",0,IF(COUNTIFS(업무일지!$F$5:$F$1004,$O105,업무일지!$B$5:$B$1004,"&gt;="&amp;DATE($B$3,12,1),업무일지!$B$5:$B$1004,"&lt;"&amp;DATE($B$3,12+1,1),업무일지!$D$5:$D$1004,"분석")&gt;0,1,0))</f>
        <v/>
      </c>
      <c r="AN105">
        <f>IF($O105="",0,IF(COUNTIFS(업무일지!$F$5:$F$1004,$O105,업무일지!$B$5:$B$1004,"&gt;="&amp;DATE($B$3,1,1),업무일지!$B$5:$B$1004,"&lt;"&amp;DATE($B$3,1+1,1))&gt;0,1,0))</f>
        <v/>
      </c>
      <c r="AO105">
        <f>IF($O105="",0,IF(COUNTIFS(업무일지!$F$5:$F$1004,$O105,업무일지!$B$5:$B$1004,"&gt;="&amp;DATE($B$3,2,1),업무일지!$B$5:$B$1004,"&lt;"&amp;DATE($B$3,2+1,1))&gt;0,1,0))</f>
        <v/>
      </c>
      <c r="AP105">
        <f>IF($O105="",0,IF(COUNTIFS(업무일지!$F$5:$F$1004,$O105,업무일지!$B$5:$B$1004,"&gt;="&amp;DATE($B$3,3,1),업무일지!$B$5:$B$1004,"&lt;"&amp;DATE($B$3,3+1,1))&gt;0,1,0))</f>
        <v/>
      </c>
      <c r="AQ105">
        <f>IF($O105="",0,IF(COUNTIFS(업무일지!$F$5:$F$1004,$O105,업무일지!$B$5:$B$1004,"&gt;="&amp;DATE($B$3,4,1),업무일지!$B$5:$B$1004,"&lt;"&amp;DATE($B$3,4+1,1))&gt;0,1,0))</f>
        <v/>
      </c>
      <c r="AR105">
        <f>IF($O105="",0,IF(COUNTIFS(업무일지!$F$5:$F$1004,$O105,업무일지!$B$5:$B$1004,"&gt;="&amp;DATE($B$3,5,1),업무일지!$B$5:$B$1004,"&lt;"&amp;DATE($B$3,5+1,1))&gt;0,1,0))</f>
        <v/>
      </c>
      <c r="AS105">
        <f>IF($O105="",0,IF(COUNTIFS(업무일지!$F$5:$F$1004,$O105,업무일지!$B$5:$B$1004,"&gt;="&amp;DATE($B$3,6,1),업무일지!$B$5:$B$1004,"&lt;"&amp;DATE($B$3,6+1,1))&gt;0,1,0))</f>
        <v/>
      </c>
      <c r="AT105">
        <f>IF($O105="",0,IF(COUNTIFS(업무일지!$F$5:$F$1004,$O105,업무일지!$B$5:$B$1004,"&gt;="&amp;DATE($B$3,7,1),업무일지!$B$5:$B$1004,"&lt;"&amp;DATE($B$3,7+1,1))&gt;0,1,0))</f>
        <v/>
      </c>
      <c r="AU105">
        <f>IF($O105="",0,IF(COUNTIFS(업무일지!$F$5:$F$1004,$O105,업무일지!$B$5:$B$1004,"&gt;="&amp;DATE($B$3,8,1),업무일지!$B$5:$B$1004,"&lt;"&amp;DATE($B$3,8+1,1))&gt;0,1,0))</f>
        <v/>
      </c>
      <c r="AV105">
        <f>IF($O105="",0,IF(COUNTIFS(업무일지!$F$5:$F$1004,$O105,업무일지!$B$5:$B$1004,"&gt;="&amp;DATE($B$3,9,1),업무일지!$B$5:$B$1004,"&lt;"&amp;DATE($B$3,9+1,1))&gt;0,1,0))</f>
        <v/>
      </c>
      <c r="AW105">
        <f>IF($O105="",0,IF(COUNTIFS(업무일지!$F$5:$F$1004,$O105,업무일지!$B$5:$B$1004,"&gt;="&amp;DATE($B$3,10,1),업무일지!$B$5:$B$1004,"&lt;"&amp;DATE($B$3,10+1,1))&gt;0,1,0))</f>
        <v/>
      </c>
      <c r="AX105">
        <f>IF($O105="",0,IF(COUNTIFS(업무일지!$F$5:$F$1004,$O105,업무일지!$B$5:$B$1004,"&gt;="&amp;DATE($B$3,11,1),업무일지!$B$5:$B$1004,"&lt;"&amp;DATE($B$3,11+1,1))&gt;0,1,0))</f>
        <v/>
      </c>
      <c r="AY105">
        <f>IF($O105="",0,IF(COUNTIFS(업무일지!$F$5:$F$1004,$O105,업무일지!$B$5:$B$1004,"&gt;="&amp;DATE($B$3,12,1),업무일지!$B$5:$B$1004,"&lt;"&amp;DATE($B$3,12+1,1))&gt;0,1,0))</f>
        <v/>
      </c>
      <c r="AZ105">
        <f>IF($O105="",0,IF(COUNTIFS(업무일지!$F$5:$F$1004,$O105,업무일지!$B$5:$B$1004,"&gt;="&amp;DATE($B$3,1,1),업무일지!$B$5:$B$1004,"&lt;"&amp;DATE($B$3+1,1,1),업무일지!$D$5:$D$1004,"출장")&gt;0,1,0))</f>
        <v/>
      </c>
      <c r="BA105">
        <f>IF($O105="",0,IF(COUNTIFS(업무일지!$F$5:$F$1004,$O105,업무일지!$B$5:$B$1004,"&gt;="&amp;DATE($B$3,1,1),업무일지!$B$5:$B$1004,"&lt;"&amp;DATE($B$3+1,1,1),업무일지!$D$5:$D$1004,"분석")&gt;0,1,0))</f>
        <v/>
      </c>
      <c r="BB105">
        <f>IF($O105="",0,IF(COUNTIFS(업무일지!$F$5:$F$1004,$O105,업무일지!$B$5:$B$1004,"&gt;="&amp;DATE($B$3,1,1),업무일지!$B$5:$B$1004,"&lt;"&amp;DATE($B$3+1,1,1))&gt;0,1,0))</f>
        <v/>
      </c>
      <c r="BD105">
        <f>IF($O105="",0,IF(COUNTIFS(업무일지!$F$5:$F$1004,$O105,업무일지!$B$5:$B$1004,"&gt;="&amp;DATE($B$3,1,1),업무일지!$B$5:$B$1004,"&lt;"&amp;DATE($B$3+1,1,1),업무일지!$AB$5:$AB$1004,$A$44,업무일지!$D$5:$D$1004,"출장")&gt;0,1,0))</f>
        <v/>
      </c>
      <c r="BE105">
        <f>IF($O105="",0,IF(COUNTIFS(업무일지!$F$5:$F$1004,$O105,업무일지!$B$5:$B$1004,"&gt;="&amp;DATE($B$3,1,1),업무일지!$B$5:$B$1004,"&lt;"&amp;DATE($B$3+1,1,1),업무일지!$AB$5:$AB$1004,$A$45,업무일지!$D$5:$D$1004,"출장")&gt;0,1,0))</f>
        <v/>
      </c>
      <c r="BF105">
        <f>IF($O105="",0,IF(COUNTIFS(업무일지!$F$5:$F$1004,$O105,업무일지!$B$5:$B$1004,"&gt;="&amp;DATE($B$3,1,1),업무일지!$B$5:$B$1004,"&lt;"&amp;DATE($B$3+1,1,1),업무일지!$AB$5:$AB$1004,$A$46,업무일지!$D$5:$D$1004,"출장")&gt;0,1,0))</f>
        <v/>
      </c>
      <c r="BG105">
        <f>IF($O105="",0,IF(COUNTIFS(업무일지!$F$5:$F$1004,$O105,업무일지!$B$5:$B$1004,"&gt;="&amp;DATE($B$3,1,1),업무일지!$B$5:$B$1004,"&lt;"&amp;DATE($B$3+1,1,1),업무일지!$AB$5:$AB$1004,$A$47,업무일지!$D$5:$D$1004,"출장")&gt;0,1,0))</f>
        <v/>
      </c>
      <c r="BH105">
        <f>IF($O105="",0,IF(COUNTIFS(업무일지!$F$5:$F$1004,$O105,업무일지!$B$5:$B$1004,"&gt;="&amp;DATE($B$3,1,1),업무일지!$B$5:$B$1004,"&lt;"&amp;DATE($B$3+1,1,1),업무일지!$AB$5:$AB$1004,$A$48,업무일지!$D$5:$D$1004,"출장")&gt;0,1,0))</f>
        <v/>
      </c>
      <c r="BI105">
        <f>IF($O105="",0,IF(COUNTIFS(업무일지!$F$5:$F$1004,$O105,업무일지!$B$5:$B$1004,"&gt;="&amp;DATE($B$3,1,1),업무일지!$B$5:$B$1004,"&lt;"&amp;DATE($B$3+1,1,1),업무일지!$AB$5:$AB$1004,$A$49,업무일지!$D$5:$D$1004,"출장")&gt;0,1,0))</f>
        <v/>
      </c>
      <c r="BJ105">
        <f>IF($O105="",0,IF(COUNTIFS(업무일지!$F$5:$F$1004,$O105,업무일지!$B$5:$B$1004,"&gt;="&amp;DATE($B$3,1,1),업무일지!$B$5:$B$1004,"&lt;"&amp;DATE($B$3+1,1,1),업무일지!$AB$5:$AB$1004,$A$50,업무일지!$D$5:$D$1004,"출장")&gt;0,1,0))</f>
        <v/>
      </c>
      <c r="BK105">
        <f>IF($O105="",0,IF(COUNTIFS(업무일지!$F$5:$F$1004,$O105,업무일지!$B$5:$B$1004,"&gt;="&amp;DATE($B$3,1,1),업무일지!$B$5:$B$1004,"&lt;"&amp;DATE($B$3+1,1,1),업무일지!$AB$5:$AB$1004,$A$51,업무일지!$D$5:$D$1004,"출장")&gt;0,1,0))</f>
        <v/>
      </c>
      <c r="BL105">
        <f>IF($O105="",0,IF(COUNTIFS(업무일지!$F$5:$F$1004,$O105,업무일지!$B$5:$B$1004,"&gt;="&amp;DATE($B$3,1,1),업무일지!$B$5:$B$1004,"&lt;"&amp;DATE($B$3+1,1,1),업무일지!$AB$5:$AB$1004,$A$52,업무일지!$D$5:$D$1004,"출장")&gt;0,1,0))</f>
        <v/>
      </c>
      <c r="BM105">
        <f>IF($O105="",0,IF(COUNTIFS(업무일지!$F$5:$F$1004,$O105,업무일지!$B$5:$B$1004,"&gt;="&amp;DATE($B$3,1,1),업무일지!$B$5:$B$1004,"&lt;"&amp;DATE($B$3+1,1,1),업무일지!$AB$5:$AB$1004,$A$53,업무일지!$D$5:$D$1004,"출장")&gt;0,1,0))</f>
        <v/>
      </c>
      <c r="BO105">
        <f>IF($O105="",0,IF(COUNTIFS(업무일지!$F$5:$F$1004,$O105,업무일지!$B$5:$B$1004,"&gt;="&amp;DATE($B$3,1,1),업무일지!$B$5:$B$1004,"&lt;"&amp;DATE($B$3+1,1,1),업무일지!$AB$5:$AB$1004,$A$44,업무일지!$D$5:$D$1004,"분석")&gt;0,1,0))</f>
        <v/>
      </c>
      <c r="BP105">
        <f>IF($O105="",0,IF(COUNTIFS(업무일지!$F$5:$F$1004,$O105,업무일지!$B$5:$B$1004,"&gt;="&amp;DATE($B$3,1,1),업무일지!$B$5:$B$1004,"&lt;"&amp;DATE($B$3+1,1,1),업무일지!$AB$5:$AB$1004,$A$45,업무일지!$D$5:$D$1004,"분석")&gt;0,1,0))</f>
        <v/>
      </c>
      <c r="BQ105">
        <f>IF($O105="",0,IF(COUNTIFS(업무일지!$F$5:$F$1004,$O105,업무일지!$B$5:$B$1004,"&gt;="&amp;DATE($B$3,1,1),업무일지!$B$5:$B$1004,"&lt;"&amp;DATE($B$3+1,1,1),업무일지!$AB$5:$AB$1004,$A$46,업무일지!$D$5:$D$1004,"분석")&gt;0,1,0))</f>
        <v/>
      </c>
      <c r="BR105">
        <f>IF($O105="",0,IF(COUNTIFS(업무일지!$F$5:$F$1004,$O105,업무일지!$B$5:$B$1004,"&gt;="&amp;DATE($B$3,1,1),업무일지!$B$5:$B$1004,"&lt;"&amp;DATE($B$3+1,1,1),업무일지!$AB$5:$AB$1004,$A$47,업무일지!$D$5:$D$1004,"분석")&gt;0,1,0))</f>
        <v/>
      </c>
      <c r="BS105">
        <f>IF($O105="",0,IF(COUNTIFS(업무일지!$F$5:$F$1004,$O105,업무일지!$B$5:$B$1004,"&gt;="&amp;DATE($B$3,1,1),업무일지!$B$5:$B$1004,"&lt;"&amp;DATE($B$3+1,1,1),업무일지!$AB$5:$AB$1004,$A$48,업무일지!$D$5:$D$1004,"분석")&gt;0,1,0))</f>
        <v/>
      </c>
      <c r="BT105">
        <f>IF($O105="",0,IF(COUNTIFS(업무일지!$F$5:$F$1004,$O105,업무일지!$B$5:$B$1004,"&gt;="&amp;DATE($B$3,1,1),업무일지!$B$5:$B$1004,"&lt;"&amp;DATE($B$3+1,1,1),업무일지!$AB$5:$AB$1004,$A$49,업무일지!$D$5:$D$1004,"분석")&gt;0,1,0))</f>
        <v/>
      </c>
      <c r="BU105">
        <f>IF($O105="",0,IF(COUNTIFS(업무일지!$F$5:$F$1004,$O105,업무일지!$B$5:$B$1004,"&gt;="&amp;DATE($B$3,1,1),업무일지!$B$5:$B$1004,"&lt;"&amp;DATE($B$3+1,1,1),업무일지!$AB$5:$AB$1004,$A$50,업무일지!$D$5:$D$1004,"분석")&gt;0,1,0))</f>
        <v/>
      </c>
      <c r="BV105">
        <f>IF($O105="",0,IF(COUNTIFS(업무일지!$F$5:$F$1004,$O105,업무일지!$B$5:$B$1004,"&gt;="&amp;DATE($B$3,1,1),업무일지!$B$5:$B$1004,"&lt;"&amp;DATE($B$3+1,1,1),업무일지!$AB$5:$AB$1004,$A$51,업무일지!$D$5:$D$1004,"분석")&gt;0,1,0))</f>
        <v/>
      </c>
      <c r="BW105">
        <f>IF($O105="",0,IF(COUNTIFS(업무일지!$F$5:$F$1004,$O105,업무일지!$B$5:$B$1004,"&gt;="&amp;DATE($B$3,1,1),업무일지!$B$5:$B$1004,"&lt;"&amp;DATE($B$3+1,1,1),업무일지!$AB$5:$AB$1004,$A$52,업무일지!$D$5:$D$1004,"분석")&gt;0,1,0))</f>
        <v/>
      </c>
      <c r="BX105">
        <f>IF($O105="",0,IF(COUNTIFS(업무일지!$F$5:$F$1004,$O105,업무일지!$B$5:$B$1004,"&gt;="&amp;DATE($B$3,1,1),업무일지!$B$5:$B$1004,"&lt;"&amp;DATE($B$3+1,1,1),업무일지!$AB$5:$AB$1004,$A$53,업무일지!$D$5:$D$1004,"분석")&gt;0,1,0))</f>
        <v/>
      </c>
      <c r="BZ105">
        <f>IF($O105="",0,IF(COUNTIFS(업무일지!$F$5:$F$1004,$O105,업무일지!$B$5:$B$1004,"&gt;="&amp;DATE($B$3,1,1),업무일지!$B$5:$B$1004,"&lt;"&amp;DATE($B$3+1,1,1),업무일지!$AB$5:$AB$1004,$A$44)&gt;0,1,0))</f>
        <v/>
      </c>
      <c r="CA105">
        <f>IF($O105="",0,IF(COUNTIFS(업무일지!$F$5:$F$1004,$O105,업무일지!$B$5:$B$1004,"&gt;="&amp;DATE($B$3,1,1),업무일지!$B$5:$B$1004,"&lt;"&amp;DATE($B$3+1,1,1),업무일지!$AB$5:$AB$1004,$A$45)&gt;0,1,0))</f>
        <v/>
      </c>
      <c r="CB105">
        <f>IF($O105="",0,IF(COUNTIFS(업무일지!$F$5:$F$1004,$O105,업무일지!$B$5:$B$1004,"&gt;="&amp;DATE($B$3,1,1),업무일지!$B$5:$B$1004,"&lt;"&amp;DATE($B$3+1,1,1),업무일지!$AB$5:$AB$1004,$A$46)&gt;0,1,0))</f>
        <v/>
      </c>
      <c r="CC105">
        <f>IF($O105="",0,IF(COUNTIFS(업무일지!$F$5:$F$1004,$O105,업무일지!$B$5:$B$1004,"&gt;="&amp;DATE($B$3,1,1),업무일지!$B$5:$B$1004,"&lt;"&amp;DATE($B$3+1,1,1),업무일지!$AB$5:$AB$1004,$A$47)&gt;0,1,0))</f>
        <v/>
      </c>
      <c r="CD105">
        <f>IF($O105="",0,IF(COUNTIFS(업무일지!$F$5:$F$1004,$O105,업무일지!$B$5:$B$1004,"&gt;="&amp;DATE($B$3,1,1),업무일지!$B$5:$B$1004,"&lt;"&amp;DATE($B$3+1,1,1),업무일지!$AB$5:$AB$1004,$A$48)&gt;0,1,0))</f>
        <v/>
      </c>
      <c r="CE105">
        <f>IF($O105="",0,IF(COUNTIFS(업무일지!$F$5:$F$1004,$O105,업무일지!$B$5:$B$1004,"&gt;="&amp;DATE($B$3,1,1),업무일지!$B$5:$B$1004,"&lt;"&amp;DATE($B$3+1,1,1),업무일지!$AB$5:$AB$1004,$A$49)&gt;0,1,0))</f>
        <v/>
      </c>
      <c r="CF105">
        <f>IF($O105="",0,IF(COUNTIFS(업무일지!$F$5:$F$1004,$O105,업무일지!$B$5:$B$1004,"&gt;="&amp;DATE($B$3,1,1),업무일지!$B$5:$B$1004,"&lt;"&amp;DATE($B$3+1,1,1),업무일지!$AB$5:$AB$1004,$A$50)&gt;0,1,0))</f>
        <v/>
      </c>
      <c r="CG105">
        <f>IF($O105="",0,IF(COUNTIFS(업무일지!$F$5:$F$1004,$O105,업무일지!$B$5:$B$1004,"&gt;="&amp;DATE($B$3,1,1),업무일지!$B$5:$B$1004,"&lt;"&amp;DATE($B$3+1,1,1),업무일지!$AB$5:$AB$1004,$A$51)&gt;0,1,0))</f>
        <v/>
      </c>
      <c r="CH105">
        <f>IF($O105="",0,IF(COUNTIFS(업무일지!$F$5:$F$1004,$O105,업무일지!$B$5:$B$1004,"&gt;="&amp;DATE($B$3,1,1),업무일지!$B$5:$B$1004,"&lt;"&amp;DATE($B$3+1,1,1),업무일지!$AB$5:$AB$1004,$A$52)&gt;0,1,0))</f>
        <v/>
      </c>
      <c r="CI105">
        <f>IF($O105="",0,IF(COUNTIFS(업무일지!$F$5:$F$1004,$O105,업무일지!$B$5:$B$1004,"&gt;="&amp;DATE($B$3,1,1),업무일지!$B$5:$B$1004,"&lt;"&amp;DATE($B$3+1,1,1),업무일지!$AB$5:$AB$1004,$A$53)&gt;0,1,0))</f>
        <v/>
      </c>
    </row>
    <row r="106">
      <c r="O106">
        <f>IF(사건마스터!$A26="","",사건마스터!$A26)</f>
        <v/>
      </c>
      <c r="P106">
        <f>IF($O106="",0,IF(COUNTIFS(업무일지!$F$5:$F$1004,$O106,업무일지!$B$5:$B$1004,"&gt;="&amp;DATE($B$3,1,1),업무일지!$B$5:$B$1004,"&lt;"&amp;DATE($B$3,1+1,1),업무일지!$D$5:$D$1004,"출장")&gt;0,1,0))</f>
        <v/>
      </c>
      <c r="Q106">
        <f>IF($O106="",0,IF(COUNTIFS(업무일지!$F$5:$F$1004,$O106,업무일지!$B$5:$B$1004,"&gt;="&amp;DATE($B$3,2,1),업무일지!$B$5:$B$1004,"&lt;"&amp;DATE($B$3,2+1,1),업무일지!$D$5:$D$1004,"출장")&gt;0,1,0))</f>
        <v/>
      </c>
      <c r="R106">
        <f>IF($O106="",0,IF(COUNTIFS(업무일지!$F$5:$F$1004,$O106,업무일지!$B$5:$B$1004,"&gt;="&amp;DATE($B$3,3,1),업무일지!$B$5:$B$1004,"&lt;"&amp;DATE($B$3,3+1,1),업무일지!$D$5:$D$1004,"출장")&gt;0,1,0))</f>
        <v/>
      </c>
      <c r="S106">
        <f>IF($O106="",0,IF(COUNTIFS(업무일지!$F$5:$F$1004,$O106,업무일지!$B$5:$B$1004,"&gt;="&amp;DATE($B$3,4,1),업무일지!$B$5:$B$1004,"&lt;"&amp;DATE($B$3,4+1,1),업무일지!$D$5:$D$1004,"출장")&gt;0,1,0))</f>
        <v/>
      </c>
      <c r="T106">
        <f>IF($O106="",0,IF(COUNTIFS(업무일지!$F$5:$F$1004,$O106,업무일지!$B$5:$B$1004,"&gt;="&amp;DATE($B$3,5,1),업무일지!$B$5:$B$1004,"&lt;"&amp;DATE($B$3,5+1,1),업무일지!$D$5:$D$1004,"출장")&gt;0,1,0))</f>
        <v/>
      </c>
      <c r="U106">
        <f>IF($O106="",0,IF(COUNTIFS(업무일지!$F$5:$F$1004,$O106,업무일지!$B$5:$B$1004,"&gt;="&amp;DATE($B$3,6,1),업무일지!$B$5:$B$1004,"&lt;"&amp;DATE($B$3,6+1,1),업무일지!$D$5:$D$1004,"출장")&gt;0,1,0))</f>
        <v/>
      </c>
      <c r="V106">
        <f>IF($O106="",0,IF(COUNTIFS(업무일지!$F$5:$F$1004,$O106,업무일지!$B$5:$B$1004,"&gt;="&amp;DATE($B$3,7,1),업무일지!$B$5:$B$1004,"&lt;"&amp;DATE($B$3,7+1,1),업무일지!$D$5:$D$1004,"출장")&gt;0,1,0))</f>
        <v/>
      </c>
      <c r="W106">
        <f>IF($O106="",0,IF(COUNTIFS(업무일지!$F$5:$F$1004,$O106,업무일지!$B$5:$B$1004,"&gt;="&amp;DATE($B$3,8,1),업무일지!$B$5:$B$1004,"&lt;"&amp;DATE($B$3,8+1,1),업무일지!$D$5:$D$1004,"출장")&gt;0,1,0))</f>
        <v/>
      </c>
      <c r="X106">
        <f>IF($O106="",0,IF(COUNTIFS(업무일지!$F$5:$F$1004,$O106,업무일지!$B$5:$B$1004,"&gt;="&amp;DATE($B$3,9,1),업무일지!$B$5:$B$1004,"&lt;"&amp;DATE($B$3,9+1,1),업무일지!$D$5:$D$1004,"출장")&gt;0,1,0))</f>
        <v/>
      </c>
      <c r="Y106">
        <f>IF($O106="",0,IF(COUNTIFS(업무일지!$F$5:$F$1004,$O106,업무일지!$B$5:$B$1004,"&gt;="&amp;DATE($B$3,10,1),업무일지!$B$5:$B$1004,"&lt;"&amp;DATE($B$3,10+1,1),업무일지!$D$5:$D$1004,"출장")&gt;0,1,0))</f>
        <v/>
      </c>
      <c r="Z106">
        <f>IF($O106="",0,IF(COUNTIFS(업무일지!$F$5:$F$1004,$O106,업무일지!$B$5:$B$1004,"&gt;="&amp;DATE($B$3,11,1),업무일지!$B$5:$B$1004,"&lt;"&amp;DATE($B$3,11+1,1),업무일지!$D$5:$D$1004,"출장")&gt;0,1,0))</f>
        <v/>
      </c>
      <c r="AA106">
        <f>IF($O106="",0,IF(COUNTIFS(업무일지!$F$5:$F$1004,$O106,업무일지!$B$5:$B$1004,"&gt;="&amp;DATE($B$3,12,1),업무일지!$B$5:$B$1004,"&lt;"&amp;DATE($B$3,12+1,1),업무일지!$D$5:$D$1004,"출장")&gt;0,1,0))</f>
        <v/>
      </c>
      <c r="AB106">
        <f>IF($O106="",0,IF(COUNTIFS(업무일지!$F$5:$F$1004,$O106,업무일지!$B$5:$B$1004,"&gt;="&amp;DATE($B$3,1,1),업무일지!$B$5:$B$1004,"&lt;"&amp;DATE($B$3,1+1,1),업무일지!$D$5:$D$1004,"분석")&gt;0,1,0))</f>
        <v/>
      </c>
      <c r="AC106">
        <f>IF($O106="",0,IF(COUNTIFS(업무일지!$F$5:$F$1004,$O106,업무일지!$B$5:$B$1004,"&gt;="&amp;DATE($B$3,2,1),업무일지!$B$5:$B$1004,"&lt;"&amp;DATE($B$3,2+1,1),업무일지!$D$5:$D$1004,"분석")&gt;0,1,0))</f>
        <v/>
      </c>
      <c r="AD106">
        <f>IF($O106="",0,IF(COUNTIFS(업무일지!$F$5:$F$1004,$O106,업무일지!$B$5:$B$1004,"&gt;="&amp;DATE($B$3,3,1),업무일지!$B$5:$B$1004,"&lt;"&amp;DATE($B$3,3+1,1),업무일지!$D$5:$D$1004,"분석")&gt;0,1,0))</f>
        <v/>
      </c>
      <c r="AE106">
        <f>IF($O106="",0,IF(COUNTIFS(업무일지!$F$5:$F$1004,$O106,업무일지!$B$5:$B$1004,"&gt;="&amp;DATE($B$3,4,1),업무일지!$B$5:$B$1004,"&lt;"&amp;DATE($B$3,4+1,1),업무일지!$D$5:$D$1004,"분석")&gt;0,1,0))</f>
        <v/>
      </c>
      <c r="AF106">
        <f>IF($O106="",0,IF(COUNTIFS(업무일지!$F$5:$F$1004,$O106,업무일지!$B$5:$B$1004,"&gt;="&amp;DATE($B$3,5,1),업무일지!$B$5:$B$1004,"&lt;"&amp;DATE($B$3,5+1,1),업무일지!$D$5:$D$1004,"분석")&gt;0,1,0))</f>
        <v/>
      </c>
      <c r="AG106">
        <f>IF($O106="",0,IF(COUNTIFS(업무일지!$F$5:$F$1004,$O106,업무일지!$B$5:$B$1004,"&gt;="&amp;DATE($B$3,6,1),업무일지!$B$5:$B$1004,"&lt;"&amp;DATE($B$3,6+1,1),업무일지!$D$5:$D$1004,"분석")&gt;0,1,0))</f>
        <v/>
      </c>
      <c r="AH106">
        <f>IF($O106="",0,IF(COUNTIFS(업무일지!$F$5:$F$1004,$O106,업무일지!$B$5:$B$1004,"&gt;="&amp;DATE($B$3,7,1),업무일지!$B$5:$B$1004,"&lt;"&amp;DATE($B$3,7+1,1),업무일지!$D$5:$D$1004,"분석")&gt;0,1,0))</f>
        <v/>
      </c>
      <c r="AI106">
        <f>IF($O106="",0,IF(COUNTIFS(업무일지!$F$5:$F$1004,$O106,업무일지!$B$5:$B$1004,"&gt;="&amp;DATE($B$3,8,1),업무일지!$B$5:$B$1004,"&lt;"&amp;DATE($B$3,8+1,1),업무일지!$D$5:$D$1004,"분석")&gt;0,1,0))</f>
        <v/>
      </c>
      <c r="AJ106">
        <f>IF($O106="",0,IF(COUNTIFS(업무일지!$F$5:$F$1004,$O106,업무일지!$B$5:$B$1004,"&gt;="&amp;DATE($B$3,9,1),업무일지!$B$5:$B$1004,"&lt;"&amp;DATE($B$3,9+1,1),업무일지!$D$5:$D$1004,"분석")&gt;0,1,0))</f>
        <v/>
      </c>
      <c r="AK106">
        <f>IF($O106="",0,IF(COUNTIFS(업무일지!$F$5:$F$1004,$O106,업무일지!$B$5:$B$1004,"&gt;="&amp;DATE($B$3,10,1),업무일지!$B$5:$B$1004,"&lt;"&amp;DATE($B$3,10+1,1),업무일지!$D$5:$D$1004,"분석")&gt;0,1,0))</f>
        <v/>
      </c>
      <c r="AL106">
        <f>IF($O106="",0,IF(COUNTIFS(업무일지!$F$5:$F$1004,$O106,업무일지!$B$5:$B$1004,"&gt;="&amp;DATE($B$3,11,1),업무일지!$B$5:$B$1004,"&lt;"&amp;DATE($B$3,11+1,1),업무일지!$D$5:$D$1004,"분석")&gt;0,1,0))</f>
        <v/>
      </c>
      <c r="AM106">
        <f>IF($O106="",0,IF(COUNTIFS(업무일지!$F$5:$F$1004,$O106,업무일지!$B$5:$B$1004,"&gt;="&amp;DATE($B$3,12,1),업무일지!$B$5:$B$1004,"&lt;"&amp;DATE($B$3,12+1,1),업무일지!$D$5:$D$1004,"분석")&gt;0,1,0))</f>
        <v/>
      </c>
      <c r="AN106">
        <f>IF($O106="",0,IF(COUNTIFS(업무일지!$F$5:$F$1004,$O106,업무일지!$B$5:$B$1004,"&gt;="&amp;DATE($B$3,1,1),업무일지!$B$5:$B$1004,"&lt;"&amp;DATE($B$3,1+1,1))&gt;0,1,0))</f>
        <v/>
      </c>
      <c r="AO106">
        <f>IF($O106="",0,IF(COUNTIFS(업무일지!$F$5:$F$1004,$O106,업무일지!$B$5:$B$1004,"&gt;="&amp;DATE($B$3,2,1),업무일지!$B$5:$B$1004,"&lt;"&amp;DATE($B$3,2+1,1))&gt;0,1,0))</f>
        <v/>
      </c>
      <c r="AP106">
        <f>IF($O106="",0,IF(COUNTIFS(업무일지!$F$5:$F$1004,$O106,업무일지!$B$5:$B$1004,"&gt;="&amp;DATE($B$3,3,1),업무일지!$B$5:$B$1004,"&lt;"&amp;DATE($B$3,3+1,1))&gt;0,1,0))</f>
        <v/>
      </c>
      <c r="AQ106">
        <f>IF($O106="",0,IF(COUNTIFS(업무일지!$F$5:$F$1004,$O106,업무일지!$B$5:$B$1004,"&gt;="&amp;DATE($B$3,4,1),업무일지!$B$5:$B$1004,"&lt;"&amp;DATE($B$3,4+1,1))&gt;0,1,0))</f>
        <v/>
      </c>
      <c r="AR106">
        <f>IF($O106="",0,IF(COUNTIFS(업무일지!$F$5:$F$1004,$O106,업무일지!$B$5:$B$1004,"&gt;="&amp;DATE($B$3,5,1),업무일지!$B$5:$B$1004,"&lt;"&amp;DATE($B$3,5+1,1))&gt;0,1,0))</f>
        <v/>
      </c>
      <c r="AS106">
        <f>IF($O106="",0,IF(COUNTIFS(업무일지!$F$5:$F$1004,$O106,업무일지!$B$5:$B$1004,"&gt;="&amp;DATE($B$3,6,1),업무일지!$B$5:$B$1004,"&lt;"&amp;DATE($B$3,6+1,1))&gt;0,1,0))</f>
        <v/>
      </c>
      <c r="AT106">
        <f>IF($O106="",0,IF(COUNTIFS(업무일지!$F$5:$F$1004,$O106,업무일지!$B$5:$B$1004,"&gt;="&amp;DATE($B$3,7,1),업무일지!$B$5:$B$1004,"&lt;"&amp;DATE($B$3,7+1,1))&gt;0,1,0))</f>
        <v/>
      </c>
      <c r="AU106">
        <f>IF($O106="",0,IF(COUNTIFS(업무일지!$F$5:$F$1004,$O106,업무일지!$B$5:$B$1004,"&gt;="&amp;DATE($B$3,8,1),업무일지!$B$5:$B$1004,"&lt;"&amp;DATE($B$3,8+1,1))&gt;0,1,0))</f>
        <v/>
      </c>
      <c r="AV106">
        <f>IF($O106="",0,IF(COUNTIFS(업무일지!$F$5:$F$1004,$O106,업무일지!$B$5:$B$1004,"&gt;="&amp;DATE($B$3,9,1),업무일지!$B$5:$B$1004,"&lt;"&amp;DATE($B$3,9+1,1))&gt;0,1,0))</f>
        <v/>
      </c>
      <c r="AW106">
        <f>IF($O106="",0,IF(COUNTIFS(업무일지!$F$5:$F$1004,$O106,업무일지!$B$5:$B$1004,"&gt;="&amp;DATE($B$3,10,1),업무일지!$B$5:$B$1004,"&lt;"&amp;DATE($B$3,10+1,1))&gt;0,1,0))</f>
        <v/>
      </c>
      <c r="AX106">
        <f>IF($O106="",0,IF(COUNTIFS(업무일지!$F$5:$F$1004,$O106,업무일지!$B$5:$B$1004,"&gt;="&amp;DATE($B$3,11,1),업무일지!$B$5:$B$1004,"&lt;"&amp;DATE($B$3,11+1,1))&gt;0,1,0))</f>
        <v/>
      </c>
      <c r="AY106">
        <f>IF($O106="",0,IF(COUNTIFS(업무일지!$F$5:$F$1004,$O106,업무일지!$B$5:$B$1004,"&gt;="&amp;DATE($B$3,12,1),업무일지!$B$5:$B$1004,"&lt;"&amp;DATE($B$3,12+1,1))&gt;0,1,0))</f>
        <v/>
      </c>
      <c r="AZ106">
        <f>IF($O106="",0,IF(COUNTIFS(업무일지!$F$5:$F$1004,$O106,업무일지!$B$5:$B$1004,"&gt;="&amp;DATE($B$3,1,1),업무일지!$B$5:$B$1004,"&lt;"&amp;DATE($B$3+1,1,1),업무일지!$D$5:$D$1004,"출장")&gt;0,1,0))</f>
        <v/>
      </c>
      <c r="BA106">
        <f>IF($O106="",0,IF(COUNTIFS(업무일지!$F$5:$F$1004,$O106,업무일지!$B$5:$B$1004,"&gt;="&amp;DATE($B$3,1,1),업무일지!$B$5:$B$1004,"&lt;"&amp;DATE($B$3+1,1,1),업무일지!$D$5:$D$1004,"분석")&gt;0,1,0))</f>
        <v/>
      </c>
      <c r="BB106">
        <f>IF($O106="",0,IF(COUNTIFS(업무일지!$F$5:$F$1004,$O106,업무일지!$B$5:$B$1004,"&gt;="&amp;DATE($B$3,1,1),업무일지!$B$5:$B$1004,"&lt;"&amp;DATE($B$3+1,1,1))&gt;0,1,0))</f>
        <v/>
      </c>
      <c r="BD106">
        <f>IF($O106="",0,IF(COUNTIFS(업무일지!$F$5:$F$1004,$O106,업무일지!$B$5:$B$1004,"&gt;="&amp;DATE($B$3,1,1),업무일지!$B$5:$B$1004,"&lt;"&amp;DATE($B$3+1,1,1),업무일지!$AB$5:$AB$1004,$A$44,업무일지!$D$5:$D$1004,"출장")&gt;0,1,0))</f>
        <v/>
      </c>
      <c r="BE106">
        <f>IF($O106="",0,IF(COUNTIFS(업무일지!$F$5:$F$1004,$O106,업무일지!$B$5:$B$1004,"&gt;="&amp;DATE($B$3,1,1),업무일지!$B$5:$B$1004,"&lt;"&amp;DATE($B$3+1,1,1),업무일지!$AB$5:$AB$1004,$A$45,업무일지!$D$5:$D$1004,"출장")&gt;0,1,0))</f>
        <v/>
      </c>
      <c r="BF106">
        <f>IF($O106="",0,IF(COUNTIFS(업무일지!$F$5:$F$1004,$O106,업무일지!$B$5:$B$1004,"&gt;="&amp;DATE($B$3,1,1),업무일지!$B$5:$B$1004,"&lt;"&amp;DATE($B$3+1,1,1),업무일지!$AB$5:$AB$1004,$A$46,업무일지!$D$5:$D$1004,"출장")&gt;0,1,0))</f>
        <v/>
      </c>
      <c r="BG106">
        <f>IF($O106="",0,IF(COUNTIFS(업무일지!$F$5:$F$1004,$O106,업무일지!$B$5:$B$1004,"&gt;="&amp;DATE($B$3,1,1),업무일지!$B$5:$B$1004,"&lt;"&amp;DATE($B$3+1,1,1),업무일지!$AB$5:$AB$1004,$A$47,업무일지!$D$5:$D$1004,"출장")&gt;0,1,0))</f>
        <v/>
      </c>
      <c r="BH106">
        <f>IF($O106="",0,IF(COUNTIFS(업무일지!$F$5:$F$1004,$O106,업무일지!$B$5:$B$1004,"&gt;="&amp;DATE($B$3,1,1),업무일지!$B$5:$B$1004,"&lt;"&amp;DATE($B$3+1,1,1),업무일지!$AB$5:$AB$1004,$A$48,업무일지!$D$5:$D$1004,"출장")&gt;0,1,0))</f>
        <v/>
      </c>
      <c r="BI106">
        <f>IF($O106="",0,IF(COUNTIFS(업무일지!$F$5:$F$1004,$O106,업무일지!$B$5:$B$1004,"&gt;="&amp;DATE($B$3,1,1),업무일지!$B$5:$B$1004,"&lt;"&amp;DATE($B$3+1,1,1),업무일지!$AB$5:$AB$1004,$A$49,업무일지!$D$5:$D$1004,"출장")&gt;0,1,0))</f>
        <v/>
      </c>
      <c r="BJ106">
        <f>IF($O106="",0,IF(COUNTIFS(업무일지!$F$5:$F$1004,$O106,업무일지!$B$5:$B$1004,"&gt;="&amp;DATE($B$3,1,1),업무일지!$B$5:$B$1004,"&lt;"&amp;DATE($B$3+1,1,1),업무일지!$AB$5:$AB$1004,$A$50,업무일지!$D$5:$D$1004,"출장")&gt;0,1,0))</f>
        <v/>
      </c>
      <c r="BK106">
        <f>IF($O106="",0,IF(COUNTIFS(업무일지!$F$5:$F$1004,$O106,업무일지!$B$5:$B$1004,"&gt;="&amp;DATE($B$3,1,1),업무일지!$B$5:$B$1004,"&lt;"&amp;DATE($B$3+1,1,1),업무일지!$AB$5:$AB$1004,$A$51,업무일지!$D$5:$D$1004,"출장")&gt;0,1,0))</f>
        <v/>
      </c>
      <c r="BL106">
        <f>IF($O106="",0,IF(COUNTIFS(업무일지!$F$5:$F$1004,$O106,업무일지!$B$5:$B$1004,"&gt;="&amp;DATE($B$3,1,1),업무일지!$B$5:$B$1004,"&lt;"&amp;DATE($B$3+1,1,1),업무일지!$AB$5:$AB$1004,$A$52,업무일지!$D$5:$D$1004,"출장")&gt;0,1,0))</f>
        <v/>
      </c>
      <c r="BM106">
        <f>IF($O106="",0,IF(COUNTIFS(업무일지!$F$5:$F$1004,$O106,업무일지!$B$5:$B$1004,"&gt;="&amp;DATE($B$3,1,1),업무일지!$B$5:$B$1004,"&lt;"&amp;DATE($B$3+1,1,1),업무일지!$AB$5:$AB$1004,$A$53,업무일지!$D$5:$D$1004,"출장")&gt;0,1,0))</f>
        <v/>
      </c>
      <c r="BO106">
        <f>IF($O106="",0,IF(COUNTIFS(업무일지!$F$5:$F$1004,$O106,업무일지!$B$5:$B$1004,"&gt;="&amp;DATE($B$3,1,1),업무일지!$B$5:$B$1004,"&lt;"&amp;DATE($B$3+1,1,1),업무일지!$AB$5:$AB$1004,$A$44,업무일지!$D$5:$D$1004,"분석")&gt;0,1,0))</f>
        <v/>
      </c>
      <c r="BP106">
        <f>IF($O106="",0,IF(COUNTIFS(업무일지!$F$5:$F$1004,$O106,업무일지!$B$5:$B$1004,"&gt;="&amp;DATE($B$3,1,1),업무일지!$B$5:$B$1004,"&lt;"&amp;DATE($B$3+1,1,1),업무일지!$AB$5:$AB$1004,$A$45,업무일지!$D$5:$D$1004,"분석")&gt;0,1,0))</f>
        <v/>
      </c>
      <c r="BQ106">
        <f>IF($O106="",0,IF(COUNTIFS(업무일지!$F$5:$F$1004,$O106,업무일지!$B$5:$B$1004,"&gt;="&amp;DATE($B$3,1,1),업무일지!$B$5:$B$1004,"&lt;"&amp;DATE($B$3+1,1,1),업무일지!$AB$5:$AB$1004,$A$46,업무일지!$D$5:$D$1004,"분석")&gt;0,1,0))</f>
        <v/>
      </c>
      <c r="BR106">
        <f>IF($O106="",0,IF(COUNTIFS(업무일지!$F$5:$F$1004,$O106,업무일지!$B$5:$B$1004,"&gt;="&amp;DATE($B$3,1,1),업무일지!$B$5:$B$1004,"&lt;"&amp;DATE($B$3+1,1,1),업무일지!$AB$5:$AB$1004,$A$47,업무일지!$D$5:$D$1004,"분석")&gt;0,1,0))</f>
        <v/>
      </c>
      <c r="BS106">
        <f>IF($O106="",0,IF(COUNTIFS(업무일지!$F$5:$F$1004,$O106,업무일지!$B$5:$B$1004,"&gt;="&amp;DATE($B$3,1,1),업무일지!$B$5:$B$1004,"&lt;"&amp;DATE($B$3+1,1,1),업무일지!$AB$5:$AB$1004,$A$48,업무일지!$D$5:$D$1004,"분석")&gt;0,1,0))</f>
        <v/>
      </c>
      <c r="BT106">
        <f>IF($O106="",0,IF(COUNTIFS(업무일지!$F$5:$F$1004,$O106,업무일지!$B$5:$B$1004,"&gt;="&amp;DATE($B$3,1,1),업무일지!$B$5:$B$1004,"&lt;"&amp;DATE($B$3+1,1,1),업무일지!$AB$5:$AB$1004,$A$49,업무일지!$D$5:$D$1004,"분석")&gt;0,1,0))</f>
        <v/>
      </c>
      <c r="BU106">
        <f>IF($O106="",0,IF(COUNTIFS(업무일지!$F$5:$F$1004,$O106,업무일지!$B$5:$B$1004,"&gt;="&amp;DATE($B$3,1,1),업무일지!$B$5:$B$1004,"&lt;"&amp;DATE($B$3+1,1,1),업무일지!$AB$5:$AB$1004,$A$50,업무일지!$D$5:$D$1004,"분석")&gt;0,1,0))</f>
        <v/>
      </c>
      <c r="BV106">
        <f>IF($O106="",0,IF(COUNTIFS(업무일지!$F$5:$F$1004,$O106,업무일지!$B$5:$B$1004,"&gt;="&amp;DATE($B$3,1,1),업무일지!$B$5:$B$1004,"&lt;"&amp;DATE($B$3+1,1,1),업무일지!$AB$5:$AB$1004,$A$51,업무일지!$D$5:$D$1004,"분석")&gt;0,1,0))</f>
        <v/>
      </c>
      <c r="BW106">
        <f>IF($O106="",0,IF(COUNTIFS(업무일지!$F$5:$F$1004,$O106,업무일지!$B$5:$B$1004,"&gt;="&amp;DATE($B$3,1,1),업무일지!$B$5:$B$1004,"&lt;"&amp;DATE($B$3+1,1,1),업무일지!$AB$5:$AB$1004,$A$52,업무일지!$D$5:$D$1004,"분석")&gt;0,1,0))</f>
        <v/>
      </c>
      <c r="BX106">
        <f>IF($O106="",0,IF(COUNTIFS(업무일지!$F$5:$F$1004,$O106,업무일지!$B$5:$B$1004,"&gt;="&amp;DATE($B$3,1,1),업무일지!$B$5:$B$1004,"&lt;"&amp;DATE($B$3+1,1,1),업무일지!$AB$5:$AB$1004,$A$53,업무일지!$D$5:$D$1004,"분석")&gt;0,1,0))</f>
        <v/>
      </c>
      <c r="BZ106">
        <f>IF($O106="",0,IF(COUNTIFS(업무일지!$F$5:$F$1004,$O106,업무일지!$B$5:$B$1004,"&gt;="&amp;DATE($B$3,1,1),업무일지!$B$5:$B$1004,"&lt;"&amp;DATE($B$3+1,1,1),업무일지!$AB$5:$AB$1004,$A$44)&gt;0,1,0))</f>
        <v/>
      </c>
      <c r="CA106">
        <f>IF($O106="",0,IF(COUNTIFS(업무일지!$F$5:$F$1004,$O106,업무일지!$B$5:$B$1004,"&gt;="&amp;DATE($B$3,1,1),업무일지!$B$5:$B$1004,"&lt;"&amp;DATE($B$3+1,1,1),업무일지!$AB$5:$AB$1004,$A$45)&gt;0,1,0))</f>
        <v/>
      </c>
      <c r="CB106">
        <f>IF($O106="",0,IF(COUNTIFS(업무일지!$F$5:$F$1004,$O106,업무일지!$B$5:$B$1004,"&gt;="&amp;DATE($B$3,1,1),업무일지!$B$5:$B$1004,"&lt;"&amp;DATE($B$3+1,1,1),업무일지!$AB$5:$AB$1004,$A$46)&gt;0,1,0))</f>
        <v/>
      </c>
      <c r="CC106">
        <f>IF($O106="",0,IF(COUNTIFS(업무일지!$F$5:$F$1004,$O106,업무일지!$B$5:$B$1004,"&gt;="&amp;DATE($B$3,1,1),업무일지!$B$5:$B$1004,"&lt;"&amp;DATE($B$3+1,1,1),업무일지!$AB$5:$AB$1004,$A$47)&gt;0,1,0))</f>
        <v/>
      </c>
      <c r="CD106">
        <f>IF($O106="",0,IF(COUNTIFS(업무일지!$F$5:$F$1004,$O106,업무일지!$B$5:$B$1004,"&gt;="&amp;DATE($B$3,1,1),업무일지!$B$5:$B$1004,"&lt;"&amp;DATE($B$3+1,1,1),업무일지!$AB$5:$AB$1004,$A$48)&gt;0,1,0))</f>
        <v/>
      </c>
      <c r="CE106">
        <f>IF($O106="",0,IF(COUNTIFS(업무일지!$F$5:$F$1004,$O106,업무일지!$B$5:$B$1004,"&gt;="&amp;DATE($B$3,1,1),업무일지!$B$5:$B$1004,"&lt;"&amp;DATE($B$3+1,1,1),업무일지!$AB$5:$AB$1004,$A$49)&gt;0,1,0))</f>
        <v/>
      </c>
      <c r="CF106">
        <f>IF($O106="",0,IF(COUNTIFS(업무일지!$F$5:$F$1004,$O106,업무일지!$B$5:$B$1004,"&gt;="&amp;DATE($B$3,1,1),업무일지!$B$5:$B$1004,"&lt;"&amp;DATE($B$3+1,1,1),업무일지!$AB$5:$AB$1004,$A$50)&gt;0,1,0))</f>
        <v/>
      </c>
      <c r="CG106">
        <f>IF($O106="",0,IF(COUNTIFS(업무일지!$F$5:$F$1004,$O106,업무일지!$B$5:$B$1004,"&gt;="&amp;DATE($B$3,1,1),업무일지!$B$5:$B$1004,"&lt;"&amp;DATE($B$3+1,1,1),업무일지!$AB$5:$AB$1004,$A$51)&gt;0,1,0))</f>
        <v/>
      </c>
      <c r="CH106">
        <f>IF($O106="",0,IF(COUNTIFS(업무일지!$F$5:$F$1004,$O106,업무일지!$B$5:$B$1004,"&gt;="&amp;DATE($B$3,1,1),업무일지!$B$5:$B$1004,"&lt;"&amp;DATE($B$3+1,1,1),업무일지!$AB$5:$AB$1004,$A$52)&gt;0,1,0))</f>
        <v/>
      </c>
      <c r="CI106">
        <f>IF($O106="",0,IF(COUNTIFS(업무일지!$F$5:$F$1004,$O106,업무일지!$B$5:$B$1004,"&gt;="&amp;DATE($B$3,1,1),업무일지!$B$5:$B$1004,"&lt;"&amp;DATE($B$3+1,1,1),업무일지!$AB$5:$AB$1004,$A$53)&gt;0,1,0))</f>
        <v/>
      </c>
    </row>
    <row r="107">
      <c r="O107">
        <f>IF(사건마스터!$A27="","",사건마스터!$A27)</f>
        <v/>
      </c>
      <c r="P107">
        <f>IF($O107="",0,IF(COUNTIFS(업무일지!$F$5:$F$1004,$O107,업무일지!$B$5:$B$1004,"&gt;="&amp;DATE($B$3,1,1),업무일지!$B$5:$B$1004,"&lt;"&amp;DATE($B$3,1+1,1),업무일지!$D$5:$D$1004,"출장")&gt;0,1,0))</f>
        <v/>
      </c>
      <c r="Q107">
        <f>IF($O107="",0,IF(COUNTIFS(업무일지!$F$5:$F$1004,$O107,업무일지!$B$5:$B$1004,"&gt;="&amp;DATE($B$3,2,1),업무일지!$B$5:$B$1004,"&lt;"&amp;DATE($B$3,2+1,1),업무일지!$D$5:$D$1004,"출장")&gt;0,1,0))</f>
        <v/>
      </c>
      <c r="R107">
        <f>IF($O107="",0,IF(COUNTIFS(업무일지!$F$5:$F$1004,$O107,업무일지!$B$5:$B$1004,"&gt;="&amp;DATE($B$3,3,1),업무일지!$B$5:$B$1004,"&lt;"&amp;DATE($B$3,3+1,1),업무일지!$D$5:$D$1004,"출장")&gt;0,1,0))</f>
        <v/>
      </c>
      <c r="S107">
        <f>IF($O107="",0,IF(COUNTIFS(업무일지!$F$5:$F$1004,$O107,업무일지!$B$5:$B$1004,"&gt;="&amp;DATE($B$3,4,1),업무일지!$B$5:$B$1004,"&lt;"&amp;DATE($B$3,4+1,1),업무일지!$D$5:$D$1004,"출장")&gt;0,1,0))</f>
        <v/>
      </c>
      <c r="T107">
        <f>IF($O107="",0,IF(COUNTIFS(업무일지!$F$5:$F$1004,$O107,업무일지!$B$5:$B$1004,"&gt;="&amp;DATE($B$3,5,1),업무일지!$B$5:$B$1004,"&lt;"&amp;DATE($B$3,5+1,1),업무일지!$D$5:$D$1004,"출장")&gt;0,1,0))</f>
        <v/>
      </c>
      <c r="U107">
        <f>IF($O107="",0,IF(COUNTIFS(업무일지!$F$5:$F$1004,$O107,업무일지!$B$5:$B$1004,"&gt;="&amp;DATE($B$3,6,1),업무일지!$B$5:$B$1004,"&lt;"&amp;DATE($B$3,6+1,1),업무일지!$D$5:$D$1004,"출장")&gt;0,1,0))</f>
        <v/>
      </c>
      <c r="V107">
        <f>IF($O107="",0,IF(COUNTIFS(업무일지!$F$5:$F$1004,$O107,업무일지!$B$5:$B$1004,"&gt;="&amp;DATE($B$3,7,1),업무일지!$B$5:$B$1004,"&lt;"&amp;DATE($B$3,7+1,1),업무일지!$D$5:$D$1004,"출장")&gt;0,1,0))</f>
        <v/>
      </c>
      <c r="W107">
        <f>IF($O107="",0,IF(COUNTIFS(업무일지!$F$5:$F$1004,$O107,업무일지!$B$5:$B$1004,"&gt;="&amp;DATE($B$3,8,1),업무일지!$B$5:$B$1004,"&lt;"&amp;DATE($B$3,8+1,1),업무일지!$D$5:$D$1004,"출장")&gt;0,1,0))</f>
        <v/>
      </c>
      <c r="X107">
        <f>IF($O107="",0,IF(COUNTIFS(업무일지!$F$5:$F$1004,$O107,업무일지!$B$5:$B$1004,"&gt;="&amp;DATE($B$3,9,1),업무일지!$B$5:$B$1004,"&lt;"&amp;DATE($B$3,9+1,1),업무일지!$D$5:$D$1004,"출장")&gt;0,1,0))</f>
        <v/>
      </c>
      <c r="Y107">
        <f>IF($O107="",0,IF(COUNTIFS(업무일지!$F$5:$F$1004,$O107,업무일지!$B$5:$B$1004,"&gt;="&amp;DATE($B$3,10,1),업무일지!$B$5:$B$1004,"&lt;"&amp;DATE($B$3,10+1,1),업무일지!$D$5:$D$1004,"출장")&gt;0,1,0))</f>
        <v/>
      </c>
      <c r="Z107">
        <f>IF($O107="",0,IF(COUNTIFS(업무일지!$F$5:$F$1004,$O107,업무일지!$B$5:$B$1004,"&gt;="&amp;DATE($B$3,11,1),업무일지!$B$5:$B$1004,"&lt;"&amp;DATE($B$3,11+1,1),업무일지!$D$5:$D$1004,"출장")&gt;0,1,0))</f>
        <v/>
      </c>
      <c r="AA107">
        <f>IF($O107="",0,IF(COUNTIFS(업무일지!$F$5:$F$1004,$O107,업무일지!$B$5:$B$1004,"&gt;="&amp;DATE($B$3,12,1),업무일지!$B$5:$B$1004,"&lt;"&amp;DATE($B$3,12+1,1),업무일지!$D$5:$D$1004,"출장")&gt;0,1,0))</f>
        <v/>
      </c>
      <c r="AB107">
        <f>IF($O107="",0,IF(COUNTIFS(업무일지!$F$5:$F$1004,$O107,업무일지!$B$5:$B$1004,"&gt;="&amp;DATE($B$3,1,1),업무일지!$B$5:$B$1004,"&lt;"&amp;DATE($B$3,1+1,1),업무일지!$D$5:$D$1004,"분석")&gt;0,1,0))</f>
        <v/>
      </c>
      <c r="AC107">
        <f>IF($O107="",0,IF(COUNTIFS(업무일지!$F$5:$F$1004,$O107,업무일지!$B$5:$B$1004,"&gt;="&amp;DATE($B$3,2,1),업무일지!$B$5:$B$1004,"&lt;"&amp;DATE($B$3,2+1,1),업무일지!$D$5:$D$1004,"분석")&gt;0,1,0))</f>
        <v/>
      </c>
      <c r="AD107">
        <f>IF($O107="",0,IF(COUNTIFS(업무일지!$F$5:$F$1004,$O107,업무일지!$B$5:$B$1004,"&gt;="&amp;DATE($B$3,3,1),업무일지!$B$5:$B$1004,"&lt;"&amp;DATE($B$3,3+1,1),업무일지!$D$5:$D$1004,"분석")&gt;0,1,0))</f>
        <v/>
      </c>
      <c r="AE107">
        <f>IF($O107="",0,IF(COUNTIFS(업무일지!$F$5:$F$1004,$O107,업무일지!$B$5:$B$1004,"&gt;="&amp;DATE($B$3,4,1),업무일지!$B$5:$B$1004,"&lt;"&amp;DATE($B$3,4+1,1),업무일지!$D$5:$D$1004,"분석")&gt;0,1,0))</f>
        <v/>
      </c>
      <c r="AF107">
        <f>IF($O107="",0,IF(COUNTIFS(업무일지!$F$5:$F$1004,$O107,업무일지!$B$5:$B$1004,"&gt;="&amp;DATE($B$3,5,1),업무일지!$B$5:$B$1004,"&lt;"&amp;DATE($B$3,5+1,1),업무일지!$D$5:$D$1004,"분석")&gt;0,1,0))</f>
        <v/>
      </c>
      <c r="AG107">
        <f>IF($O107="",0,IF(COUNTIFS(업무일지!$F$5:$F$1004,$O107,업무일지!$B$5:$B$1004,"&gt;="&amp;DATE($B$3,6,1),업무일지!$B$5:$B$1004,"&lt;"&amp;DATE($B$3,6+1,1),업무일지!$D$5:$D$1004,"분석")&gt;0,1,0))</f>
        <v/>
      </c>
      <c r="AH107">
        <f>IF($O107="",0,IF(COUNTIFS(업무일지!$F$5:$F$1004,$O107,업무일지!$B$5:$B$1004,"&gt;="&amp;DATE($B$3,7,1),업무일지!$B$5:$B$1004,"&lt;"&amp;DATE($B$3,7+1,1),업무일지!$D$5:$D$1004,"분석")&gt;0,1,0))</f>
        <v/>
      </c>
      <c r="AI107">
        <f>IF($O107="",0,IF(COUNTIFS(업무일지!$F$5:$F$1004,$O107,업무일지!$B$5:$B$1004,"&gt;="&amp;DATE($B$3,8,1),업무일지!$B$5:$B$1004,"&lt;"&amp;DATE($B$3,8+1,1),업무일지!$D$5:$D$1004,"분석")&gt;0,1,0))</f>
        <v/>
      </c>
      <c r="AJ107">
        <f>IF($O107="",0,IF(COUNTIFS(업무일지!$F$5:$F$1004,$O107,업무일지!$B$5:$B$1004,"&gt;="&amp;DATE($B$3,9,1),업무일지!$B$5:$B$1004,"&lt;"&amp;DATE($B$3,9+1,1),업무일지!$D$5:$D$1004,"분석")&gt;0,1,0))</f>
        <v/>
      </c>
      <c r="AK107">
        <f>IF($O107="",0,IF(COUNTIFS(업무일지!$F$5:$F$1004,$O107,업무일지!$B$5:$B$1004,"&gt;="&amp;DATE($B$3,10,1),업무일지!$B$5:$B$1004,"&lt;"&amp;DATE($B$3,10+1,1),업무일지!$D$5:$D$1004,"분석")&gt;0,1,0))</f>
        <v/>
      </c>
      <c r="AL107">
        <f>IF($O107="",0,IF(COUNTIFS(업무일지!$F$5:$F$1004,$O107,업무일지!$B$5:$B$1004,"&gt;="&amp;DATE($B$3,11,1),업무일지!$B$5:$B$1004,"&lt;"&amp;DATE($B$3,11+1,1),업무일지!$D$5:$D$1004,"분석")&gt;0,1,0))</f>
        <v/>
      </c>
      <c r="AM107">
        <f>IF($O107="",0,IF(COUNTIFS(업무일지!$F$5:$F$1004,$O107,업무일지!$B$5:$B$1004,"&gt;="&amp;DATE($B$3,12,1),업무일지!$B$5:$B$1004,"&lt;"&amp;DATE($B$3,12+1,1),업무일지!$D$5:$D$1004,"분석")&gt;0,1,0))</f>
        <v/>
      </c>
      <c r="AN107">
        <f>IF($O107="",0,IF(COUNTIFS(업무일지!$F$5:$F$1004,$O107,업무일지!$B$5:$B$1004,"&gt;="&amp;DATE($B$3,1,1),업무일지!$B$5:$B$1004,"&lt;"&amp;DATE($B$3,1+1,1))&gt;0,1,0))</f>
        <v/>
      </c>
      <c r="AO107">
        <f>IF($O107="",0,IF(COUNTIFS(업무일지!$F$5:$F$1004,$O107,업무일지!$B$5:$B$1004,"&gt;="&amp;DATE($B$3,2,1),업무일지!$B$5:$B$1004,"&lt;"&amp;DATE($B$3,2+1,1))&gt;0,1,0))</f>
        <v/>
      </c>
      <c r="AP107">
        <f>IF($O107="",0,IF(COUNTIFS(업무일지!$F$5:$F$1004,$O107,업무일지!$B$5:$B$1004,"&gt;="&amp;DATE($B$3,3,1),업무일지!$B$5:$B$1004,"&lt;"&amp;DATE($B$3,3+1,1))&gt;0,1,0))</f>
        <v/>
      </c>
      <c r="AQ107">
        <f>IF($O107="",0,IF(COUNTIFS(업무일지!$F$5:$F$1004,$O107,업무일지!$B$5:$B$1004,"&gt;="&amp;DATE($B$3,4,1),업무일지!$B$5:$B$1004,"&lt;"&amp;DATE($B$3,4+1,1))&gt;0,1,0))</f>
        <v/>
      </c>
      <c r="AR107">
        <f>IF($O107="",0,IF(COUNTIFS(업무일지!$F$5:$F$1004,$O107,업무일지!$B$5:$B$1004,"&gt;="&amp;DATE($B$3,5,1),업무일지!$B$5:$B$1004,"&lt;"&amp;DATE($B$3,5+1,1))&gt;0,1,0))</f>
        <v/>
      </c>
      <c r="AS107">
        <f>IF($O107="",0,IF(COUNTIFS(업무일지!$F$5:$F$1004,$O107,업무일지!$B$5:$B$1004,"&gt;="&amp;DATE($B$3,6,1),업무일지!$B$5:$B$1004,"&lt;"&amp;DATE($B$3,6+1,1))&gt;0,1,0))</f>
        <v/>
      </c>
      <c r="AT107">
        <f>IF($O107="",0,IF(COUNTIFS(업무일지!$F$5:$F$1004,$O107,업무일지!$B$5:$B$1004,"&gt;="&amp;DATE($B$3,7,1),업무일지!$B$5:$B$1004,"&lt;"&amp;DATE($B$3,7+1,1))&gt;0,1,0))</f>
        <v/>
      </c>
      <c r="AU107">
        <f>IF($O107="",0,IF(COUNTIFS(업무일지!$F$5:$F$1004,$O107,업무일지!$B$5:$B$1004,"&gt;="&amp;DATE($B$3,8,1),업무일지!$B$5:$B$1004,"&lt;"&amp;DATE($B$3,8+1,1))&gt;0,1,0))</f>
        <v/>
      </c>
      <c r="AV107">
        <f>IF($O107="",0,IF(COUNTIFS(업무일지!$F$5:$F$1004,$O107,업무일지!$B$5:$B$1004,"&gt;="&amp;DATE($B$3,9,1),업무일지!$B$5:$B$1004,"&lt;"&amp;DATE($B$3,9+1,1))&gt;0,1,0))</f>
        <v/>
      </c>
      <c r="AW107">
        <f>IF($O107="",0,IF(COUNTIFS(업무일지!$F$5:$F$1004,$O107,업무일지!$B$5:$B$1004,"&gt;="&amp;DATE($B$3,10,1),업무일지!$B$5:$B$1004,"&lt;"&amp;DATE($B$3,10+1,1))&gt;0,1,0))</f>
        <v/>
      </c>
      <c r="AX107">
        <f>IF($O107="",0,IF(COUNTIFS(업무일지!$F$5:$F$1004,$O107,업무일지!$B$5:$B$1004,"&gt;="&amp;DATE($B$3,11,1),업무일지!$B$5:$B$1004,"&lt;"&amp;DATE($B$3,11+1,1))&gt;0,1,0))</f>
        <v/>
      </c>
      <c r="AY107">
        <f>IF($O107="",0,IF(COUNTIFS(업무일지!$F$5:$F$1004,$O107,업무일지!$B$5:$B$1004,"&gt;="&amp;DATE($B$3,12,1),업무일지!$B$5:$B$1004,"&lt;"&amp;DATE($B$3,12+1,1))&gt;0,1,0))</f>
        <v/>
      </c>
      <c r="AZ107">
        <f>IF($O107="",0,IF(COUNTIFS(업무일지!$F$5:$F$1004,$O107,업무일지!$B$5:$B$1004,"&gt;="&amp;DATE($B$3,1,1),업무일지!$B$5:$B$1004,"&lt;"&amp;DATE($B$3+1,1,1),업무일지!$D$5:$D$1004,"출장")&gt;0,1,0))</f>
        <v/>
      </c>
      <c r="BA107">
        <f>IF($O107="",0,IF(COUNTIFS(업무일지!$F$5:$F$1004,$O107,업무일지!$B$5:$B$1004,"&gt;="&amp;DATE($B$3,1,1),업무일지!$B$5:$B$1004,"&lt;"&amp;DATE($B$3+1,1,1),업무일지!$D$5:$D$1004,"분석")&gt;0,1,0))</f>
        <v/>
      </c>
      <c r="BB107">
        <f>IF($O107="",0,IF(COUNTIFS(업무일지!$F$5:$F$1004,$O107,업무일지!$B$5:$B$1004,"&gt;="&amp;DATE($B$3,1,1),업무일지!$B$5:$B$1004,"&lt;"&amp;DATE($B$3+1,1,1))&gt;0,1,0))</f>
        <v/>
      </c>
      <c r="BD107">
        <f>IF($O107="",0,IF(COUNTIFS(업무일지!$F$5:$F$1004,$O107,업무일지!$B$5:$B$1004,"&gt;="&amp;DATE($B$3,1,1),업무일지!$B$5:$B$1004,"&lt;"&amp;DATE($B$3+1,1,1),업무일지!$AB$5:$AB$1004,$A$44,업무일지!$D$5:$D$1004,"출장")&gt;0,1,0))</f>
        <v/>
      </c>
      <c r="BE107">
        <f>IF($O107="",0,IF(COUNTIFS(업무일지!$F$5:$F$1004,$O107,업무일지!$B$5:$B$1004,"&gt;="&amp;DATE($B$3,1,1),업무일지!$B$5:$B$1004,"&lt;"&amp;DATE($B$3+1,1,1),업무일지!$AB$5:$AB$1004,$A$45,업무일지!$D$5:$D$1004,"출장")&gt;0,1,0))</f>
        <v/>
      </c>
      <c r="BF107">
        <f>IF($O107="",0,IF(COUNTIFS(업무일지!$F$5:$F$1004,$O107,업무일지!$B$5:$B$1004,"&gt;="&amp;DATE($B$3,1,1),업무일지!$B$5:$B$1004,"&lt;"&amp;DATE($B$3+1,1,1),업무일지!$AB$5:$AB$1004,$A$46,업무일지!$D$5:$D$1004,"출장")&gt;0,1,0))</f>
        <v/>
      </c>
      <c r="BG107">
        <f>IF($O107="",0,IF(COUNTIFS(업무일지!$F$5:$F$1004,$O107,업무일지!$B$5:$B$1004,"&gt;="&amp;DATE($B$3,1,1),업무일지!$B$5:$B$1004,"&lt;"&amp;DATE($B$3+1,1,1),업무일지!$AB$5:$AB$1004,$A$47,업무일지!$D$5:$D$1004,"출장")&gt;0,1,0))</f>
        <v/>
      </c>
      <c r="BH107">
        <f>IF($O107="",0,IF(COUNTIFS(업무일지!$F$5:$F$1004,$O107,업무일지!$B$5:$B$1004,"&gt;="&amp;DATE($B$3,1,1),업무일지!$B$5:$B$1004,"&lt;"&amp;DATE($B$3+1,1,1),업무일지!$AB$5:$AB$1004,$A$48,업무일지!$D$5:$D$1004,"출장")&gt;0,1,0))</f>
        <v/>
      </c>
      <c r="BI107">
        <f>IF($O107="",0,IF(COUNTIFS(업무일지!$F$5:$F$1004,$O107,업무일지!$B$5:$B$1004,"&gt;="&amp;DATE($B$3,1,1),업무일지!$B$5:$B$1004,"&lt;"&amp;DATE($B$3+1,1,1),업무일지!$AB$5:$AB$1004,$A$49,업무일지!$D$5:$D$1004,"출장")&gt;0,1,0))</f>
        <v/>
      </c>
      <c r="BJ107">
        <f>IF($O107="",0,IF(COUNTIFS(업무일지!$F$5:$F$1004,$O107,업무일지!$B$5:$B$1004,"&gt;="&amp;DATE($B$3,1,1),업무일지!$B$5:$B$1004,"&lt;"&amp;DATE($B$3+1,1,1),업무일지!$AB$5:$AB$1004,$A$50,업무일지!$D$5:$D$1004,"출장")&gt;0,1,0))</f>
        <v/>
      </c>
      <c r="BK107">
        <f>IF($O107="",0,IF(COUNTIFS(업무일지!$F$5:$F$1004,$O107,업무일지!$B$5:$B$1004,"&gt;="&amp;DATE($B$3,1,1),업무일지!$B$5:$B$1004,"&lt;"&amp;DATE($B$3+1,1,1),업무일지!$AB$5:$AB$1004,$A$51,업무일지!$D$5:$D$1004,"출장")&gt;0,1,0))</f>
        <v/>
      </c>
      <c r="BL107">
        <f>IF($O107="",0,IF(COUNTIFS(업무일지!$F$5:$F$1004,$O107,업무일지!$B$5:$B$1004,"&gt;="&amp;DATE($B$3,1,1),업무일지!$B$5:$B$1004,"&lt;"&amp;DATE($B$3+1,1,1),업무일지!$AB$5:$AB$1004,$A$52,업무일지!$D$5:$D$1004,"출장")&gt;0,1,0))</f>
        <v/>
      </c>
      <c r="BM107">
        <f>IF($O107="",0,IF(COUNTIFS(업무일지!$F$5:$F$1004,$O107,업무일지!$B$5:$B$1004,"&gt;="&amp;DATE($B$3,1,1),업무일지!$B$5:$B$1004,"&lt;"&amp;DATE($B$3+1,1,1),업무일지!$AB$5:$AB$1004,$A$53,업무일지!$D$5:$D$1004,"출장")&gt;0,1,0))</f>
        <v/>
      </c>
      <c r="BO107">
        <f>IF($O107="",0,IF(COUNTIFS(업무일지!$F$5:$F$1004,$O107,업무일지!$B$5:$B$1004,"&gt;="&amp;DATE($B$3,1,1),업무일지!$B$5:$B$1004,"&lt;"&amp;DATE($B$3+1,1,1),업무일지!$AB$5:$AB$1004,$A$44,업무일지!$D$5:$D$1004,"분석")&gt;0,1,0))</f>
        <v/>
      </c>
      <c r="BP107">
        <f>IF($O107="",0,IF(COUNTIFS(업무일지!$F$5:$F$1004,$O107,업무일지!$B$5:$B$1004,"&gt;="&amp;DATE($B$3,1,1),업무일지!$B$5:$B$1004,"&lt;"&amp;DATE($B$3+1,1,1),업무일지!$AB$5:$AB$1004,$A$45,업무일지!$D$5:$D$1004,"분석")&gt;0,1,0))</f>
        <v/>
      </c>
      <c r="BQ107">
        <f>IF($O107="",0,IF(COUNTIFS(업무일지!$F$5:$F$1004,$O107,업무일지!$B$5:$B$1004,"&gt;="&amp;DATE($B$3,1,1),업무일지!$B$5:$B$1004,"&lt;"&amp;DATE($B$3+1,1,1),업무일지!$AB$5:$AB$1004,$A$46,업무일지!$D$5:$D$1004,"분석")&gt;0,1,0))</f>
        <v/>
      </c>
      <c r="BR107">
        <f>IF($O107="",0,IF(COUNTIFS(업무일지!$F$5:$F$1004,$O107,업무일지!$B$5:$B$1004,"&gt;="&amp;DATE($B$3,1,1),업무일지!$B$5:$B$1004,"&lt;"&amp;DATE($B$3+1,1,1),업무일지!$AB$5:$AB$1004,$A$47,업무일지!$D$5:$D$1004,"분석")&gt;0,1,0))</f>
        <v/>
      </c>
      <c r="BS107">
        <f>IF($O107="",0,IF(COUNTIFS(업무일지!$F$5:$F$1004,$O107,업무일지!$B$5:$B$1004,"&gt;="&amp;DATE($B$3,1,1),업무일지!$B$5:$B$1004,"&lt;"&amp;DATE($B$3+1,1,1),업무일지!$AB$5:$AB$1004,$A$48,업무일지!$D$5:$D$1004,"분석")&gt;0,1,0))</f>
        <v/>
      </c>
      <c r="BT107">
        <f>IF($O107="",0,IF(COUNTIFS(업무일지!$F$5:$F$1004,$O107,업무일지!$B$5:$B$1004,"&gt;="&amp;DATE($B$3,1,1),업무일지!$B$5:$B$1004,"&lt;"&amp;DATE($B$3+1,1,1),업무일지!$AB$5:$AB$1004,$A$49,업무일지!$D$5:$D$1004,"분석")&gt;0,1,0))</f>
        <v/>
      </c>
      <c r="BU107">
        <f>IF($O107="",0,IF(COUNTIFS(업무일지!$F$5:$F$1004,$O107,업무일지!$B$5:$B$1004,"&gt;="&amp;DATE($B$3,1,1),업무일지!$B$5:$B$1004,"&lt;"&amp;DATE($B$3+1,1,1),업무일지!$AB$5:$AB$1004,$A$50,업무일지!$D$5:$D$1004,"분석")&gt;0,1,0))</f>
        <v/>
      </c>
      <c r="BV107">
        <f>IF($O107="",0,IF(COUNTIFS(업무일지!$F$5:$F$1004,$O107,업무일지!$B$5:$B$1004,"&gt;="&amp;DATE($B$3,1,1),업무일지!$B$5:$B$1004,"&lt;"&amp;DATE($B$3+1,1,1),업무일지!$AB$5:$AB$1004,$A$51,업무일지!$D$5:$D$1004,"분석")&gt;0,1,0))</f>
        <v/>
      </c>
      <c r="BW107">
        <f>IF($O107="",0,IF(COUNTIFS(업무일지!$F$5:$F$1004,$O107,업무일지!$B$5:$B$1004,"&gt;="&amp;DATE($B$3,1,1),업무일지!$B$5:$B$1004,"&lt;"&amp;DATE($B$3+1,1,1),업무일지!$AB$5:$AB$1004,$A$52,업무일지!$D$5:$D$1004,"분석")&gt;0,1,0))</f>
        <v/>
      </c>
      <c r="BX107">
        <f>IF($O107="",0,IF(COUNTIFS(업무일지!$F$5:$F$1004,$O107,업무일지!$B$5:$B$1004,"&gt;="&amp;DATE($B$3,1,1),업무일지!$B$5:$B$1004,"&lt;"&amp;DATE($B$3+1,1,1),업무일지!$AB$5:$AB$1004,$A$53,업무일지!$D$5:$D$1004,"분석")&gt;0,1,0))</f>
        <v/>
      </c>
      <c r="BZ107">
        <f>IF($O107="",0,IF(COUNTIFS(업무일지!$F$5:$F$1004,$O107,업무일지!$B$5:$B$1004,"&gt;="&amp;DATE($B$3,1,1),업무일지!$B$5:$B$1004,"&lt;"&amp;DATE($B$3+1,1,1),업무일지!$AB$5:$AB$1004,$A$44)&gt;0,1,0))</f>
        <v/>
      </c>
      <c r="CA107">
        <f>IF($O107="",0,IF(COUNTIFS(업무일지!$F$5:$F$1004,$O107,업무일지!$B$5:$B$1004,"&gt;="&amp;DATE($B$3,1,1),업무일지!$B$5:$B$1004,"&lt;"&amp;DATE($B$3+1,1,1),업무일지!$AB$5:$AB$1004,$A$45)&gt;0,1,0))</f>
        <v/>
      </c>
      <c r="CB107">
        <f>IF($O107="",0,IF(COUNTIFS(업무일지!$F$5:$F$1004,$O107,업무일지!$B$5:$B$1004,"&gt;="&amp;DATE($B$3,1,1),업무일지!$B$5:$B$1004,"&lt;"&amp;DATE($B$3+1,1,1),업무일지!$AB$5:$AB$1004,$A$46)&gt;0,1,0))</f>
        <v/>
      </c>
      <c r="CC107">
        <f>IF($O107="",0,IF(COUNTIFS(업무일지!$F$5:$F$1004,$O107,업무일지!$B$5:$B$1004,"&gt;="&amp;DATE($B$3,1,1),업무일지!$B$5:$B$1004,"&lt;"&amp;DATE($B$3+1,1,1),업무일지!$AB$5:$AB$1004,$A$47)&gt;0,1,0))</f>
        <v/>
      </c>
      <c r="CD107">
        <f>IF($O107="",0,IF(COUNTIFS(업무일지!$F$5:$F$1004,$O107,업무일지!$B$5:$B$1004,"&gt;="&amp;DATE($B$3,1,1),업무일지!$B$5:$B$1004,"&lt;"&amp;DATE($B$3+1,1,1),업무일지!$AB$5:$AB$1004,$A$48)&gt;0,1,0))</f>
        <v/>
      </c>
      <c r="CE107">
        <f>IF($O107="",0,IF(COUNTIFS(업무일지!$F$5:$F$1004,$O107,업무일지!$B$5:$B$1004,"&gt;="&amp;DATE($B$3,1,1),업무일지!$B$5:$B$1004,"&lt;"&amp;DATE($B$3+1,1,1),업무일지!$AB$5:$AB$1004,$A$49)&gt;0,1,0))</f>
        <v/>
      </c>
      <c r="CF107">
        <f>IF($O107="",0,IF(COUNTIFS(업무일지!$F$5:$F$1004,$O107,업무일지!$B$5:$B$1004,"&gt;="&amp;DATE($B$3,1,1),업무일지!$B$5:$B$1004,"&lt;"&amp;DATE($B$3+1,1,1),업무일지!$AB$5:$AB$1004,$A$50)&gt;0,1,0))</f>
        <v/>
      </c>
      <c r="CG107">
        <f>IF($O107="",0,IF(COUNTIFS(업무일지!$F$5:$F$1004,$O107,업무일지!$B$5:$B$1004,"&gt;="&amp;DATE($B$3,1,1),업무일지!$B$5:$B$1004,"&lt;"&amp;DATE($B$3+1,1,1),업무일지!$AB$5:$AB$1004,$A$51)&gt;0,1,0))</f>
        <v/>
      </c>
      <c r="CH107">
        <f>IF($O107="",0,IF(COUNTIFS(업무일지!$F$5:$F$1004,$O107,업무일지!$B$5:$B$1004,"&gt;="&amp;DATE($B$3,1,1),업무일지!$B$5:$B$1004,"&lt;"&amp;DATE($B$3+1,1,1),업무일지!$AB$5:$AB$1004,$A$52)&gt;0,1,0))</f>
        <v/>
      </c>
      <c r="CI107">
        <f>IF($O107="",0,IF(COUNTIFS(업무일지!$F$5:$F$1004,$O107,업무일지!$B$5:$B$1004,"&gt;="&amp;DATE($B$3,1,1),업무일지!$B$5:$B$1004,"&lt;"&amp;DATE($B$3+1,1,1),업무일지!$AB$5:$AB$1004,$A$53)&gt;0,1,0))</f>
        <v/>
      </c>
    </row>
    <row r="108">
      <c r="O108">
        <f>IF(사건마스터!$A28="","",사건마스터!$A28)</f>
        <v/>
      </c>
      <c r="P108">
        <f>IF($O108="",0,IF(COUNTIFS(업무일지!$F$5:$F$1004,$O108,업무일지!$B$5:$B$1004,"&gt;="&amp;DATE($B$3,1,1),업무일지!$B$5:$B$1004,"&lt;"&amp;DATE($B$3,1+1,1),업무일지!$D$5:$D$1004,"출장")&gt;0,1,0))</f>
        <v/>
      </c>
      <c r="Q108">
        <f>IF($O108="",0,IF(COUNTIFS(업무일지!$F$5:$F$1004,$O108,업무일지!$B$5:$B$1004,"&gt;="&amp;DATE($B$3,2,1),업무일지!$B$5:$B$1004,"&lt;"&amp;DATE($B$3,2+1,1),업무일지!$D$5:$D$1004,"출장")&gt;0,1,0))</f>
        <v/>
      </c>
      <c r="R108">
        <f>IF($O108="",0,IF(COUNTIFS(업무일지!$F$5:$F$1004,$O108,업무일지!$B$5:$B$1004,"&gt;="&amp;DATE($B$3,3,1),업무일지!$B$5:$B$1004,"&lt;"&amp;DATE($B$3,3+1,1),업무일지!$D$5:$D$1004,"출장")&gt;0,1,0))</f>
        <v/>
      </c>
      <c r="S108">
        <f>IF($O108="",0,IF(COUNTIFS(업무일지!$F$5:$F$1004,$O108,업무일지!$B$5:$B$1004,"&gt;="&amp;DATE($B$3,4,1),업무일지!$B$5:$B$1004,"&lt;"&amp;DATE($B$3,4+1,1),업무일지!$D$5:$D$1004,"출장")&gt;0,1,0))</f>
        <v/>
      </c>
      <c r="T108">
        <f>IF($O108="",0,IF(COUNTIFS(업무일지!$F$5:$F$1004,$O108,업무일지!$B$5:$B$1004,"&gt;="&amp;DATE($B$3,5,1),업무일지!$B$5:$B$1004,"&lt;"&amp;DATE($B$3,5+1,1),업무일지!$D$5:$D$1004,"출장")&gt;0,1,0))</f>
        <v/>
      </c>
      <c r="U108">
        <f>IF($O108="",0,IF(COUNTIFS(업무일지!$F$5:$F$1004,$O108,업무일지!$B$5:$B$1004,"&gt;="&amp;DATE($B$3,6,1),업무일지!$B$5:$B$1004,"&lt;"&amp;DATE($B$3,6+1,1),업무일지!$D$5:$D$1004,"출장")&gt;0,1,0))</f>
        <v/>
      </c>
      <c r="V108">
        <f>IF($O108="",0,IF(COUNTIFS(업무일지!$F$5:$F$1004,$O108,업무일지!$B$5:$B$1004,"&gt;="&amp;DATE($B$3,7,1),업무일지!$B$5:$B$1004,"&lt;"&amp;DATE($B$3,7+1,1),업무일지!$D$5:$D$1004,"출장")&gt;0,1,0))</f>
        <v/>
      </c>
      <c r="W108">
        <f>IF($O108="",0,IF(COUNTIFS(업무일지!$F$5:$F$1004,$O108,업무일지!$B$5:$B$1004,"&gt;="&amp;DATE($B$3,8,1),업무일지!$B$5:$B$1004,"&lt;"&amp;DATE($B$3,8+1,1),업무일지!$D$5:$D$1004,"출장")&gt;0,1,0))</f>
        <v/>
      </c>
      <c r="X108">
        <f>IF($O108="",0,IF(COUNTIFS(업무일지!$F$5:$F$1004,$O108,업무일지!$B$5:$B$1004,"&gt;="&amp;DATE($B$3,9,1),업무일지!$B$5:$B$1004,"&lt;"&amp;DATE($B$3,9+1,1),업무일지!$D$5:$D$1004,"출장")&gt;0,1,0))</f>
        <v/>
      </c>
      <c r="Y108">
        <f>IF($O108="",0,IF(COUNTIFS(업무일지!$F$5:$F$1004,$O108,업무일지!$B$5:$B$1004,"&gt;="&amp;DATE($B$3,10,1),업무일지!$B$5:$B$1004,"&lt;"&amp;DATE($B$3,10+1,1),업무일지!$D$5:$D$1004,"출장")&gt;0,1,0))</f>
        <v/>
      </c>
      <c r="Z108">
        <f>IF($O108="",0,IF(COUNTIFS(업무일지!$F$5:$F$1004,$O108,업무일지!$B$5:$B$1004,"&gt;="&amp;DATE($B$3,11,1),업무일지!$B$5:$B$1004,"&lt;"&amp;DATE($B$3,11+1,1),업무일지!$D$5:$D$1004,"출장")&gt;0,1,0))</f>
        <v/>
      </c>
      <c r="AA108">
        <f>IF($O108="",0,IF(COUNTIFS(업무일지!$F$5:$F$1004,$O108,업무일지!$B$5:$B$1004,"&gt;="&amp;DATE($B$3,12,1),업무일지!$B$5:$B$1004,"&lt;"&amp;DATE($B$3,12+1,1),업무일지!$D$5:$D$1004,"출장")&gt;0,1,0))</f>
        <v/>
      </c>
      <c r="AB108">
        <f>IF($O108="",0,IF(COUNTIFS(업무일지!$F$5:$F$1004,$O108,업무일지!$B$5:$B$1004,"&gt;="&amp;DATE($B$3,1,1),업무일지!$B$5:$B$1004,"&lt;"&amp;DATE($B$3,1+1,1),업무일지!$D$5:$D$1004,"분석")&gt;0,1,0))</f>
        <v/>
      </c>
      <c r="AC108">
        <f>IF($O108="",0,IF(COUNTIFS(업무일지!$F$5:$F$1004,$O108,업무일지!$B$5:$B$1004,"&gt;="&amp;DATE($B$3,2,1),업무일지!$B$5:$B$1004,"&lt;"&amp;DATE($B$3,2+1,1),업무일지!$D$5:$D$1004,"분석")&gt;0,1,0))</f>
        <v/>
      </c>
      <c r="AD108">
        <f>IF($O108="",0,IF(COUNTIFS(업무일지!$F$5:$F$1004,$O108,업무일지!$B$5:$B$1004,"&gt;="&amp;DATE($B$3,3,1),업무일지!$B$5:$B$1004,"&lt;"&amp;DATE($B$3,3+1,1),업무일지!$D$5:$D$1004,"분석")&gt;0,1,0))</f>
        <v/>
      </c>
      <c r="AE108">
        <f>IF($O108="",0,IF(COUNTIFS(업무일지!$F$5:$F$1004,$O108,업무일지!$B$5:$B$1004,"&gt;="&amp;DATE($B$3,4,1),업무일지!$B$5:$B$1004,"&lt;"&amp;DATE($B$3,4+1,1),업무일지!$D$5:$D$1004,"분석")&gt;0,1,0))</f>
        <v/>
      </c>
      <c r="AF108">
        <f>IF($O108="",0,IF(COUNTIFS(업무일지!$F$5:$F$1004,$O108,업무일지!$B$5:$B$1004,"&gt;="&amp;DATE($B$3,5,1),업무일지!$B$5:$B$1004,"&lt;"&amp;DATE($B$3,5+1,1),업무일지!$D$5:$D$1004,"분석")&gt;0,1,0))</f>
        <v/>
      </c>
      <c r="AG108">
        <f>IF($O108="",0,IF(COUNTIFS(업무일지!$F$5:$F$1004,$O108,업무일지!$B$5:$B$1004,"&gt;="&amp;DATE($B$3,6,1),업무일지!$B$5:$B$1004,"&lt;"&amp;DATE($B$3,6+1,1),업무일지!$D$5:$D$1004,"분석")&gt;0,1,0))</f>
        <v/>
      </c>
      <c r="AH108">
        <f>IF($O108="",0,IF(COUNTIFS(업무일지!$F$5:$F$1004,$O108,업무일지!$B$5:$B$1004,"&gt;="&amp;DATE($B$3,7,1),업무일지!$B$5:$B$1004,"&lt;"&amp;DATE($B$3,7+1,1),업무일지!$D$5:$D$1004,"분석")&gt;0,1,0))</f>
        <v/>
      </c>
      <c r="AI108">
        <f>IF($O108="",0,IF(COUNTIFS(업무일지!$F$5:$F$1004,$O108,업무일지!$B$5:$B$1004,"&gt;="&amp;DATE($B$3,8,1),업무일지!$B$5:$B$1004,"&lt;"&amp;DATE($B$3,8+1,1),업무일지!$D$5:$D$1004,"분석")&gt;0,1,0))</f>
        <v/>
      </c>
      <c r="AJ108">
        <f>IF($O108="",0,IF(COUNTIFS(업무일지!$F$5:$F$1004,$O108,업무일지!$B$5:$B$1004,"&gt;="&amp;DATE($B$3,9,1),업무일지!$B$5:$B$1004,"&lt;"&amp;DATE($B$3,9+1,1),업무일지!$D$5:$D$1004,"분석")&gt;0,1,0))</f>
        <v/>
      </c>
      <c r="AK108">
        <f>IF($O108="",0,IF(COUNTIFS(업무일지!$F$5:$F$1004,$O108,업무일지!$B$5:$B$1004,"&gt;="&amp;DATE($B$3,10,1),업무일지!$B$5:$B$1004,"&lt;"&amp;DATE($B$3,10+1,1),업무일지!$D$5:$D$1004,"분석")&gt;0,1,0))</f>
        <v/>
      </c>
      <c r="AL108">
        <f>IF($O108="",0,IF(COUNTIFS(업무일지!$F$5:$F$1004,$O108,업무일지!$B$5:$B$1004,"&gt;="&amp;DATE($B$3,11,1),업무일지!$B$5:$B$1004,"&lt;"&amp;DATE($B$3,11+1,1),업무일지!$D$5:$D$1004,"분석")&gt;0,1,0))</f>
        <v/>
      </c>
      <c r="AM108">
        <f>IF($O108="",0,IF(COUNTIFS(업무일지!$F$5:$F$1004,$O108,업무일지!$B$5:$B$1004,"&gt;="&amp;DATE($B$3,12,1),업무일지!$B$5:$B$1004,"&lt;"&amp;DATE($B$3,12+1,1),업무일지!$D$5:$D$1004,"분석")&gt;0,1,0))</f>
        <v/>
      </c>
      <c r="AN108">
        <f>IF($O108="",0,IF(COUNTIFS(업무일지!$F$5:$F$1004,$O108,업무일지!$B$5:$B$1004,"&gt;="&amp;DATE($B$3,1,1),업무일지!$B$5:$B$1004,"&lt;"&amp;DATE($B$3,1+1,1))&gt;0,1,0))</f>
        <v/>
      </c>
      <c r="AO108">
        <f>IF($O108="",0,IF(COUNTIFS(업무일지!$F$5:$F$1004,$O108,업무일지!$B$5:$B$1004,"&gt;="&amp;DATE($B$3,2,1),업무일지!$B$5:$B$1004,"&lt;"&amp;DATE($B$3,2+1,1))&gt;0,1,0))</f>
        <v/>
      </c>
      <c r="AP108">
        <f>IF($O108="",0,IF(COUNTIFS(업무일지!$F$5:$F$1004,$O108,업무일지!$B$5:$B$1004,"&gt;="&amp;DATE($B$3,3,1),업무일지!$B$5:$B$1004,"&lt;"&amp;DATE($B$3,3+1,1))&gt;0,1,0))</f>
        <v/>
      </c>
      <c r="AQ108">
        <f>IF($O108="",0,IF(COUNTIFS(업무일지!$F$5:$F$1004,$O108,업무일지!$B$5:$B$1004,"&gt;="&amp;DATE($B$3,4,1),업무일지!$B$5:$B$1004,"&lt;"&amp;DATE($B$3,4+1,1))&gt;0,1,0))</f>
        <v/>
      </c>
      <c r="AR108">
        <f>IF($O108="",0,IF(COUNTIFS(업무일지!$F$5:$F$1004,$O108,업무일지!$B$5:$B$1004,"&gt;="&amp;DATE($B$3,5,1),업무일지!$B$5:$B$1004,"&lt;"&amp;DATE($B$3,5+1,1))&gt;0,1,0))</f>
        <v/>
      </c>
      <c r="AS108">
        <f>IF($O108="",0,IF(COUNTIFS(업무일지!$F$5:$F$1004,$O108,업무일지!$B$5:$B$1004,"&gt;="&amp;DATE($B$3,6,1),업무일지!$B$5:$B$1004,"&lt;"&amp;DATE($B$3,6+1,1))&gt;0,1,0))</f>
        <v/>
      </c>
      <c r="AT108">
        <f>IF($O108="",0,IF(COUNTIFS(업무일지!$F$5:$F$1004,$O108,업무일지!$B$5:$B$1004,"&gt;="&amp;DATE($B$3,7,1),업무일지!$B$5:$B$1004,"&lt;"&amp;DATE($B$3,7+1,1))&gt;0,1,0))</f>
        <v/>
      </c>
      <c r="AU108">
        <f>IF($O108="",0,IF(COUNTIFS(업무일지!$F$5:$F$1004,$O108,업무일지!$B$5:$B$1004,"&gt;="&amp;DATE($B$3,8,1),업무일지!$B$5:$B$1004,"&lt;"&amp;DATE($B$3,8+1,1))&gt;0,1,0))</f>
        <v/>
      </c>
      <c r="AV108">
        <f>IF($O108="",0,IF(COUNTIFS(업무일지!$F$5:$F$1004,$O108,업무일지!$B$5:$B$1004,"&gt;="&amp;DATE($B$3,9,1),업무일지!$B$5:$B$1004,"&lt;"&amp;DATE($B$3,9+1,1))&gt;0,1,0))</f>
        <v/>
      </c>
      <c r="AW108">
        <f>IF($O108="",0,IF(COUNTIFS(업무일지!$F$5:$F$1004,$O108,업무일지!$B$5:$B$1004,"&gt;="&amp;DATE($B$3,10,1),업무일지!$B$5:$B$1004,"&lt;"&amp;DATE($B$3,10+1,1))&gt;0,1,0))</f>
        <v/>
      </c>
      <c r="AX108">
        <f>IF($O108="",0,IF(COUNTIFS(업무일지!$F$5:$F$1004,$O108,업무일지!$B$5:$B$1004,"&gt;="&amp;DATE($B$3,11,1),업무일지!$B$5:$B$1004,"&lt;"&amp;DATE($B$3,11+1,1))&gt;0,1,0))</f>
        <v/>
      </c>
      <c r="AY108">
        <f>IF($O108="",0,IF(COUNTIFS(업무일지!$F$5:$F$1004,$O108,업무일지!$B$5:$B$1004,"&gt;="&amp;DATE($B$3,12,1),업무일지!$B$5:$B$1004,"&lt;"&amp;DATE($B$3,12+1,1))&gt;0,1,0))</f>
        <v/>
      </c>
      <c r="AZ108">
        <f>IF($O108="",0,IF(COUNTIFS(업무일지!$F$5:$F$1004,$O108,업무일지!$B$5:$B$1004,"&gt;="&amp;DATE($B$3,1,1),업무일지!$B$5:$B$1004,"&lt;"&amp;DATE($B$3+1,1,1),업무일지!$D$5:$D$1004,"출장")&gt;0,1,0))</f>
        <v/>
      </c>
      <c r="BA108">
        <f>IF($O108="",0,IF(COUNTIFS(업무일지!$F$5:$F$1004,$O108,업무일지!$B$5:$B$1004,"&gt;="&amp;DATE($B$3,1,1),업무일지!$B$5:$B$1004,"&lt;"&amp;DATE($B$3+1,1,1),업무일지!$D$5:$D$1004,"분석")&gt;0,1,0))</f>
        <v/>
      </c>
      <c r="BB108">
        <f>IF($O108="",0,IF(COUNTIFS(업무일지!$F$5:$F$1004,$O108,업무일지!$B$5:$B$1004,"&gt;="&amp;DATE($B$3,1,1),업무일지!$B$5:$B$1004,"&lt;"&amp;DATE($B$3+1,1,1))&gt;0,1,0))</f>
        <v/>
      </c>
      <c r="BD108">
        <f>IF($O108="",0,IF(COUNTIFS(업무일지!$F$5:$F$1004,$O108,업무일지!$B$5:$B$1004,"&gt;="&amp;DATE($B$3,1,1),업무일지!$B$5:$B$1004,"&lt;"&amp;DATE($B$3+1,1,1),업무일지!$AB$5:$AB$1004,$A$44,업무일지!$D$5:$D$1004,"출장")&gt;0,1,0))</f>
        <v/>
      </c>
      <c r="BE108">
        <f>IF($O108="",0,IF(COUNTIFS(업무일지!$F$5:$F$1004,$O108,업무일지!$B$5:$B$1004,"&gt;="&amp;DATE($B$3,1,1),업무일지!$B$5:$B$1004,"&lt;"&amp;DATE($B$3+1,1,1),업무일지!$AB$5:$AB$1004,$A$45,업무일지!$D$5:$D$1004,"출장")&gt;0,1,0))</f>
        <v/>
      </c>
      <c r="BF108">
        <f>IF($O108="",0,IF(COUNTIFS(업무일지!$F$5:$F$1004,$O108,업무일지!$B$5:$B$1004,"&gt;="&amp;DATE($B$3,1,1),업무일지!$B$5:$B$1004,"&lt;"&amp;DATE($B$3+1,1,1),업무일지!$AB$5:$AB$1004,$A$46,업무일지!$D$5:$D$1004,"출장")&gt;0,1,0))</f>
        <v/>
      </c>
      <c r="BG108">
        <f>IF($O108="",0,IF(COUNTIFS(업무일지!$F$5:$F$1004,$O108,업무일지!$B$5:$B$1004,"&gt;="&amp;DATE($B$3,1,1),업무일지!$B$5:$B$1004,"&lt;"&amp;DATE($B$3+1,1,1),업무일지!$AB$5:$AB$1004,$A$47,업무일지!$D$5:$D$1004,"출장")&gt;0,1,0))</f>
        <v/>
      </c>
      <c r="BH108">
        <f>IF($O108="",0,IF(COUNTIFS(업무일지!$F$5:$F$1004,$O108,업무일지!$B$5:$B$1004,"&gt;="&amp;DATE($B$3,1,1),업무일지!$B$5:$B$1004,"&lt;"&amp;DATE($B$3+1,1,1),업무일지!$AB$5:$AB$1004,$A$48,업무일지!$D$5:$D$1004,"출장")&gt;0,1,0))</f>
        <v/>
      </c>
      <c r="BI108">
        <f>IF($O108="",0,IF(COUNTIFS(업무일지!$F$5:$F$1004,$O108,업무일지!$B$5:$B$1004,"&gt;="&amp;DATE($B$3,1,1),업무일지!$B$5:$B$1004,"&lt;"&amp;DATE($B$3+1,1,1),업무일지!$AB$5:$AB$1004,$A$49,업무일지!$D$5:$D$1004,"출장")&gt;0,1,0))</f>
        <v/>
      </c>
      <c r="BJ108">
        <f>IF($O108="",0,IF(COUNTIFS(업무일지!$F$5:$F$1004,$O108,업무일지!$B$5:$B$1004,"&gt;="&amp;DATE($B$3,1,1),업무일지!$B$5:$B$1004,"&lt;"&amp;DATE($B$3+1,1,1),업무일지!$AB$5:$AB$1004,$A$50,업무일지!$D$5:$D$1004,"출장")&gt;0,1,0))</f>
        <v/>
      </c>
      <c r="BK108">
        <f>IF($O108="",0,IF(COUNTIFS(업무일지!$F$5:$F$1004,$O108,업무일지!$B$5:$B$1004,"&gt;="&amp;DATE($B$3,1,1),업무일지!$B$5:$B$1004,"&lt;"&amp;DATE($B$3+1,1,1),업무일지!$AB$5:$AB$1004,$A$51,업무일지!$D$5:$D$1004,"출장")&gt;0,1,0))</f>
        <v/>
      </c>
      <c r="BL108">
        <f>IF($O108="",0,IF(COUNTIFS(업무일지!$F$5:$F$1004,$O108,업무일지!$B$5:$B$1004,"&gt;="&amp;DATE($B$3,1,1),업무일지!$B$5:$B$1004,"&lt;"&amp;DATE($B$3+1,1,1),업무일지!$AB$5:$AB$1004,$A$52,업무일지!$D$5:$D$1004,"출장")&gt;0,1,0))</f>
        <v/>
      </c>
      <c r="BM108">
        <f>IF($O108="",0,IF(COUNTIFS(업무일지!$F$5:$F$1004,$O108,업무일지!$B$5:$B$1004,"&gt;="&amp;DATE($B$3,1,1),업무일지!$B$5:$B$1004,"&lt;"&amp;DATE($B$3+1,1,1),업무일지!$AB$5:$AB$1004,$A$53,업무일지!$D$5:$D$1004,"출장")&gt;0,1,0))</f>
        <v/>
      </c>
      <c r="BO108">
        <f>IF($O108="",0,IF(COUNTIFS(업무일지!$F$5:$F$1004,$O108,업무일지!$B$5:$B$1004,"&gt;="&amp;DATE($B$3,1,1),업무일지!$B$5:$B$1004,"&lt;"&amp;DATE($B$3+1,1,1),업무일지!$AB$5:$AB$1004,$A$44,업무일지!$D$5:$D$1004,"분석")&gt;0,1,0))</f>
        <v/>
      </c>
      <c r="BP108">
        <f>IF($O108="",0,IF(COUNTIFS(업무일지!$F$5:$F$1004,$O108,업무일지!$B$5:$B$1004,"&gt;="&amp;DATE($B$3,1,1),업무일지!$B$5:$B$1004,"&lt;"&amp;DATE($B$3+1,1,1),업무일지!$AB$5:$AB$1004,$A$45,업무일지!$D$5:$D$1004,"분석")&gt;0,1,0))</f>
        <v/>
      </c>
      <c r="BQ108">
        <f>IF($O108="",0,IF(COUNTIFS(업무일지!$F$5:$F$1004,$O108,업무일지!$B$5:$B$1004,"&gt;="&amp;DATE($B$3,1,1),업무일지!$B$5:$B$1004,"&lt;"&amp;DATE($B$3+1,1,1),업무일지!$AB$5:$AB$1004,$A$46,업무일지!$D$5:$D$1004,"분석")&gt;0,1,0))</f>
        <v/>
      </c>
      <c r="BR108">
        <f>IF($O108="",0,IF(COUNTIFS(업무일지!$F$5:$F$1004,$O108,업무일지!$B$5:$B$1004,"&gt;="&amp;DATE($B$3,1,1),업무일지!$B$5:$B$1004,"&lt;"&amp;DATE($B$3+1,1,1),업무일지!$AB$5:$AB$1004,$A$47,업무일지!$D$5:$D$1004,"분석")&gt;0,1,0))</f>
        <v/>
      </c>
      <c r="BS108">
        <f>IF($O108="",0,IF(COUNTIFS(업무일지!$F$5:$F$1004,$O108,업무일지!$B$5:$B$1004,"&gt;="&amp;DATE($B$3,1,1),업무일지!$B$5:$B$1004,"&lt;"&amp;DATE($B$3+1,1,1),업무일지!$AB$5:$AB$1004,$A$48,업무일지!$D$5:$D$1004,"분석")&gt;0,1,0))</f>
        <v/>
      </c>
      <c r="BT108">
        <f>IF($O108="",0,IF(COUNTIFS(업무일지!$F$5:$F$1004,$O108,업무일지!$B$5:$B$1004,"&gt;="&amp;DATE($B$3,1,1),업무일지!$B$5:$B$1004,"&lt;"&amp;DATE($B$3+1,1,1),업무일지!$AB$5:$AB$1004,$A$49,업무일지!$D$5:$D$1004,"분석")&gt;0,1,0))</f>
        <v/>
      </c>
      <c r="BU108">
        <f>IF($O108="",0,IF(COUNTIFS(업무일지!$F$5:$F$1004,$O108,업무일지!$B$5:$B$1004,"&gt;="&amp;DATE($B$3,1,1),업무일지!$B$5:$B$1004,"&lt;"&amp;DATE($B$3+1,1,1),업무일지!$AB$5:$AB$1004,$A$50,업무일지!$D$5:$D$1004,"분석")&gt;0,1,0))</f>
        <v/>
      </c>
      <c r="BV108">
        <f>IF($O108="",0,IF(COUNTIFS(업무일지!$F$5:$F$1004,$O108,업무일지!$B$5:$B$1004,"&gt;="&amp;DATE($B$3,1,1),업무일지!$B$5:$B$1004,"&lt;"&amp;DATE($B$3+1,1,1),업무일지!$AB$5:$AB$1004,$A$51,업무일지!$D$5:$D$1004,"분석")&gt;0,1,0))</f>
        <v/>
      </c>
      <c r="BW108">
        <f>IF($O108="",0,IF(COUNTIFS(업무일지!$F$5:$F$1004,$O108,업무일지!$B$5:$B$1004,"&gt;="&amp;DATE($B$3,1,1),업무일지!$B$5:$B$1004,"&lt;"&amp;DATE($B$3+1,1,1),업무일지!$AB$5:$AB$1004,$A$52,업무일지!$D$5:$D$1004,"분석")&gt;0,1,0))</f>
        <v/>
      </c>
      <c r="BX108">
        <f>IF($O108="",0,IF(COUNTIFS(업무일지!$F$5:$F$1004,$O108,업무일지!$B$5:$B$1004,"&gt;="&amp;DATE($B$3,1,1),업무일지!$B$5:$B$1004,"&lt;"&amp;DATE($B$3+1,1,1),업무일지!$AB$5:$AB$1004,$A$53,업무일지!$D$5:$D$1004,"분석")&gt;0,1,0))</f>
        <v/>
      </c>
      <c r="BZ108">
        <f>IF($O108="",0,IF(COUNTIFS(업무일지!$F$5:$F$1004,$O108,업무일지!$B$5:$B$1004,"&gt;="&amp;DATE($B$3,1,1),업무일지!$B$5:$B$1004,"&lt;"&amp;DATE($B$3+1,1,1),업무일지!$AB$5:$AB$1004,$A$44)&gt;0,1,0))</f>
        <v/>
      </c>
      <c r="CA108">
        <f>IF($O108="",0,IF(COUNTIFS(업무일지!$F$5:$F$1004,$O108,업무일지!$B$5:$B$1004,"&gt;="&amp;DATE($B$3,1,1),업무일지!$B$5:$B$1004,"&lt;"&amp;DATE($B$3+1,1,1),업무일지!$AB$5:$AB$1004,$A$45)&gt;0,1,0))</f>
        <v/>
      </c>
      <c r="CB108">
        <f>IF($O108="",0,IF(COUNTIFS(업무일지!$F$5:$F$1004,$O108,업무일지!$B$5:$B$1004,"&gt;="&amp;DATE($B$3,1,1),업무일지!$B$5:$B$1004,"&lt;"&amp;DATE($B$3+1,1,1),업무일지!$AB$5:$AB$1004,$A$46)&gt;0,1,0))</f>
        <v/>
      </c>
      <c r="CC108">
        <f>IF($O108="",0,IF(COUNTIFS(업무일지!$F$5:$F$1004,$O108,업무일지!$B$5:$B$1004,"&gt;="&amp;DATE($B$3,1,1),업무일지!$B$5:$B$1004,"&lt;"&amp;DATE($B$3+1,1,1),업무일지!$AB$5:$AB$1004,$A$47)&gt;0,1,0))</f>
        <v/>
      </c>
      <c r="CD108">
        <f>IF($O108="",0,IF(COUNTIFS(업무일지!$F$5:$F$1004,$O108,업무일지!$B$5:$B$1004,"&gt;="&amp;DATE($B$3,1,1),업무일지!$B$5:$B$1004,"&lt;"&amp;DATE($B$3+1,1,1),업무일지!$AB$5:$AB$1004,$A$48)&gt;0,1,0))</f>
        <v/>
      </c>
      <c r="CE108">
        <f>IF($O108="",0,IF(COUNTIFS(업무일지!$F$5:$F$1004,$O108,업무일지!$B$5:$B$1004,"&gt;="&amp;DATE($B$3,1,1),업무일지!$B$5:$B$1004,"&lt;"&amp;DATE($B$3+1,1,1),업무일지!$AB$5:$AB$1004,$A$49)&gt;0,1,0))</f>
        <v/>
      </c>
      <c r="CF108">
        <f>IF($O108="",0,IF(COUNTIFS(업무일지!$F$5:$F$1004,$O108,업무일지!$B$5:$B$1004,"&gt;="&amp;DATE($B$3,1,1),업무일지!$B$5:$B$1004,"&lt;"&amp;DATE($B$3+1,1,1),업무일지!$AB$5:$AB$1004,$A$50)&gt;0,1,0))</f>
        <v/>
      </c>
      <c r="CG108">
        <f>IF($O108="",0,IF(COUNTIFS(업무일지!$F$5:$F$1004,$O108,업무일지!$B$5:$B$1004,"&gt;="&amp;DATE($B$3,1,1),업무일지!$B$5:$B$1004,"&lt;"&amp;DATE($B$3+1,1,1),업무일지!$AB$5:$AB$1004,$A$51)&gt;0,1,0))</f>
        <v/>
      </c>
      <c r="CH108">
        <f>IF($O108="",0,IF(COUNTIFS(업무일지!$F$5:$F$1004,$O108,업무일지!$B$5:$B$1004,"&gt;="&amp;DATE($B$3,1,1),업무일지!$B$5:$B$1004,"&lt;"&amp;DATE($B$3+1,1,1),업무일지!$AB$5:$AB$1004,$A$52)&gt;0,1,0))</f>
        <v/>
      </c>
      <c r="CI108">
        <f>IF($O108="",0,IF(COUNTIFS(업무일지!$F$5:$F$1004,$O108,업무일지!$B$5:$B$1004,"&gt;="&amp;DATE($B$3,1,1),업무일지!$B$5:$B$1004,"&lt;"&amp;DATE($B$3+1,1,1),업무일지!$AB$5:$AB$1004,$A$53)&gt;0,1,0))</f>
        <v/>
      </c>
    </row>
    <row r="109">
      <c r="O109">
        <f>IF(사건마스터!$A29="","",사건마스터!$A29)</f>
        <v/>
      </c>
      <c r="P109">
        <f>IF($O109="",0,IF(COUNTIFS(업무일지!$F$5:$F$1004,$O109,업무일지!$B$5:$B$1004,"&gt;="&amp;DATE($B$3,1,1),업무일지!$B$5:$B$1004,"&lt;"&amp;DATE($B$3,1+1,1),업무일지!$D$5:$D$1004,"출장")&gt;0,1,0))</f>
        <v/>
      </c>
      <c r="Q109">
        <f>IF($O109="",0,IF(COUNTIFS(업무일지!$F$5:$F$1004,$O109,업무일지!$B$5:$B$1004,"&gt;="&amp;DATE($B$3,2,1),업무일지!$B$5:$B$1004,"&lt;"&amp;DATE($B$3,2+1,1),업무일지!$D$5:$D$1004,"출장")&gt;0,1,0))</f>
        <v/>
      </c>
      <c r="R109">
        <f>IF($O109="",0,IF(COUNTIFS(업무일지!$F$5:$F$1004,$O109,업무일지!$B$5:$B$1004,"&gt;="&amp;DATE($B$3,3,1),업무일지!$B$5:$B$1004,"&lt;"&amp;DATE($B$3,3+1,1),업무일지!$D$5:$D$1004,"출장")&gt;0,1,0))</f>
        <v/>
      </c>
      <c r="S109">
        <f>IF($O109="",0,IF(COUNTIFS(업무일지!$F$5:$F$1004,$O109,업무일지!$B$5:$B$1004,"&gt;="&amp;DATE($B$3,4,1),업무일지!$B$5:$B$1004,"&lt;"&amp;DATE($B$3,4+1,1),업무일지!$D$5:$D$1004,"출장")&gt;0,1,0))</f>
        <v/>
      </c>
      <c r="T109">
        <f>IF($O109="",0,IF(COUNTIFS(업무일지!$F$5:$F$1004,$O109,업무일지!$B$5:$B$1004,"&gt;="&amp;DATE($B$3,5,1),업무일지!$B$5:$B$1004,"&lt;"&amp;DATE($B$3,5+1,1),업무일지!$D$5:$D$1004,"출장")&gt;0,1,0))</f>
        <v/>
      </c>
      <c r="U109">
        <f>IF($O109="",0,IF(COUNTIFS(업무일지!$F$5:$F$1004,$O109,업무일지!$B$5:$B$1004,"&gt;="&amp;DATE($B$3,6,1),업무일지!$B$5:$B$1004,"&lt;"&amp;DATE($B$3,6+1,1),업무일지!$D$5:$D$1004,"출장")&gt;0,1,0))</f>
        <v/>
      </c>
      <c r="V109">
        <f>IF($O109="",0,IF(COUNTIFS(업무일지!$F$5:$F$1004,$O109,업무일지!$B$5:$B$1004,"&gt;="&amp;DATE($B$3,7,1),업무일지!$B$5:$B$1004,"&lt;"&amp;DATE($B$3,7+1,1),업무일지!$D$5:$D$1004,"출장")&gt;0,1,0))</f>
        <v/>
      </c>
      <c r="W109">
        <f>IF($O109="",0,IF(COUNTIFS(업무일지!$F$5:$F$1004,$O109,업무일지!$B$5:$B$1004,"&gt;="&amp;DATE($B$3,8,1),업무일지!$B$5:$B$1004,"&lt;"&amp;DATE($B$3,8+1,1),업무일지!$D$5:$D$1004,"출장")&gt;0,1,0))</f>
        <v/>
      </c>
      <c r="X109">
        <f>IF($O109="",0,IF(COUNTIFS(업무일지!$F$5:$F$1004,$O109,업무일지!$B$5:$B$1004,"&gt;="&amp;DATE($B$3,9,1),업무일지!$B$5:$B$1004,"&lt;"&amp;DATE($B$3,9+1,1),업무일지!$D$5:$D$1004,"출장")&gt;0,1,0))</f>
        <v/>
      </c>
      <c r="Y109">
        <f>IF($O109="",0,IF(COUNTIFS(업무일지!$F$5:$F$1004,$O109,업무일지!$B$5:$B$1004,"&gt;="&amp;DATE($B$3,10,1),업무일지!$B$5:$B$1004,"&lt;"&amp;DATE($B$3,10+1,1),업무일지!$D$5:$D$1004,"출장")&gt;0,1,0))</f>
        <v/>
      </c>
      <c r="Z109">
        <f>IF($O109="",0,IF(COUNTIFS(업무일지!$F$5:$F$1004,$O109,업무일지!$B$5:$B$1004,"&gt;="&amp;DATE($B$3,11,1),업무일지!$B$5:$B$1004,"&lt;"&amp;DATE($B$3,11+1,1),업무일지!$D$5:$D$1004,"출장")&gt;0,1,0))</f>
        <v/>
      </c>
      <c r="AA109">
        <f>IF($O109="",0,IF(COUNTIFS(업무일지!$F$5:$F$1004,$O109,업무일지!$B$5:$B$1004,"&gt;="&amp;DATE($B$3,12,1),업무일지!$B$5:$B$1004,"&lt;"&amp;DATE($B$3,12+1,1),업무일지!$D$5:$D$1004,"출장")&gt;0,1,0))</f>
        <v/>
      </c>
      <c r="AB109">
        <f>IF($O109="",0,IF(COUNTIFS(업무일지!$F$5:$F$1004,$O109,업무일지!$B$5:$B$1004,"&gt;="&amp;DATE($B$3,1,1),업무일지!$B$5:$B$1004,"&lt;"&amp;DATE($B$3,1+1,1),업무일지!$D$5:$D$1004,"분석")&gt;0,1,0))</f>
        <v/>
      </c>
      <c r="AC109">
        <f>IF($O109="",0,IF(COUNTIFS(업무일지!$F$5:$F$1004,$O109,업무일지!$B$5:$B$1004,"&gt;="&amp;DATE($B$3,2,1),업무일지!$B$5:$B$1004,"&lt;"&amp;DATE($B$3,2+1,1),업무일지!$D$5:$D$1004,"분석")&gt;0,1,0))</f>
        <v/>
      </c>
      <c r="AD109">
        <f>IF($O109="",0,IF(COUNTIFS(업무일지!$F$5:$F$1004,$O109,업무일지!$B$5:$B$1004,"&gt;="&amp;DATE($B$3,3,1),업무일지!$B$5:$B$1004,"&lt;"&amp;DATE($B$3,3+1,1),업무일지!$D$5:$D$1004,"분석")&gt;0,1,0))</f>
        <v/>
      </c>
      <c r="AE109">
        <f>IF($O109="",0,IF(COUNTIFS(업무일지!$F$5:$F$1004,$O109,업무일지!$B$5:$B$1004,"&gt;="&amp;DATE($B$3,4,1),업무일지!$B$5:$B$1004,"&lt;"&amp;DATE($B$3,4+1,1),업무일지!$D$5:$D$1004,"분석")&gt;0,1,0))</f>
        <v/>
      </c>
      <c r="AF109">
        <f>IF($O109="",0,IF(COUNTIFS(업무일지!$F$5:$F$1004,$O109,업무일지!$B$5:$B$1004,"&gt;="&amp;DATE($B$3,5,1),업무일지!$B$5:$B$1004,"&lt;"&amp;DATE($B$3,5+1,1),업무일지!$D$5:$D$1004,"분석")&gt;0,1,0))</f>
        <v/>
      </c>
      <c r="AG109">
        <f>IF($O109="",0,IF(COUNTIFS(업무일지!$F$5:$F$1004,$O109,업무일지!$B$5:$B$1004,"&gt;="&amp;DATE($B$3,6,1),업무일지!$B$5:$B$1004,"&lt;"&amp;DATE($B$3,6+1,1),업무일지!$D$5:$D$1004,"분석")&gt;0,1,0))</f>
        <v/>
      </c>
      <c r="AH109">
        <f>IF($O109="",0,IF(COUNTIFS(업무일지!$F$5:$F$1004,$O109,업무일지!$B$5:$B$1004,"&gt;="&amp;DATE($B$3,7,1),업무일지!$B$5:$B$1004,"&lt;"&amp;DATE($B$3,7+1,1),업무일지!$D$5:$D$1004,"분석")&gt;0,1,0))</f>
        <v/>
      </c>
      <c r="AI109">
        <f>IF($O109="",0,IF(COUNTIFS(업무일지!$F$5:$F$1004,$O109,업무일지!$B$5:$B$1004,"&gt;="&amp;DATE($B$3,8,1),업무일지!$B$5:$B$1004,"&lt;"&amp;DATE($B$3,8+1,1),업무일지!$D$5:$D$1004,"분석")&gt;0,1,0))</f>
        <v/>
      </c>
      <c r="AJ109">
        <f>IF($O109="",0,IF(COUNTIFS(업무일지!$F$5:$F$1004,$O109,업무일지!$B$5:$B$1004,"&gt;="&amp;DATE($B$3,9,1),업무일지!$B$5:$B$1004,"&lt;"&amp;DATE($B$3,9+1,1),업무일지!$D$5:$D$1004,"분석")&gt;0,1,0))</f>
        <v/>
      </c>
      <c r="AK109">
        <f>IF($O109="",0,IF(COUNTIFS(업무일지!$F$5:$F$1004,$O109,업무일지!$B$5:$B$1004,"&gt;="&amp;DATE($B$3,10,1),업무일지!$B$5:$B$1004,"&lt;"&amp;DATE($B$3,10+1,1),업무일지!$D$5:$D$1004,"분석")&gt;0,1,0))</f>
        <v/>
      </c>
      <c r="AL109">
        <f>IF($O109="",0,IF(COUNTIFS(업무일지!$F$5:$F$1004,$O109,업무일지!$B$5:$B$1004,"&gt;="&amp;DATE($B$3,11,1),업무일지!$B$5:$B$1004,"&lt;"&amp;DATE($B$3,11+1,1),업무일지!$D$5:$D$1004,"분석")&gt;0,1,0))</f>
        <v/>
      </c>
      <c r="AM109">
        <f>IF($O109="",0,IF(COUNTIFS(업무일지!$F$5:$F$1004,$O109,업무일지!$B$5:$B$1004,"&gt;="&amp;DATE($B$3,12,1),업무일지!$B$5:$B$1004,"&lt;"&amp;DATE($B$3,12+1,1),업무일지!$D$5:$D$1004,"분석")&gt;0,1,0))</f>
        <v/>
      </c>
      <c r="AN109">
        <f>IF($O109="",0,IF(COUNTIFS(업무일지!$F$5:$F$1004,$O109,업무일지!$B$5:$B$1004,"&gt;="&amp;DATE($B$3,1,1),업무일지!$B$5:$B$1004,"&lt;"&amp;DATE($B$3,1+1,1))&gt;0,1,0))</f>
        <v/>
      </c>
      <c r="AO109">
        <f>IF($O109="",0,IF(COUNTIFS(업무일지!$F$5:$F$1004,$O109,업무일지!$B$5:$B$1004,"&gt;="&amp;DATE($B$3,2,1),업무일지!$B$5:$B$1004,"&lt;"&amp;DATE($B$3,2+1,1))&gt;0,1,0))</f>
        <v/>
      </c>
      <c r="AP109">
        <f>IF($O109="",0,IF(COUNTIFS(업무일지!$F$5:$F$1004,$O109,업무일지!$B$5:$B$1004,"&gt;="&amp;DATE($B$3,3,1),업무일지!$B$5:$B$1004,"&lt;"&amp;DATE($B$3,3+1,1))&gt;0,1,0))</f>
        <v/>
      </c>
      <c r="AQ109">
        <f>IF($O109="",0,IF(COUNTIFS(업무일지!$F$5:$F$1004,$O109,업무일지!$B$5:$B$1004,"&gt;="&amp;DATE($B$3,4,1),업무일지!$B$5:$B$1004,"&lt;"&amp;DATE($B$3,4+1,1))&gt;0,1,0))</f>
        <v/>
      </c>
      <c r="AR109">
        <f>IF($O109="",0,IF(COUNTIFS(업무일지!$F$5:$F$1004,$O109,업무일지!$B$5:$B$1004,"&gt;="&amp;DATE($B$3,5,1),업무일지!$B$5:$B$1004,"&lt;"&amp;DATE($B$3,5+1,1))&gt;0,1,0))</f>
        <v/>
      </c>
      <c r="AS109">
        <f>IF($O109="",0,IF(COUNTIFS(업무일지!$F$5:$F$1004,$O109,업무일지!$B$5:$B$1004,"&gt;="&amp;DATE($B$3,6,1),업무일지!$B$5:$B$1004,"&lt;"&amp;DATE($B$3,6+1,1))&gt;0,1,0))</f>
        <v/>
      </c>
      <c r="AT109">
        <f>IF($O109="",0,IF(COUNTIFS(업무일지!$F$5:$F$1004,$O109,업무일지!$B$5:$B$1004,"&gt;="&amp;DATE($B$3,7,1),업무일지!$B$5:$B$1004,"&lt;"&amp;DATE($B$3,7+1,1))&gt;0,1,0))</f>
        <v/>
      </c>
      <c r="AU109">
        <f>IF($O109="",0,IF(COUNTIFS(업무일지!$F$5:$F$1004,$O109,업무일지!$B$5:$B$1004,"&gt;="&amp;DATE($B$3,8,1),업무일지!$B$5:$B$1004,"&lt;"&amp;DATE($B$3,8+1,1))&gt;0,1,0))</f>
        <v/>
      </c>
      <c r="AV109">
        <f>IF($O109="",0,IF(COUNTIFS(업무일지!$F$5:$F$1004,$O109,업무일지!$B$5:$B$1004,"&gt;="&amp;DATE($B$3,9,1),업무일지!$B$5:$B$1004,"&lt;"&amp;DATE($B$3,9+1,1))&gt;0,1,0))</f>
        <v/>
      </c>
      <c r="AW109">
        <f>IF($O109="",0,IF(COUNTIFS(업무일지!$F$5:$F$1004,$O109,업무일지!$B$5:$B$1004,"&gt;="&amp;DATE($B$3,10,1),업무일지!$B$5:$B$1004,"&lt;"&amp;DATE($B$3,10+1,1))&gt;0,1,0))</f>
        <v/>
      </c>
      <c r="AX109">
        <f>IF($O109="",0,IF(COUNTIFS(업무일지!$F$5:$F$1004,$O109,업무일지!$B$5:$B$1004,"&gt;="&amp;DATE($B$3,11,1),업무일지!$B$5:$B$1004,"&lt;"&amp;DATE($B$3,11+1,1))&gt;0,1,0))</f>
        <v/>
      </c>
      <c r="AY109">
        <f>IF($O109="",0,IF(COUNTIFS(업무일지!$F$5:$F$1004,$O109,업무일지!$B$5:$B$1004,"&gt;="&amp;DATE($B$3,12,1),업무일지!$B$5:$B$1004,"&lt;"&amp;DATE($B$3,12+1,1))&gt;0,1,0))</f>
        <v/>
      </c>
      <c r="AZ109">
        <f>IF($O109="",0,IF(COUNTIFS(업무일지!$F$5:$F$1004,$O109,업무일지!$B$5:$B$1004,"&gt;="&amp;DATE($B$3,1,1),업무일지!$B$5:$B$1004,"&lt;"&amp;DATE($B$3+1,1,1),업무일지!$D$5:$D$1004,"출장")&gt;0,1,0))</f>
        <v/>
      </c>
      <c r="BA109">
        <f>IF($O109="",0,IF(COUNTIFS(업무일지!$F$5:$F$1004,$O109,업무일지!$B$5:$B$1004,"&gt;="&amp;DATE($B$3,1,1),업무일지!$B$5:$B$1004,"&lt;"&amp;DATE($B$3+1,1,1),업무일지!$D$5:$D$1004,"분석")&gt;0,1,0))</f>
        <v/>
      </c>
      <c r="BB109">
        <f>IF($O109="",0,IF(COUNTIFS(업무일지!$F$5:$F$1004,$O109,업무일지!$B$5:$B$1004,"&gt;="&amp;DATE($B$3,1,1),업무일지!$B$5:$B$1004,"&lt;"&amp;DATE($B$3+1,1,1))&gt;0,1,0))</f>
        <v/>
      </c>
      <c r="BD109">
        <f>IF($O109="",0,IF(COUNTIFS(업무일지!$F$5:$F$1004,$O109,업무일지!$B$5:$B$1004,"&gt;="&amp;DATE($B$3,1,1),업무일지!$B$5:$B$1004,"&lt;"&amp;DATE($B$3+1,1,1),업무일지!$AB$5:$AB$1004,$A$44,업무일지!$D$5:$D$1004,"출장")&gt;0,1,0))</f>
        <v/>
      </c>
      <c r="BE109">
        <f>IF($O109="",0,IF(COUNTIFS(업무일지!$F$5:$F$1004,$O109,업무일지!$B$5:$B$1004,"&gt;="&amp;DATE($B$3,1,1),업무일지!$B$5:$B$1004,"&lt;"&amp;DATE($B$3+1,1,1),업무일지!$AB$5:$AB$1004,$A$45,업무일지!$D$5:$D$1004,"출장")&gt;0,1,0))</f>
        <v/>
      </c>
      <c r="BF109">
        <f>IF($O109="",0,IF(COUNTIFS(업무일지!$F$5:$F$1004,$O109,업무일지!$B$5:$B$1004,"&gt;="&amp;DATE($B$3,1,1),업무일지!$B$5:$B$1004,"&lt;"&amp;DATE($B$3+1,1,1),업무일지!$AB$5:$AB$1004,$A$46,업무일지!$D$5:$D$1004,"출장")&gt;0,1,0))</f>
        <v/>
      </c>
      <c r="BG109">
        <f>IF($O109="",0,IF(COUNTIFS(업무일지!$F$5:$F$1004,$O109,업무일지!$B$5:$B$1004,"&gt;="&amp;DATE($B$3,1,1),업무일지!$B$5:$B$1004,"&lt;"&amp;DATE($B$3+1,1,1),업무일지!$AB$5:$AB$1004,$A$47,업무일지!$D$5:$D$1004,"출장")&gt;0,1,0))</f>
        <v/>
      </c>
      <c r="BH109">
        <f>IF($O109="",0,IF(COUNTIFS(업무일지!$F$5:$F$1004,$O109,업무일지!$B$5:$B$1004,"&gt;="&amp;DATE($B$3,1,1),업무일지!$B$5:$B$1004,"&lt;"&amp;DATE($B$3+1,1,1),업무일지!$AB$5:$AB$1004,$A$48,업무일지!$D$5:$D$1004,"출장")&gt;0,1,0))</f>
        <v/>
      </c>
      <c r="BI109">
        <f>IF($O109="",0,IF(COUNTIFS(업무일지!$F$5:$F$1004,$O109,업무일지!$B$5:$B$1004,"&gt;="&amp;DATE($B$3,1,1),업무일지!$B$5:$B$1004,"&lt;"&amp;DATE($B$3+1,1,1),업무일지!$AB$5:$AB$1004,$A$49,업무일지!$D$5:$D$1004,"출장")&gt;0,1,0))</f>
        <v/>
      </c>
      <c r="BJ109">
        <f>IF($O109="",0,IF(COUNTIFS(업무일지!$F$5:$F$1004,$O109,업무일지!$B$5:$B$1004,"&gt;="&amp;DATE($B$3,1,1),업무일지!$B$5:$B$1004,"&lt;"&amp;DATE($B$3+1,1,1),업무일지!$AB$5:$AB$1004,$A$50,업무일지!$D$5:$D$1004,"출장")&gt;0,1,0))</f>
        <v/>
      </c>
      <c r="BK109">
        <f>IF($O109="",0,IF(COUNTIFS(업무일지!$F$5:$F$1004,$O109,업무일지!$B$5:$B$1004,"&gt;="&amp;DATE($B$3,1,1),업무일지!$B$5:$B$1004,"&lt;"&amp;DATE($B$3+1,1,1),업무일지!$AB$5:$AB$1004,$A$51,업무일지!$D$5:$D$1004,"출장")&gt;0,1,0))</f>
        <v/>
      </c>
      <c r="BL109">
        <f>IF($O109="",0,IF(COUNTIFS(업무일지!$F$5:$F$1004,$O109,업무일지!$B$5:$B$1004,"&gt;="&amp;DATE($B$3,1,1),업무일지!$B$5:$B$1004,"&lt;"&amp;DATE($B$3+1,1,1),업무일지!$AB$5:$AB$1004,$A$52,업무일지!$D$5:$D$1004,"출장")&gt;0,1,0))</f>
        <v/>
      </c>
      <c r="BM109">
        <f>IF($O109="",0,IF(COUNTIFS(업무일지!$F$5:$F$1004,$O109,업무일지!$B$5:$B$1004,"&gt;="&amp;DATE($B$3,1,1),업무일지!$B$5:$B$1004,"&lt;"&amp;DATE($B$3+1,1,1),업무일지!$AB$5:$AB$1004,$A$53,업무일지!$D$5:$D$1004,"출장")&gt;0,1,0))</f>
        <v/>
      </c>
      <c r="BO109">
        <f>IF($O109="",0,IF(COUNTIFS(업무일지!$F$5:$F$1004,$O109,업무일지!$B$5:$B$1004,"&gt;="&amp;DATE($B$3,1,1),업무일지!$B$5:$B$1004,"&lt;"&amp;DATE($B$3+1,1,1),업무일지!$AB$5:$AB$1004,$A$44,업무일지!$D$5:$D$1004,"분석")&gt;0,1,0))</f>
        <v/>
      </c>
      <c r="BP109">
        <f>IF($O109="",0,IF(COUNTIFS(업무일지!$F$5:$F$1004,$O109,업무일지!$B$5:$B$1004,"&gt;="&amp;DATE($B$3,1,1),업무일지!$B$5:$B$1004,"&lt;"&amp;DATE($B$3+1,1,1),업무일지!$AB$5:$AB$1004,$A$45,업무일지!$D$5:$D$1004,"분석")&gt;0,1,0))</f>
        <v/>
      </c>
      <c r="BQ109">
        <f>IF($O109="",0,IF(COUNTIFS(업무일지!$F$5:$F$1004,$O109,업무일지!$B$5:$B$1004,"&gt;="&amp;DATE($B$3,1,1),업무일지!$B$5:$B$1004,"&lt;"&amp;DATE($B$3+1,1,1),업무일지!$AB$5:$AB$1004,$A$46,업무일지!$D$5:$D$1004,"분석")&gt;0,1,0))</f>
        <v/>
      </c>
      <c r="BR109">
        <f>IF($O109="",0,IF(COUNTIFS(업무일지!$F$5:$F$1004,$O109,업무일지!$B$5:$B$1004,"&gt;="&amp;DATE($B$3,1,1),업무일지!$B$5:$B$1004,"&lt;"&amp;DATE($B$3+1,1,1),업무일지!$AB$5:$AB$1004,$A$47,업무일지!$D$5:$D$1004,"분석")&gt;0,1,0))</f>
        <v/>
      </c>
      <c r="BS109">
        <f>IF($O109="",0,IF(COUNTIFS(업무일지!$F$5:$F$1004,$O109,업무일지!$B$5:$B$1004,"&gt;="&amp;DATE($B$3,1,1),업무일지!$B$5:$B$1004,"&lt;"&amp;DATE($B$3+1,1,1),업무일지!$AB$5:$AB$1004,$A$48,업무일지!$D$5:$D$1004,"분석")&gt;0,1,0))</f>
        <v/>
      </c>
      <c r="BT109">
        <f>IF($O109="",0,IF(COUNTIFS(업무일지!$F$5:$F$1004,$O109,업무일지!$B$5:$B$1004,"&gt;="&amp;DATE($B$3,1,1),업무일지!$B$5:$B$1004,"&lt;"&amp;DATE($B$3+1,1,1),업무일지!$AB$5:$AB$1004,$A$49,업무일지!$D$5:$D$1004,"분석")&gt;0,1,0))</f>
        <v/>
      </c>
      <c r="BU109">
        <f>IF($O109="",0,IF(COUNTIFS(업무일지!$F$5:$F$1004,$O109,업무일지!$B$5:$B$1004,"&gt;="&amp;DATE($B$3,1,1),업무일지!$B$5:$B$1004,"&lt;"&amp;DATE($B$3+1,1,1),업무일지!$AB$5:$AB$1004,$A$50,업무일지!$D$5:$D$1004,"분석")&gt;0,1,0))</f>
        <v/>
      </c>
      <c r="BV109">
        <f>IF($O109="",0,IF(COUNTIFS(업무일지!$F$5:$F$1004,$O109,업무일지!$B$5:$B$1004,"&gt;="&amp;DATE($B$3,1,1),업무일지!$B$5:$B$1004,"&lt;"&amp;DATE($B$3+1,1,1),업무일지!$AB$5:$AB$1004,$A$51,업무일지!$D$5:$D$1004,"분석")&gt;0,1,0))</f>
        <v/>
      </c>
      <c r="BW109">
        <f>IF($O109="",0,IF(COUNTIFS(업무일지!$F$5:$F$1004,$O109,업무일지!$B$5:$B$1004,"&gt;="&amp;DATE($B$3,1,1),업무일지!$B$5:$B$1004,"&lt;"&amp;DATE($B$3+1,1,1),업무일지!$AB$5:$AB$1004,$A$52,업무일지!$D$5:$D$1004,"분석")&gt;0,1,0))</f>
        <v/>
      </c>
      <c r="BX109">
        <f>IF($O109="",0,IF(COUNTIFS(업무일지!$F$5:$F$1004,$O109,업무일지!$B$5:$B$1004,"&gt;="&amp;DATE($B$3,1,1),업무일지!$B$5:$B$1004,"&lt;"&amp;DATE($B$3+1,1,1),업무일지!$AB$5:$AB$1004,$A$53,업무일지!$D$5:$D$1004,"분석")&gt;0,1,0))</f>
        <v/>
      </c>
      <c r="BZ109">
        <f>IF($O109="",0,IF(COUNTIFS(업무일지!$F$5:$F$1004,$O109,업무일지!$B$5:$B$1004,"&gt;="&amp;DATE($B$3,1,1),업무일지!$B$5:$B$1004,"&lt;"&amp;DATE($B$3+1,1,1),업무일지!$AB$5:$AB$1004,$A$44)&gt;0,1,0))</f>
        <v/>
      </c>
      <c r="CA109">
        <f>IF($O109="",0,IF(COUNTIFS(업무일지!$F$5:$F$1004,$O109,업무일지!$B$5:$B$1004,"&gt;="&amp;DATE($B$3,1,1),업무일지!$B$5:$B$1004,"&lt;"&amp;DATE($B$3+1,1,1),업무일지!$AB$5:$AB$1004,$A$45)&gt;0,1,0))</f>
        <v/>
      </c>
      <c r="CB109">
        <f>IF($O109="",0,IF(COUNTIFS(업무일지!$F$5:$F$1004,$O109,업무일지!$B$5:$B$1004,"&gt;="&amp;DATE($B$3,1,1),업무일지!$B$5:$B$1004,"&lt;"&amp;DATE($B$3+1,1,1),업무일지!$AB$5:$AB$1004,$A$46)&gt;0,1,0))</f>
        <v/>
      </c>
      <c r="CC109">
        <f>IF($O109="",0,IF(COUNTIFS(업무일지!$F$5:$F$1004,$O109,업무일지!$B$5:$B$1004,"&gt;="&amp;DATE($B$3,1,1),업무일지!$B$5:$B$1004,"&lt;"&amp;DATE($B$3+1,1,1),업무일지!$AB$5:$AB$1004,$A$47)&gt;0,1,0))</f>
        <v/>
      </c>
      <c r="CD109">
        <f>IF($O109="",0,IF(COUNTIFS(업무일지!$F$5:$F$1004,$O109,업무일지!$B$5:$B$1004,"&gt;="&amp;DATE($B$3,1,1),업무일지!$B$5:$B$1004,"&lt;"&amp;DATE($B$3+1,1,1),업무일지!$AB$5:$AB$1004,$A$48)&gt;0,1,0))</f>
        <v/>
      </c>
      <c r="CE109">
        <f>IF($O109="",0,IF(COUNTIFS(업무일지!$F$5:$F$1004,$O109,업무일지!$B$5:$B$1004,"&gt;="&amp;DATE($B$3,1,1),업무일지!$B$5:$B$1004,"&lt;"&amp;DATE($B$3+1,1,1),업무일지!$AB$5:$AB$1004,$A$49)&gt;0,1,0))</f>
        <v/>
      </c>
      <c r="CF109">
        <f>IF($O109="",0,IF(COUNTIFS(업무일지!$F$5:$F$1004,$O109,업무일지!$B$5:$B$1004,"&gt;="&amp;DATE($B$3,1,1),업무일지!$B$5:$B$1004,"&lt;"&amp;DATE($B$3+1,1,1),업무일지!$AB$5:$AB$1004,$A$50)&gt;0,1,0))</f>
        <v/>
      </c>
      <c r="CG109">
        <f>IF($O109="",0,IF(COUNTIFS(업무일지!$F$5:$F$1004,$O109,업무일지!$B$5:$B$1004,"&gt;="&amp;DATE($B$3,1,1),업무일지!$B$5:$B$1004,"&lt;"&amp;DATE($B$3+1,1,1),업무일지!$AB$5:$AB$1004,$A$51)&gt;0,1,0))</f>
        <v/>
      </c>
      <c r="CH109">
        <f>IF($O109="",0,IF(COUNTIFS(업무일지!$F$5:$F$1004,$O109,업무일지!$B$5:$B$1004,"&gt;="&amp;DATE($B$3,1,1),업무일지!$B$5:$B$1004,"&lt;"&amp;DATE($B$3+1,1,1),업무일지!$AB$5:$AB$1004,$A$52)&gt;0,1,0))</f>
        <v/>
      </c>
      <c r="CI109">
        <f>IF($O109="",0,IF(COUNTIFS(업무일지!$F$5:$F$1004,$O109,업무일지!$B$5:$B$1004,"&gt;="&amp;DATE($B$3,1,1),업무일지!$B$5:$B$1004,"&lt;"&amp;DATE($B$3+1,1,1),업무일지!$AB$5:$AB$1004,$A$53)&gt;0,1,0))</f>
        <v/>
      </c>
    </row>
    <row r="110">
      <c r="O110">
        <f>IF(사건마스터!$A30="","",사건마스터!$A30)</f>
        <v/>
      </c>
      <c r="P110">
        <f>IF($O110="",0,IF(COUNTIFS(업무일지!$F$5:$F$1004,$O110,업무일지!$B$5:$B$1004,"&gt;="&amp;DATE($B$3,1,1),업무일지!$B$5:$B$1004,"&lt;"&amp;DATE($B$3,1+1,1),업무일지!$D$5:$D$1004,"출장")&gt;0,1,0))</f>
        <v/>
      </c>
      <c r="Q110">
        <f>IF($O110="",0,IF(COUNTIFS(업무일지!$F$5:$F$1004,$O110,업무일지!$B$5:$B$1004,"&gt;="&amp;DATE($B$3,2,1),업무일지!$B$5:$B$1004,"&lt;"&amp;DATE($B$3,2+1,1),업무일지!$D$5:$D$1004,"출장")&gt;0,1,0))</f>
        <v/>
      </c>
      <c r="R110">
        <f>IF($O110="",0,IF(COUNTIFS(업무일지!$F$5:$F$1004,$O110,업무일지!$B$5:$B$1004,"&gt;="&amp;DATE($B$3,3,1),업무일지!$B$5:$B$1004,"&lt;"&amp;DATE($B$3,3+1,1),업무일지!$D$5:$D$1004,"출장")&gt;0,1,0))</f>
        <v/>
      </c>
      <c r="S110">
        <f>IF($O110="",0,IF(COUNTIFS(업무일지!$F$5:$F$1004,$O110,업무일지!$B$5:$B$1004,"&gt;="&amp;DATE($B$3,4,1),업무일지!$B$5:$B$1004,"&lt;"&amp;DATE($B$3,4+1,1),업무일지!$D$5:$D$1004,"출장")&gt;0,1,0))</f>
        <v/>
      </c>
      <c r="T110">
        <f>IF($O110="",0,IF(COUNTIFS(업무일지!$F$5:$F$1004,$O110,업무일지!$B$5:$B$1004,"&gt;="&amp;DATE($B$3,5,1),업무일지!$B$5:$B$1004,"&lt;"&amp;DATE($B$3,5+1,1),업무일지!$D$5:$D$1004,"출장")&gt;0,1,0))</f>
        <v/>
      </c>
      <c r="U110">
        <f>IF($O110="",0,IF(COUNTIFS(업무일지!$F$5:$F$1004,$O110,업무일지!$B$5:$B$1004,"&gt;="&amp;DATE($B$3,6,1),업무일지!$B$5:$B$1004,"&lt;"&amp;DATE($B$3,6+1,1),업무일지!$D$5:$D$1004,"출장")&gt;0,1,0))</f>
        <v/>
      </c>
      <c r="V110">
        <f>IF($O110="",0,IF(COUNTIFS(업무일지!$F$5:$F$1004,$O110,업무일지!$B$5:$B$1004,"&gt;="&amp;DATE($B$3,7,1),업무일지!$B$5:$B$1004,"&lt;"&amp;DATE($B$3,7+1,1),업무일지!$D$5:$D$1004,"출장")&gt;0,1,0))</f>
        <v/>
      </c>
      <c r="W110">
        <f>IF($O110="",0,IF(COUNTIFS(업무일지!$F$5:$F$1004,$O110,업무일지!$B$5:$B$1004,"&gt;="&amp;DATE($B$3,8,1),업무일지!$B$5:$B$1004,"&lt;"&amp;DATE($B$3,8+1,1),업무일지!$D$5:$D$1004,"출장")&gt;0,1,0))</f>
        <v/>
      </c>
      <c r="X110">
        <f>IF($O110="",0,IF(COUNTIFS(업무일지!$F$5:$F$1004,$O110,업무일지!$B$5:$B$1004,"&gt;="&amp;DATE($B$3,9,1),업무일지!$B$5:$B$1004,"&lt;"&amp;DATE($B$3,9+1,1),업무일지!$D$5:$D$1004,"출장")&gt;0,1,0))</f>
        <v/>
      </c>
      <c r="Y110">
        <f>IF($O110="",0,IF(COUNTIFS(업무일지!$F$5:$F$1004,$O110,업무일지!$B$5:$B$1004,"&gt;="&amp;DATE($B$3,10,1),업무일지!$B$5:$B$1004,"&lt;"&amp;DATE($B$3,10+1,1),업무일지!$D$5:$D$1004,"출장")&gt;0,1,0))</f>
        <v/>
      </c>
      <c r="Z110">
        <f>IF($O110="",0,IF(COUNTIFS(업무일지!$F$5:$F$1004,$O110,업무일지!$B$5:$B$1004,"&gt;="&amp;DATE($B$3,11,1),업무일지!$B$5:$B$1004,"&lt;"&amp;DATE($B$3,11+1,1),업무일지!$D$5:$D$1004,"출장")&gt;0,1,0))</f>
        <v/>
      </c>
      <c r="AA110">
        <f>IF($O110="",0,IF(COUNTIFS(업무일지!$F$5:$F$1004,$O110,업무일지!$B$5:$B$1004,"&gt;="&amp;DATE($B$3,12,1),업무일지!$B$5:$B$1004,"&lt;"&amp;DATE($B$3,12+1,1),업무일지!$D$5:$D$1004,"출장")&gt;0,1,0))</f>
        <v/>
      </c>
      <c r="AB110">
        <f>IF($O110="",0,IF(COUNTIFS(업무일지!$F$5:$F$1004,$O110,업무일지!$B$5:$B$1004,"&gt;="&amp;DATE($B$3,1,1),업무일지!$B$5:$B$1004,"&lt;"&amp;DATE($B$3,1+1,1),업무일지!$D$5:$D$1004,"분석")&gt;0,1,0))</f>
        <v/>
      </c>
      <c r="AC110">
        <f>IF($O110="",0,IF(COUNTIFS(업무일지!$F$5:$F$1004,$O110,업무일지!$B$5:$B$1004,"&gt;="&amp;DATE($B$3,2,1),업무일지!$B$5:$B$1004,"&lt;"&amp;DATE($B$3,2+1,1),업무일지!$D$5:$D$1004,"분석")&gt;0,1,0))</f>
        <v/>
      </c>
      <c r="AD110">
        <f>IF($O110="",0,IF(COUNTIFS(업무일지!$F$5:$F$1004,$O110,업무일지!$B$5:$B$1004,"&gt;="&amp;DATE($B$3,3,1),업무일지!$B$5:$B$1004,"&lt;"&amp;DATE($B$3,3+1,1),업무일지!$D$5:$D$1004,"분석")&gt;0,1,0))</f>
        <v/>
      </c>
      <c r="AE110">
        <f>IF($O110="",0,IF(COUNTIFS(업무일지!$F$5:$F$1004,$O110,업무일지!$B$5:$B$1004,"&gt;="&amp;DATE($B$3,4,1),업무일지!$B$5:$B$1004,"&lt;"&amp;DATE($B$3,4+1,1),업무일지!$D$5:$D$1004,"분석")&gt;0,1,0))</f>
        <v/>
      </c>
      <c r="AF110">
        <f>IF($O110="",0,IF(COUNTIFS(업무일지!$F$5:$F$1004,$O110,업무일지!$B$5:$B$1004,"&gt;="&amp;DATE($B$3,5,1),업무일지!$B$5:$B$1004,"&lt;"&amp;DATE($B$3,5+1,1),업무일지!$D$5:$D$1004,"분석")&gt;0,1,0))</f>
        <v/>
      </c>
      <c r="AG110">
        <f>IF($O110="",0,IF(COUNTIFS(업무일지!$F$5:$F$1004,$O110,업무일지!$B$5:$B$1004,"&gt;="&amp;DATE($B$3,6,1),업무일지!$B$5:$B$1004,"&lt;"&amp;DATE($B$3,6+1,1),업무일지!$D$5:$D$1004,"분석")&gt;0,1,0))</f>
        <v/>
      </c>
      <c r="AH110">
        <f>IF($O110="",0,IF(COUNTIFS(업무일지!$F$5:$F$1004,$O110,업무일지!$B$5:$B$1004,"&gt;="&amp;DATE($B$3,7,1),업무일지!$B$5:$B$1004,"&lt;"&amp;DATE($B$3,7+1,1),업무일지!$D$5:$D$1004,"분석")&gt;0,1,0))</f>
        <v/>
      </c>
      <c r="AI110">
        <f>IF($O110="",0,IF(COUNTIFS(업무일지!$F$5:$F$1004,$O110,업무일지!$B$5:$B$1004,"&gt;="&amp;DATE($B$3,8,1),업무일지!$B$5:$B$1004,"&lt;"&amp;DATE($B$3,8+1,1),업무일지!$D$5:$D$1004,"분석")&gt;0,1,0))</f>
        <v/>
      </c>
      <c r="AJ110">
        <f>IF($O110="",0,IF(COUNTIFS(업무일지!$F$5:$F$1004,$O110,업무일지!$B$5:$B$1004,"&gt;="&amp;DATE($B$3,9,1),업무일지!$B$5:$B$1004,"&lt;"&amp;DATE($B$3,9+1,1),업무일지!$D$5:$D$1004,"분석")&gt;0,1,0))</f>
        <v/>
      </c>
      <c r="AK110">
        <f>IF($O110="",0,IF(COUNTIFS(업무일지!$F$5:$F$1004,$O110,업무일지!$B$5:$B$1004,"&gt;="&amp;DATE($B$3,10,1),업무일지!$B$5:$B$1004,"&lt;"&amp;DATE($B$3,10+1,1),업무일지!$D$5:$D$1004,"분석")&gt;0,1,0))</f>
        <v/>
      </c>
      <c r="AL110">
        <f>IF($O110="",0,IF(COUNTIFS(업무일지!$F$5:$F$1004,$O110,업무일지!$B$5:$B$1004,"&gt;="&amp;DATE($B$3,11,1),업무일지!$B$5:$B$1004,"&lt;"&amp;DATE($B$3,11+1,1),업무일지!$D$5:$D$1004,"분석")&gt;0,1,0))</f>
        <v/>
      </c>
      <c r="AM110">
        <f>IF($O110="",0,IF(COUNTIFS(업무일지!$F$5:$F$1004,$O110,업무일지!$B$5:$B$1004,"&gt;="&amp;DATE($B$3,12,1),업무일지!$B$5:$B$1004,"&lt;"&amp;DATE($B$3,12+1,1),업무일지!$D$5:$D$1004,"분석")&gt;0,1,0))</f>
        <v/>
      </c>
      <c r="AN110">
        <f>IF($O110="",0,IF(COUNTIFS(업무일지!$F$5:$F$1004,$O110,업무일지!$B$5:$B$1004,"&gt;="&amp;DATE($B$3,1,1),업무일지!$B$5:$B$1004,"&lt;"&amp;DATE($B$3,1+1,1))&gt;0,1,0))</f>
        <v/>
      </c>
      <c r="AO110">
        <f>IF($O110="",0,IF(COUNTIFS(업무일지!$F$5:$F$1004,$O110,업무일지!$B$5:$B$1004,"&gt;="&amp;DATE($B$3,2,1),업무일지!$B$5:$B$1004,"&lt;"&amp;DATE($B$3,2+1,1))&gt;0,1,0))</f>
        <v/>
      </c>
      <c r="AP110">
        <f>IF($O110="",0,IF(COUNTIFS(업무일지!$F$5:$F$1004,$O110,업무일지!$B$5:$B$1004,"&gt;="&amp;DATE($B$3,3,1),업무일지!$B$5:$B$1004,"&lt;"&amp;DATE($B$3,3+1,1))&gt;0,1,0))</f>
        <v/>
      </c>
      <c r="AQ110">
        <f>IF($O110="",0,IF(COUNTIFS(업무일지!$F$5:$F$1004,$O110,업무일지!$B$5:$B$1004,"&gt;="&amp;DATE($B$3,4,1),업무일지!$B$5:$B$1004,"&lt;"&amp;DATE($B$3,4+1,1))&gt;0,1,0))</f>
        <v/>
      </c>
      <c r="AR110">
        <f>IF($O110="",0,IF(COUNTIFS(업무일지!$F$5:$F$1004,$O110,업무일지!$B$5:$B$1004,"&gt;="&amp;DATE($B$3,5,1),업무일지!$B$5:$B$1004,"&lt;"&amp;DATE($B$3,5+1,1))&gt;0,1,0))</f>
        <v/>
      </c>
      <c r="AS110">
        <f>IF($O110="",0,IF(COUNTIFS(업무일지!$F$5:$F$1004,$O110,업무일지!$B$5:$B$1004,"&gt;="&amp;DATE($B$3,6,1),업무일지!$B$5:$B$1004,"&lt;"&amp;DATE($B$3,6+1,1))&gt;0,1,0))</f>
        <v/>
      </c>
      <c r="AT110">
        <f>IF($O110="",0,IF(COUNTIFS(업무일지!$F$5:$F$1004,$O110,업무일지!$B$5:$B$1004,"&gt;="&amp;DATE($B$3,7,1),업무일지!$B$5:$B$1004,"&lt;"&amp;DATE($B$3,7+1,1))&gt;0,1,0))</f>
        <v/>
      </c>
      <c r="AU110">
        <f>IF($O110="",0,IF(COUNTIFS(업무일지!$F$5:$F$1004,$O110,업무일지!$B$5:$B$1004,"&gt;="&amp;DATE($B$3,8,1),업무일지!$B$5:$B$1004,"&lt;"&amp;DATE($B$3,8+1,1))&gt;0,1,0))</f>
        <v/>
      </c>
      <c r="AV110">
        <f>IF($O110="",0,IF(COUNTIFS(업무일지!$F$5:$F$1004,$O110,업무일지!$B$5:$B$1004,"&gt;="&amp;DATE($B$3,9,1),업무일지!$B$5:$B$1004,"&lt;"&amp;DATE($B$3,9+1,1))&gt;0,1,0))</f>
        <v/>
      </c>
      <c r="AW110">
        <f>IF($O110="",0,IF(COUNTIFS(업무일지!$F$5:$F$1004,$O110,업무일지!$B$5:$B$1004,"&gt;="&amp;DATE($B$3,10,1),업무일지!$B$5:$B$1004,"&lt;"&amp;DATE($B$3,10+1,1))&gt;0,1,0))</f>
        <v/>
      </c>
      <c r="AX110">
        <f>IF($O110="",0,IF(COUNTIFS(업무일지!$F$5:$F$1004,$O110,업무일지!$B$5:$B$1004,"&gt;="&amp;DATE($B$3,11,1),업무일지!$B$5:$B$1004,"&lt;"&amp;DATE($B$3,11+1,1))&gt;0,1,0))</f>
        <v/>
      </c>
      <c r="AY110">
        <f>IF($O110="",0,IF(COUNTIFS(업무일지!$F$5:$F$1004,$O110,업무일지!$B$5:$B$1004,"&gt;="&amp;DATE($B$3,12,1),업무일지!$B$5:$B$1004,"&lt;"&amp;DATE($B$3,12+1,1))&gt;0,1,0))</f>
        <v/>
      </c>
      <c r="AZ110">
        <f>IF($O110="",0,IF(COUNTIFS(업무일지!$F$5:$F$1004,$O110,업무일지!$B$5:$B$1004,"&gt;="&amp;DATE($B$3,1,1),업무일지!$B$5:$B$1004,"&lt;"&amp;DATE($B$3+1,1,1),업무일지!$D$5:$D$1004,"출장")&gt;0,1,0))</f>
        <v/>
      </c>
      <c r="BA110">
        <f>IF($O110="",0,IF(COUNTIFS(업무일지!$F$5:$F$1004,$O110,업무일지!$B$5:$B$1004,"&gt;="&amp;DATE($B$3,1,1),업무일지!$B$5:$B$1004,"&lt;"&amp;DATE($B$3+1,1,1),업무일지!$D$5:$D$1004,"분석")&gt;0,1,0))</f>
        <v/>
      </c>
      <c r="BB110">
        <f>IF($O110="",0,IF(COUNTIFS(업무일지!$F$5:$F$1004,$O110,업무일지!$B$5:$B$1004,"&gt;="&amp;DATE($B$3,1,1),업무일지!$B$5:$B$1004,"&lt;"&amp;DATE($B$3+1,1,1))&gt;0,1,0))</f>
        <v/>
      </c>
      <c r="BD110">
        <f>IF($O110="",0,IF(COUNTIFS(업무일지!$F$5:$F$1004,$O110,업무일지!$B$5:$B$1004,"&gt;="&amp;DATE($B$3,1,1),업무일지!$B$5:$B$1004,"&lt;"&amp;DATE($B$3+1,1,1),업무일지!$AB$5:$AB$1004,$A$44,업무일지!$D$5:$D$1004,"출장")&gt;0,1,0))</f>
        <v/>
      </c>
      <c r="BE110">
        <f>IF($O110="",0,IF(COUNTIFS(업무일지!$F$5:$F$1004,$O110,업무일지!$B$5:$B$1004,"&gt;="&amp;DATE($B$3,1,1),업무일지!$B$5:$B$1004,"&lt;"&amp;DATE($B$3+1,1,1),업무일지!$AB$5:$AB$1004,$A$45,업무일지!$D$5:$D$1004,"출장")&gt;0,1,0))</f>
        <v/>
      </c>
      <c r="BF110">
        <f>IF($O110="",0,IF(COUNTIFS(업무일지!$F$5:$F$1004,$O110,업무일지!$B$5:$B$1004,"&gt;="&amp;DATE($B$3,1,1),업무일지!$B$5:$B$1004,"&lt;"&amp;DATE($B$3+1,1,1),업무일지!$AB$5:$AB$1004,$A$46,업무일지!$D$5:$D$1004,"출장")&gt;0,1,0))</f>
        <v/>
      </c>
      <c r="BG110">
        <f>IF($O110="",0,IF(COUNTIFS(업무일지!$F$5:$F$1004,$O110,업무일지!$B$5:$B$1004,"&gt;="&amp;DATE($B$3,1,1),업무일지!$B$5:$B$1004,"&lt;"&amp;DATE($B$3+1,1,1),업무일지!$AB$5:$AB$1004,$A$47,업무일지!$D$5:$D$1004,"출장")&gt;0,1,0))</f>
        <v/>
      </c>
      <c r="BH110">
        <f>IF($O110="",0,IF(COUNTIFS(업무일지!$F$5:$F$1004,$O110,업무일지!$B$5:$B$1004,"&gt;="&amp;DATE($B$3,1,1),업무일지!$B$5:$B$1004,"&lt;"&amp;DATE($B$3+1,1,1),업무일지!$AB$5:$AB$1004,$A$48,업무일지!$D$5:$D$1004,"출장")&gt;0,1,0))</f>
        <v/>
      </c>
      <c r="BI110">
        <f>IF($O110="",0,IF(COUNTIFS(업무일지!$F$5:$F$1004,$O110,업무일지!$B$5:$B$1004,"&gt;="&amp;DATE($B$3,1,1),업무일지!$B$5:$B$1004,"&lt;"&amp;DATE($B$3+1,1,1),업무일지!$AB$5:$AB$1004,$A$49,업무일지!$D$5:$D$1004,"출장")&gt;0,1,0))</f>
        <v/>
      </c>
      <c r="BJ110">
        <f>IF($O110="",0,IF(COUNTIFS(업무일지!$F$5:$F$1004,$O110,업무일지!$B$5:$B$1004,"&gt;="&amp;DATE($B$3,1,1),업무일지!$B$5:$B$1004,"&lt;"&amp;DATE($B$3+1,1,1),업무일지!$AB$5:$AB$1004,$A$50,업무일지!$D$5:$D$1004,"출장")&gt;0,1,0))</f>
        <v/>
      </c>
      <c r="BK110">
        <f>IF($O110="",0,IF(COUNTIFS(업무일지!$F$5:$F$1004,$O110,업무일지!$B$5:$B$1004,"&gt;="&amp;DATE($B$3,1,1),업무일지!$B$5:$B$1004,"&lt;"&amp;DATE($B$3+1,1,1),업무일지!$AB$5:$AB$1004,$A$51,업무일지!$D$5:$D$1004,"출장")&gt;0,1,0))</f>
        <v/>
      </c>
      <c r="BL110">
        <f>IF($O110="",0,IF(COUNTIFS(업무일지!$F$5:$F$1004,$O110,업무일지!$B$5:$B$1004,"&gt;="&amp;DATE($B$3,1,1),업무일지!$B$5:$B$1004,"&lt;"&amp;DATE($B$3+1,1,1),업무일지!$AB$5:$AB$1004,$A$52,업무일지!$D$5:$D$1004,"출장")&gt;0,1,0))</f>
        <v/>
      </c>
      <c r="BM110">
        <f>IF($O110="",0,IF(COUNTIFS(업무일지!$F$5:$F$1004,$O110,업무일지!$B$5:$B$1004,"&gt;="&amp;DATE($B$3,1,1),업무일지!$B$5:$B$1004,"&lt;"&amp;DATE($B$3+1,1,1),업무일지!$AB$5:$AB$1004,$A$53,업무일지!$D$5:$D$1004,"출장")&gt;0,1,0))</f>
        <v/>
      </c>
      <c r="BO110">
        <f>IF($O110="",0,IF(COUNTIFS(업무일지!$F$5:$F$1004,$O110,업무일지!$B$5:$B$1004,"&gt;="&amp;DATE($B$3,1,1),업무일지!$B$5:$B$1004,"&lt;"&amp;DATE($B$3+1,1,1),업무일지!$AB$5:$AB$1004,$A$44,업무일지!$D$5:$D$1004,"분석")&gt;0,1,0))</f>
        <v/>
      </c>
      <c r="BP110">
        <f>IF($O110="",0,IF(COUNTIFS(업무일지!$F$5:$F$1004,$O110,업무일지!$B$5:$B$1004,"&gt;="&amp;DATE($B$3,1,1),업무일지!$B$5:$B$1004,"&lt;"&amp;DATE($B$3+1,1,1),업무일지!$AB$5:$AB$1004,$A$45,업무일지!$D$5:$D$1004,"분석")&gt;0,1,0))</f>
        <v/>
      </c>
      <c r="BQ110">
        <f>IF($O110="",0,IF(COUNTIFS(업무일지!$F$5:$F$1004,$O110,업무일지!$B$5:$B$1004,"&gt;="&amp;DATE($B$3,1,1),업무일지!$B$5:$B$1004,"&lt;"&amp;DATE($B$3+1,1,1),업무일지!$AB$5:$AB$1004,$A$46,업무일지!$D$5:$D$1004,"분석")&gt;0,1,0))</f>
        <v/>
      </c>
      <c r="BR110">
        <f>IF($O110="",0,IF(COUNTIFS(업무일지!$F$5:$F$1004,$O110,업무일지!$B$5:$B$1004,"&gt;="&amp;DATE($B$3,1,1),업무일지!$B$5:$B$1004,"&lt;"&amp;DATE($B$3+1,1,1),업무일지!$AB$5:$AB$1004,$A$47,업무일지!$D$5:$D$1004,"분석")&gt;0,1,0))</f>
        <v/>
      </c>
      <c r="BS110">
        <f>IF($O110="",0,IF(COUNTIFS(업무일지!$F$5:$F$1004,$O110,업무일지!$B$5:$B$1004,"&gt;="&amp;DATE($B$3,1,1),업무일지!$B$5:$B$1004,"&lt;"&amp;DATE($B$3+1,1,1),업무일지!$AB$5:$AB$1004,$A$48,업무일지!$D$5:$D$1004,"분석")&gt;0,1,0))</f>
        <v/>
      </c>
      <c r="BT110">
        <f>IF($O110="",0,IF(COUNTIFS(업무일지!$F$5:$F$1004,$O110,업무일지!$B$5:$B$1004,"&gt;="&amp;DATE($B$3,1,1),업무일지!$B$5:$B$1004,"&lt;"&amp;DATE($B$3+1,1,1),업무일지!$AB$5:$AB$1004,$A$49,업무일지!$D$5:$D$1004,"분석")&gt;0,1,0))</f>
        <v/>
      </c>
      <c r="BU110">
        <f>IF($O110="",0,IF(COUNTIFS(업무일지!$F$5:$F$1004,$O110,업무일지!$B$5:$B$1004,"&gt;="&amp;DATE($B$3,1,1),업무일지!$B$5:$B$1004,"&lt;"&amp;DATE($B$3+1,1,1),업무일지!$AB$5:$AB$1004,$A$50,업무일지!$D$5:$D$1004,"분석")&gt;0,1,0))</f>
        <v/>
      </c>
      <c r="BV110">
        <f>IF($O110="",0,IF(COUNTIFS(업무일지!$F$5:$F$1004,$O110,업무일지!$B$5:$B$1004,"&gt;="&amp;DATE($B$3,1,1),업무일지!$B$5:$B$1004,"&lt;"&amp;DATE($B$3+1,1,1),업무일지!$AB$5:$AB$1004,$A$51,업무일지!$D$5:$D$1004,"분석")&gt;0,1,0))</f>
        <v/>
      </c>
      <c r="BW110">
        <f>IF($O110="",0,IF(COUNTIFS(업무일지!$F$5:$F$1004,$O110,업무일지!$B$5:$B$1004,"&gt;="&amp;DATE($B$3,1,1),업무일지!$B$5:$B$1004,"&lt;"&amp;DATE($B$3+1,1,1),업무일지!$AB$5:$AB$1004,$A$52,업무일지!$D$5:$D$1004,"분석")&gt;0,1,0))</f>
        <v/>
      </c>
      <c r="BX110">
        <f>IF($O110="",0,IF(COUNTIFS(업무일지!$F$5:$F$1004,$O110,업무일지!$B$5:$B$1004,"&gt;="&amp;DATE($B$3,1,1),업무일지!$B$5:$B$1004,"&lt;"&amp;DATE($B$3+1,1,1),업무일지!$AB$5:$AB$1004,$A$53,업무일지!$D$5:$D$1004,"분석")&gt;0,1,0))</f>
        <v/>
      </c>
      <c r="BZ110">
        <f>IF($O110="",0,IF(COUNTIFS(업무일지!$F$5:$F$1004,$O110,업무일지!$B$5:$B$1004,"&gt;="&amp;DATE($B$3,1,1),업무일지!$B$5:$B$1004,"&lt;"&amp;DATE($B$3+1,1,1),업무일지!$AB$5:$AB$1004,$A$44)&gt;0,1,0))</f>
        <v/>
      </c>
      <c r="CA110">
        <f>IF($O110="",0,IF(COUNTIFS(업무일지!$F$5:$F$1004,$O110,업무일지!$B$5:$B$1004,"&gt;="&amp;DATE($B$3,1,1),업무일지!$B$5:$B$1004,"&lt;"&amp;DATE($B$3+1,1,1),업무일지!$AB$5:$AB$1004,$A$45)&gt;0,1,0))</f>
        <v/>
      </c>
      <c r="CB110">
        <f>IF($O110="",0,IF(COUNTIFS(업무일지!$F$5:$F$1004,$O110,업무일지!$B$5:$B$1004,"&gt;="&amp;DATE($B$3,1,1),업무일지!$B$5:$B$1004,"&lt;"&amp;DATE($B$3+1,1,1),업무일지!$AB$5:$AB$1004,$A$46)&gt;0,1,0))</f>
        <v/>
      </c>
      <c r="CC110">
        <f>IF($O110="",0,IF(COUNTIFS(업무일지!$F$5:$F$1004,$O110,업무일지!$B$5:$B$1004,"&gt;="&amp;DATE($B$3,1,1),업무일지!$B$5:$B$1004,"&lt;"&amp;DATE($B$3+1,1,1),업무일지!$AB$5:$AB$1004,$A$47)&gt;0,1,0))</f>
        <v/>
      </c>
      <c r="CD110">
        <f>IF($O110="",0,IF(COUNTIFS(업무일지!$F$5:$F$1004,$O110,업무일지!$B$5:$B$1004,"&gt;="&amp;DATE($B$3,1,1),업무일지!$B$5:$B$1004,"&lt;"&amp;DATE($B$3+1,1,1),업무일지!$AB$5:$AB$1004,$A$48)&gt;0,1,0))</f>
        <v/>
      </c>
      <c r="CE110">
        <f>IF($O110="",0,IF(COUNTIFS(업무일지!$F$5:$F$1004,$O110,업무일지!$B$5:$B$1004,"&gt;="&amp;DATE($B$3,1,1),업무일지!$B$5:$B$1004,"&lt;"&amp;DATE($B$3+1,1,1),업무일지!$AB$5:$AB$1004,$A$49)&gt;0,1,0))</f>
        <v/>
      </c>
      <c r="CF110">
        <f>IF($O110="",0,IF(COUNTIFS(업무일지!$F$5:$F$1004,$O110,업무일지!$B$5:$B$1004,"&gt;="&amp;DATE($B$3,1,1),업무일지!$B$5:$B$1004,"&lt;"&amp;DATE($B$3+1,1,1),업무일지!$AB$5:$AB$1004,$A$50)&gt;0,1,0))</f>
        <v/>
      </c>
      <c r="CG110">
        <f>IF($O110="",0,IF(COUNTIFS(업무일지!$F$5:$F$1004,$O110,업무일지!$B$5:$B$1004,"&gt;="&amp;DATE($B$3,1,1),업무일지!$B$5:$B$1004,"&lt;"&amp;DATE($B$3+1,1,1),업무일지!$AB$5:$AB$1004,$A$51)&gt;0,1,0))</f>
        <v/>
      </c>
      <c r="CH110">
        <f>IF($O110="",0,IF(COUNTIFS(업무일지!$F$5:$F$1004,$O110,업무일지!$B$5:$B$1004,"&gt;="&amp;DATE($B$3,1,1),업무일지!$B$5:$B$1004,"&lt;"&amp;DATE($B$3+1,1,1),업무일지!$AB$5:$AB$1004,$A$52)&gt;0,1,0))</f>
        <v/>
      </c>
      <c r="CI110">
        <f>IF($O110="",0,IF(COUNTIFS(업무일지!$F$5:$F$1004,$O110,업무일지!$B$5:$B$1004,"&gt;="&amp;DATE($B$3,1,1),업무일지!$B$5:$B$1004,"&lt;"&amp;DATE($B$3+1,1,1),업무일지!$AB$5:$AB$1004,$A$53)&gt;0,1,0))</f>
        <v/>
      </c>
    </row>
    <row r="111">
      <c r="O111">
        <f>IF(사건마스터!$A31="","",사건마스터!$A31)</f>
        <v/>
      </c>
      <c r="P111">
        <f>IF($O111="",0,IF(COUNTIFS(업무일지!$F$5:$F$1004,$O111,업무일지!$B$5:$B$1004,"&gt;="&amp;DATE($B$3,1,1),업무일지!$B$5:$B$1004,"&lt;"&amp;DATE($B$3,1+1,1),업무일지!$D$5:$D$1004,"출장")&gt;0,1,0))</f>
        <v/>
      </c>
      <c r="Q111">
        <f>IF($O111="",0,IF(COUNTIFS(업무일지!$F$5:$F$1004,$O111,업무일지!$B$5:$B$1004,"&gt;="&amp;DATE($B$3,2,1),업무일지!$B$5:$B$1004,"&lt;"&amp;DATE($B$3,2+1,1),업무일지!$D$5:$D$1004,"출장")&gt;0,1,0))</f>
        <v/>
      </c>
      <c r="R111">
        <f>IF($O111="",0,IF(COUNTIFS(업무일지!$F$5:$F$1004,$O111,업무일지!$B$5:$B$1004,"&gt;="&amp;DATE($B$3,3,1),업무일지!$B$5:$B$1004,"&lt;"&amp;DATE($B$3,3+1,1),업무일지!$D$5:$D$1004,"출장")&gt;0,1,0))</f>
        <v/>
      </c>
      <c r="S111">
        <f>IF($O111="",0,IF(COUNTIFS(업무일지!$F$5:$F$1004,$O111,업무일지!$B$5:$B$1004,"&gt;="&amp;DATE($B$3,4,1),업무일지!$B$5:$B$1004,"&lt;"&amp;DATE($B$3,4+1,1),업무일지!$D$5:$D$1004,"출장")&gt;0,1,0))</f>
        <v/>
      </c>
      <c r="T111">
        <f>IF($O111="",0,IF(COUNTIFS(업무일지!$F$5:$F$1004,$O111,업무일지!$B$5:$B$1004,"&gt;="&amp;DATE($B$3,5,1),업무일지!$B$5:$B$1004,"&lt;"&amp;DATE($B$3,5+1,1),업무일지!$D$5:$D$1004,"출장")&gt;0,1,0))</f>
        <v/>
      </c>
      <c r="U111">
        <f>IF($O111="",0,IF(COUNTIFS(업무일지!$F$5:$F$1004,$O111,업무일지!$B$5:$B$1004,"&gt;="&amp;DATE($B$3,6,1),업무일지!$B$5:$B$1004,"&lt;"&amp;DATE($B$3,6+1,1),업무일지!$D$5:$D$1004,"출장")&gt;0,1,0))</f>
        <v/>
      </c>
      <c r="V111">
        <f>IF($O111="",0,IF(COUNTIFS(업무일지!$F$5:$F$1004,$O111,업무일지!$B$5:$B$1004,"&gt;="&amp;DATE($B$3,7,1),업무일지!$B$5:$B$1004,"&lt;"&amp;DATE($B$3,7+1,1),업무일지!$D$5:$D$1004,"출장")&gt;0,1,0))</f>
        <v/>
      </c>
      <c r="W111">
        <f>IF($O111="",0,IF(COUNTIFS(업무일지!$F$5:$F$1004,$O111,업무일지!$B$5:$B$1004,"&gt;="&amp;DATE($B$3,8,1),업무일지!$B$5:$B$1004,"&lt;"&amp;DATE($B$3,8+1,1),업무일지!$D$5:$D$1004,"출장")&gt;0,1,0))</f>
        <v/>
      </c>
      <c r="X111">
        <f>IF($O111="",0,IF(COUNTIFS(업무일지!$F$5:$F$1004,$O111,업무일지!$B$5:$B$1004,"&gt;="&amp;DATE($B$3,9,1),업무일지!$B$5:$B$1004,"&lt;"&amp;DATE($B$3,9+1,1),업무일지!$D$5:$D$1004,"출장")&gt;0,1,0))</f>
        <v/>
      </c>
      <c r="Y111">
        <f>IF($O111="",0,IF(COUNTIFS(업무일지!$F$5:$F$1004,$O111,업무일지!$B$5:$B$1004,"&gt;="&amp;DATE($B$3,10,1),업무일지!$B$5:$B$1004,"&lt;"&amp;DATE($B$3,10+1,1),업무일지!$D$5:$D$1004,"출장")&gt;0,1,0))</f>
        <v/>
      </c>
      <c r="Z111">
        <f>IF($O111="",0,IF(COUNTIFS(업무일지!$F$5:$F$1004,$O111,업무일지!$B$5:$B$1004,"&gt;="&amp;DATE($B$3,11,1),업무일지!$B$5:$B$1004,"&lt;"&amp;DATE($B$3,11+1,1),업무일지!$D$5:$D$1004,"출장")&gt;0,1,0))</f>
        <v/>
      </c>
      <c r="AA111">
        <f>IF($O111="",0,IF(COUNTIFS(업무일지!$F$5:$F$1004,$O111,업무일지!$B$5:$B$1004,"&gt;="&amp;DATE($B$3,12,1),업무일지!$B$5:$B$1004,"&lt;"&amp;DATE($B$3,12+1,1),업무일지!$D$5:$D$1004,"출장")&gt;0,1,0))</f>
        <v/>
      </c>
      <c r="AB111">
        <f>IF($O111="",0,IF(COUNTIFS(업무일지!$F$5:$F$1004,$O111,업무일지!$B$5:$B$1004,"&gt;="&amp;DATE($B$3,1,1),업무일지!$B$5:$B$1004,"&lt;"&amp;DATE($B$3,1+1,1),업무일지!$D$5:$D$1004,"분석")&gt;0,1,0))</f>
        <v/>
      </c>
      <c r="AC111">
        <f>IF($O111="",0,IF(COUNTIFS(업무일지!$F$5:$F$1004,$O111,업무일지!$B$5:$B$1004,"&gt;="&amp;DATE($B$3,2,1),업무일지!$B$5:$B$1004,"&lt;"&amp;DATE($B$3,2+1,1),업무일지!$D$5:$D$1004,"분석")&gt;0,1,0))</f>
        <v/>
      </c>
      <c r="AD111">
        <f>IF($O111="",0,IF(COUNTIFS(업무일지!$F$5:$F$1004,$O111,업무일지!$B$5:$B$1004,"&gt;="&amp;DATE($B$3,3,1),업무일지!$B$5:$B$1004,"&lt;"&amp;DATE($B$3,3+1,1),업무일지!$D$5:$D$1004,"분석")&gt;0,1,0))</f>
        <v/>
      </c>
      <c r="AE111">
        <f>IF($O111="",0,IF(COUNTIFS(업무일지!$F$5:$F$1004,$O111,업무일지!$B$5:$B$1004,"&gt;="&amp;DATE($B$3,4,1),업무일지!$B$5:$B$1004,"&lt;"&amp;DATE($B$3,4+1,1),업무일지!$D$5:$D$1004,"분석")&gt;0,1,0))</f>
        <v/>
      </c>
      <c r="AF111">
        <f>IF($O111="",0,IF(COUNTIFS(업무일지!$F$5:$F$1004,$O111,업무일지!$B$5:$B$1004,"&gt;="&amp;DATE($B$3,5,1),업무일지!$B$5:$B$1004,"&lt;"&amp;DATE($B$3,5+1,1),업무일지!$D$5:$D$1004,"분석")&gt;0,1,0))</f>
        <v/>
      </c>
      <c r="AG111">
        <f>IF($O111="",0,IF(COUNTIFS(업무일지!$F$5:$F$1004,$O111,업무일지!$B$5:$B$1004,"&gt;="&amp;DATE($B$3,6,1),업무일지!$B$5:$B$1004,"&lt;"&amp;DATE($B$3,6+1,1),업무일지!$D$5:$D$1004,"분석")&gt;0,1,0))</f>
        <v/>
      </c>
      <c r="AH111">
        <f>IF($O111="",0,IF(COUNTIFS(업무일지!$F$5:$F$1004,$O111,업무일지!$B$5:$B$1004,"&gt;="&amp;DATE($B$3,7,1),업무일지!$B$5:$B$1004,"&lt;"&amp;DATE($B$3,7+1,1),업무일지!$D$5:$D$1004,"분석")&gt;0,1,0))</f>
        <v/>
      </c>
      <c r="AI111">
        <f>IF($O111="",0,IF(COUNTIFS(업무일지!$F$5:$F$1004,$O111,업무일지!$B$5:$B$1004,"&gt;="&amp;DATE($B$3,8,1),업무일지!$B$5:$B$1004,"&lt;"&amp;DATE($B$3,8+1,1),업무일지!$D$5:$D$1004,"분석")&gt;0,1,0))</f>
        <v/>
      </c>
      <c r="AJ111">
        <f>IF($O111="",0,IF(COUNTIFS(업무일지!$F$5:$F$1004,$O111,업무일지!$B$5:$B$1004,"&gt;="&amp;DATE($B$3,9,1),업무일지!$B$5:$B$1004,"&lt;"&amp;DATE($B$3,9+1,1),업무일지!$D$5:$D$1004,"분석")&gt;0,1,0))</f>
        <v/>
      </c>
      <c r="AK111">
        <f>IF($O111="",0,IF(COUNTIFS(업무일지!$F$5:$F$1004,$O111,업무일지!$B$5:$B$1004,"&gt;="&amp;DATE($B$3,10,1),업무일지!$B$5:$B$1004,"&lt;"&amp;DATE($B$3,10+1,1),업무일지!$D$5:$D$1004,"분석")&gt;0,1,0))</f>
        <v/>
      </c>
      <c r="AL111">
        <f>IF($O111="",0,IF(COUNTIFS(업무일지!$F$5:$F$1004,$O111,업무일지!$B$5:$B$1004,"&gt;="&amp;DATE($B$3,11,1),업무일지!$B$5:$B$1004,"&lt;"&amp;DATE($B$3,11+1,1),업무일지!$D$5:$D$1004,"분석")&gt;0,1,0))</f>
        <v/>
      </c>
      <c r="AM111">
        <f>IF($O111="",0,IF(COUNTIFS(업무일지!$F$5:$F$1004,$O111,업무일지!$B$5:$B$1004,"&gt;="&amp;DATE($B$3,12,1),업무일지!$B$5:$B$1004,"&lt;"&amp;DATE($B$3,12+1,1),업무일지!$D$5:$D$1004,"분석")&gt;0,1,0))</f>
        <v/>
      </c>
      <c r="AN111">
        <f>IF($O111="",0,IF(COUNTIFS(업무일지!$F$5:$F$1004,$O111,업무일지!$B$5:$B$1004,"&gt;="&amp;DATE($B$3,1,1),업무일지!$B$5:$B$1004,"&lt;"&amp;DATE($B$3,1+1,1))&gt;0,1,0))</f>
        <v/>
      </c>
      <c r="AO111">
        <f>IF($O111="",0,IF(COUNTIFS(업무일지!$F$5:$F$1004,$O111,업무일지!$B$5:$B$1004,"&gt;="&amp;DATE($B$3,2,1),업무일지!$B$5:$B$1004,"&lt;"&amp;DATE($B$3,2+1,1))&gt;0,1,0))</f>
        <v/>
      </c>
      <c r="AP111">
        <f>IF($O111="",0,IF(COUNTIFS(업무일지!$F$5:$F$1004,$O111,업무일지!$B$5:$B$1004,"&gt;="&amp;DATE($B$3,3,1),업무일지!$B$5:$B$1004,"&lt;"&amp;DATE($B$3,3+1,1))&gt;0,1,0))</f>
        <v/>
      </c>
      <c r="AQ111">
        <f>IF($O111="",0,IF(COUNTIFS(업무일지!$F$5:$F$1004,$O111,업무일지!$B$5:$B$1004,"&gt;="&amp;DATE($B$3,4,1),업무일지!$B$5:$B$1004,"&lt;"&amp;DATE($B$3,4+1,1))&gt;0,1,0))</f>
        <v/>
      </c>
      <c r="AR111">
        <f>IF($O111="",0,IF(COUNTIFS(업무일지!$F$5:$F$1004,$O111,업무일지!$B$5:$B$1004,"&gt;="&amp;DATE($B$3,5,1),업무일지!$B$5:$B$1004,"&lt;"&amp;DATE($B$3,5+1,1))&gt;0,1,0))</f>
        <v/>
      </c>
      <c r="AS111">
        <f>IF($O111="",0,IF(COUNTIFS(업무일지!$F$5:$F$1004,$O111,업무일지!$B$5:$B$1004,"&gt;="&amp;DATE($B$3,6,1),업무일지!$B$5:$B$1004,"&lt;"&amp;DATE($B$3,6+1,1))&gt;0,1,0))</f>
        <v/>
      </c>
      <c r="AT111">
        <f>IF($O111="",0,IF(COUNTIFS(업무일지!$F$5:$F$1004,$O111,업무일지!$B$5:$B$1004,"&gt;="&amp;DATE($B$3,7,1),업무일지!$B$5:$B$1004,"&lt;"&amp;DATE($B$3,7+1,1))&gt;0,1,0))</f>
        <v/>
      </c>
      <c r="AU111">
        <f>IF($O111="",0,IF(COUNTIFS(업무일지!$F$5:$F$1004,$O111,업무일지!$B$5:$B$1004,"&gt;="&amp;DATE($B$3,8,1),업무일지!$B$5:$B$1004,"&lt;"&amp;DATE($B$3,8+1,1))&gt;0,1,0))</f>
        <v/>
      </c>
      <c r="AV111">
        <f>IF($O111="",0,IF(COUNTIFS(업무일지!$F$5:$F$1004,$O111,업무일지!$B$5:$B$1004,"&gt;="&amp;DATE($B$3,9,1),업무일지!$B$5:$B$1004,"&lt;"&amp;DATE($B$3,9+1,1))&gt;0,1,0))</f>
        <v/>
      </c>
      <c r="AW111">
        <f>IF($O111="",0,IF(COUNTIFS(업무일지!$F$5:$F$1004,$O111,업무일지!$B$5:$B$1004,"&gt;="&amp;DATE($B$3,10,1),업무일지!$B$5:$B$1004,"&lt;"&amp;DATE($B$3,10+1,1))&gt;0,1,0))</f>
        <v/>
      </c>
      <c r="AX111">
        <f>IF($O111="",0,IF(COUNTIFS(업무일지!$F$5:$F$1004,$O111,업무일지!$B$5:$B$1004,"&gt;="&amp;DATE($B$3,11,1),업무일지!$B$5:$B$1004,"&lt;"&amp;DATE($B$3,11+1,1))&gt;0,1,0))</f>
        <v/>
      </c>
      <c r="AY111">
        <f>IF($O111="",0,IF(COUNTIFS(업무일지!$F$5:$F$1004,$O111,업무일지!$B$5:$B$1004,"&gt;="&amp;DATE($B$3,12,1),업무일지!$B$5:$B$1004,"&lt;"&amp;DATE($B$3,12+1,1))&gt;0,1,0))</f>
        <v/>
      </c>
      <c r="AZ111">
        <f>IF($O111="",0,IF(COUNTIFS(업무일지!$F$5:$F$1004,$O111,업무일지!$B$5:$B$1004,"&gt;="&amp;DATE($B$3,1,1),업무일지!$B$5:$B$1004,"&lt;"&amp;DATE($B$3+1,1,1),업무일지!$D$5:$D$1004,"출장")&gt;0,1,0))</f>
        <v/>
      </c>
      <c r="BA111">
        <f>IF($O111="",0,IF(COUNTIFS(업무일지!$F$5:$F$1004,$O111,업무일지!$B$5:$B$1004,"&gt;="&amp;DATE($B$3,1,1),업무일지!$B$5:$B$1004,"&lt;"&amp;DATE($B$3+1,1,1),업무일지!$D$5:$D$1004,"분석")&gt;0,1,0))</f>
        <v/>
      </c>
      <c r="BB111">
        <f>IF($O111="",0,IF(COUNTIFS(업무일지!$F$5:$F$1004,$O111,업무일지!$B$5:$B$1004,"&gt;="&amp;DATE($B$3,1,1),업무일지!$B$5:$B$1004,"&lt;"&amp;DATE($B$3+1,1,1))&gt;0,1,0))</f>
        <v/>
      </c>
      <c r="BD111">
        <f>IF($O111="",0,IF(COUNTIFS(업무일지!$F$5:$F$1004,$O111,업무일지!$B$5:$B$1004,"&gt;="&amp;DATE($B$3,1,1),업무일지!$B$5:$B$1004,"&lt;"&amp;DATE($B$3+1,1,1),업무일지!$AB$5:$AB$1004,$A$44,업무일지!$D$5:$D$1004,"출장")&gt;0,1,0))</f>
        <v/>
      </c>
      <c r="BE111">
        <f>IF($O111="",0,IF(COUNTIFS(업무일지!$F$5:$F$1004,$O111,업무일지!$B$5:$B$1004,"&gt;="&amp;DATE($B$3,1,1),업무일지!$B$5:$B$1004,"&lt;"&amp;DATE($B$3+1,1,1),업무일지!$AB$5:$AB$1004,$A$45,업무일지!$D$5:$D$1004,"출장")&gt;0,1,0))</f>
        <v/>
      </c>
      <c r="BF111">
        <f>IF($O111="",0,IF(COUNTIFS(업무일지!$F$5:$F$1004,$O111,업무일지!$B$5:$B$1004,"&gt;="&amp;DATE($B$3,1,1),업무일지!$B$5:$B$1004,"&lt;"&amp;DATE($B$3+1,1,1),업무일지!$AB$5:$AB$1004,$A$46,업무일지!$D$5:$D$1004,"출장")&gt;0,1,0))</f>
        <v/>
      </c>
      <c r="BG111">
        <f>IF($O111="",0,IF(COUNTIFS(업무일지!$F$5:$F$1004,$O111,업무일지!$B$5:$B$1004,"&gt;="&amp;DATE($B$3,1,1),업무일지!$B$5:$B$1004,"&lt;"&amp;DATE($B$3+1,1,1),업무일지!$AB$5:$AB$1004,$A$47,업무일지!$D$5:$D$1004,"출장")&gt;0,1,0))</f>
        <v/>
      </c>
      <c r="BH111">
        <f>IF($O111="",0,IF(COUNTIFS(업무일지!$F$5:$F$1004,$O111,업무일지!$B$5:$B$1004,"&gt;="&amp;DATE($B$3,1,1),업무일지!$B$5:$B$1004,"&lt;"&amp;DATE($B$3+1,1,1),업무일지!$AB$5:$AB$1004,$A$48,업무일지!$D$5:$D$1004,"출장")&gt;0,1,0))</f>
        <v/>
      </c>
      <c r="BI111">
        <f>IF($O111="",0,IF(COUNTIFS(업무일지!$F$5:$F$1004,$O111,업무일지!$B$5:$B$1004,"&gt;="&amp;DATE($B$3,1,1),업무일지!$B$5:$B$1004,"&lt;"&amp;DATE($B$3+1,1,1),업무일지!$AB$5:$AB$1004,$A$49,업무일지!$D$5:$D$1004,"출장")&gt;0,1,0))</f>
        <v/>
      </c>
      <c r="BJ111">
        <f>IF($O111="",0,IF(COUNTIFS(업무일지!$F$5:$F$1004,$O111,업무일지!$B$5:$B$1004,"&gt;="&amp;DATE($B$3,1,1),업무일지!$B$5:$B$1004,"&lt;"&amp;DATE($B$3+1,1,1),업무일지!$AB$5:$AB$1004,$A$50,업무일지!$D$5:$D$1004,"출장")&gt;0,1,0))</f>
        <v/>
      </c>
      <c r="BK111">
        <f>IF($O111="",0,IF(COUNTIFS(업무일지!$F$5:$F$1004,$O111,업무일지!$B$5:$B$1004,"&gt;="&amp;DATE($B$3,1,1),업무일지!$B$5:$B$1004,"&lt;"&amp;DATE($B$3+1,1,1),업무일지!$AB$5:$AB$1004,$A$51,업무일지!$D$5:$D$1004,"출장")&gt;0,1,0))</f>
        <v/>
      </c>
      <c r="BL111">
        <f>IF($O111="",0,IF(COUNTIFS(업무일지!$F$5:$F$1004,$O111,업무일지!$B$5:$B$1004,"&gt;="&amp;DATE($B$3,1,1),업무일지!$B$5:$B$1004,"&lt;"&amp;DATE($B$3+1,1,1),업무일지!$AB$5:$AB$1004,$A$52,업무일지!$D$5:$D$1004,"출장")&gt;0,1,0))</f>
        <v/>
      </c>
      <c r="BM111">
        <f>IF($O111="",0,IF(COUNTIFS(업무일지!$F$5:$F$1004,$O111,업무일지!$B$5:$B$1004,"&gt;="&amp;DATE($B$3,1,1),업무일지!$B$5:$B$1004,"&lt;"&amp;DATE($B$3+1,1,1),업무일지!$AB$5:$AB$1004,$A$53,업무일지!$D$5:$D$1004,"출장")&gt;0,1,0))</f>
        <v/>
      </c>
      <c r="BO111">
        <f>IF($O111="",0,IF(COUNTIFS(업무일지!$F$5:$F$1004,$O111,업무일지!$B$5:$B$1004,"&gt;="&amp;DATE($B$3,1,1),업무일지!$B$5:$B$1004,"&lt;"&amp;DATE($B$3+1,1,1),업무일지!$AB$5:$AB$1004,$A$44,업무일지!$D$5:$D$1004,"분석")&gt;0,1,0))</f>
        <v/>
      </c>
      <c r="BP111">
        <f>IF($O111="",0,IF(COUNTIFS(업무일지!$F$5:$F$1004,$O111,업무일지!$B$5:$B$1004,"&gt;="&amp;DATE($B$3,1,1),업무일지!$B$5:$B$1004,"&lt;"&amp;DATE($B$3+1,1,1),업무일지!$AB$5:$AB$1004,$A$45,업무일지!$D$5:$D$1004,"분석")&gt;0,1,0))</f>
        <v/>
      </c>
      <c r="BQ111">
        <f>IF($O111="",0,IF(COUNTIFS(업무일지!$F$5:$F$1004,$O111,업무일지!$B$5:$B$1004,"&gt;="&amp;DATE($B$3,1,1),업무일지!$B$5:$B$1004,"&lt;"&amp;DATE($B$3+1,1,1),업무일지!$AB$5:$AB$1004,$A$46,업무일지!$D$5:$D$1004,"분석")&gt;0,1,0))</f>
        <v/>
      </c>
      <c r="BR111">
        <f>IF($O111="",0,IF(COUNTIFS(업무일지!$F$5:$F$1004,$O111,업무일지!$B$5:$B$1004,"&gt;="&amp;DATE($B$3,1,1),업무일지!$B$5:$B$1004,"&lt;"&amp;DATE($B$3+1,1,1),업무일지!$AB$5:$AB$1004,$A$47,업무일지!$D$5:$D$1004,"분석")&gt;0,1,0))</f>
        <v/>
      </c>
      <c r="BS111">
        <f>IF($O111="",0,IF(COUNTIFS(업무일지!$F$5:$F$1004,$O111,업무일지!$B$5:$B$1004,"&gt;="&amp;DATE($B$3,1,1),업무일지!$B$5:$B$1004,"&lt;"&amp;DATE($B$3+1,1,1),업무일지!$AB$5:$AB$1004,$A$48,업무일지!$D$5:$D$1004,"분석")&gt;0,1,0))</f>
        <v/>
      </c>
      <c r="BT111">
        <f>IF($O111="",0,IF(COUNTIFS(업무일지!$F$5:$F$1004,$O111,업무일지!$B$5:$B$1004,"&gt;="&amp;DATE($B$3,1,1),업무일지!$B$5:$B$1004,"&lt;"&amp;DATE($B$3+1,1,1),업무일지!$AB$5:$AB$1004,$A$49,업무일지!$D$5:$D$1004,"분석")&gt;0,1,0))</f>
        <v/>
      </c>
      <c r="BU111">
        <f>IF($O111="",0,IF(COUNTIFS(업무일지!$F$5:$F$1004,$O111,업무일지!$B$5:$B$1004,"&gt;="&amp;DATE($B$3,1,1),업무일지!$B$5:$B$1004,"&lt;"&amp;DATE($B$3+1,1,1),업무일지!$AB$5:$AB$1004,$A$50,업무일지!$D$5:$D$1004,"분석")&gt;0,1,0))</f>
        <v/>
      </c>
      <c r="BV111">
        <f>IF($O111="",0,IF(COUNTIFS(업무일지!$F$5:$F$1004,$O111,업무일지!$B$5:$B$1004,"&gt;="&amp;DATE($B$3,1,1),업무일지!$B$5:$B$1004,"&lt;"&amp;DATE($B$3+1,1,1),업무일지!$AB$5:$AB$1004,$A$51,업무일지!$D$5:$D$1004,"분석")&gt;0,1,0))</f>
        <v/>
      </c>
      <c r="BW111">
        <f>IF($O111="",0,IF(COUNTIFS(업무일지!$F$5:$F$1004,$O111,업무일지!$B$5:$B$1004,"&gt;="&amp;DATE($B$3,1,1),업무일지!$B$5:$B$1004,"&lt;"&amp;DATE($B$3+1,1,1),업무일지!$AB$5:$AB$1004,$A$52,업무일지!$D$5:$D$1004,"분석")&gt;0,1,0))</f>
        <v/>
      </c>
      <c r="BX111">
        <f>IF($O111="",0,IF(COUNTIFS(업무일지!$F$5:$F$1004,$O111,업무일지!$B$5:$B$1004,"&gt;="&amp;DATE($B$3,1,1),업무일지!$B$5:$B$1004,"&lt;"&amp;DATE($B$3+1,1,1),업무일지!$AB$5:$AB$1004,$A$53,업무일지!$D$5:$D$1004,"분석")&gt;0,1,0))</f>
        <v/>
      </c>
      <c r="BZ111">
        <f>IF($O111="",0,IF(COUNTIFS(업무일지!$F$5:$F$1004,$O111,업무일지!$B$5:$B$1004,"&gt;="&amp;DATE($B$3,1,1),업무일지!$B$5:$B$1004,"&lt;"&amp;DATE($B$3+1,1,1),업무일지!$AB$5:$AB$1004,$A$44)&gt;0,1,0))</f>
        <v/>
      </c>
      <c r="CA111">
        <f>IF($O111="",0,IF(COUNTIFS(업무일지!$F$5:$F$1004,$O111,업무일지!$B$5:$B$1004,"&gt;="&amp;DATE($B$3,1,1),업무일지!$B$5:$B$1004,"&lt;"&amp;DATE($B$3+1,1,1),업무일지!$AB$5:$AB$1004,$A$45)&gt;0,1,0))</f>
        <v/>
      </c>
      <c r="CB111">
        <f>IF($O111="",0,IF(COUNTIFS(업무일지!$F$5:$F$1004,$O111,업무일지!$B$5:$B$1004,"&gt;="&amp;DATE($B$3,1,1),업무일지!$B$5:$B$1004,"&lt;"&amp;DATE($B$3+1,1,1),업무일지!$AB$5:$AB$1004,$A$46)&gt;0,1,0))</f>
        <v/>
      </c>
      <c r="CC111">
        <f>IF($O111="",0,IF(COUNTIFS(업무일지!$F$5:$F$1004,$O111,업무일지!$B$5:$B$1004,"&gt;="&amp;DATE($B$3,1,1),업무일지!$B$5:$B$1004,"&lt;"&amp;DATE($B$3+1,1,1),업무일지!$AB$5:$AB$1004,$A$47)&gt;0,1,0))</f>
        <v/>
      </c>
      <c r="CD111">
        <f>IF($O111="",0,IF(COUNTIFS(업무일지!$F$5:$F$1004,$O111,업무일지!$B$5:$B$1004,"&gt;="&amp;DATE($B$3,1,1),업무일지!$B$5:$B$1004,"&lt;"&amp;DATE($B$3+1,1,1),업무일지!$AB$5:$AB$1004,$A$48)&gt;0,1,0))</f>
        <v/>
      </c>
      <c r="CE111">
        <f>IF($O111="",0,IF(COUNTIFS(업무일지!$F$5:$F$1004,$O111,업무일지!$B$5:$B$1004,"&gt;="&amp;DATE($B$3,1,1),업무일지!$B$5:$B$1004,"&lt;"&amp;DATE($B$3+1,1,1),업무일지!$AB$5:$AB$1004,$A$49)&gt;0,1,0))</f>
        <v/>
      </c>
      <c r="CF111">
        <f>IF($O111="",0,IF(COUNTIFS(업무일지!$F$5:$F$1004,$O111,업무일지!$B$5:$B$1004,"&gt;="&amp;DATE($B$3,1,1),업무일지!$B$5:$B$1004,"&lt;"&amp;DATE($B$3+1,1,1),업무일지!$AB$5:$AB$1004,$A$50)&gt;0,1,0))</f>
        <v/>
      </c>
      <c r="CG111">
        <f>IF($O111="",0,IF(COUNTIFS(업무일지!$F$5:$F$1004,$O111,업무일지!$B$5:$B$1004,"&gt;="&amp;DATE($B$3,1,1),업무일지!$B$5:$B$1004,"&lt;"&amp;DATE($B$3+1,1,1),업무일지!$AB$5:$AB$1004,$A$51)&gt;0,1,0))</f>
        <v/>
      </c>
      <c r="CH111">
        <f>IF($O111="",0,IF(COUNTIFS(업무일지!$F$5:$F$1004,$O111,업무일지!$B$5:$B$1004,"&gt;="&amp;DATE($B$3,1,1),업무일지!$B$5:$B$1004,"&lt;"&amp;DATE($B$3+1,1,1),업무일지!$AB$5:$AB$1004,$A$52)&gt;0,1,0))</f>
        <v/>
      </c>
      <c r="CI111">
        <f>IF($O111="",0,IF(COUNTIFS(업무일지!$F$5:$F$1004,$O111,업무일지!$B$5:$B$1004,"&gt;="&amp;DATE($B$3,1,1),업무일지!$B$5:$B$1004,"&lt;"&amp;DATE($B$3+1,1,1),업무일지!$AB$5:$AB$1004,$A$53)&gt;0,1,0))</f>
        <v/>
      </c>
    </row>
    <row r="112">
      <c r="O112">
        <f>IF(사건마스터!$A32="","",사건마스터!$A32)</f>
        <v/>
      </c>
      <c r="P112">
        <f>IF($O112="",0,IF(COUNTIFS(업무일지!$F$5:$F$1004,$O112,업무일지!$B$5:$B$1004,"&gt;="&amp;DATE($B$3,1,1),업무일지!$B$5:$B$1004,"&lt;"&amp;DATE($B$3,1+1,1),업무일지!$D$5:$D$1004,"출장")&gt;0,1,0))</f>
        <v/>
      </c>
      <c r="Q112">
        <f>IF($O112="",0,IF(COUNTIFS(업무일지!$F$5:$F$1004,$O112,업무일지!$B$5:$B$1004,"&gt;="&amp;DATE($B$3,2,1),업무일지!$B$5:$B$1004,"&lt;"&amp;DATE($B$3,2+1,1),업무일지!$D$5:$D$1004,"출장")&gt;0,1,0))</f>
        <v/>
      </c>
      <c r="R112">
        <f>IF($O112="",0,IF(COUNTIFS(업무일지!$F$5:$F$1004,$O112,업무일지!$B$5:$B$1004,"&gt;="&amp;DATE($B$3,3,1),업무일지!$B$5:$B$1004,"&lt;"&amp;DATE($B$3,3+1,1),업무일지!$D$5:$D$1004,"출장")&gt;0,1,0))</f>
        <v/>
      </c>
      <c r="S112">
        <f>IF($O112="",0,IF(COUNTIFS(업무일지!$F$5:$F$1004,$O112,업무일지!$B$5:$B$1004,"&gt;="&amp;DATE($B$3,4,1),업무일지!$B$5:$B$1004,"&lt;"&amp;DATE($B$3,4+1,1),업무일지!$D$5:$D$1004,"출장")&gt;0,1,0))</f>
        <v/>
      </c>
      <c r="T112">
        <f>IF($O112="",0,IF(COUNTIFS(업무일지!$F$5:$F$1004,$O112,업무일지!$B$5:$B$1004,"&gt;="&amp;DATE($B$3,5,1),업무일지!$B$5:$B$1004,"&lt;"&amp;DATE($B$3,5+1,1),업무일지!$D$5:$D$1004,"출장")&gt;0,1,0))</f>
        <v/>
      </c>
      <c r="U112">
        <f>IF($O112="",0,IF(COUNTIFS(업무일지!$F$5:$F$1004,$O112,업무일지!$B$5:$B$1004,"&gt;="&amp;DATE($B$3,6,1),업무일지!$B$5:$B$1004,"&lt;"&amp;DATE($B$3,6+1,1),업무일지!$D$5:$D$1004,"출장")&gt;0,1,0))</f>
        <v/>
      </c>
      <c r="V112">
        <f>IF($O112="",0,IF(COUNTIFS(업무일지!$F$5:$F$1004,$O112,업무일지!$B$5:$B$1004,"&gt;="&amp;DATE($B$3,7,1),업무일지!$B$5:$B$1004,"&lt;"&amp;DATE($B$3,7+1,1),업무일지!$D$5:$D$1004,"출장")&gt;0,1,0))</f>
        <v/>
      </c>
      <c r="W112">
        <f>IF($O112="",0,IF(COUNTIFS(업무일지!$F$5:$F$1004,$O112,업무일지!$B$5:$B$1004,"&gt;="&amp;DATE($B$3,8,1),업무일지!$B$5:$B$1004,"&lt;"&amp;DATE($B$3,8+1,1),업무일지!$D$5:$D$1004,"출장")&gt;0,1,0))</f>
        <v/>
      </c>
      <c r="X112">
        <f>IF($O112="",0,IF(COUNTIFS(업무일지!$F$5:$F$1004,$O112,업무일지!$B$5:$B$1004,"&gt;="&amp;DATE($B$3,9,1),업무일지!$B$5:$B$1004,"&lt;"&amp;DATE($B$3,9+1,1),업무일지!$D$5:$D$1004,"출장")&gt;0,1,0))</f>
        <v/>
      </c>
      <c r="Y112">
        <f>IF($O112="",0,IF(COUNTIFS(업무일지!$F$5:$F$1004,$O112,업무일지!$B$5:$B$1004,"&gt;="&amp;DATE($B$3,10,1),업무일지!$B$5:$B$1004,"&lt;"&amp;DATE($B$3,10+1,1),업무일지!$D$5:$D$1004,"출장")&gt;0,1,0))</f>
        <v/>
      </c>
      <c r="Z112">
        <f>IF($O112="",0,IF(COUNTIFS(업무일지!$F$5:$F$1004,$O112,업무일지!$B$5:$B$1004,"&gt;="&amp;DATE($B$3,11,1),업무일지!$B$5:$B$1004,"&lt;"&amp;DATE($B$3,11+1,1),업무일지!$D$5:$D$1004,"출장")&gt;0,1,0))</f>
        <v/>
      </c>
      <c r="AA112">
        <f>IF($O112="",0,IF(COUNTIFS(업무일지!$F$5:$F$1004,$O112,업무일지!$B$5:$B$1004,"&gt;="&amp;DATE($B$3,12,1),업무일지!$B$5:$B$1004,"&lt;"&amp;DATE($B$3,12+1,1),업무일지!$D$5:$D$1004,"출장")&gt;0,1,0))</f>
        <v/>
      </c>
      <c r="AB112">
        <f>IF($O112="",0,IF(COUNTIFS(업무일지!$F$5:$F$1004,$O112,업무일지!$B$5:$B$1004,"&gt;="&amp;DATE($B$3,1,1),업무일지!$B$5:$B$1004,"&lt;"&amp;DATE($B$3,1+1,1),업무일지!$D$5:$D$1004,"분석")&gt;0,1,0))</f>
        <v/>
      </c>
      <c r="AC112">
        <f>IF($O112="",0,IF(COUNTIFS(업무일지!$F$5:$F$1004,$O112,업무일지!$B$5:$B$1004,"&gt;="&amp;DATE($B$3,2,1),업무일지!$B$5:$B$1004,"&lt;"&amp;DATE($B$3,2+1,1),업무일지!$D$5:$D$1004,"분석")&gt;0,1,0))</f>
        <v/>
      </c>
      <c r="AD112">
        <f>IF($O112="",0,IF(COUNTIFS(업무일지!$F$5:$F$1004,$O112,업무일지!$B$5:$B$1004,"&gt;="&amp;DATE($B$3,3,1),업무일지!$B$5:$B$1004,"&lt;"&amp;DATE($B$3,3+1,1),업무일지!$D$5:$D$1004,"분석")&gt;0,1,0))</f>
        <v/>
      </c>
      <c r="AE112">
        <f>IF($O112="",0,IF(COUNTIFS(업무일지!$F$5:$F$1004,$O112,업무일지!$B$5:$B$1004,"&gt;="&amp;DATE($B$3,4,1),업무일지!$B$5:$B$1004,"&lt;"&amp;DATE($B$3,4+1,1),업무일지!$D$5:$D$1004,"분석")&gt;0,1,0))</f>
        <v/>
      </c>
      <c r="AF112">
        <f>IF($O112="",0,IF(COUNTIFS(업무일지!$F$5:$F$1004,$O112,업무일지!$B$5:$B$1004,"&gt;="&amp;DATE($B$3,5,1),업무일지!$B$5:$B$1004,"&lt;"&amp;DATE($B$3,5+1,1),업무일지!$D$5:$D$1004,"분석")&gt;0,1,0))</f>
        <v/>
      </c>
      <c r="AG112">
        <f>IF($O112="",0,IF(COUNTIFS(업무일지!$F$5:$F$1004,$O112,업무일지!$B$5:$B$1004,"&gt;="&amp;DATE($B$3,6,1),업무일지!$B$5:$B$1004,"&lt;"&amp;DATE($B$3,6+1,1),업무일지!$D$5:$D$1004,"분석")&gt;0,1,0))</f>
        <v/>
      </c>
      <c r="AH112">
        <f>IF($O112="",0,IF(COUNTIFS(업무일지!$F$5:$F$1004,$O112,업무일지!$B$5:$B$1004,"&gt;="&amp;DATE($B$3,7,1),업무일지!$B$5:$B$1004,"&lt;"&amp;DATE($B$3,7+1,1),업무일지!$D$5:$D$1004,"분석")&gt;0,1,0))</f>
        <v/>
      </c>
      <c r="AI112">
        <f>IF($O112="",0,IF(COUNTIFS(업무일지!$F$5:$F$1004,$O112,업무일지!$B$5:$B$1004,"&gt;="&amp;DATE($B$3,8,1),업무일지!$B$5:$B$1004,"&lt;"&amp;DATE($B$3,8+1,1),업무일지!$D$5:$D$1004,"분석")&gt;0,1,0))</f>
        <v/>
      </c>
      <c r="AJ112">
        <f>IF($O112="",0,IF(COUNTIFS(업무일지!$F$5:$F$1004,$O112,업무일지!$B$5:$B$1004,"&gt;="&amp;DATE($B$3,9,1),업무일지!$B$5:$B$1004,"&lt;"&amp;DATE($B$3,9+1,1),업무일지!$D$5:$D$1004,"분석")&gt;0,1,0))</f>
        <v/>
      </c>
      <c r="AK112">
        <f>IF($O112="",0,IF(COUNTIFS(업무일지!$F$5:$F$1004,$O112,업무일지!$B$5:$B$1004,"&gt;="&amp;DATE($B$3,10,1),업무일지!$B$5:$B$1004,"&lt;"&amp;DATE($B$3,10+1,1),업무일지!$D$5:$D$1004,"분석")&gt;0,1,0))</f>
        <v/>
      </c>
      <c r="AL112">
        <f>IF($O112="",0,IF(COUNTIFS(업무일지!$F$5:$F$1004,$O112,업무일지!$B$5:$B$1004,"&gt;="&amp;DATE($B$3,11,1),업무일지!$B$5:$B$1004,"&lt;"&amp;DATE($B$3,11+1,1),업무일지!$D$5:$D$1004,"분석")&gt;0,1,0))</f>
        <v/>
      </c>
      <c r="AM112">
        <f>IF($O112="",0,IF(COUNTIFS(업무일지!$F$5:$F$1004,$O112,업무일지!$B$5:$B$1004,"&gt;="&amp;DATE($B$3,12,1),업무일지!$B$5:$B$1004,"&lt;"&amp;DATE($B$3,12+1,1),업무일지!$D$5:$D$1004,"분석")&gt;0,1,0))</f>
        <v/>
      </c>
      <c r="AN112">
        <f>IF($O112="",0,IF(COUNTIFS(업무일지!$F$5:$F$1004,$O112,업무일지!$B$5:$B$1004,"&gt;="&amp;DATE($B$3,1,1),업무일지!$B$5:$B$1004,"&lt;"&amp;DATE($B$3,1+1,1))&gt;0,1,0))</f>
        <v/>
      </c>
      <c r="AO112">
        <f>IF($O112="",0,IF(COUNTIFS(업무일지!$F$5:$F$1004,$O112,업무일지!$B$5:$B$1004,"&gt;="&amp;DATE($B$3,2,1),업무일지!$B$5:$B$1004,"&lt;"&amp;DATE($B$3,2+1,1))&gt;0,1,0))</f>
        <v/>
      </c>
      <c r="AP112">
        <f>IF($O112="",0,IF(COUNTIFS(업무일지!$F$5:$F$1004,$O112,업무일지!$B$5:$B$1004,"&gt;="&amp;DATE($B$3,3,1),업무일지!$B$5:$B$1004,"&lt;"&amp;DATE($B$3,3+1,1))&gt;0,1,0))</f>
        <v/>
      </c>
      <c r="AQ112">
        <f>IF($O112="",0,IF(COUNTIFS(업무일지!$F$5:$F$1004,$O112,업무일지!$B$5:$B$1004,"&gt;="&amp;DATE($B$3,4,1),업무일지!$B$5:$B$1004,"&lt;"&amp;DATE($B$3,4+1,1))&gt;0,1,0))</f>
        <v/>
      </c>
      <c r="AR112">
        <f>IF($O112="",0,IF(COUNTIFS(업무일지!$F$5:$F$1004,$O112,업무일지!$B$5:$B$1004,"&gt;="&amp;DATE($B$3,5,1),업무일지!$B$5:$B$1004,"&lt;"&amp;DATE($B$3,5+1,1))&gt;0,1,0))</f>
        <v/>
      </c>
      <c r="AS112">
        <f>IF($O112="",0,IF(COUNTIFS(업무일지!$F$5:$F$1004,$O112,업무일지!$B$5:$B$1004,"&gt;="&amp;DATE($B$3,6,1),업무일지!$B$5:$B$1004,"&lt;"&amp;DATE($B$3,6+1,1))&gt;0,1,0))</f>
        <v/>
      </c>
      <c r="AT112">
        <f>IF($O112="",0,IF(COUNTIFS(업무일지!$F$5:$F$1004,$O112,업무일지!$B$5:$B$1004,"&gt;="&amp;DATE($B$3,7,1),업무일지!$B$5:$B$1004,"&lt;"&amp;DATE($B$3,7+1,1))&gt;0,1,0))</f>
        <v/>
      </c>
      <c r="AU112">
        <f>IF($O112="",0,IF(COUNTIFS(업무일지!$F$5:$F$1004,$O112,업무일지!$B$5:$B$1004,"&gt;="&amp;DATE($B$3,8,1),업무일지!$B$5:$B$1004,"&lt;"&amp;DATE($B$3,8+1,1))&gt;0,1,0))</f>
        <v/>
      </c>
      <c r="AV112">
        <f>IF($O112="",0,IF(COUNTIFS(업무일지!$F$5:$F$1004,$O112,업무일지!$B$5:$B$1004,"&gt;="&amp;DATE($B$3,9,1),업무일지!$B$5:$B$1004,"&lt;"&amp;DATE($B$3,9+1,1))&gt;0,1,0))</f>
        <v/>
      </c>
      <c r="AW112">
        <f>IF($O112="",0,IF(COUNTIFS(업무일지!$F$5:$F$1004,$O112,업무일지!$B$5:$B$1004,"&gt;="&amp;DATE($B$3,10,1),업무일지!$B$5:$B$1004,"&lt;"&amp;DATE($B$3,10+1,1))&gt;0,1,0))</f>
        <v/>
      </c>
      <c r="AX112">
        <f>IF($O112="",0,IF(COUNTIFS(업무일지!$F$5:$F$1004,$O112,업무일지!$B$5:$B$1004,"&gt;="&amp;DATE($B$3,11,1),업무일지!$B$5:$B$1004,"&lt;"&amp;DATE($B$3,11+1,1))&gt;0,1,0))</f>
        <v/>
      </c>
      <c r="AY112">
        <f>IF($O112="",0,IF(COUNTIFS(업무일지!$F$5:$F$1004,$O112,업무일지!$B$5:$B$1004,"&gt;="&amp;DATE($B$3,12,1),업무일지!$B$5:$B$1004,"&lt;"&amp;DATE($B$3,12+1,1))&gt;0,1,0))</f>
        <v/>
      </c>
      <c r="AZ112">
        <f>IF($O112="",0,IF(COUNTIFS(업무일지!$F$5:$F$1004,$O112,업무일지!$B$5:$B$1004,"&gt;="&amp;DATE($B$3,1,1),업무일지!$B$5:$B$1004,"&lt;"&amp;DATE($B$3+1,1,1),업무일지!$D$5:$D$1004,"출장")&gt;0,1,0))</f>
        <v/>
      </c>
      <c r="BA112">
        <f>IF($O112="",0,IF(COUNTIFS(업무일지!$F$5:$F$1004,$O112,업무일지!$B$5:$B$1004,"&gt;="&amp;DATE($B$3,1,1),업무일지!$B$5:$B$1004,"&lt;"&amp;DATE($B$3+1,1,1),업무일지!$D$5:$D$1004,"분석")&gt;0,1,0))</f>
        <v/>
      </c>
      <c r="BB112">
        <f>IF($O112="",0,IF(COUNTIFS(업무일지!$F$5:$F$1004,$O112,업무일지!$B$5:$B$1004,"&gt;="&amp;DATE($B$3,1,1),업무일지!$B$5:$B$1004,"&lt;"&amp;DATE($B$3+1,1,1))&gt;0,1,0))</f>
        <v/>
      </c>
      <c r="BD112">
        <f>IF($O112="",0,IF(COUNTIFS(업무일지!$F$5:$F$1004,$O112,업무일지!$B$5:$B$1004,"&gt;="&amp;DATE($B$3,1,1),업무일지!$B$5:$B$1004,"&lt;"&amp;DATE($B$3+1,1,1),업무일지!$AB$5:$AB$1004,$A$44,업무일지!$D$5:$D$1004,"출장")&gt;0,1,0))</f>
        <v/>
      </c>
      <c r="BE112">
        <f>IF($O112="",0,IF(COUNTIFS(업무일지!$F$5:$F$1004,$O112,업무일지!$B$5:$B$1004,"&gt;="&amp;DATE($B$3,1,1),업무일지!$B$5:$B$1004,"&lt;"&amp;DATE($B$3+1,1,1),업무일지!$AB$5:$AB$1004,$A$45,업무일지!$D$5:$D$1004,"출장")&gt;0,1,0))</f>
        <v/>
      </c>
      <c r="BF112">
        <f>IF($O112="",0,IF(COUNTIFS(업무일지!$F$5:$F$1004,$O112,업무일지!$B$5:$B$1004,"&gt;="&amp;DATE($B$3,1,1),업무일지!$B$5:$B$1004,"&lt;"&amp;DATE($B$3+1,1,1),업무일지!$AB$5:$AB$1004,$A$46,업무일지!$D$5:$D$1004,"출장")&gt;0,1,0))</f>
        <v/>
      </c>
      <c r="BG112">
        <f>IF($O112="",0,IF(COUNTIFS(업무일지!$F$5:$F$1004,$O112,업무일지!$B$5:$B$1004,"&gt;="&amp;DATE($B$3,1,1),업무일지!$B$5:$B$1004,"&lt;"&amp;DATE($B$3+1,1,1),업무일지!$AB$5:$AB$1004,$A$47,업무일지!$D$5:$D$1004,"출장")&gt;0,1,0))</f>
        <v/>
      </c>
      <c r="BH112">
        <f>IF($O112="",0,IF(COUNTIFS(업무일지!$F$5:$F$1004,$O112,업무일지!$B$5:$B$1004,"&gt;="&amp;DATE($B$3,1,1),업무일지!$B$5:$B$1004,"&lt;"&amp;DATE($B$3+1,1,1),업무일지!$AB$5:$AB$1004,$A$48,업무일지!$D$5:$D$1004,"출장")&gt;0,1,0))</f>
        <v/>
      </c>
      <c r="BI112">
        <f>IF($O112="",0,IF(COUNTIFS(업무일지!$F$5:$F$1004,$O112,업무일지!$B$5:$B$1004,"&gt;="&amp;DATE($B$3,1,1),업무일지!$B$5:$B$1004,"&lt;"&amp;DATE($B$3+1,1,1),업무일지!$AB$5:$AB$1004,$A$49,업무일지!$D$5:$D$1004,"출장")&gt;0,1,0))</f>
        <v/>
      </c>
      <c r="BJ112">
        <f>IF($O112="",0,IF(COUNTIFS(업무일지!$F$5:$F$1004,$O112,업무일지!$B$5:$B$1004,"&gt;="&amp;DATE($B$3,1,1),업무일지!$B$5:$B$1004,"&lt;"&amp;DATE($B$3+1,1,1),업무일지!$AB$5:$AB$1004,$A$50,업무일지!$D$5:$D$1004,"출장")&gt;0,1,0))</f>
        <v/>
      </c>
      <c r="BK112">
        <f>IF($O112="",0,IF(COUNTIFS(업무일지!$F$5:$F$1004,$O112,업무일지!$B$5:$B$1004,"&gt;="&amp;DATE($B$3,1,1),업무일지!$B$5:$B$1004,"&lt;"&amp;DATE($B$3+1,1,1),업무일지!$AB$5:$AB$1004,$A$51,업무일지!$D$5:$D$1004,"출장")&gt;0,1,0))</f>
        <v/>
      </c>
      <c r="BL112">
        <f>IF($O112="",0,IF(COUNTIFS(업무일지!$F$5:$F$1004,$O112,업무일지!$B$5:$B$1004,"&gt;="&amp;DATE($B$3,1,1),업무일지!$B$5:$B$1004,"&lt;"&amp;DATE($B$3+1,1,1),업무일지!$AB$5:$AB$1004,$A$52,업무일지!$D$5:$D$1004,"출장")&gt;0,1,0))</f>
        <v/>
      </c>
      <c r="BM112">
        <f>IF($O112="",0,IF(COUNTIFS(업무일지!$F$5:$F$1004,$O112,업무일지!$B$5:$B$1004,"&gt;="&amp;DATE($B$3,1,1),업무일지!$B$5:$B$1004,"&lt;"&amp;DATE($B$3+1,1,1),업무일지!$AB$5:$AB$1004,$A$53,업무일지!$D$5:$D$1004,"출장")&gt;0,1,0))</f>
        <v/>
      </c>
      <c r="BO112">
        <f>IF($O112="",0,IF(COUNTIFS(업무일지!$F$5:$F$1004,$O112,업무일지!$B$5:$B$1004,"&gt;="&amp;DATE($B$3,1,1),업무일지!$B$5:$B$1004,"&lt;"&amp;DATE($B$3+1,1,1),업무일지!$AB$5:$AB$1004,$A$44,업무일지!$D$5:$D$1004,"분석")&gt;0,1,0))</f>
        <v/>
      </c>
      <c r="BP112">
        <f>IF($O112="",0,IF(COUNTIFS(업무일지!$F$5:$F$1004,$O112,업무일지!$B$5:$B$1004,"&gt;="&amp;DATE($B$3,1,1),업무일지!$B$5:$B$1004,"&lt;"&amp;DATE($B$3+1,1,1),업무일지!$AB$5:$AB$1004,$A$45,업무일지!$D$5:$D$1004,"분석")&gt;0,1,0))</f>
        <v/>
      </c>
      <c r="BQ112">
        <f>IF($O112="",0,IF(COUNTIFS(업무일지!$F$5:$F$1004,$O112,업무일지!$B$5:$B$1004,"&gt;="&amp;DATE($B$3,1,1),업무일지!$B$5:$B$1004,"&lt;"&amp;DATE($B$3+1,1,1),업무일지!$AB$5:$AB$1004,$A$46,업무일지!$D$5:$D$1004,"분석")&gt;0,1,0))</f>
        <v/>
      </c>
      <c r="BR112">
        <f>IF($O112="",0,IF(COUNTIFS(업무일지!$F$5:$F$1004,$O112,업무일지!$B$5:$B$1004,"&gt;="&amp;DATE($B$3,1,1),업무일지!$B$5:$B$1004,"&lt;"&amp;DATE($B$3+1,1,1),업무일지!$AB$5:$AB$1004,$A$47,업무일지!$D$5:$D$1004,"분석")&gt;0,1,0))</f>
        <v/>
      </c>
      <c r="BS112">
        <f>IF($O112="",0,IF(COUNTIFS(업무일지!$F$5:$F$1004,$O112,업무일지!$B$5:$B$1004,"&gt;="&amp;DATE($B$3,1,1),업무일지!$B$5:$B$1004,"&lt;"&amp;DATE($B$3+1,1,1),업무일지!$AB$5:$AB$1004,$A$48,업무일지!$D$5:$D$1004,"분석")&gt;0,1,0))</f>
        <v/>
      </c>
      <c r="BT112">
        <f>IF($O112="",0,IF(COUNTIFS(업무일지!$F$5:$F$1004,$O112,업무일지!$B$5:$B$1004,"&gt;="&amp;DATE($B$3,1,1),업무일지!$B$5:$B$1004,"&lt;"&amp;DATE($B$3+1,1,1),업무일지!$AB$5:$AB$1004,$A$49,업무일지!$D$5:$D$1004,"분석")&gt;0,1,0))</f>
        <v/>
      </c>
      <c r="BU112">
        <f>IF($O112="",0,IF(COUNTIFS(업무일지!$F$5:$F$1004,$O112,업무일지!$B$5:$B$1004,"&gt;="&amp;DATE($B$3,1,1),업무일지!$B$5:$B$1004,"&lt;"&amp;DATE($B$3+1,1,1),업무일지!$AB$5:$AB$1004,$A$50,업무일지!$D$5:$D$1004,"분석")&gt;0,1,0))</f>
        <v/>
      </c>
      <c r="BV112">
        <f>IF($O112="",0,IF(COUNTIFS(업무일지!$F$5:$F$1004,$O112,업무일지!$B$5:$B$1004,"&gt;="&amp;DATE($B$3,1,1),업무일지!$B$5:$B$1004,"&lt;"&amp;DATE($B$3+1,1,1),업무일지!$AB$5:$AB$1004,$A$51,업무일지!$D$5:$D$1004,"분석")&gt;0,1,0))</f>
        <v/>
      </c>
      <c r="BW112">
        <f>IF($O112="",0,IF(COUNTIFS(업무일지!$F$5:$F$1004,$O112,업무일지!$B$5:$B$1004,"&gt;="&amp;DATE($B$3,1,1),업무일지!$B$5:$B$1004,"&lt;"&amp;DATE($B$3+1,1,1),업무일지!$AB$5:$AB$1004,$A$52,업무일지!$D$5:$D$1004,"분석")&gt;0,1,0))</f>
        <v/>
      </c>
      <c r="BX112">
        <f>IF($O112="",0,IF(COUNTIFS(업무일지!$F$5:$F$1004,$O112,업무일지!$B$5:$B$1004,"&gt;="&amp;DATE($B$3,1,1),업무일지!$B$5:$B$1004,"&lt;"&amp;DATE($B$3+1,1,1),업무일지!$AB$5:$AB$1004,$A$53,업무일지!$D$5:$D$1004,"분석")&gt;0,1,0))</f>
        <v/>
      </c>
      <c r="BZ112">
        <f>IF($O112="",0,IF(COUNTIFS(업무일지!$F$5:$F$1004,$O112,업무일지!$B$5:$B$1004,"&gt;="&amp;DATE($B$3,1,1),업무일지!$B$5:$B$1004,"&lt;"&amp;DATE($B$3+1,1,1),업무일지!$AB$5:$AB$1004,$A$44)&gt;0,1,0))</f>
        <v/>
      </c>
      <c r="CA112">
        <f>IF($O112="",0,IF(COUNTIFS(업무일지!$F$5:$F$1004,$O112,업무일지!$B$5:$B$1004,"&gt;="&amp;DATE($B$3,1,1),업무일지!$B$5:$B$1004,"&lt;"&amp;DATE($B$3+1,1,1),업무일지!$AB$5:$AB$1004,$A$45)&gt;0,1,0))</f>
        <v/>
      </c>
      <c r="CB112">
        <f>IF($O112="",0,IF(COUNTIFS(업무일지!$F$5:$F$1004,$O112,업무일지!$B$5:$B$1004,"&gt;="&amp;DATE($B$3,1,1),업무일지!$B$5:$B$1004,"&lt;"&amp;DATE($B$3+1,1,1),업무일지!$AB$5:$AB$1004,$A$46)&gt;0,1,0))</f>
        <v/>
      </c>
      <c r="CC112">
        <f>IF($O112="",0,IF(COUNTIFS(업무일지!$F$5:$F$1004,$O112,업무일지!$B$5:$B$1004,"&gt;="&amp;DATE($B$3,1,1),업무일지!$B$5:$B$1004,"&lt;"&amp;DATE($B$3+1,1,1),업무일지!$AB$5:$AB$1004,$A$47)&gt;0,1,0))</f>
        <v/>
      </c>
      <c r="CD112">
        <f>IF($O112="",0,IF(COUNTIFS(업무일지!$F$5:$F$1004,$O112,업무일지!$B$5:$B$1004,"&gt;="&amp;DATE($B$3,1,1),업무일지!$B$5:$B$1004,"&lt;"&amp;DATE($B$3+1,1,1),업무일지!$AB$5:$AB$1004,$A$48)&gt;0,1,0))</f>
        <v/>
      </c>
      <c r="CE112">
        <f>IF($O112="",0,IF(COUNTIFS(업무일지!$F$5:$F$1004,$O112,업무일지!$B$5:$B$1004,"&gt;="&amp;DATE($B$3,1,1),업무일지!$B$5:$B$1004,"&lt;"&amp;DATE($B$3+1,1,1),업무일지!$AB$5:$AB$1004,$A$49)&gt;0,1,0))</f>
        <v/>
      </c>
      <c r="CF112">
        <f>IF($O112="",0,IF(COUNTIFS(업무일지!$F$5:$F$1004,$O112,업무일지!$B$5:$B$1004,"&gt;="&amp;DATE($B$3,1,1),업무일지!$B$5:$B$1004,"&lt;"&amp;DATE($B$3+1,1,1),업무일지!$AB$5:$AB$1004,$A$50)&gt;0,1,0))</f>
        <v/>
      </c>
      <c r="CG112">
        <f>IF($O112="",0,IF(COUNTIFS(업무일지!$F$5:$F$1004,$O112,업무일지!$B$5:$B$1004,"&gt;="&amp;DATE($B$3,1,1),업무일지!$B$5:$B$1004,"&lt;"&amp;DATE($B$3+1,1,1),업무일지!$AB$5:$AB$1004,$A$51)&gt;0,1,0))</f>
        <v/>
      </c>
      <c r="CH112">
        <f>IF($O112="",0,IF(COUNTIFS(업무일지!$F$5:$F$1004,$O112,업무일지!$B$5:$B$1004,"&gt;="&amp;DATE($B$3,1,1),업무일지!$B$5:$B$1004,"&lt;"&amp;DATE($B$3+1,1,1),업무일지!$AB$5:$AB$1004,$A$52)&gt;0,1,0))</f>
        <v/>
      </c>
      <c r="CI112">
        <f>IF($O112="",0,IF(COUNTIFS(업무일지!$F$5:$F$1004,$O112,업무일지!$B$5:$B$1004,"&gt;="&amp;DATE($B$3,1,1),업무일지!$B$5:$B$1004,"&lt;"&amp;DATE($B$3+1,1,1),업무일지!$AB$5:$AB$1004,$A$53)&gt;0,1,0))</f>
        <v/>
      </c>
    </row>
    <row r="113">
      <c r="O113">
        <f>IF(사건마스터!$A33="","",사건마스터!$A33)</f>
        <v/>
      </c>
      <c r="P113">
        <f>IF($O113="",0,IF(COUNTIFS(업무일지!$F$5:$F$1004,$O113,업무일지!$B$5:$B$1004,"&gt;="&amp;DATE($B$3,1,1),업무일지!$B$5:$B$1004,"&lt;"&amp;DATE($B$3,1+1,1),업무일지!$D$5:$D$1004,"출장")&gt;0,1,0))</f>
        <v/>
      </c>
      <c r="Q113">
        <f>IF($O113="",0,IF(COUNTIFS(업무일지!$F$5:$F$1004,$O113,업무일지!$B$5:$B$1004,"&gt;="&amp;DATE($B$3,2,1),업무일지!$B$5:$B$1004,"&lt;"&amp;DATE($B$3,2+1,1),업무일지!$D$5:$D$1004,"출장")&gt;0,1,0))</f>
        <v/>
      </c>
      <c r="R113">
        <f>IF($O113="",0,IF(COUNTIFS(업무일지!$F$5:$F$1004,$O113,업무일지!$B$5:$B$1004,"&gt;="&amp;DATE($B$3,3,1),업무일지!$B$5:$B$1004,"&lt;"&amp;DATE($B$3,3+1,1),업무일지!$D$5:$D$1004,"출장")&gt;0,1,0))</f>
        <v/>
      </c>
      <c r="S113">
        <f>IF($O113="",0,IF(COUNTIFS(업무일지!$F$5:$F$1004,$O113,업무일지!$B$5:$B$1004,"&gt;="&amp;DATE($B$3,4,1),업무일지!$B$5:$B$1004,"&lt;"&amp;DATE($B$3,4+1,1),업무일지!$D$5:$D$1004,"출장")&gt;0,1,0))</f>
        <v/>
      </c>
      <c r="T113">
        <f>IF($O113="",0,IF(COUNTIFS(업무일지!$F$5:$F$1004,$O113,업무일지!$B$5:$B$1004,"&gt;="&amp;DATE($B$3,5,1),업무일지!$B$5:$B$1004,"&lt;"&amp;DATE($B$3,5+1,1),업무일지!$D$5:$D$1004,"출장")&gt;0,1,0))</f>
        <v/>
      </c>
      <c r="U113">
        <f>IF($O113="",0,IF(COUNTIFS(업무일지!$F$5:$F$1004,$O113,업무일지!$B$5:$B$1004,"&gt;="&amp;DATE($B$3,6,1),업무일지!$B$5:$B$1004,"&lt;"&amp;DATE($B$3,6+1,1),업무일지!$D$5:$D$1004,"출장")&gt;0,1,0))</f>
        <v/>
      </c>
      <c r="V113">
        <f>IF($O113="",0,IF(COUNTIFS(업무일지!$F$5:$F$1004,$O113,업무일지!$B$5:$B$1004,"&gt;="&amp;DATE($B$3,7,1),업무일지!$B$5:$B$1004,"&lt;"&amp;DATE($B$3,7+1,1),업무일지!$D$5:$D$1004,"출장")&gt;0,1,0))</f>
        <v/>
      </c>
      <c r="W113">
        <f>IF($O113="",0,IF(COUNTIFS(업무일지!$F$5:$F$1004,$O113,업무일지!$B$5:$B$1004,"&gt;="&amp;DATE($B$3,8,1),업무일지!$B$5:$B$1004,"&lt;"&amp;DATE($B$3,8+1,1),업무일지!$D$5:$D$1004,"출장")&gt;0,1,0))</f>
        <v/>
      </c>
      <c r="X113">
        <f>IF($O113="",0,IF(COUNTIFS(업무일지!$F$5:$F$1004,$O113,업무일지!$B$5:$B$1004,"&gt;="&amp;DATE($B$3,9,1),업무일지!$B$5:$B$1004,"&lt;"&amp;DATE($B$3,9+1,1),업무일지!$D$5:$D$1004,"출장")&gt;0,1,0))</f>
        <v/>
      </c>
      <c r="Y113">
        <f>IF($O113="",0,IF(COUNTIFS(업무일지!$F$5:$F$1004,$O113,업무일지!$B$5:$B$1004,"&gt;="&amp;DATE($B$3,10,1),업무일지!$B$5:$B$1004,"&lt;"&amp;DATE($B$3,10+1,1),업무일지!$D$5:$D$1004,"출장")&gt;0,1,0))</f>
        <v/>
      </c>
      <c r="Z113">
        <f>IF($O113="",0,IF(COUNTIFS(업무일지!$F$5:$F$1004,$O113,업무일지!$B$5:$B$1004,"&gt;="&amp;DATE($B$3,11,1),업무일지!$B$5:$B$1004,"&lt;"&amp;DATE($B$3,11+1,1),업무일지!$D$5:$D$1004,"출장")&gt;0,1,0))</f>
        <v/>
      </c>
      <c r="AA113">
        <f>IF($O113="",0,IF(COUNTIFS(업무일지!$F$5:$F$1004,$O113,업무일지!$B$5:$B$1004,"&gt;="&amp;DATE($B$3,12,1),업무일지!$B$5:$B$1004,"&lt;"&amp;DATE($B$3,12+1,1),업무일지!$D$5:$D$1004,"출장")&gt;0,1,0))</f>
        <v/>
      </c>
      <c r="AB113">
        <f>IF($O113="",0,IF(COUNTIFS(업무일지!$F$5:$F$1004,$O113,업무일지!$B$5:$B$1004,"&gt;="&amp;DATE($B$3,1,1),업무일지!$B$5:$B$1004,"&lt;"&amp;DATE($B$3,1+1,1),업무일지!$D$5:$D$1004,"분석")&gt;0,1,0))</f>
        <v/>
      </c>
      <c r="AC113">
        <f>IF($O113="",0,IF(COUNTIFS(업무일지!$F$5:$F$1004,$O113,업무일지!$B$5:$B$1004,"&gt;="&amp;DATE($B$3,2,1),업무일지!$B$5:$B$1004,"&lt;"&amp;DATE($B$3,2+1,1),업무일지!$D$5:$D$1004,"분석")&gt;0,1,0))</f>
        <v/>
      </c>
      <c r="AD113">
        <f>IF($O113="",0,IF(COUNTIFS(업무일지!$F$5:$F$1004,$O113,업무일지!$B$5:$B$1004,"&gt;="&amp;DATE($B$3,3,1),업무일지!$B$5:$B$1004,"&lt;"&amp;DATE($B$3,3+1,1),업무일지!$D$5:$D$1004,"분석")&gt;0,1,0))</f>
        <v/>
      </c>
      <c r="AE113">
        <f>IF($O113="",0,IF(COUNTIFS(업무일지!$F$5:$F$1004,$O113,업무일지!$B$5:$B$1004,"&gt;="&amp;DATE($B$3,4,1),업무일지!$B$5:$B$1004,"&lt;"&amp;DATE($B$3,4+1,1),업무일지!$D$5:$D$1004,"분석")&gt;0,1,0))</f>
        <v/>
      </c>
      <c r="AF113">
        <f>IF($O113="",0,IF(COUNTIFS(업무일지!$F$5:$F$1004,$O113,업무일지!$B$5:$B$1004,"&gt;="&amp;DATE($B$3,5,1),업무일지!$B$5:$B$1004,"&lt;"&amp;DATE($B$3,5+1,1),업무일지!$D$5:$D$1004,"분석")&gt;0,1,0))</f>
        <v/>
      </c>
      <c r="AG113">
        <f>IF($O113="",0,IF(COUNTIFS(업무일지!$F$5:$F$1004,$O113,업무일지!$B$5:$B$1004,"&gt;="&amp;DATE($B$3,6,1),업무일지!$B$5:$B$1004,"&lt;"&amp;DATE($B$3,6+1,1),업무일지!$D$5:$D$1004,"분석")&gt;0,1,0))</f>
        <v/>
      </c>
      <c r="AH113">
        <f>IF($O113="",0,IF(COUNTIFS(업무일지!$F$5:$F$1004,$O113,업무일지!$B$5:$B$1004,"&gt;="&amp;DATE($B$3,7,1),업무일지!$B$5:$B$1004,"&lt;"&amp;DATE($B$3,7+1,1),업무일지!$D$5:$D$1004,"분석")&gt;0,1,0))</f>
        <v/>
      </c>
      <c r="AI113">
        <f>IF($O113="",0,IF(COUNTIFS(업무일지!$F$5:$F$1004,$O113,업무일지!$B$5:$B$1004,"&gt;="&amp;DATE($B$3,8,1),업무일지!$B$5:$B$1004,"&lt;"&amp;DATE($B$3,8+1,1),업무일지!$D$5:$D$1004,"분석")&gt;0,1,0))</f>
        <v/>
      </c>
      <c r="AJ113">
        <f>IF($O113="",0,IF(COUNTIFS(업무일지!$F$5:$F$1004,$O113,업무일지!$B$5:$B$1004,"&gt;="&amp;DATE($B$3,9,1),업무일지!$B$5:$B$1004,"&lt;"&amp;DATE($B$3,9+1,1),업무일지!$D$5:$D$1004,"분석")&gt;0,1,0))</f>
        <v/>
      </c>
      <c r="AK113">
        <f>IF($O113="",0,IF(COUNTIFS(업무일지!$F$5:$F$1004,$O113,업무일지!$B$5:$B$1004,"&gt;="&amp;DATE($B$3,10,1),업무일지!$B$5:$B$1004,"&lt;"&amp;DATE($B$3,10+1,1),업무일지!$D$5:$D$1004,"분석")&gt;0,1,0))</f>
        <v/>
      </c>
      <c r="AL113">
        <f>IF($O113="",0,IF(COUNTIFS(업무일지!$F$5:$F$1004,$O113,업무일지!$B$5:$B$1004,"&gt;="&amp;DATE($B$3,11,1),업무일지!$B$5:$B$1004,"&lt;"&amp;DATE($B$3,11+1,1),업무일지!$D$5:$D$1004,"분석")&gt;0,1,0))</f>
        <v/>
      </c>
      <c r="AM113">
        <f>IF($O113="",0,IF(COUNTIFS(업무일지!$F$5:$F$1004,$O113,업무일지!$B$5:$B$1004,"&gt;="&amp;DATE($B$3,12,1),업무일지!$B$5:$B$1004,"&lt;"&amp;DATE($B$3,12+1,1),업무일지!$D$5:$D$1004,"분석")&gt;0,1,0))</f>
        <v/>
      </c>
      <c r="AN113">
        <f>IF($O113="",0,IF(COUNTIFS(업무일지!$F$5:$F$1004,$O113,업무일지!$B$5:$B$1004,"&gt;="&amp;DATE($B$3,1,1),업무일지!$B$5:$B$1004,"&lt;"&amp;DATE($B$3,1+1,1))&gt;0,1,0))</f>
        <v/>
      </c>
      <c r="AO113">
        <f>IF($O113="",0,IF(COUNTIFS(업무일지!$F$5:$F$1004,$O113,업무일지!$B$5:$B$1004,"&gt;="&amp;DATE($B$3,2,1),업무일지!$B$5:$B$1004,"&lt;"&amp;DATE($B$3,2+1,1))&gt;0,1,0))</f>
        <v/>
      </c>
      <c r="AP113">
        <f>IF($O113="",0,IF(COUNTIFS(업무일지!$F$5:$F$1004,$O113,업무일지!$B$5:$B$1004,"&gt;="&amp;DATE($B$3,3,1),업무일지!$B$5:$B$1004,"&lt;"&amp;DATE($B$3,3+1,1))&gt;0,1,0))</f>
        <v/>
      </c>
      <c r="AQ113">
        <f>IF($O113="",0,IF(COUNTIFS(업무일지!$F$5:$F$1004,$O113,업무일지!$B$5:$B$1004,"&gt;="&amp;DATE($B$3,4,1),업무일지!$B$5:$B$1004,"&lt;"&amp;DATE($B$3,4+1,1))&gt;0,1,0))</f>
        <v/>
      </c>
      <c r="AR113">
        <f>IF($O113="",0,IF(COUNTIFS(업무일지!$F$5:$F$1004,$O113,업무일지!$B$5:$B$1004,"&gt;="&amp;DATE($B$3,5,1),업무일지!$B$5:$B$1004,"&lt;"&amp;DATE($B$3,5+1,1))&gt;0,1,0))</f>
        <v/>
      </c>
      <c r="AS113">
        <f>IF($O113="",0,IF(COUNTIFS(업무일지!$F$5:$F$1004,$O113,업무일지!$B$5:$B$1004,"&gt;="&amp;DATE($B$3,6,1),업무일지!$B$5:$B$1004,"&lt;"&amp;DATE($B$3,6+1,1))&gt;0,1,0))</f>
        <v/>
      </c>
      <c r="AT113">
        <f>IF($O113="",0,IF(COUNTIFS(업무일지!$F$5:$F$1004,$O113,업무일지!$B$5:$B$1004,"&gt;="&amp;DATE($B$3,7,1),업무일지!$B$5:$B$1004,"&lt;"&amp;DATE($B$3,7+1,1))&gt;0,1,0))</f>
        <v/>
      </c>
      <c r="AU113">
        <f>IF($O113="",0,IF(COUNTIFS(업무일지!$F$5:$F$1004,$O113,업무일지!$B$5:$B$1004,"&gt;="&amp;DATE($B$3,8,1),업무일지!$B$5:$B$1004,"&lt;"&amp;DATE($B$3,8+1,1))&gt;0,1,0))</f>
        <v/>
      </c>
      <c r="AV113">
        <f>IF($O113="",0,IF(COUNTIFS(업무일지!$F$5:$F$1004,$O113,업무일지!$B$5:$B$1004,"&gt;="&amp;DATE($B$3,9,1),업무일지!$B$5:$B$1004,"&lt;"&amp;DATE($B$3,9+1,1))&gt;0,1,0))</f>
        <v/>
      </c>
      <c r="AW113">
        <f>IF($O113="",0,IF(COUNTIFS(업무일지!$F$5:$F$1004,$O113,업무일지!$B$5:$B$1004,"&gt;="&amp;DATE($B$3,10,1),업무일지!$B$5:$B$1004,"&lt;"&amp;DATE($B$3,10+1,1))&gt;0,1,0))</f>
        <v/>
      </c>
      <c r="AX113">
        <f>IF($O113="",0,IF(COUNTIFS(업무일지!$F$5:$F$1004,$O113,업무일지!$B$5:$B$1004,"&gt;="&amp;DATE($B$3,11,1),업무일지!$B$5:$B$1004,"&lt;"&amp;DATE($B$3,11+1,1))&gt;0,1,0))</f>
        <v/>
      </c>
      <c r="AY113">
        <f>IF($O113="",0,IF(COUNTIFS(업무일지!$F$5:$F$1004,$O113,업무일지!$B$5:$B$1004,"&gt;="&amp;DATE($B$3,12,1),업무일지!$B$5:$B$1004,"&lt;"&amp;DATE($B$3,12+1,1))&gt;0,1,0))</f>
        <v/>
      </c>
      <c r="AZ113">
        <f>IF($O113="",0,IF(COUNTIFS(업무일지!$F$5:$F$1004,$O113,업무일지!$B$5:$B$1004,"&gt;="&amp;DATE($B$3,1,1),업무일지!$B$5:$B$1004,"&lt;"&amp;DATE($B$3+1,1,1),업무일지!$D$5:$D$1004,"출장")&gt;0,1,0))</f>
        <v/>
      </c>
      <c r="BA113">
        <f>IF($O113="",0,IF(COUNTIFS(업무일지!$F$5:$F$1004,$O113,업무일지!$B$5:$B$1004,"&gt;="&amp;DATE($B$3,1,1),업무일지!$B$5:$B$1004,"&lt;"&amp;DATE($B$3+1,1,1),업무일지!$D$5:$D$1004,"분석")&gt;0,1,0))</f>
        <v/>
      </c>
      <c r="BB113">
        <f>IF($O113="",0,IF(COUNTIFS(업무일지!$F$5:$F$1004,$O113,업무일지!$B$5:$B$1004,"&gt;="&amp;DATE($B$3,1,1),업무일지!$B$5:$B$1004,"&lt;"&amp;DATE($B$3+1,1,1))&gt;0,1,0))</f>
        <v/>
      </c>
      <c r="BD113">
        <f>IF($O113="",0,IF(COUNTIFS(업무일지!$F$5:$F$1004,$O113,업무일지!$B$5:$B$1004,"&gt;="&amp;DATE($B$3,1,1),업무일지!$B$5:$B$1004,"&lt;"&amp;DATE($B$3+1,1,1),업무일지!$AB$5:$AB$1004,$A$44,업무일지!$D$5:$D$1004,"출장")&gt;0,1,0))</f>
        <v/>
      </c>
      <c r="BE113">
        <f>IF($O113="",0,IF(COUNTIFS(업무일지!$F$5:$F$1004,$O113,업무일지!$B$5:$B$1004,"&gt;="&amp;DATE($B$3,1,1),업무일지!$B$5:$B$1004,"&lt;"&amp;DATE($B$3+1,1,1),업무일지!$AB$5:$AB$1004,$A$45,업무일지!$D$5:$D$1004,"출장")&gt;0,1,0))</f>
        <v/>
      </c>
      <c r="BF113">
        <f>IF($O113="",0,IF(COUNTIFS(업무일지!$F$5:$F$1004,$O113,업무일지!$B$5:$B$1004,"&gt;="&amp;DATE($B$3,1,1),업무일지!$B$5:$B$1004,"&lt;"&amp;DATE($B$3+1,1,1),업무일지!$AB$5:$AB$1004,$A$46,업무일지!$D$5:$D$1004,"출장")&gt;0,1,0))</f>
        <v/>
      </c>
      <c r="BG113">
        <f>IF($O113="",0,IF(COUNTIFS(업무일지!$F$5:$F$1004,$O113,업무일지!$B$5:$B$1004,"&gt;="&amp;DATE($B$3,1,1),업무일지!$B$5:$B$1004,"&lt;"&amp;DATE($B$3+1,1,1),업무일지!$AB$5:$AB$1004,$A$47,업무일지!$D$5:$D$1004,"출장")&gt;0,1,0))</f>
        <v/>
      </c>
      <c r="BH113">
        <f>IF($O113="",0,IF(COUNTIFS(업무일지!$F$5:$F$1004,$O113,업무일지!$B$5:$B$1004,"&gt;="&amp;DATE($B$3,1,1),업무일지!$B$5:$B$1004,"&lt;"&amp;DATE($B$3+1,1,1),업무일지!$AB$5:$AB$1004,$A$48,업무일지!$D$5:$D$1004,"출장")&gt;0,1,0))</f>
        <v/>
      </c>
      <c r="BI113">
        <f>IF($O113="",0,IF(COUNTIFS(업무일지!$F$5:$F$1004,$O113,업무일지!$B$5:$B$1004,"&gt;="&amp;DATE($B$3,1,1),업무일지!$B$5:$B$1004,"&lt;"&amp;DATE($B$3+1,1,1),업무일지!$AB$5:$AB$1004,$A$49,업무일지!$D$5:$D$1004,"출장")&gt;0,1,0))</f>
        <v/>
      </c>
      <c r="BJ113">
        <f>IF($O113="",0,IF(COUNTIFS(업무일지!$F$5:$F$1004,$O113,업무일지!$B$5:$B$1004,"&gt;="&amp;DATE($B$3,1,1),업무일지!$B$5:$B$1004,"&lt;"&amp;DATE($B$3+1,1,1),업무일지!$AB$5:$AB$1004,$A$50,업무일지!$D$5:$D$1004,"출장")&gt;0,1,0))</f>
        <v/>
      </c>
      <c r="BK113">
        <f>IF($O113="",0,IF(COUNTIFS(업무일지!$F$5:$F$1004,$O113,업무일지!$B$5:$B$1004,"&gt;="&amp;DATE($B$3,1,1),업무일지!$B$5:$B$1004,"&lt;"&amp;DATE($B$3+1,1,1),업무일지!$AB$5:$AB$1004,$A$51,업무일지!$D$5:$D$1004,"출장")&gt;0,1,0))</f>
        <v/>
      </c>
      <c r="BL113">
        <f>IF($O113="",0,IF(COUNTIFS(업무일지!$F$5:$F$1004,$O113,업무일지!$B$5:$B$1004,"&gt;="&amp;DATE($B$3,1,1),업무일지!$B$5:$B$1004,"&lt;"&amp;DATE($B$3+1,1,1),업무일지!$AB$5:$AB$1004,$A$52,업무일지!$D$5:$D$1004,"출장")&gt;0,1,0))</f>
        <v/>
      </c>
      <c r="BM113">
        <f>IF($O113="",0,IF(COUNTIFS(업무일지!$F$5:$F$1004,$O113,업무일지!$B$5:$B$1004,"&gt;="&amp;DATE($B$3,1,1),업무일지!$B$5:$B$1004,"&lt;"&amp;DATE($B$3+1,1,1),업무일지!$AB$5:$AB$1004,$A$53,업무일지!$D$5:$D$1004,"출장")&gt;0,1,0))</f>
        <v/>
      </c>
      <c r="BO113">
        <f>IF($O113="",0,IF(COUNTIFS(업무일지!$F$5:$F$1004,$O113,업무일지!$B$5:$B$1004,"&gt;="&amp;DATE($B$3,1,1),업무일지!$B$5:$B$1004,"&lt;"&amp;DATE($B$3+1,1,1),업무일지!$AB$5:$AB$1004,$A$44,업무일지!$D$5:$D$1004,"분석")&gt;0,1,0))</f>
        <v/>
      </c>
      <c r="BP113">
        <f>IF($O113="",0,IF(COUNTIFS(업무일지!$F$5:$F$1004,$O113,업무일지!$B$5:$B$1004,"&gt;="&amp;DATE($B$3,1,1),업무일지!$B$5:$B$1004,"&lt;"&amp;DATE($B$3+1,1,1),업무일지!$AB$5:$AB$1004,$A$45,업무일지!$D$5:$D$1004,"분석")&gt;0,1,0))</f>
        <v/>
      </c>
      <c r="BQ113">
        <f>IF($O113="",0,IF(COUNTIFS(업무일지!$F$5:$F$1004,$O113,업무일지!$B$5:$B$1004,"&gt;="&amp;DATE($B$3,1,1),업무일지!$B$5:$B$1004,"&lt;"&amp;DATE($B$3+1,1,1),업무일지!$AB$5:$AB$1004,$A$46,업무일지!$D$5:$D$1004,"분석")&gt;0,1,0))</f>
        <v/>
      </c>
      <c r="BR113">
        <f>IF($O113="",0,IF(COUNTIFS(업무일지!$F$5:$F$1004,$O113,업무일지!$B$5:$B$1004,"&gt;="&amp;DATE($B$3,1,1),업무일지!$B$5:$B$1004,"&lt;"&amp;DATE($B$3+1,1,1),업무일지!$AB$5:$AB$1004,$A$47,업무일지!$D$5:$D$1004,"분석")&gt;0,1,0))</f>
        <v/>
      </c>
      <c r="BS113">
        <f>IF($O113="",0,IF(COUNTIFS(업무일지!$F$5:$F$1004,$O113,업무일지!$B$5:$B$1004,"&gt;="&amp;DATE($B$3,1,1),업무일지!$B$5:$B$1004,"&lt;"&amp;DATE($B$3+1,1,1),업무일지!$AB$5:$AB$1004,$A$48,업무일지!$D$5:$D$1004,"분석")&gt;0,1,0))</f>
        <v/>
      </c>
      <c r="BT113">
        <f>IF($O113="",0,IF(COUNTIFS(업무일지!$F$5:$F$1004,$O113,업무일지!$B$5:$B$1004,"&gt;="&amp;DATE($B$3,1,1),업무일지!$B$5:$B$1004,"&lt;"&amp;DATE($B$3+1,1,1),업무일지!$AB$5:$AB$1004,$A$49,업무일지!$D$5:$D$1004,"분석")&gt;0,1,0))</f>
        <v/>
      </c>
      <c r="BU113">
        <f>IF($O113="",0,IF(COUNTIFS(업무일지!$F$5:$F$1004,$O113,업무일지!$B$5:$B$1004,"&gt;="&amp;DATE($B$3,1,1),업무일지!$B$5:$B$1004,"&lt;"&amp;DATE($B$3+1,1,1),업무일지!$AB$5:$AB$1004,$A$50,업무일지!$D$5:$D$1004,"분석")&gt;0,1,0))</f>
        <v/>
      </c>
      <c r="BV113">
        <f>IF($O113="",0,IF(COUNTIFS(업무일지!$F$5:$F$1004,$O113,업무일지!$B$5:$B$1004,"&gt;="&amp;DATE($B$3,1,1),업무일지!$B$5:$B$1004,"&lt;"&amp;DATE($B$3+1,1,1),업무일지!$AB$5:$AB$1004,$A$51,업무일지!$D$5:$D$1004,"분석")&gt;0,1,0))</f>
        <v/>
      </c>
      <c r="BW113">
        <f>IF($O113="",0,IF(COUNTIFS(업무일지!$F$5:$F$1004,$O113,업무일지!$B$5:$B$1004,"&gt;="&amp;DATE($B$3,1,1),업무일지!$B$5:$B$1004,"&lt;"&amp;DATE($B$3+1,1,1),업무일지!$AB$5:$AB$1004,$A$52,업무일지!$D$5:$D$1004,"분석")&gt;0,1,0))</f>
        <v/>
      </c>
      <c r="BX113">
        <f>IF($O113="",0,IF(COUNTIFS(업무일지!$F$5:$F$1004,$O113,업무일지!$B$5:$B$1004,"&gt;="&amp;DATE($B$3,1,1),업무일지!$B$5:$B$1004,"&lt;"&amp;DATE($B$3+1,1,1),업무일지!$AB$5:$AB$1004,$A$53,업무일지!$D$5:$D$1004,"분석")&gt;0,1,0))</f>
        <v/>
      </c>
      <c r="BZ113">
        <f>IF($O113="",0,IF(COUNTIFS(업무일지!$F$5:$F$1004,$O113,업무일지!$B$5:$B$1004,"&gt;="&amp;DATE($B$3,1,1),업무일지!$B$5:$B$1004,"&lt;"&amp;DATE($B$3+1,1,1),업무일지!$AB$5:$AB$1004,$A$44)&gt;0,1,0))</f>
        <v/>
      </c>
      <c r="CA113">
        <f>IF($O113="",0,IF(COUNTIFS(업무일지!$F$5:$F$1004,$O113,업무일지!$B$5:$B$1004,"&gt;="&amp;DATE($B$3,1,1),업무일지!$B$5:$B$1004,"&lt;"&amp;DATE($B$3+1,1,1),업무일지!$AB$5:$AB$1004,$A$45)&gt;0,1,0))</f>
        <v/>
      </c>
      <c r="CB113">
        <f>IF($O113="",0,IF(COUNTIFS(업무일지!$F$5:$F$1004,$O113,업무일지!$B$5:$B$1004,"&gt;="&amp;DATE($B$3,1,1),업무일지!$B$5:$B$1004,"&lt;"&amp;DATE($B$3+1,1,1),업무일지!$AB$5:$AB$1004,$A$46)&gt;0,1,0))</f>
        <v/>
      </c>
      <c r="CC113">
        <f>IF($O113="",0,IF(COUNTIFS(업무일지!$F$5:$F$1004,$O113,업무일지!$B$5:$B$1004,"&gt;="&amp;DATE($B$3,1,1),업무일지!$B$5:$B$1004,"&lt;"&amp;DATE($B$3+1,1,1),업무일지!$AB$5:$AB$1004,$A$47)&gt;0,1,0))</f>
        <v/>
      </c>
      <c r="CD113">
        <f>IF($O113="",0,IF(COUNTIFS(업무일지!$F$5:$F$1004,$O113,업무일지!$B$5:$B$1004,"&gt;="&amp;DATE($B$3,1,1),업무일지!$B$5:$B$1004,"&lt;"&amp;DATE($B$3+1,1,1),업무일지!$AB$5:$AB$1004,$A$48)&gt;0,1,0))</f>
        <v/>
      </c>
      <c r="CE113">
        <f>IF($O113="",0,IF(COUNTIFS(업무일지!$F$5:$F$1004,$O113,업무일지!$B$5:$B$1004,"&gt;="&amp;DATE($B$3,1,1),업무일지!$B$5:$B$1004,"&lt;"&amp;DATE($B$3+1,1,1),업무일지!$AB$5:$AB$1004,$A$49)&gt;0,1,0))</f>
        <v/>
      </c>
      <c r="CF113">
        <f>IF($O113="",0,IF(COUNTIFS(업무일지!$F$5:$F$1004,$O113,업무일지!$B$5:$B$1004,"&gt;="&amp;DATE($B$3,1,1),업무일지!$B$5:$B$1004,"&lt;"&amp;DATE($B$3+1,1,1),업무일지!$AB$5:$AB$1004,$A$50)&gt;0,1,0))</f>
        <v/>
      </c>
      <c r="CG113">
        <f>IF($O113="",0,IF(COUNTIFS(업무일지!$F$5:$F$1004,$O113,업무일지!$B$5:$B$1004,"&gt;="&amp;DATE($B$3,1,1),업무일지!$B$5:$B$1004,"&lt;"&amp;DATE($B$3+1,1,1),업무일지!$AB$5:$AB$1004,$A$51)&gt;0,1,0))</f>
        <v/>
      </c>
      <c r="CH113">
        <f>IF($O113="",0,IF(COUNTIFS(업무일지!$F$5:$F$1004,$O113,업무일지!$B$5:$B$1004,"&gt;="&amp;DATE($B$3,1,1),업무일지!$B$5:$B$1004,"&lt;"&amp;DATE($B$3+1,1,1),업무일지!$AB$5:$AB$1004,$A$52)&gt;0,1,0))</f>
        <v/>
      </c>
      <c r="CI113">
        <f>IF($O113="",0,IF(COUNTIFS(업무일지!$F$5:$F$1004,$O113,업무일지!$B$5:$B$1004,"&gt;="&amp;DATE($B$3,1,1),업무일지!$B$5:$B$1004,"&lt;"&amp;DATE($B$3+1,1,1),업무일지!$AB$5:$AB$1004,$A$53)&gt;0,1,0))</f>
        <v/>
      </c>
    </row>
    <row r="114">
      <c r="O114">
        <f>IF(사건마스터!$A34="","",사건마스터!$A34)</f>
        <v/>
      </c>
      <c r="P114">
        <f>IF($O114="",0,IF(COUNTIFS(업무일지!$F$5:$F$1004,$O114,업무일지!$B$5:$B$1004,"&gt;="&amp;DATE($B$3,1,1),업무일지!$B$5:$B$1004,"&lt;"&amp;DATE($B$3,1+1,1),업무일지!$D$5:$D$1004,"출장")&gt;0,1,0))</f>
        <v/>
      </c>
      <c r="Q114">
        <f>IF($O114="",0,IF(COUNTIFS(업무일지!$F$5:$F$1004,$O114,업무일지!$B$5:$B$1004,"&gt;="&amp;DATE($B$3,2,1),업무일지!$B$5:$B$1004,"&lt;"&amp;DATE($B$3,2+1,1),업무일지!$D$5:$D$1004,"출장")&gt;0,1,0))</f>
        <v/>
      </c>
      <c r="R114">
        <f>IF($O114="",0,IF(COUNTIFS(업무일지!$F$5:$F$1004,$O114,업무일지!$B$5:$B$1004,"&gt;="&amp;DATE($B$3,3,1),업무일지!$B$5:$B$1004,"&lt;"&amp;DATE($B$3,3+1,1),업무일지!$D$5:$D$1004,"출장")&gt;0,1,0))</f>
        <v/>
      </c>
      <c r="S114">
        <f>IF($O114="",0,IF(COUNTIFS(업무일지!$F$5:$F$1004,$O114,업무일지!$B$5:$B$1004,"&gt;="&amp;DATE($B$3,4,1),업무일지!$B$5:$B$1004,"&lt;"&amp;DATE($B$3,4+1,1),업무일지!$D$5:$D$1004,"출장")&gt;0,1,0))</f>
        <v/>
      </c>
      <c r="T114">
        <f>IF($O114="",0,IF(COUNTIFS(업무일지!$F$5:$F$1004,$O114,업무일지!$B$5:$B$1004,"&gt;="&amp;DATE($B$3,5,1),업무일지!$B$5:$B$1004,"&lt;"&amp;DATE($B$3,5+1,1),업무일지!$D$5:$D$1004,"출장")&gt;0,1,0))</f>
        <v/>
      </c>
      <c r="U114">
        <f>IF($O114="",0,IF(COUNTIFS(업무일지!$F$5:$F$1004,$O114,업무일지!$B$5:$B$1004,"&gt;="&amp;DATE($B$3,6,1),업무일지!$B$5:$B$1004,"&lt;"&amp;DATE($B$3,6+1,1),업무일지!$D$5:$D$1004,"출장")&gt;0,1,0))</f>
        <v/>
      </c>
      <c r="V114">
        <f>IF($O114="",0,IF(COUNTIFS(업무일지!$F$5:$F$1004,$O114,업무일지!$B$5:$B$1004,"&gt;="&amp;DATE($B$3,7,1),업무일지!$B$5:$B$1004,"&lt;"&amp;DATE($B$3,7+1,1),업무일지!$D$5:$D$1004,"출장")&gt;0,1,0))</f>
        <v/>
      </c>
      <c r="W114">
        <f>IF($O114="",0,IF(COUNTIFS(업무일지!$F$5:$F$1004,$O114,업무일지!$B$5:$B$1004,"&gt;="&amp;DATE($B$3,8,1),업무일지!$B$5:$B$1004,"&lt;"&amp;DATE($B$3,8+1,1),업무일지!$D$5:$D$1004,"출장")&gt;0,1,0))</f>
        <v/>
      </c>
      <c r="X114">
        <f>IF($O114="",0,IF(COUNTIFS(업무일지!$F$5:$F$1004,$O114,업무일지!$B$5:$B$1004,"&gt;="&amp;DATE($B$3,9,1),업무일지!$B$5:$B$1004,"&lt;"&amp;DATE($B$3,9+1,1),업무일지!$D$5:$D$1004,"출장")&gt;0,1,0))</f>
        <v/>
      </c>
      <c r="Y114">
        <f>IF($O114="",0,IF(COUNTIFS(업무일지!$F$5:$F$1004,$O114,업무일지!$B$5:$B$1004,"&gt;="&amp;DATE($B$3,10,1),업무일지!$B$5:$B$1004,"&lt;"&amp;DATE($B$3,10+1,1),업무일지!$D$5:$D$1004,"출장")&gt;0,1,0))</f>
        <v/>
      </c>
      <c r="Z114">
        <f>IF($O114="",0,IF(COUNTIFS(업무일지!$F$5:$F$1004,$O114,업무일지!$B$5:$B$1004,"&gt;="&amp;DATE($B$3,11,1),업무일지!$B$5:$B$1004,"&lt;"&amp;DATE($B$3,11+1,1),업무일지!$D$5:$D$1004,"출장")&gt;0,1,0))</f>
        <v/>
      </c>
      <c r="AA114">
        <f>IF($O114="",0,IF(COUNTIFS(업무일지!$F$5:$F$1004,$O114,업무일지!$B$5:$B$1004,"&gt;="&amp;DATE($B$3,12,1),업무일지!$B$5:$B$1004,"&lt;"&amp;DATE($B$3,12+1,1),업무일지!$D$5:$D$1004,"출장")&gt;0,1,0))</f>
        <v/>
      </c>
      <c r="AB114">
        <f>IF($O114="",0,IF(COUNTIFS(업무일지!$F$5:$F$1004,$O114,업무일지!$B$5:$B$1004,"&gt;="&amp;DATE($B$3,1,1),업무일지!$B$5:$B$1004,"&lt;"&amp;DATE($B$3,1+1,1),업무일지!$D$5:$D$1004,"분석")&gt;0,1,0))</f>
        <v/>
      </c>
      <c r="AC114">
        <f>IF($O114="",0,IF(COUNTIFS(업무일지!$F$5:$F$1004,$O114,업무일지!$B$5:$B$1004,"&gt;="&amp;DATE($B$3,2,1),업무일지!$B$5:$B$1004,"&lt;"&amp;DATE($B$3,2+1,1),업무일지!$D$5:$D$1004,"분석")&gt;0,1,0))</f>
        <v/>
      </c>
      <c r="AD114">
        <f>IF($O114="",0,IF(COUNTIFS(업무일지!$F$5:$F$1004,$O114,업무일지!$B$5:$B$1004,"&gt;="&amp;DATE($B$3,3,1),업무일지!$B$5:$B$1004,"&lt;"&amp;DATE($B$3,3+1,1),업무일지!$D$5:$D$1004,"분석")&gt;0,1,0))</f>
        <v/>
      </c>
      <c r="AE114">
        <f>IF($O114="",0,IF(COUNTIFS(업무일지!$F$5:$F$1004,$O114,업무일지!$B$5:$B$1004,"&gt;="&amp;DATE($B$3,4,1),업무일지!$B$5:$B$1004,"&lt;"&amp;DATE($B$3,4+1,1),업무일지!$D$5:$D$1004,"분석")&gt;0,1,0))</f>
        <v/>
      </c>
      <c r="AF114">
        <f>IF($O114="",0,IF(COUNTIFS(업무일지!$F$5:$F$1004,$O114,업무일지!$B$5:$B$1004,"&gt;="&amp;DATE($B$3,5,1),업무일지!$B$5:$B$1004,"&lt;"&amp;DATE($B$3,5+1,1),업무일지!$D$5:$D$1004,"분석")&gt;0,1,0))</f>
        <v/>
      </c>
      <c r="AG114">
        <f>IF($O114="",0,IF(COUNTIFS(업무일지!$F$5:$F$1004,$O114,업무일지!$B$5:$B$1004,"&gt;="&amp;DATE($B$3,6,1),업무일지!$B$5:$B$1004,"&lt;"&amp;DATE($B$3,6+1,1),업무일지!$D$5:$D$1004,"분석")&gt;0,1,0))</f>
        <v/>
      </c>
      <c r="AH114">
        <f>IF($O114="",0,IF(COUNTIFS(업무일지!$F$5:$F$1004,$O114,업무일지!$B$5:$B$1004,"&gt;="&amp;DATE($B$3,7,1),업무일지!$B$5:$B$1004,"&lt;"&amp;DATE($B$3,7+1,1),업무일지!$D$5:$D$1004,"분석")&gt;0,1,0))</f>
        <v/>
      </c>
      <c r="AI114">
        <f>IF($O114="",0,IF(COUNTIFS(업무일지!$F$5:$F$1004,$O114,업무일지!$B$5:$B$1004,"&gt;="&amp;DATE($B$3,8,1),업무일지!$B$5:$B$1004,"&lt;"&amp;DATE($B$3,8+1,1),업무일지!$D$5:$D$1004,"분석")&gt;0,1,0))</f>
        <v/>
      </c>
      <c r="AJ114">
        <f>IF($O114="",0,IF(COUNTIFS(업무일지!$F$5:$F$1004,$O114,업무일지!$B$5:$B$1004,"&gt;="&amp;DATE($B$3,9,1),업무일지!$B$5:$B$1004,"&lt;"&amp;DATE($B$3,9+1,1),업무일지!$D$5:$D$1004,"분석")&gt;0,1,0))</f>
        <v/>
      </c>
      <c r="AK114">
        <f>IF($O114="",0,IF(COUNTIFS(업무일지!$F$5:$F$1004,$O114,업무일지!$B$5:$B$1004,"&gt;="&amp;DATE($B$3,10,1),업무일지!$B$5:$B$1004,"&lt;"&amp;DATE($B$3,10+1,1),업무일지!$D$5:$D$1004,"분석")&gt;0,1,0))</f>
        <v/>
      </c>
      <c r="AL114">
        <f>IF($O114="",0,IF(COUNTIFS(업무일지!$F$5:$F$1004,$O114,업무일지!$B$5:$B$1004,"&gt;="&amp;DATE($B$3,11,1),업무일지!$B$5:$B$1004,"&lt;"&amp;DATE($B$3,11+1,1),업무일지!$D$5:$D$1004,"분석")&gt;0,1,0))</f>
        <v/>
      </c>
      <c r="AM114">
        <f>IF($O114="",0,IF(COUNTIFS(업무일지!$F$5:$F$1004,$O114,업무일지!$B$5:$B$1004,"&gt;="&amp;DATE($B$3,12,1),업무일지!$B$5:$B$1004,"&lt;"&amp;DATE($B$3,12+1,1),업무일지!$D$5:$D$1004,"분석")&gt;0,1,0))</f>
        <v/>
      </c>
      <c r="AN114">
        <f>IF($O114="",0,IF(COUNTIFS(업무일지!$F$5:$F$1004,$O114,업무일지!$B$5:$B$1004,"&gt;="&amp;DATE($B$3,1,1),업무일지!$B$5:$B$1004,"&lt;"&amp;DATE($B$3,1+1,1))&gt;0,1,0))</f>
        <v/>
      </c>
      <c r="AO114">
        <f>IF($O114="",0,IF(COUNTIFS(업무일지!$F$5:$F$1004,$O114,업무일지!$B$5:$B$1004,"&gt;="&amp;DATE($B$3,2,1),업무일지!$B$5:$B$1004,"&lt;"&amp;DATE($B$3,2+1,1))&gt;0,1,0))</f>
        <v/>
      </c>
      <c r="AP114">
        <f>IF($O114="",0,IF(COUNTIFS(업무일지!$F$5:$F$1004,$O114,업무일지!$B$5:$B$1004,"&gt;="&amp;DATE($B$3,3,1),업무일지!$B$5:$B$1004,"&lt;"&amp;DATE($B$3,3+1,1))&gt;0,1,0))</f>
        <v/>
      </c>
      <c r="AQ114">
        <f>IF($O114="",0,IF(COUNTIFS(업무일지!$F$5:$F$1004,$O114,업무일지!$B$5:$B$1004,"&gt;="&amp;DATE($B$3,4,1),업무일지!$B$5:$B$1004,"&lt;"&amp;DATE($B$3,4+1,1))&gt;0,1,0))</f>
        <v/>
      </c>
      <c r="AR114">
        <f>IF($O114="",0,IF(COUNTIFS(업무일지!$F$5:$F$1004,$O114,업무일지!$B$5:$B$1004,"&gt;="&amp;DATE($B$3,5,1),업무일지!$B$5:$B$1004,"&lt;"&amp;DATE($B$3,5+1,1))&gt;0,1,0))</f>
        <v/>
      </c>
      <c r="AS114">
        <f>IF($O114="",0,IF(COUNTIFS(업무일지!$F$5:$F$1004,$O114,업무일지!$B$5:$B$1004,"&gt;="&amp;DATE($B$3,6,1),업무일지!$B$5:$B$1004,"&lt;"&amp;DATE($B$3,6+1,1))&gt;0,1,0))</f>
        <v/>
      </c>
      <c r="AT114">
        <f>IF($O114="",0,IF(COUNTIFS(업무일지!$F$5:$F$1004,$O114,업무일지!$B$5:$B$1004,"&gt;="&amp;DATE($B$3,7,1),업무일지!$B$5:$B$1004,"&lt;"&amp;DATE($B$3,7+1,1))&gt;0,1,0))</f>
        <v/>
      </c>
      <c r="AU114">
        <f>IF($O114="",0,IF(COUNTIFS(업무일지!$F$5:$F$1004,$O114,업무일지!$B$5:$B$1004,"&gt;="&amp;DATE($B$3,8,1),업무일지!$B$5:$B$1004,"&lt;"&amp;DATE($B$3,8+1,1))&gt;0,1,0))</f>
        <v/>
      </c>
      <c r="AV114">
        <f>IF($O114="",0,IF(COUNTIFS(업무일지!$F$5:$F$1004,$O114,업무일지!$B$5:$B$1004,"&gt;="&amp;DATE($B$3,9,1),업무일지!$B$5:$B$1004,"&lt;"&amp;DATE($B$3,9+1,1))&gt;0,1,0))</f>
        <v/>
      </c>
      <c r="AW114">
        <f>IF($O114="",0,IF(COUNTIFS(업무일지!$F$5:$F$1004,$O114,업무일지!$B$5:$B$1004,"&gt;="&amp;DATE($B$3,10,1),업무일지!$B$5:$B$1004,"&lt;"&amp;DATE($B$3,10+1,1))&gt;0,1,0))</f>
        <v/>
      </c>
      <c r="AX114">
        <f>IF($O114="",0,IF(COUNTIFS(업무일지!$F$5:$F$1004,$O114,업무일지!$B$5:$B$1004,"&gt;="&amp;DATE($B$3,11,1),업무일지!$B$5:$B$1004,"&lt;"&amp;DATE($B$3,11+1,1))&gt;0,1,0))</f>
        <v/>
      </c>
      <c r="AY114">
        <f>IF($O114="",0,IF(COUNTIFS(업무일지!$F$5:$F$1004,$O114,업무일지!$B$5:$B$1004,"&gt;="&amp;DATE($B$3,12,1),업무일지!$B$5:$B$1004,"&lt;"&amp;DATE($B$3,12+1,1))&gt;0,1,0))</f>
        <v/>
      </c>
      <c r="AZ114">
        <f>IF($O114="",0,IF(COUNTIFS(업무일지!$F$5:$F$1004,$O114,업무일지!$B$5:$B$1004,"&gt;="&amp;DATE($B$3,1,1),업무일지!$B$5:$B$1004,"&lt;"&amp;DATE($B$3+1,1,1),업무일지!$D$5:$D$1004,"출장")&gt;0,1,0))</f>
        <v/>
      </c>
      <c r="BA114">
        <f>IF($O114="",0,IF(COUNTIFS(업무일지!$F$5:$F$1004,$O114,업무일지!$B$5:$B$1004,"&gt;="&amp;DATE($B$3,1,1),업무일지!$B$5:$B$1004,"&lt;"&amp;DATE($B$3+1,1,1),업무일지!$D$5:$D$1004,"분석")&gt;0,1,0))</f>
        <v/>
      </c>
      <c r="BB114">
        <f>IF($O114="",0,IF(COUNTIFS(업무일지!$F$5:$F$1004,$O114,업무일지!$B$5:$B$1004,"&gt;="&amp;DATE($B$3,1,1),업무일지!$B$5:$B$1004,"&lt;"&amp;DATE($B$3+1,1,1))&gt;0,1,0))</f>
        <v/>
      </c>
      <c r="BD114">
        <f>IF($O114="",0,IF(COUNTIFS(업무일지!$F$5:$F$1004,$O114,업무일지!$B$5:$B$1004,"&gt;="&amp;DATE($B$3,1,1),업무일지!$B$5:$B$1004,"&lt;"&amp;DATE($B$3+1,1,1),업무일지!$AB$5:$AB$1004,$A$44,업무일지!$D$5:$D$1004,"출장")&gt;0,1,0))</f>
        <v/>
      </c>
      <c r="BE114">
        <f>IF($O114="",0,IF(COUNTIFS(업무일지!$F$5:$F$1004,$O114,업무일지!$B$5:$B$1004,"&gt;="&amp;DATE($B$3,1,1),업무일지!$B$5:$B$1004,"&lt;"&amp;DATE($B$3+1,1,1),업무일지!$AB$5:$AB$1004,$A$45,업무일지!$D$5:$D$1004,"출장")&gt;0,1,0))</f>
        <v/>
      </c>
      <c r="BF114">
        <f>IF($O114="",0,IF(COUNTIFS(업무일지!$F$5:$F$1004,$O114,업무일지!$B$5:$B$1004,"&gt;="&amp;DATE($B$3,1,1),업무일지!$B$5:$B$1004,"&lt;"&amp;DATE($B$3+1,1,1),업무일지!$AB$5:$AB$1004,$A$46,업무일지!$D$5:$D$1004,"출장")&gt;0,1,0))</f>
        <v/>
      </c>
      <c r="BG114">
        <f>IF($O114="",0,IF(COUNTIFS(업무일지!$F$5:$F$1004,$O114,업무일지!$B$5:$B$1004,"&gt;="&amp;DATE($B$3,1,1),업무일지!$B$5:$B$1004,"&lt;"&amp;DATE($B$3+1,1,1),업무일지!$AB$5:$AB$1004,$A$47,업무일지!$D$5:$D$1004,"출장")&gt;0,1,0))</f>
        <v/>
      </c>
      <c r="BH114">
        <f>IF($O114="",0,IF(COUNTIFS(업무일지!$F$5:$F$1004,$O114,업무일지!$B$5:$B$1004,"&gt;="&amp;DATE($B$3,1,1),업무일지!$B$5:$B$1004,"&lt;"&amp;DATE($B$3+1,1,1),업무일지!$AB$5:$AB$1004,$A$48,업무일지!$D$5:$D$1004,"출장")&gt;0,1,0))</f>
        <v/>
      </c>
      <c r="BI114">
        <f>IF($O114="",0,IF(COUNTIFS(업무일지!$F$5:$F$1004,$O114,업무일지!$B$5:$B$1004,"&gt;="&amp;DATE($B$3,1,1),업무일지!$B$5:$B$1004,"&lt;"&amp;DATE($B$3+1,1,1),업무일지!$AB$5:$AB$1004,$A$49,업무일지!$D$5:$D$1004,"출장")&gt;0,1,0))</f>
        <v/>
      </c>
      <c r="BJ114">
        <f>IF($O114="",0,IF(COUNTIFS(업무일지!$F$5:$F$1004,$O114,업무일지!$B$5:$B$1004,"&gt;="&amp;DATE($B$3,1,1),업무일지!$B$5:$B$1004,"&lt;"&amp;DATE($B$3+1,1,1),업무일지!$AB$5:$AB$1004,$A$50,업무일지!$D$5:$D$1004,"출장")&gt;0,1,0))</f>
        <v/>
      </c>
      <c r="BK114">
        <f>IF($O114="",0,IF(COUNTIFS(업무일지!$F$5:$F$1004,$O114,업무일지!$B$5:$B$1004,"&gt;="&amp;DATE($B$3,1,1),업무일지!$B$5:$B$1004,"&lt;"&amp;DATE($B$3+1,1,1),업무일지!$AB$5:$AB$1004,$A$51,업무일지!$D$5:$D$1004,"출장")&gt;0,1,0))</f>
        <v/>
      </c>
      <c r="BL114">
        <f>IF($O114="",0,IF(COUNTIFS(업무일지!$F$5:$F$1004,$O114,업무일지!$B$5:$B$1004,"&gt;="&amp;DATE($B$3,1,1),업무일지!$B$5:$B$1004,"&lt;"&amp;DATE($B$3+1,1,1),업무일지!$AB$5:$AB$1004,$A$52,업무일지!$D$5:$D$1004,"출장")&gt;0,1,0))</f>
        <v/>
      </c>
      <c r="BM114">
        <f>IF($O114="",0,IF(COUNTIFS(업무일지!$F$5:$F$1004,$O114,업무일지!$B$5:$B$1004,"&gt;="&amp;DATE($B$3,1,1),업무일지!$B$5:$B$1004,"&lt;"&amp;DATE($B$3+1,1,1),업무일지!$AB$5:$AB$1004,$A$53,업무일지!$D$5:$D$1004,"출장")&gt;0,1,0))</f>
        <v/>
      </c>
      <c r="BO114">
        <f>IF($O114="",0,IF(COUNTIFS(업무일지!$F$5:$F$1004,$O114,업무일지!$B$5:$B$1004,"&gt;="&amp;DATE($B$3,1,1),업무일지!$B$5:$B$1004,"&lt;"&amp;DATE($B$3+1,1,1),업무일지!$AB$5:$AB$1004,$A$44,업무일지!$D$5:$D$1004,"분석")&gt;0,1,0))</f>
        <v/>
      </c>
      <c r="BP114">
        <f>IF($O114="",0,IF(COUNTIFS(업무일지!$F$5:$F$1004,$O114,업무일지!$B$5:$B$1004,"&gt;="&amp;DATE($B$3,1,1),업무일지!$B$5:$B$1004,"&lt;"&amp;DATE($B$3+1,1,1),업무일지!$AB$5:$AB$1004,$A$45,업무일지!$D$5:$D$1004,"분석")&gt;0,1,0))</f>
        <v/>
      </c>
      <c r="BQ114">
        <f>IF($O114="",0,IF(COUNTIFS(업무일지!$F$5:$F$1004,$O114,업무일지!$B$5:$B$1004,"&gt;="&amp;DATE($B$3,1,1),업무일지!$B$5:$B$1004,"&lt;"&amp;DATE($B$3+1,1,1),업무일지!$AB$5:$AB$1004,$A$46,업무일지!$D$5:$D$1004,"분석")&gt;0,1,0))</f>
        <v/>
      </c>
      <c r="BR114">
        <f>IF($O114="",0,IF(COUNTIFS(업무일지!$F$5:$F$1004,$O114,업무일지!$B$5:$B$1004,"&gt;="&amp;DATE($B$3,1,1),업무일지!$B$5:$B$1004,"&lt;"&amp;DATE($B$3+1,1,1),업무일지!$AB$5:$AB$1004,$A$47,업무일지!$D$5:$D$1004,"분석")&gt;0,1,0))</f>
        <v/>
      </c>
      <c r="BS114">
        <f>IF($O114="",0,IF(COUNTIFS(업무일지!$F$5:$F$1004,$O114,업무일지!$B$5:$B$1004,"&gt;="&amp;DATE($B$3,1,1),업무일지!$B$5:$B$1004,"&lt;"&amp;DATE($B$3+1,1,1),업무일지!$AB$5:$AB$1004,$A$48,업무일지!$D$5:$D$1004,"분석")&gt;0,1,0))</f>
        <v/>
      </c>
      <c r="BT114">
        <f>IF($O114="",0,IF(COUNTIFS(업무일지!$F$5:$F$1004,$O114,업무일지!$B$5:$B$1004,"&gt;="&amp;DATE($B$3,1,1),업무일지!$B$5:$B$1004,"&lt;"&amp;DATE($B$3+1,1,1),업무일지!$AB$5:$AB$1004,$A$49,업무일지!$D$5:$D$1004,"분석")&gt;0,1,0))</f>
        <v/>
      </c>
      <c r="BU114">
        <f>IF($O114="",0,IF(COUNTIFS(업무일지!$F$5:$F$1004,$O114,업무일지!$B$5:$B$1004,"&gt;="&amp;DATE($B$3,1,1),업무일지!$B$5:$B$1004,"&lt;"&amp;DATE($B$3+1,1,1),업무일지!$AB$5:$AB$1004,$A$50,업무일지!$D$5:$D$1004,"분석")&gt;0,1,0))</f>
        <v/>
      </c>
      <c r="BV114">
        <f>IF($O114="",0,IF(COUNTIFS(업무일지!$F$5:$F$1004,$O114,업무일지!$B$5:$B$1004,"&gt;="&amp;DATE($B$3,1,1),업무일지!$B$5:$B$1004,"&lt;"&amp;DATE($B$3+1,1,1),업무일지!$AB$5:$AB$1004,$A$51,업무일지!$D$5:$D$1004,"분석")&gt;0,1,0))</f>
        <v/>
      </c>
      <c r="BW114">
        <f>IF($O114="",0,IF(COUNTIFS(업무일지!$F$5:$F$1004,$O114,업무일지!$B$5:$B$1004,"&gt;="&amp;DATE($B$3,1,1),업무일지!$B$5:$B$1004,"&lt;"&amp;DATE($B$3+1,1,1),업무일지!$AB$5:$AB$1004,$A$52,업무일지!$D$5:$D$1004,"분석")&gt;0,1,0))</f>
        <v/>
      </c>
      <c r="BX114">
        <f>IF($O114="",0,IF(COUNTIFS(업무일지!$F$5:$F$1004,$O114,업무일지!$B$5:$B$1004,"&gt;="&amp;DATE($B$3,1,1),업무일지!$B$5:$B$1004,"&lt;"&amp;DATE($B$3+1,1,1),업무일지!$AB$5:$AB$1004,$A$53,업무일지!$D$5:$D$1004,"분석")&gt;0,1,0))</f>
        <v/>
      </c>
      <c r="BZ114">
        <f>IF($O114="",0,IF(COUNTIFS(업무일지!$F$5:$F$1004,$O114,업무일지!$B$5:$B$1004,"&gt;="&amp;DATE($B$3,1,1),업무일지!$B$5:$B$1004,"&lt;"&amp;DATE($B$3+1,1,1),업무일지!$AB$5:$AB$1004,$A$44)&gt;0,1,0))</f>
        <v/>
      </c>
      <c r="CA114">
        <f>IF($O114="",0,IF(COUNTIFS(업무일지!$F$5:$F$1004,$O114,업무일지!$B$5:$B$1004,"&gt;="&amp;DATE($B$3,1,1),업무일지!$B$5:$B$1004,"&lt;"&amp;DATE($B$3+1,1,1),업무일지!$AB$5:$AB$1004,$A$45)&gt;0,1,0))</f>
        <v/>
      </c>
      <c r="CB114">
        <f>IF($O114="",0,IF(COUNTIFS(업무일지!$F$5:$F$1004,$O114,업무일지!$B$5:$B$1004,"&gt;="&amp;DATE($B$3,1,1),업무일지!$B$5:$B$1004,"&lt;"&amp;DATE($B$3+1,1,1),업무일지!$AB$5:$AB$1004,$A$46)&gt;0,1,0))</f>
        <v/>
      </c>
      <c r="CC114">
        <f>IF($O114="",0,IF(COUNTIFS(업무일지!$F$5:$F$1004,$O114,업무일지!$B$5:$B$1004,"&gt;="&amp;DATE($B$3,1,1),업무일지!$B$5:$B$1004,"&lt;"&amp;DATE($B$3+1,1,1),업무일지!$AB$5:$AB$1004,$A$47)&gt;0,1,0))</f>
        <v/>
      </c>
      <c r="CD114">
        <f>IF($O114="",0,IF(COUNTIFS(업무일지!$F$5:$F$1004,$O114,업무일지!$B$5:$B$1004,"&gt;="&amp;DATE($B$3,1,1),업무일지!$B$5:$B$1004,"&lt;"&amp;DATE($B$3+1,1,1),업무일지!$AB$5:$AB$1004,$A$48)&gt;0,1,0))</f>
        <v/>
      </c>
      <c r="CE114">
        <f>IF($O114="",0,IF(COUNTIFS(업무일지!$F$5:$F$1004,$O114,업무일지!$B$5:$B$1004,"&gt;="&amp;DATE($B$3,1,1),업무일지!$B$5:$B$1004,"&lt;"&amp;DATE($B$3+1,1,1),업무일지!$AB$5:$AB$1004,$A$49)&gt;0,1,0))</f>
        <v/>
      </c>
      <c r="CF114">
        <f>IF($O114="",0,IF(COUNTIFS(업무일지!$F$5:$F$1004,$O114,업무일지!$B$5:$B$1004,"&gt;="&amp;DATE($B$3,1,1),업무일지!$B$5:$B$1004,"&lt;"&amp;DATE($B$3+1,1,1),업무일지!$AB$5:$AB$1004,$A$50)&gt;0,1,0))</f>
        <v/>
      </c>
      <c r="CG114">
        <f>IF($O114="",0,IF(COUNTIFS(업무일지!$F$5:$F$1004,$O114,업무일지!$B$5:$B$1004,"&gt;="&amp;DATE($B$3,1,1),업무일지!$B$5:$B$1004,"&lt;"&amp;DATE($B$3+1,1,1),업무일지!$AB$5:$AB$1004,$A$51)&gt;0,1,0))</f>
        <v/>
      </c>
      <c r="CH114">
        <f>IF($O114="",0,IF(COUNTIFS(업무일지!$F$5:$F$1004,$O114,업무일지!$B$5:$B$1004,"&gt;="&amp;DATE($B$3,1,1),업무일지!$B$5:$B$1004,"&lt;"&amp;DATE($B$3+1,1,1),업무일지!$AB$5:$AB$1004,$A$52)&gt;0,1,0))</f>
        <v/>
      </c>
      <c r="CI114">
        <f>IF($O114="",0,IF(COUNTIFS(업무일지!$F$5:$F$1004,$O114,업무일지!$B$5:$B$1004,"&gt;="&amp;DATE($B$3,1,1),업무일지!$B$5:$B$1004,"&lt;"&amp;DATE($B$3+1,1,1),업무일지!$AB$5:$AB$1004,$A$53)&gt;0,1,0))</f>
        <v/>
      </c>
    </row>
    <row r="115">
      <c r="O115">
        <f>IF(사건마스터!$A35="","",사건마스터!$A35)</f>
        <v/>
      </c>
      <c r="P115">
        <f>IF($O115="",0,IF(COUNTIFS(업무일지!$F$5:$F$1004,$O115,업무일지!$B$5:$B$1004,"&gt;="&amp;DATE($B$3,1,1),업무일지!$B$5:$B$1004,"&lt;"&amp;DATE($B$3,1+1,1),업무일지!$D$5:$D$1004,"출장")&gt;0,1,0))</f>
        <v/>
      </c>
      <c r="Q115">
        <f>IF($O115="",0,IF(COUNTIFS(업무일지!$F$5:$F$1004,$O115,업무일지!$B$5:$B$1004,"&gt;="&amp;DATE($B$3,2,1),업무일지!$B$5:$B$1004,"&lt;"&amp;DATE($B$3,2+1,1),업무일지!$D$5:$D$1004,"출장")&gt;0,1,0))</f>
        <v/>
      </c>
      <c r="R115">
        <f>IF($O115="",0,IF(COUNTIFS(업무일지!$F$5:$F$1004,$O115,업무일지!$B$5:$B$1004,"&gt;="&amp;DATE($B$3,3,1),업무일지!$B$5:$B$1004,"&lt;"&amp;DATE($B$3,3+1,1),업무일지!$D$5:$D$1004,"출장")&gt;0,1,0))</f>
        <v/>
      </c>
      <c r="S115">
        <f>IF($O115="",0,IF(COUNTIFS(업무일지!$F$5:$F$1004,$O115,업무일지!$B$5:$B$1004,"&gt;="&amp;DATE($B$3,4,1),업무일지!$B$5:$B$1004,"&lt;"&amp;DATE($B$3,4+1,1),업무일지!$D$5:$D$1004,"출장")&gt;0,1,0))</f>
        <v/>
      </c>
      <c r="T115">
        <f>IF($O115="",0,IF(COUNTIFS(업무일지!$F$5:$F$1004,$O115,업무일지!$B$5:$B$1004,"&gt;="&amp;DATE($B$3,5,1),업무일지!$B$5:$B$1004,"&lt;"&amp;DATE($B$3,5+1,1),업무일지!$D$5:$D$1004,"출장")&gt;0,1,0))</f>
        <v/>
      </c>
      <c r="U115">
        <f>IF($O115="",0,IF(COUNTIFS(업무일지!$F$5:$F$1004,$O115,업무일지!$B$5:$B$1004,"&gt;="&amp;DATE($B$3,6,1),업무일지!$B$5:$B$1004,"&lt;"&amp;DATE($B$3,6+1,1),업무일지!$D$5:$D$1004,"출장")&gt;0,1,0))</f>
        <v/>
      </c>
      <c r="V115">
        <f>IF($O115="",0,IF(COUNTIFS(업무일지!$F$5:$F$1004,$O115,업무일지!$B$5:$B$1004,"&gt;="&amp;DATE($B$3,7,1),업무일지!$B$5:$B$1004,"&lt;"&amp;DATE($B$3,7+1,1),업무일지!$D$5:$D$1004,"출장")&gt;0,1,0))</f>
        <v/>
      </c>
      <c r="W115">
        <f>IF($O115="",0,IF(COUNTIFS(업무일지!$F$5:$F$1004,$O115,업무일지!$B$5:$B$1004,"&gt;="&amp;DATE($B$3,8,1),업무일지!$B$5:$B$1004,"&lt;"&amp;DATE($B$3,8+1,1),업무일지!$D$5:$D$1004,"출장")&gt;0,1,0))</f>
        <v/>
      </c>
      <c r="X115">
        <f>IF($O115="",0,IF(COUNTIFS(업무일지!$F$5:$F$1004,$O115,업무일지!$B$5:$B$1004,"&gt;="&amp;DATE($B$3,9,1),업무일지!$B$5:$B$1004,"&lt;"&amp;DATE($B$3,9+1,1),업무일지!$D$5:$D$1004,"출장")&gt;0,1,0))</f>
        <v/>
      </c>
      <c r="Y115">
        <f>IF($O115="",0,IF(COUNTIFS(업무일지!$F$5:$F$1004,$O115,업무일지!$B$5:$B$1004,"&gt;="&amp;DATE($B$3,10,1),업무일지!$B$5:$B$1004,"&lt;"&amp;DATE($B$3,10+1,1),업무일지!$D$5:$D$1004,"출장")&gt;0,1,0))</f>
        <v/>
      </c>
      <c r="Z115">
        <f>IF($O115="",0,IF(COUNTIFS(업무일지!$F$5:$F$1004,$O115,업무일지!$B$5:$B$1004,"&gt;="&amp;DATE($B$3,11,1),업무일지!$B$5:$B$1004,"&lt;"&amp;DATE($B$3,11+1,1),업무일지!$D$5:$D$1004,"출장")&gt;0,1,0))</f>
        <v/>
      </c>
      <c r="AA115">
        <f>IF($O115="",0,IF(COUNTIFS(업무일지!$F$5:$F$1004,$O115,업무일지!$B$5:$B$1004,"&gt;="&amp;DATE($B$3,12,1),업무일지!$B$5:$B$1004,"&lt;"&amp;DATE($B$3,12+1,1),업무일지!$D$5:$D$1004,"출장")&gt;0,1,0))</f>
        <v/>
      </c>
      <c r="AB115">
        <f>IF($O115="",0,IF(COUNTIFS(업무일지!$F$5:$F$1004,$O115,업무일지!$B$5:$B$1004,"&gt;="&amp;DATE($B$3,1,1),업무일지!$B$5:$B$1004,"&lt;"&amp;DATE($B$3,1+1,1),업무일지!$D$5:$D$1004,"분석")&gt;0,1,0))</f>
        <v/>
      </c>
      <c r="AC115">
        <f>IF($O115="",0,IF(COUNTIFS(업무일지!$F$5:$F$1004,$O115,업무일지!$B$5:$B$1004,"&gt;="&amp;DATE($B$3,2,1),업무일지!$B$5:$B$1004,"&lt;"&amp;DATE($B$3,2+1,1),업무일지!$D$5:$D$1004,"분석")&gt;0,1,0))</f>
        <v/>
      </c>
      <c r="AD115">
        <f>IF($O115="",0,IF(COUNTIFS(업무일지!$F$5:$F$1004,$O115,업무일지!$B$5:$B$1004,"&gt;="&amp;DATE($B$3,3,1),업무일지!$B$5:$B$1004,"&lt;"&amp;DATE($B$3,3+1,1),업무일지!$D$5:$D$1004,"분석")&gt;0,1,0))</f>
        <v/>
      </c>
      <c r="AE115">
        <f>IF($O115="",0,IF(COUNTIFS(업무일지!$F$5:$F$1004,$O115,업무일지!$B$5:$B$1004,"&gt;="&amp;DATE($B$3,4,1),업무일지!$B$5:$B$1004,"&lt;"&amp;DATE($B$3,4+1,1),업무일지!$D$5:$D$1004,"분석")&gt;0,1,0))</f>
        <v/>
      </c>
      <c r="AF115">
        <f>IF($O115="",0,IF(COUNTIFS(업무일지!$F$5:$F$1004,$O115,업무일지!$B$5:$B$1004,"&gt;="&amp;DATE($B$3,5,1),업무일지!$B$5:$B$1004,"&lt;"&amp;DATE($B$3,5+1,1),업무일지!$D$5:$D$1004,"분석")&gt;0,1,0))</f>
        <v/>
      </c>
      <c r="AG115">
        <f>IF($O115="",0,IF(COUNTIFS(업무일지!$F$5:$F$1004,$O115,업무일지!$B$5:$B$1004,"&gt;="&amp;DATE($B$3,6,1),업무일지!$B$5:$B$1004,"&lt;"&amp;DATE($B$3,6+1,1),업무일지!$D$5:$D$1004,"분석")&gt;0,1,0))</f>
        <v/>
      </c>
      <c r="AH115">
        <f>IF($O115="",0,IF(COUNTIFS(업무일지!$F$5:$F$1004,$O115,업무일지!$B$5:$B$1004,"&gt;="&amp;DATE($B$3,7,1),업무일지!$B$5:$B$1004,"&lt;"&amp;DATE($B$3,7+1,1),업무일지!$D$5:$D$1004,"분석")&gt;0,1,0))</f>
        <v/>
      </c>
      <c r="AI115">
        <f>IF($O115="",0,IF(COUNTIFS(업무일지!$F$5:$F$1004,$O115,업무일지!$B$5:$B$1004,"&gt;="&amp;DATE($B$3,8,1),업무일지!$B$5:$B$1004,"&lt;"&amp;DATE($B$3,8+1,1),업무일지!$D$5:$D$1004,"분석")&gt;0,1,0))</f>
        <v/>
      </c>
      <c r="AJ115">
        <f>IF($O115="",0,IF(COUNTIFS(업무일지!$F$5:$F$1004,$O115,업무일지!$B$5:$B$1004,"&gt;="&amp;DATE($B$3,9,1),업무일지!$B$5:$B$1004,"&lt;"&amp;DATE($B$3,9+1,1),업무일지!$D$5:$D$1004,"분석")&gt;0,1,0))</f>
        <v/>
      </c>
      <c r="AK115">
        <f>IF($O115="",0,IF(COUNTIFS(업무일지!$F$5:$F$1004,$O115,업무일지!$B$5:$B$1004,"&gt;="&amp;DATE($B$3,10,1),업무일지!$B$5:$B$1004,"&lt;"&amp;DATE($B$3,10+1,1),업무일지!$D$5:$D$1004,"분석")&gt;0,1,0))</f>
        <v/>
      </c>
      <c r="AL115">
        <f>IF($O115="",0,IF(COUNTIFS(업무일지!$F$5:$F$1004,$O115,업무일지!$B$5:$B$1004,"&gt;="&amp;DATE($B$3,11,1),업무일지!$B$5:$B$1004,"&lt;"&amp;DATE($B$3,11+1,1),업무일지!$D$5:$D$1004,"분석")&gt;0,1,0))</f>
        <v/>
      </c>
      <c r="AM115">
        <f>IF($O115="",0,IF(COUNTIFS(업무일지!$F$5:$F$1004,$O115,업무일지!$B$5:$B$1004,"&gt;="&amp;DATE($B$3,12,1),업무일지!$B$5:$B$1004,"&lt;"&amp;DATE($B$3,12+1,1),업무일지!$D$5:$D$1004,"분석")&gt;0,1,0))</f>
        <v/>
      </c>
      <c r="AN115">
        <f>IF($O115="",0,IF(COUNTIFS(업무일지!$F$5:$F$1004,$O115,업무일지!$B$5:$B$1004,"&gt;="&amp;DATE($B$3,1,1),업무일지!$B$5:$B$1004,"&lt;"&amp;DATE($B$3,1+1,1))&gt;0,1,0))</f>
        <v/>
      </c>
      <c r="AO115">
        <f>IF($O115="",0,IF(COUNTIFS(업무일지!$F$5:$F$1004,$O115,업무일지!$B$5:$B$1004,"&gt;="&amp;DATE($B$3,2,1),업무일지!$B$5:$B$1004,"&lt;"&amp;DATE($B$3,2+1,1))&gt;0,1,0))</f>
        <v/>
      </c>
      <c r="AP115">
        <f>IF($O115="",0,IF(COUNTIFS(업무일지!$F$5:$F$1004,$O115,업무일지!$B$5:$B$1004,"&gt;="&amp;DATE($B$3,3,1),업무일지!$B$5:$B$1004,"&lt;"&amp;DATE($B$3,3+1,1))&gt;0,1,0))</f>
        <v/>
      </c>
      <c r="AQ115">
        <f>IF($O115="",0,IF(COUNTIFS(업무일지!$F$5:$F$1004,$O115,업무일지!$B$5:$B$1004,"&gt;="&amp;DATE($B$3,4,1),업무일지!$B$5:$B$1004,"&lt;"&amp;DATE($B$3,4+1,1))&gt;0,1,0))</f>
        <v/>
      </c>
      <c r="AR115">
        <f>IF($O115="",0,IF(COUNTIFS(업무일지!$F$5:$F$1004,$O115,업무일지!$B$5:$B$1004,"&gt;="&amp;DATE($B$3,5,1),업무일지!$B$5:$B$1004,"&lt;"&amp;DATE($B$3,5+1,1))&gt;0,1,0))</f>
        <v/>
      </c>
      <c r="AS115">
        <f>IF($O115="",0,IF(COUNTIFS(업무일지!$F$5:$F$1004,$O115,업무일지!$B$5:$B$1004,"&gt;="&amp;DATE($B$3,6,1),업무일지!$B$5:$B$1004,"&lt;"&amp;DATE($B$3,6+1,1))&gt;0,1,0))</f>
        <v/>
      </c>
      <c r="AT115">
        <f>IF($O115="",0,IF(COUNTIFS(업무일지!$F$5:$F$1004,$O115,업무일지!$B$5:$B$1004,"&gt;="&amp;DATE($B$3,7,1),업무일지!$B$5:$B$1004,"&lt;"&amp;DATE($B$3,7+1,1))&gt;0,1,0))</f>
        <v/>
      </c>
      <c r="AU115">
        <f>IF($O115="",0,IF(COUNTIFS(업무일지!$F$5:$F$1004,$O115,업무일지!$B$5:$B$1004,"&gt;="&amp;DATE($B$3,8,1),업무일지!$B$5:$B$1004,"&lt;"&amp;DATE($B$3,8+1,1))&gt;0,1,0))</f>
        <v/>
      </c>
      <c r="AV115">
        <f>IF($O115="",0,IF(COUNTIFS(업무일지!$F$5:$F$1004,$O115,업무일지!$B$5:$B$1004,"&gt;="&amp;DATE($B$3,9,1),업무일지!$B$5:$B$1004,"&lt;"&amp;DATE($B$3,9+1,1))&gt;0,1,0))</f>
        <v/>
      </c>
      <c r="AW115">
        <f>IF($O115="",0,IF(COUNTIFS(업무일지!$F$5:$F$1004,$O115,업무일지!$B$5:$B$1004,"&gt;="&amp;DATE($B$3,10,1),업무일지!$B$5:$B$1004,"&lt;"&amp;DATE($B$3,10+1,1))&gt;0,1,0))</f>
        <v/>
      </c>
      <c r="AX115">
        <f>IF($O115="",0,IF(COUNTIFS(업무일지!$F$5:$F$1004,$O115,업무일지!$B$5:$B$1004,"&gt;="&amp;DATE($B$3,11,1),업무일지!$B$5:$B$1004,"&lt;"&amp;DATE($B$3,11+1,1))&gt;0,1,0))</f>
        <v/>
      </c>
      <c r="AY115">
        <f>IF($O115="",0,IF(COUNTIFS(업무일지!$F$5:$F$1004,$O115,업무일지!$B$5:$B$1004,"&gt;="&amp;DATE($B$3,12,1),업무일지!$B$5:$B$1004,"&lt;"&amp;DATE($B$3,12+1,1))&gt;0,1,0))</f>
        <v/>
      </c>
      <c r="AZ115">
        <f>IF($O115="",0,IF(COUNTIFS(업무일지!$F$5:$F$1004,$O115,업무일지!$B$5:$B$1004,"&gt;="&amp;DATE($B$3,1,1),업무일지!$B$5:$B$1004,"&lt;"&amp;DATE($B$3+1,1,1),업무일지!$D$5:$D$1004,"출장")&gt;0,1,0))</f>
        <v/>
      </c>
      <c r="BA115">
        <f>IF($O115="",0,IF(COUNTIFS(업무일지!$F$5:$F$1004,$O115,업무일지!$B$5:$B$1004,"&gt;="&amp;DATE($B$3,1,1),업무일지!$B$5:$B$1004,"&lt;"&amp;DATE($B$3+1,1,1),업무일지!$D$5:$D$1004,"분석")&gt;0,1,0))</f>
        <v/>
      </c>
      <c r="BB115">
        <f>IF($O115="",0,IF(COUNTIFS(업무일지!$F$5:$F$1004,$O115,업무일지!$B$5:$B$1004,"&gt;="&amp;DATE($B$3,1,1),업무일지!$B$5:$B$1004,"&lt;"&amp;DATE($B$3+1,1,1))&gt;0,1,0))</f>
        <v/>
      </c>
      <c r="BD115">
        <f>IF($O115="",0,IF(COUNTIFS(업무일지!$F$5:$F$1004,$O115,업무일지!$B$5:$B$1004,"&gt;="&amp;DATE($B$3,1,1),업무일지!$B$5:$B$1004,"&lt;"&amp;DATE($B$3+1,1,1),업무일지!$AB$5:$AB$1004,$A$44,업무일지!$D$5:$D$1004,"출장")&gt;0,1,0))</f>
        <v/>
      </c>
      <c r="BE115">
        <f>IF($O115="",0,IF(COUNTIFS(업무일지!$F$5:$F$1004,$O115,업무일지!$B$5:$B$1004,"&gt;="&amp;DATE($B$3,1,1),업무일지!$B$5:$B$1004,"&lt;"&amp;DATE($B$3+1,1,1),업무일지!$AB$5:$AB$1004,$A$45,업무일지!$D$5:$D$1004,"출장")&gt;0,1,0))</f>
        <v/>
      </c>
      <c r="BF115">
        <f>IF($O115="",0,IF(COUNTIFS(업무일지!$F$5:$F$1004,$O115,업무일지!$B$5:$B$1004,"&gt;="&amp;DATE($B$3,1,1),업무일지!$B$5:$B$1004,"&lt;"&amp;DATE($B$3+1,1,1),업무일지!$AB$5:$AB$1004,$A$46,업무일지!$D$5:$D$1004,"출장")&gt;0,1,0))</f>
        <v/>
      </c>
      <c r="BG115">
        <f>IF($O115="",0,IF(COUNTIFS(업무일지!$F$5:$F$1004,$O115,업무일지!$B$5:$B$1004,"&gt;="&amp;DATE($B$3,1,1),업무일지!$B$5:$B$1004,"&lt;"&amp;DATE($B$3+1,1,1),업무일지!$AB$5:$AB$1004,$A$47,업무일지!$D$5:$D$1004,"출장")&gt;0,1,0))</f>
        <v/>
      </c>
      <c r="BH115">
        <f>IF($O115="",0,IF(COUNTIFS(업무일지!$F$5:$F$1004,$O115,업무일지!$B$5:$B$1004,"&gt;="&amp;DATE($B$3,1,1),업무일지!$B$5:$B$1004,"&lt;"&amp;DATE($B$3+1,1,1),업무일지!$AB$5:$AB$1004,$A$48,업무일지!$D$5:$D$1004,"출장")&gt;0,1,0))</f>
        <v/>
      </c>
      <c r="BI115">
        <f>IF($O115="",0,IF(COUNTIFS(업무일지!$F$5:$F$1004,$O115,업무일지!$B$5:$B$1004,"&gt;="&amp;DATE($B$3,1,1),업무일지!$B$5:$B$1004,"&lt;"&amp;DATE($B$3+1,1,1),업무일지!$AB$5:$AB$1004,$A$49,업무일지!$D$5:$D$1004,"출장")&gt;0,1,0))</f>
        <v/>
      </c>
      <c r="BJ115">
        <f>IF($O115="",0,IF(COUNTIFS(업무일지!$F$5:$F$1004,$O115,업무일지!$B$5:$B$1004,"&gt;="&amp;DATE($B$3,1,1),업무일지!$B$5:$B$1004,"&lt;"&amp;DATE($B$3+1,1,1),업무일지!$AB$5:$AB$1004,$A$50,업무일지!$D$5:$D$1004,"출장")&gt;0,1,0))</f>
        <v/>
      </c>
      <c r="BK115">
        <f>IF($O115="",0,IF(COUNTIFS(업무일지!$F$5:$F$1004,$O115,업무일지!$B$5:$B$1004,"&gt;="&amp;DATE($B$3,1,1),업무일지!$B$5:$B$1004,"&lt;"&amp;DATE($B$3+1,1,1),업무일지!$AB$5:$AB$1004,$A$51,업무일지!$D$5:$D$1004,"출장")&gt;0,1,0))</f>
        <v/>
      </c>
      <c r="BL115">
        <f>IF($O115="",0,IF(COUNTIFS(업무일지!$F$5:$F$1004,$O115,업무일지!$B$5:$B$1004,"&gt;="&amp;DATE($B$3,1,1),업무일지!$B$5:$B$1004,"&lt;"&amp;DATE($B$3+1,1,1),업무일지!$AB$5:$AB$1004,$A$52,업무일지!$D$5:$D$1004,"출장")&gt;0,1,0))</f>
        <v/>
      </c>
      <c r="BM115">
        <f>IF($O115="",0,IF(COUNTIFS(업무일지!$F$5:$F$1004,$O115,업무일지!$B$5:$B$1004,"&gt;="&amp;DATE($B$3,1,1),업무일지!$B$5:$B$1004,"&lt;"&amp;DATE($B$3+1,1,1),업무일지!$AB$5:$AB$1004,$A$53,업무일지!$D$5:$D$1004,"출장")&gt;0,1,0))</f>
        <v/>
      </c>
      <c r="BO115">
        <f>IF($O115="",0,IF(COUNTIFS(업무일지!$F$5:$F$1004,$O115,업무일지!$B$5:$B$1004,"&gt;="&amp;DATE($B$3,1,1),업무일지!$B$5:$B$1004,"&lt;"&amp;DATE($B$3+1,1,1),업무일지!$AB$5:$AB$1004,$A$44,업무일지!$D$5:$D$1004,"분석")&gt;0,1,0))</f>
        <v/>
      </c>
      <c r="BP115">
        <f>IF($O115="",0,IF(COUNTIFS(업무일지!$F$5:$F$1004,$O115,업무일지!$B$5:$B$1004,"&gt;="&amp;DATE($B$3,1,1),업무일지!$B$5:$B$1004,"&lt;"&amp;DATE($B$3+1,1,1),업무일지!$AB$5:$AB$1004,$A$45,업무일지!$D$5:$D$1004,"분석")&gt;0,1,0))</f>
        <v/>
      </c>
      <c r="BQ115">
        <f>IF($O115="",0,IF(COUNTIFS(업무일지!$F$5:$F$1004,$O115,업무일지!$B$5:$B$1004,"&gt;="&amp;DATE($B$3,1,1),업무일지!$B$5:$B$1004,"&lt;"&amp;DATE($B$3+1,1,1),업무일지!$AB$5:$AB$1004,$A$46,업무일지!$D$5:$D$1004,"분석")&gt;0,1,0))</f>
        <v/>
      </c>
      <c r="BR115">
        <f>IF($O115="",0,IF(COUNTIFS(업무일지!$F$5:$F$1004,$O115,업무일지!$B$5:$B$1004,"&gt;="&amp;DATE($B$3,1,1),업무일지!$B$5:$B$1004,"&lt;"&amp;DATE($B$3+1,1,1),업무일지!$AB$5:$AB$1004,$A$47,업무일지!$D$5:$D$1004,"분석")&gt;0,1,0))</f>
        <v/>
      </c>
      <c r="BS115">
        <f>IF($O115="",0,IF(COUNTIFS(업무일지!$F$5:$F$1004,$O115,업무일지!$B$5:$B$1004,"&gt;="&amp;DATE($B$3,1,1),업무일지!$B$5:$B$1004,"&lt;"&amp;DATE($B$3+1,1,1),업무일지!$AB$5:$AB$1004,$A$48,업무일지!$D$5:$D$1004,"분석")&gt;0,1,0))</f>
        <v/>
      </c>
      <c r="BT115">
        <f>IF($O115="",0,IF(COUNTIFS(업무일지!$F$5:$F$1004,$O115,업무일지!$B$5:$B$1004,"&gt;="&amp;DATE($B$3,1,1),업무일지!$B$5:$B$1004,"&lt;"&amp;DATE($B$3+1,1,1),업무일지!$AB$5:$AB$1004,$A$49,업무일지!$D$5:$D$1004,"분석")&gt;0,1,0))</f>
        <v/>
      </c>
      <c r="BU115">
        <f>IF($O115="",0,IF(COUNTIFS(업무일지!$F$5:$F$1004,$O115,업무일지!$B$5:$B$1004,"&gt;="&amp;DATE($B$3,1,1),업무일지!$B$5:$B$1004,"&lt;"&amp;DATE($B$3+1,1,1),업무일지!$AB$5:$AB$1004,$A$50,업무일지!$D$5:$D$1004,"분석")&gt;0,1,0))</f>
        <v/>
      </c>
      <c r="BV115">
        <f>IF($O115="",0,IF(COUNTIFS(업무일지!$F$5:$F$1004,$O115,업무일지!$B$5:$B$1004,"&gt;="&amp;DATE($B$3,1,1),업무일지!$B$5:$B$1004,"&lt;"&amp;DATE($B$3+1,1,1),업무일지!$AB$5:$AB$1004,$A$51,업무일지!$D$5:$D$1004,"분석")&gt;0,1,0))</f>
        <v/>
      </c>
      <c r="BW115">
        <f>IF($O115="",0,IF(COUNTIFS(업무일지!$F$5:$F$1004,$O115,업무일지!$B$5:$B$1004,"&gt;="&amp;DATE($B$3,1,1),업무일지!$B$5:$B$1004,"&lt;"&amp;DATE($B$3+1,1,1),업무일지!$AB$5:$AB$1004,$A$52,업무일지!$D$5:$D$1004,"분석")&gt;0,1,0))</f>
        <v/>
      </c>
      <c r="BX115">
        <f>IF($O115="",0,IF(COUNTIFS(업무일지!$F$5:$F$1004,$O115,업무일지!$B$5:$B$1004,"&gt;="&amp;DATE($B$3,1,1),업무일지!$B$5:$B$1004,"&lt;"&amp;DATE($B$3+1,1,1),업무일지!$AB$5:$AB$1004,$A$53,업무일지!$D$5:$D$1004,"분석")&gt;0,1,0))</f>
        <v/>
      </c>
      <c r="BZ115">
        <f>IF($O115="",0,IF(COUNTIFS(업무일지!$F$5:$F$1004,$O115,업무일지!$B$5:$B$1004,"&gt;="&amp;DATE($B$3,1,1),업무일지!$B$5:$B$1004,"&lt;"&amp;DATE($B$3+1,1,1),업무일지!$AB$5:$AB$1004,$A$44)&gt;0,1,0))</f>
        <v/>
      </c>
      <c r="CA115">
        <f>IF($O115="",0,IF(COUNTIFS(업무일지!$F$5:$F$1004,$O115,업무일지!$B$5:$B$1004,"&gt;="&amp;DATE($B$3,1,1),업무일지!$B$5:$B$1004,"&lt;"&amp;DATE($B$3+1,1,1),업무일지!$AB$5:$AB$1004,$A$45)&gt;0,1,0))</f>
        <v/>
      </c>
      <c r="CB115">
        <f>IF($O115="",0,IF(COUNTIFS(업무일지!$F$5:$F$1004,$O115,업무일지!$B$5:$B$1004,"&gt;="&amp;DATE($B$3,1,1),업무일지!$B$5:$B$1004,"&lt;"&amp;DATE($B$3+1,1,1),업무일지!$AB$5:$AB$1004,$A$46)&gt;0,1,0))</f>
        <v/>
      </c>
      <c r="CC115">
        <f>IF($O115="",0,IF(COUNTIFS(업무일지!$F$5:$F$1004,$O115,업무일지!$B$5:$B$1004,"&gt;="&amp;DATE($B$3,1,1),업무일지!$B$5:$B$1004,"&lt;"&amp;DATE($B$3+1,1,1),업무일지!$AB$5:$AB$1004,$A$47)&gt;0,1,0))</f>
        <v/>
      </c>
      <c r="CD115">
        <f>IF($O115="",0,IF(COUNTIFS(업무일지!$F$5:$F$1004,$O115,업무일지!$B$5:$B$1004,"&gt;="&amp;DATE($B$3,1,1),업무일지!$B$5:$B$1004,"&lt;"&amp;DATE($B$3+1,1,1),업무일지!$AB$5:$AB$1004,$A$48)&gt;0,1,0))</f>
        <v/>
      </c>
      <c r="CE115">
        <f>IF($O115="",0,IF(COUNTIFS(업무일지!$F$5:$F$1004,$O115,업무일지!$B$5:$B$1004,"&gt;="&amp;DATE($B$3,1,1),업무일지!$B$5:$B$1004,"&lt;"&amp;DATE($B$3+1,1,1),업무일지!$AB$5:$AB$1004,$A$49)&gt;0,1,0))</f>
        <v/>
      </c>
      <c r="CF115">
        <f>IF($O115="",0,IF(COUNTIFS(업무일지!$F$5:$F$1004,$O115,업무일지!$B$5:$B$1004,"&gt;="&amp;DATE($B$3,1,1),업무일지!$B$5:$B$1004,"&lt;"&amp;DATE($B$3+1,1,1),업무일지!$AB$5:$AB$1004,$A$50)&gt;0,1,0))</f>
        <v/>
      </c>
      <c r="CG115">
        <f>IF($O115="",0,IF(COUNTIFS(업무일지!$F$5:$F$1004,$O115,업무일지!$B$5:$B$1004,"&gt;="&amp;DATE($B$3,1,1),업무일지!$B$5:$B$1004,"&lt;"&amp;DATE($B$3+1,1,1),업무일지!$AB$5:$AB$1004,$A$51)&gt;0,1,0))</f>
        <v/>
      </c>
      <c r="CH115">
        <f>IF($O115="",0,IF(COUNTIFS(업무일지!$F$5:$F$1004,$O115,업무일지!$B$5:$B$1004,"&gt;="&amp;DATE($B$3,1,1),업무일지!$B$5:$B$1004,"&lt;"&amp;DATE($B$3+1,1,1),업무일지!$AB$5:$AB$1004,$A$52)&gt;0,1,0))</f>
        <v/>
      </c>
      <c r="CI115">
        <f>IF($O115="",0,IF(COUNTIFS(업무일지!$F$5:$F$1004,$O115,업무일지!$B$5:$B$1004,"&gt;="&amp;DATE($B$3,1,1),업무일지!$B$5:$B$1004,"&lt;"&amp;DATE($B$3+1,1,1),업무일지!$AB$5:$AB$1004,$A$53)&gt;0,1,0))</f>
        <v/>
      </c>
    </row>
    <row r="116">
      <c r="O116">
        <f>IF(사건마스터!$A36="","",사건마스터!$A36)</f>
        <v/>
      </c>
      <c r="P116">
        <f>IF($O116="",0,IF(COUNTIFS(업무일지!$F$5:$F$1004,$O116,업무일지!$B$5:$B$1004,"&gt;="&amp;DATE($B$3,1,1),업무일지!$B$5:$B$1004,"&lt;"&amp;DATE($B$3,1+1,1),업무일지!$D$5:$D$1004,"출장")&gt;0,1,0))</f>
        <v/>
      </c>
      <c r="Q116">
        <f>IF($O116="",0,IF(COUNTIFS(업무일지!$F$5:$F$1004,$O116,업무일지!$B$5:$B$1004,"&gt;="&amp;DATE($B$3,2,1),업무일지!$B$5:$B$1004,"&lt;"&amp;DATE($B$3,2+1,1),업무일지!$D$5:$D$1004,"출장")&gt;0,1,0))</f>
        <v/>
      </c>
      <c r="R116">
        <f>IF($O116="",0,IF(COUNTIFS(업무일지!$F$5:$F$1004,$O116,업무일지!$B$5:$B$1004,"&gt;="&amp;DATE($B$3,3,1),업무일지!$B$5:$B$1004,"&lt;"&amp;DATE($B$3,3+1,1),업무일지!$D$5:$D$1004,"출장")&gt;0,1,0))</f>
        <v/>
      </c>
      <c r="S116">
        <f>IF($O116="",0,IF(COUNTIFS(업무일지!$F$5:$F$1004,$O116,업무일지!$B$5:$B$1004,"&gt;="&amp;DATE($B$3,4,1),업무일지!$B$5:$B$1004,"&lt;"&amp;DATE($B$3,4+1,1),업무일지!$D$5:$D$1004,"출장")&gt;0,1,0))</f>
        <v/>
      </c>
      <c r="T116">
        <f>IF($O116="",0,IF(COUNTIFS(업무일지!$F$5:$F$1004,$O116,업무일지!$B$5:$B$1004,"&gt;="&amp;DATE($B$3,5,1),업무일지!$B$5:$B$1004,"&lt;"&amp;DATE($B$3,5+1,1),업무일지!$D$5:$D$1004,"출장")&gt;0,1,0))</f>
        <v/>
      </c>
      <c r="U116">
        <f>IF($O116="",0,IF(COUNTIFS(업무일지!$F$5:$F$1004,$O116,업무일지!$B$5:$B$1004,"&gt;="&amp;DATE($B$3,6,1),업무일지!$B$5:$B$1004,"&lt;"&amp;DATE($B$3,6+1,1),업무일지!$D$5:$D$1004,"출장")&gt;0,1,0))</f>
        <v/>
      </c>
      <c r="V116">
        <f>IF($O116="",0,IF(COUNTIFS(업무일지!$F$5:$F$1004,$O116,업무일지!$B$5:$B$1004,"&gt;="&amp;DATE($B$3,7,1),업무일지!$B$5:$B$1004,"&lt;"&amp;DATE($B$3,7+1,1),업무일지!$D$5:$D$1004,"출장")&gt;0,1,0))</f>
        <v/>
      </c>
      <c r="W116">
        <f>IF($O116="",0,IF(COUNTIFS(업무일지!$F$5:$F$1004,$O116,업무일지!$B$5:$B$1004,"&gt;="&amp;DATE($B$3,8,1),업무일지!$B$5:$B$1004,"&lt;"&amp;DATE($B$3,8+1,1),업무일지!$D$5:$D$1004,"출장")&gt;0,1,0))</f>
        <v/>
      </c>
      <c r="X116">
        <f>IF($O116="",0,IF(COUNTIFS(업무일지!$F$5:$F$1004,$O116,업무일지!$B$5:$B$1004,"&gt;="&amp;DATE($B$3,9,1),업무일지!$B$5:$B$1004,"&lt;"&amp;DATE($B$3,9+1,1),업무일지!$D$5:$D$1004,"출장")&gt;0,1,0))</f>
        <v/>
      </c>
      <c r="Y116">
        <f>IF($O116="",0,IF(COUNTIFS(업무일지!$F$5:$F$1004,$O116,업무일지!$B$5:$B$1004,"&gt;="&amp;DATE($B$3,10,1),업무일지!$B$5:$B$1004,"&lt;"&amp;DATE($B$3,10+1,1),업무일지!$D$5:$D$1004,"출장")&gt;0,1,0))</f>
        <v/>
      </c>
      <c r="Z116">
        <f>IF($O116="",0,IF(COUNTIFS(업무일지!$F$5:$F$1004,$O116,업무일지!$B$5:$B$1004,"&gt;="&amp;DATE($B$3,11,1),업무일지!$B$5:$B$1004,"&lt;"&amp;DATE($B$3,11+1,1),업무일지!$D$5:$D$1004,"출장")&gt;0,1,0))</f>
        <v/>
      </c>
      <c r="AA116">
        <f>IF($O116="",0,IF(COUNTIFS(업무일지!$F$5:$F$1004,$O116,업무일지!$B$5:$B$1004,"&gt;="&amp;DATE($B$3,12,1),업무일지!$B$5:$B$1004,"&lt;"&amp;DATE($B$3,12+1,1),업무일지!$D$5:$D$1004,"출장")&gt;0,1,0))</f>
        <v/>
      </c>
      <c r="AB116">
        <f>IF($O116="",0,IF(COUNTIFS(업무일지!$F$5:$F$1004,$O116,업무일지!$B$5:$B$1004,"&gt;="&amp;DATE($B$3,1,1),업무일지!$B$5:$B$1004,"&lt;"&amp;DATE($B$3,1+1,1),업무일지!$D$5:$D$1004,"분석")&gt;0,1,0))</f>
        <v/>
      </c>
      <c r="AC116">
        <f>IF($O116="",0,IF(COUNTIFS(업무일지!$F$5:$F$1004,$O116,업무일지!$B$5:$B$1004,"&gt;="&amp;DATE($B$3,2,1),업무일지!$B$5:$B$1004,"&lt;"&amp;DATE($B$3,2+1,1),업무일지!$D$5:$D$1004,"분석")&gt;0,1,0))</f>
        <v/>
      </c>
      <c r="AD116">
        <f>IF($O116="",0,IF(COUNTIFS(업무일지!$F$5:$F$1004,$O116,업무일지!$B$5:$B$1004,"&gt;="&amp;DATE($B$3,3,1),업무일지!$B$5:$B$1004,"&lt;"&amp;DATE($B$3,3+1,1),업무일지!$D$5:$D$1004,"분석")&gt;0,1,0))</f>
        <v/>
      </c>
      <c r="AE116">
        <f>IF($O116="",0,IF(COUNTIFS(업무일지!$F$5:$F$1004,$O116,업무일지!$B$5:$B$1004,"&gt;="&amp;DATE($B$3,4,1),업무일지!$B$5:$B$1004,"&lt;"&amp;DATE($B$3,4+1,1),업무일지!$D$5:$D$1004,"분석")&gt;0,1,0))</f>
        <v/>
      </c>
      <c r="AF116">
        <f>IF($O116="",0,IF(COUNTIFS(업무일지!$F$5:$F$1004,$O116,업무일지!$B$5:$B$1004,"&gt;="&amp;DATE($B$3,5,1),업무일지!$B$5:$B$1004,"&lt;"&amp;DATE($B$3,5+1,1),업무일지!$D$5:$D$1004,"분석")&gt;0,1,0))</f>
        <v/>
      </c>
      <c r="AG116">
        <f>IF($O116="",0,IF(COUNTIFS(업무일지!$F$5:$F$1004,$O116,업무일지!$B$5:$B$1004,"&gt;="&amp;DATE($B$3,6,1),업무일지!$B$5:$B$1004,"&lt;"&amp;DATE($B$3,6+1,1),업무일지!$D$5:$D$1004,"분석")&gt;0,1,0))</f>
        <v/>
      </c>
      <c r="AH116">
        <f>IF($O116="",0,IF(COUNTIFS(업무일지!$F$5:$F$1004,$O116,업무일지!$B$5:$B$1004,"&gt;="&amp;DATE($B$3,7,1),업무일지!$B$5:$B$1004,"&lt;"&amp;DATE($B$3,7+1,1),업무일지!$D$5:$D$1004,"분석")&gt;0,1,0))</f>
        <v/>
      </c>
      <c r="AI116">
        <f>IF($O116="",0,IF(COUNTIFS(업무일지!$F$5:$F$1004,$O116,업무일지!$B$5:$B$1004,"&gt;="&amp;DATE($B$3,8,1),업무일지!$B$5:$B$1004,"&lt;"&amp;DATE($B$3,8+1,1),업무일지!$D$5:$D$1004,"분석")&gt;0,1,0))</f>
        <v/>
      </c>
      <c r="AJ116">
        <f>IF($O116="",0,IF(COUNTIFS(업무일지!$F$5:$F$1004,$O116,업무일지!$B$5:$B$1004,"&gt;="&amp;DATE($B$3,9,1),업무일지!$B$5:$B$1004,"&lt;"&amp;DATE($B$3,9+1,1),업무일지!$D$5:$D$1004,"분석")&gt;0,1,0))</f>
        <v/>
      </c>
      <c r="AK116">
        <f>IF($O116="",0,IF(COUNTIFS(업무일지!$F$5:$F$1004,$O116,업무일지!$B$5:$B$1004,"&gt;="&amp;DATE($B$3,10,1),업무일지!$B$5:$B$1004,"&lt;"&amp;DATE($B$3,10+1,1),업무일지!$D$5:$D$1004,"분석")&gt;0,1,0))</f>
        <v/>
      </c>
      <c r="AL116">
        <f>IF($O116="",0,IF(COUNTIFS(업무일지!$F$5:$F$1004,$O116,업무일지!$B$5:$B$1004,"&gt;="&amp;DATE($B$3,11,1),업무일지!$B$5:$B$1004,"&lt;"&amp;DATE($B$3,11+1,1),업무일지!$D$5:$D$1004,"분석")&gt;0,1,0))</f>
        <v/>
      </c>
      <c r="AM116">
        <f>IF($O116="",0,IF(COUNTIFS(업무일지!$F$5:$F$1004,$O116,업무일지!$B$5:$B$1004,"&gt;="&amp;DATE($B$3,12,1),업무일지!$B$5:$B$1004,"&lt;"&amp;DATE($B$3,12+1,1),업무일지!$D$5:$D$1004,"분석")&gt;0,1,0))</f>
        <v/>
      </c>
      <c r="AN116">
        <f>IF($O116="",0,IF(COUNTIFS(업무일지!$F$5:$F$1004,$O116,업무일지!$B$5:$B$1004,"&gt;="&amp;DATE($B$3,1,1),업무일지!$B$5:$B$1004,"&lt;"&amp;DATE($B$3,1+1,1))&gt;0,1,0))</f>
        <v/>
      </c>
      <c r="AO116">
        <f>IF($O116="",0,IF(COUNTIFS(업무일지!$F$5:$F$1004,$O116,업무일지!$B$5:$B$1004,"&gt;="&amp;DATE($B$3,2,1),업무일지!$B$5:$B$1004,"&lt;"&amp;DATE($B$3,2+1,1))&gt;0,1,0))</f>
        <v/>
      </c>
      <c r="AP116">
        <f>IF($O116="",0,IF(COUNTIFS(업무일지!$F$5:$F$1004,$O116,업무일지!$B$5:$B$1004,"&gt;="&amp;DATE($B$3,3,1),업무일지!$B$5:$B$1004,"&lt;"&amp;DATE($B$3,3+1,1))&gt;0,1,0))</f>
        <v/>
      </c>
      <c r="AQ116">
        <f>IF($O116="",0,IF(COUNTIFS(업무일지!$F$5:$F$1004,$O116,업무일지!$B$5:$B$1004,"&gt;="&amp;DATE($B$3,4,1),업무일지!$B$5:$B$1004,"&lt;"&amp;DATE($B$3,4+1,1))&gt;0,1,0))</f>
        <v/>
      </c>
      <c r="AR116">
        <f>IF($O116="",0,IF(COUNTIFS(업무일지!$F$5:$F$1004,$O116,업무일지!$B$5:$B$1004,"&gt;="&amp;DATE($B$3,5,1),업무일지!$B$5:$B$1004,"&lt;"&amp;DATE($B$3,5+1,1))&gt;0,1,0))</f>
        <v/>
      </c>
      <c r="AS116">
        <f>IF($O116="",0,IF(COUNTIFS(업무일지!$F$5:$F$1004,$O116,업무일지!$B$5:$B$1004,"&gt;="&amp;DATE($B$3,6,1),업무일지!$B$5:$B$1004,"&lt;"&amp;DATE($B$3,6+1,1))&gt;0,1,0))</f>
        <v/>
      </c>
      <c r="AT116">
        <f>IF($O116="",0,IF(COUNTIFS(업무일지!$F$5:$F$1004,$O116,업무일지!$B$5:$B$1004,"&gt;="&amp;DATE($B$3,7,1),업무일지!$B$5:$B$1004,"&lt;"&amp;DATE($B$3,7+1,1))&gt;0,1,0))</f>
        <v/>
      </c>
      <c r="AU116">
        <f>IF($O116="",0,IF(COUNTIFS(업무일지!$F$5:$F$1004,$O116,업무일지!$B$5:$B$1004,"&gt;="&amp;DATE($B$3,8,1),업무일지!$B$5:$B$1004,"&lt;"&amp;DATE($B$3,8+1,1))&gt;0,1,0))</f>
        <v/>
      </c>
      <c r="AV116">
        <f>IF($O116="",0,IF(COUNTIFS(업무일지!$F$5:$F$1004,$O116,업무일지!$B$5:$B$1004,"&gt;="&amp;DATE($B$3,9,1),업무일지!$B$5:$B$1004,"&lt;"&amp;DATE($B$3,9+1,1))&gt;0,1,0))</f>
        <v/>
      </c>
      <c r="AW116">
        <f>IF($O116="",0,IF(COUNTIFS(업무일지!$F$5:$F$1004,$O116,업무일지!$B$5:$B$1004,"&gt;="&amp;DATE($B$3,10,1),업무일지!$B$5:$B$1004,"&lt;"&amp;DATE($B$3,10+1,1))&gt;0,1,0))</f>
        <v/>
      </c>
      <c r="AX116">
        <f>IF($O116="",0,IF(COUNTIFS(업무일지!$F$5:$F$1004,$O116,업무일지!$B$5:$B$1004,"&gt;="&amp;DATE($B$3,11,1),업무일지!$B$5:$B$1004,"&lt;"&amp;DATE($B$3,11+1,1))&gt;0,1,0))</f>
        <v/>
      </c>
      <c r="AY116">
        <f>IF($O116="",0,IF(COUNTIFS(업무일지!$F$5:$F$1004,$O116,업무일지!$B$5:$B$1004,"&gt;="&amp;DATE($B$3,12,1),업무일지!$B$5:$B$1004,"&lt;"&amp;DATE($B$3,12+1,1))&gt;0,1,0))</f>
        <v/>
      </c>
      <c r="AZ116">
        <f>IF($O116="",0,IF(COUNTIFS(업무일지!$F$5:$F$1004,$O116,업무일지!$B$5:$B$1004,"&gt;="&amp;DATE($B$3,1,1),업무일지!$B$5:$B$1004,"&lt;"&amp;DATE($B$3+1,1,1),업무일지!$D$5:$D$1004,"출장")&gt;0,1,0))</f>
        <v/>
      </c>
      <c r="BA116">
        <f>IF($O116="",0,IF(COUNTIFS(업무일지!$F$5:$F$1004,$O116,업무일지!$B$5:$B$1004,"&gt;="&amp;DATE($B$3,1,1),업무일지!$B$5:$B$1004,"&lt;"&amp;DATE($B$3+1,1,1),업무일지!$D$5:$D$1004,"분석")&gt;0,1,0))</f>
        <v/>
      </c>
      <c r="BB116">
        <f>IF($O116="",0,IF(COUNTIFS(업무일지!$F$5:$F$1004,$O116,업무일지!$B$5:$B$1004,"&gt;="&amp;DATE($B$3,1,1),업무일지!$B$5:$B$1004,"&lt;"&amp;DATE($B$3+1,1,1))&gt;0,1,0))</f>
        <v/>
      </c>
      <c r="BD116">
        <f>IF($O116="",0,IF(COUNTIFS(업무일지!$F$5:$F$1004,$O116,업무일지!$B$5:$B$1004,"&gt;="&amp;DATE($B$3,1,1),업무일지!$B$5:$B$1004,"&lt;"&amp;DATE($B$3+1,1,1),업무일지!$AB$5:$AB$1004,$A$44,업무일지!$D$5:$D$1004,"출장")&gt;0,1,0))</f>
        <v/>
      </c>
      <c r="BE116">
        <f>IF($O116="",0,IF(COUNTIFS(업무일지!$F$5:$F$1004,$O116,업무일지!$B$5:$B$1004,"&gt;="&amp;DATE($B$3,1,1),업무일지!$B$5:$B$1004,"&lt;"&amp;DATE($B$3+1,1,1),업무일지!$AB$5:$AB$1004,$A$45,업무일지!$D$5:$D$1004,"출장")&gt;0,1,0))</f>
        <v/>
      </c>
      <c r="BF116">
        <f>IF($O116="",0,IF(COUNTIFS(업무일지!$F$5:$F$1004,$O116,업무일지!$B$5:$B$1004,"&gt;="&amp;DATE($B$3,1,1),업무일지!$B$5:$B$1004,"&lt;"&amp;DATE($B$3+1,1,1),업무일지!$AB$5:$AB$1004,$A$46,업무일지!$D$5:$D$1004,"출장")&gt;0,1,0))</f>
        <v/>
      </c>
      <c r="BG116">
        <f>IF($O116="",0,IF(COUNTIFS(업무일지!$F$5:$F$1004,$O116,업무일지!$B$5:$B$1004,"&gt;="&amp;DATE($B$3,1,1),업무일지!$B$5:$B$1004,"&lt;"&amp;DATE($B$3+1,1,1),업무일지!$AB$5:$AB$1004,$A$47,업무일지!$D$5:$D$1004,"출장")&gt;0,1,0))</f>
        <v/>
      </c>
      <c r="BH116">
        <f>IF($O116="",0,IF(COUNTIFS(업무일지!$F$5:$F$1004,$O116,업무일지!$B$5:$B$1004,"&gt;="&amp;DATE($B$3,1,1),업무일지!$B$5:$B$1004,"&lt;"&amp;DATE($B$3+1,1,1),업무일지!$AB$5:$AB$1004,$A$48,업무일지!$D$5:$D$1004,"출장")&gt;0,1,0))</f>
        <v/>
      </c>
      <c r="BI116">
        <f>IF($O116="",0,IF(COUNTIFS(업무일지!$F$5:$F$1004,$O116,업무일지!$B$5:$B$1004,"&gt;="&amp;DATE($B$3,1,1),업무일지!$B$5:$B$1004,"&lt;"&amp;DATE($B$3+1,1,1),업무일지!$AB$5:$AB$1004,$A$49,업무일지!$D$5:$D$1004,"출장")&gt;0,1,0))</f>
        <v/>
      </c>
      <c r="BJ116">
        <f>IF($O116="",0,IF(COUNTIFS(업무일지!$F$5:$F$1004,$O116,업무일지!$B$5:$B$1004,"&gt;="&amp;DATE($B$3,1,1),업무일지!$B$5:$B$1004,"&lt;"&amp;DATE($B$3+1,1,1),업무일지!$AB$5:$AB$1004,$A$50,업무일지!$D$5:$D$1004,"출장")&gt;0,1,0))</f>
        <v/>
      </c>
      <c r="BK116">
        <f>IF($O116="",0,IF(COUNTIFS(업무일지!$F$5:$F$1004,$O116,업무일지!$B$5:$B$1004,"&gt;="&amp;DATE($B$3,1,1),업무일지!$B$5:$B$1004,"&lt;"&amp;DATE($B$3+1,1,1),업무일지!$AB$5:$AB$1004,$A$51,업무일지!$D$5:$D$1004,"출장")&gt;0,1,0))</f>
        <v/>
      </c>
      <c r="BL116">
        <f>IF($O116="",0,IF(COUNTIFS(업무일지!$F$5:$F$1004,$O116,업무일지!$B$5:$B$1004,"&gt;="&amp;DATE($B$3,1,1),업무일지!$B$5:$B$1004,"&lt;"&amp;DATE($B$3+1,1,1),업무일지!$AB$5:$AB$1004,$A$52,업무일지!$D$5:$D$1004,"출장")&gt;0,1,0))</f>
        <v/>
      </c>
      <c r="BM116">
        <f>IF($O116="",0,IF(COUNTIFS(업무일지!$F$5:$F$1004,$O116,업무일지!$B$5:$B$1004,"&gt;="&amp;DATE($B$3,1,1),업무일지!$B$5:$B$1004,"&lt;"&amp;DATE($B$3+1,1,1),업무일지!$AB$5:$AB$1004,$A$53,업무일지!$D$5:$D$1004,"출장")&gt;0,1,0))</f>
        <v/>
      </c>
      <c r="BO116">
        <f>IF($O116="",0,IF(COUNTIFS(업무일지!$F$5:$F$1004,$O116,업무일지!$B$5:$B$1004,"&gt;="&amp;DATE($B$3,1,1),업무일지!$B$5:$B$1004,"&lt;"&amp;DATE($B$3+1,1,1),업무일지!$AB$5:$AB$1004,$A$44,업무일지!$D$5:$D$1004,"분석")&gt;0,1,0))</f>
        <v/>
      </c>
      <c r="BP116">
        <f>IF($O116="",0,IF(COUNTIFS(업무일지!$F$5:$F$1004,$O116,업무일지!$B$5:$B$1004,"&gt;="&amp;DATE($B$3,1,1),업무일지!$B$5:$B$1004,"&lt;"&amp;DATE($B$3+1,1,1),업무일지!$AB$5:$AB$1004,$A$45,업무일지!$D$5:$D$1004,"분석")&gt;0,1,0))</f>
        <v/>
      </c>
      <c r="BQ116">
        <f>IF($O116="",0,IF(COUNTIFS(업무일지!$F$5:$F$1004,$O116,업무일지!$B$5:$B$1004,"&gt;="&amp;DATE($B$3,1,1),업무일지!$B$5:$B$1004,"&lt;"&amp;DATE($B$3+1,1,1),업무일지!$AB$5:$AB$1004,$A$46,업무일지!$D$5:$D$1004,"분석")&gt;0,1,0))</f>
        <v/>
      </c>
      <c r="BR116">
        <f>IF($O116="",0,IF(COUNTIFS(업무일지!$F$5:$F$1004,$O116,업무일지!$B$5:$B$1004,"&gt;="&amp;DATE($B$3,1,1),업무일지!$B$5:$B$1004,"&lt;"&amp;DATE($B$3+1,1,1),업무일지!$AB$5:$AB$1004,$A$47,업무일지!$D$5:$D$1004,"분석")&gt;0,1,0))</f>
        <v/>
      </c>
      <c r="BS116">
        <f>IF($O116="",0,IF(COUNTIFS(업무일지!$F$5:$F$1004,$O116,업무일지!$B$5:$B$1004,"&gt;="&amp;DATE($B$3,1,1),업무일지!$B$5:$B$1004,"&lt;"&amp;DATE($B$3+1,1,1),업무일지!$AB$5:$AB$1004,$A$48,업무일지!$D$5:$D$1004,"분석")&gt;0,1,0))</f>
        <v/>
      </c>
      <c r="BT116">
        <f>IF($O116="",0,IF(COUNTIFS(업무일지!$F$5:$F$1004,$O116,업무일지!$B$5:$B$1004,"&gt;="&amp;DATE($B$3,1,1),업무일지!$B$5:$B$1004,"&lt;"&amp;DATE($B$3+1,1,1),업무일지!$AB$5:$AB$1004,$A$49,업무일지!$D$5:$D$1004,"분석")&gt;0,1,0))</f>
        <v/>
      </c>
      <c r="BU116">
        <f>IF($O116="",0,IF(COUNTIFS(업무일지!$F$5:$F$1004,$O116,업무일지!$B$5:$B$1004,"&gt;="&amp;DATE($B$3,1,1),업무일지!$B$5:$B$1004,"&lt;"&amp;DATE($B$3+1,1,1),업무일지!$AB$5:$AB$1004,$A$50,업무일지!$D$5:$D$1004,"분석")&gt;0,1,0))</f>
        <v/>
      </c>
      <c r="BV116">
        <f>IF($O116="",0,IF(COUNTIFS(업무일지!$F$5:$F$1004,$O116,업무일지!$B$5:$B$1004,"&gt;="&amp;DATE($B$3,1,1),업무일지!$B$5:$B$1004,"&lt;"&amp;DATE($B$3+1,1,1),업무일지!$AB$5:$AB$1004,$A$51,업무일지!$D$5:$D$1004,"분석")&gt;0,1,0))</f>
        <v/>
      </c>
      <c r="BW116">
        <f>IF($O116="",0,IF(COUNTIFS(업무일지!$F$5:$F$1004,$O116,업무일지!$B$5:$B$1004,"&gt;="&amp;DATE($B$3,1,1),업무일지!$B$5:$B$1004,"&lt;"&amp;DATE($B$3+1,1,1),업무일지!$AB$5:$AB$1004,$A$52,업무일지!$D$5:$D$1004,"분석")&gt;0,1,0))</f>
        <v/>
      </c>
      <c r="BX116">
        <f>IF($O116="",0,IF(COUNTIFS(업무일지!$F$5:$F$1004,$O116,업무일지!$B$5:$B$1004,"&gt;="&amp;DATE($B$3,1,1),업무일지!$B$5:$B$1004,"&lt;"&amp;DATE($B$3+1,1,1),업무일지!$AB$5:$AB$1004,$A$53,업무일지!$D$5:$D$1004,"분석")&gt;0,1,0))</f>
        <v/>
      </c>
      <c r="BZ116">
        <f>IF($O116="",0,IF(COUNTIFS(업무일지!$F$5:$F$1004,$O116,업무일지!$B$5:$B$1004,"&gt;="&amp;DATE($B$3,1,1),업무일지!$B$5:$B$1004,"&lt;"&amp;DATE($B$3+1,1,1),업무일지!$AB$5:$AB$1004,$A$44)&gt;0,1,0))</f>
        <v/>
      </c>
      <c r="CA116">
        <f>IF($O116="",0,IF(COUNTIFS(업무일지!$F$5:$F$1004,$O116,업무일지!$B$5:$B$1004,"&gt;="&amp;DATE($B$3,1,1),업무일지!$B$5:$B$1004,"&lt;"&amp;DATE($B$3+1,1,1),업무일지!$AB$5:$AB$1004,$A$45)&gt;0,1,0))</f>
        <v/>
      </c>
      <c r="CB116">
        <f>IF($O116="",0,IF(COUNTIFS(업무일지!$F$5:$F$1004,$O116,업무일지!$B$5:$B$1004,"&gt;="&amp;DATE($B$3,1,1),업무일지!$B$5:$B$1004,"&lt;"&amp;DATE($B$3+1,1,1),업무일지!$AB$5:$AB$1004,$A$46)&gt;0,1,0))</f>
        <v/>
      </c>
      <c r="CC116">
        <f>IF($O116="",0,IF(COUNTIFS(업무일지!$F$5:$F$1004,$O116,업무일지!$B$5:$B$1004,"&gt;="&amp;DATE($B$3,1,1),업무일지!$B$5:$B$1004,"&lt;"&amp;DATE($B$3+1,1,1),업무일지!$AB$5:$AB$1004,$A$47)&gt;0,1,0))</f>
        <v/>
      </c>
      <c r="CD116">
        <f>IF($O116="",0,IF(COUNTIFS(업무일지!$F$5:$F$1004,$O116,업무일지!$B$5:$B$1004,"&gt;="&amp;DATE($B$3,1,1),업무일지!$B$5:$B$1004,"&lt;"&amp;DATE($B$3+1,1,1),업무일지!$AB$5:$AB$1004,$A$48)&gt;0,1,0))</f>
        <v/>
      </c>
      <c r="CE116">
        <f>IF($O116="",0,IF(COUNTIFS(업무일지!$F$5:$F$1004,$O116,업무일지!$B$5:$B$1004,"&gt;="&amp;DATE($B$3,1,1),업무일지!$B$5:$B$1004,"&lt;"&amp;DATE($B$3+1,1,1),업무일지!$AB$5:$AB$1004,$A$49)&gt;0,1,0))</f>
        <v/>
      </c>
      <c r="CF116">
        <f>IF($O116="",0,IF(COUNTIFS(업무일지!$F$5:$F$1004,$O116,업무일지!$B$5:$B$1004,"&gt;="&amp;DATE($B$3,1,1),업무일지!$B$5:$B$1004,"&lt;"&amp;DATE($B$3+1,1,1),업무일지!$AB$5:$AB$1004,$A$50)&gt;0,1,0))</f>
        <v/>
      </c>
      <c r="CG116">
        <f>IF($O116="",0,IF(COUNTIFS(업무일지!$F$5:$F$1004,$O116,업무일지!$B$5:$B$1004,"&gt;="&amp;DATE($B$3,1,1),업무일지!$B$5:$B$1004,"&lt;"&amp;DATE($B$3+1,1,1),업무일지!$AB$5:$AB$1004,$A$51)&gt;0,1,0))</f>
        <v/>
      </c>
      <c r="CH116">
        <f>IF($O116="",0,IF(COUNTIFS(업무일지!$F$5:$F$1004,$O116,업무일지!$B$5:$B$1004,"&gt;="&amp;DATE($B$3,1,1),업무일지!$B$5:$B$1004,"&lt;"&amp;DATE($B$3+1,1,1),업무일지!$AB$5:$AB$1004,$A$52)&gt;0,1,0))</f>
        <v/>
      </c>
      <c r="CI116">
        <f>IF($O116="",0,IF(COUNTIFS(업무일지!$F$5:$F$1004,$O116,업무일지!$B$5:$B$1004,"&gt;="&amp;DATE($B$3,1,1),업무일지!$B$5:$B$1004,"&lt;"&amp;DATE($B$3+1,1,1),업무일지!$AB$5:$AB$1004,$A$53)&gt;0,1,0))</f>
        <v/>
      </c>
    </row>
    <row r="117">
      <c r="O117">
        <f>IF(사건마스터!$A37="","",사건마스터!$A37)</f>
        <v/>
      </c>
      <c r="P117">
        <f>IF($O117="",0,IF(COUNTIFS(업무일지!$F$5:$F$1004,$O117,업무일지!$B$5:$B$1004,"&gt;="&amp;DATE($B$3,1,1),업무일지!$B$5:$B$1004,"&lt;"&amp;DATE($B$3,1+1,1),업무일지!$D$5:$D$1004,"출장")&gt;0,1,0))</f>
        <v/>
      </c>
      <c r="Q117">
        <f>IF($O117="",0,IF(COUNTIFS(업무일지!$F$5:$F$1004,$O117,업무일지!$B$5:$B$1004,"&gt;="&amp;DATE($B$3,2,1),업무일지!$B$5:$B$1004,"&lt;"&amp;DATE($B$3,2+1,1),업무일지!$D$5:$D$1004,"출장")&gt;0,1,0))</f>
        <v/>
      </c>
      <c r="R117">
        <f>IF($O117="",0,IF(COUNTIFS(업무일지!$F$5:$F$1004,$O117,업무일지!$B$5:$B$1004,"&gt;="&amp;DATE($B$3,3,1),업무일지!$B$5:$B$1004,"&lt;"&amp;DATE($B$3,3+1,1),업무일지!$D$5:$D$1004,"출장")&gt;0,1,0))</f>
        <v/>
      </c>
      <c r="S117">
        <f>IF($O117="",0,IF(COUNTIFS(업무일지!$F$5:$F$1004,$O117,업무일지!$B$5:$B$1004,"&gt;="&amp;DATE($B$3,4,1),업무일지!$B$5:$B$1004,"&lt;"&amp;DATE($B$3,4+1,1),업무일지!$D$5:$D$1004,"출장")&gt;0,1,0))</f>
        <v/>
      </c>
      <c r="T117">
        <f>IF($O117="",0,IF(COUNTIFS(업무일지!$F$5:$F$1004,$O117,업무일지!$B$5:$B$1004,"&gt;="&amp;DATE($B$3,5,1),업무일지!$B$5:$B$1004,"&lt;"&amp;DATE($B$3,5+1,1),업무일지!$D$5:$D$1004,"출장")&gt;0,1,0))</f>
        <v/>
      </c>
      <c r="U117">
        <f>IF($O117="",0,IF(COUNTIFS(업무일지!$F$5:$F$1004,$O117,업무일지!$B$5:$B$1004,"&gt;="&amp;DATE($B$3,6,1),업무일지!$B$5:$B$1004,"&lt;"&amp;DATE($B$3,6+1,1),업무일지!$D$5:$D$1004,"출장")&gt;0,1,0))</f>
        <v/>
      </c>
      <c r="V117">
        <f>IF($O117="",0,IF(COUNTIFS(업무일지!$F$5:$F$1004,$O117,업무일지!$B$5:$B$1004,"&gt;="&amp;DATE($B$3,7,1),업무일지!$B$5:$B$1004,"&lt;"&amp;DATE($B$3,7+1,1),업무일지!$D$5:$D$1004,"출장")&gt;0,1,0))</f>
        <v/>
      </c>
      <c r="W117">
        <f>IF($O117="",0,IF(COUNTIFS(업무일지!$F$5:$F$1004,$O117,업무일지!$B$5:$B$1004,"&gt;="&amp;DATE($B$3,8,1),업무일지!$B$5:$B$1004,"&lt;"&amp;DATE($B$3,8+1,1),업무일지!$D$5:$D$1004,"출장")&gt;0,1,0))</f>
        <v/>
      </c>
      <c r="X117">
        <f>IF($O117="",0,IF(COUNTIFS(업무일지!$F$5:$F$1004,$O117,업무일지!$B$5:$B$1004,"&gt;="&amp;DATE($B$3,9,1),업무일지!$B$5:$B$1004,"&lt;"&amp;DATE($B$3,9+1,1),업무일지!$D$5:$D$1004,"출장")&gt;0,1,0))</f>
        <v/>
      </c>
      <c r="Y117">
        <f>IF($O117="",0,IF(COUNTIFS(업무일지!$F$5:$F$1004,$O117,업무일지!$B$5:$B$1004,"&gt;="&amp;DATE($B$3,10,1),업무일지!$B$5:$B$1004,"&lt;"&amp;DATE($B$3,10+1,1),업무일지!$D$5:$D$1004,"출장")&gt;0,1,0))</f>
        <v/>
      </c>
      <c r="Z117">
        <f>IF($O117="",0,IF(COUNTIFS(업무일지!$F$5:$F$1004,$O117,업무일지!$B$5:$B$1004,"&gt;="&amp;DATE($B$3,11,1),업무일지!$B$5:$B$1004,"&lt;"&amp;DATE($B$3,11+1,1),업무일지!$D$5:$D$1004,"출장")&gt;0,1,0))</f>
        <v/>
      </c>
      <c r="AA117">
        <f>IF($O117="",0,IF(COUNTIFS(업무일지!$F$5:$F$1004,$O117,업무일지!$B$5:$B$1004,"&gt;="&amp;DATE($B$3,12,1),업무일지!$B$5:$B$1004,"&lt;"&amp;DATE($B$3,12+1,1),업무일지!$D$5:$D$1004,"출장")&gt;0,1,0))</f>
        <v/>
      </c>
      <c r="AB117">
        <f>IF($O117="",0,IF(COUNTIFS(업무일지!$F$5:$F$1004,$O117,업무일지!$B$5:$B$1004,"&gt;="&amp;DATE($B$3,1,1),업무일지!$B$5:$B$1004,"&lt;"&amp;DATE($B$3,1+1,1),업무일지!$D$5:$D$1004,"분석")&gt;0,1,0))</f>
        <v/>
      </c>
      <c r="AC117">
        <f>IF($O117="",0,IF(COUNTIFS(업무일지!$F$5:$F$1004,$O117,업무일지!$B$5:$B$1004,"&gt;="&amp;DATE($B$3,2,1),업무일지!$B$5:$B$1004,"&lt;"&amp;DATE($B$3,2+1,1),업무일지!$D$5:$D$1004,"분석")&gt;0,1,0))</f>
        <v/>
      </c>
      <c r="AD117">
        <f>IF($O117="",0,IF(COUNTIFS(업무일지!$F$5:$F$1004,$O117,업무일지!$B$5:$B$1004,"&gt;="&amp;DATE($B$3,3,1),업무일지!$B$5:$B$1004,"&lt;"&amp;DATE($B$3,3+1,1),업무일지!$D$5:$D$1004,"분석")&gt;0,1,0))</f>
        <v/>
      </c>
      <c r="AE117">
        <f>IF($O117="",0,IF(COUNTIFS(업무일지!$F$5:$F$1004,$O117,업무일지!$B$5:$B$1004,"&gt;="&amp;DATE($B$3,4,1),업무일지!$B$5:$B$1004,"&lt;"&amp;DATE($B$3,4+1,1),업무일지!$D$5:$D$1004,"분석")&gt;0,1,0))</f>
        <v/>
      </c>
      <c r="AF117">
        <f>IF($O117="",0,IF(COUNTIFS(업무일지!$F$5:$F$1004,$O117,업무일지!$B$5:$B$1004,"&gt;="&amp;DATE($B$3,5,1),업무일지!$B$5:$B$1004,"&lt;"&amp;DATE($B$3,5+1,1),업무일지!$D$5:$D$1004,"분석")&gt;0,1,0))</f>
        <v/>
      </c>
      <c r="AG117">
        <f>IF($O117="",0,IF(COUNTIFS(업무일지!$F$5:$F$1004,$O117,업무일지!$B$5:$B$1004,"&gt;="&amp;DATE($B$3,6,1),업무일지!$B$5:$B$1004,"&lt;"&amp;DATE($B$3,6+1,1),업무일지!$D$5:$D$1004,"분석")&gt;0,1,0))</f>
        <v/>
      </c>
      <c r="AH117">
        <f>IF($O117="",0,IF(COUNTIFS(업무일지!$F$5:$F$1004,$O117,업무일지!$B$5:$B$1004,"&gt;="&amp;DATE($B$3,7,1),업무일지!$B$5:$B$1004,"&lt;"&amp;DATE($B$3,7+1,1),업무일지!$D$5:$D$1004,"분석")&gt;0,1,0))</f>
        <v/>
      </c>
      <c r="AI117">
        <f>IF($O117="",0,IF(COUNTIFS(업무일지!$F$5:$F$1004,$O117,업무일지!$B$5:$B$1004,"&gt;="&amp;DATE($B$3,8,1),업무일지!$B$5:$B$1004,"&lt;"&amp;DATE($B$3,8+1,1),업무일지!$D$5:$D$1004,"분석")&gt;0,1,0))</f>
        <v/>
      </c>
      <c r="AJ117">
        <f>IF($O117="",0,IF(COUNTIFS(업무일지!$F$5:$F$1004,$O117,업무일지!$B$5:$B$1004,"&gt;="&amp;DATE($B$3,9,1),업무일지!$B$5:$B$1004,"&lt;"&amp;DATE($B$3,9+1,1),업무일지!$D$5:$D$1004,"분석")&gt;0,1,0))</f>
        <v/>
      </c>
      <c r="AK117">
        <f>IF($O117="",0,IF(COUNTIFS(업무일지!$F$5:$F$1004,$O117,업무일지!$B$5:$B$1004,"&gt;="&amp;DATE($B$3,10,1),업무일지!$B$5:$B$1004,"&lt;"&amp;DATE($B$3,10+1,1),업무일지!$D$5:$D$1004,"분석")&gt;0,1,0))</f>
        <v/>
      </c>
      <c r="AL117">
        <f>IF($O117="",0,IF(COUNTIFS(업무일지!$F$5:$F$1004,$O117,업무일지!$B$5:$B$1004,"&gt;="&amp;DATE($B$3,11,1),업무일지!$B$5:$B$1004,"&lt;"&amp;DATE($B$3,11+1,1),업무일지!$D$5:$D$1004,"분석")&gt;0,1,0))</f>
        <v/>
      </c>
      <c r="AM117">
        <f>IF($O117="",0,IF(COUNTIFS(업무일지!$F$5:$F$1004,$O117,업무일지!$B$5:$B$1004,"&gt;="&amp;DATE($B$3,12,1),업무일지!$B$5:$B$1004,"&lt;"&amp;DATE($B$3,12+1,1),업무일지!$D$5:$D$1004,"분석")&gt;0,1,0))</f>
        <v/>
      </c>
      <c r="AN117">
        <f>IF($O117="",0,IF(COUNTIFS(업무일지!$F$5:$F$1004,$O117,업무일지!$B$5:$B$1004,"&gt;="&amp;DATE($B$3,1,1),업무일지!$B$5:$B$1004,"&lt;"&amp;DATE($B$3,1+1,1))&gt;0,1,0))</f>
        <v/>
      </c>
      <c r="AO117">
        <f>IF($O117="",0,IF(COUNTIFS(업무일지!$F$5:$F$1004,$O117,업무일지!$B$5:$B$1004,"&gt;="&amp;DATE($B$3,2,1),업무일지!$B$5:$B$1004,"&lt;"&amp;DATE($B$3,2+1,1))&gt;0,1,0))</f>
        <v/>
      </c>
      <c r="AP117">
        <f>IF($O117="",0,IF(COUNTIFS(업무일지!$F$5:$F$1004,$O117,업무일지!$B$5:$B$1004,"&gt;="&amp;DATE($B$3,3,1),업무일지!$B$5:$B$1004,"&lt;"&amp;DATE($B$3,3+1,1))&gt;0,1,0))</f>
        <v/>
      </c>
      <c r="AQ117">
        <f>IF($O117="",0,IF(COUNTIFS(업무일지!$F$5:$F$1004,$O117,업무일지!$B$5:$B$1004,"&gt;="&amp;DATE($B$3,4,1),업무일지!$B$5:$B$1004,"&lt;"&amp;DATE($B$3,4+1,1))&gt;0,1,0))</f>
        <v/>
      </c>
      <c r="AR117">
        <f>IF($O117="",0,IF(COUNTIFS(업무일지!$F$5:$F$1004,$O117,업무일지!$B$5:$B$1004,"&gt;="&amp;DATE($B$3,5,1),업무일지!$B$5:$B$1004,"&lt;"&amp;DATE($B$3,5+1,1))&gt;0,1,0))</f>
        <v/>
      </c>
      <c r="AS117">
        <f>IF($O117="",0,IF(COUNTIFS(업무일지!$F$5:$F$1004,$O117,업무일지!$B$5:$B$1004,"&gt;="&amp;DATE($B$3,6,1),업무일지!$B$5:$B$1004,"&lt;"&amp;DATE($B$3,6+1,1))&gt;0,1,0))</f>
        <v/>
      </c>
      <c r="AT117">
        <f>IF($O117="",0,IF(COUNTIFS(업무일지!$F$5:$F$1004,$O117,업무일지!$B$5:$B$1004,"&gt;="&amp;DATE($B$3,7,1),업무일지!$B$5:$B$1004,"&lt;"&amp;DATE($B$3,7+1,1))&gt;0,1,0))</f>
        <v/>
      </c>
      <c r="AU117">
        <f>IF($O117="",0,IF(COUNTIFS(업무일지!$F$5:$F$1004,$O117,업무일지!$B$5:$B$1004,"&gt;="&amp;DATE($B$3,8,1),업무일지!$B$5:$B$1004,"&lt;"&amp;DATE($B$3,8+1,1))&gt;0,1,0))</f>
        <v/>
      </c>
      <c r="AV117">
        <f>IF($O117="",0,IF(COUNTIFS(업무일지!$F$5:$F$1004,$O117,업무일지!$B$5:$B$1004,"&gt;="&amp;DATE($B$3,9,1),업무일지!$B$5:$B$1004,"&lt;"&amp;DATE($B$3,9+1,1))&gt;0,1,0))</f>
        <v/>
      </c>
      <c r="AW117">
        <f>IF($O117="",0,IF(COUNTIFS(업무일지!$F$5:$F$1004,$O117,업무일지!$B$5:$B$1004,"&gt;="&amp;DATE($B$3,10,1),업무일지!$B$5:$B$1004,"&lt;"&amp;DATE($B$3,10+1,1))&gt;0,1,0))</f>
        <v/>
      </c>
      <c r="AX117">
        <f>IF($O117="",0,IF(COUNTIFS(업무일지!$F$5:$F$1004,$O117,업무일지!$B$5:$B$1004,"&gt;="&amp;DATE($B$3,11,1),업무일지!$B$5:$B$1004,"&lt;"&amp;DATE($B$3,11+1,1))&gt;0,1,0))</f>
        <v/>
      </c>
      <c r="AY117">
        <f>IF($O117="",0,IF(COUNTIFS(업무일지!$F$5:$F$1004,$O117,업무일지!$B$5:$B$1004,"&gt;="&amp;DATE($B$3,12,1),업무일지!$B$5:$B$1004,"&lt;"&amp;DATE($B$3,12+1,1))&gt;0,1,0))</f>
        <v/>
      </c>
      <c r="AZ117">
        <f>IF($O117="",0,IF(COUNTIFS(업무일지!$F$5:$F$1004,$O117,업무일지!$B$5:$B$1004,"&gt;="&amp;DATE($B$3,1,1),업무일지!$B$5:$B$1004,"&lt;"&amp;DATE($B$3+1,1,1),업무일지!$D$5:$D$1004,"출장")&gt;0,1,0))</f>
        <v/>
      </c>
      <c r="BA117">
        <f>IF($O117="",0,IF(COUNTIFS(업무일지!$F$5:$F$1004,$O117,업무일지!$B$5:$B$1004,"&gt;="&amp;DATE($B$3,1,1),업무일지!$B$5:$B$1004,"&lt;"&amp;DATE($B$3+1,1,1),업무일지!$D$5:$D$1004,"분석")&gt;0,1,0))</f>
        <v/>
      </c>
      <c r="BB117">
        <f>IF($O117="",0,IF(COUNTIFS(업무일지!$F$5:$F$1004,$O117,업무일지!$B$5:$B$1004,"&gt;="&amp;DATE($B$3,1,1),업무일지!$B$5:$B$1004,"&lt;"&amp;DATE($B$3+1,1,1))&gt;0,1,0))</f>
        <v/>
      </c>
      <c r="BD117">
        <f>IF($O117="",0,IF(COUNTIFS(업무일지!$F$5:$F$1004,$O117,업무일지!$B$5:$B$1004,"&gt;="&amp;DATE($B$3,1,1),업무일지!$B$5:$B$1004,"&lt;"&amp;DATE($B$3+1,1,1),업무일지!$AB$5:$AB$1004,$A$44,업무일지!$D$5:$D$1004,"출장")&gt;0,1,0))</f>
        <v/>
      </c>
      <c r="BE117">
        <f>IF($O117="",0,IF(COUNTIFS(업무일지!$F$5:$F$1004,$O117,업무일지!$B$5:$B$1004,"&gt;="&amp;DATE($B$3,1,1),업무일지!$B$5:$B$1004,"&lt;"&amp;DATE($B$3+1,1,1),업무일지!$AB$5:$AB$1004,$A$45,업무일지!$D$5:$D$1004,"출장")&gt;0,1,0))</f>
        <v/>
      </c>
      <c r="BF117">
        <f>IF($O117="",0,IF(COUNTIFS(업무일지!$F$5:$F$1004,$O117,업무일지!$B$5:$B$1004,"&gt;="&amp;DATE($B$3,1,1),업무일지!$B$5:$B$1004,"&lt;"&amp;DATE($B$3+1,1,1),업무일지!$AB$5:$AB$1004,$A$46,업무일지!$D$5:$D$1004,"출장")&gt;0,1,0))</f>
        <v/>
      </c>
      <c r="BG117">
        <f>IF($O117="",0,IF(COUNTIFS(업무일지!$F$5:$F$1004,$O117,업무일지!$B$5:$B$1004,"&gt;="&amp;DATE($B$3,1,1),업무일지!$B$5:$B$1004,"&lt;"&amp;DATE($B$3+1,1,1),업무일지!$AB$5:$AB$1004,$A$47,업무일지!$D$5:$D$1004,"출장")&gt;0,1,0))</f>
        <v/>
      </c>
      <c r="BH117">
        <f>IF($O117="",0,IF(COUNTIFS(업무일지!$F$5:$F$1004,$O117,업무일지!$B$5:$B$1004,"&gt;="&amp;DATE($B$3,1,1),업무일지!$B$5:$B$1004,"&lt;"&amp;DATE($B$3+1,1,1),업무일지!$AB$5:$AB$1004,$A$48,업무일지!$D$5:$D$1004,"출장")&gt;0,1,0))</f>
        <v/>
      </c>
      <c r="BI117">
        <f>IF($O117="",0,IF(COUNTIFS(업무일지!$F$5:$F$1004,$O117,업무일지!$B$5:$B$1004,"&gt;="&amp;DATE($B$3,1,1),업무일지!$B$5:$B$1004,"&lt;"&amp;DATE($B$3+1,1,1),업무일지!$AB$5:$AB$1004,$A$49,업무일지!$D$5:$D$1004,"출장")&gt;0,1,0))</f>
        <v/>
      </c>
      <c r="BJ117">
        <f>IF($O117="",0,IF(COUNTIFS(업무일지!$F$5:$F$1004,$O117,업무일지!$B$5:$B$1004,"&gt;="&amp;DATE($B$3,1,1),업무일지!$B$5:$B$1004,"&lt;"&amp;DATE($B$3+1,1,1),업무일지!$AB$5:$AB$1004,$A$50,업무일지!$D$5:$D$1004,"출장")&gt;0,1,0))</f>
        <v/>
      </c>
      <c r="BK117">
        <f>IF($O117="",0,IF(COUNTIFS(업무일지!$F$5:$F$1004,$O117,업무일지!$B$5:$B$1004,"&gt;="&amp;DATE($B$3,1,1),업무일지!$B$5:$B$1004,"&lt;"&amp;DATE($B$3+1,1,1),업무일지!$AB$5:$AB$1004,$A$51,업무일지!$D$5:$D$1004,"출장")&gt;0,1,0))</f>
        <v/>
      </c>
      <c r="BL117">
        <f>IF($O117="",0,IF(COUNTIFS(업무일지!$F$5:$F$1004,$O117,업무일지!$B$5:$B$1004,"&gt;="&amp;DATE($B$3,1,1),업무일지!$B$5:$B$1004,"&lt;"&amp;DATE($B$3+1,1,1),업무일지!$AB$5:$AB$1004,$A$52,업무일지!$D$5:$D$1004,"출장")&gt;0,1,0))</f>
        <v/>
      </c>
      <c r="BM117">
        <f>IF($O117="",0,IF(COUNTIFS(업무일지!$F$5:$F$1004,$O117,업무일지!$B$5:$B$1004,"&gt;="&amp;DATE($B$3,1,1),업무일지!$B$5:$B$1004,"&lt;"&amp;DATE($B$3+1,1,1),업무일지!$AB$5:$AB$1004,$A$53,업무일지!$D$5:$D$1004,"출장")&gt;0,1,0))</f>
        <v/>
      </c>
      <c r="BO117">
        <f>IF($O117="",0,IF(COUNTIFS(업무일지!$F$5:$F$1004,$O117,업무일지!$B$5:$B$1004,"&gt;="&amp;DATE($B$3,1,1),업무일지!$B$5:$B$1004,"&lt;"&amp;DATE($B$3+1,1,1),업무일지!$AB$5:$AB$1004,$A$44,업무일지!$D$5:$D$1004,"분석")&gt;0,1,0))</f>
        <v/>
      </c>
      <c r="BP117">
        <f>IF($O117="",0,IF(COUNTIFS(업무일지!$F$5:$F$1004,$O117,업무일지!$B$5:$B$1004,"&gt;="&amp;DATE($B$3,1,1),업무일지!$B$5:$B$1004,"&lt;"&amp;DATE($B$3+1,1,1),업무일지!$AB$5:$AB$1004,$A$45,업무일지!$D$5:$D$1004,"분석")&gt;0,1,0))</f>
        <v/>
      </c>
      <c r="BQ117">
        <f>IF($O117="",0,IF(COUNTIFS(업무일지!$F$5:$F$1004,$O117,업무일지!$B$5:$B$1004,"&gt;="&amp;DATE($B$3,1,1),업무일지!$B$5:$B$1004,"&lt;"&amp;DATE($B$3+1,1,1),업무일지!$AB$5:$AB$1004,$A$46,업무일지!$D$5:$D$1004,"분석")&gt;0,1,0))</f>
        <v/>
      </c>
      <c r="BR117">
        <f>IF($O117="",0,IF(COUNTIFS(업무일지!$F$5:$F$1004,$O117,업무일지!$B$5:$B$1004,"&gt;="&amp;DATE($B$3,1,1),업무일지!$B$5:$B$1004,"&lt;"&amp;DATE($B$3+1,1,1),업무일지!$AB$5:$AB$1004,$A$47,업무일지!$D$5:$D$1004,"분석")&gt;0,1,0))</f>
        <v/>
      </c>
      <c r="BS117">
        <f>IF($O117="",0,IF(COUNTIFS(업무일지!$F$5:$F$1004,$O117,업무일지!$B$5:$B$1004,"&gt;="&amp;DATE($B$3,1,1),업무일지!$B$5:$B$1004,"&lt;"&amp;DATE($B$3+1,1,1),업무일지!$AB$5:$AB$1004,$A$48,업무일지!$D$5:$D$1004,"분석")&gt;0,1,0))</f>
        <v/>
      </c>
      <c r="BT117">
        <f>IF($O117="",0,IF(COUNTIFS(업무일지!$F$5:$F$1004,$O117,업무일지!$B$5:$B$1004,"&gt;="&amp;DATE($B$3,1,1),업무일지!$B$5:$B$1004,"&lt;"&amp;DATE($B$3+1,1,1),업무일지!$AB$5:$AB$1004,$A$49,업무일지!$D$5:$D$1004,"분석")&gt;0,1,0))</f>
        <v/>
      </c>
      <c r="BU117">
        <f>IF($O117="",0,IF(COUNTIFS(업무일지!$F$5:$F$1004,$O117,업무일지!$B$5:$B$1004,"&gt;="&amp;DATE($B$3,1,1),업무일지!$B$5:$B$1004,"&lt;"&amp;DATE($B$3+1,1,1),업무일지!$AB$5:$AB$1004,$A$50,업무일지!$D$5:$D$1004,"분석")&gt;0,1,0))</f>
        <v/>
      </c>
      <c r="BV117">
        <f>IF($O117="",0,IF(COUNTIFS(업무일지!$F$5:$F$1004,$O117,업무일지!$B$5:$B$1004,"&gt;="&amp;DATE($B$3,1,1),업무일지!$B$5:$B$1004,"&lt;"&amp;DATE($B$3+1,1,1),업무일지!$AB$5:$AB$1004,$A$51,업무일지!$D$5:$D$1004,"분석")&gt;0,1,0))</f>
        <v/>
      </c>
      <c r="BW117">
        <f>IF($O117="",0,IF(COUNTIFS(업무일지!$F$5:$F$1004,$O117,업무일지!$B$5:$B$1004,"&gt;="&amp;DATE($B$3,1,1),업무일지!$B$5:$B$1004,"&lt;"&amp;DATE($B$3+1,1,1),업무일지!$AB$5:$AB$1004,$A$52,업무일지!$D$5:$D$1004,"분석")&gt;0,1,0))</f>
        <v/>
      </c>
      <c r="BX117">
        <f>IF($O117="",0,IF(COUNTIFS(업무일지!$F$5:$F$1004,$O117,업무일지!$B$5:$B$1004,"&gt;="&amp;DATE($B$3,1,1),업무일지!$B$5:$B$1004,"&lt;"&amp;DATE($B$3+1,1,1),업무일지!$AB$5:$AB$1004,$A$53,업무일지!$D$5:$D$1004,"분석")&gt;0,1,0))</f>
        <v/>
      </c>
      <c r="BZ117">
        <f>IF($O117="",0,IF(COUNTIFS(업무일지!$F$5:$F$1004,$O117,업무일지!$B$5:$B$1004,"&gt;="&amp;DATE($B$3,1,1),업무일지!$B$5:$B$1004,"&lt;"&amp;DATE($B$3+1,1,1),업무일지!$AB$5:$AB$1004,$A$44)&gt;0,1,0))</f>
        <v/>
      </c>
      <c r="CA117">
        <f>IF($O117="",0,IF(COUNTIFS(업무일지!$F$5:$F$1004,$O117,업무일지!$B$5:$B$1004,"&gt;="&amp;DATE($B$3,1,1),업무일지!$B$5:$B$1004,"&lt;"&amp;DATE($B$3+1,1,1),업무일지!$AB$5:$AB$1004,$A$45)&gt;0,1,0))</f>
        <v/>
      </c>
      <c r="CB117">
        <f>IF($O117="",0,IF(COUNTIFS(업무일지!$F$5:$F$1004,$O117,업무일지!$B$5:$B$1004,"&gt;="&amp;DATE($B$3,1,1),업무일지!$B$5:$B$1004,"&lt;"&amp;DATE($B$3+1,1,1),업무일지!$AB$5:$AB$1004,$A$46)&gt;0,1,0))</f>
        <v/>
      </c>
      <c r="CC117">
        <f>IF($O117="",0,IF(COUNTIFS(업무일지!$F$5:$F$1004,$O117,업무일지!$B$5:$B$1004,"&gt;="&amp;DATE($B$3,1,1),업무일지!$B$5:$B$1004,"&lt;"&amp;DATE($B$3+1,1,1),업무일지!$AB$5:$AB$1004,$A$47)&gt;0,1,0))</f>
        <v/>
      </c>
      <c r="CD117">
        <f>IF($O117="",0,IF(COUNTIFS(업무일지!$F$5:$F$1004,$O117,업무일지!$B$5:$B$1004,"&gt;="&amp;DATE($B$3,1,1),업무일지!$B$5:$B$1004,"&lt;"&amp;DATE($B$3+1,1,1),업무일지!$AB$5:$AB$1004,$A$48)&gt;0,1,0))</f>
        <v/>
      </c>
      <c r="CE117">
        <f>IF($O117="",0,IF(COUNTIFS(업무일지!$F$5:$F$1004,$O117,업무일지!$B$5:$B$1004,"&gt;="&amp;DATE($B$3,1,1),업무일지!$B$5:$B$1004,"&lt;"&amp;DATE($B$3+1,1,1),업무일지!$AB$5:$AB$1004,$A$49)&gt;0,1,0))</f>
        <v/>
      </c>
      <c r="CF117">
        <f>IF($O117="",0,IF(COUNTIFS(업무일지!$F$5:$F$1004,$O117,업무일지!$B$5:$B$1004,"&gt;="&amp;DATE($B$3,1,1),업무일지!$B$5:$B$1004,"&lt;"&amp;DATE($B$3+1,1,1),업무일지!$AB$5:$AB$1004,$A$50)&gt;0,1,0))</f>
        <v/>
      </c>
      <c r="CG117">
        <f>IF($O117="",0,IF(COUNTIFS(업무일지!$F$5:$F$1004,$O117,업무일지!$B$5:$B$1004,"&gt;="&amp;DATE($B$3,1,1),업무일지!$B$5:$B$1004,"&lt;"&amp;DATE($B$3+1,1,1),업무일지!$AB$5:$AB$1004,$A$51)&gt;0,1,0))</f>
        <v/>
      </c>
      <c r="CH117">
        <f>IF($O117="",0,IF(COUNTIFS(업무일지!$F$5:$F$1004,$O117,업무일지!$B$5:$B$1004,"&gt;="&amp;DATE($B$3,1,1),업무일지!$B$5:$B$1004,"&lt;"&amp;DATE($B$3+1,1,1),업무일지!$AB$5:$AB$1004,$A$52)&gt;0,1,0))</f>
        <v/>
      </c>
      <c r="CI117">
        <f>IF($O117="",0,IF(COUNTIFS(업무일지!$F$5:$F$1004,$O117,업무일지!$B$5:$B$1004,"&gt;="&amp;DATE($B$3,1,1),업무일지!$B$5:$B$1004,"&lt;"&amp;DATE($B$3+1,1,1),업무일지!$AB$5:$AB$1004,$A$53)&gt;0,1,0))</f>
        <v/>
      </c>
    </row>
    <row r="118">
      <c r="O118">
        <f>IF(사건마스터!$A38="","",사건마스터!$A38)</f>
        <v/>
      </c>
      <c r="P118">
        <f>IF($O118="",0,IF(COUNTIFS(업무일지!$F$5:$F$1004,$O118,업무일지!$B$5:$B$1004,"&gt;="&amp;DATE($B$3,1,1),업무일지!$B$5:$B$1004,"&lt;"&amp;DATE($B$3,1+1,1),업무일지!$D$5:$D$1004,"출장")&gt;0,1,0))</f>
        <v/>
      </c>
      <c r="Q118">
        <f>IF($O118="",0,IF(COUNTIFS(업무일지!$F$5:$F$1004,$O118,업무일지!$B$5:$B$1004,"&gt;="&amp;DATE($B$3,2,1),업무일지!$B$5:$B$1004,"&lt;"&amp;DATE($B$3,2+1,1),업무일지!$D$5:$D$1004,"출장")&gt;0,1,0))</f>
        <v/>
      </c>
      <c r="R118">
        <f>IF($O118="",0,IF(COUNTIFS(업무일지!$F$5:$F$1004,$O118,업무일지!$B$5:$B$1004,"&gt;="&amp;DATE($B$3,3,1),업무일지!$B$5:$B$1004,"&lt;"&amp;DATE($B$3,3+1,1),업무일지!$D$5:$D$1004,"출장")&gt;0,1,0))</f>
        <v/>
      </c>
      <c r="S118">
        <f>IF($O118="",0,IF(COUNTIFS(업무일지!$F$5:$F$1004,$O118,업무일지!$B$5:$B$1004,"&gt;="&amp;DATE($B$3,4,1),업무일지!$B$5:$B$1004,"&lt;"&amp;DATE($B$3,4+1,1),업무일지!$D$5:$D$1004,"출장")&gt;0,1,0))</f>
        <v/>
      </c>
      <c r="T118">
        <f>IF($O118="",0,IF(COUNTIFS(업무일지!$F$5:$F$1004,$O118,업무일지!$B$5:$B$1004,"&gt;="&amp;DATE($B$3,5,1),업무일지!$B$5:$B$1004,"&lt;"&amp;DATE($B$3,5+1,1),업무일지!$D$5:$D$1004,"출장")&gt;0,1,0))</f>
        <v/>
      </c>
      <c r="U118">
        <f>IF($O118="",0,IF(COUNTIFS(업무일지!$F$5:$F$1004,$O118,업무일지!$B$5:$B$1004,"&gt;="&amp;DATE($B$3,6,1),업무일지!$B$5:$B$1004,"&lt;"&amp;DATE($B$3,6+1,1),업무일지!$D$5:$D$1004,"출장")&gt;0,1,0))</f>
        <v/>
      </c>
      <c r="V118">
        <f>IF($O118="",0,IF(COUNTIFS(업무일지!$F$5:$F$1004,$O118,업무일지!$B$5:$B$1004,"&gt;="&amp;DATE($B$3,7,1),업무일지!$B$5:$B$1004,"&lt;"&amp;DATE($B$3,7+1,1),업무일지!$D$5:$D$1004,"출장")&gt;0,1,0))</f>
        <v/>
      </c>
      <c r="W118">
        <f>IF($O118="",0,IF(COUNTIFS(업무일지!$F$5:$F$1004,$O118,업무일지!$B$5:$B$1004,"&gt;="&amp;DATE($B$3,8,1),업무일지!$B$5:$B$1004,"&lt;"&amp;DATE($B$3,8+1,1),업무일지!$D$5:$D$1004,"출장")&gt;0,1,0))</f>
        <v/>
      </c>
      <c r="X118">
        <f>IF($O118="",0,IF(COUNTIFS(업무일지!$F$5:$F$1004,$O118,업무일지!$B$5:$B$1004,"&gt;="&amp;DATE($B$3,9,1),업무일지!$B$5:$B$1004,"&lt;"&amp;DATE($B$3,9+1,1),업무일지!$D$5:$D$1004,"출장")&gt;0,1,0))</f>
        <v/>
      </c>
      <c r="Y118">
        <f>IF($O118="",0,IF(COUNTIFS(업무일지!$F$5:$F$1004,$O118,업무일지!$B$5:$B$1004,"&gt;="&amp;DATE($B$3,10,1),업무일지!$B$5:$B$1004,"&lt;"&amp;DATE($B$3,10+1,1),업무일지!$D$5:$D$1004,"출장")&gt;0,1,0))</f>
        <v/>
      </c>
      <c r="Z118">
        <f>IF($O118="",0,IF(COUNTIFS(업무일지!$F$5:$F$1004,$O118,업무일지!$B$5:$B$1004,"&gt;="&amp;DATE($B$3,11,1),업무일지!$B$5:$B$1004,"&lt;"&amp;DATE($B$3,11+1,1),업무일지!$D$5:$D$1004,"출장")&gt;0,1,0))</f>
        <v/>
      </c>
      <c r="AA118">
        <f>IF($O118="",0,IF(COUNTIFS(업무일지!$F$5:$F$1004,$O118,업무일지!$B$5:$B$1004,"&gt;="&amp;DATE($B$3,12,1),업무일지!$B$5:$B$1004,"&lt;"&amp;DATE($B$3,12+1,1),업무일지!$D$5:$D$1004,"출장")&gt;0,1,0))</f>
        <v/>
      </c>
      <c r="AB118">
        <f>IF($O118="",0,IF(COUNTIFS(업무일지!$F$5:$F$1004,$O118,업무일지!$B$5:$B$1004,"&gt;="&amp;DATE($B$3,1,1),업무일지!$B$5:$B$1004,"&lt;"&amp;DATE($B$3,1+1,1),업무일지!$D$5:$D$1004,"분석")&gt;0,1,0))</f>
        <v/>
      </c>
      <c r="AC118">
        <f>IF($O118="",0,IF(COUNTIFS(업무일지!$F$5:$F$1004,$O118,업무일지!$B$5:$B$1004,"&gt;="&amp;DATE($B$3,2,1),업무일지!$B$5:$B$1004,"&lt;"&amp;DATE($B$3,2+1,1),업무일지!$D$5:$D$1004,"분석")&gt;0,1,0))</f>
        <v/>
      </c>
      <c r="AD118">
        <f>IF($O118="",0,IF(COUNTIFS(업무일지!$F$5:$F$1004,$O118,업무일지!$B$5:$B$1004,"&gt;="&amp;DATE($B$3,3,1),업무일지!$B$5:$B$1004,"&lt;"&amp;DATE($B$3,3+1,1),업무일지!$D$5:$D$1004,"분석")&gt;0,1,0))</f>
        <v/>
      </c>
      <c r="AE118">
        <f>IF($O118="",0,IF(COUNTIFS(업무일지!$F$5:$F$1004,$O118,업무일지!$B$5:$B$1004,"&gt;="&amp;DATE($B$3,4,1),업무일지!$B$5:$B$1004,"&lt;"&amp;DATE($B$3,4+1,1),업무일지!$D$5:$D$1004,"분석")&gt;0,1,0))</f>
        <v/>
      </c>
      <c r="AF118">
        <f>IF($O118="",0,IF(COUNTIFS(업무일지!$F$5:$F$1004,$O118,업무일지!$B$5:$B$1004,"&gt;="&amp;DATE($B$3,5,1),업무일지!$B$5:$B$1004,"&lt;"&amp;DATE($B$3,5+1,1),업무일지!$D$5:$D$1004,"분석")&gt;0,1,0))</f>
        <v/>
      </c>
      <c r="AG118">
        <f>IF($O118="",0,IF(COUNTIFS(업무일지!$F$5:$F$1004,$O118,업무일지!$B$5:$B$1004,"&gt;="&amp;DATE($B$3,6,1),업무일지!$B$5:$B$1004,"&lt;"&amp;DATE($B$3,6+1,1),업무일지!$D$5:$D$1004,"분석")&gt;0,1,0))</f>
        <v/>
      </c>
      <c r="AH118">
        <f>IF($O118="",0,IF(COUNTIFS(업무일지!$F$5:$F$1004,$O118,업무일지!$B$5:$B$1004,"&gt;="&amp;DATE($B$3,7,1),업무일지!$B$5:$B$1004,"&lt;"&amp;DATE($B$3,7+1,1),업무일지!$D$5:$D$1004,"분석")&gt;0,1,0))</f>
        <v/>
      </c>
      <c r="AI118">
        <f>IF($O118="",0,IF(COUNTIFS(업무일지!$F$5:$F$1004,$O118,업무일지!$B$5:$B$1004,"&gt;="&amp;DATE($B$3,8,1),업무일지!$B$5:$B$1004,"&lt;"&amp;DATE($B$3,8+1,1),업무일지!$D$5:$D$1004,"분석")&gt;0,1,0))</f>
        <v/>
      </c>
      <c r="AJ118">
        <f>IF($O118="",0,IF(COUNTIFS(업무일지!$F$5:$F$1004,$O118,업무일지!$B$5:$B$1004,"&gt;="&amp;DATE($B$3,9,1),업무일지!$B$5:$B$1004,"&lt;"&amp;DATE($B$3,9+1,1),업무일지!$D$5:$D$1004,"분석")&gt;0,1,0))</f>
        <v/>
      </c>
      <c r="AK118">
        <f>IF($O118="",0,IF(COUNTIFS(업무일지!$F$5:$F$1004,$O118,업무일지!$B$5:$B$1004,"&gt;="&amp;DATE($B$3,10,1),업무일지!$B$5:$B$1004,"&lt;"&amp;DATE($B$3,10+1,1),업무일지!$D$5:$D$1004,"분석")&gt;0,1,0))</f>
        <v/>
      </c>
      <c r="AL118">
        <f>IF($O118="",0,IF(COUNTIFS(업무일지!$F$5:$F$1004,$O118,업무일지!$B$5:$B$1004,"&gt;="&amp;DATE($B$3,11,1),업무일지!$B$5:$B$1004,"&lt;"&amp;DATE($B$3,11+1,1),업무일지!$D$5:$D$1004,"분석")&gt;0,1,0))</f>
        <v/>
      </c>
      <c r="AM118">
        <f>IF($O118="",0,IF(COUNTIFS(업무일지!$F$5:$F$1004,$O118,업무일지!$B$5:$B$1004,"&gt;="&amp;DATE($B$3,12,1),업무일지!$B$5:$B$1004,"&lt;"&amp;DATE($B$3,12+1,1),업무일지!$D$5:$D$1004,"분석")&gt;0,1,0))</f>
        <v/>
      </c>
      <c r="AN118">
        <f>IF($O118="",0,IF(COUNTIFS(업무일지!$F$5:$F$1004,$O118,업무일지!$B$5:$B$1004,"&gt;="&amp;DATE($B$3,1,1),업무일지!$B$5:$B$1004,"&lt;"&amp;DATE($B$3,1+1,1))&gt;0,1,0))</f>
        <v/>
      </c>
      <c r="AO118">
        <f>IF($O118="",0,IF(COUNTIFS(업무일지!$F$5:$F$1004,$O118,업무일지!$B$5:$B$1004,"&gt;="&amp;DATE($B$3,2,1),업무일지!$B$5:$B$1004,"&lt;"&amp;DATE($B$3,2+1,1))&gt;0,1,0))</f>
        <v/>
      </c>
      <c r="AP118">
        <f>IF($O118="",0,IF(COUNTIFS(업무일지!$F$5:$F$1004,$O118,업무일지!$B$5:$B$1004,"&gt;="&amp;DATE($B$3,3,1),업무일지!$B$5:$B$1004,"&lt;"&amp;DATE($B$3,3+1,1))&gt;0,1,0))</f>
        <v/>
      </c>
      <c r="AQ118">
        <f>IF($O118="",0,IF(COUNTIFS(업무일지!$F$5:$F$1004,$O118,업무일지!$B$5:$B$1004,"&gt;="&amp;DATE($B$3,4,1),업무일지!$B$5:$B$1004,"&lt;"&amp;DATE($B$3,4+1,1))&gt;0,1,0))</f>
        <v/>
      </c>
      <c r="AR118">
        <f>IF($O118="",0,IF(COUNTIFS(업무일지!$F$5:$F$1004,$O118,업무일지!$B$5:$B$1004,"&gt;="&amp;DATE($B$3,5,1),업무일지!$B$5:$B$1004,"&lt;"&amp;DATE($B$3,5+1,1))&gt;0,1,0))</f>
        <v/>
      </c>
      <c r="AS118">
        <f>IF($O118="",0,IF(COUNTIFS(업무일지!$F$5:$F$1004,$O118,업무일지!$B$5:$B$1004,"&gt;="&amp;DATE($B$3,6,1),업무일지!$B$5:$B$1004,"&lt;"&amp;DATE($B$3,6+1,1))&gt;0,1,0))</f>
        <v/>
      </c>
      <c r="AT118">
        <f>IF($O118="",0,IF(COUNTIFS(업무일지!$F$5:$F$1004,$O118,업무일지!$B$5:$B$1004,"&gt;="&amp;DATE($B$3,7,1),업무일지!$B$5:$B$1004,"&lt;"&amp;DATE($B$3,7+1,1))&gt;0,1,0))</f>
        <v/>
      </c>
      <c r="AU118">
        <f>IF($O118="",0,IF(COUNTIFS(업무일지!$F$5:$F$1004,$O118,업무일지!$B$5:$B$1004,"&gt;="&amp;DATE($B$3,8,1),업무일지!$B$5:$B$1004,"&lt;"&amp;DATE($B$3,8+1,1))&gt;0,1,0))</f>
        <v/>
      </c>
      <c r="AV118">
        <f>IF($O118="",0,IF(COUNTIFS(업무일지!$F$5:$F$1004,$O118,업무일지!$B$5:$B$1004,"&gt;="&amp;DATE($B$3,9,1),업무일지!$B$5:$B$1004,"&lt;"&amp;DATE($B$3,9+1,1))&gt;0,1,0))</f>
        <v/>
      </c>
      <c r="AW118">
        <f>IF($O118="",0,IF(COUNTIFS(업무일지!$F$5:$F$1004,$O118,업무일지!$B$5:$B$1004,"&gt;="&amp;DATE($B$3,10,1),업무일지!$B$5:$B$1004,"&lt;"&amp;DATE($B$3,10+1,1))&gt;0,1,0))</f>
        <v/>
      </c>
      <c r="AX118">
        <f>IF($O118="",0,IF(COUNTIFS(업무일지!$F$5:$F$1004,$O118,업무일지!$B$5:$B$1004,"&gt;="&amp;DATE($B$3,11,1),업무일지!$B$5:$B$1004,"&lt;"&amp;DATE($B$3,11+1,1))&gt;0,1,0))</f>
        <v/>
      </c>
      <c r="AY118">
        <f>IF($O118="",0,IF(COUNTIFS(업무일지!$F$5:$F$1004,$O118,업무일지!$B$5:$B$1004,"&gt;="&amp;DATE($B$3,12,1),업무일지!$B$5:$B$1004,"&lt;"&amp;DATE($B$3,12+1,1))&gt;0,1,0))</f>
        <v/>
      </c>
      <c r="AZ118">
        <f>IF($O118="",0,IF(COUNTIFS(업무일지!$F$5:$F$1004,$O118,업무일지!$B$5:$B$1004,"&gt;="&amp;DATE($B$3,1,1),업무일지!$B$5:$B$1004,"&lt;"&amp;DATE($B$3+1,1,1),업무일지!$D$5:$D$1004,"출장")&gt;0,1,0))</f>
        <v/>
      </c>
      <c r="BA118">
        <f>IF($O118="",0,IF(COUNTIFS(업무일지!$F$5:$F$1004,$O118,업무일지!$B$5:$B$1004,"&gt;="&amp;DATE($B$3,1,1),업무일지!$B$5:$B$1004,"&lt;"&amp;DATE($B$3+1,1,1),업무일지!$D$5:$D$1004,"분석")&gt;0,1,0))</f>
        <v/>
      </c>
      <c r="BB118">
        <f>IF($O118="",0,IF(COUNTIFS(업무일지!$F$5:$F$1004,$O118,업무일지!$B$5:$B$1004,"&gt;="&amp;DATE($B$3,1,1),업무일지!$B$5:$B$1004,"&lt;"&amp;DATE($B$3+1,1,1))&gt;0,1,0))</f>
        <v/>
      </c>
      <c r="BD118">
        <f>IF($O118="",0,IF(COUNTIFS(업무일지!$F$5:$F$1004,$O118,업무일지!$B$5:$B$1004,"&gt;="&amp;DATE($B$3,1,1),업무일지!$B$5:$B$1004,"&lt;"&amp;DATE($B$3+1,1,1),업무일지!$AB$5:$AB$1004,$A$44,업무일지!$D$5:$D$1004,"출장")&gt;0,1,0))</f>
        <v/>
      </c>
      <c r="BE118">
        <f>IF($O118="",0,IF(COUNTIFS(업무일지!$F$5:$F$1004,$O118,업무일지!$B$5:$B$1004,"&gt;="&amp;DATE($B$3,1,1),업무일지!$B$5:$B$1004,"&lt;"&amp;DATE($B$3+1,1,1),업무일지!$AB$5:$AB$1004,$A$45,업무일지!$D$5:$D$1004,"출장")&gt;0,1,0))</f>
        <v/>
      </c>
      <c r="BF118">
        <f>IF($O118="",0,IF(COUNTIFS(업무일지!$F$5:$F$1004,$O118,업무일지!$B$5:$B$1004,"&gt;="&amp;DATE($B$3,1,1),업무일지!$B$5:$B$1004,"&lt;"&amp;DATE($B$3+1,1,1),업무일지!$AB$5:$AB$1004,$A$46,업무일지!$D$5:$D$1004,"출장")&gt;0,1,0))</f>
        <v/>
      </c>
      <c r="BG118">
        <f>IF($O118="",0,IF(COUNTIFS(업무일지!$F$5:$F$1004,$O118,업무일지!$B$5:$B$1004,"&gt;="&amp;DATE($B$3,1,1),업무일지!$B$5:$B$1004,"&lt;"&amp;DATE($B$3+1,1,1),업무일지!$AB$5:$AB$1004,$A$47,업무일지!$D$5:$D$1004,"출장")&gt;0,1,0))</f>
        <v/>
      </c>
      <c r="BH118">
        <f>IF($O118="",0,IF(COUNTIFS(업무일지!$F$5:$F$1004,$O118,업무일지!$B$5:$B$1004,"&gt;="&amp;DATE($B$3,1,1),업무일지!$B$5:$B$1004,"&lt;"&amp;DATE($B$3+1,1,1),업무일지!$AB$5:$AB$1004,$A$48,업무일지!$D$5:$D$1004,"출장")&gt;0,1,0))</f>
        <v/>
      </c>
      <c r="BI118">
        <f>IF($O118="",0,IF(COUNTIFS(업무일지!$F$5:$F$1004,$O118,업무일지!$B$5:$B$1004,"&gt;="&amp;DATE($B$3,1,1),업무일지!$B$5:$B$1004,"&lt;"&amp;DATE($B$3+1,1,1),업무일지!$AB$5:$AB$1004,$A$49,업무일지!$D$5:$D$1004,"출장")&gt;0,1,0))</f>
        <v/>
      </c>
      <c r="BJ118">
        <f>IF($O118="",0,IF(COUNTIFS(업무일지!$F$5:$F$1004,$O118,업무일지!$B$5:$B$1004,"&gt;="&amp;DATE($B$3,1,1),업무일지!$B$5:$B$1004,"&lt;"&amp;DATE($B$3+1,1,1),업무일지!$AB$5:$AB$1004,$A$50,업무일지!$D$5:$D$1004,"출장")&gt;0,1,0))</f>
        <v/>
      </c>
      <c r="BK118">
        <f>IF($O118="",0,IF(COUNTIFS(업무일지!$F$5:$F$1004,$O118,업무일지!$B$5:$B$1004,"&gt;="&amp;DATE($B$3,1,1),업무일지!$B$5:$B$1004,"&lt;"&amp;DATE($B$3+1,1,1),업무일지!$AB$5:$AB$1004,$A$51,업무일지!$D$5:$D$1004,"출장")&gt;0,1,0))</f>
        <v/>
      </c>
      <c r="BL118">
        <f>IF($O118="",0,IF(COUNTIFS(업무일지!$F$5:$F$1004,$O118,업무일지!$B$5:$B$1004,"&gt;="&amp;DATE($B$3,1,1),업무일지!$B$5:$B$1004,"&lt;"&amp;DATE($B$3+1,1,1),업무일지!$AB$5:$AB$1004,$A$52,업무일지!$D$5:$D$1004,"출장")&gt;0,1,0))</f>
        <v/>
      </c>
      <c r="BM118">
        <f>IF($O118="",0,IF(COUNTIFS(업무일지!$F$5:$F$1004,$O118,업무일지!$B$5:$B$1004,"&gt;="&amp;DATE($B$3,1,1),업무일지!$B$5:$B$1004,"&lt;"&amp;DATE($B$3+1,1,1),업무일지!$AB$5:$AB$1004,$A$53,업무일지!$D$5:$D$1004,"출장")&gt;0,1,0))</f>
        <v/>
      </c>
      <c r="BO118">
        <f>IF($O118="",0,IF(COUNTIFS(업무일지!$F$5:$F$1004,$O118,업무일지!$B$5:$B$1004,"&gt;="&amp;DATE($B$3,1,1),업무일지!$B$5:$B$1004,"&lt;"&amp;DATE($B$3+1,1,1),업무일지!$AB$5:$AB$1004,$A$44,업무일지!$D$5:$D$1004,"분석")&gt;0,1,0))</f>
        <v/>
      </c>
      <c r="BP118">
        <f>IF($O118="",0,IF(COUNTIFS(업무일지!$F$5:$F$1004,$O118,업무일지!$B$5:$B$1004,"&gt;="&amp;DATE($B$3,1,1),업무일지!$B$5:$B$1004,"&lt;"&amp;DATE($B$3+1,1,1),업무일지!$AB$5:$AB$1004,$A$45,업무일지!$D$5:$D$1004,"분석")&gt;0,1,0))</f>
        <v/>
      </c>
      <c r="BQ118">
        <f>IF($O118="",0,IF(COUNTIFS(업무일지!$F$5:$F$1004,$O118,업무일지!$B$5:$B$1004,"&gt;="&amp;DATE($B$3,1,1),업무일지!$B$5:$B$1004,"&lt;"&amp;DATE($B$3+1,1,1),업무일지!$AB$5:$AB$1004,$A$46,업무일지!$D$5:$D$1004,"분석")&gt;0,1,0))</f>
        <v/>
      </c>
      <c r="BR118">
        <f>IF($O118="",0,IF(COUNTIFS(업무일지!$F$5:$F$1004,$O118,업무일지!$B$5:$B$1004,"&gt;="&amp;DATE($B$3,1,1),업무일지!$B$5:$B$1004,"&lt;"&amp;DATE($B$3+1,1,1),업무일지!$AB$5:$AB$1004,$A$47,업무일지!$D$5:$D$1004,"분석")&gt;0,1,0))</f>
        <v/>
      </c>
      <c r="BS118">
        <f>IF($O118="",0,IF(COUNTIFS(업무일지!$F$5:$F$1004,$O118,업무일지!$B$5:$B$1004,"&gt;="&amp;DATE($B$3,1,1),업무일지!$B$5:$B$1004,"&lt;"&amp;DATE($B$3+1,1,1),업무일지!$AB$5:$AB$1004,$A$48,업무일지!$D$5:$D$1004,"분석")&gt;0,1,0))</f>
        <v/>
      </c>
      <c r="BT118">
        <f>IF($O118="",0,IF(COUNTIFS(업무일지!$F$5:$F$1004,$O118,업무일지!$B$5:$B$1004,"&gt;="&amp;DATE($B$3,1,1),업무일지!$B$5:$B$1004,"&lt;"&amp;DATE($B$3+1,1,1),업무일지!$AB$5:$AB$1004,$A$49,업무일지!$D$5:$D$1004,"분석")&gt;0,1,0))</f>
        <v/>
      </c>
      <c r="BU118">
        <f>IF($O118="",0,IF(COUNTIFS(업무일지!$F$5:$F$1004,$O118,업무일지!$B$5:$B$1004,"&gt;="&amp;DATE($B$3,1,1),업무일지!$B$5:$B$1004,"&lt;"&amp;DATE($B$3+1,1,1),업무일지!$AB$5:$AB$1004,$A$50,업무일지!$D$5:$D$1004,"분석")&gt;0,1,0))</f>
        <v/>
      </c>
      <c r="BV118">
        <f>IF($O118="",0,IF(COUNTIFS(업무일지!$F$5:$F$1004,$O118,업무일지!$B$5:$B$1004,"&gt;="&amp;DATE($B$3,1,1),업무일지!$B$5:$B$1004,"&lt;"&amp;DATE($B$3+1,1,1),업무일지!$AB$5:$AB$1004,$A$51,업무일지!$D$5:$D$1004,"분석")&gt;0,1,0))</f>
        <v/>
      </c>
      <c r="BW118">
        <f>IF($O118="",0,IF(COUNTIFS(업무일지!$F$5:$F$1004,$O118,업무일지!$B$5:$B$1004,"&gt;="&amp;DATE($B$3,1,1),업무일지!$B$5:$B$1004,"&lt;"&amp;DATE($B$3+1,1,1),업무일지!$AB$5:$AB$1004,$A$52,업무일지!$D$5:$D$1004,"분석")&gt;0,1,0))</f>
        <v/>
      </c>
      <c r="BX118">
        <f>IF($O118="",0,IF(COUNTIFS(업무일지!$F$5:$F$1004,$O118,업무일지!$B$5:$B$1004,"&gt;="&amp;DATE($B$3,1,1),업무일지!$B$5:$B$1004,"&lt;"&amp;DATE($B$3+1,1,1),업무일지!$AB$5:$AB$1004,$A$53,업무일지!$D$5:$D$1004,"분석")&gt;0,1,0))</f>
        <v/>
      </c>
      <c r="BZ118">
        <f>IF($O118="",0,IF(COUNTIFS(업무일지!$F$5:$F$1004,$O118,업무일지!$B$5:$B$1004,"&gt;="&amp;DATE($B$3,1,1),업무일지!$B$5:$B$1004,"&lt;"&amp;DATE($B$3+1,1,1),업무일지!$AB$5:$AB$1004,$A$44)&gt;0,1,0))</f>
        <v/>
      </c>
      <c r="CA118">
        <f>IF($O118="",0,IF(COUNTIFS(업무일지!$F$5:$F$1004,$O118,업무일지!$B$5:$B$1004,"&gt;="&amp;DATE($B$3,1,1),업무일지!$B$5:$B$1004,"&lt;"&amp;DATE($B$3+1,1,1),업무일지!$AB$5:$AB$1004,$A$45)&gt;0,1,0))</f>
        <v/>
      </c>
      <c r="CB118">
        <f>IF($O118="",0,IF(COUNTIFS(업무일지!$F$5:$F$1004,$O118,업무일지!$B$5:$B$1004,"&gt;="&amp;DATE($B$3,1,1),업무일지!$B$5:$B$1004,"&lt;"&amp;DATE($B$3+1,1,1),업무일지!$AB$5:$AB$1004,$A$46)&gt;0,1,0))</f>
        <v/>
      </c>
      <c r="CC118">
        <f>IF($O118="",0,IF(COUNTIFS(업무일지!$F$5:$F$1004,$O118,업무일지!$B$5:$B$1004,"&gt;="&amp;DATE($B$3,1,1),업무일지!$B$5:$B$1004,"&lt;"&amp;DATE($B$3+1,1,1),업무일지!$AB$5:$AB$1004,$A$47)&gt;0,1,0))</f>
        <v/>
      </c>
      <c r="CD118">
        <f>IF($O118="",0,IF(COUNTIFS(업무일지!$F$5:$F$1004,$O118,업무일지!$B$5:$B$1004,"&gt;="&amp;DATE($B$3,1,1),업무일지!$B$5:$B$1004,"&lt;"&amp;DATE($B$3+1,1,1),업무일지!$AB$5:$AB$1004,$A$48)&gt;0,1,0))</f>
        <v/>
      </c>
      <c r="CE118">
        <f>IF($O118="",0,IF(COUNTIFS(업무일지!$F$5:$F$1004,$O118,업무일지!$B$5:$B$1004,"&gt;="&amp;DATE($B$3,1,1),업무일지!$B$5:$B$1004,"&lt;"&amp;DATE($B$3+1,1,1),업무일지!$AB$5:$AB$1004,$A$49)&gt;0,1,0))</f>
        <v/>
      </c>
      <c r="CF118">
        <f>IF($O118="",0,IF(COUNTIFS(업무일지!$F$5:$F$1004,$O118,업무일지!$B$5:$B$1004,"&gt;="&amp;DATE($B$3,1,1),업무일지!$B$5:$B$1004,"&lt;"&amp;DATE($B$3+1,1,1),업무일지!$AB$5:$AB$1004,$A$50)&gt;0,1,0))</f>
        <v/>
      </c>
      <c r="CG118">
        <f>IF($O118="",0,IF(COUNTIFS(업무일지!$F$5:$F$1004,$O118,업무일지!$B$5:$B$1004,"&gt;="&amp;DATE($B$3,1,1),업무일지!$B$5:$B$1004,"&lt;"&amp;DATE($B$3+1,1,1),업무일지!$AB$5:$AB$1004,$A$51)&gt;0,1,0))</f>
        <v/>
      </c>
      <c r="CH118">
        <f>IF($O118="",0,IF(COUNTIFS(업무일지!$F$5:$F$1004,$O118,업무일지!$B$5:$B$1004,"&gt;="&amp;DATE($B$3,1,1),업무일지!$B$5:$B$1004,"&lt;"&amp;DATE($B$3+1,1,1),업무일지!$AB$5:$AB$1004,$A$52)&gt;0,1,0))</f>
        <v/>
      </c>
      <c r="CI118">
        <f>IF($O118="",0,IF(COUNTIFS(업무일지!$F$5:$F$1004,$O118,업무일지!$B$5:$B$1004,"&gt;="&amp;DATE($B$3,1,1),업무일지!$B$5:$B$1004,"&lt;"&amp;DATE($B$3+1,1,1),업무일지!$AB$5:$AB$1004,$A$53)&gt;0,1,0))</f>
        <v/>
      </c>
    </row>
    <row r="119">
      <c r="O119">
        <f>IF(사건마스터!$A39="","",사건마스터!$A39)</f>
        <v/>
      </c>
      <c r="P119">
        <f>IF($O119="",0,IF(COUNTIFS(업무일지!$F$5:$F$1004,$O119,업무일지!$B$5:$B$1004,"&gt;="&amp;DATE($B$3,1,1),업무일지!$B$5:$B$1004,"&lt;"&amp;DATE($B$3,1+1,1),업무일지!$D$5:$D$1004,"출장")&gt;0,1,0))</f>
        <v/>
      </c>
      <c r="Q119">
        <f>IF($O119="",0,IF(COUNTIFS(업무일지!$F$5:$F$1004,$O119,업무일지!$B$5:$B$1004,"&gt;="&amp;DATE($B$3,2,1),업무일지!$B$5:$B$1004,"&lt;"&amp;DATE($B$3,2+1,1),업무일지!$D$5:$D$1004,"출장")&gt;0,1,0))</f>
        <v/>
      </c>
      <c r="R119">
        <f>IF($O119="",0,IF(COUNTIFS(업무일지!$F$5:$F$1004,$O119,업무일지!$B$5:$B$1004,"&gt;="&amp;DATE($B$3,3,1),업무일지!$B$5:$B$1004,"&lt;"&amp;DATE($B$3,3+1,1),업무일지!$D$5:$D$1004,"출장")&gt;0,1,0))</f>
        <v/>
      </c>
      <c r="S119">
        <f>IF($O119="",0,IF(COUNTIFS(업무일지!$F$5:$F$1004,$O119,업무일지!$B$5:$B$1004,"&gt;="&amp;DATE($B$3,4,1),업무일지!$B$5:$B$1004,"&lt;"&amp;DATE($B$3,4+1,1),업무일지!$D$5:$D$1004,"출장")&gt;0,1,0))</f>
        <v/>
      </c>
      <c r="T119">
        <f>IF($O119="",0,IF(COUNTIFS(업무일지!$F$5:$F$1004,$O119,업무일지!$B$5:$B$1004,"&gt;="&amp;DATE($B$3,5,1),업무일지!$B$5:$B$1004,"&lt;"&amp;DATE($B$3,5+1,1),업무일지!$D$5:$D$1004,"출장")&gt;0,1,0))</f>
        <v/>
      </c>
      <c r="U119">
        <f>IF($O119="",0,IF(COUNTIFS(업무일지!$F$5:$F$1004,$O119,업무일지!$B$5:$B$1004,"&gt;="&amp;DATE($B$3,6,1),업무일지!$B$5:$B$1004,"&lt;"&amp;DATE($B$3,6+1,1),업무일지!$D$5:$D$1004,"출장")&gt;0,1,0))</f>
        <v/>
      </c>
      <c r="V119">
        <f>IF($O119="",0,IF(COUNTIFS(업무일지!$F$5:$F$1004,$O119,업무일지!$B$5:$B$1004,"&gt;="&amp;DATE($B$3,7,1),업무일지!$B$5:$B$1004,"&lt;"&amp;DATE($B$3,7+1,1),업무일지!$D$5:$D$1004,"출장")&gt;0,1,0))</f>
        <v/>
      </c>
      <c r="W119">
        <f>IF($O119="",0,IF(COUNTIFS(업무일지!$F$5:$F$1004,$O119,업무일지!$B$5:$B$1004,"&gt;="&amp;DATE($B$3,8,1),업무일지!$B$5:$B$1004,"&lt;"&amp;DATE($B$3,8+1,1),업무일지!$D$5:$D$1004,"출장")&gt;0,1,0))</f>
        <v/>
      </c>
      <c r="X119">
        <f>IF($O119="",0,IF(COUNTIFS(업무일지!$F$5:$F$1004,$O119,업무일지!$B$5:$B$1004,"&gt;="&amp;DATE($B$3,9,1),업무일지!$B$5:$B$1004,"&lt;"&amp;DATE($B$3,9+1,1),업무일지!$D$5:$D$1004,"출장")&gt;0,1,0))</f>
        <v/>
      </c>
      <c r="Y119">
        <f>IF($O119="",0,IF(COUNTIFS(업무일지!$F$5:$F$1004,$O119,업무일지!$B$5:$B$1004,"&gt;="&amp;DATE($B$3,10,1),업무일지!$B$5:$B$1004,"&lt;"&amp;DATE($B$3,10+1,1),업무일지!$D$5:$D$1004,"출장")&gt;0,1,0))</f>
        <v/>
      </c>
      <c r="Z119">
        <f>IF($O119="",0,IF(COUNTIFS(업무일지!$F$5:$F$1004,$O119,업무일지!$B$5:$B$1004,"&gt;="&amp;DATE($B$3,11,1),업무일지!$B$5:$B$1004,"&lt;"&amp;DATE($B$3,11+1,1),업무일지!$D$5:$D$1004,"출장")&gt;0,1,0))</f>
        <v/>
      </c>
      <c r="AA119">
        <f>IF($O119="",0,IF(COUNTIFS(업무일지!$F$5:$F$1004,$O119,업무일지!$B$5:$B$1004,"&gt;="&amp;DATE($B$3,12,1),업무일지!$B$5:$B$1004,"&lt;"&amp;DATE($B$3,12+1,1),업무일지!$D$5:$D$1004,"출장")&gt;0,1,0))</f>
        <v/>
      </c>
      <c r="AB119">
        <f>IF($O119="",0,IF(COUNTIFS(업무일지!$F$5:$F$1004,$O119,업무일지!$B$5:$B$1004,"&gt;="&amp;DATE($B$3,1,1),업무일지!$B$5:$B$1004,"&lt;"&amp;DATE($B$3,1+1,1),업무일지!$D$5:$D$1004,"분석")&gt;0,1,0))</f>
        <v/>
      </c>
      <c r="AC119">
        <f>IF($O119="",0,IF(COUNTIFS(업무일지!$F$5:$F$1004,$O119,업무일지!$B$5:$B$1004,"&gt;="&amp;DATE($B$3,2,1),업무일지!$B$5:$B$1004,"&lt;"&amp;DATE($B$3,2+1,1),업무일지!$D$5:$D$1004,"분석")&gt;0,1,0))</f>
        <v/>
      </c>
      <c r="AD119">
        <f>IF($O119="",0,IF(COUNTIFS(업무일지!$F$5:$F$1004,$O119,업무일지!$B$5:$B$1004,"&gt;="&amp;DATE($B$3,3,1),업무일지!$B$5:$B$1004,"&lt;"&amp;DATE($B$3,3+1,1),업무일지!$D$5:$D$1004,"분석")&gt;0,1,0))</f>
        <v/>
      </c>
      <c r="AE119">
        <f>IF($O119="",0,IF(COUNTIFS(업무일지!$F$5:$F$1004,$O119,업무일지!$B$5:$B$1004,"&gt;="&amp;DATE($B$3,4,1),업무일지!$B$5:$B$1004,"&lt;"&amp;DATE($B$3,4+1,1),업무일지!$D$5:$D$1004,"분석")&gt;0,1,0))</f>
        <v/>
      </c>
      <c r="AF119">
        <f>IF($O119="",0,IF(COUNTIFS(업무일지!$F$5:$F$1004,$O119,업무일지!$B$5:$B$1004,"&gt;="&amp;DATE($B$3,5,1),업무일지!$B$5:$B$1004,"&lt;"&amp;DATE($B$3,5+1,1),업무일지!$D$5:$D$1004,"분석")&gt;0,1,0))</f>
        <v/>
      </c>
      <c r="AG119">
        <f>IF($O119="",0,IF(COUNTIFS(업무일지!$F$5:$F$1004,$O119,업무일지!$B$5:$B$1004,"&gt;="&amp;DATE($B$3,6,1),업무일지!$B$5:$B$1004,"&lt;"&amp;DATE($B$3,6+1,1),업무일지!$D$5:$D$1004,"분석")&gt;0,1,0))</f>
        <v/>
      </c>
      <c r="AH119">
        <f>IF($O119="",0,IF(COUNTIFS(업무일지!$F$5:$F$1004,$O119,업무일지!$B$5:$B$1004,"&gt;="&amp;DATE($B$3,7,1),업무일지!$B$5:$B$1004,"&lt;"&amp;DATE($B$3,7+1,1),업무일지!$D$5:$D$1004,"분석")&gt;0,1,0))</f>
        <v/>
      </c>
      <c r="AI119">
        <f>IF($O119="",0,IF(COUNTIFS(업무일지!$F$5:$F$1004,$O119,업무일지!$B$5:$B$1004,"&gt;="&amp;DATE($B$3,8,1),업무일지!$B$5:$B$1004,"&lt;"&amp;DATE($B$3,8+1,1),업무일지!$D$5:$D$1004,"분석")&gt;0,1,0))</f>
        <v/>
      </c>
      <c r="AJ119">
        <f>IF($O119="",0,IF(COUNTIFS(업무일지!$F$5:$F$1004,$O119,업무일지!$B$5:$B$1004,"&gt;="&amp;DATE($B$3,9,1),업무일지!$B$5:$B$1004,"&lt;"&amp;DATE($B$3,9+1,1),업무일지!$D$5:$D$1004,"분석")&gt;0,1,0))</f>
        <v/>
      </c>
      <c r="AK119">
        <f>IF($O119="",0,IF(COUNTIFS(업무일지!$F$5:$F$1004,$O119,업무일지!$B$5:$B$1004,"&gt;="&amp;DATE($B$3,10,1),업무일지!$B$5:$B$1004,"&lt;"&amp;DATE($B$3,10+1,1),업무일지!$D$5:$D$1004,"분석")&gt;0,1,0))</f>
        <v/>
      </c>
      <c r="AL119">
        <f>IF($O119="",0,IF(COUNTIFS(업무일지!$F$5:$F$1004,$O119,업무일지!$B$5:$B$1004,"&gt;="&amp;DATE($B$3,11,1),업무일지!$B$5:$B$1004,"&lt;"&amp;DATE($B$3,11+1,1),업무일지!$D$5:$D$1004,"분석")&gt;0,1,0))</f>
        <v/>
      </c>
      <c r="AM119">
        <f>IF($O119="",0,IF(COUNTIFS(업무일지!$F$5:$F$1004,$O119,업무일지!$B$5:$B$1004,"&gt;="&amp;DATE($B$3,12,1),업무일지!$B$5:$B$1004,"&lt;"&amp;DATE($B$3,12+1,1),업무일지!$D$5:$D$1004,"분석")&gt;0,1,0))</f>
        <v/>
      </c>
      <c r="AN119">
        <f>IF($O119="",0,IF(COUNTIFS(업무일지!$F$5:$F$1004,$O119,업무일지!$B$5:$B$1004,"&gt;="&amp;DATE($B$3,1,1),업무일지!$B$5:$B$1004,"&lt;"&amp;DATE($B$3,1+1,1))&gt;0,1,0))</f>
        <v/>
      </c>
      <c r="AO119">
        <f>IF($O119="",0,IF(COUNTIFS(업무일지!$F$5:$F$1004,$O119,업무일지!$B$5:$B$1004,"&gt;="&amp;DATE($B$3,2,1),업무일지!$B$5:$B$1004,"&lt;"&amp;DATE($B$3,2+1,1))&gt;0,1,0))</f>
        <v/>
      </c>
      <c r="AP119">
        <f>IF($O119="",0,IF(COUNTIFS(업무일지!$F$5:$F$1004,$O119,업무일지!$B$5:$B$1004,"&gt;="&amp;DATE($B$3,3,1),업무일지!$B$5:$B$1004,"&lt;"&amp;DATE($B$3,3+1,1))&gt;0,1,0))</f>
        <v/>
      </c>
      <c r="AQ119">
        <f>IF($O119="",0,IF(COUNTIFS(업무일지!$F$5:$F$1004,$O119,업무일지!$B$5:$B$1004,"&gt;="&amp;DATE($B$3,4,1),업무일지!$B$5:$B$1004,"&lt;"&amp;DATE($B$3,4+1,1))&gt;0,1,0))</f>
        <v/>
      </c>
      <c r="AR119">
        <f>IF($O119="",0,IF(COUNTIFS(업무일지!$F$5:$F$1004,$O119,업무일지!$B$5:$B$1004,"&gt;="&amp;DATE($B$3,5,1),업무일지!$B$5:$B$1004,"&lt;"&amp;DATE($B$3,5+1,1))&gt;0,1,0))</f>
        <v/>
      </c>
      <c r="AS119">
        <f>IF($O119="",0,IF(COUNTIFS(업무일지!$F$5:$F$1004,$O119,업무일지!$B$5:$B$1004,"&gt;="&amp;DATE($B$3,6,1),업무일지!$B$5:$B$1004,"&lt;"&amp;DATE($B$3,6+1,1))&gt;0,1,0))</f>
        <v/>
      </c>
      <c r="AT119">
        <f>IF($O119="",0,IF(COUNTIFS(업무일지!$F$5:$F$1004,$O119,업무일지!$B$5:$B$1004,"&gt;="&amp;DATE($B$3,7,1),업무일지!$B$5:$B$1004,"&lt;"&amp;DATE($B$3,7+1,1))&gt;0,1,0))</f>
        <v/>
      </c>
      <c r="AU119">
        <f>IF($O119="",0,IF(COUNTIFS(업무일지!$F$5:$F$1004,$O119,업무일지!$B$5:$B$1004,"&gt;="&amp;DATE($B$3,8,1),업무일지!$B$5:$B$1004,"&lt;"&amp;DATE($B$3,8+1,1))&gt;0,1,0))</f>
        <v/>
      </c>
      <c r="AV119">
        <f>IF($O119="",0,IF(COUNTIFS(업무일지!$F$5:$F$1004,$O119,업무일지!$B$5:$B$1004,"&gt;="&amp;DATE($B$3,9,1),업무일지!$B$5:$B$1004,"&lt;"&amp;DATE($B$3,9+1,1))&gt;0,1,0))</f>
        <v/>
      </c>
      <c r="AW119">
        <f>IF($O119="",0,IF(COUNTIFS(업무일지!$F$5:$F$1004,$O119,업무일지!$B$5:$B$1004,"&gt;="&amp;DATE($B$3,10,1),업무일지!$B$5:$B$1004,"&lt;"&amp;DATE($B$3,10+1,1))&gt;0,1,0))</f>
        <v/>
      </c>
      <c r="AX119">
        <f>IF($O119="",0,IF(COUNTIFS(업무일지!$F$5:$F$1004,$O119,업무일지!$B$5:$B$1004,"&gt;="&amp;DATE($B$3,11,1),업무일지!$B$5:$B$1004,"&lt;"&amp;DATE($B$3,11+1,1))&gt;0,1,0))</f>
        <v/>
      </c>
      <c r="AY119">
        <f>IF($O119="",0,IF(COUNTIFS(업무일지!$F$5:$F$1004,$O119,업무일지!$B$5:$B$1004,"&gt;="&amp;DATE($B$3,12,1),업무일지!$B$5:$B$1004,"&lt;"&amp;DATE($B$3,12+1,1))&gt;0,1,0))</f>
        <v/>
      </c>
      <c r="AZ119">
        <f>IF($O119="",0,IF(COUNTIFS(업무일지!$F$5:$F$1004,$O119,업무일지!$B$5:$B$1004,"&gt;="&amp;DATE($B$3,1,1),업무일지!$B$5:$B$1004,"&lt;"&amp;DATE($B$3+1,1,1),업무일지!$D$5:$D$1004,"출장")&gt;0,1,0))</f>
        <v/>
      </c>
      <c r="BA119">
        <f>IF($O119="",0,IF(COUNTIFS(업무일지!$F$5:$F$1004,$O119,업무일지!$B$5:$B$1004,"&gt;="&amp;DATE($B$3,1,1),업무일지!$B$5:$B$1004,"&lt;"&amp;DATE($B$3+1,1,1),업무일지!$D$5:$D$1004,"분석")&gt;0,1,0))</f>
        <v/>
      </c>
      <c r="BB119">
        <f>IF($O119="",0,IF(COUNTIFS(업무일지!$F$5:$F$1004,$O119,업무일지!$B$5:$B$1004,"&gt;="&amp;DATE($B$3,1,1),업무일지!$B$5:$B$1004,"&lt;"&amp;DATE($B$3+1,1,1))&gt;0,1,0))</f>
        <v/>
      </c>
      <c r="BD119">
        <f>IF($O119="",0,IF(COUNTIFS(업무일지!$F$5:$F$1004,$O119,업무일지!$B$5:$B$1004,"&gt;="&amp;DATE($B$3,1,1),업무일지!$B$5:$B$1004,"&lt;"&amp;DATE($B$3+1,1,1),업무일지!$AB$5:$AB$1004,$A$44,업무일지!$D$5:$D$1004,"출장")&gt;0,1,0))</f>
        <v/>
      </c>
      <c r="BE119">
        <f>IF($O119="",0,IF(COUNTIFS(업무일지!$F$5:$F$1004,$O119,업무일지!$B$5:$B$1004,"&gt;="&amp;DATE($B$3,1,1),업무일지!$B$5:$B$1004,"&lt;"&amp;DATE($B$3+1,1,1),업무일지!$AB$5:$AB$1004,$A$45,업무일지!$D$5:$D$1004,"출장")&gt;0,1,0))</f>
        <v/>
      </c>
      <c r="BF119">
        <f>IF($O119="",0,IF(COUNTIFS(업무일지!$F$5:$F$1004,$O119,업무일지!$B$5:$B$1004,"&gt;="&amp;DATE($B$3,1,1),업무일지!$B$5:$B$1004,"&lt;"&amp;DATE($B$3+1,1,1),업무일지!$AB$5:$AB$1004,$A$46,업무일지!$D$5:$D$1004,"출장")&gt;0,1,0))</f>
        <v/>
      </c>
      <c r="BG119">
        <f>IF($O119="",0,IF(COUNTIFS(업무일지!$F$5:$F$1004,$O119,업무일지!$B$5:$B$1004,"&gt;="&amp;DATE($B$3,1,1),업무일지!$B$5:$B$1004,"&lt;"&amp;DATE($B$3+1,1,1),업무일지!$AB$5:$AB$1004,$A$47,업무일지!$D$5:$D$1004,"출장")&gt;0,1,0))</f>
        <v/>
      </c>
      <c r="BH119">
        <f>IF($O119="",0,IF(COUNTIFS(업무일지!$F$5:$F$1004,$O119,업무일지!$B$5:$B$1004,"&gt;="&amp;DATE($B$3,1,1),업무일지!$B$5:$B$1004,"&lt;"&amp;DATE($B$3+1,1,1),업무일지!$AB$5:$AB$1004,$A$48,업무일지!$D$5:$D$1004,"출장")&gt;0,1,0))</f>
        <v/>
      </c>
      <c r="BI119">
        <f>IF($O119="",0,IF(COUNTIFS(업무일지!$F$5:$F$1004,$O119,업무일지!$B$5:$B$1004,"&gt;="&amp;DATE($B$3,1,1),업무일지!$B$5:$B$1004,"&lt;"&amp;DATE($B$3+1,1,1),업무일지!$AB$5:$AB$1004,$A$49,업무일지!$D$5:$D$1004,"출장")&gt;0,1,0))</f>
        <v/>
      </c>
      <c r="BJ119">
        <f>IF($O119="",0,IF(COUNTIFS(업무일지!$F$5:$F$1004,$O119,업무일지!$B$5:$B$1004,"&gt;="&amp;DATE($B$3,1,1),업무일지!$B$5:$B$1004,"&lt;"&amp;DATE($B$3+1,1,1),업무일지!$AB$5:$AB$1004,$A$50,업무일지!$D$5:$D$1004,"출장")&gt;0,1,0))</f>
        <v/>
      </c>
      <c r="BK119">
        <f>IF($O119="",0,IF(COUNTIFS(업무일지!$F$5:$F$1004,$O119,업무일지!$B$5:$B$1004,"&gt;="&amp;DATE($B$3,1,1),업무일지!$B$5:$B$1004,"&lt;"&amp;DATE($B$3+1,1,1),업무일지!$AB$5:$AB$1004,$A$51,업무일지!$D$5:$D$1004,"출장")&gt;0,1,0))</f>
        <v/>
      </c>
      <c r="BL119">
        <f>IF($O119="",0,IF(COUNTIFS(업무일지!$F$5:$F$1004,$O119,업무일지!$B$5:$B$1004,"&gt;="&amp;DATE($B$3,1,1),업무일지!$B$5:$B$1004,"&lt;"&amp;DATE($B$3+1,1,1),업무일지!$AB$5:$AB$1004,$A$52,업무일지!$D$5:$D$1004,"출장")&gt;0,1,0))</f>
        <v/>
      </c>
      <c r="BM119">
        <f>IF($O119="",0,IF(COUNTIFS(업무일지!$F$5:$F$1004,$O119,업무일지!$B$5:$B$1004,"&gt;="&amp;DATE($B$3,1,1),업무일지!$B$5:$B$1004,"&lt;"&amp;DATE($B$3+1,1,1),업무일지!$AB$5:$AB$1004,$A$53,업무일지!$D$5:$D$1004,"출장")&gt;0,1,0))</f>
        <v/>
      </c>
      <c r="BO119">
        <f>IF($O119="",0,IF(COUNTIFS(업무일지!$F$5:$F$1004,$O119,업무일지!$B$5:$B$1004,"&gt;="&amp;DATE($B$3,1,1),업무일지!$B$5:$B$1004,"&lt;"&amp;DATE($B$3+1,1,1),업무일지!$AB$5:$AB$1004,$A$44,업무일지!$D$5:$D$1004,"분석")&gt;0,1,0))</f>
        <v/>
      </c>
      <c r="BP119">
        <f>IF($O119="",0,IF(COUNTIFS(업무일지!$F$5:$F$1004,$O119,업무일지!$B$5:$B$1004,"&gt;="&amp;DATE($B$3,1,1),업무일지!$B$5:$B$1004,"&lt;"&amp;DATE($B$3+1,1,1),업무일지!$AB$5:$AB$1004,$A$45,업무일지!$D$5:$D$1004,"분석")&gt;0,1,0))</f>
        <v/>
      </c>
      <c r="BQ119">
        <f>IF($O119="",0,IF(COUNTIFS(업무일지!$F$5:$F$1004,$O119,업무일지!$B$5:$B$1004,"&gt;="&amp;DATE($B$3,1,1),업무일지!$B$5:$B$1004,"&lt;"&amp;DATE($B$3+1,1,1),업무일지!$AB$5:$AB$1004,$A$46,업무일지!$D$5:$D$1004,"분석")&gt;0,1,0))</f>
        <v/>
      </c>
      <c r="BR119">
        <f>IF($O119="",0,IF(COUNTIFS(업무일지!$F$5:$F$1004,$O119,업무일지!$B$5:$B$1004,"&gt;="&amp;DATE($B$3,1,1),업무일지!$B$5:$B$1004,"&lt;"&amp;DATE($B$3+1,1,1),업무일지!$AB$5:$AB$1004,$A$47,업무일지!$D$5:$D$1004,"분석")&gt;0,1,0))</f>
        <v/>
      </c>
      <c r="BS119">
        <f>IF($O119="",0,IF(COUNTIFS(업무일지!$F$5:$F$1004,$O119,업무일지!$B$5:$B$1004,"&gt;="&amp;DATE($B$3,1,1),업무일지!$B$5:$B$1004,"&lt;"&amp;DATE($B$3+1,1,1),업무일지!$AB$5:$AB$1004,$A$48,업무일지!$D$5:$D$1004,"분석")&gt;0,1,0))</f>
        <v/>
      </c>
      <c r="BT119">
        <f>IF($O119="",0,IF(COUNTIFS(업무일지!$F$5:$F$1004,$O119,업무일지!$B$5:$B$1004,"&gt;="&amp;DATE($B$3,1,1),업무일지!$B$5:$B$1004,"&lt;"&amp;DATE($B$3+1,1,1),업무일지!$AB$5:$AB$1004,$A$49,업무일지!$D$5:$D$1004,"분석")&gt;0,1,0))</f>
        <v/>
      </c>
      <c r="BU119">
        <f>IF($O119="",0,IF(COUNTIFS(업무일지!$F$5:$F$1004,$O119,업무일지!$B$5:$B$1004,"&gt;="&amp;DATE($B$3,1,1),업무일지!$B$5:$B$1004,"&lt;"&amp;DATE($B$3+1,1,1),업무일지!$AB$5:$AB$1004,$A$50,업무일지!$D$5:$D$1004,"분석")&gt;0,1,0))</f>
        <v/>
      </c>
      <c r="BV119">
        <f>IF($O119="",0,IF(COUNTIFS(업무일지!$F$5:$F$1004,$O119,업무일지!$B$5:$B$1004,"&gt;="&amp;DATE($B$3,1,1),업무일지!$B$5:$B$1004,"&lt;"&amp;DATE($B$3+1,1,1),업무일지!$AB$5:$AB$1004,$A$51,업무일지!$D$5:$D$1004,"분석")&gt;0,1,0))</f>
        <v/>
      </c>
      <c r="BW119">
        <f>IF($O119="",0,IF(COUNTIFS(업무일지!$F$5:$F$1004,$O119,업무일지!$B$5:$B$1004,"&gt;="&amp;DATE($B$3,1,1),업무일지!$B$5:$B$1004,"&lt;"&amp;DATE($B$3+1,1,1),업무일지!$AB$5:$AB$1004,$A$52,업무일지!$D$5:$D$1004,"분석")&gt;0,1,0))</f>
        <v/>
      </c>
      <c r="BX119">
        <f>IF($O119="",0,IF(COUNTIFS(업무일지!$F$5:$F$1004,$O119,업무일지!$B$5:$B$1004,"&gt;="&amp;DATE($B$3,1,1),업무일지!$B$5:$B$1004,"&lt;"&amp;DATE($B$3+1,1,1),업무일지!$AB$5:$AB$1004,$A$53,업무일지!$D$5:$D$1004,"분석")&gt;0,1,0))</f>
        <v/>
      </c>
      <c r="BZ119">
        <f>IF($O119="",0,IF(COUNTIFS(업무일지!$F$5:$F$1004,$O119,업무일지!$B$5:$B$1004,"&gt;="&amp;DATE($B$3,1,1),업무일지!$B$5:$B$1004,"&lt;"&amp;DATE($B$3+1,1,1),업무일지!$AB$5:$AB$1004,$A$44)&gt;0,1,0))</f>
        <v/>
      </c>
      <c r="CA119">
        <f>IF($O119="",0,IF(COUNTIFS(업무일지!$F$5:$F$1004,$O119,업무일지!$B$5:$B$1004,"&gt;="&amp;DATE($B$3,1,1),업무일지!$B$5:$B$1004,"&lt;"&amp;DATE($B$3+1,1,1),업무일지!$AB$5:$AB$1004,$A$45)&gt;0,1,0))</f>
        <v/>
      </c>
      <c r="CB119">
        <f>IF($O119="",0,IF(COUNTIFS(업무일지!$F$5:$F$1004,$O119,업무일지!$B$5:$B$1004,"&gt;="&amp;DATE($B$3,1,1),업무일지!$B$5:$B$1004,"&lt;"&amp;DATE($B$3+1,1,1),업무일지!$AB$5:$AB$1004,$A$46)&gt;0,1,0))</f>
        <v/>
      </c>
      <c r="CC119">
        <f>IF($O119="",0,IF(COUNTIFS(업무일지!$F$5:$F$1004,$O119,업무일지!$B$5:$B$1004,"&gt;="&amp;DATE($B$3,1,1),업무일지!$B$5:$B$1004,"&lt;"&amp;DATE($B$3+1,1,1),업무일지!$AB$5:$AB$1004,$A$47)&gt;0,1,0))</f>
        <v/>
      </c>
      <c r="CD119">
        <f>IF($O119="",0,IF(COUNTIFS(업무일지!$F$5:$F$1004,$O119,업무일지!$B$5:$B$1004,"&gt;="&amp;DATE($B$3,1,1),업무일지!$B$5:$B$1004,"&lt;"&amp;DATE($B$3+1,1,1),업무일지!$AB$5:$AB$1004,$A$48)&gt;0,1,0))</f>
        <v/>
      </c>
      <c r="CE119">
        <f>IF($O119="",0,IF(COUNTIFS(업무일지!$F$5:$F$1004,$O119,업무일지!$B$5:$B$1004,"&gt;="&amp;DATE($B$3,1,1),업무일지!$B$5:$B$1004,"&lt;"&amp;DATE($B$3+1,1,1),업무일지!$AB$5:$AB$1004,$A$49)&gt;0,1,0))</f>
        <v/>
      </c>
      <c r="CF119">
        <f>IF($O119="",0,IF(COUNTIFS(업무일지!$F$5:$F$1004,$O119,업무일지!$B$5:$B$1004,"&gt;="&amp;DATE($B$3,1,1),업무일지!$B$5:$B$1004,"&lt;"&amp;DATE($B$3+1,1,1),업무일지!$AB$5:$AB$1004,$A$50)&gt;0,1,0))</f>
        <v/>
      </c>
      <c r="CG119">
        <f>IF($O119="",0,IF(COUNTIFS(업무일지!$F$5:$F$1004,$O119,업무일지!$B$5:$B$1004,"&gt;="&amp;DATE($B$3,1,1),업무일지!$B$5:$B$1004,"&lt;"&amp;DATE($B$3+1,1,1),업무일지!$AB$5:$AB$1004,$A$51)&gt;0,1,0))</f>
        <v/>
      </c>
      <c r="CH119">
        <f>IF($O119="",0,IF(COUNTIFS(업무일지!$F$5:$F$1004,$O119,업무일지!$B$5:$B$1004,"&gt;="&amp;DATE($B$3,1,1),업무일지!$B$5:$B$1004,"&lt;"&amp;DATE($B$3+1,1,1),업무일지!$AB$5:$AB$1004,$A$52)&gt;0,1,0))</f>
        <v/>
      </c>
      <c r="CI119">
        <f>IF($O119="",0,IF(COUNTIFS(업무일지!$F$5:$F$1004,$O119,업무일지!$B$5:$B$1004,"&gt;="&amp;DATE($B$3,1,1),업무일지!$B$5:$B$1004,"&lt;"&amp;DATE($B$3+1,1,1),업무일지!$AB$5:$AB$1004,$A$53)&gt;0,1,0))</f>
        <v/>
      </c>
    </row>
    <row r="120">
      <c r="O120">
        <f>IF(사건마스터!$A40="","",사건마스터!$A40)</f>
        <v/>
      </c>
      <c r="P120">
        <f>IF($O120="",0,IF(COUNTIFS(업무일지!$F$5:$F$1004,$O120,업무일지!$B$5:$B$1004,"&gt;="&amp;DATE($B$3,1,1),업무일지!$B$5:$B$1004,"&lt;"&amp;DATE($B$3,1+1,1),업무일지!$D$5:$D$1004,"출장")&gt;0,1,0))</f>
        <v/>
      </c>
      <c r="Q120">
        <f>IF($O120="",0,IF(COUNTIFS(업무일지!$F$5:$F$1004,$O120,업무일지!$B$5:$B$1004,"&gt;="&amp;DATE($B$3,2,1),업무일지!$B$5:$B$1004,"&lt;"&amp;DATE($B$3,2+1,1),업무일지!$D$5:$D$1004,"출장")&gt;0,1,0))</f>
        <v/>
      </c>
      <c r="R120">
        <f>IF($O120="",0,IF(COUNTIFS(업무일지!$F$5:$F$1004,$O120,업무일지!$B$5:$B$1004,"&gt;="&amp;DATE($B$3,3,1),업무일지!$B$5:$B$1004,"&lt;"&amp;DATE($B$3,3+1,1),업무일지!$D$5:$D$1004,"출장")&gt;0,1,0))</f>
        <v/>
      </c>
      <c r="S120">
        <f>IF($O120="",0,IF(COUNTIFS(업무일지!$F$5:$F$1004,$O120,업무일지!$B$5:$B$1004,"&gt;="&amp;DATE($B$3,4,1),업무일지!$B$5:$B$1004,"&lt;"&amp;DATE($B$3,4+1,1),업무일지!$D$5:$D$1004,"출장")&gt;0,1,0))</f>
        <v/>
      </c>
      <c r="T120">
        <f>IF($O120="",0,IF(COUNTIFS(업무일지!$F$5:$F$1004,$O120,업무일지!$B$5:$B$1004,"&gt;="&amp;DATE($B$3,5,1),업무일지!$B$5:$B$1004,"&lt;"&amp;DATE($B$3,5+1,1),업무일지!$D$5:$D$1004,"출장")&gt;0,1,0))</f>
        <v/>
      </c>
      <c r="U120">
        <f>IF($O120="",0,IF(COUNTIFS(업무일지!$F$5:$F$1004,$O120,업무일지!$B$5:$B$1004,"&gt;="&amp;DATE($B$3,6,1),업무일지!$B$5:$B$1004,"&lt;"&amp;DATE($B$3,6+1,1),업무일지!$D$5:$D$1004,"출장")&gt;0,1,0))</f>
        <v/>
      </c>
      <c r="V120">
        <f>IF($O120="",0,IF(COUNTIFS(업무일지!$F$5:$F$1004,$O120,업무일지!$B$5:$B$1004,"&gt;="&amp;DATE($B$3,7,1),업무일지!$B$5:$B$1004,"&lt;"&amp;DATE($B$3,7+1,1),업무일지!$D$5:$D$1004,"출장")&gt;0,1,0))</f>
        <v/>
      </c>
      <c r="W120">
        <f>IF($O120="",0,IF(COUNTIFS(업무일지!$F$5:$F$1004,$O120,업무일지!$B$5:$B$1004,"&gt;="&amp;DATE($B$3,8,1),업무일지!$B$5:$B$1004,"&lt;"&amp;DATE($B$3,8+1,1),업무일지!$D$5:$D$1004,"출장")&gt;0,1,0))</f>
        <v/>
      </c>
      <c r="X120">
        <f>IF($O120="",0,IF(COUNTIFS(업무일지!$F$5:$F$1004,$O120,업무일지!$B$5:$B$1004,"&gt;="&amp;DATE($B$3,9,1),업무일지!$B$5:$B$1004,"&lt;"&amp;DATE($B$3,9+1,1),업무일지!$D$5:$D$1004,"출장")&gt;0,1,0))</f>
        <v/>
      </c>
      <c r="Y120">
        <f>IF($O120="",0,IF(COUNTIFS(업무일지!$F$5:$F$1004,$O120,업무일지!$B$5:$B$1004,"&gt;="&amp;DATE($B$3,10,1),업무일지!$B$5:$B$1004,"&lt;"&amp;DATE($B$3,10+1,1),업무일지!$D$5:$D$1004,"출장")&gt;0,1,0))</f>
        <v/>
      </c>
      <c r="Z120">
        <f>IF($O120="",0,IF(COUNTIFS(업무일지!$F$5:$F$1004,$O120,업무일지!$B$5:$B$1004,"&gt;="&amp;DATE($B$3,11,1),업무일지!$B$5:$B$1004,"&lt;"&amp;DATE($B$3,11+1,1),업무일지!$D$5:$D$1004,"출장")&gt;0,1,0))</f>
        <v/>
      </c>
      <c r="AA120">
        <f>IF($O120="",0,IF(COUNTIFS(업무일지!$F$5:$F$1004,$O120,업무일지!$B$5:$B$1004,"&gt;="&amp;DATE($B$3,12,1),업무일지!$B$5:$B$1004,"&lt;"&amp;DATE($B$3,12+1,1),업무일지!$D$5:$D$1004,"출장")&gt;0,1,0))</f>
        <v/>
      </c>
      <c r="AB120">
        <f>IF($O120="",0,IF(COUNTIFS(업무일지!$F$5:$F$1004,$O120,업무일지!$B$5:$B$1004,"&gt;="&amp;DATE($B$3,1,1),업무일지!$B$5:$B$1004,"&lt;"&amp;DATE($B$3,1+1,1),업무일지!$D$5:$D$1004,"분석")&gt;0,1,0))</f>
        <v/>
      </c>
      <c r="AC120">
        <f>IF($O120="",0,IF(COUNTIFS(업무일지!$F$5:$F$1004,$O120,업무일지!$B$5:$B$1004,"&gt;="&amp;DATE($B$3,2,1),업무일지!$B$5:$B$1004,"&lt;"&amp;DATE($B$3,2+1,1),업무일지!$D$5:$D$1004,"분석")&gt;0,1,0))</f>
        <v/>
      </c>
      <c r="AD120">
        <f>IF($O120="",0,IF(COUNTIFS(업무일지!$F$5:$F$1004,$O120,업무일지!$B$5:$B$1004,"&gt;="&amp;DATE($B$3,3,1),업무일지!$B$5:$B$1004,"&lt;"&amp;DATE($B$3,3+1,1),업무일지!$D$5:$D$1004,"분석")&gt;0,1,0))</f>
        <v/>
      </c>
      <c r="AE120">
        <f>IF($O120="",0,IF(COUNTIFS(업무일지!$F$5:$F$1004,$O120,업무일지!$B$5:$B$1004,"&gt;="&amp;DATE($B$3,4,1),업무일지!$B$5:$B$1004,"&lt;"&amp;DATE($B$3,4+1,1),업무일지!$D$5:$D$1004,"분석")&gt;0,1,0))</f>
        <v/>
      </c>
      <c r="AF120">
        <f>IF($O120="",0,IF(COUNTIFS(업무일지!$F$5:$F$1004,$O120,업무일지!$B$5:$B$1004,"&gt;="&amp;DATE($B$3,5,1),업무일지!$B$5:$B$1004,"&lt;"&amp;DATE($B$3,5+1,1),업무일지!$D$5:$D$1004,"분석")&gt;0,1,0))</f>
        <v/>
      </c>
      <c r="AG120">
        <f>IF($O120="",0,IF(COUNTIFS(업무일지!$F$5:$F$1004,$O120,업무일지!$B$5:$B$1004,"&gt;="&amp;DATE($B$3,6,1),업무일지!$B$5:$B$1004,"&lt;"&amp;DATE($B$3,6+1,1),업무일지!$D$5:$D$1004,"분석")&gt;0,1,0))</f>
        <v/>
      </c>
      <c r="AH120">
        <f>IF($O120="",0,IF(COUNTIFS(업무일지!$F$5:$F$1004,$O120,업무일지!$B$5:$B$1004,"&gt;="&amp;DATE($B$3,7,1),업무일지!$B$5:$B$1004,"&lt;"&amp;DATE($B$3,7+1,1),업무일지!$D$5:$D$1004,"분석")&gt;0,1,0))</f>
        <v/>
      </c>
      <c r="AI120">
        <f>IF($O120="",0,IF(COUNTIFS(업무일지!$F$5:$F$1004,$O120,업무일지!$B$5:$B$1004,"&gt;="&amp;DATE($B$3,8,1),업무일지!$B$5:$B$1004,"&lt;"&amp;DATE($B$3,8+1,1),업무일지!$D$5:$D$1004,"분석")&gt;0,1,0))</f>
        <v/>
      </c>
      <c r="AJ120">
        <f>IF($O120="",0,IF(COUNTIFS(업무일지!$F$5:$F$1004,$O120,업무일지!$B$5:$B$1004,"&gt;="&amp;DATE($B$3,9,1),업무일지!$B$5:$B$1004,"&lt;"&amp;DATE($B$3,9+1,1),업무일지!$D$5:$D$1004,"분석")&gt;0,1,0))</f>
        <v/>
      </c>
      <c r="AK120">
        <f>IF($O120="",0,IF(COUNTIFS(업무일지!$F$5:$F$1004,$O120,업무일지!$B$5:$B$1004,"&gt;="&amp;DATE($B$3,10,1),업무일지!$B$5:$B$1004,"&lt;"&amp;DATE($B$3,10+1,1),업무일지!$D$5:$D$1004,"분석")&gt;0,1,0))</f>
        <v/>
      </c>
      <c r="AL120">
        <f>IF($O120="",0,IF(COUNTIFS(업무일지!$F$5:$F$1004,$O120,업무일지!$B$5:$B$1004,"&gt;="&amp;DATE($B$3,11,1),업무일지!$B$5:$B$1004,"&lt;"&amp;DATE($B$3,11+1,1),업무일지!$D$5:$D$1004,"분석")&gt;0,1,0))</f>
        <v/>
      </c>
      <c r="AM120">
        <f>IF($O120="",0,IF(COUNTIFS(업무일지!$F$5:$F$1004,$O120,업무일지!$B$5:$B$1004,"&gt;="&amp;DATE($B$3,12,1),업무일지!$B$5:$B$1004,"&lt;"&amp;DATE($B$3,12+1,1),업무일지!$D$5:$D$1004,"분석")&gt;0,1,0))</f>
        <v/>
      </c>
      <c r="AN120">
        <f>IF($O120="",0,IF(COUNTIFS(업무일지!$F$5:$F$1004,$O120,업무일지!$B$5:$B$1004,"&gt;="&amp;DATE($B$3,1,1),업무일지!$B$5:$B$1004,"&lt;"&amp;DATE($B$3,1+1,1))&gt;0,1,0))</f>
        <v/>
      </c>
      <c r="AO120">
        <f>IF($O120="",0,IF(COUNTIFS(업무일지!$F$5:$F$1004,$O120,업무일지!$B$5:$B$1004,"&gt;="&amp;DATE($B$3,2,1),업무일지!$B$5:$B$1004,"&lt;"&amp;DATE($B$3,2+1,1))&gt;0,1,0))</f>
        <v/>
      </c>
      <c r="AP120">
        <f>IF($O120="",0,IF(COUNTIFS(업무일지!$F$5:$F$1004,$O120,업무일지!$B$5:$B$1004,"&gt;="&amp;DATE($B$3,3,1),업무일지!$B$5:$B$1004,"&lt;"&amp;DATE($B$3,3+1,1))&gt;0,1,0))</f>
        <v/>
      </c>
      <c r="AQ120">
        <f>IF($O120="",0,IF(COUNTIFS(업무일지!$F$5:$F$1004,$O120,업무일지!$B$5:$B$1004,"&gt;="&amp;DATE($B$3,4,1),업무일지!$B$5:$B$1004,"&lt;"&amp;DATE($B$3,4+1,1))&gt;0,1,0))</f>
        <v/>
      </c>
      <c r="AR120">
        <f>IF($O120="",0,IF(COUNTIFS(업무일지!$F$5:$F$1004,$O120,업무일지!$B$5:$B$1004,"&gt;="&amp;DATE($B$3,5,1),업무일지!$B$5:$B$1004,"&lt;"&amp;DATE($B$3,5+1,1))&gt;0,1,0))</f>
        <v/>
      </c>
      <c r="AS120">
        <f>IF($O120="",0,IF(COUNTIFS(업무일지!$F$5:$F$1004,$O120,업무일지!$B$5:$B$1004,"&gt;="&amp;DATE($B$3,6,1),업무일지!$B$5:$B$1004,"&lt;"&amp;DATE($B$3,6+1,1))&gt;0,1,0))</f>
        <v/>
      </c>
      <c r="AT120">
        <f>IF($O120="",0,IF(COUNTIFS(업무일지!$F$5:$F$1004,$O120,업무일지!$B$5:$B$1004,"&gt;="&amp;DATE($B$3,7,1),업무일지!$B$5:$B$1004,"&lt;"&amp;DATE($B$3,7+1,1))&gt;0,1,0))</f>
        <v/>
      </c>
      <c r="AU120">
        <f>IF($O120="",0,IF(COUNTIFS(업무일지!$F$5:$F$1004,$O120,업무일지!$B$5:$B$1004,"&gt;="&amp;DATE($B$3,8,1),업무일지!$B$5:$B$1004,"&lt;"&amp;DATE($B$3,8+1,1))&gt;0,1,0))</f>
        <v/>
      </c>
      <c r="AV120">
        <f>IF($O120="",0,IF(COUNTIFS(업무일지!$F$5:$F$1004,$O120,업무일지!$B$5:$B$1004,"&gt;="&amp;DATE($B$3,9,1),업무일지!$B$5:$B$1004,"&lt;"&amp;DATE($B$3,9+1,1))&gt;0,1,0))</f>
        <v/>
      </c>
      <c r="AW120">
        <f>IF($O120="",0,IF(COUNTIFS(업무일지!$F$5:$F$1004,$O120,업무일지!$B$5:$B$1004,"&gt;="&amp;DATE($B$3,10,1),업무일지!$B$5:$B$1004,"&lt;"&amp;DATE($B$3,10+1,1))&gt;0,1,0))</f>
        <v/>
      </c>
      <c r="AX120">
        <f>IF($O120="",0,IF(COUNTIFS(업무일지!$F$5:$F$1004,$O120,업무일지!$B$5:$B$1004,"&gt;="&amp;DATE($B$3,11,1),업무일지!$B$5:$B$1004,"&lt;"&amp;DATE($B$3,11+1,1))&gt;0,1,0))</f>
        <v/>
      </c>
      <c r="AY120">
        <f>IF($O120="",0,IF(COUNTIFS(업무일지!$F$5:$F$1004,$O120,업무일지!$B$5:$B$1004,"&gt;="&amp;DATE($B$3,12,1),업무일지!$B$5:$B$1004,"&lt;"&amp;DATE($B$3,12+1,1))&gt;0,1,0))</f>
        <v/>
      </c>
      <c r="AZ120">
        <f>IF($O120="",0,IF(COUNTIFS(업무일지!$F$5:$F$1004,$O120,업무일지!$B$5:$B$1004,"&gt;="&amp;DATE($B$3,1,1),업무일지!$B$5:$B$1004,"&lt;"&amp;DATE($B$3+1,1,1),업무일지!$D$5:$D$1004,"출장")&gt;0,1,0))</f>
        <v/>
      </c>
      <c r="BA120">
        <f>IF($O120="",0,IF(COUNTIFS(업무일지!$F$5:$F$1004,$O120,업무일지!$B$5:$B$1004,"&gt;="&amp;DATE($B$3,1,1),업무일지!$B$5:$B$1004,"&lt;"&amp;DATE($B$3+1,1,1),업무일지!$D$5:$D$1004,"분석")&gt;0,1,0))</f>
        <v/>
      </c>
      <c r="BB120">
        <f>IF($O120="",0,IF(COUNTIFS(업무일지!$F$5:$F$1004,$O120,업무일지!$B$5:$B$1004,"&gt;="&amp;DATE($B$3,1,1),업무일지!$B$5:$B$1004,"&lt;"&amp;DATE($B$3+1,1,1))&gt;0,1,0))</f>
        <v/>
      </c>
      <c r="BD120">
        <f>IF($O120="",0,IF(COUNTIFS(업무일지!$F$5:$F$1004,$O120,업무일지!$B$5:$B$1004,"&gt;="&amp;DATE($B$3,1,1),업무일지!$B$5:$B$1004,"&lt;"&amp;DATE($B$3+1,1,1),업무일지!$AB$5:$AB$1004,$A$44,업무일지!$D$5:$D$1004,"출장")&gt;0,1,0))</f>
        <v/>
      </c>
      <c r="BE120">
        <f>IF($O120="",0,IF(COUNTIFS(업무일지!$F$5:$F$1004,$O120,업무일지!$B$5:$B$1004,"&gt;="&amp;DATE($B$3,1,1),업무일지!$B$5:$B$1004,"&lt;"&amp;DATE($B$3+1,1,1),업무일지!$AB$5:$AB$1004,$A$45,업무일지!$D$5:$D$1004,"출장")&gt;0,1,0))</f>
        <v/>
      </c>
      <c r="BF120">
        <f>IF($O120="",0,IF(COUNTIFS(업무일지!$F$5:$F$1004,$O120,업무일지!$B$5:$B$1004,"&gt;="&amp;DATE($B$3,1,1),업무일지!$B$5:$B$1004,"&lt;"&amp;DATE($B$3+1,1,1),업무일지!$AB$5:$AB$1004,$A$46,업무일지!$D$5:$D$1004,"출장")&gt;0,1,0))</f>
        <v/>
      </c>
      <c r="BG120">
        <f>IF($O120="",0,IF(COUNTIFS(업무일지!$F$5:$F$1004,$O120,업무일지!$B$5:$B$1004,"&gt;="&amp;DATE($B$3,1,1),업무일지!$B$5:$B$1004,"&lt;"&amp;DATE($B$3+1,1,1),업무일지!$AB$5:$AB$1004,$A$47,업무일지!$D$5:$D$1004,"출장")&gt;0,1,0))</f>
        <v/>
      </c>
      <c r="BH120">
        <f>IF($O120="",0,IF(COUNTIFS(업무일지!$F$5:$F$1004,$O120,업무일지!$B$5:$B$1004,"&gt;="&amp;DATE($B$3,1,1),업무일지!$B$5:$B$1004,"&lt;"&amp;DATE($B$3+1,1,1),업무일지!$AB$5:$AB$1004,$A$48,업무일지!$D$5:$D$1004,"출장")&gt;0,1,0))</f>
        <v/>
      </c>
      <c r="BI120">
        <f>IF($O120="",0,IF(COUNTIFS(업무일지!$F$5:$F$1004,$O120,업무일지!$B$5:$B$1004,"&gt;="&amp;DATE($B$3,1,1),업무일지!$B$5:$B$1004,"&lt;"&amp;DATE($B$3+1,1,1),업무일지!$AB$5:$AB$1004,$A$49,업무일지!$D$5:$D$1004,"출장")&gt;0,1,0))</f>
        <v/>
      </c>
      <c r="BJ120">
        <f>IF($O120="",0,IF(COUNTIFS(업무일지!$F$5:$F$1004,$O120,업무일지!$B$5:$B$1004,"&gt;="&amp;DATE($B$3,1,1),업무일지!$B$5:$B$1004,"&lt;"&amp;DATE($B$3+1,1,1),업무일지!$AB$5:$AB$1004,$A$50,업무일지!$D$5:$D$1004,"출장")&gt;0,1,0))</f>
        <v/>
      </c>
      <c r="BK120">
        <f>IF($O120="",0,IF(COUNTIFS(업무일지!$F$5:$F$1004,$O120,업무일지!$B$5:$B$1004,"&gt;="&amp;DATE($B$3,1,1),업무일지!$B$5:$B$1004,"&lt;"&amp;DATE($B$3+1,1,1),업무일지!$AB$5:$AB$1004,$A$51,업무일지!$D$5:$D$1004,"출장")&gt;0,1,0))</f>
        <v/>
      </c>
      <c r="BL120">
        <f>IF($O120="",0,IF(COUNTIFS(업무일지!$F$5:$F$1004,$O120,업무일지!$B$5:$B$1004,"&gt;="&amp;DATE($B$3,1,1),업무일지!$B$5:$B$1004,"&lt;"&amp;DATE($B$3+1,1,1),업무일지!$AB$5:$AB$1004,$A$52,업무일지!$D$5:$D$1004,"출장")&gt;0,1,0))</f>
        <v/>
      </c>
      <c r="BM120">
        <f>IF($O120="",0,IF(COUNTIFS(업무일지!$F$5:$F$1004,$O120,업무일지!$B$5:$B$1004,"&gt;="&amp;DATE($B$3,1,1),업무일지!$B$5:$B$1004,"&lt;"&amp;DATE($B$3+1,1,1),업무일지!$AB$5:$AB$1004,$A$53,업무일지!$D$5:$D$1004,"출장")&gt;0,1,0))</f>
        <v/>
      </c>
      <c r="BO120">
        <f>IF($O120="",0,IF(COUNTIFS(업무일지!$F$5:$F$1004,$O120,업무일지!$B$5:$B$1004,"&gt;="&amp;DATE($B$3,1,1),업무일지!$B$5:$B$1004,"&lt;"&amp;DATE($B$3+1,1,1),업무일지!$AB$5:$AB$1004,$A$44,업무일지!$D$5:$D$1004,"분석")&gt;0,1,0))</f>
        <v/>
      </c>
      <c r="BP120">
        <f>IF($O120="",0,IF(COUNTIFS(업무일지!$F$5:$F$1004,$O120,업무일지!$B$5:$B$1004,"&gt;="&amp;DATE($B$3,1,1),업무일지!$B$5:$B$1004,"&lt;"&amp;DATE($B$3+1,1,1),업무일지!$AB$5:$AB$1004,$A$45,업무일지!$D$5:$D$1004,"분석")&gt;0,1,0))</f>
        <v/>
      </c>
      <c r="BQ120">
        <f>IF($O120="",0,IF(COUNTIFS(업무일지!$F$5:$F$1004,$O120,업무일지!$B$5:$B$1004,"&gt;="&amp;DATE($B$3,1,1),업무일지!$B$5:$B$1004,"&lt;"&amp;DATE($B$3+1,1,1),업무일지!$AB$5:$AB$1004,$A$46,업무일지!$D$5:$D$1004,"분석")&gt;0,1,0))</f>
        <v/>
      </c>
      <c r="BR120">
        <f>IF($O120="",0,IF(COUNTIFS(업무일지!$F$5:$F$1004,$O120,업무일지!$B$5:$B$1004,"&gt;="&amp;DATE($B$3,1,1),업무일지!$B$5:$B$1004,"&lt;"&amp;DATE($B$3+1,1,1),업무일지!$AB$5:$AB$1004,$A$47,업무일지!$D$5:$D$1004,"분석")&gt;0,1,0))</f>
        <v/>
      </c>
      <c r="BS120">
        <f>IF($O120="",0,IF(COUNTIFS(업무일지!$F$5:$F$1004,$O120,업무일지!$B$5:$B$1004,"&gt;="&amp;DATE($B$3,1,1),업무일지!$B$5:$B$1004,"&lt;"&amp;DATE($B$3+1,1,1),업무일지!$AB$5:$AB$1004,$A$48,업무일지!$D$5:$D$1004,"분석")&gt;0,1,0))</f>
        <v/>
      </c>
      <c r="BT120">
        <f>IF($O120="",0,IF(COUNTIFS(업무일지!$F$5:$F$1004,$O120,업무일지!$B$5:$B$1004,"&gt;="&amp;DATE($B$3,1,1),업무일지!$B$5:$B$1004,"&lt;"&amp;DATE($B$3+1,1,1),업무일지!$AB$5:$AB$1004,$A$49,업무일지!$D$5:$D$1004,"분석")&gt;0,1,0))</f>
        <v/>
      </c>
      <c r="BU120">
        <f>IF($O120="",0,IF(COUNTIFS(업무일지!$F$5:$F$1004,$O120,업무일지!$B$5:$B$1004,"&gt;="&amp;DATE($B$3,1,1),업무일지!$B$5:$B$1004,"&lt;"&amp;DATE($B$3+1,1,1),업무일지!$AB$5:$AB$1004,$A$50,업무일지!$D$5:$D$1004,"분석")&gt;0,1,0))</f>
        <v/>
      </c>
      <c r="BV120">
        <f>IF($O120="",0,IF(COUNTIFS(업무일지!$F$5:$F$1004,$O120,업무일지!$B$5:$B$1004,"&gt;="&amp;DATE($B$3,1,1),업무일지!$B$5:$B$1004,"&lt;"&amp;DATE($B$3+1,1,1),업무일지!$AB$5:$AB$1004,$A$51,업무일지!$D$5:$D$1004,"분석")&gt;0,1,0))</f>
        <v/>
      </c>
      <c r="BW120">
        <f>IF($O120="",0,IF(COUNTIFS(업무일지!$F$5:$F$1004,$O120,업무일지!$B$5:$B$1004,"&gt;="&amp;DATE($B$3,1,1),업무일지!$B$5:$B$1004,"&lt;"&amp;DATE($B$3+1,1,1),업무일지!$AB$5:$AB$1004,$A$52,업무일지!$D$5:$D$1004,"분석")&gt;0,1,0))</f>
        <v/>
      </c>
      <c r="BX120">
        <f>IF($O120="",0,IF(COUNTIFS(업무일지!$F$5:$F$1004,$O120,업무일지!$B$5:$B$1004,"&gt;="&amp;DATE($B$3,1,1),업무일지!$B$5:$B$1004,"&lt;"&amp;DATE($B$3+1,1,1),업무일지!$AB$5:$AB$1004,$A$53,업무일지!$D$5:$D$1004,"분석")&gt;0,1,0))</f>
        <v/>
      </c>
      <c r="BZ120">
        <f>IF($O120="",0,IF(COUNTIFS(업무일지!$F$5:$F$1004,$O120,업무일지!$B$5:$B$1004,"&gt;="&amp;DATE($B$3,1,1),업무일지!$B$5:$B$1004,"&lt;"&amp;DATE($B$3+1,1,1),업무일지!$AB$5:$AB$1004,$A$44)&gt;0,1,0))</f>
        <v/>
      </c>
      <c r="CA120">
        <f>IF($O120="",0,IF(COUNTIFS(업무일지!$F$5:$F$1004,$O120,업무일지!$B$5:$B$1004,"&gt;="&amp;DATE($B$3,1,1),업무일지!$B$5:$B$1004,"&lt;"&amp;DATE($B$3+1,1,1),업무일지!$AB$5:$AB$1004,$A$45)&gt;0,1,0))</f>
        <v/>
      </c>
      <c r="CB120">
        <f>IF($O120="",0,IF(COUNTIFS(업무일지!$F$5:$F$1004,$O120,업무일지!$B$5:$B$1004,"&gt;="&amp;DATE($B$3,1,1),업무일지!$B$5:$B$1004,"&lt;"&amp;DATE($B$3+1,1,1),업무일지!$AB$5:$AB$1004,$A$46)&gt;0,1,0))</f>
        <v/>
      </c>
      <c r="CC120">
        <f>IF($O120="",0,IF(COUNTIFS(업무일지!$F$5:$F$1004,$O120,업무일지!$B$5:$B$1004,"&gt;="&amp;DATE($B$3,1,1),업무일지!$B$5:$B$1004,"&lt;"&amp;DATE($B$3+1,1,1),업무일지!$AB$5:$AB$1004,$A$47)&gt;0,1,0))</f>
        <v/>
      </c>
      <c r="CD120">
        <f>IF($O120="",0,IF(COUNTIFS(업무일지!$F$5:$F$1004,$O120,업무일지!$B$5:$B$1004,"&gt;="&amp;DATE($B$3,1,1),업무일지!$B$5:$B$1004,"&lt;"&amp;DATE($B$3+1,1,1),업무일지!$AB$5:$AB$1004,$A$48)&gt;0,1,0))</f>
        <v/>
      </c>
      <c r="CE120">
        <f>IF($O120="",0,IF(COUNTIFS(업무일지!$F$5:$F$1004,$O120,업무일지!$B$5:$B$1004,"&gt;="&amp;DATE($B$3,1,1),업무일지!$B$5:$B$1004,"&lt;"&amp;DATE($B$3+1,1,1),업무일지!$AB$5:$AB$1004,$A$49)&gt;0,1,0))</f>
        <v/>
      </c>
      <c r="CF120">
        <f>IF($O120="",0,IF(COUNTIFS(업무일지!$F$5:$F$1004,$O120,업무일지!$B$5:$B$1004,"&gt;="&amp;DATE($B$3,1,1),업무일지!$B$5:$B$1004,"&lt;"&amp;DATE($B$3+1,1,1),업무일지!$AB$5:$AB$1004,$A$50)&gt;0,1,0))</f>
        <v/>
      </c>
      <c r="CG120">
        <f>IF($O120="",0,IF(COUNTIFS(업무일지!$F$5:$F$1004,$O120,업무일지!$B$5:$B$1004,"&gt;="&amp;DATE($B$3,1,1),업무일지!$B$5:$B$1004,"&lt;"&amp;DATE($B$3+1,1,1),업무일지!$AB$5:$AB$1004,$A$51)&gt;0,1,0))</f>
        <v/>
      </c>
      <c r="CH120">
        <f>IF($O120="",0,IF(COUNTIFS(업무일지!$F$5:$F$1004,$O120,업무일지!$B$5:$B$1004,"&gt;="&amp;DATE($B$3,1,1),업무일지!$B$5:$B$1004,"&lt;"&amp;DATE($B$3+1,1,1),업무일지!$AB$5:$AB$1004,$A$52)&gt;0,1,0))</f>
        <v/>
      </c>
      <c r="CI120">
        <f>IF($O120="",0,IF(COUNTIFS(업무일지!$F$5:$F$1004,$O120,업무일지!$B$5:$B$1004,"&gt;="&amp;DATE($B$3,1,1),업무일지!$B$5:$B$1004,"&lt;"&amp;DATE($B$3+1,1,1),업무일지!$AB$5:$AB$1004,$A$53)&gt;0,1,0))</f>
        <v/>
      </c>
    </row>
    <row r="121">
      <c r="O121">
        <f>IF(사건마스터!$A41="","",사건마스터!$A41)</f>
        <v/>
      </c>
      <c r="P121">
        <f>IF($O121="",0,IF(COUNTIFS(업무일지!$F$5:$F$1004,$O121,업무일지!$B$5:$B$1004,"&gt;="&amp;DATE($B$3,1,1),업무일지!$B$5:$B$1004,"&lt;"&amp;DATE($B$3,1+1,1),업무일지!$D$5:$D$1004,"출장")&gt;0,1,0))</f>
        <v/>
      </c>
      <c r="Q121">
        <f>IF($O121="",0,IF(COUNTIFS(업무일지!$F$5:$F$1004,$O121,업무일지!$B$5:$B$1004,"&gt;="&amp;DATE($B$3,2,1),업무일지!$B$5:$B$1004,"&lt;"&amp;DATE($B$3,2+1,1),업무일지!$D$5:$D$1004,"출장")&gt;0,1,0))</f>
        <v/>
      </c>
      <c r="R121">
        <f>IF($O121="",0,IF(COUNTIFS(업무일지!$F$5:$F$1004,$O121,업무일지!$B$5:$B$1004,"&gt;="&amp;DATE($B$3,3,1),업무일지!$B$5:$B$1004,"&lt;"&amp;DATE($B$3,3+1,1),업무일지!$D$5:$D$1004,"출장")&gt;0,1,0))</f>
        <v/>
      </c>
      <c r="S121">
        <f>IF($O121="",0,IF(COUNTIFS(업무일지!$F$5:$F$1004,$O121,업무일지!$B$5:$B$1004,"&gt;="&amp;DATE($B$3,4,1),업무일지!$B$5:$B$1004,"&lt;"&amp;DATE($B$3,4+1,1),업무일지!$D$5:$D$1004,"출장")&gt;0,1,0))</f>
        <v/>
      </c>
      <c r="T121">
        <f>IF($O121="",0,IF(COUNTIFS(업무일지!$F$5:$F$1004,$O121,업무일지!$B$5:$B$1004,"&gt;="&amp;DATE($B$3,5,1),업무일지!$B$5:$B$1004,"&lt;"&amp;DATE($B$3,5+1,1),업무일지!$D$5:$D$1004,"출장")&gt;0,1,0))</f>
        <v/>
      </c>
      <c r="U121">
        <f>IF($O121="",0,IF(COUNTIFS(업무일지!$F$5:$F$1004,$O121,업무일지!$B$5:$B$1004,"&gt;="&amp;DATE($B$3,6,1),업무일지!$B$5:$B$1004,"&lt;"&amp;DATE($B$3,6+1,1),업무일지!$D$5:$D$1004,"출장")&gt;0,1,0))</f>
        <v/>
      </c>
      <c r="V121">
        <f>IF($O121="",0,IF(COUNTIFS(업무일지!$F$5:$F$1004,$O121,업무일지!$B$5:$B$1004,"&gt;="&amp;DATE($B$3,7,1),업무일지!$B$5:$B$1004,"&lt;"&amp;DATE($B$3,7+1,1),업무일지!$D$5:$D$1004,"출장")&gt;0,1,0))</f>
        <v/>
      </c>
      <c r="W121">
        <f>IF($O121="",0,IF(COUNTIFS(업무일지!$F$5:$F$1004,$O121,업무일지!$B$5:$B$1004,"&gt;="&amp;DATE($B$3,8,1),업무일지!$B$5:$B$1004,"&lt;"&amp;DATE($B$3,8+1,1),업무일지!$D$5:$D$1004,"출장")&gt;0,1,0))</f>
        <v/>
      </c>
      <c r="X121">
        <f>IF($O121="",0,IF(COUNTIFS(업무일지!$F$5:$F$1004,$O121,업무일지!$B$5:$B$1004,"&gt;="&amp;DATE($B$3,9,1),업무일지!$B$5:$B$1004,"&lt;"&amp;DATE($B$3,9+1,1),업무일지!$D$5:$D$1004,"출장")&gt;0,1,0))</f>
        <v/>
      </c>
      <c r="Y121">
        <f>IF($O121="",0,IF(COUNTIFS(업무일지!$F$5:$F$1004,$O121,업무일지!$B$5:$B$1004,"&gt;="&amp;DATE($B$3,10,1),업무일지!$B$5:$B$1004,"&lt;"&amp;DATE($B$3,10+1,1),업무일지!$D$5:$D$1004,"출장")&gt;0,1,0))</f>
        <v/>
      </c>
      <c r="Z121">
        <f>IF($O121="",0,IF(COUNTIFS(업무일지!$F$5:$F$1004,$O121,업무일지!$B$5:$B$1004,"&gt;="&amp;DATE($B$3,11,1),업무일지!$B$5:$B$1004,"&lt;"&amp;DATE($B$3,11+1,1),업무일지!$D$5:$D$1004,"출장")&gt;0,1,0))</f>
        <v/>
      </c>
      <c r="AA121">
        <f>IF($O121="",0,IF(COUNTIFS(업무일지!$F$5:$F$1004,$O121,업무일지!$B$5:$B$1004,"&gt;="&amp;DATE($B$3,12,1),업무일지!$B$5:$B$1004,"&lt;"&amp;DATE($B$3,12+1,1),업무일지!$D$5:$D$1004,"출장")&gt;0,1,0))</f>
        <v/>
      </c>
      <c r="AB121">
        <f>IF($O121="",0,IF(COUNTIFS(업무일지!$F$5:$F$1004,$O121,업무일지!$B$5:$B$1004,"&gt;="&amp;DATE($B$3,1,1),업무일지!$B$5:$B$1004,"&lt;"&amp;DATE($B$3,1+1,1),업무일지!$D$5:$D$1004,"분석")&gt;0,1,0))</f>
        <v/>
      </c>
      <c r="AC121">
        <f>IF($O121="",0,IF(COUNTIFS(업무일지!$F$5:$F$1004,$O121,업무일지!$B$5:$B$1004,"&gt;="&amp;DATE($B$3,2,1),업무일지!$B$5:$B$1004,"&lt;"&amp;DATE($B$3,2+1,1),업무일지!$D$5:$D$1004,"분석")&gt;0,1,0))</f>
        <v/>
      </c>
      <c r="AD121">
        <f>IF($O121="",0,IF(COUNTIFS(업무일지!$F$5:$F$1004,$O121,업무일지!$B$5:$B$1004,"&gt;="&amp;DATE($B$3,3,1),업무일지!$B$5:$B$1004,"&lt;"&amp;DATE($B$3,3+1,1),업무일지!$D$5:$D$1004,"분석")&gt;0,1,0))</f>
        <v/>
      </c>
      <c r="AE121">
        <f>IF($O121="",0,IF(COUNTIFS(업무일지!$F$5:$F$1004,$O121,업무일지!$B$5:$B$1004,"&gt;="&amp;DATE($B$3,4,1),업무일지!$B$5:$B$1004,"&lt;"&amp;DATE($B$3,4+1,1),업무일지!$D$5:$D$1004,"분석")&gt;0,1,0))</f>
        <v/>
      </c>
      <c r="AF121">
        <f>IF($O121="",0,IF(COUNTIFS(업무일지!$F$5:$F$1004,$O121,업무일지!$B$5:$B$1004,"&gt;="&amp;DATE($B$3,5,1),업무일지!$B$5:$B$1004,"&lt;"&amp;DATE($B$3,5+1,1),업무일지!$D$5:$D$1004,"분석")&gt;0,1,0))</f>
        <v/>
      </c>
      <c r="AG121">
        <f>IF($O121="",0,IF(COUNTIFS(업무일지!$F$5:$F$1004,$O121,업무일지!$B$5:$B$1004,"&gt;="&amp;DATE($B$3,6,1),업무일지!$B$5:$B$1004,"&lt;"&amp;DATE($B$3,6+1,1),업무일지!$D$5:$D$1004,"분석")&gt;0,1,0))</f>
        <v/>
      </c>
      <c r="AH121">
        <f>IF($O121="",0,IF(COUNTIFS(업무일지!$F$5:$F$1004,$O121,업무일지!$B$5:$B$1004,"&gt;="&amp;DATE($B$3,7,1),업무일지!$B$5:$B$1004,"&lt;"&amp;DATE($B$3,7+1,1),업무일지!$D$5:$D$1004,"분석")&gt;0,1,0))</f>
        <v/>
      </c>
      <c r="AI121">
        <f>IF($O121="",0,IF(COUNTIFS(업무일지!$F$5:$F$1004,$O121,업무일지!$B$5:$B$1004,"&gt;="&amp;DATE($B$3,8,1),업무일지!$B$5:$B$1004,"&lt;"&amp;DATE($B$3,8+1,1),업무일지!$D$5:$D$1004,"분석")&gt;0,1,0))</f>
        <v/>
      </c>
      <c r="AJ121">
        <f>IF($O121="",0,IF(COUNTIFS(업무일지!$F$5:$F$1004,$O121,업무일지!$B$5:$B$1004,"&gt;="&amp;DATE($B$3,9,1),업무일지!$B$5:$B$1004,"&lt;"&amp;DATE($B$3,9+1,1),업무일지!$D$5:$D$1004,"분석")&gt;0,1,0))</f>
        <v/>
      </c>
      <c r="AK121">
        <f>IF($O121="",0,IF(COUNTIFS(업무일지!$F$5:$F$1004,$O121,업무일지!$B$5:$B$1004,"&gt;="&amp;DATE($B$3,10,1),업무일지!$B$5:$B$1004,"&lt;"&amp;DATE($B$3,10+1,1),업무일지!$D$5:$D$1004,"분석")&gt;0,1,0))</f>
        <v/>
      </c>
      <c r="AL121">
        <f>IF($O121="",0,IF(COUNTIFS(업무일지!$F$5:$F$1004,$O121,업무일지!$B$5:$B$1004,"&gt;="&amp;DATE($B$3,11,1),업무일지!$B$5:$B$1004,"&lt;"&amp;DATE($B$3,11+1,1),업무일지!$D$5:$D$1004,"분석")&gt;0,1,0))</f>
        <v/>
      </c>
      <c r="AM121">
        <f>IF($O121="",0,IF(COUNTIFS(업무일지!$F$5:$F$1004,$O121,업무일지!$B$5:$B$1004,"&gt;="&amp;DATE($B$3,12,1),업무일지!$B$5:$B$1004,"&lt;"&amp;DATE($B$3,12+1,1),업무일지!$D$5:$D$1004,"분석")&gt;0,1,0))</f>
        <v/>
      </c>
      <c r="AN121">
        <f>IF($O121="",0,IF(COUNTIFS(업무일지!$F$5:$F$1004,$O121,업무일지!$B$5:$B$1004,"&gt;="&amp;DATE($B$3,1,1),업무일지!$B$5:$B$1004,"&lt;"&amp;DATE($B$3,1+1,1))&gt;0,1,0))</f>
        <v/>
      </c>
      <c r="AO121">
        <f>IF($O121="",0,IF(COUNTIFS(업무일지!$F$5:$F$1004,$O121,업무일지!$B$5:$B$1004,"&gt;="&amp;DATE($B$3,2,1),업무일지!$B$5:$B$1004,"&lt;"&amp;DATE($B$3,2+1,1))&gt;0,1,0))</f>
        <v/>
      </c>
      <c r="AP121">
        <f>IF($O121="",0,IF(COUNTIFS(업무일지!$F$5:$F$1004,$O121,업무일지!$B$5:$B$1004,"&gt;="&amp;DATE($B$3,3,1),업무일지!$B$5:$B$1004,"&lt;"&amp;DATE($B$3,3+1,1))&gt;0,1,0))</f>
        <v/>
      </c>
      <c r="AQ121">
        <f>IF($O121="",0,IF(COUNTIFS(업무일지!$F$5:$F$1004,$O121,업무일지!$B$5:$B$1004,"&gt;="&amp;DATE($B$3,4,1),업무일지!$B$5:$B$1004,"&lt;"&amp;DATE($B$3,4+1,1))&gt;0,1,0))</f>
        <v/>
      </c>
      <c r="AR121">
        <f>IF($O121="",0,IF(COUNTIFS(업무일지!$F$5:$F$1004,$O121,업무일지!$B$5:$B$1004,"&gt;="&amp;DATE($B$3,5,1),업무일지!$B$5:$B$1004,"&lt;"&amp;DATE($B$3,5+1,1))&gt;0,1,0))</f>
        <v/>
      </c>
      <c r="AS121">
        <f>IF($O121="",0,IF(COUNTIFS(업무일지!$F$5:$F$1004,$O121,업무일지!$B$5:$B$1004,"&gt;="&amp;DATE($B$3,6,1),업무일지!$B$5:$B$1004,"&lt;"&amp;DATE($B$3,6+1,1))&gt;0,1,0))</f>
        <v/>
      </c>
      <c r="AT121">
        <f>IF($O121="",0,IF(COUNTIFS(업무일지!$F$5:$F$1004,$O121,업무일지!$B$5:$B$1004,"&gt;="&amp;DATE($B$3,7,1),업무일지!$B$5:$B$1004,"&lt;"&amp;DATE($B$3,7+1,1))&gt;0,1,0))</f>
        <v/>
      </c>
      <c r="AU121">
        <f>IF($O121="",0,IF(COUNTIFS(업무일지!$F$5:$F$1004,$O121,업무일지!$B$5:$B$1004,"&gt;="&amp;DATE($B$3,8,1),업무일지!$B$5:$B$1004,"&lt;"&amp;DATE($B$3,8+1,1))&gt;0,1,0))</f>
        <v/>
      </c>
      <c r="AV121">
        <f>IF($O121="",0,IF(COUNTIFS(업무일지!$F$5:$F$1004,$O121,업무일지!$B$5:$B$1004,"&gt;="&amp;DATE($B$3,9,1),업무일지!$B$5:$B$1004,"&lt;"&amp;DATE($B$3,9+1,1))&gt;0,1,0))</f>
        <v/>
      </c>
      <c r="AW121">
        <f>IF($O121="",0,IF(COUNTIFS(업무일지!$F$5:$F$1004,$O121,업무일지!$B$5:$B$1004,"&gt;="&amp;DATE($B$3,10,1),업무일지!$B$5:$B$1004,"&lt;"&amp;DATE($B$3,10+1,1))&gt;0,1,0))</f>
        <v/>
      </c>
      <c r="AX121">
        <f>IF($O121="",0,IF(COUNTIFS(업무일지!$F$5:$F$1004,$O121,업무일지!$B$5:$B$1004,"&gt;="&amp;DATE($B$3,11,1),업무일지!$B$5:$B$1004,"&lt;"&amp;DATE($B$3,11+1,1))&gt;0,1,0))</f>
        <v/>
      </c>
      <c r="AY121">
        <f>IF($O121="",0,IF(COUNTIFS(업무일지!$F$5:$F$1004,$O121,업무일지!$B$5:$B$1004,"&gt;="&amp;DATE($B$3,12,1),업무일지!$B$5:$B$1004,"&lt;"&amp;DATE($B$3,12+1,1))&gt;0,1,0))</f>
        <v/>
      </c>
      <c r="AZ121">
        <f>IF($O121="",0,IF(COUNTIFS(업무일지!$F$5:$F$1004,$O121,업무일지!$B$5:$B$1004,"&gt;="&amp;DATE($B$3,1,1),업무일지!$B$5:$B$1004,"&lt;"&amp;DATE($B$3+1,1,1),업무일지!$D$5:$D$1004,"출장")&gt;0,1,0))</f>
        <v/>
      </c>
      <c r="BA121">
        <f>IF($O121="",0,IF(COUNTIFS(업무일지!$F$5:$F$1004,$O121,업무일지!$B$5:$B$1004,"&gt;="&amp;DATE($B$3,1,1),업무일지!$B$5:$B$1004,"&lt;"&amp;DATE($B$3+1,1,1),업무일지!$D$5:$D$1004,"분석")&gt;0,1,0))</f>
        <v/>
      </c>
      <c r="BB121">
        <f>IF($O121="",0,IF(COUNTIFS(업무일지!$F$5:$F$1004,$O121,업무일지!$B$5:$B$1004,"&gt;="&amp;DATE($B$3,1,1),업무일지!$B$5:$B$1004,"&lt;"&amp;DATE($B$3+1,1,1))&gt;0,1,0))</f>
        <v/>
      </c>
      <c r="BD121">
        <f>IF($O121="",0,IF(COUNTIFS(업무일지!$F$5:$F$1004,$O121,업무일지!$B$5:$B$1004,"&gt;="&amp;DATE($B$3,1,1),업무일지!$B$5:$B$1004,"&lt;"&amp;DATE($B$3+1,1,1),업무일지!$AB$5:$AB$1004,$A$44,업무일지!$D$5:$D$1004,"출장")&gt;0,1,0))</f>
        <v/>
      </c>
      <c r="BE121">
        <f>IF($O121="",0,IF(COUNTIFS(업무일지!$F$5:$F$1004,$O121,업무일지!$B$5:$B$1004,"&gt;="&amp;DATE($B$3,1,1),업무일지!$B$5:$B$1004,"&lt;"&amp;DATE($B$3+1,1,1),업무일지!$AB$5:$AB$1004,$A$45,업무일지!$D$5:$D$1004,"출장")&gt;0,1,0))</f>
        <v/>
      </c>
      <c r="BF121">
        <f>IF($O121="",0,IF(COUNTIFS(업무일지!$F$5:$F$1004,$O121,업무일지!$B$5:$B$1004,"&gt;="&amp;DATE($B$3,1,1),업무일지!$B$5:$B$1004,"&lt;"&amp;DATE($B$3+1,1,1),업무일지!$AB$5:$AB$1004,$A$46,업무일지!$D$5:$D$1004,"출장")&gt;0,1,0))</f>
        <v/>
      </c>
      <c r="BG121">
        <f>IF($O121="",0,IF(COUNTIFS(업무일지!$F$5:$F$1004,$O121,업무일지!$B$5:$B$1004,"&gt;="&amp;DATE($B$3,1,1),업무일지!$B$5:$B$1004,"&lt;"&amp;DATE($B$3+1,1,1),업무일지!$AB$5:$AB$1004,$A$47,업무일지!$D$5:$D$1004,"출장")&gt;0,1,0))</f>
        <v/>
      </c>
      <c r="BH121">
        <f>IF($O121="",0,IF(COUNTIFS(업무일지!$F$5:$F$1004,$O121,업무일지!$B$5:$B$1004,"&gt;="&amp;DATE($B$3,1,1),업무일지!$B$5:$B$1004,"&lt;"&amp;DATE($B$3+1,1,1),업무일지!$AB$5:$AB$1004,$A$48,업무일지!$D$5:$D$1004,"출장")&gt;0,1,0))</f>
        <v/>
      </c>
      <c r="BI121">
        <f>IF($O121="",0,IF(COUNTIFS(업무일지!$F$5:$F$1004,$O121,업무일지!$B$5:$B$1004,"&gt;="&amp;DATE($B$3,1,1),업무일지!$B$5:$B$1004,"&lt;"&amp;DATE($B$3+1,1,1),업무일지!$AB$5:$AB$1004,$A$49,업무일지!$D$5:$D$1004,"출장")&gt;0,1,0))</f>
        <v/>
      </c>
      <c r="BJ121">
        <f>IF($O121="",0,IF(COUNTIFS(업무일지!$F$5:$F$1004,$O121,업무일지!$B$5:$B$1004,"&gt;="&amp;DATE($B$3,1,1),업무일지!$B$5:$B$1004,"&lt;"&amp;DATE($B$3+1,1,1),업무일지!$AB$5:$AB$1004,$A$50,업무일지!$D$5:$D$1004,"출장")&gt;0,1,0))</f>
        <v/>
      </c>
      <c r="BK121">
        <f>IF($O121="",0,IF(COUNTIFS(업무일지!$F$5:$F$1004,$O121,업무일지!$B$5:$B$1004,"&gt;="&amp;DATE($B$3,1,1),업무일지!$B$5:$B$1004,"&lt;"&amp;DATE($B$3+1,1,1),업무일지!$AB$5:$AB$1004,$A$51,업무일지!$D$5:$D$1004,"출장")&gt;0,1,0))</f>
        <v/>
      </c>
      <c r="BL121">
        <f>IF($O121="",0,IF(COUNTIFS(업무일지!$F$5:$F$1004,$O121,업무일지!$B$5:$B$1004,"&gt;="&amp;DATE($B$3,1,1),업무일지!$B$5:$B$1004,"&lt;"&amp;DATE($B$3+1,1,1),업무일지!$AB$5:$AB$1004,$A$52,업무일지!$D$5:$D$1004,"출장")&gt;0,1,0))</f>
        <v/>
      </c>
      <c r="BM121">
        <f>IF($O121="",0,IF(COUNTIFS(업무일지!$F$5:$F$1004,$O121,업무일지!$B$5:$B$1004,"&gt;="&amp;DATE($B$3,1,1),업무일지!$B$5:$B$1004,"&lt;"&amp;DATE($B$3+1,1,1),업무일지!$AB$5:$AB$1004,$A$53,업무일지!$D$5:$D$1004,"출장")&gt;0,1,0))</f>
        <v/>
      </c>
      <c r="BO121">
        <f>IF($O121="",0,IF(COUNTIFS(업무일지!$F$5:$F$1004,$O121,업무일지!$B$5:$B$1004,"&gt;="&amp;DATE($B$3,1,1),업무일지!$B$5:$B$1004,"&lt;"&amp;DATE($B$3+1,1,1),업무일지!$AB$5:$AB$1004,$A$44,업무일지!$D$5:$D$1004,"분석")&gt;0,1,0))</f>
        <v/>
      </c>
      <c r="BP121">
        <f>IF($O121="",0,IF(COUNTIFS(업무일지!$F$5:$F$1004,$O121,업무일지!$B$5:$B$1004,"&gt;="&amp;DATE($B$3,1,1),업무일지!$B$5:$B$1004,"&lt;"&amp;DATE($B$3+1,1,1),업무일지!$AB$5:$AB$1004,$A$45,업무일지!$D$5:$D$1004,"분석")&gt;0,1,0))</f>
        <v/>
      </c>
      <c r="BQ121">
        <f>IF($O121="",0,IF(COUNTIFS(업무일지!$F$5:$F$1004,$O121,업무일지!$B$5:$B$1004,"&gt;="&amp;DATE($B$3,1,1),업무일지!$B$5:$B$1004,"&lt;"&amp;DATE($B$3+1,1,1),업무일지!$AB$5:$AB$1004,$A$46,업무일지!$D$5:$D$1004,"분석")&gt;0,1,0))</f>
        <v/>
      </c>
      <c r="BR121">
        <f>IF($O121="",0,IF(COUNTIFS(업무일지!$F$5:$F$1004,$O121,업무일지!$B$5:$B$1004,"&gt;="&amp;DATE($B$3,1,1),업무일지!$B$5:$B$1004,"&lt;"&amp;DATE($B$3+1,1,1),업무일지!$AB$5:$AB$1004,$A$47,업무일지!$D$5:$D$1004,"분석")&gt;0,1,0))</f>
        <v/>
      </c>
      <c r="BS121">
        <f>IF($O121="",0,IF(COUNTIFS(업무일지!$F$5:$F$1004,$O121,업무일지!$B$5:$B$1004,"&gt;="&amp;DATE($B$3,1,1),업무일지!$B$5:$B$1004,"&lt;"&amp;DATE($B$3+1,1,1),업무일지!$AB$5:$AB$1004,$A$48,업무일지!$D$5:$D$1004,"분석")&gt;0,1,0))</f>
        <v/>
      </c>
      <c r="BT121">
        <f>IF($O121="",0,IF(COUNTIFS(업무일지!$F$5:$F$1004,$O121,업무일지!$B$5:$B$1004,"&gt;="&amp;DATE($B$3,1,1),업무일지!$B$5:$B$1004,"&lt;"&amp;DATE($B$3+1,1,1),업무일지!$AB$5:$AB$1004,$A$49,업무일지!$D$5:$D$1004,"분석")&gt;0,1,0))</f>
        <v/>
      </c>
      <c r="BU121">
        <f>IF($O121="",0,IF(COUNTIFS(업무일지!$F$5:$F$1004,$O121,업무일지!$B$5:$B$1004,"&gt;="&amp;DATE($B$3,1,1),업무일지!$B$5:$B$1004,"&lt;"&amp;DATE($B$3+1,1,1),업무일지!$AB$5:$AB$1004,$A$50,업무일지!$D$5:$D$1004,"분석")&gt;0,1,0))</f>
        <v/>
      </c>
      <c r="BV121">
        <f>IF($O121="",0,IF(COUNTIFS(업무일지!$F$5:$F$1004,$O121,업무일지!$B$5:$B$1004,"&gt;="&amp;DATE($B$3,1,1),업무일지!$B$5:$B$1004,"&lt;"&amp;DATE($B$3+1,1,1),업무일지!$AB$5:$AB$1004,$A$51,업무일지!$D$5:$D$1004,"분석")&gt;0,1,0))</f>
        <v/>
      </c>
      <c r="BW121">
        <f>IF($O121="",0,IF(COUNTIFS(업무일지!$F$5:$F$1004,$O121,업무일지!$B$5:$B$1004,"&gt;="&amp;DATE($B$3,1,1),업무일지!$B$5:$B$1004,"&lt;"&amp;DATE($B$3+1,1,1),업무일지!$AB$5:$AB$1004,$A$52,업무일지!$D$5:$D$1004,"분석")&gt;0,1,0))</f>
        <v/>
      </c>
      <c r="BX121">
        <f>IF($O121="",0,IF(COUNTIFS(업무일지!$F$5:$F$1004,$O121,업무일지!$B$5:$B$1004,"&gt;="&amp;DATE($B$3,1,1),업무일지!$B$5:$B$1004,"&lt;"&amp;DATE($B$3+1,1,1),업무일지!$AB$5:$AB$1004,$A$53,업무일지!$D$5:$D$1004,"분석")&gt;0,1,0))</f>
        <v/>
      </c>
      <c r="BZ121">
        <f>IF($O121="",0,IF(COUNTIFS(업무일지!$F$5:$F$1004,$O121,업무일지!$B$5:$B$1004,"&gt;="&amp;DATE($B$3,1,1),업무일지!$B$5:$B$1004,"&lt;"&amp;DATE($B$3+1,1,1),업무일지!$AB$5:$AB$1004,$A$44)&gt;0,1,0))</f>
        <v/>
      </c>
      <c r="CA121">
        <f>IF($O121="",0,IF(COUNTIFS(업무일지!$F$5:$F$1004,$O121,업무일지!$B$5:$B$1004,"&gt;="&amp;DATE($B$3,1,1),업무일지!$B$5:$B$1004,"&lt;"&amp;DATE($B$3+1,1,1),업무일지!$AB$5:$AB$1004,$A$45)&gt;0,1,0))</f>
        <v/>
      </c>
      <c r="CB121">
        <f>IF($O121="",0,IF(COUNTIFS(업무일지!$F$5:$F$1004,$O121,업무일지!$B$5:$B$1004,"&gt;="&amp;DATE($B$3,1,1),업무일지!$B$5:$B$1004,"&lt;"&amp;DATE($B$3+1,1,1),업무일지!$AB$5:$AB$1004,$A$46)&gt;0,1,0))</f>
        <v/>
      </c>
      <c r="CC121">
        <f>IF($O121="",0,IF(COUNTIFS(업무일지!$F$5:$F$1004,$O121,업무일지!$B$5:$B$1004,"&gt;="&amp;DATE($B$3,1,1),업무일지!$B$5:$B$1004,"&lt;"&amp;DATE($B$3+1,1,1),업무일지!$AB$5:$AB$1004,$A$47)&gt;0,1,0))</f>
        <v/>
      </c>
      <c r="CD121">
        <f>IF($O121="",0,IF(COUNTIFS(업무일지!$F$5:$F$1004,$O121,업무일지!$B$5:$B$1004,"&gt;="&amp;DATE($B$3,1,1),업무일지!$B$5:$B$1004,"&lt;"&amp;DATE($B$3+1,1,1),업무일지!$AB$5:$AB$1004,$A$48)&gt;0,1,0))</f>
        <v/>
      </c>
      <c r="CE121">
        <f>IF($O121="",0,IF(COUNTIFS(업무일지!$F$5:$F$1004,$O121,업무일지!$B$5:$B$1004,"&gt;="&amp;DATE($B$3,1,1),업무일지!$B$5:$B$1004,"&lt;"&amp;DATE($B$3+1,1,1),업무일지!$AB$5:$AB$1004,$A$49)&gt;0,1,0))</f>
        <v/>
      </c>
      <c r="CF121">
        <f>IF($O121="",0,IF(COUNTIFS(업무일지!$F$5:$F$1004,$O121,업무일지!$B$5:$B$1004,"&gt;="&amp;DATE($B$3,1,1),업무일지!$B$5:$B$1004,"&lt;"&amp;DATE($B$3+1,1,1),업무일지!$AB$5:$AB$1004,$A$50)&gt;0,1,0))</f>
        <v/>
      </c>
      <c r="CG121">
        <f>IF($O121="",0,IF(COUNTIFS(업무일지!$F$5:$F$1004,$O121,업무일지!$B$5:$B$1004,"&gt;="&amp;DATE($B$3,1,1),업무일지!$B$5:$B$1004,"&lt;"&amp;DATE($B$3+1,1,1),업무일지!$AB$5:$AB$1004,$A$51)&gt;0,1,0))</f>
        <v/>
      </c>
      <c r="CH121">
        <f>IF($O121="",0,IF(COUNTIFS(업무일지!$F$5:$F$1004,$O121,업무일지!$B$5:$B$1004,"&gt;="&amp;DATE($B$3,1,1),업무일지!$B$5:$B$1004,"&lt;"&amp;DATE($B$3+1,1,1),업무일지!$AB$5:$AB$1004,$A$52)&gt;0,1,0))</f>
        <v/>
      </c>
      <c r="CI121">
        <f>IF($O121="",0,IF(COUNTIFS(업무일지!$F$5:$F$1004,$O121,업무일지!$B$5:$B$1004,"&gt;="&amp;DATE($B$3,1,1),업무일지!$B$5:$B$1004,"&lt;"&amp;DATE($B$3+1,1,1),업무일지!$AB$5:$AB$1004,$A$53)&gt;0,1,0))</f>
        <v/>
      </c>
    </row>
    <row r="122">
      <c r="O122">
        <f>IF(사건마스터!$A42="","",사건마스터!$A42)</f>
        <v/>
      </c>
      <c r="P122">
        <f>IF($O122="",0,IF(COUNTIFS(업무일지!$F$5:$F$1004,$O122,업무일지!$B$5:$B$1004,"&gt;="&amp;DATE($B$3,1,1),업무일지!$B$5:$B$1004,"&lt;"&amp;DATE($B$3,1+1,1),업무일지!$D$5:$D$1004,"출장")&gt;0,1,0))</f>
        <v/>
      </c>
      <c r="Q122">
        <f>IF($O122="",0,IF(COUNTIFS(업무일지!$F$5:$F$1004,$O122,업무일지!$B$5:$B$1004,"&gt;="&amp;DATE($B$3,2,1),업무일지!$B$5:$B$1004,"&lt;"&amp;DATE($B$3,2+1,1),업무일지!$D$5:$D$1004,"출장")&gt;0,1,0))</f>
        <v/>
      </c>
      <c r="R122">
        <f>IF($O122="",0,IF(COUNTIFS(업무일지!$F$5:$F$1004,$O122,업무일지!$B$5:$B$1004,"&gt;="&amp;DATE($B$3,3,1),업무일지!$B$5:$B$1004,"&lt;"&amp;DATE($B$3,3+1,1),업무일지!$D$5:$D$1004,"출장")&gt;0,1,0))</f>
        <v/>
      </c>
      <c r="S122">
        <f>IF($O122="",0,IF(COUNTIFS(업무일지!$F$5:$F$1004,$O122,업무일지!$B$5:$B$1004,"&gt;="&amp;DATE($B$3,4,1),업무일지!$B$5:$B$1004,"&lt;"&amp;DATE($B$3,4+1,1),업무일지!$D$5:$D$1004,"출장")&gt;0,1,0))</f>
        <v/>
      </c>
      <c r="T122">
        <f>IF($O122="",0,IF(COUNTIFS(업무일지!$F$5:$F$1004,$O122,업무일지!$B$5:$B$1004,"&gt;="&amp;DATE($B$3,5,1),업무일지!$B$5:$B$1004,"&lt;"&amp;DATE($B$3,5+1,1),업무일지!$D$5:$D$1004,"출장")&gt;0,1,0))</f>
        <v/>
      </c>
      <c r="U122">
        <f>IF($O122="",0,IF(COUNTIFS(업무일지!$F$5:$F$1004,$O122,업무일지!$B$5:$B$1004,"&gt;="&amp;DATE($B$3,6,1),업무일지!$B$5:$B$1004,"&lt;"&amp;DATE($B$3,6+1,1),업무일지!$D$5:$D$1004,"출장")&gt;0,1,0))</f>
        <v/>
      </c>
      <c r="V122">
        <f>IF($O122="",0,IF(COUNTIFS(업무일지!$F$5:$F$1004,$O122,업무일지!$B$5:$B$1004,"&gt;="&amp;DATE($B$3,7,1),업무일지!$B$5:$B$1004,"&lt;"&amp;DATE($B$3,7+1,1),업무일지!$D$5:$D$1004,"출장")&gt;0,1,0))</f>
        <v/>
      </c>
      <c r="W122">
        <f>IF($O122="",0,IF(COUNTIFS(업무일지!$F$5:$F$1004,$O122,업무일지!$B$5:$B$1004,"&gt;="&amp;DATE($B$3,8,1),업무일지!$B$5:$B$1004,"&lt;"&amp;DATE($B$3,8+1,1),업무일지!$D$5:$D$1004,"출장")&gt;0,1,0))</f>
        <v/>
      </c>
      <c r="X122">
        <f>IF($O122="",0,IF(COUNTIFS(업무일지!$F$5:$F$1004,$O122,업무일지!$B$5:$B$1004,"&gt;="&amp;DATE($B$3,9,1),업무일지!$B$5:$B$1004,"&lt;"&amp;DATE($B$3,9+1,1),업무일지!$D$5:$D$1004,"출장")&gt;0,1,0))</f>
        <v/>
      </c>
      <c r="Y122">
        <f>IF($O122="",0,IF(COUNTIFS(업무일지!$F$5:$F$1004,$O122,업무일지!$B$5:$B$1004,"&gt;="&amp;DATE($B$3,10,1),업무일지!$B$5:$B$1004,"&lt;"&amp;DATE($B$3,10+1,1),업무일지!$D$5:$D$1004,"출장")&gt;0,1,0))</f>
        <v/>
      </c>
      <c r="Z122">
        <f>IF($O122="",0,IF(COUNTIFS(업무일지!$F$5:$F$1004,$O122,업무일지!$B$5:$B$1004,"&gt;="&amp;DATE($B$3,11,1),업무일지!$B$5:$B$1004,"&lt;"&amp;DATE($B$3,11+1,1),업무일지!$D$5:$D$1004,"출장")&gt;0,1,0))</f>
        <v/>
      </c>
      <c r="AA122">
        <f>IF($O122="",0,IF(COUNTIFS(업무일지!$F$5:$F$1004,$O122,업무일지!$B$5:$B$1004,"&gt;="&amp;DATE($B$3,12,1),업무일지!$B$5:$B$1004,"&lt;"&amp;DATE($B$3,12+1,1),업무일지!$D$5:$D$1004,"출장")&gt;0,1,0))</f>
        <v/>
      </c>
      <c r="AB122">
        <f>IF($O122="",0,IF(COUNTIFS(업무일지!$F$5:$F$1004,$O122,업무일지!$B$5:$B$1004,"&gt;="&amp;DATE($B$3,1,1),업무일지!$B$5:$B$1004,"&lt;"&amp;DATE($B$3,1+1,1),업무일지!$D$5:$D$1004,"분석")&gt;0,1,0))</f>
        <v/>
      </c>
      <c r="AC122">
        <f>IF($O122="",0,IF(COUNTIFS(업무일지!$F$5:$F$1004,$O122,업무일지!$B$5:$B$1004,"&gt;="&amp;DATE($B$3,2,1),업무일지!$B$5:$B$1004,"&lt;"&amp;DATE($B$3,2+1,1),업무일지!$D$5:$D$1004,"분석")&gt;0,1,0))</f>
        <v/>
      </c>
      <c r="AD122">
        <f>IF($O122="",0,IF(COUNTIFS(업무일지!$F$5:$F$1004,$O122,업무일지!$B$5:$B$1004,"&gt;="&amp;DATE($B$3,3,1),업무일지!$B$5:$B$1004,"&lt;"&amp;DATE($B$3,3+1,1),업무일지!$D$5:$D$1004,"분석")&gt;0,1,0))</f>
        <v/>
      </c>
      <c r="AE122">
        <f>IF($O122="",0,IF(COUNTIFS(업무일지!$F$5:$F$1004,$O122,업무일지!$B$5:$B$1004,"&gt;="&amp;DATE($B$3,4,1),업무일지!$B$5:$B$1004,"&lt;"&amp;DATE($B$3,4+1,1),업무일지!$D$5:$D$1004,"분석")&gt;0,1,0))</f>
        <v/>
      </c>
      <c r="AF122">
        <f>IF($O122="",0,IF(COUNTIFS(업무일지!$F$5:$F$1004,$O122,업무일지!$B$5:$B$1004,"&gt;="&amp;DATE($B$3,5,1),업무일지!$B$5:$B$1004,"&lt;"&amp;DATE($B$3,5+1,1),업무일지!$D$5:$D$1004,"분석")&gt;0,1,0))</f>
        <v/>
      </c>
      <c r="AG122">
        <f>IF($O122="",0,IF(COUNTIFS(업무일지!$F$5:$F$1004,$O122,업무일지!$B$5:$B$1004,"&gt;="&amp;DATE($B$3,6,1),업무일지!$B$5:$B$1004,"&lt;"&amp;DATE($B$3,6+1,1),업무일지!$D$5:$D$1004,"분석")&gt;0,1,0))</f>
        <v/>
      </c>
      <c r="AH122">
        <f>IF($O122="",0,IF(COUNTIFS(업무일지!$F$5:$F$1004,$O122,업무일지!$B$5:$B$1004,"&gt;="&amp;DATE($B$3,7,1),업무일지!$B$5:$B$1004,"&lt;"&amp;DATE($B$3,7+1,1),업무일지!$D$5:$D$1004,"분석")&gt;0,1,0))</f>
        <v/>
      </c>
      <c r="AI122">
        <f>IF($O122="",0,IF(COUNTIFS(업무일지!$F$5:$F$1004,$O122,업무일지!$B$5:$B$1004,"&gt;="&amp;DATE($B$3,8,1),업무일지!$B$5:$B$1004,"&lt;"&amp;DATE($B$3,8+1,1),업무일지!$D$5:$D$1004,"분석")&gt;0,1,0))</f>
        <v/>
      </c>
      <c r="AJ122">
        <f>IF($O122="",0,IF(COUNTIFS(업무일지!$F$5:$F$1004,$O122,업무일지!$B$5:$B$1004,"&gt;="&amp;DATE($B$3,9,1),업무일지!$B$5:$B$1004,"&lt;"&amp;DATE($B$3,9+1,1),업무일지!$D$5:$D$1004,"분석")&gt;0,1,0))</f>
        <v/>
      </c>
      <c r="AK122">
        <f>IF($O122="",0,IF(COUNTIFS(업무일지!$F$5:$F$1004,$O122,업무일지!$B$5:$B$1004,"&gt;="&amp;DATE($B$3,10,1),업무일지!$B$5:$B$1004,"&lt;"&amp;DATE($B$3,10+1,1),업무일지!$D$5:$D$1004,"분석")&gt;0,1,0))</f>
        <v/>
      </c>
      <c r="AL122">
        <f>IF($O122="",0,IF(COUNTIFS(업무일지!$F$5:$F$1004,$O122,업무일지!$B$5:$B$1004,"&gt;="&amp;DATE($B$3,11,1),업무일지!$B$5:$B$1004,"&lt;"&amp;DATE($B$3,11+1,1),업무일지!$D$5:$D$1004,"분석")&gt;0,1,0))</f>
        <v/>
      </c>
      <c r="AM122">
        <f>IF($O122="",0,IF(COUNTIFS(업무일지!$F$5:$F$1004,$O122,업무일지!$B$5:$B$1004,"&gt;="&amp;DATE($B$3,12,1),업무일지!$B$5:$B$1004,"&lt;"&amp;DATE($B$3,12+1,1),업무일지!$D$5:$D$1004,"분석")&gt;0,1,0))</f>
        <v/>
      </c>
      <c r="AN122">
        <f>IF($O122="",0,IF(COUNTIFS(업무일지!$F$5:$F$1004,$O122,업무일지!$B$5:$B$1004,"&gt;="&amp;DATE($B$3,1,1),업무일지!$B$5:$B$1004,"&lt;"&amp;DATE($B$3,1+1,1))&gt;0,1,0))</f>
        <v/>
      </c>
      <c r="AO122">
        <f>IF($O122="",0,IF(COUNTIFS(업무일지!$F$5:$F$1004,$O122,업무일지!$B$5:$B$1004,"&gt;="&amp;DATE($B$3,2,1),업무일지!$B$5:$B$1004,"&lt;"&amp;DATE($B$3,2+1,1))&gt;0,1,0))</f>
        <v/>
      </c>
      <c r="AP122">
        <f>IF($O122="",0,IF(COUNTIFS(업무일지!$F$5:$F$1004,$O122,업무일지!$B$5:$B$1004,"&gt;="&amp;DATE($B$3,3,1),업무일지!$B$5:$B$1004,"&lt;"&amp;DATE($B$3,3+1,1))&gt;0,1,0))</f>
        <v/>
      </c>
      <c r="AQ122">
        <f>IF($O122="",0,IF(COUNTIFS(업무일지!$F$5:$F$1004,$O122,업무일지!$B$5:$B$1004,"&gt;="&amp;DATE($B$3,4,1),업무일지!$B$5:$B$1004,"&lt;"&amp;DATE($B$3,4+1,1))&gt;0,1,0))</f>
        <v/>
      </c>
      <c r="AR122">
        <f>IF($O122="",0,IF(COUNTIFS(업무일지!$F$5:$F$1004,$O122,업무일지!$B$5:$B$1004,"&gt;="&amp;DATE($B$3,5,1),업무일지!$B$5:$B$1004,"&lt;"&amp;DATE($B$3,5+1,1))&gt;0,1,0))</f>
        <v/>
      </c>
      <c r="AS122">
        <f>IF($O122="",0,IF(COUNTIFS(업무일지!$F$5:$F$1004,$O122,업무일지!$B$5:$B$1004,"&gt;="&amp;DATE($B$3,6,1),업무일지!$B$5:$B$1004,"&lt;"&amp;DATE($B$3,6+1,1))&gt;0,1,0))</f>
        <v/>
      </c>
      <c r="AT122">
        <f>IF($O122="",0,IF(COUNTIFS(업무일지!$F$5:$F$1004,$O122,업무일지!$B$5:$B$1004,"&gt;="&amp;DATE($B$3,7,1),업무일지!$B$5:$B$1004,"&lt;"&amp;DATE($B$3,7+1,1))&gt;0,1,0))</f>
        <v/>
      </c>
      <c r="AU122">
        <f>IF($O122="",0,IF(COUNTIFS(업무일지!$F$5:$F$1004,$O122,업무일지!$B$5:$B$1004,"&gt;="&amp;DATE($B$3,8,1),업무일지!$B$5:$B$1004,"&lt;"&amp;DATE($B$3,8+1,1))&gt;0,1,0))</f>
        <v/>
      </c>
      <c r="AV122">
        <f>IF($O122="",0,IF(COUNTIFS(업무일지!$F$5:$F$1004,$O122,업무일지!$B$5:$B$1004,"&gt;="&amp;DATE($B$3,9,1),업무일지!$B$5:$B$1004,"&lt;"&amp;DATE($B$3,9+1,1))&gt;0,1,0))</f>
        <v/>
      </c>
      <c r="AW122">
        <f>IF($O122="",0,IF(COUNTIFS(업무일지!$F$5:$F$1004,$O122,업무일지!$B$5:$B$1004,"&gt;="&amp;DATE($B$3,10,1),업무일지!$B$5:$B$1004,"&lt;"&amp;DATE($B$3,10+1,1))&gt;0,1,0))</f>
        <v/>
      </c>
      <c r="AX122">
        <f>IF($O122="",0,IF(COUNTIFS(업무일지!$F$5:$F$1004,$O122,업무일지!$B$5:$B$1004,"&gt;="&amp;DATE($B$3,11,1),업무일지!$B$5:$B$1004,"&lt;"&amp;DATE($B$3,11+1,1))&gt;0,1,0))</f>
        <v/>
      </c>
      <c r="AY122">
        <f>IF($O122="",0,IF(COUNTIFS(업무일지!$F$5:$F$1004,$O122,업무일지!$B$5:$B$1004,"&gt;="&amp;DATE($B$3,12,1),업무일지!$B$5:$B$1004,"&lt;"&amp;DATE($B$3,12+1,1))&gt;0,1,0))</f>
        <v/>
      </c>
      <c r="AZ122">
        <f>IF($O122="",0,IF(COUNTIFS(업무일지!$F$5:$F$1004,$O122,업무일지!$B$5:$B$1004,"&gt;="&amp;DATE($B$3,1,1),업무일지!$B$5:$B$1004,"&lt;"&amp;DATE($B$3+1,1,1),업무일지!$D$5:$D$1004,"출장")&gt;0,1,0))</f>
        <v/>
      </c>
      <c r="BA122">
        <f>IF($O122="",0,IF(COUNTIFS(업무일지!$F$5:$F$1004,$O122,업무일지!$B$5:$B$1004,"&gt;="&amp;DATE($B$3,1,1),업무일지!$B$5:$B$1004,"&lt;"&amp;DATE($B$3+1,1,1),업무일지!$D$5:$D$1004,"분석")&gt;0,1,0))</f>
        <v/>
      </c>
      <c r="BB122">
        <f>IF($O122="",0,IF(COUNTIFS(업무일지!$F$5:$F$1004,$O122,업무일지!$B$5:$B$1004,"&gt;="&amp;DATE($B$3,1,1),업무일지!$B$5:$B$1004,"&lt;"&amp;DATE($B$3+1,1,1))&gt;0,1,0))</f>
        <v/>
      </c>
      <c r="BD122">
        <f>IF($O122="",0,IF(COUNTIFS(업무일지!$F$5:$F$1004,$O122,업무일지!$B$5:$B$1004,"&gt;="&amp;DATE($B$3,1,1),업무일지!$B$5:$B$1004,"&lt;"&amp;DATE($B$3+1,1,1),업무일지!$AB$5:$AB$1004,$A$44,업무일지!$D$5:$D$1004,"출장")&gt;0,1,0))</f>
        <v/>
      </c>
      <c r="BE122">
        <f>IF($O122="",0,IF(COUNTIFS(업무일지!$F$5:$F$1004,$O122,업무일지!$B$5:$B$1004,"&gt;="&amp;DATE($B$3,1,1),업무일지!$B$5:$B$1004,"&lt;"&amp;DATE($B$3+1,1,1),업무일지!$AB$5:$AB$1004,$A$45,업무일지!$D$5:$D$1004,"출장")&gt;0,1,0))</f>
        <v/>
      </c>
      <c r="BF122">
        <f>IF($O122="",0,IF(COUNTIFS(업무일지!$F$5:$F$1004,$O122,업무일지!$B$5:$B$1004,"&gt;="&amp;DATE($B$3,1,1),업무일지!$B$5:$B$1004,"&lt;"&amp;DATE($B$3+1,1,1),업무일지!$AB$5:$AB$1004,$A$46,업무일지!$D$5:$D$1004,"출장")&gt;0,1,0))</f>
        <v/>
      </c>
      <c r="BG122">
        <f>IF($O122="",0,IF(COUNTIFS(업무일지!$F$5:$F$1004,$O122,업무일지!$B$5:$B$1004,"&gt;="&amp;DATE($B$3,1,1),업무일지!$B$5:$B$1004,"&lt;"&amp;DATE($B$3+1,1,1),업무일지!$AB$5:$AB$1004,$A$47,업무일지!$D$5:$D$1004,"출장")&gt;0,1,0))</f>
        <v/>
      </c>
      <c r="BH122">
        <f>IF($O122="",0,IF(COUNTIFS(업무일지!$F$5:$F$1004,$O122,업무일지!$B$5:$B$1004,"&gt;="&amp;DATE($B$3,1,1),업무일지!$B$5:$B$1004,"&lt;"&amp;DATE($B$3+1,1,1),업무일지!$AB$5:$AB$1004,$A$48,업무일지!$D$5:$D$1004,"출장")&gt;0,1,0))</f>
        <v/>
      </c>
      <c r="BI122">
        <f>IF($O122="",0,IF(COUNTIFS(업무일지!$F$5:$F$1004,$O122,업무일지!$B$5:$B$1004,"&gt;="&amp;DATE($B$3,1,1),업무일지!$B$5:$B$1004,"&lt;"&amp;DATE($B$3+1,1,1),업무일지!$AB$5:$AB$1004,$A$49,업무일지!$D$5:$D$1004,"출장")&gt;0,1,0))</f>
        <v/>
      </c>
      <c r="BJ122">
        <f>IF($O122="",0,IF(COUNTIFS(업무일지!$F$5:$F$1004,$O122,업무일지!$B$5:$B$1004,"&gt;="&amp;DATE($B$3,1,1),업무일지!$B$5:$B$1004,"&lt;"&amp;DATE($B$3+1,1,1),업무일지!$AB$5:$AB$1004,$A$50,업무일지!$D$5:$D$1004,"출장")&gt;0,1,0))</f>
        <v/>
      </c>
      <c r="BK122">
        <f>IF($O122="",0,IF(COUNTIFS(업무일지!$F$5:$F$1004,$O122,업무일지!$B$5:$B$1004,"&gt;="&amp;DATE($B$3,1,1),업무일지!$B$5:$B$1004,"&lt;"&amp;DATE($B$3+1,1,1),업무일지!$AB$5:$AB$1004,$A$51,업무일지!$D$5:$D$1004,"출장")&gt;0,1,0))</f>
        <v/>
      </c>
      <c r="BL122">
        <f>IF($O122="",0,IF(COUNTIFS(업무일지!$F$5:$F$1004,$O122,업무일지!$B$5:$B$1004,"&gt;="&amp;DATE($B$3,1,1),업무일지!$B$5:$B$1004,"&lt;"&amp;DATE($B$3+1,1,1),업무일지!$AB$5:$AB$1004,$A$52,업무일지!$D$5:$D$1004,"출장")&gt;0,1,0))</f>
        <v/>
      </c>
      <c r="BM122">
        <f>IF($O122="",0,IF(COUNTIFS(업무일지!$F$5:$F$1004,$O122,업무일지!$B$5:$B$1004,"&gt;="&amp;DATE($B$3,1,1),업무일지!$B$5:$B$1004,"&lt;"&amp;DATE($B$3+1,1,1),업무일지!$AB$5:$AB$1004,$A$53,업무일지!$D$5:$D$1004,"출장")&gt;0,1,0))</f>
        <v/>
      </c>
      <c r="BO122">
        <f>IF($O122="",0,IF(COUNTIFS(업무일지!$F$5:$F$1004,$O122,업무일지!$B$5:$B$1004,"&gt;="&amp;DATE($B$3,1,1),업무일지!$B$5:$B$1004,"&lt;"&amp;DATE($B$3+1,1,1),업무일지!$AB$5:$AB$1004,$A$44,업무일지!$D$5:$D$1004,"분석")&gt;0,1,0))</f>
        <v/>
      </c>
      <c r="BP122">
        <f>IF($O122="",0,IF(COUNTIFS(업무일지!$F$5:$F$1004,$O122,업무일지!$B$5:$B$1004,"&gt;="&amp;DATE($B$3,1,1),업무일지!$B$5:$B$1004,"&lt;"&amp;DATE($B$3+1,1,1),업무일지!$AB$5:$AB$1004,$A$45,업무일지!$D$5:$D$1004,"분석")&gt;0,1,0))</f>
        <v/>
      </c>
      <c r="BQ122">
        <f>IF($O122="",0,IF(COUNTIFS(업무일지!$F$5:$F$1004,$O122,업무일지!$B$5:$B$1004,"&gt;="&amp;DATE($B$3,1,1),업무일지!$B$5:$B$1004,"&lt;"&amp;DATE($B$3+1,1,1),업무일지!$AB$5:$AB$1004,$A$46,업무일지!$D$5:$D$1004,"분석")&gt;0,1,0))</f>
        <v/>
      </c>
      <c r="BR122">
        <f>IF($O122="",0,IF(COUNTIFS(업무일지!$F$5:$F$1004,$O122,업무일지!$B$5:$B$1004,"&gt;="&amp;DATE($B$3,1,1),업무일지!$B$5:$B$1004,"&lt;"&amp;DATE($B$3+1,1,1),업무일지!$AB$5:$AB$1004,$A$47,업무일지!$D$5:$D$1004,"분석")&gt;0,1,0))</f>
        <v/>
      </c>
      <c r="BS122">
        <f>IF($O122="",0,IF(COUNTIFS(업무일지!$F$5:$F$1004,$O122,업무일지!$B$5:$B$1004,"&gt;="&amp;DATE($B$3,1,1),업무일지!$B$5:$B$1004,"&lt;"&amp;DATE($B$3+1,1,1),업무일지!$AB$5:$AB$1004,$A$48,업무일지!$D$5:$D$1004,"분석")&gt;0,1,0))</f>
        <v/>
      </c>
      <c r="BT122">
        <f>IF($O122="",0,IF(COUNTIFS(업무일지!$F$5:$F$1004,$O122,업무일지!$B$5:$B$1004,"&gt;="&amp;DATE($B$3,1,1),업무일지!$B$5:$B$1004,"&lt;"&amp;DATE($B$3+1,1,1),업무일지!$AB$5:$AB$1004,$A$49,업무일지!$D$5:$D$1004,"분석")&gt;0,1,0))</f>
        <v/>
      </c>
      <c r="BU122">
        <f>IF($O122="",0,IF(COUNTIFS(업무일지!$F$5:$F$1004,$O122,업무일지!$B$5:$B$1004,"&gt;="&amp;DATE($B$3,1,1),업무일지!$B$5:$B$1004,"&lt;"&amp;DATE($B$3+1,1,1),업무일지!$AB$5:$AB$1004,$A$50,업무일지!$D$5:$D$1004,"분석")&gt;0,1,0))</f>
        <v/>
      </c>
      <c r="BV122">
        <f>IF($O122="",0,IF(COUNTIFS(업무일지!$F$5:$F$1004,$O122,업무일지!$B$5:$B$1004,"&gt;="&amp;DATE($B$3,1,1),업무일지!$B$5:$B$1004,"&lt;"&amp;DATE($B$3+1,1,1),업무일지!$AB$5:$AB$1004,$A$51,업무일지!$D$5:$D$1004,"분석")&gt;0,1,0))</f>
        <v/>
      </c>
      <c r="BW122">
        <f>IF($O122="",0,IF(COUNTIFS(업무일지!$F$5:$F$1004,$O122,업무일지!$B$5:$B$1004,"&gt;="&amp;DATE($B$3,1,1),업무일지!$B$5:$B$1004,"&lt;"&amp;DATE($B$3+1,1,1),업무일지!$AB$5:$AB$1004,$A$52,업무일지!$D$5:$D$1004,"분석")&gt;0,1,0))</f>
        <v/>
      </c>
      <c r="BX122">
        <f>IF($O122="",0,IF(COUNTIFS(업무일지!$F$5:$F$1004,$O122,업무일지!$B$5:$B$1004,"&gt;="&amp;DATE($B$3,1,1),업무일지!$B$5:$B$1004,"&lt;"&amp;DATE($B$3+1,1,1),업무일지!$AB$5:$AB$1004,$A$53,업무일지!$D$5:$D$1004,"분석")&gt;0,1,0))</f>
        <v/>
      </c>
      <c r="BZ122">
        <f>IF($O122="",0,IF(COUNTIFS(업무일지!$F$5:$F$1004,$O122,업무일지!$B$5:$B$1004,"&gt;="&amp;DATE($B$3,1,1),업무일지!$B$5:$B$1004,"&lt;"&amp;DATE($B$3+1,1,1),업무일지!$AB$5:$AB$1004,$A$44)&gt;0,1,0))</f>
        <v/>
      </c>
      <c r="CA122">
        <f>IF($O122="",0,IF(COUNTIFS(업무일지!$F$5:$F$1004,$O122,업무일지!$B$5:$B$1004,"&gt;="&amp;DATE($B$3,1,1),업무일지!$B$5:$B$1004,"&lt;"&amp;DATE($B$3+1,1,1),업무일지!$AB$5:$AB$1004,$A$45)&gt;0,1,0))</f>
        <v/>
      </c>
      <c r="CB122">
        <f>IF($O122="",0,IF(COUNTIFS(업무일지!$F$5:$F$1004,$O122,업무일지!$B$5:$B$1004,"&gt;="&amp;DATE($B$3,1,1),업무일지!$B$5:$B$1004,"&lt;"&amp;DATE($B$3+1,1,1),업무일지!$AB$5:$AB$1004,$A$46)&gt;0,1,0))</f>
        <v/>
      </c>
      <c r="CC122">
        <f>IF($O122="",0,IF(COUNTIFS(업무일지!$F$5:$F$1004,$O122,업무일지!$B$5:$B$1004,"&gt;="&amp;DATE($B$3,1,1),업무일지!$B$5:$B$1004,"&lt;"&amp;DATE($B$3+1,1,1),업무일지!$AB$5:$AB$1004,$A$47)&gt;0,1,0))</f>
        <v/>
      </c>
      <c r="CD122">
        <f>IF($O122="",0,IF(COUNTIFS(업무일지!$F$5:$F$1004,$O122,업무일지!$B$5:$B$1004,"&gt;="&amp;DATE($B$3,1,1),업무일지!$B$5:$B$1004,"&lt;"&amp;DATE($B$3+1,1,1),업무일지!$AB$5:$AB$1004,$A$48)&gt;0,1,0))</f>
        <v/>
      </c>
      <c r="CE122">
        <f>IF($O122="",0,IF(COUNTIFS(업무일지!$F$5:$F$1004,$O122,업무일지!$B$5:$B$1004,"&gt;="&amp;DATE($B$3,1,1),업무일지!$B$5:$B$1004,"&lt;"&amp;DATE($B$3+1,1,1),업무일지!$AB$5:$AB$1004,$A$49)&gt;0,1,0))</f>
        <v/>
      </c>
      <c r="CF122">
        <f>IF($O122="",0,IF(COUNTIFS(업무일지!$F$5:$F$1004,$O122,업무일지!$B$5:$B$1004,"&gt;="&amp;DATE($B$3,1,1),업무일지!$B$5:$B$1004,"&lt;"&amp;DATE($B$3+1,1,1),업무일지!$AB$5:$AB$1004,$A$50)&gt;0,1,0))</f>
        <v/>
      </c>
      <c r="CG122">
        <f>IF($O122="",0,IF(COUNTIFS(업무일지!$F$5:$F$1004,$O122,업무일지!$B$5:$B$1004,"&gt;="&amp;DATE($B$3,1,1),업무일지!$B$5:$B$1004,"&lt;"&amp;DATE($B$3+1,1,1),업무일지!$AB$5:$AB$1004,$A$51)&gt;0,1,0))</f>
        <v/>
      </c>
      <c r="CH122">
        <f>IF($O122="",0,IF(COUNTIFS(업무일지!$F$5:$F$1004,$O122,업무일지!$B$5:$B$1004,"&gt;="&amp;DATE($B$3,1,1),업무일지!$B$5:$B$1004,"&lt;"&amp;DATE($B$3+1,1,1),업무일지!$AB$5:$AB$1004,$A$52)&gt;0,1,0))</f>
        <v/>
      </c>
      <c r="CI122">
        <f>IF($O122="",0,IF(COUNTIFS(업무일지!$F$5:$F$1004,$O122,업무일지!$B$5:$B$1004,"&gt;="&amp;DATE($B$3,1,1),업무일지!$B$5:$B$1004,"&lt;"&amp;DATE($B$3+1,1,1),업무일지!$AB$5:$AB$1004,$A$53)&gt;0,1,0))</f>
        <v/>
      </c>
    </row>
    <row r="123">
      <c r="O123">
        <f>IF(사건마스터!$A43="","",사건마스터!$A43)</f>
        <v/>
      </c>
      <c r="P123">
        <f>IF($O123="",0,IF(COUNTIFS(업무일지!$F$5:$F$1004,$O123,업무일지!$B$5:$B$1004,"&gt;="&amp;DATE($B$3,1,1),업무일지!$B$5:$B$1004,"&lt;"&amp;DATE($B$3,1+1,1),업무일지!$D$5:$D$1004,"출장")&gt;0,1,0))</f>
        <v/>
      </c>
      <c r="Q123">
        <f>IF($O123="",0,IF(COUNTIFS(업무일지!$F$5:$F$1004,$O123,업무일지!$B$5:$B$1004,"&gt;="&amp;DATE($B$3,2,1),업무일지!$B$5:$B$1004,"&lt;"&amp;DATE($B$3,2+1,1),업무일지!$D$5:$D$1004,"출장")&gt;0,1,0))</f>
        <v/>
      </c>
      <c r="R123">
        <f>IF($O123="",0,IF(COUNTIFS(업무일지!$F$5:$F$1004,$O123,업무일지!$B$5:$B$1004,"&gt;="&amp;DATE($B$3,3,1),업무일지!$B$5:$B$1004,"&lt;"&amp;DATE($B$3,3+1,1),업무일지!$D$5:$D$1004,"출장")&gt;0,1,0))</f>
        <v/>
      </c>
      <c r="S123">
        <f>IF($O123="",0,IF(COUNTIFS(업무일지!$F$5:$F$1004,$O123,업무일지!$B$5:$B$1004,"&gt;="&amp;DATE($B$3,4,1),업무일지!$B$5:$B$1004,"&lt;"&amp;DATE($B$3,4+1,1),업무일지!$D$5:$D$1004,"출장")&gt;0,1,0))</f>
        <v/>
      </c>
      <c r="T123">
        <f>IF($O123="",0,IF(COUNTIFS(업무일지!$F$5:$F$1004,$O123,업무일지!$B$5:$B$1004,"&gt;="&amp;DATE($B$3,5,1),업무일지!$B$5:$B$1004,"&lt;"&amp;DATE($B$3,5+1,1),업무일지!$D$5:$D$1004,"출장")&gt;0,1,0))</f>
        <v/>
      </c>
      <c r="U123">
        <f>IF($O123="",0,IF(COUNTIFS(업무일지!$F$5:$F$1004,$O123,업무일지!$B$5:$B$1004,"&gt;="&amp;DATE($B$3,6,1),업무일지!$B$5:$B$1004,"&lt;"&amp;DATE($B$3,6+1,1),업무일지!$D$5:$D$1004,"출장")&gt;0,1,0))</f>
        <v/>
      </c>
      <c r="V123">
        <f>IF($O123="",0,IF(COUNTIFS(업무일지!$F$5:$F$1004,$O123,업무일지!$B$5:$B$1004,"&gt;="&amp;DATE($B$3,7,1),업무일지!$B$5:$B$1004,"&lt;"&amp;DATE($B$3,7+1,1),업무일지!$D$5:$D$1004,"출장")&gt;0,1,0))</f>
        <v/>
      </c>
      <c r="W123">
        <f>IF($O123="",0,IF(COUNTIFS(업무일지!$F$5:$F$1004,$O123,업무일지!$B$5:$B$1004,"&gt;="&amp;DATE($B$3,8,1),업무일지!$B$5:$B$1004,"&lt;"&amp;DATE($B$3,8+1,1),업무일지!$D$5:$D$1004,"출장")&gt;0,1,0))</f>
        <v/>
      </c>
      <c r="X123">
        <f>IF($O123="",0,IF(COUNTIFS(업무일지!$F$5:$F$1004,$O123,업무일지!$B$5:$B$1004,"&gt;="&amp;DATE($B$3,9,1),업무일지!$B$5:$B$1004,"&lt;"&amp;DATE($B$3,9+1,1),업무일지!$D$5:$D$1004,"출장")&gt;0,1,0))</f>
        <v/>
      </c>
      <c r="Y123">
        <f>IF($O123="",0,IF(COUNTIFS(업무일지!$F$5:$F$1004,$O123,업무일지!$B$5:$B$1004,"&gt;="&amp;DATE($B$3,10,1),업무일지!$B$5:$B$1004,"&lt;"&amp;DATE($B$3,10+1,1),업무일지!$D$5:$D$1004,"출장")&gt;0,1,0))</f>
        <v/>
      </c>
      <c r="Z123">
        <f>IF($O123="",0,IF(COUNTIFS(업무일지!$F$5:$F$1004,$O123,업무일지!$B$5:$B$1004,"&gt;="&amp;DATE($B$3,11,1),업무일지!$B$5:$B$1004,"&lt;"&amp;DATE($B$3,11+1,1),업무일지!$D$5:$D$1004,"출장")&gt;0,1,0))</f>
        <v/>
      </c>
      <c r="AA123">
        <f>IF($O123="",0,IF(COUNTIFS(업무일지!$F$5:$F$1004,$O123,업무일지!$B$5:$B$1004,"&gt;="&amp;DATE($B$3,12,1),업무일지!$B$5:$B$1004,"&lt;"&amp;DATE($B$3,12+1,1),업무일지!$D$5:$D$1004,"출장")&gt;0,1,0))</f>
        <v/>
      </c>
      <c r="AB123">
        <f>IF($O123="",0,IF(COUNTIFS(업무일지!$F$5:$F$1004,$O123,업무일지!$B$5:$B$1004,"&gt;="&amp;DATE($B$3,1,1),업무일지!$B$5:$B$1004,"&lt;"&amp;DATE($B$3,1+1,1),업무일지!$D$5:$D$1004,"분석")&gt;0,1,0))</f>
        <v/>
      </c>
      <c r="AC123">
        <f>IF($O123="",0,IF(COUNTIFS(업무일지!$F$5:$F$1004,$O123,업무일지!$B$5:$B$1004,"&gt;="&amp;DATE($B$3,2,1),업무일지!$B$5:$B$1004,"&lt;"&amp;DATE($B$3,2+1,1),업무일지!$D$5:$D$1004,"분석")&gt;0,1,0))</f>
        <v/>
      </c>
      <c r="AD123">
        <f>IF($O123="",0,IF(COUNTIFS(업무일지!$F$5:$F$1004,$O123,업무일지!$B$5:$B$1004,"&gt;="&amp;DATE($B$3,3,1),업무일지!$B$5:$B$1004,"&lt;"&amp;DATE($B$3,3+1,1),업무일지!$D$5:$D$1004,"분석")&gt;0,1,0))</f>
        <v/>
      </c>
      <c r="AE123">
        <f>IF($O123="",0,IF(COUNTIFS(업무일지!$F$5:$F$1004,$O123,업무일지!$B$5:$B$1004,"&gt;="&amp;DATE($B$3,4,1),업무일지!$B$5:$B$1004,"&lt;"&amp;DATE($B$3,4+1,1),업무일지!$D$5:$D$1004,"분석")&gt;0,1,0))</f>
        <v/>
      </c>
      <c r="AF123">
        <f>IF($O123="",0,IF(COUNTIFS(업무일지!$F$5:$F$1004,$O123,업무일지!$B$5:$B$1004,"&gt;="&amp;DATE($B$3,5,1),업무일지!$B$5:$B$1004,"&lt;"&amp;DATE($B$3,5+1,1),업무일지!$D$5:$D$1004,"분석")&gt;0,1,0))</f>
        <v/>
      </c>
      <c r="AG123">
        <f>IF($O123="",0,IF(COUNTIFS(업무일지!$F$5:$F$1004,$O123,업무일지!$B$5:$B$1004,"&gt;="&amp;DATE($B$3,6,1),업무일지!$B$5:$B$1004,"&lt;"&amp;DATE($B$3,6+1,1),업무일지!$D$5:$D$1004,"분석")&gt;0,1,0))</f>
        <v/>
      </c>
      <c r="AH123">
        <f>IF($O123="",0,IF(COUNTIFS(업무일지!$F$5:$F$1004,$O123,업무일지!$B$5:$B$1004,"&gt;="&amp;DATE($B$3,7,1),업무일지!$B$5:$B$1004,"&lt;"&amp;DATE($B$3,7+1,1),업무일지!$D$5:$D$1004,"분석")&gt;0,1,0))</f>
        <v/>
      </c>
      <c r="AI123">
        <f>IF($O123="",0,IF(COUNTIFS(업무일지!$F$5:$F$1004,$O123,업무일지!$B$5:$B$1004,"&gt;="&amp;DATE($B$3,8,1),업무일지!$B$5:$B$1004,"&lt;"&amp;DATE($B$3,8+1,1),업무일지!$D$5:$D$1004,"분석")&gt;0,1,0))</f>
        <v/>
      </c>
      <c r="AJ123">
        <f>IF($O123="",0,IF(COUNTIFS(업무일지!$F$5:$F$1004,$O123,업무일지!$B$5:$B$1004,"&gt;="&amp;DATE($B$3,9,1),업무일지!$B$5:$B$1004,"&lt;"&amp;DATE($B$3,9+1,1),업무일지!$D$5:$D$1004,"분석")&gt;0,1,0))</f>
        <v/>
      </c>
      <c r="AK123">
        <f>IF($O123="",0,IF(COUNTIFS(업무일지!$F$5:$F$1004,$O123,업무일지!$B$5:$B$1004,"&gt;="&amp;DATE($B$3,10,1),업무일지!$B$5:$B$1004,"&lt;"&amp;DATE($B$3,10+1,1),업무일지!$D$5:$D$1004,"분석")&gt;0,1,0))</f>
        <v/>
      </c>
      <c r="AL123">
        <f>IF($O123="",0,IF(COUNTIFS(업무일지!$F$5:$F$1004,$O123,업무일지!$B$5:$B$1004,"&gt;="&amp;DATE($B$3,11,1),업무일지!$B$5:$B$1004,"&lt;"&amp;DATE($B$3,11+1,1),업무일지!$D$5:$D$1004,"분석")&gt;0,1,0))</f>
        <v/>
      </c>
      <c r="AM123">
        <f>IF($O123="",0,IF(COUNTIFS(업무일지!$F$5:$F$1004,$O123,업무일지!$B$5:$B$1004,"&gt;="&amp;DATE($B$3,12,1),업무일지!$B$5:$B$1004,"&lt;"&amp;DATE($B$3,12+1,1),업무일지!$D$5:$D$1004,"분석")&gt;0,1,0))</f>
        <v/>
      </c>
      <c r="AN123">
        <f>IF($O123="",0,IF(COUNTIFS(업무일지!$F$5:$F$1004,$O123,업무일지!$B$5:$B$1004,"&gt;="&amp;DATE($B$3,1,1),업무일지!$B$5:$B$1004,"&lt;"&amp;DATE($B$3,1+1,1))&gt;0,1,0))</f>
        <v/>
      </c>
      <c r="AO123">
        <f>IF($O123="",0,IF(COUNTIFS(업무일지!$F$5:$F$1004,$O123,업무일지!$B$5:$B$1004,"&gt;="&amp;DATE($B$3,2,1),업무일지!$B$5:$B$1004,"&lt;"&amp;DATE($B$3,2+1,1))&gt;0,1,0))</f>
        <v/>
      </c>
      <c r="AP123">
        <f>IF($O123="",0,IF(COUNTIFS(업무일지!$F$5:$F$1004,$O123,업무일지!$B$5:$B$1004,"&gt;="&amp;DATE($B$3,3,1),업무일지!$B$5:$B$1004,"&lt;"&amp;DATE($B$3,3+1,1))&gt;0,1,0))</f>
        <v/>
      </c>
      <c r="AQ123">
        <f>IF($O123="",0,IF(COUNTIFS(업무일지!$F$5:$F$1004,$O123,업무일지!$B$5:$B$1004,"&gt;="&amp;DATE($B$3,4,1),업무일지!$B$5:$B$1004,"&lt;"&amp;DATE($B$3,4+1,1))&gt;0,1,0))</f>
        <v/>
      </c>
      <c r="AR123">
        <f>IF($O123="",0,IF(COUNTIFS(업무일지!$F$5:$F$1004,$O123,업무일지!$B$5:$B$1004,"&gt;="&amp;DATE($B$3,5,1),업무일지!$B$5:$B$1004,"&lt;"&amp;DATE($B$3,5+1,1))&gt;0,1,0))</f>
        <v/>
      </c>
      <c r="AS123">
        <f>IF($O123="",0,IF(COUNTIFS(업무일지!$F$5:$F$1004,$O123,업무일지!$B$5:$B$1004,"&gt;="&amp;DATE($B$3,6,1),업무일지!$B$5:$B$1004,"&lt;"&amp;DATE($B$3,6+1,1))&gt;0,1,0))</f>
        <v/>
      </c>
      <c r="AT123">
        <f>IF($O123="",0,IF(COUNTIFS(업무일지!$F$5:$F$1004,$O123,업무일지!$B$5:$B$1004,"&gt;="&amp;DATE($B$3,7,1),업무일지!$B$5:$B$1004,"&lt;"&amp;DATE($B$3,7+1,1))&gt;0,1,0))</f>
        <v/>
      </c>
      <c r="AU123">
        <f>IF($O123="",0,IF(COUNTIFS(업무일지!$F$5:$F$1004,$O123,업무일지!$B$5:$B$1004,"&gt;="&amp;DATE($B$3,8,1),업무일지!$B$5:$B$1004,"&lt;"&amp;DATE($B$3,8+1,1))&gt;0,1,0))</f>
        <v/>
      </c>
      <c r="AV123">
        <f>IF($O123="",0,IF(COUNTIFS(업무일지!$F$5:$F$1004,$O123,업무일지!$B$5:$B$1004,"&gt;="&amp;DATE($B$3,9,1),업무일지!$B$5:$B$1004,"&lt;"&amp;DATE($B$3,9+1,1))&gt;0,1,0))</f>
        <v/>
      </c>
      <c r="AW123">
        <f>IF($O123="",0,IF(COUNTIFS(업무일지!$F$5:$F$1004,$O123,업무일지!$B$5:$B$1004,"&gt;="&amp;DATE($B$3,10,1),업무일지!$B$5:$B$1004,"&lt;"&amp;DATE($B$3,10+1,1))&gt;0,1,0))</f>
        <v/>
      </c>
      <c r="AX123">
        <f>IF($O123="",0,IF(COUNTIFS(업무일지!$F$5:$F$1004,$O123,업무일지!$B$5:$B$1004,"&gt;="&amp;DATE($B$3,11,1),업무일지!$B$5:$B$1004,"&lt;"&amp;DATE($B$3,11+1,1))&gt;0,1,0))</f>
        <v/>
      </c>
      <c r="AY123">
        <f>IF($O123="",0,IF(COUNTIFS(업무일지!$F$5:$F$1004,$O123,업무일지!$B$5:$B$1004,"&gt;="&amp;DATE($B$3,12,1),업무일지!$B$5:$B$1004,"&lt;"&amp;DATE($B$3,12+1,1))&gt;0,1,0))</f>
        <v/>
      </c>
      <c r="AZ123">
        <f>IF($O123="",0,IF(COUNTIFS(업무일지!$F$5:$F$1004,$O123,업무일지!$B$5:$B$1004,"&gt;="&amp;DATE($B$3,1,1),업무일지!$B$5:$B$1004,"&lt;"&amp;DATE($B$3+1,1,1),업무일지!$D$5:$D$1004,"출장")&gt;0,1,0))</f>
        <v/>
      </c>
      <c r="BA123">
        <f>IF($O123="",0,IF(COUNTIFS(업무일지!$F$5:$F$1004,$O123,업무일지!$B$5:$B$1004,"&gt;="&amp;DATE($B$3,1,1),업무일지!$B$5:$B$1004,"&lt;"&amp;DATE($B$3+1,1,1),업무일지!$D$5:$D$1004,"분석")&gt;0,1,0))</f>
        <v/>
      </c>
      <c r="BB123">
        <f>IF($O123="",0,IF(COUNTIFS(업무일지!$F$5:$F$1004,$O123,업무일지!$B$5:$B$1004,"&gt;="&amp;DATE($B$3,1,1),업무일지!$B$5:$B$1004,"&lt;"&amp;DATE($B$3+1,1,1))&gt;0,1,0))</f>
        <v/>
      </c>
      <c r="BD123">
        <f>IF($O123="",0,IF(COUNTIFS(업무일지!$F$5:$F$1004,$O123,업무일지!$B$5:$B$1004,"&gt;="&amp;DATE($B$3,1,1),업무일지!$B$5:$B$1004,"&lt;"&amp;DATE($B$3+1,1,1),업무일지!$AB$5:$AB$1004,$A$44,업무일지!$D$5:$D$1004,"출장")&gt;0,1,0))</f>
        <v/>
      </c>
      <c r="BE123">
        <f>IF($O123="",0,IF(COUNTIFS(업무일지!$F$5:$F$1004,$O123,업무일지!$B$5:$B$1004,"&gt;="&amp;DATE($B$3,1,1),업무일지!$B$5:$B$1004,"&lt;"&amp;DATE($B$3+1,1,1),업무일지!$AB$5:$AB$1004,$A$45,업무일지!$D$5:$D$1004,"출장")&gt;0,1,0))</f>
        <v/>
      </c>
      <c r="BF123">
        <f>IF($O123="",0,IF(COUNTIFS(업무일지!$F$5:$F$1004,$O123,업무일지!$B$5:$B$1004,"&gt;="&amp;DATE($B$3,1,1),업무일지!$B$5:$B$1004,"&lt;"&amp;DATE($B$3+1,1,1),업무일지!$AB$5:$AB$1004,$A$46,업무일지!$D$5:$D$1004,"출장")&gt;0,1,0))</f>
        <v/>
      </c>
      <c r="BG123">
        <f>IF($O123="",0,IF(COUNTIFS(업무일지!$F$5:$F$1004,$O123,업무일지!$B$5:$B$1004,"&gt;="&amp;DATE($B$3,1,1),업무일지!$B$5:$B$1004,"&lt;"&amp;DATE($B$3+1,1,1),업무일지!$AB$5:$AB$1004,$A$47,업무일지!$D$5:$D$1004,"출장")&gt;0,1,0))</f>
        <v/>
      </c>
      <c r="BH123">
        <f>IF($O123="",0,IF(COUNTIFS(업무일지!$F$5:$F$1004,$O123,업무일지!$B$5:$B$1004,"&gt;="&amp;DATE($B$3,1,1),업무일지!$B$5:$B$1004,"&lt;"&amp;DATE($B$3+1,1,1),업무일지!$AB$5:$AB$1004,$A$48,업무일지!$D$5:$D$1004,"출장")&gt;0,1,0))</f>
        <v/>
      </c>
      <c r="BI123">
        <f>IF($O123="",0,IF(COUNTIFS(업무일지!$F$5:$F$1004,$O123,업무일지!$B$5:$B$1004,"&gt;="&amp;DATE($B$3,1,1),업무일지!$B$5:$B$1004,"&lt;"&amp;DATE($B$3+1,1,1),업무일지!$AB$5:$AB$1004,$A$49,업무일지!$D$5:$D$1004,"출장")&gt;0,1,0))</f>
        <v/>
      </c>
      <c r="BJ123">
        <f>IF($O123="",0,IF(COUNTIFS(업무일지!$F$5:$F$1004,$O123,업무일지!$B$5:$B$1004,"&gt;="&amp;DATE($B$3,1,1),업무일지!$B$5:$B$1004,"&lt;"&amp;DATE($B$3+1,1,1),업무일지!$AB$5:$AB$1004,$A$50,업무일지!$D$5:$D$1004,"출장")&gt;0,1,0))</f>
        <v/>
      </c>
      <c r="BK123">
        <f>IF($O123="",0,IF(COUNTIFS(업무일지!$F$5:$F$1004,$O123,업무일지!$B$5:$B$1004,"&gt;="&amp;DATE($B$3,1,1),업무일지!$B$5:$B$1004,"&lt;"&amp;DATE($B$3+1,1,1),업무일지!$AB$5:$AB$1004,$A$51,업무일지!$D$5:$D$1004,"출장")&gt;0,1,0))</f>
        <v/>
      </c>
      <c r="BL123">
        <f>IF($O123="",0,IF(COUNTIFS(업무일지!$F$5:$F$1004,$O123,업무일지!$B$5:$B$1004,"&gt;="&amp;DATE($B$3,1,1),업무일지!$B$5:$B$1004,"&lt;"&amp;DATE($B$3+1,1,1),업무일지!$AB$5:$AB$1004,$A$52,업무일지!$D$5:$D$1004,"출장")&gt;0,1,0))</f>
        <v/>
      </c>
      <c r="BM123">
        <f>IF($O123="",0,IF(COUNTIFS(업무일지!$F$5:$F$1004,$O123,업무일지!$B$5:$B$1004,"&gt;="&amp;DATE($B$3,1,1),업무일지!$B$5:$B$1004,"&lt;"&amp;DATE($B$3+1,1,1),업무일지!$AB$5:$AB$1004,$A$53,업무일지!$D$5:$D$1004,"출장")&gt;0,1,0))</f>
        <v/>
      </c>
      <c r="BO123">
        <f>IF($O123="",0,IF(COUNTIFS(업무일지!$F$5:$F$1004,$O123,업무일지!$B$5:$B$1004,"&gt;="&amp;DATE($B$3,1,1),업무일지!$B$5:$B$1004,"&lt;"&amp;DATE($B$3+1,1,1),업무일지!$AB$5:$AB$1004,$A$44,업무일지!$D$5:$D$1004,"분석")&gt;0,1,0))</f>
        <v/>
      </c>
      <c r="BP123">
        <f>IF($O123="",0,IF(COUNTIFS(업무일지!$F$5:$F$1004,$O123,업무일지!$B$5:$B$1004,"&gt;="&amp;DATE($B$3,1,1),업무일지!$B$5:$B$1004,"&lt;"&amp;DATE($B$3+1,1,1),업무일지!$AB$5:$AB$1004,$A$45,업무일지!$D$5:$D$1004,"분석")&gt;0,1,0))</f>
        <v/>
      </c>
      <c r="BQ123">
        <f>IF($O123="",0,IF(COUNTIFS(업무일지!$F$5:$F$1004,$O123,업무일지!$B$5:$B$1004,"&gt;="&amp;DATE($B$3,1,1),업무일지!$B$5:$B$1004,"&lt;"&amp;DATE($B$3+1,1,1),업무일지!$AB$5:$AB$1004,$A$46,업무일지!$D$5:$D$1004,"분석")&gt;0,1,0))</f>
        <v/>
      </c>
      <c r="BR123">
        <f>IF($O123="",0,IF(COUNTIFS(업무일지!$F$5:$F$1004,$O123,업무일지!$B$5:$B$1004,"&gt;="&amp;DATE($B$3,1,1),업무일지!$B$5:$B$1004,"&lt;"&amp;DATE($B$3+1,1,1),업무일지!$AB$5:$AB$1004,$A$47,업무일지!$D$5:$D$1004,"분석")&gt;0,1,0))</f>
        <v/>
      </c>
      <c r="BS123">
        <f>IF($O123="",0,IF(COUNTIFS(업무일지!$F$5:$F$1004,$O123,업무일지!$B$5:$B$1004,"&gt;="&amp;DATE($B$3,1,1),업무일지!$B$5:$B$1004,"&lt;"&amp;DATE($B$3+1,1,1),업무일지!$AB$5:$AB$1004,$A$48,업무일지!$D$5:$D$1004,"분석")&gt;0,1,0))</f>
        <v/>
      </c>
      <c r="BT123">
        <f>IF($O123="",0,IF(COUNTIFS(업무일지!$F$5:$F$1004,$O123,업무일지!$B$5:$B$1004,"&gt;="&amp;DATE($B$3,1,1),업무일지!$B$5:$B$1004,"&lt;"&amp;DATE($B$3+1,1,1),업무일지!$AB$5:$AB$1004,$A$49,업무일지!$D$5:$D$1004,"분석")&gt;0,1,0))</f>
        <v/>
      </c>
      <c r="BU123">
        <f>IF($O123="",0,IF(COUNTIFS(업무일지!$F$5:$F$1004,$O123,업무일지!$B$5:$B$1004,"&gt;="&amp;DATE($B$3,1,1),업무일지!$B$5:$B$1004,"&lt;"&amp;DATE($B$3+1,1,1),업무일지!$AB$5:$AB$1004,$A$50,업무일지!$D$5:$D$1004,"분석")&gt;0,1,0))</f>
        <v/>
      </c>
      <c r="BV123">
        <f>IF($O123="",0,IF(COUNTIFS(업무일지!$F$5:$F$1004,$O123,업무일지!$B$5:$B$1004,"&gt;="&amp;DATE($B$3,1,1),업무일지!$B$5:$B$1004,"&lt;"&amp;DATE($B$3+1,1,1),업무일지!$AB$5:$AB$1004,$A$51,업무일지!$D$5:$D$1004,"분석")&gt;0,1,0))</f>
        <v/>
      </c>
      <c r="BW123">
        <f>IF($O123="",0,IF(COUNTIFS(업무일지!$F$5:$F$1004,$O123,업무일지!$B$5:$B$1004,"&gt;="&amp;DATE($B$3,1,1),업무일지!$B$5:$B$1004,"&lt;"&amp;DATE($B$3+1,1,1),업무일지!$AB$5:$AB$1004,$A$52,업무일지!$D$5:$D$1004,"분석")&gt;0,1,0))</f>
        <v/>
      </c>
      <c r="BX123">
        <f>IF($O123="",0,IF(COUNTIFS(업무일지!$F$5:$F$1004,$O123,업무일지!$B$5:$B$1004,"&gt;="&amp;DATE($B$3,1,1),업무일지!$B$5:$B$1004,"&lt;"&amp;DATE($B$3+1,1,1),업무일지!$AB$5:$AB$1004,$A$53,업무일지!$D$5:$D$1004,"분석")&gt;0,1,0))</f>
        <v/>
      </c>
      <c r="BZ123">
        <f>IF($O123="",0,IF(COUNTIFS(업무일지!$F$5:$F$1004,$O123,업무일지!$B$5:$B$1004,"&gt;="&amp;DATE($B$3,1,1),업무일지!$B$5:$B$1004,"&lt;"&amp;DATE($B$3+1,1,1),업무일지!$AB$5:$AB$1004,$A$44)&gt;0,1,0))</f>
        <v/>
      </c>
      <c r="CA123">
        <f>IF($O123="",0,IF(COUNTIFS(업무일지!$F$5:$F$1004,$O123,업무일지!$B$5:$B$1004,"&gt;="&amp;DATE($B$3,1,1),업무일지!$B$5:$B$1004,"&lt;"&amp;DATE($B$3+1,1,1),업무일지!$AB$5:$AB$1004,$A$45)&gt;0,1,0))</f>
        <v/>
      </c>
      <c r="CB123">
        <f>IF($O123="",0,IF(COUNTIFS(업무일지!$F$5:$F$1004,$O123,업무일지!$B$5:$B$1004,"&gt;="&amp;DATE($B$3,1,1),업무일지!$B$5:$B$1004,"&lt;"&amp;DATE($B$3+1,1,1),업무일지!$AB$5:$AB$1004,$A$46)&gt;0,1,0))</f>
        <v/>
      </c>
      <c r="CC123">
        <f>IF($O123="",0,IF(COUNTIFS(업무일지!$F$5:$F$1004,$O123,업무일지!$B$5:$B$1004,"&gt;="&amp;DATE($B$3,1,1),업무일지!$B$5:$B$1004,"&lt;"&amp;DATE($B$3+1,1,1),업무일지!$AB$5:$AB$1004,$A$47)&gt;0,1,0))</f>
        <v/>
      </c>
      <c r="CD123">
        <f>IF($O123="",0,IF(COUNTIFS(업무일지!$F$5:$F$1004,$O123,업무일지!$B$5:$B$1004,"&gt;="&amp;DATE($B$3,1,1),업무일지!$B$5:$B$1004,"&lt;"&amp;DATE($B$3+1,1,1),업무일지!$AB$5:$AB$1004,$A$48)&gt;0,1,0))</f>
        <v/>
      </c>
      <c r="CE123">
        <f>IF($O123="",0,IF(COUNTIFS(업무일지!$F$5:$F$1004,$O123,업무일지!$B$5:$B$1004,"&gt;="&amp;DATE($B$3,1,1),업무일지!$B$5:$B$1004,"&lt;"&amp;DATE($B$3+1,1,1),업무일지!$AB$5:$AB$1004,$A$49)&gt;0,1,0))</f>
        <v/>
      </c>
      <c r="CF123">
        <f>IF($O123="",0,IF(COUNTIFS(업무일지!$F$5:$F$1004,$O123,업무일지!$B$5:$B$1004,"&gt;="&amp;DATE($B$3,1,1),업무일지!$B$5:$B$1004,"&lt;"&amp;DATE($B$3+1,1,1),업무일지!$AB$5:$AB$1004,$A$50)&gt;0,1,0))</f>
        <v/>
      </c>
      <c r="CG123">
        <f>IF($O123="",0,IF(COUNTIFS(업무일지!$F$5:$F$1004,$O123,업무일지!$B$5:$B$1004,"&gt;="&amp;DATE($B$3,1,1),업무일지!$B$5:$B$1004,"&lt;"&amp;DATE($B$3+1,1,1),업무일지!$AB$5:$AB$1004,$A$51)&gt;0,1,0))</f>
        <v/>
      </c>
      <c r="CH123">
        <f>IF($O123="",0,IF(COUNTIFS(업무일지!$F$5:$F$1004,$O123,업무일지!$B$5:$B$1004,"&gt;="&amp;DATE($B$3,1,1),업무일지!$B$5:$B$1004,"&lt;"&amp;DATE($B$3+1,1,1),업무일지!$AB$5:$AB$1004,$A$52)&gt;0,1,0))</f>
        <v/>
      </c>
      <c r="CI123">
        <f>IF($O123="",0,IF(COUNTIFS(업무일지!$F$5:$F$1004,$O123,업무일지!$B$5:$B$1004,"&gt;="&amp;DATE($B$3,1,1),업무일지!$B$5:$B$1004,"&lt;"&amp;DATE($B$3+1,1,1),업무일지!$AB$5:$AB$1004,$A$53)&gt;0,1,0))</f>
        <v/>
      </c>
    </row>
    <row r="124">
      <c r="O124">
        <f>IF(사건마스터!$A44="","",사건마스터!$A44)</f>
        <v/>
      </c>
      <c r="P124">
        <f>IF($O124="",0,IF(COUNTIFS(업무일지!$F$5:$F$1004,$O124,업무일지!$B$5:$B$1004,"&gt;="&amp;DATE($B$3,1,1),업무일지!$B$5:$B$1004,"&lt;"&amp;DATE($B$3,1+1,1),업무일지!$D$5:$D$1004,"출장")&gt;0,1,0))</f>
        <v/>
      </c>
      <c r="Q124">
        <f>IF($O124="",0,IF(COUNTIFS(업무일지!$F$5:$F$1004,$O124,업무일지!$B$5:$B$1004,"&gt;="&amp;DATE($B$3,2,1),업무일지!$B$5:$B$1004,"&lt;"&amp;DATE($B$3,2+1,1),업무일지!$D$5:$D$1004,"출장")&gt;0,1,0))</f>
        <v/>
      </c>
      <c r="R124">
        <f>IF($O124="",0,IF(COUNTIFS(업무일지!$F$5:$F$1004,$O124,업무일지!$B$5:$B$1004,"&gt;="&amp;DATE($B$3,3,1),업무일지!$B$5:$B$1004,"&lt;"&amp;DATE($B$3,3+1,1),업무일지!$D$5:$D$1004,"출장")&gt;0,1,0))</f>
        <v/>
      </c>
      <c r="S124">
        <f>IF($O124="",0,IF(COUNTIFS(업무일지!$F$5:$F$1004,$O124,업무일지!$B$5:$B$1004,"&gt;="&amp;DATE($B$3,4,1),업무일지!$B$5:$B$1004,"&lt;"&amp;DATE($B$3,4+1,1),업무일지!$D$5:$D$1004,"출장")&gt;0,1,0))</f>
        <v/>
      </c>
      <c r="T124">
        <f>IF($O124="",0,IF(COUNTIFS(업무일지!$F$5:$F$1004,$O124,업무일지!$B$5:$B$1004,"&gt;="&amp;DATE($B$3,5,1),업무일지!$B$5:$B$1004,"&lt;"&amp;DATE($B$3,5+1,1),업무일지!$D$5:$D$1004,"출장")&gt;0,1,0))</f>
        <v/>
      </c>
      <c r="U124">
        <f>IF($O124="",0,IF(COUNTIFS(업무일지!$F$5:$F$1004,$O124,업무일지!$B$5:$B$1004,"&gt;="&amp;DATE($B$3,6,1),업무일지!$B$5:$B$1004,"&lt;"&amp;DATE($B$3,6+1,1),업무일지!$D$5:$D$1004,"출장")&gt;0,1,0))</f>
        <v/>
      </c>
      <c r="V124">
        <f>IF($O124="",0,IF(COUNTIFS(업무일지!$F$5:$F$1004,$O124,업무일지!$B$5:$B$1004,"&gt;="&amp;DATE($B$3,7,1),업무일지!$B$5:$B$1004,"&lt;"&amp;DATE($B$3,7+1,1),업무일지!$D$5:$D$1004,"출장")&gt;0,1,0))</f>
        <v/>
      </c>
      <c r="W124">
        <f>IF($O124="",0,IF(COUNTIFS(업무일지!$F$5:$F$1004,$O124,업무일지!$B$5:$B$1004,"&gt;="&amp;DATE($B$3,8,1),업무일지!$B$5:$B$1004,"&lt;"&amp;DATE($B$3,8+1,1),업무일지!$D$5:$D$1004,"출장")&gt;0,1,0))</f>
        <v/>
      </c>
      <c r="X124">
        <f>IF($O124="",0,IF(COUNTIFS(업무일지!$F$5:$F$1004,$O124,업무일지!$B$5:$B$1004,"&gt;="&amp;DATE($B$3,9,1),업무일지!$B$5:$B$1004,"&lt;"&amp;DATE($B$3,9+1,1),업무일지!$D$5:$D$1004,"출장")&gt;0,1,0))</f>
        <v/>
      </c>
      <c r="Y124">
        <f>IF($O124="",0,IF(COUNTIFS(업무일지!$F$5:$F$1004,$O124,업무일지!$B$5:$B$1004,"&gt;="&amp;DATE($B$3,10,1),업무일지!$B$5:$B$1004,"&lt;"&amp;DATE($B$3,10+1,1),업무일지!$D$5:$D$1004,"출장")&gt;0,1,0))</f>
        <v/>
      </c>
      <c r="Z124">
        <f>IF($O124="",0,IF(COUNTIFS(업무일지!$F$5:$F$1004,$O124,업무일지!$B$5:$B$1004,"&gt;="&amp;DATE($B$3,11,1),업무일지!$B$5:$B$1004,"&lt;"&amp;DATE($B$3,11+1,1),업무일지!$D$5:$D$1004,"출장")&gt;0,1,0))</f>
        <v/>
      </c>
      <c r="AA124">
        <f>IF($O124="",0,IF(COUNTIFS(업무일지!$F$5:$F$1004,$O124,업무일지!$B$5:$B$1004,"&gt;="&amp;DATE($B$3,12,1),업무일지!$B$5:$B$1004,"&lt;"&amp;DATE($B$3,12+1,1),업무일지!$D$5:$D$1004,"출장")&gt;0,1,0))</f>
        <v/>
      </c>
      <c r="AB124">
        <f>IF($O124="",0,IF(COUNTIFS(업무일지!$F$5:$F$1004,$O124,업무일지!$B$5:$B$1004,"&gt;="&amp;DATE($B$3,1,1),업무일지!$B$5:$B$1004,"&lt;"&amp;DATE($B$3,1+1,1),업무일지!$D$5:$D$1004,"분석")&gt;0,1,0))</f>
        <v/>
      </c>
      <c r="AC124">
        <f>IF($O124="",0,IF(COUNTIFS(업무일지!$F$5:$F$1004,$O124,업무일지!$B$5:$B$1004,"&gt;="&amp;DATE($B$3,2,1),업무일지!$B$5:$B$1004,"&lt;"&amp;DATE($B$3,2+1,1),업무일지!$D$5:$D$1004,"분석")&gt;0,1,0))</f>
        <v/>
      </c>
      <c r="AD124">
        <f>IF($O124="",0,IF(COUNTIFS(업무일지!$F$5:$F$1004,$O124,업무일지!$B$5:$B$1004,"&gt;="&amp;DATE($B$3,3,1),업무일지!$B$5:$B$1004,"&lt;"&amp;DATE($B$3,3+1,1),업무일지!$D$5:$D$1004,"분석")&gt;0,1,0))</f>
        <v/>
      </c>
      <c r="AE124">
        <f>IF($O124="",0,IF(COUNTIFS(업무일지!$F$5:$F$1004,$O124,업무일지!$B$5:$B$1004,"&gt;="&amp;DATE($B$3,4,1),업무일지!$B$5:$B$1004,"&lt;"&amp;DATE($B$3,4+1,1),업무일지!$D$5:$D$1004,"분석")&gt;0,1,0))</f>
        <v/>
      </c>
      <c r="AF124">
        <f>IF($O124="",0,IF(COUNTIFS(업무일지!$F$5:$F$1004,$O124,업무일지!$B$5:$B$1004,"&gt;="&amp;DATE($B$3,5,1),업무일지!$B$5:$B$1004,"&lt;"&amp;DATE($B$3,5+1,1),업무일지!$D$5:$D$1004,"분석")&gt;0,1,0))</f>
        <v/>
      </c>
      <c r="AG124">
        <f>IF($O124="",0,IF(COUNTIFS(업무일지!$F$5:$F$1004,$O124,업무일지!$B$5:$B$1004,"&gt;="&amp;DATE($B$3,6,1),업무일지!$B$5:$B$1004,"&lt;"&amp;DATE($B$3,6+1,1),업무일지!$D$5:$D$1004,"분석")&gt;0,1,0))</f>
        <v/>
      </c>
      <c r="AH124">
        <f>IF($O124="",0,IF(COUNTIFS(업무일지!$F$5:$F$1004,$O124,업무일지!$B$5:$B$1004,"&gt;="&amp;DATE($B$3,7,1),업무일지!$B$5:$B$1004,"&lt;"&amp;DATE($B$3,7+1,1),업무일지!$D$5:$D$1004,"분석")&gt;0,1,0))</f>
        <v/>
      </c>
      <c r="AI124">
        <f>IF($O124="",0,IF(COUNTIFS(업무일지!$F$5:$F$1004,$O124,업무일지!$B$5:$B$1004,"&gt;="&amp;DATE($B$3,8,1),업무일지!$B$5:$B$1004,"&lt;"&amp;DATE($B$3,8+1,1),업무일지!$D$5:$D$1004,"분석")&gt;0,1,0))</f>
        <v/>
      </c>
      <c r="AJ124">
        <f>IF($O124="",0,IF(COUNTIFS(업무일지!$F$5:$F$1004,$O124,업무일지!$B$5:$B$1004,"&gt;="&amp;DATE($B$3,9,1),업무일지!$B$5:$B$1004,"&lt;"&amp;DATE($B$3,9+1,1),업무일지!$D$5:$D$1004,"분석")&gt;0,1,0))</f>
        <v/>
      </c>
      <c r="AK124">
        <f>IF($O124="",0,IF(COUNTIFS(업무일지!$F$5:$F$1004,$O124,업무일지!$B$5:$B$1004,"&gt;="&amp;DATE($B$3,10,1),업무일지!$B$5:$B$1004,"&lt;"&amp;DATE($B$3,10+1,1),업무일지!$D$5:$D$1004,"분석")&gt;0,1,0))</f>
        <v/>
      </c>
      <c r="AL124">
        <f>IF($O124="",0,IF(COUNTIFS(업무일지!$F$5:$F$1004,$O124,업무일지!$B$5:$B$1004,"&gt;="&amp;DATE($B$3,11,1),업무일지!$B$5:$B$1004,"&lt;"&amp;DATE($B$3,11+1,1),업무일지!$D$5:$D$1004,"분석")&gt;0,1,0))</f>
        <v/>
      </c>
      <c r="AM124">
        <f>IF($O124="",0,IF(COUNTIFS(업무일지!$F$5:$F$1004,$O124,업무일지!$B$5:$B$1004,"&gt;="&amp;DATE($B$3,12,1),업무일지!$B$5:$B$1004,"&lt;"&amp;DATE($B$3,12+1,1),업무일지!$D$5:$D$1004,"분석")&gt;0,1,0))</f>
        <v/>
      </c>
      <c r="AN124">
        <f>IF($O124="",0,IF(COUNTIFS(업무일지!$F$5:$F$1004,$O124,업무일지!$B$5:$B$1004,"&gt;="&amp;DATE($B$3,1,1),업무일지!$B$5:$B$1004,"&lt;"&amp;DATE($B$3,1+1,1))&gt;0,1,0))</f>
        <v/>
      </c>
      <c r="AO124">
        <f>IF($O124="",0,IF(COUNTIFS(업무일지!$F$5:$F$1004,$O124,업무일지!$B$5:$B$1004,"&gt;="&amp;DATE($B$3,2,1),업무일지!$B$5:$B$1004,"&lt;"&amp;DATE($B$3,2+1,1))&gt;0,1,0))</f>
        <v/>
      </c>
      <c r="AP124">
        <f>IF($O124="",0,IF(COUNTIFS(업무일지!$F$5:$F$1004,$O124,업무일지!$B$5:$B$1004,"&gt;="&amp;DATE($B$3,3,1),업무일지!$B$5:$B$1004,"&lt;"&amp;DATE($B$3,3+1,1))&gt;0,1,0))</f>
        <v/>
      </c>
      <c r="AQ124">
        <f>IF($O124="",0,IF(COUNTIFS(업무일지!$F$5:$F$1004,$O124,업무일지!$B$5:$B$1004,"&gt;="&amp;DATE($B$3,4,1),업무일지!$B$5:$B$1004,"&lt;"&amp;DATE($B$3,4+1,1))&gt;0,1,0))</f>
        <v/>
      </c>
      <c r="AR124">
        <f>IF($O124="",0,IF(COUNTIFS(업무일지!$F$5:$F$1004,$O124,업무일지!$B$5:$B$1004,"&gt;="&amp;DATE($B$3,5,1),업무일지!$B$5:$B$1004,"&lt;"&amp;DATE($B$3,5+1,1))&gt;0,1,0))</f>
        <v/>
      </c>
      <c r="AS124">
        <f>IF($O124="",0,IF(COUNTIFS(업무일지!$F$5:$F$1004,$O124,업무일지!$B$5:$B$1004,"&gt;="&amp;DATE($B$3,6,1),업무일지!$B$5:$B$1004,"&lt;"&amp;DATE($B$3,6+1,1))&gt;0,1,0))</f>
        <v/>
      </c>
      <c r="AT124">
        <f>IF($O124="",0,IF(COUNTIFS(업무일지!$F$5:$F$1004,$O124,업무일지!$B$5:$B$1004,"&gt;="&amp;DATE($B$3,7,1),업무일지!$B$5:$B$1004,"&lt;"&amp;DATE($B$3,7+1,1))&gt;0,1,0))</f>
        <v/>
      </c>
      <c r="AU124">
        <f>IF($O124="",0,IF(COUNTIFS(업무일지!$F$5:$F$1004,$O124,업무일지!$B$5:$B$1004,"&gt;="&amp;DATE($B$3,8,1),업무일지!$B$5:$B$1004,"&lt;"&amp;DATE($B$3,8+1,1))&gt;0,1,0))</f>
        <v/>
      </c>
      <c r="AV124">
        <f>IF($O124="",0,IF(COUNTIFS(업무일지!$F$5:$F$1004,$O124,업무일지!$B$5:$B$1004,"&gt;="&amp;DATE($B$3,9,1),업무일지!$B$5:$B$1004,"&lt;"&amp;DATE($B$3,9+1,1))&gt;0,1,0))</f>
        <v/>
      </c>
      <c r="AW124">
        <f>IF($O124="",0,IF(COUNTIFS(업무일지!$F$5:$F$1004,$O124,업무일지!$B$5:$B$1004,"&gt;="&amp;DATE($B$3,10,1),업무일지!$B$5:$B$1004,"&lt;"&amp;DATE($B$3,10+1,1))&gt;0,1,0))</f>
        <v/>
      </c>
      <c r="AX124">
        <f>IF($O124="",0,IF(COUNTIFS(업무일지!$F$5:$F$1004,$O124,업무일지!$B$5:$B$1004,"&gt;="&amp;DATE($B$3,11,1),업무일지!$B$5:$B$1004,"&lt;"&amp;DATE($B$3,11+1,1))&gt;0,1,0))</f>
        <v/>
      </c>
      <c r="AY124">
        <f>IF($O124="",0,IF(COUNTIFS(업무일지!$F$5:$F$1004,$O124,업무일지!$B$5:$B$1004,"&gt;="&amp;DATE($B$3,12,1),업무일지!$B$5:$B$1004,"&lt;"&amp;DATE($B$3,12+1,1))&gt;0,1,0))</f>
        <v/>
      </c>
      <c r="AZ124">
        <f>IF($O124="",0,IF(COUNTIFS(업무일지!$F$5:$F$1004,$O124,업무일지!$B$5:$B$1004,"&gt;="&amp;DATE($B$3,1,1),업무일지!$B$5:$B$1004,"&lt;"&amp;DATE($B$3+1,1,1),업무일지!$D$5:$D$1004,"출장")&gt;0,1,0))</f>
        <v/>
      </c>
      <c r="BA124">
        <f>IF($O124="",0,IF(COUNTIFS(업무일지!$F$5:$F$1004,$O124,업무일지!$B$5:$B$1004,"&gt;="&amp;DATE($B$3,1,1),업무일지!$B$5:$B$1004,"&lt;"&amp;DATE($B$3+1,1,1),업무일지!$D$5:$D$1004,"분석")&gt;0,1,0))</f>
        <v/>
      </c>
      <c r="BB124">
        <f>IF($O124="",0,IF(COUNTIFS(업무일지!$F$5:$F$1004,$O124,업무일지!$B$5:$B$1004,"&gt;="&amp;DATE($B$3,1,1),업무일지!$B$5:$B$1004,"&lt;"&amp;DATE($B$3+1,1,1))&gt;0,1,0))</f>
        <v/>
      </c>
      <c r="BD124">
        <f>IF($O124="",0,IF(COUNTIFS(업무일지!$F$5:$F$1004,$O124,업무일지!$B$5:$B$1004,"&gt;="&amp;DATE($B$3,1,1),업무일지!$B$5:$B$1004,"&lt;"&amp;DATE($B$3+1,1,1),업무일지!$AB$5:$AB$1004,$A$44,업무일지!$D$5:$D$1004,"출장")&gt;0,1,0))</f>
        <v/>
      </c>
      <c r="BE124">
        <f>IF($O124="",0,IF(COUNTIFS(업무일지!$F$5:$F$1004,$O124,업무일지!$B$5:$B$1004,"&gt;="&amp;DATE($B$3,1,1),업무일지!$B$5:$B$1004,"&lt;"&amp;DATE($B$3+1,1,1),업무일지!$AB$5:$AB$1004,$A$45,업무일지!$D$5:$D$1004,"출장")&gt;0,1,0))</f>
        <v/>
      </c>
      <c r="BF124">
        <f>IF($O124="",0,IF(COUNTIFS(업무일지!$F$5:$F$1004,$O124,업무일지!$B$5:$B$1004,"&gt;="&amp;DATE($B$3,1,1),업무일지!$B$5:$B$1004,"&lt;"&amp;DATE($B$3+1,1,1),업무일지!$AB$5:$AB$1004,$A$46,업무일지!$D$5:$D$1004,"출장")&gt;0,1,0))</f>
        <v/>
      </c>
      <c r="BG124">
        <f>IF($O124="",0,IF(COUNTIFS(업무일지!$F$5:$F$1004,$O124,업무일지!$B$5:$B$1004,"&gt;="&amp;DATE($B$3,1,1),업무일지!$B$5:$B$1004,"&lt;"&amp;DATE($B$3+1,1,1),업무일지!$AB$5:$AB$1004,$A$47,업무일지!$D$5:$D$1004,"출장")&gt;0,1,0))</f>
        <v/>
      </c>
      <c r="BH124">
        <f>IF($O124="",0,IF(COUNTIFS(업무일지!$F$5:$F$1004,$O124,업무일지!$B$5:$B$1004,"&gt;="&amp;DATE($B$3,1,1),업무일지!$B$5:$B$1004,"&lt;"&amp;DATE($B$3+1,1,1),업무일지!$AB$5:$AB$1004,$A$48,업무일지!$D$5:$D$1004,"출장")&gt;0,1,0))</f>
        <v/>
      </c>
      <c r="BI124">
        <f>IF($O124="",0,IF(COUNTIFS(업무일지!$F$5:$F$1004,$O124,업무일지!$B$5:$B$1004,"&gt;="&amp;DATE($B$3,1,1),업무일지!$B$5:$B$1004,"&lt;"&amp;DATE($B$3+1,1,1),업무일지!$AB$5:$AB$1004,$A$49,업무일지!$D$5:$D$1004,"출장")&gt;0,1,0))</f>
        <v/>
      </c>
      <c r="BJ124">
        <f>IF($O124="",0,IF(COUNTIFS(업무일지!$F$5:$F$1004,$O124,업무일지!$B$5:$B$1004,"&gt;="&amp;DATE($B$3,1,1),업무일지!$B$5:$B$1004,"&lt;"&amp;DATE($B$3+1,1,1),업무일지!$AB$5:$AB$1004,$A$50,업무일지!$D$5:$D$1004,"출장")&gt;0,1,0))</f>
        <v/>
      </c>
      <c r="BK124">
        <f>IF($O124="",0,IF(COUNTIFS(업무일지!$F$5:$F$1004,$O124,업무일지!$B$5:$B$1004,"&gt;="&amp;DATE($B$3,1,1),업무일지!$B$5:$B$1004,"&lt;"&amp;DATE($B$3+1,1,1),업무일지!$AB$5:$AB$1004,$A$51,업무일지!$D$5:$D$1004,"출장")&gt;0,1,0))</f>
        <v/>
      </c>
      <c r="BL124">
        <f>IF($O124="",0,IF(COUNTIFS(업무일지!$F$5:$F$1004,$O124,업무일지!$B$5:$B$1004,"&gt;="&amp;DATE($B$3,1,1),업무일지!$B$5:$B$1004,"&lt;"&amp;DATE($B$3+1,1,1),업무일지!$AB$5:$AB$1004,$A$52,업무일지!$D$5:$D$1004,"출장")&gt;0,1,0))</f>
        <v/>
      </c>
      <c r="BM124">
        <f>IF($O124="",0,IF(COUNTIFS(업무일지!$F$5:$F$1004,$O124,업무일지!$B$5:$B$1004,"&gt;="&amp;DATE($B$3,1,1),업무일지!$B$5:$B$1004,"&lt;"&amp;DATE($B$3+1,1,1),업무일지!$AB$5:$AB$1004,$A$53,업무일지!$D$5:$D$1004,"출장")&gt;0,1,0))</f>
        <v/>
      </c>
      <c r="BO124">
        <f>IF($O124="",0,IF(COUNTIFS(업무일지!$F$5:$F$1004,$O124,업무일지!$B$5:$B$1004,"&gt;="&amp;DATE($B$3,1,1),업무일지!$B$5:$B$1004,"&lt;"&amp;DATE($B$3+1,1,1),업무일지!$AB$5:$AB$1004,$A$44,업무일지!$D$5:$D$1004,"분석")&gt;0,1,0))</f>
        <v/>
      </c>
      <c r="BP124">
        <f>IF($O124="",0,IF(COUNTIFS(업무일지!$F$5:$F$1004,$O124,업무일지!$B$5:$B$1004,"&gt;="&amp;DATE($B$3,1,1),업무일지!$B$5:$B$1004,"&lt;"&amp;DATE($B$3+1,1,1),업무일지!$AB$5:$AB$1004,$A$45,업무일지!$D$5:$D$1004,"분석")&gt;0,1,0))</f>
        <v/>
      </c>
      <c r="BQ124">
        <f>IF($O124="",0,IF(COUNTIFS(업무일지!$F$5:$F$1004,$O124,업무일지!$B$5:$B$1004,"&gt;="&amp;DATE($B$3,1,1),업무일지!$B$5:$B$1004,"&lt;"&amp;DATE($B$3+1,1,1),업무일지!$AB$5:$AB$1004,$A$46,업무일지!$D$5:$D$1004,"분석")&gt;0,1,0))</f>
        <v/>
      </c>
      <c r="BR124">
        <f>IF($O124="",0,IF(COUNTIFS(업무일지!$F$5:$F$1004,$O124,업무일지!$B$5:$B$1004,"&gt;="&amp;DATE($B$3,1,1),업무일지!$B$5:$B$1004,"&lt;"&amp;DATE($B$3+1,1,1),업무일지!$AB$5:$AB$1004,$A$47,업무일지!$D$5:$D$1004,"분석")&gt;0,1,0))</f>
        <v/>
      </c>
      <c r="BS124">
        <f>IF($O124="",0,IF(COUNTIFS(업무일지!$F$5:$F$1004,$O124,업무일지!$B$5:$B$1004,"&gt;="&amp;DATE($B$3,1,1),업무일지!$B$5:$B$1004,"&lt;"&amp;DATE($B$3+1,1,1),업무일지!$AB$5:$AB$1004,$A$48,업무일지!$D$5:$D$1004,"분석")&gt;0,1,0))</f>
        <v/>
      </c>
      <c r="BT124">
        <f>IF($O124="",0,IF(COUNTIFS(업무일지!$F$5:$F$1004,$O124,업무일지!$B$5:$B$1004,"&gt;="&amp;DATE($B$3,1,1),업무일지!$B$5:$B$1004,"&lt;"&amp;DATE($B$3+1,1,1),업무일지!$AB$5:$AB$1004,$A$49,업무일지!$D$5:$D$1004,"분석")&gt;0,1,0))</f>
        <v/>
      </c>
      <c r="BU124">
        <f>IF($O124="",0,IF(COUNTIFS(업무일지!$F$5:$F$1004,$O124,업무일지!$B$5:$B$1004,"&gt;="&amp;DATE($B$3,1,1),업무일지!$B$5:$B$1004,"&lt;"&amp;DATE($B$3+1,1,1),업무일지!$AB$5:$AB$1004,$A$50,업무일지!$D$5:$D$1004,"분석")&gt;0,1,0))</f>
        <v/>
      </c>
      <c r="BV124">
        <f>IF($O124="",0,IF(COUNTIFS(업무일지!$F$5:$F$1004,$O124,업무일지!$B$5:$B$1004,"&gt;="&amp;DATE($B$3,1,1),업무일지!$B$5:$B$1004,"&lt;"&amp;DATE($B$3+1,1,1),업무일지!$AB$5:$AB$1004,$A$51,업무일지!$D$5:$D$1004,"분석")&gt;0,1,0))</f>
        <v/>
      </c>
      <c r="BW124">
        <f>IF($O124="",0,IF(COUNTIFS(업무일지!$F$5:$F$1004,$O124,업무일지!$B$5:$B$1004,"&gt;="&amp;DATE($B$3,1,1),업무일지!$B$5:$B$1004,"&lt;"&amp;DATE($B$3+1,1,1),업무일지!$AB$5:$AB$1004,$A$52,업무일지!$D$5:$D$1004,"분석")&gt;0,1,0))</f>
        <v/>
      </c>
      <c r="BX124">
        <f>IF($O124="",0,IF(COUNTIFS(업무일지!$F$5:$F$1004,$O124,업무일지!$B$5:$B$1004,"&gt;="&amp;DATE($B$3,1,1),업무일지!$B$5:$B$1004,"&lt;"&amp;DATE($B$3+1,1,1),업무일지!$AB$5:$AB$1004,$A$53,업무일지!$D$5:$D$1004,"분석")&gt;0,1,0))</f>
        <v/>
      </c>
      <c r="BZ124">
        <f>IF($O124="",0,IF(COUNTIFS(업무일지!$F$5:$F$1004,$O124,업무일지!$B$5:$B$1004,"&gt;="&amp;DATE($B$3,1,1),업무일지!$B$5:$B$1004,"&lt;"&amp;DATE($B$3+1,1,1),업무일지!$AB$5:$AB$1004,$A$44)&gt;0,1,0))</f>
        <v/>
      </c>
      <c r="CA124">
        <f>IF($O124="",0,IF(COUNTIFS(업무일지!$F$5:$F$1004,$O124,업무일지!$B$5:$B$1004,"&gt;="&amp;DATE($B$3,1,1),업무일지!$B$5:$B$1004,"&lt;"&amp;DATE($B$3+1,1,1),업무일지!$AB$5:$AB$1004,$A$45)&gt;0,1,0))</f>
        <v/>
      </c>
      <c r="CB124">
        <f>IF($O124="",0,IF(COUNTIFS(업무일지!$F$5:$F$1004,$O124,업무일지!$B$5:$B$1004,"&gt;="&amp;DATE($B$3,1,1),업무일지!$B$5:$B$1004,"&lt;"&amp;DATE($B$3+1,1,1),업무일지!$AB$5:$AB$1004,$A$46)&gt;0,1,0))</f>
        <v/>
      </c>
      <c r="CC124">
        <f>IF($O124="",0,IF(COUNTIFS(업무일지!$F$5:$F$1004,$O124,업무일지!$B$5:$B$1004,"&gt;="&amp;DATE($B$3,1,1),업무일지!$B$5:$B$1004,"&lt;"&amp;DATE($B$3+1,1,1),업무일지!$AB$5:$AB$1004,$A$47)&gt;0,1,0))</f>
        <v/>
      </c>
      <c r="CD124">
        <f>IF($O124="",0,IF(COUNTIFS(업무일지!$F$5:$F$1004,$O124,업무일지!$B$5:$B$1004,"&gt;="&amp;DATE($B$3,1,1),업무일지!$B$5:$B$1004,"&lt;"&amp;DATE($B$3+1,1,1),업무일지!$AB$5:$AB$1004,$A$48)&gt;0,1,0))</f>
        <v/>
      </c>
      <c r="CE124">
        <f>IF($O124="",0,IF(COUNTIFS(업무일지!$F$5:$F$1004,$O124,업무일지!$B$5:$B$1004,"&gt;="&amp;DATE($B$3,1,1),업무일지!$B$5:$B$1004,"&lt;"&amp;DATE($B$3+1,1,1),업무일지!$AB$5:$AB$1004,$A$49)&gt;0,1,0))</f>
        <v/>
      </c>
      <c r="CF124">
        <f>IF($O124="",0,IF(COUNTIFS(업무일지!$F$5:$F$1004,$O124,업무일지!$B$5:$B$1004,"&gt;="&amp;DATE($B$3,1,1),업무일지!$B$5:$B$1004,"&lt;"&amp;DATE($B$3+1,1,1),업무일지!$AB$5:$AB$1004,$A$50)&gt;0,1,0))</f>
        <v/>
      </c>
      <c r="CG124">
        <f>IF($O124="",0,IF(COUNTIFS(업무일지!$F$5:$F$1004,$O124,업무일지!$B$5:$B$1004,"&gt;="&amp;DATE($B$3,1,1),업무일지!$B$5:$B$1004,"&lt;"&amp;DATE($B$3+1,1,1),업무일지!$AB$5:$AB$1004,$A$51)&gt;0,1,0))</f>
        <v/>
      </c>
      <c r="CH124">
        <f>IF($O124="",0,IF(COUNTIFS(업무일지!$F$5:$F$1004,$O124,업무일지!$B$5:$B$1004,"&gt;="&amp;DATE($B$3,1,1),업무일지!$B$5:$B$1004,"&lt;"&amp;DATE($B$3+1,1,1),업무일지!$AB$5:$AB$1004,$A$52)&gt;0,1,0))</f>
        <v/>
      </c>
      <c r="CI124">
        <f>IF($O124="",0,IF(COUNTIFS(업무일지!$F$5:$F$1004,$O124,업무일지!$B$5:$B$1004,"&gt;="&amp;DATE($B$3,1,1),업무일지!$B$5:$B$1004,"&lt;"&amp;DATE($B$3+1,1,1),업무일지!$AB$5:$AB$1004,$A$53)&gt;0,1,0))</f>
        <v/>
      </c>
    </row>
    <row r="125">
      <c r="O125">
        <f>IF(사건마스터!$A45="","",사건마스터!$A45)</f>
        <v/>
      </c>
      <c r="P125">
        <f>IF($O125="",0,IF(COUNTIFS(업무일지!$F$5:$F$1004,$O125,업무일지!$B$5:$B$1004,"&gt;="&amp;DATE($B$3,1,1),업무일지!$B$5:$B$1004,"&lt;"&amp;DATE($B$3,1+1,1),업무일지!$D$5:$D$1004,"출장")&gt;0,1,0))</f>
        <v/>
      </c>
      <c r="Q125">
        <f>IF($O125="",0,IF(COUNTIFS(업무일지!$F$5:$F$1004,$O125,업무일지!$B$5:$B$1004,"&gt;="&amp;DATE($B$3,2,1),업무일지!$B$5:$B$1004,"&lt;"&amp;DATE($B$3,2+1,1),업무일지!$D$5:$D$1004,"출장")&gt;0,1,0))</f>
        <v/>
      </c>
      <c r="R125">
        <f>IF($O125="",0,IF(COUNTIFS(업무일지!$F$5:$F$1004,$O125,업무일지!$B$5:$B$1004,"&gt;="&amp;DATE($B$3,3,1),업무일지!$B$5:$B$1004,"&lt;"&amp;DATE($B$3,3+1,1),업무일지!$D$5:$D$1004,"출장")&gt;0,1,0))</f>
        <v/>
      </c>
      <c r="S125">
        <f>IF($O125="",0,IF(COUNTIFS(업무일지!$F$5:$F$1004,$O125,업무일지!$B$5:$B$1004,"&gt;="&amp;DATE($B$3,4,1),업무일지!$B$5:$B$1004,"&lt;"&amp;DATE($B$3,4+1,1),업무일지!$D$5:$D$1004,"출장")&gt;0,1,0))</f>
        <v/>
      </c>
      <c r="T125">
        <f>IF($O125="",0,IF(COUNTIFS(업무일지!$F$5:$F$1004,$O125,업무일지!$B$5:$B$1004,"&gt;="&amp;DATE($B$3,5,1),업무일지!$B$5:$B$1004,"&lt;"&amp;DATE($B$3,5+1,1),업무일지!$D$5:$D$1004,"출장")&gt;0,1,0))</f>
        <v/>
      </c>
      <c r="U125">
        <f>IF($O125="",0,IF(COUNTIFS(업무일지!$F$5:$F$1004,$O125,업무일지!$B$5:$B$1004,"&gt;="&amp;DATE($B$3,6,1),업무일지!$B$5:$B$1004,"&lt;"&amp;DATE($B$3,6+1,1),업무일지!$D$5:$D$1004,"출장")&gt;0,1,0))</f>
        <v/>
      </c>
      <c r="V125">
        <f>IF($O125="",0,IF(COUNTIFS(업무일지!$F$5:$F$1004,$O125,업무일지!$B$5:$B$1004,"&gt;="&amp;DATE($B$3,7,1),업무일지!$B$5:$B$1004,"&lt;"&amp;DATE($B$3,7+1,1),업무일지!$D$5:$D$1004,"출장")&gt;0,1,0))</f>
        <v/>
      </c>
      <c r="W125">
        <f>IF($O125="",0,IF(COUNTIFS(업무일지!$F$5:$F$1004,$O125,업무일지!$B$5:$B$1004,"&gt;="&amp;DATE($B$3,8,1),업무일지!$B$5:$B$1004,"&lt;"&amp;DATE($B$3,8+1,1),업무일지!$D$5:$D$1004,"출장")&gt;0,1,0))</f>
        <v/>
      </c>
      <c r="X125">
        <f>IF($O125="",0,IF(COUNTIFS(업무일지!$F$5:$F$1004,$O125,업무일지!$B$5:$B$1004,"&gt;="&amp;DATE($B$3,9,1),업무일지!$B$5:$B$1004,"&lt;"&amp;DATE($B$3,9+1,1),업무일지!$D$5:$D$1004,"출장")&gt;0,1,0))</f>
        <v/>
      </c>
      <c r="Y125">
        <f>IF($O125="",0,IF(COUNTIFS(업무일지!$F$5:$F$1004,$O125,업무일지!$B$5:$B$1004,"&gt;="&amp;DATE($B$3,10,1),업무일지!$B$5:$B$1004,"&lt;"&amp;DATE($B$3,10+1,1),업무일지!$D$5:$D$1004,"출장")&gt;0,1,0))</f>
        <v/>
      </c>
      <c r="Z125">
        <f>IF($O125="",0,IF(COUNTIFS(업무일지!$F$5:$F$1004,$O125,업무일지!$B$5:$B$1004,"&gt;="&amp;DATE($B$3,11,1),업무일지!$B$5:$B$1004,"&lt;"&amp;DATE($B$3,11+1,1),업무일지!$D$5:$D$1004,"출장")&gt;0,1,0))</f>
        <v/>
      </c>
      <c r="AA125">
        <f>IF($O125="",0,IF(COUNTIFS(업무일지!$F$5:$F$1004,$O125,업무일지!$B$5:$B$1004,"&gt;="&amp;DATE($B$3,12,1),업무일지!$B$5:$B$1004,"&lt;"&amp;DATE($B$3,12+1,1),업무일지!$D$5:$D$1004,"출장")&gt;0,1,0))</f>
        <v/>
      </c>
      <c r="AB125">
        <f>IF($O125="",0,IF(COUNTIFS(업무일지!$F$5:$F$1004,$O125,업무일지!$B$5:$B$1004,"&gt;="&amp;DATE($B$3,1,1),업무일지!$B$5:$B$1004,"&lt;"&amp;DATE($B$3,1+1,1),업무일지!$D$5:$D$1004,"분석")&gt;0,1,0))</f>
        <v/>
      </c>
      <c r="AC125">
        <f>IF($O125="",0,IF(COUNTIFS(업무일지!$F$5:$F$1004,$O125,업무일지!$B$5:$B$1004,"&gt;="&amp;DATE($B$3,2,1),업무일지!$B$5:$B$1004,"&lt;"&amp;DATE($B$3,2+1,1),업무일지!$D$5:$D$1004,"분석")&gt;0,1,0))</f>
        <v/>
      </c>
      <c r="AD125">
        <f>IF($O125="",0,IF(COUNTIFS(업무일지!$F$5:$F$1004,$O125,업무일지!$B$5:$B$1004,"&gt;="&amp;DATE($B$3,3,1),업무일지!$B$5:$B$1004,"&lt;"&amp;DATE($B$3,3+1,1),업무일지!$D$5:$D$1004,"분석")&gt;0,1,0))</f>
        <v/>
      </c>
      <c r="AE125">
        <f>IF($O125="",0,IF(COUNTIFS(업무일지!$F$5:$F$1004,$O125,업무일지!$B$5:$B$1004,"&gt;="&amp;DATE($B$3,4,1),업무일지!$B$5:$B$1004,"&lt;"&amp;DATE($B$3,4+1,1),업무일지!$D$5:$D$1004,"분석")&gt;0,1,0))</f>
        <v/>
      </c>
      <c r="AF125">
        <f>IF($O125="",0,IF(COUNTIFS(업무일지!$F$5:$F$1004,$O125,업무일지!$B$5:$B$1004,"&gt;="&amp;DATE($B$3,5,1),업무일지!$B$5:$B$1004,"&lt;"&amp;DATE($B$3,5+1,1),업무일지!$D$5:$D$1004,"분석")&gt;0,1,0))</f>
        <v/>
      </c>
      <c r="AG125">
        <f>IF($O125="",0,IF(COUNTIFS(업무일지!$F$5:$F$1004,$O125,업무일지!$B$5:$B$1004,"&gt;="&amp;DATE($B$3,6,1),업무일지!$B$5:$B$1004,"&lt;"&amp;DATE($B$3,6+1,1),업무일지!$D$5:$D$1004,"분석")&gt;0,1,0))</f>
        <v/>
      </c>
      <c r="AH125">
        <f>IF($O125="",0,IF(COUNTIFS(업무일지!$F$5:$F$1004,$O125,업무일지!$B$5:$B$1004,"&gt;="&amp;DATE($B$3,7,1),업무일지!$B$5:$B$1004,"&lt;"&amp;DATE($B$3,7+1,1),업무일지!$D$5:$D$1004,"분석")&gt;0,1,0))</f>
        <v/>
      </c>
      <c r="AI125">
        <f>IF($O125="",0,IF(COUNTIFS(업무일지!$F$5:$F$1004,$O125,업무일지!$B$5:$B$1004,"&gt;="&amp;DATE($B$3,8,1),업무일지!$B$5:$B$1004,"&lt;"&amp;DATE($B$3,8+1,1),업무일지!$D$5:$D$1004,"분석")&gt;0,1,0))</f>
        <v/>
      </c>
      <c r="AJ125">
        <f>IF($O125="",0,IF(COUNTIFS(업무일지!$F$5:$F$1004,$O125,업무일지!$B$5:$B$1004,"&gt;="&amp;DATE($B$3,9,1),업무일지!$B$5:$B$1004,"&lt;"&amp;DATE($B$3,9+1,1),업무일지!$D$5:$D$1004,"분석")&gt;0,1,0))</f>
        <v/>
      </c>
      <c r="AK125">
        <f>IF($O125="",0,IF(COUNTIFS(업무일지!$F$5:$F$1004,$O125,업무일지!$B$5:$B$1004,"&gt;="&amp;DATE($B$3,10,1),업무일지!$B$5:$B$1004,"&lt;"&amp;DATE($B$3,10+1,1),업무일지!$D$5:$D$1004,"분석")&gt;0,1,0))</f>
        <v/>
      </c>
      <c r="AL125">
        <f>IF($O125="",0,IF(COUNTIFS(업무일지!$F$5:$F$1004,$O125,업무일지!$B$5:$B$1004,"&gt;="&amp;DATE($B$3,11,1),업무일지!$B$5:$B$1004,"&lt;"&amp;DATE($B$3,11+1,1),업무일지!$D$5:$D$1004,"분석")&gt;0,1,0))</f>
        <v/>
      </c>
      <c r="AM125">
        <f>IF($O125="",0,IF(COUNTIFS(업무일지!$F$5:$F$1004,$O125,업무일지!$B$5:$B$1004,"&gt;="&amp;DATE($B$3,12,1),업무일지!$B$5:$B$1004,"&lt;"&amp;DATE($B$3,12+1,1),업무일지!$D$5:$D$1004,"분석")&gt;0,1,0))</f>
        <v/>
      </c>
      <c r="AN125">
        <f>IF($O125="",0,IF(COUNTIFS(업무일지!$F$5:$F$1004,$O125,업무일지!$B$5:$B$1004,"&gt;="&amp;DATE($B$3,1,1),업무일지!$B$5:$B$1004,"&lt;"&amp;DATE($B$3,1+1,1))&gt;0,1,0))</f>
        <v/>
      </c>
      <c r="AO125">
        <f>IF($O125="",0,IF(COUNTIFS(업무일지!$F$5:$F$1004,$O125,업무일지!$B$5:$B$1004,"&gt;="&amp;DATE($B$3,2,1),업무일지!$B$5:$B$1004,"&lt;"&amp;DATE($B$3,2+1,1))&gt;0,1,0))</f>
        <v/>
      </c>
      <c r="AP125">
        <f>IF($O125="",0,IF(COUNTIFS(업무일지!$F$5:$F$1004,$O125,업무일지!$B$5:$B$1004,"&gt;="&amp;DATE($B$3,3,1),업무일지!$B$5:$B$1004,"&lt;"&amp;DATE($B$3,3+1,1))&gt;0,1,0))</f>
        <v/>
      </c>
      <c r="AQ125">
        <f>IF($O125="",0,IF(COUNTIFS(업무일지!$F$5:$F$1004,$O125,업무일지!$B$5:$B$1004,"&gt;="&amp;DATE($B$3,4,1),업무일지!$B$5:$B$1004,"&lt;"&amp;DATE($B$3,4+1,1))&gt;0,1,0))</f>
        <v/>
      </c>
      <c r="AR125">
        <f>IF($O125="",0,IF(COUNTIFS(업무일지!$F$5:$F$1004,$O125,업무일지!$B$5:$B$1004,"&gt;="&amp;DATE($B$3,5,1),업무일지!$B$5:$B$1004,"&lt;"&amp;DATE($B$3,5+1,1))&gt;0,1,0))</f>
        <v/>
      </c>
      <c r="AS125">
        <f>IF($O125="",0,IF(COUNTIFS(업무일지!$F$5:$F$1004,$O125,업무일지!$B$5:$B$1004,"&gt;="&amp;DATE($B$3,6,1),업무일지!$B$5:$B$1004,"&lt;"&amp;DATE($B$3,6+1,1))&gt;0,1,0))</f>
        <v/>
      </c>
      <c r="AT125">
        <f>IF($O125="",0,IF(COUNTIFS(업무일지!$F$5:$F$1004,$O125,업무일지!$B$5:$B$1004,"&gt;="&amp;DATE($B$3,7,1),업무일지!$B$5:$B$1004,"&lt;"&amp;DATE($B$3,7+1,1))&gt;0,1,0))</f>
        <v/>
      </c>
      <c r="AU125">
        <f>IF($O125="",0,IF(COUNTIFS(업무일지!$F$5:$F$1004,$O125,업무일지!$B$5:$B$1004,"&gt;="&amp;DATE($B$3,8,1),업무일지!$B$5:$B$1004,"&lt;"&amp;DATE($B$3,8+1,1))&gt;0,1,0))</f>
        <v/>
      </c>
      <c r="AV125">
        <f>IF($O125="",0,IF(COUNTIFS(업무일지!$F$5:$F$1004,$O125,업무일지!$B$5:$B$1004,"&gt;="&amp;DATE($B$3,9,1),업무일지!$B$5:$B$1004,"&lt;"&amp;DATE($B$3,9+1,1))&gt;0,1,0))</f>
        <v/>
      </c>
      <c r="AW125">
        <f>IF($O125="",0,IF(COUNTIFS(업무일지!$F$5:$F$1004,$O125,업무일지!$B$5:$B$1004,"&gt;="&amp;DATE($B$3,10,1),업무일지!$B$5:$B$1004,"&lt;"&amp;DATE($B$3,10+1,1))&gt;0,1,0))</f>
        <v/>
      </c>
      <c r="AX125">
        <f>IF($O125="",0,IF(COUNTIFS(업무일지!$F$5:$F$1004,$O125,업무일지!$B$5:$B$1004,"&gt;="&amp;DATE($B$3,11,1),업무일지!$B$5:$B$1004,"&lt;"&amp;DATE($B$3,11+1,1))&gt;0,1,0))</f>
        <v/>
      </c>
      <c r="AY125">
        <f>IF($O125="",0,IF(COUNTIFS(업무일지!$F$5:$F$1004,$O125,업무일지!$B$5:$B$1004,"&gt;="&amp;DATE($B$3,12,1),업무일지!$B$5:$B$1004,"&lt;"&amp;DATE($B$3,12+1,1))&gt;0,1,0))</f>
        <v/>
      </c>
      <c r="AZ125">
        <f>IF($O125="",0,IF(COUNTIFS(업무일지!$F$5:$F$1004,$O125,업무일지!$B$5:$B$1004,"&gt;="&amp;DATE($B$3,1,1),업무일지!$B$5:$B$1004,"&lt;"&amp;DATE($B$3+1,1,1),업무일지!$D$5:$D$1004,"출장")&gt;0,1,0))</f>
        <v/>
      </c>
      <c r="BA125">
        <f>IF($O125="",0,IF(COUNTIFS(업무일지!$F$5:$F$1004,$O125,업무일지!$B$5:$B$1004,"&gt;="&amp;DATE($B$3,1,1),업무일지!$B$5:$B$1004,"&lt;"&amp;DATE($B$3+1,1,1),업무일지!$D$5:$D$1004,"분석")&gt;0,1,0))</f>
        <v/>
      </c>
      <c r="BB125">
        <f>IF($O125="",0,IF(COUNTIFS(업무일지!$F$5:$F$1004,$O125,업무일지!$B$5:$B$1004,"&gt;="&amp;DATE($B$3,1,1),업무일지!$B$5:$B$1004,"&lt;"&amp;DATE($B$3+1,1,1))&gt;0,1,0))</f>
        <v/>
      </c>
      <c r="BD125">
        <f>IF($O125="",0,IF(COUNTIFS(업무일지!$F$5:$F$1004,$O125,업무일지!$B$5:$B$1004,"&gt;="&amp;DATE($B$3,1,1),업무일지!$B$5:$B$1004,"&lt;"&amp;DATE($B$3+1,1,1),업무일지!$AB$5:$AB$1004,$A$44,업무일지!$D$5:$D$1004,"출장")&gt;0,1,0))</f>
        <v/>
      </c>
      <c r="BE125">
        <f>IF($O125="",0,IF(COUNTIFS(업무일지!$F$5:$F$1004,$O125,업무일지!$B$5:$B$1004,"&gt;="&amp;DATE($B$3,1,1),업무일지!$B$5:$B$1004,"&lt;"&amp;DATE($B$3+1,1,1),업무일지!$AB$5:$AB$1004,$A$45,업무일지!$D$5:$D$1004,"출장")&gt;0,1,0))</f>
        <v/>
      </c>
      <c r="BF125">
        <f>IF($O125="",0,IF(COUNTIFS(업무일지!$F$5:$F$1004,$O125,업무일지!$B$5:$B$1004,"&gt;="&amp;DATE($B$3,1,1),업무일지!$B$5:$B$1004,"&lt;"&amp;DATE($B$3+1,1,1),업무일지!$AB$5:$AB$1004,$A$46,업무일지!$D$5:$D$1004,"출장")&gt;0,1,0))</f>
        <v/>
      </c>
      <c r="BG125">
        <f>IF($O125="",0,IF(COUNTIFS(업무일지!$F$5:$F$1004,$O125,업무일지!$B$5:$B$1004,"&gt;="&amp;DATE($B$3,1,1),업무일지!$B$5:$B$1004,"&lt;"&amp;DATE($B$3+1,1,1),업무일지!$AB$5:$AB$1004,$A$47,업무일지!$D$5:$D$1004,"출장")&gt;0,1,0))</f>
        <v/>
      </c>
      <c r="BH125">
        <f>IF($O125="",0,IF(COUNTIFS(업무일지!$F$5:$F$1004,$O125,업무일지!$B$5:$B$1004,"&gt;="&amp;DATE($B$3,1,1),업무일지!$B$5:$B$1004,"&lt;"&amp;DATE($B$3+1,1,1),업무일지!$AB$5:$AB$1004,$A$48,업무일지!$D$5:$D$1004,"출장")&gt;0,1,0))</f>
        <v/>
      </c>
      <c r="BI125">
        <f>IF($O125="",0,IF(COUNTIFS(업무일지!$F$5:$F$1004,$O125,업무일지!$B$5:$B$1004,"&gt;="&amp;DATE($B$3,1,1),업무일지!$B$5:$B$1004,"&lt;"&amp;DATE($B$3+1,1,1),업무일지!$AB$5:$AB$1004,$A$49,업무일지!$D$5:$D$1004,"출장")&gt;0,1,0))</f>
        <v/>
      </c>
      <c r="BJ125">
        <f>IF($O125="",0,IF(COUNTIFS(업무일지!$F$5:$F$1004,$O125,업무일지!$B$5:$B$1004,"&gt;="&amp;DATE($B$3,1,1),업무일지!$B$5:$B$1004,"&lt;"&amp;DATE($B$3+1,1,1),업무일지!$AB$5:$AB$1004,$A$50,업무일지!$D$5:$D$1004,"출장")&gt;0,1,0))</f>
        <v/>
      </c>
      <c r="BK125">
        <f>IF($O125="",0,IF(COUNTIFS(업무일지!$F$5:$F$1004,$O125,업무일지!$B$5:$B$1004,"&gt;="&amp;DATE($B$3,1,1),업무일지!$B$5:$B$1004,"&lt;"&amp;DATE($B$3+1,1,1),업무일지!$AB$5:$AB$1004,$A$51,업무일지!$D$5:$D$1004,"출장")&gt;0,1,0))</f>
        <v/>
      </c>
      <c r="BL125">
        <f>IF($O125="",0,IF(COUNTIFS(업무일지!$F$5:$F$1004,$O125,업무일지!$B$5:$B$1004,"&gt;="&amp;DATE($B$3,1,1),업무일지!$B$5:$B$1004,"&lt;"&amp;DATE($B$3+1,1,1),업무일지!$AB$5:$AB$1004,$A$52,업무일지!$D$5:$D$1004,"출장")&gt;0,1,0))</f>
        <v/>
      </c>
      <c r="BM125">
        <f>IF($O125="",0,IF(COUNTIFS(업무일지!$F$5:$F$1004,$O125,업무일지!$B$5:$B$1004,"&gt;="&amp;DATE($B$3,1,1),업무일지!$B$5:$B$1004,"&lt;"&amp;DATE($B$3+1,1,1),업무일지!$AB$5:$AB$1004,$A$53,업무일지!$D$5:$D$1004,"출장")&gt;0,1,0))</f>
        <v/>
      </c>
      <c r="BO125">
        <f>IF($O125="",0,IF(COUNTIFS(업무일지!$F$5:$F$1004,$O125,업무일지!$B$5:$B$1004,"&gt;="&amp;DATE($B$3,1,1),업무일지!$B$5:$B$1004,"&lt;"&amp;DATE($B$3+1,1,1),업무일지!$AB$5:$AB$1004,$A$44,업무일지!$D$5:$D$1004,"분석")&gt;0,1,0))</f>
        <v/>
      </c>
      <c r="BP125">
        <f>IF($O125="",0,IF(COUNTIFS(업무일지!$F$5:$F$1004,$O125,업무일지!$B$5:$B$1004,"&gt;="&amp;DATE($B$3,1,1),업무일지!$B$5:$B$1004,"&lt;"&amp;DATE($B$3+1,1,1),업무일지!$AB$5:$AB$1004,$A$45,업무일지!$D$5:$D$1004,"분석")&gt;0,1,0))</f>
        <v/>
      </c>
      <c r="BQ125">
        <f>IF($O125="",0,IF(COUNTIFS(업무일지!$F$5:$F$1004,$O125,업무일지!$B$5:$B$1004,"&gt;="&amp;DATE($B$3,1,1),업무일지!$B$5:$B$1004,"&lt;"&amp;DATE($B$3+1,1,1),업무일지!$AB$5:$AB$1004,$A$46,업무일지!$D$5:$D$1004,"분석")&gt;0,1,0))</f>
        <v/>
      </c>
      <c r="BR125">
        <f>IF($O125="",0,IF(COUNTIFS(업무일지!$F$5:$F$1004,$O125,업무일지!$B$5:$B$1004,"&gt;="&amp;DATE($B$3,1,1),업무일지!$B$5:$B$1004,"&lt;"&amp;DATE($B$3+1,1,1),업무일지!$AB$5:$AB$1004,$A$47,업무일지!$D$5:$D$1004,"분석")&gt;0,1,0))</f>
        <v/>
      </c>
      <c r="BS125">
        <f>IF($O125="",0,IF(COUNTIFS(업무일지!$F$5:$F$1004,$O125,업무일지!$B$5:$B$1004,"&gt;="&amp;DATE($B$3,1,1),업무일지!$B$5:$B$1004,"&lt;"&amp;DATE($B$3+1,1,1),업무일지!$AB$5:$AB$1004,$A$48,업무일지!$D$5:$D$1004,"분석")&gt;0,1,0))</f>
        <v/>
      </c>
      <c r="BT125">
        <f>IF($O125="",0,IF(COUNTIFS(업무일지!$F$5:$F$1004,$O125,업무일지!$B$5:$B$1004,"&gt;="&amp;DATE($B$3,1,1),업무일지!$B$5:$B$1004,"&lt;"&amp;DATE($B$3+1,1,1),업무일지!$AB$5:$AB$1004,$A$49,업무일지!$D$5:$D$1004,"분석")&gt;0,1,0))</f>
        <v/>
      </c>
      <c r="BU125">
        <f>IF($O125="",0,IF(COUNTIFS(업무일지!$F$5:$F$1004,$O125,업무일지!$B$5:$B$1004,"&gt;="&amp;DATE($B$3,1,1),업무일지!$B$5:$B$1004,"&lt;"&amp;DATE($B$3+1,1,1),업무일지!$AB$5:$AB$1004,$A$50,업무일지!$D$5:$D$1004,"분석")&gt;0,1,0))</f>
        <v/>
      </c>
      <c r="BV125">
        <f>IF($O125="",0,IF(COUNTIFS(업무일지!$F$5:$F$1004,$O125,업무일지!$B$5:$B$1004,"&gt;="&amp;DATE($B$3,1,1),업무일지!$B$5:$B$1004,"&lt;"&amp;DATE($B$3+1,1,1),업무일지!$AB$5:$AB$1004,$A$51,업무일지!$D$5:$D$1004,"분석")&gt;0,1,0))</f>
        <v/>
      </c>
      <c r="BW125">
        <f>IF($O125="",0,IF(COUNTIFS(업무일지!$F$5:$F$1004,$O125,업무일지!$B$5:$B$1004,"&gt;="&amp;DATE($B$3,1,1),업무일지!$B$5:$B$1004,"&lt;"&amp;DATE($B$3+1,1,1),업무일지!$AB$5:$AB$1004,$A$52,업무일지!$D$5:$D$1004,"분석")&gt;0,1,0))</f>
        <v/>
      </c>
      <c r="BX125">
        <f>IF($O125="",0,IF(COUNTIFS(업무일지!$F$5:$F$1004,$O125,업무일지!$B$5:$B$1004,"&gt;="&amp;DATE($B$3,1,1),업무일지!$B$5:$B$1004,"&lt;"&amp;DATE($B$3+1,1,1),업무일지!$AB$5:$AB$1004,$A$53,업무일지!$D$5:$D$1004,"분석")&gt;0,1,0))</f>
        <v/>
      </c>
      <c r="BZ125">
        <f>IF($O125="",0,IF(COUNTIFS(업무일지!$F$5:$F$1004,$O125,업무일지!$B$5:$B$1004,"&gt;="&amp;DATE($B$3,1,1),업무일지!$B$5:$B$1004,"&lt;"&amp;DATE($B$3+1,1,1),업무일지!$AB$5:$AB$1004,$A$44)&gt;0,1,0))</f>
        <v/>
      </c>
      <c r="CA125">
        <f>IF($O125="",0,IF(COUNTIFS(업무일지!$F$5:$F$1004,$O125,업무일지!$B$5:$B$1004,"&gt;="&amp;DATE($B$3,1,1),업무일지!$B$5:$B$1004,"&lt;"&amp;DATE($B$3+1,1,1),업무일지!$AB$5:$AB$1004,$A$45)&gt;0,1,0))</f>
        <v/>
      </c>
      <c r="CB125">
        <f>IF($O125="",0,IF(COUNTIFS(업무일지!$F$5:$F$1004,$O125,업무일지!$B$5:$B$1004,"&gt;="&amp;DATE($B$3,1,1),업무일지!$B$5:$B$1004,"&lt;"&amp;DATE($B$3+1,1,1),업무일지!$AB$5:$AB$1004,$A$46)&gt;0,1,0))</f>
        <v/>
      </c>
      <c r="CC125">
        <f>IF($O125="",0,IF(COUNTIFS(업무일지!$F$5:$F$1004,$O125,업무일지!$B$5:$B$1004,"&gt;="&amp;DATE($B$3,1,1),업무일지!$B$5:$B$1004,"&lt;"&amp;DATE($B$3+1,1,1),업무일지!$AB$5:$AB$1004,$A$47)&gt;0,1,0))</f>
        <v/>
      </c>
      <c r="CD125">
        <f>IF($O125="",0,IF(COUNTIFS(업무일지!$F$5:$F$1004,$O125,업무일지!$B$5:$B$1004,"&gt;="&amp;DATE($B$3,1,1),업무일지!$B$5:$B$1004,"&lt;"&amp;DATE($B$3+1,1,1),업무일지!$AB$5:$AB$1004,$A$48)&gt;0,1,0))</f>
        <v/>
      </c>
      <c r="CE125">
        <f>IF($O125="",0,IF(COUNTIFS(업무일지!$F$5:$F$1004,$O125,업무일지!$B$5:$B$1004,"&gt;="&amp;DATE($B$3,1,1),업무일지!$B$5:$B$1004,"&lt;"&amp;DATE($B$3+1,1,1),업무일지!$AB$5:$AB$1004,$A$49)&gt;0,1,0))</f>
        <v/>
      </c>
      <c r="CF125">
        <f>IF($O125="",0,IF(COUNTIFS(업무일지!$F$5:$F$1004,$O125,업무일지!$B$5:$B$1004,"&gt;="&amp;DATE($B$3,1,1),업무일지!$B$5:$B$1004,"&lt;"&amp;DATE($B$3+1,1,1),업무일지!$AB$5:$AB$1004,$A$50)&gt;0,1,0))</f>
        <v/>
      </c>
      <c r="CG125">
        <f>IF($O125="",0,IF(COUNTIFS(업무일지!$F$5:$F$1004,$O125,업무일지!$B$5:$B$1004,"&gt;="&amp;DATE($B$3,1,1),업무일지!$B$5:$B$1004,"&lt;"&amp;DATE($B$3+1,1,1),업무일지!$AB$5:$AB$1004,$A$51)&gt;0,1,0))</f>
        <v/>
      </c>
      <c r="CH125">
        <f>IF($O125="",0,IF(COUNTIFS(업무일지!$F$5:$F$1004,$O125,업무일지!$B$5:$B$1004,"&gt;="&amp;DATE($B$3,1,1),업무일지!$B$5:$B$1004,"&lt;"&amp;DATE($B$3+1,1,1),업무일지!$AB$5:$AB$1004,$A$52)&gt;0,1,0))</f>
        <v/>
      </c>
      <c r="CI125">
        <f>IF($O125="",0,IF(COUNTIFS(업무일지!$F$5:$F$1004,$O125,업무일지!$B$5:$B$1004,"&gt;="&amp;DATE($B$3,1,1),업무일지!$B$5:$B$1004,"&lt;"&amp;DATE($B$3+1,1,1),업무일지!$AB$5:$AB$1004,$A$53)&gt;0,1,0))</f>
        <v/>
      </c>
    </row>
    <row r="126">
      <c r="O126">
        <f>IF(사건마스터!$A46="","",사건마스터!$A46)</f>
        <v/>
      </c>
      <c r="P126">
        <f>IF($O126="",0,IF(COUNTIFS(업무일지!$F$5:$F$1004,$O126,업무일지!$B$5:$B$1004,"&gt;="&amp;DATE($B$3,1,1),업무일지!$B$5:$B$1004,"&lt;"&amp;DATE($B$3,1+1,1),업무일지!$D$5:$D$1004,"출장")&gt;0,1,0))</f>
        <v/>
      </c>
      <c r="Q126">
        <f>IF($O126="",0,IF(COUNTIFS(업무일지!$F$5:$F$1004,$O126,업무일지!$B$5:$B$1004,"&gt;="&amp;DATE($B$3,2,1),업무일지!$B$5:$B$1004,"&lt;"&amp;DATE($B$3,2+1,1),업무일지!$D$5:$D$1004,"출장")&gt;0,1,0))</f>
        <v/>
      </c>
      <c r="R126">
        <f>IF($O126="",0,IF(COUNTIFS(업무일지!$F$5:$F$1004,$O126,업무일지!$B$5:$B$1004,"&gt;="&amp;DATE($B$3,3,1),업무일지!$B$5:$B$1004,"&lt;"&amp;DATE($B$3,3+1,1),업무일지!$D$5:$D$1004,"출장")&gt;0,1,0))</f>
        <v/>
      </c>
      <c r="S126">
        <f>IF($O126="",0,IF(COUNTIFS(업무일지!$F$5:$F$1004,$O126,업무일지!$B$5:$B$1004,"&gt;="&amp;DATE($B$3,4,1),업무일지!$B$5:$B$1004,"&lt;"&amp;DATE($B$3,4+1,1),업무일지!$D$5:$D$1004,"출장")&gt;0,1,0))</f>
        <v/>
      </c>
      <c r="T126">
        <f>IF($O126="",0,IF(COUNTIFS(업무일지!$F$5:$F$1004,$O126,업무일지!$B$5:$B$1004,"&gt;="&amp;DATE($B$3,5,1),업무일지!$B$5:$B$1004,"&lt;"&amp;DATE($B$3,5+1,1),업무일지!$D$5:$D$1004,"출장")&gt;0,1,0))</f>
        <v/>
      </c>
      <c r="U126">
        <f>IF($O126="",0,IF(COUNTIFS(업무일지!$F$5:$F$1004,$O126,업무일지!$B$5:$B$1004,"&gt;="&amp;DATE($B$3,6,1),업무일지!$B$5:$B$1004,"&lt;"&amp;DATE($B$3,6+1,1),업무일지!$D$5:$D$1004,"출장")&gt;0,1,0))</f>
        <v/>
      </c>
      <c r="V126">
        <f>IF($O126="",0,IF(COUNTIFS(업무일지!$F$5:$F$1004,$O126,업무일지!$B$5:$B$1004,"&gt;="&amp;DATE($B$3,7,1),업무일지!$B$5:$B$1004,"&lt;"&amp;DATE($B$3,7+1,1),업무일지!$D$5:$D$1004,"출장")&gt;0,1,0))</f>
        <v/>
      </c>
      <c r="W126">
        <f>IF($O126="",0,IF(COUNTIFS(업무일지!$F$5:$F$1004,$O126,업무일지!$B$5:$B$1004,"&gt;="&amp;DATE($B$3,8,1),업무일지!$B$5:$B$1004,"&lt;"&amp;DATE($B$3,8+1,1),업무일지!$D$5:$D$1004,"출장")&gt;0,1,0))</f>
        <v/>
      </c>
      <c r="X126">
        <f>IF($O126="",0,IF(COUNTIFS(업무일지!$F$5:$F$1004,$O126,업무일지!$B$5:$B$1004,"&gt;="&amp;DATE($B$3,9,1),업무일지!$B$5:$B$1004,"&lt;"&amp;DATE($B$3,9+1,1),업무일지!$D$5:$D$1004,"출장")&gt;0,1,0))</f>
        <v/>
      </c>
      <c r="Y126">
        <f>IF($O126="",0,IF(COUNTIFS(업무일지!$F$5:$F$1004,$O126,업무일지!$B$5:$B$1004,"&gt;="&amp;DATE($B$3,10,1),업무일지!$B$5:$B$1004,"&lt;"&amp;DATE($B$3,10+1,1),업무일지!$D$5:$D$1004,"출장")&gt;0,1,0))</f>
        <v/>
      </c>
      <c r="Z126">
        <f>IF($O126="",0,IF(COUNTIFS(업무일지!$F$5:$F$1004,$O126,업무일지!$B$5:$B$1004,"&gt;="&amp;DATE($B$3,11,1),업무일지!$B$5:$B$1004,"&lt;"&amp;DATE($B$3,11+1,1),업무일지!$D$5:$D$1004,"출장")&gt;0,1,0))</f>
        <v/>
      </c>
      <c r="AA126">
        <f>IF($O126="",0,IF(COUNTIFS(업무일지!$F$5:$F$1004,$O126,업무일지!$B$5:$B$1004,"&gt;="&amp;DATE($B$3,12,1),업무일지!$B$5:$B$1004,"&lt;"&amp;DATE($B$3,12+1,1),업무일지!$D$5:$D$1004,"출장")&gt;0,1,0))</f>
        <v/>
      </c>
      <c r="AB126">
        <f>IF($O126="",0,IF(COUNTIFS(업무일지!$F$5:$F$1004,$O126,업무일지!$B$5:$B$1004,"&gt;="&amp;DATE($B$3,1,1),업무일지!$B$5:$B$1004,"&lt;"&amp;DATE($B$3,1+1,1),업무일지!$D$5:$D$1004,"분석")&gt;0,1,0))</f>
        <v/>
      </c>
      <c r="AC126">
        <f>IF($O126="",0,IF(COUNTIFS(업무일지!$F$5:$F$1004,$O126,업무일지!$B$5:$B$1004,"&gt;="&amp;DATE($B$3,2,1),업무일지!$B$5:$B$1004,"&lt;"&amp;DATE($B$3,2+1,1),업무일지!$D$5:$D$1004,"분석")&gt;0,1,0))</f>
        <v/>
      </c>
      <c r="AD126">
        <f>IF($O126="",0,IF(COUNTIFS(업무일지!$F$5:$F$1004,$O126,업무일지!$B$5:$B$1004,"&gt;="&amp;DATE($B$3,3,1),업무일지!$B$5:$B$1004,"&lt;"&amp;DATE($B$3,3+1,1),업무일지!$D$5:$D$1004,"분석")&gt;0,1,0))</f>
        <v/>
      </c>
      <c r="AE126">
        <f>IF($O126="",0,IF(COUNTIFS(업무일지!$F$5:$F$1004,$O126,업무일지!$B$5:$B$1004,"&gt;="&amp;DATE($B$3,4,1),업무일지!$B$5:$B$1004,"&lt;"&amp;DATE($B$3,4+1,1),업무일지!$D$5:$D$1004,"분석")&gt;0,1,0))</f>
        <v/>
      </c>
      <c r="AF126">
        <f>IF($O126="",0,IF(COUNTIFS(업무일지!$F$5:$F$1004,$O126,업무일지!$B$5:$B$1004,"&gt;="&amp;DATE($B$3,5,1),업무일지!$B$5:$B$1004,"&lt;"&amp;DATE($B$3,5+1,1),업무일지!$D$5:$D$1004,"분석")&gt;0,1,0))</f>
        <v/>
      </c>
      <c r="AG126">
        <f>IF($O126="",0,IF(COUNTIFS(업무일지!$F$5:$F$1004,$O126,업무일지!$B$5:$B$1004,"&gt;="&amp;DATE($B$3,6,1),업무일지!$B$5:$B$1004,"&lt;"&amp;DATE($B$3,6+1,1),업무일지!$D$5:$D$1004,"분석")&gt;0,1,0))</f>
        <v/>
      </c>
      <c r="AH126">
        <f>IF($O126="",0,IF(COUNTIFS(업무일지!$F$5:$F$1004,$O126,업무일지!$B$5:$B$1004,"&gt;="&amp;DATE($B$3,7,1),업무일지!$B$5:$B$1004,"&lt;"&amp;DATE($B$3,7+1,1),업무일지!$D$5:$D$1004,"분석")&gt;0,1,0))</f>
        <v/>
      </c>
      <c r="AI126">
        <f>IF($O126="",0,IF(COUNTIFS(업무일지!$F$5:$F$1004,$O126,업무일지!$B$5:$B$1004,"&gt;="&amp;DATE($B$3,8,1),업무일지!$B$5:$B$1004,"&lt;"&amp;DATE($B$3,8+1,1),업무일지!$D$5:$D$1004,"분석")&gt;0,1,0))</f>
        <v/>
      </c>
      <c r="AJ126">
        <f>IF($O126="",0,IF(COUNTIFS(업무일지!$F$5:$F$1004,$O126,업무일지!$B$5:$B$1004,"&gt;="&amp;DATE($B$3,9,1),업무일지!$B$5:$B$1004,"&lt;"&amp;DATE($B$3,9+1,1),업무일지!$D$5:$D$1004,"분석")&gt;0,1,0))</f>
        <v/>
      </c>
      <c r="AK126">
        <f>IF($O126="",0,IF(COUNTIFS(업무일지!$F$5:$F$1004,$O126,업무일지!$B$5:$B$1004,"&gt;="&amp;DATE($B$3,10,1),업무일지!$B$5:$B$1004,"&lt;"&amp;DATE($B$3,10+1,1),업무일지!$D$5:$D$1004,"분석")&gt;0,1,0))</f>
        <v/>
      </c>
      <c r="AL126">
        <f>IF($O126="",0,IF(COUNTIFS(업무일지!$F$5:$F$1004,$O126,업무일지!$B$5:$B$1004,"&gt;="&amp;DATE($B$3,11,1),업무일지!$B$5:$B$1004,"&lt;"&amp;DATE($B$3,11+1,1),업무일지!$D$5:$D$1004,"분석")&gt;0,1,0))</f>
        <v/>
      </c>
      <c r="AM126">
        <f>IF($O126="",0,IF(COUNTIFS(업무일지!$F$5:$F$1004,$O126,업무일지!$B$5:$B$1004,"&gt;="&amp;DATE($B$3,12,1),업무일지!$B$5:$B$1004,"&lt;"&amp;DATE($B$3,12+1,1),업무일지!$D$5:$D$1004,"분석")&gt;0,1,0))</f>
        <v/>
      </c>
      <c r="AN126">
        <f>IF($O126="",0,IF(COUNTIFS(업무일지!$F$5:$F$1004,$O126,업무일지!$B$5:$B$1004,"&gt;="&amp;DATE($B$3,1,1),업무일지!$B$5:$B$1004,"&lt;"&amp;DATE($B$3,1+1,1))&gt;0,1,0))</f>
        <v/>
      </c>
      <c r="AO126">
        <f>IF($O126="",0,IF(COUNTIFS(업무일지!$F$5:$F$1004,$O126,업무일지!$B$5:$B$1004,"&gt;="&amp;DATE($B$3,2,1),업무일지!$B$5:$B$1004,"&lt;"&amp;DATE($B$3,2+1,1))&gt;0,1,0))</f>
        <v/>
      </c>
      <c r="AP126">
        <f>IF($O126="",0,IF(COUNTIFS(업무일지!$F$5:$F$1004,$O126,업무일지!$B$5:$B$1004,"&gt;="&amp;DATE($B$3,3,1),업무일지!$B$5:$B$1004,"&lt;"&amp;DATE($B$3,3+1,1))&gt;0,1,0))</f>
        <v/>
      </c>
      <c r="AQ126">
        <f>IF($O126="",0,IF(COUNTIFS(업무일지!$F$5:$F$1004,$O126,업무일지!$B$5:$B$1004,"&gt;="&amp;DATE($B$3,4,1),업무일지!$B$5:$B$1004,"&lt;"&amp;DATE($B$3,4+1,1))&gt;0,1,0))</f>
        <v/>
      </c>
      <c r="AR126">
        <f>IF($O126="",0,IF(COUNTIFS(업무일지!$F$5:$F$1004,$O126,업무일지!$B$5:$B$1004,"&gt;="&amp;DATE($B$3,5,1),업무일지!$B$5:$B$1004,"&lt;"&amp;DATE($B$3,5+1,1))&gt;0,1,0))</f>
        <v/>
      </c>
      <c r="AS126">
        <f>IF($O126="",0,IF(COUNTIFS(업무일지!$F$5:$F$1004,$O126,업무일지!$B$5:$B$1004,"&gt;="&amp;DATE($B$3,6,1),업무일지!$B$5:$B$1004,"&lt;"&amp;DATE($B$3,6+1,1))&gt;0,1,0))</f>
        <v/>
      </c>
      <c r="AT126">
        <f>IF($O126="",0,IF(COUNTIFS(업무일지!$F$5:$F$1004,$O126,업무일지!$B$5:$B$1004,"&gt;="&amp;DATE($B$3,7,1),업무일지!$B$5:$B$1004,"&lt;"&amp;DATE($B$3,7+1,1))&gt;0,1,0))</f>
        <v/>
      </c>
      <c r="AU126">
        <f>IF($O126="",0,IF(COUNTIFS(업무일지!$F$5:$F$1004,$O126,업무일지!$B$5:$B$1004,"&gt;="&amp;DATE($B$3,8,1),업무일지!$B$5:$B$1004,"&lt;"&amp;DATE($B$3,8+1,1))&gt;0,1,0))</f>
        <v/>
      </c>
      <c r="AV126">
        <f>IF($O126="",0,IF(COUNTIFS(업무일지!$F$5:$F$1004,$O126,업무일지!$B$5:$B$1004,"&gt;="&amp;DATE($B$3,9,1),업무일지!$B$5:$B$1004,"&lt;"&amp;DATE($B$3,9+1,1))&gt;0,1,0))</f>
        <v/>
      </c>
      <c r="AW126">
        <f>IF($O126="",0,IF(COUNTIFS(업무일지!$F$5:$F$1004,$O126,업무일지!$B$5:$B$1004,"&gt;="&amp;DATE($B$3,10,1),업무일지!$B$5:$B$1004,"&lt;"&amp;DATE($B$3,10+1,1))&gt;0,1,0))</f>
        <v/>
      </c>
      <c r="AX126">
        <f>IF($O126="",0,IF(COUNTIFS(업무일지!$F$5:$F$1004,$O126,업무일지!$B$5:$B$1004,"&gt;="&amp;DATE($B$3,11,1),업무일지!$B$5:$B$1004,"&lt;"&amp;DATE($B$3,11+1,1))&gt;0,1,0))</f>
        <v/>
      </c>
      <c r="AY126">
        <f>IF($O126="",0,IF(COUNTIFS(업무일지!$F$5:$F$1004,$O126,업무일지!$B$5:$B$1004,"&gt;="&amp;DATE($B$3,12,1),업무일지!$B$5:$B$1004,"&lt;"&amp;DATE($B$3,12+1,1))&gt;0,1,0))</f>
        <v/>
      </c>
      <c r="AZ126">
        <f>IF($O126="",0,IF(COUNTIFS(업무일지!$F$5:$F$1004,$O126,업무일지!$B$5:$B$1004,"&gt;="&amp;DATE($B$3,1,1),업무일지!$B$5:$B$1004,"&lt;"&amp;DATE($B$3+1,1,1),업무일지!$D$5:$D$1004,"출장")&gt;0,1,0))</f>
        <v/>
      </c>
      <c r="BA126">
        <f>IF($O126="",0,IF(COUNTIFS(업무일지!$F$5:$F$1004,$O126,업무일지!$B$5:$B$1004,"&gt;="&amp;DATE($B$3,1,1),업무일지!$B$5:$B$1004,"&lt;"&amp;DATE($B$3+1,1,1),업무일지!$D$5:$D$1004,"분석")&gt;0,1,0))</f>
        <v/>
      </c>
      <c r="BB126">
        <f>IF($O126="",0,IF(COUNTIFS(업무일지!$F$5:$F$1004,$O126,업무일지!$B$5:$B$1004,"&gt;="&amp;DATE($B$3,1,1),업무일지!$B$5:$B$1004,"&lt;"&amp;DATE($B$3+1,1,1))&gt;0,1,0))</f>
        <v/>
      </c>
      <c r="BD126">
        <f>IF($O126="",0,IF(COUNTIFS(업무일지!$F$5:$F$1004,$O126,업무일지!$B$5:$B$1004,"&gt;="&amp;DATE($B$3,1,1),업무일지!$B$5:$B$1004,"&lt;"&amp;DATE($B$3+1,1,1),업무일지!$AB$5:$AB$1004,$A$44,업무일지!$D$5:$D$1004,"출장")&gt;0,1,0))</f>
        <v/>
      </c>
      <c r="BE126">
        <f>IF($O126="",0,IF(COUNTIFS(업무일지!$F$5:$F$1004,$O126,업무일지!$B$5:$B$1004,"&gt;="&amp;DATE($B$3,1,1),업무일지!$B$5:$B$1004,"&lt;"&amp;DATE($B$3+1,1,1),업무일지!$AB$5:$AB$1004,$A$45,업무일지!$D$5:$D$1004,"출장")&gt;0,1,0))</f>
        <v/>
      </c>
      <c r="BF126">
        <f>IF($O126="",0,IF(COUNTIFS(업무일지!$F$5:$F$1004,$O126,업무일지!$B$5:$B$1004,"&gt;="&amp;DATE($B$3,1,1),업무일지!$B$5:$B$1004,"&lt;"&amp;DATE($B$3+1,1,1),업무일지!$AB$5:$AB$1004,$A$46,업무일지!$D$5:$D$1004,"출장")&gt;0,1,0))</f>
        <v/>
      </c>
      <c r="BG126">
        <f>IF($O126="",0,IF(COUNTIFS(업무일지!$F$5:$F$1004,$O126,업무일지!$B$5:$B$1004,"&gt;="&amp;DATE($B$3,1,1),업무일지!$B$5:$B$1004,"&lt;"&amp;DATE($B$3+1,1,1),업무일지!$AB$5:$AB$1004,$A$47,업무일지!$D$5:$D$1004,"출장")&gt;0,1,0))</f>
        <v/>
      </c>
      <c r="BH126">
        <f>IF($O126="",0,IF(COUNTIFS(업무일지!$F$5:$F$1004,$O126,업무일지!$B$5:$B$1004,"&gt;="&amp;DATE($B$3,1,1),업무일지!$B$5:$B$1004,"&lt;"&amp;DATE($B$3+1,1,1),업무일지!$AB$5:$AB$1004,$A$48,업무일지!$D$5:$D$1004,"출장")&gt;0,1,0))</f>
        <v/>
      </c>
      <c r="BI126">
        <f>IF($O126="",0,IF(COUNTIFS(업무일지!$F$5:$F$1004,$O126,업무일지!$B$5:$B$1004,"&gt;="&amp;DATE($B$3,1,1),업무일지!$B$5:$B$1004,"&lt;"&amp;DATE($B$3+1,1,1),업무일지!$AB$5:$AB$1004,$A$49,업무일지!$D$5:$D$1004,"출장")&gt;0,1,0))</f>
        <v/>
      </c>
      <c r="BJ126">
        <f>IF($O126="",0,IF(COUNTIFS(업무일지!$F$5:$F$1004,$O126,업무일지!$B$5:$B$1004,"&gt;="&amp;DATE($B$3,1,1),업무일지!$B$5:$B$1004,"&lt;"&amp;DATE($B$3+1,1,1),업무일지!$AB$5:$AB$1004,$A$50,업무일지!$D$5:$D$1004,"출장")&gt;0,1,0))</f>
        <v/>
      </c>
      <c r="BK126">
        <f>IF($O126="",0,IF(COUNTIFS(업무일지!$F$5:$F$1004,$O126,업무일지!$B$5:$B$1004,"&gt;="&amp;DATE($B$3,1,1),업무일지!$B$5:$B$1004,"&lt;"&amp;DATE($B$3+1,1,1),업무일지!$AB$5:$AB$1004,$A$51,업무일지!$D$5:$D$1004,"출장")&gt;0,1,0))</f>
        <v/>
      </c>
      <c r="BL126">
        <f>IF($O126="",0,IF(COUNTIFS(업무일지!$F$5:$F$1004,$O126,업무일지!$B$5:$B$1004,"&gt;="&amp;DATE($B$3,1,1),업무일지!$B$5:$B$1004,"&lt;"&amp;DATE($B$3+1,1,1),업무일지!$AB$5:$AB$1004,$A$52,업무일지!$D$5:$D$1004,"출장")&gt;0,1,0))</f>
        <v/>
      </c>
      <c r="BM126">
        <f>IF($O126="",0,IF(COUNTIFS(업무일지!$F$5:$F$1004,$O126,업무일지!$B$5:$B$1004,"&gt;="&amp;DATE($B$3,1,1),업무일지!$B$5:$B$1004,"&lt;"&amp;DATE($B$3+1,1,1),업무일지!$AB$5:$AB$1004,$A$53,업무일지!$D$5:$D$1004,"출장")&gt;0,1,0))</f>
        <v/>
      </c>
      <c r="BO126">
        <f>IF($O126="",0,IF(COUNTIFS(업무일지!$F$5:$F$1004,$O126,업무일지!$B$5:$B$1004,"&gt;="&amp;DATE($B$3,1,1),업무일지!$B$5:$B$1004,"&lt;"&amp;DATE($B$3+1,1,1),업무일지!$AB$5:$AB$1004,$A$44,업무일지!$D$5:$D$1004,"분석")&gt;0,1,0))</f>
        <v/>
      </c>
      <c r="BP126">
        <f>IF($O126="",0,IF(COUNTIFS(업무일지!$F$5:$F$1004,$O126,업무일지!$B$5:$B$1004,"&gt;="&amp;DATE($B$3,1,1),업무일지!$B$5:$B$1004,"&lt;"&amp;DATE($B$3+1,1,1),업무일지!$AB$5:$AB$1004,$A$45,업무일지!$D$5:$D$1004,"분석")&gt;0,1,0))</f>
        <v/>
      </c>
      <c r="BQ126">
        <f>IF($O126="",0,IF(COUNTIFS(업무일지!$F$5:$F$1004,$O126,업무일지!$B$5:$B$1004,"&gt;="&amp;DATE($B$3,1,1),업무일지!$B$5:$B$1004,"&lt;"&amp;DATE($B$3+1,1,1),업무일지!$AB$5:$AB$1004,$A$46,업무일지!$D$5:$D$1004,"분석")&gt;0,1,0))</f>
        <v/>
      </c>
      <c r="BR126">
        <f>IF($O126="",0,IF(COUNTIFS(업무일지!$F$5:$F$1004,$O126,업무일지!$B$5:$B$1004,"&gt;="&amp;DATE($B$3,1,1),업무일지!$B$5:$B$1004,"&lt;"&amp;DATE($B$3+1,1,1),업무일지!$AB$5:$AB$1004,$A$47,업무일지!$D$5:$D$1004,"분석")&gt;0,1,0))</f>
        <v/>
      </c>
      <c r="BS126">
        <f>IF($O126="",0,IF(COUNTIFS(업무일지!$F$5:$F$1004,$O126,업무일지!$B$5:$B$1004,"&gt;="&amp;DATE($B$3,1,1),업무일지!$B$5:$B$1004,"&lt;"&amp;DATE($B$3+1,1,1),업무일지!$AB$5:$AB$1004,$A$48,업무일지!$D$5:$D$1004,"분석")&gt;0,1,0))</f>
        <v/>
      </c>
      <c r="BT126">
        <f>IF($O126="",0,IF(COUNTIFS(업무일지!$F$5:$F$1004,$O126,업무일지!$B$5:$B$1004,"&gt;="&amp;DATE($B$3,1,1),업무일지!$B$5:$B$1004,"&lt;"&amp;DATE($B$3+1,1,1),업무일지!$AB$5:$AB$1004,$A$49,업무일지!$D$5:$D$1004,"분석")&gt;0,1,0))</f>
        <v/>
      </c>
      <c r="BU126">
        <f>IF($O126="",0,IF(COUNTIFS(업무일지!$F$5:$F$1004,$O126,업무일지!$B$5:$B$1004,"&gt;="&amp;DATE($B$3,1,1),업무일지!$B$5:$B$1004,"&lt;"&amp;DATE($B$3+1,1,1),업무일지!$AB$5:$AB$1004,$A$50,업무일지!$D$5:$D$1004,"분석")&gt;0,1,0))</f>
        <v/>
      </c>
      <c r="BV126">
        <f>IF($O126="",0,IF(COUNTIFS(업무일지!$F$5:$F$1004,$O126,업무일지!$B$5:$B$1004,"&gt;="&amp;DATE($B$3,1,1),업무일지!$B$5:$B$1004,"&lt;"&amp;DATE($B$3+1,1,1),업무일지!$AB$5:$AB$1004,$A$51,업무일지!$D$5:$D$1004,"분석")&gt;0,1,0))</f>
        <v/>
      </c>
      <c r="BW126">
        <f>IF($O126="",0,IF(COUNTIFS(업무일지!$F$5:$F$1004,$O126,업무일지!$B$5:$B$1004,"&gt;="&amp;DATE($B$3,1,1),업무일지!$B$5:$B$1004,"&lt;"&amp;DATE($B$3+1,1,1),업무일지!$AB$5:$AB$1004,$A$52,업무일지!$D$5:$D$1004,"분석")&gt;0,1,0))</f>
        <v/>
      </c>
      <c r="BX126">
        <f>IF($O126="",0,IF(COUNTIFS(업무일지!$F$5:$F$1004,$O126,업무일지!$B$5:$B$1004,"&gt;="&amp;DATE($B$3,1,1),업무일지!$B$5:$B$1004,"&lt;"&amp;DATE($B$3+1,1,1),업무일지!$AB$5:$AB$1004,$A$53,업무일지!$D$5:$D$1004,"분석")&gt;0,1,0))</f>
        <v/>
      </c>
      <c r="BZ126">
        <f>IF($O126="",0,IF(COUNTIFS(업무일지!$F$5:$F$1004,$O126,업무일지!$B$5:$B$1004,"&gt;="&amp;DATE($B$3,1,1),업무일지!$B$5:$B$1004,"&lt;"&amp;DATE($B$3+1,1,1),업무일지!$AB$5:$AB$1004,$A$44)&gt;0,1,0))</f>
        <v/>
      </c>
      <c r="CA126">
        <f>IF($O126="",0,IF(COUNTIFS(업무일지!$F$5:$F$1004,$O126,업무일지!$B$5:$B$1004,"&gt;="&amp;DATE($B$3,1,1),업무일지!$B$5:$B$1004,"&lt;"&amp;DATE($B$3+1,1,1),업무일지!$AB$5:$AB$1004,$A$45)&gt;0,1,0))</f>
        <v/>
      </c>
      <c r="CB126">
        <f>IF($O126="",0,IF(COUNTIFS(업무일지!$F$5:$F$1004,$O126,업무일지!$B$5:$B$1004,"&gt;="&amp;DATE($B$3,1,1),업무일지!$B$5:$B$1004,"&lt;"&amp;DATE($B$3+1,1,1),업무일지!$AB$5:$AB$1004,$A$46)&gt;0,1,0))</f>
        <v/>
      </c>
      <c r="CC126">
        <f>IF($O126="",0,IF(COUNTIFS(업무일지!$F$5:$F$1004,$O126,업무일지!$B$5:$B$1004,"&gt;="&amp;DATE($B$3,1,1),업무일지!$B$5:$B$1004,"&lt;"&amp;DATE($B$3+1,1,1),업무일지!$AB$5:$AB$1004,$A$47)&gt;0,1,0))</f>
        <v/>
      </c>
      <c r="CD126">
        <f>IF($O126="",0,IF(COUNTIFS(업무일지!$F$5:$F$1004,$O126,업무일지!$B$5:$B$1004,"&gt;="&amp;DATE($B$3,1,1),업무일지!$B$5:$B$1004,"&lt;"&amp;DATE($B$3+1,1,1),업무일지!$AB$5:$AB$1004,$A$48)&gt;0,1,0))</f>
        <v/>
      </c>
      <c r="CE126">
        <f>IF($O126="",0,IF(COUNTIFS(업무일지!$F$5:$F$1004,$O126,업무일지!$B$5:$B$1004,"&gt;="&amp;DATE($B$3,1,1),업무일지!$B$5:$B$1004,"&lt;"&amp;DATE($B$3+1,1,1),업무일지!$AB$5:$AB$1004,$A$49)&gt;0,1,0))</f>
        <v/>
      </c>
      <c r="CF126">
        <f>IF($O126="",0,IF(COUNTIFS(업무일지!$F$5:$F$1004,$O126,업무일지!$B$5:$B$1004,"&gt;="&amp;DATE($B$3,1,1),업무일지!$B$5:$B$1004,"&lt;"&amp;DATE($B$3+1,1,1),업무일지!$AB$5:$AB$1004,$A$50)&gt;0,1,0))</f>
        <v/>
      </c>
      <c r="CG126">
        <f>IF($O126="",0,IF(COUNTIFS(업무일지!$F$5:$F$1004,$O126,업무일지!$B$5:$B$1004,"&gt;="&amp;DATE($B$3,1,1),업무일지!$B$5:$B$1004,"&lt;"&amp;DATE($B$3+1,1,1),업무일지!$AB$5:$AB$1004,$A$51)&gt;0,1,0))</f>
        <v/>
      </c>
      <c r="CH126">
        <f>IF($O126="",0,IF(COUNTIFS(업무일지!$F$5:$F$1004,$O126,업무일지!$B$5:$B$1004,"&gt;="&amp;DATE($B$3,1,1),업무일지!$B$5:$B$1004,"&lt;"&amp;DATE($B$3+1,1,1),업무일지!$AB$5:$AB$1004,$A$52)&gt;0,1,0))</f>
        <v/>
      </c>
      <c r="CI126">
        <f>IF($O126="",0,IF(COUNTIFS(업무일지!$F$5:$F$1004,$O126,업무일지!$B$5:$B$1004,"&gt;="&amp;DATE($B$3,1,1),업무일지!$B$5:$B$1004,"&lt;"&amp;DATE($B$3+1,1,1),업무일지!$AB$5:$AB$1004,$A$53)&gt;0,1,0))</f>
        <v/>
      </c>
    </row>
    <row r="127">
      <c r="O127">
        <f>IF(사건마스터!$A47="","",사건마스터!$A47)</f>
        <v/>
      </c>
      <c r="P127">
        <f>IF($O127="",0,IF(COUNTIFS(업무일지!$F$5:$F$1004,$O127,업무일지!$B$5:$B$1004,"&gt;="&amp;DATE($B$3,1,1),업무일지!$B$5:$B$1004,"&lt;"&amp;DATE($B$3,1+1,1),업무일지!$D$5:$D$1004,"출장")&gt;0,1,0))</f>
        <v/>
      </c>
      <c r="Q127">
        <f>IF($O127="",0,IF(COUNTIFS(업무일지!$F$5:$F$1004,$O127,업무일지!$B$5:$B$1004,"&gt;="&amp;DATE($B$3,2,1),업무일지!$B$5:$B$1004,"&lt;"&amp;DATE($B$3,2+1,1),업무일지!$D$5:$D$1004,"출장")&gt;0,1,0))</f>
        <v/>
      </c>
      <c r="R127">
        <f>IF($O127="",0,IF(COUNTIFS(업무일지!$F$5:$F$1004,$O127,업무일지!$B$5:$B$1004,"&gt;="&amp;DATE($B$3,3,1),업무일지!$B$5:$B$1004,"&lt;"&amp;DATE($B$3,3+1,1),업무일지!$D$5:$D$1004,"출장")&gt;0,1,0))</f>
        <v/>
      </c>
      <c r="S127">
        <f>IF($O127="",0,IF(COUNTIFS(업무일지!$F$5:$F$1004,$O127,업무일지!$B$5:$B$1004,"&gt;="&amp;DATE($B$3,4,1),업무일지!$B$5:$B$1004,"&lt;"&amp;DATE($B$3,4+1,1),업무일지!$D$5:$D$1004,"출장")&gt;0,1,0))</f>
        <v/>
      </c>
      <c r="T127">
        <f>IF($O127="",0,IF(COUNTIFS(업무일지!$F$5:$F$1004,$O127,업무일지!$B$5:$B$1004,"&gt;="&amp;DATE($B$3,5,1),업무일지!$B$5:$B$1004,"&lt;"&amp;DATE($B$3,5+1,1),업무일지!$D$5:$D$1004,"출장")&gt;0,1,0))</f>
        <v/>
      </c>
      <c r="U127">
        <f>IF($O127="",0,IF(COUNTIFS(업무일지!$F$5:$F$1004,$O127,업무일지!$B$5:$B$1004,"&gt;="&amp;DATE($B$3,6,1),업무일지!$B$5:$B$1004,"&lt;"&amp;DATE($B$3,6+1,1),업무일지!$D$5:$D$1004,"출장")&gt;0,1,0))</f>
        <v/>
      </c>
      <c r="V127">
        <f>IF($O127="",0,IF(COUNTIFS(업무일지!$F$5:$F$1004,$O127,업무일지!$B$5:$B$1004,"&gt;="&amp;DATE($B$3,7,1),업무일지!$B$5:$B$1004,"&lt;"&amp;DATE($B$3,7+1,1),업무일지!$D$5:$D$1004,"출장")&gt;0,1,0))</f>
        <v/>
      </c>
      <c r="W127">
        <f>IF($O127="",0,IF(COUNTIFS(업무일지!$F$5:$F$1004,$O127,업무일지!$B$5:$B$1004,"&gt;="&amp;DATE($B$3,8,1),업무일지!$B$5:$B$1004,"&lt;"&amp;DATE($B$3,8+1,1),업무일지!$D$5:$D$1004,"출장")&gt;0,1,0))</f>
        <v/>
      </c>
      <c r="X127">
        <f>IF($O127="",0,IF(COUNTIFS(업무일지!$F$5:$F$1004,$O127,업무일지!$B$5:$B$1004,"&gt;="&amp;DATE($B$3,9,1),업무일지!$B$5:$B$1004,"&lt;"&amp;DATE($B$3,9+1,1),업무일지!$D$5:$D$1004,"출장")&gt;0,1,0))</f>
        <v/>
      </c>
      <c r="Y127">
        <f>IF($O127="",0,IF(COUNTIFS(업무일지!$F$5:$F$1004,$O127,업무일지!$B$5:$B$1004,"&gt;="&amp;DATE($B$3,10,1),업무일지!$B$5:$B$1004,"&lt;"&amp;DATE($B$3,10+1,1),업무일지!$D$5:$D$1004,"출장")&gt;0,1,0))</f>
        <v/>
      </c>
      <c r="Z127">
        <f>IF($O127="",0,IF(COUNTIFS(업무일지!$F$5:$F$1004,$O127,업무일지!$B$5:$B$1004,"&gt;="&amp;DATE($B$3,11,1),업무일지!$B$5:$B$1004,"&lt;"&amp;DATE($B$3,11+1,1),업무일지!$D$5:$D$1004,"출장")&gt;0,1,0))</f>
        <v/>
      </c>
      <c r="AA127">
        <f>IF($O127="",0,IF(COUNTIFS(업무일지!$F$5:$F$1004,$O127,업무일지!$B$5:$B$1004,"&gt;="&amp;DATE($B$3,12,1),업무일지!$B$5:$B$1004,"&lt;"&amp;DATE($B$3,12+1,1),업무일지!$D$5:$D$1004,"출장")&gt;0,1,0))</f>
        <v/>
      </c>
      <c r="AB127">
        <f>IF($O127="",0,IF(COUNTIFS(업무일지!$F$5:$F$1004,$O127,업무일지!$B$5:$B$1004,"&gt;="&amp;DATE($B$3,1,1),업무일지!$B$5:$B$1004,"&lt;"&amp;DATE($B$3,1+1,1),업무일지!$D$5:$D$1004,"분석")&gt;0,1,0))</f>
        <v/>
      </c>
      <c r="AC127">
        <f>IF($O127="",0,IF(COUNTIFS(업무일지!$F$5:$F$1004,$O127,업무일지!$B$5:$B$1004,"&gt;="&amp;DATE($B$3,2,1),업무일지!$B$5:$B$1004,"&lt;"&amp;DATE($B$3,2+1,1),업무일지!$D$5:$D$1004,"분석")&gt;0,1,0))</f>
        <v/>
      </c>
      <c r="AD127">
        <f>IF($O127="",0,IF(COUNTIFS(업무일지!$F$5:$F$1004,$O127,업무일지!$B$5:$B$1004,"&gt;="&amp;DATE($B$3,3,1),업무일지!$B$5:$B$1004,"&lt;"&amp;DATE($B$3,3+1,1),업무일지!$D$5:$D$1004,"분석")&gt;0,1,0))</f>
        <v/>
      </c>
      <c r="AE127">
        <f>IF($O127="",0,IF(COUNTIFS(업무일지!$F$5:$F$1004,$O127,업무일지!$B$5:$B$1004,"&gt;="&amp;DATE($B$3,4,1),업무일지!$B$5:$B$1004,"&lt;"&amp;DATE($B$3,4+1,1),업무일지!$D$5:$D$1004,"분석")&gt;0,1,0))</f>
        <v/>
      </c>
      <c r="AF127">
        <f>IF($O127="",0,IF(COUNTIFS(업무일지!$F$5:$F$1004,$O127,업무일지!$B$5:$B$1004,"&gt;="&amp;DATE($B$3,5,1),업무일지!$B$5:$B$1004,"&lt;"&amp;DATE($B$3,5+1,1),업무일지!$D$5:$D$1004,"분석")&gt;0,1,0))</f>
        <v/>
      </c>
      <c r="AG127">
        <f>IF($O127="",0,IF(COUNTIFS(업무일지!$F$5:$F$1004,$O127,업무일지!$B$5:$B$1004,"&gt;="&amp;DATE($B$3,6,1),업무일지!$B$5:$B$1004,"&lt;"&amp;DATE($B$3,6+1,1),업무일지!$D$5:$D$1004,"분석")&gt;0,1,0))</f>
        <v/>
      </c>
      <c r="AH127">
        <f>IF($O127="",0,IF(COUNTIFS(업무일지!$F$5:$F$1004,$O127,업무일지!$B$5:$B$1004,"&gt;="&amp;DATE($B$3,7,1),업무일지!$B$5:$B$1004,"&lt;"&amp;DATE($B$3,7+1,1),업무일지!$D$5:$D$1004,"분석")&gt;0,1,0))</f>
        <v/>
      </c>
      <c r="AI127">
        <f>IF($O127="",0,IF(COUNTIFS(업무일지!$F$5:$F$1004,$O127,업무일지!$B$5:$B$1004,"&gt;="&amp;DATE($B$3,8,1),업무일지!$B$5:$B$1004,"&lt;"&amp;DATE($B$3,8+1,1),업무일지!$D$5:$D$1004,"분석")&gt;0,1,0))</f>
        <v/>
      </c>
      <c r="AJ127">
        <f>IF($O127="",0,IF(COUNTIFS(업무일지!$F$5:$F$1004,$O127,업무일지!$B$5:$B$1004,"&gt;="&amp;DATE($B$3,9,1),업무일지!$B$5:$B$1004,"&lt;"&amp;DATE($B$3,9+1,1),업무일지!$D$5:$D$1004,"분석")&gt;0,1,0))</f>
        <v/>
      </c>
      <c r="AK127">
        <f>IF($O127="",0,IF(COUNTIFS(업무일지!$F$5:$F$1004,$O127,업무일지!$B$5:$B$1004,"&gt;="&amp;DATE($B$3,10,1),업무일지!$B$5:$B$1004,"&lt;"&amp;DATE($B$3,10+1,1),업무일지!$D$5:$D$1004,"분석")&gt;0,1,0))</f>
        <v/>
      </c>
      <c r="AL127">
        <f>IF($O127="",0,IF(COUNTIFS(업무일지!$F$5:$F$1004,$O127,업무일지!$B$5:$B$1004,"&gt;="&amp;DATE($B$3,11,1),업무일지!$B$5:$B$1004,"&lt;"&amp;DATE($B$3,11+1,1),업무일지!$D$5:$D$1004,"분석")&gt;0,1,0))</f>
        <v/>
      </c>
      <c r="AM127">
        <f>IF($O127="",0,IF(COUNTIFS(업무일지!$F$5:$F$1004,$O127,업무일지!$B$5:$B$1004,"&gt;="&amp;DATE($B$3,12,1),업무일지!$B$5:$B$1004,"&lt;"&amp;DATE($B$3,12+1,1),업무일지!$D$5:$D$1004,"분석")&gt;0,1,0))</f>
        <v/>
      </c>
      <c r="AN127">
        <f>IF($O127="",0,IF(COUNTIFS(업무일지!$F$5:$F$1004,$O127,업무일지!$B$5:$B$1004,"&gt;="&amp;DATE($B$3,1,1),업무일지!$B$5:$B$1004,"&lt;"&amp;DATE($B$3,1+1,1))&gt;0,1,0))</f>
        <v/>
      </c>
      <c r="AO127">
        <f>IF($O127="",0,IF(COUNTIFS(업무일지!$F$5:$F$1004,$O127,업무일지!$B$5:$B$1004,"&gt;="&amp;DATE($B$3,2,1),업무일지!$B$5:$B$1004,"&lt;"&amp;DATE($B$3,2+1,1))&gt;0,1,0))</f>
        <v/>
      </c>
      <c r="AP127">
        <f>IF($O127="",0,IF(COUNTIFS(업무일지!$F$5:$F$1004,$O127,업무일지!$B$5:$B$1004,"&gt;="&amp;DATE($B$3,3,1),업무일지!$B$5:$B$1004,"&lt;"&amp;DATE($B$3,3+1,1))&gt;0,1,0))</f>
        <v/>
      </c>
      <c r="AQ127">
        <f>IF($O127="",0,IF(COUNTIFS(업무일지!$F$5:$F$1004,$O127,업무일지!$B$5:$B$1004,"&gt;="&amp;DATE($B$3,4,1),업무일지!$B$5:$B$1004,"&lt;"&amp;DATE($B$3,4+1,1))&gt;0,1,0))</f>
        <v/>
      </c>
      <c r="AR127">
        <f>IF($O127="",0,IF(COUNTIFS(업무일지!$F$5:$F$1004,$O127,업무일지!$B$5:$B$1004,"&gt;="&amp;DATE($B$3,5,1),업무일지!$B$5:$B$1004,"&lt;"&amp;DATE($B$3,5+1,1))&gt;0,1,0))</f>
        <v/>
      </c>
      <c r="AS127">
        <f>IF($O127="",0,IF(COUNTIFS(업무일지!$F$5:$F$1004,$O127,업무일지!$B$5:$B$1004,"&gt;="&amp;DATE($B$3,6,1),업무일지!$B$5:$B$1004,"&lt;"&amp;DATE($B$3,6+1,1))&gt;0,1,0))</f>
        <v/>
      </c>
      <c r="AT127">
        <f>IF($O127="",0,IF(COUNTIFS(업무일지!$F$5:$F$1004,$O127,업무일지!$B$5:$B$1004,"&gt;="&amp;DATE($B$3,7,1),업무일지!$B$5:$B$1004,"&lt;"&amp;DATE($B$3,7+1,1))&gt;0,1,0))</f>
        <v/>
      </c>
      <c r="AU127">
        <f>IF($O127="",0,IF(COUNTIFS(업무일지!$F$5:$F$1004,$O127,업무일지!$B$5:$B$1004,"&gt;="&amp;DATE($B$3,8,1),업무일지!$B$5:$B$1004,"&lt;"&amp;DATE($B$3,8+1,1))&gt;0,1,0))</f>
        <v/>
      </c>
      <c r="AV127">
        <f>IF($O127="",0,IF(COUNTIFS(업무일지!$F$5:$F$1004,$O127,업무일지!$B$5:$B$1004,"&gt;="&amp;DATE($B$3,9,1),업무일지!$B$5:$B$1004,"&lt;"&amp;DATE($B$3,9+1,1))&gt;0,1,0))</f>
        <v/>
      </c>
      <c r="AW127">
        <f>IF($O127="",0,IF(COUNTIFS(업무일지!$F$5:$F$1004,$O127,업무일지!$B$5:$B$1004,"&gt;="&amp;DATE($B$3,10,1),업무일지!$B$5:$B$1004,"&lt;"&amp;DATE($B$3,10+1,1))&gt;0,1,0))</f>
        <v/>
      </c>
      <c r="AX127">
        <f>IF($O127="",0,IF(COUNTIFS(업무일지!$F$5:$F$1004,$O127,업무일지!$B$5:$B$1004,"&gt;="&amp;DATE($B$3,11,1),업무일지!$B$5:$B$1004,"&lt;"&amp;DATE($B$3,11+1,1))&gt;0,1,0))</f>
        <v/>
      </c>
      <c r="AY127">
        <f>IF($O127="",0,IF(COUNTIFS(업무일지!$F$5:$F$1004,$O127,업무일지!$B$5:$B$1004,"&gt;="&amp;DATE($B$3,12,1),업무일지!$B$5:$B$1004,"&lt;"&amp;DATE($B$3,12+1,1))&gt;0,1,0))</f>
        <v/>
      </c>
      <c r="AZ127">
        <f>IF($O127="",0,IF(COUNTIFS(업무일지!$F$5:$F$1004,$O127,업무일지!$B$5:$B$1004,"&gt;="&amp;DATE($B$3,1,1),업무일지!$B$5:$B$1004,"&lt;"&amp;DATE($B$3+1,1,1),업무일지!$D$5:$D$1004,"출장")&gt;0,1,0))</f>
        <v/>
      </c>
      <c r="BA127">
        <f>IF($O127="",0,IF(COUNTIFS(업무일지!$F$5:$F$1004,$O127,업무일지!$B$5:$B$1004,"&gt;="&amp;DATE($B$3,1,1),업무일지!$B$5:$B$1004,"&lt;"&amp;DATE($B$3+1,1,1),업무일지!$D$5:$D$1004,"분석")&gt;0,1,0))</f>
        <v/>
      </c>
      <c r="BB127">
        <f>IF($O127="",0,IF(COUNTIFS(업무일지!$F$5:$F$1004,$O127,업무일지!$B$5:$B$1004,"&gt;="&amp;DATE($B$3,1,1),업무일지!$B$5:$B$1004,"&lt;"&amp;DATE($B$3+1,1,1))&gt;0,1,0))</f>
        <v/>
      </c>
      <c r="BD127">
        <f>IF($O127="",0,IF(COUNTIFS(업무일지!$F$5:$F$1004,$O127,업무일지!$B$5:$B$1004,"&gt;="&amp;DATE($B$3,1,1),업무일지!$B$5:$B$1004,"&lt;"&amp;DATE($B$3+1,1,1),업무일지!$AB$5:$AB$1004,$A$44,업무일지!$D$5:$D$1004,"출장")&gt;0,1,0))</f>
        <v/>
      </c>
      <c r="BE127">
        <f>IF($O127="",0,IF(COUNTIFS(업무일지!$F$5:$F$1004,$O127,업무일지!$B$5:$B$1004,"&gt;="&amp;DATE($B$3,1,1),업무일지!$B$5:$B$1004,"&lt;"&amp;DATE($B$3+1,1,1),업무일지!$AB$5:$AB$1004,$A$45,업무일지!$D$5:$D$1004,"출장")&gt;0,1,0))</f>
        <v/>
      </c>
      <c r="BF127">
        <f>IF($O127="",0,IF(COUNTIFS(업무일지!$F$5:$F$1004,$O127,업무일지!$B$5:$B$1004,"&gt;="&amp;DATE($B$3,1,1),업무일지!$B$5:$B$1004,"&lt;"&amp;DATE($B$3+1,1,1),업무일지!$AB$5:$AB$1004,$A$46,업무일지!$D$5:$D$1004,"출장")&gt;0,1,0))</f>
        <v/>
      </c>
      <c r="BG127">
        <f>IF($O127="",0,IF(COUNTIFS(업무일지!$F$5:$F$1004,$O127,업무일지!$B$5:$B$1004,"&gt;="&amp;DATE($B$3,1,1),업무일지!$B$5:$B$1004,"&lt;"&amp;DATE($B$3+1,1,1),업무일지!$AB$5:$AB$1004,$A$47,업무일지!$D$5:$D$1004,"출장")&gt;0,1,0))</f>
        <v/>
      </c>
      <c r="BH127">
        <f>IF($O127="",0,IF(COUNTIFS(업무일지!$F$5:$F$1004,$O127,업무일지!$B$5:$B$1004,"&gt;="&amp;DATE($B$3,1,1),업무일지!$B$5:$B$1004,"&lt;"&amp;DATE($B$3+1,1,1),업무일지!$AB$5:$AB$1004,$A$48,업무일지!$D$5:$D$1004,"출장")&gt;0,1,0))</f>
        <v/>
      </c>
      <c r="BI127">
        <f>IF($O127="",0,IF(COUNTIFS(업무일지!$F$5:$F$1004,$O127,업무일지!$B$5:$B$1004,"&gt;="&amp;DATE($B$3,1,1),업무일지!$B$5:$B$1004,"&lt;"&amp;DATE($B$3+1,1,1),업무일지!$AB$5:$AB$1004,$A$49,업무일지!$D$5:$D$1004,"출장")&gt;0,1,0))</f>
        <v/>
      </c>
      <c r="BJ127">
        <f>IF($O127="",0,IF(COUNTIFS(업무일지!$F$5:$F$1004,$O127,업무일지!$B$5:$B$1004,"&gt;="&amp;DATE($B$3,1,1),업무일지!$B$5:$B$1004,"&lt;"&amp;DATE($B$3+1,1,1),업무일지!$AB$5:$AB$1004,$A$50,업무일지!$D$5:$D$1004,"출장")&gt;0,1,0))</f>
        <v/>
      </c>
      <c r="BK127">
        <f>IF($O127="",0,IF(COUNTIFS(업무일지!$F$5:$F$1004,$O127,업무일지!$B$5:$B$1004,"&gt;="&amp;DATE($B$3,1,1),업무일지!$B$5:$B$1004,"&lt;"&amp;DATE($B$3+1,1,1),업무일지!$AB$5:$AB$1004,$A$51,업무일지!$D$5:$D$1004,"출장")&gt;0,1,0))</f>
        <v/>
      </c>
      <c r="BL127">
        <f>IF($O127="",0,IF(COUNTIFS(업무일지!$F$5:$F$1004,$O127,업무일지!$B$5:$B$1004,"&gt;="&amp;DATE($B$3,1,1),업무일지!$B$5:$B$1004,"&lt;"&amp;DATE($B$3+1,1,1),업무일지!$AB$5:$AB$1004,$A$52,업무일지!$D$5:$D$1004,"출장")&gt;0,1,0))</f>
        <v/>
      </c>
      <c r="BM127">
        <f>IF($O127="",0,IF(COUNTIFS(업무일지!$F$5:$F$1004,$O127,업무일지!$B$5:$B$1004,"&gt;="&amp;DATE($B$3,1,1),업무일지!$B$5:$B$1004,"&lt;"&amp;DATE($B$3+1,1,1),업무일지!$AB$5:$AB$1004,$A$53,업무일지!$D$5:$D$1004,"출장")&gt;0,1,0))</f>
        <v/>
      </c>
      <c r="BO127">
        <f>IF($O127="",0,IF(COUNTIFS(업무일지!$F$5:$F$1004,$O127,업무일지!$B$5:$B$1004,"&gt;="&amp;DATE($B$3,1,1),업무일지!$B$5:$B$1004,"&lt;"&amp;DATE($B$3+1,1,1),업무일지!$AB$5:$AB$1004,$A$44,업무일지!$D$5:$D$1004,"분석")&gt;0,1,0))</f>
        <v/>
      </c>
      <c r="BP127">
        <f>IF($O127="",0,IF(COUNTIFS(업무일지!$F$5:$F$1004,$O127,업무일지!$B$5:$B$1004,"&gt;="&amp;DATE($B$3,1,1),업무일지!$B$5:$B$1004,"&lt;"&amp;DATE($B$3+1,1,1),업무일지!$AB$5:$AB$1004,$A$45,업무일지!$D$5:$D$1004,"분석")&gt;0,1,0))</f>
        <v/>
      </c>
      <c r="BQ127">
        <f>IF($O127="",0,IF(COUNTIFS(업무일지!$F$5:$F$1004,$O127,업무일지!$B$5:$B$1004,"&gt;="&amp;DATE($B$3,1,1),업무일지!$B$5:$B$1004,"&lt;"&amp;DATE($B$3+1,1,1),업무일지!$AB$5:$AB$1004,$A$46,업무일지!$D$5:$D$1004,"분석")&gt;0,1,0))</f>
        <v/>
      </c>
      <c r="BR127">
        <f>IF($O127="",0,IF(COUNTIFS(업무일지!$F$5:$F$1004,$O127,업무일지!$B$5:$B$1004,"&gt;="&amp;DATE($B$3,1,1),업무일지!$B$5:$B$1004,"&lt;"&amp;DATE($B$3+1,1,1),업무일지!$AB$5:$AB$1004,$A$47,업무일지!$D$5:$D$1004,"분석")&gt;0,1,0))</f>
        <v/>
      </c>
      <c r="BS127">
        <f>IF($O127="",0,IF(COUNTIFS(업무일지!$F$5:$F$1004,$O127,업무일지!$B$5:$B$1004,"&gt;="&amp;DATE($B$3,1,1),업무일지!$B$5:$B$1004,"&lt;"&amp;DATE($B$3+1,1,1),업무일지!$AB$5:$AB$1004,$A$48,업무일지!$D$5:$D$1004,"분석")&gt;0,1,0))</f>
        <v/>
      </c>
      <c r="BT127">
        <f>IF($O127="",0,IF(COUNTIFS(업무일지!$F$5:$F$1004,$O127,업무일지!$B$5:$B$1004,"&gt;="&amp;DATE($B$3,1,1),업무일지!$B$5:$B$1004,"&lt;"&amp;DATE($B$3+1,1,1),업무일지!$AB$5:$AB$1004,$A$49,업무일지!$D$5:$D$1004,"분석")&gt;0,1,0))</f>
        <v/>
      </c>
      <c r="BU127">
        <f>IF($O127="",0,IF(COUNTIFS(업무일지!$F$5:$F$1004,$O127,업무일지!$B$5:$B$1004,"&gt;="&amp;DATE($B$3,1,1),업무일지!$B$5:$B$1004,"&lt;"&amp;DATE($B$3+1,1,1),업무일지!$AB$5:$AB$1004,$A$50,업무일지!$D$5:$D$1004,"분석")&gt;0,1,0))</f>
        <v/>
      </c>
      <c r="BV127">
        <f>IF($O127="",0,IF(COUNTIFS(업무일지!$F$5:$F$1004,$O127,업무일지!$B$5:$B$1004,"&gt;="&amp;DATE($B$3,1,1),업무일지!$B$5:$B$1004,"&lt;"&amp;DATE($B$3+1,1,1),업무일지!$AB$5:$AB$1004,$A$51,업무일지!$D$5:$D$1004,"분석")&gt;0,1,0))</f>
        <v/>
      </c>
      <c r="BW127">
        <f>IF($O127="",0,IF(COUNTIFS(업무일지!$F$5:$F$1004,$O127,업무일지!$B$5:$B$1004,"&gt;="&amp;DATE($B$3,1,1),업무일지!$B$5:$B$1004,"&lt;"&amp;DATE($B$3+1,1,1),업무일지!$AB$5:$AB$1004,$A$52,업무일지!$D$5:$D$1004,"분석")&gt;0,1,0))</f>
        <v/>
      </c>
      <c r="BX127">
        <f>IF($O127="",0,IF(COUNTIFS(업무일지!$F$5:$F$1004,$O127,업무일지!$B$5:$B$1004,"&gt;="&amp;DATE($B$3,1,1),업무일지!$B$5:$B$1004,"&lt;"&amp;DATE($B$3+1,1,1),업무일지!$AB$5:$AB$1004,$A$53,업무일지!$D$5:$D$1004,"분석")&gt;0,1,0))</f>
        <v/>
      </c>
      <c r="BZ127">
        <f>IF($O127="",0,IF(COUNTIFS(업무일지!$F$5:$F$1004,$O127,업무일지!$B$5:$B$1004,"&gt;="&amp;DATE($B$3,1,1),업무일지!$B$5:$B$1004,"&lt;"&amp;DATE($B$3+1,1,1),업무일지!$AB$5:$AB$1004,$A$44)&gt;0,1,0))</f>
        <v/>
      </c>
      <c r="CA127">
        <f>IF($O127="",0,IF(COUNTIFS(업무일지!$F$5:$F$1004,$O127,업무일지!$B$5:$B$1004,"&gt;="&amp;DATE($B$3,1,1),업무일지!$B$5:$B$1004,"&lt;"&amp;DATE($B$3+1,1,1),업무일지!$AB$5:$AB$1004,$A$45)&gt;0,1,0))</f>
        <v/>
      </c>
      <c r="CB127">
        <f>IF($O127="",0,IF(COUNTIFS(업무일지!$F$5:$F$1004,$O127,업무일지!$B$5:$B$1004,"&gt;="&amp;DATE($B$3,1,1),업무일지!$B$5:$B$1004,"&lt;"&amp;DATE($B$3+1,1,1),업무일지!$AB$5:$AB$1004,$A$46)&gt;0,1,0))</f>
        <v/>
      </c>
      <c r="CC127">
        <f>IF($O127="",0,IF(COUNTIFS(업무일지!$F$5:$F$1004,$O127,업무일지!$B$5:$B$1004,"&gt;="&amp;DATE($B$3,1,1),업무일지!$B$5:$B$1004,"&lt;"&amp;DATE($B$3+1,1,1),업무일지!$AB$5:$AB$1004,$A$47)&gt;0,1,0))</f>
        <v/>
      </c>
      <c r="CD127">
        <f>IF($O127="",0,IF(COUNTIFS(업무일지!$F$5:$F$1004,$O127,업무일지!$B$5:$B$1004,"&gt;="&amp;DATE($B$3,1,1),업무일지!$B$5:$B$1004,"&lt;"&amp;DATE($B$3+1,1,1),업무일지!$AB$5:$AB$1004,$A$48)&gt;0,1,0))</f>
        <v/>
      </c>
      <c r="CE127">
        <f>IF($O127="",0,IF(COUNTIFS(업무일지!$F$5:$F$1004,$O127,업무일지!$B$5:$B$1004,"&gt;="&amp;DATE($B$3,1,1),업무일지!$B$5:$B$1004,"&lt;"&amp;DATE($B$3+1,1,1),업무일지!$AB$5:$AB$1004,$A$49)&gt;0,1,0))</f>
        <v/>
      </c>
      <c r="CF127">
        <f>IF($O127="",0,IF(COUNTIFS(업무일지!$F$5:$F$1004,$O127,업무일지!$B$5:$B$1004,"&gt;="&amp;DATE($B$3,1,1),업무일지!$B$5:$B$1004,"&lt;"&amp;DATE($B$3+1,1,1),업무일지!$AB$5:$AB$1004,$A$50)&gt;0,1,0))</f>
        <v/>
      </c>
      <c r="CG127">
        <f>IF($O127="",0,IF(COUNTIFS(업무일지!$F$5:$F$1004,$O127,업무일지!$B$5:$B$1004,"&gt;="&amp;DATE($B$3,1,1),업무일지!$B$5:$B$1004,"&lt;"&amp;DATE($B$3+1,1,1),업무일지!$AB$5:$AB$1004,$A$51)&gt;0,1,0))</f>
        <v/>
      </c>
      <c r="CH127">
        <f>IF($O127="",0,IF(COUNTIFS(업무일지!$F$5:$F$1004,$O127,업무일지!$B$5:$B$1004,"&gt;="&amp;DATE($B$3,1,1),업무일지!$B$5:$B$1004,"&lt;"&amp;DATE($B$3+1,1,1),업무일지!$AB$5:$AB$1004,$A$52)&gt;0,1,0))</f>
        <v/>
      </c>
      <c r="CI127">
        <f>IF($O127="",0,IF(COUNTIFS(업무일지!$F$5:$F$1004,$O127,업무일지!$B$5:$B$1004,"&gt;="&amp;DATE($B$3,1,1),업무일지!$B$5:$B$1004,"&lt;"&amp;DATE($B$3+1,1,1),업무일지!$AB$5:$AB$1004,$A$53)&gt;0,1,0))</f>
        <v/>
      </c>
    </row>
    <row r="128">
      <c r="O128">
        <f>IF(사건마스터!$A48="","",사건마스터!$A48)</f>
        <v/>
      </c>
      <c r="P128">
        <f>IF($O128="",0,IF(COUNTIFS(업무일지!$F$5:$F$1004,$O128,업무일지!$B$5:$B$1004,"&gt;="&amp;DATE($B$3,1,1),업무일지!$B$5:$B$1004,"&lt;"&amp;DATE($B$3,1+1,1),업무일지!$D$5:$D$1004,"출장")&gt;0,1,0))</f>
        <v/>
      </c>
      <c r="Q128">
        <f>IF($O128="",0,IF(COUNTIFS(업무일지!$F$5:$F$1004,$O128,업무일지!$B$5:$B$1004,"&gt;="&amp;DATE($B$3,2,1),업무일지!$B$5:$B$1004,"&lt;"&amp;DATE($B$3,2+1,1),업무일지!$D$5:$D$1004,"출장")&gt;0,1,0))</f>
        <v/>
      </c>
      <c r="R128">
        <f>IF($O128="",0,IF(COUNTIFS(업무일지!$F$5:$F$1004,$O128,업무일지!$B$5:$B$1004,"&gt;="&amp;DATE($B$3,3,1),업무일지!$B$5:$B$1004,"&lt;"&amp;DATE($B$3,3+1,1),업무일지!$D$5:$D$1004,"출장")&gt;0,1,0))</f>
        <v/>
      </c>
      <c r="S128">
        <f>IF($O128="",0,IF(COUNTIFS(업무일지!$F$5:$F$1004,$O128,업무일지!$B$5:$B$1004,"&gt;="&amp;DATE($B$3,4,1),업무일지!$B$5:$B$1004,"&lt;"&amp;DATE($B$3,4+1,1),업무일지!$D$5:$D$1004,"출장")&gt;0,1,0))</f>
        <v/>
      </c>
      <c r="T128">
        <f>IF($O128="",0,IF(COUNTIFS(업무일지!$F$5:$F$1004,$O128,업무일지!$B$5:$B$1004,"&gt;="&amp;DATE($B$3,5,1),업무일지!$B$5:$B$1004,"&lt;"&amp;DATE($B$3,5+1,1),업무일지!$D$5:$D$1004,"출장")&gt;0,1,0))</f>
        <v/>
      </c>
      <c r="U128">
        <f>IF($O128="",0,IF(COUNTIFS(업무일지!$F$5:$F$1004,$O128,업무일지!$B$5:$B$1004,"&gt;="&amp;DATE($B$3,6,1),업무일지!$B$5:$B$1004,"&lt;"&amp;DATE($B$3,6+1,1),업무일지!$D$5:$D$1004,"출장")&gt;0,1,0))</f>
        <v/>
      </c>
      <c r="V128">
        <f>IF($O128="",0,IF(COUNTIFS(업무일지!$F$5:$F$1004,$O128,업무일지!$B$5:$B$1004,"&gt;="&amp;DATE($B$3,7,1),업무일지!$B$5:$B$1004,"&lt;"&amp;DATE($B$3,7+1,1),업무일지!$D$5:$D$1004,"출장")&gt;0,1,0))</f>
        <v/>
      </c>
      <c r="W128">
        <f>IF($O128="",0,IF(COUNTIFS(업무일지!$F$5:$F$1004,$O128,업무일지!$B$5:$B$1004,"&gt;="&amp;DATE($B$3,8,1),업무일지!$B$5:$B$1004,"&lt;"&amp;DATE($B$3,8+1,1),업무일지!$D$5:$D$1004,"출장")&gt;0,1,0))</f>
        <v/>
      </c>
      <c r="X128">
        <f>IF($O128="",0,IF(COUNTIFS(업무일지!$F$5:$F$1004,$O128,업무일지!$B$5:$B$1004,"&gt;="&amp;DATE($B$3,9,1),업무일지!$B$5:$B$1004,"&lt;"&amp;DATE($B$3,9+1,1),업무일지!$D$5:$D$1004,"출장")&gt;0,1,0))</f>
        <v/>
      </c>
      <c r="Y128">
        <f>IF($O128="",0,IF(COUNTIFS(업무일지!$F$5:$F$1004,$O128,업무일지!$B$5:$B$1004,"&gt;="&amp;DATE($B$3,10,1),업무일지!$B$5:$B$1004,"&lt;"&amp;DATE($B$3,10+1,1),업무일지!$D$5:$D$1004,"출장")&gt;0,1,0))</f>
        <v/>
      </c>
      <c r="Z128">
        <f>IF($O128="",0,IF(COUNTIFS(업무일지!$F$5:$F$1004,$O128,업무일지!$B$5:$B$1004,"&gt;="&amp;DATE($B$3,11,1),업무일지!$B$5:$B$1004,"&lt;"&amp;DATE($B$3,11+1,1),업무일지!$D$5:$D$1004,"출장")&gt;0,1,0))</f>
        <v/>
      </c>
      <c r="AA128">
        <f>IF($O128="",0,IF(COUNTIFS(업무일지!$F$5:$F$1004,$O128,업무일지!$B$5:$B$1004,"&gt;="&amp;DATE($B$3,12,1),업무일지!$B$5:$B$1004,"&lt;"&amp;DATE($B$3,12+1,1),업무일지!$D$5:$D$1004,"출장")&gt;0,1,0))</f>
        <v/>
      </c>
      <c r="AB128">
        <f>IF($O128="",0,IF(COUNTIFS(업무일지!$F$5:$F$1004,$O128,업무일지!$B$5:$B$1004,"&gt;="&amp;DATE($B$3,1,1),업무일지!$B$5:$B$1004,"&lt;"&amp;DATE($B$3,1+1,1),업무일지!$D$5:$D$1004,"분석")&gt;0,1,0))</f>
        <v/>
      </c>
      <c r="AC128">
        <f>IF($O128="",0,IF(COUNTIFS(업무일지!$F$5:$F$1004,$O128,업무일지!$B$5:$B$1004,"&gt;="&amp;DATE($B$3,2,1),업무일지!$B$5:$B$1004,"&lt;"&amp;DATE($B$3,2+1,1),업무일지!$D$5:$D$1004,"분석")&gt;0,1,0))</f>
        <v/>
      </c>
      <c r="AD128">
        <f>IF($O128="",0,IF(COUNTIFS(업무일지!$F$5:$F$1004,$O128,업무일지!$B$5:$B$1004,"&gt;="&amp;DATE($B$3,3,1),업무일지!$B$5:$B$1004,"&lt;"&amp;DATE($B$3,3+1,1),업무일지!$D$5:$D$1004,"분석")&gt;0,1,0))</f>
        <v/>
      </c>
      <c r="AE128">
        <f>IF($O128="",0,IF(COUNTIFS(업무일지!$F$5:$F$1004,$O128,업무일지!$B$5:$B$1004,"&gt;="&amp;DATE($B$3,4,1),업무일지!$B$5:$B$1004,"&lt;"&amp;DATE($B$3,4+1,1),업무일지!$D$5:$D$1004,"분석")&gt;0,1,0))</f>
        <v/>
      </c>
      <c r="AF128">
        <f>IF($O128="",0,IF(COUNTIFS(업무일지!$F$5:$F$1004,$O128,업무일지!$B$5:$B$1004,"&gt;="&amp;DATE($B$3,5,1),업무일지!$B$5:$B$1004,"&lt;"&amp;DATE($B$3,5+1,1),업무일지!$D$5:$D$1004,"분석")&gt;0,1,0))</f>
        <v/>
      </c>
      <c r="AG128">
        <f>IF($O128="",0,IF(COUNTIFS(업무일지!$F$5:$F$1004,$O128,업무일지!$B$5:$B$1004,"&gt;="&amp;DATE($B$3,6,1),업무일지!$B$5:$B$1004,"&lt;"&amp;DATE($B$3,6+1,1),업무일지!$D$5:$D$1004,"분석")&gt;0,1,0))</f>
        <v/>
      </c>
      <c r="AH128">
        <f>IF($O128="",0,IF(COUNTIFS(업무일지!$F$5:$F$1004,$O128,업무일지!$B$5:$B$1004,"&gt;="&amp;DATE($B$3,7,1),업무일지!$B$5:$B$1004,"&lt;"&amp;DATE($B$3,7+1,1),업무일지!$D$5:$D$1004,"분석")&gt;0,1,0))</f>
        <v/>
      </c>
      <c r="AI128">
        <f>IF($O128="",0,IF(COUNTIFS(업무일지!$F$5:$F$1004,$O128,업무일지!$B$5:$B$1004,"&gt;="&amp;DATE($B$3,8,1),업무일지!$B$5:$B$1004,"&lt;"&amp;DATE($B$3,8+1,1),업무일지!$D$5:$D$1004,"분석")&gt;0,1,0))</f>
        <v/>
      </c>
      <c r="AJ128">
        <f>IF($O128="",0,IF(COUNTIFS(업무일지!$F$5:$F$1004,$O128,업무일지!$B$5:$B$1004,"&gt;="&amp;DATE($B$3,9,1),업무일지!$B$5:$B$1004,"&lt;"&amp;DATE($B$3,9+1,1),업무일지!$D$5:$D$1004,"분석")&gt;0,1,0))</f>
        <v/>
      </c>
      <c r="AK128">
        <f>IF($O128="",0,IF(COUNTIFS(업무일지!$F$5:$F$1004,$O128,업무일지!$B$5:$B$1004,"&gt;="&amp;DATE($B$3,10,1),업무일지!$B$5:$B$1004,"&lt;"&amp;DATE($B$3,10+1,1),업무일지!$D$5:$D$1004,"분석")&gt;0,1,0))</f>
        <v/>
      </c>
      <c r="AL128">
        <f>IF($O128="",0,IF(COUNTIFS(업무일지!$F$5:$F$1004,$O128,업무일지!$B$5:$B$1004,"&gt;="&amp;DATE($B$3,11,1),업무일지!$B$5:$B$1004,"&lt;"&amp;DATE($B$3,11+1,1),업무일지!$D$5:$D$1004,"분석")&gt;0,1,0))</f>
        <v/>
      </c>
      <c r="AM128">
        <f>IF($O128="",0,IF(COUNTIFS(업무일지!$F$5:$F$1004,$O128,업무일지!$B$5:$B$1004,"&gt;="&amp;DATE($B$3,12,1),업무일지!$B$5:$B$1004,"&lt;"&amp;DATE($B$3,12+1,1),업무일지!$D$5:$D$1004,"분석")&gt;0,1,0))</f>
        <v/>
      </c>
      <c r="AN128">
        <f>IF($O128="",0,IF(COUNTIFS(업무일지!$F$5:$F$1004,$O128,업무일지!$B$5:$B$1004,"&gt;="&amp;DATE($B$3,1,1),업무일지!$B$5:$B$1004,"&lt;"&amp;DATE($B$3,1+1,1))&gt;0,1,0))</f>
        <v/>
      </c>
      <c r="AO128">
        <f>IF($O128="",0,IF(COUNTIFS(업무일지!$F$5:$F$1004,$O128,업무일지!$B$5:$B$1004,"&gt;="&amp;DATE($B$3,2,1),업무일지!$B$5:$B$1004,"&lt;"&amp;DATE($B$3,2+1,1))&gt;0,1,0))</f>
        <v/>
      </c>
      <c r="AP128">
        <f>IF($O128="",0,IF(COUNTIFS(업무일지!$F$5:$F$1004,$O128,업무일지!$B$5:$B$1004,"&gt;="&amp;DATE($B$3,3,1),업무일지!$B$5:$B$1004,"&lt;"&amp;DATE($B$3,3+1,1))&gt;0,1,0))</f>
        <v/>
      </c>
      <c r="AQ128">
        <f>IF($O128="",0,IF(COUNTIFS(업무일지!$F$5:$F$1004,$O128,업무일지!$B$5:$B$1004,"&gt;="&amp;DATE($B$3,4,1),업무일지!$B$5:$B$1004,"&lt;"&amp;DATE($B$3,4+1,1))&gt;0,1,0))</f>
        <v/>
      </c>
      <c r="AR128">
        <f>IF($O128="",0,IF(COUNTIFS(업무일지!$F$5:$F$1004,$O128,업무일지!$B$5:$B$1004,"&gt;="&amp;DATE($B$3,5,1),업무일지!$B$5:$B$1004,"&lt;"&amp;DATE($B$3,5+1,1))&gt;0,1,0))</f>
        <v/>
      </c>
      <c r="AS128">
        <f>IF($O128="",0,IF(COUNTIFS(업무일지!$F$5:$F$1004,$O128,업무일지!$B$5:$B$1004,"&gt;="&amp;DATE($B$3,6,1),업무일지!$B$5:$B$1004,"&lt;"&amp;DATE($B$3,6+1,1))&gt;0,1,0))</f>
        <v/>
      </c>
      <c r="AT128">
        <f>IF($O128="",0,IF(COUNTIFS(업무일지!$F$5:$F$1004,$O128,업무일지!$B$5:$B$1004,"&gt;="&amp;DATE($B$3,7,1),업무일지!$B$5:$B$1004,"&lt;"&amp;DATE($B$3,7+1,1))&gt;0,1,0))</f>
        <v/>
      </c>
      <c r="AU128">
        <f>IF($O128="",0,IF(COUNTIFS(업무일지!$F$5:$F$1004,$O128,업무일지!$B$5:$B$1004,"&gt;="&amp;DATE($B$3,8,1),업무일지!$B$5:$B$1004,"&lt;"&amp;DATE($B$3,8+1,1))&gt;0,1,0))</f>
        <v/>
      </c>
      <c r="AV128">
        <f>IF($O128="",0,IF(COUNTIFS(업무일지!$F$5:$F$1004,$O128,업무일지!$B$5:$B$1004,"&gt;="&amp;DATE($B$3,9,1),업무일지!$B$5:$B$1004,"&lt;"&amp;DATE($B$3,9+1,1))&gt;0,1,0))</f>
        <v/>
      </c>
      <c r="AW128">
        <f>IF($O128="",0,IF(COUNTIFS(업무일지!$F$5:$F$1004,$O128,업무일지!$B$5:$B$1004,"&gt;="&amp;DATE($B$3,10,1),업무일지!$B$5:$B$1004,"&lt;"&amp;DATE($B$3,10+1,1))&gt;0,1,0))</f>
        <v/>
      </c>
      <c r="AX128">
        <f>IF($O128="",0,IF(COUNTIFS(업무일지!$F$5:$F$1004,$O128,업무일지!$B$5:$B$1004,"&gt;="&amp;DATE($B$3,11,1),업무일지!$B$5:$B$1004,"&lt;"&amp;DATE($B$3,11+1,1))&gt;0,1,0))</f>
        <v/>
      </c>
      <c r="AY128">
        <f>IF($O128="",0,IF(COUNTIFS(업무일지!$F$5:$F$1004,$O128,업무일지!$B$5:$B$1004,"&gt;="&amp;DATE($B$3,12,1),업무일지!$B$5:$B$1004,"&lt;"&amp;DATE($B$3,12+1,1))&gt;0,1,0))</f>
        <v/>
      </c>
      <c r="AZ128">
        <f>IF($O128="",0,IF(COUNTIFS(업무일지!$F$5:$F$1004,$O128,업무일지!$B$5:$B$1004,"&gt;="&amp;DATE($B$3,1,1),업무일지!$B$5:$B$1004,"&lt;"&amp;DATE($B$3+1,1,1),업무일지!$D$5:$D$1004,"출장")&gt;0,1,0))</f>
        <v/>
      </c>
      <c r="BA128">
        <f>IF($O128="",0,IF(COUNTIFS(업무일지!$F$5:$F$1004,$O128,업무일지!$B$5:$B$1004,"&gt;="&amp;DATE($B$3,1,1),업무일지!$B$5:$B$1004,"&lt;"&amp;DATE($B$3+1,1,1),업무일지!$D$5:$D$1004,"분석")&gt;0,1,0))</f>
        <v/>
      </c>
      <c r="BB128">
        <f>IF($O128="",0,IF(COUNTIFS(업무일지!$F$5:$F$1004,$O128,업무일지!$B$5:$B$1004,"&gt;="&amp;DATE($B$3,1,1),업무일지!$B$5:$B$1004,"&lt;"&amp;DATE($B$3+1,1,1))&gt;0,1,0))</f>
        <v/>
      </c>
      <c r="BD128">
        <f>IF($O128="",0,IF(COUNTIFS(업무일지!$F$5:$F$1004,$O128,업무일지!$B$5:$B$1004,"&gt;="&amp;DATE($B$3,1,1),업무일지!$B$5:$B$1004,"&lt;"&amp;DATE($B$3+1,1,1),업무일지!$AB$5:$AB$1004,$A$44,업무일지!$D$5:$D$1004,"출장")&gt;0,1,0))</f>
        <v/>
      </c>
      <c r="BE128">
        <f>IF($O128="",0,IF(COUNTIFS(업무일지!$F$5:$F$1004,$O128,업무일지!$B$5:$B$1004,"&gt;="&amp;DATE($B$3,1,1),업무일지!$B$5:$B$1004,"&lt;"&amp;DATE($B$3+1,1,1),업무일지!$AB$5:$AB$1004,$A$45,업무일지!$D$5:$D$1004,"출장")&gt;0,1,0))</f>
        <v/>
      </c>
      <c r="BF128">
        <f>IF($O128="",0,IF(COUNTIFS(업무일지!$F$5:$F$1004,$O128,업무일지!$B$5:$B$1004,"&gt;="&amp;DATE($B$3,1,1),업무일지!$B$5:$B$1004,"&lt;"&amp;DATE($B$3+1,1,1),업무일지!$AB$5:$AB$1004,$A$46,업무일지!$D$5:$D$1004,"출장")&gt;0,1,0))</f>
        <v/>
      </c>
      <c r="BG128">
        <f>IF($O128="",0,IF(COUNTIFS(업무일지!$F$5:$F$1004,$O128,업무일지!$B$5:$B$1004,"&gt;="&amp;DATE($B$3,1,1),업무일지!$B$5:$B$1004,"&lt;"&amp;DATE($B$3+1,1,1),업무일지!$AB$5:$AB$1004,$A$47,업무일지!$D$5:$D$1004,"출장")&gt;0,1,0))</f>
        <v/>
      </c>
      <c r="BH128">
        <f>IF($O128="",0,IF(COUNTIFS(업무일지!$F$5:$F$1004,$O128,업무일지!$B$5:$B$1004,"&gt;="&amp;DATE($B$3,1,1),업무일지!$B$5:$B$1004,"&lt;"&amp;DATE($B$3+1,1,1),업무일지!$AB$5:$AB$1004,$A$48,업무일지!$D$5:$D$1004,"출장")&gt;0,1,0))</f>
        <v/>
      </c>
      <c r="BI128">
        <f>IF($O128="",0,IF(COUNTIFS(업무일지!$F$5:$F$1004,$O128,업무일지!$B$5:$B$1004,"&gt;="&amp;DATE($B$3,1,1),업무일지!$B$5:$B$1004,"&lt;"&amp;DATE($B$3+1,1,1),업무일지!$AB$5:$AB$1004,$A$49,업무일지!$D$5:$D$1004,"출장")&gt;0,1,0))</f>
        <v/>
      </c>
      <c r="BJ128">
        <f>IF($O128="",0,IF(COUNTIFS(업무일지!$F$5:$F$1004,$O128,업무일지!$B$5:$B$1004,"&gt;="&amp;DATE($B$3,1,1),업무일지!$B$5:$B$1004,"&lt;"&amp;DATE($B$3+1,1,1),업무일지!$AB$5:$AB$1004,$A$50,업무일지!$D$5:$D$1004,"출장")&gt;0,1,0))</f>
        <v/>
      </c>
      <c r="BK128">
        <f>IF($O128="",0,IF(COUNTIFS(업무일지!$F$5:$F$1004,$O128,업무일지!$B$5:$B$1004,"&gt;="&amp;DATE($B$3,1,1),업무일지!$B$5:$B$1004,"&lt;"&amp;DATE($B$3+1,1,1),업무일지!$AB$5:$AB$1004,$A$51,업무일지!$D$5:$D$1004,"출장")&gt;0,1,0))</f>
        <v/>
      </c>
      <c r="BL128">
        <f>IF($O128="",0,IF(COUNTIFS(업무일지!$F$5:$F$1004,$O128,업무일지!$B$5:$B$1004,"&gt;="&amp;DATE($B$3,1,1),업무일지!$B$5:$B$1004,"&lt;"&amp;DATE($B$3+1,1,1),업무일지!$AB$5:$AB$1004,$A$52,업무일지!$D$5:$D$1004,"출장")&gt;0,1,0))</f>
        <v/>
      </c>
      <c r="BM128">
        <f>IF($O128="",0,IF(COUNTIFS(업무일지!$F$5:$F$1004,$O128,업무일지!$B$5:$B$1004,"&gt;="&amp;DATE($B$3,1,1),업무일지!$B$5:$B$1004,"&lt;"&amp;DATE($B$3+1,1,1),업무일지!$AB$5:$AB$1004,$A$53,업무일지!$D$5:$D$1004,"출장")&gt;0,1,0))</f>
        <v/>
      </c>
      <c r="BO128">
        <f>IF($O128="",0,IF(COUNTIFS(업무일지!$F$5:$F$1004,$O128,업무일지!$B$5:$B$1004,"&gt;="&amp;DATE($B$3,1,1),업무일지!$B$5:$B$1004,"&lt;"&amp;DATE($B$3+1,1,1),업무일지!$AB$5:$AB$1004,$A$44,업무일지!$D$5:$D$1004,"분석")&gt;0,1,0))</f>
        <v/>
      </c>
      <c r="BP128">
        <f>IF($O128="",0,IF(COUNTIFS(업무일지!$F$5:$F$1004,$O128,업무일지!$B$5:$B$1004,"&gt;="&amp;DATE($B$3,1,1),업무일지!$B$5:$B$1004,"&lt;"&amp;DATE($B$3+1,1,1),업무일지!$AB$5:$AB$1004,$A$45,업무일지!$D$5:$D$1004,"분석")&gt;0,1,0))</f>
        <v/>
      </c>
      <c r="BQ128">
        <f>IF($O128="",0,IF(COUNTIFS(업무일지!$F$5:$F$1004,$O128,업무일지!$B$5:$B$1004,"&gt;="&amp;DATE($B$3,1,1),업무일지!$B$5:$B$1004,"&lt;"&amp;DATE($B$3+1,1,1),업무일지!$AB$5:$AB$1004,$A$46,업무일지!$D$5:$D$1004,"분석")&gt;0,1,0))</f>
        <v/>
      </c>
      <c r="BR128">
        <f>IF($O128="",0,IF(COUNTIFS(업무일지!$F$5:$F$1004,$O128,업무일지!$B$5:$B$1004,"&gt;="&amp;DATE($B$3,1,1),업무일지!$B$5:$B$1004,"&lt;"&amp;DATE($B$3+1,1,1),업무일지!$AB$5:$AB$1004,$A$47,업무일지!$D$5:$D$1004,"분석")&gt;0,1,0))</f>
        <v/>
      </c>
      <c r="BS128">
        <f>IF($O128="",0,IF(COUNTIFS(업무일지!$F$5:$F$1004,$O128,업무일지!$B$5:$B$1004,"&gt;="&amp;DATE($B$3,1,1),업무일지!$B$5:$B$1004,"&lt;"&amp;DATE($B$3+1,1,1),업무일지!$AB$5:$AB$1004,$A$48,업무일지!$D$5:$D$1004,"분석")&gt;0,1,0))</f>
        <v/>
      </c>
      <c r="BT128">
        <f>IF($O128="",0,IF(COUNTIFS(업무일지!$F$5:$F$1004,$O128,업무일지!$B$5:$B$1004,"&gt;="&amp;DATE($B$3,1,1),업무일지!$B$5:$B$1004,"&lt;"&amp;DATE($B$3+1,1,1),업무일지!$AB$5:$AB$1004,$A$49,업무일지!$D$5:$D$1004,"분석")&gt;0,1,0))</f>
        <v/>
      </c>
      <c r="BU128">
        <f>IF($O128="",0,IF(COUNTIFS(업무일지!$F$5:$F$1004,$O128,업무일지!$B$5:$B$1004,"&gt;="&amp;DATE($B$3,1,1),업무일지!$B$5:$B$1004,"&lt;"&amp;DATE($B$3+1,1,1),업무일지!$AB$5:$AB$1004,$A$50,업무일지!$D$5:$D$1004,"분석")&gt;0,1,0))</f>
        <v/>
      </c>
      <c r="BV128">
        <f>IF($O128="",0,IF(COUNTIFS(업무일지!$F$5:$F$1004,$O128,업무일지!$B$5:$B$1004,"&gt;="&amp;DATE($B$3,1,1),업무일지!$B$5:$B$1004,"&lt;"&amp;DATE($B$3+1,1,1),업무일지!$AB$5:$AB$1004,$A$51,업무일지!$D$5:$D$1004,"분석")&gt;0,1,0))</f>
        <v/>
      </c>
      <c r="BW128">
        <f>IF($O128="",0,IF(COUNTIFS(업무일지!$F$5:$F$1004,$O128,업무일지!$B$5:$B$1004,"&gt;="&amp;DATE($B$3,1,1),업무일지!$B$5:$B$1004,"&lt;"&amp;DATE($B$3+1,1,1),업무일지!$AB$5:$AB$1004,$A$52,업무일지!$D$5:$D$1004,"분석")&gt;0,1,0))</f>
        <v/>
      </c>
      <c r="BX128">
        <f>IF($O128="",0,IF(COUNTIFS(업무일지!$F$5:$F$1004,$O128,업무일지!$B$5:$B$1004,"&gt;="&amp;DATE($B$3,1,1),업무일지!$B$5:$B$1004,"&lt;"&amp;DATE($B$3+1,1,1),업무일지!$AB$5:$AB$1004,$A$53,업무일지!$D$5:$D$1004,"분석")&gt;0,1,0))</f>
        <v/>
      </c>
      <c r="BZ128">
        <f>IF($O128="",0,IF(COUNTIFS(업무일지!$F$5:$F$1004,$O128,업무일지!$B$5:$B$1004,"&gt;="&amp;DATE($B$3,1,1),업무일지!$B$5:$B$1004,"&lt;"&amp;DATE($B$3+1,1,1),업무일지!$AB$5:$AB$1004,$A$44)&gt;0,1,0))</f>
        <v/>
      </c>
      <c r="CA128">
        <f>IF($O128="",0,IF(COUNTIFS(업무일지!$F$5:$F$1004,$O128,업무일지!$B$5:$B$1004,"&gt;="&amp;DATE($B$3,1,1),업무일지!$B$5:$B$1004,"&lt;"&amp;DATE($B$3+1,1,1),업무일지!$AB$5:$AB$1004,$A$45)&gt;0,1,0))</f>
        <v/>
      </c>
      <c r="CB128">
        <f>IF($O128="",0,IF(COUNTIFS(업무일지!$F$5:$F$1004,$O128,업무일지!$B$5:$B$1004,"&gt;="&amp;DATE($B$3,1,1),업무일지!$B$5:$B$1004,"&lt;"&amp;DATE($B$3+1,1,1),업무일지!$AB$5:$AB$1004,$A$46)&gt;0,1,0))</f>
        <v/>
      </c>
      <c r="CC128">
        <f>IF($O128="",0,IF(COUNTIFS(업무일지!$F$5:$F$1004,$O128,업무일지!$B$5:$B$1004,"&gt;="&amp;DATE($B$3,1,1),업무일지!$B$5:$B$1004,"&lt;"&amp;DATE($B$3+1,1,1),업무일지!$AB$5:$AB$1004,$A$47)&gt;0,1,0))</f>
        <v/>
      </c>
      <c r="CD128">
        <f>IF($O128="",0,IF(COUNTIFS(업무일지!$F$5:$F$1004,$O128,업무일지!$B$5:$B$1004,"&gt;="&amp;DATE($B$3,1,1),업무일지!$B$5:$B$1004,"&lt;"&amp;DATE($B$3+1,1,1),업무일지!$AB$5:$AB$1004,$A$48)&gt;0,1,0))</f>
        <v/>
      </c>
      <c r="CE128">
        <f>IF($O128="",0,IF(COUNTIFS(업무일지!$F$5:$F$1004,$O128,업무일지!$B$5:$B$1004,"&gt;="&amp;DATE($B$3,1,1),업무일지!$B$5:$B$1004,"&lt;"&amp;DATE($B$3+1,1,1),업무일지!$AB$5:$AB$1004,$A$49)&gt;0,1,0))</f>
        <v/>
      </c>
      <c r="CF128">
        <f>IF($O128="",0,IF(COUNTIFS(업무일지!$F$5:$F$1004,$O128,업무일지!$B$5:$B$1004,"&gt;="&amp;DATE($B$3,1,1),업무일지!$B$5:$B$1004,"&lt;"&amp;DATE($B$3+1,1,1),업무일지!$AB$5:$AB$1004,$A$50)&gt;0,1,0))</f>
        <v/>
      </c>
      <c r="CG128">
        <f>IF($O128="",0,IF(COUNTIFS(업무일지!$F$5:$F$1004,$O128,업무일지!$B$5:$B$1004,"&gt;="&amp;DATE($B$3,1,1),업무일지!$B$5:$B$1004,"&lt;"&amp;DATE($B$3+1,1,1),업무일지!$AB$5:$AB$1004,$A$51)&gt;0,1,0))</f>
        <v/>
      </c>
      <c r="CH128">
        <f>IF($O128="",0,IF(COUNTIFS(업무일지!$F$5:$F$1004,$O128,업무일지!$B$5:$B$1004,"&gt;="&amp;DATE($B$3,1,1),업무일지!$B$5:$B$1004,"&lt;"&amp;DATE($B$3+1,1,1),업무일지!$AB$5:$AB$1004,$A$52)&gt;0,1,0))</f>
        <v/>
      </c>
      <c r="CI128">
        <f>IF($O128="",0,IF(COUNTIFS(업무일지!$F$5:$F$1004,$O128,업무일지!$B$5:$B$1004,"&gt;="&amp;DATE($B$3,1,1),업무일지!$B$5:$B$1004,"&lt;"&amp;DATE($B$3+1,1,1),업무일지!$AB$5:$AB$1004,$A$53)&gt;0,1,0))</f>
        <v/>
      </c>
    </row>
    <row r="129">
      <c r="O129">
        <f>IF(사건마스터!$A49="","",사건마스터!$A49)</f>
        <v/>
      </c>
      <c r="P129">
        <f>IF($O129="",0,IF(COUNTIFS(업무일지!$F$5:$F$1004,$O129,업무일지!$B$5:$B$1004,"&gt;="&amp;DATE($B$3,1,1),업무일지!$B$5:$B$1004,"&lt;"&amp;DATE($B$3,1+1,1),업무일지!$D$5:$D$1004,"출장")&gt;0,1,0))</f>
        <v/>
      </c>
      <c r="Q129">
        <f>IF($O129="",0,IF(COUNTIFS(업무일지!$F$5:$F$1004,$O129,업무일지!$B$5:$B$1004,"&gt;="&amp;DATE($B$3,2,1),업무일지!$B$5:$B$1004,"&lt;"&amp;DATE($B$3,2+1,1),업무일지!$D$5:$D$1004,"출장")&gt;0,1,0))</f>
        <v/>
      </c>
      <c r="R129">
        <f>IF($O129="",0,IF(COUNTIFS(업무일지!$F$5:$F$1004,$O129,업무일지!$B$5:$B$1004,"&gt;="&amp;DATE($B$3,3,1),업무일지!$B$5:$B$1004,"&lt;"&amp;DATE($B$3,3+1,1),업무일지!$D$5:$D$1004,"출장")&gt;0,1,0))</f>
        <v/>
      </c>
      <c r="S129">
        <f>IF($O129="",0,IF(COUNTIFS(업무일지!$F$5:$F$1004,$O129,업무일지!$B$5:$B$1004,"&gt;="&amp;DATE($B$3,4,1),업무일지!$B$5:$B$1004,"&lt;"&amp;DATE($B$3,4+1,1),업무일지!$D$5:$D$1004,"출장")&gt;0,1,0))</f>
        <v/>
      </c>
      <c r="T129">
        <f>IF($O129="",0,IF(COUNTIFS(업무일지!$F$5:$F$1004,$O129,업무일지!$B$5:$B$1004,"&gt;="&amp;DATE($B$3,5,1),업무일지!$B$5:$B$1004,"&lt;"&amp;DATE($B$3,5+1,1),업무일지!$D$5:$D$1004,"출장")&gt;0,1,0))</f>
        <v/>
      </c>
      <c r="U129">
        <f>IF($O129="",0,IF(COUNTIFS(업무일지!$F$5:$F$1004,$O129,업무일지!$B$5:$B$1004,"&gt;="&amp;DATE($B$3,6,1),업무일지!$B$5:$B$1004,"&lt;"&amp;DATE($B$3,6+1,1),업무일지!$D$5:$D$1004,"출장")&gt;0,1,0))</f>
        <v/>
      </c>
      <c r="V129">
        <f>IF($O129="",0,IF(COUNTIFS(업무일지!$F$5:$F$1004,$O129,업무일지!$B$5:$B$1004,"&gt;="&amp;DATE($B$3,7,1),업무일지!$B$5:$B$1004,"&lt;"&amp;DATE($B$3,7+1,1),업무일지!$D$5:$D$1004,"출장")&gt;0,1,0))</f>
        <v/>
      </c>
      <c r="W129">
        <f>IF($O129="",0,IF(COUNTIFS(업무일지!$F$5:$F$1004,$O129,업무일지!$B$5:$B$1004,"&gt;="&amp;DATE($B$3,8,1),업무일지!$B$5:$B$1004,"&lt;"&amp;DATE($B$3,8+1,1),업무일지!$D$5:$D$1004,"출장")&gt;0,1,0))</f>
        <v/>
      </c>
      <c r="X129">
        <f>IF($O129="",0,IF(COUNTIFS(업무일지!$F$5:$F$1004,$O129,업무일지!$B$5:$B$1004,"&gt;="&amp;DATE($B$3,9,1),업무일지!$B$5:$B$1004,"&lt;"&amp;DATE($B$3,9+1,1),업무일지!$D$5:$D$1004,"출장")&gt;0,1,0))</f>
        <v/>
      </c>
      <c r="Y129">
        <f>IF($O129="",0,IF(COUNTIFS(업무일지!$F$5:$F$1004,$O129,업무일지!$B$5:$B$1004,"&gt;="&amp;DATE($B$3,10,1),업무일지!$B$5:$B$1004,"&lt;"&amp;DATE($B$3,10+1,1),업무일지!$D$5:$D$1004,"출장")&gt;0,1,0))</f>
        <v/>
      </c>
      <c r="Z129">
        <f>IF($O129="",0,IF(COUNTIFS(업무일지!$F$5:$F$1004,$O129,업무일지!$B$5:$B$1004,"&gt;="&amp;DATE($B$3,11,1),업무일지!$B$5:$B$1004,"&lt;"&amp;DATE($B$3,11+1,1),업무일지!$D$5:$D$1004,"출장")&gt;0,1,0))</f>
        <v/>
      </c>
      <c r="AA129">
        <f>IF($O129="",0,IF(COUNTIFS(업무일지!$F$5:$F$1004,$O129,업무일지!$B$5:$B$1004,"&gt;="&amp;DATE($B$3,12,1),업무일지!$B$5:$B$1004,"&lt;"&amp;DATE($B$3,12+1,1),업무일지!$D$5:$D$1004,"출장")&gt;0,1,0))</f>
        <v/>
      </c>
      <c r="AB129">
        <f>IF($O129="",0,IF(COUNTIFS(업무일지!$F$5:$F$1004,$O129,업무일지!$B$5:$B$1004,"&gt;="&amp;DATE($B$3,1,1),업무일지!$B$5:$B$1004,"&lt;"&amp;DATE($B$3,1+1,1),업무일지!$D$5:$D$1004,"분석")&gt;0,1,0))</f>
        <v/>
      </c>
      <c r="AC129">
        <f>IF($O129="",0,IF(COUNTIFS(업무일지!$F$5:$F$1004,$O129,업무일지!$B$5:$B$1004,"&gt;="&amp;DATE($B$3,2,1),업무일지!$B$5:$B$1004,"&lt;"&amp;DATE($B$3,2+1,1),업무일지!$D$5:$D$1004,"분석")&gt;0,1,0))</f>
        <v/>
      </c>
      <c r="AD129">
        <f>IF($O129="",0,IF(COUNTIFS(업무일지!$F$5:$F$1004,$O129,업무일지!$B$5:$B$1004,"&gt;="&amp;DATE($B$3,3,1),업무일지!$B$5:$B$1004,"&lt;"&amp;DATE($B$3,3+1,1),업무일지!$D$5:$D$1004,"분석")&gt;0,1,0))</f>
        <v/>
      </c>
      <c r="AE129">
        <f>IF($O129="",0,IF(COUNTIFS(업무일지!$F$5:$F$1004,$O129,업무일지!$B$5:$B$1004,"&gt;="&amp;DATE($B$3,4,1),업무일지!$B$5:$B$1004,"&lt;"&amp;DATE($B$3,4+1,1),업무일지!$D$5:$D$1004,"분석")&gt;0,1,0))</f>
        <v/>
      </c>
      <c r="AF129">
        <f>IF($O129="",0,IF(COUNTIFS(업무일지!$F$5:$F$1004,$O129,업무일지!$B$5:$B$1004,"&gt;="&amp;DATE($B$3,5,1),업무일지!$B$5:$B$1004,"&lt;"&amp;DATE($B$3,5+1,1),업무일지!$D$5:$D$1004,"분석")&gt;0,1,0))</f>
        <v/>
      </c>
      <c r="AG129">
        <f>IF($O129="",0,IF(COUNTIFS(업무일지!$F$5:$F$1004,$O129,업무일지!$B$5:$B$1004,"&gt;="&amp;DATE($B$3,6,1),업무일지!$B$5:$B$1004,"&lt;"&amp;DATE($B$3,6+1,1),업무일지!$D$5:$D$1004,"분석")&gt;0,1,0))</f>
        <v/>
      </c>
      <c r="AH129">
        <f>IF($O129="",0,IF(COUNTIFS(업무일지!$F$5:$F$1004,$O129,업무일지!$B$5:$B$1004,"&gt;="&amp;DATE($B$3,7,1),업무일지!$B$5:$B$1004,"&lt;"&amp;DATE($B$3,7+1,1),업무일지!$D$5:$D$1004,"분석")&gt;0,1,0))</f>
        <v/>
      </c>
      <c r="AI129">
        <f>IF($O129="",0,IF(COUNTIFS(업무일지!$F$5:$F$1004,$O129,업무일지!$B$5:$B$1004,"&gt;="&amp;DATE($B$3,8,1),업무일지!$B$5:$B$1004,"&lt;"&amp;DATE($B$3,8+1,1),업무일지!$D$5:$D$1004,"분석")&gt;0,1,0))</f>
        <v/>
      </c>
      <c r="AJ129">
        <f>IF($O129="",0,IF(COUNTIFS(업무일지!$F$5:$F$1004,$O129,업무일지!$B$5:$B$1004,"&gt;="&amp;DATE($B$3,9,1),업무일지!$B$5:$B$1004,"&lt;"&amp;DATE($B$3,9+1,1),업무일지!$D$5:$D$1004,"분석")&gt;0,1,0))</f>
        <v/>
      </c>
      <c r="AK129">
        <f>IF($O129="",0,IF(COUNTIFS(업무일지!$F$5:$F$1004,$O129,업무일지!$B$5:$B$1004,"&gt;="&amp;DATE($B$3,10,1),업무일지!$B$5:$B$1004,"&lt;"&amp;DATE($B$3,10+1,1),업무일지!$D$5:$D$1004,"분석")&gt;0,1,0))</f>
        <v/>
      </c>
      <c r="AL129">
        <f>IF($O129="",0,IF(COUNTIFS(업무일지!$F$5:$F$1004,$O129,업무일지!$B$5:$B$1004,"&gt;="&amp;DATE($B$3,11,1),업무일지!$B$5:$B$1004,"&lt;"&amp;DATE($B$3,11+1,1),업무일지!$D$5:$D$1004,"분석")&gt;0,1,0))</f>
        <v/>
      </c>
      <c r="AM129">
        <f>IF($O129="",0,IF(COUNTIFS(업무일지!$F$5:$F$1004,$O129,업무일지!$B$5:$B$1004,"&gt;="&amp;DATE($B$3,12,1),업무일지!$B$5:$B$1004,"&lt;"&amp;DATE($B$3,12+1,1),업무일지!$D$5:$D$1004,"분석")&gt;0,1,0))</f>
        <v/>
      </c>
      <c r="AN129">
        <f>IF($O129="",0,IF(COUNTIFS(업무일지!$F$5:$F$1004,$O129,업무일지!$B$5:$B$1004,"&gt;="&amp;DATE($B$3,1,1),업무일지!$B$5:$B$1004,"&lt;"&amp;DATE($B$3,1+1,1))&gt;0,1,0))</f>
        <v/>
      </c>
      <c r="AO129">
        <f>IF($O129="",0,IF(COUNTIFS(업무일지!$F$5:$F$1004,$O129,업무일지!$B$5:$B$1004,"&gt;="&amp;DATE($B$3,2,1),업무일지!$B$5:$B$1004,"&lt;"&amp;DATE($B$3,2+1,1))&gt;0,1,0))</f>
        <v/>
      </c>
      <c r="AP129">
        <f>IF($O129="",0,IF(COUNTIFS(업무일지!$F$5:$F$1004,$O129,업무일지!$B$5:$B$1004,"&gt;="&amp;DATE($B$3,3,1),업무일지!$B$5:$B$1004,"&lt;"&amp;DATE($B$3,3+1,1))&gt;0,1,0))</f>
        <v/>
      </c>
      <c r="AQ129">
        <f>IF($O129="",0,IF(COUNTIFS(업무일지!$F$5:$F$1004,$O129,업무일지!$B$5:$B$1004,"&gt;="&amp;DATE($B$3,4,1),업무일지!$B$5:$B$1004,"&lt;"&amp;DATE($B$3,4+1,1))&gt;0,1,0))</f>
        <v/>
      </c>
      <c r="AR129">
        <f>IF($O129="",0,IF(COUNTIFS(업무일지!$F$5:$F$1004,$O129,업무일지!$B$5:$B$1004,"&gt;="&amp;DATE($B$3,5,1),업무일지!$B$5:$B$1004,"&lt;"&amp;DATE($B$3,5+1,1))&gt;0,1,0))</f>
        <v/>
      </c>
      <c r="AS129">
        <f>IF($O129="",0,IF(COUNTIFS(업무일지!$F$5:$F$1004,$O129,업무일지!$B$5:$B$1004,"&gt;="&amp;DATE($B$3,6,1),업무일지!$B$5:$B$1004,"&lt;"&amp;DATE($B$3,6+1,1))&gt;0,1,0))</f>
        <v/>
      </c>
      <c r="AT129">
        <f>IF($O129="",0,IF(COUNTIFS(업무일지!$F$5:$F$1004,$O129,업무일지!$B$5:$B$1004,"&gt;="&amp;DATE($B$3,7,1),업무일지!$B$5:$B$1004,"&lt;"&amp;DATE($B$3,7+1,1))&gt;0,1,0))</f>
        <v/>
      </c>
      <c r="AU129">
        <f>IF($O129="",0,IF(COUNTIFS(업무일지!$F$5:$F$1004,$O129,업무일지!$B$5:$B$1004,"&gt;="&amp;DATE($B$3,8,1),업무일지!$B$5:$B$1004,"&lt;"&amp;DATE($B$3,8+1,1))&gt;0,1,0))</f>
        <v/>
      </c>
      <c r="AV129">
        <f>IF($O129="",0,IF(COUNTIFS(업무일지!$F$5:$F$1004,$O129,업무일지!$B$5:$B$1004,"&gt;="&amp;DATE($B$3,9,1),업무일지!$B$5:$B$1004,"&lt;"&amp;DATE($B$3,9+1,1))&gt;0,1,0))</f>
        <v/>
      </c>
      <c r="AW129">
        <f>IF($O129="",0,IF(COUNTIFS(업무일지!$F$5:$F$1004,$O129,업무일지!$B$5:$B$1004,"&gt;="&amp;DATE($B$3,10,1),업무일지!$B$5:$B$1004,"&lt;"&amp;DATE($B$3,10+1,1))&gt;0,1,0))</f>
        <v/>
      </c>
      <c r="AX129">
        <f>IF($O129="",0,IF(COUNTIFS(업무일지!$F$5:$F$1004,$O129,업무일지!$B$5:$B$1004,"&gt;="&amp;DATE($B$3,11,1),업무일지!$B$5:$B$1004,"&lt;"&amp;DATE($B$3,11+1,1))&gt;0,1,0))</f>
        <v/>
      </c>
      <c r="AY129">
        <f>IF($O129="",0,IF(COUNTIFS(업무일지!$F$5:$F$1004,$O129,업무일지!$B$5:$B$1004,"&gt;="&amp;DATE($B$3,12,1),업무일지!$B$5:$B$1004,"&lt;"&amp;DATE($B$3,12+1,1))&gt;0,1,0))</f>
        <v/>
      </c>
      <c r="AZ129">
        <f>IF($O129="",0,IF(COUNTIFS(업무일지!$F$5:$F$1004,$O129,업무일지!$B$5:$B$1004,"&gt;="&amp;DATE($B$3,1,1),업무일지!$B$5:$B$1004,"&lt;"&amp;DATE($B$3+1,1,1),업무일지!$D$5:$D$1004,"출장")&gt;0,1,0))</f>
        <v/>
      </c>
      <c r="BA129">
        <f>IF($O129="",0,IF(COUNTIFS(업무일지!$F$5:$F$1004,$O129,업무일지!$B$5:$B$1004,"&gt;="&amp;DATE($B$3,1,1),업무일지!$B$5:$B$1004,"&lt;"&amp;DATE($B$3+1,1,1),업무일지!$D$5:$D$1004,"분석")&gt;0,1,0))</f>
        <v/>
      </c>
      <c r="BB129">
        <f>IF($O129="",0,IF(COUNTIFS(업무일지!$F$5:$F$1004,$O129,업무일지!$B$5:$B$1004,"&gt;="&amp;DATE($B$3,1,1),업무일지!$B$5:$B$1004,"&lt;"&amp;DATE($B$3+1,1,1))&gt;0,1,0))</f>
        <v/>
      </c>
      <c r="BD129">
        <f>IF($O129="",0,IF(COUNTIFS(업무일지!$F$5:$F$1004,$O129,업무일지!$B$5:$B$1004,"&gt;="&amp;DATE($B$3,1,1),업무일지!$B$5:$B$1004,"&lt;"&amp;DATE($B$3+1,1,1),업무일지!$AB$5:$AB$1004,$A$44,업무일지!$D$5:$D$1004,"출장")&gt;0,1,0))</f>
        <v/>
      </c>
      <c r="BE129">
        <f>IF($O129="",0,IF(COUNTIFS(업무일지!$F$5:$F$1004,$O129,업무일지!$B$5:$B$1004,"&gt;="&amp;DATE($B$3,1,1),업무일지!$B$5:$B$1004,"&lt;"&amp;DATE($B$3+1,1,1),업무일지!$AB$5:$AB$1004,$A$45,업무일지!$D$5:$D$1004,"출장")&gt;0,1,0))</f>
        <v/>
      </c>
      <c r="BF129">
        <f>IF($O129="",0,IF(COUNTIFS(업무일지!$F$5:$F$1004,$O129,업무일지!$B$5:$B$1004,"&gt;="&amp;DATE($B$3,1,1),업무일지!$B$5:$B$1004,"&lt;"&amp;DATE($B$3+1,1,1),업무일지!$AB$5:$AB$1004,$A$46,업무일지!$D$5:$D$1004,"출장")&gt;0,1,0))</f>
        <v/>
      </c>
      <c r="BG129">
        <f>IF($O129="",0,IF(COUNTIFS(업무일지!$F$5:$F$1004,$O129,업무일지!$B$5:$B$1004,"&gt;="&amp;DATE($B$3,1,1),업무일지!$B$5:$B$1004,"&lt;"&amp;DATE($B$3+1,1,1),업무일지!$AB$5:$AB$1004,$A$47,업무일지!$D$5:$D$1004,"출장")&gt;0,1,0))</f>
        <v/>
      </c>
      <c r="BH129">
        <f>IF($O129="",0,IF(COUNTIFS(업무일지!$F$5:$F$1004,$O129,업무일지!$B$5:$B$1004,"&gt;="&amp;DATE($B$3,1,1),업무일지!$B$5:$B$1004,"&lt;"&amp;DATE($B$3+1,1,1),업무일지!$AB$5:$AB$1004,$A$48,업무일지!$D$5:$D$1004,"출장")&gt;0,1,0))</f>
        <v/>
      </c>
      <c r="BI129">
        <f>IF($O129="",0,IF(COUNTIFS(업무일지!$F$5:$F$1004,$O129,업무일지!$B$5:$B$1004,"&gt;="&amp;DATE($B$3,1,1),업무일지!$B$5:$B$1004,"&lt;"&amp;DATE($B$3+1,1,1),업무일지!$AB$5:$AB$1004,$A$49,업무일지!$D$5:$D$1004,"출장")&gt;0,1,0))</f>
        <v/>
      </c>
      <c r="BJ129">
        <f>IF($O129="",0,IF(COUNTIFS(업무일지!$F$5:$F$1004,$O129,업무일지!$B$5:$B$1004,"&gt;="&amp;DATE($B$3,1,1),업무일지!$B$5:$B$1004,"&lt;"&amp;DATE($B$3+1,1,1),업무일지!$AB$5:$AB$1004,$A$50,업무일지!$D$5:$D$1004,"출장")&gt;0,1,0))</f>
        <v/>
      </c>
      <c r="BK129">
        <f>IF($O129="",0,IF(COUNTIFS(업무일지!$F$5:$F$1004,$O129,업무일지!$B$5:$B$1004,"&gt;="&amp;DATE($B$3,1,1),업무일지!$B$5:$B$1004,"&lt;"&amp;DATE($B$3+1,1,1),업무일지!$AB$5:$AB$1004,$A$51,업무일지!$D$5:$D$1004,"출장")&gt;0,1,0))</f>
        <v/>
      </c>
      <c r="BL129">
        <f>IF($O129="",0,IF(COUNTIFS(업무일지!$F$5:$F$1004,$O129,업무일지!$B$5:$B$1004,"&gt;="&amp;DATE($B$3,1,1),업무일지!$B$5:$B$1004,"&lt;"&amp;DATE($B$3+1,1,1),업무일지!$AB$5:$AB$1004,$A$52,업무일지!$D$5:$D$1004,"출장")&gt;0,1,0))</f>
        <v/>
      </c>
      <c r="BM129">
        <f>IF($O129="",0,IF(COUNTIFS(업무일지!$F$5:$F$1004,$O129,업무일지!$B$5:$B$1004,"&gt;="&amp;DATE($B$3,1,1),업무일지!$B$5:$B$1004,"&lt;"&amp;DATE($B$3+1,1,1),업무일지!$AB$5:$AB$1004,$A$53,업무일지!$D$5:$D$1004,"출장")&gt;0,1,0))</f>
        <v/>
      </c>
      <c r="BO129">
        <f>IF($O129="",0,IF(COUNTIFS(업무일지!$F$5:$F$1004,$O129,업무일지!$B$5:$B$1004,"&gt;="&amp;DATE($B$3,1,1),업무일지!$B$5:$B$1004,"&lt;"&amp;DATE($B$3+1,1,1),업무일지!$AB$5:$AB$1004,$A$44,업무일지!$D$5:$D$1004,"분석")&gt;0,1,0))</f>
        <v/>
      </c>
      <c r="BP129">
        <f>IF($O129="",0,IF(COUNTIFS(업무일지!$F$5:$F$1004,$O129,업무일지!$B$5:$B$1004,"&gt;="&amp;DATE($B$3,1,1),업무일지!$B$5:$B$1004,"&lt;"&amp;DATE($B$3+1,1,1),업무일지!$AB$5:$AB$1004,$A$45,업무일지!$D$5:$D$1004,"분석")&gt;0,1,0))</f>
        <v/>
      </c>
      <c r="BQ129">
        <f>IF($O129="",0,IF(COUNTIFS(업무일지!$F$5:$F$1004,$O129,업무일지!$B$5:$B$1004,"&gt;="&amp;DATE($B$3,1,1),업무일지!$B$5:$B$1004,"&lt;"&amp;DATE($B$3+1,1,1),업무일지!$AB$5:$AB$1004,$A$46,업무일지!$D$5:$D$1004,"분석")&gt;0,1,0))</f>
        <v/>
      </c>
      <c r="BR129">
        <f>IF($O129="",0,IF(COUNTIFS(업무일지!$F$5:$F$1004,$O129,업무일지!$B$5:$B$1004,"&gt;="&amp;DATE($B$3,1,1),업무일지!$B$5:$B$1004,"&lt;"&amp;DATE($B$3+1,1,1),업무일지!$AB$5:$AB$1004,$A$47,업무일지!$D$5:$D$1004,"분석")&gt;0,1,0))</f>
        <v/>
      </c>
      <c r="BS129">
        <f>IF($O129="",0,IF(COUNTIFS(업무일지!$F$5:$F$1004,$O129,업무일지!$B$5:$B$1004,"&gt;="&amp;DATE($B$3,1,1),업무일지!$B$5:$B$1004,"&lt;"&amp;DATE($B$3+1,1,1),업무일지!$AB$5:$AB$1004,$A$48,업무일지!$D$5:$D$1004,"분석")&gt;0,1,0))</f>
        <v/>
      </c>
      <c r="BT129">
        <f>IF($O129="",0,IF(COUNTIFS(업무일지!$F$5:$F$1004,$O129,업무일지!$B$5:$B$1004,"&gt;="&amp;DATE($B$3,1,1),업무일지!$B$5:$B$1004,"&lt;"&amp;DATE($B$3+1,1,1),업무일지!$AB$5:$AB$1004,$A$49,업무일지!$D$5:$D$1004,"분석")&gt;0,1,0))</f>
        <v/>
      </c>
      <c r="BU129">
        <f>IF($O129="",0,IF(COUNTIFS(업무일지!$F$5:$F$1004,$O129,업무일지!$B$5:$B$1004,"&gt;="&amp;DATE($B$3,1,1),업무일지!$B$5:$B$1004,"&lt;"&amp;DATE($B$3+1,1,1),업무일지!$AB$5:$AB$1004,$A$50,업무일지!$D$5:$D$1004,"분석")&gt;0,1,0))</f>
        <v/>
      </c>
      <c r="BV129">
        <f>IF($O129="",0,IF(COUNTIFS(업무일지!$F$5:$F$1004,$O129,업무일지!$B$5:$B$1004,"&gt;="&amp;DATE($B$3,1,1),업무일지!$B$5:$B$1004,"&lt;"&amp;DATE($B$3+1,1,1),업무일지!$AB$5:$AB$1004,$A$51,업무일지!$D$5:$D$1004,"분석")&gt;0,1,0))</f>
        <v/>
      </c>
      <c r="BW129">
        <f>IF($O129="",0,IF(COUNTIFS(업무일지!$F$5:$F$1004,$O129,업무일지!$B$5:$B$1004,"&gt;="&amp;DATE($B$3,1,1),업무일지!$B$5:$B$1004,"&lt;"&amp;DATE($B$3+1,1,1),업무일지!$AB$5:$AB$1004,$A$52,업무일지!$D$5:$D$1004,"분석")&gt;0,1,0))</f>
        <v/>
      </c>
      <c r="BX129">
        <f>IF($O129="",0,IF(COUNTIFS(업무일지!$F$5:$F$1004,$O129,업무일지!$B$5:$B$1004,"&gt;="&amp;DATE($B$3,1,1),업무일지!$B$5:$B$1004,"&lt;"&amp;DATE($B$3+1,1,1),업무일지!$AB$5:$AB$1004,$A$53,업무일지!$D$5:$D$1004,"분석")&gt;0,1,0))</f>
        <v/>
      </c>
      <c r="BZ129">
        <f>IF($O129="",0,IF(COUNTIFS(업무일지!$F$5:$F$1004,$O129,업무일지!$B$5:$B$1004,"&gt;="&amp;DATE($B$3,1,1),업무일지!$B$5:$B$1004,"&lt;"&amp;DATE($B$3+1,1,1),업무일지!$AB$5:$AB$1004,$A$44)&gt;0,1,0))</f>
        <v/>
      </c>
      <c r="CA129">
        <f>IF($O129="",0,IF(COUNTIFS(업무일지!$F$5:$F$1004,$O129,업무일지!$B$5:$B$1004,"&gt;="&amp;DATE($B$3,1,1),업무일지!$B$5:$B$1004,"&lt;"&amp;DATE($B$3+1,1,1),업무일지!$AB$5:$AB$1004,$A$45)&gt;0,1,0))</f>
        <v/>
      </c>
      <c r="CB129">
        <f>IF($O129="",0,IF(COUNTIFS(업무일지!$F$5:$F$1004,$O129,업무일지!$B$5:$B$1004,"&gt;="&amp;DATE($B$3,1,1),업무일지!$B$5:$B$1004,"&lt;"&amp;DATE($B$3+1,1,1),업무일지!$AB$5:$AB$1004,$A$46)&gt;0,1,0))</f>
        <v/>
      </c>
      <c r="CC129">
        <f>IF($O129="",0,IF(COUNTIFS(업무일지!$F$5:$F$1004,$O129,업무일지!$B$5:$B$1004,"&gt;="&amp;DATE($B$3,1,1),업무일지!$B$5:$B$1004,"&lt;"&amp;DATE($B$3+1,1,1),업무일지!$AB$5:$AB$1004,$A$47)&gt;0,1,0))</f>
        <v/>
      </c>
      <c r="CD129">
        <f>IF($O129="",0,IF(COUNTIFS(업무일지!$F$5:$F$1004,$O129,업무일지!$B$5:$B$1004,"&gt;="&amp;DATE($B$3,1,1),업무일지!$B$5:$B$1004,"&lt;"&amp;DATE($B$3+1,1,1),업무일지!$AB$5:$AB$1004,$A$48)&gt;0,1,0))</f>
        <v/>
      </c>
      <c r="CE129">
        <f>IF($O129="",0,IF(COUNTIFS(업무일지!$F$5:$F$1004,$O129,업무일지!$B$5:$B$1004,"&gt;="&amp;DATE($B$3,1,1),업무일지!$B$5:$B$1004,"&lt;"&amp;DATE($B$3+1,1,1),업무일지!$AB$5:$AB$1004,$A$49)&gt;0,1,0))</f>
        <v/>
      </c>
      <c r="CF129">
        <f>IF($O129="",0,IF(COUNTIFS(업무일지!$F$5:$F$1004,$O129,업무일지!$B$5:$B$1004,"&gt;="&amp;DATE($B$3,1,1),업무일지!$B$5:$B$1004,"&lt;"&amp;DATE($B$3+1,1,1),업무일지!$AB$5:$AB$1004,$A$50)&gt;0,1,0))</f>
        <v/>
      </c>
      <c r="CG129">
        <f>IF($O129="",0,IF(COUNTIFS(업무일지!$F$5:$F$1004,$O129,업무일지!$B$5:$B$1004,"&gt;="&amp;DATE($B$3,1,1),업무일지!$B$5:$B$1004,"&lt;"&amp;DATE($B$3+1,1,1),업무일지!$AB$5:$AB$1004,$A$51)&gt;0,1,0))</f>
        <v/>
      </c>
      <c r="CH129">
        <f>IF($O129="",0,IF(COUNTIFS(업무일지!$F$5:$F$1004,$O129,업무일지!$B$5:$B$1004,"&gt;="&amp;DATE($B$3,1,1),업무일지!$B$5:$B$1004,"&lt;"&amp;DATE($B$3+1,1,1),업무일지!$AB$5:$AB$1004,$A$52)&gt;0,1,0))</f>
        <v/>
      </c>
      <c r="CI129">
        <f>IF($O129="",0,IF(COUNTIFS(업무일지!$F$5:$F$1004,$O129,업무일지!$B$5:$B$1004,"&gt;="&amp;DATE($B$3,1,1),업무일지!$B$5:$B$1004,"&lt;"&amp;DATE($B$3+1,1,1),업무일지!$AB$5:$AB$1004,$A$53)&gt;0,1,0))</f>
        <v/>
      </c>
    </row>
    <row r="130">
      <c r="O130">
        <f>IF(사건마스터!$A50="","",사건마스터!$A50)</f>
        <v/>
      </c>
      <c r="P130">
        <f>IF($O130="",0,IF(COUNTIFS(업무일지!$F$5:$F$1004,$O130,업무일지!$B$5:$B$1004,"&gt;="&amp;DATE($B$3,1,1),업무일지!$B$5:$B$1004,"&lt;"&amp;DATE($B$3,1+1,1),업무일지!$D$5:$D$1004,"출장")&gt;0,1,0))</f>
        <v/>
      </c>
      <c r="Q130">
        <f>IF($O130="",0,IF(COUNTIFS(업무일지!$F$5:$F$1004,$O130,업무일지!$B$5:$B$1004,"&gt;="&amp;DATE($B$3,2,1),업무일지!$B$5:$B$1004,"&lt;"&amp;DATE($B$3,2+1,1),업무일지!$D$5:$D$1004,"출장")&gt;0,1,0))</f>
        <v/>
      </c>
      <c r="R130">
        <f>IF($O130="",0,IF(COUNTIFS(업무일지!$F$5:$F$1004,$O130,업무일지!$B$5:$B$1004,"&gt;="&amp;DATE($B$3,3,1),업무일지!$B$5:$B$1004,"&lt;"&amp;DATE($B$3,3+1,1),업무일지!$D$5:$D$1004,"출장")&gt;0,1,0))</f>
        <v/>
      </c>
      <c r="S130">
        <f>IF($O130="",0,IF(COUNTIFS(업무일지!$F$5:$F$1004,$O130,업무일지!$B$5:$B$1004,"&gt;="&amp;DATE($B$3,4,1),업무일지!$B$5:$B$1004,"&lt;"&amp;DATE($B$3,4+1,1),업무일지!$D$5:$D$1004,"출장")&gt;0,1,0))</f>
        <v/>
      </c>
      <c r="T130">
        <f>IF($O130="",0,IF(COUNTIFS(업무일지!$F$5:$F$1004,$O130,업무일지!$B$5:$B$1004,"&gt;="&amp;DATE($B$3,5,1),업무일지!$B$5:$B$1004,"&lt;"&amp;DATE($B$3,5+1,1),업무일지!$D$5:$D$1004,"출장")&gt;0,1,0))</f>
        <v/>
      </c>
      <c r="U130">
        <f>IF($O130="",0,IF(COUNTIFS(업무일지!$F$5:$F$1004,$O130,업무일지!$B$5:$B$1004,"&gt;="&amp;DATE($B$3,6,1),업무일지!$B$5:$B$1004,"&lt;"&amp;DATE($B$3,6+1,1),업무일지!$D$5:$D$1004,"출장")&gt;0,1,0))</f>
        <v/>
      </c>
      <c r="V130">
        <f>IF($O130="",0,IF(COUNTIFS(업무일지!$F$5:$F$1004,$O130,업무일지!$B$5:$B$1004,"&gt;="&amp;DATE($B$3,7,1),업무일지!$B$5:$B$1004,"&lt;"&amp;DATE($B$3,7+1,1),업무일지!$D$5:$D$1004,"출장")&gt;0,1,0))</f>
        <v/>
      </c>
      <c r="W130">
        <f>IF($O130="",0,IF(COUNTIFS(업무일지!$F$5:$F$1004,$O130,업무일지!$B$5:$B$1004,"&gt;="&amp;DATE($B$3,8,1),업무일지!$B$5:$B$1004,"&lt;"&amp;DATE($B$3,8+1,1),업무일지!$D$5:$D$1004,"출장")&gt;0,1,0))</f>
        <v/>
      </c>
      <c r="X130">
        <f>IF($O130="",0,IF(COUNTIFS(업무일지!$F$5:$F$1004,$O130,업무일지!$B$5:$B$1004,"&gt;="&amp;DATE($B$3,9,1),업무일지!$B$5:$B$1004,"&lt;"&amp;DATE($B$3,9+1,1),업무일지!$D$5:$D$1004,"출장")&gt;0,1,0))</f>
        <v/>
      </c>
      <c r="Y130">
        <f>IF($O130="",0,IF(COUNTIFS(업무일지!$F$5:$F$1004,$O130,업무일지!$B$5:$B$1004,"&gt;="&amp;DATE($B$3,10,1),업무일지!$B$5:$B$1004,"&lt;"&amp;DATE($B$3,10+1,1),업무일지!$D$5:$D$1004,"출장")&gt;0,1,0))</f>
        <v/>
      </c>
      <c r="Z130">
        <f>IF($O130="",0,IF(COUNTIFS(업무일지!$F$5:$F$1004,$O130,업무일지!$B$5:$B$1004,"&gt;="&amp;DATE($B$3,11,1),업무일지!$B$5:$B$1004,"&lt;"&amp;DATE($B$3,11+1,1),업무일지!$D$5:$D$1004,"출장")&gt;0,1,0))</f>
        <v/>
      </c>
      <c r="AA130">
        <f>IF($O130="",0,IF(COUNTIFS(업무일지!$F$5:$F$1004,$O130,업무일지!$B$5:$B$1004,"&gt;="&amp;DATE($B$3,12,1),업무일지!$B$5:$B$1004,"&lt;"&amp;DATE($B$3,12+1,1),업무일지!$D$5:$D$1004,"출장")&gt;0,1,0))</f>
        <v/>
      </c>
      <c r="AB130">
        <f>IF($O130="",0,IF(COUNTIFS(업무일지!$F$5:$F$1004,$O130,업무일지!$B$5:$B$1004,"&gt;="&amp;DATE($B$3,1,1),업무일지!$B$5:$B$1004,"&lt;"&amp;DATE($B$3,1+1,1),업무일지!$D$5:$D$1004,"분석")&gt;0,1,0))</f>
        <v/>
      </c>
      <c r="AC130">
        <f>IF($O130="",0,IF(COUNTIFS(업무일지!$F$5:$F$1004,$O130,업무일지!$B$5:$B$1004,"&gt;="&amp;DATE($B$3,2,1),업무일지!$B$5:$B$1004,"&lt;"&amp;DATE($B$3,2+1,1),업무일지!$D$5:$D$1004,"분석")&gt;0,1,0))</f>
        <v/>
      </c>
      <c r="AD130">
        <f>IF($O130="",0,IF(COUNTIFS(업무일지!$F$5:$F$1004,$O130,업무일지!$B$5:$B$1004,"&gt;="&amp;DATE($B$3,3,1),업무일지!$B$5:$B$1004,"&lt;"&amp;DATE($B$3,3+1,1),업무일지!$D$5:$D$1004,"분석")&gt;0,1,0))</f>
        <v/>
      </c>
      <c r="AE130">
        <f>IF($O130="",0,IF(COUNTIFS(업무일지!$F$5:$F$1004,$O130,업무일지!$B$5:$B$1004,"&gt;="&amp;DATE($B$3,4,1),업무일지!$B$5:$B$1004,"&lt;"&amp;DATE($B$3,4+1,1),업무일지!$D$5:$D$1004,"분석")&gt;0,1,0))</f>
        <v/>
      </c>
      <c r="AF130">
        <f>IF($O130="",0,IF(COUNTIFS(업무일지!$F$5:$F$1004,$O130,업무일지!$B$5:$B$1004,"&gt;="&amp;DATE($B$3,5,1),업무일지!$B$5:$B$1004,"&lt;"&amp;DATE($B$3,5+1,1),업무일지!$D$5:$D$1004,"분석")&gt;0,1,0))</f>
        <v/>
      </c>
      <c r="AG130">
        <f>IF($O130="",0,IF(COUNTIFS(업무일지!$F$5:$F$1004,$O130,업무일지!$B$5:$B$1004,"&gt;="&amp;DATE($B$3,6,1),업무일지!$B$5:$B$1004,"&lt;"&amp;DATE($B$3,6+1,1),업무일지!$D$5:$D$1004,"분석")&gt;0,1,0))</f>
        <v/>
      </c>
      <c r="AH130">
        <f>IF($O130="",0,IF(COUNTIFS(업무일지!$F$5:$F$1004,$O130,업무일지!$B$5:$B$1004,"&gt;="&amp;DATE($B$3,7,1),업무일지!$B$5:$B$1004,"&lt;"&amp;DATE($B$3,7+1,1),업무일지!$D$5:$D$1004,"분석")&gt;0,1,0))</f>
        <v/>
      </c>
      <c r="AI130">
        <f>IF($O130="",0,IF(COUNTIFS(업무일지!$F$5:$F$1004,$O130,업무일지!$B$5:$B$1004,"&gt;="&amp;DATE($B$3,8,1),업무일지!$B$5:$B$1004,"&lt;"&amp;DATE($B$3,8+1,1),업무일지!$D$5:$D$1004,"분석")&gt;0,1,0))</f>
        <v/>
      </c>
      <c r="AJ130">
        <f>IF($O130="",0,IF(COUNTIFS(업무일지!$F$5:$F$1004,$O130,업무일지!$B$5:$B$1004,"&gt;="&amp;DATE($B$3,9,1),업무일지!$B$5:$B$1004,"&lt;"&amp;DATE($B$3,9+1,1),업무일지!$D$5:$D$1004,"분석")&gt;0,1,0))</f>
        <v/>
      </c>
      <c r="AK130">
        <f>IF($O130="",0,IF(COUNTIFS(업무일지!$F$5:$F$1004,$O130,업무일지!$B$5:$B$1004,"&gt;="&amp;DATE($B$3,10,1),업무일지!$B$5:$B$1004,"&lt;"&amp;DATE($B$3,10+1,1),업무일지!$D$5:$D$1004,"분석")&gt;0,1,0))</f>
        <v/>
      </c>
      <c r="AL130">
        <f>IF($O130="",0,IF(COUNTIFS(업무일지!$F$5:$F$1004,$O130,업무일지!$B$5:$B$1004,"&gt;="&amp;DATE($B$3,11,1),업무일지!$B$5:$B$1004,"&lt;"&amp;DATE($B$3,11+1,1),업무일지!$D$5:$D$1004,"분석")&gt;0,1,0))</f>
        <v/>
      </c>
      <c r="AM130">
        <f>IF($O130="",0,IF(COUNTIFS(업무일지!$F$5:$F$1004,$O130,업무일지!$B$5:$B$1004,"&gt;="&amp;DATE($B$3,12,1),업무일지!$B$5:$B$1004,"&lt;"&amp;DATE($B$3,12+1,1),업무일지!$D$5:$D$1004,"분석")&gt;0,1,0))</f>
        <v/>
      </c>
      <c r="AN130">
        <f>IF($O130="",0,IF(COUNTIFS(업무일지!$F$5:$F$1004,$O130,업무일지!$B$5:$B$1004,"&gt;="&amp;DATE($B$3,1,1),업무일지!$B$5:$B$1004,"&lt;"&amp;DATE($B$3,1+1,1))&gt;0,1,0))</f>
        <v/>
      </c>
      <c r="AO130">
        <f>IF($O130="",0,IF(COUNTIFS(업무일지!$F$5:$F$1004,$O130,업무일지!$B$5:$B$1004,"&gt;="&amp;DATE($B$3,2,1),업무일지!$B$5:$B$1004,"&lt;"&amp;DATE($B$3,2+1,1))&gt;0,1,0))</f>
        <v/>
      </c>
      <c r="AP130">
        <f>IF($O130="",0,IF(COUNTIFS(업무일지!$F$5:$F$1004,$O130,업무일지!$B$5:$B$1004,"&gt;="&amp;DATE($B$3,3,1),업무일지!$B$5:$B$1004,"&lt;"&amp;DATE($B$3,3+1,1))&gt;0,1,0))</f>
        <v/>
      </c>
      <c r="AQ130">
        <f>IF($O130="",0,IF(COUNTIFS(업무일지!$F$5:$F$1004,$O130,업무일지!$B$5:$B$1004,"&gt;="&amp;DATE($B$3,4,1),업무일지!$B$5:$B$1004,"&lt;"&amp;DATE($B$3,4+1,1))&gt;0,1,0))</f>
        <v/>
      </c>
      <c r="AR130">
        <f>IF($O130="",0,IF(COUNTIFS(업무일지!$F$5:$F$1004,$O130,업무일지!$B$5:$B$1004,"&gt;="&amp;DATE($B$3,5,1),업무일지!$B$5:$B$1004,"&lt;"&amp;DATE($B$3,5+1,1))&gt;0,1,0))</f>
        <v/>
      </c>
      <c r="AS130">
        <f>IF($O130="",0,IF(COUNTIFS(업무일지!$F$5:$F$1004,$O130,업무일지!$B$5:$B$1004,"&gt;="&amp;DATE($B$3,6,1),업무일지!$B$5:$B$1004,"&lt;"&amp;DATE($B$3,6+1,1))&gt;0,1,0))</f>
        <v/>
      </c>
      <c r="AT130">
        <f>IF($O130="",0,IF(COUNTIFS(업무일지!$F$5:$F$1004,$O130,업무일지!$B$5:$B$1004,"&gt;="&amp;DATE($B$3,7,1),업무일지!$B$5:$B$1004,"&lt;"&amp;DATE($B$3,7+1,1))&gt;0,1,0))</f>
        <v/>
      </c>
      <c r="AU130">
        <f>IF($O130="",0,IF(COUNTIFS(업무일지!$F$5:$F$1004,$O130,업무일지!$B$5:$B$1004,"&gt;="&amp;DATE($B$3,8,1),업무일지!$B$5:$B$1004,"&lt;"&amp;DATE($B$3,8+1,1))&gt;0,1,0))</f>
        <v/>
      </c>
      <c r="AV130">
        <f>IF($O130="",0,IF(COUNTIFS(업무일지!$F$5:$F$1004,$O130,업무일지!$B$5:$B$1004,"&gt;="&amp;DATE($B$3,9,1),업무일지!$B$5:$B$1004,"&lt;"&amp;DATE($B$3,9+1,1))&gt;0,1,0))</f>
        <v/>
      </c>
      <c r="AW130">
        <f>IF($O130="",0,IF(COUNTIFS(업무일지!$F$5:$F$1004,$O130,업무일지!$B$5:$B$1004,"&gt;="&amp;DATE($B$3,10,1),업무일지!$B$5:$B$1004,"&lt;"&amp;DATE($B$3,10+1,1))&gt;0,1,0))</f>
        <v/>
      </c>
      <c r="AX130">
        <f>IF($O130="",0,IF(COUNTIFS(업무일지!$F$5:$F$1004,$O130,업무일지!$B$5:$B$1004,"&gt;="&amp;DATE($B$3,11,1),업무일지!$B$5:$B$1004,"&lt;"&amp;DATE($B$3,11+1,1))&gt;0,1,0))</f>
        <v/>
      </c>
      <c r="AY130">
        <f>IF($O130="",0,IF(COUNTIFS(업무일지!$F$5:$F$1004,$O130,업무일지!$B$5:$B$1004,"&gt;="&amp;DATE($B$3,12,1),업무일지!$B$5:$B$1004,"&lt;"&amp;DATE($B$3,12+1,1))&gt;0,1,0))</f>
        <v/>
      </c>
      <c r="AZ130">
        <f>IF($O130="",0,IF(COUNTIFS(업무일지!$F$5:$F$1004,$O130,업무일지!$B$5:$B$1004,"&gt;="&amp;DATE($B$3,1,1),업무일지!$B$5:$B$1004,"&lt;"&amp;DATE($B$3+1,1,1),업무일지!$D$5:$D$1004,"출장")&gt;0,1,0))</f>
        <v/>
      </c>
      <c r="BA130">
        <f>IF($O130="",0,IF(COUNTIFS(업무일지!$F$5:$F$1004,$O130,업무일지!$B$5:$B$1004,"&gt;="&amp;DATE($B$3,1,1),업무일지!$B$5:$B$1004,"&lt;"&amp;DATE($B$3+1,1,1),업무일지!$D$5:$D$1004,"분석")&gt;0,1,0))</f>
        <v/>
      </c>
      <c r="BB130">
        <f>IF($O130="",0,IF(COUNTIFS(업무일지!$F$5:$F$1004,$O130,업무일지!$B$5:$B$1004,"&gt;="&amp;DATE($B$3,1,1),업무일지!$B$5:$B$1004,"&lt;"&amp;DATE($B$3+1,1,1))&gt;0,1,0))</f>
        <v/>
      </c>
      <c r="BD130">
        <f>IF($O130="",0,IF(COUNTIFS(업무일지!$F$5:$F$1004,$O130,업무일지!$B$5:$B$1004,"&gt;="&amp;DATE($B$3,1,1),업무일지!$B$5:$B$1004,"&lt;"&amp;DATE($B$3+1,1,1),업무일지!$AB$5:$AB$1004,$A$44,업무일지!$D$5:$D$1004,"출장")&gt;0,1,0))</f>
        <v/>
      </c>
      <c r="BE130">
        <f>IF($O130="",0,IF(COUNTIFS(업무일지!$F$5:$F$1004,$O130,업무일지!$B$5:$B$1004,"&gt;="&amp;DATE($B$3,1,1),업무일지!$B$5:$B$1004,"&lt;"&amp;DATE($B$3+1,1,1),업무일지!$AB$5:$AB$1004,$A$45,업무일지!$D$5:$D$1004,"출장")&gt;0,1,0))</f>
        <v/>
      </c>
      <c r="BF130">
        <f>IF($O130="",0,IF(COUNTIFS(업무일지!$F$5:$F$1004,$O130,업무일지!$B$5:$B$1004,"&gt;="&amp;DATE($B$3,1,1),업무일지!$B$5:$B$1004,"&lt;"&amp;DATE($B$3+1,1,1),업무일지!$AB$5:$AB$1004,$A$46,업무일지!$D$5:$D$1004,"출장")&gt;0,1,0))</f>
        <v/>
      </c>
      <c r="BG130">
        <f>IF($O130="",0,IF(COUNTIFS(업무일지!$F$5:$F$1004,$O130,업무일지!$B$5:$B$1004,"&gt;="&amp;DATE($B$3,1,1),업무일지!$B$5:$B$1004,"&lt;"&amp;DATE($B$3+1,1,1),업무일지!$AB$5:$AB$1004,$A$47,업무일지!$D$5:$D$1004,"출장")&gt;0,1,0))</f>
        <v/>
      </c>
      <c r="BH130">
        <f>IF($O130="",0,IF(COUNTIFS(업무일지!$F$5:$F$1004,$O130,업무일지!$B$5:$B$1004,"&gt;="&amp;DATE($B$3,1,1),업무일지!$B$5:$B$1004,"&lt;"&amp;DATE($B$3+1,1,1),업무일지!$AB$5:$AB$1004,$A$48,업무일지!$D$5:$D$1004,"출장")&gt;0,1,0))</f>
        <v/>
      </c>
      <c r="BI130">
        <f>IF($O130="",0,IF(COUNTIFS(업무일지!$F$5:$F$1004,$O130,업무일지!$B$5:$B$1004,"&gt;="&amp;DATE($B$3,1,1),업무일지!$B$5:$B$1004,"&lt;"&amp;DATE($B$3+1,1,1),업무일지!$AB$5:$AB$1004,$A$49,업무일지!$D$5:$D$1004,"출장")&gt;0,1,0))</f>
        <v/>
      </c>
      <c r="BJ130">
        <f>IF($O130="",0,IF(COUNTIFS(업무일지!$F$5:$F$1004,$O130,업무일지!$B$5:$B$1004,"&gt;="&amp;DATE($B$3,1,1),업무일지!$B$5:$B$1004,"&lt;"&amp;DATE($B$3+1,1,1),업무일지!$AB$5:$AB$1004,$A$50,업무일지!$D$5:$D$1004,"출장")&gt;0,1,0))</f>
        <v/>
      </c>
      <c r="BK130">
        <f>IF($O130="",0,IF(COUNTIFS(업무일지!$F$5:$F$1004,$O130,업무일지!$B$5:$B$1004,"&gt;="&amp;DATE($B$3,1,1),업무일지!$B$5:$B$1004,"&lt;"&amp;DATE($B$3+1,1,1),업무일지!$AB$5:$AB$1004,$A$51,업무일지!$D$5:$D$1004,"출장")&gt;0,1,0))</f>
        <v/>
      </c>
      <c r="BL130">
        <f>IF($O130="",0,IF(COUNTIFS(업무일지!$F$5:$F$1004,$O130,업무일지!$B$5:$B$1004,"&gt;="&amp;DATE($B$3,1,1),업무일지!$B$5:$B$1004,"&lt;"&amp;DATE($B$3+1,1,1),업무일지!$AB$5:$AB$1004,$A$52,업무일지!$D$5:$D$1004,"출장")&gt;0,1,0))</f>
        <v/>
      </c>
      <c r="BM130">
        <f>IF($O130="",0,IF(COUNTIFS(업무일지!$F$5:$F$1004,$O130,업무일지!$B$5:$B$1004,"&gt;="&amp;DATE($B$3,1,1),업무일지!$B$5:$B$1004,"&lt;"&amp;DATE($B$3+1,1,1),업무일지!$AB$5:$AB$1004,$A$53,업무일지!$D$5:$D$1004,"출장")&gt;0,1,0))</f>
        <v/>
      </c>
      <c r="BO130">
        <f>IF($O130="",0,IF(COUNTIFS(업무일지!$F$5:$F$1004,$O130,업무일지!$B$5:$B$1004,"&gt;="&amp;DATE($B$3,1,1),업무일지!$B$5:$B$1004,"&lt;"&amp;DATE($B$3+1,1,1),업무일지!$AB$5:$AB$1004,$A$44,업무일지!$D$5:$D$1004,"분석")&gt;0,1,0))</f>
        <v/>
      </c>
      <c r="BP130">
        <f>IF($O130="",0,IF(COUNTIFS(업무일지!$F$5:$F$1004,$O130,업무일지!$B$5:$B$1004,"&gt;="&amp;DATE($B$3,1,1),업무일지!$B$5:$B$1004,"&lt;"&amp;DATE($B$3+1,1,1),업무일지!$AB$5:$AB$1004,$A$45,업무일지!$D$5:$D$1004,"분석")&gt;0,1,0))</f>
        <v/>
      </c>
      <c r="BQ130">
        <f>IF($O130="",0,IF(COUNTIFS(업무일지!$F$5:$F$1004,$O130,업무일지!$B$5:$B$1004,"&gt;="&amp;DATE($B$3,1,1),업무일지!$B$5:$B$1004,"&lt;"&amp;DATE($B$3+1,1,1),업무일지!$AB$5:$AB$1004,$A$46,업무일지!$D$5:$D$1004,"분석")&gt;0,1,0))</f>
        <v/>
      </c>
      <c r="BR130">
        <f>IF($O130="",0,IF(COUNTIFS(업무일지!$F$5:$F$1004,$O130,업무일지!$B$5:$B$1004,"&gt;="&amp;DATE($B$3,1,1),업무일지!$B$5:$B$1004,"&lt;"&amp;DATE($B$3+1,1,1),업무일지!$AB$5:$AB$1004,$A$47,업무일지!$D$5:$D$1004,"분석")&gt;0,1,0))</f>
        <v/>
      </c>
      <c r="BS130">
        <f>IF($O130="",0,IF(COUNTIFS(업무일지!$F$5:$F$1004,$O130,업무일지!$B$5:$B$1004,"&gt;="&amp;DATE($B$3,1,1),업무일지!$B$5:$B$1004,"&lt;"&amp;DATE($B$3+1,1,1),업무일지!$AB$5:$AB$1004,$A$48,업무일지!$D$5:$D$1004,"분석")&gt;0,1,0))</f>
        <v/>
      </c>
      <c r="BT130">
        <f>IF($O130="",0,IF(COUNTIFS(업무일지!$F$5:$F$1004,$O130,업무일지!$B$5:$B$1004,"&gt;="&amp;DATE($B$3,1,1),업무일지!$B$5:$B$1004,"&lt;"&amp;DATE($B$3+1,1,1),업무일지!$AB$5:$AB$1004,$A$49,업무일지!$D$5:$D$1004,"분석")&gt;0,1,0))</f>
        <v/>
      </c>
      <c r="BU130">
        <f>IF($O130="",0,IF(COUNTIFS(업무일지!$F$5:$F$1004,$O130,업무일지!$B$5:$B$1004,"&gt;="&amp;DATE($B$3,1,1),업무일지!$B$5:$B$1004,"&lt;"&amp;DATE($B$3+1,1,1),업무일지!$AB$5:$AB$1004,$A$50,업무일지!$D$5:$D$1004,"분석")&gt;0,1,0))</f>
        <v/>
      </c>
      <c r="BV130">
        <f>IF($O130="",0,IF(COUNTIFS(업무일지!$F$5:$F$1004,$O130,업무일지!$B$5:$B$1004,"&gt;="&amp;DATE($B$3,1,1),업무일지!$B$5:$B$1004,"&lt;"&amp;DATE($B$3+1,1,1),업무일지!$AB$5:$AB$1004,$A$51,업무일지!$D$5:$D$1004,"분석")&gt;0,1,0))</f>
        <v/>
      </c>
      <c r="BW130">
        <f>IF($O130="",0,IF(COUNTIFS(업무일지!$F$5:$F$1004,$O130,업무일지!$B$5:$B$1004,"&gt;="&amp;DATE($B$3,1,1),업무일지!$B$5:$B$1004,"&lt;"&amp;DATE($B$3+1,1,1),업무일지!$AB$5:$AB$1004,$A$52,업무일지!$D$5:$D$1004,"분석")&gt;0,1,0))</f>
        <v/>
      </c>
      <c r="BX130">
        <f>IF($O130="",0,IF(COUNTIFS(업무일지!$F$5:$F$1004,$O130,업무일지!$B$5:$B$1004,"&gt;="&amp;DATE($B$3,1,1),업무일지!$B$5:$B$1004,"&lt;"&amp;DATE($B$3+1,1,1),업무일지!$AB$5:$AB$1004,$A$53,업무일지!$D$5:$D$1004,"분석")&gt;0,1,0))</f>
        <v/>
      </c>
      <c r="BZ130">
        <f>IF($O130="",0,IF(COUNTIFS(업무일지!$F$5:$F$1004,$O130,업무일지!$B$5:$B$1004,"&gt;="&amp;DATE($B$3,1,1),업무일지!$B$5:$B$1004,"&lt;"&amp;DATE($B$3+1,1,1),업무일지!$AB$5:$AB$1004,$A$44)&gt;0,1,0))</f>
        <v/>
      </c>
      <c r="CA130">
        <f>IF($O130="",0,IF(COUNTIFS(업무일지!$F$5:$F$1004,$O130,업무일지!$B$5:$B$1004,"&gt;="&amp;DATE($B$3,1,1),업무일지!$B$5:$B$1004,"&lt;"&amp;DATE($B$3+1,1,1),업무일지!$AB$5:$AB$1004,$A$45)&gt;0,1,0))</f>
        <v/>
      </c>
      <c r="CB130">
        <f>IF($O130="",0,IF(COUNTIFS(업무일지!$F$5:$F$1004,$O130,업무일지!$B$5:$B$1004,"&gt;="&amp;DATE($B$3,1,1),업무일지!$B$5:$B$1004,"&lt;"&amp;DATE($B$3+1,1,1),업무일지!$AB$5:$AB$1004,$A$46)&gt;0,1,0))</f>
        <v/>
      </c>
      <c r="CC130">
        <f>IF($O130="",0,IF(COUNTIFS(업무일지!$F$5:$F$1004,$O130,업무일지!$B$5:$B$1004,"&gt;="&amp;DATE($B$3,1,1),업무일지!$B$5:$B$1004,"&lt;"&amp;DATE($B$3+1,1,1),업무일지!$AB$5:$AB$1004,$A$47)&gt;0,1,0))</f>
        <v/>
      </c>
      <c r="CD130">
        <f>IF($O130="",0,IF(COUNTIFS(업무일지!$F$5:$F$1004,$O130,업무일지!$B$5:$B$1004,"&gt;="&amp;DATE($B$3,1,1),업무일지!$B$5:$B$1004,"&lt;"&amp;DATE($B$3+1,1,1),업무일지!$AB$5:$AB$1004,$A$48)&gt;0,1,0))</f>
        <v/>
      </c>
      <c r="CE130">
        <f>IF($O130="",0,IF(COUNTIFS(업무일지!$F$5:$F$1004,$O130,업무일지!$B$5:$B$1004,"&gt;="&amp;DATE($B$3,1,1),업무일지!$B$5:$B$1004,"&lt;"&amp;DATE($B$3+1,1,1),업무일지!$AB$5:$AB$1004,$A$49)&gt;0,1,0))</f>
        <v/>
      </c>
      <c r="CF130">
        <f>IF($O130="",0,IF(COUNTIFS(업무일지!$F$5:$F$1004,$O130,업무일지!$B$5:$B$1004,"&gt;="&amp;DATE($B$3,1,1),업무일지!$B$5:$B$1004,"&lt;"&amp;DATE($B$3+1,1,1),업무일지!$AB$5:$AB$1004,$A$50)&gt;0,1,0))</f>
        <v/>
      </c>
      <c r="CG130">
        <f>IF($O130="",0,IF(COUNTIFS(업무일지!$F$5:$F$1004,$O130,업무일지!$B$5:$B$1004,"&gt;="&amp;DATE($B$3,1,1),업무일지!$B$5:$B$1004,"&lt;"&amp;DATE($B$3+1,1,1),업무일지!$AB$5:$AB$1004,$A$51)&gt;0,1,0))</f>
        <v/>
      </c>
      <c r="CH130">
        <f>IF($O130="",0,IF(COUNTIFS(업무일지!$F$5:$F$1004,$O130,업무일지!$B$5:$B$1004,"&gt;="&amp;DATE($B$3,1,1),업무일지!$B$5:$B$1004,"&lt;"&amp;DATE($B$3+1,1,1),업무일지!$AB$5:$AB$1004,$A$52)&gt;0,1,0))</f>
        <v/>
      </c>
      <c r="CI130">
        <f>IF($O130="",0,IF(COUNTIFS(업무일지!$F$5:$F$1004,$O130,업무일지!$B$5:$B$1004,"&gt;="&amp;DATE($B$3,1,1),업무일지!$B$5:$B$1004,"&lt;"&amp;DATE($B$3+1,1,1),업무일지!$AB$5:$AB$1004,$A$53)&gt;0,1,0))</f>
        <v/>
      </c>
    </row>
    <row r="131">
      <c r="O131">
        <f>IF(사건마스터!$A51="","",사건마스터!$A51)</f>
        <v/>
      </c>
      <c r="P131">
        <f>IF($O131="",0,IF(COUNTIFS(업무일지!$F$5:$F$1004,$O131,업무일지!$B$5:$B$1004,"&gt;="&amp;DATE($B$3,1,1),업무일지!$B$5:$B$1004,"&lt;"&amp;DATE($B$3,1+1,1),업무일지!$D$5:$D$1004,"출장")&gt;0,1,0))</f>
        <v/>
      </c>
      <c r="Q131">
        <f>IF($O131="",0,IF(COUNTIFS(업무일지!$F$5:$F$1004,$O131,업무일지!$B$5:$B$1004,"&gt;="&amp;DATE($B$3,2,1),업무일지!$B$5:$B$1004,"&lt;"&amp;DATE($B$3,2+1,1),업무일지!$D$5:$D$1004,"출장")&gt;0,1,0))</f>
        <v/>
      </c>
      <c r="R131">
        <f>IF($O131="",0,IF(COUNTIFS(업무일지!$F$5:$F$1004,$O131,업무일지!$B$5:$B$1004,"&gt;="&amp;DATE($B$3,3,1),업무일지!$B$5:$B$1004,"&lt;"&amp;DATE($B$3,3+1,1),업무일지!$D$5:$D$1004,"출장")&gt;0,1,0))</f>
        <v/>
      </c>
      <c r="S131">
        <f>IF($O131="",0,IF(COUNTIFS(업무일지!$F$5:$F$1004,$O131,업무일지!$B$5:$B$1004,"&gt;="&amp;DATE($B$3,4,1),업무일지!$B$5:$B$1004,"&lt;"&amp;DATE($B$3,4+1,1),업무일지!$D$5:$D$1004,"출장")&gt;0,1,0))</f>
        <v/>
      </c>
      <c r="T131">
        <f>IF($O131="",0,IF(COUNTIFS(업무일지!$F$5:$F$1004,$O131,업무일지!$B$5:$B$1004,"&gt;="&amp;DATE($B$3,5,1),업무일지!$B$5:$B$1004,"&lt;"&amp;DATE($B$3,5+1,1),업무일지!$D$5:$D$1004,"출장")&gt;0,1,0))</f>
        <v/>
      </c>
      <c r="U131">
        <f>IF($O131="",0,IF(COUNTIFS(업무일지!$F$5:$F$1004,$O131,업무일지!$B$5:$B$1004,"&gt;="&amp;DATE($B$3,6,1),업무일지!$B$5:$B$1004,"&lt;"&amp;DATE($B$3,6+1,1),업무일지!$D$5:$D$1004,"출장")&gt;0,1,0))</f>
        <v/>
      </c>
      <c r="V131">
        <f>IF($O131="",0,IF(COUNTIFS(업무일지!$F$5:$F$1004,$O131,업무일지!$B$5:$B$1004,"&gt;="&amp;DATE($B$3,7,1),업무일지!$B$5:$B$1004,"&lt;"&amp;DATE($B$3,7+1,1),업무일지!$D$5:$D$1004,"출장")&gt;0,1,0))</f>
        <v/>
      </c>
      <c r="W131">
        <f>IF($O131="",0,IF(COUNTIFS(업무일지!$F$5:$F$1004,$O131,업무일지!$B$5:$B$1004,"&gt;="&amp;DATE($B$3,8,1),업무일지!$B$5:$B$1004,"&lt;"&amp;DATE($B$3,8+1,1),업무일지!$D$5:$D$1004,"출장")&gt;0,1,0))</f>
        <v/>
      </c>
      <c r="X131">
        <f>IF($O131="",0,IF(COUNTIFS(업무일지!$F$5:$F$1004,$O131,업무일지!$B$5:$B$1004,"&gt;="&amp;DATE($B$3,9,1),업무일지!$B$5:$B$1004,"&lt;"&amp;DATE($B$3,9+1,1),업무일지!$D$5:$D$1004,"출장")&gt;0,1,0))</f>
        <v/>
      </c>
      <c r="Y131">
        <f>IF($O131="",0,IF(COUNTIFS(업무일지!$F$5:$F$1004,$O131,업무일지!$B$5:$B$1004,"&gt;="&amp;DATE($B$3,10,1),업무일지!$B$5:$B$1004,"&lt;"&amp;DATE($B$3,10+1,1),업무일지!$D$5:$D$1004,"출장")&gt;0,1,0))</f>
        <v/>
      </c>
      <c r="Z131">
        <f>IF($O131="",0,IF(COUNTIFS(업무일지!$F$5:$F$1004,$O131,업무일지!$B$5:$B$1004,"&gt;="&amp;DATE($B$3,11,1),업무일지!$B$5:$B$1004,"&lt;"&amp;DATE($B$3,11+1,1),업무일지!$D$5:$D$1004,"출장")&gt;0,1,0))</f>
        <v/>
      </c>
      <c r="AA131">
        <f>IF($O131="",0,IF(COUNTIFS(업무일지!$F$5:$F$1004,$O131,업무일지!$B$5:$B$1004,"&gt;="&amp;DATE($B$3,12,1),업무일지!$B$5:$B$1004,"&lt;"&amp;DATE($B$3,12+1,1),업무일지!$D$5:$D$1004,"출장")&gt;0,1,0))</f>
        <v/>
      </c>
      <c r="AB131">
        <f>IF($O131="",0,IF(COUNTIFS(업무일지!$F$5:$F$1004,$O131,업무일지!$B$5:$B$1004,"&gt;="&amp;DATE($B$3,1,1),업무일지!$B$5:$B$1004,"&lt;"&amp;DATE($B$3,1+1,1),업무일지!$D$5:$D$1004,"분석")&gt;0,1,0))</f>
        <v/>
      </c>
      <c r="AC131">
        <f>IF($O131="",0,IF(COUNTIFS(업무일지!$F$5:$F$1004,$O131,업무일지!$B$5:$B$1004,"&gt;="&amp;DATE($B$3,2,1),업무일지!$B$5:$B$1004,"&lt;"&amp;DATE($B$3,2+1,1),업무일지!$D$5:$D$1004,"분석")&gt;0,1,0))</f>
        <v/>
      </c>
      <c r="AD131">
        <f>IF($O131="",0,IF(COUNTIFS(업무일지!$F$5:$F$1004,$O131,업무일지!$B$5:$B$1004,"&gt;="&amp;DATE($B$3,3,1),업무일지!$B$5:$B$1004,"&lt;"&amp;DATE($B$3,3+1,1),업무일지!$D$5:$D$1004,"분석")&gt;0,1,0))</f>
        <v/>
      </c>
      <c r="AE131">
        <f>IF($O131="",0,IF(COUNTIFS(업무일지!$F$5:$F$1004,$O131,업무일지!$B$5:$B$1004,"&gt;="&amp;DATE($B$3,4,1),업무일지!$B$5:$B$1004,"&lt;"&amp;DATE($B$3,4+1,1),업무일지!$D$5:$D$1004,"분석")&gt;0,1,0))</f>
        <v/>
      </c>
      <c r="AF131">
        <f>IF($O131="",0,IF(COUNTIFS(업무일지!$F$5:$F$1004,$O131,업무일지!$B$5:$B$1004,"&gt;="&amp;DATE($B$3,5,1),업무일지!$B$5:$B$1004,"&lt;"&amp;DATE($B$3,5+1,1),업무일지!$D$5:$D$1004,"분석")&gt;0,1,0))</f>
        <v/>
      </c>
      <c r="AG131">
        <f>IF($O131="",0,IF(COUNTIFS(업무일지!$F$5:$F$1004,$O131,업무일지!$B$5:$B$1004,"&gt;="&amp;DATE($B$3,6,1),업무일지!$B$5:$B$1004,"&lt;"&amp;DATE($B$3,6+1,1),업무일지!$D$5:$D$1004,"분석")&gt;0,1,0))</f>
        <v/>
      </c>
      <c r="AH131">
        <f>IF($O131="",0,IF(COUNTIFS(업무일지!$F$5:$F$1004,$O131,업무일지!$B$5:$B$1004,"&gt;="&amp;DATE($B$3,7,1),업무일지!$B$5:$B$1004,"&lt;"&amp;DATE($B$3,7+1,1),업무일지!$D$5:$D$1004,"분석")&gt;0,1,0))</f>
        <v/>
      </c>
      <c r="AI131">
        <f>IF($O131="",0,IF(COUNTIFS(업무일지!$F$5:$F$1004,$O131,업무일지!$B$5:$B$1004,"&gt;="&amp;DATE($B$3,8,1),업무일지!$B$5:$B$1004,"&lt;"&amp;DATE($B$3,8+1,1),업무일지!$D$5:$D$1004,"분석")&gt;0,1,0))</f>
        <v/>
      </c>
      <c r="AJ131">
        <f>IF($O131="",0,IF(COUNTIFS(업무일지!$F$5:$F$1004,$O131,업무일지!$B$5:$B$1004,"&gt;="&amp;DATE($B$3,9,1),업무일지!$B$5:$B$1004,"&lt;"&amp;DATE($B$3,9+1,1),업무일지!$D$5:$D$1004,"분석")&gt;0,1,0))</f>
        <v/>
      </c>
      <c r="AK131">
        <f>IF($O131="",0,IF(COUNTIFS(업무일지!$F$5:$F$1004,$O131,업무일지!$B$5:$B$1004,"&gt;="&amp;DATE($B$3,10,1),업무일지!$B$5:$B$1004,"&lt;"&amp;DATE($B$3,10+1,1),업무일지!$D$5:$D$1004,"분석")&gt;0,1,0))</f>
        <v/>
      </c>
      <c r="AL131">
        <f>IF($O131="",0,IF(COUNTIFS(업무일지!$F$5:$F$1004,$O131,업무일지!$B$5:$B$1004,"&gt;="&amp;DATE($B$3,11,1),업무일지!$B$5:$B$1004,"&lt;"&amp;DATE($B$3,11+1,1),업무일지!$D$5:$D$1004,"분석")&gt;0,1,0))</f>
        <v/>
      </c>
      <c r="AM131">
        <f>IF($O131="",0,IF(COUNTIFS(업무일지!$F$5:$F$1004,$O131,업무일지!$B$5:$B$1004,"&gt;="&amp;DATE($B$3,12,1),업무일지!$B$5:$B$1004,"&lt;"&amp;DATE($B$3,12+1,1),업무일지!$D$5:$D$1004,"분석")&gt;0,1,0))</f>
        <v/>
      </c>
      <c r="AN131">
        <f>IF($O131="",0,IF(COUNTIFS(업무일지!$F$5:$F$1004,$O131,업무일지!$B$5:$B$1004,"&gt;="&amp;DATE($B$3,1,1),업무일지!$B$5:$B$1004,"&lt;"&amp;DATE($B$3,1+1,1))&gt;0,1,0))</f>
        <v/>
      </c>
      <c r="AO131">
        <f>IF($O131="",0,IF(COUNTIFS(업무일지!$F$5:$F$1004,$O131,업무일지!$B$5:$B$1004,"&gt;="&amp;DATE($B$3,2,1),업무일지!$B$5:$B$1004,"&lt;"&amp;DATE($B$3,2+1,1))&gt;0,1,0))</f>
        <v/>
      </c>
      <c r="AP131">
        <f>IF($O131="",0,IF(COUNTIFS(업무일지!$F$5:$F$1004,$O131,업무일지!$B$5:$B$1004,"&gt;="&amp;DATE($B$3,3,1),업무일지!$B$5:$B$1004,"&lt;"&amp;DATE($B$3,3+1,1))&gt;0,1,0))</f>
        <v/>
      </c>
      <c r="AQ131">
        <f>IF($O131="",0,IF(COUNTIFS(업무일지!$F$5:$F$1004,$O131,업무일지!$B$5:$B$1004,"&gt;="&amp;DATE($B$3,4,1),업무일지!$B$5:$B$1004,"&lt;"&amp;DATE($B$3,4+1,1))&gt;0,1,0))</f>
        <v/>
      </c>
      <c r="AR131">
        <f>IF($O131="",0,IF(COUNTIFS(업무일지!$F$5:$F$1004,$O131,업무일지!$B$5:$B$1004,"&gt;="&amp;DATE($B$3,5,1),업무일지!$B$5:$B$1004,"&lt;"&amp;DATE($B$3,5+1,1))&gt;0,1,0))</f>
        <v/>
      </c>
      <c r="AS131">
        <f>IF($O131="",0,IF(COUNTIFS(업무일지!$F$5:$F$1004,$O131,업무일지!$B$5:$B$1004,"&gt;="&amp;DATE($B$3,6,1),업무일지!$B$5:$B$1004,"&lt;"&amp;DATE($B$3,6+1,1))&gt;0,1,0))</f>
        <v/>
      </c>
      <c r="AT131">
        <f>IF($O131="",0,IF(COUNTIFS(업무일지!$F$5:$F$1004,$O131,업무일지!$B$5:$B$1004,"&gt;="&amp;DATE($B$3,7,1),업무일지!$B$5:$B$1004,"&lt;"&amp;DATE($B$3,7+1,1))&gt;0,1,0))</f>
        <v/>
      </c>
      <c r="AU131">
        <f>IF($O131="",0,IF(COUNTIFS(업무일지!$F$5:$F$1004,$O131,업무일지!$B$5:$B$1004,"&gt;="&amp;DATE($B$3,8,1),업무일지!$B$5:$B$1004,"&lt;"&amp;DATE($B$3,8+1,1))&gt;0,1,0))</f>
        <v/>
      </c>
      <c r="AV131">
        <f>IF($O131="",0,IF(COUNTIFS(업무일지!$F$5:$F$1004,$O131,업무일지!$B$5:$B$1004,"&gt;="&amp;DATE($B$3,9,1),업무일지!$B$5:$B$1004,"&lt;"&amp;DATE($B$3,9+1,1))&gt;0,1,0))</f>
        <v/>
      </c>
      <c r="AW131">
        <f>IF($O131="",0,IF(COUNTIFS(업무일지!$F$5:$F$1004,$O131,업무일지!$B$5:$B$1004,"&gt;="&amp;DATE($B$3,10,1),업무일지!$B$5:$B$1004,"&lt;"&amp;DATE($B$3,10+1,1))&gt;0,1,0))</f>
        <v/>
      </c>
      <c r="AX131">
        <f>IF($O131="",0,IF(COUNTIFS(업무일지!$F$5:$F$1004,$O131,업무일지!$B$5:$B$1004,"&gt;="&amp;DATE($B$3,11,1),업무일지!$B$5:$B$1004,"&lt;"&amp;DATE($B$3,11+1,1))&gt;0,1,0))</f>
        <v/>
      </c>
      <c r="AY131">
        <f>IF($O131="",0,IF(COUNTIFS(업무일지!$F$5:$F$1004,$O131,업무일지!$B$5:$B$1004,"&gt;="&amp;DATE($B$3,12,1),업무일지!$B$5:$B$1004,"&lt;"&amp;DATE($B$3,12+1,1))&gt;0,1,0))</f>
        <v/>
      </c>
      <c r="AZ131">
        <f>IF($O131="",0,IF(COUNTIFS(업무일지!$F$5:$F$1004,$O131,업무일지!$B$5:$B$1004,"&gt;="&amp;DATE($B$3,1,1),업무일지!$B$5:$B$1004,"&lt;"&amp;DATE($B$3+1,1,1),업무일지!$D$5:$D$1004,"출장")&gt;0,1,0))</f>
        <v/>
      </c>
      <c r="BA131">
        <f>IF($O131="",0,IF(COUNTIFS(업무일지!$F$5:$F$1004,$O131,업무일지!$B$5:$B$1004,"&gt;="&amp;DATE($B$3,1,1),업무일지!$B$5:$B$1004,"&lt;"&amp;DATE($B$3+1,1,1),업무일지!$D$5:$D$1004,"분석")&gt;0,1,0))</f>
        <v/>
      </c>
      <c r="BB131">
        <f>IF($O131="",0,IF(COUNTIFS(업무일지!$F$5:$F$1004,$O131,업무일지!$B$5:$B$1004,"&gt;="&amp;DATE($B$3,1,1),업무일지!$B$5:$B$1004,"&lt;"&amp;DATE($B$3+1,1,1))&gt;0,1,0))</f>
        <v/>
      </c>
      <c r="BD131">
        <f>IF($O131="",0,IF(COUNTIFS(업무일지!$F$5:$F$1004,$O131,업무일지!$B$5:$B$1004,"&gt;="&amp;DATE($B$3,1,1),업무일지!$B$5:$B$1004,"&lt;"&amp;DATE($B$3+1,1,1),업무일지!$AB$5:$AB$1004,$A$44,업무일지!$D$5:$D$1004,"출장")&gt;0,1,0))</f>
        <v/>
      </c>
      <c r="BE131">
        <f>IF($O131="",0,IF(COUNTIFS(업무일지!$F$5:$F$1004,$O131,업무일지!$B$5:$B$1004,"&gt;="&amp;DATE($B$3,1,1),업무일지!$B$5:$B$1004,"&lt;"&amp;DATE($B$3+1,1,1),업무일지!$AB$5:$AB$1004,$A$45,업무일지!$D$5:$D$1004,"출장")&gt;0,1,0))</f>
        <v/>
      </c>
      <c r="BF131">
        <f>IF($O131="",0,IF(COUNTIFS(업무일지!$F$5:$F$1004,$O131,업무일지!$B$5:$B$1004,"&gt;="&amp;DATE($B$3,1,1),업무일지!$B$5:$B$1004,"&lt;"&amp;DATE($B$3+1,1,1),업무일지!$AB$5:$AB$1004,$A$46,업무일지!$D$5:$D$1004,"출장")&gt;0,1,0))</f>
        <v/>
      </c>
      <c r="BG131">
        <f>IF($O131="",0,IF(COUNTIFS(업무일지!$F$5:$F$1004,$O131,업무일지!$B$5:$B$1004,"&gt;="&amp;DATE($B$3,1,1),업무일지!$B$5:$B$1004,"&lt;"&amp;DATE($B$3+1,1,1),업무일지!$AB$5:$AB$1004,$A$47,업무일지!$D$5:$D$1004,"출장")&gt;0,1,0))</f>
        <v/>
      </c>
      <c r="BH131">
        <f>IF($O131="",0,IF(COUNTIFS(업무일지!$F$5:$F$1004,$O131,업무일지!$B$5:$B$1004,"&gt;="&amp;DATE($B$3,1,1),업무일지!$B$5:$B$1004,"&lt;"&amp;DATE($B$3+1,1,1),업무일지!$AB$5:$AB$1004,$A$48,업무일지!$D$5:$D$1004,"출장")&gt;0,1,0))</f>
        <v/>
      </c>
      <c r="BI131">
        <f>IF($O131="",0,IF(COUNTIFS(업무일지!$F$5:$F$1004,$O131,업무일지!$B$5:$B$1004,"&gt;="&amp;DATE($B$3,1,1),업무일지!$B$5:$B$1004,"&lt;"&amp;DATE($B$3+1,1,1),업무일지!$AB$5:$AB$1004,$A$49,업무일지!$D$5:$D$1004,"출장")&gt;0,1,0))</f>
        <v/>
      </c>
      <c r="BJ131">
        <f>IF($O131="",0,IF(COUNTIFS(업무일지!$F$5:$F$1004,$O131,업무일지!$B$5:$B$1004,"&gt;="&amp;DATE($B$3,1,1),업무일지!$B$5:$B$1004,"&lt;"&amp;DATE($B$3+1,1,1),업무일지!$AB$5:$AB$1004,$A$50,업무일지!$D$5:$D$1004,"출장")&gt;0,1,0))</f>
        <v/>
      </c>
      <c r="BK131">
        <f>IF($O131="",0,IF(COUNTIFS(업무일지!$F$5:$F$1004,$O131,업무일지!$B$5:$B$1004,"&gt;="&amp;DATE($B$3,1,1),업무일지!$B$5:$B$1004,"&lt;"&amp;DATE($B$3+1,1,1),업무일지!$AB$5:$AB$1004,$A$51,업무일지!$D$5:$D$1004,"출장")&gt;0,1,0))</f>
        <v/>
      </c>
      <c r="BL131">
        <f>IF($O131="",0,IF(COUNTIFS(업무일지!$F$5:$F$1004,$O131,업무일지!$B$5:$B$1004,"&gt;="&amp;DATE($B$3,1,1),업무일지!$B$5:$B$1004,"&lt;"&amp;DATE($B$3+1,1,1),업무일지!$AB$5:$AB$1004,$A$52,업무일지!$D$5:$D$1004,"출장")&gt;0,1,0))</f>
        <v/>
      </c>
      <c r="BM131">
        <f>IF($O131="",0,IF(COUNTIFS(업무일지!$F$5:$F$1004,$O131,업무일지!$B$5:$B$1004,"&gt;="&amp;DATE($B$3,1,1),업무일지!$B$5:$B$1004,"&lt;"&amp;DATE($B$3+1,1,1),업무일지!$AB$5:$AB$1004,$A$53,업무일지!$D$5:$D$1004,"출장")&gt;0,1,0))</f>
        <v/>
      </c>
      <c r="BO131">
        <f>IF($O131="",0,IF(COUNTIFS(업무일지!$F$5:$F$1004,$O131,업무일지!$B$5:$B$1004,"&gt;="&amp;DATE($B$3,1,1),업무일지!$B$5:$B$1004,"&lt;"&amp;DATE($B$3+1,1,1),업무일지!$AB$5:$AB$1004,$A$44,업무일지!$D$5:$D$1004,"분석")&gt;0,1,0))</f>
        <v/>
      </c>
      <c r="BP131">
        <f>IF($O131="",0,IF(COUNTIFS(업무일지!$F$5:$F$1004,$O131,업무일지!$B$5:$B$1004,"&gt;="&amp;DATE($B$3,1,1),업무일지!$B$5:$B$1004,"&lt;"&amp;DATE($B$3+1,1,1),업무일지!$AB$5:$AB$1004,$A$45,업무일지!$D$5:$D$1004,"분석")&gt;0,1,0))</f>
        <v/>
      </c>
      <c r="BQ131">
        <f>IF($O131="",0,IF(COUNTIFS(업무일지!$F$5:$F$1004,$O131,업무일지!$B$5:$B$1004,"&gt;="&amp;DATE($B$3,1,1),업무일지!$B$5:$B$1004,"&lt;"&amp;DATE($B$3+1,1,1),업무일지!$AB$5:$AB$1004,$A$46,업무일지!$D$5:$D$1004,"분석")&gt;0,1,0))</f>
        <v/>
      </c>
      <c r="BR131">
        <f>IF($O131="",0,IF(COUNTIFS(업무일지!$F$5:$F$1004,$O131,업무일지!$B$5:$B$1004,"&gt;="&amp;DATE($B$3,1,1),업무일지!$B$5:$B$1004,"&lt;"&amp;DATE($B$3+1,1,1),업무일지!$AB$5:$AB$1004,$A$47,업무일지!$D$5:$D$1004,"분석")&gt;0,1,0))</f>
        <v/>
      </c>
      <c r="BS131">
        <f>IF($O131="",0,IF(COUNTIFS(업무일지!$F$5:$F$1004,$O131,업무일지!$B$5:$B$1004,"&gt;="&amp;DATE($B$3,1,1),업무일지!$B$5:$B$1004,"&lt;"&amp;DATE($B$3+1,1,1),업무일지!$AB$5:$AB$1004,$A$48,업무일지!$D$5:$D$1004,"분석")&gt;0,1,0))</f>
        <v/>
      </c>
      <c r="BT131">
        <f>IF($O131="",0,IF(COUNTIFS(업무일지!$F$5:$F$1004,$O131,업무일지!$B$5:$B$1004,"&gt;="&amp;DATE($B$3,1,1),업무일지!$B$5:$B$1004,"&lt;"&amp;DATE($B$3+1,1,1),업무일지!$AB$5:$AB$1004,$A$49,업무일지!$D$5:$D$1004,"분석")&gt;0,1,0))</f>
        <v/>
      </c>
      <c r="BU131">
        <f>IF($O131="",0,IF(COUNTIFS(업무일지!$F$5:$F$1004,$O131,업무일지!$B$5:$B$1004,"&gt;="&amp;DATE($B$3,1,1),업무일지!$B$5:$B$1004,"&lt;"&amp;DATE($B$3+1,1,1),업무일지!$AB$5:$AB$1004,$A$50,업무일지!$D$5:$D$1004,"분석")&gt;0,1,0))</f>
        <v/>
      </c>
      <c r="BV131">
        <f>IF($O131="",0,IF(COUNTIFS(업무일지!$F$5:$F$1004,$O131,업무일지!$B$5:$B$1004,"&gt;="&amp;DATE($B$3,1,1),업무일지!$B$5:$B$1004,"&lt;"&amp;DATE($B$3+1,1,1),업무일지!$AB$5:$AB$1004,$A$51,업무일지!$D$5:$D$1004,"분석")&gt;0,1,0))</f>
        <v/>
      </c>
      <c r="BW131">
        <f>IF($O131="",0,IF(COUNTIFS(업무일지!$F$5:$F$1004,$O131,업무일지!$B$5:$B$1004,"&gt;="&amp;DATE($B$3,1,1),업무일지!$B$5:$B$1004,"&lt;"&amp;DATE($B$3+1,1,1),업무일지!$AB$5:$AB$1004,$A$52,업무일지!$D$5:$D$1004,"분석")&gt;0,1,0))</f>
        <v/>
      </c>
      <c r="BX131">
        <f>IF($O131="",0,IF(COUNTIFS(업무일지!$F$5:$F$1004,$O131,업무일지!$B$5:$B$1004,"&gt;="&amp;DATE($B$3,1,1),업무일지!$B$5:$B$1004,"&lt;"&amp;DATE($B$3+1,1,1),업무일지!$AB$5:$AB$1004,$A$53,업무일지!$D$5:$D$1004,"분석")&gt;0,1,0))</f>
        <v/>
      </c>
      <c r="BZ131">
        <f>IF($O131="",0,IF(COUNTIFS(업무일지!$F$5:$F$1004,$O131,업무일지!$B$5:$B$1004,"&gt;="&amp;DATE($B$3,1,1),업무일지!$B$5:$B$1004,"&lt;"&amp;DATE($B$3+1,1,1),업무일지!$AB$5:$AB$1004,$A$44)&gt;0,1,0))</f>
        <v/>
      </c>
      <c r="CA131">
        <f>IF($O131="",0,IF(COUNTIFS(업무일지!$F$5:$F$1004,$O131,업무일지!$B$5:$B$1004,"&gt;="&amp;DATE($B$3,1,1),업무일지!$B$5:$B$1004,"&lt;"&amp;DATE($B$3+1,1,1),업무일지!$AB$5:$AB$1004,$A$45)&gt;0,1,0))</f>
        <v/>
      </c>
      <c r="CB131">
        <f>IF($O131="",0,IF(COUNTIFS(업무일지!$F$5:$F$1004,$O131,업무일지!$B$5:$B$1004,"&gt;="&amp;DATE($B$3,1,1),업무일지!$B$5:$B$1004,"&lt;"&amp;DATE($B$3+1,1,1),업무일지!$AB$5:$AB$1004,$A$46)&gt;0,1,0))</f>
        <v/>
      </c>
      <c r="CC131">
        <f>IF($O131="",0,IF(COUNTIFS(업무일지!$F$5:$F$1004,$O131,업무일지!$B$5:$B$1004,"&gt;="&amp;DATE($B$3,1,1),업무일지!$B$5:$B$1004,"&lt;"&amp;DATE($B$3+1,1,1),업무일지!$AB$5:$AB$1004,$A$47)&gt;0,1,0))</f>
        <v/>
      </c>
      <c r="CD131">
        <f>IF($O131="",0,IF(COUNTIFS(업무일지!$F$5:$F$1004,$O131,업무일지!$B$5:$B$1004,"&gt;="&amp;DATE($B$3,1,1),업무일지!$B$5:$B$1004,"&lt;"&amp;DATE($B$3+1,1,1),업무일지!$AB$5:$AB$1004,$A$48)&gt;0,1,0))</f>
        <v/>
      </c>
      <c r="CE131">
        <f>IF($O131="",0,IF(COUNTIFS(업무일지!$F$5:$F$1004,$O131,업무일지!$B$5:$B$1004,"&gt;="&amp;DATE($B$3,1,1),업무일지!$B$5:$B$1004,"&lt;"&amp;DATE($B$3+1,1,1),업무일지!$AB$5:$AB$1004,$A$49)&gt;0,1,0))</f>
        <v/>
      </c>
      <c r="CF131">
        <f>IF($O131="",0,IF(COUNTIFS(업무일지!$F$5:$F$1004,$O131,업무일지!$B$5:$B$1004,"&gt;="&amp;DATE($B$3,1,1),업무일지!$B$5:$B$1004,"&lt;"&amp;DATE($B$3+1,1,1),업무일지!$AB$5:$AB$1004,$A$50)&gt;0,1,0))</f>
        <v/>
      </c>
      <c r="CG131">
        <f>IF($O131="",0,IF(COUNTIFS(업무일지!$F$5:$F$1004,$O131,업무일지!$B$5:$B$1004,"&gt;="&amp;DATE($B$3,1,1),업무일지!$B$5:$B$1004,"&lt;"&amp;DATE($B$3+1,1,1),업무일지!$AB$5:$AB$1004,$A$51)&gt;0,1,0))</f>
        <v/>
      </c>
      <c r="CH131">
        <f>IF($O131="",0,IF(COUNTIFS(업무일지!$F$5:$F$1004,$O131,업무일지!$B$5:$B$1004,"&gt;="&amp;DATE($B$3,1,1),업무일지!$B$5:$B$1004,"&lt;"&amp;DATE($B$3+1,1,1),업무일지!$AB$5:$AB$1004,$A$52)&gt;0,1,0))</f>
        <v/>
      </c>
      <c r="CI131">
        <f>IF($O131="",0,IF(COUNTIFS(업무일지!$F$5:$F$1004,$O131,업무일지!$B$5:$B$1004,"&gt;="&amp;DATE($B$3,1,1),업무일지!$B$5:$B$1004,"&lt;"&amp;DATE($B$3+1,1,1),업무일지!$AB$5:$AB$1004,$A$53)&gt;0,1,0))</f>
        <v/>
      </c>
    </row>
    <row r="132">
      <c r="O132">
        <f>IF(사건마스터!$A52="","",사건마스터!$A52)</f>
        <v/>
      </c>
      <c r="P132">
        <f>IF($O132="",0,IF(COUNTIFS(업무일지!$F$5:$F$1004,$O132,업무일지!$B$5:$B$1004,"&gt;="&amp;DATE($B$3,1,1),업무일지!$B$5:$B$1004,"&lt;"&amp;DATE($B$3,1+1,1),업무일지!$D$5:$D$1004,"출장")&gt;0,1,0))</f>
        <v/>
      </c>
      <c r="Q132">
        <f>IF($O132="",0,IF(COUNTIFS(업무일지!$F$5:$F$1004,$O132,업무일지!$B$5:$B$1004,"&gt;="&amp;DATE($B$3,2,1),업무일지!$B$5:$B$1004,"&lt;"&amp;DATE($B$3,2+1,1),업무일지!$D$5:$D$1004,"출장")&gt;0,1,0))</f>
        <v/>
      </c>
      <c r="R132">
        <f>IF($O132="",0,IF(COUNTIFS(업무일지!$F$5:$F$1004,$O132,업무일지!$B$5:$B$1004,"&gt;="&amp;DATE($B$3,3,1),업무일지!$B$5:$B$1004,"&lt;"&amp;DATE($B$3,3+1,1),업무일지!$D$5:$D$1004,"출장")&gt;0,1,0))</f>
        <v/>
      </c>
      <c r="S132">
        <f>IF($O132="",0,IF(COUNTIFS(업무일지!$F$5:$F$1004,$O132,업무일지!$B$5:$B$1004,"&gt;="&amp;DATE($B$3,4,1),업무일지!$B$5:$B$1004,"&lt;"&amp;DATE($B$3,4+1,1),업무일지!$D$5:$D$1004,"출장")&gt;0,1,0))</f>
        <v/>
      </c>
      <c r="T132">
        <f>IF($O132="",0,IF(COUNTIFS(업무일지!$F$5:$F$1004,$O132,업무일지!$B$5:$B$1004,"&gt;="&amp;DATE($B$3,5,1),업무일지!$B$5:$B$1004,"&lt;"&amp;DATE($B$3,5+1,1),업무일지!$D$5:$D$1004,"출장")&gt;0,1,0))</f>
        <v/>
      </c>
      <c r="U132">
        <f>IF($O132="",0,IF(COUNTIFS(업무일지!$F$5:$F$1004,$O132,업무일지!$B$5:$B$1004,"&gt;="&amp;DATE($B$3,6,1),업무일지!$B$5:$B$1004,"&lt;"&amp;DATE($B$3,6+1,1),업무일지!$D$5:$D$1004,"출장")&gt;0,1,0))</f>
        <v/>
      </c>
      <c r="V132">
        <f>IF($O132="",0,IF(COUNTIFS(업무일지!$F$5:$F$1004,$O132,업무일지!$B$5:$B$1004,"&gt;="&amp;DATE($B$3,7,1),업무일지!$B$5:$B$1004,"&lt;"&amp;DATE($B$3,7+1,1),업무일지!$D$5:$D$1004,"출장")&gt;0,1,0))</f>
        <v/>
      </c>
      <c r="W132">
        <f>IF($O132="",0,IF(COUNTIFS(업무일지!$F$5:$F$1004,$O132,업무일지!$B$5:$B$1004,"&gt;="&amp;DATE($B$3,8,1),업무일지!$B$5:$B$1004,"&lt;"&amp;DATE($B$3,8+1,1),업무일지!$D$5:$D$1004,"출장")&gt;0,1,0))</f>
        <v/>
      </c>
      <c r="X132">
        <f>IF($O132="",0,IF(COUNTIFS(업무일지!$F$5:$F$1004,$O132,업무일지!$B$5:$B$1004,"&gt;="&amp;DATE($B$3,9,1),업무일지!$B$5:$B$1004,"&lt;"&amp;DATE($B$3,9+1,1),업무일지!$D$5:$D$1004,"출장")&gt;0,1,0))</f>
        <v/>
      </c>
      <c r="Y132">
        <f>IF($O132="",0,IF(COUNTIFS(업무일지!$F$5:$F$1004,$O132,업무일지!$B$5:$B$1004,"&gt;="&amp;DATE($B$3,10,1),업무일지!$B$5:$B$1004,"&lt;"&amp;DATE($B$3,10+1,1),업무일지!$D$5:$D$1004,"출장")&gt;0,1,0))</f>
        <v/>
      </c>
      <c r="Z132">
        <f>IF($O132="",0,IF(COUNTIFS(업무일지!$F$5:$F$1004,$O132,업무일지!$B$5:$B$1004,"&gt;="&amp;DATE($B$3,11,1),업무일지!$B$5:$B$1004,"&lt;"&amp;DATE($B$3,11+1,1),업무일지!$D$5:$D$1004,"출장")&gt;0,1,0))</f>
        <v/>
      </c>
      <c r="AA132">
        <f>IF($O132="",0,IF(COUNTIFS(업무일지!$F$5:$F$1004,$O132,업무일지!$B$5:$B$1004,"&gt;="&amp;DATE($B$3,12,1),업무일지!$B$5:$B$1004,"&lt;"&amp;DATE($B$3,12+1,1),업무일지!$D$5:$D$1004,"출장")&gt;0,1,0))</f>
        <v/>
      </c>
      <c r="AB132">
        <f>IF($O132="",0,IF(COUNTIFS(업무일지!$F$5:$F$1004,$O132,업무일지!$B$5:$B$1004,"&gt;="&amp;DATE($B$3,1,1),업무일지!$B$5:$B$1004,"&lt;"&amp;DATE($B$3,1+1,1),업무일지!$D$5:$D$1004,"분석")&gt;0,1,0))</f>
        <v/>
      </c>
      <c r="AC132">
        <f>IF($O132="",0,IF(COUNTIFS(업무일지!$F$5:$F$1004,$O132,업무일지!$B$5:$B$1004,"&gt;="&amp;DATE($B$3,2,1),업무일지!$B$5:$B$1004,"&lt;"&amp;DATE($B$3,2+1,1),업무일지!$D$5:$D$1004,"분석")&gt;0,1,0))</f>
        <v/>
      </c>
      <c r="AD132">
        <f>IF($O132="",0,IF(COUNTIFS(업무일지!$F$5:$F$1004,$O132,업무일지!$B$5:$B$1004,"&gt;="&amp;DATE($B$3,3,1),업무일지!$B$5:$B$1004,"&lt;"&amp;DATE($B$3,3+1,1),업무일지!$D$5:$D$1004,"분석")&gt;0,1,0))</f>
        <v/>
      </c>
      <c r="AE132">
        <f>IF($O132="",0,IF(COUNTIFS(업무일지!$F$5:$F$1004,$O132,업무일지!$B$5:$B$1004,"&gt;="&amp;DATE($B$3,4,1),업무일지!$B$5:$B$1004,"&lt;"&amp;DATE($B$3,4+1,1),업무일지!$D$5:$D$1004,"분석")&gt;0,1,0))</f>
        <v/>
      </c>
      <c r="AF132">
        <f>IF($O132="",0,IF(COUNTIFS(업무일지!$F$5:$F$1004,$O132,업무일지!$B$5:$B$1004,"&gt;="&amp;DATE($B$3,5,1),업무일지!$B$5:$B$1004,"&lt;"&amp;DATE($B$3,5+1,1),업무일지!$D$5:$D$1004,"분석")&gt;0,1,0))</f>
        <v/>
      </c>
      <c r="AG132">
        <f>IF($O132="",0,IF(COUNTIFS(업무일지!$F$5:$F$1004,$O132,업무일지!$B$5:$B$1004,"&gt;="&amp;DATE($B$3,6,1),업무일지!$B$5:$B$1004,"&lt;"&amp;DATE($B$3,6+1,1),업무일지!$D$5:$D$1004,"분석")&gt;0,1,0))</f>
        <v/>
      </c>
      <c r="AH132">
        <f>IF($O132="",0,IF(COUNTIFS(업무일지!$F$5:$F$1004,$O132,업무일지!$B$5:$B$1004,"&gt;="&amp;DATE($B$3,7,1),업무일지!$B$5:$B$1004,"&lt;"&amp;DATE($B$3,7+1,1),업무일지!$D$5:$D$1004,"분석")&gt;0,1,0))</f>
        <v/>
      </c>
      <c r="AI132">
        <f>IF($O132="",0,IF(COUNTIFS(업무일지!$F$5:$F$1004,$O132,업무일지!$B$5:$B$1004,"&gt;="&amp;DATE($B$3,8,1),업무일지!$B$5:$B$1004,"&lt;"&amp;DATE($B$3,8+1,1),업무일지!$D$5:$D$1004,"분석")&gt;0,1,0))</f>
        <v/>
      </c>
      <c r="AJ132">
        <f>IF($O132="",0,IF(COUNTIFS(업무일지!$F$5:$F$1004,$O132,업무일지!$B$5:$B$1004,"&gt;="&amp;DATE($B$3,9,1),업무일지!$B$5:$B$1004,"&lt;"&amp;DATE($B$3,9+1,1),업무일지!$D$5:$D$1004,"분석")&gt;0,1,0))</f>
        <v/>
      </c>
      <c r="AK132">
        <f>IF($O132="",0,IF(COUNTIFS(업무일지!$F$5:$F$1004,$O132,업무일지!$B$5:$B$1004,"&gt;="&amp;DATE($B$3,10,1),업무일지!$B$5:$B$1004,"&lt;"&amp;DATE($B$3,10+1,1),업무일지!$D$5:$D$1004,"분석")&gt;0,1,0))</f>
        <v/>
      </c>
      <c r="AL132">
        <f>IF($O132="",0,IF(COUNTIFS(업무일지!$F$5:$F$1004,$O132,업무일지!$B$5:$B$1004,"&gt;="&amp;DATE($B$3,11,1),업무일지!$B$5:$B$1004,"&lt;"&amp;DATE($B$3,11+1,1),업무일지!$D$5:$D$1004,"분석")&gt;0,1,0))</f>
        <v/>
      </c>
      <c r="AM132">
        <f>IF($O132="",0,IF(COUNTIFS(업무일지!$F$5:$F$1004,$O132,업무일지!$B$5:$B$1004,"&gt;="&amp;DATE($B$3,12,1),업무일지!$B$5:$B$1004,"&lt;"&amp;DATE($B$3,12+1,1),업무일지!$D$5:$D$1004,"분석")&gt;0,1,0))</f>
        <v/>
      </c>
      <c r="AN132">
        <f>IF($O132="",0,IF(COUNTIFS(업무일지!$F$5:$F$1004,$O132,업무일지!$B$5:$B$1004,"&gt;="&amp;DATE($B$3,1,1),업무일지!$B$5:$B$1004,"&lt;"&amp;DATE($B$3,1+1,1))&gt;0,1,0))</f>
        <v/>
      </c>
      <c r="AO132">
        <f>IF($O132="",0,IF(COUNTIFS(업무일지!$F$5:$F$1004,$O132,업무일지!$B$5:$B$1004,"&gt;="&amp;DATE($B$3,2,1),업무일지!$B$5:$B$1004,"&lt;"&amp;DATE($B$3,2+1,1))&gt;0,1,0))</f>
        <v/>
      </c>
      <c r="AP132">
        <f>IF($O132="",0,IF(COUNTIFS(업무일지!$F$5:$F$1004,$O132,업무일지!$B$5:$B$1004,"&gt;="&amp;DATE($B$3,3,1),업무일지!$B$5:$B$1004,"&lt;"&amp;DATE($B$3,3+1,1))&gt;0,1,0))</f>
        <v/>
      </c>
      <c r="AQ132">
        <f>IF($O132="",0,IF(COUNTIFS(업무일지!$F$5:$F$1004,$O132,업무일지!$B$5:$B$1004,"&gt;="&amp;DATE($B$3,4,1),업무일지!$B$5:$B$1004,"&lt;"&amp;DATE($B$3,4+1,1))&gt;0,1,0))</f>
        <v/>
      </c>
      <c r="AR132">
        <f>IF($O132="",0,IF(COUNTIFS(업무일지!$F$5:$F$1004,$O132,업무일지!$B$5:$B$1004,"&gt;="&amp;DATE($B$3,5,1),업무일지!$B$5:$B$1004,"&lt;"&amp;DATE($B$3,5+1,1))&gt;0,1,0))</f>
        <v/>
      </c>
      <c r="AS132">
        <f>IF($O132="",0,IF(COUNTIFS(업무일지!$F$5:$F$1004,$O132,업무일지!$B$5:$B$1004,"&gt;="&amp;DATE($B$3,6,1),업무일지!$B$5:$B$1004,"&lt;"&amp;DATE($B$3,6+1,1))&gt;0,1,0))</f>
        <v/>
      </c>
      <c r="AT132">
        <f>IF($O132="",0,IF(COUNTIFS(업무일지!$F$5:$F$1004,$O132,업무일지!$B$5:$B$1004,"&gt;="&amp;DATE($B$3,7,1),업무일지!$B$5:$B$1004,"&lt;"&amp;DATE($B$3,7+1,1))&gt;0,1,0))</f>
        <v/>
      </c>
      <c r="AU132">
        <f>IF($O132="",0,IF(COUNTIFS(업무일지!$F$5:$F$1004,$O132,업무일지!$B$5:$B$1004,"&gt;="&amp;DATE($B$3,8,1),업무일지!$B$5:$B$1004,"&lt;"&amp;DATE($B$3,8+1,1))&gt;0,1,0))</f>
        <v/>
      </c>
      <c r="AV132">
        <f>IF($O132="",0,IF(COUNTIFS(업무일지!$F$5:$F$1004,$O132,업무일지!$B$5:$B$1004,"&gt;="&amp;DATE($B$3,9,1),업무일지!$B$5:$B$1004,"&lt;"&amp;DATE($B$3,9+1,1))&gt;0,1,0))</f>
        <v/>
      </c>
      <c r="AW132">
        <f>IF($O132="",0,IF(COUNTIFS(업무일지!$F$5:$F$1004,$O132,업무일지!$B$5:$B$1004,"&gt;="&amp;DATE($B$3,10,1),업무일지!$B$5:$B$1004,"&lt;"&amp;DATE($B$3,10+1,1))&gt;0,1,0))</f>
        <v/>
      </c>
      <c r="AX132">
        <f>IF($O132="",0,IF(COUNTIFS(업무일지!$F$5:$F$1004,$O132,업무일지!$B$5:$B$1004,"&gt;="&amp;DATE($B$3,11,1),업무일지!$B$5:$B$1004,"&lt;"&amp;DATE($B$3,11+1,1))&gt;0,1,0))</f>
        <v/>
      </c>
      <c r="AY132">
        <f>IF($O132="",0,IF(COUNTIFS(업무일지!$F$5:$F$1004,$O132,업무일지!$B$5:$B$1004,"&gt;="&amp;DATE($B$3,12,1),업무일지!$B$5:$B$1004,"&lt;"&amp;DATE($B$3,12+1,1))&gt;0,1,0))</f>
        <v/>
      </c>
      <c r="AZ132">
        <f>IF($O132="",0,IF(COUNTIFS(업무일지!$F$5:$F$1004,$O132,업무일지!$B$5:$B$1004,"&gt;="&amp;DATE($B$3,1,1),업무일지!$B$5:$B$1004,"&lt;"&amp;DATE($B$3+1,1,1),업무일지!$D$5:$D$1004,"출장")&gt;0,1,0))</f>
        <v/>
      </c>
      <c r="BA132">
        <f>IF($O132="",0,IF(COUNTIFS(업무일지!$F$5:$F$1004,$O132,업무일지!$B$5:$B$1004,"&gt;="&amp;DATE($B$3,1,1),업무일지!$B$5:$B$1004,"&lt;"&amp;DATE($B$3+1,1,1),업무일지!$D$5:$D$1004,"분석")&gt;0,1,0))</f>
        <v/>
      </c>
      <c r="BB132">
        <f>IF($O132="",0,IF(COUNTIFS(업무일지!$F$5:$F$1004,$O132,업무일지!$B$5:$B$1004,"&gt;="&amp;DATE($B$3,1,1),업무일지!$B$5:$B$1004,"&lt;"&amp;DATE($B$3+1,1,1))&gt;0,1,0))</f>
        <v/>
      </c>
      <c r="BD132">
        <f>IF($O132="",0,IF(COUNTIFS(업무일지!$F$5:$F$1004,$O132,업무일지!$B$5:$B$1004,"&gt;="&amp;DATE($B$3,1,1),업무일지!$B$5:$B$1004,"&lt;"&amp;DATE($B$3+1,1,1),업무일지!$AB$5:$AB$1004,$A$44,업무일지!$D$5:$D$1004,"출장")&gt;0,1,0))</f>
        <v/>
      </c>
      <c r="BE132">
        <f>IF($O132="",0,IF(COUNTIFS(업무일지!$F$5:$F$1004,$O132,업무일지!$B$5:$B$1004,"&gt;="&amp;DATE($B$3,1,1),업무일지!$B$5:$B$1004,"&lt;"&amp;DATE($B$3+1,1,1),업무일지!$AB$5:$AB$1004,$A$45,업무일지!$D$5:$D$1004,"출장")&gt;0,1,0))</f>
        <v/>
      </c>
      <c r="BF132">
        <f>IF($O132="",0,IF(COUNTIFS(업무일지!$F$5:$F$1004,$O132,업무일지!$B$5:$B$1004,"&gt;="&amp;DATE($B$3,1,1),업무일지!$B$5:$B$1004,"&lt;"&amp;DATE($B$3+1,1,1),업무일지!$AB$5:$AB$1004,$A$46,업무일지!$D$5:$D$1004,"출장")&gt;0,1,0))</f>
        <v/>
      </c>
      <c r="BG132">
        <f>IF($O132="",0,IF(COUNTIFS(업무일지!$F$5:$F$1004,$O132,업무일지!$B$5:$B$1004,"&gt;="&amp;DATE($B$3,1,1),업무일지!$B$5:$B$1004,"&lt;"&amp;DATE($B$3+1,1,1),업무일지!$AB$5:$AB$1004,$A$47,업무일지!$D$5:$D$1004,"출장")&gt;0,1,0))</f>
        <v/>
      </c>
      <c r="BH132">
        <f>IF($O132="",0,IF(COUNTIFS(업무일지!$F$5:$F$1004,$O132,업무일지!$B$5:$B$1004,"&gt;="&amp;DATE($B$3,1,1),업무일지!$B$5:$B$1004,"&lt;"&amp;DATE($B$3+1,1,1),업무일지!$AB$5:$AB$1004,$A$48,업무일지!$D$5:$D$1004,"출장")&gt;0,1,0))</f>
        <v/>
      </c>
      <c r="BI132">
        <f>IF($O132="",0,IF(COUNTIFS(업무일지!$F$5:$F$1004,$O132,업무일지!$B$5:$B$1004,"&gt;="&amp;DATE($B$3,1,1),업무일지!$B$5:$B$1004,"&lt;"&amp;DATE($B$3+1,1,1),업무일지!$AB$5:$AB$1004,$A$49,업무일지!$D$5:$D$1004,"출장")&gt;0,1,0))</f>
        <v/>
      </c>
      <c r="BJ132">
        <f>IF($O132="",0,IF(COUNTIFS(업무일지!$F$5:$F$1004,$O132,업무일지!$B$5:$B$1004,"&gt;="&amp;DATE($B$3,1,1),업무일지!$B$5:$B$1004,"&lt;"&amp;DATE($B$3+1,1,1),업무일지!$AB$5:$AB$1004,$A$50,업무일지!$D$5:$D$1004,"출장")&gt;0,1,0))</f>
        <v/>
      </c>
      <c r="BK132">
        <f>IF($O132="",0,IF(COUNTIFS(업무일지!$F$5:$F$1004,$O132,업무일지!$B$5:$B$1004,"&gt;="&amp;DATE($B$3,1,1),업무일지!$B$5:$B$1004,"&lt;"&amp;DATE($B$3+1,1,1),업무일지!$AB$5:$AB$1004,$A$51,업무일지!$D$5:$D$1004,"출장")&gt;0,1,0))</f>
        <v/>
      </c>
      <c r="BL132">
        <f>IF($O132="",0,IF(COUNTIFS(업무일지!$F$5:$F$1004,$O132,업무일지!$B$5:$B$1004,"&gt;="&amp;DATE($B$3,1,1),업무일지!$B$5:$B$1004,"&lt;"&amp;DATE($B$3+1,1,1),업무일지!$AB$5:$AB$1004,$A$52,업무일지!$D$5:$D$1004,"출장")&gt;0,1,0))</f>
        <v/>
      </c>
      <c r="BM132">
        <f>IF($O132="",0,IF(COUNTIFS(업무일지!$F$5:$F$1004,$O132,업무일지!$B$5:$B$1004,"&gt;="&amp;DATE($B$3,1,1),업무일지!$B$5:$B$1004,"&lt;"&amp;DATE($B$3+1,1,1),업무일지!$AB$5:$AB$1004,$A$53,업무일지!$D$5:$D$1004,"출장")&gt;0,1,0))</f>
        <v/>
      </c>
      <c r="BO132">
        <f>IF($O132="",0,IF(COUNTIFS(업무일지!$F$5:$F$1004,$O132,업무일지!$B$5:$B$1004,"&gt;="&amp;DATE($B$3,1,1),업무일지!$B$5:$B$1004,"&lt;"&amp;DATE($B$3+1,1,1),업무일지!$AB$5:$AB$1004,$A$44,업무일지!$D$5:$D$1004,"분석")&gt;0,1,0))</f>
        <v/>
      </c>
      <c r="BP132">
        <f>IF($O132="",0,IF(COUNTIFS(업무일지!$F$5:$F$1004,$O132,업무일지!$B$5:$B$1004,"&gt;="&amp;DATE($B$3,1,1),업무일지!$B$5:$B$1004,"&lt;"&amp;DATE($B$3+1,1,1),업무일지!$AB$5:$AB$1004,$A$45,업무일지!$D$5:$D$1004,"분석")&gt;0,1,0))</f>
        <v/>
      </c>
      <c r="BQ132">
        <f>IF($O132="",0,IF(COUNTIFS(업무일지!$F$5:$F$1004,$O132,업무일지!$B$5:$B$1004,"&gt;="&amp;DATE($B$3,1,1),업무일지!$B$5:$B$1004,"&lt;"&amp;DATE($B$3+1,1,1),업무일지!$AB$5:$AB$1004,$A$46,업무일지!$D$5:$D$1004,"분석")&gt;0,1,0))</f>
        <v/>
      </c>
      <c r="BR132">
        <f>IF($O132="",0,IF(COUNTIFS(업무일지!$F$5:$F$1004,$O132,업무일지!$B$5:$B$1004,"&gt;="&amp;DATE($B$3,1,1),업무일지!$B$5:$B$1004,"&lt;"&amp;DATE($B$3+1,1,1),업무일지!$AB$5:$AB$1004,$A$47,업무일지!$D$5:$D$1004,"분석")&gt;0,1,0))</f>
        <v/>
      </c>
      <c r="BS132">
        <f>IF($O132="",0,IF(COUNTIFS(업무일지!$F$5:$F$1004,$O132,업무일지!$B$5:$B$1004,"&gt;="&amp;DATE($B$3,1,1),업무일지!$B$5:$B$1004,"&lt;"&amp;DATE($B$3+1,1,1),업무일지!$AB$5:$AB$1004,$A$48,업무일지!$D$5:$D$1004,"분석")&gt;0,1,0))</f>
        <v/>
      </c>
      <c r="BT132">
        <f>IF($O132="",0,IF(COUNTIFS(업무일지!$F$5:$F$1004,$O132,업무일지!$B$5:$B$1004,"&gt;="&amp;DATE($B$3,1,1),업무일지!$B$5:$B$1004,"&lt;"&amp;DATE($B$3+1,1,1),업무일지!$AB$5:$AB$1004,$A$49,업무일지!$D$5:$D$1004,"분석")&gt;0,1,0))</f>
        <v/>
      </c>
      <c r="BU132">
        <f>IF($O132="",0,IF(COUNTIFS(업무일지!$F$5:$F$1004,$O132,업무일지!$B$5:$B$1004,"&gt;="&amp;DATE($B$3,1,1),업무일지!$B$5:$B$1004,"&lt;"&amp;DATE($B$3+1,1,1),업무일지!$AB$5:$AB$1004,$A$50,업무일지!$D$5:$D$1004,"분석")&gt;0,1,0))</f>
        <v/>
      </c>
      <c r="BV132">
        <f>IF($O132="",0,IF(COUNTIFS(업무일지!$F$5:$F$1004,$O132,업무일지!$B$5:$B$1004,"&gt;="&amp;DATE($B$3,1,1),업무일지!$B$5:$B$1004,"&lt;"&amp;DATE($B$3+1,1,1),업무일지!$AB$5:$AB$1004,$A$51,업무일지!$D$5:$D$1004,"분석")&gt;0,1,0))</f>
        <v/>
      </c>
      <c r="BW132">
        <f>IF($O132="",0,IF(COUNTIFS(업무일지!$F$5:$F$1004,$O132,업무일지!$B$5:$B$1004,"&gt;="&amp;DATE($B$3,1,1),업무일지!$B$5:$B$1004,"&lt;"&amp;DATE($B$3+1,1,1),업무일지!$AB$5:$AB$1004,$A$52,업무일지!$D$5:$D$1004,"분석")&gt;0,1,0))</f>
        <v/>
      </c>
      <c r="BX132">
        <f>IF($O132="",0,IF(COUNTIFS(업무일지!$F$5:$F$1004,$O132,업무일지!$B$5:$B$1004,"&gt;="&amp;DATE($B$3,1,1),업무일지!$B$5:$B$1004,"&lt;"&amp;DATE($B$3+1,1,1),업무일지!$AB$5:$AB$1004,$A$53,업무일지!$D$5:$D$1004,"분석")&gt;0,1,0))</f>
        <v/>
      </c>
      <c r="BZ132">
        <f>IF($O132="",0,IF(COUNTIFS(업무일지!$F$5:$F$1004,$O132,업무일지!$B$5:$B$1004,"&gt;="&amp;DATE($B$3,1,1),업무일지!$B$5:$B$1004,"&lt;"&amp;DATE($B$3+1,1,1),업무일지!$AB$5:$AB$1004,$A$44)&gt;0,1,0))</f>
        <v/>
      </c>
      <c r="CA132">
        <f>IF($O132="",0,IF(COUNTIFS(업무일지!$F$5:$F$1004,$O132,업무일지!$B$5:$B$1004,"&gt;="&amp;DATE($B$3,1,1),업무일지!$B$5:$B$1004,"&lt;"&amp;DATE($B$3+1,1,1),업무일지!$AB$5:$AB$1004,$A$45)&gt;0,1,0))</f>
        <v/>
      </c>
      <c r="CB132">
        <f>IF($O132="",0,IF(COUNTIFS(업무일지!$F$5:$F$1004,$O132,업무일지!$B$5:$B$1004,"&gt;="&amp;DATE($B$3,1,1),업무일지!$B$5:$B$1004,"&lt;"&amp;DATE($B$3+1,1,1),업무일지!$AB$5:$AB$1004,$A$46)&gt;0,1,0))</f>
        <v/>
      </c>
      <c r="CC132">
        <f>IF($O132="",0,IF(COUNTIFS(업무일지!$F$5:$F$1004,$O132,업무일지!$B$5:$B$1004,"&gt;="&amp;DATE($B$3,1,1),업무일지!$B$5:$B$1004,"&lt;"&amp;DATE($B$3+1,1,1),업무일지!$AB$5:$AB$1004,$A$47)&gt;0,1,0))</f>
        <v/>
      </c>
      <c r="CD132">
        <f>IF($O132="",0,IF(COUNTIFS(업무일지!$F$5:$F$1004,$O132,업무일지!$B$5:$B$1004,"&gt;="&amp;DATE($B$3,1,1),업무일지!$B$5:$B$1004,"&lt;"&amp;DATE($B$3+1,1,1),업무일지!$AB$5:$AB$1004,$A$48)&gt;0,1,0))</f>
        <v/>
      </c>
      <c r="CE132">
        <f>IF($O132="",0,IF(COUNTIFS(업무일지!$F$5:$F$1004,$O132,업무일지!$B$5:$B$1004,"&gt;="&amp;DATE($B$3,1,1),업무일지!$B$5:$B$1004,"&lt;"&amp;DATE($B$3+1,1,1),업무일지!$AB$5:$AB$1004,$A$49)&gt;0,1,0))</f>
        <v/>
      </c>
      <c r="CF132">
        <f>IF($O132="",0,IF(COUNTIFS(업무일지!$F$5:$F$1004,$O132,업무일지!$B$5:$B$1004,"&gt;="&amp;DATE($B$3,1,1),업무일지!$B$5:$B$1004,"&lt;"&amp;DATE($B$3+1,1,1),업무일지!$AB$5:$AB$1004,$A$50)&gt;0,1,0))</f>
        <v/>
      </c>
      <c r="CG132">
        <f>IF($O132="",0,IF(COUNTIFS(업무일지!$F$5:$F$1004,$O132,업무일지!$B$5:$B$1004,"&gt;="&amp;DATE($B$3,1,1),업무일지!$B$5:$B$1004,"&lt;"&amp;DATE($B$3+1,1,1),업무일지!$AB$5:$AB$1004,$A$51)&gt;0,1,0))</f>
        <v/>
      </c>
      <c r="CH132">
        <f>IF($O132="",0,IF(COUNTIFS(업무일지!$F$5:$F$1004,$O132,업무일지!$B$5:$B$1004,"&gt;="&amp;DATE($B$3,1,1),업무일지!$B$5:$B$1004,"&lt;"&amp;DATE($B$3+1,1,1),업무일지!$AB$5:$AB$1004,$A$52)&gt;0,1,0))</f>
        <v/>
      </c>
      <c r="CI132">
        <f>IF($O132="",0,IF(COUNTIFS(업무일지!$F$5:$F$1004,$O132,업무일지!$B$5:$B$1004,"&gt;="&amp;DATE($B$3,1,1),업무일지!$B$5:$B$1004,"&lt;"&amp;DATE($B$3+1,1,1),업무일지!$AB$5:$AB$1004,$A$53)&gt;0,1,0))</f>
        <v/>
      </c>
    </row>
    <row r="133">
      <c r="O133">
        <f>IF(사건마스터!$A53="","",사건마스터!$A53)</f>
        <v/>
      </c>
      <c r="P133">
        <f>IF($O133="",0,IF(COUNTIFS(업무일지!$F$5:$F$1004,$O133,업무일지!$B$5:$B$1004,"&gt;="&amp;DATE($B$3,1,1),업무일지!$B$5:$B$1004,"&lt;"&amp;DATE($B$3,1+1,1),업무일지!$D$5:$D$1004,"출장")&gt;0,1,0))</f>
        <v/>
      </c>
      <c r="Q133">
        <f>IF($O133="",0,IF(COUNTIFS(업무일지!$F$5:$F$1004,$O133,업무일지!$B$5:$B$1004,"&gt;="&amp;DATE($B$3,2,1),업무일지!$B$5:$B$1004,"&lt;"&amp;DATE($B$3,2+1,1),업무일지!$D$5:$D$1004,"출장")&gt;0,1,0))</f>
        <v/>
      </c>
      <c r="R133">
        <f>IF($O133="",0,IF(COUNTIFS(업무일지!$F$5:$F$1004,$O133,업무일지!$B$5:$B$1004,"&gt;="&amp;DATE($B$3,3,1),업무일지!$B$5:$B$1004,"&lt;"&amp;DATE($B$3,3+1,1),업무일지!$D$5:$D$1004,"출장")&gt;0,1,0))</f>
        <v/>
      </c>
      <c r="S133">
        <f>IF($O133="",0,IF(COUNTIFS(업무일지!$F$5:$F$1004,$O133,업무일지!$B$5:$B$1004,"&gt;="&amp;DATE($B$3,4,1),업무일지!$B$5:$B$1004,"&lt;"&amp;DATE($B$3,4+1,1),업무일지!$D$5:$D$1004,"출장")&gt;0,1,0))</f>
        <v/>
      </c>
      <c r="T133">
        <f>IF($O133="",0,IF(COUNTIFS(업무일지!$F$5:$F$1004,$O133,업무일지!$B$5:$B$1004,"&gt;="&amp;DATE($B$3,5,1),업무일지!$B$5:$B$1004,"&lt;"&amp;DATE($B$3,5+1,1),업무일지!$D$5:$D$1004,"출장")&gt;0,1,0))</f>
        <v/>
      </c>
      <c r="U133">
        <f>IF($O133="",0,IF(COUNTIFS(업무일지!$F$5:$F$1004,$O133,업무일지!$B$5:$B$1004,"&gt;="&amp;DATE($B$3,6,1),업무일지!$B$5:$B$1004,"&lt;"&amp;DATE($B$3,6+1,1),업무일지!$D$5:$D$1004,"출장")&gt;0,1,0))</f>
        <v/>
      </c>
      <c r="V133">
        <f>IF($O133="",0,IF(COUNTIFS(업무일지!$F$5:$F$1004,$O133,업무일지!$B$5:$B$1004,"&gt;="&amp;DATE($B$3,7,1),업무일지!$B$5:$B$1004,"&lt;"&amp;DATE($B$3,7+1,1),업무일지!$D$5:$D$1004,"출장")&gt;0,1,0))</f>
        <v/>
      </c>
      <c r="W133">
        <f>IF($O133="",0,IF(COUNTIFS(업무일지!$F$5:$F$1004,$O133,업무일지!$B$5:$B$1004,"&gt;="&amp;DATE($B$3,8,1),업무일지!$B$5:$B$1004,"&lt;"&amp;DATE($B$3,8+1,1),업무일지!$D$5:$D$1004,"출장")&gt;0,1,0))</f>
        <v/>
      </c>
      <c r="X133">
        <f>IF($O133="",0,IF(COUNTIFS(업무일지!$F$5:$F$1004,$O133,업무일지!$B$5:$B$1004,"&gt;="&amp;DATE($B$3,9,1),업무일지!$B$5:$B$1004,"&lt;"&amp;DATE($B$3,9+1,1),업무일지!$D$5:$D$1004,"출장")&gt;0,1,0))</f>
        <v/>
      </c>
      <c r="Y133">
        <f>IF($O133="",0,IF(COUNTIFS(업무일지!$F$5:$F$1004,$O133,업무일지!$B$5:$B$1004,"&gt;="&amp;DATE($B$3,10,1),업무일지!$B$5:$B$1004,"&lt;"&amp;DATE($B$3,10+1,1),업무일지!$D$5:$D$1004,"출장")&gt;0,1,0))</f>
        <v/>
      </c>
      <c r="Z133">
        <f>IF($O133="",0,IF(COUNTIFS(업무일지!$F$5:$F$1004,$O133,업무일지!$B$5:$B$1004,"&gt;="&amp;DATE($B$3,11,1),업무일지!$B$5:$B$1004,"&lt;"&amp;DATE($B$3,11+1,1),업무일지!$D$5:$D$1004,"출장")&gt;0,1,0))</f>
        <v/>
      </c>
      <c r="AA133">
        <f>IF($O133="",0,IF(COUNTIFS(업무일지!$F$5:$F$1004,$O133,업무일지!$B$5:$B$1004,"&gt;="&amp;DATE($B$3,12,1),업무일지!$B$5:$B$1004,"&lt;"&amp;DATE($B$3,12+1,1),업무일지!$D$5:$D$1004,"출장")&gt;0,1,0))</f>
        <v/>
      </c>
      <c r="AB133">
        <f>IF($O133="",0,IF(COUNTIFS(업무일지!$F$5:$F$1004,$O133,업무일지!$B$5:$B$1004,"&gt;="&amp;DATE($B$3,1,1),업무일지!$B$5:$B$1004,"&lt;"&amp;DATE($B$3,1+1,1),업무일지!$D$5:$D$1004,"분석")&gt;0,1,0))</f>
        <v/>
      </c>
      <c r="AC133">
        <f>IF($O133="",0,IF(COUNTIFS(업무일지!$F$5:$F$1004,$O133,업무일지!$B$5:$B$1004,"&gt;="&amp;DATE($B$3,2,1),업무일지!$B$5:$B$1004,"&lt;"&amp;DATE($B$3,2+1,1),업무일지!$D$5:$D$1004,"분석")&gt;0,1,0))</f>
        <v/>
      </c>
      <c r="AD133">
        <f>IF($O133="",0,IF(COUNTIFS(업무일지!$F$5:$F$1004,$O133,업무일지!$B$5:$B$1004,"&gt;="&amp;DATE($B$3,3,1),업무일지!$B$5:$B$1004,"&lt;"&amp;DATE($B$3,3+1,1),업무일지!$D$5:$D$1004,"분석")&gt;0,1,0))</f>
        <v/>
      </c>
      <c r="AE133">
        <f>IF($O133="",0,IF(COUNTIFS(업무일지!$F$5:$F$1004,$O133,업무일지!$B$5:$B$1004,"&gt;="&amp;DATE($B$3,4,1),업무일지!$B$5:$B$1004,"&lt;"&amp;DATE($B$3,4+1,1),업무일지!$D$5:$D$1004,"분석")&gt;0,1,0))</f>
        <v/>
      </c>
      <c r="AF133">
        <f>IF($O133="",0,IF(COUNTIFS(업무일지!$F$5:$F$1004,$O133,업무일지!$B$5:$B$1004,"&gt;="&amp;DATE($B$3,5,1),업무일지!$B$5:$B$1004,"&lt;"&amp;DATE($B$3,5+1,1),업무일지!$D$5:$D$1004,"분석")&gt;0,1,0))</f>
        <v/>
      </c>
      <c r="AG133">
        <f>IF($O133="",0,IF(COUNTIFS(업무일지!$F$5:$F$1004,$O133,업무일지!$B$5:$B$1004,"&gt;="&amp;DATE($B$3,6,1),업무일지!$B$5:$B$1004,"&lt;"&amp;DATE($B$3,6+1,1),업무일지!$D$5:$D$1004,"분석")&gt;0,1,0))</f>
        <v/>
      </c>
      <c r="AH133">
        <f>IF($O133="",0,IF(COUNTIFS(업무일지!$F$5:$F$1004,$O133,업무일지!$B$5:$B$1004,"&gt;="&amp;DATE($B$3,7,1),업무일지!$B$5:$B$1004,"&lt;"&amp;DATE($B$3,7+1,1),업무일지!$D$5:$D$1004,"분석")&gt;0,1,0))</f>
        <v/>
      </c>
      <c r="AI133">
        <f>IF($O133="",0,IF(COUNTIFS(업무일지!$F$5:$F$1004,$O133,업무일지!$B$5:$B$1004,"&gt;="&amp;DATE($B$3,8,1),업무일지!$B$5:$B$1004,"&lt;"&amp;DATE($B$3,8+1,1),업무일지!$D$5:$D$1004,"분석")&gt;0,1,0))</f>
        <v/>
      </c>
      <c r="AJ133">
        <f>IF($O133="",0,IF(COUNTIFS(업무일지!$F$5:$F$1004,$O133,업무일지!$B$5:$B$1004,"&gt;="&amp;DATE($B$3,9,1),업무일지!$B$5:$B$1004,"&lt;"&amp;DATE($B$3,9+1,1),업무일지!$D$5:$D$1004,"분석")&gt;0,1,0))</f>
        <v/>
      </c>
      <c r="AK133">
        <f>IF($O133="",0,IF(COUNTIFS(업무일지!$F$5:$F$1004,$O133,업무일지!$B$5:$B$1004,"&gt;="&amp;DATE($B$3,10,1),업무일지!$B$5:$B$1004,"&lt;"&amp;DATE($B$3,10+1,1),업무일지!$D$5:$D$1004,"분석")&gt;0,1,0))</f>
        <v/>
      </c>
      <c r="AL133">
        <f>IF($O133="",0,IF(COUNTIFS(업무일지!$F$5:$F$1004,$O133,업무일지!$B$5:$B$1004,"&gt;="&amp;DATE($B$3,11,1),업무일지!$B$5:$B$1004,"&lt;"&amp;DATE($B$3,11+1,1),업무일지!$D$5:$D$1004,"분석")&gt;0,1,0))</f>
        <v/>
      </c>
      <c r="AM133">
        <f>IF($O133="",0,IF(COUNTIFS(업무일지!$F$5:$F$1004,$O133,업무일지!$B$5:$B$1004,"&gt;="&amp;DATE($B$3,12,1),업무일지!$B$5:$B$1004,"&lt;"&amp;DATE($B$3,12+1,1),업무일지!$D$5:$D$1004,"분석")&gt;0,1,0))</f>
        <v/>
      </c>
      <c r="AN133">
        <f>IF($O133="",0,IF(COUNTIFS(업무일지!$F$5:$F$1004,$O133,업무일지!$B$5:$B$1004,"&gt;="&amp;DATE($B$3,1,1),업무일지!$B$5:$B$1004,"&lt;"&amp;DATE($B$3,1+1,1))&gt;0,1,0))</f>
        <v/>
      </c>
      <c r="AO133">
        <f>IF($O133="",0,IF(COUNTIFS(업무일지!$F$5:$F$1004,$O133,업무일지!$B$5:$B$1004,"&gt;="&amp;DATE($B$3,2,1),업무일지!$B$5:$B$1004,"&lt;"&amp;DATE($B$3,2+1,1))&gt;0,1,0))</f>
        <v/>
      </c>
      <c r="AP133">
        <f>IF($O133="",0,IF(COUNTIFS(업무일지!$F$5:$F$1004,$O133,업무일지!$B$5:$B$1004,"&gt;="&amp;DATE($B$3,3,1),업무일지!$B$5:$B$1004,"&lt;"&amp;DATE($B$3,3+1,1))&gt;0,1,0))</f>
        <v/>
      </c>
      <c r="AQ133">
        <f>IF($O133="",0,IF(COUNTIFS(업무일지!$F$5:$F$1004,$O133,업무일지!$B$5:$B$1004,"&gt;="&amp;DATE($B$3,4,1),업무일지!$B$5:$B$1004,"&lt;"&amp;DATE($B$3,4+1,1))&gt;0,1,0))</f>
        <v/>
      </c>
      <c r="AR133">
        <f>IF($O133="",0,IF(COUNTIFS(업무일지!$F$5:$F$1004,$O133,업무일지!$B$5:$B$1004,"&gt;="&amp;DATE($B$3,5,1),업무일지!$B$5:$B$1004,"&lt;"&amp;DATE($B$3,5+1,1))&gt;0,1,0))</f>
        <v/>
      </c>
      <c r="AS133">
        <f>IF($O133="",0,IF(COUNTIFS(업무일지!$F$5:$F$1004,$O133,업무일지!$B$5:$B$1004,"&gt;="&amp;DATE($B$3,6,1),업무일지!$B$5:$B$1004,"&lt;"&amp;DATE($B$3,6+1,1))&gt;0,1,0))</f>
        <v/>
      </c>
      <c r="AT133">
        <f>IF($O133="",0,IF(COUNTIFS(업무일지!$F$5:$F$1004,$O133,업무일지!$B$5:$B$1004,"&gt;="&amp;DATE($B$3,7,1),업무일지!$B$5:$B$1004,"&lt;"&amp;DATE($B$3,7+1,1))&gt;0,1,0))</f>
        <v/>
      </c>
      <c r="AU133">
        <f>IF($O133="",0,IF(COUNTIFS(업무일지!$F$5:$F$1004,$O133,업무일지!$B$5:$B$1004,"&gt;="&amp;DATE($B$3,8,1),업무일지!$B$5:$B$1004,"&lt;"&amp;DATE($B$3,8+1,1))&gt;0,1,0))</f>
        <v/>
      </c>
      <c r="AV133">
        <f>IF($O133="",0,IF(COUNTIFS(업무일지!$F$5:$F$1004,$O133,업무일지!$B$5:$B$1004,"&gt;="&amp;DATE($B$3,9,1),업무일지!$B$5:$B$1004,"&lt;"&amp;DATE($B$3,9+1,1))&gt;0,1,0))</f>
        <v/>
      </c>
      <c r="AW133">
        <f>IF($O133="",0,IF(COUNTIFS(업무일지!$F$5:$F$1004,$O133,업무일지!$B$5:$B$1004,"&gt;="&amp;DATE($B$3,10,1),업무일지!$B$5:$B$1004,"&lt;"&amp;DATE($B$3,10+1,1))&gt;0,1,0))</f>
        <v/>
      </c>
      <c r="AX133">
        <f>IF($O133="",0,IF(COUNTIFS(업무일지!$F$5:$F$1004,$O133,업무일지!$B$5:$B$1004,"&gt;="&amp;DATE($B$3,11,1),업무일지!$B$5:$B$1004,"&lt;"&amp;DATE($B$3,11+1,1))&gt;0,1,0))</f>
        <v/>
      </c>
      <c r="AY133">
        <f>IF($O133="",0,IF(COUNTIFS(업무일지!$F$5:$F$1004,$O133,업무일지!$B$5:$B$1004,"&gt;="&amp;DATE($B$3,12,1),업무일지!$B$5:$B$1004,"&lt;"&amp;DATE($B$3,12+1,1))&gt;0,1,0))</f>
        <v/>
      </c>
      <c r="AZ133">
        <f>IF($O133="",0,IF(COUNTIFS(업무일지!$F$5:$F$1004,$O133,업무일지!$B$5:$B$1004,"&gt;="&amp;DATE($B$3,1,1),업무일지!$B$5:$B$1004,"&lt;"&amp;DATE($B$3+1,1,1),업무일지!$D$5:$D$1004,"출장")&gt;0,1,0))</f>
        <v/>
      </c>
      <c r="BA133">
        <f>IF($O133="",0,IF(COUNTIFS(업무일지!$F$5:$F$1004,$O133,업무일지!$B$5:$B$1004,"&gt;="&amp;DATE($B$3,1,1),업무일지!$B$5:$B$1004,"&lt;"&amp;DATE($B$3+1,1,1),업무일지!$D$5:$D$1004,"분석")&gt;0,1,0))</f>
        <v/>
      </c>
      <c r="BB133">
        <f>IF($O133="",0,IF(COUNTIFS(업무일지!$F$5:$F$1004,$O133,업무일지!$B$5:$B$1004,"&gt;="&amp;DATE($B$3,1,1),업무일지!$B$5:$B$1004,"&lt;"&amp;DATE($B$3+1,1,1))&gt;0,1,0))</f>
        <v/>
      </c>
      <c r="BD133">
        <f>IF($O133="",0,IF(COUNTIFS(업무일지!$F$5:$F$1004,$O133,업무일지!$B$5:$B$1004,"&gt;="&amp;DATE($B$3,1,1),업무일지!$B$5:$B$1004,"&lt;"&amp;DATE($B$3+1,1,1),업무일지!$AB$5:$AB$1004,$A$44,업무일지!$D$5:$D$1004,"출장")&gt;0,1,0))</f>
        <v/>
      </c>
      <c r="BE133">
        <f>IF($O133="",0,IF(COUNTIFS(업무일지!$F$5:$F$1004,$O133,업무일지!$B$5:$B$1004,"&gt;="&amp;DATE($B$3,1,1),업무일지!$B$5:$B$1004,"&lt;"&amp;DATE($B$3+1,1,1),업무일지!$AB$5:$AB$1004,$A$45,업무일지!$D$5:$D$1004,"출장")&gt;0,1,0))</f>
        <v/>
      </c>
      <c r="BF133">
        <f>IF($O133="",0,IF(COUNTIFS(업무일지!$F$5:$F$1004,$O133,업무일지!$B$5:$B$1004,"&gt;="&amp;DATE($B$3,1,1),업무일지!$B$5:$B$1004,"&lt;"&amp;DATE($B$3+1,1,1),업무일지!$AB$5:$AB$1004,$A$46,업무일지!$D$5:$D$1004,"출장")&gt;0,1,0))</f>
        <v/>
      </c>
      <c r="BG133">
        <f>IF($O133="",0,IF(COUNTIFS(업무일지!$F$5:$F$1004,$O133,업무일지!$B$5:$B$1004,"&gt;="&amp;DATE($B$3,1,1),업무일지!$B$5:$B$1004,"&lt;"&amp;DATE($B$3+1,1,1),업무일지!$AB$5:$AB$1004,$A$47,업무일지!$D$5:$D$1004,"출장")&gt;0,1,0))</f>
        <v/>
      </c>
      <c r="BH133">
        <f>IF($O133="",0,IF(COUNTIFS(업무일지!$F$5:$F$1004,$O133,업무일지!$B$5:$B$1004,"&gt;="&amp;DATE($B$3,1,1),업무일지!$B$5:$B$1004,"&lt;"&amp;DATE($B$3+1,1,1),업무일지!$AB$5:$AB$1004,$A$48,업무일지!$D$5:$D$1004,"출장")&gt;0,1,0))</f>
        <v/>
      </c>
      <c r="BI133">
        <f>IF($O133="",0,IF(COUNTIFS(업무일지!$F$5:$F$1004,$O133,업무일지!$B$5:$B$1004,"&gt;="&amp;DATE($B$3,1,1),업무일지!$B$5:$B$1004,"&lt;"&amp;DATE($B$3+1,1,1),업무일지!$AB$5:$AB$1004,$A$49,업무일지!$D$5:$D$1004,"출장")&gt;0,1,0))</f>
        <v/>
      </c>
      <c r="BJ133">
        <f>IF($O133="",0,IF(COUNTIFS(업무일지!$F$5:$F$1004,$O133,업무일지!$B$5:$B$1004,"&gt;="&amp;DATE($B$3,1,1),업무일지!$B$5:$B$1004,"&lt;"&amp;DATE($B$3+1,1,1),업무일지!$AB$5:$AB$1004,$A$50,업무일지!$D$5:$D$1004,"출장")&gt;0,1,0))</f>
        <v/>
      </c>
      <c r="BK133">
        <f>IF($O133="",0,IF(COUNTIFS(업무일지!$F$5:$F$1004,$O133,업무일지!$B$5:$B$1004,"&gt;="&amp;DATE($B$3,1,1),업무일지!$B$5:$B$1004,"&lt;"&amp;DATE($B$3+1,1,1),업무일지!$AB$5:$AB$1004,$A$51,업무일지!$D$5:$D$1004,"출장")&gt;0,1,0))</f>
        <v/>
      </c>
      <c r="BL133">
        <f>IF($O133="",0,IF(COUNTIFS(업무일지!$F$5:$F$1004,$O133,업무일지!$B$5:$B$1004,"&gt;="&amp;DATE($B$3,1,1),업무일지!$B$5:$B$1004,"&lt;"&amp;DATE($B$3+1,1,1),업무일지!$AB$5:$AB$1004,$A$52,업무일지!$D$5:$D$1004,"출장")&gt;0,1,0))</f>
        <v/>
      </c>
      <c r="BM133">
        <f>IF($O133="",0,IF(COUNTIFS(업무일지!$F$5:$F$1004,$O133,업무일지!$B$5:$B$1004,"&gt;="&amp;DATE($B$3,1,1),업무일지!$B$5:$B$1004,"&lt;"&amp;DATE($B$3+1,1,1),업무일지!$AB$5:$AB$1004,$A$53,업무일지!$D$5:$D$1004,"출장")&gt;0,1,0))</f>
        <v/>
      </c>
      <c r="BO133">
        <f>IF($O133="",0,IF(COUNTIFS(업무일지!$F$5:$F$1004,$O133,업무일지!$B$5:$B$1004,"&gt;="&amp;DATE($B$3,1,1),업무일지!$B$5:$B$1004,"&lt;"&amp;DATE($B$3+1,1,1),업무일지!$AB$5:$AB$1004,$A$44,업무일지!$D$5:$D$1004,"분석")&gt;0,1,0))</f>
        <v/>
      </c>
      <c r="BP133">
        <f>IF($O133="",0,IF(COUNTIFS(업무일지!$F$5:$F$1004,$O133,업무일지!$B$5:$B$1004,"&gt;="&amp;DATE($B$3,1,1),업무일지!$B$5:$B$1004,"&lt;"&amp;DATE($B$3+1,1,1),업무일지!$AB$5:$AB$1004,$A$45,업무일지!$D$5:$D$1004,"분석")&gt;0,1,0))</f>
        <v/>
      </c>
      <c r="BQ133">
        <f>IF($O133="",0,IF(COUNTIFS(업무일지!$F$5:$F$1004,$O133,업무일지!$B$5:$B$1004,"&gt;="&amp;DATE($B$3,1,1),업무일지!$B$5:$B$1004,"&lt;"&amp;DATE($B$3+1,1,1),업무일지!$AB$5:$AB$1004,$A$46,업무일지!$D$5:$D$1004,"분석")&gt;0,1,0))</f>
        <v/>
      </c>
      <c r="BR133">
        <f>IF($O133="",0,IF(COUNTIFS(업무일지!$F$5:$F$1004,$O133,업무일지!$B$5:$B$1004,"&gt;="&amp;DATE($B$3,1,1),업무일지!$B$5:$B$1004,"&lt;"&amp;DATE($B$3+1,1,1),업무일지!$AB$5:$AB$1004,$A$47,업무일지!$D$5:$D$1004,"분석")&gt;0,1,0))</f>
        <v/>
      </c>
      <c r="BS133">
        <f>IF($O133="",0,IF(COUNTIFS(업무일지!$F$5:$F$1004,$O133,업무일지!$B$5:$B$1004,"&gt;="&amp;DATE($B$3,1,1),업무일지!$B$5:$B$1004,"&lt;"&amp;DATE($B$3+1,1,1),업무일지!$AB$5:$AB$1004,$A$48,업무일지!$D$5:$D$1004,"분석")&gt;0,1,0))</f>
        <v/>
      </c>
      <c r="BT133">
        <f>IF($O133="",0,IF(COUNTIFS(업무일지!$F$5:$F$1004,$O133,업무일지!$B$5:$B$1004,"&gt;="&amp;DATE($B$3,1,1),업무일지!$B$5:$B$1004,"&lt;"&amp;DATE($B$3+1,1,1),업무일지!$AB$5:$AB$1004,$A$49,업무일지!$D$5:$D$1004,"분석")&gt;0,1,0))</f>
        <v/>
      </c>
      <c r="BU133">
        <f>IF($O133="",0,IF(COUNTIFS(업무일지!$F$5:$F$1004,$O133,업무일지!$B$5:$B$1004,"&gt;="&amp;DATE($B$3,1,1),업무일지!$B$5:$B$1004,"&lt;"&amp;DATE($B$3+1,1,1),업무일지!$AB$5:$AB$1004,$A$50,업무일지!$D$5:$D$1004,"분석")&gt;0,1,0))</f>
        <v/>
      </c>
      <c r="BV133">
        <f>IF($O133="",0,IF(COUNTIFS(업무일지!$F$5:$F$1004,$O133,업무일지!$B$5:$B$1004,"&gt;="&amp;DATE($B$3,1,1),업무일지!$B$5:$B$1004,"&lt;"&amp;DATE($B$3+1,1,1),업무일지!$AB$5:$AB$1004,$A$51,업무일지!$D$5:$D$1004,"분석")&gt;0,1,0))</f>
        <v/>
      </c>
      <c r="BW133">
        <f>IF($O133="",0,IF(COUNTIFS(업무일지!$F$5:$F$1004,$O133,업무일지!$B$5:$B$1004,"&gt;="&amp;DATE($B$3,1,1),업무일지!$B$5:$B$1004,"&lt;"&amp;DATE($B$3+1,1,1),업무일지!$AB$5:$AB$1004,$A$52,업무일지!$D$5:$D$1004,"분석")&gt;0,1,0))</f>
        <v/>
      </c>
      <c r="BX133">
        <f>IF($O133="",0,IF(COUNTIFS(업무일지!$F$5:$F$1004,$O133,업무일지!$B$5:$B$1004,"&gt;="&amp;DATE($B$3,1,1),업무일지!$B$5:$B$1004,"&lt;"&amp;DATE($B$3+1,1,1),업무일지!$AB$5:$AB$1004,$A$53,업무일지!$D$5:$D$1004,"분석")&gt;0,1,0))</f>
        <v/>
      </c>
      <c r="BZ133">
        <f>IF($O133="",0,IF(COUNTIFS(업무일지!$F$5:$F$1004,$O133,업무일지!$B$5:$B$1004,"&gt;="&amp;DATE($B$3,1,1),업무일지!$B$5:$B$1004,"&lt;"&amp;DATE($B$3+1,1,1),업무일지!$AB$5:$AB$1004,$A$44)&gt;0,1,0))</f>
        <v/>
      </c>
      <c r="CA133">
        <f>IF($O133="",0,IF(COUNTIFS(업무일지!$F$5:$F$1004,$O133,업무일지!$B$5:$B$1004,"&gt;="&amp;DATE($B$3,1,1),업무일지!$B$5:$B$1004,"&lt;"&amp;DATE($B$3+1,1,1),업무일지!$AB$5:$AB$1004,$A$45)&gt;0,1,0))</f>
        <v/>
      </c>
      <c r="CB133">
        <f>IF($O133="",0,IF(COUNTIFS(업무일지!$F$5:$F$1004,$O133,업무일지!$B$5:$B$1004,"&gt;="&amp;DATE($B$3,1,1),업무일지!$B$5:$B$1004,"&lt;"&amp;DATE($B$3+1,1,1),업무일지!$AB$5:$AB$1004,$A$46)&gt;0,1,0))</f>
        <v/>
      </c>
      <c r="CC133">
        <f>IF($O133="",0,IF(COUNTIFS(업무일지!$F$5:$F$1004,$O133,업무일지!$B$5:$B$1004,"&gt;="&amp;DATE($B$3,1,1),업무일지!$B$5:$B$1004,"&lt;"&amp;DATE($B$3+1,1,1),업무일지!$AB$5:$AB$1004,$A$47)&gt;0,1,0))</f>
        <v/>
      </c>
      <c r="CD133">
        <f>IF($O133="",0,IF(COUNTIFS(업무일지!$F$5:$F$1004,$O133,업무일지!$B$5:$B$1004,"&gt;="&amp;DATE($B$3,1,1),업무일지!$B$5:$B$1004,"&lt;"&amp;DATE($B$3+1,1,1),업무일지!$AB$5:$AB$1004,$A$48)&gt;0,1,0))</f>
        <v/>
      </c>
      <c r="CE133">
        <f>IF($O133="",0,IF(COUNTIFS(업무일지!$F$5:$F$1004,$O133,업무일지!$B$5:$B$1004,"&gt;="&amp;DATE($B$3,1,1),업무일지!$B$5:$B$1004,"&lt;"&amp;DATE($B$3+1,1,1),업무일지!$AB$5:$AB$1004,$A$49)&gt;0,1,0))</f>
        <v/>
      </c>
      <c r="CF133">
        <f>IF($O133="",0,IF(COUNTIFS(업무일지!$F$5:$F$1004,$O133,업무일지!$B$5:$B$1004,"&gt;="&amp;DATE($B$3,1,1),업무일지!$B$5:$B$1004,"&lt;"&amp;DATE($B$3+1,1,1),업무일지!$AB$5:$AB$1004,$A$50)&gt;0,1,0))</f>
        <v/>
      </c>
      <c r="CG133">
        <f>IF($O133="",0,IF(COUNTIFS(업무일지!$F$5:$F$1004,$O133,업무일지!$B$5:$B$1004,"&gt;="&amp;DATE($B$3,1,1),업무일지!$B$5:$B$1004,"&lt;"&amp;DATE($B$3+1,1,1),업무일지!$AB$5:$AB$1004,$A$51)&gt;0,1,0))</f>
        <v/>
      </c>
      <c r="CH133">
        <f>IF($O133="",0,IF(COUNTIFS(업무일지!$F$5:$F$1004,$O133,업무일지!$B$5:$B$1004,"&gt;="&amp;DATE($B$3,1,1),업무일지!$B$5:$B$1004,"&lt;"&amp;DATE($B$3+1,1,1),업무일지!$AB$5:$AB$1004,$A$52)&gt;0,1,0))</f>
        <v/>
      </c>
      <c r="CI133">
        <f>IF($O133="",0,IF(COUNTIFS(업무일지!$F$5:$F$1004,$O133,업무일지!$B$5:$B$1004,"&gt;="&amp;DATE($B$3,1,1),업무일지!$B$5:$B$1004,"&lt;"&amp;DATE($B$3+1,1,1),업무일지!$AB$5:$AB$1004,$A$53)&gt;0,1,0))</f>
        <v/>
      </c>
    </row>
    <row r="134">
      <c r="O134">
        <f>IF(사건마스터!$A54="","",사건마스터!$A54)</f>
        <v/>
      </c>
      <c r="P134">
        <f>IF($O134="",0,IF(COUNTIFS(업무일지!$F$5:$F$1004,$O134,업무일지!$B$5:$B$1004,"&gt;="&amp;DATE($B$3,1,1),업무일지!$B$5:$B$1004,"&lt;"&amp;DATE($B$3,1+1,1),업무일지!$D$5:$D$1004,"출장")&gt;0,1,0))</f>
        <v/>
      </c>
      <c r="Q134">
        <f>IF($O134="",0,IF(COUNTIFS(업무일지!$F$5:$F$1004,$O134,업무일지!$B$5:$B$1004,"&gt;="&amp;DATE($B$3,2,1),업무일지!$B$5:$B$1004,"&lt;"&amp;DATE($B$3,2+1,1),업무일지!$D$5:$D$1004,"출장")&gt;0,1,0))</f>
        <v/>
      </c>
      <c r="R134">
        <f>IF($O134="",0,IF(COUNTIFS(업무일지!$F$5:$F$1004,$O134,업무일지!$B$5:$B$1004,"&gt;="&amp;DATE($B$3,3,1),업무일지!$B$5:$B$1004,"&lt;"&amp;DATE($B$3,3+1,1),업무일지!$D$5:$D$1004,"출장")&gt;0,1,0))</f>
        <v/>
      </c>
      <c r="S134">
        <f>IF($O134="",0,IF(COUNTIFS(업무일지!$F$5:$F$1004,$O134,업무일지!$B$5:$B$1004,"&gt;="&amp;DATE($B$3,4,1),업무일지!$B$5:$B$1004,"&lt;"&amp;DATE($B$3,4+1,1),업무일지!$D$5:$D$1004,"출장")&gt;0,1,0))</f>
        <v/>
      </c>
      <c r="T134">
        <f>IF($O134="",0,IF(COUNTIFS(업무일지!$F$5:$F$1004,$O134,업무일지!$B$5:$B$1004,"&gt;="&amp;DATE($B$3,5,1),업무일지!$B$5:$B$1004,"&lt;"&amp;DATE($B$3,5+1,1),업무일지!$D$5:$D$1004,"출장")&gt;0,1,0))</f>
        <v/>
      </c>
      <c r="U134">
        <f>IF($O134="",0,IF(COUNTIFS(업무일지!$F$5:$F$1004,$O134,업무일지!$B$5:$B$1004,"&gt;="&amp;DATE($B$3,6,1),업무일지!$B$5:$B$1004,"&lt;"&amp;DATE($B$3,6+1,1),업무일지!$D$5:$D$1004,"출장")&gt;0,1,0))</f>
        <v/>
      </c>
      <c r="V134">
        <f>IF($O134="",0,IF(COUNTIFS(업무일지!$F$5:$F$1004,$O134,업무일지!$B$5:$B$1004,"&gt;="&amp;DATE($B$3,7,1),업무일지!$B$5:$B$1004,"&lt;"&amp;DATE($B$3,7+1,1),업무일지!$D$5:$D$1004,"출장")&gt;0,1,0))</f>
        <v/>
      </c>
      <c r="W134">
        <f>IF($O134="",0,IF(COUNTIFS(업무일지!$F$5:$F$1004,$O134,업무일지!$B$5:$B$1004,"&gt;="&amp;DATE($B$3,8,1),업무일지!$B$5:$B$1004,"&lt;"&amp;DATE($B$3,8+1,1),업무일지!$D$5:$D$1004,"출장")&gt;0,1,0))</f>
        <v/>
      </c>
      <c r="X134">
        <f>IF($O134="",0,IF(COUNTIFS(업무일지!$F$5:$F$1004,$O134,업무일지!$B$5:$B$1004,"&gt;="&amp;DATE($B$3,9,1),업무일지!$B$5:$B$1004,"&lt;"&amp;DATE($B$3,9+1,1),업무일지!$D$5:$D$1004,"출장")&gt;0,1,0))</f>
        <v/>
      </c>
      <c r="Y134">
        <f>IF($O134="",0,IF(COUNTIFS(업무일지!$F$5:$F$1004,$O134,업무일지!$B$5:$B$1004,"&gt;="&amp;DATE($B$3,10,1),업무일지!$B$5:$B$1004,"&lt;"&amp;DATE($B$3,10+1,1),업무일지!$D$5:$D$1004,"출장")&gt;0,1,0))</f>
        <v/>
      </c>
      <c r="Z134">
        <f>IF($O134="",0,IF(COUNTIFS(업무일지!$F$5:$F$1004,$O134,업무일지!$B$5:$B$1004,"&gt;="&amp;DATE($B$3,11,1),업무일지!$B$5:$B$1004,"&lt;"&amp;DATE($B$3,11+1,1),업무일지!$D$5:$D$1004,"출장")&gt;0,1,0))</f>
        <v/>
      </c>
      <c r="AA134">
        <f>IF($O134="",0,IF(COUNTIFS(업무일지!$F$5:$F$1004,$O134,업무일지!$B$5:$B$1004,"&gt;="&amp;DATE($B$3,12,1),업무일지!$B$5:$B$1004,"&lt;"&amp;DATE($B$3,12+1,1),업무일지!$D$5:$D$1004,"출장")&gt;0,1,0))</f>
        <v/>
      </c>
      <c r="AB134">
        <f>IF($O134="",0,IF(COUNTIFS(업무일지!$F$5:$F$1004,$O134,업무일지!$B$5:$B$1004,"&gt;="&amp;DATE($B$3,1,1),업무일지!$B$5:$B$1004,"&lt;"&amp;DATE($B$3,1+1,1),업무일지!$D$5:$D$1004,"분석")&gt;0,1,0))</f>
        <v/>
      </c>
      <c r="AC134">
        <f>IF($O134="",0,IF(COUNTIFS(업무일지!$F$5:$F$1004,$O134,업무일지!$B$5:$B$1004,"&gt;="&amp;DATE($B$3,2,1),업무일지!$B$5:$B$1004,"&lt;"&amp;DATE($B$3,2+1,1),업무일지!$D$5:$D$1004,"분석")&gt;0,1,0))</f>
        <v/>
      </c>
      <c r="AD134">
        <f>IF($O134="",0,IF(COUNTIFS(업무일지!$F$5:$F$1004,$O134,업무일지!$B$5:$B$1004,"&gt;="&amp;DATE($B$3,3,1),업무일지!$B$5:$B$1004,"&lt;"&amp;DATE($B$3,3+1,1),업무일지!$D$5:$D$1004,"분석")&gt;0,1,0))</f>
        <v/>
      </c>
      <c r="AE134">
        <f>IF($O134="",0,IF(COUNTIFS(업무일지!$F$5:$F$1004,$O134,업무일지!$B$5:$B$1004,"&gt;="&amp;DATE($B$3,4,1),업무일지!$B$5:$B$1004,"&lt;"&amp;DATE($B$3,4+1,1),업무일지!$D$5:$D$1004,"분석")&gt;0,1,0))</f>
        <v/>
      </c>
      <c r="AF134">
        <f>IF($O134="",0,IF(COUNTIFS(업무일지!$F$5:$F$1004,$O134,업무일지!$B$5:$B$1004,"&gt;="&amp;DATE($B$3,5,1),업무일지!$B$5:$B$1004,"&lt;"&amp;DATE($B$3,5+1,1),업무일지!$D$5:$D$1004,"분석")&gt;0,1,0))</f>
        <v/>
      </c>
      <c r="AG134">
        <f>IF($O134="",0,IF(COUNTIFS(업무일지!$F$5:$F$1004,$O134,업무일지!$B$5:$B$1004,"&gt;="&amp;DATE($B$3,6,1),업무일지!$B$5:$B$1004,"&lt;"&amp;DATE($B$3,6+1,1),업무일지!$D$5:$D$1004,"분석")&gt;0,1,0))</f>
        <v/>
      </c>
      <c r="AH134">
        <f>IF($O134="",0,IF(COUNTIFS(업무일지!$F$5:$F$1004,$O134,업무일지!$B$5:$B$1004,"&gt;="&amp;DATE($B$3,7,1),업무일지!$B$5:$B$1004,"&lt;"&amp;DATE($B$3,7+1,1),업무일지!$D$5:$D$1004,"분석")&gt;0,1,0))</f>
        <v/>
      </c>
      <c r="AI134">
        <f>IF($O134="",0,IF(COUNTIFS(업무일지!$F$5:$F$1004,$O134,업무일지!$B$5:$B$1004,"&gt;="&amp;DATE($B$3,8,1),업무일지!$B$5:$B$1004,"&lt;"&amp;DATE($B$3,8+1,1),업무일지!$D$5:$D$1004,"분석")&gt;0,1,0))</f>
        <v/>
      </c>
      <c r="AJ134">
        <f>IF($O134="",0,IF(COUNTIFS(업무일지!$F$5:$F$1004,$O134,업무일지!$B$5:$B$1004,"&gt;="&amp;DATE($B$3,9,1),업무일지!$B$5:$B$1004,"&lt;"&amp;DATE($B$3,9+1,1),업무일지!$D$5:$D$1004,"분석")&gt;0,1,0))</f>
        <v/>
      </c>
      <c r="AK134">
        <f>IF($O134="",0,IF(COUNTIFS(업무일지!$F$5:$F$1004,$O134,업무일지!$B$5:$B$1004,"&gt;="&amp;DATE($B$3,10,1),업무일지!$B$5:$B$1004,"&lt;"&amp;DATE($B$3,10+1,1),업무일지!$D$5:$D$1004,"분석")&gt;0,1,0))</f>
        <v/>
      </c>
      <c r="AL134">
        <f>IF($O134="",0,IF(COUNTIFS(업무일지!$F$5:$F$1004,$O134,업무일지!$B$5:$B$1004,"&gt;="&amp;DATE($B$3,11,1),업무일지!$B$5:$B$1004,"&lt;"&amp;DATE($B$3,11+1,1),업무일지!$D$5:$D$1004,"분석")&gt;0,1,0))</f>
        <v/>
      </c>
      <c r="AM134">
        <f>IF($O134="",0,IF(COUNTIFS(업무일지!$F$5:$F$1004,$O134,업무일지!$B$5:$B$1004,"&gt;="&amp;DATE($B$3,12,1),업무일지!$B$5:$B$1004,"&lt;"&amp;DATE($B$3,12+1,1),업무일지!$D$5:$D$1004,"분석")&gt;0,1,0))</f>
        <v/>
      </c>
      <c r="AN134">
        <f>IF($O134="",0,IF(COUNTIFS(업무일지!$F$5:$F$1004,$O134,업무일지!$B$5:$B$1004,"&gt;="&amp;DATE($B$3,1,1),업무일지!$B$5:$B$1004,"&lt;"&amp;DATE($B$3,1+1,1))&gt;0,1,0))</f>
        <v/>
      </c>
      <c r="AO134">
        <f>IF($O134="",0,IF(COUNTIFS(업무일지!$F$5:$F$1004,$O134,업무일지!$B$5:$B$1004,"&gt;="&amp;DATE($B$3,2,1),업무일지!$B$5:$B$1004,"&lt;"&amp;DATE($B$3,2+1,1))&gt;0,1,0))</f>
        <v/>
      </c>
      <c r="AP134">
        <f>IF($O134="",0,IF(COUNTIFS(업무일지!$F$5:$F$1004,$O134,업무일지!$B$5:$B$1004,"&gt;="&amp;DATE($B$3,3,1),업무일지!$B$5:$B$1004,"&lt;"&amp;DATE($B$3,3+1,1))&gt;0,1,0))</f>
        <v/>
      </c>
      <c r="AQ134">
        <f>IF($O134="",0,IF(COUNTIFS(업무일지!$F$5:$F$1004,$O134,업무일지!$B$5:$B$1004,"&gt;="&amp;DATE($B$3,4,1),업무일지!$B$5:$B$1004,"&lt;"&amp;DATE($B$3,4+1,1))&gt;0,1,0))</f>
        <v/>
      </c>
      <c r="AR134">
        <f>IF($O134="",0,IF(COUNTIFS(업무일지!$F$5:$F$1004,$O134,업무일지!$B$5:$B$1004,"&gt;="&amp;DATE($B$3,5,1),업무일지!$B$5:$B$1004,"&lt;"&amp;DATE($B$3,5+1,1))&gt;0,1,0))</f>
        <v/>
      </c>
      <c r="AS134">
        <f>IF($O134="",0,IF(COUNTIFS(업무일지!$F$5:$F$1004,$O134,업무일지!$B$5:$B$1004,"&gt;="&amp;DATE($B$3,6,1),업무일지!$B$5:$B$1004,"&lt;"&amp;DATE($B$3,6+1,1))&gt;0,1,0))</f>
        <v/>
      </c>
      <c r="AT134">
        <f>IF($O134="",0,IF(COUNTIFS(업무일지!$F$5:$F$1004,$O134,업무일지!$B$5:$B$1004,"&gt;="&amp;DATE($B$3,7,1),업무일지!$B$5:$B$1004,"&lt;"&amp;DATE($B$3,7+1,1))&gt;0,1,0))</f>
        <v/>
      </c>
      <c r="AU134">
        <f>IF($O134="",0,IF(COUNTIFS(업무일지!$F$5:$F$1004,$O134,업무일지!$B$5:$B$1004,"&gt;="&amp;DATE($B$3,8,1),업무일지!$B$5:$B$1004,"&lt;"&amp;DATE($B$3,8+1,1))&gt;0,1,0))</f>
        <v/>
      </c>
      <c r="AV134">
        <f>IF($O134="",0,IF(COUNTIFS(업무일지!$F$5:$F$1004,$O134,업무일지!$B$5:$B$1004,"&gt;="&amp;DATE($B$3,9,1),업무일지!$B$5:$B$1004,"&lt;"&amp;DATE($B$3,9+1,1))&gt;0,1,0))</f>
        <v/>
      </c>
      <c r="AW134">
        <f>IF($O134="",0,IF(COUNTIFS(업무일지!$F$5:$F$1004,$O134,업무일지!$B$5:$B$1004,"&gt;="&amp;DATE($B$3,10,1),업무일지!$B$5:$B$1004,"&lt;"&amp;DATE($B$3,10+1,1))&gt;0,1,0))</f>
        <v/>
      </c>
      <c r="AX134">
        <f>IF($O134="",0,IF(COUNTIFS(업무일지!$F$5:$F$1004,$O134,업무일지!$B$5:$B$1004,"&gt;="&amp;DATE($B$3,11,1),업무일지!$B$5:$B$1004,"&lt;"&amp;DATE($B$3,11+1,1))&gt;0,1,0))</f>
        <v/>
      </c>
      <c r="AY134">
        <f>IF($O134="",0,IF(COUNTIFS(업무일지!$F$5:$F$1004,$O134,업무일지!$B$5:$B$1004,"&gt;="&amp;DATE($B$3,12,1),업무일지!$B$5:$B$1004,"&lt;"&amp;DATE($B$3,12+1,1))&gt;0,1,0))</f>
        <v/>
      </c>
      <c r="AZ134">
        <f>IF($O134="",0,IF(COUNTIFS(업무일지!$F$5:$F$1004,$O134,업무일지!$B$5:$B$1004,"&gt;="&amp;DATE($B$3,1,1),업무일지!$B$5:$B$1004,"&lt;"&amp;DATE($B$3+1,1,1),업무일지!$D$5:$D$1004,"출장")&gt;0,1,0))</f>
        <v/>
      </c>
      <c r="BA134">
        <f>IF($O134="",0,IF(COUNTIFS(업무일지!$F$5:$F$1004,$O134,업무일지!$B$5:$B$1004,"&gt;="&amp;DATE($B$3,1,1),업무일지!$B$5:$B$1004,"&lt;"&amp;DATE($B$3+1,1,1),업무일지!$D$5:$D$1004,"분석")&gt;0,1,0))</f>
        <v/>
      </c>
      <c r="BB134">
        <f>IF($O134="",0,IF(COUNTIFS(업무일지!$F$5:$F$1004,$O134,업무일지!$B$5:$B$1004,"&gt;="&amp;DATE($B$3,1,1),업무일지!$B$5:$B$1004,"&lt;"&amp;DATE($B$3+1,1,1))&gt;0,1,0))</f>
        <v/>
      </c>
      <c r="BD134">
        <f>IF($O134="",0,IF(COUNTIFS(업무일지!$F$5:$F$1004,$O134,업무일지!$B$5:$B$1004,"&gt;="&amp;DATE($B$3,1,1),업무일지!$B$5:$B$1004,"&lt;"&amp;DATE($B$3+1,1,1),업무일지!$AB$5:$AB$1004,$A$44,업무일지!$D$5:$D$1004,"출장")&gt;0,1,0))</f>
        <v/>
      </c>
      <c r="BE134">
        <f>IF($O134="",0,IF(COUNTIFS(업무일지!$F$5:$F$1004,$O134,업무일지!$B$5:$B$1004,"&gt;="&amp;DATE($B$3,1,1),업무일지!$B$5:$B$1004,"&lt;"&amp;DATE($B$3+1,1,1),업무일지!$AB$5:$AB$1004,$A$45,업무일지!$D$5:$D$1004,"출장")&gt;0,1,0))</f>
        <v/>
      </c>
      <c r="BF134">
        <f>IF($O134="",0,IF(COUNTIFS(업무일지!$F$5:$F$1004,$O134,업무일지!$B$5:$B$1004,"&gt;="&amp;DATE($B$3,1,1),업무일지!$B$5:$B$1004,"&lt;"&amp;DATE($B$3+1,1,1),업무일지!$AB$5:$AB$1004,$A$46,업무일지!$D$5:$D$1004,"출장")&gt;0,1,0))</f>
        <v/>
      </c>
      <c r="BG134">
        <f>IF($O134="",0,IF(COUNTIFS(업무일지!$F$5:$F$1004,$O134,업무일지!$B$5:$B$1004,"&gt;="&amp;DATE($B$3,1,1),업무일지!$B$5:$B$1004,"&lt;"&amp;DATE($B$3+1,1,1),업무일지!$AB$5:$AB$1004,$A$47,업무일지!$D$5:$D$1004,"출장")&gt;0,1,0))</f>
        <v/>
      </c>
      <c r="BH134">
        <f>IF($O134="",0,IF(COUNTIFS(업무일지!$F$5:$F$1004,$O134,업무일지!$B$5:$B$1004,"&gt;="&amp;DATE($B$3,1,1),업무일지!$B$5:$B$1004,"&lt;"&amp;DATE($B$3+1,1,1),업무일지!$AB$5:$AB$1004,$A$48,업무일지!$D$5:$D$1004,"출장")&gt;0,1,0))</f>
        <v/>
      </c>
      <c r="BI134">
        <f>IF($O134="",0,IF(COUNTIFS(업무일지!$F$5:$F$1004,$O134,업무일지!$B$5:$B$1004,"&gt;="&amp;DATE($B$3,1,1),업무일지!$B$5:$B$1004,"&lt;"&amp;DATE($B$3+1,1,1),업무일지!$AB$5:$AB$1004,$A$49,업무일지!$D$5:$D$1004,"출장")&gt;0,1,0))</f>
        <v/>
      </c>
      <c r="BJ134">
        <f>IF($O134="",0,IF(COUNTIFS(업무일지!$F$5:$F$1004,$O134,업무일지!$B$5:$B$1004,"&gt;="&amp;DATE($B$3,1,1),업무일지!$B$5:$B$1004,"&lt;"&amp;DATE($B$3+1,1,1),업무일지!$AB$5:$AB$1004,$A$50,업무일지!$D$5:$D$1004,"출장")&gt;0,1,0))</f>
        <v/>
      </c>
      <c r="BK134">
        <f>IF($O134="",0,IF(COUNTIFS(업무일지!$F$5:$F$1004,$O134,업무일지!$B$5:$B$1004,"&gt;="&amp;DATE($B$3,1,1),업무일지!$B$5:$B$1004,"&lt;"&amp;DATE($B$3+1,1,1),업무일지!$AB$5:$AB$1004,$A$51,업무일지!$D$5:$D$1004,"출장")&gt;0,1,0))</f>
        <v/>
      </c>
      <c r="BL134">
        <f>IF($O134="",0,IF(COUNTIFS(업무일지!$F$5:$F$1004,$O134,업무일지!$B$5:$B$1004,"&gt;="&amp;DATE($B$3,1,1),업무일지!$B$5:$B$1004,"&lt;"&amp;DATE($B$3+1,1,1),업무일지!$AB$5:$AB$1004,$A$52,업무일지!$D$5:$D$1004,"출장")&gt;0,1,0))</f>
        <v/>
      </c>
      <c r="BM134">
        <f>IF($O134="",0,IF(COUNTIFS(업무일지!$F$5:$F$1004,$O134,업무일지!$B$5:$B$1004,"&gt;="&amp;DATE($B$3,1,1),업무일지!$B$5:$B$1004,"&lt;"&amp;DATE($B$3+1,1,1),업무일지!$AB$5:$AB$1004,$A$53,업무일지!$D$5:$D$1004,"출장")&gt;0,1,0))</f>
        <v/>
      </c>
      <c r="BO134">
        <f>IF($O134="",0,IF(COUNTIFS(업무일지!$F$5:$F$1004,$O134,업무일지!$B$5:$B$1004,"&gt;="&amp;DATE($B$3,1,1),업무일지!$B$5:$B$1004,"&lt;"&amp;DATE($B$3+1,1,1),업무일지!$AB$5:$AB$1004,$A$44,업무일지!$D$5:$D$1004,"분석")&gt;0,1,0))</f>
        <v/>
      </c>
      <c r="BP134">
        <f>IF($O134="",0,IF(COUNTIFS(업무일지!$F$5:$F$1004,$O134,업무일지!$B$5:$B$1004,"&gt;="&amp;DATE($B$3,1,1),업무일지!$B$5:$B$1004,"&lt;"&amp;DATE($B$3+1,1,1),업무일지!$AB$5:$AB$1004,$A$45,업무일지!$D$5:$D$1004,"분석")&gt;0,1,0))</f>
        <v/>
      </c>
      <c r="BQ134">
        <f>IF($O134="",0,IF(COUNTIFS(업무일지!$F$5:$F$1004,$O134,업무일지!$B$5:$B$1004,"&gt;="&amp;DATE($B$3,1,1),업무일지!$B$5:$B$1004,"&lt;"&amp;DATE($B$3+1,1,1),업무일지!$AB$5:$AB$1004,$A$46,업무일지!$D$5:$D$1004,"분석")&gt;0,1,0))</f>
        <v/>
      </c>
      <c r="BR134">
        <f>IF($O134="",0,IF(COUNTIFS(업무일지!$F$5:$F$1004,$O134,업무일지!$B$5:$B$1004,"&gt;="&amp;DATE($B$3,1,1),업무일지!$B$5:$B$1004,"&lt;"&amp;DATE($B$3+1,1,1),업무일지!$AB$5:$AB$1004,$A$47,업무일지!$D$5:$D$1004,"분석")&gt;0,1,0))</f>
        <v/>
      </c>
      <c r="BS134">
        <f>IF($O134="",0,IF(COUNTIFS(업무일지!$F$5:$F$1004,$O134,업무일지!$B$5:$B$1004,"&gt;="&amp;DATE($B$3,1,1),업무일지!$B$5:$B$1004,"&lt;"&amp;DATE($B$3+1,1,1),업무일지!$AB$5:$AB$1004,$A$48,업무일지!$D$5:$D$1004,"분석")&gt;0,1,0))</f>
        <v/>
      </c>
      <c r="BT134">
        <f>IF($O134="",0,IF(COUNTIFS(업무일지!$F$5:$F$1004,$O134,업무일지!$B$5:$B$1004,"&gt;="&amp;DATE($B$3,1,1),업무일지!$B$5:$B$1004,"&lt;"&amp;DATE($B$3+1,1,1),업무일지!$AB$5:$AB$1004,$A$49,업무일지!$D$5:$D$1004,"분석")&gt;0,1,0))</f>
        <v/>
      </c>
      <c r="BU134">
        <f>IF($O134="",0,IF(COUNTIFS(업무일지!$F$5:$F$1004,$O134,업무일지!$B$5:$B$1004,"&gt;="&amp;DATE($B$3,1,1),업무일지!$B$5:$B$1004,"&lt;"&amp;DATE($B$3+1,1,1),업무일지!$AB$5:$AB$1004,$A$50,업무일지!$D$5:$D$1004,"분석")&gt;0,1,0))</f>
        <v/>
      </c>
      <c r="BV134">
        <f>IF($O134="",0,IF(COUNTIFS(업무일지!$F$5:$F$1004,$O134,업무일지!$B$5:$B$1004,"&gt;="&amp;DATE($B$3,1,1),업무일지!$B$5:$B$1004,"&lt;"&amp;DATE($B$3+1,1,1),업무일지!$AB$5:$AB$1004,$A$51,업무일지!$D$5:$D$1004,"분석")&gt;0,1,0))</f>
        <v/>
      </c>
      <c r="BW134">
        <f>IF($O134="",0,IF(COUNTIFS(업무일지!$F$5:$F$1004,$O134,업무일지!$B$5:$B$1004,"&gt;="&amp;DATE($B$3,1,1),업무일지!$B$5:$B$1004,"&lt;"&amp;DATE($B$3+1,1,1),업무일지!$AB$5:$AB$1004,$A$52,업무일지!$D$5:$D$1004,"분석")&gt;0,1,0))</f>
        <v/>
      </c>
      <c r="BX134">
        <f>IF($O134="",0,IF(COUNTIFS(업무일지!$F$5:$F$1004,$O134,업무일지!$B$5:$B$1004,"&gt;="&amp;DATE($B$3,1,1),업무일지!$B$5:$B$1004,"&lt;"&amp;DATE($B$3+1,1,1),업무일지!$AB$5:$AB$1004,$A$53,업무일지!$D$5:$D$1004,"분석")&gt;0,1,0))</f>
        <v/>
      </c>
      <c r="BZ134">
        <f>IF($O134="",0,IF(COUNTIFS(업무일지!$F$5:$F$1004,$O134,업무일지!$B$5:$B$1004,"&gt;="&amp;DATE($B$3,1,1),업무일지!$B$5:$B$1004,"&lt;"&amp;DATE($B$3+1,1,1),업무일지!$AB$5:$AB$1004,$A$44)&gt;0,1,0))</f>
        <v/>
      </c>
      <c r="CA134">
        <f>IF($O134="",0,IF(COUNTIFS(업무일지!$F$5:$F$1004,$O134,업무일지!$B$5:$B$1004,"&gt;="&amp;DATE($B$3,1,1),업무일지!$B$5:$B$1004,"&lt;"&amp;DATE($B$3+1,1,1),업무일지!$AB$5:$AB$1004,$A$45)&gt;0,1,0))</f>
        <v/>
      </c>
      <c r="CB134">
        <f>IF($O134="",0,IF(COUNTIFS(업무일지!$F$5:$F$1004,$O134,업무일지!$B$5:$B$1004,"&gt;="&amp;DATE($B$3,1,1),업무일지!$B$5:$B$1004,"&lt;"&amp;DATE($B$3+1,1,1),업무일지!$AB$5:$AB$1004,$A$46)&gt;0,1,0))</f>
        <v/>
      </c>
      <c r="CC134">
        <f>IF($O134="",0,IF(COUNTIFS(업무일지!$F$5:$F$1004,$O134,업무일지!$B$5:$B$1004,"&gt;="&amp;DATE($B$3,1,1),업무일지!$B$5:$B$1004,"&lt;"&amp;DATE($B$3+1,1,1),업무일지!$AB$5:$AB$1004,$A$47)&gt;0,1,0))</f>
        <v/>
      </c>
      <c r="CD134">
        <f>IF($O134="",0,IF(COUNTIFS(업무일지!$F$5:$F$1004,$O134,업무일지!$B$5:$B$1004,"&gt;="&amp;DATE($B$3,1,1),업무일지!$B$5:$B$1004,"&lt;"&amp;DATE($B$3+1,1,1),업무일지!$AB$5:$AB$1004,$A$48)&gt;0,1,0))</f>
        <v/>
      </c>
      <c r="CE134">
        <f>IF($O134="",0,IF(COUNTIFS(업무일지!$F$5:$F$1004,$O134,업무일지!$B$5:$B$1004,"&gt;="&amp;DATE($B$3,1,1),업무일지!$B$5:$B$1004,"&lt;"&amp;DATE($B$3+1,1,1),업무일지!$AB$5:$AB$1004,$A$49)&gt;0,1,0))</f>
        <v/>
      </c>
      <c r="CF134">
        <f>IF($O134="",0,IF(COUNTIFS(업무일지!$F$5:$F$1004,$O134,업무일지!$B$5:$B$1004,"&gt;="&amp;DATE($B$3,1,1),업무일지!$B$5:$B$1004,"&lt;"&amp;DATE($B$3+1,1,1),업무일지!$AB$5:$AB$1004,$A$50)&gt;0,1,0))</f>
        <v/>
      </c>
      <c r="CG134">
        <f>IF($O134="",0,IF(COUNTIFS(업무일지!$F$5:$F$1004,$O134,업무일지!$B$5:$B$1004,"&gt;="&amp;DATE($B$3,1,1),업무일지!$B$5:$B$1004,"&lt;"&amp;DATE($B$3+1,1,1),업무일지!$AB$5:$AB$1004,$A$51)&gt;0,1,0))</f>
        <v/>
      </c>
      <c r="CH134">
        <f>IF($O134="",0,IF(COUNTIFS(업무일지!$F$5:$F$1004,$O134,업무일지!$B$5:$B$1004,"&gt;="&amp;DATE($B$3,1,1),업무일지!$B$5:$B$1004,"&lt;"&amp;DATE($B$3+1,1,1),업무일지!$AB$5:$AB$1004,$A$52)&gt;0,1,0))</f>
        <v/>
      </c>
      <c r="CI134">
        <f>IF($O134="",0,IF(COUNTIFS(업무일지!$F$5:$F$1004,$O134,업무일지!$B$5:$B$1004,"&gt;="&amp;DATE($B$3,1,1),업무일지!$B$5:$B$1004,"&lt;"&amp;DATE($B$3+1,1,1),업무일지!$AB$5:$AB$1004,$A$53)&gt;0,1,0))</f>
        <v/>
      </c>
    </row>
    <row r="135">
      <c r="O135">
        <f>IF(사건마스터!$A55="","",사건마스터!$A55)</f>
        <v/>
      </c>
      <c r="P135">
        <f>IF($O135="",0,IF(COUNTIFS(업무일지!$F$5:$F$1004,$O135,업무일지!$B$5:$B$1004,"&gt;="&amp;DATE($B$3,1,1),업무일지!$B$5:$B$1004,"&lt;"&amp;DATE($B$3,1+1,1),업무일지!$D$5:$D$1004,"출장")&gt;0,1,0))</f>
        <v/>
      </c>
      <c r="Q135">
        <f>IF($O135="",0,IF(COUNTIFS(업무일지!$F$5:$F$1004,$O135,업무일지!$B$5:$B$1004,"&gt;="&amp;DATE($B$3,2,1),업무일지!$B$5:$B$1004,"&lt;"&amp;DATE($B$3,2+1,1),업무일지!$D$5:$D$1004,"출장")&gt;0,1,0))</f>
        <v/>
      </c>
      <c r="R135">
        <f>IF($O135="",0,IF(COUNTIFS(업무일지!$F$5:$F$1004,$O135,업무일지!$B$5:$B$1004,"&gt;="&amp;DATE($B$3,3,1),업무일지!$B$5:$B$1004,"&lt;"&amp;DATE($B$3,3+1,1),업무일지!$D$5:$D$1004,"출장")&gt;0,1,0))</f>
        <v/>
      </c>
      <c r="S135">
        <f>IF($O135="",0,IF(COUNTIFS(업무일지!$F$5:$F$1004,$O135,업무일지!$B$5:$B$1004,"&gt;="&amp;DATE($B$3,4,1),업무일지!$B$5:$B$1004,"&lt;"&amp;DATE($B$3,4+1,1),업무일지!$D$5:$D$1004,"출장")&gt;0,1,0))</f>
        <v/>
      </c>
      <c r="T135">
        <f>IF($O135="",0,IF(COUNTIFS(업무일지!$F$5:$F$1004,$O135,업무일지!$B$5:$B$1004,"&gt;="&amp;DATE($B$3,5,1),업무일지!$B$5:$B$1004,"&lt;"&amp;DATE($B$3,5+1,1),업무일지!$D$5:$D$1004,"출장")&gt;0,1,0))</f>
        <v/>
      </c>
      <c r="U135">
        <f>IF($O135="",0,IF(COUNTIFS(업무일지!$F$5:$F$1004,$O135,업무일지!$B$5:$B$1004,"&gt;="&amp;DATE($B$3,6,1),업무일지!$B$5:$B$1004,"&lt;"&amp;DATE($B$3,6+1,1),업무일지!$D$5:$D$1004,"출장")&gt;0,1,0))</f>
        <v/>
      </c>
      <c r="V135">
        <f>IF($O135="",0,IF(COUNTIFS(업무일지!$F$5:$F$1004,$O135,업무일지!$B$5:$B$1004,"&gt;="&amp;DATE($B$3,7,1),업무일지!$B$5:$B$1004,"&lt;"&amp;DATE($B$3,7+1,1),업무일지!$D$5:$D$1004,"출장")&gt;0,1,0))</f>
        <v/>
      </c>
      <c r="W135">
        <f>IF($O135="",0,IF(COUNTIFS(업무일지!$F$5:$F$1004,$O135,업무일지!$B$5:$B$1004,"&gt;="&amp;DATE($B$3,8,1),업무일지!$B$5:$B$1004,"&lt;"&amp;DATE($B$3,8+1,1),업무일지!$D$5:$D$1004,"출장")&gt;0,1,0))</f>
        <v/>
      </c>
      <c r="X135">
        <f>IF($O135="",0,IF(COUNTIFS(업무일지!$F$5:$F$1004,$O135,업무일지!$B$5:$B$1004,"&gt;="&amp;DATE($B$3,9,1),업무일지!$B$5:$B$1004,"&lt;"&amp;DATE($B$3,9+1,1),업무일지!$D$5:$D$1004,"출장")&gt;0,1,0))</f>
        <v/>
      </c>
      <c r="Y135">
        <f>IF($O135="",0,IF(COUNTIFS(업무일지!$F$5:$F$1004,$O135,업무일지!$B$5:$B$1004,"&gt;="&amp;DATE($B$3,10,1),업무일지!$B$5:$B$1004,"&lt;"&amp;DATE($B$3,10+1,1),업무일지!$D$5:$D$1004,"출장")&gt;0,1,0))</f>
        <v/>
      </c>
      <c r="Z135">
        <f>IF($O135="",0,IF(COUNTIFS(업무일지!$F$5:$F$1004,$O135,업무일지!$B$5:$B$1004,"&gt;="&amp;DATE($B$3,11,1),업무일지!$B$5:$B$1004,"&lt;"&amp;DATE($B$3,11+1,1),업무일지!$D$5:$D$1004,"출장")&gt;0,1,0))</f>
        <v/>
      </c>
      <c r="AA135">
        <f>IF($O135="",0,IF(COUNTIFS(업무일지!$F$5:$F$1004,$O135,업무일지!$B$5:$B$1004,"&gt;="&amp;DATE($B$3,12,1),업무일지!$B$5:$B$1004,"&lt;"&amp;DATE($B$3,12+1,1),업무일지!$D$5:$D$1004,"출장")&gt;0,1,0))</f>
        <v/>
      </c>
      <c r="AB135">
        <f>IF($O135="",0,IF(COUNTIFS(업무일지!$F$5:$F$1004,$O135,업무일지!$B$5:$B$1004,"&gt;="&amp;DATE($B$3,1,1),업무일지!$B$5:$B$1004,"&lt;"&amp;DATE($B$3,1+1,1),업무일지!$D$5:$D$1004,"분석")&gt;0,1,0))</f>
        <v/>
      </c>
      <c r="AC135">
        <f>IF($O135="",0,IF(COUNTIFS(업무일지!$F$5:$F$1004,$O135,업무일지!$B$5:$B$1004,"&gt;="&amp;DATE($B$3,2,1),업무일지!$B$5:$B$1004,"&lt;"&amp;DATE($B$3,2+1,1),업무일지!$D$5:$D$1004,"분석")&gt;0,1,0))</f>
        <v/>
      </c>
      <c r="AD135">
        <f>IF($O135="",0,IF(COUNTIFS(업무일지!$F$5:$F$1004,$O135,업무일지!$B$5:$B$1004,"&gt;="&amp;DATE($B$3,3,1),업무일지!$B$5:$B$1004,"&lt;"&amp;DATE($B$3,3+1,1),업무일지!$D$5:$D$1004,"분석")&gt;0,1,0))</f>
        <v/>
      </c>
      <c r="AE135">
        <f>IF($O135="",0,IF(COUNTIFS(업무일지!$F$5:$F$1004,$O135,업무일지!$B$5:$B$1004,"&gt;="&amp;DATE($B$3,4,1),업무일지!$B$5:$B$1004,"&lt;"&amp;DATE($B$3,4+1,1),업무일지!$D$5:$D$1004,"분석")&gt;0,1,0))</f>
        <v/>
      </c>
      <c r="AF135">
        <f>IF($O135="",0,IF(COUNTIFS(업무일지!$F$5:$F$1004,$O135,업무일지!$B$5:$B$1004,"&gt;="&amp;DATE($B$3,5,1),업무일지!$B$5:$B$1004,"&lt;"&amp;DATE($B$3,5+1,1),업무일지!$D$5:$D$1004,"분석")&gt;0,1,0))</f>
        <v/>
      </c>
      <c r="AG135">
        <f>IF($O135="",0,IF(COUNTIFS(업무일지!$F$5:$F$1004,$O135,업무일지!$B$5:$B$1004,"&gt;="&amp;DATE($B$3,6,1),업무일지!$B$5:$B$1004,"&lt;"&amp;DATE($B$3,6+1,1),업무일지!$D$5:$D$1004,"분석")&gt;0,1,0))</f>
        <v/>
      </c>
      <c r="AH135">
        <f>IF($O135="",0,IF(COUNTIFS(업무일지!$F$5:$F$1004,$O135,업무일지!$B$5:$B$1004,"&gt;="&amp;DATE($B$3,7,1),업무일지!$B$5:$B$1004,"&lt;"&amp;DATE($B$3,7+1,1),업무일지!$D$5:$D$1004,"분석")&gt;0,1,0))</f>
        <v/>
      </c>
      <c r="AI135">
        <f>IF($O135="",0,IF(COUNTIFS(업무일지!$F$5:$F$1004,$O135,업무일지!$B$5:$B$1004,"&gt;="&amp;DATE($B$3,8,1),업무일지!$B$5:$B$1004,"&lt;"&amp;DATE($B$3,8+1,1),업무일지!$D$5:$D$1004,"분석")&gt;0,1,0))</f>
        <v/>
      </c>
      <c r="AJ135">
        <f>IF($O135="",0,IF(COUNTIFS(업무일지!$F$5:$F$1004,$O135,업무일지!$B$5:$B$1004,"&gt;="&amp;DATE($B$3,9,1),업무일지!$B$5:$B$1004,"&lt;"&amp;DATE($B$3,9+1,1),업무일지!$D$5:$D$1004,"분석")&gt;0,1,0))</f>
        <v/>
      </c>
      <c r="AK135">
        <f>IF($O135="",0,IF(COUNTIFS(업무일지!$F$5:$F$1004,$O135,업무일지!$B$5:$B$1004,"&gt;="&amp;DATE($B$3,10,1),업무일지!$B$5:$B$1004,"&lt;"&amp;DATE($B$3,10+1,1),업무일지!$D$5:$D$1004,"분석")&gt;0,1,0))</f>
        <v/>
      </c>
      <c r="AL135">
        <f>IF($O135="",0,IF(COUNTIFS(업무일지!$F$5:$F$1004,$O135,업무일지!$B$5:$B$1004,"&gt;="&amp;DATE($B$3,11,1),업무일지!$B$5:$B$1004,"&lt;"&amp;DATE($B$3,11+1,1),업무일지!$D$5:$D$1004,"분석")&gt;0,1,0))</f>
        <v/>
      </c>
      <c r="AM135">
        <f>IF($O135="",0,IF(COUNTIFS(업무일지!$F$5:$F$1004,$O135,업무일지!$B$5:$B$1004,"&gt;="&amp;DATE($B$3,12,1),업무일지!$B$5:$B$1004,"&lt;"&amp;DATE($B$3,12+1,1),업무일지!$D$5:$D$1004,"분석")&gt;0,1,0))</f>
        <v/>
      </c>
      <c r="AN135">
        <f>IF($O135="",0,IF(COUNTIFS(업무일지!$F$5:$F$1004,$O135,업무일지!$B$5:$B$1004,"&gt;="&amp;DATE($B$3,1,1),업무일지!$B$5:$B$1004,"&lt;"&amp;DATE($B$3,1+1,1))&gt;0,1,0))</f>
        <v/>
      </c>
      <c r="AO135">
        <f>IF($O135="",0,IF(COUNTIFS(업무일지!$F$5:$F$1004,$O135,업무일지!$B$5:$B$1004,"&gt;="&amp;DATE($B$3,2,1),업무일지!$B$5:$B$1004,"&lt;"&amp;DATE($B$3,2+1,1))&gt;0,1,0))</f>
        <v/>
      </c>
      <c r="AP135">
        <f>IF($O135="",0,IF(COUNTIFS(업무일지!$F$5:$F$1004,$O135,업무일지!$B$5:$B$1004,"&gt;="&amp;DATE($B$3,3,1),업무일지!$B$5:$B$1004,"&lt;"&amp;DATE($B$3,3+1,1))&gt;0,1,0))</f>
        <v/>
      </c>
      <c r="AQ135">
        <f>IF($O135="",0,IF(COUNTIFS(업무일지!$F$5:$F$1004,$O135,업무일지!$B$5:$B$1004,"&gt;="&amp;DATE($B$3,4,1),업무일지!$B$5:$B$1004,"&lt;"&amp;DATE($B$3,4+1,1))&gt;0,1,0))</f>
        <v/>
      </c>
      <c r="AR135">
        <f>IF($O135="",0,IF(COUNTIFS(업무일지!$F$5:$F$1004,$O135,업무일지!$B$5:$B$1004,"&gt;="&amp;DATE($B$3,5,1),업무일지!$B$5:$B$1004,"&lt;"&amp;DATE($B$3,5+1,1))&gt;0,1,0))</f>
        <v/>
      </c>
      <c r="AS135">
        <f>IF($O135="",0,IF(COUNTIFS(업무일지!$F$5:$F$1004,$O135,업무일지!$B$5:$B$1004,"&gt;="&amp;DATE($B$3,6,1),업무일지!$B$5:$B$1004,"&lt;"&amp;DATE($B$3,6+1,1))&gt;0,1,0))</f>
        <v/>
      </c>
      <c r="AT135">
        <f>IF($O135="",0,IF(COUNTIFS(업무일지!$F$5:$F$1004,$O135,업무일지!$B$5:$B$1004,"&gt;="&amp;DATE($B$3,7,1),업무일지!$B$5:$B$1004,"&lt;"&amp;DATE($B$3,7+1,1))&gt;0,1,0))</f>
        <v/>
      </c>
      <c r="AU135">
        <f>IF($O135="",0,IF(COUNTIFS(업무일지!$F$5:$F$1004,$O135,업무일지!$B$5:$B$1004,"&gt;="&amp;DATE($B$3,8,1),업무일지!$B$5:$B$1004,"&lt;"&amp;DATE($B$3,8+1,1))&gt;0,1,0))</f>
        <v/>
      </c>
      <c r="AV135">
        <f>IF($O135="",0,IF(COUNTIFS(업무일지!$F$5:$F$1004,$O135,업무일지!$B$5:$B$1004,"&gt;="&amp;DATE($B$3,9,1),업무일지!$B$5:$B$1004,"&lt;"&amp;DATE($B$3,9+1,1))&gt;0,1,0))</f>
        <v/>
      </c>
      <c r="AW135">
        <f>IF($O135="",0,IF(COUNTIFS(업무일지!$F$5:$F$1004,$O135,업무일지!$B$5:$B$1004,"&gt;="&amp;DATE($B$3,10,1),업무일지!$B$5:$B$1004,"&lt;"&amp;DATE($B$3,10+1,1))&gt;0,1,0))</f>
        <v/>
      </c>
      <c r="AX135">
        <f>IF($O135="",0,IF(COUNTIFS(업무일지!$F$5:$F$1004,$O135,업무일지!$B$5:$B$1004,"&gt;="&amp;DATE($B$3,11,1),업무일지!$B$5:$B$1004,"&lt;"&amp;DATE($B$3,11+1,1))&gt;0,1,0))</f>
        <v/>
      </c>
      <c r="AY135">
        <f>IF($O135="",0,IF(COUNTIFS(업무일지!$F$5:$F$1004,$O135,업무일지!$B$5:$B$1004,"&gt;="&amp;DATE($B$3,12,1),업무일지!$B$5:$B$1004,"&lt;"&amp;DATE($B$3,12+1,1))&gt;0,1,0))</f>
        <v/>
      </c>
      <c r="AZ135">
        <f>IF($O135="",0,IF(COUNTIFS(업무일지!$F$5:$F$1004,$O135,업무일지!$B$5:$B$1004,"&gt;="&amp;DATE($B$3,1,1),업무일지!$B$5:$B$1004,"&lt;"&amp;DATE($B$3+1,1,1),업무일지!$D$5:$D$1004,"출장")&gt;0,1,0))</f>
        <v/>
      </c>
      <c r="BA135">
        <f>IF($O135="",0,IF(COUNTIFS(업무일지!$F$5:$F$1004,$O135,업무일지!$B$5:$B$1004,"&gt;="&amp;DATE($B$3,1,1),업무일지!$B$5:$B$1004,"&lt;"&amp;DATE($B$3+1,1,1),업무일지!$D$5:$D$1004,"분석")&gt;0,1,0))</f>
        <v/>
      </c>
      <c r="BB135">
        <f>IF($O135="",0,IF(COUNTIFS(업무일지!$F$5:$F$1004,$O135,업무일지!$B$5:$B$1004,"&gt;="&amp;DATE($B$3,1,1),업무일지!$B$5:$B$1004,"&lt;"&amp;DATE($B$3+1,1,1))&gt;0,1,0))</f>
        <v/>
      </c>
      <c r="BD135">
        <f>IF($O135="",0,IF(COUNTIFS(업무일지!$F$5:$F$1004,$O135,업무일지!$B$5:$B$1004,"&gt;="&amp;DATE($B$3,1,1),업무일지!$B$5:$B$1004,"&lt;"&amp;DATE($B$3+1,1,1),업무일지!$AB$5:$AB$1004,$A$44,업무일지!$D$5:$D$1004,"출장")&gt;0,1,0))</f>
        <v/>
      </c>
      <c r="BE135">
        <f>IF($O135="",0,IF(COUNTIFS(업무일지!$F$5:$F$1004,$O135,업무일지!$B$5:$B$1004,"&gt;="&amp;DATE($B$3,1,1),업무일지!$B$5:$B$1004,"&lt;"&amp;DATE($B$3+1,1,1),업무일지!$AB$5:$AB$1004,$A$45,업무일지!$D$5:$D$1004,"출장")&gt;0,1,0))</f>
        <v/>
      </c>
      <c r="BF135">
        <f>IF($O135="",0,IF(COUNTIFS(업무일지!$F$5:$F$1004,$O135,업무일지!$B$5:$B$1004,"&gt;="&amp;DATE($B$3,1,1),업무일지!$B$5:$B$1004,"&lt;"&amp;DATE($B$3+1,1,1),업무일지!$AB$5:$AB$1004,$A$46,업무일지!$D$5:$D$1004,"출장")&gt;0,1,0))</f>
        <v/>
      </c>
      <c r="BG135">
        <f>IF($O135="",0,IF(COUNTIFS(업무일지!$F$5:$F$1004,$O135,업무일지!$B$5:$B$1004,"&gt;="&amp;DATE($B$3,1,1),업무일지!$B$5:$B$1004,"&lt;"&amp;DATE($B$3+1,1,1),업무일지!$AB$5:$AB$1004,$A$47,업무일지!$D$5:$D$1004,"출장")&gt;0,1,0))</f>
        <v/>
      </c>
      <c r="BH135">
        <f>IF($O135="",0,IF(COUNTIFS(업무일지!$F$5:$F$1004,$O135,업무일지!$B$5:$B$1004,"&gt;="&amp;DATE($B$3,1,1),업무일지!$B$5:$B$1004,"&lt;"&amp;DATE($B$3+1,1,1),업무일지!$AB$5:$AB$1004,$A$48,업무일지!$D$5:$D$1004,"출장")&gt;0,1,0))</f>
        <v/>
      </c>
      <c r="BI135">
        <f>IF($O135="",0,IF(COUNTIFS(업무일지!$F$5:$F$1004,$O135,업무일지!$B$5:$B$1004,"&gt;="&amp;DATE($B$3,1,1),업무일지!$B$5:$B$1004,"&lt;"&amp;DATE($B$3+1,1,1),업무일지!$AB$5:$AB$1004,$A$49,업무일지!$D$5:$D$1004,"출장")&gt;0,1,0))</f>
        <v/>
      </c>
      <c r="BJ135">
        <f>IF($O135="",0,IF(COUNTIFS(업무일지!$F$5:$F$1004,$O135,업무일지!$B$5:$B$1004,"&gt;="&amp;DATE($B$3,1,1),업무일지!$B$5:$B$1004,"&lt;"&amp;DATE($B$3+1,1,1),업무일지!$AB$5:$AB$1004,$A$50,업무일지!$D$5:$D$1004,"출장")&gt;0,1,0))</f>
        <v/>
      </c>
      <c r="BK135">
        <f>IF($O135="",0,IF(COUNTIFS(업무일지!$F$5:$F$1004,$O135,업무일지!$B$5:$B$1004,"&gt;="&amp;DATE($B$3,1,1),업무일지!$B$5:$B$1004,"&lt;"&amp;DATE($B$3+1,1,1),업무일지!$AB$5:$AB$1004,$A$51,업무일지!$D$5:$D$1004,"출장")&gt;0,1,0))</f>
        <v/>
      </c>
      <c r="BL135">
        <f>IF($O135="",0,IF(COUNTIFS(업무일지!$F$5:$F$1004,$O135,업무일지!$B$5:$B$1004,"&gt;="&amp;DATE($B$3,1,1),업무일지!$B$5:$B$1004,"&lt;"&amp;DATE($B$3+1,1,1),업무일지!$AB$5:$AB$1004,$A$52,업무일지!$D$5:$D$1004,"출장")&gt;0,1,0))</f>
        <v/>
      </c>
      <c r="BM135">
        <f>IF($O135="",0,IF(COUNTIFS(업무일지!$F$5:$F$1004,$O135,업무일지!$B$5:$B$1004,"&gt;="&amp;DATE($B$3,1,1),업무일지!$B$5:$B$1004,"&lt;"&amp;DATE($B$3+1,1,1),업무일지!$AB$5:$AB$1004,$A$53,업무일지!$D$5:$D$1004,"출장")&gt;0,1,0))</f>
        <v/>
      </c>
      <c r="BO135">
        <f>IF($O135="",0,IF(COUNTIFS(업무일지!$F$5:$F$1004,$O135,업무일지!$B$5:$B$1004,"&gt;="&amp;DATE($B$3,1,1),업무일지!$B$5:$B$1004,"&lt;"&amp;DATE($B$3+1,1,1),업무일지!$AB$5:$AB$1004,$A$44,업무일지!$D$5:$D$1004,"분석")&gt;0,1,0))</f>
        <v/>
      </c>
      <c r="BP135">
        <f>IF($O135="",0,IF(COUNTIFS(업무일지!$F$5:$F$1004,$O135,업무일지!$B$5:$B$1004,"&gt;="&amp;DATE($B$3,1,1),업무일지!$B$5:$B$1004,"&lt;"&amp;DATE($B$3+1,1,1),업무일지!$AB$5:$AB$1004,$A$45,업무일지!$D$5:$D$1004,"분석")&gt;0,1,0))</f>
        <v/>
      </c>
      <c r="BQ135">
        <f>IF($O135="",0,IF(COUNTIFS(업무일지!$F$5:$F$1004,$O135,업무일지!$B$5:$B$1004,"&gt;="&amp;DATE($B$3,1,1),업무일지!$B$5:$B$1004,"&lt;"&amp;DATE($B$3+1,1,1),업무일지!$AB$5:$AB$1004,$A$46,업무일지!$D$5:$D$1004,"분석")&gt;0,1,0))</f>
        <v/>
      </c>
      <c r="BR135">
        <f>IF($O135="",0,IF(COUNTIFS(업무일지!$F$5:$F$1004,$O135,업무일지!$B$5:$B$1004,"&gt;="&amp;DATE($B$3,1,1),업무일지!$B$5:$B$1004,"&lt;"&amp;DATE($B$3+1,1,1),업무일지!$AB$5:$AB$1004,$A$47,업무일지!$D$5:$D$1004,"분석")&gt;0,1,0))</f>
        <v/>
      </c>
      <c r="BS135">
        <f>IF($O135="",0,IF(COUNTIFS(업무일지!$F$5:$F$1004,$O135,업무일지!$B$5:$B$1004,"&gt;="&amp;DATE($B$3,1,1),업무일지!$B$5:$B$1004,"&lt;"&amp;DATE($B$3+1,1,1),업무일지!$AB$5:$AB$1004,$A$48,업무일지!$D$5:$D$1004,"분석")&gt;0,1,0))</f>
        <v/>
      </c>
      <c r="BT135">
        <f>IF($O135="",0,IF(COUNTIFS(업무일지!$F$5:$F$1004,$O135,업무일지!$B$5:$B$1004,"&gt;="&amp;DATE($B$3,1,1),업무일지!$B$5:$B$1004,"&lt;"&amp;DATE($B$3+1,1,1),업무일지!$AB$5:$AB$1004,$A$49,업무일지!$D$5:$D$1004,"분석")&gt;0,1,0))</f>
        <v/>
      </c>
      <c r="BU135">
        <f>IF($O135="",0,IF(COUNTIFS(업무일지!$F$5:$F$1004,$O135,업무일지!$B$5:$B$1004,"&gt;="&amp;DATE($B$3,1,1),업무일지!$B$5:$B$1004,"&lt;"&amp;DATE($B$3+1,1,1),업무일지!$AB$5:$AB$1004,$A$50,업무일지!$D$5:$D$1004,"분석")&gt;0,1,0))</f>
        <v/>
      </c>
      <c r="BV135">
        <f>IF($O135="",0,IF(COUNTIFS(업무일지!$F$5:$F$1004,$O135,업무일지!$B$5:$B$1004,"&gt;="&amp;DATE($B$3,1,1),업무일지!$B$5:$B$1004,"&lt;"&amp;DATE($B$3+1,1,1),업무일지!$AB$5:$AB$1004,$A$51,업무일지!$D$5:$D$1004,"분석")&gt;0,1,0))</f>
        <v/>
      </c>
      <c r="BW135">
        <f>IF($O135="",0,IF(COUNTIFS(업무일지!$F$5:$F$1004,$O135,업무일지!$B$5:$B$1004,"&gt;="&amp;DATE($B$3,1,1),업무일지!$B$5:$B$1004,"&lt;"&amp;DATE($B$3+1,1,1),업무일지!$AB$5:$AB$1004,$A$52,업무일지!$D$5:$D$1004,"분석")&gt;0,1,0))</f>
        <v/>
      </c>
      <c r="BX135">
        <f>IF($O135="",0,IF(COUNTIFS(업무일지!$F$5:$F$1004,$O135,업무일지!$B$5:$B$1004,"&gt;="&amp;DATE($B$3,1,1),업무일지!$B$5:$B$1004,"&lt;"&amp;DATE($B$3+1,1,1),업무일지!$AB$5:$AB$1004,$A$53,업무일지!$D$5:$D$1004,"분석")&gt;0,1,0))</f>
        <v/>
      </c>
      <c r="BZ135">
        <f>IF($O135="",0,IF(COUNTIFS(업무일지!$F$5:$F$1004,$O135,업무일지!$B$5:$B$1004,"&gt;="&amp;DATE($B$3,1,1),업무일지!$B$5:$B$1004,"&lt;"&amp;DATE($B$3+1,1,1),업무일지!$AB$5:$AB$1004,$A$44)&gt;0,1,0))</f>
        <v/>
      </c>
      <c r="CA135">
        <f>IF($O135="",0,IF(COUNTIFS(업무일지!$F$5:$F$1004,$O135,업무일지!$B$5:$B$1004,"&gt;="&amp;DATE($B$3,1,1),업무일지!$B$5:$B$1004,"&lt;"&amp;DATE($B$3+1,1,1),업무일지!$AB$5:$AB$1004,$A$45)&gt;0,1,0))</f>
        <v/>
      </c>
      <c r="CB135">
        <f>IF($O135="",0,IF(COUNTIFS(업무일지!$F$5:$F$1004,$O135,업무일지!$B$5:$B$1004,"&gt;="&amp;DATE($B$3,1,1),업무일지!$B$5:$B$1004,"&lt;"&amp;DATE($B$3+1,1,1),업무일지!$AB$5:$AB$1004,$A$46)&gt;0,1,0))</f>
        <v/>
      </c>
      <c r="CC135">
        <f>IF($O135="",0,IF(COUNTIFS(업무일지!$F$5:$F$1004,$O135,업무일지!$B$5:$B$1004,"&gt;="&amp;DATE($B$3,1,1),업무일지!$B$5:$B$1004,"&lt;"&amp;DATE($B$3+1,1,1),업무일지!$AB$5:$AB$1004,$A$47)&gt;0,1,0))</f>
        <v/>
      </c>
      <c r="CD135">
        <f>IF($O135="",0,IF(COUNTIFS(업무일지!$F$5:$F$1004,$O135,업무일지!$B$5:$B$1004,"&gt;="&amp;DATE($B$3,1,1),업무일지!$B$5:$B$1004,"&lt;"&amp;DATE($B$3+1,1,1),업무일지!$AB$5:$AB$1004,$A$48)&gt;0,1,0))</f>
        <v/>
      </c>
      <c r="CE135">
        <f>IF($O135="",0,IF(COUNTIFS(업무일지!$F$5:$F$1004,$O135,업무일지!$B$5:$B$1004,"&gt;="&amp;DATE($B$3,1,1),업무일지!$B$5:$B$1004,"&lt;"&amp;DATE($B$3+1,1,1),업무일지!$AB$5:$AB$1004,$A$49)&gt;0,1,0))</f>
        <v/>
      </c>
      <c r="CF135">
        <f>IF($O135="",0,IF(COUNTIFS(업무일지!$F$5:$F$1004,$O135,업무일지!$B$5:$B$1004,"&gt;="&amp;DATE($B$3,1,1),업무일지!$B$5:$B$1004,"&lt;"&amp;DATE($B$3+1,1,1),업무일지!$AB$5:$AB$1004,$A$50)&gt;0,1,0))</f>
        <v/>
      </c>
      <c r="CG135">
        <f>IF($O135="",0,IF(COUNTIFS(업무일지!$F$5:$F$1004,$O135,업무일지!$B$5:$B$1004,"&gt;="&amp;DATE($B$3,1,1),업무일지!$B$5:$B$1004,"&lt;"&amp;DATE($B$3+1,1,1),업무일지!$AB$5:$AB$1004,$A$51)&gt;0,1,0))</f>
        <v/>
      </c>
      <c r="CH135">
        <f>IF($O135="",0,IF(COUNTIFS(업무일지!$F$5:$F$1004,$O135,업무일지!$B$5:$B$1004,"&gt;="&amp;DATE($B$3,1,1),업무일지!$B$5:$B$1004,"&lt;"&amp;DATE($B$3+1,1,1),업무일지!$AB$5:$AB$1004,$A$52)&gt;0,1,0))</f>
        <v/>
      </c>
      <c r="CI135">
        <f>IF($O135="",0,IF(COUNTIFS(업무일지!$F$5:$F$1004,$O135,업무일지!$B$5:$B$1004,"&gt;="&amp;DATE($B$3,1,1),업무일지!$B$5:$B$1004,"&lt;"&amp;DATE($B$3+1,1,1),업무일지!$AB$5:$AB$1004,$A$53)&gt;0,1,0))</f>
        <v/>
      </c>
    </row>
    <row r="136">
      <c r="O136">
        <f>IF(사건마스터!$A56="","",사건마스터!$A56)</f>
        <v/>
      </c>
      <c r="P136">
        <f>IF($O136="",0,IF(COUNTIFS(업무일지!$F$5:$F$1004,$O136,업무일지!$B$5:$B$1004,"&gt;="&amp;DATE($B$3,1,1),업무일지!$B$5:$B$1004,"&lt;"&amp;DATE($B$3,1+1,1),업무일지!$D$5:$D$1004,"출장")&gt;0,1,0))</f>
        <v/>
      </c>
      <c r="Q136">
        <f>IF($O136="",0,IF(COUNTIFS(업무일지!$F$5:$F$1004,$O136,업무일지!$B$5:$B$1004,"&gt;="&amp;DATE($B$3,2,1),업무일지!$B$5:$B$1004,"&lt;"&amp;DATE($B$3,2+1,1),업무일지!$D$5:$D$1004,"출장")&gt;0,1,0))</f>
        <v/>
      </c>
      <c r="R136">
        <f>IF($O136="",0,IF(COUNTIFS(업무일지!$F$5:$F$1004,$O136,업무일지!$B$5:$B$1004,"&gt;="&amp;DATE($B$3,3,1),업무일지!$B$5:$B$1004,"&lt;"&amp;DATE($B$3,3+1,1),업무일지!$D$5:$D$1004,"출장")&gt;0,1,0))</f>
        <v/>
      </c>
      <c r="S136">
        <f>IF($O136="",0,IF(COUNTIFS(업무일지!$F$5:$F$1004,$O136,업무일지!$B$5:$B$1004,"&gt;="&amp;DATE($B$3,4,1),업무일지!$B$5:$B$1004,"&lt;"&amp;DATE($B$3,4+1,1),업무일지!$D$5:$D$1004,"출장")&gt;0,1,0))</f>
        <v/>
      </c>
      <c r="T136">
        <f>IF($O136="",0,IF(COUNTIFS(업무일지!$F$5:$F$1004,$O136,업무일지!$B$5:$B$1004,"&gt;="&amp;DATE($B$3,5,1),업무일지!$B$5:$B$1004,"&lt;"&amp;DATE($B$3,5+1,1),업무일지!$D$5:$D$1004,"출장")&gt;0,1,0))</f>
        <v/>
      </c>
      <c r="U136">
        <f>IF($O136="",0,IF(COUNTIFS(업무일지!$F$5:$F$1004,$O136,업무일지!$B$5:$B$1004,"&gt;="&amp;DATE($B$3,6,1),업무일지!$B$5:$B$1004,"&lt;"&amp;DATE($B$3,6+1,1),업무일지!$D$5:$D$1004,"출장")&gt;0,1,0))</f>
        <v/>
      </c>
      <c r="V136">
        <f>IF($O136="",0,IF(COUNTIFS(업무일지!$F$5:$F$1004,$O136,업무일지!$B$5:$B$1004,"&gt;="&amp;DATE($B$3,7,1),업무일지!$B$5:$B$1004,"&lt;"&amp;DATE($B$3,7+1,1),업무일지!$D$5:$D$1004,"출장")&gt;0,1,0))</f>
        <v/>
      </c>
      <c r="W136">
        <f>IF($O136="",0,IF(COUNTIFS(업무일지!$F$5:$F$1004,$O136,업무일지!$B$5:$B$1004,"&gt;="&amp;DATE($B$3,8,1),업무일지!$B$5:$B$1004,"&lt;"&amp;DATE($B$3,8+1,1),업무일지!$D$5:$D$1004,"출장")&gt;0,1,0))</f>
        <v/>
      </c>
      <c r="X136">
        <f>IF($O136="",0,IF(COUNTIFS(업무일지!$F$5:$F$1004,$O136,업무일지!$B$5:$B$1004,"&gt;="&amp;DATE($B$3,9,1),업무일지!$B$5:$B$1004,"&lt;"&amp;DATE($B$3,9+1,1),업무일지!$D$5:$D$1004,"출장")&gt;0,1,0))</f>
        <v/>
      </c>
      <c r="Y136">
        <f>IF($O136="",0,IF(COUNTIFS(업무일지!$F$5:$F$1004,$O136,업무일지!$B$5:$B$1004,"&gt;="&amp;DATE($B$3,10,1),업무일지!$B$5:$B$1004,"&lt;"&amp;DATE($B$3,10+1,1),업무일지!$D$5:$D$1004,"출장")&gt;0,1,0))</f>
        <v/>
      </c>
      <c r="Z136">
        <f>IF($O136="",0,IF(COUNTIFS(업무일지!$F$5:$F$1004,$O136,업무일지!$B$5:$B$1004,"&gt;="&amp;DATE($B$3,11,1),업무일지!$B$5:$B$1004,"&lt;"&amp;DATE($B$3,11+1,1),업무일지!$D$5:$D$1004,"출장")&gt;0,1,0))</f>
        <v/>
      </c>
      <c r="AA136">
        <f>IF($O136="",0,IF(COUNTIFS(업무일지!$F$5:$F$1004,$O136,업무일지!$B$5:$B$1004,"&gt;="&amp;DATE($B$3,12,1),업무일지!$B$5:$B$1004,"&lt;"&amp;DATE($B$3,12+1,1),업무일지!$D$5:$D$1004,"출장")&gt;0,1,0))</f>
        <v/>
      </c>
      <c r="AB136">
        <f>IF($O136="",0,IF(COUNTIFS(업무일지!$F$5:$F$1004,$O136,업무일지!$B$5:$B$1004,"&gt;="&amp;DATE($B$3,1,1),업무일지!$B$5:$B$1004,"&lt;"&amp;DATE($B$3,1+1,1),업무일지!$D$5:$D$1004,"분석")&gt;0,1,0))</f>
        <v/>
      </c>
      <c r="AC136">
        <f>IF($O136="",0,IF(COUNTIFS(업무일지!$F$5:$F$1004,$O136,업무일지!$B$5:$B$1004,"&gt;="&amp;DATE($B$3,2,1),업무일지!$B$5:$B$1004,"&lt;"&amp;DATE($B$3,2+1,1),업무일지!$D$5:$D$1004,"분석")&gt;0,1,0))</f>
        <v/>
      </c>
      <c r="AD136">
        <f>IF($O136="",0,IF(COUNTIFS(업무일지!$F$5:$F$1004,$O136,업무일지!$B$5:$B$1004,"&gt;="&amp;DATE($B$3,3,1),업무일지!$B$5:$B$1004,"&lt;"&amp;DATE($B$3,3+1,1),업무일지!$D$5:$D$1004,"분석")&gt;0,1,0))</f>
        <v/>
      </c>
      <c r="AE136">
        <f>IF($O136="",0,IF(COUNTIFS(업무일지!$F$5:$F$1004,$O136,업무일지!$B$5:$B$1004,"&gt;="&amp;DATE($B$3,4,1),업무일지!$B$5:$B$1004,"&lt;"&amp;DATE($B$3,4+1,1),업무일지!$D$5:$D$1004,"분석")&gt;0,1,0))</f>
        <v/>
      </c>
      <c r="AF136">
        <f>IF($O136="",0,IF(COUNTIFS(업무일지!$F$5:$F$1004,$O136,업무일지!$B$5:$B$1004,"&gt;="&amp;DATE($B$3,5,1),업무일지!$B$5:$B$1004,"&lt;"&amp;DATE($B$3,5+1,1),업무일지!$D$5:$D$1004,"분석")&gt;0,1,0))</f>
        <v/>
      </c>
      <c r="AG136">
        <f>IF($O136="",0,IF(COUNTIFS(업무일지!$F$5:$F$1004,$O136,업무일지!$B$5:$B$1004,"&gt;="&amp;DATE($B$3,6,1),업무일지!$B$5:$B$1004,"&lt;"&amp;DATE($B$3,6+1,1),업무일지!$D$5:$D$1004,"분석")&gt;0,1,0))</f>
        <v/>
      </c>
      <c r="AH136">
        <f>IF($O136="",0,IF(COUNTIFS(업무일지!$F$5:$F$1004,$O136,업무일지!$B$5:$B$1004,"&gt;="&amp;DATE($B$3,7,1),업무일지!$B$5:$B$1004,"&lt;"&amp;DATE($B$3,7+1,1),업무일지!$D$5:$D$1004,"분석")&gt;0,1,0))</f>
        <v/>
      </c>
      <c r="AI136">
        <f>IF($O136="",0,IF(COUNTIFS(업무일지!$F$5:$F$1004,$O136,업무일지!$B$5:$B$1004,"&gt;="&amp;DATE($B$3,8,1),업무일지!$B$5:$B$1004,"&lt;"&amp;DATE($B$3,8+1,1),업무일지!$D$5:$D$1004,"분석")&gt;0,1,0))</f>
        <v/>
      </c>
      <c r="AJ136">
        <f>IF($O136="",0,IF(COUNTIFS(업무일지!$F$5:$F$1004,$O136,업무일지!$B$5:$B$1004,"&gt;="&amp;DATE($B$3,9,1),업무일지!$B$5:$B$1004,"&lt;"&amp;DATE($B$3,9+1,1),업무일지!$D$5:$D$1004,"분석")&gt;0,1,0))</f>
        <v/>
      </c>
      <c r="AK136">
        <f>IF($O136="",0,IF(COUNTIFS(업무일지!$F$5:$F$1004,$O136,업무일지!$B$5:$B$1004,"&gt;="&amp;DATE($B$3,10,1),업무일지!$B$5:$B$1004,"&lt;"&amp;DATE($B$3,10+1,1),업무일지!$D$5:$D$1004,"분석")&gt;0,1,0))</f>
        <v/>
      </c>
      <c r="AL136">
        <f>IF($O136="",0,IF(COUNTIFS(업무일지!$F$5:$F$1004,$O136,업무일지!$B$5:$B$1004,"&gt;="&amp;DATE($B$3,11,1),업무일지!$B$5:$B$1004,"&lt;"&amp;DATE($B$3,11+1,1),업무일지!$D$5:$D$1004,"분석")&gt;0,1,0))</f>
        <v/>
      </c>
      <c r="AM136">
        <f>IF($O136="",0,IF(COUNTIFS(업무일지!$F$5:$F$1004,$O136,업무일지!$B$5:$B$1004,"&gt;="&amp;DATE($B$3,12,1),업무일지!$B$5:$B$1004,"&lt;"&amp;DATE($B$3,12+1,1),업무일지!$D$5:$D$1004,"분석")&gt;0,1,0))</f>
        <v/>
      </c>
      <c r="AN136">
        <f>IF($O136="",0,IF(COUNTIFS(업무일지!$F$5:$F$1004,$O136,업무일지!$B$5:$B$1004,"&gt;="&amp;DATE($B$3,1,1),업무일지!$B$5:$B$1004,"&lt;"&amp;DATE($B$3,1+1,1))&gt;0,1,0))</f>
        <v/>
      </c>
      <c r="AO136">
        <f>IF($O136="",0,IF(COUNTIFS(업무일지!$F$5:$F$1004,$O136,업무일지!$B$5:$B$1004,"&gt;="&amp;DATE($B$3,2,1),업무일지!$B$5:$B$1004,"&lt;"&amp;DATE($B$3,2+1,1))&gt;0,1,0))</f>
        <v/>
      </c>
      <c r="AP136">
        <f>IF($O136="",0,IF(COUNTIFS(업무일지!$F$5:$F$1004,$O136,업무일지!$B$5:$B$1004,"&gt;="&amp;DATE($B$3,3,1),업무일지!$B$5:$B$1004,"&lt;"&amp;DATE($B$3,3+1,1))&gt;0,1,0))</f>
        <v/>
      </c>
      <c r="AQ136">
        <f>IF($O136="",0,IF(COUNTIFS(업무일지!$F$5:$F$1004,$O136,업무일지!$B$5:$B$1004,"&gt;="&amp;DATE($B$3,4,1),업무일지!$B$5:$B$1004,"&lt;"&amp;DATE($B$3,4+1,1))&gt;0,1,0))</f>
        <v/>
      </c>
      <c r="AR136">
        <f>IF($O136="",0,IF(COUNTIFS(업무일지!$F$5:$F$1004,$O136,업무일지!$B$5:$B$1004,"&gt;="&amp;DATE($B$3,5,1),업무일지!$B$5:$B$1004,"&lt;"&amp;DATE($B$3,5+1,1))&gt;0,1,0))</f>
        <v/>
      </c>
      <c r="AS136">
        <f>IF($O136="",0,IF(COUNTIFS(업무일지!$F$5:$F$1004,$O136,업무일지!$B$5:$B$1004,"&gt;="&amp;DATE($B$3,6,1),업무일지!$B$5:$B$1004,"&lt;"&amp;DATE($B$3,6+1,1))&gt;0,1,0))</f>
        <v/>
      </c>
      <c r="AT136">
        <f>IF($O136="",0,IF(COUNTIFS(업무일지!$F$5:$F$1004,$O136,업무일지!$B$5:$B$1004,"&gt;="&amp;DATE($B$3,7,1),업무일지!$B$5:$B$1004,"&lt;"&amp;DATE($B$3,7+1,1))&gt;0,1,0))</f>
        <v/>
      </c>
      <c r="AU136">
        <f>IF($O136="",0,IF(COUNTIFS(업무일지!$F$5:$F$1004,$O136,업무일지!$B$5:$B$1004,"&gt;="&amp;DATE($B$3,8,1),업무일지!$B$5:$B$1004,"&lt;"&amp;DATE($B$3,8+1,1))&gt;0,1,0))</f>
        <v/>
      </c>
      <c r="AV136">
        <f>IF($O136="",0,IF(COUNTIFS(업무일지!$F$5:$F$1004,$O136,업무일지!$B$5:$B$1004,"&gt;="&amp;DATE($B$3,9,1),업무일지!$B$5:$B$1004,"&lt;"&amp;DATE($B$3,9+1,1))&gt;0,1,0))</f>
        <v/>
      </c>
      <c r="AW136">
        <f>IF($O136="",0,IF(COUNTIFS(업무일지!$F$5:$F$1004,$O136,업무일지!$B$5:$B$1004,"&gt;="&amp;DATE($B$3,10,1),업무일지!$B$5:$B$1004,"&lt;"&amp;DATE($B$3,10+1,1))&gt;0,1,0))</f>
        <v/>
      </c>
      <c r="AX136">
        <f>IF($O136="",0,IF(COUNTIFS(업무일지!$F$5:$F$1004,$O136,업무일지!$B$5:$B$1004,"&gt;="&amp;DATE($B$3,11,1),업무일지!$B$5:$B$1004,"&lt;"&amp;DATE($B$3,11+1,1))&gt;0,1,0))</f>
        <v/>
      </c>
      <c r="AY136">
        <f>IF($O136="",0,IF(COUNTIFS(업무일지!$F$5:$F$1004,$O136,업무일지!$B$5:$B$1004,"&gt;="&amp;DATE($B$3,12,1),업무일지!$B$5:$B$1004,"&lt;"&amp;DATE($B$3,12+1,1))&gt;0,1,0))</f>
        <v/>
      </c>
      <c r="AZ136">
        <f>IF($O136="",0,IF(COUNTIFS(업무일지!$F$5:$F$1004,$O136,업무일지!$B$5:$B$1004,"&gt;="&amp;DATE($B$3,1,1),업무일지!$B$5:$B$1004,"&lt;"&amp;DATE($B$3+1,1,1),업무일지!$D$5:$D$1004,"출장")&gt;0,1,0))</f>
        <v/>
      </c>
      <c r="BA136">
        <f>IF($O136="",0,IF(COUNTIFS(업무일지!$F$5:$F$1004,$O136,업무일지!$B$5:$B$1004,"&gt;="&amp;DATE($B$3,1,1),업무일지!$B$5:$B$1004,"&lt;"&amp;DATE($B$3+1,1,1),업무일지!$D$5:$D$1004,"분석")&gt;0,1,0))</f>
        <v/>
      </c>
      <c r="BB136">
        <f>IF($O136="",0,IF(COUNTIFS(업무일지!$F$5:$F$1004,$O136,업무일지!$B$5:$B$1004,"&gt;="&amp;DATE($B$3,1,1),업무일지!$B$5:$B$1004,"&lt;"&amp;DATE($B$3+1,1,1))&gt;0,1,0))</f>
        <v/>
      </c>
      <c r="BD136">
        <f>IF($O136="",0,IF(COUNTIFS(업무일지!$F$5:$F$1004,$O136,업무일지!$B$5:$B$1004,"&gt;="&amp;DATE($B$3,1,1),업무일지!$B$5:$B$1004,"&lt;"&amp;DATE($B$3+1,1,1),업무일지!$AB$5:$AB$1004,$A$44,업무일지!$D$5:$D$1004,"출장")&gt;0,1,0))</f>
        <v/>
      </c>
      <c r="BE136">
        <f>IF($O136="",0,IF(COUNTIFS(업무일지!$F$5:$F$1004,$O136,업무일지!$B$5:$B$1004,"&gt;="&amp;DATE($B$3,1,1),업무일지!$B$5:$B$1004,"&lt;"&amp;DATE($B$3+1,1,1),업무일지!$AB$5:$AB$1004,$A$45,업무일지!$D$5:$D$1004,"출장")&gt;0,1,0))</f>
        <v/>
      </c>
      <c r="BF136">
        <f>IF($O136="",0,IF(COUNTIFS(업무일지!$F$5:$F$1004,$O136,업무일지!$B$5:$B$1004,"&gt;="&amp;DATE($B$3,1,1),업무일지!$B$5:$B$1004,"&lt;"&amp;DATE($B$3+1,1,1),업무일지!$AB$5:$AB$1004,$A$46,업무일지!$D$5:$D$1004,"출장")&gt;0,1,0))</f>
        <v/>
      </c>
      <c r="BG136">
        <f>IF($O136="",0,IF(COUNTIFS(업무일지!$F$5:$F$1004,$O136,업무일지!$B$5:$B$1004,"&gt;="&amp;DATE($B$3,1,1),업무일지!$B$5:$B$1004,"&lt;"&amp;DATE($B$3+1,1,1),업무일지!$AB$5:$AB$1004,$A$47,업무일지!$D$5:$D$1004,"출장")&gt;0,1,0))</f>
        <v/>
      </c>
      <c r="BH136">
        <f>IF($O136="",0,IF(COUNTIFS(업무일지!$F$5:$F$1004,$O136,업무일지!$B$5:$B$1004,"&gt;="&amp;DATE($B$3,1,1),업무일지!$B$5:$B$1004,"&lt;"&amp;DATE($B$3+1,1,1),업무일지!$AB$5:$AB$1004,$A$48,업무일지!$D$5:$D$1004,"출장")&gt;0,1,0))</f>
        <v/>
      </c>
      <c r="BI136">
        <f>IF($O136="",0,IF(COUNTIFS(업무일지!$F$5:$F$1004,$O136,업무일지!$B$5:$B$1004,"&gt;="&amp;DATE($B$3,1,1),업무일지!$B$5:$B$1004,"&lt;"&amp;DATE($B$3+1,1,1),업무일지!$AB$5:$AB$1004,$A$49,업무일지!$D$5:$D$1004,"출장")&gt;0,1,0))</f>
        <v/>
      </c>
      <c r="BJ136">
        <f>IF($O136="",0,IF(COUNTIFS(업무일지!$F$5:$F$1004,$O136,업무일지!$B$5:$B$1004,"&gt;="&amp;DATE($B$3,1,1),업무일지!$B$5:$B$1004,"&lt;"&amp;DATE($B$3+1,1,1),업무일지!$AB$5:$AB$1004,$A$50,업무일지!$D$5:$D$1004,"출장")&gt;0,1,0))</f>
        <v/>
      </c>
      <c r="BK136">
        <f>IF($O136="",0,IF(COUNTIFS(업무일지!$F$5:$F$1004,$O136,업무일지!$B$5:$B$1004,"&gt;="&amp;DATE($B$3,1,1),업무일지!$B$5:$B$1004,"&lt;"&amp;DATE($B$3+1,1,1),업무일지!$AB$5:$AB$1004,$A$51,업무일지!$D$5:$D$1004,"출장")&gt;0,1,0))</f>
        <v/>
      </c>
      <c r="BL136">
        <f>IF($O136="",0,IF(COUNTIFS(업무일지!$F$5:$F$1004,$O136,업무일지!$B$5:$B$1004,"&gt;="&amp;DATE($B$3,1,1),업무일지!$B$5:$B$1004,"&lt;"&amp;DATE($B$3+1,1,1),업무일지!$AB$5:$AB$1004,$A$52,업무일지!$D$5:$D$1004,"출장")&gt;0,1,0))</f>
        <v/>
      </c>
      <c r="BM136">
        <f>IF($O136="",0,IF(COUNTIFS(업무일지!$F$5:$F$1004,$O136,업무일지!$B$5:$B$1004,"&gt;="&amp;DATE($B$3,1,1),업무일지!$B$5:$B$1004,"&lt;"&amp;DATE($B$3+1,1,1),업무일지!$AB$5:$AB$1004,$A$53,업무일지!$D$5:$D$1004,"출장")&gt;0,1,0))</f>
        <v/>
      </c>
      <c r="BO136">
        <f>IF($O136="",0,IF(COUNTIFS(업무일지!$F$5:$F$1004,$O136,업무일지!$B$5:$B$1004,"&gt;="&amp;DATE($B$3,1,1),업무일지!$B$5:$B$1004,"&lt;"&amp;DATE($B$3+1,1,1),업무일지!$AB$5:$AB$1004,$A$44,업무일지!$D$5:$D$1004,"분석")&gt;0,1,0))</f>
        <v/>
      </c>
      <c r="BP136">
        <f>IF($O136="",0,IF(COUNTIFS(업무일지!$F$5:$F$1004,$O136,업무일지!$B$5:$B$1004,"&gt;="&amp;DATE($B$3,1,1),업무일지!$B$5:$B$1004,"&lt;"&amp;DATE($B$3+1,1,1),업무일지!$AB$5:$AB$1004,$A$45,업무일지!$D$5:$D$1004,"분석")&gt;0,1,0))</f>
        <v/>
      </c>
      <c r="BQ136">
        <f>IF($O136="",0,IF(COUNTIFS(업무일지!$F$5:$F$1004,$O136,업무일지!$B$5:$B$1004,"&gt;="&amp;DATE($B$3,1,1),업무일지!$B$5:$B$1004,"&lt;"&amp;DATE($B$3+1,1,1),업무일지!$AB$5:$AB$1004,$A$46,업무일지!$D$5:$D$1004,"분석")&gt;0,1,0))</f>
        <v/>
      </c>
      <c r="BR136">
        <f>IF($O136="",0,IF(COUNTIFS(업무일지!$F$5:$F$1004,$O136,업무일지!$B$5:$B$1004,"&gt;="&amp;DATE($B$3,1,1),업무일지!$B$5:$B$1004,"&lt;"&amp;DATE($B$3+1,1,1),업무일지!$AB$5:$AB$1004,$A$47,업무일지!$D$5:$D$1004,"분석")&gt;0,1,0))</f>
        <v/>
      </c>
      <c r="BS136">
        <f>IF($O136="",0,IF(COUNTIFS(업무일지!$F$5:$F$1004,$O136,업무일지!$B$5:$B$1004,"&gt;="&amp;DATE($B$3,1,1),업무일지!$B$5:$B$1004,"&lt;"&amp;DATE($B$3+1,1,1),업무일지!$AB$5:$AB$1004,$A$48,업무일지!$D$5:$D$1004,"분석")&gt;0,1,0))</f>
        <v/>
      </c>
      <c r="BT136">
        <f>IF($O136="",0,IF(COUNTIFS(업무일지!$F$5:$F$1004,$O136,업무일지!$B$5:$B$1004,"&gt;="&amp;DATE($B$3,1,1),업무일지!$B$5:$B$1004,"&lt;"&amp;DATE($B$3+1,1,1),업무일지!$AB$5:$AB$1004,$A$49,업무일지!$D$5:$D$1004,"분석")&gt;0,1,0))</f>
        <v/>
      </c>
      <c r="BU136">
        <f>IF($O136="",0,IF(COUNTIFS(업무일지!$F$5:$F$1004,$O136,업무일지!$B$5:$B$1004,"&gt;="&amp;DATE($B$3,1,1),업무일지!$B$5:$B$1004,"&lt;"&amp;DATE($B$3+1,1,1),업무일지!$AB$5:$AB$1004,$A$50,업무일지!$D$5:$D$1004,"분석")&gt;0,1,0))</f>
        <v/>
      </c>
      <c r="BV136">
        <f>IF($O136="",0,IF(COUNTIFS(업무일지!$F$5:$F$1004,$O136,업무일지!$B$5:$B$1004,"&gt;="&amp;DATE($B$3,1,1),업무일지!$B$5:$B$1004,"&lt;"&amp;DATE($B$3+1,1,1),업무일지!$AB$5:$AB$1004,$A$51,업무일지!$D$5:$D$1004,"분석")&gt;0,1,0))</f>
        <v/>
      </c>
      <c r="BW136">
        <f>IF($O136="",0,IF(COUNTIFS(업무일지!$F$5:$F$1004,$O136,업무일지!$B$5:$B$1004,"&gt;="&amp;DATE($B$3,1,1),업무일지!$B$5:$B$1004,"&lt;"&amp;DATE($B$3+1,1,1),업무일지!$AB$5:$AB$1004,$A$52,업무일지!$D$5:$D$1004,"분석")&gt;0,1,0))</f>
        <v/>
      </c>
      <c r="BX136">
        <f>IF($O136="",0,IF(COUNTIFS(업무일지!$F$5:$F$1004,$O136,업무일지!$B$5:$B$1004,"&gt;="&amp;DATE($B$3,1,1),업무일지!$B$5:$B$1004,"&lt;"&amp;DATE($B$3+1,1,1),업무일지!$AB$5:$AB$1004,$A$53,업무일지!$D$5:$D$1004,"분석")&gt;0,1,0))</f>
        <v/>
      </c>
      <c r="BZ136">
        <f>IF($O136="",0,IF(COUNTIFS(업무일지!$F$5:$F$1004,$O136,업무일지!$B$5:$B$1004,"&gt;="&amp;DATE($B$3,1,1),업무일지!$B$5:$B$1004,"&lt;"&amp;DATE($B$3+1,1,1),업무일지!$AB$5:$AB$1004,$A$44)&gt;0,1,0))</f>
        <v/>
      </c>
      <c r="CA136">
        <f>IF($O136="",0,IF(COUNTIFS(업무일지!$F$5:$F$1004,$O136,업무일지!$B$5:$B$1004,"&gt;="&amp;DATE($B$3,1,1),업무일지!$B$5:$B$1004,"&lt;"&amp;DATE($B$3+1,1,1),업무일지!$AB$5:$AB$1004,$A$45)&gt;0,1,0))</f>
        <v/>
      </c>
      <c r="CB136">
        <f>IF($O136="",0,IF(COUNTIFS(업무일지!$F$5:$F$1004,$O136,업무일지!$B$5:$B$1004,"&gt;="&amp;DATE($B$3,1,1),업무일지!$B$5:$B$1004,"&lt;"&amp;DATE($B$3+1,1,1),업무일지!$AB$5:$AB$1004,$A$46)&gt;0,1,0))</f>
        <v/>
      </c>
      <c r="CC136">
        <f>IF($O136="",0,IF(COUNTIFS(업무일지!$F$5:$F$1004,$O136,업무일지!$B$5:$B$1004,"&gt;="&amp;DATE($B$3,1,1),업무일지!$B$5:$B$1004,"&lt;"&amp;DATE($B$3+1,1,1),업무일지!$AB$5:$AB$1004,$A$47)&gt;0,1,0))</f>
        <v/>
      </c>
      <c r="CD136">
        <f>IF($O136="",0,IF(COUNTIFS(업무일지!$F$5:$F$1004,$O136,업무일지!$B$5:$B$1004,"&gt;="&amp;DATE($B$3,1,1),업무일지!$B$5:$B$1004,"&lt;"&amp;DATE($B$3+1,1,1),업무일지!$AB$5:$AB$1004,$A$48)&gt;0,1,0))</f>
        <v/>
      </c>
      <c r="CE136">
        <f>IF($O136="",0,IF(COUNTIFS(업무일지!$F$5:$F$1004,$O136,업무일지!$B$5:$B$1004,"&gt;="&amp;DATE($B$3,1,1),업무일지!$B$5:$B$1004,"&lt;"&amp;DATE($B$3+1,1,1),업무일지!$AB$5:$AB$1004,$A$49)&gt;0,1,0))</f>
        <v/>
      </c>
      <c r="CF136">
        <f>IF($O136="",0,IF(COUNTIFS(업무일지!$F$5:$F$1004,$O136,업무일지!$B$5:$B$1004,"&gt;="&amp;DATE($B$3,1,1),업무일지!$B$5:$B$1004,"&lt;"&amp;DATE($B$3+1,1,1),업무일지!$AB$5:$AB$1004,$A$50)&gt;0,1,0))</f>
        <v/>
      </c>
      <c r="CG136">
        <f>IF($O136="",0,IF(COUNTIFS(업무일지!$F$5:$F$1004,$O136,업무일지!$B$5:$B$1004,"&gt;="&amp;DATE($B$3,1,1),업무일지!$B$5:$B$1004,"&lt;"&amp;DATE($B$3+1,1,1),업무일지!$AB$5:$AB$1004,$A$51)&gt;0,1,0))</f>
        <v/>
      </c>
      <c r="CH136">
        <f>IF($O136="",0,IF(COUNTIFS(업무일지!$F$5:$F$1004,$O136,업무일지!$B$5:$B$1004,"&gt;="&amp;DATE($B$3,1,1),업무일지!$B$5:$B$1004,"&lt;"&amp;DATE($B$3+1,1,1),업무일지!$AB$5:$AB$1004,$A$52)&gt;0,1,0))</f>
        <v/>
      </c>
      <c r="CI136">
        <f>IF($O136="",0,IF(COUNTIFS(업무일지!$F$5:$F$1004,$O136,업무일지!$B$5:$B$1004,"&gt;="&amp;DATE($B$3,1,1),업무일지!$B$5:$B$1004,"&lt;"&amp;DATE($B$3+1,1,1),업무일지!$AB$5:$AB$1004,$A$53)&gt;0,1,0))</f>
        <v/>
      </c>
    </row>
    <row r="137">
      <c r="O137">
        <f>IF(사건마스터!$A57="","",사건마스터!$A57)</f>
        <v/>
      </c>
      <c r="P137">
        <f>IF($O137="",0,IF(COUNTIFS(업무일지!$F$5:$F$1004,$O137,업무일지!$B$5:$B$1004,"&gt;="&amp;DATE($B$3,1,1),업무일지!$B$5:$B$1004,"&lt;"&amp;DATE($B$3,1+1,1),업무일지!$D$5:$D$1004,"출장")&gt;0,1,0))</f>
        <v/>
      </c>
      <c r="Q137">
        <f>IF($O137="",0,IF(COUNTIFS(업무일지!$F$5:$F$1004,$O137,업무일지!$B$5:$B$1004,"&gt;="&amp;DATE($B$3,2,1),업무일지!$B$5:$B$1004,"&lt;"&amp;DATE($B$3,2+1,1),업무일지!$D$5:$D$1004,"출장")&gt;0,1,0))</f>
        <v/>
      </c>
      <c r="R137">
        <f>IF($O137="",0,IF(COUNTIFS(업무일지!$F$5:$F$1004,$O137,업무일지!$B$5:$B$1004,"&gt;="&amp;DATE($B$3,3,1),업무일지!$B$5:$B$1004,"&lt;"&amp;DATE($B$3,3+1,1),업무일지!$D$5:$D$1004,"출장")&gt;0,1,0))</f>
        <v/>
      </c>
      <c r="S137">
        <f>IF($O137="",0,IF(COUNTIFS(업무일지!$F$5:$F$1004,$O137,업무일지!$B$5:$B$1004,"&gt;="&amp;DATE($B$3,4,1),업무일지!$B$5:$B$1004,"&lt;"&amp;DATE($B$3,4+1,1),업무일지!$D$5:$D$1004,"출장")&gt;0,1,0))</f>
        <v/>
      </c>
      <c r="T137">
        <f>IF($O137="",0,IF(COUNTIFS(업무일지!$F$5:$F$1004,$O137,업무일지!$B$5:$B$1004,"&gt;="&amp;DATE($B$3,5,1),업무일지!$B$5:$B$1004,"&lt;"&amp;DATE($B$3,5+1,1),업무일지!$D$5:$D$1004,"출장")&gt;0,1,0))</f>
        <v/>
      </c>
      <c r="U137">
        <f>IF($O137="",0,IF(COUNTIFS(업무일지!$F$5:$F$1004,$O137,업무일지!$B$5:$B$1004,"&gt;="&amp;DATE($B$3,6,1),업무일지!$B$5:$B$1004,"&lt;"&amp;DATE($B$3,6+1,1),업무일지!$D$5:$D$1004,"출장")&gt;0,1,0))</f>
        <v/>
      </c>
      <c r="V137">
        <f>IF($O137="",0,IF(COUNTIFS(업무일지!$F$5:$F$1004,$O137,업무일지!$B$5:$B$1004,"&gt;="&amp;DATE($B$3,7,1),업무일지!$B$5:$B$1004,"&lt;"&amp;DATE($B$3,7+1,1),업무일지!$D$5:$D$1004,"출장")&gt;0,1,0))</f>
        <v/>
      </c>
      <c r="W137">
        <f>IF($O137="",0,IF(COUNTIFS(업무일지!$F$5:$F$1004,$O137,업무일지!$B$5:$B$1004,"&gt;="&amp;DATE($B$3,8,1),업무일지!$B$5:$B$1004,"&lt;"&amp;DATE($B$3,8+1,1),업무일지!$D$5:$D$1004,"출장")&gt;0,1,0))</f>
        <v/>
      </c>
      <c r="X137">
        <f>IF($O137="",0,IF(COUNTIFS(업무일지!$F$5:$F$1004,$O137,업무일지!$B$5:$B$1004,"&gt;="&amp;DATE($B$3,9,1),업무일지!$B$5:$B$1004,"&lt;"&amp;DATE($B$3,9+1,1),업무일지!$D$5:$D$1004,"출장")&gt;0,1,0))</f>
        <v/>
      </c>
      <c r="Y137">
        <f>IF($O137="",0,IF(COUNTIFS(업무일지!$F$5:$F$1004,$O137,업무일지!$B$5:$B$1004,"&gt;="&amp;DATE($B$3,10,1),업무일지!$B$5:$B$1004,"&lt;"&amp;DATE($B$3,10+1,1),업무일지!$D$5:$D$1004,"출장")&gt;0,1,0))</f>
        <v/>
      </c>
      <c r="Z137">
        <f>IF($O137="",0,IF(COUNTIFS(업무일지!$F$5:$F$1004,$O137,업무일지!$B$5:$B$1004,"&gt;="&amp;DATE($B$3,11,1),업무일지!$B$5:$B$1004,"&lt;"&amp;DATE($B$3,11+1,1),업무일지!$D$5:$D$1004,"출장")&gt;0,1,0))</f>
        <v/>
      </c>
      <c r="AA137">
        <f>IF($O137="",0,IF(COUNTIFS(업무일지!$F$5:$F$1004,$O137,업무일지!$B$5:$B$1004,"&gt;="&amp;DATE($B$3,12,1),업무일지!$B$5:$B$1004,"&lt;"&amp;DATE($B$3,12+1,1),업무일지!$D$5:$D$1004,"출장")&gt;0,1,0))</f>
        <v/>
      </c>
      <c r="AB137">
        <f>IF($O137="",0,IF(COUNTIFS(업무일지!$F$5:$F$1004,$O137,업무일지!$B$5:$B$1004,"&gt;="&amp;DATE($B$3,1,1),업무일지!$B$5:$B$1004,"&lt;"&amp;DATE($B$3,1+1,1),업무일지!$D$5:$D$1004,"분석")&gt;0,1,0))</f>
        <v/>
      </c>
      <c r="AC137">
        <f>IF($O137="",0,IF(COUNTIFS(업무일지!$F$5:$F$1004,$O137,업무일지!$B$5:$B$1004,"&gt;="&amp;DATE($B$3,2,1),업무일지!$B$5:$B$1004,"&lt;"&amp;DATE($B$3,2+1,1),업무일지!$D$5:$D$1004,"분석")&gt;0,1,0))</f>
        <v/>
      </c>
      <c r="AD137">
        <f>IF($O137="",0,IF(COUNTIFS(업무일지!$F$5:$F$1004,$O137,업무일지!$B$5:$B$1004,"&gt;="&amp;DATE($B$3,3,1),업무일지!$B$5:$B$1004,"&lt;"&amp;DATE($B$3,3+1,1),업무일지!$D$5:$D$1004,"분석")&gt;0,1,0))</f>
        <v/>
      </c>
      <c r="AE137">
        <f>IF($O137="",0,IF(COUNTIFS(업무일지!$F$5:$F$1004,$O137,업무일지!$B$5:$B$1004,"&gt;="&amp;DATE($B$3,4,1),업무일지!$B$5:$B$1004,"&lt;"&amp;DATE($B$3,4+1,1),업무일지!$D$5:$D$1004,"분석")&gt;0,1,0))</f>
        <v/>
      </c>
      <c r="AF137">
        <f>IF($O137="",0,IF(COUNTIFS(업무일지!$F$5:$F$1004,$O137,업무일지!$B$5:$B$1004,"&gt;="&amp;DATE($B$3,5,1),업무일지!$B$5:$B$1004,"&lt;"&amp;DATE($B$3,5+1,1),업무일지!$D$5:$D$1004,"분석")&gt;0,1,0))</f>
        <v/>
      </c>
      <c r="AG137">
        <f>IF($O137="",0,IF(COUNTIFS(업무일지!$F$5:$F$1004,$O137,업무일지!$B$5:$B$1004,"&gt;="&amp;DATE($B$3,6,1),업무일지!$B$5:$B$1004,"&lt;"&amp;DATE($B$3,6+1,1),업무일지!$D$5:$D$1004,"분석")&gt;0,1,0))</f>
        <v/>
      </c>
      <c r="AH137">
        <f>IF($O137="",0,IF(COUNTIFS(업무일지!$F$5:$F$1004,$O137,업무일지!$B$5:$B$1004,"&gt;="&amp;DATE($B$3,7,1),업무일지!$B$5:$B$1004,"&lt;"&amp;DATE($B$3,7+1,1),업무일지!$D$5:$D$1004,"분석")&gt;0,1,0))</f>
        <v/>
      </c>
      <c r="AI137">
        <f>IF($O137="",0,IF(COUNTIFS(업무일지!$F$5:$F$1004,$O137,업무일지!$B$5:$B$1004,"&gt;="&amp;DATE($B$3,8,1),업무일지!$B$5:$B$1004,"&lt;"&amp;DATE($B$3,8+1,1),업무일지!$D$5:$D$1004,"분석")&gt;0,1,0))</f>
        <v/>
      </c>
      <c r="AJ137">
        <f>IF($O137="",0,IF(COUNTIFS(업무일지!$F$5:$F$1004,$O137,업무일지!$B$5:$B$1004,"&gt;="&amp;DATE($B$3,9,1),업무일지!$B$5:$B$1004,"&lt;"&amp;DATE($B$3,9+1,1),업무일지!$D$5:$D$1004,"분석")&gt;0,1,0))</f>
        <v/>
      </c>
      <c r="AK137">
        <f>IF($O137="",0,IF(COUNTIFS(업무일지!$F$5:$F$1004,$O137,업무일지!$B$5:$B$1004,"&gt;="&amp;DATE($B$3,10,1),업무일지!$B$5:$B$1004,"&lt;"&amp;DATE($B$3,10+1,1),업무일지!$D$5:$D$1004,"분석")&gt;0,1,0))</f>
        <v/>
      </c>
      <c r="AL137">
        <f>IF($O137="",0,IF(COUNTIFS(업무일지!$F$5:$F$1004,$O137,업무일지!$B$5:$B$1004,"&gt;="&amp;DATE($B$3,11,1),업무일지!$B$5:$B$1004,"&lt;"&amp;DATE($B$3,11+1,1),업무일지!$D$5:$D$1004,"분석")&gt;0,1,0))</f>
        <v/>
      </c>
      <c r="AM137">
        <f>IF($O137="",0,IF(COUNTIFS(업무일지!$F$5:$F$1004,$O137,업무일지!$B$5:$B$1004,"&gt;="&amp;DATE($B$3,12,1),업무일지!$B$5:$B$1004,"&lt;"&amp;DATE($B$3,12+1,1),업무일지!$D$5:$D$1004,"분석")&gt;0,1,0))</f>
        <v/>
      </c>
      <c r="AN137">
        <f>IF($O137="",0,IF(COUNTIFS(업무일지!$F$5:$F$1004,$O137,업무일지!$B$5:$B$1004,"&gt;="&amp;DATE($B$3,1,1),업무일지!$B$5:$B$1004,"&lt;"&amp;DATE($B$3,1+1,1))&gt;0,1,0))</f>
        <v/>
      </c>
      <c r="AO137">
        <f>IF($O137="",0,IF(COUNTIFS(업무일지!$F$5:$F$1004,$O137,업무일지!$B$5:$B$1004,"&gt;="&amp;DATE($B$3,2,1),업무일지!$B$5:$B$1004,"&lt;"&amp;DATE($B$3,2+1,1))&gt;0,1,0))</f>
        <v/>
      </c>
      <c r="AP137">
        <f>IF($O137="",0,IF(COUNTIFS(업무일지!$F$5:$F$1004,$O137,업무일지!$B$5:$B$1004,"&gt;="&amp;DATE($B$3,3,1),업무일지!$B$5:$B$1004,"&lt;"&amp;DATE($B$3,3+1,1))&gt;0,1,0))</f>
        <v/>
      </c>
      <c r="AQ137">
        <f>IF($O137="",0,IF(COUNTIFS(업무일지!$F$5:$F$1004,$O137,업무일지!$B$5:$B$1004,"&gt;="&amp;DATE($B$3,4,1),업무일지!$B$5:$B$1004,"&lt;"&amp;DATE($B$3,4+1,1))&gt;0,1,0))</f>
        <v/>
      </c>
      <c r="AR137">
        <f>IF($O137="",0,IF(COUNTIFS(업무일지!$F$5:$F$1004,$O137,업무일지!$B$5:$B$1004,"&gt;="&amp;DATE($B$3,5,1),업무일지!$B$5:$B$1004,"&lt;"&amp;DATE($B$3,5+1,1))&gt;0,1,0))</f>
        <v/>
      </c>
      <c r="AS137">
        <f>IF($O137="",0,IF(COUNTIFS(업무일지!$F$5:$F$1004,$O137,업무일지!$B$5:$B$1004,"&gt;="&amp;DATE($B$3,6,1),업무일지!$B$5:$B$1004,"&lt;"&amp;DATE($B$3,6+1,1))&gt;0,1,0))</f>
        <v/>
      </c>
      <c r="AT137">
        <f>IF($O137="",0,IF(COUNTIFS(업무일지!$F$5:$F$1004,$O137,업무일지!$B$5:$B$1004,"&gt;="&amp;DATE($B$3,7,1),업무일지!$B$5:$B$1004,"&lt;"&amp;DATE($B$3,7+1,1))&gt;0,1,0))</f>
        <v/>
      </c>
      <c r="AU137">
        <f>IF($O137="",0,IF(COUNTIFS(업무일지!$F$5:$F$1004,$O137,업무일지!$B$5:$B$1004,"&gt;="&amp;DATE($B$3,8,1),업무일지!$B$5:$B$1004,"&lt;"&amp;DATE($B$3,8+1,1))&gt;0,1,0))</f>
        <v/>
      </c>
      <c r="AV137">
        <f>IF($O137="",0,IF(COUNTIFS(업무일지!$F$5:$F$1004,$O137,업무일지!$B$5:$B$1004,"&gt;="&amp;DATE($B$3,9,1),업무일지!$B$5:$B$1004,"&lt;"&amp;DATE($B$3,9+1,1))&gt;0,1,0))</f>
        <v/>
      </c>
      <c r="AW137">
        <f>IF($O137="",0,IF(COUNTIFS(업무일지!$F$5:$F$1004,$O137,업무일지!$B$5:$B$1004,"&gt;="&amp;DATE($B$3,10,1),업무일지!$B$5:$B$1004,"&lt;"&amp;DATE($B$3,10+1,1))&gt;0,1,0))</f>
        <v/>
      </c>
      <c r="AX137">
        <f>IF($O137="",0,IF(COUNTIFS(업무일지!$F$5:$F$1004,$O137,업무일지!$B$5:$B$1004,"&gt;="&amp;DATE($B$3,11,1),업무일지!$B$5:$B$1004,"&lt;"&amp;DATE($B$3,11+1,1))&gt;0,1,0))</f>
        <v/>
      </c>
      <c r="AY137">
        <f>IF($O137="",0,IF(COUNTIFS(업무일지!$F$5:$F$1004,$O137,업무일지!$B$5:$B$1004,"&gt;="&amp;DATE($B$3,12,1),업무일지!$B$5:$B$1004,"&lt;"&amp;DATE($B$3,12+1,1))&gt;0,1,0))</f>
        <v/>
      </c>
      <c r="AZ137">
        <f>IF($O137="",0,IF(COUNTIFS(업무일지!$F$5:$F$1004,$O137,업무일지!$B$5:$B$1004,"&gt;="&amp;DATE($B$3,1,1),업무일지!$B$5:$B$1004,"&lt;"&amp;DATE($B$3+1,1,1),업무일지!$D$5:$D$1004,"출장")&gt;0,1,0))</f>
        <v/>
      </c>
      <c r="BA137">
        <f>IF($O137="",0,IF(COUNTIFS(업무일지!$F$5:$F$1004,$O137,업무일지!$B$5:$B$1004,"&gt;="&amp;DATE($B$3,1,1),업무일지!$B$5:$B$1004,"&lt;"&amp;DATE($B$3+1,1,1),업무일지!$D$5:$D$1004,"분석")&gt;0,1,0))</f>
        <v/>
      </c>
      <c r="BB137">
        <f>IF($O137="",0,IF(COUNTIFS(업무일지!$F$5:$F$1004,$O137,업무일지!$B$5:$B$1004,"&gt;="&amp;DATE($B$3,1,1),업무일지!$B$5:$B$1004,"&lt;"&amp;DATE($B$3+1,1,1))&gt;0,1,0))</f>
        <v/>
      </c>
      <c r="BD137">
        <f>IF($O137="",0,IF(COUNTIFS(업무일지!$F$5:$F$1004,$O137,업무일지!$B$5:$B$1004,"&gt;="&amp;DATE($B$3,1,1),업무일지!$B$5:$B$1004,"&lt;"&amp;DATE($B$3+1,1,1),업무일지!$AB$5:$AB$1004,$A$44,업무일지!$D$5:$D$1004,"출장")&gt;0,1,0))</f>
        <v/>
      </c>
      <c r="BE137">
        <f>IF($O137="",0,IF(COUNTIFS(업무일지!$F$5:$F$1004,$O137,업무일지!$B$5:$B$1004,"&gt;="&amp;DATE($B$3,1,1),업무일지!$B$5:$B$1004,"&lt;"&amp;DATE($B$3+1,1,1),업무일지!$AB$5:$AB$1004,$A$45,업무일지!$D$5:$D$1004,"출장")&gt;0,1,0))</f>
        <v/>
      </c>
      <c r="BF137">
        <f>IF($O137="",0,IF(COUNTIFS(업무일지!$F$5:$F$1004,$O137,업무일지!$B$5:$B$1004,"&gt;="&amp;DATE($B$3,1,1),업무일지!$B$5:$B$1004,"&lt;"&amp;DATE($B$3+1,1,1),업무일지!$AB$5:$AB$1004,$A$46,업무일지!$D$5:$D$1004,"출장")&gt;0,1,0))</f>
        <v/>
      </c>
      <c r="BG137">
        <f>IF($O137="",0,IF(COUNTIFS(업무일지!$F$5:$F$1004,$O137,업무일지!$B$5:$B$1004,"&gt;="&amp;DATE($B$3,1,1),업무일지!$B$5:$B$1004,"&lt;"&amp;DATE($B$3+1,1,1),업무일지!$AB$5:$AB$1004,$A$47,업무일지!$D$5:$D$1004,"출장")&gt;0,1,0))</f>
        <v/>
      </c>
      <c r="BH137">
        <f>IF($O137="",0,IF(COUNTIFS(업무일지!$F$5:$F$1004,$O137,업무일지!$B$5:$B$1004,"&gt;="&amp;DATE($B$3,1,1),업무일지!$B$5:$B$1004,"&lt;"&amp;DATE($B$3+1,1,1),업무일지!$AB$5:$AB$1004,$A$48,업무일지!$D$5:$D$1004,"출장")&gt;0,1,0))</f>
        <v/>
      </c>
      <c r="BI137">
        <f>IF($O137="",0,IF(COUNTIFS(업무일지!$F$5:$F$1004,$O137,업무일지!$B$5:$B$1004,"&gt;="&amp;DATE($B$3,1,1),업무일지!$B$5:$B$1004,"&lt;"&amp;DATE($B$3+1,1,1),업무일지!$AB$5:$AB$1004,$A$49,업무일지!$D$5:$D$1004,"출장")&gt;0,1,0))</f>
        <v/>
      </c>
      <c r="BJ137">
        <f>IF($O137="",0,IF(COUNTIFS(업무일지!$F$5:$F$1004,$O137,업무일지!$B$5:$B$1004,"&gt;="&amp;DATE($B$3,1,1),업무일지!$B$5:$B$1004,"&lt;"&amp;DATE($B$3+1,1,1),업무일지!$AB$5:$AB$1004,$A$50,업무일지!$D$5:$D$1004,"출장")&gt;0,1,0))</f>
        <v/>
      </c>
      <c r="BK137">
        <f>IF($O137="",0,IF(COUNTIFS(업무일지!$F$5:$F$1004,$O137,업무일지!$B$5:$B$1004,"&gt;="&amp;DATE($B$3,1,1),업무일지!$B$5:$B$1004,"&lt;"&amp;DATE($B$3+1,1,1),업무일지!$AB$5:$AB$1004,$A$51,업무일지!$D$5:$D$1004,"출장")&gt;0,1,0))</f>
        <v/>
      </c>
      <c r="BL137">
        <f>IF($O137="",0,IF(COUNTIFS(업무일지!$F$5:$F$1004,$O137,업무일지!$B$5:$B$1004,"&gt;="&amp;DATE($B$3,1,1),업무일지!$B$5:$B$1004,"&lt;"&amp;DATE($B$3+1,1,1),업무일지!$AB$5:$AB$1004,$A$52,업무일지!$D$5:$D$1004,"출장")&gt;0,1,0))</f>
        <v/>
      </c>
      <c r="BM137">
        <f>IF($O137="",0,IF(COUNTIFS(업무일지!$F$5:$F$1004,$O137,업무일지!$B$5:$B$1004,"&gt;="&amp;DATE($B$3,1,1),업무일지!$B$5:$B$1004,"&lt;"&amp;DATE($B$3+1,1,1),업무일지!$AB$5:$AB$1004,$A$53,업무일지!$D$5:$D$1004,"출장")&gt;0,1,0))</f>
        <v/>
      </c>
      <c r="BO137">
        <f>IF($O137="",0,IF(COUNTIFS(업무일지!$F$5:$F$1004,$O137,업무일지!$B$5:$B$1004,"&gt;="&amp;DATE($B$3,1,1),업무일지!$B$5:$B$1004,"&lt;"&amp;DATE($B$3+1,1,1),업무일지!$AB$5:$AB$1004,$A$44,업무일지!$D$5:$D$1004,"분석")&gt;0,1,0))</f>
        <v/>
      </c>
      <c r="BP137">
        <f>IF($O137="",0,IF(COUNTIFS(업무일지!$F$5:$F$1004,$O137,업무일지!$B$5:$B$1004,"&gt;="&amp;DATE($B$3,1,1),업무일지!$B$5:$B$1004,"&lt;"&amp;DATE($B$3+1,1,1),업무일지!$AB$5:$AB$1004,$A$45,업무일지!$D$5:$D$1004,"분석")&gt;0,1,0))</f>
        <v/>
      </c>
      <c r="BQ137">
        <f>IF($O137="",0,IF(COUNTIFS(업무일지!$F$5:$F$1004,$O137,업무일지!$B$5:$B$1004,"&gt;="&amp;DATE($B$3,1,1),업무일지!$B$5:$B$1004,"&lt;"&amp;DATE($B$3+1,1,1),업무일지!$AB$5:$AB$1004,$A$46,업무일지!$D$5:$D$1004,"분석")&gt;0,1,0))</f>
        <v/>
      </c>
      <c r="BR137">
        <f>IF($O137="",0,IF(COUNTIFS(업무일지!$F$5:$F$1004,$O137,업무일지!$B$5:$B$1004,"&gt;="&amp;DATE($B$3,1,1),업무일지!$B$5:$B$1004,"&lt;"&amp;DATE($B$3+1,1,1),업무일지!$AB$5:$AB$1004,$A$47,업무일지!$D$5:$D$1004,"분석")&gt;0,1,0))</f>
        <v/>
      </c>
      <c r="BS137">
        <f>IF($O137="",0,IF(COUNTIFS(업무일지!$F$5:$F$1004,$O137,업무일지!$B$5:$B$1004,"&gt;="&amp;DATE($B$3,1,1),업무일지!$B$5:$B$1004,"&lt;"&amp;DATE($B$3+1,1,1),업무일지!$AB$5:$AB$1004,$A$48,업무일지!$D$5:$D$1004,"분석")&gt;0,1,0))</f>
        <v/>
      </c>
      <c r="BT137">
        <f>IF($O137="",0,IF(COUNTIFS(업무일지!$F$5:$F$1004,$O137,업무일지!$B$5:$B$1004,"&gt;="&amp;DATE($B$3,1,1),업무일지!$B$5:$B$1004,"&lt;"&amp;DATE($B$3+1,1,1),업무일지!$AB$5:$AB$1004,$A$49,업무일지!$D$5:$D$1004,"분석")&gt;0,1,0))</f>
        <v/>
      </c>
      <c r="BU137">
        <f>IF($O137="",0,IF(COUNTIFS(업무일지!$F$5:$F$1004,$O137,업무일지!$B$5:$B$1004,"&gt;="&amp;DATE($B$3,1,1),업무일지!$B$5:$B$1004,"&lt;"&amp;DATE($B$3+1,1,1),업무일지!$AB$5:$AB$1004,$A$50,업무일지!$D$5:$D$1004,"분석")&gt;0,1,0))</f>
        <v/>
      </c>
      <c r="BV137">
        <f>IF($O137="",0,IF(COUNTIFS(업무일지!$F$5:$F$1004,$O137,업무일지!$B$5:$B$1004,"&gt;="&amp;DATE($B$3,1,1),업무일지!$B$5:$B$1004,"&lt;"&amp;DATE($B$3+1,1,1),업무일지!$AB$5:$AB$1004,$A$51,업무일지!$D$5:$D$1004,"분석")&gt;0,1,0))</f>
        <v/>
      </c>
      <c r="BW137">
        <f>IF($O137="",0,IF(COUNTIFS(업무일지!$F$5:$F$1004,$O137,업무일지!$B$5:$B$1004,"&gt;="&amp;DATE($B$3,1,1),업무일지!$B$5:$B$1004,"&lt;"&amp;DATE($B$3+1,1,1),업무일지!$AB$5:$AB$1004,$A$52,업무일지!$D$5:$D$1004,"분석")&gt;0,1,0))</f>
        <v/>
      </c>
      <c r="BX137">
        <f>IF($O137="",0,IF(COUNTIFS(업무일지!$F$5:$F$1004,$O137,업무일지!$B$5:$B$1004,"&gt;="&amp;DATE($B$3,1,1),업무일지!$B$5:$B$1004,"&lt;"&amp;DATE($B$3+1,1,1),업무일지!$AB$5:$AB$1004,$A$53,업무일지!$D$5:$D$1004,"분석")&gt;0,1,0))</f>
        <v/>
      </c>
      <c r="BZ137">
        <f>IF($O137="",0,IF(COUNTIFS(업무일지!$F$5:$F$1004,$O137,업무일지!$B$5:$B$1004,"&gt;="&amp;DATE($B$3,1,1),업무일지!$B$5:$B$1004,"&lt;"&amp;DATE($B$3+1,1,1),업무일지!$AB$5:$AB$1004,$A$44)&gt;0,1,0))</f>
        <v/>
      </c>
      <c r="CA137">
        <f>IF($O137="",0,IF(COUNTIFS(업무일지!$F$5:$F$1004,$O137,업무일지!$B$5:$B$1004,"&gt;="&amp;DATE($B$3,1,1),업무일지!$B$5:$B$1004,"&lt;"&amp;DATE($B$3+1,1,1),업무일지!$AB$5:$AB$1004,$A$45)&gt;0,1,0))</f>
        <v/>
      </c>
      <c r="CB137">
        <f>IF($O137="",0,IF(COUNTIFS(업무일지!$F$5:$F$1004,$O137,업무일지!$B$5:$B$1004,"&gt;="&amp;DATE($B$3,1,1),업무일지!$B$5:$B$1004,"&lt;"&amp;DATE($B$3+1,1,1),업무일지!$AB$5:$AB$1004,$A$46)&gt;0,1,0))</f>
        <v/>
      </c>
      <c r="CC137">
        <f>IF($O137="",0,IF(COUNTIFS(업무일지!$F$5:$F$1004,$O137,업무일지!$B$5:$B$1004,"&gt;="&amp;DATE($B$3,1,1),업무일지!$B$5:$B$1004,"&lt;"&amp;DATE($B$3+1,1,1),업무일지!$AB$5:$AB$1004,$A$47)&gt;0,1,0))</f>
        <v/>
      </c>
      <c r="CD137">
        <f>IF($O137="",0,IF(COUNTIFS(업무일지!$F$5:$F$1004,$O137,업무일지!$B$5:$B$1004,"&gt;="&amp;DATE($B$3,1,1),업무일지!$B$5:$B$1004,"&lt;"&amp;DATE($B$3+1,1,1),업무일지!$AB$5:$AB$1004,$A$48)&gt;0,1,0))</f>
        <v/>
      </c>
      <c r="CE137">
        <f>IF($O137="",0,IF(COUNTIFS(업무일지!$F$5:$F$1004,$O137,업무일지!$B$5:$B$1004,"&gt;="&amp;DATE($B$3,1,1),업무일지!$B$5:$B$1004,"&lt;"&amp;DATE($B$3+1,1,1),업무일지!$AB$5:$AB$1004,$A$49)&gt;0,1,0))</f>
        <v/>
      </c>
      <c r="CF137">
        <f>IF($O137="",0,IF(COUNTIFS(업무일지!$F$5:$F$1004,$O137,업무일지!$B$5:$B$1004,"&gt;="&amp;DATE($B$3,1,1),업무일지!$B$5:$B$1004,"&lt;"&amp;DATE($B$3+1,1,1),업무일지!$AB$5:$AB$1004,$A$50)&gt;0,1,0))</f>
        <v/>
      </c>
      <c r="CG137">
        <f>IF($O137="",0,IF(COUNTIFS(업무일지!$F$5:$F$1004,$O137,업무일지!$B$5:$B$1004,"&gt;="&amp;DATE($B$3,1,1),업무일지!$B$5:$B$1004,"&lt;"&amp;DATE($B$3+1,1,1),업무일지!$AB$5:$AB$1004,$A$51)&gt;0,1,0))</f>
        <v/>
      </c>
      <c r="CH137">
        <f>IF($O137="",0,IF(COUNTIFS(업무일지!$F$5:$F$1004,$O137,업무일지!$B$5:$B$1004,"&gt;="&amp;DATE($B$3,1,1),업무일지!$B$5:$B$1004,"&lt;"&amp;DATE($B$3+1,1,1),업무일지!$AB$5:$AB$1004,$A$52)&gt;0,1,0))</f>
        <v/>
      </c>
      <c r="CI137">
        <f>IF($O137="",0,IF(COUNTIFS(업무일지!$F$5:$F$1004,$O137,업무일지!$B$5:$B$1004,"&gt;="&amp;DATE($B$3,1,1),업무일지!$B$5:$B$1004,"&lt;"&amp;DATE($B$3+1,1,1),업무일지!$AB$5:$AB$1004,$A$53)&gt;0,1,0))</f>
        <v/>
      </c>
    </row>
    <row r="138">
      <c r="O138">
        <f>IF(사건마스터!$A58="","",사건마스터!$A58)</f>
        <v/>
      </c>
      <c r="P138">
        <f>IF($O138="",0,IF(COUNTIFS(업무일지!$F$5:$F$1004,$O138,업무일지!$B$5:$B$1004,"&gt;="&amp;DATE($B$3,1,1),업무일지!$B$5:$B$1004,"&lt;"&amp;DATE($B$3,1+1,1),업무일지!$D$5:$D$1004,"출장")&gt;0,1,0))</f>
        <v/>
      </c>
      <c r="Q138">
        <f>IF($O138="",0,IF(COUNTIFS(업무일지!$F$5:$F$1004,$O138,업무일지!$B$5:$B$1004,"&gt;="&amp;DATE($B$3,2,1),업무일지!$B$5:$B$1004,"&lt;"&amp;DATE($B$3,2+1,1),업무일지!$D$5:$D$1004,"출장")&gt;0,1,0))</f>
        <v/>
      </c>
      <c r="R138">
        <f>IF($O138="",0,IF(COUNTIFS(업무일지!$F$5:$F$1004,$O138,업무일지!$B$5:$B$1004,"&gt;="&amp;DATE($B$3,3,1),업무일지!$B$5:$B$1004,"&lt;"&amp;DATE($B$3,3+1,1),업무일지!$D$5:$D$1004,"출장")&gt;0,1,0))</f>
        <v/>
      </c>
      <c r="S138">
        <f>IF($O138="",0,IF(COUNTIFS(업무일지!$F$5:$F$1004,$O138,업무일지!$B$5:$B$1004,"&gt;="&amp;DATE($B$3,4,1),업무일지!$B$5:$B$1004,"&lt;"&amp;DATE($B$3,4+1,1),업무일지!$D$5:$D$1004,"출장")&gt;0,1,0))</f>
        <v/>
      </c>
      <c r="T138">
        <f>IF($O138="",0,IF(COUNTIFS(업무일지!$F$5:$F$1004,$O138,업무일지!$B$5:$B$1004,"&gt;="&amp;DATE($B$3,5,1),업무일지!$B$5:$B$1004,"&lt;"&amp;DATE($B$3,5+1,1),업무일지!$D$5:$D$1004,"출장")&gt;0,1,0))</f>
        <v/>
      </c>
      <c r="U138">
        <f>IF($O138="",0,IF(COUNTIFS(업무일지!$F$5:$F$1004,$O138,업무일지!$B$5:$B$1004,"&gt;="&amp;DATE($B$3,6,1),업무일지!$B$5:$B$1004,"&lt;"&amp;DATE($B$3,6+1,1),업무일지!$D$5:$D$1004,"출장")&gt;0,1,0))</f>
        <v/>
      </c>
      <c r="V138">
        <f>IF($O138="",0,IF(COUNTIFS(업무일지!$F$5:$F$1004,$O138,업무일지!$B$5:$B$1004,"&gt;="&amp;DATE($B$3,7,1),업무일지!$B$5:$B$1004,"&lt;"&amp;DATE($B$3,7+1,1),업무일지!$D$5:$D$1004,"출장")&gt;0,1,0))</f>
        <v/>
      </c>
      <c r="W138">
        <f>IF($O138="",0,IF(COUNTIFS(업무일지!$F$5:$F$1004,$O138,업무일지!$B$5:$B$1004,"&gt;="&amp;DATE($B$3,8,1),업무일지!$B$5:$B$1004,"&lt;"&amp;DATE($B$3,8+1,1),업무일지!$D$5:$D$1004,"출장")&gt;0,1,0))</f>
        <v/>
      </c>
      <c r="X138">
        <f>IF($O138="",0,IF(COUNTIFS(업무일지!$F$5:$F$1004,$O138,업무일지!$B$5:$B$1004,"&gt;="&amp;DATE($B$3,9,1),업무일지!$B$5:$B$1004,"&lt;"&amp;DATE($B$3,9+1,1),업무일지!$D$5:$D$1004,"출장")&gt;0,1,0))</f>
        <v/>
      </c>
      <c r="Y138">
        <f>IF($O138="",0,IF(COUNTIFS(업무일지!$F$5:$F$1004,$O138,업무일지!$B$5:$B$1004,"&gt;="&amp;DATE($B$3,10,1),업무일지!$B$5:$B$1004,"&lt;"&amp;DATE($B$3,10+1,1),업무일지!$D$5:$D$1004,"출장")&gt;0,1,0))</f>
        <v/>
      </c>
      <c r="Z138">
        <f>IF($O138="",0,IF(COUNTIFS(업무일지!$F$5:$F$1004,$O138,업무일지!$B$5:$B$1004,"&gt;="&amp;DATE($B$3,11,1),업무일지!$B$5:$B$1004,"&lt;"&amp;DATE($B$3,11+1,1),업무일지!$D$5:$D$1004,"출장")&gt;0,1,0))</f>
        <v/>
      </c>
      <c r="AA138">
        <f>IF($O138="",0,IF(COUNTIFS(업무일지!$F$5:$F$1004,$O138,업무일지!$B$5:$B$1004,"&gt;="&amp;DATE($B$3,12,1),업무일지!$B$5:$B$1004,"&lt;"&amp;DATE($B$3,12+1,1),업무일지!$D$5:$D$1004,"출장")&gt;0,1,0))</f>
        <v/>
      </c>
      <c r="AB138">
        <f>IF($O138="",0,IF(COUNTIFS(업무일지!$F$5:$F$1004,$O138,업무일지!$B$5:$B$1004,"&gt;="&amp;DATE($B$3,1,1),업무일지!$B$5:$B$1004,"&lt;"&amp;DATE($B$3,1+1,1),업무일지!$D$5:$D$1004,"분석")&gt;0,1,0))</f>
        <v/>
      </c>
      <c r="AC138">
        <f>IF($O138="",0,IF(COUNTIFS(업무일지!$F$5:$F$1004,$O138,업무일지!$B$5:$B$1004,"&gt;="&amp;DATE($B$3,2,1),업무일지!$B$5:$B$1004,"&lt;"&amp;DATE($B$3,2+1,1),업무일지!$D$5:$D$1004,"분석")&gt;0,1,0))</f>
        <v/>
      </c>
      <c r="AD138">
        <f>IF($O138="",0,IF(COUNTIFS(업무일지!$F$5:$F$1004,$O138,업무일지!$B$5:$B$1004,"&gt;="&amp;DATE($B$3,3,1),업무일지!$B$5:$B$1004,"&lt;"&amp;DATE($B$3,3+1,1),업무일지!$D$5:$D$1004,"분석")&gt;0,1,0))</f>
        <v/>
      </c>
      <c r="AE138">
        <f>IF($O138="",0,IF(COUNTIFS(업무일지!$F$5:$F$1004,$O138,업무일지!$B$5:$B$1004,"&gt;="&amp;DATE($B$3,4,1),업무일지!$B$5:$B$1004,"&lt;"&amp;DATE($B$3,4+1,1),업무일지!$D$5:$D$1004,"분석")&gt;0,1,0))</f>
        <v/>
      </c>
      <c r="AF138">
        <f>IF($O138="",0,IF(COUNTIFS(업무일지!$F$5:$F$1004,$O138,업무일지!$B$5:$B$1004,"&gt;="&amp;DATE($B$3,5,1),업무일지!$B$5:$B$1004,"&lt;"&amp;DATE($B$3,5+1,1),업무일지!$D$5:$D$1004,"분석")&gt;0,1,0))</f>
        <v/>
      </c>
      <c r="AG138">
        <f>IF($O138="",0,IF(COUNTIFS(업무일지!$F$5:$F$1004,$O138,업무일지!$B$5:$B$1004,"&gt;="&amp;DATE($B$3,6,1),업무일지!$B$5:$B$1004,"&lt;"&amp;DATE($B$3,6+1,1),업무일지!$D$5:$D$1004,"분석")&gt;0,1,0))</f>
        <v/>
      </c>
      <c r="AH138">
        <f>IF($O138="",0,IF(COUNTIFS(업무일지!$F$5:$F$1004,$O138,업무일지!$B$5:$B$1004,"&gt;="&amp;DATE($B$3,7,1),업무일지!$B$5:$B$1004,"&lt;"&amp;DATE($B$3,7+1,1),업무일지!$D$5:$D$1004,"분석")&gt;0,1,0))</f>
        <v/>
      </c>
      <c r="AI138">
        <f>IF($O138="",0,IF(COUNTIFS(업무일지!$F$5:$F$1004,$O138,업무일지!$B$5:$B$1004,"&gt;="&amp;DATE($B$3,8,1),업무일지!$B$5:$B$1004,"&lt;"&amp;DATE($B$3,8+1,1),업무일지!$D$5:$D$1004,"분석")&gt;0,1,0))</f>
        <v/>
      </c>
      <c r="AJ138">
        <f>IF($O138="",0,IF(COUNTIFS(업무일지!$F$5:$F$1004,$O138,업무일지!$B$5:$B$1004,"&gt;="&amp;DATE($B$3,9,1),업무일지!$B$5:$B$1004,"&lt;"&amp;DATE($B$3,9+1,1),업무일지!$D$5:$D$1004,"분석")&gt;0,1,0))</f>
        <v/>
      </c>
      <c r="AK138">
        <f>IF($O138="",0,IF(COUNTIFS(업무일지!$F$5:$F$1004,$O138,업무일지!$B$5:$B$1004,"&gt;="&amp;DATE($B$3,10,1),업무일지!$B$5:$B$1004,"&lt;"&amp;DATE($B$3,10+1,1),업무일지!$D$5:$D$1004,"분석")&gt;0,1,0))</f>
        <v/>
      </c>
      <c r="AL138">
        <f>IF($O138="",0,IF(COUNTIFS(업무일지!$F$5:$F$1004,$O138,업무일지!$B$5:$B$1004,"&gt;="&amp;DATE($B$3,11,1),업무일지!$B$5:$B$1004,"&lt;"&amp;DATE($B$3,11+1,1),업무일지!$D$5:$D$1004,"분석")&gt;0,1,0))</f>
        <v/>
      </c>
      <c r="AM138">
        <f>IF($O138="",0,IF(COUNTIFS(업무일지!$F$5:$F$1004,$O138,업무일지!$B$5:$B$1004,"&gt;="&amp;DATE($B$3,12,1),업무일지!$B$5:$B$1004,"&lt;"&amp;DATE($B$3,12+1,1),업무일지!$D$5:$D$1004,"분석")&gt;0,1,0))</f>
        <v/>
      </c>
      <c r="AN138">
        <f>IF($O138="",0,IF(COUNTIFS(업무일지!$F$5:$F$1004,$O138,업무일지!$B$5:$B$1004,"&gt;="&amp;DATE($B$3,1,1),업무일지!$B$5:$B$1004,"&lt;"&amp;DATE($B$3,1+1,1))&gt;0,1,0))</f>
        <v/>
      </c>
      <c r="AO138">
        <f>IF($O138="",0,IF(COUNTIFS(업무일지!$F$5:$F$1004,$O138,업무일지!$B$5:$B$1004,"&gt;="&amp;DATE($B$3,2,1),업무일지!$B$5:$B$1004,"&lt;"&amp;DATE($B$3,2+1,1))&gt;0,1,0))</f>
        <v/>
      </c>
      <c r="AP138">
        <f>IF($O138="",0,IF(COUNTIFS(업무일지!$F$5:$F$1004,$O138,업무일지!$B$5:$B$1004,"&gt;="&amp;DATE($B$3,3,1),업무일지!$B$5:$B$1004,"&lt;"&amp;DATE($B$3,3+1,1))&gt;0,1,0))</f>
        <v/>
      </c>
      <c r="AQ138">
        <f>IF($O138="",0,IF(COUNTIFS(업무일지!$F$5:$F$1004,$O138,업무일지!$B$5:$B$1004,"&gt;="&amp;DATE($B$3,4,1),업무일지!$B$5:$B$1004,"&lt;"&amp;DATE($B$3,4+1,1))&gt;0,1,0))</f>
        <v/>
      </c>
      <c r="AR138">
        <f>IF($O138="",0,IF(COUNTIFS(업무일지!$F$5:$F$1004,$O138,업무일지!$B$5:$B$1004,"&gt;="&amp;DATE($B$3,5,1),업무일지!$B$5:$B$1004,"&lt;"&amp;DATE($B$3,5+1,1))&gt;0,1,0))</f>
        <v/>
      </c>
      <c r="AS138">
        <f>IF($O138="",0,IF(COUNTIFS(업무일지!$F$5:$F$1004,$O138,업무일지!$B$5:$B$1004,"&gt;="&amp;DATE($B$3,6,1),업무일지!$B$5:$B$1004,"&lt;"&amp;DATE($B$3,6+1,1))&gt;0,1,0))</f>
        <v/>
      </c>
      <c r="AT138">
        <f>IF($O138="",0,IF(COUNTIFS(업무일지!$F$5:$F$1004,$O138,업무일지!$B$5:$B$1004,"&gt;="&amp;DATE($B$3,7,1),업무일지!$B$5:$B$1004,"&lt;"&amp;DATE($B$3,7+1,1))&gt;0,1,0))</f>
        <v/>
      </c>
      <c r="AU138">
        <f>IF($O138="",0,IF(COUNTIFS(업무일지!$F$5:$F$1004,$O138,업무일지!$B$5:$B$1004,"&gt;="&amp;DATE($B$3,8,1),업무일지!$B$5:$B$1004,"&lt;"&amp;DATE($B$3,8+1,1))&gt;0,1,0))</f>
        <v/>
      </c>
      <c r="AV138">
        <f>IF($O138="",0,IF(COUNTIFS(업무일지!$F$5:$F$1004,$O138,업무일지!$B$5:$B$1004,"&gt;="&amp;DATE($B$3,9,1),업무일지!$B$5:$B$1004,"&lt;"&amp;DATE($B$3,9+1,1))&gt;0,1,0))</f>
        <v/>
      </c>
      <c r="AW138">
        <f>IF($O138="",0,IF(COUNTIFS(업무일지!$F$5:$F$1004,$O138,업무일지!$B$5:$B$1004,"&gt;="&amp;DATE($B$3,10,1),업무일지!$B$5:$B$1004,"&lt;"&amp;DATE($B$3,10+1,1))&gt;0,1,0))</f>
        <v/>
      </c>
      <c r="AX138">
        <f>IF($O138="",0,IF(COUNTIFS(업무일지!$F$5:$F$1004,$O138,업무일지!$B$5:$B$1004,"&gt;="&amp;DATE($B$3,11,1),업무일지!$B$5:$B$1004,"&lt;"&amp;DATE($B$3,11+1,1))&gt;0,1,0))</f>
        <v/>
      </c>
      <c r="AY138">
        <f>IF($O138="",0,IF(COUNTIFS(업무일지!$F$5:$F$1004,$O138,업무일지!$B$5:$B$1004,"&gt;="&amp;DATE($B$3,12,1),업무일지!$B$5:$B$1004,"&lt;"&amp;DATE($B$3,12+1,1))&gt;0,1,0))</f>
        <v/>
      </c>
      <c r="AZ138">
        <f>IF($O138="",0,IF(COUNTIFS(업무일지!$F$5:$F$1004,$O138,업무일지!$B$5:$B$1004,"&gt;="&amp;DATE($B$3,1,1),업무일지!$B$5:$B$1004,"&lt;"&amp;DATE($B$3+1,1,1),업무일지!$D$5:$D$1004,"출장")&gt;0,1,0))</f>
        <v/>
      </c>
      <c r="BA138">
        <f>IF($O138="",0,IF(COUNTIFS(업무일지!$F$5:$F$1004,$O138,업무일지!$B$5:$B$1004,"&gt;="&amp;DATE($B$3,1,1),업무일지!$B$5:$B$1004,"&lt;"&amp;DATE($B$3+1,1,1),업무일지!$D$5:$D$1004,"분석")&gt;0,1,0))</f>
        <v/>
      </c>
      <c r="BB138">
        <f>IF($O138="",0,IF(COUNTIFS(업무일지!$F$5:$F$1004,$O138,업무일지!$B$5:$B$1004,"&gt;="&amp;DATE($B$3,1,1),업무일지!$B$5:$B$1004,"&lt;"&amp;DATE($B$3+1,1,1))&gt;0,1,0))</f>
        <v/>
      </c>
      <c r="BD138">
        <f>IF($O138="",0,IF(COUNTIFS(업무일지!$F$5:$F$1004,$O138,업무일지!$B$5:$B$1004,"&gt;="&amp;DATE($B$3,1,1),업무일지!$B$5:$B$1004,"&lt;"&amp;DATE($B$3+1,1,1),업무일지!$AB$5:$AB$1004,$A$44,업무일지!$D$5:$D$1004,"출장")&gt;0,1,0))</f>
        <v/>
      </c>
      <c r="BE138">
        <f>IF($O138="",0,IF(COUNTIFS(업무일지!$F$5:$F$1004,$O138,업무일지!$B$5:$B$1004,"&gt;="&amp;DATE($B$3,1,1),업무일지!$B$5:$B$1004,"&lt;"&amp;DATE($B$3+1,1,1),업무일지!$AB$5:$AB$1004,$A$45,업무일지!$D$5:$D$1004,"출장")&gt;0,1,0))</f>
        <v/>
      </c>
      <c r="BF138">
        <f>IF($O138="",0,IF(COUNTIFS(업무일지!$F$5:$F$1004,$O138,업무일지!$B$5:$B$1004,"&gt;="&amp;DATE($B$3,1,1),업무일지!$B$5:$B$1004,"&lt;"&amp;DATE($B$3+1,1,1),업무일지!$AB$5:$AB$1004,$A$46,업무일지!$D$5:$D$1004,"출장")&gt;0,1,0))</f>
        <v/>
      </c>
      <c r="BG138">
        <f>IF($O138="",0,IF(COUNTIFS(업무일지!$F$5:$F$1004,$O138,업무일지!$B$5:$B$1004,"&gt;="&amp;DATE($B$3,1,1),업무일지!$B$5:$B$1004,"&lt;"&amp;DATE($B$3+1,1,1),업무일지!$AB$5:$AB$1004,$A$47,업무일지!$D$5:$D$1004,"출장")&gt;0,1,0))</f>
        <v/>
      </c>
      <c r="BH138">
        <f>IF($O138="",0,IF(COUNTIFS(업무일지!$F$5:$F$1004,$O138,업무일지!$B$5:$B$1004,"&gt;="&amp;DATE($B$3,1,1),업무일지!$B$5:$B$1004,"&lt;"&amp;DATE($B$3+1,1,1),업무일지!$AB$5:$AB$1004,$A$48,업무일지!$D$5:$D$1004,"출장")&gt;0,1,0))</f>
        <v/>
      </c>
      <c r="BI138">
        <f>IF($O138="",0,IF(COUNTIFS(업무일지!$F$5:$F$1004,$O138,업무일지!$B$5:$B$1004,"&gt;="&amp;DATE($B$3,1,1),업무일지!$B$5:$B$1004,"&lt;"&amp;DATE($B$3+1,1,1),업무일지!$AB$5:$AB$1004,$A$49,업무일지!$D$5:$D$1004,"출장")&gt;0,1,0))</f>
        <v/>
      </c>
      <c r="BJ138">
        <f>IF($O138="",0,IF(COUNTIFS(업무일지!$F$5:$F$1004,$O138,업무일지!$B$5:$B$1004,"&gt;="&amp;DATE($B$3,1,1),업무일지!$B$5:$B$1004,"&lt;"&amp;DATE($B$3+1,1,1),업무일지!$AB$5:$AB$1004,$A$50,업무일지!$D$5:$D$1004,"출장")&gt;0,1,0))</f>
        <v/>
      </c>
      <c r="BK138">
        <f>IF($O138="",0,IF(COUNTIFS(업무일지!$F$5:$F$1004,$O138,업무일지!$B$5:$B$1004,"&gt;="&amp;DATE($B$3,1,1),업무일지!$B$5:$B$1004,"&lt;"&amp;DATE($B$3+1,1,1),업무일지!$AB$5:$AB$1004,$A$51,업무일지!$D$5:$D$1004,"출장")&gt;0,1,0))</f>
        <v/>
      </c>
      <c r="BL138">
        <f>IF($O138="",0,IF(COUNTIFS(업무일지!$F$5:$F$1004,$O138,업무일지!$B$5:$B$1004,"&gt;="&amp;DATE($B$3,1,1),업무일지!$B$5:$B$1004,"&lt;"&amp;DATE($B$3+1,1,1),업무일지!$AB$5:$AB$1004,$A$52,업무일지!$D$5:$D$1004,"출장")&gt;0,1,0))</f>
        <v/>
      </c>
      <c r="BM138">
        <f>IF($O138="",0,IF(COUNTIFS(업무일지!$F$5:$F$1004,$O138,업무일지!$B$5:$B$1004,"&gt;="&amp;DATE($B$3,1,1),업무일지!$B$5:$B$1004,"&lt;"&amp;DATE($B$3+1,1,1),업무일지!$AB$5:$AB$1004,$A$53,업무일지!$D$5:$D$1004,"출장")&gt;0,1,0))</f>
        <v/>
      </c>
      <c r="BO138">
        <f>IF($O138="",0,IF(COUNTIFS(업무일지!$F$5:$F$1004,$O138,업무일지!$B$5:$B$1004,"&gt;="&amp;DATE($B$3,1,1),업무일지!$B$5:$B$1004,"&lt;"&amp;DATE($B$3+1,1,1),업무일지!$AB$5:$AB$1004,$A$44,업무일지!$D$5:$D$1004,"분석")&gt;0,1,0))</f>
        <v/>
      </c>
      <c r="BP138">
        <f>IF($O138="",0,IF(COUNTIFS(업무일지!$F$5:$F$1004,$O138,업무일지!$B$5:$B$1004,"&gt;="&amp;DATE($B$3,1,1),업무일지!$B$5:$B$1004,"&lt;"&amp;DATE($B$3+1,1,1),업무일지!$AB$5:$AB$1004,$A$45,업무일지!$D$5:$D$1004,"분석")&gt;0,1,0))</f>
        <v/>
      </c>
      <c r="BQ138">
        <f>IF($O138="",0,IF(COUNTIFS(업무일지!$F$5:$F$1004,$O138,업무일지!$B$5:$B$1004,"&gt;="&amp;DATE($B$3,1,1),업무일지!$B$5:$B$1004,"&lt;"&amp;DATE($B$3+1,1,1),업무일지!$AB$5:$AB$1004,$A$46,업무일지!$D$5:$D$1004,"분석")&gt;0,1,0))</f>
        <v/>
      </c>
      <c r="BR138">
        <f>IF($O138="",0,IF(COUNTIFS(업무일지!$F$5:$F$1004,$O138,업무일지!$B$5:$B$1004,"&gt;="&amp;DATE($B$3,1,1),업무일지!$B$5:$B$1004,"&lt;"&amp;DATE($B$3+1,1,1),업무일지!$AB$5:$AB$1004,$A$47,업무일지!$D$5:$D$1004,"분석")&gt;0,1,0))</f>
        <v/>
      </c>
      <c r="BS138">
        <f>IF($O138="",0,IF(COUNTIFS(업무일지!$F$5:$F$1004,$O138,업무일지!$B$5:$B$1004,"&gt;="&amp;DATE($B$3,1,1),업무일지!$B$5:$B$1004,"&lt;"&amp;DATE($B$3+1,1,1),업무일지!$AB$5:$AB$1004,$A$48,업무일지!$D$5:$D$1004,"분석")&gt;0,1,0))</f>
        <v/>
      </c>
      <c r="BT138">
        <f>IF($O138="",0,IF(COUNTIFS(업무일지!$F$5:$F$1004,$O138,업무일지!$B$5:$B$1004,"&gt;="&amp;DATE($B$3,1,1),업무일지!$B$5:$B$1004,"&lt;"&amp;DATE($B$3+1,1,1),업무일지!$AB$5:$AB$1004,$A$49,업무일지!$D$5:$D$1004,"분석")&gt;0,1,0))</f>
        <v/>
      </c>
      <c r="BU138">
        <f>IF($O138="",0,IF(COUNTIFS(업무일지!$F$5:$F$1004,$O138,업무일지!$B$5:$B$1004,"&gt;="&amp;DATE($B$3,1,1),업무일지!$B$5:$B$1004,"&lt;"&amp;DATE($B$3+1,1,1),업무일지!$AB$5:$AB$1004,$A$50,업무일지!$D$5:$D$1004,"분석")&gt;0,1,0))</f>
        <v/>
      </c>
      <c r="BV138">
        <f>IF($O138="",0,IF(COUNTIFS(업무일지!$F$5:$F$1004,$O138,업무일지!$B$5:$B$1004,"&gt;="&amp;DATE($B$3,1,1),업무일지!$B$5:$B$1004,"&lt;"&amp;DATE($B$3+1,1,1),업무일지!$AB$5:$AB$1004,$A$51,업무일지!$D$5:$D$1004,"분석")&gt;0,1,0))</f>
        <v/>
      </c>
      <c r="BW138">
        <f>IF($O138="",0,IF(COUNTIFS(업무일지!$F$5:$F$1004,$O138,업무일지!$B$5:$B$1004,"&gt;="&amp;DATE($B$3,1,1),업무일지!$B$5:$B$1004,"&lt;"&amp;DATE($B$3+1,1,1),업무일지!$AB$5:$AB$1004,$A$52,업무일지!$D$5:$D$1004,"분석")&gt;0,1,0))</f>
        <v/>
      </c>
      <c r="BX138">
        <f>IF($O138="",0,IF(COUNTIFS(업무일지!$F$5:$F$1004,$O138,업무일지!$B$5:$B$1004,"&gt;="&amp;DATE($B$3,1,1),업무일지!$B$5:$B$1004,"&lt;"&amp;DATE($B$3+1,1,1),업무일지!$AB$5:$AB$1004,$A$53,업무일지!$D$5:$D$1004,"분석")&gt;0,1,0))</f>
        <v/>
      </c>
      <c r="BZ138">
        <f>IF($O138="",0,IF(COUNTIFS(업무일지!$F$5:$F$1004,$O138,업무일지!$B$5:$B$1004,"&gt;="&amp;DATE($B$3,1,1),업무일지!$B$5:$B$1004,"&lt;"&amp;DATE($B$3+1,1,1),업무일지!$AB$5:$AB$1004,$A$44)&gt;0,1,0))</f>
        <v/>
      </c>
      <c r="CA138">
        <f>IF($O138="",0,IF(COUNTIFS(업무일지!$F$5:$F$1004,$O138,업무일지!$B$5:$B$1004,"&gt;="&amp;DATE($B$3,1,1),업무일지!$B$5:$B$1004,"&lt;"&amp;DATE($B$3+1,1,1),업무일지!$AB$5:$AB$1004,$A$45)&gt;0,1,0))</f>
        <v/>
      </c>
      <c r="CB138">
        <f>IF($O138="",0,IF(COUNTIFS(업무일지!$F$5:$F$1004,$O138,업무일지!$B$5:$B$1004,"&gt;="&amp;DATE($B$3,1,1),업무일지!$B$5:$B$1004,"&lt;"&amp;DATE($B$3+1,1,1),업무일지!$AB$5:$AB$1004,$A$46)&gt;0,1,0))</f>
        <v/>
      </c>
      <c r="CC138">
        <f>IF($O138="",0,IF(COUNTIFS(업무일지!$F$5:$F$1004,$O138,업무일지!$B$5:$B$1004,"&gt;="&amp;DATE($B$3,1,1),업무일지!$B$5:$B$1004,"&lt;"&amp;DATE($B$3+1,1,1),업무일지!$AB$5:$AB$1004,$A$47)&gt;0,1,0))</f>
        <v/>
      </c>
      <c r="CD138">
        <f>IF($O138="",0,IF(COUNTIFS(업무일지!$F$5:$F$1004,$O138,업무일지!$B$5:$B$1004,"&gt;="&amp;DATE($B$3,1,1),업무일지!$B$5:$B$1004,"&lt;"&amp;DATE($B$3+1,1,1),업무일지!$AB$5:$AB$1004,$A$48)&gt;0,1,0))</f>
        <v/>
      </c>
      <c r="CE138">
        <f>IF($O138="",0,IF(COUNTIFS(업무일지!$F$5:$F$1004,$O138,업무일지!$B$5:$B$1004,"&gt;="&amp;DATE($B$3,1,1),업무일지!$B$5:$B$1004,"&lt;"&amp;DATE($B$3+1,1,1),업무일지!$AB$5:$AB$1004,$A$49)&gt;0,1,0))</f>
        <v/>
      </c>
      <c r="CF138">
        <f>IF($O138="",0,IF(COUNTIFS(업무일지!$F$5:$F$1004,$O138,업무일지!$B$5:$B$1004,"&gt;="&amp;DATE($B$3,1,1),업무일지!$B$5:$B$1004,"&lt;"&amp;DATE($B$3+1,1,1),업무일지!$AB$5:$AB$1004,$A$50)&gt;0,1,0))</f>
        <v/>
      </c>
      <c r="CG138">
        <f>IF($O138="",0,IF(COUNTIFS(업무일지!$F$5:$F$1004,$O138,업무일지!$B$5:$B$1004,"&gt;="&amp;DATE($B$3,1,1),업무일지!$B$5:$B$1004,"&lt;"&amp;DATE($B$3+1,1,1),업무일지!$AB$5:$AB$1004,$A$51)&gt;0,1,0))</f>
        <v/>
      </c>
      <c r="CH138">
        <f>IF($O138="",0,IF(COUNTIFS(업무일지!$F$5:$F$1004,$O138,업무일지!$B$5:$B$1004,"&gt;="&amp;DATE($B$3,1,1),업무일지!$B$5:$B$1004,"&lt;"&amp;DATE($B$3+1,1,1),업무일지!$AB$5:$AB$1004,$A$52)&gt;0,1,0))</f>
        <v/>
      </c>
      <c r="CI138">
        <f>IF($O138="",0,IF(COUNTIFS(업무일지!$F$5:$F$1004,$O138,업무일지!$B$5:$B$1004,"&gt;="&amp;DATE($B$3,1,1),업무일지!$B$5:$B$1004,"&lt;"&amp;DATE($B$3+1,1,1),업무일지!$AB$5:$AB$1004,$A$53)&gt;0,1,0))</f>
        <v/>
      </c>
    </row>
    <row r="139">
      <c r="O139">
        <f>IF(사건마스터!$A59="","",사건마스터!$A59)</f>
        <v/>
      </c>
      <c r="P139">
        <f>IF($O139="",0,IF(COUNTIFS(업무일지!$F$5:$F$1004,$O139,업무일지!$B$5:$B$1004,"&gt;="&amp;DATE($B$3,1,1),업무일지!$B$5:$B$1004,"&lt;"&amp;DATE($B$3,1+1,1),업무일지!$D$5:$D$1004,"출장")&gt;0,1,0))</f>
        <v/>
      </c>
      <c r="Q139">
        <f>IF($O139="",0,IF(COUNTIFS(업무일지!$F$5:$F$1004,$O139,업무일지!$B$5:$B$1004,"&gt;="&amp;DATE($B$3,2,1),업무일지!$B$5:$B$1004,"&lt;"&amp;DATE($B$3,2+1,1),업무일지!$D$5:$D$1004,"출장")&gt;0,1,0))</f>
        <v/>
      </c>
      <c r="R139">
        <f>IF($O139="",0,IF(COUNTIFS(업무일지!$F$5:$F$1004,$O139,업무일지!$B$5:$B$1004,"&gt;="&amp;DATE($B$3,3,1),업무일지!$B$5:$B$1004,"&lt;"&amp;DATE($B$3,3+1,1),업무일지!$D$5:$D$1004,"출장")&gt;0,1,0))</f>
        <v/>
      </c>
      <c r="S139">
        <f>IF($O139="",0,IF(COUNTIFS(업무일지!$F$5:$F$1004,$O139,업무일지!$B$5:$B$1004,"&gt;="&amp;DATE($B$3,4,1),업무일지!$B$5:$B$1004,"&lt;"&amp;DATE($B$3,4+1,1),업무일지!$D$5:$D$1004,"출장")&gt;0,1,0))</f>
        <v/>
      </c>
      <c r="T139">
        <f>IF($O139="",0,IF(COUNTIFS(업무일지!$F$5:$F$1004,$O139,업무일지!$B$5:$B$1004,"&gt;="&amp;DATE($B$3,5,1),업무일지!$B$5:$B$1004,"&lt;"&amp;DATE($B$3,5+1,1),업무일지!$D$5:$D$1004,"출장")&gt;0,1,0))</f>
        <v/>
      </c>
      <c r="U139">
        <f>IF($O139="",0,IF(COUNTIFS(업무일지!$F$5:$F$1004,$O139,업무일지!$B$5:$B$1004,"&gt;="&amp;DATE($B$3,6,1),업무일지!$B$5:$B$1004,"&lt;"&amp;DATE($B$3,6+1,1),업무일지!$D$5:$D$1004,"출장")&gt;0,1,0))</f>
        <v/>
      </c>
      <c r="V139">
        <f>IF($O139="",0,IF(COUNTIFS(업무일지!$F$5:$F$1004,$O139,업무일지!$B$5:$B$1004,"&gt;="&amp;DATE($B$3,7,1),업무일지!$B$5:$B$1004,"&lt;"&amp;DATE($B$3,7+1,1),업무일지!$D$5:$D$1004,"출장")&gt;0,1,0))</f>
        <v/>
      </c>
      <c r="W139">
        <f>IF($O139="",0,IF(COUNTIFS(업무일지!$F$5:$F$1004,$O139,업무일지!$B$5:$B$1004,"&gt;="&amp;DATE($B$3,8,1),업무일지!$B$5:$B$1004,"&lt;"&amp;DATE($B$3,8+1,1),업무일지!$D$5:$D$1004,"출장")&gt;0,1,0))</f>
        <v/>
      </c>
      <c r="X139">
        <f>IF($O139="",0,IF(COUNTIFS(업무일지!$F$5:$F$1004,$O139,업무일지!$B$5:$B$1004,"&gt;="&amp;DATE($B$3,9,1),업무일지!$B$5:$B$1004,"&lt;"&amp;DATE($B$3,9+1,1),업무일지!$D$5:$D$1004,"출장")&gt;0,1,0))</f>
        <v/>
      </c>
      <c r="Y139">
        <f>IF($O139="",0,IF(COUNTIFS(업무일지!$F$5:$F$1004,$O139,업무일지!$B$5:$B$1004,"&gt;="&amp;DATE($B$3,10,1),업무일지!$B$5:$B$1004,"&lt;"&amp;DATE($B$3,10+1,1),업무일지!$D$5:$D$1004,"출장")&gt;0,1,0))</f>
        <v/>
      </c>
      <c r="Z139">
        <f>IF($O139="",0,IF(COUNTIFS(업무일지!$F$5:$F$1004,$O139,업무일지!$B$5:$B$1004,"&gt;="&amp;DATE($B$3,11,1),업무일지!$B$5:$B$1004,"&lt;"&amp;DATE($B$3,11+1,1),업무일지!$D$5:$D$1004,"출장")&gt;0,1,0))</f>
        <v/>
      </c>
      <c r="AA139">
        <f>IF($O139="",0,IF(COUNTIFS(업무일지!$F$5:$F$1004,$O139,업무일지!$B$5:$B$1004,"&gt;="&amp;DATE($B$3,12,1),업무일지!$B$5:$B$1004,"&lt;"&amp;DATE($B$3,12+1,1),업무일지!$D$5:$D$1004,"출장")&gt;0,1,0))</f>
        <v/>
      </c>
      <c r="AB139">
        <f>IF($O139="",0,IF(COUNTIFS(업무일지!$F$5:$F$1004,$O139,업무일지!$B$5:$B$1004,"&gt;="&amp;DATE($B$3,1,1),업무일지!$B$5:$B$1004,"&lt;"&amp;DATE($B$3,1+1,1),업무일지!$D$5:$D$1004,"분석")&gt;0,1,0))</f>
        <v/>
      </c>
      <c r="AC139">
        <f>IF($O139="",0,IF(COUNTIFS(업무일지!$F$5:$F$1004,$O139,업무일지!$B$5:$B$1004,"&gt;="&amp;DATE($B$3,2,1),업무일지!$B$5:$B$1004,"&lt;"&amp;DATE($B$3,2+1,1),업무일지!$D$5:$D$1004,"분석")&gt;0,1,0))</f>
        <v/>
      </c>
      <c r="AD139">
        <f>IF($O139="",0,IF(COUNTIFS(업무일지!$F$5:$F$1004,$O139,업무일지!$B$5:$B$1004,"&gt;="&amp;DATE($B$3,3,1),업무일지!$B$5:$B$1004,"&lt;"&amp;DATE($B$3,3+1,1),업무일지!$D$5:$D$1004,"분석")&gt;0,1,0))</f>
        <v/>
      </c>
      <c r="AE139">
        <f>IF($O139="",0,IF(COUNTIFS(업무일지!$F$5:$F$1004,$O139,업무일지!$B$5:$B$1004,"&gt;="&amp;DATE($B$3,4,1),업무일지!$B$5:$B$1004,"&lt;"&amp;DATE($B$3,4+1,1),업무일지!$D$5:$D$1004,"분석")&gt;0,1,0))</f>
        <v/>
      </c>
      <c r="AF139">
        <f>IF($O139="",0,IF(COUNTIFS(업무일지!$F$5:$F$1004,$O139,업무일지!$B$5:$B$1004,"&gt;="&amp;DATE($B$3,5,1),업무일지!$B$5:$B$1004,"&lt;"&amp;DATE($B$3,5+1,1),업무일지!$D$5:$D$1004,"분석")&gt;0,1,0))</f>
        <v/>
      </c>
      <c r="AG139">
        <f>IF($O139="",0,IF(COUNTIFS(업무일지!$F$5:$F$1004,$O139,업무일지!$B$5:$B$1004,"&gt;="&amp;DATE($B$3,6,1),업무일지!$B$5:$B$1004,"&lt;"&amp;DATE($B$3,6+1,1),업무일지!$D$5:$D$1004,"분석")&gt;0,1,0))</f>
        <v/>
      </c>
      <c r="AH139">
        <f>IF($O139="",0,IF(COUNTIFS(업무일지!$F$5:$F$1004,$O139,업무일지!$B$5:$B$1004,"&gt;="&amp;DATE($B$3,7,1),업무일지!$B$5:$B$1004,"&lt;"&amp;DATE($B$3,7+1,1),업무일지!$D$5:$D$1004,"분석")&gt;0,1,0))</f>
        <v/>
      </c>
      <c r="AI139">
        <f>IF($O139="",0,IF(COUNTIFS(업무일지!$F$5:$F$1004,$O139,업무일지!$B$5:$B$1004,"&gt;="&amp;DATE($B$3,8,1),업무일지!$B$5:$B$1004,"&lt;"&amp;DATE($B$3,8+1,1),업무일지!$D$5:$D$1004,"분석")&gt;0,1,0))</f>
        <v/>
      </c>
      <c r="AJ139">
        <f>IF($O139="",0,IF(COUNTIFS(업무일지!$F$5:$F$1004,$O139,업무일지!$B$5:$B$1004,"&gt;="&amp;DATE($B$3,9,1),업무일지!$B$5:$B$1004,"&lt;"&amp;DATE($B$3,9+1,1),업무일지!$D$5:$D$1004,"분석")&gt;0,1,0))</f>
        <v/>
      </c>
      <c r="AK139">
        <f>IF($O139="",0,IF(COUNTIFS(업무일지!$F$5:$F$1004,$O139,업무일지!$B$5:$B$1004,"&gt;="&amp;DATE($B$3,10,1),업무일지!$B$5:$B$1004,"&lt;"&amp;DATE($B$3,10+1,1),업무일지!$D$5:$D$1004,"분석")&gt;0,1,0))</f>
        <v/>
      </c>
      <c r="AL139">
        <f>IF($O139="",0,IF(COUNTIFS(업무일지!$F$5:$F$1004,$O139,업무일지!$B$5:$B$1004,"&gt;="&amp;DATE($B$3,11,1),업무일지!$B$5:$B$1004,"&lt;"&amp;DATE($B$3,11+1,1),업무일지!$D$5:$D$1004,"분석")&gt;0,1,0))</f>
        <v/>
      </c>
      <c r="AM139">
        <f>IF($O139="",0,IF(COUNTIFS(업무일지!$F$5:$F$1004,$O139,업무일지!$B$5:$B$1004,"&gt;="&amp;DATE($B$3,12,1),업무일지!$B$5:$B$1004,"&lt;"&amp;DATE($B$3,12+1,1),업무일지!$D$5:$D$1004,"분석")&gt;0,1,0))</f>
        <v/>
      </c>
      <c r="AN139">
        <f>IF($O139="",0,IF(COUNTIFS(업무일지!$F$5:$F$1004,$O139,업무일지!$B$5:$B$1004,"&gt;="&amp;DATE($B$3,1,1),업무일지!$B$5:$B$1004,"&lt;"&amp;DATE($B$3,1+1,1))&gt;0,1,0))</f>
        <v/>
      </c>
      <c r="AO139">
        <f>IF($O139="",0,IF(COUNTIFS(업무일지!$F$5:$F$1004,$O139,업무일지!$B$5:$B$1004,"&gt;="&amp;DATE($B$3,2,1),업무일지!$B$5:$B$1004,"&lt;"&amp;DATE($B$3,2+1,1))&gt;0,1,0))</f>
        <v/>
      </c>
      <c r="AP139">
        <f>IF($O139="",0,IF(COUNTIFS(업무일지!$F$5:$F$1004,$O139,업무일지!$B$5:$B$1004,"&gt;="&amp;DATE($B$3,3,1),업무일지!$B$5:$B$1004,"&lt;"&amp;DATE($B$3,3+1,1))&gt;0,1,0))</f>
        <v/>
      </c>
      <c r="AQ139">
        <f>IF($O139="",0,IF(COUNTIFS(업무일지!$F$5:$F$1004,$O139,업무일지!$B$5:$B$1004,"&gt;="&amp;DATE($B$3,4,1),업무일지!$B$5:$B$1004,"&lt;"&amp;DATE($B$3,4+1,1))&gt;0,1,0))</f>
        <v/>
      </c>
      <c r="AR139">
        <f>IF($O139="",0,IF(COUNTIFS(업무일지!$F$5:$F$1004,$O139,업무일지!$B$5:$B$1004,"&gt;="&amp;DATE($B$3,5,1),업무일지!$B$5:$B$1004,"&lt;"&amp;DATE($B$3,5+1,1))&gt;0,1,0))</f>
        <v/>
      </c>
      <c r="AS139">
        <f>IF($O139="",0,IF(COUNTIFS(업무일지!$F$5:$F$1004,$O139,업무일지!$B$5:$B$1004,"&gt;="&amp;DATE($B$3,6,1),업무일지!$B$5:$B$1004,"&lt;"&amp;DATE($B$3,6+1,1))&gt;0,1,0))</f>
        <v/>
      </c>
      <c r="AT139">
        <f>IF($O139="",0,IF(COUNTIFS(업무일지!$F$5:$F$1004,$O139,업무일지!$B$5:$B$1004,"&gt;="&amp;DATE($B$3,7,1),업무일지!$B$5:$B$1004,"&lt;"&amp;DATE($B$3,7+1,1))&gt;0,1,0))</f>
        <v/>
      </c>
      <c r="AU139">
        <f>IF($O139="",0,IF(COUNTIFS(업무일지!$F$5:$F$1004,$O139,업무일지!$B$5:$B$1004,"&gt;="&amp;DATE($B$3,8,1),업무일지!$B$5:$B$1004,"&lt;"&amp;DATE($B$3,8+1,1))&gt;0,1,0))</f>
        <v/>
      </c>
      <c r="AV139">
        <f>IF($O139="",0,IF(COUNTIFS(업무일지!$F$5:$F$1004,$O139,업무일지!$B$5:$B$1004,"&gt;="&amp;DATE($B$3,9,1),업무일지!$B$5:$B$1004,"&lt;"&amp;DATE($B$3,9+1,1))&gt;0,1,0))</f>
        <v/>
      </c>
      <c r="AW139">
        <f>IF($O139="",0,IF(COUNTIFS(업무일지!$F$5:$F$1004,$O139,업무일지!$B$5:$B$1004,"&gt;="&amp;DATE($B$3,10,1),업무일지!$B$5:$B$1004,"&lt;"&amp;DATE($B$3,10+1,1))&gt;0,1,0))</f>
        <v/>
      </c>
      <c r="AX139">
        <f>IF($O139="",0,IF(COUNTIFS(업무일지!$F$5:$F$1004,$O139,업무일지!$B$5:$B$1004,"&gt;="&amp;DATE($B$3,11,1),업무일지!$B$5:$B$1004,"&lt;"&amp;DATE($B$3,11+1,1))&gt;0,1,0))</f>
        <v/>
      </c>
      <c r="AY139">
        <f>IF($O139="",0,IF(COUNTIFS(업무일지!$F$5:$F$1004,$O139,업무일지!$B$5:$B$1004,"&gt;="&amp;DATE($B$3,12,1),업무일지!$B$5:$B$1004,"&lt;"&amp;DATE($B$3,12+1,1))&gt;0,1,0))</f>
        <v/>
      </c>
      <c r="AZ139">
        <f>IF($O139="",0,IF(COUNTIFS(업무일지!$F$5:$F$1004,$O139,업무일지!$B$5:$B$1004,"&gt;="&amp;DATE($B$3,1,1),업무일지!$B$5:$B$1004,"&lt;"&amp;DATE($B$3+1,1,1),업무일지!$D$5:$D$1004,"출장")&gt;0,1,0))</f>
        <v/>
      </c>
      <c r="BA139">
        <f>IF($O139="",0,IF(COUNTIFS(업무일지!$F$5:$F$1004,$O139,업무일지!$B$5:$B$1004,"&gt;="&amp;DATE($B$3,1,1),업무일지!$B$5:$B$1004,"&lt;"&amp;DATE($B$3+1,1,1),업무일지!$D$5:$D$1004,"분석")&gt;0,1,0))</f>
        <v/>
      </c>
      <c r="BB139">
        <f>IF($O139="",0,IF(COUNTIFS(업무일지!$F$5:$F$1004,$O139,업무일지!$B$5:$B$1004,"&gt;="&amp;DATE($B$3,1,1),업무일지!$B$5:$B$1004,"&lt;"&amp;DATE($B$3+1,1,1))&gt;0,1,0))</f>
        <v/>
      </c>
      <c r="BD139">
        <f>IF($O139="",0,IF(COUNTIFS(업무일지!$F$5:$F$1004,$O139,업무일지!$B$5:$B$1004,"&gt;="&amp;DATE($B$3,1,1),업무일지!$B$5:$B$1004,"&lt;"&amp;DATE($B$3+1,1,1),업무일지!$AB$5:$AB$1004,$A$44,업무일지!$D$5:$D$1004,"출장")&gt;0,1,0))</f>
        <v/>
      </c>
      <c r="BE139">
        <f>IF($O139="",0,IF(COUNTIFS(업무일지!$F$5:$F$1004,$O139,업무일지!$B$5:$B$1004,"&gt;="&amp;DATE($B$3,1,1),업무일지!$B$5:$B$1004,"&lt;"&amp;DATE($B$3+1,1,1),업무일지!$AB$5:$AB$1004,$A$45,업무일지!$D$5:$D$1004,"출장")&gt;0,1,0))</f>
        <v/>
      </c>
      <c r="BF139">
        <f>IF($O139="",0,IF(COUNTIFS(업무일지!$F$5:$F$1004,$O139,업무일지!$B$5:$B$1004,"&gt;="&amp;DATE($B$3,1,1),업무일지!$B$5:$B$1004,"&lt;"&amp;DATE($B$3+1,1,1),업무일지!$AB$5:$AB$1004,$A$46,업무일지!$D$5:$D$1004,"출장")&gt;0,1,0))</f>
        <v/>
      </c>
      <c r="BG139">
        <f>IF($O139="",0,IF(COUNTIFS(업무일지!$F$5:$F$1004,$O139,업무일지!$B$5:$B$1004,"&gt;="&amp;DATE($B$3,1,1),업무일지!$B$5:$B$1004,"&lt;"&amp;DATE($B$3+1,1,1),업무일지!$AB$5:$AB$1004,$A$47,업무일지!$D$5:$D$1004,"출장")&gt;0,1,0))</f>
        <v/>
      </c>
      <c r="BH139">
        <f>IF($O139="",0,IF(COUNTIFS(업무일지!$F$5:$F$1004,$O139,업무일지!$B$5:$B$1004,"&gt;="&amp;DATE($B$3,1,1),업무일지!$B$5:$B$1004,"&lt;"&amp;DATE($B$3+1,1,1),업무일지!$AB$5:$AB$1004,$A$48,업무일지!$D$5:$D$1004,"출장")&gt;0,1,0))</f>
        <v/>
      </c>
      <c r="BI139">
        <f>IF($O139="",0,IF(COUNTIFS(업무일지!$F$5:$F$1004,$O139,업무일지!$B$5:$B$1004,"&gt;="&amp;DATE($B$3,1,1),업무일지!$B$5:$B$1004,"&lt;"&amp;DATE($B$3+1,1,1),업무일지!$AB$5:$AB$1004,$A$49,업무일지!$D$5:$D$1004,"출장")&gt;0,1,0))</f>
        <v/>
      </c>
      <c r="BJ139">
        <f>IF($O139="",0,IF(COUNTIFS(업무일지!$F$5:$F$1004,$O139,업무일지!$B$5:$B$1004,"&gt;="&amp;DATE($B$3,1,1),업무일지!$B$5:$B$1004,"&lt;"&amp;DATE($B$3+1,1,1),업무일지!$AB$5:$AB$1004,$A$50,업무일지!$D$5:$D$1004,"출장")&gt;0,1,0))</f>
        <v/>
      </c>
      <c r="BK139">
        <f>IF($O139="",0,IF(COUNTIFS(업무일지!$F$5:$F$1004,$O139,업무일지!$B$5:$B$1004,"&gt;="&amp;DATE($B$3,1,1),업무일지!$B$5:$B$1004,"&lt;"&amp;DATE($B$3+1,1,1),업무일지!$AB$5:$AB$1004,$A$51,업무일지!$D$5:$D$1004,"출장")&gt;0,1,0))</f>
        <v/>
      </c>
      <c r="BL139">
        <f>IF($O139="",0,IF(COUNTIFS(업무일지!$F$5:$F$1004,$O139,업무일지!$B$5:$B$1004,"&gt;="&amp;DATE($B$3,1,1),업무일지!$B$5:$B$1004,"&lt;"&amp;DATE($B$3+1,1,1),업무일지!$AB$5:$AB$1004,$A$52,업무일지!$D$5:$D$1004,"출장")&gt;0,1,0))</f>
        <v/>
      </c>
      <c r="BM139">
        <f>IF($O139="",0,IF(COUNTIFS(업무일지!$F$5:$F$1004,$O139,업무일지!$B$5:$B$1004,"&gt;="&amp;DATE($B$3,1,1),업무일지!$B$5:$B$1004,"&lt;"&amp;DATE($B$3+1,1,1),업무일지!$AB$5:$AB$1004,$A$53,업무일지!$D$5:$D$1004,"출장")&gt;0,1,0))</f>
        <v/>
      </c>
      <c r="BO139">
        <f>IF($O139="",0,IF(COUNTIFS(업무일지!$F$5:$F$1004,$O139,업무일지!$B$5:$B$1004,"&gt;="&amp;DATE($B$3,1,1),업무일지!$B$5:$B$1004,"&lt;"&amp;DATE($B$3+1,1,1),업무일지!$AB$5:$AB$1004,$A$44,업무일지!$D$5:$D$1004,"분석")&gt;0,1,0))</f>
        <v/>
      </c>
      <c r="BP139">
        <f>IF($O139="",0,IF(COUNTIFS(업무일지!$F$5:$F$1004,$O139,업무일지!$B$5:$B$1004,"&gt;="&amp;DATE($B$3,1,1),업무일지!$B$5:$B$1004,"&lt;"&amp;DATE($B$3+1,1,1),업무일지!$AB$5:$AB$1004,$A$45,업무일지!$D$5:$D$1004,"분석")&gt;0,1,0))</f>
        <v/>
      </c>
      <c r="BQ139">
        <f>IF($O139="",0,IF(COUNTIFS(업무일지!$F$5:$F$1004,$O139,업무일지!$B$5:$B$1004,"&gt;="&amp;DATE($B$3,1,1),업무일지!$B$5:$B$1004,"&lt;"&amp;DATE($B$3+1,1,1),업무일지!$AB$5:$AB$1004,$A$46,업무일지!$D$5:$D$1004,"분석")&gt;0,1,0))</f>
        <v/>
      </c>
      <c r="BR139">
        <f>IF($O139="",0,IF(COUNTIFS(업무일지!$F$5:$F$1004,$O139,업무일지!$B$5:$B$1004,"&gt;="&amp;DATE($B$3,1,1),업무일지!$B$5:$B$1004,"&lt;"&amp;DATE($B$3+1,1,1),업무일지!$AB$5:$AB$1004,$A$47,업무일지!$D$5:$D$1004,"분석")&gt;0,1,0))</f>
        <v/>
      </c>
      <c r="BS139">
        <f>IF($O139="",0,IF(COUNTIFS(업무일지!$F$5:$F$1004,$O139,업무일지!$B$5:$B$1004,"&gt;="&amp;DATE($B$3,1,1),업무일지!$B$5:$B$1004,"&lt;"&amp;DATE($B$3+1,1,1),업무일지!$AB$5:$AB$1004,$A$48,업무일지!$D$5:$D$1004,"분석")&gt;0,1,0))</f>
        <v/>
      </c>
      <c r="BT139">
        <f>IF($O139="",0,IF(COUNTIFS(업무일지!$F$5:$F$1004,$O139,업무일지!$B$5:$B$1004,"&gt;="&amp;DATE($B$3,1,1),업무일지!$B$5:$B$1004,"&lt;"&amp;DATE($B$3+1,1,1),업무일지!$AB$5:$AB$1004,$A$49,업무일지!$D$5:$D$1004,"분석")&gt;0,1,0))</f>
        <v/>
      </c>
      <c r="BU139">
        <f>IF($O139="",0,IF(COUNTIFS(업무일지!$F$5:$F$1004,$O139,업무일지!$B$5:$B$1004,"&gt;="&amp;DATE($B$3,1,1),업무일지!$B$5:$B$1004,"&lt;"&amp;DATE($B$3+1,1,1),업무일지!$AB$5:$AB$1004,$A$50,업무일지!$D$5:$D$1004,"분석")&gt;0,1,0))</f>
        <v/>
      </c>
      <c r="BV139">
        <f>IF($O139="",0,IF(COUNTIFS(업무일지!$F$5:$F$1004,$O139,업무일지!$B$5:$B$1004,"&gt;="&amp;DATE($B$3,1,1),업무일지!$B$5:$B$1004,"&lt;"&amp;DATE($B$3+1,1,1),업무일지!$AB$5:$AB$1004,$A$51,업무일지!$D$5:$D$1004,"분석")&gt;0,1,0))</f>
        <v/>
      </c>
      <c r="BW139">
        <f>IF($O139="",0,IF(COUNTIFS(업무일지!$F$5:$F$1004,$O139,업무일지!$B$5:$B$1004,"&gt;="&amp;DATE($B$3,1,1),업무일지!$B$5:$B$1004,"&lt;"&amp;DATE($B$3+1,1,1),업무일지!$AB$5:$AB$1004,$A$52,업무일지!$D$5:$D$1004,"분석")&gt;0,1,0))</f>
        <v/>
      </c>
      <c r="BX139">
        <f>IF($O139="",0,IF(COUNTIFS(업무일지!$F$5:$F$1004,$O139,업무일지!$B$5:$B$1004,"&gt;="&amp;DATE($B$3,1,1),업무일지!$B$5:$B$1004,"&lt;"&amp;DATE($B$3+1,1,1),업무일지!$AB$5:$AB$1004,$A$53,업무일지!$D$5:$D$1004,"분석")&gt;0,1,0))</f>
        <v/>
      </c>
      <c r="BZ139">
        <f>IF($O139="",0,IF(COUNTIFS(업무일지!$F$5:$F$1004,$O139,업무일지!$B$5:$B$1004,"&gt;="&amp;DATE($B$3,1,1),업무일지!$B$5:$B$1004,"&lt;"&amp;DATE($B$3+1,1,1),업무일지!$AB$5:$AB$1004,$A$44)&gt;0,1,0))</f>
        <v/>
      </c>
      <c r="CA139">
        <f>IF($O139="",0,IF(COUNTIFS(업무일지!$F$5:$F$1004,$O139,업무일지!$B$5:$B$1004,"&gt;="&amp;DATE($B$3,1,1),업무일지!$B$5:$B$1004,"&lt;"&amp;DATE($B$3+1,1,1),업무일지!$AB$5:$AB$1004,$A$45)&gt;0,1,0))</f>
        <v/>
      </c>
      <c r="CB139">
        <f>IF($O139="",0,IF(COUNTIFS(업무일지!$F$5:$F$1004,$O139,업무일지!$B$5:$B$1004,"&gt;="&amp;DATE($B$3,1,1),업무일지!$B$5:$B$1004,"&lt;"&amp;DATE($B$3+1,1,1),업무일지!$AB$5:$AB$1004,$A$46)&gt;0,1,0))</f>
        <v/>
      </c>
      <c r="CC139">
        <f>IF($O139="",0,IF(COUNTIFS(업무일지!$F$5:$F$1004,$O139,업무일지!$B$5:$B$1004,"&gt;="&amp;DATE($B$3,1,1),업무일지!$B$5:$B$1004,"&lt;"&amp;DATE($B$3+1,1,1),업무일지!$AB$5:$AB$1004,$A$47)&gt;0,1,0))</f>
        <v/>
      </c>
      <c r="CD139">
        <f>IF($O139="",0,IF(COUNTIFS(업무일지!$F$5:$F$1004,$O139,업무일지!$B$5:$B$1004,"&gt;="&amp;DATE($B$3,1,1),업무일지!$B$5:$B$1004,"&lt;"&amp;DATE($B$3+1,1,1),업무일지!$AB$5:$AB$1004,$A$48)&gt;0,1,0))</f>
        <v/>
      </c>
      <c r="CE139">
        <f>IF($O139="",0,IF(COUNTIFS(업무일지!$F$5:$F$1004,$O139,업무일지!$B$5:$B$1004,"&gt;="&amp;DATE($B$3,1,1),업무일지!$B$5:$B$1004,"&lt;"&amp;DATE($B$3+1,1,1),업무일지!$AB$5:$AB$1004,$A$49)&gt;0,1,0))</f>
        <v/>
      </c>
      <c r="CF139">
        <f>IF($O139="",0,IF(COUNTIFS(업무일지!$F$5:$F$1004,$O139,업무일지!$B$5:$B$1004,"&gt;="&amp;DATE($B$3,1,1),업무일지!$B$5:$B$1004,"&lt;"&amp;DATE($B$3+1,1,1),업무일지!$AB$5:$AB$1004,$A$50)&gt;0,1,0))</f>
        <v/>
      </c>
      <c r="CG139">
        <f>IF($O139="",0,IF(COUNTIFS(업무일지!$F$5:$F$1004,$O139,업무일지!$B$5:$B$1004,"&gt;="&amp;DATE($B$3,1,1),업무일지!$B$5:$B$1004,"&lt;"&amp;DATE($B$3+1,1,1),업무일지!$AB$5:$AB$1004,$A$51)&gt;0,1,0))</f>
        <v/>
      </c>
      <c r="CH139">
        <f>IF($O139="",0,IF(COUNTIFS(업무일지!$F$5:$F$1004,$O139,업무일지!$B$5:$B$1004,"&gt;="&amp;DATE($B$3,1,1),업무일지!$B$5:$B$1004,"&lt;"&amp;DATE($B$3+1,1,1),업무일지!$AB$5:$AB$1004,$A$52)&gt;0,1,0))</f>
        <v/>
      </c>
      <c r="CI139">
        <f>IF($O139="",0,IF(COUNTIFS(업무일지!$F$5:$F$1004,$O139,업무일지!$B$5:$B$1004,"&gt;="&amp;DATE($B$3,1,1),업무일지!$B$5:$B$1004,"&lt;"&amp;DATE($B$3+1,1,1),업무일지!$AB$5:$AB$1004,$A$53)&gt;0,1,0))</f>
        <v/>
      </c>
    </row>
    <row r="140">
      <c r="O140">
        <f>IF(사건마스터!$A60="","",사건마스터!$A60)</f>
        <v/>
      </c>
      <c r="P140">
        <f>IF($O140="",0,IF(COUNTIFS(업무일지!$F$5:$F$1004,$O140,업무일지!$B$5:$B$1004,"&gt;="&amp;DATE($B$3,1,1),업무일지!$B$5:$B$1004,"&lt;"&amp;DATE($B$3,1+1,1),업무일지!$D$5:$D$1004,"출장")&gt;0,1,0))</f>
        <v/>
      </c>
      <c r="Q140">
        <f>IF($O140="",0,IF(COUNTIFS(업무일지!$F$5:$F$1004,$O140,업무일지!$B$5:$B$1004,"&gt;="&amp;DATE($B$3,2,1),업무일지!$B$5:$B$1004,"&lt;"&amp;DATE($B$3,2+1,1),업무일지!$D$5:$D$1004,"출장")&gt;0,1,0))</f>
        <v/>
      </c>
      <c r="R140">
        <f>IF($O140="",0,IF(COUNTIFS(업무일지!$F$5:$F$1004,$O140,업무일지!$B$5:$B$1004,"&gt;="&amp;DATE($B$3,3,1),업무일지!$B$5:$B$1004,"&lt;"&amp;DATE($B$3,3+1,1),업무일지!$D$5:$D$1004,"출장")&gt;0,1,0))</f>
        <v/>
      </c>
      <c r="S140">
        <f>IF($O140="",0,IF(COUNTIFS(업무일지!$F$5:$F$1004,$O140,업무일지!$B$5:$B$1004,"&gt;="&amp;DATE($B$3,4,1),업무일지!$B$5:$B$1004,"&lt;"&amp;DATE($B$3,4+1,1),업무일지!$D$5:$D$1004,"출장")&gt;0,1,0))</f>
        <v/>
      </c>
      <c r="T140">
        <f>IF($O140="",0,IF(COUNTIFS(업무일지!$F$5:$F$1004,$O140,업무일지!$B$5:$B$1004,"&gt;="&amp;DATE($B$3,5,1),업무일지!$B$5:$B$1004,"&lt;"&amp;DATE($B$3,5+1,1),업무일지!$D$5:$D$1004,"출장")&gt;0,1,0))</f>
        <v/>
      </c>
      <c r="U140">
        <f>IF($O140="",0,IF(COUNTIFS(업무일지!$F$5:$F$1004,$O140,업무일지!$B$5:$B$1004,"&gt;="&amp;DATE($B$3,6,1),업무일지!$B$5:$B$1004,"&lt;"&amp;DATE($B$3,6+1,1),업무일지!$D$5:$D$1004,"출장")&gt;0,1,0))</f>
        <v/>
      </c>
      <c r="V140">
        <f>IF($O140="",0,IF(COUNTIFS(업무일지!$F$5:$F$1004,$O140,업무일지!$B$5:$B$1004,"&gt;="&amp;DATE($B$3,7,1),업무일지!$B$5:$B$1004,"&lt;"&amp;DATE($B$3,7+1,1),업무일지!$D$5:$D$1004,"출장")&gt;0,1,0))</f>
        <v/>
      </c>
      <c r="W140">
        <f>IF($O140="",0,IF(COUNTIFS(업무일지!$F$5:$F$1004,$O140,업무일지!$B$5:$B$1004,"&gt;="&amp;DATE($B$3,8,1),업무일지!$B$5:$B$1004,"&lt;"&amp;DATE($B$3,8+1,1),업무일지!$D$5:$D$1004,"출장")&gt;0,1,0))</f>
        <v/>
      </c>
      <c r="X140">
        <f>IF($O140="",0,IF(COUNTIFS(업무일지!$F$5:$F$1004,$O140,업무일지!$B$5:$B$1004,"&gt;="&amp;DATE($B$3,9,1),업무일지!$B$5:$B$1004,"&lt;"&amp;DATE($B$3,9+1,1),업무일지!$D$5:$D$1004,"출장")&gt;0,1,0))</f>
        <v/>
      </c>
      <c r="Y140">
        <f>IF($O140="",0,IF(COUNTIFS(업무일지!$F$5:$F$1004,$O140,업무일지!$B$5:$B$1004,"&gt;="&amp;DATE($B$3,10,1),업무일지!$B$5:$B$1004,"&lt;"&amp;DATE($B$3,10+1,1),업무일지!$D$5:$D$1004,"출장")&gt;0,1,0))</f>
        <v/>
      </c>
      <c r="Z140">
        <f>IF($O140="",0,IF(COUNTIFS(업무일지!$F$5:$F$1004,$O140,업무일지!$B$5:$B$1004,"&gt;="&amp;DATE($B$3,11,1),업무일지!$B$5:$B$1004,"&lt;"&amp;DATE($B$3,11+1,1),업무일지!$D$5:$D$1004,"출장")&gt;0,1,0))</f>
        <v/>
      </c>
      <c r="AA140">
        <f>IF($O140="",0,IF(COUNTIFS(업무일지!$F$5:$F$1004,$O140,업무일지!$B$5:$B$1004,"&gt;="&amp;DATE($B$3,12,1),업무일지!$B$5:$B$1004,"&lt;"&amp;DATE($B$3,12+1,1),업무일지!$D$5:$D$1004,"출장")&gt;0,1,0))</f>
        <v/>
      </c>
      <c r="AB140">
        <f>IF($O140="",0,IF(COUNTIFS(업무일지!$F$5:$F$1004,$O140,업무일지!$B$5:$B$1004,"&gt;="&amp;DATE($B$3,1,1),업무일지!$B$5:$B$1004,"&lt;"&amp;DATE($B$3,1+1,1),업무일지!$D$5:$D$1004,"분석")&gt;0,1,0))</f>
        <v/>
      </c>
      <c r="AC140">
        <f>IF($O140="",0,IF(COUNTIFS(업무일지!$F$5:$F$1004,$O140,업무일지!$B$5:$B$1004,"&gt;="&amp;DATE($B$3,2,1),업무일지!$B$5:$B$1004,"&lt;"&amp;DATE($B$3,2+1,1),업무일지!$D$5:$D$1004,"분석")&gt;0,1,0))</f>
        <v/>
      </c>
      <c r="AD140">
        <f>IF($O140="",0,IF(COUNTIFS(업무일지!$F$5:$F$1004,$O140,업무일지!$B$5:$B$1004,"&gt;="&amp;DATE($B$3,3,1),업무일지!$B$5:$B$1004,"&lt;"&amp;DATE($B$3,3+1,1),업무일지!$D$5:$D$1004,"분석")&gt;0,1,0))</f>
        <v/>
      </c>
      <c r="AE140">
        <f>IF($O140="",0,IF(COUNTIFS(업무일지!$F$5:$F$1004,$O140,업무일지!$B$5:$B$1004,"&gt;="&amp;DATE($B$3,4,1),업무일지!$B$5:$B$1004,"&lt;"&amp;DATE($B$3,4+1,1),업무일지!$D$5:$D$1004,"분석")&gt;0,1,0))</f>
        <v/>
      </c>
      <c r="AF140">
        <f>IF($O140="",0,IF(COUNTIFS(업무일지!$F$5:$F$1004,$O140,업무일지!$B$5:$B$1004,"&gt;="&amp;DATE($B$3,5,1),업무일지!$B$5:$B$1004,"&lt;"&amp;DATE($B$3,5+1,1),업무일지!$D$5:$D$1004,"분석")&gt;0,1,0))</f>
        <v/>
      </c>
      <c r="AG140">
        <f>IF($O140="",0,IF(COUNTIFS(업무일지!$F$5:$F$1004,$O140,업무일지!$B$5:$B$1004,"&gt;="&amp;DATE($B$3,6,1),업무일지!$B$5:$B$1004,"&lt;"&amp;DATE($B$3,6+1,1),업무일지!$D$5:$D$1004,"분석")&gt;0,1,0))</f>
        <v/>
      </c>
      <c r="AH140">
        <f>IF($O140="",0,IF(COUNTIFS(업무일지!$F$5:$F$1004,$O140,업무일지!$B$5:$B$1004,"&gt;="&amp;DATE($B$3,7,1),업무일지!$B$5:$B$1004,"&lt;"&amp;DATE($B$3,7+1,1),업무일지!$D$5:$D$1004,"분석")&gt;0,1,0))</f>
        <v/>
      </c>
      <c r="AI140">
        <f>IF($O140="",0,IF(COUNTIFS(업무일지!$F$5:$F$1004,$O140,업무일지!$B$5:$B$1004,"&gt;="&amp;DATE($B$3,8,1),업무일지!$B$5:$B$1004,"&lt;"&amp;DATE($B$3,8+1,1),업무일지!$D$5:$D$1004,"분석")&gt;0,1,0))</f>
        <v/>
      </c>
      <c r="AJ140">
        <f>IF($O140="",0,IF(COUNTIFS(업무일지!$F$5:$F$1004,$O140,업무일지!$B$5:$B$1004,"&gt;="&amp;DATE($B$3,9,1),업무일지!$B$5:$B$1004,"&lt;"&amp;DATE($B$3,9+1,1),업무일지!$D$5:$D$1004,"분석")&gt;0,1,0))</f>
        <v/>
      </c>
      <c r="AK140">
        <f>IF($O140="",0,IF(COUNTIFS(업무일지!$F$5:$F$1004,$O140,업무일지!$B$5:$B$1004,"&gt;="&amp;DATE($B$3,10,1),업무일지!$B$5:$B$1004,"&lt;"&amp;DATE($B$3,10+1,1),업무일지!$D$5:$D$1004,"분석")&gt;0,1,0))</f>
        <v/>
      </c>
      <c r="AL140">
        <f>IF($O140="",0,IF(COUNTIFS(업무일지!$F$5:$F$1004,$O140,업무일지!$B$5:$B$1004,"&gt;="&amp;DATE($B$3,11,1),업무일지!$B$5:$B$1004,"&lt;"&amp;DATE($B$3,11+1,1),업무일지!$D$5:$D$1004,"분석")&gt;0,1,0))</f>
        <v/>
      </c>
      <c r="AM140">
        <f>IF($O140="",0,IF(COUNTIFS(업무일지!$F$5:$F$1004,$O140,업무일지!$B$5:$B$1004,"&gt;="&amp;DATE($B$3,12,1),업무일지!$B$5:$B$1004,"&lt;"&amp;DATE($B$3,12+1,1),업무일지!$D$5:$D$1004,"분석")&gt;0,1,0))</f>
        <v/>
      </c>
      <c r="AN140">
        <f>IF($O140="",0,IF(COUNTIFS(업무일지!$F$5:$F$1004,$O140,업무일지!$B$5:$B$1004,"&gt;="&amp;DATE($B$3,1,1),업무일지!$B$5:$B$1004,"&lt;"&amp;DATE($B$3,1+1,1))&gt;0,1,0))</f>
        <v/>
      </c>
      <c r="AO140">
        <f>IF($O140="",0,IF(COUNTIFS(업무일지!$F$5:$F$1004,$O140,업무일지!$B$5:$B$1004,"&gt;="&amp;DATE($B$3,2,1),업무일지!$B$5:$B$1004,"&lt;"&amp;DATE($B$3,2+1,1))&gt;0,1,0))</f>
        <v/>
      </c>
      <c r="AP140">
        <f>IF($O140="",0,IF(COUNTIFS(업무일지!$F$5:$F$1004,$O140,업무일지!$B$5:$B$1004,"&gt;="&amp;DATE($B$3,3,1),업무일지!$B$5:$B$1004,"&lt;"&amp;DATE($B$3,3+1,1))&gt;0,1,0))</f>
        <v/>
      </c>
      <c r="AQ140">
        <f>IF($O140="",0,IF(COUNTIFS(업무일지!$F$5:$F$1004,$O140,업무일지!$B$5:$B$1004,"&gt;="&amp;DATE($B$3,4,1),업무일지!$B$5:$B$1004,"&lt;"&amp;DATE($B$3,4+1,1))&gt;0,1,0))</f>
        <v/>
      </c>
      <c r="AR140">
        <f>IF($O140="",0,IF(COUNTIFS(업무일지!$F$5:$F$1004,$O140,업무일지!$B$5:$B$1004,"&gt;="&amp;DATE($B$3,5,1),업무일지!$B$5:$B$1004,"&lt;"&amp;DATE($B$3,5+1,1))&gt;0,1,0))</f>
        <v/>
      </c>
      <c r="AS140">
        <f>IF($O140="",0,IF(COUNTIFS(업무일지!$F$5:$F$1004,$O140,업무일지!$B$5:$B$1004,"&gt;="&amp;DATE($B$3,6,1),업무일지!$B$5:$B$1004,"&lt;"&amp;DATE($B$3,6+1,1))&gt;0,1,0))</f>
        <v/>
      </c>
      <c r="AT140">
        <f>IF($O140="",0,IF(COUNTIFS(업무일지!$F$5:$F$1004,$O140,업무일지!$B$5:$B$1004,"&gt;="&amp;DATE($B$3,7,1),업무일지!$B$5:$B$1004,"&lt;"&amp;DATE($B$3,7+1,1))&gt;0,1,0))</f>
        <v/>
      </c>
      <c r="AU140">
        <f>IF($O140="",0,IF(COUNTIFS(업무일지!$F$5:$F$1004,$O140,업무일지!$B$5:$B$1004,"&gt;="&amp;DATE($B$3,8,1),업무일지!$B$5:$B$1004,"&lt;"&amp;DATE($B$3,8+1,1))&gt;0,1,0))</f>
        <v/>
      </c>
      <c r="AV140">
        <f>IF($O140="",0,IF(COUNTIFS(업무일지!$F$5:$F$1004,$O140,업무일지!$B$5:$B$1004,"&gt;="&amp;DATE($B$3,9,1),업무일지!$B$5:$B$1004,"&lt;"&amp;DATE($B$3,9+1,1))&gt;0,1,0))</f>
        <v/>
      </c>
      <c r="AW140">
        <f>IF($O140="",0,IF(COUNTIFS(업무일지!$F$5:$F$1004,$O140,업무일지!$B$5:$B$1004,"&gt;="&amp;DATE($B$3,10,1),업무일지!$B$5:$B$1004,"&lt;"&amp;DATE($B$3,10+1,1))&gt;0,1,0))</f>
        <v/>
      </c>
      <c r="AX140">
        <f>IF($O140="",0,IF(COUNTIFS(업무일지!$F$5:$F$1004,$O140,업무일지!$B$5:$B$1004,"&gt;="&amp;DATE($B$3,11,1),업무일지!$B$5:$B$1004,"&lt;"&amp;DATE($B$3,11+1,1))&gt;0,1,0))</f>
        <v/>
      </c>
      <c r="AY140">
        <f>IF($O140="",0,IF(COUNTIFS(업무일지!$F$5:$F$1004,$O140,업무일지!$B$5:$B$1004,"&gt;="&amp;DATE($B$3,12,1),업무일지!$B$5:$B$1004,"&lt;"&amp;DATE($B$3,12+1,1))&gt;0,1,0))</f>
        <v/>
      </c>
      <c r="AZ140">
        <f>IF($O140="",0,IF(COUNTIFS(업무일지!$F$5:$F$1004,$O140,업무일지!$B$5:$B$1004,"&gt;="&amp;DATE($B$3,1,1),업무일지!$B$5:$B$1004,"&lt;"&amp;DATE($B$3+1,1,1),업무일지!$D$5:$D$1004,"출장")&gt;0,1,0))</f>
        <v/>
      </c>
      <c r="BA140">
        <f>IF($O140="",0,IF(COUNTIFS(업무일지!$F$5:$F$1004,$O140,업무일지!$B$5:$B$1004,"&gt;="&amp;DATE($B$3,1,1),업무일지!$B$5:$B$1004,"&lt;"&amp;DATE($B$3+1,1,1),업무일지!$D$5:$D$1004,"분석")&gt;0,1,0))</f>
        <v/>
      </c>
      <c r="BB140">
        <f>IF($O140="",0,IF(COUNTIFS(업무일지!$F$5:$F$1004,$O140,업무일지!$B$5:$B$1004,"&gt;="&amp;DATE($B$3,1,1),업무일지!$B$5:$B$1004,"&lt;"&amp;DATE($B$3+1,1,1))&gt;0,1,0))</f>
        <v/>
      </c>
      <c r="BD140">
        <f>IF($O140="",0,IF(COUNTIFS(업무일지!$F$5:$F$1004,$O140,업무일지!$B$5:$B$1004,"&gt;="&amp;DATE($B$3,1,1),업무일지!$B$5:$B$1004,"&lt;"&amp;DATE($B$3+1,1,1),업무일지!$AB$5:$AB$1004,$A$44,업무일지!$D$5:$D$1004,"출장")&gt;0,1,0))</f>
        <v/>
      </c>
      <c r="BE140">
        <f>IF($O140="",0,IF(COUNTIFS(업무일지!$F$5:$F$1004,$O140,업무일지!$B$5:$B$1004,"&gt;="&amp;DATE($B$3,1,1),업무일지!$B$5:$B$1004,"&lt;"&amp;DATE($B$3+1,1,1),업무일지!$AB$5:$AB$1004,$A$45,업무일지!$D$5:$D$1004,"출장")&gt;0,1,0))</f>
        <v/>
      </c>
      <c r="BF140">
        <f>IF($O140="",0,IF(COUNTIFS(업무일지!$F$5:$F$1004,$O140,업무일지!$B$5:$B$1004,"&gt;="&amp;DATE($B$3,1,1),업무일지!$B$5:$B$1004,"&lt;"&amp;DATE($B$3+1,1,1),업무일지!$AB$5:$AB$1004,$A$46,업무일지!$D$5:$D$1004,"출장")&gt;0,1,0))</f>
        <v/>
      </c>
      <c r="BG140">
        <f>IF($O140="",0,IF(COUNTIFS(업무일지!$F$5:$F$1004,$O140,업무일지!$B$5:$B$1004,"&gt;="&amp;DATE($B$3,1,1),업무일지!$B$5:$B$1004,"&lt;"&amp;DATE($B$3+1,1,1),업무일지!$AB$5:$AB$1004,$A$47,업무일지!$D$5:$D$1004,"출장")&gt;0,1,0))</f>
        <v/>
      </c>
      <c r="BH140">
        <f>IF($O140="",0,IF(COUNTIFS(업무일지!$F$5:$F$1004,$O140,업무일지!$B$5:$B$1004,"&gt;="&amp;DATE($B$3,1,1),업무일지!$B$5:$B$1004,"&lt;"&amp;DATE($B$3+1,1,1),업무일지!$AB$5:$AB$1004,$A$48,업무일지!$D$5:$D$1004,"출장")&gt;0,1,0))</f>
        <v/>
      </c>
      <c r="BI140">
        <f>IF($O140="",0,IF(COUNTIFS(업무일지!$F$5:$F$1004,$O140,업무일지!$B$5:$B$1004,"&gt;="&amp;DATE($B$3,1,1),업무일지!$B$5:$B$1004,"&lt;"&amp;DATE($B$3+1,1,1),업무일지!$AB$5:$AB$1004,$A$49,업무일지!$D$5:$D$1004,"출장")&gt;0,1,0))</f>
        <v/>
      </c>
      <c r="BJ140">
        <f>IF($O140="",0,IF(COUNTIFS(업무일지!$F$5:$F$1004,$O140,업무일지!$B$5:$B$1004,"&gt;="&amp;DATE($B$3,1,1),업무일지!$B$5:$B$1004,"&lt;"&amp;DATE($B$3+1,1,1),업무일지!$AB$5:$AB$1004,$A$50,업무일지!$D$5:$D$1004,"출장")&gt;0,1,0))</f>
        <v/>
      </c>
      <c r="BK140">
        <f>IF($O140="",0,IF(COUNTIFS(업무일지!$F$5:$F$1004,$O140,업무일지!$B$5:$B$1004,"&gt;="&amp;DATE($B$3,1,1),업무일지!$B$5:$B$1004,"&lt;"&amp;DATE($B$3+1,1,1),업무일지!$AB$5:$AB$1004,$A$51,업무일지!$D$5:$D$1004,"출장")&gt;0,1,0))</f>
        <v/>
      </c>
      <c r="BL140">
        <f>IF($O140="",0,IF(COUNTIFS(업무일지!$F$5:$F$1004,$O140,업무일지!$B$5:$B$1004,"&gt;="&amp;DATE($B$3,1,1),업무일지!$B$5:$B$1004,"&lt;"&amp;DATE($B$3+1,1,1),업무일지!$AB$5:$AB$1004,$A$52,업무일지!$D$5:$D$1004,"출장")&gt;0,1,0))</f>
        <v/>
      </c>
      <c r="BM140">
        <f>IF($O140="",0,IF(COUNTIFS(업무일지!$F$5:$F$1004,$O140,업무일지!$B$5:$B$1004,"&gt;="&amp;DATE($B$3,1,1),업무일지!$B$5:$B$1004,"&lt;"&amp;DATE($B$3+1,1,1),업무일지!$AB$5:$AB$1004,$A$53,업무일지!$D$5:$D$1004,"출장")&gt;0,1,0))</f>
        <v/>
      </c>
      <c r="BO140">
        <f>IF($O140="",0,IF(COUNTIFS(업무일지!$F$5:$F$1004,$O140,업무일지!$B$5:$B$1004,"&gt;="&amp;DATE($B$3,1,1),업무일지!$B$5:$B$1004,"&lt;"&amp;DATE($B$3+1,1,1),업무일지!$AB$5:$AB$1004,$A$44,업무일지!$D$5:$D$1004,"분석")&gt;0,1,0))</f>
        <v/>
      </c>
      <c r="BP140">
        <f>IF($O140="",0,IF(COUNTIFS(업무일지!$F$5:$F$1004,$O140,업무일지!$B$5:$B$1004,"&gt;="&amp;DATE($B$3,1,1),업무일지!$B$5:$B$1004,"&lt;"&amp;DATE($B$3+1,1,1),업무일지!$AB$5:$AB$1004,$A$45,업무일지!$D$5:$D$1004,"분석")&gt;0,1,0))</f>
        <v/>
      </c>
      <c r="BQ140">
        <f>IF($O140="",0,IF(COUNTIFS(업무일지!$F$5:$F$1004,$O140,업무일지!$B$5:$B$1004,"&gt;="&amp;DATE($B$3,1,1),업무일지!$B$5:$B$1004,"&lt;"&amp;DATE($B$3+1,1,1),업무일지!$AB$5:$AB$1004,$A$46,업무일지!$D$5:$D$1004,"분석")&gt;0,1,0))</f>
        <v/>
      </c>
      <c r="BR140">
        <f>IF($O140="",0,IF(COUNTIFS(업무일지!$F$5:$F$1004,$O140,업무일지!$B$5:$B$1004,"&gt;="&amp;DATE($B$3,1,1),업무일지!$B$5:$B$1004,"&lt;"&amp;DATE($B$3+1,1,1),업무일지!$AB$5:$AB$1004,$A$47,업무일지!$D$5:$D$1004,"분석")&gt;0,1,0))</f>
        <v/>
      </c>
      <c r="BS140">
        <f>IF($O140="",0,IF(COUNTIFS(업무일지!$F$5:$F$1004,$O140,업무일지!$B$5:$B$1004,"&gt;="&amp;DATE($B$3,1,1),업무일지!$B$5:$B$1004,"&lt;"&amp;DATE($B$3+1,1,1),업무일지!$AB$5:$AB$1004,$A$48,업무일지!$D$5:$D$1004,"분석")&gt;0,1,0))</f>
        <v/>
      </c>
      <c r="BT140">
        <f>IF($O140="",0,IF(COUNTIFS(업무일지!$F$5:$F$1004,$O140,업무일지!$B$5:$B$1004,"&gt;="&amp;DATE($B$3,1,1),업무일지!$B$5:$B$1004,"&lt;"&amp;DATE($B$3+1,1,1),업무일지!$AB$5:$AB$1004,$A$49,업무일지!$D$5:$D$1004,"분석")&gt;0,1,0))</f>
        <v/>
      </c>
      <c r="BU140">
        <f>IF($O140="",0,IF(COUNTIFS(업무일지!$F$5:$F$1004,$O140,업무일지!$B$5:$B$1004,"&gt;="&amp;DATE($B$3,1,1),업무일지!$B$5:$B$1004,"&lt;"&amp;DATE($B$3+1,1,1),업무일지!$AB$5:$AB$1004,$A$50,업무일지!$D$5:$D$1004,"분석")&gt;0,1,0))</f>
        <v/>
      </c>
      <c r="BV140">
        <f>IF($O140="",0,IF(COUNTIFS(업무일지!$F$5:$F$1004,$O140,업무일지!$B$5:$B$1004,"&gt;="&amp;DATE($B$3,1,1),업무일지!$B$5:$B$1004,"&lt;"&amp;DATE($B$3+1,1,1),업무일지!$AB$5:$AB$1004,$A$51,업무일지!$D$5:$D$1004,"분석")&gt;0,1,0))</f>
        <v/>
      </c>
      <c r="BW140">
        <f>IF($O140="",0,IF(COUNTIFS(업무일지!$F$5:$F$1004,$O140,업무일지!$B$5:$B$1004,"&gt;="&amp;DATE($B$3,1,1),업무일지!$B$5:$B$1004,"&lt;"&amp;DATE($B$3+1,1,1),업무일지!$AB$5:$AB$1004,$A$52,업무일지!$D$5:$D$1004,"분석")&gt;0,1,0))</f>
        <v/>
      </c>
      <c r="BX140">
        <f>IF($O140="",0,IF(COUNTIFS(업무일지!$F$5:$F$1004,$O140,업무일지!$B$5:$B$1004,"&gt;="&amp;DATE($B$3,1,1),업무일지!$B$5:$B$1004,"&lt;"&amp;DATE($B$3+1,1,1),업무일지!$AB$5:$AB$1004,$A$53,업무일지!$D$5:$D$1004,"분석")&gt;0,1,0))</f>
        <v/>
      </c>
      <c r="BZ140">
        <f>IF($O140="",0,IF(COUNTIFS(업무일지!$F$5:$F$1004,$O140,업무일지!$B$5:$B$1004,"&gt;="&amp;DATE($B$3,1,1),업무일지!$B$5:$B$1004,"&lt;"&amp;DATE($B$3+1,1,1),업무일지!$AB$5:$AB$1004,$A$44)&gt;0,1,0))</f>
        <v/>
      </c>
      <c r="CA140">
        <f>IF($O140="",0,IF(COUNTIFS(업무일지!$F$5:$F$1004,$O140,업무일지!$B$5:$B$1004,"&gt;="&amp;DATE($B$3,1,1),업무일지!$B$5:$B$1004,"&lt;"&amp;DATE($B$3+1,1,1),업무일지!$AB$5:$AB$1004,$A$45)&gt;0,1,0))</f>
        <v/>
      </c>
      <c r="CB140">
        <f>IF($O140="",0,IF(COUNTIFS(업무일지!$F$5:$F$1004,$O140,업무일지!$B$5:$B$1004,"&gt;="&amp;DATE($B$3,1,1),업무일지!$B$5:$B$1004,"&lt;"&amp;DATE($B$3+1,1,1),업무일지!$AB$5:$AB$1004,$A$46)&gt;0,1,0))</f>
        <v/>
      </c>
      <c r="CC140">
        <f>IF($O140="",0,IF(COUNTIFS(업무일지!$F$5:$F$1004,$O140,업무일지!$B$5:$B$1004,"&gt;="&amp;DATE($B$3,1,1),업무일지!$B$5:$B$1004,"&lt;"&amp;DATE($B$3+1,1,1),업무일지!$AB$5:$AB$1004,$A$47)&gt;0,1,0))</f>
        <v/>
      </c>
      <c r="CD140">
        <f>IF($O140="",0,IF(COUNTIFS(업무일지!$F$5:$F$1004,$O140,업무일지!$B$5:$B$1004,"&gt;="&amp;DATE($B$3,1,1),업무일지!$B$5:$B$1004,"&lt;"&amp;DATE($B$3+1,1,1),업무일지!$AB$5:$AB$1004,$A$48)&gt;0,1,0))</f>
        <v/>
      </c>
      <c r="CE140">
        <f>IF($O140="",0,IF(COUNTIFS(업무일지!$F$5:$F$1004,$O140,업무일지!$B$5:$B$1004,"&gt;="&amp;DATE($B$3,1,1),업무일지!$B$5:$B$1004,"&lt;"&amp;DATE($B$3+1,1,1),업무일지!$AB$5:$AB$1004,$A$49)&gt;0,1,0))</f>
        <v/>
      </c>
      <c r="CF140">
        <f>IF($O140="",0,IF(COUNTIFS(업무일지!$F$5:$F$1004,$O140,업무일지!$B$5:$B$1004,"&gt;="&amp;DATE($B$3,1,1),업무일지!$B$5:$B$1004,"&lt;"&amp;DATE($B$3+1,1,1),업무일지!$AB$5:$AB$1004,$A$50)&gt;0,1,0))</f>
        <v/>
      </c>
      <c r="CG140">
        <f>IF($O140="",0,IF(COUNTIFS(업무일지!$F$5:$F$1004,$O140,업무일지!$B$5:$B$1004,"&gt;="&amp;DATE($B$3,1,1),업무일지!$B$5:$B$1004,"&lt;"&amp;DATE($B$3+1,1,1),업무일지!$AB$5:$AB$1004,$A$51)&gt;0,1,0))</f>
        <v/>
      </c>
      <c r="CH140">
        <f>IF($O140="",0,IF(COUNTIFS(업무일지!$F$5:$F$1004,$O140,업무일지!$B$5:$B$1004,"&gt;="&amp;DATE($B$3,1,1),업무일지!$B$5:$B$1004,"&lt;"&amp;DATE($B$3+1,1,1),업무일지!$AB$5:$AB$1004,$A$52)&gt;0,1,0))</f>
        <v/>
      </c>
      <c r="CI140">
        <f>IF($O140="",0,IF(COUNTIFS(업무일지!$F$5:$F$1004,$O140,업무일지!$B$5:$B$1004,"&gt;="&amp;DATE($B$3,1,1),업무일지!$B$5:$B$1004,"&lt;"&amp;DATE($B$3+1,1,1),업무일지!$AB$5:$AB$1004,$A$53)&gt;0,1,0))</f>
        <v/>
      </c>
    </row>
    <row r="141">
      <c r="O141">
        <f>IF(사건마스터!$A61="","",사건마스터!$A61)</f>
        <v/>
      </c>
      <c r="P141">
        <f>IF($O141="",0,IF(COUNTIFS(업무일지!$F$5:$F$1004,$O141,업무일지!$B$5:$B$1004,"&gt;="&amp;DATE($B$3,1,1),업무일지!$B$5:$B$1004,"&lt;"&amp;DATE($B$3,1+1,1),업무일지!$D$5:$D$1004,"출장")&gt;0,1,0))</f>
        <v/>
      </c>
      <c r="Q141">
        <f>IF($O141="",0,IF(COUNTIFS(업무일지!$F$5:$F$1004,$O141,업무일지!$B$5:$B$1004,"&gt;="&amp;DATE($B$3,2,1),업무일지!$B$5:$B$1004,"&lt;"&amp;DATE($B$3,2+1,1),업무일지!$D$5:$D$1004,"출장")&gt;0,1,0))</f>
        <v/>
      </c>
      <c r="R141">
        <f>IF($O141="",0,IF(COUNTIFS(업무일지!$F$5:$F$1004,$O141,업무일지!$B$5:$B$1004,"&gt;="&amp;DATE($B$3,3,1),업무일지!$B$5:$B$1004,"&lt;"&amp;DATE($B$3,3+1,1),업무일지!$D$5:$D$1004,"출장")&gt;0,1,0))</f>
        <v/>
      </c>
      <c r="S141">
        <f>IF($O141="",0,IF(COUNTIFS(업무일지!$F$5:$F$1004,$O141,업무일지!$B$5:$B$1004,"&gt;="&amp;DATE($B$3,4,1),업무일지!$B$5:$B$1004,"&lt;"&amp;DATE($B$3,4+1,1),업무일지!$D$5:$D$1004,"출장")&gt;0,1,0))</f>
        <v/>
      </c>
      <c r="T141">
        <f>IF($O141="",0,IF(COUNTIFS(업무일지!$F$5:$F$1004,$O141,업무일지!$B$5:$B$1004,"&gt;="&amp;DATE($B$3,5,1),업무일지!$B$5:$B$1004,"&lt;"&amp;DATE($B$3,5+1,1),업무일지!$D$5:$D$1004,"출장")&gt;0,1,0))</f>
        <v/>
      </c>
      <c r="U141">
        <f>IF($O141="",0,IF(COUNTIFS(업무일지!$F$5:$F$1004,$O141,업무일지!$B$5:$B$1004,"&gt;="&amp;DATE($B$3,6,1),업무일지!$B$5:$B$1004,"&lt;"&amp;DATE($B$3,6+1,1),업무일지!$D$5:$D$1004,"출장")&gt;0,1,0))</f>
        <v/>
      </c>
      <c r="V141">
        <f>IF($O141="",0,IF(COUNTIFS(업무일지!$F$5:$F$1004,$O141,업무일지!$B$5:$B$1004,"&gt;="&amp;DATE($B$3,7,1),업무일지!$B$5:$B$1004,"&lt;"&amp;DATE($B$3,7+1,1),업무일지!$D$5:$D$1004,"출장")&gt;0,1,0))</f>
        <v/>
      </c>
      <c r="W141">
        <f>IF($O141="",0,IF(COUNTIFS(업무일지!$F$5:$F$1004,$O141,업무일지!$B$5:$B$1004,"&gt;="&amp;DATE($B$3,8,1),업무일지!$B$5:$B$1004,"&lt;"&amp;DATE($B$3,8+1,1),업무일지!$D$5:$D$1004,"출장")&gt;0,1,0))</f>
        <v/>
      </c>
      <c r="X141">
        <f>IF($O141="",0,IF(COUNTIFS(업무일지!$F$5:$F$1004,$O141,업무일지!$B$5:$B$1004,"&gt;="&amp;DATE($B$3,9,1),업무일지!$B$5:$B$1004,"&lt;"&amp;DATE($B$3,9+1,1),업무일지!$D$5:$D$1004,"출장")&gt;0,1,0))</f>
        <v/>
      </c>
      <c r="Y141">
        <f>IF($O141="",0,IF(COUNTIFS(업무일지!$F$5:$F$1004,$O141,업무일지!$B$5:$B$1004,"&gt;="&amp;DATE($B$3,10,1),업무일지!$B$5:$B$1004,"&lt;"&amp;DATE($B$3,10+1,1),업무일지!$D$5:$D$1004,"출장")&gt;0,1,0))</f>
        <v/>
      </c>
      <c r="Z141">
        <f>IF($O141="",0,IF(COUNTIFS(업무일지!$F$5:$F$1004,$O141,업무일지!$B$5:$B$1004,"&gt;="&amp;DATE($B$3,11,1),업무일지!$B$5:$B$1004,"&lt;"&amp;DATE($B$3,11+1,1),업무일지!$D$5:$D$1004,"출장")&gt;0,1,0))</f>
        <v/>
      </c>
      <c r="AA141">
        <f>IF($O141="",0,IF(COUNTIFS(업무일지!$F$5:$F$1004,$O141,업무일지!$B$5:$B$1004,"&gt;="&amp;DATE($B$3,12,1),업무일지!$B$5:$B$1004,"&lt;"&amp;DATE($B$3,12+1,1),업무일지!$D$5:$D$1004,"출장")&gt;0,1,0))</f>
        <v/>
      </c>
      <c r="AB141">
        <f>IF($O141="",0,IF(COUNTIFS(업무일지!$F$5:$F$1004,$O141,업무일지!$B$5:$B$1004,"&gt;="&amp;DATE($B$3,1,1),업무일지!$B$5:$B$1004,"&lt;"&amp;DATE($B$3,1+1,1),업무일지!$D$5:$D$1004,"분석")&gt;0,1,0))</f>
        <v/>
      </c>
      <c r="AC141">
        <f>IF($O141="",0,IF(COUNTIFS(업무일지!$F$5:$F$1004,$O141,업무일지!$B$5:$B$1004,"&gt;="&amp;DATE($B$3,2,1),업무일지!$B$5:$B$1004,"&lt;"&amp;DATE($B$3,2+1,1),업무일지!$D$5:$D$1004,"분석")&gt;0,1,0))</f>
        <v/>
      </c>
      <c r="AD141">
        <f>IF($O141="",0,IF(COUNTIFS(업무일지!$F$5:$F$1004,$O141,업무일지!$B$5:$B$1004,"&gt;="&amp;DATE($B$3,3,1),업무일지!$B$5:$B$1004,"&lt;"&amp;DATE($B$3,3+1,1),업무일지!$D$5:$D$1004,"분석")&gt;0,1,0))</f>
        <v/>
      </c>
      <c r="AE141">
        <f>IF($O141="",0,IF(COUNTIFS(업무일지!$F$5:$F$1004,$O141,업무일지!$B$5:$B$1004,"&gt;="&amp;DATE($B$3,4,1),업무일지!$B$5:$B$1004,"&lt;"&amp;DATE($B$3,4+1,1),업무일지!$D$5:$D$1004,"분석")&gt;0,1,0))</f>
        <v/>
      </c>
      <c r="AF141">
        <f>IF($O141="",0,IF(COUNTIFS(업무일지!$F$5:$F$1004,$O141,업무일지!$B$5:$B$1004,"&gt;="&amp;DATE($B$3,5,1),업무일지!$B$5:$B$1004,"&lt;"&amp;DATE($B$3,5+1,1),업무일지!$D$5:$D$1004,"분석")&gt;0,1,0))</f>
        <v/>
      </c>
      <c r="AG141">
        <f>IF($O141="",0,IF(COUNTIFS(업무일지!$F$5:$F$1004,$O141,업무일지!$B$5:$B$1004,"&gt;="&amp;DATE($B$3,6,1),업무일지!$B$5:$B$1004,"&lt;"&amp;DATE($B$3,6+1,1),업무일지!$D$5:$D$1004,"분석")&gt;0,1,0))</f>
        <v/>
      </c>
      <c r="AH141">
        <f>IF($O141="",0,IF(COUNTIFS(업무일지!$F$5:$F$1004,$O141,업무일지!$B$5:$B$1004,"&gt;="&amp;DATE($B$3,7,1),업무일지!$B$5:$B$1004,"&lt;"&amp;DATE($B$3,7+1,1),업무일지!$D$5:$D$1004,"분석")&gt;0,1,0))</f>
        <v/>
      </c>
      <c r="AI141">
        <f>IF($O141="",0,IF(COUNTIFS(업무일지!$F$5:$F$1004,$O141,업무일지!$B$5:$B$1004,"&gt;="&amp;DATE($B$3,8,1),업무일지!$B$5:$B$1004,"&lt;"&amp;DATE($B$3,8+1,1),업무일지!$D$5:$D$1004,"분석")&gt;0,1,0))</f>
        <v/>
      </c>
      <c r="AJ141">
        <f>IF($O141="",0,IF(COUNTIFS(업무일지!$F$5:$F$1004,$O141,업무일지!$B$5:$B$1004,"&gt;="&amp;DATE($B$3,9,1),업무일지!$B$5:$B$1004,"&lt;"&amp;DATE($B$3,9+1,1),업무일지!$D$5:$D$1004,"분석")&gt;0,1,0))</f>
        <v/>
      </c>
      <c r="AK141">
        <f>IF($O141="",0,IF(COUNTIFS(업무일지!$F$5:$F$1004,$O141,업무일지!$B$5:$B$1004,"&gt;="&amp;DATE($B$3,10,1),업무일지!$B$5:$B$1004,"&lt;"&amp;DATE($B$3,10+1,1),업무일지!$D$5:$D$1004,"분석")&gt;0,1,0))</f>
        <v/>
      </c>
      <c r="AL141">
        <f>IF($O141="",0,IF(COUNTIFS(업무일지!$F$5:$F$1004,$O141,업무일지!$B$5:$B$1004,"&gt;="&amp;DATE($B$3,11,1),업무일지!$B$5:$B$1004,"&lt;"&amp;DATE($B$3,11+1,1),업무일지!$D$5:$D$1004,"분석")&gt;0,1,0))</f>
        <v/>
      </c>
      <c r="AM141">
        <f>IF($O141="",0,IF(COUNTIFS(업무일지!$F$5:$F$1004,$O141,업무일지!$B$5:$B$1004,"&gt;="&amp;DATE($B$3,12,1),업무일지!$B$5:$B$1004,"&lt;"&amp;DATE($B$3,12+1,1),업무일지!$D$5:$D$1004,"분석")&gt;0,1,0))</f>
        <v/>
      </c>
      <c r="AN141">
        <f>IF($O141="",0,IF(COUNTIFS(업무일지!$F$5:$F$1004,$O141,업무일지!$B$5:$B$1004,"&gt;="&amp;DATE($B$3,1,1),업무일지!$B$5:$B$1004,"&lt;"&amp;DATE($B$3,1+1,1))&gt;0,1,0))</f>
        <v/>
      </c>
      <c r="AO141">
        <f>IF($O141="",0,IF(COUNTIFS(업무일지!$F$5:$F$1004,$O141,업무일지!$B$5:$B$1004,"&gt;="&amp;DATE($B$3,2,1),업무일지!$B$5:$B$1004,"&lt;"&amp;DATE($B$3,2+1,1))&gt;0,1,0))</f>
        <v/>
      </c>
      <c r="AP141">
        <f>IF($O141="",0,IF(COUNTIFS(업무일지!$F$5:$F$1004,$O141,업무일지!$B$5:$B$1004,"&gt;="&amp;DATE($B$3,3,1),업무일지!$B$5:$B$1004,"&lt;"&amp;DATE($B$3,3+1,1))&gt;0,1,0))</f>
        <v/>
      </c>
      <c r="AQ141">
        <f>IF($O141="",0,IF(COUNTIFS(업무일지!$F$5:$F$1004,$O141,업무일지!$B$5:$B$1004,"&gt;="&amp;DATE($B$3,4,1),업무일지!$B$5:$B$1004,"&lt;"&amp;DATE($B$3,4+1,1))&gt;0,1,0))</f>
        <v/>
      </c>
      <c r="AR141">
        <f>IF($O141="",0,IF(COUNTIFS(업무일지!$F$5:$F$1004,$O141,업무일지!$B$5:$B$1004,"&gt;="&amp;DATE($B$3,5,1),업무일지!$B$5:$B$1004,"&lt;"&amp;DATE($B$3,5+1,1))&gt;0,1,0))</f>
        <v/>
      </c>
      <c r="AS141">
        <f>IF($O141="",0,IF(COUNTIFS(업무일지!$F$5:$F$1004,$O141,업무일지!$B$5:$B$1004,"&gt;="&amp;DATE($B$3,6,1),업무일지!$B$5:$B$1004,"&lt;"&amp;DATE($B$3,6+1,1))&gt;0,1,0))</f>
        <v/>
      </c>
      <c r="AT141">
        <f>IF($O141="",0,IF(COUNTIFS(업무일지!$F$5:$F$1004,$O141,업무일지!$B$5:$B$1004,"&gt;="&amp;DATE($B$3,7,1),업무일지!$B$5:$B$1004,"&lt;"&amp;DATE($B$3,7+1,1))&gt;0,1,0))</f>
        <v/>
      </c>
      <c r="AU141">
        <f>IF($O141="",0,IF(COUNTIFS(업무일지!$F$5:$F$1004,$O141,업무일지!$B$5:$B$1004,"&gt;="&amp;DATE($B$3,8,1),업무일지!$B$5:$B$1004,"&lt;"&amp;DATE($B$3,8+1,1))&gt;0,1,0))</f>
        <v/>
      </c>
      <c r="AV141">
        <f>IF($O141="",0,IF(COUNTIFS(업무일지!$F$5:$F$1004,$O141,업무일지!$B$5:$B$1004,"&gt;="&amp;DATE($B$3,9,1),업무일지!$B$5:$B$1004,"&lt;"&amp;DATE($B$3,9+1,1))&gt;0,1,0))</f>
        <v/>
      </c>
      <c r="AW141">
        <f>IF($O141="",0,IF(COUNTIFS(업무일지!$F$5:$F$1004,$O141,업무일지!$B$5:$B$1004,"&gt;="&amp;DATE($B$3,10,1),업무일지!$B$5:$B$1004,"&lt;"&amp;DATE($B$3,10+1,1))&gt;0,1,0))</f>
        <v/>
      </c>
      <c r="AX141">
        <f>IF($O141="",0,IF(COUNTIFS(업무일지!$F$5:$F$1004,$O141,업무일지!$B$5:$B$1004,"&gt;="&amp;DATE($B$3,11,1),업무일지!$B$5:$B$1004,"&lt;"&amp;DATE($B$3,11+1,1))&gt;0,1,0))</f>
        <v/>
      </c>
      <c r="AY141">
        <f>IF($O141="",0,IF(COUNTIFS(업무일지!$F$5:$F$1004,$O141,업무일지!$B$5:$B$1004,"&gt;="&amp;DATE($B$3,12,1),업무일지!$B$5:$B$1004,"&lt;"&amp;DATE($B$3,12+1,1))&gt;0,1,0))</f>
        <v/>
      </c>
      <c r="AZ141">
        <f>IF($O141="",0,IF(COUNTIFS(업무일지!$F$5:$F$1004,$O141,업무일지!$B$5:$B$1004,"&gt;="&amp;DATE($B$3,1,1),업무일지!$B$5:$B$1004,"&lt;"&amp;DATE($B$3+1,1,1),업무일지!$D$5:$D$1004,"출장")&gt;0,1,0))</f>
        <v/>
      </c>
      <c r="BA141">
        <f>IF($O141="",0,IF(COUNTIFS(업무일지!$F$5:$F$1004,$O141,업무일지!$B$5:$B$1004,"&gt;="&amp;DATE($B$3,1,1),업무일지!$B$5:$B$1004,"&lt;"&amp;DATE($B$3+1,1,1),업무일지!$D$5:$D$1004,"분석")&gt;0,1,0))</f>
        <v/>
      </c>
      <c r="BB141">
        <f>IF($O141="",0,IF(COUNTIFS(업무일지!$F$5:$F$1004,$O141,업무일지!$B$5:$B$1004,"&gt;="&amp;DATE($B$3,1,1),업무일지!$B$5:$B$1004,"&lt;"&amp;DATE($B$3+1,1,1))&gt;0,1,0))</f>
        <v/>
      </c>
      <c r="BD141">
        <f>IF($O141="",0,IF(COUNTIFS(업무일지!$F$5:$F$1004,$O141,업무일지!$B$5:$B$1004,"&gt;="&amp;DATE($B$3,1,1),업무일지!$B$5:$B$1004,"&lt;"&amp;DATE($B$3+1,1,1),업무일지!$AB$5:$AB$1004,$A$44,업무일지!$D$5:$D$1004,"출장")&gt;0,1,0))</f>
        <v/>
      </c>
      <c r="BE141">
        <f>IF($O141="",0,IF(COUNTIFS(업무일지!$F$5:$F$1004,$O141,업무일지!$B$5:$B$1004,"&gt;="&amp;DATE($B$3,1,1),업무일지!$B$5:$B$1004,"&lt;"&amp;DATE($B$3+1,1,1),업무일지!$AB$5:$AB$1004,$A$45,업무일지!$D$5:$D$1004,"출장")&gt;0,1,0))</f>
        <v/>
      </c>
      <c r="BF141">
        <f>IF($O141="",0,IF(COUNTIFS(업무일지!$F$5:$F$1004,$O141,업무일지!$B$5:$B$1004,"&gt;="&amp;DATE($B$3,1,1),업무일지!$B$5:$B$1004,"&lt;"&amp;DATE($B$3+1,1,1),업무일지!$AB$5:$AB$1004,$A$46,업무일지!$D$5:$D$1004,"출장")&gt;0,1,0))</f>
        <v/>
      </c>
      <c r="BG141">
        <f>IF($O141="",0,IF(COUNTIFS(업무일지!$F$5:$F$1004,$O141,업무일지!$B$5:$B$1004,"&gt;="&amp;DATE($B$3,1,1),업무일지!$B$5:$B$1004,"&lt;"&amp;DATE($B$3+1,1,1),업무일지!$AB$5:$AB$1004,$A$47,업무일지!$D$5:$D$1004,"출장")&gt;0,1,0))</f>
        <v/>
      </c>
      <c r="BH141">
        <f>IF($O141="",0,IF(COUNTIFS(업무일지!$F$5:$F$1004,$O141,업무일지!$B$5:$B$1004,"&gt;="&amp;DATE($B$3,1,1),업무일지!$B$5:$B$1004,"&lt;"&amp;DATE($B$3+1,1,1),업무일지!$AB$5:$AB$1004,$A$48,업무일지!$D$5:$D$1004,"출장")&gt;0,1,0))</f>
        <v/>
      </c>
      <c r="BI141">
        <f>IF($O141="",0,IF(COUNTIFS(업무일지!$F$5:$F$1004,$O141,업무일지!$B$5:$B$1004,"&gt;="&amp;DATE($B$3,1,1),업무일지!$B$5:$B$1004,"&lt;"&amp;DATE($B$3+1,1,1),업무일지!$AB$5:$AB$1004,$A$49,업무일지!$D$5:$D$1004,"출장")&gt;0,1,0))</f>
        <v/>
      </c>
      <c r="BJ141">
        <f>IF($O141="",0,IF(COUNTIFS(업무일지!$F$5:$F$1004,$O141,업무일지!$B$5:$B$1004,"&gt;="&amp;DATE($B$3,1,1),업무일지!$B$5:$B$1004,"&lt;"&amp;DATE($B$3+1,1,1),업무일지!$AB$5:$AB$1004,$A$50,업무일지!$D$5:$D$1004,"출장")&gt;0,1,0))</f>
        <v/>
      </c>
      <c r="BK141">
        <f>IF($O141="",0,IF(COUNTIFS(업무일지!$F$5:$F$1004,$O141,업무일지!$B$5:$B$1004,"&gt;="&amp;DATE($B$3,1,1),업무일지!$B$5:$B$1004,"&lt;"&amp;DATE($B$3+1,1,1),업무일지!$AB$5:$AB$1004,$A$51,업무일지!$D$5:$D$1004,"출장")&gt;0,1,0))</f>
        <v/>
      </c>
      <c r="BL141">
        <f>IF($O141="",0,IF(COUNTIFS(업무일지!$F$5:$F$1004,$O141,업무일지!$B$5:$B$1004,"&gt;="&amp;DATE($B$3,1,1),업무일지!$B$5:$B$1004,"&lt;"&amp;DATE($B$3+1,1,1),업무일지!$AB$5:$AB$1004,$A$52,업무일지!$D$5:$D$1004,"출장")&gt;0,1,0))</f>
        <v/>
      </c>
      <c r="BM141">
        <f>IF($O141="",0,IF(COUNTIFS(업무일지!$F$5:$F$1004,$O141,업무일지!$B$5:$B$1004,"&gt;="&amp;DATE($B$3,1,1),업무일지!$B$5:$B$1004,"&lt;"&amp;DATE($B$3+1,1,1),업무일지!$AB$5:$AB$1004,$A$53,업무일지!$D$5:$D$1004,"출장")&gt;0,1,0))</f>
        <v/>
      </c>
      <c r="BO141">
        <f>IF($O141="",0,IF(COUNTIFS(업무일지!$F$5:$F$1004,$O141,업무일지!$B$5:$B$1004,"&gt;="&amp;DATE($B$3,1,1),업무일지!$B$5:$B$1004,"&lt;"&amp;DATE($B$3+1,1,1),업무일지!$AB$5:$AB$1004,$A$44,업무일지!$D$5:$D$1004,"분석")&gt;0,1,0))</f>
        <v/>
      </c>
      <c r="BP141">
        <f>IF($O141="",0,IF(COUNTIFS(업무일지!$F$5:$F$1004,$O141,업무일지!$B$5:$B$1004,"&gt;="&amp;DATE($B$3,1,1),업무일지!$B$5:$B$1004,"&lt;"&amp;DATE($B$3+1,1,1),업무일지!$AB$5:$AB$1004,$A$45,업무일지!$D$5:$D$1004,"분석")&gt;0,1,0))</f>
        <v/>
      </c>
      <c r="BQ141">
        <f>IF($O141="",0,IF(COUNTIFS(업무일지!$F$5:$F$1004,$O141,업무일지!$B$5:$B$1004,"&gt;="&amp;DATE($B$3,1,1),업무일지!$B$5:$B$1004,"&lt;"&amp;DATE($B$3+1,1,1),업무일지!$AB$5:$AB$1004,$A$46,업무일지!$D$5:$D$1004,"분석")&gt;0,1,0))</f>
        <v/>
      </c>
      <c r="BR141">
        <f>IF($O141="",0,IF(COUNTIFS(업무일지!$F$5:$F$1004,$O141,업무일지!$B$5:$B$1004,"&gt;="&amp;DATE($B$3,1,1),업무일지!$B$5:$B$1004,"&lt;"&amp;DATE($B$3+1,1,1),업무일지!$AB$5:$AB$1004,$A$47,업무일지!$D$5:$D$1004,"분석")&gt;0,1,0))</f>
        <v/>
      </c>
      <c r="BS141">
        <f>IF($O141="",0,IF(COUNTIFS(업무일지!$F$5:$F$1004,$O141,업무일지!$B$5:$B$1004,"&gt;="&amp;DATE($B$3,1,1),업무일지!$B$5:$B$1004,"&lt;"&amp;DATE($B$3+1,1,1),업무일지!$AB$5:$AB$1004,$A$48,업무일지!$D$5:$D$1004,"분석")&gt;0,1,0))</f>
        <v/>
      </c>
      <c r="BT141">
        <f>IF($O141="",0,IF(COUNTIFS(업무일지!$F$5:$F$1004,$O141,업무일지!$B$5:$B$1004,"&gt;="&amp;DATE($B$3,1,1),업무일지!$B$5:$B$1004,"&lt;"&amp;DATE($B$3+1,1,1),업무일지!$AB$5:$AB$1004,$A$49,업무일지!$D$5:$D$1004,"분석")&gt;0,1,0))</f>
        <v/>
      </c>
      <c r="BU141">
        <f>IF($O141="",0,IF(COUNTIFS(업무일지!$F$5:$F$1004,$O141,업무일지!$B$5:$B$1004,"&gt;="&amp;DATE($B$3,1,1),업무일지!$B$5:$B$1004,"&lt;"&amp;DATE($B$3+1,1,1),업무일지!$AB$5:$AB$1004,$A$50,업무일지!$D$5:$D$1004,"분석")&gt;0,1,0))</f>
        <v/>
      </c>
      <c r="BV141">
        <f>IF($O141="",0,IF(COUNTIFS(업무일지!$F$5:$F$1004,$O141,업무일지!$B$5:$B$1004,"&gt;="&amp;DATE($B$3,1,1),업무일지!$B$5:$B$1004,"&lt;"&amp;DATE($B$3+1,1,1),업무일지!$AB$5:$AB$1004,$A$51,업무일지!$D$5:$D$1004,"분석")&gt;0,1,0))</f>
        <v/>
      </c>
      <c r="BW141">
        <f>IF($O141="",0,IF(COUNTIFS(업무일지!$F$5:$F$1004,$O141,업무일지!$B$5:$B$1004,"&gt;="&amp;DATE($B$3,1,1),업무일지!$B$5:$B$1004,"&lt;"&amp;DATE($B$3+1,1,1),업무일지!$AB$5:$AB$1004,$A$52,업무일지!$D$5:$D$1004,"분석")&gt;0,1,0))</f>
        <v/>
      </c>
      <c r="BX141">
        <f>IF($O141="",0,IF(COUNTIFS(업무일지!$F$5:$F$1004,$O141,업무일지!$B$5:$B$1004,"&gt;="&amp;DATE($B$3,1,1),업무일지!$B$5:$B$1004,"&lt;"&amp;DATE($B$3+1,1,1),업무일지!$AB$5:$AB$1004,$A$53,업무일지!$D$5:$D$1004,"분석")&gt;0,1,0))</f>
        <v/>
      </c>
      <c r="BZ141">
        <f>IF($O141="",0,IF(COUNTIFS(업무일지!$F$5:$F$1004,$O141,업무일지!$B$5:$B$1004,"&gt;="&amp;DATE($B$3,1,1),업무일지!$B$5:$B$1004,"&lt;"&amp;DATE($B$3+1,1,1),업무일지!$AB$5:$AB$1004,$A$44)&gt;0,1,0))</f>
        <v/>
      </c>
      <c r="CA141">
        <f>IF($O141="",0,IF(COUNTIFS(업무일지!$F$5:$F$1004,$O141,업무일지!$B$5:$B$1004,"&gt;="&amp;DATE($B$3,1,1),업무일지!$B$5:$B$1004,"&lt;"&amp;DATE($B$3+1,1,1),업무일지!$AB$5:$AB$1004,$A$45)&gt;0,1,0))</f>
        <v/>
      </c>
      <c r="CB141">
        <f>IF($O141="",0,IF(COUNTIFS(업무일지!$F$5:$F$1004,$O141,업무일지!$B$5:$B$1004,"&gt;="&amp;DATE($B$3,1,1),업무일지!$B$5:$B$1004,"&lt;"&amp;DATE($B$3+1,1,1),업무일지!$AB$5:$AB$1004,$A$46)&gt;0,1,0))</f>
        <v/>
      </c>
      <c r="CC141">
        <f>IF($O141="",0,IF(COUNTIFS(업무일지!$F$5:$F$1004,$O141,업무일지!$B$5:$B$1004,"&gt;="&amp;DATE($B$3,1,1),업무일지!$B$5:$B$1004,"&lt;"&amp;DATE($B$3+1,1,1),업무일지!$AB$5:$AB$1004,$A$47)&gt;0,1,0))</f>
        <v/>
      </c>
      <c r="CD141">
        <f>IF($O141="",0,IF(COUNTIFS(업무일지!$F$5:$F$1004,$O141,업무일지!$B$5:$B$1004,"&gt;="&amp;DATE($B$3,1,1),업무일지!$B$5:$B$1004,"&lt;"&amp;DATE($B$3+1,1,1),업무일지!$AB$5:$AB$1004,$A$48)&gt;0,1,0))</f>
        <v/>
      </c>
      <c r="CE141">
        <f>IF($O141="",0,IF(COUNTIFS(업무일지!$F$5:$F$1004,$O141,업무일지!$B$5:$B$1004,"&gt;="&amp;DATE($B$3,1,1),업무일지!$B$5:$B$1004,"&lt;"&amp;DATE($B$3+1,1,1),업무일지!$AB$5:$AB$1004,$A$49)&gt;0,1,0))</f>
        <v/>
      </c>
      <c r="CF141">
        <f>IF($O141="",0,IF(COUNTIFS(업무일지!$F$5:$F$1004,$O141,업무일지!$B$5:$B$1004,"&gt;="&amp;DATE($B$3,1,1),업무일지!$B$5:$B$1004,"&lt;"&amp;DATE($B$3+1,1,1),업무일지!$AB$5:$AB$1004,$A$50)&gt;0,1,0))</f>
        <v/>
      </c>
      <c r="CG141">
        <f>IF($O141="",0,IF(COUNTIFS(업무일지!$F$5:$F$1004,$O141,업무일지!$B$5:$B$1004,"&gt;="&amp;DATE($B$3,1,1),업무일지!$B$5:$B$1004,"&lt;"&amp;DATE($B$3+1,1,1),업무일지!$AB$5:$AB$1004,$A$51)&gt;0,1,0))</f>
        <v/>
      </c>
      <c r="CH141">
        <f>IF($O141="",0,IF(COUNTIFS(업무일지!$F$5:$F$1004,$O141,업무일지!$B$5:$B$1004,"&gt;="&amp;DATE($B$3,1,1),업무일지!$B$5:$B$1004,"&lt;"&amp;DATE($B$3+1,1,1),업무일지!$AB$5:$AB$1004,$A$52)&gt;0,1,0))</f>
        <v/>
      </c>
      <c r="CI141">
        <f>IF($O141="",0,IF(COUNTIFS(업무일지!$F$5:$F$1004,$O141,업무일지!$B$5:$B$1004,"&gt;="&amp;DATE($B$3,1,1),업무일지!$B$5:$B$1004,"&lt;"&amp;DATE($B$3+1,1,1),업무일지!$AB$5:$AB$1004,$A$53)&gt;0,1,0))</f>
        <v/>
      </c>
    </row>
    <row r="142">
      <c r="O142">
        <f>IF(사건마스터!$A62="","",사건마스터!$A62)</f>
        <v/>
      </c>
      <c r="P142">
        <f>IF($O142="",0,IF(COUNTIFS(업무일지!$F$5:$F$1004,$O142,업무일지!$B$5:$B$1004,"&gt;="&amp;DATE($B$3,1,1),업무일지!$B$5:$B$1004,"&lt;"&amp;DATE($B$3,1+1,1),업무일지!$D$5:$D$1004,"출장")&gt;0,1,0))</f>
        <v/>
      </c>
      <c r="Q142">
        <f>IF($O142="",0,IF(COUNTIFS(업무일지!$F$5:$F$1004,$O142,업무일지!$B$5:$B$1004,"&gt;="&amp;DATE($B$3,2,1),업무일지!$B$5:$B$1004,"&lt;"&amp;DATE($B$3,2+1,1),업무일지!$D$5:$D$1004,"출장")&gt;0,1,0))</f>
        <v/>
      </c>
      <c r="R142">
        <f>IF($O142="",0,IF(COUNTIFS(업무일지!$F$5:$F$1004,$O142,업무일지!$B$5:$B$1004,"&gt;="&amp;DATE($B$3,3,1),업무일지!$B$5:$B$1004,"&lt;"&amp;DATE($B$3,3+1,1),업무일지!$D$5:$D$1004,"출장")&gt;0,1,0))</f>
        <v/>
      </c>
      <c r="S142">
        <f>IF($O142="",0,IF(COUNTIFS(업무일지!$F$5:$F$1004,$O142,업무일지!$B$5:$B$1004,"&gt;="&amp;DATE($B$3,4,1),업무일지!$B$5:$B$1004,"&lt;"&amp;DATE($B$3,4+1,1),업무일지!$D$5:$D$1004,"출장")&gt;0,1,0))</f>
        <v/>
      </c>
      <c r="T142">
        <f>IF($O142="",0,IF(COUNTIFS(업무일지!$F$5:$F$1004,$O142,업무일지!$B$5:$B$1004,"&gt;="&amp;DATE($B$3,5,1),업무일지!$B$5:$B$1004,"&lt;"&amp;DATE($B$3,5+1,1),업무일지!$D$5:$D$1004,"출장")&gt;0,1,0))</f>
        <v/>
      </c>
      <c r="U142">
        <f>IF($O142="",0,IF(COUNTIFS(업무일지!$F$5:$F$1004,$O142,업무일지!$B$5:$B$1004,"&gt;="&amp;DATE($B$3,6,1),업무일지!$B$5:$B$1004,"&lt;"&amp;DATE($B$3,6+1,1),업무일지!$D$5:$D$1004,"출장")&gt;0,1,0))</f>
        <v/>
      </c>
      <c r="V142">
        <f>IF($O142="",0,IF(COUNTIFS(업무일지!$F$5:$F$1004,$O142,업무일지!$B$5:$B$1004,"&gt;="&amp;DATE($B$3,7,1),업무일지!$B$5:$B$1004,"&lt;"&amp;DATE($B$3,7+1,1),업무일지!$D$5:$D$1004,"출장")&gt;0,1,0))</f>
        <v/>
      </c>
      <c r="W142">
        <f>IF($O142="",0,IF(COUNTIFS(업무일지!$F$5:$F$1004,$O142,업무일지!$B$5:$B$1004,"&gt;="&amp;DATE($B$3,8,1),업무일지!$B$5:$B$1004,"&lt;"&amp;DATE($B$3,8+1,1),업무일지!$D$5:$D$1004,"출장")&gt;0,1,0))</f>
        <v/>
      </c>
      <c r="X142">
        <f>IF($O142="",0,IF(COUNTIFS(업무일지!$F$5:$F$1004,$O142,업무일지!$B$5:$B$1004,"&gt;="&amp;DATE($B$3,9,1),업무일지!$B$5:$B$1004,"&lt;"&amp;DATE($B$3,9+1,1),업무일지!$D$5:$D$1004,"출장")&gt;0,1,0))</f>
        <v/>
      </c>
      <c r="Y142">
        <f>IF($O142="",0,IF(COUNTIFS(업무일지!$F$5:$F$1004,$O142,업무일지!$B$5:$B$1004,"&gt;="&amp;DATE($B$3,10,1),업무일지!$B$5:$B$1004,"&lt;"&amp;DATE($B$3,10+1,1),업무일지!$D$5:$D$1004,"출장")&gt;0,1,0))</f>
        <v/>
      </c>
      <c r="Z142">
        <f>IF($O142="",0,IF(COUNTIFS(업무일지!$F$5:$F$1004,$O142,업무일지!$B$5:$B$1004,"&gt;="&amp;DATE($B$3,11,1),업무일지!$B$5:$B$1004,"&lt;"&amp;DATE($B$3,11+1,1),업무일지!$D$5:$D$1004,"출장")&gt;0,1,0))</f>
        <v/>
      </c>
      <c r="AA142">
        <f>IF($O142="",0,IF(COUNTIFS(업무일지!$F$5:$F$1004,$O142,업무일지!$B$5:$B$1004,"&gt;="&amp;DATE($B$3,12,1),업무일지!$B$5:$B$1004,"&lt;"&amp;DATE($B$3,12+1,1),업무일지!$D$5:$D$1004,"출장")&gt;0,1,0))</f>
        <v/>
      </c>
      <c r="AB142">
        <f>IF($O142="",0,IF(COUNTIFS(업무일지!$F$5:$F$1004,$O142,업무일지!$B$5:$B$1004,"&gt;="&amp;DATE($B$3,1,1),업무일지!$B$5:$B$1004,"&lt;"&amp;DATE($B$3,1+1,1),업무일지!$D$5:$D$1004,"분석")&gt;0,1,0))</f>
        <v/>
      </c>
      <c r="AC142">
        <f>IF($O142="",0,IF(COUNTIFS(업무일지!$F$5:$F$1004,$O142,업무일지!$B$5:$B$1004,"&gt;="&amp;DATE($B$3,2,1),업무일지!$B$5:$B$1004,"&lt;"&amp;DATE($B$3,2+1,1),업무일지!$D$5:$D$1004,"분석")&gt;0,1,0))</f>
        <v/>
      </c>
      <c r="AD142">
        <f>IF($O142="",0,IF(COUNTIFS(업무일지!$F$5:$F$1004,$O142,업무일지!$B$5:$B$1004,"&gt;="&amp;DATE($B$3,3,1),업무일지!$B$5:$B$1004,"&lt;"&amp;DATE($B$3,3+1,1),업무일지!$D$5:$D$1004,"분석")&gt;0,1,0))</f>
        <v/>
      </c>
      <c r="AE142">
        <f>IF($O142="",0,IF(COUNTIFS(업무일지!$F$5:$F$1004,$O142,업무일지!$B$5:$B$1004,"&gt;="&amp;DATE($B$3,4,1),업무일지!$B$5:$B$1004,"&lt;"&amp;DATE($B$3,4+1,1),업무일지!$D$5:$D$1004,"분석")&gt;0,1,0))</f>
        <v/>
      </c>
      <c r="AF142">
        <f>IF($O142="",0,IF(COUNTIFS(업무일지!$F$5:$F$1004,$O142,업무일지!$B$5:$B$1004,"&gt;="&amp;DATE($B$3,5,1),업무일지!$B$5:$B$1004,"&lt;"&amp;DATE($B$3,5+1,1),업무일지!$D$5:$D$1004,"분석")&gt;0,1,0))</f>
        <v/>
      </c>
      <c r="AG142">
        <f>IF($O142="",0,IF(COUNTIFS(업무일지!$F$5:$F$1004,$O142,업무일지!$B$5:$B$1004,"&gt;="&amp;DATE($B$3,6,1),업무일지!$B$5:$B$1004,"&lt;"&amp;DATE($B$3,6+1,1),업무일지!$D$5:$D$1004,"분석")&gt;0,1,0))</f>
        <v/>
      </c>
      <c r="AH142">
        <f>IF($O142="",0,IF(COUNTIFS(업무일지!$F$5:$F$1004,$O142,업무일지!$B$5:$B$1004,"&gt;="&amp;DATE($B$3,7,1),업무일지!$B$5:$B$1004,"&lt;"&amp;DATE($B$3,7+1,1),업무일지!$D$5:$D$1004,"분석")&gt;0,1,0))</f>
        <v/>
      </c>
      <c r="AI142">
        <f>IF($O142="",0,IF(COUNTIFS(업무일지!$F$5:$F$1004,$O142,업무일지!$B$5:$B$1004,"&gt;="&amp;DATE($B$3,8,1),업무일지!$B$5:$B$1004,"&lt;"&amp;DATE($B$3,8+1,1),업무일지!$D$5:$D$1004,"분석")&gt;0,1,0))</f>
        <v/>
      </c>
      <c r="AJ142">
        <f>IF($O142="",0,IF(COUNTIFS(업무일지!$F$5:$F$1004,$O142,업무일지!$B$5:$B$1004,"&gt;="&amp;DATE($B$3,9,1),업무일지!$B$5:$B$1004,"&lt;"&amp;DATE($B$3,9+1,1),업무일지!$D$5:$D$1004,"분석")&gt;0,1,0))</f>
        <v/>
      </c>
      <c r="AK142">
        <f>IF($O142="",0,IF(COUNTIFS(업무일지!$F$5:$F$1004,$O142,업무일지!$B$5:$B$1004,"&gt;="&amp;DATE($B$3,10,1),업무일지!$B$5:$B$1004,"&lt;"&amp;DATE($B$3,10+1,1),업무일지!$D$5:$D$1004,"분석")&gt;0,1,0))</f>
        <v/>
      </c>
      <c r="AL142">
        <f>IF($O142="",0,IF(COUNTIFS(업무일지!$F$5:$F$1004,$O142,업무일지!$B$5:$B$1004,"&gt;="&amp;DATE($B$3,11,1),업무일지!$B$5:$B$1004,"&lt;"&amp;DATE($B$3,11+1,1),업무일지!$D$5:$D$1004,"분석")&gt;0,1,0))</f>
        <v/>
      </c>
      <c r="AM142">
        <f>IF($O142="",0,IF(COUNTIFS(업무일지!$F$5:$F$1004,$O142,업무일지!$B$5:$B$1004,"&gt;="&amp;DATE($B$3,12,1),업무일지!$B$5:$B$1004,"&lt;"&amp;DATE($B$3,12+1,1),업무일지!$D$5:$D$1004,"분석")&gt;0,1,0))</f>
        <v/>
      </c>
      <c r="AN142">
        <f>IF($O142="",0,IF(COUNTIFS(업무일지!$F$5:$F$1004,$O142,업무일지!$B$5:$B$1004,"&gt;="&amp;DATE($B$3,1,1),업무일지!$B$5:$B$1004,"&lt;"&amp;DATE($B$3,1+1,1))&gt;0,1,0))</f>
        <v/>
      </c>
      <c r="AO142">
        <f>IF($O142="",0,IF(COUNTIFS(업무일지!$F$5:$F$1004,$O142,업무일지!$B$5:$B$1004,"&gt;="&amp;DATE($B$3,2,1),업무일지!$B$5:$B$1004,"&lt;"&amp;DATE($B$3,2+1,1))&gt;0,1,0))</f>
        <v/>
      </c>
      <c r="AP142">
        <f>IF($O142="",0,IF(COUNTIFS(업무일지!$F$5:$F$1004,$O142,업무일지!$B$5:$B$1004,"&gt;="&amp;DATE($B$3,3,1),업무일지!$B$5:$B$1004,"&lt;"&amp;DATE($B$3,3+1,1))&gt;0,1,0))</f>
        <v/>
      </c>
      <c r="AQ142">
        <f>IF($O142="",0,IF(COUNTIFS(업무일지!$F$5:$F$1004,$O142,업무일지!$B$5:$B$1004,"&gt;="&amp;DATE($B$3,4,1),업무일지!$B$5:$B$1004,"&lt;"&amp;DATE($B$3,4+1,1))&gt;0,1,0))</f>
        <v/>
      </c>
      <c r="AR142">
        <f>IF($O142="",0,IF(COUNTIFS(업무일지!$F$5:$F$1004,$O142,업무일지!$B$5:$B$1004,"&gt;="&amp;DATE($B$3,5,1),업무일지!$B$5:$B$1004,"&lt;"&amp;DATE($B$3,5+1,1))&gt;0,1,0))</f>
        <v/>
      </c>
      <c r="AS142">
        <f>IF($O142="",0,IF(COUNTIFS(업무일지!$F$5:$F$1004,$O142,업무일지!$B$5:$B$1004,"&gt;="&amp;DATE($B$3,6,1),업무일지!$B$5:$B$1004,"&lt;"&amp;DATE($B$3,6+1,1))&gt;0,1,0))</f>
        <v/>
      </c>
      <c r="AT142">
        <f>IF($O142="",0,IF(COUNTIFS(업무일지!$F$5:$F$1004,$O142,업무일지!$B$5:$B$1004,"&gt;="&amp;DATE($B$3,7,1),업무일지!$B$5:$B$1004,"&lt;"&amp;DATE($B$3,7+1,1))&gt;0,1,0))</f>
        <v/>
      </c>
      <c r="AU142">
        <f>IF($O142="",0,IF(COUNTIFS(업무일지!$F$5:$F$1004,$O142,업무일지!$B$5:$B$1004,"&gt;="&amp;DATE($B$3,8,1),업무일지!$B$5:$B$1004,"&lt;"&amp;DATE($B$3,8+1,1))&gt;0,1,0))</f>
        <v/>
      </c>
      <c r="AV142">
        <f>IF($O142="",0,IF(COUNTIFS(업무일지!$F$5:$F$1004,$O142,업무일지!$B$5:$B$1004,"&gt;="&amp;DATE($B$3,9,1),업무일지!$B$5:$B$1004,"&lt;"&amp;DATE($B$3,9+1,1))&gt;0,1,0))</f>
        <v/>
      </c>
      <c r="AW142">
        <f>IF($O142="",0,IF(COUNTIFS(업무일지!$F$5:$F$1004,$O142,업무일지!$B$5:$B$1004,"&gt;="&amp;DATE($B$3,10,1),업무일지!$B$5:$B$1004,"&lt;"&amp;DATE($B$3,10+1,1))&gt;0,1,0))</f>
        <v/>
      </c>
      <c r="AX142">
        <f>IF($O142="",0,IF(COUNTIFS(업무일지!$F$5:$F$1004,$O142,업무일지!$B$5:$B$1004,"&gt;="&amp;DATE($B$3,11,1),업무일지!$B$5:$B$1004,"&lt;"&amp;DATE($B$3,11+1,1))&gt;0,1,0))</f>
        <v/>
      </c>
      <c r="AY142">
        <f>IF($O142="",0,IF(COUNTIFS(업무일지!$F$5:$F$1004,$O142,업무일지!$B$5:$B$1004,"&gt;="&amp;DATE($B$3,12,1),업무일지!$B$5:$B$1004,"&lt;"&amp;DATE($B$3,12+1,1))&gt;0,1,0))</f>
        <v/>
      </c>
      <c r="AZ142">
        <f>IF($O142="",0,IF(COUNTIFS(업무일지!$F$5:$F$1004,$O142,업무일지!$B$5:$B$1004,"&gt;="&amp;DATE($B$3,1,1),업무일지!$B$5:$B$1004,"&lt;"&amp;DATE($B$3+1,1,1),업무일지!$D$5:$D$1004,"출장")&gt;0,1,0))</f>
        <v/>
      </c>
      <c r="BA142">
        <f>IF($O142="",0,IF(COUNTIFS(업무일지!$F$5:$F$1004,$O142,업무일지!$B$5:$B$1004,"&gt;="&amp;DATE($B$3,1,1),업무일지!$B$5:$B$1004,"&lt;"&amp;DATE($B$3+1,1,1),업무일지!$D$5:$D$1004,"분석")&gt;0,1,0))</f>
        <v/>
      </c>
      <c r="BB142">
        <f>IF($O142="",0,IF(COUNTIFS(업무일지!$F$5:$F$1004,$O142,업무일지!$B$5:$B$1004,"&gt;="&amp;DATE($B$3,1,1),업무일지!$B$5:$B$1004,"&lt;"&amp;DATE($B$3+1,1,1))&gt;0,1,0))</f>
        <v/>
      </c>
      <c r="BD142">
        <f>IF($O142="",0,IF(COUNTIFS(업무일지!$F$5:$F$1004,$O142,업무일지!$B$5:$B$1004,"&gt;="&amp;DATE($B$3,1,1),업무일지!$B$5:$B$1004,"&lt;"&amp;DATE($B$3+1,1,1),업무일지!$AB$5:$AB$1004,$A$44,업무일지!$D$5:$D$1004,"출장")&gt;0,1,0))</f>
        <v/>
      </c>
      <c r="BE142">
        <f>IF($O142="",0,IF(COUNTIFS(업무일지!$F$5:$F$1004,$O142,업무일지!$B$5:$B$1004,"&gt;="&amp;DATE($B$3,1,1),업무일지!$B$5:$B$1004,"&lt;"&amp;DATE($B$3+1,1,1),업무일지!$AB$5:$AB$1004,$A$45,업무일지!$D$5:$D$1004,"출장")&gt;0,1,0))</f>
        <v/>
      </c>
      <c r="BF142">
        <f>IF($O142="",0,IF(COUNTIFS(업무일지!$F$5:$F$1004,$O142,업무일지!$B$5:$B$1004,"&gt;="&amp;DATE($B$3,1,1),업무일지!$B$5:$B$1004,"&lt;"&amp;DATE($B$3+1,1,1),업무일지!$AB$5:$AB$1004,$A$46,업무일지!$D$5:$D$1004,"출장")&gt;0,1,0))</f>
        <v/>
      </c>
      <c r="BG142">
        <f>IF($O142="",0,IF(COUNTIFS(업무일지!$F$5:$F$1004,$O142,업무일지!$B$5:$B$1004,"&gt;="&amp;DATE($B$3,1,1),업무일지!$B$5:$B$1004,"&lt;"&amp;DATE($B$3+1,1,1),업무일지!$AB$5:$AB$1004,$A$47,업무일지!$D$5:$D$1004,"출장")&gt;0,1,0))</f>
        <v/>
      </c>
      <c r="BH142">
        <f>IF($O142="",0,IF(COUNTIFS(업무일지!$F$5:$F$1004,$O142,업무일지!$B$5:$B$1004,"&gt;="&amp;DATE($B$3,1,1),업무일지!$B$5:$B$1004,"&lt;"&amp;DATE($B$3+1,1,1),업무일지!$AB$5:$AB$1004,$A$48,업무일지!$D$5:$D$1004,"출장")&gt;0,1,0))</f>
        <v/>
      </c>
      <c r="BI142">
        <f>IF($O142="",0,IF(COUNTIFS(업무일지!$F$5:$F$1004,$O142,업무일지!$B$5:$B$1004,"&gt;="&amp;DATE($B$3,1,1),업무일지!$B$5:$B$1004,"&lt;"&amp;DATE($B$3+1,1,1),업무일지!$AB$5:$AB$1004,$A$49,업무일지!$D$5:$D$1004,"출장")&gt;0,1,0))</f>
        <v/>
      </c>
      <c r="BJ142">
        <f>IF($O142="",0,IF(COUNTIFS(업무일지!$F$5:$F$1004,$O142,업무일지!$B$5:$B$1004,"&gt;="&amp;DATE($B$3,1,1),업무일지!$B$5:$B$1004,"&lt;"&amp;DATE($B$3+1,1,1),업무일지!$AB$5:$AB$1004,$A$50,업무일지!$D$5:$D$1004,"출장")&gt;0,1,0))</f>
        <v/>
      </c>
      <c r="BK142">
        <f>IF($O142="",0,IF(COUNTIFS(업무일지!$F$5:$F$1004,$O142,업무일지!$B$5:$B$1004,"&gt;="&amp;DATE($B$3,1,1),업무일지!$B$5:$B$1004,"&lt;"&amp;DATE($B$3+1,1,1),업무일지!$AB$5:$AB$1004,$A$51,업무일지!$D$5:$D$1004,"출장")&gt;0,1,0))</f>
        <v/>
      </c>
      <c r="BL142">
        <f>IF($O142="",0,IF(COUNTIFS(업무일지!$F$5:$F$1004,$O142,업무일지!$B$5:$B$1004,"&gt;="&amp;DATE($B$3,1,1),업무일지!$B$5:$B$1004,"&lt;"&amp;DATE($B$3+1,1,1),업무일지!$AB$5:$AB$1004,$A$52,업무일지!$D$5:$D$1004,"출장")&gt;0,1,0))</f>
        <v/>
      </c>
      <c r="BM142">
        <f>IF($O142="",0,IF(COUNTIFS(업무일지!$F$5:$F$1004,$O142,업무일지!$B$5:$B$1004,"&gt;="&amp;DATE($B$3,1,1),업무일지!$B$5:$B$1004,"&lt;"&amp;DATE($B$3+1,1,1),업무일지!$AB$5:$AB$1004,$A$53,업무일지!$D$5:$D$1004,"출장")&gt;0,1,0))</f>
        <v/>
      </c>
      <c r="BO142">
        <f>IF($O142="",0,IF(COUNTIFS(업무일지!$F$5:$F$1004,$O142,업무일지!$B$5:$B$1004,"&gt;="&amp;DATE($B$3,1,1),업무일지!$B$5:$B$1004,"&lt;"&amp;DATE($B$3+1,1,1),업무일지!$AB$5:$AB$1004,$A$44,업무일지!$D$5:$D$1004,"분석")&gt;0,1,0))</f>
        <v/>
      </c>
      <c r="BP142">
        <f>IF($O142="",0,IF(COUNTIFS(업무일지!$F$5:$F$1004,$O142,업무일지!$B$5:$B$1004,"&gt;="&amp;DATE($B$3,1,1),업무일지!$B$5:$B$1004,"&lt;"&amp;DATE($B$3+1,1,1),업무일지!$AB$5:$AB$1004,$A$45,업무일지!$D$5:$D$1004,"분석")&gt;0,1,0))</f>
        <v/>
      </c>
      <c r="BQ142">
        <f>IF($O142="",0,IF(COUNTIFS(업무일지!$F$5:$F$1004,$O142,업무일지!$B$5:$B$1004,"&gt;="&amp;DATE($B$3,1,1),업무일지!$B$5:$B$1004,"&lt;"&amp;DATE($B$3+1,1,1),업무일지!$AB$5:$AB$1004,$A$46,업무일지!$D$5:$D$1004,"분석")&gt;0,1,0))</f>
        <v/>
      </c>
      <c r="BR142">
        <f>IF($O142="",0,IF(COUNTIFS(업무일지!$F$5:$F$1004,$O142,업무일지!$B$5:$B$1004,"&gt;="&amp;DATE($B$3,1,1),업무일지!$B$5:$B$1004,"&lt;"&amp;DATE($B$3+1,1,1),업무일지!$AB$5:$AB$1004,$A$47,업무일지!$D$5:$D$1004,"분석")&gt;0,1,0))</f>
        <v/>
      </c>
      <c r="BS142">
        <f>IF($O142="",0,IF(COUNTIFS(업무일지!$F$5:$F$1004,$O142,업무일지!$B$5:$B$1004,"&gt;="&amp;DATE($B$3,1,1),업무일지!$B$5:$B$1004,"&lt;"&amp;DATE($B$3+1,1,1),업무일지!$AB$5:$AB$1004,$A$48,업무일지!$D$5:$D$1004,"분석")&gt;0,1,0))</f>
        <v/>
      </c>
      <c r="BT142">
        <f>IF($O142="",0,IF(COUNTIFS(업무일지!$F$5:$F$1004,$O142,업무일지!$B$5:$B$1004,"&gt;="&amp;DATE($B$3,1,1),업무일지!$B$5:$B$1004,"&lt;"&amp;DATE($B$3+1,1,1),업무일지!$AB$5:$AB$1004,$A$49,업무일지!$D$5:$D$1004,"분석")&gt;0,1,0))</f>
        <v/>
      </c>
      <c r="BU142">
        <f>IF($O142="",0,IF(COUNTIFS(업무일지!$F$5:$F$1004,$O142,업무일지!$B$5:$B$1004,"&gt;="&amp;DATE($B$3,1,1),업무일지!$B$5:$B$1004,"&lt;"&amp;DATE($B$3+1,1,1),업무일지!$AB$5:$AB$1004,$A$50,업무일지!$D$5:$D$1004,"분석")&gt;0,1,0))</f>
        <v/>
      </c>
      <c r="BV142">
        <f>IF($O142="",0,IF(COUNTIFS(업무일지!$F$5:$F$1004,$O142,업무일지!$B$5:$B$1004,"&gt;="&amp;DATE($B$3,1,1),업무일지!$B$5:$B$1004,"&lt;"&amp;DATE($B$3+1,1,1),업무일지!$AB$5:$AB$1004,$A$51,업무일지!$D$5:$D$1004,"분석")&gt;0,1,0))</f>
        <v/>
      </c>
      <c r="BW142">
        <f>IF($O142="",0,IF(COUNTIFS(업무일지!$F$5:$F$1004,$O142,업무일지!$B$5:$B$1004,"&gt;="&amp;DATE($B$3,1,1),업무일지!$B$5:$B$1004,"&lt;"&amp;DATE($B$3+1,1,1),업무일지!$AB$5:$AB$1004,$A$52,업무일지!$D$5:$D$1004,"분석")&gt;0,1,0))</f>
        <v/>
      </c>
      <c r="BX142">
        <f>IF($O142="",0,IF(COUNTIFS(업무일지!$F$5:$F$1004,$O142,업무일지!$B$5:$B$1004,"&gt;="&amp;DATE($B$3,1,1),업무일지!$B$5:$B$1004,"&lt;"&amp;DATE($B$3+1,1,1),업무일지!$AB$5:$AB$1004,$A$53,업무일지!$D$5:$D$1004,"분석")&gt;0,1,0))</f>
        <v/>
      </c>
      <c r="BZ142">
        <f>IF($O142="",0,IF(COUNTIFS(업무일지!$F$5:$F$1004,$O142,업무일지!$B$5:$B$1004,"&gt;="&amp;DATE($B$3,1,1),업무일지!$B$5:$B$1004,"&lt;"&amp;DATE($B$3+1,1,1),업무일지!$AB$5:$AB$1004,$A$44)&gt;0,1,0))</f>
        <v/>
      </c>
      <c r="CA142">
        <f>IF($O142="",0,IF(COUNTIFS(업무일지!$F$5:$F$1004,$O142,업무일지!$B$5:$B$1004,"&gt;="&amp;DATE($B$3,1,1),업무일지!$B$5:$B$1004,"&lt;"&amp;DATE($B$3+1,1,1),업무일지!$AB$5:$AB$1004,$A$45)&gt;0,1,0))</f>
        <v/>
      </c>
      <c r="CB142">
        <f>IF($O142="",0,IF(COUNTIFS(업무일지!$F$5:$F$1004,$O142,업무일지!$B$5:$B$1004,"&gt;="&amp;DATE($B$3,1,1),업무일지!$B$5:$B$1004,"&lt;"&amp;DATE($B$3+1,1,1),업무일지!$AB$5:$AB$1004,$A$46)&gt;0,1,0))</f>
        <v/>
      </c>
      <c r="CC142">
        <f>IF($O142="",0,IF(COUNTIFS(업무일지!$F$5:$F$1004,$O142,업무일지!$B$5:$B$1004,"&gt;="&amp;DATE($B$3,1,1),업무일지!$B$5:$B$1004,"&lt;"&amp;DATE($B$3+1,1,1),업무일지!$AB$5:$AB$1004,$A$47)&gt;0,1,0))</f>
        <v/>
      </c>
      <c r="CD142">
        <f>IF($O142="",0,IF(COUNTIFS(업무일지!$F$5:$F$1004,$O142,업무일지!$B$5:$B$1004,"&gt;="&amp;DATE($B$3,1,1),업무일지!$B$5:$B$1004,"&lt;"&amp;DATE($B$3+1,1,1),업무일지!$AB$5:$AB$1004,$A$48)&gt;0,1,0))</f>
        <v/>
      </c>
      <c r="CE142">
        <f>IF($O142="",0,IF(COUNTIFS(업무일지!$F$5:$F$1004,$O142,업무일지!$B$5:$B$1004,"&gt;="&amp;DATE($B$3,1,1),업무일지!$B$5:$B$1004,"&lt;"&amp;DATE($B$3+1,1,1),업무일지!$AB$5:$AB$1004,$A$49)&gt;0,1,0))</f>
        <v/>
      </c>
      <c r="CF142">
        <f>IF($O142="",0,IF(COUNTIFS(업무일지!$F$5:$F$1004,$O142,업무일지!$B$5:$B$1004,"&gt;="&amp;DATE($B$3,1,1),업무일지!$B$5:$B$1004,"&lt;"&amp;DATE($B$3+1,1,1),업무일지!$AB$5:$AB$1004,$A$50)&gt;0,1,0))</f>
        <v/>
      </c>
      <c r="CG142">
        <f>IF($O142="",0,IF(COUNTIFS(업무일지!$F$5:$F$1004,$O142,업무일지!$B$5:$B$1004,"&gt;="&amp;DATE($B$3,1,1),업무일지!$B$5:$B$1004,"&lt;"&amp;DATE($B$3+1,1,1),업무일지!$AB$5:$AB$1004,$A$51)&gt;0,1,0))</f>
        <v/>
      </c>
      <c r="CH142">
        <f>IF($O142="",0,IF(COUNTIFS(업무일지!$F$5:$F$1004,$O142,업무일지!$B$5:$B$1004,"&gt;="&amp;DATE($B$3,1,1),업무일지!$B$5:$B$1004,"&lt;"&amp;DATE($B$3+1,1,1),업무일지!$AB$5:$AB$1004,$A$52)&gt;0,1,0))</f>
        <v/>
      </c>
      <c r="CI142">
        <f>IF($O142="",0,IF(COUNTIFS(업무일지!$F$5:$F$1004,$O142,업무일지!$B$5:$B$1004,"&gt;="&amp;DATE($B$3,1,1),업무일지!$B$5:$B$1004,"&lt;"&amp;DATE($B$3+1,1,1),업무일지!$AB$5:$AB$1004,$A$53)&gt;0,1,0))</f>
        <v/>
      </c>
    </row>
    <row r="143">
      <c r="O143">
        <f>IF(사건마스터!$A63="","",사건마스터!$A63)</f>
        <v/>
      </c>
      <c r="P143">
        <f>IF($O143="",0,IF(COUNTIFS(업무일지!$F$5:$F$1004,$O143,업무일지!$B$5:$B$1004,"&gt;="&amp;DATE($B$3,1,1),업무일지!$B$5:$B$1004,"&lt;"&amp;DATE($B$3,1+1,1),업무일지!$D$5:$D$1004,"출장")&gt;0,1,0))</f>
        <v/>
      </c>
      <c r="Q143">
        <f>IF($O143="",0,IF(COUNTIFS(업무일지!$F$5:$F$1004,$O143,업무일지!$B$5:$B$1004,"&gt;="&amp;DATE($B$3,2,1),업무일지!$B$5:$B$1004,"&lt;"&amp;DATE($B$3,2+1,1),업무일지!$D$5:$D$1004,"출장")&gt;0,1,0))</f>
        <v/>
      </c>
      <c r="R143">
        <f>IF($O143="",0,IF(COUNTIFS(업무일지!$F$5:$F$1004,$O143,업무일지!$B$5:$B$1004,"&gt;="&amp;DATE($B$3,3,1),업무일지!$B$5:$B$1004,"&lt;"&amp;DATE($B$3,3+1,1),업무일지!$D$5:$D$1004,"출장")&gt;0,1,0))</f>
        <v/>
      </c>
      <c r="S143">
        <f>IF($O143="",0,IF(COUNTIFS(업무일지!$F$5:$F$1004,$O143,업무일지!$B$5:$B$1004,"&gt;="&amp;DATE($B$3,4,1),업무일지!$B$5:$B$1004,"&lt;"&amp;DATE($B$3,4+1,1),업무일지!$D$5:$D$1004,"출장")&gt;0,1,0))</f>
        <v/>
      </c>
      <c r="T143">
        <f>IF($O143="",0,IF(COUNTIFS(업무일지!$F$5:$F$1004,$O143,업무일지!$B$5:$B$1004,"&gt;="&amp;DATE($B$3,5,1),업무일지!$B$5:$B$1004,"&lt;"&amp;DATE($B$3,5+1,1),업무일지!$D$5:$D$1004,"출장")&gt;0,1,0))</f>
        <v/>
      </c>
      <c r="U143">
        <f>IF($O143="",0,IF(COUNTIFS(업무일지!$F$5:$F$1004,$O143,업무일지!$B$5:$B$1004,"&gt;="&amp;DATE($B$3,6,1),업무일지!$B$5:$B$1004,"&lt;"&amp;DATE($B$3,6+1,1),업무일지!$D$5:$D$1004,"출장")&gt;0,1,0))</f>
        <v/>
      </c>
      <c r="V143">
        <f>IF($O143="",0,IF(COUNTIFS(업무일지!$F$5:$F$1004,$O143,업무일지!$B$5:$B$1004,"&gt;="&amp;DATE($B$3,7,1),업무일지!$B$5:$B$1004,"&lt;"&amp;DATE($B$3,7+1,1),업무일지!$D$5:$D$1004,"출장")&gt;0,1,0))</f>
        <v/>
      </c>
      <c r="W143">
        <f>IF($O143="",0,IF(COUNTIFS(업무일지!$F$5:$F$1004,$O143,업무일지!$B$5:$B$1004,"&gt;="&amp;DATE($B$3,8,1),업무일지!$B$5:$B$1004,"&lt;"&amp;DATE($B$3,8+1,1),업무일지!$D$5:$D$1004,"출장")&gt;0,1,0))</f>
        <v/>
      </c>
      <c r="X143">
        <f>IF($O143="",0,IF(COUNTIFS(업무일지!$F$5:$F$1004,$O143,업무일지!$B$5:$B$1004,"&gt;="&amp;DATE($B$3,9,1),업무일지!$B$5:$B$1004,"&lt;"&amp;DATE($B$3,9+1,1),업무일지!$D$5:$D$1004,"출장")&gt;0,1,0))</f>
        <v/>
      </c>
      <c r="Y143">
        <f>IF($O143="",0,IF(COUNTIFS(업무일지!$F$5:$F$1004,$O143,업무일지!$B$5:$B$1004,"&gt;="&amp;DATE($B$3,10,1),업무일지!$B$5:$B$1004,"&lt;"&amp;DATE($B$3,10+1,1),업무일지!$D$5:$D$1004,"출장")&gt;0,1,0))</f>
        <v/>
      </c>
      <c r="Z143">
        <f>IF($O143="",0,IF(COUNTIFS(업무일지!$F$5:$F$1004,$O143,업무일지!$B$5:$B$1004,"&gt;="&amp;DATE($B$3,11,1),업무일지!$B$5:$B$1004,"&lt;"&amp;DATE($B$3,11+1,1),업무일지!$D$5:$D$1004,"출장")&gt;0,1,0))</f>
        <v/>
      </c>
      <c r="AA143">
        <f>IF($O143="",0,IF(COUNTIFS(업무일지!$F$5:$F$1004,$O143,업무일지!$B$5:$B$1004,"&gt;="&amp;DATE($B$3,12,1),업무일지!$B$5:$B$1004,"&lt;"&amp;DATE($B$3,12+1,1),업무일지!$D$5:$D$1004,"출장")&gt;0,1,0))</f>
        <v/>
      </c>
      <c r="AB143">
        <f>IF($O143="",0,IF(COUNTIFS(업무일지!$F$5:$F$1004,$O143,업무일지!$B$5:$B$1004,"&gt;="&amp;DATE($B$3,1,1),업무일지!$B$5:$B$1004,"&lt;"&amp;DATE($B$3,1+1,1),업무일지!$D$5:$D$1004,"분석")&gt;0,1,0))</f>
        <v/>
      </c>
      <c r="AC143">
        <f>IF($O143="",0,IF(COUNTIFS(업무일지!$F$5:$F$1004,$O143,업무일지!$B$5:$B$1004,"&gt;="&amp;DATE($B$3,2,1),업무일지!$B$5:$B$1004,"&lt;"&amp;DATE($B$3,2+1,1),업무일지!$D$5:$D$1004,"분석")&gt;0,1,0))</f>
        <v/>
      </c>
      <c r="AD143">
        <f>IF($O143="",0,IF(COUNTIFS(업무일지!$F$5:$F$1004,$O143,업무일지!$B$5:$B$1004,"&gt;="&amp;DATE($B$3,3,1),업무일지!$B$5:$B$1004,"&lt;"&amp;DATE($B$3,3+1,1),업무일지!$D$5:$D$1004,"분석")&gt;0,1,0))</f>
        <v/>
      </c>
      <c r="AE143">
        <f>IF($O143="",0,IF(COUNTIFS(업무일지!$F$5:$F$1004,$O143,업무일지!$B$5:$B$1004,"&gt;="&amp;DATE($B$3,4,1),업무일지!$B$5:$B$1004,"&lt;"&amp;DATE($B$3,4+1,1),업무일지!$D$5:$D$1004,"분석")&gt;0,1,0))</f>
        <v/>
      </c>
      <c r="AF143">
        <f>IF($O143="",0,IF(COUNTIFS(업무일지!$F$5:$F$1004,$O143,업무일지!$B$5:$B$1004,"&gt;="&amp;DATE($B$3,5,1),업무일지!$B$5:$B$1004,"&lt;"&amp;DATE($B$3,5+1,1),업무일지!$D$5:$D$1004,"분석")&gt;0,1,0))</f>
        <v/>
      </c>
      <c r="AG143">
        <f>IF($O143="",0,IF(COUNTIFS(업무일지!$F$5:$F$1004,$O143,업무일지!$B$5:$B$1004,"&gt;="&amp;DATE($B$3,6,1),업무일지!$B$5:$B$1004,"&lt;"&amp;DATE($B$3,6+1,1),업무일지!$D$5:$D$1004,"분석")&gt;0,1,0))</f>
        <v/>
      </c>
      <c r="AH143">
        <f>IF($O143="",0,IF(COUNTIFS(업무일지!$F$5:$F$1004,$O143,업무일지!$B$5:$B$1004,"&gt;="&amp;DATE($B$3,7,1),업무일지!$B$5:$B$1004,"&lt;"&amp;DATE($B$3,7+1,1),업무일지!$D$5:$D$1004,"분석")&gt;0,1,0))</f>
        <v/>
      </c>
      <c r="AI143">
        <f>IF($O143="",0,IF(COUNTIFS(업무일지!$F$5:$F$1004,$O143,업무일지!$B$5:$B$1004,"&gt;="&amp;DATE($B$3,8,1),업무일지!$B$5:$B$1004,"&lt;"&amp;DATE($B$3,8+1,1),업무일지!$D$5:$D$1004,"분석")&gt;0,1,0))</f>
        <v/>
      </c>
      <c r="AJ143">
        <f>IF($O143="",0,IF(COUNTIFS(업무일지!$F$5:$F$1004,$O143,업무일지!$B$5:$B$1004,"&gt;="&amp;DATE($B$3,9,1),업무일지!$B$5:$B$1004,"&lt;"&amp;DATE($B$3,9+1,1),업무일지!$D$5:$D$1004,"분석")&gt;0,1,0))</f>
        <v/>
      </c>
      <c r="AK143">
        <f>IF($O143="",0,IF(COUNTIFS(업무일지!$F$5:$F$1004,$O143,업무일지!$B$5:$B$1004,"&gt;="&amp;DATE($B$3,10,1),업무일지!$B$5:$B$1004,"&lt;"&amp;DATE($B$3,10+1,1),업무일지!$D$5:$D$1004,"분석")&gt;0,1,0))</f>
        <v/>
      </c>
      <c r="AL143">
        <f>IF($O143="",0,IF(COUNTIFS(업무일지!$F$5:$F$1004,$O143,업무일지!$B$5:$B$1004,"&gt;="&amp;DATE($B$3,11,1),업무일지!$B$5:$B$1004,"&lt;"&amp;DATE($B$3,11+1,1),업무일지!$D$5:$D$1004,"분석")&gt;0,1,0))</f>
        <v/>
      </c>
      <c r="AM143">
        <f>IF($O143="",0,IF(COUNTIFS(업무일지!$F$5:$F$1004,$O143,업무일지!$B$5:$B$1004,"&gt;="&amp;DATE($B$3,12,1),업무일지!$B$5:$B$1004,"&lt;"&amp;DATE($B$3,12+1,1),업무일지!$D$5:$D$1004,"분석")&gt;0,1,0))</f>
        <v/>
      </c>
      <c r="AN143">
        <f>IF($O143="",0,IF(COUNTIFS(업무일지!$F$5:$F$1004,$O143,업무일지!$B$5:$B$1004,"&gt;="&amp;DATE($B$3,1,1),업무일지!$B$5:$B$1004,"&lt;"&amp;DATE($B$3,1+1,1))&gt;0,1,0))</f>
        <v/>
      </c>
      <c r="AO143">
        <f>IF($O143="",0,IF(COUNTIFS(업무일지!$F$5:$F$1004,$O143,업무일지!$B$5:$B$1004,"&gt;="&amp;DATE($B$3,2,1),업무일지!$B$5:$B$1004,"&lt;"&amp;DATE($B$3,2+1,1))&gt;0,1,0))</f>
        <v/>
      </c>
      <c r="AP143">
        <f>IF($O143="",0,IF(COUNTIFS(업무일지!$F$5:$F$1004,$O143,업무일지!$B$5:$B$1004,"&gt;="&amp;DATE($B$3,3,1),업무일지!$B$5:$B$1004,"&lt;"&amp;DATE($B$3,3+1,1))&gt;0,1,0))</f>
        <v/>
      </c>
      <c r="AQ143">
        <f>IF($O143="",0,IF(COUNTIFS(업무일지!$F$5:$F$1004,$O143,업무일지!$B$5:$B$1004,"&gt;="&amp;DATE($B$3,4,1),업무일지!$B$5:$B$1004,"&lt;"&amp;DATE($B$3,4+1,1))&gt;0,1,0))</f>
        <v/>
      </c>
      <c r="AR143">
        <f>IF($O143="",0,IF(COUNTIFS(업무일지!$F$5:$F$1004,$O143,업무일지!$B$5:$B$1004,"&gt;="&amp;DATE($B$3,5,1),업무일지!$B$5:$B$1004,"&lt;"&amp;DATE($B$3,5+1,1))&gt;0,1,0))</f>
        <v/>
      </c>
      <c r="AS143">
        <f>IF($O143="",0,IF(COUNTIFS(업무일지!$F$5:$F$1004,$O143,업무일지!$B$5:$B$1004,"&gt;="&amp;DATE($B$3,6,1),업무일지!$B$5:$B$1004,"&lt;"&amp;DATE($B$3,6+1,1))&gt;0,1,0))</f>
        <v/>
      </c>
      <c r="AT143">
        <f>IF($O143="",0,IF(COUNTIFS(업무일지!$F$5:$F$1004,$O143,업무일지!$B$5:$B$1004,"&gt;="&amp;DATE($B$3,7,1),업무일지!$B$5:$B$1004,"&lt;"&amp;DATE($B$3,7+1,1))&gt;0,1,0))</f>
        <v/>
      </c>
      <c r="AU143">
        <f>IF($O143="",0,IF(COUNTIFS(업무일지!$F$5:$F$1004,$O143,업무일지!$B$5:$B$1004,"&gt;="&amp;DATE($B$3,8,1),업무일지!$B$5:$B$1004,"&lt;"&amp;DATE($B$3,8+1,1))&gt;0,1,0))</f>
        <v/>
      </c>
      <c r="AV143">
        <f>IF($O143="",0,IF(COUNTIFS(업무일지!$F$5:$F$1004,$O143,업무일지!$B$5:$B$1004,"&gt;="&amp;DATE($B$3,9,1),업무일지!$B$5:$B$1004,"&lt;"&amp;DATE($B$3,9+1,1))&gt;0,1,0))</f>
        <v/>
      </c>
      <c r="AW143">
        <f>IF($O143="",0,IF(COUNTIFS(업무일지!$F$5:$F$1004,$O143,업무일지!$B$5:$B$1004,"&gt;="&amp;DATE($B$3,10,1),업무일지!$B$5:$B$1004,"&lt;"&amp;DATE($B$3,10+1,1))&gt;0,1,0))</f>
        <v/>
      </c>
      <c r="AX143">
        <f>IF($O143="",0,IF(COUNTIFS(업무일지!$F$5:$F$1004,$O143,업무일지!$B$5:$B$1004,"&gt;="&amp;DATE($B$3,11,1),업무일지!$B$5:$B$1004,"&lt;"&amp;DATE($B$3,11+1,1))&gt;0,1,0))</f>
        <v/>
      </c>
      <c r="AY143">
        <f>IF($O143="",0,IF(COUNTIFS(업무일지!$F$5:$F$1004,$O143,업무일지!$B$5:$B$1004,"&gt;="&amp;DATE($B$3,12,1),업무일지!$B$5:$B$1004,"&lt;"&amp;DATE($B$3,12+1,1))&gt;0,1,0))</f>
        <v/>
      </c>
      <c r="AZ143">
        <f>IF($O143="",0,IF(COUNTIFS(업무일지!$F$5:$F$1004,$O143,업무일지!$B$5:$B$1004,"&gt;="&amp;DATE($B$3,1,1),업무일지!$B$5:$B$1004,"&lt;"&amp;DATE($B$3+1,1,1),업무일지!$D$5:$D$1004,"출장")&gt;0,1,0))</f>
        <v/>
      </c>
      <c r="BA143">
        <f>IF($O143="",0,IF(COUNTIFS(업무일지!$F$5:$F$1004,$O143,업무일지!$B$5:$B$1004,"&gt;="&amp;DATE($B$3,1,1),업무일지!$B$5:$B$1004,"&lt;"&amp;DATE($B$3+1,1,1),업무일지!$D$5:$D$1004,"분석")&gt;0,1,0))</f>
        <v/>
      </c>
      <c r="BB143">
        <f>IF($O143="",0,IF(COUNTIFS(업무일지!$F$5:$F$1004,$O143,업무일지!$B$5:$B$1004,"&gt;="&amp;DATE($B$3,1,1),업무일지!$B$5:$B$1004,"&lt;"&amp;DATE($B$3+1,1,1))&gt;0,1,0))</f>
        <v/>
      </c>
      <c r="BD143">
        <f>IF($O143="",0,IF(COUNTIFS(업무일지!$F$5:$F$1004,$O143,업무일지!$B$5:$B$1004,"&gt;="&amp;DATE($B$3,1,1),업무일지!$B$5:$B$1004,"&lt;"&amp;DATE($B$3+1,1,1),업무일지!$AB$5:$AB$1004,$A$44,업무일지!$D$5:$D$1004,"출장")&gt;0,1,0))</f>
        <v/>
      </c>
      <c r="BE143">
        <f>IF($O143="",0,IF(COUNTIFS(업무일지!$F$5:$F$1004,$O143,업무일지!$B$5:$B$1004,"&gt;="&amp;DATE($B$3,1,1),업무일지!$B$5:$B$1004,"&lt;"&amp;DATE($B$3+1,1,1),업무일지!$AB$5:$AB$1004,$A$45,업무일지!$D$5:$D$1004,"출장")&gt;0,1,0))</f>
        <v/>
      </c>
      <c r="BF143">
        <f>IF($O143="",0,IF(COUNTIFS(업무일지!$F$5:$F$1004,$O143,업무일지!$B$5:$B$1004,"&gt;="&amp;DATE($B$3,1,1),업무일지!$B$5:$B$1004,"&lt;"&amp;DATE($B$3+1,1,1),업무일지!$AB$5:$AB$1004,$A$46,업무일지!$D$5:$D$1004,"출장")&gt;0,1,0))</f>
        <v/>
      </c>
      <c r="BG143">
        <f>IF($O143="",0,IF(COUNTIFS(업무일지!$F$5:$F$1004,$O143,업무일지!$B$5:$B$1004,"&gt;="&amp;DATE($B$3,1,1),업무일지!$B$5:$B$1004,"&lt;"&amp;DATE($B$3+1,1,1),업무일지!$AB$5:$AB$1004,$A$47,업무일지!$D$5:$D$1004,"출장")&gt;0,1,0))</f>
        <v/>
      </c>
      <c r="BH143">
        <f>IF($O143="",0,IF(COUNTIFS(업무일지!$F$5:$F$1004,$O143,업무일지!$B$5:$B$1004,"&gt;="&amp;DATE($B$3,1,1),업무일지!$B$5:$B$1004,"&lt;"&amp;DATE($B$3+1,1,1),업무일지!$AB$5:$AB$1004,$A$48,업무일지!$D$5:$D$1004,"출장")&gt;0,1,0))</f>
        <v/>
      </c>
      <c r="BI143">
        <f>IF($O143="",0,IF(COUNTIFS(업무일지!$F$5:$F$1004,$O143,업무일지!$B$5:$B$1004,"&gt;="&amp;DATE($B$3,1,1),업무일지!$B$5:$B$1004,"&lt;"&amp;DATE($B$3+1,1,1),업무일지!$AB$5:$AB$1004,$A$49,업무일지!$D$5:$D$1004,"출장")&gt;0,1,0))</f>
        <v/>
      </c>
      <c r="BJ143">
        <f>IF($O143="",0,IF(COUNTIFS(업무일지!$F$5:$F$1004,$O143,업무일지!$B$5:$B$1004,"&gt;="&amp;DATE($B$3,1,1),업무일지!$B$5:$B$1004,"&lt;"&amp;DATE($B$3+1,1,1),업무일지!$AB$5:$AB$1004,$A$50,업무일지!$D$5:$D$1004,"출장")&gt;0,1,0))</f>
        <v/>
      </c>
      <c r="BK143">
        <f>IF($O143="",0,IF(COUNTIFS(업무일지!$F$5:$F$1004,$O143,업무일지!$B$5:$B$1004,"&gt;="&amp;DATE($B$3,1,1),업무일지!$B$5:$B$1004,"&lt;"&amp;DATE($B$3+1,1,1),업무일지!$AB$5:$AB$1004,$A$51,업무일지!$D$5:$D$1004,"출장")&gt;0,1,0))</f>
        <v/>
      </c>
      <c r="BL143">
        <f>IF($O143="",0,IF(COUNTIFS(업무일지!$F$5:$F$1004,$O143,업무일지!$B$5:$B$1004,"&gt;="&amp;DATE($B$3,1,1),업무일지!$B$5:$B$1004,"&lt;"&amp;DATE($B$3+1,1,1),업무일지!$AB$5:$AB$1004,$A$52,업무일지!$D$5:$D$1004,"출장")&gt;0,1,0))</f>
        <v/>
      </c>
      <c r="BM143">
        <f>IF($O143="",0,IF(COUNTIFS(업무일지!$F$5:$F$1004,$O143,업무일지!$B$5:$B$1004,"&gt;="&amp;DATE($B$3,1,1),업무일지!$B$5:$B$1004,"&lt;"&amp;DATE($B$3+1,1,1),업무일지!$AB$5:$AB$1004,$A$53,업무일지!$D$5:$D$1004,"출장")&gt;0,1,0))</f>
        <v/>
      </c>
      <c r="BO143">
        <f>IF($O143="",0,IF(COUNTIFS(업무일지!$F$5:$F$1004,$O143,업무일지!$B$5:$B$1004,"&gt;="&amp;DATE($B$3,1,1),업무일지!$B$5:$B$1004,"&lt;"&amp;DATE($B$3+1,1,1),업무일지!$AB$5:$AB$1004,$A$44,업무일지!$D$5:$D$1004,"분석")&gt;0,1,0))</f>
        <v/>
      </c>
      <c r="BP143">
        <f>IF($O143="",0,IF(COUNTIFS(업무일지!$F$5:$F$1004,$O143,업무일지!$B$5:$B$1004,"&gt;="&amp;DATE($B$3,1,1),업무일지!$B$5:$B$1004,"&lt;"&amp;DATE($B$3+1,1,1),업무일지!$AB$5:$AB$1004,$A$45,업무일지!$D$5:$D$1004,"분석")&gt;0,1,0))</f>
        <v/>
      </c>
      <c r="BQ143">
        <f>IF($O143="",0,IF(COUNTIFS(업무일지!$F$5:$F$1004,$O143,업무일지!$B$5:$B$1004,"&gt;="&amp;DATE($B$3,1,1),업무일지!$B$5:$B$1004,"&lt;"&amp;DATE($B$3+1,1,1),업무일지!$AB$5:$AB$1004,$A$46,업무일지!$D$5:$D$1004,"분석")&gt;0,1,0))</f>
        <v/>
      </c>
      <c r="BR143">
        <f>IF($O143="",0,IF(COUNTIFS(업무일지!$F$5:$F$1004,$O143,업무일지!$B$5:$B$1004,"&gt;="&amp;DATE($B$3,1,1),업무일지!$B$5:$B$1004,"&lt;"&amp;DATE($B$3+1,1,1),업무일지!$AB$5:$AB$1004,$A$47,업무일지!$D$5:$D$1004,"분석")&gt;0,1,0))</f>
        <v/>
      </c>
      <c r="BS143">
        <f>IF($O143="",0,IF(COUNTIFS(업무일지!$F$5:$F$1004,$O143,업무일지!$B$5:$B$1004,"&gt;="&amp;DATE($B$3,1,1),업무일지!$B$5:$B$1004,"&lt;"&amp;DATE($B$3+1,1,1),업무일지!$AB$5:$AB$1004,$A$48,업무일지!$D$5:$D$1004,"분석")&gt;0,1,0))</f>
        <v/>
      </c>
      <c r="BT143">
        <f>IF($O143="",0,IF(COUNTIFS(업무일지!$F$5:$F$1004,$O143,업무일지!$B$5:$B$1004,"&gt;="&amp;DATE($B$3,1,1),업무일지!$B$5:$B$1004,"&lt;"&amp;DATE($B$3+1,1,1),업무일지!$AB$5:$AB$1004,$A$49,업무일지!$D$5:$D$1004,"분석")&gt;0,1,0))</f>
        <v/>
      </c>
      <c r="BU143">
        <f>IF($O143="",0,IF(COUNTIFS(업무일지!$F$5:$F$1004,$O143,업무일지!$B$5:$B$1004,"&gt;="&amp;DATE($B$3,1,1),업무일지!$B$5:$B$1004,"&lt;"&amp;DATE($B$3+1,1,1),업무일지!$AB$5:$AB$1004,$A$50,업무일지!$D$5:$D$1004,"분석")&gt;0,1,0))</f>
        <v/>
      </c>
      <c r="BV143">
        <f>IF($O143="",0,IF(COUNTIFS(업무일지!$F$5:$F$1004,$O143,업무일지!$B$5:$B$1004,"&gt;="&amp;DATE($B$3,1,1),업무일지!$B$5:$B$1004,"&lt;"&amp;DATE($B$3+1,1,1),업무일지!$AB$5:$AB$1004,$A$51,업무일지!$D$5:$D$1004,"분석")&gt;0,1,0))</f>
        <v/>
      </c>
      <c r="BW143">
        <f>IF($O143="",0,IF(COUNTIFS(업무일지!$F$5:$F$1004,$O143,업무일지!$B$5:$B$1004,"&gt;="&amp;DATE($B$3,1,1),업무일지!$B$5:$B$1004,"&lt;"&amp;DATE($B$3+1,1,1),업무일지!$AB$5:$AB$1004,$A$52,업무일지!$D$5:$D$1004,"분석")&gt;0,1,0))</f>
        <v/>
      </c>
      <c r="BX143">
        <f>IF($O143="",0,IF(COUNTIFS(업무일지!$F$5:$F$1004,$O143,업무일지!$B$5:$B$1004,"&gt;="&amp;DATE($B$3,1,1),업무일지!$B$5:$B$1004,"&lt;"&amp;DATE($B$3+1,1,1),업무일지!$AB$5:$AB$1004,$A$53,업무일지!$D$5:$D$1004,"분석")&gt;0,1,0))</f>
        <v/>
      </c>
      <c r="BZ143">
        <f>IF($O143="",0,IF(COUNTIFS(업무일지!$F$5:$F$1004,$O143,업무일지!$B$5:$B$1004,"&gt;="&amp;DATE($B$3,1,1),업무일지!$B$5:$B$1004,"&lt;"&amp;DATE($B$3+1,1,1),업무일지!$AB$5:$AB$1004,$A$44)&gt;0,1,0))</f>
        <v/>
      </c>
      <c r="CA143">
        <f>IF($O143="",0,IF(COUNTIFS(업무일지!$F$5:$F$1004,$O143,업무일지!$B$5:$B$1004,"&gt;="&amp;DATE($B$3,1,1),업무일지!$B$5:$B$1004,"&lt;"&amp;DATE($B$3+1,1,1),업무일지!$AB$5:$AB$1004,$A$45)&gt;0,1,0))</f>
        <v/>
      </c>
      <c r="CB143">
        <f>IF($O143="",0,IF(COUNTIFS(업무일지!$F$5:$F$1004,$O143,업무일지!$B$5:$B$1004,"&gt;="&amp;DATE($B$3,1,1),업무일지!$B$5:$B$1004,"&lt;"&amp;DATE($B$3+1,1,1),업무일지!$AB$5:$AB$1004,$A$46)&gt;0,1,0))</f>
        <v/>
      </c>
      <c r="CC143">
        <f>IF($O143="",0,IF(COUNTIFS(업무일지!$F$5:$F$1004,$O143,업무일지!$B$5:$B$1004,"&gt;="&amp;DATE($B$3,1,1),업무일지!$B$5:$B$1004,"&lt;"&amp;DATE($B$3+1,1,1),업무일지!$AB$5:$AB$1004,$A$47)&gt;0,1,0))</f>
        <v/>
      </c>
      <c r="CD143">
        <f>IF($O143="",0,IF(COUNTIFS(업무일지!$F$5:$F$1004,$O143,업무일지!$B$5:$B$1004,"&gt;="&amp;DATE($B$3,1,1),업무일지!$B$5:$B$1004,"&lt;"&amp;DATE($B$3+1,1,1),업무일지!$AB$5:$AB$1004,$A$48)&gt;0,1,0))</f>
        <v/>
      </c>
      <c r="CE143">
        <f>IF($O143="",0,IF(COUNTIFS(업무일지!$F$5:$F$1004,$O143,업무일지!$B$5:$B$1004,"&gt;="&amp;DATE($B$3,1,1),업무일지!$B$5:$B$1004,"&lt;"&amp;DATE($B$3+1,1,1),업무일지!$AB$5:$AB$1004,$A$49)&gt;0,1,0))</f>
        <v/>
      </c>
      <c r="CF143">
        <f>IF($O143="",0,IF(COUNTIFS(업무일지!$F$5:$F$1004,$O143,업무일지!$B$5:$B$1004,"&gt;="&amp;DATE($B$3,1,1),업무일지!$B$5:$B$1004,"&lt;"&amp;DATE($B$3+1,1,1),업무일지!$AB$5:$AB$1004,$A$50)&gt;0,1,0))</f>
        <v/>
      </c>
      <c r="CG143">
        <f>IF($O143="",0,IF(COUNTIFS(업무일지!$F$5:$F$1004,$O143,업무일지!$B$5:$B$1004,"&gt;="&amp;DATE($B$3,1,1),업무일지!$B$5:$B$1004,"&lt;"&amp;DATE($B$3+1,1,1),업무일지!$AB$5:$AB$1004,$A$51)&gt;0,1,0))</f>
        <v/>
      </c>
      <c r="CH143">
        <f>IF($O143="",0,IF(COUNTIFS(업무일지!$F$5:$F$1004,$O143,업무일지!$B$5:$B$1004,"&gt;="&amp;DATE($B$3,1,1),업무일지!$B$5:$B$1004,"&lt;"&amp;DATE($B$3+1,1,1),업무일지!$AB$5:$AB$1004,$A$52)&gt;0,1,0))</f>
        <v/>
      </c>
      <c r="CI143">
        <f>IF($O143="",0,IF(COUNTIFS(업무일지!$F$5:$F$1004,$O143,업무일지!$B$5:$B$1004,"&gt;="&amp;DATE($B$3,1,1),업무일지!$B$5:$B$1004,"&lt;"&amp;DATE($B$3+1,1,1),업무일지!$AB$5:$AB$1004,$A$53)&gt;0,1,0))</f>
        <v/>
      </c>
    </row>
    <row r="144">
      <c r="O144">
        <f>IF(사건마스터!$A64="","",사건마스터!$A64)</f>
        <v/>
      </c>
      <c r="P144">
        <f>IF($O144="",0,IF(COUNTIFS(업무일지!$F$5:$F$1004,$O144,업무일지!$B$5:$B$1004,"&gt;="&amp;DATE($B$3,1,1),업무일지!$B$5:$B$1004,"&lt;"&amp;DATE($B$3,1+1,1),업무일지!$D$5:$D$1004,"출장")&gt;0,1,0))</f>
        <v/>
      </c>
      <c r="Q144">
        <f>IF($O144="",0,IF(COUNTIFS(업무일지!$F$5:$F$1004,$O144,업무일지!$B$5:$B$1004,"&gt;="&amp;DATE($B$3,2,1),업무일지!$B$5:$B$1004,"&lt;"&amp;DATE($B$3,2+1,1),업무일지!$D$5:$D$1004,"출장")&gt;0,1,0))</f>
        <v/>
      </c>
      <c r="R144">
        <f>IF($O144="",0,IF(COUNTIFS(업무일지!$F$5:$F$1004,$O144,업무일지!$B$5:$B$1004,"&gt;="&amp;DATE($B$3,3,1),업무일지!$B$5:$B$1004,"&lt;"&amp;DATE($B$3,3+1,1),업무일지!$D$5:$D$1004,"출장")&gt;0,1,0))</f>
        <v/>
      </c>
      <c r="S144">
        <f>IF($O144="",0,IF(COUNTIFS(업무일지!$F$5:$F$1004,$O144,업무일지!$B$5:$B$1004,"&gt;="&amp;DATE($B$3,4,1),업무일지!$B$5:$B$1004,"&lt;"&amp;DATE($B$3,4+1,1),업무일지!$D$5:$D$1004,"출장")&gt;0,1,0))</f>
        <v/>
      </c>
      <c r="T144">
        <f>IF($O144="",0,IF(COUNTIFS(업무일지!$F$5:$F$1004,$O144,업무일지!$B$5:$B$1004,"&gt;="&amp;DATE($B$3,5,1),업무일지!$B$5:$B$1004,"&lt;"&amp;DATE($B$3,5+1,1),업무일지!$D$5:$D$1004,"출장")&gt;0,1,0))</f>
        <v/>
      </c>
      <c r="U144">
        <f>IF($O144="",0,IF(COUNTIFS(업무일지!$F$5:$F$1004,$O144,업무일지!$B$5:$B$1004,"&gt;="&amp;DATE($B$3,6,1),업무일지!$B$5:$B$1004,"&lt;"&amp;DATE($B$3,6+1,1),업무일지!$D$5:$D$1004,"출장")&gt;0,1,0))</f>
        <v/>
      </c>
      <c r="V144">
        <f>IF($O144="",0,IF(COUNTIFS(업무일지!$F$5:$F$1004,$O144,업무일지!$B$5:$B$1004,"&gt;="&amp;DATE($B$3,7,1),업무일지!$B$5:$B$1004,"&lt;"&amp;DATE($B$3,7+1,1),업무일지!$D$5:$D$1004,"출장")&gt;0,1,0))</f>
        <v/>
      </c>
      <c r="W144">
        <f>IF($O144="",0,IF(COUNTIFS(업무일지!$F$5:$F$1004,$O144,업무일지!$B$5:$B$1004,"&gt;="&amp;DATE($B$3,8,1),업무일지!$B$5:$B$1004,"&lt;"&amp;DATE($B$3,8+1,1),업무일지!$D$5:$D$1004,"출장")&gt;0,1,0))</f>
        <v/>
      </c>
      <c r="X144">
        <f>IF($O144="",0,IF(COUNTIFS(업무일지!$F$5:$F$1004,$O144,업무일지!$B$5:$B$1004,"&gt;="&amp;DATE($B$3,9,1),업무일지!$B$5:$B$1004,"&lt;"&amp;DATE($B$3,9+1,1),업무일지!$D$5:$D$1004,"출장")&gt;0,1,0))</f>
        <v/>
      </c>
      <c r="Y144">
        <f>IF($O144="",0,IF(COUNTIFS(업무일지!$F$5:$F$1004,$O144,업무일지!$B$5:$B$1004,"&gt;="&amp;DATE($B$3,10,1),업무일지!$B$5:$B$1004,"&lt;"&amp;DATE($B$3,10+1,1),업무일지!$D$5:$D$1004,"출장")&gt;0,1,0))</f>
        <v/>
      </c>
      <c r="Z144">
        <f>IF($O144="",0,IF(COUNTIFS(업무일지!$F$5:$F$1004,$O144,업무일지!$B$5:$B$1004,"&gt;="&amp;DATE($B$3,11,1),업무일지!$B$5:$B$1004,"&lt;"&amp;DATE($B$3,11+1,1),업무일지!$D$5:$D$1004,"출장")&gt;0,1,0))</f>
        <v/>
      </c>
      <c r="AA144">
        <f>IF($O144="",0,IF(COUNTIFS(업무일지!$F$5:$F$1004,$O144,업무일지!$B$5:$B$1004,"&gt;="&amp;DATE($B$3,12,1),업무일지!$B$5:$B$1004,"&lt;"&amp;DATE($B$3,12+1,1),업무일지!$D$5:$D$1004,"출장")&gt;0,1,0))</f>
        <v/>
      </c>
      <c r="AB144">
        <f>IF($O144="",0,IF(COUNTIFS(업무일지!$F$5:$F$1004,$O144,업무일지!$B$5:$B$1004,"&gt;="&amp;DATE($B$3,1,1),업무일지!$B$5:$B$1004,"&lt;"&amp;DATE($B$3,1+1,1),업무일지!$D$5:$D$1004,"분석")&gt;0,1,0))</f>
        <v/>
      </c>
      <c r="AC144">
        <f>IF($O144="",0,IF(COUNTIFS(업무일지!$F$5:$F$1004,$O144,업무일지!$B$5:$B$1004,"&gt;="&amp;DATE($B$3,2,1),업무일지!$B$5:$B$1004,"&lt;"&amp;DATE($B$3,2+1,1),업무일지!$D$5:$D$1004,"분석")&gt;0,1,0))</f>
        <v/>
      </c>
      <c r="AD144">
        <f>IF($O144="",0,IF(COUNTIFS(업무일지!$F$5:$F$1004,$O144,업무일지!$B$5:$B$1004,"&gt;="&amp;DATE($B$3,3,1),업무일지!$B$5:$B$1004,"&lt;"&amp;DATE($B$3,3+1,1),업무일지!$D$5:$D$1004,"분석")&gt;0,1,0))</f>
        <v/>
      </c>
      <c r="AE144">
        <f>IF($O144="",0,IF(COUNTIFS(업무일지!$F$5:$F$1004,$O144,업무일지!$B$5:$B$1004,"&gt;="&amp;DATE($B$3,4,1),업무일지!$B$5:$B$1004,"&lt;"&amp;DATE($B$3,4+1,1),업무일지!$D$5:$D$1004,"분석")&gt;0,1,0))</f>
        <v/>
      </c>
      <c r="AF144">
        <f>IF($O144="",0,IF(COUNTIFS(업무일지!$F$5:$F$1004,$O144,업무일지!$B$5:$B$1004,"&gt;="&amp;DATE($B$3,5,1),업무일지!$B$5:$B$1004,"&lt;"&amp;DATE($B$3,5+1,1),업무일지!$D$5:$D$1004,"분석")&gt;0,1,0))</f>
        <v/>
      </c>
      <c r="AG144">
        <f>IF($O144="",0,IF(COUNTIFS(업무일지!$F$5:$F$1004,$O144,업무일지!$B$5:$B$1004,"&gt;="&amp;DATE($B$3,6,1),업무일지!$B$5:$B$1004,"&lt;"&amp;DATE($B$3,6+1,1),업무일지!$D$5:$D$1004,"분석")&gt;0,1,0))</f>
        <v/>
      </c>
      <c r="AH144">
        <f>IF($O144="",0,IF(COUNTIFS(업무일지!$F$5:$F$1004,$O144,업무일지!$B$5:$B$1004,"&gt;="&amp;DATE($B$3,7,1),업무일지!$B$5:$B$1004,"&lt;"&amp;DATE($B$3,7+1,1),업무일지!$D$5:$D$1004,"분석")&gt;0,1,0))</f>
        <v/>
      </c>
      <c r="AI144">
        <f>IF($O144="",0,IF(COUNTIFS(업무일지!$F$5:$F$1004,$O144,업무일지!$B$5:$B$1004,"&gt;="&amp;DATE($B$3,8,1),업무일지!$B$5:$B$1004,"&lt;"&amp;DATE($B$3,8+1,1),업무일지!$D$5:$D$1004,"분석")&gt;0,1,0))</f>
        <v/>
      </c>
      <c r="AJ144">
        <f>IF($O144="",0,IF(COUNTIFS(업무일지!$F$5:$F$1004,$O144,업무일지!$B$5:$B$1004,"&gt;="&amp;DATE($B$3,9,1),업무일지!$B$5:$B$1004,"&lt;"&amp;DATE($B$3,9+1,1),업무일지!$D$5:$D$1004,"분석")&gt;0,1,0))</f>
        <v/>
      </c>
      <c r="AK144">
        <f>IF($O144="",0,IF(COUNTIFS(업무일지!$F$5:$F$1004,$O144,업무일지!$B$5:$B$1004,"&gt;="&amp;DATE($B$3,10,1),업무일지!$B$5:$B$1004,"&lt;"&amp;DATE($B$3,10+1,1),업무일지!$D$5:$D$1004,"분석")&gt;0,1,0))</f>
        <v/>
      </c>
      <c r="AL144">
        <f>IF($O144="",0,IF(COUNTIFS(업무일지!$F$5:$F$1004,$O144,업무일지!$B$5:$B$1004,"&gt;="&amp;DATE($B$3,11,1),업무일지!$B$5:$B$1004,"&lt;"&amp;DATE($B$3,11+1,1),업무일지!$D$5:$D$1004,"분석")&gt;0,1,0))</f>
        <v/>
      </c>
      <c r="AM144">
        <f>IF($O144="",0,IF(COUNTIFS(업무일지!$F$5:$F$1004,$O144,업무일지!$B$5:$B$1004,"&gt;="&amp;DATE($B$3,12,1),업무일지!$B$5:$B$1004,"&lt;"&amp;DATE($B$3,12+1,1),업무일지!$D$5:$D$1004,"분석")&gt;0,1,0))</f>
        <v/>
      </c>
      <c r="AN144">
        <f>IF($O144="",0,IF(COUNTIFS(업무일지!$F$5:$F$1004,$O144,업무일지!$B$5:$B$1004,"&gt;="&amp;DATE($B$3,1,1),업무일지!$B$5:$B$1004,"&lt;"&amp;DATE($B$3,1+1,1))&gt;0,1,0))</f>
        <v/>
      </c>
      <c r="AO144">
        <f>IF($O144="",0,IF(COUNTIFS(업무일지!$F$5:$F$1004,$O144,업무일지!$B$5:$B$1004,"&gt;="&amp;DATE($B$3,2,1),업무일지!$B$5:$B$1004,"&lt;"&amp;DATE($B$3,2+1,1))&gt;0,1,0))</f>
        <v/>
      </c>
      <c r="AP144">
        <f>IF($O144="",0,IF(COUNTIFS(업무일지!$F$5:$F$1004,$O144,업무일지!$B$5:$B$1004,"&gt;="&amp;DATE($B$3,3,1),업무일지!$B$5:$B$1004,"&lt;"&amp;DATE($B$3,3+1,1))&gt;0,1,0))</f>
        <v/>
      </c>
      <c r="AQ144">
        <f>IF($O144="",0,IF(COUNTIFS(업무일지!$F$5:$F$1004,$O144,업무일지!$B$5:$B$1004,"&gt;="&amp;DATE($B$3,4,1),업무일지!$B$5:$B$1004,"&lt;"&amp;DATE($B$3,4+1,1))&gt;0,1,0))</f>
        <v/>
      </c>
      <c r="AR144">
        <f>IF($O144="",0,IF(COUNTIFS(업무일지!$F$5:$F$1004,$O144,업무일지!$B$5:$B$1004,"&gt;="&amp;DATE($B$3,5,1),업무일지!$B$5:$B$1004,"&lt;"&amp;DATE($B$3,5+1,1))&gt;0,1,0))</f>
        <v/>
      </c>
      <c r="AS144">
        <f>IF($O144="",0,IF(COUNTIFS(업무일지!$F$5:$F$1004,$O144,업무일지!$B$5:$B$1004,"&gt;="&amp;DATE($B$3,6,1),업무일지!$B$5:$B$1004,"&lt;"&amp;DATE($B$3,6+1,1))&gt;0,1,0))</f>
        <v/>
      </c>
      <c r="AT144">
        <f>IF($O144="",0,IF(COUNTIFS(업무일지!$F$5:$F$1004,$O144,업무일지!$B$5:$B$1004,"&gt;="&amp;DATE($B$3,7,1),업무일지!$B$5:$B$1004,"&lt;"&amp;DATE($B$3,7+1,1))&gt;0,1,0))</f>
        <v/>
      </c>
      <c r="AU144">
        <f>IF($O144="",0,IF(COUNTIFS(업무일지!$F$5:$F$1004,$O144,업무일지!$B$5:$B$1004,"&gt;="&amp;DATE($B$3,8,1),업무일지!$B$5:$B$1004,"&lt;"&amp;DATE($B$3,8+1,1))&gt;0,1,0))</f>
        <v/>
      </c>
      <c r="AV144">
        <f>IF($O144="",0,IF(COUNTIFS(업무일지!$F$5:$F$1004,$O144,업무일지!$B$5:$B$1004,"&gt;="&amp;DATE($B$3,9,1),업무일지!$B$5:$B$1004,"&lt;"&amp;DATE($B$3,9+1,1))&gt;0,1,0))</f>
        <v/>
      </c>
      <c r="AW144">
        <f>IF($O144="",0,IF(COUNTIFS(업무일지!$F$5:$F$1004,$O144,업무일지!$B$5:$B$1004,"&gt;="&amp;DATE($B$3,10,1),업무일지!$B$5:$B$1004,"&lt;"&amp;DATE($B$3,10+1,1))&gt;0,1,0))</f>
        <v/>
      </c>
      <c r="AX144">
        <f>IF($O144="",0,IF(COUNTIFS(업무일지!$F$5:$F$1004,$O144,업무일지!$B$5:$B$1004,"&gt;="&amp;DATE($B$3,11,1),업무일지!$B$5:$B$1004,"&lt;"&amp;DATE($B$3,11+1,1))&gt;0,1,0))</f>
        <v/>
      </c>
      <c r="AY144">
        <f>IF($O144="",0,IF(COUNTIFS(업무일지!$F$5:$F$1004,$O144,업무일지!$B$5:$B$1004,"&gt;="&amp;DATE($B$3,12,1),업무일지!$B$5:$B$1004,"&lt;"&amp;DATE($B$3,12+1,1))&gt;0,1,0))</f>
        <v/>
      </c>
      <c r="AZ144">
        <f>IF($O144="",0,IF(COUNTIFS(업무일지!$F$5:$F$1004,$O144,업무일지!$B$5:$B$1004,"&gt;="&amp;DATE($B$3,1,1),업무일지!$B$5:$B$1004,"&lt;"&amp;DATE($B$3+1,1,1),업무일지!$D$5:$D$1004,"출장")&gt;0,1,0))</f>
        <v/>
      </c>
      <c r="BA144">
        <f>IF($O144="",0,IF(COUNTIFS(업무일지!$F$5:$F$1004,$O144,업무일지!$B$5:$B$1004,"&gt;="&amp;DATE($B$3,1,1),업무일지!$B$5:$B$1004,"&lt;"&amp;DATE($B$3+1,1,1),업무일지!$D$5:$D$1004,"분석")&gt;0,1,0))</f>
        <v/>
      </c>
      <c r="BB144">
        <f>IF($O144="",0,IF(COUNTIFS(업무일지!$F$5:$F$1004,$O144,업무일지!$B$5:$B$1004,"&gt;="&amp;DATE($B$3,1,1),업무일지!$B$5:$B$1004,"&lt;"&amp;DATE($B$3+1,1,1))&gt;0,1,0))</f>
        <v/>
      </c>
      <c r="BD144">
        <f>IF($O144="",0,IF(COUNTIFS(업무일지!$F$5:$F$1004,$O144,업무일지!$B$5:$B$1004,"&gt;="&amp;DATE($B$3,1,1),업무일지!$B$5:$B$1004,"&lt;"&amp;DATE($B$3+1,1,1),업무일지!$AB$5:$AB$1004,$A$44,업무일지!$D$5:$D$1004,"출장")&gt;0,1,0))</f>
        <v/>
      </c>
      <c r="BE144">
        <f>IF($O144="",0,IF(COUNTIFS(업무일지!$F$5:$F$1004,$O144,업무일지!$B$5:$B$1004,"&gt;="&amp;DATE($B$3,1,1),업무일지!$B$5:$B$1004,"&lt;"&amp;DATE($B$3+1,1,1),업무일지!$AB$5:$AB$1004,$A$45,업무일지!$D$5:$D$1004,"출장")&gt;0,1,0))</f>
        <v/>
      </c>
      <c r="BF144">
        <f>IF($O144="",0,IF(COUNTIFS(업무일지!$F$5:$F$1004,$O144,업무일지!$B$5:$B$1004,"&gt;="&amp;DATE($B$3,1,1),업무일지!$B$5:$B$1004,"&lt;"&amp;DATE($B$3+1,1,1),업무일지!$AB$5:$AB$1004,$A$46,업무일지!$D$5:$D$1004,"출장")&gt;0,1,0))</f>
        <v/>
      </c>
      <c r="BG144">
        <f>IF($O144="",0,IF(COUNTIFS(업무일지!$F$5:$F$1004,$O144,업무일지!$B$5:$B$1004,"&gt;="&amp;DATE($B$3,1,1),업무일지!$B$5:$B$1004,"&lt;"&amp;DATE($B$3+1,1,1),업무일지!$AB$5:$AB$1004,$A$47,업무일지!$D$5:$D$1004,"출장")&gt;0,1,0))</f>
        <v/>
      </c>
      <c r="BH144">
        <f>IF($O144="",0,IF(COUNTIFS(업무일지!$F$5:$F$1004,$O144,업무일지!$B$5:$B$1004,"&gt;="&amp;DATE($B$3,1,1),업무일지!$B$5:$B$1004,"&lt;"&amp;DATE($B$3+1,1,1),업무일지!$AB$5:$AB$1004,$A$48,업무일지!$D$5:$D$1004,"출장")&gt;0,1,0))</f>
        <v/>
      </c>
      <c r="BI144">
        <f>IF($O144="",0,IF(COUNTIFS(업무일지!$F$5:$F$1004,$O144,업무일지!$B$5:$B$1004,"&gt;="&amp;DATE($B$3,1,1),업무일지!$B$5:$B$1004,"&lt;"&amp;DATE($B$3+1,1,1),업무일지!$AB$5:$AB$1004,$A$49,업무일지!$D$5:$D$1004,"출장")&gt;0,1,0))</f>
        <v/>
      </c>
      <c r="BJ144">
        <f>IF($O144="",0,IF(COUNTIFS(업무일지!$F$5:$F$1004,$O144,업무일지!$B$5:$B$1004,"&gt;="&amp;DATE($B$3,1,1),업무일지!$B$5:$B$1004,"&lt;"&amp;DATE($B$3+1,1,1),업무일지!$AB$5:$AB$1004,$A$50,업무일지!$D$5:$D$1004,"출장")&gt;0,1,0))</f>
        <v/>
      </c>
      <c r="BK144">
        <f>IF($O144="",0,IF(COUNTIFS(업무일지!$F$5:$F$1004,$O144,업무일지!$B$5:$B$1004,"&gt;="&amp;DATE($B$3,1,1),업무일지!$B$5:$B$1004,"&lt;"&amp;DATE($B$3+1,1,1),업무일지!$AB$5:$AB$1004,$A$51,업무일지!$D$5:$D$1004,"출장")&gt;0,1,0))</f>
        <v/>
      </c>
      <c r="BL144">
        <f>IF($O144="",0,IF(COUNTIFS(업무일지!$F$5:$F$1004,$O144,업무일지!$B$5:$B$1004,"&gt;="&amp;DATE($B$3,1,1),업무일지!$B$5:$B$1004,"&lt;"&amp;DATE($B$3+1,1,1),업무일지!$AB$5:$AB$1004,$A$52,업무일지!$D$5:$D$1004,"출장")&gt;0,1,0))</f>
        <v/>
      </c>
      <c r="BM144">
        <f>IF($O144="",0,IF(COUNTIFS(업무일지!$F$5:$F$1004,$O144,업무일지!$B$5:$B$1004,"&gt;="&amp;DATE($B$3,1,1),업무일지!$B$5:$B$1004,"&lt;"&amp;DATE($B$3+1,1,1),업무일지!$AB$5:$AB$1004,$A$53,업무일지!$D$5:$D$1004,"출장")&gt;0,1,0))</f>
        <v/>
      </c>
      <c r="BO144">
        <f>IF($O144="",0,IF(COUNTIFS(업무일지!$F$5:$F$1004,$O144,업무일지!$B$5:$B$1004,"&gt;="&amp;DATE($B$3,1,1),업무일지!$B$5:$B$1004,"&lt;"&amp;DATE($B$3+1,1,1),업무일지!$AB$5:$AB$1004,$A$44,업무일지!$D$5:$D$1004,"분석")&gt;0,1,0))</f>
        <v/>
      </c>
      <c r="BP144">
        <f>IF($O144="",0,IF(COUNTIFS(업무일지!$F$5:$F$1004,$O144,업무일지!$B$5:$B$1004,"&gt;="&amp;DATE($B$3,1,1),업무일지!$B$5:$B$1004,"&lt;"&amp;DATE($B$3+1,1,1),업무일지!$AB$5:$AB$1004,$A$45,업무일지!$D$5:$D$1004,"분석")&gt;0,1,0))</f>
        <v/>
      </c>
      <c r="BQ144">
        <f>IF($O144="",0,IF(COUNTIFS(업무일지!$F$5:$F$1004,$O144,업무일지!$B$5:$B$1004,"&gt;="&amp;DATE($B$3,1,1),업무일지!$B$5:$B$1004,"&lt;"&amp;DATE($B$3+1,1,1),업무일지!$AB$5:$AB$1004,$A$46,업무일지!$D$5:$D$1004,"분석")&gt;0,1,0))</f>
        <v/>
      </c>
      <c r="BR144">
        <f>IF($O144="",0,IF(COUNTIFS(업무일지!$F$5:$F$1004,$O144,업무일지!$B$5:$B$1004,"&gt;="&amp;DATE($B$3,1,1),업무일지!$B$5:$B$1004,"&lt;"&amp;DATE($B$3+1,1,1),업무일지!$AB$5:$AB$1004,$A$47,업무일지!$D$5:$D$1004,"분석")&gt;0,1,0))</f>
        <v/>
      </c>
      <c r="BS144">
        <f>IF($O144="",0,IF(COUNTIFS(업무일지!$F$5:$F$1004,$O144,업무일지!$B$5:$B$1004,"&gt;="&amp;DATE($B$3,1,1),업무일지!$B$5:$B$1004,"&lt;"&amp;DATE($B$3+1,1,1),업무일지!$AB$5:$AB$1004,$A$48,업무일지!$D$5:$D$1004,"분석")&gt;0,1,0))</f>
        <v/>
      </c>
      <c r="BT144">
        <f>IF($O144="",0,IF(COUNTIFS(업무일지!$F$5:$F$1004,$O144,업무일지!$B$5:$B$1004,"&gt;="&amp;DATE($B$3,1,1),업무일지!$B$5:$B$1004,"&lt;"&amp;DATE($B$3+1,1,1),업무일지!$AB$5:$AB$1004,$A$49,업무일지!$D$5:$D$1004,"분석")&gt;0,1,0))</f>
        <v/>
      </c>
      <c r="BU144">
        <f>IF($O144="",0,IF(COUNTIFS(업무일지!$F$5:$F$1004,$O144,업무일지!$B$5:$B$1004,"&gt;="&amp;DATE($B$3,1,1),업무일지!$B$5:$B$1004,"&lt;"&amp;DATE($B$3+1,1,1),업무일지!$AB$5:$AB$1004,$A$50,업무일지!$D$5:$D$1004,"분석")&gt;0,1,0))</f>
        <v/>
      </c>
      <c r="BV144">
        <f>IF($O144="",0,IF(COUNTIFS(업무일지!$F$5:$F$1004,$O144,업무일지!$B$5:$B$1004,"&gt;="&amp;DATE($B$3,1,1),업무일지!$B$5:$B$1004,"&lt;"&amp;DATE($B$3+1,1,1),업무일지!$AB$5:$AB$1004,$A$51,업무일지!$D$5:$D$1004,"분석")&gt;0,1,0))</f>
        <v/>
      </c>
      <c r="BW144">
        <f>IF($O144="",0,IF(COUNTIFS(업무일지!$F$5:$F$1004,$O144,업무일지!$B$5:$B$1004,"&gt;="&amp;DATE($B$3,1,1),업무일지!$B$5:$B$1004,"&lt;"&amp;DATE($B$3+1,1,1),업무일지!$AB$5:$AB$1004,$A$52,업무일지!$D$5:$D$1004,"분석")&gt;0,1,0))</f>
        <v/>
      </c>
      <c r="BX144">
        <f>IF($O144="",0,IF(COUNTIFS(업무일지!$F$5:$F$1004,$O144,업무일지!$B$5:$B$1004,"&gt;="&amp;DATE($B$3,1,1),업무일지!$B$5:$B$1004,"&lt;"&amp;DATE($B$3+1,1,1),업무일지!$AB$5:$AB$1004,$A$53,업무일지!$D$5:$D$1004,"분석")&gt;0,1,0))</f>
        <v/>
      </c>
      <c r="BZ144">
        <f>IF($O144="",0,IF(COUNTIFS(업무일지!$F$5:$F$1004,$O144,업무일지!$B$5:$B$1004,"&gt;="&amp;DATE($B$3,1,1),업무일지!$B$5:$B$1004,"&lt;"&amp;DATE($B$3+1,1,1),업무일지!$AB$5:$AB$1004,$A$44)&gt;0,1,0))</f>
        <v/>
      </c>
      <c r="CA144">
        <f>IF($O144="",0,IF(COUNTIFS(업무일지!$F$5:$F$1004,$O144,업무일지!$B$5:$B$1004,"&gt;="&amp;DATE($B$3,1,1),업무일지!$B$5:$B$1004,"&lt;"&amp;DATE($B$3+1,1,1),업무일지!$AB$5:$AB$1004,$A$45)&gt;0,1,0))</f>
        <v/>
      </c>
      <c r="CB144">
        <f>IF($O144="",0,IF(COUNTIFS(업무일지!$F$5:$F$1004,$O144,업무일지!$B$5:$B$1004,"&gt;="&amp;DATE($B$3,1,1),업무일지!$B$5:$B$1004,"&lt;"&amp;DATE($B$3+1,1,1),업무일지!$AB$5:$AB$1004,$A$46)&gt;0,1,0))</f>
        <v/>
      </c>
      <c r="CC144">
        <f>IF($O144="",0,IF(COUNTIFS(업무일지!$F$5:$F$1004,$O144,업무일지!$B$5:$B$1004,"&gt;="&amp;DATE($B$3,1,1),업무일지!$B$5:$B$1004,"&lt;"&amp;DATE($B$3+1,1,1),업무일지!$AB$5:$AB$1004,$A$47)&gt;0,1,0))</f>
        <v/>
      </c>
      <c r="CD144">
        <f>IF($O144="",0,IF(COUNTIFS(업무일지!$F$5:$F$1004,$O144,업무일지!$B$5:$B$1004,"&gt;="&amp;DATE($B$3,1,1),업무일지!$B$5:$B$1004,"&lt;"&amp;DATE($B$3+1,1,1),업무일지!$AB$5:$AB$1004,$A$48)&gt;0,1,0))</f>
        <v/>
      </c>
      <c r="CE144">
        <f>IF($O144="",0,IF(COUNTIFS(업무일지!$F$5:$F$1004,$O144,업무일지!$B$5:$B$1004,"&gt;="&amp;DATE($B$3,1,1),업무일지!$B$5:$B$1004,"&lt;"&amp;DATE($B$3+1,1,1),업무일지!$AB$5:$AB$1004,$A$49)&gt;0,1,0))</f>
        <v/>
      </c>
      <c r="CF144">
        <f>IF($O144="",0,IF(COUNTIFS(업무일지!$F$5:$F$1004,$O144,업무일지!$B$5:$B$1004,"&gt;="&amp;DATE($B$3,1,1),업무일지!$B$5:$B$1004,"&lt;"&amp;DATE($B$3+1,1,1),업무일지!$AB$5:$AB$1004,$A$50)&gt;0,1,0))</f>
        <v/>
      </c>
      <c r="CG144">
        <f>IF($O144="",0,IF(COUNTIFS(업무일지!$F$5:$F$1004,$O144,업무일지!$B$5:$B$1004,"&gt;="&amp;DATE($B$3,1,1),업무일지!$B$5:$B$1004,"&lt;"&amp;DATE($B$3+1,1,1),업무일지!$AB$5:$AB$1004,$A$51)&gt;0,1,0))</f>
        <v/>
      </c>
      <c r="CH144">
        <f>IF($O144="",0,IF(COUNTIFS(업무일지!$F$5:$F$1004,$O144,업무일지!$B$5:$B$1004,"&gt;="&amp;DATE($B$3,1,1),업무일지!$B$5:$B$1004,"&lt;"&amp;DATE($B$3+1,1,1),업무일지!$AB$5:$AB$1004,$A$52)&gt;0,1,0))</f>
        <v/>
      </c>
      <c r="CI144">
        <f>IF($O144="",0,IF(COUNTIFS(업무일지!$F$5:$F$1004,$O144,업무일지!$B$5:$B$1004,"&gt;="&amp;DATE($B$3,1,1),업무일지!$B$5:$B$1004,"&lt;"&amp;DATE($B$3+1,1,1),업무일지!$AB$5:$AB$1004,$A$53)&gt;0,1,0))</f>
        <v/>
      </c>
    </row>
  </sheetData>
  <printOptions horizontalCentered="1"/>
  <pageMargins left="0.35" right="0.35" top="0.55" bottom="0.5" header="0.25" footer="0.25"/>
  <pageSetup orientation="portrait" paperSize="9" fitToHeight="0" fitToWidth="1"/>
  <headerFooter>
    <oddHeader>&amp;L&amp;"Arial"&amp;9부서 전체현황&amp;R&amp;"Arial"&amp;9인쇄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S9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3" customWidth="1" min="11" max="11"/>
    <col width="12" customWidth="1" min="12" max="12"/>
    <col width="13" customWidth="1" min="13" max="13"/>
    <col width="13" customWidth="1" min="14" max="14"/>
    <col width="12" customWidth="1" min="15" max="15"/>
    <col width="11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24" customHeight="1">
      <c r="A1" s="6" t="inlineStr">
        <is>
          <t>사건별 현황  ·  사건번호 기준 통합</t>
        </is>
      </c>
    </row>
    <row r="2" ht="26" customHeight="1">
      <c r="A2" s="7" t="inlineStr">
        <is>
          <t>※ [사건마스터]에 등록한 사건이 그대로 내려옵니다 — 여기에 따로 입력할 것은 없습니다.  ※ 연도 구분 없이 전체 기간 누계입니다(해를 넘긴 사건도 한 줄).  ※ 배정인원은 [사건마스터]의 배정표 기준입니다.</t>
        </is>
      </c>
    </row>
    <row r="4" ht="20" customHeight="1">
      <c r="A4" s="21" t="inlineStr">
        <is>
          <t>1.  사건별 종합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</row>
    <row r="5" ht="32" customHeight="1">
      <c r="A5" s="23" t="inlineStr">
        <is>
          <t>사건번호</t>
        </is>
      </c>
      <c r="B5" s="23" t="inlineStr">
        <is>
          <t>사건명</t>
        </is>
      </c>
      <c r="C5" s="23" t="inlineStr">
        <is>
          <t>요청·의뢰처</t>
        </is>
      </c>
      <c r="D5" s="23" t="inlineStr">
        <is>
          <t>주담당</t>
        </is>
      </c>
      <c r="E5" s="23" t="inlineStr">
        <is>
          <t>배정인원(명)</t>
        </is>
      </c>
      <c r="F5" s="23" t="inlineStr">
        <is>
          <t>출장 회차</t>
        </is>
      </c>
      <c r="G5" s="23" t="inlineStr">
        <is>
          <t>분석 회차</t>
        </is>
      </c>
      <c r="H5" s="23" t="inlineStr">
        <is>
          <t>실시 구분</t>
        </is>
      </c>
      <c r="I5" s="23" t="inlineStr">
        <is>
          <t>출장 소요일수</t>
        </is>
      </c>
      <c r="J5" s="23" t="inlineStr">
        <is>
          <t>대상매체(건)</t>
        </is>
      </c>
      <c r="K5" s="23" t="inlineStr">
        <is>
          <t>데이터량(GB)</t>
        </is>
      </c>
      <c r="L5" s="23" t="inlineStr">
        <is>
          <t>일일지원(건)</t>
        </is>
      </c>
      <c r="M5" s="23" t="inlineStr">
        <is>
          <t>최초 착수일</t>
        </is>
      </c>
      <c r="N5" s="23" t="inlineStr">
        <is>
          <t>최종 종료일</t>
        </is>
      </c>
      <c r="O5" s="23" t="inlineStr">
        <is>
          <t>처리기간(일)</t>
        </is>
      </c>
      <c r="P5" s="23" t="inlineStr">
        <is>
          <t>진행상태</t>
        </is>
      </c>
    </row>
    <row r="6">
      <c r="A6" s="107">
        <f>IF(사건마스터!$A5="","",사건마스터!$A5)</f>
        <v/>
      </c>
      <c r="B6" s="131">
        <f>IF($A6="","",사건마스터!$B5)</f>
        <v/>
      </c>
      <c r="C6" s="131">
        <f>IF($A6="","",사건마스터!$C5)</f>
        <v/>
      </c>
      <c r="D6" s="136">
        <f>IF($A6="","",사건마스터!$H5)</f>
        <v/>
      </c>
      <c r="E6" s="129">
        <f>IF($A6="","",사건마스터!$G5)</f>
        <v/>
      </c>
      <c r="F6" s="129">
        <f>IF($A6="","",COUNTIFS(업무일지!$F$5:$F$1004,$A6,업무일지!$D$5:$D$1004,"출장"))</f>
        <v/>
      </c>
      <c r="G6" s="129">
        <f>IF($A6="","",COUNTIFS(업무일지!$F$5:$F$1004,$A6,업무일지!$D$5:$D$1004,"분석"))</f>
        <v/>
      </c>
      <c r="H6" s="130">
        <f>IF($A6="","",IF(F6+G6=0,"미착수",IF(F6=0,"분석만",IF(G6=0,"출장만","출장+분석"))))</f>
        <v/>
      </c>
      <c r="I6" s="129">
        <f>IF($A6="","",SUMIFS(업무일지!$AF$5:$AF$1004,업무일지!$F$5:$F$1004,$A6,업무일지!$D$5:$D$1004,"출장"))</f>
        <v/>
      </c>
      <c r="J6" s="129">
        <f>IF($A6="","",SUMIFS(업무일지!$AD$5:$AD$1004,업무일지!$F$5:$F$1004,$A6))</f>
        <v/>
      </c>
      <c r="K6" s="25">
        <f>IF($A6="","",SUMIFS(업무일지!$AE$5:$AE$1004,업무일지!$F$5:$F$1004,$A6))</f>
        <v/>
      </c>
      <c r="L6" s="129">
        <f>IF($A6="","",COUNTIF(일일실시사항!$G$5:$G$1004,$A6))</f>
        <v/>
      </c>
      <c r="M6" s="137">
        <f>IF($R6=0,"",1000000-$R6)</f>
        <v/>
      </c>
      <c r="N6" s="137">
        <f>IF($S6=0,"",$S6)</f>
        <v/>
      </c>
      <c r="O6" s="118">
        <f>IF(OR($M6="",$N6=""),"",$N6-$M6+1)</f>
        <v/>
      </c>
      <c r="P6" s="136">
        <f>IF($A6="","",사건마스터!$E5)</f>
        <v/>
      </c>
      <c r="R6">
        <f>IF($A6="",0,SUMPRODUCT(MAX((업무일지!$F$5:$F$1004=$A6)*(업무일지!$B$5:$B$1004&gt;0)*(1000000-업무일지!$B$5:$B$1004))))</f>
        <v/>
      </c>
      <c r="S6">
        <f>IF($A6="",0,SUMPRODUCT(MAX((업무일지!$F$5:$F$1004=$A6)*업무일지!$C$5:$C$1004)))</f>
        <v/>
      </c>
    </row>
    <row r="7">
      <c r="A7" s="107">
        <f>IF(사건마스터!$A6="","",사건마스터!$A6)</f>
        <v/>
      </c>
      <c r="B7" s="131">
        <f>IF($A7="","",사건마스터!$B6)</f>
        <v/>
      </c>
      <c r="C7" s="131">
        <f>IF($A7="","",사건마스터!$C6)</f>
        <v/>
      </c>
      <c r="D7" s="136">
        <f>IF($A7="","",사건마스터!$H6)</f>
        <v/>
      </c>
      <c r="E7" s="129">
        <f>IF($A7="","",사건마스터!$G6)</f>
        <v/>
      </c>
      <c r="F7" s="129">
        <f>IF($A7="","",COUNTIFS(업무일지!$F$5:$F$1004,$A7,업무일지!$D$5:$D$1004,"출장"))</f>
        <v/>
      </c>
      <c r="G7" s="129">
        <f>IF($A7="","",COUNTIFS(업무일지!$F$5:$F$1004,$A7,업무일지!$D$5:$D$1004,"분석"))</f>
        <v/>
      </c>
      <c r="H7" s="130">
        <f>IF($A7="","",IF(F7+G7=0,"미착수",IF(F7=0,"분석만",IF(G7=0,"출장만","출장+분석"))))</f>
        <v/>
      </c>
      <c r="I7" s="129">
        <f>IF($A7="","",SUMIFS(업무일지!$AF$5:$AF$1004,업무일지!$F$5:$F$1004,$A7,업무일지!$D$5:$D$1004,"출장"))</f>
        <v/>
      </c>
      <c r="J7" s="129">
        <f>IF($A7="","",SUMIFS(업무일지!$AD$5:$AD$1004,업무일지!$F$5:$F$1004,$A7))</f>
        <v/>
      </c>
      <c r="K7" s="25">
        <f>IF($A7="","",SUMIFS(업무일지!$AE$5:$AE$1004,업무일지!$F$5:$F$1004,$A7))</f>
        <v/>
      </c>
      <c r="L7" s="129">
        <f>IF($A7="","",COUNTIF(일일실시사항!$G$5:$G$1004,$A7))</f>
        <v/>
      </c>
      <c r="M7" s="137">
        <f>IF($R7=0,"",1000000-$R7)</f>
        <v/>
      </c>
      <c r="N7" s="137">
        <f>IF($S7=0,"",$S7)</f>
        <v/>
      </c>
      <c r="O7" s="118">
        <f>IF(OR($M7="",$N7=""),"",$N7-$M7+1)</f>
        <v/>
      </c>
      <c r="P7" s="136">
        <f>IF($A7="","",사건마스터!$E6)</f>
        <v/>
      </c>
      <c r="R7">
        <f>IF($A7="",0,SUMPRODUCT(MAX((업무일지!$F$5:$F$1004=$A7)*(업무일지!$B$5:$B$1004&gt;0)*(1000000-업무일지!$B$5:$B$1004))))</f>
        <v/>
      </c>
      <c r="S7">
        <f>IF($A7="",0,SUMPRODUCT(MAX((업무일지!$F$5:$F$1004=$A7)*업무일지!$C$5:$C$1004)))</f>
        <v/>
      </c>
    </row>
    <row r="8">
      <c r="A8" s="107">
        <f>IF(사건마스터!$A7="","",사건마스터!$A7)</f>
        <v/>
      </c>
      <c r="B8" s="131">
        <f>IF($A8="","",사건마스터!$B7)</f>
        <v/>
      </c>
      <c r="C8" s="131">
        <f>IF($A8="","",사건마스터!$C7)</f>
        <v/>
      </c>
      <c r="D8" s="136">
        <f>IF($A8="","",사건마스터!$H7)</f>
        <v/>
      </c>
      <c r="E8" s="129">
        <f>IF($A8="","",사건마스터!$G7)</f>
        <v/>
      </c>
      <c r="F8" s="129">
        <f>IF($A8="","",COUNTIFS(업무일지!$F$5:$F$1004,$A8,업무일지!$D$5:$D$1004,"출장"))</f>
        <v/>
      </c>
      <c r="G8" s="129">
        <f>IF($A8="","",COUNTIFS(업무일지!$F$5:$F$1004,$A8,업무일지!$D$5:$D$1004,"분석"))</f>
        <v/>
      </c>
      <c r="H8" s="130">
        <f>IF($A8="","",IF(F8+G8=0,"미착수",IF(F8=0,"분석만",IF(G8=0,"출장만","출장+분석"))))</f>
        <v/>
      </c>
      <c r="I8" s="129">
        <f>IF($A8="","",SUMIFS(업무일지!$AF$5:$AF$1004,업무일지!$F$5:$F$1004,$A8,업무일지!$D$5:$D$1004,"출장"))</f>
        <v/>
      </c>
      <c r="J8" s="129">
        <f>IF($A8="","",SUMIFS(업무일지!$AD$5:$AD$1004,업무일지!$F$5:$F$1004,$A8))</f>
        <v/>
      </c>
      <c r="K8" s="25">
        <f>IF($A8="","",SUMIFS(업무일지!$AE$5:$AE$1004,업무일지!$F$5:$F$1004,$A8))</f>
        <v/>
      </c>
      <c r="L8" s="129">
        <f>IF($A8="","",COUNTIF(일일실시사항!$G$5:$G$1004,$A8))</f>
        <v/>
      </c>
      <c r="M8" s="137">
        <f>IF($R8=0,"",1000000-$R8)</f>
        <v/>
      </c>
      <c r="N8" s="137">
        <f>IF($S8=0,"",$S8)</f>
        <v/>
      </c>
      <c r="O8" s="118">
        <f>IF(OR($M8="",$N8=""),"",$N8-$M8+1)</f>
        <v/>
      </c>
      <c r="P8" s="136">
        <f>IF($A8="","",사건마스터!$E7)</f>
        <v/>
      </c>
      <c r="R8">
        <f>IF($A8="",0,SUMPRODUCT(MAX((업무일지!$F$5:$F$1004=$A8)*(업무일지!$B$5:$B$1004&gt;0)*(1000000-업무일지!$B$5:$B$1004))))</f>
        <v/>
      </c>
      <c r="S8">
        <f>IF($A8="",0,SUMPRODUCT(MAX((업무일지!$F$5:$F$1004=$A8)*업무일지!$C$5:$C$1004)))</f>
        <v/>
      </c>
    </row>
    <row r="9">
      <c r="A9" s="107">
        <f>IF(사건마스터!$A8="","",사건마스터!$A8)</f>
        <v/>
      </c>
      <c r="B9" s="131">
        <f>IF($A9="","",사건마스터!$B8)</f>
        <v/>
      </c>
      <c r="C9" s="131">
        <f>IF($A9="","",사건마스터!$C8)</f>
        <v/>
      </c>
      <c r="D9" s="136">
        <f>IF($A9="","",사건마스터!$H8)</f>
        <v/>
      </c>
      <c r="E9" s="129">
        <f>IF($A9="","",사건마스터!$G8)</f>
        <v/>
      </c>
      <c r="F9" s="129">
        <f>IF($A9="","",COUNTIFS(업무일지!$F$5:$F$1004,$A9,업무일지!$D$5:$D$1004,"출장"))</f>
        <v/>
      </c>
      <c r="G9" s="129">
        <f>IF($A9="","",COUNTIFS(업무일지!$F$5:$F$1004,$A9,업무일지!$D$5:$D$1004,"분석"))</f>
        <v/>
      </c>
      <c r="H9" s="130">
        <f>IF($A9="","",IF(F9+G9=0,"미착수",IF(F9=0,"분석만",IF(G9=0,"출장만","출장+분석"))))</f>
        <v/>
      </c>
      <c r="I9" s="129">
        <f>IF($A9="","",SUMIFS(업무일지!$AF$5:$AF$1004,업무일지!$F$5:$F$1004,$A9,업무일지!$D$5:$D$1004,"출장"))</f>
        <v/>
      </c>
      <c r="J9" s="129">
        <f>IF($A9="","",SUMIFS(업무일지!$AD$5:$AD$1004,업무일지!$F$5:$F$1004,$A9))</f>
        <v/>
      </c>
      <c r="K9" s="25">
        <f>IF($A9="","",SUMIFS(업무일지!$AE$5:$AE$1004,업무일지!$F$5:$F$1004,$A9))</f>
        <v/>
      </c>
      <c r="L9" s="129">
        <f>IF($A9="","",COUNTIF(일일실시사항!$G$5:$G$1004,$A9))</f>
        <v/>
      </c>
      <c r="M9" s="137">
        <f>IF($R9=0,"",1000000-$R9)</f>
        <v/>
      </c>
      <c r="N9" s="137">
        <f>IF($S9=0,"",$S9)</f>
        <v/>
      </c>
      <c r="O9" s="118">
        <f>IF(OR($M9="",$N9=""),"",$N9-$M9+1)</f>
        <v/>
      </c>
      <c r="P9" s="136">
        <f>IF($A9="","",사건마스터!$E8)</f>
        <v/>
      </c>
      <c r="R9">
        <f>IF($A9="",0,SUMPRODUCT(MAX((업무일지!$F$5:$F$1004=$A9)*(업무일지!$B$5:$B$1004&gt;0)*(1000000-업무일지!$B$5:$B$1004))))</f>
        <v/>
      </c>
      <c r="S9">
        <f>IF($A9="",0,SUMPRODUCT(MAX((업무일지!$F$5:$F$1004=$A9)*업무일지!$C$5:$C$1004)))</f>
        <v/>
      </c>
    </row>
    <row r="10">
      <c r="A10" s="107">
        <f>IF(사건마스터!$A9="","",사건마스터!$A9)</f>
        <v/>
      </c>
      <c r="B10" s="131">
        <f>IF($A10="","",사건마스터!$B9)</f>
        <v/>
      </c>
      <c r="C10" s="131">
        <f>IF($A10="","",사건마스터!$C9)</f>
        <v/>
      </c>
      <c r="D10" s="136">
        <f>IF($A10="","",사건마스터!$H9)</f>
        <v/>
      </c>
      <c r="E10" s="129">
        <f>IF($A10="","",사건마스터!$G9)</f>
        <v/>
      </c>
      <c r="F10" s="129">
        <f>IF($A10="","",COUNTIFS(업무일지!$F$5:$F$1004,$A10,업무일지!$D$5:$D$1004,"출장"))</f>
        <v/>
      </c>
      <c r="G10" s="129">
        <f>IF($A10="","",COUNTIFS(업무일지!$F$5:$F$1004,$A10,업무일지!$D$5:$D$1004,"분석"))</f>
        <v/>
      </c>
      <c r="H10" s="130">
        <f>IF($A10="","",IF(F10+G10=0,"미착수",IF(F10=0,"분석만",IF(G10=0,"출장만","출장+분석"))))</f>
        <v/>
      </c>
      <c r="I10" s="129">
        <f>IF($A10="","",SUMIFS(업무일지!$AF$5:$AF$1004,업무일지!$F$5:$F$1004,$A10,업무일지!$D$5:$D$1004,"출장"))</f>
        <v/>
      </c>
      <c r="J10" s="129">
        <f>IF($A10="","",SUMIFS(업무일지!$AD$5:$AD$1004,업무일지!$F$5:$F$1004,$A10))</f>
        <v/>
      </c>
      <c r="K10" s="25">
        <f>IF($A10="","",SUMIFS(업무일지!$AE$5:$AE$1004,업무일지!$F$5:$F$1004,$A10))</f>
        <v/>
      </c>
      <c r="L10" s="129">
        <f>IF($A10="","",COUNTIF(일일실시사항!$G$5:$G$1004,$A10))</f>
        <v/>
      </c>
      <c r="M10" s="137">
        <f>IF($R10=0,"",1000000-$R10)</f>
        <v/>
      </c>
      <c r="N10" s="137">
        <f>IF($S10=0,"",$S10)</f>
        <v/>
      </c>
      <c r="O10" s="118">
        <f>IF(OR($M10="",$N10=""),"",$N10-$M10+1)</f>
        <v/>
      </c>
      <c r="P10" s="136">
        <f>IF($A10="","",사건마스터!$E9)</f>
        <v/>
      </c>
      <c r="R10">
        <f>IF($A10="",0,SUMPRODUCT(MAX((업무일지!$F$5:$F$1004=$A10)*(업무일지!$B$5:$B$1004&gt;0)*(1000000-업무일지!$B$5:$B$1004))))</f>
        <v/>
      </c>
      <c r="S10">
        <f>IF($A10="",0,SUMPRODUCT(MAX((업무일지!$F$5:$F$1004=$A10)*업무일지!$C$5:$C$1004)))</f>
        <v/>
      </c>
    </row>
    <row r="11">
      <c r="A11" s="107">
        <f>IF(사건마스터!$A10="","",사건마스터!$A10)</f>
        <v/>
      </c>
      <c r="B11" s="131">
        <f>IF($A11="","",사건마스터!$B10)</f>
        <v/>
      </c>
      <c r="C11" s="131">
        <f>IF($A11="","",사건마스터!$C10)</f>
        <v/>
      </c>
      <c r="D11" s="136">
        <f>IF($A11="","",사건마스터!$H10)</f>
        <v/>
      </c>
      <c r="E11" s="129">
        <f>IF($A11="","",사건마스터!$G10)</f>
        <v/>
      </c>
      <c r="F11" s="129">
        <f>IF($A11="","",COUNTIFS(업무일지!$F$5:$F$1004,$A11,업무일지!$D$5:$D$1004,"출장"))</f>
        <v/>
      </c>
      <c r="G11" s="129">
        <f>IF($A11="","",COUNTIFS(업무일지!$F$5:$F$1004,$A11,업무일지!$D$5:$D$1004,"분석"))</f>
        <v/>
      </c>
      <c r="H11" s="130">
        <f>IF($A11="","",IF(F11+G11=0,"미착수",IF(F11=0,"분석만",IF(G11=0,"출장만","출장+분석"))))</f>
        <v/>
      </c>
      <c r="I11" s="129">
        <f>IF($A11="","",SUMIFS(업무일지!$AF$5:$AF$1004,업무일지!$F$5:$F$1004,$A11,업무일지!$D$5:$D$1004,"출장"))</f>
        <v/>
      </c>
      <c r="J11" s="129">
        <f>IF($A11="","",SUMIFS(업무일지!$AD$5:$AD$1004,업무일지!$F$5:$F$1004,$A11))</f>
        <v/>
      </c>
      <c r="K11" s="25">
        <f>IF($A11="","",SUMIFS(업무일지!$AE$5:$AE$1004,업무일지!$F$5:$F$1004,$A11))</f>
        <v/>
      </c>
      <c r="L11" s="129">
        <f>IF($A11="","",COUNTIF(일일실시사항!$G$5:$G$1004,$A11))</f>
        <v/>
      </c>
      <c r="M11" s="137">
        <f>IF($R11=0,"",1000000-$R11)</f>
        <v/>
      </c>
      <c r="N11" s="137">
        <f>IF($S11=0,"",$S11)</f>
        <v/>
      </c>
      <c r="O11" s="118">
        <f>IF(OR($M11="",$N11=""),"",$N11-$M11+1)</f>
        <v/>
      </c>
      <c r="P11" s="136">
        <f>IF($A11="","",사건마스터!$E10)</f>
        <v/>
      </c>
      <c r="R11">
        <f>IF($A11="",0,SUMPRODUCT(MAX((업무일지!$F$5:$F$1004=$A11)*(업무일지!$B$5:$B$1004&gt;0)*(1000000-업무일지!$B$5:$B$1004))))</f>
        <v/>
      </c>
      <c r="S11">
        <f>IF($A11="",0,SUMPRODUCT(MAX((업무일지!$F$5:$F$1004=$A11)*업무일지!$C$5:$C$1004)))</f>
        <v/>
      </c>
    </row>
    <row r="12">
      <c r="A12" s="107">
        <f>IF(사건마스터!$A11="","",사건마스터!$A11)</f>
        <v/>
      </c>
      <c r="B12" s="131">
        <f>IF($A12="","",사건마스터!$B11)</f>
        <v/>
      </c>
      <c r="C12" s="131">
        <f>IF($A12="","",사건마스터!$C11)</f>
        <v/>
      </c>
      <c r="D12" s="136">
        <f>IF($A12="","",사건마스터!$H11)</f>
        <v/>
      </c>
      <c r="E12" s="129">
        <f>IF($A12="","",사건마스터!$G11)</f>
        <v/>
      </c>
      <c r="F12" s="129">
        <f>IF($A12="","",COUNTIFS(업무일지!$F$5:$F$1004,$A12,업무일지!$D$5:$D$1004,"출장"))</f>
        <v/>
      </c>
      <c r="G12" s="129">
        <f>IF($A12="","",COUNTIFS(업무일지!$F$5:$F$1004,$A12,업무일지!$D$5:$D$1004,"분석"))</f>
        <v/>
      </c>
      <c r="H12" s="130">
        <f>IF($A12="","",IF(F12+G12=0,"미착수",IF(F12=0,"분석만",IF(G12=0,"출장만","출장+분석"))))</f>
        <v/>
      </c>
      <c r="I12" s="129">
        <f>IF($A12="","",SUMIFS(업무일지!$AF$5:$AF$1004,업무일지!$F$5:$F$1004,$A12,업무일지!$D$5:$D$1004,"출장"))</f>
        <v/>
      </c>
      <c r="J12" s="129">
        <f>IF($A12="","",SUMIFS(업무일지!$AD$5:$AD$1004,업무일지!$F$5:$F$1004,$A12))</f>
        <v/>
      </c>
      <c r="K12" s="25">
        <f>IF($A12="","",SUMIFS(업무일지!$AE$5:$AE$1004,업무일지!$F$5:$F$1004,$A12))</f>
        <v/>
      </c>
      <c r="L12" s="129">
        <f>IF($A12="","",COUNTIF(일일실시사항!$G$5:$G$1004,$A12))</f>
        <v/>
      </c>
      <c r="M12" s="137">
        <f>IF($R12=0,"",1000000-$R12)</f>
        <v/>
      </c>
      <c r="N12" s="137">
        <f>IF($S12=0,"",$S12)</f>
        <v/>
      </c>
      <c r="O12" s="118">
        <f>IF(OR($M12="",$N12=""),"",$N12-$M12+1)</f>
        <v/>
      </c>
      <c r="P12" s="136">
        <f>IF($A12="","",사건마스터!$E11)</f>
        <v/>
      </c>
      <c r="R12">
        <f>IF($A12="",0,SUMPRODUCT(MAX((업무일지!$F$5:$F$1004=$A12)*(업무일지!$B$5:$B$1004&gt;0)*(1000000-업무일지!$B$5:$B$1004))))</f>
        <v/>
      </c>
      <c r="S12">
        <f>IF($A12="",0,SUMPRODUCT(MAX((업무일지!$F$5:$F$1004=$A12)*업무일지!$C$5:$C$1004)))</f>
        <v/>
      </c>
    </row>
    <row r="13">
      <c r="A13" s="107">
        <f>IF(사건마스터!$A12="","",사건마스터!$A12)</f>
        <v/>
      </c>
      <c r="B13" s="131">
        <f>IF($A13="","",사건마스터!$B12)</f>
        <v/>
      </c>
      <c r="C13" s="131">
        <f>IF($A13="","",사건마스터!$C12)</f>
        <v/>
      </c>
      <c r="D13" s="136">
        <f>IF($A13="","",사건마스터!$H12)</f>
        <v/>
      </c>
      <c r="E13" s="129">
        <f>IF($A13="","",사건마스터!$G12)</f>
        <v/>
      </c>
      <c r="F13" s="129">
        <f>IF($A13="","",COUNTIFS(업무일지!$F$5:$F$1004,$A13,업무일지!$D$5:$D$1004,"출장"))</f>
        <v/>
      </c>
      <c r="G13" s="129">
        <f>IF($A13="","",COUNTIFS(업무일지!$F$5:$F$1004,$A13,업무일지!$D$5:$D$1004,"분석"))</f>
        <v/>
      </c>
      <c r="H13" s="130">
        <f>IF($A13="","",IF(F13+G13=0,"미착수",IF(F13=0,"분석만",IF(G13=0,"출장만","출장+분석"))))</f>
        <v/>
      </c>
      <c r="I13" s="129">
        <f>IF($A13="","",SUMIFS(업무일지!$AF$5:$AF$1004,업무일지!$F$5:$F$1004,$A13,업무일지!$D$5:$D$1004,"출장"))</f>
        <v/>
      </c>
      <c r="J13" s="129">
        <f>IF($A13="","",SUMIFS(업무일지!$AD$5:$AD$1004,업무일지!$F$5:$F$1004,$A13))</f>
        <v/>
      </c>
      <c r="K13" s="25">
        <f>IF($A13="","",SUMIFS(업무일지!$AE$5:$AE$1004,업무일지!$F$5:$F$1004,$A13))</f>
        <v/>
      </c>
      <c r="L13" s="129">
        <f>IF($A13="","",COUNTIF(일일실시사항!$G$5:$G$1004,$A13))</f>
        <v/>
      </c>
      <c r="M13" s="137">
        <f>IF($R13=0,"",1000000-$R13)</f>
        <v/>
      </c>
      <c r="N13" s="137">
        <f>IF($S13=0,"",$S13)</f>
        <v/>
      </c>
      <c r="O13" s="118">
        <f>IF(OR($M13="",$N13=""),"",$N13-$M13+1)</f>
        <v/>
      </c>
      <c r="P13" s="136">
        <f>IF($A13="","",사건마스터!$E12)</f>
        <v/>
      </c>
      <c r="R13">
        <f>IF($A13="",0,SUMPRODUCT(MAX((업무일지!$F$5:$F$1004=$A13)*(업무일지!$B$5:$B$1004&gt;0)*(1000000-업무일지!$B$5:$B$1004))))</f>
        <v/>
      </c>
      <c r="S13">
        <f>IF($A13="",0,SUMPRODUCT(MAX((업무일지!$F$5:$F$1004=$A13)*업무일지!$C$5:$C$1004)))</f>
        <v/>
      </c>
    </row>
    <row r="14">
      <c r="A14" s="107">
        <f>IF(사건마스터!$A13="","",사건마스터!$A13)</f>
        <v/>
      </c>
      <c r="B14" s="131">
        <f>IF($A14="","",사건마스터!$B13)</f>
        <v/>
      </c>
      <c r="C14" s="131">
        <f>IF($A14="","",사건마스터!$C13)</f>
        <v/>
      </c>
      <c r="D14" s="136">
        <f>IF($A14="","",사건마스터!$H13)</f>
        <v/>
      </c>
      <c r="E14" s="129">
        <f>IF($A14="","",사건마스터!$G13)</f>
        <v/>
      </c>
      <c r="F14" s="129">
        <f>IF($A14="","",COUNTIFS(업무일지!$F$5:$F$1004,$A14,업무일지!$D$5:$D$1004,"출장"))</f>
        <v/>
      </c>
      <c r="G14" s="129">
        <f>IF($A14="","",COUNTIFS(업무일지!$F$5:$F$1004,$A14,업무일지!$D$5:$D$1004,"분석"))</f>
        <v/>
      </c>
      <c r="H14" s="130">
        <f>IF($A14="","",IF(F14+G14=0,"미착수",IF(F14=0,"분석만",IF(G14=0,"출장만","출장+분석"))))</f>
        <v/>
      </c>
      <c r="I14" s="129">
        <f>IF($A14="","",SUMIFS(업무일지!$AF$5:$AF$1004,업무일지!$F$5:$F$1004,$A14,업무일지!$D$5:$D$1004,"출장"))</f>
        <v/>
      </c>
      <c r="J14" s="129">
        <f>IF($A14="","",SUMIFS(업무일지!$AD$5:$AD$1004,업무일지!$F$5:$F$1004,$A14))</f>
        <v/>
      </c>
      <c r="K14" s="25">
        <f>IF($A14="","",SUMIFS(업무일지!$AE$5:$AE$1004,업무일지!$F$5:$F$1004,$A14))</f>
        <v/>
      </c>
      <c r="L14" s="129">
        <f>IF($A14="","",COUNTIF(일일실시사항!$G$5:$G$1004,$A14))</f>
        <v/>
      </c>
      <c r="M14" s="137">
        <f>IF($R14=0,"",1000000-$R14)</f>
        <v/>
      </c>
      <c r="N14" s="137">
        <f>IF($S14=0,"",$S14)</f>
        <v/>
      </c>
      <c r="O14" s="118">
        <f>IF(OR($M14="",$N14=""),"",$N14-$M14+1)</f>
        <v/>
      </c>
      <c r="P14" s="136">
        <f>IF($A14="","",사건마스터!$E13)</f>
        <v/>
      </c>
      <c r="R14">
        <f>IF($A14="",0,SUMPRODUCT(MAX((업무일지!$F$5:$F$1004=$A14)*(업무일지!$B$5:$B$1004&gt;0)*(1000000-업무일지!$B$5:$B$1004))))</f>
        <v/>
      </c>
      <c r="S14">
        <f>IF($A14="",0,SUMPRODUCT(MAX((업무일지!$F$5:$F$1004=$A14)*업무일지!$C$5:$C$1004)))</f>
        <v/>
      </c>
    </row>
    <row r="15">
      <c r="A15" s="107">
        <f>IF(사건마스터!$A14="","",사건마스터!$A14)</f>
        <v/>
      </c>
      <c r="B15" s="131">
        <f>IF($A15="","",사건마스터!$B14)</f>
        <v/>
      </c>
      <c r="C15" s="131">
        <f>IF($A15="","",사건마스터!$C14)</f>
        <v/>
      </c>
      <c r="D15" s="136">
        <f>IF($A15="","",사건마스터!$H14)</f>
        <v/>
      </c>
      <c r="E15" s="129">
        <f>IF($A15="","",사건마스터!$G14)</f>
        <v/>
      </c>
      <c r="F15" s="129">
        <f>IF($A15="","",COUNTIFS(업무일지!$F$5:$F$1004,$A15,업무일지!$D$5:$D$1004,"출장"))</f>
        <v/>
      </c>
      <c r="G15" s="129">
        <f>IF($A15="","",COUNTIFS(업무일지!$F$5:$F$1004,$A15,업무일지!$D$5:$D$1004,"분석"))</f>
        <v/>
      </c>
      <c r="H15" s="130">
        <f>IF($A15="","",IF(F15+G15=0,"미착수",IF(F15=0,"분석만",IF(G15=0,"출장만","출장+분석"))))</f>
        <v/>
      </c>
      <c r="I15" s="129">
        <f>IF($A15="","",SUMIFS(업무일지!$AF$5:$AF$1004,업무일지!$F$5:$F$1004,$A15,업무일지!$D$5:$D$1004,"출장"))</f>
        <v/>
      </c>
      <c r="J15" s="129">
        <f>IF($A15="","",SUMIFS(업무일지!$AD$5:$AD$1004,업무일지!$F$5:$F$1004,$A15))</f>
        <v/>
      </c>
      <c r="K15" s="25">
        <f>IF($A15="","",SUMIFS(업무일지!$AE$5:$AE$1004,업무일지!$F$5:$F$1004,$A15))</f>
        <v/>
      </c>
      <c r="L15" s="129">
        <f>IF($A15="","",COUNTIF(일일실시사항!$G$5:$G$1004,$A15))</f>
        <v/>
      </c>
      <c r="M15" s="137">
        <f>IF($R15=0,"",1000000-$R15)</f>
        <v/>
      </c>
      <c r="N15" s="137">
        <f>IF($S15=0,"",$S15)</f>
        <v/>
      </c>
      <c r="O15" s="118">
        <f>IF(OR($M15="",$N15=""),"",$N15-$M15+1)</f>
        <v/>
      </c>
      <c r="P15" s="136">
        <f>IF($A15="","",사건마스터!$E14)</f>
        <v/>
      </c>
      <c r="R15">
        <f>IF($A15="",0,SUMPRODUCT(MAX((업무일지!$F$5:$F$1004=$A15)*(업무일지!$B$5:$B$1004&gt;0)*(1000000-업무일지!$B$5:$B$1004))))</f>
        <v/>
      </c>
      <c r="S15">
        <f>IF($A15="",0,SUMPRODUCT(MAX((업무일지!$F$5:$F$1004=$A15)*업무일지!$C$5:$C$1004)))</f>
        <v/>
      </c>
    </row>
    <row r="16">
      <c r="A16" s="107">
        <f>IF(사건마스터!$A15="","",사건마스터!$A15)</f>
        <v/>
      </c>
      <c r="B16" s="131">
        <f>IF($A16="","",사건마스터!$B15)</f>
        <v/>
      </c>
      <c r="C16" s="131">
        <f>IF($A16="","",사건마스터!$C15)</f>
        <v/>
      </c>
      <c r="D16" s="136">
        <f>IF($A16="","",사건마스터!$H15)</f>
        <v/>
      </c>
      <c r="E16" s="129">
        <f>IF($A16="","",사건마스터!$G15)</f>
        <v/>
      </c>
      <c r="F16" s="129">
        <f>IF($A16="","",COUNTIFS(업무일지!$F$5:$F$1004,$A16,업무일지!$D$5:$D$1004,"출장"))</f>
        <v/>
      </c>
      <c r="G16" s="129">
        <f>IF($A16="","",COUNTIFS(업무일지!$F$5:$F$1004,$A16,업무일지!$D$5:$D$1004,"분석"))</f>
        <v/>
      </c>
      <c r="H16" s="130">
        <f>IF($A16="","",IF(F16+G16=0,"미착수",IF(F16=0,"분석만",IF(G16=0,"출장만","출장+분석"))))</f>
        <v/>
      </c>
      <c r="I16" s="129">
        <f>IF($A16="","",SUMIFS(업무일지!$AF$5:$AF$1004,업무일지!$F$5:$F$1004,$A16,업무일지!$D$5:$D$1004,"출장"))</f>
        <v/>
      </c>
      <c r="J16" s="129">
        <f>IF($A16="","",SUMIFS(업무일지!$AD$5:$AD$1004,업무일지!$F$5:$F$1004,$A16))</f>
        <v/>
      </c>
      <c r="K16" s="25">
        <f>IF($A16="","",SUMIFS(업무일지!$AE$5:$AE$1004,업무일지!$F$5:$F$1004,$A16))</f>
        <v/>
      </c>
      <c r="L16" s="129">
        <f>IF($A16="","",COUNTIF(일일실시사항!$G$5:$G$1004,$A16))</f>
        <v/>
      </c>
      <c r="M16" s="137">
        <f>IF($R16=0,"",1000000-$R16)</f>
        <v/>
      </c>
      <c r="N16" s="137">
        <f>IF($S16=0,"",$S16)</f>
        <v/>
      </c>
      <c r="O16" s="118">
        <f>IF(OR($M16="",$N16=""),"",$N16-$M16+1)</f>
        <v/>
      </c>
      <c r="P16" s="136">
        <f>IF($A16="","",사건마스터!$E15)</f>
        <v/>
      </c>
      <c r="R16">
        <f>IF($A16="",0,SUMPRODUCT(MAX((업무일지!$F$5:$F$1004=$A16)*(업무일지!$B$5:$B$1004&gt;0)*(1000000-업무일지!$B$5:$B$1004))))</f>
        <v/>
      </c>
      <c r="S16">
        <f>IF($A16="",0,SUMPRODUCT(MAX((업무일지!$F$5:$F$1004=$A16)*업무일지!$C$5:$C$1004)))</f>
        <v/>
      </c>
    </row>
    <row r="17">
      <c r="A17" s="107">
        <f>IF(사건마스터!$A16="","",사건마스터!$A16)</f>
        <v/>
      </c>
      <c r="B17" s="131">
        <f>IF($A17="","",사건마스터!$B16)</f>
        <v/>
      </c>
      <c r="C17" s="131">
        <f>IF($A17="","",사건마스터!$C16)</f>
        <v/>
      </c>
      <c r="D17" s="136">
        <f>IF($A17="","",사건마스터!$H16)</f>
        <v/>
      </c>
      <c r="E17" s="129">
        <f>IF($A17="","",사건마스터!$G16)</f>
        <v/>
      </c>
      <c r="F17" s="129">
        <f>IF($A17="","",COUNTIFS(업무일지!$F$5:$F$1004,$A17,업무일지!$D$5:$D$1004,"출장"))</f>
        <v/>
      </c>
      <c r="G17" s="129">
        <f>IF($A17="","",COUNTIFS(업무일지!$F$5:$F$1004,$A17,업무일지!$D$5:$D$1004,"분석"))</f>
        <v/>
      </c>
      <c r="H17" s="130">
        <f>IF($A17="","",IF(F17+G17=0,"미착수",IF(F17=0,"분석만",IF(G17=0,"출장만","출장+분석"))))</f>
        <v/>
      </c>
      <c r="I17" s="129">
        <f>IF($A17="","",SUMIFS(업무일지!$AF$5:$AF$1004,업무일지!$F$5:$F$1004,$A17,업무일지!$D$5:$D$1004,"출장"))</f>
        <v/>
      </c>
      <c r="J17" s="129">
        <f>IF($A17="","",SUMIFS(업무일지!$AD$5:$AD$1004,업무일지!$F$5:$F$1004,$A17))</f>
        <v/>
      </c>
      <c r="K17" s="25">
        <f>IF($A17="","",SUMIFS(업무일지!$AE$5:$AE$1004,업무일지!$F$5:$F$1004,$A17))</f>
        <v/>
      </c>
      <c r="L17" s="129">
        <f>IF($A17="","",COUNTIF(일일실시사항!$G$5:$G$1004,$A17))</f>
        <v/>
      </c>
      <c r="M17" s="137">
        <f>IF($R17=0,"",1000000-$R17)</f>
        <v/>
      </c>
      <c r="N17" s="137">
        <f>IF($S17=0,"",$S17)</f>
        <v/>
      </c>
      <c r="O17" s="118">
        <f>IF(OR($M17="",$N17=""),"",$N17-$M17+1)</f>
        <v/>
      </c>
      <c r="P17" s="136">
        <f>IF($A17="","",사건마스터!$E16)</f>
        <v/>
      </c>
      <c r="R17">
        <f>IF($A17="",0,SUMPRODUCT(MAX((업무일지!$F$5:$F$1004=$A17)*(업무일지!$B$5:$B$1004&gt;0)*(1000000-업무일지!$B$5:$B$1004))))</f>
        <v/>
      </c>
      <c r="S17">
        <f>IF($A17="",0,SUMPRODUCT(MAX((업무일지!$F$5:$F$1004=$A17)*업무일지!$C$5:$C$1004)))</f>
        <v/>
      </c>
    </row>
    <row r="18">
      <c r="A18" s="107">
        <f>IF(사건마스터!$A17="","",사건마스터!$A17)</f>
        <v/>
      </c>
      <c r="B18" s="131">
        <f>IF($A18="","",사건마스터!$B17)</f>
        <v/>
      </c>
      <c r="C18" s="131">
        <f>IF($A18="","",사건마스터!$C17)</f>
        <v/>
      </c>
      <c r="D18" s="136">
        <f>IF($A18="","",사건마스터!$H17)</f>
        <v/>
      </c>
      <c r="E18" s="129">
        <f>IF($A18="","",사건마스터!$G17)</f>
        <v/>
      </c>
      <c r="F18" s="129">
        <f>IF($A18="","",COUNTIFS(업무일지!$F$5:$F$1004,$A18,업무일지!$D$5:$D$1004,"출장"))</f>
        <v/>
      </c>
      <c r="G18" s="129">
        <f>IF($A18="","",COUNTIFS(업무일지!$F$5:$F$1004,$A18,업무일지!$D$5:$D$1004,"분석"))</f>
        <v/>
      </c>
      <c r="H18" s="130">
        <f>IF($A18="","",IF(F18+G18=0,"미착수",IF(F18=0,"분석만",IF(G18=0,"출장만","출장+분석"))))</f>
        <v/>
      </c>
      <c r="I18" s="129">
        <f>IF($A18="","",SUMIFS(업무일지!$AF$5:$AF$1004,업무일지!$F$5:$F$1004,$A18,업무일지!$D$5:$D$1004,"출장"))</f>
        <v/>
      </c>
      <c r="J18" s="129">
        <f>IF($A18="","",SUMIFS(업무일지!$AD$5:$AD$1004,업무일지!$F$5:$F$1004,$A18))</f>
        <v/>
      </c>
      <c r="K18" s="25">
        <f>IF($A18="","",SUMIFS(업무일지!$AE$5:$AE$1004,업무일지!$F$5:$F$1004,$A18))</f>
        <v/>
      </c>
      <c r="L18" s="129">
        <f>IF($A18="","",COUNTIF(일일실시사항!$G$5:$G$1004,$A18))</f>
        <v/>
      </c>
      <c r="M18" s="137">
        <f>IF($R18=0,"",1000000-$R18)</f>
        <v/>
      </c>
      <c r="N18" s="137">
        <f>IF($S18=0,"",$S18)</f>
        <v/>
      </c>
      <c r="O18" s="118">
        <f>IF(OR($M18="",$N18=""),"",$N18-$M18+1)</f>
        <v/>
      </c>
      <c r="P18" s="136">
        <f>IF($A18="","",사건마스터!$E17)</f>
        <v/>
      </c>
      <c r="R18">
        <f>IF($A18="",0,SUMPRODUCT(MAX((업무일지!$F$5:$F$1004=$A18)*(업무일지!$B$5:$B$1004&gt;0)*(1000000-업무일지!$B$5:$B$1004))))</f>
        <v/>
      </c>
      <c r="S18">
        <f>IF($A18="",0,SUMPRODUCT(MAX((업무일지!$F$5:$F$1004=$A18)*업무일지!$C$5:$C$1004)))</f>
        <v/>
      </c>
    </row>
    <row r="19">
      <c r="A19" s="107">
        <f>IF(사건마스터!$A18="","",사건마스터!$A18)</f>
        <v/>
      </c>
      <c r="B19" s="131">
        <f>IF($A19="","",사건마스터!$B18)</f>
        <v/>
      </c>
      <c r="C19" s="131">
        <f>IF($A19="","",사건마스터!$C18)</f>
        <v/>
      </c>
      <c r="D19" s="136">
        <f>IF($A19="","",사건마스터!$H18)</f>
        <v/>
      </c>
      <c r="E19" s="129">
        <f>IF($A19="","",사건마스터!$G18)</f>
        <v/>
      </c>
      <c r="F19" s="129">
        <f>IF($A19="","",COUNTIFS(업무일지!$F$5:$F$1004,$A19,업무일지!$D$5:$D$1004,"출장"))</f>
        <v/>
      </c>
      <c r="G19" s="129">
        <f>IF($A19="","",COUNTIFS(업무일지!$F$5:$F$1004,$A19,업무일지!$D$5:$D$1004,"분석"))</f>
        <v/>
      </c>
      <c r="H19" s="130">
        <f>IF($A19="","",IF(F19+G19=0,"미착수",IF(F19=0,"분석만",IF(G19=0,"출장만","출장+분석"))))</f>
        <v/>
      </c>
      <c r="I19" s="129">
        <f>IF($A19="","",SUMIFS(업무일지!$AF$5:$AF$1004,업무일지!$F$5:$F$1004,$A19,업무일지!$D$5:$D$1004,"출장"))</f>
        <v/>
      </c>
      <c r="J19" s="129">
        <f>IF($A19="","",SUMIFS(업무일지!$AD$5:$AD$1004,업무일지!$F$5:$F$1004,$A19))</f>
        <v/>
      </c>
      <c r="K19" s="25">
        <f>IF($A19="","",SUMIFS(업무일지!$AE$5:$AE$1004,업무일지!$F$5:$F$1004,$A19))</f>
        <v/>
      </c>
      <c r="L19" s="129">
        <f>IF($A19="","",COUNTIF(일일실시사항!$G$5:$G$1004,$A19))</f>
        <v/>
      </c>
      <c r="M19" s="137">
        <f>IF($R19=0,"",1000000-$R19)</f>
        <v/>
      </c>
      <c r="N19" s="137">
        <f>IF($S19=0,"",$S19)</f>
        <v/>
      </c>
      <c r="O19" s="118">
        <f>IF(OR($M19="",$N19=""),"",$N19-$M19+1)</f>
        <v/>
      </c>
      <c r="P19" s="136">
        <f>IF($A19="","",사건마스터!$E18)</f>
        <v/>
      </c>
      <c r="R19">
        <f>IF($A19="",0,SUMPRODUCT(MAX((업무일지!$F$5:$F$1004=$A19)*(업무일지!$B$5:$B$1004&gt;0)*(1000000-업무일지!$B$5:$B$1004))))</f>
        <v/>
      </c>
      <c r="S19">
        <f>IF($A19="",0,SUMPRODUCT(MAX((업무일지!$F$5:$F$1004=$A19)*업무일지!$C$5:$C$1004)))</f>
        <v/>
      </c>
    </row>
    <row r="20">
      <c r="A20" s="107">
        <f>IF(사건마스터!$A19="","",사건마스터!$A19)</f>
        <v/>
      </c>
      <c r="B20" s="131">
        <f>IF($A20="","",사건마스터!$B19)</f>
        <v/>
      </c>
      <c r="C20" s="131">
        <f>IF($A20="","",사건마스터!$C19)</f>
        <v/>
      </c>
      <c r="D20" s="136">
        <f>IF($A20="","",사건마스터!$H19)</f>
        <v/>
      </c>
      <c r="E20" s="129">
        <f>IF($A20="","",사건마스터!$G19)</f>
        <v/>
      </c>
      <c r="F20" s="129">
        <f>IF($A20="","",COUNTIFS(업무일지!$F$5:$F$1004,$A20,업무일지!$D$5:$D$1004,"출장"))</f>
        <v/>
      </c>
      <c r="G20" s="129">
        <f>IF($A20="","",COUNTIFS(업무일지!$F$5:$F$1004,$A20,업무일지!$D$5:$D$1004,"분석"))</f>
        <v/>
      </c>
      <c r="H20" s="130">
        <f>IF($A20="","",IF(F20+G20=0,"미착수",IF(F20=0,"분석만",IF(G20=0,"출장만","출장+분석"))))</f>
        <v/>
      </c>
      <c r="I20" s="129">
        <f>IF($A20="","",SUMIFS(업무일지!$AF$5:$AF$1004,업무일지!$F$5:$F$1004,$A20,업무일지!$D$5:$D$1004,"출장"))</f>
        <v/>
      </c>
      <c r="J20" s="129">
        <f>IF($A20="","",SUMIFS(업무일지!$AD$5:$AD$1004,업무일지!$F$5:$F$1004,$A20))</f>
        <v/>
      </c>
      <c r="K20" s="25">
        <f>IF($A20="","",SUMIFS(업무일지!$AE$5:$AE$1004,업무일지!$F$5:$F$1004,$A20))</f>
        <v/>
      </c>
      <c r="L20" s="129">
        <f>IF($A20="","",COUNTIF(일일실시사항!$G$5:$G$1004,$A20))</f>
        <v/>
      </c>
      <c r="M20" s="137">
        <f>IF($R20=0,"",1000000-$R20)</f>
        <v/>
      </c>
      <c r="N20" s="137">
        <f>IF($S20=0,"",$S20)</f>
        <v/>
      </c>
      <c r="O20" s="118">
        <f>IF(OR($M20="",$N20=""),"",$N20-$M20+1)</f>
        <v/>
      </c>
      <c r="P20" s="136">
        <f>IF($A20="","",사건마스터!$E19)</f>
        <v/>
      </c>
      <c r="R20">
        <f>IF($A20="",0,SUMPRODUCT(MAX((업무일지!$F$5:$F$1004=$A20)*(업무일지!$B$5:$B$1004&gt;0)*(1000000-업무일지!$B$5:$B$1004))))</f>
        <v/>
      </c>
      <c r="S20">
        <f>IF($A20="",0,SUMPRODUCT(MAX((업무일지!$F$5:$F$1004=$A20)*업무일지!$C$5:$C$1004)))</f>
        <v/>
      </c>
    </row>
    <row r="21">
      <c r="A21" s="107">
        <f>IF(사건마스터!$A20="","",사건마스터!$A20)</f>
        <v/>
      </c>
      <c r="B21" s="131">
        <f>IF($A21="","",사건마스터!$B20)</f>
        <v/>
      </c>
      <c r="C21" s="131">
        <f>IF($A21="","",사건마스터!$C20)</f>
        <v/>
      </c>
      <c r="D21" s="136">
        <f>IF($A21="","",사건마스터!$H20)</f>
        <v/>
      </c>
      <c r="E21" s="129">
        <f>IF($A21="","",사건마스터!$G20)</f>
        <v/>
      </c>
      <c r="F21" s="129">
        <f>IF($A21="","",COUNTIFS(업무일지!$F$5:$F$1004,$A21,업무일지!$D$5:$D$1004,"출장"))</f>
        <v/>
      </c>
      <c r="G21" s="129">
        <f>IF($A21="","",COUNTIFS(업무일지!$F$5:$F$1004,$A21,업무일지!$D$5:$D$1004,"분석"))</f>
        <v/>
      </c>
      <c r="H21" s="130">
        <f>IF($A21="","",IF(F21+G21=0,"미착수",IF(F21=0,"분석만",IF(G21=0,"출장만","출장+분석"))))</f>
        <v/>
      </c>
      <c r="I21" s="129">
        <f>IF($A21="","",SUMIFS(업무일지!$AF$5:$AF$1004,업무일지!$F$5:$F$1004,$A21,업무일지!$D$5:$D$1004,"출장"))</f>
        <v/>
      </c>
      <c r="J21" s="129">
        <f>IF($A21="","",SUMIFS(업무일지!$AD$5:$AD$1004,업무일지!$F$5:$F$1004,$A21))</f>
        <v/>
      </c>
      <c r="K21" s="25">
        <f>IF($A21="","",SUMIFS(업무일지!$AE$5:$AE$1004,업무일지!$F$5:$F$1004,$A21))</f>
        <v/>
      </c>
      <c r="L21" s="129">
        <f>IF($A21="","",COUNTIF(일일실시사항!$G$5:$G$1004,$A21))</f>
        <v/>
      </c>
      <c r="M21" s="137">
        <f>IF($R21=0,"",1000000-$R21)</f>
        <v/>
      </c>
      <c r="N21" s="137">
        <f>IF($S21=0,"",$S21)</f>
        <v/>
      </c>
      <c r="O21" s="118">
        <f>IF(OR($M21="",$N21=""),"",$N21-$M21+1)</f>
        <v/>
      </c>
      <c r="P21" s="136">
        <f>IF($A21="","",사건마스터!$E20)</f>
        <v/>
      </c>
      <c r="R21">
        <f>IF($A21="",0,SUMPRODUCT(MAX((업무일지!$F$5:$F$1004=$A21)*(업무일지!$B$5:$B$1004&gt;0)*(1000000-업무일지!$B$5:$B$1004))))</f>
        <v/>
      </c>
      <c r="S21">
        <f>IF($A21="",0,SUMPRODUCT(MAX((업무일지!$F$5:$F$1004=$A21)*업무일지!$C$5:$C$1004)))</f>
        <v/>
      </c>
    </row>
    <row r="22">
      <c r="A22" s="107">
        <f>IF(사건마스터!$A21="","",사건마스터!$A21)</f>
        <v/>
      </c>
      <c r="B22" s="131">
        <f>IF($A22="","",사건마스터!$B21)</f>
        <v/>
      </c>
      <c r="C22" s="131">
        <f>IF($A22="","",사건마스터!$C21)</f>
        <v/>
      </c>
      <c r="D22" s="136">
        <f>IF($A22="","",사건마스터!$H21)</f>
        <v/>
      </c>
      <c r="E22" s="129">
        <f>IF($A22="","",사건마스터!$G21)</f>
        <v/>
      </c>
      <c r="F22" s="129">
        <f>IF($A22="","",COUNTIFS(업무일지!$F$5:$F$1004,$A22,업무일지!$D$5:$D$1004,"출장"))</f>
        <v/>
      </c>
      <c r="G22" s="129">
        <f>IF($A22="","",COUNTIFS(업무일지!$F$5:$F$1004,$A22,업무일지!$D$5:$D$1004,"분석"))</f>
        <v/>
      </c>
      <c r="H22" s="130">
        <f>IF($A22="","",IF(F22+G22=0,"미착수",IF(F22=0,"분석만",IF(G22=0,"출장만","출장+분석"))))</f>
        <v/>
      </c>
      <c r="I22" s="129">
        <f>IF($A22="","",SUMIFS(업무일지!$AF$5:$AF$1004,업무일지!$F$5:$F$1004,$A22,업무일지!$D$5:$D$1004,"출장"))</f>
        <v/>
      </c>
      <c r="J22" s="129">
        <f>IF($A22="","",SUMIFS(업무일지!$AD$5:$AD$1004,업무일지!$F$5:$F$1004,$A22))</f>
        <v/>
      </c>
      <c r="K22" s="25">
        <f>IF($A22="","",SUMIFS(업무일지!$AE$5:$AE$1004,업무일지!$F$5:$F$1004,$A22))</f>
        <v/>
      </c>
      <c r="L22" s="129">
        <f>IF($A22="","",COUNTIF(일일실시사항!$G$5:$G$1004,$A22))</f>
        <v/>
      </c>
      <c r="M22" s="137">
        <f>IF($R22=0,"",1000000-$R22)</f>
        <v/>
      </c>
      <c r="N22" s="137">
        <f>IF($S22=0,"",$S22)</f>
        <v/>
      </c>
      <c r="O22" s="118">
        <f>IF(OR($M22="",$N22=""),"",$N22-$M22+1)</f>
        <v/>
      </c>
      <c r="P22" s="136">
        <f>IF($A22="","",사건마스터!$E21)</f>
        <v/>
      </c>
      <c r="R22">
        <f>IF($A22="",0,SUMPRODUCT(MAX((업무일지!$F$5:$F$1004=$A22)*(업무일지!$B$5:$B$1004&gt;0)*(1000000-업무일지!$B$5:$B$1004))))</f>
        <v/>
      </c>
      <c r="S22">
        <f>IF($A22="",0,SUMPRODUCT(MAX((업무일지!$F$5:$F$1004=$A22)*업무일지!$C$5:$C$1004)))</f>
        <v/>
      </c>
    </row>
    <row r="23">
      <c r="A23" s="107">
        <f>IF(사건마스터!$A22="","",사건마스터!$A22)</f>
        <v/>
      </c>
      <c r="B23" s="131">
        <f>IF($A23="","",사건마스터!$B22)</f>
        <v/>
      </c>
      <c r="C23" s="131">
        <f>IF($A23="","",사건마스터!$C22)</f>
        <v/>
      </c>
      <c r="D23" s="136">
        <f>IF($A23="","",사건마스터!$H22)</f>
        <v/>
      </c>
      <c r="E23" s="129">
        <f>IF($A23="","",사건마스터!$G22)</f>
        <v/>
      </c>
      <c r="F23" s="129">
        <f>IF($A23="","",COUNTIFS(업무일지!$F$5:$F$1004,$A23,업무일지!$D$5:$D$1004,"출장"))</f>
        <v/>
      </c>
      <c r="G23" s="129">
        <f>IF($A23="","",COUNTIFS(업무일지!$F$5:$F$1004,$A23,업무일지!$D$5:$D$1004,"분석"))</f>
        <v/>
      </c>
      <c r="H23" s="130">
        <f>IF($A23="","",IF(F23+G23=0,"미착수",IF(F23=0,"분석만",IF(G23=0,"출장만","출장+분석"))))</f>
        <v/>
      </c>
      <c r="I23" s="129">
        <f>IF($A23="","",SUMIFS(업무일지!$AF$5:$AF$1004,업무일지!$F$5:$F$1004,$A23,업무일지!$D$5:$D$1004,"출장"))</f>
        <v/>
      </c>
      <c r="J23" s="129">
        <f>IF($A23="","",SUMIFS(업무일지!$AD$5:$AD$1004,업무일지!$F$5:$F$1004,$A23))</f>
        <v/>
      </c>
      <c r="K23" s="25">
        <f>IF($A23="","",SUMIFS(업무일지!$AE$5:$AE$1004,업무일지!$F$5:$F$1004,$A23))</f>
        <v/>
      </c>
      <c r="L23" s="129">
        <f>IF($A23="","",COUNTIF(일일실시사항!$G$5:$G$1004,$A23))</f>
        <v/>
      </c>
      <c r="M23" s="137">
        <f>IF($R23=0,"",1000000-$R23)</f>
        <v/>
      </c>
      <c r="N23" s="137">
        <f>IF($S23=0,"",$S23)</f>
        <v/>
      </c>
      <c r="O23" s="118">
        <f>IF(OR($M23="",$N23=""),"",$N23-$M23+1)</f>
        <v/>
      </c>
      <c r="P23" s="136">
        <f>IF($A23="","",사건마스터!$E22)</f>
        <v/>
      </c>
      <c r="R23">
        <f>IF($A23="",0,SUMPRODUCT(MAX((업무일지!$F$5:$F$1004=$A23)*(업무일지!$B$5:$B$1004&gt;0)*(1000000-업무일지!$B$5:$B$1004))))</f>
        <v/>
      </c>
      <c r="S23">
        <f>IF($A23="",0,SUMPRODUCT(MAX((업무일지!$F$5:$F$1004=$A23)*업무일지!$C$5:$C$1004)))</f>
        <v/>
      </c>
    </row>
    <row r="24">
      <c r="A24" s="107">
        <f>IF(사건마스터!$A23="","",사건마스터!$A23)</f>
        <v/>
      </c>
      <c r="B24" s="131">
        <f>IF($A24="","",사건마스터!$B23)</f>
        <v/>
      </c>
      <c r="C24" s="131">
        <f>IF($A24="","",사건마스터!$C23)</f>
        <v/>
      </c>
      <c r="D24" s="136">
        <f>IF($A24="","",사건마스터!$H23)</f>
        <v/>
      </c>
      <c r="E24" s="129">
        <f>IF($A24="","",사건마스터!$G23)</f>
        <v/>
      </c>
      <c r="F24" s="129">
        <f>IF($A24="","",COUNTIFS(업무일지!$F$5:$F$1004,$A24,업무일지!$D$5:$D$1004,"출장"))</f>
        <v/>
      </c>
      <c r="G24" s="129">
        <f>IF($A24="","",COUNTIFS(업무일지!$F$5:$F$1004,$A24,업무일지!$D$5:$D$1004,"분석"))</f>
        <v/>
      </c>
      <c r="H24" s="130">
        <f>IF($A24="","",IF(F24+G24=0,"미착수",IF(F24=0,"분석만",IF(G24=0,"출장만","출장+분석"))))</f>
        <v/>
      </c>
      <c r="I24" s="129">
        <f>IF($A24="","",SUMIFS(업무일지!$AF$5:$AF$1004,업무일지!$F$5:$F$1004,$A24,업무일지!$D$5:$D$1004,"출장"))</f>
        <v/>
      </c>
      <c r="J24" s="129">
        <f>IF($A24="","",SUMIFS(업무일지!$AD$5:$AD$1004,업무일지!$F$5:$F$1004,$A24))</f>
        <v/>
      </c>
      <c r="K24" s="25">
        <f>IF($A24="","",SUMIFS(업무일지!$AE$5:$AE$1004,업무일지!$F$5:$F$1004,$A24))</f>
        <v/>
      </c>
      <c r="L24" s="129">
        <f>IF($A24="","",COUNTIF(일일실시사항!$G$5:$G$1004,$A24))</f>
        <v/>
      </c>
      <c r="M24" s="137">
        <f>IF($R24=0,"",1000000-$R24)</f>
        <v/>
      </c>
      <c r="N24" s="137">
        <f>IF($S24=0,"",$S24)</f>
        <v/>
      </c>
      <c r="O24" s="118">
        <f>IF(OR($M24="",$N24=""),"",$N24-$M24+1)</f>
        <v/>
      </c>
      <c r="P24" s="136">
        <f>IF($A24="","",사건마스터!$E23)</f>
        <v/>
      </c>
      <c r="R24">
        <f>IF($A24="",0,SUMPRODUCT(MAX((업무일지!$F$5:$F$1004=$A24)*(업무일지!$B$5:$B$1004&gt;0)*(1000000-업무일지!$B$5:$B$1004))))</f>
        <v/>
      </c>
      <c r="S24">
        <f>IF($A24="",0,SUMPRODUCT(MAX((업무일지!$F$5:$F$1004=$A24)*업무일지!$C$5:$C$1004)))</f>
        <v/>
      </c>
    </row>
    <row r="25">
      <c r="A25" s="107">
        <f>IF(사건마스터!$A24="","",사건마스터!$A24)</f>
        <v/>
      </c>
      <c r="B25" s="131">
        <f>IF($A25="","",사건마스터!$B24)</f>
        <v/>
      </c>
      <c r="C25" s="131">
        <f>IF($A25="","",사건마스터!$C24)</f>
        <v/>
      </c>
      <c r="D25" s="136">
        <f>IF($A25="","",사건마스터!$H24)</f>
        <v/>
      </c>
      <c r="E25" s="129">
        <f>IF($A25="","",사건마스터!$G24)</f>
        <v/>
      </c>
      <c r="F25" s="129">
        <f>IF($A25="","",COUNTIFS(업무일지!$F$5:$F$1004,$A25,업무일지!$D$5:$D$1004,"출장"))</f>
        <v/>
      </c>
      <c r="G25" s="129">
        <f>IF($A25="","",COUNTIFS(업무일지!$F$5:$F$1004,$A25,업무일지!$D$5:$D$1004,"분석"))</f>
        <v/>
      </c>
      <c r="H25" s="130">
        <f>IF($A25="","",IF(F25+G25=0,"미착수",IF(F25=0,"분석만",IF(G25=0,"출장만","출장+분석"))))</f>
        <v/>
      </c>
      <c r="I25" s="129">
        <f>IF($A25="","",SUMIFS(업무일지!$AF$5:$AF$1004,업무일지!$F$5:$F$1004,$A25,업무일지!$D$5:$D$1004,"출장"))</f>
        <v/>
      </c>
      <c r="J25" s="129">
        <f>IF($A25="","",SUMIFS(업무일지!$AD$5:$AD$1004,업무일지!$F$5:$F$1004,$A25))</f>
        <v/>
      </c>
      <c r="K25" s="25">
        <f>IF($A25="","",SUMIFS(업무일지!$AE$5:$AE$1004,업무일지!$F$5:$F$1004,$A25))</f>
        <v/>
      </c>
      <c r="L25" s="129">
        <f>IF($A25="","",COUNTIF(일일실시사항!$G$5:$G$1004,$A25))</f>
        <v/>
      </c>
      <c r="M25" s="137">
        <f>IF($R25=0,"",1000000-$R25)</f>
        <v/>
      </c>
      <c r="N25" s="137">
        <f>IF($S25=0,"",$S25)</f>
        <v/>
      </c>
      <c r="O25" s="118">
        <f>IF(OR($M25="",$N25=""),"",$N25-$M25+1)</f>
        <v/>
      </c>
      <c r="P25" s="136">
        <f>IF($A25="","",사건마스터!$E24)</f>
        <v/>
      </c>
      <c r="R25">
        <f>IF($A25="",0,SUMPRODUCT(MAX((업무일지!$F$5:$F$1004=$A25)*(업무일지!$B$5:$B$1004&gt;0)*(1000000-업무일지!$B$5:$B$1004))))</f>
        <v/>
      </c>
      <c r="S25">
        <f>IF($A25="",0,SUMPRODUCT(MAX((업무일지!$F$5:$F$1004=$A25)*업무일지!$C$5:$C$1004)))</f>
        <v/>
      </c>
    </row>
    <row r="26">
      <c r="A26" s="107">
        <f>IF(사건마스터!$A25="","",사건마스터!$A25)</f>
        <v/>
      </c>
      <c r="B26" s="131">
        <f>IF($A26="","",사건마스터!$B25)</f>
        <v/>
      </c>
      <c r="C26" s="131">
        <f>IF($A26="","",사건마스터!$C25)</f>
        <v/>
      </c>
      <c r="D26" s="136">
        <f>IF($A26="","",사건마스터!$H25)</f>
        <v/>
      </c>
      <c r="E26" s="129">
        <f>IF($A26="","",사건마스터!$G25)</f>
        <v/>
      </c>
      <c r="F26" s="129">
        <f>IF($A26="","",COUNTIFS(업무일지!$F$5:$F$1004,$A26,업무일지!$D$5:$D$1004,"출장"))</f>
        <v/>
      </c>
      <c r="G26" s="129">
        <f>IF($A26="","",COUNTIFS(업무일지!$F$5:$F$1004,$A26,업무일지!$D$5:$D$1004,"분석"))</f>
        <v/>
      </c>
      <c r="H26" s="130">
        <f>IF($A26="","",IF(F26+G26=0,"미착수",IF(F26=0,"분석만",IF(G26=0,"출장만","출장+분석"))))</f>
        <v/>
      </c>
      <c r="I26" s="129">
        <f>IF($A26="","",SUMIFS(업무일지!$AF$5:$AF$1004,업무일지!$F$5:$F$1004,$A26,업무일지!$D$5:$D$1004,"출장"))</f>
        <v/>
      </c>
      <c r="J26" s="129">
        <f>IF($A26="","",SUMIFS(업무일지!$AD$5:$AD$1004,업무일지!$F$5:$F$1004,$A26))</f>
        <v/>
      </c>
      <c r="K26" s="25">
        <f>IF($A26="","",SUMIFS(업무일지!$AE$5:$AE$1004,업무일지!$F$5:$F$1004,$A26))</f>
        <v/>
      </c>
      <c r="L26" s="129">
        <f>IF($A26="","",COUNTIF(일일실시사항!$G$5:$G$1004,$A26))</f>
        <v/>
      </c>
      <c r="M26" s="137">
        <f>IF($R26=0,"",1000000-$R26)</f>
        <v/>
      </c>
      <c r="N26" s="137">
        <f>IF($S26=0,"",$S26)</f>
        <v/>
      </c>
      <c r="O26" s="118">
        <f>IF(OR($M26="",$N26=""),"",$N26-$M26+1)</f>
        <v/>
      </c>
      <c r="P26" s="136">
        <f>IF($A26="","",사건마스터!$E25)</f>
        <v/>
      </c>
      <c r="R26">
        <f>IF($A26="",0,SUMPRODUCT(MAX((업무일지!$F$5:$F$1004=$A26)*(업무일지!$B$5:$B$1004&gt;0)*(1000000-업무일지!$B$5:$B$1004))))</f>
        <v/>
      </c>
      <c r="S26">
        <f>IF($A26="",0,SUMPRODUCT(MAX((업무일지!$F$5:$F$1004=$A26)*업무일지!$C$5:$C$1004)))</f>
        <v/>
      </c>
    </row>
    <row r="27">
      <c r="A27" s="107">
        <f>IF(사건마스터!$A26="","",사건마스터!$A26)</f>
        <v/>
      </c>
      <c r="B27" s="131">
        <f>IF($A27="","",사건마스터!$B26)</f>
        <v/>
      </c>
      <c r="C27" s="131">
        <f>IF($A27="","",사건마스터!$C26)</f>
        <v/>
      </c>
      <c r="D27" s="136">
        <f>IF($A27="","",사건마스터!$H26)</f>
        <v/>
      </c>
      <c r="E27" s="129">
        <f>IF($A27="","",사건마스터!$G26)</f>
        <v/>
      </c>
      <c r="F27" s="129">
        <f>IF($A27="","",COUNTIFS(업무일지!$F$5:$F$1004,$A27,업무일지!$D$5:$D$1004,"출장"))</f>
        <v/>
      </c>
      <c r="G27" s="129">
        <f>IF($A27="","",COUNTIFS(업무일지!$F$5:$F$1004,$A27,업무일지!$D$5:$D$1004,"분석"))</f>
        <v/>
      </c>
      <c r="H27" s="130">
        <f>IF($A27="","",IF(F27+G27=0,"미착수",IF(F27=0,"분석만",IF(G27=0,"출장만","출장+분석"))))</f>
        <v/>
      </c>
      <c r="I27" s="129">
        <f>IF($A27="","",SUMIFS(업무일지!$AF$5:$AF$1004,업무일지!$F$5:$F$1004,$A27,업무일지!$D$5:$D$1004,"출장"))</f>
        <v/>
      </c>
      <c r="J27" s="129">
        <f>IF($A27="","",SUMIFS(업무일지!$AD$5:$AD$1004,업무일지!$F$5:$F$1004,$A27))</f>
        <v/>
      </c>
      <c r="K27" s="25">
        <f>IF($A27="","",SUMIFS(업무일지!$AE$5:$AE$1004,업무일지!$F$5:$F$1004,$A27))</f>
        <v/>
      </c>
      <c r="L27" s="129">
        <f>IF($A27="","",COUNTIF(일일실시사항!$G$5:$G$1004,$A27))</f>
        <v/>
      </c>
      <c r="M27" s="137">
        <f>IF($R27=0,"",1000000-$R27)</f>
        <v/>
      </c>
      <c r="N27" s="137">
        <f>IF($S27=0,"",$S27)</f>
        <v/>
      </c>
      <c r="O27" s="118">
        <f>IF(OR($M27="",$N27=""),"",$N27-$M27+1)</f>
        <v/>
      </c>
      <c r="P27" s="136">
        <f>IF($A27="","",사건마스터!$E26)</f>
        <v/>
      </c>
      <c r="R27">
        <f>IF($A27="",0,SUMPRODUCT(MAX((업무일지!$F$5:$F$1004=$A27)*(업무일지!$B$5:$B$1004&gt;0)*(1000000-업무일지!$B$5:$B$1004))))</f>
        <v/>
      </c>
      <c r="S27">
        <f>IF($A27="",0,SUMPRODUCT(MAX((업무일지!$F$5:$F$1004=$A27)*업무일지!$C$5:$C$1004)))</f>
        <v/>
      </c>
    </row>
    <row r="28">
      <c r="A28" s="107">
        <f>IF(사건마스터!$A27="","",사건마스터!$A27)</f>
        <v/>
      </c>
      <c r="B28" s="131">
        <f>IF($A28="","",사건마스터!$B27)</f>
        <v/>
      </c>
      <c r="C28" s="131">
        <f>IF($A28="","",사건마스터!$C27)</f>
        <v/>
      </c>
      <c r="D28" s="136">
        <f>IF($A28="","",사건마스터!$H27)</f>
        <v/>
      </c>
      <c r="E28" s="129">
        <f>IF($A28="","",사건마스터!$G27)</f>
        <v/>
      </c>
      <c r="F28" s="129">
        <f>IF($A28="","",COUNTIFS(업무일지!$F$5:$F$1004,$A28,업무일지!$D$5:$D$1004,"출장"))</f>
        <v/>
      </c>
      <c r="G28" s="129">
        <f>IF($A28="","",COUNTIFS(업무일지!$F$5:$F$1004,$A28,업무일지!$D$5:$D$1004,"분석"))</f>
        <v/>
      </c>
      <c r="H28" s="130">
        <f>IF($A28="","",IF(F28+G28=0,"미착수",IF(F28=0,"분석만",IF(G28=0,"출장만","출장+분석"))))</f>
        <v/>
      </c>
      <c r="I28" s="129">
        <f>IF($A28="","",SUMIFS(업무일지!$AF$5:$AF$1004,업무일지!$F$5:$F$1004,$A28,업무일지!$D$5:$D$1004,"출장"))</f>
        <v/>
      </c>
      <c r="J28" s="129">
        <f>IF($A28="","",SUMIFS(업무일지!$AD$5:$AD$1004,업무일지!$F$5:$F$1004,$A28))</f>
        <v/>
      </c>
      <c r="K28" s="25">
        <f>IF($A28="","",SUMIFS(업무일지!$AE$5:$AE$1004,업무일지!$F$5:$F$1004,$A28))</f>
        <v/>
      </c>
      <c r="L28" s="129">
        <f>IF($A28="","",COUNTIF(일일실시사항!$G$5:$G$1004,$A28))</f>
        <v/>
      </c>
      <c r="M28" s="137">
        <f>IF($R28=0,"",1000000-$R28)</f>
        <v/>
      </c>
      <c r="N28" s="137">
        <f>IF($S28=0,"",$S28)</f>
        <v/>
      </c>
      <c r="O28" s="118">
        <f>IF(OR($M28="",$N28=""),"",$N28-$M28+1)</f>
        <v/>
      </c>
      <c r="P28" s="136">
        <f>IF($A28="","",사건마스터!$E27)</f>
        <v/>
      </c>
      <c r="R28">
        <f>IF($A28="",0,SUMPRODUCT(MAX((업무일지!$F$5:$F$1004=$A28)*(업무일지!$B$5:$B$1004&gt;0)*(1000000-업무일지!$B$5:$B$1004))))</f>
        <v/>
      </c>
      <c r="S28">
        <f>IF($A28="",0,SUMPRODUCT(MAX((업무일지!$F$5:$F$1004=$A28)*업무일지!$C$5:$C$1004)))</f>
        <v/>
      </c>
    </row>
    <row r="29">
      <c r="A29" s="107">
        <f>IF(사건마스터!$A28="","",사건마스터!$A28)</f>
        <v/>
      </c>
      <c r="B29" s="131">
        <f>IF($A29="","",사건마스터!$B28)</f>
        <v/>
      </c>
      <c r="C29" s="131">
        <f>IF($A29="","",사건마스터!$C28)</f>
        <v/>
      </c>
      <c r="D29" s="136">
        <f>IF($A29="","",사건마스터!$H28)</f>
        <v/>
      </c>
      <c r="E29" s="129">
        <f>IF($A29="","",사건마스터!$G28)</f>
        <v/>
      </c>
      <c r="F29" s="129">
        <f>IF($A29="","",COUNTIFS(업무일지!$F$5:$F$1004,$A29,업무일지!$D$5:$D$1004,"출장"))</f>
        <v/>
      </c>
      <c r="G29" s="129">
        <f>IF($A29="","",COUNTIFS(업무일지!$F$5:$F$1004,$A29,업무일지!$D$5:$D$1004,"분석"))</f>
        <v/>
      </c>
      <c r="H29" s="130">
        <f>IF($A29="","",IF(F29+G29=0,"미착수",IF(F29=0,"분석만",IF(G29=0,"출장만","출장+분석"))))</f>
        <v/>
      </c>
      <c r="I29" s="129">
        <f>IF($A29="","",SUMIFS(업무일지!$AF$5:$AF$1004,업무일지!$F$5:$F$1004,$A29,업무일지!$D$5:$D$1004,"출장"))</f>
        <v/>
      </c>
      <c r="J29" s="129">
        <f>IF($A29="","",SUMIFS(업무일지!$AD$5:$AD$1004,업무일지!$F$5:$F$1004,$A29))</f>
        <v/>
      </c>
      <c r="K29" s="25">
        <f>IF($A29="","",SUMIFS(업무일지!$AE$5:$AE$1004,업무일지!$F$5:$F$1004,$A29))</f>
        <v/>
      </c>
      <c r="L29" s="129">
        <f>IF($A29="","",COUNTIF(일일실시사항!$G$5:$G$1004,$A29))</f>
        <v/>
      </c>
      <c r="M29" s="137">
        <f>IF($R29=0,"",1000000-$R29)</f>
        <v/>
      </c>
      <c r="N29" s="137">
        <f>IF($S29=0,"",$S29)</f>
        <v/>
      </c>
      <c r="O29" s="118">
        <f>IF(OR($M29="",$N29=""),"",$N29-$M29+1)</f>
        <v/>
      </c>
      <c r="P29" s="136">
        <f>IF($A29="","",사건마스터!$E28)</f>
        <v/>
      </c>
      <c r="R29">
        <f>IF($A29="",0,SUMPRODUCT(MAX((업무일지!$F$5:$F$1004=$A29)*(업무일지!$B$5:$B$1004&gt;0)*(1000000-업무일지!$B$5:$B$1004))))</f>
        <v/>
      </c>
      <c r="S29">
        <f>IF($A29="",0,SUMPRODUCT(MAX((업무일지!$F$5:$F$1004=$A29)*업무일지!$C$5:$C$1004)))</f>
        <v/>
      </c>
    </row>
    <row r="30">
      <c r="A30" s="107">
        <f>IF(사건마스터!$A29="","",사건마스터!$A29)</f>
        <v/>
      </c>
      <c r="B30" s="131">
        <f>IF($A30="","",사건마스터!$B29)</f>
        <v/>
      </c>
      <c r="C30" s="131">
        <f>IF($A30="","",사건마스터!$C29)</f>
        <v/>
      </c>
      <c r="D30" s="136">
        <f>IF($A30="","",사건마스터!$H29)</f>
        <v/>
      </c>
      <c r="E30" s="129">
        <f>IF($A30="","",사건마스터!$G29)</f>
        <v/>
      </c>
      <c r="F30" s="129">
        <f>IF($A30="","",COUNTIFS(업무일지!$F$5:$F$1004,$A30,업무일지!$D$5:$D$1004,"출장"))</f>
        <v/>
      </c>
      <c r="G30" s="129">
        <f>IF($A30="","",COUNTIFS(업무일지!$F$5:$F$1004,$A30,업무일지!$D$5:$D$1004,"분석"))</f>
        <v/>
      </c>
      <c r="H30" s="130">
        <f>IF($A30="","",IF(F30+G30=0,"미착수",IF(F30=0,"분석만",IF(G30=0,"출장만","출장+분석"))))</f>
        <v/>
      </c>
      <c r="I30" s="129">
        <f>IF($A30="","",SUMIFS(업무일지!$AF$5:$AF$1004,업무일지!$F$5:$F$1004,$A30,업무일지!$D$5:$D$1004,"출장"))</f>
        <v/>
      </c>
      <c r="J30" s="129">
        <f>IF($A30="","",SUMIFS(업무일지!$AD$5:$AD$1004,업무일지!$F$5:$F$1004,$A30))</f>
        <v/>
      </c>
      <c r="K30" s="25">
        <f>IF($A30="","",SUMIFS(업무일지!$AE$5:$AE$1004,업무일지!$F$5:$F$1004,$A30))</f>
        <v/>
      </c>
      <c r="L30" s="129">
        <f>IF($A30="","",COUNTIF(일일실시사항!$G$5:$G$1004,$A30))</f>
        <v/>
      </c>
      <c r="M30" s="137">
        <f>IF($R30=0,"",1000000-$R30)</f>
        <v/>
      </c>
      <c r="N30" s="137">
        <f>IF($S30=0,"",$S30)</f>
        <v/>
      </c>
      <c r="O30" s="118">
        <f>IF(OR($M30="",$N30=""),"",$N30-$M30+1)</f>
        <v/>
      </c>
      <c r="P30" s="136">
        <f>IF($A30="","",사건마스터!$E29)</f>
        <v/>
      </c>
      <c r="R30">
        <f>IF($A30="",0,SUMPRODUCT(MAX((업무일지!$F$5:$F$1004=$A30)*(업무일지!$B$5:$B$1004&gt;0)*(1000000-업무일지!$B$5:$B$1004))))</f>
        <v/>
      </c>
      <c r="S30">
        <f>IF($A30="",0,SUMPRODUCT(MAX((업무일지!$F$5:$F$1004=$A30)*업무일지!$C$5:$C$1004)))</f>
        <v/>
      </c>
    </row>
    <row r="31">
      <c r="A31" s="107">
        <f>IF(사건마스터!$A30="","",사건마스터!$A30)</f>
        <v/>
      </c>
      <c r="B31" s="131">
        <f>IF($A31="","",사건마스터!$B30)</f>
        <v/>
      </c>
      <c r="C31" s="131">
        <f>IF($A31="","",사건마스터!$C30)</f>
        <v/>
      </c>
      <c r="D31" s="136">
        <f>IF($A31="","",사건마스터!$H30)</f>
        <v/>
      </c>
      <c r="E31" s="129">
        <f>IF($A31="","",사건마스터!$G30)</f>
        <v/>
      </c>
      <c r="F31" s="129">
        <f>IF($A31="","",COUNTIFS(업무일지!$F$5:$F$1004,$A31,업무일지!$D$5:$D$1004,"출장"))</f>
        <v/>
      </c>
      <c r="G31" s="129">
        <f>IF($A31="","",COUNTIFS(업무일지!$F$5:$F$1004,$A31,업무일지!$D$5:$D$1004,"분석"))</f>
        <v/>
      </c>
      <c r="H31" s="130">
        <f>IF($A31="","",IF(F31+G31=0,"미착수",IF(F31=0,"분석만",IF(G31=0,"출장만","출장+분석"))))</f>
        <v/>
      </c>
      <c r="I31" s="129">
        <f>IF($A31="","",SUMIFS(업무일지!$AF$5:$AF$1004,업무일지!$F$5:$F$1004,$A31,업무일지!$D$5:$D$1004,"출장"))</f>
        <v/>
      </c>
      <c r="J31" s="129">
        <f>IF($A31="","",SUMIFS(업무일지!$AD$5:$AD$1004,업무일지!$F$5:$F$1004,$A31))</f>
        <v/>
      </c>
      <c r="K31" s="25">
        <f>IF($A31="","",SUMIFS(업무일지!$AE$5:$AE$1004,업무일지!$F$5:$F$1004,$A31))</f>
        <v/>
      </c>
      <c r="L31" s="129">
        <f>IF($A31="","",COUNTIF(일일실시사항!$G$5:$G$1004,$A31))</f>
        <v/>
      </c>
      <c r="M31" s="137">
        <f>IF($R31=0,"",1000000-$R31)</f>
        <v/>
      </c>
      <c r="N31" s="137">
        <f>IF($S31=0,"",$S31)</f>
        <v/>
      </c>
      <c r="O31" s="118">
        <f>IF(OR($M31="",$N31=""),"",$N31-$M31+1)</f>
        <v/>
      </c>
      <c r="P31" s="136">
        <f>IF($A31="","",사건마스터!$E30)</f>
        <v/>
      </c>
      <c r="R31">
        <f>IF($A31="",0,SUMPRODUCT(MAX((업무일지!$F$5:$F$1004=$A31)*(업무일지!$B$5:$B$1004&gt;0)*(1000000-업무일지!$B$5:$B$1004))))</f>
        <v/>
      </c>
      <c r="S31">
        <f>IF($A31="",0,SUMPRODUCT(MAX((업무일지!$F$5:$F$1004=$A31)*업무일지!$C$5:$C$1004)))</f>
        <v/>
      </c>
    </row>
    <row r="32">
      <c r="A32" s="107">
        <f>IF(사건마스터!$A31="","",사건마스터!$A31)</f>
        <v/>
      </c>
      <c r="B32" s="131">
        <f>IF($A32="","",사건마스터!$B31)</f>
        <v/>
      </c>
      <c r="C32" s="131">
        <f>IF($A32="","",사건마스터!$C31)</f>
        <v/>
      </c>
      <c r="D32" s="136">
        <f>IF($A32="","",사건마스터!$H31)</f>
        <v/>
      </c>
      <c r="E32" s="129">
        <f>IF($A32="","",사건마스터!$G31)</f>
        <v/>
      </c>
      <c r="F32" s="129">
        <f>IF($A32="","",COUNTIFS(업무일지!$F$5:$F$1004,$A32,업무일지!$D$5:$D$1004,"출장"))</f>
        <v/>
      </c>
      <c r="G32" s="129">
        <f>IF($A32="","",COUNTIFS(업무일지!$F$5:$F$1004,$A32,업무일지!$D$5:$D$1004,"분석"))</f>
        <v/>
      </c>
      <c r="H32" s="130">
        <f>IF($A32="","",IF(F32+G32=0,"미착수",IF(F32=0,"분석만",IF(G32=0,"출장만","출장+분석"))))</f>
        <v/>
      </c>
      <c r="I32" s="129">
        <f>IF($A32="","",SUMIFS(업무일지!$AF$5:$AF$1004,업무일지!$F$5:$F$1004,$A32,업무일지!$D$5:$D$1004,"출장"))</f>
        <v/>
      </c>
      <c r="J32" s="129">
        <f>IF($A32="","",SUMIFS(업무일지!$AD$5:$AD$1004,업무일지!$F$5:$F$1004,$A32))</f>
        <v/>
      </c>
      <c r="K32" s="25">
        <f>IF($A32="","",SUMIFS(업무일지!$AE$5:$AE$1004,업무일지!$F$5:$F$1004,$A32))</f>
        <v/>
      </c>
      <c r="L32" s="129">
        <f>IF($A32="","",COUNTIF(일일실시사항!$G$5:$G$1004,$A32))</f>
        <v/>
      </c>
      <c r="M32" s="137">
        <f>IF($R32=0,"",1000000-$R32)</f>
        <v/>
      </c>
      <c r="N32" s="137">
        <f>IF($S32=0,"",$S32)</f>
        <v/>
      </c>
      <c r="O32" s="118">
        <f>IF(OR($M32="",$N32=""),"",$N32-$M32+1)</f>
        <v/>
      </c>
      <c r="P32" s="136">
        <f>IF($A32="","",사건마스터!$E31)</f>
        <v/>
      </c>
      <c r="R32">
        <f>IF($A32="",0,SUMPRODUCT(MAX((업무일지!$F$5:$F$1004=$A32)*(업무일지!$B$5:$B$1004&gt;0)*(1000000-업무일지!$B$5:$B$1004))))</f>
        <v/>
      </c>
      <c r="S32">
        <f>IF($A32="",0,SUMPRODUCT(MAX((업무일지!$F$5:$F$1004=$A32)*업무일지!$C$5:$C$1004)))</f>
        <v/>
      </c>
    </row>
    <row r="33">
      <c r="A33" s="107">
        <f>IF(사건마스터!$A32="","",사건마스터!$A32)</f>
        <v/>
      </c>
      <c r="B33" s="131">
        <f>IF($A33="","",사건마스터!$B32)</f>
        <v/>
      </c>
      <c r="C33" s="131">
        <f>IF($A33="","",사건마스터!$C32)</f>
        <v/>
      </c>
      <c r="D33" s="136">
        <f>IF($A33="","",사건마스터!$H32)</f>
        <v/>
      </c>
      <c r="E33" s="129">
        <f>IF($A33="","",사건마스터!$G32)</f>
        <v/>
      </c>
      <c r="F33" s="129">
        <f>IF($A33="","",COUNTIFS(업무일지!$F$5:$F$1004,$A33,업무일지!$D$5:$D$1004,"출장"))</f>
        <v/>
      </c>
      <c r="G33" s="129">
        <f>IF($A33="","",COUNTIFS(업무일지!$F$5:$F$1004,$A33,업무일지!$D$5:$D$1004,"분석"))</f>
        <v/>
      </c>
      <c r="H33" s="130">
        <f>IF($A33="","",IF(F33+G33=0,"미착수",IF(F33=0,"분석만",IF(G33=0,"출장만","출장+분석"))))</f>
        <v/>
      </c>
      <c r="I33" s="129">
        <f>IF($A33="","",SUMIFS(업무일지!$AF$5:$AF$1004,업무일지!$F$5:$F$1004,$A33,업무일지!$D$5:$D$1004,"출장"))</f>
        <v/>
      </c>
      <c r="J33" s="129">
        <f>IF($A33="","",SUMIFS(업무일지!$AD$5:$AD$1004,업무일지!$F$5:$F$1004,$A33))</f>
        <v/>
      </c>
      <c r="K33" s="25">
        <f>IF($A33="","",SUMIFS(업무일지!$AE$5:$AE$1004,업무일지!$F$5:$F$1004,$A33))</f>
        <v/>
      </c>
      <c r="L33" s="129">
        <f>IF($A33="","",COUNTIF(일일실시사항!$G$5:$G$1004,$A33))</f>
        <v/>
      </c>
      <c r="M33" s="137">
        <f>IF($R33=0,"",1000000-$R33)</f>
        <v/>
      </c>
      <c r="N33" s="137">
        <f>IF($S33=0,"",$S33)</f>
        <v/>
      </c>
      <c r="O33" s="118">
        <f>IF(OR($M33="",$N33=""),"",$N33-$M33+1)</f>
        <v/>
      </c>
      <c r="P33" s="136">
        <f>IF($A33="","",사건마스터!$E32)</f>
        <v/>
      </c>
      <c r="R33">
        <f>IF($A33="",0,SUMPRODUCT(MAX((업무일지!$F$5:$F$1004=$A33)*(업무일지!$B$5:$B$1004&gt;0)*(1000000-업무일지!$B$5:$B$1004))))</f>
        <v/>
      </c>
      <c r="S33">
        <f>IF($A33="",0,SUMPRODUCT(MAX((업무일지!$F$5:$F$1004=$A33)*업무일지!$C$5:$C$1004)))</f>
        <v/>
      </c>
    </row>
    <row r="34">
      <c r="A34" s="107">
        <f>IF(사건마스터!$A33="","",사건마스터!$A33)</f>
        <v/>
      </c>
      <c r="B34" s="131">
        <f>IF($A34="","",사건마스터!$B33)</f>
        <v/>
      </c>
      <c r="C34" s="131">
        <f>IF($A34="","",사건마스터!$C33)</f>
        <v/>
      </c>
      <c r="D34" s="136">
        <f>IF($A34="","",사건마스터!$H33)</f>
        <v/>
      </c>
      <c r="E34" s="129">
        <f>IF($A34="","",사건마스터!$G33)</f>
        <v/>
      </c>
      <c r="F34" s="129">
        <f>IF($A34="","",COUNTIFS(업무일지!$F$5:$F$1004,$A34,업무일지!$D$5:$D$1004,"출장"))</f>
        <v/>
      </c>
      <c r="G34" s="129">
        <f>IF($A34="","",COUNTIFS(업무일지!$F$5:$F$1004,$A34,업무일지!$D$5:$D$1004,"분석"))</f>
        <v/>
      </c>
      <c r="H34" s="130">
        <f>IF($A34="","",IF(F34+G34=0,"미착수",IF(F34=0,"분석만",IF(G34=0,"출장만","출장+분석"))))</f>
        <v/>
      </c>
      <c r="I34" s="129">
        <f>IF($A34="","",SUMIFS(업무일지!$AF$5:$AF$1004,업무일지!$F$5:$F$1004,$A34,업무일지!$D$5:$D$1004,"출장"))</f>
        <v/>
      </c>
      <c r="J34" s="129">
        <f>IF($A34="","",SUMIFS(업무일지!$AD$5:$AD$1004,업무일지!$F$5:$F$1004,$A34))</f>
        <v/>
      </c>
      <c r="K34" s="25">
        <f>IF($A34="","",SUMIFS(업무일지!$AE$5:$AE$1004,업무일지!$F$5:$F$1004,$A34))</f>
        <v/>
      </c>
      <c r="L34" s="129">
        <f>IF($A34="","",COUNTIF(일일실시사항!$G$5:$G$1004,$A34))</f>
        <v/>
      </c>
      <c r="M34" s="137">
        <f>IF($R34=0,"",1000000-$R34)</f>
        <v/>
      </c>
      <c r="N34" s="137">
        <f>IF($S34=0,"",$S34)</f>
        <v/>
      </c>
      <c r="O34" s="118">
        <f>IF(OR($M34="",$N34=""),"",$N34-$M34+1)</f>
        <v/>
      </c>
      <c r="P34" s="136">
        <f>IF($A34="","",사건마스터!$E33)</f>
        <v/>
      </c>
      <c r="R34">
        <f>IF($A34="",0,SUMPRODUCT(MAX((업무일지!$F$5:$F$1004=$A34)*(업무일지!$B$5:$B$1004&gt;0)*(1000000-업무일지!$B$5:$B$1004))))</f>
        <v/>
      </c>
      <c r="S34">
        <f>IF($A34="",0,SUMPRODUCT(MAX((업무일지!$F$5:$F$1004=$A34)*업무일지!$C$5:$C$1004)))</f>
        <v/>
      </c>
    </row>
    <row r="35">
      <c r="A35" s="107">
        <f>IF(사건마스터!$A34="","",사건마스터!$A34)</f>
        <v/>
      </c>
      <c r="B35" s="131">
        <f>IF($A35="","",사건마스터!$B34)</f>
        <v/>
      </c>
      <c r="C35" s="131">
        <f>IF($A35="","",사건마스터!$C34)</f>
        <v/>
      </c>
      <c r="D35" s="136">
        <f>IF($A35="","",사건마스터!$H34)</f>
        <v/>
      </c>
      <c r="E35" s="129">
        <f>IF($A35="","",사건마스터!$G34)</f>
        <v/>
      </c>
      <c r="F35" s="129">
        <f>IF($A35="","",COUNTIFS(업무일지!$F$5:$F$1004,$A35,업무일지!$D$5:$D$1004,"출장"))</f>
        <v/>
      </c>
      <c r="G35" s="129">
        <f>IF($A35="","",COUNTIFS(업무일지!$F$5:$F$1004,$A35,업무일지!$D$5:$D$1004,"분석"))</f>
        <v/>
      </c>
      <c r="H35" s="130">
        <f>IF($A35="","",IF(F35+G35=0,"미착수",IF(F35=0,"분석만",IF(G35=0,"출장만","출장+분석"))))</f>
        <v/>
      </c>
      <c r="I35" s="129">
        <f>IF($A35="","",SUMIFS(업무일지!$AF$5:$AF$1004,업무일지!$F$5:$F$1004,$A35,업무일지!$D$5:$D$1004,"출장"))</f>
        <v/>
      </c>
      <c r="J35" s="129">
        <f>IF($A35="","",SUMIFS(업무일지!$AD$5:$AD$1004,업무일지!$F$5:$F$1004,$A35))</f>
        <v/>
      </c>
      <c r="K35" s="25">
        <f>IF($A35="","",SUMIFS(업무일지!$AE$5:$AE$1004,업무일지!$F$5:$F$1004,$A35))</f>
        <v/>
      </c>
      <c r="L35" s="129">
        <f>IF($A35="","",COUNTIF(일일실시사항!$G$5:$G$1004,$A35))</f>
        <v/>
      </c>
      <c r="M35" s="137">
        <f>IF($R35=0,"",1000000-$R35)</f>
        <v/>
      </c>
      <c r="N35" s="137">
        <f>IF($S35=0,"",$S35)</f>
        <v/>
      </c>
      <c r="O35" s="118">
        <f>IF(OR($M35="",$N35=""),"",$N35-$M35+1)</f>
        <v/>
      </c>
      <c r="P35" s="136">
        <f>IF($A35="","",사건마스터!$E34)</f>
        <v/>
      </c>
      <c r="R35">
        <f>IF($A35="",0,SUMPRODUCT(MAX((업무일지!$F$5:$F$1004=$A35)*(업무일지!$B$5:$B$1004&gt;0)*(1000000-업무일지!$B$5:$B$1004))))</f>
        <v/>
      </c>
      <c r="S35">
        <f>IF($A35="",0,SUMPRODUCT(MAX((업무일지!$F$5:$F$1004=$A35)*업무일지!$C$5:$C$1004)))</f>
        <v/>
      </c>
    </row>
    <row r="36">
      <c r="A36" s="107">
        <f>IF(사건마스터!$A35="","",사건마스터!$A35)</f>
        <v/>
      </c>
      <c r="B36" s="131">
        <f>IF($A36="","",사건마스터!$B35)</f>
        <v/>
      </c>
      <c r="C36" s="131">
        <f>IF($A36="","",사건마스터!$C35)</f>
        <v/>
      </c>
      <c r="D36" s="136">
        <f>IF($A36="","",사건마스터!$H35)</f>
        <v/>
      </c>
      <c r="E36" s="129">
        <f>IF($A36="","",사건마스터!$G35)</f>
        <v/>
      </c>
      <c r="F36" s="129">
        <f>IF($A36="","",COUNTIFS(업무일지!$F$5:$F$1004,$A36,업무일지!$D$5:$D$1004,"출장"))</f>
        <v/>
      </c>
      <c r="G36" s="129">
        <f>IF($A36="","",COUNTIFS(업무일지!$F$5:$F$1004,$A36,업무일지!$D$5:$D$1004,"분석"))</f>
        <v/>
      </c>
      <c r="H36" s="130">
        <f>IF($A36="","",IF(F36+G36=0,"미착수",IF(F36=0,"분석만",IF(G36=0,"출장만","출장+분석"))))</f>
        <v/>
      </c>
      <c r="I36" s="129">
        <f>IF($A36="","",SUMIFS(업무일지!$AF$5:$AF$1004,업무일지!$F$5:$F$1004,$A36,업무일지!$D$5:$D$1004,"출장"))</f>
        <v/>
      </c>
      <c r="J36" s="129">
        <f>IF($A36="","",SUMIFS(업무일지!$AD$5:$AD$1004,업무일지!$F$5:$F$1004,$A36))</f>
        <v/>
      </c>
      <c r="K36" s="25">
        <f>IF($A36="","",SUMIFS(업무일지!$AE$5:$AE$1004,업무일지!$F$5:$F$1004,$A36))</f>
        <v/>
      </c>
      <c r="L36" s="129">
        <f>IF($A36="","",COUNTIF(일일실시사항!$G$5:$G$1004,$A36))</f>
        <v/>
      </c>
      <c r="M36" s="137">
        <f>IF($R36=0,"",1000000-$R36)</f>
        <v/>
      </c>
      <c r="N36" s="137">
        <f>IF($S36=0,"",$S36)</f>
        <v/>
      </c>
      <c r="O36" s="118">
        <f>IF(OR($M36="",$N36=""),"",$N36-$M36+1)</f>
        <v/>
      </c>
      <c r="P36" s="136">
        <f>IF($A36="","",사건마스터!$E35)</f>
        <v/>
      </c>
      <c r="R36">
        <f>IF($A36="",0,SUMPRODUCT(MAX((업무일지!$F$5:$F$1004=$A36)*(업무일지!$B$5:$B$1004&gt;0)*(1000000-업무일지!$B$5:$B$1004))))</f>
        <v/>
      </c>
      <c r="S36">
        <f>IF($A36="",0,SUMPRODUCT(MAX((업무일지!$F$5:$F$1004=$A36)*업무일지!$C$5:$C$1004)))</f>
        <v/>
      </c>
    </row>
    <row r="37">
      <c r="A37" s="107">
        <f>IF(사건마스터!$A36="","",사건마스터!$A36)</f>
        <v/>
      </c>
      <c r="B37" s="131">
        <f>IF($A37="","",사건마스터!$B36)</f>
        <v/>
      </c>
      <c r="C37" s="131">
        <f>IF($A37="","",사건마스터!$C36)</f>
        <v/>
      </c>
      <c r="D37" s="136">
        <f>IF($A37="","",사건마스터!$H36)</f>
        <v/>
      </c>
      <c r="E37" s="129">
        <f>IF($A37="","",사건마스터!$G36)</f>
        <v/>
      </c>
      <c r="F37" s="129">
        <f>IF($A37="","",COUNTIFS(업무일지!$F$5:$F$1004,$A37,업무일지!$D$5:$D$1004,"출장"))</f>
        <v/>
      </c>
      <c r="G37" s="129">
        <f>IF($A37="","",COUNTIFS(업무일지!$F$5:$F$1004,$A37,업무일지!$D$5:$D$1004,"분석"))</f>
        <v/>
      </c>
      <c r="H37" s="130">
        <f>IF($A37="","",IF(F37+G37=0,"미착수",IF(F37=0,"분석만",IF(G37=0,"출장만","출장+분석"))))</f>
        <v/>
      </c>
      <c r="I37" s="129">
        <f>IF($A37="","",SUMIFS(업무일지!$AF$5:$AF$1004,업무일지!$F$5:$F$1004,$A37,업무일지!$D$5:$D$1004,"출장"))</f>
        <v/>
      </c>
      <c r="J37" s="129">
        <f>IF($A37="","",SUMIFS(업무일지!$AD$5:$AD$1004,업무일지!$F$5:$F$1004,$A37))</f>
        <v/>
      </c>
      <c r="K37" s="25">
        <f>IF($A37="","",SUMIFS(업무일지!$AE$5:$AE$1004,업무일지!$F$5:$F$1004,$A37))</f>
        <v/>
      </c>
      <c r="L37" s="129">
        <f>IF($A37="","",COUNTIF(일일실시사항!$G$5:$G$1004,$A37))</f>
        <v/>
      </c>
      <c r="M37" s="137">
        <f>IF($R37=0,"",1000000-$R37)</f>
        <v/>
      </c>
      <c r="N37" s="137">
        <f>IF($S37=0,"",$S37)</f>
        <v/>
      </c>
      <c r="O37" s="118">
        <f>IF(OR($M37="",$N37=""),"",$N37-$M37+1)</f>
        <v/>
      </c>
      <c r="P37" s="136">
        <f>IF($A37="","",사건마스터!$E36)</f>
        <v/>
      </c>
      <c r="R37">
        <f>IF($A37="",0,SUMPRODUCT(MAX((업무일지!$F$5:$F$1004=$A37)*(업무일지!$B$5:$B$1004&gt;0)*(1000000-업무일지!$B$5:$B$1004))))</f>
        <v/>
      </c>
      <c r="S37">
        <f>IF($A37="",0,SUMPRODUCT(MAX((업무일지!$F$5:$F$1004=$A37)*업무일지!$C$5:$C$1004)))</f>
        <v/>
      </c>
    </row>
    <row r="38">
      <c r="A38" s="107">
        <f>IF(사건마스터!$A37="","",사건마스터!$A37)</f>
        <v/>
      </c>
      <c r="B38" s="131">
        <f>IF($A38="","",사건마스터!$B37)</f>
        <v/>
      </c>
      <c r="C38" s="131">
        <f>IF($A38="","",사건마스터!$C37)</f>
        <v/>
      </c>
      <c r="D38" s="136">
        <f>IF($A38="","",사건마스터!$H37)</f>
        <v/>
      </c>
      <c r="E38" s="129">
        <f>IF($A38="","",사건마스터!$G37)</f>
        <v/>
      </c>
      <c r="F38" s="129">
        <f>IF($A38="","",COUNTIFS(업무일지!$F$5:$F$1004,$A38,업무일지!$D$5:$D$1004,"출장"))</f>
        <v/>
      </c>
      <c r="G38" s="129">
        <f>IF($A38="","",COUNTIFS(업무일지!$F$5:$F$1004,$A38,업무일지!$D$5:$D$1004,"분석"))</f>
        <v/>
      </c>
      <c r="H38" s="130">
        <f>IF($A38="","",IF(F38+G38=0,"미착수",IF(F38=0,"분석만",IF(G38=0,"출장만","출장+분석"))))</f>
        <v/>
      </c>
      <c r="I38" s="129">
        <f>IF($A38="","",SUMIFS(업무일지!$AF$5:$AF$1004,업무일지!$F$5:$F$1004,$A38,업무일지!$D$5:$D$1004,"출장"))</f>
        <v/>
      </c>
      <c r="J38" s="129">
        <f>IF($A38="","",SUMIFS(업무일지!$AD$5:$AD$1004,업무일지!$F$5:$F$1004,$A38))</f>
        <v/>
      </c>
      <c r="K38" s="25">
        <f>IF($A38="","",SUMIFS(업무일지!$AE$5:$AE$1004,업무일지!$F$5:$F$1004,$A38))</f>
        <v/>
      </c>
      <c r="L38" s="129">
        <f>IF($A38="","",COUNTIF(일일실시사항!$G$5:$G$1004,$A38))</f>
        <v/>
      </c>
      <c r="M38" s="137">
        <f>IF($R38=0,"",1000000-$R38)</f>
        <v/>
      </c>
      <c r="N38" s="137">
        <f>IF($S38=0,"",$S38)</f>
        <v/>
      </c>
      <c r="O38" s="118">
        <f>IF(OR($M38="",$N38=""),"",$N38-$M38+1)</f>
        <v/>
      </c>
      <c r="P38" s="136">
        <f>IF($A38="","",사건마스터!$E37)</f>
        <v/>
      </c>
      <c r="R38">
        <f>IF($A38="",0,SUMPRODUCT(MAX((업무일지!$F$5:$F$1004=$A38)*(업무일지!$B$5:$B$1004&gt;0)*(1000000-업무일지!$B$5:$B$1004))))</f>
        <v/>
      </c>
      <c r="S38">
        <f>IF($A38="",0,SUMPRODUCT(MAX((업무일지!$F$5:$F$1004=$A38)*업무일지!$C$5:$C$1004)))</f>
        <v/>
      </c>
    </row>
    <row r="39">
      <c r="A39" s="107">
        <f>IF(사건마스터!$A38="","",사건마스터!$A38)</f>
        <v/>
      </c>
      <c r="B39" s="131">
        <f>IF($A39="","",사건마스터!$B38)</f>
        <v/>
      </c>
      <c r="C39" s="131">
        <f>IF($A39="","",사건마스터!$C38)</f>
        <v/>
      </c>
      <c r="D39" s="136">
        <f>IF($A39="","",사건마스터!$H38)</f>
        <v/>
      </c>
      <c r="E39" s="129">
        <f>IF($A39="","",사건마스터!$G38)</f>
        <v/>
      </c>
      <c r="F39" s="129">
        <f>IF($A39="","",COUNTIFS(업무일지!$F$5:$F$1004,$A39,업무일지!$D$5:$D$1004,"출장"))</f>
        <v/>
      </c>
      <c r="G39" s="129">
        <f>IF($A39="","",COUNTIFS(업무일지!$F$5:$F$1004,$A39,업무일지!$D$5:$D$1004,"분석"))</f>
        <v/>
      </c>
      <c r="H39" s="130">
        <f>IF($A39="","",IF(F39+G39=0,"미착수",IF(F39=0,"분석만",IF(G39=0,"출장만","출장+분석"))))</f>
        <v/>
      </c>
      <c r="I39" s="129">
        <f>IF($A39="","",SUMIFS(업무일지!$AF$5:$AF$1004,업무일지!$F$5:$F$1004,$A39,업무일지!$D$5:$D$1004,"출장"))</f>
        <v/>
      </c>
      <c r="J39" s="129">
        <f>IF($A39="","",SUMIFS(업무일지!$AD$5:$AD$1004,업무일지!$F$5:$F$1004,$A39))</f>
        <v/>
      </c>
      <c r="K39" s="25">
        <f>IF($A39="","",SUMIFS(업무일지!$AE$5:$AE$1004,업무일지!$F$5:$F$1004,$A39))</f>
        <v/>
      </c>
      <c r="L39" s="129">
        <f>IF($A39="","",COUNTIF(일일실시사항!$G$5:$G$1004,$A39))</f>
        <v/>
      </c>
      <c r="M39" s="137">
        <f>IF($R39=0,"",1000000-$R39)</f>
        <v/>
      </c>
      <c r="N39" s="137">
        <f>IF($S39=0,"",$S39)</f>
        <v/>
      </c>
      <c r="O39" s="118">
        <f>IF(OR($M39="",$N39=""),"",$N39-$M39+1)</f>
        <v/>
      </c>
      <c r="P39" s="136">
        <f>IF($A39="","",사건마스터!$E38)</f>
        <v/>
      </c>
      <c r="R39">
        <f>IF($A39="",0,SUMPRODUCT(MAX((업무일지!$F$5:$F$1004=$A39)*(업무일지!$B$5:$B$1004&gt;0)*(1000000-업무일지!$B$5:$B$1004))))</f>
        <v/>
      </c>
      <c r="S39">
        <f>IF($A39="",0,SUMPRODUCT(MAX((업무일지!$F$5:$F$1004=$A39)*업무일지!$C$5:$C$1004)))</f>
        <v/>
      </c>
    </row>
    <row r="40">
      <c r="A40" s="107">
        <f>IF(사건마스터!$A39="","",사건마스터!$A39)</f>
        <v/>
      </c>
      <c r="B40" s="131">
        <f>IF($A40="","",사건마스터!$B39)</f>
        <v/>
      </c>
      <c r="C40" s="131">
        <f>IF($A40="","",사건마스터!$C39)</f>
        <v/>
      </c>
      <c r="D40" s="136">
        <f>IF($A40="","",사건마스터!$H39)</f>
        <v/>
      </c>
      <c r="E40" s="129">
        <f>IF($A40="","",사건마스터!$G39)</f>
        <v/>
      </c>
      <c r="F40" s="129">
        <f>IF($A40="","",COUNTIFS(업무일지!$F$5:$F$1004,$A40,업무일지!$D$5:$D$1004,"출장"))</f>
        <v/>
      </c>
      <c r="G40" s="129">
        <f>IF($A40="","",COUNTIFS(업무일지!$F$5:$F$1004,$A40,업무일지!$D$5:$D$1004,"분석"))</f>
        <v/>
      </c>
      <c r="H40" s="130">
        <f>IF($A40="","",IF(F40+G40=0,"미착수",IF(F40=0,"분석만",IF(G40=0,"출장만","출장+분석"))))</f>
        <v/>
      </c>
      <c r="I40" s="129">
        <f>IF($A40="","",SUMIFS(업무일지!$AF$5:$AF$1004,업무일지!$F$5:$F$1004,$A40,업무일지!$D$5:$D$1004,"출장"))</f>
        <v/>
      </c>
      <c r="J40" s="129">
        <f>IF($A40="","",SUMIFS(업무일지!$AD$5:$AD$1004,업무일지!$F$5:$F$1004,$A40))</f>
        <v/>
      </c>
      <c r="K40" s="25">
        <f>IF($A40="","",SUMIFS(업무일지!$AE$5:$AE$1004,업무일지!$F$5:$F$1004,$A40))</f>
        <v/>
      </c>
      <c r="L40" s="129">
        <f>IF($A40="","",COUNTIF(일일실시사항!$G$5:$G$1004,$A40))</f>
        <v/>
      </c>
      <c r="M40" s="137">
        <f>IF($R40=0,"",1000000-$R40)</f>
        <v/>
      </c>
      <c r="N40" s="137">
        <f>IF($S40=0,"",$S40)</f>
        <v/>
      </c>
      <c r="O40" s="118">
        <f>IF(OR($M40="",$N40=""),"",$N40-$M40+1)</f>
        <v/>
      </c>
      <c r="P40" s="136">
        <f>IF($A40="","",사건마스터!$E39)</f>
        <v/>
      </c>
      <c r="R40">
        <f>IF($A40="",0,SUMPRODUCT(MAX((업무일지!$F$5:$F$1004=$A40)*(업무일지!$B$5:$B$1004&gt;0)*(1000000-업무일지!$B$5:$B$1004))))</f>
        <v/>
      </c>
      <c r="S40">
        <f>IF($A40="",0,SUMPRODUCT(MAX((업무일지!$F$5:$F$1004=$A40)*업무일지!$C$5:$C$1004)))</f>
        <v/>
      </c>
    </row>
    <row r="41">
      <c r="A41" s="107">
        <f>IF(사건마스터!$A40="","",사건마스터!$A40)</f>
        <v/>
      </c>
      <c r="B41" s="131">
        <f>IF($A41="","",사건마스터!$B40)</f>
        <v/>
      </c>
      <c r="C41" s="131">
        <f>IF($A41="","",사건마스터!$C40)</f>
        <v/>
      </c>
      <c r="D41" s="136">
        <f>IF($A41="","",사건마스터!$H40)</f>
        <v/>
      </c>
      <c r="E41" s="129">
        <f>IF($A41="","",사건마스터!$G40)</f>
        <v/>
      </c>
      <c r="F41" s="129">
        <f>IF($A41="","",COUNTIFS(업무일지!$F$5:$F$1004,$A41,업무일지!$D$5:$D$1004,"출장"))</f>
        <v/>
      </c>
      <c r="G41" s="129">
        <f>IF($A41="","",COUNTIFS(업무일지!$F$5:$F$1004,$A41,업무일지!$D$5:$D$1004,"분석"))</f>
        <v/>
      </c>
      <c r="H41" s="130">
        <f>IF($A41="","",IF(F41+G41=0,"미착수",IF(F41=0,"분석만",IF(G41=0,"출장만","출장+분석"))))</f>
        <v/>
      </c>
      <c r="I41" s="129">
        <f>IF($A41="","",SUMIFS(업무일지!$AF$5:$AF$1004,업무일지!$F$5:$F$1004,$A41,업무일지!$D$5:$D$1004,"출장"))</f>
        <v/>
      </c>
      <c r="J41" s="129">
        <f>IF($A41="","",SUMIFS(업무일지!$AD$5:$AD$1004,업무일지!$F$5:$F$1004,$A41))</f>
        <v/>
      </c>
      <c r="K41" s="25">
        <f>IF($A41="","",SUMIFS(업무일지!$AE$5:$AE$1004,업무일지!$F$5:$F$1004,$A41))</f>
        <v/>
      </c>
      <c r="L41" s="129">
        <f>IF($A41="","",COUNTIF(일일실시사항!$G$5:$G$1004,$A41))</f>
        <v/>
      </c>
      <c r="M41" s="137">
        <f>IF($R41=0,"",1000000-$R41)</f>
        <v/>
      </c>
      <c r="N41" s="137">
        <f>IF($S41=0,"",$S41)</f>
        <v/>
      </c>
      <c r="O41" s="118">
        <f>IF(OR($M41="",$N41=""),"",$N41-$M41+1)</f>
        <v/>
      </c>
      <c r="P41" s="136">
        <f>IF($A41="","",사건마스터!$E40)</f>
        <v/>
      </c>
      <c r="R41">
        <f>IF($A41="",0,SUMPRODUCT(MAX((업무일지!$F$5:$F$1004=$A41)*(업무일지!$B$5:$B$1004&gt;0)*(1000000-업무일지!$B$5:$B$1004))))</f>
        <v/>
      </c>
      <c r="S41">
        <f>IF($A41="",0,SUMPRODUCT(MAX((업무일지!$F$5:$F$1004=$A41)*업무일지!$C$5:$C$1004)))</f>
        <v/>
      </c>
    </row>
    <row r="42">
      <c r="A42" s="107">
        <f>IF(사건마스터!$A41="","",사건마스터!$A41)</f>
        <v/>
      </c>
      <c r="B42" s="131">
        <f>IF($A42="","",사건마스터!$B41)</f>
        <v/>
      </c>
      <c r="C42" s="131">
        <f>IF($A42="","",사건마스터!$C41)</f>
        <v/>
      </c>
      <c r="D42" s="136">
        <f>IF($A42="","",사건마스터!$H41)</f>
        <v/>
      </c>
      <c r="E42" s="129">
        <f>IF($A42="","",사건마스터!$G41)</f>
        <v/>
      </c>
      <c r="F42" s="129">
        <f>IF($A42="","",COUNTIFS(업무일지!$F$5:$F$1004,$A42,업무일지!$D$5:$D$1004,"출장"))</f>
        <v/>
      </c>
      <c r="G42" s="129">
        <f>IF($A42="","",COUNTIFS(업무일지!$F$5:$F$1004,$A42,업무일지!$D$5:$D$1004,"분석"))</f>
        <v/>
      </c>
      <c r="H42" s="130">
        <f>IF($A42="","",IF(F42+G42=0,"미착수",IF(F42=0,"분석만",IF(G42=0,"출장만","출장+분석"))))</f>
        <v/>
      </c>
      <c r="I42" s="129">
        <f>IF($A42="","",SUMIFS(업무일지!$AF$5:$AF$1004,업무일지!$F$5:$F$1004,$A42,업무일지!$D$5:$D$1004,"출장"))</f>
        <v/>
      </c>
      <c r="J42" s="129">
        <f>IF($A42="","",SUMIFS(업무일지!$AD$5:$AD$1004,업무일지!$F$5:$F$1004,$A42))</f>
        <v/>
      </c>
      <c r="K42" s="25">
        <f>IF($A42="","",SUMIFS(업무일지!$AE$5:$AE$1004,업무일지!$F$5:$F$1004,$A42))</f>
        <v/>
      </c>
      <c r="L42" s="129">
        <f>IF($A42="","",COUNTIF(일일실시사항!$G$5:$G$1004,$A42))</f>
        <v/>
      </c>
      <c r="M42" s="137">
        <f>IF($R42=0,"",1000000-$R42)</f>
        <v/>
      </c>
      <c r="N42" s="137">
        <f>IF($S42=0,"",$S42)</f>
        <v/>
      </c>
      <c r="O42" s="118">
        <f>IF(OR($M42="",$N42=""),"",$N42-$M42+1)</f>
        <v/>
      </c>
      <c r="P42" s="136">
        <f>IF($A42="","",사건마스터!$E41)</f>
        <v/>
      </c>
      <c r="R42">
        <f>IF($A42="",0,SUMPRODUCT(MAX((업무일지!$F$5:$F$1004=$A42)*(업무일지!$B$5:$B$1004&gt;0)*(1000000-업무일지!$B$5:$B$1004))))</f>
        <v/>
      </c>
      <c r="S42">
        <f>IF($A42="",0,SUMPRODUCT(MAX((업무일지!$F$5:$F$1004=$A42)*업무일지!$C$5:$C$1004)))</f>
        <v/>
      </c>
    </row>
    <row r="43">
      <c r="A43" s="107">
        <f>IF(사건마스터!$A42="","",사건마스터!$A42)</f>
        <v/>
      </c>
      <c r="B43" s="131">
        <f>IF($A43="","",사건마스터!$B42)</f>
        <v/>
      </c>
      <c r="C43" s="131">
        <f>IF($A43="","",사건마스터!$C42)</f>
        <v/>
      </c>
      <c r="D43" s="136">
        <f>IF($A43="","",사건마스터!$H42)</f>
        <v/>
      </c>
      <c r="E43" s="129">
        <f>IF($A43="","",사건마스터!$G42)</f>
        <v/>
      </c>
      <c r="F43" s="129">
        <f>IF($A43="","",COUNTIFS(업무일지!$F$5:$F$1004,$A43,업무일지!$D$5:$D$1004,"출장"))</f>
        <v/>
      </c>
      <c r="G43" s="129">
        <f>IF($A43="","",COUNTIFS(업무일지!$F$5:$F$1004,$A43,업무일지!$D$5:$D$1004,"분석"))</f>
        <v/>
      </c>
      <c r="H43" s="130">
        <f>IF($A43="","",IF(F43+G43=0,"미착수",IF(F43=0,"분석만",IF(G43=0,"출장만","출장+분석"))))</f>
        <v/>
      </c>
      <c r="I43" s="129">
        <f>IF($A43="","",SUMIFS(업무일지!$AF$5:$AF$1004,업무일지!$F$5:$F$1004,$A43,업무일지!$D$5:$D$1004,"출장"))</f>
        <v/>
      </c>
      <c r="J43" s="129">
        <f>IF($A43="","",SUMIFS(업무일지!$AD$5:$AD$1004,업무일지!$F$5:$F$1004,$A43))</f>
        <v/>
      </c>
      <c r="K43" s="25">
        <f>IF($A43="","",SUMIFS(업무일지!$AE$5:$AE$1004,업무일지!$F$5:$F$1004,$A43))</f>
        <v/>
      </c>
      <c r="L43" s="129">
        <f>IF($A43="","",COUNTIF(일일실시사항!$G$5:$G$1004,$A43))</f>
        <v/>
      </c>
      <c r="M43" s="137">
        <f>IF($R43=0,"",1000000-$R43)</f>
        <v/>
      </c>
      <c r="N43" s="137">
        <f>IF($S43=0,"",$S43)</f>
        <v/>
      </c>
      <c r="O43" s="118">
        <f>IF(OR($M43="",$N43=""),"",$N43-$M43+1)</f>
        <v/>
      </c>
      <c r="P43" s="136">
        <f>IF($A43="","",사건마스터!$E42)</f>
        <v/>
      </c>
      <c r="R43">
        <f>IF($A43="",0,SUMPRODUCT(MAX((업무일지!$F$5:$F$1004=$A43)*(업무일지!$B$5:$B$1004&gt;0)*(1000000-업무일지!$B$5:$B$1004))))</f>
        <v/>
      </c>
      <c r="S43">
        <f>IF($A43="",0,SUMPRODUCT(MAX((업무일지!$F$5:$F$1004=$A43)*업무일지!$C$5:$C$1004)))</f>
        <v/>
      </c>
    </row>
    <row r="44">
      <c r="A44" s="107">
        <f>IF(사건마스터!$A43="","",사건마스터!$A43)</f>
        <v/>
      </c>
      <c r="B44" s="131">
        <f>IF($A44="","",사건마스터!$B43)</f>
        <v/>
      </c>
      <c r="C44" s="131">
        <f>IF($A44="","",사건마스터!$C43)</f>
        <v/>
      </c>
      <c r="D44" s="136">
        <f>IF($A44="","",사건마스터!$H43)</f>
        <v/>
      </c>
      <c r="E44" s="129">
        <f>IF($A44="","",사건마스터!$G43)</f>
        <v/>
      </c>
      <c r="F44" s="129">
        <f>IF($A44="","",COUNTIFS(업무일지!$F$5:$F$1004,$A44,업무일지!$D$5:$D$1004,"출장"))</f>
        <v/>
      </c>
      <c r="G44" s="129">
        <f>IF($A44="","",COUNTIFS(업무일지!$F$5:$F$1004,$A44,업무일지!$D$5:$D$1004,"분석"))</f>
        <v/>
      </c>
      <c r="H44" s="130">
        <f>IF($A44="","",IF(F44+G44=0,"미착수",IF(F44=0,"분석만",IF(G44=0,"출장만","출장+분석"))))</f>
        <v/>
      </c>
      <c r="I44" s="129">
        <f>IF($A44="","",SUMIFS(업무일지!$AF$5:$AF$1004,업무일지!$F$5:$F$1004,$A44,업무일지!$D$5:$D$1004,"출장"))</f>
        <v/>
      </c>
      <c r="J44" s="129">
        <f>IF($A44="","",SUMIFS(업무일지!$AD$5:$AD$1004,업무일지!$F$5:$F$1004,$A44))</f>
        <v/>
      </c>
      <c r="K44" s="25">
        <f>IF($A44="","",SUMIFS(업무일지!$AE$5:$AE$1004,업무일지!$F$5:$F$1004,$A44))</f>
        <v/>
      </c>
      <c r="L44" s="129">
        <f>IF($A44="","",COUNTIF(일일실시사항!$G$5:$G$1004,$A44))</f>
        <v/>
      </c>
      <c r="M44" s="137">
        <f>IF($R44=0,"",1000000-$R44)</f>
        <v/>
      </c>
      <c r="N44" s="137">
        <f>IF($S44=0,"",$S44)</f>
        <v/>
      </c>
      <c r="O44" s="118">
        <f>IF(OR($M44="",$N44=""),"",$N44-$M44+1)</f>
        <v/>
      </c>
      <c r="P44" s="136">
        <f>IF($A44="","",사건마스터!$E43)</f>
        <v/>
      </c>
      <c r="R44">
        <f>IF($A44="",0,SUMPRODUCT(MAX((업무일지!$F$5:$F$1004=$A44)*(업무일지!$B$5:$B$1004&gt;0)*(1000000-업무일지!$B$5:$B$1004))))</f>
        <v/>
      </c>
      <c r="S44">
        <f>IF($A44="",0,SUMPRODUCT(MAX((업무일지!$F$5:$F$1004=$A44)*업무일지!$C$5:$C$1004)))</f>
        <v/>
      </c>
    </row>
    <row r="45">
      <c r="A45" s="107">
        <f>IF(사건마스터!$A44="","",사건마스터!$A44)</f>
        <v/>
      </c>
      <c r="B45" s="131">
        <f>IF($A45="","",사건마스터!$B44)</f>
        <v/>
      </c>
      <c r="C45" s="131">
        <f>IF($A45="","",사건마스터!$C44)</f>
        <v/>
      </c>
      <c r="D45" s="136">
        <f>IF($A45="","",사건마스터!$H44)</f>
        <v/>
      </c>
      <c r="E45" s="129">
        <f>IF($A45="","",사건마스터!$G44)</f>
        <v/>
      </c>
      <c r="F45" s="129">
        <f>IF($A45="","",COUNTIFS(업무일지!$F$5:$F$1004,$A45,업무일지!$D$5:$D$1004,"출장"))</f>
        <v/>
      </c>
      <c r="G45" s="129">
        <f>IF($A45="","",COUNTIFS(업무일지!$F$5:$F$1004,$A45,업무일지!$D$5:$D$1004,"분석"))</f>
        <v/>
      </c>
      <c r="H45" s="130">
        <f>IF($A45="","",IF(F45+G45=0,"미착수",IF(F45=0,"분석만",IF(G45=0,"출장만","출장+분석"))))</f>
        <v/>
      </c>
      <c r="I45" s="129">
        <f>IF($A45="","",SUMIFS(업무일지!$AF$5:$AF$1004,업무일지!$F$5:$F$1004,$A45,업무일지!$D$5:$D$1004,"출장"))</f>
        <v/>
      </c>
      <c r="J45" s="129">
        <f>IF($A45="","",SUMIFS(업무일지!$AD$5:$AD$1004,업무일지!$F$5:$F$1004,$A45))</f>
        <v/>
      </c>
      <c r="K45" s="25">
        <f>IF($A45="","",SUMIFS(업무일지!$AE$5:$AE$1004,업무일지!$F$5:$F$1004,$A45))</f>
        <v/>
      </c>
      <c r="L45" s="129">
        <f>IF($A45="","",COUNTIF(일일실시사항!$G$5:$G$1004,$A45))</f>
        <v/>
      </c>
      <c r="M45" s="137">
        <f>IF($R45=0,"",1000000-$R45)</f>
        <v/>
      </c>
      <c r="N45" s="137">
        <f>IF($S45=0,"",$S45)</f>
        <v/>
      </c>
      <c r="O45" s="118">
        <f>IF(OR($M45="",$N45=""),"",$N45-$M45+1)</f>
        <v/>
      </c>
      <c r="P45" s="136">
        <f>IF($A45="","",사건마스터!$E44)</f>
        <v/>
      </c>
      <c r="R45">
        <f>IF($A45="",0,SUMPRODUCT(MAX((업무일지!$F$5:$F$1004=$A45)*(업무일지!$B$5:$B$1004&gt;0)*(1000000-업무일지!$B$5:$B$1004))))</f>
        <v/>
      </c>
      <c r="S45">
        <f>IF($A45="",0,SUMPRODUCT(MAX((업무일지!$F$5:$F$1004=$A45)*업무일지!$C$5:$C$1004)))</f>
        <v/>
      </c>
    </row>
    <row r="46">
      <c r="A46" s="107">
        <f>IF(사건마스터!$A45="","",사건마스터!$A45)</f>
        <v/>
      </c>
      <c r="B46" s="131">
        <f>IF($A46="","",사건마스터!$B45)</f>
        <v/>
      </c>
      <c r="C46" s="131">
        <f>IF($A46="","",사건마스터!$C45)</f>
        <v/>
      </c>
      <c r="D46" s="136">
        <f>IF($A46="","",사건마스터!$H45)</f>
        <v/>
      </c>
      <c r="E46" s="129">
        <f>IF($A46="","",사건마스터!$G45)</f>
        <v/>
      </c>
      <c r="F46" s="129">
        <f>IF($A46="","",COUNTIFS(업무일지!$F$5:$F$1004,$A46,업무일지!$D$5:$D$1004,"출장"))</f>
        <v/>
      </c>
      <c r="G46" s="129">
        <f>IF($A46="","",COUNTIFS(업무일지!$F$5:$F$1004,$A46,업무일지!$D$5:$D$1004,"분석"))</f>
        <v/>
      </c>
      <c r="H46" s="130">
        <f>IF($A46="","",IF(F46+G46=0,"미착수",IF(F46=0,"분석만",IF(G46=0,"출장만","출장+분석"))))</f>
        <v/>
      </c>
      <c r="I46" s="129">
        <f>IF($A46="","",SUMIFS(업무일지!$AF$5:$AF$1004,업무일지!$F$5:$F$1004,$A46,업무일지!$D$5:$D$1004,"출장"))</f>
        <v/>
      </c>
      <c r="J46" s="129">
        <f>IF($A46="","",SUMIFS(업무일지!$AD$5:$AD$1004,업무일지!$F$5:$F$1004,$A46))</f>
        <v/>
      </c>
      <c r="K46" s="25">
        <f>IF($A46="","",SUMIFS(업무일지!$AE$5:$AE$1004,업무일지!$F$5:$F$1004,$A46))</f>
        <v/>
      </c>
      <c r="L46" s="129">
        <f>IF($A46="","",COUNTIF(일일실시사항!$G$5:$G$1004,$A46))</f>
        <v/>
      </c>
      <c r="M46" s="137">
        <f>IF($R46=0,"",1000000-$R46)</f>
        <v/>
      </c>
      <c r="N46" s="137">
        <f>IF($S46=0,"",$S46)</f>
        <v/>
      </c>
      <c r="O46" s="118">
        <f>IF(OR($M46="",$N46=""),"",$N46-$M46+1)</f>
        <v/>
      </c>
      <c r="P46" s="136">
        <f>IF($A46="","",사건마스터!$E45)</f>
        <v/>
      </c>
      <c r="R46">
        <f>IF($A46="",0,SUMPRODUCT(MAX((업무일지!$F$5:$F$1004=$A46)*(업무일지!$B$5:$B$1004&gt;0)*(1000000-업무일지!$B$5:$B$1004))))</f>
        <v/>
      </c>
      <c r="S46">
        <f>IF($A46="",0,SUMPRODUCT(MAX((업무일지!$F$5:$F$1004=$A46)*업무일지!$C$5:$C$1004)))</f>
        <v/>
      </c>
    </row>
    <row r="47">
      <c r="A47" s="107">
        <f>IF(사건마스터!$A46="","",사건마스터!$A46)</f>
        <v/>
      </c>
      <c r="B47" s="131">
        <f>IF($A47="","",사건마스터!$B46)</f>
        <v/>
      </c>
      <c r="C47" s="131">
        <f>IF($A47="","",사건마스터!$C46)</f>
        <v/>
      </c>
      <c r="D47" s="136">
        <f>IF($A47="","",사건마스터!$H46)</f>
        <v/>
      </c>
      <c r="E47" s="129">
        <f>IF($A47="","",사건마스터!$G46)</f>
        <v/>
      </c>
      <c r="F47" s="129">
        <f>IF($A47="","",COUNTIFS(업무일지!$F$5:$F$1004,$A47,업무일지!$D$5:$D$1004,"출장"))</f>
        <v/>
      </c>
      <c r="G47" s="129">
        <f>IF($A47="","",COUNTIFS(업무일지!$F$5:$F$1004,$A47,업무일지!$D$5:$D$1004,"분석"))</f>
        <v/>
      </c>
      <c r="H47" s="130">
        <f>IF($A47="","",IF(F47+G47=0,"미착수",IF(F47=0,"분석만",IF(G47=0,"출장만","출장+분석"))))</f>
        <v/>
      </c>
      <c r="I47" s="129">
        <f>IF($A47="","",SUMIFS(업무일지!$AF$5:$AF$1004,업무일지!$F$5:$F$1004,$A47,업무일지!$D$5:$D$1004,"출장"))</f>
        <v/>
      </c>
      <c r="J47" s="129">
        <f>IF($A47="","",SUMIFS(업무일지!$AD$5:$AD$1004,업무일지!$F$5:$F$1004,$A47))</f>
        <v/>
      </c>
      <c r="K47" s="25">
        <f>IF($A47="","",SUMIFS(업무일지!$AE$5:$AE$1004,업무일지!$F$5:$F$1004,$A47))</f>
        <v/>
      </c>
      <c r="L47" s="129">
        <f>IF($A47="","",COUNTIF(일일실시사항!$G$5:$G$1004,$A47))</f>
        <v/>
      </c>
      <c r="M47" s="137">
        <f>IF($R47=0,"",1000000-$R47)</f>
        <v/>
      </c>
      <c r="N47" s="137">
        <f>IF($S47=0,"",$S47)</f>
        <v/>
      </c>
      <c r="O47" s="118">
        <f>IF(OR($M47="",$N47=""),"",$N47-$M47+1)</f>
        <v/>
      </c>
      <c r="P47" s="136">
        <f>IF($A47="","",사건마스터!$E46)</f>
        <v/>
      </c>
      <c r="R47">
        <f>IF($A47="",0,SUMPRODUCT(MAX((업무일지!$F$5:$F$1004=$A47)*(업무일지!$B$5:$B$1004&gt;0)*(1000000-업무일지!$B$5:$B$1004))))</f>
        <v/>
      </c>
      <c r="S47">
        <f>IF($A47="",0,SUMPRODUCT(MAX((업무일지!$F$5:$F$1004=$A47)*업무일지!$C$5:$C$1004)))</f>
        <v/>
      </c>
    </row>
    <row r="48">
      <c r="A48" s="107">
        <f>IF(사건마스터!$A47="","",사건마스터!$A47)</f>
        <v/>
      </c>
      <c r="B48" s="131">
        <f>IF($A48="","",사건마스터!$B47)</f>
        <v/>
      </c>
      <c r="C48" s="131">
        <f>IF($A48="","",사건마스터!$C47)</f>
        <v/>
      </c>
      <c r="D48" s="136">
        <f>IF($A48="","",사건마스터!$H47)</f>
        <v/>
      </c>
      <c r="E48" s="129">
        <f>IF($A48="","",사건마스터!$G47)</f>
        <v/>
      </c>
      <c r="F48" s="129">
        <f>IF($A48="","",COUNTIFS(업무일지!$F$5:$F$1004,$A48,업무일지!$D$5:$D$1004,"출장"))</f>
        <v/>
      </c>
      <c r="G48" s="129">
        <f>IF($A48="","",COUNTIFS(업무일지!$F$5:$F$1004,$A48,업무일지!$D$5:$D$1004,"분석"))</f>
        <v/>
      </c>
      <c r="H48" s="130">
        <f>IF($A48="","",IF(F48+G48=0,"미착수",IF(F48=0,"분석만",IF(G48=0,"출장만","출장+분석"))))</f>
        <v/>
      </c>
      <c r="I48" s="129">
        <f>IF($A48="","",SUMIFS(업무일지!$AF$5:$AF$1004,업무일지!$F$5:$F$1004,$A48,업무일지!$D$5:$D$1004,"출장"))</f>
        <v/>
      </c>
      <c r="J48" s="129">
        <f>IF($A48="","",SUMIFS(업무일지!$AD$5:$AD$1004,업무일지!$F$5:$F$1004,$A48))</f>
        <v/>
      </c>
      <c r="K48" s="25">
        <f>IF($A48="","",SUMIFS(업무일지!$AE$5:$AE$1004,업무일지!$F$5:$F$1004,$A48))</f>
        <v/>
      </c>
      <c r="L48" s="129">
        <f>IF($A48="","",COUNTIF(일일실시사항!$G$5:$G$1004,$A48))</f>
        <v/>
      </c>
      <c r="M48" s="137">
        <f>IF($R48=0,"",1000000-$R48)</f>
        <v/>
      </c>
      <c r="N48" s="137">
        <f>IF($S48=0,"",$S48)</f>
        <v/>
      </c>
      <c r="O48" s="118">
        <f>IF(OR($M48="",$N48=""),"",$N48-$M48+1)</f>
        <v/>
      </c>
      <c r="P48" s="136">
        <f>IF($A48="","",사건마스터!$E47)</f>
        <v/>
      </c>
      <c r="R48">
        <f>IF($A48="",0,SUMPRODUCT(MAX((업무일지!$F$5:$F$1004=$A48)*(업무일지!$B$5:$B$1004&gt;0)*(1000000-업무일지!$B$5:$B$1004))))</f>
        <v/>
      </c>
      <c r="S48">
        <f>IF($A48="",0,SUMPRODUCT(MAX((업무일지!$F$5:$F$1004=$A48)*업무일지!$C$5:$C$1004)))</f>
        <v/>
      </c>
    </row>
    <row r="49">
      <c r="A49" s="107">
        <f>IF(사건마스터!$A48="","",사건마스터!$A48)</f>
        <v/>
      </c>
      <c r="B49" s="131">
        <f>IF($A49="","",사건마스터!$B48)</f>
        <v/>
      </c>
      <c r="C49" s="131">
        <f>IF($A49="","",사건마스터!$C48)</f>
        <v/>
      </c>
      <c r="D49" s="136">
        <f>IF($A49="","",사건마스터!$H48)</f>
        <v/>
      </c>
      <c r="E49" s="129">
        <f>IF($A49="","",사건마스터!$G48)</f>
        <v/>
      </c>
      <c r="F49" s="129">
        <f>IF($A49="","",COUNTIFS(업무일지!$F$5:$F$1004,$A49,업무일지!$D$5:$D$1004,"출장"))</f>
        <v/>
      </c>
      <c r="G49" s="129">
        <f>IF($A49="","",COUNTIFS(업무일지!$F$5:$F$1004,$A49,업무일지!$D$5:$D$1004,"분석"))</f>
        <v/>
      </c>
      <c r="H49" s="130">
        <f>IF($A49="","",IF(F49+G49=0,"미착수",IF(F49=0,"분석만",IF(G49=0,"출장만","출장+분석"))))</f>
        <v/>
      </c>
      <c r="I49" s="129">
        <f>IF($A49="","",SUMIFS(업무일지!$AF$5:$AF$1004,업무일지!$F$5:$F$1004,$A49,업무일지!$D$5:$D$1004,"출장"))</f>
        <v/>
      </c>
      <c r="J49" s="129">
        <f>IF($A49="","",SUMIFS(업무일지!$AD$5:$AD$1004,업무일지!$F$5:$F$1004,$A49))</f>
        <v/>
      </c>
      <c r="K49" s="25">
        <f>IF($A49="","",SUMIFS(업무일지!$AE$5:$AE$1004,업무일지!$F$5:$F$1004,$A49))</f>
        <v/>
      </c>
      <c r="L49" s="129">
        <f>IF($A49="","",COUNTIF(일일실시사항!$G$5:$G$1004,$A49))</f>
        <v/>
      </c>
      <c r="M49" s="137">
        <f>IF($R49=0,"",1000000-$R49)</f>
        <v/>
      </c>
      <c r="N49" s="137">
        <f>IF($S49=0,"",$S49)</f>
        <v/>
      </c>
      <c r="O49" s="118">
        <f>IF(OR($M49="",$N49=""),"",$N49-$M49+1)</f>
        <v/>
      </c>
      <c r="P49" s="136">
        <f>IF($A49="","",사건마스터!$E48)</f>
        <v/>
      </c>
      <c r="R49">
        <f>IF($A49="",0,SUMPRODUCT(MAX((업무일지!$F$5:$F$1004=$A49)*(업무일지!$B$5:$B$1004&gt;0)*(1000000-업무일지!$B$5:$B$1004))))</f>
        <v/>
      </c>
      <c r="S49">
        <f>IF($A49="",0,SUMPRODUCT(MAX((업무일지!$F$5:$F$1004=$A49)*업무일지!$C$5:$C$1004)))</f>
        <v/>
      </c>
    </row>
    <row r="50">
      <c r="A50" s="107">
        <f>IF(사건마스터!$A49="","",사건마스터!$A49)</f>
        <v/>
      </c>
      <c r="B50" s="131">
        <f>IF($A50="","",사건마스터!$B49)</f>
        <v/>
      </c>
      <c r="C50" s="131">
        <f>IF($A50="","",사건마스터!$C49)</f>
        <v/>
      </c>
      <c r="D50" s="136">
        <f>IF($A50="","",사건마스터!$H49)</f>
        <v/>
      </c>
      <c r="E50" s="129">
        <f>IF($A50="","",사건마스터!$G49)</f>
        <v/>
      </c>
      <c r="F50" s="129">
        <f>IF($A50="","",COUNTIFS(업무일지!$F$5:$F$1004,$A50,업무일지!$D$5:$D$1004,"출장"))</f>
        <v/>
      </c>
      <c r="G50" s="129">
        <f>IF($A50="","",COUNTIFS(업무일지!$F$5:$F$1004,$A50,업무일지!$D$5:$D$1004,"분석"))</f>
        <v/>
      </c>
      <c r="H50" s="130">
        <f>IF($A50="","",IF(F50+G50=0,"미착수",IF(F50=0,"분석만",IF(G50=0,"출장만","출장+분석"))))</f>
        <v/>
      </c>
      <c r="I50" s="129">
        <f>IF($A50="","",SUMIFS(업무일지!$AF$5:$AF$1004,업무일지!$F$5:$F$1004,$A50,업무일지!$D$5:$D$1004,"출장"))</f>
        <v/>
      </c>
      <c r="J50" s="129">
        <f>IF($A50="","",SUMIFS(업무일지!$AD$5:$AD$1004,업무일지!$F$5:$F$1004,$A50))</f>
        <v/>
      </c>
      <c r="K50" s="25">
        <f>IF($A50="","",SUMIFS(업무일지!$AE$5:$AE$1004,업무일지!$F$5:$F$1004,$A50))</f>
        <v/>
      </c>
      <c r="L50" s="129">
        <f>IF($A50="","",COUNTIF(일일실시사항!$G$5:$G$1004,$A50))</f>
        <v/>
      </c>
      <c r="M50" s="137">
        <f>IF($R50=0,"",1000000-$R50)</f>
        <v/>
      </c>
      <c r="N50" s="137">
        <f>IF($S50=0,"",$S50)</f>
        <v/>
      </c>
      <c r="O50" s="118">
        <f>IF(OR($M50="",$N50=""),"",$N50-$M50+1)</f>
        <v/>
      </c>
      <c r="P50" s="136">
        <f>IF($A50="","",사건마스터!$E49)</f>
        <v/>
      </c>
      <c r="R50">
        <f>IF($A50="",0,SUMPRODUCT(MAX((업무일지!$F$5:$F$1004=$A50)*(업무일지!$B$5:$B$1004&gt;0)*(1000000-업무일지!$B$5:$B$1004))))</f>
        <v/>
      </c>
      <c r="S50">
        <f>IF($A50="",0,SUMPRODUCT(MAX((업무일지!$F$5:$F$1004=$A50)*업무일지!$C$5:$C$1004)))</f>
        <v/>
      </c>
    </row>
    <row r="51">
      <c r="A51" s="107">
        <f>IF(사건마스터!$A50="","",사건마스터!$A50)</f>
        <v/>
      </c>
      <c r="B51" s="131">
        <f>IF($A51="","",사건마스터!$B50)</f>
        <v/>
      </c>
      <c r="C51" s="131">
        <f>IF($A51="","",사건마스터!$C50)</f>
        <v/>
      </c>
      <c r="D51" s="136">
        <f>IF($A51="","",사건마스터!$H50)</f>
        <v/>
      </c>
      <c r="E51" s="129">
        <f>IF($A51="","",사건마스터!$G50)</f>
        <v/>
      </c>
      <c r="F51" s="129">
        <f>IF($A51="","",COUNTIFS(업무일지!$F$5:$F$1004,$A51,업무일지!$D$5:$D$1004,"출장"))</f>
        <v/>
      </c>
      <c r="G51" s="129">
        <f>IF($A51="","",COUNTIFS(업무일지!$F$5:$F$1004,$A51,업무일지!$D$5:$D$1004,"분석"))</f>
        <v/>
      </c>
      <c r="H51" s="130">
        <f>IF($A51="","",IF(F51+G51=0,"미착수",IF(F51=0,"분석만",IF(G51=0,"출장만","출장+분석"))))</f>
        <v/>
      </c>
      <c r="I51" s="129">
        <f>IF($A51="","",SUMIFS(업무일지!$AF$5:$AF$1004,업무일지!$F$5:$F$1004,$A51,업무일지!$D$5:$D$1004,"출장"))</f>
        <v/>
      </c>
      <c r="J51" s="129">
        <f>IF($A51="","",SUMIFS(업무일지!$AD$5:$AD$1004,업무일지!$F$5:$F$1004,$A51))</f>
        <v/>
      </c>
      <c r="K51" s="25">
        <f>IF($A51="","",SUMIFS(업무일지!$AE$5:$AE$1004,업무일지!$F$5:$F$1004,$A51))</f>
        <v/>
      </c>
      <c r="L51" s="129">
        <f>IF($A51="","",COUNTIF(일일실시사항!$G$5:$G$1004,$A51))</f>
        <v/>
      </c>
      <c r="M51" s="137">
        <f>IF($R51=0,"",1000000-$R51)</f>
        <v/>
      </c>
      <c r="N51" s="137">
        <f>IF($S51=0,"",$S51)</f>
        <v/>
      </c>
      <c r="O51" s="118">
        <f>IF(OR($M51="",$N51=""),"",$N51-$M51+1)</f>
        <v/>
      </c>
      <c r="P51" s="136">
        <f>IF($A51="","",사건마스터!$E50)</f>
        <v/>
      </c>
      <c r="R51">
        <f>IF($A51="",0,SUMPRODUCT(MAX((업무일지!$F$5:$F$1004=$A51)*(업무일지!$B$5:$B$1004&gt;0)*(1000000-업무일지!$B$5:$B$1004))))</f>
        <v/>
      </c>
      <c r="S51">
        <f>IF($A51="",0,SUMPRODUCT(MAX((업무일지!$F$5:$F$1004=$A51)*업무일지!$C$5:$C$1004)))</f>
        <v/>
      </c>
    </row>
    <row r="52">
      <c r="A52" s="107">
        <f>IF(사건마스터!$A51="","",사건마스터!$A51)</f>
        <v/>
      </c>
      <c r="B52" s="131">
        <f>IF($A52="","",사건마스터!$B51)</f>
        <v/>
      </c>
      <c r="C52" s="131">
        <f>IF($A52="","",사건마스터!$C51)</f>
        <v/>
      </c>
      <c r="D52" s="136">
        <f>IF($A52="","",사건마스터!$H51)</f>
        <v/>
      </c>
      <c r="E52" s="129">
        <f>IF($A52="","",사건마스터!$G51)</f>
        <v/>
      </c>
      <c r="F52" s="129">
        <f>IF($A52="","",COUNTIFS(업무일지!$F$5:$F$1004,$A52,업무일지!$D$5:$D$1004,"출장"))</f>
        <v/>
      </c>
      <c r="G52" s="129">
        <f>IF($A52="","",COUNTIFS(업무일지!$F$5:$F$1004,$A52,업무일지!$D$5:$D$1004,"분석"))</f>
        <v/>
      </c>
      <c r="H52" s="130">
        <f>IF($A52="","",IF(F52+G52=0,"미착수",IF(F52=0,"분석만",IF(G52=0,"출장만","출장+분석"))))</f>
        <v/>
      </c>
      <c r="I52" s="129">
        <f>IF($A52="","",SUMIFS(업무일지!$AF$5:$AF$1004,업무일지!$F$5:$F$1004,$A52,업무일지!$D$5:$D$1004,"출장"))</f>
        <v/>
      </c>
      <c r="J52" s="129">
        <f>IF($A52="","",SUMIFS(업무일지!$AD$5:$AD$1004,업무일지!$F$5:$F$1004,$A52))</f>
        <v/>
      </c>
      <c r="K52" s="25">
        <f>IF($A52="","",SUMIFS(업무일지!$AE$5:$AE$1004,업무일지!$F$5:$F$1004,$A52))</f>
        <v/>
      </c>
      <c r="L52" s="129">
        <f>IF($A52="","",COUNTIF(일일실시사항!$G$5:$G$1004,$A52))</f>
        <v/>
      </c>
      <c r="M52" s="137">
        <f>IF($R52=0,"",1000000-$R52)</f>
        <v/>
      </c>
      <c r="N52" s="137">
        <f>IF($S52=0,"",$S52)</f>
        <v/>
      </c>
      <c r="O52" s="118">
        <f>IF(OR($M52="",$N52=""),"",$N52-$M52+1)</f>
        <v/>
      </c>
      <c r="P52" s="136">
        <f>IF($A52="","",사건마스터!$E51)</f>
        <v/>
      </c>
      <c r="R52">
        <f>IF($A52="",0,SUMPRODUCT(MAX((업무일지!$F$5:$F$1004=$A52)*(업무일지!$B$5:$B$1004&gt;0)*(1000000-업무일지!$B$5:$B$1004))))</f>
        <v/>
      </c>
      <c r="S52">
        <f>IF($A52="",0,SUMPRODUCT(MAX((업무일지!$F$5:$F$1004=$A52)*업무일지!$C$5:$C$1004)))</f>
        <v/>
      </c>
    </row>
    <row r="53">
      <c r="A53" s="107">
        <f>IF(사건마스터!$A52="","",사건마스터!$A52)</f>
        <v/>
      </c>
      <c r="B53" s="131">
        <f>IF($A53="","",사건마스터!$B52)</f>
        <v/>
      </c>
      <c r="C53" s="131">
        <f>IF($A53="","",사건마스터!$C52)</f>
        <v/>
      </c>
      <c r="D53" s="136">
        <f>IF($A53="","",사건마스터!$H52)</f>
        <v/>
      </c>
      <c r="E53" s="129">
        <f>IF($A53="","",사건마스터!$G52)</f>
        <v/>
      </c>
      <c r="F53" s="129">
        <f>IF($A53="","",COUNTIFS(업무일지!$F$5:$F$1004,$A53,업무일지!$D$5:$D$1004,"출장"))</f>
        <v/>
      </c>
      <c r="G53" s="129">
        <f>IF($A53="","",COUNTIFS(업무일지!$F$5:$F$1004,$A53,업무일지!$D$5:$D$1004,"분석"))</f>
        <v/>
      </c>
      <c r="H53" s="130">
        <f>IF($A53="","",IF(F53+G53=0,"미착수",IF(F53=0,"분석만",IF(G53=0,"출장만","출장+분석"))))</f>
        <v/>
      </c>
      <c r="I53" s="129">
        <f>IF($A53="","",SUMIFS(업무일지!$AF$5:$AF$1004,업무일지!$F$5:$F$1004,$A53,업무일지!$D$5:$D$1004,"출장"))</f>
        <v/>
      </c>
      <c r="J53" s="129">
        <f>IF($A53="","",SUMIFS(업무일지!$AD$5:$AD$1004,업무일지!$F$5:$F$1004,$A53))</f>
        <v/>
      </c>
      <c r="K53" s="25">
        <f>IF($A53="","",SUMIFS(업무일지!$AE$5:$AE$1004,업무일지!$F$5:$F$1004,$A53))</f>
        <v/>
      </c>
      <c r="L53" s="129">
        <f>IF($A53="","",COUNTIF(일일실시사항!$G$5:$G$1004,$A53))</f>
        <v/>
      </c>
      <c r="M53" s="137">
        <f>IF($R53=0,"",1000000-$R53)</f>
        <v/>
      </c>
      <c r="N53" s="137">
        <f>IF($S53=0,"",$S53)</f>
        <v/>
      </c>
      <c r="O53" s="118">
        <f>IF(OR($M53="",$N53=""),"",$N53-$M53+1)</f>
        <v/>
      </c>
      <c r="P53" s="136">
        <f>IF($A53="","",사건마스터!$E52)</f>
        <v/>
      </c>
      <c r="R53">
        <f>IF($A53="",0,SUMPRODUCT(MAX((업무일지!$F$5:$F$1004=$A53)*(업무일지!$B$5:$B$1004&gt;0)*(1000000-업무일지!$B$5:$B$1004))))</f>
        <v/>
      </c>
      <c r="S53">
        <f>IF($A53="",0,SUMPRODUCT(MAX((업무일지!$F$5:$F$1004=$A53)*업무일지!$C$5:$C$1004)))</f>
        <v/>
      </c>
    </row>
    <row r="54">
      <c r="A54" s="107">
        <f>IF(사건마스터!$A53="","",사건마스터!$A53)</f>
        <v/>
      </c>
      <c r="B54" s="131">
        <f>IF($A54="","",사건마스터!$B53)</f>
        <v/>
      </c>
      <c r="C54" s="131">
        <f>IF($A54="","",사건마스터!$C53)</f>
        <v/>
      </c>
      <c r="D54" s="136">
        <f>IF($A54="","",사건마스터!$H53)</f>
        <v/>
      </c>
      <c r="E54" s="129">
        <f>IF($A54="","",사건마스터!$G53)</f>
        <v/>
      </c>
      <c r="F54" s="129">
        <f>IF($A54="","",COUNTIFS(업무일지!$F$5:$F$1004,$A54,업무일지!$D$5:$D$1004,"출장"))</f>
        <v/>
      </c>
      <c r="G54" s="129">
        <f>IF($A54="","",COUNTIFS(업무일지!$F$5:$F$1004,$A54,업무일지!$D$5:$D$1004,"분석"))</f>
        <v/>
      </c>
      <c r="H54" s="130">
        <f>IF($A54="","",IF(F54+G54=0,"미착수",IF(F54=0,"분석만",IF(G54=0,"출장만","출장+분석"))))</f>
        <v/>
      </c>
      <c r="I54" s="129">
        <f>IF($A54="","",SUMIFS(업무일지!$AF$5:$AF$1004,업무일지!$F$5:$F$1004,$A54,업무일지!$D$5:$D$1004,"출장"))</f>
        <v/>
      </c>
      <c r="J54" s="129">
        <f>IF($A54="","",SUMIFS(업무일지!$AD$5:$AD$1004,업무일지!$F$5:$F$1004,$A54))</f>
        <v/>
      </c>
      <c r="K54" s="25">
        <f>IF($A54="","",SUMIFS(업무일지!$AE$5:$AE$1004,업무일지!$F$5:$F$1004,$A54))</f>
        <v/>
      </c>
      <c r="L54" s="129">
        <f>IF($A54="","",COUNTIF(일일실시사항!$G$5:$G$1004,$A54))</f>
        <v/>
      </c>
      <c r="M54" s="137">
        <f>IF($R54=0,"",1000000-$R54)</f>
        <v/>
      </c>
      <c r="N54" s="137">
        <f>IF($S54=0,"",$S54)</f>
        <v/>
      </c>
      <c r="O54" s="118">
        <f>IF(OR($M54="",$N54=""),"",$N54-$M54+1)</f>
        <v/>
      </c>
      <c r="P54" s="136">
        <f>IF($A54="","",사건마스터!$E53)</f>
        <v/>
      </c>
      <c r="R54">
        <f>IF($A54="",0,SUMPRODUCT(MAX((업무일지!$F$5:$F$1004=$A54)*(업무일지!$B$5:$B$1004&gt;0)*(1000000-업무일지!$B$5:$B$1004))))</f>
        <v/>
      </c>
      <c r="S54">
        <f>IF($A54="",0,SUMPRODUCT(MAX((업무일지!$F$5:$F$1004=$A54)*업무일지!$C$5:$C$1004)))</f>
        <v/>
      </c>
    </row>
    <row r="55">
      <c r="A55" s="107">
        <f>IF(사건마스터!$A54="","",사건마스터!$A54)</f>
        <v/>
      </c>
      <c r="B55" s="131">
        <f>IF($A55="","",사건마스터!$B54)</f>
        <v/>
      </c>
      <c r="C55" s="131">
        <f>IF($A55="","",사건마스터!$C54)</f>
        <v/>
      </c>
      <c r="D55" s="136">
        <f>IF($A55="","",사건마스터!$H54)</f>
        <v/>
      </c>
      <c r="E55" s="129">
        <f>IF($A55="","",사건마스터!$G54)</f>
        <v/>
      </c>
      <c r="F55" s="129">
        <f>IF($A55="","",COUNTIFS(업무일지!$F$5:$F$1004,$A55,업무일지!$D$5:$D$1004,"출장"))</f>
        <v/>
      </c>
      <c r="G55" s="129">
        <f>IF($A55="","",COUNTIFS(업무일지!$F$5:$F$1004,$A55,업무일지!$D$5:$D$1004,"분석"))</f>
        <v/>
      </c>
      <c r="H55" s="130">
        <f>IF($A55="","",IF(F55+G55=0,"미착수",IF(F55=0,"분석만",IF(G55=0,"출장만","출장+분석"))))</f>
        <v/>
      </c>
      <c r="I55" s="129">
        <f>IF($A55="","",SUMIFS(업무일지!$AF$5:$AF$1004,업무일지!$F$5:$F$1004,$A55,업무일지!$D$5:$D$1004,"출장"))</f>
        <v/>
      </c>
      <c r="J55" s="129">
        <f>IF($A55="","",SUMIFS(업무일지!$AD$5:$AD$1004,업무일지!$F$5:$F$1004,$A55))</f>
        <v/>
      </c>
      <c r="K55" s="25">
        <f>IF($A55="","",SUMIFS(업무일지!$AE$5:$AE$1004,업무일지!$F$5:$F$1004,$A55))</f>
        <v/>
      </c>
      <c r="L55" s="129">
        <f>IF($A55="","",COUNTIF(일일실시사항!$G$5:$G$1004,$A55))</f>
        <v/>
      </c>
      <c r="M55" s="137">
        <f>IF($R55=0,"",1000000-$R55)</f>
        <v/>
      </c>
      <c r="N55" s="137">
        <f>IF($S55=0,"",$S55)</f>
        <v/>
      </c>
      <c r="O55" s="118">
        <f>IF(OR($M55="",$N55=""),"",$N55-$M55+1)</f>
        <v/>
      </c>
      <c r="P55" s="136">
        <f>IF($A55="","",사건마스터!$E54)</f>
        <v/>
      </c>
      <c r="R55">
        <f>IF($A55="",0,SUMPRODUCT(MAX((업무일지!$F$5:$F$1004=$A55)*(업무일지!$B$5:$B$1004&gt;0)*(1000000-업무일지!$B$5:$B$1004))))</f>
        <v/>
      </c>
      <c r="S55">
        <f>IF($A55="",0,SUMPRODUCT(MAX((업무일지!$F$5:$F$1004=$A55)*업무일지!$C$5:$C$1004)))</f>
        <v/>
      </c>
    </row>
    <row r="56">
      <c r="A56" s="107">
        <f>IF(사건마스터!$A55="","",사건마스터!$A55)</f>
        <v/>
      </c>
      <c r="B56" s="131">
        <f>IF($A56="","",사건마스터!$B55)</f>
        <v/>
      </c>
      <c r="C56" s="131">
        <f>IF($A56="","",사건마스터!$C55)</f>
        <v/>
      </c>
      <c r="D56" s="136">
        <f>IF($A56="","",사건마스터!$H55)</f>
        <v/>
      </c>
      <c r="E56" s="129">
        <f>IF($A56="","",사건마스터!$G55)</f>
        <v/>
      </c>
      <c r="F56" s="129">
        <f>IF($A56="","",COUNTIFS(업무일지!$F$5:$F$1004,$A56,업무일지!$D$5:$D$1004,"출장"))</f>
        <v/>
      </c>
      <c r="G56" s="129">
        <f>IF($A56="","",COUNTIFS(업무일지!$F$5:$F$1004,$A56,업무일지!$D$5:$D$1004,"분석"))</f>
        <v/>
      </c>
      <c r="H56" s="130">
        <f>IF($A56="","",IF(F56+G56=0,"미착수",IF(F56=0,"분석만",IF(G56=0,"출장만","출장+분석"))))</f>
        <v/>
      </c>
      <c r="I56" s="129">
        <f>IF($A56="","",SUMIFS(업무일지!$AF$5:$AF$1004,업무일지!$F$5:$F$1004,$A56,업무일지!$D$5:$D$1004,"출장"))</f>
        <v/>
      </c>
      <c r="J56" s="129">
        <f>IF($A56="","",SUMIFS(업무일지!$AD$5:$AD$1004,업무일지!$F$5:$F$1004,$A56))</f>
        <v/>
      </c>
      <c r="K56" s="25">
        <f>IF($A56="","",SUMIFS(업무일지!$AE$5:$AE$1004,업무일지!$F$5:$F$1004,$A56))</f>
        <v/>
      </c>
      <c r="L56" s="129">
        <f>IF($A56="","",COUNTIF(일일실시사항!$G$5:$G$1004,$A56))</f>
        <v/>
      </c>
      <c r="M56" s="137">
        <f>IF($R56=0,"",1000000-$R56)</f>
        <v/>
      </c>
      <c r="N56" s="137">
        <f>IF($S56=0,"",$S56)</f>
        <v/>
      </c>
      <c r="O56" s="118">
        <f>IF(OR($M56="",$N56=""),"",$N56-$M56+1)</f>
        <v/>
      </c>
      <c r="P56" s="136">
        <f>IF($A56="","",사건마스터!$E55)</f>
        <v/>
      </c>
      <c r="R56">
        <f>IF($A56="",0,SUMPRODUCT(MAX((업무일지!$F$5:$F$1004=$A56)*(업무일지!$B$5:$B$1004&gt;0)*(1000000-업무일지!$B$5:$B$1004))))</f>
        <v/>
      </c>
      <c r="S56">
        <f>IF($A56="",0,SUMPRODUCT(MAX((업무일지!$F$5:$F$1004=$A56)*업무일지!$C$5:$C$1004)))</f>
        <v/>
      </c>
    </row>
    <row r="57">
      <c r="A57" s="107">
        <f>IF(사건마스터!$A56="","",사건마스터!$A56)</f>
        <v/>
      </c>
      <c r="B57" s="131">
        <f>IF($A57="","",사건마스터!$B56)</f>
        <v/>
      </c>
      <c r="C57" s="131">
        <f>IF($A57="","",사건마스터!$C56)</f>
        <v/>
      </c>
      <c r="D57" s="136">
        <f>IF($A57="","",사건마스터!$H56)</f>
        <v/>
      </c>
      <c r="E57" s="129">
        <f>IF($A57="","",사건마스터!$G56)</f>
        <v/>
      </c>
      <c r="F57" s="129">
        <f>IF($A57="","",COUNTIFS(업무일지!$F$5:$F$1004,$A57,업무일지!$D$5:$D$1004,"출장"))</f>
        <v/>
      </c>
      <c r="G57" s="129">
        <f>IF($A57="","",COUNTIFS(업무일지!$F$5:$F$1004,$A57,업무일지!$D$5:$D$1004,"분석"))</f>
        <v/>
      </c>
      <c r="H57" s="130">
        <f>IF($A57="","",IF(F57+G57=0,"미착수",IF(F57=0,"분석만",IF(G57=0,"출장만","출장+분석"))))</f>
        <v/>
      </c>
      <c r="I57" s="129">
        <f>IF($A57="","",SUMIFS(업무일지!$AF$5:$AF$1004,업무일지!$F$5:$F$1004,$A57,업무일지!$D$5:$D$1004,"출장"))</f>
        <v/>
      </c>
      <c r="J57" s="129">
        <f>IF($A57="","",SUMIFS(업무일지!$AD$5:$AD$1004,업무일지!$F$5:$F$1004,$A57))</f>
        <v/>
      </c>
      <c r="K57" s="25">
        <f>IF($A57="","",SUMIFS(업무일지!$AE$5:$AE$1004,업무일지!$F$5:$F$1004,$A57))</f>
        <v/>
      </c>
      <c r="L57" s="129">
        <f>IF($A57="","",COUNTIF(일일실시사항!$G$5:$G$1004,$A57))</f>
        <v/>
      </c>
      <c r="M57" s="137">
        <f>IF($R57=0,"",1000000-$R57)</f>
        <v/>
      </c>
      <c r="N57" s="137">
        <f>IF($S57=0,"",$S57)</f>
        <v/>
      </c>
      <c r="O57" s="118">
        <f>IF(OR($M57="",$N57=""),"",$N57-$M57+1)</f>
        <v/>
      </c>
      <c r="P57" s="136">
        <f>IF($A57="","",사건마스터!$E56)</f>
        <v/>
      </c>
      <c r="R57">
        <f>IF($A57="",0,SUMPRODUCT(MAX((업무일지!$F$5:$F$1004=$A57)*(업무일지!$B$5:$B$1004&gt;0)*(1000000-업무일지!$B$5:$B$1004))))</f>
        <v/>
      </c>
      <c r="S57">
        <f>IF($A57="",0,SUMPRODUCT(MAX((업무일지!$F$5:$F$1004=$A57)*업무일지!$C$5:$C$1004)))</f>
        <v/>
      </c>
    </row>
    <row r="58">
      <c r="A58" s="107">
        <f>IF(사건마스터!$A57="","",사건마스터!$A57)</f>
        <v/>
      </c>
      <c r="B58" s="131">
        <f>IF($A58="","",사건마스터!$B57)</f>
        <v/>
      </c>
      <c r="C58" s="131">
        <f>IF($A58="","",사건마스터!$C57)</f>
        <v/>
      </c>
      <c r="D58" s="136">
        <f>IF($A58="","",사건마스터!$H57)</f>
        <v/>
      </c>
      <c r="E58" s="129">
        <f>IF($A58="","",사건마스터!$G57)</f>
        <v/>
      </c>
      <c r="F58" s="129">
        <f>IF($A58="","",COUNTIFS(업무일지!$F$5:$F$1004,$A58,업무일지!$D$5:$D$1004,"출장"))</f>
        <v/>
      </c>
      <c r="G58" s="129">
        <f>IF($A58="","",COUNTIFS(업무일지!$F$5:$F$1004,$A58,업무일지!$D$5:$D$1004,"분석"))</f>
        <v/>
      </c>
      <c r="H58" s="130">
        <f>IF($A58="","",IF(F58+G58=0,"미착수",IF(F58=0,"분석만",IF(G58=0,"출장만","출장+분석"))))</f>
        <v/>
      </c>
      <c r="I58" s="129">
        <f>IF($A58="","",SUMIFS(업무일지!$AF$5:$AF$1004,업무일지!$F$5:$F$1004,$A58,업무일지!$D$5:$D$1004,"출장"))</f>
        <v/>
      </c>
      <c r="J58" s="129">
        <f>IF($A58="","",SUMIFS(업무일지!$AD$5:$AD$1004,업무일지!$F$5:$F$1004,$A58))</f>
        <v/>
      </c>
      <c r="K58" s="25">
        <f>IF($A58="","",SUMIFS(업무일지!$AE$5:$AE$1004,업무일지!$F$5:$F$1004,$A58))</f>
        <v/>
      </c>
      <c r="L58" s="129">
        <f>IF($A58="","",COUNTIF(일일실시사항!$G$5:$G$1004,$A58))</f>
        <v/>
      </c>
      <c r="M58" s="137">
        <f>IF($R58=0,"",1000000-$R58)</f>
        <v/>
      </c>
      <c r="N58" s="137">
        <f>IF($S58=0,"",$S58)</f>
        <v/>
      </c>
      <c r="O58" s="118">
        <f>IF(OR($M58="",$N58=""),"",$N58-$M58+1)</f>
        <v/>
      </c>
      <c r="P58" s="136">
        <f>IF($A58="","",사건마스터!$E57)</f>
        <v/>
      </c>
      <c r="R58">
        <f>IF($A58="",0,SUMPRODUCT(MAX((업무일지!$F$5:$F$1004=$A58)*(업무일지!$B$5:$B$1004&gt;0)*(1000000-업무일지!$B$5:$B$1004))))</f>
        <v/>
      </c>
      <c r="S58">
        <f>IF($A58="",0,SUMPRODUCT(MAX((업무일지!$F$5:$F$1004=$A58)*업무일지!$C$5:$C$1004)))</f>
        <v/>
      </c>
    </row>
    <row r="59">
      <c r="A59" s="107">
        <f>IF(사건마스터!$A58="","",사건마스터!$A58)</f>
        <v/>
      </c>
      <c r="B59" s="131">
        <f>IF($A59="","",사건마스터!$B58)</f>
        <v/>
      </c>
      <c r="C59" s="131">
        <f>IF($A59="","",사건마스터!$C58)</f>
        <v/>
      </c>
      <c r="D59" s="136">
        <f>IF($A59="","",사건마스터!$H58)</f>
        <v/>
      </c>
      <c r="E59" s="129">
        <f>IF($A59="","",사건마스터!$G58)</f>
        <v/>
      </c>
      <c r="F59" s="129">
        <f>IF($A59="","",COUNTIFS(업무일지!$F$5:$F$1004,$A59,업무일지!$D$5:$D$1004,"출장"))</f>
        <v/>
      </c>
      <c r="G59" s="129">
        <f>IF($A59="","",COUNTIFS(업무일지!$F$5:$F$1004,$A59,업무일지!$D$5:$D$1004,"분석"))</f>
        <v/>
      </c>
      <c r="H59" s="130">
        <f>IF($A59="","",IF(F59+G59=0,"미착수",IF(F59=0,"분석만",IF(G59=0,"출장만","출장+분석"))))</f>
        <v/>
      </c>
      <c r="I59" s="129">
        <f>IF($A59="","",SUMIFS(업무일지!$AF$5:$AF$1004,업무일지!$F$5:$F$1004,$A59,업무일지!$D$5:$D$1004,"출장"))</f>
        <v/>
      </c>
      <c r="J59" s="129">
        <f>IF($A59="","",SUMIFS(업무일지!$AD$5:$AD$1004,업무일지!$F$5:$F$1004,$A59))</f>
        <v/>
      </c>
      <c r="K59" s="25">
        <f>IF($A59="","",SUMIFS(업무일지!$AE$5:$AE$1004,업무일지!$F$5:$F$1004,$A59))</f>
        <v/>
      </c>
      <c r="L59" s="129">
        <f>IF($A59="","",COUNTIF(일일실시사항!$G$5:$G$1004,$A59))</f>
        <v/>
      </c>
      <c r="M59" s="137">
        <f>IF($R59=0,"",1000000-$R59)</f>
        <v/>
      </c>
      <c r="N59" s="137">
        <f>IF($S59=0,"",$S59)</f>
        <v/>
      </c>
      <c r="O59" s="118">
        <f>IF(OR($M59="",$N59=""),"",$N59-$M59+1)</f>
        <v/>
      </c>
      <c r="P59" s="136">
        <f>IF($A59="","",사건마스터!$E58)</f>
        <v/>
      </c>
      <c r="R59">
        <f>IF($A59="",0,SUMPRODUCT(MAX((업무일지!$F$5:$F$1004=$A59)*(업무일지!$B$5:$B$1004&gt;0)*(1000000-업무일지!$B$5:$B$1004))))</f>
        <v/>
      </c>
      <c r="S59">
        <f>IF($A59="",0,SUMPRODUCT(MAX((업무일지!$F$5:$F$1004=$A59)*업무일지!$C$5:$C$1004)))</f>
        <v/>
      </c>
    </row>
    <row r="60">
      <c r="A60" s="107">
        <f>IF(사건마스터!$A59="","",사건마스터!$A59)</f>
        <v/>
      </c>
      <c r="B60" s="131">
        <f>IF($A60="","",사건마스터!$B59)</f>
        <v/>
      </c>
      <c r="C60" s="131">
        <f>IF($A60="","",사건마스터!$C59)</f>
        <v/>
      </c>
      <c r="D60" s="136">
        <f>IF($A60="","",사건마스터!$H59)</f>
        <v/>
      </c>
      <c r="E60" s="129">
        <f>IF($A60="","",사건마스터!$G59)</f>
        <v/>
      </c>
      <c r="F60" s="129">
        <f>IF($A60="","",COUNTIFS(업무일지!$F$5:$F$1004,$A60,업무일지!$D$5:$D$1004,"출장"))</f>
        <v/>
      </c>
      <c r="G60" s="129">
        <f>IF($A60="","",COUNTIFS(업무일지!$F$5:$F$1004,$A60,업무일지!$D$5:$D$1004,"분석"))</f>
        <v/>
      </c>
      <c r="H60" s="130">
        <f>IF($A60="","",IF(F60+G60=0,"미착수",IF(F60=0,"분석만",IF(G60=0,"출장만","출장+분석"))))</f>
        <v/>
      </c>
      <c r="I60" s="129">
        <f>IF($A60="","",SUMIFS(업무일지!$AF$5:$AF$1004,업무일지!$F$5:$F$1004,$A60,업무일지!$D$5:$D$1004,"출장"))</f>
        <v/>
      </c>
      <c r="J60" s="129">
        <f>IF($A60="","",SUMIFS(업무일지!$AD$5:$AD$1004,업무일지!$F$5:$F$1004,$A60))</f>
        <v/>
      </c>
      <c r="K60" s="25">
        <f>IF($A60="","",SUMIFS(업무일지!$AE$5:$AE$1004,업무일지!$F$5:$F$1004,$A60))</f>
        <v/>
      </c>
      <c r="L60" s="129">
        <f>IF($A60="","",COUNTIF(일일실시사항!$G$5:$G$1004,$A60))</f>
        <v/>
      </c>
      <c r="M60" s="137">
        <f>IF($R60=0,"",1000000-$R60)</f>
        <v/>
      </c>
      <c r="N60" s="137">
        <f>IF($S60=0,"",$S60)</f>
        <v/>
      </c>
      <c r="O60" s="118">
        <f>IF(OR($M60="",$N60=""),"",$N60-$M60+1)</f>
        <v/>
      </c>
      <c r="P60" s="136">
        <f>IF($A60="","",사건마스터!$E59)</f>
        <v/>
      </c>
      <c r="R60">
        <f>IF($A60="",0,SUMPRODUCT(MAX((업무일지!$F$5:$F$1004=$A60)*(업무일지!$B$5:$B$1004&gt;0)*(1000000-업무일지!$B$5:$B$1004))))</f>
        <v/>
      </c>
      <c r="S60">
        <f>IF($A60="",0,SUMPRODUCT(MAX((업무일지!$F$5:$F$1004=$A60)*업무일지!$C$5:$C$1004)))</f>
        <v/>
      </c>
    </row>
    <row r="61">
      <c r="A61" s="107">
        <f>IF(사건마스터!$A60="","",사건마스터!$A60)</f>
        <v/>
      </c>
      <c r="B61" s="131">
        <f>IF($A61="","",사건마스터!$B60)</f>
        <v/>
      </c>
      <c r="C61" s="131">
        <f>IF($A61="","",사건마스터!$C60)</f>
        <v/>
      </c>
      <c r="D61" s="136">
        <f>IF($A61="","",사건마스터!$H60)</f>
        <v/>
      </c>
      <c r="E61" s="129">
        <f>IF($A61="","",사건마스터!$G60)</f>
        <v/>
      </c>
      <c r="F61" s="129">
        <f>IF($A61="","",COUNTIFS(업무일지!$F$5:$F$1004,$A61,업무일지!$D$5:$D$1004,"출장"))</f>
        <v/>
      </c>
      <c r="G61" s="129">
        <f>IF($A61="","",COUNTIFS(업무일지!$F$5:$F$1004,$A61,업무일지!$D$5:$D$1004,"분석"))</f>
        <v/>
      </c>
      <c r="H61" s="130">
        <f>IF($A61="","",IF(F61+G61=0,"미착수",IF(F61=0,"분석만",IF(G61=0,"출장만","출장+분석"))))</f>
        <v/>
      </c>
      <c r="I61" s="129">
        <f>IF($A61="","",SUMIFS(업무일지!$AF$5:$AF$1004,업무일지!$F$5:$F$1004,$A61,업무일지!$D$5:$D$1004,"출장"))</f>
        <v/>
      </c>
      <c r="J61" s="129">
        <f>IF($A61="","",SUMIFS(업무일지!$AD$5:$AD$1004,업무일지!$F$5:$F$1004,$A61))</f>
        <v/>
      </c>
      <c r="K61" s="25">
        <f>IF($A61="","",SUMIFS(업무일지!$AE$5:$AE$1004,업무일지!$F$5:$F$1004,$A61))</f>
        <v/>
      </c>
      <c r="L61" s="129">
        <f>IF($A61="","",COUNTIF(일일실시사항!$G$5:$G$1004,$A61))</f>
        <v/>
      </c>
      <c r="M61" s="137">
        <f>IF($R61=0,"",1000000-$R61)</f>
        <v/>
      </c>
      <c r="N61" s="137">
        <f>IF($S61=0,"",$S61)</f>
        <v/>
      </c>
      <c r="O61" s="118">
        <f>IF(OR($M61="",$N61=""),"",$N61-$M61+1)</f>
        <v/>
      </c>
      <c r="P61" s="136">
        <f>IF($A61="","",사건마스터!$E60)</f>
        <v/>
      </c>
      <c r="R61">
        <f>IF($A61="",0,SUMPRODUCT(MAX((업무일지!$F$5:$F$1004=$A61)*(업무일지!$B$5:$B$1004&gt;0)*(1000000-업무일지!$B$5:$B$1004))))</f>
        <v/>
      </c>
      <c r="S61">
        <f>IF($A61="",0,SUMPRODUCT(MAX((업무일지!$F$5:$F$1004=$A61)*업무일지!$C$5:$C$1004)))</f>
        <v/>
      </c>
    </row>
    <row r="62">
      <c r="A62" s="107">
        <f>IF(사건마스터!$A61="","",사건마스터!$A61)</f>
        <v/>
      </c>
      <c r="B62" s="131">
        <f>IF($A62="","",사건마스터!$B61)</f>
        <v/>
      </c>
      <c r="C62" s="131">
        <f>IF($A62="","",사건마스터!$C61)</f>
        <v/>
      </c>
      <c r="D62" s="136">
        <f>IF($A62="","",사건마스터!$H61)</f>
        <v/>
      </c>
      <c r="E62" s="129">
        <f>IF($A62="","",사건마스터!$G61)</f>
        <v/>
      </c>
      <c r="F62" s="129">
        <f>IF($A62="","",COUNTIFS(업무일지!$F$5:$F$1004,$A62,업무일지!$D$5:$D$1004,"출장"))</f>
        <v/>
      </c>
      <c r="G62" s="129">
        <f>IF($A62="","",COUNTIFS(업무일지!$F$5:$F$1004,$A62,업무일지!$D$5:$D$1004,"분석"))</f>
        <v/>
      </c>
      <c r="H62" s="130">
        <f>IF($A62="","",IF(F62+G62=0,"미착수",IF(F62=0,"분석만",IF(G62=0,"출장만","출장+분석"))))</f>
        <v/>
      </c>
      <c r="I62" s="129">
        <f>IF($A62="","",SUMIFS(업무일지!$AF$5:$AF$1004,업무일지!$F$5:$F$1004,$A62,업무일지!$D$5:$D$1004,"출장"))</f>
        <v/>
      </c>
      <c r="J62" s="129">
        <f>IF($A62="","",SUMIFS(업무일지!$AD$5:$AD$1004,업무일지!$F$5:$F$1004,$A62))</f>
        <v/>
      </c>
      <c r="K62" s="25">
        <f>IF($A62="","",SUMIFS(업무일지!$AE$5:$AE$1004,업무일지!$F$5:$F$1004,$A62))</f>
        <v/>
      </c>
      <c r="L62" s="129">
        <f>IF($A62="","",COUNTIF(일일실시사항!$G$5:$G$1004,$A62))</f>
        <v/>
      </c>
      <c r="M62" s="137">
        <f>IF($R62=0,"",1000000-$R62)</f>
        <v/>
      </c>
      <c r="N62" s="137">
        <f>IF($S62=0,"",$S62)</f>
        <v/>
      </c>
      <c r="O62" s="118">
        <f>IF(OR($M62="",$N62=""),"",$N62-$M62+1)</f>
        <v/>
      </c>
      <c r="P62" s="136">
        <f>IF($A62="","",사건마스터!$E61)</f>
        <v/>
      </c>
      <c r="R62">
        <f>IF($A62="",0,SUMPRODUCT(MAX((업무일지!$F$5:$F$1004=$A62)*(업무일지!$B$5:$B$1004&gt;0)*(1000000-업무일지!$B$5:$B$1004))))</f>
        <v/>
      </c>
      <c r="S62">
        <f>IF($A62="",0,SUMPRODUCT(MAX((업무일지!$F$5:$F$1004=$A62)*업무일지!$C$5:$C$1004)))</f>
        <v/>
      </c>
    </row>
    <row r="63">
      <c r="A63" s="107">
        <f>IF(사건마스터!$A62="","",사건마스터!$A62)</f>
        <v/>
      </c>
      <c r="B63" s="131">
        <f>IF($A63="","",사건마스터!$B62)</f>
        <v/>
      </c>
      <c r="C63" s="131">
        <f>IF($A63="","",사건마스터!$C62)</f>
        <v/>
      </c>
      <c r="D63" s="136">
        <f>IF($A63="","",사건마스터!$H62)</f>
        <v/>
      </c>
      <c r="E63" s="129">
        <f>IF($A63="","",사건마스터!$G62)</f>
        <v/>
      </c>
      <c r="F63" s="129">
        <f>IF($A63="","",COUNTIFS(업무일지!$F$5:$F$1004,$A63,업무일지!$D$5:$D$1004,"출장"))</f>
        <v/>
      </c>
      <c r="G63" s="129">
        <f>IF($A63="","",COUNTIFS(업무일지!$F$5:$F$1004,$A63,업무일지!$D$5:$D$1004,"분석"))</f>
        <v/>
      </c>
      <c r="H63" s="130">
        <f>IF($A63="","",IF(F63+G63=0,"미착수",IF(F63=0,"분석만",IF(G63=0,"출장만","출장+분석"))))</f>
        <v/>
      </c>
      <c r="I63" s="129">
        <f>IF($A63="","",SUMIFS(업무일지!$AF$5:$AF$1004,업무일지!$F$5:$F$1004,$A63,업무일지!$D$5:$D$1004,"출장"))</f>
        <v/>
      </c>
      <c r="J63" s="129">
        <f>IF($A63="","",SUMIFS(업무일지!$AD$5:$AD$1004,업무일지!$F$5:$F$1004,$A63))</f>
        <v/>
      </c>
      <c r="K63" s="25">
        <f>IF($A63="","",SUMIFS(업무일지!$AE$5:$AE$1004,업무일지!$F$5:$F$1004,$A63))</f>
        <v/>
      </c>
      <c r="L63" s="129">
        <f>IF($A63="","",COUNTIF(일일실시사항!$G$5:$G$1004,$A63))</f>
        <v/>
      </c>
      <c r="M63" s="137">
        <f>IF($R63=0,"",1000000-$R63)</f>
        <v/>
      </c>
      <c r="N63" s="137">
        <f>IF($S63=0,"",$S63)</f>
        <v/>
      </c>
      <c r="O63" s="118">
        <f>IF(OR($M63="",$N63=""),"",$N63-$M63+1)</f>
        <v/>
      </c>
      <c r="P63" s="136">
        <f>IF($A63="","",사건마스터!$E62)</f>
        <v/>
      </c>
      <c r="R63">
        <f>IF($A63="",0,SUMPRODUCT(MAX((업무일지!$F$5:$F$1004=$A63)*(업무일지!$B$5:$B$1004&gt;0)*(1000000-업무일지!$B$5:$B$1004))))</f>
        <v/>
      </c>
      <c r="S63">
        <f>IF($A63="",0,SUMPRODUCT(MAX((업무일지!$F$5:$F$1004=$A63)*업무일지!$C$5:$C$1004)))</f>
        <v/>
      </c>
    </row>
    <row r="64">
      <c r="A64" s="107">
        <f>IF(사건마스터!$A63="","",사건마스터!$A63)</f>
        <v/>
      </c>
      <c r="B64" s="131">
        <f>IF($A64="","",사건마스터!$B63)</f>
        <v/>
      </c>
      <c r="C64" s="131">
        <f>IF($A64="","",사건마스터!$C63)</f>
        <v/>
      </c>
      <c r="D64" s="136">
        <f>IF($A64="","",사건마스터!$H63)</f>
        <v/>
      </c>
      <c r="E64" s="129">
        <f>IF($A64="","",사건마스터!$G63)</f>
        <v/>
      </c>
      <c r="F64" s="129">
        <f>IF($A64="","",COUNTIFS(업무일지!$F$5:$F$1004,$A64,업무일지!$D$5:$D$1004,"출장"))</f>
        <v/>
      </c>
      <c r="G64" s="129">
        <f>IF($A64="","",COUNTIFS(업무일지!$F$5:$F$1004,$A64,업무일지!$D$5:$D$1004,"분석"))</f>
        <v/>
      </c>
      <c r="H64" s="130">
        <f>IF($A64="","",IF(F64+G64=0,"미착수",IF(F64=0,"분석만",IF(G64=0,"출장만","출장+분석"))))</f>
        <v/>
      </c>
      <c r="I64" s="129">
        <f>IF($A64="","",SUMIFS(업무일지!$AF$5:$AF$1004,업무일지!$F$5:$F$1004,$A64,업무일지!$D$5:$D$1004,"출장"))</f>
        <v/>
      </c>
      <c r="J64" s="129">
        <f>IF($A64="","",SUMIFS(업무일지!$AD$5:$AD$1004,업무일지!$F$5:$F$1004,$A64))</f>
        <v/>
      </c>
      <c r="K64" s="25">
        <f>IF($A64="","",SUMIFS(업무일지!$AE$5:$AE$1004,업무일지!$F$5:$F$1004,$A64))</f>
        <v/>
      </c>
      <c r="L64" s="129">
        <f>IF($A64="","",COUNTIF(일일실시사항!$G$5:$G$1004,$A64))</f>
        <v/>
      </c>
      <c r="M64" s="137">
        <f>IF($R64=0,"",1000000-$R64)</f>
        <v/>
      </c>
      <c r="N64" s="137">
        <f>IF($S64=0,"",$S64)</f>
        <v/>
      </c>
      <c r="O64" s="118">
        <f>IF(OR($M64="",$N64=""),"",$N64-$M64+1)</f>
        <v/>
      </c>
      <c r="P64" s="136">
        <f>IF($A64="","",사건마스터!$E63)</f>
        <v/>
      </c>
      <c r="R64">
        <f>IF($A64="",0,SUMPRODUCT(MAX((업무일지!$F$5:$F$1004=$A64)*(업무일지!$B$5:$B$1004&gt;0)*(1000000-업무일지!$B$5:$B$1004))))</f>
        <v/>
      </c>
      <c r="S64">
        <f>IF($A64="",0,SUMPRODUCT(MAX((업무일지!$F$5:$F$1004=$A64)*업무일지!$C$5:$C$1004)))</f>
        <v/>
      </c>
    </row>
    <row r="65">
      <c r="A65" s="107">
        <f>IF(사건마스터!$A64="","",사건마스터!$A64)</f>
        <v/>
      </c>
      <c r="B65" s="131">
        <f>IF($A65="","",사건마스터!$B64)</f>
        <v/>
      </c>
      <c r="C65" s="131">
        <f>IF($A65="","",사건마스터!$C64)</f>
        <v/>
      </c>
      <c r="D65" s="136">
        <f>IF($A65="","",사건마스터!$H64)</f>
        <v/>
      </c>
      <c r="E65" s="129">
        <f>IF($A65="","",사건마스터!$G64)</f>
        <v/>
      </c>
      <c r="F65" s="129">
        <f>IF($A65="","",COUNTIFS(업무일지!$F$5:$F$1004,$A65,업무일지!$D$5:$D$1004,"출장"))</f>
        <v/>
      </c>
      <c r="G65" s="129">
        <f>IF($A65="","",COUNTIFS(업무일지!$F$5:$F$1004,$A65,업무일지!$D$5:$D$1004,"분석"))</f>
        <v/>
      </c>
      <c r="H65" s="130">
        <f>IF($A65="","",IF(F65+G65=0,"미착수",IF(F65=0,"분석만",IF(G65=0,"출장만","출장+분석"))))</f>
        <v/>
      </c>
      <c r="I65" s="129">
        <f>IF($A65="","",SUMIFS(업무일지!$AF$5:$AF$1004,업무일지!$F$5:$F$1004,$A65,업무일지!$D$5:$D$1004,"출장"))</f>
        <v/>
      </c>
      <c r="J65" s="129">
        <f>IF($A65="","",SUMIFS(업무일지!$AD$5:$AD$1004,업무일지!$F$5:$F$1004,$A65))</f>
        <v/>
      </c>
      <c r="K65" s="25">
        <f>IF($A65="","",SUMIFS(업무일지!$AE$5:$AE$1004,업무일지!$F$5:$F$1004,$A65))</f>
        <v/>
      </c>
      <c r="L65" s="129">
        <f>IF($A65="","",COUNTIF(일일실시사항!$G$5:$G$1004,$A65))</f>
        <v/>
      </c>
      <c r="M65" s="137">
        <f>IF($R65=0,"",1000000-$R65)</f>
        <v/>
      </c>
      <c r="N65" s="137">
        <f>IF($S65=0,"",$S65)</f>
        <v/>
      </c>
      <c r="O65" s="118">
        <f>IF(OR($M65="",$N65=""),"",$N65-$M65+1)</f>
        <v/>
      </c>
      <c r="P65" s="136">
        <f>IF($A65="","",사건마스터!$E64)</f>
        <v/>
      </c>
      <c r="R65">
        <f>IF($A65="",0,SUMPRODUCT(MAX((업무일지!$F$5:$F$1004=$A65)*(업무일지!$B$5:$B$1004&gt;0)*(1000000-업무일지!$B$5:$B$1004))))</f>
        <v/>
      </c>
      <c r="S65">
        <f>IF($A65="",0,SUMPRODUCT(MAX((업무일지!$F$5:$F$1004=$A65)*업무일지!$C$5:$C$1004)))</f>
        <v/>
      </c>
    </row>
    <row r="66">
      <c r="A66" s="112" t="inlineStr">
        <is>
          <t>합계</t>
        </is>
      </c>
      <c r="B66" s="135">
        <f>60-COUNTBLANK(A6:A65)&amp;" 건 사건"</f>
        <v/>
      </c>
      <c r="C66" s="141" t="inlineStr"/>
      <c r="D66" s="141" t="inlineStr"/>
      <c r="E66" s="113">
        <f>SUM(E6:E65)</f>
        <v/>
      </c>
      <c r="F66" s="113">
        <f>SUM(F6:F65)</f>
        <v/>
      </c>
      <c r="G66" s="113">
        <f>SUM(G6:G65)</f>
        <v/>
      </c>
      <c r="H66" s="141">
        <f>COUNTIF(H6:H65,"출장*")&amp;" / "&amp;COUNTIF(H6:H65,"*분석*")</f>
        <v/>
      </c>
      <c r="I66" s="113">
        <f>SUM(I6:I65)</f>
        <v/>
      </c>
      <c r="J66" s="113">
        <f>SUM(J6:J65)</f>
        <v/>
      </c>
      <c r="K66" s="29">
        <f>SUM(K6:K65)</f>
        <v/>
      </c>
      <c r="L66" s="113">
        <f>SUM(L6:L65)</f>
        <v/>
      </c>
      <c r="M66" s="141" t="inlineStr"/>
      <c r="N66" s="141" t="inlineStr"/>
      <c r="O66" s="141" t="inlineStr"/>
      <c r="P66" s="141" t="inlineStr"/>
    </row>
    <row r="68" ht="20" customHeight="1">
      <c r="A68" s="21" t="inlineStr">
        <is>
          <t>2.  사건 상세 조회</t>
        </is>
      </c>
      <c r="B68" s="22" t="n"/>
      <c r="C68" s="22" t="n"/>
      <c r="D68" s="22" t="n"/>
      <c r="E68" s="22" t="n"/>
      <c r="F68" s="22" t="n"/>
      <c r="G68" s="22" t="n"/>
      <c r="H68" s="22" t="n"/>
    </row>
    <row r="69">
      <c r="A69" s="120" t="inlineStr">
        <is>
          <t>사건번호 선택 →</t>
        </is>
      </c>
      <c r="B69" s="86" t="n"/>
      <c r="C69" s="122">
        <f>IF($B$69="","",IFERROR(INDEX(사건마스터!$B$5:$B$64,MATCH($B$69,사건마스터!$A$5:$A$64,0)),"※ 등록되지 않은 사건번호"))</f>
        <v/>
      </c>
      <c r="D69" s="11" t="n"/>
      <c r="E69" s="12" t="n"/>
    </row>
    <row r="70" ht="32" customHeight="1">
      <c r="A70" s="23" t="inlineStr">
        <is>
          <t>담당자</t>
        </is>
      </c>
      <c r="B70" s="23" t="inlineStr">
        <is>
          <t>주담당 회차</t>
        </is>
      </c>
      <c r="C70" s="23" t="inlineStr">
        <is>
          <t>참여 회차</t>
        </is>
      </c>
      <c r="D70" s="23" t="inlineStr">
        <is>
          <t>총 참여회차</t>
        </is>
      </c>
      <c r="F70" s="23" t="inlineStr">
        <is>
          <t>세부유형</t>
        </is>
      </c>
      <c r="G70" s="23" t="inlineStr">
        <is>
          <t>회차</t>
        </is>
      </c>
    </row>
    <row r="71">
      <c r="A71" s="107">
        <f>IF(코드설정!$C5="","",코드설정!$C5)</f>
        <v/>
      </c>
      <c r="B71" s="129">
        <f>IF($A71="","",COUNTIFS(업무일지!$F$5:$F$1004,$B$69,업무일지!$J$5:$J$1004,$A71))</f>
        <v/>
      </c>
      <c r="C71" s="129">
        <f>IF($A71="","",COUNTIFS(업무일지!$F$5:$F$1004,$B$69,업무일지!$AA$5:$AA$1004,"*"&amp;$A71&amp;"*")-COUNTIFS(업무일지!$F$5:$F$1004,$B$69,업무일지!$J$5:$J$1004,$A71))</f>
        <v/>
      </c>
      <c r="D71" s="118">
        <f>IF($A71="","",B71+C71)</f>
        <v/>
      </c>
      <c r="F71" s="115">
        <f>IF(코드설정!$B5="","",코드설정!$B5)</f>
        <v/>
      </c>
      <c r="G71" s="129">
        <f>IF($F71="","",COUNTIFS(업무일지!$F$5:$F$1004,$B$69,업무일지!$E$5:$E$1004,$F71))</f>
        <v/>
      </c>
    </row>
    <row r="72">
      <c r="A72" s="107">
        <f>IF(코드설정!$C6="","",코드설정!$C6)</f>
        <v/>
      </c>
      <c r="B72" s="129">
        <f>IF($A72="","",COUNTIFS(업무일지!$F$5:$F$1004,$B$69,업무일지!$J$5:$J$1004,$A72))</f>
        <v/>
      </c>
      <c r="C72" s="129">
        <f>IF($A72="","",COUNTIFS(업무일지!$F$5:$F$1004,$B$69,업무일지!$AA$5:$AA$1004,"*"&amp;$A72&amp;"*")-COUNTIFS(업무일지!$F$5:$F$1004,$B$69,업무일지!$J$5:$J$1004,$A72))</f>
        <v/>
      </c>
      <c r="D72" s="118">
        <f>IF($A72="","",B72+C72)</f>
        <v/>
      </c>
      <c r="F72" s="115">
        <f>IF(코드설정!$B6="","",코드설정!$B6)</f>
        <v/>
      </c>
      <c r="G72" s="129">
        <f>IF($F72="","",COUNTIFS(업무일지!$F$5:$F$1004,$B$69,업무일지!$E$5:$E$1004,$F72))</f>
        <v/>
      </c>
    </row>
    <row r="73">
      <c r="A73" s="107">
        <f>IF(코드설정!$C7="","",코드설정!$C7)</f>
        <v/>
      </c>
      <c r="B73" s="129">
        <f>IF($A73="","",COUNTIFS(업무일지!$F$5:$F$1004,$B$69,업무일지!$J$5:$J$1004,$A73))</f>
        <v/>
      </c>
      <c r="C73" s="129">
        <f>IF($A73="","",COUNTIFS(업무일지!$F$5:$F$1004,$B$69,업무일지!$AA$5:$AA$1004,"*"&amp;$A73&amp;"*")-COUNTIFS(업무일지!$F$5:$F$1004,$B$69,업무일지!$J$5:$J$1004,$A73))</f>
        <v/>
      </c>
      <c r="D73" s="118">
        <f>IF($A73="","",B73+C73)</f>
        <v/>
      </c>
      <c r="F73" s="115">
        <f>IF(코드설정!$B7="","",코드설정!$B7)</f>
        <v/>
      </c>
      <c r="G73" s="129">
        <f>IF($F73="","",COUNTIFS(업무일지!$F$5:$F$1004,$B$69,업무일지!$E$5:$E$1004,$F73))</f>
        <v/>
      </c>
    </row>
    <row r="74">
      <c r="A74" s="107">
        <f>IF(코드설정!$C8="","",코드설정!$C8)</f>
        <v/>
      </c>
      <c r="B74" s="129">
        <f>IF($A74="","",COUNTIFS(업무일지!$F$5:$F$1004,$B$69,업무일지!$J$5:$J$1004,$A74))</f>
        <v/>
      </c>
      <c r="C74" s="129">
        <f>IF($A74="","",COUNTIFS(업무일지!$F$5:$F$1004,$B$69,업무일지!$AA$5:$AA$1004,"*"&amp;$A74&amp;"*")-COUNTIFS(업무일지!$F$5:$F$1004,$B$69,업무일지!$J$5:$J$1004,$A74))</f>
        <v/>
      </c>
      <c r="D74" s="118">
        <f>IF($A74="","",B74+C74)</f>
        <v/>
      </c>
      <c r="F74" s="115">
        <f>IF(코드설정!$B8="","",코드설정!$B8)</f>
        <v/>
      </c>
      <c r="G74" s="129">
        <f>IF($F74="","",COUNTIFS(업무일지!$F$5:$F$1004,$B$69,업무일지!$E$5:$E$1004,$F74))</f>
        <v/>
      </c>
    </row>
    <row r="75">
      <c r="A75" s="107">
        <f>IF(코드설정!$C9="","",코드설정!$C9)</f>
        <v/>
      </c>
      <c r="B75" s="129">
        <f>IF($A75="","",COUNTIFS(업무일지!$F$5:$F$1004,$B$69,업무일지!$J$5:$J$1004,$A75))</f>
        <v/>
      </c>
      <c r="C75" s="129">
        <f>IF($A75="","",COUNTIFS(업무일지!$F$5:$F$1004,$B$69,업무일지!$AA$5:$AA$1004,"*"&amp;$A75&amp;"*")-COUNTIFS(업무일지!$F$5:$F$1004,$B$69,업무일지!$J$5:$J$1004,$A75))</f>
        <v/>
      </c>
      <c r="D75" s="118">
        <f>IF($A75="","",B75+C75)</f>
        <v/>
      </c>
      <c r="F75" s="115">
        <f>IF(코드설정!$B9="","",코드설정!$B9)</f>
        <v/>
      </c>
      <c r="G75" s="129">
        <f>IF($F75="","",COUNTIFS(업무일지!$F$5:$F$1004,$B$69,업무일지!$E$5:$E$1004,$F75))</f>
        <v/>
      </c>
    </row>
    <row r="76">
      <c r="A76" s="107">
        <f>IF(코드설정!$C10="","",코드설정!$C10)</f>
        <v/>
      </c>
      <c r="B76" s="129">
        <f>IF($A76="","",COUNTIFS(업무일지!$F$5:$F$1004,$B$69,업무일지!$J$5:$J$1004,$A76))</f>
        <v/>
      </c>
      <c r="C76" s="129">
        <f>IF($A76="","",COUNTIFS(업무일지!$F$5:$F$1004,$B$69,업무일지!$AA$5:$AA$1004,"*"&amp;$A76&amp;"*")-COUNTIFS(업무일지!$F$5:$F$1004,$B$69,업무일지!$J$5:$J$1004,$A76))</f>
        <v/>
      </c>
      <c r="D76" s="118">
        <f>IF($A76="","",B76+C76)</f>
        <v/>
      </c>
      <c r="F76" s="115">
        <f>IF(코드설정!$B10="","",코드설정!$B10)</f>
        <v/>
      </c>
      <c r="G76" s="129">
        <f>IF($F76="","",COUNTIFS(업무일지!$F$5:$F$1004,$B$69,업무일지!$E$5:$E$1004,$F76))</f>
        <v/>
      </c>
    </row>
    <row r="77">
      <c r="A77" s="107">
        <f>IF(코드설정!$C11="","",코드설정!$C11)</f>
        <v/>
      </c>
      <c r="B77" s="129">
        <f>IF($A77="","",COUNTIFS(업무일지!$F$5:$F$1004,$B$69,업무일지!$J$5:$J$1004,$A77))</f>
        <v/>
      </c>
      <c r="C77" s="129">
        <f>IF($A77="","",COUNTIFS(업무일지!$F$5:$F$1004,$B$69,업무일지!$AA$5:$AA$1004,"*"&amp;$A77&amp;"*")-COUNTIFS(업무일지!$F$5:$F$1004,$B$69,업무일지!$J$5:$J$1004,$A77))</f>
        <v/>
      </c>
      <c r="D77" s="118">
        <f>IF($A77="","",B77+C77)</f>
        <v/>
      </c>
      <c r="F77" s="115">
        <f>IF(코드설정!$B11="","",코드설정!$B11)</f>
        <v/>
      </c>
      <c r="G77" s="129">
        <f>IF($F77="","",COUNTIFS(업무일지!$F$5:$F$1004,$B$69,업무일지!$E$5:$E$1004,$F77))</f>
        <v/>
      </c>
    </row>
    <row r="78">
      <c r="A78" s="107">
        <f>IF(코드설정!$C12="","",코드설정!$C12)</f>
        <v/>
      </c>
      <c r="B78" s="129">
        <f>IF($A78="","",COUNTIFS(업무일지!$F$5:$F$1004,$B$69,업무일지!$J$5:$J$1004,$A78))</f>
        <v/>
      </c>
      <c r="C78" s="129">
        <f>IF($A78="","",COUNTIFS(업무일지!$F$5:$F$1004,$B$69,업무일지!$AA$5:$AA$1004,"*"&amp;$A78&amp;"*")-COUNTIFS(업무일지!$F$5:$F$1004,$B$69,업무일지!$J$5:$J$1004,$A78))</f>
        <v/>
      </c>
      <c r="D78" s="118">
        <f>IF($A78="","",B78+C78)</f>
        <v/>
      </c>
      <c r="F78" s="115">
        <f>IF(코드설정!$B12="","",코드설정!$B12)</f>
        <v/>
      </c>
      <c r="G78" s="129">
        <f>IF($F78="","",COUNTIFS(업무일지!$F$5:$F$1004,$B$69,업무일지!$E$5:$E$1004,$F78))</f>
        <v/>
      </c>
    </row>
    <row r="79">
      <c r="A79" s="107">
        <f>IF(코드설정!$C13="","",코드설정!$C13)</f>
        <v/>
      </c>
      <c r="B79" s="129">
        <f>IF($A79="","",COUNTIFS(업무일지!$F$5:$F$1004,$B$69,업무일지!$J$5:$J$1004,$A79))</f>
        <v/>
      </c>
      <c r="C79" s="129">
        <f>IF($A79="","",COUNTIFS(업무일지!$F$5:$F$1004,$B$69,업무일지!$AA$5:$AA$1004,"*"&amp;$A79&amp;"*")-COUNTIFS(업무일지!$F$5:$F$1004,$B$69,업무일지!$J$5:$J$1004,$A79))</f>
        <v/>
      </c>
      <c r="D79" s="118">
        <f>IF($A79="","",B79+C79)</f>
        <v/>
      </c>
      <c r="F79" s="115">
        <f>IF(코드설정!$B13="","",코드설정!$B13)</f>
        <v/>
      </c>
      <c r="G79" s="129">
        <f>IF($F79="","",COUNTIFS(업무일지!$F$5:$F$1004,$B$69,업무일지!$E$5:$E$1004,$F79))</f>
        <v/>
      </c>
    </row>
    <row r="80">
      <c r="A80" s="107">
        <f>IF(코드설정!$C14="","",코드설정!$C14)</f>
        <v/>
      </c>
      <c r="B80" s="129">
        <f>IF($A80="","",COUNTIFS(업무일지!$F$5:$F$1004,$B$69,업무일지!$J$5:$J$1004,$A80))</f>
        <v/>
      </c>
      <c r="C80" s="129">
        <f>IF($A80="","",COUNTIFS(업무일지!$F$5:$F$1004,$B$69,업무일지!$AA$5:$AA$1004,"*"&amp;$A80&amp;"*")-COUNTIFS(업무일지!$F$5:$F$1004,$B$69,업무일지!$J$5:$J$1004,$A80))</f>
        <v/>
      </c>
      <c r="D80" s="118">
        <f>IF($A80="","",B80+C80)</f>
        <v/>
      </c>
      <c r="F80" s="115">
        <f>IF(코드설정!$B14="","",코드설정!$B14)</f>
        <v/>
      </c>
      <c r="G80" s="129">
        <f>IF($F80="","",COUNTIFS(업무일지!$F$5:$F$1004,$B$69,업무일지!$E$5:$E$1004,$F80))</f>
        <v/>
      </c>
    </row>
    <row r="81">
      <c r="A81" s="107">
        <f>IF(코드설정!$C15="","",코드설정!$C15)</f>
        <v/>
      </c>
      <c r="B81" s="129">
        <f>IF($A81="","",COUNTIFS(업무일지!$F$5:$F$1004,$B$69,업무일지!$J$5:$J$1004,$A81))</f>
        <v/>
      </c>
      <c r="C81" s="129">
        <f>IF($A81="","",COUNTIFS(업무일지!$F$5:$F$1004,$B$69,업무일지!$AA$5:$AA$1004,"*"&amp;$A81&amp;"*")-COUNTIFS(업무일지!$F$5:$F$1004,$B$69,업무일지!$J$5:$J$1004,$A81))</f>
        <v/>
      </c>
      <c r="D81" s="118">
        <f>IF($A81="","",B81+C81)</f>
        <v/>
      </c>
      <c r="F81" s="115">
        <f>IF(코드설정!$B15="","",코드설정!$B15)</f>
        <v/>
      </c>
      <c r="G81" s="129">
        <f>IF($F81="","",COUNTIFS(업무일지!$F$5:$F$1004,$B$69,업무일지!$E$5:$E$1004,$F81))</f>
        <v/>
      </c>
    </row>
    <row r="82">
      <c r="A82" s="107">
        <f>IF(코드설정!$C16="","",코드설정!$C16)</f>
        <v/>
      </c>
      <c r="B82" s="129">
        <f>IF($A82="","",COUNTIFS(업무일지!$F$5:$F$1004,$B$69,업무일지!$J$5:$J$1004,$A82))</f>
        <v/>
      </c>
      <c r="C82" s="129">
        <f>IF($A82="","",COUNTIFS(업무일지!$F$5:$F$1004,$B$69,업무일지!$AA$5:$AA$1004,"*"&amp;$A82&amp;"*")-COUNTIFS(업무일지!$F$5:$F$1004,$B$69,업무일지!$J$5:$J$1004,$A82))</f>
        <v/>
      </c>
      <c r="D82" s="118">
        <f>IF($A82="","",B82+C82)</f>
        <v/>
      </c>
      <c r="F82" s="115">
        <f>IF(코드설정!$B16="","",코드설정!$B16)</f>
        <v/>
      </c>
      <c r="G82" s="129">
        <f>IF($F82="","",COUNTIFS(업무일지!$F$5:$F$1004,$B$69,업무일지!$E$5:$E$1004,$F82))</f>
        <v/>
      </c>
    </row>
    <row r="83">
      <c r="A83" s="107">
        <f>IF(코드설정!$C17="","",코드설정!$C17)</f>
        <v/>
      </c>
      <c r="B83" s="129">
        <f>IF($A83="","",COUNTIFS(업무일지!$F$5:$F$1004,$B$69,업무일지!$J$5:$J$1004,$A83))</f>
        <v/>
      </c>
      <c r="C83" s="129">
        <f>IF($A83="","",COUNTIFS(업무일지!$F$5:$F$1004,$B$69,업무일지!$AA$5:$AA$1004,"*"&amp;$A83&amp;"*")-COUNTIFS(업무일지!$F$5:$F$1004,$B$69,업무일지!$J$5:$J$1004,$A83))</f>
        <v/>
      </c>
      <c r="D83" s="118">
        <f>IF($A83="","",B83+C83)</f>
        <v/>
      </c>
      <c r="F83" s="115">
        <f>IF(코드설정!$B17="","",코드설정!$B17)</f>
        <v/>
      </c>
      <c r="G83" s="129">
        <f>IF($F83="","",COUNTIFS(업무일지!$F$5:$F$1004,$B$69,업무일지!$E$5:$E$1004,$F83))</f>
        <v/>
      </c>
    </row>
    <row r="84">
      <c r="A84" s="107">
        <f>IF(코드설정!$C18="","",코드설정!$C18)</f>
        <v/>
      </c>
      <c r="B84" s="129">
        <f>IF($A84="","",COUNTIFS(업무일지!$F$5:$F$1004,$B$69,업무일지!$J$5:$J$1004,$A84))</f>
        <v/>
      </c>
      <c r="C84" s="129">
        <f>IF($A84="","",COUNTIFS(업무일지!$F$5:$F$1004,$B$69,업무일지!$AA$5:$AA$1004,"*"&amp;$A84&amp;"*")-COUNTIFS(업무일지!$F$5:$F$1004,$B$69,업무일지!$J$5:$J$1004,$A84))</f>
        <v/>
      </c>
      <c r="D84" s="118">
        <f>IF($A84="","",B84+C84)</f>
        <v/>
      </c>
      <c r="F84" s="115">
        <f>IF(코드설정!$B18="","",코드설정!$B18)</f>
        <v/>
      </c>
      <c r="G84" s="129">
        <f>IF($F84="","",COUNTIFS(업무일지!$F$5:$F$1004,$B$69,업무일지!$E$5:$E$1004,$F84))</f>
        <v/>
      </c>
    </row>
    <row r="85">
      <c r="A85" s="107">
        <f>IF(코드설정!$C19="","",코드설정!$C19)</f>
        <v/>
      </c>
      <c r="B85" s="129">
        <f>IF($A85="","",COUNTIFS(업무일지!$F$5:$F$1004,$B$69,업무일지!$J$5:$J$1004,$A85))</f>
        <v/>
      </c>
      <c r="C85" s="129">
        <f>IF($A85="","",COUNTIFS(업무일지!$F$5:$F$1004,$B$69,업무일지!$AA$5:$AA$1004,"*"&amp;$A85&amp;"*")-COUNTIFS(업무일지!$F$5:$F$1004,$B$69,업무일지!$J$5:$J$1004,$A85))</f>
        <v/>
      </c>
      <c r="D85" s="118">
        <f>IF($A85="","",B85+C85)</f>
        <v/>
      </c>
      <c r="F85" s="115">
        <f>IF(코드설정!$B19="","",코드설정!$B19)</f>
        <v/>
      </c>
      <c r="G85" s="129">
        <f>IF($F85="","",COUNTIFS(업무일지!$F$5:$F$1004,$B$69,업무일지!$E$5:$E$1004,$F85))</f>
        <v/>
      </c>
    </row>
    <row r="86">
      <c r="A86" s="107">
        <f>IF(코드설정!$C20="","",코드설정!$C20)</f>
        <v/>
      </c>
      <c r="B86" s="129">
        <f>IF($A86="","",COUNTIFS(업무일지!$F$5:$F$1004,$B$69,업무일지!$J$5:$J$1004,$A86))</f>
        <v/>
      </c>
      <c r="C86" s="129">
        <f>IF($A86="","",COUNTIFS(업무일지!$F$5:$F$1004,$B$69,업무일지!$AA$5:$AA$1004,"*"&amp;$A86&amp;"*")-COUNTIFS(업무일지!$F$5:$F$1004,$B$69,업무일지!$J$5:$J$1004,$A86))</f>
        <v/>
      </c>
      <c r="D86" s="118">
        <f>IF($A86="","",B86+C86)</f>
        <v/>
      </c>
      <c r="F86" s="115">
        <f>IF(코드설정!$B20="","",코드설정!$B20)</f>
        <v/>
      </c>
      <c r="G86" s="129">
        <f>IF($F86="","",COUNTIFS(업무일지!$F$5:$F$1004,$B$69,업무일지!$E$5:$E$1004,$F86))</f>
        <v/>
      </c>
    </row>
    <row r="87">
      <c r="A87" s="107">
        <f>IF(코드설정!$C21="","",코드설정!$C21)</f>
        <v/>
      </c>
      <c r="B87" s="129">
        <f>IF($A87="","",COUNTIFS(업무일지!$F$5:$F$1004,$B$69,업무일지!$J$5:$J$1004,$A87))</f>
        <v/>
      </c>
      <c r="C87" s="129">
        <f>IF($A87="","",COUNTIFS(업무일지!$F$5:$F$1004,$B$69,업무일지!$AA$5:$AA$1004,"*"&amp;$A87&amp;"*")-COUNTIFS(업무일지!$F$5:$F$1004,$B$69,업무일지!$J$5:$J$1004,$A87))</f>
        <v/>
      </c>
      <c r="D87" s="118">
        <f>IF($A87="","",B87+C87)</f>
        <v/>
      </c>
      <c r="F87" s="115">
        <f>IF(코드설정!$B21="","",코드설정!$B21)</f>
        <v/>
      </c>
      <c r="G87" s="129">
        <f>IF($F87="","",COUNTIFS(업무일지!$F$5:$F$1004,$B$69,업무일지!$E$5:$E$1004,$F87))</f>
        <v/>
      </c>
    </row>
    <row r="88">
      <c r="A88" s="107">
        <f>IF(코드설정!$C22="","",코드설정!$C22)</f>
        <v/>
      </c>
      <c r="B88" s="129">
        <f>IF($A88="","",COUNTIFS(업무일지!$F$5:$F$1004,$B$69,업무일지!$J$5:$J$1004,$A88))</f>
        <v/>
      </c>
      <c r="C88" s="129">
        <f>IF($A88="","",COUNTIFS(업무일지!$F$5:$F$1004,$B$69,업무일지!$AA$5:$AA$1004,"*"&amp;$A88&amp;"*")-COUNTIFS(업무일지!$F$5:$F$1004,$B$69,업무일지!$J$5:$J$1004,$A88))</f>
        <v/>
      </c>
      <c r="D88" s="118">
        <f>IF($A88="","",B88+C88)</f>
        <v/>
      </c>
    </row>
    <row r="89">
      <c r="A89" s="107">
        <f>IF(코드설정!$C23="","",코드설정!$C23)</f>
        <v/>
      </c>
      <c r="B89" s="129">
        <f>IF($A89="","",COUNTIFS(업무일지!$F$5:$F$1004,$B$69,업무일지!$J$5:$J$1004,$A89))</f>
        <v/>
      </c>
      <c r="C89" s="129">
        <f>IF($A89="","",COUNTIFS(업무일지!$F$5:$F$1004,$B$69,업무일지!$AA$5:$AA$1004,"*"&amp;$A89&amp;"*")-COUNTIFS(업무일지!$F$5:$F$1004,$B$69,업무일지!$J$5:$J$1004,$A89))</f>
        <v/>
      </c>
      <c r="D89" s="118">
        <f>IF($A89="","",B89+C89)</f>
        <v/>
      </c>
    </row>
    <row r="90">
      <c r="A90" s="107">
        <f>IF(코드설정!$C24="","",코드설정!$C24)</f>
        <v/>
      </c>
      <c r="B90" s="129">
        <f>IF($A90="","",COUNTIFS(업무일지!$F$5:$F$1004,$B$69,업무일지!$J$5:$J$1004,$A90))</f>
        <v/>
      </c>
      <c r="C90" s="129">
        <f>IF($A90="","",COUNTIFS(업무일지!$F$5:$F$1004,$B$69,업무일지!$AA$5:$AA$1004,"*"&amp;$A90&amp;"*")-COUNTIFS(업무일지!$F$5:$F$1004,$B$69,업무일지!$J$5:$J$1004,$A90))</f>
        <v/>
      </c>
      <c r="D90" s="118">
        <f>IF($A90="","",B90+C90)</f>
        <v/>
      </c>
    </row>
    <row r="92">
      <c r="A92" s="7" t="inlineStr">
        <is>
          <t>※ '참여 건' = 본인이 주담당이 아니면서 참여자로 이름이 올라간 건입니다.  ※ 동명이인은 이름 부분일치로 잘못 집계되니 [코드설정]에서 반드시 구분해 등록하세요.</t>
        </is>
      </c>
    </row>
  </sheetData>
  <autoFilter ref="A5:P65"/>
  <mergeCells count="1">
    <mergeCell ref="C69:E69"/>
  </mergeCells>
  <conditionalFormatting sqref="A6:P65">
    <cfRule type="expression" priority="1" dxfId="2" stopIfTrue="0">
      <formula>$P6="완료"</formula>
    </cfRule>
    <cfRule type="expression" priority="2" dxfId="3" stopIfTrue="0">
      <formula>$P6="보류"</formula>
    </cfRule>
  </conditionalFormatting>
  <dataValidations count="1">
    <dataValidation sqref="B69" showDropDown="0" showInputMessage="0" showErrorMessage="0" allowBlank="1" type="list">
      <formula1>목록_사건번호</formula1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&amp;L&amp;"Arial"&amp;9사건별 현황&amp;R&amp;"Arial"&amp;9인쇄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AJ1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1" customWidth="1" min="4" max="4"/>
    <col width="12" customWidth="1" min="5" max="5"/>
    <col width="11" customWidth="1" min="6" max="6"/>
    <col width="12" customWidth="1" min="7" max="7"/>
    <col width="13" customWidth="1" min="8" max="8"/>
    <col width="13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hidden="1" width="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</cols>
  <sheetData>
    <row r="1" ht="24" customHeight="1">
      <c r="A1" s="6" t="inlineStr">
        <is>
          <t>개인별 현황  ·  출장 / 분석 / 일일</t>
        </is>
      </c>
    </row>
    <row r="2" ht="26" customHeight="1">
      <c r="A2" s="7" t="inlineStr">
        <is>
          <t>※ 담당자 명단은 [코드설정]에서 추가하면 자동 반영됩니다.  ※ 참여 건 = 남이 주담당인 건에 함께 투입된 건.</t>
        </is>
      </c>
    </row>
    <row r="3">
      <c r="A3" s="120" t="inlineStr">
        <is>
          <t>기준연도</t>
        </is>
      </c>
      <c r="B3" s="105">
        <f>'부서 전체현황'!$B$3</f>
        <v/>
      </c>
      <c r="C3" s="7" t="inlineStr">
        <is>
          <t>← [부서 전체현황]의 기준연도와 연동됩니다</t>
        </is>
      </c>
    </row>
    <row r="5" ht="20" customHeight="1">
      <c r="A5" s="21" t="inlineStr">
        <is>
          <t>1.  담당자별 종합 (연간 누계)   ※ 회차 = 줄 수, 사건 = 고유 사건 수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32" customHeight="1">
      <c r="A6" s="23" t="inlineStr">
        <is>
          <t>담당자</t>
        </is>
      </c>
      <c r="B6" s="23" t="inlineStr">
        <is>
          <t>소속팀</t>
        </is>
      </c>
      <c r="C6" s="23" t="inlineStr">
        <is>
          <t>출장 주담당</t>
        </is>
      </c>
      <c r="D6" s="23" t="inlineStr">
        <is>
          <t>출장 참여</t>
        </is>
      </c>
      <c r="E6" s="23" t="inlineStr">
        <is>
          <t>분석 주담당</t>
        </is>
      </c>
      <c r="F6" s="23" t="inlineStr">
        <is>
          <t>분석 참여</t>
        </is>
      </c>
      <c r="G6" s="23" t="inlineStr">
        <is>
          <t>교육 회차</t>
        </is>
      </c>
      <c r="H6" s="23" t="inlineStr">
        <is>
          <t>총 참여회차</t>
        </is>
      </c>
      <c r="I6" s="23" t="inlineStr">
        <is>
          <t>출장 소요일수</t>
        </is>
      </c>
      <c r="J6" s="23" t="inlineStr">
        <is>
          <t>일일실시 건수</t>
        </is>
      </c>
      <c r="K6" s="23" t="inlineStr">
        <is>
          <t>진행중</t>
        </is>
      </c>
      <c r="L6" s="23" t="inlineStr">
        <is>
          <t>참여 사건수</t>
        </is>
      </c>
    </row>
    <row r="7">
      <c r="A7" s="107">
        <f>IF(코드설정!$C5="","",코드설정!$C5)</f>
        <v/>
      </c>
      <c r="B7" s="136">
        <f>IF($A7="","",코드설정!$D5)</f>
        <v/>
      </c>
      <c r="C7" s="129">
        <f>IF($A7="","",COUNTIFS(업무일지!$B$5:$B$1004,"&gt;="&amp;DATE($B$3,1,1),업무일지!$B$5:$B$1004,"&lt;"&amp;DATE($B$3+1,1,1),업무일지!$J$5:$J$1004,$A7,업무일지!$D$5:$D$1004,"출장"))</f>
        <v/>
      </c>
      <c r="D7" s="129">
        <f>IF($A7="","",COUNTIFS(업무일지!$B$5:$B$1004,"&gt;="&amp;DATE($B$3,1,1),업무일지!$B$5:$B$1004,"&lt;"&amp;DATE($B$3+1,1,1),업무일지!$AA$5:$AA$1004,"*"&amp;$A7&amp;"*",업무일지!$D$5:$D$1004,"출장")-C7)</f>
        <v/>
      </c>
      <c r="E7" s="129">
        <f>IF($A7="","",COUNTIFS(업무일지!$B$5:$B$1004,"&gt;="&amp;DATE($B$3,1,1),업무일지!$B$5:$B$1004,"&lt;"&amp;DATE($B$3+1,1,1),업무일지!$J$5:$J$1004,$A7,업무일지!$D$5:$D$1004,"분석"))</f>
        <v/>
      </c>
      <c r="F7" s="129">
        <f>IF($A7="","",COUNTIFS(업무일지!$B$5:$B$1004,"&gt;="&amp;DATE($B$3,1,1),업무일지!$B$5:$B$1004,"&lt;"&amp;DATE($B$3+1,1,1),업무일지!$AA$5:$AA$1004,"*"&amp;$A7&amp;"*",업무일지!$D$5:$D$1004,"분석")-E7)</f>
        <v/>
      </c>
      <c r="G7" s="129">
        <f>IF($A7="","",COUNTIFS(업무일지!$B$5:$B$1004,"&gt;="&amp;DATE($B$3,1,1),업무일지!$B$5:$B$1004,"&lt;"&amp;DATE($B$3+1,1,1),업무일지!$AA$5:$AA$1004,"*"&amp;$A7&amp;"*",업무일지!$D$5:$D$1004,"교육"))</f>
        <v/>
      </c>
      <c r="H7" s="118">
        <f>IF($A7="","",C7+D7+E7+F7+G7)</f>
        <v/>
      </c>
      <c r="I7" s="129">
        <f>IF($A7="","",SUMIFS(업무일지!$AF$5:$AF$1004,업무일지!$B$5:$B$1004,"&gt;="&amp;DATE($B$3,1,1),업무일지!$B$5:$B$1004,"&lt;"&amp;DATE($B$3+1,1,1),업무일지!$AA$5:$AA$1004,"*"&amp;$A7&amp;"*",업무일지!$D$5:$D$1004,"출장"))</f>
        <v/>
      </c>
      <c r="J7" s="129">
        <f>IF($A7="","",COUNTIFS(일일실시사항!$B$5:$B$1004,"&gt;="&amp;DATE($B$3,1,1),일일실시사항!$B$5:$B$1004,"&lt;"&amp;DATE($B$3+1,1,1),일일실시사항!$D$5:$D$1004,$A7))</f>
        <v/>
      </c>
      <c r="K7" s="129">
        <f>IF($A7="","",COUNTIFS(업무일지!$B$5:$B$1004,"&gt;="&amp;DATE($B$3,1,1),업무일지!$B$5:$B$1004,"&lt;"&amp;DATE($B$3+1,1,1),업무일지!$AA$5:$AA$1004,"*"&amp;$A7&amp;"*",업무일지!$AG$5:$AG$1004,"진행중"))</f>
        <v/>
      </c>
      <c r="L7" s="118">
        <f>IF($A$7="","",SUM(Q$60:Q$119))</f>
        <v/>
      </c>
    </row>
    <row r="8">
      <c r="A8" s="107">
        <f>IF(코드설정!$C6="","",코드설정!$C6)</f>
        <v/>
      </c>
      <c r="B8" s="136">
        <f>IF($A8="","",코드설정!$D6)</f>
        <v/>
      </c>
      <c r="C8" s="129">
        <f>IF($A8="","",COUNTIFS(업무일지!$B$5:$B$1004,"&gt;="&amp;DATE($B$3,1,1),업무일지!$B$5:$B$1004,"&lt;"&amp;DATE($B$3+1,1,1),업무일지!$J$5:$J$1004,$A8,업무일지!$D$5:$D$1004,"출장"))</f>
        <v/>
      </c>
      <c r="D8" s="129">
        <f>IF($A8="","",COUNTIFS(업무일지!$B$5:$B$1004,"&gt;="&amp;DATE($B$3,1,1),업무일지!$B$5:$B$1004,"&lt;"&amp;DATE($B$3+1,1,1),업무일지!$AA$5:$AA$1004,"*"&amp;$A8&amp;"*",업무일지!$D$5:$D$1004,"출장")-C8)</f>
        <v/>
      </c>
      <c r="E8" s="129">
        <f>IF($A8="","",COUNTIFS(업무일지!$B$5:$B$1004,"&gt;="&amp;DATE($B$3,1,1),업무일지!$B$5:$B$1004,"&lt;"&amp;DATE($B$3+1,1,1),업무일지!$J$5:$J$1004,$A8,업무일지!$D$5:$D$1004,"분석"))</f>
        <v/>
      </c>
      <c r="F8" s="129">
        <f>IF($A8="","",COUNTIFS(업무일지!$B$5:$B$1004,"&gt;="&amp;DATE($B$3,1,1),업무일지!$B$5:$B$1004,"&lt;"&amp;DATE($B$3+1,1,1),업무일지!$AA$5:$AA$1004,"*"&amp;$A8&amp;"*",업무일지!$D$5:$D$1004,"분석")-E8)</f>
        <v/>
      </c>
      <c r="G8" s="129">
        <f>IF($A8="","",COUNTIFS(업무일지!$B$5:$B$1004,"&gt;="&amp;DATE($B$3,1,1),업무일지!$B$5:$B$1004,"&lt;"&amp;DATE($B$3+1,1,1),업무일지!$AA$5:$AA$1004,"*"&amp;$A8&amp;"*",업무일지!$D$5:$D$1004,"교육"))</f>
        <v/>
      </c>
      <c r="H8" s="118">
        <f>IF($A8="","",C8+D8+E8+F8+G8)</f>
        <v/>
      </c>
      <c r="I8" s="129">
        <f>IF($A8="","",SUMIFS(업무일지!$AF$5:$AF$1004,업무일지!$B$5:$B$1004,"&gt;="&amp;DATE($B$3,1,1),업무일지!$B$5:$B$1004,"&lt;"&amp;DATE($B$3+1,1,1),업무일지!$AA$5:$AA$1004,"*"&amp;$A8&amp;"*",업무일지!$D$5:$D$1004,"출장"))</f>
        <v/>
      </c>
      <c r="J8" s="129">
        <f>IF($A8="","",COUNTIFS(일일실시사항!$B$5:$B$1004,"&gt;="&amp;DATE($B$3,1,1),일일실시사항!$B$5:$B$1004,"&lt;"&amp;DATE($B$3+1,1,1),일일실시사항!$D$5:$D$1004,$A8))</f>
        <v/>
      </c>
      <c r="K8" s="129">
        <f>IF($A8="","",COUNTIFS(업무일지!$B$5:$B$1004,"&gt;="&amp;DATE($B$3,1,1),업무일지!$B$5:$B$1004,"&lt;"&amp;DATE($B$3+1,1,1),업무일지!$AA$5:$AA$1004,"*"&amp;$A8&amp;"*",업무일지!$AG$5:$AG$1004,"진행중"))</f>
        <v/>
      </c>
      <c r="L8" s="118">
        <f>IF($A$8="","",SUM(R$60:R$119))</f>
        <v/>
      </c>
    </row>
    <row r="9">
      <c r="A9" s="107">
        <f>IF(코드설정!$C7="","",코드설정!$C7)</f>
        <v/>
      </c>
      <c r="B9" s="136">
        <f>IF($A9="","",코드설정!$D7)</f>
        <v/>
      </c>
      <c r="C9" s="129">
        <f>IF($A9="","",COUNTIFS(업무일지!$B$5:$B$1004,"&gt;="&amp;DATE($B$3,1,1),업무일지!$B$5:$B$1004,"&lt;"&amp;DATE($B$3+1,1,1),업무일지!$J$5:$J$1004,$A9,업무일지!$D$5:$D$1004,"출장"))</f>
        <v/>
      </c>
      <c r="D9" s="129">
        <f>IF($A9="","",COUNTIFS(업무일지!$B$5:$B$1004,"&gt;="&amp;DATE($B$3,1,1),업무일지!$B$5:$B$1004,"&lt;"&amp;DATE($B$3+1,1,1),업무일지!$AA$5:$AA$1004,"*"&amp;$A9&amp;"*",업무일지!$D$5:$D$1004,"출장")-C9)</f>
        <v/>
      </c>
      <c r="E9" s="129">
        <f>IF($A9="","",COUNTIFS(업무일지!$B$5:$B$1004,"&gt;="&amp;DATE($B$3,1,1),업무일지!$B$5:$B$1004,"&lt;"&amp;DATE($B$3+1,1,1),업무일지!$J$5:$J$1004,$A9,업무일지!$D$5:$D$1004,"분석"))</f>
        <v/>
      </c>
      <c r="F9" s="129">
        <f>IF($A9="","",COUNTIFS(업무일지!$B$5:$B$1004,"&gt;="&amp;DATE($B$3,1,1),업무일지!$B$5:$B$1004,"&lt;"&amp;DATE($B$3+1,1,1),업무일지!$AA$5:$AA$1004,"*"&amp;$A9&amp;"*",업무일지!$D$5:$D$1004,"분석")-E9)</f>
        <v/>
      </c>
      <c r="G9" s="129">
        <f>IF($A9="","",COUNTIFS(업무일지!$B$5:$B$1004,"&gt;="&amp;DATE($B$3,1,1),업무일지!$B$5:$B$1004,"&lt;"&amp;DATE($B$3+1,1,1),업무일지!$AA$5:$AA$1004,"*"&amp;$A9&amp;"*",업무일지!$D$5:$D$1004,"교육"))</f>
        <v/>
      </c>
      <c r="H9" s="118">
        <f>IF($A9="","",C9+D9+E9+F9+G9)</f>
        <v/>
      </c>
      <c r="I9" s="129">
        <f>IF($A9="","",SUMIFS(업무일지!$AF$5:$AF$1004,업무일지!$B$5:$B$1004,"&gt;="&amp;DATE($B$3,1,1),업무일지!$B$5:$B$1004,"&lt;"&amp;DATE($B$3+1,1,1),업무일지!$AA$5:$AA$1004,"*"&amp;$A9&amp;"*",업무일지!$D$5:$D$1004,"출장"))</f>
        <v/>
      </c>
      <c r="J9" s="129">
        <f>IF($A9="","",COUNTIFS(일일실시사항!$B$5:$B$1004,"&gt;="&amp;DATE($B$3,1,1),일일실시사항!$B$5:$B$1004,"&lt;"&amp;DATE($B$3+1,1,1),일일실시사항!$D$5:$D$1004,$A9))</f>
        <v/>
      </c>
      <c r="K9" s="129">
        <f>IF($A9="","",COUNTIFS(업무일지!$B$5:$B$1004,"&gt;="&amp;DATE($B$3,1,1),업무일지!$B$5:$B$1004,"&lt;"&amp;DATE($B$3+1,1,1),업무일지!$AA$5:$AA$1004,"*"&amp;$A9&amp;"*",업무일지!$AG$5:$AG$1004,"진행중"))</f>
        <v/>
      </c>
      <c r="L9" s="118">
        <f>IF($A$9="","",SUM(S$60:S$119))</f>
        <v/>
      </c>
    </row>
    <row r="10">
      <c r="A10" s="107">
        <f>IF(코드설정!$C8="","",코드설정!$C8)</f>
        <v/>
      </c>
      <c r="B10" s="136">
        <f>IF($A10="","",코드설정!$D8)</f>
        <v/>
      </c>
      <c r="C10" s="129">
        <f>IF($A10="","",COUNTIFS(업무일지!$B$5:$B$1004,"&gt;="&amp;DATE($B$3,1,1),업무일지!$B$5:$B$1004,"&lt;"&amp;DATE($B$3+1,1,1),업무일지!$J$5:$J$1004,$A10,업무일지!$D$5:$D$1004,"출장"))</f>
        <v/>
      </c>
      <c r="D10" s="129">
        <f>IF($A10="","",COUNTIFS(업무일지!$B$5:$B$1004,"&gt;="&amp;DATE($B$3,1,1),업무일지!$B$5:$B$1004,"&lt;"&amp;DATE($B$3+1,1,1),업무일지!$AA$5:$AA$1004,"*"&amp;$A10&amp;"*",업무일지!$D$5:$D$1004,"출장")-C10)</f>
        <v/>
      </c>
      <c r="E10" s="129">
        <f>IF($A10="","",COUNTIFS(업무일지!$B$5:$B$1004,"&gt;="&amp;DATE($B$3,1,1),업무일지!$B$5:$B$1004,"&lt;"&amp;DATE($B$3+1,1,1),업무일지!$J$5:$J$1004,$A10,업무일지!$D$5:$D$1004,"분석"))</f>
        <v/>
      </c>
      <c r="F10" s="129">
        <f>IF($A10="","",COUNTIFS(업무일지!$B$5:$B$1004,"&gt;="&amp;DATE($B$3,1,1),업무일지!$B$5:$B$1004,"&lt;"&amp;DATE($B$3+1,1,1),업무일지!$AA$5:$AA$1004,"*"&amp;$A10&amp;"*",업무일지!$D$5:$D$1004,"분석")-E10)</f>
        <v/>
      </c>
      <c r="G10" s="129">
        <f>IF($A10="","",COUNTIFS(업무일지!$B$5:$B$1004,"&gt;="&amp;DATE($B$3,1,1),업무일지!$B$5:$B$1004,"&lt;"&amp;DATE($B$3+1,1,1),업무일지!$AA$5:$AA$1004,"*"&amp;$A10&amp;"*",업무일지!$D$5:$D$1004,"교육"))</f>
        <v/>
      </c>
      <c r="H10" s="118">
        <f>IF($A10="","",C10+D10+E10+F10+G10)</f>
        <v/>
      </c>
      <c r="I10" s="129">
        <f>IF($A10="","",SUMIFS(업무일지!$AF$5:$AF$1004,업무일지!$B$5:$B$1004,"&gt;="&amp;DATE($B$3,1,1),업무일지!$B$5:$B$1004,"&lt;"&amp;DATE($B$3+1,1,1),업무일지!$AA$5:$AA$1004,"*"&amp;$A10&amp;"*",업무일지!$D$5:$D$1004,"출장"))</f>
        <v/>
      </c>
      <c r="J10" s="129">
        <f>IF($A10="","",COUNTIFS(일일실시사항!$B$5:$B$1004,"&gt;="&amp;DATE($B$3,1,1),일일실시사항!$B$5:$B$1004,"&lt;"&amp;DATE($B$3+1,1,1),일일실시사항!$D$5:$D$1004,$A10))</f>
        <v/>
      </c>
      <c r="K10" s="129">
        <f>IF($A10="","",COUNTIFS(업무일지!$B$5:$B$1004,"&gt;="&amp;DATE($B$3,1,1),업무일지!$B$5:$B$1004,"&lt;"&amp;DATE($B$3+1,1,1),업무일지!$AA$5:$AA$1004,"*"&amp;$A10&amp;"*",업무일지!$AG$5:$AG$1004,"진행중"))</f>
        <v/>
      </c>
      <c r="L10" s="118">
        <f>IF($A$10="","",SUM(T$60:T$119))</f>
        <v/>
      </c>
    </row>
    <row r="11">
      <c r="A11" s="107">
        <f>IF(코드설정!$C9="","",코드설정!$C9)</f>
        <v/>
      </c>
      <c r="B11" s="136">
        <f>IF($A11="","",코드설정!$D9)</f>
        <v/>
      </c>
      <c r="C11" s="129">
        <f>IF($A11="","",COUNTIFS(업무일지!$B$5:$B$1004,"&gt;="&amp;DATE($B$3,1,1),업무일지!$B$5:$B$1004,"&lt;"&amp;DATE($B$3+1,1,1),업무일지!$J$5:$J$1004,$A11,업무일지!$D$5:$D$1004,"출장"))</f>
        <v/>
      </c>
      <c r="D11" s="129">
        <f>IF($A11="","",COUNTIFS(업무일지!$B$5:$B$1004,"&gt;="&amp;DATE($B$3,1,1),업무일지!$B$5:$B$1004,"&lt;"&amp;DATE($B$3+1,1,1),업무일지!$AA$5:$AA$1004,"*"&amp;$A11&amp;"*",업무일지!$D$5:$D$1004,"출장")-C11)</f>
        <v/>
      </c>
      <c r="E11" s="129">
        <f>IF($A11="","",COUNTIFS(업무일지!$B$5:$B$1004,"&gt;="&amp;DATE($B$3,1,1),업무일지!$B$5:$B$1004,"&lt;"&amp;DATE($B$3+1,1,1),업무일지!$J$5:$J$1004,$A11,업무일지!$D$5:$D$1004,"분석"))</f>
        <v/>
      </c>
      <c r="F11" s="129">
        <f>IF($A11="","",COUNTIFS(업무일지!$B$5:$B$1004,"&gt;="&amp;DATE($B$3,1,1),업무일지!$B$5:$B$1004,"&lt;"&amp;DATE($B$3+1,1,1),업무일지!$AA$5:$AA$1004,"*"&amp;$A11&amp;"*",업무일지!$D$5:$D$1004,"분석")-E11)</f>
        <v/>
      </c>
      <c r="G11" s="129">
        <f>IF($A11="","",COUNTIFS(업무일지!$B$5:$B$1004,"&gt;="&amp;DATE($B$3,1,1),업무일지!$B$5:$B$1004,"&lt;"&amp;DATE($B$3+1,1,1),업무일지!$AA$5:$AA$1004,"*"&amp;$A11&amp;"*",업무일지!$D$5:$D$1004,"교육"))</f>
        <v/>
      </c>
      <c r="H11" s="118">
        <f>IF($A11="","",C11+D11+E11+F11+G11)</f>
        <v/>
      </c>
      <c r="I11" s="129">
        <f>IF($A11="","",SUMIFS(업무일지!$AF$5:$AF$1004,업무일지!$B$5:$B$1004,"&gt;="&amp;DATE($B$3,1,1),업무일지!$B$5:$B$1004,"&lt;"&amp;DATE($B$3+1,1,1),업무일지!$AA$5:$AA$1004,"*"&amp;$A11&amp;"*",업무일지!$D$5:$D$1004,"출장"))</f>
        <v/>
      </c>
      <c r="J11" s="129">
        <f>IF($A11="","",COUNTIFS(일일실시사항!$B$5:$B$1004,"&gt;="&amp;DATE($B$3,1,1),일일실시사항!$B$5:$B$1004,"&lt;"&amp;DATE($B$3+1,1,1),일일실시사항!$D$5:$D$1004,$A11))</f>
        <v/>
      </c>
      <c r="K11" s="129">
        <f>IF($A11="","",COUNTIFS(업무일지!$B$5:$B$1004,"&gt;="&amp;DATE($B$3,1,1),업무일지!$B$5:$B$1004,"&lt;"&amp;DATE($B$3+1,1,1),업무일지!$AA$5:$AA$1004,"*"&amp;$A11&amp;"*",업무일지!$AG$5:$AG$1004,"진행중"))</f>
        <v/>
      </c>
      <c r="L11" s="118">
        <f>IF($A$11="","",SUM(U$60:U$119))</f>
        <v/>
      </c>
    </row>
    <row r="12">
      <c r="A12" s="107">
        <f>IF(코드설정!$C10="","",코드설정!$C10)</f>
        <v/>
      </c>
      <c r="B12" s="136">
        <f>IF($A12="","",코드설정!$D10)</f>
        <v/>
      </c>
      <c r="C12" s="129">
        <f>IF($A12="","",COUNTIFS(업무일지!$B$5:$B$1004,"&gt;="&amp;DATE($B$3,1,1),업무일지!$B$5:$B$1004,"&lt;"&amp;DATE($B$3+1,1,1),업무일지!$J$5:$J$1004,$A12,업무일지!$D$5:$D$1004,"출장"))</f>
        <v/>
      </c>
      <c r="D12" s="129">
        <f>IF($A12="","",COUNTIFS(업무일지!$B$5:$B$1004,"&gt;="&amp;DATE($B$3,1,1),업무일지!$B$5:$B$1004,"&lt;"&amp;DATE($B$3+1,1,1),업무일지!$AA$5:$AA$1004,"*"&amp;$A12&amp;"*",업무일지!$D$5:$D$1004,"출장")-C12)</f>
        <v/>
      </c>
      <c r="E12" s="129">
        <f>IF($A12="","",COUNTIFS(업무일지!$B$5:$B$1004,"&gt;="&amp;DATE($B$3,1,1),업무일지!$B$5:$B$1004,"&lt;"&amp;DATE($B$3+1,1,1),업무일지!$J$5:$J$1004,$A12,업무일지!$D$5:$D$1004,"분석"))</f>
        <v/>
      </c>
      <c r="F12" s="129">
        <f>IF($A12="","",COUNTIFS(업무일지!$B$5:$B$1004,"&gt;="&amp;DATE($B$3,1,1),업무일지!$B$5:$B$1004,"&lt;"&amp;DATE($B$3+1,1,1),업무일지!$AA$5:$AA$1004,"*"&amp;$A12&amp;"*",업무일지!$D$5:$D$1004,"분석")-E12)</f>
        <v/>
      </c>
      <c r="G12" s="129">
        <f>IF($A12="","",COUNTIFS(업무일지!$B$5:$B$1004,"&gt;="&amp;DATE($B$3,1,1),업무일지!$B$5:$B$1004,"&lt;"&amp;DATE($B$3+1,1,1),업무일지!$AA$5:$AA$1004,"*"&amp;$A12&amp;"*",업무일지!$D$5:$D$1004,"교육"))</f>
        <v/>
      </c>
      <c r="H12" s="118">
        <f>IF($A12="","",C12+D12+E12+F12+G12)</f>
        <v/>
      </c>
      <c r="I12" s="129">
        <f>IF($A12="","",SUMIFS(업무일지!$AF$5:$AF$1004,업무일지!$B$5:$B$1004,"&gt;="&amp;DATE($B$3,1,1),업무일지!$B$5:$B$1004,"&lt;"&amp;DATE($B$3+1,1,1),업무일지!$AA$5:$AA$1004,"*"&amp;$A12&amp;"*",업무일지!$D$5:$D$1004,"출장"))</f>
        <v/>
      </c>
      <c r="J12" s="129">
        <f>IF($A12="","",COUNTIFS(일일실시사항!$B$5:$B$1004,"&gt;="&amp;DATE($B$3,1,1),일일실시사항!$B$5:$B$1004,"&lt;"&amp;DATE($B$3+1,1,1),일일실시사항!$D$5:$D$1004,$A12))</f>
        <v/>
      </c>
      <c r="K12" s="129">
        <f>IF($A12="","",COUNTIFS(업무일지!$B$5:$B$1004,"&gt;="&amp;DATE($B$3,1,1),업무일지!$B$5:$B$1004,"&lt;"&amp;DATE($B$3+1,1,1),업무일지!$AA$5:$AA$1004,"*"&amp;$A12&amp;"*",업무일지!$AG$5:$AG$1004,"진행중"))</f>
        <v/>
      </c>
      <c r="L12" s="118">
        <f>IF($A$12="","",SUM(V$60:V$119))</f>
        <v/>
      </c>
    </row>
    <row r="13">
      <c r="A13" s="107">
        <f>IF(코드설정!$C11="","",코드설정!$C11)</f>
        <v/>
      </c>
      <c r="B13" s="136">
        <f>IF($A13="","",코드설정!$D11)</f>
        <v/>
      </c>
      <c r="C13" s="129">
        <f>IF($A13="","",COUNTIFS(업무일지!$B$5:$B$1004,"&gt;="&amp;DATE($B$3,1,1),업무일지!$B$5:$B$1004,"&lt;"&amp;DATE($B$3+1,1,1),업무일지!$J$5:$J$1004,$A13,업무일지!$D$5:$D$1004,"출장"))</f>
        <v/>
      </c>
      <c r="D13" s="129">
        <f>IF($A13="","",COUNTIFS(업무일지!$B$5:$B$1004,"&gt;="&amp;DATE($B$3,1,1),업무일지!$B$5:$B$1004,"&lt;"&amp;DATE($B$3+1,1,1),업무일지!$AA$5:$AA$1004,"*"&amp;$A13&amp;"*",업무일지!$D$5:$D$1004,"출장")-C13)</f>
        <v/>
      </c>
      <c r="E13" s="129">
        <f>IF($A13="","",COUNTIFS(업무일지!$B$5:$B$1004,"&gt;="&amp;DATE($B$3,1,1),업무일지!$B$5:$B$1004,"&lt;"&amp;DATE($B$3+1,1,1),업무일지!$J$5:$J$1004,$A13,업무일지!$D$5:$D$1004,"분석"))</f>
        <v/>
      </c>
      <c r="F13" s="129">
        <f>IF($A13="","",COUNTIFS(업무일지!$B$5:$B$1004,"&gt;="&amp;DATE($B$3,1,1),업무일지!$B$5:$B$1004,"&lt;"&amp;DATE($B$3+1,1,1),업무일지!$AA$5:$AA$1004,"*"&amp;$A13&amp;"*",업무일지!$D$5:$D$1004,"분석")-E13)</f>
        <v/>
      </c>
      <c r="G13" s="129">
        <f>IF($A13="","",COUNTIFS(업무일지!$B$5:$B$1004,"&gt;="&amp;DATE($B$3,1,1),업무일지!$B$5:$B$1004,"&lt;"&amp;DATE($B$3+1,1,1),업무일지!$AA$5:$AA$1004,"*"&amp;$A13&amp;"*",업무일지!$D$5:$D$1004,"교육"))</f>
        <v/>
      </c>
      <c r="H13" s="118">
        <f>IF($A13="","",C13+D13+E13+F13+G13)</f>
        <v/>
      </c>
      <c r="I13" s="129">
        <f>IF($A13="","",SUMIFS(업무일지!$AF$5:$AF$1004,업무일지!$B$5:$B$1004,"&gt;="&amp;DATE($B$3,1,1),업무일지!$B$5:$B$1004,"&lt;"&amp;DATE($B$3+1,1,1),업무일지!$AA$5:$AA$1004,"*"&amp;$A13&amp;"*",업무일지!$D$5:$D$1004,"출장"))</f>
        <v/>
      </c>
      <c r="J13" s="129">
        <f>IF($A13="","",COUNTIFS(일일실시사항!$B$5:$B$1004,"&gt;="&amp;DATE($B$3,1,1),일일실시사항!$B$5:$B$1004,"&lt;"&amp;DATE($B$3+1,1,1),일일실시사항!$D$5:$D$1004,$A13))</f>
        <v/>
      </c>
      <c r="K13" s="129">
        <f>IF($A13="","",COUNTIFS(업무일지!$B$5:$B$1004,"&gt;="&amp;DATE($B$3,1,1),업무일지!$B$5:$B$1004,"&lt;"&amp;DATE($B$3+1,1,1),업무일지!$AA$5:$AA$1004,"*"&amp;$A13&amp;"*",업무일지!$AG$5:$AG$1004,"진행중"))</f>
        <v/>
      </c>
      <c r="L13" s="118">
        <f>IF($A$13="","",SUM(W$60:W$119))</f>
        <v/>
      </c>
    </row>
    <row r="14">
      <c r="A14" s="107">
        <f>IF(코드설정!$C12="","",코드설정!$C12)</f>
        <v/>
      </c>
      <c r="B14" s="136">
        <f>IF($A14="","",코드설정!$D12)</f>
        <v/>
      </c>
      <c r="C14" s="129">
        <f>IF($A14="","",COUNTIFS(업무일지!$B$5:$B$1004,"&gt;="&amp;DATE($B$3,1,1),업무일지!$B$5:$B$1004,"&lt;"&amp;DATE($B$3+1,1,1),업무일지!$J$5:$J$1004,$A14,업무일지!$D$5:$D$1004,"출장"))</f>
        <v/>
      </c>
      <c r="D14" s="129">
        <f>IF($A14="","",COUNTIFS(업무일지!$B$5:$B$1004,"&gt;="&amp;DATE($B$3,1,1),업무일지!$B$5:$B$1004,"&lt;"&amp;DATE($B$3+1,1,1),업무일지!$AA$5:$AA$1004,"*"&amp;$A14&amp;"*",업무일지!$D$5:$D$1004,"출장")-C14)</f>
        <v/>
      </c>
      <c r="E14" s="129">
        <f>IF($A14="","",COUNTIFS(업무일지!$B$5:$B$1004,"&gt;="&amp;DATE($B$3,1,1),업무일지!$B$5:$B$1004,"&lt;"&amp;DATE($B$3+1,1,1),업무일지!$J$5:$J$1004,$A14,업무일지!$D$5:$D$1004,"분석"))</f>
        <v/>
      </c>
      <c r="F14" s="129">
        <f>IF($A14="","",COUNTIFS(업무일지!$B$5:$B$1004,"&gt;="&amp;DATE($B$3,1,1),업무일지!$B$5:$B$1004,"&lt;"&amp;DATE($B$3+1,1,1),업무일지!$AA$5:$AA$1004,"*"&amp;$A14&amp;"*",업무일지!$D$5:$D$1004,"분석")-E14)</f>
        <v/>
      </c>
      <c r="G14" s="129">
        <f>IF($A14="","",COUNTIFS(업무일지!$B$5:$B$1004,"&gt;="&amp;DATE($B$3,1,1),업무일지!$B$5:$B$1004,"&lt;"&amp;DATE($B$3+1,1,1),업무일지!$AA$5:$AA$1004,"*"&amp;$A14&amp;"*",업무일지!$D$5:$D$1004,"교육"))</f>
        <v/>
      </c>
      <c r="H14" s="118">
        <f>IF($A14="","",C14+D14+E14+F14+G14)</f>
        <v/>
      </c>
      <c r="I14" s="129">
        <f>IF($A14="","",SUMIFS(업무일지!$AF$5:$AF$1004,업무일지!$B$5:$B$1004,"&gt;="&amp;DATE($B$3,1,1),업무일지!$B$5:$B$1004,"&lt;"&amp;DATE($B$3+1,1,1),업무일지!$AA$5:$AA$1004,"*"&amp;$A14&amp;"*",업무일지!$D$5:$D$1004,"출장"))</f>
        <v/>
      </c>
      <c r="J14" s="129">
        <f>IF($A14="","",COUNTIFS(일일실시사항!$B$5:$B$1004,"&gt;="&amp;DATE($B$3,1,1),일일실시사항!$B$5:$B$1004,"&lt;"&amp;DATE($B$3+1,1,1),일일실시사항!$D$5:$D$1004,$A14))</f>
        <v/>
      </c>
      <c r="K14" s="129">
        <f>IF($A14="","",COUNTIFS(업무일지!$B$5:$B$1004,"&gt;="&amp;DATE($B$3,1,1),업무일지!$B$5:$B$1004,"&lt;"&amp;DATE($B$3+1,1,1),업무일지!$AA$5:$AA$1004,"*"&amp;$A14&amp;"*",업무일지!$AG$5:$AG$1004,"진행중"))</f>
        <v/>
      </c>
      <c r="L14" s="118">
        <f>IF($A$14="","",SUM(X$60:X$119))</f>
        <v/>
      </c>
    </row>
    <row r="15">
      <c r="A15" s="107">
        <f>IF(코드설정!$C13="","",코드설정!$C13)</f>
        <v/>
      </c>
      <c r="B15" s="136">
        <f>IF($A15="","",코드설정!$D13)</f>
        <v/>
      </c>
      <c r="C15" s="129">
        <f>IF($A15="","",COUNTIFS(업무일지!$B$5:$B$1004,"&gt;="&amp;DATE($B$3,1,1),업무일지!$B$5:$B$1004,"&lt;"&amp;DATE($B$3+1,1,1),업무일지!$J$5:$J$1004,$A15,업무일지!$D$5:$D$1004,"출장"))</f>
        <v/>
      </c>
      <c r="D15" s="129">
        <f>IF($A15="","",COUNTIFS(업무일지!$B$5:$B$1004,"&gt;="&amp;DATE($B$3,1,1),업무일지!$B$5:$B$1004,"&lt;"&amp;DATE($B$3+1,1,1),업무일지!$AA$5:$AA$1004,"*"&amp;$A15&amp;"*",업무일지!$D$5:$D$1004,"출장")-C15)</f>
        <v/>
      </c>
      <c r="E15" s="129">
        <f>IF($A15="","",COUNTIFS(업무일지!$B$5:$B$1004,"&gt;="&amp;DATE($B$3,1,1),업무일지!$B$5:$B$1004,"&lt;"&amp;DATE($B$3+1,1,1),업무일지!$J$5:$J$1004,$A15,업무일지!$D$5:$D$1004,"분석"))</f>
        <v/>
      </c>
      <c r="F15" s="129">
        <f>IF($A15="","",COUNTIFS(업무일지!$B$5:$B$1004,"&gt;="&amp;DATE($B$3,1,1),업무일지!$B$5:$B$1004,"&lt;"&amp;DATE($B$3+1,1,1),업무일지!$AA$5:$AA$1004,"*"&amp;$A15&amp;"*",업무일지!$D$5:$D$1004,"분석")-E15)</f>
        <v/>
      </c>
      <c r="G15" s="129">
        <f>IF($A15="","",COUNTIFS(업무일지!$B$5:$B$1004,"&gt;="&amp;DATE($B$3,1,1),업무일지!$B$5:$B$1004,"&lt;"&amp;DATE($B$3+1,1,1),업무일지!$AA$5:$AA$1004,"*"&amp;$A15&amp;"*",업무일지!$D$5:$D$1004,"교육"))</f>
        <v/>
      </c>
      <c r="H15" s="118">
        <f>IF($A15="","",C15+D15+E15+F15+G15)</f>
        <v/>
      </c>
      <c r="I15" s="129">
        <f>IF($A15="","",SUMIFS(업무일지!$AF$5:$AF$1004,업무일지!$B$5:$B$1004,"&gt;="&amp;DATE($B$3,1,1),업무일지!$B$5:$B$1004,"&lt;"&amp;DATE($B$3+1,1,1),업무일지!$AA$5:$AA$1004,"*"&amp;$A15&amp;"*",업무일지!$D$5:$D$1004,"출장"))</f>
        <v/>
      </c>
      <c r="J15" s="129">
        <f>IF($A15="","",COUNTIFS(일일실시사항!$B$5:$B$1004,"&gt;="&amp;DATE($B$3,1,1),일일실시사항!$B$5:$B$1004,"&lt;"&amp;DATE($B$3+1,1,1),일일실시사항!$D$5:$D$1004,$A15))</f>
        <v/>
      </c>
      <c r="K15" s="129">
        <f>IF($A15="","",COUNTIFS(업무일지!$B$5:$B$1004,"&gt;="&amp;DATE($B$3,1,1),업무일지!$B$5:$B$1004,"&lt;"&amp;DATE($B$3+1,1,1),업무일지!$AA$5:$AA$1004,"*"&amp;$A15&amp;"*",업무일지!$AG$5:$AG$1004,"진행중"))</f>
        <v/>
      </c>
      <c r="L15" s="118">
        <f>IF($A$15="","",SUM(Y$60:Y$119))</f>
        <v/>
      </c>
    </row>
    <row r="16">
      <c r="A16" s="107">
        <f>IF(코드설정!$C14="","",코드설정!$C14)</f>
        <v/>
      </c>
      <c r="B16" s="136">
        <f>IF($A16="","",코드설정!$D14)</f>
        <v/>
      </c>
      <c r="C16" s="129">
        <f>IF($A16="","",COUNTIFS(업무일지!$B$5:$B$1004,"&gt;="&amp;DATE($B$3,1,1),업무일지!$B$5:$B$1004,"&lt;"&amp;DATE($B$3+1,1,1),업무일지!$J$5:$J$1004,$A16,업무일지!$D$5:$D$1004,"출장"))</f>
        <v/>
      </c>
      <c r="D16" s="129">
        <f>IF($A16="","",COUNTIFS(업무일지!$B$5:$B$1004,"&gt;="&amp;DATE($B$3,1,1),업무일지!$B$5:$B$1004,"&lt;"&amp;DATE($B$3+1,1,1),업무일지!$AA$5:$AA$1004,"*"&amp;$A16&amp;"*",업무일지!$D$5:$D$1004,"출장")-C16)</f>
        <v/>
      </c>
      <c r="E16" s="129">
        <f>IF($A16="","",COUNTIFS(업무일지!$B$5:$B$1004,"&gt;="&amp;DATE($B$3,1,1),업무일지!$B$5:$B$1004,"&lt;"&amp;DATE($B$3+1,1,1),업무일지!$J$5:$J$1004,$A16,업무일지!$D$5:$D$1004,"분석"))</f>
        <v/>
      </c>
      <c r="F16" s="129">
        <f>IF($A16="","",COUNTIFS(업무일지!$B$5:$B$1004,"&gt;="&amp;DATE($B$3,1,1),업무일지!$B$5:$B$1004,"&lt;"&amp;DATE($B$3+1,1,1),업무일지!$AA$5:$AA$1004,"*"&amp;$A16&amp;"*",업무일지!$D$5:$D$1004,"분석")-E16)</f>
        <v/>
      </c>
      <c r="G16" s="129">
        <f>IF($A16="","",COUNTIFS(업무일지!$B$5:$B$1004,"&gt;="&amp;DATE($B$3,1,1),업무일지!$B$5:$B$1004,"&lt;"&amp;DATE($B$3+1,1,1),업무일지!$AA$5:$AA$1004,"*"&amp;$A16&amp;"*",업무일지!$D$5:$D$1004,"교육"))</f>
        <v/>
      </c>
      <c r="H16" s="118">
        <f>IF($A16="","",C16+D16+E16+F16+G16)</f>
        <v/>
      </c>
      <c r="I16" s="129">
        <f>IF($A16="","",SUMIFS(업무일지!$AF$5:$AF$1004,업무일지!$B$5:$B$1004,"&gt;="&amp;DATE($B$3,1,1),업무일지!$B$5:$B$1004,"&lt;"&amp;DATE($B$3+1,1,1),업무일지!$AA$5:$AA$1004,"*"&amp;$A16&amp;"*",업무일지!$D$5:$D$1004,"출장"))</f>
        <v/>
      </c>
      <c r="J16" s="129">
        <f>IF($A16="","",COUNTIFS(일일실시사항!$B$5:$B$1004,"&gt;="&amp;DATE($B$3,1,1),일일실시사항!$B$5:$B$1004,"&lt;"&amp;DATE($B$3+1,1,1),일일실시사항!$D$5:$D$1004,$A16))</f>
        <v/>
      </c>
      <c r="K16" s="129">
        <f>IF($A16="","",COUNTIFS(업무일지!$B$5:$B$1004,"&gt;="&amp;DATE($B$3,1,1),업무일지!$B$5:$B$1004,"&lt;"&amp;DATE($B$3+1,1,1),업무일지!$AA$5:$AA$1004,"*"&amp;$A16&amp;"*",업무일지!$AG$5:$AG$1004,"진행중"))</f>
        <v/>
      </c>
      <c r="L16" s="118">
        <f>IF($A$16="","",SUM(Z$60:Z$119))</f>
        <v/>
      </c>
    </row>
    <row r="17">
      <c r="A17" s="107">
        <f>IF(코드설정!$C15="","",코드설정!$C15)</f>
        <v/>
      </c>
      <c r="B17" s="136">
        <f>IF($A17="","",코드설정!$D15)</f>
        <v/>
      </c>
      <c r="C17" s="129">
        <f>IF($A17="","",COUNTIFS(업무일지!$B$5:$B$1004,"&gt;="&amp;DATE($B$3,1,1),업무일지!$B$5:$B$1004,"&lt;"&amp;DATE($B$3+1,1,1),업무일지!$J$5:$J$1004,$A17,업무일지!$D$5:$D$1004,"출장"))</f>
        <v/>
      </c>
      <c r="D17" s="129">
        <f>IF($A17="","",COUNTIFS(업무일지!$B$5:$B$1004,"&gt;="&amp;DATE($B$3,1,1),업무일지!$B$5:$B$1004,"&lt;"&amp;DATE($B$3+1,1,1),업무일지!$AA$5:$AA$1004,"*"&amp;$A17&amp;"*",업무일지!$D$5:$D$1004,"출장")-C17)</f>
        <v/>
      </c>
      <c r="E17" s="129">
        <f>IF($A17="","",COUNTIFS(업무일지!$B$5:$B$1004,"&gt;="&amp;DATE($B$3,1,1),업무일지!$B$5:$B$1004,"&lt;"&amp;DATE($B$3+1,1,1),업무일지!$J$5:$J$1004,$A17,업무일지!$D$5:$D$1004,"분석"))</f>
        <v/>
      </c>
      <c r="F17" s="129">
        <f>IF($A17="","",COUNTIFS(업무일지!$B$5:$B$1004,"&gt;="&amp;DATE($B$3,1,1),업무일지!$B$5:$B$1004,"&lt;"&amp;DATE($B$3+1,1,1),업무일지!$AA$5:$AA$1004,"*"&amp;$A17&amp;"*",업무일지!$D$5:$D$1004,"분석")-E17)</f>
        <v/>
      </c>
      <c r="G17" s="129">
        <f>IF($A17="","",COUNTIFS(업무일지!$B$5:$B$1004,"&gt;="&amp;DATE($B$3,1,1),업무일지!$B$5:$B$1004,"&lt;"&amp;DATE($B$3+1,1,1),업무일지!$AA$5:$AA$1004,"*"&amp;$A17&amp;"*",업무일지!$D$5:$D$1004,"교육"))</f>
        <v/>
      </c>
      <c r="H17" s="118">
        <f>IF($A17="","",C17+D17+E17+F17+G17)</f>
        <v/>
      </c>
      <c r="I17" s="129">
        <f>IF($A17="","",SUMIFS(업무일지!$AF$5:$AF$1004,업무일지!$B$5:$B$1004,"&gt;="&amp;DATE($B$3,1,1),업무일지!$B$5:$B$1004,"&lt;"&amp;DATE($B$3+1,1,1),업무일지!$AA$5:$AA$1004,"*"&amp;$A17&amp;"*",업무일지!$D$5:$D$1004,"출장"))</f>
        <v/>
      </c>
      <c r="J17" s="129">
        <f>IF($A17="","",COUNTIFS(일일실시사항!$B$5:$B$1004,"&gt;="&amp;DATE($B$3,1,1),일일실시사항!$B$5:$B$1004,"&lt;"&amp;DATE($B$3+1,1,1),일일실시사항!$D$5:$D$1004,$A17))</f>
        <v/>
      </c>
      <c r="K17" s="129">
        <f>IF($A17="","",COUNTIFS(업무일지!$B$5:$B$1004,"&gt;="&amp;DATE($B$3,1,1),업무일지!$B$5:$B$1004,"&lt;"&amp;DATE($B$3+1,1,1),업무일지!$AA$5:$AA$1004,"*"&amp;$A17&amp;"*",업무일지!$AG$5:$AG$1004,"진행중"))</f>
        <v/>
      </c>
      <c r="L17" s="118">
        <f>IF($A$17="","",SUM(AA$60:AA$119))</f>
        <v/>
      </c>
    </row>
    <row r="18">
      <c r="A18" s="107">
        <f>IF(코드설정!$C16="","",코드설정!$C16)</f>
        <v/>
      </c>
      <c r="B18" s="136">
        <f>IF($A18="","",코드설정!$D16)</f>
        <v/>
      </c>
      <c r="C18" s="129">
        <f>IF($A18="","",COUNTIFS(업무일지!$B$5:$B$1004,"&gt;="&amp;DATE($B$3,1,1),업무일지!$B$5:$B$1004,"&lt;"&amp;DATE($B$3+1,1,1),업무일지!$J$5:$J$1004,$A18,업무일지!$D$5:$D$1004,"출장"))</f>
        <v/>
      </c>
      <c r="D18" s="129">
        <f>IF($A18="","",COUNTIFS(업무일지!$B$5:$B$1004,"&gt;="&amp;DATE($B$3,1,1),업무일지!$B$5:$B$1004,"&lt;"&amp;DATE($B$3+1,1,1),업무일지!$AA$5:$AA$1004,"*"&amp;$A18&amp;"*",업무일지!$D$5:$D$1004,"출장")-C18)</f>
        <v/>
      </c>
      <c r="E18" s="129">
        <f>IF($A18="","",COUNTIFS(업무일지!$B$5:$B$1004,"&gt;="&amp;DATE($B$3,1,1),업무일지!$B$5:$B$1004,"&lt;"&amp;DATE($B$3+1,1,1),업무일지!$J$5:$J$1004,$A18,업무일지!$D$5:$D$1004,"분석"))</f>
        <v/>
      </c>
      <c r="F18" s="129">
        <f>IF($A18="","",COUNTIFS(업무일지!$B$5:$B$1004,"&gt;="&amp;DATE($B$3,1,1),업무일지!$B$5:$B$1004,"&lt;"&amp;DATE($B$3+1,1,1),업무일지!$AA$5:$AA$1004,"*"&amp;$A18&amp;"*",업무일지!$D$5:$D$1004,"분석")-E18)</f>
        <v/>
      </c>
      <c r="G18" s="129">
        <f>IF($A18="","",COUNTIFS(업무일지!$B$5:$B$1004,"&gt;="&amp;DATE($B$3,1,1),업무일지!$B$5:$B$1004,"&lt;"&amp;DATE($B$3+1,1,1),업무일지!$AA$5:$AA$1004,"*"&amp;$A18&amp;"*",업무일지!$D$5:$D$1004,"교육"))</f>
        <v/>
      </c>
      <c r="H18" s="118">
        <f>IF($A18="","",C18+D18+E18+F18+G18)</f>
        <v/>
      </c>
      <c r="I18" s="129">
        <f>IF($A18="","",SUMIFS(업무일지!$AF$5:$AF$1004,업무일지!$B$5:$B$1004,"&gt;="&amp;DATE($B$3,1,1),업무일지!$B$5:$B$1004,"&lt;"&amp;DATE($B$3+1,1,1),업무일지!$AA$5:$AA$1004,"*"&amp;$A18&amp;"*",업무일지!$D$5:$D$1004,"출장"))</f>
        <v/>
      </c>
      <c r="J18" s="129">
        <f>IF($A18="","",COUNTIFS(일일실시사항!$B$5:$B$1004,"&gt;="&amp;DATE($B$3,1,1),일일실시사항!$B$5:$B$1004,"&lt;"&amp;DATE($B$3+1,1,1),일일실시사항!$D$5:$D$1004,$A18))</f>
        <v/>
      </c>
      <c r="K18" s="129">
        <f>IF($A18="","",COUNTIFS(업무일지!$B$5:$B$1004,"&gt;="&amp;DATE($B$3,1,1),업무일지!$B$5:$B$1004,"&lt;"&amp;DATE($B$3+1,1,1),업무일지!$AA$5:$AA$1004,"*"&amp;$A18&amp;"*",업무일지!$AG$5:$AG$1004,"진행중"))</f>
        <v/>
      </c>
      <c r="L18" s="118">
        <f>IF($A$18="","",SUM(AB$60:AB$119))</f>
        <v/>
      </c>
    </row>
    <row r="19">
      <c r="A19" s="107">
        <f>IF(코드설정!$C17="","",코드설정!$C17)</f>
        <v/>
      </c>
      <c r="B19" s="136">
        <f>IF($A19="","",코드설정!$D17)</f>
        <v/>
      </c>
      <c r="C19" s="129">
        <f>IF($A19="","",COUNTIFS(업무일지!$B$5:$B$1004,"&gt;="&amp;DATE($B$3,1,1),업무일지!$B$5:$B$1004,"&lt;"&amp;DATE($B$3+1,1,1),업무일지!$J$5:$J$1004,$A19,업무일지!$D$5:$D$1004,"출장"))</f>
        <v/>
      </c>
      <c r="D19" s="129">
        <f>IF($A19="","",COUNTIFS(업무일지!$B$5:$B$1004,"&gt;="&amp;DATE($B$3,1,1),업무일지!$B$5:$B$1004,"&lt;"&amp;DATE($B$3+1,1,1),업무일지!$AA$5:$AA$1004,"*"&amp;$A19&amp;"*",업무일지!$D$5:$D$1004,"출장")-C19)</f>
        <v/>
      </c>
      <c r="E19" s="129">
        <f>IF($A19="","",COUNTIFS(업무일지!$B$5:$B$1004,"&gt;="&amp;DATE($B$3,1,1),업무일지!$B$5:$B$1004,"&lt;"&amp;DATE($B$3+1,1,1),업무일지!$J$5:$J$1004,$A19,업무일지!$D$5:$D$1004,"분석"))</f>
        <v/>
      </c>
      <c r="F19" s="129">
        <f>IF($A19="","",COUNTIFS(업무일지!$B$5:$B$1004,"&gt;="&amp;DATE($B$3,1,1),업무일지!$B$5:$B$1004,"&lt;"&amp;DATE($B$3+1,1,1),업무일지!$AA$5:$AA$1004,"*"&amp;$A19&amp;"*",업무일지!$D$5:$D$1004,"분석")-E19)</f>
        <v/>
      </c>
      <c r="G19" s="129">
        <f>IF($A19="","",COUNTIFS(업무일지!$B$5:$B$1004,"&gt;="&amp;DATE($B$3,1,1),업무일지!$B$5:$B$1004,"&lt;"&amp;DATE($B$3+1,1,1),업무일지!$AA$5:$AA$1004,"*"&amp;$A19&amp;"*",업무일지!$D$5:$D$1004,"교육"))</f>
        <v/>
      </c>
      <c r="H19" s="118">
        <f>IF($A19="","",C19+D19+E19+F19+G19)</f>
        <v/>
      </c>
      <c r="I19" s="129">
        <f>IF($A19="","",SUMIFS(업무일지!$AF$5:$AF$1004,업무일지!$B$5:$B$1004,"&gt;="&amp;DATE($B$3,1,1),업무일지!$B$5:$B$1004,"&lt;"&amp;DATE($B$3+1,1,1),업무일지!$AA$5:$AA$1004,"*"&amp;$A19&amp;"*",업무일지!$D$5:$D$1004,"출장"))</f>
        <v/>
      </c>
      <c r="J19" s="129">
        <f>IF($A19="","",COUNTIFS(일일실시사항!$B$5:$B$1004,"&gt;="&amp;DATE($B$3,1,1),일일실시사항!$B$5:$B$1004,"&lt;"&amp;DATE($B$3+1,1,1),일일실시사항!$D$5:$D$1004,$A19))</f>
        <v/>
      </c>
      <c r="K19" s="129">
        <f>IF($A19="","",COUNTIFS(업무일지!$B$5:$B$1004,"&gt;="&amp;DATE($B$3,1,1),업무일지!$B$5:$B$1004,"&lt;"&amp;DATE($B$3+1,1,1),업무일지!$AA$5:$AA$1004,"*"&amp;$A19&amp;"*",업무일지!$AG$5:$AG$1004,"진행중"))</f>
        <v/>
      </c>
      <c r="L19" s="118">
        <f>IF($A$19="","",SUM(AC$60:AC$119))</f>
        <v/>
      </c>
    </row>
    <row r="20">
      <c r="A20" s="107">
        <f>IF(코드설정!$C18="","",코드설정!$C18)</f>
        <v/>
      </c>
      <c r="B20" s="136">
        <f>IF($A20="","",코드설정!$D18)</f>
        <v/>
      </c>
      <c r="C20" s="129">
        <f>IF($A20="","",COUNTIFS(업무일지!$B$5:$B$1004,"&gt;="&amp;DATE($B$3,1,1),업무일지!$B$5:$B$1004,"&lt;"&amp;DATE($B$3+1,1,1),업무일지!$J$5:$J$1004,$A20,업무일지!$D$5:$D$1004,"출장"))</f>
        <v/>
      </c>
      <c r="D20" s="129">
        <f>IF($A20="","",COUNTIFS(업무일지!$B$5:$B$1004,"&gt;="&amp;DATE($B$3,1,1),업무일지!$B$5:$B$1004,"&lt;"&amp;DATE($B$3+1,1,1),업무일지!$AA$5:$AA$1004,"*"&amp;$A20&amp;"*",업무일지!$D$5:$D$1004,"출장")-C20)</f>
        <v/>
      </c>
      <c r="E20" s="129">
        <f>IF($A20="","",COUNTIFS(업무일지!$B$5:$B$1004,"&gt;="&amp;DATE($B$3,1,1),업무일지!$B$5:$B$1004,"&lt;"&amp;DATE($B$3+1,1,1),업무일지!$J$5:$J$1004,$A20,업무일지!$D$5:$D$1004,"분석"))</f>
        <v/>
      </c>
      <c r="F20" s="129">
        <f>IF($A20="","",COUNTIFS(업무일지!$B$5:$B$1004,"&gt;="&amp;DATE($B$3,1,1),업무일지!$B$5:$B$1004,"&lt;"&amp;DATE($B$3+1,1,1),업무일지!$AA$5:$AA$1004,"*"&amp;$A20&amp;"*",업무일지!$D$5:$D$1004,"분석")-E20)</f>
        <v/>
      </c>
      <c r="G20" s="129">
        <f>IF($A20="","",COUNTIFS(업무일지!$B$5:$B$1004,"&gt;="&amp;DATE($B$3,1,1),업무일지!$B$5:$B$1004,"&lt;"&amp;DATE($B$3+1,1,1),업무일지!$AA$5:$AA$1004,"*"&amp;$A20&amp;"*",업무일지!$D$5:$D$1004,"교육"))</f>
        <v/>
      </c>
      <c r="H20" s="118">
        <f>IF($A20="","",C20+D20+E20+F20+G20)</f>
        <v/>
      </c>
      <c r="I20" s="129">
        <f>IF($A20="","",SUMIFS(업무일지!$AF$5:$AF$1004,업무일지!$B$5:$B$1004,"&gt;="&amp;DATE($B$3,1,1),업무일지!$B$5:$B$1004,"&lt;"&amp;DATE($B$3+1,1,1),업무일지!$AA$5:$AA$1004,"*"&amp;$A20&amp;"*",업무일지!$D$5:$D$1004,"출장"))</f>
        <v/>
      </c>
      <c r="J20" s="129">
        <f>IF($A20="","",COUNTIFS(일일실시사항!$B$5:$B$1004,"&gt;="&amp;DATE($B$3,1,1),일일실시사항!$B$5:$B$1004,"&lt;"&amp;DATE($B$3+1,1,1),일일실시사항!$D$5:$D$1004,$A20))</f>
        <v/>
      </c>
      <c r="K20" s="129">
        <f>IF($A20="","",COUNTIFS(업무일지!$B$5:$B$1004,"&gt;="&amp;DATE($B$3,1,1),업무일지!$B$5:$B$1004,"&lt;"&amp;DATE($B$3+1,1,1),업무일지!$AA$5:$AA$1004,"*"&amp;$A20&amp;"*",업무일지!$AG$5:$AG$1004,"진행중"))</f>
        <v/>
      </c>
      <c r="L20" s="118">
        <f>IF($A$20="","",SUM(AD$60:AD$119))</f>
        <v/>
      </c>
    </row>
    <row r="21">
      <c r="A21" s="107">
        <f>IF(코드설정!$C19="","",코드설정!$C19)</f>
        <v/>
      </c>
      <c r="B21" s="136">
        <f>IF($A21="","",코드설정!$D19)</f>
        <v/>
      </c>
      <c r="C21" s="129">
        <f>IF($A21="","",COUNTIFS(업무일지!$B$5:$B$1004,"&gt;="&amp;DATE($B$3,1,1),업무일지!$B$5:$B$1004,"&lt;"&amp;DATE($B$3+1,1,1),업무일지!$J$5:$J$1004,$A21,업무일지!$D$5:$D$1004,"출장"))</f>
        <v/>
      </c>
      <c r="D21" s="129">
        <f>IF($A21="","",COUNTIFS(업무일지!$B$5:$B$1004,"&gt;="&amp;DATE($B$3,1,1),업무일지!$B$5:$B$1004,"&lt;"&amp;DATE($B$3+1,1,1),업무일지!$AA$5:$AA$1004,"*"&amp;$A21&amp;"*",업무일지!$D$5:$D$1004,"출장")-C21)</f>
        <v/>
      </c>
      <c r="E21" s="129">
        <f>IF($A21="","",COUNTIFS(업무일지!$B$5:$B$1004,"&gt;="&amp;DATE($B$3,1,1),업무일지!$B$5:$B$1004,"&lt;"&amp;DATE($B$3+1,1,1),업무일지!$J$5:$J$1004,$A21,업무일지!$D$5:$D$1004,"분석"))</f>
        <v/>
      </c>
      <c r="F21" s="129">
        <f>IF($A21="","",COUNTIFS(업무일지!$B$5:$B$1004,"&gt;="&amp;DATE($B$3,1,1),업무일지!$B$5:$B$1004,"&lt;"&amp;DATE($B$3+1,1,1),업무일지!$AA$5:$AA$1004,"*"&amp;$A21&amp;"*",업무일지!$D$5:$D$1004,"분석")-E21)</f>
        <v/>
      </c>
      <c r="G21" s="129">
        <f>IF($A21="","",COUNTIFS(업무일지!$B$5:$B$1004,"&gt;="&amp;DATE($B$3,1,1),업무일지!$B$5:$B$1004,"&lt;"&amp;DATE($B$3+1,1,1),업무일지!$AA$5:$AA$1004,"*"&amp;$A21&amp;"*",업무일지!$D$5:$D$1004,"교육"))</f>
        <v/>
      </c>
      <c r="H21" s="118">
        <f>IF($A21="","",C21+D21+E21+F21+G21)</f>
        <v/>
      </c>
      <c r="I21" s="129">
        <f>IF($A21="","",SUMIFS(업무일지!$AF$5:$AF$1004,업무일지!$B$5:$B$1004,"&gt;="&amp;DATE($B$3,1,1),업무일지!$B$5:$B$1004,"&lt;"&amp;DATE($B$3+1,1,1),업무일지!$AA$5:$AA$1004,"*"&amp;$A21&amp;"*",업무일지!$D$5:$D$1004,"출장"))</f>
        <v/>
      </c>
      <c r="J21" s="129">
        <f>IF($A21="","",COUNTIFS(일일실시사항!$B$5:$B$1004,"&gt;="&amp;DATE($B$3,1,1),일일실시사항!$B$5:$B$1004,"&lt;"&amp;DATE($B$3+1,1,1),일일실시사항!$D$5:$D$1004,$A21))</f>
        <v/>
      </c>
      <c r="K21" s="129">
        <f>IF($A21="","",COUNTIFS(업무일지!$B$5:$B$1004,"&gt;="&amp;DATE($B$3,1,1),업무일지!$B$5:$B$1004,"&lt;"&amp;DATE($B$3+1,1,1),업무일지!$AA$5:$AA$1004,"*"&amp;$A21&amp;"*",업무일지!$AG$5:$AG$1004,"진행중"))</f>
        <v/>
      </c>
      <c r="L21" s="118">
        <f>IF($A$21="","",SUM(AE$60:AE$119))</f>
        <v/>
      </c>
    </row>
    <row r="22">
      <c r="A22" s="107">
        <f>IF(코드설정!$C20="","",코드설정!$C20)</f>
        <v/>
      </c>
      <c r="B22" s="136">
        <f>IF($A22="","",코드설정!$D20)</f>
        <v/>
      </c>
      <c r="C22" s="129">
        <f>IF($A22="","",COUNTIFS(업무일지!$B$5:$B$1004,"&gt;="&amp;DATE($B$3,1,1),업무일지!$B$5:$B$1004,"&lt;"&amp;DATE($B$3+1,1,1),업무일지!$J$5:$J$1004,$A22,업무일지!$D$5:$D$1004,"출장"))</f>
        <v/>
      </c>
      <c r="D22" s="129">
        <f>IF($A22="","",COUNTIFS(업무일지!$B$5:$B$1004,"&gt;="&amp;DATE($B$3,1,1),업무일지!$B$5:$B$1004,"&lt;"&amp;DATE($B$3+1,1,1),업무일지!$AA$5:$AA$1004,"*"&amp;$A22&amp;"*",업무일지!$D$5:$D$1004,"출장")-C22)</f>
        <v/>
      </c>
      <c r="E22" s="129">
        <f>IF($A22="","",COUNTIFS(업무일지!$B$5:$B$1004,"&gt;="&amp;DATE($B$3,1,1),업무일지!$B$5:$B$1004,"&lt;"&amp;DATE($B$3+1,1,1),업무일지!$J$5:$J$1004,$A22,업무일지!$D$5:$D$1004,"분석"))</f>
        <v/>
      </c>
      <c r="F22" s="129">
        <f>IF($A22="","",COUNTIFS(업무일지!$B$5:$B$1004,"&gt;="&amp;DATE($B$3,1,1),업무일지!$B$5:$B$1004,"&lt;"&amp;DATE($B$3+1,1,1),업무일지!$AA$5:$AA$1004,"*"&amp;$A22&amp;"*",업무일지!$D$5:$D$1004,"분석")-E22)</f>
        <v/>
      </c>
      <c r="G22" s="129">
        <f>IF($A22="","",COUNTIFS(업무일지!$B$5:$B$1004,"&gt;="&amp;DATE($B$3,1,1),업무일지!$B$5:$B$1004,"&lt;"&amp;DATE($B$3+1,1,1),업무일지!$AA$5:$AA$1004,"*"&amp;$A22&amp;"*",업무일지!$D$5:$D$1004,"교육"))</f>
        <v/>
      </c>
      <c r="H22" s="118">
        <f>IF($A22="","",C22+D22+E22+F22+G22)</f>
        <v/>
      </c>
      <c r="I22" s="129">
        <f>IF($A22="","",SUMIFS(업무일지!$AF$5:$AF$1004,업무일지!$B$5:$B$1004,"&gt;="&amp;DATE($B$3,1,1),업무일지!$B$5:$B$1004,"&lt;"&amp;DATE($B$3+1,1,1),업무일지!$AA$5:$AA$1004,"*"&amp;$A22&amp;"*",업무일지!$D$5:$D$1004,"출장"))</f>
        <v/>
      </c>
      <c r="J22" s="129">
        <f>IF($A22="","",COUNTIFS(일일실시사항!$B$5:$B$1004,"&gt;="&amp;DATE($B$3,1,1),일일실시사항!$B$5:$B$1004,"&lt;"&amp;DATE($B$3+1,1,1),일일실시사항!$D$5:$D$1004,$A22))</f>
        <v/>
      </c>
      <c r="K22" s="129">
        <f>IF($A22="","",COUNTIFS(업무일지!$B$5:$B$1004,"&gt;="&amp;DATE($B$3,1,1),업무일지!$B$5:$B$1004,"&lt;"&amp;DATE($B$3+1,1,1),업무일지!$AA$5:$AA$1004,"*"&amp;$A22&amp;"*",업무일지!$AG$5:$AG$1004,"진행중"))</f>
        <v/>
      </c>
      <c r="L22" s="118">
        <f>IF($A$22="","",SUM(AF$60:AF$119))</f>
        <v/>
      </c>
    </row>
    <row r="23">
      <c r="A23" s="107">
        <f>IF(코드설정!$C21="","",코드설정!$C21)</f>
        <v/>
      </c>
      <c r="B23" s="136">
        <f>IF($A23="","",코드설정!$D21)</f>
        <v/>
      </c>
      <c r="C23" s="129">
        <f>IF($A23="","",COUNTIFS(업무일지!$B$5:$B$1004,"&gt;="&amp;DATE($B$3,1,1),업무일지!$B$5:$B$1004,"&lt;"&amp;DATE($B$3+1,1,1),업무일지!$J$5:$J$1004,$A23,업무일지!$D$5:$D$1004,"출장"))</f>
        <v/>
      </c>
      <c r="D23" s="129">
        <f>IF($A23="","",COUNTIFS(업무일지!$B$5:$B$1004,"&gt;="&amp;DATE($B$3,1,1),업무일지!$B$5:$B$1004,"&lt;"&amp;DATE($B$3+1,1,1),업무일지!$AA$5:$AA$1004,"*"&amp;$A23&amp;"*",업무일지!$D$5:$D$1004,"출장")-C23)</f>
        <v/>
      </c>
      <c r="E23" s="129">
        <f>IF($A23="","",COUNTIFS(업무일지!$B$5:$B$1004,"&gt;="&amp;DATE($B$3,1,1),업무일지!$B$5:$B$1004,"&lt;"&amp;DATE($B$3+1,1,1),업무일지!$J$5:$J$1004,$A23,업무일지!$D$5:$D$1004,"분석"))</f>
        <v/>
      </c>
      <c r="F23" s="129">
        <f>IF($A23="","",COUNTIFS(업무일지!$B$5:$B$1004,"&gt;="&amp;DATE($B$3,1,1),업무일지!$B$5:$B$1004,"&lt;"&amp;DATE($B$3+1,1,1),업무일지!$AA$5:$AA$1004,"*"&amp;$A23&amp;"*",업무일지!$D$5:$D$1004,"분석")-E23)</f>
        <v/>
      </c>
      <c r="G23" s="129">
        <f>IF($A23="","",COUNTIFS(업무일지!$B$5:$B$1004,"&gt;="&amp;DATE($B$3,1,1),업무일지!$B$5:$B$1004,"&lt;"&amp;DATE($B$3+1,1,1),업무일지!$AA$5:$AA$1004,"*"&amp;$A23&amp;"*",업무일지!$D$5:$D$1004,"교육"))</f>
        <v/>
      </c>
      <c r="H23" s="118">
        <f>IF($A23="","",C23+D23+E23+F23+G23)</f>
        <v/>
      </c>
      <c r="I23" s="129">
        <f>IF($A23="","",SUMIFS(업무일지!$AF$5:$AF$1004,업무일지!$B$5:$B$1004,"&gt;="&amp;DATE($B$3,1,1),업무일지!$B$5:$B$1004,"&lt;"&amp;DATE($B$3+1,1,1),업무일지!$AA$5:$AA$1004,"*"&amp;$A23&amp;"*",업무일지!$D$5:$D$1004,"출장"))</f>
        <v/>
      </c>
      <c r="J23" s="129">
        <f>IF($A23="","",COUNTIFS(일일실시사항!$B$5:$B$1004,"&gt;="&amp;DATE($B$3,1,1),일일실시사항!$B$5:$B$1004,"&lt;"&amp;DATE($B$3+1,1,1),일일실시사항!$D$5:$D$1004,$A23))</f>
        <v/>
      </c>
      <c r="K23" s="129">
        <f>IF($A23="","",COUNTIFS(업무일지!$B$5:$B$1004,"&gt;="&amp;DATE($B$3,1,1),업무일지!$B$5:$B$1004,"&lt;"&amp;DATE($B$3+1,1,1),업무일지!$AA$5:$AA$1004,"*"&amp;$A23&amp;"*",업무일지!$AG$5:$AG$1004,"진행중"))</f>
        <v/>
      </c>
      <c r="L23" s="118">
        <f>IF($A$23="","",SUM(AG$60:AG$119))</f>
        <v/>
      </c>
    </row>
    <row r="24">
      <c r="A24" s="107">
        <f>IF(코드설정!$C22="","",코드설정!$C22)</f>
        <v/>
      </c>
      <c r="B24" s="136">
        <f>IF($A24="","",코드설정!$D22)</f>
        <v/>
      </c>
      <c r="C24" s="129">
        <f>IF($A24="","",COUNTIFS(업무일지!$B$5:$B$1004,"&gt;="&amp;DATE($B$3,1,1),업무일지!$B$5:$B$1004,"&lt;"&amp;DATE($B$3+1,1,1),업무일지!$J$5:$J$1004,$A24,업무일지!$D$5:$D$1004,"출장"))</f>
        <v/>
      </c>
      <c r="D24" s="129">
        <f>IF($A24="","",COUNTIFS(업무일지!$B$5:$B$1004,"&gt;="&amp;DATE($B$3,1,1),업무일지!$B$5:$B$1004,"&lt;"&amp;DATE($B$3+1,1,1),업무일지!$AA$5:$AA$1004,"*"&amp;$A24&amp;"*",업무일지!$D$5:$D$1004,"출장")-C24)</f>
        <v/>
      </c>
      <c r="E24" s="129">
        <f>IF($A24="","",COUNTIFS(업무일지!$B$5:$B$1004,"&gt;="&amp;DATE($B$3,1,1),업무일지!$B$5:$B$1004,"&lt;"&amp;DATE($B$3+1,1,1),업무일지!$J$5:$J$1004,$A24,업무일지!$D$5:$D$1004,"분석"))</f>
        <v/>
      </c>
      <c r="F24" s="129">
        <f>IF($A24="","",COUNTIFS(업무일지!$B$5:$B$1004,"&gt;="&amp;DATE($B$3,1,1),업무일지!$B$5:$B$1004,"&lt;"&amp;DATE($B$3+1,1,1),업무일지!$AA$5:$AA$1004,"*"&amp;$A24&amp;"*",업무일지!$D$5:$D$1004,"분석")-E24)</f>
        <v/>
      </c>
      <c r="G24" s="129">
        <f>IF($A24="","",COUNTIFS(업무일지!$B$5:$B$1004,"&gt;="&amp;DATE($B$3,1,1),업무일지!$B$5:$B$1004,"&lt;"&amp;DATE($B$3+1,1,1),업무일지!$AA$5:$AA$1004,"*"&amp;$A24&amp;"*",업무일지!$D$5:$D$1004,"교육"))</f>
        <v/>
      </c>
      <c r="H24" s="118">
        <f>IF($A24="","",C24+D24+E24+F24+G24)</f>
        <v/>
      </c>
      <c r="I24" s="129">
        <f>IF($A24="","",SUMIFS(업무일지!$AF$5:$AF$1004,업무일지!$B$5:$B$1004,"&gt;="&amp;DATE($B$3,1,1),업무일지!$B$5:$B$1004,"&lt;"&amp;DATE($B$3+1,1,1),업무일지!$AA$5:$AA$1004,"*"&amp;$A24&amp;"*",업무일지!$D$5:$D$1004,"출장"))</f>
        <v/>
      </c>
      <c r="J24" s="129">
        <f>IF($A24="","",COUNTIFS(일일실시사항!$B$5:$B$1004,"&gt;="&amp;DATE($B$3,1,1),일일실시사항!$B$5:$B$1004,"&lt;"&amp;DATE($B$3+1,1,1),일일실시사항!$D$5:$D$1004,$A24))</f>
        <v/>
      </c>
      <c r="K24" s="129">
        <f>IF($A24="","",COUNTIFS(업무일지!$B$5:$B$1004,"&gt;="&amp;DATE($B$3,1,1),업무일지!$B$5:$B$1004,"&lt;"&amp;DATE($B$3+1,1,1),업무일지!$AA$5:$AA$1004,"*"&amp;$A24&amp;"*",업무일지!$AG$5:$AG$1004,"진행중"))</f>
        <v/>
      </c>
      <c r="L24" s="118">
        <f>IF($A$24="","",SUM(AH$60:AH$119))</f>
        <v/>
      </c>
    </row>
    <row r="25">
      <c r="A25" s="107">
        <f>IF(코드설정!$C23="","",코드설정!$C23)</f>
        <v/>
      </c>
      <c r="B25" s="136">
        <f>IF($A25="","",코드설정!$D23)</f>
        <v/>
      </c>
      <c r="C25" s="129">
        <f>IF($A25="","",COUNTIFS(업무일지!$B$5:$B$1004,"&gt;="&amp;DATE($B$3,1,1),업무일지!$B$5:$B$1004,"&lt;"&amp;DATE($B$3+1,1,1),업무일지!$J$5:$J$1004,$A25,업무일지!$D$5:$D$1004,"출장"))</f>
        <v/>
      </c>
      <c r="D25" s="129">
        <f>IF($A25="","",COUNTIFS(업무일지!$B$5:$B$1004,"&gt;="&amp;DATE($B$3,1,1),업무일지!$B$5:$B$1004,"&lt;"&amp;DATE($B$3+1,1,1),업무일지!$AA$5:$AA$1004,"*"&amp;$A25&amp;"*",업무일지!$D$5:$D$1004,"출장")-C25)</f>
        <v/>
      </c>
      <c r="E25" s="129">
        <f>IF($A25="","",COUNTIFS(업무일지!$B$5:$B$1004,"&gt;="&amp;DATE($B$3,1,1),업무일지!$B$5:$B$1004,"&lt;"&amp;DATE($B$3+1,1,1),업무일지!$J$5:$J$1004,$A25,업무일지!$D$5:$D$1004,"분석"))</f>
        <v/>
      </c>
      <c r="F25" s="129">
        <f>IF($A25="","",COUNTIFS(업무일지!$B$5:$B$1004,"&gt;="&amp;DATE($B$3,1,1),업무일지!$B$5:$B$1004,"&lt;"&amp;DATE($B$3+1,1,1),업무일지!$AA$5:$AA$1004,"*"&amp;$A25&amp;"*",업무일지!$D$5:$D$1004,"분석")-E25)</f>
        <v/>
      </c>
      <c r="G25" s="129">
        <f>IF($A25="","",COUNTIFS(업무일지!$B$5:$B$1004,"&gt;="&amp;DATE($B$3,1,1),업무일지!$B$5:$B$1004,"&lt;"&amp;DATE($B$3+1,1,1),업무일지!$AA$5:$AA$1004,"*"&amp;$A25&amp;"*",업무일지!$D$5:$D$1004,"교육"))</f>
        <v/>
      </c>
      <c r="H25" s="118">
        <f>IF($A25="","",C25+D25+E25+F25+G25)</f>
        <v/>
      </c>
      <c r="I25" s="129">
        <f>IF($A25="","",SUMIFS(업무일지!$AF$5:$AF$1004,업무일지!$B$5:$B$1004,"&gt;="&amp;DATE($B$3,1,1),업무일지!$B$5:$B$1004,"&lt;"&amp;DATE($B$3+1,1,1),업무일지!$AA$5:$AA$1004,"*"&amp;$A25&amp;"*",업무일지!$D$5:$D$1004,"출장"))</f>
        <v/>
      </c>
      <c r="J25" s="129">
        <f>IF($A25="","",COUNTIFS(일일실시사항!$B$5:$B$1004,"&gt;="&amp;DATE($B$3,1,1),일일실시사항!$B$5:$B$1004,"&lt;"&amp;DATE($B$3+1,1,1),일일실시사항!$D$5:$D$1004,$A25))</f>
        <v/>
      </c>
      <c r="K25" s="129">
        <f>IF($A25="","",COUNTIFS(업무일지!$B$5:$B$1004,"&gt;="&amp;DATE($B$3,1,1),업무일지!$B$5:$B$1004,"&lt;"&amp;DATE($B$3+1,1,1),업무일지!$AA$5:$AA$1004,"*"&amp;$A25&amp;"*",업무일지!$AG$5:$AG$1004,"진행중"))</f>
        <v/>
      </c>
      <c r="L25" s="118">
        <f>IF($A$25="","",SUM(AI$60:AI$119))</f>
        <v/>
      </c>
    </row>
    <row r="26">
      <c r="A26" s="107">
        <f>IF(코드설정!$C24="","",코드설정!$C24)</f>
        <v/>
      </c>
      <c r="B26" s="136">
        <f>IF($A26="","",코드설정!$D24)</f>
        <v/>
      </c>
      <c r="C26" s="129">
        <f>IF($A26="","",COUNTIFS(업무일지!$B$5:$B$1004,"&gt;="&amp;DATE($B$3,1,1),업무일지!$B$5:$B$1004,"&lt;"&amp;DATE($B$3+1,1,1),업무일지!$J$5:$J$1004,$A26,업무일지!$D$5:$D$1004,"출장"))</f>
        <v/>
      </c>
      <c r="D26" s="129">
        <f>IF($A26="","",COUNTIFS(업무일지!$B$5:$B$1004,"&gt;="&amp;DATE($B$3,1,1),업무일지!$B$5:$B$1004,"&lt;"&amp;DATE($B$3+1,1,1),업무일지!$AA$5:$AA$1004,"*"&amp;$A26&amp;"*",업무일지!$D$5:$D$1004,"출장")-C26)</f>
        <v/>
      </c>
      <c r="E26" s="129">
        <f>IF($A26="","",COUNTIFS(업무일지!$B$5:$B$1004,"&gt;="&amp;DATE($B$3,1,1),업무일지!$B$5:$B$1004,"&lt;"&amp;DATE($B$3+1,1,1),업무일지!$J$5:$J$1004,$A26,업무일지!$D$5:$D$1004,"분석"))</f>
        <v/>
      </c>
      <c r="F26" s="129">
        <f>IF($A26="","",COUNTIFS(업무일지!$B$5:$B$1004,"&gt;="&amp;DATE($B$3,1,1),업무일지!$B$5:$B$1004,"&lt;"&amp;DATE($B$3+1,1,1),업무일지!$AA$5:$AA$1004,"*"&amp;$A26&amp;"*",업무일지!$D$5:$D$1004,"분석")-E26)</f>
        <v/>
      </c>
      <c r="G26" s="129">
        <f>IF($A26="","",COUNTIFS(업무일지!$B$5:$B$1004,"&gt;="&amp;DATE($B$3,1,1),업무일지!$B$5:$B$1004,"&lt;"&amp;DATE($B$3+1,1,1),업무일지!$AA$5:$AA$1004,"*"&amp;$A26&amp;"*",업무일지!$D$5:$D$1004,"교육"))</f>
        <v/>
      </c>
      <c r="H26" s="118">
        <f>IF($A26="","",C26+D26+E26+F26+G26)</f>
        <v/>
      </c>
      <c r="I26" s="129">
        <f>IF($A26="","",SUMIFS(업무일지!$AF$5:$AF$1004,업무일지!$B$5:$B$1004,"&gt;="&amp;DATE($B$3,1,1),업무일지!$B$5:$B$1004,"&lt;"&amp;DATE($B$3+1,1,1),업무일지!$AA$5:$AA$1004,"*"&amp;$A26&amp;"*",업무일지!$D$5:$D$1004,"출장"))</f>
        <v/>
      </c>
      <c r="J26" s="129">
        <f>IF($A26="","",COUNTIFS(일일실시사항!$B$5:$B$1004,"&gt;="&amp;DATE($B$3,1,1),일일실시사항!$B$5:$B$1004,"&lt;"&amp;DATE($B$3+1,1,1),일일실시사항!$D$5:$D$1004,$A26))</f>
        <v/>
      </c>
      <c r="K26" s="129">
        <f>IF($A26="","",COUNTIFS(업무일지!$B$5:$B$1004,"&gt;="&amp;DATE($B$3,1,1),업무일지!$B$5:$B$1004,"&lt;"&amp;DATE($B$3+1,1,1),업무일지!$AA$5:$AA$1004,"*"&amp;$A26&amp;"*",업무일지!$AG$5:$AG$1004,"진행중"))</f>
        <v/>
      </c>
      <c r="L26" s="118">
        <f>IF($A$26="","",SUM(AJ$60:AJ$119))</f>
        <v/>
      </c>
    </row>
    <row r="27">
      <c r="A27" s="112" t="inlineStr">
        <is>
          <t>합계</t>
        </is>
      </c>
      <c r="B27" s="112" t="inlineStr"/>
      <c r="C27" s="113">
        <f>SUM(C7:C26)</f>
        <v/>
      </c>
      <c r="D27" s="113">
        <f>SUM(D7:D26)</f>
        <v/>
      </c>
      <c r="E27" s="113">
        <f>SUM(E7:E26)</f>
        <v/>
      </c>
      <c r="F27" s="113">
        <f>SUM(F7:F26)</f>
        <v/>
      </c>
      <c r="G27" s="113">
        <f>SUM(G7:G26)</f>
        <v/>
      </c>
      <c r="H27" s="113">
        <f>SUM(H7:H26)</f>
        <v/>
      </c>
      <c r="I27" s="113">
        <f>SUM(I7:I26)</f>
        <v/>
      </c>
      <c r="J27" s="113">
        <f>SUM(J7:J26)</f>
        <v/>
      </c>
      <c r="K27" s="113">
        <f>SUM(K7:K26)</f>
        <v/>
      </c>
      <c r="L27" s="134">
        <f>'부서 전체현황'!$H$19</f>
        <v/>
      </c>
    </row>
    <row r="29" ht="20" customHeight="1">
      <c r="A29" s="21" t="inlineStr">
        <is>
          <t>2.  담당자 × 월별 참여회차 (주담당 + 참여)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</row>
    <row r="30">
      <c r="A30" s="120" t="inlineStr">
        <is>
          <t>직무구분 필터 →</t>
        </is>
      </c>
      <c r="B30" s="86" t="inlineStr">
        <is>
          <t>전체</t>
        </is>
      </c>
    </row>
    <row r="31" ht="32" customHeight="1">
      <c r="A31" s="23" t="inlineStr">
        <is>
          <t>담당자</t>
        </is>
      </c>
      <c r="B31" s="23" t="inlineStr">
        <is>
          <t>1월</t>
        </is>
      </c>
      <c r="C31" s="23" t="inlineStr">
        <is>
          <t>2월</t>
        </is>
      </c>
      <c r="D31" s="23" t="inlineStr">
        <is>
          <t>3월</t>
        </is>
      </c>
      <c r="E31" s="23" t="inlineStr">
        <is>
          <t>4월</t>
        </is>
      </c>
      <c r="F31" s="23" t="inlineStr">
        <is>
          <t>5월</t>
        </is>
      </c>
      <c r="G31" s="23" t="inlineStr">
        <is>
          <t>6월</t>
        </is>
      </c>
      <c r="H31" s="23" t="inlineStr">
        <is>
          <t>7월</t>
        </is>
      </c>
      <c r="I31" s="23" t="inlineStr">
        <is>
          <t>8월</t>
        </is>
      </c>
      <c r="J31" s="23" t="inlineStr">
        <is>
          <t>9월</t>
        </is>
      </c>
      <c r="K31" s="23" t="inlineStr">
        <is>
          <t>10월</t>
        </is>
      </c>
      <c r="L31" s="23" t="inlineStr">
        <is>
          <t>11월</t>
        </is>
      </c>
      <c r="M31" s="23" t="inlineStr">
        <is>
          <t>12월</t>
        </is>
      </c>
      <c r="N31" s="23" t="inlineStr">
        <is>
          <t>합계</t>
        </is>
      </c>
    </row>
    <row r="32">
      <c r="A32" s="107">
        <f>IF($A7="","",$A7)</f>
        <v/>
      </c>
      <c r="B32" s="129">
        <f>IF($A32="","",IF($B$30="전체",COUNTIFS(업무일지!$B$5:$B$1004,"&gt;="&amp;DATE($B$3,1,1),업무일지!$B$5:$B$1004,"&lt;"&amp;DATE($B$3,1+1,1),업무일지!$AA$5:$AA$1004,"*"&amp;$A32&amp;"*"),COUNTIFS(업무일지!$B$5:$B$1004,"&gt;="&amp;DATE($B$3,1,1),업무일지!$B$5:$B$1004,"&lt;"&amp;DATE($B$3,1+1,1),업무일지!$AA$5:$AA$1004,"*"&amp;$A32&amp;"*",업무일지!$D$5:$D$1004,$B$30)))</f>
        <v/>
      </c>
      <c r="C32" s="129">
        <f>IF($A32="","",IF($B$30="전체",COUNTIFS(업무일지!$B$5:$B$1004,"&gt;="&amp;DATE($B$3,2,1),업무일지!$B$5:$B$1004,"&lt;"&amp;DATE($B$3,2+1,1),업무일지!$AA$5:$AA$1004,"*"&amp;$A32&amp;"*"),COUNTIFS(업무일지!$B$5:$B$1004,"&gt;="&amp;DATE($B$3,2,1),업무일지!$B$5:$B$1004,"&lt;"&amp;DATE($B$3,2+1,1),업무일지!$AA$5:$AA$1004,"*"&amp;$A32&amp;"*",업무일지!$D$5:$D$1004,$B$30)))</f>
        <v/>
      </c>
      <c r="D32" s="129">
        <f>IF($A32="","",IF($B$30="전체",COUNTIFS(업무일지!$B$5:$B$1004,"&gt;="&amp;DATE($B$3,3,1),업무일지!$B$5:$B$1004,"&lt;"&amp;DATE($B$3,3+1,1),업무일지!$AA$5:$AA$1004,"*"&amp;$A32&amp;"*"),COUNTIFS(업무일지!$B$5:$B$1004,"&gt;="&amp;DATE($B$3,3,1),업무일지!$B$5:$B$1004,"&lt;"&amp;DATE($B$3,3+1,1),업무일지!$AA$5:$AA$1004,"*"&amp;$A32&amp;"*",업무일지!$D$5:$D$1004,$B$30)))</f>
        <v/>
      </c>
      <c r="E32" s="129">
        <f>IF($A32="","",IF($B$30="전체",COUNTIFS(업무일지!$B$5:$B$1004,"&gt;="&amp;DATE($B$3,4,1),업무일지!$B$5:$B$1004,"&lt;"&amp;DATE($B$3,4+1,1),업무일지!$AA$5:$AA$1004,"*"&amp;$A32&amp;"*"),COUNTIFS(업무일지!$B$5:$B$1004,"&gt;="&amp;DATE($B$3,4,1),업무일지!$B$5:$B$1004,"&lt;"&amp;DATE($B$3,4+1,1),업무일지!$AA$5:$AA$1004,"*"&amp;$A32&amp;"*",업무일지!$D$5:$D$1004,$B$30)))</f>
        <v/>
      </c>
      <c r="F32" s="129">
        <f>IF($A32="","",IF($B$30="전체",COUNTIFS(업무일지!$B$5:$B$1004,"&gt;="&amp;DATE($B$3,5,1),업무일지!$B$5:$B$1004,"&lt;"&amp;DATE($B$3,5+1,1),업무일지!$AA$5:$AA$1004,"*"&amp;$A32&amp;"*"),COUNTIFS(업무일지!$B$5:$B$1004,"&gt;="&amp;DATE($B$3,5,1),업무일지!$B$5:$B$1004,"&lt;"&amp;DATE($B$3,5+1,1),업무일지!$AA$5:$AA$1004,"*"&amp;$A32&amp;"*",업무일지!$D$5:$D$1004,$B$30)))</f>
        <v/>
      </c>
      <c r="G32" s="129">
        <f>IF($A32="","",IF($B$30="전체",COUNTIFS(업무일지!$B$5:$B$1004,"&gt;="&amp;DATE($B$3,6,1),업무일지!$B$5:$B$1004,"&lt;"&amp;DATE($B$3,6+1,1),업무일지!$AA$5:$AA$1004,"*"&amp;$A32&amp;"*"),COUNTIFS(업무일지!$B$5:$B$1004,"&gt;="&amp;DATE($B$3,6,1),업무일지!$B$5:$B$1004,"&lt;"&amp;DATE($B$3,6+1,1),업무일지!$AA$5:$AA$1004,"*"&amp;$A32&amp;"*",업무일지!$D$5:$D$1004,$B$30)))</f>
        <v/>
      </c>
      <c r="H32" s="129">
        <f>IF($A32="","",IF($B$30="전체",COUNTIFS(업무일지!$B$5:$B$1004,"&gt;="&amp;DATE($B$3,7,1),업무일지!$B$5:$B$1004,"&lt;"&amp;DATE($B$3,7+1,1),업무일지!$AA$5:$AA$1004,"*"&amp;$A32&amp;"*"),COUNTIFS(업무일지!$B$5:$B$1004,"&gt;="&amp;DATE($B$3,7,1),업무일지!$B$5:$B$1004,"&lt;"&amp;DATE($B$3,7+1,1),업무일지!$AA$5:$AA$1004,"*"&amp;$A32&amp;"*",업무일지!$D$5:$D$1004,$B$30)))</f>
        <v/>
      </c>
      <c r="I32" s="129">
        <f>IF($A32="","",IF($B$30="전체",COUNTIFS(업무일지!$B$5:$B$1004,"&gt;="&amp;DATE($B$3,8,1),업무일지!$B$5:$B$1004,"&lt;"&amp;DATE($B$3,8+1,1),업무일지!$AA$5:$AA$1004,"*"&amp;$A32&amp;"*"),COUNTIFS(업무일지!$B$5:$B$1004,"&gt;="&amp;DATE($B$3,8,1),업무일지!$B$5:$B$1004,"&lt;"&amp;DATE($B$3,8+1,1),업무일지!$AA$5:$AA$1004,"*"&amp;$A32&amp;"*",업무일지!$D$5:$D$1004,$B$30)))</f>
        <v/>
      </c>
      <c r="J32" s="129">
        <f>IF($A32="","",IF($B$30="전체",COUNTIFS(업무일지!$B$5:$B$1004,"&gt;="&amp;DATE($B$3,9,1),업무일지!$B$5:$B$1004,"&lt;"&amp;DATE($B$3,9+1,1),업무일지!$AA$5:$AA$1004,"*"&amp;$A32&amp;"*"),COUNTIFS(업무일지!$B$5:$B$1004,"&gt;="&amp;DATE($B$3,9,1),업무일지!$B$5:$B$1004,"&lt;"&amp;DATE($B$3,9+1,1),업무일지!$AA$5:$AA$1004,"*"&amp;$A32&amp;"*",업무일지!$D$5:$D$1004,$B$30)))</f>
        <v/>
      </c>
      <c r="K32" s="129">
        <f>IF($A32="","",IF($B$30="전체",COUNTIFS(업무일지!$B$5:$B$1004,"&gt;="&amp;DATE($B$3,10,1),업무일지!$B$5:$B$1004,"&lt;"&amp;DATE($B$3,10+1,1),업무일지!$AA$5:$AA$1004,"*"&amp;$A32&amp;"*"),COUNTIFS(업무일지!$B$5:$B$1004,"&gt;="&amp;DATE($B$3,10,1),업무일지!$B$5:$B$1004,"&lt;"&amp;DATE($B$3,10+1,1),업무일지!$AA$5:$AA$1004,"*"&amp;$A32&amp;"*",업무일지!$D$5:$D$1004,$B$30)))</f>
        <v/>
      </c>
      <c r="L32" s="129">
        <f>IF($A32="","",IF($B$30="전체",COUNTIFS(업무일지!$B$5:$B$1004,"&gt;="&amp;DATE($B$3,11,1),업무일지!$B$5:$B$1004,"&lt;"&amp;DATE($B$3,11+1,1),업무일지!$AA$5:$AA$1004,"*"&amp;$A32&amp;"*"),COUNTIFS(업무일지!$B$5:$B$1004,"&gt;="&amp;DATE($B$3,11,1),업무일지!$B$5:$B$1004,"&lt;"&amp;DATE($B$3,11+1,1),업무일지!$AA$5:$AA$1004,"*"&amp;$A32&amp;"*",업무일지!$D$5:$D$1004,$B$30)))</f>
        <v/>
      </c>
      <c r="M32" s="129">
        <f>IF($A32="","",IF($B$30="전체",COUNTIFS(업무일지!$B$5:$B$1004,"&gt;="&amp;DATE($B$3,12,1),업무일지!$B$5:$B$1004,"&lt;"&amp;DATE($B$3,12+1,1),업무일지!$AA$5:$AA$1004,"*"&amp;$A32&amp;"*"),COUNTIFS(업무일지!$B$5:$B$1004,"&gt;="&amp;DATE($B$3,12,1),업무일지!$B$5:$B$1004,"&lt;"&amp;DATE($B$3,12+1,1),업무일지!$AA$5:$AA$1004,"*"&amp;$A32&amp;"*",업무일지!$D$5:$D$1004,$B$30)))</f>
        <v/>
      </c>
      <c r="N32" s="118">
        <f>IF($A32="","",SUM(B32:M32))</f>
        <v/>
      </c>
    </row>
    <row r="33">
      <c r="A33" s="107">
        <f>IF($A8="","",$A8)</f>
        <v/>
      </c>
      <c r="B33" s="129">
        <f>IF($A33="","",IF($B$30="전체",COUNTIFS(업무일지!$B$5:$B$1004,"&gt;="&amp;DATE($B$3,1,1),업무일지!$B$5:$B$1004,"&lt;"&amp;DATE($B$3,1+1,1),업무일지!$AA$5:$AA$1004,"*"&amp;$A33&amp;"*"),COUNTIFS(업무일지!$B$5:$B$1004,"&gt;="&amp;DATE($B$3,1,1),업무일지!$B$5:$B$1004,"&lt;"&amp;DATE($B$3,1+1,1),업무일지!$AA$5:$AA$1004,"*"&amp;$A33&amp;"*",업무일지!$D$5:$D$1004,$B$30)))</f>
        <v/>
      </c>
      <c r="C33" s="129">
        <f>IF($A33="","",IF($B$30="전체",COUNTIFS(업무일지!$B$5:$B$1004,"&gt;="&amp;DATE($B$3,2,1),업무일지!$B$5:$B$1004,"&lt;"&amp;DATE($B$3,2+1,1),업무일지!$AA$5:$AA$1004,"*"&amp;$A33&amp;"*"),COUNTIFS(업무일지!$B$5:$B$1004,"&gt;="&amp;DATE($B$3,2,1),업무일지!$B$5:$B$1004,"&lt;"&amp;DATE($B$3,2+1,1),업무일지!$AA$5:$AA$1004,"*"&amp;$A33&amp;"*",업무일지!$D$5:$D$1004,$B$30)))</f>
        <v/>
      </c>
      <c r="D33" s="129">
        <f>IF($A33="","",IF($B$30="전체",COUNTIFS(업무일지!$B$5:$B$1004,"&gt;="&amp;DATE($B$3,3,1),업무일지!$B$5:$B$1004,"&lt;"&amp;DATE($B$3,3+1,1),업무일지!$AA$5:$AA$1004,"*"&amp;$A33&amp;"*"),COUNTIFS(업무일지!$B$5:$B$1004,"&gt;="&amp;DATE($B$3,3,1),업무일지!$B$5:$B$1004,"&lt;"&amp;DATE($B$3,3+1,1),업무일지!$AA$5:$AA$1004,"*"&amp;$A33&amp;"*",업무일지!$D$5:$D$1004,$B$30)))</f>
        <v/>
      </c>
      <c r="E33" s="129">
        <f>IF($A33="","",IF($B$30="전체",COUNTIFS(업무일지!$B$5:$B$1004,"&gt;="&amp;DATE($B$3,4,1),업무일지!$B$5:$B$1004,"&lt;"&amp;DATE($B$3,4+1,1),업무일지!$AA$5:$AA$1004,"*"&amp;$A33&amp;"*"),COUNTIFS(업무일지!$B$5:$B$1004,"&gt;="&amp;DATE($B$3,4,1),업무일지!$B$5:$B$1004,"&lt;"&amp;DATE($B$3,4+1,1),업무일지!$AA$5:$AA$1004,"*"&amp;$A33&amp;"*",업무일지!$D$5:$D$1004,$B$30)))</f>
        <v/>
      </c>
      <c r="F33" s="129">
        <f>IF($A33="","",IF($B$30="전체",COUNTIFS(업무일지!$B$5:$B$1004,"&gt;="&amp;DATE($B$3,5,1),업무일지!$B$5:$B$1004,"&lt;"&amp;DATE($B$3,5+1,1),업무일지!$AA$5:$AA$1004,"*"&amp;$A33&amp;"*"),COUNTIFS(업무일지!$B$5:$B$1004,"&gt;="&amp;DATE($B$3,5,1),업무일지!$B$5:$B$1004,"&lt;"&amp;DATE($B$3,5+1,1),업무일지!$AA$5:$AA$1004,"*"&amp;$A33&amp;"*",업무일지!$D$5:$D$1004,$B$30)))</f>
        <v/>
      </c>
      <c r="G33" s="129">
        <f>IF($A33="","",IF($B$30="전체",COUNTIFS(업무일지!$B$5:$B$1004,"&gt;="&amp;DATE($B$3,6,1),업무일지!$B$5:$B$1004,"&lt;"&amp;DATE($B$3,6+1,1),업무일지!$AA$5:$AA$1004,"*"&amp;$A33&amp;"*"),COUNTIFS(업무일지!$B$5:$B$1004,"&gt;="&amp;DATE($B$3,6,1),업무일지!$B$5:$B$1004,"&lt;"&amp;DATE($B$3,6+1,1),업무일지!$AA$5:$AA$1004,"*"&amp;$A33&amp;"*",업무일지!$D$5:$D$1004,$B$30)))</f>
        <v/>
      </c>
      <c r="H33" s="129">
        <f>IF($A33="","",IF($B$30="전체",COUNTIFS(업무일지!$B$5:$B$1004,"&gt;="&amp;DATE($B$3,7,1),업무일지!$B$5:$B$1004,"&lt;"&amp;DATE($B$3,7+1,1),업무일지!$AA$5:$AA$1004,"*"&amp;$A33&amp;"*"),COUNTIFS(업무일지!$B$5:$B$1004,"&gt;="&amp;DATE($B$3,7,1),업무일지!$B$5:$B$1004,"&lt;"&amp;DATE($B$3,7+1,1),업무일지!$AA$5:$AA$1004,"*"&amp;$A33&amp;"*",업무일지!$D$5:$D$1004,$B$30)))</f>
        <v/>
      </c>
      <c r="I33" s="129">
        <f>IF($A33="","",IF($B$30="전체",COUNTIFS(업무일지!$B$5:$B$1004,"&gt;="&amp;DATE($B$3,8,1),업무일지!$B$5:$B$1004,"&lt;"&amp;DATE($B$3,8+1,1),업무일지!$AA$5:$AA$1004,"*"&amp;$A33&amp;"*"),COUNTIFS(업무일지!$B$5:$B$1004,"&gt;="&amp;DATE($B$3,8,1),업무일지!$B$5:$B$1004,"&lt;"&amp;DATE($B$3,8+1,1),업무일지!$AA$5:$AA$1004,"*"&amp;$A33&amp;"*",업무일지!$D$5:$D$1004,$B$30)))</f>
        <v/>
      </c>
      <c r="J33" s="129">
        <f>IF($A33="","",IF($B$30="전체",COUNTIFS(업무일지!$B$5:$B$1004,"&gt;="&amp;DATE($B$3,9,1),업무일지!$B$5:$B$1004,"&lt;"&amp;DATE($B$3,9+1,1),업무일지!$AA$5:$AA$1004,"*"&amp;$A33&amp;"*"),COUNTIFS(업무일지!$B$5:$B$1004,"&gt;="&amp;DATE($B$3,9,1),업무일지!$B$5:$B$1004,"&lt;"&amp;DATE($B$3,9+1,1),업무일지!$AA$5:$AA$1004,"*"&amp;$A33&amp;"*",업무일지!$D$5:$D$1004,$B$30)))</f>
        <v/>
      </c>
      <c r="K33" s="129">
        <f>IF($A33="","",IF($B$30="전체",COUNTIFS(업무일지!$B$5:$B$1004,"&gt;="&amp;DATE($B$3,10,1),업무일지!$B$5:$B$1004,"&lt;"&amp;DATE($B$3,10+1,1),업무일지!$AA$5:$AA$1004,"*"&amp;$A33&amp;"*"),COUNTIFS(업무일지!$B$5:$B$1004,"&gt;="&amp;DATE($B$3,10,1),업무일지!$B$5:$B$1004,"&lt;"&amp;DATE($B$3,10+1,1),업무일지!$AA$5:$AA$1004,"*"&amp;$A33&amp;"*",업무일지!$D$5:$D$1004,$B$30)))</f>
        <v/>
      </c>
      <c r="L33" s="129">
        <f>IF($A33="","",IF($B$30="전체",COUNTIFS(업무일지!$B$5:$B$1004,"&gt;="&amp;DATE($B$3,11,1),업무일지!$B$5:$B$1004,"&lt;"&amp;DATE($B$3,11+1,1),업무일지!$AA$5:$AA$1004,"*"&amp;$A33&amp;"*"),COUNTIFS(업무일지!$B$5:$B$1004,"&gt;="&amp;DATE($B$3,11,1),업무일지!$B$5:$B$1004,"&lt;"&amp;DATE($B$3,11+1,1),업무일지!$AA$5:$AA$1004,"*"&amp;$A33&amp;"*",업무일지!$D$5:$D$1004,$B$30)))</f>
        <v/>
      </c>
      <c r="M33" s="129">
        <f>IF($A33="","",IF($B$30="전체",COUNTIFS(업무일지!$B$5:$B$1004,"&gt;="&amp;DATE($B$3,12,1),업무일지!$B$5:$B$1004,"&lt;"&amp;DATE($B$3,12+1,1),업무일지!$AA$5:$AA$1004,"*"&amp;$A33&amp;"*"),COUNTIFS(업무일지!$B$5:$B$1004,"&gt;="&amp;DATE($B$3,12,1),업무일지!$B$5:$B$1004,"&lt;"&amp;DATE($B$3,12+1,1),업무일지!$AA$5:$AA$1004,"*"&amp;$A33&amp;"*",업무일지!$D$5:$D$1004,$B$30)))</f>
        <v/>
      </c>
      <c r="N33" s="118">
        <f>IF($A33="","",SUM(B33:M33))</f>
        <v/>
      </c>
    </row>
    <row r="34">
      <c r="A34" s="107">
        <f>IF($A9="","",$A9)</f>
        <v/>
      </c>
      <c r="B34" s="129">
        <f>IF($A34="","",IF($B$30="전체",COUNTIFS(업무일지!$B$5:$B$1004,"&gt;="&amp;DATE($B$3,1,1),업무일지!$B$5:$B$1004,"&lt;"&amp;DATE($B$3,1+1,1),업무일지!$AA$5:$AA$1004,"*"&amp;$A34&amp;"*"),COUNTIFS(업무일지!$B$5:$B$1004,"&gt;="&amp;DATE($B$3,1,1),업무일지!$B$5:$B$1004,"&lt;"&amp;DATE($B$3,1+1,1),업무일지!$AA$5:$AA$1004,"*"&amp;$A34&amp;"*",업무일지!$D$5:$D$1004,$B$30)))</f>
        <v/>
      </c>
      <c r="C34" s="129">
        <f>IF($A34="","",IF($B$30="전체",COUNTIFS(업무일지!$B$5:$B$1004,"&gt;="&amp;DATE($B$3,2,1),업무일지!$B$5:$B$1004,"&lt;"&amp;DATE($B$3,2+1,1),업무일지!$AA$5:$AA$1004,"*"&amp;$A34&amp;"*"),COUNTIFS(업무일지!$B$5:$B$1004,"&gt;="&amp;DATE($B$3,2,1),업무일지!$B$5:$B$1004,"&lt;"&amp;DATE($B$3,2+1,1),업무일지!$AA$5:$AA$1004,"*"&amp;$A34&amp;"*",업무일지!$D$5:$D$1004,$B$30)))</f>
        <v/>
      </c>
      <c r="D34" s="129">
        <f>IF($A34="","",IF($B$30="전체",COUNTIFS(업무일지!$B$5:$B$1004,"&gt;="&amp;DATE($B$3,3,1),업무일지!$B$5:$B$1004,"&lt;"&amp;DATE($B$3,3+1,1),업무일지!$AA$5:$AA$1004,"*"&amp;$A34&amp;"*"),COUNTIFS(업무일지!$B$5:$B$1004,"&gt;="&amp;DATE($B$3,3,1),업무일지!$B$5:$B$1004,"&lt;"&amp;DATE($B$3,3+1,1),업무일지!$AA$5:$AA$1004,"*"&amp;$A34&amp;"*",업무일지!$D$5:$D$1004,$B$30)))</f>
        <v/>
      </c>
      <c r="E34" s="129">
        <f>IF($A34="","",IF($B$30="전체",COUNTIFS(업무일지!$B$5:$B$1004,"&gt;="&amp;DATE($B$3,4,1),업무일지!$B$5:$B$1004,"&lt;"&amp;DATE($B$3,4+1,1),업무일지!$AA$5:$AA$1004,"*"&amp;$A34&amp;"*"),COUNTIFS(업무일지!$B$5:$B$1004,"&gt;="&amp;DATE($B$3,4,1),업무일지!$B$5:$B$1004,"&lt;"&amp;DATE($B$3,4+1,1),업무일지!$AA$5:$AA$1004,"*"&amp;$A34&amp;"*",업무일지!$D$5:$D$1004,$B$30)))</f>
        <v/>
      </c>
      <c r="F34" s="129">
        <f>IF($A34="","",IF($B$30="전체",COUNTIFS(업무일지!$B$5:$B$1004,"&gt;="&amp;DATE($B$3,5,1),업무일지!$B$5:$B$1004,"&lt;"&amp;DATE($B$3,5+1,1),업무일지!$AA$5:$AA$1004,"*"&amp;$A34&amp;"*"),COUNTIFS(업무일지!$B$5:$B$1004,"&gt;="&amp;DATE($B$3,5,1),업무일지!$B$5:$B$1004,"&lt;"&amp;DATE($B$3,5+1,1),업무일지!$AA$5:$AA$1004,"*"&amp;$A34&amp;"*",업무일지!$D$5:$D$1004,$B$30)))</f>
        <v/>
      </c>
      <c r="G34" s="129">
        <f>IF($A34="","",IF($B$30="전체",COUNTIFS(업무일지!$B$5:$B$1004,"&gt;="&amp;DATE($B$3,6,1),업무일지!$B$5:$B$1004,"&lt;"&amp;DATE($B$3,6+1,1),업무일지!$AA$5:$AA$1004,"*"&amp;$A34&amp;"*"),COUNTIFS(업무일지!$B$5:$B$1004,"&gt;="&amp;DATE($B$3,6,1),업무일지!$B$5:$B$1004,"&lt;"&amp;DATE($B$3,6+1,1),업무일지!$AA$5:$AA$1004,"*"&amp;$A34&amp;"*",업무일지!$D$5:$D$1004,$B$30)))</f>
        <v/>
      </c>
      <c r="H34" s="129">
        <f>IF($A34="","",IF($B$30="전체",COUNTIFS(업무일지!$B$5:$B$1004,"&gt;="&amp;DATE($B$3,7,1),업무일지!$B$5:$B$1004,"&lt;"&amp;DATE($B$3,7+1,1),업무일지!$AA$5:$AA$1004,"*"&amp;$A34&amp;"*"),COUNTIFS(업무일지!$B$5:$B$1004,"&gt;="&amp;DATE($B$3,7,1),업무일지!$B$5:$B$1004,"&lt;"&amp;DATE($B$3,7+1,1),업무일지!$AA$5:$AA$1004,"*"&amp;$A34&amp;"*",업무일지!$D$5:$D$1004,$B$30)))</f>
        <v/>
      </c>
      <c r="I34" s="129">
        <f>IF($A34="","",IF($B$30="전체",COUNTIFS(업무일지!$B$5:$B$1004,"&gt;="&amp;DATE($B$3,8,1),업무일지!$B$5:$B$1004,"&lt;"&amp;DATE($B$3,8+1,1),업무일지!$AA$5:$AA$1004,"*"&amp;$A34&amp;"*"),COUNTIFS(업무일지!$B$5:$B$1004,"&gt;="&amp;DATE($B$3,8,1),업무일지!$B$5:$B$1004,"&lt;"&amp;DATE($B$3,8+1,1),업무일지!$AA$5:$AA$1004,"*"&amp;$A34&amp;"*",업무일지!$D$5:$D$1004,$B$30)))</f>
        <v/>
      </c>
      <c r="J34" s="129">
        <f>IF($A34="","",IF($B$30="전체",COUNTIFS(업무일지!$B$5:$B$1004,"&gt;="&amp;DATE($B$3,9,1),업무일지!$B$5:$B$1004,"&lt;"&amp;DATE($B$3,9+1,1),업무일지!$AA$5:$AA$1004,"*"&amp;$A34&amp;"*"),COUNTIFS(업무일지!$B$5:$B$1004,"&gt;="&amp;DATE($B$3,9,1),업무일지!$B$5:$B$1004,"&lt;"&amp;DATE($B$3,9+1,1),업무일지!$AA$5:$AA$1004,"*"&amp;$A34&amp;"*",업무일지!$D$5:$D$1004,$B$30)))</f>
        <v/>
      </c>
      <c r="K34" s="129">
        <f>IF($A34="","",IF($B$30="전체",COUNTIFS(업무일지!$B$5:$B$1004,"&gt;="&amp;DATE($B$3,10,1),업무일지!$B$5:$B$1004,"&lt;"&amp;DATE($B$3,10+1,1),업무일지!$AA$5:$AA$1004,"*"&amp;$A34&amp;"*"),COUNTIFS(업무일지!$B$5:$B$1004,"&gt;="&amp;DATE($B$3,10,1),업무일지!$B$5:$B$1004,"&lt;"&amp;DATE($B$3,10+1,1),업무일지!$AA$5:$AA$1004,"*"&amp;$A34&amp;"*",업무일지!$D$5:$D$1004,$B$30)))</f>
        <v/>
      </c>
      <c r="L34" s="129">
        <f>IF($A34="","",IF($B$30="전체",COUNTIFS(업무일지!$B$5:$B$1004,"&gt;="&amp;DATE($B$3,11,1),업무일지!$B$5:$B$1004,"&lt;"&amp;DATE($B$3,11+1,1),업무일지!$AA$5:$AA$1004,"*"&amp;$A34&amp;"*"),COUNTIFS(업무일지!$B$5:$B$1004,"&gt;="&amp;DATE($B$3,11,1),업무일지!$B$5:$B$1004,"&lt;"&amp;DATE($B$3,11+1,1),업무일지!$AA$5:$AA$1004,"*"&amp;$A34&amp;"*",업무일지!$D$5:$D$1004,$B$30)))</f>
        <v/>
      </c>
      <c r="M34" s="129">
        <f>IF($A34="","",IF($B$30="전체",COUNTIFS(업무일지!$B$5:$B$1004,"&gt;="&amp;DATE($B$3,12,1),업무일지!$B$5:$B$1004,"&lt;"&amp;DATE($B$3,12+1,1),업무일지!$AA$5:$AA$1004,"*"&amp;$A34&amp;"*"),COUNTIFS(업무일지!$B$5:$B$1004,"&gt;="&amp;DATE($B$3,12,1),업무일지!$B$5:$B$1004,"&lt;"&amp;DATE($B$3,12+1,1),업무일지!$AA$5:$AA$1004,"*"&amp;$A34&amp;"*",업무일지!$D$5:$D$1004,$B$30)))</f>
        <v/>
      </c>
      <c r="N34" s="118">
        <f>IF($A34="","",SUM(B34:M34))</f>
        <v/>
      </c>
    </row>
    <row r="35">
      <c r="A35" s="107">
        <f>IF($A10="","",$A10)</f>
        <v/>
      </c>
      <c r="B35" s="129">
        <f>IF($A35="","",IF($B$30="전체",COUNTIFS(업무일지!$B$5:$B$1004,"&gt;="&amp;DATE($B$3,1,1),업무일지!$B$5:$B$1004,"&lt;"&amp;DATE($B$3,1+1,1),업무일지!$AA$5:$AA$1004,"*"&amp;$A35&amp;"*"),COUNTIFS(업무일지!$B$5:$B$1004,"&gt;="&amp;DATE($B$3,1,1),업무일지!$B$5:$B$1004,"&lt;"&amp;DATE($B$3,1+1,1),업무일지!$AA$5:$AA$1004,"*"&amp;$A35&amp;"*",업무일지!$D$5:$D$1004,$B$30)))</f>
        <v/>
      </c>
      <c r="C35" s="129">
        <f>IF($A35="","",IF($B$30="전체",COUNTIFS(업무일지!$B$5:$B$1004,"&gt;="&amp;DATE($B$3,2,1),업무일지!$B$5:$B$1004,"&lt;"&amp;DATE($B$3,2+1,1),업무일지!$AA$5:$AA$1004,"*"&amp;$A35&amp;"*"),COUNTIFS(업무일지!$B$5:$B$1004,"&gt;="&amp;DATE($B$3,2,1),업무일지!$B$5:$B$1004,"&lt;"&amp;DATE($B$3,2+1,1),업무일지!$AA$5:$AA$1004,"*"&amp;$A35&amp;"*",업무일지!$D$5:$D$1004,$B$30)))</f>
        <v/>
      </c>
      <c r="D35" s="129">
        <f>IF($A35="","",IF($B$30="전체",COUNTIFS(업무일지!$B$5:$B$1004,"&gt;="&amp;DATE($B$3,3,1),업무일지!$B$5:$B$1004,"&lt;"&amp;DATE($B$3,3+1,1),업무일지!$AA$5:$AA$1004,"*"&amp;$A35&amp;"*"),COUNTIFS(업무일지!$B$5:$B$1004,"&gt;="&amp;DATE($B$3,3,1),업무일지!$B$5:$B$1004,"&lt;"&amp;DATE($B$3,3+1,1),업무일지!$AA$5:$AA$1004,"*"&amp;$A35&amp;"*",업무일지!$D$5:$D$1004,$B$30)))</f>
        <v/>
      </c>
      <c r="E35" s="129">
        <f>IF($A35="","",IF($B$30="전체",COUNTIFS(업무일지!$B$5:$B$1004,"&gt;="&amp;DATE($B$3,4,1),업무일지!$B$5:$B$1004,"&lt;"&amp;DATE($B$3,4+1,1),업무일지!$AA$5:$AA$1004,"*"&amp;$A35&amp;"*"),COUNTIFS(업무일지!$B$5:$B$1004,"&gt;="&amp;DATE($B$3,4,1),업무일지!$B$5:$B$1004,"&lt;"&amp;DATE($B$3,4+1,1),업무일지!$AA$5:$AA$1004,"*"&amp;$A35&amp;"*",업무일지!$D$5:$D$1004,$B$30)))</f>
        <v/>
      </c>
      <c r="F35" s="129">
        <f>IF($A35="","",IF($B$30="전체",COUNTIFS(업무일지!$B$5:$B$1004,"&gt;="&amp;DATE($B$3,5,1),업무일지!$B$5:$B$1004,"&lt;"&amp;DATE($B$3,5+1,1),업무일지!$AA$5:$AA$1004,"*"&amp;$A35&amp;"*"),COUNTIFS(업무일지!$B$5:$B$1004,"&gt;="&amp;DATE($B$3,5,1),업무일지!$B$5:$B$1004,"&lt;"&amp;DATE($B$3,5+1,1),업무일지!$AA$5:$AA$1004,"*"&amp;$A35&amp;"*",업무일지!$D$5:$D$1004,$B$30)))</f>
        <v/>
      </c>
      <c r="G35" s="129">
        <f>IF($A35="","",IF($B$30="전체",COUNTIFS(업무일지!$B$5:$B$1004,"&gt;="&amp;DATE($B$3,6,1),업무일지!$B$5:$B$1004,"&lt;"&amp;DATE($B$3,6+1,1),업무일지!$AA$5:$AA$1004,"*"&amp;$A35&amp;"*"),COUNTIFS(업무일지!$B$5:$B$1004,"&gt;="&amp;DATE($B$3,6,1),업무일지!$B$5:$B$1004,"&lt;"&amp;DATE($B$3,6+1,1),업무일지!$AA$5:$AA$1004,"*"&amp;$A35&amp;"*",업무일지!$D$5:$D$1004,$B$30)))</f>
        <v/>
      </c>
      <c r="H35" s="129">
        <f>IF($A35="","",IF($B$30="전체",COUNTIFS(업무일지!$B$5:$B$1004,"&gt;="&amp;DATE($B$3,7,1),업무일지!$B$5:$B$1004,"&lt;"&amp;DATE($B$3,7+1,1),업무일지!$AA$5:$AA$1004,"*"&amp;$A35&amp;"*"),COUNTIFS(업무일지!$B$5:$B$1004,"&gt;="&amp;DATE($B$3,7,1),업무일지!$B$5:$B$1004,"&lt;"&amp;DATE($B$3,7+1,1),업무일지!$AA$5:$AA$1004,"*"&amp;$A35&amp;"*",업무일지!$D$5:$D$1004,$B$30)))</f>
        <v/>
      </c>
      <c r="I35" s="129">
        <f>IF($A35="","",IF($B$30="전체",COUNTIFS(업무일지!$B$5:$B$1004,"&gt;="&amp;DATE($B$3,8,1),업무일지!$B$5:$B$1004,"&lt;"&amp;DATE($B$3,8+1,1),업무일지!$AA$5:$AA$1004,"*"&amp;$A35&amp;"*"),COUNTIFS(업무일지!$B$5:$B$1004,"&gt;="&amp;DATE($B$3,8,1),업무일지!$B$5:$B$1004,"&lt;"&amp;DATE($B$3,8+1,1),업무일지!$AA$5:$AA$1004,"*"&amp;$A35&amp;"*",업무일지!$D$5:$D$1004,$B$30)))</f>
        <v/>
      </c>
      <c r="J35" s="129">
        <f>IF($A35="","",IF($B$30="전체",COUNTIFS(업무일지!$B$5:$B$1004,"&gt;="&amp;DATE($B$3,9,1),업무일지!$B$5:$B$1004,"&lt;"&amp;DATE($B$3,9+1,1),업무일지!$AA$5:$AA$1004,"*"&amp;$A35&amp;"*"),COUNTIFS(업무일지!$B$5:$B$1004,"&gt;="&amp;DATE($B$3,9,1),업무일지!$B$5:$B$1004,"&lt;"&amp;DATE($B$3,9+1,1),업무일지!$AA$5:$AA$1004,"*"&amp;$A35&amp;"*",업무일지!$D$5:$D$1004,$B$30)))</f>
        <v/>
      </c>
      <c r="K35" s="129">
        <f>IF($A35="","",IF($B$30="전체",COUNTIFS(업무일지!$B$5:$B$1004,"&gt;="&amp;DATE($B$3,10,1),업무일지!$B$5:$B$1004,"&lt;"&amp;DATE($B$3,10+1,1),업무일지!$AA$5:$AA$1004,"*"&amp;$A35&amp;"*"),COUNTIFS(업무일지!$B$5:$B$1004,"&gt;="&amp;DATE($B$3,10,1),업무일지!$B$5:$B$1004,"&lt;"&amp;DATE($B$3,10+1,1),업무일지!$AA$5:$AA$1004,"*"&amp;$A35&amp;"*",업무일지!$D$5:$D$1004,$B$30)))</f>
        <v/>
      </c>
      <c r="L35" s="129">
        <f>IF($A35="","",IF($B$30="전체",COUNTIFS(업무일지!$B$5:$B$1004,"&gt;="&amp;DATE($B$3,11,1),업무일지!$B$5:$B$1004,"&lt;"&amp;DATE($B$3,11+1,1),업무일지!$AA$5:$AA$1004,"*"&amp;$A35&amp;"*"),COUNTIFS(업무일지!$B$5:$B$1004,"&gt;="&amp;DATE($B$3,11,1),업무일지!$B$5:$B$1004,"&lt;"&amp;DATE($B$3,11+1,1),업무일지!$AA$5:$AA$1004,"*"&amp;$A35&amp;"*",업무일지!$D$5:$D$1004,$B$30)))</f>
        <v/>
      </c>
      <c r="M35" s="129">
        <f>IF($A35="","",IF($B$30="전체",COUNTIFS(업무일지!$B$5:$B$1004,"&gt;="&amp;DATE($B$3,12,1),업무일지!$B$5:$B$1004,"&lt;"&amp;DATE($B$3,12+1,1),업무일지!$AA$5:$AA$1004,"*"&amp;$A35&amp;"*"),COUNTIFS(업무일지!$B$5:$B$1004,"&gt;="&amp;DATE($B$3,12,1),업무일지!$B$5:$B$1004,"&lt;"&amp;DATE($B$3,12+1,1),업무일지!$AA$5:$AA$1004,"*"&amp;$A35&amp;"*",업무일지!$D$5:$D$1004,$B$30)))</f>
        <v/>
      </c>
      <c r="N35" s="118">
        <f>IF($A35="","",SUM(B35:M35))</f>
        <v/>
      </c>
    </row>
    <row r="36">
      <c r="A36" s="107">
        <f>IF($A11="","",$A11)</f>
        <v/>
      </c>
      <c r="B36" s="129">
        <f>IF($A36="","",IF($B$30="전체",COUNTIFS(업무일지!$B$5:$B$1004,"&gt;="&amp;DATE($B$3,1,1),업무일지!$B$5:$B$1004,"&lt;"&amp;DATE($B$3,1+1,1),업무일지!$AA$5:$AA$1004,"*"&amp;$A36&amp;"*"),COUNTIFS(업무일지!$B$5:$B$1004,"&gt;="&amp;DATE($B$3,1,1),업무일지!$B$5:$B$1004,"&lt;"&amp;DATE($B$3,1+1,1),업무일지!$AA$5:$AA$1004,"*"&amp;$A36&amp;"*",업무일지!$D$5:$D$1004,$B$30)))</f>
        <v/>
      </c>
      <c r="C36" s="129">
        <f>IF($A36="","",IF($B$30="전체",COUNTIFS(업무일지!$B$5:$B$1004,"&gt;="&amp;DATE($B$3,2,1),업무일지!$B$5:$B$1004,"&lt;"&amp;DATE($B$3,2+1,1),업무일지!$AA$5:$AA$1004,"*"&amp;$A36&amp;"*"),COUNTIFS(업무일지!$B$5:$B$1004,"&gt;="&amp;DATE($B$3,2,1),업무일지!$B$5:$B$1004,"&lt;"&amp;DATE($B$3,2+1,1),업무일지!$AA$5:$AA$1004,"*"&amp;$A36&amp;"*",업무일지!$D$5:$D$1004,$B$30)))</f>
        <v/>
      </c>
      <c r="D36" s="129">
        <f>IF($A36="","",IF($B$30="전체",COUNTIFS(업무일지!$B$5:$B$1004,"&gt;="&amp;DATE($B$3,3,1),업무일지!$B$5:$B$1004,"&lt;"&amp;DATE($B$3,3+1,1),업무일지!$AA$5:$AA$1004,"*"&amp;$A36&amp;"*"),COUNTIFS(업무일지!$B$5:$B$1004,"&gt;="&amp;DATE($B$3,3,1),업무일지!$B$5:$B$1004,"&lt;"&amp;DATE($B$3,3+1,1),업무일지!$AA$5:$AA$1004,"*"&amp;$A36&amp;"*",업무일지!$D$5:$D$1004,$B$30)))</f>
        <v/>
      </c>
      <c r="E36" s="129">
        <f>IF($A36="","",IF($B$30="전체",COUNTIFS(업무일지!$B$5:$B$1004,"&gt;="&amp;DATE($B$3,4,1),업무일지!$B$5:$B$1004,"&lt;"&amp;DATE($B$3,4+1,1),업무일지!$AA$5:$AA$1004,"*"&amp;$A36&amp;"*"),COUNTIFS(업무일지!$B$5:$B$1004,"&gt;="&amp;DATE($B$3,4,1),업무일지!$B$5:$B$1004,"&lt;"&amp;DATE($B$3,4+1,1),업무일지!$AA$5:$AA$1004,"*"&amp;$A36&amp;"*",업무일지!$D$5:$D$1004,$B$30)))</f>
        <v/>
      </c>
      <c r="F36" s="129">
        <f>IF($A36="","",IF($B$30="전체",COUNTIFS(업무일지!$B$5:$B$1004,"&gt;="&amp;DATE($B$3,5,1),업무일지!$B$5:$B$1004,"&lt;"&amp;DATE($B$3,5+1,1),업무일지!$AA$5:$AA$1004,"*"&amp;$A36&amp;"*"),COUNTIFS(업무일지!$B$5:$B$1004,"&gt;="&amp;DATE($B$3,5,1),업무일지!$B$5:$B$1004,"&lt;"&amp;DATE($B$3,5+1,1),업무일지!$AA$5:$AA$1004,"*"&amp;$A36&amp;"*",업무일지!$D$5:$D$1004,$B$30)))</f>
        <v/>
      </c>
      <c r="G36" s="129">
        <f>IF($A36="","",IF($B$30="전체",COUNTIFS(업무일지!$B$5:$B$1004,"&gt;="&amp;DATE($B$3,6,1),업무일지!$B$5:$B$1004,"&lt;"&amp;DATE($B$3,6+1,1),업무일지!$AA$5:$AA$1004,"*"&amp;$A36&amp;"*"),COUNTIFS(업무일지!$B$5:$B$1004,"&gt;="&amp;DATE($B$3,6,1),업무일지!$B$5:$B$1004,"&lt;"&amp;DATE($B$3,6+1,1),업무일지!$AA$5:$AA$1004,"*"&amp;$A36&amp;"*",업무일지!$D$5:$D$1004,$B$30)))</f>
        <v/>
      </c>
      <c r="H36" s="129">
        <f>IF($A36="","",IF($B$30="전체",COUNTIFS(업무일지!$B$5:$B$1004,"&gt;="&amp;DATE($B$3,7,1),업무일지!$B$5:$B$1004,"&lt;"&amp;DATE($B$3,7+1,1),업무일지!$AA$5:$AA$1004,"*"&amp;$A36&amp;"*"),COUNTIFS(업무일지!$B$5:$B$1004,"&gt;="&amp;DATE($B$3,7,1),업무일지!$B$5:$B$1004,"&lt;"&amp;DATE($B$3,7+1,1),업무일지!$AA$5:$AA$1004,"*"&amp;$A36&amp;"*",업무일지!$D$5:$D$1004,$B$30)))</f>
        <v/>
      </c>
      <c r="I36" s="129">
        <f>IF($A36="","",IF($B$30="전체",COUNTIFS(업무일지!$B$5:$B$1004,"&gt;="&amp;DATE($B$3,8,1),업무일지!$B$5:$B$1004,"&lt;"&amp;DATE($B$3,8+1,1),업무일지!$AA$5:$AA$1004,"*"&amp;$A36&amp;"*"),COUNTIFS(업무일지!$B$5:$B$1004,"&gt;="&amp;DATE($B$3,8,1),업무일지!$B$5:$B$1004,"&lt;"&amp;DATE($B$3,8+1,1),업무일지!$AA$5:$AA$1004,"*"&amp;$A36&amp;"*",업무일지!$D$5:$D$1004,$B$30)))</f>
        <v/>
      </c>
      <c r="J36" s="129">
        <f>IF($A36="","",IF($B$30="전체",COUNTIFS(업무일지!$B$5:$B$1004,"&gt;="&amp;DATE($B$3,9,1),업무일지!$B$5:$B$1004,"&lt;"&amp;DATE($B$3,9+1,1),업무일지!$AA$5:$AA$1004,"*"&amp;$A36&amp;"*"),COUNTIFS(업무일지!$B$5:$B$1004,"&gt;="&amp;DATE($B$3,9,1),업무일지!$B$5:$B$1004,"&lt;"&amp;DATE($B$3,9+1,1),업무일지!$AA$5:$AA$1004,"*"&amp;$A36&amp;"*",업무일지!$D$5:$D$1004,$B$30)))</f>
        <v/>
      </c>
      <c r="K36" s="129">
        <f>IF($A36="","",IF($B$30="전체",COUNTIFS(업무일지!$B$5:$B$1004,"&gt;="&amp;DATE($B$3,10,1),업무일지!$B$5:$B$1004,"&lt;"&amp;DATE($B$3,10+1,1),업무일지!$AA$5:$AA$1004,"*"&amp;$A36&amp;"*"),COUNTIFS(업무일지!$B$5:$B$1004,"&gt;="&amp;DATE($B$3,10,1),업무일지!$B$5:$B$1004,"&lt;"&amp;DATE($B$3,10+1,1),업무일지!$AA$5:$AA$1004,"*"&amp;$A36&amp;"*",업무일지!$D$5:$D$1004,$B$30)))</f>
        <v/>
      </c>
      <c r="L36" s="129">
        <f>IF($A36="","",IF($B$30="전체",COUNTIFS(업무일지!$B$5:$B$1004,"&gt;="&amp;DATE($B$3,11,1),업무일지!$B$5:$B$1004,"&lt;"&amp;DATE($B$3,11+1,1),업무일지!$AA$5:$AA$1004,"*"&amp;$A36&amp;"*"),COUNTIFS(업무일지!$B$5:$B$1004,"&gt;="&amp;DATE($B$3,11,1),업무일지!$B$5:$B$1004,"&lt;"&amp;DATE($B$3,11+1,1),업무일지!$AA$5:$AA$1004,"*"&amp;$A36&amp;"*",업무일지!$D$5:$D$1004,$B$30)))</f>
        <v/>
      </c>
      <c r="M36" s="129">
        <f>IF($A36="","",IF($B$30="전체",COUNTIFS(업무일지!$B$5:$B$1004,"&gt;="&amp;DATE($B$3,12,1),업무일지!$B$5:$B$1004,"&lt;"&amp;DATE($B$3,12+1,1),업무일지!$AA$5:$AA$1004,"*"&amp;$A36&amp;"*"),COUNTIFS(업무일지!$B$5:$B$1004,"&gt;="&amp;DATE($B$3,12,1),업무일지!$B$5:$B$1004,"&lt;"&amp;DATE($B$3,12+1,1),업무일지!$AA$5:$AA$1004,"*"&amp;$A36&amp;"*",업무일지!$D$5:$D$1004,$B$30)))</f>
        <v/>
      </c>
      <c r="N36" s="118">
        <f>IF($A36="","",SUM(B36:M36))</f>
        <v/>
      </c>
    </row>
    <row r="37">
      <c r="A37" s="107">
        <f>IF($A12="","",$A12)</f>
        <v/>
      </c>
      <c r="B37" s="129">
        <f>IF($A37="","",IF($B$30="전체",COUNTIFS(업무일지!$B$5:$B$1004,"&gt;="&amp;DATE($B$3,1,1),업무일지!$B$5:$B$1004,"&lt;"&amp;DATE($B$3,1+1,1),업무일지!$AA$5:$AA$1004,"*"&amp;$A37&amp;"*"),COUNTIFS(업무일지!$B$5:$B$1004,"&gt;="&amp;DATE($B$3,1,1),업무일지!$B$5:$B$1004,"&lt;"&amp;DATE($B$3,1+1,1),업무일지!$AA$5:$AA$1004,"*"&amp;$A37&amp;"*",업무일지!$D$5:$D$1004,$B$30)))</f>
        <v/>
      </c>
      <c r="C37" s="129">
        <f>IF($A37="","",IF($B$30="전체",COUNTIFS(업무일지!$B$5:$B$1004,"&gt;="&amp;DATE($B$3,2,1),업무일지!$B$5:$B$1004,"&lt;"&amp;DATE($B$3,2+1,1),업무일지!$AA$5:$AA$1004,"*"&amp;$A37&amp;"*"),COUNTIFS(업무일지!$B$5:$B$1004,"&gt;="&amp;DATE($B$3,2,1),업무일지!$B$5:$B$1004,"&lt;"&amp;DATE($B$3,2+1,1),업무일지!$AA$5:$AA$1004,"*"&amp;$A37&amp;"*",업무일지!$D$5:$D$1004,$B$30)))</f>
        <v/>
      </c>
      <c r="D37" s="129">
        <f>IF($A37="","",IF($B$30="전체",COUNTIFS(업무일지!$B$5:$B$1004,"&gt;="&amp;DATE($B$3,3,1),업무일지!$B$5:$B$1004,"&lt;"&amp;DATE($B$3,3+1,1),업무일지!$AA$5:$AA$1004,"*"&amp;$A37&amp;"*"),COUNTIFS(업무일지!$B$5:$B$1004,"&gt;="&amp;DATE($B$3,3,1),업무일지!$B$5:$B$1004,"&lt;"&amp;DATE($B$3,3+1,1),업무일지!$AA$5:$AA$1004,"*"&amp;$A37&amp;"*",업무일지!$D$5:$D$1004,$B$30)))</f>
        <v/>
      </c>
      <c r="E37" s="129">
        <f>IF($A37="","",IF($B$30="전체",COUNTIFS(업무일지!$B$5:$B$1004,"&gt;="&amp;DATE($B$3,4,1),업무일지!$B$5:$B$1004,"&lt;"&amp;DATE($B$3,4+1,1),업무일지!$AA$5:$AA$1004,"*"&amp;$A37&amp;"*"),COUNTIFS(업무일지!$B$5:$B$1004,"&gt;="&amp;DATE($B$3,4,1),업무일지!$B$5:$B$1004,"&lt;"&amp;DATE($B$3,4+1,1),업무일지!$AA$5:$AA$1004,"*"&amp;$A37&amp;"*",업무일지!$D$5:$D$1004,$B$30)))</f>
        <v/>
      </c>
      <c r="F37" s="129">
        <f>IF($A37="","",IF($B$30="전체",COUNTIFS(업무일지!$B$5:$B$1004,"&gt;="&amp;DATE($B$3,5,1),업무일지!$B$5:$B$1004,"&lt;"&amp;DATE($B$3,5+1,1),업무일지!$AA$5:$AA$1004,"*"&amp;$A37&amp;"*"),COUNTIFS(업무일지!$B$5:$B$1004,"&gt;="&amp;DATE($B$3,5,1),업무일지!$B$5:$B$1004,"&lt;"&amp;DATE($B$3,5+1,1),업무일지!$AA$5:$AA$1004,"*"&amp;$A37&amp;"*",업무일지!$D$5:$D$1004,$B$30)))</f>
        <v/>
      </c>
      <c r="G37" s="129">
        <f>IF($A37="","",IF($B$30="전체",COUNTIFS(업무일지!$B$5:$B$1004,"&gt;="&amp;DATE($B$3,6,1),업무일지!$B$5:$B$1004,"&lt;"&amp;DATE($B$3,6+1,1),업무일지!$AA$5:$AA$1004,"*"&amp;$A37&amp;"*"),COUNTIFS(업무일지!$B$5:$B$1004,"&gt;="&amp;DATE($B$3,6,1),업무일지!$B$5:$B$1004,"&lt;"&amp;DATE($B$3,6+1,1),업무일지!$AA$5:$AA$1004,"*"&amp;$A37&amp;"*",업무일지!$D$5:$D$1004,$B$30)))</f>
        <v/>
      </c>
      <c r="H37" s="129">
        <f>IF($A37="","",IF($B$30="전체",COUNTIFS(업무일지!$B$5:$B$1004,"&gt;="&amp;DATE($B$3,7,1),업무일지!$B$5:$B$1004,"&lt;"&amp;DATE($B$3,7+1,1),업무일지!$AA$5:$AA$1004,"*"&amp;$A37&amp;"*"),COUNTIFS(업무일지!$B$5:$B$1004,"&gt;="&amp;DATE($B$3,7,1),업무일지!$B$5:$B$1004,"&lt;"&amp;DATE($B$3,7+1,1),업무일지!$AA$5:$AA$1004,"*"&amp;$A37&amp;"*",업무일지!$D$5:$D$1004,$B$30)))</f>
        <v/>
      </c>
      <c r="I37" s="129">
        <f>IF($A37="","",IF($B$30="전체",COUNTIFS(업무일지!$B$5:$B$1004,"&gt;="&amp;DATE($B$3,8,1),업무일지!$B$5:$B$1004,"&lt;"&amp;DATE($B$3,8+1,1),업무일지!$AA$5:$AA$1004,"*"&amp;$A37&amp;"*"),COUNTIFS(업무일지!$B$5:$B$1004,"&gt;="&amp;DATE($B$3,8,1),업무일지!$B$5:$B$1004,"&lt;"&amp;DATE($B$3,8+1,1),업무일지!$AA$5:$AA$1004,"*"&amp;$A37&amp;"*",업무일지!$D$5:$D$1004,$B$30)))</f>
        <v/>
      </c>
      <c r="J37" s="129">
        <f>IF($A37="","",IF($B$30="전체",COUNTIFS(업무일지!$B$5:$B$1004,"&gt;="&amp;DATE($B$3,9,1),업무일지!$B$5:$B$1004,"&lt;"&amp;DATE($B$3,9+1,1),업무일지!$AA$5:$AA$1004,"*"&amp;$A37&amp;"*"),COUNTIFS(업무일지!$B$5:$B$1004,"&gt;="&amp;DATE($B$3,9,1),업무일지!$B$5:$B$1004,"&lt;"&amp;DATE($B$3,9+1,1),업무일지!$AA$5:$AA$1004,"*"&amp;$A37&amp;"*",업무일지!$D$5:$D$1004,$B$30)))</f>
        <v/>
      </c>
      <c r="K37" s="129">
        <f>IF($A37="","",IF($B$30="전체",COUNTIFS(업무일지!$B$5:$B$1004,"&gt;="&amp;DATE($B$3,10,1),업무일지!$B$5:$B$1004,"&lt;"&amp;DATE($B$3,10+1,1),업무일지!$AA$5:$AA$1004,"*"&amp;$A37&amp;"*"),COUNTIFS(업무일지!$B$5:$B$1004,"&gt;="&amp;DATE($B$3,10,1),업무일지!$B$5:$B$1004,"&lt;"&amp;DATE($B$3,10+1,1),업무일지!$AA$5:$AA$1004,"*"&amp;$A37&amp;"*",업무일지!$D$5:$D$1004,$B$30)))</f>
        <v/>
      </c>
      <c r="L37" s="129">
        <f>IF($A37="","",IF($B$30="전체",COUNTIFS(업무일지!$B$5:$B$1004,"&gt;="&amp;DATE($B$3,11,1),업무일지!$B$5:$B$1004,"&lt;"&amp;DATE($B$3,11+1,1),업무일지!$AA$5:$AA$1004,"*"&amp;$A37&amp;"*"),COUNTIFS(업무일지!$B$5:$B$1004,"&gt;="&amp;DATE($B$3,11,1),업무일지!$B$5:$B$1004,"&lt;"&amp;DATE($B$3,11+1,1),업무일지!$AA$5:$AA$1004,"*"&amp;$A37&amp;"*",업무일지!$D$5:$D$1004,$B$30)))</f>
        <v/>
      </c>
      <c r="M37" s="129">
        <f>IF($A37="","",IF($B$30="전체",COUNTIFS(업무일지!$B$5:$B$1004,"&gt;="&amp;DATE($B$3,12,1),업무일지!$B$5:$B$1004,"&lt;"&amp;DATE($B$3,12+1,1),업무일지!$AA$5:$AA$1004,"*"&amp;$A37&amp;"*"),COUNTIFS(업무일지!$B$5:$B$1004,"&gt;="&amp;DATE($B$3,12,1),업무일지!$B$5:$B$1004,"&lt;"&amp;DATE($B$3,12+1,1),업무일지!$AA$5:$AA$1004,"*"&amp;$A37&amp;"*",업무일지!$D$5:$D$1004,$B$30)))</f>
        <v/>
      </c>
      <c r="N37" s="118">
        <f>IF($A37="","",SUM(B37:M37))</f>
        <v/>
      </c>
    </row>
    <row r="38">
      <c r="A38" s="107">
        <f>IF($A13="","",$A13)</f>
        <v/>
      </c>
      <c r="B38" s="129">
        <f>IF($A38="","",IF($B$30="전체",COUNTIFS(업무일지!$B$5:$B$1004,"&gt;="&amp;DATE($B$3,1,1),업무일지!$B$5:$B$1004,"&lt;"&amp;DATE($B$3,1+1,1),업무일지!$AA$5:$AA$1004,"*"&amp;$A38&amp;"*"),COUNTIFS(업무일지!$B$5:$B$1004,"&gt;="&amp;DATE($B$3,1,1),업무일지!$B$5:$B$1004,"&lt;"&amp;DATE($B$3,1+1,1),업무일지!$AA$5:$AA$1004,"*"&amp;$A38&amp;"*",업무일지!$D$5:$D$1004,$B$30)))</f>
        <v/>
      </c>
      <c r="C38" s="129">
        <f>IF($A38="","",IF($B$30="전체",COUNTIFS(업무일지!$B$5:$B$1004,"&gt;="&amp;DATE($B$3,2,1),업무일지!$B$5:$B$1004,"&lt;"&amp;DATE($B$3,2+1,1),업무일지!$AA$5:$AA$1004,"*"&amp;$A38&amp;"*"),COUNTIFS(업무일지!$B$5:$B$1004,"&gt;="&amp;DATE($B$3,2,1),업무일지!$B$5:$B$1004,"&lt;"&amp;DATE($B$3,2+1,1),업무일지!$AA$5:$AA$1004,"*"&amp;$A38&amp;"*",업무일지!$D$5:$D$1004,$B$30)))</f>
        <v/>
      </c>
      <c r="D38" s="129">
        <f>IF($A38="","",IF($B$30="전체",COUNTIFS(업무일지!$B$5:$B$1004,"&gt;="&amp;DATE($B$3,3,1),업무일지!$B$5:$B$1004,"&lt;"&amp;DATE($B$3,3+1,1),업무일지!$AA$5:$AA$1004,"*"&amp;$A38&amp;"*"),COUNTIFS(업무일지!$B$5:$B$1004,"&gt;="&amp;DATE($B$3,3,1),업무일지!$B$5:$B$1004,"&lt;"&amp;DATE($B$3,3+1,1),업무일지!$AA$5:$AA$1004,"*"&amp;$A38&amp;"*",업무일지!$D$5:$D$1004,$B$30)))</f>
        <v/>
      </c>
      <c r="E38" s="129">
        <f>IF($A38="","",IF($B$30="전체",COUNTIFS(업무일지!$B$5:$B$1004,"&gt;="&amp;DATE($B$3,4,1),업무일지!$B$5:$B$1004,"&lt;"&amp;DATE($B$3,4+1,1),업무일지!$AA$5:$AA$1004,"*"&amp;$A38&amp;"*"),COUNTIFS(업무일지!$B$5:$B$1004,"&gt;="&amp;DATE($B$3,4,1),업무일지!$B$5:$B$1004,"&lt;"&amp;DATE($B$3,4+1,1),업무일지!$AA$5:$AA$1004,"*"&amp;$A38&amp;"*",업무일지!$D$5:$D$1004,$B$30)))</f>
        <v/>
      </c>
      <c r="F38" s="129">
        <f>IF($A38="","",IF($B$30="전체",COUNTIFS(업무일지!$B$5:$B$1004,"&gt;="&amp;DATE($B$3,5,1),업무일지!$B$5:$B$1004,"&lt;"&amp;DATE($B$3,5+1,1),업무일지!$AA$5:$AA$1004,"*"&amp;$A38&amp;"*"),COUNTIFS(업무일지!$B$5:$B$1004,"&gt;="&amp;DATE($B$3,5,1),업무일지!$B$5:$B$1004,"&lt;"&amp;DATE($B$3,5+1,1),업무일지!$AA$5:$AA$1004,"*"&amp;$A38&amp;"*",업무일지!$D$5:$D$1004,$B$30)))</f>
        <v/>
      </c>
      <c r="G38" s="129">
        <f>IF($A38="","",IF($B$30="전체",COUNTIFS(업무일지!$B$5:$B$1004,"&gt;="&amp;DATE($B$3,6,1),업무일지!$B$5:$B$1004,"&lt;"&amp;DATE($B$3,6+1,1),업무일지!$AA$5:$AA$1004,"*"&amp;$A38&amp;"*"),COUNTIFS(업무일지!$B$5:$B$1004,"&gt;="&amp;DATE($B$3,6,1),업무일지!$B$5:$B$1004,"&lt;"&amp;DATE($B$3,6+1,1),업무일지!$AA$5:$AA$1004,"*"&amp;$A38&amp;"*",업무일지!$D$5:$D$1004,$B$30)))</f>
        <v/>
      </c>
      <c r="H38" s="129">
        <f>IF($A38="","",IF($B$30="전체",COUNTIFS(업무일지!$B$5:$B$1004,"&gt;="&amp;DATE($B$3,7,1),업무일지!$B$5:$B$1004,"&lt;"&amp;DATE($B$3,7+1,1),업무일지!$AA$5:$AA$1004,"*"&amp;$A38&amp;"*"),COUNTIFS(업무일지!$B$5:$B$1004,"&gt;="&amp;DATE($B$3,7,1),업무일지!$B$5:$B$1004,"&lt;"&amp;DATE($B$3,7+1,1),업무일지!$AA$5:$AA$1004,"*"&amp;$A38&amp;"*",업무일지!$D$5:$D$1004,$B$30)))</f>
        <v/>
      </c>
      <c r="I38" s="129">
        <f>IF($A38="","",IF($B$30="전체",COUNTIFS(업무일지!$B$5:$B$1004,"&gt;="&amp;DATE($B$3,8,1),업무일지!$B$5:$B$1004,"&lt;"&amp;DATE($B$3,8+1,1),업무일지!$AA$5:$AA$1004,"*"&amp;$A38&amp;"*"),COUNTIFS(업무일지!$B$5:$B$1004,"&gt;="&amp;DATE($B$3,8,1),업무일지!$B$5:$B$1004,"&lt;"&amp;DATE($B$3,8+1,1),업무일지!$AA$5:$AA$1004,"*"&amp;$A38&amp;"*",업무일지!$D$5:$D$1004,$B$30)))</f>
        <v/>
      </c>
      <c r="J38" s="129">
        <f>IF($A38="","",IF($B$30="전체",COUNTIFS(업무일지!$B$5:$B$1004,"&gt;="&amp;DATE($B$3,9,1),업무일지!$B$5:$B$1004,"&lt;"&amp;DATE($B$3,9+1,1),업무일지!$AA$5:$AA$1004,"*"&amp;$A38&amp;"*"),COUNTIFS(업무일지!$B$5:$B$1004,"&gt;="&amp;DATE($B$3,9,1),업무일지!$B$5:$B$1004,"&lt;"&amp;DATE($B$3,9+1,1),업무일지!$AA$5:$AA$1004,"*"&amp;$A38&amp;"*",업무일지!$D$5:$D$1004,$B$30)))</f>
        <v/>
      </c>
      <c r="K38" s="129">
        <f>IF($A38="","",IF($B$30="전체",COUNTIFS(업무일지!$B$5:$B$1004,"&gt;="&amp;DATE($B$3,10,1),업무일지!$B$5:$B$1004,"&lt;"&amp;DATE($B$3,10+1,1),업무일지!$AA$5:$AA$1004,"*"&amp;$A38&amp;"*"),COUNTIFS(업무일지!$B$5:$B$1004,"&gt;="&amp;DATE($B$3,10,1),업무일지!$B$5:$B$1004,"&lt;"&amp;DATE($B$3,10+1,1),업무일지!$AA$5:$AA$1004,"*"&amp;$A38&amp;"*",업무일지!$D$5:$D$1004,$B$30)))</f>
        <v/>
      </c>
      <c r="L38" s="129">
        <f>IF($A38="","",IF($B$30="전체",COUNTIFS(업무일지!$B$5:$B$1004,"&gt;="&amp;DATE($B$3,11,1),업무일지!$B$5:$B$1004,"&lt;"&amp;DATE($B$3,11+1,1),업무일지!$AA$5:$AA$1004,"*"&amp;$A38&amp;"*"),COUNTIFS(업무일지!$B$5:$B$1004,"&gt;="&amp;DATE($B$3,11,1),업무일지!$B$5:$B$1004,"&lt;"&amp;DATE($B$3,11+1,1),업무일지!$AA$5:$AA$1004,"*"&amp;$A38&amp;"*",업무일지!$D$5:$D$1004,$B$30)))</f>
        <v/>
      </c>
      <c r="M38" s="129">
        <f>IF($A38="","",IF($B$30="전체",COUNTIFS(업무일지!$B$5:$B$1004,"&gt;="&amp;DATE($B$3,12,1),업무일지!$B$5:$B$1004,"&lt;"&amp;DATE($B$3,12+1,1),업무일지!$AA$5:$AA$1004,"*"&amp;$A38&amp;"*"),COUNTIFS(업무일지!$B$5:$B$1004,"&gt;="&amp;DATE($B$3,12,1),업무일지!$B$5:$B$1004,"&lt;"&amp;DATE($B$3,12+1,1),업무일지!$AA$5:$AA$1004,"*"&amp;$A38&amp;"*",업무일지!$D$5:$D$1004,$B$30)))</f>
        <v/>
      </c>
      <c r="N38" s="118">
        <f>IF($A38="","",SUM(B38:M38))</f>
        <v/>
      </c>
    </row>
    <row r="39">
      <c r="A39" s="107">
        <f>IF($A14="","",$A14)</f>
        <v/>
      </c>
      <c r="B39" s="129">
        <f>IF($A39="","",IF($B$30="전체",COUNTIFS(업무일지!$B$5:$B$1004,"&gt;="&amp;DATE($B$3,1,1),업무일지!$B$5:$B$1004,"&lt;"&amp;DATE($B$3,1+1,1),업무일지!$AA$5:$AA$1004,"*"&amp;$A39&amp;"*"),COUNTIFS(업무일지!$B$5:$B$1004,"&gt;="&amp;DATE($B$3,1,1),업무일지!$B$5:$B$1004,"&lt;"&amp;DATE($B$3,1+1,1),업무일지!$AA$5:$AA$1004,"*"&amp;$A39&amp;"*",업무일지!$D$5:$D$1004,$B$30)))</f>
        <v/>
      </c>
      <c r="C39" s="129">
        <f>IF($A39="","",IF($B$30="전체",COUNTIFS(업무일지!$B$5:$B$1004,"&gt;="&amp;DATE($B$3,2,1),업무일지!$B$5:$B$1004,"&lt;"&amp;DATE($B$3,2+1,1),업무일지!$AA$5:$AA$1004,"*"&amp;$A39&amp;"*"),COUNTIFS(업무일지!$B$5:$B$1004,"&gt;="&amp;DATE($B$3,2,1),업무일지!$B$5:$B$1004,"&lt;"&amp;DATE($B$3,2+1,1),업무일지!$AA$5:$AA$1004,"*"&amp;$A39&amp;"*",업무일지!$D$5:$D$1004,$B$30)))</f>
        <v/>
      </c>
      <c r="D39" s="129">
        <f>IF($A39="","",IF($B$30="전체",COUNTIFS(업무일지!$B$5:$B$1004,"&gt;="&amp;DATE($B$3,3,1),업무일지!$B$5:$B$1004,"&lt;"&amp;DATE($B$3,3+1,1),업무일지!$AA$5:$AA$1004,"*"&amp;$A39&amp;"*"),COUNTIFS(업무일지!$B$5:$B$1004,"&gt;="&amp;DATE($B$3,3,1),업무일지!$B$5:$B$1004,"&lt;"&amp;DATE($B$3,3+1,1),업무일지!$AA$5:$AA$1004,"*"&amp;$A39&amp;"*",업무일지!$D$5:$D$1004,$B$30)))</f>
        <v/>
      </c>
      <c r="E39" s="129">
        <f>IF($A39="","",IF($B$30="전체",COUNTIFS(업무일지!$B$5:$B$1004,"&gt;="&amp;DATE($B$3,4,1),업무일지!$B$5:$B$1004,"&lt;"&amp;DATE($B$3,4+1,1),업무일지!$AA$5:$AA$1004,"*"&amp;$A39&amp;"*"),COUNTIFS(업무일지!$B$5:$B$1004,"&gt;="&amp;DATE($B$3,4,1),업무일지!$B$5:$B$1004,"&lt;"&amp;DATE($B$3,4+1,1),업무일지!$AA$5:$AA$1004,"*"&amp;$A39&amp;"*",업무일지!$D$5:$D$1004,$B$30)))</f>
        <v/>
      </c>
      <c r="F39" s="129">
        <f>IF($A39="","",IF($B$30="전체",COUNTIFS(업무일지!$B$5:$B$1004,"&gt;="&amp;DATE($B$3,5,1),업무일지!$B$5:$B$1004,"&lt;"&amp;DATE($B$3,5+1,1),업무일지!$AA$5:$AA$1004,"*"&amp;$A39&amp;"*"),COUNTIFS(업무일지!$B$5:$B$1004,"&gt;="&amp;DATE($B$3,5,1),업무일지!$B$5:$B$1004,"&lt;"&amp;DATE($B$3,5+1,1),업무일지!$AA$5:$AA$1004,"*"&amp;$A39&amp;"*",업무일지!$D$5:$D$1004,$B$30)))</f>
        <v/>
      </c>
      <c r="G39" s="129">
        <f>IF($A39="","",IF($B$30="전체",COUNTIFS(업무일지!$B$5:$B$1004,"&gt;="&amp;DATE($B$3,6,1),업무일지!$B$5:$B$1004,"&lt;"&amp;DATE($B$3,6+1,1),업무일지!$AA$5:$AA$1004,"*"&amp;$A39&amp;"*"),COUNTIFS(업무일지!$B$5:$B$1004,"&gt;="&amp;DATE($B$3,6,1),업무일지!$B$5:$B$1004,"&lt;"&amp;DATE($B$3,6+1,1),업무일지!$AA$5:$AA$1004,"*"&amp;$A39&amp;"*",업무일지!$D$5:$D$1004,$B$30)))</f>
        <v/>
      </c>
      <c r="H39" s="129">
        <f>IF($A39="","",IF($B$30="전체",COUNTIFS(업무일지!$B$5:$B$1004,"&gt;="&amp;DATE($B$3,7,1),업무일지!$B$5:$B$1004,"&lt;"&amp;DATE($B$3,7+1,1),업무일지!$AA$5:$AA$1004,"*"&amp;$A39&amp;"*"),COUNTIFS(업무일지!$B$5:$B$1004,"&gt;="&amp;DATE($B$3,7,1),업무일지!$B$5:$B$1004,"&lt;"&amp;DATE($B$3,7+1,1),업무일지!$AA$5:$AA$1004,"*"&amp;$A39&amp;"*",업무일지!$D$5:$D$1004,$B$30)))</f>
        <v/>
      </c>
      <c r="I39" s="129">
        <f>IF($A39="","",IF($B$30="전체",COUNTIFS(업무일지!$B$5:$B$1004,"&gt;="&amp;DATE($B$3,8,1),업무일지!$B$5:$B$1004,"&lt;"&amp;DATE($B$3,8+1,1),업무일지!$AA$5:$AA$1004,"*"&amp;$A39&amp;"*"),COUNTIFS(업무일지!$B$5:$B$1004,"&gt;="&amp;DATE($B$3,8,1),업무일지!$B$5:$B$1004,"&lt;"&amp;DATE($B$3,8+1,1),업무일지!$AA$5:$AA$1004,"*"&amp;$A39&amp;"*",업무일지!$D$5:$D$1004,$B$30)))</f>
        <v/>
      </c>
      <c r="J39" s="129">
        <f>IF($A39="","",IF($B$30="전체",COUNTIFS(업무일지!$B$5:$B$1004,"&gt;="&amp;DATE($B$3,9,1),업무일지!$B$5:$B$1004,"&lt;"&amp;DATE($B$3,9+1,1),업무일지!$AA$5:$AA$1004,"*"&amp;$A39&amp;"*"),COUNTIFS(업무일지!$B$5:$B$1004,"&gt;="&amp;DATE($B$3,9,1),업무일지!$B$5:$B$1004,"&lt;"&amp;DATE($B$3,9+1,1),업무일지!$AA$5:$AA$1004,"*"&amp;$A39&amp;"*",업무일지!$D$5:$D$1004,$B$30)))</f>
        <v/>
      </c>
      <c r="K39" s="129">
        <f>IF($A39="","",IF($B$30="전체",COUNTIFS(업무일지!$B$5:$B$1004,"&gt;="&amp;DATE($B$3,10,1),업무일지!$B$5:$B$1004,"&lt;"&amp;DATE($B$3,10+1,1),업무일지!$AA$5:$AA$1004,"*"&amp;$A39&amp;"*"),COUNTIFS(업무일지!$B$5:$B$1004,"&gt;="&amp;DATE($B$3,10,1),업무일지!$B$5:$B$1004,"&lt;"&amp;DATE($B$3,10+1,1),업무일지!$AA$5:$AA$1004,"*"&amp;$A39&amp;"*",업무일지!$D$5:$D$1004,$B$30)))</f>
        <v/>
      </c>
      <c r="L39" s="129">
        <f>IF($A39="","",IF($B$30="전체",COUNTIFS(업무일지!$B$5:$B$1004,"&gt;="&amp;DATE($B$3,11,1),업무일지!$B$5:$B$1004,"&lt;"&amp;DATE($B$3,11+1,1),업무일지!$AA$5:$AA$1004,"*"&amp;$A39&amp;"*"),COUNTIFS(업무일지!$B$5:$B$1004,"&gt;="&amp;DATE($B$3,11,1),업무일지!$B$5:$B$1004,"&lt;"&amp;DATE($B$3,11+1,1),업무일지!$AA$5:$AA$1004,"*"&amp;$A39&amp;"*",업무일지!$D$5:$D$1004,$B$30)))</f>
        <v/>
      </c>
      <c r="M39" s="129">
        <f>IF($A39="","",IF($B$30="전체",COUNTIFS(업무일지!$B$5:$B$1004,"&gt;="&amp;DATE($B$3,12,1),업무일지!$B$5:$B$1004,"&lt;"&amp;DATE($B$3,12+1,1),업무일지!$AA$5:$AA$1004,"*"&amp;$A39&amp;"*"),COUNTIFS(업무일지!$B$5:$B$1004,"&gt;="&amp;DATE($B$3,12,1),업무일지!$B$5:$B$1004,"&lt;"&amp;DATE($B$3,12+1,1),업무일지!$AA$5:$AA$1004,"*"&amp;$A39&amp;"*",업무일지!$D$5:$D$1004,$B$30)))</f>
        <v/>
      </c>
      <c r="N39" s="118">
        <f>IF($A39="","",SUM(B39:M39))</f>
        <v/>
      </c>
    </row>
    <row r="40">
      <c r="A40" s="107">
        <f>IF($A15="","",$A15)</f>
        <v/>
      </c>
      <c r="B40" s="129">
        <f>IF($A40="","",IF($B$30="전체",COUNTIFS(업무일지!$B$5:$B$1004,"&gt;="&amp;DATE($B$3,1,1),업무일지!$B$5:$B$1004,"&lt;"&amp;DATE($B$3,1+1,1),업무일지!$AA$5:$AA$1004,"*"&amp;$A40&amp;"*"),COUNTIFS(업무일지!$B$5:$B$1004,"&gt;="&amp;DATE($B$3,1,1),업무일지!$B$5:$B$1004,"&lt;"&amp;DATE($B$3,1+1,1),업무일지!$AA$5:$AA$1004,"*"&amp;$A40&amp;"*",업무일지!$D$5:$D$1004,$B$30)))</f>
        <v/>
      </c>
      <c r="C40" s="129">
        <f>IF($A40="","",IF($B$30="전체",COUNTIFS(업무일지!$B$5:$B$1004,"&gt;="&amp;DATE($B$3,2,1),업무일지!$B$5:$B$1004,"&lt;"&amp;DATE($B$3,2+1,1),업무일지!$AA$5:$AA$1004,"*"&amp;$A40&amp;"*"),COUNTIFS(업무일지!$B$5:$B$1004,"&gt;="&amp;DATE($B$3,2,1),업무일지!$B$5:$B$1004,"&lt;"&amp;DATE($B$3,2+1,1),업무일지!$AA$5:$AA$1004,"*"&amp;$A40&amp;"*",업무일지!$D$5:$D$1004,$B$30)))</f>
        <v/>
      </c>
      <c r="D40" s="129">
        <f>IF($A40="","",IF($B$30="전체",COUNTIFS(업무일지!$B$5:$B$1004,"&gt;="&amp;DATE($B$3,3,1),업무일지!$B$5:$B$1004,"&lt;"&amp;DATE($B$3,3+1,1),업무일지!$AA$5:$AA$1004,"*"&amp;$A40&amp;"*"),COUNTIFS(업무일지!$B$5:$B$1004,"&gt;="&amp;DATE($B$3,3,1),업무일지!$B$5:$B$1004,"&lt;"&amp;DATE($B$3,3+1,1),업무일지!$AA$5:$AA$1004,"*"&amp;$A40&amp;"*",업무일지!$D$5:$D$1004,$B$30)))</f>
        <v/>
      </c>
      <c r="E40" s="129">
        <f>IF($A40="","",IF($B$30="전체",COUNTIFS(업무일지!$B$5:$B$1004,"&gt;="&amp;DATE($B$3,4,1),업무일지!$B$5:$B$1004,"&lt;"&amp;DATE($B$3,4+1,1),업무일지!$AA$5:$AA$1004,"*"&amp;$A40&amp;"*"),COUNTIFS(업무일지!$B$5:$B$1004,"&gt;="&amp;DATE($B$3,4,1),업무일지!$B$5:$B$1004,"&lt;"&amp;DATE($B$3,4+1,1),업무일지!$AA$5:$AA$1004,"*"&amp;$A40&amp;"*",업무일지!$D$5:$D$1004,$B$30)))</f>
        <v/>
      </c>
      <c r="F40" s="129">
        <f>IF($A40="","",IF($B$30="전체",COUNTIFS(업무일지!$B$5:$B$1004,"&gt;="&amp;DATE($B$3,5,1),업무일지!$B$5:$B$1004,"&lt;"&amp;DATE($B$3,5+1,1),업무일지!$AA$5:$AA$1004,"*"&amp;$A40&amp;"*"),COUNTIFS(업무일지!$B$5:$B$1004,"&gt;="&amp;DATE($B$3,5,1),업무일지!$B$5:$B$1004,"&lt;"&amp;DATE($B$3,5+1,1),업무일지!$AA$5:$AA$1004,"*"&amp;$A40&amp;"*",업무일지!$D$5:$D$1004,$B$30)))</f>
        <v/>
      </c>
      <c r="G40" s="129">
        <f>IF($A40="","",IF($B$30="전체",COUNTIFS(업무일지!$B$5:$B$1004,"&gt;="&amp;DATE($B$3,6,1),업무일지!$B$5:$B$1004,"&lt;"&amp;DATE($B$3,6+1,1),업무일지!$AA$5:$AA$1004,"*"&amp;$A40&amp;"*"),COUNTIFS(업무일지!$B$5:$B$1004,"&gt;="&amp;DATE($B$3,6,1),업무일지!$B$5:$B$1004,"&lt;"&amp;DATE($B$3,6+1,1),업무일지!$AA$5:$AA$1004,"*"&amp;$A40&amp;"*",업무일지!$D$5:$D$1004,$B$30)))</f>
        <v/>
      </c>
      <c r="H40" s="129">
        <f>IF($A40="","",IF($B$30="전체",COUNTIFS(업무일지!$B$5:$B$1004,"&gt;="&amp;DATE($B$3,7,1),업무일지!$B$5:$B$1004,"&lt;"&amp;DATE($B$3,7+1,1),업무일지!$AA$5:$AA$1004,"*"&amp;$A40&amp;"*"),COUNTIFS(업무일지!$B$5:$B$1004,"&gt;="&amp;DATE($B$3,7,1),업무일지!$B$5:$B$1004,"&lt;"&amp;DATE($B$3,7+1,1),업무일지!$AA$5:$AA$1004,"*"&amp;$A40&amp;"*",업무일지!$D$5:$D$1004,$B$30)))</f>
        <v/>
      </c>
      <c r="I40" s="129">
        <f>IF($A40="","",IF($B$30="전체",COUNTIFS(업무일지!$B$5:$B$1004,"&gt;="&amp;DATE($B$3,8,1),업무일지!$B$5:$B$1004,"&lt;"&amp;DATE($B$3,8+1,1),업무일지!$AA$5:$AA$1004,"*"&amp;$A40&amp;"*"),COUNTIFS(업무일지!$B$5:$B$1004,"&gt;="&amp;DATE($B$3,8,1),업무일지!$B$5:$B$1004,"&lt;"&amp;DATE($B$3,8+1,1),업무일지!$AA$5:$AA$1004,"*"&amp;$A40&amp;"*",업무일지!$D$5:$D$1004,$B$30)))</f>
        <v/>
      </c>
      <c r="J40" s="129">
        <f>IF($A40="","",IF($B$30="전체",COUNTIFS(업무일지!$B$5:$B$1004,"&gt;="&amp;DATE($B$3,9,1),업무일지!$B$5:$B$1004,"&lt;"&amp;DATE($B$3,9+1,1),업무일지!$AA$5:$AA$1004,"*"&amp;$A40&amp;"*"),COUNTIFS(업무일지!$B$5:$B$1004,"&gt;="&amp;DATE($B$3,9,1),업무일지!$B$5:$B$1004,"&lt;"&amp;DATE($B$3,9+1,1),업무일지!$AA$5:$AA$1004,"*"&amp;$A40&amp;"*",업무일지!$D$5:$D$1004,$B$30)))</f>
        <v/>
      </c>
      <c r="K40" s="129">
        <f>IF($A40="","",IF($B$30="전체",COUNTIFS(업무일지!$B$5:$B$1004,"&gt;="&amp;DATE($B$3,10,1),업무일지!$B$5:$B$1004,"&lt;"&amp;DATE($B$3,10+1,1),업무일지!$AA$5:$AA$1004,"*"&amp;$A40&amp;"*"),COUNTIFS(업무일지!$B$5:$B$1004,"&gt;="&amp;DATE($B$3,10,1),업무일지!$B$5:$B$1004,"&lt;"&amp;DATE($B$3,10+1,1),업무일지!$AA$5:$AA$1004,"*"&amp;$A40&amp;"*",업무일지!$D$5:$D$1004,$B$30)))</f>
        <v/>
      </c>
      <c r="L40" s="129">
        <f>IF($A40="","",IF($B$30="전체",COUNTIFS(업무일지!$B$5:$B$1004,"&gt;="&amp;DATE($B$3,11,1),업무일지!$B$5:$B$1004,"&lt;"&amp;DATE($B$3,11+1,1),업무일지!$AA$5:$AA$1004,"*"&amp;$A40&amp;"*"),COUNTIFS(업무일지!$B$5:$B$1004,"&gt;="&amp;DATE($B$3,11,1),업무일지!$B$5:$B$1004,"&lt;"&amp;DATE($B$3,11+1,1),업무일지!$AA$5:$AA$1004,"*"&amp;$A40&amp;"*",업무일지!$D$5:$D$1004,$B$30)))</f>
        <v/>
      </c>
      <c r="M40" s="129">
        <f>IF($A40="","",IF($B$30="전체",COUNTIFS(업무일지!$B$5:$B$1004,"&gt;="&amp;DATE($B$3,12,1),업무일지!$B$5:$B$1004,"&lt;"&amp;DATE($B$3,12+1,1),업무일지!$AA$5:$AA$1004,"*"&amp;$A40&amp;"*"),COUNTIFS(업무일지!$B$5:$B$1004,"&gt;="&amp;DATE($B$3,12,1),업무일지!$B$5:$B$1004,"&lt;"&amp;DATE($B$3,12+1,1),업무일지!$AA$5:$AA$1004,"*"&amp;$A40&amp;"*",업무일지!$D$5:$D$1004,$B$30)))</f>
        <v/>
      </c>
      <c r="N40" s="118">
        <f>IF($A40="","",SUM(B40:M40))</f>
        <v/>
      </c>
    </row>
    <row r="41">
      <c r="A41" s="107">
        <f>IF($A16="","",$A16)</f>
        <v/>
      </c>
      <c r="B41" s="129">
        <f>IF($A41="","",IF($B$30="전체",COUNTIFS(업무일지!$B$5:$B$1004,"&gt;="&amp;DATE($B$3,1,1),업무일지!$B$5:$B$1004,"&lt;"&amp;DATE($B$3,1+1,1),업무일지!$AA$5:$AA$1004,"*"&amp;$A41&amp;"*"),COUNTIFS(업무일지!$B$5:$B$1004,"&gt;="&amp;DATE($B$3,1,1),업무일지!$B$5:$B$1004,"&lt;"&amp;DATE($B$3,1+1,1),업무일지!$AA$5:$AA$1004,"*"&amp;$A41&amp;"*",업무일지!$D$5:$D$1004,$B$30)))</f>
        <v/>
      </c>
      <c r="C41" s="129">
        <f>IF($A41="","",IF($B$30="전체",COUNTIFS(업무일지!$B$5:$B$1004,"&gt;="&amp;DATE($B$3,2,1),업무일지!$B$5:$B$1004,"&lt;"&amp;DATE($B$3,2+1,1),업무일지!$AA$5:$AA$1004,"*"&amp;$A41&amp;"*"),COUNTIFS(업무일지!$B$5:$B$1004,"&gt;="&amp;DATE($B$3,2,1),업무일지!$B$5:$B$1004,"&lt;"&amp;DATE($B$3,2+1,1),업무일지!$AA$5:$AA$1004,"*"&amp;$A41&amp;"*",업무일지!$D$5:$D$1004,$B$30)))</f>
        <v/>
      </c>
      <c r="D41" s="129">
        <f>IF($A41="","",IF($B$30="전체",COUNTIFS(업무일지!$B$5:$B$1004,"&gt;="&amp;DATE($B$3,3,1),업무일지!$B$5:$B$1004,"&lt;"&amp;DATE($B$3,3+1,1),업무일지!$AA$5:$AA$1004,"*"&amp;$A41&amp;"*"),COUNTIFS(업무일지!$B$5:$B$1004,"&gt;="&amp;DATE($B$3,3,1),업무일지!$B$5:$B$1004,"&lt;"&amp;DATE($B$3,3+1,1),업무일지!$AA$5:$AA$1004,"*"&amp;$A41&amp;"*",업무일지!$D$5:$D$1004,$B$30)))</f>
        <v/>
      </c>
      <c r="E41" s="129">
        <f>IF($A41="","",IF($B$30="전체",COUNTIFS(업무일지!$B$5:$B$1004,"&gt;="&amp;DATE($B$3,4,1),업무일지!$B$5:$B$1004,"&lt;"&amp;DATE($B$3,4+1,1),업무일지!$AA$5:$AA$1004,"*"&amp;$A41&amp;"*"),COUNTIFS(업무일지!$B$5:$B$1004,"&gt;="&amp;DATE($B$3,4,1),업무일지!$B$5:$B$1004,"&lt;"&amp;DATE($B$3,4+1,1),업무일지!$AA$5:$AA$1004,"*"&amp;$A41&amp;"*",업무일지!$D$5:$D$1004,$B$30)))</f>
        <v/>
      </c>
      <c r="F41" s="129">
        <f>IF($A41="","",IF($B$30="전체",COUNTIFS(업무일지!$B$5:$B$1004,"&gt;="&amp;DATE($B$3,5,1),업무일지!$B$5:$B$1004,"&lt;"&amp;DATE($B$3,5+1,1),업무일지!$AA$5:$AA$1004,"*"&amp;$A41&amp;"*"),COUNTIFS(업무일지!$B$5:$B$1004,"&gt;="&amp;DATE($B$3,5,1),업무일지!$B$5:$B$1004,"&lt;"&amp;DATE($B$3,5+1,1),업무일지!$AA$5:$AA$1004,"*"&amp;$A41&amp;"*",업무일지!$D$5:$D$1004,$B$30)))</f>
        <v/>
      </c>
      <c r="G41" s="129">
        <f>IF($A41="","",IF($B$30="전체",COUNTIFS(업무일지!$B$5:$B$1004,"&gt;="&amp;DATE($B$3,6,1),업무일지!$B$5:$B$1004,"&lt;"&amp;DATE($B$3,6+1,1),업무일지!$AA$5:$AA$1004,"*"&amp;$A41&amp;"*"),COUNTIFS(업무일지!$B$5:$B$1004,"&gt;="&amp;DATE($B$3,6,1),업무일지!$B$5:$B$1004,"&lt;"&amp;DATE($B$3,6+1,1),업무일지!$AA$5:$AA$1004,"*"&amp;$A41&amp;"*",업무일지!$D$5:$D$1004,$B$30)))</f>
        <v/>
      </c>
      <c r="H41" s="129">
        <f>IF($A41="","",IF($B$30="전체",COUNTIFS(업무일지!$B$5:$B$1004,"&gt;="&amp;DATE($B$3,7,1),업무일지!$B$5:$B$1004,"&lt;"&amp;DATE($B$3,7+1,1),업무일지!$AA$5:$AA$1004,"*"&amp;$A41&amp;"*"),COUNTIFS(업무일지!$B$5:$B$1004,"&gt;="&amp;DATE($B$3,7,1),업무일지!$B$5:$B$1004,"&lt;"&amp;DATE($B$3,7+1,1),업무일지!$AA$5:$AA$1004,"*"&amp;$A41&amp;"*",업무일지!$D$5:$D$1004,$B$30)))</f>
        <v/>
      </c>
      <c r="I41" s="129">
        <f>IF($A41="","",IF($B$30="전체",COUNTIFS(업무일지!$B$5:$B$1004,"&gt;="&amp;DATE($B$3,8,1),업무일지!$B$5:$B$1004,"&lt;"&amp;DATE($B$3,8+1,1),업무일지!$AA$5:$AA$1004,"*"&amp;$A41&amp;"*"),COUNTIFS(업무일지!$B$5:$B$1004,"&gt;="&amp;DATE($B$3,8,1),업무일지!$B$5:$B$1004,"&lt;"&amp;DATE($B$3,8+1,1),업무일지!$AA$5:$AA$1004,"*"&amp;$A41&amp;"*",업무일지!$D$5:$D$1004,$B$30)))</f>
        <v/>
      </c>
      <c r="J41" s="129">
        <f>IF($A41="","",IF($B$30="전체",COUNTIFS(업무일지!$B$5:$B$1004,"&gt;="&amp;DATE($B$3,9,1),업무일지!$B$5:$B$1004,"&lt;"&amp;DATE($B$3,9+1,1),업무일지!$AA$5:$AA$1004,"*"&amp;$A41&amp;"*"),COUNTIFS(업무일지!$B$5:$B$1004,"&gt;="&amp;DATE($B$3,9,1),업무일지!$B$5:$B$1004,"&lt;"&amp;DATE($B$3,9+1,1),업무일지!$AA$5:$AA$1004,"*"&amp;$A41&amp;"*",업무일지!$D$5:$D$1004,$B$30)))</f>
        <v/>
      </c>
      <c r="K41" s="129">
        <f>IF($A41="","",IF($B$30="전체",COUNTIFS(업무일지!$B$5:$B$1004,"&gt;="&amp;DATE($B$3,10,1),업무일지!$B$5:$B$1004,"&lt;"&amp;DATE($B$3,10+1,1),업무일지!$AA$5:$AA$1004,"*"&amp;$A41&amp;"*"),COUNTIFS(업무일지!$B$5:$B$1004,"&gt;="&amp;DATE($B$3,10,1),업무일지!$B$5:$B$1004,"&lt;"&amp;DATE($B$3,10+1,1),업무일지!$AA$5:$AA$1004,"*"&amp;$A41&amp;"*",업무일지!$D$5:$D$1004,$B$30)))</f>
        <v/>
      </c>
      <c r="L41" s="129">
        <f>IF($A41="","",IF($B$30="전체",COUNTIFS(업무일지!$B$5:$B$1004,"&gt;="&amp;DATE($B$3,11,1),업무일지!$B$5:$B$1004,"&lt;"&amp;DATE($B$3,11+1,1),업무일지!$AA$5:$AA$1004,"*"&amp;$A41&amp;"*"),COUNTIFS(업무일지!$B$5:$B$1004,"&gt;="&amp;DATE($B$3,11,1),업무일지!$B$5:$B$1004,"&lt;"&amp;DATE($B$3,11+1,1),업무일지!$AA$5:$AA$1004,"*"&amp;$A41&amp;"*",업무일지!$D$5:$D$1004,$B$30)))</f>
        <v/>
      </c>
      <c r="M41" s="129">
        <f>IF($A41="","",IF($B$30="전체",COUNTIFS(업무일지!$B$5:$B$1004,"&gt;="&amp;DATE($B$3,12,1),업무일지!$B$5:$B$1004,"&lt;"&amp;DATE($B$3,12+1,1),업무일지!$AA$5:$AA$1004,"*"&amp;$A41&amp;"*"),COUNTIFS(업무일지!$B$5:$B$1004,"&gt;="&amp;DATE($B$3,12,1),업무일지!$B$5:$B$1004,"&lt;"&amp;DATE($B$3,12+1,1),업무일지!$AA$5:$AA$1004,"*"&amp;$A41&amp;"*",업무일지!$D$5:$D$1004,$B$30)))</f>
        <v/>
      </c>
      <c r="N41" s="118">
        <f>IF($A41="","",SUM(B41:M41))</f>
        <v/>
      </c>
    </row>
    <row r="42">
      <c r="A42" s="107">
        <f>IF($A17="","",$A17)</f>
        <v/>
      </c>
      <c r="B42" s="129">
        <f>IF($A42="","",IF($B$30="전체",COUNTIFS(업무일지!$B$5:$B$1004,"&gt;="&amp;DATE($B$3,1,1),업무일지!$B$5:$B$1004,"&lt;"&amp;DATE($B$3,1+1,1),업무일지!$AA$5:$AA$1004,"*"&amp;$A42&amp;"*"),COUNTIFS(업무일지!$B$5:$B$1004,"&gt;="&amp;DATE($B$3,1,1),업무일지!$B$5:$B$1004,"&lt;"&amp;DATE($B$3,1+1,1),업무일지!$AA$5:$AA$1004,"*"&amp;$A42&amp;"*",업무일지!$D$5:$D$1004,$B$30)))</f>
        <v/>
      </c>
      <c r="C42" s="129">
        <f>IF($A42="","",IF($B$30="전체",COUNTIFS(업무일지!$B$5:$B$1004,"&gt;="&amp;DATE($B$3,2,1),업무일지!$B$5:$B$1004,"&lt;"&amp;DATE($B$3,2+1,1),업무일지!$AA$5:$AA$1004,"*"&amp;$A42&amp;"*"),COUNTIFS(업무일지!$B$5:$B$1004,"&gt;="&amp;DATE($B$3,2,1),업무일지!$B$5:$B$1004,"&lt;"&amp;DATE($B$3,2+1,1),업무일지!$AA$5:$AA$1004,"*"&amp;$A42&amp;"*",업무일지!$D$5:$D$1004,$B$30)))</f>
        <v/>
      </c>
      <c r="D42" s="129">
        <f>IF($A42="","",IF($B$30="전체",COUNTIFS(업무일지!$B$5:$B$1004,"&gt;="&amp;DATE($B$3,3,1),업무일지!$B$5:$B$1004,"&lt;"&amp;DATE($B$3,3+1,1),업무일지!$AA$5:$AA$1004,"*"&amp;$A42&amp;"*"),COUNTIFS(업무일지!$B$5:$B$1004,"&gt;="&amp;DATE($B$3,3,1),업무일지!$B$5:$B$1004,"&lt;"&amp;DATE($B$3,3+1,1),업무일지!$AA$5:$AA$1004,"*"&amp;$A42&amp;"*",업무일지!$D$5:$D$1004,$B$30)))</f>
        <v/>
      </c>
      <c r="E42" s="129">
        <f>IF($A42="","",IF($B$30="전체",COUNTIFS(업무일지!$B$5:$B$1004,"&gt;="&amp;DATE($B$3,4,1),업무일지!$B$5:$B$1004,"&lt;"&amp;DATE($B$3,4+1,1),업무일지!$AA$5:$AA$1004,"*"&amp;$A42&amp;"*"),COUNTIFS(업무일지!$B$5:$B$1004,"&gt;="&amp;DATE($B$3,4,1),업무일지!$B$5:$B$1004,"&lt;"&amp;DATE($B$3,4+1,1),업무일지!$AA$5:$AA$1004,"*"&amp;$A42&amp;"*",업무일지!$D$5:$D$1004,$B$30)))</f>
        <v/>
      </c>
      <c r="F42" s="129">
        <f>IF($A42="","",IF($B$30="전체",COUNTIFS(업무일지!$B$5:$B$1004,"&gt;="&amp;DATE($B$3,5,1),업무일지!$B$5:$B$1004,"&lt;"&amp;DATE($B$3,5+1,1),업무일지!$AA$5:$AA$1004,"*"&amp;$A42&amp;"*"),COUNTIFS(업무일지!$B$5:$B$1004,"&gt;="&amp;DATE($B$3,5,1),업무일지!$B$5:$B$1004,"&lt;"&amp;DATE($B$3,5+1,1),업무일지!$AA$5:$AA$1004,"*"&amp;$A42&amp;"*",업무일지!$D$5:$D$1004,$B$30)))</f>
        <v/>
      </c>
      <c r="G42" s="129">
        <f>IF($A42="","",IF($B$30="전체",COUNTIFS(업무일지!$B$5:$B$1004,"&gt;="&amp;DATE($B$3,6,1),업무일지!$B$5:$B$1004,"&lt;"&amp;DATE($B$3,6+1,1),업무일지!$AA$5:$AA$1004,"*"&amp;$A42&amp;"*"),COUNTIFS(업무일지!$B$5:$B$1004,"&gt;="&amp;DATE($B$3,6,1),업무일지!$B$5:$B$1004,"&lt;"&amp;DATE($B$3,6+1,1),업무일지!$AA$5:$AA$1004,"*"&amp;$A42&amp;"*",업무일지!$D$5:$D$1004,$B$30)))</f>
        <v/>
      </c>
      <c r="H42" s="129">
        <f>IF($A42="","",IF($B$30="전체",COUNTIFS(업무일지!$B$5:$B$1004,"&gt;="&amp;DATE($B$3,7,1),업무일지!$B$5:$B$1004,"&lt;"&amp;DATE($B$3,7+1,1),업무일지!$AA$5:$AA$1004,"*"&amp;$A42&amp;"*"),COUNTIFS(업무일지!$B$5:$B$1004,"&gt;="&amp;DATE($B$3,7,1),업무일지!$B$5:$B$1004,"&lt;"&amp;DATE($B$3,7+1,1),업무일지!$AA$5:$AA$1004,"*"&amp;$A42&amp;"*",업무일지!$D$5:$D$1004,$B$30)))</f>
        <v/>
      </c>
      <c r="I42" s="129">
        <f>IF($A42="","",IF($B$30="전체",COUNTIFS(업무일지!$B$5:$B$1004,"&gt;="&amp;DATE($B$3,8,1),업무일지!$B$5:$B$1004,"&lt;"&amp;DATE($B$3,8+1,1),업무일지!$AA$5:$AA$1004,"*"&amp;$A42&amp;"*"),COUNTIFS(업무일지!$B$5:$B$1004,"&gt;="&amp;DATE($B$3,8,1),업무일지!$B$5:$B$1004,"&lt;"&amp;DATE($B$3,8+1,1),업무일지!$AA$5:$AA$1004,"*"&amp;$A42&amp;"*",업무일지!$D$5:$D$1004,$B$30)))</f>
        <v/>
      </c>
      <c r="J42" s="129">
        <f>IF($A42="","",IF($B$30="전체",COUNTIFS(업무일지!$B$5:$B$1004,"&gt;="&amp;DATE($B$3,9,1),업무일지!$B$5:$B$1004,"&lt;"&amp;DATE($B$3,9+1,1),업무일지!$AA$5:$AA$1004,"*"&amp;$A42&amp;"*"),COUNTIFS(업무일지!$B$5:$B$1004,"&gt;="&amp;DATE($B$3,9,1),업무일지!$B$5:$B$1004,"&lt;"&amp;DATE($B$3,9+1,1),업무일지!$AA$5:$AA$1004,"*"&amp;$A42&amp;"*",업무일지!$D$5:$D$1004,$B$30)))</f>
        <v/>
      </c>
      <c r="K42" s="129">
        <f>IF($A42="","",IF($B$30="전체",COUNTIFS(업무일지!$B$5:$B$1004,"&gt;="&amp;DATE($B$3,10,1),업무일지!$B$5:$B$1004,"&lt;"&amp;DATE($B$3,10+1,1),업무일지!$AA$5:$AA$1004,"*"&amp;$A42&amp;"*"),COUNTIFS(업무일지!$B$5:$B$1004,"&gt;="&amp;DATE($B$3,10,1),업무일지!$B$5:$B$1004,"&lt;"&amp;DATE($B$3,10+1,1),업무일지!$AA$5:$AA$1004,"*"&amp;$A42&amp;"*",업무일지!$D$5:$D$1004,$B$30)))</f>
        <v/>
      </c>
      <c r="L42" s="129">
        <f>IF($A42="","",IF($B$30="전체",COUNTIFS(업무일지!$B$5:$B$1004,"&gt;="&amp;DATE($B$3,11,1),업무일지!$B$5:$B$1004,"&lt;"&amp;DATE($B$3,11+1,1),업무일지!$AA$5:$AA$1004,"*"&amp;$A42&amp;"*"),COUNTIFS(업무일지!$B$5:$B$1004,"&gt;="&amp;DATE($B$3,11,1),업무일지!$B$5:$B$1004,"&lt;"&amp;DATE($B$3,11+1,1),업무일지!$AA$5:$AA$1004,"*"&amp;$A42&amp;"*",업무일지!$D$5:$D$1004,$B$30)))</f>
        <v/>
      </c>
      <c r="M42" s="129">
        <f>IF($A42="","",IF($B$30="전체",COUNTIFS(업무일지!$B$5:$B$1004,"&gt;="&amp;DATE($B$3,12,1),업무일지!$B$5:$B$1004,"&lt;"&amp;DATE($B$3,12+1,1),업무일지!$AA$5:$AA$1004,"*"&amp;$A42&amp;"*"),COUNTIFS(업무일지!$B$5:$B$1004,"&gt;="&amp;DATE($B$3,12,1),업무일지!$B$5:$B$1004,"&lt;"&amp;DATE($B$3,12+1,1),업무일지!$AA$5:$AA$1004,"*"&amp;$A42&amp;"*",업무일지!$D$5:$D$1004,$B$30)))</f>
        <v/>
      </c>
      <c r="N42" s="118">
        <f>IF($A42="","",SUM(B42:M42))</f>
        <v/>
      </c>
    </row>
    <row r="43">
      <c r="A43" s="107">
        <f>IF($A18="","",$A18)</f>
        <v/>
      </c>
      <c r="B43" s="129">
        <f>IF($A43="","",IF($B$30="전체",COUNTIFS(업무일지!$B$5:$B$1004,"&gt;="&amp;DATE($B$3,1,1),업무일지!$B$5:$B$1004,"&lt;"&amp;DATE($B$3,1+1,1),업무일지!$AA$5:$AA$1004,"*"&amp;$A43&amp;"*"),COUNTIFS(업무일지!$B$5:$B$1004,"&gt;="&amp;DATE($B$3,1,1),업무일지!$B$5:$B$1004,"&lt;"&amp;DATE($B$3,1+1,1),업무일지!$AA$5:$AA$1004,"*"&amp;$A43&amp;"*",업무일지!$D$5:$D$1004,$B$30)))</f>
        <v/>
      </c>
      <c r="C43" s="129">
        <f>IF($A43="","",IF($B$30="전체",COUNTIFS(업무일지!$B$5:$B$1004,"&gt;="&amp;DATE($B$3,2,1),업무일지!$B$5:$B$1004,"&lt;"&amp;DATE($B$3,2+1,1),업무일지!$AA$5:$AA$1004,"*"&amp;$A43&amp;"*"),COUNTIFS(업무일지!$B$5:$B$1004,"&gt;="&amp;DATE($B$3,2,1),업무일지!$B$5:$B$1004,"&lt;"&amp;DATE($B$3,2+1,1),업무일지!$AA$5:$AA$1004,"*"&amp;$A43&amp;"*",업무일지!$D$5:$D$1004,$B$30)))</f>
        <v/>
      </c>
      <c r="D43" s="129">
        <f>IF($A43="","",IF($B$30="전체",COUNTIFS(업무일지!$B$5:$B$1004,"&gt;="&amp;DATE($B$3,3,1),업무일지!$B$5:$B$1004,"&lt;"&amp;DATE($B$3,3+1,1),업무일지!$AA$5:$AA$1004,"*"&amp;$A43&amp;"*"),COUNTIFS(업무일지!$B$5:$B$1004,"&gt;="&amp;DATE($B$3,3,1),업무일지!$B$5:$B$1004,"&lt;"&amp;DATE($B$3,3+1,1),업무일지!$AA$5:$AA$1004,"*"&amp;$A43&amp;"*",업무일지!$D$5:$D$1004,$B$30)))</f>
        <v/>
      </c>
      <c r="E43" s="129">
        <f>IF($A43="","",IF($B$30="전체",COUNTIFS(업무일지!$B$5:$B$1004,"&gt;="&amp;DATE($B$3,4,1),업무일지!$B$5:$B$1004,"&lt;"&amp;DATE($B$3,4+1,1),업무일지!$AA$5:$AA$1004,"*"&amp;$A43&amp;"*"),COUNTIFS(업무일지!$B$5:$B$1004,"&gt;="&amp;DATE($B$3,4,1),업무일지!$B$5:$B$1004,"&lt;"&amp;DATE($B$3,4+1,1),업무일지!$AA$5:$AA$1004,"*"&amp;$A43&amp;"*",업무일지!$D$5:$D$1004,$B$30)))</f>
        <v/>
      </c>
      <c r="F43" s="129">
        <f>IF($A43="","",IF($B$30="전체",COUNTIFS(업무일지!$B$5:$B$1004,"&gt;="&amp;DATE($B$3,5,1),업무일지!$B$5:$B$1004,"&lt;"&amp;DATE($B$3,5+1,1),업무일지!$AA$5:$AA$1004,"*"&amp;$A43&amp;"*"),COUNTIFS(업무일지!$B$5:$B$1004,"&gt;="&amp;DATE($B$3,5,1),업무일지!$B$5:$B$1004,"&lt;"&amp;DATE($B$3,5+1,1),업무일지!$AA$5:$AA$1004,"*"&amp;$A43&amp;"*",업무일지!$D$5:$D$1004,$B$30)))</f>
        <v/>
      </c>
      <c r="G43" s="129">
        <f>IF($A43="","",IF($B$30="전체",COUNTIFS(업무일지!$B$5:$B$1004,"&gt;="&amp;DATE($B$3,6,1),업무일지!$B$5:$B$1004,"&lt;"&amp;DATE($B$3,6+1,1),업무일지!$AA$5:$AA$1004,"*"&amp;$A43&amp;"*"),COUNTIFS(업무일지!$B$5:$B$1004,"&gt;="&amp;DATE($B$3,6,1),업무일지!$B$5:$B$1004,"&lt;"&amp;DATE($B$3,6+1,1),업무일지!$AA$5:$AA$1004,"*"&amp;$A43&amp;"*",업무일지!$D$5:$D$1004,$B$30)))</f>
        <v/>
      </c>
      <c r="H43" s="129">
        <f>IF($A43="","",IF($B$30="전체",COUNTIFS(업무일지!$B$5:$B$1004,"&gt;="&amp;DATE($B$3,7,1),업무일지!$B$5:$B$1004,"&lt;"&amp;DATE($B$3,7+1,1),업무일지!$AA$5:$AA$1004,"*"&amp;$A43&amp;"*"),COUNTIFS(업무일지!$B$5:$B$1004,"&gt;="&amp;DATE($B$3,7,1),업무일지!$B$5:$B$1004,"&lt;"&amp;DATE($B$3,7+1,1),업무일지!$AA$5:$AA$1004,"*"&amp;$A43&amp;"*",업무일지!$D$5:$D$1004,$B$30)))</f>
        <v/>
      </c>
      <c r="I43" s="129">
        <f>IF($A43="","",IF($B$30="전체",COUNTIFS(업무일지!$B$5:$B$1004,"&gt;="&amp;DATE($B$3,8,1),업무일지!$B$5:$B$1004,"&lt;"&amp;DATE($B$3,8+1,1),업무일지!$AA$5:$AA$1004,"*"&amp;$A43&amp;"*"),COUNTIFS(업무일지!$B$5:$B$1004,"&gt;="&amp;DATE($B$3,8,1),업무일지!$B$5:$B$1004,"&lt;"&amp;DATE($B$3,8+1,1),업무일지!$AA$5:$AA$1004,"*"&amp;$A43&amp;"*",업무일지!$D$5:$D$1004,$B$30)))</f>
        <v/>
      </c>
      <c r="J43" s="129">
        <f>IF($A43="","",IF($B$30="전체",COUNTIFS(업무일지!$B$5:$B$1004,"&gt;="&amp;DATE($B$3,9,1),업무일지!$B$5:$B$1004,"&lt;"&amp;DATE($B$3,9+1,1),업무일지!$AA$5:$AA$1004,"*"&amp;$A43&amp;"*"),COUNTIFS(업무일지!$B$5:$B$1004,"&gt;="&amp;DATE($B$3,9,1),업무일지!$B$5:$B$1004,"&lt;"&amp;DATE($B$3,9+1,1),업무일지!$AA$5:$AA$1004,"*"&amp;$A43&amp;"*",업무일지!$D$5:$D$1004,$B$30)))</f>
        <v/>
      </c>
      <c r="K43" s="129">
        <f>IF($A43="","",IF($B$30="전체",COUNTIFS(업무일지!$B$5:$B$1004,"&gt;="&amp;DATE($B$3,10,1),업무일지!$B$5:$B$1004,"&lt;"&amp;DATE($B$3,10+1,1),업무일지!$AA$5:$AA$1004,"*"&amp;$A43&amp;"*"),COUNTIFS(업무일지!$B$5:$B$1004,"&gt;="&amp;DATE($B$3,10,1),업무일지!$B$5:$B$1004,"&lt;"&amp;DATE($B$3,10+1,1),업무일지!$AA$5:$AA$1004,"*"&amp;$A43&amp;"*",업무일지!$D$5:$D$1004,$B$30)))</f>
        <v/>
      </c>
      <c r="L43" s="129">
        <f>IF($A43="","",IF($B$30="전체",COUNTIFS(업무일지!$B$5:$B$1004,"&gt;="&amp;DATE($B$3,11,1),업무일지!$B$5:$B$1004,"&lt;"&amp;DATE($B$3,11+1,1),업무일지!$AA$5:$AA$1004,"*"&amp;$A43&amp;"*"),COUNTIFS(업무일지!$B$5:$B$1004,"&gt;="&amp;DATE($B$3,11,1),업무일지!$B$5:$B$1004,"&lt;"&amp;DATE($B$3,11+1,1),업무일지!$AA$5:$AA$1004,"*"&amp;$A43&amp;"*",업무일지!$D$5:$D$1004,$B$30)))</f>
        <v/>
      </c>
      <c r="M43" s="129">
        <f>IF($A43="","",IF($B$30="전체",COUNTIFS(업무일지!$B$5:$B$1004,"&gt;="&amp;DATE($B$3,12,1),업무일지!$B$5:$B$1004,"&lt;"&amp;DATE($B$3,12+1,1),업무일지!$AA$5:$AA$1004,"*"&amp;$A43&amp;"*"),COUNTIFS(업무일지!$B$5:$B$1004,"&gt;="&amp;DATE($B$3,12,1),업무일지!$B$5:$B$1004,"&lt;"&amp;DATE($B$3,12+1,1),업무일지!$AA$5:$AA$1004,"*"&amp;$A43&amp;"*",업무일지!$D$5:$D$1004,$B$30)))</f>
        <v/>
      </c>
      <c r="N43" s="118">
        <f>IF($A43="","",SUM(B43:M43))</f>
        <v/>
      </c>
    </row>
    <row r="44">
      <c r="A44" s="107">
        <f>IF($A19="","",$A19)</f>
        <v/>
      </c>
      <c r="B44" s="129">
        <f>IF($A44="","",IF($B$30="전체",COUNTIFS(업무일지!$B$5:$B$1004,"&gt;="&amp;DATE($B$3,1,1),업무일지!$B$5:$B$1004,"&lt;"&amp;DATE($B$3,1+1,1),업무일지!$AA$5:$AA$1004,"*"&amp;$A44&amp;"*"),COUNTIFS(업무일지!$B$5:$B$1004,"&gt;="&amp;DATE($B$3,1,1),업무일지!$B$5:$B$1004,"&lt;"&amp;DATE($B$3,1+1,1),업무일지!$AA$5:$AA$1004,"*"&amp;$A44&amp;"*",업무일지!$D$5:$D$1004,$B$30)))</f>
        <v/>
      </c>
      <c r="C44" s="129">
        <f>IF($A44="","",IF($B$30="전체",COUNTIFS(업무일지!$B$5:$B$1004,"&gt;="&amp;DATE($B$3,2,1),업무일지!$B$5:$B$1004,"&lt;"&amp;DATE($B$3,2+1,1),업무일지!$AA$5:$AA$1004,"*"&amp;$A44&amp;"*"),COUNTIFS(업무일지!$B$5:$B$1004,"&gt;="&amp;DATE($B$3,2,1),업무일지!$B$5:$B$1004,"&lt;"&amp;DATE($B$3,2+1,1),업무일지!$AA$5:$AA$1004,"*"&amp;$A44&amp;"*",업무일지!$D$5:$D$1004,$B$30)))</f>
        <v/>
      </c>
      <c r="D44" s="129">
        <f>IF($A44="","",IF($B$30="전체",COUNTIFS(업무일지!$B$5:$B$1004,"&gt;="&amp;DATE($B$3,3,1),업무일지!$B$5:$B$1004,"&lt;"&amp;DATE($B$3,3+1,1),업무일지!$AA$5:$AA$1004,"*"&amp;$A44&amp;"*"),COUNTIFS(업무일지!$B$5:$B$1004,"&gt;="&amp;DATE($B$3,3,1),업무일지!$B$5:$B$1004,"&lt;"&amp;DATE($B$3,3+1,1),업무일지!$AA$5:$AA$1004,"*"&amp;$A44&amp;"*",업무일지!$D$5:$D$1004,$B$30)))</f>
        <v/>
      </c>
      <c r="E44" s="129">
        <f>IF($A44="","",IF($B$30="전체",COUNTIFS(업무일지!$B$5:$B$1004,"&gt;="&amp;DATE($B$3,4,1),업무일지!$B$5:$B$1004,"&lt;"&amp;DATE($B$3,4+1,1),업무일지!$AA$5:$AA$1004,"*"&amp;$A44&amp;"*"),COUNTIFS(업무일지!$B$5:$B$1004,"&gt;="&amp;DATE($B$3,4,1),업무일지!$B$5:$B$1004,"&lt;"&amp;DATE($B$3,4+1,1),업무일지!$AA$5:$AA$1004,"*"&amp;$A44&amp;"*",업무일지!$D$5:$D$1004,$B$30)))</f>
        <v/>
      </c>
      <c r="F44" s="129">
        <f>IF($A44="","",IF($B$30="전체",COUNTIFS(업무일지!$B$5:$B$1004,"&gt;="&amp;DATE($B$3,5,1),업무일지!$B$5:$B$1004,"&lt;"&amp;DATE($B$3,5+1,1),업무일지!$AA$5:$AA$1004,"*"&amp;$A44&amp;"*"),COUNTIFS(업무일지!$B$5:$B$1004,"&gt;="&amp;DATE($B$3,5,1),업무일지!$B$5:$B$1004,"&lt;"&amp;DATE($B$3,5+1,1),업무일지!$AA$5:$AA$1004,"*"&amp;$A44&amp;"*",업무일지!$D$5:$D$1004,$B$30)))</f>
        <v/>
      </c>
      <c r="G44" s="129">
        <f>IF($A44="","",IF($B$30="전체",COUNTIFS(업무일지!$B$5:$B$1004,"&gt;="&amp;DATE($B$3,6,1),업무일지!$B$5:$B$1004,"&lt;"&amp;DATE($B$3,6+1,1),업무일지!$AA$5:$AA$1004,"*"&amp;$A44&amp;"*"),COUNTIFS(업무일지!$B$5:$B$1004,"&gt;="&amp;DATE($B$3,6,1),업무일지!$B$5:$B$1004,"&lt;"&amp;DATE($B$3,6+1,1),업무일지!$AA$5:$AA$1004,"*"&amp;$A44&amp;"*",업무일지!$D$5:$D$1004,$B$30)))</f>
        <v/>
      </c>
      <c r="H44" s="129">
        <f>IF($A44="","",IF($B$30="전체",COUNTIFS(업무일지!$B$5:$B$1004,"&gt;="&amp;DATE($B$3,7,1),업무일지!$B$5:$B$1004,"&lt;"&amp;DATE($B$3,7+1,1),업무일지!$AA$5:$AA$1004,"*"&amp;$A44&amp;"*"),COUNTIFS(업무일지!$B$5:$B$1004,"&gt;="&amp;DATE($B$3,7,1),업무일지!$B$5:$B$1004,"&lt;"&amp;DATE($B$3,7+1,1),업무일지!$AA$5:$AA$1004,"*"&amp;$A44&amp;"*",업무일지!$D$5:$D$1004,$B$30)))</f>
        <v/>
      </c>
      <c r="I44" s="129">
        <f>IF($A44="","",IF($B$30="전체",COUNTIFS(업무일지!$B$5:$B$1004,"&gt;="&amp;DATE($B$3,8,1),업무일지!$B$5:$B$1004,"&lt;"&amp;DATE($B$3,8+1,1),업무일지!$AA$5:$AA$1004,"*"&amp;$A44&amp;"*"),COUNTIFS(업무일지!$B$5:$B$1004,"&gt;="&amp;DATE($B$3,8,1),업무일지!$B$5:$B$1004,"&lt;"&amp;DATE($B$3,8+1,1),업무일지!$AA$5:$AA$1004,"*"&amp;$A44&amp;"*",업무일지!$D$5:$D$1004,$B$30)))</f>
        <v/>
      </c>
      <c r="J44" s="129">
        <f>IF($A44="","",IF($B$30="전체",COUNTIFS(업무일지!$B$5:$B$1004,"&gt;="&amp;DATE($B$3,9,1),업무일지!$B$5:$B$1004,"&lt;"&amp;DATE($B$3,9+1,1),업무일지!$AA$5:$AA$1004,"*"&amp;$A44&amp;"*"),COUNTIFS(업무일지!$B$5:$B$1004,"&gt;="&amp;DATE($B$3,9,1),업무일지!$B$5:$B$1004,"&lt;"&amp;DATE($B$3,9+1,1),업무일지!$AA$5:$AA$1004,"*"&amp;$A44&amp;"*",업무일지!$D$5:$D$1004,$B$30)))</f>
        <v/>
      </c>
      <c r="K44" s="129">
        <f>IF($A44="","",IF($B$30="전체",COUNTIFS(업무일지!$B$5:$B$1004,"&gt;="&amp;DATE($B$3,10,1),업무일지!$B$5:$B$1004,"&lt;"&amp;DATE($B$3,10+1,1),업무일지!$AA$5:$AA$1004,"*"&amp;$A44&amp;"*"),COUNTIFS(업무일지!$B$5:$B$1004,"&gt;="&amp;DATE($B$3,10,1),업무일지!$B$5:$B$1004,"&lt;"&amp;DATE($B$3,10+1,1),업무일지!$AA$5:$AA$1004,"*"&amp;$A44&amp;"*",업무일지!$D$5:$D$1004,$B$30)))</f>
        <v/>
      </c>
      <c r="L44" s="129">
        <f>IF($A44="","",IF($B$30="전체",COUNTIFS(업무일지!$B$5:$B$1004,"&gt;="&amp;DATE($B$3,11,1),업무일지!$B$5:$B$1004,"&lt;"&amp;DATE($B$3,11+1,1),업무일지!$AA$5:$AA$1004,"*"&amp;$A44&amp;"*"),COUNTIFS(업무일지!$B$5:$B$1004,"&gt;="&amp;DATE($B$3,11,1),업무일지!$B$5:$B$1004,"&lt;"&amp;DATE($B$3,11+1,1),업무일지!$AA$5:$AA$1004,"*"&amp;$A44&amp;"*",업무일지!$D$5:$D$1004,$B$30)))</f>
        <v/>
      </c>
      <c r="M44" s="129">
        <f>IF($A44="","",IF($B$30="전체",COUNTIFS(업무일지!$B$5:$B$1004,"&gt;="&amp;DATE($B$3,12,1),업무일지!$B$5:$B$1004,"&lt;"&amp;DATE($B$3,12+1,1),업무일지!$AA$5:$AA$1004,"*"&amp;$A44&amp;"*"),COUNTIFS(업무일지!$B$5:$B$1004,"&gt;="&amp;DATE($B$3,12,1),업무일지!$B$5:$B$1004,"&lt;"&amp;DATE($B$3,12+1,1),업무일지!$AA$5:$AA$1004,"*"&amp;$A44&amp;"*",업무일지!$D$5:$D$1004,$B$30)))</f>
        <v/>
      </c>
      <c r="N44" s="118">
        <f>IF($A44="","",SUM(B44:M44))</f>
        <v/>
      </c>
    </row>
    <row r="45">
      <c r="A45" s="107">
        <f>IF($A20="","",$A20)</f>
        <v/>
      </c>
      <c r="B45" s="129">
        <f>IF($A45="","",IF($B$30="전체",COUNTIFS(업무일지!$B$5:$B$1004,"&gt;="&amp;DATE($B$3,1,1),업무일지!$B$5:$B$1004,"&lt;"&amp;DATE($B$3,1+1,1),업무일지!$AA$5:$AA$1004,"*"&amp;$A45&amp;"*"),COUNTIFS(업무일지!$B$5:$B$1004,"&gt;="&amp;DATE($B$3,1,1),업무일지!$B$5:$B$1004,"&lt;"&amp;DATE($B$3,1+1,1),업무일지!$AA$5:$AA$1004,"*"&amp;$A45&amp;"*",업무일지!$D$5:$D$1004,$B$30)))</f>
        <v/>
      </c>
      <c r="C45" s="129">
        <f>IF($A45="","",IF($B$30="전체",COUNTIFS(업무일지!$B$5:$B$1004,"&gt;="&amp;DATE($B$3,2,1),업무일지!$B$5:$B$1004,"&lt;"&amp;DATE($B$3,2+1,1),업무일지!$AA$5:$AA$1004,"*"&amp;$A45&amp;"*"),COUNTIFS(업무일지!$B$5:$B$1004,"&gt;="&amp;DATE($B$3,2,1),업무일지!$B$5:$B$1004,"&lt;"&amp;DATE($B$3,2+1,1),업무일지!$AA$5:$AA$1004,"*"&amp;$A45&amp;"*",업무일지!$D$5:$D$1004,$B$30)))</f>
        <v/>
      </c>
      <c r="D45" s="129">
        <f>IF($A45="","",IF($B$30="전체",COUNTIFS(업무일지!$B$5:$B$1004,"&gt;="&amp;DATE($B$3,3,1),업무일지!$B$5:$B$1004,"&lt;"&amp;DATE($B$3,3+1,1),업무일지!$AA$5:$AA$1004,"*"&amp;$A45&amp;"*"),COUNTIFS(업무일지!$B$5:$B$1004,"&gt;="&amp;DATE($B$3,3,1),업무일지!$B$5:$B$1004,"&lt;"&amp;DATE($B$3,3+1,1),업무일지!$AA$5:$AA$1004,"*"&amp;$A45&amp;"*",업무일지!$D$5:$D$1004,$B$30)))</f>
        <v/>
      </c>
      <c r="E45" s="129">
        <f>IF($A45="","",IF($B$30="전체",COUNTIFS(업무일지!$B$5:$B$1004,"&gt;="&amp;DATE($B$3,4,1),업무일지!$B$5:$B$1004,"&lt;"&amp;DATE($B$3,4+1,1),업무일지!$AA$5:$AA$1004,"*"&amp;$A45&amp;"*"),COUNTIFS(업무일지!$B$5:$B$1004,"&gt;="&amp;DATE($B$3,4,1),업무일지!$B$5:$B$1004,"&lt;"&amp;DATE($B$3,4+1,1),업무일지!$AA$5:$AA$1004,"*"&amp;$A45&amp;"*",업무일지!$D$5:$D$1004,$B$30)))</f>
        <v/>
      </c>
      <c r="F45" s="129">
        <f>IF($A45="","",IF($B$30="전체",COUNTIFS(업무일지!$B$5:$B$1004,"&gt;="&amp;DATE($B$3,5,1),업무일지!$B$5:$B$1004,"&lt;"&amp;DATE($B$3,5+1,1),업무일지!$AA$5:$AA$1004,"*"&amp;$A45&amp;"*"),COUNTIFS(업무일지!$B$5:$B$1004,"&gt;="&amp;DATE($B$3,5,1),업무일지!$B$5:$B$1004,"&lt;"&amp;DATE($B$3,5+1,1),업무일지!$AA$5:$AA$1004,"*"&amp;$A45&amp;"*",업무일지!$D$5:$D$1004,$B$30)))</f>
        <v/>
      </c>
      <c r="G45" s="129">
        <f>IF($A45="","",IF($B$30="전체",COUNTIFS(업무일지!$B$5:$B$1004,"&gt;="&amp;DATE($B$3,6,1),업무일지!$B$5:$B$1004,"&lt;"&amp;DATE($B$3,6+1,1),업무일지!$AA$5:$AA$1004,"*"&amp;$A45&amp;"*"),COUNTIFS(업무일지!$B$5:$B$1004,"&gt;="&amp;DATE($B$3,6,1),업무일지!$B$5:$B$1004,"&lt;"&amp;DATE($B$3,6+1,1),업무일지!$AA$5:$AA$1004,"*"&amp;$A45&amp;"*",업무일지!$D$5:$D$1004,$B$30)))</f>
        <v/>
      </c>
      <c r="H45" s="129">
        <f>IF($A45="","",IF($B$30="전체",COUNTIFS(업무일지!$B$5:$B$1004,"&gt;="&amp;DATE($B$3,7,1),업무일지!$B$5:$B$1004,"&lt;"&amp;DATE($B$3,7+1,1),업무일지!$AA$5:$AA$1004,"*"&amp;$A45&amp;"*"),COUNTIFS(업무일지!$B$5:$B$1004,"&gt;="&amp;DATE($B$3,7,1),업무일지!$B$5:$B$1004,"&lt;"&amp;DATE($B$3,7+1,1),업무일지!$AA$5:$AA$1004,"*"&amp;$A45&amp;"*",업무일지!$D$5:$D$1004,$B$30)))</f>
        <v/>
      </c>
      <c r="I45" s="129">
        <f>IF($A45="","",IF($B$30="전체",COUNTIFS(업무일지!$B$5:$B$1004,"&gt;="&amp;DATE($B$3,8,1),업무일지!$B$5:$B$1004,"&lt;"&amp;DATE($B$3,8+1,1),업무일지!$AA$5:$AA$1004,"*"&amp;$A45&amp;"*"),COUNTIFS(업무일지!$B$5:$B$1004,"&gt;="&amp;DATE($B$3,8,1),업무일지!$B$5:$B$1004,"&lt;"&amp;DATE($B$3,8+1,1),업무일지!$AA$5:$AA$1004,"*"&amp;$A45&amp;"*",업무일지!$D$5:$D$1004,$B$30)))</f>
        <v/>
      </c>
      <c r="J45" s="129">
        <f>IF($A45="","",IF($B$30="전체",COUNTIFS(업무일지!$B$5:$B$1004,"&gt;="&amp;DATE($B$3,9,1),업무일지!$B$5:$B$1004,"&lt;"&amp;DATE($B$3,9+1,1),업무일지!$AA$5:$AA$1004,"*"&amp;$A45&amp;"*"),COUNTIFS(업무일지!$B$5:$B$1004,"&gt;="&amp;DATE($B$3,9,1),업무일지!$B$5:$B$1004,"&lt;"&amp;DATE($B$3,9+1,1),업무일지!$AA$5:$AA$1004,"*"&amp;$A45&amp;"*",업무일지!$D$5:$D$1004,$B$30)))</f>
        <v/>
      </c>
      <c r="K45" s="129">
        <f>IF($A45="","",IF($B$30="전체",COUNTIFS(업무일지!$B$5:$B$1004,"&gt;="&amp;DATE($B$3,10,1),업무일지!$B$5:$B$1004,"&lt;"&amp;DATE($B$3,10+1,1),업무일지!$AA$5:$AA$1004,"*"&amp;$A45&amp;"*"),COUNTIFS(업무일지!$B$5:$B$1004,"&gt;="&amp;DATE($B$3,10,1),업무일지!$B$5:$B$1004,"&lt;"&amp;DATE($B$3,10+1,1),업무일지!$AA$5:$AA$1004,"*"&amp;$A45&amp;"*",업무일지!$D$5:$D$1004,$B$30)))</f>
        <v/>
      </c>
      <c r="L45" s="129">
        <f>IF($A45="","",IF($B$30="전체",COUNTIFS(업무일지!$B$5:$B$1004,"&gt;="&amp;DATE($B$3,11,1),업무일지!$B$5:$B$1004,"&lt;"&amp;DATE($B$3,11+1,1),업무일지!$AA$5:$AA$1004,"*"&amp;$A45&amp;"*"),COUNTIFS(업무일지!$B$5:$B$1004,"&gt;="&amp;DATE($B$3,11,1),업무일지!$B$5:$B$1004,"&lt;"&amp;DATE($B$3,11+1,1),업무일지!$AA$5:$AA$1004,"*"&amp;$A45&amp;"*",업무일지!$D$5:$D$1004,$B$30)))</f>
        <v/>
      </c>
      <c r="M45" s="129">
        <f>IF($A45="","",IF($B$30="전체",COUNTIFS(업무일지!$B$5:$B$1004,"&gt;="&amp;DATE($B$3,12,1),업무일지!$B$5:$B$1004,"&lt;"&amp;DATE($B$3,12+1,1),업무일지!$AA$5:$AA$1004,"*"&amp;$A45&amp;"*"),COUNTIFS(업무일지!$B$5:$B$1004,"&gt;="&amp;DATE($B$3,12,1),업무일지!$B$5:$B$1004,"&lt;"&amp;DATE($B$3,12+1,1),업무일지!$AA$5:$AA$1004,"*"&amp;$A45&amp;"*",업무일지!$D$5:$D$1004,$B$30)))</f>
        <v/>
      </c>
      <c r="N45" s="118">
        <f>IF($A45="","",SUM(B45:M45))</f>
        <v/>
      </c>
    </row>
    <row r="46">
      <c r="A46" s="107">
        <f>IF($A21="","",$A21)</f>
        <v/>
      </c>
      <c r="B46" s="129">
        <f>IF($A46="","",IF($B$30="전체",COUNTIFS(업무일지!$B$5:$B$1004,"&gt;="&amp;DATE($B$3,1,1),업무일지!$B$5:$B$1004,"&lt;"&amp;DATE($B$3,1+1,1),업무일지!$AA$5:$AA$1004,"*"&amp;$A46&amp;"*"),COUNTIFS(업무일지!$B$5:$B$1004,"&gt;="&amp;DATE($B$3,1,1),업무일지!$B$5:$B$1004,"&lt;"&amp;DATE($B$3,1+1,1),업무일지!$AA$5:$AA$1004,"*"&amp;$A46&amp;"*",업무일지!$D$5:$D$1004,$B$30)))</f>
        <v/>
      </c>
      <c r="C46" s="129">
        <f>IF($A46="","",IF($B$30="전체",COUNTIFS(업무일지!$B$5:$B$1004,"&gt;="&amp;DATE($B$3,2,1),업무일지!$B$5:$B$1004,"&lt;"&amp;DATE($B$3,2+1,1),업무일지!$AA$5:$AA$1004,"*"&amp;$A46&amp;"*"),COUNTIFS(업무일지!$B$5:$B$1004,"&gt;="&amp;DATE($B$3,2,1),업무일지!$B$5:$B$1004,"&lt;"&amp;DATE($B$3,2+1,1),업무일지!$AA$5:$AA$1004,"*"&amp;$A46&amp;"*",업무일지!$D$5:$D$1004,$B$30)))</f>
        <v/>
      </c>
      <c r="D46" s="129">
        <f>IF($A46="","",IF($B$30="전체",COUNTIFS(업무일지!$B$5:$B$1004,"&gt;="&amp;DATE($B$3,3,1),업무일지!$B$5:$B$1004,"&lt;"&amp;DATE($B$3,3+1,1),업무일지!$AA$5:$AA$1004,"*"&amp;$A46&amp;"*"),COUNTIFS(업무일지!$B$5:$B$1004,"&gt;="&amp;DATE($B$3,3,1),업무일지!$B$5:$B$1004,"&lt;"&amp;DATE($B$3,3+1,1),업무일지!$AA$5:$AA$1004,"*"&amp;$A46&amp;"*",업무일지!$D$5:$D$1004,$B$30)))</f>
        <v/>
      </c>
      <c r="E46" s="129">
        <f>IF($A46="","",IF($B$30="전체",COUNTIFS(업무일지!$B$5:$B$1004,"&gt;="&amp;DATE($B$3,4,1),업무일지!$B$5:$B$1004,"&lt;"&amp;DATE($B$3,4+1,1),업무일지!$AA$5:$AA$1004,"*"&amp;$A46&amp;"*"),COUNTIFS(업무일지!$B$5:$B$1004,"&gt;="&amp;DATE($B$3,4,1),업무일지!$B$5:$B$1004,"&lt;"&amp;DATE($B$3,4+1,1),업무일지!$AA$5:$AA$1004,"*"&amp;$A46&amp;"*",업무일지!$D$5:$D$1004,$B$30)))</f>
        <v/>
      </c>
      <c r="F46" s="129">
        <f>IF($A46="","",IF($B$30="전체",COUNTIFS(업무일지!$B$5:$B$1004,"&gt;="&amp;DATE($B$3,5,1),업무일지!$B$5:$B$1004,"&lt;"&amp;DATE($B$3,5+1,1),업무일지!$AA$5:$AA$1004,"*"&amp;$A46&amp;"*"),COUNTIFS(업무일지!$B$5:$B$1004,"&gt;="&amp;DATE($B$3,5,1),업무일지!$B$5:$B$1004,"&lt;"&amp;DATE($B$3,5+1,1),업무일지!$AA$5:$AA$1004,"*"&amp;$A46&amp;"*",업무일지!$D$5:$D$1004,$B$30)))</f>
        <v/>
      </c>
      <c r="G46" s="129">
        <f>IF($A46="","",IF($B$30="전체",COUNTIFS(업무일지!$B$5:$B$1004,"&gt;="&amp;DATE($B$3,6,1),업무일지!$B$5:$B$1004,"&lt;"&amp;DATE($B$3,6+1,1),업무일지!$AA$5:$AA$1004,"*"&amp;$A46&amp;"*"),COUNTIFS(업무일지!$B$5:$B$1004,"&gt;="&amp;DATE($B$3,6,1),업무일지!$B$5:$B$1004,"&lt;"&amp;DATE($B$3,6+1,1),업무일지!$AA$5:$AA$1004,"*"&amp;$A46&amp;"*",업무일지!$D$5:$D$1004,$B$30)))</f>
        <v/>
      </c>
      <c r="H46" s="129">
        <f>IF($A46="","",IF($B$30="전체",COUNTIFS(업무일지!$B$5:$B$1004,"&gt;="&amp;DATE($B$3,7,1),업무일지!$B$5:$B$1004,"&lt;"&amp;DATE($B$3,7+1,1),업무일지!$AA$5:$AA$1004,"*"&amp;$A46&amp;"*"),COUNTIFS(업무일지!$B$5:$B$1004,"&gt;="&amp;DATE($B$3,7,1),업무일지!$B$5:$B$1004,"&lt;"&amp;DATE($B$3,7+1,1),업무일지!$AA$5:$AA$1004,"*"&amp;$A46&amp;"*",업무일지!$D$5:$D$1004,$B$30)))</f>
        <v/>
      </c>
      <c r="I46" s="129">
        <f>IF($A46="","",IF($B$30="전체",COUNTIFS(업무일지!$B$5:$B$1004,"&gt;="&amp;DATE($B$3,8,1),업무일지!$B$5:$B$1004,"&lt;"&amp;DATE($B$3,8+1,1),업무일지!$AA$5:$AA$1004,"*"&amp;$A46&amp;"*"),COUNTIFS(업무일지!$B$5:$B$1004,"&gt;="&amp;DATE($B$3,8,1),업무일지!$B$5:$B$1004,"&lt;"&amp;DATE($B$3,8+1,1),업무일지!$AA$5:$AA$1004,"*"&amp;$A46&amp;"*",업무일지!$D$5:$D$1004,$B$30)))</f>
        <v/>
      </c>
      <c r="J46" s="129">
        <f>IF($A46="","",IF($B$30="전체",COUNTIFS(업무일지!$B$5:$B$1004,"&gt;="&amp;DATE($B$3,9,1),업무일지!$B$5:$B$1004,"&lt;"&amp;DATE($B$3,9+1,1),업무일지!$AA$5:$AA$1004,"*"&amp;$A46&amp;"*"),COUNTIFS(업무일지!$B$5:$B$1004,"&gt;="&amp;DATE($B$3,9,1),업무일지!$B$5:$B$1004,"&lt;"&amp;DATE($B$3,9+1,1),업무일지!$AA$5:$AA$1004,"*"&amp;$A46&amp;"*",업무일지!$D$5:$D$1004,$B$30)))</f>
        <v/>
      </c>
      <c r="K46" s="129">
        <f>IF($A46="","",IF($B$30="전체",COUNTIFS(업무일지!$B$5:$B$1004,"&gt;="&amp;DATE($B$3,10,1),업무일지!$B$5:$B$1004,"&lt;"&amp;DATE($B$3,10+1,1),업무일지!$AA$5:$AA$1004,"*"&amp;$A46&amp;"*"),COUNTIFS(업무일지!$B$5:$B$1004,"&gt;="&amp;DATE($B$3,10,1),업무일지!$B$5:$B$1004,"&lt;"&amp;DATE($B$3,10+1,1),업무일지!$AA$5:$AA$1004,"*"&amp;$A46&amp;"*",업무일지!$D$5:$D$1004,$B$30)))</f>
        <v/>
      </c>
      <c r="L46" s="129">
        <f>IF($A46="","",IF($B$30="전체",COUNTIFS(업무일지!$B$5:$B$1004,"&gt;="&amp;DATE($B$3,11,1),업무일지!$B$5:$B$1004,"&lt;"&amp;DATE($B$3,11+1,1),업무일지!$AA$5:$AA$1004,"*"&amp;$A46&amp;"*"),COUNTIFS(업무일지!$B$5:$B$1004,"&gt;="&amp;DATE($B$3,11,1),업무일지!$B$5:$B$1004,"&lt;"&amp;DATE($B$3,11+1,1),업무일지!$AA$5:$AA$1004,"*"&amp;$A46&amp;"*",업무일지!$D$5:$D$1004,$B$30)))</f>
        <v/>
      </c>
      <c r="M46" s="129">
        <f>IF($A46="","",IF($B$30="전체",COUNTIFS(업무일지!$B$5:$B$1004,"&gt;="&amp;DATE($B$3,12,1),업무일지!$B$5:$B$1004,"&lt;"&amp;DATE($B$3,12+1,1),업무일지!$AA$5:$AA$1004,"*"&amp;$A46&amp;"*"),COUNTIFS(업무일지!$B$5:$B$1004,"&gt;="&amp;DATE($B$3,12,1),업무일지!$B$5:$B$1004,"&lt;"&amp;DATE($B$3,12+1,1),업무일지!$AA$5:$AA$1004,"*"&amp;$A46&amp;"*",업무일지!$D$5:$D$1004,$B$30)))</f>
        <v/>
      </c>
      <c r="N46" s="118">
        <f>IF($A46="","",SUM(B46:M46))</f>
        <v/>
      </c>
    </row>
    <row r="47">
      <c r="A47" s="107">
        <f>IF($A22="","",$A22)</f>
        <v/>
      </c>
      <c r="B47" s="129">
        <f>IF($A47="","",IF($B$30="전체",COUNTIFS(업무일지!$B$5:$B$1004,"&gt;="&amp;DATE($B$3,1,1),업무일지!$B$5:$B$1004,"&lt;"&amp;DATE($B$3,1+1,1),업무일지!$AA$5:$AA$1004,"*"&amp;$A47&amp;"*"),COUNTIFS(업무일지!$B$5:$B$1004,"&gt;="&amp;DATE($B$3,1,1),업무일지!$B$5:$B$1004,"&lt;"&amp;DATE($B$3,1+1,1),업무일지!$AA$5:$AA$1004,"*"&amp;$A47&amp;"*",업무일지!$D$5:$D$1004,$B$30)))</f>
        <v/>
      </c>
      <c r="C47" s="129">
        <f>IF($A47="","",IF($B$30="전체",COUNTIFS(업무일지!$B$5:$B$1004,"&gt;="&amp;DATE($B$3,2,1),업무일지!$B$5:$B$1004,"&lt;"&amp;DATE($B$3,2+1,1),업무일지!$AA$5:$AA$1004,"*"&amp;$A47&amp;"*"),COUNTIFS(업무일지!$B$5:$B$1004,"&gt;="&amp;DATE($B$3,2,1),업무일지!$B$5:$B$1004,"&lt;"&amp;DATE($B$3,2+1,1),업무일지!$AA$5:$AA$1004,"*"&amp;$A47&amp;"*",업무일지!$D$5:$D$1004,$B$30)))</f>
        <v/>
      </c>
      <c r="D47" s="129">
        <f>IF($A47="","",IF($B$30="전체",COUNTIFS(업무일지!$B$5:$B$1004,"&gt;="&amp;DATE($B$3,3,1),업무일지!$B$5:$B$1004,"&lt;"&amp;DATE($B$3,3+1,1),업무일지!$AA$5:$AA$1004,"*"&amp;$A47&amp;"*"),COUNTIFS(업무일지!$B$5:$B$1004,"&gt;="&amp;DATE($B$3,3,1),업무일지!$B$5:$B$1004,"&lt;"&amp;DATE($B$3,3+1,1),업무일지!$AA$5:$AA$1004,"*"&amp;$A47&amp;"*",업무일지!$D$5:$D$1004,$B$30)))</f>
        <v/>
      </c>
      <c r="E47" s="129">
        <f>IF($A47="","",IF($B$30="전체",COUNTIFS(업무일지!$B$5:$B$1004,"&gt;="&amp;DATE($B$3,4,1),업무일지!$B$5:$B$1004,"&lt;"&amp;DATE($B$3,4+1,1),업무일지!$AA$5:$AA$1004,"*"&amp;$A47&amp;"*"),COUNTIFS(업무일지!$B$5:$B$1004,"&gt;="&amp;DATE($B$3,4,1),업무일지!$B$5:$B$1004,"&lt;"&amp;DATE($B$3,4+1,1),업무일지!$AA$5:$AA$1004,"*"&amp;$A47&amp;"*",업무일지!$D$5:$D$1004,$B$30)))</f>
        <v/>
      </c>
      <c r="F47" s="129">
        <f>IF($A47="","",IF($B$30="전체",COUNTIFS(업무일지!$B$5:$B$1004,"&gt;="&amp;DATE($B$3,5,1),업무일지!$B$5:$B$1004,"&lt;"&amp;DATE($B$3,5+1,1),업무일지!$AA$5:$AA$1004,"*"&amp;$A47&amp;"*"),COUNTIFS(업무일지!$B$5:$B$1004,"&gt;="&amp;DATE($B$3,5,1),업무일지!$B$5:$B$1004,"&lt;"&amp;DATE($B$3,5+1,1),업무일지!$AA$5:$AA$1004,"*"&amp;$A47&amp;"*",업무일지!$D$5:$D$1004,$B$30)))</f>
        <v/>
      </c>
      <c r="G47" s="129">
        <f>IF($A47="","",IF($B$30="전체",COUNTIFS(업무일지!$B$5:$B$1004,"&gt;="&amp;DATE($B$3,6,1),업무일지!$B$5:$B$1004,"&lt;"&amp;DATE($B$3,6+1,1),업무일지!$AA$5:$AA$1004,"*"&amp;$A47&amp;"*"),COUNTIFS(업무일지!$B$5:$B$1004,"&gt;="&amp;DATE($B$3,6,1),업무일지!$B$5:$B$1004,"&lt;"&amp;DATE($B$3,6+1,1),업무일지!$AA$5:$AA$1004,"*"&amp;$A47&amp;"*",업무일지!$D$5:$D$1004,$B$30)))</f>
        <v/>
      </c>
      <c r="H47" s="129">
        <f>IF($A47="","",IF($B$30="전체",COUNTIFS(업무일지!$B$5:$B$1004,"&gt;="&amp;DATE($B$3,7,1),업무일지!$B$5:$B$1004,"&lt;"&amp;DATE($B$3,7+1,1),업무일지!$AA$5:$AA$1004,"*"&amp;$A47&amp;"*"),COUNTIFS(업무일지!$B$5:$B$1004,"&gt;="&amp;DATE($B$3,7,1),업무일지!$B$5:$B$1004,"&lt;"&amp;DATE($B$3,7+1,1),업무일지!$AA$5:$AA$1004,"*"&amp;$A47&amp;"*",업무일지!$D$5:$D$1004,$B$30)))</f>
        <v/>
      </c>
      <c r="I47" s="129">
        <f>IF($A47="","",IF($B$30="전체",COUNTIFS(업무일지!$B$5:$B$1004,"&gt;="&amp;DATE($B$3,8,1),업무일지!$B$5:$B$1004,"&lt;"&amp;DATE($B$3,8+1,1),업무일지!$AA$5:$AA$1004,"*"&amp;$A47&amp;"*"),COUNTIFS(업무일지!$B$5:$B$1004,"&gt;="&amp;DATE($B$3,8,1),업무일지!$B$5:$B$1004,"&lt;"&amp;DATE($B$3,8+1,1),업무일지!$AA$5:$AA$1004,"*"&amp;$A47&amp;"*",업무일지!$D$5:$D$1004,$B$30)))</f>
        <v/>
      </c>
      <c r="J47" s="129">
        <f>IF($A47="","",IF($B$30="전체",COUNTIFS(업무일지!$B$5:$B$1004,"&gt;="&amp;DATE($B$3,9,1),업무일지!$B$5:$B$1004,"&lt;"&amp;DATE($B$3,9+1,1),업무일지!$AA$5:$AA$1004,"*"&amp;$A47&amp;"*"),COUNTIFS(업무일지!$B$5:$B$1004,"&gt;="&amp;DATE($B$3,9,1),업무일지!$B$5:$B$1004,"&lt;"&amp;DATE($B$3,9+1,1),업무일지!$AA$5:$AA$1004,"*"&amp;$A47&amp;"*",업무일지!$D$5:$D$1004,$B$30)))</f>
        <v/>
      </c>
      <c r="K47" s="129">
        <f>IF($A47="","",IF($B$30="전체",COUNTIFS(업무일지!$B$5:$B$1004,"&gt;="&amp;DATE($B$3,10,1),업무일지!$B$5:$B$1004,"&lt;"&amp;DATE($B$3,10+1,1),업무일지!$AA$5:$AA$1004,"*"&amp;$A47&amp;"*"),COUNTIFS(업무일지!$B$5:$B$1004,"&gt;="&amp;DATE($B$3,10,1),업무일지!$B$5:$B$1004,"&lt;"&amp;DATE($B$3,10+1,1),업무일지!$AA$5:$AA$1004,"*"&amp;$A47&amp;"*",업무일지!$D$5:$D$1004,$B$30)))</f>
        <v/>
      </c>
      <c r="L47" s="129">
        <f>IF($A47="","",IF($B$30="전체",COUNTIFS(업무일지!$B$5:$B$1004,"&gt;="&amp;DATE($B$3,11,1),업무일지!$B$5:$B$1004,"&lt;"&amp;DATE($B$3,11+1,1),업무일지!$AA$5:$AA$1004,"*"&amp;$A47&amp;"*"),COUNTIFS(업무일지!$B$5:$B$1004,"&gt;="&amp;DATE($B$3,11,1),업무일지!$B$5:$B$1004,"&lt;"&amp;DATE($B$3,11+1,1),업무일지!$AA$5:$AA$1004,"*"&amp;$A47&amp;"*",업무일지!$D$5:$D$1004,$B$30)))</f>
        <v/>
      </c>
      <c r="M47" s="129">
        <f>IF($A47="","",IF($B$30="전체",COUNTIFS(업무일지!$B$5:$B$1004,"&gt;="&amp;DATE($B$3,12,1),업무일지!$B$5:$B$1004,"&lt;"&amp;DATE($B$3,12+1,1),업무일지!$AA$5:$AA$1004,"*"&amp;$A47&amp;"*"),COUNTIFS(업무일지!$B$5:$B$1004,"&gt;="&amp;DATE($B$3,12,1),업무일지!$B$5:$B$1004,"&lt;"&amp;DATE($B$3,12+1,1),업무일지!$AA$5:$AA$1004,"*"&amp;$A47&amp;"*",업무일지!$D$5:$D$1004,$B$30)))</f>
        <v/>
      </c>
      <c r="N47" s="118">
        <f>IF($A47="","",SUM(B47:M47))</f>
        <v/>
      </c>
    </row>
    <row r="48">
      <c r="A48" s="107">
        <f>IF($A23="","",$A23)</f>
        <v/>
      </c>
      <c r="B48" s="129">
        <f>IF($A48="","",IF($B$30="전체",COUNTIFS(업무일지!$B$5:$B$1004,"&gt;="&amp;DATE($B$3,1,1),업무일지!$B$5:$B$1004,"&lt;"&amp;DATE($B$3,1+1,1),업무일지!$AA$5:$AA$1004,"*"&amp;$A48&amp;"*"),COUNTIFS(업무일지!$B$5:$B$1004,"&gt;="&amp;DATE($B$3,1,1),업무일지!$B$5:$B$1004,"&lt;"&amp;DATE($B$3,1+1,1),업무일지!$AA$5:$AA$1004,"*"&amp;$A48&amp;"*",업무일지!$D$5:$D$1004,$B$30)))</f>
        <v/>
      </c>
      <c r="C48" s="129">
        <f>IF($A48="","",IF($B$30="전체",COUNTIFS(업무일지!$B$5:$B$1004,"&gt;="&amp;DATE($B$3,2,1),업무일지!$B$5:$B$1004,"&lt;"&amp;DATE($B$3,2+1,1),업무일지!$AA$5:$AA$1004,"*"&amp;$A48&amp;"*"),COUNTIFS(업무일지!$B$5:$B$1004,"&gt;="&amp;DATE($B$3,2,1),업무일지!$B$5:$B$1004,"&lt;"&amp;DATE($B$3,2+1,1),업무일지!$AA$5:$AA$1004,"*"&amp;$A48&amp;"*",업무일지!$D$5:$D$1004,$B$30)))</f>
        <v/>
      </c>
      <c r="D48" s="129">
        <f>IF($A48="","",IF($B$30="전체",COUNTIFS(업무일지!$B$5:$B$1004,"&gt;="&amp;DATE($B$3,3,1),업무일지!$B$5:$B$1004,"&lt;"&amp;DATE($B$3,3+1,1),업무일지!$AA$5:$AA$1004,"*"&amp;$A48&amp;"*"),COUNTIFS(업무일지!$B$5:$B$1004,"&gt;="&amp;DATE($B$3,3,1),업무일지!$B$5:$B$1004,"&lt;"&amp;DATE($B$3,3+1,1),업무일지!$AA$5:$AA$1004,"*"&amp;$A48&amp;"*",업무일지!$D$5:$D$1004,$B$30)))</f>
        <v/>
      </c>
      <c r="E48" s="129">
        <f>IF($A48="","",IF($B$30="전체",COUNTIFS(업무일지!$B$5:$B$1004,"&gt;="&amp;DATE($B$3,4,1),업무일지!$B$5:$B$1004,"&lt;"&amp;DATE($B$3,4+1,1),업무일지!$AA$5:$AA$1004,"*"&amp;$A48&amp;"*"),COUNTIFS(업무일지!$B$5:$B$1004,"&gt;="&amp;DATE($B$3,4,1),업무일지!$B$5:$B$1004,"&lt;"&amp;DATE($B$3,4+1,1),업무일지!$AA$5:$AA$1004,"*"&amp;$A48&amp;"*",업무일지!$D$5:$D$1004,$B$30)))</f>
        <v/>
      </c>
      <c r="F48" s="129">
        <f>IF($A48="","",IF($B$30="전체",COUNTIFS(업무일지!$B$5:$B$1004,"&gt;="&amp;DATE($B$3,5,1),업무일지!$B$5:$B$1004,"&lt;"&amp;DATE($B$3,5+1,1),업무일지!$AA$5:$AA$1004,"*"&amp;$A48&amp;"*"),COUNTIFS(업무일지!$B$5:$B$1004,"&gt;="&amp;DATE($B$3,5,1),업무일지!$B$5:$B$1004,"&lt;"&amp;DATE($B$3,5+1,1),업무일지!$AA$5:$AA$1004,"*"&amp;$A48&amp;"*",업무일지!$D$5:$D$1004,$B$30)))</f>
        <v/>
      </c>
      <c r="G48" s="129">
        <f>IF($A48="","",IF($B$30="전체",COUNTIFS(업무일지!$B$5:$B$1004,"&gt;="&amp;DATE($B$3,6,1),업무일지!$B$5:$B$1004,"&lt;"&amp;DATE($B$3,6+1,1),업무일지!$AA$5:$AA$1004,"*"&amp;$A48&amp;"*"),COUNTIFS(업무일지!$B$5:$B$1004,"&gt;="&amp;DATE($B$3,6,1),업무일지!$B$5:$B$1004,"&lt;"&amp;DATE($B$3,6+1,1),업무일지!$AA$5:$AA$1004,"*"&amp;$A48&amp;"*",업무일지!$D$5:$D$1004,$B$30)))</f>
        <v/>
      </c>
      <c r="H48" s="129">
        <f>IF($A48="","",IF($B$30="전체",COUNTIFS(업무일지!$B$5:$B$1004,"&gt;="&amp;DATE($B$3,7,1),업무일지!$B$5:$B$1004,"&lt;"&amp;DATE($B$3,7+1,1),업무일지!$AA$5:$AA$1004,"*"&amp;$A48&amp;"*"),COUNTIFS(업무일지!$B$5:$B$1004,"&gt;="&amp;DATE($B$3,7,1),업무일지!$B$5:$B$1004,"&lt;"&amp;DATE($B$3,7+1,1),업무일지!$AA$5:$AA$1004,"*"&amp;$A48&amp;"*",업무일지!$D$5:$D$1004,$B$30)))</f>
        <v/>
      </c>
      <c r="I48" s="129">
        <f>IF($A48="","",IF($B$30="전체",COUNTIFS(업무일지!$B$5:$B$1004,"&gt;="&amp;DATE($B$3,8,1),업무일지!$B$5:$B$1004,"&lt;"&amp;DATE($B$3,8+1,1),업무일지!$AA$5:$AA$1004,"*"&amp;$A48&amp;"*"),COUNTIFS(업무일지!$B$5:$B$1004,"&gt;="&amp;DATE($B$3,8,1),업무일지!$B$5:$B$1004,"&lt;"&amp;DATE($B$3,8+1,1),업무일지!$AA$5:$AA$1004,"*"&amp;$A48&amp;"*",업무일지!$D$5:$D$1004,$B$30)))</f>
        <v/>
      </c>
      <c r="J48" s="129">
        <f>IF($A48="","",IF($B$30="전체",COUNTIFS(업무일지!$B$5:$B$1004,"&gt;="&amp;DATE($B$3,9,1),업무일지!$B$5:$B$1004,"&lt;"&amp;DATE($B$3,9+1,1),업무일지!$AA$5:$AA$1004,"*"&amp;$A48&amp;"*"),COUNTIFS(업무일지!$B$5:$B$1004,"&gt;="&amp;DATE($B$3,9,1),업무일지!$B$5:$B$1004,"&lt;"&amp;DATE($B$3,9+1,1),업무일지!$AA$5:$AA$1004,"*"&amp;$A48&amp;"*",업무일지!$D$5:$D$1004,$B$30)))</f>
        <v/>
      </c>
      <c r="K48" s="129">
        <f>IF($A48="","",IF($B$30="전체",COUNTIFS(업무일지!$B$5:$B$1004,"&gt;="&amp;DATE($B$3,10,1),업무일지!$B$5:$B$1004,"&lt;"&amp;DATE($B$3,10+1,1),업무일지!$AA$5:$AA$1004,"*"&amp;$A48&amp;"*"),COUNTIFS(업무일지!$B$5:$B$1004,"&gt;="&amp;DATE($B$3,10,1),업무일지!$B$5:$B$1004,"&lt;"&amp;DATE($B$3,10+1,1),업무일지!$AA$5:$AA$1004,"*"&amp;$A48&amp;"*",업무일지!$D$5:$D$1004,$B$30)))</f>
        <v/>
      </c>
      <c r="L48" s="129">
        <f>IF($A48="","",IF($B$30="전체",COUNTIFS(업무일지!$B$5:$B$1004,"&gt;="&amp;DATE($B$3,11,1),업무일지!$B$5:$B$1004,"&lt;"&amp;DATE($B$3,11+1,1),업무일지!$AA$5:$AA$1004,"*"&amp;$A48&amp;"*"),COUNTIFS(업무일지!$B$5:$B$1004,"&gt;="&amp;DATE($B$3,11,1),업무일지!$B$5:$B$1004,"&lt;"&amp;DATE($B$3,11+1,1),업무일지!$AA$5:$AA$1004,"*"&amp;$A48&amp;"*",업무일지!$D$5:$D$1004,$B$30)))</f>
        <v/>
      </c>
      <c r="M48" s="129">
        <f>IF($A48="","",IF($B$30="전체",COUNTIFS(업무일지!$B$5:$B$1004,"&gt;="&amp;DATE($B$3,12,1),업무일지!$B$5:$B$1004,"&lt;"&amp;DATE($B$3,12+1,1),업무일지!$AA$5:$AA$1004,"*"&amp;$A48&amp;"*"),COUNTIFS(업무일지!$B$5:$B$1004,"&gt;="&amp;DATE($B$3,12,1),업무일지!$B$5:$B$1004,"&lt;"&amp;DATE($B$3,12+1,1),업무일지!$AA$5:$AA$1004,"*"&amp;$A48&amp;"*",업무일지!$D$5:$D$1004,$B$30)))</f>
        <v/>
      </c>
      <c r="N48" s="118">
        <f>IF($A48="","",SUM(B48:M48))</f>
        <v/>
      </c>
    </row>
    <row r="49">
      <c r="A49" s="107">
        <f>IF($A24="","",$A24)</f>
        <v/>
      </c>
      <c r="B49" s="129">
        <f>IF($A49="","",IF($B$30="전체",COUNTIFS(업무일지!$B$5:$B$1004,"&gt;="&amp;DATE($B$3,1,1),업무일지!$B$5:$B$1004,"&lt;"&amp;DATE($B$3,1+1,1),업무일지!$AA$5:$AA$1004,"*"&amp;$A49&amp;"*"),COUNTIFS(업무일지!$B$5:$B$1004,"&gt;="&amp;DATE($B$3,1,1),업무일지!$B$5:$B$1004,"&lt;"&amp;DATE($B$3,1+1,1),업무일지!$AA$5:$AA$1004,"*"&amp;$A49&amp;"*",업무일지!$D$5:$D$1004,$B$30)))</f>
        <v/>
      </c>
      <c r="C49" s="129">
        <f>IF($A49="","",IF($B$30="전체",COUNTIFS(업무일지!$B$5:$B$1004,"&gt;="&amp;DATE($B$3,2,1),업무일지!$B$5:$B$1004,"&lt;"&amp;DATE($B$3,2+1,1),업무일지!$AA$5:$AA$1004,"*"&amp;$A49&amp;"*"),COUNTIFS(업무일지!$B$5:$B$1004,"&gt;="&amp;DATE($B$3,2,1),업무일지!$B$5:$B$1004,"&lt;"&amp;DATE($B$3,2+1,1),업무일지!$AA$5:$AA$1004,"*"&amp;$A49&amp;"*",업무일지!$D$5:$D$1004,$B$30)))</f>
        <v/>
      </c>
      <c r="D49" s="129">
        <f>IF($A49="","",IF($B$30="전체",COUNTIFS(업무일지!$B$5:$B$1004,"&gt;="&amp;DATE($B$3,3,1),업무일지!$B$5:$B$1004,"&lt;"&amp;DATE($B$3,3+1,1),업무일지!$AA$5:$AA$1004,"*"&amp;$A49&amp;"*"),COUNTIFS(업무일지!$B$5:$B$1004,"&gt;="&amp;DATE($B$3,3,1),업무일지!$B$5:$B$1004,"&lt;"&amp;DATE($B$3,3+1,1),업무일지!$AA$5:$AA$1004,"*"&amp;$A49&amp;"*",업무일지!$D$5:$D$1004,$B$30)))</f>
        <v/>
      </c>
      <c r="E49" s="129">
        <f>IF($A49="","",IF($B$30="전체",COUNTIFS(업무일지!$B$5:$B$1004,"&gt;="&amp;DATE($B$3,4,1),업무일지!$B$5:$B$1004,"&lt;"&amp;DATE($B$3,4+1,1),업무일지!$AA$5:$AA$1004,"*"&amp;$A49&amp;"*"),COUNTIFS(업무일지!$B$5:$B$1004,"&gt;="&amp;DATE($B$3,4,1),업무일지!$B$5:$B$1004,"&lt;"&amp;DATE($B$3,4+1,1),업무일지!$AA$5:$AA$1004,"*"&amp;$A49&amp;"*",업무일지!$D$5:$D$1004,$B$30)))</f>
        <v/>
      </c>
      <c r="F49" s="129">
        <f>IF($A49="","",IF($B$30="전체",COUNTIFS(업무일지!$B$5:$B$1004,"&gt;="&amp;DATE($B$3,5,1),업무일지!$B$5:$B$1004,"&lt;"&amp;DATE($B$3,5+1,1),업무일지!$AA$5:$AA$1004,"*"&amp;$A49&amp;"*"),COUNTIFS(업무일지!$B$5:$B$1004,"&gt;="&amp;DATE($B$3,5,1),업무일지!$B$5:$B$1004,"&lt;"&amp;DATE($B$3,5+1,1),업무일지!$AA$5:$AA$1004,"*"&amp;$A49&amp;"*",업무일지!$D$5:$D$1004,$B$30)))</f>
        <v/>
      </c>
      <c r="G49" s="129">
        <f>IF($A49="","",IF($B$30="전체",COUNTIFS(업무일지!$B$5:$B$1004,"&gt;="&amp;DATE($B$3,6,1),업무일지!$B$5:$B$1004,"&lt;"&amp;DATE($B$3,6+1,1),업무일지!$AA$5:$AA$1004,"*"&amp;$A49&amp;"*"),COUNTIFS(업무일지!$B$5:$B$1004,"&gt;="&amp;DATE($B$3,6,1),업무일지!$B$5:$B$1004,"&lt;"&amp;DATE($B$3,6+1,1),업무일지!$AA$5:$AA$1004,"*"&amp;$A49&amp;"*",업무일지!$D$5:$D$1004,$B$30)))</f>
        <v/>
      </c>
      <c r="H49" s="129">
        <f>IF($A49="","",IF($B$30="전체",COUNTIFS(업무일지!$B$5:$B$1004,"&gt;="&amp;DATE($B$3,7,1),업무일지!$B$5:$B$1004,"&lt;"&amp;DATE($B$3,7+1,1),업무일지!$AA$5:$AA$1004,"*"&amp;$A49&amp;"*"),COUNTIFS(업무일지!$B$5:$B$1004,"&gt;="&amp;DATE($B$3,7,1),업무일지!$B$5:$B$1004,"&lt;"&amp;DATE($B$3,7+1,1),업무일지!$AA$5:$AA$1004,"*"&amp;$A49&amp;"*",업무일지!$D$5:$D$1004,$B$30)))</f>
        <v/>
      </c>
      <c r="I49" s="129">
        <f>IF($A49="","",IF($B$30="전체",COUNTIFS(업무일지!$B$5:$B$1004,"&gt;="&amp;DATE($B$3,8,1),업무일지!$B$5:$B$1004,"&lt;"&amp;DATE($B$3,8+1,1),업무일지!$AA$5:$AA$1004,"*"&amp;$A49&amp;"*"),COUNTIFS(업무일지!$B$5:$B$1004,"&gt;="&amp;DATE($B$3,8,1),업무일지!$B$5:$B$1004,"&lt;"&amp;DATE($B$3,8+1,1),업무일지!$AA$5:$AA$1004,"*"&amp;$A49&amp;"*",업무일지!$D$5:$D$1004,$B$30)))</f>
        <v/>
      </c>
      <c r="J49" s="129">
        <f>IF($A49="","",IF($B$30="전체",COUNTIFS(업무일지!$B$5:$B$1004,"&gt;="&amp;DATE($B$3,9,1),업무일지!$B$5:$B$1004,"&lt;"&amp;DATE($B$3,9+1,1),업무일지!$AA$5:$AA$1004,"*"&amp;$A49&amp;"*"),COUNTIFS(업무일지!$B$5:$B$1004,"&gt;="&amp;DATE($B$3,9,1),업무일지!$B$5:$B$1004,"&lt;"&amp;DATE($B$3,9+1,1),업무일지!$AA$5:$AA$1004,"*"&amp;$A49&amp;"*",업무일지!$D$5:$D$1004,$B$30)))</f>
        <v/>
      </c>
      <c r="K49" s="129">
        <f>IF($A49="","",IF($B$30="전체",COUNTIFS(업무일지!$B$5:$B$1004,"&gt;="&amp;DATE($B$3,10,1),업무일지!$B$5:$B$1004,"&lt;"&amp;DATE($B$3,10+1,1),업무일지!$AA$5:$AA$1004,"*"&amp;$A49&amp;"*"),COUNTIFS(업무일지!$B$5:$B$1004,"&gt;="&amp;DATE($B$3,10,1),업무일지!$B$5:$B$1004,"&lt;"&amp;DATE($B$3,10+1,1),업무일지!$AA$5:$AA$1004,"*"&amp;$A49&amp;"*",업무일지!$D$5:$D$1004,$B$30)))</f>
        <v/>
      </c>
      <c r="L49" s="129">
        <f>IF($A49="","",IF($B$30="전체",COUNTIFS(업무일지!$B$5:$B$1004,"&gt;="&amp;DATE($B$3,11,1),업무일지!$B$5:$B$1004,"&lt;"&amp;DATE($B$3,11+1,1),업무일지!$AA$5:$AA$1004,"*"&amp;$A49&amp;"*"),COUNTIFS(업무일지!$B$5:$B$1004,"&gt;="&amp;DATE($B$3,11,1),업무일지!$B$5:$B$1004,"&lt;"&amp;DATE($B$3,11+1,1),업무일지!$AA$5:$AA$1004,"*"&amp;$A49&amp;"*",업무일지!$D$5:$D$1004,$B$30)))</f>
        <v/>
      </c>
      <c r="M49" s="129">
        <f>IF($A49="","",IF($B$30="전체",COUNTIFS(업무일지!$B$5:$B$1004,"&gt;="&amp;DATE($B$3,12,1),업무일지!$B$5:$B$1004,"&lt;"&amp;DATE($B$3,12+1,1),업무일지!$AA$5:$AA$1004,"*"&amp;$A49&amp;"*"),COUNTIFS(업무일지!$B$5:$B$1004,"&gt;="&amp;DATE($B$3,12,1),업무일지!$B$5:$B$1004,"&lt;"&amp;DATE($B$3,12+1,1),업무일지!$AA$5:$AA$1004,"*"&amp;$A49&amp;"*",업무일지!$D$5:$D$1004,$B$30)))</f>
        <v/>
      </c>
      <c r="N49" s="118">
        <f>IF($A49="","",SUM(B49:M49))</f>
        <v/>
      </c>
    </row>
    <row r="50">
      <c r="A50" s="107">
        <f>IF($A25="","",$A25)</f>
        <v/>
      </c>
      <c r="B50" s="129">
        <f>IF($A50="","",IF($B$30="전체",COUNTIFS(업무일지!$B$5:$B$1004,"&gt;="&amp;DATE($B$3,1,1),업무일지!$B$5:$B$1004,"&lt;"&amp;DATE($B$3,1+1,1),업무일지!$AA$5:$AA$1004,"*"&amp;$A50&amp;"*"),COUNTIFS(업무일지!$B$5:$B$1004,"&gt;="&amp;DATE($B$3,1,1),업무일지!$B$5:$B$1004,"&lt;"&amp;DATE($B$3,1+1,1),업무일지!$AA$5:$AA$1004,"*"&amp;$A50&amp;"*",업무일지!$D$5:$D$1004,$B$30)))</f>
        <v/>
      </c>
      <c r="C50" s="129">
        <f>IF($A50="","",IF($B$30="전체",COUNTIFS(업무일지!$B$5:$B$1004,"&gt;="&amp;DATE($B$3,2,1),업무일지!$B$5:$B$1004,"&lt;"&amp;DATE($B$3,2+1,1),업무일지!$AA$5:$AA$1004,"*"&amp;$A50&amp;"*"),COUNTIFS(업무일지!$B$5:$B$1004,"&gt;="&amp;DATE($B$3,2,1),업무일지!$B$5:$B$1004,"&lt;"&amp;DATE($B$3,2+1,1),업무일지!$AA$5:$AA$1004,"*"&amp;$A50&amp;"*",업무일지!$D$5:$D$1004,$B$30)))</f>
        <v/>
      </c>
      <c r="D50" s="129">
        <f>IF($A50="","",IF($B$30="전체",COUNTIFS(업무일지!$B$5:$B$1004,"&gt;="&amp;DATE($B$3,3,1),업무일지!$B$5:$B$1004,"&lt;"&amp;DATE($B$3,3+1,1),업무일지!$AA$5:$AA$1004,"*"&amp;$A50&amp;"*"),COUNTIFS(업무일지!$B$5:$B$1004,"&gt;="&amp;DATE($B$3,3,1),업무일지!$B$5:$B$1004,"&lt;"&amp;DATE($B$3,3+1,1),업무일지!$AA$5:$AA$1004,"*"&amp;$A50&amp;"*",업무일지!$D$5:$D$1004,$B$30)))</f>
        <v/>
      </c>
      <c r="E50" s="129">
        <f>IF($A50="","",IF($B$30="전체",COUNTIFS(업무일지!$B$5:$B$1004,"&gt;="&amp;DATE($B$3,4,1),업무일지!$B$5:$B$1004,"&lt;"&amp;DATE($B$3,4+1,1),업무일지!$AA$5:$AA$1004,"*"&amp;$A50&amp;"*"),COUNTIFS(업무일지!$B$5:$B$1004,"&gt;="&amp;DATE($B$3,4,1),업무일지!$B$5:$B$1004,"&lt;"&amp;DATE($B$3,4+1,1),업무일지!$AA$5:$AA$1004,"*"&amp;$A50&amp;"*",업무일지!$D$5:$D$1004,$B$30)))</f>
        <v/>
      </c>
      <c r="F50" s="129">
        <f>IF($A50="","",IF($B$30="전체",COUNTIFS(업무일지!$B$5:$B$1004,"&gt;="&amp;DATE($B$3,5,1),업무일지!$B$5:$B$1004,"&lt;"&amp;DATE($B$3,5+1,1),업무일지!$AA$5:$AA$1004,"*"&amp;$A50&amp;"*"),COUNTIFS(업무일지!$B$5:$B$1004,"&gt;="&amp;DATE($B$3,5,1),업무일지!$B$5:$B$1004,"&lt;"&amp;DATE($B$3,5+1,1),업무일지!$AA$5:$AA$1004,"*"&amp;$A50&amp;"*",업무일지!$D$5:$D$1004,$B$30)))</f>
        <v/>
      </c>
      <c r="G50" s="129">
        <f>IF($A50="","",IF($B$30="전체",COUNTIFS(업무일지!$B$5:$B$1004,"&gt;="&amp;DATE($B$3,6,1),업무일지!$B$5:$B$1004,"&lt;"&amp;DATE($B$3,6+1,1),업무일지!$AA$5:$AA$1004,"*"&amp;$A50&amp;"*"),COUNTIFS(업무일지!$B$5:$B$1004,"&gt;="&amp;DATE($B$3,6,1),업무일지!$B$5:$B$1004,"&lt;"&amp;DATE($B$3,6+1,1),업무일지!$AA$5:$AA$1004,"*"&amp;$A50&amp;"*",업무일지!$D$5:$D$1004,$B$30)))</f>
        <v/>
      </c>
      <c r="H50" s="129">
        <f>IF($A50="","",IF($B$30="전체",COUNTIFS(업무일지!$B$5:$B$1004,"&gt;="&amp;DATE($B$3,7,1),업무일지!$B$5:$B$1004,"&lt;"&amp;DATE($B$3,7+1,1),업무일지!$AA$5:$AA$1004,"*"&amp;$A50&amp;"*"),COUNTIFS(업무일지!$B$5:$B$1004,"&gt;="&amp;DATE($B$3,7,1),업무일지!$B$5:$B$1004,"&lt;"&amp;DATE($B$3,7+1,1),업무일지!$AA$5:$AA$1004,"*"&amp;$A50&amp;"*",업무일지!$D$5:$D$1004,$B$30)))</f>
        <v/>
      </c>
      <c r="I50" s="129">
        <f>IF($A50="","",IF($B$30="전체",COUNTIFS(업무일지!$B$5:$B$1004,"&gt;="&amp;DATE($B$3,8,1),업무일지!$B$5:$B$1004,"&lt;"&amp;DATE($B$3,8+1,1),업무일지!$AA$5:$AA$1004,"*"&amp;$A50&amp;"*"),COUNTIFS(업무일지!$B$5:$B$1004,"&gt;="&amp;DATE($B$3,8,1),업무일지!$B$5:$B$1004,"&lt;"&amp;DATE($B$3,8+1,1),업무일지!$AA$5:$AA$1004,"*"&amp;$A50&amp;"*",업무일지!$D$5:$D$1004,$B$30)))</f>
        <v/>
      </c>
      <c r="J50" s="129">
        <f>IF($A50="","",IF($B$30="전체",COUNTIFS(업무일지!$B$5:$B$1004,"&gt;="&amp;DATE($B$3,9,1),업무일지!$B$5:$B$1004,"&lt;"&amp;DATE($B$3,9+1,1),업무일지!$AA$5:$AA$1004,"*"&amp;$A50&amp;"*"),COUNTIFS(업무일지!$B$5:$B$1004,"&gt;="&amp;DATE($B$3,9,1),업무일지!$B$5:$B$1004,"&lt;"&amp;DATE($B$3,9+1,1),업무일지!$AA$5:$AA$1004,"*"&amp;$A50&amp;"*",업무일지!$D$5:$D$1004,$B$30)))</f>
        <v/>
      </c>
      <c r="K50" s="129">
        <f>IF($A50="","",IF($B$30="전체",COUNTIFS(업무일지!$B$5:$B$1004,"&gt;="&amp;DATE($B$3,10,1),업무일지!$B$5:$B$1004,"&lt;"&amp;DATE($B$3,10+1,1),업무일지!$AA$5:$AA$1004,"*"&amp;$A50&amp;"*"),COUNTIFS(업무일지!$B$5:$B$1004,"&gt;="&amp;DATE($B$3,10,1),업무일지!$B$5:$B$1004,"&lt;"&amp;DATE($B$3,10+1,1),업무일지!$AA$5:$AA$1004,"*"&amp;$A50&amp;"*",업무일지!$D$5:$D$1004,$B$30)))</f>
        <v/>
      </c>
      <c r="L50" s="129">
        <f>IF($A50="","",IF($B$30="전체",COUNTIFS(업무일지!$B$5:$B$1004,"&gt;="&amp;DATE($B$3,11,1),업무일지!$B$5:$B$1004,"&lt;"&amp;DATE($B$3,11+1,1),업무일지!$AA$5:$AA$1004,"*"&amp;$A50&amp;"*"),COUNTIFS(업무일지!$B$5:$B$1004,"&gt;="&amp;DATE($B$3,11,1),업무일지!$B$5:$B$1004,"&lt;"&amp;DATE($B$3,11+1,1),업무일지!$AA$5:$AA$1004,"*"&amp;$A50&amp;"*",업무일지!$D$5:$D$1004,$B$30)))</f>
        <v/>
      </c>
      <c r="M50" s="129">
        <f>IF($A50="","",IF($B$30="전체",COUNTIFS(업무일지!$B$5:$B$1004,"&gt;="&amp;DATE($B$3,12,1),업무일지!$B$5:$B$1004,"&lt;"&amp;DATE($B$3,12+1,1),업무일지!$AA$5:$AA$1004,"*"&amp;$A50&amp;"*"),COUNTIFS(업무일지!$B$5:$B$1004,"&gt;="&amp;DATE($B$3,12,1),업무일지!$B$5:$B$1004,"&lt;"&amp;DATE($B$3,12+1,1),업무일지!$AA$5:$AA$1004,"*"&amp;$A50&amp;"*",업무일지!$D$5:$D$1004,$B$30)))</f>
        <v/>
      </c>
      <c r="N50" s="118">
        <f>IF($A50="","",SUM(B50:M50))</f>
        <v/>
      </c>
    </row>
    <row r="51">
      <c r="A51" s="107">
        <f>IF($A26="","",$A26)</f>
        <v/>
      </c>
      <c r="B51" s="129">
        <f>IF($A51="","",IF($B$30="전체",COUNTIFS(업무일지!$B$5:$B$1004,"&gt;="&amp;DATE($B$3,1,1),업무일지!$B$5:$B$1004,"&lt;"&amp;DATE($B$3,1+1,1),업무일지!$AA$5:$AA$1004,"*"&amp;$A51&amp;"*"),COUNTIFS(업무일지!$B$5:$B$1004,"&gt;="&amp;DATE($B$3,1,1),업무일지!$B$5:$B$1004,"&lt;"&amp;DATE($B$3,1+1,1),업무일지!$AA$5:$AA$1004,"*"&amp;$A51&amp;"*",업무일지!$D$5:$D$1004,$B$30)))</f>
        <v/>
      </c>
      <c r="C51" s="129">
        <f>IF($A51="","",IF($B$30="전체",COUNTIFS(업무일지!$B$5:$B$1004,"&gt;="&amp;DATE($B$3,2,1),업무일지!$B$5:$B$1004,"&lt;"&amp;DATE($B$3,2+1,1),업무일지!$AA$5:$AA$1004,"*"&amp;$A51&amp;"*"),COUNTIFS(업무일지!$B$5:$B$1004,"&gt;="&amp;DATE($B$3,2,1),업무일지!$B$5:$B$1004,"&lt;"&amp;DATE($B$3,2+1,1),업무일지!$AA$5:$AA$1004,"*"&amp;$A51&amp;"*",업무일지!$D$5:$D$1004,$B$30)))</f>
        <v/>
      </c>
      <c r="D51" s="129">
        <f>IF($A51="","",IF($B$30="전체",COUNTIFS(업무일지!$B$5:$B$1004,"&gt;="&amp;DATE($B$3,3,1),업무일지!$B$5:$B$1004,"&lt;"&amp;DATE($B$3,3+1,1),업무일지!$AA$5:$AA$1004,"*"&amp;$A51&amp;"*"),COUNTIFS(업무일지!$B$5:$B$1004,"&gt;="&amp;DATE($B$3,3,1),업무일지!$B$5:$B$1004,"&lt;"&amp;DATE($B$3,3+1,1),업무일지!$AA$5:$AA$1004,"*"&amp;$A51&amp;"*",업무일지!$D$5:$D$1004,$B$30)))</f>
        <v/>
      </c>
      <c r="E51" s="129">
        <f>IF($A51="","",IF($B$30="전체",COUNTIFS(업무일지!$B$5:$B$1004,"&gt;="&amp;DATE($B$3,4,1),업무일지!$B$5:$B$1004,"&lt;"&amp;DATE($B$3,4+1,1),업무일지!$AA$5:$AA$1004,"*"&amp;$A51&amp;"*"),COUNTIFS(업무일지!$B$5:$B$1004,"&gt;="&amp;DATE($B$3,4,1),업무일지!$B$5:$B$1004,"&lt;"&amp;DATE($B$3,4+1,1),업무일지!$AA$5:$AA$1004,"*"&amp;$A51&amp;"*",업무일지!$D$5:$D$1004,$B$30)))</f>
        <v/>
      </c>
      <c r="F51" s="129">
        <f>IF($A51="","",IF($B$30="전체",COUNTIFS(업무일지!$B$5:$B$1004,"&gt;="&amp;DATE($B$3,5,1),업무일지!$B$5:$B$1004,"&lt;"&amp;DATE($B$3,5+1,1),업무일지!$AA$5:$AA$1004,"*"&amp;$A51&amp;"*"),COUNTIFS(업무일지!$B$5:$B$1004,"&gt;="&amp;DATE($B$3,5,1),업무일지!$B$5:$B$1004,"&lt;"&amp;DATE($B$3,5+1,1),업무일지!$AA$5:$AA$1004,"*"&amp;$A51&amp;"*",업무일지!$D$5:$D$1004,$B$30)))</f>
        <v/>
      </c>
      <c r="G51" s="129">
        <f>IF($A51="","",IF($B$30="전체",COUNTIFS(업무일지!$B$5:$B$1004,"&gt;="&amp;DATE($B$3,6,1),업무일지!$B$5:$B$1004,"&lt;"&amp;DATE($B$3,6+1,1),업무일지!$AA$5:$AA$1004,"*"&amp;$A51&amp;"*"),COUNTIFS(업무일지!$B$5:$B$1004,"&gt;="&amp;DATE($B$3,6,1),업무일지!$B$5:$B$1004,"&lt;"&amp;DATE($B$3,6+1,1),업무일지!$AA$5:$AA$1004,"*"&amp;$A51&amp;"*",업무일지!$D$5:$D$1004,$B$30)))</f>
        <v/>
      </c>
      <c r="H51" s="129">
        <f>IF($A51="","",IF($B$30="전체",COUNTIFS(업무일지!$B$5:$B$1004,"&gt;="&amp;DATE($B$3,7,1),업무일지!$B$5:$B$1004,"&lt;"&amp;DATE($B$3,7+1,1),업무일지!$AA$5:$AA$1004,"*"&amp;$A51&amp;"*"),COUNTIFS(업무일지!$B$5:$B$1004,"&gt;="&amp;DATE($B$3,7,1),업무일지!$B$5:$B$1004,"&lt;"&amp;DATE($B$3,7+1,1),업무일지!$AA$5:$AA$1004,"*"&amp;$A51&amp;"*",업무일지!$D$5:$D$1004,$B$30)))</f>
        <v/>
      </c>
      <c r="I51" s="129">
        <f>IF($A51="","",IF($B$30="전체",COUNTIFS(업무일지!$B$5:$B$1004,"&gt;="&amp;DATE($B$3,8,1),업무일지!$B$5:$B$1004,"&lt;"&amp;DATE($B$3,8+1,1),업무일지!$AA$5:$AA$1004,"*"&amp;$A51&amp;"*"),COUNTIFS(업무일지!$B$5:$B$1004,"&gt;="&amp;DATE($B$3,8,1),업무일지!$B$5:$B$1004,"&lt;"&amp;DATE($B$3,8+1,1),업무일지!$AA$5:$AA$1004,"*"&amp;$A51&amp;"*",업무일지!$D$5:$D$1004,$B$30)))</f>
        <v/>
      </c>
      <c r="J51" s="129">
        <f>IF($A51="","",IF($B$30="전체",COUNTIFS(업무일지!$B$5:$B$1004,"&gt;="&amp;DATE($B$3,9,1),업무일지!$B$5:$B$1004,"&lt;"&amp;DATE($B$3,9+1,1),업무일지!$AA$5:$AA$1004,"*"&amp;$A51&amp;"*"),COUNTIFS(업무일지!$B$5:$B$1004,"&gt;="&amp;DATE($B$3,9,1),업무일지!$B$5:$B$1004,"&lt;"&amp;DATE($B$3,9+1,1),업무일지!$AA$5:$AA$1004,"*"&amp;$A51&amp;"*",업무일지!$D$5:$D$1004,$B$30)))</f>
        <v/>
      </c>
      <c r="K51" s="129">
        <f>IF($A51="","",IF($B$30="전체",COUNTIFS(업무일지!$B$5:$B$1004,"&gt;="&amp;DATE($B$3,10,1),업무일지!$B$5:$B$1004,"&lt;"&amp;DATE($B$3,10+1,1),업무일지!$AA$5:$AA$1004,"*"&amp;$A51&amp;"*"),COUNTIFS(업무일지!$B$5:$B$1004,"&gt;="&amp;DATE($B$3,10,1),업무일지!$B$5:$B$1004,"&lt;"&amp;DATE($B$3,10+1,1),업무일지!$AA$5:$AA$1004,"*"&amp;$A51&amp;"*",업무일지!$D$5:$D$1004,$B$30)))</f>
        <v/>
      </c>
      <c r="L51" s="129">
        <f>IF($A51="","",IF($B$30="전체",COUNTIFS(업무일지!$B$5:$B$1004,"&gt;="&amp;DATE($B$3,11,1),업무일지!$B$5:$B$1004,"&lt;"&amp;DATE($B$3,11+1,1),업무일지!$AA$5:$AA$1004,"*"&amp;$A51&amp;"*"),COUNTIFS(업무일지!$B$5:$B$1004,"&gt;="&amp;DATE($B$3,11,1),업무일지!$B$5:$B$1004,"&lt;"&amp;DATE($B$3,11+1,1),업무일지!$AA$5:$AA$1004,"*"&amp;$A51&amp;"*",업무일지!$D$5:$D$1004,$B$30)))</f>
        <v/>
      </c>
      <c r="M51" s="129">
        <f>IF($A51="","",IF($B$30="전체",COUNTIFS(업무일지!$B$5:$B$1004,"&gt;="&amp;DATE($B$3,12,1),업무일지!$B$5:$B$1004,"&lt;"&amp;DATE($B$3,12+1,1),업무일지!$AA$5:$AA$1004,"*"&amp;$A51&amp;"*"),COUNTIFS(업무일지!$B$5:$B$1004,"&gt;="&amp;DATE($B$3,12,1),업무일지!$B$5:$B$1004,"&lt;"&amp;DATE($B$3,12+1,1),업무일지!$AA$5:$AA$1004,"*"&amp;$A51&amp;"*",업무일지!$D$5:$D$1004,$B$30)))</f>
        <v/>
      </c>
      <c r="N51" s="118">
        <f>IF($A51="","",SUM(B51:M51))</f>
        <v/>
      </c>
    </row>
    <row r="52">
      <c r="A52" s="112" t="inlineStr">
        <is>
          <t>합계</t>
        </is>
      </c>
      <c r="B52" s="113">
        <f>SUM(B32:B51)</f>
        <v/>
      </c>
      <c r="C52" s="113">
        <f>SUM(C32:C51)</f>
        <v/>
      </c>
      <c r="D52" s="113">
        <f>SUM(D32:D51)</f>
        <v/>
      </c>
      <c r="E52" s="113">
        <f>SUM(E32:E51)</f>
        <v/>
      </c>
      <c r="F52" s="113">
        <f>SUM(F32:F51)</f>
        <v/>
      </c>
      <c r="G52" s="113">
        <f>SUM(G32:G51)</f>
        <v/>
      </c>
      <c r="H52" s="113">
        <f>SUM(H32:H51)</f>
        <v/>
      </c>
      <c r="I52" s="113">
        <f>SUM(I32:I51)</f>
        <v/>
      </c>
      <c r="J52" s="113">
        <f>SUM(J32:J51)</f>
        <v/>
      </c>
      <c r="K52" s="113">
        <f>SUM(K32:K51)</f>
        <v/>
      </c>
      <c r="L52" s="113">
        <f>SUM(L32:L51)</f>
        <v/>
      </c>
      <c r="M52" s="113">
        <f>SUM(M32:M51)</f>
        <v/>
      </c>
      <c r="N52" s="113">
        <f>SUM(N32:N51)</f>
        <v/>
      </c>
    </row>
    <row r="54">
      <c r="A54" s="7" t="inlineStr">
        <is>
          <t>※ 월별 참여건수는 시작일이 속한 달을 기준으로 셉니다(달을 걸친 건은 시작한 달에 1건).</t>
        </is>
      </c>
    </row>
    <row r="59">
      <c r="P59" s="7" t="inlineStr">
        <is>
          <t>▼ 개인별 고유 사건 수 계산용 (지우지 마세요)</t>
        </is>
      </c>
    </row>
    <row r="60">
      <c r="P60">
        <f>IF(사건마스터!$A5="","",사건마스터!$A5)</f>
        <v/>
      </c>
      <c r="Q60">
        <f>IF($P60="",0,IF(COUNTIFS(업무일지!$F$5:$F$1004,$P60,업무일지!$B$5:$B$1004,"&gt;="&amp;DATE($B$3,1,1),업무일지!$B$5:$B$1004,"&lt;"&amp;DATE($B$3+1,1,1),업무일지!$AA$5:$AA$1004,"*"&amp;$A$7&amp;"*")&gt;0,1,0))</f>
        <v/>
      </c>
      <c r="R60">
        <f>IF($P60="",0,IF(COUNTIFS(업무일지!$F$5:$F$1004,$P60,업무일지!$B$5:$B$1004,"&gt;="&amp;DATE($B$3,1,1),업무일지!$B$5:$B$1004,"&lt;"&amp;DATE($B$3+1,1,1),업무일지!$AA$5:$AA$1004,"*"&amp;$A$8&amp;"*")&gt;0,1,0))</f>
        <v/>
      </c>
      <c r="S60">
        <f>IF($P60="",0,IF(COUNTIFS(업무일지!$F$5:$F$1004,$P60,업무일지!$B$5:$B$1004,"&gt;="&amp;DATE($B$3,1,1),업무일지!$B$5:$B$1004,"&lt;"&amp;DATE($B$3+1,1,1),업무일지!$AA$5:$AA$1004,"*"&amp;$A$9&amp;"*")&gt;0,1,0))</f>
        <v/>
      </c>
      <c r="T60">
        <f>IF($P60="",0,IF(COUNTIFS(업무일지!$F$5:$F$1004,$P60,업무일지!$B$5:$B$1004,"&gt;="&amp;DATE($B$3,1,1),업무일지!$B$5:$B$1004,"&lt;"&amp;DATE($B$3+1,1,1),업무일지!$AA$5:$AA$1004,"*"&amp;$A$10&amp;"*")&gt;0,1,0))</f>
        <v/>
      </c>
      <c r="U60">
        <f>IF($P60="",0,IF(COUNTIFS(업무일지!$F$5:$F$1004,$P60,업무일지!$B$5:$B$1004,"&gt;="&amp;DATE($B$3,1,1),업무일지!$B$5:$B$1004,"&lt;"&amp;DATE($B$3+1,1,1),업무일지!$AA$5:$AA$1004,"*"&amp;$A$11&amp;"*")&gt;0,1,0))</f>
        <v/>
      </c>
      <c r="V60">
        <f>IF($P60="",0,IF(COUNTIFS(업무일지!$F$5:$F$1004,$P60,업무일지!$B$5:$B$1004,"&gt;="&amp;DATE($B$3,1,1),업무일지!$B$5:$B$1004,"&lt;"&amp;DATE($B$3+1,1,1),업무일지!$AA$5:$AA$1004,"*"&amp;$A$12&amp;"*")&gt;0,1,0))</f>
        <v/>
      </c>
      <c r="W60">
        <f>IF($P60="",0,IF(COUNTIFS(업무일지!$F$5:$F$1004,$P60,업무일지!$B$5:$B$1004,"&gt;="&amp;DATE($B$3,1,1),업무일지!$B$5:$B$1004,"&lt;"&amp;DATE($B$3+1,1,1),업무일지!$AA$5:$AA$1004,"*"&amp;$A$13&amp;"*")&gt;0,1,0))</f>
        <v/>
      </c>
      <c r="X60">
        <f>IF($P60="",0,IF(COUNTIFS(업무일지!$F$5:$F$1004,$P60,업무일지!$B$5:$B$1004,"&gt;="&amp;DATE($B$3,1,1),업무일지!$B$5:$B$1004,"&lt;"&amp;DATE($B$3+1,1,1),업무일지!$AA$5:$AA$1004,"*"&amp;$A$14&amp;"*")&gt;0,1,0))</f>
        <v/>
      </c>
      <c r="Y60">
        <f>IF($P60="",0,IF(COUNTIFS(업무일지!$F$5:$F$1004,$P60,업무일지!$B$5:$B$1004,"&gt;="&amp;DATE($B$3,1,1),업무일지!$B$5:$B$1004,"&lt;"&amp;DATE($B$3+1,1,1),업무일지!$AA$5:$AA$1004,"*"&amp;$A$15&amp;"*")&gt;0,1,0))</f>
        <v/>
      </c>
      <c r="Z60">
        <f>IF($P60="",0,IF(COUNTIFS(업무일지!$F$5:$F$1004,$P60,업무일지!$B$5:$B$1004,"&gt;="&amp;DATE($B$3,1,1),업무일지!$B$5:$B$1004,"&lt;"&amp;DATE($B$3+1,1,1),업무일지!$AA$5:$AA$1004,"*"&amp;$A$16&amp;"*")&gt;0,1,0))</f>
        <v/>
      </c>
      <c r="AA60">
        <f>IF($P60="",0,IF(COUNTIFS(업무일지!$F$5:$F$1004,$P60,업무일지!$B$5:$B$1004,"&gt;="&amp;DATE($B$3,1,1),업무일지!$B$5:$B$1004,"&lt;"&amp;DATE($B$3+1,1,1),업무일지!$AA$5:$AA$1004,"*"&amp;$A$17&amp;"*")&gt;0,1,0))</f>
        <v/>
      </c>
      <c r="AB60">
        <f>IF($P60="",0,IF(COUNTIFS(업무일지!$F$5:$F$1004,$P60,업무일지!$B$5:$B$1004,"&gt;="&amp;DATE($B$3,1,1),업무일지!$B$5:$B$1004,"&lt;"&amp;DATE($B$3+1,1,1),업무일지!$AA$5:$AA$1004,"*"&amp;$A$18&amp;"*")&gt;0,1,0))</f>
        <v/>
      </c>
      <c r="AC60">
        <f>IF($P60="",0,IF(COUNTIFS(업무일지!$F$5:$F$1004,$P60,업무일지!$B$5:$B$1004,"&gt;="&amp;DATE($B$3,1,1),업무일지!$B$5:$B$1004,"&lt;"&amp;DATE($B$3+1,1,1),업무일지!$AA$5:$AA$1004,"*"&amp;$A$19&amp;"*")&gt;0,1,0))</f>
        <v/>
      </c>
      <c r="AD60">
        <f>IF($P60="",0,IF(COUNTIFS(업무일지!$F$5:$F$1004,$P60,업무일지!$B$5:$B$1004,"&gt;="&amp;DATE($B$3,1,1),업무일지!$B$5:$B$1004,"&lt;"&amp;DATE($B$3+1,1,1),업무일지!$AA$5:$AA$1004,"*"&amp;$A$20&amp;"*")&gt;0,1,0))</f>
        <v/>
      </c>
      <c r="AE60">
        <f>IF($P60="",0,IF(COUNTIFS(업무일지!$F$5:$F$1004,$P60,업무일지!$B$5:$B$1004,"&gt;="&amp;DATE($B$3,1,1),업무일지!$B$5:$B$1004,"&lt;"&amp;DATE($B$3+1,1,1),업무일지!$AA$5:$AA$1004,"*"&amp;$A$21&amp;"*")&gt;0,1,0))</f>
        <v/>
      </c>
      <c r="AF60">
        <f>IF($P60="",0,IF(COUNTIFS(업무일지!$F$5:$F$1004,$P60,업무일지!$B$5:$B$1004,"&gt;="&amp;DATE($B$3,1,1),업무일지!$B$5:$B$1004,"&lt;"&amp;DATE($B$3+1,1,1),업무일지!$AA$5:$AA$1004,"*"&amp;$A$22&amp;"*")&gt;0,1,0))</f>
        <v/>
      </c>
      <c r="AG60">
        <f>IF($P60="",0,IF(COUNTIFS(업무일지!$F$5:$F$1004,$P60,업무일지!$B$5:$B$1004,"&gt;="&amp;DATE($B$3,1,1),업무일지!$B$5:$B$1004,"&lt;"&amp;DATE($B$3+1,1,1),업무일지!$AA$5:$AA$1004,"*"&amp;$A$23&amp;"*")&gt;0,1,0))</f>
        <v/>
      </c>
      <c r="AH60">
        <f>IF($P60="",0,IF(COUNTIFS(업무일지!$F$5:$F$1004,$P60,업무일지!$B$5:$B$1004,"&gt;="&amp;DATE($B$3,1,1),업무일지!$B$5:$B$1004,"&lt;"&amp;DATE($B$3+1,1,1),업무일지!$AA$5:$AA$1004,"*"&amp;$A$24&amp;"*")&gt;0,1,0))</f>
        <v/>
      </c>
      <c r="AI60">
        <f>IF($P60="",0,IF(COUNTIFS(업무일지!$F$5:$F$1004,$P60,업무일지!$B$5:$B$1004,"&gt;="&amp;DATE($B$3,1,1),업무일지!$B$5:$B$1004,"&lt;"&amp;DATE($B$3+1,1,1),업무일지!$AA$5:$AA$1004,"*"&amp;$A$25&amp;"*")&gt;0,1,0))</f>
        <v/>
      </c>
      <c r="AJ60">
        <f>IF($P60="",0,IF(COUNTIFS(업무일지!$F$5:$F$1004,$P60,업무일지!$B$5:$B$1004,"&gt;="&amp;DATE($B$3,1,1),업무일지!$B$5:$B$1004,"&lt;"&amp;DATE($B$3+1,1,1),업무일지!$AA$5:$AA$1004,"*"&amp;$A$26&amp;"*")&gt;0,1,0))</f>
        <v/>
      </c>
    </row>
    <row r="61">
      <c r="P61">
        <f>IF(사건마스터!$A6="","",사건마스터!$A6)</f>
        <v/>
      </c>
      <c r="Q61">
        <f>IF($P61="",0,IF(COUNTIFS(업무일지!$F$5:$F$1004,$P61,업무일지!$B$5:$B$1004,"&gt;="&amp;DATE($B$3,1,1),업무일지!$B$5:$B$1004,"&lt;"&amp;DATE($B$3+1,1,1),업무일지!$AA$5:$AA$1004,"*"&amp;$A$7&amp;"*")&gt;0,1,0))</f>
        <v/>
      </c>
      <c r="R61">
        <f>IF($P61="",0,IF(COUNTIFS(업무일지!$F$5:$F$1004,$P61,업무일지!$B$5:$B$1004,"&gt;="&amp;DATE($B$3,1,1),업무일지!$B$5:$B$1004,"&lt;"&amp;DATE($B$3+1,1,1),업무일지!$AA$5:$AA$1004,"*"&amp;$A$8&amp;"*")&gt;0,1,0))</f>
        <v/>
      </c>
      <c r="S61">
        <f>IF($P61="",0,IF(COUNTIFS(업무일지!$F$5:$F$1004,$P61,업무일지!$B$5:$B$1004,"&gt;="&amp;DATE($B$3,1,1),업무일지!$B$5:$B$1004,"&lt;"&amp;DATE($B$3+1,1,1),업무일지!$AA$5:$AA$1004,"*"&amp;$A$9&amp;"*")&gt;0,1,0))</f>
        <v/>
      </c>
      <c r="T61">
        <f>IF($P61="",0,IF(COUNTIFS(업무일지!$F$5:$F$1004,$P61,업무일지!$B$5:$B$1004,"&gt;="&amp;DATE($B$3,1,1),업무일지!$B$5:$B$1004,"&lt;"&amp;DATE($B$3+1,1,1),업무일지!$AA$5:$AA$1004,"*"&amp;$A$10&amp;"*")&gt;0,1,0))</f>
        <v/>
      </c>
      <c r="U61">
        <f>IF($P61="",0,IF(COUNTIFS(업무일지!$F$5:$F$1004,$P61,업무일지!$B$5:$B$1004,"&gt;="&amp;DATE($B$3,1,1),업무일지!$B$5:$B$1004,"&lt;"&amp;DATE($B$3+1,1,1),업무일지!$AA$5:$AA$1004,"*"&amp;$A$11&amp;"*")&gt;0,1,0))</f>
        <v/>
      </c>
      <c r="V61">
        <f>IF($P61="",0,IF(COUNTIFS(업무일지!$F$5:$F$1004,$P61,업무일지!$B$5:$B$1004,"&gt;="&amp;DATE($B$3,1,1),업무일지!$B$5:$B$1004,"&lt;"&amp;DATE($B$3+1,1,1),업무일지!$AA$5:$AA$1004,"*"&amp;$A$12&amp;"*")&gt;0,1,0))</f>
        <v/>
      </c>
      <c r="W61">
        <f>IF($P61="",0,IF(COUNTIFS(업무일지!$F$5:$F$1004,$P61,업무일지!$B$5:$B$1004,"&gt;="&amp;DATE($B$3,1,1),업무일지!$B$5:$B$1004,"&lt;"&amp;DATE($B$3+1,1,1),업무일지!$AA$5:$AA$1004,"*"&amp;$A$13&amp;"*")&gt;0,1,0))</f>
        <v/>
      </c>
      <c r="X61">
        <f>IF($P61="",0,IF(COUNTIFS(업무일지!$F$5:$F$1004,$P61,업무일지!$B$5:$B$1004,"&gt;="&amp;DATE($B$3,1,1),업무일지!$B$5:$B$1004,"&lt;"&amp;DATE($B$3+1,1,1),업무일지!$AA$5:$AA$1004,"*"&amp;$A$14&amp;"*")&gt;0,1,0))</f>
        <v/>
      </c>
      <c r="Y61">
        <f>IF($P61="",0,IF(COUNTIFS(업무일지!$F$5:$F$1004,$P61,업무일지!$B$5:$B$1004,"&gt;="&amp;DATE($B$3,1,1),업무일지!$B$5:$B$1004,"&lt;"&amp;DATE($B$3+1,1,1),업무일지!$AA$5:$AA$1004,"*"&amp;$A$15&amp;"*")&gt;0,1,0))</f>
        <v/>
      </c>
      <c r="Z61">
        <f>IF($P61="",0,IF(COUNTIFS(업무일지!$F$5:$F$1004,$P61,업무일지!$B$5:$B$1004,"&gt;="&amp;DATE($B$3,1,1),업무일지!$B$5:$B$1004,"&lt;"&amp;DATE($B$3+1,1,1),업무일지!$AA$5:$AA$1004,"*"&amp;$A$16&amp;"*")&gt;0,1,0))</f>
        <v/>
      </c>
      <c r="AA61">
        <f>IF($P61="",0,IF(COUNTIFS(업무일지!$F$5:$F$1004,$P61,업무일지!$B$5:$B$1004,"&gt;="&amp;DATE($B$3,1,1),업무일지!$B$5:$B$1004,"&lt;"&amp;DATE($B$3+1,1,1),업무일지!$AA$5:$AA$1004,"*"&amp;$A$17&amp;"*")&gt;0,1,0))</f>
        <v/>
      </c>
      <c r="AB61">
        <f>IF($P61="",0,IF(COUNTIFS(업무일지!$F$5:$F$1004,$P61,업무일지!$B$5:$B$1004,"&gt;="&amp;DATE($B$3,1,1),업무일지!$B$5:$B$1004,"&lt;"&amp;DATE($B$3+1,1,1),업무일지!$AA$5:$AA$1004,"*"&amp;$A$18&amp;"*")&gt;0,1,0))</f>
        <v/>
      </c>
      <c r="AC61">
        <f>IF($P61="",0,IF(COUNTIFS(업무일지!$F$5:$F$1004,$P61,업무일지!$B$5:$B$1004,"&gt;="&amp;DATE($B$3,1,1),업무일지!$B$5:$B$1004,"&lt;"&amp;DATE($B$3+1,1,1),업무일지!$AA$5:$AA$1004,"*"&amp;$A$19&amp;"*")&gt;0,1,0))</f>
        <v/>
      </c>
      <c r="AD61">
        <f>IF($P61="",0,IF(COUNTIFS(업무일지!$F$5:$F$1004,$P61,업무일지!$B$5:$B$1004,"&gt;="&amp;DATE($B$3,1,1),업무일지!$B$5:$B$1004,"&lt;"&amp;DATE($B$3+1,1,1),업무일지!$AA$5:$AA$1004,"*"&amp;$A$20&amp;"*")&gt;0,1,0))</f>
        <v/>
      </c>
      <c r="AE61">
        <f>IF($P61="",0,IF(COUNTIFS(업무일지!$F$5:$F$1004,$P61,업무일지!$B$5:$B$1004,"&gt;="&amp;DATE($B$3,1,1),업무일지!$B$5:$B$1004,"&lt;"&amp;DATE($B$3+1,1,1),업무일지!$AA$5:$AA$1004,"*"&amp;$A$21&amp;"*")&gt;0,1,0))</f>
        <v/>
      </c>
      <c r="AF61">
        <f>IF($P61="",0,IF(COUNTIFS(업무일지!$F$5:$F$1004,$P61,업무일지!$B$5:$B$1004,"&gt;="&amp;DATE($B$3,1,1),업무일지!$B$5:$B$1004,"&lt;"&amp;DATE($B$3+1,1,1),업무일지!$AA$5:$AA$1004,"*"&amp;$A$22&amp;"*")&gt;0,1,0))</f>
        <v/>
      </c>
      <c r="AG61">
        <f>IF($P61="",0,IF(COUNTIFS(업무일지!$F$5:$F$1004,$P61,업무일지!$B$5:$B$1004,"&gt;="&amp;DATE($B$3,1,1),업무일지!$B$5:$B$1004,"&lt;"&amp;DATE($B$3+1,1,1),업무일지!$AA$5:$AA$1004,"*"&amp;$A$23&amp;"*")&gt;0,1,0))</f>
        <v/>
      </c>
      <c r="AH61">
        <f>IF($P61="",0,IF(COUNTIFS(업무일지!$F$5:$F$1004,$P61,업무일지!$B$5:$B$1004,"&gt;="&amp;DATE($B$3,1,1),업무일지!$B$5:$B$1004,"&lt;"&amp;DATE($B$3+1,1,1),업무일지!$AA$5:$AA$1004,"*"&amp;$A$24&amp;"*")&gt;0,1,0))</f>
        <v/>
      </c>
      <c r="AI61">
        <f>IF($P61="",0,IF(COUNTIFS(업무일지!$F$5:$F$1004,$P61,업무일지!$B$5:$B$1004,"&gt;="&amp;DATE($B$3,1,1),업무일지!$B$5:$B$1004,"&lt;"&amp;DATE($B$3+1,1,1),업무일지!$AA$5:$AA$1004,"*"&amp;$A$25&amp;"*")&gt;0,1,0))</f>
        <v/>
      </c>
      <c r="AJ61">
        <f>IF($P61="",0,IF(COUNTIFS(업무일지!$F$5:$F$1004,$P61,업무일지!$B$5:$B$1004,"&gt;="&amp;DATE($B$3,1,1),업무일지!$B$5:$B$1004,"&lt;"&amp;DATE($B$3+1,1,1),업무일지!$AA$5:$AA$1004,"*"&amp;$A$26&amp;"*")&gt;0,1,0))</f>
        <v/>
      </c>
    </row>
    <row r="62">
      <c r="P62">
        <f>IF(사건마스터!$A7="","",사건마스터!$A7)</f>
        <v/>
      </c>
      <c r="Q62">
        <f>IF($P62="",0,IF(COUNTIFS(업무일지!$F$5:$F$1004,$P62,업무일지!$B$5:$B$1004,"&gt;="&amp;DATE($B$3,1,1),업무일지!$B$5:$B$1004,"&lt;"&amp;DATE($B$3+1,1,1),업무일지!$AA$5:$AA$1004,"*"&amp;$A$7&amp;"*")&gt;0,1,0))</f>
        <v/>
      </c>
      <c r="R62">
        <f>IF($P62="",0,IF(COUNTIFS(업무일지!$F$5:$F$1004,$P62,업무일지!$B$5:$B$1004,"&gt;="&amp;DATE($B$3,1,1),업무일지!$B$5:$B$1004,"&lt;"&amp;DATE($B$3+1,1,1),업무일지!$AA$5:$AA$1004,"*"&amp;$A$8&amp;"*")&gt;0,1,0))</f>
        <v/>
      </c>
      <c r="S62">
        <f>IF($P62="",0,IF(COUNTIFS(업무일지!$F$5:$F$1004,$P62,업무일지!$B$5:$B$1004,"&gt;="&amp;DATE($B$3,1,1),업무일지!$B$5:$B$1004,"&lt;"&amp;DATE($B$3+1,1,1),업무일지!$AA$5:$AA$1004,"*"&amp;$A$9&amp;"*")&gt;0,1,0))</f>
        <v/>
      </c>
      <c r="T62">
        <f>IF($P62="",0,IF(COUNTIFS(업무일지!$F$5:$F$1004,$P62,업무일지!$B$5:$B$1004,"&gt;="&amp;DATE($B$3,1,1),업무일지!$B$5:$B$1004,"&lt;"&amp;DATE($B$3+1,1,1),업무일지!$AA$5:$AA$1004,"*"&amp;$A$10&amp;"*")&gt;0,1,0))</f>
        <v/>
      </c>
      <c r="U62">
        <f>IF($P62="",0,IF(COUNTIFS(업무일지!$F$5:$F$1004,$P62,업무일지!$B$5:$B$1004,"&gt;="&amp;DATE($B$3,1,1),업무일지!$B$5:$B$1004,"&lt;"&amp;DATE($B$3+1,1,1),업무일지!$AA$5:$AA$1004,"*"&amp;$A$11&amp;"*")&gt;0,1,0))</f>
        <v/>
      </c>
      <c r="V62">
        <f>IF($P62="",0,IF(COUNTIFS(업무일지!$F$5:$F$1004,$P62,업무일지!$B$5:$B$1004,"&gt;="&amp;DATE($B$3,1,1),업무일지!$B$5:$B$1004,"&lt;"&amp;DATE($B$3+1,1,1),업무일지!$AA$5:$AA$1004,"*"&amp;$A$12&amp;"*")&gt;0,1,0))</f>
        <v/>
      </c>
      <c r="W62">
        <f>IF($P62="",0,IF(COUNTIFS(업무일지!$F$5:$F$1004,$P62,업무일지!$B$5:$B$1004,"&gt;="&amp;DATE($B$3,1,1),업무일지!$B$5:$B$1004,"&lt;"&amp;DATE($B$3+1,1,1),업무일지!$AA$5:$AA$1004,"*"&amp;$A$13&amp;"*")&gt;0,1,0))</f>
        <v/>
      </c>
      <c r="X62">
        <f>IF($P62="",0,IF(COUNTIFS(업무일지!$F$5:$F$1004,$P62,업무일지!$B$5:$B$1004,"&gt;="&amp;DATE($B$3,1,1),업무일지!$B$5:$B$1004,"&lt;"&amp;DATE($B$3+1,1,1),업무일지!$AA$5:$AA$1004,"*"&amp;$A$14&amp;"*")&gt;0,1,0))</f>
        <v/>
      </c>
      <c r="Y62">
        <f>IF($P62="",0,IF(COUNTIFS(업무일지!$F$5:$F$1004,$P62,업무일지!$B$5:$B$1004,"&gt;="&amp;DATE($B$3,1,1),업무일지!$B$5:$B$1004,"&lt;"&amp;DATE($B$3+1,1,1),업무일지!$AA$5:$AA$1004,"*"&amp;$A$15&amp;"*")&gt;0,1,0))</f>
        <v/>
      </c>
      <c r="Z62">
        <f>IF($P62="",0,IF(COUNTIFS(업무일지!$F$5:$F$1004,$P62,업무일지!$B$5:$B$1004,"&gt;="&amp;DATE($B$3,1,1),업무일지!$B$5:$B$1004,"&lt;"&amp;DATE($B$3+1,1,1),업무일지!$AA$5:$AA$1004,"*"&amp;$A$16&amp;"*")&gt;0,1,0))</f>
        <v/>
      </c>
      <c r="AA62">
        <f>IF($P62="",0,IF(COUNTIFS(업무일지!$F$5:$F$1004,$P62,업무일지!$B$5:$B$1004,"&gt;="&amp;DATE($B$3,1,1),업무일지!$B$5:$B$1004,"&lt;"&amp;DATE($B$3+1,1,1),업무일지!$AA$5:$AA$1004,"*"&amp;$A$17&amp;"*")&gt;0,1,0))</f>
        <v/>
      </c>
      <c r="AB62">
        <f>IF($P62="",0,IF(COUNTIFS(업무일지!$F$5:$F$1004,$P62,업무일지!$B$5:$B$1004,"&gt;="&amp;DATE($B$3,1,1),업무일지!$B$5:$B$1004,"&lt;"&amp;DATE($B$3+1,1,1),업무일지!$AA$5:$AA$1004,"*"&amp;$A$18&amp;"*")&gt;0,1,0))</f>
        <v/>
      </c>
      <c r="AC62">
        <f>IF($P62="",0,IF(COUNTIFS(업무일지!$F$5:$F$1004,$P62,업무일지!$B$5:$B$1004,"&gt;="&amp;DATE($B$3,1,1),업무일지!$B$5:$B$1004,"&lt;"&amp;DATE($B$3+1,1,1),업무일지!$AA$5:$AA$1004,"*"&amp;$A$19&amp;"*")&gt;0,1,0))</f>
        <v/>
      </c>
      <c r="AD62">
        <f>IF($P62="",0,IF(COUNTIFS(업무일지!$F$5:$F$1004,$P62,업무일지!$B$5:$B$1004,"&gt;="&amp;DATE($B$3,1,1),업무일지!$B$5:$B$1004,"&lt;"&amp;DATE($B$3+1,1,1),업무일지!$AA$5:$AA$1004,"*"&amp;$A$20&amp;"*")&gt;0,1,0))</f>
        <v/>
      </c>
      <c r="AE62">
        <f>IF($P62="",0,IF(COUNTIFS(업무일지!$F$5:$F$1004,$P62,업무일지!$B$5:$B$1004,"&gt;="&amp;DATE($B$3,1,1),업무일지!$B$5:$B$1004,"&lt;"&amp;DATE($B$3+1,1,1),업무일지!$AA$5:$AA$1004,"*"&amp;$A$21&amp;"*")&gt;0,1,0))</f>
        <v/>
      </c>
      <c r="AF62">
        <f>IF($P62="",0,IF(COUNTIFS(업무일지!$F$5:$F$1004,$P62,업무일지!$B$5:$B$1004,"&gt;="&amp;DATE($B$3,1,1),업무일지!$B$5:$B$1004,"&lt;"&amp;DATE($B$3+1,1,1),업무일지!$AA$5:$AA$1004,"*"&amp;$A$22&amp;"*")&gt;0,1,0))</f>
        <v/>
      </c>
      <c r="AG62">
        <f>IF($P62="",0,IF(COUNTIFS(업무일지!$F$5:$F$1004,$P62,업무일지!$B$5:$B$1004,"&gt;="&amp;DATE($B$3,1,1),업무일지!$B$5:$B$1004,"&lt;"&amp;DATE($B$3+1,1,1),업무일지!$AA$5:$AA$1004,"*"&amp;$A$23&amp;"*")&gt;0,1,0))</f>
        <v/>
      </c>
      <c r="AH62">
        <f>IF($P62="",0,IF(COUNTIFS(업무일지!$F$5:$F$1004,$P62,업무일지!$B$5:$B$1004,"&gt;="&amp;DATE($B$3,1,1),업무일지!$B$5:$B$1004,"&lt;"&amp;DATE($B$3+1,1,1),업무일지!$AA$5:$AA$1004,"*"&amp;$A$24&amp;"*")&gt;0,1,0))</f>
        <v/>
      </c>
      <c r="AI62">
        <f>IF($P62="",0,IF(COUNTIFS(업무일지!$F$5:$F$1004,$P62,업무일지!$B$5:$B$1004,"&gt;="&amp;DATE($B$3,1,1),업무일지!$B$5:$B$1004,"&lt;"&amp;DATE($B$3+1,1,1),업무일지!$AA$5:$AA$1004,"*"&amp;$A$25&amp;"*")&gt;0,1,0))</f>
        <v/>
      </c>
      <c r="AJ62">
        <f>IF($P62="",0,IF(COUNTIFS(업무일지!$F$5:$F$1004,$P62,업무일지!$B$5:$B$1004,"&gt;="&amp;DATE($B$3,1,1),업무일지!$B$5:$B$1004,"&lt;"&amp;DATE($B$3+1,1,1),업무일지!$AA$5:$AA$1004,"*"&amp;$A$26&amp;"*")&gt;0,1,0))</f>
        <v/>
      </c>
    </row>
    <row r="63">
      <c r="P63">
        <f>IF(사건마스터!$A8="","",사건마스터!$A8)</f>
        <v/>
      </c>
      <c r="Q63">
        <f>IF($P63="",0,IF(COUNTIFS(업무일지!$F$5:$F$1004,$P63,업무일지!$B$5:$B$1004,"&gt;="&amp;DATE($B$3,1,1),업무일지!$B$5:$B$1004,"&lt;"&amp;DATE($B$3+1,1,1),업무일지!$AA$5:$AA$1004,"*"&amp;$A$7&amp;"*")&gt;0,1,0))</f>
        <v/>
      </c>
      <c r="R63">
        <f>IF($P63="",0,IF(COUNTIFS(업무일지!$F$5:$F$1004,$P63,업무일지!$B$5:$B$1004,"&gt;="&amp;DATE($B$3,1,1),업무일지!$B$5:$B$1004,"&lt;"&amp;DATE($B$3+1,1,1),업무일지!$AA$5:$AA$1004,"*"&amp;$A$8&amp;"*")&gt;0,1,0))</f>
        <v/>
      </c>
      <c r="S63">
        <f>IF($P63="",0,IF(COUNTIFS(업무일지!$F$5:$F$1004,$P63,업무일지!$B$5:$B$1004,"&gt;="&amp;DATE($B$3,1,1),업무일지!$B$5:$B$1004,"&lt;"&amp;DATE($B$3+1,1,1),업무일지!$AA$5:$AA$1004,"*"&amp;$A$9&amp;"*")&gt;0,1,0))</f>
        <v/>
      </c>
      <c r="T63">
        <f>IF($P63="",0,IF(COUNTIFS(업무일지!$F$5:$F$1004,$P63,업무일지!$B$5:$B$1004,"&gt;="&amp;DATE($B$3,1,1),업무일지!$B$5:$B$1004,"&lt;"&amp;DATE($B$3+1,1,1),업무일지!$AA$5:$AA$1004,"*"&amp;$A$10&amp;"*")&gt;0,1,0))</f>
        <v/>
      </c>
      <c r="U63">
        <f>IF($P63="",0,IF(COUNTIFS(업무일지!$F$5:$F$1004,$P63,업무일지!$B$5:$B$1004,"&gt;="&amp;DATE($B$3,1,1),업무일지!$B$5:$B$1004,"&lt;"&amp;DATE($B$3+1,1,1),업무일지!$AA$5:$AA$1004,"*"&amp;$A$11&amp;"*")&gt;0,1,0))</f>
        <v/>
      </c>
      <c r="V63">
        <f>IF($P63="",0,IF(COUNTIFS(업무일지!$F$5:$F$1004,$P63,업무일지!$B$5:$B$1004,"&gt;="&amp;DATE($B$3,1,1),업무일지!$B$5:$B$1004,"&lt;"&amp;DATE($B$3+1,1,1),업무일지!$AA$5:$AA$1004,"*"&amp;$A$12&amp;"*")&gt;0,1,0))</f>
        <v/>
      </c>
      <c r="W63">
        <f>IF($P63="",0,IF(COUNTIFS(업무일지!$F$5:$F$1004,$P63,업무일지!$B$5:$B$1004,"&gt;="&amp;DATE($B$3,1,1),업무일지!$B$5:$B$1004,"&lt;"&amp;DATE($B$3+1,1,1),업무일지!$AA$5:$AA$1004,"*"&amp;$A$13&amp;"*")&gt;0,1,0))</f>
        <v/>
      </c>
      <c r="X63">
        <f>IF($P63="",0,IF(COUNTIFS(업무일지!$F$5:$F$1004,$P63,업무일지!$B$5:$B$1004,"&gt;="&amp;DATE($B$3,1,1),업무일지!$B$5:$B$1004,"&lt;"&amp;DATE($B$3+1,1,1),업무일지!$AA$5:$AA$1004,"*"&amp;$A$14&amp;"*")&gt;0,1,0))</f>
        <v/>
      </c>
      <c r="Y63">
        <f>IF($P63="",0,IF(COUNTIFS(업무일지!$F$5:$F$1004,$P63,업무일지!$B$5:$B$1004,"&gt;="&amp;DATE($B$3,1,1),업무일지!$B$5:$B$1004,"&lt;"&amp;DATE($B$3+1,1,1),업무일지!$AA$5:$AA$1004,"*"&amp;$A$15&amp;"*")&gt;0,1,0))</f>
        <v/>
      </c>
      <c r="Z63">
        <f>IF($P63="",0,IF(COUNTIFS(업무일지!$F$5:$F$1004,$P63,업무일지!$B$5:$B$1004,"&gt;="&amp;DATE($B$3,1,1),업무일지!$B$5:$B$1004,"&lt;"&amp;DATE($B$3+1,1,1),업무일지!$AA$5:$AA$1004,"*"&amp;$A$16&amp;"*")&gt;0,1,0))</f>
        <v/>
      </c>
      <c r="AA63">
        <f>IF($P63="",0,IF(COUNTIFS(업무일지!$F$5:$F$1004,$P63,업무일지!$B$5:$B$1004,"&gt;="&amp;DATE($B$3,1,1),업무일지!$B$5:$B$1004,"&lt;"&amp;DATE($B$3+1,1,1),업무일지!$AA$5:$AA$1004,"*"&amp;$A$17&amp;"*")&gt;0,1,0))</f>
        <v/>
      </c>
      <c r="AB63">
        <f>IF($P63="",0,IF(COUNTIFS(업무일지!$F$5:$F$1004,$P63,업무일지!$B$5:$B$1004,"&gt;="&amp;DATE($B$3,1,1),업무일지!$B$5:$B$1004,"&lt;"&amp;DATE($B$3+1,1,1),업무일지!$AA$5:$AA$1004,"*"&amp;$A$18&amp;"*")&gt;0,1,0))</f>
        <v/>
      </c>
      <c r="AC63">
        <f>IF($P63="",0,IF(COUNTIFS(업무일지!$F$5:$F$1004,$P63,업무일지!$B$5:$B$1004,"&gt;="&amp;DATE($B$3,1,1),업무일지!$B$5:$B$1004,"&lt;"&amp;DATE($B$3+1,1,1),업무일지!$AA$5:$AA$1004,"*"&amp;$A$19&amp;"*")&gt;0,1,0))</f>
        <v/>
      </c>
      <c r="AD63">
        <f>IF($P63="",0,IF(COUNTIFS(업무일지!$F$5:$F$1004,$P63,업무일지!$B$5:$B$1004,"&gt;="&amp;DATE($B$3,1,1),업무일지!$B$5:$B$1004,"&lt;"&amp;DATE($B$3+1,1,1),업무일지!$AA$5:$AA$1004,"*"&amp;$A$20&amp;"*")&gt;0,1,0))</f>
        <v/>
      </c>
      <c r="AE63">
        <f>IF($P63="",0,IF(COUNTIFS(업무일지!$F$5:$F$1004,$P63,업무일지!$B$5:$B$1004,"&gt;="&amp;DATE($B$3,1,1),업무일지!$B$5:$B$1004,"&lt;"&amp;DATE($B$3+1,1,1),업무일지!$AA$5:$AA$1004,"*"&amp;$A$21&amp;"*")&gt;0,1,0))</f>
        <v/>
      </c>
      <c r="AF63">
        <f>IF($P63="",0,IF(COUNTIFS(업무일지!$F$5:$F$1004,$P63,업무일지!$B$5:$B$1004,"&gt;="&amp;DATE($B$3,1,1),업무일지!$B$5:$B$1004,"&lt;"&amp;DATE($B$3+1,1,1),업무일지!$AA$5:$AA$1004,"*"&amp;$A$22&amp;"*")&gt;0,1,0))</f>
        <v/>
      </c>
      <c r="AG63">
        <f>IF($P63="",0,IF(COUNTIFS(업무일지!$F$5:$F$1004,$P63,업무일지!$B$5:$B$1004,"&gt;="&amp;DATE($B$3,1,1),업무일지!$B$5:$B$1004,"&lt;"&amp;DATE($B$3+1,1,1),업무일지!$AA$5:$AA$1004,"*"&amp;$A$23&amp;"*")&gt;0,1,0))</f>
        <v/>
      </c>
      <c r="AH63">
        <f>IF($P63="",0,IF(COUNTIFS(업무일지!$F$5:$F$1004,$P63,업무일지!$B$5:$B$1004,"&gt;="&amp;DATE($B$3,1,1),업무일지!$B$5:$B$1004,"&lt;"&amp;DATE($B$3+1,1,1),업무일지!$AA$5:$AA$1004,"*"&amp;$A$24&amp;"*")&gt;0,1,0))</f>
        <v/>
      </c>
      <c r="AI63">
        <f>IF($P63="",0,IF(COUNTIFS(업무일지!$F$5:$F$1004,$P63,업무일지!$B$5:$B$1004,"&gt;="&amp;DATE($B$3,1,1),업무일지!$B$5:$B$1004,"&lt;"&amp;DATE($B$3+1,1,1),업무일지!$AA$5:$AA$1004,"*"&amp;$A$25&amp;"*")&gt;0,1,0))</f>
        <v/>
      </c>
      <c r="AJ63">
        <f>IF($P63="",0,IF(COUNTIFS(업무일지!$F$5:$F$1004,$P63,업무일지!$B$5:$B$1004,"&gt;="&amp;DATE($B$3,1,1),업무일지!$B$5:$B$1004,"&lt;"&amp;DATE($B$3+1,1,1),업무일지!$AA$5:$AA$1004,"*"&amp;$A$26&amp;"*")&gt;0,1,0))</f>
        <v/>
      </c>
    </row>
    <row r="64">
      <c r="P64">
        <f>IF(사건마스터!$A9="","",사건마스터!$A9)</f>
        <v/>
      </c>
      <c r="Q64">
        <f>IF($P64="",0,IF(COUNTIFS(업무일지!$F$5:$F$1004,$P64,업무일지!$B$5:$B$1004,"&gt;="&amp;DATE($B$3,1,1),업무일지!$B$5:$B$1004,"&lt;"&amp;DATE($B$3+1,1,1),업무일지!$AA$5:$AA$1004,"*"&amp;$A$7&amp;"*")&gt;0,1,0))</f>
        <v/>
      </c>
      <c r="R64">
        <f>IF($P64="",0,IF(COUNTIFS(업무일지!$F$5:$F$1004,$P64,업무일지!$B$5:$B$1004,"&gt;="&amp;DATE($B$3,1,1),업무일지!$B$5:$B$1004,"&lt;"&amp;DATE($B$3+1,1,1),업무일지!$AA$5:$AA$1004,"*"&amp;$A$8&amp;"*")&gt;0,1,0))</f>
        <v/>
      </c>
      <c r="S64">
        <f>IF($P64="",0,IF(COUNTIFS(업무일지!$F$5:$F$1004,$P64,업무일지!$B$5:$B$1004,"&gt;="&amp;DATE($B$3,1,1),업무일지!$B$5:$B$1004,"&lt;"&amp;DATE($B$3+1,1,1),업무일지!$AA$5:$AA$1004,"*"&amp;$A$9&amp;"*")&gt;0,1,0))</f>
        <v/>
      </c>
      <c r="T64">
        <f>IF($P64="",0,IF(COUNTIFS(업무일지!$F$5:$F$1004,$P64,업무일지!$B$5:$B$1004,"&gt;="&amp;DATE($B$3,1,1),업무일지!$B$5:$B$1004,"&lt;"&amp;DATE($B$3+1,1,1),업무일지!$AA$5:$AA$1004,"*"&amp;$A$10&amp;"*")&gt;0,1,0))</f>
        <v/>
      </c>
      <c r="U64">
        <f>IF($P64="",0,IF(COUNTIFS(업무일지!$F$5:$F$1004,$P64,업무일지!$B$5:$B$1004,"&gt;="&amp;DATE($B$3,1,1),업무일지!$B$5:$B$1004,"&lt;"&amp;DATE($B$3+1,1,1),업무일지!$AA$5:$AA$1004,"*"&amp;$A$11&amp;"*")&gt;0,1,0))</f>
        <v/>
      </c>
      <c r="V64">
        <f>IF($P64="",0,IF(COUNTIFS(업무일지!$F$5:$F$1004,$P64,업무일지!$B$5:$B$1004,"&gt;="&amp;DATE($B$3,1,1),업무일지!$B$5:$B$1004,"&lt;"&amp;DATE($B$3+1,1,1),업무일지!$AA$5:$AA$1004,"*"&amp;$A$12&amp;"*")&gt;0,1,0))</f>
        <v/>
      </c>
      <c r="W64">
        <f>IF($P64="",0,IF(COUNTIFS(업무일지!$F$5:$F$1004,$P64,업무일지!$B$5:$B$1004,"&gt;="&amp;DATE($B$3,1,1),업무일지!$B$5:$B$1004,"&lt;"&amp;DATE($B$3+1,1,1),업무일지!$AA$5:$AA$1004,"*"&amp;$A$13&amp;"*")&gt;0,1,0))</f>
        <v/>
      </c>
      <c r="X64">
        <f>IF($P64="",0,IF(COUNTIFS(업무일지!$F$5:$F$1004,$P64,업무일지!$B$5:$B$1004,"&gt;="&amp;DATE($B$3,1,1),업무일지!$B$5:$B$1004,"&lt;"&amp;DATE($B$3+1,1,1),업무일지!$AA$5:$AA$1004,"*"&amp;$A$14&amp;"*")&gt;0,1,0))</f>
        <v/>
      </c>
      <c r="Y64">
        <f>IF($P64="",0,IF(COUNTIFS(업무일지!$F$5:$F$1004,$P64,업무일지!$B$5:$B$1004,"&gt;="&amp;DATE($B$3,1,1),업무일지!$B$5:$B$1004,"&lt;"&amp;DATE($B$3+1,1,1),업무일지!$AA$5:$AA$1004,"*"&amp;$A$15&amp;"*")&gt;0,1,0))</f>
        <v/>
      </c>
      <c r="Z64">
        <f>IF($P64="",0,IF(COUNTIFS(업무일지!$F$5:$F$1004,$P64,업무일지!$B$5:$B$1004,"&gt;="&amp;DATE($B$3,1,1),업무일지!$B$5:$B$1004,"&lt;"&amp;DATE($B$3+1,1,1),업무일지!$AA$5:$AA$1004,"*"&amp;$A$16&amp;"*")&gt;0,1,0))</f>
        <v/>
      </c>
      <c r="AA64">
        <f>IF($P64="",0,IF(COUNTIFS(업무일지!$F$5:$F$1004,$P64,업무일지!$B$5:$B$1004,"&gt;="&amp;DATE($B$3,1,1),업무일지!$B$5:$B$1004,"&lt;"&amp;DATE($B$3+1,1,1),업무일지!$AA$5:$AA$1004,"*"&amp;$A$17&amp;"*")&gt;0,1,0))</f>
        <v/>
      </c>
      <c r="AB64">
        <f>IF($P64="",0,IF(COUNTIFS(업무일지!$F$5:$F$1004,$P64,업무일지!$B$5:$B$1004,"&gt;="&amp;DATE($B$3,1,1),업무일지!$B$5:$B$1004,"&lt;"&amp;DATE($B$3+1,1,1),업무일지!$AA$5:$AA$1004,"*"&amp;$A$18&amp;"*")&gt;0,1,0))</f>
        <v/>
      </c>
      <c r="AC64">
        <f>IF($P64="",0,IF(COUNTIFS(업무일지!$F$5:$F$1004,$P64,업무일지!$B$5:$B$1004,"&gt;="&amp;DATE($B$3,1,1),업무일지!$B$5:$B$1004,"&lt;"&amp;DATE($B$3+1,1,1),업무일지!$AA$5:$AA$1004,"*"&amp;$A$19&amp;"*")&gt;0,1,0))</f>
        <v/>
      </c>
      <c r="AD64">
        <f>IF($P64="",0,IF(COUNTIFS(업무일지!$F$5:$F$1004,$P64,업무일지!$B$5:$B$1004,"&gt;="&amp;DATE($B$3,1,1),업무일지!$B$5:$B$1004,"&lt;"&amp;DATE($B$3+1,1,1),업무일지!$AA$5:$AA$1004,"*"&amp;$A$20&amp;"*")&gt;0,1,0))</f>
        <v/>
      </c>
      <c r="AE64">
        <f>IF($P64="",0,IF(COUNTIFS(업무일지!$F$5:$F$1004,$P64,업무일지!$B$5:$B$1004,"&gt;="&amp;DATE($B$3,1,1),업무일지!$B$5:$B$1004,"&lt;"&amp;DATE($B$3+1,1,1),업무일지!$AA$5:$AA$1004,"*"&amp;$A$21&amp;"*")&gt;0,1,0))</f>
        <v/>
      </c>
      <c r="AF64">
        <f>IF($P64="",0,IF(COUNTIFS(업무일지!$F$5:$F$1004,$P64,업무일지!$B$5:$B$1004,"&gt;="&amp;DATE($B$3,1,1),업무일지!$B$5:$B$1004,"&lt;"&amp;DATE($B$3+1,1,1),업무일지!$AA$5:$AA$1004,"*"&amp;$A$22&amp;"*")&gt;0,1,0))</f>
        <v/>
      </c>
      <c r="AG64">
        <f>IF($P64="",0,IF(COUNTIFS(업무일지!$F$5:$F$1004,$P64,업무일지!$B$5:$B$1004,"&gt;="&amp;DATE($B$3,1,1),업무일지!$B$5:$B$1004,"&lt;"&amp;DATE($B$3+1,1,1),업무일지!$AA$5:$AA$1004,"*"&amp;$A$23&amp;"*")&gt;0,1,0))</f>
        <v/>
      </c>
      <c r="AH64">
        <f>IF($P64="",0,IF(COUNTIFS(업무일지!$F$5:$F$1004,$P64,업무일지!$B$5:$B$1004,"&gt;="&amp;DATE($B$3,1,1),업무일지!$B$5:$B$1004,"&lt;"&amp;DATE($B$3+1,1,1),업무일지!$AA$5:$AA$1004,"*"&amp;$A$24&amp;"*")&gt;0,1,0))</f>
        <v/>
      </c>
      <c r="AI64">
        <f>IF($P64="",0,IF(COUNTIFS(업무일지!$F$5:$F$1004,$P64,업무일지!$B$5:$B$1004,"&gt;="&amp;DATE($B$3,1,1),업무일지!$B$5:$B$1004,"&lt;"&amp;DATE($B$3+1,1,1),업무일지!$AA$5:$AA$1004,"*"&amp;$A$25&amp;"*")&gt;0,1,0))</f>
        <v/>
      </c>
      <c r="AJ64">
        <f>IF($P64="",0,IF(COUNTIFS(업무일지!$F$5:$F$1004,$P64,업무일지!$B$5:$B$1004,"&gt;="&amp;DATE($B$3,1,1),업무일지!$B$5:$B$1004,"&lt;"&amp;DATE($B$3+1,1,1),업무일지!$AA$5:$AA$1004,"*"&amp;$A$26&amp;"*")&gt;0,1,0))</f>
        <v/>
      </c>
    </row>
    <row r="65">
      <c r="P65">
        <f>IF(사건마스터!$A10="","",사건마스터!$A10)</f>
        <v/>
      </c>
      <c r="Q65">
        <f>IF($P65="",0,IF(COUNTIFS(업무일지!$F$5:$F$1004,$P65,업무일지!$B$5:$B$1004,"&gt;="&amp;DATE($B$3,1,1),업무일지!$B$5:$B$1004,"&lt;"&amp;DATE($B$3+1,1,1),업무일지!$AA$5:$AA$1004,"*"&amp;$A$7&amp;"*")&gt;0,1,0))</f>
        <v/>
      </c>
      <c r="R65">
        <f>IF($P65="",0,IF(COUNTIFS(업무일지!$F$5:$F$1004,$P65,업무일지!$B$5:$B$1004,"&gt;="&amp;DATE($B$3,1,1),업무일지!$B$5:$B$1004,"&lt;"&amp;DATE($B$3+1,1,1),업무일지!$AA$5:$AA$1004,"*"&amp;$A$8&amp;"*")&gt;0,1,0))</f>
        <v/>
      </c>
      <c r="S65">
        <f>IF($P65="",0,IF(COUNTIFS(업무일지!$F$5:$F$1004,$P65,업무일지!$B$5:$B$1004,"&gt;="&amp;DATE($B$3,1,1),업무일지!$B$5:$B$1004,"&lt;"&amp;DATE($B$3+1,1,1),업무일지!$AA$5:$AA$1004,"*"&amp;$A$9&amp;"*")&gt;0,1,0))</f>
        <v/>
      </c>
      <c r="T65">
        <f>IF($P65="",0,IF(COUNTIFS(업무일지!$F$5:$F$1004,$P65,업무일지!$B$5:$B$1004,"&gt;="&amp;DATE($B$3,1,1),업무일지!$B$5:$B$1004,"&lt;"&amp;DATE($B$3+1,1,1),업무일지!$AA$5:$AA$1004,"*"&amp;$A$10&amp;"*")&gt;0,1,0))</f>
        <v/>
      </c>
      <c r="U65">
        <f>IF($P65="",0,IF(COUNTIFS(업무일지!$F$5:$F$1004,$P65,업무일지!$B$5:$B$1004,"&gt;="&amp;DATE($B$3,1,1),업무일지!$B$5:$B$1004,"&lt;"&amp;DATE($B$3+1,1,1),업무일지!$AA$5:$AA$1004,"*"&amp;$A$11&amp;"*")&gt;0,1,0))</f>
        <v/>
      </c>
      <c r="V65">
        <f>IF($P65="",0,IF(COUNTIFS(업무일지!$F$5:$F$1004,$P65,업무일지!$B$5:$B$1004,"&gt;="&amp;DATE($B$3,1,1),업무일지!$B$5:$B$1004,"&lt;"&amp;DATE($B$3+1,1,1),업무일지!$AA$5:$AA$1004,"*"&amp;$A$12&amp;"*")&gt;0,1,0))</f>
        <v/>
      </c>
      <c r="W65">
        <f>IF($P65="",0,IF(COUNTIFS(업무일지!$F$5:$F$1004,$P65,업무일지!$B$5:$B$1004,"&gt;="&amp;DATE($B$3,1,1),업무일지!$B$5:$B$1004,"&lt;"&amp;DATE($B$3+1,1,1),업무일지!$AA$5:$AA$1004,"*"&amp;$A$13&amp;"*")&gt;0,1,0))</f>
        <v/>
      </c>
      <c r="X65">
        <f>IF($P65="",0,IF(COUNTIFS(업무일지!$F$5:$F$1004,$P65,업무일지!$B$5:$B$1004,"&gt;="&amp;DATE($B$3,1,1),업무일지!$B$5:$B$1004,"&lt;"&amp;DATE($B$3+1,1,1),업무일지!$AA$5:$AA$1004,"*"&amp;$A$14&amp;"*")&gt;0,1,0))</f>
        <v/>
      </c>
      <c r="Y65">
        <f>IF($P65="",0,IF(COUNTIFS(업무일지!$F$5:$F$1004,$P65,업무일지!$B$5:$B$1004,"&gt;="&amp;DATE($B$3,1,1),업무일지!$B$5:$B$1004,"&lt;"&amp;DATE($B$3+1,1,1),업무일지!$AA$5:$AA$1004,"*"&amp;$A$15&amp;"*")&gt;0,1,0))</f>
        <v/>
      </c>
      <c r="Z65">
        <f>IF($P65="",0,IF(COUNTIFS(업무일지!$F$5:$F$1004,$P65,업무일지!$B$5:$B$1004,"&gt;="&amp;DATE($B$3,1,1),업무일지!$B$5:$B$1004,"&lt;"&amp;DATE($B$3+1,1,1),업무일지!$AA$5:$AA$1004,"*"&amp;$A$16&amp;"*")&gt;0,1,0))</f>
        <v/>
      </c>
      <c r="AA65">
        <f>IF($P65="",0,IF(COUNTIFS(업무일지!$F$5:$F$1004,$P65,업무일지!$B$5:$B$1004,"&gt;="&amp;DATE($B$3,1,1),업무일지!$B$5:$B$1004,"&lt;"&amp;DATE($B$3+1,1,1),업무일지!$AA$5:$AA$1004,"*"&amp;$A$17&amp;"*")&gt;0,1,0))</f>
        <v/>
      </c>
      <c r="AB65">
        <f>IF($P65="",0,IF(COUNTIFS(업무일지!$F$5:$F$1004,$P65,업무일지!$B$5:$B$1004,"&gt;="&amp;DATE($B$3,1,1),업무일지!$B$5:$B$1004,"&lt;"&amp;DATE($B$3+1,1,1),업무일지!$AA$5:$AA$1004,"*"&amp;$A$18&amp;"*")&gt;0,1,0))</f>
        <v/>
      </c>
      <c r="AC65">
        <f>IF($P65="",0,IF(COUNTIFS(업무일지!$F$5:$F$1004,$P65,업무일지!$B$5:$B$1004,"&gt;="&amp;DATE($B$3,1,1),업무일지!$B$5:$B$1004,"&lt;"&amp;DATE($B$3+1,1,1),업무일지!$AA$5:$AA$1004,"*"&amp;$A$19&amp;"*")&gt;0,1,0))</f>
        <v/>
      </c>
      <c r="AD65">
        <f>IF($P65="",0,IF(COUNTIFS(업무일지!$F$5:$F$1004,$P65,업무일지!$B$5:$B$1004,"&gt;="&amp;DATE($B$3,1,1),업무일지!$B$5:$B$1004,"&lt;"&amp;DATE($B$3+1,1,1),업무일지!$AA$5:$AA$1004,"*"&amp;$A$20&amp;"*")&gt;0,1,0))</f>
        <v/>
      </c>
      <c r="AE65">
        <f>IF($P65="",0,IF(COUNTIFS(업무일지!$F$5:$F$1004,$P65,업무일지!$B$5:$B$1004,"&gt;="&amp;DATE($B$3,1,1),업무일지!$B$5:$B$1004,"&lt;"&amp;DATE($B$3+1,1,1),업무일지!$AA$5:$AA$1004,"*"&amp;$A$21&amp;"*")&gt;0,1,0))</f>
        <v/>
      </c>
      <c r="AF65">
        <f>IF($P65="",0,IF(COUNTIFS(업무일지!$F$5:$F$1004,$P65,업무일지!$B$5:$B$1004,"&gt;="&amp;DATE($B$3,1,1),업무일지!$B$5:$B$1004,"&lt;"&amp;DATE($B$3+1,1,1),업무일지!$AA$5:$AA$1004,"*"&amp;$A$22&amp;"*")&gt;0,1,0))</f>
        <v/>
      </c>
      <c r="AG65">
        <f>IF($P65="",0,IF(COUNTIFS(업무일지!$F$5:$F$1004,$P65,업무일지!$B$5:$B$1004,"&gt;="&amp;DATE($B$3,1,1),업무일지!$B$5:$B$1004,"&lt;"&amp;DATE($B$3+1,1,1),업무일지!$AA$5:$AA$1004,"*"&amp;$A$23&amp;"*")&gt;0,1,0))</f>
        <v/>
      </c>
      <c r="AH65">
        <f>IF($P65="",0,IF(COUNTIFS(업무일지!$F$5:$F$1004,$P65,업무일지!$B$5:$B$1004,"&gt;="&amp;DATE($B$3,1,1),업무일지!$B$5:$B$1004,"&lt;"&amp;DATE($B$3+1,1,1),업무일지!$AA$5:$AA$1004,"*"&amp;$A$24&amp;"*")&gt;0,1,0))</f>
        <v/>
      </c>
      <c r="AI65">
        <f>IF($P65="",0,IF(COUNTIFS(업무일지!$F$5:$F$1004,$P65,업무일지!$B$5:$B$1004,"&gt;="&amp;DATE($B$3,1,1),업무일지!$B$5:$B$1004,"&lt;"&amp;DATE($B$3+1,1,1),업무일지!$AA$5:$AA$1004,"*"&amp;$A$25&amp;"*")&gt;0,1,0))</f>
        <v/>
      </c>
      <c r="AJ65">
        <f>IF($P65="",0,IF(COUNTIFS(업무일지!$F$5:$F$1004,$P65,업무일지!$B$5:$B$1004,"&gt;="&amp;DATE($B$3,1,1),업무일지!$B$5:$B$1004,"&lt;"&amp;DATE($B$3+1,1,1),업무일지!$AA$5:$AA$1004,"*"&amp;$A$26&amp;"*")&gt;0,1,0))</f>
        <v/>
      </c>
    </row>
    <row r="66">
      <c r="P66">
        <f>IF(사건마스터!$A11="","",사건마스터!$A11)</f>
        <v/>
      </c>
      <c r="Q66">
        <f>IF($P66="",0,IF(COUNTIFS(업무일지!$F$5:$F$1004,$P66,업무일지!$B$5:$B$1004,"&gt;="&amp;DATE($B$3,1,1),업무일지!$B$5:$B$1004,"&lt;"&amp;DATE($B$3+1,1,1),업무일지!$AA$5:$AA$1004,"*"&amp;$A$7&amp;"*")&gt;0,1,0))</f>
        <v/>
      </c>
      <c r="R66">
        <f>IF($P66="",0,IF(COUNTIFS(업무일지!$F$5:$F$1004,$P66,업무일지!$B$5:$B$1004,"&gt;="&amp;DATE($B$3,1,1),업무일지!$B$5:$B$1004,"&lt;"&amp;DATE($B$3+1,1,1),업무일지!$AA$5:$AA$1004,"*"&amp;$A$8&amp;"*")&gt;0,1,0))</f>
        <v/>
      </c>
      <c r="S66">
        <f>IF($P66="",0,IF(COUNTIFS(업무일지!$F$5:$F$1004,$P66,업무일지!$B$5:$B$1004,"&gt;="&amp;DATE($B$3,1,1),업무일지!$B$5:$B$1004,"&lt;"&amp;DATE($B$3+1,1,1),업무일지!$AA$5:$AA$1004,"*"&amp;$A$9&amp;"*")&gt;0,1,0))</f>
        <v/>
      </c>
      <c r="T66">
        <f>IF($P66="",0,IF(COUNTIFS(업무일지!$F$5:$F$1004,$P66,업무일지!$B$5:$B$1004,"&gt;="&amp;DATE($B$3,1,1),업무일지!$B$5:$B$1004,"&lt;"&amp;DATE($B$3+1,1,1),업무일지!$AA$5:$AA$1004,"*"&amp;$A$10&amp;"*")&gt;0,1,0))</f>
        <v/>
      </c>
      <c r="U66">
        <f>IF($P66="",0,IF(COUNTIFS(업무일지!$F$5:$F$1004,$P66,업무일지!$B$5:$B$1004,"&gt;="&amp;DATE($B$3,1,1),업무일지!$B$5:$B$1004,"&lt;"&amp;DATE($B$3+1,1,1),업무일지!$AA$5:$AA$1004,"*"&amp;$A$11&amp;"*")&gt;0,1,0))</f>
        <v/>
      </c>
      <c r="V66">
        <f>IF($P66="",0,IF(COUNTIFS(업무일지!$F$5:$F$1004,$P66,업무일지!$B$5:$B$1004,"&gt;="&amp;DATE($B$3,1,1),업무일지!$B$5:$B$1004,"&lt;"&amp;DATE($B$3+1,1,1),업무일지!$AA$5:$AA$1004,"*"&amp;$A$12&amp;"*")&gt;0,1,0))</f>
        <v/>
      </c>
      <c r="W66">
        <f>IF($P66="",0,IF(COUNTIFS(업무일지!$F$5:$F$1004,$P66,업무일지!$B$5:$B$1004,"&gt;="&amp;DATE($B$3,1,1),업무일지!$B$5:$B$1004,"&lt;"&amp;DATE($B$3+1,1,1),업무일지!$AA$5:$AA$1004,"*"&amp;$A$13&amp;"*")&gt;0,1,0))</f>
        <v/>
      </c>
      <c r="X66">
        <f>IF($P66="",0,IF(COUNTIFS(업무일지!$F$5:$F$1004,$P66,업무일지!$B$5:$B$1004,"&gt;="&amp;DATE($B$3,1,1),업무일지!$B$5:$B$1004,"&lt;"&amp;DATE($B$3+1,1,1),업무일지!$AA$5:$AA$1004,"*"&amp;$A$14&amp;"*")&gt;0,1,0))</f>
        <v/>
      </c>
      <c r="Y66">
        <f>IF($P66="",0,IF(COUNTIFS(업무일지!$F$5:$F$1004,$P66,업무일지!$B$5:$B$1004,"&gt;="&amp;DATE($B$3,1,1),업무일지!$B$5:$B$1004,"&lt;"&amp;DATE($B$3+1,1,1),업무일지!$AA$5:$AA$1004,"*"&amp;$A$15&amp;"*")&gt;0,1,0))</f>
        <v/>
      </c>
      <c r="Z66">
        <f>IF($P66="",0,IF(COUNTIFS(업무일지!$F$5:$F$1004,$P66,업무일지!$B$5:$B$1004,"&gt;="&amp;DATE($B$3,1,1),업무일지!$B$5:$B$1004,"&lt;"&amp;DATE($B$3+1,1,1),업무일지!$AA$5:$AA$1004,"*"&amp;$A$16&amp;"*")&gt;0,1,0))</f>
        <v/>
      </c>
      <c r="AA66">
        <f>IF($P66="",0,IF(COUNTIFS(업무일지!$F$5:$F$1004,$P66,업무일지!$B$5:$B$1004,"&gt;="&amp;DATE($B$3,1,1),업무일지!$B$5:$B$1004,"&lt;"&amp;DATE($B$3+1,1,1),업무일지!$AA$5:$AA$1004,"*"&amp;$A$17&amp;"*")&gt;0,1,0))</f>
        <v/>
      </c>
      <c r="AB66">
        <f>IF($P66="",0,IF(COUNTIFS(업무일지!$F$5:$F$1004,$P66,업무일지!$B$5:$B$1004,"&gt;="&amp;DATE($B$3,1,1),업무일지!$B$5:$B$1004,"&lt;"&amp;DATE($B$3+1,1,1),업무일지!$AA$5:$AA$1004,"*"&amp;$A$18&amp;"*")&gt;0,1,0))</f>
        <v/>
      </c>
      <c r="AC66">
        <f>IF($P66="",0,IF(COUNTIFS(업무일지!$F$5:$F$1004,$P66,업무일지!$B$5:$B$1004,"&gt;="&amp;DATE($B$3,1,1),업무일지!$B$5:$B$1004,"&lt;"&amp;DATE($B$3+1,1,1),업무일지!$AA$5:$AA$1004,"*"&amp;$A$19&amp;"*")&gt;0,1,0))</f>
        <v/>
      </c>
      <c r="AD66">
        <f>IF($P66="",0,IF(COUNTIFS(업무일지!$F$5:$F$1004,$P66,업무일지!$B$5:$B$1004,"&gt;="&amp;DATE($B$3,1,1),업무일지!$B$5:$B$1004,"&lt;"&amp;DATE($B$3+1,1,1),업무일지!$AA$5:$AA$1004,"*"&amp;$A$20&amp;"*")&gt;0,1,0))</f>
        <v/>
      </c>
      <c r="AE66">
        <f>IF($P66="",0,IF(COUNTIFS(업무일지!$F$5:$F$1004,$P66,업무일지!$B$5:$B$1004,"&gt;="&amp;DATE($B$3,1,1),업무일지!$B$5:$B$1004,"&lt;"&amp;DATE($B$3+1,1,1),업무일지!$AA$5:$AA$1004,"*"&amp;$A$21&amp;"*")&gt;0,1,0))</f>
        <v/>
      </c>
      <c r="AF66">
        <f>IF($P66="",0,IF(COUNTIFS(업무일지!$F$5:$F$1004,$P66,업무일지!$B$5:$B$1004,"&gt;="&amp;DATE($B$3,1,1),업무일지!$B$5:$B$1004,"&lt;"&amp;DATE($B$3+1,1,1),업무일지!$AA$5:$AA$1004,"*"&amp;$A$22&amp;"*")&gt;0,1,0))</f>
        <v/>
      </c>
      <c r="AG66">
        <f>IF($P66="",0,IF(COUNTIFS(업무일지!$F$5:$F$1004,$P66,업무일지!$B$5:$B$1004,"&gt;="&amp;DATE($B$3,1,1),업무일지!$B$5:$B$1004,"&lt;"&amp;DATE($B$3+1,1,1),업무일지!$AA$5:$AA$1004,"*"&amp;$A$23&amp;"*")&gt;0,1,0))</f>
        <v/>
      </c>
      <c r="AH66">
        <f>IF($P66="",0,IF(COUNTIFS(업무일지!$F$5:$F$1004,$P66,업무일지!$B$5:$B$1004,"&gt;="&amp;DATE($B$3,1,1),업무일지!$B$5:$B$1004,"&lt;"&amp;DATE($B$3+1,1,1),업무일지!$AA$5:$AA$1004,"*"&amp;$A$24&amp;"*")&gt;0,1,0))</f>
        <v/>
      </c>
      <c r="AI66">
        <f>IF($P66="",0,IF(COUNTIFS(업무일지!$F$5:$F$1004,$P66,업무일지!$B$5:$B$1004,"&gt;="&amp;DATE($B$3,1,1),업무일지!$B$5:$B$1004,"&lt;"&amp;DATE($B$3+1,1,1),업무일지!$AA$5:$AA$1004,"*"&amp;$A$25&amp;"*")&gt;0,1,0))</f>
        <v/>
      </c>
      <c r="AJ66">
        <f>IF($P66="",0,IF(COUNTIFS(업무일지!$F$5:$F$1004,$P66,업무일지!$B$5:$B$1004,"&gt;="&amp;DATE($B$3,1,1),업무일지!$B$5:$B$1004,"&lt;"&amp;DATE($B$3+1,1,1),업무일지!$AA$5:$AA$1004,"*"&amp;$A$26&amp;"*")&gt;0,1,0))</f>
        <v/>
      </c>
    </row>
    <row r="67">
      <c r="P67">
        <f>IF(사건마스터!$A12="","",사건마스터!$A12)</f>
        <v/>
      </c>
      <c r="Q67">
        <f>IF($P67="",0,IF(COUNTIFS(업무일지!$F$5:$F$1004,$P67,업무일지!$B$5:$B$1004,"&gt;="&amp;DATE($B$3,1,1),업무일지!$B$5:$B$1004,"&lt;"&amp;DATE($B$3+1,1,1),업무일지!$AA$5:$AA$1004,"*"&amp;$A$7&amp;"*")&gt;0,1,0))</f>
        <v/>
      </c>
      <c r="R67">
        <f>IF($P67="",0,IF(COUNTIFS(업무일지!$F$5:$F$1004,$P67,업무일지!$B$5:$B$1004,"&gt;="&amp;DATE($B$3,1,1),업무일지!$B$5:$B$1004,"&lt;"&amp;DATE($B$3+1,1,1),업무일지!$AA$5:$AA$1004,"*"&amp;$A$8&amp;"*")&gt;0,1,0))</f>
        <v/>
      </c>
      <c r="S67">
        <f>IF($P67="",0,IF(COUNTIFS(업무일지!$F$5:$F$1004,$P67,업무일지!$B$5:$B$1004,"&gt;="&amp;DATE($B$3,1,1),업무일지!$B$5:$B$1004,"&lt;"&amp;DATE($B$3+1,1,1),업무일지!$AA$5:$AA$1004,"*"&amp;$A$9&amp;"*")&gt;0,1,0))</f>
        <v/>
      </c>
      <c r="T67">
        <f>IF($P67="",0,IF(COUNTIFS(업무일지!$F$5:$F$1004,$P67,업무일지!$B$5:$B$1004,"&gt;="&amp;DATE($B$3,1,1),업무일지!$B$5:$B$1004,"&lt;"&amp;DATE($B$3+1,1,1),업무일지!$AA$5:$AA$1004,"*"&amp;$A$10&amp;"*")&gt;0,1,0))</f>
        <v/>
      </c>
      <c r="U67">
        <f>IF($P67="",0,IF(COUNTIFS(업무일지!$F$5:$F$1004,$P67,업무일지!$B$5:$B$1004,"&gt;="&amp;DATE($B$3,1,1),업무일지!$B$5:$B$1004,"&lt;"&amp;DATE($B$3+1,1,1),업무일지!$AA$5:$AA$1004,"*"&amp;$A$11&amp;"*")&gt;0,1,0))</f>
        <v/>
      </c>
      <c r="V67">
        <f>IF($P67="",0,IF(COUNTIFS(업무일지!$F$5:$F$1004,$P67,업무일지!$B$5:$B$1004,"&gt;="&amp;DATE($B$3,1,1),업무일지!$B$5:$B$1004,"&lt;"&amp;DATE($B$3+1,1,1),업무일지!$AA$5:$AA$1004,"*"&amp;$A$12&amp;"*")&gt;0,1,0))</f>
        <v/>
      </c>
      <c r="W67">
        <f>IF($P67="",0,IF(COUNTIFS(업무일지!$F$5:$F$1004,$P67,업무일지!$B$5:$B$1004,"&gt;="&amp;DATE($B$3,1,1),업무일지!$B$5:$B$1004,"&lt;"&amp;DATE($B$3+1,1,1),업무일지!$AA$5:$AA$1004,"*"&amp;$A$13&amp;"*")&gt;0,1,0))</f>
        <v/>
      </c>
      <c r="X67">
        <f>IF($P67="",0,IF(COUNTIFS(업무일지!$F$5:$F$1004,$P67,업무일지!$B$5:$B$1004,"&gt;="&amp;DATE($B$3,1,1),업무일지!$B$5:$B$1004,"&lt;"&amp;DATE($B$3+1,1,1),업무일지!$AA$5:$AA$1004,"*"&amp;$A$14&amp;"*")&gt;0,1,0))</f>
        <v/>
      </c>
      <c r="Y67">
        <f>IF($P67="",0,IF(COUNTIFS(업무일지!$F$5:$F$1004,$P67,업무일지!$B$5:$B$1004,"&gt;="&amp;DATE($B$3,1,1),업무일지!$B$5:$B$1004,"&lt;"&amp;DATE($B$3+1,1,1),업무일지!$AA$5:$AA$1004,"*"&amp;$A$15&amp;"*")&gt;0,1,0))</f>
        <v/>
      </c>
      <c r="Z67">
        <f>IF($P67="",0,IF(COUNTIFS(업무일지!$F$5:$F$1004,$P67,업무일지!$B$5:$B$1004,"&gt;="&amp;DATE($B$3,1,1),업무일지!$B$5:$B$1004,"&lt;"&amp;DATE($B$3+1,1,1),업무일지!$AA$5:$AA$1004,"*"&amp;$A$16&amp;"*")&gt;0,1,0))</f>
        <v/>
      </c>
      <c r="AA67">
        <f>IF($P67="",0,IF(COUNTIFS(업무일지!$F$5:$F$1004,$P67,업무일지!$B$5:$B$1004,"&gt;="&amp;DATE($B$3,1,1),업무일지!$B$5:$B$1004,"&lt;"&amp;DATE($B$3+1,1,1),업무일지!$AA$5:$AA$1004,"*"&amp;$A$17&amp;"*")&gt;0,1,0))</f>
        <v/>
      </c>
      <c r="AB67">
        <f>IF($P67="",0,IF(COUNTIFS(업무일지!$F$5:$F$1004,$P67,업무일지!$B$5:$B$1004,"&gt;="&amp;DATE($B$3,1,1),업무일지!$B$5:$B$1004,"&lt;"&amp;DATE($B$3+1,1,1),업무일지!$AA$5:$AA$1004,"*"&amp;$A$18&amp;"*")&gt;0,1,0))</f>
        <v/>
      </c>
      <c r="AC67">
        <f>IF($P67="",0,IF(COUNTIFS(업무일지!$F$5:$F$1004,$P67,업무일지!$B$5:$B$1004,"&gt;="&amp;DATE($B$3,1,1),업무일지!$B$5:$B$1004,"&lt;"&amp;DATE($B$3+1,1,1),업무일지!$AA$5:$AA$1004,"*"&amp;$A$19&amp;"*")&gt;0,1,0))</f>
        <v/>
      </c>
      <c r="AD67">
        <f>IF($P67="",0,IF(COUNTIFS(업무일지!$F$5:$F$1004,$P67,업무일지!$B$5:$B$1004,"&gt;="&amp;DATE($B$3,1,1),업무일지!$B$5:$B$1004,"&lt;"&amp;DATE($B$3+1,1,1),업무일지!$AA$5:$AA$1004,"*"&amp;$A$20&amp;"*")&gt;0,1,0))</f>
        <v/>
      </c>
      <c r="AE67">
        <f>IF($P67="",0,IF(COUNTIFS(업무일지!$F$5:$F$1004,$P67,업무일지!$B$5:$B$1004,"&gt;="&amp;DATE($B$3,1,1),업무일지!$B$5:$B$1004,"&lt;"&amp;DATE($B$3+1,1,1),업무일지!$AA$5:$AA$1004,"*"&amp;$A$21&amp;"*")&gt;0,1,0))</f>
        <v/>
      </c>
      <c r="AF67">
        <f>IF($P67="",0,IF(COUNTIFS(업무일지!$F$5:$F$1004,$P67,업무일지!$B$5:$B$1004,"&gt;="&amp;DATE($B$3,1,1),업무일지!$B$5:$B$1004,"&lt;"&amp;DATE($B$3+1,1,1),업무일지!$AA$5:$AA$1004,"*"&amp;$A$22&amp;"*")&gt;0,1,0))</f>
        <v/>
      </c>
      <c r="AG67">
        <f>IF($P67="",0,IF(COUNTIFS(업무일지!$F$5:$F$1004,$P67,업무일지!$B$5:$B$1004,"&gt;="&amp;DATE($B$3,1,1),업무일지!$B$5:$B$1004,"&lt;"&amp;DATE($B$3+1,1,1),업무일지!$AA$5:$AA$1004,"*"&amp;$A$23&amp;"*")&gt;0,1,0))</f>
        <v/>
      </c>
      <c r="AH67">
        <f>IF($P67="",0,IF(COUNTIFS(업무일지!$F$5:$F$1004,$P67,업무일지!$B$5:$B$1004,"&gt;="&amp;DATE($B$3,1,1),업무일지!$B$5:$B$1004,"&lt;"&amp;DATE($B$3+1,1,1),업무일지!$AA$5:$AA$1004,"*"&amp;$A$24&amp;"*")&gt;0,1,0))</f>
        <v/>
      </c>
      <c r="AI67">
        <f>IF($P67="",0,IF(COUNTIFS(업무일지!$F$5:$F$1004,$P67,업무일지!$B$5:$B$1004,"&gt;="&amp;DATE($B$3,1,1),업무일지!$B$5:$B$1004,"&lt;"&amp;DATE($B$3+1,1,1),업무일지!$AA$5:$AA$1004,"*"&amp;$A$25&amp;"*")&gt;0,1,0))</f>
        <v/>
      </c>
      <c r="AJ67">
        <f>IF($P67="",0,IF(COUNTIFS(업무일지!$F$5:$F$1004,$P67,업무일지!$B$5:$B$1004,"&gt;="&amp;DATE($B$3,1,1),업무일지!$B$5:$B$1004,"&lt;"&amp;DATE($B$3+1,1,1),업무일지!$AA$5:$AA$1004,"*"&amp;$A$26&amp;"*")&gt;0,1,0))</f>
        <v/>
      </c>
    </row>
    <row r="68">
      <c r="P68">
        <f>IF(사건마스터!$A13="","",사건마스터!$A13)</f>
        <v/>
      </c>
      <c r="Q68">
        <f>IF($P68="",0,IF(COUNTIFS(업무일지!$F$5:$F$1004,$P68,업무일지!$B$5:$B$1004,"&gt;="&amp;DATE($B$3,1,1),업무일지!$B$5:$B$1004,"&lt;"&amp;DATE($B$3+1,1,1),업무일지!$AA$5:$AA$1004,"*"&amp;$A$7&amp;"*")&gt;0,1,0))</f>
        <v/>
      </c>
      <c r="R68">
        <f>IF($P68="",0,IF(COUNTIFS(업무일지!$F$5:$F$1004,$P68,업무일지!$B$5:$B$1004,"&gt;="&amp;DATE($B$3,1,1),업무일지!$B$5:$B$1004,"&lt;"&amp;DATE($B$3+1,1,1),업무일지!$AA$5:$AA$1004,"*"&amp;$A$8&amp;"*")&gt;0,1,0))</f>
        <v/>
      </c>
      <c r="S68">
        <f>IF($P68="",0,IF(COUNTIFS(업무일지!$F$5:$F$1004,$P68,업무일지!$B$5:$B$1004,"&gt;="&amp;DATE($B$3,1,1),업무일지!$B$5:$B$1004,"&lt;"&amp;DATE($B$3+1,1,1),업무일지!$AA$5:$AA$1004,"*"&amp;$A$9&amp;"*")&gt;0,1,0))</f>
        <v/>
      </c>
      <c r="T68">
        <f>IF($P68="",0,IF(COUNTIFS(업무일지!$F$5:$F$1004,$P68,업무일지!$B$5:$B$1004,"&gt;="&amp;DATE($B$3,1,1),업무일지!$B$5:$B$1004,"&lt;"&amp;DATE($B$3+1,1,1),업무일지!$AA$5:$AA$1004,"*"&amp;$A$10&amp;"*")&gt;0,1,0))</f>
        <v/>
      </c>
      <c r="U68">
        <f>IF($P68="",0,IF(COUNTIFS(업무일지!$F$5:$F$1004,$P68,업무일지!$B$5:$B$1004,"&gt;="&amp;DATE($B$3,1,1),업무일지!$B$5:$B$1004,"&lt;"&amp;DATE($B$3+1,1,1),업무일지!$AA$5:$AA$1004,"*"&amp;$A$11&amp;"*")&gt;0,1,0))</f>
        <v/>
      </c>
      <c r="V68">
        <f>IF($P68="",0,IF(COUNTIFS(업무일지!$F$5:$F$1004,$P68,업무일지!$B$5:$B$1004,"&gt;="&amp;DATE($B$3,1,1),업무일지!$B$5:$B$1004,"&lt;"&amp;DATE($B$3+1,1,1),업무일지!$AA$5:$AA$1004,"*"&amp;$A$12&amp;"*")&gt;0,1,0))</f>
        <v/>
      </c>
      <c r="W68">
        <f>IF($P68="",0,IF(COUNTIFS(업무일지!$F$5:$F$1004,$P68,업무일지!$B$5:$B$1004,"&gt;="&amp;DATE($B$3,1,1),업무일지!$B$5:$B$1004,"&lt;"&amp;DATE($B$3+1,1,1),업무일지!$AA$5:$AA$1004,"*"&amp;$A$13&amp;"*")&gt;0,1,0))</f>
        <v/>
      </c>
      <c r="X68">
        <f>IF($P68="",0,IF(COUNTIFS(업무일지!$F$5:$F$1004,$P68,업무일지!$B$5:$B$1004,"&gt;="&amp;DATE($B$3,1,1),업무일지!$B$5:$B$1004,"&lt;"&amp;DATE($B$3+1,1,1),업무일지!$AA$5:$AA$1004,"*"&amp;$A$14&amp;"*")&gt;0,1,0))</f>
        <v/>
      </c>
      <c r="Y68">
        <f>IF($P68="",0,IF(COUNTIFS(업무일지!$F$5:$F$1004,$P68,업무일지!$B$5:$B$1004,"&gt;="&amp;DATE($B$3,1,1),업무일지!$B$5:$B$1004,"&lt;"&amp;DATE($B$3+1,1,1),업무일지!$AA$5:$AA$1004,"*"&amp;$A$15&amp;"*")&gt;0,1,0))</f>
        <v/>
      </c>
      <c r="Z68">
        <f>IF($P68="",0,IF(COUNTIFS(업무일지!$F$5:$F$1004,$P68,업무일지!$B$5:$B$1004,"&gt;="&amp;DATE($B$3,1,1),업무일지!$B$5:$B$1004,"&lt;"&amp;DATE($B$3+1,1,1),업무일지!$AA$5:$AA$1004,"*"&amp;$A$16&amp;"*")&gt;0,1,0))</f>
        <v/>
      </c>
      <c r="AA68">
        <f>IF($P68="",0,IF(COUNTIFS(업무일지!$F$5:$F$1004,$P68,업무일지!$B$5:$B$1004,"&gt;="&amp;DATE($B$3,1,1),업무일지!$B$5:$B$1004,"&lt;"&amp;DATE($B$3+1,1,1),업무일지!$AA$5:$AA$1004,"*"&amp;$A$17&amp;"*")&gt;0,1,0))</f>
        <v/>
      </c>
      <c r="AB68">
        <f>IF($P68="",0,IF(COUNTIFS(업무일지!$F$5:$F$1004,$P68,업무일지!$B$5:$B$1004,"&gt;="&amp;DATE($B$3,1,1),업무일지!$B$5:$B$1004,"&lt;"&amp;DATE($B$3+1,1,1),업무일지!$AA$5:$AA$1004,"*"&amp;$A$18&amp;"*")&gt;0,1,0))</f>
        <v/>
      </c>
      <c r="AC68">
        <f>IF($P68="",0,IF(COUNTIFS(업무일지!$F$5:$F$1004,$P68,업무일지!$B$5:$B$1004,"&gt;="&amp;DATE($B$3,1,1),업무일지!$B$5:$B$1004,"&lt;"&amp;DATE($B$3+1,1,1),업무일지!$AA$5:$AA$1004,"*"&amp;$A$19&amp;"*")&gt;0,1,0))</f>
        <v/>
      </c>
      <c r="AD68">
        <f>IF($P68="",0,IF(COUNTIFS(업무일지!$F$5:$F$1004,$P68,업무일지!$B$5:$B$1004,"&gt;="&amp;DATE($B$3,1,1),업무일지!$B$5:$B$1004,"&lt;"&amp;DATE($B$3+1,1,1),업무일지!$AA$5:$AA$1004,"*"&amp;$A$20&amp;"*")&gt;0,1,0))</f>
        <v/>
      </c>
      <c r="AE68">
        <f>IF($P68="",0,IF(COUNTIFS(업무일지!$F$5:$F$1004,$P68,업무일지!$B$5:$B$1004,"&gt;="&amp;DATE($B$3,1,1),업무일지!$B$5:$B$1004,"&lt;"&amp;DATE($B$3+1,1,1),업무일지!$AA$5:$AA$1004,"*"&amp;$A$21&amp;"*")&gt;0,1,0))</f>
        <v/>
      </c>
      <c r="AF68">
        <f>IF($P68="",0,IF(COUNTIFS(업무일지!$F$5:$F$1004,$P68,업무일지!$B$5:$B$1004,"&gt;="&amp;DATE($B$3,1,1),업무일지!$B$5:$B$1004,"&lt;"&amp;DATE($B$3+1,1,1),업무일지!$AA$5:$AA$1004,"*"&amp;$A$22&amp;"*")&gt;0,1,0))</f>
        <v/>
      </c>
      <c r="AG68">
        <f>IF($P68="",0,IF(COUNTIFS(업무일지!$F$5:$F$1004,$P68,업무일지!$B$5:$B$1004,"&gt;="&amp;DATE($B$3,1,1),업무일지!$B$5:$B$1004,"&lt;"&amp;DATE($B$3+1,1,1),업무일지!$AA$5:$AA$1004,"*"&amp;$A$23&amp;"*")&gt;0,1,0))</f>
        <v/>
      </c>
      <c r="AH68">
        <f>IF($P68="",0,IF(COUNTIFS(업무일지!$F$5:$F$1004,$P68,업무일지!$B$5:$B$1004,"&gt;="&amp;DATE($B$3,1,1),업무일지!$B$5:$B$1004,"&lt;"&amp;DATE($B$3+1,1,1),업무일지!$AA$5:$AA$1004,"*"&amp;$A$24&amp;"*")&gt;0,1,0))</f>
        <v/>
      </c>
      <c r="AI68">
        <f>IF($P68="",0,IF(COUNTIFS(업무일지!$F$5:$F$1004,$P68,업무일지!$B$5:$B$1004,"&gt;="&amp;DATE($B$3,1,1),업무일지!$B$5:$B$1004,"&lt;"&amp;DATE($B$3+1,1,1),업무일지!$AA$5:$AA$1004,"*"&amp;$A$25&amp;"*")&gt;0,1,0))</f>
        <v/>
      </c>
      <c r="AJ68">
        <f>IF($P68="",0,IF(COUNTIFS(업무일지!$F$5:$F$1004,$P68,업무일지!$B$5:$B$1004,"&gt;="&amp;DATE($B$3,1,1),업무일지!$B$5:$B$1004,"&lt;"&amp;DATE($B$3+1,1,1),업무일지!$AA$5:$AA$1004,"*"&amp;$A$26&amp;"*")&gt;0,1,0))</f>
        <v/>
      </c>
    </row>
    <row r="69">
      <c r="P69">
        <f>IF(사건마스터!$A14="","",사건마스터!$A14)</f>
        <v/>
      </c>
      <c r="Q69">
        <f>IF($P69="",0,IF(COUNTIFS(업무일지!$F$5:$F$1004,$P69,업무일지!$B$5:$B$1004,"&gt;="&amp;DATE($B$3,1,1),업무일지!$B$5:$B$1004,"&lt;"&amp;DATE($B$3+1,1,1),업무일지!$AA$5:$AA$1004,"*"&amp;$A$7&amp;"*")&gt;0,1,0))</f>
        <v/>
      </c>
      <c r="R69">
        <f>IF($P69="",0,IF(COUNTIFS(업무일지!$F$5:$F$1004,$P69,업무일지!$B$5:$B$1004,"&gt;="&amp;DATE($B$3,1,1),업무일지!$B$5:$B$1004,"&lt;"&amp;DATE($B$3+1,1,1),업무일지!$AA$5:$AA$1004,"*"&amp;$A$8&amp;"*")&gt;0,1,0))</f>
        <v/>
      </c>
      <c r="S69">
        <f>IF($P69="",0,IF(COUNTIFS(업무일지!$F$5:$F$1004,$P69,업무일지!$B$5:$B$1004,"&gt;="&amp;DATE($B$3,1,1),업무일지!$B$5:$B$1004,"&lt;"&amp;DATE($B$3+1,1,1),업무일지!$AA$5:$AA$1004,"*"&amp;$A$9&amp;"*")&gt;0,1,0))</f>
        <v/>
      </c>
      <c r="T69">
        <f>IF($P69="",0,IF(COUNTIFS(업무일지!$F$5:$F$1004,$P69,업무일지!$B$5:$B$1004,"&gt;="&amp;DATE($B$3,1,1),업무일지!$B$5:$B$1004,"&lt;"&amp;DATE($B$3+1,1,1),업무일지!$AA$5:$AA$1004,"*"&amp;$A$10&amp;"*")&gt;0,1,0))</f>
        <v/>
      </c>
      <c r="U69">
        <f>IF($P69="",0,IF(COUNTIFS(업무일지!$F$5:$F$1004,$P69,업무일지!$B$5:$B$1004,"&gt;="&amp;DATE($B$3,1,1),업무일지!$B$5:$B$1004,"&lt;"&amp;DATE($B$3+1,1,1),업무일지!$AA$5:$AA$1004,"*"&amp;$A$11&amp;"*")&gt;0,1,0))</f>
        <v/>
      </c>
      <c r="V69">
        <f>IF($P69="",0,IF(COUNTIFS(업무일지!$F$5:$F$1004,$P69,업무일지!$B$5:$B$1004,"&gt;="&amp;DATE($B$3,1,1),업무일지!$B$5:$B$1004,"&lt;"&amp;DATE($B$3+1,1,1),업무일지!$AA$5:$AA$1004,"*"&amp;$A$12&amp;"*")&gt;0,1,0))</f>
        <v/>
      </c>
      <c r="W69">
        <f>IF($P69="",0,IF(COUNTIFS(업무일지!$F$5:$F$1004,$P69,업무일지!$B$5:$B$1004,"&gt;="&amp;DATE($B$3,1,1),업무일지!$B$5:$B$1004,"&lt;"&amp;DATE($B$3+1,1,1),업무일지!$AA$5:$AA$1004,"*"&amp;$A$13&amp;"*")&gt;0,1,0))</f>
        <v/>
      </c>
      <c r="X69">
        <f>IF($P69="",0,IF(COUNTIFS(업무일지!$F$5:$F$1004,$P69,업무일지!$B$5:$B$1004,"&gt;="&amp;DATE($B$3,1,1),업무일지!$B$5:$B$1004,"&lt;"&amp;DATE($B$3+1,1,1),업무일지!$AA$5:$AA$1004,"*"&amp;$A$14&amp;"*")&gt;0,1,0))</f>
        <v/>
      </c>
      <c r="Y69">
        <f>IF($P69="",0,IF(COUNTIFS(업무일지!$F$5:$F$1004,$P69,업무일지!$B$5:$B$1004,"&gt;="&amp;DATE($B$3,1,1),업무일지!$B$5:$B$1004,"&lt;"&amp;DATE($B$3+1,1,1),업무일지!$AA$5:$AA$1004,"*"&amp;$A$15&amp;"*")&gt;0,1,0))</f>
        <v/>
      </c>
      <c r="Z69">
        <f>IF($P69="",0,IF(COUNTIFS(업무일지!$F$5:$F$1004,$P69,업무일지!$B$5:$B$1004,"&gt;="&amp;DATE($B$3,1,1),업무일지!$B$5:$B$1004,"&lt;"&amp;DATE($B$3+1,1,1),업무일지!$AA$5:$AA$1004,"*"&amp;$A$16&amp;"*")&gt;0,1,0))</f>
        <v/>
      </c>
      <c r="AA69">
        <f>IF($P69="",0,IF(COUNTIFS(업무일지!$F$5:$F$1004,$P69,업무일지!$B$5:$B$1004,"&gt;="&amp;DATE($B$3,1,1),업무일지!$B$5:$B$1004,"&lt;"&amp;DATE($B$3+1,1,1),업무일지!$AA$5:$AA$1004,"*"&amp;$A$17&amp;"*")&gt;0,1,0))</f>
        <v/>
      </c>
      <c r="AB69">
        <f>IF($P69="",0,IF(COUNTIFS(업무일지!$F$5:$F$1004,$P69,업무일지!$B$5:$B$1004,"&gt;="&amp;DATE($B$3,1,1),업무일지!$B$5:$B$1004,"&lt;"&amp;DATE($B$3+1,1,1),업무일지!$AA$5:$AA$1004,"*"&amp;$A$18&amp;"*")&gt;0,1,0))</f>
        <v/>
      </c>
      <c r="AC69">
        <f>IF($P69="",0,IF(COUNTIFS(업무일지!$F$5:$F$1004,$P69,업무일지!$B$5:$B$1004,"&gt;="&amp;DATE($B$3,1,1),업무일지!$B$5:$B$1004,"&lt;"&amp;DATE($B$3+1,1,1),업무일지!$AA$5:$AA$1004,"*"&amp;$A$19&amp;"*")&gt;0,1,0))</f>
        <v/>
      </c>
      <c r="AD69">
        <f>IF($P69="",0,IF(COUNTIFS(업무일지!$F$5:$F$1004,$P69,업무일지!$B$5:$B$1004,"&gt;="&amp;DATE($B$3,1,1),업무일지!$B$5:$B$1004,"&lt;"&amp;DATE($B$3+1,1,1),업무일지!$AA$5:$AA$1004,"*"&amp;$A$20&amp;"*")&gt;0,1,0))</f>
        <v/>
      </c>
      <c r="AE69">
        <f>IF($P69="",0,IF(COUNTIFS(업무일지!$F$5:$F$1004,$P69,업무일지!$B$5:$B$1004,"&gt;="&amp;DATE($B$3,1,1),업무일지!$B$5:$B$1004,"&lt;"&amp;DATE($B$3+1,1,1),업무일지!$AA$5:$AA$1004,"*"&amp;$A$21&amp;"*")&gt;0,1,0))</f>
        <v/>
      </c>
      <c r="AF69">
        <f>IF($P69="",0,IF(COUNTIFS(업무일지!$F$5:$F$1004,$P69,업무일지!$B$5:$B$1004,"&gt;="&amp;DATE($B$3,1,1),업무일지!$B$5:$B$1004,"&lt;"&amp;DATE($B$3+1,1,1),업무일지!$AA$5:$AA$1004,"*"&amp;$A$22&amp;"*")&gt;0,1,0))</f>
        <v/>
      </c>
      <c r="AG69">
        <f>IF($P69="",0,IF(COUNTIFS(업무일지!$F$5:$F$1004,$P69,업무일지!$B$5:$B$1004,"&gt;="&amp;DATE($B$3,1,1),업무일지!$B$5:$B$1004,"&lt;"&amp;DATE($B$3+1,1,1),업무일지!$AA$5:$AA$1004,"*"&amp;$A$23&amp;"*")&gt;0,1,0))</f>
        <v/>
      </c>
      <c r="AH69">
        <f>IF($P69="",0,IF(COUNTIFS(업무일지!$F$5:$F$1004,$P69,업무일지!$B$5:$B$1004,"&gt;="&amp;DATE($B$3,1,1),업무일지!$B$5:$B$1004,"&lt;"&amp;DATE($B$3+1,1,1),업무일지!$AA$5:$AA$1004,"*"&amp;$A$24&amp;"*")&gt;0,1,0))</f>
        <v/>
      </c>
      <c r="AI69">
        <f>IF($P69="",0,IF(COUNTIFS(업무일지!$F$5:$F$1004,$P69,업무일지!$B$5:$B$1004,"&gt;="&amp;DATE($B$3,1,1),업무일지!$B$5:$B$1004,"&lt;"&amp;DATE($B$3+1,1,1),업무일지!$AA$5:$AA$1004,"*"&amp;$A$25&amp;"*")&gt;0,1,0))</f>
        <v/>
      </c>
      <c r="AJ69">
        <f>IF($P69="",0,IF(COUNTIFS(업무일지!$F$5:$F$1004,$P69,업무일지!$B$5:$B$1004,"&gt;="&amp;DATE($B$3,1,1),업무일지!$B$5:$B$1004,"&lt;"&amp;DATE($B$3+1,1,1),업무일지!$AA$5:$AA$1004,"*"&amp;$A$26&amp;"*")&gt;0,1,0))</f>
        <v/>
      </c>
    </row>
    <row r="70">
      <c r="P70">
        <f>IF(사건마스터!$A15="","",사건마스터!$A15)</f>
        <v/>
      </c>
      <c r="Q70">
        <f>IF($P70="",0,IF(COUNTIFS(업무일지!$F$5:$F$1004,$P70,업무일지!$B$5:$B$1004,"&gt;="&amp;DATE($B$3,1,1),업무일지!$B$5:$B$1004,"&lt;"&amp;DATE($B$3+1,1,1),업무일지!$AA$5:$AA$1004,"*"&amp;$A$7&amp;"*")&gt;0,1,0))</f>
        <v/>
      </c>
      <c r="R70">
        <f>IF($P70="",0,IF(COUNTIFS(업무일지!$F$5:$F$1004,$P70,업무일지!$B$5:$B$1004,"&gt;="&amp;DATE($B$3,1,1),업무일지!$B$5:$B$1004,"&lt;"&amp;DATE($B$3+1,1,1),업무일지!$AA$5:$AA$1004,"*"&amp;$A$8&amp;"*")&gt;0,1,0))</f>
        <v/>
      </c>
      <c r="S70">
        <f>IF($P70="",0,IF(COUNTIFS(업무일지!$F$5:$F$1004,$P70,업무일지!$B$5:$B$1004,"&gt;="&amp;DATE($B$3,1,1),업무일지!$B$5:$B$1004,"&lt;"&amp;DATE($B$3+1,1,1),업무일지!$AA$5:$AA$1004,"*"&amp;$A$9&amp;"*")&gt;0,1,0))</f>
        <v/>
      </c>
      <c r="T70">
        <f>IF($P70="",0,IF(COUNTIFS(업무일지!$F$5:$F$1004,$P70,업무일지!$B$5:$B$1004,"&gt;="&amp;DATE($B$3,1,1),업무일지!$B$5:$B$1004,"&lt;"&amp;DATE($B$3+1,1,1),업무일지!$AA$5:$AA$1004,"*"&amp;$A$10&amp;"*")&gt;0,1,0))</f>
        <v/>
      </c>
      <c r="U70">
        <f>IF($P70="",0,IF(COUNTIFS(업무일지!$F$5:$F$1004,$P70,업무일지!$B$5:$B$1004,"&gt;="&amp;DATE($B$3,1,1),업무일지!$B$5:$B$1004,"&lt;"&amp;DATE($B$3+1,1,1),업무일지!$AA$5:$AA$1004,"*"&amp;$A$11&amp;"*")&gt;0,1,0))</f>
        <v/>
      </c>
      <c r="V70">
        <f>IF($P70="",0,IF(COUNTIFS(업무일지!$F$5:$F$1004,$P70,업무일지!$B$5:$B$1004,"&gt;="&amp;DATE($B$3,1,1),업무일지!$B$5:$B$1004,"&lt;"&amp;DATE($B$3+1,1,1),업무일지!$AA$5:$AA$1004,"*"&amp;$A$12&amp;"*")&gt;0,1,0))</f>
        <v/>
      </c>
      <c r="W70">
        <f>IF($P70="",0,IF(COUNTIFS(업무일지!$F$5:$F$1004,$P70,업무일지!$B$5:$B$1004,"&gt;="&amp;DATE($B$3,1,1),업무일지!$B$5:$B$1004,"&lt;"&amp;DATE($B$3+1,1,1),업무일지!$AA$5:$AA$1004,"*"&amp;$A$13&amp;"*")&gt;0,1,0))</f>
        <v/>
      </c>
      <c r="X70">
        <f>IF($P70="",0,IF(COUNTIFS(업무일지!$F$5:$F$1004,$P70,업무일지!$B$5:$B$1004,"&gt;="&amp;DATE($B$3,1,1),업무일지!$B$5:$B$1004,"&lt;"&amp;DATE($B$3+1,1,1),업무일지!$AA$5:$AA$1004,"*"&amp;$A$14&amp;"*")&gt;0,1,0))</f>
        <v/>
      </c>
      <c r="Y70">
        <f>IF($P70="",0,IF(COUNTIFS(업무일지!$F$5:$F$1004,$P70,업무일지!$B$5:$B$1004,"&gt;="&amp;DATE($B$3,1,1),업무일지!$B$5:$B$1004,"&lt;"&amp;DATE($B$3+1,1,1),업무일지!$AA$5:$AA$1004,"*"&amp;$A$15&amp;"*")&gt;0,1,0))</f>
        <v/>
      </c>
      <c r="Z70">
        <f>IF($P70="",0,IF(COUNTIFS(업무일지!$F$5:$F$1004,$P70,업무일지!$B$5:$B$1004,"&gt;="&amp;DATE($B$3,1,1),업무일지!$B$5:$B$1004,"&lt;"&amp;DATE($B$3+1,1,1),업무일지!$AA$5:$AA$1004,"*"&amp;$A$16&amp;"*")&gt;0,1,0))</f>
        <v/>
      </c>
      <c r="AA70">
        <f>IF($P70="",0,IF(COUNTIFS(업무일지!$F$5:$F$1004,$P70,업무일지!$B$5:$B$1004,"&gt;="&amp;DATE($B$3,1,1),업무일지!$B$5:$B$1004,"&lt;"&amp;DATE($B$3+1,1,1),업무일지!$AA$5:$AA$1004,"*"&amp;$A$17&amp;"*")&gt;0,1,0))</f>
        <v/>
      </c>
      <c r="AB70">
        <f>IF($P70="",0,IF(COUNTIFS(업무일지!$F$5:$F$1004,$P70,업무일지!$B$5:$B$1004,"&gt;="&amp;DATE($B$3,1,1),업무일지!$B$5:$B$1004,"&lt;"&amp;DATE($B$3+1,1,1),업무일지!$AA$5:$AA$1004,"*"&amp;$A$18&amp;"*")&gt;0,1,0))</f>
        <v/>
      </c>
      <c r="AC70">
        <f>IF($P70="",0,IF(COUNTIFS(업무일지!$F$5:$F$1004,$P70,업무일지!$B$5:$B$1004,"&gt;="&amp;DATE($B$3,1,1),업무일지!$B$5:$B$1004,"&lt;"&amp;DATE($B$3+1,1,1),업무일지!$AA$5:$AA$1004,"*"&amp;$A$19&amp;"*")&gt;0,1,0))</f>
        <v/>
      </c>
      <c r="AD70">
        <f>IF($P70="",0,IF(COUNTIFS(업무일지!$F$5:$F$1004,$P70,업무일지!$B$5:$B$1004,"&gt;="&amp;DATE($B$3,1,1),업무일지!$B$5:$B$1004,"&lt;"&amp;DATE($B$3+1,1,1),업무일지!$AA$5:$AA$1004,"*"&amp;$A$20&amp;"*")&gt;0,1,0))</f>
        <v/>
      </c>
      <c r="AE70">
        <f>IF($P70="",0,IF(COUNTIFS(업무일지!$F$5:$F$1004,$P70,업무일지!$B$5:$B$1004,"&gt;="&amp;DATE($B$3,1,1),업무일지!$B$5:$B$1004,"&lt;"&amp;DATE($B$3+1,1,1),업무일지!$AA$5:$AA$1004,"*"&amp;$A$21&amp;"*")&gt;0,1,0))</f>
        <v/>
      </c>
      <c r="AF70">
        <f>IF($P70="",0,IF(COUNTIFS(업무일지!$F$5:$F$1004,$P70,업무일지!$B$5:$B$1004,"&gt;="&amp;DATE($B$3,1,1),업무일지!$B$5:$B$1004,"&lt;"&amp;DATE($B$3+1,1,1),업무일지!$AA$5:$AA$1004,"*"&amp;$A$22&amp;"*")&gt;0,1,0))</f>
        <v/>
      </c>
      <c r="AG70">
        <f>IF($P70="",0,IF(COUNTIFS(업무일지!$F$5:$F$1004,$P70,업무일지!$B$5:$B$1004,"&gt;="&amp;DATE($B$3,1,1),업무일지!$B$5:$B$1004,"&lt;"&amp;DATE($B$3+1,1,1),업무일지!$AA$5:$AA$1004,"*"&amp;$A$23&amp;"*")&gt;0,1,0))</f>
        <v/>
      </c>
      <c r="AH70">
        <f>IF($P70="",0,IF(COUNTIFS(업무일지!$F$5:$F$1004,$P70,업무일지!$B$5:$B$1004,"&gt;="&amp;DATE($B$3,1,1),업무일지!$B$5:$B$1004,"&lt;"&amp;DATE($B$3+1,1,1),업무일지!$AA$5:$AA$1004,"*"&amp;$A$24&amp;"*")&gt;0,1,0))</f>
        <v/>
      </c>
      <c r="AI70">
        <f>IF($P70="",0,IF(COUNTIFS(업무일지!$F$5:$F$1004,$P70,업무일지!$B$5:$B$1004,"&gt;="&amp;DATE($B$3,1,1),업무일지!$B$5:$B$1004,"&lt;"&amp;DATE($B$3+1,1,1),업무일지!$AA$5:$AA$1004,"*"&amp;$A$25&amp;"*")&gt;0,1,0))</f>
        <v/>
      </c>
      <c r="AJ70">
        <f>IF($P70="",0,IF(COUNTIFS(업무일지!$F$5:$F$1004,$P70,업무일지!$B$5:$B$1004,"&gt;="&amp;DATE($B$3,1,1),업무일지!$B$5:$B$1004,"&lt;"&amp;DATE($B$3+1,1,1),업무일지!$AA$5:$AA$1004,"*"&amp;$A$26&amp;"*")&gt;0,1,0))</f>
        <v/>
      </c>
    </row>
    <row r="71">
      <c r="P71">
        <f>IF(사건마스터!$A16="","",사건마스터!$A16)</f>
        <v/>
      </c>
      <c r="Q71">
        <f>IF($P71="",0,IF(COUNTIFS(업무일지!$F$5:$F$1004,$P71,업무일지!$B$5:$B$1004,"&gt;="&amp;DATE($B$3,1,1),업무일지!$B$5:$B$1004,"&lt;"&amp;DATE($B$3+1,1,1),업무일지!$AA$5:$AA$1004,"*"&amp;$A$7&amp;"*")&gt;0,1,0))</f>
        <v/>
      </c>
      <c r="R71">
        <f>IF($P71="",0,IF(COUNTIFS(업무일지!$F$5:$F$1004,$P71,업무일지!$B$5:$B$1004,"&gt;="&amp;DATE($B$3,1,1),업무일지!$B$5:$B$1004,"&lt;"&amp;DATE($B$3+1,1,1),업무일지!$AA$5:$AA$1004,"*"&amp;$A$8&amp;"*")&gt;0,1,0))</f>
        <v/>
      </c>
      <c r="S71">
        <f>IF($P71="",0,IF(COUNTIFS(업무일지!$F$5:$F$1004,$P71,업무일지!$B$5:$B$1004,"&gt;="&amp;DATE($B$3,1,1),업무일지!$B$5:$B$1004,"&lt;"&amp;DATE($B$3+1,1,1),업무일지!$AA$5:$AA$1004,"*"&amp;$A$9&amp;"*")&gt;0,1,0))</f>
        <v/>
      </c>
      <c r="T71">
        <f>IF($P71="",0,IF(COUNTIFS(업무일지!$F$5:$F$1004,$P71,업무일지!$B$5:$B$1004,"&gt;="&amp;DATE($B$3,1,1),업무일지!$B$5:$B$1004,"&lt;"&amp;DATE($B$3+1,1,1),업무일지!$AA$5:$AA$1004,"*"&amp;$A$10&amp;"*")&gt;0,1,0))</f>
        <v/>
      </c>
      <c r="U71">
        <f>IF($P71="",0,IF(COUNTIFS(업무일지!$F$5:$F$1004,$P71,업무일지!$B$5:$B$1004,"&gt;="&amp;DATE($B$3,1,1),업무일지!$B$5:$B$1004,"&lt;"&amp;DATE($B$3+1,1,1),업무일지!$AA$5:$AA$1004,"*"&amp;$A$11&amp;"*")&gt;0,1,0))</f>
        <v/>
      </c>
      <c r="V71">
        <f>IF($P71="",0,IF(COUNTIFS(업무일지!$F$5:$F$1004,$P71,업무일지!$B$5:$B$1004,"&gt;="&amp;DATE($B$3,1,1),업무일지!$B$5:$B$1004,"&lt;"&amp;DATE($B$3+1,1,1),업무일지!$AA$5:$AA$1004,"*"&amp;$A$12&amp;"*")&gt;0,1,0))</f>
        <v/>
      </c>
      <c r="W71">
        <f>IF($P71="",0,IF(COUNTIFS(업무일지!$F$5:$F$1004,$P71,업무일지!$B$5:$B$1004,"&gt;="&amp;DATE($B$3,1,1),업무일지!$B$5:$B$1004,"&lt;"&amp;DATE($B$3+1,1,1),업무일지!$AA$5:$AA$1004,"*"&amp;$A$13&amp;"*")&gt;0,1,0))</f>
        <v/>
      </c>
      <c r="X71">
        <f>IF($P71="",0,IF(COUNTIFS(업무일지!$F$5:$F$1004,$P71,업무일지!$B$5:$B$1004,"&gt;="&amp;DATE($B$3,1,1),업무일지!$B$5:$B$1004,"&lt;"&amp;DATE($B$3+1,1,1),업무일지!$AA$5:$AA$1004,"*"&amp;$A$14&amp;"*")&gt;0,1,0))</f>
        <v/>
      </c>
      <c r="Y71">
        <f>IF($P71="",0,IF(COUNTIFS(업무일지!$F$5:$F$1004,$P71,업무일지!$B$5:$B$1004,"&gt;="&amp;DATE($B$3,1,1),업무일지!$B$5:$B$1004,"&lt;"&amp;DATE($B$3+1,1,1),업무일지!$AA$5:$AA$1004,"*"&amp;$A$15&amp;"*")&gt;0,1,0))</f>
        <v/>
      </c>
      <c r="Z71">
        <f>IF($P71="",0,IF(COUNTIFS(업무일지!$F$5:$F$1004,$P71,업무일지!$B$5:$B$1004,"&gt;="&amp;DATE($B$3,1,1),업무일지!$B$5:$B$1004,"&lt;"&amp;DATE($B$3+1,1,1),업무일지!$AA$5:$AA$1004,"*"&amp;$A$16&amp;"*")&gt;0,1,0))</f>
        <v/>
      </c>
      <c r="AA71">
        <f>IF($P71="",0,IF(COUNTIFS(업무일지!$F$5:$F$1004,$P71,업무일지!$B$5:$B$1004,"&gt;="&amp;DATE($B$3,1,1),업무일지!$B$5:$B$1004,"&lt;"&amp;DATE($B$3+1,1,1),업무일지!$AA$5:$AA$1004,"*"&amp;$A$17&amp;"*")&gt;0,1,0))</f>
        <v/>
      </c>
      <c r="AB71">
        <f>IF($P71="",0,IF(COUNTIFS(업무일지!$F$5:$F$1004,$P71,업무일지!$B$5:$B$1004,"&gt;="&amp;DATE($B$3,1,1),업무일지!$B$5:$B$1004,"&lt;"&amp;DATE($B$3+1,1,1),업무일지!$AA$5:$AA$1004,"*"&amp;$A$18&amp;"*")&gt;0,1,0))</f>
        <v/>
      </c>
      <c r="AC71">
        <f>IF($P71="",0,IF(COUNTIFS(업무일지!$F$5:$F$1004,$P71,업무일지!$B$5:$B$1004,"&gt;="&amp;DATE($B$3,1,1),업무일지!$B$5:$B$1004,"&lt;"&amp;DATE($B$3+1,1,1),업무일지!$AA$5:$AA$1004,"*"&amp;$A$19&amp;"*")&gt;0,1,0))</f>
        <v/>
      </c>
      <c r="AD71">
        <f>IF($P71="",0,IF(COUNTIFS(업무일지!$F$5:$F$1004,$P71,업무일지!$B$5:$B$1004,"&gt;="&amp;DATE($B$3,1,1),업무일지!$B$5:$B$1004,"&lt;"&amp;DATE($B$3+1,1,1),업무일지!$AA$5:$AA$1004,"*"&amp;$A$20&amp;"*")&gt;0,1,0))</f>
        <v/>
      </c>
      <c r="AE71">
        <f>IF($P71="",0,IF(COUNTIFS(업무일지!$F$5:$F$1004,$P71,업무일지!$B$5:$B$1004,"&gt;="&amp;DATE($B$3,1,1),업무일지!$B$5:$B$1004,"&lt;"&amp;DATE($B$3+1,1,1),업무일지!$AA$5:$AA$1004,"*"&amp;$A$21&amp;"*")&gt;0,1,0))</f>
        <v/>
      </c>
      <c r="AF71">
        <f>IF($P71="",0,IF(COUNTIFS(업무일지!$F$5:$F$1004,$P71,업무일지!$B$5:$B$1004,"&gt;="&amp;DATE($B$3,1,1),업무일지!$B$5:$B$1004,"&lt;"&amp;DATE($B$3+1,1,1),업무일지!$AA$5:$AA$1004,"*"&amp;$A$22&amp;"*")&gt;0,1,0))</f>
        <v/>
      </c>
      <c r="AG71">
        <f>IF($P71="",0,IF(COUNTIFS(업무일지!$F$5:$F$1004,$P71,업무일지!$B$5:$B$1004,"&gt;="&amp;DATE($B$3,1,1),업무일지!$B$5:$B$1004,"&lt;"&amp;DATE($B$3+1,1,1),업무일지!$AA$5:$AA$1004,"*"&amp;$A$23&amp;"*")&gt;0,1,0))</f>
        <v/>
      </c>
      <c r="AH71">
        <f>IF($P71="",0,IF(COUNTIFS(업무일지!$F$5:$F$1004,$P71,업무일지!$B$5:$B$1004,"&gt;="&amp;DATE($B$3,1,1),업무일지!$B$5:$B$1004,"&lt;"&amp;DATE($B$3+1,1,1),업무일지!$AA$5:$AA$1004,"*"&amp;$A$24&amp;"*")&gt;0,1,0))</f>
        <v/>
      </c>
      <c r="AI71">
        <f>IF($P71="",0,IF(COUNTIFS(업무일지!$F$5:$F$1004,$P71,업무일지!$B$5:$B$1004,"&gt;="&amp;DATE($B$3,1,1),업무일지!$B$5:$B$1004,"&lt;"&amp;DATE($B$3+1,1,1),업무일지!$AA$5:$AA$1004,"*"&amp;$A$25&amp;"*")&gt;0,1,0))</f>
        <v/>
      </c>
      <c r="AJ71">
        <f>IF($P71="",0,IF(COUNTIFS(업무일지!$F$5:$F$1004,$P71,업무일지!$B$5:$B$1004,"&gt;="&amp;DATE($B$3,1,1),업무일지!$B$5:$B$1004,"&lt;"&amp;DATE($B$3+1,1,1),업무일지!$AA$5:$AA$1004,"*"&amp;$A$26&amp;"*")&gt;0,1,0))</f>
        <v/>
      </c>
    </row>
    <row r="72">
      <c r="P72">
        <f>IF(사건마스터!$A17="","",사건마스터!$A17)</f>
        <v/>
      </c>
      <c r="Q72">
        <f>IF($P72="",0,IF(COUNTIFS(업무일지!$F$5:$F$1004,$P72,업무일지!$B$5:$B$1004,"&gt;="&amp;DATE($B$3,1,1),업무일지!$B$5:$B$1004,"&lt;"&amp;DATE($B$3+1,1,1),업무일지!$AA$5:$AA$1004,"*"&amp;$A$7&amp;"*")&gt;0,1,0))</f>
        <v/>
      </c>
      <c r="R72">
        <f>IF($P72="",0,IF(COUNTIFS(업무일지!$F$5:$F$1004,$P72,업무일지!$B$5:$B$1004,"&gt;="&amp;DATE($B$3,1,1),업무일지!$B$5:$B$1004,"&lt;"&amp;DATE($B$3+1,1,1),업무일지!$AA$5:$AA$1004,"*"&amp;$A$8&amp;"*")&gt;0,1,0))</f>
        <v/>
      </c>
      <c r="S72">
        <f>IF($P72="",0,IF(COUNTIFS(업무일지!$F$5:$F$1004,$P72,업무일지!$B$5:$B$1004,"&gt;="&amp;DATE($B$3,1,1),업무일지!$B$5:$B$1004,"&lt;"&amp;DATE($B$3+1,1,1),업무일지!$AA$5:$AA$1004,"*"&amp;$A$9&amp;"*")&gt;0,1,0))</f>
        <v/>
      </c>
      <c r="T72">
        <f>IF($P72="",0,IF(COUNTIFS(업무일지!$F$5:$F$1004,$P72,업무일지!$B$5:$B$1004,"&gt;="&amp;DATE($B$3,1,1),업무일지!$B$5:$B$1004,"&lt;"&amp;DATE($B$3+1,1,1),업무일지!$AA$5:$AA$1004,"*"&amp;$A$10&amp;"*")&gt;0,1,0))</f>
        <v/>
      </c>
      <c r="U72">
        <f>IF($P72="",0,IF(COUNTIFS(업무일지!$F$5:$F$1004,$P72,업무일지!$B$5:$B$1004,"&gt;="&amp;DATE($B$3,1,1),업무일지!$B$5:$B$1004,"&lt;"&amp;DATE($B$3+1,1,1),업무일지!$AA$5:$AA$1004,"*"&amp;$A$11&amp;"*")&gt;0,1,0))</f>
        <v/>
      </c>
      <c r="V72">
        <f>IF($P72="",0,IF(COUNTIFS(업무일지!$F$5:$F$1004,$P72,업무일지!$B$5:$B$1004,"&gt;="&amp;DATE($B$3,1,1),업무일지!$B$5:$B$1004,"&lt;"&amp;DATE($B$3+1,1,1),업무일지!$AA$5:$AA$1004,"*"&amp;$A$12&amp;"*")&gt;0,1,0))</f>
        <v/>
      </c>
      <c r="W72">
        <f>IF($P72="",0,IF(COUNTIFS(업무일지!$F$5:$F$1004,$P72,업무일지!$B$5:$B$1004,"&gt;="&amp;DATE($B$3,1,1),업무일지!$B$5:$B$1004,"&lt;"&amp;DATE($B$3+1,1,1),업무일지!$AA$5:$AA$1004,"*"&amp;$A$13&amp;"*")&gt;0,1,0))</f>
        <v/>
      </c>
      <c r="X72">
        <f>IF($P72="",0,IF(COUNTIFS(업무일지!$F$5:$F$1004,$P72,업무일지!$B$5:$B$1004,"&gt;="&amp;DATE($B$3,1,1),업무일지!$B$5:$B$1004,"&lt;"&amp;DATE($B$3+1,1,1),업무일지!$AA$5:$AA$1004,"*"&amp;$A$14&amp;"*")&gt;0,1,0))</f>
        <v/>
      </c>
      <c r="Y72">
        <f>IF($P72="",0,IF(COUNTIFS(업무일지!$F$5:$F$1004,$P72,업무일지!$B$5:$B$1004,"&gt;="&amp;DATE($B$3,1,1),업무일지!$B$5:$B$1004,"&lt;"&amp;DATE($B$3+1,1,1),업무일지!$AA$5:$AA$1004,"*"&amp;$A$15&amp;"*")&gt;0,1,0))</f>
        <v/>
      </c>
      <c r="Z72">
        <f>IF($P72="",0,IF(COUNTIFS(업무일지!$F$5:$F$1004,$P72,업무일지!$B$5:$B$1004,"&gt;="&amp;DATE($B$3,1,1),업무일지!$B$5:$B$1004,"&lt;"&amp;DATE($B$3+1,1,1),업무일지!$AA$5:$AA$1004,"*"&amp;$A$16&amp;"*")&gt;0,1,0))</f>
        <v/>
      </c>
      <c r="AA72">
        <f>IF($P72="",0,IF(COUNTIFS(업무일지!$F$5:$F$1004,$P72,업무일지!$B$5:$B$1004,"&gt;="&amp;DATE($B$3,1,1),업무일지!$B$5:$B$1004,"&lt;"&amp;DATE($B$3+1,1,1),업무일지!$AA$5:$AA$1004,"*"&amp;$A$17&amp;"*")&gt;0,1,0))</f>
        <v/>
      </c>
      <c r="AB72">
        <f>IF($P72="",0,IF(COUNTIFS(업무일지!$F$5:$F$1004,$P72,업무일지!$B$5:$B$1004,"&gt;="&amp;DATE($B$3,1,1),업무일지!$B$5:$B$1004,"&lt;"&amp;DATE($B$3+1,1,1),업무일지!$AA$5:$AA$1004,"*"&amp;$A$18&amp;"*")&gt;0,1,0))</f>
        <v/>
      </c>
      <c r="AC72">
        <f>IF($P72="",0,IF(COUNTIFS(업무일지!$F$5:$F$1004,$P72,업무일지!$B$5:$B$1004,"&gt;="&amp;DATE($B$3,1,1),업무일지!$B$5:$B$1004,"&lt;"&amp;DATE($B$3+1,1,1),업무일지!$AA$5:$AA$1004,"*"&amp;$A$19&amp;"*")&gt;0,1,0))</f>
        <v/>
      </c>
      <c r="AD72">
        <f>IF($P72="",0,IF(COUNTIFS(업무일지!$F$5:$F$1004,$P72,업무일지!$B$5:$B$1004,"&gt;="&amp;DATE($B$3,1,1),업무일지!$B$5:$B$1004,"&lt;"&amp;DATE($B$3+1,1,1),업무일지!$AA$5:$AA$1004,"*"&amp;$A$20&amp;"*")&gt;0,1,0))</f>
        <v/>
      </c>
      <c r="AE72">
        <f>IF($P72="",0,IF(COUNTIFS(업무일지!$F$5:$F$1004,$P72,업무일지!$B$5:$B$1004,"&gt;="&amp;DATE($B$3,1,1),업무일지!$B$5:$B$1004,"&lt;"&amp;DATE($B$3+1,1,1),업무일지!$AA$5:$AA$1004,"*"&amp;$A$21&amp;"*")&gt;0,1,0))</f>
        <v/>
      </c>
      <c r="AF72">
        <f>IF($P72="",0,IF(COUNTIFS(업무일지!$F$5:$F$1004,$P72,업무일지!$B$5:$B$1004,"&gt;="&amp;DATE($B$3,1,1),업무일지!$B$5:$B$1004,"&lt;"&amp;DATE($B$3+1,1,1),업무일지!$AA$5:$AA$1004,"*"&amp;$A$22&amp;"*")&gt;0,1,0))</f>
        <v/>
      </c>
      <c r="AG72">
        <f>IF($P72="",0,IF(COUNTIFS(업무일지!$F$5:$F$1004,$P72,업무일지!$B$5:$B$1004,"&gt;="&amp;DATE($B$3,1,1),업무일지!$B$5:$B$1004,"&lt;"&amp;DATE($B$3+1,1,1),업무일지!$AA$5:$AA$1004,"*"&amp;$A$23&amp;"*")&gt;0,1,0))</f>
        <v/>
      </c>
      <c r="AH72">
        <f>IF($P72="",0,IF(COUNTIFS(업무일지!$F$5:$F$1004,$P72,업무일지!$B$5:$B$1004,"&gt;="&amp;DATE($B$3,1,1),업무일지!$B$5:$B$1004,"&lt;"&amp;DATE($B$3+1,1,1),업무일지!$AA$5:$AA$1004,"*"&amp;$A$24&amp;"*")&gt;0,1,0))</f>
        <v/>
      </c>
      <c r="AI72">
        <f>IF($P72="",0,IF(COUNTIFS(업무일지!$F$5:$F$1004,$P72,업무일지!$B$5:$B$1004,"&gt;="&amp;DATE($B$3,1,1),업무일지!$B$5:$B$1004,"&lt;"&amp;DATE($B$3+1,1,1),업무일지!$AA$5:$AA$1004,"*"&amp;$A$25&amp;"*")&gt;0,1,0))</f>
        <v/>
      </c>
      <c r="AJ72">
        <f>IF($P72="",0,IF(COUNTIFS(업무일지!$F$5:$F$1004,$P72,업무일지!$B$5:$B$1004,"&gt;="&amp;DATE($B$3,1,1),업무일지!$B$5:$B$1004,"&lt;"&amp;DATE($B$3+1,1,1),업무일지!$AA$5:$AA$1004,"*"&amp;$A$26&amp;"*")&gt;0,1,0))</f>
        <v/>
      </c>
    </row>
    <row r="73">
      <c r="P73">
        <f>IF(사건마스터!$A18="","",사건마스터!$A18)</f>
        <v/>
      </c>
      <c r="Q73">
        <f>IF($P73="",0,IF(COUNTIFS(업무일지!$F$5:$F$1004,$P73,업무일지!$B$5:$B$1004,"&gt;="&amp;DATE($B$3,1,1),업무일지!$B$5:$B$1004,"&lt;"&amp;DATE($B$3+1,1,1),업무일지!$AA$5:$AA$1004,"*"&amp;$A$7&amp;"*")&gt;0,1,0))</f>
        <v/>
      </c>
      <c r="R73">
        <f>IF($P73="",0,IF(COUNTIFS(업무일지!$F$5:$F$1004,$P73,업무일지!$B$5:$B$1004,"&gt;="&amp;DATE($B$3,1,1),업무일지!$B$5:$B$1004,"&lt;"&amp;DATE($B$3+1,1,1),업무일지!$AA$5:$AA$1004,"*"&amp;$A$8&amp;"*")&gt;0,1,0))</f>
        <v/>
      </c>
      <c r="S73">
        <f>IF($P73="",0,IF(COUNTIFS(업무일지!$F$5:$F$1004,$P73,업무일지!$B$5:$B$1004,"&gt;="&amp;DATE($B$3,1,1),업무일지!$B$5:$B$1004,"&lt;"&amp;DATE($B$3+1,1,1),업무일지!$AA$5:$AA$1004,"*"&amp;$A$9&amp;"*")&gt;0,1,0))</f>
        <v/>
      </c>
      <c r="T73">
        <f>IF($P73="",0,IF(COUNTIFS(업무일지!$F$5:$F$1004,$P73,업무일지!$B$5:$B$1004,"&gt;="&amp;DATE($B$3,1,1),업무일지!$B$5:$B$1004,"&lt;"&amp;DATE($B$3+1,1,1),업무일지!$AA$5:$AA$1004,"*"&amp;$A$10&amp;"*")&gt;0,1,0))</f>
        <v/>
      </c>
      <c r="U73">
        <f>IF($P73="",0,IF(COUNTIFS(업무일지!$F$5:$F$1004,$P73,업무일지!$B$5:$B$1004,"&gt;="&amp;DATE($B$3,1,1),업무일지!$B$5:$B$1004,"&lt;"&amp;DATE($B$3+1,1,1),업무일지!$AA$5:$AA$1004,"*"&amp;$A$11&amp;"*")&gt;0,1,0))</f>
        <v/>
      </c>
      <c r="V73">
        <f>IF($P73="",0,IF(COUNTIFS(업무일지!$F$5:$F$1004,$P73,업무일지!$B$5:$B$1004,"&gt;="&amp;DATE($B$3,1,1),업무일지!$B$5:$B$1004,"&lt;"&amp;DATE($B$3+1,1,1),업무일지!$AA$5:$AA$1004,"*"&amp;$A$12&amp;"*")&gt;0,1,0))</f>
        <v/>
      </c>
      <c r="W73">
        <f>IF($P73="",0,IF(COUNTIFS(업무일지!$F$5:$F$1004,$P73,업무일지!$B$5:$B$1004,"&gt;="&amp;DATE($B$3,1,1),업무일지!$B$5:$B$1004,"&lt;"&amp;DATE($B$3+1,1,1),업무일지!$AA$5:$AA$1004,"*"&amp;$A$13&amp;"*")&gt;0,1,0))</f>
        <v/>
      </c>
      <c r="X73">
        <f>IF($P73="",0,IF(COUNTIFS(업무일지!$F$5:$F$1004,$P73,업무일지!$B$5:$B$1004,"&gt;="&amp;DATE($B$3,1,1),업무일지!$B$5:$B$1004,"&lt;"&amp;DATE($B$3+1,1,1),업무일지!$AA$5:$AA$1004,"*"&amp;$A$14&amp;"*")&gt;0,1,0))</f>
        <v/>
      </c>
      <c r="Y73">
        <f>IF($P73="",0,IF(COUNTIFS(업무일지!$F$5:$F$1004,$P73,업무일지!$B$5:$B$1004,"&gt;="&amp;DATE($B$3,1,1),업무일지!$B$5:$B$1004,"&lt;"&amp;DATE($B$3+1,1,1),업무일지!$AA$5:$AA$1004,"*"&amp;$A$15&amp;"*")&gt;0,1,0))</f>
        <v/>
      </c>
      <c r="Z73">
        <f>IF($P73="",0,IF(COUNTIFS(업무일지!$F$5:$F$1004,$P73,업무일지!$B$5:$B$1004,"&gt;="&amp;DATE($B$3,1,1),업무일지!$B$5:$B$1004,"&lt;"&amp;DATE($B$3+1,1,1),업무일지!$AA$5:$AA$1004,"*"&amp;$A$16&amp;"*")&gt;0,1,0))</f>
        <v/>
      </c>
      <c r="AA73">
        <f>IF($P73="",0,IF(COUNTIFS(업무일지!$F$5:$F$1004,$P73,업무일지!$B$5:$B$1004,"&gt;="&amp;DATE($B$3,1,1),업무일지!$B$5:$B$1004,"&lt;"&amp;DATE($B$3+1,1,1),업무일지!$AA$5:$AA$1004,"*"&amp;$A$17&amp;"*")&gt;0,1,0))</f>
        <v/>
      </c>
      <c r="AB73">
        <f>IF($P73="",0,IF(COUNTIFS(업무일지!$F$5:$F$1004,$P73,업무일지!$B$5:$B$1004,"&gt;="&amp;DATE($B$3,1,1),업무일지!$B$5:$B$1004,"&lt;"&amp;DATE($B$3+1,1,1),업무일지!$AA$5:$AA$1004,"*"&amp;$A$18&amp;"*")&gt;0,1,0))</f>
        <v/>
      </c>
      <c r="AC73">
        <f>IF($P73="",0,IF(COUNTIFS(업무일지!$F$5:$F$1004,$P73,업무일지!$B$5:$B$1004,"&gt;="&amp;DATE($B$3,1,1),업무일지!$B$5:$B$1004,"&lt;"&amp;DATE($B$3+1,1,1),업무일지!$AA$5:$AA$1004,"*"&amp;$A$19&amp;"*")&gt;0,1,0))</f>
        <v/>
      </c>
      <c r="AD73">
        <f>IF($P73="",0,IF(COUNTIFS(업무일지!$F$5:$F$1004,$P73,업무일지!$B$5:$B$1004,"&gt;="&amp;DATE($B$3,1,1),업무일지!$B$5:$B$1004,"&lt;"&amp;DATE($B$3+1,1,1),업무일지!$AA$5:$AA$1004,"*"&amp;$A$20&amp;"*")&gt;0,1,0))</f>
        <v/>
      </c>
      <c r="AE73">
        <f>IF($P73="",0,IF(COUNTIFS(업무일지!$F$5:$F$1004,$P73,업무일지!$B$5:$B$1004,"&gt;="&amp;DATE($B$3,1,1),업무일지!$B$5:$B$1004,"&lt;"&amp;DATE($B$3+1,1,1),업무일지!$AA$5:$AA$1004,"*"&amp;$A$21&amp;"*")&gt;0,1,0))</f>
        <v/>
      </c>
      <c r="AF73">
        <f>IF($P73="",0,IF(COUNTIFS(업무일지!$F$5:$F$1004,$P73,업무일지!$B$5:$B$1004,"&gt;="&amp;DATE($B$3,1,1),업무일지!$B$5:$B$1004,"&lt;"&amp;DATE($B$3+1,1,1),업무일지!$AA$5:$AA$1004,"*"&amp;$A$22&amp;"*")&gt;0,1,0))</f>
        <v/>
      </c>
      <c r="AG73">
        <f>IF($P73="",0,IF(COUNTIFS(업무일지!$F$5:$F$1004,$P73,업무일지!$B$5:$B$1004,"&gt;="&amp;DATE($B$3,1,1),업무일지!$B$5:$B$1004,"&lt;"&amp;DATE($B$3+1,1,1),업무일지!$AA$5:$AA$1004,"*"&amp;$A$23&amp;"*")&gt;0,1,0))</f>
        <v/>
      </c>
      <c r="AH73">
        <f>IF($P73="",0,IF(COUNTIFS(업무일지!$F$5:$F$1004,$P73,업무일지!$B$5:$B$1004,"&gt;="&amp;DATE($B$3,1,1),업무일지!$B$5:$B$1004,"&lt;"&amp;DATE($B$3+1,1,1),업무일지!$AA$5:$AA$1004,"*"&amp;$A$24&amp;"*")&gt;0,1,0))</f>
        <v/>
      </c>
      <c r="AI73">
        <f>IF($P73="",0,IF(COUNTIFS(업무일지!$F$5:$F$1004,$P73,업무일지!$B$5:$B$1004,"&gt;="&amp;DATE($B$3,1,1),업무일지!$B$5:$B$1004,"&lt;"&amp;DATE($B$3+1,1,1),업무일지!$AA$5:$AA$1004,"*"&amp;$A$25&amp;"*")&gt;0,1,0))</f>
        <v/>
      </c>
      <c r="AJ73">
        <f>IF($P73="",0,IF(COUNTIFS(업무일지!$F$5:$F$1004,$P73,업무일지!$B$5:$B$1004,"&gt;="&amp;DATE($B$3,1,1),업무일지!$B$5:$B$1004,"&lt;"&amp;DATE($B$3+1,1,1),업무일지!$AA$5:$AA$1004,"*"&amp;$A$26&amp;"*")&gt;0,1,0))</f>
        <v/>
      </c>
    </row>
    <row r="74">
      <c r="P74">
        <f>IF(사건마스터!$A19="","",사건마스터!$A19)</f>
        <v/>
      </c>
      <c r="Q74">
        <f>IF($P74="",0,IF(COUNTIFS(업무일지!$F$5:$F$1004,$P74,업무일지!$B$5:$B$1004,"&gt;="&amp;DATE($B$3,1,1),업무일지!$B$5:$B$1004,"&lt;"&amp;DATE($B$3+1,1,1),업무일지!$AA$5:$AA$1004,"*"&amp;$A$7&amp;"*")&gt;0,1,0))</f>
        <v/>
      </c>
      <c r="R74">
        <f>IF($P74="",0,IF(COUNTIFS(업무일지!$F$5:$F$1004,$P74,업무일지!$B$5:$B$1004,"&gt;="&amp;DATE($B$3,1,1),업무일지!$B$5:$B$1004,"&lt;"&amp;DATE($B$3+1,1,1),업무일지!$AA$5:$AA$1004,"*"&amp;$A$8&amp;"*")&gt;0,1,0))</f>
        <v/>
      </c>
      <c r="S74">
        <f>IF($P74="",0,IF(COUNTIFS(업무일지!$F$5:$F$1004,$P74,업무일지!$B$5:$B$1004,"&gt;="&amp;DATE($B$3,1,1),업무일지!$B$5:$B$1004,"&lt;"&amp;DATE($B$3+1,1,1),업무일지!$AA$5:$AA$1004,"*"&amp;$A$9&amp;"*")&gt;0,1,0))</f>
        <v/>
      </c>
      <c r="T74">
        <f>IF($P74="",0,IF(COUNTIFS(업무일지!$F$5:$F$1004,$P74,업무일지!$B$5:$B$1004,"&gt;="&amp;DATE($B$3,1,1),업무일지!$B$5:$B$1004,"&lt;"&amp;DATE($B$3+1,1,1),업무일지!$AA$5:$AA$1004,"*"&amp;$A$10&amp;"*")&gt;0,1,0))</f>
        <v/>
      </c>
      <c r="U74">
        <f>IF($P74="",0,IF(COUNTIFS(업무일지!$F$5:$F$1004,$P74,업무일지!$B$5:$B$1004,"&gt;="&amp;DATE($B$3,1,1),업무일지!$B$5:$B$1004,"&lt;"&amp;DATE($B$3+1,1,1),업무일지!$AA$5:$AA$1004,"*"&amp;$A$11&amp;"*")&gt;0,1,0))</f>
        <v/>
      </c>
      <c r="V74">
        <f>IF($P74="",0,IF(COUNTIFS(업무일지!$F$5:$F$1004,$P74,업무일지!$B$5:$B$1004,"&gt;="&amp;DATE($B$3,1,1),업무일지!$B$5:$B$1004,"&lt;"&amp;DATE($B$3+1,1,1),업무일지!$AA$5:$AA$1004,"*"&amp;$A$12&amp;"*")&gt;0,1,0))</f>
        <v/>
      </c>
      <c r="W74">
        <f>IF($P74="",0,IF(COUNTIFS(업무일지!$F$5:$F$1004,$P74,업무일지!$B$5:$B$1004,"&gt;="&amp;DATE($B$3,1,1),업무일지!$B$5:$B$1004,"&lt;"&amp;DATE($B$3+1,1,1),업무일지!$AA$5:$AA$1004,"*"&amp;$A$13&amp;"*")&gt;0,1,0))</f>
        <v/>
      </c>
      <c r="X74">
        <f>IF($P74="",0,IF(COUNTIFS(업무일지!$F$5:$F$1004,$P74,업무일지!$B$5:$B$1004,"&gt;="&amp;DATE($B$3,1,1),업무일지!$B$5:$B$1004,"&lt;"&amp;DATE($B$3+1,1,1),업무일지!$AA$5:$AA$1004,"*"&amp;$A$14&amp;"*")&gt;0,1,0))</f>
        <v/>
      </c>
      <c r="Y74">
        <f>IF($P74="",0,IF(COUNTIFS(업무일지!$F$5:$F$1004,$P74,업무일지!$B$5:$B$1004,"&gt;="&amp;DATE($B$3,1,1),업무일지!$B$5:$B$1004,"&lt;"&amp;DATE($B$3+1,1,1),업무일지!$AA$5:$AA$1004,"*"&amp;$A$15&amp;"*")&gt;0,1,0))</f>
        <v/>
      </c>
      <c r="Z74">
        <f>IF($P74="",0,IF(COUNTIFS(업무일지!$F$5:$F$1004,$P74,업무일지!$B$5:$B$1004,"&gt;="&amp;DATE($B$3,1,1),업무일지!$B$5:$B$1004,"&lt;"&amp;DATE($B$3+1,1,1),업무일지!$AA$5:$AA$1004,"*"&amp;$A$16&amp;"*")&gt;0,1,0))</f>
        <v/>
      </c>
      <c r="AA74">
        <f>IF($P74="",0,IF(COUNTIFS(업무일지!$F$5:$F$1004,$P74,업무일지!$B$5:$B$1004,"&gt;="&amp;DATE($B$3,1,1),업무일지!$B$5:$B$1004,"&lt;"&amp;DATE($B$3+1,1,1),업무일지!$AA$5:$AA$1004,"*"&amp;$A$17&amp;"*")&gt;0,1,0))</f>
        <v/>
      </c>
      <c r="AB74">
        <f>IF($P74="",0,IF(COUNTIFS(업무일지!$F$5:$F$1004,$P74,업무일지!$B$5:$B$1004,"&gt;="&amp;DATE($B$3,1,1),업무일지!$B$5:$B$1004,"&lt;"&amp;DATE($B$3+1,1,1),업무일지!$AA$5:$AA$1004,"*"&amp;$A$18&amp;"*")&gt;0,1,0))</f>
        <v/>
      </c>
      <c r="AC74">
        <f>IF($P74="",0,IF(COUNTIFS(업무일지!$F$5:$F$1004,$P74,업무일지!$B$5:$B$1004,"&gt;="&amp;DATE($B$3,1,1),업무일지!$B$5:$B$1004,"&lt;"&amp;DATE($B$3+1,1,1),업무일지!$AA$5:$AA$1004,"*"&amp;$A$19&amp;"*")&gt;0,1,0))</f>
        <v/>
      </c>
      <c r="AD74">
        <f>IF($P74="",0,IF(COUNTIFS(업무일지!$F$5:$F$1004,$P74,업무일지!$B$5:$B$1004,"&gt;="&amp;DATE($B$3,1,1),업무일지!$B$5:$B$1004,"&lt;"&amp;DATE($B$3+1,1,1),업무일지!$AA$5:$AA$1004,"*"&amp;$A$20&amp;"*")&gt;0,1,0))</f>
        <v/>
      </c>
      <c r="AE74">
        <f>IF($P74="",0,IF(COUNTIFS(업무일지!$F$5:$F$1004,$P74,업무일지!$B$5:$B$1004,"&gt;="&amp;DATE($B$3,1,1),업무일지!$B$5:$B$1004,"&lt;"&amp;DATE($B$3+1,1,1),업무일지!$AA$5:$AA$1004,"*"&amp;$A$21&amp;"*")&gt;0,1,0))</f>
        <v/>
      </c>
      <c r="AF74">
        <f>IF($P74="",0,IF(COUNTIFS(업무일지!$F$5:$F$1004,$P74,업무일지!$B$5:$B$1004,"&gt;="&amp;DATE($B$3,1,1),업무일지!$B$5:$B$1004,"&lt;"&amp;DATE($B$3+1,1,1),업무일지!$AA$5:$AA$1004,"*"&amp;$A$22&amp;"*")&gt;0,1,0))</f>
        <v/>
      </c>
      <c r="AG74">
        <f>IF($P74="",0,IF(COUNTIFS(업무일지!$F$5:$F$1004,$P74,업무일지!$B$5:$B$1004,"&gt;="&amp;DATE($B$3,1,1),업무일지!$B$5:$B$1004,"&lt;"&amp;DATE($B$3+1,1,1),업무일지!$AA$5:$AA$1004,"*"&amp;$A$23&amp;"*")&gt;0,1,0))</f>
        <v/>
      </c>
      <c r="AH74">
        <f>IF($P74="",0,IF(COUNTIFS(업무일지!$F$5:$F$1004,$P74,업무일지!$B$5:$B$1004,"&gt;="&amp;DATE($B$3,1,1),업무일지!$B$5:$B$1004,"&lt;"&amp;DATE($B$3+1,1,1),업무일지!$AA$5:$AA$1004,"*"&amp;$A$24&amp;"*")&gt;0,1,0))</f>
        <v/>
      </c>
      <c r="AI74">
        <f>IF($P74="",0,IF(COUNTIFS(업무일지!$F$5:$F$1004,$P74,업무일지!$B$5:$B$1004,"&gt;="&amp;DATE($B$3,1,1),업무일지!$B$5:$B$1004,"&lt;"&amp;DATE($B$3+1,1,1),업무일지!$AA$5:$AA$1004,"*"&amp;$A$25&amp;"*")&gt;0,1,0))</f>
        <v/>
      </c>
      <c r="AJ74">
        <f>IF($P74="",0,IF(COUNTIFS(업무일지!$F$5:$F$1004,$P74,업무일지!$B$5:$B$1004,"&gt;="&amp;DATE($B$3,1,1),업무일지!$B$5:$B$1004,"&lt;"&amp;DATE($B$3+1,1,1),업무일지!$AA$5:$AA$1004,"*"&amp;$A$26&amp;"*")&gt;0,1,0))</f>
        <v/>
      </c>
    </row>
    <row r="75">
      <c r="P75">
        <f>IF(사건마스터!$A20="","",사건마스터!$A20)</f>
        <v/>
      </c>
      <c r="Q75">
        <f>IF($P75="",0,IF(COUNTIFS(업무일지!$F$5:$F$1004,$P75,업무일지!$B$5:$B$1004,"&gt;="&amp;DATE($B$3,1,1),업무일지!$B$5:$B$1004,"&lt;"&amp;DATE($B$3+1,1,1),업무일지!$AA$5:$AA$1004,"*"&amp;$A$7&amp;"*")&gt;0,1,0))</f>
        <v/>
      </c>
      <c r="R75">
        <f>IF($P75="",0,IF(COUNTIFS(업무일지!$F$5:$F$1004,$P75,업무일지!$B$5:$B$1004,"&gt;="&amp;DATE($B$3,1,1),업무일지!$B$5:$B$1004,"&lt;"&amp;DATE($B$3+1,1,1),업무일지!$AA$5:$AA$1004,"*"&amp;$A$8&amp;"*")&gt;0,1,0))</f>
        <v/>
      </c>
      <c r="S75">
        <f>IF($P75="",0,IF(COUNTIFS(업무일지!$F$5:$F$1004,$P75,업무일지!$B$5:$B$1004,"&gt;="&amp;DATE($B$3,1,1),업무일지!$B$5:$B$1004,"&lt;"&amp;DATE($B$3+1,1,1),업무일지!$AA$5:$AA$1004,"*"&amp;$A$9&amp;"*")&gt;0,1,0))</f>
        <v/>
      </c>
      <c r="T75">
        <f>IF($P75="",0,IF(COUNTIFS(업무일지!$F$5:$F$1004,$P75,업무일지!$B$5:$B$1004,"&gt;="&amp;DATE($B$3,1,1),업무일지!$B$5:$B$1004,"&lt;"&amp;DATE($B$3+1,1,1),업무일지!$AA$5:$AA$1004,"*"&amp;$A$10&amp;"*")&gt;0,1,0))</f>
        <v/>
      </c>
      <c r="U75">
        <f>IF($P75="",0,IF(COUNTIFS(업무일지!$F$5:$F$1004,$P75,업무일지!$B$5:$B$1004,"&gt;="&amp;DATE($B$3,1,1),업무일지!$B$5:$B$1004,"&lt;"&amp;DATE($B$3+1,1,1),업무일지!$AA$5:$AA$1004,"*"&amp;$A$11&amp;"*")&gt;0,1,0))</f>
        <v/>
      </c>
      <c r="V75">
        <f>IF($P75="",0,IF(COUNTIFS(업무일지!$F$5:$F$1004,$P75,업무일지!$B$5:$B$1004,"&gt;="&amp;DATE($B$3,1,1),업무일지!$B$5:$B$1004,"&lt;"&amp;DATE($B$3+1,1,1),업무일지!$AA$5:$AA$1004,"*"&amp;$A$12&amp;"*")&gt;0,1,0))</f>
        <v/>
      </c>
      <c r="W75">
        <f>IF($P75="",0,IF(COUNTIFS(업무일지!$F$5:$F$1004,$P75,업무일지!$B$5:$B$1004,"&gt;="&amp;DATE($B$3,1,1),업무일지!$B$5:$B$1004,"&lt;"&amp;DATE($B$3+1,1,1),업무일지!$AA$5:$AA$1004,"*"&amp;$A$13&amp;"*")&gt;0,1,0))</f>
        <v/>
      </c>
      <c r="X75">
        <f>IF($P75="",0,IF(COUNTIFS(업무일지!$F$5:$F$1004,$P75,업무일지!$B$5:$B$1004,"&gt;="&amp;DATE($B$3,1,1),업무일지!$B$5:$B$1004,"&lt;"&amp;DATE($B$3+1,1,1),업무일지!$AA$5:$AA$1004,"*"&amp;$A$14&amp;"*")&gt;0,1,0))</f>
        <v/>
      </c>
      <c r="Y75">
        <f>IF($P75="",0,IF(COUNTIFS(업무일지!$F$5:$F$1004,$P75,업무일지!$B$5:$B$1004,"&gt;="&amp;DATE($B$3,1,1),업무일지!$B$5:$B$1004,"&lt;"&amp;DATE($B$3+1,1,1),업무일지!$AA$5:$AA$1004,"*"&amp;$A$15&amp;"*")&gt;0,1,0))</f>
        <v/>
      </c>
      <c r="Z75">
        <f>IF($P75="",0,IF(COUNTIFS(업무일지!$F$5:$F$1004,$P75,업무일지!$B$5:$B$1004,"&gt;="&amp;DATE($B$3,1,1),업무일지!$B$5:$B$1004,"&lt;"&amp;DATE($B$3+1,1,1),업무일지!$AA$5:$AA$1004,"*"&amp;$A$16&amp;"*")&gt;0,1,0))</f>
        <v/>
      </c>
      <c r="AA75">
        <f>IF($P75="",0,IF(COUNTIFS(업무일지!$F$5:$F$1004,$P75,업무일지!$B$5:$B$1004,"&gt;="&amp;DATE($B$3,1,1),업무일지!$B$5:$B$1004,"&lt;"&amp;DATE($B$3+1,1,1),업무일지!$AA$5:$AA$1004,"*"&amp;$A$17&amp;"*")&gt;0,1,0))</f>
        <v/>
      </c>
      <c r="AB75">
        <f>IF($P75="",0,IF(COUNTIFS(업무일지!$F$5:$F$1004,$P75,업무일지!$B$5:$B$1004,"&gt;="&amp;DATE($B$3,1,1),업무일지!$B$5:$B$1004,"&lt;"&amp;DATE($B$3+1,1,1),업무일지!$AA$5:$AA$1004,"*"&amp;$A$18&amp;"*")&gt;0,1,0))</f>
        <v/>
      </c>
      <c r="AC75">
        <f>IF($P75="",0,IF(COUNTIFS(업무일지!$F$5:$F$1004,$P75,업무일지!$B$5:$B$1004,"&gt;="&amp;DATE($B$3,1,1),업무일지!$B$5:$B$1004,"&lt;"&amp;DATE($B$3+1,1,1),업무일지!$AA$5:$AA$1004,"*"&amp;$A$19&amp;"*")&gt;0,1,0))</f>
        <v/>
      </c>
      <c r="AD75">
        <f>IF($P75="",0,IF(COUNTIFS(업무일지!$F$5:$F$1004,$P75,업무일지!$B$5:$B$1004,"&gt;="&amp;DATE($B$3,1,1),업무일지!$B$5:$B$1004,"&lt;"&amp;DATE($B$3+1,1,1),업무일지!$AA$5:$AA$1004,"*"&amp;$A$20&amp;"*")&gt;0,1,0))</f>
        <v/>
      </c>
      <c r="AE75">
        <f>IF($P75="",0,IF(COUNTIFS(업무일지!$F$5:$F$1004,$P75,업무일지!$B$5:$B$1004,"&gt;="&amp;DATE($B$3,1,1),업무일지!$B$5:$B$1004,"&lt;"&amp;DATE($B$3+1,1,1),업무일지!$AA$5:$AA$1004,"*"&amp;$A$21&amp;"*")&gt;0,1,0))</f>
        <v/>
      </c>
      <c r="AF75">
        <f>IF($P75="",0,IF(COUNTIFS(업무일지!$F$5:$F$1004,$P75,업무일지!$B$5:$B$1004,"&gt;="&amp;DATE($B$3,1,1),업무일지!$B$5:$B$1004,"&lt;"&amp;DATE($B$3+1,1,1),업무일지!$AA$5:$AA$1004,"*"&amp;$A$22&amp;"*")&gt;0,1,0))</f>
        <v/>
      </c>
      <c r="AG75">
        <f>IF($P75="",0,IF(COUNTIFS(업무일지!$F$5:$F$1004,$P75,업무일지!$B$5:$B$1004,"&gt;="&amp;DATE($B$3,1,1),업무일지!$B$5:$B$1004,"&lt;"&amp;DATE($B$3+1,1,1),업무일지!$AA$5:$AA$1004,"*"&amp;$A$23&amp;"*")&gt;0,1,0))</f>
        <v/>
      </c>
      <c r="AH75">
        <f>IF($P75="",0,IF(COUNTIFS(업무일지!$F$5:$F$1004,$P75,업무일지!$B$5:$B$1004,"&gt;="&amp;DATE($B$3,1,1),업무일지!$B$5:$B$1004,"&lt;"&amp;DATE($B$3+1,1,1),업무일지!$AA$5:$AA$1004,"*"&amp;$A$24&amp;"*")&gt;0,1,0))</f>
        <v/>
      </c>
      <c r="AI75">
        <f>IF($P75="",0,IF(COUNTIFS(업무일지!$F$5:$F$1004,$P75,업무일지!$B$5:$B$1004,"&gt;="&amp;DATE($B$3,1,1),업무일지!$B$5:$B$1004,"&lt;"&amp;DATE($B$3+1,1,1),업무일지!$AA$5:$AA$1004,"*"&amp;$A$25&amp;"*")&gt;0,1,0))</f>
        <v/>
      </c>
      <c r="AJ75">
        <f>IF($P75="",0,IF(COUNTIFS(업무일지!$F$5:$F$1004,$P75,업무일지!$B$5:$B$1004,"&gt;="&amp;DATE($B$3,1,1),업무일지!$B$5:$B$1004,"&lt;"&amp;DATE($B$3+1,1,1),업무일지!$AA$5:$AA$1004,"*"&amp;$A$26&amp;"*")&gt;0,1,0))</f>
        <v/>
      </c>
    </row>
    <row r="76">
      <c r="P76">
        <f>IF(사건마스터!$A21="","",사건마스터!$A21)</f>
        <v/>
      </c>
      <c r="Q76">
        <f>IF($P76="",0,IF(COUNTIFS(업무일지!$F$5:$F$1004,$P76,업무일지!$B$5:$B$1004,"&gt;="&amp;DATE($B$3,1,1),업무일지!$B$5:$B$1004,"&lt;"&amp;DATE($B$3+1,1,1),업무일지!$AA$5:$AA$1004,"*"&amp;$A$7&amp;"*")&gt;0,1,0))</f>
        <v/>
      </c>
      <c r="R76">
        <f>IF($P76="",0,IF(COUNTIFS(업무일지!$F$5:$F$1004,$P76,업무일지!$B$5:$B$1004,"&gt;="&amp;DATE($B$3,1,1),업무일지!$B$5:$B$1004,"&lt;"&amp;DATE($B$3+1,1,1),업무일지!$AA$5:$AA$1004,"*"&amp;$A$8&amp;"*")&gt;0,1,0))</f>
        <v/>
      </c>
      <c r="S76">
        <f>IF($P76="",0,IF(COUNTIFS(업무일지!$F$5:$F$1004,$P76,업무일지!$B$5:$B$1004,"&gt;="&amp;DATE($B$3,1,1),업무일지!$B$5:$B$1004,"&lt;"&amp;DATE($B$3+1,1,1),업무일지!$AA$5:$AA$1004,"*"&amp;$A$9&amp;"*")&gt;0,1,0))</f>
        <v/>
      </c>
      <c r="T76">
        <f>IF($P76="",0,IF(COUNTIFS(업무일지!$F$5:$F$1004,$P76,업무일지!$B$5:$B$1004,"&gt;="&amp;DATE($B$3,1,1),업무일지!$B$5:$B$1004,"&lt;"&amp;DATE($B$3+1,1,1),업무일지!$AA$5:$AA$1004,"*"&amp;$A$10&amp;"*")&gt;0,1,0))</f>
        <v/>
      </c>
      <c r="U76">
        <f>IF($P76="",0,IF(COUNTIFS(업무일지!$F$5:$F$1004,$P76,업무일지!$B$5:$B$1004,"&gt;="&amp;DATE($B$3,1,1),업무일지!$B$5:$B$1004,"&lt;"&amp;DATE($B$3+1,1,1),업무일지!$AA$5:$AA$1004,"*"&amp;$A$11&amp;"*")&gt;0,1,0))</f>
        <v/>
      </c>
      <c r="V76">
        <f>IF($P76="",0,IF(COUNTIFS(업무일지!$F$5:$F$1004,$P76,업무일지!$B$5:$B$1004,"&gt;="&amp;DATE($B$3,1,1),업무일지!$B$5:$B$1004,"&lt;"&amp;DATE($B$3+1,1,1),업무일지!$AA$5:$AA$1004,"*"&amp;$A$12&amp;"*")&gt;0,1,0))</f>
        <v/>
      </c>
      <c r="W76">
        <f>IF($P76="",0,IF(COUNTIFS(업무일지!$F$5:$F$1004,$P76,업무일지!$B$5:$B$1004,"&gt;="&amp;DATE($B$3,1,1),업무일지!$B$5:$B$1004,"&lt;"&amp;DATE($B$3+1,1,1),업무일지!$AA$5:$AA$1004,"*"&amp;$A$13&amp;"*")&gt;0,1,0))</f>
        <v/>
      </c>
      <c r="X76">
        <f>IF($P76="",0,IF(COUNTIFS(업무일지!$F$5:$F$1004,$P76,업무일지!$B$5:$B$1004,"&gt;="&amp;DATE($B$3,1,1),업무일지!$B$5:$B$1004,"&lt;"&amp;DATE($B$3+1,1,1),업무일지!$AA$5:$AA$1004,"*"&amp;$A$14&amp;"*")&gt;0,1,0))</f>
        <v/>
      </c>
      <c r="Y76">
        <f>IF($P76="",0,IF(COUNTIFS(업무일지!$F$5:$F$1004,$P76,업무일지!$B$5:$B$1004,"&gt;="&amp;DATE($B$3,1,1),업무일지!$B$5:$B$1004,"&lt;"&amp;DATE($B$3+1,1,1),업무일지!$AA$5:$AA$1004,"*"&amp;$A$15&amp;"*")&gt;0,1,0))</f>
        <v/>
      </c>
      <c r="Z76">
        <f>IF($P76="",0,IF(COUNTIFS(업무일지!$F$5:$F$1004,$P76,업무일지!$B$5:$B$1004,"&gt;="&amp;DATE($B$3,1,1),업무일지!$B$5:$B$1004,"&lt;"&amp;DATE($B$3+1,1,1),업무일지!$AA$5:$AA$1004,"*"&amp;$A$16&amp;"*")&gt;0,1,0))</f>
        <v/>
      </c>
      <c r="AA76">
        <f>IF($P76="",0,IF(COUNTIFS(업무일지!$F$5:$F$1004,$P76,업무일지!$B$5:$B$1004,"&gt;="&amp;DATE($B$3,1,1),업무일지!$B$5:$B$1004,"&lt;"&amp;DATE($B$3+1,1,1),업무일지!$AA$5:$AA$1004,"*"&amp;$A$17&amp;"*")&gt;0,1,0))</f>
        <v/>
      </c>
      <c r="AB76">
        <f>IF($P76="",0,IF(COUNTIFS(업무일지!$F$5:$F$1004,$P76,업무일지!$B$5:$B$1004,"&gt;="&amp;DATE($B$3,1,1),업무일지!$B$5:$B$1004,"&lt;"&amp;DATE($B$3+1,1,1),업무일지!$AA$5:$AA$1004,"*"&amp;$A$18&amp;"*")&gt;0,1,0))</f>
        <v/>
      </c>
      <c r="AC76">
        <f>IF($P76="",0,IF(COUNTIFS(업무일지!$F$5:$F$1004,$P76,업무일지!$B$5:$B$1004,"&gt;="&amp;DATE($B$3,1,1),업무일지!$B$5:$B$1004,"&lt;"&amp;DATE($B$3+1,1,1),업무일지!$AA$5:$AA$1004,"*"&amp;$A$19&amp;"*")&gt;0,1,0))</f>
        <v/>
      </c>
      <c r="AD76">
        <f>IF($P76="",0,IF(COUNTIFS(업무일지!$F$5:$F$1004,$P76,업무일지!$B$5:$B$1004,"&gt;="&amp;DATE($B$3,1,1),업무일지!$B$5:$B$1004,"&lt;"&amp;DATE($B$3+1,1,1),업무일지!$AA$5:$AA$1004,"*"&amp;$A$20&amp;"*")&gt;0,1,0))</f>
        <v/>
      </c>
      <c r="AE76">
        <f>IF($P76="",0,IF(COUNTIFS(업무일지!$F$5:$F$1004,$P76,업무일지!$B$5:$B$1004,"&gt;="&amp;DATE($B$3,1,1),업무일지!$B$5:$B$1004,"&lt;"&amp;DATE($B$3+1,1,1),업무일지!$AA$5:$AA$1004,"*"&amp;$A$21&amp;"*")&gt;0,1,0))</f>
        <v/>
      </c>
      <c r="AF76">
        <f>IF($P76="",0,IF(COUNTIFS(업무일지!$F$5:$F$1004,$P76,업무일지!$B$5:$B$1004,"&gt;="&amp;DATE($B$3,1,1),업무일지!$B$5:$B$1004,"&lt;"&amp;DATE($B$3+1,1,1),업무일지!$AA$5:$AA$1004,"*"&amp;$A$22&amp;"*")&gt;0,1,0))</f>
        <v/>
      </c>
      <c r="AG76">
        <f>IF($P76="",0,IF(COUNTIFS(업무일지!$F$5:$F$1004,$P76,업무일지!$B$5:$B$1004,"&gt;="&amp;DATE($B$3,1,1),업무일지!$B$5:$B$1004,"&lt;"&amp;DATE($B$3+1,1,1),업무일지!$AA$5:$AA$1004,"*"&amp;$A$23&amp;"*")&gt;0,1,0))</f>
        <v/>
      </c>
      <c r="AH76">
        <f>IF($P76="",0,IF(COUNTIFS(업무일지!$F$5:$F$1004,$P76,업무일지!$B$5:$B$1004,"&gt;="&amp;DATE($B$3,1,1),업무일지!$B$5:$B$1004,"&lt;"&amp;DATE($B$3+1,1,1),업무일지!$AA$5:$AA$1004,"*"&amp;$A$24&amp;"*")&gt;0,1,0))</f>
        <v/>
      </c>
      <c r="AI76">
        <f>IF($P76="",0,IF(COUNTIFS(업무일지!$F$5:$F$1004,$P76,업무일지!$B$5:$B$1004,"&gt;="&amp;DATE($B$3,1,1),업무일지!$B$5:$B$1004,"&lt;"&amp;DATE($B$3+1,1,1),업무일지!$AA$5:$AA$1004,"*"&amp;$A$25&amp;"*")&gt;0,1,0))</f>
        <v/>
      </c>
      <c r="AJ76">
        <f>IF($P76="",0,IF(COUNTIFS(업무일지!$F$5:$F$1004,$P76,업무일지!$B$5:$B$1004,"&gt;="&amp;DATE($B$3,1,1),업무일지!$B$5:$B$1004,"&lt;"&amp;DATE($B$3+1,1,1),업무일지!$AA$5:$AA$1004,"*"&amp;$A$26&amp;"*")&gt;0,1,0))</f>
        <v/>
      </c>
    </row>
    <row r="77">
      <c r="P77">
        <f>IF(사건마스터!$A22="","",사건마스터!$A22)</f>
        <v/>
      </c>
      <c r="Q77">
        <f>IF($P77="",0,IF(COUNTIFS(업무일지!$F$5:$F$1004,$P77,업무일지!$B$5:$B$1004,"&gt;="&amp;DATE($B$3,1,1),업무일지!$B$5:$B$1004,"&lt;"&amp;DATE($B$3+1,1,1),업무일지!$AA$5:$AA$1004,"*"&amp;$A$7&amp;"*")&gt;0,1,0))</f>
        <v/>
      </c>
      <c r="R77">
        <f>IF($P77="",0,IF(COUNTIFS(업무일지!$F$5:$F$1004,$P77,업무일지!$B$5:$B$1004,"&gt;="&amp;DATE($B$3,1,1),업무일지!$B$5:$B$1004,"&lt;"&amp;DATE($B$3+1,1,1),업무일지!$AA$5:$AA$1004,"*"&amp;$A$8&amp;"*")&gt;0,1,0))</f>
        <v/>
      </c>
      <c r="S77">
        <f>IF($P77="",0,IF(COUNTIFS(업무일지!$F$5:$F$1004,$P77,업무일지!$B$5:$B$1004,"&gt;="&amp;DATE($B$3,1,1),업무일지!$B$5:$B$1004,"&lt;"&amp;DATE($B$3+1,1,1),업무일지!$AA$5:$AA$1004,"*"&amp;$A$9&amp;"*")&gt;0,1,0))</f>
        <v/>
      </c>
      <c r="T77">
        <f>IF($P77="",0,IF(COUNTIFS(업무일지!$F$5:$F$1004,$P77,업무일지!$B$5:$B$1004,"&gt;="&amp;DATE($B$3,1,1),업무일지!$B$5:$B$1004,"&lt;"&amp;DATE($B$3+1,1,1),업무일지!$AA$5:$AA$1004,"*"&amp;$A$10&amp;"*")&gt;0,1,0))</f>
        <v/>
      </c>
      <c r="U77">
        <f>IF($P77="",0,IF(COUNTIFS(업무일지!$F$5:$F$1004,$P77,업무일지!$B$5:$B$1004,"&gt;="&amp;DATE($B$3,1,1),업무일지!$B$5:$B$1004,"&lt;"&amp;DATE($B$3+1,1,1),업무일지!$AA$5:$AA$1004,"*"&amp;$A$11&amp;"*")&gt;0,1,0))</f>
        <v/>
      </c>
      <c r="V77">
        <f>IF($P77="",0,IF(COUNTIFS(업무일지!$F$5:$F$1004,$P77,업무일지!$B$5:$B$1004,"&gt;="&amp;DATE($B$3,1,1),업무일지!$B$5:$B$1004,"&lt;"&amp;DATE($B$3+1,1,1),업무일지!$AA$5:$AA$1004,"*"&amp;$A$12&amp;"*")&gt;0,1,0))</f>
        <v/>
      </c>
      <c r="W77">
        <f>IF($P77="",0,IF(COUNTIFS(업무일지!$F$5:$F$1004,$P77,업무일지!$B$5:$B$1004,"&gt;="&amp;DATE($B$3,1,1),업무일지!$B$5:$B$1004,"&lt;"&amp;DATE($B$3+1,1,1),업무일지!$AA$5:$AA$1004,"*"&amp;$A$13&amp;"*")&gt;0,1,0))</f>
        <v/>
      </c>
      <c r="X77">
        <f>IF($P77="",0,IF(COUNTIFS(업무일지!$F$5:$F$1004,$P77,업무일지!$B$5:$B$1004,"&gt;="&amp;DATE($B$3,1,1),업무일지!$B$5:$B$1004,"&lt;"&amp;DATE($B$3+1,1,1),업무일지!$AA$5:$AA$1004,"*"&amp;$A$14&amp;"*")&gt;0,1,0))</f>
        <v/>
      </c>
      <c r="Y77">
        <f>IF($P77="",0,IF(COUNTIFS(업무일지!$F$5:$F$1004,$P77,업무일지!$B$5:$B$1004,"&gt;="&amp;DATE($B$3,1,1),업무일지!$B$5:$B$1004,"&lt;"&amp;DATE($B$3+1,1,1),업무일지!$AA$5:$AA$1004,"*"&amp;$A$15&amp;"*")&gt;0,1,0))</f>
        <v/>
      </c>
      <c r="Z77">
        <f>IF($P77="",0,IF(COUNTIFS(업무일지!$F$5:$F$1004,$P77,업무일지!$B$5:$B$1004,"&gt;="&amp;DATE($B$3,1,1),업무일지!$B$5:$B$1004,"&lt;"&amp;DATE($B$3+1,1,1),업무일지!$AA$5:$AA$1004,"*"&amp;$A$16&amp;"*")&gt;0,1,0))</f>
        <v/>
      </c>
      <c r="AA77">
        <f>IF($P77="",0,IF(COUNTIFS(업무일지!$F$5:$F$1004,$P77,업무일지!$B$5:$B$1004,"&gt;="&amp;DATE($B$3,1,1),업무일지!$B$5:$B$1004,"&lt;"&amp;DATE($B$3+1,1,1),업무일지!$AA$5:$AA$1004,"*"&amp;$A$17&amp;"*")&gt;0,1,0))</f>
        <v/>
      </c>
      <c r="AB77">
        <f>IF($P77="",0,IF(COUNTIFS(업무일지!$F$5:$F$1004,$P77,업무일지!$B$5:$B$1004,"&gt;="&amp;DATE($B$3,1,1),업무일지!$B$5:$B$1004,"&lt;"&amp;DATE($B$3+1,1,1),업무일지!$AA$5:$AA$1004,"*"&amp;$A$18&amp;"*")&gt;0,1,0))</f>
        <v/>
      </c>
      <c r="AC77">
        <f>IF($P77="",0,IF(COUNTIFS(업무일지!$F$5:$F$1004,$P77,업무일지!$B$5:$B$1004,"&gt;="&amp;DATE($B$3,1,1),업무일지!$B$5:$B$1004,"&lt;"&amp;DATE($B$3+1,1,1),업무일지!$AA$5:$AA$1004,"*"&amp;$A$19&amp;"*")&gt;0,1,0))</f>
        <v/>
      </c>
      <c r="AD77">
        <f>IF($P77="",0,IF(COUNTIFS(업무일지!$F$5:$F$1004,$P77,업무일지!$B$5:$B$1004,"&gt;="&amp;DATE($B$3,1,1),업무일지!$B$5:$B$1004,"&lt;"&amp;DATE($B$3+1,1,1),업무일지!$AA$5:$AA$1004,"*"&amp;$A$20&amp;"*")&gt;0,1,0))</f>
        <v/>
      </c>
      <c r="AE77">
        <f>IF($P77="",0,IF(COUNTIFS(업무일지!$F$5:$F$1004,$P77,업무일지!$B$5:$B$1004,"&gt;="&amp;DATE($B$3,1,1),업무일지!$B$5:$B$1004,"&lt;"&amp;DATE($B$3+1,1,1),업무일지!$AA$5:$AA$1004,"*"&amp;$A$21&amp;"*")&gt;0,1,0))</f>
        <v/>
      </c>
      <c r="AF77">
        <f>IF($P77="",0,IF(COUNTIFS(업무일지!$F$5:$F$1004,$P77,업무일지!$B$5:$B$1004,"&gt;="&amp;DATE($B$3,1,1),업무일지!$B$5:$B$1004,"&lt;"&amp;DATE($B$3+1,1,1),업무일지!$AA$5:$AA$1004,"*"&amp;$A$22&amp;"*")&gt;0,1,0))</f>
        <v/>
      </c>
      <c r="AG77">
        <f>IF($P77="",0,IF(COUNTIFS(업무일지!$F$5:$F$1004,$P77,업무일지!$B$5:$B$1004,"&gt;="&amp;DATE($B$3,1,1),업무일지!$B$5:$B$1004,"&lt;"&amp;DATE($B$3+1,1,1),업무일지!$AA$5:$AA$1004,"*"&amp;$A$23&amp;"*")&gt;0,1,0))</f>
        <v/>
      </c>
      <c r="AH77">
        <f>IF($P77="",0,IF(COUNTIFS(업무일지!$F$5:$F$1004,$P77,업무일지!$B$5:$B$1004,"&gt;="&amp;DATE($B$3,1,1),업무일지!$B$5:$B$1004,"&lt;"&amp;DATE($B$3+1,1,1),업무일지!$AA$5:$AA$1004,"*"&amp;$A$24&amp;"*")&gt;0,1,0))</f>
        <v/>
      </c>
      <c r="AI77">
        <f>IF($P77="",0,IF(COUNTIFS(업무일지!$F$5:$F$1004,$P77,업무일지!$B$5:$B$1004,"&gt;="&amp;DATE($B$3,1,1),업무일지!$B$5:$B$1004,"&lt;"&amp;DATE($B$3+1,1,1),업무일지!$AA$5:$AA$1004,"*"&amp;$A$25&amp;"*")&gt;0,1,0))</f>
        <v/>
      </c>
      <c r="AJ77">
        <f>IF($P77="",0,IF(COUNTIFS(업무일지!$F$5:$F$1004,$P77,업무일지!$B$5:$B$1004,"&gt;="&amp;DATE($B$3,1,1),업무일지!$B$5:$B$1004,"&lt;"&amp;DATE($B$3+1,1,1),업무일지!$AA$5:$AA$1004,"*"&amp;$A$26&amp;"*")&gt;0,1,0))</f>
        <v/>
      </c>
    </row>
    <row r="78">
      <c r="P78">
        <f>IF(사건마스터!$A23="","",사건마스터!$A23)</f>
        <v/>
      </c>
      <c r="Q78">
        <f>IF($P78="",0,IF(COUNTIFS(업무일지!$F$5:$F$1004,$P78,업무일지!$B$5:$B$1004,"&gt;="&amp;DATE($B$3,1,1),업무일지!$B$5:$B$1004,"&lt;"&amp;DATE($B$3+1,1,1),업무일지!$AA$5:$AA$1004,"*"&amp;$A$7&amp;"*")&gt;0,1,0))</f>
        <v/>
      </c>
      <c r="R78">
        <f>IF($P78="",0,IF(COUNTIFS(업무일지!$F$5:$F$1004,$P78,업무일지!$B$5:$B$1004,"&gt;="&amp;DATE($B$3,1,1),업무일지!$B$5:$B$1004,"&lt;"&amp;DATE($B$3+1,1,1),업무일지!$AA$5:$AA$1004,"*"&amp;$A$8&amp;"*")&gt;0,1,0))</f>
        <v/>
      </c>
      <c r="S78">
        <f>IF($P78="",0,IF(COUNTIFS(업무일지!$F$5:$F$1004,$P78,업무일지!$B$5:$B$1004,"&gt;="&amp;DATE($B$3,1,1),업무일지!$B$5:$B$1004,"&lt;"&amp;DATE($B$3+1,1,1),업무일지!$AA$5:$AA$1004,"*"&amp;$A$9&amp;"*")&gt;0,1,0))</f>
        <v/>
      </c>
      <c r="T78">
        <f>IF($P78="",0,IF(COUNTIFS(업무일지!$F$5:$F$1004,$P78,업무일지!$B$5:$B$1004,"&gt;="&amp;DATE($B$3,1,1),업무일지!$B$5:$B$1004,"&lt;"&amp;DATE($B$3+1,1,1),업무일지!$AA$5:$AA$1004,"*"&amp;$A$10&amp;"*")&gt;0,1,0))</f>
        <v/>
      </c>
      <c r="U78">
        <f>IF($P78="",0,IF(COUNTIFS(업무일지!$F$5:$F$1004,$P78,업무일지!$B$5:$B$1004,"&gt;="&amp;DATE($B$3,1,1),업무일지!$B$5:$B$1004,"&lt;"&amp;DATE($B$3+1,1,1),업무일지!$AA$5:$AA$1004,"*"&amp;$A$11&amp;"*")&gt;0,1,0))</f>
        <v/>
      </c>
      <c r="V78">
        <f>IF($P78="",0,IF(COUNTIFS(업무일지!$F$5:$F$1004,$P78,업무일지!$B$5:$B$1004,"&gt;="&amp;DATE($B$3,1,1),업무일지!$B$5:$B$1004,"&lt;"&amp;DATE($B$3+1,1,1),업무일지!$AA$5:$AA$1004,"*"&amp;$A$12&amp;"*")&gt;0,1,0))</f>
        <v/>
      </c>
      <c r="W78">
        <f>IF($P78="",0,IF(COUNTIFS(업무일지!$F$5:$F$1004,$P78,업무일지!$B$5:$B$1004,"&gt;="&amp;DATE($B$3,1,1),업무일지!$B$5:$B$1004,"&lt;"&amp;DATE($B$3+1,1,1),업무일지!$AA$5:$AA$1004,"*"&amp;$A$13&amp;"*")&gt;0,1,0))</f>
        <v/>
      </c>
      <c r="X78">
        <f>IF($P78="",0,IF(COUNTIFS(업무일지!$F$5:$F$1004,$P78,업무일지!$B$5:$B$1004,"&gt;="&amp;DATE($B$3,1,1),업무일지!$B$5:$B$1004,"&lt;"&amp;DATE($B$3+1,1,1),업무일지!$AA$5:$AA$1004,"*"&amp;$A$14&amp;"*")&gt;0,1,0))</f>
        <v/>
      </c>
      <c r="Y78">
        <f>IF($P78="",0,IF(COUNTIFS(업무일지!$F$5:$F$1004,$P78,업무일지!$B$5:$B$1004,"&gt;="&amp;DATE($B$3,1,1),업무일지!$B$5:$B$1004,"&lt;"&amp;DATE($B$3+1,1,1),업무일지!$AA$5:$AA$1004,"*"&amp;$A$15&amp;"*")&gt;0,1,0))</f>
        <v/>
      </c>
      <c r="Z78">
        <f>IF($P78="",0,IF(COUNTIFS(업무일지!$F$5:$F$1004,$P78,업무일지!$B$5:$B$1004,"&gt;="&amp;DATE($B$3,1,1),업무일지!$B$5:$B$1004,"&lt;"&amp;DATE($B$3+1,1,1),업무일지!$AA$5:$AA$1004,"*"&amp;$A$16&amp;"*")&gt;0,1,0))</f>
        <v/>
      </c>
      <c r="AA78">
        <f>IF($P78="",0,IF(COUNTIFS(업무일지!$F$5:$F$1004,$P78,업무일지!$B$5:$B$1004,"&gt;="&amp;DATE($B$3,1,1),업무일지!$B$5:$B$1004,"&lt;"&amp;DATE($B$3+1,1,1),업무일지!$AA$5:$AA$1004,"*"&amp;$A$17&amp;"*")&gt;0,1,0))</f>
        <v/>
      </c>
      <c r="AB78">
        <f>IF($P78="",0,IF(COUNTIFS(업무일지!$F$5:$F$1004,$P78,업무일지!$B$5:$B$1004,"&gt;="&amp;DATE($B$3,1,1),업무일지!$B$5:$B$1004,"&lt;"&amp;DATE($B$3+1,1,1),업무일지!$AA$5:$AA$1004,"*"&amp;$A$18&amp;"*")&gt;0,1,0))</f>
        <v/>
      </c>
      <c r="AC78">
        <f>IF($P78="",0,IF(COUNTIFS(업무일지!$F$5:$F$1004,$P78,업무일지!$B$5:$B$1004,"&gt;="&amp;DATE($B$3,1,1),업무일지!$B$5:$B$1004,"&lt;"&amp;DATE($B$3+1,1,1),업무일지!$AA$5:$AA$1004,"*"&amp;$A$19&amp;"*")&gt;0,1,0))</f>
        <v/>
      </c>
      <c r="AD78">
        <f>IF($P78="",0,IF(COUNTIFS(업무일지!$F$5:$F$1004,$P78,업무일지!$B$5:$B$1004,"&gt;="&amp;DATE($B$3,1,1),업무일지!$B$5:$B$1004,"&lt;"&amp;DATE($B$3+1,1,1),업무일지!$AA$5:$AA$1004,"*"&amp;$A$20&amp;"*")&gt;0,1,0))</f>
        <v/>
      </c>
      <c r="AE78">
        <f>IF($P78="",0,IF(COUNTIFS(업무일지!$F$5:$F$1004,$P78,업무일지!$B$5:$B$1004,"&gt;="&amp;DATE($B$3,1,1),업무일지!$B$5:$B$1004,"&lt;"&amp;DATE($B$3+1,1,1),업무일지!$AA$5:$AA$1004,"*"&amp;$A$21&amp;"*")&gt;0,1,0))</f>
        <v/>
      </c>
      <c r="AF78">
        <f>IF($P78="",0,IF(COUNTIFS(업무일지!$F$5:$F$1004,$P78,업무일지!$B$5:$B$1004,"&gt;="&amp;DATE($B$3,1,1),업무일지!$B$5:$B$1004,"&lt;"&amp;DATE($B$3+1,1,1),업무일지!$AA$5:$AA$1004,"*"&amp;$A$22&amp;"*")&gt;0,1,0))</f>
        <v/>
      </c>
      <c r="AG78">
        <f>IF($P78="",0,IF(COUNTIFS(업무일지!$F$5:$F$1004,$P78,업무일지!$B$5:$B$1004,"&gt;="&amp;DATE($B$3,1,1),업무일지!$B$5:$B$1004,"&lt;"&amp;DATE($B$3+1,1,1),업무일지!$AA$5:$AA$1004,"*"&amp;$A$23&amp;"*")&gt;0,1,0))</f>
        <v/>
      </c>
      <c r="AH78">
        <f>IF($P78="",0,IF(COUNTIFS(업무일지!$F$5:$F$1004,$P78,업무일지!$B$5:$B$1004,"&gt;="&amp;DATE($B$3,1,1),업무일지!$B$5:$B$1004,"&lt;"&amp;DATE($B$3+1,1,1),업무일지!$AA$5:$AA$1004,"*"&amp;$A$24&amp;"*")&gt;0,1,0))</f>
        <v/>
      </c>
      <c r="AI78">
        <f>IF($P78="",0,IF(COUNTIFS(업무일지!$F$5:$F$1004,$P78,업무일지!$B$5:$B$1004,"&gt;="&amp;DATE($B$3,1,1),업무일지!$B$5:$B$1004,"&lt;"&amp;DATE($B$3+1,1,1),업무일지!$AA$5:$AA$1004,"*"&amp;$A$25&amp;"*")&gt;0,1,0))</f>
        <v/>
      </c>
      <c r="AJ78">
        <f>IF($P78="",0,IF(COUNTIFS(업무일지!$F$5:$F$1004,$P78,업무일지!$B$5:$B$1004,"&gt;="&amp;DATE($B$3,1,1),업무일지!$B$5:$B$1004,"&lt;"&amp;DATE($B$3+1,1,1),업무일지!$AA$5:$AA$1004,"*"&amp;$A$26&amp;"*")&gt;0,1,0))</f>
        <v/>
      </c>
    </row>
    <row r="79">
      <c r="P79">
        <f>IF(사건마스터!$A24="","",사건마스터!$A24)</f>
        <v/>
      </c>
      <c r="Q79">
        <f>IF($P79="",0,IF(COUNTIFS(업무일지!$F$5:$F$1004,$P79,업무일지!$B$5:$B$1004,"&gt;="&amp;DATE($B$3,1,1),업무일지!$B$5:$B$1004,"&lt;"&amp;DATE($B$3+1,1,1),업무일지!$AA$5:$AA$1004,"*"&amp;$A$7&amp;"*")&gt;0,1,0))</f>
        <v/>
      </c>
      <c r="R79">
        <f>IF($P79="",0,IF(COUNTIFS(업무일지!$F$5:$F$1004,$P79,업무일지!$B$5:$B$1004,"&gt;="&amp;DATE($B$3,1,1),업무일지!$B$5:$B$1004,"&lt;"&amp;DATE($B$3+1,1,1),업무일지!$AA$5:$AA$1004,"*"&amp;$A$8&amp;"*")&gt;0,1,0))</f>
        <v/>
      </c>
      <c r="S79">
        <f>IF($P79="",0,IF(COUNTIFS(업무일지!$F$5:$F$1004,$P79,업무일지!$B$5:$B$1004,"&gt;="&amp;DATE($B$3,1,1),업무일지!$B$5:$B$1004,"&lt;"&amp;DATE($B$3+1,1,1),업무일지!$AA$5:$AA$1004,"*"&amp;$A$9&amp;"*")&gt;0,1,0))</f>
        <v/>
      </c>
      <c r="T79">
        <f>IF($P79="",0,IF(COUNTIFS(업무일지!$F$5:$F$1004,$P79,업무일지!$B$5:$B$1004,"&gt;="&amp;DATE($B$3,1,1),업무일지!$B$5:$B$1004,"&lt;"&amp;DATE($B$3+1,1,1),업무일지!$AA$5:$AA$1004,"*"&amp;$A$10&amp;"*")&gt;0,1,0))</f>
        <v/>
      </c>
      <c r="U79">
        <f>IF($P79="",0,IF(COUNTIFS(업무일지!$F$5:$F$1004,$P79,업무일지!$B$5:$B$1004,"&gt;="&amp;DATE($B$3,1,1),업무일지!$B$5:$B$1004,"&lt;"&amp;DATE($B$3+1,1,1),업무일지!$AA$5:$AA$1004,"*"&amp;$A$11&amp;"*")&gt;0,1,0))</f>
        <v/>
      </c>
      <c r="V79">
        <f>IF($P79="",0,IF(COUNTIFS(업무일지!$F$5:$F$1004,$P79,업무일지!$B$5:$B$1004,"&gt;="&amp;DATE($B$3,1,1),업무일지!$B$5:$B$1004,"&lt;"&amp;DATE($B$3+1,1,1),업무일지!$AA$5:$AA$1004,"*"&amp;$A$12&amp;"*")&gt;0,1,0))</f>
        <v/>
      </c>
      <c r="W79">
        <f>IF($P79="",0,IF(COUNTIFS(업무일지!$F$5:$F$1004,$P79,업무일지!$B$5:$B$1004,"&gt;="&amp;DATE($B$3,1,1),업무일지!$B$5:$B$1004,"&lt;"&amp;DATE($B$3+1,1,1),업무일지!$AA$5:$AA$1004,"*"&amp;$A$13&amp;"*")&gt;0,1,0))</f>
        <v/>
      </c>
      <c r="X79">
        <f>IF($P79="",0,IF(COUNTIFS(업무일지!$F$5:$F$1004,$P79,업무일지!$B$5:$B$1004,"&gt;="&amp;DATE($B$3,1,1),업무일지!$B$5:$B$1004,"&lt;"&amp;DATE($B$3+1,1,1),업무일지!$AA$5:$AA$1004,"*"&amp;$A$14&amp;"*")&gt;0,1,0))</f>
        <v/>
      </c>
      <c r="Y79">
        <f>IF($P79="",0,IF(COUNTIFS(업무일지!$F$5:$F$1004,$P79,업무일지!$B$5:$B$1004,"&gt;="&amp;DATE($B$3,1,1),업무일지!$B$5:$B$1004,"&lt;"&amp;DATE($B$3+1,1,1),업무일지!$AA$5:$AA$1004,"*"&amp;$A$15&amp;"*")&gt;0,1,0))</f>
        <v/>
      </c>
      <c r="Z79">
        <f>IF($P79="",0,IF(COUNTIFS(업무일지!$F$5:$F$1004,$P79,업무일지!$B$5:$B$1004,"&gt;="&amp;DATE($B$3,1,1),업무일지!$B$5:$B$1004,"&lt;"&amp;DATE($B$3+1,1,1),업무일지!$AA$5:$AA$1004,"*"&amp;$A$16&amp;"*")&gt;0,1,0))</f>
        <v/>
      </c>
      <c r="AA79">
        <f>IF($P79="",0,IF(COUNTIFS(업무일지!$F$5:$F$1004,$P79,업무일지!$B$5:$B$1004,"&gt;="&amp;DATE($B$3,1,1),업무일지!$B$5:$B$1004,"&lt;"&amp;DATE($B$3+1,1,1),업무일지!$AA$5:$AA$1004,"*"&amp;$A$17&amp;"*")&gt;0,1,0))</f>
        <v/>
      </c>
      <c r="AB79">
        <f>IF($P79="",0,IF(COUNTIFS(업무일지!$F$5:$F$1004,$P79,업무일지!$B$5:$B$1004,"&gt;="&amp;DATE($B$3,1,1),업무일지!$B$5:$B$1004,"&lt;"&amp;DATE($B$3+1,1,1),업무일지!$AA$5:$AA$1004,"*"&amp;$A$18&amp;"*")&gt;0,1,0))</f>
        <v/>
      </c>
      <c r="AC79">
        <f>IF($P79="",0,IF(COUNTIFS(업무일지!$F$5:$F$1004,$P79,업무일지!$B$5:$B$1004,"&gt;="&amp;DATE($B$3,1,1),업무일지!$B$5:$B$1004,"&lt;"&amp;DATE($B$3+1,1,1),업무일지!$AA$5:$AA$1004,"*"&amp;$A$19&amp;"*")&gt;0,1,0))</f>
        <v/>
      </c>
      <c r="AD79">
        <f>IF($P79="",0,IF(COUNTIFS(업무일지!$F$5:$F$1004,$P79,업무일지!$B$5:$B$1004,"&gt;="&amp;DATE($B$3,1,1),업무일지!$B$5:$B$1004,"&lt;"&amp;DATE($B$3+1,1,1),업무일지!$AA$5:$AA$1004,"*"&amp;$A$20&amp;"*")&gt;0,1,0))</f>
        <v/>
      </c>
      <c r="AE79">
        <f>IF($P79="",0,IF(COUNTIFS(업무일지!$F$5:$F$1004,$P79,업무일지!$B$5:$B$1004,"&gt;="&amp;DATE($B$3,1,1),업무일지!$B$5:$B$1004,"&lt;"&amp;DATE($B$3+1,1,1),업무일지!$AA$5:$AA$1004,"*"&amp;$A$21&amp;"*")&gt;0,1,0))</f>
        <v/>
      </c>
      <c r="AF79">
        <f>IF($P79="",0,IF(COUNTIFS(업무일지!$F$5:$F$1004,$P79,업무일지!$B$5:$B$1004,"&gt;="&amp;DATE($B$3,1,1),업무일지!$B$5:$B$1004,"&lt;"&amp;DATE($B$3+1,1,1),업무일지!$AA$5:$AA$1004,"*"&amp;$A$22&amp;"*")&gt;0,1,0))</f>
        <v/>
      </c>
      <c r="AG79">
        <f>IF($P79="",0,IF(COUNTIFS(업무일지!$F$5:$F$1004,$P79,업무일지!$B$5:$B$1004,"&gt;="&amp;DATE($B$3,1,1),업무일지!$B$5:$B$1004,"&lt;"&amp;DATE($B$3+1,1,1),업무일지!$AA$5:$AA$1004,"*"&amp;$A$23&amp;"*")&gt;0,1,0))</f>
        <v/>
      </c>
      <c r="AH79">
        <f>IF($P79="",0,IF(COUNTIFS(업무일지!$F$5:$F$1004,$P79,업무일지!$B$5:$B$1004,"&gt;="&amp;DATE($B$3,1,1),업무일지!$B$5:$B$1004,"&lt;"&amp;DATE($B$3+1,1,1),업무일지!$AA$5:$AA$1004,"*"&amp;$A$24&amp;"*")&gt;0,1,0))</f>
        <v/>
      </c>
      <c r="AI79">
        <f>IF($P79="",0,IF(COUNTIFS(업무일지!$F$5:$F$1004,$P79,업무일지!$B$5:$B$1004,"&gt;="&amp;DATE($B$3,1,1),업무일지!$B$5:$B$1004,"&lt;"&amp;DATE($B$3+1,1,1),업무일지!$AA$5:$AA$1004,"*"&amp;$A$25&amp;"*")&gt;0,1,0))</f>
        <v/>
      </c>
      <c r="AJ79">
        <f>IF($P79="",0,IF(COUNTIFS(업무일지!$F$5:$F$1004,$P79,업무일지!$B$5:$B$1004,"&gt;="&amp;DATE($B$3,1,1),업무일지!$B$5:$B$1004,"&lt;"&amp;DATE($B$3+1,1,1),업무일지!$AA$5:$AA$1004,"*"&amp;$A$26&amp;"*")&gt;0,1,0))</f>
        <v/>
      </c>
    </row>
    <row r="80">
      <c r="P80">
        <f>IF(사건마스터!$A25="","",사건마스터!$A25)</f>
        <v/>
      </c>
      <c r="Q80">
        <f>IF($P80="",0,IF(COUNTIFS(업무일지!$F$5:$F$1004,$P80,업무일지!$B$5:$B$1004,"&gt;="&amp;DATE($B$3,1,1),업무일지!$B$5:$B$1004,"&lt;"&amp;DATE($B$3+1,1,1),업무일지!$AA$5:$AA$1004,"*"&amp;$A$7&amp;"*")&gt;0,1,0))</f>
        <v/>
      </c>
      <c r="R80">
        <f>IF($P80="",0,IF(COUNTIFS(업무일지!$F$5:$F$1004,$P80,업무일지!$B$5:$B$1004,"&gt;="&amp;DATE($B$3,1,1),업무일지!$B$5:$B$1004,"&lt;"&amp;DATE($B$3+1,1,1),업무일지!$AA$5:$AA$1004,"*"&amp;$A$8&amp;"*")&gt;0,1,0))</f>
        <v/>
      </c>
      <c r="S80">
        <f>IF($P80="",0,IF(COUNTIFS(업무일지!$F$5:$F$1004,$P80,업무일지!$B$5:$B$1004,"&gt;="&amp;DATE($B$3,1,1),업무일지!$B$5:$B$1004,"&lt;"&amp;DATE($B$3+1,1,1),업무일지!$AA$5:$AA$1004,"*"&amp;$A$9&amp;"*")&gt;0,1,0))</f>
        <v/>
      </c>
      <c r="T80">
        <f>IF($P80="",0,IF(COUNTIFS(업무일지!$F$5:$F$1004,$P80,업무일지!$B$5:$B$1004,"&gt;="&amp;DATE($B$3,1,1),업무일지!$B$5:$B$1004,"&lt;"&amp;DATE($B$3+1,1,1),업무일지!$AA$5:$AA$1004,"*"&amp;$A$10&amp;"*")&gt;0,1,0))</f>
        <v/>
      </c>
      <c r="U80">
        <f>IF($P80="",0,IF(COUNTIFS(업무일지!$F$5:$F$1004,$P80,업무일지!$B$5:$B$1004,"&gt;="&amp;DATE($B$3,1,1),업무일지!$B$5:$B$1004,"&lt;"&amp;DATE($B$3+1,1,1),업무일지!$AA$5:$AA$1004,"*"&amp;$A$11&amp;"*")&gt;0,1,0))</f>
        <v/>
      </c>
      <c r="V80">
        <f>IF($P80="",0,IF(COUNTIFS(업무일지!$F$5:$F$1004,$P80,업무일지!$B$5:$B$1004,"&gt;="&amp;DATE($B$3,1,1),업무일지!$B$5:$B$1004,"&lt;"&amp;DATE($B$3+1,1,1),업무일지!$AA$5:$AA$1004,"*"&amp;$A$12&amp;"*")&gt;0,1,0))</f>
        <v/>
      </c>
      <c r="W80">
        <f>IF($P80="",0,IF(COUNTIFS(업무일지!$F$5:$F$1004,$P80,업무일지!$B$5:$B$1004,"&gt;="&amp;DATE($B$3,1,1),업무일지!$B$5:$B$1004,"&lt;"&amp;DATE($B$3+1,1,1),업무일지!$AA$5:$AA$1004,"*"&amp;$A$13&amp;"*")&gt;0,1,0))</f>
        <v/>
      </c>
      <c r="X80">
        <f>IF($P80="",0,IF(COUNTIFS(업무일지!$F$5:$F$1004,$P80,업무일지!$B$5:$B$1004,"&gt;="&amp;DATE($B$3,1,1),업무일지!$B$5:$B$1004,"&lt;"&amp;DATE($B$3+1,1,1),업무일지!$AA$5:$AA$1004,"*"&amp;$A$14&amp;"*")&gt;0,1,0))</f>
        <v/>
      </c>
      <c r="Y80">
        <f>IF($P80="",0,IF(COUNTIFS(업무일지!$F$5:$F$1004,$P80,업무일지!$B$5:$B$1004,"&gt;="&amp;DATE($B$3,1,1),업무일지!$B$5:$B$1004,"&lt;"&amp;DATE($B$3+1,1,1),업무일지!$AA$5:$AA$1004,"*"&amp;$A$15&amp;"*")&gt;0,1,0))</f>
        <v/>
      </c>
      <c r="Z80">
        <f>IF($P80="",0,IF(COUNTIFS(업무일지!$F$5:$F$1004,$P80,업무일지!$B$5:$B$1004,"&gt;="&amp;DATE($B$3,1,1),업무일지!$B$5:$B$1004,"&lt;"&amp;DATE($B$3+1,1,1),업무일지!$AA$5:$AA$1004,"*"&amp;$A$16&amp;"*")&gt;0,1,0))</f>
        <v/>
      </c>
      <c r="AA80">
        <f>IF($P80="",0,IF(COUNTIFS(업무일지!$F$5:$F$1004,$P80,업무일지!$B$5:$B$1004,"&gt;="&amp;DATE($B$3,1,1),업무일지!$B$5:$B$1004,"&lt;"&amp;DATE($B$3+1,1,1),업무일지!$AA$5:$AA$1004,"*"&amp;$A$17&amp;"*")&gt;0,1,0))</f>
        <v/>
      </c>
      <c r="AB80">
        <f>IF($P80="",0,IF(COUNTIFS(업무일지!$F$5:$F$1004,$P80,업무일지!$B$5:$B$1004,"&gt;="&amp;DATE($B$3,1,1),업무일지!$B$5:$B$1004,"&lt;"&amp;DATE($B$3+1,1,1),업무일지!$AA$5:$AA$1004,"*"&amp;$A$18&amp;"*")&gt;0,1,0))</f>
        <v/>
      </c>
      <c r="AC80">
        <f>IF($P80="",0,IF(COUNTIFS(업무일지!$F$5:$F$1004,$P80,업무일지!$B$5:$B$1004,"&gt;="&amp;DATE($B$3,1,1),업무일지!$B$5:$B$1004,"&lt;"&amp;DATE($B$3+1,1,1),업무일지!$AA$5:$AA$1004,"*"&amp;$A$19&amp;"*")&gt;0,1,0))</f>
        <v/>
      </c>
      <c r="AD80">
        <f>IF($P80="",0,IF(COUNTIFS(업무일지!$F$5:$F$1004,$P80,업무일지!$B$5:$B$1004,"&gt;="&amp;DATE($B$3,1,1),업무일지!$B$5:$B$1004,"&lt;"&amp;DATE($B$3+1,1,1),업무일지!$AA$5:$AA$1004,"*"&amp;$A$20&amp;"*")&gt;0,1,0))</f>
        <v/>
      </c>
      <c r="AE80">
        <f>IF($P80="",0,IF(COUNTIFS(업무일지!$F$5:$F$1004,$P80,업무일지!$B$5:$B$1004,"&gt;="&amp;DATE($B$3,1,1),업무일지!$B$5:$B$1004,"&lt;"&amp;DATE($B$3+1,1,1),업무일지!$AA$5:$AA$1004,"*"&amp;$A$21&amp;"*")&gt;0,1,0))</f>
        <v/>
      </c>
      <c r="AF80">
        <f>IF($P80="",0,IF(COUNTIFS(업무일지!$F$5:$F$1004,$P80,업무일지!$B$5:$B$1004,"&gt;="&amp;DATE($B$3,1,1),업무일지!$B$5:$B$1004,"&lt;"&amp;DATE($B$3+1,1,1),업무일지!$AA$5:$AA$1004,"*"&amp;$A$22&amp;"*")&gt;0,1,0))</f>
        <v/>
      </c>
      <c r="AG80">
        <f>IF($P80="",0,IF(COUNTIFS(업무일지!$F$5:$F$1004,$P80,업무일지!$B$5:$B$1004,"&gt;="&amp;DATE($B$3,1,1),업무일지!$B$5:$B$1004,"&lt;"&amp;DATE($B$3+1,1,1),업무일지!$AA$5:$AA$1004,"*"&amp;$A$23&amp;"*")&gt;0,1,0))</f>
        <v/>
      </c>
      <c r="AH80">
        <f>IF($P80="",0,IF(COUNTIFS(업무일지!$F$5:$F$1004,$P80,업무일지!$B$5:$B$1004,"&gt;="&amp;DATE($B$3,1,1),업무일지!$B$5:$B$1004,"&lt;"&amp;DATE($B$3+1,1,1),업무일지!$AA$5:$AA$1004,"*"&amp;$A$24&amp;"*")&gt;0,1,0))</f>
        <v/>
      </c>
      <c r="AI80">
        <f>IF($P80="",0,IF(COUNTIFS(업무일지!$F$5:$F$1004,$P80,업무일지!$B$5:$B$1004,"&gt;="&amp;DATE($B$3,1,1),업무일지!$B$5:$B$1004,"&lt;"&amp;DATE($B$3+1,1,1),업무일지!$AA$5:$AA$1004,"*"&amp;$A$25&amp;"*")&gt;0,1,0))</f>
        <v/>
      </c>
      <c r="AJ80">
        <f>IF($P80="",0,IF(COUNTIFS(업무일지!$F$5:$F$1004,$P80,업무일지!$B$5:$B$1004,"&gt;="&amp;DATE($B$3,1,1),업무일지!$B$5:$B$1004,"&lt;"&amp;DATE($B$3+1,1,1),업무일지!$AA$5:$AA$1004,"*"&amp;$A$26&amp;"*")&gt;0,1,0))</f>
        <v/>
      </c>
    </row>
    <row r="81">
      <c r="P81">
        <f>IF(사건마스터!$A26="","",사건마스터!$A26)</f>
        <v/>
      </c>
      <c r="Q81">
        <f>IF($P81="",0,IF(COUNTIFS(업무일지!$F$5:$F$1004,$P81,업무일지!$B$5:$B$1004,"&gt;="&amp;DATE($B$3,1,1),업무일지!$B$5:$B$1004,"&lt;"&amp;DATE($B$3+1,1,1),업무일지!$AA$5:$AA$1004,"*"&amp;$A$7&amp;"*")&gt;0,1,0))</f>
        <v/>
      </c>
      <c r="R81">
        <f>IF($P81="",0,IF(COUNTIFS(업무일지!$F$5:$F$1004,$P81,업무일지!$B$5:$B$1004,"&gt;="&amp;DATE($B$3,1,1),업무일지!$B$5:$B$1004,"&lt;"&amp;DATE($B$3+1,1,1),업무일지!$AA$5:$AA$1004,"*"&amp;$A$8&amp;"*")&gt;0,1,0))</f>
        <v/>
      </c>
      <c r="S81">
        <f>IF($P81="",0,IF(COUNTIFS(업무일지!$F$5:$F$1004,$P81,업무일지!$B$5:$B$1004,"&gt;="&amp;DATE($B$3,1,1),업무일지!$B$5:$B$1004,"&lt;"&amp;DATE($B$3+1,1,1),업무일지!$AA$5:$AA$1004,"*"&amp;$A$9&amp;"*")&gt;0,1,0))</f>
        <v/>
      </c>
      <c r="T81">
        <f>IF($P81="",0,IF(COUNTIFS(업무일지!$F$5:$F$1004,$P81,업무일지!$B$5:$B$1004,"&gt;="&amp;DATE($B$3,1,1),업무일지!$B$5:$B$1004,"&lt;"&amp;DATE($B$3+1,1,1),업무일지!$AA$5:$AA$1004,"*"&amp;$A$10&amp;"*")&gt;0,1,0))</f>
        <v/>
      </c>
      <c r="U81">
        <f>IF($P81="",0,IF(COUNTIFS(업무일지!$F$5:$F$1004,$P81,업무일지!$B$5:$B$1004,"&gt;="&amp;DATE($B$3,1,1),업무일지!$B$5:$B$1004,"&lt;"&amp;DATE($B$3+1,1,1),업무일지!$AA$5:$AA$1004,"*"&amp;$A$11&amp;"*")&gt;0,1,0))</f>
        <v/>
      </c>
      <c r="V81">
        <f>IF($P81="",0,IF(COUNTIFS(업무일지!$F$5:$F$1004,$P81,업무일지!$B$5:$B$1004,"&gt;="&amp;DATE($B$3,1,1),업무일지!$B$5:$B$1004,"&lt;"&amp;DATE($B$3+1,1,1),업무일지!$AA$5:$AA$1004,"*"&amp;$A$12&amp;"*")&gt;0,1,0))</f>
        <v/>
      </c>
      <c r="W81">
        <f>IF($P81="",0,IF(COUNTIFS(업무일지!$F$5:$F$1004,$P81,업무일지!$B$5:$B$1004,"&gt;="&amp;DATE($B$3,1,1),업무일지!$B$5:$B$1004,"&lt;"&amp;DATE($B$3+1,1,1),업무일지!$AA$5:$AA$1004,"*"&amp;$A$13&amp;"*")&gt;0,1,0))</f>
        <v/>
      </c>
      <c r="X81">
        <f>IF($P81="",0,IF(COUNTIFS(업무일지!$F$5:$F$1004,$P81,업무일지!$B$5:$B$1004,"&gt;="&amp;DATE($B$3,1,1),업무일지!$B$5:$B$1004,"&lt;"&amp;DATE($B$3+1,1,1),업무일지!$AA$5:$AA$1004,"*"&amp;$A$14&amp;"*")&gt;0,1,0))</f>
        <v/>
      </c>
      <c r="Y81">
        <f>IF($P81="",0,IF(COUNTIFS(업무일지!$F$5:$F$1004,$P81,업무일지!$B$5:$B$1004,"&gt;="&amp;DATE($B$3,1,1),업무일지!$B$5:$B$1004,"&lt;"&amp;DATE($B$3+1,1,1),업무일지!$AA$5:$AA$1004,"*"&amp;$A$15&amp;"*")&gt;0,1,0))</f>
        <v/>
      </c>
      <c r="Z81">
        <f>IF($P81="",0,IF(COUNTIFS(업무일지!$F$5:$F$1004,$P81,업무일지!$B$5:$B$1004,"&gt;="&amp;DATE($B$3,1,1),업무일지!$B$5:$B$1004,"&lt;"&amp;DATE($B$3+1,1,1),업무일지!$AA$5:$AA$1004,"*"&amp;$A$16&amp;"*")&gt;0,1,0))</f>
        <v/>
      </c>
      <c r="AA81">
        <f>IF($P81="",0,IF(COUNTIFS(업무일지!$F$5:$F$1004,$P81,업무일지!$B$5:$B$1004,"&gt;="&amp;DATE($B$3,1,1),업무일지!$B$5:$B$1004,"&lt;"&amp;DATE($B$3+1,1,1),업무일지!$AA$5:$AA$1004,"*"&amp;$A$17&amp;"*")&gt;0,1,0))</f>
        <v/>
      </c>
      <c r="AB81">
        <f>IF($P81="",0,IF(COUNTIFS(업무일지!$F$5:$F$1004,$P81,업무일지!$B$5:$B$1004,"&gt;="&amp;DATE($B$3,1,1),업무일지!$B$5:$B$1004,"&lt;"&amp;DATE($B$3+1,1,1),업무일지!$AA$5:$AA$1004,"*"&amp;$A$18&amp;"*")&gt;0,1,0))</f>
        <v/>
      </c>
      <c r="AC81">
        <f>IF($P81="",0,IF(COUNTIFS(업무일지!$F$5:$F$1004,$P81,업무일지!$B$5:$B$1004,"&gt;="&amp;DATE($B$3,1,1),업무일지!$B$5:$B$1004,"&lt;"&amp;DATE($B$3+1,1,1),업무일지!$AA$5:$AA$1004,"*"&amp;$A$19&amp;"*")&gt;0,1,0))</f>
        <v/>
      </c>
      <c r="AD81">
        <f>IF($P81="",0,IF(COUNTIFS(업무일지!$F$5:$F$1004,$P81,업무일지!$B$5:$B$1004,"&gt;="&amp;DATE($B$3,1,1),업무일지!$B$5:$B$1004,"&lt;"&amp;DATE($B$3+1,1,1),업무일지!$AA$5:$AA$1004,"*"&amp;$A$20&amp;"*")&gt;0,1,0))</f>
        <v/>
      </c>
      <c r="AE81">
        <f>IF($P81="",0,IF(COUNTIFS(업무일지!$F$5:$F$1004,$P81,업무일지!$B$5:$B$1004,"&gt;="&amp;DATE($B$3,1,1),업무일지!$B$5:$B$1004,"&lt;"&amp;DATE($B$3+1,1,1),업무일지!$AA$5:$AA$1004,"*"&amp;$A$21&amp;"*")&gt;0,1,0))</f>
        <v/>
      </c>
      <c r="AF81">
        <f>IF($P81="",0,IF(COUNTIFS(업무일지!$F$5:$F$1004,$P81,업무일지!$B$5:$B$1004,"&gt;="&amp;DATE($B$3,1,1),업무일지!$B$5:$B$1004,"&lt;"&amp;DATE($B$3+1,1,1),업무일지!$AA$5:$AA$1004,"*"&amp;$A$22&amp;"*")&gt;0,1,0))</f>
        <v/>
      </c>
      <c r="AG81">
        <f>IF($P81="",0,IF(COUNTIFS(업무일지!$F$5:$F$1004,$P81,업무일지!$B$5:$B$1004,"&gt;="&amp;DATE($B$3,1,1),업무일지!$B$5:$B$1004,"&lt;"&amp;DATE($B$3+1,1,1),업무일지!$AA$5:$AA$1004,"*"&amp;$A$23&amp;"*")&gt;0,1,0))</f>
        <v/>
      </c>
      <c r="AH81">
        <f>IF($P81="",0,IF(COUNTIFS(업무일지!$F$5:$F$1004,$P81,업무일지!$B$5:$B$1004,"&gt;="&amp;DATE($B$3,1,1),업무일지!$B$5:$B$1004,"&lt;"&amp;DATE($B$3+1,1,1),업무일지!$AA$5:$AA$1004,"*"&amp;$A$24&amp;"*")&gt;0,1,0))</f>
        <v/>
      </c>
      <c r="AI81">
        <f>IF($P81="",0,IF(COUNTIFS(업무일지!$F$5:$F$1004,$P81,업무일지!$B$5:$B$1004,"&gt;="&amp;DATE($B$3,1,1),업무일지!$B$5:$B$1004,"&lt;"&amp;DATE($B$3+1,1,1),업무일지!$AA$5:$AA$1004,"*"&amp;$A$25&amp;"*")&gt;0,1,0))</f>
        <v/>
      </c>
      <c r="AJ81">
        <f>IF($P81="",0,IF(COUNTIFS(업무일지!$F$5:$F$1004,$P81,업무일지!$B$5:$B$1004,"&gt;="&amp;DATE($B$3,1,1),업무일지!$B$5:$B$1004,"&lt;"&amp;DATE($B$3+1,1,1),업무일지!$AA$5:$AA$1004,"*"&amp;$A$26&amp;"*")&gt;0,1,0))</f>
        <v/>
      </c>
    </row>
    <row r="82">
      <c r="P82">
        <f>IF(사건마스터!$A27="","",사건마스터!$A27)</f>
        <v/>
      </c>
      <c r="Q82">
        <f>IF($P82="",0,IF(COUNTIFS(업무일지!$F$5:$F$1004,$P82,업무일지!$B$5:$B$1004,"&gt;="&amp;DATE($B$3,1,1),업무일지!$B$5:$B$1004,"&lt;"&amp;DATE($B$3+1,1,1),업무일지!$AA$5:$AA$1004,"*"&amp;$A$7&amp;"*")&gt;0,1,0))</f>
        <v/>
      </c>
      <c r="R82">
        <f>IF($P82="",0,IF(COUNTIFS(업무일지!$F$5:$F$1004,$P82,업무일지!$B$5:$B$1004,"&gt;="&amp;DATE($B$3,1,1),업무일지!$B$5:$B$1004,"&lt;"&amp;DATE($B$3+1,1,1),업무일지!$AA$5:$AA$1004,"*"&amp;$A$8&amp;"*")&gt;0,1,0))</f>
        <v/>
      </c>
      <c r="S82">
        <f>IF($P82="",0,IF(COUNTIFS(업무일지!$F$5:$F$1004,$P82,업무일지!$B$5:$B$1004,"&gt;="&amp;DATE($B$3,1,1),업무일지!$B$5:$B$1004,"&lt;"&amp;DATE($B$3+1,1,1),업무일지!$AA$5:$AA$1004,"*"&amp;$A$9&amp;"*")&gt;0,1,0))</f>
        <v/>
      </c>
      <c r="T82">
        <f>IF($P82="",0,IF(COUNTIFS(업무일지!$F$5:$F$1004,$P82,업무일지!$B$5:$B$1004,"&gt;="&amp;DATE($B$3,1,1),업무일지!$B$5:$B$1004,"&lt;"&amp;DATE($B$3+1,1,1),업무일지!$AA$5:$AA$1004,"*"&amp;$A$10&amp;"*")&gt;0,1,0))</f>
        <v/>
      </c>
      <c r="U82">
        <f>IF($P82="",0,IF(COUNTIFS(업무일지!$F$5:$F$1004,$P82,업무일지!$B$5:$B$1004,"&gt;="&amp;DATE($B$3,1,1),업무일지!$B$5:$B$1004,"&lt;"&amp;DATE($B$3+1,1,1),업무일지!$AA$5:$AA$1004,"*"&amp;$A$11&amp;"*")&gt;0,1,0))</f>
        <v/>
      </c>
      <c r="V82">
        <f>IF($P82="",0,IF(COUNTIFS(업무일지!$F$5:$F$1004,$P82,업무일지!$B$5:$B$1004,"&gt;="&amp;DATE($B$3,1,1),업무일지!$B$5:$B$1004,"&lt;"&amp;DATE($B$3+1,1,1),업무일지!$AA$5:$AA$1004,"*"&amp;$A$12&amp;"*")&gt;0,1,0))</f>
        <v/>
      </c>
      <c r="W82">
        <f>IF($P82="",0,IF(COUNTIFS(업무일지!$F$5:$F$1004,$P82,업무일지!$B$5:$B$1004,"&gt;="&amp;DATE($B$3,1,1),업무일지!$B$5:$B$1004,"&lt;"&amp;DATE($B$3+1,1,1),업무일지!$AA$5:$AA$1004,"*"&amp;$A$13&amp;"*")&gt;0,1,0))</f>
        <v/>
      </c>
      <c r="X82">
        <f>IF($P82="",0,IF(COUNTIFS(업무일지!$F$5:$F$1004,$P82,업무일지!$B$5:$B$1004,"&gt;="&amp;DATE($B$3,1,1),업무일지!$B$5:$B$1004,"&lt;"&amp;DATE($B$3+1,1,1),업무일지!$AA$5:$AA$1004,"*"&amp;$A$14&amp;"*")&gt;0,1,0))</f>
        <v/>
      </c>
      <c r="Y82">
        <f>IF($P82="",0,IF(COUNTIFS(업무일지!$F$5:$F$1004,$P82,업무일지!$B$5:$B$1004,"&gt;="&amp;DATE($B$3,1,1),업무일지!$B$5:$B$1004,"&lt;"&amp;DATE($B$3+1,1,1),업무일지!$AA$5:$AA$1004,"*"&amp;$A$15&amp;"*")&gt;0,1,0))</f>
        <v/>
      </c>
      <c r="Z82">
        <f>IF($P82="",0,IF(COUNTIFS(업무일지!$F$5:$F$1004,$P82,업무일지!$B$5:$B$1004,"&gt;="&amp;DATE($B$3,1,1),업무일지!$B$5:$B$1004,"&lt;"&amp;DATE($B$3+1,1,1),업무일지!$AA$5:$AA$1004,"*"&amp;$A$16&amp;"*")&gt;0,1,0))</f>
        <v/>
      </c>
      <c r="AA82">
        <f>IF($P82="",0,IF(COUNTIFS(업무일지!$F$5:$F$1004,$P82,업무일지!$B$5:$B$1004,"&gt;="&amp;DATE($B$3,1,1),업무일지!$B$5:$B$1004,"&lt;"&amp;DATE($B$3+1,1,1),업무일지!$AA$5:$AA$1004,"*"&amp;$A$17&amp;"*")&gt;0,1,0))</f>
        <v/>
      </c>
      <c r="AB82">
        <f>IF($P82="",0,IF(COUNTIFS(업무일지!$F$5:$F$1004,$P82,업무일지!$B$5:$B$1004,"&gt;="&amp;DATE($B$3,1,1),업무일지!$B$5:$B$1004,"&lt;"&amp;DATE($B$3+1,1,1),업무일지!$AA$5:$AA$1004,"*"&amp;$A$18&amp;"*")&gt;0,1,0))</f>
        <v/>
      </c>
      <c r="AC82">
        <f>IF($P82="",0,IF(COUNTIFS(업무일지!$F$5:$F$1004,$P82,업무일지!$B$5:$B$1004,"&gt;="&amp;DATE($B$3,1,1),업무일지!$B$5:$B$1004,"&lt;"&amp;DATE($B$3+1,1,1),업무일지!$AA$5:$AA$1004,"*"&amp;$A$19&amp;"*")&gt;0,1,0))</f>
        <v/>
      </c>
      <c r="AD82">
        <f>IF($P82="",0,IF(COUNTIFS(업무일지!$F$5:$F$1004,$P82,업무일지!$B$5:$B$1004,"&gt;="&amp;DATE($B$3,1,1),업무일지!$B$5:$B$1004,"&lt;"&amp;DATE($B$3+1,1,1),업무일지!$AA$5:$AA$1004,"*"&amp;$A$20&amp;"*")&gt;0,1,0))</f>
        <v/>
      </c>
      <c r="AE82">
        <f>IF($P82="",0,IF(COUNTIFS(업무일지!$F$5:$F$1004,$P82,업무일지!$B$5:$B$1004,"&gt;="&amp;DATE($B$3,1,1),업무일지!$B$5:$B$1004,"&lt;"&amp;DATE($B$3+1,1,1),업무일지!$AA$5:$AA$1004,"*"&amp;$A$21&amp;"*")&gt;0,1,0))</f>
        <v/>
      </c>
      <c r="AF82">
        <f>IF($P82="",0,IF(COUNTIFS(업무일지!$F$5:$F$1004,$P82,업무일지!$B$5:$B$1004,"&gt;="&amp;DATE($B$3,1,1),업무일지!$B$5:$B$1004,"&lt;"&amp;DATE($B$3+1,1,1),업무일지!$AA$5:$AA$1004,"*"&amp;$A$22&amp;"*")&gt;0,1,0))</f>
        <v/>
      </c>
      <c r="AG82">
        <f>IF($P82="",0,IF(COUNTIFS(업무일지!$F$5:$F$1004,$P82,업무일지!$B$5:$B$1004,"&gt;="&amp;DATE($B$3,1,1),업무일지!$B$5:$B$1004,"&lt;"&amp;DATE($B$3+1,1,1),업무일지!$AA$5:$AA$1004,"*"&amp;$A$23&amp;"*")&gt;0,1,0))</f>
        <v/>
      </c>
      <c r="AH82">
        <f>IF($P82="",0,IF(COUNTIFS(업무일지!$F$5:$F$1004,$P82,업무일지!$B$5:$B$1004,"&gt;="&amp;DATE($B$3,1,1),업무일지!$B$5:$B$1004,"&lt;"&amp;DATE($B$3+1,1,1),업무일지!$AA$5:$AA$1004,"*"&amp;$A$24&amp;"*")&gt;0,1,0))</f>
        <v/>
      </c>
      <c r="AI82">
        <f>IF($P82="",0,IF(COUNTIFS(업무일지!$F$5:$F$1004,$P82,업무일지!$B$5:$B$1004,"&gt;="&amp;DATE($B$3,1,1),업무일지!$B$5:$B$1004,"&lt;"&amp;DATE($B$3+1,1,1),업무일지!$AA$5:$AA$1004,"*"&amp;$A$25&amp;"*")&gt;0,1,0))</f>
        <v/>
      </c>
      <c r="AJ82">
        <f>IF($P82="",0,IF(COUNTIFS(업무일지!$F$5:$F$1004,$P82,업무일지!$B$5:$B$1004,"&gt;="&amp;DATE($B$3,1,1),업무일지!$B$5:$B$1004,"&lt;"&amp;DATE($B$3+1,1,1),업무일지!$AA$5:$AA$1004,"*"&amp;$A$26&amp;"*")&gt;0,1,0))</f>
        <v/>
      </c>
    </row>
    <row r="83">
      <c r="P83">
        <f>IF(사건마스터!$A28="","",사건마스터!$A28)</f>
        <v/>
      </c>
      <c r="Q83">
        <f>IF($P83="",0,IF(COUNTIFS(업무일지!$F$5:$F$1004,$P83,업무일지!$B$5:$B$1004,"&gt;="&amp;DATE($B$3,1,1),업무일지!$B$5:$B$1004,"&lt;"&amp;DATE($B$3+1,1,1),업무일지!$AA$5:$AA$1004,"*"&amp;$A$7&amp;"*")&gt;0,1,0))</f>
        <v/>
      </c>
      <c r="R83">
        <f>IF($P83="",0,IF(COUNTIFS(업무일지!$F$5:$F$1004,$P83,업무일지!$B$5:$B$1004,"&gt;="&amp;DATE($B$3,1,1),업무일지!$B$5:$B$1004,"&lt;"&amp;DATE($B$3+1,1,1),업무일지!$AA$5:$AA$1004,"*"&amp;$A$8&amp;"*")&gt;0,1,0))</f>
        <v/>
      </c>
      <c r="S83">
        <f>IF($P83="",0,IF(COUNTIFS(업무일지!$F$5:$F$1004,$P83,업무일지!$B$5:$B$1004,"&gt;="&amp;DATE($B$3,1,1),업무일지!$B$5:$B$1004,"&lt;"&amp;DATE($B$3+1,1,1),업무일지!$AA$5:$AA$1004,"*"&amp;$A$9&amp;"*")&gt;0,1,0))</f>
        <v/>
      </c>
      <c r="T83">
        <f>IF($P83="",0,IF(COUNTIFS(업무일지!$F$5:$F$1004,$P83,업무일지!$B$5:$B$1004,"&gt;="&amp;DATE($B$3,1,1),업무일지!$B$5:$B$1004,"&lt;"&amp;DATE($B$3+1,1,1),업무일지!$AA$5:$AA$1004,"*"&amp;$A$10&amp;"*")&gt;0,1,0))</f>
        <v/>
      </c>
      <c r="U83">
        <f>IF($P83="",0,IF(COUNTIFS(업무일지!$F$5:$F$1004,$P83,업무일지!$B$5:$B$1004,"&gt;="&amp;DATE($B$3,1,1),업무일지!$B$5:$B$1004,"&lt;"&amp;DATE($B$3+1,1,1),업무일지!$AA$5:$AA$1004,"*"&amp;$A$11&amp;"*")&gt;0,1,0))</f>
        <v/>
      </c>
      <c r="V83">
        <f>IF($P83="",0,IF(COUNTIFS(업무일지!$F$5:$F$1004,$P83,업무일지!$B$5:$B$1004,"&gt;="&amp;DATE($B$3,1,1),업무일지!$B$5:$B$1004,"&lt;"&amp;DATE($B$3+1,1,1),업무일지!$AA$5:$AA$1004,"*"&amp;$A$12&amp;"*")&gt;0,1,0))</f>
        <v/>
      </c>
      <c r="W83">
        <f>IF($P83="",0,IF(COUNTIFS(업무일지!$F$5:$F$1004,$P83,업무일지!$B$5:$B$1004,"&gt;="&amp;DATE($B$3,1,1),업무일지!$B$5:$B$1004,"&lt;"&amp;DATE($B$3+1,1,1),업무일지!$AA$5:$AA$1004,"*"&amp;$A$13&amp;"*")&gt;0,1,0))</f>
        <v/>
      </c>
      <c r="X83">
        <f>IF($P83="",0,IF(COUNTIFS(업무일지!$F$5:$F$1004,$P83,업무일지!$B$5:$B$1004,"&gt;="&amp;DATE($B$3,1,1),업무일지!$B$5:$B$1004,"&lt;"&amp;DATE($B$3+1,1,1),업무일지!$AA$5:$AA$1004,"*"&amp;$A$14&amp;"*")&gt;0,1,0))</f>
        <v/>
      </c>
      <c r="Y83">
        <f>IF($P83="",0,IF(COUNTIFS(업무일지!$F$5:$F$1004,$P83,업무일지!$B$5:$B$1004,"&gt;="&amp;DATE($B$3,1,1),업무일지!$B$5:$B$1004,"&lt;"&amp;DATE($B$3+1,1,1),업무일지!$AA$5:$AA$1004,"*"&amp;$A$15&amp;"*")&gt;0,1,0))</f>
        <v/>
      </c>
      <c r="Z83">
        <f>IF($P83="",0,IF(COUNTIFS(업무일지!$F$5:$F$1004,$P83,업무일지!$B$5:$B$1004,"&gt;="&amp;DATE($B$3,1,1),업무일지!$B$5:$B$1004,"&lt;"&amp;DATE($B$3+1,1,1),업무일지!$AA$5:$AA$1004,"*"&amp;$A$16&amp;"*")&gt;0,1,0))</f>
        <v/>
      </c>
      <c r="AA83">
        <f>IF($P83="",0,IF(COUNTIFS(업무일지!$F$5:$F$1004,$P83,업무일지!$B$5:$B$1004,"&gt;="&amp;DATE($B$3,1,1),업무일지!$B$5:$B$1004,"&lt;"&amp;DATE($B$3+1,1,1),업무일지!$AA$5:$AA$1004,"*"&amp;$A$17&amp;"*")&gt;0,1,0))</f>
        <v/>
      </c>
      <c r="AB83">
        <f>IF($P83="",0,IF(COUNTIFS(업무일지!$F$5:$F$1004,$P83,업무일지!$B$5:$B$1004,"&gt;="&amp;DATE($B$3,1,1),업무일지!$B$5:$B$1004,"&lt;"&amp;DATE($B$3+1,1,1),업무일지!$AA$5:$AA$1004,"*"&amp;$A$18&amp;"*")&gt;0,1,0))</f>
        <v/>
      </c>
      <c r="AC83">
        <f>IF($P83="",0,IF(COUNTIFS(업무일지!$F$5:$F$1004,$P83,업무일지!$B$5:$B$1004,"&gt;="&amp;DATE($B$3,1,1),업무일지!$B$5:$B$1004,"&lt;"&amp;DATE($B$3+1,1,1),업무일지!$AA$5:$AA$1004,"*"&amp;$A$19&amp;"*")&gt;0,1,0))</f>
        <v/>
      </c>
      <c r="AD83">
        <f>IF($P83="",0,IF(COUNTIFS(업무일지!$F$5:$F$1004,$P83,업무일지!$B$5:$B$1004,"&gt;="&amp;DATE($B$3,1,1),업무일지!$B$5:$B$1004,"&lt;"&amp;DATE($B$3+1,1,1),업무일지!$AA$5:$AA$1004,"*"&amp;$A$20&amp;"*")&gt;0,1,0))</f>
        <v/>
      </c>
      <c r="AE83">
        <f>IF($P83="",0,IF(COUNTIFS(업무일지!$F$5:$F$1004,$P83,업무일지!$B$5:$B$1004,"&gt;="&amp;DATE($B$3,1,1),업무일지!$B$5:$B$1004,"&lt;"&amp;DATE($B$3+1,1,1),업무일지!$AA$5:$AA$1004,"*"&amp;$A$21&amp;"*")&gt;0,1,0))</f>
        <v/>
      </c>
      <c r="AF83">
        <f>IF($P83="",0,IF(COUNTIFS(업무일지!$F$5:$F$1004,$P83,업무일지!$B$5:$B$1004,"&gt;="&amp;DATE($B$3,1,1),업무일지!$B$5:$B$1004,"&lt;"&amp;DATE($B$3+1,1,1),업무일지!$AA$5:$AA$1004,"*"&amp;$A$22&amp;"*")&gt;0,1,0))</f>
        <v/>
      </c>
      <c r="AG83">
        <f>IF($P83="",0,IF(COUNTIFS(업무일지!$F$5:$F$1004,$P83,업무일지!$B$5:$B$1004,"&gt;="&amp;DATE($B$3,1,1),업무일지!$B$5:$B$1004,"&lt;"&amp;DATE($B$3+1,1,1),업무일지!$AA$5:$AA$1004,"*"&amp;$A$23&amp;"*")&gt;0,1,0))</f>
        <v/>
      </c>
      <c r="AH83">
        <f>IF($P83="",0,IF(COUNTIFS(업무일지!$F$5:$F$1004,$P83,업무일지!$B$5:$B$1004,"&gt;="&amp;DATE($B$3,1,1),업무일지!$B$5:$B$1004,"&lt;"&amp;DATE($B$3+1,1,1),업무일지!$AA$5:$AA$1004,"*"&amp;$A$24&amp;"*")&gt;0,1,0))</f>
        <v/>
      </c>
      <c r="AI83">
        <f>IF($P83="",0,IF(COUNTIFS(업무일지!$F$5:$F$1004,$P83,업무일지!$B$5:$B$1004,"&gt;="&amp;DATE($B$3,1,1),업무일지!$B$5:$B$1004,"&lt;"&amp;DATE($B$3+1,1,1),업무일지!$AA$5:$AA$1004,"*"&amp;$A$25&amp;"*")&gt;0,1,0))</f>
        <v/>
      </c>
      <c r="AJ83">
        <f>IF($P83="",0,IF(COUNTIFS(업무일지!$F$5:$F$1004,$P83,업무일지!$B$5:$B$1004,"&gt;="&amp;DATE($B$3,1,1),업무일지!$B$5:$B$1004,"&lt;"&amp;DATE($B$3+1,1,1),업무일지!$AA$5:$AA$1004,"*"&amp;$A$26&amp;"*")&gt;0,1,0))</f>
        <v/>
      </c>
    </row>
    <row r="84">
      <c r="P84">
        <f>IF(사건마스터!$A29="","",사건마스터!$A29)</f>
        <v/>
      </c>
      <c r="Q84">
        <f>IF($P84="",0,IF(COUNTIFS(업무일지!$F$5:$F$1004,$P84,업무일지!$B$5:$B$1004,"&gt;="&amp;DATE($B$3,1,1),업무일지!$B$5:$B$1004,"&lt;"&amp;DATE($B$3+1,1,1),업무일지!$AA$5:$AA$1004,"*"&amp;$A$7&amp;"*")&gt;0,1,0))</f>
        <v/>
      </c>
      <c r="R84">
        <f>IF($P84="",0,IF(COUNTIFS(업무일지!$F$5:$F$1004,$P84,업무일지!$B$5:$B$1004,"&gt;="&amp;DATE($B$3,1,1),업무일지!$B$5:$B$1004,"&lt;"&amp;DATE($B$3+1,1,1),업무일지!$AA$5:$AA$1004,"*"&amp;$A$8&amp;"*")&gt;0,1,0))</f>
        <v/>
      </c>
      <c r="S84">
        <f>IF($P84="",0,IF(COUNTIFS(업무일지!$F$5:$F$1004,$P84,업무일지!$B$5:$B$1004,"&gt;="&amp;DATE($B$3,1,1),업무일지!$B$5:$B$1004,"&lt;"&amp;DATE($B$3+1,1,1),업무일지!$AA$5:$AA$1004,"*"&amp;$A$9&amp;"*")&gt;0,1,0))</f>
        <v/>
      </c>
      <c r="T84">
        <f>IF($P84="",0,IF(COUNTIFS(업무일지!$F$5:$F$1004,$P84,업무일지!$B$5:$B$1004,"&gt;="&amp;DATE($B$3,1,1),업무일지!$B$5:$B$1004,"&lt;"&amp;DATE($B$3+1,1,1),업무일지!$AA$5:$AA$1004,"*"&amp;$A$10&amp;"*")&gt;0,1,0))</f>
        <v/>
      </c>
      <c r="U84">
        <f>IF($P84="",0,IF(COUNTIFS(업무일지!$F$5:$F$1004,$P84,업무일지!$B$5:$B$1004,"&gt;="&amp;DATE($B$3,1,1),업무일지!$B$5:$B$1004,"&lt;"&amp;DATE($B$3+1,1,1),업무일지!$AA$5:$AA$1004,"*"&amp;$A$11&amp;"*")&gt;0,1,0))</f>
        <v/>
      </c>
      <c r="V84">
        <f>IF($P84="",0,IF(COUNTIFS(업무일지!$F$5:$F$1004,$P84,업무일지!$B$5:$B$1004,"&gt;="&amp;DATE($B$3,1,1),업무일지!$B$5:$B$1004,"&lt;"&amp;DATE($B$3+1,1,1),업무일지!$AA$5:$AA$1004,"*"&amp;$A$12&amp;"*")&gt;0,1,0))</f>
        <v/>
      </c>
      <c r="W84">
        <f>IF($P84="",0,IF(COUNTIFS(업무일지!$F$5:$F$1004,$P84,업무일지!$B$5:$B$1004,"&gt;="&amp;DATE($B$3,1,1),업무일지!$B$5:$B$1004,"&lt;"&amp;DATE($B$3+1,1,1),업무일지!$AA$5:$AA$1004,"*"&amp;$A$13&amp;"*")&gt;0,1,0))</f>
        <v/>
      </c>
      <c r="X84">
        <f>IF($P84="",0,IF(COUNTIFS(업무일지!$F$5:$F$1004,$P84,업무일지!$B$5:$B$1004,"&gt;="&amp;DATE($B$3,1,1),업무일지!$B$5:$B$1004,"&lt;"&amp;DATE($B$3+1,1,1),업무일지!$AA$5:$AA$1004,"*"&amp;$A$14&amp;"*")&gt;0,1,0))</f>
        <v/>
      </c>
      <c r="Y84">
        <f>IF($P84="",0,IF(COUNTIFS(업무일지!$F$5:$F$1004,$P84,업무일지!$B$5:$B$1004,"&gt;="&amp;DATE($B$3,1,1),업무일지!$B$5:$B$1004,"&lt;"&amp;DATE($B$3+1,1,1),업무일지!$AA$5:$AA$1004,"*"&amp;$A$15&amp;"*")&gt;0,1,0))</f>
        <v/>
      </c>
      <c r="Z84">
        <f>IF($P84="",0,IF(COUNTIFS(업무일지!$F$5:$F$1004,$P84,업무일지!$B$5:$B$1004,"&gt;="&amp;DATE($B$3,1,1),업무일지!$B$5:$B$1004,"&lt;"&amp;DATE($B$3+1,1,1),업무일지!$AA$5:$AA$1004,"*"&amp;$A$16&amp;"*")&gt;0,1,0))</f>
        <v/>
      </c>
      <c r="AA84">
        <f>IF($P84="",0,IF(COUNTIFS(업무일지!$F$5:$F$1004,$P84,업무일지!$B$5:$B$1004,"&gt;="&amp;DATE($B$3,1,1),업무일지!$B$5:$B$1004,"&lt;"&amp;DATE($B$3+1,1,1),업무일지!$AA$5:$AA$1004,"*"&amp;$A$17&amp;"*")&gt;0,1,0))</f>
        <v/>
      </c>
      <c r="AB84">
        <f>IF($P84="",0,IF(COUNTIFS(업무일지!$F$5:$F$1004,$P84,업무일지!$B$5:$B$1004,"&gt;="&amp;DATE($B$3,1,1),업무일지!$B$5:$B$1004,"&lt;"&amp;DATE($B$3+1,1,1),업무일지!$AA$5:$AA$1004,"*"&amp;$A$18&amp;"*")&gt;0,1,0))</f>
        <v/>
      </c>
      <c r="AC84">
        <f>IF($P84="",0,IF(COUNTIFS(업무일지!$F$5:$F$1004,$P84,업무일지!$B$5:$B$1004,"&gt;="&amp;DATE($B$3,1,1),업무일지!$B$5:$B$1004,"&lt;"&amp;DATE($B$3+1,1,1),업무일지!$AA$5:$AA$1004,"*"&amp;$A$19&amp;"*")&gt;0,1,0))</f>
        <v/>
      </c>
      <c r="AD84">
        <f>IF($P84="",0,IF(COUNTIFS(업무일지!$F$5:$F$1004,$P84,업무일지!$B$5:$B$1004,"&gt;="&amp;DATE($B$3,1,1),업무일지!$B$5:$B$1004,"&lt;"&amp;DATE($B$3+1,1,1),업무일지!$AA$5:$AA$1004,"*"&amp;$A$20&amp;"*")&gt;0,1,0))</f>
        <v/>
      </c>
      <c r="AE84">
        <f>IF($P84="",0,IF(COUNTIFS(업무일지!$F$5:$F$1004,$P84,업무일지!$B$5:$B$1004,"&gt;="&amp;DATE($B$3,1,1),업무일지!$B$5:$B$1004,"&lt;"&amp;DATE($B$3+1,1,1),업무일지!$AA$5:$AA$1004,"*"&amp;$A$21&amp;"*")&gt;0,1,0))</f>
        <v/>
      </c>
      <c r="AF84">
        <f>IF($P84="",0,IF(COUNTIFS(업무일지!$F$5:$F$1004,$P84,업무일지!$B$5:$B$1004,"&gt;="&amp;DATE($B$3,1,1),업무일지!$B$5:$B$1004,"&lt;"&amp;DATE($B$3+1,1,1),업무일지!$AA$5:$AA$1004,"*"&amp;$A$22&amp;"*")&gt;0,1,0))</f>
        <v/>
      </c>
      <c r="AG84">
        <f>IF($P84="",0,IF(COUNTIFS(업무일지!$F$5:$F$1004,$P84,업무일지!$B$5:$B$1004,"&gt;="&amp;DATE($B$3,1,1),업무일지!$B$5:$B$1004,"&lt;"&amp;DATE($B$3+1,1,1),업무일지!$AA$5:$AA$1004,"*"&amp;$A$23&amp;"*")&gt;0,1,0))</f>
        <v/>
      </c>
      <c r="AH84">
        <f>IF($P84="",0,IF(COUNTIFS(업무일지!$F$5:$F$1004,$P84,업무일지!$B$5:$B$1004,"&gt;="&amp;DATE($B$3,1,1),업무일지!$B$5:$B$1004,"&lt;"&amp;DATE($B$3+1,1,1),업무일지!$AA$5:$AA$1004,"*"&amp;$A$24&amp;"*")&gt;0,1,0))</f>
        <v/>
      </c>
      <c r="AI84">
        <f>IF($P84="",0,IF(COUNTIFS(업무일지!$F$5:$F$1004,$P84,업무일지!$B$5:$B$1004,"&gt;="&amp;DATE($B$3,1,1),업무일지!$B$5:$B$1004,"&lt;"&amp;DATE($B$3+1,1,1),업무일지!$AA$5:$AA$1004,"*"&amp;$A$25&amp;"*")&gt;0,1,0))</f>
        <v/>
      </c>
      <c r="AJ84">
        <f>IF($P84="",0,IF(COUNTIFS(업무일지!$F$5:$F$1004,$P84,업무일지!$B$5:$B$1004,"&gt;="&amp;DATE($B$3,1,1),업무일지!$B$5:$B$1004,"&lt;"&amp;DATE($B$3+1,1,1),업무일지!$AA$5:$AA$1004,"*"&amp;$A$26&amp;"*")&gt;0,1,0))</f>
        <v/>
      </c>
    </row>
    <row r="85">
      <c r="P85">
        <f>IF(사건마스터!$A30="","",사건마스터!$A30)</f>
        <v/>
      </c>
      <c r="Q85">
        <f>IF($P85="",0,IF(COUNTIFS(업무일지!$F$5:$F$1004,$P85,업무일지!$B$5:$B$1004,"&gt;="&amp;DATE($B$3,1,1),업무일지!$B$5:$B$1004,"&lt;"&amp;DATE($B$3+1,1,1),업무일지!$AA$5:$AA$1004,"*"&amp;$A$7&amp;"*")&gt;0,1,0))</f>
        <v/>
      </c>
      <c r="R85">
        <f>IF($P85="",0,IF(COUNTIFS(업무일지!$F$5:$F$1004,$P85,업무일지!$B$5:$B$1004,"&gt;="&amp;DATE($B$3,1,1),업무일지!$B$5:$B$1004,"&lt;"&amp;DATE($B$3+1,1,1),업무일지!$AA$5:$AA$1004,"*"&amp;$A$8&amp;"*")&gt;0,1,0))</f>
        <v/>
      </c>
      <c r="S85">
        <f>IF($P85="",0,IF(COUNTIFS(업무일지!$F$5:$F$1004,$P85,업무일지!$B$5:$B$1004,"&gt;="&amp;DATE($B$3,1,1),업무일지!$B$5:$B$1004,"&lt;"&amp;DATE($B$3+1,1,1),업무일지!$AA$5:$AA$1004,"*"&amp;$A$9&amp;"*")&gt;0,1,0))</f>
        <v/>
      </c>
      <c r="T85">
        <f>IF($P85="",0,IF(COUNTIFS(업무일지!$F$5:$F$1004,$P85,업무일지!$B$5:$B$1004,"&gt;="&amp;DATE($B$3,1,1),업무일지!$B$5:$B$1004,"&lt;"&amp;DATE($B$3+1,1,1),업무일지!$AA$5:$AA$1004,"*"&amp;$A$10&amp;"*")&gt;0,1,0))</f>
        <v/>
      </c>
      <c r="U85">
        <f>IF($P85="",0,IF(COUNTIFS(업무일지!$F$5:$F$1004,$P85,업무일지!$B$5:$B$1004,"&gt;="&amp;DATE($B$3,1,1),업무일지!$B$5:$B$1004,"&lt;"&amp;DATE($B$3+1,1,1),업무일지!$AA$5:$AA$1004,"*"&amp;$A$11&amp;"*")&gt;0,1,0))</f>
        <v/>
      </c>
      <c r="V85">
        <f>IF($P85="",0,IF(COUNTIFS(업무일지!$F$5:$F$1004,$P85,업무일지!$B$5:$B$1004,"&gt;="&amp;DATE($B$3,1,1),업무일지!$B$5:$B$1004,"&lt;"&amp;DATE($B$3+1,1,1),업무일지!$AA$5:$AA$1004,"*"&amp;$A$12&amp;"*")&gt;0,1,0))</f>
        <v/>
      </c>
      <c r="W85">
        <f>IF($P85="",0,IF(COUNTIFS(업무일지!$F$5:$F$1004,$P85,업무일지!$B$5:$B$1004,"&gt;="&amp;DATE($B$3,1,1),업무일지!$B$5:$B$1004,"&lt;"&amp;DATE($B$3+1,1,1),업무일지!$AA$5:$AA$1004,"*"&amp;$A$13&amp;"*")&gt;0,1,0))</f>
        <v/>
      </c>
      <c r="X85">
        <f>IF($P85="",0,IF(COUNTIFS(업무일지!$F$5:$F$1004,$P85,업무일지!$B$5:$B$1004,"&gt;="&amp;DATE($B$3,1,1),업무일지!$B$5:$B$1004,"&lt;"&amp;DATE($B$3+1,1,1),업무일지!$AA$5:$AA$1004,"*"&amp;$A$14&amp;"*")&gt;0,1,0))</f>
        <v/>
      </c>
      <c r="Y85">
        <f>IF($P85="",0,IF(COUNTIFS(업무일지!$F$5:$F$1004,$P85,업무일지!$B$5:$B$1004,"&gt;="&amp;DATE($B$3,1,1),업무일지!$B$5:$B$1004,"&lt;"&amp;DATE($B$3+1,1,1),업무일지!$AA$5:$AA$1004,"*"&amp;$A$15&amp;"*")&gt;0,1,0))</f>
        <v/>
      </c>
      <c r="Z85">
        <f>IF($P85="",0,IF(COUNTIFS(업무일지!$F$5:$F$1004,$P85,업무일지!$B$5:$B$1004,"&gt;="&amp;DATE($B$3,1,1),업무일지!$B$5:$B$1004,"&lt;"&amp;DATE($B$3+1,1,1),업무일지!$AA$5:$AA$1004,"*"&amp;$A$16&amp;"*")&gt;0,1,0))</f>
        <v/>
      </c>
      <c r="AA85">
        <f>IF($P85="",0,IF(COUNTIFS(업무일지!$F$5:$F$1004,$P85,업무일지!$B$5:$B$1004,"&gt;="&amp;DATE($B$3,1,1),업무일지!$B$5:$B$1004,"&lt;"&amp;DATE($B$3+1,1,1),업무일지!$AA$5:$AA$1004,"*"&amp;$A$17&amp;"*")&gt;0,1,0))</f>
        <v/>
      </c>
      <c r="AB85">
        <f>IF($P85="",0,IF(COUNTIFS(업무일지!$F$5:$F$1004,$P85,업무일지!$B$5:$B$1004,"&gt;="&amp;DATE($B$3,1,1),업무일지!$B$5:$B$1004,"&lt;"&amp;DATE($B$3+1,1,1),업무일지!$AA$5:$AA$1004,"*"&amp;$A$18&amp;"*")&gt;0,1,0))</f>
        <v/>
      </c>
      <c r="AC85">
        <f>IF($P85="",0,IF(COUNTIFS(업무일지!$F$5:$F$1004,$P85,업무일지!$B$5:$B$1004,"&gt;="&amp;DATE($B$3,1,1),업무일지!$B$5:$B$1004,"&lt;"&amp;DATE($B$3+1,1,1),업무일지!$AA$5:$AA$1004,"*"&amp;$A$19&amp;"*")&gt;0,1,0))</f>
        <v/>
      </c>
      <c r="AD85">
        <f>IF($P85="",0,IF(COUNTIFS(업무일지!$F$5:$F$1004,$P85,업무일지!$B$5:$B$1004,"&gt;="&amp;DATE($B$3,1,1),업무일지!$B$5:$B$1004,"&lt;"&amp;DATE($B$3+1,1,1),업무일지!$AA$5:$AA$1004,"*"&amp;$A$20&amp;"*")&gt;0,1,0))</f>
        <v/>
      </c>
      <c r="AE85">
        <f>IF($P85="",0,IF(COUNTIFS(업무일지!$F$5:$F$1004,$P85,업무일지!$B$5:$B$1004,"&gt;="&amp;DATE($B$3,1,1),업무일지!$B$5:$B$1004,"&lt;"&amp;DATE($B$3+1,1,1),업무일지!$AA$5:$AA$1004,"*"&amp;$A$21&amp;"*")&gt;0,1,0))</f>
        <v/>
      </c>
      <c r="AF85">
        <f>IF($P85="",0,IF(COUNTIFS(업무일지!$F$5:$F$1004,$P85,업무일지!$B$5:$B$1004,"&gt;="&amp;DATE($B$3,1,1),업무일지!$B$5:$B$1004,"&lt;"&amp;DATE($B$3+1,1,1),업무일지!$AA$5:$AA$1004,"*"&amp;$A$22&amp;"*")&gt;0,1,0))</f>
        <v/>
      </c>
      <c r="AG85">
        <f>IF($P85="",0,IF(COUNTIFS(업무일지!$F$5:$F$1004,$P85,업무일지!$B$5:$B$1004,"&gt;="&amp;DATE($B$3,1,1),업무일지!$B$5:$B$1004,"&lt;"&amp;DATE($B$3+1,1,1),업무일지!$AA$5:$AA$1004,"*"&amp;$A$23&amp;"*")&gt;0,1,0))</f>
        <v/>
      </c>
      <c r="AH85">
        <f>IF($P85="",0,IF(COUNTIFS(업무일지!$F$5:$F$1004,$P85,업무일지!$B$5:$B$1004,"&gt;="&amp;DATE($B$3,1,1),업무일지!$B$5:$B$1004,"&lt;"&amp;DATE($B$3+1,1,1),업무일지!$AA$5:$AA$1004,"*"&amp;$A$24&amp;"*")&gt;0,1,0))</f>
        <v/>
      </c>
      <c r="AI85">
        <f>IF($P85="",0,IF(COUNTIFS(업무일지!$F$5:$F$1004,$P85,업무일지!$B$5:$B$1004,"&gt;="&amp;DATE($B$3,1,1),업무일지!$B$5:$B$1004,"&lt;"&amp;DATE($B$3+1,1,1),업무일지!$AA$5:$AA$1004,"*"&amp;$A$25&amp;"*")&gt;0,1,0))</f>
        <v/>
      </c>
      <c r="AJ85">
        <f>IF($P85="",0,IF(COUNTIFS(업무일지!$F$5:$F$1004,$P85,업무일지!$B$5:$B$1004,"&gt;="&amp;DATE($B$3,1,1),업무일지!$B$5:$B$1004,"&lt;"&amp;DATE($B$3+1,1,1),업무일지!$AA$5:$AA$1004,"*"&amp;$A$26&amp;"*")&gt;0,1,0))</f>
        <v/>
      </c>
    </row>
    <row r="86">
      <c r="P86">
        <f>IF(사건마스터!$A31="","",사건마스터!$A31)</f>
        <v/>
      </c>
      <c r="Q86">
        <f>IF($P86="",0,IF(COUNTIFS(업무일지!$F$5:$F$1004,$P86,업무일지!$B$5:$B$1004,"&gt;="&amp;DATE($B$3,1,1),업무일지!$B$5:$B$1004,"&lt;"&amp;DATE($B$3+1,1,1),업무일지!$AA$5:$AA$1004,"*"&amp;$A$7&amp;"*")&gt;0,1,0))</f>
        <v/>
      </c>
      <c r="R86">
        <f>IF($P86="",0,IF(COUNTIFS(업무일지!$F$5:$F$1004,$P86,업무일지!$B$5:$B$1004,"&gt;="&amp;DATE($B$3,1,1),업무일지!$B$5:$B$1004,"&lt;"&amp;DATE($B$3+1,1,1),업무일지!$AA$5:$AA$1004,"*"&amp;$A$8&amp;"*")&gt;0,1,0))</f>
        <v/>
      </c>
      <c r="S86">
        <f>IF($P86="",0,IF(COUNTIFS(업무일지!$F$5:$F$1004,$P86,업무일지!$B$5:$B$1004,"&gt;="&amp;DATE($B$3,1,1),업무일지!$B$5:$B$1004,"&lt;"&amp;DATE($B$3+1,1,1),업무일지!$AA$5:$AA$1004,"*"&amp;$A$9&amp;"*")&gt;0,1,0))</f>
        <v/>
      </c>
      <c r="T86">
        <f>IF($P86="",0,IF(COUNTIFS(업무일지!$F$5:$F$1004,$P86,업무일지!$B$5:$B$1004,"&gt;="&amp;DATE($B$3,1,1),업무일지!$B$5:$B$1004,"&lt;"&amp;DATE($B$3+1,1,1),업무일지!$AA$5:$AA$1004,"*"&amp;$A$10&amp;"*")&gt;0,1,0))</f>
        <v/>
      </c>
      <c r="U86">
        <f>IF($P86="",0,IF(COUNTIFS(업무일지!$F$5:$F$1004,$P86,업무일지!$B$5:$B$1004,"&gt;="&amp;DATE($B$3,1,1),업무일지!$B$5:$B$1004,"&lt;"&amp;DATE($B$3+1,1,1),업무일지!$AA$5:$AA$1004,"*"&amp;$A$11&amp;"*")&gt;0,1,0))</f>
        <v/>
      </c>
      <c r="V86">
        <f>IF($P86="",0,IF(COUNTIFS(업무일지!$F$5:$F$1004,$P86,업무일지!$B$5:$B$1004,"&gt;="&amp;DATE($B$3,1,1),업무일지!$B$5:$B$1004,"&lt;"&amp;DATE($B$3+1,1,1),업무일지!$AA$5:$AA$1004,"*"&amp;$A$12&amp;"*")&gt;0,1,0))</f>
        <v/>
      </c>
      <c r="W86">
        <f>IF($P86="",0,IF(COUNTIFS(업무일지!$F$5:$F$1004,$P86,업무일지!$B$5:$B$1004,"&gt;="&amp;DATE($B$3,1,1),업무일지!$B$5:$B$1004,"&lt;"&amp;DATE($B$3+1,1,1),업무일지!$AA$5:$AA$1004,"*"&amp;$A$13&amp;"*")&gt;0,1,0))</f>
        <v/>
      </c>
      <c r="X86">
        <f>IF($P86="",0,IF(COUNTIFS(업무일지!$F$5:$F$1004,$P86,업무일지!$B$5:$B$1004,"&gt;="&amp;DATE($B$3,1,1),업무일지!$B$5:$B$1004,"&lt;"&amp;DATE($B$3+1,1,1),업무일지!$AA$5:$AA$1004,"*"&amp;$A$14&amp;"*")&gt;0,1,0))</f>
        <v/>
      </c>
      <c r="Y86">
        <f>IF($P86="",0,IF(COUNTIFS(업무일지!$F$5:$F$1004,$P86,업무일지!$B$5:$B$1004,"&gt;="&amp;DATE($B$3,1,1),업무일지!$B$5:$B$1004,"&lt;"&amp;DATE($B$3+1,1,1),업무일지!$AA$5:$AA$1004,"*"&amp;$A$15&amp;"*")&gt;0,1,0))</f>
        <v/>
      </c>
      <c r="Z86">
        <f>IF($P86="",0,IF(COUNTIFS(업무일지!$F$5:$F$1004,$P86,업무일지!$B$5:$B$1004,"&gt;="&amp;DATE($B$3,1,1),업무일지!$B$5:$B$1004,"&lt;"&amp;DATE($B$3+1,1,1),업무일지!$AA$5:$AA$1004,"*"&amp;$A$16&amp;"*")&gt;0,1,0))</f>
        <v/>
      </c>
      <c r="AA86">
        <f>IF($P86="",0,IF(COUNTIFS(업무일지!$F$5:$F$1004,$P86,업무일지!$B$5:$B$1004,"&gt;="&amp;DATE($B$3,1,1),업무일지!$B$5:$B$1004,"&lt;"&amp;DATE($B$3+1,1,1),업무일지!$AA$5:$AA$1004,"*"&amp;$A$17&amp;"*")&gt;0,1,0))</f>
        <v/>
      </c>
      <c r="AB86">
        <f>IF($P86="",0,IF(COUNTIFS(업무일지!$F$5:$F$1004,$P86,업무일지!$B$5:$B$1004,"&gt;="&amp;DATE($B$3,1,1),업무일지!$B$5:$B$1004,"&lt;"&amp;DATE($B$3+1,1,1),업무일지!$AA$5:$AA$1004,"*"&amp;$A$18&amp;"*")&gt;0,1,0))</f>
        <v/>
      </c>
      <c r="AC86">
        <f>IF($P86="",0,IF(COUNTIFS(업무일지!$F$5:$F$1004,$P86,업무일지!$B$5:$B$1004,"&gt;="&amp;DATE($B$3,1,1),업무일지!$B$5:$B$1004,"&lt;"&amp;DATE($B$3+1,1,1),업무일지!$AA$5:$AA$1004,"*"&amp;$A$19&amp;"*")&gt;0,1,0))</f>
        <v/>
      </c>
      <c r="AD86">
        <f>IF($P86="",0,IF(COUNTIFS(업무일지!$F$5:$F$1004,$P86,업무일지!$B$5:$B$1004,"&gt;="&amp;DATE($B$3,1,1),업무일지!$B$5:$B$1004,"&lt;"&amp;DATE($B$3+1,1,1),업무일지!$AA$5:$AA$1004,"*"&amp;$A$20&amp;"*")&gt;0,1,0))</f>
        <v/>
      </c>
      <c r="AE86">
        <f>IF($P86="",0,IF(COUNTIFS(업무일지!$F$5:$F$1004,$P86,업무일지!$B$5:$B$1004,"&gt;="&amp;DATE($B$3,1,1),업무일지!$B$5:$B$1004,"&lt;"&amp;DATE($B$3+1,1,1),업무일지!$AA$5:$AA$1004,"*"&amp;$A$21&amp;"*")&gt;0,1,0))</f>
        <v/>
      </c>
      <c r="AF86">
        <f>IF($P86="",0,IF(COUNTIFS(업무일지!$F$5:$F$1004,$P86,업무일지!$B$5:$B$1004,"&gt;="&amp;DATE($B$3,1,1),업무일지!$B$5:$B$1004,"&lt;"&amp;DATE($B$3+1,1,1),업무일지!$AA$5:$AA$1004,"*"&amp;$A$22&amp;"*")&gt;0,1,0))</f>
        <v/>
      </c>
      <c r="AG86">
        <f>IF($P86="",0,IF(COUNTIFS(업무일지!$F$5:$F$1004,$P86,업무일지!$B$5:$B$1004,"&gt;="&amp;DATE($B$3,1,1),업무일지!$B$5:$B$1004,"&lt;"&amp;DATE($B$3+1,1,1),업무일지!$AA$5:$AA$1004,"*"&amp;$A$23&amp;"*")&gt;0,1,0))</f>
        <v/>
      </c>
      <c r="AH86">
        <f>IF($P86="",0,IF(COUNTIFS(업무일지!$F$5:$F$1004,$P86,업무일지!$B$5:$B$1004,"&gt;="&amp;DATE($B$3,1,1),업무일지!$B$5:$B$1004,"&lt;"&amp;DATE($B$3+1,1,1),업무일지!$AA$5:$AA$1004,"*"&amp;$A$24&amp;"*")&gt;0,1,0))</f>
        <v/>
      </c>
      <c r="AI86">
        <f>IF($P86="",0,IF(COUNTIFS(업무일지!$F$5:$F$1004,$P86,업무일지!$B$5:$B$1004,"&gt;="&amp;DATE($B$3,1,1),업무일지!$B$5:$B$1004,"&lt;"&amp;DATE($B$3+1,1,1),업무일지!$AA$5:$AA$1004,"*"&amp;$A$25&amp;"*")&gt;0,1,0))</f>
        <v/>
      </c>
      <c r="AJ86">
        <f>IF($P86="",0,IF(COUNTIFS(업무일지!$F$5:$F$1004,$P86,업무일지!$B$5:$B$1004,"&gt;="&amp;DATE($B$3,1,1),업무일지!$B$5:$B$1004,"&lt;"&amp;DATE($B$3+1,1,1),업무일지!$AA$5:$AA$1004,"*"&amp;$A$26&amp;"*")&gt;0,1,0))</f>
        <v/>
      </c>
    </row>
    <row r="87">
      <c r="P87">
        <f>IF(사건마스터!$A32="","",사건마스터!$A32)</f>
        <v/>
      </c>
      <c r="Q87">
        <f>IF($P87="",0,IF(COUNTIFS(업무일지!$F$5:$F$1004,$P87,업무일지!$B$5:$B$1004,"&gt;="&amp;DATE($B$3,1,1),업무일지!$B$5:$B$1004,"&lt;"&amp;DATE($B$3+1,1,1),업무일지!$AA$5:$AA$1004,"*"&amp;$A$7&amp;"*")&gt;0,1,0))</f>
        <v/>
      </c>
      <c r="R87">
        <f>IF($P87="",0,IF(COUNTIFS(업무일지!$F$5:$F$1004,$P87,업무일지!$B$5:$B$1004,"&gt;="&amp;DATE($B$3,1,1),업무일지!$B$5:$B$1004,"&lt;"&amp;DATE($B$3+1,1,1),업무일지!$AA$5:$AA$1004,"*"&amp;$A$8&amp;"*")&gt;0,1,0))</f>
        <v/>
      </c>
      <c r="S87">
        <f>IF($P87="",0,IF(COUNTIFS(업무일지!$F$5:$F$1004,$P87,업무일지!$B$5:$B$1004,"&gt;="&amp;DATE($B$3,1,1),업무일지!$B$5:$B$1004,"&lt;"&amp;DATE($B$3+1,1,1),업무일지!$AA$5:$AA$1004,"*"&amp;$A$9&amp;"*")&gt;0,1,0))</f>
        <v/>
      </c>
      <c r="T87">
        <f>IF($P87="",0,IF(COUNTIFS(업무일지!$F$5:$F$1004,$P87,업무일지!$B$5:$B$1004,"&gt;="&amp;DATE($B$3,1,1),업무일지!$B$5:$B$1004,"&lt;"&amp;DATE($B$3+1,1,1),업무일지!$AA$5:$AA$1004,"*"&amp;$A$10&amp;"*")&gt;0,1,0))</f>
        <v/>
      </c>
      <c r="U87">
        <f>IF($P87="",0,IF(COUNTIFS(업무일지!$F$5:$F$1004,$P87,업무일지!$B$5:$B$1004,"&gt;="&amp;DATE($B$3,1,1),업무일지!$B$5:$B$1004,"&lt;"&amp;DATE($B$3+1,1,1),업무일지!$AA$5:$AA$1004,"*"&amp;$A$11&amp;"*")&gt;0,1,0))</f>
        <v/>
      </c>
      <c r="V87">
        <f>IF($P87="",0,IF(COUNTIFS(업무일지!$F$5:$F$1004,$P87,업무일지!$B$5:$B$1004,"&gt;="&amp;DATE($B$3,1,1),업무일지!$B$5:$B$1004,"&lt;"&amp;DATE($B$3+1,1,1),업무일지!$AA$5:$AA$1004,"*"&amp;$A$12&amp;"*")&gt;0,1,0))</f>
        <v/>
      </c>
      <c r="W87">
        <f>IF($P87="",0,IF(COUNTIFS(업무일지!$F$5:$F$1004,$P87,업무일지!$B$5:$B$1004,"&gt;="&amp;DATE($B$3,1,1),업무일지!$B$5:$B$1004,"&lt;"&amp;DATE($B$3+1,1,1),업무일지!$AA$5:$AA$1004,"*"&amp;$A$13&amp;"*")&gt;0,1,0))</f>
        <v/>
      </c>
      <c r="X87">
        <f>IF($P87="",0,IF(COUNTIFS(업무일지!$F$5:$F$1004,$P87,업무일지!$B$5:$B$1004,"&gt;="&amp;DATE($B$3,1,1),업무일지!$B$5:$B$1004,"&lt;"&amp;DATE($B$3+1,1,1),업무일지!$AA$5:$AA$1004,"*"&amp;$A$14&amp;"*")&gt;0,1,0))</f>
        <v/>
      </c>
      <c r="Y87">
        <f>IF($P87="",0,IF(COUNTIFS(업무일지!$F$5:$F$1004,$P87,업무일지!$B$5:$B$1004,"&gt;="&amp;DATE($B$3,1,1),업무일지!$B$5:$B$1004,"&lt;"&amp;DATE($B$3+1,1,1),업무일지!$AA$5:$AA$1004,"*"&amp;$A$15&amp;"*")&gt;0,1,0))</f>
        <v/>
      </c>
      <c r="Z87">
        <f>IF($P87="",0,IF(COUNTIFS(업무일지!$F$5:$F$1004,$P87,업무일지!$B$5:$B$1004,"&gt;="&amp;DATE($B$3,1,1),업무일지!$B$5:$B$1004,"&lt;"&amp;DATE($B$3+1,1,1),업무일지!$AA$5:$AA$1004,"*"&amp;$A$16&amp;"*")&gt;0,1,0))</f>
        <v/>
      </c>
      <c r="AA87">
        <f>IF($P87="",0,IF(COUNTIFS(업무일지!$F$5:$F$1004,$P87,업무일지!$B$5:$B$1004,"&gt;="&amp;DATE($B$3,1,1),업무일지!$B$5:$B$1004,"&lt;"&amp;DATE($B$3+1,1,1),업무일지!$AA$5:$AA$1004,"*"&amp;$A$17&amp;"*")&gt;0,1,0))</f>
        <v/>
      </c>
      <c r="AB87">
        <f>IF($P87="",0,IF(COUNTIFS(업무일지!$F$5:$F$1004,$P87,업무일지!$B$5:$B$1004,"&gt;="&amp;DATE($B$3,1,1),업무일지!$B$5:$B$1004,"&lt;"&amp;DATE($B$3+1,1,1),업무일지!$AA$5:$AA$1004,"*"&amp;$A$18&amp;"*")&gt;0,1,0))</f>
        <v/>
      </c>
      <c r="AC87">
        <f>IF($P87="",0,IF(COUNTIFS(업무일지!$F$5:$F$1004,$P87,업무일지!$B$5:$B$1004,"&gt;="&amp;DATE($B$3,1,1),업무일지!$B$5:$B$1004,"&lt;"&amp;DATE($B$3+1,1,1),업무일지!$AA$5:$AA$1004,"*"&amp;$A$19&amp;"*")&gt;0,1,0))</f>
        <v/>
      </c>
      <c r="AD87">
        <f>IF($P87="",0,IF(COUNTIFS(업무일지!$F$5:$F$1004,$P87,업무일지!$B$5:$B$1004,"&gt;="&amp;DATE($B$3,1,1),업무일지!$B$5:$B$1004,"&lt;"&amp;DATE($B$3+1,1,1),업무일지!$AA$5:$AA$1004,"*"&amp;$A$20&amp;"*")&gt;0,1,0))</f>
        <v/>
      </c>
      <c r="AE87">
        <f>IF($P87="",0,IF(COUNTIFS(업무일지!$F$5:$F$1004,$P87,업무일지!$B$5:$B$1004,"&gt;="&amp;DATE($B$3,1,1),업무일지!$B$5:$B$1004,"&lt;"&amp;DATE($B$3+1,1,1),업무일지!$AA$5:$AA$1004,"*"&amp;$A$21&amp;"*")&gt;0,1,0))</f>
        <v/>
      </c>
      <c r="AF87">
        <f>IF($P87="",0,IF(COUNTIFS(업무일지!$F$5:$F$1004,$P87,업무일지!$B$5:$B$1004,"&gt;="&amp;DATE($B$3,1,1),업무일지!$B$5:$B$1004,"&lt;"&amp;DATE($B$3+1,1,1),업무일지!$AA$5:$AA$1004,"*"&amp;$A$22&amp;"*")&gt;0,1,0))</f>
        <v/>
      </c>
      <c r="AG87">
        <f>IF($P87="",0,IF(COUNTIFS(업무일지!$F$5:$F$1004,$P87,업무일지!$B$5:$B$1004,"&gt;="&amp;DATE($B$3,1,1),업무일지!$B$5:$B$1004,"&lt;"&amp;DATE($B$3+1,1,1),업무일지!$AA$5:$AA$1004,"*"&amp;$A$23&amp;"*")&gt;0,1,0))</f>
        <v/>
      </c>
      <c r="AH87">
        <f>IF($P87="",0,IF(COUNTIFS(업무일지!$F$5:$F$1004,$P87,업무일지!$B$5:$B$1004,"&gt;="&amp;DATE($B$3,1,1),업무일지!$B$5:$B$1004,"&lt;"&amp;DATE($B$3+1,1,1),업무일지!$AA$5:$AA$1004,"*"&amp;$A$24&amp;"*")&gt;0,1,0))</f>
        <v/>
      </c>
      <c r="AI87">
        <f>IF($P87="",0,IF(COUNTIFS(업무일지!$F$5:$F$1004,$P87,업무일지!$B$5:$B$1004,"&gt;="&amp;DATE($B$3,1,1),업무일지!$B$5:$B$1004,"&lt;"&amp;DATE($B$3+1,1,1),업무일지!$AA$5:$AA$1004,"*"&amp;$A$25&amp;"*")&gt;0,1,0))</f>
        <v/>
      </c>
      <c r="AJ87">
        <f>IF($P87="",0,IF(COUNTIFS(업무일지!$F$5:$F$1004,$P87,업무일지!$B$5:$B$1004,"&gt;="&amp;DATE($B$3,1,1),업무일지!$B$5:$B$1004,"&lt;"&amp;DATE($B$3+1,1,1),업무일지!$AA$5:$AA$1004,"*"&amp;$A$26&amp;"*")&gt;0,1,0))</f>
        <v/>
      </c>
    </row>
    <row r="88">
      <c r="P88">
        <f>IF(사건마스터!$A33="","",사건마스터!$A33)</f>
        <v/>
      </c>
      <c r="Q88">
        <f>IF($P88="",0,IF(COUNTIFS(업무일지!$F$5:$F$1004,$P88,업무일지!$B$5:$B$1004,"&gt;="&amp;DATE($B$3,1,1),업무일지!$B$5:$B$1004,"&lt;"&amp;DATE($B$3+1,1,1),업무일지!$AA$5:$AA$1004,"*"&amp;$A$7&amp;"*")&gt;0,1,0))</f>
        <v/>
      </c>
      <c r="R88">
        <f>IF($P88="",0,IF(COUNTIFS(업무일지!$F$5:$F$1004,$P88,업무일지!$B$5:$B$1004,"&gt;="&amp;DATE($B$3,1,1),업무일지!$B$5:$B$1004,"&lt;"&amp;DATE($B$3+1,1,1),업무일지!$AA$5:$AA$1004,"*"&amp;$A$8&amp;"*")&gt;0,1,0))</f>
        <v/>
      </c>
      <c r="S88">
        <f>IF($P88="",0,IF(COUNTIFS(업무일지!$F$5:$F$1004,$P88,업무일지!$B$5:$B$1004,"&gt;="&amp;DATE($B$3,1,1),업무일지!$B$5:$B$1004,"&lt;"&amp;DATE($B$3+1,1,1),업무일지!$AA$5:$AA$1004,"*"&amp;$A$9&amp;"*")&gt;0,1,0))</f>
        <v/>
      </c>
      <c r="T88">
        <f>IF($P88="",0,IF(COUNTIFS(업무일지!$F$5:$F$1004,$P88,업무일지!$B$5:$B$1004,"&gt;="&amp;DATE($B$3,1,1),업무일지!$B$5:$B$1004,"&lt;"&amp;DATE($B$3+1,1,1),업무일지!$AA$5:$AA$1004,"*"&amp;$A$10&amp;"*")&gt;0,1,0))</f>
        <v/>
      </c>
      <c r="U88">
        <f>IF($P88="",0,IF(COUNTIFS(업무일지!$F$5:$F$1004,$P88,업무일지!$B$5:$B$1004,"&gt;="&amp;DATE($B$3,1,1),업무일지!$B$5:$B$1004,"&lt;"&amp;DATE($B$3+1,1,1),업무일지!$AA$5:$AA$1004,"*"&amp;$A$11&amp;"*")&gt;0,1,0))</f>
        <v/>
      </c>
      <c r="V88">
        <f>IF($P88="",0,IF(COUNTIFS(업무일지!$F$5:$F$1004,$P88,업무일지!$B$5:$B$1004,"&gt;="&amp;DATE($B$3,1,1),업무일지!$B$5:$B$1004,"&lt;"&amp;DATE($B$3+1,1,1),업무일지!$AA$5:$AA$1004,"*"&amp;$A$12&amp;"*")&gt;0,1,0))</f>
        <v/>
      </c>
      <c r="W88">
        <f>IF($P88="",0,IF(COUNTIFS(업무일지!$F$5:$F$1004,$P88,업무일지!$B$5:$B$1004,"&gt;="&amp;DATE($B$3,1,1),업무일지!$B$5:$B$1004,"&lt;"&amp;DATE($B$3+1,1,1),업무일지!$AA$5:$AA$1004,"*"&amp;$A$13&amp;"*")&gt;0,1,0))</f>
        <v/>
      </c>
      <c r="X88">
        <f>IF($P88="",0,IF(COUNTIFS(업무일지!$F$5:$F$1004,$P88,업무일지!$B$5:$B$1004,"&gt;="&amp;DATE($B$3,1,1),업무일지!$B$5:$B$1004,"&lt;"&amp;DATE($B$3+1,1,1),업무일지!$AA$5:$AA$1004,"*"&amp;$A$14&amp;"*")&gt;0,1,0))</f>
        <v/>
      </c>
      <c r="Y88">
        <f>IF($P88="",0,IF(COUNTIFS(업무일지!$F$5:$F$1004,$P88,업무일지!$B$5:$B$1004,"&gt;="&amp;DATE($B$3,1,1),업무일지!$B$5:$B$1004,"&lt;"&amp;DATE($B$3+1,1,1),업무일지!$AA$5:$AA$1004,"*"&amp;$A$15&amp;"*")&gt;0,1,0))</f>
        <v/>
      </c>
      <c r="Z88">
        <f>IF($P88="",0,IF(COUNTIFS(업무일지!$F$5:$F$1004,$P88,업무일지!$B$5:$B$1004,"&gt;="&amp;DATE($B$3,1,1),업무일지!$B$5:$B$1004,"&lt;"&amp;DATE($B$3+1,1,1),업무일지!$AA$5:$AA$1004,"*"&amp;$A$16&amp;"*")&gt;0,1,0))</f>
        <v/>
      </c>
      <c r="AA88">
        <f>IF($P88="",0,IF(COUNTIFS(업무일지!$F$5:$F$1004,$P88,업무일지!$B$5:$B$1004,"&gt;="&amp;DATE($B$3,1,1),업무일지!$B$5:$B$1004,"&lt;"&amp;DATE($B$3+1,1,1),업무일지!$AA$5:$AA$1004,"*"&amp;$A$17&amp;"*")&gt;0,1,0))</f>
        <v/>
      </c>
      <c r="AB88">
        <f>IF($P88="",0,IF(COUNTIFS(업무일지!$F$5:$F$1004,$P88,업무일지!$B$5:$B$1004,"&gt;="&amp;DATE($B$3,1,1),업무일지!$B$5:$B$1004,"&lt;"&amp;DATE($B$3+1,1,1),업무일지!$AA$5:$AA$1004,"*"&amp;$A$18&amp;"*")&gt;0,1,0))</f>
        <v/>
      </c>
      <c r="AC88">
        <f>IF($P88="",0,IF(COUNTIFS(업무일지!$F$5:$F$1004,$P88,업무일지!$B$5:$B$1004,"&gt;="&amp;DATE($B$3,1,1),업무일지!$B$5:$B$1004,"&lt;"&amp;DATE($B$3+1,1,1),업무일지!$AA$5:$AA$1004,"*"&amp;$A$19&amp;"*")&gt;0,1,0))</f>
        <v/>
      </c>
      <c r="AD88">
        <f>IF($P88="",0,IF(COUNTIFS(업무일지!$F$5:$F$1004,$P88,업무일지!$B$5:$B$1004,"&gt;="&amp;DATE($B$3,1,1),업무일지!$B$5:$B$1004,"&lt;"&amp;DATE($B$3+1,1,1),업무일지!$AA$5:$AA$1004,"*"&amp;$A$20&amp;"*")&gt;0,1,0))</f>
        <v/>
      </c>
      <c r="AE88">
        <f>IF($P88="",0,IF(COUNTIFS(업무일지!$F$5:$F$1004,$P88,업무일지!$B$5:$B$1004,"&gt;="&amp;DATE($B$3,1,1),업무일지!$B$5:$B$1004,"&lt;"&amp;DATE($B$3+1,1,1),업무일지!$AA$5:$AA$1004,"*"&amp;$A$21&amp;"*")&gt;0,1,0))</f>
        <v/>
      </c>
      <c r="AF88">
        <f>IF($P88="",0,IF(COUNTIFS(업무일지!$F$5:$F$1004,$P88,업무일지!$B$5:$B$1004,"&gt;="&amp;DATE($B$3,1,1),업무일지!$B$5:$B$1004,"&lt;"&amp;DATE($B$3+1,1,1),업무일지!$AA$5:$AA$1004,"*"&amp;$A$22&amp;"*")&gt;0,1,0))</f>
        <v/>
      </c>
      <c r="AG88">
        <f>IF($P88="",0,IF(COUNTIFS(업무일지!$F$5:$F$1004,$P88,업무일지!$B$5:$B$1004,"&gt;="&amp;DATE($B$3,1,1),업무일지!$B$5:$B$1004,"&lt;"&amp;DATE($B$3+1,1,1),업무일지!$AA$5:$AA$1004,"*"&amp;$A$23&amp;"*")&gt;0,1,0))</f>
        <v/>
      </c>
      <c r="AH88">
        <f>IF($P88="",0,IF(COUNTIFS(업무일지!$F$5:$F$1004,$P88,업무일지!$B$5:$B$1004,"&gt;="&amp;DATE($B$3,1,1),업무일지!$B$5:$B$1004,"&lt;"&amp;DATE($B$3+1,1,1),업무일지!$AA$5:$AA$1004,"*"&amp;$A$24&amp;"*")&gt;0,1,0))</f>
        <v/>
      </c>
      <c r="AI88">
        <f>IF($P88="",0,IF(COUNTIFS(업무일지!$F$5:$F$1004,$P88,업무일지!$B$5:$B$1004,"&gt;="&amp;DATE($B$3,1,1),업무일지!$B$5:$B$1004,"&lt;"&amp;DATE($B$3+1,1,1),업무일지!$AA$5:$AA$1004,"*"&amp;$A$25&amp;"*")&gt;0,1,0))</f>
        <v/>
      </c>
      <c r="AJ88">
        <f>IF($P88="",0,IF(COUNTIFS(업무일지!$F$5:$F$1004,$P88,업무일지!$B$5:$B$1004,"&gt;="&amp;DATE($B$3,1,1),업무일지!$B$5:$B$1004,"&lt;"&amp;DATE($B$3+1,1,1),업무일지!$AA$5:$AA$1004,"*"&amp;$A$26&amp;"*")&gt;0,1,0))</f>
        <v/>
      </c>
    </row>
    <row r="89">
      <c r="P89">
        <f>IF(사건마스터!$A34="","",사건마스터!$A34)</f>
        <v/>
      </c>
      <c r="Q89">
        <f>IF($P89="",0,IF(COUNTIFS(업무일지!$F$5:$F$1004,$P89,업무일지!$B$5:$B$1004,"&gt;="&amp;DATE($B$3,1,1),업무일지!$B$5:$B$1004,"&lt;"&amp;DATE($B$3+1,1,1),업무일지!$AA$5:$AA$1004,"*"&amp;$A$7&amp;"*")&gt;0,1,0))</f>
        <v/>
      </c>
      <c r="R89">
        <f>IF($P89="",0,IF(COUNTIFS(업무일지!$F$5:$F$1004,$P89,업무일지!$B$5:$B$1004,"&gt;="&amp;DATE($B$3,1,1),업무일지!$B$5:$B$1004,"&lt;"&amp;DATE($B$3+1,1,1),업무일지!$AA$5:$AA$1004,"*"&amp;$A$8&amp;"*")&gt;0,1,0))</f>
        <v/>
      </c>
      <c r="S89">
        <f>IF($P89="",0,IF(COUNTIFS(업무일지!$F$5:$F$1004,$P89,업무일지!$B$5:$B$1004,"&gt;="&amp;DATE($B$3,1,1),업무일지!$B$5:$B$1004,"&lt;"&amp;DATE($B$3+1,1,1),업무일지!$AA$5:$AA$1004,"*"&amp;$A$9&amp;"*")&gt;0,1,0))</f>
        <v/>
      </c>
      <c r="T89">
        <f>IF($P89="",0,IF(COUNTIFS(업무일지!$F$5:$F$1004,$P89,업무일지!$B$5:$B$1004,"&gt;="&amp;DATE($B$3,1,1),업무일지!$B$5:$B$1004,"&lt;"&amp;DATE($B$3+1,1,1),업무일지!$AA$5:$AA$1004,"*"&amp;$A$10&amp;"*")&gt;0,1,0))</f>
        <v/>
      </c>
      <c r="U89">
        <f>IF($P89="",0,IF(COUNTIFS(업무일지!$F$5:$F$1004,$P89,업무일지!$B$5:$B$1004,"&gt;="&amp;DATE($B$3,1,1),업무일지!$B$5:$B$1004,"&lt;"&amp;DATE($B$3+1,1,1),업무일지!$AA$5:$AA$1004,"*"&amp;$A$11&amp;"*")&gt;0,1,0))</f>
        <v/>
      </c>
      <c r="V89">
        <f>IF($P89="",0,IF(COUNTIFS(업무일지!$F$5:$F$1004,$P89,업무일지!$B$5:$B$1004,"&gt;="&amp;DATE($B$3,1,1),업무일지!$B$5:$B$1004,"&lt;"&amp;DATE($B$3+1,1,1),업무일지!$AA$5:$AA$1004,"*"&amp;$A$12&amp;"*")&gt;0,1,0))</f>
        <v/>
      </c>
      <c r="W89">
        <f>IF($P89="",0,IF(COUNTIFS(업무일지!$F$5:$F$1004,$P89,업무일지!$B$5:$B$1004,"&gt;="&amp;DATE($B$3,1,1),업무일지!$B$5:$B$1004,"&lt;"&amp;DATE($B$3+1,1,1),업무일지!$AA$5:$AA$1004,"*"&amp;$A$13&amp;"*")&gt;0,1,0))</f>
        <v/>
      </c>
      <c r="X89">
        <f>IF($P89="",0,IF(COUNTIFS(업무일지!$F$5:$F$1004,$P89,업무일지!$B$5:$B$1004,"&gt;="&amp;DATE($B$3,1,1),업무일지!$B$5:$B$1004,"&lt;"&amp;DATE($B$3+1,1,1),업무일지!$AA$5:$AA$1004,"*"&amp;$A$14&amp;"*")&gt;0,1,0))</f>
        <v/>
      </c>
      <c r="Y89">
        <f>IF($P89="",0,IF(COUNTIFS(업무일지!$F$5:$F$1004,$P89,업무일지!$B$5:$B$1004,"&gt;="&amp;DATE($B$3,1,1),업무일지!$B$5:$B$1004,"&lt;"&amp;DATE($B$3+1,1,1),업무일지!$AA$5:$AA$1004,"*"&amp;$A$15&amp;"*")&gt;0,1,0))</f>
        <v/>
      </c>
      <c r="Z89">
        <f>IF($P89="",0,IF(COUNTIFS(업무일지!$F$5:$F$1004,$P89,업무일지!$B$5:$B$1004,"&gt;="&amp;DATE($B$3,1,1),업무일지!$B$5:$B$1004,"&lt;"&amp;DATE($B$3+1,1,1),업무일지!$AA$5:$AA$1004,"*"&amp;$A$16&amp;"*")&gt;0,1,0))</f>
        <v/>
      </c>
      <c r="AA89">
        <f>IF($P89="",0,IF(COUNTIFS(업무일지!$F$5:$F$1004,$P89,업무일지!$B$5:$B$1004,"&gt;="&amp;DATE($B$3,1,1),업무일지!$B$5:$B$1004,"&lt;"&amp;DATE($B$3+1,1,1),업무일지!$AA$5:$AA$1004,"*"&amp;$A$17&amp;"*")&gt;0,1,0))</f>
        <v/>
      </c>
      <c r="AB89">
        <f>IF($P89="",0,IF(COUNTIFS(업무일지!$F$5:$F$1004,$P89,업무일지!$B$5:$B$1004,"&gt;="&amp;DATE($B$3,1,1),업무일지!$B$5:$B$1004,"&lt;"&amp;DATE($B$3+1,1,1),업무일지!$AA$5:$AA$1004,"*"&amp;$A$18&amp;"*")&gt;0,1,0))</f>
        <v/>
      </c>
      <c r="AC89">
        <f>IF($P89="",0,IF(COUNTIFS(업무일지!$F$5:$F$1004,$P89,업무일지!$B$5:$B$1004,"&gt;="&amp;DATE($B$3,1,1),업무일지!$B$5:$B$1004,"&lt;"&amp;DATE($B$3+1,1,1),업무일지!$AA$5:$AA$1004,"*"&amp;$A$19&amp;"*")&gt;0,1,0))</f>
        <v/>
      </c>
      <c r="AD89">
        <f>IF($P89="",0,IF(COUNTIFS(업무일지!$F$5:$F$1004,$P89,업무일지!$B$5:$B$1004,"&gt;="&amp;DATE($B$3,1,1),업무일지!$B$5:$B$1004,"&lt;"&amp;DATE($B$3+1,1,1),업무일지!$AA$5:$AA$1004,"*"&amp;$A$20&amp;"*")&gt;0,1,0))</f>
        <v/>
      </c>
      <c r="AE89">
        <f>IF($P89="",0,IF(COUNTIFS(업무일지!$F$5:$F$1004,$P89,업무일지!$B$5:$B$1004,"&gt;="&amp;DATE($B$3,1,1),업무일지!$B$5:$B$1004,"&lt;"&amp;DATE($B$3+1,1,1),업무일지!$AA$5:$AA$1004,"*"&amp;$A$21&amp;"*")&gt;0,1,0))</f>
        <v/>
      </c>
      <c r="AF89">
        <f>IF($P89="",0,IF(COUNTIFS(업무일지!$F$5:$F$1004,$P89,업무일지!$B$5:$B$1004,"&gt;="&amp;DATE($B$3,1,1),업무일지!$B$5:$B$1004,"&lt;"&amp;DATE($B$3+1,1,1),업무일지!$AA$5:$AA$1004,"*"&amp;$A$22&amp;"*")&gt;0,1,0))</f>
        <v/>
      </c>
      <c r="AG89">
        <f>IF($P89="",0,IF(COUNTIFS(업무일지!$F$5:$F$1004,$P89,업무일지!$B$5:$B$1004,"&gt;="&amp;DATE($B$3,1,1),업무일지!$B$5:$B$1004,"&lt;"&amp;DATE($B$3+1,1,1),업무일지!$AA$5:$AA$1004,"*"&amp;$A$23&amp;"*")&gt;0,1,0))</f>
        <v/>
      </c>
      <c r="AH89">
        <f>IF($P89="",0,IF(COUNTIFS(업무일지!$F$5:$F$1004,$P89,업무일지!$B$5:$B$1004,"&gt;="&amp;DATE($B$3,1,1),업무일지!$B$5:$B$1004,"&lt;"&amp;DATE($B$3+1,1,1),업무일지!$AA$5:$AA$1004,"*"&amp;$A$24&amp;"*")&gt;0,1,0))</f>
        <v/>
      </c>
      <c r="AI89">
        <f>IF($P89="",0,IF(COUNTIFS(업무일지!$F$5:$F$1004,$P89,업무일지!$B$5:$B$1004,"&gt;="&amp;DATE($B$3,1,1),업무일지!$B$5:$B$1004,"&lt;"&amp;DATE($B$3+1,1,1),업무일지!$AA$5:$AA$1004,"*"&amp;$A$25&amp;"*")&gt;0,1,0))</f>
        <v/>
      </c>
      <c r="AJ89">
        <f>IF($P89="",0,IF(COUNTIFS(업무일지!$F$5:$F$1004,$P89,업무일지!$B$5:$B$1004,"&gt;="&amp;DATE($B$3,1,1),업무일지!$B$5:$B$1004,"&lt;"&amp;DATE($B$3+1,1,1),업무일지!$AA$5:$AA$1004,"*"&amp;$A$26&amp;"*")&gt;0,1,0))</f>
        <v/>
      </c>
    </row>
    <row r="90">
      <c r="P90">
        <f>IF(사건마스터!$A35="","",사건마스터!$A35)</f>
        <v/>
      </c>
      <c r="Q90">
        <f>IF($P90="",0,IF(COUNTIFS(업무일지!$F$5:$F$1004,$P90,업무일지!$B$5:$B$1004,"&gt;="&amp;DATE($B$3,1,1),업무일지!$B$5:$B$1004,"&lt;"&amp;DATE($B$3+1,1,1),업무일지!$AA$5:$AA$1004,"*"&amp;$A$7&amp;"*")&gt;0,1,0))</f>
        <v/>
      </c>
      <c r="R90">
        <f>IF($P90="",0,IF(COUNTIFS(업무일지!$F$5:$F$1004,$P90,업무일지!$B$5:$B$1004,"&gt;="&amp;DATE($B$3,1,1),업무일지!$B$5:$B$1004,"&lt;"&amp;DATE($B$3+1,1,1),업무일지!$AA$5:$AA$1004,"*"&amp;$A$8&amp;"*")&gt;0,1,0))</f>
        <v/>
      </c>
      <c r="S90">
        <f>IF($P90="",0,IF(COUNTIFS(업무일지!$F$5:$F$1004,$P90,업무일지!$B$5:$B$1004,"&gt;="&amp;DATE($B$3,1,1),업무일지!$B$5:$B$1004,"&lt;"&amp;DATE($B$3+1,1,1),업무일지!$AA$5:$AA$1004,"*"&amp;$A$9&amp;"*")&gt;0,1,0))</f>
        <v/>
      </c>
      <c r="T90">
        <f>IF($P90="",0,IF(COUNTIFS(업무일지!$F$5:$F$1004,$P90,업무일지!$B$5:$B$1004,"&gt;="&amp;DATE($B$3,1,1),업무일지!$B$5:$B$1004,"&lt;"&amp;DATE($B$3+1,1,1),업무일지!$AA$5:$AA$1004,"*"&amp;$A$10&amp;"*")&gt;0,1,0))</f>
        <v/>
      </c>
      <c r="U90">
        <f>IF($P90="",0,IF(COUNTIFS(업무일지!$F$5:$F$1004,$P90,업무일지!$B$5:$B$1004,"&gt;="&amp;DATE($B$3,1,1),업무일지!$B$5:$B$1004,"&lt;"&amp;DATE($B$3+1,1,1),업무일지!$AA$5:$AA$1004,"*"&amp;$A$11&amp;"*")&gt;0,1,0))</f>
        <v/>
      </c>
      <c r="V90">
        <f>IF($P90="",0,IF(COUNTIFS(업무일지!$F$5:$F$1004,$P90,업무일지!$B$5:$B$1004,"&gt;="&amp;DATE($B$3,1,1),업무일지!$B$5:$B$1004,"&lt;"&amp;DATE($B$3+1,1,1),업무일지!$AA$5:$AA$1004,"*"&amp;$A$12&amp;"*")&gt;0,1,0))</f>
        <v/>
      </c>
      <c r="W90">
        <f>IF($P90="",0,IF(COUNTIFS(업무일지!$F$5:$F$1004,$P90,업무일지!$B$5:$B$1004,"&gt;="&amp;DATE($B$3,1,1),업무일지!$B$5:$B$1004,"&lt;"&amp;DATE($B$3+1,1,1),업무일지!$AA$5:$AA$1004,"*"&amp;$A$13&amp;"*")&gt;0,1,0))</f>
        <v/>
      </c>
      <c r="X90">
        <f>IF($P90="",0,IF(COUNTIFS(업무일지!$F$5:$F$1004,$P90,업무일지!$B$5:$B$1004,"&gt;="&amp;DATE($B$3,1,1),업무일지!$B$5:$B$1004,"&lt;"&amp;DATE($B$3+1,1,1),업무일지!$AA$5:$AA$1004,"*"&amp;$A$14&amp;"*")&gt;0,1,0))</f>
        <v/>
      </c>
      <c r="Y90">
        <f>IF($P90="",0,IF(COUNTIFS(업무일지!$F$5:$F$1004,$P90,업무일지!$B$5:$B$1004,"&gt;="&amp;DATE($B$3,1,1),업무일지!$B$5:$B$1004,"&lt;"&amp;DATE($B$3+1,1,1),업무일지!$AA$5:$AA$1004,"*"&amp;$A$15&amp;"*")&gt;0,1,0))</f>
        <v/>
      </c>
      <c r="Z90">
        <f>IF($P90="",0,IF(COUNTIFS(업무일지!$F$5:$F$1004,$P90,업무일지!$B$5:$B$1004,"&gt;="&amp;DATE($B$3,1,1),업무일지!$B$5:$B$1004,"&lt;"&amp;DATE($B$3+1,1,1),업무일지!$AA$5:$AA$1004,"*"&amp;$A$16&amp;"*")&gt;0,1,0))</f>
        <v/>
      </c>
      <c r="AA90">
        <f>IF($P90="",0,IF(COUNTIFS(업무일지!$F$5:$F$1004,$P90,업무일지!$B$5:$B$1004,"&gt;="&amp;DATE($B$3,1,1),업무일지!$B$5:$B$1004,"&lt;"&amp;DATE($B$3+1,1,1),업무일지!$AA$5:$AA$1004,"*"&amp;$A$17&amp;"*")&gt;0,1,0))</f>
        <v/>
      </c>
      <c r="AB90">
        <f>IF($P90="",0,IF(COUNTIFS(업무일지!$F$5:$F$1004,$P90,업무일지!$B$5:$B$1004,"&gt;="&amp;DATE($B$3,1,1),업무일지!$B$5:$B$1004,"&lt;"&amp;DATE($B$3+1,1,1),업무일지!$AA$5:$AA$1004,"*"&amp;$A$18&amp;"*")&gt;0,1,0))</f>
        <v/>
      </c>
      <c r="AC90">
        <f>IF($P90="",0,IF(COUNTIFS(업무일지!$F$5:$F$1004,$P90,업무일지!$B$5:$B$1004,"&gt;="&amp;DATE($B$3,1,1),업무일지!$B$5:$B$1004,"&lt;"&amp;DATE($B$3+1,1,1),업무일지!$AA$5:$AA$1004,"*"&amp;$A$19&amp;"*")&gt;0,1,0))</f>
        <v/>
      </c>
      <c r="AD90">
        <f>IF($P90="",0,IF(COUNTIFS(업무일지!$F$5:$F$1004,$P90,업무일지!$B$5:$B$1004,"&gt;="&amp;DATE($B$3,1,1),업무일지!$B$5:$B$1004,"&lt;"&amp;DATE($B$3+1,1,1),업무일지!$AA$5:$AA$1004,"*"&amp;$A$20&amp;"*")&gt;0,1,0))</f>
        <v/>
      </c>
      <c r="AE90">
        <f>IF($P90="",0,IF(COUNTIFS(업무일지!$F$5:$F$1004,$P90,업무일지!$B$5:$B$1004,"&gt;="&amp;DATE($B$3,1,1),업무일지!$B$5:$B$1004,"&lt;"&amp;DATE($B$3+1,1,1),업무일지!$AA$5:$AA$1004,"*"&amp;$A$21&amp;"*")&gt;0,1,0))</f>
        <v/>
      </c>
      <c r="AF90">
        <f>IF($P90="",0,IF(COUNTIFS(업무일지!$F$5:$F$1004,$P90,업무일지!$B$5:$B$1004,"&gt;="&amp;DATE($B$3,1,1),업무일지!$B$5:$B$1004,"&lt;"&amp;DATE($B$3+1,1,1),업무일지!$AA$5:$AA$1004,"*"&amp;$A$22&amp;"*")&gt;0,1,0))</f>
        <v/>
      </c>
      <c r="AG90">
        <f>IF($P90="",0,IF(COUNTIFS(업무일지!$F$5:$F$1004,$P90,업무일지!$B$5:$B$1004,"&gt;="&amp;DATE($B$3,1,1),업무일지!$B$5:$B$1004,"&lt;"&amp;DATE($B$3+1,1,1),업무일지!$AA$5:$AA$1004,"*"&amp;$A$23&amp;"*")&gt;0,1,0))</f>
        <v/>
      </c>
      <c r="AH90">
        <f>IF($P90="",0,IF(COUNTIFS(업무일지!$F$5:$F$1004,$P90,업무일지!$B$5:$B$1004,"&gt;="&amp;DATE($B$3,1,1),업무일지!$B$5:$B$1004,"&lt;"&amp;DATE($B$3+1,1,1),업무일지!$AA$5:$AA$1004,"*"&amp;$A$24&amp;"*")&gt;0,1,0))</f>
        <v/>
      </c>
      <c r="AI90">
        <f>IF($P90="",0,IF(COUNTIFS(업무일지!$F$5:$F$1004,$P90,업무일지!$B$5:$B$1004,"&gt;="&amp;DATE($B$3,1,1),업무일지!$B$5:$B$1004,"&lt;"&amp;DATE($B$3+1,1,1),업무일지!$AA$5:$AA$1004,"*"&amp;$A$25&amp;"*")&gt;0,1,0))</f>
        <v/>
      </c>
      <c r="AJ90">
        <f>IF($P90="",0,IF(COUNTIFS(업무일지!$F$5:$F$1004,$P90,업무일지!$B$5:$B$1004,"&gt;="&amp;DATE($B$3,1,1),업무일지!$B$5:$B$1004,"&lt;"&amp;DATE($B$3+1,1,1),업무일지!$AA$5:$AA$1004,"*"&amp;$A$26&amp;"*")&gt;0,1,0))</f>
        <v/>
      </c>
    </row>
    <row r="91">
      <c r="P91">
        <f>IF(사건마스터!$A36="","",사건마스터!$A36)</f>
        <v/>
      </c>
      <c r="Q91">
        <f>IF($P91="",0,IF(COUNTIFS(업무일지!$F$5:$F$1004,$P91,업무일지!$B$5:$B$1004,"&gt;="&amp;DATE($B$3,1,1),업무일지!$B$5:$B$1004,"&lt;"&amp;DATE($B$3+1,1,1),업무일지!$AA$5:$AA$1004,"*"&amp;$A$7&amp;"*")&gt;0,1,0))</f>
        <v/>
      </c>
      <c r="R91">
        <f>IF($P91="",0,IF(COUNTIFS(업무일지!$F$5:$F$1004,$P91,업무일지!$B$5:$B$1004,"&gt;="&amp;DATE($B$3,1,1),업무일지!$B$5:$B$1004,"&lt;"&amp;DATE($B$3+1,1,1),업무일지!$AA$5:$AA$1004,"*"&amp;$A$8&amp;"*")&gt;0,1,0))</f>
        <v/>
      </c>
      <c r="S91">
        <f>IF($P91="",0,IF(COUNTIFS(업무일지!$F$5:$F$1004,$P91,업무일지!$B$5:$B$1004,"&gt;="&amp;DATE($B$3,1,1),업무일지!$B$5:$B$1004,"&lt;"&amp;DATE($B$3+1,1,1),업무일지!$AA$5:$AA$1004,"*"&amp;$A$9&amp;"*")&gt;0,1,0))</f>
        <v/>
      </c>
      <c r="T91">
        <f>IF($P91="",0,IF(COUNTIFS(업무일지!$F$5:$F$1004,$P91,업무일지!$B$5:$B$1004,"&gt;="&amp;DATE($B$3,1,1),업무일지!$B$5:$B$1004,"&lt;"&amp;DATE($B$3+1,1,1),업무일지!$AA$5:$AA$1004,"*"&amp;$A$10&amp;"*")&gt;0,1,0))</f>
        <v/>
      </c>
      <c r="U91">
        <f>IF($P91="",0,IF(COUNTIFS(업무일지!$F$5:$F$1004,$P91,업무일지!$B$5:$B$1004,"&gt;="&amp;DATE($B$3,1,1),업무일지!$B$5:$B$1004,"&lt;"&amp;DATE($B$3+1,1,1),업무일지!$AA$5:$AA$1004,"*"&amp;$A$11&amp;"*")&gt;0,1,0))</f>
        <v/>
      </c>
      <c r="V91">
        <f>IF($P91="",0,IF(COUNTIFS(업무일지!$F$5:$F$1004,$P91,업무일지!$B$5:$B$1004,"&gt;="&amp;DATE($B$3,1,1),업무일지!$B$5:$B$1004,"&lt;"&amp;DATE($B$3+1,1,1),업무일지!$AA$5:$AA$1004,"*"&amp;$A$12&amp;"*")&gt;0,1,0))</f>
        <v/>
      </c>
      <c r="W91">
        <f>IF($P91="",0,IF(COUNTIFS(업무일지!$F$5:$F$1004,$P91,업무일지!$B$5:$B$1004,"&gt;="&amp;DATE($B$3,1,1),업무일지!$B$5:$B$1004,"&lt;"&amp;DATE($B$3+1,1,1),업무일지!$AA$5:$AA$1004,"*"&amp;$A$13&amp;"*")&gt;0,1,0))</f>
        <v/>
      </c>
      <c r="X91">
        <f>IF($P91="",0,IF(COUNTIFS(업무일지!$F$5:$F$1004,$P91,업무일지!$B$5:$B$1004,"&gt;="&amp;DATE($B$3,1,1),업무일지!$B$5:$B$1004,"&lt;"&amp;DATE($B$3+1,1,1),업무일지!$AA$5:$AA$1004,"*"&amp;$A$14&amp;"*")&gt;0,1,0))</f>
        <v/>
      </c>
      <c r="Y91">
        <f>IF($P91="",0,IF(COUNTIFS(업무일지!$F$5:$F$1004,$P91,업무일지!$B$5:$B$1004,"&gt;="&amp;DATE($B$3,1,1),업무일지!$B$5:$B$1004,"&lt;"&amp;DATE($B$3+1,1,1),업무일지!$AA$5:$AA$1004,"*"&amp;$A$15&amp;"*")&gt;0,1,0))</f>
        <v/>
      </c>
      <c r="Z91">
        <f>IF($P91="",0,IF(COUNTIFS(업무일지!$F$5:$F$1004,$P91,업무일지!$B$5:$B$1004,"&gt;="&amp;DATE($B$3,1,1),업무일지!$B$5:$B$1004,"&lt;"&amp;DATE($B$3+1,1,1),업무일지!$AA$5:$AA$1004,"*"&amp;$A$16&amp;"*")&gt;0,1,0))</f>
        <v/>
      </c>
      <c r="AA91">
        <f>IF($P91="",0,IF(COUNTIFS(업무일지!$F$5:$F$1004,$P91,업무일지!$B$5:$B$1004,"&gt;="&amp;DATE($B$3,1,1),업무일지!$B$5:$B$1004,"&lt;"&amp;DATE($B$3+1,1,1),업무일지!$AA$5:$AA$1004,"*"&amp;$A$17&amp;"*")&gt;0,1,0))</f>
        <v/>
      </c>
      <c r="AB91">
        <f>IF($P91="",0,IF(COUNTIFS(업무일지!$F$5:$F$1004,$P91,업무일지!$B$5:$B$1004,"&gt;="&amp;DATE($B$3,1,1),업무일지!$B$5:$B$1004,"&lt;"&amp;DATE($B$3+1,1,1),업무일지!$AA$5:$AA$1004,"*"&amp;$A$18&amp;"*")&gt;0,1,0))</f>
        <v/>
      </c>
      <c r="AC91">
        <f>IF($P91="",0,IF(COUNTIFS(업무일지!$F$5:$F$1004,$P91,업무일지!$B$5:$B$1004,"&gt;="&amp;DATE($B$3,1,1),업무일지!$B$5:$B$1004,"&lt;"&amp;DATE($B$3+1,1,1),업무일지!$AA$5:$AA$1004,"*"&amp;$A$19&amp;"*")&gt;0,1,0))</f>
        <v/>
      </c>
      <c r="AD91">
        <f>IF($P91="",0,IF(COUNTIFS(업무일지!$F$5:$F$1004,$P91,업무일지!$B$5:$B$1004,"&gt;="&amp;DATE($B$3,1,1),업무일지!$B$5:$B$1004,"&lt;"&amp;DATE($B$3+1,1,1),업무일지!$AA$5:$AA$1004,"*"&amp;$A$20&amp;"*")&gt;0,1,0))</f>
        <v/>
      </c>
      <c r="AE91">
        <f>IF($P91="",0,IF(COUNTIFS(업무일지!$F$5:$F$1004,$P91,업무일지!$B$5:$B$1004,"&gt;="&amp;DATE($B$3,1,1),업무일지!$B$5:$B$1004,"&lt;"&amp;DATE($B$3+1,1,1),업무일지!$AA$5:$AA$1004,"*"&amp;$A$21&amp;"*")&gt;0,1,0))</f>
        <v/>
      </c>
      <c r="AF91">
        <f>IF($P91="",0,IF(COUNTIFS(업무일지!$F$5:$F$1004,$P91,업무일지!$B$5:$B$1004,"&gt;="&amp;DATE($B$3,1,1),업무일지!$B$5:$B$1004,"&lt;"&amp;DATE($B$3+1,1,1),업무일지!$AA$5:$AA$1004,"*"&amp;$A$22&amp;"*")&gt;0,1,0))</f>
        <v/>
      </c>
      <c r="AG91">
        <f>IF($P91="",0,IF(COUNTIFS(업무일지!$F$5:$F$1004,$P91,업무일지!$B$5:$B$1004,"&gt;="&amp;DATE($B$3,1,1),업무일지!$B$5:$B$1004,"&lt;"&amp;DATE($B$3+1,1,1),업무일지!$AA$5:$AA$1004,"*"&amp;$A$23&amp;"*")&gt;0,1,0))</f>
        <v/>
      </c>
      <c r="AH91">
        <f>IF($P91="",0,IF(COUNTIFS(업무일지!$F$5:$F$1004,$P91,업무일지!$B$5:$B$1004,"&gt;="&amp;DATE($B$3,1,1),업무일지!$B$5:$B$1004,"&lt;"&amp;DATE($B$3+1,1,1),업무일지!$AA$5:$AA$1004,"*"&amp;$A$24&amp;"*")&gt;0,1,0))</f>
        <v/>
      </c>
      <c r="AI91">
        <f>IF($P91="",0,IF(COUNTIFS(업무일지!$F$5:$F$1004,$P91,업무일지!$B$5:$B$1004,"&gt;="&amp;DATE($B$3,1,1),업무일지!$B$5:$B$1004,"&lt;"&amp;DATE($B$3+1,1,1),업무일지!$AA$5:$AA$1004,"*"&amp;$A$25&amp;"*")&gt;0,1,0))</f>
        <v/>
      </c>
      <c r="AJ91">
        <f>IF($P91="",0,IF(COUNTIFS(업무일지!$F$5:$F$1004,$P91,업무일지!$B$5:$B$1004,"&gt;="&amp;DATE($B$3,1,1),업무일지!$B$5:$B$1004,"&lt;"&amp;DATE($B$3+1,1,1),업무일지!$AA$5:$AA$1004,"*"&amp;$A$26&amp;"*")&gt;0,1,0))</f>
        <v/>
      </c>
    </row>
    <row r="92">
      <c r="P92">
        <f>IF(사건마스터!$A37="","",사건마스터!$A37)</f>
        <v/>
      </c>
      <c r="Q92">
        <f>IF($P92="",0,IF(COUNTIFS(업무일지!$F$5:$F$1004,$P92,업무일지!$B$5:$B$1004,"&gt;="&amp;DATE($B$3,1,1),업무일지!$B$5:$B$1004,"&lt;"&amp;DATE($B$3+1,1,1),업무일지!$AA$5:$AA$1004,"*"&amp;$A$7&amp;"*")&gt;0,1,0))</f>
        <v/>
      </c>
      <c r="R92">
        <f>IF($P92="",0,IF(COUNTIFS(업무일지!$F$5:$F$1004,$P92,업무일지!$B$5:$B$1004,"&gt;="&amp;DATE($B$3,1,1),업무일지!$B$5:$B$1004,"&lt;"&amp;DATE($B$3+1,1,1),업무일지!$AA$5:$AA$1004,"*"&amp;$A$8&amp;"*")&gt;0,1,0))</f>
        <v/>
      </c>
      <c r="S92">
        <f>IF($P92="",0,IF(COUNTIFS(업무일지!$F$5:$F$1004,$P92,업무일지!$B$5:$B$1004,"&gt;="&amp;DATE($B$3,1,1),업무일지!$B$5:$B$1004,"&lt;"&amp;DATE($B$3+1,1,1),업무일지!$AA$5:$AA$1004,"*"&amp;$A$9&amp;"*")&gt;0,1,0))</f>
        <v/>
      </c>
      <c r="T92">
        <f>IF($P92="",0,IF(COUNTIFS(업무일지!$F$5:$F$1004,$P92,업무일지!$B$5:$B$1004,"&gt;="&amp;DATE($B$3,1,1),업무일지!$B$5:$B$1004,"&lt;"&amp;DATE($B$3+1,1,1),업무일지!$AA$5:$AA$1004,"*"&amp;$A$10&amp;"*")&gt;0,1,0))</f>
        <v/>
      </c>
      <c r="U92">
        <f>IF($P92="",0,IF(COUNTIFS(업무일지!$F$5:$F$1004,$P92,업무일지!$B$5:$B$1004,"&gt;="&amp;DATE($B$3,1,1),업무일지!$B$5:$B$1004,"&lt;"&amp;DATE($B$3+1,1,1),업무일지!$AA$5:$AA$1004,"*"&amp;$A$11&amp;"*")&gt;0,1,0))</f>
        <v/>
      </c>
      <c r="V92">
        <f>IF($P92="",0,IF(COUNTIFS(업무일지!$F$5:$F$1004,$P92,업무일지!$B$5:$B$1004,"&gt;="&amp;DATE($B$3,1,1),업무일지!$B$5:$B$1004,"&lt;"&amp;DATE($B$3+1,1,1),업무일지!$AA$5:$AA$1004,"*"&amp;$A$12&amp;"*")&gt;0,1,0))</f>
        <v/>
      </c>
      <c r="W92">
        <f>IF($P92="",0,IF(COUNTIFS(업무일지!$F$5:$F$1004,$P92,업무일지!$B$5:$B$1004,"&gt;="&amp;DATE($B$3,1,1),업무일지!$B$5:$B$1004,"&lt;"&amp;DATE($B$3+1,1,1),업무일지!$AA$5:$AA$1004,"*"&amp;$A$13&amp;"*")&gt;0,1,0))</f>
        <v/>
      </c>
      <c r="X92">
        <f>IF($P92="",0,IF(COUNTIFS(업무일지!$F$5:$F$1004,$P92,업무일지!$B$5:$B$1004,"&gt;="&amp;DATE($B$3,1,1),업무일지!$B$5:$B$1004,"&lt;"&amp;DATE($B$3+1,1,1),업무일지!$AA$5:$AA$1004,"*"&amp;$A$14&amp;"*")&gt;0,1,0))</f>
        <v/>
      </c>
      <c r="Y92">
        <f>IF($P92="",0,IF(COUNTIFS(업무일지!$F$5:$F$1004,$P92,업무일지!$B$5:$B$1004,"&gt;="&amp;DATE($B$3,1,1),업무일지!$B$5:$B$1004,"&lt;"&amp;DATE($B$3+1,1,1),업무일지!$AA$5:$AA$1004,"*"&amp;$A$15&amp;"*")&gt;0,1,0))</f>
        <v/>
      </c>
      <c r="Z92">
        <f>IF($P92="",0,IF(COUNTIFS(업무일지!$F$5:$F$1004,$P92,업무일지!$B$5:$B$1004,"&gt;="&amp;DATE($B$3,1,1),업무일지!$B$5:$B$1004,"&lt;"&amp;DATE($B$3+1,1,1),업무일지!$AA$5:$AA$1004,"*"&amp;$A$16&amp;"*")&gt;0,1,0))</f>
        <v/>
      </c>
      <c r="AA92">
        <f>IF($P92="",0,IF(COUNTIFS(업무일지!$F$5:$F$1004,$P92,업무일지!$B$5:$B$1004,"&gt;="&amp;DATE($B$3,1,1),업무일지!$B$5:$B$1004,"&lt;"&amp;DATE($B$3+1,1,1),업무일지!$AA$5:$AA$1004,"*"&amp;$A$17&amp;"*")&gt;0,1,0))</f>
        <v/>
      </c>
      <c r="AB92">
        <f>IF($P92="",0,IF(COUNTIFS(업무일지!$F$5:$F$1004,$P92,업무일지!$B$5:$B$1004,"&gt;="&amp;DATE($B$3,1,1),업무일지!$B$5:$B$1004,"&lt;"&amp;DATE($B$3+1,1,1),업무일지!$AA$5:$AA$1004,"*"&amp;$A$18&amp;"*")&gt;0,1,0))</f>
        <v/>
      </c>
      <c r="AC92">
        <f>IF($P92="",0,IF(COUNTIFS(업무일지!$F$5:$F$1004,$P92,업무일지!$B$5:$B$1004,"&gt;="&amp;DATE($B$3,1,1),업무일지!$B$5:$B$1004,"&lt;"&amp;DATE($B$3+1,1,1),업무일지!$AA$5:$AA$1004,"*"&amp;$A$19&amp;"*")&gt;0,1,0))</f>
        <v/>
      </c>
      <c r="AD92">
        <f>IF($P92="",0,IF(COUNTIFS(업무일지!$F$5:$F$1004,$P92,업무일지!$B$5:$B$1004,"&gt;="&amp;DATE($B$3,1,1),업무일지!$B$5:$B$1004,"&lt;"&amp;DATE($B$3+1,1,1),업무일지!$AA$5:$AA$1004,"*"&amp;$A$20&amp;"*")&gt;0,1,0))</f>
        <v/>
      </c>
      <c r="AE92">
        <f>IF($P92="",0,IF(COUNTIFS(업무일지!$F$5:$F$1004,$P92,업무일지!$B$5:$B$1004,"&gt;="&amp;DATE($B$3,1,1),업무일지!$B$5:$B$1004,"&lt;"&amp;DATE($B$3+1,1,1),업무일지!$AA$5:$AA$1004,"*"&amp;$A$21&amp;"*")&gt;0,1,0))</f>
        <v/>
      </c>
      <c r="AF92">
        <f>IF($P92="",0,IF(COUNTIFS(업무일지!$F$5:$F$1004,$P92,업무일지!$B$5:$B$1004,"&gt;="&amp;DATE($B$3,1,1),업무일지!$B$5:$B$1004,"&lt;"&amp;DATE($B$3+1,1,1),업무일지!$AA$5:$AA$1004,"*"&amp;$A$22&amp;"*")&gt;0,1,0))</f>
        <v/>
      </c>
      <c r="AG92">
        <f>IF($P92="",0,IF(COUNTIFS(업무일지!$F$5:$F$1004,$P92,업무일지!$B$5:$B$1004,"&gt;="&amp;DATE($B$3,1,1),업무일지!$B$5:$B$1004,"&lt;"&amp;DATE($B$3+1,1,1),업무일지!$AA$5:$AA$1004,"*"&amp;$A$23&amp;"*")&gt;0,1,0))</f>
        <v/>
      </c>
      <c r="AH92">
        <f>IF($P92="",0,IF(COUNTIFS(업무일지!$F$5:$F$1004,$P92,업무일지!$B$5:$B$1004,"&gt;="&amp;DATE($B$3,1,1),업무일지!$B$5:$B$1004,"&lt;"&amp;DATE($B$3+1,1,1),업무일지!$AA$5:$AA$1004,"*"&amp;$A$24&amp;"*")&gt;0,1,0))</f>
        <v/>
      </c>
      <c r="AI92">
        <f>IF($P92="",0,IF(COUNTIFS(업무일지!$F$5:$F$1004,$P92,업무일지!$B$5:$B$1004,"&gt;="&amp;DATE($B$3,1,1),업무일지!$B$5:$B$1004,"&lt;"&amp;DATE($B$3+1,1,1),업무일지!$AA$5:$AA$1004,"*"&amp;$A$25&amp;"*")&gt;0,1,0))</f>
        <v/>
      </c>
      <c r="AJ92">
        <f>IF($P92="",0,IF(COUNTIFS(업무일지!$F$5:$F$1004,$P92,업무일지!$B$5:$B$1004,"&gt;="&amp;DATE($B$3,1,1),업무일지!$B$5:$B$1004,"&lt;"&amp;DATE($B$3+1,1,1),업무일지!$AA$5:$AA$1004,"*"&amp;$A$26&amp;"*")&gt;0,1,0))</f>
        <v/>
      </c>
    </row>
    <row r="93">
      <c r="P93">
        <f>IF(사건마스터!$A38="","",사건마스터!$A38)</f>
        <v/>
      </c>
      <c r="Q93">
        <f>IF($P93="",0,IF(COUNTIFS(업무일지!$F$5:$F$1004,$P93,업무일지!$B$5:$B$1004,"&gt;="&amp;DATE($B$3,1,1),업무일지!$B$5:$B$1004,"&lt;"&amp;DATE($B$3+1,1,1),업무일지!$AA$5:$AA$1004,"*"&amp;$A$7&amp;"*")&gt;0,1,0))</f>
        <v/>
      </c>
      <c r="R93">
        <f>IF($P93="",0,IF(COUNTIFS(업무일지!$F$5:$F$1004,$P93,업무일지!$B$5:$B$1004,"&gt;="&amp;DATE($B$3,1,1),업무일지!$B$5:$B$1004,"&lt;"&amp;DATE($B$3+1,1,1),업무일지!$AA$5:$AA$1004,"*"&amp;$A$8&amp;"*")&gt;0,1,0))</f>
        <v/>
      </c>
      <c r="S93">
        <f>IF($P93="",0,IF(COUNTIFS(업무일지!$F$5:$F$1004,$P93,업무일지!$B$5:$B$1004,"&gt;="&amp;DATE($B$3,1,1),업무일지!$B$5:$B$1004,"&lt;"&amp;DATE($B$3+1,1,1),업무일지!$AA$5:$AA$1004,"*"&amp;$A$9&amp;"*")&gt;0,1,0))</f>
        <v/>
      </c>
      <c r="T93">
        <f>IF($P93="",0,IF(COUNTIFS(업무일지!$F$5:$F$1004,$P93,업무일지!$B$5:$B$1004,"&gt;="&amp;DATE($B$3,1,1),업무일지!$B$5:$B$1004,"&lt;"&amp;DATE($B$3+1,1,1),업무일지!$AA$5:$AA$1004,"*"&amp;$A$10&amp;"*")&gt;0,1,0))</f>
        <v/>
      </c>
      <c r="U93">
        <f>IF($P93="",0,IF(COUNTIFS(업무일지!$F$5:$F$1004,$P93,업무일지!$B$5:$B$1004,"&gt;="&amp;DATE($B$3,1,1),업무일지!$B$5:$B$1004,"&lt;"&amp;DATE($B$3+1,1,1),업무일지!$AA$5:$AA$1004,"*"&amp;$A$11&amp;"*")&gt;0,1,0))</f>
        <v/>
      </c>
      <c r="V93">
        <f>IF($P93="",0,IF(COUNTIFS(업무일지!$F$5:$F$1004,$P93,업무일지!$B$5:$B$1004,"&gt;="&amp;DATE($B$3,1,1),업무일지!$B$5:$B$1004,"&lt;"&amp;DATE($B$3+1,1,1),업무일지!$AA$5:$AA$1004,"*"&amp;$A$12&amp;"*")&gt;0,1,0))</f>
        <v/>
      </c>
      <c r="W93">
        <f>IF($P93="",0,IF(COUNTIFS(업무일지!$F$5:$F$1004,$P93,업무일지!$B$5:$B$1004,"&gt;="&amp;DATE($B$3,1,1),업무일지!$B$5:$B$1004,"&lt;"&amp;DATE($B$3+1,1,1),업무일지!$AA$5:$AA$1004,"*"&amp;$A$13&amp;"*")&gt;0,1,0))</f>
        <v/>
      </c>
      <c r="X93">
        <f>IF($P93="",0,IF(COUNTIFS(업무일지!$F$5:$F$1004,$P93,업무일지!$B$5:$B$1004,"&gt;="&amp;DATE($B$3,1,1),업무일지!$B$5:$B$1004,"&lt;"&amp;DATE($B$3+1,1,1),업무일지!$AA$5:$AA$1004,"*"&amp;$A$14&amp;"*")&gt;0,1,0))</f>
        <v/>
      </c>
      <c r="Y93">
        <f>IF($P93="",0,IF(COUNTIFS(업무일지!$F$5:$F$1004,$P93,업무일지!$B$5:$B$1004,"&gt;="&amp;DATE($B$3,1,1),업무일지!$B$5:$B$1004,"&lt;"&amp;DATE($B$3+1,1,1),업무일지!$AA$5:$AA$1004,"*"&amp;$A$15&amp;"*")&gt;0,1,0))</f>
        <v/>
      </c>
      <c r="Z93">
        <f>IF($P93="",0,IF(COUNTIFS(업무일지!$F$5:$F$1004,$P93,업무일지!$B$5:$B$1004,"&gt;="&amp;DATE($B$3,1,1),업무일지!$B$5:$B$1004,"&lt;"&amp;DATE($B$3+1,1,1),업무일지!$AA$5:$AA$1004,"*"&amp;$A$16&amp;"*")&gt;0,1,0))</f>
        <v/>
      </c>
      <c r="AA93">
        <f>IF($P93="",0,IF(COUNTIFS(업무일지!$F$5:$F$1004,$P93,업무일지!$B$5:$B$1004,"&gt;="&amp;DATE($B$3,1,1),업무일지!$B$5:$B$1004,"&lt;"&amp;DATE($B$3+1,1,1),업무일지!$AA$5:$AA$1004,"*"&amp;$A$17&amp;"*")&gt;0,1,0))</f>
        <v/>
      </c>
      <c r="AB93">
        <f>IF($P93="",0,IF(COUNTIFS(업무일지!$F$5:$F$1004,$P93,업무일지!$B$5:$B$1004,"&gt;="&amp;DATE($B$3,1,1),업무일지!$B$5:$B$1004,"&lt;"&amp;DATE($B$3+1,1,1),업무일지!$AA$5:$AA$1004,"*"&amp;$A$18&amp;"*")&gt;0,1,0))</f>
        <v/>
      </c>
      <c r="AC93">
        <f>IF($P93="",0,IF(COUNTIFS(업무일지!$F$5:$F$1004,$P93,업무일지!$B$5:$B$1004,"&gt;="&amp;DATE($B$3,1,1),업무일지!$B$5:$B$1004,"&lt;"&amp;DATE($B$3+1,1,1),업무일지!$AA$5:$AA$1004,"*"&amp;$A$19&amp;"*")&gt;0,1,0))</f>
        <v/>
      </c>
      <c r="AD93">
        <f>IF($P93="",0,IF(COUNTIFS(업무일지!$F$5:$F$1004,$P93,업무일지!$B$5:$B$1004,"&gt;="&amp;DATE($B$3,1,1),업무일지!$B$5:$B$1004,"&lt;"&amp;DATE($B$3+1,1,1),업무일지!$AA$5:$AA$1004,"*"&amp;$A$20&amp;"*")&gt;0,1,0))</f>
        <v/>
      </c>
      <c r="AE93">
        <f>IF($P93="",0,IF(COUNTIFS(업무일지!$F$5:$F$1004,$P93,업무일지!$B$5:$B$1004,"&gt;="&amp;DATE($B$3,1,1),업무일지!$B$5:$B$1004,"&lt;"&amp;DATE($B$3+1,1,1),업무일지!$AA$5:$AA$1004,"*"&amp;$A$21&amp;"*")&gt;0,1,0))</f>
        <v/>
      </c>
      <c r="AF93">
        <f>IF($P93="",0,IF(COUNTIFS(업무일지!$F$5:$F$1004,$P93,업무일지!$B$5:$B$1004,"&gt;="&amp;DATE($B$3,1,1),업무일지!$B$5:$B$1004,"&lt;"&amp;DATE($B$3+1,1,1),업무일지!$AA$5:$AA$1004,"*"&amp;$A$22&amp;"*")&gt;0,1,0))</f>
        <v/>
      </c>
      <c r="AG93">
        <f>IF($P93="",0,IF(COUNTIFS(업무일지!$F$5:$F$1004,$P93,업무일지!$B$5:$B$1004,"&gt;="&amp;DATE($B$3,1,1),업무일지!$B$5:$B$1004,"&lt;"&amp;DATE($B$3+1,1,1),업무일지!$AA$5:$AA$1004,"*"&amp;$A$23&amp;"*")&gt;0,1,0))</f>
        <v/>
      </c>
      <c r="AH93">
        <f>IF($P93="",0,IF(COUNTIFS(업무일지!$F$5:$F$1004,$P93,업무일지!$B$5:$B$1004,"&gt;="&amp;DATE($B$3,1,1),업무일지!$B$5:$B$1004,"&lt;"&amp;DATE($B$3+1,1,1),업무일지!$AA$5:$AA$1004,"*"&amp;$A$24&amp;"*")&gt;0,1,0))</f>
        <v/>
      </c>
      <c r="AI93">
        <f>IF($P93="",0,IF(COUNTIFS(업무일지!$F$5:$F$1004,$P93,업무일지!$B$5:$B$1004,"&gt;="&amp;DATE($B$3,1,1),업무일지!$B$5:$B$1004,"&lt;"&amp;DATE($B$3+1,1,1),업무일지!$AA$5:$AA$1004,"*"&amp;$A$25&amp;"*")&gt;0,1,0))</f>
        <v/>
      </c>
      <c r="AJ93">
        <f>IF($P93="",0,IF(COUNTIFS(업무일지!$F$5:$F$1004,$P93,업무일지!$B$5:$B$1004,"&gt;="&amp;DATE($B$3,1,1),업무일지!$B$5:$B$1004,"&lt;"&amp;DATE($B$3+1,1,1),업무일지!$AA$5:$AA$1004,"*"&amp;$A$26&amp;"*")&gt;0,1,0))</f>
        <v/>
      </c>
    </row>
    <row r="94">
      <c r="P94">
        <f>IF(사건마스터!$A39="","",사건마스터!$A39)</f>
        <v/>
      </c>
      <c r="Q94">
        <f>IF($P94="",0,IF(COUNTIFS(업무일지!$F$5:$F$1004,$P94,업무일지!$B$5:$B$1004,"&gt;="&amp;DATE($B$3,1,1),업무일지!$B$5:$B$1004,"&lt;"&amp;DATE($B$3+1,1,1),업무일지!$AA$5:$AA$1004,"*"&amp;$A$7&amp;"*")&gt;0,1,0))</f>
        <v/>
      </c>
      <c r="R94">
        <f>IF($P94="",0,IF(COUNTIFS(업무일지!$F$5:$F$1004,$P94,업무일지!$B$5:$B$1004,"&gt;="&amp;DATE($B$3,1,1),업무일지!$B$5:$B$1004,"&lt;"&amp;DATE($B$3+1,1,1),업무일지!$AA$5:$AA$1004,"*"&amp;$A$8&amp;"*")&gt;0,1,0))</f>
        <v/>
      </c>
      <c r="S94">
        <f>IF($P94="",0,IF(COUNTIFS(업무일지!$F$5:$F$1004,$P94,업무일지!$B$5:$B$1004,"&gt;="&amp;DATE($B$3,1,1),업무일지!$B$5:$B$1004,"&lt;"&amp;DATE($B$3+1,1,1),업무일지!$AA$5:$AA$1004,"*"&amp;$A$9&amp;"*")&gt;0,1,0))</f>
        <v/>
      </c>
      <c r="T94">
        <f>IF($P94="",0,IF(COUNTIFS(업무일지!$F$5:$F$1004,$P94,업무일지!$B$5:$B$1004,"&gt;="&amp;DATE($B$3,1,1),업무일지!$B$5:$B$1004,"&lt;"&amp;DATE($B$3+1,1,1),업무일지!$AA$5:$AA$1004,"*"&amp;$A$10&amp;"*")&gt;0,1,0))</f>
        <v/>
      </c>
      <c r="U94">
        <f>IF($P94="",0,IF(COUNTIFS(업무일지!$F$5:$F$1004,$P94,업무일지!$B$5:$B$1004,"&gt;="&amp;DATE($B$3,1,1),업무일지!$B$5:$B$1004,"&lt;"&amp;DATE($B$3+1,1,1),업무일지!$AA$5:$AA$1004,"*"&amp;$A$11&amp;"*")&gt;0,1,0))</f>
        <v/>
      </c>
      <c r="V94">
        <f>IF($P94="",0,IF(COUNTIFS(업무일지!$F$5:$F$1004,$P94,업무일지!$B$5:$B$1004,"&gt;="&amp;DATE($B$3,1,1),업무일지!$B$5:$B$1004,"&lt;"&amp;DATE($B$3+1,1,1),업무일지!$AA$5:$AA$1004,"*"&amp;$A$12&amp;"*")&gt;0,1,0))</f>
        <v/>
      </c>
      <c r="W94">
        <f>IF($P94="",0,IF(COUNTIFS(업무일지!$F$5:$F$1004,$P94,업무일지!$B$5:$B$1004,"&gt;="&amp;DATE($B$3,1,1),업무일지!$B$5:$B$1004,"&lt;"&amp;DATE($B$3+1,1,1),업무일지!$AA$5:$AA$1004,"*"&amp;$A$13&amp;"*")&gt;0,1,0))</f>
        <v/>
      </c>
      <c r="X94">
        <f>IF($P94="",0,IF(COUNTIFS(업무일지!$F$5:$F$1004,$P94,업무일지!$B$5:$B$1004,"&gt;="&amp;DATE($B$3,1,1),업무일지!$B$5:$B$1004,"&lt;"&amp;DATE($B$3+1,1,1),업무일지!$AA$5:$AA$1004,"*"&amp;$A$14&amp;"*")&gt;0,1,0))</f>
        <v/>
      </c>
      <c r="Y94">
        <f>IF($P94="",0,IF(COUNTIFS(업무일지!$F$5:$F$1004,$P94,업무일지!$B$5:$B$1004,"&gt;="&amp;DATE($B$3,1,1),업무일지!$B$5:$B$1004,"&lt;"&amp;DATE($B$3+1,1,1),업무일지!$AA$5:$AA$1004,"*"&amp;$A$15&amp;"*")&gt;0,1,0))</f>
        <v/>
      </c>
      <c r="Z94">
        <f>IF($P94="",0,IF(COUNTIFS(업무일지!$F$5:$F$1004,$P94,업무일지!$B$5:$B$1004,"&gt;="&amp;DATE($B$3,1,1),업무일지!$B$5:$B$1004,"&lt;"&amp;DATE($B$3+1,1,1),업무일지!$AA$5:$AA$1004,"*"&amp;$A$16&amp;"*")&gt;0,1,0))</f>
        <v/>
      </c>
      <c r="AA94">
        <f>IF($P94="",0,IF(COUNTIFS(업무일지!$F$5:$F$1004,$P94,업무일지!$B$5:$B$1004,"&gt;="&amp;DATE($B$3,1,1),업무일지!$B$5:$B$1004,"&lt;"&amp;DATE($B$3+1,1,1),업무일지!$AA$5:$AA$1004,"*"&amp;$A$17&amp;"*")&gt;0,1,0))</f>
        <v/>
      </c>
      <c r="AB94">
        <f>IF($P94="",0,IF(COUNTIFS(업무일지!$F$5:$F$1004,$P94,업무일지!$B$5:$B$1004,"&gt;="&amp;DATE($B$3,1,1),업무일지!$B$5:$B$1004,"&lt;"&amp;DATE($B$3+1,1,1),업무일지!$AA$5:$AA$1004,"*"&amp;$A$18&amp;"*")&gt;0,1,0))</f>
        <v/>
      </c>
      <c r="AC94">
        <f>IF($P94="",0,IF(COUNTIFS(업무일지!$F$5:$F$1004,$P94,업무일지!$B$5:$B$1004,"&gt;="&amp;DATE($B$3,1,1),업무일지!$B$5:$B$1004,"&lt;"&amp;DATE($B$3+1,1,1),업무일지!$AA$5:$AA$1004,"*"&amp;$A$19&amp;"*")&gt;0,1,0))</f>
        <v/>
      </c>
      <c r="AD94">
        <f>IF($P94="",0,IF(COUNTIFS(업무일지!$F$5:$F$1004,$P94,업무일지!$B$5:$B$1004,"&gt;="&amp;DATE($B$3,1,1),업무일지!$B$5:$B$1004,"&lt;"&amp;DATE($B$3+1,1,1),업무일지!$AA$5:$AA$1004,"*"&amp;$A$20&amp;"*")&gt;0,1,0))</f>
        <v/>
      </c>
      <c r="AE94">
        <f>IF($P94="",0,IF(COUNTIFS(업무일지!$F$5:$F$1004,$P94,업무일지!$B$5:$B$1004,"&gt;="&amp;DATE($B$3,1,1),업무일지!$B$5:$B$1004,"&lt;"&amp;DATE($B$3+1,1,1),업무일지!$AA$5:$AA$1004,"*"&amp;$A$21&amp;"*")&gt;0,1,0))</f>
        <v/>
      </c>
      <c r="AF94">
        <f>IF($P94="",0,IF(COUNTIFS(업무일지!$F$5:$F$1004,$P94,업무일지!$B$5:$B$1004,"&gt;="&amp;DATE($B$3,1,1),업무일지!$B$5:$B$1004,"&lt;"&amp;DATE($B$3+1,1,1),업무일지!$AA$5:$AA$1004,"*"&amp;$A$22&amp;"*")&gt;0,1,0))</f>
        <v/>
      </c>
      <c r="AG94">
        <f>IF($P94="",0,IF(COUNTIFS(업무일지!$F$5:$F$1004,$P94,업무일지!$B$5:$B$1004,"&gt;="&amp;DATE($B$3,1,1),업무일지!$B$5:$B$1004,"&lt;"&amp;DATE($B$3+1,1,1),업무일지!$AA$5:$AA$1004,"*"&amp;$A$23&amp;"*")&gt;0,1,0))</f>
        <v/>
      </c>
      <c r="AH94">
        <f>IF($P94="",0,IF(COUNTIFS(업무일지!$F$5:$F$1004,$P94,업무일지!$B$5:$B$1004,"&gt;="&amp;DATE($B$3,1,1),업무일지!$B$5:$B$1004,"&lt;"&amp;DATE($B$3+1,1,1),업무일지!$AA$5:$AA$1004,"*"&amp;$A$24&amp;"*")&gt;0,1,0))</f>
        <v/>
      </c>
      <c r="AI94">
        <f>IF($P94="",0,IF(COUNTIFS(업무일지!$F$5:$F$1004,$P94,업무일지!$B$5:$B$1004,"&gt;="&amp;DATE($B$3,1,1),업무일지!$B$5:$B$1004,"&lt;"&amp;DATE($B$3+1,1,1),업무일지!$AA$5:$AA$1004,"*"&amp;$A$25&amp;"*")&gt;0,1,0))</f>
        <v/>
      </c>
      <c r="AJ94">
        <f>IF($P94="",0,IF(COUNTIFS(업무일지!$F$5:$F$1004,$P94,업무일지!$B$5:$B$1004,"&gt;="&amp;DATE($B$3,1,1),업무일지!$B$5:$B$1004,"&lt;"&amp;DATE($B$3+1,1,1),업무일지!$AA$5:$AA$1004,"*"&amp;$A$26&amp;"*")&gt;0,1,0))</f>
        <v/>
      </c>
    </row>
    <row r="95">
      <c r="P95">
        <f>IF(사건마스터!$A40="","",사건마스터!$A40)</f>
        <v/>
      </c>
      <c r="Q95">
        <f>IF($P95="",0,IF(COUNTIFS(업무일지!$F$5:$F$1004,$P95,업무일지!$B$5:$B$1004,"&gt;="&amp;DATE($B$3,1,1),업무일지!$B$5:$B$1004,"&lt;"&amp;DATE($B$3+1,1,1),업무일지!$AA$5:$AA$1004,"*"&amp;$A$7&amp;"*")&gt;0,1,0))</f>
        <v/>
      </c>
      <c r="R95">
        <f>IF($P95="",0,IF(COUNTIFS(업무일지!$F$5:$F$1004,$P95,업무일지!$B$5:$B$1004,"&gt;="&amp;DATE($B$3,1,1),업무일지!$B$5:$B$1004,"&lt;"&amp;DATE($B$3+1,1,1),업무일지!$AA$5:$AA$1004,"*"&amp;$A$8&amp;"*")&gt;0,1,0))</f>
        <v/>
      </c>
      <c r="S95">
        <f>IF($P95="",0,IF(COUNTIFS(업무일지!$F$5:$F$1004,$P95,업무일지!$B$5:$B$1004,"&gt;="&amp;DATE($B$3,1,1),업무일지!$B$5:$B$1004,"&lt;"&amp;DATE($B$3+1,1,1),업무일지!$AA$5:$AA$1004,"*"&amp;$A$9&amp;"*")&gt;0,1,0))</f>
        <v/>
      </c>
      <c r="T95">
        <f>IF($P95="",0,IF(COUNTIFS(업무일지!$F$5:$F$1004,$P95,업무일지!$B$5:$B$1004,"&gt;="&amp;DATE($B$3,1,1),업무일지!$B$5:$B$1004,"&lt;"&amp;DATE($B$3+1,1,1),업무일지!$AA$5:$AA$1004,"*"&amp;$A$10&amp;"*")&gt;0,1,0))</f>
        <v/>
      </c>
      <c r="U95">
        <f>IF($P95="",0,IF(COUNTIFS(업무일지!$F$5:$F$1004,$P95,업무일지!$B$5:$B$1004,"&gt;="&amp;DATE($B$3,1,1),업무일지!$B$5:$B$1004,"&lt;"&amp;DATE($B$3+1,1,1),업무일지!$AA$5:$AA$1004,"*"&amp;$A$11&amp;"*")&gt;0,1,0))</f>
        <v/>
      </c>
      <c r="V95">
        <f>IF($P95="",0,IF(COUNTIFS(업무일지!$F$5:$F$1004,$P95,업무일지!$B$5:$B$1004,"&gt;="&amp;DATE($B$3,1,1),업무일지!$B$5:$B$1004,"&lt;"&amp;DATE($B$3+1,1,1),업무일지!$AA$5:$AA$1004,"*"&amp;$A$12&amp;"*")&gt;0,1,0))</f>
        <v/>
      </c>
      <c r="W95">
        <f>IF($P95="",0,IF(COUNTIFS(업무일지!$F$5:$F$1004,$P95,업무일지!$B$5:$B$1004,"&gt;="&amp;DATE($B$3,1,1),업무일지!$B$5:$B$1004,"&lt;"&amp;DATE($B$3+1,1,1),업무일지!$AA$5:$AA$1004,"*"&amp;$A$13&amp;"*")&gt;0,1,0))</f>
        <v/>
      </c>
      <c r="X95">
        <f>IF($P95="",0,IF(COUNTIFS(업무일지!$F$5:$F$1004,$P95,업무일지!$B$5:$B$1004,"&gt;="&amp;DATE($B$3,1,1),업무일지!$B$5:$B$1004,"&lt;"&amp;DATE($B$3+1,1,1),업무일지!$AA$5:$AA$1004,"*"&amp;$A$14&amp;"*")&gt;0,1,0))</f>
        <v/>
      </c>
      <c r="Y95">
        <f>IF($P95="",0,IF(COUNTIFS(업무일지!$F$5:$F$1004,$P95,업무일지!$B$5:$B$1004,"&gt;="&amp;DATE($B$3,1,1),업무일지!$B$5:$B$1004,"&lt;"&amp;DATE($B$3+1,1,1),업무일지!$AA$5:$AA$1004,"*"&amp;$A$15&amp;"*")&gt;0,1,0))</f>
        <v/>
      </c>
      <c r="Z95">
        <f>IF($P95="",0,IF(COUNTIFS(업무일지!$F$5:$F$1004,$P95,업무일지!$B$5:$B$1004,"&gt;="&amp;DATE($B$3,1,1),업무일지!$B$5:$B$1004,"&lt;"&amp;DATE($B$3+1,1,1),업무일지!$AA$5:$AA$1004,"*"&amp;$A$16&amp;"*")&gt;0,1,0))</f>
        <v/>
      </c>
      <c r="AA95">
        <f>IF($P95="",0,IF(COUNTIFS(업무일지!$F$5:$F$1004,$P95,업무일지!$B$5:$B$1004,"&gt;="&amp;DATE($B$3,1,1),업무일지!$B$5:$B$1004,"&lt;"&amp;DATE($B$3+1,1,1),업무일지!$AA$5:$AA$1004,"*"&amp;$A$17&amp;"*")&gt;0,1,0))</f>
        <v/>
      </c>
      <c r="AB95">
        <f>IF($P95="",0,IF(COUNTIFS(업무일지!$F$5:$F$1004,$P95,업무일지!$B$5:$B$1004,"&gt;="&amp;DATE($B$3,1,1),업무일지!$B$5:$B$1004,"&lt;"&amp;DATE($B$3+1,1,1),업무일지!$AA$5:$AA$1004,"*"&amp;$A$18&amp;"*")&gt;0,1,0))</f>
        <v/>
      </c>
      <c r="AC95">
        <f>IF($P95="",0,IF(COUNTIFS(업무일지!$F$5:$F$1004,$P95,업무일지!$B$5:$B$1004,"&gt;="&amp;DATE($B$3,1,1),업무일지!$B$5:$B$1004,"&lt;"&amp;DATE($B$3+1,1,1),업무일지!$AA$5:$AA$1004,"*"&amp;$A$19&amp;"*")&gt;0,1,0))</f>
        <v/>
      </c>
      <c r="AD95">
        <f>IF($P95="",0,IF(COUNTIFS(업무일지!$F$5:$F$1004,$P95,업무일지!$B$5:$B$1004,"&gt;="&amp;DATE($B$3,1,1),업무일지!$B$5:$B$1004,"&lt;"&amp;DATE($B$3+1,1,1),업무일지!$AA$5:$AA$1004,"*"&amp;$A$20&amp;"*")&gt;0,1,0))</f>
        <v/>
      </c>
      <c r="AE95">
        <f>IF($P95="",0,IF(COUNTIFS(업무일지!$F$5:$F$1004,$P95,업무일지!$B$5:$B$1004,"&gt;="&amp;DATE($B$3,1,1),업무일지!$B$5:$B$1004,"&lt;"&amp;DATE($B$3+1,1,1),업무일지!$AA$5:$AA$1004,"*"&amp;$A$21&amp;"*")&gt;0,1,0))</f>
        <v/>
      </c>
      <c r="AF95">
        <f>IF($P95="",0,IF(COUNTIFS(업무일지!$F$5:$F$1004,$P95,업무일지!$B$5:$B$1004,"&gt;="&amp;DATE($B$3,1,1),업무일지!$B$5:$B$1004,"&lt;"&amp;DATE($B$3+1,1,1),업무일지!$AA$5:$AA$1004,"*"&amp;$A$22&amp;"*")&gt;0,1,0))</f>
        <v/>
      </c>
      <c r="AG95">
        <f>IF($P95="",0,IF(COUNTIFS(업무일지!$F$5:$F$1004,$P95,업무일지!$B$5:$B$1004,"&gt;="&amp;DATE($B$3,1,1),업무일지!$B$5:$B$1004,"&lt;"&amp;DATE($B$3+1,1,1),업무일지!$AA$5:$AA$1004,"*"&amp;$A$23&amp;"*")&gt;0,1,0))</f>
        <v/>
      </c>
      <c r="AH95">
        <f>IF($P95="",0,IF(COUNTIFS(업무일지!$F$5:$F$1004,$P95,업무일지!$B$5:$B$1004,"&gt;="&amp;DATE($B$3,1,1),업무일지!$B$5:$B$1004,"&lt;"&amp;DATE($B$3+1,1,1),업무일지!$AA$5:$AA$1004,"*"&amp;$A$24&amp;"*")&gt;0,1,0))</f>
        <v/>
      </c>
      <c r="AI95">
        <f>IF($P95="",0,IF(COUNTIFS(업무일지!$F$5:$F$1004,$P95,업무일지!$B$5:$B$1004,"&gt;="&amp;DATE($B$3,1,1),업무일지!$B$5:$B$1004,"&lt;"&amp;DATE($B$3+1,1,1),업무일지!$AA$5:$AA$1004,"*"&amp;$A$25&amp;"*")&gt;0,1,0))</f>
        <v/>
      </c>
      <c r="AJ95">
        <f>IF($P95="",0,IF(COUNTIFS(업무일지!$F$5:$F$1004,$P95,업무일지!$B$5:$B$1004,"&gt;="&amp;DATE($B$3,1,1),업무일지!$B$5:$B$1004,"&lt;"&amp;DATE($B$3+1,1,1),업무일지!$AA$5:$AA$1004,"*"&amp;$A$26&amp;"*")&gt;0,1,0))</f>
        <v/>
      </c>
    </row>
    <row r="96">
      <c r="P96">
        <f>IF(사건마스터!$A41="","",사건마스터!$A41)</f>
        <v/>
      </c>
      <c r="Q96">
        <f>IF($P96="",0,IF(COUNTIFS(업무일지!$F$5:$F$1004,$P96,업무일지!$B$5:$B$1004,"&gt;="&amp;DATE($B$3,1,1),업무일지!$B$5:$B$1004,"&lt;"&amp;DATE($B$3+1,1,1),업무일지!$AA$5:$AA$1004,"*"&amp;$A$7&amp;"*")&gt;0,1,0))</f>
        <v/>
      </c>
      <c r="R96">
        <f>IF($P96="",0,IF(COUNTIFS(업무일지!$F$5:$F$1004,$P96,업무일지!$B$5:$B$1004,"&gt;="&amp;DATE($B$3,1,1),업무일지!$B$5:$B$1004,"&lt;"&amp;DATE($B$3+1,1,1),업무일지!$AA$5:$AA$1004,"*"&amp;$A$8&amp;"*")&gt;0,1,0))</f>
        <v/>
      </c>
      <c r="S96">
        <f>IF($P96="",0,IF(COUNTIFS(업무일지!$F$5:$F$1004,$P96,업무일지!$B$5:$B$1004,"&gt;="&amp;DATE($B$3,1,1),업무일지!$B$5:$B$1004,"&lt;"&amp;DATE($B$3+1,1,1),업무일지!$AA$5:$AA$1004,"*"&amp;$A$9&amp;"*")&gt;0,1,0))</f>
        <v/>
      </c>
      <c r="T96">
        <f>IF($P96="",0,IF(COUNTIFS(업무일지!$F$5:$F$1004,$P96,업무일지!$B$5:$B$1004,"&gt;="&amp;DATE($B$3,1,1),업무일지!$B$5:$B$1004,"&lt;"&amp;DATE($B$3+1,1,1),업무일지!$AA$5:$AA$1004,"*"&amp;$A$10&amp;"*")&gt;0,1,0))</f>
        <v/>
      </c>
      <c r="U96">
        <f>IF($P96="",0,IF(COUNTIFS(업무일지!$F$5:$F$1004,$P96,업무일지!$B$5:$B$1004,"&gt;="&amp;DATE($B$3,1,1),업무일지!$B$5:$B$1004,"&lt;"&amp;DATE($B$3+1,1,1),업무일지!$AA$5:$AA$1004,"*"&amp;$A$11&amp;"*")&gt;0,1,0))</f>
        <v/>
      </c>
      <c r="V96">
        <f>IF($P96="",0,IF(COUNTIFS(업무일지!$F$5:$F$1004,$P96,업무일지!$B$5:$B$1004,"&gt;="&amp;DATE($B$3,1,1),업무일지!$B$5:$B$1004,"&lt;"&amp;DATE($B$3+1,1,1),업무일지!$AA$5:$AA$1004,"*"&amp;$A$12&amp;"*")&gt;0,1,0))</f>
        <v/>
      </c>
      <c r="W96">
        <f>IF($P96="",0,IF(COUNTIFS(업무일지!$F$5:$F$1004,$P96,업무일지!$B$5:$B$1004,"&gt;="&amp;DATE($B$3,1,1),업무일지!$B$5:$B$1004,"&lt;"&amp;DATE($B$3+1,1,1),업무일지!$AA$5:$AA$1004,"*"&amp;$A$13&amp;"*")&gt;0,1,0))</f>
        <v/>
      </c>
      <c r="X96">
        <f>IF($P96="",0,IF(COUNTIFS(업무일지!$F$5:$F$1004,$P96,업무일지!$B$5:$B$1004,"&gt;="&amp;DATE($B$3,1,1),업무일지!$B$5:$B$1004,"&lt;"&amp;DATE($B$3+1,1,1),업무일지!$AA$5:$AA$1004,"*"&amp;$A$14&amp;"*")&gt;0,1,0))</f>
        <v/>
      </c>
      <c r="Y96">
        <f>IF($P96="",0,IF(COUNTIFS(업무일지!$F$5:$F$1004,$P96,업무일지!$B$5:$B$1004,"&gt;="&amp;DATE($B$3,1,1),업무일지!$B$5:$B$1004,"&lt;"&amp;DATE($B$3+1,1,1),업무일지!$AA$5:$AA$1004,"*"&amp;$A$15&amp;"*")&gt;0,1,0))</f>
        <v/>
      </c>
      <c r="Z96">
        <f>IF($P96="",0,IF(COUNTIFS(업무일지!$F$5:$F$1004,$P96,업무일지!$B$5:$B$1004,"&gt;="&amp;DATE($B$3,1,1),업무일지!$B$5:$B$1004,"&lt;"&amp;DATE($B$3+1,1,1),업무일지!$AA$5:$AA$1004,"*"&amp;$A$16&amp;"*")&gt;0,1,0))</f>
        <v/>
      </c>
      <c r="AA96">
        <f>IF($P96="",0,IF(COUNTIFS(업무일지!$F$5:$F$1004,$P96,업무일지!$B$5:$B$1004,"&gt;="&amp;DATE($B$3,1,1),업무일지!$B$5:$B$1004,"&lt;"&amp;DATE($B$3+1,1,1),업무일지!$AA$5:$AA$1004,"*"&amp;$A$17&amp;"*")&gt;0,1,0))</f>
        <v/>
      </c>
      <c r="AB96">
        <f>IF($P96="",0,IF(COUNTIFS(업무일지!$F$5:$F$1004,$P96,업무일지!$B$5:$B$1004,"&gt;="&amp;DATE($B$3,1,1),업무일지!$B$5:$B$1004,"&lt;"&amp;DATE($B$3+1,1,1),업무일지!$AA$5:$AA$1004,"*"&amp;$A$18&amp;"*")&gt;0,1,0))</f>
        <v/>
      </c>
      <c r="AC96">
        <f>IF($P96="",0,IF(COUNTIFS(업무일지!$F$5:$F$1004,$P96,업무일지!$B$5:$B$1004,"&gt;="&amp;DATE($B$3,1,1),업무일지!$B$5:$B$1004,"&lt;"&amp;DATE($B$3+1,1,1),업무일지!$AA$5:$AA$1004,"*"&amp;$A$19&amp;"*")&gt;0,1,0))</f>
        <v/>
      </c>
      <c r="AD96">
        <f>IF($P96="",0,IF(COUNTIFS(업무일지!$F$5:$F$1004,$P96,업무일지!$B$5:$B$1004,"&gt;="&amp;DATE($B$3,1,1),업무일지!$B$5:$B$1004,"&lt;"&amp;DATE($B$3+1,1,1),업무일지!$AA$5:$AA$1004,"*"&amp;$A$20&amp;"*")&gt;0,1,0))</f>
        <v/>
      </c>
      <c r="AE96">
        <f>IF($P96="",0,IF(COUNTIFS(업무일지!$F$5:$F$1004,$P96,업무일지!$B$5:$B$1004,"&gt;="&amp;DATE($B$3,1,1),업무일지!$B$5:$B$1004,"&lt;"&amp;DATE($B$3+1,1,1),업무일지!$AA$5:$AA$1004,"*"&amp;$A$21&amp;"*")&gt;0,1,0))</f>
        <v/>
      </c>
      <c r="AF96">
        <f>IF($P96="",0,IF(COUNTIFS(업무일지!$F$5:$F$1004,$P96,업무일지!$B$5:$B$1004,"&gt;="&amp;DATE($B$3,1,1),업무일지!$B$5:$B$1004,"&lt;"&amp;DATE($B$3+1,1,1),업무일지!$AA$5:$AA$1004,"*"&amp;$A$22&amp;"*")&gt;0,1,0))</f>
        <v/>
      </c>
      <c r="AG96">
        <f>IF($P96="",0,IF(COUNTIFS(업무일지!$F$5:$F$1004,$P96,업무일지!$B$5:$B$1004,"&gt;="&amp;DATE($B$3,1,1),업무일지!$B$5:$B$1004,"&lt;"&amp;DATE($B$3+1,1,1),업무일지!$AA$5:$AA$1004,"*"&amp;$A$23&amp;"*")&gt;0,1,0))</f>
        <v/>
      </c>
      <c r="AH96">
        <f>IF($P96="",0,IF(COUNTIFS(업무일지!$F$5:$F$1004,$P96,업무일지!$B$5:$B$1004,"&gt;="&amp;DATE($B$3,1,1),업무일지!$B$5:$B$1004,"&lt;"&amp;DATE($B$3+1,1,1),업무일지!$AA$5:$AA$1004,"*"&amp;$A$24&amp;"*")&gt;0,1,0))</f>
        <v/>
      </c>
      <c r="AI96">
        <f>IF($P96="",0,IF(COUNTIFS(업무일지!$F$5:$F$1004,$P96,업무일지!$B$5:$B$1004,"&gt;="&amp;DATE($B$3,1,1),업무일지!$B$5:$B$1004,"&lt;"&amp;DATE($B$3+1,1,1),업무일지!$AA$5:$AA$1004,"*"&amp;$A$25&amp;"*")&gt;0,1,0))</f>
        <v/>
      </c>
      <c r="AJ96">
        <f>IF($P96="",0,IF(COUNTIFS(업무일지!$F$5:$F$1004,$P96,업무일지!$B$5:$B$1004,"&gt;="&amp;DATE($B$3,1,1),업무일지!$B$5:$B$1004,"&lt;"&amp;DATE($B$3+1,1,1),업무일지!$AA$5:$AA$1004,"*"&amp;$A$26&amp;"*")&gt;0,1,0))</f>
        <v/>
      </c>
    </row>
    <row r="97">
      <c r="P97">
        <f>IF(사건마스터!$A42="","",사건마스터!$A42)</f>
        <v/>
      </c>
      <c r="Q97">
        <f>IF($P97="",0,IF(COUNTIFS(업무일지!$F$5:$F$1004,$P97,업무일지!$B$5:$B$1004,"&gt;="&amp;DATE($B$3,1,1),업무일지!$B$5:$B$1004,"&lt;"&amp;DATE($B$3+1,1,1),업무일지!$AA$5:$AA$1004,"*"&amp;$A$7&amp;"*")&gt;0,1,0))</f>
        <v/>
      </c>
      <c r="R97">
        <f>IF($P97="",0,IF(COUNTIFS(업무일지!$F$5:$F$1004,$P97,업무일지!$B$5:$B$1004,"&gt;="&amp;DATE($B$3,1,1),업무일지!$B$5:$B$1004,"&lt;"&amp;DATE($B$3+1,1,1),업무일지!$AA$5:$AA$1004,"*"&amp;$A$8&amp;"*")&gt;0,1,0))</f>
        <v/>
      </c>
      <c r="S97">
        <f>IF($P97="",0,IF(COUNTIFS(업무일지!$F$5:$F$1004,$P97,업무일지!$B$5:$B$1004,"&gt;="&amp;DATE($B$3,1,1),업무일지!$B$5:$B$1004,"&lt;"&amp;DATE($B$3+1,1,1),업무일지!$AA$5:$AA$1004,"*"&amp;$A$9&amp;"*")&gt;0,1,0))</f>
        <v/>
      </c>
      <c r="T97">
        <f>IF($P97="",0,IF(COUNTIFS(업무일지!$F$5:$F$1004,$P97,업무일지!$B$5:$B$1004,"&gt;="&amp;DATE($B$3,1,1),업무일지!$B$5:$B$1004,"&lt;"&amp;DATE($B$3+1,1,1),업무일지!$AA$5:$AA$1004,"*"&amp;$A$10&amp;"*")&gt;0,1,0))</f>
        <v/>
      </c>
      <c r="U97">
        <f>IF($P97="",0,IF(COUNTIFS(업무일지!$F$5:$F$1004,$P97,업무일지!$B$5:$B$1004,"&gt;="&amp;DATE($B$3,1,1),업무일지!$B$5:$B$1004,"&lt;"&amp;DATE($B$3+1,1,1),업무일지!$AA$5:$AA$1004,"*"&amp;$A$11&amp;"*")&gt;0,1,0))</f>
        <v/>
      </c>
      <c r="V97">
        <f>IF($P97="",0,IF(COUNTIFS(업무일지!$F$5:$F$1004,$P97,업무일지!$B$5:$B$1004,"&gt;="&amp;DATE($B$3,1,1),업무일지!$B$5:$B$1004,"&lt;"&amp;DATE($B$3+1,1,1),업무일지!$AA$5:$AA$1004,"*"&amp;$A$12&amp;"*")&gt;0,1,0))</f>
        <v/>
      </c>
      <c r="W97">
        <f>IF($P97="",0,IF(COUNTIFS(업무일지!$F$5:$F$1004,$P97,업무일지!$B$5:$B$1004,"&gt;="&amp;DATE($B$3,1,1),업무일지!$B$5:$B$1004,"&lt;"&amp;DATE($B$3+1,1,1),업무일지!$AA$5:$AA$1004,"*"&amp;$A$13&amp;"*")&gt;0,1,0))</f>
        <v/>
      </c>
      <c r="X97">
        <f>IF($P97="",0,IF(COUNTIFS(업무일지!$F$5:$F$1004,$P97,업무일지!$B$5:$B$1004,"&gt;="&amp;DATE($B$3,1,1),업무일지!$B$5:$B$1004,"&lt;"&amp;DATE($B$3+1,1,1),업무일지!$AA$5:$AA$1004,"*"&amp;$A$14&amp;"*")&gt;0,1,0))</f>
        <v/>
      </c>
      <c r="Y97">
        <f>IF($P97="",0,IF(COUNTIFS(업무일지!$F$5:$F$1004,$P97,업무일지!$B$5:$B$1004,"&gt;="&amp;DATE($B$3,1,1),업무일지!$B$5:$B$1004,"&lt;"&amp;DATE($B$3+1,1,1),업무일지!$AA$5:$AA$1004,"*"&amp;$A$15&amp;"*")&gt;0,1,0))</f>
        <v/>
      </c>
      <c r="Z97">
        <f>IF($P97="",0,IF(COUNTIFS(업무일지!$F$5:$F$1004,$P97,업무일지!$B$5:$B$1004,"&gt;="&amp;DATE($B$3,1,1),업무일지!$B$5:$B$1004,"&lt;"&amp;DATE($B$3+1,1,1),업무일지!$AA$5:$AA$1004,"*"&amp;$A$16&amp;"*")&gt;0,1,0))</f>
        <v/>
      </c>
      <c r="AA97">
        <f>IF($P97="",0,IF(COUNTIFS(업무일지!$F$5:$F$1004,$P97,업무일지!$B$5:$B$1004,"&gt;="&amp;DATE($B$3,1,1),업무일지!$B$5:$B$1004,"&lt;"&amp;DATE($B$3+1,1,1),업무일지!$AA$5:$AA$1004,"*"&amp;$A$17&amp;"*")&gt;0,1,0))</f>
        <v/>
      </c>
      <c r="AB97">
        <f>IF($P97="",0,IF(COUNTIFS(업무일지!$F$5:$F$1004,$P97,업무일지!$B$5:$B$1004,"&gt;="&amp;DATE($B$3,1,1),업무일지!$B$5:$B$1004,"&lt;"&amp;DATE($B$3+1,1,1),업무일지!$AA$5:$AA$1004,"*"&amp;$A$18&amp;"*")&gt;0,1,0))</f>
        <v/>
      </c>
      <c r="AC97">
        <f>IF($P97="",0,IF(COUNTIFS(업무일지!$F$5:$F$1004,$P97,업무일지!$B$5:$B$1004,"&gt;="&amp;DATE($B$3,1,1),업무일지!$B$5:$B$1004,"&lt;"&amp;DATE($B$3+1,1,1),업무일지!$AA$5:$AA$1004,"*"&amp;$A$19&amp;"*")&gt;0,1,0))</f>
        <v/>
      </c>
      <c r="AD97">
        <f>IF($P97="",0,IF(COUNTIFS(업무일지!$F$5:$F$1004,$P97,업무일지!$B$5:$B$1004,"&gt;="&amp;DATE($B$3,1,1),업무일지!$B$5:$B$1004,"&lt;"&amp;DATE($B$3+1,1,1),업무일지!$AA$5:$AA$1004,"*"&amp;$A$20&amp;"*")&gt;0,1,0))</f>
        <v/>
      </c>
      <c r="AE97">
        <f>IF($P97="",0,IF(COUNTIFS(업무일지!$F$5:$F$1004,$P97,업무일지!$B$5:$B$1004,"&gt;="&amp;DATE($B$3,1,1),업무일지!$B$5:$B$1004,"&lt;"&amp;DATE($B$3+1,1,1),업무일지!$AA$5:$AA$1004,"*"&amp;$A$21&amp;"*")&gt;0,1,0))</f>
        <v/>
      </c>
      <c r="AF97">
        <f>IF($P97="",0,IF(COUNTIFS(업무일지!$F$5:$F$1004,$P97,업무일지!$B$5:$B$1004,"&gt;="&amp;DATE($B$3,1,1),업무일지!$B$5:$B$1004,"&lt;"&amp;DATE($B$3+1,1,1),업무일지!$AA$5:$AA$1004,"*"&amp;$A$22&amp;"*")&gt;0,1,0))</f>
        <v/>
      </c>
      <c r="AG97">
        <f>IF($P97="",0,IF(COUNTIFS(업무일지!$F$5:$F$1004,$P97,업무일지!$B$5:$B$1004,"&gt;="&amp;DATE($B$3,1,1),업무일지!$B$5:$B$1004,"&lt;"&amp;DATE($B$3+1,1,1),업무일지!$AA$5:$AA$1004,"*"&amp;$A$23&amp;"*")&gt;0,1,0))</f>
        <v/>
      </c>
      <c r="AH97">
        <f>IF($P97="",0,IF(COUNTIFS(업무일지!$F$5:$F$1004,$P97,업무일지!$B$5:$B$1004,"&gt;="&amp;DATE($B$3,1,1),업무일지!$B$5:$B$1004,"&lt;"&amp;DATE($B$3+1,1,1),업무일지!$AA$5:$AA$1004,"*"&amp;$A$24&amp;"*")&gt;0,1,0))</f>
        <v/>
      </c>
      <c r="AI97">
        <f>IF($P97="",0,IF(COUNTIFS(업무일지!$F$5:$F$1004,$P97,업무일지!$B$5:$B$1004,"&gt;="&amp;DATE($B$3,1,1),업무일지!$B$5:$B$1004,"&lt;"&amp;DATE($B$3+1,1,1),업무일지!$AA$5:$AA$1004,"*"&amp;$A$25&amp;"*")&gt;0,1,0))</f>
        <v/>
      </c>
      <c r="AJ97">
        <f>IF($P97="",0,IF(COUNTIFS(업무일지!$F$5:$F$1004,$P97,업무일지!$B$5:$B$1004,"&gt;="&amp;DATE($B$3,1,1),업무일지!$B$5:$B$1004,"&lt;"&amp;DATE($B$3+1,1,1),업무일지!$AA$5:$AA$1004,"*"&amp;$A$26&amp;"*")&gt;0,1,0))</f>
        <v/>
      </c>
    </row>
    <row r="98">
      <c r="P98">
        <f>IF(사건마스터!$A43="","",사건마스터!$A43)</f>
        <v/>
      </c>
      <c r="Q98">
        <f>IF($P98="",0,IF(COUNTIFS(업무일지!$F$5:$F$1004,$P98,업무일지!$B$5:$B$1004,"&gt;="&amp;DATE($B$3,1,1),업무일지!$B$5:$B$1004,"&lt;"&amp;DATE($B$3+1,1,1),업무일지!$AA$5:$AA$1004,"*"&amp;$A$7&amp;"*")&gt;0,1,0))</f>
        <v/>
      </c>
      <c r="R98">
        <f>IF($P98="",0,IF(COUNTIFS(업무일지!$F$5:$F$1004,$P98,업무일지!$B$5:$B$1004,"&gt;="&amp;DATE($B$3,1,1),업무일지!$B$5:$B$1004,"&lt;"&amp;DATE($B$3+1,1,1),업무일지!$AA$5:$AA$1004,"*"&amp;$A$8&amp;"*")&gt;0,1,0))</f>
        <v/>
      </c>
      <c r="S98">
        <f>IF($P98="",0,IF(COUNTIFS(업무일지!$F$5:$F$1004,$P98,업무일지!$B$5:$B$1004,"&gt;="&amp;DATE($B$3,1,1),업무일지!$B$5:$B$1004,"&lt;"&amp;DATE($B$3+1,1,1),업무일지!$AA$5:$AA$1004,"*"&amp;$A$9&amp;"*")&gt;0,1,0))</f>
        <v/>
      </c>
      <c r="T98">
        <f>IF($P98="",0,IF(COUNTIFS(업무일지!$F$5:$F$1004,$P98,업무일지!$B$5:$B$1004,"&gt;="&amp;DATE($B$3,1,1),업무일지!$B$5:$B$1004,"&lt;"&amp;DATE($B$3+1,1,1),업무일지!$AA$5:$AA$1004,"*"&amp;$A$10&amp;"*")&gt;0,1,0))</f>
        <v/>
      </c>
      <c r="U98">
        <f>IF($P98="",0,IF(COUNTIFS(업무일지!$F$5:$F$1004,$P98,업무일지!$B$5:$B$1004,"&gt;="&amp;DATE($B$3,1,1),업무일지!$B$5:$B$1004,"&lt;"&amp;DATE($B$3+1,1,1),업무일지!$AA$5:$AA$1004,"*"&amp;$A$11&amp;"*")&gt;0,1,0))</f>
        <v/>
      </c>
      <c r="V98">
        <f>IF($P98="",0,IF(COUNTIFS(업무일지!$F$5:$F$1004,$P98,업무일지!$B$5:$B$1004,"&gt;="&amp;DATE($B$3,1,1),업무일지!$B$5:$B$1004,"&lt;"&amp;DATE($B$3+1,1,1),업무일지!$AA$5:$AA$1004,"*"&amp;$A$12&amp;"*")&gt;0,1,0))</f>
        <v/>
      </c>
      <c r="W98">
        <f>IF($P98="",0,IF(COUNTIFS(업무일지!$F$5:$F$1004,$P98,업무일지!$B$5:$B$1004,"&gt;="&amp;DATE($B$3,1,1),업무일지!$B$5:$B$1004,"&lt;"&amp;DATE($B$3+1,1,1),업무일지!$AA$5:$AA$1004,"*"&amp;$A$13&amp;"*")&gt;0,1,0))</f>
        <v/>
      </c>
      <c r="X98">
        <f>IF($P98="",0,IF(COUNTIFS(업무일지!$F$5:$F$1004,$P98,업무일지!$B$5:$B$1004,"&gt;="&amp;DATE($B$3,1,1),업무일지!$B$5:$B$1004,"&lt;"&amp;DATE($B$3+1,1,1),업무일지!$AA$5:$AA$1004,"*"&amp;$A$14&amp;"*")&gt;0,1,0))</f>
        <v/>
      </c>
      <c r="Y98">
        <f>IF($P98="",0,IF(COUNTIFS(업무일지!$F$5:$F$1004,$P98,업무일지!$B$5:$B$1004,"&gt;="&amp;DATE($B$3,1,1),업무일지!$B$5:$B$1004,"&lt;"&amp;DATE($B$3+1,1,1),업무일지!$AA$5:$AA$1004,"*"&amp;$A$15&amp;"*")&gt;0,1,0))</f>
        <v/>
      </c>
      <c r="Z98">
        <f>IF($P98="",0,IF(COUNTIFS(업무일지!$F$5:$F$1004,$P98,업무일지!$B$5:$B$1004,"&gt;="&amp;DATE($B$3,1,1),업무일지!$B$5:$B$1004,"&lt;"&amp;DATE($B$3+1,1,1),업무일지!$AA$5:$AA$1004,"*"&amp;$A$16&amp;"*")&gt;0,1,0))</f>
        <v/>
      </c>
      <c r="AA98">
        <f>IF($P98="",0,IF(COUNTIFS(업무일지!$F$5:$F$1004,$P98,업무일지!$B$5:$B$1004,"&gt;="&amp;DATE($B$3,1,1),업무일지!$B$5:$B$1004,"&lt;"&amp;DATE($B$3+1,1,1),업무일지!$AA$5:$AA$1004,"*"&amp;$A$17&amp;"*")&gt;0,1,0))</f>
        <v/>
      </c>
      <c r="AB98">
        <f>IF($P98="",0,IF(COUNTIFS(업무일지!$F$5:$F$1004,$P98,업무일지!$B$5:$B$1004,"&gt;="&amp;DATE($B$3,1,1),업무일지!$B$5:$B$1004,"&lt;"&amp;DATE($B$3+1,1,1),업무일지!$AA$5:$AA$1004,"*"&amp;$A$18&amp;"*")&gt;0,1,0))</f>
        <v/>
      </c>
      <c r="AC98">
        <f>IF($P98="",0,IF(COUNTIFS(업무일지!$F$5:$F$1004,$P98,업무일지!$B$5:$B$1004,"&gt;="&amp;DATE($B$3,1,1),업무일지!$B$5:$B$1004,"&lt;"&amp;DATE($B$3+1,1,1),업무일지!$AA$5:$AA$1004,"*"&amp;$A$19&amp;"*")&gt;0,1,0))</f>
        <v/>
      </c>
      <c r="AD98">
        <f>IF($P98="",0,IF(COUNTIFS(업무일지!$F$5:$F$1004,$P98,업무일지!$B$5:$B$1004,"&gt;="&amp;DATE($B$3,1,1),업무일지!$B$5:$B$1004,"&lt;"&amp;DATE($B$3+1,1,1),업무일지!$AA$5:$AA$1004,"*"&amp;$A$20&amp;"*")&gt;0,1,0))</f>
        <v/>
      </c>
      <c r="AE98">
        <f>IF($P98="",0,IF(COUNTIFS(업무일지!$F$5:$F$1004,$P98,업무일지!$B$5:$B$1004,"&gt;="&amp;DATE($B$3,1,1),업무일지!$B$5:$B$1004,"&lt;"&amp;DATE($B$3+1,1,1),업무일지!$AA$5:$AA$1004,"*"&amp;$A$21&amp;"*")&gt;0,1,0))</f>
        <v/>
      </c>
      <c r="AF98">
        <f>IF($P98="",0,IF(COUNTIFS(업무일지!$F$5:$F$1004,$P98,업무일지!$B$5:$B$1004,"&gt;="&amp;DATE($B$3,1,1),업무일지!$B$5:$B$1004,"&lt;"&amp;DATE($B$3+1,1,1),업무일지!$AA$5:$AA$1004,"*"&amp;$A$22&amp;"*")&gt;0,1,0))</f>
        <v/>
      </c>
      <c r="AG98">
        <f>IF($P98="",0,IF(COUNTIFS(업무일지!$F$5:$F$1004,$P98,업무일지!$B$5:$B$1004,"&gt;="&amp;DATE($B$3,1,1),업무일지!$B$5:$B$1004,"&lt;"&amp;DATE($B$3+1,1,1),업무일지!$AA$5:$AA$1004,"*"&amp;$A$23&amp;"*")&gt;0,1,0))</f>
        <v/>
      </c>
      <c r="AH98">
        <f>IF($P98="",0,IF(COUNTIFS(업무일지!$F$5:$F$1004,$P98,업무일지!$B$5:$B$1004,"&gt;="&amp;DATE($B$3,1,1),업무일지!$B$5:$B$1004,"&lt;"&amp;DATE($B$3+1,1,1),업무일지!$AA$5:$AA$1004,"*"&amp;$A$24&amp;"*")&gt;0,1,0))</f>
        <v/>
      </c>
      <c r="AI98">
        <f>IF($P98="",0,IF(COUNTIFS(업무일지!$F$5:$F$1004,$P98,업무일지!$B$5:$B$1004,"&gt;="&amp;DATE($B$3,1,1),업무일지!$B$5:$B$1004,"&lt;"&amp;DATE($B$3+1,1,1),업무일지!$AA$5:$AA$1004,"*"&amp;$A$25&amp;"*")&gt;0,1,0))</f>
        <v/>
      </c>
      <c r="AJ98">
        <f>IF($P98="",0,IF(COUNTIFS(업무일지!$F$5:$F$1004,$P98,업무일지!$B$5:$B$1004,"&gt;="&amp;DATE($B$3,1,1),업무일지!$B$5:$B$1004,"&lt;"&amp;DATE($B$3+1,1,1),업무일지!$AA$5:$AA$1004,"*"&amp;$A$26&amp;"*")&gt;0,1,0))</f>
        <v/>
      </c>
    </row>
    <row r="99">
      <c r="P99">
        <f>IF(사건마스터!$A44="","",사건마스터!$A44)</f>
        <v/>
      </c>
      <c r="Q99">
        <f>IF($P99="",0,IF(COUNTIFS(업무일지!$F$5:$F$1004,$P99,업무일지!$B$5:$B$1004,"&gt;="&amp;DATE($B$3,1,1),업무일지!$B$5:$B$1004,"&lt;"&amp;DATE($B$3+1,1,1),업무일지!$AA$5:$AA$1004,"*"&amp;$A$7&amp;"*")&gt;0,1,0))</f>
        <v/>
      </c>
      <c r="R99">
        <f>IF($P99="",0,IF(COUNTIFS(업무일지!$F$5:$F$1004,$P99,업무일지!$B$5:$B$1004,"&gt;="&amp;DATE($B$3,1,1),업무일지!$B$5:$B$1004,"&lt;"&amp;DATE($B$3+1,1,1),업무일지!$AA$5:$AA$1004,"*"&amp;$A$8&amp;"*")&gt;0,1,0))</f>
        <v/>
      </c>
      <c r="S99">
        <f>IF($P99="",0,IF(COUNTIFS(업무일지!$F$5:$F$1004,$P99,업무일지!$B$5:$B$1004,"&gt;="&amp;DATE($B$3,1,1),업무일지!$B$5:$B$1004,"&lt;"&amp;DATE($B$3+1,1,1),업무일지!$AA$5:$AA$1004,"*"&amp;$A$9&amp;"*")&gt;0,1,0))</f>
        <v/>
      </c>
      <c r="T99">
        <f>IF($P99="",0,IF(COUNTIFS(업무일지!$F$5:$F$1004,$P99,업무일지!$B$5:$B$1004,"&gt;="&amp;DATE($B$3,1,1),업무일지!$B$5:$B$1004,"&lt;"&amp;DATE($B$3+1,1,1),업무일지!$AA$5:$AA$1004,"*"&amp;$A$10&amp;"*")&gt;0,1,0))</f>
        <v/>
      </c>
      <c r="U99">
        <f>IF($P99="",0,IF(COUNTIFS(업무일지!$F$5:$F$1004,$P99,업무일지!$B$5:$B$1004,"&gt;="&amp;DATE($B$3,1,1),업무일지!$B$5:$B$1004,"&lt;"&amp;DATE($B$3+1,1,1),업무일지!$AA$5:$AA$1004,"*"&amp;$A$11&amp;"*")&gt;0,1,0))</f>
        <v/>
      </c>
      <c r="V99">
        <f>IF($P99="",0,IF(COUNTIFS(업무일지!$F$5:$F$1004,$P99,업무일지!$B$5:$B$1004,"&gt;="&amp;DATE($B$3,1,1),업무일지!$B$5:$B$1004,"&lt;"&amp;DATE($B$3+1,1,1),업무일지!$AA$5:$AA$1004,"*"&amp;$A$12&amp;"*")&gt;0,1,0))</f>
        <v/>
      </c>
      <c r="W99">
        <f>IF($P99="",0,IF(COUNTIFS(업무일지!$F$5:$F$1004,$P99,업무일지!$B$5:$B$1004,"&gt;="&amp;DATE($B$3,1,1),업무일지!$B$5:$B$1004,"&lt;"&amp;DATE($B$3+1,1,1),업무일지!$AA$5:$AA$1004,"*"&amp;$A$13&amp;"*")&gt;0,1,0))</f>
        <v/>
      </c>
      <c r="X99">
        <f>IF($P99="",0,IF(COUNTIFS(업무일지!$F$5:$F$1004,$P99,업무일지!$B$5:$B$1004,"&gt;="&amp;DATE($B$3,1,1),업무일지!$B$5:$B$1004,"&lt;"&amp;DATE($B$3+1,1,1),업무일지!$AA$5:$AA$1004,"*"&amp;$A$14&amp;"*")&gt;0,1,0))</f>
        <v/>
      </c>
      <c r="Y99">
        <f>IF($P99="",0,IF(COUNTIFS(업무일지!$F$5:$F$1004,$P99,업무일지!$B$5:$B$1004,"&gt;="&amp;DATE($B$3,1,1),업무일지!$B$5:$B$1004,"&lt;"&amp;DATE($B$3+1,1,1),업무일지!$AA$5:$AA$1004,"*"&amp;$A$15&amp;"*")&gt;0,1,0))</f>
        <v/>
      </c>
      <c r="Z99">
        <f>IF($P99="",0,IF(COUNTIFS(업무일지!$F$5:$F$1004,$P99,업무일지!$B$5:$B$1004,"&gt;="&amp;DATE($B$3,1,1),업무일지!$B$5:$B$1004,"&lt;"&amp;DATE($B$3+1,1,1),업무일지!$AA$5:$AA$1004,"*"&amp;$A$16&amp;"*")&gt;0,1,0))</f>
        <v/>
      </c>
      <c r="AA99">
        <f>IF($P99="",0,IF(COUNTIFS(업무일지!$F$5:$F$1004,$P99,업무일지!$B$5:$B$1004,"&gt;="&amp;DATE($B$3,1,1),업무일지!$B$5:$B$1004,"&lt;"&amp;DATE($B$3+1,1,1),업무일지!$AA$5:$AA$1004,"*"&amp;$A$17&amp;"*")&gt;0,1,0))</f>
        <v/>
      </c>
      <c r="AB99">
        <f>IF($P99="",0,IF(COUNTIFS(업무일지!$F$5:$F$1004,$P99,업무일지!$B$5:$B$1004,"&gt;="&amp;DATE($B$3,1,1),업무일지!$B$5:$B$1004,"&lt;"&amp;DATE($B$3+1,1,1),업무일지!$AA$5:$AA$1004,"*"&amp;$A$18&amp;"*")&gt;0,1,0))</f>
        <v/>
      </c>
      <c r="AC99">
        <f>IF($P99="",0,IF(COUNTIFS(업무일지!$F$5:$F$1004,$P99,업무일지!$B$5:$B$1004,"&gt;="&amp;DATE($B$3,1,1),업무일지!$B$5:$B$1004,"&lt;"&amp;DATE($B$3+1,1,1),업무일지!$AA$5:$AA$1004,"*"&amp;$A$19&amp;"*")&gt;0,1,0))</f>
        <v/>
      </c>
      <c r="AD99">
        <f>IF($P99="",0,IF(COUNTIFS(업무일지!$F$5:$F$1004,$P99,업무일지!$B$5:$B$1004,"&gt;="&amp;DATE($B$3,1,1),업무일지!$B$5:$B$1004,"&lt;"&amp;DATE($B$3+1,1,1),업무일지!$AA$5:$AA$1004,"*"&amp;$A$20&amp;"*")&gt;0,1,0))</f>
        <v/>
      </c>
      <c r="AE99">
        <f>IF($P99="",0,IF(COUNTIFS(업무일지!$F$5:$F$1004,$P99,업무일지!$B$5:$B$1004,"&gt;="&amp;DATE($B$3,1,1),업무일지!$B$5:$B$1004,"&lt;"&amp;DATE($B$3+1,1,1),업무일지!$AA$5:$AA$1004,"*"&amp;$A$21&amp;"*")&gt;0,1,0))</f>
        <v/>
      </c>
      <c r="AF99">
        <f>IF($P99="",0,IF(COUNTIFS(업무일지!$F$5:$F$1004,$P99,업무일지!$B$5:$B$1004,"&gt;="&amp;DATE($B$3,1,1),업무일지!$B$5:$B$1004,"&lt;"&amp;DATE($B$3+1,1,1),업무일지!$AA$5:$AA$1004,"*"&amp;$A$22&amp;"*")&gt;0,1,0))</f>
        <v/>
      </c>
      <c r="AG99">
        <f>IF($P99="",0,IF(COUNTIFS(업무일지!$F$5:$F$1004,$P99,업무일지!$B$5:$B$1004,"&gt;="&amp;DATE($B$3,1,1),업무일지!$B$5:$B$1004,"&lt;"&amp;DATE($B$3+1,1,1),업무일지!$AA$5:$AA$1004,"*"&amp;$A$23&amp;"*")&gt;0,1,0))</f>
        <v/>
      </c>
      <c r="AH99">
        <f>IF($P99="",0,IF(COUNTIFS(업무일지!$F$5:$F$1004,$P99,업무일지!$B$5:$B$1004,"&gt;="&amp;DATE($B$3,1,1),업무일지!$B$5:$B$1004,"&lt;"&amp;DATE($B$3+1,1,1),업무일지!$AA$5:$AA$1004,"*"&amp;$A$24&amp;"*")&gt;0,1,0))</f>
        <v/>
      </c>
      <c r="AI99">
        <f>IF($P99="",0,IF(COUNTIFS(업무일지!$F$5:$F$1004,$P99,업무일지!$B$5:$B$1004,"&gt;="&amp;DATE($B$3,1,1),업무일지!$B$5:$B$1004,"&lt;"&amp;DATE($B$3+1,1,1),업무일지!$AA$5:$AA$1004,"*"&amp;$A$25&amp;"*")&gt;0,1,0))</f>
        <v/>
      </c>
      <c r="AJ99">
        <f>IF($P99="",0,IF(COUNTIFS(업무일지!$F$5:$F$1004,$P99,업무일지!$B$5:$B$1004,"&gt;="&amp;DATE($B$3,1,1),업무일지!$B$5:$B$1004,"&lt;"&amp;DATE($B$3+1,1,1),업무일지!$AA$5:$AA$1004,"*"&amp;$A$26&amp;"*")&gt;0,1,0))</f>
        <v/>
      </c>
    </row>
    <row r="100">
      <c r="P100">
        <f>IF(사건마스터!$A45="","",사건마스터!$A45)</f>
        <v/>
      </c>
      <c r="Q100">
        <f>IF($P100="",0,IF(COUNTIFS(업무일지!$F$5:$F$1004,$P100,업무일지!$B$5:$B$1004,"&gt;="&amp;DATE($B$3,1,1),업무일지!$B$5:$B$1004,"&lt;"&amp;DATE($B$3+1,1,1),업무일지!$AA$5:$AA$1004,"*"&amp;$A$7&amp;"*")&gt;0,1,0))</f>
        <v/>
      </c>
      <c r="R100">
        <f>IF($P100="",0,IF(COUNTIFS(업무일지!$F$5:$F$1004,$P100,업무일지!$B$5:$B$1004,"&gt;="&amp;DATE($B$3,1,1),업무일지!$B$5:$B$1004,"&lt;"&amp;DATE($B$3+1,1,1),업무일지!$AA$5:$AA$1004,"*"&amp;$A$8&amp;"*")&gt;0,1,0))</f>
        <v/>
      </c>
      <c r="S100">
        <f>IF($P100="",0,IF(COUNTIFS(업무일지!$F$5:$F$1004,$P100,업무일지!$B$5:$B$1004,"&gt;="&amp;DATE($B$3,1,1),업무일지!$B$5:$B$1004,"&lt;"&amp;DATE($B$3+1,1,1),업무일지!$AA$5:$AA$1004,"*"&amp;$A$9&amp;"*")&gt;0,1,0))</f>
        <v/>
      </c>
      <c r="T100">
        <f>IF($P100="",0,IF(COUNTIFS(업무일지!$F$5:$F$1004,$P100,업무일지!$B$5:$B$1004,"&gt;="&amp;DATE($B$3,1,1),업무일지!$B$5:$B$1004,"&lt;"&amp;DATE($B$3+1,1,1),업무일지!$AA$5:$AA$1004,"*"&amp;$A$10&amp;"*")&gt;0,1,0))</f>
        <v/>
      </c>
      <c r="U100">
        <f>IF($P100="",0,IF(COUNTIFS(업무일지!$F$5:$F$1004,$P100,업무일지!$B$5:$B$1004,"&gt;="&amp;DATE($B$3,1,1),업무일지!$B$5:$B$1004,"&lt;"&amp;DATE($B$3+1,1,1),업무일지!$AA$5:$AA$1004,"*"&amp;$A$11&amp;"*")&gt;0,1,0))</f>
        <v/>
      </c>
      <c r="V100">
        <f>IF($P100="",0,IF(COUNTIFS(업무일지!$F$5:$F$1004,$P100,업무일지!$B$5:$B$1004,"&gt;="&amp;DATE($B$3,1,1),업무일지!$B$5:$B$1004,"&lt;"&amp;DATE($B$3+1,1,1),업무일지!$AA$5:$AA$1004,"*"&amp;$A$12&amp;"*")&gt;0,1,0))</f>
        <v/>
      </c>
      <c r="W100">
        <f>IF($P100="",0,IF(COUNTIFS(업무일지!$F$5:$F$1004,$P100,업무일지!$B$5:$B$1004,"&gt;="&amp;DATE($B$3,1,1),업무일지!$B$5:$B$1004,"&lt;"&amp;DATE($B$3+1,1,1),업무일지!$AA$5:$AA$1004,"*"&amp;$A$13&amp;"*")&gt;0,1,0))</f>
        <v/>
      </c>
      <c r="X100">
        <f>IF($P100="",0,IF(COUNTIFS(업무일지!$F$5:$F$1004,$P100,업무일지!$B$5:$B$1004,"&gt;="&amp;DATE($B$3,1,1),업무일지!$B$5:$B$1004,"&lt;"&amp;DATE($B$3+1,1,1),업무일지!$AA$5:$AA$1004,"*"&amp;$A$14&amp;"*")&gt;0,1,0))</f>
        <v/>
      </c>
      <c r="Y100">
        <f>IF($P100="",0,IF(COUNTIFS(업무일지!$F$5:$F$1004,$P100,업무일지!$B$5:$B$1004,"&gt;="&amp;DATE($B$3,1,1),업무일지!$B$5:$B$1004,"&lt;"&amp;DATE($B$3+1,1,1),업무일지!$AA$5:$AA$1004,"*"&amp;$A$15&amp;"*")&gt;0,1,0))</f>
        <v/>
      </c>
      <c r="Z100">
        <f>IF($P100="",0,IF(COUNTIFS(업무일지!$F$5:$F$1004,$P100,업무일지!$B$5:$B$1004,"&gt;="&amp;DATE($B$3,1,1),업무일지!$B$5:$B$1004,"&lt;"&amp;DATE($B$3+1,1,1),업무일지!$AA$5:$AA$1004,"*"&amp;$A$16&amp;"*")&gt;0,1,0))</f>
        <v/>
      </c>
      <c r="AA100">
        <f>IF($P100="",0,IF(COUNTIFS(업무일지!$F$5:$F$1004,$P100,업무일지!$B$5:$B$1004,"&gt;="&amp;DATE($B$3,1,1),업무일지!$B$5:$B$1004,"&lt;"&amp;DATE($B$3+1,1,1),업무일지!$AA$5:$AA$1004,"*"&amp;$A$17&amp;"*")&gt;0,1,0))</f>
        <v/>
      </c>
      <c r="AB100">
        <f>IF($P100="",0,IF(COUNTIFS(업무일지!$F$5:$F$1004,$P100,업무일지!$B$5:$B$1004,"&gt;="&amp;DATE($B$3,1,1),업무일지!$B$5:$B$1004,"&lt;"&amp;DATE($B$3+1,1,1),업무일지!$AA$5:$AA$1004,"*"&amp;$A$18&amp;"*")&gt;0,1,0))</f>
        <v/>
      </c>
      <c r="AC100">
        <f>IF($P100="",0,IF(COUNTIFS(업무일지!$F$5:$F$1004,$P100,업무일지!$B$5:$B$1004,"&gt;="&amp;DATE($B$3,1,1),업무일지!$B$5:$B$1004,"&lt;"&amp;DATE($B$3+1,1,1),업무일지!$AA$5:$AA$1004,"*"&amp;$A$19&amp;"*")&gt;0,1,0))</f>
        <v/>
      </c>
      <c r="AD100">
        <f>IF($P100="",0,IF(COUNTIFS(업무일지!$F$5:$F$1004,$P100,업무일지!$B$5:$B$1004,"&gt;="&amp;DATE($B$3,1,1),업무일지!$B$5:$B$1004,"&lt;"&amp;DATE($B$3+1,1,1),업무일지!$AA$5:$AA$1004,"*"&amp;$A$20&amp;"*")&gt;0,1,0))</f>
        <v/>
      </c>
      <c r="AE100">
        <f>IF($P100="",0,IF(COUNTIFS(업무일지!$F$5:$F$1004,$P100,업무일지!$B$5:$B$1004,"&gt;="&amp;DATE($B$3,1,1),업무일지!$B$5:$B$1004,"&lt;"&amp;DATE($B$3+1,1,1),업무일지!$AA$5:$AA$1004,"*"&amp;$A$21&amp;"*")&gt;0,1,0))</f>
        <v/>
      </c>
      <c r="AF100">
        <f>IF($P100="",0,IF(COUNTIFS(업무일지!$F$5:$F$1004,$P100,업무일지!$B$5:$B$1004,"&gt;="&amp;DATE($B$3,1,1),업무일지!$B$5:$B$1004,"&lt;"&amp;DATE($B$3+1,1,1),업무일지!$AA$5:$AA$1004,"*"&amp;$A$22&amp;"*")&gt;0,1,0))</f>
        <v/>
      </c>
      <c r="AG100">
        <f>IF($P100="",0,IF(COUNTIFS(업무일지!$F$5:$F$1004,$P100,업무일지!$B$5:$B$1004,"&gt;="&amp;DATE($B$3,1,1),업무일지!$B$5:$B$1004,"&lt;"&amp;DATE($B$3+1,1,1),업무일지!$AA$5:$AA$1004,"*"&amp;$A$23&amp;"*")&gt;0,1,0))</f>
        <v/>
      </c>
      <c r="AH100">
        <f>IF($P100="",0,IF(COUNTIFS(업무일지!$F$5:$F$1004,$P100,업무일지!$B$5:$B$1004,"&gt;="&amp;DATE($B$3,1,1),업무일지!$B$5:$B$1004,"&lt;"&amp;DATE($B$3+1,1,1),업무일지!$AA$5:$AA$1004,"*"&amp;$A$24&amp;"*")&gt;0,1,0))</f>
        <v/>
      </c>
      <c r="AI100">
        <f>IF($P100="",0,IF(COUNTIFS(업무일지!$F$5:$F$1004,$P100,업무일지!$B$5:$B$1004,"&gt;="&amp;DATE($B$3,1,1),업무일지!$B$5:$B$1004,"&lt;"&amp;DATE($B$3+1,1,1),업무일지!$AA$5:$AA$1004,"*"&amp;$A$25&amp;"*")&gt;0,1,0))</f>
        <v/>
      </c>
      <c r="AJ100">
        <f>IF($P100="",0,IF(COUNTIFS(업무일지!$F$5:$F$1004,$P100,업무일지!$B$5:$B$1004,"&gt;="&amp;DATE($B$3,1,1),업무일지!$B$5:$B$1004,"&lt;"&amp;DATE($B$3+1,1,1),업무일지!$AA$5:$AA$1004,"*"&amp;$A$26&amp;"*")&gt;0,1,0))</f>
        <v/>
      </c>
    </row>
    <row r="101">
      <c r="P101">
        <f>IF(사건마스터!$A46="","",사건마스터!$A46)</f>
        <v/>
      </c>
      <c r="Q101">
        <f>IF($P101="",0,IF(COUNTIFS(업무일지!$F$5:$F$1004,$P101,업무일지!$B$5:$B$1004,"&gt;="&amp;DATE($B$3,1,1),업무일지!$B$5:$B$1004,"&lt;"&amp;DATE($B$3+1,1,1),업무일지!$AA$5:$AA$1004,"*"&amp;$A$7&amp;"*")&gt;0,1,0))</f>
        <v/>
      </c>
      <c r="R101">
        <f>IF($P101="",0,IF(COUNTIFS(업무일지!$F$5:$F$1004,$P101,업무일지!$B$5:$B$1004,"&gt;="&amp;DATE($B$3,1,1),업무일지!$B$5:$B$1004,"&lt;"&amp;DATE($B$3+1,1,1),업무일지!$AA$5:$AA$1004,"*"&amp;$A$8&amp;"*")&gt;0,1,0))</f>
        <v/>
      </c>
      <c r="S101">
        <f>IF($P101="",0,IF(COUNTIFS(업무일지!$F$5:$F$1004,$P101,업무일지!$B$5:$B$1004,"&gt;="&amp;DATE($B$3,1,1),업무일지!$B$5:$B$1004,"&lt;"&amp;DATE($B$3+1,1,1),업무일지!$AA$5:$AA$1004,"*"&amp;$A$9&amp;"*")&gt;0,1,0))</f>
        <v/>
      </c>
      <c r="T101">
        <f>IF($P101="",0,IF(COUNTIFS(업무일지!$F$5:$F$1004,$P101,업무일지!$B$5:$B$1004,"&gt;="&amp;DATE($B$3,1,1),업무일지!$B$5:$B$1004,"&lt;"&amp;DATE($B$3+1,1,1),업무일지!$AA$5:$AA$1004,"*"&amp;$A$10&amp;"*")&gt;0,1,0))</f>
        <v/>
      </c>
      <c r="U101">
        <f>IF($P101="",0,IF(COUNTIFS(업무일지!$F$5:$F$1004,$P101,업무일지!$B$5:$B$1004,"&gt;="&amp;DATE($B$3,1,1),업무일지!$B$5:$B$1004,"&lt;"&amp;DATE($B$3+1,1,1),업무일지!$AA$5:$AA$1004,"*"&amp;$A$11&amp;"*")&gt;0,1,0))</f>
        <v/>
      </c>
      <c r="V101">
        <f>IF($P101="",0,IF(COUNTIFS(업무일지!$F$5:$F$1004,$P101,업무일지!$B$5:$B$1004,"&gt;="&amp;DATE($B$3,1,1),업무일지!$B$5:$B$1004,"&lt;"&amp;DATE($B$3+1,1,1),업무일지!$AA$5:$AA$1004,"*"&amp;$A$12&amp;"*")&gt;0,1,0))</f>
        <v/>
      </c>
      <c r="W101">
        <f>IF($P101="",0,IF(COUNTIFS(업무일지!$F$5:$F$1004,$P101,업무일지!$B$5:$B$1004,"&gt;="&amp;DATE($B$3,1,1),업무일지!$B$5:$B$1004,"&lt;"&amp;DATE($B$3+1,1,1),업무일지!$AA$5:$AA$1004,"*"&amp;$A$13&amp;"*")&gt;0,1,0))</f>
        <v/>
      </c>
      <c r="X101">
        <f>IF($P101="",0,IF(COUNTIFS(업무일지!$F$5:$F$1004,$P101,업무일지!$B$5:$B$1004,"&gt;="&amp;DATE($B$3,1,1),업무일지!$B$5:$B$1004,"&lt;"&amp;DATE($B$3+1,1,1),업무일지!$AA$5:$AA$1004,"*"&amp;$A$14&amp;"*")&gt;0,1,0))</f>
        <v/>
      </c>
      <c r="Y101">
        <f>IF($P101="",0,IF(COUNTIFS(업무일지!$F$5:$F$1004,$P101,업무일지!$B$5:$B$1004,"&gt;="&amp;DATE($B$3,1,1),업무일지!$B$5:$B$1004,"&lt;"&amp;DATE($B$3+1,1,1),업무일지!$AA$5:$AA$1004,"*"&amp;$A$15&amp;"*")&gt;0,1,0))</f>
        <v/>
      </c>
      <c r="Z101">
        <f>IF($P101="",0,IF(COUNTIFS(업무일지!$F$5:$F$1004,$P101,업무일지!$B$5:$B$1004,"&gt;="&amp;DATE($B$3,1,1),업무일지!$B$5:$B$1004,"&lt;"&amp;DATE($B$3+1,1,1),업무일지!$AA$5:$AA$1004,"*"&amp;$A$16&amp;"*")&gt;0,1,0))</f>
        <v/>
      </c>
      <c r="AA101">
        <f>IF($P101="",0,IF(COUNTIFS(업무일지!$F$5:$F$1004,$P101,업무일지!$B$5:$B$1004,"&gt;="&amp;DATE($B$3,1,1),업무일지!$B$5:$B$1004,"&lt;"&amp;DATE($B$3+1,1,1),업무일지!$AA$5:$AA$1004,"*"&amp;$A$17&amp;"*")&gt;0,1,0))</f>
        <v/>
      </c>
      <c r="AB101">
        <f>IF($P101="",0,IF(COUNTIFS(업무일지!$F$5:$F$1004,$P101,업무일지!$B$5:$B$1004,"&gt;="&amp;DATE($B$3,1,1),업무일지!$B$5:$B$1004,"&lt;"&amp;DATE($B$3+1,1,1),업무일지!$AA$5:$AA$1004,"*"&amp;$A$18&amp;"*")&gt;0,1,0))</f>
        <v/>
      </c>
      <c r="AC101">
        <f>IF($P101="",0,IF(COUNTIFS(업무일지!$F$5:$F$1004,$P101,업무일지!$B$5:$B$1004,"&gt;="&amp;DATE($B$3,1,1),업무일지!$B$5:$B$1004,"&lt;"&amp;DATE($B$3+1,1,1),업무일지!$AA$5:$AA$1004,"*"&amp;$A$19&amp;"*")&gt;0,1,0))</f>
        <v/>
      </c>
      <c r="AD101">
        <f>IF($P101="",0,IF(COUNTIFS(업무일지!$F$5:$F$1004,$P101,업무일지!$B$5:$B$1004,"&gt;="&amp;DATE($B$3,1,1),업무일지!$B$5:$B$1004,"&lt;"&amp;DATE($B$3+1,1,1),업무일지!$AA$5:$AA$1004,"*"&amp;$A$20&amp;"*")&gt;0,1,0))</f>
        <v/>
      </c>
      <c r="AE101">
        <f>IF($P101="",0,IF(COUNTIFS(업무일지!$F$5:$F$1004,$P101,업무일지!$B$5:$B$1004,"&gt;="&amp;DATE($B$3,1,1),업무일지!$B$5:$B$1004,"&lt;"&amp;DATE($B$3+1,1,1),업무일지!$AA$5:$AA$1004,"*"&amp;$A$21&amp;"*")&gt;0,1,0))</f>
        <v/>
      </c>
      <c r="AF101">
        <f>IF($P101="",0,IF(COUNTIFS(업무일지!$F$5:$F$1004,$P101,업무일지!$B$5:$B$1004,"&gt;="&amp;DATE($B$3,1,1),업무일지!$B$5:$B$1004,"&lt;"&amp;DATE($B$3+1,1,1),업무일지!$AA$5:$AA$1004,"*"&amp;$A$22&amp;"*")&gt;0,1,0))</f>
        <v/>
      </c>
      <c r="AG101">
        <f>IF($P101="",0,IF(COUNTIFS(업무일지!$F$5:$F$1004,$P101,업무일지!$B$5:$B$1004,"&gt;="&amp;DATE($B$3,1,1),업무일지!$B$5:$B$1004,"&lt;"&amp;DATE($B$3+1,1,1),업무일지!$AA$5:$AA$1004,"*"&amp;$A$23&amp;"*")&gt;0,1,0))</f>
        <v/>
      </c>
      <c r="AH101">
        <f>IF($P101="",0,IF(COUNTIFS(업무일지!$F$5:$F$1004,$P101,업무일지!$B$5:$B$1004,"&gt;="&amp;DATE($B$3,1,1),업무일지!$B$5:$B$1004,"&lt;"&amp;DATE($B$3+1,1,1),업무일지!$AA$5:$AA$1004,"*"&amp;$A$24&amp;"*")&gt;0,1,0))</f>
        <v/>
      </c>
      <c r="AI101">
        <f>IF($P101="",0,IF(COUNTIFS(업무일지!$F$5:$F$1004,$P101,업무일지!$B$5:$B$1004,"&gt;="&amp;DATE($B$3,1,1),업무일지!$B$5:$B$1004,"&lt;"&amp;DATE($B$3+1,1,1),업무일지!$AA$5:$AA$1004,"*"&amp;$A$25&amp;"*")&gt;0,1,0))</f>
        <v/>
      </c>
      <c r="AJ101">
        <f>IF($P101="",0,IF(COUNTIFS(업무일지!$F$5:$F$1004,$P101,업무일지!$B$5:$B$1004,"&gt;="&amp;DATE($B$3,1,1),업무일지!$B$5:$B$1004,"&lt;"&amp;DATE($B$3+1,1,1),업무일지!$AA$5:$AA$1004,"*"&amp;$A$26&amp;"*")&gt;0,1,0))</f>
        <v/>
      </c>
    </row>
    <row r="102">
      <c r="P102">
        <f>IF(사건마스터!$A47="","",사건마스터!$A47)</f>
        <v/>
      </c>
      <c r="Q102">
        <f>IF($P102="",0,IF(COUNTIFS(업무일지!$F$5:$F$1004,$P102,업무일지!$B$5:$B$1004,"&gt;="&amp;DATE($B$3,1,1),업무일지!$B$5:$B$1004,"&lt;"&amp;DATE($B$3+1,1,1),업무일지!$AA$5:$AA$1004,"*"&amp;$A$7&amp;"*")&gt;0,1,0))</f>
        <v/>
      </c>
      <c r="R102">
        <f>IF($P102="",0,IF(COUNTIFS(업무일지!$F$5:$F$1004,$P102,업무일지!$B$5:$B$1004,"&gt;="&amp;DATE($B$3,1,1),업무일지!$B$5:$B$1004,"&lt;"&amp;DATE($B$3+1,1,1),업무일지!$AA$5:$AA$1004,"*"&amp;$A$8&amp;"*")&gt;0,1,0))</f>
        <v/>
      </c>
      <c r="S102">
        <f>IF($P102="",0,IF(COUNTIFS(업무일지!$F$5:$F$1004,$P102,업무일지!$B$5:$B$1004,"&gt;="&amp;DATE($B$3,1,1),업무일지!$B$5:$B$1004,"&lt;"&amp;DATE($B$3+1,1,1),업무일지!$AA$5:$AA$1004,"*"&amp;$A$9&amp;"*")&gt;0,1,0))</f>
        <v/>
      </c>
      <c r="T102">
        <f>IF($P102="",0,IF(COUNTIFS(업무일지!$F$5:$F$1004,$P102,업무일지!$B$5:$B$1004,"&gt;="&amp;DATE($B$3,1,1),업무일지!$B$5:$B$1004,"&lt;"&amp;DATE($B$3+1,1,1),업무일지!$AA$5:$AA$1004,"*"&amp;$A$10&amp;"*")&gt;0,1,0))</f>
        <v/>
      </c>
      <c r="U102">
        <f>IF($P102="",0,IF(COUNTIFS(업무일지!$F$5:$F$1004,$P102,업무일지!$B$5:$B$1004,"&gt;="&amp;DATE($B$3,1,1),업무일지!$B$5:$B$1004,"&lt;"&amp;DATE($B$3+1,1,1),업무일지!$AA$5:$AA$1004,"*"&amp;$A$11&amp;"*")&gt;0,1,0))</f>
        <v/>
      </c>
      <c r="V102">
        <f>IF($P102="",0,IF(COUNTIFS(업무일지!$F$5:$F$1004,$P102,업무일지!$B$5:$B$1004,"&gt;="&amp;DATE($B$3,1,1),업무일지!$B$5:$B$1004,"&lt;"&amp;DATE($B$3+1,1,1),업무일지!$AA$5:$AA$1004,"*"&amp;$A$12&amp;"*")&gt;0,1,0))</f>
        <v/>
      </c>
      <c r="W102">
        <f>IF($P102="",0,IF(COUNTIFS(업무일지!$F$5:$F$1004,$P102,업무일지!$B$5:$B$1004,"&gt;="&amp;DATE($B$3,1,1),업무일지!$B$5:$B$1004,"&lt;"&amp;DATE($B$3+1,1,1),업무일지!$AA$5:$AA$1004,"*"&amp;$A$13&amp;"*")&gt;0,1,0))</f>
        <v/>
      </c>
      <c r="X102">
        <f>IF($P102="",0,IF(COUNTIFS(업무일지!$F$5:$F$1004,$P102,업무일지!$B$5:$B$1004,"&gt;="&amp;DATE($B$3,1,1),업무일지!$B$5:$B$1004,"&lt;"&amp;DATE($B$3+1,1,1),업무일지!$AA$5:$AA$1004,"*"&amp;$A$14&amp;"*")&gt;0,1,0))</f>
        <v/>
      </c>
      <c r="Y102">
        <f>IF($P102="",0,IF(COUNTIFS(업무일지!$F$5:$F$1004,$P102,업무일지!$B$5:$B$1004,"&gt;="&amp;DATE($B$3,1,1),업무일지!$B$5:$B$1004,"&lt;"&amp;DATE($B$3+1,1,1),업무일지!$AA$5:$AA$1004,"*"&amp;$A$15&amp;"*")&gt;0,1,0))</f>
        <v/>
      </c>
      <c r="Z102">
        <f>IF($P102="",0,IF(COUNTIFS(업무일지!$F$5:$F$1004,$P102,업무일지!$B$5:$B$1004,"&gt;="&amp;DATE($B$3,1,1),업무일지!$B$5:$B$1004,"&lt;"&amp;DATE($B$3+1,1,1),업무일지!$AA$5:$AA$1004,"*"&amp;$A$16&amp;"*")&gt;0,1,0))</f>
        <v/>
      </c>
      <c r="AA102">
        <f>IF($P102="",0,IF(COUNTIFS(업무일지!$F$5:$F$1004,$P102,업무일지!$B$5:$B$1004,"&gt;="&amp;DATE($B$3,1,1),업무일지!$B$5:$B$1004,"&lt;"&amp;DATE($B$3+1,1,1),업무일지!$AA$5:$AA$1004,"*"&amp;$A$17&amp;"*")&gt;0,1,0))</f>
        <v/>
      </c>
      <c r="AB102">
        <f>IF($P102="",0,IF(COUNTIFS(업무일지!$F$5:$F$1004,$P102,업무일지!$B$5:$B$1004,"&gt;="&amp;DATE($B$3,1,1),업무일지!$B$5:$B$1004,"&lt;"&amp;DATE($B$3+1,1,1),업무일지!$AA$5:$AA$1004,"*"&amp;$A$18&amp;"*")&gt;0,1,0))</f>
        <v/>
      </c>
      <c r="AC102">
        <f>IF($P102="",0,IF(COUNTIFS(업무일지!$F$5:$F$1004,$P102,업무일지!$B$5:$B$1004,"&gt;="&amp;DATE($B$3,1,1),업무일지!$B$5:$B$1004,"&lt;"&amp;DATE($B$3+1,1,1),업무일지!$AA$5:$AA$1004,"*"&amp;$A$19&amp;"*")&gt;0,1,0))</f>
        <v/>
      </c>
      <c r="AD102">
        <f>IF($P102="",0,IF(COUNTIFS(업무일지!$F$5:$F$1004,$P102,업무일지!$B$5:$B$1004,"&gt;="&amp;DATE($B$3,1,1),업무일지!$B$5:$B$1004,"&lt;"&amp;DATE($B$3+1,1,1),업무일지!$AA$5:$AA$1004,"*"&amp;$A$20&amp;"*")&gt;0,1,0))</f>
        <v/>
      </c>
      <c r="AE102">
        <f>IF($P102="",0,IF(COUNTIFS(업무일지!$F$5:$F$1004,$P102,업무일지!$B$5:$B$1004,"&gt;="&amp;DATE($B$3,1,1),업무일지!$B$5:$B$1004,"&lt;"&amp;DATE($B$3+1,1,1),업무일지!$AA$5:$AA$1004,"*"&amp;$A$21&amp;"*")&gt;0,1,0))</f>
        <v/>
      </c>
      <c r="AF102">
        <f>IF($P102="",0,IF(COUNTIFS(업무일지!$F$5:$F$1004,$P102,업무일지!$B$5:$B$1004,"&gt;="&amp;DATE($B$3,1,1),업무일지!$B$5:$B$1004,"&lt;"&amp;DATE($B$3+1,1,1),업무일지!$AA$5:$AA$1004,"*"&amp;$A$22&amp;"*")&gt;0,1,0))</f>
        <v/>
      </c>
      <c r="AG102">
        <f>IF($P102="",0,IF(COUNTIFS(업무일지!$F$5:$F$1004,$P102,업무일지!$B$5:$B$1004,"&gt;="&amp;DATE($B$3,1,1),업무일지!$B$5:$B$1004,"&lt;"&amp;DATE($B$3+1,1,1),업무일지!$AA$5:$AA$1004,"*"&amp;$A$23&amp;"*")&gt;0,1,0))</f>
        <v/>
      </c>
      <c r="AH102">
        <f>IF($P102="",0,IF(COUNTIFS(업무일지!$F$5:$F$1004,$P102,업무일지!$B$5:$B$1004,"&gt;="&amp;DATE($B$3,1,1),업무일지!$B$5:$B$1004,"&lt;"&amp;DATE($B$3+1,1,1),업무일지!$AA$5:$AA$1004,"*"&amp;$A$24&amp;"*")&gt;0,1,0))</f>
        <v/>
      </c>
      <c r="AI102">
        <f>IF($P102="",0,IF(COUNTIFS(업무일지!$F$5:$F$1004,$P102,업무일지!$B$5:$B$1004,"&gt;="&amp;DATE($B$3,1,1),업무일지!$B$5:$B$1004,"&lt;"&amp;DATE($B$3+1,1,1),업무일지!$AA$5:$AA$1004,"*"&amp;$A$25&amp;"*")&gt;0,1,0))</f>
        <v/>
      </c>
      <c r="AJ102">
        <f>IF($P102="",0,IF(COUNTIFS(업무일지!$F$5:$F$1004,$P102,업무일지!$B$5:$B$1004,"&gt;="&amp;DATE($B$3,1,1),업무일지!$B$5:$B$1004,"&lt;"&amp;DATE($B$3+1,1,1),업무일지!$AA$5:$AA$1004,"*"&amp;$A$26&amp;"*")&gt;0,1,0))</f>
        <v/>
      </c>
    </row>
    <row r="103">
      <c r="P103">
        <f>IF(사건마스터!$A48="","",사건마스터!$A48)</f>
        <v/>
      </c>
      <c r="Q103">
        <f>IF($P103="",0,IF(COUNTIFS(업무일지!$F$5:$F$1004,$P103,업무일지!$B$5:$B$1004,"&gt;="&amp;DATE($B$3,1,1),업무일지!$B$5:$B$1004,"&lt;"&amp;DATE($B$3+1,1,1),업무일지!$AA$5:$AA$1004,"*"&amp;$A$7&amp;"*")&gt;0,1,0))</f>
        <v/>
      </c>
      <c r="R103">
        <f>IF($P103="",0,IF(COUNTIFS(업무일지!$F$5:$F$1004,$P103,업무일지!$B$5:$B$1004,"&gt;="&amp;DATE($B$3,1,1),업무일지!$B$5:$B$1004,"&lt;"&amp;DATE($B$3+1,1,1),업무일지!$AA$5:$AA$1004,"*"&amp;$A$8&amp;"*")&gt;0,1,0))</f>
        <v/>
      </c>
      <c r="S103">
        <f>IF($P103="",0,IF(COUNTIFS(업무일지!$F$5:$F$1004,$P103,업무일지!$B$5:$B$1004,"&gt;="&amp;DATE($B$3,1,1),업무일지!$B$5:$B$1004,"&lt;"&amp;DATE($B$3+1,1,1),업무일지!$AA$5:$AA$1004,"*"&amp;$A$9&amp;"*")&gt;0,1,0))</f>
        <v/>
      </c>
      <c r="T103">
        <f>IF($P103="",0,IF(COUNTIFS(업무일지!$F$5:$F$1004,$P103,업무일지!$B$5:$B$1004,"&gt;="&amp;DATE($B$3,1,1),업무일지!$B$5:$B$1004,"&lt;"&amp;DATE($B$3+1,1,1),업무일지!$AA$5:$AA$1004,"*"&amp;$A$10&amp;"*")&gt;0,1,0))</f>
        <v/>
      </c>
      <c r="U103">
        <f>IF($P103="",0,IF(COUNTIFS(업무일지!$F$5:$F$1004,$P103,업무일지!$B$5:$B$1004,"&gt;="&amp;DATE($B$3,1,1),업무일지!$B$5:$B$1004,"&lt;"&amp;DATE($B$3+1,1,1),업무일지!$AA$5:$AA$1004,"*"&amp;$A$11&amp;"*")&gt;0,1,0))</f>
        <v/>
      </c>
      <c r="V103">
        <f>IF($P103="",0,IF(COUNTIFS(업무일지!$F$5:$F$1004,$P103,업무일지!$B$5:$B$1004,"&gt;="&amp;DATE($B$3,1,1),업무일지!$B$5:$B$1004,"&lt;"&amp;DATE($B$3+1,1,1),업무일지!$AA$5:$AA$1004,"*"&amp;$A$12&amp;"*")&gt;0,1,0))</f>
        <v/>
      </c>
      <c r="W103">
        <f>IF($P103="",0,IF(COUNTIFS(업무일지!$F$5:$F$1004,$P103,업무일지!$B$5:$B$1004,"&gt;="&amp;DATE($B$3,1,1),업무일지!$B$5:$B$1004,"&lt;"&amp;DATE($B$3+1,1,1),업무일지!$AA$5:$AA$1004,"*"&amp;$A$13&amp;"*")&gt;0,1,0))</f>
        <v/>
      </c>
      <c r="X103">
        <f>IF($P103="",0,IF(COUNTIFS(업무일지!$F$5:$F$1004,$P103,업무일지!$B$5:$B$1004,"&gt;="&amp;DATE($B$3,1,1),업무일지!$B$5:$B$1004,"&lt;"&amp;DATE($B$3+1,1,1),업무일지!$AA$5:$AA$1004,"*"&amp;$A$14&amp;"*")&gt;0,1,0))</f>
        <v/>
      </c>
      <c r="Y103">
        <f>IF($P103="",0,IF(COUNTIFS(업무일지!$F$5:$F$1004,$P103,업무일지!$B$5:$B$1004,"&gt;="&amp;DATE($B$3,1,1),업무일지!$B$5:$B$1004,"&lt;"&amp;DATE($B$3+1,1,1),업무일지!$AA$5:$AA$1004,"*"&amp;$A$15&amp;"*")&gt;0,1,0))</f>
        <v/>
      </c>
      <c r="Z103">
        <f>IF($P103="",0,IF(COUNTIFS(업무일지!$F$5:$F$1004,$P103,업무일지!$B$5:$B$1004,"&gt;="&amp;DATE($B$3,1,1),업무일지!$B$5:$B$1004,"&lt;"&amp;DATE($B$3+1,1,1),업무일지!$AA$5:$AA$1004,"*"&amp;$A$16&amp;"*")&gt;0,1,0))</f>
        <v/>
      </c>
      <c r="AA103">
        <f>IF($P103="",0,IF(COUNTIFS(업무일지!$F$5:$F$1004,$P103,업무일지!$B$5:$B$1004,"&gt;="&amp;DATE($B$3,1,1),업무일지!$B$5:$B$1004,"&lt;"&amp;DATE($B$3+1,1,1),업무일지!$AA$5:$AA$1004,"*"&amp;$A$17&amp;"*")&gt;0,1,0))</f>
        <v/>
      </c>
      <c r="AB103">
        <f>IF($P103="",0,IF(COUNTIFS(업무일지!$F$5:$F$1004,$P103,업무일지!$B$5:$B$1004,"&gt;="&amp;DATE($B$3,1,1),업무일지!$B$5:$B$1004,"&lt;"&amp;DATE($B$3+1,1,1),업무일지!$AA$5:$AA$1004,"*"&amp;$A$18&amp;"*")&gt;0,1,0))</f>
        <v/>
      </c>
      <c r="AC103">
        <f>IF($P103="",0,IF(COUNTIFS(업무일지!$F$5:$F$1004,$P103,업무일지!$B$5:$B$1004,"&gt;="&amp;DATE($B$3,1,1),업무일지!$B$5:$B$1004,"&lt;"&amp;DATE($B$3+1,1,1),업무일지!$AA$5:$AA$1004,"*"&amp;$A$19&amp;"*")&gt;0,1,0))</f>
        <v/>
      </c>
      <c r="AD103">
        <f>IF($P103="",0,IF(COUNTIFS(업무일지!$F$5:$F$1004,$P103,업무일지!$B$5:$B$1004,"&gt;="&amp;DATE($B$3,1,1),업무일지!$B$5:$B$1004,"&lt;"&amp;DATE($B$3+1,1,1),업무일지!$AA$5:$AA$1004,"*"&amp;$A$20&amp;"*")&gt;0,1,0))</f>
        <v/>
      </c>
      <c r="AE103">
        <f>IF($P103="",0,IF(COUNTIFS(업무일지!$F$5:$F$1004,$P103,업무일지!$B$5:$B$1004,"&gt;="&amp;DATE($B$3,1,1),업무일지!$B$5:$B$1004,"&lt;"&amp;DATE($B$3+1,1,1),업무일지!$AA$5:$AA$1004,"*"&amp;$A$21&amp;"*")&gt;0,1,0))</f>
        <v/>
      </c>
      <c r="AF103">
        <f>IF($P103="",0,IF(COUNTIFS(업무일지!$F$5:$F$1004,$P103,업무일지!$B$5:$B$1004,"&gt;="&amp;DATE($B$3,1,1),업무일지!$B$5:$B$1004,"&lt;"&amp;DATE($B$3+1,1,1),업무일지!$AA$5:$AA$1004,"*"&amp;$A$22&amp;"*")&gt;0,1,0))</f>
        <v/>
      </c>
      <c r="AG103">
        <f>IF($P103="",0,IF(COUNTIFS(업무일지!$F$5:$F$1004,$P103,업무일지!$B$5:$B$1004,"&gt;="&amp;DATE($B$3,1,1),업무일지!$B$5:$B$1004,"&lt;"&amp;DATE($B$3+1,1,1),업무일지!$AA$5:$AA$1004,"*"&amp;$A$23&amp;"*")&gt;0,1,0))</f>
        <v/>
      </c>
      <c r="AH103">
        <f>IF($P103="",0,IF(COUNTIFS(업무일지!$F$5:$F$1004,$P103,업무일지!$B$5:$B$1004,"&gt;="&amp;DATE($B$3,1,1),업무일지!$B$5:$B$1004,"&lt;"&amp;DATE($B$3+1,1,1),업무일지!$AA$5:$AA$1004,"*"&amp;$A$24&amp;"*")&gt;0,1,0))</f>
        <v/>
      </c>
      <c r="AI103">
        <f>IF($P103="",0,IF(COUNTIFS(업무일지!$F$5:$F$1004,$P103,업무일지!$B$5:$B$1004,"&gt;="&amp;DATE($B$3,1,1),업무일지!$B$5:$B$1004,"&lt;"&amp;DATE($B$3+1,1,1),업무일지!$AA$5:$AA$1004,"*"&amp;$A$25&amp;"*")&gt;0,1,0))</f>
        <v/>
      </c>
      <c r="AJ103">
        <f>IF($P103="",0,IF(COUNTIFS(업무일지!$F$5:$F$1004,$P103,업무일지!$B$5:$B$1004,"&gt;="&amp;DATE($B$3,1,1),업무일지!$B$5:$B$1004,"&lt;"&amp;DATE($B$3+1,1,1),업무일지!$AA$5:$AA$1004,"*"&amp;$A$26&amp;"*")&gt;0,1,0))</f>
        <v/>
      </c>
    </row>
    <row r="104">
      <c r="P104">
        <f>IF(사건마스터!$A49="","",사건마스터!$A49)</f>
        <v/>
      </c>
      <c r="Q104">
        <f>IF($P104="",0,IF(COUNTIFS(업무일지!$F$5:$F$1004,$P104,업무일지!$B$5:$B$1004,"&gt;="&amp;DATE($B$3,1,1),업무일지!$B$5:$B$1004,"&lt;"&amp;DATE($B$3+1,1,1),업무일지!$AA$5:$AA$1004,"*"&amp;$A$7&amp;"*")&gt;0,1,0))</f>
        <v/>
      </c>
      <c r="R104">
        <f>IF($P104="",0,IF(COUNTIFS(업무일지!$F$5:$F$1004,$P104,업무일지!$B$5:$B$1004,"&gt;="&amp;DATE($B$3,1,1),업무일지!$B$5:$B$1004,"&lt;"&amp;DATE($B$3+1,1,1),업무일지!$AA$5:$AA$1004,"*"&amp;$A$8&amp;"*")&gt;0,1,0))</f>
        <v/>
      </c>
      <c r="S104">
        <f>IF($P104="",0,IF(COUNTIFS(업무일지!$F$5:$F$1004,$P104,업무일지!$B$5:$B$1004,"&gt;="&amp;DATE($B$3,1,1),업무일지!$B$5:$B$1004,"&lt;"&amp;DATE($B$3+1,1,1),업무일지!$AA$5:$AA$1004,"*"&amp;$A$9&amp;"*")&gt;0,1,0))</f>
        <v/>
      </c>
      <c r="T104">
        <f>IF($P104="",0,IF(COUNTIFS(업무일지!$F$5:$F$1004,$P104,업무일지!$B$5:$B$1004,"&gt;="&amp;DATE($B$3,1,1),업무일지!$B$5:$B$1004,"&lt;"&amp;DATE($B$3+1,1,1),업무일지!$AA$5:$AA$1004,"*"&amp;$A$10&amp;"*")&gt;0,1,0))</f>
        <v/>
      </c>
      <c r="U104">
        <f>IF($P104="",0,IF(COUNTIFS(업무일지!$F$5:$F$1004,$P104,업무일지!$B$5:$B$1004,"&gt;="&amp;DATE($B$3,1,1),업무일지!$B$5:$B$1004,"&lt;"&amp;DATE($B$3+1,1,1),업무일지!$AA$5:$AA$1004,"*"&amp;$A$11&amp;"*")&gt;0,1,0))</f>
        <v/>
      </c>
      <c r="V104">
        <f>IF($P104="",0,IF(COUNTIFS(업무일지!$F$5:$F$1004,$P104,업무일지!$B$5:$B$1004,"&gt;="&amp;DATE($B$3,1,1),업무일지!$B$5:$B$1004,"&lt;"&amp;DATE($B$3+1,1,1),업무일지!$AA$5:$AA$1004,"*"&amp;$A$12&amp;"*")&gt;0,1,0))</f>
        <v/>
      </c>
      <c r="W104">
        <f>IF($P104="",0,IF(COUNTIFS(업무일지!$F$5:$F$1004,$P104,업무일지!$B$5:$B$1004,"&gt;="&amp;DATE($B$3,1,1),업무일지!$B$5:$B$1004,"&lt;"&amp;DATE($B$3+1,1,1),업무일지!$AA$5:$AA$1004,"*"&amp;$A$13&amp;"*")&gt;0,1,0))</f>
        <v/>
      </c>
      <c r="X104">
        <f>IF($P104="",0,IF(COUNTIFS(업무일지!$F$5:$F$1004,$P104,업무일지!$B$5:$B$1004,"&gt;="&amp;DATE($B$3,1,1),업무일지!$B$5:$B$1004,"&lt;"&amp;DATE($B$3+1,1,1),업무일지!$AA$5:$AA$1004,"*"&amp;$A$14&amp;"*")&gt;0,1,0))</f>
        <v/>
      </c>
      <c r="Y104">
        <f>IF($P104="",0,IF(COUNTIFS(업무일지!$F$5:$F$1004,$P104,업무일지!$B$5:$B$1004,"&gt;="&amp;DATE($B$3,1,1),업무일지!$B$5:$B$1004,"&lt;"&amp;DATE($B$3+1,1,1),업무일지!$AA$5:$AA$1004,"*"&amp;$A$15&amp;"*")&gt;0,1,0))</f>
        <v/>
      </c>
      <c r="Z104">
        <f>IF($P104="",0,IF(COUNTIFS(업무일지!$F$5:$F$1004,$P104,업무일지!$B$5:$B$1004,"&gt;="&amp;DATE($B$3,1,1),업무일지!$B$5:$B$1004,"&lt;"&amp;DATE($B$3+1,1,1),업무일지!$AA$5:$AA$1004,"*"&amp;$A$16&amp;"*")&gt;0,1,0))</f>
        <v/>
      </c>
      <c r="AA104">
        <f>IF($P104="",0,IF(COUNTIFS(업무일지!$F$5:$F$1004,$P104,업무일지!$B$5:$B$1004,"&gt;="&amp;DATE($B$3,1,1),업무일지!$B$5:$B$1004,"&lt;"&amp;DATE($B$3+1,1,1),업무일지!$AA$5:$AA$1004,"*"&amp;$A$17&amp;"*")&gt;0,1,0))</f>
        <v/>
      </c>
      <c r="AB104">
        <f>IF($P104="",0,IF(COUNTIFS(업무일지!$F$5:$F$1004,$P104,업무일지!$B$5:$B$1004,"&gt;="&amp;DATE($B$3,1,1),업무일지!$B$5:$B$1004,"&lt;"&amp;DATE($B$3+1,1,1),업무일지!$AA$5:$AA$1004,"*"&amp;$A$18&amp;"*")&gt;0,1,0))</f>
        <v/>
      </c>
      <c r="AC104">
        <f>IF($P104="",0,IF(COUNTIFS(업무일지!$F$5:$F$1004,$P104,업무일지!$B$5:$B$1004,"&gt;="&amp;DATE($B$3,1,1),업무일지!$B$5:$B$1004,"&lt;"&amp;DATE($B$3+1,1,1),업무일지!$AA$5:$AA$1004,"*"&amp;$A$19&amp;"*")&gt;0,1,0))</f>
        <v/>
      </c>
      <c r="AD104">
        <f>IF($P104="",0,IF(COUNTIFS(업무일지!$F$5:$F$1004,$P104,업무일지!$B$5:$B$1004,"&gt;="&amp;DATE($B$3,1,1),업무일지!$B$5:$B$1004,"&lt;"&amp;DATE($B$3+1,1,1),업무일지!$AA$5:$AA$1004,"*"&amp;$A$20&amp;"*")&gt;0,1,0))</f>
        <v/>
      </c>
      <c r="AE104">
        <f>IF($P104="",0,IF(COUNTIFS(업무일지!$F$5:$F$1004,$P104,업무일지!$B$5:$B$1004,"&gt;="&amp;DATE($B$3,1,1),업무일지!$B$5:$B$1004,"&lt;"&amp;DATE($B$3+1,1,1),업무일지!$AA$5:$AA$1004,"*"&amp;$A$21&amp;"*")&gt;0,1,0))</f>
        <v/>
      </c>
      <c r="AF104">
        <f>IF($P104="",0,IF(COUNTIFS(업무일지!$F$5:$F$1004,$P104,업무일지!$B$5:$B$1004,"&gt;="&amp;DATE($B$3,1,1),업무일지!$B$5:$B$1004,"&lt;"&amp;DATE($B$3+1,1,1),업무일지!$AA$5:$AA$1004,"*"&amp;$A$22&amp;"*")&gt;0,1,0))</f>
        <v/>
      </c>
      <c r="AG104">
        <f>IF($P104="",0,IF(COUNTIFS(업무일지!$F$5:$F$1004,$P104,업무일지!$B$5:$B$1004,"&gt;="&amp;DATE($B$3,1,1),업무일지!$B$5:$B$1004,"&lt;"&amp;DATE($B$3+1,1,1),업무일지!$AA$5:$AA$1004,"*"&amp;$A$23&amp;"*")&gt;0,1,0))</f>
        <v/>
      </c>
      <c r="AH104">
        <f>IF($P104="",0,IF(COUNTIFS(업무일지!$F$5:$F$1004,$P104,업무일지!$B$5:$B$1004,"&gt;="&amp;DATE($B$3,1,1),업무일지!$B$5:$B$1004,"&lt;"&amp;DATE($B$3+1,1,1),업무일지!$AA$5:$AA$1004,"*"&amp;$A$24&amp;"*")&gt;0,1,0))</f>
        <v/>
      </c>
      <c r="AI104">
        <f>IF($P104="",0,IF(COUNTIFS(업무일지!$F$5:$F$1004,$P104,업무일지!$B$5:$B$1004,"&gt;="&amp;DATE($B$3,1,1),업무일지!$B$5:$B$1004,"&lt;"&amp;DATE($B$3+1,1,1),업무일지!$AA$5:$AA$1004,"*"&amp;$A$25&amp;"*")&gt;0,1,0))</f>
        <v/>
      </c>
      <c r="AJ104">
        <f>IF($P104="",0,IF(COUNTIFS(업무일지!$F$5:$F$1004,$P104,업무일지!$B$5:$B$1004,"&gt;="&amp;DATE($B$3,1,1),업무일지!$B$5:$B$1004,"&lt;"&amp;DATE($B$3+1,1,1),업무일지!$AA$5:$AA$1004,"*"&amp;$A$26&amp;"*")&gt;0,1,0))</f>
        <v/>
      </c>
    </row>
    <row r="105">
      <c r="P105">
        <f>IF(사건마스터!$A50="","",사건마스터!$A50)</f>
        <v/>
      </c>
      <c r="Q105">
        <f>IF($P105="",0,IF(COUNTIFS(업무일지!$F$5:$F$1004,$P105,업무일지!$B$5:$B$1004,"&gt;="&amp;DATE($B$3,1,1),업무일지!$B$5:$B$1004,"&lt;"&amp;DATE($B$3+1,1,1),업무일지!$AA$5:$AA$1004,"*"&amp;$A$7&amp;"*")&gt;0,1,0))</f>
        <v/>
      </c>
      <c r="R105">
        <f>IF($P105="",0,IF(COUNTIFS(업무일지!$F$5:$F$1004,$P105,업무일지!$B$5:$B$1004,"&gt;="&amp;DATE($B$3,1,1),업무일지!$B$5:$B$1004,"&lt;"&amp;DATE($B$3+1,1,1),업무일지!$AA$5:$AA$1004,"*"&amp;$A$8&amp;"*")&gt;0,1,0))</f>
        <v/>
      </c>
      <c r="S105">
        <f>IF($P105="",0,IF(COUNTIFS(업무일지!$F$5:$F$1004,$P105,업무일지!$B$5:$B$1004,"&gt;="&amp;DATE($B$3,1,1),업무일지!$B$5:$B$1004,"&lt;"&amp;DATE($B$3+1,1,1),업무일지!$AA$5:$AA$1004,"*"&amp;$A$9&amp;"*")&gt;0,1,0))</f>
        <v/>
      </c>
      <c r="T105">
        <f>IF($P105="",0,IF(COUNTIFS(업무일지!$F$5:$F$1004,$P105,업무일지!$B$5:$B$1004,"&gt;="&amp;DATE($B$3,1,1),업무일지!$B$5:$B$1004,"&lt;"&amp;DATE($B$3+1,1,1),업무일지!$AA$5:$AA$1004,"*"&amp;$A$10&amp;"*")&gt;0,1,0))</f>
        <v/>
      </c>
      <c r="U105">
        <f>IF($P105="",0,IF(COUNTIFS(업무일지!$F$5:$F$1004,$P105,업무일지!$B$5:$B$1004,"&gt;="&amp;DATE($B$3,1,1),업무일지!$B$5:$B$1004,"&lt;"&amp;DATE($B$3+1,1,1),업무일지!$AA$5:$AA$1004,"*"&amp;$A$11&amp;"*")&gt;0,1,0))</f>
        <v/>
      </c>
      <c r="V105">
        <f>IF($P105="",0,IF(COUNTIFS(업무일지!$F$5:$F$1004,$P105,업무일지!$B$5:$B$1004,"&gt;="&amp;DATE($B$3,1,1),업무일지!$B$5:$B$1004,"&lt;"&amp;DATE($B$3+1,1,1),업무일지!$AA$5:$AA$1004,"*"&amp;$A$12&amp;"*")&gt;0,1,0))</f>
        <v/>
      </c>
      <c r="W105">
        <f>IF($P105="",0,IF(COUNTIFS(업무일지!$F$5:$F$1004,$P105,업무일지!$B$5:$B$1004,"&gt;="&amp;DATE($B$3,1,1),업무일지!$B$5:$B$1004,"&lt;"&amp;DATE($B$3+1,1,1),업무일지!$AA$5:$AA$1004,"*"&amp;$A$13&amp;"*")&gt;0,1,0))</f>
        <v/>
      </c>
      <c r="X105">
        <f>IF($P105="",0,IF(COUNTIFS(업무일지!$F$5:$F$1004,$P105,업무일지!$B$5:$B$1004,"&gt;="&amp;DATE($B$3,1,1),업무일지!$B$5:$B$1004,"&lt;"&amp;DATE($B$3+1,1,1),업무일지!$AA$5:$AA$1004,"*"&amp;$A$14&amp;"*")&gt;0,1,0))</f>
        <v/>
      </c>
      <c r="Y105">
        <f>IF($P105="",0,IF(COUNTIFS(업무일지!$F$5:$F$1004,$P105,업무일지!$B$5:$B$1004,"&gt;="&amp;DATE($B$3,1,1),업무일지!$B$5:$B$1004,"&lt;"&amp;DATE($B$3+1,1,1),업무일지!$AA$5:$AA$1004,"*"&amp;$A$15&amp;"*")&gt;0,1,0))</f>
        <v/>
      </c>
      <c r="Z105">
        <f>IF($P105="",0,IF(COUNTIFS(업무일지!$F$5:$F$1004,$P105,업무일지!$B$5:$B$1004,"&gt;="&amp;DATE($B$3,1,1),업무일지!$B$5:$B$1004,"&lt;"&amp;DATE($B$3+1,1,1),업무일지!$AA$5:$AA$1004,"*"&amp;$A$16&amp;"*")&gt;0,1,0))</f>
        <v/>
      </c>
      <c r="AA105">
        <f>IF($P105="",0,IF(COUNTIFS(업무일지!$F$5:$F$1004,$P105,업무일지!$B$5:$B$1004,"&gt;="&amp;DATE($B$3,1,1),업무일지!$B$5:$B$1004,"&lt;"&amp;DATE($B$3+1,1,1),업무일지!$AA$5:$AA$1004,"*"&amp;$A$17&amp;"*")&gt;0,1,0))</f>
        <v/>
      </c>
      <c r="AB105">
        <f>IF($P105="",0,IF(COUNTIFS(업무일지!$F$5:$F$1004,$P105,업무일지!$B$5:$B$1004,"&gt;="&amp;DATE($B$3,1,1),업무일지!$B$5:$B$1004,"&lt;"&amp;DATE($B$3+1,1,1),업무일지!$AA$5:$AA$1004,"*"&amp;$A$18&amp;"*")&gt;0,1,0))</f>
        <v/>
      </c>
      <c r="AC105">
        <f>IF($P105="",0,IF(COUNTIFS(업무일지!$F$5:$F$1004,$P105,업무일지!$B$5:$B$1004,"&gt;="&amp;DATE($B$3,1,1),업무일지!$B$5:$B$1004,"&lt;"&amp;DATE($B$3+1,1,1),업무일지!$AA$5:$AA$1004,"*"&amp;$A$19&amp;"*")&gt;0,1,0))</f>
        <v/>
      </c>
      <c r="AD105">
        <f>IF($P105="",0,IF(COUNTIFS(업무일지!$F$5:$F$1004,$P105,업무일지!$B$5:$B$1004,"&gt;="&amp;DATE($B$3,1,1),업무일지!$B$5:$B$1004,"&lt;"&amp;DATE($B$3+1,1,1),업무일지!$AA$5:$AA$1004,"*"&amp;$A$20&amp;"*")&gt;0,1,0))</f>
        <v/>
      </c>
      <c r="AE105">
        <f>IF($P105="",0,IF(COUNTIFS(업무일지!$F$5:$F$1004,$P105,업무일지!$B$5:$B$1004,"&gt;="&amp;DATE($B$3,1,1),업무일지!$B$5:$B$1004,"&lt;"&amp;DATE($B$3+1,1,1),업무일지!$AA$5:$AA$1004,"*"&amp;$A$21&amp;"*")&gt;0,1,0))</f>
        <v/>
      </c>
      <c r="AF105">
        <f>IF($P105="",0,IF(COUNTIFS(업무일지!$F$5:$F$1004,$P105,업무일지!$B$5:$B$1004,"&gt;="&amp;DATE($B$3,1,1),업무일지!$B$5:$B$1004,"&lt;"&amp;DATE($B$3+1,1,1),업무일지!$AA$5:$AA$1004,"*"&amp;$A$22&amp;"*")&gt;0,1,0))</f>
        <v/>
      </c>
      <c r="AG105">
        <f>IF($P105="",0,IF(COUNTIFS(업무일지!$F$5:$F$1004,$P105,업무일지!$B$5:$B$1004,"&gt;="&amp;DATE($B$3,1,1),업무일지!$B$5:$B$1004,"&lt;"&amp;DATE($B$3+1,1,1),업무일지!$AA$5:$AA$1004,"*"&amp;$A$23&amp;"*")&gt;0,1,0))</f>
        <v/>
      </c>
      <c r="AH105">
        <f>IF($P105="",0,IF(COUNTIFS(업무일지!$F$5:$F$1004,$P105,업무일지!$B$5:$B$1004,"&gt;="&amp;DATE($B$3,1,1),업무일지!$B$5:$B$1004,"&lt;"&amp;DATE($B$3+1,1,1),업무일지!$AA$5:$AA$1004,"*"&amp;$A$24&amp;"*")&gt;0,1,0))</f>
        <v/>
      </c>
      <c r="AI105">
        <f>IF($P105="",0,IF(COUNTIFS(업무일지!$F$5:$F$1004,$P105,업무일지!$B$5:$B$1004,"&gt;="&amp;DATE($B$3,1,1),업무일지!$B$5:$B$1004,"&lt;"&amp;DATE($B$3+1,1,1),업무일지!$AA$5:$AA$1004,"*"&amp;$A$25&amp;"*")&gt;0,1,0))</f>
        <v/>
      </c>
      <c r="AJ105">
        <f>IF($P105="",0,IF(COUNTIFS(업무일지!$F$5:$F$1004,$P105,업무일지!$B$5:$B$1004,"&gt;="&amp;DATE($B$3,1,1),업무일지!$B$5:$B$1004,"&lt;"&amp;DATE($B$3+1,1,1),업무일지!$AA$5:$AA$1004,"*"&amp;$A$26&amp;"*")&gt;0,1,0))</f>
        <v/>
      </c>
    </row>
    <row r="106">
      <c r="P106">
        <f>IF(사건마스터!$A51="","",사건마스터!$A51)</f>
        <v/>
      </c>
      <c r="Q106">
        <f>IF($P106="",0,IF(COUNTIFS(업무일지!$F$5:$F$1004,$P106,업무일지!$B$5:$B$1004,"&gt;="&amp;DATE($B$3,1,1),업무일지!$B$5:$B$1004,"&lt;"&amp;DATE($B$3+1,1,1),업무일지!$AA$5:$AA$1004,"*"&amp;$A$7&amp;"*")&gt;0,1,0))</f>
        <v/>
      </c>
      <c r="R106">
        <f>IF($P106="",0,IF(COUNTIFS(업무일지!$F$5:$F$1004,$P106,업무일지!$B$5:$B$1004,"&gt;="&amp;DATE($B$3,1,1),업무일지!$B$5:$B$1004,"&lt;"&amp;DATE($B$3+1,1,1),업무일지!$AA$5:$AA$1004,"*"&amp;$A$8&amp;"*")&gt;0,1,0))</f>
        <v/>
      </c>
      <c r="S106">
        <f>IF($P106="",0,IF(COUNTIFS(업무일지!$F$5:$F$1004,$P106,업무일지!$B$5:$B$1004,"&gt;="&amp;DATE($B$3,1,1),업무일지!$B$5:$B$1004,"&lt;"&amp;DATE($B$3+1,1,1),업무일지!$AA$5:$AA$1004,"*"&amp;$A$9&amp;"*")&gt;0,1,0))</f>
        <v/>
      </c>
      <c r="T106">
        <f>IF($P106="",0,IF(COUNTIFS(업무일지!$F$5:$F$1004,$P106,업무일지!$B$5:$B$1004,"&gt;="&amp;DATE($B$3,1,1),업무일지!$B$5:$B$1004,"&lt;"&amp;DATE($B$3+1,1,1),업무일지!$AA$5:$AA$1004,"*"&amp;$A$10&amp;"*")&gt;0,1,0))</f>
        <v/>
      </c>
      <c r="U106">
        <f>IF($P106="",0,IF(COUNTIFS(업무일지!$F$5:$F$1004,$P106,업무일지!$B$5:$B$1004,"&gt;="&amp;DATE($B$3,1,1),업무일지!$B$5:$B$1004,"&lt;"&amp;DATE($B$3+1,1,1),업무일지!$AA$5:$AA$1004,"*"&amp;$A$11&amp;"*")&gt;0,1,0))</f>
        <v/>
      </c>
      <c r="V106">
        <f>IF($P106="",0,IF(COUNTIFS(업무일지!$F$5:$F$1004,$P106,업무일지!$B$5:$B$1004,"&gt;="&amp;DATE($B$3,1,1),업무일지!$B$5:$B$1004,"&lt;"&amp;DATE($B$3+1,1,1),업무일지!$AA$5:$AA$1004,"*"&amp;$A$12&amp;"*")&gt;0,1,0))</f>
        <v/>
      </c>
      <c r="W106">
        <f>IF($P106="",0,IF(COUNTIFS(업무일지!$F$5:$F$1004,$P106,업무일지!$B$5:$B$1004,"&gt;="&amp;DATE($B$3,1,1),업무일지!$B$5:$B$1004,"&lt;"&amp;DATE($B$3+1,1,1),업무일지!$AA$5:$AA$1004,"*"&amp;$A$13&amp;"*")&gt;0,1,0))</f>
        <v/>
      </c>
      <c r="X106">
        <f>IF($P106="",0,IF(COUNTIFS(업무일지!$F$5:$F$1004,$P106,업무일지!$B$5:$B$1004,"&gt;="&amp;DATE($B$3,1,1),업무일지!$B$5:$B$1004,"&lt;"&amp;DATE($B$3+1,1,1),업무일지!$AA$5:$AA$1004,"*"&amp;$A$14&amp;"*")&gt;0,1,0))</f>
        <v/>
      </c>
      <c r="Y106">
        <f>IF($P106="",0,IF(COUNTIFS(업무일지!$F$5:$F$1004,$P106,업무일지!$B$5:$B$1004,"&gt;="&amp;DATE($B$3,1,1),업무일지!$B$5:$B$1004,"&lt;"&amp;DATE($B$3+1,1,1),업무일지!$AA$5:$AA$1004,"*"&amp;$A$15&amp;"*")&gt;0,1,0))</f>
        <v/>
      </c>
      <c r="Z106">
        <f>IF($P106="",0,IF(COUNTIFS(업무일지!$F$5:$F$1004,$P106,업무일지!$B$5:$B$1004,"&gt;="&amp;DATE($B$3,1,1),업무일지!$B$5:$B$1004,"&lt;"&amp;DATE($B$3+1,1,1),업무일지!$AA$5:$AA$1004,"*"&amp;$A$16&amp;"*")&gt;0,1,0))</f>
        <v/>
      </c>
      <c r="AA106">
        <f>IF($P106="",0,IF(COUNTIFS(업무일지!$F$5:$F$1004,$P106,업무일지!$B$5:$B$1004,"&gt;="&amp;DATE($B$3,1,1),업무일지!$B$5:$B$1004,"&lt;"&amp;DATE($B$3+1,1,1),업무일지!$AA$5:$AA$1004,"*"&amp;$A$17&amp;"*")&gt;0,1,0))</f>
        <v/>
      </c>
      <c r="AB106">
        <f>IF($P106="",0,IF(COUNTIFS(업무일지!$F$5:$F$1004,$P106,업무일지!$B$5:$B$1004,"&gt;="&amp;DATE($B$3,1,1),업무일지!$B$5:$B$1004,"&lt;"&amp;DATE($B$3+1,1,1),업무일지!$AA$5:$AA$1004,"*"&amp;$A$18&amp;"*")&gt;0,1,0))</f>
        <v/>
      </c>
      <c r="AC106">
        <f>IF($P106="",0,IF(COUNTIFS(업무일지!$F$5:$F$1004,$P106,업무일지!$B$5:$B$1004,"&gt;="&amp;DATE($B$3,1,1),업무일지!$B$5:$B$1004,"&lt;"&amp;DATE($B$3+1,1,1),업무일지!$AA$5:$AA$1004,"*"&amp;$A$19&amp;"*")&gt;0,1,0))</f>
        <v/>
      </c>
      <c r="AD106">
        <f>IF($P106="",0,IF(COUNTIFS(업무일지!$F$5:$F$1004,$P106,업무일지!$B$5:$B$1004,"&gt;="&amp;DATE($B$3,1,1),업무일지!$B$5:$B$1004,"&lt;"&amp;DATE($B$3+1,1,1),업무일지!$AA$5:$AA$1004,"*"&amp;$A$20&amp;"*")&gt;0,1,0))</f>
        <v/>
      </c>
      <c r="AE106">
        <f>IF($P106="",0,IF(COUNTIFS(업무일지!$F$5:$F$1004,$P106,업무일지!$B$5:$B$1004,"&gt;="&amp;DATE($B$3,1,1),업무일지!$B$5:$B$1004,"&lt;"&amp;DATE($B$3+1,1,1),업무일지!$AA$5:$AA$1004,"*"&amp;$A$21&amp;"*")&gt;0,1,0))</f>
        <v/>
      </c>
      <c r="AF106">
        <f>IF($P106="",0,IF(COUNTIFS(업무일지!$F$5:$F$1004,$P106,업무일지!$B$5:$B$1004,"&gt;="&amp;DATE($B$3,1,1),업무일지!$B$5:$B$1004,"&lt;"&amp;DATE($B$3+1,1,1),업무일지!$AA$5:$AA$1004,"*"&amp;$A$22&amp;"*")&gt;0,1,0))</f>
        <v/>
      </c>
      <c r="AG106">
        <f>IF($P106="",0,IF(COUNTIFS(업무일지!$F$5:$F$1004,$P106,업무일지!$B$5:$B$1004,"&gt;="&amp;DATE($B$3,1,1),업무일지!$B$5:$B$1004,"&lt;"&amp;DATE($B$3+1,1,1),업무일지!$AA$5:$AA$1004,"*"&amp;$A$23&amp;"*")&gt;0,1,0))</f>
        <v/>
      </c>
      <c r="AH106">
        <f>IF($P106="",0,IF(COUNTIFS(업무일지!$F$5:$F$1004,$P106,업무일지!$B$5:$B$1004,"&gt;="&amp;DATE($B$3,1,1),업무일지!$B$5:$B$1004,"&lt;"&amp;DATE($B$3+1,1,1),업무일지!$AA$5:$AA$1004,"*"&amp;$A$24&amp;"*")&gt;0,1,0))</f>
        <v/>
      </c>
      <c r="AI106">
        <f>IF($P106="",0,IF(COUNTIFS(업무일지!$F$5:$F$1004,$P106,업무일지!$B$5:$B$1004,"&gt;="&amp;DATE($B$3,1,1),업무일지!$B$5:$B$1004,"&lt;"&amp;DATE($B$3+1,1,1),업무일지!$AA$5:$AA$1004,"*"&amp;$A$25&amp;"*")&gt;0,1,0))</f>
        <v/>
      </c>
      <c r="AJ106">
        <f>IF($P106="",0,IF(COUNTIFS(업무일지!$F$5:$F$1004,$P106,업무일지!$B$5:$B$1004,"&gt;="&amp;DATE($B$3,1,1),업무일지!$B$5:$B$1004,"&lt;"&amp;DATE($B$3+1,1,1),업무일지!$AA$5:$AA$1004,"*"&amp;$A$26&amp;"*")&gt;0,1,0))</f>
        <v/>
      </c>
    </row>
    <row r="107">
      <c r="P107">
        <f>IF(사건마스터!$A52="","",사건마스터!$A52)</f>
        <v/>
      </c>
      <c r="Q107">
        <f>IF($P107="",0,IF(COUNTIFS(업무일지!$F$5:$F$1004,$P107,업무일지!$B$5:$B$1004,"&gt;="&amp;DATE($B$3,1,1),업무일지!$B$5:$B$1004,"&lt;"&amp;DATE($B$3+1,1,1),업무일지!$AA$5:$AA$1004,"*"&amp;$A$7&amp;"*")&gt;0,1,0))</f>
        <v/>
      </c>
      <c r="R107">
        <f>IF($P107="",0,IF(COUNTIFS(업무일지!$F$5:$F$1004,$P107,업무일지!$B$5:$B$1004,"&gt;="&amp;DATE($B$3,1,1),업무일지!$B$5:$B$1004,"&lt;"&amp;DATE($B$3+1,1,1),업무일지!$AA$5:$AA$1004,"*"&amp;$A$8&amp;"*")&gt;0,1,0))</f>
        <v/>
      </c>
      <c r="S107">
        <f>IF($P107="",0,IF(COUNTIFS(업무일지!$F$5:$F$1004,$P107,업무일지!$B$5:$B$1004,"&gt;="&amp;DATE($B$3,1,1),업무일지!$B$5:$B$1004,"&lt;"&amp;DATE($B$3+1,1,1),업무일지!$AA$5:$AA$1004,"*"&amp;$A$9&amp;"*")&gt;0,1,0))</f>
        <v/>
      </c>
      <c r="T107">
        <f>IF($P107="",0,IF(COUNTIFS(업무일지!$F$5:$F$1004,$P107,업무일지!$B$5:$B$1004,"&gt;="&amp;DATE($B$3,1,1),업무일지!$B$5:$B$1004,"&lt;"&amp;DATE($B$3+1,1,1),업무일지!$AA$5:$AA$1004,"*"&amp;$A$10&amp;"*")&gt;0,1,0))</f>
        <v/>
      </c>
      <c r="U107">
        <f>IF($P107="",0,IF(COUNTIFS(업무일지!$F$5:$F$1004,$P107,업무일지!$B$5:$B$1004,"&gt;="&amp;DATE($B$3,1,1),업무일지!$B$5:$B$1004,"&lt;"&amp;DATE($B$3+1,1,1),업무일지!$AA$5:$AA$1004,"*"&amp;$A$11&amp;"*")&gt;0,1,0))</f>
        <v/>
      </c>
      <c r="V107">
        <f>IF($P107="",0,IF(COUNTIFS(업무일지!$F$5:$F$1004,$P107,업무일지!$B$5:$B$1004,"&gt;="&amp;DATE($B$3,1,1),업무일지!$B$5:$B$1004,"&lt;"&amp;DATE($B$3+1,1,1),업무일지!$AA$5:$AA$1004,"*"&amp;$A$12&amp;"*")&gt;0,1,0))</f>
        <v/>
      </c>
      <c r="W107">
        <f>IF($P107="",0,IF(COUNTIFS(업무일지!$F$5:$F$1004,$P107,업무일지!$B$5:$B$1004,"&gt;="&amp;DATE($B$3,1,1),업무일지!$B$5:$B$1004,"&lt;"&amp;DATE($B$3+1,1,1),업무일지!$AA$5:$AA$1004,"*"&amp;$A$13&amp;"*")&gt;0,1,0))</f>
        <v/>
      </c>
      <c r="X107">
        <f>IF($P107="",0,IF(COUNTIFS(업무일지!$F$5:$F$1004,$P107,업무일지!$B$5:$B$1004,"&gt;="&amp;DATE($B$3,1,1),업무일지!$B$5:$B$1004,"&lt;"&amp;DATE($B$3+1,1,1),업무일지!$AA$5:$AA$1004,"*"&amp;$A$14&amp;"*")&gt;0,1,0))</f>
        <v/>
      </c>
      <c r="Y107">
        <f>IF($P107="",0,IF(COUNTIFS(업무일지!$F$5:$F$1004,$P107,업무일지!$B$5:$B$1004,"&gt;="&amp;DATE($B$3,1,1),업무일지!$B$5:$B$1004,"&lt;"&amp;DATE($B$3+1,1,1),업무일지!$AA$5:$AA$1004,"*"&amp;$A$15&amp;"*")&gt;0,1,0))</f>
        <v/>
      </c>
      <c r="Z107">
        <f>IF($P107="",0,IF(COUNTIFS(업무일지!$F$5:$F$1004,$P107,업무일지!$B$5:$B$1004,"&gt;="&amp;DATE($B$3,1,1),업무일지!$B$5:$B$1004,"&lt;"&amp;DATE($B$3+1,1,1),업무일지!$AA$5:$AA$1004,"*"&amp;$A$16&amp;"*")&gt;0,1,0))</f>
        <v/>
      </c>
      <c r="AA107">
        <f>IF($P107="",0,IF(COUNTIFS(업무일지!$F$5:$F$1004,$P107,업무일지!$B$5:$B$1004,"&gt;="&amp;DATE($B$3,1,1),업무일지!$B$5:$B$1004,"&lt;"&amp;DATE($B$3+1,1,1),업무일지!$AA$5:$AA$1004,"*"&amp;$A$17&amp;"*")&gt;0,1,0))</f>
        <v/>
      </c>
      <c r="AB107">
        <f>IF($P107="",0,IF(COUNTIFS(업무일지!$F$5:$F$1004,$P107,업무일지!$B$5:$B$1004,"&gt;="&amp;DATE($B$3,1,1),업무일지!$B$5:$B$1004,"&lt;"&amp;DATE($B$3+1,1,1),업무일지!$AA$5:$AA$1004,"*"&amp;$A$18&amp;"*")&gt;0,1,0))</f>
        <v/>
      </c>
      <c r="AC107">
        <f>IF($P107="",0,IF(COUNTIFS(업무일지!$F$5:$F$1004,$P107,업무일지!$B$5:$B$1004,"&gt;="&amp;DATE($B$3,1,1),업무일지!$B$5:$B$1004,"&lt;"&amp;DATE($B$3+1,1,1),업무일지!$AA$5:$AA$1004,"*"&amp;$A$19&amp;"*")&gt;0,1,0))</f>
        <v/>
      </c>
      <c r="AD107">
        <f>IF($P107="",0,IF(COUNTIFS(업무일지!$F$5:$F$1004,$P107,업무일지!$B$5:$B$1004,"&gt;="&amp;DATE($B$3,1,1),업무일지!$B$5:$B$1004,"&lt;"&amp;DATE($B$3+1,1,1),업무일지!$AA$5:$AA$1004,"*"&amp;$A$20&amp;"*")&gt;0,1,0))</f>
        <v/>
      </c>
      <c r="AE107">
        <f>IF($P107="",0,IF(COUNTIFS(업무일지!$F$5:$F$1004,$P107,업무일지!$B$5:$B$1004,"&gt;="&amp;DATE($B$3,1,1),업무일지!$B$5:$B$1004,"&lt;"&amp;DATE($B$3+1,1,1),업무일지!$AA$5:$AA$1004,"*"&amp;$A$21&amp;"*")&gt;0,1,0))</f>
        <v/>
      </c>
      <c r="AF107">
        <f>IF($P107="",0,IF(COUNTIFS(업무일지!$F$5:$F$1004,$P107,업무일지!$B$5:$B$1004,"&gt;="&amp;DATE($B$3,1,1),업무일지!$B$5:$B$1004,"&lt;"&amp;DATE($B$3+1,1,1),업무일지!$AA$5:$AA$1004,"*"&amp;$A$22&amp;"*")&gt;0,1,0))</f>
        <v/>
      </c>
      <c r="AG107">
        <f>IF($P107="",0,IF(COUNTIFS(업무일지!$F$5:$F$1004,$P107,업무일지!$B$5:$B$1004,"&gt;="&amp;DATE($B$3,1,1),업무일지!$B$5:$B$1004,"&lt;"&amp;DATE($B$3+1,1,1),업무일지!$AA$5:$AA$1004,"*"&amp;$A$23&amp;"*")&gt;0,1,0))</f>
        <v/>
      </c>
      <c r="AH107">
        <f>IF($P107="",0,IF(COUNTIFS(업무일지!$F$5:$F$1004,$P107,업무일지!$B$5:$B$1004,"&gt;="&amp;DATE($B$3,1,1),업무일지!$B$5:$B$1004,"&lt;"&amp;DATE($B$3+1,1,1),업무일지!$AA$5:$AA$1004,"*"&amp;$A$24&amp;"*")&gt;0,1,0))</f>
        <v/>
      </c>
      <c r="AI107">
        <f>IF($P107="",0,IF(COUNTIFS(업무일지!$F$5:$F$1004,$P107,업무일지!$B$5:$B$1004,"&gt;="&amp;DATE($B$3,1,1),업무일지!$B$5:$B$1004,"&lt;"&amp;DATE($B$3+1,1,1),업무일지!$AA$5:$AA$1004,"*"&amp;$A$25&amp;"*")&gt;0,1,0))</f>
        <v/>
      </c>
      <c r="AJ107">
        <f>IF($P107="",0,IF(COUNTIFS(업무일지!$F$5:$F$1004,$P107,업무일지!$B$5:$B$1004,"&gt;="&amp;DATE($B$3,1,1),업무일지!$B$5:$B$1004,"&lt;"&amp;DATE($B$3+1,1,1),업무일지!$AA$5:$AA$1004,"*"&amp;$A$26&amp;"*")&gt;0,1,0))</f>
        <v/>
      </c>
    </row>
    <row r="108">
      <c r="P108">
        <f>IF(사건마스터!$A53="","",사건마스터!$A53)</f>
        <v/>
      </c>
      <c r="Q108">
        <f>IF($P108="",0,IF(COUNTIFS(업무일지!$F$5:$F$1004,$P108,업무일지!$B$5:$B$1004,"&gt;="&amp;DATE($B$3,1,1),업무일지!$B$5:$B$1004,"&lt;"&amp;DATE($B$3+1,1,1),업무일지!$AA$5:$AA$1004,"*"&amp;$A$7&amp;"*")&gt;0,1,0))</f>
        <v/>
      </c>
      <c r="R108">
        <f>IF($P108="",0,IF(COUNTIFS(업무일지!$F$5:$F$1004,$P108,업무일지!$B$5:$B$1004,"&gt;="&amp;DATE($B$3,1,1),업무일지!$B$5:$B$1004,"&lt;"&amp;DATE($B$3+1,1,1),업무일지!$AA$5:$AA$1004,"*"&amp;$A$8&amp;"*")&gt;0,1,0))</f>
        <v/>
      </c>
      <c r="S108">
        <f>IF($P108="",0,IF(COUNTIFS(업무일지!$F$5:$F$1004,$P108,업무일지!$B$5:$B$1004,"&gt;="&amp;DATE($B$3,1,1),업무일지!$B$5:$B$1004,"&lt;"&amp;DATE($B$3+1,1,1),업무일지!$AA$5:$AA$1004,"*"&amp;$A$9&amp;"*")&gt;0,1,0))</f>
        <v/>
      </c>
      <c r="T108">
        <f>IF($P108="",0,IF(COUNTIFS(업무일지!$F$5:$F$1004,$P108,업무일지!$B$5:$B$1004,"&gt;="&amp;DATE($B$3,1,1),업무일지!$B$5:$B$1004,"&lt;"&amp;DATE($B$3+1,1,1),업무일지!$AA$5:$AA$1004,"*"&amp;$A$10&amp;"*")&gt;0,1,0))</f>
        <v/>
      </c>
      <c r="U108">
        <f>IF($P108="",0,IF(COUNTIFS(업무일지!$F$5:$F$1004,$P108,업무일지!$B$5:$B$1004,"&gt;="&amp;DATE($B$3,1,1),업무일지!$B$5:$B$1004,"&lt;"&amp;DATE($B$3+1,1,1),업무일지!$AA$5:$AA$1004,"*"&amp;$A$11&amp;"*")&gt;0,1,0))</f>
        <v/>
      </c>
      <c r="V108">
        <f>IF($P108="",0,IF(COUNTIFS(업무일지!$F$5:$F$1004,$P108,업무일지!$B$5:$B$1004,"&gt;="&amp;DATE($B$3,1,1),업무일지!$B$5:$B$1004,"&lt;"&amp;DATE($B$3+1,1,1),업무일지!$AA$5:$AA$1004,"*"&amp;$A$12&amp;"*")&gt;0,1,0))</f>
        <v/>
      </c>
      <c r="W108">
        <f>IF($P108="",0,IF(COUNTIFS(업무일지!$F$5:$F$1004,$P108,업무일지!$B$5:$B$1004,"&gt;="&amp;DATE($B$3,1,1),업무일지!$B$5:$B$1004,"&lt;"&amp;DATE($B$3+1,1,1),업무일지!$AA$5:$AA$1004,"*"&amp;$A$13&amp;"*")&gt;0,1,0))</f>
        <v/>
      </c>
      <c r="X108">
        <f>IF($P108="",0,IF(COUNTIFS(업무일지!$F$5:$F$1004,$P108,업무일지!$B$5:$B$1004,"&gt;="&amp;DATE($B$3,1,1),업무일지!$B$5:$B$1004,"&lt;"&amp;DATE($B$3+1,1,1),업무일지!$AA$5:$AA$1004,"*"&amp;$A$14&amp;"*")&gt;0,1,0))</f>
        <v/>
      </c>
      <c r="Y108">
        <f>IF($P108="",0,IF(COUNTIFS(업무일지!$F$5:$F$1004,$P108,업무일지!$B$5:$B$1004,"&gt;="&amp;DATE($B$3,1,1),업무일지!$B$5:$B$1004,"&lt;"&amp;DATE($B$3+1,1,1),업무일지!$AA$5:$AA$1004,"*"&amp;$A$15&amp;"*")&gt;0,1,0))</f>
        <v/>
      </c>
      <c r="Z108">
        <f>IF($P108="",0,IF(COUNTIFS(업무일지!$F$5:$F$1004,$P108,업무일지!$B$5:$B$1004,"&gt;="&amp;DATE($B$3,1,1),업무일지!$B$5:$B$1004,"&lt;"&amp;DATE($B$3+1,1,1),업무일지!$AA$5:$AA$1004,"*"&amp;$A$16&amp;"*")&gt;0,1,0))</f>
        <v/>
      </c>
      <c r="AA108">
        <f>IF($P108="",0,IF(COUNTIFS(업무일지!$F$5:$F$1004,$P108,업무일지!$B$5:$B$1004,"&gt;="&amp;DATE($B$3,1,1),업무일지!$B$5:$B$1004,"&lt;"&amp;DATE($B$3+1,1,1),업무일지!$AA$5:$AA$1004,"*"&amp;$A$17&amp;"*")&gt;0,1,0))</f>
        <v/>
      </c>
      <c r="AB108">
        <f>IF($P108="",0,IF(COUNTIFS(업무일지!$F$5:$F$1004,$P108,업무일지!$B$5:$B$1004,"&gt;="&amp;DATE($B$3,1,1),업무일지!$B$5:$B$1004,"&lt;"&amp;DATE($B$3+1,1,1),업무일지!$AA$5:$AA$1004,"*"&amp;$A$18&amp;"*")&gt;0,1,0))</f>
        <v/>
      </c>
      <c r="AC108">
        <f>IF($P108="",0,IF(COUNTIFS(업무일지!$F$5:$F$1004,$P108,업무일지!$B$5:$B$1004,"&gt;="&amp;DATE($B$3,1,1),업무일지!$B$5:$B$1004,"&lt;"&amp;DATE($B$3+1,1,1),업무일지!$AA$5:$AA$1004,"*"&amp;$A$19&amp;"*")&gt;0,1,0))</f>
        <v/>
      </c>
      <c r="AD108">
        <f>IF($P108="",0,IF(COUNTIFS(업무일지!$F$5:$F$1004,$P108,업무일지!$B$5:$B$1004,"&gt;="&amp;DATE($B$3,1,1),업무일지!$B$5:$B$1004,"&lt;"&amp;DATE($B$3+1,1,1),업무일지!$AA$5:$AA$1004,"*"&amp;$A$20&amp;"*")&gt;0,1,0))</f>
        <v/>
      </c>
      <c r="AE108">
        <f>IF($P108="",0,IF(COUNTIFS(업무일지!$F$5:$F$1004,$P108,업무일지!$B$5:$B$1004,"&gt;="&amp;DATE($B$3,1,1),업무일지!$B$5:$B$1004,"&lt;"&amp;DATE($B$3+1,1,1),업무일지!$AA$5:$AA$1004,"*"&amp;$A$21&amp;"*")&gt;0,1,0))</f>
        <v/>
      </c>
      <c r="AF108">
        <f>IF($P108="",0,IF(COUNTIFS(업무일지!$F$5:$F$1004,$P108,업무일지!$B$5:$B$1004,"&gt;="&amp;DATE($B$3,1,1),업무일지!$B$5:$B$1004,"&lt;"&amp;DATE($B$3+1,1,1),업무일지!$AA$5:$AA$1004,"*"&amp;$A$22&amp;"*")&gt;0,1,0))</f>
        <v/>
      </c>
      <c r="AG108">
        <f>IF($P108="",0,IF(COUNTIFS(업무일지!$F$5:$F$1004,$P108,업무일지!$B$5:$B$1004,"&gt;="&amp;DATE($B$3,1,1),업무일지!$B$5:$B$1004,"&lt;"&amp;DATE($B$3+1,1,1),업무일지!$AA$5:$AA$1004,"*"&amp;$A$23&amp;"*")&gt;0,1,0))</f>
        <v/>
      </c>
      <c r="AH108">
        <f>IF($P108="",0,IF(COUNTIFS(업무일지!$F$5:$F$1004,$P108,업무일지!$B$5:$B$1004,"&gt;="&amp;DATE($B$3,1,1),업무일지!$B$5:$B$1004,"&lt;"&amp;DATE($B$3+1,1,1),업무일지!$AA$5:$AA$1004,"*"&amp;$A$24&amp;"*")&gt;0,1,0))</f>
        <v/>
      </c>
      <c r="AI108">
        <f>IF($P108="",0,IF(COUNTIFS(업무일지!$F$5:$F$1004,$P108,업무일지!$B$5:$B$1004,"&gt;="&amp;DATE($B$3,1,1),업무일지!$B$5:$B$1004,"&lt;"&amp;DATE($B$3+1,1,1),업무일지!$AA$5:$AA$1004,"*"&amp;$A$25&amp;"*")&gt;0,1,0))</f>
        <v/>
      </c>
      <c r="AJ108">
        <f>IF($P108="",0,IF(COUNTIFS(업무일지!$F$5:$F$1004,$P108,업무일지!$B$5:$B$1004,"&gt;="&amp;DATE($B$3,1,1),업무일지!$B$5:$B$1004,"&lt;"&amp;DATE($B$3+1,1,1),업무일지!$AA$5:$AA$1004,"*"&amp;$A$26&amp;"*")&gt;0,1,0))</f>
        <v/>
      </c>
    </row>
    <row r="109">
      <c r="P109">
        <f>IF(사건마스터!$A54="","",사건마스터!$A54)</f>
        <v/>
      </c>
      <c r="Q109">
        <f>IF($P109="",0,IF(COUNTIFS(업무일지!$F$5:$F$1004,$P109,업무일지!$B$5:$B$1004,"&gt;="&amp;DATE($B$3,1,1),업무일지!$B$5:$B$1004,"&lt;"&amp;DATE($B$3+1,1,1),업무일지!$AA$5:$AA$1004,"*"&amp;$A$7&amp;"*")&gt;0,1,0))</f>
        <v/>
      </c>
      <c r="R109">
        <f>IF($P109="",0,IF(COUNTIFS(업무일지!$F$5:$F$1004,$P109,업무일지!$B$5:$B$1004,"&gt;="&amp;DATE($B$3,1,1),업무일지!$B$5:$B$1004,"&lt;"&amp;DATE($B$3+1,1,1),업무일지!$AA$5:$AA$1004,"*"&amp;$A$8&amp;"*")&gt;0,1,0))</f>
        <v/>
      </c>
      <c r="S109">
        <f>IF($P109="",0,IF(COUNTIFS(업무일지!$F$5:$F$1004,$P109,업무일지!$B$5:$B$1004,"&gt;="&amp;DATE($B$3,1,1),업무일지!$B$5:$B$1004,"&lt;"&amp;DATE($B$3+1,1,1),업무일지!$AA$5:$AA$1004,"*"&amp;$A$9&amp;"*")&gt;0,1,0))</f>
        <v/>
      </c>
      <c r="T109">
        <f>IF($P109="",0,IF(COUNTIFS(업무일지!$F$5:$F$1004,$P109,업무일지!$B$5:$B$1004,"&gt;="&amp;DATE($B$3,1,1),업무일지!$B$5:$B$1004,"&lt;"&amp;DATE($B$3+1,1,1),업무일지!$AA$5:$AA$1004,"*"&amp;$A$10&amp;"*")&gt;0,1,0))</f>
        <v/>
      </c>
      <c r="U109">
        <f>IF($P109="",0,IF(COUNTIFS(업무일지!$F$5:$F$1004,$P109,업무일지!$B$5:$B$1004,"&gt;="&amp;DATE($B$3,1,1),업무일지!$B$5:$B$1004,"&lt;"&amp;DATE($B$3+1,1,1),업무일지!$AA$5:$AA$1004,"*"&amp;$A$11&amp;"*")&gt;0,1,0))</f>
        <v/>
      </c>
      <c r="V109">
        <f>IF($P109="",0,IF(COUNTIFS(업무일지!$F$5:$F$1004,$P109,업무일지!$B$5:$B$1004,"&gt;="&amp;DATE($B$3,1,1),업무일지!$B$5:$B$1004,"&lt;"&amp;DATE($B$3+1,1,1),업무일지!$AA$5:$AA$1004,"*"&amp;$A$12&amp;"*")&gt;0,1,0))</f>
        <v/>
      </c>
      <c r="W109">
        <f>IF($P109="",0,IF(COUNTIFS(업무일지!$F$5:$F$1004,$P109,업무일지!$B$5:$B$1004,"&gt;="&amp;DATE($B$3,1,1),업무일지!$B$5:$B$1004,"&lt;"&amp;DATE($B$3+1,1,1),업무일지!$AA$5:$AA$1004,"*"&amp;$A$13&amp;"*")&gt;0,1,0))</f>
        <v/>
      </c>
      <c r="X109">
        <f>IF($P109="",0,IF(COUNTIFS(업무일지!$F$5:$F$1004,$P109,업무일지!$B$5:$B$1004,"&gt;="&amp;DATE($B$3,1,1),업무일지!$B$5:$B$1004,"&lt;"&amp;DATE($B$3+1,1,1),업무일지!$AA$5:$AA$1004,"*"&amp;$A$14&amp;"*")&gt;0,1,0))</f>
        <v/>
      </c>
      <c r="Y109">
        <f>IF($P109="",0,IF(COUNTIFS(업무일지!$F$5:$F$1004,$P109,업무일지!$B$5:$B$1004,"&gt;="&amp;DATE($B$3,1,1),업무일지!$B$5:$B$1004,"&lt;"&amp;DATE($B$3+1,1,1),업무일지!$AA$5:$AA$1004,"*"&amp;$A$15&amp;"*")&gt;0,1,0))</f>
        <v/>
      </c>
      <c r="Z109">
        <f>IF($P109="",0,IF(COUNTIFS(업무일지!$F$5:$F$1004,$P109,업무일지!$B$5:$B$1004,"&gt;="&amp;DATE($B$3,1,1),업무일지!$B$5:$B$1004,"&lt;"&amp;DATE($B$3+1,1,1),업무일지!$AA$5:$AA$1004,"*"&amp;$A$16&amp;"*")&gt;0,1,0))</f>
        <v/>
      </c>
      <c r="AA109">
        <f>IF($P109="",0,IF(COUNTIFS(업무일지!$F$5:$F$1004,$P109,업무일지!$B$5:$B$1004,"&gt;="&amp;DATE($B$3,1,1),업무일지!$B$5:$B$1004,"&lt;"&amp;DATE($B$3+1,1,1),업무일지!$AA$5:$AA$1004,"*"&amp;$A$17&amp;"*")&gt;0,1,0))</f>
        <v/>
      </c>
      <c r="AB109">
        <f>IF($P109="",0,IF(COUNTIFS(업무일지!$F$5:$F$1004,$P109,업무일지!$B$5:$B$1004,"&gt;="&amp;DATE($B$3,1,1),업무일지!$B$5:$B$1004,"&lt;"&amp;DATE($B$3+1,1,1),업무일지!$AA$5:$AA$1004,"*"&amp;$A$18&amp;"*")&gt;0,1,0))</f>
        <v/>
      </c>
      <c r="AC109">
        <f>IF($P109="",0,IF(COUNTIFS(업무일지!$F$5:$F$1004,$P109,업무일지!$B$5:$B$1004,"&gt;="&amp;DATE($B$3,1,1),업무일지!$B$5:$B$1004,"&lt;"&amp;DATE($B$3+1,1,1),업무일지!$AA$5:$AA$1004,"*"&amp;$A$19&amp;"*")&gt;0,1,0))</f>
        <v/>
      </c>
      <c r="AD109">
        <f>IF($P109="",0,IF(COUNTIFS(업무일지!$F$5:$F$1004,$P109,업무일지!$B$5:$B$1004,"&gt;="&amp;DATE($B$3,1,1),업무일지!$B$5:$B$1004,"&lt;"&amp;DATE($B$3+1,1,1),업무일지!$AA$5:$AA$1004,"*"&amp;$A$20&amp;"*")&gt;0,1,0))</f>
        <v/>
      </c>
      <c r="AE109">
        <f>IF($P109="",0,IF(COUNTIFS(업무일지!$F$5:$F$1004,$P109,업무일지!$B$5:$B$1004,"&gt;="&amp;DATE($B$3,1,1),업무일지!$B$5:$B$1004,"&lt;"&amp;DATE($B$3+1,1,1),업무일지!$AA$5:$AA$1004,"*"&amp;$A$21&amp;"*")&gt;0,1,0))</f>
        <v/>
      </c>
      <c r="AF109">
        <f>IF($P109="",0,IF(COUNTIFS(업무일지!$F$5:$F$1004,$P109,업무일지!$B$5:$B$1004,"&gt;="&amp;DATE($B$3,1,1),업무일지!$B$5:$B$1004,"&lt;"&amp;DATE($B$3+1,1,1),업무일지!$AA$5:$AA$1004,"*"&amp;$A$22&amp;"*")&gt;0,1,0))</f>
        <v/>
      </c>
      <c r="AG109">
        <f>IF($P109="",0,IF(COUNTIFS(업무일지!$F$5:$F$1004,$P109,업무일지!$B$5:$B$1004,"&gt;="&amp;DATE($B$3,1,1),업무일지!$B$5:$B$1004,"&lt;"&amp;DATE($B$3+1,1,1),업무일지!$AA$5:$AA$1004,"*"&amp;$A$23&amp;"*")&gt;0,1,0))</f>
        <v/>
      </c>
      <c r="AH109">
        <f>IF($P109="",0,IF(COUNTIFS(업무일지!$F$5:$F$1004,$P109,업무일지!$B$5:$B$1004,"&gt;="&amp;DATE($B$3,1,1),업무일지!$B$5:$B$1004,"&lt;"&amp;DATE($B$3+1,1,1),업무일지!$AA$5:$AA$1004,"*"&amp;$A$24&amp;"*")&gt;0,1,0))</f>
        <v/>
      </c>
      <c r="AI109">
        <f>IF($P109="",0,IF(COUNTIFS(업무일지!$F$5:$F$1004,$P109,업무일지!$B$5:$B$1004,"&gt;="&amp;DATE($B$3,1,1),업무일지!$B$5:$B$1004,"&lt;"&amp;DATE($B$3+1,1,1),업무일지!$AA$5:$AA$1004,"*"&amp;$A$25&amp;"*")&gt;0,1,0))</f>
        <v/>
      </c>
      <c r="AJ109">
        <f>IF($P109="",0,IF(COUNTIFS(업무일지!$F$5:$F$1004,$P109,업무일지!$B$5:$B$1004,"&gt;="&amp;DATE($B$3,1,1),업무일지!$B$5:$B$1004,"&lt;"&amp;DATE($B$3+1,1,1),업무일지!$AA$5:$AA$1004,"*"&amp;$A$26&amp;"*")&gt;0,1,0))</f>
        <v/>
      </c>
    </row>
    <row r="110">
      <c r="P110">
        <f>IF(사건마스터!$A55="","",사건마스터!$A55)</f>
        <v/>
      </c>
      <c r="Q110">
        <f>IF($P110="",0,IF(COUNTIFS(업무일지!$F$5:$F$1004,$P110,업무일지!$B$5:$B$1004,"&gt;="&amp;DATE($B$3,1,1),업무일지!$B$5:$B$1004,"&lt;"&amp;DATE($B$3+1,1,1),업무일지!$AA$5:$AA$1004,"*"&amp;$A$7&amp;"*")&gt;0,1,0))</f>
        <v/>
      </c>
      <c r="R110">
        <f>IF($P110="",0,IF(COUNTIFS(업무일지!$F$5:$F$1004,$P110,업무일지!$B$5:$B$1004,"&gt;="&amp;DATE($B$3,1,1),업무일지!$B$5:$B$1004,"&lt;"&amp;DATE($B$3+1,1,1),업무일지!$AA$5:$AA$1004,"*"&amp;$A$8&amp;"*")&gt;0,1,0))</f>
        <v/>
      </c>
      <c r="S110">
        <f>IF($P110="",0,IF(COUNTIFS(업무일지!$F$5:$F$1004,$P110,업무일지!$B$5:$B$1004,"&gt;="&amp;DATE($B$3,1,1),업무일지!$B$5:$B$1004,"&lt;"&amp;DATE($B$3+1,1,1),업무일지!$AA$5:$AA$1004,"*"&amp;$A$9&amp;"*")&gt;0,1,0))</f>
        <v/>
      </c>
      <c r="T110">
        <f>IF($P110="",0,IF(COUNTIFS(업무일지!$F$5:$F$1004,$P110,업무일지!$B$5:$B$1004,"&gt;="&amp;DATE($B$3,1,1),업무일지!$B$5:$B$1004,"&lt;"&amp;DATE($B$3+1,1,1),업무일지!$AA$5:$AA$1004,"*"&amp;$A$10&amp;"*")&gt;0,1,0))</f>
        <v/>
      </c>
      <c r="U110">
        <f>IF($P110="",0,IF(COUNTIFS(업무일지!$F$5:$F$1004,$P110,업무일지!$B$5:$B$1004,"&gt;="&amp;DATE($B$3,1,1),업무일지!$B$5:$B$1004,"&lt;"&amp;DATE($B$3+1,1,1),업무일지!$AA$5:$AA$1004,"*"&amp;$A$11&amp;"*")&gt;0,1,0))</f>
        <v/>
      </c>
      <c r="V110">
        <f>IF($P110="",0,IF(COUNTIFS(업무일지!$F$5:$F$1004,$P110,업무일지!$B$5:$B$1004,"&gt;="&amp;DATE($B$3,1,1),업무일지!$B$5:$B$1004,"&lt;"&amp;DATE($B$3+1,1,1),업무일지!$AA$5:$AA$1004,"*"&amp;$A$12&amp;"*")&gt;0,1,0))</f>
        <v/>
      </c>
      <c r="W110">
        <f>IF($P110="",0,IF(COUNTIFS(업무일지!$F$5:$F$1004,$P110,업무일지!$B$5:$B$1004,"&gt;="&amp;DATE($B$3,1,1),업무일지!$B$5:$B$1004,"&lt;"&amp;DATE($B$3+1,1,1),업무일지!$AA$5:$AA$1004,"*"&amp;$A$13&amp;"*")&gt;0,1,0))</f>
        <v/>
      </c>
      <c r="X110">
        <f>IF($P110="",0,IF(COUNTIFS(업무일지!$F$5:$F$1004,$P110,업무일지!$B$5:$B$1004,"&gt;="&amp;DATE($B$3,1,1),업무일지!$B$5:$B$1004,"&lt;"&amp;DATE($B$3+1,1,1),업무일지!$AA$5:$AA$1004,"*"&amp;$A$14&amp;"*")&gt;0,1,0))</f>
        <v/>
      </c>
      <c r="Y110">
        <f>IF($P110="",0,IF(COUNTIFS(업무일지!$F$5:$F$1004,$P110,업무일지!$B$5:$B$1004,"&gt;="&amp;DATE($B$3,1,1),업무일지!$B$5:$B$1004,"&lt;"&amp;DATE($B$3+1,1,1),업무일지!$AA$5:$AA$1004,"*"&amp;$A$15&amp;"*")&gt;0,1,0))</f>
        <v/>
      </c>
      <c r="Z110">
        <f>IF($P110="",0,IF(COUNTIFS(업무일지!$F$5:$F$1004,$P110,업무일지!$B$5:$B$1004,"&gt;="&amp;DATE($B$3,1,1),업무일지!$B$5:$B$1004,"&lt;"&amp;DATE($B$3+1,1,1),업무일지!$AA$5:$AA$1004,"*"&amp;$A$16&amp;"*")&gt;0,1,0))</f>
        <v/>
      </c>
      <c r="AA110">
        <f>IF($P110="",0,IF(COUNTIFS(업무일지!$F$5:$F$1004,$P110,업무일지!$B$5:$B$1004,"&gt;="&amp;DATE($B$3,1,1),업무일지!$B$5:$B$1004,"&lt;"&amp;DATE($B$3+1,1,1),업무일지!$AA$5:$AA$1004,"*"&amp;$A$17&amp;"*")&gt;0,1,0))</f>
        <v/>
      </c>
      <c r="AB110">
        <f>IF($P110="",0,IF(COUNTIFS(업무일지!$F$5:$F$1004,$P110,업무일지!$B$5:$B$1004,"&gt;="&amp;DATE($B$3,1,1),업무일지!$B$5:$B$1004,"&lt;"&amp;DATE($B$3+1,1,1),업무일지!$AA$5:$AA$1004,"*"&amp;$A$18&amp;"*")&gt;0,1,0))</f>
        <v/>
      </c>
      <c r="AC110">
        <f>IF($P110="",0,IF(COUNTIFS(업무일지!$F$5:$F$1004,$P110,업무일지!$B$5:$B$1004,"&gt;="&amp;DATE($B$3,1,1),업무일지!$B$5:$B$1004,"&lt;"&amp;DATE($B$3+1,1,1),업무일지!$AA$5:$AA$1004,"*"&amp;$A$19&amp;"*")&gt;0,1,0))</f>
        <v/>
      </c>
      <c r="AD110">
        <f>IF($P110="",0,IF(COUNTIFS(업무일지!$F$5:$F$1004,$P110,업무일지!$B$5:$B$1004,"&gt;="&amp;DATE($B$3,1,1),업무일지!$B$5:$B$1004,"&lt;"&amp;DATE($B$3+1,1,1),업무일지!$AA$5:$AA$1004,"*"&amp;$A$20&amp;"*")&gt;0,1,0))</f>
        <v/>
      </c>
      <c r="AE110">
        <f>IF($P110="",0,IF(COUNTIFS(업무일지!$F$5:$F$1004,$P110,업무일지!$B$5:$B$1004,"&gt;="&amp;DATE($B$3,1,1),업무일지!$B$5:$B$1004,"&lt;"&amp;DATE($B$3+1,1,1),업무일지!$AA$5:$AA$1004,"*"&amp;$A$21&amp;"*")&gt;0,1,0))</f>
        <v/>
      </c>
      <c r="AF110">
        <f>IF($P110="",0,IF(COUNTIFS(업무일지!$F$5:$F$1004,$P110,업무일지!$B$5:$B$1004,"&gt;="&amp;DATE($B$3,1,1),업무일지!$B$5:$B$1004,"&lt;"&amp;DATE($B$3+1,1,1),업무일지!$AA$5:$AA$1004,"*"&amp;$A$22&amp;"*")&gt;0,1,0))</f>
        <v/>
      </c>
      <c r="AG110">
        <f>IF($P110="",0,IF(COUNTIFS(업무일지!$F$5:$F$1004,$P110,업무일지!$B$5:$B$1004,"&gt;="&amp;DATE($B$3,1,1),업무일지!$B$5:$B$1004,"&lt;"&amp;DATE($B$3+1,1,1),업무일지!$AA$5:$AA$1004,"*"&amp;$A$23&amp;"*")&gt;0,1,0))</f>
        <v/>
      </c>
      <c r="AH110">
        <f>IF($P110="",0,IF(COUNTIFS(업무일지!$F$5:$F$1004,$P110,업무일지!$B$5:$B$1004,"&gt;="&amp;DATE($B$3,1,1),업무일지!$B$5:$B$1004,"&lt;"&amp;DATE($B$3+1,1,1),업무일지!$AA$5:$AA$1004,"*"&amp;$A$24&amp;"*")&gt;0,1,0))</f>
        <v/>
      </c>
      <c r="AI110">
        <f>IF($P110="",0,IF(COUNTIFS(업무일지!$F$5:$F$1004,$P110,업무일지!$B$5:$B$1004,"&gt;="&amp;DATE($B$3,1,1),업무일지!$B$5:$B$1004,"&lt;"&amp;DATE($B$3+1,1,1),업무일지!$AA$5:$AA$1004,"*"&amp;$A$25&amp;"*")&gt;0,1,0))</f>
        <v/>
      </c>
      <c r="AJ110">
        <f>IF($P110="",0,IF(COUNTIFS(업무일지!$F$5:$F$1004,$P110,업무일지!$B$5:$B$1004,"&gt;="&amp;DATE($B$3,1,1),업무일지!$B$5:$B$1004,"&lt;"&amp;DATE($B$3+1,1,1),업무일지!$AA$5:$AA$1004,"*"&amp;$A$26&amp;"*")&gt;0,1,0))</f>
        <v/>
      </c>
    </row>
    <row r="111">
      <c r="P111">
        <f>IF(사건마스터!$A56="","",사건마스터!$A56)</f>
        <v/>
      </c>
      <c r="Q111">
        <f>IF($P111="",0,IF(COUNTIFS(업무일지!$F$5:$F$1004,$P111,업무일지!$B$5:$B$1004,"&gt;="&amp;DATE($B$3,1,1),업무일지!$B$5:$B$1004,"&lt;"&amp;DATE($B$3+1,1,1),업무일지!$AA$5:$AA$1004,"*"&amp;$A$7&amp;"*")&gt;0,1,0))</f>
        <v/>
      </c>
      <c r="R111">
        <f>IF($P111="",0,IF(COUNTIFS(업무일지!$F$5:$F$1004,$P111,업무일지!$B$5:$B$1004,"&gt;="&amp;DATE($B$3,1,1),업무일지!$B$5:$B$1004,"&lt;"&amp;DATE($B$3+1,1,1),업무일지!$AA$5:$AA$1004,"*"&amp;$A$8&amp;"*")&gt;0,1,0))</f>
        <v/>
      </c>
      <c r="S111">
        <f>IF($P111="",0,IF(COUNTIFS(업무일지!$F$5:$F$1004,$P111,업무일지!$B$5:$B$1004,"&gt;="&amp;DATE($B$3,1,1),업무일지!$B$5:$B$1004,"&lt;"&amp;DATE($B$3+1,1,1),업무일지!$AA$5:$AA$1004,"*"&amp;$A$9&amp;"*")&gt;0,1,0))</f>
        <v/>
      </c>
      <c r="T111">
        <f>IF($P111="",0,IF(COUNTIFS(업무일지!$F$5:$F$1004,$P111,업무일지!$B$5:$B$1004,"&gt;="&amp;DATE($B$3,1,1),업무일지!$B$5:$B$1004,"&lt;"&amp;DATE($B$3+1,1,1),업무일지!$AA$5:$AA$1004,"*"&amp;$A$10&amp;"*")&gt;0,1,0))</f>
        <v/>
      </c>
      <c r="U111">
        <f>IF($P111="",0,IF(COUNTIFS(업무일지!$F$5:$F$1004,$P111,업무일지!$B$5:$B$1004,"&gt;="&amp;DATE($B$3,1,1),업무일지!$B$5:$B$1004,"&lt;"&amp;DATE($B$3+1,1,1),업무일지!$AA$5:$AA$1004,"*"&amp;$A$11&amp;"*")&gt;0,1,0))</f>
        <v/>
      </c>
      <c r="V111">
        <f>IF($P111="",0,IF(COUNTIFS(업무일지!$F$5:$F$1004,$P111,업무일지!$B$5:$B$1004,"&gt;="&amp;DATE($B$3,1,1),업무일지!$B$5:$B$1004,"&lt;"&amp;DATE($B$3+1,1,1),업무일지!$AA$5:$AA$1004,"*"&amp;$A$12&amp;"*")&gt;0,1,0))</f>
        <v/>
      </c>
      <c r="W111">
        <f>IF($P111="",0,IF(COUNTIFS(업무일지!$F$5:$F$1004,$P111,업무일지!$B$5:$B$1004,"&gt;="&amp;DATE($B$3,1,1),업무일지!$B$5:$B$1004,"&lt;"&amp;DATE($B$3+1,1,1),업무일지!$AA$5:$AA$1004,"*"&amp;$A$13&amp;"*")&gt;0,1,0))</f>
        <v/>
      </c>
      <c r="X111">
        <f>IF($P111="",0,IF(COUNTIFS(업무일지!$F$5:$F$1004,$P111,업무일지!$B$5:$B$1004,"&gt;="&amp;DATE($B$3,1,1),업무일지!$B$5:$B$1004,"&lt;"&amp;DATE($B$3+1,1,1),업무일지!$AA$5:$AA$1004,"*"&amp;$A$14&amp;"*")&gt;0,1,0))</f>
        <v/>
      </c>
      <c r="Y111">
        <f>IF($P111="",0,IF(COUNTIFS(업무일지!$F$5:$F$1004,$P111,업무일지!$B$5:$B$1004,"&gt;="&amp;DATE($B$3,1,1),업무일지!$B$5:$B$1004,"&lt;"&amp;DATE($B$3+1,1,1),업무일지!$AA$5:$AA$1004,"*"&amp;$A$15&amp;"*")&gt;0,1,0))</f>
        <v/>
      </c>
      <c r="Z111">
        <f>IF($P111="",0,IF(COUNTIFS(업무일지!$F$5:$F$1004,$P111,업무일지!$B$5:$B$1004,"&gt;="&amp;DATE($B$3,1,1),업무일지!$B$5:$B$1004,"&lt;"&amp;DATE($B$3+1,1,1),업무일지!$AA$5:$AA$1004,"*"&amp;$A$16&amp;"*")&gt;0,1,0))</f>
        <v/>
      </c>
      <c r="AA111">
        <f>IF($P111="",0,IF(COUNTIFS(업무일지!$F$5:$F$1004,$P111,업무일지!$B$5:$B$1004,"&gt;="&amp;DATE($B$3,1,1),업무일지!$B$5:$B$1004,"&lt;"&amp;DATE($B$3+1,1,1),업무일지!$AA$5:$AA$1004,"*"&amp;$A$17&amp;"*")&gt;0,1,0))</f>
        <v/>
      </c>
      <c r="AB111">
        <f>IF($P111="",0,IF(COUNTIFS(업무일지!$F$5:$F$1004,$P111,업무일지!$B$5:$B$1004,"&gt;="&amp;DATE($B$3,1,1),업무일지!$B$5:$B$1004,"&lt;"&amp;DATE($B$3+1,1,1),업무일지!$AA$5:$AA$1004,"*"&amp;$A$18&amp;"*")&gt;0,1,0))</f>
        <v/>
      </c>
      <c r="AC111">
        <f>IF($P111="",0,IF(COUNTIFS(업무일지!$F$5:$F$1004,$P111,업무일지!$B$5:$B$1004,"&gt;="&amp;DATE($B$3,1,1),업무일지!$B$5:$B$1004,"&lt;"&amp;DATE($B$3+1,1,1),업무일지!$AA$5:$AA$1004,"*"&amp;$A$19&amp;"*")&gt;0,1,0))</f>
        <v/>
      </c>
      <c r="AD111">
        <f>IF($P111="",0,IF(COUNTIFS(업무일지!$F$5:$F$1004,$P111,업무일지!$B$5:$B$1004,"&gt;="&amp;DATE($B$3,1,1),업무일지!$B$5:$B$1004,"&lt;"&amp;DATE($B$3+1,1,1),업무일지!$AA$5:$AA$1004,"*"&amp;$A$20&amp;"*")&gt;0,1,0))</f>
        <v/>
      </c>
      <c r="AE111">
        <f>IF($P111="",0,IF(COUNTIFS(업무일지!$F$5:$F$1004,$P111,업무일지!$B$5:$B$1004,"&gt;="&amp;DATE($B$3,1,1),업무일지!$B$5:$B$1004,"&lt;"&amp;DATE($B$3+1,1,1),업무일지!$AA$5:$AA$1004,"*"&amp;$A$21&amp;"*")&gt;0,1,0))</f>
        <v/>
      </c>
      <c r="AF111">
        <f>IF($P111="",0,IF(COUNTIFS(업무일지!$F$5:$F$1004,$P111,업무일지!$B$5:$B$1004,"&gt;="&amp;DATE($B$3,1,1),업무일지!$B$5:$B$1004,"&lt;"&amp;DATE($B$3+1,1,1),업무일지!$AA$5:$AA$1004,"*"&amp;$A$22&amp;"*")&gt;0,1,0))</f>
        <v/>
      </c>
      <c r="AG111">
        <f>IF($P111="",0,IF(COUNTIFS(업무일지!$F$5:$F$1004,$P111,업무일지!$B$5:$B$1004,"&gt;="&amp;DATE($B$3,1,1),업무일지!$B$5:$B$1004,"&lt;"&amp;DATE($B$3+1,1,1),업무일지!$AA$5:$AA$1004,"*"&amp;$A$23&amp;"*")&gt;0,1,0))</f>
        <v/>
      </c>
      <c r="AH111">
        <f>IF($P111="",0,IF(COUNTIFS(업무일지!$F$5:$F$1004,$P111,업무일지!$B$5:$B$1004,"&gt;="&amp;DATE($B$3,1,1),업무일지!$B$5:$B$1004,"&lt;"&amp;DATE($B$3+1,1,1),업무일지!$AA$5:$AA$1004,"*"&amp;$A$24&amp;"*")&gt;0,1,0))</f>
        <v/>
      </c>
      <c r="AI111">
        <f>IF($P111="",0,IF(COUNTIFS(업무일지!$F$5:$F$1004,$P111,업무일지!$B$5:$B$1004,"&gt;="&amp;DATE($B$3,1,1),업무일지!$B$5:$B$1004,"&lt;"&amp;DATE($B$3+1,1,1),업무일지!$AA$5:$AA$1004,"*"&amp;$A$25&amp;"*")&gt;0,1,0))</f>
        <v/>
      </c>
      <c r="AJ111">
        <f>IF($P111="",0,IF(COUNTIFS(업무일지!$F$5:$F$1004,$P111,업무일지!$B$5:$B$1004,"&gt;="&amp;DATE($B$3,1,1),업무일지!$B$5:$B$1004,"&lt;"&amp;DATE($B$3+1,1,1),업무일지!$AA$5:$AA$1004,"*"&amp;$A$26&amp;"*")&gt;0,1,0))</f>
        <v/>
      </c>
    </row>
    <row r="112">
      <c r="P112">
        <f>IF(사건마스터!$A57="","",사건마스터!$A57)</f>
        <v/>
      </c>
      <c r="Q112">
        <f>IF($P112="",0,IF(COUNTIFS(업무일지!$F$5:$F$1004,$P112,업무일지!$B$5:$B$1004,"&gt;="&amp;DATE($B$3,1,1),업무일지!$B$5:$B$1004,"&lt;"&amp;DATE($B$3+1,1,1),업무일지!$AA$5:$AA$1004,"*"&amp;$A$7&amp;"*")&gt;0,1,0))</f>
        <v/>
      </c>
      <c r="R112">
        <f>IF($P112="",0,IF(COUNTIFS(업무일지!$F$5:$F$1004,$P112,업무일지!$B$5:$B$1004,"&gt;="&amp;DATE($B$3,1,1),업무일지!$B$5:$B$1004,"&lt;"&amp;DATE($B$3+1,1,1),업무일지!$AA$5:$AA$1004,"*"&amp;$A$8&amp;"*")&gt;0,1,0))</f>
        <v/>
      </c>
      <c r="S112">
        <f>IF($P112="",0,IF(COUNTIFS(업무일지!$F$5:$F$1004,$P112,업무일지!$B$5:$B$1004,"&gt;="&amp;DATE($B$3,1,1),업무일지!$B$5:$B$1004,"&lt;"&amp;DATE($B$3+1,1,1),업무일지!$AA$5:$AA$1004,"*"&amp;$A$9&amp;"*")&gt;0,1,0))</f>
        <v/>
      </c>
      <c r="T112">
        <f>IF($P112="",0,IF(COUNTIFS(업무일지!$F$5:$F$1004,$P112,업무일지!$B$5:$B$1004,"&gt;="&amp;DATE($B$3,1,1),업무일지!$B$5:$B$1004,"&lt;"&amp;DATE($B$3+1,1,1),업무일지!$AA$5:$AA$1004,"*"&amp;$A$10&amp;"*")&gt;0,1,0))</f>
        <v/>
      </c>
      <c r="U112">
        <f>IF($P112="",0,IF(COUNTIFS(업무일지!$F$5:$F$1004,$P112,업무일지!$B$5:$B$1004,"&gt;="&amp;DATE($B$3,1,1),업무일지!$B$5:$B$1004,"&lt;"&amp;DATE($B$3+1,1,1),업무일지!$AA$5:$AA$1004,"*"&amp;$A$11&amp;"*")&gt;0,1,0))</f>
        <v/>
      </c>
      <c r="V112">
        <f>IF($P112="",0,IF(COUNTIFS(업무일지!$F$5:$F$1004,$P112,업무일지!$B$5:$B$1004,"&gt;="&amp;DATE($B$3,1,1),업무일지!$B$5:$B$1004,"&lt;"&amp;DATE($B$3+1,1,1),업무일지!$AA$5:$AA$1004,"*"&amp;$A$12&amp;"*")&gt;0,1,0))</f>
        <v/>
      </c>
      <c r="W112">
        <f>IF($P112="",0,IF(COUNTIFS(업무일지!$F$5:$F$1004,$P112,업무일지!$B$5:$B$1004,"&gt;="&amp;DATE($B$3,1,1),업무일지!$B$5:$B$1004,"&lt;"&amp;DATE($B$3+1,1,1),업무일지!$AA$5:$AA$1004,"*"&amp;$A$13&amp;"*")&gt;0,1,0))</f>
        <v/>
      </c>
      <c r="X112">
        <f>IF($P112="",0,IF(COUNTIFS(업무일지!$F$5:$F$1004,$P112,업무일지!$B$5:$B$1004,"&gt;="&amp;DATE($B$3,1,1),업무일지!$B$5:$B$1004,"&lt;"&amp;DATE($B$3+1,1,1),업무일지!$AA$5:$AA$1004,"*"&amp;$A$14&amp;"*")&gt;0,1,0))</f>
        <v/>
      </c>
      <c r="Y112">
        <f>IF($P112="",0,IF(COUNTIFS(업무일지!$F$5:$F$1004,$P112,업무일지!$B$5:$B$1004,"&gt;="&amp;DATE($B$3,1,1),업무일지!$B$5:$B$1004,"&lt;"&amp;DATE($B$3+1,1,1),업무일지!$AA$5:$AA$1004,"*"&amp;$A$15&amp;"*")&gt;0,1,0))</f>
        <v/>
      </c>
      <c r="Z112">
        <f>IF($P112="",0,IF(COUNTIFS(업무일지!$F$5:$F$1004,$P112,업무일지!$B$5:$B$1004,"&gt;="&amp;DATE($B$3,1,1),업무일지!$B$5:$B$1004,"&lt;"&amp;DATE($B$3+1,1,1),업무일지!$AA$5:$AA$1004,"*"&amp;$A$16&amp;"*")&gt;0,1,0))</f>
        <v/>
      </c>
      <c r="AA112">
        <f>IF($P112="",0,IF(COUNTIFS(업무일지!$F$5:$F$1004,$P112,업무일지!$B$5:$B$1004,"&gt;="&amp;DATE($B$3,1,1),업무일지!$B$5:$B$1004,"&lt;"&amp;DATE($B$3+1,1,1),업무일지!$AA$5:$AA$1004,"*"&amp;$A$17&amp;"*")&gt;0,1,0))</f>
        <v/>
      </c>
      <c r="AB112">
        <f>IF($P112="",0,IF(COUNTIFS(업무일지!$F$5:$F$1004,$P112,업무일지!$B$5:$B$1004,"&gt;="&amp;DATE($B$3,1,1),업무일지!$B$5:$B$1004,"&lt;"&amp;DATE($B$3+1,1,1),업무일지!$AA$5:$AA$1004,"*"&amp;$A$18&amp;"*")&gt;0,1,0))</f>
        <v/>
      </c>
      <c r="AC112">
        <f>IF($P112="",0,IF(COUNTIFS(업무일지!$F$5:$F$1004,$P112,업무일지!$B$5:$B$1004,"&gt;="&amp;DATE($B$3,1,1),업무일지!$B$5:$B$1004,"&lt;"&amp;DATE($B$3+1,1,1),업무일지!$AA$5:$AA$1004,"*"&amp;$A$19&amp;"*")&gt;0,1,0))</f>
        <v/>
      </c>
      <c r="AD112">
        <f>IF($P112="",0,IF(COUNTIFS(업무일지!$F$5:$F$1004,$P112,업무일지!$B$5:$B$1004,"&gt;="&amp;DATE($B$3,1,1),업무일지!$B$5:$B$1004,"&lt;"&amp;DATE($B$3+1,1,1),업무일지!$AA$5:$AA$1004,"*"&amp;$A$20&amp;"*")&gt;0,1,0))</f>
        <v/>
      </c>
      <c r="AE112">
        <f>IF($P112="",0,IF(COUNTIFS(업무일지!$F$5:$F$1004,$P112,업무일지!$B$5:$B$1004,"&gt;="&amp;DATE($B$3,1,1),업무일지!$B$5:$B$1004,"&lt;"&amp;DATE($B$3+1,1,1),업무일지!$AA$5:$AA$1004,"*"&amp;$A$21&amp;"*")&gt;0,1,0))</f>
        <v/>
      </c>
      <c r="AF112">
        <f>IF($P112="",0,IF(COUNTIFS(업무일지!$F$5:$F$1004,$P112,업무일지!$B$5:$B$1004,"&gt;="&amp;DATE($B$3,1,1),업무일지!$B$5:$B$1004,"&lt;"&amp;DATE($B$3+1,1,1),업무일지!$AA$5:$AA$1004,"*"&amp;$A$22&amp;"*")&gt;0,1,0))</f>
        <v/>
      </c>
      <c r="AG112">
        <f>IF($P112="",0,IF(COUNTIFS(업무일지!$F$5:$F$1004,$P112,업무일지!$B$5:$B$1004,"&gt;="&amp;DATE($B$3,1,1),업무일지!$B$5:$B$1004,"&lt;"&amp;DATE($B$3+1,1,1),업무일지!$AA$5:$AA$1004,"*"&amp;$A$23&amp;"*")&gt;0,1,0))</f>
        <v/>
      </c>
      <c r="AH112">
        <f>IF($P112="",0,IF(COUNTIFS(업무일지!$F$5:$F$1004,$P112,업무일지!$B$5:$B$1004,"&gt;="&amp;DATE($B$3,1,1),업무일지!$B$5:$B$1004,"&lt;"&amp;DATE($B$3+1,1,1),업무일지!$AA$5:$AA$1004,"*"&amp;$A$24&amp;"*")&gt;0,1,0))</f>
        <v/>
      </c>
      <c r="AI112">
        <f>IF($P112="",0,IF(COUNTIFS(업무일지!$F$5:$F$1004,$P112,업무일지!$B$5:$B$1004,"&gt;="&amp;DATE($B$3,1,1),업무일지!$B$5:$B$1004,"&lt;"&amp;DATE($B$3+1,1,1),업무일지!$AA$5:$AA$1004,"*"&amp;$A$25&amp;"*")&gt;0,1,0))</f>
        <v/>
      </c>
      <c r="AJ112">
        <f>IF($P112="",0,IF(COUNTIFS(업무일지!$F$5:$F$1004,$P112,업무일지!$B$5:$B$1004,"&gt;="&amp;DATE($B$3,1,1),업무일지!$B$5:$B$1004,"&lt;"&amp;DATE($B$3+1,1,1),업무일지!$AA$5:$AA$1004,"*"&amp;$A$26&amp;"*")&gt;0,1,0))</f>
        <v/>
      </c>
    </row>
    <row r="113">
      <c r="P113">
        <f>IF(사건마스터!$A58="","",사건마스터!$A58)</f>
        <v/>
      </c>
      <c r="Q113">
        <f>IF($P113="",0,IF(COUNTIFS(업무일지!$F$5:$F$1004,$P113,업무일지!$B$5:$B$1004,"&gt;="&amp;DATE($B$3,1,1),업무일지!$B$5:$B$1004,"&lt;"&amp;DATE($B$3+1,1,1),업무일지!$AA$5:$AA$1004,"*"&amp;$A$7&amp;"*")&gt;0,1,0))</f>
        <v/>
      </c>
      <c r="R113">
        <f>IF($P113="",0,IF(COUNTIFS(업무일지!$F$5:$F$1004,$P113,업무일지!$B$5:$B$1004,"&gt;="&amp;DATE($B$3,1,1),업무일지!$B$5:$B$1004,"&lt;"&amp;DATE($B$3+1,1,1),업무일지!$AA$5:$AA$1004,"*"&amp;$A$8&amp;"*")&gt;0,1,0))</f>
        <v/>
      </c>
      <c r="S113">
        <f>IF($P113="",0,IF(COUNTIFS(업무일지!$F$5:$F$1004,$P113,업무일지!$B$5:$B$1004,"&gt;="&amp;DATE($B$3,1,1),업무일지!$B$5:$B$1004,"&lt;"&amp;DATE($B$3+1,1,1),업무일지!$AA$5:$AA$1004,"*"&amp;$A$9&amp;"*")&gt;0,1,0))</f>
        <v/>
      </c>
      <c r="T113">
        <f>IF($P113="",0,IF(COUNTIFS(업무일지!$F$5:$F$1004,$P113,업무일지!$B$5:$B$1004,"&gt;="&amp;DATE($B$3,1,1),업무일지!$B$5:$B$1004,"&lt;"&amp;DATE($B$3+1,1,1),업무일지!$AA$5:$AA$1004,"*"&amp;$A$10&amp;"*")&gt;0,1,0))</f>
        <v/>
      </c>
      <c r="U113">
        <f>IF($P113="",0,IF(COUNTIFS(업무일지!$F$5:$F$1004,$P113,업무일지!$B$5:$B$1004,"&gt;="&amp;DATE($B$3,1,1),업무일지!$B$5:$B$1004,"&lt;"&amp;DATE($B$3+1,1,1),업무일지!$AA$5:$AA$1004,"*"&amp;$A$11&amp;"*")&gt;0,1,0))</f>
        <v/>
      </c>
      <c r="V113">
        <f>IF($P113="",0,IF(COUNTIFS(업무일지!$F$5:$F$1004,$P113,업무일지!$B$5:$B$1004,"&gt;="&amp;DATE($B$3,1,1),업무일지!$B$5:$B$1004,"&lt;"&amp;DATE($B$3+1,1,1),업무일지!$AA$5:$AA$1004,"*"&amp;$A$12&amp;"*")&gt;0,1,0))</f>
        <v/>
      </c>
      <c r="W113">
        <f>IF($P113="",0,IF(COUNTIFS(업무일지!$F$5:$F$1004,$P113,업무일지!$B$5:$B$1004,"&gt;="&amp;DATE($B$3,1,1),업무일지!$B$5:$B$1004,"&lt;"&amp;DATE($B$3+1,1,1),업무일지!$AA$5:$AA$1004,"*"&amp;$A$13&amp;"*")&gt;0,1,0))</f>
        <v/>
      </c>
      <c r="X113">
        <f>IF($P113="",0,IF(COUNTIFS(업무일지!$F$5:$F$1004,$P113,업무일지!$B$5:$B$1004,"&gt;="&amp;DATE($B$3,1,1),업무일지!$B$5:$B$1004,"&lt;"&amp;DATE($B$3+1,1,1),업무일지!$AA$5:$AA$1004,"*"&amp;$A$14&amp;"*")&gt;0,1,0))</f>
        <v/>
      </c>
      <c r="Y113">
        <f>IF($P113="",0,IF(COUNTIFS(업무일지!$F$5:$F$1004,$P113,업무일지!$B$5:$B$1004,"&gt;="&amp;DATE($B$3,1,1),업무일지!$B$5:$B$1004,"&lt;"&amp;DATE($B$3+1,1,1),업무일지!$AA$5:$AA$1004,"*"&amp;$A$15&amp;"*")&gt;0,1,0))</f>
        <v/>
      </c>
      <c r="Z113">
        <f>IF($P113="",0,IF(COUNTIFS(업무일지!$F$5:$F$1004,$P113,업무일지!$B$5:$B$1004,"&gt;="&amp;DATE($B$3,1,1),업무일지!$B$5:$B$1004,"&lt;"&amp;DATE($B$3+1,1,1),업무일지!$AA$5:$AA$1004,"*"&amp;$A$16&amp;"*")&gt;0,1,0))</f>
        <v/>
      </c>
      <c r="AA113">
        <f>IF($P113="",0,IF(COUNTIFS(업무일지!$F$5:$F$1004,$P113,업무일지!$B$5:$B$1004,"&gt;="&amp;DATE($B$3,1,1),업무일지!$B$5:$B$1004,"&lt;"&amp;DATE($B$3+1,1,1),업무일지!$AA$5:$AA$1004,"*"&amp;$A$17&amp;"*")&gt;0,1,0))</f>
        <v/>
      </c>
      <c r="AB113">
        <f>IF($P113="",0,IF(COUNTIFS(업무일지!$F$5:$F$1004,$P113,업무일지!$B$5:$B$1004,"&gt;="&amp;DATE($B$3,1,1),업무일지!$B$5:$B$1004,"&lt;"&amp;DATE($B$3+1,1,1),업무일지!$AA$5:$AA$1004,"*"&amp;$A$18&amp;"*")&gt;0,1,0))</f>
        <v/>
      </c>
      <c r="AC113">
        <f>IF($P113="",0,IF(COUNTIFS(업무일지!$F$5:$F$1004,$P113,업무일지!$B$5:$B$1004,"&gt;="&amp;DATE($B$3,1,1),업무일지!$B$5:$B$1004,"&lt;"&amp;DATE($B$3+1,1,1),업무일지!$AA$5:$AA$1004,"*"&amp;$A$19&amp;"*")&gt;0,1,0))</f>
        <v/>
      </c>
      <c r="AD113">
        <f>IF($P113="",0,IF(COUNTIFS(업무일지!$F$5:$F$1004,$P113,업무일지!$B$5:$B$1004,"&gt;="&amp;DATE($B$3,1,1),업무일지!$B$5:$B$1004,"&lt;"&amp;DATE($B$3+1,1,1),업무일지!$AA$5:$AA$1004,"*"&amp;$A$20&amp;"*")&gt;0,1,0))</f>
        <v/>
      </c>
      <c r="AE113">
        <f>IF($P113="",0,IF(COUNTIFS(업무일지!$F$5:$F$1004,$P113,업무일지!$B$5:$B$1004,"&gt;="&amp;DATE($B$3,1,1),업무일지!$B$5:$B$1004,"&lt;"&amp;DATE($B$3+1,1,1),업무일지!$AA$5:$AA$1004,"*"&amp;$A$21&amp;"*")&gt;0,1,0))</f>
        <v/>
      </c>
      <c r="AF113">
        <f>IF($P113="",0,IF(COUNTIFS(업무일지!$F$5:$F$1004,$P113,업무일지!$B$5:$B$1004,"&gt;="&amp;DATE($B$3,1,1),업무일지!$B$5:$B$1004,"&lt;"&amp;DATE($B$3+1,1,1),업무일지!$AA$5:$AA$1004,"*"&amp;$A$22&amp;"*")&gt;0,1,0))</f>
        <v/>
      </c>
      <c r="AG113">
        <f>IF($P113="",0,IF(COUNTIFS(업무일지!$F$5:$F$1004,$P113,업무일지!$B$5:$B$1004,"&gt;="&amp;DATE($B$3,1,1),업무일지!$B$5:$B$1004,"&lt;"&amp;DATE($B$3+1,1,1),업무일지!$AA$5:$AA$1004,"*"&amp;$A$23&amp;"*")&gt;0,1,0))</f>
        <v/>
      </c>
      <c r="AH113">
        <f>IF($P113="",0,IF(COUNTIFS(업무일지!$F$5:$F$1004,$P113,업무일지!$B$5:$B$1004,"&gt;="&amp;DATE($B$3,1,1),업무일지!$B$5:$B$1004,"&lt;"&amp;DATE($B$3+1,1,1),업무일지!$AA$5:$AA$1004,"*"&amp;$A$24&amp;"*")&gt;0,1,0))</f>
        <v/>
      </c>
      <c r="AI113">
        <f>IF($P113="",0,IF(COUNTIFS(업무일지!$F$5:$F$1004,$P113,업무일지!$B$5:$B$1004,"&gt;="&amp;DATE($B$3,1,1),업무일지!$B$5:$B$1004,"&lt;"&amp;DATE($B$3+1,1,1),업무일지!$AA$5:$AA$1004,"*"&amp;$A$25&amp;"*")&gt;0,1,0))</f>
        <v/>
      </c>
      <c r="AJ113">
        <f>IF($P113="",0,IF(COUNTIFS(업무일지!$F$5:$F$1004,$P113,업무일지!$B$5:$B$1004,"&gt;="&amp;DATE($B$3,1,1),업무일지!$B$5:$B$1004,"&lt;"&amp;DATE($B$3+1,1,1),업무일지!$AA$5:$AA$1004,"*"&amp;$A$26&amp;"*")&gt;0,1,0))</f>
        <v/>
      </c>
    </row>
    <row r="114">
      <c r="P114">
        <f>IF(사건마스터!$A59="","",사건마스터!$A59)</f>
        <v/>
      </c>
      <c r="Q114">
        <f>IF($P114="",0,IF(COUNTIFS(업무일지!$F$5:$F$1004,$P114,업무일지!$B$5:$B$1004,"&gt;="&amp;DATE($B$3,1,1),업무일지!$B$5:$B$1004,"&lt;"&amp;DATE($B$3+1,1,1),업무일지!$AA$5:$AA$1004,"*"&amp;$A$7&amp;"*")&gt;0,1,0))</f>
        <v/>
      </c>
      <c r="R114">
        <f>IF($P114="",0,IF(COUNTIFS(업무일지!$F$5:$F$1004,$P114,업무일지!$B$5:$B$1004,"&gt;="&amp;DATE($B$3,1,1),업무일지!$B$5:$B$1004,"&lt;"&amp;DATE($B$3+1,1,1),업무일지!$AA$5:$AA$1004,"*"&amp;$A$8&amp;"*")&gt;0,1,0))</f>
        <v/>
      </c>
      <c r="S114">
        <f>IF($P114="",0,IF(COUNTIFS(업무일지!$F$5:$F$1004,$P114,업무일지!$B$5:$B$1004,"&gt;="&amp;DATE($B$3,1,1),업무일지!$B$5:$B$1004,"&lt;"&amp;DATE($B$3+1,1,1),업무일지!$AA$5:$AA$1004,"*"&amp;$A$9&amp;"*")&gt;0,1,0))</f>
        <v/>
      </c>
      <c r="T114">
        <f>IF($P114="",0,IF(COUNTIFS(업무일지!$F$5:$F$1004,$P114,업무일지!$B$5:$B$1004,"&gt;="&amp;DATE($B$3,1,1),업무일지!$B$5:$B$1004,"&lt;"&amp;DATE($B$3+1,1,1),업무일지!$AA$5:$AA$1004,"*"&amp;$A$10&amp;"*")&gt;0,1,0))</f>
        <v/>
      </c>
      <c r="U114">
        <f>IF($P114="",0,IF(COUNTIFS(업무일지!$F$5:$F$1004,$P114,업무일지!$B$5:$B$1004,"&gt;="&amp;DATE($B$3,1,1),업무일지!$B$5:$B$1004,"&lt;"&amp;DATE($B$3+1,1,1),업무일지!$AA$5:$AA$1004,"*"&amp;$A$11&amp;"*")&gt;0,1,0))</f>
        <v/>
      </c>
      <c r="V114">
        <f>IF($P114="",0,IF(COUNTIFS(업무일지!$F$5:$F$1004,$P114,업무일지!$B$5:$B$1004,"&gt;="&amp;DATE($B$3,1,1),업무일지!$B$5:$B$1004,"&lt;"&amp;DATE($B$3+1,1,1),업무일지!$AA$5:$AA$1004,"*"&amp;$A$12&amp;"*")&gt;0,1,0))</f>
        <v/>
      </c>
      <c r="W114">
        <f>IF($P114="",0,IF(COUNTIFS(업무일지!$F$5:$F$1004,$P114,업무일지!$B$5:$B$1004,"&gt;="&amp;DATE($B$3,1,1),업무일지!$B$5:$B$1004,"&lt;"&amp;DATE($B$3+1,1,1),업무일지!$AA$5:$AA$1004,"*"&amp;$A$13&amp;"*")&gt;0,1,0))</f>
        <v/>
      </c>
      <c r="X114">
        <f>IF($P114="",0,IF(COUNTIFS(업무일지!$F$5:$F$1004,$P114,업무일지!$B$5:$B$1004,"&gt;="&amp;DATE($B$3,1,1),업무일지!$B$5:$B$1004,"&lt;"&amp;DATE($B$3+1,1,1),업무일지!$AA$5:$AA$1004,"*"&amp;$A$14&amp;"*")&gt;0,1,0))</f>
        <v/>
      </c>
      <c r="Y114">
        <f>IF($P114="",0,IF(COUNTIFS(업무일지!$F$5:$F$1004,$P114,업무일지!$B$5:$B$1004,"&gt;="&amp;DATE($B$3,1,1),업무일지!$B$5:$B$1004,"&lt;"&amp;DATE($B$3+1,1,1),업무일지!$AA$5:$AA$1004,"*"&amp;$A$15&amp;"*")&gt;0,1,0))</f>
        <v/>
      </c>
      <c r="Z114">
        <f>IF($P114="",0,IF(COUNTIFS(업무일지!$F$5:$F$1004,$P114,업무일지!$B$5:$B$1004,"&gt;="&amp;DATE($B$3,1,1),업무일지!$B$5:$B$1004,"&lt;"&amp;DATE($B$3+1,1,1),업무일지!$AA$5:$AA$1004,"*"&amp;$A$16&amp;"*")&gt;0,1,0))</f>
        <v/>
      </c>
      <c r="AA114">
        <f>IF($P114="",0,IF(COUNTIFS(업무일지!$F$5:$F$1004,$P114,업무일지!$B$5:$B$1004,"&gt;="&amp;DATE($B$3,1,1),업무일지!$B$5:$B$1004,"&lt;"&amp;DATE($B$3+1,1,1),업무일지!$AA$5:$AA$1004,"*"&amp;$A$17&amp;"*")&gt;0,1,0))</f>
        <v/>
      </c>
      <c r="AB114">
        <f>IF($P114="",0,IF(COUNTIFS(업무일지!$F$5:$F$1004,$P114,업무일지!$B$5:$B$1004,"&gt;="&amp;DATE($B$3,1,1),업무일지!$B$5:$B$1004,"&lt;"&amp;DATE($B$3+1,1,1),업무일지!$AA$5:$AA$1004,"*"&amp;$A$18&amp;"*")&gt;0,1,0))</f>
        <v/>
      </c>
      <c r="AC114">
        <f>IF($P114="",0,IF(COUNTIFS(업무일지!$F$5:$F$1004,$P114,업무일지!$B$5:$B$1004,"&gt;="&amp;DATE($B$3,1,1),업무일지!$B$5:$B$1004,"&lt;"&amp;DATE($B$3+1,1,1),업무일지!$AA$5:$AA$1004,"*"&amp;$A$19&amp;"*")&gt;0,1,0))</f>
        <v/>
      </c>
      <c r="AD114">
        <f>IF($P114="",0,IF(COUNTIFS(업무일지!$F$5:$F$1004,$P114,업무일지!$B$5:$B$1004,"&gt;="&amp;DATE($B$3,1,1),업무일지!$B$5:$B$1004,"&lt;"&amp;DATE($B$3+1,1,1),업무일지!$AA$5:$AA$1004,"*"&amp;$A$20&amp;"*")&gt;0,1,0))</f>
        <v/>
      </c>
      <c r="AE114">
        <f>IF($P114="",0,IF(COUNTIFS(업무일지!$F$5:$F$1004,$P114,업무일지!$B$5:$B$1004,"&gt;="&amp;DATE($B$3,1,1),업무일지!$B$5:$B$1004,"&lt;"&amp;DATE($B$3+1,1,1),업무일지!$AA$5:$AA$1004,"*"&amp;$A$21&amp;"*")&gt;0,1,0))</f>
        <v/>
      </c>
      <c r="AF114">
        <f>IF($P114="",0,IF(COUNTIFS(업무일지!$F$5:$F$1004,$P114,업무일지!$B$5:$B$1004,"&gt;="&amp;DATE($B$3,1,1),업무일지!$B$5:$B$1004,"&lt;"&amp;DATE($B$3+1,1,1),업무일지!$AA$5:$AA$1004,"*"&amp;$A$22&amp;"*")&gt;0,1,0))</f>
        <v/>
      </c>
      <c r="AG114">
        <f>IF($P114="",0,IF(COUNTIFS(업무일지!$F$5:$F$1004,$P114,업무일지!$B$5:$B$1004,"&gt;="&amp;DATE($B$3,1,1),업무일지!$B$5:$B$1004,"&lt;"&amp;DATE($B$3+1,1,1),업무일지!$AA$5:$AA$1004,"*"&amp;$A$23&amp;"*")&gt;0,1,0))</f>
        <v/>
      </c>
      <c r="AH114">
        <f>IF($P114="",0,IF(COUNTIFS(업무일지!$F$5:$F$1004,$P114,업무일지!$B$5:$B$1004,"&gt;="&amp;DATE($B$3,1,1),업무일지!$B$5:$B$1004,"&lt;"&amp;DATE($B$3+1,1,1),업무일지!$AA$5:$AA$1004,"*"&amp;$A$24&amp;"*")&gt;0,1,0))</f>
        <v/>
      </c>
      <c r="AI114">
        <f>IF($P114="",0,IF(COUNTIFS(업무일지!$F$5:$F$1004,$P114,업무일지!$B$5:$B$1004,"&gt;="&amp;DATE($B$3,1,1),업무일지!$B$5:$B$1004,"&lt;"&amp;DATE($B$3+1,1,1),업무일지!$AA$5:$AA$1004,"*"&amp;$A$25&amp;"*")&gt;0,1,0))</f>
        <v/>
      </c>
      <c r="AJ114">
        <f>IF($P114="",0,IF(COUNTIFS(업무일지!$F$5:$F$1004,$P114,업무일지!$B$5:$B$1004,"&gt;="&amp;DATE($B$3,1,1),업무일지!$B$5:$B$1004,"&lt;"&amp;DATE($B$3+1,1,1),업무일지!$AA$5:$AA$1004,"*"&amp;$A$26&amp;"*")&gt;0,1,0))</f>
        <v/>
      </c>
    </row>
    <row r="115">
      <c r="P115">
        <f>IF(사건마스터!$A60="","",사건마스터!$A60)</f>
        <v/>
      </c>
      <c r="Q115">
        <f>IF($P115="",0,IF(COUNTIFS(업무일지!$F$5:$F$1004,$P115,업무일지!$B$5:$B$1004,"&gt;="&amp;DATE($B$3,1,1),업무일지!$B$5:$B$1004,"&lt;"&amp;DATE($B$3+1,1,1),업무일지!$AA$5:$AA$1004,"*"&amp;$A$7&amp;"*")&gt;0,1,0))</f>
        <v/>
      </c>
      <c r="R115">
        <f>IF($P115="",0,IF(COUNTIFS(업무일지!$F$5:$F$1004,$P115,업무일지!$B$5:$B$1004,"&gt;="&amp;DATE($B$3,1,1),업무일지!$B$5:$B$1004,"&lt;"&amp;DATE($B$3+1,1,1),업무일지!$AA$5:$AA$1004,"*"&amp;$A$8&amp;"*")&gt;0,1,0))</f>
        <v/>
      </c>
      <c r="S115">
        <f>IF($P115="",0,IF(COUNTIFS(업무일지!$F$5:$F$1004,$P115,업무일지!$B$5:$B$1004,"&gt;="&amp;DATE($B$3,1,1),업무일지!$B$5:$B$1004,"&lt;"&amp;DATE($B$3+1,1,1),업무일지!$AA$5:$AA$1004,"*"&amp;$A$9&amp;"*")&gt;0,1,0))</f>
        <v/>
      </c>
      <c r="T115">
        <f>IF($P115="",0,IF(COUNTIFS(업무일지!$F$5:$F$1004,$P115,업무일지!$B$5:$B$1004,"&gt;="&amp;DATE($B$3,1,1),업무일지!$B$5:$B$1004,"&lt;"&amp;DATE($B$3+1,1,1),업무일지!$AA$5:$AA$1004,"*"&amp;$A$10&amp;"*")&gt;0,1,0))</f>
        <v/>
      </c>
      <c r="U115">
        <f>IF($P115="",0,IF(COUNTIFS(업무일지!$F$5:$F$1004,$P115,업무일지!$B$5:$B$1004,"&gt;="&amp;DATE($B$3,1,1),업무일지!$B$5:$B$1004,"&lt;"&amp;DATE($B$3+1,1,1),업무일지!$AA$5:$AA$1004,"*"&amp;$A$11&amp;"*")&gt;0,1,0))</f>
        <v/>
      </c>
      <c r="V115">
        <f>IF($P115="",0,IF(COUNTIFS(업무일지!$F$5:$F$1004,$P115,업무일지!$B$5:$B$1004,"&gt;="&amp;DATE($B$3,1,1),업무일지!$B$5:$B$1004,"&lt;"&amp;DATE($B$3+1,1,1),업무일지!$AA$5:$AA$1004,"*"&amp;$A$12&amp;"*")&gt;0,1,0))</f>
        <v/>
      </c>
      <c r="W115">
        <f>IF($P115="",0,IF(COUNTIFS(업무일지!$F$5:$F$1004,$P115,업무일지!$B$5:$B$1004,"&gt;="&amp;DATE($B$3,1,1),업무일지!$B$5:$B$1004,"&lt;"&amp;DATE($B$3+1,1,1),업무일지!$AA$5:$AA$1004,"*"&amp;$A$13&amp;"*")&gt;0,1,0))</f>
        <v/>
      </c>
      <c r="X115">
        <f>IF($P115="",0,IF(COUNTIFS(업무일지!$F$5:$F$1004,$P115,업무일지!$B$5:$B$1004,"&gt;="&amp;DATE($B$3,1,1),업무일지!$B$5:$B$1004,"&lt;"&amp;DATE($B$3+1,1,1),업무일지!$AA$5:$AA$1004,"*"&amp;$A$14&amp;"*")&gt;0,1,0))</f>
        <v/>
      </c>
      <c r="Y115">
        <f>IF($P115="",0,IF(COUNTIFS(업무일지!$F$5:$F$1004,$P115,업무일지!$B$5:$B$1004,"&gt;="&amp;DATE($B$3,1,1),업무일지!$B$5:$B$1004,"&lt;"&amp;DATE($B$3+1,1,1),업무일지!$AA$5:$AA$1004,"*"&amp;$A$15&amp;"*")&gt;0,1,0))</f>
        <v/>
      </c>
      <c r="Z115">
        <f>IF($P115="",0,IF(COUNTIFS(업무일지!$F$5:$F$1004,$P115,업무일지!$B$5:$B$1004,"&gt;="&amp;DATE($B$3,1,1),업무일지!$B$5:$B$1004,"&lt;"&amp;DATE($B$3+1,1,1),업무일지!$AA$5:$AA$1004,"*"&amp;$A$16&amp;"*")&gt;0,1,0))</f>
        <v/>
      </c>
      <c r="AA115">
        <f>IF($P115="",0,IF(COUNTIFS(업무일지!$F$5:$F$1004,$P115,업무일지!$B$5:$B$1004,"&gt;="&amp;DATE($B$3,1,1),업무일지!$B$5:$B$1004,"&lt;"&amp;DATE($B$3+1,1,1),업무일지!$AA$5:$AA$1004,"*"&amp;$A$17&amp;"*")&gt;0,1,0))</f>
        <v/>
      </c>
      <c r="AB115">
        <f>IF($P115="",0,IF(COUNTIFS(업무일지!$F$5:$F$1004,$P115,업무일지!$B$5:$B$1004,"&gt;="&amp;DATE($B$3,1,1),업무일지!$B$5:$B$1004,"&lt;"&amp;DATE($B$3+1,1,1),업무일지!$AA$5:$AA$1004,"*"&amp;$A$18&amp;"*")&gt;0,1,0))</f>
        <v/>
      </c>
      <c r="AC115">
        <f>IF($P115="",0,IF(COUNTIFS(업무일지!$F$5:$F$1004,$P115,업무일지!$B$5:$B$1004,"&gt;="&amp;DATE($B$3,1,1),업무일지!$B$5:$B$1004,"&lt;"&amp;DATE($B$3+1,1,1),업무일지!$AA$5:$AA$1004,"*"&amp;$A$19&amp;"*")&gt;0,1,0))</f>
        <v/>
      </c>
      <c r="AD115">
        <f>IF($P115="",0,IF(COUNTIFS(업무일지!$F$5:$F$1004,$P115,업무일지!$B$5:$B$1004,"&gt;="&amp;DATE($B$3,1,1),업무일지!$B$5:$B$1004,"&lt;"&amp;DATE($B$3+1,1,1),업무일지!$AA$5:$AA$1004,"*"&amp;$A$20&amp;"*")&gt;0,1,0))</f>
        <v/>
      </c>
      <c r="AE115">
        <f>IF($P115="",0,IF(COUNTIFS(업무일지!$F$5:$F$1004,$P115,업무일지!$B$5:$B$1004,"&gt;="&amp;DATE($B$3,1,1),업무일지!$B$5:$B$1004,"&lt;"&amp;DATE($B$3+1,1,1),업무일지!$AA$5:$AA$1004,"*"&amp;$A$21&amp;"*")&gt;0,1,0))</f>
        <v/>
      </c>
      <c r="AF115">
        <f>IF($P115="",0,IF(COUNTIFS(업무일지!$F$5:$F$1004,$P115,업무일지!$B$5:$B$1004,"&gt;="&amp;DATE($B$3,1,1),업무일지!$B$5:$B$1004,"&lt;"&amp;DATE($B$3+1,1,1),업무일지!$AA$5:$AA$1004,"*"&amp;$A$22&amp;"*")&gt;0,1,0))</f>
        <v/>
      </c>
      <c r="AG115">
        <f>IF($P115="",0,IF(COUNTIFS(업무일지!$F$5:$F$1004,$P115,업무일지!$B$5:$B$1004,"&gt;="&amp;DATE($B$3,1,1),업무일지!$B$5:$B$1004,"&lt;"&amp;DATE($B$3+1,1,1),업무일지!$AA$5:$AA$1004,"*"&amp;$A$23&amp;"*")&gt;0,1,0))</f>
        <v/>
      </c>
      <c r="AH115">
        <f>IF($P115="",0,IF(COUNTIFS(업무일지!$F$5:$F$1004,$P115,업무일지!$B$5:$B$1004,"&gt;="&amp;DATE($B$3,1,1),업무일지!$B$5:$B$1004,"&lt;"&amp;DATE($B$3+1,1,1),업무일지!$AA$5:$AA$1004,"*"&amp;$A$24&amp;"*")&gt;0,1,0))</f>
        <v/>
      </c>
      <c r="AI115">
        <f>IF($P115="",0,IF(COUNTIFS(업무일지!$F$5:$F$1004,$P115,업무일지!$B$5:$B$1004,"&gt;="&amp;DATE($B$3,1,1),업무일지!$B$5:$B$1004,"&lt;"&amp;DATE($B$3+1,1,1),업무일지!$AA$5:$AA$1004,"*"&amp;$A$25&amp;"*")&gt;0,1,0))</f>
        <v/>
      </c>
      <c r="AJ115">
        <f>IF($P115="",0,IF(COUNTIFS(업무일지!$F$5:$F$1004,$P115,업무일지!$B$5:$B$1004,"&gt;="&amp;DATE($B$3,1,1),업무일지!$B$5:$B$1004,"&lt;"&amp;DATE($B$3+1,1,1),업무일지!$AA$5:$AA$1004,"*"&amp;$A$26&amp;"*")&gt;0,1,0))</f>
        <v/>
      </c>
    </row>
    <row r="116">
      <c r="P116">
        <f>IF(사건마스터!$A61="","",사건마스터!$A61)</f>
        <v/>
      </c>
      <c r="Q116">
        <f>IF($P116="",0,IF(COUNTIFS(업무일지!$F$5:$F$1004,$P116,업무일지!$B$5:$B$1004,"&gt;="&amp;DATE($B$3,1,1),업무일지!$B$5:$B$1004,"&lt;"&amp;DATE($B$3+1,1,1),업무일지!$AA$5:$AA$1004,"*"&amp;$A$7&amp;"*")&gt;0,1,0))</f>
        <v/>
      </c>
      <c r="R116">
        <f>IF($P116="",0,IF(COUNTIFS(업무일지!$F$5:$F$1004,$P116,업무일지!$B$5:$B$1004,"&gt;="&amp;DATE($B$3,1,1),업무일지!$B$5:$B$1004,"&lt;"&amp;DATE($B$3+1,1,1),업무일지!$AA$5:$AA$1004,"*"&amp;$A$8&amp;"*")&gt;0,1,0))</f>
        <v/>
      </c>
      <c r="S116">
        <f>IF($P116="",0,IF(COUNTIFS(업무일지!$F$5:$F$1004,$P116,업무일지!$B$5:$B$1004,"&gt;="&amp;DATE($B$3,1,1),업무일지!$B$5:$B$1004,"&lt;"&amp;DATE($B$3+1,1,1),업무일지!$AA$5:$AA$1004,"*"&amp;$A$9&amp;"*")&gt;0,1,0))</f>
        <v/>
      </c>
      <c r="T116">
        <f>IF($P116="",0,IF(COUNTIFS(업무일지!$F$5:$F$1004,$P116,업무일지!$B$5:$B$1004,"&gt;="&amp;DATE($B$3,1,1),업무일지!$B$5:$B$1004,"&lt;"&amp;DATE($B$3+1,1,1),업무일지!$AA$5:$AA$1004,"*"&amp;$A$10&amp;"*")&gt;0,1,0))</f>
        <v/>
      </c>
      <c r="U116">
        <f>IF($P116="",0,IF(COUNTIFS(업무일지!$F$5:$F$1004,$P116,업무일지!$B$5:$B$1004,"&gt;="&amp;DATE($B$3,1,1),업무일지!$B$5:$B$1004,"&lt;"&amp;DATE($B$3+1,1,1),업무일지!$AA$5:$AA$1004,"*"&amp;$A$11&amp;"*")&gt;0,1,0))</f>
        <v/>
      </c>
      <c r="V116">
        <f>IF($P116="",0,IF(COUNTIFS(업무일지!$F$5:$F$1004,$P116,업무일지!$B$5:$B$1004,"&gt;="&amp;DATE($B$3,1,1),업무일지!$B$5:$B$1004,"&lt;"&amp;DATE($B$3+1,1,1),업무일지!$AA$5:$AA$1004,"*"&amp;$A$12&amp;"*")&gt;0,1,0))</f>
        <v/>
      </c>
      <c r="W116">
        <f>IF($P116="",0,IF(COUNTIFS(업무일지!$F$5:$F$1004,$P116,업무일지!$B$5:$B$1004,"&gt;="&amp;DATE($B$3,1,1),업무일지!$B$5:$B$1004,"&lt;"&amp;DATE($B$3+1,1,1),업무일지!$AA$5:$AA$1004,"*"&amp;$A$13&amp;"*")&gt;0,1,0))</f>
        <v/>
      </c>
      <c r="X116">
        <f>IF($P116="",0,IF(COUNTIFS(업무일지!$F$5:$F$1004,$P116,업무일지!$B$5:$B$1004,"&gt;="&amp;DATE($B$3,1,1),업무일지!$B$5:$B$1004,"&lt;"&amp;DATE($B$3+1,1,1),업무일지!$AA$5:$AA$1004,"*"&amp;$A$14&amp;"*")&gt;0,1,0))</f>
        <v/>
      </c>
      <c r="Y116">
        <f>IF($P116="",0,IF(COUNTIFS(업무일지!$F$5:$F$1004,$P116,업무일지!$B$5:$B$1004,"&gt;="&amp;DATE($B$3,1,1),업무일지!$B$5:$B$1004,"&lt;"&amp;DATE($B$3+1,1,1),업무일지!$AA$5:$AA$1004,"*"&amp;$A$15&amp;"*")&gt;0,1,0))</f>
        <v/>
      </c>
      <c r="Z116">
        <f>IF($P116="",0,IF(COUNTIFS(업무일지!$F$5:$F$1004,$P116,업무일지!$B$5:$B$1004,"&gt;="&amp;DATE($B$3,1,1),업무일지!$B$5:$B$1004,"&lt;"&amp;DATE($B$3+1,1,1),업무일지!$AA$5:$AA$1004,"*"&amp;$A$16&amp;"*")&gt;0,1,0))</f>
        <v/>
      </c>
      <c r="AA116">
        <f>IF($P116="",0,IF(COUNTIFS(업무일지!$F$5:$F$1004,$P116,업무일지!$B$5:$B$1004,"&gt;="&amp;DATE($B$3,1,1),업무일지!$B$5:$B$1004,"&lt;"&amp;DATE($B$3+1,1,1),업무일지!$AA$5:$AA$1004,"*"&amp;$A$17&amp;"*")&gt;0,1,0))</f>
        <v/>
      </c>
      <c r="AB116">
        <f>IF($P116="",0,IF(COUNTIFS(업무일지!$F$5:$F$1004,$P116,업무일지!$B$5:$B$1004,"&gt;="&amp;DATE($B$3,1,1),업무일지!$B$5:$B$1004,"&lt;"&amp;DATE($B$3+1,1,1),업무일지!$AA$5:$AA$1004,"*"&amp;$A$18&amp;"*")&gt;0,1,0))</f>
        <v/>
      </c>
      <c r="AC116">
        <f>IF($P116="",0,IF(COUNTIFS(업무일지!$F$5:$F$1004,$P116,업무일지!$B$5:$B$1004,"&gt;="&amp;DATE($B$3,1,1),업무일지!$B$5:$B$1004,"&lt;"&amp;DATE($B$3+1,1,1),업무일지!$AA$5:$AA$1004,"*"&amp;$A$19&amp;"*")&gt;0,1,0))</f>
        <v/>
      </c>
      <c r="AD116">
        <f>IF($P116="",0,IF(COUNTIFS(업무일지!$F$5:$F$1004,$P116,업무일지!$B$5:$B$1004,"&gt;="&amp;DATE($B$3,1,1),업무일지!$B$5:$B$1004,"&lt;"&amp;DATE($B$3+1,1,1),업무일지!$AA$5:$AA$1004,"*"&amp;$A$20&amp;"*")&gt;0,1,0))</f>
        <v/>
      </c>
      <c r="AE116">
        <f>IF($P116="",0,IF(COUNTIFS(업무일지!$F$5:$F$1004,$P116,업무일지!$B$5:$B$1004,"&gt;="&amp;DATE($B$3,1,1),업무일지!$B$5:$B$1004,"&lt;"&amp;DATE($B$3+1,1,1),업무일지!$AA$5:$AA$1004,"*"&amp;$A$21&amp;"*")&gt;0,1,0))</f>
        <v/>
      </c>
      <c r="AF116">
        <f>IF($P116="",0,IF(COUNTIFS(업무일지!$F$5:$F$1004,$P116,업무일지!$B$5:$B$1004,"&gt;="&amp;DATE($B$3,1,1),업무일지!$B$5:$B$1004,"&lt;"&amp;DATE($B$3+1,1,1),업무일지!$AA$5:$AA$1004,"*"&amp;$A$22&amp;"*")&gt;0,1,0))</f>
        <v/>
      </c>
      <c r="AG116">
        <f>IF($P116="",0,IF(COUNTIFS(업무일지!$F$5:$F$1004,$P116,업무일지!$B$5:$B$1004,"&gt;="&amp;DATE($B$3,1,1),업무일지!$B$5:$B$1004,"&lt;"&amp;DATE($B$3+1,1,1),업무일지!$AA$5:$AA$1004,"*"&amp;$A$23&amp;"*")&gt;0,1,0))</f>
        <v/>
      </c>
      <c r="AH116">
        <f>IF($P116="",0,IF(COUNTIFS(업무일지!$F$5:$F$1004,$P116,업무일지!$B$5:$B$1004,"&gt;="&amp;DATE($B$3,1,1),업무일지!$B$5:$B$1004,"&lt;"&amp;DATE($B$3+1,1,1),업무일지!$AA$5:$AA$1004,"*"&amp;$A$24&amp;"*")&gt;0,1,0))</f>
        <v/>
      </c>
      <c r="AI116">
        <f>IF($P116="",0,IF(COUNTIFS(업무일지!$F$5:$F$1004,$P116,업무일지!$B$5:$B$1004,"&gt;="&amp;DATE($B$3,1,1),업무일지!$B$5:$B$1004,"&lt;"&amp;DATE($B$3+1,1,1),업무일지!$AA$5:$AA$1004,"*"&amp;$A$25&amp;"*")&gt;0,1,0))</f>
        <v/>
      </c>
      <c r="AJ116">
        <f>IF($P116="",0,IF(COUNTIFS(업무일지!$F$5:$F$1004,$P116,업무일지!$B$5:$B$1004,"&gt;="&amp;DATE($B$3,1,1),업무일지!$B$5:$B$1004,"&lt;"&amp;DATE($B$3+1,1,1),업무일지!$AA$5:$AA$1004,"*"&amp;$A$26&amp;"*")&gt;0,1,0))</f>
        <v/>
      </c>
    </row>
    <row r="117">
      <c r="P117">
        <f>IF(사건마스터!$A62="","",사건마스터!$A62)</f>
        <v/>
      </c>
      <c r="Q117">
        <f>IF($P117="",0,IF(COUNTIFS(업무일지!$F$5:$F$1004,$P117,업무일지!$B$5:$B$1004,"&gt;="&amp;DATE($B$3,1,1),업무일지!$B$5:$B$1004,"&lt;"&amp;DATE($B$3+1,1,1),업무일지!$AA$5:$AA$1004,"*"&amp;$A$7&amp;"*")&gt;0,1,0))</f>
        <v/>
      </c>
      <c r="R117">
        <f>IF($P117="",0,IF(COUNTIFS(업무일지!$F$5:$F$1004,$P117,업무일지!$B$5:$B$1004,"&gt;="&amp;DATE($B$3,1,1),업무일지!$B$5:$B$1004,"&lt;"&amp;DATE($B$3+1,1,1),업무일지!$AA$5:$AA$1004,"*"&amp;$A$8&amp;"*")&gt;0,1,0))</f>
        <v/>
      </c>
      <c r="S117">
        <f>IF($P117="",0,IF(COUNTIFS(업무일지!$F$5:$F$1004,$P117,업무일지!$B$5:$B$1004,"&gt;="&amp;DATE($B$3,1,1),업무일지!$B$5:$B$1004,"&lt;"&amp;DATE($B$3+1,1,1),업무일지!$AA$5:$AA$1004,"*"&amp;$A$9&amp;"*")&gt;0,1,0))</f>
        <v/>
      </c>
      <c r="T117">
        <f>IF($P117="",0,IF(COUNTIFS(업무일지!$F$5:$F$1004,$P117,업무일지!$B$5:$B$1004,"&gt;="&amp;DATE($B$3,1,1),업무일지!$B$5:$B$1004,"&lt;"&amp;DATE($B$3+1,1,1),업무일지!$AA$5:$AA$1004,"*"&amp;$A$10&amp;"*")&gt;0,1,0))</f>
        <v/>
      </c>
      <c r="U117">
        <f>IF($P117="",0,IF(COUNTIFS(업무일지!$F$5:$F$1004,$P117,업무일지!$B$5:$B$1004,"&gt;="&amp;DATE($B$3,1,1),업무일지!$B$5:$B$1004,"&lt;"&amp;DATE($B$3+1,1,1),업무일지!$AA$5:$AA$1004,"*"&amp;$A$11&amp;"*")&gt;0,1,0))</f>
        <v/>
      </c>
      <c r="V117">
        <f>IF($P117="",0,IF(COUNTIFS(업무일지!$F$5:$F$1004,$P117,업무일지!$B$5:$B$1004,"&gt;="&amp;DATE($B$3,1,1),업무일지!$B$5:$B$1004,"&lt;"&amp;DATE($B$3+1,1,1),업무일지!$AA$5:$AA$1004,"*"&amp;$A$12&amp;"*")&gt;0,1,0))</f>
        <v/>
      </c>
      <c r="W117">
        <f>IF($P117="",0,IF(COUNTIFS(업무일지!$F$5:$F$1004,$P117,업무일지!$B$5:$B$1004,"&gt;="&amp;DATE($B$3,1,1),업무일지!$B$5:$B$1004,"&lt;"&amp;DATE($B$3+1,1,1),업무일지!$AA$5:$AA$1004,"*"&amp;$A$13&amp;"*")&gt;0,1,0))</f>
        <v/>
      </c>
      <c r="X117">
        <f>IF($P117="",0,IF(COUNTIFS(업무일지!$F$5:$F$1004,$P117,업무일지!$B$5:$B$1004,"&gt;="&amp;DATE($B$3,1,1),업무일지!$B$5:$B$1004,"&lt;"&amp;DATE($B$3+1,1,1),업무일지!$AA$5:$AA$1004,"*"&amp;$A$14&amp;"*")&gt;0,1,0))</f>
        <v/>
      </c>
      <c r="Y117">
        <f>IF($P117="",0,IF(COUNTIFS(업무일지!$F$5:$F$1004,$P117,업무일지!$B$5:$B$1004,"&gt;="&amp;DATE($B$3,1,1),업무일지!$B$5:$B$1004,"&lt;"&amp;DATE($B$3+1,1,1),업무일지!$AA$5:$AA$1004,"*"&amp;$A$15&amp;"*")&gt;0,1,0))</f>
        <v/>
      </c>
      <c r="Z117">
        <f>IF($P117="",0,IF(COUNTIFS(업무일지!$F$5:$F$1004,$P117,업무일지!$B$5:$B$1004,"&gt;="&amp;DATE($B$3,1,1),업무일지!$B$5:$B$1004,"&lt;"&amp;DATE($B$3+1,1,1),업무일지!$AA$5:$AA$1004,"*"&amp;$A$16&amp;"*")&gt;0,1,0))</f>
        <v/>
      </c>
      <c r="AA117">
        <f>IF($P117="",0,IF(COUNTIFS(업무일지!$F$5:$F$1004,$P117,업무일지!$B$5:$B$1004,"&gt;="&amp;DATE($B$3,1,1),업무일지!$B$5:$B$1004,"&lt;"&amp;DATE($B$3+1,1,1),업무일지!$AA$5:$AA$1004,"*"&amp;$A$17&amp;"*")&gt;0,1,0))</f>
        <v/>
      </c>
      <c r="AB117">
        <f>IF($P117="",0,IF(COUNTIFS(업무일지!$F$5:$F$1004,$P117,업무일지!$B$5:$B$1004,"&gt;="&amp;DATE($B$3,1,1),업무일지!$B$5:$B$1004,"&lt;"&amp;DATE($B$3+1,1,1),업무일지!$AA$5:$AA$1004,"*"&amp;$A$18&amp;"*")&gt;0,1,0))</f>
        <v/>
      </c>
      <c r="AC117">
        <f>IF($P117="",0,IF(COUNTIFS(업무일지!$F$5:$F$1004,$P117,업무일지!$B$5:$B$1004,"&gt;="&amp;DATE($B$3,1,1),업무일지!$B$5:$B$1004,"&lt;"&amp;DATE($B$3+1,1,1),업무일지!$AA$5:$AA$1004,"*"&amp;$A$19&amp;"*")&gt;0,1,0))</f>
        <v/>
      </c>
      <c r="AD117">
        <f>IF($P117="",0,IF(COUNTIFS(업무일지!$F$5:$F$1004,$P117,업무일지!$B$5:$B$1004,"&gt;="&amp;DATE($B$3,1,1),업무일지!$B$5:$B$1004,"&lt;"&amp;DATE($B$3+1,1,1),업무일지!$AA$5:$AA$1004,"*"&amp;$A$20&amp;"*")&gt;0,1,0))</f>
        <v/>
      </c>
      <c r="AE117">
        <f>IF($P117="",0,IF(COUNTIFS(업무일지!$F$5:$F$1004,$P117,업무일지!$B$5:$B$1004,"&gt;="&amp;DATE($B$3,1,1),업무일지!$B$5:$B$1004,"&lt;"&amp;DATE($B$3+1,1,1),업무일지!$AA$5:$AA$1004,"*"&amp;$A$21&amp;"*")&gt;0,1,0))</f>
        <v/>
      </c>
      <c r="AF117">
        <f>IF($P117="",0,IF(COUNTIFS(업무일지!$F$5:$F$1004,$P117,업무일지!$B$5:$B$1004,"&gt;="&amp;DATE($B$3,1,1),업무일지!$B$5:$B$1004,"&lt;"&amp;DATE($B$3+1,1,1),업무일지!$AA$5:$AA$1004,"*"&amp;$A$22&amp;"*")&gt;0,1,0))</f>
        <v/>
      </c>
      <c r="AG117">
        <f>IF($P117="",0,IF(COUNTIFS(업무일지!$F$5:$F$1004,$P117,업무일지!$B$5:$B$1004,"&gt;="&amp;DATE($B$3,1,1),업무일지!$B$5:$B$1004,"&lt;"&amp;DATE($B$3+1,1,1),업무일지!$AA$5:$AA$1004,"*"&amp;$A$23&amp;"*")&gt;0,1,0))</f>
        <v/>
      </c>
      <c r="AH117">
        <f>IF($P117="",0,IF(COUNTIFS(업무일지!$F$5:$F$1004,$P117,업무일지!$B$5:$B$1004,"&gt;="&amp;DATE($B$3,1,1),업무일지!$B$5:$B$1004,"&lt;"&amp;DATE($B$3+1,1,1),업무일지!$AA$5:$AA$1004,"*"&amp;$A$24&amp;"*")&gt;0,1,0))</f>
        <v/>
      </c>
      <c r="AI117">
        <f>IF($P117="",0,IF(COUNTIFS(업무일지!$F$5:$F$1004,$P117,업무일지!$B$5:$B$1004,"&gt;="&amp;DATE($B$3,1,1),업무일지!$B$5:$B$1004,"&lt;"&amp;DATE($B$3+1,1,1),업무일지!$AA$5:$AA$1004,"*"&amp;$A$25&amp;"*")&gt;0,1,0))</f>
        <v/>
      </c>
      <c r="AJ117">
        <f>IF($P117="",0,IF(COUNTIFS(업무일지!$F$5:$F$1004,$P117,업무일지!$B$5:$B$1004,"&gt;="&amp;DATE($B$3,1,1),업무일지!$B$5:$B$1004,"&lt;"&amp;DATE($B$3+1,1,1),업무일지!$AA$5:$AA$1004,"*"&amp;$A$26&amp;"*")&gt;0,1,0))</f>
        <v/>
      </c>
    </row>
    <row r="118">
      <c r="P118">
        <f>IF(사건마스터!$A63="","",사건마스터!$A63)</f>
        <v/>
      </c>
      <c r="Q118">
        <f>IF($P118="",0,IF(COUNTIFS(업무일지!$F$5:$F$1004,$P118,업무일지!$B$5:$B$1004,"&gt;="&amp;DATE($B$3,1,1),업무일지!$B$5:$B$1004,"&lt;"&amp;DATE($B$3+1,1,1),업무일지!$AA$5:$AA$1004,"*"&amp;$A$7&amp;"*")&gt;0,1,0))</f>
        <v/>
      </c>
      <c r="R118">
        <f>IF($P118="",0,IF(COUNTIFS(업무일지!$F$5:$F$1004,$P118,업무일지!$B$5:$B$1004,"&gt;="&amp;DATE($B$3,1,1),업무일지!$B$5:$B$1004,"&lt;"&amp;DATE($B$3+1,1,1),업무일지!$AA$5:$AA$1004,"*"&amp;$A$8&amp;"*")&gt;0,1,0))</f>
        <v/>
      </c>
      <c r="S118">
        <f>IF($P118="",0,IF(COUNTIFS(업무일지!$F$5:$F$1004,$P118,업무일지!$B$5:$B$1004,"&gt;="&amp;DATE($B$3,1,1),업무일지!$B$5:$B$1004,"&lt;"&amp;DATE($B$3+1,1,1),업무일지!$AA$5:$AA$1004,"*"&amp;$A$9&amp;"*")&gt;0,1,0))</f>
        <v/>
      </c>
      <c r="T118">
        <f>IF($P118="",0,IF(COUNTIFS(업무일지!$F$5:$F$1004,$P118,업무일지!$B$5:$B$1004,"&gt;="&amp;DATE($B$3,1,1),업무일지!$B$5:$B$1004,"&lt;"&amp;DATE($B$3+1,1,1),업무일지!$AA$5:$AA$1004,"*"&amp;$A$10&amp;"*")&gt;0,1,0))</f>
        <v/>
      </c>
      <c r="U118">
        <f>IF($P118="",0,IF(COUNTIFS(업무일지!$F$5:$F$1004,$P118,업무일지!$B$5:$B$1004,"&gt;="&amp;DATE($B$3,1,1),업무일지!$B$5:$B$1004,"&lt;"&amp;DATE($B$3+1,1,1),업무일지!$AA$5:$AA$1004,"*"&amp;$A$11&amp;"*")&gt;0,1,0))</f>
        <v/>
      </c>
      <c r="V118">
        <f>IF($P118="",0,IF(COUNTIFS(업무일지!$F$5:$F$1004,$P118,업무일지!$B$5:$B$1004,"&gt;="&amp;DATE($B$3,1,1),업무일지!$B$5:$B$1004,"&lt;"&amp;DATE($B$3+1,1,1),업무일지!$AA$5:$AA$1004,"*"&amp;$A$12&amp;"*")&gt;0,1,0))</f>
        <v/>
      </c>
      <c r="W118">
        <f>IF($P118="",0,IF(COUNTIFS(업무일지!$F$5:$F$1004,$P118,업무일지!$B$5:$B$1004,"&gt;="&amp;DATE($B$3,1,1),업무일지!$B$5:$B$1004,"&lt;"&amp;DATE($B$3+1,1,1),업무일지!$AA$5:$AA$1004,"*"&amp;$A$13&amp;"*")&gt;0,1,0))</f>
        <v/>
      </c>
      <c r="X118">
        <f>IF($P118="",0,IF(COUNTIFS(업무일지!$F$5:$F$1004,$P118,업무일지!$B$5:$B$1004,"&gt;="&amp;DATE($B$3,1,1),업무일지!$B$5:$B$1004,"&lt;"&amp;DATE($B$3+1,1,1),업무일지!$AA$5:$AA$1004,"*"&amp;$A$14&amp;"*")&gt;0,1,0))</f>
        <v/>
      </c>
      <c r="Y118">
        <f>IF($P118="",0,IF(COUNTIFS(업무일지!$F$5:$F$1004,$P118,업무일지!$B$5:$B$1004,"&gt;="&amp;DATE($B$3,1,1),업무일지!$B$5:$B$1004,"&lt;"&amp;DATE($B$3+1,1,1),업무일지!$AA$5:$AA$1004,"*"&amp;$A$15&amp;"*")&gt;0,1,0))</f>
        <v/>
      </c>
      <c r="Z118">
        <f>IF($P118="",0,IF(COUNTIFS(업무일지!$F$5:$F$1004,$P118,업무일지!$B$5:$B$1004,"&gt;="&amp;DATE($B$3,1,1),업무일지!$B$5:$B$1004,"&lt;"&amp;DATE($B$3+1,1,1),업무일지!$AA$5:$AA$1004,"*"&amp;$A$16&amp;"*")&gt;0,1,0))</f>
        <v/>
      </c>
      <c r="AA118">
        <f>IF($P118="",0,IF(COUNTIFS(업무일지!$F$5:$F$1004,$P118,업무일지!$B$5:$B$1004,"&gt;="&amp;DATE($B$3,1,1),업무일지!$B$5:$B$1004,"&lt;"&amp;DATE($B$3+1,1,1),업무일지!$AA$5:$AA$1004,"*"&amp;$A$17&amp;"*")&gt;0,1,0))</f>
        <v/>
      </c>
      <c r="AB118">
        <f>IF($P118="",0,IF(COUNTIFS(업무일지!$F$5:$F$1004,$P118,업무일지!$B$5:$B$1004,"&gt;="&amp;DATE($B$3,1,1),업무일지!$B$5:$B$1004,"&lt;"&amp;DATE($B$3+1,1,1),업무일지!$AA$5:$AA$1004,"*"&amp;$A$18&amp;"*")&gt;0,1,0))</f>
        <v/>
      </c>
      <c r="AC118">
        <f>IF($P118="",0,IF(COUNTIFS(업무일지!$F$5:$F$1004,$P118,업무일지!$B$5:$B$1004,"&gt;="&amp;DATE($B$3,1,1),업무일지!$B$5:$B$1004,"&lt;"&amp;DATE($B$3+1,1,1),업무일지!$AA$5:$AA$1004,"*"&amp;$A$19&amp;"*")&gt;0,1,0))</f>
        <v/>
      </c>
      <c r="AD118">
        <f>IF($P118="",0,IF(COUNTIFS(업무일지!$F$5:$F$1004,$P118,업무일지!$B$5:$B$1004,"&gt;="&amp;DATE($B$3,1,1),업무일지!$B$5:$B$1004,"&lt;"&amp;DATE($B$3+1,1,1),업무일지!$AA$5:$AA$1004,"*"&amp;$A$20&amp;"*")&gt;0,1,0))</f>
        <v/>
      </c>
      <c r="AE118">
        <f>IF($P118="",0,IF(COUNTIFS(업무일지!$F$5:$F$1004,$P118,업무일지!$B$5:$B$1004,"&gt;="&amp;DATE($B$3,1,1),업무일지!$B$5:$B$1004,"&lt;"&amp;DATE($B$3+1,1,1),업무일지!$AA$5:$AA$1004,"*"&amp;$A$21&amp;"*")&gt;0,1,0))</f>
        <v/>
      </c>
      <c r="AF118">
        <f>IF($P118="",0,IF(COUNTIFS(업무일지!$F$5:$F$1004,$P118,업무일지!$B$5:$B$1004,"&gt;="&amp;DATE($B$3,1,1),업무일지!$B$5:$B$1004,"&lt;"&amp;DATE($B$3+1,1,1),업무일지!$AA$5:$AA$1004,"*"&amp;$A$22&amp;"*")&gt;0,1,0))</f>
        <v/>
      </c>
      <c r="AG118">
        <f>IF($P118="",0,IF(COUNTIFS(업무일지!$F$5:$F$1004,$P118,업무일지!$B$5:$B$1004,"&gt;="&amp;DATE($B$3,1,1),업무일지!$B$5:$B$1004,"&lt;"&amp;DATE($B$3+1,1,1),업무일지!$AA$5:$AA$1004,"*"&amp;$A$23&amp;"*")&gt;0,1,0))</f>
        <v/>
      </c>
      <c r="AH118">
        <f>IF($P118="",0,IF(COUNTIFS(업무일지!$F$5:$F$1004,$P118,업무일지!$B$5:$B$1004,"&gt;="&amp;DATE($B$3,1,1),업무일지!$B$5:$B$1004,"&lt;"&amp;DATE($B$3+1,1,1),업무일지!$AA$5:$AA$1004,"*"&amp;$A$24&amp;"*")&gt;0,1,0))</f>
        <v/>
      </c>
      <c r="AI118">
        <f>IF($P118="",0,IF(COUNTIFS(업무일지!$F$5:$F$1004,$P118,업무일지!$B$5:$B$1004,"&gt;="&amp;DATE($B$3,1,1),업무일지!$B$5:$B$1004,"&lt;"&amp;DATE($B$3+1,1,1),업무일지!$AA$5:$AA$1004,"*"&amp;$A$25&amp;"*")&gt;0,1,0))</f>
        <v/>
      </c>
      <c r="AJ118">
        <f>IF($P118="",0,IF(COUNTIFS(업무일지!$F$5:$F$1004,$P118,업무일지!$B$5:$B$1004,"&gt;="&amp;DATE($B$3,1,1),업무일지!$B$5:$B$1004,"&lt;"&amp;DATE($B$3+1,1,1),업무일지!$AA$5:$AA$1004,"*"&amp;$A$26&amp;"*")&gt;0,1,0))</f>
        <v/>
      </c>
    </row>
    <row r="119">
      <c r="P119">
        <f>IF(사건마스터!$A64="","",사건마스터!$A64)</f>
        <v/>
      </c>
      <c r="Q119">
        <f>IF($P119="",0,IF(COUNTIFS(업무일지!$F$5:$F$1004,$P119,업무일지!$B$5:$B$1004,"&gt;="&amp;DATE($B$3,1,1),업무일지!$B$5:$B$1004,"&lt;"&amp;DATE($B$3+1,1,1),업무일지!$AA$5:$AA$1004,"*"&amp;$A$7&amp;"*")&gt;0,1,0))</f>
        <v/>
      </c>
      <c r="R119">
        <f>IF($P119="",0,IF(COUNTIFS(업무일지!$F$5:$F$1004,$P119,업무일지!$B$5:$B$1004,"&gt;="&amp;DATE($B$3,1,1),업무일지!$B$5:$B$1004,"&lt;"&amp;DATE($B$3+1,1,1),업무일지!$AA$5:$AA$1004,"*"&amp;$A$8&amp;"*")&gt;0,1,0))</f>
        <v/>
      </c>
      <c r="S119">
        <f>IF($P119="",0,IF(COUNTIFS(업무일지!$F$5:$F$1004,$P119,업무일지!$B$5:$B$1004,"&gt;="&amp;DATE($B$3,1,1),업무일지!$B$5:$B$1004,"&lt;"&amp;DATE($B$3+1,1,1),업무일지!$AA$5:$AA$1004,"*"&amp;$A$9&amp;"*")&gt;0,1,0))</f>
        <v/>
      </c>
      <c r="T119">
        <f>IF($P119="",0,IF(COUNTIFS(업무일지!$F$5:$F$1004,$P119,업무일지!$B$5:$B$1004,"&gt;="&amp;DATE($B$3,1,1),업무일지!$B$5:$B$1004,"&lt;"&amp;DATE($B$3+1,1,1),업무일지!$AA$5:$AA$1004,"*"&amp;$A$10&amp;"*")&gt;0,1,0))</f>
        <v/>
      </c>
      <c r="U119">
        <f>IF($P119="",0,IF(COUNTIFS(업무일지!$F$5:$F$1004,$P119,업무일지!$B$5:$B$1004,"&gt;="&amp;DATE($B$3,1,1),업무일지!$B$5:$B$1004,"&lt;"&amp;DATE($B$3+1,1,1),업무일지!$AA$5:$AA$1004,"*"&amp;$A$11&amp;"*")&gt;0,1,0))</f>
        <v/>
      </c>
      <c r="V119">
        <f>IF($P119="",0,IF(COUNTIFS(업무일지!$F$5:$F$1004,$P119,업무일지!$B$5:$B$1004,"&gt;="&amp;DATE($B$3,1,1),업무일지!$B$5:$B$1004,"&lt;"&amp;DATE($B$3+1,1,1),업무일지!$AA$5:$AA$1004,"*"&amp;$A$12&amp;"*")&gt;0,1,0))</f>
        <v/>
      </c>
      <c r="W119">
        <f>IF($P119="",0,IF(COUNTIFS(업무일지!$F$5:$F$1004,$P119,업무일지!$B$5:$B$1004,"&gt;="&amp;DATE($B$3,1,1),업무일지!$B$5:$B$1004,"&lt;"&amp;DATE($B$3+1,1,1),업무일지!$AA$5:$AA$1004,"*"&amp;$A$13&amp;"*")&gt;0,1,0))</f>
        <v/>
      </c>
      <c r="X119">
        <f>IF($P119="",0,IF(COUNTIFS(업무일지!$F$5:$F$1004,$P119,업무일지!$B$5:$B$1004,"&gt;="&amp;DATE($B$3,1,1),업무일지!$B$5:$B$1004,"&lt;"&amp;DATE($B$3+1,1,1),업무일지!$AA$5:$AA$1004,"*"&amp;$A$14&amp;"*")&gt;0,1,0))</f>
        <v/>
      </c>
      <c r="Y119">
        <f>IF($P119="",0,IF(COUNTIFS(업무일지!$F$5:$F$1004,$P119,업무일지!$B$5:$B$1004,"&gt;="&amp;DATE($B$3,1,1),업무일지!$B$5:$B$1004,"&lt;"&amp;DATE($B$3+1,1,1),업무일지!$AA$5:$AA$1004,"*"&amp;$A$15&amp;"*")&gt;0,1,0))</f>
        <v/>
      </c>
      <c r="Z119">
        <f>IF($P119="",0,IF(COUNTIFS(업무일지!$F$5:$F$1004,$P119,업무일지!$B$5:$B$1004,"&gt;="&amp;DATE($B$3,1,1),업무일지!$B$5:$B$1004,"&lt;"&amp;DATE($B$3+1,1,1),업무일지!$AA$5:$AA$1004,"*"&amp;$A$16&amp;"*")&gt;0,1,0))</f>
        <v/>
      </c>
      <c r="AA119">
        <f>IF($P119="",0,IF(COUNTIFS(업무일지!$F$5:$F$1004,$P119,업무일지!$B$5:$B$1004,"&gt;="&amp;DATE($B$3,1,1),업무일지!$B$5:$B$1004,"&lt;"&amp;DATE($B$3+1,1,1),업무일지!$AA$5:$AA$1004,"*"&amp;$A$17&amp;"*")&gt;0,1,0))</f>
        <v/>
      </c>
      <c r="AB119">
        <f>IF($P119="",0,IF(COUNTIFS(업무일지!$F$5:$F$1004,$P119,업무일지!$B$5:$B$1004,"&gt;="&amp;DATE($B$3,1,1),업무일지!$B$5:$B$1004,"&lt;"&amp;DATE($B$3+1,1,1),업무일지!$AA$5:$AA$1004,"*"&amp;$A$18&amp;"*")&gt;0,1,0))</f>
        <v/>
      </c>
      <c r="AC119">
        <f>IF($P119="",0,IF(COUNTIFS(업무일지!$F$5:$F$1004,$P119,업무일지!$B$5:$B$1004,"&gt;="&amp;DATE($B$3,1,1),업무일지!$B$5:$B$1004,"&lt;"&amp;DATE($B$3+1,1,1),업무일지!$AA$5:$AA$1004,"*"&amp;$A$19&amp;"*")&gt;0,1,0))</f>
        <v/>
      </c>
      <c r="AD119">
        <f>IF($P119="",0,IF(COUNTIFS(업무일지!$F$5:$F$1004,$P119,업무일지!$B$5:$B$1004,"&gt;="&amp;DATE($B$3,1,1),업무일지!$B$5:$B$1004,"&lt;"&amp;DATE($B$3+1,1,1),업무일지!$AA$5:$AA$1004,"*"&amp;$A$20&amp;"*")&gt;0,1,0))</f>
        <v/>
      </c>
      <c r="AE119">
        <f>IF($P119="",0,IF(COUNTIFS(업무일지!$F$5:$F$1004,$P119,업무일지!$B$5:$B$1004,"&gt;="&amp;DATE($B$3,1,1),업무일지!$B$5:$B$1004,"&lt;"&amp;DATE($B$3+1,1,1),업무일지!$AA$5:$AA$1004,"*"&amp;$A$21&amp;"*")&gt;0,1,0))</f>
        <v/>
      </c>
      <c r="AF119">
        <f>IF($P119="",0,IF(COUNTIFS(업무일지!$F$5:$F$1004,$P119,업무일지!$B$5:$B$1004,"&gt;="&amp;DATE($B$3,1,1),업무일지!$B$5:$B$1004,"&lt;"&amp;DATE($B$3+1,1,1),업무일지!$AA$5:$AA$1004,"*"&amp;$A$22&amp;"*")&gt;0,1,0))</f>
        <v/>
      </c>
      <c r="AG119">
        <f>IF($P119="",0,IF(COUNTIFS(업무일지!$F$5:$F$1004,$P119,업무일지!$B$5:$B$1004,"&gt;="&amp;DATE($B$3,1,1),업무일지!$B$5:$B$1004,"&lt;"&amp;DATE($B$3+1,1,1),업무일지!$AA$5:$AA$1004,"*"&amp;$A$23&amp;"*")&gt;0,1,0))</f>
        <v/>
      </c>
      <c r="AH119">
        <f>IF($P119="",0,IF(COUNTIFS(업무일지!$F$5:$F$1004,$P119,업무일지!$B$5:$B$1004,"&gt;="&amp;DATE($B$3,1,1),업무일지!$B$5:$B$1004,"&lt;"&amp;DATE($B$3+1,1,1),업무일지!$AA$5:$AA$1004,"*"&amp;$A$24&amp;"*")&gt;0,1,0))</f>
        <v/>
      </c>
      <c r="AI119">
        <f>IF($P119="",0,IF(COUNTIFS(업무일지!$F$5:$F$1004,$P119,업무일지!$B$5:$B$1004,"&gt;="&amp;DATE($B$3,1,1),업무일지!$B$5:$B$1004,"&lt;"&amp;DATE($B$3+1,1,1),업무일지!$AA$5:$AA$1004,"*"&amp;$A$25&amp;"*")&gt;0,1,0))</f>
        <v/>
      </c>
      <c r="AJ119">
        <f>IF($P119="",0,IF(COUNTIFS(업무일지!$F$5:$F$1004,$P119,업무일지!$B$5:$B$1004,"&gt;="&amp;DATE($B$3,1,1),업무일지!$B$5:$B$1004,"&lt;"&amp;DATE($B$3+1,1,1),업무일지!$AA$5:$AA$1004,"*"&amp;$A$26&amp;"*")&gt;0,1,0))</f>
        <v/>
      </c>
    </row>
  </sheetData>
  <dataValidations count="1">
    <dataValidation sqref="B30" showDropDown="0" showInputMessage="0" showErrorMessage="0" allowBlank="1" type="list">
      <formula1>"전체,출장,분석,교육"</formula1>
    </dataValidation>
  </dataValidations>
  <printOptions horizontalCentered="1"/>
  <pageMargins left="0.35" right="0.35" top="0.55" bottom="0.5" header="0.25" footer="0.25"/>
  <pageSetup orientation="landscape" paperSize="9" fitToHeight="0" fitToWidth="1"/>
  <headerFooter>
    <oddHeader>&amp;L&amp;"Arial"&amp;9개인별 현황&amp;R&amp;"Arial"&amp;9인쇄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K5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1" customWidth="1" min="9" max="9"/>
    <col width="13" customWidth="1" min="10" max="10"/>
    <col width="11" customWidth="1" min="11" max="11"/>
    <col width="3" customWidth="1" min="12" max="12"/>
    <col width="3" customWidth="1" min="13" max="13"/>
    <col width="3" customWidth="1" min="14" max="14"/>
  </cols>
  <sheetData>
    <row r="1" ht="24" customHeight="1">
      <c r="A1" s="6" t="inlineStr">
        <is>
          <t>교육 이수 현황  ·  담당자별 연간 교육</t>
        </is>
      </c>
    </row>
    <row r="2" ht="26" customHeight="1">
      <c r="A2" s="7" t="inlineStr">
        <is>
          <t>※ 입력할 것이 없습니다. [업무일지]에서 직무구분이 '교육'인 기록과 [일일실시사항]의 '교육·훈련'을 모아 셉니다.  ※ 노란 칸(연간 이수 기준)만 부서 방침에 맞게 바꾸면 이수 판정이 다시 계산됩니다.</t>
        </is>
      </c>
    </row>
    <row r="3">
      <c r="A3" s="120" t="inlineStr">
        <is>
          <t>기준연도</t>
        </is>
      </c>
      <c r="B3" s="105">
        <f>'부서 전체현황'!$B$3</f>
        <v/>
      </c>
      <c r="C3" s="120" t="inlineStr">
        <is>
          <t>연간 이수 기준(회)</t>
        </is>
      </c>
      <c r="D3" s="121" t="n">
        <v>2</v>
      </c>
      <c r="E3" s="7" t="inlineStr">
        <is>
          <t>← 이 횟수 이상이면 '이수'로 판정합니다</t>
        </is>
      </c>
    </row>
    <row r="5" ht="20" customHeight="1">
      <c r="A5" s="21" t="inlineStr">
        <is>
          <t>1.  담당자별 교육 이수 (연간 누계)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</row>
    <row r="6" ht="30" customHeight="1">
      <c r="A6" s="23" t="inlineStr">
        <is>
          <t>담당자</t>
        </is>
      </c>
      <c r="B6" s="23" t="inlineStr">
        <is>
          <t>소속팀</t>
        </is>
      </c>
      <c r="C6" s="23" t="inlineStr">
        <is>
          <t>외부 교육·세미나</t>
        </is>
      </c>
      <c r="D6" s="23" t="inlineStr">
        <is>
          <t>내부 직무교육</t>
        </is>
      </c>
      <c r="E6" s="23" t="inlineStr">
        <is>
          <t>자격·인증 과정</t>
        </is>
      </c>
      <c r="F6" s="23" t="inlineStr">
        <is>
          <t>워크숍·학회</t>
        </is>
      </c>
      <c r="G6" s="23" t="inlineStr">
        <is>
          <t>기타 교육</t>
        </is>
      </c>
      <c r="H6" s="23" t="inlineStr">
        <is>
          <t>업무일지 계</t>
        </is>
      </c>
      <c r="I6" s="23" t="inlineStr">
        <is>
          <t>일일 교육·훈련</t>
        </is>
      </c>
      <c r="J6" s="23" t="inlineStr">
        <is>
          <t>총 교육 횟수</t>
        </is>
      </c>
      <c r="K6" s="23" t="inlineStr">
        <is>
          <t>이수 판정</t>
        </is>
      </c>
    </row>
    <row r="7">
      <c r="A7" s="107">
        <f>IF(코드설정!$C5="","",코드설정!$C5)</f>
        <v/>
      </c>
      <c r="B7" s="136">
        <f>IF($A7="","",코드설정!$D5)</f>
        <v/>
      </c>
      <c r="C7" s="129">
        <f>IF($A7="","",COUNTIFS(업무일지!$B$5:$B$1004,"&gt;="&amp;DATE($B$3,1,1),업무일지!$B$5:$B$1004,"&lt;"&amp;DATE($B$3+1,1,1),업무일지!$AA$5:$AA$1004,"*"&amp;$A7&amp;"*",업무일지!$D$5:$D$1004,"교육",업무일지!$E$5:$E$1004,"외부 교육·세미나"))</f>
        <v/>
      </c>
      <c r="D7" s="129">
        <f>IF($A7="","",COUNTIFS(업무일지!$B$5:$B$1004,"&gt;="&amp;DATE($B$3,1,1),업무일지!$B$5:$B$1004,"&lt;"&amp;DATE($B$3+1,1,1),업무일지!$AA$5:$AA$1004,"*"&amp;$A7&amp;"*",업무일지!$D$5:$D$1004,"교육",업무일지!$E$5:$E$1004,"내부 직무교육"))</f>
        <v/>
      </c>
      <c r="E7" s="129">
        <f>IF($A7="","",COUNTIFS(업무일지!$B$5:$B$1004,"&gt;="&amp;DATE($B$3,1,1),업무일지!$B$5:$B$1004,"&lt;"&amp;DATE($B$3+1,1,1),업무일지!$AA$5:$AA$1004,"*"&amp;$A7&amp;"*",업무일지!$D$5:$D$1004,"교육",업무일지!$E$5:$E$1004,"자격·인증 과정"))</f>
        <v/>
      </c>
      <c r="F7" s="129">
        <f>IF($A7="","",COUNTIFS(업무일지!$B$5:$B$1004,"&gt;="&amp;DATE($B$3,1,1),업무일지!$B$5:$B$1004,"&lt;"&amp;DATE($B$3+1,1,1),업무일지!$AA$5:$AA$1004,"*"&amp;$A7&amp;"*",업무일지!$D$5:$D$1004,"교육",업무일지!$E$5:$E$1004,"워크숍·학회"))</f>
        <v/>
      </c>
      <c r="G7" s="129">
        <f>IF($A7="","",COUNTIFS(업무일지!$B$5:$B$1004,"&gt;="&amp;DATE($B$3,1,1),업무일지!$B$5:$B$1004,"&lt;"&amp;DATE($B$3+1,1,1),업무일지!$AA$5:$AA$1004,"*"&amp;$A7&amp;"*",업무일지!$D$5:$D$1004,"교육",업무일지!$E$5:$E$1004,"기타 교육"))</f>
        <v/>
      </c>
      <c r="H7" s="129">
        <f>IF($A7="","",COUNTIFS(업무일지!$B$5:$B$1004,"&gt;="&amp;DATE($B$3,1,1),업무일지!$B$5:$B$1004,"&lt;"&amp;DATE($B$3+1,1,1),업무일지!$AA$5:$AA$1004,"*"&amp;$A7&amp;"*",업무일지!$D$5:$D$1004,"교육"))</f>
        <v/>
      </c>
      <c r="I7" s="129">
        <f>IF($A7="","",COUNTIFS(일일실시사항!$B$5:$B$1004,"&gt;="&amp;DATE($B$3,1,1),일일실시사항!$B$5:$B$1004,"&lt;"&amp;DATE($B$3+1,1,1),일일실시사항!$D$5:$D$1004,$A7,일일실시사항!$F$5:$F$1004,"교육·훈련"))</f>
        <v/>
      </c>
      <c r="J7" s="118">
        <f>IF($A7="","",H7+I7)</f>
        <v/>
      </c>
      <c r="K7" s="130">
        <f>IF($A7="","",IF($J7&gt;=$D$3,"이수","미이수 ("&amp;MAX(0,$D$3-$J7)&amp;"회 부족)"))</f>
        <v/>
      </c>
    </row>
    <row r="8">
      <c r="A8" s="107">
        <f>IF(코드설정!$C6="","",코드설정!$C6)</f>
        <v/>
      </c>
      <c r="B8" s="136">
        <f>IF($A8="","",코드설정!$D6)</f>
        <v/>
      </c>
      <c r="C8" s="129">
        <f>IF($A8="","",COUNTIFS(업무일지!$B$5:$B$1004,"&gt;="&amp;DATE($B$3,1,1),업무일지!$B$5:$B$1004,"&lt;"&amp;DATE($B$3+1,1,1),업무일지!$AA$5:$AA$1004,"*"&amp;$A8&amp;"*",업무일지!$D$5:$D$1004,"교육",업무일지!$E$5:$E$1004,"외부 교육·세미나"))</f>
        <v/>
      </c>
      <c r="D8" s="129">
        <f>IF($A8="","",COUNTIFS(업무일지!$B$5:$B$1004,"&gt;="&amp;DATE($B$3,1,1),업무일지!$B$5:$B$1004,"&lt;"&amp;DATE($B$3+1,1,1),업무일지!$AA$5:$AA$1004,"*"&amp;$A8&amp;"*",업무일지!$D$5:$D$1004,"교육",업무일지!$E$5:$E$1004,"내부 직무교육"))</f>
        <v/>
      </c>
      <c r="E8" s="129">
        <f>IF($A8="","",COUNTIFS(업무일지!$B$5:$B$1004,"&gt;="&amp;DATE($B$3,1,1),업무일지!$B$5:$B$1004,"&lt;"&amp;DATE($B$3+1,1,1),업무일지!$AA$5:$AA$1004,"*"&amp;$A8&amp;"*",업무일지!$D$5:$D$1004,"교육",업무일지!$E$5:$E$1004,"자격·인증 과정"))</f>
        <v/>
      </c>
      <c r="F8" s="129">
        <f>IF($A8="","",COUNTIFS(업무일지!$B$5:$B$1004,"&gt;="&amp;DATE($B$3,1,1),업무일지!$B$5:$B$1004,"&lt;"&amp;DATE($B$3+1,1,1),업무일지!$AA$5:$AA$1004,"*"&amp;$A8&amp;"*",업무일지!$D$5:$D$1004,"교육",업무일지!$E$5:$E$1004,"워크숍·학회"))</f>
        <v/>
      </c>
      <c r="G8" s="129">
        <f>IF($A8="","",COUNTIFS(업무일지!$B$5:$B$1004,"&gt;="&amp;DATE($B$3,1,1),업무일지!$B$5:$B$1004,"&lt;"&amp;DATE($B$3+1,1,1),업무일지!$AA$5:$AA$1004,"*"&amp;$A8&amp;"*",업무일지!$D$5:$D$1004,"교육",업무일지!$E$5:$E$1004,"기타 교육"))</f>
        <v/>
      </c>
      <c r="H8" s="129">
        <f>IF($A8="","",COUNTIFS(업무일지!$B$5:$B$1004,"&gt;="&amp;DATE($B$3,1,1),업무일지!$B$5:$B$1004,"&lt;"&amp;DATE($B$3+1,1,1),업무일지!$AA$5:$AA$1004,"*"&amp;$A8&amp;"*",업무일지!$D$5:$D$1004,"교육"))</f>
        <v/>
      </c>
      <c r="I8" s="129">
        <f>IF($A8="","",COUNTIFS(일일실시사항!$B$5:$B$1004,"&gt;="&amp;DATE($B$3,1,1),일일실시사항!$B$5:$B$1004,"&lt;"&amp;DATE($B$3+1,1,1),일일실시사항!$D$5:$D$1004,$A8,일일실시사항!$F$5:$F$1004,"교육·훈련"))</f>
        <v/>
      </c>
      <c r="J8" s="118">
        <f>IF($A8="","",H8+I8)</f>
        <v/>
      </c>
      <c r="K8" s="130">
        <f>IF($A8="","",IF($J8&gt;=$D$3,"이수","미이수 ("&amp;MAX(0,$D$3-$J8)&amp;"회 부족)"))</f>
        <v/>
      </c>
    </row>
    <row r="9">
      <c r="A9" s="107">
        <f>IF(코드설정!$C7="","",코드설정!$C7)</f>
        <v/>
      </c>
      <c r="B9" s="136">
        <f>IF($A9="","",코드설정!$D7)</f>
        <v/>
      </c>
      <c r="C9" s="129">
        <f>IF($A9="","",COUNTIFS(업무일지!$B$5:$B$1004,"&gt;="&amp;DATE($B$3,1,1),업무일지!$B$5:$B$1004,"&lt;"&amp;DATE($B$3+1,1,1),업무일지!$AA$5:$AA$1004,"*"&amp;$A9&amp;"*",업무일지!$D$5:$D$1004,"교육",업무일지!$E$5:$E$1004,"외부 교육·세미나"))</f>
        <v/>
      </c>
      <c r="D9" s="129">
        <f>IF($A9="","",COUNTIFS(업무일지!$B$5:$B$1004,"&gt;="&amp;DATE($B$3,1,1),업무일지!$B$5:$B$1004,"&lt;"&amp;DATE($B$3+1,1,1),업무일지!$AA$5:$AA$1004,"*"&amp;$A9&amp;"*",업무일지!$D$5:$D$1004,"교육",업무일지!$E$5:$E$1004,"내부 직무교육"))</f>
        <v/>
      </c>
      <c r="E9" s="129">
        <f>IF($A9="","",COUNTIFS(업무일지!$B$5:$B$1004,"&gt;="&amp;DATE($B$3,1,1),업무일지!$B$5:$B$1004,"&lt;"&amp;DATE($B$3+1,1,1),업무일지!$AA$5:$AA$1004,"*"&amp;$A9&amp;"*",업무일지!$D$5:$D$1004,"교육",업무일지!$E$5:$E$1004,"자격·인증 과정"))</f>
        <v/>
      </c>
      <c r="F9" s="129">
        <f>IF($A9="","",COUNTIFS(업무일지!$B$5:$B$1004,"&gt;="&amp;DATE($B$3,1,1),업무일지!$B$5:$B$1004,"&lt;"&amp;DATE($B$3+1,1,1),업무일지!$AA$5:$AA$1004,"*"&amp;$A9&amp;"*",업무일지!$D$5:$D$1004,"교육",업무일지!$E$5:$E$1004,"워크숍·학회"))</f>
        <v/>
      </c>
      <c r="G9" s="129">
        <f>IF($A9="","",COUNTIFS(업무일지!$B$5:$B$1004,"&gt;="&amp;DATE($B$3,1,1),업무일지!$B$5:$B$1004,"&lt;"&amp;DATE($B$3+1,1,1),업무일지!$AA$5:$AA$1004,"*"&amp;$A9&amp;"*",업무일지!$D$5:$D$1004,"교육",업무일지!$E$5:$E$1004,"기타 교육"))</f>
        <v/>
      </c>
      <c r="H9" s="129">
        <f>IF($A9="","",COUNTIFS(업무일지!$B$5:$B$1004,"&gt;="&amp;DATE($B$3,1,1),업무일지!$B$5:$B$1004,"&lt;"&amp;DATE($B$3+1,1,1),업무일지!$AA$5:$AA$1004,"*"&amp;$A9&amp;"*",업무일지!$D$5:$D$1004,"교육"))</f>
        <v/>
      </c>
      <c r="I9" s="129">
        <f>IF($A9="","",COUNTIFS(일일실시사항!$B$5:$B$1004,"&gt;="&amp;DATE($B$3,1,1),일일실시사항!$B$5:$B$1004,"&lt;"&amp;DATE($B$3+1,1,1),일일실시사항!$D$5:$D$1004,$A9,일일실시사항!$F$5:$F$1004,"교육·훈련"))</f>
        <v/>
      </c>
      <c r="J9" s="118">
        <f>IF($A9="","",H9+I9)</f>
        <v/>
      </c>
      <c r="K9" s="130">
        <f>IF($A9="","",IF($J9&gt;=$D$3,"이수","미이수 ("&amp;MAX(0,$D$3-$J9)&amp;"회 부족)"))</f>
        <v/>
      </c>
    </row>
    <row r="10">
      <c r="A10" s="107">
        <f>IF(코드설정!$C8="","",코드설정!$C8)</f>
        <v/>
      </c>
      <c r="B10" s="136">
        <f>IF($A10="","",코드설정!$D8)</f>
        <v/>
      </c>
      <c r="C10" s="129">
        <f>IF($A10="","",COUNTIFS(업무일지!$B$5:$B$1004,"&gt;="&amp;DATE($B$3,1,1),업무일지!$B$5:$B$1004,"&lt;"&amp;DATE($B$3+1,1,1),업무일지!$AA$5:$AA$1004,"*"&amp;$A10&amp;"*",업무일지!$D$5:$D$1004,"교육",업무일지!$E$5:$E$1004,"외부 교육·세미나"))</f>
        <v/>
      </c>
      <c r="D10" s="129">
        <f>IF($A10="","",COUNTIFS(업무일지!$B$5:$B$1004,"&gt;="&amp;DATE($B$3,1,1),업무일지!$B$5:$B$1004,"&lt;"&amp;DATE($B$3+1,1,1),업무일지!$AA$5:$AA$1004,"*"&amp;$A10&amp;"*",업무일지!$D$5:$D$1004,"교육",업무일지!$E$5:$E$1004,"내부 직무교육"))</f>
        <v/>
      </c>
      <c r="E10" s="129">
        <f>IF($A10="","",COUNTIFS(업무일지!$B$5:$B$1004,"&gt;="&amp;DATE($B$3,1,1),업무일지!$B$5:$B$1004,"&lt;"&amp;DATE($B$3+1,1,1),업무일지!$AA$5:$AA$1004,"*"&amp;$A10&amp;"*",업무일지!$D$5:$D$1004,"교육",업무일지!$E$5:$E$1004,"자격·인증 과정"))</f>
        <v/>
      </c>
      <c r="F10" s="129">
        <f>IF($A10="","",COUNTIFS(업무일지!$B$5:$B$1004,"&gt;="&amp;DATE($B$3,1,1),업무일지!$B$5:$B$1004,"&lt;"&amp;DATE($B$3+1,1,1),업무일지!$AA$5:$AA$1004,"*"&amp;$A10&amp;"*",업무일지!$D$5:$D$1004,"교육",업무일지!$E$5:$E$1004,"워크숍·학회"))</f>
        <v/>
      </c>
      <c r="G10" s="129">
        <f>IF($A10="","",COUNTIFS(업무일지!$B$5:$B$1004,"&gt;="&amp;DATE($B$3,1,1),업무일지!$B$5:$B$1004,"&lt;"&amp;DATE($B$3+1,1,1),업무일지!$AA$5:$AA$1004,"*"&amp;$A10&amp;"*",업무일지!$D$5:$D$1004,"교육",업무일지!$E$5:$E$1004,"기타 교육"))</f>
        <v/>
      </c>
      <c r="H10" s="129">
        <f>IF($A10="","",COUNTIFS(업무일지!$B$5:$B$1004,"&gt;="&amp;DATE($B$3,1,1),업무일지!$B$5:$B$1004,"&lt;"&amp;DATE($B$3+1,1,1),업무일지!$AA$5:$AA$1004,"*"&amp;$A10&amp;"*",업무일지!$D$5:$D$1004,"교육"))</f>
        <v/>
      </c>
      <c r="I10" s="129">
        <f>IF($A10="","",COUNTIFS(일일실시사항!$B$5:$B$1004,"&gt;="&amp;DATE($B$3,1,1),일일실시사항!$B$5:$B$1004,"&lt;"&amp;DATE($B$3+1,1,1),일일실시사항!$D$5:$D$1004,$A10,일일실시사항!$F$5:$F$1004,"교육·훈련"))</f>
        <v/>
      </c>
      <c r="J10" s="118">
        <f>IF($A10="","",H10+I10)</f>
        <v/>
      </c>
      <c r="K10" s="130">
        <f>IF($A10="","",IF($J10&gt;=$D$3,"이수","미이수 ("&amp;MAX(0,$D$3-$J10)&amp;"회 부족)"))</f>
        <v/>
      </c>
    </row>
    <row r="11">
      <c r="A11" s="107">
        <f>IF(코드설정!$C9="","",코드설정!$C9)</f>
        <v/>
      </c>
      <c r="B11" s="136">
        <f>IF($A11="","",코드설정!$D9)</f>
        <v/>
      </c>
      <c r="C11" s="129">
        <f>IF($A11="","",COUNTIFS(업무일지!$B$5:$B$1004,"&gt;="&amp;DATE($B$3,1,1),업무일지!$B$5:$B$1004,"&lt;"&amp;DATE($B$3+1,1,1),업무일지!$AA$5:$AA$1004,"*"&amp;$A11&amp;"*",업무일지!$D$5:$D$1004,"교육",업무일지!$E$5:$E$1004,"외부 교육·세미나"))</f>
        <v/>
      </c>
      <c r="D11" s="129">
        <f>IF($A11="","",COUNTIFS(업무일지!$B$5:$B$1004,"&gt;="&amp;DATE($B$3,1,1),업무일지!$B$5:$B$1004,"&lt;"&amp;DATE($B$3+1,1,1),업무일지!$AA$5:$AA$1004,"*"&amp;$A11&amp;"*",업무일지!$D$5:$D$1004,"교육",업무일지!$E$5:$E$1004,"내부 직무교육"))</f>
        <v/>
      </c>
      <c r="E11" s="129">
        <f>IF($A11="","",COUNTIFS(업무일지!$B$5:$B$1004,"&gt;="&amp;DATE($B$3,1,1),업무일지!$B$5:$B$1004,"&lt;"&amp;DATE($B$3+1,1,1),업무일지!$AA$5:$AA$1004,"*"&amp;$A11&amp;"*",업무일지!$D$5:$D$1004,"교육",업무일지!$E$5:$E$1004,"자격·인증 과정"))</f>
        <v/>
      </c>
      <c r="F11" s="129">
        <f>IF($A11="","",COUNTIFS(업무일지!$B$5:$B$1004,"&gt;="&amp;DATE($B$3,1,1),업무일지!$B$5:$B$1004,"&lt;"&amp;DATE($B$3+1,1,1),업무일지!$AA$5:$AA$1004,"*"&amp;$A11&amp;"*",업무일지!$D$5:$D$1004,"교육",업무일지!$E$5:$E$1004,"워크숍·학회"))</f>
        <v/>
      </c>
      <c r="G11" s="129">
        <f>IF($A11="","",COUNTIFS(업무일지!$B$5:$B$1004,"&gt;="&amp;DATE($B$3,1,1),업무일지!$B$5:$B$1004,"&lt;"&amp;DATE($B$3+1,1,1),업무일지!$AA$5:$AA$1004,"*"&amp;$A11&amp;"*",업무일지!$D$5:$D$1004,"교육",업무일지!$E$5:$E$1004,"기타 교육"))</f>
        <v/>
      </c>
      <c r="H11" s="129">
        <f>IF($A11="","",COUNTIFS(업무일지!$B$5:$B$1004,"&gt;="&amp;DATE($B$3,1,1),업무일지!$B$5:$B$1004,"&lt;"&amp;DATE($B$3+1,1,1),업무일지!$AA$5:$AA$1004,"*"&amp;$A11&amp;"*",업무일지!$D$5:$D$1004,"교육"))</f>
        <v/>
      </c>
      <c r="I11" s="129">
        <f>IF($A11="","",COUNTIFS(일일실시사항!$B$5:$B$1004,"&gt;="&amp;DATE($B$3,1,1),일일실시사항!$B$5:$B$1004,"&lt;"&amp;DATE($B$3+1,1,1),일일실시사항!$D$5:$D$1004,$A11,일일실시사항!$F$5:$F$1004,"교육·훈련"))</f>
        <v/>
      </c>
      <c r="J11" s="118">
        <f>IF($A11="","",H11+I11)</f>
        <v/>
      </c>
      <c r="K11" s="130">
        <f>IF($A11="","",IF($J11&gt;=$D$3,"이수","미이수 ("&amp;MAX(0,$D$3-$J11)&amp;"회 부족)"))</f>
        <v/>
      </c>
    </row>
    <row r="12">
      <c r="A12" s="107">
        <f>IF(코드설정!$C10="","",코드설정!$C10)</f>
        <v/>
      </c>
      <c r="B12" s="136">
        <f>IF($A12="","",코드설정!$D10)</f>
        <v/>
      </c>
      <c r="C12" s="129">
        <f>IF($A12="","",COUNTIFS(업무일지!$B$5:$B$1004,"&gt;="&amp;DATE($B$3,1,1),업무일지!$B$5:$B$1004,"&lt;"&amp;DATE($B$3+1,1,1),업무일지!$AA$5:$AA$1004,"*"&amp;$A12&amp;"*",업무일지!$D$5:$D$1004,"교육",업무일지!$E$5:$E$1004,"외부 교육·세미나"))</f>
        <v/>
      </c>
      <c r="D12" s="129">
        <f>IF($A12="","",COUNTIFS(업무일지!$B$5:$B$1004,"&gt;="&amp;DATE($B$3,1,1),업무일지!$B$5:$B$1004,"&lt;"&amp;DATE($B$3+1,1,1),업무일지!$AA$5:$AA$1004,"*"&amp;$A12&amp;"*",업무일지!$D$5:$D$1004,"교육",업무일지!$E$5:$E$1004,"내부 직무교육"))</f>
        <v/>
      </c>
      <c r="E12" s="129">
        <f>IF($A12="","",COUNTIFS(업무일지!$B$5:$B$1004,"&gt;="&amp;DATE($B$3,1,1),업무일지!$B$5:$B$1004,"&lt;"&amp;DATE($B$3+1,1,1),업무일지!$AA$5:$AA$1004,"*"&amp;$A12&amp;"*",업무일지!$D$5:$D$1004,"교육",업무일지!$E$5:$E$1004,"자격·인증 과정"))</f>
        <v/>
      </c>
      <c r="F12" s="129">
        <f>IF($A12="","",COUNTIFS(업무일지!$B$5:$B$1004,"&gt;="&amp;DATE($B$3,1,1),업무일지!$B$5:$B$1004,"&lt;"&amp;DATE($B$3+1,1,1),업무일지!$AA$5:$AA$1004,"*"&amp;$A12&amp;"*",업무일지!$D$5:$D$1004,"교육",업무일지!$E$5:$E$1004,"워크숍·학회"))</f>
        <v/>
      </c>
      <c r="G12" s="129">
        <f>IF($A12="","",COUNTIFS(업무일지!$B$5:$B$1004,"&gt;="&amp;DATE($B$3,1,1),업무일지!$B$5:$B$1004,"&lt;"&amp;DATE($B$3+1,1,1),업무일지!$AA$5:$AA$1004,"*"&amp;$A12&amp;"*",업무일지!$D$5:$D$1004,"교육",업무일지!$E$5:$E$1004,"기타 교육"))</f>
        <v/>
      </c>
      <c r="H12" s="129">
        <f>IF($A12="","",COUNTIFS(업무일지!$B$5:$B$1004,"&gt;="&amp;DATE($B$3,1,1),업무일지!$B$5:$B$1004,"&lt;"&amp;DATE($B$3+1,1,1),업무일지!$AA$5:$AA$1004,"*"&amp;$A12&amp;"*",업무일지!$D$5:$D$1004,"교육"))</f>
        <v/>
      </c>
      <c r="I12" s="129">
        <f>IF($A12="","",COUNTIFS(일일실시사항!$B$5:$B$1004,"&gt;="&amp;DATE($B$3,1,1),일일실시사항!$B$5:$B$1004,"&lt;"&amp;DATE($B$3+1,1,1),일일실시사항!$D$5:$D$1004,$A12,일일실시사항!$F$5:$F$1004,"교육·훈련"))</f>
        <v/>
      </c>
      <c r="J12" s="118">
        <f>IF($A12="","",H12+I12)</f>
        <v/>
      </c>
      <c r="K12" s="130">
        <f>IF($A12="","",IF($J12&gt;=$D$3,"이수","미이수 ("&amp;MAX(0,$D$3-$J12)&amp;"회 부족)"))</f>
        <v/>
      </c>
    </row>
    <row r="13">
      <c r="A13" s="107">
        <f>IF(코드설정!$C11="","",코드설정!$C11)</f>
        <v/>
      </c>
      <c r="B13" s="136">
        <f>IF($A13="","",코드설정!$D11)</f>
        <v/>
      </c>
      <c r="C13" s="129">
        <f>IF($A13="","",COUNTIFS(업무일지!$B$5:$B$1004,"&gt;="&amp;DATE($B$3,1,1),업무일지!$B$5:$B$1004,"&lt;"&amp;DATE($B$3+1,1,1),업무일지!$AA$5:$AA$1004,"*"&amp;$A13&amp;"*",업무일지!$D$5:$D$1004,"교육",업무일지!$E$5:$E$1004,"외부 교육·세미나"))</f>
        <v/>
      </c>
      <c r="D13" s="129">
        <f>IF($A13="","",COUNTIFS(업무일지!$B$5:$B$1004,"&gt;="&amp;DATE($B$3,1,1),업무일지!$B$5:$B$1004,"&lt;"&amp;DATE($B$3+1,1,1),업무일지!$AA$5:$AA$1004,"*"&amp;$A13&amp;"*",업무일지!$D$5:$D$1004,"교육",업무일지!$E$5:$E$1004,"내부 직무교육"))</f>
        <v/>
      </c>
      <c r="E13" s="129">
        <f>IF($A13="","",COUNTIFS(업무일지!$B$5:$B$1004,"&gt;="&amp;DATE($B$3,1,1),업무일지!$B$5:$B$1004,"&lt;"&amp;DATE($B$3+1,1,1),업무일지!$AA$5:$AA$1004,"*"&amp;$A13&amp;"*",업무일지!$D$5:$D$1004,"교육",업무일지!$E$5:$E$1004,"자격·인증 과정"))</f>
        <v/>
      </c>
      <c r="F13" s="129">
        <f>IF($A13="","",COUNTIFS(업무일지!$B$5:$B$1004,"&gt;="&amp;DATE($B$3,1,1),업무일지!$B$5:$B$1004,"&lt;"&amp;DATE($B$3+1,1,1),업무일지!$AA$5:$AA$1004,"*"&amp;$A13&amp;"*",업무일지!$D$5:$D$1004,"교육",업무일지!$E$5:$E$1004,"워크숍·학회"))</f>
        <v/>
      </c>
      <c r="G13" s="129">
        <f>IF($A13="","",COUNTIFS(업무일지!$B$5:$B$1004,"&gt;="&amp;DATE($B$3,1,1),업무일지!$B$5:$B$1004,"&lt;"&amp;DATE($B$3+1,1,1),업무일지!$AA$5:$AA$1004,"*"&amp;$A13&amp;"*",업무일지!$D$5:$D$1004,"교육",업무일지!$E$5:$E$1004,"기타 교육"))</f>
        <v/>
      </c>
      <c r="H13" s="129">
        <f>IF($A13="","",COUNTIFS(업무일지!$B$5:$B$1004,"&gt;="&amp;DATE($B$3,1,1),업무일지!$B$5:$B$1004,"&lt;"&amp;DATE($B$3+1,1,1),업무일지!$AA$5:$AA$1004,"*"&amp;$A13&amp;"*",업무일지!$D$5:$D$1004,"교육"))</f>
        <v/>
      </c>
      <c r="I13" s="129">
        <f>IF($A13="","",COUNTIFS(일일실시사항!$B$5:$B$1004,"&gt;="&amp;DATE($B$3,1,1),일일실시사항!$B$5:$B$1004,"&lt;"&amp;DATE($B$3+1,1,1),일일실시사항!$D$5:$D$1004,$A13,일일실시사항!$F$5:$F$1004,"교육·훈련"))</f>
        <v/>
      </c>
      <c r="J13" s="118">
        <f>IF($A13="","",H13+I13)</f>
        <v/>
      </c>
      <c r="K13" s="130">
        <f>IF($A13="","",IF($J13&gt;=$D$3,"이수","미이수 ("&amp;MAX(0,$D$3-$J13)&amp;"회 부족)"))</f>
        <v/>
      </c>
    </row>
    <row r="14">
      <c r="A14" s="107">
        <f>IF(코드설정!$C12="","",코드설정!$C12)</f>
        <v/>
      </c>
      <c r="B14" s="136">
        <f>IF($A14="","",코드설정!$D12)</f>
        <v/>
      </c>
      <c r="C14" s="129">
        <f>IF($A14="","",COUNTIFS(업무일지!$B$5:$B$1004,"&gt;="&amp;DATE($B$3,1,1),업무일지!$B$5:$B$1004,"&lt;"&amp;DATE($B$3+1,1,1),업무일지!$AA$5:$AA$1004,"*"&amp;$A14&amp;"*",업무일지!$D$5:$D$1004,"교육",업무일지!$E$5:$E$1004,"외부 교육·세미나"))</f>
        <v/>
      </c>
      <c r="D14" s="129">
        <f>IF($A14="","",COUNTIFS(업무일지!$B$5:$B$1004,"&gt;="&amp;DATE($B$3,1,1),업무일지!$B$5:$B$1004,"&lt;"&amp;DATE($B$3+1,1,1),업무일지!$AA$5:$AA$1004,"*"&amp;$A14&amp;"*",업무일지!$D$5:$D$1004,"교육",업무일지!$E$5:$E$1004,"내부 직무교육"))</f>
        <v/>
      </c>
      <c r="E14" s="129">
        <f>IF($A14="","",COUNTIFS(업무일지!$B$5:$B$1004,"&gt;="&amp;DATE($B$3,1,1),업무일지!$B$5:$B$1004,"&lt;"&amp;DATE($B$3+1,1,1),업무일지!$AA$5:$AA$1004,"*"&amp;$A14&amp;"*",업무일지!$D$5:$D$1004,"교육",업무일지!$E$5:$E$1004,"자격·인증 과정"))</f>
        <v/>
      </c>
      <c r="F14" s="129">
        <f>IF($A14="","",COUNTIFS(업무일지!$B$5:$B$1004,"&gt;="&amp;DATE($B$3,1,1),업무일지!$B$5:$B$1004,"&lt;"&amp;DATE($B$3+1,1,1),업무일지!$AA$5:$AA$1004,"*"&amp;$A14&amp;"*",업무일지!$D$5:$D$1004,"교육",업무일지!$E$5:$E$1004,"워크숍·학회"))</f>
        <v/>
      </c>
      <c r="G14" s="129">
        <f>IF($A14="","",COUNTIFS(업무일지!$B$5:$B$1004,"&gt;="&amp;DATE($B$3,1,1),업무일지!$B$5:$B$1004,"&lt;"&amp;DATE($B$3+1,1,1),업무일지!$AA$5:$AA$1004,"*"&amp;$A14&amp;"*",업무일지!$D$5:$D$1004,"교육",업무일지!$E$5:$E$1004,"기타 교육"))</f>
        <v/>
      </c>
      <c r="H14" s="129">
        <f>IF($A14="","",COUNTIFS(업무일지!$B$5:$B$1004,"&gt;="&amp;DATE($B$3,1,1),업무일지!$B$5:$B$1004,"&lt;"&amp;DATE($B$3+1,1,1),업무일지!$AA$5:$AA$1004,"*"&amp;$A14&amp;"*",업무일지!$D$5:$D$1004,"교육"))</f>
        <v/>
      </c>
      <c r="I14" s="129">
        <f>IF($A14="","",COUNTIFS(일일실시사항!$B$5:$B$1004,"&gt;="&amp;DATE($B$3,1,1),일일실시사항!$B$5:$B$1004,"&lt;"&amp;DATE($B$3+1,1,1),일일실시사항!$D$5:$D$1004,$A14,일일실시사항!$F$5:$F$1004,"교육·훈련"))</f>
        <v/>
      </c>
      <c r="J14" s="118">
        <f>IF($A14="","",H14+I14)</f>
        <v/>
      </c>
      <c r="K14" s="130">
        <f>IF($A14="","",IF($J14&gt;=$D$3,"이수","미이수 ("&amp;MAX(0,$D$3-$J14)&amp;"회 부족)"))</f>
        <v/>
      </c>
    </row>
    <row r="15">
      <c r="A15" s="107">
        <f>IF(코드설정!$C13="","",코드설정!$C13)</f>
        <v/>
      </c>
      <c r="B15" s="136">
        <f>IF($A15="","",코드설정!$D13)</f>
        <v/>
      </c>
      <c r="C15" s="129">
        <f>IF($A15="","",COUNTIFS(업무일지!$B$5:$B$1004,"&gt;="&amp;DATE($B$3,1,1),업무일지!$B$5:$B$1004,"&lt;"&amp;DATE($B$3+1,1,1),업무일지!$AA$5:$AA$1004,"*"&amp;$A15&amp;"*",업무일지!$D$5:$D$1004,"교육",업무일지!$E$5:$E$1004,"외부 교육·세미나"))</f>
        <v/>
      </c>
      <c r="D15" s="129">
        <f>IF($A15="","",COUNTIFS(업무일지!$B$5:$B$1004,"&gt;="&amp;DATE($B$3,1,1),업무일지!$B$5:$B$1004,"&lt;"&amp;DATE($B$3+1,1,1),업무일지!$AA$5:$AA$1004,"*"&amp;$A15&amp;"*",업무일지!$D$5:$D$1004,"교육",업무일지!$E$5:$E$1004,"내부 직무교육"))</f>
        <v/>
      </c>
      <c r="E15" s="129">
        <f>IF($A15="","",COUNTIFS(업무일지!$B$5:$B$1004,"&gt;="&amp;DATE($B$3,1,1),업무일지!$B$5:$B$1004,"&lt;"&amp;DATE($B$3+1,1,1),업무일지!$AA$5:$AA$1004,"*"&amp;$A15&amp;"*",업무일지!$D$5:$D$1004,"교육",업무일지!$E$5:$E$1004,"자격·인증 과정"))</f>
        <v/>
      </c>
      <c r="F15" s="129">
        <f>IF($A15="","",COUNTIFS(업무일지!$B$5:$B$1004,"&gt;="&amp;DATE($B$3,1,1),업무일지!$B$5:$B$1004,"&lt;"&amp;DATE($B$3+1,1,1),업무일지!$AA$5:$AA$1004,"*"&amp;$A15&amp;"*",업무일지!$D$5:$D$1004,"교육",업무일지!$E$5:$E$1004,"워크숍·학회"))</f>
        <v/>
      </c>
      <c r="G15" s="129">
        <f>IF($A15="","",COUNTIFS(업무일지!$B$5:$B$1004,"&gt;="&amp;DATE($B$3,1,1),업무일지!$B$5:$B$1004,"&lt;"&amp;DATE($B$3+1,1,1),업무일지!$AA$5:$AA$1004,"*"&amp;$A15&amp;"*",업무일지!$D$5:$D$1004,"교육",업무일지!$E$5:$E$1004,"기타 교육"))</f>
        <v/>
      </c>
      <c r="H15" s="129">
        <f>IF($A15="","",COUNTIFS(업무일지!$B$5:$B$1004,"&gt;="&amp;DATE($B$3,1,1),업무일지!$B$5:$B$1004,"&lt;"&amp;DATE($B$3+1,1,1),업무일지!$AA$5:$AA$1004,"*"&amp;$A15&amp;"*",업무일지!$D$5:$D$1004,"교육"))</f>
        <v/>
      </c>
      <c r="I15" s="129">
        <f>IF($A15="","",COUNTIFS(일일실시사항!$B$5:$B$1004,"&gt;="&amp;DATE($B$3,1,1),일일실시사항!$B$5:$B$1004,"&lt;"&amp;DATE($B$3+1,1,1),일일실시사항!$D$5:$D$1004,$A15,일일실시사항!$F$5:$F$1004,"교육·훈련"))</f>
        <v/>
      </c>
      <c r="J15" s="118">
        <f>IF($A15="","",H15+I15)</f>
        <v/>
      </c>
      <c r="K15" s="130">
        <f>IF($A15="","",IF($J15&gt;=$D$3,"이수","미이수 ("&amp;MAX(0,$D$3-$J15)&amp;"회 부족)"))</f>
        <v/>
      </c>
    </row>
    <row r="16">
      <c r="A16" s="107">
        <f>IF(코드설정!$C14="","",코드설정!$C14)</f>
        <v/>
      </c>
      <c r="B16" s="136">
        <f>IF($A16="","",코드설정!$D14)</f>
        <v/>
      </c>
      <c r="C16" s="129">
        <f>IF($A16="","",COUNTIFS(업무일지!$B$5:$B$1004,"&gt;="&amp;DATE($B$3,1,1),업무일지!$B$5:$B$1004,"&lt;"&amp;DATE($B$3+1,1,1),업무일지!$AA$5:$AA$1004,"*"&amp;$A16&amp;"*",업무일지!$D$5:$D$1004,"교육",업무일지!$E$5:$E$1004,"외부 교육·세미나"))</f>
        <v/>
      </c>
      <c r="D16" s="129">
        <f>IF($A16="","",COUNTIFS(업무일지!$B$5:$B$1004,"&gt;="&amp;DATE($B$3,1,1),업무일지!$B$5:$B$1004,"&lt;"&amp;DATE($B$3+1,1,1),업무일지!$AA$5:$AA$1004,"*"&amp;$A16&amp;"*",업무일지!$D$5:$D$1004,"교육",업무일지!$E$5:$E$1004,"내부 직무교육"))</f>
        <v/>
      </c>
      <c r="E16" s="129">
        <f>IF($A16="","",COUNTIFS(업무일지!$B$5:$B$1004,"&gt;="&amp;DATE($B$3,1,1),업무일지!$B$5:$B$1004,"&lt;"&amp;DATE($B$3+1,1,1),업무일지!$AA$5:$AA$1004,"*"&amp;$A16&amp;"*",업무일지!$D$5:$D$1004,"교육",업무일지!$E$5:$E$1004,"자격·인증 과정"))</f>
        <v/>
      </c>
      <c r="F16" s="129">
        <f>IF($A16="","",COUNTIFS(업무일지!$B$5:$B$1004,"&gt;="&amp;DATE($B$3,1,1),업무일지!$B$5:$B$1004,"&lt;"&amp;DATE($B$3+1,1,1),업무일지!$AA$5:$AA$1004,"*"&amp;$A16&amp;"*",업무일지!$D$5:$D$1004,"교육",업무일지!$E$5:$E$1004,"워크숍·학회"))</f>
        <v/>
      </c>
      <c r="G16" s="129">
        <f>IF($A16="","",COUNTIFS(업무일지!$B$5:$B$1004,"&gt;="&amp;DATE($B$3,1,1),업무일지!$B$5:$B$1004,"&lt;"&amp;DATE($B$3+1,1,1),업무일지!$AA$5:$AA$1004,"*"&amp;$A16&amp;"*",업무일지!$D$5:$D$1004,"교육",업무일지!$E$5:$E$1004,"기타 교육"))</f>
        <v/>
      </c>
      <c r="H16" s="129">
        <f>IF($A16="","",COUNTIFS(업무일지!$B$5:$B$1004,"&gt;="&amp;DATE($B$3,1,1),업무일지!$B$5:$B$1004,"&lt;"&amp;DATE($B$3+1,1,1),업무일지!$AA$5:$AA$1004,"*"&amp;$A16&amp;"*",업무일지!$D$5:$D$1004,"교육"))</f>
        <v/>
      </c>
      <c r="I16" s="129">
        <f>IF($A16="","",COUNTIFS(일일실시사항!$B$5:$B$1004,"&gt;="&amp;DATE($B$3,1,1),일일실시사항!$B$5:$B$1004,"&lt;"&amp;DATE($B$3+1,1,1),일일실시사항!$D$5:$D$1004,$A16,일일실시사항!$F$5:$F$1004,"교육·훈련"))</f>
        <v/>
      </c>
      <c r="J16" s="118">
        <f>IF($A16="","",H16+I16)</f>
        <v/>
      </c>
      <c r="K16" s="130">
        <f>IF($A16="","",IF($J16&gt;=$D$3,"이수","미이수 ("&amp;MAX(0,$D$3-$J16)&amp;"회 부족)"))</f>
        <v/>
      </c>
    </row>
    <row r="17">
      <c r="A17" s="107">
        <f>IF(코드설정!$C15="","",코드설정!$C15)</f>
        <v/>
      </c>
      <c r="B17" s="136">
        <f>IF($A17="","",코드설정!$D15)</f>
        <v/>
      </c>
      <c r="C17" s="129">
        <f>IF($A17="","",COUNTIFS(업무일지!$B$5:$B$1004,"&gt;="&amp;DATE($B$3,1,1),업무일지!$B$5:$B$1004,"&lt;"&amp;DATE($B$3+1,1,1),업무일지!$AA$5:$AA$1004,"*"&amp;$A17&amp;"*",업무일지!$D$5:$D$1004,"교육",업무일지!$E$5:$E$1004,"외부 교육·세미나"))</f>
        <v/>
      </c>
      <c r="D17" s="129">
        <f>IF($A17="","",COUNTIFS(업무일지!$B$5:$B$1004,"&gt;="&amp;DATE($B$3,1,1),업무일지!$B$5:$B$1004,"&lt;"&amp;DATE($B$3+1,1,1),업무일지!$AA$5:$AA$1004,"*"&amp;$A17&amp;"*",업무일지!$D$5:$D$1004,"교육",업무일지!$E$5:$E$1004,"내부 직무교육"))</f>
        <v/>
      </c>
      <c r="E17" s="129">
        <f>IF($A17="","",COUNTIFS(업무일지!$B$5:$B$1004,"&gt;="&amp;DATE($B$3,1,1),업무일지!$B$5:$B$1004,"&lt;"&amp;DATE($B$3+1,1,1),업무일지!$AA$5:$AA$1004,"*"&amp;$A17&amp;"*",업무일지!$D$5:$D$1004,"교육",업무일지!$E$5:$E$1004,"자격·인증 과정"))</f>
        <v/>
      </c>
      <c r="F17" s="129">
        <f>IF($A17="","",COUNTIFS(업무일지!$B$5:$B$1004,"&gt;="&amp;DATE($B$3,1,1),업무일지!$B$5:$B$1004,"&lt;"&amp;DATE($B$3+1,1,1),업무일지!$AA$5:$AA$1004,"*"&amp;$A17&amp;"*",업무일지!$D$5:$D$1004,"교육",업무일지!$E$5:$E$1004,"워크숍·학회"))</f>
        <v/>
      </c>
      <c r="G17" s="129">
        <f>IF($A17="","",COUNTIFS(업무일지!$B$5:$B$1004,"&gt;="&amp;DATE($B$3,1,1),업무일지!$B$5:$B$1004,"&lt;"&amp;DATE($B$3+1,1,1),업무일지!$AA$5:$AA$1004,"*"&amp;$A17&amp;"*",업무일지!$D$5:$D$1004,"교육",업무일지!$E$5:$E$1004,"기타 교육"))</f>
        <v/>
      </c>
      <c r="H17" s="129">
        <f>IF($A17="","",COUNTIFS(업무일지!$B$5:$B$1004,"&gt;="&amp;DATE($B$3,1,1),업무일지!$B$5:$B$1004,"&lt;"&amp;DATE($B$3+1,1,1),업무일지!$AA$5:$AA$1004,"*"&amp;$A17&amp;"*",업무일지!$D$5:$D$1004,"교육"))</f>
        <v/>
      </c>
      <c r="I17" s="129">
        <f>IF($A17="","",COUNTIFS(일일실시사항!$B$5:$B$1004,"&gt;="&amp;DATE($B$3,1,1),일일실시사항!$B$5:$B$1004,"&lt;"&amp;DATE($B$3+1,1,1),일일실시사항!$D$5:$D$1004,$A17,일일실시사항!$F$5:$F$1004,"교육·훈련"))</f>
        <v/>
      </c>
      <c r="J17" s="118">
        <f>IF($A17="","",H17+I17)</f>
        <v/>
      </c>
      <c r="K17" s="130">
        <f>IF($A17="","",IF($J17&gt;=$D$3,"이수","미이수 ("&amp;MAX(0,$D$3-$J17)&amp;"회 부족)"))</f>
        <v/>
      </c>
    </row>
    <row r="18">
      <c r="A18" s="107">
        <f>IF(코드설정!$C16="","",코드설정!$C16)</f>
        <v/>
      </c>
      <c r="B18" s="136">
        <f>IF($A18="","",코드설정!$D16)</f>
        <v/>
      </c>
      <c r="C18" s="129">
        <f>IF($A18="","",COUNTIFS(업무일지!$B$5:$B$1004,"&gt;="&amp;DATE($B$3,1,1),업무일지!$B$5:$B$1004,"&lt;"&amp;DATE($B$3+1,1,1),업무일지!$AA$5:$AA$1004,"*"&amp;$A18&amp;"*",업무일지!$D$5:$D$1004,"교육",업무일지!$E$5:$E$1004,"외부 교육·세미나"))</f>
        <v/>
      </c>
      <c r="D18" s="129">
        <f>IF($A18="","",COUNTIFS(업무일지!$B$5:$B$1004,"&gt;="&amp;DATE($B$3,1,1),업무일지!$B$5:$B$1004,"&lt;"&amp;DATE($B$3+1,1,1),업무일지!$AA$5:$AA$1004,"*"&amp;$A18&amp;"*",업무일지!$D$5:$D$1004,"교육",업무일지!$E$5:$E$1004,"내부 직무교육"))</f>
        <v/>
      </c>
      <c r="E18" s="129">
        <f>IF($A18="","",COUNTIFS(업무일지!$B$5:$B$1004,"&gt;="&amp;DATE($B$3,1,1),업무일지!$B$5:$B$1004,"&lt;"&amp;DATE($B$3+1,1,1),업무일지!$AA$5:$AA$1004,"*"&amp;$A18&amp;"*",업무일지!$D$5:$D$1004,"교육",업무일지!$E$5:$E$1004,"자격·인증 과정"))</f>
        <v/>
      </c>
      <c r="F18" s="129">
        <f>IF($A18="","",COUNTIFS(업무일지!$B$5:$B$1004,"&gt;="&amp;DATE($B$3,1,1),업무일지!$B$5:$B$1004,"&lt;"&amp;DATE($B$3+1,1,1),업무일지!$AA$5:$AA$1004,"*"&amp;$A18&amp;"*",업무일지!$D$5:$D$1004,"교육",업무일지!$E$5:$E$1004,"워크숍·학회"))</f>
        <v/>
      </c>
      <c r="G18" s="129">
        <f>IF($A18="","",COUNTIFS(업무일지!$B$5:$B$1004,"&gt;="&amp;DATE($B$3,1,1),업무일지!$B$5:$B$1004,"&lt;"&amp;DATE($B$3+1,1,1),업무일지!$AA$5:$AA$1004,"*"&amp;$A18&amp;"*",업무일지!$D$5:$D$1004,"교육",업무일지!$E$5:$E$1004,"기타 교육"))</f>
        <v/>
      </c>
      <c r="H18" s="129">
        <f>IF($A18="","",COUNTIFS(업무일지!$B$5:$B$1004,"&gt;="&amp;DATE($B$3,1,1),업무일지!$B$5:$B$1004,"&lt;"&amp;DATE($B$3+1,1,1),업무일지!$AA$5:$AA$1004,"*"&amp;$A18&amp;"*",업무일지!$D$5:$D$1004,"교육"))</f>
        <v/>
      </c>
      <c r="I18" s="129">
        <f>IF($A18="","",COUNTIFS(일일실시사항!$B$5:$B$1004,"&gt;="&amp;DATE($B$3,1,1),일일실시사항!$B$5:$B$1004,"&lt;"&amp;DATE($B$3+1,1,1),일일실시사항!$D$5:$D$1004,$A18,일일실시사항!$F$5:$F$1004,"교육·훈련"))</f>
        <v/>
      </c>
      <c r="J18" s="118">
        <f>IF($A18="","",H18+I18)</f>
        <v/>
      </c>
      <c r="K18" s="130">
        <f>IF($A18="","",IF($J18&gt;=$D$3,"이수","미이수 ("&amp;MAX(0,$D$3-$J18)&amp;"회 부족)"))</f>
        <v/>
      </c>
    </row>
    <row r="19">
      <c r="A19" s="107">
        <f>IF(코드설정!$C17="","",코드설정!$C17)</f>
        <v/>
      </c>
      <c r="B19" s="136">
        <f>IF($A19="","",코드설정!$D17)</f>
        <v/>
      </c>
      <c r="C19" s="129">
        <f>IF($A19="","",COUNTIFS(업무일지!$B$5:$B$1004,"&gt;="&amp;DATE($B$3,1,1),업무일지!$B$5:$B$1004,"&lt;"&amp;DATE($B$3+1,1,1),업무일지!$AA$5:$AA$1004,"*"&amp;$A19&amp;"*",업무일지!$D$5:$D$1004,"교육",업무일지!$E$5:$E$1004,"외부 교육·세미나"))</f>
        <v/>
      </c>
      <c r="D19" s="129">
        <f>IF($A19="","",COUNTIFS(업무일지!$B$5:$B$1004,"&gt;="&amp;DATE($B$3,1,1),업무일지!$B$5:$B$1004,"&lt;"&amp;DATE($B$3+1,1,1),업무일지!$AA$5:$AA$1004,"*"&amp;$A19&amp;"*",업무일지!$D$5:$D$1004,"교육",업무일지!$E$5:$E$1004,"내부 직무교육"))</f>
        <v/>
      </c>
      <c r="E19" s="129">
        <f>IF($A19="","",COUNTIFS(업무일지!$B$5:$B$1004,"&gt;="&amp;DATE($B$3,1,1),업무일지!$B$5:$B$1004,"&lt;"&amp;DATE($B$3+1,1,1),업무일지!$AA$5:$AA$1004,"*"&amp;$A19&amp;"*",업무일지!$D$5:$D$1004,"교육",업무일지!$E$5:$E$1004,"자격·인증 과정"))</f>
        <v/>
      </c>
      <c r="F19" s="129">
        <f>IF($A19="","",COUNTIFS(업무일지!$B$5:$B$1004,"&gt;="&amp;DATE($B$3,1,1),업무일지!$B$5:$B$1004,"&lt;"&amp;DATE($B$3+1,1,1),업무일지!$AA$5:$AA$1004,"*"&amp;$A19&amp;"*",업무일지!$D$5:$D$1004,"교육",업무일지!$E$5:$E$1004,"워크숍·학회"))</f>
        <v/>
      </c>
      <c r="G19" s="129">
        <f>IF($A19="","",COUNTIFS(업무일지!$B$5:$B$1004,"&gt;="&amp;DATE($B$3,1,1),업무일지!$B$5:$B$1004,"&lt;"&amp;DATE($B$3+1,1,1),업무일지!$AA$5:$AA$1004,"*"&amp;$A19&amp;"*",업무일지!$D$5:$D$1004,"교육",업무일지!$E$5:$E$1004,"기타 교육"))</f>
        <v/>
      </c>
      <c r="H19" s="129">
        <f>IF($A19="","",COUNTIFS(업무일지!$B$5:$B$1004,"&gt;="&amp;DATE($B$3,1,1),업무일지!$B$5:$B$1004,"&lt;"&amp;DATE($B$3+1,1,1),업무일지!$AA$5:$AA$1004,"*"&amp;$A19&amp;"*",업무일지!$D$5:$D$1004,"교육"))</f>
        <v/>
      </c>
      <c r="I19" s="129">
        <f>IF($A19="","",COUNTIFS(일일실시사항!$B$5:$B$1004,"&gt;="&amp;DATE($B$3,1,1),일일실시사항!$B$5:$B$1004,"&lt;"&amp;DATE($B$3+1,1,1),일일실시사항!$D$5:$D$1004,$A19,일일실시사항!$F$5:$F$1004,"교육·훈련"))</f>
        <v/>
      </c>
      <c r="J19" s="118">
        <f>IF($A19="","",H19+I19)</f>
        <v/>
      </c>
      <c r="K19" s="130">
        <f>IF($A19="","",IF($J19&gt;=$D$3,"이수","미이수 ("&amp;MAX(0,$D$3-$J19)&amp;"회 부족)"))</f>
        <v/>
      </c>
    </row>
    <row r="20">
      <c r="A20" s="107">
        <f>IF(코드설정!$C18="","",코드설정!$C18)</f>
        <v/>
      </c>
      <c r="B20" s="136">
        <f>IF($A20="","",코드설정!$D18)</f>
        <v/>
      </c>
      <c r="C20" s="129">
        <f>IF($A20="","",COUNTIFS(업무일지!$B$5:$B$1004,"&gt;="&amp;DATE($B$3,1,1),업무일지!$B$5:$B$1004,"&lt;"&amp;DATE($B$3+1,1,1),업무일지!$AA$5:$AA$1004,"*"&amp;$A20&amp;"*",업무일지!$D$5:$D$1004,"교육",업무일지!$E$5:$E$1004,"외부 교육·세미나"))</f>
        <v/>
      </c>
      <c r="D20" s="129">
        <f>IF($A20="","",COUNTIFS(업무일지!$B$5:$B$1004,"&gt;="&amp;DATE($B$3,1,1),업무일지!$B$5:$B$1004,"&lt;"&amp;DATE($B$3+1,1,1),업무일지!$AA$5:$AA$1004,"*"&amp;$A20&amp;"*",업무일지!$D$5:$D$1004,"교육",업무일지!$E$5:$E$1004,"내부 직무교육"))</f>
        <v/>
      </c>
      <c r="E20" s="129">
        <f>IF($A20="","",COUNTIFS(업무일지!$B$5:$B$1004,"&gt;="&amp;DATE($B$3,1,1),업무일지!$B$5:$B$1004,"&lt;"&amp;DATE($B$3+1,1,1),업무일지!$AA$5:$AA$1004,"*"&amp;$A20&amp;"*",업무일지!$D$5:$D$1004,"교육",업무일지!$E$5:$E$1004,"자격·인증 과정"))</f>
        <v/>
      </c>
      <c r="F20" s="129">
        <f>IF($A20="","",COUNTIFS(업무일지!$B$5:$B$1004,"&gt;="&amp;DATE($B$3,1,1),업무일지!$B$5:$B$1004,"&lt;"&amp;DATE($B$3+1,1,1),업무일지!$AA$5:$AA$1004,"*"&amp;$A20&amp;"*",업무일지!$D$5:$D$1004,"교육",업무일지!$E$5:$E$1004,"워크숍·학회"))</f>
        <v/>
      </c>
      <c r="G20" s="129">
        <f>IF($A20="","",COUNTIFS(업무일지!$B$5:$B$1004,"&gt;="&amp;DATE($B$3,1,1),업무일지!$B$5:$B$1004,"&lt;"&amp;DATE($B$3+1,1,1),업무일지!$AA$5:$AA$1004,"*"&amp;$A20&amp;"*",업무일지!$D$5:$D$1004,"교육",업무일지!$E$5:$E$1004,"기타 교육"))</f>
        <v/>
      </c>
      <c r="H20" s="129">
        <f>IF($A20="","",COUNTIFS(업무일지!$B$5:$B$1004,"&gt;="&amp;DATE($B$3,1,1),업무일지!$B$5:$B$1004,"&lt;"&amp;DATE($B$3+1,1,1),업무일지!$AA$5:$AA$1004,"*"&amp;$A20&amp;"*",업무일지!$D$5:$D$1004,"교육"))</f>
        <v/>
      </c>
      <c r="I20" s="129">
        <f>IF($A20="","",COUNTIFS(일일실시사항!$B$5:$B$1004,"&gt;="&amp;DATE($B$3,1,1),일일실시사항!$B$5:$B$1004,"&lt;"&amp;DATE($B$3+1,1,1),일일실시사항!$D$5:$D$1004,$A20,일일실시사항!$F$5:$F$1004,"교육·훈련"))</f>
        <v/>
      </c>
      <c r="J20" s="118">
        <f>IF($A20="","",H20+I20)</f>
        <v/>
      </c>
      <c r="K20" s="130">
        <f>IF($A20="","",IF($J20&gt;=$D$3,"이수","미이수 ("&amp;MAX(0,$D$3-$J20)&amp;"회 부족)"))</f>
        <v/>
      </c>
    </row>
    <row r="21">
      <c r="A21" s="107">
        <f>IF(코드설정!$C19="","",코드설정!$C19)</f>
        <v/>
      </c>
      <c r="B21" s="136">
        <f>IF($A21="","",코드설정!$D19)</f>
        <v/>
      </c>
      <c r="C21" s="129">
        <f>IF($A21="","",COUNTIFS(업무일지!$B$5:$B$1004,"&gt;="&amp;DATE($B$3,1,1),업무일지!$B$5:$B$1004,"&lt;"&amp;DATE($B$3+1,1,1),업무일지!$AA$5:$AA$1004,"*"&amp;$A21&amp;"*",업무일지!$D$5:$D$1004,"교육",업무일지!$E$5:$E$1004,"외부 교육·세미나"))</f>
        <v/>
      </c>
      <c r="D21" s="129">
        <f>IF($A21="","",COUNTIFS(업무일지!$B$5:$B$1004,"&gt;="&amp;DATE($B$3,1,1),업무일지!$B$5:$B$1004,"&lt;"&amp;DATE($B$3+1,1,1),업무일지!$AA$5:$AA$1004,"*"&amp;$A21&amp;"*",업무일지!$D$5:$D$1004,"교육",업무일지!$E$5:$E$1004,"내부 직무교육"))</f>
        <v/>
      </c>
      <c r="E21" s="129">
        <f>IF($A21="","",COUNTIFS(업무일지!$B$5:$B$1004,"&gt;="&amp;DATE($B$3,1,1),업무일지!$B$5:$B$1004,"&lt;"&amp;DATE($B$3+1,1,1),업무일지!$AA$5:$AA$1004,"*"&amp;$A21&amp;"*",업무일지!$D$5:$D$1004,"교육",업무일지!$E$5:$E$1004,"자격·인증 과정"))</f>
        <v/>
      </c>
      <c r="F21" s="129">
        <f>IF($A21="","",COUNTIFS(업무일지!$B$5:$B$1004,"&gt;="&amp;DATE($B$3,1,1),업무일지!$B$5:$B$1004,"&lt;"&amp;DATE($B$3+1,1,1),업무일지!$AA$5:$AA$1004,"*"&amp;$A21&amp;"*",업무일지!$D$5:$D$1004,"교육",업무일지!$E$5:$E$1004,"워크숍·학회"))</f>
        <v/>
      </c>
      <c r="G21" s="129">
        <f>IF($A21="","",COUNTIFS(업무일지!$B$5:$B$1004,"&gt;="&amp;DATE($B$3,1,1),업무일지!$B$5:$B$1004,"&lt;"&amp;DATE($B$3+1,1,1),업무일지!$AA$5:$AA$1004,"*"&amp;$A21&amp;"*",업무일지!$D$5:$D$1004,"교육",업무일지!$E$5:$E$1004,"기타 교육"))</f>
        <v/>
      </c>
      <c r="H21" s="129">
        <f>IF($A21="","",COUNTIFS(업무일지!$B$5:$B$1004,"&gt;="&amp;DATE($B$3,1,1),업무일지!$B$5:$B$1004,"&lt;"&amp;DATE($B$3+1,1,1),업무일지!$AA$5:$AA$1004,"*"&amp;$A21&amp;"*",업무일지!$D$5:$D$1004,"교육"))</f>
        <v/>
      </c>
      <c r="I21" s="129">
        <f>IF($A21="","",COUNTIFS(일일실시사항!$B$5:$B$1004,"&gt;="&amp;DATE($B$3,1,1),일일실시사항!$B$5:$B$1004,"&lt;"&amp;DATE($B$3+1,1,1),일일실시사항!$D$5:$D$1004,$A21,일일실시사항!$F$5:$F$1004,"교육·훈련"))</f>
        <v/>
      </c>
      <c r="J21" s="118">
        <f>IF($A21="","",H21+I21)</f>
        <v/>
      </c>
      <c r="K21" s="130">
        <f>IF($A21="","",IF($J21&gt;=$D$3,"이수","미이수 ("&amp;MAX(0,$D$3-$J21)&amp;"회 부족)"))</f>
        <v/>
      </c>
    </row>
    <row r="22">
      <c r="A22" s="107">
        <f>IF(코드설정!$C20="","",코드설정!$C20)</f>
        <v/>
      </c>
      <c r="B22" s="136">
        <f>IF($A22="","",코드설정!$D20)</f>
        <v/>
      </c>
      <c r="C22" s="129">
        <f>IF($A22="","",COUNTIFS(업무일지!$B$5:$B$1004,"&gt;="&amp;DATE($B$3,1,1),업무일지!$B$5:$B$1004,"&lt;"&amp;DATE($B$3+1,1,1),업무일지!$AA$5:$AA$1004,"*"&amp;$A22&amp;"*",업무일지!$D$5:$D$1004,"교육",업무일지!$E$5:$E$1004,"외부 교육·세미나"))</f>
        <v/>
      </c>
      <c r="D22" s="129">
        <f>IF($A22="","",COUNTIFS(업무일지!$B$5:$B$1004,"&gt;="&amp;DATE($B$3,1,1),업무일지!$B$5:$B$1004,"&lt;"&amp;DATE($B$3+1,1,1),업무일지!$AA$5:$AA$1004,"*"&amp;$A22&amp;"*",업무일지!$D$5:$D$1004,"교육",업무일지!$E$5:$E$1004,"내부 직무교육"))</f>
        <v/>
      </c>
      <c r="E22" s="129">
        <f>IF($A22="","",COUNTIFS(업무일지!$B$5:$B$1004,"&gt;="&amp;DATE($B$3,1,1),업무일지!$B$5:$B$1004,"&lt;"&amp;DATE($B$3+1,1,1),업무일지!$AA$5:$AA$1004,"*"&amp;$A22&amp;"*",업무일지!$D$5:$D$1004,"교육",업무일지!$E$5:$E$1004,"자격·인증 과정"))</f>
        <v/>
      </c>
      <c r="F22" s="129">
        <f>IF($A22="","",COUNTIFS(업무일지!$B$5:$B$1004,"&gt;="&amp;DATE($B$3,1,1),업무일지!$B$5:$B$1004,"&lt;"&amp;DATE($B$3+1,1,1),업무일지!$AA$5:$AA$1004,"*"&amp;$A22&amp;"*",업무일지!$D$5:$D$1004,"교육",업무일지!$E$5:$E$1004,"워크숍·학회"))</f>
        <v/>
      </c>
      <c r="G22" s="129">
        <f>IF($A22="","",COUNTIFS(업무일지!$B$5:$B$1004,"&gt;="&amp;DATE($B$3,1,1),업무일지!$B$5:$B$1004,"&lt;"&amp;DATE($B$3+1,1,1),업무일지!$AA$5:$AA$1004,"*"&amp;$A22&amp;"*",업무일지!$D$5:$D$1004,"교육",업무일지!$E$5:$E$1004,"기타 교육"))</f>
        <v/>
      </c>
      <c r="H22" s="129">
        <f>IF($A22="","",COUNTIFS(업무일지!$B$5:$B$1004,"&gt;="&amp;DATE($B$3,1,1),업무일지!$B$5:$B$1004,"&lt;"&amp;DATE($B$3+1,1,1),업무일지!$AA$5:$AA$1004,"*"&amp;$A22&amp;"*",업무일지!$D$5:$D$1004,"교육"))</f>
        <v/>
      </c>
      <c r="I22" s="129">
        <f>IF($A22="","",COUNTIFS(일일실시사항!$B$5:$B$1004,"&gt;="&amp;DATE($B$3,1,1),일일실시사항!$B$5:$B$1004,"&lt;"&amp;DATE($B$3+1,1,1),일일실시사항!$D$5:$D$1004,$A22,일일실시사항!$F$5:$F$1004,"교육·훈련"))</f>
        <v/>
      </c>
      <c r="J22" s="118">
        <f>IF($A22="","",H22+I22)</f>
        <v/>
      </c>
      <c r="K22" s="130">
        <f>IF($A22="","",IF($J22&gt;=$D$3,"이수","미이수 ("&amp;MAX(0,$D$3-$J22)&amp;"회 부족)"))</f>
        <v/>
      </c>
    </row>
    <row r="23">
      <c r="A23" s="107">
        <f>IF(코드설정!$C21="","",코드설정!$C21)</f>
        <v/>
      </c>
      <c r="B23" s="136">
        <f>IF($A23="","",코드설정!$D21)</f>
        <v/>
      </c>
      <c r="C23" s="129">
        <f>IF($A23="","",COUNTIFS(업무일지!$B$5:$B$1004,"&gt;="&amp;DATE($B$3,1,1),업무일지!$B$5:$B$1004,"&lt;"&amp;DATE($B$3+1,1,1),업무일지!$AA$5:$AA$1004,"*"&amp;$A23&amp;"*",업무일지!$D$5:$D$1004,"교육",업무일지!$E$5:$E$1004,"외부 교육·세미나"))</f>
        <v/>
      </c>
      <c r="D23" s="129">
        <f>IF($A23="","",COUNTIFS(업무일지!$B$5:$B$1004,"&gt;="&amp;DATE($B$3,1,1),업무일지!$B$5:$B$1004,"&lt;"&amp;DATE($B$3+1,1,1),업무일지!$AA$5:$AA$1004,"*"&amp;$A23&amp;"*",업무일지!$D$5:$D$1004,"교육",업무일지!$E$5:$E$1004,"내부 직무교육"))</f>
        <v/>
      </c>
      <c r="E23" s="129">
        <f>IF($A23="","",COUNTIFS(업무일지!$B$5:$B$1004,"&gt;="&amp;DATE($B$3,1,1),업무일지!$B$5:$B$1004,"&lt;"&amp;DATE($B$3+1,1,1),업무일지!$AA$5:$AA$1004,"*"&amp;$A23&amp;"*",업무일지!$D$5:$D$1004,"교육",업무일지!$E$5:$E$1004,"자격·인증 과정"))</f>
        <v/>
      </c>
      <c r="F23" s="129">
        <f>IF($A23="","",COUNTIFS(업무일지!$B$5:$B$1004,"&gt;="&amp;DATE($B$3,1,1),업무일지!$B$5:$B$1004,"&lt;"&amp;DATE($B$3+1,1,1),업무일지!$AA$5:$AA$1004,"*"&amp;$A23&amp;"*",업무일지!$D$5:$D$1004,"교육",업무일지!$E$5:$E$1004,"워크숍·학회"))</f>
        <v/>
      </c>
      <c r="G23" s="129">
        <f>IF($A23="","",COUNTIFS(업무일지!$B$5:$B$1004,"&gt;="&amp;DATE($B$3,1,1),업무일지!$B$5:$B$1004,"&lt;"&amp;DATE($B$3+1,1,1),업무일지!$AA$5:$AA$1004,"*"&amp;$A23&amp;"*",업무일지!$D$5:$D$1004,"교육",업무일지!$E$5:$E$1004,"기타 교육"))</f>
        <v/>
      </c>
      <c r="H23" s="129">
        <f>IF($A23="","",COUNTIFS(업무일지!$B$5:$B$1004,"&gt;="&amp;DATE($B$3,1,1),업무일지!$B$5:$B$1004,"&lt;"&amp;DATE($B$3+1,1,1),업무일지!$AA$5:$AA$1004,"*"&amp;$A23&amp;"*",업무일지!$D$5:$D$1004,"교육"))</f>
        <v/>
      </c>
      <c r="I23" s="129">
        <f>IF($A23="","",COUNTIFS(일일실시사항!$B$5:$B$1004,"&gt;="&amp;DATE($B$3,1,1),일일실시사항!$B$5:$B$1004,"&lt;"&amp;DATE($B$3+1,1,1),일일실시사항!$D$5:$D$1004,$A23,일일실시사항!$F$5:$F$1004,"교육·훈련"))</f>
        <v/>
      </c>
      <c r="J23" s="118">
        <f>IF($A23="","",H23+I23)</f>
        <v/>
      </c>
      <c r="K23" s="130">
        <f>IF($A23="","",IF($J23&gt;=$D$3,"이수","미이수 ("&amp;MAX(0,$D$3-$J23)&amp;"회 부족)"))</f>
        <v/>
      </c>
    </row>
    <row r="24">
      <c r="A24" s="107">
        <f>IF(코드설정!$C22="","",코드설정!$C22)</f>
        <v/>
      </c>
      <c r="B24" s="136">
        <f>IF($A24="","",코드설정!$D22)</f>
        <v/>
      </c>
      <c r="C24" s="129">
        <f>IF($A24="","",COUNTIFS(업무일지!$B$5:$B$1004,"&gt;="&amp;DATE($B$3,1,1),업무일지!$B$5:$B$1004,"&lt;"&amp;DATE($B$3+1,1,1),업무일지!$AA$5:$AA$1004,"*"&amp;$A24&amp;"*",업무일지!$D$5:$D$1004,"교육",업무일지!$E$5:$E$1004,"외부 교육·세미나"))</f>
        <v/>
      </c>
      <c r="D24" s="129">
        <f>IF($A24="","",COUNTIFS(업무일지!$B$5:$B$1004,"&gt;="&amp;DATE($B$3,1,1),업무일지!$B$5:$B$1004,"&lt;"&amp;DATE($B$3+1,1,1),업무일지!$AA$5:$AA$1004,"*"&amp;$A24&amp;"*",업무일지!$D$5:$D$1004,"교육",업무일지!$E$5:$E$1004,"내부 직무교육"))</f>
        <v/>
      </c>
      <c r="E24" s="129">
        <f>IF($A24="","",COUNTIFS(업무일지!$B$5:$B$1004,"&gt;="&amp;DATE($B$3,1,1),업무일지!$B$5:$B$1004,"&lt;"&amp;DATE($B$3+1,1,1),업무일지!$AA$5:$AA$1004,"*"&amp;$A24&amp;"*",업무일지!$D$5:$D$1004,"교육",업무일지!$E$5:$E$1004,"자격·인증 과정"))</f>
        <v/>
      </c>
      <c r="F24" s="129">
        <f>IF($A24="","",COUNTIFS(업무일지!$B$5:$B$1004,"&gt;="&amp;DATE($B$3,1,1),업무일지!$B$5:$B$1004,"&lt;"&amp;DATE($B$3+1,1,1),업무일지!$AA$5:$AA$1004,"*"&amp;$A24&amp;"*",업무일지!$D$5:$D$1004,"교육",업무일지!$E$5:$E$1004,"워크숍·학회"))</f>
        <v/>
      </c>
      <c r="G24" s="129">
        <f>IF($A24="","",COUNTIFS(업무일지!$B$5:$B$1004,"&gt;="&amp;DATE($B$3,1,1),업무일지!$B$5:$B$1004,"&lt;"&amp;DATE($B$3+1,1,1),업무일지!$AA$5:$AA$1004,"*"&amp;$A24&amp;"*",업무일지!$D$5:$D$1004,"교육",업무일지!$E$5:$E$1004,"기타 교육"))</f>
        <v/>
      </c>
      <c r="H24" s="129">
        <f>IF($A24="","",COUNTIFS(업무일지!$B$5:$B$1004,"&gt;="&amp;DATE($B$3,1,1),업무일지!$B$5:$B$1004,"&lt;"&amp;DATE($B$3+1,1,1),업무일지!$AA$5:$AA$1004,"*"&amp;$A24&amp;"*",업무일지!$D$5:$D$1004,"교육"))</f>
        <v/>
      </c>
      <c r="I24" s="129">
        <f>IF($A24="","",COUNTIFS(일일실시사항!$B$5:$B$1004,"&gt;="&amp;DATE($B$3,1,1),일일실시사항!$B$5:$B$1004,"&lt;"&amp;DATE($B$3+1,1,1),일일실시사항!$D$5:$D$1004,$A24,일일실시사항!$F$5:$F$1004,"교육·훈련"))</f>
        <v/>
      </c>
      <c r="J24" s="118">
        <f>IF($A24="","",H24+I24)</f>
        <v/>
      </c>
      <c r="K24" s="130">
        <f>IF($A24="","",IF($J24&gt;=$D$3,"이수","미이수 ("&amp;MAX(0,$D$3-$J24)&amp;"회 부족)"))</f>
        <v/>
      </c>
    </row>
    <row r="25">
      <c r="A25" s="107">
        <f>IF(코드설정!$C23="","",코드설정!$C23)</f>
        <v/>
      </c>
      <c r="B25" s="136">
        <f>IF($A25="","",코드설정!$D23)</f>
        <v/>
      </c>
      <c r="C25" s="129">
        <f>IF($A25="","",COUNTIFS(업무일지!$B$5:$B$1004,"&gt;="&amp;DATE($B$3,1,1),업무일지!$B$5:$B$1004,"&lt;"&amp;DATE($B$3+1,1,1),업무일지!$AA$5:$AA$1004,"*"&amp;$A25&amp;"*",업무일지!$D$5:$D$1004,"교육",업무일지!$E$5:$E$1004,"외부 교육·세미나"))</f>
        <v/>
      </c>
      <c r="D25" s="129">
        <f>IF($A25="","",COUNTIFS(업무일지!$B$5:$B$1004,"&gt;="&amp;DATE($B$3,1,1),업무일지!$B$5:$B$1004,"&lt;"&amp;DATE($B$3+1,1,1),업무일지!$AA$5:$AA$1004,"*"&amp;$A25&amp;"*",업무일지!$D$5:$D$1004,"교육",업무일지!$E$5:$E$1004,"내부 직무교육"))</f>
        <v/>
      </c>
      <c r="E25" s="129">
        <f>IF($A25="","",COUNTIFS(업무일지!$B$5:$B$1004,"&gt;="&amp;DATE($B$3,1,1),업무일지!$B$5:$B$1004,"&lt;"&amp;DATE($B$3+1,1,1),업무일지!$AA$5:$AA$1004,"*"&amp;$A25&amp;"*",업무일지!$D$5:$D$1004,"교육",업무일지!$E$5:$E$1004,"자격·인증 과정"))</f>
        <v/>
      </c>
      <c r="F25" s="129">
        <f>IF($A25="","",COUNTIFS(업무일지!$B$5:$B$1004,"&gt;="&amp;DATE($B$3,1,1),업무일지!$B$5:$B$1004,"&lt;"&amp;DATE($B$3+1,1,1),업무일지!$AA$5:$AA$1004,"*"&amp;$A25&amp;"*",업무일지!$D$5:$D$1004,"교육",업무일지!$E$5:$E$1004,"워크숍·학회"))</f>
        <v/>
      </c>
      <c r="G25" s="129">
        <f>IF($A25="","",COUNTIFS(업무일지!$B$5:$B$1004,"&gt;="&amp;DATE($B$3,1,1),업무일지!$B$5:$B$1004,"&lt;"&amp;DATE($B$3+1,1,1),업무일지!$AA$5:$AA$1004,"*"&amp;$A25&amp;"*",업무일지!$D$5:$D$1004,"교육",업무일지!$E$5:$E$1004,"기타 교육"))</f>
        <v/>
      </c>
      <c r="H25" s="129">
        <f>IF($A25="","",COUNTIFS(업무일지!$B$5:$B$1004,"&gt;="&amp;DATE($B$3,1,1),업무일지!$B$5:$B$1004,"&lt;"&amp;DATE($B$3+1,1,1),업무일지!$AA$5:$AA$1004,"*"&amp;$A25&amp;"*",업무일지!$D$5:$D$1004,"교육"))</f>
        <v/>
      </c>
      <c r="I25" s="129">
        <f>IF($A25="","",COUNTIFS(일일실시사항!$B$5:$B$1004,"&gt;="&amp;DATE($B$3,1,1),일일실시사항!$B$5:$B$1004,"&lt;"&amp;DATE($B$3+1,1,1),일일실시사항!$D$5:$D$1004,$A25,일일실시사항!$F$5:$F$1004,"교육·훈련"))</f>
        <v/>
      </c>
      <c r="J25" s="118">
        <f>IF($A25="","",H25+I25)</f>
        <v/>
      </c>
      <c r="K25" s="130">
        <f>IF($A25="","",IF($J25&gt;=$D$3,"이수","미이수 ("&amp;MAX(0,$D$3-$J25)&amp;"회 부족)"))</f>
        <v/>
      </c>
    </row>
    <row r="26">
      <c r="A26" s="107">
        <f>IF(코드설정!$C24="","",코드설정!$C24)</f>
        <v/>
      </c>
      <c r="B26" s="136">
        <f>IF($A26="","",코드설정!$D24)</f>
        <v/>
      </c>
      <c r="C26" s="129">
        <f>IF($A26="","",COUNTIFS(업무일지!$B$5:$B$1004,"&gt;="&amp;DATE($B$3,1,1),업무일지!$B$5:$B$1004,"&lt;"&amp;DATE($B$3+1,1,1),업무일지!$AA$5:$AA$1004,"*"&amp;$A26&amp;"*",업무일지!$D$5:$D$1004,"교육",업무일지!$E$5:$E$1004,"외부 교육·세미나"))</f>
        <v/>
      </c>
      <c r="D26" s="129">
        <f>IF($A26="","",COUNTIFS(업무일지!$B$5:$B$1004,"&gt;="&amp;DATE($B$3,1,1),업무일지!$B$5:$B$1004,"&lt;"&amp;DATE($B$3+1,1,1),업무일지!$AA$5:$AA$1004,"*"&amp;$A26&amp;"*",업무일지!$D$5:$D$1004,"교육",업무일지!$E$5:$E$1004,"내부 직무교육"))</f>
        <v/>
      </c>
      <c r="E26" s="129">
        <f>IF($A26="","",COUNTIFS(업무일지!$B$5:$B$1004,"&gt;="&amp;DATE($B$3,1,1),업무일지!$B$5:$B$1004,"&lt;"&amp;DATE($B$3+1,1,1),업무일지!$AA$5:$AA$1004,"*"&amp;$A26&amp;"*",업무일지!$D$5:$D$1004,"교육",업무일지!$E$5:$E$1004,"자격·인증 과정"))</f>
        <v/>
      </c>
      <c r="F26" s="129">
        <f>IF($A26="","",COUNTIFS(업무일지!$B$5:$B$1004,"&gt;="&amp;DATE($B$3,1,1),업무일지!$B$5:$B$1004,"&lt;"&amp;DATE($B$3+1,1,1),업무일지!$AA$5:$AA$1004,"*"&amp;$A26&amp;"*",업무일지!$D$5:$D$1004,"교육",업무일지!$E$5:$E$1004,"워크숍·학회"))</f>
        <v/>
      </c>
      <c r="G26" s="129">
        <f>IF($A26="","",COUNTIFS(업무일지!$B$5:$B$1004,"&gt;="&amp;DATE($B$3,1,1),업무일지!$B$5:$B$1004,"&lt;"&amp;DATE($B$3+1,1,1),업무일지!$AA$5:$AA$1004,"*"&amp;$A26&amp;"*",업무일지!$D$5:$D$1004,"교육",업무일지!$E$5:$E$1004,"기타 교육"))</f>
        <v/>
      </c>
      <c r="H26" s="129">
        <f>IF($A26="","",COUNTIFS(업무일지!$B$5:$B$1004,"&gt;="&amp;DATE($B$3,1,1),업무일지!$B$5:$B$1004,"&lt;"&amp;DATE($B$3+1,1,1),업무일지!$AA$5:$AA$1004,"*"&amp;$A26&amp;"*",업무일지!$D$5:$D$1004,"교육"))</f>
        <v/>
      </c>
      <c r="I26" s="129">
        <f>IF($A26="","",COUNTIFS(일일실시사항!$B$5:$B$1004,"&gt;="&amp;DATE($B$3,1,1),일일실시사항!$B$5:$B$1004,"&lt;"&amp;DATE($B$3+1,1,1),일일실시사항!$D$5:$D$1004,$A26,일일실시사항!$F$5:$F$1004,"교육·훈련"))</f>
        <v/>
      </c>
      <c r="J26" s="118">
        <f>IF($A26="","",H26+I26)</f>
        <v/>
      </c>
      <c r="K26" s="130">
        <f>IF($A26="","",IF($J26&gt;=$D$3,"이수","미이수 ("&amp;MAX(0,$D$3-$J26)&amp;"회 부족)"))</f>
        <v/>
      </c>
    </row>
    <row r="27">
      <c r="A27" s="112" t="inlineStr">
        <is>
          <t>합계</t>
        </is>
      </c>
      <c r="B27" s="112" t="inlineStr"/>
      <c r="C27" s="113">
        <f>SUM(C7:C26)</f>
        <v/>
      </c>
      <c r="D27" s="113">
        <f>SUM(D7:D26)</f>
        <v/>
      </c>
      <c r="E27" s="113">
        <f>SUM(E7:E26)</f>
        <v/>
      </c>
      <c r="F27" s="113">
        <f>SUM(F7:F26)</f>
        <v/>
      </c>
      <c r="G27" s="113">
        <f>SUM(G7:G26)</f>
        <v/>
      </c>
      <c r="H27" s="113">
        <f>SUM(H7:H26)</f>
        <v/>
      </c>
      <c r="I27" s="113">
        <f>SUM(I7:I26)</f>
        <v/>
      </c>
      <c r="J27" s="113">
        <f>SUM(J7:J26)</f>
        <v/>
      </c>
      <c r="K27" s="141">
        <f>COUNTIF(K7:K26,"이수")&amp;" / "&amp;((20)-COUNTBLANK($A$7:$A$26))&amp;" 명 이수"</f>
        <v/>
      </c>
    </row>
    <row r="29" ht="20" customHeight="1">
      <c r="A29" s="21" t="inlineStr">
        <is>
          <t>2.  교육 세부유형별 (연간 누계)</t>
        </is>
      </c>
      <c r="B29" s="22" t="n"/>
      <c r="C29" s="22" t="n"/>
      <c r="D29" s="22" t="n"/>
      <c r="E29" s="22" t="n"/>
    </row>
    <row r="30" ht="30" customHeight="1">
      <c r="A30" s="23" t="inlineStr">
        <is>
          <t>세부유형</t>
        </is>
      </c>
      <c r="B30" s="23" t="inlineStr">
        <is>
          <t>회차</t>
        </is>
      </c>
      <c r="C30" s="23" t="inlineStr">
        <is>
          <t>참여 연인원(명)</t>
        </is>
      </c>
      <c r="D30" s="23" t="inlineStr">
        <is>
          <t>비중</t>
        </is>
      </c>
      <c r="E30" s="23" t="inlineStr">
        <is>
          <t>소요일수</t>
        </is>
      </c>
    </row>
    <row r="31">
      <c r="A31" s="115" t="inlineStr">
        <is>
          <t>외부 교육·세미나</t>
        </is>
      </c>
      <c r="B31" s="129">
        <f>COUNTIFS(업무일지!$B$5:$B$1004,"&gt;="&amp;DATE($B$3,1,1),업무일지!$B$5:$B$1004,"&lt;"&amp;DATE($B$3+1,1,1),업무일지!$D$5:$D$1004,"교육",업무일지!$E$5:$E$1004,$A31)</f>
        <v/>
      </c>
      <c r="C31" s="129">
        <f>SUMIFS(업무일지!$Z$5:$Z$1004,업무일지!$B$5:$B$1004,"&gt;="&amp;DATE($B$3,1,1),업무일지!$B$5:$B$1004,"&lt;"&amp;DATE($B$3+1,1,1),업무일지!$D$5:$D$1004,"교육",업무일지!$E$5:$E$1004,$A31)</f>
        <v/>
      </c>
      <c r="D31" s="116">
        <f>IFERROR(B31/$B$36,0)</f>
        <v/>
      </c>
      <c r="E31" s="129">
        <f>SUMIFS(업무일지!$AF$5:$AF$1004,업무일지!$B$5:$B$1004,"&gt;="&amp;DATE($B$3,1,1),업무일지!$B$5:$B$1004,"&lt;"&amp;DATE($B$3+1,1,1),업무일지!$D$5:$D$1004,"교육",업무일지!$E$5:$E$1004,$A31)</f>
        <v/>
      </c>
    </row>
    <row r="32">
      <c r="A32" s="115" t="inlineStr">
        <is>
          <t>내부 직무교육</t>
        </is>
      </c>
      <c r="B32" s="129">
        <f>COUNTIFS(업무일지!$B$5:$B$1004,"&gt;="&amp;DATE($B$3,1,1),업무일지!$B$5:$B$1004,"&lt;"&amp;DATE($B$3+1,1,1),업무일지!$D$5:$D$1004,"교육",업무일지!$E$5:$E$1004,$A32)</f>
        <v/>
      </c>
      <c r="C32" s="129">
        <f>SUMIFS(업무일지!$Z$5:$Z$1004,업무일지!$B$5:$B$1004,"&gt;="&amp;DATE($B$3,1,1),업무일지!$B$5:$B$1004,"&lt;"&amp;DATE($B$3+1,1,1),업무일지!$D$5:$D$1004,"교육",업무일지!$E$5:$E$1004,$A32)</f>
        <v/>
      </c>
      <c r="D32" s="116">
        <f>IFERROR(B32/$B$36,0)</f>
        <v/>
      </c>
      <c r="E32" s="129">
        <f>SUMIFS(업무일지!$AF$5:$AF$1004,업무일지!$B$5:$B$1004,"&gt;="&amp;DATE($B$3,1,1),업무일지!$B$5:$B$1004,"&lt;"&amp;DATE($B$3+1,1,1),업무일지!$D$5:$D$1004,"교육",업무일지!$E$5:$E$1004,$A32)</f>
        <v/>
      </c>
    </row>
    <row r="33">
      <c r="A33" s="115" t="inlineStr">
        <is>
          <t>자격·인증 과정</t>
        </is>
      </c>
      <c r="B33" s="129">
        <f>COUNTIFS(업무일지!$B$5:$B$1004,"&gt;="&amp;DATE($B$3,1,1),업무일지!$B$5:$B$1004,"&lt;"&amp;DATE($B$3+1,1,1),업무일지!$D$5:$D$1004,"교육",업무일지!$E$5:$E$1004,$A33)</f>
        <v/>
      </c>
      <c r="C33" s="129">
        <f>SUMIFS(업무일지!$Z$5:$Z$1004,업무일지!$B$5:$B$1004,"&gt;="&amp;DATE($B$3,1,1),업무일지!$B$5:$B$1004,"&lt;"&amp;DATE($B$3+1,1,1),업무일지!$D$5:$D$1004,"교육",업무일지!$E$5:$E$1004,$A33)</f>
        <v/>
      </c>
      <c r="D33" s="116">
        <f>IFERROR(B33/$B$36,0)</f>
        <v/>
      </c>
      <c r="E33" s="129">
        <f>SUMIFS(업무일지!$AF$5:$AF$1004,업무일지!$B$5:$B$1004,"&gt;="&amp;DATE($B$3,1,1),업무일지!$B$5:$B$1004,"&lt;"&amp;DATE($B$3+1,1,1),업무일지!$D$5:$D$1004,"교육",업무일지!$E$5:$E$1004,$A33)</f>
        <v/>
      </c>
    </row>
    <row r="34">
      <c r="A34" s="115" t="inlineStr">
        <is>
          <t>워크숍·학회</t>
        </is>
      </c>
      <c r="B34" s="129">
        <f>COUNTIFS(업무일지!$B$5:$B$1004,"&gt;="&amp;DATE($B$3,1,1),업무일지!$B$5:$B$1004,"&lt;"&amp;DATE($B$3+1,1,1),업무일지!$D$5:$D$1004,"교육",업무일지!$E$5:$E$1004,$A34)</f>
        <v/>
      </c>
      <c r="C34" s="129">
        <f>SUMIFS(업무일지!$Z$5:$Z$1004,업무일지!$B$5:$B$1004,"&gt;="&amp;DATE($B$3,1,1),업무일지!$B$5:$B$1004,"&lt;"&amp;DATE($B$3+1,1,1),업무일지!$D$5:$D$1004,"교육",업무일지!$E$5:$E$1004,$A34)</f>
        <v/>
      </c>
      <c r="D34" s="116">
        <f>IFERROR(B34/$B$36,0)</f>
        <v/>
      </c>
      <c r="E34" s="129">
        <f>SUMIFS(업무일지!$AF$5:$AF$1004,업무일지!$B$5:$B$1004,"&gt;="&amp;DATE($B$3,1,1),업무일지!$B$5:$B$1004,"&lt;"&amp;DATE($B$3+1,1,1),업무일지!$D$5:$D$1004,"교육",업무일지!$E$5:$E$1004,$A34)</f>
        <v/>
      </c>
    </row>
    <row r="35">
      <c r="A35" s="115" t="inlineStr">
        <is>
          <t>기타 교육</t>
        </is>
      </c>
      <c r="B35" s="129">
        <f>COUNTIFS(업무일지!$B$5:$B$1004,"&gt;="&amp;DATE($B$3,1,1),업무일지!$B$5:$B$1004,"&lt;"&amp;DATE($B$3+1,1,1),업무일지!$D$5:$D$1004,"교육",업무일지!$E$5:$E$1004,$A35)</f>
        <v/>
      </c>
      <c r="C35" s="129">
        <f>SUMIFS(업무일지!$Z$5:$Z$1004,업무일지!$B$5:$B$1004,"&gt;="&amp;DATE($B$3,1,1),업무일지!$B$5:$B$1004,"&lt;"&amp;DATE($B$3+1,1,1),업무일지!$D$5:$D$1004,"교육",업무일지!$E$5:$E$1004,$A35)</f>
        <v/>
      </c>
      <c r="D35" s="116">
        <f>IFERROR(B35/$B$36,0)</f>
        <v/>
      </c>
      <c r="E35" s="129">
        <f>SUMIFS(업무일지!$AF$5:$AF$1004,업무일지!$B$5:$B$1004,"&gt;="&amp;DATE($B$3,1,1),업무일지!$B$5:$B$1004,"&lt;"&amp;DATE($B$3+1,1,1),업무일지!$D$5:$D$1004,"교육",업무일지!$E$5:$E$1004,$A35)</f>
        <v/>
      </c>
    </row>
    <row r="36">
      <c r="A36" s="112" t="inlineStr">
        <is>
          <t>합계</t>
        </is>
      </c>
      <c r="B36" s="113">
        <f>SUM(B31:B35)</f>
        <v/>
      </c>
      <c r="C36" s="113">
        <f>SUM(C31:C35)</f>
        <v/>
      </c>
      <c r="D36" s="143">
        <f>IFERROR(B36/$B$36,0)</f>
        <v/>
      </c>
      <c r="E36" s="113">
        <f>SUM(E31:E35)</f>
        <v/>
      </c>
    </row>
    <row r="38" ht="20" customHeight="1">
      <c r="A38" s="21" t="inlineStr">
        <is>
          <t>3.  팀별 교육 (연간 누계)</t>
        </is>
      </c>
      <c r="B38" s="22" t="n"/>
      <c r="C38" s="22" t="n"/>
      <c r="D38" s="22" t="n"/>
      <c r="E38" s="22" t="n"/>
      <c r="F38" s="22" t="n"/>
    </row>
    <row r="39" ht="30" customHeight="1">
      <c r="A39" s="23" t="inlineStr">
        <is>
          <t>소속팀</t>
        </is>
      </c>
      <c r="B39" s="23" t="inlineStr">
        <is>
          <t>인원</t>
        </is>
      </c>
      <c r="C39" s="23" t="inlineStr">
        <is>
          <t>교육 회차</t>
        </is>
      </c>
      <c r="D39" s="23" t="inlineStr">
        <is>
          <t>참여 연인원(명)</t>
        </is>
      </c>
      <c r="E39" s="23" t="inlineStr">
        <is>
          <t>이수 인원</t>
        </is>
      </c>
      <c r="F39" s="23" t="inlineStr">
        <is>
          <t>미이수 인원</t>
        </is>
      </c>
    </row>
    <row r="40">
      <c r="A40" s="107">
        <f>IF(코드설정!$I5="","",코드설정!$I5)</f>
        <v/>
      </c>
      <c r="B40" s="129">
        <f>IF($A40="","",COUNTIF(코드설정!$D$5:$D$24,$A40))</f>
        <v/>
      </c>
      <c r="C40" s="118">
        <f>IF($A40="","",SUMIFS($J$7:$J$26,$B$7:$B$26,$A40))</f>
        <v/>
      </c>
      <c r="D40" s="129">
        <f>IF($A40="","",SUMIFS(업무일지!$Z$5:$Z$1004,업무일지!$B$5:$B$1004,"&gt;="&amp;DATE($B$3,1,1),업무일지!$B$5:$B$1004,"&lt;"&amp;DATE($B$3+1,1,1),업무일지!$D$5:$D$1004,"교육",업무일지!$AB$5:$AB$1004,$A40))</f>
        <v/>
      </c>
      <c r="E40" s="118">
        <f>IF($A40="","",COUNTIFS($B$7:$B$26,$A40,$K$7:$K$26,"이수"))</f>
        <v/>
      </c>
      <c r="F40" s="118">
        <f>IF($A40="","",COUNTIFS($B$7:$B$26,$A40,$K$7:$K$26,"미이수*"))</f>
        <v/>
      </c>
    </row>
    <row r="41">
      <c r="A41" s="107">
        <f>IF(코드설정!$I6="","",코드설정!$I6)</f>
        <v/>
      </c>
      <c r="B41" s="129">
        <f>IF($A41="","",COUNTIF(코드설정!$D$5:$D$24,$A41))</f>
        <v/>
      </c>
      <c r="C41" s="118">
        <f>IF($A41="","",SUMIFS($J$7:$J$26,$B$7:$B$26,$A41))</f>
        <v/>
      </c>
      <c r="D41" s="129">
        <f>IF($A41="","",SUMIFS(업무일지!$Z$5:$Z$1004,업무일지!$B$5:$B$1004,"&gt;="&amp;DATE($B$3,1,1),업무일지!$B$5:$B$1004,"&lt;"&amp;DATE($B$3+1,1,1),업무일지!$D$5:$D$1004,"교육",업무일지!$AB$5:$AB$1004,$A41))</f>
        <v/>
      </c>
      <c r="E41" s="118">
        <f>IF($A41="","",COUNTIFS($B$7:$B$26,$A41,$K$7:$K$26,"이수"))</f>
        <v/>
      </c>
      <c r="F41" s="118">
        <f>IF($A41="","",COUNTIFS($B$7:$B$26,$A41,$K$7:$K$26,"미이수*"))</f>
        <v/>
      </c>
    </row>
    <row r="42">
      <c r="A42" s="107">
        <f>IF(코드설정!$I7="","",코드설정!$I7)</f>
        <v/>
      </c>
      <c r="B42" s="129">
        <f>IF($A42="","",COUNTIF(코드설정!$D$5:$D$24,$A42))</f>
        <v/>
      </c>
      <c r="C42" s="118">
        <f>IF($A42="","",SUMIFS($J$7:$J$26,$B$7:$B$26,$A42))</f>
        <v/>
      </c>
      <c r="D42" s="129">
        <f>IF($A42="","",SUMIFS(업무일지!$Z$5:$Z$1004,업무일지!$B$5:$B$1004,"&gt;="&amp;DATE($B$3,1,1),업무일지!$B$5:$B$1004,"&lt;"&amp;DATE($B$3+1,1,1),업무일지!$D$5:$D$1004,"교육",업무일지!$AB$5:$AB$1004,$A42))</f>
        <v/>
      </c>
      <c r="E42" s="118">
        <f>IF($A42="","",COUNTIFS($B$7:$B$26,$A42,$K$7:$K$26,"이수"))</f>
        <v/>
      </c>
      <c r="F42" s="118">
        <f>IF($A42="","",COUNTIFS($B$7:$B$26,$A42,$K$7:$K$26,"미이수*"))</f>
        <v/>
      </c>
    </row>
    <row r="43">
      <c r="A43" s="107">
        <f>IF(코드설정!$I8="","",코드설정!$I8)</f>
        <v/>
      </c>
      <c r="B43" s="129">
        <f>IF($A43="","",COUNTIF(코드설정!$D$5:$D$24,$A43))</f>
        <v/>
      </c>
      <c r="C43" s="118">
        <f>IF($A43="","",SUMIFS($J$7:$J$26,$B$7:$B$26,$A43))</f>
        <v/>
      </c>
      <c r="D43" s="129">
        <f>IF($A43="","",SUMIFS(업무일지!$Z$5:$Z$1004,업무일지!$B$5:$B$1004,"&gt;="&amp;DATE($B$3,1,1),업무일지!$B$5:$B$1004,"&lt;"&amp;DATE($B$3+1,1,1),업무일지!$D$5:$D$1004,"교육",업무일지!$AB$5:$AB$1004,$A43))</f>
        <v/>
      </c>
      <c r="E43" s="118">
        <f>IF($A43="","",COUNTIFS($B$7:$B$26,$A43,$K$7:$K$26,"이수"))</f>
        <v/>
      </c>
      <c r="F43" s="118">
        <f>IF($A43="","",COUNTIFS($B$7:$B$26,$A43,$K$7:$K$26,"미이수*"))</f>
        <v/>
      </c>
    </row>
    <row r="44">
      <c r="A44" s="107">
        <f>IF(코드설정!$I9="","",코드설정!$I9)</f>
        <v/>
      </c>
      <c r="B44" s="129">
        <f>IF($A44="","",COUNTIF(코드설정!$D$5:$D$24,$A44))</f>
        <v/>
      </c>
      <c r="C44" s="118">
        <f>IF($A44="","",SUMIFS($J$7:$J$26,$B$7:$B$26,$A44))</f>
        <v/>
      </c>
      <c r="D44" s="129">
        <f>IF($A44="","",SUMIFS(업무일지!$Z$5:$Z$1004,업무일지!$B$5:$B$1004,"&gt;="&amp;DATE($B$3,1,1),업무일지!$B$5:$B$1004,"&lt;"&amp;DATE($B$3+1,1,1),업무일지!$D$5:$D$1004,"교육",업무일지!$AB$5:$AB$1004,$A44))</f>
        <v/>
      </c>
      <c r="E44" s="118">
        <f>IF($A44="","",COUNTIFS($B$7:$B$26,$A44,$K$7:$K$26,"이수"))</f>
        <v/>
      </c>
      <c r="F44" s="118">
        <f>IF($A44="","",COUNTIFS($B$7:$B$26,$A44,$K$7:$K$26,"미이수*"))</f>
        <v/>
      </c>
    </row>
    <row r="45">
      <c r="A45" s="107">
        <f>IF(코드설정!$I10="","",코드설정!$I10)</f>
        <v/>
      </c>
      <c r="B45" s="129">
        <f>IF($A45="","",COUNTIF(코드설정!$D$5:$D$24,$A45))</f>
        <v/>
      </c>
      <c r="C45" s="118">
        <f>IF($A45="","",SUMIFS($J$7:$J$26,$B$7:$B$26,$A45))</f>
        <v/>
      </c>
      <c r="D45" s="129">
        <f>IF($A45="","",SUMIFS(업무일지!$Z$5:$Z$1004,업무일지!$B$5:$B$1004,"&gt;="&amp;DATE($B$3,1,1),업무일지!$B$5:$B$1004,"&lt;"&amp;DATE($B$3+1,1,1),업무일지!$D$5:$D$1004,"교육",업무일지!$AB$5:$AB$1004,$A45))</f>
        <v/>
      </c>
      <c r="E45" s="118">
        <f>IF($A45="","",COUNTIFS($B$7:$B$26,$A45,$K$7:$K$26,"이수"))</f>
        <v/>
      </c>
      <c r="F45" s="118">
        <f>IF($A45="","",COUNTIFS($B$7:$B$26,$A45,$K$7:$K$26,"미이수*"))</f>
        <v/>
      </c>
    </row>
    <row r="46">
      <c r="A46" s="107">
        <f>IF(코드설정!$I11="","",코드설정!$I11)</f>
        <v/>
      </c>
      <c r="B46" s="129">
        <f>IF($A46="","",COUNTIF(코드설정!$D$5:$D$24,$A46))</f>
        <v/>
      </c>
      <c r="C46" s="118">
        <f>IF($A46="","",SUMIFS($J$7:$J$26,$B$7:$B$26,$A46))</f>
        <v/>
      </c>
      <c r="D46" s="129">
        <f>IF($A46="","",SUMIFS(업무일지!$Z$5:$Z$1004,업무일지!$B$5:$B$1004,"&gt;="&amp;DATE($B$3,1,1),업무일지!$B$5:$B$1004,"&lt;"&amp;DATE($B$3+1,1,1),업무일지!$D$5:$D$1004,"교육",업무일지!$AB$5:$AB$1004,$A46))</f>
        <v/>
      </c>
      <c r="E46" s="118">
        <f>IF($A46="","",COUNTIFS($B$7:$B$26,$A46,$K$7:$K$26,"이수"))</f>
        <v/>
      </c>
      <c r="F46" s="118">
        <f>IF($A46="","",COUNTIFS($B$7:$B$26,$A46,$K$7:$K$26,"미이수*"))</f>
        <v/>
      </c>
    </row>
    <row r="47">
      <c r="A47" s="107">
        <f>IF(코드설정!$I12="","",코드설정!$I12)</f>
        <v/>
      </c>
      <c r="B47" s="129">
        <f>IF($A47="","",COUNTIF(코드설정!$D$5:$D$24,$A47))</f>
        <v/>
      </c>
      <c r="C47" s="118">
        <f>IF($A47="","",SUMIFS($J$7:$J$26,$B$7:$B$26,$A47))</f>
        <v/>
      </c>
      <c r="D47" s="129">
        <f>IF($A47="","",SUMIFS(업무일지!$Z$5:$Z$1004,업무일지!$B$5:$B$1004,"&gt;="&amp;DATE($B$3,1,1),업무일지!$B$5:$B$1004,"&lt;"&amp;DATE($B$3+1,1,1),업무일지!$D$5:$D$1004,"교육",업무일지!$AB$5:$AB$1004,$A47))</f>
        <v/>
      </c>
      <c r="E47" s="118">
        <f>IF($A47="","",COUNTIFS($B$7:$B$26,$A47,$K$7:$K$26,"이수"))</f>
        <v/>
      </c>
      <c r="F47" s="118">
        <f>IF($A47="","",COUNTIFS($B$7:$B$26,$A47,$K$7:$K$26,"미이수*"))</f>
        <v/>
      </c>
    </row>
    <row r="48">
      <c r="A48" s="107">
        <f>IF(코드설정!$I13="","",코드설정!$I13)</f>
        <v/>
      </c>
      <c r="B48" s="129">
        <f>IF($A48="","",COUNTIF(코드설정!$D$5:$D$24,$A48))</f>
        <v/>
      </c>
      <c r="C48" s="118">
        <f>IF($A48="","",SUMIFS($J$7:$J$26,$B$7:$B$26,$A48))</f>
        <v/>
      </c>
      <c r="D48" s="129">
        <f>IF($A48="","",SUMIFS(업무일지!$Z$5:$Z$1004,업무일지!$B$5:$B$1004,"&gt;="&amp;DATE($B$3,1,1),업무일지!$B$5:$B$1004,"&lt;"&amp;DATE($B$3+1,1,1),업무일지!$D$5:$D$1004,"교육",업무일지!$AB$5:$AB$1004,$A48))</f>
        <v/>
      </c>
      <c r="E48" s="118">
        <f>IF($A48="","",COUNTIFS($B$7:$B$26,$A48,$K$7:$K$26,"이수"))</f>
        <v/>
      </c>
      <c r="F48" s="118">
        <f>IF($A48="","",COUNTIFS($B$7:$B$26,$A48,$K$7:$K$26,"미이수*"))</f>
        <v/>
      </c>
    </row>
    <row r="49">
      <c r="A49" s="107">
        <f>IF(코드설정!$I14="","",코드설정!$I14)</f>
        <v/>
      </c>
      <c r="B49" s="129">
        <f>IF($A49="","",COUNTIF(코드설정!$D$5:$D$24,$A49))</f>
        <v/>
      </c>
      <c r="C49" s="118">
        <f>IF($A49="","",SUMIFS($J$7:$J$26,$B$7:$B$26,$A49))</f>
        <v/>
      </c>
      <c r="D49" s="129">
        <f>IF($A49="","",SUMIFS(업무일지!$Z$5:$Z$1004,업무일지!$B$5:$B$1004,"&gt;="&amp;DATE($B$3,1,1),업무일지!$B$5:$B$1004,"&lt;"&amp;DATE($B$3+1,1,1),업무일지!$D$5:$D$1004,"교육",업무일지!$AB$5:$AB$1004,$A49))</f>
        <v/>
      </c>
      <c r="E49" s="118">
        <f>IF($A49="","",COUNTIFS($B$7:$B$26,$A49,$K$7:$K$26,"이수"))</f>
        <v/>
      </c>
      <c r="F49" s="118">
        <f>IF($A49="","",COUNTIFS($B$7:$B$26,$A49,$K$7:$K$26,"미이수*"))</f>
        <v/>
      </c>
    </row>
    <row r="50">
      <c r="A50" s="112" t="inlineStr">
        <is>
          <t>합계</t>
        </is>
      </c>
      <c r="B50" s="113">
        <f>SUM(B40:B49)</f>
        <v/>
      </c>
      <c r="C50" s="113">
        <f>SUM(C40:C49)</f>
        <v/>
      </c>
      <c r="D50" s="113">
        <f>SUM(D40:D49)</f>
        <v/>
      </c>
      <c r="E50" s="113">
        <f>SUM(E40:E49)</f>
        <v/>
      </c>
      <c r="F50" s="113">
        <f>SUM(F40:F49)</f>
        <v/>
      </c>
    </row>
    <row r="52">
      <c r="A52" s="7" t="inlineStr">
        <is>
          <t>※ 교육 회차는 참여자 명단에 이름이 들어간 모든 회차를 셉니다(주담당·참여 구분 없음).</t>
        </is>
      </c>
    </row>
    <row r="53">
      <c r="A53" s="7" t="inlineStr">
        <is>
          <t>※ 참여 연인원은 각 교육 건의 투입인원을 합산한 값이라, 같은 사람이 여러 번 참여하면 중복 계상됩니다.</t>
        </is>
      </c>
    </row>
    <row r="54">
      <c r="A54" s="7" t="inlineStr">
        <is>
          <t>※ 팀별 교육 회차는 소속 담당자들의 개인 회차를 더한 값이고, 참여 연인원은 주담당자의 소속팀 기준입니다 — 두 값은 다를 수 있습니다.</t>
        </is>
      </c>
    </row>
  </sheetData>
  <conditionalFormatting sqref="A7:K26">
    <cfRule type="expression" priority="1" dxfId="9" stopIfTrue="1">
      <formula>AND($A7&lt;&gt;"",LEFT($K7,3)="미이수")</formula>
    </cfRule>
    <cfRule type="expression" priority="2" dxfId="2" stopIfTrue="1">
      <formula>$K7="이수"</formula>
    </cfRule>
  </conditionalFormatting>
  <printOptions horizontalCentered="1"/>
  <pageMargins left="0.35" right="0.35" top="0.55" bottom="0.5" header="0.25" footer="0.25"/>
  <pageSetup orientation="landscape" paperSize="9" fitToHeight="0" fitToWidth="1"/>
  <headerFooter>
    <oddHeader>&amp;L&amp;"Arial"&amp;9교육 이수 현황&amp;R&amp;"Arial"&amp;9인쇄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D2096"/>
  <sheetViews>
    <sheetView showGridLines="0"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4" customWidth="1" min="3" max="3"/>
    <col width="74" customWidth="1" min="4" max="4"/>
  </cols>
  <sheetData>
    <row r="1" ht="24" customHeight="1">
      <c r="A1" s="6" t="inlineStr">
        <is>
          <t>입력 검증  ·  오류 자동 점검</t>
        </is>
      </c>
    </row>
    <row r="2" ht="26" customHeight="1">
      <c r="A2" s="7" t="inlineStr">
        <is>
          <t>※ 입력할 것이 없습니다. [업무일지]·[일일실시사항]·[사건마스터]를 훑어 잘못된 입력을 찾아냅니다.  ※ 아래 [오류 내용] 열에서 필터를 걸어 빈칸을 제외하면 문제가 있는 행만 남습니다.  ※ 월말 마감 전 한 번 확인하세요.</t>
        </is>
      </c>
    </row>
    <row r="4" ht="20" customHeight="1">
      <c r="A4" s="21" t="inlineStr">
        <is>
          <t>1.  점검 요약</t>
        </is>
      </c>
      <c r="B4" s="22" t="n"/>
      <c r="C4" s="22" t="n"/>
      <c r="D4" s="22" t="n"/>
    </row>
    <row r="5" ht="32" customHeight="1">
      <c r="A5" s="23" t="inlineStr">
        <is>
          <t>점검 대상</t>
        </is>
      </c>
      <c r="B5" s="23" t="inlineStr">
        <is>
          <t>기록 수</t>
        </is>
      </c>
      <c r="C5" s="23" t="inlineStr">
        <is>
          <t>오류 행</t>
        </is>
      </c>
      <c r="D5" s="23" t="inlineStr">
        <is>
          <t>상태</t>
        </is>
      </c>
    </row>
    <row r="6">
      <c r="A6" s="85" t="inlineStr">
        <is>
          <t>업무일지</t>
        </is>
      </c>
      <c r="B6" s="129">
        <f>COUNT(업무일지!$B$5:$B$1004)</f>
        <v/>
      </c>
      <c r="C6" s="118">
        <f>1000-COUNTBLANK($D$37:$D$1036)</f>
        <v/>
      </c>
      <c r="D6" s="122">
        <f>IF($C6=0,"이상 없음","확인 필요 — "&amp;$C6&amp;"개 행")</f>
        <v/>
      </c>
    </row>
    <row r="7">
      <c r="A7" s="85" t="inlineStr">
        <is>
          <t>일일실시사항</t>
        </is>
      </c>
      <c r="B7" s="129">
        <f>COUNT(일일실시사항!$B$5:$B$1004)</f>
        <v/>
      </c>
      <c r="C7" s="118">
        <f>1000-COUNTBLANK($D$1037:$D$2036)</f>
        <v/>
      </c>
      <c r="D7" s="122">
        <f>IF($C7=0,"이상 없음","확인 필요 — "&amp;$C7&amp;"개 행")</f>
        <v/>
      </c>
    </row>
    <row r="8">
      <c r="A8" s="85" t="inlineStr">
        <is>
          <t>사건마스터</t>
        </is>
      </c>
      <c r="B8" s="129">
        <f>60-COUNTBLANK(사건마스터!$A$5:$A$64)</f>
        <v/>
      </c>
      <c r="C8" s="118">
        <f>60-COUNTBLANK($D$2037:$D$2096)</f>
        <v/>
      </c>
      <c r="D8" s="122">
        <f>IF($C8=0,"이상 없음","확인 필요 — "&amp;$C8&amp;"개 행")</f>
        <v/>
      </c>
    </row>
    <row r="9">
      <c r="A9" s="112" t="inlineStr">
        <is>
          <t>합계</t>
        </is>
      </c>
      <c r="B9" s="113">
        <f>SUM(B6:B8)</f>
        <v/>
      </c>
      <c r="C9" s="113">
        <f>SUM(C6:C8)</f>
        <v/>
      </c>
      <c r="D9" s="135">
        <f>IF($C$9=0,"전체 이상 없음","총 "&amp;$C$9&amp;"개 행을 확인하세요")</f>
        <v/>
      </c>
    </row>
    <row r="11" ht="20" customHeight="1">
      <c r="A11" s="21" t="inlineStr">
        <is>
          <t>2.  오류 유형별 건수</t>
        </is>
      </c>
      <c r="B11" s="22" t="n"/>
      <c r="C11" s="22" t="n"/>
      <c r="D11" s="22" t="n"/>
    </row>
    <row r="12" ht="20" customHeight="1">
      <c r="A12" s="64" t="inlineStr">
        <is>
          <t>오류 유형</t>
        </is>
      </c>
      <c r="B12" s="11" t="n"/>
      <c r="C12" s="12" t="n"/>
      <c r="D12" s="64" t="inlineStr">
        <is>
          <t>건수</t>
        </is>
      </c>
    </row>
    <row r="13">
      <c r="A13" s="65" t="inlineStr">
        <is>
          <t>시작일 누락</t>
        </is>
      </c>
      <c r="B13" s="11" t="n"/>
      <c r="C13" s="12" t="n"/>
      <c r="D13" s="129">
        <f>COUNTIF($D$37:$D$2096,"*시작일 누락*")</f>
        <v/>
      </c>
    </row>
    <row r="14">
      <c r="A14" s="65" t="inlineStr">
        <is>
          <t>종료일 누락</t>
        </is>
      </c>
      <c r="B14" s="11" t="n"/>
      <c r="C14" s="12" t="n"/>
      <c r="D14" s="129">
        <f>COUNTIF($D$37:$D$2096,"*종료일 누락*")</f>
        <v/>
      </c>
    </row>
    <row r="15">
      <c r="A15" s="65" t="inlineStr">
        <is>
          <t>종료일이 시작일보다 빠름</t>
        </is>
      </c>
      <c r="B15" s="11" t="n"/>
      <c r="C15" s="12" t="n"/>
      <c r="D15" s="129">
        <f>COUNTIF($D$37:$D$2096,"*종료일이 시작일보다 빠름*")</f>
        <v/>
      </c>
    </row>
    <row r="16">
      <c r="A16" s="65" t="inlineStr">
        <is>
          <t>직무구분 누락</t>
        </is>
      </c>
      <c r="B16" s="11" t="n"/>
      <c r="C16" s="12" t="n"/>
      <c r="D16" s="129">
        <f>COUNTIF($D$37:$D$2096,"*직무구분 누락*")</f>
        <v/>
      </c>
    </row>
    <row r="17">
      <c r="A17" s="65" t="inlineStr">
        <is>
          <t>세부유형 누락</t>
        </is>
      </c>
      <c r="B17" s="11" t="n"/>
      <c r="C17" s="12" t="n"/>
      <c r="D17" s="129">
        <f>COUNTIF($D$37:$D$2096,"*세부유형 누락*")</f>
        <v/>
      </c>
    </row>
    <row r="18">
      <c r="A18" s="65" t="inlineStr">
        <is>
          <t>세부유형이 직무구분과 불일치</t>
        </is>
      </c>
      <c r="B18" s="11" t="n"/>
      <c r="C18" s="12" t="n"/>
      <c r="D18" s="129">
        <f>COUNTIF($D$37:$D$2096,"*세부유형이 직무구분과 불일치*")</f>
        <v/>
      </c>
    </row>
    <row r="19">
      <c r="A19" s="65" t="inlineStr">
        <is>
          <t>미등록 사건번호</t>
        </is>
      </c>
      <c r="B19" s="11" t="n"/>
      <c r="C19" s="12" t="n"/>
      <c r="D19" s="129">
        <f>COUNTIF($D$37:$D$2096,"*미등록 사건번호*")</f>
        <v/>
      </c>
    </row>
    <row r="20">
      <c r="A20" s="65" t="inlineStr">
        <is>
          <t>사건번호·업무명 모두 없음</t>
        </is>
      </c>
      <c r="B20" s="11" t="n"/>
      <c r="C20" s="12" t="n"/>
      <c r="D20" s="129">
        <f>COUNTIF($D$37:$D$2096,"*사건번호·업무명 모두 없음*")</f>
        <v/>
      </c>
    </row>
    <row r="21">
      <c r="A21" s="65" t="inlineStr">
        <is>
          <t>담당자 없음</t>
        </is>
      </c>
      <c r="B21" s="11" t="n"/>
      <c r="C21" s="12" t="n"/>
      <c r="D21" s="129">
        <f>COUNTIF($D$37:$D$2096,"*담당자 없음*")</f>
        <v/>
      </c>
    </row>
    <row r="22">
      <c r="A22" s="65" t="inlineStr">
        <is>
          <t>진행상태 누락</t>
        </is>
      </c>
      <c r="B22" s="11" t="n"/>
      <c r="C22" s="12" t="n"/>
      <c r="D22" s="129">
        <f>COUNTIF($D$37:$D$2096,"*진행상태 누락*")</f>
        <v/>
      </c>
    </row>
    <row r="23">
      <c r="A23" s="65" t="inlineStr">
        <is>
          <t>일자 누락</t>
        </is>
      </c>
      <c r="B23" s="11" t="n"/>
      <c r="C23" s="12" t="n"/>
      <c r="D23" s="129">
        <f>COUNTIF($D$37:$D$2096,"*일자 누락*")</f>
        <v/>
      </c>
    </row>
    <row r="24">
      <c r="A24" s="65" t="inlineStr">
        <is>
          <t>담당자 누락</t>
        </is>
      </c>
      <c r="B24" s="11" t="n"/>
      <c r="C24" s="12" t="n"/>
      <c r="D24" s="129">
        <f>COUNTIF($D$37:$D$2096,"*담당자 누락*")</f>
        <v/>
      </c>
    </row>
    <row r="25">
      <c r="A25" s="65" t="inlineStr">
        <is>
          <t>업무구분 누락</t>
        </is>
      </c>
      <c r="B25" s="11" t="n"/>
      <c r="C25" s="12" t="n"/>
      <c r="D25" s="129">
        <f>COUNTIF($D$37:$D$2096,"*업무구분 누락*")</f>
        <v/>
      </c>
    </row>
    <row r="26">
      <c r="A26" s="65" t="inlineStr">
        <is>
          <t>실시 내용 없음</t>
        </is>
      </c>
      <c r="B26" s="11" t="n"/>
      <c r="C26" s="12" t="n"/>
      <c r="D26" s="129">
        <f>COUNTIF($D$37:$D$2096,"*실시 내용 없음*")</f>
        <v/>
      </c>
    </row>
    <row r="27">
      <c r="A27" s="65" t="inlineStr">
        <is>
          <t>사건번호 중복</t>
        </is>
      </c>
      <c r="B27" s="11" t="n"/>
      <c r="C27" s="12" t="n"/>
      <c r="D27" s="129">
        <f>COUNTIF($D$37:$D$2096,"*사건번호 중복*")</f>
        <v/>
      </c>
    </row>
    <row r="28">
      <c r="A28" s="65" t="inlineStr">
        <is>
          <t>사건명 누락</t>
        </is>
      </c>
      <c r="B28" s="11" t="n"/>
      <c r="C28" s="12" t="n"/>
      <c r="D28" s="129">
        <f>COUNTIF($D$37:$D$2096,"*사건명 누락*")</f>
        <v/>
      </c>
    </row>
    <row r="29">
      <c r="A29" s="65" t="inlineStr">
        <is>
          <t>요청처 누락</t>
        </is>
      </c>
      <c r="B29" s="11" t="n"/>
      <c r="C29" s="12" t="n"/>
      <c r="D29" s="129">
        <f>COUNTIF($D$37:$D$2096,"*요청처 누락*")</f>
        <v/>
      </c>
    </row>
    <row r="30">
      <c r="A30" s="65" t="inlineStr">
        <is>
          <t>주담당 미지정</t>
        </is>
      </c>
      <c r="B30" s="11" t="n"/>
      <c r="C30" s="12" t="n"/>
      <c r="D30" s="129">
        <f>COUNTIF($D$37:$D$2096,"*주담당 미지정*")</f>
        <v/>
      </c>
    </row>
    <row r="31">
      <c r="A31" s="65" t="inlineStr">
        <is>
          <t>주담당 2명 이상</t>
        </is>
      </c>
      <c r="B31" s="11" t="n"/>
      <c r="C31" s="12" t="n"/>
      <c r="D31" s="129">
        <f>COUNTIF($D$37:$D$2096,"*주담당 2명 이상*")</f>
        <v/>
      </c>
    </row>
    <row r="32">
      <c r="A32" s="65" t="inlineStr">
        <is>
          <t>배정 인원 없음</t>
        </is>
      </c>
      <c r="B32" s="11" t="n"/>
      <c r="C32" s="12" t="n"/>
      <c r="D32" s="129">
        <f>COUNTIF($D$37:$D$2096,"*배정 인원 없음*")</f>
        <v/>
      </c>
    </row>
    <row r="35" ht="20" customHeight="1">
      <c r="A35" s="21" t="inlineStr">
        <is>
          <t>3.  상세 점검 결과   ※ [오류 내용] 열에 필터를 걸어 빈칸을 제외하세요</t>
        </is>
      </c>
      <c r="B35" s="22" t="n"/>
      <c r="C35" s="22" t="n"/>
      <c r="D35" s="22" t="n"/>
    </row>
    <row r="36" ht="32" customHeight="1">
      <c r="A36" s="23" t="inlineStr">
        <is>
          <t>점검 대상</t>
        </is>
      </c>
      <c r="B36" s="23" t="inlineStr">
        <is>
          <t>행</t>
        </is>
      </c>
      <c r="C36" s="23" t="inlineStr">
        <is>
          <t>식별 정보</t>
        </is>
      </c>
      <c r="D36" s="23" t="inlineStr">
        <is>
          <t>오류 내용</t>
        </is>
      </c>
    </row>
    <row r="37">
      <c r="A37" s="26" t="inlineStr">
        <is>
          <t>업무일지</t>
        </is>
      </c>
      <c r="B37" s="66" t="n">
        <v>5</v>
      </c>
      <c r="C37" s="122">
        <f>IF($D37="","",IFERROR(TEXT(업무일지!$B5,"yyyy-mm-dd"),"(날짜없음)")&amp;"  "&amp;업무일지!$F5&amp;"  "&amp;업무일지!$H5)</f>
        <v/>
      </c>
      <c r="D37" s="122">
        <f>IF(NOT(COUNTBLANK(업무일지!$B5:$AH5)&lt;33),"",TRIM(IF(업무일지!$B5="","시작일 누락; ","")&amp;IF(업무일지!$C5="","종료일 누락; ","")&amp;IF(AND(업무일지!$B5&lt;&gt;"",업무일지!$C5&lt;&gt;"",업무일지!$C5&lt;업무일지!$B5),"종료일이 시작일보다 빠름; ","")&amp;IF(COUNTIF(코드설정!$H$5:$H$7,업무일지!$D5)=0,"직무구분 누락; ","")&amp;IF(업무일지!$E5="","세부유형 누락; ",IF(AND(업무일지!$D5&lt;&gt;"",COUNTIFS(코드설정!$A$5:$A$21,업무일지!$D5,코드설정!$B$5:$B$21,업무일지!$E5)=0),"세부유형이 직무구분과 불일치; ",""))&amp;IF(AND(업무일지!$F5&lt;&gt;"",COUNTIF(사건마스터!$A$5:$A$64,업무일지!$F5)=0),"미등록 사건번호; ","")&amp;IF(AND(업무일지!$F5="",업무일지!$H5=""),"사건번호·업무명 모두 없음; ","")&amp;IF(업무일지!$J5="","담당자 없음; ","")&amp;IF(COUNTIF(코드설정!$F$5:$F$7,업무일지!$AG5)=0,"진행상태 누락; ","")))</f>
        <v/>
      </c>
    </row>
    <row r="38">
      <c r="A38" s="26" t="inlineStr">
        <is>
          <t>업무일지</t>
        </is>
      </c>
      <c r="B38" s="66" t="n">
        <v>6</v>
      </c>
      <c r="C38" s="122">
        <f>IF($D38="","",IFERROR(TEXT(업무일지!$B6,"yyyy-mm-dd"),"(날짜없음)")&amp;"  "&amp;업무일지!$F6&amp;"  "&amp;업무일지!$H6)</f>
        <v/>
      </c>
      <c r="D38" s="122">
        <f>IF(NOT(COUNTBLANK(업무일지!$B6:$AH6)&lt;33),"",TRIM(IF(업무일지!$B6="","시작일 누락; ","")&amp;IF(업무일지!$C6="","종료일 누락; ","")&amp;IF(AND(업무일지!$B6&lt;&gt;"",업무일지!$C6&lt;&gt;"",업무일지!$C6&lt;업무일지!$B6),"종료일이 시작일보다 빠름; ","")&amp;IF(COUNTIF(코드설정!$H$5:$H$7,업무일지!$D6)=0,"직무구분 누락; ","")&amp;IF(업무일지!$E6="","세부유형 누락; ",IF(AND(업무일지!$D6&lt;&gt;"",COUNTIFS(코드설정!$A$5:$A$21,업무일지!$D6,코드설정!$B$5:$B$21,업무일지!$E6)=0),"세부유형이 직무구분과 불일치; ",""))&amp;IF(AND(업무일지!$F6&lt;&gt;"",COUNTIF(사건마스터!$A$5:$A$64,업무일지!$F6)=0),"미등록 사건번호; ","")&amp;IF(AND(업무일지!$F6="",업무일지!$H6=""),"사건번호·업무명 모두 없음; ","")&amp;IF(업무일지!$J6="","담당자 없음; ","")&amp;IF(COUNTIF(코드설정!$F$5:$F$7,업무일지!$AG6)=0,"진행상태 누락; ","")))</f>
        <v/>
      </c>
    </row>
    <row r="39">
      <c r="A39" s="26" t="inlineStr">
        <is>
          <t>업무일지</t>
        </is>
      </c>
      <c r="B39" s="66" t="n">
        <v>7</v>
      </c>
      <c r="C39" s="122">
        <f>IF($D39="","",IFERROR(TEXT(업무일지!$B7,"yyyy-mm-dd"),"(날짜없음)")&amp;"  "&amp;업무일지!$F7&amp;"  "&amp;업무일지!$H7)</f>
        <v/>
      </c>
      <c r="D39" s="122">
        <f>IF(NOT(COUNTBLANK(업무일지!$B7:$AH7)&lt;33),"",TRIM(IF(업무일지!$B7="","시작일 누락; ","")&amp;IF(업무일지!$C7="","종료일 누락; ","")&amp;IF(AND(업무일지!$B7&lt;&gt;"",업무일지!$C7&lt;&gt;"",업무일지!$C7&lt;업무일지!$B7),"종료일이 시작일보다 빠름; ","")&amp;IF(COUNTIF(코드설정!$H$5:$H$7,업무일지!$D7)=0,"직무구분 누락; ","")&amp;IF(업무일지!$E7="","세부유형 누락; ",IF(AND(업무일지!$D7&lt;&gt;"",COUNTIFS(코드설정!$A$5:$A$21,업무일지!$D7,코드설정!$B$5:$B$21,업무일지!$E7)=0),"세부유형이 직무구분과 불일치; ",""))&amp;IF(AND(업무일지!$F7&lt;&gt;"",COUNTIF(사건마스터!$A$5:$A$64,업무일지!$F7)=0),"미등록 사건번호; ","")&amp;IF(AND(업무일지!$F7="",업무일지!$H7=""),"사건번호·업무명 모두 없음; ","")&amp;IF(업무일지!$J7="","담당자 없음; ","")&amp;IF(COUNTIF(코드설정!$F$5:$F$7,업무일지!$AG7)=0,"진행상태 누락; ","")))</f>
        <v/>
      </c>
    </row>
    <row r="40">
      <c r="A40" s="26" t="inlineStr">
        <is>
          <t>업무일지</t>
        </is>
      </c>
      <c r="B40" s="66" t="n">
        <v>8</v>
      </c>
      <c r="C40" s="122">
        <f>IF($D40="","",IFERROR(TEXT(업무일지!$B8,"yyyy-mm-dd"),"(날짜없음)")&amp;"  "&amp;업무일지!$F8&amp;"  "&amp;업무일지!$H8)</f>
        <v/>
      </c>
      <c r="D40" s="122">
        <f>IF(NOT(COUNTBLANK(업무일지!$B8:$AH8)&lt;33),"",TRIM(IF(업무일지!$B8="","시작일 누락; ","")&amp;IF(업무일지!$C8="","종료일 누락; ","")&amp;IF(AND(업무일지!$B8&lt;&gt;"",업무일지!$C8&lt;&gt;"",업무일지!$C8&lt;업무일지!$B8),"종료일이 시작일보다 빠름; ","")&amp;IF(COUNTIF(코드설정!$H$5:$H$7,업무일지!$D8)=0,"직무구분 누락; ","")&amp;IF(업무일지!$E8="","세부유형 누락; ",IF(AND(업무일지!$D8&lt;&gt;"",COUNTIFS(코드설정!$A$5:$A$21,업무일지!$D8,코드설정!$B$5:$B$21,업무일지!$E8)=0),"세부유형이 직무구분과 불일치; ",""))&amp;IF(AND(업무일지!$F8&lt;&gt;"",COUNTIF(사건마스터!$A$5:$A$64,업무일지!$F8)=0),"미등록 사건번호; ","")&amp;IF(AND(업무일지!$F8="",업무일지!$H8=""),"사건번호·업무명 모두 없음; ","")&amp;IF(업무일지!$J8="","담당자 없음; ","")&amp;IF(COUNTIF(코드설정!$F$5:$F$7,업무일지!$AG8)=0,"진행상태 누락; ","")))</f>
        <v/>
      </c>
    </row>
    <row r="41">
      <c r="A41" s="26" t="inlineStr">
        <is>
          <t>업무일지</t>
        </is>
      </c>
      <c r="B41" s="66" t="n">
        <v>9</v>
      </c>
      <c r="C41" s="122">
        <f>IF($D41="","",IFERROR(TEXT(업무일지!$B9,"yyyy-mm-dd"),"(날짜없음)")&amp;"  "&amp;업무일지!$F9&amp;"  "&amp;업무일지!$H9)</f>
        <v/>
      </c>
      <c r="D41" s="122">
        <f>IF(NOT(COUNTBLANK(업무일지!$B9:$AH9)&lt;33),"",TRIM(IF(업무일지!$B9="","시작일 누락; ","")&amp;IF(업무일지!$C9="","종료일 누락; ","")&amp;IF(AND(업무일지!$B9&lt;&gt;"",업무일지!$C9&lt;&gt;"",업무일지!$C9&lt;업무일지!$B9),"종료일이 시작일보다 빠름; ","")&amp;IF(COUNTIF(코드설정!$H$5:$H$7,업무일지!$D9)=0,"직무구분 누락; ","")&amp;IF(업무일지!$E9="","세부유형 누락; ",IF(AND(업무일지!$D9&lt;&gt;"",COUNTIFS(코드설정!$A$5:$A$21,업무일지!$D9,코드설정!$B$5:$B$21,업무일지!$E9)=0),"세부유형이 직무구분과 불일치; ",""))&amp;IF(AND(업무일지!$F9&lt;&gt;"",COUNTIF(사건마스터!$A$5:$A$64,업무일지!$F9)=0),"미등록 사건번호; ","")&amp;IF(AND(업무일지!$F9="",업무일지!$H9=""),"사건번호·업무명 모두 없음; ","")&amp;IF(업무일지!$J9="","담당자 없음; ","")&amp;IF(COUNTIF(코드설정!$F$5:$F$7,업무일지!$AG9)=0,"진행상태 누락; ","")))</f>
        <v/>
      </c>
    </row>
    <row r="42">
      <c r="A42" s="26" t="inlineStr">
        <is>
          <t>업무일지</t>
        </is>
      </c>
      <c r="B42" s="66" t="n">
        <v>10</v>
      </c>
      <c r="C42" s="122">
        <f>IF($D42="","",IFERROR(TEXT(업무일지!$B10,"yyyy-mm-dd"),"(날짜없음)")&amp;"  "&amp;업무일지!$F10&amp;"  "&amp;업무일지!$H10)</f>
        <v/>
      </c>
      <c r="D42" s="122">
        <f>IF(NOT(COUNTBLANK(업무일지!$B10:$AH10)&lt;33),"",TRIM(IF(업무일지!$B10="","시작일 누락; ","")&amp;IF(업무일지!$C10="","종료일 누락; ","")&amp;IF(AND(업무일지!$B10&lt;&gt;"",업무일지!$C10&lt;&gt;"",업무일지!$C10&lt;업무일지!$B10),"종료일이 시작일보다 빠름; ","")&amp;IF(COUNTIF(코드설정!$H$5:$H$7,업무일지!$D10)=0,"직무구분 누락; ","")&amp;IF(업무일지!$E10="","세부유형 누락; ",IF(AND(업무일지!$D10&lt;&gt;"",COUNTIFS(코드설정!$A$5:$A$21,업무일지!$D10,코드설정!$B$5:$B$21,업무일지!$E10)=0),"세부유형이 직무구분과 불일치; ",""))&amp;IF(AND(업무일지!$F10&lt;&gt;"",COUNTIF(사건마스터!$A$5:$A$64,업무일지!$F10)=0),"미등록 사건번호; ","")&amp;IF(AND(업무일지!$F10="",업무일지!$H10=""),"사건번호·업무명 모두 없음; ","")&amp;IF(업무일지!$J10="","담당자 없음; ","")&amp;IF(COUNTIF(코드설정!$F$5:$F$7,업무일지!$AG10)=0,"진행상태 누락; ","")))</f>
        <v/>
      </c>
    </row>
    <row r="43">
      <c r="A43" s="26" t="inlineStr">
        <is>
          <t>업무일지</t>
        </is>
      </c>
      <c r="B43" s="66" t="n">
        <v>11</v>
      </c>
      <c r="C43" s="122">
        <f>IF($D43="","",IFERROR(TEXT(업무일지!$B11,"yyyy-mm-dd"),"(날짜없음)")&amp;"  "&amp;업무일지!$F11&amp;"  "&amp;업무일지!$H11)</f>
        <v/>
      </c>
      <c r="D43" s="122">
        <f>IF(NOT(COUNTBLANK(업무일지!$B11:$AH11)&lt;33),"",TRIM(IF(업무일지!$B11="","시작일 누락; ","")&amp;IF(업무일지!$C11="","종료일 누락; ","")&amp;IF(AND(업무일지!$B11&lt;&gt;"",업무일지!$C11&lt;&gt;"",업무일지!$C11&lt;업무일지!$B11),"종료일이 시작일보다 빠름; ","")&amp;IF(COUNTIF(코드설정!$H$5:$H$7,업무일지!$D11)=0,"직무구분 누락; ","")&amp;IF(업무일지!$E11="","세부유형 누락; ",IF(AND(업무일지!$D11&lt;&gt;"",COUNTIFS(코드설정!$A$5:$A$21,업무일지!$D11,코드설정!$B$5:$B$21,업무일지!$E11)=0),"세부유형이 직무구분과 불일치; ",""))&amp;IF(AND(업무일지!$F11&lt;&gt;"",COUNTIF(사건마스터!$A$5:$A$64,업무일지!$F11)=0),"미등록 사건번호; ","")&amp;IF(AND(업무일지!$F11="",업무일지!$H11=""),"사건번호·업무명 모두 없음; ","")&amp;IF(업무일지!$J11="","담당자 없음; ","")&amp;IF(COUNTIF(코드설정!$F$5:$F$7,업무일지!$AG11)=0,"진행상태 누락; ","")))</f>
        <v/>
      </c>
    </row>
    <row r="44">
      <c r="A44" s="26" t="inlineStr">
        <is>
          <t>업무일지</t>
        </is>
      </c>
      <c r="B44" s="66" t="n">
        <v>12</v>
      </c>
      <c r="C44" s="122">
        <f>IF($D44="","",IFERROR(TEXT(업무일지!$B12,"yyyy-mm-dd"),"(날짜없음)")&amp;"  "&amp;업무일지!$F12&amp;"  "&amp;업무일지!$H12)</f>
        <v/>
      </c>
      <c r="D44" s="122">
        <f>IF(NOT(COUNTBLANK(업무일지!$B12:$AH12)&lt;33),"",TRIM(IF(업무일지!$B12="","시작일 누락; ","")&amp;IF(업무일지!$C12="","종료일 누락; ","")&amp;IF(AND(업무일지!$B12&lt;&gt;"",업무일지!$C12&lt;&gt;"",업무일지!$C12&lt;업무일지!$B12),"종료일이 시작일보다 빠름; ","")&amp;IF(COUNTIF(코드설정!$H$5:$H$7,업무일지!$D12)=0,"직무구분 누락; ","")&amp;IF(업무일지!$E12="","세부유형 누락; ",IF(AND(업무일지!$D12&lt;&gt;"",COUNTIFS(코드설정!$A$5:$A$21,업무일지!$D12,코드설정!$B$5:$B$21,업무일지!$E12)=0),"세부유형이 직무구분과 불일치; ",""))&amp;IF(AND(업무일지!$F12&lt;&gt;"",COUNTIF(사건마스터!$A$5:$A$64,업무일지!$F12)=0),"미등록 사건번호; ","")&amp;IF(AND(업무일지!$F12="",업무일지!$H12=""),"사건번호·업무명 모두 없음; ","")&amp;IF(업무일지!$J12="","담당자 없음; ","")&amp;IF(COUNTIF(코드설정!$F$5:$F$7,업무일지!$AG12)=0,"진행상태 누락; ","")))</f>
        <v/>
      </c>
    </row>
    <row r="45">
      <c r="A45" s="26" t="inlineStr">
        <is>
          <t>업무일지</t>
        </is>
      </c>
      <c r="B45" s="66" t="n">
        <v>13</v>
      </c>
      <c r="C45" s="122">
        <f>IF($D45="","",IFERROR(TEXT(업무일지!$B13,"yyyy-mm-dd"),"(날짜없음)")&amp;"  "&amp;업무일지!$F13&amp;"  "&amp;업무일지!$H13)</f>
        <v/>
      </c>
      <c r="D45" s="122">
        <f>IF(NOT(COUNTBLANK(업무일지!$B13:$AH13)&lt;33),"",TRIM(IF(업무일지!$B13="","시작일 누락; ","")&amp;IF(업무일지!$C13="","종료일 누락; ","")&amp;IF(AND(업무일지!$B13&lt;&gt;"",업무일지!$C13&lt;&gt;"",업무일지!$C13&lt;업무일지!$B13),"종료일이 시작일보다 빠름; ","")&amp;IF(COUNTIF(코드설정!$H$5:$H$7,업무일지!$D13)=0,"직무구분 누락; ","")&amp;IF(업무일지!$E13="","세부유형 누락; ",IF(AND(업무일지!$D13&lt;&gt;"",COUNTIFS(코드설정!$A$5:$A$21,업무일지!$D13,코드설정!$B$5:$B$21,업무일지!$E13)=0),"세부유형이 직무구분과 불일치; ",""))&amp;IF(AND(업무일지!$F13&lt;&gt;"",COUNTIF(사건마스터!$A$5:$A$64,업무일지!$F13)=0),"미등록 사건번호; ","")&amp;IF(AND(업무일지!$F13="",업무일지!$H13=""),"사건번호·업무명 모두 없음; ","")&amp;IF(업무일지!$J13="","담당자 없음; ","")&amp;IF(COUNTIF(코드설정!$F$5:$F$7,업무일지!$AG13)=0,"진행상태 누락; ","")))</f>
        <v/>
      </c>
    </row>
    <row r="46">
      <c r="A46" s="26" t="inlineStr">
        <is>
          <t>업무일지</t>
        </is>
      </c>
      <c r="B46" s="66" t="n">
        <v>14</v>
      </c>
      <c r="C46" s="122">
        <f>IF($D46="","",IFERROR(TEXT(업무일지!$B14,"yyyy-mm-dd"),"(날짜없음)")&amp;"  "&amp;업무일지!$F14&amp;"  "&amp;업무일지!$H14)</f>
        <v/>
      </c>
      <c r="D46" s="122">
        <f>IF(NOT(COUNTBLANK(업무일지!$B14:$AH14)&lt;33),"",TRIM(IF(업무일지!$B14="","시작일 누락; ","")&amp;IF(업무일지!$C14="","종료일 누락; ","")&amp;IF(AND(업무일지!$B14&lt;&gt;"",업무일지!$C14&lt;&gt;"",업무일지!$C14&lt;업무일지!$B14),"종료일이 시작일보다 빠름; ","")&amp;IF(COUNTIF(코드설정!$H$5:$H$7,업무일지!$D14)=0,"직무구분 누락; ","")&amp;IF(업무일지!$E14="","세부유형 누락; ",IF(AND(업무일지!$D14&lt;&gt;"",COUNTIFS(코드설정!$A$5:$A$21,업무일지!$D14,코드설정!$B$5:$B$21,업무일지!$E14)=0),"세부유형이 직무구분과 불일치; ",""))&amp;IF(AND(업무일지!$F14&lt;&gt;"",COUNTIF(사건마스터!$A$5:$A$64,업무일지!$F14)=0),"미등록 사건번호; ","")&amp;IF(AND(업무일지!$F14="",업무일지!$H14=""),"사건번호·업무명 모두 없음; ","")&amp;IF(업무일지!$J14="","담당자 없음; ","")&amp;IF(COUNTIF(코드설정!$F$5:$F$7,업무일지!$AG14)=0,"진행상태 누락; ","")))</f>
        <v/>
      </c>
    </row>
    <row r="47">
      <c r="A47" s="26" t="inlineStr">
        <is>
          <t>업무일지</t>
        </is>
      </c>
      <c r="B47" s="66" t="n">
        <v>15</v>
      </c>
      <c r="C47" s="122">
        <f>IF($D47="","",IFERROR(TEXT(업무일지!$B15,"yyyy-mm-dd"),"(날짜없음)")&amp;"  "&amp;업무일지!$F15&amp;"  "&amp;업무일지!$H15)</f>
        <v/>
      </c>
      <c r="D47" s="122">
        <f>IF(NOT(COUNTBLANK(업무일지!$B15:$AH15)&lt;33),"",TRIM(IF(업무일지!$B15="","시작일 누락; ","")&amp;IF(업무일지!$C15="","종료일 누락; ","")&amp;IF(AND(업무일지!$B15&lt;&gt;"",업무일지!$C15&lt;&gt;"",업무일지!$C15&lt;업무일지!$B15),"종료일이 시작일보다 빠름; ","")&amp;IF(COUNTIF(코드설정!$H$5:$H$7,업무일지!$D15)=0,"직무구분 누락; ","")&amp;IF(업무일지!$E15="","세부유형 누락; ",IF(AND(업무일지!$D15&lt;&gt;"",COUNTIFS(코드설정!$A$5:$A$21,업무일지!$D15,코드설정!$B$5:$B$21,업무일지!$E15)=0),"세부유형이 직무구분과 불일치; ",""))&amp;IF(AND(업무일지!$F15&lt;&gt;"",COUNTIF(사건마스터!$A$5:$A$64,업무일지!$F15)=0),"미등록 사건번호; ","")&amp;IF(AND(업무일지!$F15="",업무일지!$H15=""),"사건번호·업무명 모두 없음; ","")&amp;IF(업무일지!$J15="","담당자 없음; ","")&amp;IF(COUNTIF(코드설정!$F$5:$F$7,업무일지!$AG15)=0,"진행상태 누락; ","")))</f>
        <v/>
      </c>
    </row>
    <row r="48">
      <c r="A48" s="26" t="inlineStr">
        <is>
          <t>업무일지</t>
        </is>
      </c>
      <c r="B48" s="66" t="n">
        <v>16</v>
      </c>
      <c r="C48" s="122">
        <f>IF($D48="","",IFERROR(TEXT(업무일지!$B16,"yyyy-mm-dd"),"(날짜없음)")&amp;"  "&amp;업무일지!$F16&amp;"  "&amp;업무일지!$H16)</f>
        <v/>
      </c>
      <c r="D48" s="122">
        <f>IF(NOT(COUNTBLANK(업무일지!$B16:$AH16)&lt;33),"",TRIM(IF(업무일지!$B16="","시작일 누락; ","")&amp;IF(업무일지!$C16="","종료일 누락; ","")&amp;IF(AND(업무일지!$B16&lt;&gt;"",업무일지!$C16&lt;&gt;"",업무일지!$C16&lt;업무일지!$B16),"종료일이 시작일보다 빠름; ","")&amp;IF(COUNTIF(코드설정!$H$5:$H$7,업무일지!$D16)=0,"직무구분 누락; ","")&amp;IF(업무일지!$E16="","세부유형 누락; ",IF(AND(업무일지!$D16&lt;&gt;"",COUNTIFS(코드설정!$A$5:$A$21,업무일지!$D16,코드설정!$B$5:$B$21,업무일지!$E16)=0),"세부유형이 직무구분과 불일치; ",""))&amp;IF(AND(업무일지!$F16&lt;&gt;"",COUNTIF(사건마스터!$A$5:$A$64,업무일지!$F16)=0),"미등록 사건번호; ","")&amp;IF(AND(업무일지!$F16="",업무일지!$H16=""),"사건번호·업무명 모두 없음; ","")&amp;IF(업무일지!$J16="","담당자 없음; ","")&amp;IF(COUNTIF(코드설정!$F$5:$F$7,업무일지!$AG16)=0,"진행상태 누락; ","")))</f>
        <v/>
      </c>
    </row>
    <row r="49">
      <c r="A49" s="26" t="inlineStr">
        <is>
          <t>업무일지</t>
        </is>
      </c>
      <c r="B49" s="66" t="n">
        <v>17</v>
      </c>
      <c r="C49" s="122">
        <f>IF($D49="","",IFERROR(TEXT(업무일지!$B17,"yyyy-mm-dd"),"(날짜없음)")&amp;"  "&amp;업무일지!$F17&amp;"  "&amp;업무일지!$H17)</f>
        <v/>
      </c>
      <c r="D49" s="122">
        <f>IF(NOT(COUNTBLANK(업무일지!$B17:$AH17)&lt;33),"",TRIM(IF(업무일지!$B17="","시작일 누락; ","")&amp;IF(업무일지!$C17="","종료일 누락; ","")&amp;IF(AND(업무일지!$B17&lt;&gt;"",업무일지!$C17&lt;&gt;"",업무일지!$C17&lt;업무일지!$B17),"종료일이 시작일보다 빠름; ","")&amp;IF(COUNTIF(코드설정!$H$5:$H$7,업무일지!$D17)=0,"직무구분 누락; ","")&amp;IF(업무일지!$E17="","세부유형 누락; ",IF(AND(업무일지!$D17&lt;&gt;"",COUNTIFS(코드설정!$A$5:$A$21,업무일지!$D17,코드설정!$B$5:$B$21,업무일지!$E17)=0),"세부유형이 직무구분과 불일치; ",""))&amp;IF(AND(업무일지!$F17&lt;&gt;"",COUNTIF(사건마스터!$A$5:$A$64,업무일지!$F17)=0),"미등록 사건번호; ","")&amp;IF(AND(업무일지!$F17="",업무일지!$H17=""),"사건번호·업무명 모두 없음; ","")&amp;IF(업무일지!$J17="","담당자 없음; ","")&amp;IF(COUNTIF(코드설정!$F$5:$F$7,업무일지!$AG17)=0,"진행상태 누락; ","")))</f>
        <v/>
      </c>
    </row>
    <row r="50">
      <c r="A50" s="26" t="inlineStr">
        <is>
          <t>업무일지</t>
        </is>
      </c>
      <c r="B50" s="66" t="n">
        <v>18</v>
      </c>
      <c r="C50" s="122">
        <f>IF($D50="","",IFERROR(TEXT(업무일지!$B18,"yyyy-mm-dd"),"(날짜없음)")&amp;"  "&amp;업무일지!$F18&amp;"  "&amp;업무일지!$H18)</f>
        <v/>
      </c>
      <c r="D50" s="122">
        <f>IF(NOT(COUNTBLANK(업무일지!$B18:$AH18)&lt;33),"",TRIM(IF(업무일지!$B18="","시작일 누락; ","")&amp;IF(업무일지!$C18="","종료일 누락; ","")&amp;IF(AND(업무일지!$B18&lt;&gt;"",업무일지!$C18&lt;&gt;"",업무일지!$C18&lt;업무일지!$B18),"종료일이 시작일보다 빠름; ","")&amp;IF(COUNTIF(코드설정!$H$5:$H$7,업무일지!$D18)=0,"직무구분 누락; ","")&amp;IF(업무일지!$E18="","세부유형 누락; ",IF(AND(업무일지!$D18&lt;&gt;"",COUNTIFS(코드설정!$A$5:$A$21,업무일지!$D18,코드설정!$B$5:$B$21,업무일지!$E18)=0),"세부유형이 직무구분과 불일치; ",""))&amp;IF(AND(업무일지!$F18&lt;&gt;"",COUNTIF(사건마스터!$A$5:$A$64,업무일지!$F18)=0),"미등록 사건번호; ","")&amp;IF(AND(업무일지!$F18="",업무일지!$H18=""),"사건번호·업무명 모두 없음; ","")&amp;IF(업무일지!$J18="","담당자 없음; ","")&amp;IF(COUNTIF(코드설정!$F$5:$F$7,업무일지!$AG18)=0,"진행상태 누락; ","")))</f>
        <v/>
      </c>
    </row>
    <row r="51">
      <c r="A51" s="26" t="inlineStr">
        <is>
          <t>업무일지</t>
        </is>
      </c>
      <c r="B51" s="66" t="n">
        <v>19</v>
      </c>
      <c r="C51" s="122">
        <f>IF($D51="","",IFERROR(TEXT(업무일지!$B19,"yyyy-mm-dd"),"(날짜없음)")&amp;"  "&amp;업무일지!$F19&amp;"  "&amp;업무일지!$H19)</f>
        <v/>
      </c>
      <c r="D51" s="122">
        <f>IF(NOT(COUNTBLANK(업무일지!$B19:$AH19)&lt;33),"",TRIM(IF(업무일지!$B19="","시작일 누락; ","")&amp;IF(업무일지!$C19="","종료일 누락; ","")&amp;IF(AND(업무일지!$B19&lt;&gt;"",업무일지!$C19&lt;&gt;"",업무일지!$C19&lt;업무일지!$B19),"종료일이 시작일보다 빠름; ","")&amp;IF(COUNTIF(코드설정!$H$5:$H$7,업무일지!$D19)=0,"직무구분 누락; ","")&amp;IF(업무일지!$E19="","세부유형 누락; ",IF(AND(업무일지!$D19&lt;&gt;"",COUNTIFS(코드설정!$A$5:$A$21,업무일지!$D19,코드설정!$B$5:$B$21,업무일지!$E19)=0),"세부유형이 직무구분과 불일치; ",""))&amp;IF(AND(업무일지!$F19&lt;&gt;"",COUNTIF(사건마스터!$A$5:$A$64,업무일지!$F19)=0),"미등록 사건번호; ","")&amp;IF(AND(업무일지!$F19="",업무일지!$H19=""),"사건번호·업무명 모두 없음; ","")&amp;IF(업무일지!$J19="","담당자 없음; ","")&amp;IF(COUNTIF(코드설정!$F$5:$F$7,업무일지!$AG19)=0,"진행상태 누락; ","")))</f>
        <v/>
      </c>
    </row>
    <row r="52">
      <c r="A52" s="26" t="inlineStr">
        <is>
          <t>업무일지</t>
        </is>
      </c>
      <c r="B52" s="66" t="n">
        <v>20</v>
      </c>
      <c r="C52" s="122">
        <f>IF($D52="","",IFERROR(TEXT(업무일지!$B20,"yyyy-mm-dd"),"(날짜없음)")&amp;"  "&amp;업무일지!$F20&amp;"  "&amp;업무일지!$H20)</f>
        <v/>
      </c>
      <c r="D52" s="122">
        <f>IF(NOT(COUNTBLANK(업무일지!$B20:$AH20)&lt;33),"",TRIM(IF(업무일지!$B20="","시작일 누락; ","")&amp;IF(업무일지!$C20="","종료일 누락; ","")&amp;IF(AND(업무일지!$B20&lt;&gt;"",업무일지!$C20&lt;&gt;"",업무일지!$C20&lt;업무일지!$B20),"종료일이 시작일보다 빠름; ","")&amp;IF(COUNTIF(코드설정!$H$5:$H$7,업무일지!$D20)=0,"직무구분 누락; ","")&amp;IF(업무일지!$E20="","세부유형 누락; ",IF(AND(업무일지!$D20&lt;&gt;"",COUNTIFS(코드설정!$A$5:$A$21,업무일지!$D20,코드설정!$B$5:$B$21,업무일지!$E20)=0),"세부유형이 직무구분과 불일치; ",""))&amp;IF(AND(업무일지!$F20&lt;&gt;"",COUNTIF(사건마스터!$A$5:$A$64,업무일지!$F20)=0),"미등록 사건번호; ","")&amp;IF(AND(업무일지!$F20="",업무일지!$H20=""),"사건번호·업무명 모두 없음; ","")&amp;IF(업무일지!$J20="","담당자 없음; ","")&amp;IF(COUNTIF(코드설정!$F$5:$F$7,업무일지!$AG20)=0,"진행상태 누락; ","")))</f>
        <v/>
      </c>
    </row>
    <row r="53">
      <c r="A53" s="26" t="inlineStr">
        <is>
          <t>업무일지</t>
        </is>
      </c>
      <c r="B53" s="66" t="n">
        <v>21</v>
      </c>
      <c r="C53" s="122">
        <f>IF($D53="","",IFERROR(TEXT(업무일지!$B21,"yyyy-mm-dd"),"(날짜없음)")&amp;"  "&amp;업무일지!$F21&amp;"  "&amp;업무일지!$H21)</f>
        <v/>
      </c>
      <c r="D53" s="122">
        <f>IF(NOT(COUNTBLANK(업무일지!$B21:$AH21)&lt;33),"",TRIM(IF(업무일지!$B21="","시작일 누락; ","")&amp;IF(업무일지!$C21="","종료일 누락; ","")&amp;IF(AND(업무일지!$B21&lt;&gt;"",업무일지!$C21&lt;&gt;"",업무일지!$C21&lt;업무일지!$B21),"종료일이 시작일보다 빠름; ","")&amp;IF(COUNTIF(코드설정!$H$5:$H$7,업무일지!$D21)=0,"직무구분 누락; ","")&amp;IF(업무일지!$E21="","세부유형 누락; ",IF(AND(업무일지!$D21&lt;&gt;"",COUNTIFS(코드설정!$A$5:$A$21,업무일지!$D21,코드설정!$B$5:$B$21,업무일지!$E21)=0),"세부유형이 직무구분과 불일치; ",""))&amp;IF(AND(업무일지!$F21&lt;&gt;"",COUNTIF(사건마스터!$A$5:$A$64,업무일지!$F21)=0),"미등록 사건번호; ","")&amp;IF(AND(업무일지!$F21="",업무일지!$H21=""),"사건번호·업무명 모두 없음; ","")&amp;IF(업무일지!$J21="","담당자 없음; ","")&amp;IF(COUNTIF(코드설정!$F$5:$F$7,업무일지!$AG21)=0,"진행상태 누락; ","")))</f>
        <v/>
      </c>
    </row>
    <row r="54">
      <c r="A54" s="26" t="inlineStr">
        <is>
          <t>업무일지</t>
        </is>
      </c>
      <c r="B54" s="66" t="n">
        <v>22</v>
      </c>
      <c r="C54" s="122">
        <f>IF($D54="","",IFERROR(TEXT(업무일지!$B22,"yyyy-mm-dd"),"(날짜없음)")&amp;"  "&amp;업무일지!$F22&amp;"  "&amp;업무일지!$H22)</f>
        <v/>
      </c>
      <c r="D54" s="122">
        <f>IF(NOT(COUNTBLANK(업무일지!$B22:$AH22)&lt;33),"",TRIM(IF(업무일지!$B22="","시작일 누락; ","")&amp;IF(업무일지!$C22="","종료일 누락; ","")&amp;IF(AND(업무일지!$B22&lt;&gt;"",업무일지!$C22&lt;&gt;"",업무일지!$C22&lt;업무일지!$B22),"종료일이 시작일보다 빠름; ","")&amp;IF(COUNTIF(코드설정!$H$5:$H$7,업무일지!$D22)=0,"직무구분 누락; ","")&amp;IF(업무일지!$E22="","세부유형 누락; ",IF(AND(업무일지!$D22&lt;&gt;"",COUNTIFS(코드설정!$A$5:$A$21,업무일지!$D22,코드설정!$B$5:$B$21,업무일지!$E22)=0),"세부유형이 직무구분과 불일치; ",""))&amp;IF(AND(업무일지!$F22&lt;&gt;"",COUNTIF(사건마스터!$A$5:$A$64,업무일지!$F22)=0),"미등록 사건번호; ","")&amp;IF(AND(업무일지!$F22="",업무일지!$H22=""),"사건번호·업무명 모두 없음; ","")&amp;IF(업무일지!$J22="","담당자 없음; ","")&amp;IF(COUNTIF(코드설정!$F$5:$F$7,업무일지!$AG22)=0,"진행상태 누락; ","")))</f>
        <v/>
      </c>
    </row>
    <row r="55">
      <c r="A55" s="26" t="inlineStr">
        <is>
          <t>업무일지</t>
        </is>
      </c>
      <c r="B55" s="66" t="n">
        <v>23</v>
      </c>
      <c r="C55" s="122">
        <f>IF($D55="","",IFERROR(TEXT(업무일지!$B23,"yyyy-mm-dd"),"(날짜없음)")&amp;"  "&amp;업무일지!$F23&amp;"  "&amp;업무일지!$H23)</f>
        <v/>
      </c>
      <c r="D55" s="122">
        <f>IF(NOT(COUNTBLANK(업무일지!$B23:$AH23)&lt;33),"",TRIM(IF(업무일지!$B23="","시작일 누락; ","")&amp;IF(업무일지!$C23="","종료일 누락; ","")&amp;IF(AND(업무일지!$B23&lt;&gt;"",업무일지!$C23&lt;&gt;"",업무일지!$C23&lt;업무일지!$B23),"종료일이 시작일보다 빠름; ","")&amp;IF(COUNTIF(코드설정!$H$5:$H$7,업무일지!$D23)=0,"직무구분 누락; ","")&amp;IF(업무일지!$E23="","세부유형 누락; ",IF(AND(업무일지!$D23&lt;&gt;"",COUNTIFS(코드설정!$A$5:$A$21,업무일지!$D23,코드설정!$B$5:$B$21,업무일지!$E23)=0),"세부유형이 직무구분과 불일치; ",""))&amp;IF(AND(업무일지!$F23&lt;&gt;"",COUNTIF(사건마스터!$A$5:$A$64,업무일지!$F23)=0),"미등록 사건번호; ","")&amp;IF(AND(업무일지!$F23="",업무일지!$H23=""),"사건번호·업무명 모두 없음; ","")&amp;IF(업무일지!$J23="","담당자 없음; ","")&amp;IF(COUNTIF(코드설정!$F$5:$F$7,업무일지!$AG23)=0,"진행상태 누락; ","")))</f>
        <v/>
      </c>
    </row>
    <row r="56">
      <c r="A56" s="26" t="inlineStr">
        <is>
          <t>업무일지</t>
        </is>
      </c>
      <c r="B56" s="66" t="n">
        <v>24</v>
      </c>
      <c r="C56" s="122">
        <f>IF($D56="","",IFERROR(TEXT(업무일지!$B24,"yyyy-mm-dd"),"(날짜없음)")&amp;"  "&amp;업무일지!$F24&amp;"  "&amp;업무일지!$H24)</f>
        <v/>
      </c>
      <c r="D56" s="122">
        <f>IF(NOT(COUNTBLANK(업무일지!$B24:$AH24)&lt;33),"",TRIM(IF(업무일지!$B24="","시작일 누락; ","")&amp;IF(업무일지!$C24="","종료일 누락; ","")&amp;IF(AND(업무일지!$B24&lt;&gt;"",업무일지!$C24&lt;&gt;"",업무일지!$C24&lt;업무일지!$B24),"종료일이 시작일보다 빠름; ","")&amp;IF(COUNTIF(코드설정!$H$5:$H$7,업무일지!$D24)=0,"직무구분 누락; ","")&amp;IF(업무일지!$E24="","세부유형 누락; ",IF(AND(업무일지!$D24&lt;&gt;"",COUNTIFS(코드설정!$A$5:$A$21,업무일지!$D24,코드설정!$B$5:$B$21,업무일지!$E24)=0),"세부유형이 직무구분과 불일치; ",""))&amp;IF(AND(업무일지!$F24&lt;&gt;"",COUNTIF(사건마스터!$A$5:$A$64,업무일지!$F24)=0),"미등록 사건번호; ","")&amp;IF(AND(업무일지!$F24="",업무일지!$H24=""),"사건번호·업무명 모두 없음; ","")&amp;IF(업무일지!$J24="","담당자 없음; ","")&amp;IF(COUNTIF(코드설정!$F$5:$F$7,업무일지!$AG24)=0,"진행상태 누락; ","")))</f>
        <v/>
      </c>
    </row>
    <row r="57">
      <c r="A57" s="26" t="inlineStr">
        <is>
          <t>업무일지</t>
        </is>
      </c>
      <c r="B57" s="66" t="n">
        <v>25</v>
      </c>
      <c r="C57" s="122">
        <f>IF($D57="","",IFERROR(TEXT(업무일지!$B25,"yyyy-mm-dd"),"(날짜없음)")&amp;"  "&amp;업무일지!$F25&amp;"  "&amp;업무일지!$H25)</f>
        <v/>
      </c>
      <c r="D57" s="122">
        <f>IF(NOT(COUNTBLANK(업무일지!$B25:$AH25)&lt;33),"",TRIM(IF(업무일지!$B25="","시작일 누락; ","")&amp;IF(업무일지!$C25="","종료일 누락; ","")&amp;IF(AND(업무일지!$B25&lt;&gt;"",업무일지!$C25&lt;&gt;"",업무일지!$C25&lt;업무일지!$B25),"종료일이 시작일보다 빠름; ","")&amp;IF(COUNTIF(코드설정!$H$5:$H$7,업무일지!$D25)=0,"직무구분 누락; ","")&amp;IF(업무일지!$E25="","세부유형 누락; ",IF(AND(업무일지!$D25&lt;&gt;"",COUNTIFS(코드설정!$A$5:$A$21,업무일지!$D25,코드설정!$B$5:$B$21,업무일지!$E25)=0),"세부유형이 직무구분과 불일치; ",""))&amp;IF(AND(업무일지!$F25&lt;&gt;"",COUNTIF(사건마스터!$A$5:$A$64,업무일지!$F25)=0),"미등록 사건번호; ","")&amp;IF(AND(업무일지!$F25="",업무일지!$H25=""),"사건번호·업무명 모두 없음; ","")&amp;IF(업무일지!$J25="","담당자 없음; ","")&amp;IF(COUNTIF(코드설정!$F$5:$F$7,업무일지!$AG25)=0,"진행상태 누락; ","")))</f>
        <v/>
      </c>
    </row>
    <row r="58">
      <c r="A58" s="26" t="inlineStr">
        <is>
          <t>업무일지</t>
        </is>
      </c>
      <c r="B58" s="66" t="n">
        <v>26</v>
      </c>
      <c r="C58" s="122">
        <f>IF($D58="","",IFERROR(TEXT(업무일지!$B26,"yyyy-mm-dd"),"(날짜없음)")&amp;"  "&amp;업무일지!$F26&amp;"  "&amp;업무일지!$H26)</f>
        <v/>
      </c>
      <c r="D58" s="122">
        <f>IF(NOT(COUNTBLANK(업무일지!$B26:$AH26)&lt;33),"",TRIM(IF(업무일지!$B26="","시작일 누락; ","")&amp;IF(업무일지!$C26="","종료일 누락; ","")&amp;IF(AND(업무일지!$B26&lt;&gt;"",업무일지!$C26&lt;&gt;"",업무일지!$C26&lt;업무일지!$B26),"종료일이 시작일보다 빠름; ","")&amp;IF(COUNTIF(코드설정!$H$5:$H$7,업무일지!$D26)=0,"직무구분 누락; ","")&amp;IF(업무일지!$E26="","세부유형 누락; ",IF(AND(업무일지!$D26&lt;&gt;"",COUNTIFS(코드설정!$A$5:$A$21,업무일지!$D26,코드설정!$B$5:$B$21,업무일지!$E26)=0),"세부유형이 직무구분과 불일치; ",""))&amp;IF(AND(업무일지!$F26&lt;&gt;"",COUNTIF(사건마스터!$A$5:$A$64,업무일지!$F26)=0),"미등록 사건번호; ","")&amp;IF(AND(업무일지!$F26="",업무일지!$H26=""),"사건번호·업무명 모두 없음; ","")&amp;IF(업무일지!$J26="","담당자 없음; ","")&amp;IF(COUNTIF(코드설정!$F$5:$F$7,업무일지!$AG26)=0,"진행상태 누락; ","")))</f>
        <v/>
      </c>
    </row>
    <row r="59">
      <c r="A59" s="26" t="inlineStr">
        <is>
          <t>업무일지</t>
        </is>
      </c>
      <c r="B59" s="66" t="n">
        <v>27</v>
      </c>
      <c r="C59" s="122">
        <f>IF($D59="","",IFERROR(TEXT(업무일지!$B27,"yyyy-mm-dd"),"(날짜없음)")&amp;"  "&amp;업무일지!$F27&amp;"  "&amp;업무일지!$H27)</f>
        <v/>
      </c>
      <c r="D59" s="122">
        <f>IF(NOT(COUNTBLANK(업무일지!$B27:$AH27)&lt;33),"",TRIM(IF(업무일지!$B27="","시작일 누락; ","")&amp;IF(업무일지!$C27="","종료일 누락; ","")&amp;IF(AND(업무일지!$B27&lt;&gt;"",업무일지!$C27&lt;&gt;"",업무일지!$C27&lt;업무일지!$B27),"종료일이 시작일보다 빠름; ","")&amp;IF(COUNTIF(코드설정!$H$5:$H$7,업무일지!$D27)=0,"직무구분 누락; ","")&amp;IF(업무일지!$E27="","세부유형 누락; ",IF(AND(업무일지!$D27&lt;&gt;"",COUNTIFS(코드설정!$A$5:$A$21,업무일지!$D27,코드설정!$B$5:$B$21,업무일지!$E27)=0),"세부유형이 직무구분과 불일치; ",""))&amp;IF(AND(업무일지!$F27&lt;&gt;"",COUNTIF(사건마스터!$A$5:$A$64,업무일지!$F27)=0),"미등록 사건번호; ","")&amp;IF(AND(업무일지!$F27="",업무일지!$H27=""),"사건번호·업무명 모두 없음; ","")&amp;IF(업무일지!$J27="","담당자 없음; ","")&amp;IF(COUNTIF(코드설정!$F$5:$F$7,업무일지!$AG27)=0,"진행상태 누락; ","")))</f>
        <v/>
      </c>
    </row>
    <row r="60">
      <c r="A60" s="26" t="inlineStr">
        <is>
          <t>업무일지</t>
        </is>
      </c>
      <c r="B60" s="66" t="n">
        <v>28</v>
      </c>
      <c r="C60" s="122">
        <f>IF($D60="","",IFERROR(TEXT(업무일지!$B28,"yyyy-mm-dd"),"(날짜없음)")&amp;"  "&amp;업무일지!$F28&amp;"  "&amp;업무일지!$H28)</f>
        <v/>
      </c>
      <c r="D60" s="122">
        <f>IF(NOT(COUNTBLANK(업무일지!$B28:$AH28)&lt;33),"",TRIM(IF(업무일지!$B28="","시작일 누락; ","")&amp;IF(업무일지!$C28="","종료일 누락; ","")&amp;IF(AND(업무일지!$B28&lt;&gt;"",업무일지!$C28&lt;&gt;"",업무일지!$C28&lt;업무일지!$B28),"종료일이 시작일보다 빠름; ","")&amp;IF(COUNTIF(코드설정!$H$5:$H$7,업무일지!$D28)=0,"직무구분 누락; ","")&amp;IF(업무일지!$E28="","세부유형 누락; ",IF(AND(업무일지!$D28&lt;&gt;"",COUNTIFS(코드설정!$A$5:$A$21,업무일지!$D28,코드설정!$B$5:$B$21,업무일지!$E28)=0),"세부유형이 직무구분과 불일치; ",""))&amp;IF(AND(업무일지!$F28&lt;&gt;"",COUNTIF(사건마스터!$A$5:$A$64,업무일지!$F28)=0),"미등록 사건번호; ","")&amp;IF(AND(업무일지!$F28="",업무일지!$H28=""),"사건번호·업무명 모두 없음; ","")&amp;IF(업무일지!$J28="","담당자 없음; ","")&amp;IF(COUNTIF(코드설정!$F$5:$F$7,업무일지!$AG28)=0,"진행상태 누락; ","")))</f>
        <v/>
      </c>
    </row>
    <row r="61">
      <c r="A61" s="26" t="inlineStr">
        <is>
          <t>업무일지</t>
        </is>
      </c>
      <c r="B61" s="66" t="n">
        <v>29</v>
      </c>
      <c r="C61" s="122">
        <f>IF($D61="","",IFERROR(TEXT(업무일지!$B29,"yyyy-mm-dd"),"(날짜없음)")&amp;"  "&amp;업무일지!$F29&amp;"  "&amp;업무일지!$H29)</f>
        <v/>
      </c>
      <c r="D61" s="122">
        <f>IF(NOT(COUNTBLANK(업무일지!$B29:$AH29)&lt;33),"",TRIM(IF(업무일지!$B29="","시작일 누락; ","")&amp;IF(업무일지!$C29="","종료일 누락; ","")&amp;IF(AND(업무일지!$B29&lt;&gt;"",업무일지!$C29&lt;&gt;"",업무일지!$C29&lt;업무일지!$B29),"종료일이 시작일보다 빠름; ","")&amp;IF(COUNTIF(코드설정!$H$5:$H$7,업무일지!$D29)=0,"직무구분 누락; ","")&amp;IF(업무일지!$E29="","세부유형 누락; ",IF(AND(업무일지!$D29&lt;&gt;"",COUNTIFS(코드설정!$A$5:$A$21,업무일지!$D29,코드설정!$B$5:$B$21,업무일지!$E29)=0),"세부유형이 직무구분과 불일치; ",""))&amp;IF(AND(업무일지!$F29&lt;&gt;"",COUNTIF(사건마스터!$A$5:$A$64,업무일지!$F29)=0),"미등록 사건번호; ","")&amp;IF(AND(업무일지!$F29="",업무일지!$H29=""),"사건번호·업무명 모두 없음; ","")&amp;IF(업무일지!$J29="","담당자 없음; ","")&amp;IF(COUNTIF(코드설정!$F$5:$F$7,업무일지!$AG29)=0,"진행상태 누락; ","")))</f>
        <v/>
      </c>
    </row>
    <row r="62">
      <c r="A62" s="26" t="inlineStr">
        <is>
          <t>업무일지</t>
        </is>
      </c>
      <c r="B62" s="66" t="n">
        <v>30</v>
      </c>
      <c r="C62" s="122">
        <f>IF($D62="","",IFERROR(TEXT(업무일지!$B30,"yyyy-mm-dd"),"(날짜없음)")&amp;"  "&amp;업무일지!$F30&amp;"  "&amp;업무일지!$H30)</f>
        <v/>
      </c>
      <c r="D62" s="122">
        <f>IF(NOT(COUNTBLANK(업무일지!$B30:$AH30)&lt;33),"",TRIM(IF(업무일지!$B30="","시작일 누락; ","")&amp;IF(업무일지!$C30="","종료일 누락; ","")&amp;IF(AND(업무일지!$B30&lt;&gt;"",업무일지!$C30&lt;&gt;"",업무일지!$C30&lt;업무일지!$B30),"종료일이 시작일보다 빠름; ","")&amp;IF(COUNTIF(코드설정!$H$5:$H$7,업무일지!$D30)=0,"직무구분 누락; ","")&amp;IF(업무일지!$E30="","세부유형 누락; ",IF(AND(업무일지!$D30&lt;&gt;"",COUNTIFS(코드설정!$A$5:$A$21,업무일지!$D30,코드설정!$B$5:$B$21,업무일지!$E30)=0),"세부유형이 직무구분과 불일치; ",""))&amp;IF(AND(업무일지!$F30&lt;&gt;"",COUNTIF(사건마스터!$A$5:$A$64,업무일지!$F30)=0),"미등록 사건번호; ","")&amp;IF(AND(업무일지!$F30="",업무일지!$H30=""),"사건번호·업무명 모두 없음; ","")&amp;IF(업무일지!$J30="","담당자 없음; ","")&amp;IF(COUNTIF(코드설정!$F$5:$F$7,업무일지!$AG30)=0,"진행상태 누락; ","")))</f>
        <v/>
      </c>
    </row>
    <row r="63">
      <c r="A63" s="26" t="inlineStr">
        <is>
          <t>업무일지</t>
        </is>
      </c>
      <c r="B63" s="66" t="n">
        <v>31</v>
      </c>
      <c r="C63" s="122">
        <f>IF($D63="","",IFERROR(TEXT(업무일지!$B31,"yyyy-mm-dd"),"(날짜없음)")&amp;"  "&amp;업무일지!$F31&amp;"  "&amp;업무일지!$H31)</f>
        <v/>
      </c>
      <c r="D63" s="122">
        <f>IF(NOT(COUNTBLANK(업무일지!$B31:$AH31)&lt;33),"",TRIM(IF(업무일지!$B31="","시작일 누락; ","")&amp;IF(업무일지!$C31="","종료일 누락; ","")&amp;IF(AND(업무일지!$B31&lt;&gt;"",업무일지!$C31&lt;&gt;"",업무일지!$C31&lt;업무일지!$B31),"종료일이 시작일보다 빠름; ","")&amp;IF(COUNTIF(코드설정!$H$5:$H$7,업무일지!$D31)=0,"직무구분 누락; ","")&amp;IF(업무일지!$E31="","세부유형 누락; ",IF(AND(업무일지!$D31&lt;&gt;"",COUNTIFS(코드설정!$A$5:$A$21,업무일지!$D31,코드설정!$B$5:$B$21,업무일지!$E31)=0),"세부유형이 직무구분과 불일치; ",""))&amp;IF(AND(업무일지!$F31&lt;&gt;"",COUNTIF(사건마스터!$A$5:$A$64,업무일지!$F31)=0),"미등록 사건번호; ","")&amp;IF(AND(업무일지!$F31="",업무일지!$H31=""),"사건번호·업무명 모두 없음; ","")&amp;IF(업무일지!$J31="","담당자 없음; ","")&amp;IF(COUNTIF(코드설정!$F$5:$F$7,업무일지!$AG31)=0,"진행상태 누락; ","")))</f>
        <v/>
      </c>
    </row>
    <row r="64">
      <c r="A64" s="26" t="inlineStr">
        <is>
          <t>업무일지</t>
        </is>
      </c>
      <c r="B64" s="66" t="n">
        <v>32</v>
      </c>
      <c r="C64" s="122">
        <f>IF($D64="","",IFERROR(TEXT(업무일지!$B32,"yyyy-mm-dd"),"(날짜없음)")&amp;"  "&amp;업무일지!$F32&amp;"  "&amp;업무일지!$H32)</f>
        <v/>
      </c>
      <c r="D64" s="122">
        <f>IF(NOT(COUNTBLANK(업무일지!$B32:$AH32)&lt;33),"",TRIM(IF(업무일지!$B32="","시작일 누락; ","")&amp;IF(업무일지!$C32="","종료일 누락; ","")&amp;IF(AND(업무일지!$B32&lt;&gt;"",업무일지!$C32&lt;&gt;"",업무일지!$C32&lt;업무일지!$B32),"종료일이 시작일보다 빠름; ","")&amp;IF(COUNTIF(코드설정!$H$5:$H$7,업무일지!$D32)=0,"직무구분 누락; ","")&amp;IF(업무일지!$E32="","세부유형 누락; ",IF(AND(업무일지!$D32&lt;&gt;"",COUNTIFS(코드설정!$A$5:$A$21,업무일지!$D32,코드설정!$B$5:$B$21,업무일지!$E32)=0),"세부유형이 직무구분과 불일치; ",""))&amp;IF(AND(업무일지!$F32&lt;&gt;"",COUNTIF(사건마스터!$A$5:$A$64,업무일지!$F32)=0),"미등록 사건번호; ","")&amp;IF(AND(업무일지!$F32="",업무일지!$H32=""),"사건번호·업무명 모두 없음; ","")&amp;IF(업무일지!$J32="","담당자 없음; ","")&amp;IF(COUNTIF(코드설정!$F$5:$F$7,업무일지!$AG32)=0,"진행상태 누락; ","")))</f>
        <v/>
      </c>
    </row>
    <row r="65">
      <c r="A65" s="26" t="inlineStr">
        <is>
          <t>업무일지</t>
        </is>
      </c>
      <c r="B65" s="66" t="n">
        <v>33</v>
      </c>
      <c r="C65" s="122">
        <f>IF($D65="","",IFERROR(TEXT(업무일지!$B33,"yyyy-mm-dd"),"(날짜없음)")&amp;"  "&amp;업무일지!$F33&amp;"  "&amp;업무일지!$H33)</f>
        <v/>
      </c>
      <c r="D65" s="122">
        <f>IF(NOT(COUNTBLANK(업무일지!$B33:$AH33)&lt;33),"",TRIM(IF(업무일지!$B33="","시작일 누락; ","")&amp;IF(업무일지!$C33="","종료일 누락; ","")&amp;IF(AND(업무일지!$B33&lt;&gt;"",업무일지!$C33&lt;&gt;"",업무일지!$C33&lt;업무일지!$B33),"종료일이 시작일보다 빠름; ","")&amp;IF(COUNTIF(코드설정!$H$5:$H$7,업무일지!$D33)=0,"직무구분 누락; ","")&amp;IF(업무일지!$E33="","세부유형 누락; ",IF(AND(업무일지!$D33&lt;&gt;"",COUNTIFS(코드설정!$A$5:$A$21,업무일지!$D33,코드설정!$B$5:$B$21,업무일지!$E33)=0),"세부유형이 직무구분과 불일치; ",""))&amp;IF(AND(업무일지!$F33&lt;&gt;"",COUNTIF(사건마스터!$A$5:$A$64,업무일지!$F33)=0),"미등록 사건번호; ","")&amp;IF(AND(업무일지!$F33="",업무일지!$H33=""),"사건번호·업무명 모두 없음; ","")&amp;IF(업무일지!$J33="","담당자 없음; ","")&amp;IF(COUNTIF(코드설정!$F$5:$F$7,업무일지!$AG33)=0,"진행상태 누락; ","")))</f>
        <v/>
      </c>
    </row>
    <row r="66">
      <c r="A66" s="26" t="inlineStr">
        <is>
          <t>업무일지</t>
        </is>
      </c>
      <c r="B66" s="66" t="n">
        <v>34</v>
      </c>
      <c r="C66" s="122">
        <f>IF($D66="","",IFERROR(TEXT(업무일지!$B34,"yyyy-mm-dd"),"(날짜없음)")&amp;"  "&amp;업무일지!$F34&amp;"  "&amp;업무일지!$H34)</f>
        <v/>
      </c>
      <c r="D66" s="122">
        <f>IF(NOT(COUNTBLANK(업무일지!$B34:$AH34)&lt;33),"",TRIM(IF(업무일지!$B34="","시작일 누락; ","")&amp;IF(업무일지!$C34="","종료일 누락; ","")&amp;IF(AND(업무일지!$B34&lt;&gt;"",업무일지!$C34&lt;&gt;"",업무일지!$C34&lt;업무일지!$B34),"종료일이 시작일보다 빠름; ","")&amp;IF(COUNTIF(코드설정!$H$5:$H$7,업무일지!$D34)=0,"직무구분 누락; ","")&amp;IF(업무일지!$E34="","세부유형 누락; ",IF(AND(업무일지!$D34&lt;&gt;"",COUNTIFS(코드설정!$A$5:$A$21,업무일지!$D34,코드설정!$B$5:$B$21,업무일지!$E34)=0),"세부유형이 직무구분과 불일치; ",""))&amp;IF(AND(업무일지!$F34&lt;&gt;"",COUNTIF(사건마스터!$A$5:$A$64,업무일지!$F34)=0),"미등록 사건번호; ","")&amp;IF(AND(업무일지!$F34="",업무일지!$H34=""),"사건번호·업무명 모두 없음; ","")&amp;IF(업무일지!$J34="","담당자 없음; ","")&amp;IF(COUNTIF(코드설정!$F$5:$F$7,업무일지!$AG34)=0,"진행상태 누락; ","")))</f>
        <v/>
      </c>
    </row>
    <row r="67">
      <c r="A67" s="26" t="inlineStr">
        <is>
          <t>업무일지</t>
        </is>
      </c>
      <c r="B67" s="66" t="n">
        <v>35</v>
      </c>
      <c r="C67" s="122">
        <f>IF($D67="","",IFERROR(TEXT(업무일지!$B35,"yyyy-mm-dd"),"(날짜없음)")&amp;"  "&amp;업무일지!$F35&amp;"  "&amp;업무일지!$H35)</f>
        <v/>
      </c>
      <c r="D67" s="122">
        <f>IF(NOT(COUNTBLANK(업무일지!$B35:$AH35)&lt;33),"",TRIM(IF(업무일지!$B35="","시작일 누락; ","")&amp;IF(업무일지!$C35="","종료일 누락; ","")&amp;IF(AND(업무일지!$B35&lt;&gt;"",업무일지!$C35&lt;&gt;"",업무일지!$C35&lt;업무일지!$B35),"종료일이 시작일보다 빠름; ","")&amp;IF(COUNTIF(코드설정!$H$5:$H$7,업무일지!$D35)=0,"직무구분 누락; ","")&amp;IF(업무일지!$E35="","세부유형 누락; ",IF(AND(업무일지!$D35&lt;&gt;"",COUNTIFS(코드설정!$A$5:$A$21,업무일지!$D35,코드설정!$B$5:$B$21,업무일지!$E35)=0),"세부유형이 직무구분과 불일치; ",""))&amp;IF(AND(업무일지!$F35&lt;&gt;"",COUNTIF(사건마스터!$A$5:$A$64,업무일지!$F35)=0),"미등록 사건번호; ","")&amp;IF(AND(업무일지!$F35="",업무일지!$H35=""),"사건번호·업무명 모두 없음; ","")&amp;IF(업무일지!$J35="","담당자 없음; ","")&amp;IF(COUNTIF(코드설정!$F$5:$F$7,업무일지!$AG35)=0,"진행상태 누락; ","")))</f>
        <v/>
      </c>
    </row>
    <row r="68">
      <c r="A68" s="26" t="inlineStr">
        <is>
          <t>업무일지</t>
        </is>
      </c>
      <c r="B68" s="66" t="n">
        <v>36</v>
      </c>
      <c r="C68" s="122">
        <f>IF($D68="","",IFERROR(TEXT(업무일지!$B36,"yyyy-mm-dd"),"(날짜없음)")&amp;"  "&amp;업무일지!$F36&amp;"  "&amp;업무일지!$H36)</f>
        <v/>
      </c>
      <c r="D68" s="122">
        <f>IF(NOT(COUNTBLANK(업무일지!$B36:$AH36)&lt;33),"",TRIM(IF(업무일지!$B36="","시작일 누락; ","")&amp;IF(업무일지!$C36="","종료일 누락; ","")&amp;IF(AND(업무일지!$B36&lt;&gt;"",업무일지!$C36&lt;&gt;"",업무일지!$C36&lt;업무일지!$B36),"종료일이 시작일보다 빠름; ","")&amp;IF(COUNTIF(코드설정!$H$5:$H$7,업무일지!$D36)=0,"직무구분 누락; ","")&amp;IF(업무일지!$E36="","세부유형 누락; ",IF(AND(업무일지!$D36&lt;&gt;"",COUNTIFS(코드설정!$A$5:$A$21,업무일지!$D36,코드설정!$B$5:$B$21,업무일지!$E36)=0),"세부유형이 직무구분과 불일치; ",""))&amp;IF(AND(업무일지!$F36&lt;&gt;"",COUNTIF(사건마스터!$A$5:$A$64,업무일지!$F36)=0),"미등록 사건번호; ","")&amp;IF(AND(업무일지!$F36="",업무일지!$H36=""),"사건번호·업무명 모두 없음; ","")&amp;IF(업무일지!$J36="","담당자 없음; ","")&amp;IF(COUNTIF(코드설정!$F$5:$F$7,업무일지!$AG36)=0,"진행상태 누락; ","")))</f>
        <v/>
      </c>
    </row>
    <row r="69">
      <c r="A69" s="26" t="inlineStr">
        <is>
          <t>업무일지</t>
        </is>
      </c>
      <c r="B69" s="66" t="n">
        <v>37</v>
      </c>
      <c r="C69" s="122">
        <f>IF($D69="","",IFERROR(TEXT(업무일지!$B37,"yyyy-mm-dd"),"(날짜없음)")&amp;"  "&amp;업무일지!$F37&amp;"  "&amp;업무일지!$H37)</f>
        <v/>
      </c>
      <c r="D69" s="122">
        <f>IF(NOT(COUNTBLANK(업무일지!$B37:$AH37)&lt;33),"",TRIM(IF(업무일지!$B37="","시작일 누락; ","")&amp;IF(업무일지!$C37="","종료일 누락; ","")&amp;IF(AND(업무일지!$B37&lt;&gt;"",업무일지!$C37&lt;&gt;"",업무일지!$C37&lt;업무일지!$B37),"종료일이 시작일보다 빠름; ","")&amp;IF(COUNTIF(코드설정!$H$5:$H$7,업무일지!$D37)=0,"직무구분 누락; ","")&amp;IF(업무일지!$E37="","세부유형 누락; ",IF(AND(업무일지!$D37&lt;&gt;"",COUNTIFS(코드설정!$A$5:$A$21,업무일지!$D37,코드설정!$B$5:$B$21,업무일지!$E37)=0),"세부유형이 직무구분과 불일치; ",""))&amp;IF(AND(업무일지!$F37&lt;&gt;"",COUNTIF(사건마스터!$A$5:$A$64,업무일지!$F37)=0),"미등록 사건번호; ","")&amp;IF(AND(업무일지!$F37="",업무일지!$H37=""),"사건번호·업무명 모두 없음; ","")&amp;IF(업무일지!$J37="","담당자 없음; ","")&amp;IF(COUNTIF(코드설정!$F$5:$F$7,업무일지!$AG37)=0,"진행상태 누락; ","")))</f>
        <v/>
      </c>
    </row>
    <row r="70">
      <c r="A70" s="26" t="inlineStr">
        <is>
          <t>업무일지</t>
        </is>
      </c>
      <c r="B70" s="66" t="n">
        <v>38</v>
      </c>
      <c r="C70" s="122">
        <f>IF($D70="","",IFERROR(TEXT(업무일지!$B38,"yyyy-mm-dd"),"(날짜없음)")&amp;"  "&amp;업무일지!$F38&amp;"  "&amp;업무일지!$H38)</f>
        <v/>
      </c>
      <c r="D70" s="122">
        <f>IF(NOT(COUNTBLANK(업무일지!$B38:$AH38)&lt;33),"",TRIM(IF(업무일지!$B38="","시작일 누락; ","")&amp;IF(업무일지!$C38="","종료일 누락; ","")&amp;IF(AND(업무일지!$B38&lt;&gt;"",업무일지!$C38&lt;&gt;"",업무일지!$C38&lt;업무일지!$B38),"종료일이 시작일보다 빠름; ","")&amp;IF(COUNTIF(코드설정!$H$5:$H$7,업무일지!$D38)=0,"직무구분 누락; ","")&amp;IF(업무일지!$E38="","세부유형 누락; ",IF(AND(업무일지!$D38&lt;&gt;"",COUNTIFS(코드설정!$A$5:$A$21,업무일지!$D38,코드설정!$B$5:$B$21,업무일지!$E38)=0),"세부유형이 직무구분과 불일치; ",""))&amp;IF(AND(업무일지!$F38&lt;&gt;"",COUNTIF(사건마스터!$A$5:$A$64,업무일지!$F38)=0),"미등록 사건번호; ","")&amp;IF(AND(업무일지!$F38="",업무일지!$H38=""),"사건번호·업무명 모두 없음; ","")&amp;IF(업무일지!$J38="","담당자 없음; ","")&amp;IF(COUNTIF(코드설정!$F$5:$F$7,업무일지!$AG38)=0,"진행상태 누락; ","")))</f>
        <v/>
      </c>
    </row>
    <row r="71">
      <c r="A71" s="26" t="inlineStr">
        <is>
          <t>업무일지</t>
        </is>
      </c>
      <c r="B71" s="66" t="n">
        <v>39</v>
      </c>
      <c r="C71" s="122">
        <f>IF($D71="","",IFERROR(TEXT(업무일지!$B39,"yyyy-mm-dd"),"(날짜없음)")&amp;"  "&amp;업무일지!$F39&amp;"  "&amp;업무일지!$H39)</f>
        <v/>
      </c>
      <c r="D71" s="122">
        <f>IF(NOT(COUNTBLANK(업무일지!$B39:$AH39)&lt;33),"",TRIM(IF(업무일지!$B39="","시작일 누락; ","")&amp;IF(업무일지!$C39="","종료일 누락; ","")&amp;IF(AND(업무일지!$B39&lt;&gt;"",업무일지!$C39&lt;&gt;"",업무일지!$C39&lt;업무일지!$B39),"종료일이 시작일보다 빠름; ","")&amp;IF(COUNTIF(코드설정!$H$5:$H$7,업무일지!$D39)=0,"직무구분 누락; ","")&amp;IF(업무일지!$E39="","세부유형 누락; ",IF(AND(업무일지!$D39&lt;&gt;"",COUNTIFS(코드설정!$A$5:$A$21,업무일지!$D39,코드설정!$B$5:$B$21,업무일지!$E39)=0),"세부유형이 직무구분과 불일치; ",""))&amp;IF(AND(업무일지!$F39&lt;&gt;"",COUNTIF(사건마스터!$A$5:$A$64,업무일지!$F39)=0),"미등록 사건번호; ","")&amp;IF(AND(업무일지!$F39="",업무일지!$H39=""),"사건번호·업무명 모두 없음; ","")&amp;IF(업무일지!$J39="","담당자 없음; ","")&amp;IF(COUNTIF(코드설정!$F$5:$F$7,업무일지!$AG39)=0,"진행상태 누락; ","")))</f>
        <v/>
      </c>
    </row>
    <row r="72">
      <c r="A72" s="26" t="inlineStr">
        <is>
          <t>업무일지</t>
        </is>
      </c>
      <c r="B72" s="66" t="n">
        <v>40</v>
      </c>
      <c r="C72" s="122">
        <f>IF($D72="","",IFERROR(TEXT(업무일지!$B40,"yyyy-mm-dd"),"(날짜없음)")&amp;"  "&amp;업무일지!$F40&amp;"  "&amp;업무일지!$H40)</f>
        <v/>
      </c>
      <c r="D72" s="122">
        <f>IF(NOT(COUNTBLANK(업무일지!$B40:$AH40)&lt;33),"",TRIM(IF(업무일지!$B40="","시작일 누락; ","")&amp;IF(업무일지!$C40="","종료일 누락; ","")&amp;IF(AND(업무일지!$B40&lt;&gt;"",업무일지!$C40&lt;&gt;"",업무일지!$C40&lt;업무일지!$B40),"종료일이 시작일보다 빠름; ","")&amp;IF(COUNTIF(코드설정!$H$5:$H$7,업무일지!$D40)=0,"직무구분 누락; ","")&amp;IF(업무일지!$E40="","세부유형 누락; ",IF(AND(업무일지!$D40&lt;&gt;"",COUNTIFS(코드설정!$A$5:$A$21,업무일지!$D40,코드설정!$B$5:$B$21,업무일지!$E40)=0),"세부유형이 직무구분과 불일치; ",""))&amp;IF(AND(업무일지!$F40&lt;&gt;"",COUNTIF(사건마스터!$A$5:$A$64,업무일지!$F40)=0),"미등록 사건번호; ","")&amp;IF(AND(업무일지!$F40="",업무일지!$H40=""),"사건번호·업무명 모두 없음; ","")&amp;IF(업무일지!$J40="","담당자 없음; ","")&amp;IF(COUNTIF(코드설정!$F$5:$F$7,업무일지!$AG40)=0,"진행상태 누락; ","")))</f>
        <v/>
      </c>
    </row>
    <row r="73">
      <c r="A73" s="26" t="inlineStr">
        <is>
          <t>업무일지</t>
        </is>
      </c>
      <c r="B73" s="66" t="n">
        <v>41</v>
      </c>
      <c r="C73" s="122">
        <f>IF($D73="","",IFERROR(TEXT(업무일지!$B41,"yyyy-mm-dd"),"(날짜없음)")&amp;"  "&amp;업무일지!$F41&amp;"  "&amp;업무일지!$H41)</f>
        <v/>
      </c>
      <c r="D73" s="122">
        <f>IF(NOT(COUNTBLANK(업무일지!$B41:$AH41)&lt;33),"",TRIM(IF(업무일지!$B41="","시작일 누락; ","")&amp;IF(업무일지!$C41="","종료일 누락; ","")&amp;IF(AND(업무일지!$B41&lt;&gt;"",업무일지!$C41&lt;&gt;"",업무일지!$C41&lt;업무일지!$B41),"종료일이 시작일보다 빠름; ","")&amp;IF(COUNTIF(코드설정!$H$5:$H$7,업무일지!$D41)=0,"직무구분 누락; ","")&amp;IF(업무일지!$E41="","세부유형 누락; ",IF(AND(업무일지!$D41&lt;&gt;"",COUNTIFS(코드설정!$A$5:$A$21,업무일지!$D41,코드설정!$B$5:$B$21,업무일지!$E41)=0),"세부유형이 직무구분과 불일치; ",""))&amp;IF(AND(업무일지!$F41&lt;&gt;"",COUNTIF(사건마스터!$A$5:$A$64,업무일지!$F41)=0),"미등록 사건번호; ","")&amp;IF(AND(업무일지!$F41="",업무일지!$H41=""),"사건번호·업무명 모두 없음; ","")&amp;IF(업무일지!$J41="","담당자 없음; ","")&amp;IF(COUNTIF(코드설정!$F$5:$F$7,업무일지!$AG41)=0,"진행상태 누락; ","")))</f>
        <v/>
      </c>
    </row>
    <row r="74">
      <c r="A74" s="26" t="inlineStr">
        <is>
          <t>업무일지</t>
        </is>
      </c>
      <c r="B74" s="66" t="n">
        <v>42</v>
      </c>
      <c r="C74" s="122">
        <f>IF($D74="","",IFERROR(TEXT(업무일지!$B42,"yyyy-mm-dd"),"(날짜없음)")&amp;"  "&amp;업무일지!$F42&amp;"  "&amp;업무일지!$H42)</f>
        <v/>
      </c>
      <c r="D74" s="122">
        <f>IF(NOT(COUNTBLANK(업무일지!$B42:$AH42)&lt;33),"",TRIM(IF(업무일지!$B42="","시작일 누락; ","")&amp;IF(업무일지!$C42="","종료일 누락; ","")&amp;IF(AND(업무일지!$B42&lt;&gt;"",업무일지!$C42&lt;&gt;"",업무일지!$C42&lt;업무일지!$B42),"종료일이 시작일보다 빠름; ","")&amp;IF(COUNTIF(코드설정!$H$5:$H$7,업무일지!$D42)=0,"직무구분 누락; ","")&amp;IF(업무일지!$E42="","세부유형 누락; ",IF(AND(업무일지!$D42&lt;&gt;"",COUNTIFS(코드설정!$A$5:$A$21,업무일지!$D42,코드설정!$B$5:$B$21,업무일지!$E42)=0),"세부유형이 직무구분과 불일치; ",""))&amp;IF(AND(업무일지!$F42&lt;&gt;"",COUNTIF(사건마스터!$A$5:$A$64,업무일지!$F42)=0),"미등록 사건번호; ","")&amp;IF(AND(업무일지!$F42="",업무일지!$H42=""),"사건번호·업무명 모두 없음; ","")&amp;IF(업무일지!$J42="","담당자 없음; ","")&amp;IF(COUNTIF(코드설정!$F$5:$F$7,업무일지!$AG42)=0,"진행상태 누락; ","")))</f>
        <v/>
      </c>
    </row>
    <row r="75">
      <c r="A75" s="26" t="inlineStr">
        <is>
          <t>업무일지</t>
        </is>
      </c>
      <c r="B75" s="66" t="n">
        <v>43</v>
      </c>
      <c r="C75" s="122">
        <f>IF($D75="","",IFERROR(TEXT(업무일지!$B43,"yyyy-mm-dd"),"(날짜없음)")&amp;"  "&amp;업무일지!$F43&amp;"  "&amp;업무일지!$H43)</f>
        <v/>
      </c>
      <c r="D75" s="122">
        <f>IF(NOT(COUNTBLANK(업무일지!$B43:$AH43)&lt;33),"",TRIM(IF(업무일지!$B43="","시작일 누락; ","")&amp;IF(업무일지!$C43="","종료일 누락; ","")&amp;IF(AND(업무일지!$B43&lt;&gt;"",업무일지!$C43&lt;&gt;"",업무일지!$C43&lt;업무일지!$B43),"종료일이 시작일보다 빠름; ","")&amp;IF(COUNTIF(코드설정!$H$5:$H$7,업무일지!$D43)=0,"직무구분 누락; ","")&amp;IF(업무일지!$E43="","세부유형 누락; ",IF(AND(업무일지!$D43&lt;&gt;"",COUNTIFS(코드설정!$A$5:$A$21,업무일지!$D43,코드설정!$B$5:$B$21,업무일지!$E43)=0),"세부유형이 직무구분과 불일치; ",""))&amp;IF(AND(업무일지!$F43&lt;&gt;"",COUNTIF(사건마스터!$A$5:$A$64,업무일지!$F43)=0),"미등록 사건번호; ","")&amp;IF(AND(업무일지!$F43="",업무일지!$H43=""),"사건번호·업무명 모두 없음; ","")&amp;IF(업무일지!$J43="","담당자 없음; ","")&amp;IF(COUNTIF(코드설정!$F$5:$F$7,업무일지!$AG43)=0,"진행상태 누락; ","")))</f>
        <v/>
      </c>
    </row>
    <row r="76">
      <c r="A76" s="26" t="inlineStr">
        <is>
          <t>업무일지</t>
        </is>
      </c>
      <c r="B76" s="66" t="n">
        <v>44</v>
      </c>
      <c r="C76" s="122">
        <f>IF($D76="","",IFERROR(TEXT(업무일지!$B44,"yyyy-mm-dd"),"(날짜없음)")&amp;"  "&amp;업무일지!$F44&amp;"  "&amp;업무일지!$H44)</f>
        <v/>
      </c>
      <c r="D76" s="122">
        <f>IF(NOT(COUNTBLANK(업무일지!$B44:$AH44)&lt;33),"",TRIM(IF(업무일지!$B44="","시작일 누락; ","")&amp;IF(업무일지!$C44="","종료일 누락; ","")&amp;IF(AND(업무일지!$B44&lt;&gt;"",업무일지!$C44&lt;&gt;"",업무일지!$C44&lt;업무일지!$B44),"종료일이 시작일보다 빠름; ","")&amp;IF(COUNTIF(코드설정!$H$5:$H$7,업무일지!$D44)=0,"직무구분 누락; ","")&amp;IF(업무일지!$E44="","세부유형 누락; ",IF(AND(업무일지!$D44&lt;&gt;"",COUNTIFS(코드설정!$A$5:$A$21,업무일지!$D44,코드설정!$B$5:$B$21,업무일지!$E44)=0),"세부유형이 직무구분과 불일치; ",""))&amp;IF(AND(업무일지!$F44&lt;&gt;"",COUNTIF(사건마스터!$A$5:$A$64,업무일지!$F44)=0),"미등록 사건번호; ","")&amp;IF(AND(업무일지!$F44="",업무일지!$H44=""),"사건번호·업무명 모두 없음; ","")&amp;IF(업무일지!$J44="","담당자 없음; ","")&amp;IF(COUNTIF(코드설정!$F$5:$F$7,업무일지!$AG44)=0,"진행상태 누락; ","")))</f>
        <v/>
      </c>
    </row>
    <row r="77">
      <c r="A77" s="26" t="inlineStr">
        <is>
          <t>업무일지</t>
        </is>
      </c>
      <c r="B77" s="66" t="n">
        <v>45</v>
      </c>
      <c r="C77" s="122">
        <f>IF($D77="","",IFERROR(TEXT(업무일지!$B45,"yyyy-mm-dd"),"(날짜없음)")&amp;"  "&amp;업무일지!$F45&amp;"  "&amp;업무일지!$H45)</f>
        <v/>
      </c>
      <c r="D77" s="122">
        <f>IF(NOT(COUNTBLANK(업무일지!$B45:$AH45)&lt;33),"",TRIM(IF(업무일지!$B45="","시작일 누락; ","")&amp;IF(업무일지!$C45="","종료일 누락; ","")&amp;IF(AND(업무일지!$B45&lt;&gt;"",업무일지!$C45&lt;&gt;"",업무일지!$C45&lt;업무일지!$B45),"종료일이 시작일보다 빠름; ","")&amp;IF(COUNTIF(코드설정!$H$5:$H$7,업무일지!$D45)=0,"직무구분 누락; ","")&amp;IF(업무일지!$E45="","세부유형 누락; ",IF(AND(업무일지!$D45&lt;&gt;"",COUNTIFS(코드설정!$A$5:$A$21,업무일지!$D45,코드설정!$B$5:$B$21,업무일지!$E45)=0),"세부유형이 직무구분과 불일치; ",""))&amp;IF(AND(업무일지!$F45&lt;&gt;"",COUNTIF(사건마스터!$A$5:$A$64,업무일지!$F45)=0),"미등록 사건번호; ","")&amp;IF(AND(업무일지!$F45="",업무일지!$H45=""),"사건번호·업무명 모두 없음; ","")&amp;IF(업무일지!$J45="","담당자 없음; ","")&amp;IF(COUNTIF(코드설정!$F$5:$F$7,업무일지!$AG45)=0,"진행상태 누락; ","")))</f>
        <v/>
      </c>
    </row>
    <row r="78">
      <c r="A78" s="26" t="inlineStr">
        <is>
          <t>업무일지</t>
        </is>
      </c>
      <c r="B78" s="66" t="n">
        <v>46</v>
      </c>
      <c r="C78" s="122">
        <f>IF($D78="","",IFERROR(TEXT(업무일지!$B46,"yyyy-mm-dd"),"(날짜없음)")&amp;"  "&amp;업무일지!$F46&amp;"  "&amp;업무일지!$H46)</f>
        <v/>
      </c>
      <c r="D78" s="122">
        <f>IF(NOT(COUNTBLANK(업무일지!$B46:$AH46)&lt;33),"",TRIM(IF(업무일지!$B46="","시작일 누락; ","")&amp;IF(업무일지!$C46="","종료일 누락; ","")&amp;IF(AND(업무일지!$B46&lt;&gt;"",업무일지!$C46&lt;&gt;"",업무일지!$C46&lt;업무일지!$B46),"종료일이 시작일보다 빠름; ","")&amp;IF(COUNTIF(코드설정!$H$5:$H$7,업무일지!$D46)=0,"직무구분 누락; ","")&amp;IF(업무일지!$E46="","세부유형 누락; ",IF(AND(업무일지!$D46&lt;&gt;"",COUNTIFS(코드설정!$A$5:$A$21,업무일지!$D46,코드설정!$B$5:$B$21,업무일지!$E46)=0),"세부유형이 직무구분과 불일치; ",""))&amp;IF(AND(업무일지!$F46&lt;&gt;"",COUNTIF(사건마스터!$A$5:$A$64,업무일지!$F46)=0),"미등록 사건번호; ","")&amp;IF(AND(업무일지!$F46="",업무일지!$H46=""),"사건번호·업무명 모두 없음; ","")&amp;IF(업무일지!$J46="","담당자 없음; ","")&amp;IF(COUNTIF(코드설정!$F$5:$F$7,업무일지!$AG46)=0,"진행상태 누락; ","")))</f>
        <v/>
      </c>
    </row>
    <row r="79">
      <c r="A79" s="26" t="inlineStr">
        <is>
          <t>업무일지</t>
        </is>
      </c>
      <c r="B79" s="66" t="n">
        <v>47</v>
      </c>
      <c r="C79" s="122">
        <f>IF($D79="","",IFERROR(TEXT(업무일지!$B47,"yyyy-mm-dd"),"(날짜없음)")&amp;"  "&amp;업무일지!$F47&amp;"  "&amp;업무일지!$H47)</f>
        <v/>
      </c>
      <c r="D79" s="122">
        <f>IF(NOT(COUNTBLANK(업무일지!$B47:$AH47)&lt;33),"",TRIM(IF(업무일지!$B47="","시작일 누락; ","")&amp;IF(업무일지!$C47="","종료일 누락; ","")&amp;IF(AND(업무일지!$B47&lt;&gt;"",업무일지!$C47&lt;&gt;"",업무일지!$C47&lt;업무일지!$B47),"종료일이 시작일보다 빠름; ","")&amp;IF(COUNTIF(코드설정!$H$5:$H$7,업무일지!$D47)=0,"직무구분 누락; ","")&amp;IF(업무일지!$E47="","세부유형 누락; ",IF(AND(업무일지!$D47&lt;&gt;"",COUNTIFS(코드설정!$A$5:$A$21,업무일지!$D47,코드설정!$B$5:$B$21,업무일지!$E47)=0),"세부유형이 직무구분과 불일치; ",""))&amp;IF(AND(업무일지!$F47&lt;&gt;"",COUNTIF(사건마스터!$A$5:$A$64,업무일지!$F47)=0),"미등록 사건번호; ","")&amp;IF(AND(업무일지!$F47="",업무일지!$H47=""),"사건번호·업무명 모두 없음; ","")&amp;IF(업무일지!$J47="","담당자 없음; ","")&amp;IF(COUNTIF(코드설정!$F$5:$F$7,업무일지!$AG47)=0,"진행상태 누락; ","")))</f>
        <v/>
      </c>
    </row>
    <row r="80">
      <c r="A80" s="26" t="inlineStr">
        <is>
          <t>업무일지</t>
        </is>
      </c>
      <c r="B80" s="66" t="n">
        <v>48</v>
      </c>
      <c r="C80" s="122">
        <f>IF($D80="","",IFERROR(TEXT(업무일지!$B48,"yyyy-mm-dd"),"(날짜없음)")&amp;"  "&amp;업무일지!$F48&amp;"  "&amp;업무일지!$H48)</f>
        <v/>
      </c>
      <c r="D80" s="122">
        <f>IF(NOT(COUNTBLANK(업무일지!$B48:$AH48)&lt;33),"",TRIM(IF(업무일지!$B48="","시작일 누락; ","")&amp;IF(업무일지!$C48="","종료일 누락; ","")&amp;IF(AND(업무일지!$B48&lt;&gt;"",업무일지!$C48&lt;&gt;"",업무일지!$C48&lt;업무일지!$B48),"종료일이 시작일보다 빠름; ","")&amp;IF(COUNTIF(코드설정!$H$5:$H$7,업무일지!$D48)=0,"직무구분 누락; ","")&amp;IF(업무일지!$E48="","세부유형 누락; ",IF(AND(업무일지!$D48&lt;&gt;"",COUNTIFS(코드설정!$A$5:$A$21,업무일지!$D48,코드설정!$B$5:$B$21,업무일지!$E48)=0),"세부유형이 직무구분과 불일치; ",""))&amp;IF(AND(업무일지!$F48&lt;&gt;"",COUNTIF(사건마스터!$A$5:$A$64,업무일지!$F48)=0),"미등록 사건번호; ","")&amp;IF(AND(업무일지!$F48="",업무일지!$H48=""),"사건번호·업무명 모두 없음; ","")&amp;IF(업무일지!$J48="","담당자 없음; ","")&amp;IF(COUNTIF(코드설정!$F$5:$F$7,업무일지!$AG48)=0,"진행상태 누락; ","")))</f>
        <v/>
      </c>
    </row>
    <row r="81">
      <c r="A81" s="26" t="inlineStr">
        <is>
          <t>업무일지</t>
        </is>
      </c>
      <c r="B81" s="66" t="n">
        <v>49</v>
      </c>
      <c r="C81" s="122">
        <f>IF($D81="","",IFERROR(TEXT(업무일지!$B49,"yyyy-mm-dd"),"(날짜없음)")&amp;"  "&amp;업무일지!$F49&amp;"  "&amp;업무일지!$H49)</f>
        <v/>
      </c>
      <c r="D81" s="122">
        <f>IF(NOT(COUNTBLANK(업무일지!$B49:$AH49)&lt;33),"",TRIM(IF(업무일지!$B49="","시작일 누락; ","")&amp;IF(업무일지!$C49="","종료일 누락; ","")&amp;IF(AND(업무일지!$B49&lt;&gt;"",업무일지!$C49&lt;&gt;"",업무일지!$C49&lt;업무일지!$B49),"종료일이 시작일보다 빠름; ","")&amp;IF(COUNTIF(코드설정!$H$5:$H$7,업무일지!$D49)=0,"직무구분 누락; ","")&amp;IF(업무일지!$E49="","세부유형 누락; ",IF(AND(업무일지!$D49&lt;&gt;"",COUNTIFS(코드설정!$A$5:$A$21,업무일지!$D49,코드설정!$B$5:$B$21,업무일지!$E49)=0),"세부유형이 직무구분과 불일치; ",""))&amp;IF(AND(업무일지!$F49&lt;&gt;"",COUNTIF(사건마스터!$A$5:$A$64,업무일지!$F49)=0),"미등록 사건번호; ","")&amp;IF(AND(업무일지!$F49="",업무일지!$H49=""),"사건번호·업무명 모두 없음; ","")&amp;IF(업무일지!$J49="","담당자 없음; ","")&amp;IF(COUNTIF(코드설정!$F$5:$F$7,업무일지!$AG49)=0,"진행상태 누락; ","")))</f>
        <v/>
      </c>
    </row>
    <row r="82">
      <c r="A82" s="26" t="inlineStr">
        <is>
          <t>업무일지</t>
        </is>
      </c>
      <c r="B82" s="66" t="n">
        <v>50</v>
      </c>
      <c r="C82" s="122">
        <f>IF($D82="","",IFERROR(TEXT(업무일지!$B50,"yyyy-mm-dd"),"(날짜없음)")&amp;"  "&amp;업무일지!$F50&amp;"  "&amp;업무일지!$H50)</f>
        <v/>
      </c>
      <c r="D82" s="122">
        <f>IF(NOT(COUNTBLANK(업무일지!$B50:$AH50)&lt;33),"",TRIM(IF(업무일지!$B50="","시작일 누락; ","")&amp;IF(업무일지!$C50="","종료일 누락; ","")&amp;IF(AND(업무일지!$B50&lt;&gt;"",업무일지!$C50&lt;&gt;"",업무일지!$C50&lt;업무일지!$B50),"종료일이 시작일보다 빠름; ","")&amp;IF(COUNTIF(코드설정!$H$5:$H$7,업무일지!$D50)=0,"직무구분 누락; ","")&amp;IF(업무일지!$E50="","세부유형 누락; ",IF(AND(업무일지!$D50&lt;&gt;"",COUNTIFS(코드설정!$A$5:$A$21,업무일지!$D50,코드설정!$B$5:$B$21,업무일지!$E50)=0),"세부유형이 직무구분과 불일치; ",""))&amp;IF(AND(업무일지!$F50&lt;&gt;"",COUNTIF(사건마스터!$A$5:$A$64,업무일지!$F50)=0),"미등록 사건번호; ","")&amp;IF(AND(업무일지!$F50="",업무일지!$H50=""),"사건번호·업무명 모두 없음; ","")&amp;IF(업무일지!$J50="","담당자 없음; ","")&amp;IF(COUNTIF(코드설정!$F$5:$F$7,업무일지!$AG50)=0,"진행상태 누락; ","")))</f>
        <v/>
      </c>
    </row>
    <row r="83">
      <c r="A83" s="26" t="inlineStr">
        <is>
          <t>업무일지</t>
        </is>
      </c>
      <c r="B83" s="66" t="n">
        <v>51</v>
      </c>
      <c r="C83" s="122">
        <f>IF($D83="","",IFERROR(TEXT(업무일지!$B51,"yyyy-mm-dd"),"(날짜없음)")&amp;"  "&amp;업무일지!$F51&amp;"  "&amp;업무일지!$H51)</f>
        <v/>
      </c>
      <c r="D83" s="122">
        <f>IF(NOT(COUNTBLANK(업무일지!$B51:$AH51)&lt;33),"",TRIM(IF(업무일지!$B51="","시작일 누락; ","")&amp;IF(업무일지!$C51="","종료일 누락; ","")&amp;IF(AND(업무일지!$B51&lt;&gt;"",업무일지!$C51&lt;&gt;"",업무일지!$C51&lt;업무일지!$B51),"종료일이 시작일보다 빠름; ","")&amp;IF(COUNTIF(코드설정!$H$5:$H$7,업무일지!$D51)=0,"직무구분 누락; ","")&amp;IF(업무일지!$E51="","세부유형 누락; ",IF(AND(업무일지!$D51&lt;&gt;"",COUNTIFS(코드설정!$A$5:$A$21,업무일지!$D51,코드설정!$B$5:$B$21,업무일지!$E51)=0),"세부유형이 직무구분과 불일치; ",""))&amp;IF(AND(업무일지!$F51&lt;&gt;"",COUNTIF(사건마스터!$A$5:$A$64,업무일지!$F51)=0),"미등록 사건번호; ","")&amp;IF(AND(업무일지!$F51="",업무일지!$H51=""),"사건번호·업무명 모두 없음; ","")&amp;IF(업무일지!$J51="","담당자 없음; ","")&amp;IF(COUNTIF(코드설정!$F$5:$F$7,업무일지!$AG51)=0,"진행상태 누락; ","")))</f>
        <v/>
      </c>
    </row>
    <row r="84">
      <c r="A84" s="26" t="inlineStr">
        <is>
          <t>업무일지</t>
        </is>
      </c>
      <c r="B84" s="66" t="n">
        <v>52</v>
      </c>
      <c r="C84" s="122">
        <f>IF($D84="","",IFERROR(TEXT(업무일지!$B52,"yyyy-mm-dd"),"(날짜없음)")&amp;"  "&amp;업무일지!$F52&amp;"  "&amp;업무일지!$H52)</f>
        <v/>
      </c>
      <c r="D84" s="122">
        <f>IF(NOT(COUNTBLANK(업무일지!$B52:$AH52)&lt;33),"",TRIM(IF(업무일지!$B52="","시작일 누락; ","")&amp;IF(업무일지!$C52="","종료일 누락; ","")&amp;IF(AND(업무일지!$B52&lt;&gt;"",업무일지!$C52&lt;&gt;"",업무일지!$C52&lt;업무일지!$B52),"종료일이 시작일보다 빠름; ","")&amp;IF(COUNTIF(코드설정!$H$5:$H$7,업무일지!$D52)=0,"직무구분 누락; ","")&amp;IF(업무일지!$E52="","세부유형 누락; ",IF(AND(업무일지!$D52&lt;&gt;"",COUNTIFS(코드설정!$A$5:$A$21,업무일지!$D52,코드설정!$B$5:$B$21,업무일지!$E52)=0),"세부유형이 직무구분과 불일치; ",""))&amp;IF(AND(업무일지!$F52&lt;&gt;"",COUNTIF(사건마스터!$A$5:$A$64,업무일지!$F52)=0),"미등록 사건번호; ","")&amp;IF(AND(업무일지!$F52="",업무일지!$H52=""),"사건번호·업무명 모두 없음; ","")&amp;IF(업무일지!$J52="","담당자 없음; ","")&amp;IF(COUNTIF(코드설정!$F$5:$F$7,업무일지!$AG52)=0,"진행상태 누락; ","")))</f>
        <v/>
      </c>
    </row>
    <row r="85">
      <c r="A85" s="26" t="inlineStr">
        <is>
          <t>업무일지</t>
        </is>
      </c>
      <c r="B85" s="66" t="n">
        <v>53</v>
      </c>
      <c r="C85" s="122">
        <f>IF($D85="","",IFERROR(TEXT(업무일지!$B53,"yyyy-mm-dd"),"(날짜없음)")&amp;"  "&amp;업무일지!$F53&amp;"  "&amp;업무일지!$H53)</f>
        <v/>
      </c>
      <c r="D85" s="122">
        <f>IF(NOT(COUNTBLANK(업무일지!$B53:$AH53)&lt;33),"",TRIM(IF(업무일지!$B53="","시작일 누락; ","")&amp;IF(업무일지!$C53="","종료일 누락; ","")&amp;IF(AND(업무일지!$B53&lt;&gt;"",업무일지!$C53&lt;&gt;"",업무일지!$C53&lt;업무일지!$B53),"종료일이 시작일보다 빠름; ","")&amp;IF(COUNTIF(코드설정!$H$5:$H$7,업무일지!$D53)=0,"직무구분 누락; ","")&amp;IF(업무일지!$E53="","세부유형 누락; ",IF(AND(업무일지!$D53&lt;&gt;"",COUNTIFS(코드설정!$A$5:$A$21,업무일지!$D53,코드설정!$B$5:$B$21,업무일지!$E53)=0),"세부유형이 직무구분과 불일치; ",""))&amp;IF(AND(업무일지!$F53&lt;&gt;"",COUNTIF(사건마스터!$A$5:$A$64,업무일지!$F53)=0),"미등록 사건번호; ","")&amp;IF(AND(업무일지!$F53="",업무일지!$H53=""),"사건번호·업무명 모두 없음; ","")&amp;IF(업무일지!$J53="","담당자 없음; ","")&amp;IF(COUNTIF(코드설정!$F$5:$F$7,업무일지!$AG53)=0,"진행상태 누락; ","")))</f>
        <v/>
      </c>
    </row>
    <row r="86">
      <c r="A86" s="26" t="inlineStr">
        <is>
          <t>업무일지</t>
        </is>
      </c>
      <c r="B86" s="66" t="n">
        <v>54</v>
      </c>
      <c r="C86" s="122">
        <f>IF($D86="","",IFERROR(TEXT(업무일지!$B54,"yyyy-mm-dd"),"(날짜없음)")&amp;"  "&amp;업무일지!$F54&amp;"  "&amp;업무일지!$H54)</f>
        <v/>
      </c>
      <c r="D86" s="122">
        <f>IF(NOT(COUNTBLANK(업무일지!$B54:$AH54)&lt;33),"",TRIM(IF(업무일지!$B54="","시작일 누락; ","")&amp;IF(업무일지!$C54="","종료일 누락; ","")&amp;IF(AND(업무일지!$B54&lt;&gt;"",업무일지!$C54&lt;&gt;"",업무일지!$C54&lt;업무일지!$B54),"종료일이 시작일보다 빠름; ","")&amp;IF(COUNTIF(코드설정!$H$5:$H$7,업무일지!$D54)=0,"직무구분 누락; ","")&amp;IF(업무일지!$E54="","세부유형 누락; ",IF(AND(업무일지!$D54&lt;&gt;"",COUNTIFS(코드설정!$A$5:$A$21,업무일지!$D54,코드설정!$B$5:$B$21,업무일지!$E54)=0),"세부유형이 직무구분과 불일치; ",""))&amp;IF(AND(업무일지!$F54&lt;&gt;"",COUNTIF(사건마스터!$A$5:$A$64,업무일지!$F54)=0),"미등록 사건번호; ","")&amp;IF(AND(업무일지!$F54="",업무일지!$H54=""),"사건번호·업무명 모두 없음; ","")&amp;IF(업무일지!$J54="","담당자 없음; ","")&amp;IF(COUNTIF(코드설정!$F$5:$F$7,업무일지!$AG54)=0,"진행상태 누락; ","")))</f>
        <v/>
      </c>
    </row>
    <row r="87">
      <c r="A87" s="26" t="inlineStr">
        <is>
          <t>업무일지</t>
        </is>
      </c>
      <c r="B87" s="66" t="n">
        <v>55</v>
      </c>
      <c r="C87" s="122">
        <f>IF($D87="","",IFERROR(TEXT(업무일지!$B55,"yyyy-mm-dd"),"(날짜없음)")&amp;"  "&amp;업무일지!$F55&amp;"  "&amp;업무일지!$H55)</f>
        <v/>
      </c>
      <c r="D87" s="122">
        <f>IF(NOT(COUNTBLANK(업무일지!$B55:$AH55)&lt;33),"",TRIM(IF(업무일지!$B55="","시작일 누락; ","")&amp;IF(업무일지!$C55="","종료일 누락; ","")&amp;IF(AND(업무일지!$B55&lt;&gt;"",업무일지!$C55&lt;&gt;"",업무일지!$C55&lt;업무일지!$B55),"종료일이 시작일보다 빠름; ","")&amp;IF(COUNTIF(코드설정!$H$5:$H$7,업무일지!$D55)=0,"직무구분 누락; ","")&amp;IF(업무일지!$E55="","세부유형 누락; ",IF(AND(업무일지!$D55&lt;&gt;"",COUNTIFS(코드설정!$A$5:$A$21,업무일지!$D55,코드설정!$B$5:$B$21,업무일지!$E55)=0),"세부유형이 직무구분과 불일치; ",""))&amp;IF(AND(업무일지!$F55&lt;&gt;"",COUNTIF(사건마스터!$A$5:$A$64,업무일지!$F55)=0),"미등록 사건번호; ","")&amp;IF(AND(업무일지!$F55="",업무일지!$H55=""),"사건번호·업무명 모두 없음; ","")&amp;IF(업무일지!$J55="","담당자 없음; ","")&amp;IF(COUNTIF(코드설정!$F$5:$F$7,업무일지!$AG55)=0,"진행상태 누락; ","")))</f>
        <v/>
      </c>
    </row>
    <row r="88">
      <c r="A88" s="26" t="inlineStr">
        <is>
          <t>업무일지</t>
        </is>
      </c>
      <c r="B88" s="66" t="n">
        <v>56</v>
      </c>
      <c r="C88" s="122">
        <f>IF($D88="","",IFERROR(TEXT(업무일지!$B56,"yyyy-mm-dd"),"(날짜없음)")&amp;"  "&amp;업무일지!$F56&amp;"  "&amp;업무일지!$H56)</f>
        <v/>
      </c>
      <c r="D88" s="122">
        <f>IF(NOT(COUNTBLANK(업무일지!$B56:$AH56)&lt;33),"",TRIM(IF(업무일지!$B56="","시작일 누락; ","")&amp;IF(업무일지!$C56="","종료일 누락; ","")&amp;IF(AND(업무일지!$B56&lt;&gt;"",업무일지!$C56&lt;&gt;"",업무일지!$C56&lt;업무일지!$B56),"종료일이 시작일보다 빠름; ","")&amp;IF(COUNTIF(코드설정!$H$5:$H$7,업무일지!$D56)=0,"직무구분 누락; ","")&amp;IF(업무일지!$E56="","세부유형 누락; ",IF(AND(업무일지!$D56&lt;&gt;"",COUNTIFS(코드설정!$A$5:$A$21,업무일지!$D56,코드설정!$B$5:$B$21,업무일지!$E56)=0),"세부유형이 직무구분과 불일치; ",""))&amp;IF(AND(업무일지!$F56&lt;&gt;"",COUNTIF(사건마스터!$A$5:$A$64,업무일지!$F56)=0),"미등록 사건번호; ","")&amp;IF(AND(업무일지!$F56="",업무일지!$H56=""),"사건번호·업무명 모두 없음; ","")&amp;IF(업무일지!$J56="","담당자 없음; ","")&amp;IF(COUNTIF(코드설정!$F$5:$F$7,업무일지!$AG56)=0,"진행상태 누락; ","")))</f>
        <v/>
      </c>
    </row>
    <row r="89">
      <c r="A89" s="26" t="inlineStr">
        <is>
          <t>업무일지</t>
        </is>
      </c>
      <c r="B89" s="66" t="n">
        <v>57</v>
      </c>
      <c r="C89" s="122">
        <f>IF($D89="","",IFERROR(TEXT(업무일지!$B57,"yyyy-mm-dd"),"(날짜없음)")&amp;"  "&amp;업무일지!$F57&amp;"  "&amp;업무일지!$H57)</f>
        <v/>
      </c>
      <c r="D89" s="122">
        <f>IF(NOT(COUNTBLANK(업무일지!$B57:$AH57)&lt;33),"",TRIM(IF(업무일지!$B57="","시작일 누락; ","")&amp;IF(업무일지!$C57="","종료일 누락; ","")&amp;IF(AND(업무일지!$B57&lt;&gt;"",업무일지!$C57&lt;&gt;"",업무일지!$C57&lt;업무일지!$B57),"종료일이 시작일보다 빠름; ","")&amp;IF(COUNTIF(코드설정!$H$5:$H$7,업무일지!$D57)=0,"직무구분 누락; ","")&amp;IF(업무일지!$E57="","세부유형 누락; ",IF(AND(업무일지!$D57&lt;&gt;"",COUNTIFS(코드설정!$A$5:$A$21,업무일지!$D57,코드설정!$B$5:$B$21,업무일지!$E57)=0),"세부유형이 직무구분과 불일치; ",""))&amp;IF(AND(업무일지!$F57&lt;&gt;"",COUNTIF(사건마스터!$A$5:$A$64,업무일지!$F57)=0),"미등록 사건번호; ","")&amp;IF(AND(업무일지!$F57="",업무일지!$H57=""),"사건번호·업무명 모두 없음; ","")&amp;IF(업무일지!$J57="","담당자 없음; ","")&amp;IF(COUNTIF(코드설정!$F$5:$F$7,업무일지!$AG57)=0,"진행상태 누락; ","")))</f>
        <v/>
      </c>
    </row>
    <row r="90">
      <c r="A90" s="26" t="inlineStr">
        <is>
          <t>업무일지</t>
        </is>
      </c>
      <c r="B90" s="66" t="n">
        <v>58</v>
      </c>
      <c r="C90" s="122">
        <f>IF($D90="","",IFERROR(TEXT(업무일지!$B58,"yyyy-mm-dd"),"(날짜없음)")&amp;"  "&amp;업무일지!$F58&amp;"  "&amp;업무일지!$H58)</f>
        <v/>
      </c>
      <c r="D90" s="122">
        <f>IF(NOT(COUNTBLANK(업무일지!$B58:$AH58)&lt;33),"",TRIM(IF(업무일지!$B58="","시작일 누락; ","")&amp;IF(업무일지!$C58="","종료일 누락; ","")&amp;IF(AND(업무일지!$B58&lt;&gt;"",업무일지!$C58&lt;&gt;"",업무일지!$C58&lt;업무일지!$B58),"종료일이 시작일보다 빠름; ","")&amp;IF(COUNTIF(코드설정!$H$5:$H$7,업무일지!$D58)=0,"직무구분 누락; ","")&amp;IF(업무일지!$E58="","세부유형 누락; ",IF(AND(업무일지!$D58&lt;&gt;"",COUNTIFS(코드설정!$A$5:$A$21,업무일지!$D58,코드설정!$B$5:$B$21,업무일지!$E58)=0),"세부유형이 직무구분과 불일치; ",""))&amp;IF(AND(업무일지!$F58&lt;&gt;"",COUNTIF(사건마스터!$A$5:$A$64,업무일지!$F58)=0),"미등록 사건번호; ","")&amp;IF(AND(업무일지!$F58="",업무일지!$H58=""),"사건번호·업무명 모두 없음; ","")&amp;IF(업무일지!$J58="","담당자 없음; ","")&amp;IF(COUNTIF(코드설정!$F$5:$F$7,업무일지!$AG58)=0,"진행상태 누락; ","")))</f>
        <v/>
      </c>
    </row>
    <row r="91">
      <c r="A91" s="26" t="inlineStr">
        <is>
          <t>업무일지</t>
        </is>
      </c>
      <c r="B91" s="66" t="n">
        <v>59</v>
      </c>
      <c r="C91" s="122">
        <f>IF($D91="","",IFERROR(TEXT(업무일지!$B59,"yyyy-mm-dd"),"(날짜없음)")&amp;"  "&amp;업무일지!$F59&amp;"  "&amp;업무일지!$H59)</f>
        <v/>
      </c>
      <c r="D91" s="122">
        <f>IF(NOT(COUNTBLANK(업무일지!$B59:$AH59)&lt;33),"",TRIM(IF(업무일지!$B59="","시작일 누락; ","")&amp;IF(업무일지!$C59="","종료일 누락; ","")&amp;IF(AND(업무일지!$B59&lt;&gt;"",업무일지!$C59&lt;&gt;"",업무일지!$C59&lt;업무일지!$B59),"종료일이 시작일보다 빠름; ","")&amp;IF(COUNTIF(코드설정!$H$5:$H$7,업무일지!$D59)=0,"직무구분 누락; ","")&amp;IF(업무일지!$E59="","세부유형 누락; ",IF(AND(업무일지!$D59&lt;&gt;"",COUNTIFS(코드설정!$A$5:$A$21,업무일지!$D59,코드설정!$B$5:$B$21,업무일지!$E59)=0),"세부유형이 직무구분과 불일치; ",""))&amp;IF(AND(업무일지!$F59&lt;&gt;"",COUNTIF(사건마스터!$A$5:$A$64,업무일지!$F59)=0),"미등록 사건번호; ","")&amp;IF(AND(업무일지!$F59="",업무일지!$H59=""),"사건번호·업무명 모두 없음; ","")&amp;IF(업무일지!$J59="","담당자 없음; ","")&amp;IF(COUNTIF(코드설정!$F$5:$F$7,업무일지!$AG59)=0,"진행상태 누락; ","")))</f>
        <v/>
      </c>
    </row>
    <row r="92">
      <c r="A92" s="26" t="inlineStr">
        <is>
          <t>업무일지</t>
        </is>
      </c>
      <c r="B92" s="66" t="n">
        <v>60</v>
      </c>
      <c r="C92" s="122">
        <f>IF($D92="","",IFERROR(TEXT(업무일지!$B60,"yyyy-mm-dd"),"(날짜없음)")&amp;"  "&amp;업무일지!$F60&amp;"  "&amp;업무일지!$H60)</f>
        <v/>
      </c>
      <c r="D92" s="122">
        <f>IF(NOT(COUNTBLANK(업무일지!$B60:$AH60)&lt;33),"",TRIM(IF(업무일지!$B60="","시작일 누락; ","")&amp;IF(업무일지!$C60="","종료일 누락; ","")&amp;IF(AND(업무일지!$B60&lt;&gt;"",업무일지!$C60&lt;&gt;"",업무일지!$C60&lt;업무일지!$B60),"종료일이 시작일보다 빠름; ","")&amp;IF(COUNTIF(코드설정!$H$5:$H$7,업무일지!$D60)=0,"직무구분 누락; ","")&amp;IF(업무일지!$E60="","세부유형 누락; ",IF(AND(업무일지!$D60&lt;&gt;"",COUNTIFS(코드설정!$A$5:$A$21,업무일지!$D60,코드설정!$B$5:$B$21,업무일지!$E60)=0),"세부유형이 직무구분과 불일치; ",""))&amp;IF(AND(업무일지!$F60&lt;&gt;"",COUNTIF(사건마스터!$A$5:$A$64,업무일지!$F60)=0),"미등록 사건번호; ","")&amp;IF(AND(업무일지!$F60="",업무일지!$H60=""),"사건번호·업무명 모두 없음; ","")&amp;IF(업무일지!$J60="","담당자 없음; ","")&amp;IF(COUNTIF(코드설정!$F$5:$F$7,업무일지!$AG60)=0,"진행상태 누락; ","")))</f>
        <v/>
      </c>
    </row>
    <row r="93">
      <c r="A93" s="26" t="inlineStr">
        <is>
          <t>업무일지</t>
        </is>
      </c>
      <c r="B93" s="66" t="n">
        <v>61</v>
      </c>
      <c r="C93" s="122">
        <f>IF($D93="","",IFERROR(TEXT(업무일지!$B61,"yyyy-mm-dd"),"(날짜없음)")&amp;"  "&amp;업무일지!$F61&amp;"  "&amp;업무일지!$H61)</f>
        <v/>
      </c>
      <c r="D93" s="122">
        <f>IF(NOT(COUNTBLANK(업무일지!$B61:$AH61)&lt;33),"",TRIM(IF(업무일지!$B61="","시작일 누락; ","")&amp;IF(업무일지!$C61="","종료일 누락; ","")&amp;IF(AND(업무일지!$B61&lt;&gt;"",업무일지!$C61&lt;&gt;"",업무일지!$C61&lt;업무일지!$B61),"종료일이 시작일보다 빠름; ","")&amp;IF(COUNTIF(코드설정!$H$5:$H$7,업무일지!$D61)=0,"직무구분 누락; ","")&amp;IF(업무일지!$E61="","세부유형 누락; ",IF(AND(업무일지!$D61&lt;&gt;"",COUNTIFS(코드설정!$A$5:$A$21,업무일지!$D61,코드설정!$B$5:$B$21,업무일지!$E61)=0),"세부유형이 직무구분과 불일치; ",""))&amp;IF(AND(업무일지!$F61&lt;&gt;"",COUNTIF(사건마스터!$A$5:$A$64,업무일지!$F61)=0),"미등록 사건번호; ","")&amp;IF(AND(업무일지!$F61="",업무일지!$H61=""),"사건번호·업무명 모두 없음; ","")&amp;IF(업무일지!$J61="","담당자 없음; ","")&amp;IF(COUNTIF(코드설정!$F$5:$F$7,업무일지!$AG61)=0,"진행상태 누락; ","")))</f>
        <v/>
      </c>
    </row>
    <row r="94">
      <c r="A94" s="26" t="inlineStr">
        <is>
          <t>업무일지</t>
        </is>
      </c>
      <c r="B94" s="66" t="n">
        <v>62</v>
      </c>
      <c r="C94" s="122">
        <f>IF($D94="","",IFERROR(TEXT(업무일지!$B62,"yyyy-mm-dd"),"(날짜없음)")&amp;"  "&amp;업무일지!$F62&amp;"  "&amp;업무일지!$H62)</f>
        <v/>
      </c>
      <c r="D94" s="122">
        <f>IF(NOT(COUNTBLANK(업무일지!$B62:$AH62)&lt;33),"",TRIM(IF(업무일지!$B62="","시작일 누락; ","")&amp;IF(업무일지!$C62="","종료일 누락; ","")&amp;IF(AND(업무일지!$B62&lt;&gt;"",업무일지!$C62&lt;&gt;"",업무일지!$C62&lt;업무일지!$B62),"종료일이 시작일보다 빠름; ","")&amp;IF(COUNTIF(코드설정!$H$5:$H$7,업무일지!$D62)=0,"직무구분 누락; ","")&amp;IF(업무일지!$E62="","세부유형 누락; ",IF(AND(업무일지!$D62&lt;&gt;"",COUNTIFS(코드설정!$A$5:$A$21,업무일지!$D62,코드설정!$B$5:$B$21,업무일지!$E62)=0),"세부유형이 직무구분과 불일치; ",""))&amp;IF(AND(업무일지!$F62&lt;&gt;"",COUNTIF(사건마스터!$A$5:$A$64,업무일지!$F62)=0),"미등록 사건번호; ","")&amp;IF(AND(업무일지!$F62="",업무일지!$H62=""),"사건번호·업무명 모두 없음; ","")&amp;IF(업무일지!$J62="","담당자 없음; ","")&amp;IF(COUNTIF(코드설정!$F$5:$F$7,업무일지!$AG62)=0,"진행상태 누락; ","")))</f>
        <v/>
      </c>
    </row>
    <row r="95">
      <c r="A95" s="26" t="inlineStr">
        <is>
          <t>업무일지</t>
        </is>
      </c>
      <c r="B95" s="66" t="n">
        <v>63</v>
      </c>
      <c r="C95" s="122">
        <f>IF($D95="","",IFERROR(TEXT(업무일지!$B63,"yyyy-mm-dd"),"(날짜없음)")&amp;"  "&amp;업무일지!$F63&amp;"  "&amp;업무일지!$H63)</f>
        <v/>
      </c>
      <c r="D95" s="122">
        <f>IF(NOT(COUNTBLANK(업무일지!$B63:$AH63)&lt;33),"",TRIM(IF(업무일지!$B63="","시작일 누락; ","")&amp;IF(업무일지!$C63="","종료일 누락; ","")&amp;IF(AND(업무일지!$B63&lt;&gt;"",업무일지!$C63&lt;&gt;"",업무일지!$C63&lt;업무일지!$B63),"종료일이 시작일보다 빠름; ","")&amp;IF(COUNTIF(코드설정!$H$5:$H$7,업무일지!$D63)=0,"직무구분 누락; ","")&amp;IF(업무일지!$E63="","세부유형 누락; ",IF(AND(업무일지!$D63&lt;&gt;"",COUNTIFS(코드설정!$A$5:$A$21,업무일지!$D63,코드설정!$B$5:$B$21,업무일지!$E63)=0),"세부유형이 직무구분과 불일치; ",""))&amp;IF(AND(업무일지!$F63&lt;&gt;"",COUNTIF(사건마스터!$A$5:$A$64,업무일지!$F63)=0),"미등록 사건번호; ","")&amp;IF(AND(업무일지!$F63="",업무일지!$H63=""),"사건번호·업무명 모두 없음; ","")&amp;IF(업무일지!$J63="","담당자 없음; ","")&amp;IF(COUNTIF(코드설정!$F$5:$F$7,업무일지!$AG63)=0,"진행상태 누락; ","")))</f>
        <v/>
      </c>
    </row>
    <row r="96">
      <c r="A96" s="26" t="inlineStr">
        <is>
          <t>업무일지</t>
        </is>
      </c>
      <c r="B96" s="66" t="n">
        <v>64</v>
      </c>
      <c r="C96" s="122">
        <f>IF($D96="","",IFERROR(TEXT(업무일지!$B64,"yyyy-mm-dd"),"(날짜없음)")&amp;"  "&amp;업무일지!$F64&amp;"  "&amp;업무일지!$H64)</f>
        <v/>
      </c>
      <c r="D96" s="122">
        <f>IF(NOT(COUNTBLANK(업무일지!$B64:$AH64)&lt;33),"",TRIM(IF(업무일지!$B64="","시작일 누락; ","")&amp;IF(업무일지!$C64="","종료일 누락; ","")&amp;IF(AND(업무일지!$B64&lt;&gt;"",업무일지!$C64&lt;&gt;"",업무일지!$C64&lt;업무일지!$B64),"종료일이 시작일보다 빠름; ","")&amp;IF(COUNTIF(코드설정!$H$5:$H$7,업무일지!$D64)=0,"직무구분 누락; ","")&amp;IF(업무일지!$E64="","세부유형 누락; ",IF(AND(업무일지!$D64&lt;&gt;"",COUNTIFS(코드설정!$A$5:$A$21,업무일지!$D64,코드설정!$B$5:$B$21,업무일지!$E64)=0),"세부유형이 직무구분과 불일치; ",""))&amp;IF(AND(업무일지!$F64&lt;&gt;"",COUNTIF(사건마스터!$A$5:$A$64,업무일지!$F64)=0),"미등록 사건번호; ","")&amp;IF(AND(업무일지!$F64="",업무일지!$H64=""),"사건번호·업무명 모두 없음; ","")&amp;IF(업무일지!$J64="","담당자 없음; ","")&amp;IF(COUNTIF(코드설정!$F$5:$F$7,업무일지!$AG64)=0,"진행상태 누락; ","")))</f>
        <v/>
      </c>
    </row>
    <row r="97">
      <c r="A97" s="26" t="inlineStr">
        <is>
          <t>업무일지</t>
        </is>
      </c>
      <c r="B97" s="66" t="n">
        <v>65</v>
      </c>
      <c r="C97" s="122">
        <f>IF($D97="","",IFERROR(TEXT(업무일지!$B65,"yyyy-mm-dd"),"(날짜없음)")&amp;"  "&amp;업무일지!$F65&amp;"  "&amp;업무일지!$H65)</f>
        <v/>
      </c>
      <c r="D97" s="122">
        <f>IF(NOT(COUNTBLANK(업무일지!$B65:$AH65)&lt;33),"",TRIM(IF(업무일지!$B65="","시작일 누락; ","")&amp;IF(업무일지!$C65="","종료일 누락; ","")&amp;IF(AND(업무일지!$B65&lt;&gt;"",업무일지!$C65&lt;&gt;"",업무일지!$C65&lt;업무일지!$B65),"종료일이 시작일보다 빠름; ","")&amp;IF(COUNTIF(코드설정!$H$5:$H$7,업무일지!$D65)=0,"직무구분 누락; ","")&amp;IF(업무일지!$E65="","세부유형 누락; ",IF(AND(업무일지!$D65&lt;&gt;"",COUNTIFS(코드설정!$A$5:$A$21,업무일지!$D65,코드설정!$B$5:$B$21,업무일지!$E65)=0),"세부유형이 직무구분과 불일치; ",""))&amp;IF(AND(업무일지!$F65&lt;&gt;"",COUNTIF(사건마스터!$A$5:$A$64,업무일지!$F65)=0),"미등록 사건번호; ","")&amp;IF(AND(업무일지!$F65="",업무일지!$H65=""),"사건번호·업무명 모두 없음; ","")&amp;IF(업무일지!$J65="","담당자 없음; ","")&amp;IF(COUNTIF(코드설정!$F$5:$F$7,업무일지!$AG65)=0,"진행상태 누락; ","")))</f>
        <v/>
      </c>
    </row>
    <row r="98">
      <c r="A98" s="26" t="inlineStr">
        <is>
          <t>업무일지</t>
        </is>
      </c>
      <c r="B98" s="66" t="n">
        <v>66</v>
      </c>
      <c r="C98" s="122">
        <f>IF($D98="","",IFERROR(TEXT(업무일지!$B66,"yyyy-mm-dd"),"(날짜없음)")&amp;"  "&amp;업무일지!$F66&amp;"  "&amp;업무일지!$H66)</f>
        <v/>
      </c>
      <c r="D98" s="122">
        <f>IF(NOT(COUNTBLANK(업무일지!$B66:$AH66)&lt;33),"",TRIM(IF(업무일지!$B66="","시작일 누락; ","")&amp;IF(업무일지!$C66="","종료일 누락; ","")&amp;IF(AND(업무일지!$B66&lt;&gt;"",업무일지!$C66&lt;&gt;"",업무일지!$C66&lt;업무일지!$B66),"종료일이 시작일보다 빠름; ","")&amp;IF(COUNTIF(코드설정!$H$5:$H$7,업무일지!$D66)=0,"직무구분 누락; ","")&amp;IF(업무일지!$E66="","세부유형 누락; ",IF(AND(업무일지!$D66&lt;&gt;"",COUNTIFS(코드설정!$A$5:$A$21,업무일지!$D66,코드설정!$B$5:$B$21,업무일지!$E66)=0),"세부유형이 직무구분과 불일치; ",""))&amp;IF(AND(업무일지!$F66&lt;&gt;"",COUNTIF(사건마스터!$A$5:$A$64,업무일지!$F66)=0),"미등록 사건번호; ","")&amp;IF(AND(업무일지!$F66="",업무일지!$H66=""),"사건번호·업무명 모두 없음; ","")&amp;IF(업무일지!$J66="","담당자 없음; ","")&amp;IF(COUNTIF(코드설정!$F$5:$F$7,업무일지!$AG66)=0,"진행상태 누락; ","")))</f>
        <v/>
      </c>
    </row>
    <row r="99">
      <c r="A99" s="26" t="inlineStr">
        <is>
          <t>업무일지</t>
        </is>
      </c>
      <c r="B99" s="66" t="n">
        <v>67</v>
      </c>
      <c r="C99" s="122">
        <f>IF($D99="","",IFERROR(TEXT(업무일지!$B67,"yyyy-mm-dd"),"(날짜없음)")&amp;"  "&amp;업무일지!$F67&amp;"  "&amp;업무일지!$H67)</f>
        <v/>
      </c>
      <c r="D99" s="122">
        <f>IF(NOT(COUNTBLANK(업무일지!$B67:$AH67)&lt;33),"",TRIM(IF(업무일지!$B67="","시작일 누락; ","")&amp;IF(업무일지!$C67="","종료일 누락; ","")&amp;IF(AND(업무일지!$B67&lt;&gt;"",업무일지!$C67&lt;&gt;"",업무일지!$C67&lt;업무일지!$B67),"종료일이 시작일보다 빠름; ","")&amp;IF(COUNTIF(코드설정!$H$5:$H$7,업무일지!$D67)=0,"직무구분 누락; ","")&amp;IF(업무일지!$E67="","세부유형 누락; ",IF(AND(업무일지!$D67&lt;&gt;"",COUNTIFS(코드설정!$A$5:$A$21,업무일지!$D67,코드설정!$B$5:$B$21,업무일지!$E67)=0),"세부유형이 직무구분과 불일치; ",""))&amp;IF(AND(업무일지!$F67&lt;&gt;"",COUNTIF(사건마스터!$A$5:$A$64,업무일지!$F67)=0),"미등록 사건번호; ","")&amp;IF(AND(업무일지!$F67="",업무일지!$H67=""),"사건번호·업무명 모두 없음; ","")&amp;IF(업무일지!$J67="","담당자 없음; ","")&amp;IF(COUNTIF(코드설정!$F$5:$F$7,업무일지!$AG67)=0,"진행상태 누락; ","")))</f>
        <v/>
      </c>
    </row>
    <row r="100">
      <c r="A100" s="26" t="inlineStr">
        <is>
          <t>업무일지</t>
        </is>
      </c>
      <c r="B100" s="66" t="n">
        <v>68</v>
      </c>
      <c r="C100" s="122">
        <f>IF($D100="","",IFERROR(TEXT(업무일지!$B68,"yyyy-mm-dd"),"(날짜없음)")&amp;"  "&amp;업무일지!$F68&amp;"  "&amp;업무일지!$H68)</f>
        <v/>
      </c>
      <c r="D100" s="122">
        <f>IF(NOT(COUNTBLANK(업무일지!$B68:$AH68)&lt;33),"",TRIM(IF(업무일지!$B68="","시작일 누락; ","")&amp;IF(업무일지!$C68="","종료일 누락; ","")&amp;IF(AND(업무일지!$B68&lt;&gt;"",업무일지!$C68&lt;&gt;"",업무일지!$C68&lt;업무일지!$B68),"종료일이 시작일보다 빠름; ","")&amp;IF(COUNTIF(코드설정!$H$5:$H$7,업무일지!$D68)=0,"직무구분 누락; ","")&amp;IF(업무일지!$E68="","세부유형 누락; ",IF(AND(업무일지!$D68&lt;&gt;"",COUNTIFS(코드설정!$A$5:$A$21,업무일지!$D68,코드설정!$B$5:$B$21,업무일지!$E68)=0),"세부유형이 직무구분과 불일치; ",""))&amp;IF(AND(업무일지!$F68&lt;&gt;"",COUNTIF(사건마스터!$A$5:$A$64,업무일지!$F68)=0),"미등록 사건번호; ","")&amp;IF(AND(업무일지!$F68="",업무일지!$H68=""),"사건번호·업무명 모두 없음; ","")&amp;IF(업무일지!$J68="","담당자 없음; ","")&amp;IF(COUNTIF(코드설정!$F$5:$F$7,업무일지!$AG68)=0,"진행상태 누락; ","")))</f>
        <v/>
      </c>
    </row>
    <row r="101">
      <c r="A101" s="26" t="inlineStr">
        <is>
          <t>업무일지</t>
        </is>
      </c>
      <c r="B101" s="66" t="n">
        <v>69</v>
      </c>
      <c r="C101" s="122">
        <f>IF($D101="","",IFERROR(TEXT(업무일지!$B69,"yyyy-mm-dd"),"(날짜없음)")&amp;"  "&amp;업무일지!$F69&amp;"  "&amp;업무일지!$H69)</f>
        <v/>
      </c>
      <c r="D101" s="122">
        <f>IF(NOT(COUNTBLANK(업무일지!$B69:$AH69)&lt;33),"",TRIM(IF(업무일지!$B69="","시작일 누락; ","")&amp;IF(업무일지!$C69="","종료일 누락; ","")&amp;IF(AND(업무일지!$B69&lt;&gt;"",업무일지!$C69&lt;&gt;"",업무일지!$C69&lt;업무일지!$B69),"종료일이 시작일보다 빠름; ","")&amp;IF(COUNTIF(코드설정!$H$5:$H$7,업무일지!$D69)=0,"직무구분 누락; ","")&amp;IF(업무일지!$E69="","세부유형 누락; ",IF(AND(업무일지!$D69&lt;&gt;"",COUNTIFS(코드설정!$A$5:$A$21,업무일지!$D69,코드설정!$B$5:$B$21,업무일지!$E69)=0),"세부유형이 직무구분과 불일치; ",""))&amp;IF(AND(업무일지!$F69&lt;&gt;"",COUNTIF(사건마스터!$A$5:$A$64,업무일지!$F69)=0),"미등록 사건번호; ","")&amp;IF(AND(업무일지!$F69="",업무일지!$H69=""),"사건번호·업무명 모두 없음; ","")&amp;IF(업무일지!$J69="","담당자 없음; ","")&amp;IF(COUNTIF(코드설정!$F$5:$F$7,업무일지!$AG69)=0,"진행상태 누락; ","")))</f>
        <v/>
      </c>
    </row>
    <row r="102">
      <c r="A102" s="26" t="inlineStr">
        <is>
          <t>업무일지</t>
        </is>
      </c>
      <c r="B102" s="66" t="n">
        <v>70</v>
      </c>
      <c r="C102" s="122">
        <f>IF($D102="","",IFERROR(TEXT(업무일지!$B70,"yyyy-mm-dd"),"(날짜없음)")&amp;"  "&amp;업무일지!$F70&amp;"  "&amp;업무일지!$H70)</f>
        <v/>
      </c>
      <c r="D102" s="122">
        <f>IF(NOT(COUNTBLANK(업무일지!$B70:$AH70)&lt;33),"",TRIM(IF(업무일지!$B70="","시작일 누락; ","")&amp;IF(업무일지!$C70="","종료일 누락; ","")&amp;IF(AND(업무일지!$B70&lt;&gt;"",업무일지!$C70&lt;&gt;"",업무일지!$C70&lt;업무일지!$B70),"종료일이 시작일보다 빠름; ","")&amp;IF(COUNTIF(코드설정!$H$5:$H$7,업무일지!$D70)=0,"직무구분 누락; ","")&amp;IF(업무일지!$E70="","세부유형 누락; ",IF(AND(업무일지!$D70&lt;&gt;"",COUNTIFS(코드설정!$A$5:$A$21,업무일지!$D70,코드설정!$B$5:$B$21,업무일지!$E70)=0),"세부유형이 직무구분과 불일치; ",""))&amp;IF(AND(업무일지!$F70&lt;&gt;"",COUNTIF(사건마스터!$A$5:$A$64,업무일지!$F70)=0),"미등록 사건번호; ","")&amp;IF(AND(업무일지!$F70="",업무일지!$H70=""),"사건번호·업무명 모두 없음; ","")&amp;IF(업무일지!$J70="","담당자 없음; ","")&amp;IF(COUNTIF(코드설정!$F$5:$F$7,업무일지!$AG70)=0,"진행상태 누락; ","")))</f>
        <v/>
      </c>
    </row>
    <row r="103">
      <c r="A103" s="26" t="inlineStr">
        <is>
          <t>업무일지</t>
        </is>
      </c>
      <c r="B103" s="66" t="n">
        <v>71</v>
      </c>
      <c r="C103" s="122">
        <f>IF($D103="","",IFERROR(TEXT(업무일지!$B71,"yyyy-mm-dd"),"(날짜없음)")&amp;"  "&amp;업무일지!$F71&amp;"  "&amp;업무일지!$H71)</f>
        <v/>
      </c>
      <c r="D103" s="122">
        <f>IF(NOT(COUNTBLANK(업무일지!$B71:$AH71)&lt;33),"",TRIM(IF(업무일지!$B71="","시작일 누락; ","")&amp;IF(업무일지!$C71="","종료일 누락; ","")&amp;IF(AND(업무일지!$B71&lt;&gt;"",업무일지!$C71&lt;&gt;"",업무일지!$C71&lt;업무일지!$B71),"종료일이 시작일보다 빠름; ","")&amp;IF(COUNTIF(코드설정!$H$5:$H$7,업무일지!$D71)=0,"직무구분 누락; ","")&amp;IF(업무일지!$E71="","세부유형 누락; ",IF(AND(업무일지!$D71&lt;&gt;"",COUNTIFS(코드설정!$A$5:$A$21,업무일지!$D71,코드설정!$B$5:$B$21,업무일지!$E71)=0),"세부유형이 직무구분과 불일치; ",""))&amp;IF(AND(업무일지!$F71&lt;&gt;"",COUNTIF(사건마스터!$A$5:$A$64,업무일지!$F71)=0),"미등록 사건번호; ","")&amp;IF(AND(업무일지!$F71="",업무일지!$H71=""),"사건번호·업무명 모두 없음; ","")&amp;IF(업무일지!$J71="","담당자 없음; ","")&amp;IF(COUNTIF(코드설정!$F$5:$F$7,업무일지!$AG71)=0,"진행상태 누락; ","")))</f>
        <v/>
      </c>
    </row>
    <row r="104">
      <c r="A104" s="26" t="inlineStr">
        <is>
          <t>업무일지</t>
        </is>
      </c>
      <c r="B104" s="66" t="n">
        <v>72</v>
      </c>
      <c r="C104" s="122">
        <f>IF($D104="","",IFERROR(TEXT(업무일지!$B72,"yyyy-mm-dd"),"(날짜없음)")&amp;"  "&amp;업무일지!$F72&amp;"  "&amp;업무일지!$H72)</f>
        <v/>
      </c>
      <c r="D104" s="122">
        <f>IF(NOT(COUNTBLANK(업무일지!$B72:$AH72)&lt;33),"",TRIM(IF(업무일지!$B72="","시작일 누락; ","")&amp;IF(업무일지!$C72="","종료일 누락; ","")&amp;IF(AND(업무일지!$B72&lt;&gt;"",업무일지!$C72&lt;&gt;"",업무일지!$C72&lt;업무일지!$B72),"종료일이 시작일보다 빠름; ","")&amp;IF(COUNTIF(코드설정!$H$5:$H$7,업무일지!$D72)=0,"직무구분 누락; ","")&amp;IF(업무일지!$E72="","세부유형 누락; ",IF(AND(업무일지!$D72&lt;&gt;"",COUNTIFS(코드설정!$A$5:$A$21,업무일지!$D72,코드설정!$B$5:$B$21,업무일지!$E72)=0),"세부유형이 직무구분과 불일치; ",""))&amp;IF(AND(업무일지!$F72&lt;&gt;"",COUNTIF(사건마스터!$A$5:$A$64,업무일지!$F72)=0),"미등록 사건번호; ","")&amp;IF(AND(업무일지!$F72="",업무일지!$H72=""),"사건번호·업무명 모두 없음; ","")&amp;IF(업무일지!$J72="","담당자 없음; ","")&amp;IF(COUNTIF(코드설정!$F$5:$F$7,업무일지!$AG72)=0,"진행상태 누락; ","")))</f>
        <v/>
      </c>
    </row>
    <row r="105">
      <c r="A105" s="26" t="inlineStr">
        <is>
          <t>업무일지</t>
        </is>
      </c>
      <c r="B105" s="66" t="n">
        <v>73</v>
      </c>
      <c r="C105" s="122">
        <f>IF($D105="","",IFERROR(TEXT(업무일지!$B73,"yyyy-mm-dd"),"(날짜없음)")&amp;"  "&amp;업무일지!$F73&amp;"  "&amp;업무일지!$H73)</f>
        <v/>
      </c>
      <c r="D105" s="122">
        <f>IF(NOT(COUNTBLANK(업무일지!$B73:$AH73)&lt;33),"",TRIM(IF(업무일지!$B73="","시작일 누락; ","")&amp;IF(업무일지!$C73="","종료일 누락; ","")&amp;IF(AND(업무일지!$B73&lt;&gt;"",업무일지!$C73&lt;&gt;"",업무일지!$C73&lt;업무일지!$B73),"종료일이 시작일보다 빠름; ","")&amp;IF(COUNTIF(코드설정!$H$5:$H$7,업무일지!$D73)=0,"직무구분 누락; ","")&amp;IF(업무일지!$E73="","세부유형 누락; ",IF(AND(업무일지!$D73&lt;&gt;"",COUNTIFS(코드설정!$A$5:$A$21,업무일지!$D73,코드설정!$B$5:$B$21,업무일지!$E73)=0),"세부유형이 직무구분과 불일치; ",""))&amp;IF(AND(업무일지!$F73&lt;&gt;"",COUNTIF(사건마스터!$A$5:$A$64,업무일지!$F73)=0),"미등록 사건번호; ","")&amp;IF(AND(업무일지!$F73="",업무일지!$H73=""),"사건번호·업무명 모두 없음; ","")&amp;IF(업무일지!$J73="","담당자 없음; ","")&amp;IF(COUNTIF(코드설정!$F$5:$F$7,업무일지!$AG73)=0,"진행상태 누락; ","")))</f>
        <v/>
      </c>
    </row>
    <row r="106">
      <c r="A106" s="26" t="inlineStr">
        <is>
          <t>업무일지</t>
        </is>
      </c>
      <c r="B106" s="66" t="n">
        <v>74</v>
      </c>
      <c r="C106" s="122">
        <f>IF($D106="","",IFERROR(TEXT(업무일지!$B74,"yyyy-mm-dd"),"(날짜없음)")&amp;"  "&amp;업무일지!$F74&amp;"  "&amp;업무일지!$H74)</f>
        <v/>
      </c>
      <c r="D106" s="122">
        <f>IF(NOT(COUNTBLANK(업무일지!$B74:$AH74)&lt;33),"",TRIM(IF(업무일지!$B74="","시작일 누락; ","")&amp;IF(업무일지!$C74="","종료일 누락; ","")&amp;IF(AND(업무일지!$B74&lt;&gt;"",업무일지!$C74&lt;&gt;"",업무일지!$C74&lt;업무일지!$B74),"종료일이 시작일보다 빠름; ","")&amp;IF(COUNTIF(코드설정!$H$5:$H$7,업무일지!$D74)=0,"직무구분 누락; ","")&amp;IF(업무일지!$E74="","세부유형 누락; ",IF(AND(업무일지!$D74&lt;&gt;"",COUNTIFS(코드설정!$A$5:$A$21,업무일지!$D74,코드설정!$B$5:$B$21,업무일지!$E74)=0),"세부유형이 직무구분과 불일치; ",""))&amp;IF(AND(업무일지!$F74&lt;&gt;"",COUNTIF(사건마스터!$A$5:$A$64,업무일지!$F74)=0),"미등록 사건번호; ","")&amp;IF(AND(업무일지!$F74="",업무일지!$H74=""),"사건번호·업무명 모두 없음; ","")&amp;IF(업무일지!$J74="","담당자 없음; ","")&amp;IF(COUNTIF(코드설정!$F$5:$F$7,업무일지!$AG74)=0,"진행상태 누락; ","")))</f>
        <v/>
      </c>
    </row>
    <row r="107">
      <c r="A107" s="26" t="inlineStr">
        <is>
          <t>업무일지</t>
        </is>
      </c>
      <c r="B107" s="66" t="n">
        <v>75</v>
      </c>
      <c r="C107" s="122">
        <f>IF($D107="","",IFERROR(TEXT(업무일지!$B75,"yyyy-mm-dd"),"(날짜없음)")&amp;"  "&amp;업무일지!$F75&amp;"  "&amp;업무일지!$H75)</f>
        <v/>
      </c>
      <c r="D107" s="122">
        <f>IF(NOT(COUNTBLANK(업무일지!$B75:$AH75)&lt;33),"",TRIM(IF(업무일지!$B75="","시작일 누락; ","")&amp;IF(업무일지!$C75="","종료일 누락; ","")&amp;IF(AND(업무일지!$B75&lt;&gt;"",업무일지!$C75&lt;&gt;"",업무일지!$C75&lt;업무일지!$B75),"종료일이 시작일보다 빠름; ","")&amp;IF(COUNTIF(코드설정!$H$5:$H$7,업무일지!$D75)=0,"직무구분 누락; ","")&amp;IF(업무일지!$E75="","세부유형 누락; ",IF(AND(업무일지!$D75&lt;&gt;"",COUNTIFS(코드설정!$A$5:$A$21,업무일지!$D75,코드설정!$B$5:$B$21,업무일지!$E75)=0),"세부유형이 직무구분과 불일치; ",""))&amp;IF(AND(업무일지!$F75&lt;&gt;"",COUNTIF(사건마스터!$A$5:$A$64,업무일지!$F75)=0),"미등록 사건번호; ","")&amp;IF(AND(업무일지!$F75="",업무일지!$H75=""),"사건번호·업무명 모두 없음; ","")&amp;IF(업무일지!$J75="","담당자 없음; ","")&amp;IF(COUNTIF(코드설정!$F$5:$F$7,업무일지!$AG75)=0,"진행상태 누락; ","")))</f>
        <v/>
      </c>
    </row>
    <row r="108">
      <c r="A108" s="26" t="inlineStr">
        <is>
          <t>업무일지</t>
        </is>
      </c>
      <c r="B108" s="66" t="n">
        <v>76</v>
      </c>
      <c r="C108" s="122">
        <f>IF($D108="","",IFERROR(TEXT(업무일지!$B76,"yyyy-mm-dd"),"(날짜없음)")&amp;"  "&amp;업무일지!$F76&amp;"  "&amp;업무일지!$H76)</f>
        <v/>
      </c>
      <c r="D108" s="122">
        <f>IF(NOT(COUNTBLANK(업무일지!$B76:$AH76)&lt;33),"",TRIM(IF(업무일지!$B76="","시작일 누락; ","")&amp;IF(업무일지!$C76="","종료일 누락; ","")&amp;IF(AND(업무일지!$B76&lt;&gt;"",업무일지!$C76&lt;&gt;"",업무일지!$C76&lt;업무일지!$B76),"종료일이 시작일보다 빠름; ","")&amp;IF(COUNTIF(코드설정!$H$5:$H$7,업무일지!$D76)=0,"직무구분 누락; ","")&amp;IF(업무일지!$E76="","세부유형 누락; ",IF(AND(업무일지!$D76&lt;&gt;"",COUNTIFS(코드설정!$A$5:$A$21,업무일지!$D76,코드설정!$B$5:$B$21,업무일지!$E76)=0),"세부유형이 직무구분과 불일치; ",""))&amp;IF(AND(업무일지!$F76&lt;&gt;"",COUNTIF(사건마스터!$A$5:$A$64,업무일지!$F76)=0),"미등록 사건번호; ","")&amp;IF(AND(업무일지!$F76="",업무일지!$H76=""),"사건번호·업무명 모두 없음; ","")&amp;IF(업무일지!$J76="","담당자 없음; ","")&amp;IF(COUNTIF(코드설정!$F$5:$F$7,업무일지!$AG76)=0,"진행상태 누락; ","")))</f>
        <v/>
      </c>
    </row>
    <row r="109">
      <c r="A109" s="26" t="inlineStr">
        <is>
          <t>업무일지</t>
        </is>
      </c>
      <c r="B109" s="66" t="n">
        <v>77</v>
      </c>
      <c r="C109" s="122">
        <f>IF($D109="","",IFERROR(TEXT(업무일지!$B77,"yyyy-mm-dd"),"(날짜없음)")&amp;"  "&amp;업무일지!$F77&amp;"  "&amp;업무일지!$H77)</f>
        <v/>
      </c>
      <c r="D109" s="122">
        <f>IF(NOT(COUNTBLANK(업무일지!$B77:$AH77)&lt;33),"",TRIM(IF(업무일지!$B77="","시작일 누락; ","")&amp;IF(업무일지!$C77="","종료일 누락; ","")&amp;IF(AND(업무일지!$B77&lt;&gt;"",업무일지!$C77&lt;&gt;"",업무일지!$C77&lt;업무일지!$B77),"종료일이 시작일보다 빠름; ","")&amp;IF(COUNTIF(코드설정!$H$5:$H$7,업무일지!$D77)=0,"직무구분 누락; ","")&amp;IF(업무일지!$E77="","세부유형 누락; ",IF(AND(업무일지!$D77&lt;&gt;"",COUNTIFS(코드설정!$A$5:$A$21,업무일지!$D77,코드설정!$B$5:$B$21,업무일지!$E77)=0),"세부유형이 직무구분과 불일치; ",""))&amp;IF(AND(업무일지!$F77&lt;&gt;"",COUNTIF(사건마스터!$A$5:$A$64,업무일지!$F77)=0),"미등록 사건번호; ","")&amp;IF(AND(업무일지!$F77="",업무일지!$H77=""),"사건번호·업무명 모두 없음; ","")&amp;IF(업무일지!$J77="","담당자 없음; ","")&amp;IF(COUNTIF(코드설정!$F$5:$F$7,업무일지!$AG77)=0,"진행상태 누락; ","")))</f>
        <v/>
      </c>
    </row>
    <row r="110">
      <c r="A110" s="26" t="inlineStr">
        <is>
          <t>업무일지</t>
        </is>
      </c>
      <c r="B110" s="66" t="n">
        <v>78</v>
      </c>
      <c r="C110" s="122">
        <f>IF($D110="","",IFERROR(TEXT(업무일지!$B78,"yyyy-mm-dd"),"(날짜없음)")&amp;"  "&amp;업무일지!$F78&amp;"  "&amp;업무일지!$H78)</f>
        <v/>
      </c>
      <c r="D110" s="122">
        <f>IF(NOT(COUNTBLANK(업무일지!$B78:$AH78)&lt;33),"",TRIM(IF(업무일지!$B78="","시작일 누락; ","")&amp;IF(업무일지!$C78="","종료일 누락; ","")&amp;IF(AND(업무일지!$B78&lt;&gt;"",업무일지!$C78&lt;&gt;"",업무일지!$C78&lt;업무일지!$B78),"종료일이 시작일보다 빠름; ","")&amp;IF(COUNTIF(코드설정!$H$5:$H$7,업무일지!$D78)=0,"직무구분 누락; ","")&amp;IF(업무일지!$E78="","세부유형 누락; ",IF(AND(업무일지!$D78&lt;&gt;"",COUNTIFS(코드설정!$A$5:$A$21,업무일지!$D78,코드설정!$B$5:$B$21,업무일지!$E78)=0),"세부유형이 직무구분과 불일치; ",""))&amp;IF(AND(업무일지!$F78&lt;&gt;"",COUNTIF(사건마스터!$A$5:$A$64,업무일지!$F78)=0),"미등록 사건번호; ","")&amp;IF(AND(업무일지!$F78="",업무일지!$H78=""),"사건번호·업무명 모두 없음; ","")&amp;IF(업무일지!$J78="","담당자 없음; ","")&amp;IF(COUNTIF(코드설정!$F$5:$F$7,업무일지!$AG78)=0,"진행상태 누락; ","")))</f>
        <v/>
      </c>
    </row>
    <row r="111">
      <c r="A111" s="26" t="inlineStr">
        <is>
          <t>업무일지</t>
        </is>
      </c>
      <c r="B111" s="66" t="n">
        <v>79</v>
      </c>
      <c r="C111" s="122">
        <f>IF($D111="","",IFERROR(TEXT(업무일지!$B79,"yyyy-mm-dd"),"(날짜없음)")&amp;"  "&amp;업무일지!$F79&amp;"  "&amp;업무일지!$H79)</f>
        <v/>
      </c>
      <c r="D111" s="122">
        <f>IF(NOT(COUNTBLANK(업무일지!$B79:$AH79)&lt;33),"",TRIM(IF(업무일지!$B79="","시작일 누락; ","")&amp;IF(업무일지!$C79="","종료일 누락; ","")&amp;IF(AND(업무일지!$B79&lt;&gt;"",업무일지!$C79&lt;&gt;"",업무일지!$C79&lt;업무일지!$B79),"종료일이 시작일보다 빠름; ","")&amp;IF(COUNTIF(코드설정!$H$5:$H$7,업무일지!$D79)=0,"직무구분 누락; ","")&amp;IF(업무일지!$E79="","세부유형 누락; ",IF(AND(업무일지!$D79&lt;&gt;"",COUNTIFS(코드설정!$A$5:$A$21,업무일지!$D79,코드설정!$B$5:$B$21,업무일지!$E79)=0),"세부유형이 직무구분과 불일치; ",""))&amp;IF(AND(업무일지!$F79&lt;&gt;"",COUNTIF(사건마스터!$A$5:$A$64,업무일지!$F79)=0),"미등록 사건번호; ","")&amp;IF(AND(업무일지!$F79="",업무일지!$H79=""),"사건번호·업무명 모두 없음; ","")&amp;IF(업무일지!$J79="","담당자 없음; ","")&amp;IF(COUNTIF(코드설정!$F$5:$F$7,업무일지!$AG79)=0,"진행상태 누락; ","")))</f>
        <v/>
      </c>
    </row>
    <row r="112">
      <c r="A112" s="26" t="inlineStr">
        <is>
          <t>업무일지</t>
        </is>
      </c>
      <c r="B112" s="66" t="n">
        <v>80</v>
      </c>
      <c r="C112" s="122">
        <f>IF($D112="","",IFERROR(TEXT(업무일지!$B80,"yyyy-mm-dd"),"(날짜없음)")&amp;"  "&amp;업무일지!$F80&amp;"  "&amp;업무일지!$H80)</f>
        <v/>
      </c>
      <c r="D112" s="122">
        <f>IF(NOT(COUNTBLANK(업무일지!$B80:$AH80)&lt;33),"",TRIM(IF(업무일지!$B80="","시작일 누락; ","")&amp;IF(업무일지!$C80="","종료일 누락; ","")&amp;IF(AND(업무일지!$B80&lt;&gt;"",업무일지!$C80&lt;&gt;"",업무일지!$C80&lt;업무일지!$B80),"종료일이 시작일보다 빠름; ","")&amp;IF(COUNTIF(코드설정!$H$5:$H$7,업무일지!$D80)=0,"직무구분 누락; ","")&amp;IF(업무일지!$E80="","세부유형 누락; ",IF(AND(업무일지!$D80&lt;&gt;"",COUNTIFS(코드설정!$A$5:$A$21,업무일지!$D80,코드설정!$B$5:$B$21,업무일지!$E80)=0),"세부유형이 직무구분과 불일치; ",""))&amp;IF(AND(업무일지!$F80&lt;&gt;"",COUNTIF(사건마스터!$A$5:$A$64,업무일지!$F80)=0),"미등록 사건번호; ","")&amp;IF(AND(업무일지!$F80="",업무일지!$H80=""),"사건번호·업무명 모두 없음; ","")&amp;IF(업무일지!$J80="","담당자 없음; ","")&amp;IF(COUNTIF(코드설정!$F$5:$F$7,업무일지!$AG80)=0,"진행상태 누락; ","")))</f>
        <v/>
      </c>
    </row>
    <row r="113">
      <c r="A113" s="26" t="inlineStr">
        <is>
          <t>업무일지</t>
        </is>
      </c>
      <c r="B113" s="66" t="n">
        <v>81</v>
      </c>
      <c r="C113" s="122">
        <f>IF($D113="","",IFERROR(TEXT(업무일지!$B81,"yyyy-mm-dd"),"(날짜없음)")&amp;"  "&amp;업무일지!$F81&amp;"  "&amp;업무일지!$H81)</f>
        <v/>
      </c>
      <c r="D113" s="122">
        <f>IF(NOT(COUNTBLANK(업무일지!$B81:$AH81)&lt;33),"",TRIM(IF(업무일지!$B81="","시작일 누락; ","")&amp;IF(업무일지!$C81="","종료일 누락; ","")&amp;IF(AND(업무일지!$B81&lt;&gt;"",업무일지!$C81&lt;&gt;"",업무일지!$C81&lt;업무일지!$B81),"종료일이 시작일보다 빠름; ","")&amp;IF(COUNTIF(코드설정!$H$5:$H$7,업무일지!$D81)=0,"직무구분 누락; ","")&amp;IF(업무일지!$E81="","세부유형 누락; ",IF(AND(업무일지!$D81&lt;&gt;"",COUNTIFS(코드설정!$A$5:$A$21,업무일지!$D81,코드설정!$B$5:$B$21,업무일지!$E81)=0),"세부유형이 직무구분과 불일치; ",""))&amp;IF(AND(업무일지!$F81&lt;&gt;"",COUNTIF(사건마스터!$A$5:$A$64,업무일지!$F81)=0),"미등록 사건번호; ","")&amp;IF(AND(업무일지!$F81="",업무일지!$H81=""),"사건번호·업무명 모두 없음; ","")&amp;IF(업무일지!$J81="","담당자 없음; ","")&amp;IF(COUNTIF(코드설정!$F$5:$F$7,업무일지!$AG81)=0,"진행상태 누락; ","")))</f>
        <v/>
      </c>
    </row>
    <row r="114">
      <c r="A114" s="26" t="inlineStr">
        <is>
          <t>업무일지</t>
        </is>
      </c>
      <c r="B114" s="66" t="n">
        <v>82</v>
      </c>
      <c r="C114" s="122">
        <f>IF($D114="","",IFERROR(TEXT(업무일지!$B82,"yyyy-mm-dd"),"(날짜없음)")&amp;"  "&amp;업무일지!$F82&amp;"  "&amp;업무일지!$H82)</f>
        <v/>
      </c>
      <c r="D114" s="122">
        <f>IF(NOT(COUNTBLANK(업무일지!$B82:$AH82)&lt;33),"",TRIM(IF(업무일지!$B82="","시작일 누락; ","")&amp;IF(업무일지!$C82="","종료일 누락; ","")&amp;IF(AND(업무일지!$B82&lt;&gt;"",업무일지!$C82&lt;&gt;"",업무일지!$C82&lt;업무일지!$B82),"종료일이 시작일보다 빠름; ","")&amp;IF(COUNTIF(코드설정!$H$5:$H$7,업무일지!$D82)=0,"직무구분 누락; ","")&amp;IF(업무일지!$E82="","세부유형 누락; ",IF(AND(업무일지!$D82&lt;&gt;"",COUNTIFS(코드설정!$A$5:$A$21,업무일지!$D82,코드설정!$B$5:$B$21,업무일지!$E82)=0),"세부유형이 직무구분과 불일치; ",""))&amp;IF(AND(업무일지!$F82&lt;&gt;"",COUNTIF(사건마스터!$A$5:$A$64,업무일지!$F82)=0),"미등록 사건번호; ","")&amp;IF(AND(업무일지!$F82="",업무일지!$H82=""),"사건번호·업무명 모두 없음; ","")&amp;IF(업무일지!$J82="","담당자 없음; ","")&amp;IF(COUNTIF(코드설정!$F$5:$F$7,업무일지!$AG82)=0,"진행상태 누락; ","")))</f>
        <v/>
      </c>
    </row>
    <row r="115">
      <c r="A115" s="26" t="inlineStr">
        <is>
          <t>업무일지</t>
        </is>
      </c>
      <c r="B115" s="66" t="n">
        <v>83</v>
      </c>
      <c r="C115" s="122">
        <f>IF($D115="","",IFERROR(TEXT(업무일지!$B83,"yyyy-mm-dd"),"(날짜없음)")&amp;"  "&amp;업무일지!$F83&amp;"  "&amp;업무일지!$H83)</f>
        <v/>
      </c>
      <c r="D115" s="122">
        <f>IF(NOT(COUNTBLANK(업무일지!$B83:$AH83)&lt;33),"",TRIM(IF(업무일지!$B83="","시작일 누락; ","")&amp;IF(업무일지!$C83="","종료일 누락; ","")&amp;IF(AND(업무일지!$B83&lt;&gt;"",업무일지!$C83&lt;&gt;"",업무일지!$C83&lt;업무일지!$B83),"종료일이 시작일보다 빠름; ","")&amp;IF(COUNTIF(코드설정!$H$5:$H$7,업무일지!$D83)=0,"직무구분 누락; ","")&amp;IF(업무일지!$E83="","세부유형 누락; ",IF(AND(업무일지!$D83&lt;&gt;"",COUNTIFS(코드설정!$A$5:$A$21,업무일지!$D83,코드설정!$B$5:$B$21,업무일지!$E83)=0),"세부유형이 직무구분과 불일치; ",""))&amp;IF(AND(업무일지!$F83&lt;&gt;"",COUNTIF(사건마스터!$A$5:$A$64,업무일지!$F83)=0),"미등록 사건번호; ","")&amp;IF(AND(업무일지!$F83="",업무일지!$H83=""),"사건번호·업무명 모두 없음; ","")&amp;IF(업무일지!$J83="","담당자 없음; ","")&amp;IF(COUNTIF(코드설정!$F$5:$F$7,업무일지!$AG83)=0,"진행상태 누락; ","")))</f>
        <v/>
      </c>
    </row>
    <row r="116">
      <c r="A116" s="26" t="inlineStr">
        <is>
          <t>업무일지</t>
        </is>
      </c>
      <c r="B116" s="66" t="n">
        <v>84</v>
      </c>
      <c r="C116" s="122">
        <f>IF($D116="","",IFERROR(TEXT(업무일지!$B84,"yyyy-mm-dd"),"(날짜없음)")&amp;"  "&amp;업무일지!$F84&amp;"  "&amp;업무일지!$H84)</f>
        <v/>
      </c>
      <c r="D116" s="122">
        <f>IF(NOT(COUNTBLANK(업무일지!$B84:$AH84)&lt;33),"",TRIM(IF(업무일지!$B84="","시작일 누락; ","")&amp;IF(업무일지!$C84="","종료일 누락; ","")&amp;IF(AND(업무일지!$B84&lt;&gt;"",업무일지!$C84&lt;&gt;"",업무일지!$C84&lt;업무일지!$B84),"종료일이 시작일보다 빠름; ","")&amp;IF(COUNTIF(코드설정!$H$5:$H$7,업무일지!$D84)=0,"직무구분 누락; ","")&amp;IF(업무일지!$E84="","세부유형 누락; ",IF(AND(업무일지!$D84&lt;&gt;"",COUNTIFS(코드설정!$A$5:$A$21,업무일지!$D84,코드설정!$B$5:$B$21,업무일지!$E84)=0),"세부유형이 직무구분과 불일치; ",""))&amp;IF(AND(업무일지!$F84&lt;&gt;"",COUNTIF(사건마스터!$A$5:$A$64,업무일지!$F84)=0),"미등록 사건번호; ","")&amp;IF(AND(업무일지!$F84="",업무일지!$H84=""),"사건번호·업무명 모두 없음; ","")&amp;IF(업무일지!$J84="","담당자 없음; ","")&amp;IF(COUNTIF(코드설정!$F$5:$F$7,업무일지!$AG84)=0,"진행상태 누락; ","")))</f>
        <v/>
      </c>
    </row>
    <row r="117">
      <c r="A117" s="26" t="inlineStr">
        <is>
          <t>업무일지</t>
        </is>
      </c>
      <c r="B117" s="66" t="n">
        <v>85</v>
      </c>
      <c r="C117" s="122">
        <f>IF($D117="","",IFERROR(TEXT(업무일지!$B85,"yyyy-mm-dd"),"(날짜없음)")&amp;"  "&amp;업무일지!$F85&amp;"  "&amp;업무일지!$H85)</f>
        <v/>
      </c>
      <c r="D117" s="122">
        <f>IF(NOT(COUNTBLANK(업무일지!$B85:$AH85)&lt;33),"",TRIM(IF(업무일지!$B85="","시작일 누락; ","")&amp;IF(업무일지!$C85="","종료일 누락; ","")&amp;IF(AND(업무일지!$B85&lt;&gt;"",업무일지!$C85&lt;&gt;"",업무일지!$C85&lt;업무일지!$B85),"종료일이 시작일보다 빠름; ","")&amp;IF(COUNTIF(코드설정!$H$5:$H$7,업무일지!$D85)=0,"직무구분 누락; ","")&amp;IF(업무일지!$E85="","세부유형 누락; ",IF(AND(업무일지!$D85&lt;&gt;"",COUNTIFS(코드설정!$A$5:$A$21,업무일지!$D85,코드설정!$B$5:$B$21,업무일지!$E85)=0),"세부유형이 직무구분과 불일치; ",""))&amp;IF(AND(업무일지!$F85&lt;&gt;"",COUNTIF(사건마스터!$A$5:$A$64,업무일지!$F85)=0),"미등록 사건번호; ","")&amp;IF(AND(업무일지!$F85="",업무일지!$H85=""),"사건번호·업무명 모두 없음; ","")&amp;IF(업무일지!$J85="","담당자 없음; ","")&amp;IF(COUNTIF(코드설정!$F$5:$F$7,업무일지!$AG85)=0,"진행상태 누락; ","")))</f>
        <v/>
      </c>
    </row>
    <row r="118">
      <c r="A118" s="26" t="inlineStr">
        <is>
          <t>업무일지</t>
        </is>
      </c>
      <c r="B118" s="66" t="n">
        <v>86</v>
      </c>
      <c r="C118" s="122">
        <f>IF($D118="","",IFERROR(TEXT(업무일지!$B86,"yyyy-mm-dd"),"(날짜없음)")&amp;"  "&amp;업무일지!$F86&amp;"  "&amp;업무일지!$H86)</f>
        <v/>
      </c>
      <c r="D118" s="122">
        <f>IF(NOT(COUNTBLANK(업무일지!$B86:$AH86)&lt;33),"",TRIM(IF(업무일지!$B86="","시작일 누락; ","")&amp;IF(업무일지!$C86="","종료일 누락; ","")&amp;IF(AND(업무일지!$B86&lt;&gt;"",업무일지!$C86&lt;&gt;"",업무일지!$C86&lt;업무일지!$B86),"종료일이 시작일보다 빠름; ","")&amp;IF(COUNTIF(코드설정!$H$5:$H$7,업무일지!$D86)=0,"직무구분 누락; ","")&amp;IF(업무일지!$E86="","세부유형 누락; ",IF(AND(업무일지!$D86&lt;&gt;"",COUNTIFS(코드설정!$A$5:$A$21,업무일지!$D86,코드설정!$B$5:$B$21,업무일지!$E86)=0),"세부유형이 직무구분과 불일치; ",""))&amp;IF(AND(업무일지!$F86&lt;&gt;"",COUNTIF(사건마스터!$A$5:$A$64,업무일지!$F86)=0),"미등록 사건번호; ","")&amp;IF(AND(업무일지!$F86="",업무일지!$H86=""),"사건번호·업무명 모두 없음; ","")&amp;IF(업무일지!$J86="","담당자 없음; ","")&amp;IF(COUNTIF(코드설정!$F$5:$F$7,업무일지!$AG86)=0,"진행상태 누락; ","")))</f>
        <v/>
      </c>
    </row>
    <row r="119">
      <c r="A119" s="26" t="inlineStr">
        <is>
          <t>업무일지</t>
        </is>
      </c>
      <c r="B119" s="66" t="n">
        <v>87</v>
      </c>
      <c r="C119" s="122">
        <f>IF($D119="","",IFERROR(TEXT(업무일지!$B87,"yyyy-mm-dd"),"(날짜없음)")&amp;"  "&amp;업무일지!$F87&amp;"  "&amp;업무일지!$H87)</f>
        <v/>
      </c>
      <c r="D119" s="122">
        <f>IF(NOT(COUNTBLANK(업무일지!$B87:$AH87)&lt;33),"",TRIM(IF(업무일지!$B87="","시작일 누락; ","")&amp;IF(업무일지!$C87="","종료일 누락; ","")&amp;IF(AND(업무일지!$B87&lt;&gt;"",업무일지!$C87&lt;&gt;"",업무일지!$C87&lt;업무일지!$B87),"종료일이 시작일보다 빠름; ","")&amp;IF(COUNTIF(코드설정!$H$5:$H$7,업무일지!$D87)=0,"직무구분 누락; ","")&amp;IF(업무일지!$E87="","세부유형 누락; ",IF(AND(업무일지!$D87&lt;&gt;"",COUNTIFS(코드설정!$A$5:$A$21,업무일지!$D87,코드설정!$B$5:$B$21,업무일지!$E87)=0),"세부유형이 직무구분과 불일치; ",""))&amp;IF(AND(업무일지!$F87&lt;&gt;"",COUNTIF(사건마스터!$A$5:$A$64,업무일지!$F87)=0),"미등록 사건번호; ","")&amp;IF(AND(업무일지!$F87="",업무일지!$H87=""),"사건번호·업무명 모두 없음; ","")&amp;IF(업무일지!$J87="","담당자 없음; ","")&amp;IF(COUNTIF(코드설정!$F$5:$F$7,업무일지!$AG87)=0,"진행상태 누락; ","")))</f>
        <v/>
      </c>
    </row>
    <row r="120">
      <c r="A120" s="26" t="inlineStr">
        <is>
          <t>업무일지</t>
        </is>
      </c>
      <c r="B120" s="66" t="n">
        <v>88</v>
      </c>
      <c r="C120" s="122">
        <f>IF($D120="","",IFERROR(TEXT(업무일지!$B88,"yyyy-mm-dd"),"(날짜없음)")&amp;"  "&amp;업무일지!$F88&amp;"  "&amp;업무일지!$H88)</f>
        <v/>
      </c>
      <c r="D120" s="122">
        <f>IF(NOT(COUNTBLANK(업무일지!$B88:$AH88)&lt;33),"",TRIM(IF(업무일지!$B88="","시작일 누락; ","")&amp;IF(업무일지!$C88="","종료일 누락; ","")&amp;IF(AND(업무일지!$B88&lt;&gt;"",업무일지!$C88&lt;&gt;"",업무일지!$C88&lt;업무일지!$B88),"종료일이 시작일보다 빠름; ","")&amp;IF(COUNTIF(코드설정!$H$5:$H$7,업무일지!$D88)=0,"직무구분 누락; ","")&amp;IF(업무일지!$E88="","세부유형 누락; ",IF(AND(업무일지!$D88&lt;&gt;"",COUNTIFS(코드설정!$A$5:$A$21,업무일지!$D88,코드설정!$B$5:$B$21,업무일지!$E88)=0),"세부유형이 직무구분과 불일치; ",""))&amp;IF(AND(업무일지!$F88&lt;&gt;"",COUNTIF(사건마스터!$A$5:$A$64,업무일지!$F88)=0),"미등록 사건번호; ","")&amp;IF(AND(업무일지!$F88="",업무일지!$H88=""),"사건번호·업무명 모두 없음; ","")&amp;IF(업무일지!$J88="","담당자 없음; ","")&amp;IF(COUNTIF(코드설정!$F$5:$F$7,업무일지!$AG88)=0,"진행상태 누락; ","")))</f>
        <v/>
      </c>
    </row>
    <row r="121">
      <c r="A121" s="26" t="inlineStr">
        <is>
          <t>업무일지</t>
        </is>
      </c>
      <c r="B121" s="66" t="n">
        <v>89</v>
      </c>
      <c r="C121" s="122">
        <f>IF($D121="","",IFERROR(TEXT(업무일지!$B89,"yyyy-mm-dd"),"(날짜없음)")&amp;"  "&amp;업무일지!$F89&amp;"  "&amp;업무일지!$H89)</f>
        <v/>
      </c>
      <c r="D121" s="122">
        <f>IF(NOT(COUNTBLANK(업무일지!$B89:$AH89)&lt;33),"",TRIM(IF(업무일지!$B89="","시작일 누락; ","")&amp;IF(업무일지!$C89="","종료일 누락; ","")&amp;IF(AND(업무일지!$B89&lt;&gt;"",업무일지!$C89&lt;&gt;"",업무일지!$C89&lt;업무일지!$B89),"종료일이 시작일보다 빠름; ","")&amp;IF(COUNTIF(코드설정!$H$5:$H$7,업무일지!$D89)=0,"직무구분 누락; ","")&amp;IF(업무일지!$E89="","세부유형 누락; ",IF(AND(업무일지!$D89&lt;&gt;"",COUNTIFS(코드설정!$A$5:$A$21,업무일지!$D89,코드설정!$B$5:$B$21,업무일지!$E89)=0),"세부유형이 직무구분과 불일치; ",""))&amp;IF(AND(업무일지!$F89&lt;&gt;"",COUNTIF(사건마스터!$A$5:$A$64,업무일지!$F89)=0),"미등록 사건번호; ","")&amp;IF(AND(업무일지!$F89="",업무일지!$H89=""),"사건번호·업무명 모두 없음; ","")&amp;IF(업무일지!$J89="","담당자 없음; ","")&amp;IF(COUNTIF(코드설정!$F$5:$F$7,업무일지!$AG89)=0,"진행상태 누락; ","")))</f>
        <v/>
      </c>
    </row>
    <row r="122">
      <c r="A122" s="26" t="inlineStr">
        <is>
          <t>업무일지</t>
        </is>
      </c>
      <c r="B122" s="66" t="n">
        <v>90</v>
      </c>
      <c r="C122" s="122">
        <f>IF($D122="","",IFERROR(TEXT(업무일지!$B90,"yyyy-mm-dd"),"(날짜없음)")&amp;"  "&amp;업무일지!$F90&amp;"  "&amp;업무일지!$H90)</f>
        <v/>
      </c>
      <c r="D122" s="122">
        <f>IF(NOT(COUNTBLANK(업무일지!$B90:$AH90)&lt;33),"",TRIM(IF(업무일지!$B90="","시작일 누락; ","")&amp;IF(업무일지!$C90="","종료일 누락; ","")&amp;IF(AND(업무일지!$B90&lt;&gt;"",업무일지!$C90&lt;&gt;"",업무일지!$C90&lt;업무일지!$B90),"종료일이 시작일보다 빠름; ","")&amp;IF(COUNTIF(코드설정!$H$5:$H$7,업무일지!$D90)=0,"직무구분 누락; ","")&amp;IF(업무일지!$E90="","세부유형 누락; ",IF(AND(업무일지!$D90&lt;&gt;"",COUNTIFS(코드설정!$A$5:$A$21,업무일지!$D90,코드설정!$B$5:$B$21,업무일지!$E90)=0),"세부유형이 직무구분과 불일치; ",""))&amp;IF(AND(업무일지!$F90&lt;&gt;"",COUNTIF(사건마스터!$A$5:$A$64,업무일지!$F90)=0),"미등록 사건번호; ","")&amp;IF(AND(업무일지!$F90="",업무일지!$H90=""),"사건번호·업무명 모두 없음; ","")&amp;IF(업무일지!$J90="","담당자 없음; ","")&amp;IF(COUNTIF(코드설정!$F$5:$F$7,업무일지!$AG90)=0,"진행상태 누락; ","")))</f>
        <v/>
      </c>
    </row>
    <row r="123">
      <c r="A123" s="26" t="inlineStr">
        <is>
          <t>업무일지</t>
        </is>
      </c>
      <c r="B123" s="66" t="n">
        <v>91</v>
      </c>
      <c r="C123" s="122">
        <f>IF($D123="","",IFERROR(TEXT(업무일지!$B91,"yyyy-mm-dd"),"(날짜없음)")&amp;"  "&amp;업무일지!$F91&amp;"  "&amp;업무일지!$H91)</f>
        <v/>
      </c>
      <c r="D123" s="122">
        <f>IF(NOT(COUNTBLANK(업무일지!$B91:$AH91)&lt;33),"",TRIM(IF(업무일지!$B91="","시작일 누락; ","")&amp;IF(업무일지!$C91="","종료일 누락; ","")&amp;IF(AND(업무일지!$B91&lt;&gt;"",업무일지!$C91&lt;&gt;"",업무일지!$C91&lt;업무일지!$B91),"종료일이 시작일보다 빠름; ","")&amp;IF(COUNTIF(코드설정!$H$5:$H$7,업무일지!$D91)=0,"직무구분 누락; ","")&amp;IF(업무일지!$E91="","세부유형 누락; ",IF(AND(업무일지!$D91&lt;&gt;"",COUNTIFS(코드설정!$A$5:$A$21,업무일지!$D91,코드설정!$B$5:$B$21,업무일지!$E91)=0),"세부유형이 직무구분과 불일치; ",""))&amp;IF(AND(업무일지!$F91&lt;&gt;"",COUNTIF(사건마스터!$A$5:$A$64,업무일지!$F91)=0),"미등록 사건번호; ","")&amp;IF(AND(업무일지!$F91="",업무일지!$H91=""),"사건번호·업무명 모두 없음; ","")&amp;IF(업무일지!$J91="","담당자 없음; ","")&amp;IF(COUNTIF(코드설정!$F$5:$F$7,업무일지!$AG91)=0,"진행상태 누락; ","")))</f>
        <v/>
      </c>
    </row>
    <row r="124">
      <c r="A124" s="26" t="inlineStr">
        <is>
          <t>업무일지</t>
        </is>
      </c>
      <c r="B124" s="66" t="n">
        <v>92</v>
      </c>
      <c r="C124" s="122">
        <f>IF($D124="","",IFERROR(TEXT(업무일지!$B92,"yyyy-mm-dd"),"(날짜없음)")&amp;"  "&amp;업무일지!$F92&amp;"  "&amp;업무일지!$H92)</f>
        <v/>
      </c>
      <c r="D124" s="122">
        <f>IF(NOT(COUNTBLANK(업무일지!$B92:$AH92)&lt;33),"",TRIM(IF(업무일지!$B92="","시작일 누락; ","")&amp;IF(업무일지!$C92="","종료일 누락; ","")&amp;IF(AND(업무일지!$B92&lt;&gt;"",업무일지!$C92&lt;&gt;"",업무일지!$C92&lt;업무일지!$B92),"종료일이 시작일보다 빠름; ","")&amp;IF(COUNTIF(코드설정!$H$5:$H$7,업무일지!$D92)=0,"직무구분 누락; ","")&amp;IF(업무일지!$E92="","세부유형 누락; ",IF(AND(업무일지!$D92&lt;&gt;"",COUNTIFS(코드설정!$A$5:$A$21,업무일지!$D92,코드설정!$B$5:$B$21,업무일지!$E92)=0),"세부유형이 직무구분과 불일치; ",""))&amp;IF(AND(업무일지!$F92&lt;&gt;"",COUNTIF(사건마스터!$A$5:$A$64,업무일지!$F92)=0),"미등록 사건번호; ","")&amp;IF(AND(업무일지!$F92="",업무일지!$H92=""),"사건번호·업무명 모두 없음; ","")&amp;IF(업무일지!$J92="","담당자 없음; ","")&amp;IF(COUNTIF(코드설정!$F$5:$F$7,업무일지!$AG92)=0,"진행상태 누락; ","")))</f>
        <v/>
      </c>
    </row>
    <row r="125">
      <c r="A125" s="26" t="inlineStr">
        <is>
          <t>업무일지</t>
        </is>
      </c>
      <c r="B125" s="66" t="n">
        <v>93</v>
      </c>
      <c r="C125" s="122">
        <f>IF($D125="","",IFERROR(TEXT(업무일지!$B93,"yyyy-mm-dd"),"(날짜없음)")&amp;"  "&amp;업무일지!$F93&amp;"  "&amp;업무일지!$H93)</f>
        <v/>
      </c>
      <c r="D125" s="122">
        <f>IF(NOT(COUNTBLANK(업무일지!$B93:$AH93)&lt;33),"",TRIM(IF(업무일지!$B93="","시작일 누락; ","")&amp;IF(업무일지!$C93="","종료일 누락; ","")&amp;IF(AND(업무일지!$B93&lt;&gt;"",업무일지!$C93&lt;&gt;"",업무일지!$C93&lt;업무일지!$B93),"종료일이 시작일보다 빠름; ","")&amp;IF(COUNTIF(코드설정!$H$5:$H$7,업무일지!$D93)=0,"직무구분 누락; ","")&amp;IF(업무일지!$E93="","세부유형 누락; ",IF(AND(업무일지!$D93&lt;&gt;"",COUNTIFS(코드설정!$A$5:$A$21,업무일지!$D93,코드설정!$B$5:$B$21,업무일지!$E93)=0),"세부유형이 직무구분과 불일치; ",""))&amp;IF(AND(업무일지!$F93&lt;&gt;"",COUNTIF(사건마스터!$A$5:$A$64,업무일지!$F93)=0),"미등록 사건번호; ","")&amp;IF(AND(업무일지!$F93="",업무일지!$H93=""),"사건번호·업무명 모두 없음; ","")&amp;IF(업무일지!$J93="","담당자 없음; ","")&amp;IF(COUNTIF(코드설정!$F$5:$F$7,업무일지!$AG93)=0,"진행상태 누락; ","")))</f>
        <v/>
      </c>
    </row>
    <row r="126">
      <c r="A126" s="26" t="inlineStr">
        <is>
          <t>업무일지</t>
        </is>
      </c>
      <c r="B126" s="66" t="n">
        <v>94</v>
      </c>
      <c r="C126" s="122">
        <f>IF($D126="","",IFERROR(TEXT(업무일지!$B94,"yyyy-mm-dd"),"(날짜없음)")&amp;"  "&amp;업무일지!$F94&amp;"  "&amp;업무일지!$H94)</f>
        <v/>
      </c>
      <c r="D126" s="122">
        <f>IF(NOT(COUNTBLANK(업무일지!$B94:$AH94)&lt;33),"",TRIM(IF(업무일지!$B94="","시작일 누락; ","")&amp;IF(업무일지!$C94="","종료일 누락; ","")&amp;IF(AND(업무일지!$B94&lt;&gt;"",업무일지!$C94&lt;&gt;"",업무일지!$C94&lt;업무일지!$B94),"종료일이 시작일보다 빠름; ","")&amp;IF(COUNTIF(코드설정!$H$5:$H$7,업무일지!$D94)=0,"직무구분 누락; ","")&amp;IF(업무일지!$E94="","세부유형 누락; ",IF(AND(업무일지!$D94&lt;&gt;"",COUNTIFS(코드설정!$A$5:$A$21,업무일지!$D94,코드설정!$B$5:$B$21,업무일지!$E94)=0),"세부유형이 직무구분과 불일치; ",""))&amp;IF(AND(업무일지!$F94&lt;&gt;"",COUNTIF(사건마스터!$A$5:$A$64,업무일지!$F94)=0),"미등록 사건번호; ","")&amp;IF(AND(업무일지!$F94="",업무일지!$H94=""),"사건번호·업무명 모두 없음; ","")&amp;IF(업무일지!$J94="","담당자 없음; ","")&amp;IF(COUNTIF(코드설정!$F$5:$F$7,업무일지!$AG94)=0,"진행상태 누락; ","")))</f>
        <v/>
      </c>
    </row>
    <row r="127">
      <c r="A127" s="26" t="inlineStr">
        <is>
          <t>업무일지</t>
        </is>
      </c>
      <c r="B127" s="66" t="n">
        <v>95</v>
      </c>
      <c r="C127" s="122">
        <f>IF($D127="","",IFERROR(TEXT(업무일지!$B95,"yyyy-mm-dd"),"(날짜없음)")&amp;"  "&amp;업무일지!$F95&amp;"  "&amp;업무일지!$H95)</f>
        <v/>
      </c>
      <c r="D127" s="122">
        <f>IF(NOT(COUNTBLANK(업무일지!$B95:$AH95)&lt;33),"",TRIM(IF(업무일지!$B95="","시작일 누락; ","")&amp;IF(업무일지!$C95="","종료일 누락; ","")&amp;IF(AND(업무일지!$B95&lt;&gt;"",업무일지!$C95&lt;&gt;"",업무일지!$C95&lt;업무일지!$B95),"종료일이 시작일보다 빠름; ","")&amp;IF(COUNTIF(코드설정!$H$5:$H$7,업무일지!$D95)=0,"직무구분 누락; ","")&amp;IF(업무일지!$E95="","세부유형 누락; ",IF(AND(업무일지!$D95&lt;&gt;"",COUNTIFS(코드설정!$A$5:$A$21,업무일지!$D95,코드설정!$B$5:$B$21,업무일지!$E95)=0),"세부유형이 직무구분과 불일치; ",""))&amp;IF(AND(업무일지!$F95&lt;&gt;"",COUNTIF(사건마스터!$A$5:$A$64,업무일지!$F95)=0),"미등록 사건번호; ","")&amp;IF(AND(업무일지!$F95="",업무일지!$H95=""),"사건번호·업무명 모두 없음; ","")&amp;IF(업무일지!$J95="","담당자 없음; ","")&amp;IF(COUNTIF(코드설정!$F$5:$F$7,업무일지!$AG95)=0,"진행상태 누락; ","")))</f>
        <v/>
      </c>
    </row>
    <row r="128">
      <c r="A128" s="26" t="inlineStr">
        <is>
          <t>업무일지</t>
        </is>
      </c>
      <c r="B128" s="66" t="n">
        <v>96</v>
      </c>
      <c r="C128" s="122">
        <f>IF($D128="","",IFERROR(TEXT(업무일지!$B96,"yyyy-mm-dd"),"(날짜없음)")&amp;"  "&amp;업무일지!$F96&amp;"  "&amp;업무일지!$H96)</f>
        <v/>
      </c>
      <c r="D128" s="122">
        <f>IF(NOT(COUNTBLANK(업무일지!$B96:$AH96)&lt;33),"",TRIM(IF(업무일지!$B96="","시작일 누락; ","")&amp;IF(업무일지!$C96="","종료일 누락; ","")&amp;IF(AND(업무일지!$B96&lt;&gt;"",업무일지!$C96&lt;&gt;"",업무일지!$C96&lt;업무일지!$B96),"종료일이 시작일보다 빠름; ","")&amp;IF(COUNTIF(코드설정!$H$5:$H$7,업무일지!$D96)=0,"직무구분 누락; ","")&amp;IF(업무일지!$E96="","세부유형 누락; ",IF(AND(업무일지!$D96&lt;&gt;"",COUNTIFS(코드설정!$A$5:$A$21,업무일지!$D96,코드설정!$B$5:$B$21,업무일지!$E96)=0),"세부유형이 직무구분과 불일치; ",""))&amp;IF(AND(업무일지!$F96&lt;&gt;"",COUNTIF(사건마스터!$A$5:$A$64,업무일지!$F96)=0),"미등록 사건번호; ","")&amp;IF(AND(업무일지!$F96="",업무일지!$H96=""),"사건번호·업무명 모두 없음; ","")&amp;IF(업무일지!$J96="","담당자 없음; ","")&amp;IF(COUNTIF(코드설정!$F$5:$F$7,업무일지!$AG96)=0,"진행상태 누락; ","")))</f>
        <v/>
      </c>
    </row>
    <row r="129">
      <c r="A129" s="26" t="inlineStr">
        <is>
          <t>업무일지</t>
        </is>
      </c>
      <c r="B129" s="66" t="n">
        <v>97</v>
      </c>
      <c r="C129" s="122">
        <f>IF($D129="","",IFERROR(TEXT(업무일지!$B97,"yyyy-mm-dd"),"(날짜없음)")&amp;"  "&amp;업무일지!$F97&amp;"  "&amp;업무일지!$H97)</f>
        <v/>
      </c>
      <c r="D129" s="122">
        <f>IF(NOT(COUNTBLANK(업무일지!$B97:$AH97)&lt;33),"",TRIM(IF(업무일지!$B97="","시작일 누락; ","")&amp;IF(업무일지!$C97="","종료일 누락; ","")&amp;IF(AND(업무일지!$B97&lt;&gt;"",업무일지!$C97&lt;&gt;"",업무일지!$C97&lt;업무일지!$B97),"종료일이 시작일보다 빠름; ","")&amp;IF(COUNTIF(코드설정!$H$5:$H$7,업무일지!$D97)=0,"직무구분 누락; ","")&amp;IF(업무일지!$E97="","세부유형 누락; ",IF(AND(업무일지!$D97&lt;&gt;"",COUNTIFS(코드설정!$A$5:$A$21,업무일지!$D97,코드설정!$B$5:$B$21,업무일지!$E97)=0),"세부유형이 직무구분과 불일치; ",""))&amp;IF(AND(업무일지!$F97&lt;&gt;"",COUNTIF(사건마스터!$A$5:$A$64,업무일지!$F97)=0),"미등록 사건번호; ","")&amp;IF(AND(업무일지!$F97="",업무일지!$H97=""),"사건번호·업무명 모두 없음; ","")&amp;IF(업무일지!$J97="","담당자 없음; ","")&amp;IF(COUNTIF(코드설정!$F$5:$F$7,업무일지!$AG97)=0,"진행상태 누락; ","")))</f>
        <v/>
      </c>
    </row>
    <row r="130">
      <c r="A130" s="26" t="inlineStr">
        <is>
          <t>업무일지</t>
        </is>
      </c>
      <c r="B130" s="66" t="n">
        <v>98</v>
      </c>
      <c r="C130" s="122">
        <f>IF($D130="","",IFERROR(TEXT(업무일지!$B98,"yyyy-mm-dd"),"(날짜없음)")&amp;"  "&amp;업무일지!$F98&amp;"  "&amp;업무일지!$H98)</f>
        <v/>
      </c>
      <c r="D130" s="122">
        <f>IF(NOT(COUNTBLANK(업무일지!$B98:$AH98)&lt;33),"",TRIM(IF(업무일지!$B98="","시작일 누락; ","")&amp;IF(업무일지!$C98="","종료일 누락; ","")&amp;IF(AND(업무일지!$B98&lt;&gt;"",업무일지!$C98&lt;&gt;"",업무일지!$C98&lt;업무일지!$B98),"종료일이 시작일보다 빠름; ","")&amp;IF(COUNTIF(코드설정!$H$5:$H$7,업무일지!$D98)=0,"직무구분 누락; ","")&amp;IF(업무일지!$E98="","세부유형 누락; ",IF(AND(업무일지!$D98&lt;&gt;"",COUNTIFS(코드설정!$A$5:$A$21,업무일지!$D98,코드설정!$B$5:$B$21,업무일지!$E98)=0),"세부유형이 직무구분과 불일치; ",""))&amp;IF(AND(업무일지!$F98&lt;&gt;"",COUNTIF(사건마스터!$A$5:$A$64,업무일지!$F98)=0),"미등록 사건번호; ","")&amp;IF(AND(업무일지!$F98="",업무일지!$H98=""),"사건번호·업무명 모두 없음; ","")&amp;IF(업무일지!$J98="","담당자 없음; ","")&amp;IF(COUNTIF(코드설정!$F$5:$F$7,업무일지!$AG98)=0,"진행상태 누락; ","")))</f>
        <v/>
      </c>
    </row>
    <row r="131">
      <c r="A131" s="26" t="inlineStr">
        <is>
          <t>업무일지</t>
        </is>
      </c>
      <c r="B131" s="66" t="n">
        <v>99</v>
      </c>
      <c r="C131" s="122">
        <f>IF($D131="","",IFERROR(TEXT(업무일지!$B99,"yyyy-mm-dd"),"(날짜없음)")&amp;"  "&amp;업무일지!$F99&amp;"  "&amp;업무일지!$H99)</f>
        <v/>
      </c>
      <c r="D131" s="122">
        <f>IF(NOT(COUNTBLANK(업무일지!$B99:$AH99)&lt;33),"",TRIM(IF(업무일지!$B99="","시작일 누락; ","")&amp;IF(업무일지!$C99="","종료일 누락; ","")&amp;IF(AND(업무일지!$B99&lt;&gt;"",업무일지!$C99&lt;&gt;"",업무일지!$C99&lt;업무일지!$B99),"종료일이 시작일보다 빠름; ","")&amp;IF(COUNTIF(코드설정!$H$5:$H$7,업무일지!$D99)=0,"직무구분 누락; ","")&amp;IF(업무일지!$E99="","세부유형 누락; ",IF(AND(업무일지!$D99&lt;&gt;"",COUNTIFS(코드설정!$A$5:$A$21,업무일지!$D99,코드설정!$B$5:$B$21,업무일지!$E99)=0),"세부유형이 직무구분과 불일치; ",""))&amp;IF(AND(업무일지!$F99&lt;&gt;"",COUNTIF(사건마스터!$A$5:$A$64,업무일지!$F99)=0),"미등록 사건번호; ","")&amp;IF(AND(업무일지!$F99="",업무일지!$H99=""),"사건번호·업무명 모두 없음; ","")&amp;IF(업무일지!$J99="","담당자 없음; ","")&amp;IF(COUNTIF(코드설정!$F$5:$F$7,업무일지!$AG99)=0,"진행상태 누락; ","")))</f>
        <v/>
      </c>
    </row>
    <row r="132">
      <c r="A132" s="26" t="inlineStr">
        <is>
          <t>업무일지</t>
        </is>
      </c>
      <c r="B132" s="66" t="n">
        <v>100</v>
      </c>
      <c r="C132" s="122">
        <f>IF($D132="","",IFERROR(TEXT(업무일지!$B100,"yyyy-mm-dd"),"(날짜없음)")&amp;"  "&amp;업무일지!$F100&amp;"  "&amp;업무일지!$H100)</f>
        <v/>
      </c>
      <c r="D132" s="122">
        <f>IF(NOT(COUNTBLANK(업무일지!$B100:$AH100)&lt;33),"",TRIM(IF(업무일지!$B100="","시작일 누락; ","")&amp;IF(업무일지!$C100="","종료일 누락; ","")&amp;IF(AND(업무일지!$B100&lt;&gt;"",업무일지!$C100&lt;&gt;"",업무일지!$C100&lt;업무일지!$B100),"종료일이 시작일보다 빠름; ","")&amp;IF(COUNTIF(코드설정!$H$5:$H$7,업무일지!$D100)=0,"직무구분 누락; ","")&amp;IF(업무일지!$E100="","세부유형 누락; ",IF(AND(업무일지!$D100&lt;&gt;"",COUNTIFS(코드설정!$A$5:$A$21,업무일지!$D100,코드설정!$B$5:$B$21,업무일지!$E100)=0),"세부유형이 직무구분과 불일치; ",""))&amp;IF(AND(업무일지!$F100&lt;&gt;"",COUNTIF(사건마스터!$A$5:$A$64,업무일지!$F100)=0),"미등록 사건번호; ","")&amp;IF(AND(업무일지!$F100="",업무일지!$H100=""),"사건번호·업무명 모두 없음; ","")&amp;IF(업무일지!$J100="","담당자 없음; ","")&amp;IF(COUNTIF(코드설정!$F$5:$F$7,업무일지!$AG100)=0,"진행상태 누락; ","")))</f>
        <v/>
      </c>
    </row>
    <row r="133">
      <c r="A133" s="26" t="inlineStr">
        <is>
          <t>업무일지</t>
        </is>
      </c>
      <c r="B133" s="66" t="n">
        <v>101</v>
      </c>
      <c r="C133" s="122">
        <f>IF($D133="","",IFERROR(TEXT(업무일지!$B101,"yyyy-mm-dd"),"(날짜없음)")&amp;"  "&amp;업무일지!$F101&amp;"  "&amp;업무일지!$H101)</f>
        <v/>
      </c>
      <c r="D133" s="122">
        <f>IF(NOT(COUNTBLANK(업무일지!$B101:$AH101)&lt;33),"",TRIM(IF(업무일지!$B101="","시작일 누락; ","")&amp;IF(업무일지!$C101="","종료일 누락; ","")&amp;IF(AND(업무일지!$B101&lt;&gt;"",업무일지!$C101&lt;&gt;"",업무일지!$C101&lt;업무일지!$B101),"종료일이 시작일보다 빠름; ","")&amp;IF(COUNTIF(코드설정!$H$5:$H$7,업무일지!$D101)=0,"직무구분 누락; ","")&amp;IF(업무일지!$E101="","세부유형 누락; ",IF(AND(업무일지!$D101&lt;&gt;"",COUNTIFS(코드설정!$A$5:$A$21,업무일지!$D101,코드설정!$B$5:$B$21,업무일지!$E101)=0),"세부유형이 직무구분과 불일치; ",""))&amp;IF(AND(업무일지!$F101&lt;&gt;"",COUNTIF(사건마스터!$A$5:$A$64,업무일지!$F101)=0),"미등록 사건번호; ","")&amp;IF(AND(업무일지!$F101="",업무일지!$H101=""),"사건번호·업무명 모두 없음; ","")&amp;IF(업무일지!$J101="","담당자 없음; ","")&amp;IF(COUNTIF(코드설정!$F$5:$F$7,업무일지!$AG101)=0,"진행상태 누락; ","")))</f>
        <v/>
      </c>
    </row>
    <row r="134">
      <c r="A134" s="26" t="inlineStr">
        <is>
          <t>업무일지</t>
        </is>
      </c>
      <c r="B134" s="66" t="n">
        <v>102</v>
      </c>
      <c r="C134" s="122">
        <f>IF($D134="","",IFERROR(TEXT(업무일지!$B102,"yyyy-mm-dd"),"(날짜없음)")&amp;"  "&amp;업무일지!$F102&amp;"  "&amp;업무일지!$H102)</f>
        <v/>
      </c>
      <c r="D134" s="122">
        <f>IF(NOT(COUNTBLANK(업무일지!$B102:$AH102)&lt;33),"",TRIM(IF(업무일지!$B102="","시작일 누락; ","")&amp;IF(업무일지!$C102="","종료일 누락; ","")&amp;IF(AND(업무일지!$B102&lt;&gt;"",업무일지!$C102&lt;&gt;"",업무일지!$C102&lt;업무일지!$B102),"종료일이 시작일보다 빠름; ","")&amp;IF(COUNTIF(코드설정!$H$5:$H$7,업무일지!$D102)=0,"직무구분 누락; ","")&amp;IF(업무일지!$E102="","세부유형 누락; ",IF(AND(업무일지!$D102&lt;&gt;"",COUNTIFS(코드설정!$A$5:$A$21,업무일지!$D102,코드설정!$B$5:$B$21,업무일지!$E102)=0),"세부유형이 직무구분과 불일치; ",""))&amp;IF(AND(업무일지!$F102&lt;&gt;"",COUNTIF(사건마스터!$A$5:$A$64,업무일지!$F102)=0),"미등록 사건번호; ","")&amp;IF(AND(업무일지!$F102="",업무일지!$H102=""),"사건번호·업무명 모두 없음; ","")&amp;IF(업무일지!$J102="","담당자 없음; ","")&amp;IF(COUNTIF(코드설정!$F$5:$F$7,업무일지!$AG102)=0,"진행상태 누락; ","")))</f>
        <v/>
      </c>
    </row>
    <row r="135">
      <c r="A135" s="26" t="inlineStr">
        <is>
          <t>업무일지</t>
        </is>
      </c>
      <c r="B135" s="66" t="n">
        <v>103</v>
      </c>
      <c r="C135" s="122">
        <f>IF($D135="","",IFERROR(TEXT(업무일지!$B103,"yyyy-mm-dd"),"(날짜없음)")&amp;"  "&amp;업무일지!$F103&amp;"  "&amp;업무일지!$H103)</f>
        <v/>
      </c>
      <c r="D135" s="122">
        <f>IF(NOT(COUNTBLANK(업무일지!$B103:$AH103)&lt;33),"",TRIM(IF(업무일지!$B103="","시작일 누락; ","")&amp;IF(업무일지!$C103="","종료일 누락; ","")&amp;IF(AND(업무일지!$B103&lt;&gt;"",업무일지!$C103&lt;&gt;"",업무일지!$C103&lt;업무일지!$B103),"종료일이 시작일보다 빠름; ","")&amp;IF(COUNTIF(코드설정!$H$5:$H$7,업무일지!$D103)=0,"직무구분 누락; ","")&amp;IF(업무일지!$E103="","세부유형 누락; ",IF(AND(업무일지!$D103&lt;&gt;"",COUNTIFS(코드설정!$A$5:$A$21,업무일지!$D103,코드설정!$B$5:$B$21,업무일지!$E103)=0),"세부유형이 직무구분과 불일치; ",""))&amp;IF(AND(업무일지!$F103&lt;&gt;"",COUNTIF(사건마스터!$A$5:$A$64,업무일지!$F103)=0),"미등록 사건번호; ","")&amp;IF(AND(업무일지!$F103="",업무일지!$H103=""),"사건번호·업무명 모두 없음; ","")&amp;IF(업무일지!$J103="","담당자 없음; ","")&amp;IF(COUNTIF(코드설정!$F$5:$F$7,업무일지!$AG103)=0,"진행상태 누락; ","")))</f>
        <v/>
      </c>
    </row>
    <row r="136">
      <c r="A136" s="26" t="inlineStr">
        <is>
          <t>업무일지</t>
        </is>
      </c>
      <c r="B136" s="66" t="n">
        <v>104</v>
      </c>
      <c r="C136" s="122">
        <f>IF($D136="","",IFERROR(TEXT(업무일지!$B104,"yyyy-mm-dd"),"(날짜없음)")&amp;"  "&amp;업무일지!$F104&amp;"  "&amp;업무일지!$H104)</f>
        <v/>
      </c>
      <c r="D136" s="122">
        <f>IF(NOT(COUNTBLANK(업무일지!$B104:$AH104)&lt;33),"",TRIM(IF(업무일지!$B104="","시작일 누락; ","")&amp;IF(업무일지!$C104="","종료일 누락; ","")&amp;IF(AND(업무일지!$B104&lt;&gt;"",업무일지!$C104&lt;&gt;"",업무일지!$C104&lt;업무일지!$B104),"종료일이 시작일보다 빠름; ","")&amp;IF(COUNTIF(코드설정!$H$5:$H$7,업무일지!$D104)=0,"직무구분 누락; ","")&amp;IF(업무일지!$E104="","세부유형 누락; ",IF(AND(업무일지!$D104&lt;&gt;"",COUNTIFS(코드설정!$A$5:$A$21,업무일지!$D104,코드설정!$B$5:$B$21,업무일지!$E104)=0),"세부유형이 직무구분과 불일치; ",""))&amp;IF(AND(업무일지!$F104&lt;&gt;"",COUNTIF(사건마스터!$A$5:$A$64,업무일지!$F104)=0),"미등록 사건번호; ","")&amp;IF(AND(업무일지!$F104="",업무일지!$H104=""),"사건번호·업무명 모두 없음; ","")&amp;IF(업무일지!$J104="","담당자 없음; ","")&amp;IF(COUNTIF(코드설정!$F$5:$F$7,업무일지!$AG104)=0,"진행상태 누락; ","")))</f>
        <v/>
      </c>
    </row>
    <row r="137">
      <c r="A137" s="26" t="inlineStr">
        <is>
          <t>업무일지</t>
        </is>
      </c>
      <c r="B137" s="66" t="n">
        <v>105</v>
      </c>
      <c r="C137" s="122">
        <f>IF($D137="","",IFERROR(TEXT(업무일지!$B105,"yyyy-mm-dd"),"(날짜없음)")&amp;"  "&amp;업무일지!$F105&amp;"  "&amp;업무일지!$H105)</f>
        <v/>
      </c>
      <c r="D137" s="122">
        <f>IF(NOT(COUNTBLANK(업무일지!$B105:$AH105)&lt;33),"",TRIM(IF(업무일지!$B105="","시작일 누락; ","")&amp;IF(업무일지!$C105="","종료일 누락; ","")&amp;IF(AND(업무일지!$B105&lt;&gt;"",업무일지!$C105&lt;&gt;"",업무일지!$C105&lt;업무일지!$B105),"종료일이 시작일보다 빠름; ","")&amp;IF(COUNTIF(코드설정!$H$5:$H$7,업무일지!$D105)=0,"직무구분 누락; ","")&amp;IF(업무일지!$E105="","세부유형 누락; ",IF(AND(업무일지!$D105&lt;&gt;"",COUNTIFS(코드설정!$A$5:$A$21,업무일지!$D105,코드설정!$B$5:$B$21,업무일지!$E105)=0),"세부유형이 직무구분과 불일치; ",""))&amp;IF(AND(업무일지!$F105&lt;&gt;"",COUNTIF(사건마스터!$A$5:$A$64,업무일지!$F105)=0),"미등록 사건번호; ","")&amp;IF(AND(업무일지!$F105="",업무일지!$H105=""),"사건번호·업무명 모두 없음; ","")&amp;IF(업무일지!$J105="","담당자 없음; ","")&amp;IF(COUNTIF(코드설정!$F$5:$F$7,업무일지!$AG105)=0,"진행상태 누락; ","")))</f>
        <v/>
      </c>
    </row>
    <row r="138">
      <c r="A138" s="26" t="inlineStr">
        <is>
          <t>업무일지</t>
        </is>
      </c>
      <c r="B138" s="66" t="n">
        <v>106</v>
      </c>
      <c r="C138" s="122">
        <f>IF($D138="","",IFERROR(TEXT(업무일지!$B106,"yyyy-mm-dd"),"(날짜없음)")&amp;"  "&amp;업무일지!$F106&amp;"  "&amp;업무일지!$H106)</f>
        <v/>
      </c>
      <c r="D138" s="122">
        <f>IF(NOT(COUNTBLANK(업무일지!$B106:$AH106)&lt;33),"",TRIM(IF(업무일지!$B106="","시작일 누락; ","")&amp;IF(업무일지!$C106="","종료일 누락; ","")&amp;IF(AND(업무일지!$B106&lt;&gt;"",업무일지!$C106&lt;&gt;"",업무일지!$C106&lt;업무일지!$B106),"종료일이 시작일보다 빠름; ","")&amp;IF(COUNTIF(코드설정!$H$5:$H$7,업무일지!$D106)=0,"직무구분 누락; ","")&amp;IF(업무일지!$E106="","세부유형 누락; ",IF(AND(업무일지!$D106&lt;&gt;"",COUNTIFS(코드설정!$A$5:$A$21,업무일지!$D106,코드설정!$B$5:$B$21,업무일지!$E106)=0),"세부유형이 직무구분과 불일치; ",""))&amp;IF(AND(업무일지!$F106&lt;&gt;"",COUNTIF(사건마스터!$A$5:$A$64,업무일지!$F106)=0),"미등록 사건번호; ","")&amp;IF(AND(업무일지!$F106="",업무일지!$H106=""),"사건번호·업무명 모두 없음; ","")&amp;IF(업무일지!$J106="","담당자 없음; ","")&amp;IF(COUNTIF(코드설정!$F$5:$F$7,업무일지!$AG106)=0,"진행상태 누락; ","")))</f>
        <v/>
      </c>
    </row>
    <row r="139">
      <c r="A139" s="26" t="inlineStr">
        <is>
          <t>업무일지</t>
        </is>
      </c>
      <c r="B139" s="66" t="n">
        <v>107</v>
      </c>
      <c r="C139" s="122">
        <f>IF($D139="","",IFERROR(TEXT(업무일지!$B107,"yyyy-mm-dd"),"(날짜없음)")&amp;"  "&amp;업무일지!$F107&amp;"  "&amp;업무일지!$H107)</f>
        <v/>
      </c>
      <c r="D139" s="122">
        <f>IF(NOT(COUNTBLANK(업무일지!$B107:$AH107)&lt;33),"",TRIM(IF(업무일지!$B107="","시작일 누락; ","")&amp;IF(업무일지!$C107="","종료일 누락; ","")&amp;IF(AND(업무일지!$B107&lt;&gt;"",업무일지!$C107&lt;&gt;"",업무일지!$C107&lt;업무일지!$B107),"종료일이 시작일보다 빠름; ","")&amp;IF(COUNTIF(코드설정!$H$5:$H$7,업무일지!$D107)=0,"직무구분 누락; ","")&amp;IF(업무일지!$E107="","세부유형 누락; ",IF(AND(업무일지!$D107&lt;&gt;"",COUNTIFS(코드설정!$A$5:$A$21,업무일지!$D107,코드설정!$B$5:$B$21,업무일지!$E107)=0),"세부유형이 직무구분과 불일치; ",""))&amp;IF(AND(업무일지!$F107&lt;&gt;"",COUNTIF(사건마스터!$A$5:$A$64,업무일지!$F107)=0),"미등록 사건번호; ","")&amp;IF(AND(업무일지!$F107="",업무일지!$H107=""),"사건번호·업무명 모두 없음; ","")&amp;IF(업무일지!$J107="","담당자 없음; ","")&amp;IF(COUNTIF(코드설정!$F$5:$F$7,업무일지!$AG107)=0,"진행상태 누락; ","")))</f>
        <v/>
      </c>
    </row>
    <row r="140">
      <c r="A140" s="26" t="inlineStr">
        <is>
          <t>업무일지</t>
        </is>
      </c>
      <c r="B140" s="66" t="n">
        <v>108</v>
      </c>
      <c r="C140" s="122">
        <f>IF($D140="","",IFERROR(TEXT(업무일지!$B108,"yyyy-mm-dd"),"(날짜없음)")&amp;"  "&amp;업무일지!$F108&amp;"  "&amp;업무일지!$H108)</f>
        <v/>
      </c>
      <c r="D140" s="122">
        <f>IF(NOT(COUNTBLANK(업무일지!$B108:$AH108)&lt;33),"",TRIM(IF(업무일지!$B108="","시작일 누락; ","")&amp;IF(업무일지!$C108="","종료일 누락; ","")&amp;IF(AND(업무일지!$B108&lt;&gt;"",업무일지!$C108&lt;&gt;"",업무일지!$C108&lt;업무일지!$B108),"종료일이 시작일보다 빠름; ","")&amp;IF(COUNTIF(코드설정!$H$5:$H$7,업무일지!$D108)=0,"직무구분 누락; ","")&amp;IF(업무일지!$E108="","세부유형 누락; ",IF(AND(업무일지!$D108&lt;&gt;"",COUNTIFS(코드설정!$A$5:$A$21,업무일지!$D108,코드설정!$B$5:$B$21,업무일지!$E108)=0),"세부유형이 직무구분과 불일치; ",""))&amp;IF(AND(업무일지!$F108&lt;&gt;"",COUNTIF(사건마스터!$A$5:$A$64,업무일지!$F108)=0),"미등록 사건번호; ","")&amp;IF(AND(업무일지!$F108="",업무일지!$H108=""),"사건번호·업무명 모두 없음; ","")&amp;IF(업무일지!$J108="","담당자 없음; ","")&amp;IF(COUNTIF(코드설정!$F$5:$F$7,업무일지!$AG108)=0,"진행상태 누락; ","")))</f>
        <v/>
      </c>
    </row>
    <row r="141">
      <c r="A141" s="26" t="inlineStr">
        <is>
          <t>업무일지</t>
        </is>
      </c>
      <c r="B141" s="66" t="n">
        <v>109</v>
      </c>
      <c r="C141" s="122">
        <f>IF($D141="","",IFERROR(TEXT(업무일지!$B109,"yyyy-mm-dd"),"(날짜없음)")&amp;"  "&amp;업무일지!$F109&amp;"  "&amp;업무일지!$H109)</f>
        <v/>
      </c>
      <c r="D141" s="122">
        <f>IF(NOT(COUNTBLANK(업무일지!$B109:$AH109)&lt;33),"",TRIM(IF(업무일지!$B109="","시작일 누락; ","")&amp;IF(업무일지!$C109="","종료일 누락; ","")&amp;IF(AND(업무일지!$B109&lt;&gt;"",업무일지!$C109&lt;&gt;"",업무일지!$C109&lt;업무일지!$B109),"종료일이 시작일보다 빠름; ","")&amp;IF(COUNTIF(코드설정!$H$5:$H$7,업무일지!$D109)=0,"직무구분 누락; ","")&amp;IF(업무일지!$E109="","세부유형 누락; ",IF(AND(업무일지!$D109&lt;&gt;"",COUNTIFS(코드설정!$A$5:$A$21,업무일지!$D109,코드설정!$B$5:$B$21,업무일지!$E109)=0),"세부유형이 직무구분과 불일치; ",""))&amp;IF(AND(업무일지!$F109&lt;&gt;"",COUNTIF(사건마스터!$A$5:$A$64,업무일지!$F109)=0),"미등록 사건번호; ","")&amp;IF(AND(업무일지!$F109="",업무일지!$H109=""),"사건번호·업무명 모두 없음; ","")&amp;IF(업무일지!$J109="","담당자 없음; ","")&amp;IF(COUNTIF(코드설정!$F$5:$F$7,업무일지!$AG109)=0,"진행상태 누락; ","")))</f>
        <v/>
      </c>
    </row>
    <row r="142">
      <c r="A142" s="26" t="inlineStr">
        <is>
          <t>업무일지</t>
        </is>
      </c>
      <c r="B142" s="66" t="n">
        <v>110</v>
      </c>
      <c r="C142" s="122">
        <f>IF($D142="","",IFERROR(TEXT(업무일지!$B110,"yyyy-mm-dd"),"(날짜없음)")&amp;"  "&amp;업무일지!$F110&amp;"  "&amp;업무일지!$H110)</f>
        <v/>
      </c>
      <c r="D142" s="122">
        <f>IF(NOT(COUNTBLANK(업무일지!$B110:$AH110)&lt;33),"",TRIM(IF(업무일지!$B110="","시작일 누락; ","")&amp;IF(업무일지!$C110="","종료일 누락; ","")&amp;IF(AND(업무일지!$B110&lt;&gt;"",업무일지!$C110&lt;&gt;"",업무일지!$C110&lt;업무일지!$B110),"종료일이 시작일보다 빠름; ","")&amp;IF(COUNTIF(코드설정!$H$5:$H$7,업무일지!$D110)=0,"직무구분 누락; ","")&amp;IF(업무일지!$E110="","세부유형 누락; ",IF(AND(업무일지!$D110&lt;&gt;"",COUNTIFS(코드설정!$A$5:$A$21,업무일지!$D110,코드설정!$B$5:$B$21,업무일지!$E110)=0),"세부유형이 직무구분과 불일치; ",""))&amp;IF(AND(업무일지!$F110&lt;&gt;"",COUNTIF(사건마스터!$A$5:$A$64,업무일지!$F110)=0),"미등록 사건번호; ","")&amp;IF(AND(업무일지!$F110="",업무일지!$H110=""),"사건번호·업무명 모두 없음; ","")&amp;IF(업무일지!$J110="","담당자 없음; ","")&amp;IF(COUNTIF(코드설정!$F$5:$F$7,업무일지!$AG110)=0,"진행상태 누락; ","")))</f>
        <v/>
      </c>
    </row>
    <row r="143">
      <c r="A143" s="26" t="inlineStr">
        <is>
          <t>업무일지</t>
        </is>
      </c>
      <c r="B143" s="66" t="n">
        <v>111</v>
      </c>
      <c r="C143" s="122">
        <f>IF($D143="","",IFERROR(TEXT(업무일지!$B111,"yyyy-mm-dd"),"(날짜없음)")&amp;"  "&amp;업무일지!$F111&amp;"  "&amp;업무일지!$H111)</f>
        <v/>
      </c>
      <c r="D143" s="122">
        <f>IF(NOT(COUNTBLANK(업무일지!$B111:$AH111)&lt;33),"",TRIM(IF(업무일지!$B111="","시작일 누락; ","")&amp;IF(업무일지!$C111="","종료일 누락; ","")&amp;IF(AND(업무일지!$B111&lt;&gt;"",업무일지!$C111&lt;&gt;"",업무일지!$C111&lt;업무일지!$B111),"종료일이 시작일보다 빠름; ","")&amp;IF(COUNTIF(코드설정!$H$5:$H$7,업무일지!$D111)=0,"직무구분 누락; ","")&amp;IF(업무일지!$E111="","세부유형 누락; ",IF(AND(업무일지!$D111&lt;&gt;"",COUNTIFS(코드설정!$A$5:$A$21,업무일지!$D111,코드설정!$B$5:$B$21,업무일지!$E111)=0),"세부유형이 직무구분과 불일치; ",""))&amp;IF(AND(업무일지!$F111&lt;&gt;"",COUNTIF(사건마스터!$A$5:$A$64,업무일지!$F111)=0),"미등록 사건번호; ","")&amp;IF(AND(업무일지!$F111="",업무일지!$H111=""),"사건번호·업무명 모두 없음; ","")&amp;IF(업무일지!$J111="","담당자 없음; ","")&amp;IF(COUNTIF(코드설정!$F$5:$F$7,업무일지!$AG111)=0,"진행상태 누락; ","")))</f>
        <v/>
      </c>
    </row>
    <row r="144">
      <c r="A144" s="26" t="inlineStr">
        <is>
          <t>업무일지</t>
        </is>
      </c>
      <c r="B144" s="66" t="n">
        <v>112</v>
      </c>
      <c r="C144" s="122">
        <f>IF($D144="","",IFERROR(TEXT(업무일지!$B112,"yyyy-mm-dd"),"(날짜없음)")&amp;"  "&amp;업무일지!$F112&amp;"  "&amp;업무일지!$H112)</f>
        <v/>
      </c>
      <c r="D144" s="122">
        <f>IF(NOT(COUNTBLANK(업무일지!$B112:$AH112)&lt;33),"",TRIM(IF(업무일지!$B112="","시작일 누락; ","")&amp;IF(업무일지!$C112="","종료일 누락; ","")&amp;IF(AND(업무일지!$B112&lt;&gt;"",업무일지!$C112&lt;&gt;"",업무일지!$C112&lt;업무일지!$B112),"종료일이 시작일보다 빠름; ","")&amp;IF(COUNTIF(코드설정!$H$5:$H$7,업무일지!$D112)=0,"직무구분 누락; ","")&amp;IF(업무일지!$E112="","세부유형 누락; ",IF(AND(업무일지!$D112&lt;&gt;"",COUNTIFS(코드설정!$A$5:$A$21,업무일지!$D112,코드설정!$B$5:$B$21,업무일지!$E112)=0),"세부유형이 직무구분과 불일치; ",""))&amp;IF(AND(업무일지!$F112&lt;&gt;"",COUNTIF(사건마스터!$A$5:$A$64,업무일지!$F112)=0),"미등록 사건번호; ","")&amp;IF(AND(업무일지!$F112="",업무일지!$H112=""),"사건번호·업무명 모두 없음; ","")&amp;IF(업무일지!$J112="","담당자 없음; ","")&amp;IF(COUNTIF(코드설정!$F$5:$F$7,업무일지!$AG112)=0,"진행상태 누락; ","")))</f>
        <v/>
      </c>
    </row>
    <row r="145">
      <c r="A145" s="26" t="inlineStr">
        <is>
          <t>업무일지</t>
        </is>
      </c>
      <c r="B145" s="66" t="n">
        <v>113</v>
      </c>
      <c r="C145" s="122">
        <f>IF($D145="","",IFERROR(TEXT(업무일지!$B113,"yyyy-mm-dd"),"(날짜없음)")&amp;"  "&amp;업무일지!$F113&amp;"  "&amp;업무일지!$H113)</f>
        <v/>
      </c>
      <c r="D145" s="122">
        <f>IF(NOT(COUNTBLANK(업무일지!$B113:$AH113)&lt;33),"",TRIM(IF(업무일지!$B113="","시작일 누락; ","")&amp;IF(업무일지!$C113="","종료일 누락; ","")&amp;IF(AND(업무일지!$B113&lt;&gt;"",업무일지!$C113&lt;&gt;"",업무일지!$C113&lt;업무일지!$B113),"종료일이 시작일보다 빠름; ","")&amp;IF(COUNTIF(코드설정!$H$5:$H$7,업무일지!$D113)=0,"직무구분 누락; ","")&amp;IF(업무일지!$E113="","세부유형 누락; ",IF(AND(업무일지!$D113&lt;&gt;"",COUNTIFS(코드설정!$A$5:$A$21,업무일지!$D113,코드설정!$B$5:$B$21,업무일지!$E113)=0),"세부유형이 직무구분과 불일치; ",""))&amp;IF(AND(업무일지!$F113&lt;&gt;"",COUNTIF(사건마스터!$A$5:$A$64,업무일지!$F113)=0),"미등록 사건번호; ","")&amp;IF(AND(업무일지!$F113="",업무일지!$H113=""),"사건번호·업무명 모두 없음; ","")&amp;IF(업무일지!$J113="","담당자 없음; ","")&amp;IF(COUNTIF(코드설정!$F$5:$F$7,업무일지!$AG113)=0,"진행상태 누락; ","")))</f>
        <v/>
      </c>
    </row>
    <row r="146">
      <c r="A146" s="26" t="inlineStr">
        <is>
          <t>업무일지</t>
        </is>
      </c>
      <c r="B146" s="66" t="n">
        <v>114</v>
      </c>
      <c r="C146" s="122">
        <f>IF($D146="","",IFERROR(TEXT(업무일지!$B114,"yyyy-mm-dd"),"(날짜없음)")&amp;"  "&amp;업무일지!$F114&amp;"  "&amp;업무일지!$H114)</f>
        <v/>
      </c>
      <c r="D146" s="122">
        <f>IF(NOT(COUNTBLANK(업무일지!$B114:$AH114)&lt;33),"",TRIM(IF(업무일지!$B114="","시작일 누락; ","")&amp;IF(업무일지!$C114="","종료일 누락; ","")&amp;IF(AND(업무일지!$B114&lt;&gt;"",업무일지!$C114&lt;&gt;"",업무일지!$C114&lt;업무일지!$B114),"종료일이 시작일보다 빠름; ","")&amp;IF(COUNTIF(코드설정!$H$5:$H$7,업무일지!$D114)=0,"직무구분 누락; ","")&amp;IF(업무일지!$E114="","세부유형 누락; ",IF(AND(업무일지!$D114&lt;&gt;"",COUNTIFS(코드설정!$A$5:$A$21,업무일지!$D114,코드설정!$B$5:$B$21,업무일지!$E114)=0),"세부유형이 직무구분과 불일치; ",""))&amp;IF(AND(업무일지!$F114&lt;&gt;"",COUNTIF(사건마스터!$A$5:$A$64,업무일지!$F114)=0),"미등록 사건번호; ","")&amp;IF(AND(업무일지!$F114="",업무일지!$H114=""),"사건번호·업무명 모두 없음; ","")&amp;IF(업무일지!$J114="","담당자 없음; ","")&amp;IF(COUNTIF(코드설정!$F$5:$F$7,업무일지!$AG114)=0,"진행상태 누락; ","")))</f>
        <v/>
      </c>
    </row>
    <row r="147">
      <c r="A147" s="26" t="inlineStr">
        <is>
          <t>업무일지</t>
        </is>
      </c>
      <c r="B147" s="66" t="n">
        <v>115</v>
      </c>
      <c r="C147" s="122">
        <f>IF($D147="","",IFERROR(TEXT(업무일지!$B115,"yyyy-mm-dd"),"(날짜없음)")&amp;"  "&amp;업무일지!$F115&amp;"  "&amp;업무일지!$H115)</f>
        <v/>
      </c>
      <c r="D147" s="122">
        <f>IF(NOT(COUNTBLANK(업무일지!$B115:$AH115)&lt;33),"",TRIM(IF(업무일지!$B115="","시작일 누락; ","")&amp;IF(업무일지!$C115="","종료일 누락; ","")&amp;IF(AND(업무일지!$B115&lt;&gt;"",업무일지!$C115&lt;&gt;"",업무일지!$C115&lt;업무일지!$B115),"종료일이 시작일보다 빠름; ","")&amp;IF(COUNTIF(코드설정!$H$5:$H$7,업무일지!$D115)=0,"직무구분 누락; ","")&amp;IF(업무일지!$E115="","세부유형 누락; ",IF(AND(업무일지!$D115&lt;&gt;"",COUNTIFS(코드설정!$A$5:$A$21,업무일지!$D115,코드설정!$B$5:$B$21,업무일지!$E115)=0),"세부유형이 직무구분과 불일치; ",""))&amp;IF(AND(업무일지!$F115&lt;&gt;"",COUNTIF(사건마스터!$A$5:$A$64,업무일지!$F115)=0),"미등록 사건번호; ","")&amp;IF(AND(업무일지!$F115="",업무일지!$H115=""),"사건번호·업무명 모두 없음; ","")&amp;IF(업무일지!$J115="","담당자 없음; ","")&amp;IF(COUNTIF(코드설정!$F$5:$F$7,업무일지!$AG115)=0,"진행상태 누락; ","")))</f>
        <v/>
      </c>
    </row>
    <row r="148">
      <c r="A148" s="26" t="inlineStr">
        <is>
          <t>업무일지</t>
        </is>
      </c>
      <c r="B148" s="66" t="n">
        <v>116</v>
      </c>
      <c r="C148" s="122">
        <f>IF($D148="","",IFERROR(TEXT(업무일지!$B116,"yyyy-mm-dd"),"(날짜없음)")&amp;"  "&amp;업무일지!$F116&amp;"  "&amp;업무일지!$H116)</f>
        <v/>
      </c>
      <c r="D148" s="122">
        <f>IF(NOT(COUNTBLANK(업무일지!$B116:$AH116)&lt;33),"",TRIM(IF(업무일지!$B116="","시작일 누락; ","")&amp;IF(업무일지!$C116="","종료일 누락; ","")&amp;IF(AND(업무일지!$B116&lt;&gt;"",업무일지!$C116&lt;&gt;"",업무일지!$C116&lt;업무일지!$B116),"종료일이 시작일보다 빠름; ","")&amp;IF(COUNTIF(코드설정!$H$5:$H$7,업무일지!$D116)=0,"직무구분 누락; ","")&amp;IF(업무일지!$E116="","세부유형 누락; ",IF(AND(업무일지!$D116&lt;&gt;"",COUNTIFS(코드설정!$A$5:$A$21,업무일지!$D116,코드설정!$B$5:$B$21,업무일지!$E116)=0),"세부유형이 직무구분과 불일치; ",""))&amp;IF(AND(업무일지!$F116&lt;&gt;"",COUNTIF(사건마스터!$A$5:$A$64,업무일지!$F116)=0),"미등록 사건번호; ","")&amp;IF(AND(업무일지!$F116="",업무일지!$H116=""),"사건번호·업무명 모두 없음; ","")&amp;IF(업무일지!$J116="","담당자 없음; ","")&amp;IF(COUNTIF(코드설정!$F$5:$F$7,업무일지!$AG116)=0,"진행상태 누락; ","")))</f>
        <v/>
      </c>
    </row>
    <row r="149">
      <c r="A149" s="26" t="inlineStr">
        <is>
          <t>업무일지</t>
        </is>
      </c>
      <c r="B149" s="66" t="n">
        <v>117</v>
      </c>
      <c r="C149" s="122">
        <f>IF($D149="","",IFERROR(TEXT(업무일지!$B117,"yyyy-mm-dd"),"(날짜없음)")&amp;"  "&amp;업무일지!$F117&amp;"  "&amp;업무일지!$H117)</f>
        <v/>
      </c>
      <c r="D149" s="122">
        <f>IF(NOT(COUNTBLANK(업무일지!$B117:$AH117)&lt;33),"",TRIM(IF(업무일지!$B117="","시작일 누락; ","")&amp;IF(업무일지!$C117="","종료일 누락; ","")&amp;IF(AND(업무일지!$B117&lt;&gt;"",업무일지!$C117&lt;&gt;"",업무일지!$C117&lt;업무일지!$B117),"종료일이 시작일보다 빠름; ","")&amp;IF(COUNTIF(코드설정!$H$5:$H$7,업무일지!$D117)=0,"직무구분 누락; ","")&amp;IF(업무일지!$E117="","세부유형 누락; ",IF(AND(업무일지!$D117&lt;&gt;"",COUNTIFS(코드설정!$A$5:$A$21,업무일지!$D117,코드설정!$B$5:$B$21,업무일지!$E117)=0),"세부유형이 직무구분과 불일치; ",""))&amp;IF(AND(업무일지!$F117&lt;&gt;"",COUNTIF(사건마스터!$A$5:$A$64,업무일지!$F117)=0),"미등록 사건번호; ","")&amp;IF(AND(업무일지!$F117="",업무일지!$H117=""),"사건번호·업무명 모두 없음; ","")&amp;IF(업무일지!$J117="","담당자 없음; ","")&amp;IF(COUNTIF(코드설정!$F$5:$F$7,업무일지!$AG117)=0,"진행상태 누락; ","")))</f>
        <v/>
      </c>
    </row>
    <row r="150">
      <c r="A150" s="26" t="inlineStr">
        <is>
          <t>업무일지</t>
        </is>
      </c>
      <c r="B150" s="66" t="n">
        <v>118</v>
      </c>
      <c r="C150" s="122">
        <f>IF($D150="","",IFERROR(TEXT(업무일지!$B118,"yyyy-mm-dd"),"(날짜없음)")&amp;"  "&amp;업무일지!$F118&amp;"  "&amp;업무일지!$H118)</f>
        <v/>
      </c>
      <c r="D150" s="122">
        <f>IF(NOT(COUNTBLANK(업무일지!$B118:$AH118)&lt;33),"",TRIM(IF(업무일지!$B118="","시작일 누락; ","")&amp;IF(업무일지!$C118="","종료일 누락; ","")&amp;IF(AND(업무일지!$B118&lt;&gt;"",업무일지!$C118&lt;&gt;"",업무일지!$C118&lt;업무일지!$B118),"종료일이 시작일보다 빠름; ","")&amp;IF(COUNTIF(코드설정!$H$5:$H$7,업무일지!$D118)=0,"직무구분 누락; ","")&amp;IF(업무일지!$E118="","세부유형 누락; ",IF(AND(업무일지!$D118&lt;&gt;"",COUNTIFS(코드설정!$A$5:$A$21,업무일지!$D118,코드설정!$B$5:$B$21,업무일지!$E118)=0),"세부유형이 직무구분과 불일치; ",""))&amp;IF(AND(업무일지!$F118&lt;&gt;"",COUNTIF(사건마스터!$A$5:$A$64,업무일지!$F118)=0),"미등록 사건번호; ","")&amp;IF(AND(업무일지!$F118="",업무일지!$H118=""),"사건번호·업무명 모두 없음; ","")&amp;IF(업무일지!$J118="","담당자 없음; ","")&amp;IF(COUNTIF(코드설정!$F$5:$F$7,업무일지!$AG118)=0,"진행상태 누락; ","")))</f>
        <v/>
      </c>
    </row>
    <row r="151">
      <c r="A151" s="26" t="inlineStr">
        <is>
          <t>업무일지</t>
        </is>
      </c>
      <c r="B151" s="66" t="n">
        <v>119</v>
      </c>
      <c r="C151" s="122">
        <f>IF($D151="","",IFERROR(TEXT(업무일지!$B119,"yyyy-mm-dd"),"(날짜없음)")&amp;"  "&amp;업무일지!$F119&amp;"  "&amp;업무일지!$H119)</f>
        <v/>
      </c>
      <c r="D151" s="122">
        <f>IF(NOT(COUNTBLANK(업무일지!$B119:$AH119)&lt;33),"",TRIM(IF(업무일지!$B119="","시작일 누락; ","")&amp;IF(업무일지!$C119="","종료일 누락; ","")&amp;IF(AND(업무일지!$B119&lt;&gt;"",업무일지!$C119&lt;&gt;"",업무일지!$C119&lt;업무일지!$B119),"종료일이 시작일보다 빠름; ","")&amp;IF(COUNTIF(코드설정!$H$5:$H$7,업무일지!$D119)=0,"직무구분 누락; ","")&amp;IF(업무일지!$E119="","세부유형 누락; ",IF(AND(업무일지!$D119&lt;&gt;"",COUNTIFS(코드설정!$A$5:$A$21,업무일지!$D119,코드설정!$B$5:$B$21,업무일지!$E119)=0),"세부유형이 직무구분과 불일치; ",""))&amp;IF(AND(업무일지!$F119&lt;&gt;"",COUNTIF(사건마스터!$A$5:$A$64,업무일지!$F119)=0),"미등록 사건번호; ","")&amp;IF(AND(업무일지!$F119="",업무일지!$H119=""),"사건번호·업무명 모두 없음; ","")&amp;IF(업무일지!$J119="","담당자 없음; ","")&amp;IF(COUNTIF(코드설정!$F$5:$F$7,업무일지!$AG119)=0,"진행상태 누락; ","")))</f>
        <v/>
      </c>
    </row>
    <row r="152">
      <c r="A152" s="26" t="inlineStr">
        <is>
          <t>업무일지</t>
        </is>
      </c>
      <c r="B152" s="66" t="n">
        <v>120</v>
      </c>
      <c r="C152" s="122">
        <f>IF($D152="","",IFERROR(TEXT(업무일지!$B120,"yyyy-mm-dd"),"(날짜없음)")&amp;"  "&amp;업무일지!$F120&amp;"  "&amp;업무일지!$H120)</f>
        <v/>
      </c>
      <c r="D152" s="122">
        <f>IF(NOT(COUNTBLANK(업무일지!$B120:$AH120)&lt;33),"",TRIM(IF(업무일지!$B120="","시작일 누락; ","")&amp;IF(업무일지!$C120="","종료일 누락; ","")&amp;IF(AND(업무일지!$B120&lt;&gt;"",업무일지!$C120&lt;&gt;"",업무일지!$C120&lt;업무일지!$B120),"종료일이 시작일보다 빠름; ","")&amp;IF(COUNTIF(코드설정!$H$5:$H$7,업무일지!$D120)=0,"직무구분 누락; ","")&amp;IF(업무일지!$E120="","세부유형 누락; ",IF(AND(업무일지!$D120&lt;&gt;"",COUNTIFS(코드설정!$A$5:$A$21,업무일지!$D120,코드설정!$B$5:$B$21,업무일지!$E120)=0),"세부유형이 직무구분과 불일치; ",""))&amp;IF(AND(업무일지!$F120&lt;&gt;"",COUNTIF(사건마스터!$A$5:$A$64,업무일지!$F120)=0),"미등록 사건번호; ","")&amp;IF(AND(업무일지!$F120="",업무일지!$H120=""),"사건번호·업무명 모두 없음; ","")&amp;IF(업무일지!$J120="","담당자 없음; ","")&amp;IF(COUNTIF(코드설정!$F$5:$F$7,업무일지!$AG120)=0,"진행상태 누락; ","")))</f>
        <v/>
      </c>
    </row>
    <row r="153">
      <c r="A153" s="26" t="inlineStr">
        <is>
          <t>업무일지</t>
        </is>
      </c>
      <c r="B153" s="66" t="n">
        <v>121</v>
      </c>
      <c r="C153" s="122">
        <f>IF($D153="","",IFERROR(TEXT(업무일지!$B121,"yyyy-mm-dd"),"(날짜없음)")&amp;"  "&amp;업무일지!$F121&amp;"  "&amp;업무일지!$H121)</f>
        <v/>
      </c>
      <c r="D153" s="122">
        <f>IF(NOT(COUNTBLANK(업무일지!$B121:$AH121)&lt;33),"",TRIM(IF(업무일지!$B121="","시작일 누락; ","")&amp;IF(업무일지!$C121="","종료일 누락; ","")&amp;IF(AND(업무일지!$B121&lt;&gt;"",업무일지!$C121&lt;&gt;"",업무일지!$C121&lt;업무일지!$B121),"종료일이 시작일보다 빠름; ","")&amp;IF(COUNTIF(코드설정!$H$5:$H$7,업무일지!$D121)=0,"직무구분 누락; ","")&amp;IF(업무일지!$E121="","세부유형 누락; ",IF(AND(업무일지!$D121&lt;&gt;"",COUNTIFS(코드설정!$A$5:$A$21,업무일지!$D121,코드설정!$B$5:$B$21,업무일지!$E121)=0),"세부유형이 직무구분과 불일치; ",""))&amp;IF(AND(업무일지!$F121&lt;&gt;"",COUNTIF(사건마스터!$A$5:$A$64,업무일지!$F121)=0),"미등록 사건번호; ","")&amp;IF(AND(업무일지!$F121="",업무일지!$H121=""),"사건번호·업무명 모두 없음; ","")&amp;IF(업무일지!$J121="","담당자 없음; ","")&amp;IF(COUNTIF(코드설정!$F$5:$F$7,업무일지!$AG121)=0,"진행상태 누락; ","")))</f>
        <v/>
      </c>
    </row>
    <row r="154">
      <c r="A154" s="26" t="inlineStr">
        <is>
          <t>업무일지</t>
        </is>
      </c>
      <c r="B154" s="66" t="n">
        <v>122</v>
      </c>
      <c r="C154" s="122">
        <f>IF($D154="","",IFERROR(TEXT(업무일지!$B122,"yyyy-mm-dd"),"(날짜없음)")&amp;"  "&amp;업무일지!$F122&amp;"  "&amp;업무일지!$H122)</f>
        <v/>
      </c>
      <c r="D154" s="122">
        <f>IF(NOT(COUNTBLANK(업무일지!$B122:$AH122)&lt;33),"",TRIM(IF(업무일지!$B122="","시작일 누락; ","")&amp;IF(업무일지!$C122="","종료일 누락; ","")&amp;IF(AND(업무일지!$B122&lt;&gt;"",업무일지!$C122&lt;&gt;"",업무일지!$C122&lt;업무일지!$B122),"종료일이 시작일보다 빠름; ","")&amp;IF(COUNTIF(코드설정!$H$5:$H$7,업무일지!$D122)=0,"직무구분 누락; ","")&amp;IF(업무일지!$E122="","세부유형 누락; ",IF(AND(업무일지!$D122&lt;&gt;"",COUNTIFS(코드설정!$A$5:$A$21,업무일지!$D122,코드설정!$B$5:$B$21,업무일지!$E122)=0),"세부유형이 직무구분과 불일치; ",""))&amp;IF(AND(업무일지!$F122&lt;&gt;"",COUNTIF(사건마스터!$A$5:$A$64,업무일지!$F122)=0),"미등록 사건번호; ","")&amp;IF(AND(업무일지!$F122="",업무일지!$H122=""),"사건번호·업무명 모두 없음; ","")&amp;IF(업무일지!$J122="","담당자 없음; ","")&amp;IF(COUNTIF(코드설정!$F$5:$F$7,업무일지!$AG122)=0,"진행상태 누락; ","")))</f>
        <v/>
      </c>
    </row>
    <row r="155">
      <c r="A155" s="26" t="inlineStr">
        <is>
          <t>업무일지</t>
        </is>
      </c>
      <c r="B155" s="66" t="n">
        <v>123</v>
      </c>
      <c r="C155" s="122">
        <f>IF($D155="","",IFERROR(TEXT(업무일지!$B123,"yyyy-mm-dd"),"(날짜없음)")&amp;"  "&amp;업무일지!$F123&amp;"  "&amp;업무일지!$H123)</f>
        <v/>
      </c>
      <c r="D155" s="122">
        <f>IF(NOT(COUNTBLANK(업무일지!$B123:$AH123)&lt;33),"",TRIM(IF(업무일지!$B123="","시작일 누락; ","")&amp;IF(업무일지!$C123="","종료일 누락; ","")&amp;IF(AND(업무일지!$B123&lt;&gt;"",업무일지!$C123&lt;&gt;"",업무일지!$C123&lt;업무일지!$B123),"종료일이 시작일보다 빠름; ","")&amp;IF(COUNTIF(코드설정!$H$5:$H$7,업무일지!$D123)=0,"직무구분 누락; ","")&amp;IF(업무일지!$E123="","세부유형 누락; ",IF(AND(업무일지!$D123&lt;&gt;"",COUNTIFS(코드설정!$A$5:$A$21,업무일지!$D123,코드설정!$B$5:$B$21,업무일지!$E123)=0),"세부유형이 직무구분과 불일치; ",""))&amp;IF(AND(업무일지!$F123&lt;&gt;"",COUNTIF(사건마스터!$A$5:$A$64,업무일지!$F123)=0),"미등록 사건번호; ","")&amp;IF(AND(업무일지!$F123="",업무일지!$H123=""),"사건번호·업무명 모두 없음; ","")&amp;IF(업무일지!$J123="","담당자 없음; ","")&amp;IF(COUNTIF(코드설정!$F$5:$F$7,업무일지!$AG123)=0,"진행상태 누락; ","")))</f>
        <v/>
      </c>
    </row>
    <row r="156">
      <c r="A156" s="26" t="inlineStr">
        <is>
          <t>업무일지</t>
        </is>
      </c>
      <c r="B156" s="66" t="n">
        <v>124</v>
      </c>
      <c r="C156" s="122">
        <f>IF($D156="","",IFERROR(TEXT(업무일지!$B124,"yyyy-mm-dd"),"(날짜없음)")&amp;"  "&amp;업무일지!$F124&amp;"  "&amp;업무일지!$H124)</f>
        <v/>
      </c>
      <c r="D156" s="122">
        <f>IF(NOT(COUNTBLANK(업무일지!$B124:$AH124)&lt;33),"",TRIM(IF(업무일지!$B124="","시작일 누락; ","")&amp;IF(업무일지!$C124="","종료일 누락; ","")&amp;IF(AND(업무일지!$B124&lt;&gt;"",업무일지!$C124&lt;&gt;"",업무일지!$C124&lt;업무일지!$B124),"종료일이 시작일보다 빠름; ","")&amp;IF(COUNTIF(코드설정!$H$5:$H$7,업무일지!$D124)=0,"직무구분 누락; ","")&amp;IF(업무일지!$E124="","세부유형 누락; ",IF(AND(업무일지!$D124&lt;&gt;"",COUNTIFS(코드설정!$A$5:$A$21,업무일지!$D124,코드설정!$B$5:$B$21,업무일지!$E124)=0),"세부유형이 직무구분과 불일치; ",""))&amp;IF(AND(업무일지!$F124&lt;&gt;"",COUNTIF(사건마스터!$A$5:$A$64,업무일지!$F124)=0),"미등록 사건번호; ","")&amp;IF(AND(업무일지!$F124="",업무일지!$H124=""),"사건번호·업무명 모두 없음; ","")&amp;IF(업무일지!$J124="","담당자 없음; ","")&amp;IF(COUNTIF(코드설정!$F$5:$F$7,업무일지!$AG124)=0,"진행상태 누락; ","")))</f>
        <v/>
      </c>
    </row>
    <row r="157">
      <c r="A157" s="26" t="inlineStr">
        <is>
          <t>업무일지</t>
        </is>
      </c>
      <c r="B157" s="66" t="n">
        <v>125</v>
      </c>
      <c r="C157" s="122">
        <f>IF($D157="","",IFERROR(TEXT(업무일지!$B125,"yyyy-mm-dd"),"(날짜없음)")&amp;"  "&amp;업무일지!$F125&amp;"  "&amp;업무일지!$H125)</f>
        <v/>
      </c>
      <c r="D157" s="122">
        <f>IF(NOT(COUNTBLANK(업무일지!$B125:$AH125)&lt;33),"",TRIM(IF(업무일지!$B125="","시작일 누락; ","")&amp;IF(업무일지!$C125="","종료일 누락; ","")&amp;IF(AND(업무일지!$B125&lt;&gt;"",업무일지!$C125&lt;&gt;"",업무일지!$C125&lt;업무일지!$B125),"종료일이 시작일보다 빠름; ","")&amp;IF(COUNTIF(코드설정!$H$5:$H$7,업무일지!$D125)=0,"직무구분 누락; ","")&amp;IF(업무일지!$E125="","세부유형 누락; ",IF(AND(업무일지!$D125&lt;&gt;"",COUNTIFS(코드설정!$A$5:$A$21,업무일지!$D125,코드설정!$B$5:$B$21,업무일지!$E125)=0),"세부유형이 직무구분과 불일치; ",""))&amp;IF(AND(업무일지!$F125&lt;&gt;"",COUNTIF(사건마스터!$A$5:$A$64,업무일지!$F125)=0),"미등록 사건번호; ","")&amp;IF(AND(업무일지!$F125="",업무일지!$H125=""),"사건번호·업무명 모두 없음; ","")&amp;IF(업무일지!$J125="","담당자 없음; ","")&amp;IF(COUNTIF(코드설정!$F$5:$F$7,업무일지!$AG125)=0,"진행상태 누락; ","")))</f>
        <v/>
      </c>
    </row>
    <row r="158">
      <c r="A158" s="26" t="inlineStr">
        <is>
          <t>업무일지</t>
        </is>
      </c>
      <c r="B158" s="66" t="n">
        <v>126</v>
      </c>
      <c r="C158" s="122">
        <f>IF($D158="","",IFERROR(TEXT(업무일지!$B126,"yyyy-mm-dd"),"(날짜없음)")&amp;"  "&amp;업무일지!$F126&amp;"  "&amp;업무일지!$H126)</f>
        <v/>
      </c>
      <c r="D158" s="122">
        <f>IF(NOT(COUNTBLANK(업무일지!$B126:$AH126)&lt;33),"",TRIM(IF(업무일지!$B126="","시작일 누락; ","")&amp;IF(업무일지!$C126="","종료일 누락; ","")&amp;IF(AND(업무일지!$B126&lt;&gt;"",업무일지!$C126&lt;&gt;"",업무일지!$C126&lt;업무일지!$B126),"종료일이 시작일보다 빠름; ","")&amp;IF(COUNTIF(코드설정!$H$5:$H$7,업무일지!$D126)=0,"직무구분 누락; ","")&amp;IF(업무일지!$E126="","세부유형 누락; ",IF(AND(업무일지!$D126&lt;&gt;"",COUNTIFS(코드설정!$A$5:$A$21,업무일지!$D126,코드설정!$B$5:$B$21,업무일지!$E126)=0),"세부유형이 직무구분과 불일치; ",""))&amp;IF(AND(업무일지!$F126&lt;&gt;"",COUNTIF(사건마스터!$A$5:$A$64,업무일지!$F126)=0),"미등록 사건번호; ","")&amp;IF(AND(업무일지!$F126="",업무일지!$H126=""),"사건번호·업무명 모두 없음; ","")&amp;IF(업무일지!$J126="","담당자 없음; ","")&amp;IF(COUNTIF(코드설정!$F$5:$F$7,업무일지!$AG126)=0,"진행상태 누락; ","")))</f>
        <v/>
      </c>
    </row>
    <row r="159">
      <c r="A159" s="26" t="inlineStr">
        <is>
          <t>업무일지</t>
        </is>
      </c>
      <c r="B159" s="66" t="n">
        <v>127</v>
      </c>
      <c r="C159" s="122">
        <f>IF($D159="","",IFERROR(TEXT(업무일지!$B127,"yyyy-mm-dd"),"(날짜없음)")&amp;"  "&amp;업무일지!$F127&amp;"  "&amp;업무일지!$H127)</f>
        <v/>
      </c>
      <c r="D159" s="122">
        <f>IF(NOT(COUNTBLANK(업무일지!$B127:$AH127)&lt;33),"",TRIM(IF(업무일지!$B127="","시작일 누락; ","")&amp;IF(업무일지!$C127="","종료일 누락; ","")&amp;IF(AND(업무일지!$B127&lt;&gt;"",업무일지!$C127&lt;&gt;"",업무일지!$C127&lt;업무일지!$B127),"종료일이 시작일보다 빠름; ","")&amp;IF(COUNTIF(코드설정!$H$5:$H$7,업무일지!$D127)=0,"직무구분 누락; ","")&amp;IF(업무일지!$E127="","세부유형 누락; ",IF(AND(업무일지!$D127&lt;&gt;"",COUNTIFS(코드설정!$A$5:$A$21,업무일지!$D127,코드설정!$B$5:$B$21,업무일지!$E127)=0),"세부유형이 직무구분과 불일치; ",""))&amp;IF(AND(업무일지!$F127&lt;&gt;"",COUNTIF(사건마스터!$A$5:$A$64,업무일지!$F127)=0),"미등록 사건번호; ","")&amp;IF(AND(업무일지!$F127="",업무일지!$H127=""),"사건번호·업무명 모두 없음; ","")&amp;IF(업무일지!$J127="","담당자 없음; ","")&amp;IF(COUNTIF(코드설정!$F$5:$F$7,업무일지!$AG127)=0,"진행상태 누락; ","")))</f>
        <v/>
      </c>
    </row>
    <row r="160">
      <c r="A160" s="26" t="inlineStr">
        <is>
          <t>업무일지</t>
        </is>
      </c>
      <c r="B160" s="66" t="n">
        <v>128</v>
      </c>
      <c r="C160" s="122">
        <f>IF($D160="","",IFERROR(TEXT(업무일지!$B128,"yyyy-mm-dd"),"(날짜없음)")&amp;"  "&amp;업무일지!$F128&amp;"  "&amp;업무일지!$H128)</f>
        <v/>
      </c>
      <c r="D160" s="122">
        <f>IF(NOT(COUNTBLANK(업무일지!$B128:$AH128)&lt;33),"",TRIM(IF(업무일지!$B128="","시작일 누락; ","")&amp;IF(업무일지!$C128="","종료일 누락; ","")&amp;IF(AND(업무일지!$B128&lt;&gt;"",업무일지!$C128&lt;&gt;"",업무일지!$C128&lt;업무일지!$B128),"종료일이 시작일보다 빠름; ","")&amp;IF(COUNTIF(코드설정!$H$5:$H$7,업무일지!$D128)=0,"직무구분 누락; ","")&amp;IF(업무일지!$E128="","세부유형 누락; ",IF(AND(업무일지!$D128&lt;&gt;"",COUNTIFS(코드설정!$A$5:$A$21,업무일지!$D128,코드설정!$B$5:$B$21,업무일지!$E128)=0),"세부유형이 직무구분과 불일치; ",""))&amp;IF(AND(업무일지!$F128&lt;&gt;"",COUNTIF(사건마스터!$A$5:$A$64,업무일지!$F128)=0),"미등록 사건번호; ","")&amp;IF(AND(업무일지!$F128="",업무일지!$H128=""),"사건번호·업무명 모두 없음; ","")&amp;IF(업무일지!$J128="","담당자 없음; ","")&amp;IF(COUNTIF(코드설정!$F$5:$F$7,업무일지!$AG128)=0,"진행상태 누락; ","")))</f>
        <v/>
      </c>
    </row>
    <row r="161">
      <c r="A161" s="26" t="inlineStr">
        <is>
          <t>업무일지</t>
        </is>
      </c>
      <c r="B161" s="66" t="n">
        <v>129</v>
      </c>
      <c r="C161" s="122">
        <f>IF($D161="","",IFERROR(TEXT(업무일지!$B129,"yyyy-mm-dd"),"(날짜없음)")&amp;"  "&amp;업무일지!$F129&amp;"  "&amp;업무일지!$H129)</f>
        <v/>
      </c>
      <c r="D161" s="122">
        <f>IF(NOT(COUNTBLANK(업무일지!$B129:$AH129)&lt;33),"",TRIM(IF(업무일지!$B129="","시작일 누락; ","")&amp;IF(업무일지!$C129="","종료일 누락; ","")&amp;IF(AND(업무일지!$B129&lt;&gt;"",업무일지!$C129&lt;&gt;"",업무일지!$C129&lt;업무일지!$B129),"종료일이 시작일보다 빠름; ","")&amp;IF(COUNTIF(코드설정!$H$5:$H$7,업무일지!$D129)=0,"직무구분 누락; ","")&amp;IF(업무일지!$E129="","세부유형 누락; ",IF(AND(업무일지!$D129&lt;&gt;"",COUNTIFS(코드설정!$A$5:$A$21,업무일지!$D129,코드설정!$B$5:$B$21,업무일지!$E129)=0),"세부유형이 직무구분과 불일치; ",""))&amp;IF(AND(업무일지!$F129&lt;&gt;"",COUNTIF(사건마스터!$A$5:$A$64,업무일지!$F129)=0),"미등록 사건번호; ","")&amp;IF(AND(업무일지!$F129="",업무일지!$H129=""),"사건번호·업무명 모두 없음; ","")&amp;IF(업무일지!$J129="","담당자 없음; ","")&amp;IF(COUNTIF(코드설정!$F$5:$F$7,업무일지!$AG129)=0,"진행상태 누락; ","")))</f>
        <v/>
      </c>
    </row>
    <row r="162">
      <c r="A162" s="26" t="inlineStr">
        <is>
          <t>업무일지</t>
        </is>
      </c>
      <c r="B162" s="66" t="n">
        <v>130</v>
      </c>
      <c r="C162" s="122">
        <f>IF($D162="","",IFERROR(TEXT(업무일지!$B130,"yyyy-mm-dd"),"(날짜없음)")&amp;"  "&amp;업무일지!$F130&amp;"  "&amp;업무일지!$H130)</f>
        <v/>
      </c>
      <c r="D162" s="122">
        <f>IF(NOT(COUNTBLANK(업무일지!$B130:$AH130)&lt;33),"",TRIM(IF(업무일지!$B130="","시작일 누락; ","")&amp;IF(업무일지!$C130="","종료일 누락; ","")&amp;IF(AND(업무일지!$B130&lt;&gt;"",업무일지!$C130&lt;&gt;"",업무일지!$C130&lt;업무일지!$B130),"종료일이 시작일보다 빠름; ","")&amp;IF(COUNTIF(코드설정!$H$5:$H$7,업무일지!$D130)=0,"직무구분 누락; ","")&amp;IF(업무일지!$E130="","세부유형 누락; ",IF(AND(업무일지!$D130&lt;&gt;"",COUNTIFS(코드설정!$A$5:$A$21,업무일지!$D130,코드설정!$B$5:$B$21,업무일지!$E130)=0),"세부유형이 직무구분과 불일치; ",""))&amp;IF(AND(업무일지!$F130&lt;&gt;"",COUNTIF(사건마스터!$A$5:$A$64,업무일지!$F130)=0),"미등록 사건번호; ","")&amp;IF(AND(업무일지!$F130="",업무일지!$H130=""),"사건번호·업무명 모두 없음; ","")&amp;IF(업무일지!$J130="","담당자 없음; ","")&amp;IF(COUNTIF(코드설정!$F$5:$F$7,업무일지!$AG130)=0,"진행상태 누락; ","")))</f>
        <v/>
      </c>
    </row>
    <row r="163">
      <c r="A163" s="26" t="inlineStr">
        <is>
          <t>업무일지</t>
        </is>
      </c>
      <c r="B163" s="66" t="n">
        <v>131</v>
      </c>
      <c r="C163" s="122">
        <f>IF($D163="","",IFERROR(TEXT(업무일지!$B131,"yyyy-mm-dd"),"(날짜없음)")&amp;"  "&amp;업무일지!$F131&amp;"  "&amp;업무일지!$H131)</f>
        <v/>
      </c>
      <c r="D163" s="122">
        <f>IF(NOT(COUNTBLANK(업무일지!$B131:$AH131)&lt;33),"",TRIM(IF(업무일지!$B131="","시작일 누락; ","")&amp;IF(업무일지!$C131="","종료일 누락; ","")&amp;IF(AND(업무일지!$B131&lt;&gt;"",업무일지!$C131&lt;&gt;"",업무일지!$C131&lt;업무일지!$B131),"종료일이 시작일보다 빠름; ","")&amp;IF(COUNTIF(코드설정!$H$5:$H$7,업무일지!$D131)=0,"직무구분 누락; ","")&amp;IF(업무일지!$E131="","세부유형 누락; ",IF(AND(업무일지!$D131&lt;&gt;"",COUNTIFS(코드설정!$A$5:$A$21,업무일지!$D131,코드설정!$B$5:$B$21,업무일지!$E131)=0),"세부유형이 직무구분과 불일치; ",""))&amp;IF(AND(업무일지!$F131&lt;&gt;"",COUNTIF(사건마스터!$A$5:$A$64,업무일지!$F131)=0),"미등록 사건번호; ","")&amp;IF(AND(업무일지!$F131="",업무일지!$H131=""),"사건번호·업무명 모두 없음; ","")&amp;IF(업무일지!$J131="","담당자 없음; ","")&amp;IF(COUNTIF(코드설정!$F$5:$F$7,업무일지!$AG131)=0,"진행상태 누락; ","")))</f>
        <v/>
      </c>
    </row>
    <row r="164">
      <c r="A164" s="26" t="inlineStr">
        <is>
          <t>업무일지</t>
        </is>
      </c>
      <c r="B164" s="66" t="n">
        <v>132</v>
      </c>
      <c r="C164" s="122">
        <f>IF($D164="","",IFERROR(TEXT(업무일지!$B132,"yyyy-mm-dd"),"(날짜없음)")&amp;"  "&amp;업무일지!$F132&amp;"  "&amp;업무일지!$H132)</f>
        <v/>
      </c>
      <c r="D164" s="122">
        <f>IF(NOT(COUNTBLANK(업무일지!$B132:$AH132)&lt;33),"",TRIM(IF(업무일지!$B132="","시작일 누락; ","")&amp;IF(업무일지!$C132="","종료일 누락; ","")&amp;IF(AND(업무일지!$B132&lt;&gt;"",업무일지!$C132&lt;&gt;"",업무일지!$C132&lt;업무일지!$B132),"종료일이 시작일보다 빠름; ","")&amp;IF(COUNTIF(코드설정!$H$5:$H$7,업무일지!$D132)=0,"직무구분 누락; ","")&amp;IF(업무일지!$E132="","세부유형 누락; ",IF(AND(업무일지!$D132&lt;&gt;"",COUNTIFS(코드설정!$A$5:$A$21,업무일지!$D132,코드설정!$B$5:$B$21,업무일지!$E132)=0),"세부유형이 직무구분과 불일치; ",""))&amp;IF(AND(업무일지!$F132&lt;&gt;"",COUNTIF(사건마스터!$A$5:$A$64,업무일지!$F132)=0),"미등록 사건번호; ","")&amp;IF(AND(업무일지!$F132="",업무일지!$H132=""),"사건번호·업무명 모두 없음; ","")&amp;IF(업무일지!$J132="","담당자 없음; ","")&amp;IF(COUNTIF(코드설정!$F$5:$F$7,업무일지!$AG132)=0,"진행상태 누락; ","")))</f>
        <v/>
      </c>
    </row>
    <row r="165">
      <c r="A165" s="26" t="inlineStr">
        <is>
          <t>업무일지</t>
        </is>
      </c>
      <c r="B165" s="66" t="n">
        <v>133</v>
      </c>
      <c r="C165" s="122">
        <f>IF($D165="","",IFERROR(TEXT(업무일지!$B133,"yyyy-mm-dd"),"(날짜없음)")&amp;"  "&amp;업무일지!$F133&amp;"  "&amp;업무일지!$H133)</f>
        <v/>
      </c>
      <c r="D165" s="122">
        <f>IF(NOT(COUNTBLANK(업무일지!$B133:$AH133)&lt;33),"",TRIM(IF(업무일지!$B133="","시작일 누락; ","")&amp;IF(업무일지!$C133="","종료일 누락; ","")&amp;IF(AND(업무일지!$B133&lt;&gt;"",업무일지!$C133&lt;&gt;"",업무일지!$C133&lt;업무일지!$B133),"종료일이 시작일보다 빠름; ","")&amp;IF(COUNTIF(코드설정!$H$5:$H$7,업무일지!$D133)=0,"직무구분 누락; ","")&amp;IF(업무일지!$E133="","세부유형 누락; ",IF(AND(업무일지!$D133&lt;&gt;"",COUNTIFS(코드설정!$A$5:$A$21,업무일지!$D133,코드설정!$B$5:$B$21,업무일지!$E133)=0),"세부유형이 직무구분과 불일치; ",""))&amp;IF(AND(업무일지!$F133&lt;&gt;"",COUNTIF(사건마스터!$A$5:$A$64,업무일지!$F133)=0),"미등록 사건번호; ","")&amp;IF(AND(업무일지!$F133="",업무일지!$H133=""),"사건번호·업무명 모두 없음; ","")&amp;IF(업무일지!$J133="","담당자 없음; ","")&amp;IF(COUNTIF(코드설정!$F$5:$F$7,업무일지!$AG133)=0,"진행상태 누락; ","")))</f>
        <v/>
      </c>
    </row>
    <row r="166">
      <c r="A166" s="26" t="inlineStr">
        <is>
          <t>업무일지</t>
        </is>
      </c>
      <c r="B166" s="66" t="n">
        <v>134</v>
      </c>
      <c r="C166" s="122">
        <f>IF($D166="","",IFERROR(TEXT(업무일지!$B134,"yyyy-mm-dd"),"(날짜없음)")&amp;"  "&amp;업무일지!$F134&amp;"  "&amp;업무일지!$H134)</f>
        <v/>
      </c>
      <c r="D166" s="122">
        <f>IF(NOT(COUNTBLANK(업무일지!$B134:$AH134)&lt;33),"",TRIM(IF(업무일지!$B134="","시작일 누락; ","")&amp;IF(업무일지!$C134="","종료일 누락; ","")&amp;IF(AND(업무일지!$B134&lt;&gt;"",업무일지!$C134&lt;&gt;"",업무일지!$C134&lt;업무일지!$B134),"종료일이 시작일보다 빠름; ","")&amp;IF(COUNTIF(코드설정!$H$5:$H$7,업무일지!$D134)=0,"직무구분 누락; ","")&amp;IF(업무일지!$E134="","세부유형 누락; ",IF(AND(업무일지!$D134&lt;&gt;"",COUNTIFS(코드설정!$A$5:$A$21,업무일지!$D134,코드설정!$B$5:$B$21,업무일지!$E134)=0),"세부유형이 직무구분과 불일치; ",""))&amp;IF(AND(업무일지!$F134&lt;&gt;"",COUNTIF(사건마스터!$A$5:$A$64,업무일지!$F134)=0),"미등록 사건번호; ","")&amp;IF(AND(업무일지!$F134="",업무일지!$H134=""),"사건번호·업무명 모두 없음; ","")&amp;IF(업무일지!$J134="","담당자 없음; ","")&amp;IF(COUNTIF(코드설정!$F$5:$F$7,업무일지!$AG134)=0,"진행상태 누락; ","")))</f>
        <v/>
      </c>
    </row>
    <row r="167">
      <c r="A167" s="26" t="inlineStr">
        <is>
          <t>업무일지</t>
        </is>
      </c>
      <c r="B167" s="66" t="n">
        <v>135</v>
      </c>
      <c r="C167" s="122">
        <f>IF($D167="","",IFERROR(TEXT(업무일지!$B135,"yyyy-mm-dd"),"(날짜없음)")&amp;"  "&amp;업무일지!$F135&amp;"  "&amp;업무일지!$H135)</f>
        <v/>
      </c>
      <c r="D167" s="122">
        <f>IF(NOT(COUNTBLANK(업무일지!$B135:$AH135)&lt;33),"",TRIM(IF(업무일지!$B135="","시작일 누락; ","")&amp;IF(업무일지!$C135="","종료일 누락; ","")&amp;IF(AND(업무일지!$B135&lt;&gt;"",업무일지!$C135&lt;&gt;"",업무일지!$C135&lt;업무일지!$B135),"종료일이 시작일보다 빠름; ","")&amp;IF(COUNTIF(코드설정!$H$5:$H$7,업무일지!$D135)=0,"직무구분 누락; ","")&amp;IF(업무일지!$E135="","세부유형 누락; ",IF(AND(업무일지!$D135&lt;&gt;"",COUNTIFS(코드설정!$A$5:$A$21,업무일지!$D135,코드설정!$B$5:$B$21,업무일지!$E135)=0),"세부유형이 직무구분과 불일치; ",""))&amp;IF(AND(업무일지!$F135&lt;&gt;"",COUNTIF(사건마스터!$A$5:$A$64,업무일지!$F135)=0),"미등록 사건번호; ","")&amp;IF(AND(업무일지!$F135="",업무일지!$H135=""),"사건번호·업무명 모두 없음; ","")&amp;IF(업무일지!$J135="","담당자 없음; ","")&amp;IF(COUNTIF(코드설정!$F$5:$F$7,업무일지!$AG135)=0,"진행상태 누락; ","")))</f>
        <v/>
      </c>
    </row>
    <row r="168">
      <c r="A168" s="26" t="inlineStr">
        <is>
          <t>업무일지</t>
        </is>
      </c>
      <c r="B168" s="66" t="n">
        <v>136</v>
      </c>
      <c r="C168" s="122">
        <f>IF($D168="","",IFERROR(TEXT(업무일지!$B136,"yyyy-mm-dd"),"(날짜없음)")&amp;"  "&amp;업무일지!$F136&amp;"  "&amp;업무일지!$H136)</f>
        <v/>
      </c>
      <c r="D168" s="122">
        <f>IF(NOT(COUNTBLANK(업무일지!$B136:$AH136)&lt;33),"",TRIM(IF(업무일지!$B136="","시작일 누락; ","")&amp;IF(업무일지!$C136="","종료일 누락; ","")&amp;IF(AND(업무일지!$B136&lt;&gt;"",업무일지!$C136&lt;&gt;"",업무일지!$C136&lt;업무일지!$B136),"종료일이 시작일보다 빠름; ","")&amp;IF(COUNTIF(코드설정!$H$5:$H$7,업무일지!$D136)=0,"직무구분 누락; ","")&amp;IF(업무일지!$E136="","세부유형 누락; ",IF(AND(업무일지!$D136&lt;&gt;"",COUNTIFS(코드설정!$A$5:$A$21,업무일지!$D136,코드설정!$B$5:$B$21,업무일지!$E136)=0),"세부유형이 직무구분과 불일치; ",""))&amp;IF(AND(업무일지!$F136&lt;&gt;"",COUNTIF(사건마스터!$A$5:$A$64,업무일지!$F136)=0),"미등록 사건번호; ","")&amp;IF(AND(업무일지!$F136="",업무일지!$H136=""),"사건번호·업무명 모두 없음; ","")&amp;IF(업무일지!$J136="","담당자 없음; ","")&amp;IF(COUNTIF(코드설정!$F$5:$F$7,업무일지!$AG136)=0,"진행상태 누락; ","")))</f>
        <v/>
      </c>
    </row>
    <row r="169">
      <c r="A169" s="26" t="inlineStr">
        <is>
          <t>업무일지</t>
        </is>
      </c>
      <c r="B169" s="66" t="n">
        <v>137</v>
      </c>
      <c r="C169" s="122">
        <f>IF($D169="","",IFERROR(TEXT(업무일지!$B137,"yyyy-mm-dd"),"(날짜없음)")&amp;"  "&amp;업무일지!$F137&amp;"  "&amp;업무일지!$H137)</f>
        <v/>
      </c>
      <c r="D169" s="122">
        <f>IF(NOT(COUNTBLANK(업무일지!$B137:$AH137)&lt;33),"",TRIM(IF(업무일지!$B137="","시작일 누락; ","")&amp;IF(업무일지!$C137="","종료일 누락; ","")&amp;IF(AND(업무일지!$B137&lt;&gt;"",업무일지!$C137&lt;&gt;"",업무일지!$C137&lt;업무일지!$B137),"종료일이 시작일보다 빠름; ","")&amp;IF(COUNTIF(코드설정!$H$5:$H$7,업무일지!$D137)=0,"직무구분 누락; ","")&amp;IF(업무일지!$E137="","세부유형 누락; ",IF(AND(업무일지!$D137&lt;&gt;"",COUNTIFS(코드설정!$A$5:$A$21,업무일지!$D137,코드설정!$B$5:$B$21,업무일지!$E137)=0),"세부유형이 직무구분과 불일치; ",""))&amp;IF(AND(업무일지!$F137&lt;&gt;"",COUNTIF(사건마스터!$A$5:$A$64,업무일지!$F137)=0),"미등록 사건번호; ","")&amp;IF(AND(업무일지!$F137="",업무일지!$H137=""),"사건번호·업무명 모두 없음; ","")&amp;IF(업무일지!$J137="","담당자 없음; ","")&amp;IF(COUNTIF(코드설정!$F$5:$F$7,업무일지!$AG137)=0,"진행상태 누락; ","")))</f>
        <v/>
      </c>
    </row>
    <row r="170">
      <c r="A170" s="26" t="inlineStr">
        <is>
          <t>업무일지</t>
        </is>
      </c>
      <c r="B170" s="66" t="n">
        <v>138</v>
      </c>
      <c r="C170" s="122">
        <f>IF($D170="","",IFERROR(TEXT(업무일지!$B138,"yyyy-mm-dd"),"(날짜없음)")&amp;"  "&amp;업무일지!$F138&amp;"  "&amp;업무일지!$H138)</f>
        <v/>
      </c>
      <c r="D170" s="122">
        <f>IF(NOT(COUNTBLANK(업무일지!$B138:$AH138)&lt;33),"",TRIM(IF(업무일지!$B138="","시작일 누락; ","")&amp;IF(업무일지!$C138="","종료일 누락; ","")&amp;IF(AND(업무일지!$B138&lt;&gt;"",업무일지!$C138&lt;&gt;"",업무일지!$C138&lt;업무일지!$B138),"종료일이 시작일보다 빠름; ","")&amp;IF(COUNTIF(코드설정!$H$5:$H$7,업무일지!$D138)=0,"직무구분 누락; ","")&amp;IF(업무일지!$E138="","세부유형 누락; ",IF(AND(업무일지!$D138&lt;&gt;"",COUNTIFS(코드설정!$A$5:$A$21,업무일지!$D138,코드설정!$B$5:$B$21,업무일지!$E138)=0),"세부유형이 직무구분과 불일치; ",""))&amp;IF(AND(업무일지!$F138&lt;&gt;"",COUNTIF(사건마스터!$A$5:$A$64,업무일지!$F138)=0),"미등록 사건번호; ","")&amp;IF(AND(업무일지!$F138="",업무일지!$H138=""),"사건번호·업무명 모두 없음; ","")&amp;IF(업무일지!$J138="","담당자 없음; ","")&amp;IF(COUNTIF(코드설정!$F$5:$F$7,업무일지!$AG138)=0,"진행상태 누락; ","")))</f>
        <v/>
      </c>
    </row>
    <row r="171">
      <c r="A171" s="26" t="inlineStr">
        <is>
          <t>업무일지</t>
        </is>
      </c>
      <c r="B171" s="66" t="n">
        <v>139</v>
      </c>
      <c r="C171" s="122">
        <f>IF($D171="","",IFERROR(TEXT(업무일지!$B139,"yyyy-mm-dd"),"(날짜없음)")&amp;"  "&amp;업무일지!$F139&amp;"  "&amp;업무일지!$H139)</f>
        <v/>
      </c>
      <c r="D171" s="122">
        <f>IF(NOT(COUNTBLANK(업무일지!$B139:$AH139)&lt;33),"",TRIM(IF(업무일지!$B139="","시작일 누락; ","")&amp;IF(업무일지!$C139="","종료일 누락; ","")&amp;IF(AND(업무일지!$B139&lt;&gt;"",업무일지!$C139&lt;&gt;"",업무일지!$C139&lt;업무일지!$B139),"종료일이 시작일보다 빠름; ","")&amp;IF(COUNTIF(코드설정!$H$5:$H$7,업무일지!$D139)=0,"직무구분 누락; ","")&amp;IF(업무일지!$E139="","세부유형 누락; ",IF(AND(업무일지!$D139&lt;&gt;"",COUNTIFS(코드설정!$A$5:$A$21,업무일지!$D139,코드설정!$B$5:$B$21,업무일지!$E139)=0),"세부유형이 직무구분과 불일치; ",""))&amp;IF(AND(업무일지!$F139&lt;&gt;"",COUNTIF(사건마스터!$A$5:$A$64,업무일지!$F139)=0),"미등록 사건번호; ","")&amp;IF(AND(업무일지!$F139="",업무일지!$H139=""),"사건번호·업무명 모두 없음; ","")&amp;IF(업무일지!$J139="","담당자 없음; ","")&amp;IF(COUNTIF(코드설정!$F$5:$F$7,업무일지!$AG139)=0,"진행상태 누락; ","")))</f>
        <v/>
      </c>
    </row>
    <row r="172">
      <c r="A172" s="26" t="inlineStr">
        <is>
          <t>업무일지</t>
        </is>
      </c>
      <c r="B172" s="66" t="n">
        <v>140</v>
      </c>
      <c r="C172" s="122">
        <f>IF($D172="","",IFERROR(TEXT(업무일지!$B140,"yyyy-mm-dd"),"(날짜없음)")&amp;"  "&amp;업무일지!$F140&amp;"  "&amp;업무일지!$H140)</f>
        <v/>
      </c>
      <c r="D172" s="122">
        <f>IF(NOT(COUNTBLANK(업무일지!$B140:$AH140)&lt;33),"",TRIM(IF(업무일지!$B140="","시작일 누락; ","")&amp;IF(업무일지!$C140="","종료일 누락; ","")&amp;IF(AND(업무일지!$B140&lt;&gt;"",업무일지!$C140&lt;&gt;"",업무일지!$C140&lt;업무일지!$B140),"종료일이 시작일보다 빠름; ","")&amp;IF(COUNTIF(코드설정!$H$5:$H$7,업무일지!$D140)=0,"직무구분 누락; ","")&amp;IF(업무일지!$E140="","세부유형 누락; ",IF(AND(업무일지!$D140&lt;&gt;"",COUNTIFS(코드설정!$A$5:$A$21,업무일지!$D140,코드설정!$B$5:$B$21,업무일지!$E140)=0),"세부유형이 직무구분과 불일치; ",""))&amp;IF(AND(업무일지!$F140&lt;&gt;"",COUNTIF(사건마스터!$A$5:$A$64,업무일지!$F140)=0),"미등록 사건번호; ","")&amp;IF(AND(업무일지!$F140="",업무일지!$H140=""),"사건번호·업무명 모두 없음; ","")&amp;IF(업무일지!$J140="","담당자 없음; ","")&amp;IF(COUNTIF(코드설정!$F$5:$F$7,업무일지!$AG140)=0,"진행상태 누락; ","")))</f>
        <v/>
      </c>
    </row>
    <row r="173">
      <c r="A173" s="26" t="inlineStr">
        <is>
          <t>업무일지</t>
        </is>
      </c>
      <c r="B173" s="66" t="n">
        <v>141</v>
      </c>
      <c r="C173" s="122">
        <f>IF($D173="","",IFERROR(TEXT(업무일지!$B141,"yyyy-mm-dd"),"(날짜없음)")&amp;"  "&amp;업무일지!$F141&amp;"  "&amp;업무일지!$H141)</f>
        <v/>
      </c>
      <c r="D173" s="122">
        <f>IF(NOT(COUNTBLANK(업무일지!$B141:$AH141)&lt;33),"",TRIM(IF(업무일지!$B141="","시작일 누락; ","")&amp;IF(업무일지!$C141="","종료일 누락; ","")&amp;IF(AND(업무일지!$B141&lt;&gt;"",업무일지!$C141&lt;&gt;"",업무일지!$C141&lt;업무일지!$B141),"종료일이 시작일보다 빠름; ","")&amp;IF(COUNTIF(코드설정!$H$5:$H$7,업무일지!$D141)=0,"직무구분 누락; ","")&amp;IF(업무일지!$E141="","세부유형 누락; ",IF(AND(업무일지!$D141&lt;&gt;"",COUNTIFS(코드설정!$A$5:$A$21,업무일지!$D141,코드설정!$B$5:$B$21,업무일지!$E141)=0),"세부유형이 직무구분과 불일치; ",""))&amp;IF(AND(업무일지!$F141&lt;&gt;"",COUNTIF(사건마스터!$A$5:$A$64,업무일지!$F141)=0),"미등록 사건번호; ","")&amp;IF(AND(업무일지!$F141="",업무일지!$H141=""),"사건번호·업무명 모두 없음; ","")&amp;IF(업무일지!$J141="","담당자 없음; ","")&amp;IF(COUNTIF(코드설정!$F$5:$F$7,업무일지!$AG141)=0,"진행상태 누락; ","")))</f>
        <v/>
      </c>
    </row>
    <row r="174">
      <c r="A174" s="26" t="inlineStr">
        <is>
          <t>업무일지</t>
        </is>
      </c>
      <c r="B174" s="66" t="n">
        <v>142</v>
      </c>
      <c r="C174" s="122">
        <f>IF($D174="","",IFERROR(TEXT(업무일지!$B142,"yyyy-mm-dd"),"(날짜없음)")&amp;"  "&amp;업무일지!$F142&amp;"  "&amp;업무일지!$H142)</f>
        <v/>
      </c>
      <c r="D174" s="122">
        <f>IF(NOT(COUNTBLANK(업무일지!$B142:$AH142)&lt;33),"",TRIM(IF(업무일지!$B142="","시작일 누락; ","")&amp;IF(업무일지!$C142="","종료일 누락; ","")&amp;IF(AND(업무일지!$B142&lt;&gt;"",업무일지!$C142&lt;&gt;"",업무일지!$C142&lt;업무일지!$B142),"종료일이 시작일보다 빠름; ","")&amp;IF(COUNTIF(코드설정!$H$5:$H$7,업무일지!$D142)=0,"직무구분 누락; ","")&amp;IF(업무일지!$E142="","세부유형 누락; ",IF(AND(업무일지!$D142&lt;&gt;"",COUNTIFS(코드설정!$A$5:$A$21,업무일지!$D142,코드설정!$B$5:$B$21,업무일지!$E142)=0),"세부유형이 직무구분과 불일치; ",""))&amp;IF(AND(업무일지!$F142&lt;&gt;"",COUNTIF(사건마스터!$A$5:$A$64,업무일지!$F142)=0),"미등록 사건번호; ","")&amp;IF(AND(업무일지!$F142="",업무일지!$H142=""),"사건번호·업무명 모두 없음; ","")&amp;IF(업무일지!$J142="","담당자 없음; ","")&amp;IF(COUNTIF(코드설정!$F$5:$F$7,업무일지!$AG142)=0,"진행상태 누락; ","")))</f>
        <v/>
      </c>
    </row>
    <row r="175">
      <c r="A175" s="26" t="inlineStr">
        <is>
          <t>업무일지</t>
        </is>
      </c>
      <c r="B175" s="66" t="n">
        <v>143</v>
      </c>
      <c r="C175" s="122">
        <f>IF($D175="","",IFERROR(TEXT(업무일지!$B143,"yyyy-mm-dd"),"(날짜없음)")&amp;"  "&amp;업무일지!$F143&amp;"  "&amp;업무일지!$H143)</f>
        <v/>
      </c>
      <c r="D175" s="122">
        <f>IF(NOT(COUNTBLANK(업무일지!$B143:$AH143)&lt;33),"",TRIM(IF(업무일지!$B143="","시작일 누락; ","")&amp;IF(업무일지!$C143="","종료일 누락; ","")&amp;IF(AND(업무일지!$B143&lt;&gt;"",업무일지!$C143&lt;&gt;"",업무일지!$C143&lt;업무일지!$B143),"종료일이 시작일보다 빠름; ","")&amp;IF(COUNTIF(코드설정!$H$5:$H$7,업무일지!$D143)=0,"직무구분 누락; ","")&amp;IF(업무일지!$E143="","세부유형 누락; ",IF(AND(업무일지!$D143&lt;&gt;"",COUNTIFS(코드설정!$A$5:$A$21,업무일지!$D143,코드설정!$B$5:$B$21,업무일지!$E143)=0),"세부유형이 직무구분과 불일치; ",""))&amp;IF(AND(업무일지!$F143&lt;&gt;"",COUNTIF(사건마스터!$A$5:$A$64,업무일지!$F143)=0),"미등록 사건번호; ","")&amp;IF(AND(업무일지!$F143="",업무일지!$H143=""),"사건번호·업무명 모두 없음; ","")&amp;IF(업무일지!$J143="","담당자 없음; ","")&amp;IF(COUNTIF(코드설정!$F$5:$F$7,업무일지!$AG143)=0,"진행상태 누락; ","")))</f>
        <v/>
      </c>
    </row>
    <row r="176">
      <c r="A176" s="26" t="inlineStr">
        <is>
          <t>업무일지</t>
        </is>
      </c>
      <c r="B176" s="66" t="n">
        <v>144</v>
      </c>
      <c r="C176" s="122">
        <f>IF($D176="","",IFERROR(TEXT(업무일지!$B144,"yyyy-mm-dd"),"(날짜없음)")&amp;"  "&amp;업무일지!$F144&amp;"  "&amp;업무일지!$H144)</f>
        <v/>
      </c>
      <c r="D176" s="122">
        <f>IF(NOT(COUNTBLANK(업무일지!$B144:$AH144)&lt;33),"",TRIM(IF(업무일지!$B144="","시작일 누락; ","")&amp;IF(업무일지!$C144="","종료일 누락; ","")&amp;IF(AND(업무일지!$B144&lt;&gt;"",업무일지!$C144&lt;&gt;"",업무일지!$C144&lt;업무일지!$B144),"종료일이 시작일보다 빠름; ","")&amp;IF(COUNTIF(코드설정!$H$5:$H$7,업무일지!$D144)=0,"직무구분 누락; ","")&amp;IF(업무일지!$E144="","세부유형 누락; ",IF(AND(업무일지!$D144&lt;&gt;"",COUNTIFS(코드설정!$A$5:$A$21,업무일지!$D144,코드설정!$B$5:$B$21,업무일지!$E144)=0),"세부유형이 직무구분과 불일치; ",""))&amp;IF(AND(업무일지!$F144&lt;&gt;"",COUNTIF(사건마스터!$A$5:$A$64,업무일지!$F144)=0),"미등록 사건번호; ","")&amp;IF(AND(업무일지!$F144="",업무일지!$H144=""),"사건번호·업무명 모두 없음; ","")&amp;IF(업무일지!$J144="","담당자 없음; ","")&amp;IF(COUNTIF(코드설정!$F$5:$F$7,업무일지!$AG144)=0,"진행상태 누락; ","")))</f>
        <v/>
      </c>
    </row>
    <row r="177">
      <c r="A177" s="26" t="inlineStr">
        <is>
          <t>업무일지</t>
        </is>
      </c>
      <c r="B177" s="66" t="n">
        <v>145</v>
      </c>
      <c r="C177" s="122">
        <f>IF($D177="","",IFERROR(TEXT(업무일지!$B145,"yyyy-mm-dd"),"(날짜없음)")&amp;"  "&amp;업무일지!$F145&amp;"  "&amp;업무일지!$H145)</f>
        <v/>
      </c>
      <c r="D177" s="122">
        <f>IF(NOT(COUNTBLANK(업무일지!$B145:$AH145)&lt;33),"",TRIM(IF(업무일지!$B145="","시작일 누락; ","")&amp;IF(업무일지!$C145="","종료일 누락; ","")&amp;IF(AND(업무일지!$B145&lt;&gt;"",업무일지!$C145&lt;&gt;"",업무일지!$C145&lt;업무일지!$B145),"종료일이 시작일보다 빠름; ","")&amp;IF(COUNTIF(코드설정!$H$5:$H$7,업무일지!$D145)=0,"직무구분 누락; ","")&amp;IF(업무일지!$E145="","세부유형 누락; ",IF(AND(업무일지!$D145&lt;&gt;"",COUNTIFS(코드설정!$A$5:$A$21,업무일지!$D145,코드설정!$B$5:$B$21,업무일지!$E145)=0),"세부유형이 직무구분과 불일치; ",""))&amp;IF(AND(업무일지!$F145&lt;&gt;"",COUNTIF(사건마스터!$A$5:$A$64,업무일지!$F145)=0),"미등록 사건번호; ","")&amp;IF(AND(업무일지!$F145="",업무일지!$H145=""),"사건번호·업무명 모두 없음; ","")&amp;IF(업무일지!$J145="","담당자 없음; ","")&amp;IF(COUNTIF(코드설정!$F$5:$F$7,업무일지!$AG145)=0,"진행상태 누락; ","")))</f>
        <v/>
      </c>
    </row>
    <row r="178">
      <c r="A178" s="26" t="inlineStr">
        <is>
          <t>업무일지</t>
        </is>
      </c>
      <c r="B178" s="66" t="n">
        <v>146</v>
      </c>
      <c r="C178" s="122">
        <f>IF($D178="","",IFERROR(TEXT(업무일지!$B146,"yyyy-mm-dd"),"(날짜없음)")&amp;"  "&amp;업무일지!$F146&amp;"  "&amp;업무일지!$H146)</f>
        <v/>
      </c>
      <c r="D178" s="122">
        <f>IF(NOT(COUNTBLANK(업무일지!$B146:$AH146)&lt;33),"",TRIM(IF(업무일지!$B146="","시작일 누락; ","")&amp;IF(업무일지!$C146="","종료일 누락; ","")&amp;IF(AND(업무일지!$B146&lt;&gt;"",업무일지!$C146&lt;&gt;"",업무일지!$C146&lt;업무일지!$B146),"종료일이 시작일보다 빠름; ","")&amp;IF(COUNTIF(코드설정!$H$5:$H$7,업무일지!$D146)=0,"직무구분 누락; ","")&amp;IF(업무일지!$E146="","세부유형 누락; ",IF(AND(업무일지!$D146&lt;&gt;"",COUNTIFS(코드설정!$A$5:$A$21,업무일지!$D146,코드설정!$B$5:$B$21,업무일지!$E146)=0),"세부유형이 직무구분과 불일치; ",""))&amp;IF(AND(업무일지!$F146&lt;&gt;"",COUNTIF(사건마스터!$A$5:$A$64,업무일지!$F146)=0),"미등록 사건번호; ","")&amp;IF(AND(업무일지!$F146="",업무일지!$H146=""),"사건번호·업무명 모두 없음; ","")&amp;IF(업무일지!$J146="","담당자 없음; ","")&amp;IF(COUNTIF(코드설정!$F$5:$F$7,업무일지!$AG146)=0,"진행상태 누락; ","")))</f>
        <v/>
      </c>
    </row>
    <row r="179">
      <c r="A179" s="26" t="inlineStr">
        <is>
          <t>업무일지</t>
        </is>
      </c>
      <c r="B179" s="66" t="n">
        <v>147</v>
      </c>
      <c r="C179" s="122">
        <f>IF($D179="","",IFERROR(TEXT(업무일지!$B147,"yyyy-mm-dd"),"(날짜없음)")&amp;"  "&amp;업무일지!$F147&amp;"  "&amp;업무일지!$H147)</f>
        <v/>
      </c>
      <c r="D179" s="122">
        <f>IF(NOT(COUNTBLANK(업무일지!$B147:$AH147)&lt;33),"",TRIM(IF(업무일지!$B147="","시작일 누락; ","")&amp;IF(업무일지!$C147="","종료일 누락; ","")&amp;IF(AND(업무일지!$B147&lt;&gt;"",업무일지!$C147&lt;&gt;"",업무일지!$C147&lt;업무일지!$B147),"종료일이 시작일보다 빠름; ","")&amp;IF(COUNTIF(코드설정!$H$5:$H$7,업무일지!$D147)=0,"직무구분 누락; ","")&amp;IF(업무일지!$E147="","세부유형 누락; ",IF(AND(업무일지!$D147&lt;&gt;"",COUNTIFS(코드설정!$A$5:$A$21,업무일지!$D147,코드설정!$B$5:$B$21,업무일지!$E147)=0),"세부유형이 직무구분과 불일치; ",""))&amp;IF(AND(업무일지!$F147&lt;&gt;"",COUNTIF(사건마스터!$A$5:$A$64,업무일지!$F147)=0),"미등록 사건번호; ","")&amp;IF(AND(업무일지!$F147="",업무일지!$H147=""),"사건번호·업무명 모두 없음; ","")&amp;IF(업무일지!$J147="","담당자 없음; ","")&amp;IF(COUNTIF(코드설정!$F$5:$F$7,업무일지!$AG147)=0,"진행상태 누락; ","")))</f>
        <v/>
      </c>
    </row>
    <row r="180">
      <c r="A180" s="26" t="inlineStr">
        <is>
          <t>업무일지</t>
        </is>
      </c>
      <c r="B180" s="66" t="n">
        <v>148</v>
      </c>
      <c r="C180" s="122">
        <f>IF($D180="","",IFERROR(TEXT(업무일지!$B148,"yyyy-mm-dd"),"(날짜없음)")&amp;"  "&amp;업무일지!$F148&amp;"  "&amp;업무일지!$H148)</f>
        <v/>
      </c>
      <c r="D180" s="122">
        <f>IF(NOT(COUNTBLANK(업무일지!$B148:$AH148)&lt;33),"",TRIM(IF(업무일지!$B148="","시작일 누락; ","")&amp;IF(업무일지!$C148="","종료일 누락; ","")&amp;IF(AND(업무일지!$B148&lt;&gt;"",업무일지!$C148&lt;&gt;"",업무일지!$C148&lt;업무일지!$B148),"종료일이 시작일보다 빠름; ","")&amp;IF(COUNTIF(코드설정!$H$5:$H$7,업무일지!$D148)=0,"직무구분 누락; ","")&amp;IF(업무일지!$E148="","세부유형 누락; ",IF(AND(업무일지!$D148&lt;&gt;"",COUNTIFS(코드설정!$A$5:$A$21,업무일지!$D148,코드설정!$B$5:$B$21,업무일지!$E148)=0),"세부유형이 직무구분과 불일치; ",""))&amp;IF(AND(업무일지!$F148&lt;&gt;"",COUNTIF(사건마스터!$A$5:$A$64,업무일지!$F148)=0),"미등록 사건번호; ","")&amp;IF(AND(업무일지!$F148="",업무일지!$H148=""),"사건번호·업무명 모두 없음; ","")&amp;IF(업무일지!$J148="","담당자 없음; ","")&amp;IF(COUNTIF(코드설정!$F$5:$F$7,업무일지!$AG148)=0,"진행상태 누락; ","")))</f>
        <v/>
      </c>
    </row>
    <row r="181">
      <c r="A181" s="26" t="inlineStr">
        <is>
          <t>업무일지</t>
        </is>
      </c>
      <c r="B181" s="66" t="n">
        <v>149</v>
      </c>
      <c r="C181" s="122">
        <f>IF($D181="","",IFERROR(TEXT(업무일지!$B149,"yyyy-mm-dd"),"(날짜없음)")&amp;"  "&amp;업무일지!$F149&amp;"  "&amp;업무일지!$H149)</f>
        <v/>
      </c>
      <c r="D181" s="122">
        <f>IF(NOT(COUNTBLANK(업무일지!$B149:$AH149)&lt;33),"",TRIM(IF(업무일지!$B149="","시작일 누락; ","")&amp;IF(업무일지!$C149="","종료일 누락; ","")&amp;IF(AND(업무일지!$B149&lt;&gt;"",업무일지!$C149&lt;&gt;"",업무일지!$C149&lt;업무일지!$B149),"종료일이 시작일보다 빠름; ","")&amp;IF(COUNTIF(코드설정!$H$5:$H$7,업무일지!$D149)=0,"직무구분 누락; ","")&amp;IF(업무일지!$E149="","세부유형 누락; ",IF(AND(업무일지!$D149&lt;&gt;"",COUNTIFS(코드설정!$A$5:$A$21,업무일지!$D149,코드설정!$B$5:$B$21,업무일지!$E149)=0),"세부유형이 직무구분과 불일치; ",""))&amp;IF(AND(업무일지!$F149&lt;&gt;"",COUNTIF(사건마스터!$A$5:$A$64,업무일지!$F149)=0),"미등록 사건번호; ","")&amp;IF(AND(업무일지!$F149="",업무일지!$H149=""),"사건번호·업무명 모두 없음; ","")&amp;IF(업무일지!$J149="","담당자 없음; ","")&amp;IF(COUNTIF(코드설정!$F$5:$F$7,업무일지!$AG149)=0,"진행상태 누락; ","")))</f>
        <v/>
      </c>
    </row>
    <row r="182">
      <c r="A182" s="26" t="inlineStr">
        <is>
          <t>업무일지</t>
        </is>
      </c>
      <c r="B182" s="66" t="n">
        <v>150</v>
      </c>
      <c r="C182" s="122">
        <f>IF($D182="","",IFERROR(TEXT(업무일지!$B150,"yyyy-mm-dd"),"(날짜없음)")&amp;"  "&amp;업무일지!$F150&amp;"  "&amp;업무일지!$H150)</f>
        <v/>
      </c>
      <c r="D182" s="122">
        <f>IF(NOT(COUNTBLANK(업무일지!$B150:$AH150)&lt;33),"",TRIM(IF(업무일지!$B150="","시작일 누락; ","")&amp;IF(업무일지!$C150="","종료일 누락; ","")&amp;IF(AND(업무일지!$B150&lt;&gt;"",업무일지!$C150&lt;&gt;"",업무일지!$C150&lt;업무일지!$B150),"종료일이 시작일보다 빠름; ","")&amp;IF(COUNTIF(코드설정!$H$5:$H$7,업무일지!$D150)=0,"직무구분 누락; ","")&amp;IF(업무일지!$E150="","세부유형 누락; ",IF(AND(업무일지!$D150&lt;&gt;"",COUNTIFS(코드설정!$A$5:$A$21,업무일지!$D150,코드설정!$B$5:$B$21,업무일지!$E150)=0),"세부유형이 직무구분과 불일치; ",""))&amp;IF(AND(업무일지!$F150&lt;&gt;"",COUNTIF(사건마스터!$A$5:$A$64,업무일지!$F150)=0),"미등록 사건번호; ","")&amp;IF(AND(업무일지!$F150="",업무일지!$H150=""),"사건번호·업무명 모두 없음; ","")&amp;IF(업무일지!$J150="","담당자 없음; ","")&amp;IF(COUNTIF(코드설정!$F$5:$F$7,업무일지!$AG150)=0,"진행상태 누락; ","")))</f>
        <v/>
      </c>
    </row>
    <row r="183">
      <c r="A183" s="26" t="inlineStr">
        <is>
          <t>업무일지</t>
        </is>
      </c>
      <c r="B183" s="66" t="n">
        <v>151</v>
      </c>
      <c r="C183" s="122">
        <f>IF($D183="","",IFERROR(TEXT(업무일지!$B151,"yyyy-mm-dd"),"(날짜없음)")&amp;"  "&amp;업무일지!$F151&amp;"  "&amp;업무일지!$H151)</f>
        <v/>
      </c>
      <c r="D183" s="122">
        <f>IF(NOT(COUNTBLANK(업무일지!$B151:$AH151)&lt;33),"",TRIM(IF(업무일지!$B151="","시작일 누락; ","")&amp;IF(업무일지!$C151="","종료일 누락; ","")&amp;IF(AND(업무일지!$B151&lt;&gt;"",업무일지!$C151&lt;&gt;"",업무일지!$C151&lt;업무일지!$B151),"종료일이 시작일보다 빠름; ","")&amp;IF(COUNTIF(코드설정!$H$5:$H$7,업무일지!$D151)=0,"직무구분 누락; ","")&amp;IF(업무일지!$E151="","세부유형 누락; ",IF(AND(업무일지!$D151&lt;&gt;"",COUNTIFS(코드설정!$A$5:$A$21,업무일지!$D151,코드설정!$B$5:$B$21,업무일지!$E151)=0),"세부유형이 직무구분과 불일치; ",""))&amp;IF(AND(업무일지!$F151&lt;&gt;"",COUNTIF(사건마스터!$A$5:$A$64,업무일지!$F151)=0),"미등록 사건번호; ","")&amp;IF(AND(업무일지!$F151="",업무일지!$H151=""),"사건번호·업무명 모두 없음; ","")&amp;IF(업무일지!$J151="","담당자 없음; ","")&amp;IF(COUNTIF(코드설정!$F$5:$F$7,업무일지!$AG151)=0,"진행상태 누락; ","")))</f>
        <v/>
      </c>
    </row>
    <row r="184">
      <c r="A184" s="26" t="inlineStr">
        <is>
          <t>업무일지</t>
        </is>
      </c>
      <c r="B184" s="66" t="n">
        <v>152</v>
      </c>
      <c r="C184" s="122">
        <f>IF($D184="","",IFERROR(TEXT(업무일지!$B152,"yyyy-mm-dd"),"(날짜없음)")&amp;"  "&amp;업무일지!$F152&amp;"  "&amp;업무일지!$H152)</f>
        <v/>
      </c>
      <c r="D184" s="122">
        <f>IF(NOT(COUNTBLANK(업무일지!$B152:$AH152)&lt;33),"",TRIM(IF(업무일지!$B152="","시작일 누락; ","")&amp;IF(업무일지!$C152="","종료일 누락; ","")&amp;IF(AND(업무일지!$B152&lt;&gt;"",업무일지!$C152&lt;&gt;"",업무일지!$C152&lt;업무일지!$B152),"종료일이 시작일보다 빠름; ","")&amp;IF(COUNTIF(코드설정!$H$5:$H$7,업무일지!$D152)=0,"직무구분 누락; ","")&amp;IF(업무일지!$E152="","세부유형 누락; ",IF(AND(업무일지!$D152&lt;&gt;"",COUNTIFS(코드설정!$A$5:$A$21,업무일지!$D152,코드설정!$B$5:$B$21,업무일지!$E152)=0),"세부유형이 직무구분과 불일치; ",""))&amp;IF(AND(업무일지!$F152&lt;&gt;"",COUNTIF(사건마스터!$A$5:$A$64,업무일지!$F152)=0),"미등록 사건번호; ","")&amp;IF(AND(업무일지!$F152="",업무일지!$H152=""),"사건번호·업무명 모두 없음; ","")&amp;IF(업무일지!$J152="","담당자 없음; ","")&amp;IF(COUNTIF(코드설정!$F$5:$F$7,업무일지!$AG152)=0,"진행상태 누락; ","")))</f>
        <v/>
      </c>
    </row>
    <row r="185">
      <c r="A185" s="26" t="inlineStr">
        <is>
          <t>업무일지</t>
        </is>
      </c>
      <c r="B185" s="66" t="n">
        <v>153</v>
      </c>
      <c r="C185" s="122">
        <f>IF($D185="","",IFERROR(TEXT(업무일지!$B153,"yyyy-mm-dd"),"(날짜없음)")&amp;"  "&amp;업무일지!$F153&amp;"  "&amp;업무일지!$H153)</f>
        <v/>
      </c>
      <c r="D185" s="122">
        <f>IF(NOT(COUNTBLANK(업무일지!$B153:$AH153)&lt;33),"",TRIM(IF(업무일지!$B153="","시작일 누락; ","")&amp;IF(업무일지!$C153="","종료일 누락; ","")&amp;IF(AND(업무일지!$B153&lt;&gt;"",업무일지!$C153&lt;&gt;"",업무일지!$C153&lt;업무일지!$B153),"종료일이 시작일보다 빠름; ","")&amp;IF(COUNTIF(코드설정!$H$5:$H$7,업무일지!$D153)=0,"직무구분 누락; ","")&amp;IF(업무일지!$E153="","세부유형 누락; ",IF(AND(업무일지!$D153&lt;&gt;"",COUNTIFS(코드설정!$A$5:$A$21,업무일지!$D153,코드설정!$B$5:$B$21,업무일지!$E153)=0),"세부유형이 직무구분과 불일치; ",""))&amp;IF(AND(업무일지!$F153&lt;&gt;"",COUNTIF(사건마스터!$A$5:$A$64,업무일지!$F153)=0),"미등록 사건번호; ","")&amp;IF(AND(업무일지!$F153="",업무일지!$H153=""),"사건번호·업무명 모두 없음; ","")&amp;IF(업무일지!$J153="","담당자 없음; ","")&amp;IF(COUNTIF(코드설정!$F$5:$F$7,업무일지!$AG153)=0,"진행상태 누락; ","")))</f>
        <v/>
      </c>
    </row>
    <row r="186">
      <c r="A186" s="26" t="inlineStr">
        <is>
          <t>업무일지</t>
        </is>
      </c>
      <c r="B186" s="66" t="n">
        <v>154</v>
      </c>
      <c r="C186" s="122">
        <f>IF($D186="","",IFERROR(TEXT(업무일지!$B154,"yyyy-mm-dd"),"(날짜없음)")&amp;"  "&amp;업무일지!$F154&amp;"  "&amp;업무일지!$H154)</f>
        <v/>
      </c>
      <c r="D186" s="122">
        <f>IF(NOT(COUNTBLANK(업무일지!$B154:$AH154)&lt;33),"",TRIM(IF(업무일지!$B154="","시작일 누락; ","")&amp;IF(업무일지!$C154="","종료일 누락; ","")&amp;IF(AND(업무일지!$B154&lt;&gt;"",업무일지!$C154&lt;&gt;"",업무일지!$C154&lt;업무일지!$B154),"종료일이 시작일보다 빠름; ","")&amp;IF(COUNTIF(코드설정!$H$5:$H$7,업무일지!$D154)=0,"직무구분 누락; ","")&amp;IF(업무일지!$E154="","세부유형 누락; ",IF(AND(업무일지!$D154&lt;&gt;"",COUNTIFS(코드설정!$A$5:$A$21,업무일지!$D154,코드설정!$B$5:$B$21,업무일지!$E154)=0),"세부유형이 직무구분과 불일치; ",""))&amp;IF(AND(업무일지!$F154&lt;&gt;"",COUNTIF(사건마스터!$A$5:$A$64,업무일지!$F154)=0),"미등록 사건번호; ","")&amp;IF(AND(업무일지!$F154="",업무일지!$H154=""),"사건번호·업무명 모두 없음; ","")&amp;IF(업무일지!$J154="","담당자 없음; ","")&amp;IF(COUNTIF(코드설정!$F$5:$F$7,업무일지!$AG154)=0,"진행상태 누락; ","")))</f>
        <v/>
      </c>
    </row>
    <row r="187">
      <c r="A187" s="26" t="inlineStr">
        <is>
          <t>업무일지</t>
        </is>
      </c>
      <c r="B187" s="66" t="n">
        <v>155</v>
      </c>
      <c r="C187" s="122">
        <f>IF($D187="","",IFERROR(TEXT(업무일지!$B155,"yyyy-mm-dd"),"(날짜없음)")&amp;"  "&amp;업무일지!$F155&amp;"  "&amp;업무일지!$H155)</f>
        <v/>
      </c>
      <c r="D187" s="122">
        <f>IF(NOT(COUNTBLANK(업무일지!$B155:$AH155)&lt;33),"",TRIM(IF(업무일지!$B155="","시작일 누락; ","")&amp;IF(업무일지!$C155="","종료일 누락; ","")&amp;IF(AND(업무일지!$B155&lt;&gt;"",업무일지!$C155&lt;&gt;"",업무일지!$C155&lt;업무일지!$B155),"종료일이 시작일보다 빠름; ","")&amp;IF(COUNTIF(코드설정!$H$5:$H$7,업무일지!$D155)=0,"직무구분 누락; ","")&amp;IF(업무일지!$E155="","세부유형 누락; ",IF(AND(업무일지!$D155&lt;&gt;"",COUNTIFS(코드설정!$A$5:$A$21,업무일지!$D155,코드설정!$B$5:$B$21,업무일지!$E155)=0),"세부유형이 직무구분과 불일치; ",""))&amp;IF(AND(업무일지!$F155&lt;&gt;"",COUNTIF(사건마스터!$A$5:$A$64,업무일지!$F155)=0),"미등록 사건번호; ","")&amp;IF(AND(업무일지!$F155="",업무일지!$H155=""),"사건번호·업무명 모두 없음; ","")&amp;IF(업무일지!$J155="","담당자 없음; ","")&amp;IF(COUNTIF(코드설정!$F$5:$F$7,업무일지!$AG155)=0,"진행상태 누락; ","")))</f>
        <v/>
      </c>
    </row>
    <row r="188">
      <c r="A188" s="26" t="inlineStr">
        <is>
          <t>업무일지</t>
        </is>
      </c>
      <c r="B188" s="66" t="n">
        <v>156</v>
      </c>
      <c r="C188" s="122">
        <f>IF($D188="","",IFERROR(TEXT(업무일지!$B156,"yyyy-mm-dd"),"(날짜없음)")&amp;"  "&amp;업무일지!$F156&amp;"  "&amp;업무일지!$H156)</f>
        <v/>
      </c>
      <c r="D188" s="122">
        <f>IF(NOT(COUNTBLANK(업무일지!$B156:$AH156)&lt;33),"",TRIM(IF(업무일지!$B156="","시작일 누락; ","")&amp;IF(업무일지!$C156="","종료일 누락; ","")&amp;IF(AND(업무일지!$B156&lt;&gt;"",업무일지!$C156&lt;&gt;"",업무일지!$C156&lt;업무일지!$B156),"종료일이 시작일보다 빠름; ","")&amp;IF(COUNTIF(코드설정!$H$5:$H$7,업무일지!$D156)=0,"직무구분 누락; ","")&amp;IF(업무일지!$E156="","세부유형 누락; ",IF(AND(업무일지!$D156&lt;&gt;"",COUNTIFS(코드설정!$A$5:$A$21,업무일지!$D156,코드설정!$B$5:$B$21,업무일지!$E156)=0),"세부유형이 직무구분과 불일치; ",""))&amp;IF(AND(업무일지!$F156&lt;&gt;"",COUNTIF(사건마스터!$A$5:$A$64,업무일지!$F156)=0),"미등록 사건번호; ","")&amp;IF(AND(업무일지!$F156="",업무일지!$H156=""),"사건번호·업무명 모두 없음; ","")&amp;IF(업무일지!$J156="","담당자 없음; ","")&amp;IF(COUNTIF(코드설정!$F$5:$F$7,업무일지!$AG156)=0,"진행상태 누락; ","")))</f>
        <v/>
      </c>
    </row>
    <row r="189">
      <c r="A189" s="26" t="inlineStr">
        <is>
          <t>업무일지</t>
        </is>
      </c>
      <c r="B189" s="66" t="n">
        <v>157</v>
      </c>
      <c r="C189" s="122">
        <f>IF($D189="","",IFERROR(TEXT(업무일지!$B157,"yyyy-mm-dd"),"(날짜없음)")&amp;"  "&amp;업무일지!$F157&amp;"  "&amp;업무일지!$H157)</f>
        <v/>
      </c>
      <c r="D189" s="122">
        <f>IF(NOT(COUNTBLANK(업무일지!$B157:$AH157)&lt;33),"",TRIM(IF(업무일지!$B157="","시작일 누락; ","")&amp;IF(업무일지!$C157="","종료일 누락; ","")&amp;IF(AND(업무일지!$B157&lt;&gt;"",업무일지!$C157&lt;&gt;"",업무일지!$C157&lt;업무일지!$B157),"종료일이 시작일보다 빠름; ","")&amp;IF(COUNTIF(코드설정!$H$5:$H$7,업무일지!$D157)=0,"직무구분 누락; ","")&amp;IF(업무일지!$E157="","세부유형 누락; ",IF(AND(업무일지!$D157&lt;&gt;"",COUNTIFS(코드설정!$A$5:$A$21,업무일지!$D157,코드설정!$B$5:$B$21,업무일지!$E157)=0),"세부유형이 직무구분과 불일치; ",""))&amp;IF(AND(업무일지!$F157&lt;&gt;"",COUNTIF(사건마스터!$A$5:$A$64,업무일지!$F157)=0),"미등록 사건번호; ","")&amp;IF(AND(업무일지!$F157="",업무일지!$H157=""),"사건번호·업무명 모두 없음; ","")&amp;IF(업무일지!$J157="","담당자 없음; ","")&amp;IF(COUNTIF(코드설정!$F$5:$F$7,업무일지!$AG157)=0,"진행상태 누락; ","")))</f>
        <v/>
      </c>
    </row>
    <row r="190">
      <c r="A190" s="26" t="inlineStr">
        <is>
          <t>업무일지</t>
        </is>
      </c>
      <c r="B190" s="66" t="n">
        <v>158</v>
      </c>
      <c r="C190" s="122">
        <f>IF($D190="","",IFERROR(TEXT(업무일지!$B158,"yyyy-mm-dd"),"(날짜없음)")&amp;"  "&amp;업무일지!$F158&amp;"  "&amp;업무일지!$H158)</f>
        <v/>
      </c>
      <c r="D190" s="122">
        <f>IF(NOT(COUNTBLANK(업무일지!$B158:$AH158)&lt;33),"",TRIM(IF(업무일지!$B158="","시작일 누락; ","")&amp;IF(업무일지!$C158="","종료일 누락; ","")&amp;IF(AND(업무일지!$B158&lt;&gt;"",업무일지!$C158&lt;&gt;"",업무일지!$C158&lt;업무일지!$B158),"종료일이 시작일보다 빠름; ","")&amp;IF(COUNTIF(코드설정!$H$5:$H$7,업무일지!$D158)=0,"직무구분 누락; ","")&amp;IF(업무일지!$E158="","세부유형 누락; ",IF(AND(업무일지!$D158&lt;&gt;"",COUNTIFS(코드설정!$A$5:$A$21,업무일지!$D158,코드설정!$B$5:$B$21,업무일지!$E158)=0),"세부유형이 직무구분과 불일치; ",""))&amp;IF(AND(업무일지!$F158&lt;&gt;"",COUNTIF(사건마스터!$A$5:$A$64,업무일지!$F158)=0),"미등록 사건번호; ","")&amp;IF(AND(업무일지!$F158="",업무일지!$H158=""),"사건번호·업무명 모두 없음; ","")&amp;IF(업무일지!$J158="","담당자 없음; ","")&amp;IF(COUNTIF(코드설정!$F$5:$F$7,업무일지!$AG158)=0,"진행상태 누락; ","")))</f>
        <v/>
      </c>
    </row>
    <row r="191">
      <c r="A191" s="26" t="inlineStr">
        <is>
          <t>업무일지</t>
        </is>
      </c>
      <c r="B191" s="66" t="n">
        <v>159</v>
      </c>
      <c r="C191" s="122">
        <f>IF($D191="","",IFERROR(TEXT(업무일지!$B159,"yyyy-mm-dd"),"(날짜없음)")&amp;"  "&amp;업무일지!$F159&amp;"  "&amp;업무일지!$H159)</f>
        <v/>
      </c>
      <c r="D191" s="122">
        <f>IF(NOT(COUNTBLANK(업무일지!$B159:$AH159)&lt;33),"",TRIM(IF(업무일지!$B159="","시작일 누락; ","")&amp;IF(업무일지!$C159="","종료일 누락; ","")&amp;IF(AND(업무일지!$B159&lt;&gt;"",업무일지!$C159&lt;&gt;"",업무일지!$C159&lt;업무일지!$B159),"종료일이 시작일보다 빠름; ","")&amp;IF(COUNTIF(코드설정!$H$5:$H$7,업무일지!$D159)=0,"직무구분 누락; ","")&amp;IF(업무일지!$E159="","세부유형 누락; ",IF(AND(업무일지!$D159&lt;&gt;"",COUNTIFS(코드설정!$A$5:$A$21,업무일지!$D159,코드설정!$B$5:$B$21,업무일지!$E159)=0),"세부유형이 직무구분과 불일치; ",""))&amp;IF(AND(업무일지!$F159&lt;&gt;"",COUNTIF(사건마스터!$A$5:$A$64,업무일지!$F159)=0),"미등록 사건번호; ","")&amp;IF(AND(업무일지!$F159="",업무일지!$H159=""),"사건번호·업무명 모두 없음; ","")&amp;IF(업무일지!$J159="","담당자 없음; ","")&amp;IF(COUNTIF(코드설정!$F$5:$F$7,업무일지!$AG159)=0,"진행상태 누락; ","")))</f>
        <v/>
      </c>
    </row>
    <row r="192">
      <c r="A192" s="26" t="inlineStr">
        <is>
          <t>업무일지</t>
        </is>
      </c>
      <c r="B192" s="66" t="n">
        <v>160</v>
      </c>
      <c r="C192" s="122">
        <f>IF($D192="","",IFERROR(TEXT(업무일지!$B160,"yyyy-mm-dd"),"(날짜없음)")&amp;"  "&amp;업무일지!$F160&amp;"  "&amp;업무일지!$H160)</f>
        <v/>
      </c>
      <c r="D192" s="122">
        <f>IF(NOT(COUNTBLANK(업무일지!$B160:$AH160)&lt;33),"",TRIM(IF(업무일지!$B160="","시작일 누락; ","")&amp;IF(업무일지!$C160="","종료일 누락; ","")&amp;IF(AND(업무일지!$B160&lt;&gt;"",업무일지!$C160&lt;&gt;"",업무일지!$C160&lt;업무일지!$B160),"종료일이 시작일보다 빠름; ","")&amp;IF(COUNTIF(코드설정!$H$5:$H$7,업무일지!$D160)=0,"직무구분 누락; ","")&amp;IF(업무일지!$E160="","세부유형 누락; ",IF(AND(업무일지!$D160&lt;&gt;"",COUNTIFS(코드설정!$A$5:$A$21,업무일지!$D160,코드설정!$B$5:$B$21,업무일지!$E160)=0),"세부유형이 직무구분과 불일치; ",""))&amp;IF(AND(업무일지!$F160&lt;&gt;"",COUNTIF(사건마스터!$A$5:$A$64,업무일지!$F160)=0),"미등록 사건번호; ","")&amp;IF(AND(업무일지!$F160="",업무일지!$H160=""),"사건번호·업무명 모두 없음; ","")&amp;IF(업무일지!$J160="","담당자 없음; ","")&amp;IF(COUNTIF(코드설정!$F$5:$F$7,업무일지!$AG160)=0,"진행상태 누락; ","")))</f>
        <v/>
      </c>
    </row>
    <row r="193">
      <c r="A193" s="26" t="inlineStr">
        <is>
          <t>업무일지</t>
        </is>
      </c>
      <c r="B193" s="66" t="n">
        <v>161</v>
      </c>
      <c r="C193" s="122">
        <f>IF($D193="","",IFERROR(TEXT(업무일지!$B161,"yyyy-mm-dd"),"(날짜없음)")&amp;"  "&amp;업무일지!$F161&amp;"  "&amp;업무일지!$H161)</f>
        <v/>
      </c>
      <c r="D193" s="122">
        <f>IF(NOT(COUNTBLANK(업무일지!$B161:$AH161)&lt;33),"",TRIM(IF(업무일지!$B161="","시작일 누락; ","")&amp;IF(업무일지!$C161="","종료일 누락; ","")&amp;IF(AND(업무일지!$B161&lt;&gt;"",업무일지!$C161&lt;&gt;"",업무일지!$C161&lt;업무일지!$B161),"종료일이 시작일보다 빠름; ","")&amp;IF(COUNTIF(코드설정!$H$5:$H$7,업무일지!$D161)=0,"직무구분 누락; ","")&amp;IF(업무일지!$E161="","세부유형 누락; ",IF(AND(업무일지!$D161&lt;&gt;"",COUNTIFS(코드설정!$A$5:$A$21,업무일지!$D161,코드설정!$B$5:$B$21,업무일지!$E161)=0),"세부유형이 직무구분과 불일치; ",""))&amp;IF(AND(업무일지!$F161&lt;&gt;"",COUNTIF(사건마스터!$A$5:$A$64,업무일지!$F161)=0),"미등록 사건번호; ","")&amp;IF(AND(업무일지!$F161="",업무일지!$H161=""),"사건번호·업무명 모두 없음; ","")&amp;IF(업무일지!$J161="","담당자 없음; ","")&amp;IF(COUNTIF(코드설정!$F$5:$F$7,업무일지!$AG161)=0,"진행상태 누락; ","")))</f>
        <v/>
      </c>
    </row>
    <row r="194">
      <c r="A194" s="26" t="inlineStr">
        <is>
          <t>업무일지</t>
        </is>
      </c>
      <c r="B194" s="66" t="n">
        <v>162</v>
      </c>
      <c r="C194" s="122">
        <f>IF($D194="","",IFERROR(TEXT(업무일지!$B162,"yyyy-mm-dd"),"(날짜없음)")&amp;"  "&amp;업무일지!$F162&amp;"  "&amp;업무일지!$H162)</f>
        <v/>
      </c>
      <c r="D194" s="122">
        <f>IF(NOT(COUNTBLANK(업무일지!$B162:$AH162)&lt;33),"",TRIM(IF(업무일지!$B162="","시작일 누락; ","")&amp;IF(업무일지!$C162="","종료일 누락; ","")&amp;IF(AND(업무일지!$B162&lt;&gt;"",업무일지!$C162&lt;&gt;"",업무일지!$C162&lt;업무일지!$B162),"종료일이 시작일보다 빠름; ","")&amp;IF(COUNTIF(코드설정!$H$5:$H$7,업무일지!$D162)=0,"직무구분 누락; ","")&amp;IF(업무일지!$E162="","세부유형 누락; ",IF(AND(업무일지!$D162&lt;&gt;"",COUNTIFS(코드설정!$A$5:$A$21,업무일지!$D162,코드설정!$B$5:$B$21,업무일지!$E162)=0),"세부유형이 직무구분과 불일치; ",""))&amp;IF(AND(업무일지!$F162&lt;&gt;"",COUNTIF(사건마스터!$A$5:$A$64,업무일지!$F162)=0),"미등록 사건번호; ","")&amp;IF(AND(업무일지!$F162="",업무일지!$H162=""),"사건번호·업무명 모두 없음; ","")&amp;IF(업무일지!$J162="","담당자 없음; ","")&amp;IF(COUNTIF(코드설정!$F$5:$F$7,업무일지!$AG162)=0,"진행상태 누락; ","")))</f>
        <v/>
      </c>
    </row>
    <row r="195">
      <c r="A195" s="26" t="inlineStr">
        <is>
          <t>업무일지</t>
        </is>
      </c>
      <c r="B195" s="66" t="n">
        <v>163</v>
      </c>
      <c r="C195" s="122">
        <f>IF($D195="","",IFERROR(TEXT(업무일지!$B163,"yyyy-mm-dd"),"(날짜없음)")&amp;"  "&amp;업무일지!$F163&amp;"  "&amp;업무일지!$H163)</f>
        <v/>
      </c>
      <c r="D195" s="122">
        <f>IF(NOT(COUNTBLANK(업무일지!$B163:$AH163)&lt;33),"",TRIM(IF(업무일지!$B163="","시작일 누락; ","")&amp;IF(업무일지!$C163="","종료일 누락; ","")&amp;IF(AND(업무일지!$B163&lt;&gt;"",업무일지!$C163&lt;&gt;"",업무일지!$C163&lt;업무일지!$B163),"종료일이 시작일보다 빠름; ","")&amp;IF(COUNTIF(코드설정!$H$5:$H$7,업무일지!$D163)=0,"직무구분 누락; ","")&amp;IF(업무일지!$E163="","세부유형 누락; ",IF(AND(업무일지!$D163&lt;&gt;"",COUNTIFS(코드설정!$A$5:$A$21,업무일지!$D163,코드설정!$B$5:$B$21,업무일지!$E163)=0),"세부유형이 직무구분과 불일치; ",""))&amp;IF(AND(업무일지!$F163&lt;&gt;"",COUNTIF(사건마스터!$A$5:$A$64,업무일지!$F163)=0),"미등록 사건번호; ","")&amp;IF(AND(업무일지!$F163="",업무일지!$H163=""),"사건번호·업무명 모두 없음; ","")&amp;IF(업무일지!$J163="","담당자 없음; ","")&amp;IF(COUNTIF(코드설정!$F$5:$F$7,업무일지!$AG163)=0,"진행상태 누락; ","")))</f>
        <v/>
      </c>
    </row>
    <row r="196">
      <c r="A196" s="26" t="inlineStr">
        <is>
          <t>업무일지</t>
        </is>
      </c>
      <c r="B196" s="66" t="n">
        <v>164</v>
      </c>
      <c r="C196" s="122">
        <f>IF($D196="","",IFERROR(TEXT(업무일지!$B164,"yyyy-mm-dd"),"(날짜없음)")&amp;"  "&amp;업무일지!$F164&amp;"  "&amp;업무일지!$H164)</f>
        <v/>
      </c>
      <c r="D196" s="122">
        <f>IF(NOT(COUNTBLANK(업무일지!$B164:$AH164)&lt;33),"",TRIM(IF(업무일지!$B164="","시작일 누락; ","")&amp;IF(업무일지!$C164="","종료일 누락; ","")&amp;IF(AND(업무일지!$B164&lt;&gt;"",업무일지!$C164&lt;&gt;"",업무일지!$C164&lt;업무일지!$B164),"종료일이 시작일보다 빠름; ","")&amp;IF(COUNTIF(코드설정!$H$5:$H$7,업무일지!$D164)=0,"직무구분 누락; ","")&amp;IF(업무일지!$E164="","세부유형 누락; ",IF(AND(업무일지!$D164&lt;&gt;"",COUNTIFS(코드설정!$A$5:$A$21,업무일지!$D164,코드설정!$B$5:$B$21,업무일지!$E164)=0),"세부유형이 직무구분과 불일치; ",""))&amp;IF(AND(업무일지!$F164&lt;&gt;"",COUNTIF(사건마스터!$A$5:$A$64,업무일지!$F164)=0),"미등록 사건번호; ","")&amp;IF(AND(업무일지!$F164="",업무일지!$H164=""),"사건번호·업무명 모두 없음; ","")&amp;IF(업무일지!$J164="","담당자 없음; ","")&amp;IF(COUNTIF(코드설정!$F$5:$F$7,업무일지!$AG164)=0,"진행상태 누락; ","")))</f>
        <v/>
      </c>
    </row>
    <row r="197">
      <c r="A197" s="26" t="inlineStr">
        <is>
          <t>업무일지</t>
        </is>
      </c>
      <c r="B197" s="66" t="n">
        <v>165</v>
      </c>
      <c r="C197" s="122">
        <f>IF($D197="","",IFERROR(TEXT(업무일지!$B165,"yyyy-mm-dd"),"(날짜없음)")&amp;"  "&amp;업무일지!$F165&amp;"  "&amp;업무일지!$H165)</f>
        <v/>
      </c>
      <c r="D197" s="122">
        <f>IF(NOT(COUNTBLANK(업무일지!$B165:$AH165)&lt;33),"",TRIM(IF(업무일지!$B165="","시작일 누락; ","")&amp;IF(업무일지!$C165="","종료일 누락; ","")&amp;IF(AND(업무일지!$B165&lt;&gt;"",업무일지!$C165&lt;&gt;"",업무일지!$C165&lt;업무일지!$B165),"종료일이 시작일보다 빠름; ","")&amp;IF(COUNTIF(코드설정!$H$5:$H$7,업무일지!$D165)=0,"직무구분 누락; ","")&amp;IF(업무일지!$E165="","세부유형 누락; ",IF(AND(업무일지!$D165&lt;&gt;"",COUNTIFS(코드설정!$A$5:$A$21,업무일지!$D165,코드설정!$B$5:$B$21,업무일지!$E165)=0),"세부유형이 직무구분과 불일치; ",""))&amp;IF(AND(업무일지!$F165&lt;&gt;"",COUNTIF(사건마스터!$A$5:$A$64,업무일지!$F165)=0),"미등록 사건번호; ","")&amp;IF(AND(업무일지!$F165="",업무일지!$H165=""),"사건번호·업무명 모두 없음; ","")&amp;IF(업무일지!$J165="","담당자 없음; ","")&amp;IF(COUNTIF(코드설정!$F$5:$F$7,업무일지!$AG165)=0,"진행상태 누락; ","")))</f>
        <v/>
      </c>
    </row>
    <row r="198">
      <c r="A198" s="26" t="inlineStr">
        <is>
          <t>업무일지</t>
        </is>
      </c>
      <c r="B198" s="66" t="n">
        <v>166</v>
      </c>
      <c r="C198" s="122">
        <f>IF($D198="","",IFERROR(TEXT(업무일지!$B166,"yyyy-mm-dd"),"(날짜없음)")&amp;"  "&amp;업무일지!$F166&amp;"  "&amp;업무일지!$H166)</f>
        <v/>
      </c>
      <c r="D198" s="122">
        <f>IF(NOT(COUNTBLANK(업무일지!$B166:$AH166)&lt;33),"",TRIM(IF(업무일지!$B166="","시작일 누락; ","")&amp;IF(업무일지!$C166="","종료일 누락; ","")&amp;IF(AND(업무일지!$B166&lt;&gt;"",업무일지!$C166&lt;&gt;"",업무일지!$C166&lt;업무일지!$B166),"종료일이 시작일보다 빠름; ","")&amp;IF(COUNTIF(코드설정!$H$5:$H$7,업무일지!$D166)=0,"직무구분 누락; ","")&amp;IF(업무일지!$E166="","세부유형 누락; ",IF(AND(업무일지!$D166&lt;&gt;"",COUNTIFS(코드설정!$A$5:$A$21,업무일지!$D166,코드설정!$B$5:$B$21,업무일지!$E166)=0),"세부유형이 직무구분과 불일치; ",""))&amp;IF(AND(업무일지!$F166&lt;&gt;"",COUNTIF(사건마스터!$A$5:$A$64,업무일지!$F166)=0),"미등록 사건번호; ","")&amp;IF(AND(업무일지!$F166="",업무일지!$H166=""),"사건번호·업무명 모두 없음; ","")&amp;IF(업무일지!$J166="","담당자 없음; ","")&amp;IF(COUNTIF(코드설정!$F$5:$F$7,업무일지!$AG166)=0,"진행상태 누락; ","")))</f>
        <v/>
      </c>
    </row>
    <row r="199">
      <c r="A199" s="26" t="inlineStr">
        <is>
          <t>업무일지</t>
        </is>
      </c>
      <c r="B199" s="66" t="n">
        <v>167</v>
      </c>
      <c r="C199" s="122">
        <f>IF($D199="","",IFERROR(TEXT(업무일지!$B167,"yyyy-mm-dd"),"(날짜없음)")&amp;"  "&amp;업무일지!$F167&amp;"  "&amp;업무일지!$H167)</f>
        <v/>
      </c>
      <c r="D199" s="122">
        <f>IF(NOT(COUNTBLANK(업무일지!$B167:$AH167)&lt;33),"",TRIM(IF(업무일지!$B167="","시작일 누락; ","")&amp;IF(업무일지!$C167="","종료일 누락; ","")&amp;IF(AND(업무일지!$B167&lt;&gt;"",업무일지!$C167&lt;&gt;"",업무일지!$C167&lt;업무일지!$B167),"종료일이 시작일보다 빠름; ","")&amp;IF(COUNTIF(코드설정!$H$5:$H$7,업무일지!$D167)=0,"직무구분 누락; ","")&amp;IF(업무일지!$E167="","세부유형 누락; ",IF(AND(업무일지!$D167&lt;&gt;"",COUNTIFS(코드설정!$A$5:$A$21,업무일지!$D167,코드설정!$B$5:$B$21,업무일지!$E167)=0),"세부유형이 직무구분과 불일치; ",""))&amp;IF(AND(업무일지!$F167&lt;&gt;"",COUNTIF(사건마스터!$A$5:$A$64,업무일지!$F167)=0),"미등록 사건번호; ","")&amp;IF(AND(업무일지!$F167="",업무일지!$H167=""),"사건번호·업무명 모두 없음; ","")&amp;IF(업무일지!$J167="","담당자 없음; ","")&amp;IF(COUNTIF(코드설정!$F$5:$F$7,업무일지!$AG167)=0,"진행상태 누락; ","")))</f>
        <v/>
      </c>
    </row>
    <row r="200">
      <c r="A200" s="26" t="inlineStr">
        <is>
          <t>업무일지</t>
        </is>
      </c>
      <c r="B200" s="66" t="n">
        <v>168</v>
      </c>
      <c r="C200" s="122">
        <f>IF($D200="","",IFERROR(TEXT(업무일지!$B168,"yyyy-mm-dd"),"(날짜없음)")&amp;"  "&amp;업무일지!$F168&amp;"  "&amp;업무일지!$H168)</f>
        <v/>
      </c>
      <c r="D200" s="122">
        <f>IF(NOT(COUNTBLANK(업무일지!$B168:$AH168)&lt;33),"",TRIM(IF(업무일지!$B168="","시작일 누락; ","")&amp;IF(업무일지!$C168="","종료일 누락; ","")&amp;IF(AND(업무일지!$B168&lt;&gt;"",업무일지!$C168&lt;&gt;"",업무일지!$C168&lt;업무일지!$B168),"종료일이 시작일보다 빠름; ","")&amp;IF(COUNTIF(코드설정!$H$5:$H$7,업무일지!$D168)=0,"직무구분 누락; ","")&amp;IF(업무일지!$E168="","세부유형 누락; ",IF(AND(업무일지!$D168&lt;&gt;"",COUNTIFS(코드설정!$A$5:$A$21,업무일지!$D168,코드설정!$B$5:$B$21,업무일지!$E168)=0),"세부유형이 직무구분과 불일치; ",""))&amp;IF(AND(업무일지!$F168&lt;&gt;"",COUNTIF(사건마스터!$A$5:$A$64,업무일지!$F168)=0),"미등록 사건번호; ","")&amp;IF(AND(업무일지!$F168="",업무일지!$H168=""),"사건번호·업무명 모두 없음; ","")&amp;IF(업무일지!$J168="","담당자 없음; ","")&amp;IF(COUNTIF(코드설정!$F$5:$F$7,업무일지!$AG168)=0,"진행상태 누락; ","")))</f>
        <v/>
      </c>
    </row>
    <row r="201">
      <c r="A201" s="26" t="inlineStr">
        <is>
          <t>업무일지</t>
        </is>
      </c>
      <c r="B201" s="66" t="n">
        <v>169</v>
      </c>
      <c r="C201" s="122">
        <f>IF($D201="","",IFERROR(TEXT(업무일지!$B169,"yyyy-mm-dd"),"(날짜없음)")&amp;"  "&amp;업무일지!$F169&amp;"  "&amp;업무일지!$H169)</f>
        <v/>
      </c>
      <c r="D201" s="122">
        <f>IF(NOT(COUNTBLANK(업무일지!$B169:$AH169)&lt;33),"",TRIM(IF(업무일지!$B169="","시작일 누락; ","")&amp;IF(업무일지!$C169="","종료일 누락; ","")&amp;IF(AND(업무일지!$B169&lt;&gt;"",업무일지!$C169&lt;&gt;"",업무일지!$C169&lt;업무일지!$B169),"종료일이 시작일보다 빠름; ","")&amp;IF(COUNTIF(코드설정!$H$5:$H$7,업무일지!$D169)=0,"직무구분 누락; ","")&amp;IF(업무일지!$E169="","세부유형 누락; ",IF(AND(업무일지!$D169&lt;&gt;"",COUNTIFS(코드설정!$A$5:$A$21,업무일지!$D169,코드설정!$B$5:$B$21,업무일지!$E169)=0),"세부유형이 직무구분과 불일치; ",""))&amp;IF(AND(업무일지!$F169&lt;&gt;"",COUNTIF(사건마스터!$A$5:$A$64,업무일지!$F169)=0),"미등록 사건번호; ","")&amp;IF(AND(업무일지!$F169="",업무일지!$H169=""),"사건번호·업무명 모두 없음; ","")&amp;IF(업무일지!$J169="","담당자 없음; ","")&amp;IF(COUNTIF(코드설정!$F$5:$F$7,업무일지!$AG169)=0,"진행상태 누락; ","")))</f>
        <v/>
      </c>
    </row>
    <row r="202">
      <c r="A202" s="26" t="inlineStr">
        <is>
          <t>업무일지</t>
        </is>
      </c>
      <c r="B202" s="66" t="n">
        <v>170</v>
      </c>
      <c r="C202" s="122">
        <f>IF($D202="","",IFERROR(TEXT(업무일지!$B170,"yyyy-mm-dd"),"(날짜없음)")&amp;"  "&amp;업무일지!$F170&amp;"  "&amp;업무일지!$H170)</f>
        <v/>
      </c>
      <c r="D202" s="122">
        <f>IF(NOT(COUNTBLANK(업무일지!$B170:$AH170)&lt;33),"",TRIM(IF(업무일지!$B170="","시작일 누락; ","")&amp;IF(업무일지!$C170="","종료일 누락; ","")&amp;IF(AND(업무일지!$B170&lt;&gt;"",업무일지!$C170&lt;&gt;"",업무일지!$C170&lt;업무일지!$B170),"종료일이 시작일보다 빠름; ","")&amp;IF(COUNTIF(코드설정!$H$5:$H$7,업무일지!$D170)=0,"직무구분 누락; ","")&amp;IF(업무일지!$E170="","세부유형 누락; ",IF(AND(업무일지!$D170&lt;&gt;"",COUNTIFS(코드설정!$A$5:$A$21,업무일지!$D170,코드설정!$B$5:$B$21,업무일지!$E170)=0),"세부유형이 직무구분과 불일치; ",""))&amp;IF(AND(업무일지!$F170&lt;&gt;"",COUNTIF(사건마스터!$A$5:$A$64,업무일지!$F170)=0),"미등록 사건번호; ","")&amp;IF(AND(업무일지!$F170="",업무일지!$H170=""),"사건번호·업무명 모두 없음; ","")&amp;IF(업무일지!$J170="","담당자 없음; ","")&amp;IF(COUNTIF(코드설정!$F$5:$F$7,업무일지!$AG170)=0,"진행상태 누락; ","")))</f>
        <v/>
      </c>
    </row>
    <row r="203">
      <c r="A203" s="26" t="inlineStr">
        <is>
          <t>업무일지</t>
        </is>
      </c>
      <c r="B203" s="66" t="n">
        <v>171</v>
      </c>
      <c r="C203" s="122">
        <f>IF($D203="","",IFERROR(TEXT(업무일지!$B171,"yyyy-mm-dd"),"(날짜없음)")&amp;"  "&amp;업무일지!$F171&amp;"  "&amp;업무일지!$H171)</f>
        <v/>
      </c>
      <c r="D203" s="122">
        <f>IF(NOT(COUNTBLANK(업무일지!$B171:$AH171)&lt;33),"",TRIM(IF(업무일지!$B171="","시작일 누락; ","")&amp;IF(업무일지!$C171="","종료일 누락; ","")&amp;IF(AND(업무일지!$B171&lt;&gt;"",업무일지!$C171&lt;&gt;"",업무일지!$C171&lt;업무일지!$B171),"종료일이 시작일보다 빠름; ","")&amp;IF(COUNTIF(코드설정!$H$5:$H$7,업무일지!$D171)=0,"직무구분 누락; ","")&amp;IF(업무일지!$E171="","세부유형 누락; ",IF(AND(업무일지!$D171&lt;&gt;"",COUNTIFS(코드설정!$A$5:$A$21,업무일지!$D171,코드설정!$B$5:$B$21,업무일지!$E171)=0),"세부유형이 직무구분과 불일치; ",""))&amp;IF(AND(업무일지!$F171&lt;&gt;"",COUNTIF(사건마스터!$A$5:$A$64,업무일지!$F171)=0),"미등록 사건번호; ","")&amp;IF(AND(업무일지!$F171="",업무일지!$H171=""),"사건번호·업무명 모두 없음; ","")&amp;IF(업무일지!$J171="","담당자 없음; ","")&amp;IF(COUNTIF(코드설정!$F$5:$F$7,업무일지!$AG171)=0,"진행상태 누락; ","")))</f>
        <v/>
      </c>
    </row>
    <row r="204">
      <c r="A204" s="26" t="inlineStr">
        <is>
          <t>업무일지</t>
        </is>
      </c>
      <c r="B204" s="66" t="n">
        <v>172</v>
      </c>
      <c r="C204" s="122">
        <f>IF($D204="","",IFERROR(TEXT(업무일지!$B172,"yyyy-mm-dd"),"(날짜없음)")&amp;"  "&amp;업무일지!$F172&amp;"  "&amp;업무일지!$H172)</f>
        <v/>
      </c>
      <c r="D204" s="122">
        <f>IF(NOT(COUNTBLANK(업무일지!$B172:$AH172)&lt;33),"",TRIM(IF(업무일지!$B172="","시작일 누락; ","")&amp;IF(업무일지!$C172="","종료일 누락; ","")&amp;IF(AND(업무일지!$B172&lt;&gt;"",업무일지!$C172&lt;&gt;"",업무일지!$C172&lt;업무일지!$B172),"종료일이 시작일보다 빠름; ","")&amp;IF(COUNTIF(코드설정!$H$5:$H$7,업무일지!$D172)=0,"직무구분 누락; ","")&amp;IF(업무일지!$E172="","세부유형 누락; ",IF(AND(업무일지!$D172&lt;&gt;"",COUNTIFS(코드설정!$A$5:$A$21,업무일지!$D172,코드설정!$B$5:$B$21,업무일지!$E172)=0),"세부유형이 직무구분과 불일치; ",""))&amp;IF(AND(업무일지!$F172&lt;&gt;"",COUNTIF(사건마스터!$A$5:$A$64,업무일지!$F172)=0),"미등록 사건번호; ","")&amp;IF(AND(업무일지!$F172="",업무일지!$H172=""),"사건번호·업무명 모두 없음; ","")&amp;IF(업무일지!$J172="","담당자 없음; ","")&amp;IF(COUNTIF(코드설정!$F$5:$F$7,업무일지!$AG172)=0,"진행상태 누락; ","")))</f>
        <v/>
      </c>
    </row>
    <row r="205">
      <c r="A205" s="26" t="inlineStr">
        <is>
          <t>업무일지</t>
        </is>
      </c>
      <c r="B205" s="66" t="n">
        <v>173</v>
      </c>
      <c r="C205" s="122">
        <f>IF($D205="","",IFERROR(TEXT(업무일지!$B173,"yyyy-mm-dd"),"(날짜없음)")&amp;"  "&amp;업무일지!$F173&amp;"  "&amp;업무일지!$H173)</f>
        <v/>
      </c>
      <c r="D205" s="122">
        <f>IF(NOT(COUNTBLANK(업무일지!$B173:$AH173)&lt;33),"",TRIM(IF(업무일지!$B173="","시작일 누락; ","")&amp;IF(업무일지!$C173="","종료일 누락; ","")&amp;IF(AND(업무일지!$B173&lt;&gt;"",업무일지!$C173&lt;&gt;"",업무일지!$C173&lt;업무일지!$B173),"종료일이 시작일보다 빠름; ","")&amp;IF(COUNTIF(코드설정!$H$5:$H$7,업무일지!$D173)=0,"직무구분 누락; ","")&amp;IF(업무일지!$E173="","세부유형 누락; ",IF(AND(업무일지!$D173&lt;&gt;"",COUNTIFS(코드설정!$A$5:$A$21,업무일지!$D173,코드설정!$B$5:$B$21,업무일지!$E173)=0),"세부유형이 직무구분과 불일치; ",""))&amp;IF(AND(업무일지!$F173&lt;&gt;"",COUNTIF(사건마스터!$A$5:$A$64,업무일지!$F173)=0),"미등록 사건번호; ","")&amp;IF(AND(업무일지!$F173="",업무일지!$H173=""),"사건번호·업무명 모두 없음; ","")&amp;IF(업무일지!$J173="","담당자 없음; ","")&amp;IF(COUNTIF(코드설정!$F$5:$F$7,업무일지!$AG173)=0,"진행상태 누락; ","")))</f>
        <v/>
      </c>
    </row>
    <row r="206">
      <c r="A206" s="26" t="inlineStr">
        <is>
          <t>업무일지</t>
        </is>
      </c>
      <c r="B206" s="66" t="n">
        <v>174</v>
      </c>
      <c r="C206" s="122">
        <f>IF($D206="","",IFERROR(TEXT(업무일지!$B174,"yyyy-mm-dd"),"(날짜없음)")&amp;"  "&amp;업무일지!$F174&amp;"  "&amp;업무일지!$H174)</f>
        <v/>
      </c>
      <c r="D206" s="122">
        <f>IF(NOT(COUNTBLANK(업무일지!$B174:$AH174)&lt;33),"",TRIM(IF(업무일지!$B174="","시작일 누락; ","")&amp;IF(업무일지!$C174="","종료일 누락; ","")&amp;IF(AND(업무일지!$B174&lt;&gt;"",업무일지!$C174&lt;&gt;"",업무일지!$C174&lt;업무일지!$B174),"종료일이 시작일보다 빠름; ","")&amp;IF(COUNTIF(코드설정!$H$5:$H$7,업무일지!$D174)=0,"직무구분 누락; ","")&amp;IF(업무일지!$E174="","세부유형 누락; ",IF(AND(업무일지!$D174&lt;&gt;"",COUNTIFS(코드설정!$A$5:$A$21,업무일지!$D174,코드설정!$B$5:$B$21,업무일지!$E174)=0),"세부유형이 직무구분과 불일치; ",""))&amp;IF(AND(업무일지!$F174&lt;&gt;"",COUNTIF(사건마스터!$A$5:$A$64,업무일지!$F174)=0),"미등록 사건번호; ","")&amp;IF(AND(업무일지!$F174="",업무일지!$H174=""),"사건번호·업무명 모두 없음; ","")&amp;IF(업무일지!$J174="","담당자 없음; ","")&amp;IF(COUNTIF(코드설정!$F$5:$F$7,업무일지!$AG174)=0,"진행상태 누락; ","")))</f>
        <v/>
      </c>
    </row>
    <row r="207">
      <c r="A207" s="26" t="inlineStr">
        <is>
          <t>업무일지</t>
        </is>
      </c>
      <c r="B207" s="66" t="n">
        <v>175</v>
      </c>
      <c r="C207" s="122">
        <f>IF($D207="","",IFERROR(TEXT(업무일지!$B175,"yyyy-mm-dd"),"(날짜없음)")&amp;"  "&amp;업무일지!$F175&amp;"  "&amp;업무일지!$H175)</f>
        <v/>
      </c>
      <c r="D207" s="122">
        <f>IF(NOT(COUNTBLANK(업무일지!$B175:$AH175)&lt;33),"",TRIM(IF(업무일지!$B175="","시작일 누락; ","")&amp;IF(업무일지!$C175="","종료일 누락; ","")&amp;IF(AND(업무일지!$B175&lt;&gt;"",업무일지!$C175&lt;&gt;"",업무일지!$C175&lt;업무일지!$B175),"종료일이 시작일보다 빠름; ","")&amp;IF(COUNTIF(코드설정!$H$5:$H$7,업무일지!$D175)=0,"직무구분 누락; ","")&amp;IF(업무일지!$E175="","세부유형 누락; ",IF(AND(업무일지!$D175&lt;&gt;"",COUNTIFS(코드설정!$A$5:$A$21,업무일지!$D175,코드설정!$B$5:$B$21,업무일지!$E175)=0),"세부유형이 직무구분과 불일치; ",""))&amp;IF(AND(업무일지!$F175&lt;&gt;"",COUNTIF(사건마스터!$A$5:$A$64,업무일지!$F175)=0),"미등록 사건번호; ","")&amp;IF(AND(업무일지!$F175="",업무일지!$H175=""),"사건번호·업무명 모두 없음; ","")&amp;IF(업무일지!$J175="","담당자 없음; ","")&amp;IF(COUNTIF(코드설정!$F$5:$F$7,업무일지!$AG175)=0,"진행상태 누락; ","")))</f>
        <v/>
      </c>
    </row>
    <row r="208">
      <c r="A208" s="26" t="inlineStr">
        <is>
          <t>업무일지</t>
        </is>
      </c>
      <c r="B208" s="66" t="n">
        <v>176</v>
      </c>
      <c r="C208" s="122">
        <f>IF($D208="","",IFERROR(TEXT(업무일지!$B176,"yyyy-mm-dd"),"(날짜없음)")&amp;"  "&amp;업무일지!$F176&amp;"  "&amp;업무일지!$H176)</f>
        <v/>
      </c>
      <c r="D208" s="122">
        <f>IF(NOT(COUNTBLANK(업무일지!$B176:$AH176)&lt;33),"",TRIM(IF(업무일지!$B176="","시작일 누락; ","")&amp;IF(업무일지!$C176="","종료일 누락; ","")&amp;IF(AND(업무일지!$B176&lt;&gt;"",업무일지!$C176&lt;&gt;"",업무일지!$C176&lt;업무일지!$B176),"종료일이 시작일보다 빠름; ","")&amp;IF(COUNTIF(코드설정!$H$5:$H$7,업무일지!$D176)=0,"직무구분 누락; ","")&amp;IF(업무일지!$E176="","세부유형 누락; ",IF(AND(업무일지!$D176&lt;&gt;"",COUNTIFS(코드설정!$A$5:$A$21,업무일지!$D176,코드설정!$B$5:$B$21,업무일지!$E176)=0),"세부유형이 직무구분과 불일치; ",""))&amp;IF(AND(업무일지!$F176&lt;&gt;"",COUNTIF(사건마스터!$A$5:$A$64,업무일지!$F176)=0),"미등록 사건번호; ","")&amp;IF(AND(업무일지!$F176="",업무일지!$H176=""),"사건번호·업무명 모두 없음; ","")&amp;IF(업무일지!$J176="","담당자 없음; ","")&amp;IF(COUNTIF(코드설정!$F$5:$F$7,업무일지!$AG176)=0,"진행상태 누락; ","")))</f>
        <v/>
      </c>
    </row>
    <row r="209">
      <c r="A209" s="26" t="inlineStr">
        <is>
          <t>업무일지</t>
        </is>
      </c>
      <c r="B209" s="66" t="n">
        <v>177</v>
      </c>
      <c r="C209" s="122">
        <f>IF($D209="","",IFERROR(TEXT(업무일지!$B177,"yyyy-mm-dd"),"(날짜없음)")&amp;"  "&amp;업무일지!$F177&amp;"  "&amp;업무일지!$H177)</f>
        <v/>
      </c>
      <c r="D209" s="122">
        <f>IF(NOT(COUNTBLANK(업무일지!$B177:$AH177)&lt;33),"",TRIM(IF(업무일지!$B177="","시작일 누락; ","")&amp;IF(업무일지!$C177="","종료일 누락; ","")&amp;IF(AND(업무일지!$B177&lt;&gt;"",업무일지!$C177&lt;&gt;"",업무일지!$C177&lt;업무일지!$B177),"종료일이 시작일보다 빠름; ","")&amp;IF(COUNTIF(코드설정!$H$5:$H$7,업무일지!$D177)=0,"직무구분 누락; ","")&amp;IF(업무일지!$E177="","세부유형 누락; ",IF(AND(업무일지!$D177&lt;&gt;"",COUNTIFS(코드설정!$A$5:$A$21,업무일지!$D177,코드설정!$B$5:$B$21,업무일지!$E177)=0),"세부유형이 직무구분과 불일치; ",""))&amp;IF(AND(업무일지!$F177&lt;&gt;"",COUNTIF(사건마스터!$A$5:$A$64,업무일지!$F177)=0),"미등록 사건번호; ","")&amp;IF(AND(업무일지!$F177="",업무일지!$H177=""),"사건번호·업무명 모두 없음; ","")&amp;IF(업무일지!$J177="","담당자 없음; ","")&amp;IF(COUNTIF(코드설정!$F$5:$F$7,업무일지!$AG177)=0,"진행상태 누락; ","")))</f>
        <v/>
      </c>
    </row>
    <row r="210">
      <c r="A210" s="26" t="inlineStr">
        <is>
          <t>업무일지</t>
        </is>
      </c>
      <c r="B210" s="66" t="n">
        <v>178</v>
      </c>
      <c r="C210" s="122">
        <f>IF($D210="","",IFERROR(TEXT(업무일지!$B178,"yyyy-mm-dd"),"(날짜없음)")&amp;"  "&amp;업무일지!$F178&amp;"  "&amp;업무일지!$H178)</f>
        <v/>
      </c>
      <c r="D210" s="122">
        <f>IF(NOT(COUNTBLANK(업무일지!$B178:$AH178)&lt;33),"",TRIM(IF(업무일지!$B178="","시작일 누락; ","")&amp;IF(업무일지!$C178="","종료일 누락; ","")&amp;IF(AND(업무일지!$B178&lt;&gt;"",업무일지!$C178&lt;&gt;"",업무일지!$C178&lt;업무일지!$B178),"종료일이 시작일보다 빠름; ","")&amp;IF(COUNTIF(코드설정!$H$5:$H$7,업무일지!$D178)=0,"직무구분 누락; ","")&amp;IF(업무일지!$E178="","세부유형 누락; ",IF(AND(업무일지!$D178&lt;&gt;"",COUNTIFS(코드설정!$A$5:$A$21,업무일지!$D178,코드설정!$B$5:$B$21,업무일지!$E178)=0),"세부유형이 직무구분과 불일치; ",""))&amp;IF(AND(업무일지!$F178&lt;&gt;"",COUNTIF(사건마스터!$A$5:$A$64,업무일지!$F178)=0),"미등록 사건번호; ","")&amp;IF(AND(업무일지!$F178="",업무일지!$H178=""),"사건번호·업무명 모두 없음; ","")&amp;IF(업무일지!$J178="","담당자 없음; ","")&amp;IF(COUNTIF(코드설정!$F$5:$F$7,업무일지!$AG178)=0,"진행상태 누락; ","")))</f>
        <v/>
      </c>
    </row>
    <row r="211">
      <c r="A211" s="26" t="inlineStr">
        <is>
          <t>업무일지</t>
        </is>
      </c>
      <c r="B211" s="66" t="n">
        <v>179</v>
      </c>
      <c r="C211" s="122">
        <f>IF($D211="","",IFERROR(TEXT(업무일지!$B179,"yyyy-mm-dd"),"(날짜없음)")&amp;"  "&amp;업무일지!$F179&amp;"  "&amp;업무일지!$H179)</f>
        <v/>
      </c>
      <c r="D211" s="122">
        <f>IF(NOT(COUNTBLANK(업무일지!$B179:$AH179)&lt;33),"",TRIM(IF(업무일지!$B179="","시작일 누락; ","")&amp;IF(업무일지!$C179="","종료일 누락; ","")&amp;IF(AND(업무일지!$B179&lt;&gt;"",업무일지!$C179&lt;&gt;"",업무일지!$C179&lt;업무일지!$B179),"종료일이 시작일보다 빠름; ","")&amp;IF(COUNTIF(코드설정!$H$5:$H$7,업무일지!$D179)=0,"직무구분 누락; ","")&amp;IF(업무일지!$E179="","세부유형 누락; ",IF(AND(업무일지!$D179&lt;&gt;"",COUNTIFS(코드설정!$A$5:$A$21,업무일지!$D179,코드설정!$B$5:$B$21,업무일지!$E179)=0),"세부유형이 직무구분과 불일치; ",""))&amp;IF(AND(업무일지!$F179&lt;&gt;"",COUNTIF(사건마스터!$A$5:$A$64,업무일지!$F179)=0),"미등록 사건번호; ","")&amp;IF(AND(업무일지!$F179="",업무일지!$H179=""),"사건번호·업무명 모두 없음; ","")&amp;IF(업무일지!$J179="","담당자 없음; ","")&amp;IF(COUNTIF(코드설정!$F$5:$F$7,업무일지!$AG179)=0,"진행상태 누락; ","")))</f>
        <v/>
      </c>
    </row>
    <row r="212">
      <c r="A212" s="26" t="inlineStr">
        <is>
          <t>업무일지</t>
        </is>
      </c>
      <c r="B212" s="66" t="n">
        <v>180</v>
      </c>
      <c r="C212" s="122">
        <f>IF($D212="","",IFERROR(TEXT(업무일지!$B180,"yyyy-mm-dd"),"(날짜없음)")&amp;"  "&amp;업무일지!$F180&amp;"  "&amp;업무일지!$H180)</f>
        <v/>
      </c>
      <c r="D212" s="122">
        <f>IF(NOT(COUNTBLANK(업무일지!$B180:$AH180)&lt;33),"",TRIM(IF(업무일지!$B180="","시작일 누락; ","")&amp;IF(업무일지!$C180="","종료일 누락; ","")&amp;IF(AND(업무일지!$B180&lt;&gt;"",업무일지!$C180&lt;&gt;"",업무일지!$C180&lt;업무일지!$B180),"종료일이 시작일보다 빠름; ","")&amp;IF(COUNTIF(코드설정!$H$5:$H$7,업무일지!$D180)=0,"직무구분 누락; ","")&amp;IF(업무일지!$E180="","세부유형 누락; ",IF(AND(업무일지!$D180&lt;&gt;"",COUNTIFS(코드설정!$A$5:$A$21,업무일지!$D180,코드설정!$B$5:$B$21,업무일지!$E180)=0),"세부유형이 직무구분과 불일치; ",""))&amp;IF(AND(업무일지!$F180&lt;&gt;"",COUNTIF(사건마스터!$A$5:$A$64,업무일지!$F180)=0),"미등록 사건번호; ","")&amp;IF(AND(업무일지!$F180="",업무일지!$H180=""),"사건번호·업무명 모두 없음; ","")&amp;IF(업무일지!$J180="","담당자 없음; ","")&amp;IF(COUNTIF(코드설정!$F$5:$F$7,업무일지!$AG180)=0,"진행상태 누락; ","")))</f>
        <v/>
      </c>
    </row>
    <row r="213">
      <c r="A213" s="26" t="inlineStr">
        <is>
          <t>업무일지</t>
        </is>
      </c>
      <c r="B213" s="66" t="n">
        <v>181</v>
      </c>
      <c r="C213" s="122">
        <f>IF($D213="","",IFERROR(TEXT(업무일지!$B181,"yyyy-mm-dd"),"(날짜없음)")&amp;"  "&amp;업무일지!$F181&amp;"  "&amp;업무일지!$H181)</f>
        <v/>
      </c>
      <c r="D213" s="122">
        <f>IF(NOT(COUNTBLANK(업무일지!$B181:$AH181)&lt;33),"",TRIM(IF(업무일지!$B181="","시작일 누락; ","")&amp;IF(업무일지!$C181="","종료일 누락; ","")&amp;IF(AND(업무일지!$B181&lt;&gt;"",업무일지!$C181&lt;&gt;"",업무일지!$C181&lt;업무일지!$B181),"종료일이 시작일보다 빠름; ","")&amp;IF(COUNTIF(코드설정!$H$5:$H$7,업무일지!$D181)=0,"직무구분 누락; ","")&amp;IF(업무일지!$E181="","세부유형 누락; ",IF(AND(업무일지!$D181&lt;&gt;"",COUNTIFS(코드설정!$A$5:$A$21,업무일지!$D181,코드설정!$B$5:$B$21,업무일지!$E181)=0),"세부유형이 직무구분과 불일치; ",""))&amp;IF(AND(업무일지!$F181&lt;&gt;"",COUNTIF(사건마스터!$A$5:$A$64,업무일지!$F181)=0),"미등록 사건번호; ","")&amp;IF(AND(업무일지!$F181="",업무일지!$H181=""),"사건번호·업무명 모두 없음; ","")&amp;IF(업무일지!$J181="","담당자 없음; ","")&amp;IF(COUNTIF(코드설정!$F$5:$F$7,업무일지!$AG181)=0,"진행상태 누락; ","")))</f>
        <v/>
      </c>
    </row>
    <row r="214">
      <c r="A214" s="26" t="inlineStr">
        <is>
          <t>업무일지</t>
        </is>
      </c>
      <c r="B214" s="66" t="n">
        <v>182</v>
      </c>
      <c r="C214" s="122">
        <f>IF($D214="","",IFERROR(TEXT(업무일지!$B182,"yyyy-mm-dd"),"(날짜없음)")&amp;"  "&amp;업무일지!$F182&amp;"  "&amp;업무일지!$H182)</f>
        <v/>
      </c>
      <c r="D214" s="122">
        <f>IF(NOT(COUNTBLANK(업무일지!$B182:$AH182)&lt;33),"",TRIM(IF(업무일지!$B182="","시작일 누락; ","")&amp;IF(업무일지!$C182="","종료일 누락; ","")&amp;IF(AND(업무일지!$B182&lt;&gt;"",업무일지!$C182&lt;&gt;"",업무일지!$C182&lt;업무일지!$B182),"종료일이 시작일보다 빠름; ","")&amp;IF(COUNTIF(코드설정!$H$5:$H$7,업무일지!$D182)=0,"직무구분 누락; ","")&amp;IF(업무일지!$E182="","세부유형 누락; ",IF(AND(업무일지!$D182&lt;&gt;"",COUNTIFS(코드설정!$A$5:$A$21,업무일지!$D182,코드설정!$B$5:$B$21,업무일지!$E182)=0),"세부유형이 직무구분과 불일치; ",""))&amp;IF(AND(업무일지!$F182&lt;&gt;"",COUNTIF(사건마스터!$A$5:$A$64,업무일지!$F182)=0),"미등록 사건번호; ","")&amp;IF(AND(업무일지!$F182="",업무일지!$H182=""),"사건번호·업무명 모두 없음; ","")&amp;IF(업무일지!$J182="","담당자 없음; ","")&amp;IF(COUNTIF(코드설정!$F$5:$F$7,업무일지!$AG182)=0,"진행상태 누락; ","")))</f>
        <v/>
      </c>
    </row>
    <row r="215">
      <c r="A215" s="26" t="inlineStr">
        <is>
          <t>업무일지</t>
        </is>
      </c>
      <c r="B215" s="66" t="n">
        <v>183</v>
      </c>
      <c r="C215" s="122">
        <f>IF($D215="","",IFERROR(TEXT(업무일지!$B183,"yyyy-mm-dd"),"(날짜없음)")&amp;"  "&amp;업무일지!$F183&amp;"  "&amp;업무일지!$H183)</f>
        <v/>
      </c>
      <c r="D215" s="122">
        <f>IF(NOT(COUNTBLANK(업무일지!$B183:$AH183)&lt;33),"",TRIM(IF(업무일지!$B183="","시작일 누락; ","")&amp;IF(업무일지!$C183="","종료일 누락; ","")&amp;IF(AND(업무일지!$B183&lt;&gt;"",업무일지!$C183&lt;&gt;"",업무일지!$C183&lt;업무일지!$B183),"종료일이 시작일보다 빠름; ","")&amp;IF(COUNTIF(코드설정!$H$5:$H$7,업무일지!$D183)=0,"직무구분 누락; ","")&amp;IF(업무일지!$E183="","세부유형 누락; ",IF(AND(업무일지!$D183&lt;&gt;"",COUNTIFS(코드설정!$A$5:$A$21,업무일지!$D183,코드설정!$B$5:$B$21,업무일지!$E183)=0),"세부유형이 직무구분과 불일치; ",""))&amp;IF(AND(업무일지!$F183&lt;&gt;"",COUNTIF(사건마스터!$A$5:$A$64,업무일지!$F183)=0),"미등록 사건번호; ","")&amp;IF(AND(업무일지!$F183="",업무일지!$H183=""),"사건번호·업무명 모두 없음; ","")&amp;IF(업무일지!$J183="","담당자 없음; ","")&amp;IF(COUNTIF(코드설정!$F$5:$F$7,업무일지!$AG183)=0,"진행상태 누락; ","")))</f>
        <v/>
      </c>
    </row>
    <row r="216">
      <c r="A216" s="26" t="inlineStr">
        <is>
          <t>업무일지</t>
        </is>
      </c>
      <c r="B216" s="66" t="n">
        <v>184</v>
      </c>
      <c r="C216" s="122">
        <f>IF($D216="","",IFERROR(TEXT(업무일지!$B184,"yyyy-mm-dd"),"(날짜없음)")&amp;"  "&amp;업무일지!$F184&amp;"  "&amp;업무일지!$H184)</f>
        <v/>
      </c>
      <c r="D216" s="122">
        <f>IF(NOT(COUNTBLANK(업무일지!$B184:$AH184)&lt;33),"",TRIM(IF(업무일지!$B184="","시작일 누락; ","")&amp;IF(업무일지!$C184="","종료일 누락; ","")&amp;IF(AND(업무일지!$B184&lt;&gt;"",업무일지!$C184&lt;&gt;"",업무일지!$C184&lt;업무일지!$B184),"종료일이 시작일보다 빠름; ","")&amp;IF(COUNTIF(코드설정!$H$5:$H$7,업무일지!$D184)=0,"직무구분 누락; ","")&amp;IF(업무일지!$E184="","세부유형 누락; ",IF(AND(업무일지!$D184&lt;&gt;"",COUNTIFS(코드설정!$A$5:$A$21,업무일지!$D184,코드설정!$B$5:$B$21,업무일지!$E184)=0),"세부유형이 직무구분과 불일치; ",""))&amp;IF(AND(업무일지!$F184&lt;&gt;"",COUNTIF(사건마스터!$A$5:$A$64,업무일지!$F184)=0),"미등록 사건번호; ","")&amp;IF(AND(업무일지!$F184="",업무일지!$H184=""),"사건번호·업무명 모두 없음; ","")&amp;IF(업무일지!$J184="","담당자 없음; ","")&amp;IF(COUNTIF(코드설정!$F$5:$F$7,업무일지!$AG184)=0,"진행상태 누락; ","")))</f>
        <v/>
      </c>
    </row>
    <row r="217">
      <c r="A217" s="26" t="inlineStr">
        <is>
          <t>업무일지</t>
        </is>
      </c>
      <c r="B217" s="66" t="n">
        <v>185</v>
      </c>
      <c r="C217" s="122">
        <f>IF($D217="","",IFERROR(TEXT(업무일지!$B185,"yyyy-mm-dd"),"(날짜없음)")&amp;"  "&amp;업무일지!$F185&amp;"  "&amp;업무일지!$H185)</f>
        <v/>
      </c>
      <c r="D217" s="122">
        <f>IF(NOT(COUNTBLANK(업무일지!$B185:$AH185)&lt;33),"",TRIM(IF(업무일지!$B185="","시작일 누락; ","")&amp;IF(업무일지!$C185="","종료일 누락; ","")&amp;IF(AND(업무일지!$B185&lt;&gt;"",업무일지!$C185&lt;&gt;"",업무일지!$C185&lt;업무일지!$B185),"종료일이 시작일보다 빠름; ","")&amp;IF(COUNTIF(코드설정!$H$5:$H$7,업무일지!$D185)=0,"직무구분 누락; ","")&amp;IF(업무일지!$E185="","세부유형 누락; ",IF(AND(업무일지!$D185&lt;&gt;"",COUNTIFS(코드설정!$A$5:$A$21,업무일지!$D185,코드설정!$B$5:$B$21,업무일지!$E185)=0),"세부유형이 직무구분과 불일치; ",""))&amp;IF(AND(업무일지!$F185&lt;&gt;"",COUNTIF(사건마스터!$A$5:$A$64,업무일지!$F185)=0),"미등록 사건번호; ","")&amp;IF(AND(업무일지!$F185="",업무일지!$H185=""),"사건번호·업무명 모두 없음; ","")&amp;IF(업무일지!$J185="","담당자 없음; ","")&amp;IF(COUNTIF(코드설정!$F$5:$F$7,업무일지!$AG185)=0,"진행상태 누락; ","")))</f>
        <v/>
      </c>
    </row>
    <row r="218">
      <c r="A218" s="26" t="inlineStr">
        <is>
          <t>업무일지</t>
        </is>
      </c>
      <c r="B218" s="66" t="n">
        <v>186</v>
      </c>
      <c r="C218" s="122">
        <f>IF($D218="","",IFERROR(TEXT(업무일지!$B186,"yyyy-mm-dd"),"(날짜없음)")&amp;"  "&amp;업무일지!$F186&amp;"  "&amp;업무일지!$H186)</f>
        <v/>
      </c>
      <c r="D218" s="122">
        <f>IF(NOT(COUNTBLANK(업무일지!$B186:$AH186)&lt;33),"",TRIM(IF(업무일지!$B186="","시작일 누락; ","")&amp;IF(업무일지!$C186="","종료일 누락; ","")&amp;IF(AND(업무일지!$B186&lt;&gt;"",업무일지!$C186&lt;&gt;"",업무일지!$C186&lt;업무일지!$B186),"종료일이 시작일보다 빠름; ","")&amp;IF(COUNTIF(코드설정!$H$5:$H$7,업무일지!$D186)=0,"직무구분 누락; ","")&amp;IF(업무일지!$E186="","세부유형 누락; ",IF(AND(업무일지!$D186&lt;&gt;"",COUNTIFS(코드설정!$A$5:$A$21,업무일지!$D186,코드설정!$B$5:$B$21,업무일지!$E186)=0),"세부유형이 직무구분과 불일치; ",""))&amp;IF(AND(업무일지!$F186&lt;&gt;"",COUNTIF(사건마스터!$A$5:$A$64,업무일지!$F186)=0),"미등록 사건번호; ","")&amp;IF(AND(업무일지!$F186="",업무일지!$H186=""),"사건번호·업무명 모두 없음; ","")&amp;IF(업무일지!$J186="","담당자 없음; ","")&amp;IF(COUNTIF(코드설정!$F$5:$F$7,업무일지!$AG186)=0,"진행상태 누락; ","")))</f>
        <v/>
      </c>
    </row>
    <row r="219">
      <c r="A219" s="26" t="inlineStr">
        <is>
          <t>업무일지</t>
        </is>
      </c>
      <c r="B219" s="66" t="n">
        <v>187</v>
      </c>
      <c r="C219" s="122">
        <f>IF($D219="","",IFERROR(TEXT(업무일지!$B187,"yyyy-mm-dd"),"(날짜없음)")&amp;"  "&amp;업무일지!$F187&amp;"  "&amp;업무일지!$H187)</f>
        <v/>
      </c>
      <c r="D219" s="122">
        <f>IF(NOT(COUNTBLANK(업무일지!$B187:$AH187)&lt;33),"",TRIM(IF(업무일지!$B187="","시작일 누락; ","")&amp;IF(업무일지!$C187="","종료일 누락; ","")&amp;IF(AND(업무일지!$B187&lt;&gt;"",업무일지!$C187&lt;&gt;"",업무일지!$C187&lt;업무일지!$B187),"종료일이 시작일보다 빠름; ","")&amp;IF(COUNTIF(코드설정!$H$5:$H$7,업무일지!$D187)=0,"직무구분 누락; ","")&amp;IF(업무일지!$E187="","세부유형 누락; ",IF(AND(업무일지!$D187&lt;&gt;"",COUNTIFS(코드설정!$A$5:$A$21,업무일지!$D187,코드설정!$B$5:$B$21,업무일지!$E187)=0),"세부유형이 직무구분과 불일치; ",""))&amp;IF(AND(업무일지!$F187&lt;&gt;"",COUNTIF(사건마스터!$A$5:$A$64,업무일지!$F187)=0),"미등록 사건번호; ","")&amp;IF(AND(업무일지!$F187="",업무일지!$H187=""),"사건번호·업무명 모두 없음; ","")&amp;IF(업무일지!$J187="","담당자 없음; ","")&amp;IF(COUNTIF(코드설정!$F$5:$F$7,업무일지!$AG187)=0,"진행상태 누락; ","")))</f>
        <v/>
      </c>
    </row>
    <row r="220">
      <c r="A220" s="26" t="inlineStr">
        <is>
          <t>업무일지</t>
        </is>
      </c>
      <c r="B220" s="66" t="n">
        <v>188</v>
      </c>
      <c r="C220" s="122">
        <f>IF($D220="","",IFERROR(TEXT(업무일지!$B188,"yyyy-mm-dd"),"(날짜없음)")&amp;"  "&amp;업무일지!$F188&amp;"  "&amp;업무일지!$H188)</f>
        <v/>
      </c>
      <c r="D220" s="122">
        <f>IF(NOT(COUNTBLANK(업무일지!$B188:$AH188)&lt;33),"",TRIM(IF(업무일지!$B188="","시작일 누락; ","")&amp;IF(업무일지!$C188="","종료일 누락; ","")&amp;IF(AND(업무일지!$B188&lt;&gt;"",업무일지!$C188&lt;&gt;"",업무일지!$C188&lt;업무일지!$B188),"종료일이 시작일보다 빠름; ","")&amp;IF(COUNTIF(코드설정!$H$5:$H$7,업무일지!$D188)=0,"직무구분 누락; ","")&amp;IF(업무일지!$E188="","세부유형 누락; ",IF(AND(업무일지!$D188&lt;&gt;"",COUNTIFS(코드설정!$A$5:$A$21,업무일지!$D188,코드설정!$B$5:$B$21,업무일지!$E188)=0),"세부유형이 직무구분과 불일치; ",""))&amp;IF(AND(업무일지!$F188&lt;&gt;"",COUNTIF(사건마스터!$A$5:$A$64,업무일지!$F188)=0),"미등록 사건번호; ","")&amp;IF(AND(업무일지!$F188="",업무일지!$H188=""),"사건번호·업무명 모두 없음; ","")&amp;IF(업무일지!$J188="","담당자 없음; ","")&amp;IF(COUNTIF(코드설정!$F$5:$F$7,업무일지!$AG188)=0,"진행상태 누락; ","")))</f>
        <v/>
      </c>
    </row>
    <row r="221">
      <c r="A221" s="26" t="inlineStr">
        <is>
          <t>업무일지</t>
        </is>
      </c>
      <c r="B221" s="66" t="n">
        <v>189</v>
      </c>
      <c r="C221" s="122">
        <f>IF($D221="","",IFERROR(TEXT(업무일지!$B189,"yyyy-mm-dd"),"(날짜없음)")&amp;"  "&amp;업무일지!$F189&amp;"  "&amp;업무일지!$H189)</f>
        <v/>
      </c>
      <c r="D221" s="122">
        <f>IF(NOT(COUNTBLANK(업무일지!$B189:$AH189)&lt;33),"",TRIM(IF(업무일지!$B189="","시작일 누락; ","")&amp;IF(업무일지!$C189="","종료일 누락; ","")&amp;IF(AND(업무일지!$B189&lt;&gt;"",업무일지!$C189&lt;&gt;"",업무일지!$C189&lt;업무일지!$B189),"종료일이 시작일보다 빠름; ","")&amp;IF(COUNTIF(코드설정!$H$5:$H$7,업무일지!$D189)=0,"직무구분 누락; ","")&amp;IF(업무일지!$E189="","세부유형 누락; ",IF(AND(업무일지!$D189&lt;&gt;"",COUNTIFS(코드설정!$A$5:$A$21,업무일지!$D189,코드설정!$B$5:$B$21,업무일지!$E189)=0),"세부유형이 직무구분과 불일치; ",""))&amp;IF(AND(업무일지!$F189&lt;&gt;"",COUNTIF(사건마스터!$A$5:$A$64,업무일지!$F189)=0),"미등록 사건번호; ","")&amp;IF(AND(업무일지!$F189="",업무일지!$H189=""),"사건번호·업무명 모두 없음; ","")&amp;IF(업무일지!$J189="","담당자 없음; ","")&amp;IF(COUNTIF(코드설정!$F$5:$F$7,업무일지!$AG189)=0,"진행상태 누락; ","")))</f>
        <v/>
      </c>
    </row>
    <row r="222">
      <c r="A222" s="26" t="inlineStr">
        <is>
          <t>업무일지</t>
        </is>
      </c>
      <c r="B222" s="66" t="n">
        <v>190</v>
      </c>
      <c r="C222" s="122">
        <f>IF($D222="","",IFERROR(TEXT(업무일지!$B190,"yyyy-mm-dd"),"(날짜없음)")&amp;"  "&amp;업무일지!$F190&amp;"  "&amp;업무일지!$H190)</f>
        <v/>
      </c>
      <c r="D222" s="122">
        <f>IF(NOT(COUNTBLANK(업무일지!$B190:$AH190)&lt;33),"",TRIM(IF(업무일지!$B190="","시작일 누락; ","")&amp;IF(업무일지!$C190="","종료일 누락; ","")&amp;IF(AND(업무일지!$B190&lt;&gt;"",업무일지!$C190&lt;&gt;"",업무일지!$C190&lt;업무일지!$B190),"종료일이 시작일보다 빠름; ","")&amp;IF(COUNTIF(코드설정!$H$5:$H$7,업무일지!$D190)=0,"직무구분 누락; ","")&amp;IF(업무일지!$E190="","세부유형 누락; ",IF(AND(업무일지!$D190&lt;&gt;"",COUNTIFS(코드설정!$A$5:$A$21,업무일지!$D190,코드설정!$B$5:$B$21,업무일지!$E190)=0),"세부유형이 직무구분과 불일치; ",""))&amp;IF(AND(업무일지!$F190&lt;&gt;"",COUNTIF(사건마스터!$A$5:$A$64,업무일지!$F190)=0),"미등록 사건번호; ","")&amp;IF(AND(업무일지!$F190="",업무일지!$H190=""),"사건번호·업무명 모두 없음; ","")&amp;IF(업무일지!$J190="","담당자 없음; ","")&amp;IF(COUNTIF(코드설정!$F$5:$F$7,업무일지!$AG190)=0,"진행상태 누락; ","")))</f>
        <v/>
      </c>
    </row>
    <row r="223">
      <c r="A223" s="26" t="inlineStr">
        <is>
          <t>업무일지</t>
        </is>
      </c>
      <c r="B223" s="66" t="n">
        <v>191</v>
      </c>
      <c r="C223" s="122">
        <f>IF($D223="","",IFERROR(TEXT(업무일지!$B191,"yyyy-mm-dd"),"(날짜없음)")&amp;"  "&amp;업무일지!$F191&amp;"  "&amp;업무일지!$H191)</f>
        <v/>
      </c>
      <c r="D223" s="122">
        <f>IF(NOT(COUNTBLANK(업무일지!$B191:$AH191)&lt;33),"",TRIM(IF(업무일지!$B191="","시작일 누락; ","")&amp;IF(업무일지!$C191="","종료일 누락; ","")&amp;IF(AND(업무일지!$B191&lt;&gt;"",업무일지!$C191&lt;&gt;"",업무일지!$C191&lt;업무일지!$B191),"종료일이 시작일보다 빠름; ","")&amp;IF(COUNTIF(코드설정!$H$5:$H$7,업무일지!$D191)=0,"직무구분 누락; ","")&amp;IF(업무일지!$E191="","세부유형 누락; ",IF(AND(업무일지!$D191&lt;&gt;"",COUNTIFS(코드설정!$A$5:$A$21,업무일지!$D191,코드설정!$B$5:$B$21,업무일지!$E191)=0),"세부유형이 직무구분과 불일치; ",""))&amp;IF(AND(업무일지!$F191&lt;&gt;"",COUNTIF(사건마스터!$A$5:$A$64,업무일지!$F191)=0),"미등록 사건번호; ","")&amp;IF(AND(업무일지!$F191="",업무일지!$H191=""),"사건번호·업무명 모두 없음; ","")&amp;IF(업무일지!$J191="","담당자 없음; ","")&amp;IF(COUNTIF(코드설정!$F$5:$F$7,업무일지!$AG191)=0,"진행상태 누락; ","")))</f>
        <v/>
      </c>
    </row>
    <row r="224">
      <c r="A224" s="26" t="inlineStr">
        <is>
          <t>업무일지</t>
        </is>
      </c>
      <c r="B224" s="66" t="n">
        <v>192</v>
      </c>
      <c r="C224" s="122">
        <f>IF($D224="","",IFERROR(TEXT(업무일지!$B192,"yyyy-mm-dd"),"(날짜없음)")&amp;"  "&amp;업무일지!$F192&amp;"  "&amp;업무일지!$H192)</f>
        <v/>
      </c>
      <c r="D224" s="122">
        <f>IF(NOT(COUNTBLANK(업무일지!$B192:$AH192)&lt;33),"",TRIM(IF(업무일지!$B192="","시작일 누락; ","")&amp;IF(업무일지!$C192="","종료일 누락; ","")&amp;IF(AND(업무일지!$B192&lt;&gt;"",업무일지!$C192&lt;&gt;"",업무일지!$C192&lt;업무일지!$B192),"종료일이 시작일보다 빠름; ","")&amp;IF(COUNTIF(코드설정!$H$5:$H$7,업무일지!$D192)=0,"직무구분 누락; ","")&amp;IF(업무일지!$E192="","세부유형 누락; ",IF(AND(업무일지!$D192&lt;&gt;"",COUNTIFS(코드설정!$A$5:$A$21,업무일지!$D192,코드설정!$B$5:$B$21,업무일지!$E192)=0),"세부유형이 직무구분과 불일치; ",""))&amp;IF(AND(업무일지!$F192&lt;&gt;"",COUNTIF(사건마스터!$A$5:$A$64,업무일지!$F192)=0),"미등록 사건번호; ","")&amp;IF(AND(업무일지!$F192="",업무일지!$H192=""),"사건번호·업무명 모두 없음; ","")&amp;IF(업무일지!$J192="","담당자 없음; ","")&amp;IF(COUNTIF(코드설정!$F$5:$F$7,업무일지!$AG192)=0,"진행상태 누락; ","")))</f>
        <v/>
      </c>
    </row>
    <row r="225">
      <c r="A225" s="26" t="inlineStr">
        <is>
          <t>업무일지</t>
        </is>
      </c>
      <c r="B225" s="66" t="n">
        <v>193</v>
      </c>
      <c r="C225" s="122">
        <f>IF($D225="","",IFERROR(TEXT(업무일지!$B193,"yyyy-mm-dd"),"(날짜없음)")&amp;"  "&amp;업무일지!$F193&amp;"  "&amp;업무일지!$H193)</f>
        <v/>
      </c>
      <c r="D225" s="122">
        <f>IF(NOT(COUNTBLANK(업무일지!$B193:$AH193)&lt;33),"",TRIM(IF(업무일지!$B193="","시작일 누락; ","")&amp;IF(업무일지!$C193="","종료일 누락; ","")&amp;IF(AND(업무일지!$B193&lt;&gt;"",업무일지!$C193&lt;&gt;"",업무일지!$C193&lt;업무일지!$B193),"종료일이 시작일보다 빠름; ","")&amp;IF(COUNTIF(코드설정!$H$5:$H$7,업무일지!$D193)=0,"직무구분 누락; ","")&amp;IF(업무일지!$E193="","세부유형 누락; ",IF(AND(업무일지!$D193&lt;&gt;"",COUNTIFS(코드설정!$A$5:$A$21,업무일지!$D193,코드설정!$B$5:$B$21,업무일지!$E193)=0),"세부유형이 직무구분과 불일치; ",""))&amp;IF(AND(업무일지!$F193&lt;&gt;"",COUNTIF(사건마스터!$A$5:$A$64,업무일지!$F193)=0),"미등록 사건번호; ","")&amp;IF(AND(업무일지!$F193="",업무일지!$H193=""),"사건번호·업무명 모두 없음; ","")&amp;IF(업무일지!$J193="","담당자 없음; ","")&amp;IF(COUNTIF(코드설정!$F$5:$F$7,업무일지!$AG193)=0,"진행상태 누락; ","")))</f>
        <v/>
      </c>
    </row>
    <row r="226">
      <c r="A226" s="26" t="inlineStr">
        <is>
          <t>업무일지</t>
        </is>
      </c>
      <c r="B226" s="66" t="n">
        <v>194</v>
      </c>
      <c r="C226" s="122">
        <f>IF($D226="","",IFERROR(TEXT(업무일지!$B194,"yyyy-mm-dd"),"(날짜없음)")&amp;"  "&amp;업무일지!$F194&amp;"  "&amp;업무일지!$H194)</f>
        <v/>
      </c>
      <c r="D226" s="122">
        <f>IF(NOT(COUNTBLANK(업무일지!$B194:$AH194)&lt;33),"",TRIM(IF(업무일지!$B194="","시작일 누락; ","")&amp;IF(업무일지!$C194="","종료일 누락; ","")&amp;IF(AND(업무일지!$B194&lt;&gt;"",업무일지!$C194&lt;&gt;"",업무일지!$C194&lt;업무일지!$B194),"종료일이 시작일보다 빠름; ","")&amp;IF(COUNTIF(코드설정!$H$5:$H$7,업무일지!$D194)=0,"직무구분 누락; ","")&amp;IF(업무일지!$E194="","세부유형 누락; ",IF(AND(업무일지!$D194&lt;&gt;"",COUNTIFS(코드설정!$A$5:$A$21,업무일지!$D194,코드설정!$B$5:$B$21,업무일지!$E194)=0),"세부유형이 직무구분과 불일치; ",""))&amp;IF(AND(업무일지!$F194&lt;&gt;"",COUNTIF(사건마스터!$A$5:$A$64,업무일지!$F194)=0),"미등록 사건번호; ","")&amp;IF(AND(업무일지!$F194="",업무일지!$H194=""),"사건번호·업무명 모두 없음; ","")&amp;IF(업무일지!$J194="","담당자 없음; ","")&amp;IF(COUNTIF(코드설정!$F$5:$F$7,업무일지!$AG194)=0,"진행상태 누락; ","")))</f>
        <v/>
      </c>
    </row>
    <row r="227">
      <c r="A227" s="26" t="inlineStr">
        <is>
          <t>업무일지</t>
        </is>
      </c>
      <c r="B227" s="66" t="n">
        <v>195</v>
      </c>
      <c r="C227" s="122">
        <f>IF($D227="","",IFERROR(TEXT(업무일지!$B195,"yyyy-mm-dd"),"(날짜없음)")&amp;"  "&amp;업무일지!$F195&amp;"  "&amp;업무일지!$H195)</f>
        <v/>
      </c>
      <c r="D227" s="122">
        <f>IF(NOT(COUNTBLANK(업무일지!$B195:$AH195)&lt;33),"",TRIM(IF(업무일지!$B195="","시작일 누락; ","")&amp;IF(업무일지!$C195="","종료일 누락; ","")&amp;IF(AND(업무일지!$B195&lt;&gt;"",업무일지!$C195&lt;&gt;"",업무일지!$C195&lt;업무일지!$B195),"종료일이 시작일보다 빠름; ","")&amp;IF(COUNTIF(코드설정!$H$5:$H$7,업무일지!$D195)=0,"직무구분 누락; ","")&amp;IF(업무일지!$E195="","세부유형 누락; ",IF(AND(업무일지!$D195&lt;&gt;"",COUNTIFS(코드설정!$A$5:$A$21,업무일지!$D195,코드설정!$B$5:$B$21,업무일지!$E195)=0),"세부유형이 직무구분과 불일치; ",""))&amp;IF(AND(업무일지!$F195&lt;&gt;"",COUNTIF(사건마스터!$A$5:$A$64,업무일지!$F195)=0),"미등록 사건번호; ","")&amp;IF(AND(업무일지!$F195="",업무일지!$H195=""),"사건번호·업무명 모두 없음; ","")&amp;IF(업무일지!$J195="","담당자 없음; ","")&amp;IF(COUNTIF(코드설정!$F$5:$F$7,업무일지!$AG195)=0,"진행상태 누락; ","")))</f>
        <v/>
      </c>
    </row>
    <row r="228">
      <c r="A228" s="26" t="inlineStr">
        <is>
          <t>업무일지</t>
        </is>
      </c>
      <c r="B228" s="66" t="n">
        <v>196</v>
      </c>
      <c r="C228" s="122">
        <f>IF($D228="","",IFERROR(TEXT(업무일지!$B196,"yyyy-mm-dd"),"(날짜없음)")&amp;"  "&amp;업무일지!$F196&amp;"  "&amp;업무일지!$H196)</f>
        <v/>
      </c>
      <c r="D228" s="122">
        <f>IF(NOT(COUNTBLANK(업무일지!$B196:$AH196)&lt;33),"",TRIM(IF(업무일지!$B196="","시작일 누락; ","")&amp;IF(업무일지!$C196="","종료일 누락; ","")&amp;IF(AND(업무일지!$B196&lt;&gt;"",업무일지!$C196&lt;&gt;"",업무일지!$C196&lt;업무일지!$B196),"종료일이 시작일보다 빠름; ","")&amp;IF(COUNTIF(코드설정!$H$5:$H$7,업무일지!$D196)=0,"직무구분 누락; ","")&amp;IF(업무일지!$E196="","세부유형 누락; ",IF(AND(업무일지!$D196&lt;&gt;"",COUNTIFS(코드설정!$A$5:$A$21,업무일지!$D196,코드설정!$B$5:$B$21,업무일지!$E196)=0),"세부유형이 직무구분과 불일치; ",""))&amp;IF(AND(업무일지!$F196&lt;&gt;"",COUNTIF(사건마스터!$A$5:$A$64,업무일지!$F196)=0),"미등록 사건번호; ","")&amp;IF(AND(업무일지!$F196="",업무일지!$H196=""),"사건번호·업무명 모두 없음; ","")&amp;IF(업무일지!$J196="","담당자 없음; ","")&amp;IF(COUNTIF(코드설정!$F$5:$F$7,업무일지!$AG196)=0,"진행상태 누락; ","")))</f>
        <v/>
      </c>
    </row>
    <row r="229">
      <c r="A229" s="26" t="inlineStr">
        <is>
          <t>업무일지</t>
        </is>
      </c>
      <c r="B229" s="66" t="n">
        <v>197</v>
      </c>
      <c r="C229" s="122">
        <f>IF($D229="","",IFERROR(TEXT(업무일지!$B197,"yyyy-mm-dd"),"(날짜없음)")&amp;"  "&amp;업무일지!$F197&amp;"  "&amp;업무일지!$H197)</f>
        <v/>
      </c>
      <c r="D229" s="122">
        <f>IF(NOT(COUNTBLANK(업무일지!$B197:$AH197)&lt;33),"",TRIM(IF(업무일지!$B197="","시작일 누락; ","")&amp;IF(업무일지!$C197="","종료일 누락; ","")&amp;IF(AND(업무일지!$B197&lt;&gt;"",업무일지!$C197&lt;&gt;"",업무일지!$C197&lt;업무일지!$B197),"종료일이 시작일보다 빠름; ","")&amp;IF(COUNTIF(코드설정!$H$5:$H$7,업무일지!$D197)=0,"직무구분 누락; ","")&amp;IF(업무일지!$E197="","세부유형 누락; ",IF(AND(업무일지!$D197&lt;&gt;"",COUNTIFS(코드설정!$A$5:$A$21,업무일지!$D197,코드설정!$B$5:$B$21,업무일지!$E197)=0),"세부유형이 직무구분과 불일치; ",""))&amp;IF(AND(업무일지!$F197&lt;&gt;"",COUNTIF(사건마스터!$A$5:$A$64,업무일지!$F197)=0),"미등록 사건번호; ","")&amp;IF(AND(업무일지!$F197="",업무일지!$H197=""),"사건번호·업무명 모두 없음; ","")&amp;IF(업무일지!$J197="","담당자 없음; ","")&amp;IF(COUNTIF(코드설정!$F$5:$F$7,업무일지!$AG197)=0,"진행상태 누락; ","")))</f>
        <v/>
      </c>
    </row>
    <row r="230">
      <c r="A230" s="26" t="inlineStr">
        <is>
          <t>업무일지</t>
        </is>
      </c>
      <c r="B230" s="66" t="n">
        <v>198</v>
      </c>
      <c r="C230" s="122">
        <f>IF($D230="","",IFERROR(TEXT(업무일지!$B198,"yyyy-mm-dd"),"(날짜없음)")&amp;"  "&amp;업무일지!$F198&amp;"  "&amp;업무일지!$H198)</f>
        <v/>
      </c>
      <c r="D230" s="122">
        <f>IF(NOT(COUNTBLANK(업무일지!$B198:$AH198)&lt;33),"",TRIM(IF(업무일지!$B198="","시작일 누락; ","")&amp;IF(업무일지!$C198="","종료일 누락; ","")&amp;IF(AND(업무일지!$B198&lt;&gt;"",업무일지!$C198&lt;&gt;"",업무일지!$C198&lt;업무일지!$B198),"종료일이 시작일보다 빠름; ","")&amp;IF(COUNTIF(코드설정!$H$5:$H$7,업무일지!$D198)=0,"직무구분 누락; ","")&amp;IF(업무일지!$E198="","세부유형 누락; ",IF(AND(업무일지!$D198&lt;&gt;"",COUNTIFS(코드설정!$A$5:$A$21,업무일지!$D198,코드설정!$B$5:$B$21,업무일지!$E198)=0),"세부유형이 직무구분과 불일치; ",""))&amp;IF(AND(업무일지!$F198&lt;&gt;"",COUNTIF(사건마스터!$A$5:$A$64,업무일지!$F198)=0),"미등록 사건번호; ","")&amp;IF(AND(업무일지!$F198="",업무일지!$H198=""),"사건번호·업무명 모두 없음; ","")&amp;IF(업무일지!$J198="","담당자 없음; ","")&amp;IF(COUNTIF(코드설정!$F$5:$F$7,업무일지!$AG198)=0,"진행상태 누락; ","")))</f>
        <v/>
      </c>
    </row>
    <row r="231">
      <c r="A231" s="26" t="inlineStr">
        <is>
          <t>업무일지</t>
        </is>
      </c>
      <c r="B231" s="66" t="n">
        <v>199</v>
      </c>
      <c r="C231" s="122">
        <f>IF($D231="","",IFERROR(TEXT(업무일지!$B199,"yyyy-mm-dd"),"(날짜없음)")&amp;"  "&amp;업무일지!$F199&amp;"  "&amp;업무일지!$H199)</f>
        <v/>
      </c>
      <c r="D231" s="122">
        <f>IF(NOT(COUNTBLANK(업무일지!$B199:$AH199)&lt;33),"",TRIM(IF(업무일지!$B199="","시작일 누락; ","")&amp;IF(업무일지!$C199="","종료일 누락; ","")&amp;IF(AND(업무일지!$B199&lt;&gt;"",업무일지!$C199&lt;&gt;"",업무일지!$C199&lt;업무일지!$B199),"종료일이 시작일보다 빠름; ","")&amp;IF(COUNTIF(코드설정!$H$5:$H$7,업무일지!$D199)=0,"직무구분 누락; ","")&amp;IF(업무일지!$E199="","세부유형 누락; ",IF(AND(업무일지!$D199&lt;&gt;"",COUNTIFS(코드설정!$A$5:$A$21,업무일지!$D199,코드설정!$B$5:$B$21,업무일지!$E199)=0),"세부유형이 직무구분과 불일치; ",""))&amp;IF(AND(업무일지!$F199&lt;&gt;"",COUNTIF(사건마스터!$A$5:$A$64,업무일지!$F199)=0),"미등록 사건번호; ","")&amp;IF(AND(업무일지!$F199="",업무일지!$H199=""),"사건번호·업무명 모두 없음; ","")&amp;IF(업무일지!$J199="","담당자 없음; ","")&amp;IF(COUNTIF(코드설정!$F$5:$F$7,업무일지!$AG199)=0,"진행상태 누락; ","")))</f>
        <v/>
      </c>
    </row>
    <row r="232">
      <c r="A232" s="26" t="inlineStr">
        <is>
          <t>업무일지</t>
        </is>
      </c>
      <c r="B232" s="66" t="n">
        <v>200</v>
      </c>
      <c r="C232" s="122">
        <f>IF($D232="","",IFERROR(TEXT(업무일지!$B200,"yyyy-mm-dd"),"(날짜없음)")&amp;"  "&amp;업무일지!$F200&amp;"  "&amp;업무일지!$H200)</f>
        <v/>
      </c>
      <c r="D232" s="122">
        <f>IF(NOT(COUNTBLANK(업무일지!$B200:$AH200)&lt;33),"",TRIM(IF(업무일지!$B200="","시작일 누락; ","")&amp;IF(업무일지!$C200="","종료일 누락; ","")&amp;IF(AND(업무일지!$B200&lt;&gt;"",업무일지!$C200&lt;&gt;"",업무일지!$C200&lt;업무일지!$B200),"종료일이 시작일보다 빠름; ","")&amp;IF(COUNTIF(코드설정!$H$5:$H$7,업무일지!$D200)=0,"직무구분 누락; ","")&amp;IF(업무일지!$E200="","세부유형 누락; ",IF(AND(업무일지!$D200&lt;&gt;"",COUNTIFS(코드설정!$A$5:$A$21,업무일지!$D200,코드설정!$B$5:$B$21,업무일지!$E200)=0),"세부유형이 직무구분과 불일치; ",""))&amp;IF(AND(업무일지!$F200&lt;&gt;"",COUNTIF(사건마스터!$A$5:$A$64,업무일지!$F200)=0),"미등록 사건번호; ","")&amp;IF(AND(업무일지!$F200="",업무일지!$H200=""),"사건번호·업무명 모두 없음; ","")&amp;IF(업무일지!$J200="","담당자 없음; ","")&amp;IF(COUNTIF(코드설정!$F$5:$F$7,업무일지!$AG200)=0,"진행상태 누락; ","")))</f>
        <v/>
      </c>
    </row>
    <row r="233">
      <c r="A233" s="26" t="inlineStr">
        <is>
          <t>업무일지</t>
        </is>
      </c>
      <c r="B233" s="66" t="n">
        <v>201</v>
      </c>
      <c r="C233" s="122">
        <f>IF($D233="","",IFERROR(TEXT(업무일지!$B201,"yyyy-mm-dd"),"(날짜없음)")&amp;"  "&amp;업무일지!$F201&amp;"  "&amp;업무일지!$H201)</f>
        <v/>
      </c>
      <c r="D233" s="122">
        <f>IF(NOT(COUNTBLANK(업무일지!$B201:$AH201)&lt;33),"",TRIM(IF(업무일지!$B201="","시작일 누락; ","")&amp;IF(업무일지!$C201="","종료일 누락; ","")&amp;IF(AND(업무일지!$B201&lt;&gt;"",업무일지!$C201&lt;&gt;"",업무일지!$C201&lt;업무일지!$B201),"종료일이 시작일보다 빠름; ","")&amp;IF(COUNTIF(코드설정!$H$5:$H$7,업무일지!$D201)=0,"직무구분 누락; ","")&amp;IF(업무일지!$E201="","세부유형 누락; ",IF(AND(업무일지!$D201&lt;&gt;"",COUNTIFS(코드설정!$A$5:$A$21,업무일지!$D201,코드설정!$B$5:$B$21,업무일지!$E201)=0),"세부유형이 직무구분과 불일치; ",""))&amp;IF(AND(업무일지!$F201&lt;&gt;"",COUNTIF(사건마스터!$A$5:$A$64,업무일지!$F201)=0),"미등록 사건번호; ","")&amp;IF(AND(업무일지!$F201="",업무일지!$H201=""),"사건번호·업무명 모두 없음; ","")&amp;IF(업무일지!$J201="","담당자 없음; ","")&amp;IF(COUNTIF(코드설정!$F$5:$F$7,업무일지!$AG201)=0,"진행상태 누락; ","")))</f>
        <v/>
      </c>
    </row>
    <row r="234">
      <c r="A234" s="26" t="inlineStr">
        <is>
          <t>업무일지</t>
        </is>
      </c>
      <c r="B234" s="66" t="n">
        <v>202</v>
      </c>
      <c r="C234" s="122">
        <f>IF($D234="","",IFERROR(TEXT(업무일지!$B202,"yyyy-mm-dd"),"(날짜없음)")&amp;"  "&amp;업무일지!$F202&amp;"  "&amp;업무일지!$H202)</f>
        <v/>
      </c>
      <c r="D234" s="122">
        <f>IF(NOT(COUNTBLANK(업무일지!$B202:$AH202)&lt;33),"",TRIM(IF(업무일지!$B202="","시작일 누락; ","")&amp;IF(업무일지!$C202="","종료일 누락; ","")&amp;IF(AND(업무일지!$B202&lt;&gt;"",업무일지!$C202&lt;&gt;"",업무일지!$C202&lt;업무일지!$B202),"종료일이 시작일보다 빠름; ","")&amp;IF(COUNTIF(코드설정!$H$5:$H$7,업무일지!$D202)=0,"직무구분 누락; ","")&amp;IF(업무일지!$E202="","세부유형 누락; ",IF(AND(업무일지!$D202&lt;&gt;"",COUNTIFS(코드설정!$A$5:$A$21,업무일지!$D202,코드설정!$B$5:$B$21,업무일지!$E202)=0),"세부유형이 직무구분과 불일치; ",""))&amp;IF(AND(업무일지!$F202&lt;&gt;"",COUNTIF(사건마스터!$A$5:$A$64,업무일지!$F202)=0),"미등록 사건번호; ","")&amp;IF(AND(업무일지!$F202="",업무일지!$H202=""),"사건번호·업무명 모두 없음; ","")&amp;IF(업무일지!$J202="","담당자 없음; ","")&amp;IF(COUNTIF(코드설정!$F$5:$F$7,업무일지!$AG202)=0,"진행상태 누락; ","")))</f>
        <v/>
      </c>
    </row>
    <row r="235">
      <c r="A235" s="26" t="inlineStr">
        <is>
          <t>업무일지</t>
        </is>
      </c>
      <c r="B235" s="66" t="n">
        <v>203</v>
      </c>
      <c r="C235" s="122">
        <f>IF($D235="","",IFERROR(TEXT(업무일지!$B203,"yyyy-mm-dd"),"(날짜없음)")&amp;"  "&amp;업무일지!$F203&amp;"  "&amp;업무일지!$H203)</f>
        <v/>
      </c>
      <c r="D235" s="122">
        <f>IF(NOT(COUNTBLANK(업무일지!$B203:$AH203)&lt;33),"",TRIM(IF(업무일지!$B203="","시작일 누락; ","")&amp;IF(업무일지!$C203="","종료일 누락; ","")&amp;IF(AND(업무일지!$B203&lt;&gt;"",업무일지!$C203&lt;&gt;"",업무일지!$C203&lt;업무일지!$B203),"종료일이 시작일보다 빠름; ","")&amp;IF(COUNTIF(코드설정!$H$5:$H$7,업무일지!$D203)=0,"직무구분 누락; ","")&amp;IF(업무일지!$E203="","세부유형 누락; ",IF(AND(업무일지!$D203&lt;&gt;"",COUNTIFS(코드설정!$A$5:$A$21,업무일지!$D203,코드설정!$B$5:$B$21,업무일지!$E203)=0),"세부유형이 직무구분과 불일치; ",""))&amp;IF(AND(업무일지!$F203&lt;&gt;"",COUNTIF(사건마스터!$A$5:$A$64,업무일지!$F203)=0),"미등록 사건번호; ","")&amp;IF(AND(업무일지!$F203="",업무일지!$H203=""),"사건번호·업무명 모두 없음; ","")&amp;IF(업무일지!$J203="","담당자 없음; ","")&amp;IF(COUNTIF(코드설정!$F$5:$F$7,업무일지!$AG203)=0,"진행상태 누락; ","")))</f>
        <v/>
      </c>
    </row>
    <row r="236">
      <c r="A236" s="26" t="inlineStr">
        <is>
          <t>업무일지</t>
        </is>
      </c>
      <c r="B236" s="66" t="n">
        <v>204</v>
      </c>
      <c r="C236" s="122">
        <f>IF($D236="","",IFERROR(TEXT(업무일지!$B204,"yyyy-mm-dd"),"(날짜없음)")&amp;"  "&amp;업무일지!$F204&amp;"  "&amp;업무일지!$H204)</f>
        <v/>
      </c>
      <c r="D236" s="122">
        <f>IF(NOT(COUNTBLANK(업무일지!$B204:$AH204)&lt;33),"",TRIM(IF(업무일지!$B204="","시작일 누락; ","")&amp;IF(업무일지!$C204="","종료일 누락; ","")&amp;IF(AND(업무일지!$B204&lt;&gt;"",업무일지!$C204&lt;&gt;"",업무일지!$C204&lt;업무일지!$B204),"종료일이 시작일보다 빠름; ","")&amp;IF(COUNTIF(코드설정!$H$5:$H$7,업무일지!$D204)=0,"직무구분 누락; ","")&amp;IF(업무일지!$E204="","세부유형 누락; ",IF(AND(업무일지!$D204&lt;&gt;"",COUNTIFS(코드설정!$A$5:$A$21,업무일지!$D204,코드설정!$B$5:$B$21,업무일지!$E204)=0),"세부유형이 직무구분과 불일치; ",""))&amp;IF(AND(업무일지!$F204&lt;&gt;"",COUNTIF(사건마스터!$A$5:$A$64,업무일지!$F204)=0),"미등록 사건번호; ","")&amp;IF(AND(업무일지!$F204="",업무일지!$H204=""),"사건번호·업무명 모두 없음; ","")&amp;IF(업무일지!$J204="","담당자 없음; ","")&amp;IF(COUNTIF(코드설정!$F$5:$F$7,업무일지!$AG204)=0,"진행상태 누락; ","")))</f>
        <v/>
      </c>
    </row>
    <row r="237">
      <c r="A237" s="26" t="inlineStr">
        <is>
          <t>업무일지</t>
        </is>
      </c>
      <c r="B237" s="66" t="n">
        <v>205</v>
      </c>
      <c r="C237" s="122">
        <f>IF($D237="","",IFERROR(TEXT(업무일지!$B205,"yyyy-mm-dd"),"(날짜없음)")&amp;"  "&amp;업무일지!$F205&amp;"  "&amp;업무일지!$H205)</f>
        <v/>
      </c>
      <c r="D237" s="122">
        <f>IF(NOT(COUNTBLANK(업무일지!$B205:$AH205)&lt;33),"",TRIM(IF(업무일지!$B205="","시작일 누락; ","")&amp;IF(업무일지!$C205="","종료일 누락; ","")&amp;IF(AND(업무일지!$B205&lt;&gt;"",업무일지!$C205&lt;&gt;"",업무일지!$C205&lt;업무일지!$B205),"종료일이 시작일보다 빠름; ","")&amp;IF(COUNTIF(코드설정!$H$5:$H$7,업무일지!$D205)=0,"직무구분 누락; ","")&amp;IF(업무일지!$E205="","세부유형 누락; ",IF(AND(업무일지!$D205&lt;&gt;"",COUNTIFS(코드설정!$A$5:$A$21,업무일지!$D205,코드설정!$B$5:$B$21,업무일지!$E205)=0),"세부유형이 직무구분과 불일치; ",""))&amp;IF(AND(업무일지!$F205&lt;&gt;"",COUNTIF(사건마스터!$A$5:$A$64,업무일지!$F205)=0),"미등록 사건번호; ","")&amp;IF(AND(업무일지!$F205="",업무일지!$H205=""),"사건번호·업무명 모두 없음; ","")&amp;IF(업무일지!$J205="","담당자 없음; ","")&amp;IF(COUNTIF(코드설정!$F$5:$F$7,업무일지!$AG205)=0,"진행상태 누락; ","")))</f>
        <v/>
      </c>
    </row>
    <row r="238">
      <c r="A238" s="26" t="inlineStr">
        <is>
          <t>업무일지</t>
        </is>
      </c>
      <c r="B238" s="66" t="n">
        <v>206</v>
      </c>
      <c r="C238" s="122">
        <f>IF($D238="","",IFERROR(TEXT(업무일지!$B206,"yyyy-mm-dd"),"(날짜없음)")&amp;"  "&amp;업무일지!$F206&amp;"  "&amp;업무일지!$H206)</f>
        <v/>
      </c>
      <c r="D238" s="122">
        <f>IF(NOT(COUNTBLANK(업무일지!$B206:$AH206)&lt;33),"",TRIM(IF(업무일지!$B206="","시작일 누락; ","")&amp;IF(업무일지!$C206="","종료일 누락; ","")&amp;IF(AND(업무일지!$B206&lt;&gt;"",업무일지!$C206&lt;&gt;"",업무일지!$C206&lt;업무일지!$B206),"종료일이 시작일보다 빠름; ","")&amp;IF(COUNTIF(코드설정!$H$5:$H$7,업무일지!$D206)=0,"직무구분 누락; ","")&amp;IF(업무일지!$E206="","세부유형 누락; ",IF(AND(업무일지!$D206&lt;&gt;"",COUNTIFS(코드설정!$A$5:$A$21,업무일지!$D206,코드설정!$B$5:$B$21,업무일지!$E206)=0),"세부유형이 직무구분과 불일치; ",""))&amp;IF(AND(업무일지!$F206&lt;&gt;"",COUNTIF(사건마스터!$A$5:$A$64,업무일지!$F206)=0),"미등록 사건번호; ","")&amp;IF(AND(업무일지!$F206="",업무일지!$H206=""),"사건번호·업무명 모두 없음; ","")&amp;IF(업무일지!$J206="","담당자 없음; ","")&amp;IF(COUNTIF(코드설정!$F$5:$F$7,업무일지!$AG206)=0,"진행상태 누락; ","")))</f>
        <v/>
      </c>
    </row>
    <row r="239">
      <c r="A239" s="26" t="inlineStr">
        <is>
          <t>업무일지</t>
        </is>
      </c>
      <c r="B239" s="66" t="n">
        <v>207</v>
      </c>
      <c r="C239" s="122">
        <f>IF($D239="","",IFERROR(TEXT(업무일지!$B207,"yyyy-mm-dd"),"(날짜없음)")&amp;"  "&amp;업무일지!$F207&amp;"  "&amp;업무일지!$H207)</f>
        <v/>
      </c>
      <c r="D239" s="122">
        <f>IF(NOT(COUNTBLANK(업무일지!$B207:$AH207)&lt;33),"",TRIM(IF(업무일지!$B207="","시작일 누락; ","")&amp;IF(업무일지!$C207="","종료일 누락; ","")&amp;IF(AND(업무일지!$B207&lt;&gt;"",업무일지!$C207&lt;&gt;"",업무일지!$C207&lt;업무일지!$B207),"종료일이 시작일보다 빠름; ","")&amp;IF(COUNTIF(코드설정!$H$5:$H$7,업무일지!$D207)=0,"직무구분 누락; ","")&amp;IF(업무일지!$E207="","세부유형 누락; ",IF(AND(업무일지!$D207&lt;&gt;"",COUNTIFS(코드설정!$A$5:$A$21,업무일지!$D207,코드설정!$B$5:$B$21,업무일지!$E207)=0),"세부유형이 직무구분과 불일치; ",""))&amp;IF(AND(업무일지!$F207&lt;&gt;"",COUNTIF(사건마스터!$A$5:$A$64,업무일지!$F207)=0),"미등록 사건번호; ","")&amp;IF(AND(업무일지!$F207="",업무일지!$H207=""),"사건번호·업무명 모두 없음; ","")&amp;IF(업무일지!$J207="","담당자 없음; ","")&amp;IF(COUNTIF(코드설정!$F$5:$F$7,업무일지!$AG207)=0,"진행상태 누락; ","")))</f>
        <v/>
      </c>
    </row>
    <row r="240">
      <c r="A240" s="26" t="inlineStr">
        <is>
          <t>업무일지</t>
        </is>
      </c>
      <c r="B240" s="66" t="n">
        <v>208</v>
      </c>
      <c r="C240" s="122">
        <f>IF($D240="","",IFERROR(TEXT(업무일지!$B208,"yyyy-mm-dd"),"(날짜없음)")&amp;"  "&amp;업무일지!$F208&amp;"  "&amp;업무일지!$H208)</f>
        <v/>
      </c>
      <c r="D240" s="122">
        <f>IF(NOT(COUNTBLANK(업무일지!$B208:$AH208)&lt;33),"",TRIM(IF(업무일지!$B208="","시작일 누락; ","")&amp;IF(업무일지!$C208="","종료일 누락; ","")&amp;IF(AND(업무일지!$B208&lt;&gt;"",업무일지!$C208&lt;&gt;"",업무일지!$C208&lt;업무일지!$B208),"종료일이 시작일보다 빠름; ","")&amp;IF(COUNTIF(코드설정!$H$5:$H$7,업무일지!$D208)=0,"직무구분 누락; ","")&amp;IF(업무일지!$E208="","세부유형 누락; ",IF(AND(업무일지!$D208&lt;&gt;"",COUNTIFS(코드설정!$A$5:$A$21,업무일지!$D208,코드설정!$B$5:$B$21,업무일지!$E208)=0),"세부유형이 직무구분과 불일치; ",""))&amp;IF(AND(업무일지!$F208&lt;&gt;"",COUNTIF(사건마스터!$A$5:$A$64,업무일지!$F208)=0),"미등록 사건번호; ","")&amp;IF(AND(업무일지!$F208="",업무일지!$H208=""),"사건번호·업무명 모두 없음; ","")&amp;IF(업무일지!$J208="","담당자 없음; ","")&amp;IF(COUNTIF(코드설정!$F$5:$F$7,업무일지!$AG208)=0,"진행상태 누락; ","")))</f>
        <v/>
      </c>
    </row>
    <row r="241">
      <c r="A241" s="26" t="inlineStr">
        <is>
          <t>업무일지</t>
        </is>
      </c>
      <c r="B241" s="66" t="n">
        <v>209</v>
      </c>
      <c r="C241" s="122">
        <f>IF($D241="","",IFERROR(TEXT(업무일지!$B209,"yyyy-mm-dd"),"(날짜없음)")&amp;"  "&amp;업무일지!$F209&amp;"  "&amp;업무일지!$H209)</f>
        <v/>
      </c>
      <c r="D241" s="122">
        <f>IF(NOT(COUNTBLANK(업무일지!$B209:$AH209)&lt;33),"",TRIM(IF(업무일지!$B209="","시작일 누락; ","")&amp;IF(업무일지!$C209="","종료일 누락; ","")&amp;IF(AND(업무일지!$B209&lt;&gt;"",업무일지!$C209&lt;&gt;"",업무일지!$C209&lt;업무일지!$B209),"종료일이 시작일보다 빠름; ","")&amp;IF(COUNTIF(코드설정!$H$5:$H$7,업무일지!$D209)=0,"직무구분 누락; ","")&amp;IF(업무일지!$E209="","세부유형 누락; ",IF(AND(업무일지!$D209&lt;&gt;"",COUNTIFS(코드설정!$A$5:$A$21,업무일지!$D209,코드설정!$B$5:$B$21,업무일지!$E209)=0),"세부유형이 직무구분과 불일치; ",""))&amp;IF(AND(업무일지!$F209&lt;&gt;"",COUNTIF(사건마스터!$A$5:$A$64,업무일지!$F209)=0),"미등록 사건번호; ","")&amp;IF(AND(업무일지!$F209="",업무일지!$H209=""),"사건번호·업무명 모두 없음; ","")&amp;IF(업무일지!$J209="","담당자 없음; ","")&amp;IF(COUNTIF(코드설정!$F$5:$F$7,업무일지!$AG209)=0,"진행상태 누락; ","")))</f>
        <v/>
      </c>
    </row>
    <row r="242">
      <c r="A242" s="26" t="inlineStr">
        <is>
          <t>업무일지</t>
        </is>
      </c>
      <c r="B242" s="66" t="n">
        <v>210</v>
      </c>
      <c r="C242" s="122">
        <f>IF($D242="","",IFERROR(TEXT(업무일지!$B210,"yyyy-mm-dd"),"(날짜없음)")&amp;"  "&amp;업무일지!$F210&amp;"  "&amp;업무일지!$H210)</f>
        <v/>
      </c>
      <c r="D242" s="122">
        <f>IF(NOT(COUNTBLANK(업무일지!$B210:$AH210)&lt;33),"",TRIM(IF(업무일지!$B210="","시작일 누락; ","")&amp;IF(업무일지!$C210="","종료일 누락; ","")&amp;IF(AND(업무일지!$B210&lt;&gt;"",업무일지!$C210&lt;&gt;"",업무일지!$C210&lt;업무일지!$B210),"종료일이 시작일보다 빠름; ","")&amp;IF(COUNTIF(코드설정!$H$5:$H$7,업무일지!$D210)=0,"직무구분 누락; ","")&amp;IF(업무일지!$E210="","세부유형 누락; ",IF(AND(업무일지!$D210&lt;&gt;"",COUNTIFS(코드설정!$A$5:$A$21,업무일지!$D210,코드설정!$B$5:$B$21,업무일지!$E210)=0),"세부유형이 직무구분과 불일치; ",""))&amp;IF(AND(업무일지!$F210&lt;&gt;"",COUNTIF(사건마스터!$A$5:$A$64,업무일지!$F210)=0),"미등록 사건번호; ","")&amp;IF(AND(업무일지!$F210="",업무일지!$H210=""),"사건번호·업무명 모두 없음; ","")&amp;IF(업무일지!$J210="","담당자 없음; ","")&amp;IF(COUNTIF(코드설정!$F$5:$F$7,업무일지!$AG210)=0,"진행상태 누락; ","")))</f>
        <v/>
      </c>
    </row>
    <row r="243">
      <c r="A243" s="26" t="inlineStr">
        <is>
          <t>업무일지</t>
        </is>
      </c>
      <c r="B243" s="66" t="n">
        <v>211</v>
      </c>
      <c r="C243" s="122">
        <f>IF($D243="","",IFERROR(TEXT(업무일지!$B211,"yyyy-mm-dd"),"(날짜없음)")&amp;"  "&amp;업무일지!$F211&amp;"  "&amp;업무일지!$H211)</f>
        <v/>
      </c>
      <c r="D243" s="122">
        <f>IF(NOT(COUNTBLANK(업무일지!$B211:$AH211)&lt;33),"",TRIM(IF(업무일지!$B211="","시작일 누락; ","")&amp;IF(업무일지!$C211="","종료일 누락; ","")&amp;IF(AND(업무일지!$B211&lt;&gt;"",업무일지!$C211&lt;&gt;"",업무일지!$C211&lt;업무일지!$B211),"종료일이 시작일보다 빠름; ","")&amp;IF(COUNTIF(코드설정!$H$5:$H$7,업무일지!$D211)=0,"직무구분 누락; ","")&amp;IF(업무일지!$E211="","세부유형 누락; ",IF(AND(업무일지!$D211&lt;&gt;"",COUNTIFS(코드설정!$A$5:$A$21,업무일지!$D211,코드설정!$B$5:$B$21,업무일지!$E211)=0),"세부유형이 직무구분과 불일치; ",""))&amp;IF(AND(업무일지!$F211&lt;&gt;"",COUNTIF(사건마스터!$A$5:$A$64,업무일지!$F211)=0),"미등록 사건번호; ","")&amp;IF(AND(업무일지!$F211="",업무일지!$H211=""),"사건번호·업무명 모두 없음; ","")&amp;IF(업무일지!$J211="","담당자 없음; ","")&amp;IF(COUNTIF(코드설정!$F$5:$F$7,업무일지!$AG211)=0,"진행상태 누락; ","")))</f>
        <v/>
      </c>
    </row>
    <row r="244">
      <c r="A244" s="26" t="inlineStr">
        <is>
          <t>업무일지</t>
        </is>
      </c>
      <c r="B244" s="66" t="n">
        <v>212</v>
      </c>
      <c r="C244" s="122">
        <f>IF($D244="","",IFERROR(TEXT(업무일지!$B212,"yyyy-mm-dd"),"(날짜없음)")&amp;"  "&amp;업무일지!$F212&amp;"  "&amp;업무일지!$H212)</f>
        <v/>
      </c>
      <c r="D244" s="122">
        <f>IF(NOT(COUNTBLANK(업무일지!$B212:$AH212)&lt;33),"",TRIM(IF(업무일지!$B212="","시작일 누락; ","")&amp;IF(업무일지!$C212="","종료일 누락; ","")&amp;IF(AND(업무일지!$B212&lt;&gt;"",업무일지!$C212&lt;&gt;"",업무일지!$C212&lt;업무일지!$B212),"종료일이 시작일보다 빠름; ","")&amp;IF(COUNTIF(코드설정!$H$5:$H$7,업무일지!$D212)=0,"직무구분 누락; ","")&amp;IF(업무일지!$E212="","세부유형 누락; ",IF(AND(업무일지!$D212&lt;&gt;"",COUNTIFS(코드설정!$A$5:$A$21,업무일지!$D212,코드설정!$B$5:$B$21,업무일지!$E212)=0),"세부유형이 직무구분과 불일치; ",""))&amp;IF(AND(업무일지!$F212&lt;&gt;"",COUNTIF(사건마스터!$A$5:$A$64,업무일지!$F212)=0),"미등록 사건번호; ","")&amp;IF(AND(업무일지!$F212="",업무일지!$H212=""),"사건번호·업무명 모두 없음; ","")&amp;IF(업무일지!$J212="","담당자 없음; ","")&amp;IF(COUNTIF(코드설정!$F$5:$F$7,업무일지!$AG212)=0,"진행상태 누락; ","")))</f>
        <v/>
      </c>
    </row>
    <row r="245">
      <c r="A245" s="26" t="inlineStr">
        <is>
          <t>업무일지</t>
        </is>
      </c>
      <c r="B245" s="66" t="n">
        <v>213</v>
      </c>
      <c r="C245" s="122">
        <f>IF($D245="","",IFERROR(TEXT(업무일지!$B213,"yyyy-mm-dd"),"(날짜없음)")&amp;"  "&amp;업무일지!$F213&amp;"  "&amp;업무일지!$H213)</f>
        <v/>
      </c>
      <c r="D245" s="122">
        <f>IF(NOT(COUNTBLANK(업무일지!$B213:$AH213)&lt;33),"",TRIM(IF(업무일지!$B213="","시작일 누락; ","")&amp;IF(업무일지!$C213="","종료일 누락; ","")&amp;IF(AND(업무일지!$B213&lt;&gt;"",업무일지!$C213&lt;&gt;"",업무일지!$C213&lt;업무일지!$B213),"종료일이 시작일보다 빠름; ","")&amp;IF(COUNTIF(코드설정!$H$5:$H$7,업무일지!$D213)=0,"직무구분 누락; ","")&amp;IF(업무일지!$E213="","세부유형 누락; ",IF(AND(업무일지!$D213&lt;&gt;"",COUNTIFS(코드설정!$A$5:$A$21,업무일지!$D213,코드설정!$B$5:$B$21,업무일지!$E213)=0),"세부유형이 직무구분과 불일치; ",""))&amp;IF(AND(업무일지!$F213&lt;&gt;"",COUNTIF(사건마스터!$A$5:$A$64,업무일지!$F213)=0),"미등록 사건번호; ","")&amp;IF(AND(업무일지!$F213="",업무일지!$H213=""),"사건번호·업무명 모두 없음; ","")&amp;IF(업무일지!$J213="","담당자 없음; ","")&amp;IF(COUNTIF(코드설정!$F$5:$F$7,업무일지!$AG213)=0,"진행상태 누락; ","")))</f>
        <v/>
      </c>
    </row>
    <row r="246">
      <c r="A246" s="26" t="inlineStr">
        <is>
          <t>업무일지</t>
        </is>
      </c>
      <c r="B246" s="66" t="n">
        <v>214</v>
      </c>
      <c r="C246" s="122">
        <f>IF($D246="","",IFERROR(TEXT(업무일지!$B214,"yyyy-mm-dd"),"(날짜없음)")&amp;"  "&amp;업무일지!$F214&amp;"  "&amp;업무일지!$H214)</f>
        <v/>
      </c>
      <c r="D246" s="122">
        <f>IF(NOT(COUNTBLANK(업무일지!$B214:$AH214)&lt;33),"",TRIM(IF(업무일지!$B214="","시작일 누락; ","")&amp;IF(업무일지!$C214="","종료일 누락; ","")&amp;IF(AND(업무일지!$B214&lt;&gt;"",업무일지!$C214&lt;&gt;"",업무일지!$C214&lt;업무일지!$B214),"종료일이 시작일보다 빠름; ","")&amp;IF(COUNTIF(코드설정!$H$5:$H$7,업무일지!$D214)=0,"직무구분 누락; ","")&amp;IF(업무일지!$E214="","세부유형 누락; ",IF(AND(업무일지!$D214&lt;&gt;"",COUNTIFS(코드설정!$A$5:$A$21,업무일지!$D214,코드설정!$B$5:$B$21,업무일지!$E214)=0),"세부유형이 직무구분과 불일치; ",""))&amp;IF(AND(업무일지!$F214&lt;&gt;"",COUNTIF(사건마스터!$A$5:$A$64,업무일지!$F214)=0),"미등록 사건번호; ","")&amp;IF(AND(업무일지!$F214="",업무일지!$H214=""),"사건번호·업무명 모두 없음; ","")&amp;IF(업무일지!$J214="","담당자 없음; ","")&amp;IF(COUNTIF(코드설정!$F$5:$F$7,업무일지!$AG214)=0,"진행상태 누락; ","")))</f>
        <v/>
      </c>
    </row>
    <row r="247">
      <c r="A247" s="26" t="inlineStr">
        <is>
          <t>업무일지</t>
        </is>
      </c>
      <c r="B247" s="66" t="n">
        <v>215</v>
      </c>
      <c r="C247" s="122">
        <f>IF($D247="","",IFERROR(TEXT(업무일지!$B215,"yyyy-mm-dd"),"(날짜없음)")&amp;"  "&amp;업무일지!$F215&amp;"  "&amp;업무일지!$H215)</f>
        <v/>
      </c>
      <c r="D247" s="122">
        <f>IF(NOT(COUNTBLANK(업무일지!$B215:$AH215)&lt;33),"",TRIM(IF(업무일지!$B215="","시작일 누락; ","")&amp;IF(업무일지!$C215="","종료일 누락; ","")&amp;IF(AND(업무일지!$B215&lt;&gt;"",업무일지!$C215&lt;&gt;"",업무일지!$C215&lt;업무일지!$B215),"종료일이 시작일보다 빠름; ","")&amp;IF(COUNTIF(코드설정!$H$5:$H$7,업무일지!$D215)=0,"직무구분 누락; ","")&amp;IF(업무일지!$E215="","세부유형 누락; ",IF(AND(업무일지!$D215&lt;&gt;"",COUNTIFS(코드설정!$A$5:$A$21,업무일지!$D215,코드설정!$B$5:$B$21,업무일지!$E215)=0),"세부유형이 직무구분과 불일치; ",""))&amp;IF(AND(업무일지!$F215&lt;&gt;"",COUNTIF(사건마스터!$A$5:$A$64,업무일지!$F215)=0),"미등록 사건번호; ","")&amp;IF(AND(업무일지!$F215="",업무일지!$H215=""),"사건번호·업무명 모두 없음; ","")&amp;IF(업무일지!$J215="","담당자 없음; ","")&amp;IF(COUNTIF(코드설정!$F$5:$F$7,업무일지!$AG215)=0,"진행상태 누락; ","")))</f>
        <v/>
      </c>
    </row>
    <row r="248">
      <c r="A248" s="26" t="inlineStr">
        <is>
          <t>업무일지</t>
        </is>
      </c>
      <c r="B248" s="66" t="n">
        <v>216</v>
      </c>
      <c r="C248" s="122">
        <f>IF($D248="","",IFERROR(TEXT(업무일지!$B216,"yyyy-mm-dd"),"(날짜없음)")&amp;"  "&amp;업무일지!$F216&amp;"  "&amp;업무일지!$H216)</f>
        <v/>
      </c>
      <c r="D248" s="122">
        <f>IF(NOT(COUNTBLANK(업무일지!$B216:$AH216)&lt;33),"",TRIM(IF(업무일지!$B216="","시작일 누락; ","")&amp;IF(업무일지!$C216="","종료일 누락; ","")&amp;IF(AND(업무일지!$B216&lt;&gt;"",업무일지!$C216&lt;&gt;"",업무일지!$C216&lt;업무일지!$B216),"종료일이 시작일보다 빠름; ","")&amp;IF(COUNTIF(코드설정!$H$5:$H$7,업무일지!$D216)=0,"직무구분 누락; ","")&amp;IF(업무일지!$E216="","세부유형 누락; ",IF(AND(업무일지!$D216&lt;&gt;"",COUNTIFS(코드설정!$A$5:$A$21,업무일지!$D216,코드설정!$B$5:$B$21,업무일지!$E216)=0),"세부유형이 직무구분과 불일치; ",""))&amp;IF(AND(업무일지!$F216&lt;&gt;"",COUNTIF(사건마스터!$A$5:$A$64,업무일지!$F216)=0),"미등록 사건번호; ","")&amp;IF(AND(업무일지!$F216="",업무일지!$H216=""),"사건번호·업무명 모두 없음; ","")&amp;IF(업무일지!$J216="","담당자 없음; ","")&amp;IF(COUNTIF(코드설정!$F$5:$F$7,업무일지!$AG216)=0,"진행상태 누락; ","")))</f>
        <v/>
      </c>
    </row>
    <row r="249">
      <c r="A249" s="26" t="inlineStr">
        <is>
          <t>업무일지</t>
        </is>
      </c>
      <c r="B249" s="66" t="n">
        <v>217</v>
      </c>
      <c r="C249" s="122">
        <f>IF($D249="","",IFERROR(TEXT(업무일지!$B217,"yyyy-mm-dd"),"(날짜없음)")&amp;"  "&amp;업무일지!$F217&amp;"  "&amp;업무일지!$H217)</f>
        <v/>
      </c>
      <c r="D249" s="122">
        <f>IF(NOT(COUNTBLANK(업무일지!$B217:$AH217)&lt;33),"",TRIM(IF(업무일지!$B217="","시작일 누락; ","")&amp;IF(업무일지!$C217="","종료일 누락; ","")&amp;IF(AND(업무일지!$B217&lt;&gt;"",업무일지!$C217&lt;&gt;"",업무일지!$C217&lt;업무일지!$B217),"종료일이 시작일보다 빠름; ","")&amp;IF(COUNTIF(코드설정!$H$5:$H$7,업무일지!$D217)=0,"직무구분 누락; ","")&amp;IF(업무일지!$E217="","세부유형 누락; ",IF(AND(업무일지!$D217&lt;&gt;"",COUNTIFS(코드설정!$A$5:$A$21,업무일지!$D217,코드설정!$B$5:$B$21,업무일지!$E217)=0),"세부유형이 직무구분과 불일치; ",""))&amp;IF(AND(업무일지!$F217&lt;&gt;"",COUNTIF(사건마스터!$A$5:$A$64,업무일지!$F217)=0),"미등록 사건번호; ","")&amp;IF(AND(업무일지!$F217="",업무일지!$H217=""),"사건번호·업무명 모두 없음; ","")&amp;IF(업무일지!$J217="","담당자 없음; ","")&amp;IF(COUNTIF(코드설정!$F$5:$F$7,업무일지!$AG217)=0,"진행상태 누락; ","")))</f>
        <v/>
      </c>
    </row>
    <row r="250">
      <c r="A250" s="26" t="inlineStr">
        <is>
          <t>업무일지</t>
        </is>
      </c>
      <c r="B250" s="66" t="n">
        <v>218</v>
      </c>
      <c r="C250" s="122">
        <f>IF($D250="","",IFERROR(TEXT(업무일지!$B218,"yyyy-mm-dd"),"(날짜없음)")&amp;"  "&amp;업무일지!$F218&amp;"  "&amp;업무일지!$H218)</f>
        <v/>
      </c>
      <c r="D250" s="122">
        <f>IF(NOT(COUNTBLANK(업무일지!$B218:$AH218)&lt;33),"",TRIM(IF(업무일지!$B218="","시작일 누락; ","")&amp;IF(업무일지!$C218="","종료일 누락; ","")&amp;IF(AND(업무일지!$B218&lt;&gt;"",업무일지!$C218&lt;&gt;"",업무일지!$C218&lt;업무일지!$B218),"종료일이 시작일보다 빠름; ","")&amp;IF(COUNTIF(코드설정!$H$5:$H$7,업무일지!$D218)=0,"직무구분 누락; ","")&amp;IF(업무일지!$E218="","세부유형 누락; ",IF(AND(업무일지!$D218&lt;&gt;"",COUNTIFS(코드설정!$A$5:$A$21,업무일지!$D218,코드설정!$B$5:$B$21,업무일지!$E218)=0),"세부유형이 직무구분과 불일치; ",""))&amp;IF(AND(업무일지!$F218&lt;&gt;"",COUNTIF(사건마스터!$A$5:$A$64,업무일지!$F218)=0),"미등록 사건번호; ","")&amp;IF(AND(업무일지!$F218="",업무일지!$H218=""),"사건번호·업무명 모두 없음; ","")&amp;IF(업무일지!$J218="","담당자 없음; ","")&amp;IF(COUNTIF(코드설정!$F$5:$F$7,업무일지!$AG218)=0,"진행상태 누락; ","")))</f>
        <v/>
      </c>
    </row>
    <row r="251">
      <c r="A251" s="26" t="inlineStr">
        <is>
          <t>업무일지</t>
        </is>
      </c>
      <c r="B251" s="66" t="n">
        <v>219</v>
      </c>
      <c r="C251" s="122">
        <f>IF($D251="","",IFERROR(TEXT(업무일지!$B219,"yyyy-mm-dd"),"(날짜없음)")&amp;"  "&amp;업무일지!$F219&amp;"  "&amp;업무일지!$H219)</f>
        <v/>
      </c>
      <c r="D251" s="122">
        <f>IF(NOT(COUNTBLANK(업무일지!$B219:$AH219)&lt;33),"",TRIM(IF(업무일지!$B219="","시작일 누락; ","")&amp;IF(업무일지!$C219="","종료일 누락; ","")&amp;IF(AND(업무일지!$B219&lt;&gt;"",업무일지!$C219&lt;&gt;"",업무일지!$C219&lt;업무일지!$B219),"종료일이 시작일보다 빠름; ","")&amp;IF(COUNTIF(코드설정!$H$5:$H$7,업무일지!$D219)=0,"직무구분 누락; ","")&amp;IF(업무일지!$E219="","세부유형 누락; ",IF(AND(업무일지!$D219&lt;&gt;"",COUNTIFS(코드설정!$A$5:$A$21,업무일지!$D219,코드설정!$B$5:$B$21,업무일지!$E219)=0),"세부유형이 직무구분과 불일치; ",""))&amp;IF(AND(업무일지!$F219&lt;&gt;"",COUNTIF(사건마스터!$A$5:$A$64,업무일지!$F219)=0),"미등록 사건번호; ","")&amp;IF(AND(업무일지!$F219="",업무일지!$H219=""),"사건번호·업무명 모두 없음; ","")&amp;IF(업무일지!$J219="","담당자 없음; ","")&amp;IF(COUNTIF(코드설정!$F$5:$F$7,업무일지!$AG219)=0,"진행상태 누락; ","")))</f>
        <v/>
      </c>
    </row>
    <row r="252">
      <c r="A252" s="26" t="inlineStr">
        <is>
          <t>업무일지</t>
        </is>
      </c>
      <c r="B252" s="66" t="n">
        <v>220</v>
      </c>
      <c r="C252" s="122">
        <f>IF($D252="","",IFERROR(TEXT(업무일지!$B220,"yyyy-mm-dd"),"(날짜없음)")&amp;"  "&amp;업무일지!$F220&amp;"  "&amp;업무일지!$H220)</f>
        <v/>
      </c>
      <c r="D252" s="122">
        <f>IF(NOT(COUNTBLANK(업무일지!$B220:$AH220)&lt;33),"",TRIM(IF(업무일지!$B220="","시작일 누락; ","")&amp;IF(업무일지!$C220="","종료일 누락; ","")&amp;IF(AND(업무일지!$B220&lt;&gt;"",업무일지!$C220&lt;&gt;"",업무일지!$C220&lt;업무일지!$B220),"종료일이 시작일보다 빠름; ","")&amp;IF(COUNTIF(코드설정!$H$5:$H$7,업무일지!$D220)=0,"직무구분 누락; ","")&amp;IF(업무일지!$E220="","세부유형 누락; ",IF(AND(업무일지!$D220&lt;&gt;"",COUNTIFS(코드설정!$A$5:$A$21,업무일지!$D220,코드설정!$B$5:$B$21,업무일지!$E220)=0),"세부유형이 직무구분과 불일치; ",""))&amp;IF(AND(업무일지!$F220&lt;&gt;"",COUNTIF(사건마스터!$A$5:$A$64,업무일지!$F220)=0),"미등록 사건번호; ","")&amp;IF(AND(업무일지!$F220="",업무일지!$H220=""),"사건번호·업무명 모두 없음; ","")&amp;IF(업무일지!$J220="","담당자 없음; ","")&amp;IF(COUNTIF(코드설정!$F$5:$F$7,업무일지!$AG220)=0,"진행상태 누락; ","")))</f>
        <v/>
      </c>
    </row>
    <row r="253">
      <c r="A253" s="26" t="inlineStr">
        <is>
          <t>업무일지</t>
        </is>
      </c>
      <c r="B253" s="66" t="n">
        <v>221</v>
      </c>
      <c r="C253" s="122">
        <f>IF($D253="","",IFERROR(TEXT(업무일지!$B221,"yyyy-mm-dd"),"(날짜없음)")&amp;"  "&amp;업무일지!$F221&amp;"  "&amp;업무일지!$H221)</f>
        <v/>
      </c>
      <c r="D253" s="122">
        <f>IF(NOT(COUNTBLANK(업무일지!$B221:$AH221)&lt;33),"",TRIM(IF(업무일지!$B221="","시작일 누락; ","")&amp;IF(업무일지!$C221="","종료일 누락; ","")&amp;IF(AND(업무일지!$B221&lt;&gt;"",업무일지!$C221&lt;&gt;"",업무일지!$C221&lt;업무일지!$B221),"종료일이 시작일보다 빠름; ","")&amp;IF(COUNTIF(코드설정!$H$5:$H$7,업무일지!$D221)=0,"직무구분 누락; ","")&amp;IF(업무일지!$E221="","세부유형 누락; ",IF(AND(업무일지!$D221&lt;&gt;"",COUNTIFS(코드설정!$A$5:$A$21,업무일지!$D221,코드설정!$B$5:$B$21,업무일지!$E221)=0),"세부유형이 직무구분과 불일치; ",""))&amp;IF(AND(업무일지!$F221&lt;&gt;"",COUNTIF(사건마스터!$A$5:$A$64,업무일지!$F221)=0),"미등록 사건번호; ","")&amp;IF(AND(업무일지!$F221="",업무일지!$H221=""),"사건번호·업무명 모두 없음; ","")&amp;IF(업무일지!$J221="","담당자 없음; ","")&amp;IF(COUNTIF(코드설정!$F$5:$F$7,업무일지!$AG221)=0,"진행상태 누락; ","")))</f>
        <v/>
      </c>
    </row>
    <row r="254">
      <c r="A254" s="26" t="inlineStr">
        <is>
          <t>업무일지</t>
        </is>
      </c>
      <c r="B254" s="66" t="n">
        <v>222</v>
      </c>
      <c r="C254" s="122">
        <f>IF($D254="","",IFERROR(TEXT(업무일지!$B222,"yyyy-mm-dd"),"(날짜없음)")&amp;"  "&amp;업무일지!$F222&amp;"  "&amp;업무일지!$H222)</f>
        <v/>
      </c>
      <c r="D254" s="122">
        <f>IF(NOT(COUNTBLANK(업무일지!$B222:$AH222)&lt;33),"",TRIM(IF(업무일지!$B222="","시작일 누락; ","")&amp;IF(업무일지!$C222="","종료일 누락; ","")&amp;IF(AND(업무일지!$B222&lt;&gt;"",업무일지!$C222&lt;&gt;"",업무일지!$C222&lt;업무일지!$B222),"종료일이 시작일보다 빠름; ","")&amp;IF(COUNTIF(코드설정!$H$5:$H$7,업무일지!$D222)=0,"직무구분 누락; ","")&amp;IF(업무일지!$E222="","세부유형 누락; ",IF(AND(업무일지!$D222&lt;&gt;"",COUNTIFS(코드설정!$A$5:$A$21,업무일지!$D222,코드설정!$B$5:$B$21,업무일지!$E222)=0),"세부유형이 직무구분과 불일치; ",""))&amp;IF(AND(업무일지!$F222&lt;&gt;"",COUNTIF(사건마스터!$A$5:$A$64,업무일지!$F222)=0),"미등록 사건번호; ","")&amp;IF(AND(업무일지!$F222="",업무일지!$H222=""),"사건번호·업무명 모두 없음; ","")&amp;IF(업무일지!$J222="","담당자 없음; ","")&amp;IF(COUNTIF(코드설정!$F$5:$F$7,업무일지!$AG222)=0,"진행상태 누락; ","")))</f>
        <v/>
      </c>
    </row>
    <row r="255">
      <c r="A255" s="26" t="inlineStr">
        <is>
          <t>업무일지</t>
        </is>
      </c>
      <c r="B255" s="66" t="n">
        <v>223</v>
      </c>
      <c r="C255" s="122">
        <f>IF($D255="","",IFERROR(TEXT(업무일지!$B223,"yyyy-mm-dd"),"(날짜없음)")&amp;"  "&amp;업무일지!$F223&amp;"  "&amp;업무일지!$H223)</f>
        <v/>
      </c>
      <c r="D255" s="122">
        <f>IF(NOT(COUNTBLANK(업무일지!$B223:$AH223)&lt;33),"",TRIM(IF(업무일지!$B223="","시작일 누락; ","")&amp;IF(업무일지!$C223="","종료일 누락; ","")&amp;IF(AND(업무일지!$B223&lt;&gt;"",업무일지!$C223&lt;&gt;"",업무일지!$C223&lt;업무일지!$B223),"종료일이 시작일보다 빠름; ","")&amp;IF(COUNTIF(코드설정!$H$5:$H$7,업무일지!$D223)=0,"직무구분 누락; ","")&amp;IF(업무일지!$E223="","세부유형 누락; ",IF(AND(업무일지!$D223&lt;&gt;"",COUNTIFS(코드설정!$A$5:$A$21,업무일지!$D223,코드설정!$B$5:$B$21,업무일지!$E223)=0),"세부유형이 직무구분과 불일치; ",""))&amp;IF(AND(업무일지!$F223&lt;&gt;"",COUNTIF(사건마스터!$A$5:$A$64,업무일지!$F223)=0),"미등록 사건번호; ","")&amp;IF(AND(업무일지!$F223="",업무일지!$H223=""),"사건번호·업무명 모두 없음; ","")&amp;IF(업무일지!$J223="","담당자 없음; ","")&amp;IF(COUNTIF(코드설정!$F$5:$F$7,업무일지!$AG223)=0,"진행상태 누락; ","")))</f>
        <v/>
      </c>
    </row>
    <row r="256">
      <c r="A256" s="26" t="inlineStr">
        <is>
          <t>업무일지</t>
        </is>
      </c>
      <c r="B256" s="66" t="n">
        <v>224</v>
      </c>
      <c r="C256" s="122">
        <f>IF($D256="","",IFERROR(TEXT(업무일지!$B224,"yyyy-mm-dd"),"(날짜없음)")&amp;"  "&amp;업무일지!$F224&amp;"  "&amp;업무일지!$H224)</f>
        <v/>
      </c>
      <c r="D256" s="122">
        <f>IF(NOT(COUNTBLANK(업무일지!$B224:$AH224)&lt;33),"",TRIM(IF(업무일지!$B224="","시작일 누락; ","")&amp;IF(업무일지!$C224="","종료일 누락; ","")&amp;IF(AND(업무일지!$B224&lt;&gt;"",업무일지!$C224&lt;&gt;"",업무일지!$C224&lt;업무일지!$B224),"종료일이 시작일보다 빠름; ","")&amp;IF(COUNTIF(코드설정!$H$5:$H$7,업무일지!$D224)=0,"직무구분 누락; ","")&amp;IF(업무일지!$E224="","세부유형 누락; ",IF(AND(업무일지!$D224&lt;&gt;"",COUNTIFS(코드설정!$A$5:$A$21,업무일지!$D224,코드설정!$B$5:$B$21,업무일지!$E224)=0),"세부유형이 직무구분과 불일치; ",""))&amp;IF(AND(업무일지!$F224&lt;&gt;"",COUNTIF(사건마스터!$A$5:$A$64,업무일지!$F224)=0),"미등록 사건번호; ","")&amp;IF(AND(업무일지!$F224="",업무일지!$H224=""),"사건번호·업무명 모두 없음; ","")&amp;IF(업무일지!$J224="","담당자 없음; ","")&amp;IF(COUNTIF(코드설정!$F$5:$F$7,업무일지!$AG224)=0,"진행상태 누락; ","")))</f>
        <v/>
      </c>
    </row>
    <row r="257">
      <c r="A257" s="26" t="inlineStr">
        <is>
          <t>업무일지</t>
        </is>
      </c>
      <c r="B257" s="66" t="n">
        <v>225</v>
      </c>
      <c r="C257" s="122">
        <f>IF($D257="","",IFERROR(TEXT(업무일지!$B225,"yyyy-mm-dd"),"(날짜없음)")&amp;"  "&amp;업무일지!$F225&amp;"  "&amp;업무일지!$H225)</f>
        <v/>
      </c>
      <c r="D257" s="122">
        <f>IF(NOT(COUNTBLANK(업무일지!$B225:$AH225)&lt;33),"",TRIM(IF(업무일지!$B225="","시작일 누락; ","")&amp;IF(업무일지!$C225="","종료일 누락; ","")&amp;IF(AND(업무일지!$B225&lt;&gt;"",업무일지!$C225&lt;&gt;"",업무일지!$C225&lt;업무일지!$B225),"종료일이 시작일보다 빠름; ","")&amp;IF(COUNTIF(코드설정!$H$5:$H$7,업무일지!$D225)=0,"직무구분 누락; ","")&amp;IF(업무일지!$E225="","세부유형 누락; ",IF(AND(업무일지!$D225&lt;&gt;"",COUNTIFS(코드설정!$A$5:$A$21,업무일지!$D225,코드설정!$B$5:$B$21,업무일지!$E225)=0),"세부유형이 직무구분과 불일치; ",""))&amp;IF(AND(업무일지!$F225&lt;&gt;"",COUNTIF(사건마스터!$A$5:$A$64,업무일지!$F225)=0),"미등록 사건번호; ","")&amp;IF(AND(업무일지!$F225="",업무일지!$H225=""),"사건번호·업무명 모두 없음; ","")&amp;IF(업무일지!$J225="","담당자 없음; ","")&amp;IF(COUNTIF(코드설정!$F$5:$F$7,업무일지!$AG225)=0,"진행상태 누락; ","")))</f>
        <v/>
      </c>
    </row>
    <row r="258">
      <c r="A258" s="26" t="inlineStr">
        <is>
          <t>업무일지</t>
        </is>
      </c>
      <c r="B258" s="66" t="n">
        <v>226</v>
      </c>
      <c r="C258" s="122">
        <f>IF($D258="","",IFERROR(TEXT(업무일지!$B226,"yyyy-mm-dd"),"(날짜없음)")&amp;"  "&amp;업무일지!$F226&amp;"  "&amp;업무일지!$H226)</f>
        <v/>
      </c>
      <c r="D258" s="122">
        <f>IF(NOT(COUNTBLANK(업무일지!$B226:$AH226)&lt;33),"",TRIM(IF(업무일지!$B226="","시작일 누락; ","")&amp;IF(업무일지!$C226="","종료일 누락; ","")&amp;IF(AND(업무일지!$B226&lt;&gt;"",업무일지!$C226&lt;&gt;"",업무일지!$C226&lt;업무일지!$B226),"종료일이 시작일보다 빠름; ","")&amp;IF(COUNTIF(코드설정!$H$5:$H$7,업무일지!$D226)=0,"직무구분 누락; ","")&amp;IF(업무일지!$E226="","세부유형 누락; ",IF(AND(업무일지!$D226&lt;&gt;"",COUNTIFS(코드설정!$A$5:$A$21,업무일지!$D226,코드설정!$B$5:$B$21,업무일지!$E226)=0),"세부유형이 직무구분과 불일치; ",""))&amp;IF(AND(업무일지!$F226&lt;&gt;"",COUNTIF(사건마스터!$A$5:$A$64,업무일지!$F226)=0),"미등록 사건번호; ","")&amp;IF(AND(업무일지!$F226="",업무일지!$H226=""),"사건번호·업무명 모두 없음; ","")&amp;IF(업무일지!$J226="","담당자 없음; ","")&amp;IF(COUNTIF(코드설정!$F$5:$F$7,업무일지!$AG226)=0,"진행상태 누락; ","")))</f>
        <v/>
      </c>
    </row>
    <row r="259">
      <c r="A259" s="26" t="inlineStr">
        <is>
          <t>업무일지</t>
        </is>
      </c>
      <c r="B259" s="66" t="n">
        <v>227</v>
      </c>
      <c r="C259" s="122">
        <f>IF($D259="","",IFERROR(TEXT(업무일지!$B227,"yyyy-mm-dd"),"(날짜없음)")&amp;"  "&amp;업무일지!$F227&amp;"  "&amp;업무일지!$H227)</f>
        <v/>
      </c>
      <c r="D259" s="122">
        <f>IF(NOT(COUNTBLANK(업무일지!$B227:$AH227)&lt;33),"",TRIM(IF(업무일지!$B227="","시작일 누락; ","")&amp;IF(업무일지!$C227="","종료일 누락; ","")&amp;IF(AND(업무일지!$B227&lt;&gt;"",업무일지!$C227&lt;&gt;"",업무일지!$C227&lt;업무일지!$B227),"종료일이 시작일보다 빠름; ","")&amp;IF(COUNTIF(코드설정!$H$5:$H$7,업무일지!$D227)=0,"직무구분 누락; ","")&amp;IF(업무일지!$E227="","세부유형 누락; ",IF(AND(업무일지!$D227&lt;&gt;"",COUNTIFS(코드설정!$A$5:$A$21,업무일지!$D227,코드설정!$B$5:$B$21,업무일지!$E227)=0),"세부유형이 직무구분과 불일치; ",""))&amp;IF(AND(업무일지!$F227&lt;&gt;"",COUNTIF(사건마스터!$A$5:$A$64,업무일지!$F227)=0),"미등록 사건번호; ","")&amp;IF(AND(업무일지!$F227="",업무일지!$H227=""),"사건번호·업무명 모두 없음; ","")&amp;IF(업무일지!$J227="","담당자 없음; ","")&amp;IF(COUNTIF(코드설정!$F$5:$F$7,업무일지!$AG227)=0,"진행상태 누락; ","")))</f>
        <v/>
      </c>
    </row>
    <row r="260">
      <c r="A260" s="26" t="inlineStr">
        <is>
          <t>업무일지</t>
        </is>
      </c>
      <c r="B260" s="66" t="n">
        <v>228</v>
      </c>
      <c r="C260" s="122">
        <f>IF($D260="","",IFERROR(TEXT(업무일지!$B228,"yyyy-mm-dd"),"(날짜없음)")&amp;"  "&amp;업무일지!$F228&amp;"  "&amp;업무일지!$H228)</f>
        <v/>
      </c>
      <c r="D260" s="122">
        <f>IF(NOT(COUNTBLANK(업무일지!$B228:$AH228)&lt;33),"",TRIM(IF(업무일지!$B228="","시작일 누락; ","")&amp;IF(업무일지!$C228="","종료일 누락; ","")&amp;IF(AND(업무일지!$B228&lt;&gt;"",업무일지!$C228&lt;&gt;"",업무일지!$C228&lt;업무일지!$B228),"종료일이 시작일보다 빠름; ","")&amp;IF(COUNTIF(코드설정!$H$5:$H$7,업무일지!$D228)=0,"직무구분 누락; ","")&amp;IF(업무일지!$E228="","세부유형 누락; ",IF(AND(업무일지!$D228&lt;&gt;"",COUNTIFS(코드설정!$A$5:$A$21,업무일지!$D228,코드설정!$B$5:$B$21,업무일지!$E228)=0),"세부유형이 직무구분과 불일치; ",""))&amp;IF(AND(업무일지!$F228&lt;&gt;"",COUNTIF(사건마스터!$A$5:$A$64,업무일지!$F228)=0),"미등록 사건번호; ","")&amp;IF(AND(업무일지!$F228="",업무일지!$H228=""),"사건번호·업무명 모두 없음; ","")&amp;IF(업무일지!$J228="","담당자 없음; ","")&amp;IF(COUNTIF(코드설정!$F$5:$F$7,업무일지!$AG228)=0,"진행상태 누락; ","")))</f>
        <v/>
      </c>
    </row>
    <row r="261">
      <c r="A261" s="26" t="inlineStr">
        <is>
          <t>업무일지</t>
        </is>
      </c>
      <c r="B261" s="66" t="n">
        <v>229</v>
      </c>
      <c r="C261" s="122">
        <f>IF($D261="","",IFERROR(TEXT(업무일지!$B229,"yyyy-mm-dd"),"(날짜없음)")&amp;"  "&amp;업무일지!$F229&amp;"  "&amp;업무일지!$H229)</f>
        <v/>
      </c>
      <c r="D261" s="122">
        <f>IF(NOT(COUNTBLANK(업무일지!$B229:$AH229)&lt;33),"",TRIM(IF(업무일지!$B229="","시작일 누락; ","")&amp;IF(업무일지!$C229="","종료일 누락; ","")&amp;IF(AND(업무일지!$B229&lt;&gt;"",업무일지!$C229&lt;&gt;"",업무일지!$C229&lt;업무일지!$B229),"종료일이 시작일보다 빠름; ","")&amp;IF(COUNTIF(코드설정!$H$5:$H$7,업무일지!$D229)=0,"직무구분 누락; ","")&amp;IF(업무일지!$E229="","세부유형 누락; ",IF(AND(업무일지!$D229&lt;&gt;"",COUNTIFS(코드설정!$A$5:$A$21,업무일지!$D229,코드설정!$B$5:$B$21,업무일지!$E229)=0),"세부유형이 직무구분과 불일치; ",""))&amp;IF(AND(업무일지!$F229&lt;&gt;"",COUNTIF(사건마스터!$A$5:$A$64,업무일지!$F229)=0),"미등록 사건번호; ","")&amp;IF(AND(업무일지!$F229="",업무일지!$H229=""),"사건번호·업무명 모두 없음; ","")&amp;IF(업무일지!$J229="","담당자 없음; ","")&amp;IF(COUNTIF(코드설정!$F$5:$F$7,업무일지!$AG229)=0,"진행상태 누락; ","")))</f>
        <v/>
      </c>
    </row>
    <row r="262">
      <c r="A262" s="26" t="inlineStr">
        <is>
          <t>업무일지</t>
        </is>
      </c>
      <c r="B262" s="66" t="n">
        <v>230</v>
      </c>
      <c r="C262" s="122">
        <f>IF($D262="","",IFERROR(TEXT(업무일지!$B230,"yyyy-mm-dd"),"(날짜없음)")&amp;"  "&amp;업무일지!$F230&amp;"  "&amp;업무일지!$H230)</f>
        <v/>
      </c>
      <c r="D262" s="122">
        <f>IF(NOT(COUNTBLANK(업무일지!$B230:$AH230)&lt;33),"",TRIM(IF(업무일지!$B230="","시작일 누락; ","")&amp;IF(업무일지!$C230="","종료일 누락; ","")&amp;IF(AND(업무일지!$B230&lt;&gt;"",업무일지!$C230&lt;&gt;"",업무일지!$C230&lt;업무일지!$B230),"종료일이 시작일보다 빠름; ","")&amp;IF(COUNTIF(코드설정!$H$5:$H$7,업무일지!$D230)=0,"직무구분 누락; ","")&amp;IF(업무일지!$E230="","세부유형 누락; ",IF(AND(업무일지!$D230&lt;&gt;"",COUNTIFS(코드설정!$A$5:$A$21,업무일지!$D230,코드설정!$B$5:$B$21,업무일지!$E230)=0),"세부유형이 직무구분과 불일치; ",""))&amp;IF(AND(업무일지!$F230&lt;&gt;"",COUNTIF(사건마스터!$A$5:$A$64,업무일지!$F230)=0),"미등록 사건번호; ","")&amp;IF(AND(업무일지!$F230="",업무일지!$H230=""),"사건번호·업무명 모두 없음; ","")&amp;IF(업무일지!$J230="","담당자 없음; ","")&amp;IF(COUNTIF(코드설정!$F$5:$F$7,업무일지!$AG230)=0,"진행상태 누락; ","")))</f>
        <v/>
      </c>
    </row>
    <row r="263">
      <c r="A263" s="26" t="inlineStr">
        <is>
          <t>업무일지</t>
        </is>
      </c>
      <c r="B263" s="66" t="n">
        <v>231</v>
      </c>
      <c r="C263" s="122">
        <f>IF($D263="","",IFERROR(TEXT(업무일지!$B231,"yyyy-mm-dd"),"(날짜없음)")&amp;"  "&amp;업무일지!$F231&amp;"  "&amp;업무일지!$H231)</f>
        <v/>
      </c>
      <c r="D263" s="122">
        <f>IF(NOT(COUNTBLANK(업무일지!$B231:$AH231)&lt;33),"",TRIM(IF(업무일지!$B231="","시작일 누락; ","")&amp;IF(업무일지!$C231="","종료일 누락; ","")&amp;IF(AND(업무일지!$B231&lt;&gt;"",업무일지!$C231&lt;&gt;"",업무일지!$C231&lt;업무일지!$B231),"종료일이 시작일보다 빠름; ","")&amp;IF(COUNTIF(코드설정!$H$5:$H$7,업무일지!$D231)=0,"직무구분 누락; ","")&amp;IF(업무일지!$E231="","세부유형 누락; ",IF(AND(업무일지!$D231&lt;&gt;"",COUNTIFS(코드설정!$A$5:$A$21,업무일지!$D231,코드설정!$B$5:$B$21,업무일지!$E231)=0),"세부유형이 직무구분과 불일치; ",""))&amp;IF(AND(업무일지!$F231&lt;&gt;"",COUNTIF(사건마스터!$A$5:$A$64,업무일지!$F231)=0),"미등록 사건번호; ","")&amp;IF(AND(업무일지!$F231="",업무일지!$H231=""),"사건번호·업무명 모두 없음; ","")&amp;IF(업무일지!$J231="","담당자 없음; ","")&amp;IF(COUNTIF(코드설정!$F$5:$F$7,업무일지!$AG231)=0,"진행상태 누락; ","")))</f>
        <v/>
      </c>
    </row>
    <row r="264">
      <c r="A264" s="26" t="inlineStr">
        <is>
          <t>업무일지</t>
        </is>
      </c>
      <c r="B264" s="66" t="n">
        <v>232</v>
      </c>
      <c r="C264" s="122">
        <f>IF($D264="","",IFERROR(TEXT(업무일지!$B232,"yyyy-mm-dd"),"(날짜없음)")&amp;"  "&amp;업무일지!$F232&amp;"  "&amp;업무일지!$H232)</f>
        <v/>
      </c>
      <c r="D264" s="122">
        <f>IF(NOT(COUNTBLANK(업무일지!$B232:$AH232)&lt;33),"",TRIM(IF(업무일지!$B232="","시작일 누락; ","")&amp;IF(업무일지!$C232="","종료일 누락; ","")&amp;IF(AND(업무일지!$B232&lt;&gt;"",업무일지!$C232&lt;&gt;"",업무일지!$C232&lt;업무일지!$B232),"종료일이 시작일보다 빠름; ","")&amp;IF(COUNTIF(코드설정!$H$5:$H$7,업무일지!$D232)=0,"직무구분 누락; ","")&amp;IF(업무일지!$E232="","세부유형 누락; ",IF(AND(업무일지!$D232&lt;&gt;"",COUNTIFS(코드설정!$A$5:$A$21,업무일지!$D232,코드설정!$B$5:$B$21,업무일지!$E232)=0),"세부유형이 직무구분과 불일치; ",""))&amp;IF(AND(업무일지!$F232&lt;&gt;"",COUNTIF(사건마스터!$A$5:$A$64,업무일지!$F232)=0),"미등록 사건번호; ","")&amp;IF(AND(업무일지!$F232="",업무일지!$H232=""),"사건번호·업무명 모두 없음; ","")&amp;IF(업무일지!$J232="","담당자 없음; ","")&amp;IF(COUNTIF(코드설정!$F$5:$F$7,업무일지!$AG232)=0,"진행상태 누락; ","")))</f>
        <v/>
      </c>
    </row>
    <row r="265">
      <c r="A265" s="26" t="inlineStr">
        <is>
          <t>업무일지</t>
        </is>
      </c>
      <c r="B265" s="66" t="n">
        <v>233</v>
      </c>
      <c r="C265" s="122">
        <f>IF($D265="","",IFERROR(TEXT(업무일지!$B233,"yyyy-mm-dd"),"(날짜없음)")&amp;"  "&amp;업무일지!$F233&amp;"  "&amp;업무일지!$H233)</f>
        <v/>
      </c>
      <c r="D265" s="122">
        <f>IF(NOT(COUNTBLANK(업무일지!$B233:$AH233)&lt;33),"",TRIM(IF(업무일지!$B233="","시작일 누락; ","")&amp;IF(업무일지!$C233="","종료일 누락; ","")&amp;IF(AND(업무일지!$B233&lt;&gt;"",업무일지!$C233&lt;&gt;"",업무일지!$C233&lt;업무일지!$B233),"종료일이 시작일보다 빠름; ","")&amp;IF(COUNTIF(코드설정!$H$5:$H$7,업무일지!$D233)=0,"직무구분 누락; ","")&amp;IF(업무일지!$E233="","세부유형 누락; ",IF(AND(업무일지!$D233&lt;&gt;"",COUNTIFS(코드설정!$A$5:$A$21,업무일지!$D233,코드설정!$B$5:$B$21,업무일지!$E233)=0),"세부유형이 직무구분과 불일치; ",""))&amp;IF(AND(업무일지!$F233&lt;&gt;"",COUNTIF(사건마스터!$A$5:$A$64,업무일지!$F233)=0),"미등록 사건번호; ","")&amp;IF(AND(업무일지!$F233="",업무일지!$H233=""),"사건번호·업무명 모두 없음; ","")&amp;IF(업무일지!$J233="","담당자 없음; ","")&amp;IF(COUNTIF(코드설정!$F$5:$F$7,업무일지!$AG233)=0,"진행상태 누락; ","")))</f>
        <v/>
      </c>
    </row>
    <row r="266">
      <c r="A266" s="26" t="inlineStr">
        <is>
          <t>업무일지</t>
        </is>
      </c>
      <c r="B266" s="66" t="n">
        <v>234</v>
      </c>
      <c r="C266" s="122">
        <f>IF($D266="","",IFERROR(TEXT(업무일지!$B234,"yyyy-mm-dd"),"(날짜없음)")&amp;"  "&amp;업무일지!$F234&amp;"  "&amp;업무일지!$H234)</f>
        <v/>
      </c>
      <c r="D266" s="122">
        <f>IF(NOT(COUNTBLANK(업무일지!$B234:$AH234)&lt;33),"",TRIM(IF(업무일지!$B234="","시작일 누락; ","")&amp;IF(업무일지!$C234="","종료일 누락; ","")&amp;IF(AND(업무일지!$B234&lt;&gt;"",업무일지!$C234&lt;&gt;"",업무일지!$C234&lt;업무일지!$B234),"종료일이 시작일보다 빠름; ","")&amp;IF(COUNTIF(코드설정!$H$5:$H$7,업무일지!$D234)=0,"직무구분 누락; ","")&amp;IF(업무일지!$E234="","세부유형 누락; ",IF(AND(업무일지!$D234&lt;&gt;"",COUNTIFS(코드설정!$A$5:$A$21,업무일지!$D234,코드설정!$B$5:$B$21,업무일지!$E234)=0),"세부유형이 직무구분과 불일치; ",""))&amp;IF(AND(업무일지!$F234&lt;&gt;"",COUNTIF(사건마스터!$A$5:$A$64,업무일지!$F234)=0),"미등록 사건번호; ","")&amp;IF(AND(업무일지!$F234="",업무일지!$H234=""),"사건번호·업무명 모두 없음; ","")&amp;IF(업무일지!$J234="","담당자 없음; ","")&amp;IF(COUNTIF(코드설정!$F$5:$F$7,업무일지!$AG234)=0,"진행상태 누락; ","")))</f>
        <v/>
      </c>
    </row>
    <row r="267">
      <c r="A267" s="26" t="inlineStr">
        <is>
          <t>업무일지</t>
        </is>
      </c>
      <c r="B267" s="66" t="n">
        <v>235</v>
      </c>
      <c r="C267" s="122">
        <f>IF($D267="","",IFERROR(TEXT(업무일지!$B235,"yyyy-mm-dd"),"(날짜없음)")&amp;"  "&amp;업무일지!$F235&amp;"  "&amp;업무일지!$H235)</f>
        <v/>
      </c>
      <c r="D267" s="122">
        <f>IF(NOT(COUNTBLANK(업무일지!$B235:$AH235)&lt;33),"",TRIM(IF(업무일지!$B235="","시작일 누락; ","")&amp;IF(업무일지!$C235="","종료일 누락; ","")&amp;IF(AND(업무일지!$B235&lt;&gt;"",업무일지!$C235&lt;&gt;"",업무일지!$C235&lt;업무일지!$B235),"종료일이 시작일보다 빠름; ","")&amp;IF(COUNTIF(코드설정!$H$5:$H$7,업무일지!$D235)=0,"직무구분 누락; ","")&amp;IF(업무일지!$E235="","세부유형 누락; ",IF(AND(업무일지!$D235&lt;&gt;"",COUNTIFS(코드설정!$A$5:$A$21,업무일지!$D235,코드설정!$B$5:$B$21,업무일지!$E235)=0),"세부유형이 직무구분과 불일치; ",""))&amp;IF(AND(업무일지!$F235&lt;&gt;"",COUNTIF(사건마스터!$A$5:$A$64,업무일지!$F235)=0),"미등록 사건번호; ","")&amp;IF(AND(업무일지!$F235="",업무일지!$H235=""),"사건번호·업무명 모두 없음; ","")&amp;IF(업무일지!$J235="","담당자 없음; ","")&amp;IF(COUNTIF(코드설정!$F$5:$F$7,업무일지!$AG235)=0,"진행상태 누락; ","")))</f>
        <v/>
      </c>
    </row>
    <row r="268">
      <c r="A268" s="26" t="inlineStr">
        <is>
          <t>업무일지</t>
        </is>
      </c>
      <c r="B268" s="66" t="n">
        <v>236</v>
      </c>
      <c r="C268" s="122">
        <f>IF($D268="","",IFERROR(TEXT(업무일지!$B236,"yyyy-mm-dd"),"(날짜없음)")&amp;"  "&amp;업무일지!$F236&amp;"  "&amp;업무일지!$H236)</f>
        <v/>
      </c>
      <c r="D268" s="122">
        <f>IF(NOT(COUNTBLANK(업무일지!$B236:$AH236)&lt;33),"",TRIM(IF(업무일지!$B236="","시작일 누락; ","")&amp;IF(업무일지!$C236="","종료일 누락; ","")&amp;IF(AND(업무일지!$B236&lt;&gt;"",업무일지!$C236&lt;&gt;"",업무일지!$C236&lt;업무일지!$B236),"종료일이 시작일보다 빠름; ","")&amp;IF(COUNTIF(코드설정!$H$5:$H$7,업무일지!$D236)=0,"직무구분 누락; ","")&amp;IF(업무일지!$E236="","세부유형 누락; ",IF(AND(업무일지!$D236&lt;&gt;"",COUNTIFS(코드설정!$A$5:$A$21,업무일지!$D236,코드설정!$B$5:$B$21,업무일지!$E236)=0),"세부유형이 직무구분과 불일치; ",""))&amp;IF(AND(업무일지!$F236&lt;&gt;"",COUNTIF(사건마스터!$A$5:$A$64,업무일지!$F236)=0),"미등록 사건번호; ","")&amp;IF(AND(업무일지!$F236="",업무일지!$H236=""),"사건번호·업무명 모두 없음; ","")&amp;IF(업무일지!$J236="","담당자 없음; ","")&amp;IF(COUNTIF(코드설정!$F$5:$F$7,업무일지!$AG236)=0,"진행상태 누락; ","")))</f>
        <v/>
      </c>
    </row>
    <row r="269">
      <c r="A269" s="26" t="inlineStr">
        <is>
          <t>업무일지</t>
        </is>
      </c>
      <c r="B269" s="66" t="n">
        <v>237</v>
      </c>
      <c r="C269" s="122">
        <f>IF($D269="","",IFERROR(TEXT(업무일지!$B237,"yyyy-mm-dd"),"(날짜없음)")&amp;"  "&amp;업무일지!$F237&amp;"  "&amp;업무일지!$H237)</f>
        <v/>
      </c>
      <c r="D269" s="122">
        <f>IF(NOT(COUNTBLANK(업무일지!$B237:$AH237)&lt;33),"",TRIM(IF(업무일지!$B237="","시작일 누락; ","")&amp;IF(업무일지!$C237="","종료일 누락; ","")&amp;IF(AND(업무일지!$B237&lt;&gt;"",업무일지!$C237&lt;&gt;"",업무일지!$C237&lt;업무일지!$B237),"종료일이 시작일보다 빠름; ","")&amp;IF(COUNTIF(코드설정!$H$5:$H$7,업무일지!$D237)=0,"직무구분 누락; ","")&amp;IF(업무일지!$E237="","세부유형 누락; ",IF(AND(업무일지!$D237&lt;&gt;"",COUNTIFS(코드설정!$A$5:$A$21,업무일지!$D237,코드설정!$B$5:$B$21,업무일지!$E237)=0),"세부유형이 직무구분과 불일치; ",""))&amp;IF(AND(업무일지!$F237&lt;&gt;"",COUNTIF(사건마스터!$A$5:$A$64,업무일지!$F237)=0),"미등록 사건번호; ","")&amp;IF(AND(업무일지!$F237="",업무일지!$H237=""),"사건번호·업무명 모두 없음; ","")&amp;IF(업무일지!$J237="","담당자 없음; ","")&amp;IF(COUNTIF(코드설정!$F$5:$F$7,업무일지!$AG237)=0,"진행상태 누락; ","")))</f>
        <v/>
      </c>
    </row>
    <row r="270">
      <c r="A270" s="26" t="inlineStr">
        <is>
          <t>업무일지</t>
        </is>
      </c>
      <c r="B270" s="66" t="n">
        <v>238</v>
      </c>
      <c r="C270" s="122">
        <f>IF($D270="","",IFERROR(TEXT(업무일지!$B238,"yyyy-mm-dd"),"(날짜없음)")&amp;"  "&amp;업무일지!$F238&amp;"  "&amp;업무일지!$H238)</f>
        <v/>
      </c>
      <c r="D270" s="122">
        <f>IF(NOT(COUNTBLANK(업무일지!$B238:$AH238)&lt;33),"",TRIM(IF(업무일지!$B238="","시작일 누락; ","")&amp;IF(업무일지!$C238="","종료일 누락; ","")&amp;IF(AND(업무일지!$B238&lt;&gt;"",업무일지!$C238&lt;&gt;"",업무일지!$C238&lt;업무일지!$B238),"종료일이 시작일보다 빠름; ","")&amp;IF(COUNTIF(코드설정!$H$5:$H$7,업무일지!$D238)=0,"직무구분 누락; ","")&amp;IF(업무일지!$E238="","세부유형 누락; ",IF(AND(업무일지!$D238&lt;&gt;"",COUNTIFS(코드설정!$A$5:$A$21,업무일지!$D238,코드설정!$B$5:$B$21,업무일지!$E238)=0),"세부유형이 직무구분과 불일치; ",""))&amp;IF(AND(업무일지!$F238&lt;&gt;"",COUNTIF(사건마스터!$A$5:$A$64,업무일지!$F238)=0),"미등록 사건번호; ","")&amp;IF(AND(업무일지!$F238="",업무일지!$H238=""),"사건번호·업무명 모두 없음; ","")&amp;IF(업무일지!$J238="","담당자 없음; ","")&amp;IF(COUNTIF(코드설정!$F$5:$F$7,업무일지!$AG238)=0,"진행상태 누락; ","")))</f>
        <v/>
      </c>
    </row>
    <row r="271">
      <c r="A271" s="26" t="inlineStr">
        <is>
          <t>업무일지</t>
        </is>
      </c>
      <c r="B271" s="66" t="n">
        <v>239</v>
      </c>
      <c r="C271" s="122">
        <f>IF($D271="","",IFERROR(TEXT(업무일지!$B239,"yyyy-mm-dd"),"(날짜없음)")&amp;"  "&amp;업무일지!$F239&amp;"  "&amp;업무일지!$H239)</f>
        <v/>
      </c>
      <c r="D271" s="122">
        <f>IF(NOT(COUNTBLANK(업무일지!$B239:$AH239)&lt;33),"",TRIM(IF(업무일지!$B239="","시작일 누락; ","")&amp;IF(업무일지!$C239="","종료일 누락; ","")&amp;IF(AND(업무일지!$B239&lt;&gt;"",업무일지!$C239&lt;&gt;"",업무일지!$C239&lt;업무일지!$B239),"종료일이 시작일보다 빠름; ","")&amp;IF(COUNTIF(코드설정!$H$5:$H$7,업무일지!$D239)=0,"직무구분 누락; ","")&amp;IF(업무일지!$E239="","세부유형 누락; ",IF(AND(업무일지!$D239&lt;&gt;"",COUNTIFS(코드설정!$A$5:$A$21,업무일지!$D239,코드설정!$B$5:$B$21,업무일지!$E239)=0),"세부유형이 직무구분과 불일치; ",""))&amp;IF(AND(업무일지!$F239&lt;&gt;"",COUNTIF(사건마스터!$A$5:$A$64,업무일지!$F239)=0),"미등록 사건번호; ","")&amp;IF(AND(업무일지!$F239="",업무일지!$H239=""),"사건번호·업무명 모두 없음; ","")&amp;IF(업무일지!$J239="","담당자 없음; ","")&amp;IF(COUNTIF(코드설정!$F$5:$F$7,업무일지!$AG239)=0,"진행상태 누락; ","")))</f>
        <v/>
      </c>
    </row>
    <row r="272">
      <c r="A272" s="26" t="inlineStr">
        <is>
          <t>업무일지</t>
        </is>
      </c>
      <c r="B272" s="66" t="n">
        <v>240</v>
      </c>
      <c r="C272" s="122">
        <f>IF($D272="","",IFERROR(TEXT(업무일지!$B240,"yyyy-mm-dd"),"(날짜없음)")&amp;"  "&amp;업무일지!$F240&amp;"  "&amp;업무일지!$H240)</f>
        <v/>
      </c>
      <c r="D272" s="122">
        <f>IF(NOT(COUNTBLANK(업무일지!$B240:$AH240)&lt;33),"",TRIM(IF(업무일지!$B240="","시작일 누락; ","")&amp;IF(업무일지!$C240="","종료일 누락; ","")&amp;IF(AND(업무일지!$B240&lt;&gt;"",업무일지!$C240&lt;&gt;"",업무일지!$C240&lt;업무일지!$B240),"종료일이 시작일보다 빠름; ","")&amp;IF(COUNTIF(코드설정!$H$5:$H$7,업무일지!$D240)=0,"직무구분 누락; ","")&amp;IF(업무일지!$E240="","세부유형 누락; ",IF(AND(업무일지!$D240&lt;&gt;"",COUNTIFS(코드설정!$A$5:$A$21,업무일지!$D240,코드설정!$B$5:$B$21,업무일지!$E240)=0),"세부유형이 직무구분과 불일치; ",""))&amp;IF(AND(업무일지!$F240&lt;&gt;"",COUNTIF(사건마스터!$A$5:$A$64,업무일지!$F240)=0),"미등록 사건번호; ","")&amp;IF(AND(업무일지!$F240="",업무일지!$H240=""),"사건번호·업무명 모두 없음; ","")&amp;IF(업무일지!$J240="","담당자 없음; ","")&amp;IF(COUNTIF(코드설정!$F$5:$F$7,업무일지!$AG240)=0,"진행상태 누락; ","")))</f>
        <v/>
      </c>
    </row>
    <row r="273">
      <c r="A273" s="26" t="inlineStr">
        <is>
          <t>업무일지</t>
        </is>
      </c>
      <c r="B273" s="66" t="n">
        <v>241</v>
      </c>
      <c r="C273" s="122">
        <f>IF($D273="","",IFERROR(TEXT(업무일지!$B241,"yyyy-mm-dd"),"(날짜없음)")&amp;"  "&amp;업무일지!$F241&amp;"  "&amp;업무일지!$H241)</f>
        <v/>
      </c>
      <c r="D273" s="122">
        <f>IF(NOT(COUNTBLANK(업무일지!$B241:$AH241)&lt;33),"",TRIM(IF(업무일지!$B241="","시작일 누락; ","")&amp;IF(업무일지!$C241="","종료일 누락; ","")&amp;IF(AND(업무일지!$B241&lt;&gt;"",업무일지!$C241&lt;&gt;"",업무일지!$C241&lt;업무일지!$B241),"종료일이 시작일보다 빠름; ","")&amp;IF(COUNTIF(코드설정!$H$5:$H$7,업무일지!$D241)=0,"직무구분 누락; ","")&amp;IF(업무일지!$E241="","세부유형 누락; ",IF(AND(업무일지!$D241&lt;&gt;"",COUNTIFS(코드설정!$A$5:$A$21,업무일지!$D241,코드설정!$B$5:$B$21,업무일지!$E241)=0),"세부유형이 직무구분과 불일치; ",""))&amp;IF(AND(업무일지!$F241&lt;&gt;"",COUNTIF(사건마스터!$A$5:$A$64,업무일지!$F241)=0),"미등록 사건번호; ","")&amp;IF(AND(업무일지!$F241="",업무일지!$H241=""),"사건번호·업무명 모두 없음; ","")&amp;IF(업무일지!$J241="","담당자 없음; ","")&amp;IF(COUNTIF(코드설정!$F$5:$F$7,업무일지!$AG241)=0,"진행상태 누락; ","")))</f>
        <v/>
      </c>
    </row>
    <row r="274">
      <c r="A274" s="26" t="inlineStr">
        <is>
          <t>업무일지</t>
        </is>
      </c>
      <c r="B274" s="66" t="n">
        <v>242</v>
      </c>
      <c r="C274" s="122">
        <f>IF($D274="","",IFERROR(TEXT(업무일지!$B242,"yyyy-mm-dd"),"(날짜없음)")&amp;"  "&amp;업무일지!$F242&amp;"  "&amp;업무일지!$H242)</f>
        <v/>
      </c>
      <c r="D274" s="122">
        <f>IF(NOT(COUNTBLANK(업무일지!$B242:$AH242)&lt;33),"",TRIM(IF(업무일지!$B242="","시작일 누락; ","")&amp;IF(업무일지!$C242="","종료일 누락; ","")&amp;IF(AND(업무일지!$B242&lt;&gt;"",업무일지!$C242&lt;&gt;"",업무일지!$C242&lt;업무일지!$B242),"종료일이 시작일보다 빠름; ","")&amp;IF(COUNTIF(코드설정!$H$5:$H$7,업무일지!$D242)=0,"직무구분 누락; ","")&amp;IF(업무일지!$E242="","세부유형 누락; ",IF(AND(업무일지!$D242&lt;&gt;"",COUNTIFS(코드설정!$A$5:$A$21,업무일지!$D242,코드설정!$B$5:$B$21,업무일지!$E242)=0),"세부유형이 직무구분과 불일치; ",""))&amp;IF(AND(업무일지!$F242&lt;&gt;"",COUNTIF(사건마스터!$A$5:$A$64,업무일지!$F242)=0),"미등록 사건번호; ","")&amp;IF(AND(업무일지!$F242="",업무일지!$H242=""),"사건번호·업무명 모두 없음; ","")&amp;IF(업무일지!$J242="","담당자 없음; ","")&amp;IF(COUNTIF(코드설정!$F$5:$F$7,업무일지!$AG242)=0,"진행상태 누락; ","")))</f>
        <v/>
      </c>
    </row>
    <row r="275">
      <c r="A275" s="26" t="inlineStr">
        <is>
          <t>업무일지</t>
        </is>
      </c>
      <c r="B275" s="66" t="n">
        <v>243</v>
      </c>
      <c r="C275" s="122">
        <f>IF($D275="","",IFERROR(TEXT(업무일지!$B243,"yyyy-mm-dd"),"(날짜없음)")&amp;"  "&amp;업무일지!$F243&amp;"  "&amp;업무일지!$H243)</f>
        <v/>
      </c>
      <c r="D275" s="122">
        <f>IF(NOT(COUNTBLANK(업무일지!$B243:$AH243)&lt;33),"",TRIM(IF(업무일지!$B243="","시작일 누락; ","")&amp;IF(업무일지!$C243="","종료일 누락; ","")&amp;IF(AND(업무일지!$B243&lt;&gt;"",업무일지!$C243&lt;&gt;"",업무일지!$C243&lt;업무일지!$B243),"종료일이 시작일보다 빠름; ","")&amp;IF(COUNTIF(코드설정!$H$5:$H$7,업무일지!$D243)=0,"직무구분 누락; ","")&amp;IF(업무일지!$E243="","세부유형 누락; ",IF(AND(업무일지!$D243&lt;&gt;"",COUNTIFS(코드설정!$A$5:$A$21,업무일지!$D243,코드설정!$B$5:$B$21,업무일지!$E243)=0),"세부유형이 직무구분과 불일치; ",""))&amp;IF(AND(업무일지!$F243&lt;&gt;"",COUNTIF(사건마스터!$A$5:$A$64,업무일지!$F243)=0),"미등록 사건번호; ","")&amp;IF(AND(업무일지!$F243="",업무일지!$H243=""),"사건번호·업무명 모두 없음; ","")&amp;IF(업무일지!$J243="","담당자 없음; ","")&amp;IF(COUNTIF(코드설정!$F$5:$F$7,업무일지!$AG243)=0,"진행상태 누락; ","")))</f>
        <v/>
      </c>
    </row>
    <row r="276">
      <c r="A276" s="26" t="inlineStr">
        <is>
          <t>업무일지</t>
        </is>
      </c>
      <c r="B276" s="66" t="n">
        <v>244</v>
      </c>
      <c r="C276" s="122">
        <f>IF($D276="","",IFERROR(TEXT(업무일지!$B244,"yyyy-mm-dd"),"(날짜없음)")&amp;"  "&amp;업무일지!$F244&amp;"  "&amp;업무일지!$H244)</f>
        <v/>
      </c>
      <c r="D276" s="122">
        <f>IF(NOT(COUNTBLANK(업무일지!$B244:$AH244)&lt;33),"",TRIM(IF(업무일지!$B244="","시작일 누락; ","")&amp;IF(업무일지!$C244="","종료일 누락; ","")&amp;IF(AND(업무일지!$B244&lt;&gt;"",업무일지!$C244&lt;&gt;"",업무일지!$C244&lt;업무일지!$B244),"종료일이 시작일보다 빠름; ","")&amp;IF(COUNTIF(코드설정!$H$5:$H$7,업무일지!$D244)=0,"직무구분 누락; ","")&amp;IF(업무일지!$E244="","세부유형 누락; ",IF(AND(업무일지!$D244&lt;&gt;"",COUNTIFS(코드설정!$A$5:$A$21,업무일지!$D244,코드설정!$B$5:$B$21,업무일지!$E244)=0),"세부유형이 직무구분과 불일치; ",""))&amp;IF(AND(업무일지!$F244&lt;&gt;"",COUNTIF(사건마스터!$A$5:$A$64,업무일지!$F244)=0),"미등록 사건번호; ","")&amp;IF(AND(업무일지!$F244="",업무일지!$H244=""),"사건번호·업무명 모두 없음; ","")&amp;IF(업무일지!$J244="","담당자 없음; ","")&amp;IF(COUNTIF(코드설정!$F$5:$F$7,업무일지!$AG244)=0,"진행상태 누락; ","")))</f>
        <v/>
      </c>
    </row>
    <row r="277">
      <c r="A277" s="26" t="inlineStr">
        <is>
          <t>업무일지</t>
        </is>
      </c>
      <c r="B277" s="66" t="n">
        <v>245</v>
      </c>
      <c r="C277" s="122">
        <f>IF($D277="","",IFERROR(TEXT(업무일지!$B245,"yyyy-mm-dd"),"(날짜없음)")&amp;"  "&amp;업무일지!$F245&amp;"  "&amp;업무일지!$H245)</f>
        <v/>
      </c>
      <c r="D277" s="122">
        <f>IF(NOT(COUNTBLANK(업무일지!$B245:$AH245)&lt;33),"",TRIM(IF(업무일지!$B245="","시작일 누락; ","")&amp;IF(업무일지!$C245="","종료일 누락; ","")&amp;IF(AND(업무일지!$B245&lt;&gt;"",업무일지!$C245&lt;&gt;"",업무일지!$C245&lt;업무일지!$B245),"종료일이 시작일보다 빠름; ","")&amp;IF(COUNTIF(코드설정!$H$5:$H$7,업무일지!$D245)=0,"직무구분 누락; ","")&amp;IF(업무일지!$E245="","세부유형 누락; ",IF(AND(업무일지!$D245&lt;&gt;"",COUNTIFS(코드설정!$A$5:$A$21,업무일지!$D245,코드설정!$B$5:$B$21,업무일지!$E245)=0),"세부유형이 직무구분과 불일치; ",""))&amp;IF(AND(업무일지!$F245&lt;&gt;"",COUNTIF(사건마스터!$A$5:$A$64,업무일지!$F245)=0),"미등록 사건번호; ","")&amp;IF(AND(업무일지!$F245="",업무일지!$H245=""),"사건번호·업무명 모두 없음; ","")&amp;IF(업무일지!$J245="","담당자 없음; ","")&amp;IF(COUNTIF(코드설정!$F$5:$F$7,업무일지!$AG245)=0,"진행상태 누락; ","")))</f>
        <v/>
      </c>
    </row>
    <row r="278">
      <c r="A278" s="26" t="inlineStr">
        <is>
          <t>업무일지</t>
        </is>
      </c>
      <c r="B278" s="66" t="n">
        <v>246</v>
      </c>
      <c r="C278" s="122">
        <f>IF($D278="","",IFERROR(TEXT(업무일지!$B246,"yyyy-mm-dd"),"(날짜없음)")&amp;"  "&amp;업무일지!$F246&amp;"  "&amp;업무일지!$H246)</f>
        <v/>
      </c>
      <c r="D278" s="122">
        <f>IF(NOT(COUNTBLANK(업무일지!$B246:$AH246)&lt;33),"",TRIM(IF(업무일지!$B246="","시작일 누락; ","")&amp;IF(업무일지!$C246="","종료일 누락; ","")&amp;IF(AND(업무일지!$B246&lt;&gt;"",업무일지!$C246&lt;&gt;"",업무일지!$C246&lt;업무일지!$B246),"종료일이 시작일보다 빠름; ","")&amp;IF(COUNTIF(코드설정!$H$5:$H$7,업무일지!$D246)=0,"직무구분 누락; ","")&amp;IF(업무일지!$E246="","세부유형 누락; ",IF(AND(업무일지!$D246&lt;&gt;"",COUNTIFS(코드설정!$A$5:$A$21,업무일지!$D246,코드설정!$B$5:$B$21,업무일지!$E246)=0),"세부유형이 직무구분과 불일치; ",""))&amp;IF(AND(업무일지!$F246&lt;&gt;"",COUNTIF(사건마스터!$A$5:$A$64,업무일지!$F246)=0),"미등록 사건번호; ","")&amp;IF(AND(업무일지!$F246="",업무일지!$H246=""),"사건번호·업무명 모두 없음; ","")&amp;IF(업무일지!$J246="","담당자 없음; ","")&amp;IF(COUNTIF(코드설정!$F$5:$F$7,업무일지!$AG246)=0,"진행상태 누락; ","")))</f>
        <v/>
      </c>
    </row>
    <row r="279">
      <c r="A279" s="26" t="inlineStr">
        <is>
          <t>업무일지</t>
        </is>
      </c>
      <c r="B279" s="66" t="n">
        <v>247</v>
      </c>
      <c r="C279" s="122">
        <f>IF($D279="","",IFERROR(TEXT(업무일지!$B247,"yyyy-mm-dd"),"(날짜없음)")&amp;"  "&amp;업무일지!$F247&amp;"  "&amp;업무일지!$H247)</f>
        <v/>
      </c>
      <c r="D279" s="122">
        <f>IF(NOT(COUNTBLANK(업무일지!$B247:$AH247)&lt;33),"",TRIM(IF(업무일지!$B247="","시작일 누락; ","")&amp;IF(업무일지!$C247="","종료일 누락; ","")&amp;IF(AND(업무일지!$B247&lt;&gt;"",업무일지!$C247&lt;&gt;"",업무일지!$C247&lt;업무일지!$B247),"종료일이 시작일보다 빠름; ","")&amp;IF(COUNTIF(코드설정!$H$5:$H$7,업무일지!$D247)=0,"직무구분 누락; ","")&amp;IF(업무일지!$E247="","세부유형 누락; ",IF(AND(업무일지!$D247&lt;&gt;"",COUNTIFS(코드설정!$A$5:$A$21,업무일지!$D247,코드설정!$B$5:$B$21,업무일지!$E247)=0),"세부유형이 직무구분과 불일치; ",""))&amp;IF(AND(업무일지!$F247&lt;&gt;"",COUNTIF(사건마스터!$A$5:$A$64,업무일지!$F247)=0),"미등록 사건번호; ","")&amp;IF(AND(업무일지!$F247="",업무일지!$H247=""),"사건번호·업무명 모두 없음; ","")&amp;IF(업무일지!$J247="","담당자 없음; ","")&amp;IF(COUNTIF(코드설정!$F$5:$F$7,업무일지!$AG247)=0,"진행상태 누락; ","")))</f>
        <v/>
      </c>
    </row>
    <row r="280">
      <c r="A280" s="26" t="inlineStr">
        <is>
          <t>업무일지</t>
        </is>
      </c>
      <c r="B280" s="66" t="n">
        <v>248</v>
      </c>
      <c r="C280" s="122">
        <f>IF($D280="","",IFERROR(TEXT(업무일지!$B248,"yyyy-mm-dd"),"(날짜없음)")&amp;"  "&amp;업무일지!$F248&amp;"  "&amp;업무일지!$H248)</f>
        <v/>
      </c>
      <c r="D280" s="122">
        <f>IF(NOT(COUNTBLANK(업무일지!$B248:$AH248)&lt;33),"",TRIM(IF(업무일지!$B248="","시작일 누락; ","")&amp;IF(업무일지!$C248="","종료일 누락; ","")&amp;IF(AND(업무일지!$B248&lt;&gt;"",업무일지!$C248&lt;&gt;"",업무일지!$C248&lt;업무일지!$B248),"종료일이 시작일보다 빠름; ","")&amp;IF(COUNTIF(코드설정!$H$5:$H$7,업무일지!$D248)=0,"직무구분 누락; ","")&amp;IF(업무일지!$E248="","세부유형 누락; ",IF(AND(업무일지!$D248&lt;&gt;"",COUNTIFS(코드설정!$A$5:$A$21,업무일지!$D248,코드설정!$B$5:$B$21,업무일지!$E248)=0),"세부유형이 직무구분과 불일치; ",""))&amp;IF(AND(업무일지!$F248&lt;&gt;"",COUNTIF(사건마스터!$A$5:$A$64,업무일지!$F248)=0),"미등록 사건번호; ","")&amp;IF(AND(업무일지!$F248="",업무일지!$H248=""),"사건번호·업무명 모두 없음; ","")&amp;IF(업무일지!$J248="","담당자 없음; ","")&amp;IF(COUNTIF(코드설정!$F$5:$F$7,업무일지!$AG248)=0,"진행상태 누락; ","")))</f>
        <v/>
      </c>
    </row>
    <row r="281">
      <c r="A281" s="26" t="inlineStr">
        <is>
          <t>업무일지</t>
        </is>
      </c>
      <c r="B281" s="66" t="n">
        <v>249</v>
      </c>
      <c r="C281" s="122">
        <f>IF($D281="","",IFERROR(TEXT(업무일지!$B249,"yyyy-mm-dd"),"(날짜없음)")&amp;"  "&amp;업무일지!$F249&amp;"  "&amp;업무일지!$H249)</f>
        <v/>
      </c>
      <c r="D281" s="122">
        <f>IF(NOT(COUNTBLANK(업무일지!$B249:$AH249)&lt;33),"",TRIM(IF(업무일지!$B249="","시작일 누락; ","")&amp;IF(업무일지!$C249="","종료일 누락; ","")&amp;IF(AND(업무일지!$B249&lt;&gt;"",업무일지!$C249&lt;&gt;"",업무일지!$C249&lt;업무일지!$B249),"종료일이 시작일보다 빠름; ","")&amp;IF(COUNTIF(코드설정!$H$5:$H$7,업무일지!$D249)=0,"직무구분 누락; ","")&amp;IF(업무일지!$E249="","세부유형 누락; ",IF(AND(업무일지!$D249&lt;&gt;"",COUNTIFS(코드설정!$A$5:$A$21,업무일지!$D249,코드설정!$B$5:$B$21,업무일지!$E249)=0),"세부유형이 직무구분과 불일치; ",""))&amp;IF(AND(업무일지!$F249&lt;&gt;"",COUNTIF(사건마스터!$A$5:$A$64,업무일지!$F249)=0),"미등록 사건번호; ","")&amp;IF(AND(업무일지!$F249="",업무일지!$H249=""),"사건번호·업무명 모두 없음; ","")&amp;IF(업무일지!$J249="","담당자 없음; ","")&amp;IF(COUNTIF(코드설정!$F$5:$F$7,업무일지!$AG249)=0,"진행상태 누락; ","")))</f>
        <v/>
      </c>
    </row>
    <row r="282">
      <c r="A282" s="26" t="inlineStr">
        <is>
          <t>업무일지</t>
        </is>
      </c>
      <c r="B282" s="66" t="n">
        <v>250</v>
      </c>
      <c r="C282" s="122">
        <f>IF($D282="","",IFERROR(TEXT(업무일지!$B250,"yyyy-mm-dd"),"(날짜없음)")&amp;"  "&amp;업무일지!$F250&amp;"  "&amp;업무일지!$H250)</f>
        <v/>
      </c>
      <c r="D282" s="122">
        <f>IF(NOT(COUNTBLANK(업무일지!$B250:$AH250)&lt;33),"",TRIM(IF(업무일지!$B250="","시작일 누락; ","")&amp;IF(업무일지!$C250="","종료일 누락; ","")&amp;IF(AND(업무일지!$B250&lt;&gt;"",업무일지!$C250&lt;&gt;"",업무일지!$C250&lt;업무일지!$B250),"종료일이 시작일보다 빠름; ","")&amp;IF(COUNTIF(코드설정!$H$5:$H$7,업무일지!$D250)=0,"직무구분 누락; ","")&amp;IF(업무일지!$E250="","세부유형 누락; ",IF(AND(업무일지!$D250&lt;&gt;"",COUNTIFS(코드설정!$A$5:$A$21,업무일지!$D250,코드설정!$B$5:$B$21,업무일지!$E250)=0),"세부유형이 직무구분과 불일치; ",""))&amp;IF(AND(업무일지!$F250&lt;&gt;"",COUNTIF(사건마스터!$A$5:$A$64,업무일지!$F250)=0),"미등록 사건번호; ","")&amp;IF(AND(업무일지!$F250="",업무일지!$H250=""),"사건번호·업무명 모두 없음; ","")&amp;IF(업무일지!$J250="","담당자 없음; ","")&amp;IF(COUNTIF(코드설정!$F$5:$F$7,업무일지!$AG250)=0,"진행상태 누락; ","")))</f>
        <v/>
      </c>
    </row>
    <row r="283">
      <c r="A283" s="26" t="inlineStr">
        <is>
          <t>업무일지</t>
        </is>
      </c>
      <c r="B283" s="66" t="n">
        <v>251</v>
      </c>
      <c r="C283" s="122">
        <f>IF($D283="","",IFERROR(TEXT(업무일지!$B251,"yyyy-mm-dd"),"(날짜없음)")&amp;"  "&amp;업무일지!$F251&amp;"  "&amp;업무일지!$H251)</f>
        <v/>
      </c>
      <c r="D283" s="122">
        <f>IF(NOT(COUNTBLANK(업무일지!$B251:$AH251)&lt;33),"",TRIM(IF(업무일지!$B251="","시작일 누락; ","")&amp;IF(업무일지!$C251="","종료일 누락; ","")&amp;IF(AND(업무일지!$B251&lt;&gt;"",업무일지!$C251&lt;&gt;"",업무일지!$C251&lt;업무일지!$B251),"종료일이 시작일보다 빠름; ","")&amp;IF(COUNTIF(코드설정!$H$5:$H$7,업무일지!$D251)=0,"직무구분 누락; ","")&amp;IF(업무일지!$E251="","세부유형 누락; ",IF(AND(업무일지!$D251&lt;&gt;"",COUNTIFS(코드설정!$A$5:$A$21,업무일지!$D251,코드설정!$B$5:$B$21,업무일지!$E251)=0),"세부유형이 직무구분과 불일치; ",""))&amp;IF(AND(업무일지!$F251&lt;&gt;"",COUNTIF(사건마스터!$A$5:$A$64,업무일지!$F251)=0),"미등록 사건번호; ","")&amp;IF(AND(업무일지!$F251="",업무일지!$H251=""),"사건번호·업무명 모두 없음; ","")&amp;IF(업무일지!$J251="","담당자 없음; ","")&amp;IF(COUNTIF(코드설정!$F$5:$F$7,업무일지!$AG251)=0,"진행상태 누락; ","")))</f>
        <v/>
      </c>
    </row>
    <row r="284">
      <c r="A284" s="26" t="inlineStr">
        <is>
          <t>업무일지</t>
        </is>
      </c>
      <c r="B284" s="66" t="n">
        <v>252</v>
      </c>
      <c r="C284" s="122">
        <f>IF($D284="","",IFERROR(TEXT(업무일지!$B252,"yyyy-mm-dd"),"(날짜없음)")&amp;"  "&amp;업무일지!$F252&amp;"  "&amp;업무일지!$H252)</f>
        <v/>
      </c>
      <c r="D284" s="122">
        <f>IF(NOT(COUNTBLANK(업무일지!$B252:$AH252)&lt;33),"",TRIM(IF(업무일지!$B252="","시작일 누락; ","")&amp;IF(업무일지!$C252="","종료일 누락; ","")&amp;IF(AND(업무일지!$B252&lt;&gt;"",업무일지!$C252&lt;&gt;"",업무일지!$C252&lt;업무일지!$B252),"종료일이 시작일보다 빠름; ","")&amp;IF(COUNTIF(코드설정!$H$5:$H$7,업무일지!$D252)=0,"직무구분 누락; ","")&amp;IF(업무일지!$E252="","세부유형 누락; ",IF(AND(업무일지!$D252&lt;&gt;"",COUNTIFS(코드설정!$A$5:$A$21,업무일지!$D252,코드설정!$B$5:$B$21,업무일지!$E252)=0),"세부유형이 직무구분과 불일치; ",""))&amp;IF(AND(업무일지!$F252&lt;&gt;"",COUNTIF(사건마스터!$A$5:$A$64,업무일지!$F252)=0),"미등록 사건번호; ","")&amp;IF(AND(업무일지!$F252="",업무일지!$H252=""),"사건번호·업무명 모두 없음; ","")&amp;IF(업무일지!$J252="","담당자 없음; ","")&amp;IF(COUNTIF(코드설정!$F$5:$F$7,업무일지!$AG252)=0,"진행상태 누락; ","")))</f>
        <v/>
      </c>
    </row>
    <row r="285">
      <c r="A285" s="26" t="inlineStr">
        <is>
          <t>업무일지</t>
        </is>
      </c>
      <c r="B285" s="66" t="n">
        <v>253</v>
      </c>
      <c r="C285" s="122">
        <f>IF($D285="","",IFERROR(TEXT(업무일지!$B253,"yyyy-mm-dd"),"(날짜없음)")&amp;"  "&amp;업무일지!$F253&amp;"  "&amp;업무일지!$H253)</f>
        <v/>
      </c>
      <c r="D285" s="122">
        <f>IF(NOT(COUNTBLANK(업무일지!$B253:$AH253)&lt;33),"",TRIM(IF(업무일지!$B253="","시작일 누락; ","")&amp;IF(업무일지!$C253="","종료일 누락; ","")&amp;IF(AND(업무일지!$B253&lt;&gt;"",업무일지!$C253&lt;&gt;"",업무일지!$C253&lt;업무일지!$B253),"종료일이 시작일보다 빠름; ","")&amp;IF(COUNTIF(코드설정!$H$5:$H$7,업무일지!$D253)=0,"직무구분 누락; ","")&amp;IF(업무일지!$E253="","세부유형 누락; ",IF(AND(업무일지!$D253&lt;&gt;"",COUNTIFS(코드설정!$A$5:$A$21,업무일지!$D253,코드설정!$B$5:$B$21,업무일지!$E253)=0),"세부유형이 직무구분과 불일치; ",""))&amp;IF(AND(업무일지!$F253&lt;&gt;"",COUNTIF(사건마스터!$A$5:$A$64,업무일지!$F253)=0),"미등록 사건번호; ","")&amp;IF(AND(업무일지!$F253="",업무일지!$H253=""),"사건번호·업무명 모두 없음; ","")&amp;IF(업무일지!$J253="","담당자 없음; ","")&amp;IF(COUNTIF(코드설정!$F$5:$F$7,업무일지!$AG253)=0,"진행상태 누락; ","")))</f>
        <v/>
      </c>
    </row>
    <row r="286">
      <c r="A286" s="26" t="inlineStr">
        <is>
          <t>업무일지</t>
        </is>
      </c>
      <c r="B286" s="66" t="n">
        <v>254</v>
      </c>
      <c r="C286" s="122">
        <f>IF($D286="","",IFERROR(TEXT(업무일지!$B254,"yyyy-mm-dd"),"(날짜없음)")&amp;"  "&amp;업무일지!$F254&amp;"  "&amp;업무일지!$H254)</f>
        <v/>
      </c>
      <c r="D286" s="122">
        <f>IF(NOT(COUNTBLANK(업무일지!$B254:$AH254)&lt;33),"",TRIM(IF(업무일지!$B254="","시작일 누락; ","")&amp;IF(업무일지!$C254="","종료일 누락; ","")&amp;IF(AND(업무일지!$B254&lt;&gt;"",업무일지!$C254&lt;&gt;"",업무일지!$C254&lt;업무일지!$B254),"종료일이 시작일보다 빠름; ","")&amp;IF(COUNTIF(코드설정!$H$5:$H$7,업무일지!$D254)=0,"직무구분 누락; ","")&amp;IF(업무일지!$E254="","세부유형 누락; ",IF(AND(업무일지!$D254&lt;&gt;"",COUNTIFS(코드설정!$A$5:$A$21,업무일지!$D254,코드설정!$B$5:$B$21,업무일지!$E254)=0),"세부유형이 직무구분과 불일치; ",""))&amp;IF(AND(업무일지!$F254&lt;&gt;"",COUNTIF(사건마스터!$A$5:$A$64,업무일지!$F254)=0),"미등록 사건번호; ","")&amp;IF(AND(업무일지!$F254="",업무일지!$H254=""),"사건번호·업무명 모두 없음; ","")&amp;IF(업무일지!$J254="","담당자 없음; ","")&amp;IF(COUNTIF(코드설정!$F$5:$F$7,업무일지!$AG254)=0,"진행상태 누락; ","")))</f>
        <v/>
      </c>
    </row>
    <row r="287">
      <c r="A287" s="26" t="inlineStr">
        <is>
          <t>업무일지</t>
        </is>
      </c>
      <c r="B287" s="66" t="n">
        <v>255</v>
      </c>
      <c r="C287" s="122">
        <f>IF($D287="","",IFERROR(TEXT(업무일지!$B255,"yyyy-mm-dd"),"(날짜없음)")&amp;"  "&amp;업무일지!$F255&amp;"  "&amp;업무일지!$H255)</f>
        <v/>
      </c>
      <c r="D287" s="122">
        <f>IF(NOT(COUNTBLANK(업무일지!$B255:$AH255)&lt;33),"",TRIM(IF(업무일지!$B255="","시작일 누락; ","")&amp;IF(업무일지!$C255="","종료일 누락; ","")&amp;IF(AND(업무일지!$B255&lt;&gt;"",업무일지!$C255&lt;&gt;"",업무일지!$C255&lt;업무일지!$B255),"종료일이 시작일보다 빠름; ","")&amp;IF(COUNTIF(코드설정!$H$5:$H$7,업무일지!$D255)=0,"직무구분 누락; ","")&amp;IF(업무일지!$E255="","세부유형 누락; ",IF(AND(업무일지!$D255&lt;&gt;"",COUNTIFS(코드설정!$A$5:$A$21,업무일지!$D255,코드설정!$B$5:$B$21,업무일지!$E255)=0),"세부유형이 직무구분과 불일치; ",""))&amp;IF(AND(업무일지!$F255&lt;&gt;"",COUNTIF(사건마스터!$A$5:$A$64,업무일지!$F255)=0),"미등록 사건번호; ","")&amp;IF(AND(업무일지!$F255="",업무일지!$H255=""),"사건번호·업무명 모두 없음; ","")&amp;IF(업무일지!$J255="","담당자 없음; ","")&amp;IF(COUNTIF(코드설정!$F$5:$F$7,업무일지!$AG255)=0,"진행상태 누락; ","")))</f>
        <v/>
      </c>
    </row>
    <row r="288">
      <c r="A288" s="26" t="inlineStr">
        <is>
          <t>업무일지</t>
        </is>
      </c>
      <c r="B288" s="66" t="n">
        <v>256</v>
      </c>
      <c r="C288" s="122">
        <f>IF($D288="","",IFERROR(TEXT(업무일지!$B256,"yyyy-mm-dd"),"(날짜없음)")&amp;"  "&amp;업무일지!$F256&amp;"  "&amp;업무일지!$H256)</f>
        <v/>
      </c>
      <c r="D288" s="122">
        <f>IF(NOT(COUNTBLANK(업무일지!$B256:$AH256)&lt;33),"",TRIM(IF(업무일지!$B256="","시작일 누락; ","")&amp;IF(업무일지!$C256="","종료일 누락; ","")&amp;IF(AND(업무일지!$B256&lt;&gt;"",업무일지!$C256&lt;&gt;"",업무일지!$C256&lt;업무일지!$B256),"종료일이 시작일보다 빠름; ","")&amp;IF(COUNTIF(코드설정!$H$5:$H$7,업무일지!$D256)=0,"직무구분 누락; ","")&amp;IF(업무일지!$E256="","세부유형 누락; ",IF(AND(업무일지!$D256&lt;&gt;"",COUNTIFS(코드설정!$A$5:$A$21,업무일지!$D256,코드설정!$B$5:$B$21,업무일지!$E256)=0),"세부유형이 직무구분과 불일치; ",""))&amp;IF(AND(업무일지!$F256&lt;&gt;"",COUNTIF(사건마스터!$A$5:$A$64,업무일지!$F256)=0),"미등록 사건번호; ","")&amp;IF(AND(업무일지!$F256="",업무일지!$H256=""),"사건번호·업무명 모두 없음; ","")&amp;IF(업무일지!$J256="","담당자 없음; ","")&amp;IF(COUNTIF(코드설정!$F$5:$F$7,업무일지!$AG256)=0,"진행상태 누락; ","")))</f>
        <v/>
      </c>
    </row>
    <row r="289">
      <c r="A289" s="26" t="inlineStr">
        <is>
          <t>업무일지</t>
        </is>
      </c>
      <c r="B289" s="66" t="n">
        <v>257</v>
      </c>
      <c r="C289" s="122">
        <f>IF($D289="","",IFERROR(TEXT(업무일지!$B257,"yyyy-mm-dd"),"(날짜없음)")&amp;"  "&amp;업무일지!$F257&amp;"  "&amp;업무일지!$H257)</f>
        <v/>
      </c>
      <c r="D289" s="122">
        <f>IF(NOT(COUNTBLANK(업무일지!$B257:$AH257)&lt;33),"",TRIM(IF(업무일지!$B257="","시작일 누락; ","")&amp;IF(업무일지!$C257="","종료일 누락; ","")&amp;IF(AND(업무일지!$B257&lt;&gt;"",업무일지!$C257&lt;&gt;"",업무일지!$C257&lt;업무일지!$B257),"종료일이 시작일보다 빠름; ","")&amp;IF(COUNTIF(코드설정!$H$5:$H$7,업무일지!$D257)=0,"직무구분 누락; ","")&amp;IF(업무일지!$E257="","세부유형 누락; ",IF(AND(업무일지!$D257&lt;&gt;"",COUNTIFS(코드설정!$A$5:$A$21,업무일지!$D257,코드설정!$B$5:$B$21,업무일지!$E257)=0),"세부유형이 직무구분과 불일치; ",""))&amp;IF(AND(업무일지!$F257&lt;&gt;"",COUNTIF(사건마스터!$A$5:$A$64,업무일지!$F257)=0),"미등록 사건번호; ","")&amp;IF(AND(업무일지!$F257="",업무일지!$H257=""),"사건번호·업무명 모두 없음; ","")&amp;IF(업무일지!$J257="","담당자 없음; ","")&amp;IF(COUNTIF(코드설정!$F$5:$F$7,업무일지!$AG257)=0,"진행상태 누락; ","")))</f>
        <v/>
      </c>
    </row>
    <row r="290">
      <c r="A290" s="26" t="inlineStr">
        <is>
          <t>업무일지</t>
        </is>
      </c>
      <c r="B290" s="66" t="n">
        <v>258</v>
      </c>
      <c r="C290" s="122">
        <f>IF($D290="","",IFERROR(TEXT(업무일지!$B258,"yyyy-mm-dd"),"(날짜없음)")&amp;"  "&amp;업무일지!$F258&amp;"  "&amp;업무일지!$H258)</f>
        <v/>
      </c>
      <c r="D290" s="122">
        <f>IF(NOT(COUNTBLANK(업무일지!$B258:$AH258)&lt;33),"",TRIM(IF(업무일지!$B258="","시작일 누락; ","")&amp;IF(업무일지!$C258="","종료일 누락; ","")&amp;IF(AND(업무일지!$B258&lt;&gt;"",업무일지!$C258&lt;&gt;"",업무일지!$C258&lt;업무일지!$B258),"종료일이 시작일보다 빠름; ","")&amp;IF(COUNTIF(코드설정!$H$5:$H$7,업무일지!$D258)=0,"직무구분 누락; ","")&amp;IF(업무일지!$E258="","세부유형 누락; ",IF(AND(업무일지!$D258&lt;&gt;"",COUNTIFS(코드설정!$A$5:$A$21,업무일지!$D258,코드설정!$B$5:$B$21,업무일지!$E258)=0),"세부유형이 직무구분과 불일치; ",""))&amp;IF(AND(업무일지!$F258&lt;&gt;"",COUNTIF(사건마스터!$A$5:$A$64,업무일지!$F258)=0),"미등록 사건번호; ","")&amp;IF(AND(업무일지!$F258="",업무일지!$H258=""),"사건번호·업무명 모두 없음; ","")&amp;IF(업무일지!$J258="","담당자 없음; ","")&amp;IF(COUNTIF(코드설정!$F$5:$F$7,업무일지!$AG258)=0,"진행상태 누락; ","")))</f>
        <v/>
      </c>
    </row>
    <row r="291">
      <c r="A291" s="26" t="inlineStr">
        <is>
          <t>업무일지</t>
        </is>
      </c>
      <c r="B291" s="66" t="n">
        <v>259</v>
      </c>
      <c r="C291" s="122">
        <f>IF($D291="","",IFERROR(TEXT(업무일지!$B259,"yyyy-mm-dd"),"(날짜없음)")&amp;"  "&amp;업무일지!$F259&amp;"  "&amp;업무일지!$H259)</f>
        <v/>
      </c>
      <c r="D291" s="122">
        <f>IF(NOT(COUNTBLANK(업무일지!$B259:$AH259)&lt;33),"",TRIM(IF(업무일지!$B259="","시작일 누락; ","")&amp;IF(업무일지!$C259="","종료일 누락; ","")&amp;IF(AND(업무일지!$B259&lt;&gt;"",업무일지!$C259&lt;&gt;"",업무일지!$C259&lt;업무일지!$B259),"종료일이 시작일보다 빠름; ","")&amp;IF(COUNTIF(코드설정!$H$5:$H$7,업무일지!$D259)=0,"직무구분 누락; ","")&amp;IF(업무일지!$E259="","세부유형 누락; ",IF(AND(업무일지!$D259&lt;&gt;"",COUNTIFS(코드설정!$A$5:$A$21,업무일지!$D259,코드설정!$B$5:$B$21,업무일지!$E259)=0),"세부유형이 직무구분과 불일치; ",""))&amp;IF(AND(업무일지!$F259&lt;&gt;"",COUNTIF(사건마스터!$A$5:$A$64,업무일지!$F259)=0),"미등록 사건번호; ","")&amp;IF(AND(업무일지!$F259="",업무일지!$H259=""),"사건번호·업무명 모두 없음; ","")&amp;IF(업무일지!$J259="","담당자 없음; ","")&amp;IF(COUNTIF(코드설정!$F$5:$F$7,업무일지!$AG259)=0,"진행상태 누락; ","")))</f>
        <v/>
      </c>
    </row>
    <row r="292">
      <c r="A292" s="26" t="inlineStr">
        <is>
          <t>업무일지</t>
        </is>
      </c>
      <c r="B292" s="66" t="n">
        <v>260</v>
      </c>
      <c r="C292" s="122">
        <f>IF($D292="","",IFERROR(TEXT(업무일지!$B260,"yyyy-mm-dd"),"(날짜없음)")&amp;"  "&amp;업무일지!$F260&amp;"  "&amp;업무일지!$H260)</f>
        <v/>
      </c>
      <c r="D292" s="122">
        <f>IF(NOT(COUNTBLANK(업무일지!$B260:$AH260)&lt;33),"",TRIM(IF(업무일지!$B260="","시작일 누락; ","")&amp;IF(업무일지!$C260="","종료일 누락; ","")&amp;IF(AND(업무일지!$B260&lt;&gt;"",업무일지!$C260&lt;&gt;"",업무일지!$C260&lt;업무일지!$B260),"종료일이 시작일보다 빠름; ","")&amp;IF(COUNTIF(코드설정!$H$5:$H$7,업무일지!$D260)=0,"직무구분 누락; ","")&amp;IF(업무일지!$E260="","세부유형 누락; ",IF(AND(업무일지!$D260&lt;&gt;"",COUNTIFS(코드설정!$A$5:$A$21,업무일지!$D260,코드설정!$B$5:$B$21,업무일지!$E260)=0),"세부유형이 직무구분과 불일치; ",""))&amp;IF(AND(업무일지!$F260&lt;&gt;"",COUNTIF(사건마스터!$A$5:$A$64,업무일지!$F260)=0),"미등록 사건번호; ","")&amp;IF(AND(업무일지!$F260="",업무일지!$H260=""),"사건번호·업무명 모두 없음; ","")&amp;IF(업무일지!$J260="","담당자 없음; ","")&amp;IF(COUNTIF(코드설정!$F$5:$F$7,업무일지!$AG260)=0,"진행상태 누락; ","")))</f>
        <v/>
      </c>
    </row>
    <row r="293">
      <c r="A293" s="26" t="inlineStr">
        <is>
          <t>업무일지</t>
        </is>
      </c>
      <c r="B293" s="66" t="n">
        <v>261</v>
      </c>
      <c r="C293" s="122">
        <f>IF($D293="","",IFERROR(TEXT(업무일지!$B261,"yyyy-mm-dd"),"(날짜없음)")&amp;"  "&amp;업무일지!$F261&amp;"  "&amp;업무일지!$H261)</f>
        <v/>
      </c>
      <c r="D293" s="122">
        <f>IF(NOT(COUNTBLANK(업무일지!$B261:$AH261)&lt;33),"",TRIM(IF(업무일지!$B261="","시작일 누락; ","")&amp;IF(업무일지!$C261="","종료일 누락; ","")&amp;IF(AND(업무일지!$B261&lt;&gt;"",업무일지!$C261&lt;&gt;"",업무일지!$C261&lt;업무일지!$B261),"종료일이 시작일보다 빠름; ","")&amp;IF(COUNTIF(코드설정!$H$5:$H$7,업무일지!$D261)=0,"직무구분 누락; ","")&amp;IF(업무일지!$E261="","세부유형 누락; ",IF(AND(업무일지!$D261&lt;&gt;"",COUNTIFS(코드설정!$A$5:$A$21,업무일지!$D261,코드설정!$B$5:$B$21,업무일지!$E261)=0),"세부유형이 직무구분과 불일치; ",""))&amp;IF(AND(업무일지!$F261&lt;&gt;"",COUNTIF(사건마스터!$A$5:$A$64,업무일지!$F261)=0),"미등록 사건번호; ","")&amp;IF(AND(업무일지!$F261="",업무일지!$H261=""),"사건번호·업무명 모두 없음; ","")&amp;IF(업무일지!$J261="","담당자 없음; ","")&amp;IF(COUNTIF(코드설정!$F$5:$F$7,업무일지!$AG261)=0,"진행상태 누락; ","")))</f>
        <v/>
      </c>
    </row>
    <row r="294">
      <c r="A294" s="26" t="inlineStr">
        <is>
          <t>업무일지</t>
        </is>
      </c>
      <c r="B294" s="66" t="n">
        <v>262</v>
      </c>
      <c r="C294" s="122">
        <f>IF($D294="","",IFERROR(TEXT(업무일지!$B262,"yyyy-mm-dd"),"(날짜없음)")&amp;"  "&amp;업무일지!$F262&amp;"  "&amp;업무일지!$H262)</f>
        <v/>
      </c>
      <c r="D294" s="122">
        <f>IF(NOT(COUNTBLANK(업무일지!$B262:$AH262)&lt;33),"",TRIM(IF(업무일지!$B262="","시작일 누락; ","")&amp;IF(업무일지!$C262="","종료일 누락; ","")&amp;IF(AND(업무일지!$B262&lt;&gt;"",업무일지!$C262&lt;&gt;"",업무일지!$C262&lt;업무일지!$B262),"종료일이 시작일보다 빠름; ","")&amp;IF(COUNTIF(코드설정!$H$5:$H$7,업무일지!$D262)=0,"직무구분 누락; ","")&amp;IF(업무일지!$E262="","세부유형 누락; ",IF(AND(업무일지!$D262&lt;&gt;"",COUNTIFS(코드설정!$A$5:$A$21,업무일지!$D262,코드설정!$B$5:$B$21,업무일지!$E262)=0),"세부유형이 직무구분과 불일치; ",""))&amp;IF(AND(업무일지!$F262&lt;&gt;"",COUNTIF(사건마스터!$A$5:$A$64,업무일지!$F262)=0),"미등록 사건번호; ","")&amp;IF(AND(업무일지!$F262="",업무일지!$H262=""),"사건번호·업무명 모두 없음; ","")&amp;IF(업무일지!$J262="","담당자 없음; ","")&amp;IF(COUNTIF(코드설정!$F$5:$F$7,업무일지!$AG262)=0,"진행상태 누락; ","")))</f>
        <v/>
      </c>
    </row>
    <row r="295">
      <c r="A295" s="26" t="inlineStr">
        <is>
          <t>업무일지</t>
        </is>
      </c>
      <c r="B295" s="66" t="n">
        <v>263</v>
      </c>
      <c r="C295" s="122">
        <f>IF($D295="","",IFERROR(TEXT(업무일지!$B263,"yyyy-mm-dd"),"(날짜없음)")&amp;"  "&amp;업무일지!$F263&amp;"  "&amp;업무일지!$H263)</f>
        <v/>
      </c>
      <c r="D295" s="122">
        <f>IF(NOT(COUNTBLANK(업무일지!$B263:$AH263)&lt;33),"",TRIM(IF(업무일지!$B263="","시작일 누락; ","")&amp;IF(업무일지!$C263="","종료일 누락; ","")&amp;IF(AND(업무일지!$B263&lt;&gt;"",업무일지!$C263&lt;&gt;"",업무일지!$C263&lt;업무일지!$B263),"종료일이 시작일보다 빠름; ","")&amp;IF(COUNTIF(코드설정!$H$5:$H$7,업무일지!$D263)=0,"직무구분 누락; ","")&amp;IF(업무일지!$E263="","세부유형 누락; ",IF(AND(업무일지!$D263&lt;&gt;"",COUNTIFS(코드설정!$A$5:$A$21,업무일지!$D263,코드설정!$B$5:$B$21,업무일지!$E263)=0),"세부유형이 직무구분과 불일치; ",""))&amp;IF(AND(업무일지!$F263&lt;&gt;"",COUNTIF(사건마스터!$A$5:$A$64,업무일지!$F263)=0),"미등록 사건번호; ","")&amp;IF(AND(업무일지!$F263="",업무일지!$H263=""),"사건번호·업무명 모두 없음; ","")&amp;IF(업무일지!$J263="","담당자 없음; ","")&amp;IF(COUNTIF(코드설정!$F$5:$F$7,업무일지!$AG263)=0,"진행상태 누락; ","")))</f>
        <v/>
      </c>
    </row>
    <row r="296">
      <c r="A296" s="26" t="inlineStr">
        <is>
          <t>업무일지</t>
        </is>
      </c>
      <c r="B296" s="66" t="n">
        <v>264</v>
      </c>
      <c r="C296" s="122">
        <f>IF($D296="","",IFERROR(TEXT(업무일지!$B264,"yyyy-mm-dd"),"(날짜없음)")&amp;"  "&amp;업무일지!$F264&amp;"  "&amp;업무일지!$H264)</f>
        <v/>
      </c>
      <c r="D296" s="122">
        <f>IF(NOT(COUNTBLANK(업무일지!$B264:$AH264)&lt;33),"",TRIM(IF(업무일지!$B264="","시작일 누락; ","")&amp;IF(업무일지!$C264="","종료일 누락; ","")&amp;IF(AND(업무일지!$B264&lt;&gt;"",업무일지!$C264&lt;&gt;"",업무일지!$C264&lt;업무일지!$B264),"종료일이 시작일보다 빠름; ","")&amp;IF(COUNTIF(코드설정!$H$5:$H$7,업무일지!$D264)=0,"직무구분 누락; ","")&amp;IF(업무일지!$E264="","세부유형 누락; ",IF(AND(업무일지!$D264&lt;&gt;"",COUNTIFS(코드설정!$A$5:$A$21,업무일지!$D264,코드설정!$B$5:$B$21,업무일지!$E264)=0),"세부유형이 직무구분과 불일치; ",""))&amp;IF(AND(업무일지!$F264&lt;&gt;"",COUNTIF(사건마스터!$A$5:$A$64,업무일지!$F264)=0),"미등록 사건번호; ","")&amp;IF(AND(업무일지!$F264="",업무일지!$H264=""),"사건번호·업무명 모두 없음; ","")&amp;IF(업무일지!$J264="","담당자 없음; ","")&amp;IF(COUNTIF(코드설정!$F$5:$F$7,업무일지!$AG264)=0,"진행상태 누락; ","")))</f>
        <v/>
      </c>
    </row>
    <row r="297">
      <c r="A297" s="26" t="inlineStr">
        <is>
          <t>업무일지</t>
        </is>
      </c>
      <c r="B297" s="66" t="n">
        <v>265</v>
      </c>
      <c r="C297" s="122">
        <f>IF($D297="","",IFERROR(TEXT(업무일지!$B265,"yyyy-mm-dd"),"(날짜없음)")&amp;"  "&amp;업무일지!$F265&amp;"  "&amp;업무일지!$H265)</f>
        <v/>
      </c>
      <c r="D297" s="122">
        <f>IF(NOT(COUNTBLANK(업무일지!$B265:$AH265)&lt;33),"",TRIM(IF(업무일지!$B265="","시작일 누락; ","")&amp;IF(업무일지!$C265="","종료일 누락; ","")&amp;IF(AND(업무일지!$B265&lt;&gt;"",업무일지!$C265&lt;&gt;"",업무일지!$C265&lt;업무일지!$B265),"종료일이 시작일보다 빠름; ","")&amp;IF(COUNTIF(코드설정!$H$5:$H$7,업무일지!$D265)=0,"직무구분 누락; ","")&amp;IF(업무일지!$E265="","세부유형 누락; ",IF(AND(업무일지!$D265&lt;&gt;"",COUNTIFS(코드설정!$A$5:$A$21,업무일지!$D265,코드설정!$B$5:$B$21,업무일지!$E265)=0),"세부유형이 직무구분과 불일치; ",""))&amp;IF(AND(업무일지!$F265&lt;&gt;"",COUNTIF(사건마스터!$A$5:$A$64,업무일지!$F265)=0),"미등록 사건번호; ","")&amp;IF(AND(업무일지!$F265="",업무일지!$H265=""),"사건번호·업무명 모두 없음; ","")&amp;IF(업무일지!$J265="","담당자 없음; ","")&amp;IF(COUNTIF(코드설정!$F$5:$F$7,업무일지!$AG265)=0,"진행상태 누락; ","")))</f>
        <v/>
      </c>
    </row>
    <row r="298">
      <c r="A298" s="26" t="inlineStr">
        <is>
          <t>업무일지</t>
        </is>
      </c>
      <c r="B298" s="66" t="n">
        <v>266</v>
      </c>
      <c r="C298" s="122">
        <f>IF($D298="","",IFERROR(TEXT(업무일지!$B266,"yyyy-mm-dd"),"(날짜없음)")&amp;"  "&amp;업무일지!$F266&amp;"  "&amp;업무일지!$H266)</f>
        <v/>
      </c>
      <c r="D298" s="122">
        <f>IF(NOT(COUNTBLANK(업무일지!$B266:$AH266)&lt;33),"",TRIM(IF(업무일지!$B266="","시작일 누락; ","")&amp;IF(업무일지!$C266="","종료일 누락; ","")&amp;IF(AND(업무일지!$B266&lt;&gt;"",업무일지!$C266&lt;&gt;"",업무일지!$C266&lt;업무일지!$B266),"종료일이 시작일보다 빠름; ","")&amp;IF(COUNTIF(코드설정!$H$5:$H$7,업무일지!$D266)=0,"직무구분 누락; ","")&amp;IF(업무일지!$E266="","세부유형 누락; ",IF(AND(업무일지!$D266&lt;&gt;"",COUNTIFS(코드설정!$A$5:$A$21,업무일지!$D266,코드설정!$B$5:$B$21,업무일지!$E266)=0),"세부유형이 직무구분과 불일치; ",""))&amp;IF(AND(업무일지!$F266&lt;&gt;"",COUNTIF(사건마스터!$A$5:$A$64,업무일지!$F266)=0),"미등록 사건번호; ","")&amp;IF(AND(업무일지!$F266="",업무일지!$H266=""),"사건번호·업무명 모두 없음; ","")&amp;IF(업무일지!$J266="","담당자 없음; ","")&amp;IF(COUNTIF(코드설정!$F$5:$F$7,업무일지!$AG266)=0,"진행상태 누락; ","")))</f>
        <v/>
      </c>
    </row>
    <row r="299">
      <c r="A299" s="26" t="inlineStr">
        <is>
          <t>업무일지</t>
        </is>
      </c>
      <c r="B299" s="66" t="n">
        <v>267</v>
      </c>
      <c r="C299" s="122">
        <f>IF($D299="","",IFERROR(TEXT(업무일지!$B267,"yyyy-mm-dd"),"(날짜없음)")&amp;"  "&amp;업무일지!$F267&amp;"  "&amp;업무일지!$H267)</f>
        <v/>
      </c>
      <c r="D299" s="122">
        <f>IF(NOT(COUNTBLANK(업무일지!$B267:$AH267)&lt;33),"",TRIM(IF(업무일지!$B267="","시작일 누락; ","")&amp;IF(업무일지!$C267="","종료일 누락; ","")&amp;IF(AND(업무일지!$B267&lt;&gt;"",업무일지!$C267&lt;&gt;"",업무일지!$C267&lt;업무일지!$B267),"종료일이 시작일보다 빠름; ","")&amp;IF(COUNTIF(코드설정!$H$5:$H$7,업무일지!$D267)=0,"직무구분 누락; ","")&amp;IF(업무일지!$E267="","세부유형 누락; ",IF(AND(업무일지!$D267&lt;&gt;"",COUNTIFS(코드설정!$A$5:$A$21,업무일지!$D267,코드설정!$B$5:$B$21,업무일지!$E267)=0),"세부유형이 직무구분과 불일치; ",""))&amp;IF(AND(업무일지!$F267&lt;&gt;"",COUNTIF(사건마스터!$A$5:$A$64,업무일지!$F267)=0),"미등록 사건번호; ","")&amp;IF(AND(업무일지!$F267="",업무일지!$H267=""),"사건번호·업무명 모두 없음; ","")&amp;IF(업무일지!$J267="","담당자 없음; ","")&amp;IF(COUNTIF(코드설정!$F$5:$F$7,업무일지!$AG267)=0,"진행상태 누락; ","")))</f>
        <v/>
      </c>
    </row>
    <row r="300">
      <c r="A300" s="26" t="inlineStr">
        <is>
          <t>업무일지</t>
        </is>
      </c>
      <c r="B300" s="66" t="n">
        <v>268</v>
      </c>
      <c r="C300" s="122">
        <f>IF($D300="","",IFERROR(TEXT(업무일지!$B268,"yyyy-mm-dd"),"(날짜없음)")&amp;"  "&amp;업무일지!$F268&amp;"  "&amp;업무일지!$H268)</f>
        <v/>
      </c>
      <c r="D300" s="122">
        <f>IF(NOT(COUNTBLANK(업무일지!$B268:$AH268)&lt;33),"",TRIM(IF(업무일지!$B268="","시작일 누락; ","")&amp;IF(업무일지!$C268="","종료일 누락; ","")&amp;IF(AND(업무일지!$B268&lt;&gt;"",업무일지!$C268&lt;&gt;"",업무일지!$C268&lt;업무일지!$B268),"종료일이 시작일보다 빠름; ","")&amp;IF(COUNTIF(코드설정!$H$5:$H$7,업무일지!$D268)=0,"직무구분 누락; ","")&amp;IF(업무일지!$E268="","세부유형 누락; ",IF(AND(업무일지!$D268&lt;&gt;"",COUNTIFS(코드설정!$A$5:$A$21,업무일지!$D268,코드설정!$B$5:$B$21,업무일지!$E268)=0),"세부유형이 직무구분과 불일치; ",""))&amp;IF(AND(업무일지!$F268&lt;&gt;"",COUNTIF(사건마스터!$A$5:$A$64,업무일지!$F268)=0),"미등록 사건번호; ","")&amp;IF(AND(업무일지!$F268="",업무일지!$H268=""),"사건번호·업무명 모두 없음; ","")&amp;IF(업무일지!$J268="","담당자 없음; ","")&amp;IF(COUNTIF(코드설정!$F$5:$F$7,업무일지!$AG268)=0,"진행상태 누락; ","")))</f>
        <v/>
      </c>
    </row>
    <row r="301">
      <c r="A301" s="26" t="inlineStr">
        <is>
          <t>업무일지</t>
        </is>
      </c>
      <c r="B301" s="66" t="n">
        <v>269</v>
      </c>
      <c r="C301" s="122">
        <f>IF($D301="","",IFERROR(TEXT(업무일지!$B269,"yyyy-mm-dd"),"(날짜없음)")&amp;"  "&amp;업무일지!$F269&amp;"  "&amp;업무일지!$H269)</f>
        <v/>
      </c>
      <c r="D301" s="122">
        <f>IF(NOT(COUNTBLANK(업무일지!$B269:$AH269)&lt;33),"",TRIM(IF(업무일지!$B269="","시작일 누락; ","")&amp;IF(업무일지!$C269="","종료일 누락; ","")&amp;IF(AND(업무일지!$B269&lt;&gt;"",업무일지!$C269&lt;&gt;"",업무일지!$C269&lt;업무일지!$B269),"종료일이 시작일보다 빠름; ","")&amp;IF(COUNTIF(코드설정!$H$5:$H$7,업무일지!$D269)=0,"직무구분 누락; ","")&amp;IF(업무일지!$E269="","세부유형 누락; ",IF(AND(업무일지!$D269&lt;&gt;"",COUNTIFS(코드설정!$A$5:$A$21,업무일지!$D269,코드설정!$B$5:$B$21,업무일지!$E269)=0),"세부유형이 직무구분과 불일치; ",""))&amp;IF(AND(업무일지!$F269&lt;&gt;"",COUNTIF(사건마스터!$A$5:$A$64,업무일지!$F269)=0),"미등록 사건번호; ","")&amp;IF(AND(업무일지!$F269="",업무일지!$H269=""),"사건번호·업무명 모두 없음; ","")&amp;IF(업무일지!$J269="","담당자 없음; ","")&amp;IF(COUNTIF(코드설정!$F$5:$F$7,업무일지!$AG269)=0,"진행상태 누락; ","")))</f>
        <v/>
      </c>
    </row>
    <row r="302">
      <c r="A302" s="26" t="inlineStr">
        <is>
          <t>업무일지</t>
        </is>
      </c>
      <c r="B302" s="66" t="n">
        <v>270</v>
      </c>
      <c r="C302" s="122">
        <f>IF($D302="","",IFERROR(TEXT(업무일지!$B270,"yyyy-mm-dd"),"(날짜없음)")&amp;"  "&amp;업무일지!$F270&amp;"  "&amp;업무일지!$H270)</f>
        <v/>
      </c>
      <c r="D302" s="122">
        <f>IF(NOT(COUNTBLANK(업무일지!$B270:$AH270)&lt;33),"",TRIM(IF(업무일지!$B270="","시작일 누락; ","")&amp;IF(업무일지!$C270="","종료일 누락; ","")&amp;IF(AND(업무일지!$B270&lt;&gt;"",업무일지!$C270&lt;&gt;"",업무일지!$C270&lt;업무일지!$B270),"종료일이 시작일보다 빠름; ","")&amp;IF(COUNTIF(코드설정!$H$5:$H$7,업무일지!$D270)=0,"직무구분 누락; ","")&amp;IF(업무일지!$E270="","세부유형 누락; ",IF(AND(업무일지!$D270&lt;&gt;"",COUNTIFS(코드설정!$A$5:$A$21,업무일지!$D270,코드설정!$B$5:$B$21,업무일지!$E270)=0),"세부유형이 직무구분과 불일치; ",""))&amp;IF(AND(업무일지!$F270&lt;&gt;"",COUNTIF(사건마스터!$A$5:$A$64,업무일지!$F270)=0),"미등록 사건번호; ","")&amp;IF(AND(업무일지!$F270="",업무일지!$H270=""),"사건번호·업무명 모두 없음; ","")&amp;IF(업무일지!$J270="","담당자 없음; ","")&amp;IF(COUNTIF(코드설정!$F$5:$F$7,업무일지!$AG270)=0,"진행상태 누락; ","")))</f>
        <v/>
      </c>
    </row>
    <row r="303">
      <c r="A303" s="26" t="inlineStr">
        <is>
          <t>업무일지</t>
        </is>
      </c>
      <c r="B303" s="66" t="n">
        <v>271</v>
      </c>
      <c r="C303" s="122">
        <f>IF($D303="","",IFERROR(TEXT(업무일지!$B271,"yyyy-mm-dd"),"(날짜없음)")&amp;"  "&amp;업무일지!$F271&amp;"  "&amp;업무일지!$H271)</f>
        <v/>
      </c>
      <c r="D303" s="122">
        <f>IF(NOT(COUNTBLANK(업무일지!$B271:$AH271)&lt;33),"",TRIM(IF(업무일지!$B271="","시작일 누락; ","")&amp;IF(업무일지!$C271="","종료일 누락; ","")&amp;IF(AND(업무일지!$B271&lt;&gt;"",업무일지!$C271&lt;&gt;"",업무일지!$C271&lt;업무일지!$B271),"종료일이 시작일보다 빠름; ","")&amp;IF(COUNTIF(코드설정!$H$5:$H$7,업무일지!$D271)=0,"직무구분 누락; ","")&amp;IF(업무일지!$E271="","세부유형 누락; ",IF(AND(업무일지!$D271&lt;&gt;"",COUNTIFS(코드설정!$A$5:$A$21,업무일지!$D271,코드설정!$B$5:$B$21,업무일지!$E271)=0),"세부유형이 직무구분과 불일치; ",""))&amp;IF(AND(업무일지!$F271&lt;&gt;"",COUNTIF(사건마스터!$A$5:$A$64,업무일지!$F271)=0),"미등록 사건번호; ","")&amp;IF(AND(업무일지!$F271="",업무일지!$H271=""),"사건번호·업무명 모두 없음; ","")&amp;IF(업무일지!$J271="","담당자 없음; ","")&amp;IF(COUNTIF(코드설정!$F$5:$F$7,업무일지!$AG271)=0,"진행상태 누락; ","")))</f>
        <v/>
      </c>
    </row>
    <row r="304">
      <c r="A304" s="26" t="inlineStr">
        <is>
          <t>업무일지</t>
        </is>
      </c>
      <c r="B304" s="66" t="n">
        <v>272</v>
      </c>
      <c r="C304" s="122">
        <f>IF($D304="","",IFERROR(TEXT(업무일지!$B272,"yyyy-mm-dd"),"(날짜없음)")&amp;"  "&amp;업무일지!$F272&amp;"  "&amp;업무일지!$H272)</f>
        <v/>
      </c>
      <c r="D304" s="122">
        <f>IF(NOT(COUNTBLANK(업무일지!$B272:$AH272)&lt;33),"",TRIM(IF(업무일지!$B272="","시작일 누락; ","")&amp;IF(업무일지!$C272="","종료일 누락; ","")&amp;IF(AND(업무일지!$B272&lt;&gt;"",업무일지!$C272&lt;&gt;"",업무일지!$C272&lt;업무일지!$B272),"종료일이 시작일보다 빠름; ","")&amp;IF(COUNTIF(코드설정!$H$5:$H$7,업무일지!$D272)=0,"직무구분 누락; ","")&amp;IF(업무일지!$E272="","세부유형 누락; ",IF(AND(업무일지!$D272&lt;&gt;"",COUNTIFS(코드설정!$A$5:$A$21,업무일지!$D272,코드설정!$B$5:$B$21,업무일지!$E272)=0),"세부유형이 직무구분과 불일치; ",""))&amp;IF(AND(업무일지!$F272&lt;&gt;"",COUNTIF(사건마스터!$A$5:$A$64,업무일지!$F272)=0),"미등록 사건번호; ","")&amp;IF(AND(업무일지!$F272="",업무일지!$H272=""),"사건번호·업무명 모두 없음; ","")&amp;IF(업무일지!$J272="","담당자 없음; ","")&amp;IF(COUNTIF(코드설정!$F$5:$F$7,업무일지!$AG272)=0,"진행상태 누락; ","")))</f>
        <v/>
      </c>
    </row>
    <row r="305">
      <c r="A305" s="26" t="inlineStr">
        <is>
          <t>업무일지</t>
        </is>
      </c>
      <c r="B305" s="66" t="n">
        <v>273</v>
      </c>
      <c r="C305" s="122">
        <f>IF($D305="","",IFERROR(TEXT(업무일지!$B273,"yyyy-mm-dd"),"(날짜없음)")&amp;"  "&amp;업무일지!$F273&amp;"  "&amp;업무일지!$H273)</f>
        <v/>
      </c>
      <c r="D305" s="122">
        <f>IF(NOT(COUNTBLANK(업무일지!$B273:$AH273)&lt;33),"",TRIM(IF(업무일지!$B273="","시작일 누락; ","")&amp;IF(업무일지!$C273="","종료일 누락; ","")&amp;IF(AND(업무일지!$B273&lt;&gt;"",업무일지!$C273&lt;&gt;"",업무일지!$C273&lt;업무일지!$B273),"종료일이 시작일보다 빠름; ","")&amp;IF(COUNTIF(코드설정!$H$5:$H$7,업무일지!$D273)=0,"직무구분 누락; ","")&amp;IF(업무일지!$E273="","세부유형 누락; ",IF(AND(업무일지!$D273&lt;&gt;"",COUNTIFS(코드설정!$A$5:$A$21,업무일지!$D273,코드설정!$B$5:$B$21,업무일지!$E273)=0),"세부유형이 직무구분과 불일치; ",""))&amp;IF(AND(업무일지!$F273&lt;&gt;"",COUNTIF(사건마스터!$A$5:$A$64,업무일지!$F273)=0),"미등록 사건번호; ","")&amp;IF(AND(업무일지!$F273="",업무일지!$H273=""),"사건번호·업무명 모두 없음; ","")&amp;IF(업무일지!$J273="","담당자 없음; ","")&amp;IF(COUNTIF(코드설정!$F$5:$F$7,업무일지!$AG273)=0,"진행상태 누락; ","")))</f>
        <v/>
      </c>
    </row>
    <row r="306">
      <c r="A306" s="26" t="inlineStr">
        <is>
          <t>업무일지</t>
        </is>
      </c>
      <c r="B306" s="66" t="n">
        <v>274</v>
      </c>
      <c r="C306" s="122">
        <f>IF($D306="","",IFERROR(TEXT(업무일지!$B274,"yyyy-mm-dd"),"(날짜없음)")&amp;"  "&amp;업무일지!$F274&amp;"  "&amp;업무일지!$H274)</f>
        <v/>
      </c>
      <c r="D306" s="122">
        <f>IF(NOT(COUNTBLANK(업무일지!$B274:$AH274)&lt;33),"",TRIM(IF(업무일지!$B274="","시작일 누락; ","")&amp;IF(업무일지!$C274="","종료일 누락; ","")&amp;IF(AND(업무일지!$B274&lt;&gt;"",업무일지!$C274&lt;&gt;"",업무일지!$C274&lt;업무일지!$B274),"종료일이 시작일보다 빠름; ","")&amp;IF(COUNTIF(코드설정!$H$5:$H$7,업무일지!$D274)=0,"직무구분 누락; ","")&amp;IF(업무일지!$E274="","세부유형 누락; ",IF(AND(업무일지!$D274&lt;&gt;"",COUNTIFS(코드설정!$A$5:$A$21,업무일지!$D274,코드설정!$B$5:$B$21,업무일지!$E274)=0),"세부유형이 직무구분과 불일치; ",""))&amp;IF(AND(업무일지!$F274&lt;&gt;"",COUNTIF(사건마스터!$A$5:$A$64,업무일지!$F274)=0),"미등록 사건번호; ","")&amp;IF(AND(업무일지!$F274="",업무일지!$H274=""),"사건번호·업무명 모두 없음; ","")&amp;IF(업무일지!$J274="","담당자 없음; ","")&amp;IF(COUNTIF(코드설정!$F$5:$F$7,업무일지!$AG274)=0,"진행상태 누락; ","")))</f>
        <v/>
      </c>
    </row>
    <row r="307">
      <c r="A307" s="26" t="inlineStr">
        <is>
          <t>업무일지</t>
        </is>
      </c>
      <c r="B307" s="66" t="n">
        <v>275</v>
      </c>
      <c r="C307" s="122">
        <f>IF($D307="","",IFERROR(TEXT(업무일지!$B275,"yyyy-mm-dd"),"(날짜없음)")&amp;"  "&amp;업무일지!$F275&amp;"  "&amp;업무일지!$H275)</f>
        <v/>
      </c>
      <c r="D307" s="122">
        <f>IF(NOT(COUNTBLANK(업무일지!$B275:$AH275)&lt;33),"",TRIM(IF(업무일지!$B275="","시작일 누락; ","")&amp;IF(업무일지!$C275="","종료일 누락; ","")&amp;IF(AND(업무일지!$B275&lt;&gt;"",업무일지!$C275&lt;&gt;"",업무일지!$C275&lt;업무일지!$B275),"종료일이 시작일보다 빠름; ","")&amp;IF(COUNTIF(코드설정!$H$5:$H$7,업무일지!$D275)=0,"직무구분 누락; ","")&amp;IF(업무일지!$E275="","세부유형 누락; ",IF(AND(업무일지!$D275&lt;&gt;"",COUNTIFS(코드설정!$A$5:$A$21,업무일지!$D275,코드설정!$B$5:$B$21,업무일지!$E275)=0),"세부유형이 직무구분과 불일치; ",""))&amp;IF(AND(업무일지!$F275&lt;&gt;"",COUNTIF(사건마스터!$A$5:$A$64,업무일지!$F275)=0),"미등록 사건번호; ","")&amp;IF(AND(업무일지!$F275="",업무일지!$H275=""),"사건번호·업무명 모두 없음; ","")&amp;IF(업무일지!$J275="","담당자 없음; ","")&amp;IF(COUNTIF(코드설정!$F$5:$F$7,업무일지!$AG275)=0,"진행상태 누락; ","")))</f>
        <v/>
      </c>
    </row>
    <row r="308">
      <c r="A308" s="26" t="inlineStr">
        <is>
          <t>업무일지</t>
        </is>
      </c>
      <c r="B308" s="66" t="n">
        <v>276</v>
      </c>
      <c r="C308" s="122">
        <f>IF($D308="","",IFERROR(TEXT(업무일지!$B276,"yyyy-mm-dd"),"(날짜없음)")&amp;"  "&amp;업무일지!$F276&amp;"  "&amp;업무일지!$H276)</f>
        <v/>
      </c>
      <c r="D308" s="122">
        <f>IF(NOT(COUNTBLANK(업무일지!$B276:$AH276)&lt;33),"",TRIM(IF(업무일지!$B276="","시작일 누락; ","")&amp;IF(업무일지!$C276="","종료일 누락; ","")&amp;IF(AND(업무일지!$B276&lt;&gt;"",업무일지!$C276&lt;&gt;"",업무일지!$C276&lt;업무일지!$B276),"종료일이 시작일보다 빠름; ","")&amp;IF(COUNTIF(코드설정!$H$5:$H$7,업무일지!$D276)=0,"직무구분 누락; ","")&amp;IF(업무일지!$E276="","세부유형 누락; ",IF(AND(업무일지!$D276&lt;&gt;"",COUNTIFS(코드설정!$A$5:$A$21,업무일지!$D276,코드설정!$B$5:$B$21,업무일지!$E276)=0),"세부유형이 직무구분과 불일치; ",""))&amp;IF(AND(업무일지!$F276&lt;&gt;"",COUNTIF(사건마스터!$A$5:$A$64,업무일지!$F276)=0),"미등록 사건번호; ","")&amp;IF(AND(업무일지!$F276="",업무일지!$H276=""),"사건번호·업무명 모두 없음; ","")&amp;IF(업무일지!$J276="","담당자 없음; ","")&amp;IF(COUNTIF(코드설정!$F$5:$F$7,업무일지!$AG276)=0,"진행상태 누락; ","")))</f>
        <v/>
      </c>
    </row>
    <row r="309">
      <c r="A309" s="26" t="inlineStr">
        <is>
          <t>업무일지</t>
        </is>
      </c>
      <c r="B309" s="66" t="n">
        <v>277</v>
      </c>
      <c r="C309" s="122">
        <f>IF($D309="","",IFERROR(TEXT(업무일지!$B277,"yyyy-mm-dd"),"(날짜없음)")&amp;"  "&amp;업무일지!$F277&amp;"  "&amp;업무일지!$H277)</f>
        <v/>
      </c>
      <c r="D309" s="122">
        <f>IF(NOT(COUNTBLANK(업무일지!$B277:$AH277)&lt;33),"",TRIM(IF(업무일지!$B277="","시작일 누락; ","")&amp;IF(업무일지!$C277="","종료일 누락; ","")&amp;IF(AND(업무일지!$B277&lt;&gt;"",업무일지!$C277&lt;&gt;"",업무일지!$C277&lt;업무일지!$B277),"종료일이 시작일보다 빠름; ","")&amp;IF(COUNTIF(코드설정!$H$5:$H$7,업무일지!$D277)=0,"직무구분 누락; ","")&amp;IF(업무일지!$E277="","세부유형 누락; ",IF(AND(업무일지!$D277&lt;&gt;"",COUNTIFS(코드설정!$A$5:$A$21,업무일지!$D277,코드설정!$B$5:$B$21,업무일지!$E277)=0),"세부유형이 직무구분과 불일치; ",""))&amp;IF(AND(업무일지!$F277&lt;&gt;"",COUNTIF(사건마스터!$A$5:$A$64,업무일지!$F277)=0),"미등록 사건번호; ","")&amp;IF(AND(업무일지!$F277="",업무일지!$H277=""),"사건번호·업무명 모두 없음; ","")&amp;IF(업무일지!$J277="","담당자 없음; ","")&amp;IF(COUNTIF(코드설정!$F$5:$F$7,업무일지!$AG277)=0,"진행상태 누락; ","")))</f>
        <v/>
      </c>
    </row>
    <row r="310">
      <c r="A310" s="26" t="inlineStr">
        <is>
          <t>업무일지</t>
        </is>
      </c>
      <c r="B310" s="66" t="n">
        <v>278</v>
      </c>
      <c r="C310" s="122">
        <f>IF($D310="","",IFERROR(TEXT(업무일지!$B278,"yyyy-mm-dd"),"(날짜없음)")&amp;"  "&amp;업무일지!$F278&amp;"  "&amp;업무일지!$H278)</f>
        <v/>
      </c>
      <c r="D310" s="122">
        <f>IF(NOT(COUNTBLANK(업무일지!$B278:$AH278)&lt;33),"",TRIM(IF(업무일지!$B278="","시작일 누락; ","")&amp;IF(업무일지!$C278="","종료일 누락; ","")&amp;IF(AND(업무일지!$B278&lt;&gt;"",업무일지!$C278&lt;&gt;"",업무일지!$C278&lt;업무일지!$B278),"종료일이 시작일보다 빠름; ","")&amp;IF(COUNTIF(코드설정!$H$5:$H$7,업무일지!$D278)=0,"직무구분 누락; ","")&amp;IF(업무일지!$E278="","세부유형 누락; ",IF(AND(업무일지!$D278&lt;&gt;"",COUNTIFS(코드설정!$A$5:$A$21,업무일지!$D278,코드설정!$B$5:$B$21,업무일지!$E278)=0),"세부유형이 직무구분과 불일치; ",""))&amp;IF(AND(업무일지!$F278&lt;&gt;"",COUNTIF(사건마스터!$A$5:$A$64,업무일지!$F278)=0),"미등록 사건번호; ","")&amp;IF(AND(업무일지!$F278="",업무일지!$H278=""),"사건번호·업무명 모두 없음; ","")&amp;IF(업무일지!$J278="","담당자 없음; ","")&amp;IF(COUNTIF(코드설정!$F$5:$F$7,업무일지!$AG278)=0,"진행상태 누락; ","")))</f>
        <v/>
      </c>
    </row>
    <row r="311">
      <c r="A311" s="26" t="inlineStr">
        <is>
          <t>업무일지</t>
        </is>
      </c>
      <c r="B311" s="66" t="n">
        <v>279</v>
      </c>
      <c r="C311" s="122">
        <f>IF($D311="","",IFERROR(TEXT(업무일지!$B279,"yyyy-mm-dd"),"(날짜없음)")&amp;"  "&amp;업무일지!$F279&amp;"  "&amp;업무일지!$H279)</f>
        <v/>
      </c>
      <c r="D311" s="122">
        <f>IF(NOT(COUNTBLANK(업무일지!$B279:$AH279)&lt;33),"",TRIM(IF(업무일지!$B279="","시작일 누락; ","")&amp;IF(업무일지!$C279="","종료일 누락; ","")&amp;IF(AND(업무일지!$B279&lt;&gt;"",업무일지!$C279&lt;&gt;"",업무일지!$C279&lt;업무일지!$B279),"종료일이 시작일보다 빠름; ","")&amp;IF(COUNTIF(코드설정!$H$5:$H$7,업무일지!$D279)=0,"직무구분 누락; ","")&amp;IF(업무일지!$E279="","세부유형 누락; ",IF(AND(업무일지!$D279&lt;&gt;"",COUNTIFS(코드설정!$A$5:$A$21,업무일지!$D279,코드설정!$B$5:$B$21,업무일지!$E279)=0),"세부유형이 직무구분과 불일치; ",""))&amp;IF(AND(업무일지!$F279&lt;&gt;"",COUNTIF(사건마스터!$A$5:$A$64,업무일지!$F279)=0),"미등록 사건번호; ","")&amp;IF(AND(업무일지!$F279="",업무일지!$H279=""),"사건번호·업무명 모두 없음; ","")&amp;IF(업무일지!$J279="","담당자 없음; ","")&amp;IF(COUNTIF(코드설정!$F$5:$F$7,업무일지!$AG279)=0,"진행상태 누락; ","")))</f>
        <v/>
      </c>
    </row>
    <row r="312">
      <c r="A312" s="26" t="inlineStr">
        <is>
          <t>업무일지</t>
        </is>
      </c>
      <c r="B312" s="66" t="n">
        <v>280</v>
      </c>
      <c r="C312" s="122">
        <f>IF($D312="","",IFERROR(TEXT(업무일지!$B280,"yyyy-mm-dd"),"(날짜없음)")&amp;"  "&amp;업무일지!$F280&amp;"  "&amp;업무일지!$H280)</f>
        <v/>
      </c>
      <c r="D312" s="122">
        <f>IF(NOT(COUNTBLANK(업무일지!$B280:$AH280)&lt;33),"",TRIM(IF(업무일지!$B280="","시작일 누락; ","")&amp;IF(업무일지!$C280="","종료일 누락; ","")&amp;IF(AND(업무일지!$B280&lt;&gt;"",업무일지!$C280&lt;&gt;"",업무일지!$C280&lt;업무일지!$B280),"종료일이 시작일보다 빠름; ","")&amp;IF(COUNTIF(코드설정!$H$5:$H$7,업무일지!$D280)=0,"직무구분 누락; ","")&amp;IF(업무일지!$E280="","세부유형 누락; ",IF(AND(업무일지!$D280&lt;&gt;"",COUNTIFS(코드설정!$A$5:$A$21,업무일지!$D280,코드설정!$B$5:$B$21,업무일지!$E280)=0),"세부유형이 직무구분과 불일치; ",""))&amp;IF(AND(업무일지!$F280&lt;&gt;"",COUNTIF(사건마스터!$A$5:$A$64,업무일지!$F280)=0),"미등록 사건번호; ","")&amp;IF(AND(업무일지!$F280="",업무일지!$H280=""),"사건번호·업무명 모두 없음; ","")&amp;IF(업무일지!$J280="","담당자 없음; ","")&amp;IF(COUNTIF(코드설정!$F$5:$F$7,업무일지!$AG280)=0,"진행상태 누락; ","")))</f>
        <v/>
      </c>
    </row>
    <row r="313">
      <c r="A313" s="26" t="inlineStr">
        <is>
          <t>업무일지</t>
        </is>
      </c>
      <c r="B313" s="66" t="n">
        <v>281</v>
      </c>
      <c r="C313" s="122">
        <f>IF($D313="","",IFERROR(TEXT(업무일지!$B281,"yyyy-mm-dd"),"(날짜없음)")&amp;"  "&amp;업무일지!$F281&amp;"  "&amp;업무일지!$H281)</f>
        <v/>
      </c>
      <c r="D313" s="122">
        <f>IF(NOT(COUNTBLANK(업무일지!$B281:$AH281)&lt;33),"",TRIM(IF(업무일지!$B281="","시작일 누락; ","")&amp;IF(업무일지!$C281="","종료일 누락; ","")&amp;IF(AND(업무일지!$B281&lt;&gt;"",업무일지!$C281&lt;&gt;"",업무일지!$C281&lt;업무일지!$B281),"종료일이 시작일보다 빠름; ","")&amp;IF(COUNTIF(코드설정!$H$5:$H$7,업무일지!$D281)=0,"직무구분 누락; ","")&amp;IF(업무일지!$E281="","세부유형 누락; ",IF(AND(업무일지!$D281&lt;&gt;"",COUNTIFS(코드설정!$A$5:$A$21,업무일지!$D281,코드설정!$B$5:$B$21,업무일지!$E281)=0),"세부유형이 직무구분과 불일치; ",""))&amp;IF(AND(업무일지!$F281&lt;&gt;"",COUNTIF(사건마스터!$A$5:$A$64,업무일지!$F281)=0),"미등록 사건번호; ","")&amp;IF(AND(업무일지!$F281="",업무일지!$H281=""),"사건번호·업무명 모두 없음; ","")&amp;IF(업무일지!$J281="","담당자 없음; ","")&amp;IF(COUNTIF(코드설정!$F$5:$F$7,업무일지!$AG281)=0,"진행상태 누락; ","")))</f>
        <v/>
      </c>
    </row>
    <row r="314">
      <c r="A314" s="26" t="inlineStr">
        <is>
          <t>업무일지</t>
        </is>
      </c>
      <c r="B314" s="66" t="n">
        <v>282</v>
      </c>
      <c r="C314" s="122">
        <f>IF($D314="","",IFERROR(TEXT(업무일지!$B282,"yyyy-mm-dd"),"(날짜없음)")&amp;"  "&amp;업무일지!$F282&amp;"  "&amp;업무일지!$H282)</f>
        <v/>
      </c>
      <c r="D314" s="122">
        <f>IF(NOT(COUNTBLANK(업무일지!$B282:$AH282)&lt;33),"",TRIM(IF(업무일지!$B282="","시작일 누락; ","")&amp;IF(업무일지!$C282="","종료일 누락; ","")&amp;IF(AND(업무일지!$B282&lt;&gt;"",업무일지!$C282&lt;&gt;"",업무일지!$C282&lt;업무일지!$B282),"종료일이 시작일보다 빠름; ","")&amp;IF(COUNTIF(코드설정!$H$5:$H$7,업무일지!$D282)=0,"직무구분 누락; ","")&amp;IF(업무일지!$E282="","세부유형 누락; ",IF(AND(업무일지!$D282&lt;&gt;"",COUNTIFS(코드설정!$A$5:$A$21,업무일지!$D282,코드설정!$B$5:$B$21,업무일지!$E282)=0),"세부유형이 직무구분과 불일치; ",""))&amp;IF(AND(업무일지!$F282&lt;&gt;"",COUNTIF(사건마스터!$A$5:$A$64,업무일지!$F282)=0),"미등록 사건번호; ","")&amp;IF(AND(업무일지!$F282="",업무일지!$H282=""),"사건번호·업무명 모두 없음; ","")&amp;IF(업무일지!$J282="","담당자 없음; ","")&amp;IF(COUNTIF(코드설정!$F$5:$F$7,업무일지!$AG282)=0,"진행상태 누락; ","")))</f>
        <v/>
      </c>
    </row>
    <row r="315">
      <c r="A315" s="26" t="inlineStr">
        <is>
          <t>업무일지</t>
        </is>
      </c>
      <c r="B315" s="66" t="n">
        <v>283</v>
      </c>
      <c r="C315" s="122">
        <f>IF($D315="","",IFERROR(TEXT(업무일지!$B283,"yyyy-mm-dd"),"(날짜없음)")&amp;"  "&amp;업무일지!$F283&amp;"  "&amp;업무일지!$H283)</f>
        <v/>
      </c>
      <c r="D315" s="122">
        <f>IF(NOT(COUNTBLANK(업무일지!$B283:$AH283)&lt;33),"",TRIM(IF(업무일지!$B283="","시작일 누락; ","")&amp;IF(업무일지!$C283="","종료일 누락; ","")&amp;IF(AND(업무일지!$B283&lt;&gt;"",업무일지!$C283&lt;&gt;"",업무일지!$C283&lt;업무일지!$B283),"종료일이 시작일보다 빠름; ","")&amp;IF(COUNTIF(코드설정!$H$5:$H$7,업무일지!$D283)=0,"직무구분 누락; ","")&amp;IF(업무일지!$E283="","세부유형 누락; ",IF(AND(업무일지!$D283&lt;&gt;"",COUNTIFS(코드설정!$A$5:$A$21,업무일지!$D283,코드설정!$B$5:$B$21,업무일지!$E283)=0),"세부유형이 직무구분과 불일치; ",""))&amp;IF(AND(업무일지!$F283&lt;&gt;"",COUNTIF(사건마스터!$A$5:$A$64,업무일지!$F283)=0),"미등록 사건번호; ","")&amp;IF(AND(업무일지!$F283="",업무일지!$H283=""),"사건번호·업무명 모두 없음; ","")&amp;IF(업무일지!$J283="","담당자 없음; ","")&amp;IF(COUNTIF(코드설정!$F$5:$F$7,업무일지!$AG283)=0,"진행상태 누락; ","")))</f>
        <v/>
      </c>
    </row>
    <row r="316">
      <c r="A316" s="26" t="inlineStr">
        <is>
          <t>업무일지</t>
        </is>
      </c>
      <c r="B316" s="66" t="n">
        <v>284</v>
      </c>
      <c r="C316" s="122">
        <f>IF($D316="","",IFERROR(TEXT(업무일지!$B284,"yyyy-mm-dd"),"(날짜없음)")&amp;"  "&amp;업무일지!$F284&amp;"  "&amp;업무일지!$H284)</f>
        <v/>
      </c>
      <c r="D316" s="122">
        <f>IF(NOT(COUNTBLANK(업무일지!$B284:$AH284)&lt;33),"",TRIM(IF(업무일지!$B284="","시작일 누락; ","")&amp;IF(업무일지!$C284="","종료일 누락; ","")&amp;IF(AND(업무일지!$B284&lt;&gt;"",업무일지!$C284&lt;&gt;"",업무일지!$C284&lt;업무일지!$B284),"종료일이 시작일보다 빠름; ","")&amp;IF(COUNTIF(코드설정!$H$5:$H$7,업무일지!$D284)=0,"직무구분 누락; ","")&amp;IF(업무일지!$E284="","세부유형 누락; ",IF(AND(업무일지!$D284&lt;&gt;"",COUNTIFS(코드설정!$A$5:$A$21,업무일지!$D284,코드설정!$B$5:$B$21,업무일지!$E284)=0),"세부유형이 직무구분과 불일치; ",""))&amp;IF(AND(업무일지!$F284&lt;&gt;"",COUNTIF(사건마스터!$A$5:$A$64,업무일지!$F284)=0),"미등록 사건번호; ","")&amp;IF(AND(업무일지!$F284="",업무일지!$H284=""),"사건번호·업무명 모두 없음; ","")&amp;IF(업무일지!$J284="","담당자 없음; ","")&amp;IF(COUNTIF(코드설정!$F$5:$F$7,업무일지!$AG284)=0,"진행상태 누락; ","")))</f>
        <v/>
      </c>
    </row>
    <row r="317">
      <c r="A317" s="26" t="inlineStr">
        <is>
          <t>업무일지</t>
        </is>
      </c>
      <c r="B317" s="66" t="n">
        <v>285</v>
      </c>
      <c r="C317" s="122">
        <f>IF($D317="","",IFERROR(TEXT(업무일지!$B285,"yyyy-mm-dd"),"(날짜없음)")&amp;"  "&amp;업무일지!$F285&amp;"  "&amp;업무일지!$H285)</f>
        <v/>
      </c>
      <c r="D317" s="122">
        <f>IF(NOT(COUNTBLANK(업무일지!$B285:$AH285)&lt;33),"",TRIM(IF(업무일지!$B285="","시작일 누락; ","")&amp;IF(업무일지!$C285="","종료일 누락; ","")&amp;IF(AND(업무일지!$B285&lt;&gt;"",업무일지!$C285&lt;&gt;"",업무일지!$C285&lt;업무일지!$B285),"종료일이 시작일보다 빠름; ","")&amp;IF(COUNTIF(코드설정!$H$5:$H$7,업무일지!$D285)=0,"직무구분 누락; ","")&amp;IF(업무일지!$E285="","세부유형 누락; ",IF(AND(업무일지!$D285&lt;&gt;"",COUNTIFS(코드설정!$A$5:$A$21,업무일지!$D285,코드설정!$B$5:$B$21,업무일지!$E285)=0),"세부유형이 직무구분과 불일치; ",""))&amp;IF(AND(업무일지!$F285&lt;&gt;"",COUNTIF(사건마스터!$A$5:$A$64,업무일지!$F285)=0),"미등록 사건번호; ","")&amp;IF(AND(업무일지!$F285="",업무일지!$H285=""),"사건번호·업무명 모두 없음; ","")&amp;IF(업무일지!$J285="","담당자 없음; ","")&amp;IF(COUNTIF(코드설정!$F$5:$F$7,업무일지!$AG285)=0,"진행상태 누락; ","")))</f>
        <v/>
      </c>
    </row>
    <row r="318">
      <c r="A318" s="26" t="inlineStr">
        <is>
          <t>업무일지</t>
        </is>
      </c>
      <c r="B318" s="66" t="n">
        <v>286</v>
      </c>
      <c r="C318" s="122">
        <f>IF($D318="","",IFERROR(TEXT(업무일지!$B286,"yyyy-mm-dd"),"(날짜없음)")&amp;"  "&amp;업무일지!$F286&amp;"  "&amp;업무일지!$H286)</f>
        <v/>
      </c>
      <c r="D318" s="122">
        <f>IF(NOT(COUNTBLANK(업무일지!$B286:$AH286)&lt;33),"",TRIM(IF(업무일지!$B286="","시작일 누락; ","")&amp;IF(업무일지!$C286="","종료일 누락; ","")&amp;IF(AND(업무일지!$B286&lt;&gt;"",업무일지!$C286&lt;&gt;"",업무일지!$C286&lt;업무일지!$B286),"종료일이 시작일보다 빠름; ","")&amp;IF(COUNTIF(코드설정!$H$5:$H$7,업무일지!$D286)=0,"직무구분 누락; ","")&amp;IF(업무일지!$E286="","세부유형 누락; ",IF(AND(업무일지!$D286&lt;&gt;"",COUNTIFS(코드설정!$A$5:$A$21,업무일지!$D286,코드설정!$B$5:$B$21,업무일지!$E286)=0),"세부유형이 직무구분과 불일치; ",""))&amp;IF(AND(업무일지!$F286&lt;&gt;"",COUNTIF(사건마스터!$A$5:$A$64,업무일지!$F286)=0),"미등록 사건번호; ","")&amp;IF(AND(업무일지!$F286="",업무일지!$H286=""),"사건번호·업무명 모두 없음; ","")&amp;IF(업무일지!$J286="","담당자 없음; ","")&amp;IF(COUNTIF(코드설정!$F$5:$F$7,업무일지!$AG286)=0,"진행상태 누락; ","")))</f>
        <v/>
      </c>
    </row>
    <row r="319">
      <c r="A319" s="26" t="inlineStr">
        <is>
          <t>업무일지</t>
        </is>
      </c>
      <c r="B319" s="66" t="n">
        <v>287</v>
      </c>
      <c r="C319" s="122">
        <f>IF($D319="","",IFERROR(TEXT(업무일지!$B287,"yyyy-mm-dd"),"(날짜없음)")&amp;"  "&amp;업무일지!$F287&amp;"  "&amp;업무일지!$H287)</f>
        <v/>
      </c>
      <c r="D319" s="122">
        <f>IF(NOT(COUNTBLANK(업무일지!$B287:$AH287)&lt;33),"",TRIM(IF(업무일지!$B287="","시작일 누락; ","")&amp;IF(업무일지!$C287="","종료일 누락; ","")&amp;IF(AND(업무일지!$B287&lt;&gt;"",업무일지!$C287&lt;&gt;"",업무일지!$C287&lt;업무일지!$B287),"종료일이 시작일보다 빠름; ","")&amp;IF(COUNTIF(코드설정!$H$5:$H$7,업무일지!$D287)=0,"직무구분 누락; ","")&amp;IF(업무일지!$E287="","세부유형 누락; ",IF(AND(업무일지!$D287&lt;&gt;"",COUNTIFS(코드설정!$A$5:$A$21,업무일지!$D287,코드설정!$B$5:$B$21,업무일지!$E287)=0),"세부유형이 직무구분과 불일치; ",""))&amp;IF(AND(업무일지!$F287&lt;&gt;"",COUNTIF(사건마스터!$A$5:$A$64,업무일지!$F287)=0),"미등록 사건번호; ","")&amp;IF(AND(업무일지!$F287="",업무일지!$H287=""),"사건번호·업무명 모두 없음; ","")&amp;IF(업무일지!$J287="","담당자 없음; ","")&amp;IF(COUNTIF(코드설정!$F$5:$F$7,업무일지!$AG287)=0,"진행상태 누락; ","")))</f>
        <v/>
      </c>
    </row>
    <row r="320">
      <c r="A320" s="26" t="inlineStr">
        <is>
          <t>업무일지</t>
        </is>
      </c>
      <c r="B320" s="66" t="n">
        <v>288</v>
      </c>
      <c r="C320" s="122">
        <f>IF($D320="","",IFERROR(TEXT(업무일지!$B288,"yyyy-mm-dd"),"(날짜없음)")&amp;"  "&amp;업무일지!$F288&amp;"  "&amp;업무일지!$H288)</f>
        <v/>
      </c>
      <c r="D320" s="122">
        <f>IF(NOT(COUNTBLANK(업무일지!$B288:$AH288)&lt;33),"",TRIM(IF(업무일지!$B288="","시작일 누락; ","")&amp;IF(업무일지!$C288="","종료일 누락; ","")&amp;IF(AND(업무일지!$B288&lt;&gt;"",업무일지!$C288&lt;&gt;"",업무일지!$C288&lt;업무일지!$B288),"종료일이 시작일보다 빠름; ","")&amp;IF(COUNTIF(코드설정!$H$5:$H$7,업무일지!$D288)=0,"직무구분 누락; ","")&amp;IF(업무일지!$E288="","세부유형 누락; ",IF(AND(업무일지!$D288&lt;&gt;"",COUNTIFS(코드설정!$A$5:$A$21,업무일지!$D288,코드설정!$B$5:$B$21,업무일지!$E288)=0),"세부유형이 직무구분과 불일치; ",""))&amp;IF(AND(업무일지!$F288&lt;&gt;"",COUNTIF(사건마스터!$A$5:$A$64,업무일지!$F288)=0),"미등록 사건번호; ","")&amp;IF(AND(업무일지!$F288="",업무일지!$H288=""),"사건번호·업무명 모두 없음; ","")&amp;IF(업무일지!$J288="","담당자 없음; ","")&amp;IF(COUNTIF(코드설정!$F$5:$F$7,업무일지!$AG288)=0,"진행상태 누락; ","")))</f>
        <v/>
      </c>
    </row>
    <row r="321">
      <c r="A321" s="26" t="inlineStr">
        <is>
          <t>업무일지</t>
        </is>
      </c>
      <c r="B321" s="66" t="n">
        <v>289</v>
      </c>
      <c r="C321" s="122">
        <f>IF($D321="","",IFERROR(TEXT(업무일지!$B289,"yyyy-mm-dd"),"(날짜없음)")&amp;"  "&amp;업무일지!$F289&amp;"  "&amp;업무일지!$H289)</f>
        <v/>
      </c>
      <c r="D321" s="122">
        <f>IF(NOT(COUNTBLANK(업무일지!$B289:$AH289)&lt;33),"",TRIM(IF(업무일지!$B289="","시작일 누락; ","")&amp;IF(업무일지!$C289="","종료일 누락; ","")&amp;IF(AND(업무일지!$B289&lt;&gt;"",업무일지!$C289&lt;&gt;"",업무일지!$C289&lt;업무일지!$B289),"종료일이 시작일보다 빠름; ","")&amp;IF(COUNTIF(코드설정!$H$5:$H$7,업무일지!$D289)=0,"직무구분 누락; ","")&amp;IF(업무일지!$E289="","세부유형 누락; ",IF(AND(업무일지!$D289&lt;&gt;"",COUNTIFS(코드설정!$A$5:$A$21,업무일지!$D289,코드설정!$B$5:$B$21,업무일지!$E289)=0),"세부유형이 직무구분과 불일치; ",""))&amp;IF(AND(업무일지!$F289&lt;&gt;"",COUNTIF(사건마스터!$A$5:$A$64,업무일지!$F289)=0),"미등록 사건번호; ","")&amp;IF(AND(업무일지!$F289="",업무일지!$H289=""),"사건번호·업무명 모두 없음; ","")&amp;IF(업무일지!$J289="","담당자 없음; ","")&amp;IF(COUNTIF(코드설정!$F$5:$F$7,업무일지!$AG289)=0,"진행상태 누락; ","")))</f>
        <v/>
      </c>
    </row>
    <row r="322">
      <c r="A322" s="26" t="inlineStr">
        <is>
          <t>업무일지</t>
        </is>
      </c>
      <c r="B322" s="66" t="n">
        <v>290</v>
      </c>
      <c r="C322" s="122">
        <f>IF($D322="","",IFERROR(TEXT(업무일지!$B290,"yyyy-mm-dd"),"(날짜없음)")&amp;"  "&amp;업무일지!$F290&amp;"  "&amp;업무일지!$H290)</f>
        <v/>
      </c>
      <c r="D322" s="122">
        <f>IF(NOT(COUNTBLANK(업무일지!$B290:$AH290)&lt;33),"",TRIM(IF(업무일지!$B290="","시작일 누락; ","")&amp;IF(업무일지!$C290="","종료일 누락; ","")&amp;IF(AND(업무일지!$B290&lt;&gt;"",업무일지!$C290&lt;&gt;"",업무일지!$C290&lt;업무일지!$B290),"종료일이 시작일보다 빠름; ","")&amp;IF(COUNTIF(코드설정!$H$5:$H$7,업무일지!$D290)=0,"직무구분 누락; ","")&amp;IF(업무일지!$E290="","세부유형 누락; ",IF(AND(업무일지!$D290&lt;&gt;"",COUNTIFS(코드설정!$A$5:$A$21,업무일지!$D290,코드설정!$B$5:$B$21,업무일지!$E290)=0),"세부유형이 직무구분과 불일치; ",""))&amp;IF(AND(업무일지!$F290&lt;&gt;"",COUNTIF(사건마스터!$A$5:$A$64,업무일지!$F290)=0),"미등록 사건번호; ","")&amp;IF(AND(업무일지!$F290="",업무일지!$H290=""),"사건번호·업무명 모두 없음; ","")&amp;IF(업무일지!$J290="","담당자 없음; ","")&amp;IF(COUNTIF(코드설정!$F$5:$F$7,업무일지!$AG290)=0,"진행상태 누락; ","")))</f>
        <v/>
      </c>
    </row>
    <row r="323">
      <c r="A323" s="26" t="inlineStr">
        <is>
          <t>업무일지</t>
        </is>
      </c>
      <c r="B323" s="66" t="n">
        <v>291</v>
      </c>
      <c r="C323" s="122">
        <f>IF($D323="","",IFERROR(TEXT(업무일지!$B291,"yyyy-mm-dd"),"(날짜없음)")&amp;"  "&amp;업무일지!$F291&amp;"  "&amp;업무일지!$H291)</f>
        <v/>
      </c>
      <c r="D323" s="122">
        <f>IF(NOT(COUNTBLANK(업무일지!$B291:$AH291)&lt;33),"",TRIM(IF(업무일지!$B291="","시작일 누락; ","")&amp;IF(업무일지!$C291="","종료일 누락; ","")&amp;IF(AND(업무일지!$B291&lt;&gt;"",업무일지!$C291&lt;&gt;"",업무일지!$C291&lt;업무일지!$B291),"종료일이 시작일보다 빠름; ","")&amp;IF(COUNTIF(코드설정!$H$5:$H$7,업무일지!$D291)=0,"직무구분 누락; ","")&amp;IF(업무일지!$E291="","세부유형 누락; ",IF(AND(업무일지!$D291&lt;&gt;"",COUNTIFS(코드설정!$A$5:$A$21,업무일지!$D291,코드설정!$B$5:$B$21,업무일지!$E291)=0),"세부유형이 직무구분과 불일치; ",""))&amp;IF(AND(업무일지!$F291&lt;&gt;"",COUNTIF(사건마스터!$A$5:$A$64,업무일지!$F291)=0),"미등록 사건번호; ","")&amp;IF(AND(업무일지!$F291="",업무일지!$H291=""),"사건번호·업무명 모두 없음; ","")&amp;IF(업무일지!$J291="","담당자 없음; ","")&amp;IF(COUNTIF(코드설정!$F$5:$F$7,업무일지!$AG291)=0,"진행상태 누락; ","")))</f>
        <v/>
      </c>
    </row>
    <row r="324">
      <c r="A324" s="26" t="inlineStr">
        <is>
          <t>업무일지</t>
        </is>
      </c>
      <c r="B324" s="66" t="n">
        <v>292</v>
      </c>
      <c r="C324" s="122">
        <f>IF($D324="","",IFERROR(TEXT(업무일지!$B292,"yyyy-mm-dd"),"(날짜없음)")&amp;"  "&amp;업무일지!$F292&amp;"  "&amp;업무일지!$H292)</f>
        <v/>
      </c>
      <c r="D324" s="122">
        <f>IF(NOT(COUNTBLANK(업무일지!$B292:$AH292)&lt;33),"",TRIM(IF(업무일지!$B292="","시작일 누락; ","")&amp;IF(업무일지!$C292="","종료일 누락; ","")&amp;IF(AND(업무일지!$B292&lt;&gt;"",업무일지!$C292&lt;&gt;"",업무일지!$C292&lt;업무일지!$B292),"종료일이 시작일보다 빠름; ","")&amp;IF(COUNTIF(코드설정!$H$5:$H$7,업무일지!$D292)=0,"직무구분 누락; ","")&amp;IF(업무일지!$E292="","세부유형 누락; ",IF(AND(업무일지!$D292&lt;&gt;"",COUNTIFS(코드설정!$A$5:$A$21,업무일지!$D292,코드설정!$B$5:$B$21,업무일지!$E292)=0),"세부유형이 직무구분과 불일치; ",""))&amp;IF(AND(업무일지!$F292&lt;&gt;"",COUNTIF(사건마스터!$A$5:$A$64,업무일지!$F292)=0),"미등록 사건번호; ","")&amp;IF(AND(업무일지!$F292="",업무일지!$H292=""),"사건번호·업무명 모두 없음; ","")&amp;IF(업무일지!$J292="","담당자 없음; ","")&amp;IF(COUNTIF(코드설정!$F$5:$F$7,업무일지!$AG292)=0,"진행상태 누락; ","")))</f>
        <v/>
      </c>
    </row>
    <row r="325">
      <c r="A325" s="26" t="inlineStr">
        <is>
          <t>업무일지</t>
        </is>
      </c>
      <c r="B325" s="66" t="n">
        <v>293</v>
      </c>
      <c r="C325" s="122">
        <f>IF($D325="","",IFERROR(TEXT(업무일지!$B293,"yyyy-mm-dd"),"(날짜없음)")&amp;"  "&amp;업무일지!$F293&amp;"  "&amp;업무일지!$H293)</f>
        <v/>
      </c>
      <c r="D325" s="122">
        <f>IF(NOT(COUNTBLANK(업무일지!$B293:$AH293)&lt;33),"",TRIM(IF(업무일지!$B293="","시작일 누락; ","")&amp;IF(업무일지!$C293="","종료일 누락; ","")&amp;IF(AND(업무일지!$B293&lt;&gt;"",업무일지!$C293&lt;&gt;"",업무일지!$C293&lt;업무일지!$B293),"종료일이 시작일보다 빠름; ","")&amp;IF(COUNTIF(코드설정!$H$5:$H$7,업무일지!$D293)=0,"직무구분 누락; ","")&amp;IF(업무일지!$E293="","세부유형 누락; ",IF(AND(업무일지!$D293&lt;&gt;"",COUNTIFS(코드설정!$A$5:$A$21,업무일지!$D293,코드설정!$B$5:$B$21,업무일지!$E293)=0),"세부유형이 직무구분과 불일치; ",""))&amp;IF(AND(업무일지!$F293&lt;&gt;"",COUNTIF(사건마스터!$A$5:$A$64,업무일지!$F293)=0),"미등록 사건번호; ","")&amp;IF(AND(업무일지!$F293="",업무일지!$H293=""),"사건번호·업무명 모두 없음; ","")&amp;IF(업무일지!$J293="","담당자 없음; ","")&amp;IF(COUNTIF(코드설정!$F$5:$F$7,업무일지!$AG293)=0,"진행상태 누락; ","")))</f>
        <v/>
      </c>
    </row>
    <row r="326">
      <c r="A326" s="26" t="inlineStr">
        <is>
          <t>업무일지</t>
        </is>
      </c>
      <c r="B326" s="66" t="n">
        <v>294</v>
      </c>
      <c r="C326" s="122">
        <f>IF($D326="","",IFERROR(TEXT(업무일지!$B294,"yyyy-mm-dd"),"(날짜없음)")&amp;"  "&amp;업무일지!$F294&amp;"  "&amp;업무일지!$H294)</f>
        <v/>
      </c>
      <c r="D326" s="122">
        <f>IF(NOT(COUNTBLANK(업무일지!$B294:$AH294)&lt;33),"",TRIM(IF(업무일지!$B294="","시작일 누락; ","")&amp;IF(업무일지!$C294="","종료일 누락; ","")&amp;IF(AND(업무일지!$B294&lt;&gt;"",업무일지!$C294&lt;&gt;"",업무일지!$C294&lt;업무일지!$B294),"종료일이 시작일보다 빠름; ","")&amp;IF(COUNTIF(코드설정!$H$5:$H$7,업무일지!$D294)=0,"직무구분 누락; ","")&amp;IF(업무일지!$E294="","세부유형 누락; ",IF(AND(업무일지!$D294&lt;&gt;"",COUNTIFS(코드설정!$A$5:$A$21,업무일지!$D294,코드설정!$B$5:$B$21,업무일지!$E294)=0),"세부유형이 직무구분과 불일치; ",""))&amp;IF(AND(업무일지!$F294&lt;&gt;"",COUNTIF(사건마스터!$A$5:$A$64,업무일지!$F294)=0),"미등록 사건번호; ","")&amp;IF(AND(업무일지!$F294="",업무일지!$H294=""),"사건번호·업무명 모두 없음; ","")&amp;IF(업무일지!$J294="","담당자 없음; ","")&amp;IF(COUNTIF(코드설정!$F$5:$F$7,업무일지!$AG294)=0,"진행상태 누락; ","")))</f>
        <v/>
      </c>
    </row>
    <row r="327">
      <c r="A327" s="26" t="inlineStr">
        <is>
          <t>업무일지</t>
        </is>
      </c>
      <c r="B327" s="66" t="n">
        <v>295</v>
      </c>
      <c r="C327" s="122">
        <f>IF($D327="","",IFERROR(TEXT(업무일지!$B295,"yyyy-mm-dd"),"(날짜없음)")&amp;"  "&amp;업무일지!$F295&amp;"  "&amp;업무일지!$H295)</f>
        <v/>
      </c>
      <c r="D327" s="122">
        <f>IF(NOT(COUNTBLANK(업무일지!$B295:$AH295)&lt;33),"",TRIM(IF(업무일지!$B295="","시작일 누락; ","")&amp;IF(업무일지!$C295="","종료일 누락; ","")&amp;IF(AND(업무일지!$B295&lt;&gt;"",업무일지!$C295&lt;&gt;"",업무일지!$C295&lt;업무일지!$B295),"종료일이 시작일보다 빠름; ","")&amp;IF(COUNTIF(코드설정!$H$5:$H$7,업무일지!$D295)=0,"직무구분 누락; ","")&amp;IF(업무일지!$E295="","세부유형 누락; ",IF(AND(업무일지!$D295&lt;&gt;"",COUNTIFS(코드설정!$A$5:$A$21,업무일지!$D295,코드설정!$B$5:$B$21,업무일지!$E295)=0),"세부유형이 직무구분과 불일치; ",""))&amp;IF(AND(업무일지!$F295&lt;&gt;"",COUNTIF(사건마스터!$A$5:$A$64,업무일지!$F295)=0),"미등록 사건번호; ","")&amp;IF(AND(업무일지!$F295="",업무일지!$H295=""),"사건번호·업무명 모두 없음; ","")&amp;IF(업무일지!$J295="","담당자 없음; ","")&amp;IF(COUNTIF(코드설정!$F$5:$F$7,업무일지!$AG295)=0,"진행상태 누락; ","")))</f>
        <v/>
      </c>
    </row>
    <row r="328">
      <c r="A328" s="26" t="inlineStr">
        <is>
          <t>업무일지</t>
        </is>
      </c>
      <c r="B328" s="66" t="n">
        <v>296</v>
      </c>
      <c r="C328" s="122">
        <f>IF($D328="","",IFERROR(TEXT(업무일지!$B296,"yyyy-mm-dd"),"(날짜없음)")&amp;"  "&amp;업무일지!$F296&amp;"  "&amp;업무일지!$H296)</f>
        <v/>
      </c>
      <c r="D328" s="122">
        <f>IF(NOT(COUNTBLANK(업무일지!$B296:$AH296)&lt;33),"",TRIM(IF(업무일지!$B296="","시작일 누락; ","")&amp;IF(업무일지!$C296="","종료일 누락; ","")&amp;IF(AND(업무일지!$B296&lt;&gt;"",업무일지!$C296&lt;&gt;"",업무일지!$C296&lt;업무일지!$B296),"종료일이 시작일보다 빠름; ","")&amp;IF(COUNTIF(코드설정!$H$5:$H$7,업무일지!$D296)=0,"직무구분 누락; ","")&amp;IF(업무일지!$E296="","세부유형 누락; ",IF(AND(업무일지!$D296&lt;&gt;"",COUNTIFS(코드설정!$A$5:$A$21,업무일지!$D296,코드설정!$B$5:$B$21,업무일지!$E296)=0),"세부유형이 직무구분과 불일치; ",""))&amp;IF(AND(업무일지!$F296&lt;&gt;"",COUNTIF(사건마스터!$A$5:$A$64,업무일지!$F296)=0),"미등록 사건번호; ","")&amp;IF(AND(업무일지!$F296="",업무일지!$H296=""),"사건번호·업무명 모두 없음; ","")&amp;IF(업무일지!$J296="","담당자 없음; ","")&amp;IF(COUNTIF(코드설정!$F$5:$F$7,업무일지!$AG296)=0,"진행상태 누락; ","")))</f>
        <v/>
      </c>
    </row>
    <row r="329">
      <c r="A329" s="26" t="inlineStr">
        <is>
          <t>업무일지</t>
        </is>
      </c>
      <c r="B329" s="66" t="n">
        <v>297</v>
      </c>
      <c r="C329" s="122">
        <f>IF($D329="","",IFERROR(TEXT(업무일지!$B297,"yyyy-mm-dd"),"(날짜없음)")&amp;"  "&amp;업무일지!$F297&amp;"  "&amp;업무일지!$H297)</f>
        <v/>
      </c>
      <c r="D329" s="122">
        <f>IF(NOT(COUNTBLANK(업무일지!$B297:$AH297)&lt;33),"",TRIM(IF(업무일지!$B297="","시작일 누락; ","")&amp;IF(업무일지!$C297="","종료일 누락; ","")&amp;IF(AND(업무일지!$B297&lt;&gt;"",업무일지!$C297&lt;&gt;"",업무일지!$C297&lt;업무일지!$B297),"종료일이 시작일보다 빠름; ","")&amp;IF(COUNTIF(코드설정!$H$5:$H$7,업무일지!$D297)=0,"직무구분 누락; ","")&amp;IF(업무일지!$E297="","세부유형 누락; ",IF(AND(업무일지!$D297&lt;&gt;"",COUNTIFS(코드설정!$A$5:$A$21,업무일지!$D297,코드설정!$B$5:$B$21,업무일지!$E297)=0),"세부유형이 직무구분과 불일치; ",""))&amp;IF(AND(업무일지!$F297&lt;&gt;"",COUNTIF(사건마스터!$A$5:$A$64,업무일지!$F297)=0),"미등록 사건번호; ","")&amp;IF(AND(업무일지!$F297="",업무일지!$H297=""),"사건번호·업무명 모두 없음; ","")&amp;IF(업무일지!$J297="","담당자 없음; ","")&amp;IF(COUNTIF(코드설정!$F$5:$F$7,업무일지!$AG297)=0,"진행상태 누락; ","")))</f>
        <v/>
      </c>
    </row>
    <row r="330">
      <c r="A330" s="26" t="inlineStr">
        <is>
          <t>업무일지</t>
        </is>
      </c>
      <c r="B330" s="66" t="n">
        <v>298</v>
      </c>
      <c r="C330" s="122">
        <f>IF($D330="","",IFERROR(TEXT(업무일지!$B298,"yyyy-mm-dd"),"(날짜없음)")&amp;"  "&amp;업무일지!$F298&amp;"  "&amp;업무일지!$H298)</f>
        <v/>
      </c>
      <c r="D330" s="122">
        <f>IF(NOT(COUNTBLANK(업무일지!$B298:$AH298)&lt;33),"",TRIM(IF(업무일지!$B298="","시작일 누락; ","")&amp;IF(업무일지!$C298="","종료일 누락; ","")&amp;IF(AND(업무일지!$B298&lt;&gt;"",업무일지!$C298&lt;&gt;"",업무일지!$C298&lt;업무일지!$B298),"종료일이 시작일보다 빠름; ","")&amp;IF(COUNTIF(코드설정!$H$5:$H$7,업무일지!$D298)=0,"직무구분 누락; ","")&amp;IF(업무일지!$E298="","세부유형 누락; ",IF(AND(업무일지!$D298&lt;&gt;"",COUNTIFS(코드설정!$A$5:$A$21,업무일지!$D298,코드설정!$B$5:$B$21,업무일지!$E298)=0),"세부유형이 직무구분과 불일치; ",""))&amp;IF(AND(업무일지!$F298&lt;&gt;"",COUNTIF(사건마스터!$A$5:$A$64,업무일지!$F298)=0),"미등록 사건번호; ","")&amp;IF(AND(업무일지!$F298="",업무일지!$H298=""),"사건번호·업무명 모두 없음; ","")&amp;IF(업무일지!$J298="","담당자 없음; ","")&amp;IF(COUNTIF(코드설정!$F$5:$F$7,업무일지!$AG298)=0,"진행상태 누락; ","")))</f>
        <v/>
      </c>
    </row>
    <row r="331">
      <c r="A331" s="26" t="inlineStr">
        <is>
          <t>업무일지</t>
        </is>
      </c>
      <c r="B331" s="66" t="n">
        <v>299</v>
      </c>
      <c r="C331" s="122">
        <f>IF($D331="","",IFERROR(TEXT(업무일지!$B299,"yyyy-mm-dd"),"(날짜없음)")&amp;"  "&amp;업무일지!$F299&amp;"  "&amp;업무일지!$H299)</f>
        <v/>
      </c>
      <c r="D331" s="122">
        <f>IF(NOT(COUNTBLANK(업무일지!$B299:$AH299)&lt;33),"",TRIM(IF(업무일지!$B299="","시작일 누락; ","")&amp;IF(업무일지!$C299="","종료일 누락; ","")&amp;IF(AND(업무일지!$B299&lt;&gt;"",업무일지!$C299&lt;&gt;"",업무일지!$C299&lt;업무일지!$B299),"종료일이 시작일보다 빠름; ","")&amp;IF(COUNTIF(코드설정!$H$5:$H$7,업무일지!$D299)=0,"직무구분 누락; ","")&amp;IF(업무일지!$E299="","세부유형 누락; ",IF(AND(업무일지!$D299&lt;&gt;"",COUNTIFS(코드설정!$A$5:$A$21,업무일지!$D299,코드설정!$B$5:$B$21,업무일지!$E299)=0),"세부유형이 직무구분과 불일치; ",""))&amp;IF(AND(업무일지!$F299&lt;&gt;"",COUNTIF(사건마스터!$A$5:$A$64,업무일지!$F299)=0),"미등록 사건번호; ","")&amp;IF(AND(업무일지!$F299="",업무일지!$H299=""),"사건번호·업무명 모두 없음; ","")&amp;IF(업무일지!$J299="","담당자 없음; ","")&amp;IF(COUNTIF(코드설정!$F$5:$F$7,업무일지!$AG299)=0,"진행상태 누락; ","")))</f>
        <v/>
      </c>
    </row>
    <row r="332">
      <c r="A332" s="26" t="inlineStr">
        <is>
          <t>업무일지</t>
        </is>
      </c>
      <c r="B332" s="66" t="n">
        <v>300</v>
      </c>
      <c r="C332" s="122">
        <f>IF($D332="","",IFERROR(TEXT(업무일지!$B300,"yyyy-mm-dd"),"(날짜없음)")&amp;"  "&amp;업무일지!$F300&amp;"  "&amp;업무일지!$H300)</f>
        <v/>
      </c>
      <c r="D332" s="122">
        <f>IF(NOT(COUNTBLANK(업무일지!$B300:$AH300)&lt;33),"",TRIM(IF(업무일지!$B300="","시작일 누락; ","")&amp;IF(업무일지!$C300="","종료일 누락; ","")&amp;IF(AND(업무일지!$B300&lt;&gt;"",업무일지!$C300&lt;&gt;"",업무일지!$C300&lt;업무일지!$B300),"종료일이 시작일보다 빠름; ","")&amp;IF(COUNTIF(코드설정!$H$5:$H$7,업무일지!$D300)=0,"직무구분 누락; ","")&amp;IF(업무일지!$E300="","세부유형 누락; ",IF(AND(업무일지!$D300&lt;&gt;"",COUNTIFS(코드설정!$A$5:$A$21,업무일지!$D300,코드설정!$B$5:$B$21,업무일지!$E300)=0),"세부유형이 직무구분과 불일치; ",""))&amp;IF(AND(업무일지!$F300&lt;&gt;"",COUNTIF(사건마스터!$A$5:$A$64,업무일지!$F300)=0),"미등록 사건번호; ","")&amp;IF(AND(업무일지!$F300="",업무일지!$H300=""),"사건번호·업무명 모두 없음; ","")&amp;IF(업무일지!$J300="","담당자 없음; ","")&amp;IF(COUNTIF(코드설정!$F$5:$F$7,업무일지!$AG300)=0,"진행상태 누락; ","")))</f>
        <v/>
      </c>
    </row>
    <row r="333">
      <c r="A333" s="26" t="inlineStr">
        <is>
          <t>업무일지</t>
        </is>
      </c>
      <c r="B333" s="66" t="n">
        <v>301</v>
      </c>
      <c r="C333" s="122">
        <f>IF($D333="","",IFERROR(TEXT(업무일지!$B301,"yyyy-mm-dd"),"(날짜없음)")&amp;"  "&amp;업무일지!$F301&amp;"  "&amp;업무일지!$H301)</f>
        <v/>
      </c>
      <c r="D333" s="122">
        <f>IF(NOT(COUNTBLANK(업무일지!$B301:$AH301)&lt;33),"",TRIM(IF(업무일지!$B301="","시작일 누락; ","")&amp;IF(업무일지!$C301="","종료일 누락; ","")&amp;IF(AND(업무일지!$B301&lt;&gt;"",업무일지!$C301&lt;&gt;"",업무일지!$C301&lt;업무일지!$B301),"종료일이 시작일보다 빠름; ","")&amp;IF(COUNTIF(코드설정!$H$5:$H$7,업무일지!$D301)=0,"직무구분 누락; ","")&amp;IF(업무일지!$E301="","세부유형 누락; ",IF(AND(업무일지!$D301&lt;&gt;"",COUNTIFS(코드설정!$A$5:$A$21,업무일지!$D301,코드설정!$B$5:$B$21,업무일지!$E301)=0),"세부유형이 직무구분과 불일치; ",""))&amp;IF(AND(업무일지!$F301&lt;&gt;"",COUNTIF(사건마스터!$A$5:$A$64,업무일지!$F301)=0),"미등록 사건번호; ","")&amp;IF(AND(업무일지!$F301="",업무일지!$H301=""),"사건번호·업무명 모두 없음; ","")&amp;IF(업무일지!$J301="","담당자 없음; ","")&amp;IF(COUNTIF(코드설정!$F$5:$F$7,업무일지!$AG301)=0,"진행상태 누락; ","")))</f>
        <v/>
      </c>
    </row>
    <row r="334">
      <c r="A334" s="26" t="inlineStr">
        <is>
          <t>업무일지</t>
        </is>
      </c>
      <c r="B334" s="66" t="n">
        <v>302</v>
      </c>
      <c r="C334" s="122">
        <f>IF($D334="","",IFERROR(TEXT(업무일지!$B302,"yyyy-mm-dd"),"(날짜없음)")&amp;"  "&amp;업무일지!$F302&amp;"  "&amp;업무일지!$H302)</f>
        <v/>
      </c>
      <c r="D334" s="122">
        <f>IF(NOT(COUNTBLANK(업무일지!$B302:$AH302)&lt;33),"",TRIM(IF(업무일지!$B302="","시작일 누락; ","")&amp;IF(업무일지!$C302="","종료일 누락; ","")&amp;IF(AND(업무일지!$B302&lt;&gt;"",업무일지!$C302&lt;&gt;"",업무일지!$C302&lt;업무일지!$B302),"종료일이 시작일보다 빠름; ","")&amp;IF(COUNTIF(코드설정!$H$5:$H$7,업무일지!$D302)=0,"직무구분 누락; ","")&amp;IF(업무일지!$E302="","세부유형 누락; ",IF(AND(업무일지!$D302&lt;&gt;"",COUNTIFS(코드설정!$A$5:$A$21,업무일지!$D302,코드설정!$B$5:$B$21,업무일지!$E302)=0),"세부유형이 직무구분과 불일치; ",""))&amp;IF(AND(업무일지!$F302&lt;&gt;"",COUNTIF(사건마스터!$A$5:$A$64,업무일지!$F302)=0),"미등록 사건번호; ","")&amp;IF(AND(업무일지!$F302="",업무일지!$H302=""),"사건번호·업무명 모두 없음; ","")&amp;IF(업무일지!$J302="","담당자 없음; ","")&amp;IF(COUNTIF(코드설정!$F$5:$F$7,업무일지!$AG302)=0,"진행상태 누락; ","")))</f>
        <v/>
      </c>
    </row>
    <row r="335">
      <c r="A335" s="26" t="inlineStr">
        <is>
          <t>업무일지</t>
        </is>
      </c>
      <c r="B335" s="66" t="n">
        <v>303</v>
      </c>
      <c r="C335" s="122">
        <f>IF($D335="","",IFERROR(TEXT(업무일지!$B303,"yyyy-mm-dd"),"(날짜없음)")&amp;"  "&amp;업무일지!$F303&amp;"  "&amp;업무일지!$H303)</f>
        <v/>
      </c>
      <c r="D335" s="122">
        <f>IF(NOT(COUNTBLANK(업무일지!$B303:$AH303)&lt;33),"",TRIM(IF(업무일지!$B303="","시작일 누락; ","")&amp;IF(업무일지!$C303="","종료일 누락; ","")&amp;IF(AND(업무일지!$B303&lt;&gt;"",업무일지!$C303&lt;&gt;"",업무일지!$C303&lt;업무일지!$B303),"종료일이 시작일보다 빠름; ","")&amp;IF(COUNTIF(코드설정!$H$5:$H$7,업무일지!$D303)=0,"직무구분 누락; ","")&amp;IF(업무일지!$E303="","세부유형 누락; ",IF(AND(업무일지!$D303&lt;&gt;"",COUNTIFS(코드설정!$A$5:$A$21,업무일지!$D303,코드설정!$B$5:$B$21,업무일지!$E303)=0),"세부유형이 직무구분과 불일치; ",""))&amp;IF(AND(업무일지!$F303&lt;&gt;"",COUNTIF(사건마스터!$A$5:$A$64,업무일지!$F303)=0),"미등록 사건번호; ","")&amp;IF(AND(업무일지!$F303="",업무일지!$H303=""),"사건번호·업무명 모두 없음; ","")&amp;IF(업무일지!$J303="","담당자 없음; ","")&amp;IF(COUNTIF(코드설정!$F$5:$F$7,업무일지!$AG303)=0,"진행상태 누락; ","")))</f>
        <v/>
      </c>
    </row>
    <row r="336">
      <c r="A336" s="26" t="inlineStr">
        <is>
          <t>업무일지</t>
        </is>
      </c>
      <c r="B336" s="66" t="n">
        <v>304</v>
      </c>
      <c r="C336" s="122">
        <f>IF($D336="","",IFERROR(TEXT(업무일지!$B304,"yyyy-mm-dd"),"(날짜없음)")&amp;"  "&amp;업무일지!$F304&amp;"  "&amp;업무일지!$H304)</f>
        <v/>
      </c>
      <c r="D336" s="122">
        <f>IF(NOT(COUNTBLANK(업무일지!$B304:$AH304)&lt;33),"",TRIM(IF(업무일지!$B304="","시작일 누락; ","")&amp;IF(업무일지!$C304="","종료일 누락; ","")&amp;IF(AND(업무일지!$B304&lt;&gt;"",업무일지!$C304&lt;&gt;"",업무일지!$C304&lt;업무일지!$B304),"종료일이 시작일보다 빠름; ","")&amp;IF(COUNTIF(코드설정!$H$5:$H$7,업무일지!$D304)=0,"직무구분 누락; ","")&amp;IF(업무일지!$E304="","세부유형 누락; ",IF(AND(업무일지!$D304&lt;&gt;"",COUNTIFS(코드설정!$A$5:$A$21,업무일지!$D304,코드설정!$B$5:$B$21,업무일지!$E304)=0),"세부유형이 직무구분과 불일치; ",""))&amp;IF(AND(업무일지!$F304&lt;&gt;"",COUNTIF(사건마스터!$A$5:$A$64,업무일지!$F304)=0),"미등록 사건번호; ","")&amp;IF(AND(업무일지!$F304="",업무일지!$H304=""),"사건번호·업무명 모두 없음; ","")&amp;IF(업무일지!$J304="","담당자 없음; ","")&amp;IF(COUNTIF(코드설정!$F$5:$F$7,업무일지!$AG304)=0,"진행상태 누락; ","")))</f>
        <v/>
      </c>
    </row>
    <row r="337">
      <c r="A337" s="26" t="inlineStr">
        <is>
          <t>업무일지</t>
        </is>
      </c>
      <c r="B337" s="66" t="n">
        <v>305</v>
      </c>
      <c r="C337" s="122">
        <f>IF($D337="","",IFERROR(TEXT(업무일지!$B305,"yyyy-mm-dd"),"(날짜없음)")&amp;"  "&amp;업무일지!$F305&amp;"  "&amp;업무일지!$H305)</f>
        <v/>
      </c>
      <c r="D337" s="122">
        <f>IF(NOT(COUNTBLANK(업무일지!$B305:$AH305)&lt;33),"",TRIM(IF(업무일지!$B305="","시작일 누락; ","")&amp;IF(업무일지!$C305="","종료일 누락; ","")&amp;IF(AND(업무일지!$B305&lt;&gt;"",업무일지!$C305&lt;&gt;"",업무일지!$C305&lt;업무일지!$B305),"종료일이 시작일보다 빠름; ","")&amp;IF(COUNTIF(코드설정!$H$5:$H$7,업무일지!$D305)=0,"직무구분 누락; ","")&amp;IF(업무일지!$E305="","세부유형 누락; ",IF(AND(업무일지!$D305&lt;&gt;"",COUNTIFS(코드설정!$A$5:$A$21,업무일지!$D305,코드설정!$B$5:$B$21,업무일지!$E305)=0),"세부유형이 직무구분과 불일치; ",""))&amp;IF(AND(업무일지!$F305&lt;&gt;"",COUNTIF(사건마스터!$A$5:$A$64,업무일지!$F305)=0),"미등록 사건번호; ","")&amp;IF(AND(업무일지!$F305="",업무일지!$H305=""),"사건번호·업무명 모두 없음; ","")&amp;IF(업무일지!$J305="","담당자 없음; ","")&amp;IF(COUNTIF(코드설정!$F$5:$F$7,업무일지!$AG305)=0,"진행상태 누락; ","")))</f>
        <v/>
      </c>
    </row>
    <row r="338">
      <c r="A338" s="26" t="inlineStr">
        <is>
          <t>업무일지</t>
        </is>
      </c>
      <c r="B338" s="66" t="n">
        <v>306</v>
      </c>
      <c r="C338" s="122">
        <f>IF($D338="","",IFERROR(TEXT(업무일지!$B306,"yyyy-mm-dd"),"(날짜없음)")&amp;"  "&amp;업무일지!$F306&amp;"  "&amp;업무일지!$H306)</f>
        <v/>
      </c>
      <c r="D338" s="122">
        <f>IF(NOT(COUNTBLANK(업무일지!$B306:$AH306)&lt;33),"",TRIM(IF(업무일지!$B306="","시작일 누락; ","")&amp;IF(업무일지!$C306="","종료일 누락; ","")&amp;IF(AND(업무일지!$B306&lt;&gt;"",업무일지!$C306&lt;&gt;"",업무일지!$C306&lt;업무일지!$B306),"종료일이 시작일보다 빠름; ","")&amp;IF(COUNTIF(코드설정!$H$5:$H$7,업무일지!$D306)=0,"직무구분 누락; ","")&amp;IF(업무일지!$E306="","세부유형 누락; ",IF(AND(업무일지!$D306&lt;&gt;"",COUNTIFS(코드설정!$A$5:$A$21,업무일지!$D306,코드설정!$B$5:$B$21,업무일지!$E306)=0),"세부유형이 직무구분과 불일치; ",""))&amp;IF(AND(업무일지!$F306&lt;&gt;"",COUNTIF(사건마스터!$A$5:$A$64,업무일지!$F306)=0),"미등록 사건번호; ","")&amp;IF(AND(업무일지!$F306="",업무일지!$H306=""),"사건번호·업무명 모두 없음; ","")&amp;IF(업무일지!$J306="","담당자 없음; ","")&amp;IF(COUNTIF(코드설정!$F$5:$F$7,업무일지!$AG306)=0,"진행상태 누락; ","")))</f>
        <v/>
      </c>
    </row>
    <row r="339">
      <c r="A339" s="26" t="inlineStr">
        <is>
          <t>업무일지</t>
        </is>
      </c>
      <c r="B339" s="66" t="n">
        <v>307</v>
      </c>
      <c r="C339" s="122">
        <f>IF($D339="","",IFERROR(TEXT(업무일지!$B307,"yyyy-mm-dd"),"(날짜없음)")&amp;"  "&amp;업무일지!$F307&amp;"  "&amp;업무일지!$H307)</f>
        <v/>
      </c>
      <c r="D339" s="122">
        <f>IF(NOT(COUNTBLANK(업무일지!$B307:$AH307)&lt;33),"",TRIM(IF(업무일지!$B307="","시작일 누락; ","")&amp;IF(업무일지!$C307="","종료일 누락; ","")&amp;IF(AND(업무일지!$B307&lt;&gt;"",업무일지!$C307&lt;&gt;"",업무일지!$C307&lt;업무일지!$B307),"종료일이 시작일보다 빠름; ","")&amp;IF(COUNTIF(코드설정!$H$5:$H$7,업무일지!$D307)=0,"직무구분 누락; ","")&amp;IF(업무일지!$E307="","세부유형 누락; ",IF(AND(업무일지!$D307&lt;&gt;"",COUNTIFS(코드설정!$A$5:$A$21,업무일지!$D307,코드설정!$B$5:$B$21,업무일지!$E307)=0),"세부유형이 직무구분과 불일치; ",""))&amp;IF(AND(업무일지!$F307&lt;&gt;"",COUNTIF(사건마스터!$A$5:$A$64,업무일지!$F307)=0),"미등록 사건번호; ","")&amp;IF(AND(업무일지!$F307="",업무일지!$H307=""),"사건번호·업무명 모두 없음; ","")&amp;IF(업무일지!$J307="","담당자 없음; ","")&amp;IF(COUNTIF(코드설정!$F$5:$F$7,업무일지!$AG307)=0,"진행상태 누락; ","")))</f>
        <v/>
      </c>
    </row>
    <row r="340">
      <c r="A340" s="26" t="inlineStr">
        <is>
          <t>업무일지</t>
        </is>
      </c>
      <c r="B340" s="66" t="n">
        <v>308</v>
      </c>
      <c r="C340" s="122">
        <f>IF($D340="","",IFERROR(TEXT(업무일지!$B308,"yyyy-mm-dd"),"(날짜없음)")&amp;"  "&amp;업무일지!$F308&amp;"  "&amp;업무일지!$H308)</f>
        <v/>
      </c>
      <c r="D340" s="122">
        <f>IF(NOT(COUNTBLANK(업무일지!$B308:$AH308)&lt;33),"",TRIM(IF(업무일지!$B308="","시작일 누락; ","")&amp;IF(업무일지!$C308="","종료일 누락; ","")&amp;IF(AND(업무일지!$B308&lt;&gt;"",업무일지!$C308&lt;&gt;"",업무일지!$C308&lt;업무일지!$B308),"종료일이 시작일보다 빠름; ","")&amp;IF(COUNTIF(코드설정!$H$5:$H$7,업무일지!$D308)=0,"직무구분 누락; ","")&amp;IF(업무일지!$E308="","세부유형 누락; ",IF(AND(업무일지!$D308&lt;&gt;"",COUNTIFS(코드설정!$A$5:$A$21,업무일지!$D308,코드설정!$B$5:$B$21,업무일지!$E308)=0),"세부유형이 직무구분과 불일치; ",""))&amp;IF(AND(업무일지!$F308&lt;&gt;"",COUNTIF(사건마스터!$A$5:$A$64,업무일지!$F308)=0),"미등록 사건번호; ","")&amp;IF(AND(업무일지!$F308="",업무일지!$H308=""),"사건번호·업무명 모두 없음; ","")&amp;IF(업무일지!$J308="","담당자 없음; ","")&amp;IF(COUNTIF(코드설정!$F$5:$F$7,업무일지!$AG308)=0,"진행상태 누락; ","")))</f>
        <v/>
      </c>
    </row>
    <row r="341">
      <c r="A341" s="26" t="inlineStr">
        <is>
          <t>업무일지</t>
        </is>
      </c>
      <c r="B341" s="66" t="n">
        <v>309</v>
      </c>
      <c r="C341" s="122">
        <f>IF($D341="","",IFERROR(TEXT(업무일지!$B309,"yyyy-mm-dd"),"(날짜없음)")&amp;"  "&amp;업무일지!$F309&amp;"  "&amp;업무일지!$H309)</f>
        <v/>
      </c>
      <c r="D341" s="122">
        <f>IF(NOT(COUNTBLANK(업무일지!$B309:$AH309)&lt;33),"",TRIM(IF(업무일지!$B309="","시작일 누락; ","")&amp;IF(업무일지!$C309="","종료일 누락; ","")&amp;IF(AND(업무일지!$B309&lt;&gt;"",업무일지!$C309&lt;&gt;"",업무일지!$C309&lt;업무일지!$B309),"종료일이 시작일보다 빠름; ","")&amp;IF(COUNTIF(코드설정!$H$5:$H$7,업무일지!$D309)=0,"직무구분 누락; ","")&amp;IF(업무일지!$E309="","세부유형 누락; ",IF(AND(업무일지!$D309&lt;&gt;"",COUNTIFS(코드설정!$A$5:$A$21,업무일지!$D309,코드설정!$B$5:$B$21,업무일지!$E309)=0),"세부유형이 직무구분과 불일치; ",""))&amp;IF(AND(업무일지!$F309&lt;&gt;"",COUNTIF(사건마스터!$A$5:$A$64,업무일지!$F309)=0),"미등록 사건번호; ","")&amp;IF(AND(업무일지!$F309="",업무일지!$H309=""),"사건번호·업무명 모두 없음; ","")&amp;IF(업무일지!$J309="","담당자 없음; ","")&amp;IF(COUNTIF(코드설정!$F$5:$F$7,업무일지!$AG309)=0,"진행상태 누락; ","")))</f>
        <v/>
      </c>
    </row>
    <row r="342">
      <c r="A342" s="26" t="inlineStr">
        <is>
          <t>업무일지</t>
        </is>
      </c>
      <c r="B342" s="66" t="n">
        <v>310</v>
      </c>
      <c r="C342" s="122">
        <f>IF($D342="","",IFERROR(TEXT(업무일지!$B310,"yyyy-mm-dd"),"(날짜없음)")&amp;"  "&amp;업무일지!$F310&amp;"  "&amp;업무일지!$H310)</f>
        <v/>
      </c>
      <c r="D342" s="122">
        <f>IF(NOT(COUNTBLANK(업무일지!$B310:$AH310)&lt;33),"",TRIM(IF(업무일지!$B310="","시작일 누락; ","")&amp;IF(업무일지!$C310="","종료일 누락; ","")&amp;IF(AND(업무일지!$B310&lt;&gt;"",업무일지!$C310&lt;&gt;"",업무일지!$C310&lt;업무일지!$B310),"종료일이 시작일보다 빠름; ","")&amp;IF(COUNTIF(코드설정!$H$5:$H$7,업무일지!$D310)=0,"직무구분 누락; ","")&amp;IF(업무일지!$E310="","세부유형 누락; ",IF(AND(업무일지!$D310&lt;&gt;"",COUNTIFS(코드설정!$A$5:$A$21,업무일지!$D310,코드설정!$B$5:$B$21,업무일지!$E310)=0),"세부유형이 직무구분과 불일치; ",""))&amp;IF(AND(업무일지!$F310&lt;&gt;"",COUNTIF(사건마스터!$A$5:$A$64,업무일지!$F310)=0),"미등록 사건번호; ","")&amp;IF(AND(업무일지!$F310="",업무일지!$H310=""),"사건번호·업무명 모두 없음; ","")&amp;IF(업무일지!$J310="","담당자 없음; ","")&amp;IF(COUNTIF(코드설정!$F$5:$F$7,업무일지!$AG310)=0,"진행상태 누락; ","")))</f>
        <v/>
      </c>
    </row>
    <row r="343">
      <c r="A343" s="26" t="inlineStr">
        <is>
          <t>업무일지</t>
        </is>
      </c>
      <c r="B343" s="66" t="n">
        <v>311</v>
      </c>
      <c r="C343" s="122">
        <f>IF($D343="","",IFERROR(TEXT(업무일지!$B311,"yyyy-mm-dd"),"(날짜없음)")&amp;"  "&amp;업무일지!$F311&amp;"  "&amp;업무일지!$H311)</f>
        <v/>
      </c>
      <c r="D343" s="122">
        <f>IF(NOT(COUNTBLANK(업무일지!$B311:$AH311)&lt;33),"",TRIM(IF(업무일지!$B311="","시작일 누락; ","")&amp;IF(업무일지!$C311="","종료일 누락; ","")&amp;IF(AND(업무일지!$B311&lt;&gt;"",업무일지!$C311&lt;&gt;"",업무일지!$C311&lt;업무일지!$B311),"종료일이 시작일보다 빠름; ","")&amp;IF(COUNTIF(코드설정!$H$5:$H$7,업무일지!$D311)=0,"직무구분 누락; ","")&amp;IF(업무일지!$E311="","세부유형 누락; ",IF(AND(업무일지!$D311&lt;&gt;"",COUNTIFS(코드설정!$A$5:$A$21,업무일지!$D311,코드설정!$B$5:$B$21,업무일지!$E311)=0),"세부유형이 직무구분과 불일치; ",""))&amp;IF(AND(업무일지!$F311&lt;&gt;"",COUNTIF(사건마스터!$A$5:$A$64,업무일지!$F311)=0),"미등록 사건번호; ","")&amp;IF(AND(업무일지!$F311="",업무일지!$H311=""),"사건번호·업무명 모두 없음; ","")&amp;IF(업무일지!$J311="","담당자 없음; ","")&amp;IF(COUNTIF(코드설정!$F$5:$F$7,업무일지!$AG311)=0,"진행상태 누락; ","")))</f>
        <v/>
      </c>
    </row>
    <row r="344">
      <c r="A344" s="26" t="inlineStr">
        <is>
          <t>업무일지</t>
        </is>
      </c>
      <c r="B344" s="66" t="n">
        <v>312</v>
      </c>
      <c r="C344" s="122">
        <f>IF($D344="","",IFERROR(TEXT(업무일지!$B312,"yyyy-mm-dd"),"(날짜없음)")&amp;"  "&amp;업무일지!$F312&amp;"  "&amp;업무일지!$H312)</f>
        <v/>
      </c>
      <c r="D344" s="122">
        <f>IF(NOT(COUNTBLANK(업무일지!$B312:$AH312)&lt;33),"",TRIM(IF(업무일지!$B312="","시작일 누락; ","")&amp;IF(업무일지!$C312="","종료일 누락; ","")&amp;IF(AND(업무일지!$B312&lt;&gt;"",업무일지!$C312&lt;&gt;"",업무일지!$C312&lt;업무일지!$B312),"종료일이 시작일보다 빠름; ","")&amp;IF(COUNTIF(코드설정!$H$5:$H$7,업무일지!$D312)=0,"직무구분 누락; ","")&amp;IF(업무일지!$E312="","세부유형 누락; ",IF(AND(업무일지!$D312&lt;&gt;"",COUNTIFS(코드설정!$A$5:$A$21,업무일지!$D312,코드설정!$B$5:$B$21,업무일지!$E312)=0),"세부유형이 직무구분과 불일치; ",""))&amp;IF(AND(업무일지!$F312&lt;&gt;"",COUNTIF(사건마스터!$A$5:$A$64,업무일지!$F312)=0),"미등록 사건번호; ","")&amp;IF(AND(업무일지!$F312="",업무일지!$H312=""),"사건번호·업무명 모두 없음; ","")&amp;IF(업무일지!$J312="","담당자 없음; ","")&amp;IF(COUNTIF(코드설정!$F$5:$F$7,업무일지!$AG312)=0,"진행상태 누락; ","")))</f>
        <v/>
      </c>
    </row>
    <row r="345">
      <c r="A345" s="26" t="inlineStr">
        <is>
          <t>업무일지</t>
        </is>
      </c>
      <c r="B345" s="66" t="n">
        <v>313</v>
      </c>
      <c r="C345" s="122">
        <f>IF($D345="","",IFERROR(TEXT(업무일지!$B313,"yyyy-mm-dd"),"(날짜없음)")&amp;"  "&amp;업무일지!$F313&amp;"  "&amp;업무일지!$H313)</f>
        <v/>
      </c>
      <c r="D345" s="122">
        <f>IF(NOT(COUNTBLANK(업무일지!$B313:$AH313)&lt;33),"",TRIM(IF(업무일지!$B313="","시작일 누락; ","")&amp;IF(업무일지!$C313="","종료일 누락; ","")&amp;IF(AND(업무일지!$B313&lt;&gt;"",업무일지!$C313&lt;&gt;"",업무일지!$C313&lt;업무일지!$B313),"종료일이 시작일보다 빠름; ","")&amp;IF(COUNTIF(코드설정!$H$5:$H$7,업무일지!$D313)=0,"직무구분 누락; ","")&amp;IF(업무일지!$E313="","세부유형 누락; ",IF(AND(업무일지!$D313&lt;&gt;"",COUNTIFS(코드설정!$A$5:$A$21,업무일지!$D313,코드설정!$B$5:$B$21,업무일지!$E313)=0),"세부유형이 직무구분과 불일치; ",""))&amp;IF(AND(업무일지!$F313&lt;&gt;"",COUNTIF(사건마스터!$A$5:$A$64,업무일지!$F313)=0),"미등록 사건번호; ","")&amp;IF(AND(업무일지!$F313="",업무일지!$H313=""),"사건번호·업무명 모두 없음; ","")&amp;IF(업무일지!$J313="","담당자 없음; ","")&amp;IF(COUNTIF(코드설정!$F$5:$F$7,업무일지!$AG313)=0,"진행상태 누락; ","")))</f>
        <v/>
      </c>
    </row>
    <row r="346">
      <c r="A346" s="26" t="inlineStr">
        <is>
          <t>업무일지</t>
        </is>
      </c>
      <c r="B346" s="66" t="n">
        <v>314</v>
      </c>
      <c r="C346" s="122">
        <f>IF($D346="","",IFERROR(TEXT(업무일지!$B314,"yyyy-mm-dd"),"(날짜없음)")&amp;"  "&amp;업무일지!$F314&amp;"  "&amp;업무일지!$H314)</f>
        <v/>
      </c>
      <c r="D346" s="122">
        <f>IF(NOT(COUNTBLANK(업무일지!$B314:$AH314)&lt;33),"",TRIM(IF(업무일지!$B314="","시작일 누락; ","")&amp;IF(업무일지!$C314="","종료일 누락; ","")&amp;IF(AND(업무일지!$B314&lt;&gt;"",업무일지!$C314&lt;&gt;"",업무일지!$C314&lt;업무일지!$B314),"종료일이 시작일보다 빠름; ","")&amp;IF(COUNTIF(코드설정!$H$5:$H$7,업무일지!$D314)=0,"직무구분 누락; ","")&amp;IF(업무일지!$E314="","세부유형 누락; ",IF(AND(업무일지!$D314&lt;&gt;"",COUNTIFS(코드설정!$A$5:$A$21,업무일지!$D314,코드설정!$B$5:$B$21,업무일지!$E314)=0),"세부유형이 직무구분과 불일치; ",""))&amp;IF(AND(업무일지!$F314&lt;&gt;"",COUNTIF(사건마스터!$A$5:$A$64,업무일지!$F314)=0),"미등록 사건번호; ","")&amp;IF(AND(업무일지!$F314="",업무일지!$H314=""),"사건번호·업무명 모두 없음; ","")&amp;IF(업무일지!$J314="","담당자 없음; ","")&amp;IF(COUNTIF(코드설정!$F$5:$F$7,업무일지!$AG314)=0,"진행상태 누락; ","")))</f>
        <v/>
      </c>
    </row>
    <row r="347">
      <c r="A347" s="26" t="inlineStr">
        <is>
          <t>업무일지</t>
        </is>
      </c>
      <c r="B347" s="66" t="n">
        <v>315</v>
      </c>
      <c r="C347" s="122">
        <f>IF($D347="","",IFERROR(TEXT(업무일지!$B315,"yyyy-mm-dd"),"(날짜없음)")&amp;"  "&amp;업무일지!$F315&amp;"  "&amp;업무일지!$H315)</f>
        <v/>
      </c>
      <c r="D347" s="122">
        <f>IF(NOT(COUNTBLANK(업무일지!$B315:$AH315)&lt;33),"",TRIM(IF(업무일지!$B315="","시작일 누락; ","")&amp;IF(업무일지!$C315="","종료일 누락; ","")&amp;IF(AND(업무일지!$B315&lt;&gt;"",업무일지!$C315&lt;&gt;"",업무일지!$C315&lt;업무일지!$B315),"종료일이 시작일보다 빠름; ","")&amp;IF(COUNTIF(코드설정!$H$5:$H$7,업무일지!$D315)=0,"직무구분 누락; ","")&amp;IF(업무일지!$E315="","세부유형 누락; ",IF(AND(업무일지!$D315&lt;&gt;"",COUNTIFS(코드설정!$A$5:$A$21,업무일지!$D315,코드설정!$B$5:$B$21,업무일지!$E315)=0),"세부유형이 직무구분과 불일치; ",""))&amp;IF(AND(업무일지!$F315&lt;&gt;"",COUNTIF(사건마스터!$A$5:$A$64,업무일지!$F315)=0),"미등록 사건번호; ","")&amp;IF(AND(업무일지!$F315="",업무일지!$H315=""),"사건번호·업무명 모두 없음; ","")&amp;IF(업무일지!$J315="","담당자 없음; ","")&amp;IF(COUNTIF(코드설정!$F$5:$F$7,업무일지!$AG315)=0,"진행상태 누락; ","")))</f>
        <v/>
      </c>
    </row>
    <row r="348">
      <c r="A348" s="26" t="inlineStr">
        <is>
          <t>업무일지</t>
        </is>
      </c>
      <c r="B348" s="66" t="n">
        <v>316</v>
      </c>
      <c r="C348" s="122">
        <f>IF($D348="","",IFERROR(TEXT(업무일지!$B316,"yyyy-mm-dd"),"(날짜없음)")&amp;"  "&amp;업무일지!$F316&amp;"  "&amp;업무일지!$H316)</f>
        <v/>
      </c>
      <c r="D348" s="122">
        <f>IF(NOT(COUNTBLANK(업무일지!$B316:$AH316)&lt;33),"",TRIM(IF(업무일지!$B316="","시작일 누락; ","")&amp;IF(업무일지!$C316="","종료일 누락; ","")&amp;IF(AND(업무일지!$B316&lt;&gt;"",업무일지!$C316&lt;&gt;"",업무일지!$C316&lt;업무일지!$B316),"종료일이 시작일보다 빠름; ","")&amp;IF(COUNTIF(코드설정!$H$5:$H$7,업무일지!$D316)=0,"직무구분 누락; ","")&amp;IF(업무일지!$E316="","세부유형 누락; ",IF(AND(업무일지!$D316&lt;&gt;"",COUNTIFS(코드설정!$A$5:$A$21,업무일지!$D316,코드설정!$B$5:$B$21,업무일지!$E316)=0),"세부유형이 직무구분과 불일치; ",""))&amp;IF(AND(업무일지!$F316&lt;&gt;"",COUNTIF(사건마스터!$A$5:$A$64,업무일지!$F316)=0),"미등록 사건번호; ","")&amp;IF(AND(업무일지!$F316="",업무일지!$H316=""),"사건번호·업무명 모두 없음; ","")&amp;IF(업무일지!$J316="","담당자 없음; ","")&amp;IF(COUNTIF(코드설정!$F$5:$F$7,업무일지!$AG316)=0,"진행상태 누락; ","")))</f>
        <v/>
      </c>
    </row>
    <row r="349">
      <c r="A349" s="26" t="inlineStr">
        <is>
          <t>업무일지</t>
        </is>
      </c>
      <c r="B349" s="66" t="n">
        <v>317</v>
      </c>
      <c r="C349" s="122">
        <f>IF($D349="","",IFERROR(TEXT(업무일지!$B317,"yyyy-mm-dd"),"(날짜없음)")&amp;"  "&amp;업무일지!$F317&amp;"  "&amp;업무일지!$H317)</f>
        <v/>
      </c>
      <c r="D349" s="122">
        <f>IF(NOT(COUNTBLANK(업무일지!$B317:$AH317)&lt;33),"",TRIM(IF(업무일지!$B317="","시작일 누락; ","")&amp;IF(업무일지!$C317="","종료일 누락; ","")&amp;IF(AND(업무일지!$B317&lt;&gt;"",업무일지!$C317&lt;&gt;"",업무일지!$C317&lt;업무일지!$B317),"종료일이 시작일보다 빠름; ","")&amp;IF(COUNTIF(코드설정!$H$5:$H$7,업무일지!$D317)=0,"직무구분 누락; ","")&amp;IF(업무일지!$E317="","세부유형 누락; ",IF(AND(업무일지!$D317&lt;&gt;"",COUNTIFS(코드설정!$A$5:$A$21,업무일지!$D317,코드설정!$B$5:$B$21,업무일지!$E317)=0),"세부유형이 직무구분과 불일치; ",""))&amp;IF(AND(업무일지!$F317&lt;&gt;"",COUNTIF(사건마스터!$A$5:$A$64,업무일지!$F317)=0),"미등록 사건번호; ","")&amp;IF(AND(업무일지!$F317="",업무일지!$H317=""),"사건번호·업무명 모두 없음; ","")&amp;IF(업무일지!$J317="","담당자 없음; ","")&amp;IF(COUNTIF(코드설정!$F$5:$F$7,업무일지!$AG317)=0,"진행상태 누락; ","")))</f>
        <v/>
      </c>
    </row>
    <row r="350">
      <c r="A350" s="26" t="inlineStr">
        <is>
          <t>업무일지</t>
        </is>
      </c>
      <c r="B350" s="66" t="n">
        <v>318</v>
      </c>
      <c r="C350" s="122">
        <f>IF($D350="","",IFERROR(TEXT(업무일지!$B318,"yyyy-mm-dd"),"(날짜없음)")&amp;"  "&amp;업무일지!$F318&amp;"  "&amp;업무일지!$H318)</f>
        <v/>
      </c>
      <c r="D350" s="122">
        <f>IF(NOT(COUNTBLANK(업무일지!$B318:$AH318)&lt;33),"",TRIM(IF(업무일지!$B318="","시작일 누락; ","")&amp;IF(업무일지!$C318="","종료일 누락; ","")&amp;IF(AND(업무일지!$B318&lt;&gt;"",업무일지!$C318&lt;&gt;"",업무일지!$C318&lt;업무일지!$B318),"종료일이 시작일보다 빠름; ","")&amp;IF(COUNTIF(코드설정!$H$5:$H$7,업무일지!$D318)=0,"직무구분 누락; ","")&amp;IF(업무일지!$E318="","세부유형 누락; ",IF(AND(업무일지!$D318&lt;&gt;"",COUNTIFS(코드설정!$A$5:$A$21,업무일지!$D318,코드설정!$B$5:$B$21,업무일지!$E318)=0),"세부유형이 직무구분과 불일치; ",""))&amp;IF(AND(업무일지!$F318&lt;&gt;"",COUNTIF(사건마스터!$A$5:$A$64,업무일지!$F318)=0),"미등록 사건번호; ","")&amp;IF(AND(업무일지!$F318="",업무일지!$H318=""),"사건번호·업무명 모두 없음; ","")&amp;IF(업무일지!$J318="","담당자 없음; ","")&amp;IF(COUNTIF(코드설정!$F$5:$F$7,업무일지!$AG318)=0,"진행상태 누락; ","")))</f>
        <v/>
      </c>
    </row>
    <row r="351">
      <c r="A351" s="26" t="inlineStr">
        <is>
          <t>업무일지</t>
        </is>
      </c>
      <c r="B351" s="66" t="n">
        <v>319</v>
      </c>
      <c r="C351" s="122">
        <f>IF($D351="","",IFERROR(TEXT(업무일지!$B319,"yyyy-mm-dd"),"(날짜없음)")&amp;"  "&amp;업무일지!$F319&amp;"  "&amp;업무일지!$H319)</f>
        <v/>
      </c>
      <c r="D351" s="122">
        <f>IF(NOT(COUNTBLANK(업무일지!$B319:$AH319)&lt;33),"",TRIM(IF(업무일지!$B319="","시작일 누락; ","")&amp;IF(업무일지!$C319="","종료일 누락; ","")&amp;IF(AND(업무일지!$B319&lt;&gt;"",업무일지!$C319&lt;&gt;"",업무일지!$C319&lt;업무일지!$B319),"종료일이 시작일보다 빠름; ","")&amp;IF(COUNTIF(코드설정!$H$5:$H$7,업무일지!$D319)=0,"직무구분 누락; ","")&amp;IF(업무일지!$E319="","세부유형 누락; ",IF(AND(업무일지!$D319&lt;&gt;"",COUNTIFS(코드설정!$A$5:$A$21,업무일지!$D319,코드설정!$B$5:$B$21,업무일지!$E319)=0),"세부유형이 직무구분과 불일치; ",""))&amp;IF(AND(업무일지!$F319&lt;&gt;"",COUNTIF(사건마스터!$A$5:$A$64,업무일지!$F319)=0),"미등록 사건번호; ","")&amp;IF(AND(업무일지!$F319="",업무일지!$H319=""),"사건번호·업무명 모두 없음; ","")&amp;IF(업무일지!$J319="","담당자 없음; ","")&amp;IF(COUNTIF(코드설정!$F$5:$F$7,업무일지!$AG319)=0,"진행상태 누락; ","")))</f>
        <v/>
      </c>
    </row>
    <row r="352">
      <c r="A352" s="26" t="inlineStr">
        <is>
          <t>업무일지</t>
        </is>
      </c>
      <c r="B352" s="66" t="n">
        <v>320</v>
      </c>
      <c r="C352" s="122">
        <f>IF($D352="","",IFERROR(TEXT(업무일지!$B320,"yyyy-mm-dd"),"(날짜없음)")&amp;"  "&amp;업무일지!$F320&amp;"  "&amp;업무일지!$H320)</f>
        <v/>
      </c>
      <c r="D352" s="122">
        <f>IF(NOT(COUNTBLANK(업무일지!$B320:$AH320)&lt;33),"",TRIM(IF(업무일지!$B320="","시작일 누락; ","")&amp;IF(업무일지!$C320="","종료일 누락; ","")&amp;IF(AND(업무일지!$B320&lt;&gt;"",업무일지!$C320&lt;&gt;"",업무일지!$C320&lt;업무일지!$B320),"종료일이 시작일보다 빠름; ","")&amp;IF(COUNTIF(코드설정!$H$5:$H$7,업무일지!$D320)=0,"직무구분 누락; ","")&amp;IF(업무일지!$E320="","세부유형 누락; ",IF(AND(업무일지!$D320&lt;&gt;"",COUNTIFS(코드설정!$A$5:$A$21,업무일지!$D320,코드설정!$B$5:$B$21,업무일지!$E320)=0),"세부유형이 직무구분과 불일치; ",""))&amp;IF(AND(업무일지!$F320&lt;&gt;"",COUNTIF(사건마스터!$A$5:$A$64,업무일지!$F320)=0),"미등록 사건번호; ","")&amp;IF(AND(업무일지!$F320="",업무일지!$H320=""),"사건번호·업무명 모두 없음; ","")&amp;IF(업무일지!$J320="","담당자 없음; ","")&amp;IF(COUNTIF(코드설정!$F$5:$F$7,업무일지!$AG320)=0,"진행상태 누락; ","")))</f>
        <v/>
      </c>
    </row>
    <row r="353">
      <c r="A353" s="26" t="inlineStr">
        <is>
          <t>업무일지</t>
        </is>
      </c>
      <c r="B353" s="66" t="n">
        <v>321</v>
      </c>
      <c r="C353" s="122">
        <f>IF($D353="","",IFERROR(TEXT(업무일지!$B321,"yyyy-mm-dd"),"(날짜없음)")&amp;"  "&amp;업무일지!$F321&amp;"  "&amp;업무일지!$H321)</f>
        <v/>
      </c>
      <c r="D353" s="122">
        <f>IF(NOT(COUNTBLANK(업무일지!$B321:$AH321)&lt;33),"",TRIM(IF(업무일지!$B321="","시작일 누락; ","")&amp;IF(업무일지!$C321="","종료일 누락; ","")&amp;IF(AND(업무일지!$B321&lt;&gt;"",업무일지!$C321&lt;&gt;"",업무일지!$C321&lt;업무일지!$B321),"종료일이 시작일보다 빠름; ","")&amp;IF(COUNTIF(코드설정!$H$5:$H$7,업무일지!$D321)=0,"직무구분 누락; ","")&amp;IF(업무일지!$E321="","세부유형 누락; ",IF(AND(업무일지!$D321&lt;&gt;"",COUNTIFS(코드설정!$A$5:$A$21,업무일지!$D321,코드설정!$B$5:$B$21,업무일지!$E321)=0),"세부유형이 직무구분과 불일치; ",""))&amp;IF(AND(업무일지!$F321&lt;&gt;"",COUNTIF(사건마스터!$A$5:$A$64,업무일지!$F321)=0),"미등록 사건번호; ","")&amp;IF(AND(업무일지!$F321="",업무일지!$H321=""),"사건번호·업무명 모두 없음; ","")&amp;IF(업무일지!$J321="","담당자 없음; ","")&amp;IF(COUNTIF(코드설정!$F$5:$F$7,업무일지!$AG321)=0,"진행상태 누락; ","")))</f>
        <v/>
      </c>
    </row>
    <row r="354">
      <c r="A354" s="26" t="inlineStr">
        <is>
          <t>업무일지</t>
        </is>
      </c>
      <c r="B354" s="66" t="n">
        <v>322</v>
      </c>
      <c r="C354" s="122">
        <f>IF($D354="","",IFERROR(TEXT(업무일지!$B322,"yyyy-mm-dd"),"(날짜없음)")&amp;"  "&amp;업무일지!$F322&amp;"  "&amp;업무일지!$H322)</f>
        <v/>
      </c>
      <c r="D354" s="122">
        <f>IF(NOT(COUNTBLANK(업무일지!$B322:$AH322)&lt;33),"",TRIM(IF(업무일지!$B322="","시작일 누락; ","")&amp;IF(업무일지!$C322="","종료일 누락; ","")&amp;IF(AND(업무일지!$B322&lt;&gt;"",업무일지!$C322&lt;&gt;"",업무일지!$C322&lt;업무일지!$B322),"종료일이 시작일보다 빠름; ","")&amp;IF(COUNTIF(코드설정!$H$5:$H$7,업무일지!$D322)=0,"직무구분 누락; ","")&amp;IF(업무일지!$E322="","세부유형 누락; ",IF(AND(업무일지!$D322&lt;&gt;"",COUNTIFS(코드설정!$A$5:$A$21,업무일지!$D322,코드설정!$B$5:$B$21,업무일지!$E322)=0),"세부유형이 직무구분과 불일치; ",""))&amp;IF(AND(업무일지!$F322&lt;&gt;"",COUNTIF(사건마스터!$A$5:$A$64,업무일지!$F322)=0),"미등록 사건번호; ","")&amp;IF(AND(업무일지!$F322="",업무일지!$H322=""),"사건번호·업무명 모두 없음; ","")&amp;IF(업무일지!$J322="","담당자 없음; ","")&amp;IF(COUNTIF(코드설정!$F$5:$F$7,업무일지!$AG322)=0,"진행상태 누락; ","")))</f>
        <v/>
      </c>
    </row>
    <row r="355">
      <c r="A355" s="26" t="inlineStr">
        <is>
          <t>업무일지</t>
        </is>
      </c>
      <c r="B355" s="66" t="n">
        <v>323</v>
      </c>
      <c r="C355" s="122">
        <f>IF($D355="","",IFERROR(TEXT(업무일지!$B323,"yyyy-mm-dd"),"(날짜없음)")&amp;"  "&amp;업무일지!$F323&amp;"  "&amp;업무일지!$H323)</f>
        <v/>
      </c>
      <c r="D355" s="122">
        <f>IF(NOT(COUNTBLANK(업무일지!$B323:$AH323)&lt;33),"",TRIM(IF(업무일지!$B323="","시작일 누락; ","")&amp;IF(업무일지!$C323="","종료일 누락; ","")&amp;IF(AND(업무일지!$B323&lt;&gt;"",업무일지!$C323&lt;&gt;"",업무일지!$C323&lt;업무일지!$B323),"종료일이 시작일보다 빠름; ","")&amp;IF(COUNTIF(코드설정!$H$5:$H$7,업무일지!$D323)=0,"직무구분 누락; ","")&amp;IF(업무일지!$E323="","세부유형 누락; ",IF(AND(업무일지!$D323&lt;&gt;"",COUNTIFS(코드설정!$A$5:$A$21,업무일지!$D323,코드설정!$B$5:$B$21,업무일지!$E323)=0),"세부유형이 직무구분과 불일치; ",""))&amp;IF(AND(업무일지!$F323&lt;&gt;"",COUNTIF(사건마스터!$A$5:$A$64,업무일지!$F323)=0),"미등록 사건번호; ","")&amp;IF(AND(업무일지!$F323="",업무일지!$H323=""),"사건번호·업무명 모두 없음; ","")&amp;IF(업무일지!$J323="","담당자 없음; ","")&amp;IF(COUNTIF(코드설정!$F$5:$F$7,업무일지!$AG323)=0,"진행상태 누락; ","")))</f>
        <v/>
      </c>
    </row>
    <row r="356">
      <c r="A356" s="26" t="inlineStr">
        <is>
          <t>업무일지</t>
        </is>
      </c>
      <c r="B356" s="66" t="n">
        <v>324</v>
      </c>
      <c r="C356" s="122">
        <f>IF($D356="","",IFERROR(TEXT(업무일지!$B324,"yyyy-mm-dd"),"(날짜없음)")&amp;"  "&amp;업무일지!$F324&amp;"  "&amp;업무일지!$H324)</f>
        <v/>
      </c>
      <c r="D356" s="122">
        <f>IF(NOT(COUNTBLANK(업무일지!$B324:$AH324)&lt;33),"",TRIM(IF(업무일지!$B324="","시작일 누락; ","")&amp;IF(업무일지!$C324="","종료일 누락; ","")&amp;IF(AND(업무일지!$B324&lt;&gt;"",업무일지!$C324&lt;&gt;"",업무일지!$C324&lt;업무일지!$B324),"종료일이 시작일보다 빠름; ","")&amp;IF(COUNTIF(코드설정!$H$5:$H$7,업무일지!$D324)=0,"직무구분 누락; ","")&amp;IF(업무일지!$E324="","세부유형 누락; ",IF(AND(업무일지!$D324&lt;&gt;"",COUNTIFS(코드설정!$A$5:$A$21,업무일지!$D324,코드설정!$B$5:$B$21,업무일지!$E324)=0),"세부유형이 직무구분과 불일치; ",""))&amp;IF(AND(업무일지!$F324&lt;&gt;"",COUNTIF(사건마스터!$A$5:$A$64,업무일지!$F324)=0),"미등록 사건번호; ","")&amp;IF(AND(업무일지!$F324="",업무일지!$H324=""),"사건번호·업무명 모두 없음; ","")&amp;IF(업무일지!$J324="","담당자 없음; ","")&amp;IF(COUNTIF(코드설정!$F$5:$F$7,업무일지!$AG324)=0,"진행상태 누락; ","")))</f>
        <v/>
      </c>
    </row>
    <row r="357">
      <c r="A357" s="26" t="inlineStr">
        <is>
          <t>업무일지</t>
        </is>
      </c>
      <c r="B357" s="66" t="n">
        <v>325</v>
      </c>
      <c r="C357" s="122">
        <f>IF($D357="","",IFERROR(TEXT(업무일지!$B325,"yyyy-mm-dd"),"(날짜없음)")&amp;"  "&amp;업무일지!$F325&amp;"  "&amp;업무일지!$H325)</f>
        <v/>
      </c>
      <c r="D357" s="122">
        <f>IF(NOT(COUNTBLANK(업무일지!$B325:$AH325)&lt;33),"",TRIM(IF(업무일지!$B325="","시작일 누락; ","")&amp;IF(업무일지!$C325="","종료일 누락; ","")&amp;IF(AND(업무일지!$B325&lt;&gt;"",업무일지!$C325&lt;&gt;"",업무일지!$C325&lt;업무일지!$B325),"종료일이 시작일보다 빠름; ","")&amp;IF(COUNTIF(코드설정!$H$5:$H$7,업무일지!$D325)=0,"직무구분 누락; ","")&amp;IF(업무일지!$E325="","세부유형 누락; ",IF(AND(업무일지!$D325&lt;&gt;"",COUNTIFS(코드설정!$A$5:$A$21,업무일지!$D325,코드설정!$B$5:$B$21,업무일지!$E325)=0),"세부유형이 직무구분과 불일치; ",""))&amp;IF(AND(업무일지!$F325&lt;&gt;"",COUNTIF(사건마스터!$A$5:$A$64,업무일지!$F325)=0),"미등록 사건번호; ","")&amp;IF(AND(업무일지!$F325="",업무일지!$H325=""),"사건번호·업무명 모두 없음; ","")&amp;IF(업무일지!$J325="","담당자 없음; ","")&amp;IF(COUNTIF(코드설정!$F$5:$F$7,업무일지!$AG325)=0,"진행상태 누락; ","")))</f>
        <v/>
      </c>
    </row>
    <row r="358">
      <c r="A358" s="26" t="inlineStr">
        <is>
          <t>업무일지</t>
        </is>
      </c>
      <c r="B358" s="66" t="n">
        <v>326</v>
      </c>
      <c r="C358" s="122">
        <f>IF($D358="","",IFERROR(TEXT(업무일지!$B326,"yyyy-mm-dd"),"(날짜없음)")&amp;"  "&amp;업무일지!$F326&amp;"  "&amp;업무일지!$H326)</f>
        <v/>
      </c>
      <c r="D358" s="122">
        <f>IF(NOT(COUNTBLANK(업무일지!$B326:$AH326)&lt;33),"",TRIM(IF(업무일지!$B326="","시작일 누락; ","")&amp;IF(업무일지!$C326="","종료일 누락; ","")&amp;IF(AND(업무일지!$B326&lt;&gt;"",업무일지!$C326&lt;&gt;"",업무일지!$C326&lt;업무일지!$B326),"종료일이 시작일보다 빠름; ","")&amp;IF(COUNTIF(코드설정!$H$5:$H$7,업무일지!$D326)=0,"직무구분 누락; ","")&amp;IF(업무일지!$E326="","세부유형 누락; ",IF(AND(업무일지!$D326&lt;&gt;"",COUNTIFS(코드설정!$A$5:$A$21,업무일지!$D326,코드설정!$B$5:$B$21,업무일지!$E326)=0),"세부유형이 직무구분과 불일치; ",""))&amp;IF(AND(업무일지!$F326&lt;&gt;"",COUNTIF(사건마스터!$A$5:$A$64,업무일지!$F326)=0),"미등록 사건번호; ","")&amp;IF(AND(업무일지!$F326="",업무일지!$H326=""),"사건번호·업무명 모두 없음; ","")&amp;IF(업무일지!$J326="","담당자 없음; ","")&amp;IF(COUNTIF(코드설정!$F$5:$F$7,업무일지!$AG326)=0,"진행상태 누락; ","")))</f>
        <v/>
      </c>
    </row>
    <row r="359">
      <c r="A359" s="26" t="inlineStr">
        <is>
          <t>업무일지</t>
        </is>
      </c>
      <c r="B359" s="66" t="n">
        <v>327</v>
      </c>
      <c r="C359" s="122">
        <f>IF($D359="","",IFERROR(TEXT(업무일지!$B327,"yyyy-mm-dd"),"(날짜없음)")&amp;"  "&amp;업무일지!$F327&amp;"  "&amp;업무일지!$H327)</f>
        <v/>
      </c>
      <c r="D359" s="122">
        <f>IF(NOT(COUNTBLANK(업무일지!$B327:$AH327)&lt;33),"",TRIM(IF(업무일지!$B327="","시작일 누락; ","")&amp;IF(업무일지!$C327="","종료일 누락; ","")&amp;IF(AND(업무일지!$B327&lt;&gt;"",업무일지!$C327&lt;&gt;"",업무일지!$C327&lt;업무일지!$B327),"종료일이 시작일보다 빠름; ","")&amp;IF(COUNTIF(코드설정!$H$5:$H$7,업무일지!$D327)=0,"직무구분 누락; ","")&amp;IF(업무일지!$E327="","세부유형 누락; ",IF(AND(업무일지!$D327&lt;&gt;"",COUNTIFS(코드설정!$A$5:$A$21,업무일지!$D327,코드설정!$B$5:$B$21,업무일지!$E327)=0),"세부유형이 직무구분과 불일치; ",""))&amp;IF(AND(업무일지!$F327&lt;&gt;"",COUNTIF(사건마스터!$A$5:$A$64,업무일지!$F327)=0),"미등록 사건번호; ","")&amp;IF(AND(업무일지!$F327="",업무일지!$H327=""),"사건번호·업무명 모두 없음; ","")&amp;IF(업무일지!$J327="","담당자 없음; ","")&amp;IF(COUNTIF(코드설정!$F$5:$F$7,업무일지!$AG327)=0,"진행상태 누락; ","")))</f>
        <v/>
      </c>
    </row>
    <row r="360">
      <c r="A360" s="26" t="inlineStr">
        <is>
          <t>업무일지</t>
        </is>
      </c>
      <c r="B360" s="66" t="n">
        <v>328</v>
      </c>
      <c r="C360" s="122">
        <f>IF($D360="","",IFERROR(TEXT(업무일지!$B328,"yyyy-mm-dd"),"(날짜없음)")&amp;"  "&amp;업무일지!$F328&amp;"  "&amp;업무일지!$H328)</f>
        <v/>
      </c>
      <c r="D360" s="122">
        <f>IF(NOT(COUNTBLANK(업무일지!$B328:$AH328)&lt;33),"",TRIM(IF(업무일지!$B328="","시작일 누락; ","")&amp;IF(업무일지!$C328="","종료일 누락; ","")&amp;IF(AND(업무일지!$B328&lt;&gt;"",업무일지!$C328&lt;&gt;"",업무일지!$C328&lt;업무일지!$B328),"종료일이 시작일보다 빠름; ","")&amp;IF(COUNTIF(코드설정!$H$5:$H$7,업무일지!$D328)=0,"직무구분 누락; ","")&amp;IF(업무일지!$E328="","세부유형 누락; ",IF(AND(업무일지!$D328&lt;&gt;"",COUNTIFS(코드설정!$A$5:$A$21,업무일지!$D328,코드설정!$B$5:$B$21,업무일지!$E328)=0),"세부유형이 직무구분과 불일치; ",""))&amp;IF(AND(업무일지!$F328&lt;&gt;"",COUNTIF(사건마스터!$A$5:$A$64,업무일지!$F328)=0),"미등록 사건번호; ","")&amp;IF(AND(업무일지!$F328="",업무일지!$H328=""),"사건번호·업무명 모두 없음; ","")&amp;IF(업무일지!$J328="","담당자 없음; ","")&amp;IF(COUNTIF(코드설정!$F$5:$F$7,업무일지!$AG328)=0,"진행상태 누락; ","")))</f>
        <v/>
      </c>
    </row>
    <row r="361">
      <c r="A361" s="26" t="inlineStr">
        <is>
          <t>업무일지</t>
        </is>
      </c>
      <c r="B361" s="66" t="n">
        <v>329</v>
      </c>
      <c r="C361" s="122">
        <f>IF($D361="","",IFERROR(TEXT(업무일지!$B329,"yyyy-mm-dd"),"(날짜없음)")&amp;"  "&amp;업무일지!$F329&amp;"  "&amp;업무일지!$H329)</f>
        <v/>
      </c>
      <c r="D361" s="122">
        <f>IF(NOT(COUNTBLANK(업무일지!$B329:$AH329)&lt;33),"",TRIM(IF(업무일지!$B329="","시작일 누락; ","")&amp;IF(업무일지!$C329="","종료일 누락; ","")&amp;IF(AND(업무일지!$B329&lt;&gt;"",업무일지!$C329&lt;&gt;"",업무일지!$C329&lt;업무일지!$B329),"종료일이 시작일보다 빠름; ","")&amp;IF(COUNTIF(코드설정!$H$5:$H$7,업무일지!$D329)=0,"직무구분 누락; ","")&amp;IF(업무일지!$E329="","세부유형 누락; ",IF(AND(업무일지!$D329&lt;&gt;"",COUNTIFS(코드설정!$A$5:$A$21,업무일지!$D329,코드설정!$B$5:$B$21,업무일지!$E329)=0),"세부유형이 직무구분과 불일치; ",""))&amp;IF(AND(업무일지!$F329&lt;&gt;"",COUNTIF(사건마스터!$A$5:$A$64,업무일지!$F329)=0),"미등록 사건번호; ","")&amp;IF(AND(업무일지!$F329="",업무일지!$H329=""),"사건번호·업무명 모두 없음; ","")&amp;IF(업무일지!$J329="","담당자 없음; ","")&amp;IF(COUNTIF(코드설정!$F$5:$F$7,업무일지!$AG329)=0,"진행상태 누락; ","")))</f>
        <v/>
      </c>
    </row>
    <row r="362">
      <c r="A362" s="26" t="inlineStr">
        <is>
          <t>업무일지</t>
        </is>
      </c>
      <c r="B362" s="66" t="n">
        <v>330</v>
      </c>
      <c r="C362" s="122">
        <f>IF($D362="","",IFERROR(TEXT(업무일지!$B330,"yyyy-mm-dd"),"(날짜없음)")&amp;"  "&amp;업무일지!$F330&amp;"  "&amp;업무일지!$H330)</f>
        <v/>
      </c>
      <c r="D362" s="122">
        <f>IF(NOT(COUNTBLANK(업무일지!$B330:$AH330)&lt;33),"",TRIM(IF(업무일지!$B330="","시작일 누락; ","")&amp;IF(업무일지!$C330="","종료일 누락; ","")&amp;IF(AND(업무일지!$B330&lt;&gt;"",업무일지!$C330&lt;&gt;"",업무일지!$C330&lt;업무일지!$B330),"종료일이 시작일보다 빠름; ","")&amp;IF(COUNTIF(코드설정!$H$5:$H$7,업무일지!$D330)=0,"직무구분 누락; ","")&amp;IF(업무일지!$E330="","세부유형 누락; ",IF(AND(업무일지!$D330&lt;&gt;"",COUNTIFS(코드설정!$A$5:$A$21,업무일지!$D330,코드설정!$B$5:$B$21,업무일지!$E330)=0),"세부유형이 직무구분과 불일치; ",""))&amp;IF(AND(업무일지!$F330&lt;&gt;"",COUNTIF(사건마스터!$A$5:$A$64,업무일지!$F330)=0),"미등록 사건번호; ","")&amp;IF(AND(업무일지!$F330="",업무일지!$H330=""),"사건번호·업무명 모두 없음; ","")&amp;IF(업무일지!$J330="","담당자 없음; ","")&amp;IF(COUNTIF(코드설정!$F$5:$F$7,업무일지!$AG330)=0,"진행상태 누락; ","")))</f>
        <v/>
      </c>
    </row>
    <row r="363">
      <c r="A363" s="26" t="inlineStr">
        <is>
          <t>업무일지</t>
        </is>
      </c>
      <c r="B363" s="66" t="n">
        <v>331</v>
      </c>
      <c r="C363" s="122">
        <f>IF($D363="","",IFERROR(TEXT(업무일지!$B331,"yyyy-mm-dd"),"(날짜없음)")&amp;"  "&amp;업무일지!$F331&amp;"  "&amp;업무일지!$H331)</f>
        <v/>
      </c>
      <c r="D363" s="122">
        <f>IF(NOT(COUNTBLANK(업무일지!$B331:$AH331)&lt;33),"",TRIM(IF(업무일지!$B331="","시작일 누락; ","")&amp;IF(업무일지!$C331="","종료일 누락; ","")&amp;IF(AND(업무일지!$B331&lt;&gt;"",업무일지!$C331&lt;&gt;"",업무일지!$C331&lt;업무일지!$B331),"종료일이 시작일보다 빠름; ","")&amp;IF(COUNTIF(코드설정!$H$5:$H$7,업무일지!$D331)=0,"직무구분 누락; ","")&amp;IF(업무일지!$E331="","세부유형 누락; ",IF(AND(업무일지!$D331&lt;&gt;"",COUNTIFS(코드설정!$A$5:$A$21,업무일지!$D331,코드설정!$B$5:$B$21,업무일지!$E331)=0),"세부유형이 직무구분과 불일치; ",""))&amp;IF(AND(업무일지!$F331&lt;&gt;"",COUNTIF(사건마스터!$A$5:$A$64,업무일지!$F331)=0),"미등록 사건번호; ","")&amp;IF(AND(업무일지!$F331="",업무일지!$H331=""),"사건번호·업무명 모두 없음; ","")&amp;IF(업무일지!$J331="","담당자 없음; ","")&amp;IF(COUNTIF(코드설정!$F$5:$F$7,업무일지!$AG331)=0,"진행상태 누락; ","")))</f>
        <v/>
      </c>
    </row>
    <row r="364">
      <c r="A364" s="26" t="inlineStr">
        <is>
          <t>업무일지</t>
        </is>
      </c>
      <c r="B364" s="66" t="n">
        <v>332</v>
      </c>
      <c r="C364" s="122">
        <f>IF($D364="","",IFERROR(TEXT(업무일지!$B332,"yyyy-mm-dd"),"(날짜없음)")&amp;"  "&amp;업무일지!$F332&amp;"  "&amp;업무일지!$H332)</f>
        <v/>
      </c>
      <c r="D364" s="122">
        <f>IF(NOT(COUNTBLANK(업무일지!$B332:$AH332)&lt;33),"",TRIM(IF(업무일지!$B332="","시작일 누락; ","")&amp;IF(업무일지!$C332="","종료일 누락; ","")&amp;IF(AND(업무일지!$B332&lt;&gt;"",업무일지!$C332&lt;&gt;"",업무일지!$C332&lt;업무일지!$B332),"종료일이 시작일보다 빠름; ","")&amp;IF(COUNTIF(코드설정!$H$5:$H$7,업무일지!$D332)=0,"직무구분 누락; ","")&amp;IF(업무일지!$E332="","세부유형 누락; ",IF(AND(업무일지!$D332&lt;&gt;"",COUNTIFS(코드설정!$A$5:$A$21,업무일지!$D332,코드설정!$B$5:$B$21,업무일지!$E332)=0),"세부유형이 직무구분과 불일치; ",""))&amp;IF(AND(업무일지!$F332&lt;&gt;"",COUNTIF(사건마스터!$A$5:$A$64,업무일지!$F332)=0),"미등록 사건번호; ","")&amp;IF(AND(업무일지!$F332="",업무일지!$H332=""),"사건번호·업무명 모두 없음; ","")&amp;IF(업무일지!$J332="","담당자 없음; ","")&amp;IF(COUNTIF(코드설정!$F$5:$F$7,업무일지!$AG332)=0,"진행상태 누락; ","")))</f>
        <v/>
      </c>
    </row>
    <row r="365">
      <c r="A365" s="26" t="inlineStr">
        <is>
          <t>업무일지</t>
        </is>
      </c>
      <c r="B365" s="66" t="n">
        <v>333</v>
      </c>
      <c r="C365" s="122">
        <f>IF($D365="","",IFERROR(TEXT(업무일지!$B333,"yyyy-mm-dd"),"(날짜없음)")&amp;"  "&amp;업무일지!$F333&amp;"  "&amp;업무일지!$H333)</f>
        <v/>
      </c>
      <c r="D365" s="122">
        <f>IF(NOT(COUNTBLANK(업무일지!$B333:$AH333)&lt;33),"",TRIM(IF(업무일지!$B333="","시작일 누락; ","")&amp;IF(업무일지!$C333="","종료일 누락; ","")&amp;IF(AND(업무일지!$B333&lt;&gt;"",업무일지!$C333&lt;&gt;"",업무일지!$C333&lt;업무일지!$B333),"종료일이 시작일보다 빠름; ","")&amp;IF(COUNTIF(코드설정!$H$5:$H$7,업무일지!$D333)=0,"직무구분 누락; ","")&amp;IF(업무일지!$E333="","세부유형 누락; ",IF(AND(업무일지!$D333&lt;&gt;"",COUNTIFS(코드설정!$A$5:$A$21,업무일지!$D333,코드설정!$B$5:$B$21,업무일지!$E333)=0),"세부유형이 직무구분과 불일치; ",""))&amp;IF(AND(업무일지!$F333&lt;&gt;"",COUNTIF(사건마스터!$A$5:$A$64,업무일지!$F333)=0),"미등록 사건번호; ","")&amp;IF(AND(업무일지!$F333="",업무일지!$H333=""),"사건번호·업무명 모두 없음; ","")&amp;IF(업무일지!$J333="","담당자 없음; ","")&amp;IF(COUNTIF(코드설정!$F$5:$F$7,업무일지!$AG333)=0,"진행상태 누락; ","")))</f>
        <v/>
      </c>
    </row>
    <row r="366">
      <c r="A366" s="26" t="inlineStr">
        <is>
          <t>업무일지</t>
        </is>
      </c>
      <c r="B366" s="66" t="n">
        <v>334</v>
      </c>
      <c r="C366" s="122">
        <f>IF($D366="","",IFERROR(TEXT(업무일지!$B334,"yyyy-mm-dd"),"(날짜없음)")&amp;"  "&amp;업무일지!$F334&amp;"  "&amp;업무일지!$H334)</f>
        <v/>
      </c>
      <c r="D366" s="122">
        <f>IF(NOT(COUNTBLANK(업무일지!$B334:$AH334)&lt;33),"",TRIM(IF(업무일지!$B334="","시작일 누락; ","")&amp;IF(업무일지!$C334="","종료일 누락; ","")&amp;IF(AND(업무일지!$B334&lt;&gt;"",업무일지!$C334&lt;&gt;"",업무일지!$C334&lt;업무일지!$B334),"종료일이 시작일보다 빠름; ","")&amp;IF(COUNTIF(코드설정!$H$5:$H$7,업무일지!$D334)=0,"직무구분 누락; ","")&amp;IF(업무일지!$E334="","세부유형 누락; ",IF(AND(업무일지!$D334&lt;&gt;"",COUNTIFS(코드설정!$A$5:$A$21,업무일지!$D334,코드설정!$B$5:$B$21,업무일지!$E334)=0),"세부유형이 직무구분과 불일치; ",""))&amp;IF(AND(업무일지!$F334&lt;&gt;"",COUNTIF(사건마스터!$A$5:$A$64,업무일지!$F334)=0),"미등록 사건번호; ","")&amp;IF(AND(업무일지!$F334="",업무일지!$H334=""),"사건번호·업무명 모두 없음; ","")&amp;IF(업무일지!$J334="","담당자 없음; ","")&amp;IF(COUNTIF(코드설정!$F$5:$F$7,업무일지!$AG334)=0,"진행상태 누락; ","")))</f>
        <v/>
      </c>
    </row>
    <row r="367">
      <c r="A367" s="26" t="inlineStr">
        <is>
          <t>업무일지</t>
        </is>
      </c>
      <c r="B367" s="66" t="n">
        <v>335</v>
      </c>
      <c r="C367" s="122">
        <f>IF($D367="","",IFERROR(TEXT(업무일지!$B335,"yyyy-mm-dd"),"(날짜없음)")&amp;"  "&amp;업무일지!$F335&amp;"  "&amp;업무일지!$H335)</f>
        <v/>
      </c>
      <c r="D367" s="122">
        <f>IF(NOT(COUNTBLANK(업무일지!$B335:$AH335)&lt;33),"",TRIM(IF(업무일지!$B335="","시작일 누락; ","")&amp;IF(업무일지!$C335="","종료일 누락; ","")&amp;IF(AND(업무일지!$B335&lt;&gt;"",업무일지!$C335&lt;&gt;"",업무일지!$C335&lt;업무일지!$B335),"종료일이 시작일보다 빠름; ","")&amp;IF(COUNTIF(코드설정!$H$5:$H$7,업무일지!$D335)=0,"직무구분 누락; ","")&amp;IF(업무일지!$E335="","세부유형 누락; ",IF(AND(업무일지!$D335&lt;&gt;"",COUNTIFS(코드설정!$A$5:$A$21,업무일지!$D335,코드설정!$B$5:$B$21,업무일지!$E335)=0),"세부유형이 직무구분과 불일치; ",""))&amp;IF(AND(업무일지!$F335&lt;&gt;"",COUNTIF(사건마스터!$A$5:$A$64,업무일지!$F335)=0),"미등록 사건번호; ","")&amp;IF(AND(업무일지!$F335="",업무일지!$H335=""),"사건번호·업무명 모두 없음; ","")&amp;IF(업무일지!$J335="","담당자 없음; ","")&amp;IF(COUNTIF(코드설정!$F$5:$F$7,업무일지!$AG335)=0,"진행상태 누락; ","")))</f>
        <v/>
      </c>
    </row>
    <row r="368">
      <c r="A368" s="26" t="inlineStr">
        <is>
          <t>업무일지</t>
        </is>
      </c>
      <c r="B368" s="66" t="n">
        <v>336</v>
      </c>
      <c r="C368" s="122">
        <f>IF($D368="","",IFERROR(TEXT(업무일지!$B336,"yyyy-mm-dd"),"(날짜없음)")&amp;"  "&amp;업무일지!$F336&amp;"  "&amp;업무일지!$H336)</f>
        <v/>
      </c>
      <c r="D368" s="122">
        <f>IF(NOT(COUNTBLANK(업무일지!$B336:$AH336)&lt;33),"",TRIM(IF(업무일지!$B336="","시작일 누락; ","")&amp;IF(업무일지!$C336="","종료일 누락; ","")&amp;IF(AND(업무일지!$B336&lt;&gt;"",업무일지!$C336&lt;&gt;"",업무일지!$C336&lt;업무일지!$B336),"종료일이 시작일보다 빠름; ","")&amp;IF(COUNTIF(코드설정!$H$5:$H$7,업무일지!$D336)=0,"직무구분 누락; ","")&amp;IF(업무일지!$E336="","세부유형 누락; ",IF(AND(업무일지!$D336&lt;&gt;"",COUNTIFS(코드설정!$A$5:$A$21,업무일지!$D336,코드설정!$B$5:$B$21,업무일지!$E336)=0),"세부유형이 직무구분과 불일치; ",""))&amp;IF(AND(업무일지!$F336&lt;&gt;"",COUNTIF(사건마스터!$A$5:$A$64,업무일지!$F336)=0),"미등록 사건번호; ","")&amp;IF(AND(업무일지!$F336="",업무일지!$H336=""),"사건번호·업무명 모두 없음; ","")&amp;IF(업무일지!$J336="","담당자 없음; ","")&amp;IF(COUNTIF(코드설정!$F$5:$F$7,업무일지!$AG336)=0,"진행상태 누락; ","")))</f>
        <v/>
      </c>
    </row>
    <row r="369">
      <c r="A369" s="26" t="inlineStr">
        <is>
          <t>업무일지</t>
        </is>
      </c>
      <c r="B369" s="66" t="n">
        <v>337</v>
      </c>
      <c r="C369" s="122">
        <f>IF($D369="","",IFERROR(TEXT(업무일지!$B337,"yyyy-mm-dd"),"(날짜없음)")&amp;"  "&amp;업무일지!$F337&amp;"  "&amp;업무일지!$H337)</f>
        <v/>
      </c>
      <c r="D369" s="122">
        <f>IF(NOT(COUNTBLANK(업무일지!$B337:$AH337)&lt;33),"",TRIM(IF(업무일지!$B337="","시작일 누락; ","")&amp;IF(업무일지!$C337="","종료일 누락; ","")&amp;IF(AND(업무일지!$B337&lt;&gt;"",업무일지!$C337&lt;&gt;"",업무일지!$C337&lt;업무일지!$B337),"종료일이 시작일보다 빠름; ","")&amp;IF(COUNTIF(코드설정!$H$5:$H$7,업무일지!$D337)=0,"직무구분 누락; ","")&amp;IF(업무일지!$E337="","세부유형 누락; ",IF(AND(업무일지!$D337&lt;&gt;"",COUNTIFS(코드설정!$A$5:$A$21,업무일지!$D337,코드설정!$B$5:$B$21,업무일지!$E337)=0),"세부유형이 직무구분과 불일치; ",""))&amp;IF(AND(업무일지!$F337&lt;&gt;"",COUNTIF(사건마스터!$A$5:$A$64,업무일지!$F337)=0),"미등록 사건번호; ","")&amp;IF(AND(업무일지!$F337="",업무일지!$H337=""),"사건번호·업무명 모두 없음; ","")&amp;IF(업무일지!$J337="","담당자 없음; ","")&amp;IF(COUNTIF(코드설정!$F$5:$F$7,업무일지!$AG337)=0,"진행상태 누락; ","")))</f>
        <v/>
      </c>
    </row>
    <row r="370">
      <c r="A370" s="26" t="inlineStr">
        <is>
          <t>업무일지</t>
        </is>
      </c>
      <c r="B370" s="66" t="n">
        <v>338</v>
      </c>
      <c r="C370" s="122">
        <f>IF($D370="","",IFERROR(TEXT(업무일지!$B338,"yyyy-mm-dd"),"(날짜없음)")&amp;"  "&amp;업무일지!$F338&amp;"  "&amp;업무일지!$H338)</f>
        <v/>
      </c>
      <c r="D370" s="122">
        <f>IF(NOT(COUNTBLANK(업무일지!$B338:$AH338)&lt;33),"",TRIM(IF(업무일지!$B338="","시작일 누락; ","")&amp;IF(업무일지!$C338="","종료일 누락; ","")&amp;IF(AND(업무일지!$B338&lt;&gt;"",업무일지!$C338&lt;&gt;"",업무일지!$C338&lt;업무일지!$B338),"종료일이 시작일보다 빠름; ","")&amp;IF(COUNTIF(코드설정!$H$5:$H$7,업무일지!$D338)=0,"직무구분 누락; ","")&amp;IF(업무일지!$E338="","세부유형 누락; ",IF(AND(업무일지!$D338&lt;&gt;"",COUNTIFS(코드설정!$A$5:$A$21,업무일지!$D338,코드설정!$B$5:$B$21,업무일지!$E338)=0),"세부유형이 직무구분과 불일치; ",""))&amp;IF(AND(업무일지!$F338&lt;&gt;"",COUNTIF(사건마스터!$A$5:$A$64,업무일지!$F338)=0),"미등록 사건번호; ","")&amp;IF(AND(업무일지!$F338="",업무일지!$H338=""),"사건번호·업무명 모두 없음; ","")&amp;IF(업무일지!$J338="","담당자 없음; ","")&amp;IF(COUNTIF(코드설정!$F$5:$F$7,업무일지!$AG338)=0,"진행상태 누락; ","")))</f>
        <v/>
      </c>
    </row>
    <row r="371">
      <c r="A371" s="26" t="inlineStr">
        <is>
          <t>업무일지</t>
        </is>
      </c>
      <c r="B371" s="66" t="n">
        <v>339</v>
      </c>
      <c r="C371" s="122">
        <f>IF($D371="","",IFERROR(TEXT(업무일지!$B339,"yyyy-mm-dd"),"(날짜없음)")&amp;"  "&amp;업무일지!$F339&amp;"  "&amp;업무일지!$H339)</f>
        <v/>
      </c>
      <c r="D371" s="122">
        <f>IF(NOT(COUNTBLANK(업무일지!$B339:$AH339)&lt;33),"",TRIM(IF(업무일지!$B339="","시작일 누락; ","")&amp;IF(업무일지!$C339="","종료일 누락; ","")&amp;IF(AND(업무일지!$B339&lt;&gt;"",업무일지!$C339&lt;&gt;"",업무일지!$C339&lt;업무일지!$B339),"종료일이 시작일보다 빠름; ","")&amp;IF(COUNTIF(코드설정!$H$5:$H$7,업무일지!$D339)=0,"직무구분 누락; ","")&amp;IF(업무일지!$E339="","세부유형 누락; ",IF(AND(업무일지!$D339&lt;&gt;"",COUNTIFS(코드설정!$A$5:$A$21,업무일지!$D339,코드설정!$B$5:$B$21,업무일지!$E339)=0),"세부유형이 직무구분과 불일치; ",""))&amp;IF(AND(업무일지!$F339&lt;&gt;"",COUNTIF(사건마스터!$A$5:$A$64,업무일지!$F339)=0),"미등록 사건번호; ","")&amp;IF(AND(업무일지!$F339="",업무일지!$H339=""),"사건번호·업무명 모두 없음; ","")&amp;IF(업무일지!$J339="","담당자 없음; ","")&amp;IF(COUNTIF(코드설정!$F$5:$F$7,업무일지!$AG339)=0,"진행상태 누락; ","")))</f>
        <v/>
      </c>
    </row>
    <row r="372">
      <c r="A372" s="26" t="inlineStr">
        <is>
          <t>업무일지</t>
        </is>
      </c>
      <c r="B372" s="66" t="n">
        <v>340</v>
      </c>
      <c r="C372" s="122">
        <f>IF($D372="","",IFERROR(TEXT(업무일지!$B340,"yyyy-mm-dd"),"(날짜없음)")&amp;"  "&amp;업무일지!$F340&amp;"  "&amp;업무일지!$H340)</f>
        <v/>
      </c>
      <c r="D372" s="122">
        <f>IF(NOT(COUNTBLANK(업무일지!$B340:$AH340)&lt;33),"",TRIM(IF(업무일지!$B340="","시작일 누락; ","")&amp;IF(업무일지!$C340="","종료일 누락; ","")&amp;IF(AND(업무일지!$B340&lt;&gt;"",업무일지!$C340&lt;&gt;"",업무일지!$C340&lt;업무일지!$B340),"종료일이 시작일보다 빠름; ","")&amp;IF(COUNTIF(코드설정!$H$5:$H$7,업무일지!$D340)=0,"직무구분 누락; ","")&amp;IF(업무일지!$E340="","세부유형 누락; ",IF(AND(업무일지!$D340&lt;&gt;"",COUNTIFS(코드설정!$A$5:$A$21,업무일지!$D340,코드설정!$B$5:$B$21,업무일지!$E340)=0),"세부유형이 직무구분과 불일치; ",""))&amp;IF(AND(업무일지!$F340&lt;&gt;"",COUNTIF(사건마스터!$A$5:$A$64,업무일지!$F340)=0),"미등록 사건번호; ","")&amp;IF(AND(업무일지!$F340="",업무일지!$H340=""),"사건번호·업무명 모두 없음; ","")&amp;IF(업무일지!$J340="","담당자 없음; ","")&amp;IF(COUNTIF(코드설정!$F$5:$F$7,업무일지!$AG340)=0,"진행상태 누락; ","")))</f>
        <v/>
      </c>
    </row>
    <row r="373">
      <c r="A373" s="26" t="inlineStr">
        <is>
          <t>업무일지</t>
        </is>
      </c>
      <c r="B373" s="66" t="n">
        <v>341</v>
      </c>
      <c r="C373" s="122">
        <f>IF($D373="","",IFERROR(TEXT(업무일지!$B341,"yyyy-mm-dd"),"(날짜없음)")&amp;"  "&amp;업무일지!$F341&amp;"  "&amp;업무일지!$H341)</f>
        <v/>
      </c>
      <c r="D373" s="122">
        <f>IF(NOT(COUNTBLANK(업무일지!$B341:$AH341)&lt;33),"",TRIM(IF(업무일지!$B341="","시작일 누락; ","")&amp;IF(업무일지!$C341="","종료일 누락; ","")&amp;IF(AND(업무일지!$B341&lt;&gt;"",업무일지!$C341&lt;&gt;"",업무일지!$C341&lt;업무일지!$B341),"종료일이 시작일보다 빠름; ","")&amp;IF(COUNTIF(코드설정!$H$5:$H$7,업무일지!$D341)=0,"직무구분 누락; ","")&amp;IF(업무일지!$E341="","세부유형 누락; ",IF(AND(업무일지!$D341&lt;&gt;"",COUNTIFS(코드설정!$A$5:$A$21,업무일지!$D341,코드설정!$B$5:$B$21,업무일지!$E341)=0),"세부유형이 직무구분과 불일치; ",""))&amp;IF(AND(업무일지!$F341&lt;&gt;"",COUNTIF(사건마스터!$A$5:$A$64,업무일지!$F341)=0),"미등록 사건번호; ","")&amp;IF(AND(업무일지!$F341="",업무일지!$H341=""),"사건번호·업무명 모두 없음; ","")&amp;IF(업무일지!$J341="","담당자 없음; ","")&amp;IF(COUNTIF(코드설정!$F$5:$F$7,업무일지!$AG341)=0,"진행상태 누락; ","")))</f>
        <v/>
      </c>
    </row>
    <row r="374">
      <c r="A374" s="26" t="inlineStr">
        <is>
          <t>업무일지</t>
        </is>
      </c>
      <c r="B374" s="66" t="n">
        <v>342</v>
      </c>
      <c r="C374" s="122">
        <f>IF($D374="","",IFERROR(TEXT(업무일지!$B342,"yyyy-mm-dd"),"(날짜없음)")&amp;"  "&amp;업무일지!$F342&amp;"  "&amp;업무일지!$H342)</f>
        <v/>
      </c>
      <c r="D374" s="122">
        <f>IF(NOT(COUNTBLANK(업무일지!$B342:$AH342)&lt;33),"",TRIM(IF(업무일지!$B342="","시작일 누락; ","")&amp;IF(업무일지!$C342="","종료일 누락; ","")&amp;IF(AND(업무일지!$B342&lt;&gt;"",업무일지!$C342&lt;&gt;"",업무일지!$C342&lt;업무일지!$B342),"종료일이 시작일보다 빠름; ","")&amp;IF(COUNTIF(코드설정!$H$5:$H$7,업무일지!$D342)=0,"직무구분 누락; ","")&amp;IF(업무일지!$E342="","세부유형 누락; ",IF(AND(업무일지!$D342&lt;&gt;"",COUNTIFS(코드설정!$A$5:$A$21,업무일지!$D342,코드설정!$B$5:$B$21,업무일지!$E342)=0),"세부유형이 직무구분과 불일치; ",""))&amp;IF(AND(업무일지!$F342&lt;&gt;"",COUNTIF(사건마스터!$A$5:$A$64,업무일지!$F342)=0),"미등록 사건번호; ","")&amp;IF(AND(업무일지!$F342="",업무일지!$H342=""),"사건번호·업무명 모두 없음; ","")&amp;IF(업무일지!$J342="","담당자 없음; ","")&amp;IF(COUNTIF(코드설정!$F$5:$F$7,업무일지!$AG342)=0,"진행상태 누락; ","")))</f>
        <v/>
      </c>
    </row>
    <row r="375">
      <c r="A375" s="26" t="inlineStr">
        <is>
          <t>업무일지</t>
        </is>
      </c>
      <c r="B375" s="66" t="n">
        <v>343</v>
      </c>
      <c r="C375" s="122">
        <f>IF($D375="","",IFERROR(TEXT(업무일지!$B343,"yyyy-mm-dd"),"(날짜없음)")&amp;"  "&amp;업무일지!$F343&amp;"  "&amp;업무일지!$H343)</f>
        <v/>
      </c>
      <c r="D375" s="122">
        <f>IF(NOT(COUNTBLANK(업무일지!$B343:$AH343)&lt;33),"",TRIM(IF(업무일지!$B343="","시작일 누락; ","")&amp;IF(업무일지!$C343="","종료일 누락; ","")&amp;IF(AND(업무일지!$B343&lt;&gt;"",업무일지!$C343&lt;&gt;"",업무일지!$C343&lt;업무일지!$B343),"종료일이 시작일보다 빠름; ","")&amp;IF(COUNTIF(코드설정!$H$5:$H$7,업무일지!$D343)=0,"직무구분 누락; ","")&amp;IF(업무일지!$E343="","세부유형 누락; ",IF(AND(업무일지!$D343&lt;&gt;"",COUNTIFS(코드설정!$A$5:$A$21,업무일지!$D343,코드설정!$B$5:$B$21,업무일지!$E343)=0),"세부유형이 직무구분과 불일치; ",""))&amp;IF(AND(업무일지!$F343&lt;&gt;"",COUNTIF(사건마스터!$A$5:$A$64,업무일지!$F343)=0),"미등록 사건번호; ","")&amp;IF(AND(업무일지!$F343="",업무일지!$H343=""),"사건번호·업무명 모두 없음; ","")&amp;IF(업무일지!$J343="","담당자 없음; ","")&amp;IF(COUNTIF(코드설정!$F$5:$F$7,업무일지!$AG343)=0,"진행상태 누락; ","")))</f>
        <v/>
      </c>
    </row>
    <row r="376">
      <c r="A376" s="26" t="inlineStr">
        <is>
          <t>업무일지</t>
        </is>
      </c>
      <c r="B376" s="66" t="n">
        <v>344</v>
      </c>
      <c r="C376" s="122">
        <f>IF($D376="","",IFERROR(TEXT(업무일지!$B344,"yyyy-mm-dd"),"(날짜없음)")&amp;"  "&amp;업무일지!$F344&amp;"  "&amp;업무일지!$H344)</f>
        <v/>
      </c>
      <c r="D376" s="122">
        <f>IF(NOT(COUNTBLANK(업무일지!$B344:$AH344)&lt;33),"",TRIM(IF(업무일지!$B344="","시작일 누락; ","")&amp;IF(업무일지!$C344="","종료일 누락; ","")&amp;IF(AND(업무일지!$B344&lt;&gt;"",업무일지!$C344&lt;&gt;"",업무일지!$C344&lt;업무일지!$B344),"종료일이 시작일보다 빠름; ","")&amp;IF(COUNTIF(코드설정!$H$5:$H$7,업무일지!$D344)=0,"직무구분 누락; ","")&amp;IF(업무일지!$E344="","세부유형 누락; ",IF(AND(업무일지!$D344&lt;&gt;"",COUNTIFS(코드설정!$A$5:$A$21,업무일지!$D344,코드설정!$B$5:$B$21,업무일지!$E344)=0),"세부유형이 직무구분과 불일치; ",""))&amp;IF(AND(업무일지!$F344&lt;&gt;"",COUNTIF(사건마스터!$A$5:$A$64,업무일지!$F344)=0),"미등록 사건번호; ","")&amp;IF(AND(업무일지!$F344="",업무일지!$H344=""),"사건번호·업무명 모두 없음; ","")&amp;IF(업무일지!$J344="","담당자 없음; ","")&amp;IF(COUNTIF(코드설정!$F$5:$F$7,업무일지!$AG344)=0,"진행상태 누락; ","")))</f>
        <v/>
      </c>
    </row>
    <row r="377">
      <c r="A377" s="26" t="inlineStr">
        <is>
          <t>업무일지</t>
        </is>
      </c>
      <c r="B377" s="66" t="n">
        <v>345</v>
      </c>
      <c r="C377" s="122">
        <f>IF($D377="","",IFERROR(TEXT(업무일지!$B345,"yyyy-mm-dd"),"(날짜없음)")&amp;"  "&amp;업무일지!$F345&amp;"  "&amp;업무일지!$H345)</f>
        <v/>
      </c>
      <c r="D377" s="122">
        <f>IF(NOT(COUNTBLANK(업무일지!$B345:$AH345)&lt;33),"",TRIM(IF(업무일지!$B345="","시작일 누락; ","")&amp;IF(업무일지!$C345="","종료일 누락; ","")&amp;IF(AND(업무일지!$B345&lt;&gt;"",업무일지!$C345&lt;&gt;"",업무일지!$C345&lt;업무일지!$B345),"종료일이 시작일보다 빠름; ","")&amp;IF(COUNTIF(코드설정!$H$5:$H$7,업무일지!$D345)=0,"직무구분 누락; ","")&amp;IF(업무일지!$E345="","세부유형 누락; ",IF(AND(업무일지!$D345&lt;&gt;"",COUNTIFS(코드설정!$A$5:$A$21,업무일지!$D345,코드설정!$B$5:$B$21,업무일지!$E345)=0),"세부유형이 직무구분과 불일치; ",""))&amp;IF(AND(업무일지!$F345&lt;&gt;"",COUNTIF(사건마스터!$A$5:$A$64,업무일지!$F345)=0),"미등록 사건번호; ","")&amp;IF(AND(업무일지!$F345="",업무일지!$H345=""),"사건번호·업무명 모두 없음; ","")&amp;IF(업무일지!$J345="","담당자 없음; ","")&amp;IF(COUNTIF(코드설정!$F$5:$F$7,업무일지!$AG345)=0,"진행상태 누락; ","")))</f>
        <v/>
      </c>
    </row>
    <row r="378">
      <c r="A378" s="26" t="inlineStr">
        <is>
          <t>업무일지</t>
        </is>
      </c>
      <c r="B378" s="66" t="n">
        <v>346</v>
      </c>
      <c r="C378" s="122">
        <f>IF($D378="","",IFERROR(TEXT(업무일지!$B346,"yyyy-mm-dd"),"(날짜없음)")&amp;"  "&amp;업무일지!$F346&amp;"  "&amp;업무일지!$H346)</f>
        <v/>
      </c>
      <c r="D378" s="122">
        <f>IF(NOT(COUNTBLANK(업무일지!$B346:$AH346)&lt;33),"",TRIM(IF(업무일지!$B346="","시작일 누락; ","")&amp;IF(업무일지!$C346="","종료일 누락; ","")&amp;IF(AND(업무일지!$B346&lt;&gt;"",업무일지!$C346&lt;&gt;"",업무일지!$C346&lt;업무일지!$B346),"종료일이 시작일보다 빠름; ","")&amp;IF(COUNTIF(코드설정!$H$5:$H$7,업무일지!$D346)=0,"직무구분 누락; ","")&amp;IF(업무일지!$E346="","세부유형 누락; ",IF(AND(업무일지!$D346&lt;&gt;"",COUNTIFS(코드설정!$A$5:$A$21,업무일지!$D346,코드설정!$B$5:$B$21,업무일지!$E346)=0),"세부유형이 직무구분과 불일치; ",""))&amp;IF(AND(업무일지!$F346&lt;&gt;"",COUNTIF(사건마스터!$A$5:$A$64,업무일지!$F346)=0),"미등록 사건번호; ","")&amp;IF(AND(업무일지!$F346="",업무일지!$H346=""),"사건번호·업무명 모두 없음; ","")&amp;IF(업무일지!$J346="","담당자 없음; ","")&amp;IF(COUNTIF(코드설정!$F$5:$F$7,업무일지!$AG346)=0,"진행상태 누락; ","")))</f>
        <v/>
      </c>
    </row>
    <row r="379">
      <c r="A379" s="26" t="inlineStr">
        <is>
          <t>업무일지</t>
        </is>
      </c>
      <c r="B379" s="66" t="n">
        <v>347</v>
      </c>
      <c r="C379" s="122">
        <f>IF($D379="","",IFERROR(TEXT(업무일지!$B347,"yyyy-mm-dd"),"(날짜없음)")&amp;"  "&amp;업무일지!$F347&amp;"  "&amp;업무일지!$H347)</f>
        <v/>
      </c>
      <c r="D379" s="122">
        <f>IF(NOT(COUNTBLANK(업무일지!$B347:$AH347)&lt;33),"",TRIM(IF(업무일지!$B347="","시작일 누락; ","")&amp;IF(업무일지!$C347="","종료일 누락; ","")&amp;IF(AND(업무일지!$B347&lt;&gt;"",업무일지!$C347&lt;&gt;"",업무일지!$C347&lt;업무일지!$B347),"종료일이 시작일보다 빠름; ","")&amp;IF(COUNTIF(코드설정!$H$5:$H$7,업무일지!$D347)=0,"직무구분 누락; ","")&amp;IF(업무일지!$E347="","세부유형 누락; ",IF(AND(업무일지!$D347&lt;&gt;"",COUNTIFS(코드설정!$A$5:$A$21,업무일지!$D347,코드설정!$B$5:$B$21,업무일지!$E347)=0),"세부유형이 직무구분과 불일치; ",""))&amp;IF(AND(업무일지!$F347&lt;&gt;"",COUNTIF(사건마스터!$A$5:$A$64,업무일지!$F347)=0),"미등록 사건번호; ","")&amp;IF(AND(업무일지!$F347="",업무일지!$H347=""),"사건번호·업무명 모두 없음; ","")&amp;IF(업무일지!$J347="","담당자 없음; ","")&amp;IF(COUNTIF(코드설정!$F$5:$F$7,업무일지!$AG347)=0,"진행상태 누락; ","")))</f>
        <v/>
      </c>
    </row>
    <row r="380">
      <c r="A380" s="26" t="inlineStr">
        <is>
          <t>업무일지</t>
        </is>
      </c>
      <c r="B380" s="66" t="n">
        <v>348</v>
      </c>
      <c r="C380" s="122">
        <f>IF($D380="","",IFERROR(TEXT(업무일지!$B348,"yyyy-mm-dd"),"(날짜없음)")&amp;"  "&amp;업무일지!$F348&amp;"  "&amp;업무일지!$H348)</f>
        <v/>
      </c>
      <c r="D380" s="122">
        <f>IF(NOT(COUNTBLANK(업무일지!$B348:$AH348)&lt;33),"",TRIM(IF(업무일지!$B348="","시작일 누락; ","")&amp;IF(업무일지!$C348="","종료일 누락; ","")&amp;IF(AND(업무일지!$B348&lt;&gt;"",업무일지!$C348&lt;&gt;"",업무일지!$C348&lt;업무일지!$B348),"종료일이 시작일보다 빠름; ","")&amp;IF(COUNTIF(코드설정!$H$5:$H$7,업무일지!$D348)=0,"직무구분 누락; ","")&amp;IF(업무일지!$E348="","세부유형 누락; ",IF(AND(업무일지!$D348&lt;&gt;"",COUNTIFS(코드설정!$A$5:$A$21,업무일지!$D348,코드설정!$B$5:$B$21,업무일지!$E348)=0),"세부유형이 직무구분과 불일치; ",""))&amp;IF(AND(업무일지!$F348&lt;&gt;"",COUNTIF(사건마스터!$A$5:$A$64,업무일지!$F348)=0),"미등록 사건번호; ","")&amp;IF(AND(업무일지!$F348="",업무일지!$H348=""),"사건번호·업무명 모두 없음; ","")&amp;IF(업무일지!$J348="","담당자 없음; ","")&amp;IF(COUNTIF(코드설정!$F$5:$F$7,업무일지!$AG348)=0,"진행상태 누락; ","")))</f>
        <v/>
      </c>
    </row>
    <row r="381">
      <c r="A381" s="26" t="inlineStr">
        <is>
          <t>업무일지</t>
        </is>
      </c>
      <c r="B381" s="66" t="n">
        <v>349</v>
      </c>
      <c r="C381" s="122">
        <f>IF($D381="","",IFERROR(TEXT(업무일지!$B349,"yyyy-mm-dd"),"(날짜없음)")&amp;"  "&amp;업무일지!$F349&amp;"  "&amp;업무일지!$H349)</f>
        <v/>
      </c>
      <c r="D381" s="122">
        <f>IF(NOT(COUNTBLANK(업무일지!$B349:$AH349)&lt;33),"",TRIM(IF(업무일지!$B349="","시작일 누락; ","")&amp;IF(업무일지!$C349="","종료일 누락; ","")&amp;IF(AND(업무일지!$B349&lt;&gt;"",업무일지!$C349&lt;&gt;"",업무일지!$C349&lt;업무일지!$B349),"종료일이 시작일보다 빠름; ","")&amp;IF(COUNTIF(코드설정!$H$5:$H$7,업무일지!$D349)=0,"직무구분 누락; ","")&amp;IF(업무일지!$E349="","세부유형 누락; ",IF(AND(업무일지!$D349&lt;&gt;"",COUNTIFS(코드설정!$A$5:$A$21,업무일지!$D349,코드설정!$B$5:$B$21,업무일지!$E349)=0),"세부유형이 직무구분과 불일치; ",""))&amp;IF(AND(업무일지!$F349&lt;&gt;"",COUNTIF(사건마스터!$A$5:$A$64,업무일지!$F349)=0),"미등록 사건번호; ","")&amp;IF(AND(업무일지!$F349="",업무일지!$H349=""),"사건번호·업무명 모두 없음; ","")&amp;IF(업무일지!$J349="","담당자 없음; ","")&amp;IF(COUNTIF(코드설정!$F$5:$F$7,업무일지!$AG349)=0,"진행상태 누락; ","")))</f>
        <v/>
      </c>
    </row>
    <row r="382">
      <c r="A382" s="26" t="inlineStr">
        <is>
          <t>업무일지</t>
        </is>
      </c>
      <c r="B382" s="66" t="n">
        <v>350</v>
      </c>
      <c r="C382" s="122">
        <f>IF($D382="","",IFERROR(TEXT(업무일지!$B350,"yyyy-mm-dd"),"(날짜없음)")&amp;"  "&amp;업무일지!$F350&amp;"  "&amp;업무일지!$H350)</f>
        <v/>
      </c>
      <c r="D382" s="122">
        <f>IF(NOT(COUNTBLANK(업무일지!$B350:$AH350)&lt;33),"",TRIM(IF(업무일지!$B350="","시작일 누락; ","")&amp;IF(업무일지!$C350="","종료일 누락; ","")&amp;IF(AND(업무일지!$B350&lt;&gt;"",업무일지!$C350&lt;&gt;"",업무일지!$C350&lt;업무일지!$B350),"종료일이 시작일보다 빠름; ","")&amp;IF(COUNTIF(코드설정!$H$5:$H$7,업무일지!$D350)=0,"직무구분 누락; ","")&amp;IF(업무일지!$E350="","세부유형 누락; ",IF(AND(업무일지!$D350&lt;&gt;"",COUNTIFS(코드설정!$A$5:$A$21,업무일지!$D350,코드설정!$B$5:$B$21,업무일지!$E350)=0),"세부유형이 직무구분과 불일치; ",""))&amp;IF(AND(업무일지!$F350&lt;&gt;"",COUNTIF(사건마스터!$A$5:$A$64,업무일지!$F350)=0),"미등록 사건번호; ","")&amp;IF(AND(업무일지!$F350="",업무일지!$H350=""),"사건번호·업무명 모두 없음; ","")&amp;IF(업무일지!$J350="","담당자 없음; ","")&amp;IF(COUNTIF(코드설정!$F$5:$F$7,업무일지!$AG350)=0,"진행상태 누락; ","")))</f>
        <v/>
      </c>
    </row>
    <row r="383">
      <c r="A383" s="26" t="inlineStr">
        <is>
          <t>업무일지</t>
        </is>
      </c>
      <c r="B383" s="66" t="n">
        <v>351</v>
      </c>
      <c r="C383" s="122">
        <f>IF($D383="","",IFERROR(TEXT(업무일지!$B351,"yyyy-mm-dd"),"(날짜없음)")&amp;"  "&amp;업무일지!$F351&amp;"  "&amp;업무일지!$H351)</f>
        <v/>
      </c>
      <c r="D383" s="122">
        <f>IF(NOT(COUNTBLANK(업무일지!$B351:$AH351)&lt;33),"",TRIM(IF(업무일지!$B351="","시작일 누락; ","")&amp;IF(업무일지!$C351="","종료일 누락; ","")&amp;IF(AND(업무일지!$B351&lt;&gt;"",업무일지!$C351&lt;&gt;"",업무일지!$C351&lt;업무일지!$B351),"종료일이 시작일보다 빠름; ","")&amp;IF(COUNTIF(코드설정!$H$5:$H$7,업무일지!$D351)=0,"직무구분 누락; ","")&amp;IF(업무일지!$E351="","세부유형 누락; ",IF(AND(업무일지!$D351&lt;&gt;"",COUNTIFS(코드설정!$A$5:$A$21,업무일지!$D351,코드설정!$B$5:$B$21,업무일지!$E351)=0),"세부유형이 직무구분과 불일치; ",""))&amp;IF(AND(업무일지!$F351&lt;&gt;"",COUNTIF(사건마스터!$A$5:$A$64,업무일지!$F351)=0),"미등록 사건번호; ","")&amp;IF(AND(업무일지!$F351="",업무일지!$H351=""),"사건번호·업무명 모두 없음; ","")&amp;IF(업무일지!$J351="","담당자 없음; ","")&amp;IF(COUNTIF(코드설정!$F$5:$F$7,업무일지!$AG351)=0,"진행상태 누락; ","")))</f>
        <v/>
      </c>
    </row>
    <row r="384">
      <c r="A384" s="26" t="inlineStr">
        <is>
          <t>업무일지</t>
        </is>
      </c>
      <c r="B384" s="66" t="n">
        <v>352</v>
      </c>
      <c r="C384" s="122">
        <f>IF($D384="","",IFERROR(TEXT(업무일지!$B352,"yyyy-mm-dd"),"(날짜없음)")&amp;"  "&amp;업무일지!$F352&amp;"  "&amp;업무일지!$H352)</f>
        <v/>
      </c>
      <c r="D384" s="122">
        <f>IF(NOT(COUNTBLANK(업무일지!$B352:$AH352)&lt;33),"",TRIM(IF(업무일지!$B352="","시작일 누락; ","")&amp;IF(업무일지!$C352="","종료일 누락; ","")&amp;IF(AND(업무일지!$B352&lt;&gt;"",업무일지!$C352&lt;&gt;"",업무일지!$C352&lt;업무일지!$B352),"종료일이 시작일보다 빠름; ","")&amp;IF(COUNTIF(코드설정!$H$5:$H$7,업무일지!$D352)=0,"직무구분 누락; ","")&amp;IF(업무일지!$E352="","세부유형 누락; ",IF(AND(업무일지!$D352&lt;&gt;"",COUNTIFS(코드설정!$A$5:$A$21,업무일지!$D352,코드설정!$B$5:$B$21,업무일지!$E352)=0),"세부유형이 직무구분과 불일치; ",""))&amp;IF(AND(업무일지!$F352&lt;&gt;"",COUNTIF(사건마스터!$A$5:$A$64,업무일지!$F352)=0),"미등록 사건번호; ","")&amp;IF(AND(업무일지!$F352="",업무일지!$H352=""),"사건번호·업무명 모두 없음; ","")&amp;IF(업무일지!$J352="","담당자 없음; ","")&amp;IF(COUNTIF(코드설정!$F$5:$F$7,업무일지!$AG352)=0,"진행상태 누락; ","")))</f>
        <v/>
      </c>
    </row>
    <row r="385">
      <c r="A385" s="26" t="inlineStr">
        <is>
          <t>업무일지</t>
        </is>
      </c>
      <c r="B385" s="66" t="n">
        <v>353</v>
      </c>
      <c r="C385" s="122">
        <f>IF($D385="","",IFERROR(TEXT(업무일지!$B353,"yyyy-mm-dd"),"(날짜없음)")&amp;"  "&amp;업무일지!$F353&amp;"  "&amp;업무일지!$H353)</f>
        <v/>
      </c>
      <c r="D385" s="122">
        <f>IF(NOT(COUNTBLANK(업무일지!$B353:$AH353)&lt;33),"",TRIM(IF(업무일지!$B353="","시작일 누락; ","")&amp;IF(업무일지!$C353="","종료일 누락; ","")&amp;IF(AND(업무일지!$B353&lt;&gt;"",업무일지!$C353&lt;&gt;"",업무일지!$C353&lt;업무일지!$B353),"종료일이 시작일보다 빠름; ","")&amp;IF(COUNTIF(코드설정!$H$5:$H$7,업무일지!$D353)=0,"직무구분 누락; ","")&amp;IF(업무일지!$E353="","세부유형 누락; ",IF(AND(업무일지!$D353&lt;&gt;"",COUNTIFS(코드설정!$A$5:$A$21,업무일지!$D353,코드설정!$B$5:$B$21,업무일지!$E353)=0),"세부유형이 직무구분과 불일치; ",""))&amp;IF(AND(업무일지!$F353&lt;&gt;"",COUNTIF(사건마스터!$A$5:$A$64,업무일지!$F353)=0),"미등록 사건번호; ","")&amp;IF(AND(업무일지!$F353="",업무일지!$H353=""),"사건번호·업무명 모두 없음; ","")&amp;IF(업무일지!$J353="","담당자 없음; ","")&amp;IF(COUNTIF(코드설정!$F$5:$F$7,업무일지!$AG353)=0,"진행상태 누락; ","")))</f>
        <v/>
      </c>
    </row>
    <row r="386">
      <c r="A386" s="26" t="inlineStr">
        <is>
          <t>업무일지</t>
        </is>
      </c>
      <c r="B386" s="66" t="n">
        <v>354</v>
      </c>
      <c r="C386" s="122">
        <f>IF($D386="","",IFERROR(TEXT(업무일지!$B354,"yyyy-mm-dd"),"(날짜없음)")&amp;"  "&amp;업무일지!$F354&amp;"  "&amp;업무일지!$H354)</f>
        <v/>
      </c>
      <c r="D386" s="122">
        <f>IF(NOT(COUNTBLANK(업무일지!$B354:$AH354)&lt;33),"",TRIM(IF(업무일지!$B354="","시작일 누락; ","")&amp;IF(업무일지!$C354="","종료일 누락; ","")&amp;IF(AND(업무일지!$B354&lt;&gt;"",업무일지!$C354&lt;&gt;"",업무일지!$C354&lt;업무일지!$B354),"종료일이 시작일보다 빠름; ","")&amp;IF(COUNTIF(코드설정!$H$5:$H$7,업무일지!$D354)=0,"직무구분 누락; ","")&amp;IF(업무일지!$E354="","세부유형 누락; ",IF(AND(업무일지!$D354&lt;&gt;"",COUNTIFS(코드설정!$A$5:$A$21,업무일지!$D354,코드설정!$B$5:$B$21,업무일지!$E354)=0),"세부유형이 직무구분과 불일치; ",""))&amp;IF(AND(업무일지!$F354&lt;&gt;"",COUNTIF(사건마스터!$A$5:$A$64,업무일지!$F354)=0),"미등록 사건번호; ","")&amp;IF(AND(업무일지!$F354="",업무일지!$H354=""),"사건번호·업무명 모두 없음; ","")&amp;IF(업무일지!$J354="","담당자 없음; ","")&amp;IF(COUNTIF(코드설정!$F$5:$F$7,업무일지!$AG354)=0,"진행상태 누락; ","")))</f>
        <v/>
      </c>
    </row>
    <row r="387">
      <c r="A387" s="26" t="inlineStr">
        <is>
          <t>업무일지</t>
        </is>
      </c>
      <c r="B387" s="66" t="n">
        <v>355</v>
      </c>
      <c r="C387" s="122">
        <f>IF($D387="","",IFERROR(TEXT(업무일지!$B355,"yyyy-mm-dd"),"(날짜없음)")&amp;"  "&amp;업무일지!$F355&amp;"  "&amp;업무일지!$H355)</f>
        <v/>
      </c>
      <c r="D387" s="122">
        <f>IF(NOT(COUNTBLANK(업무일지!$B355:$AH355)&lt;33),"",TRIM(IF(업무일지!$B355="","시작일 누락; ","")&amp;IF(업무일지!$C355="","종료일 누락; ","")&amp;IF(AND(업무일지!$B355&lt;&gt;"",업무일지!$C355&lt;&gt;"",업무일지!$C355&lt;업무일지!$B355),"종료일이 시작일보다 빠름; ","")&amp;IF(COUNTIF(코드설정!$H$5:$H$7,업무일지!$D355)=0,"직무구분 누락; ","")&amp;IF(업무일지!$E355="","세부유형 누락; ",IF(AND(업무일지!$D355&lt;&gt;"",COUNTIFS(코드설정!$A$5:$A$21,업무일지!$D355,코드설정!$B$5:$B$21,업무일지!$E355)=0),"세부유형이 직무구분과 불일치; ",""))&amp;IF(AND(업무일지!$F355&lt;&gt;"",COUNTIF(사건마스터!$A$5:$A$64,업무일지!$F355)=0),"미등록 사건번호; ","")&amp;IF(AND(업무일지!$F355="",업무일지!$H355=""),"사건번호·업무명 모두 없음; ","")&amp;IF(업무일지!$J355="","담당자 없음; ","")&amp;IF(COUNTIF(코드설정!$F$5:$F$7,업무일지!$AG355)=0,"진행상태 누락; ","")))</f>
        <v/>
      </c>
    </row>
    <row r="388">
      <c r="A388" s="26" t="inlineStr">
        <is>
          <t>업무일지</t>
        </is>
      </c>
      <c r="B388" s="66" t="n">
        <v>356</v>
      </c>
      <c r="C388" s="122">
        <f>IF($D388="","",IFERROR(TEXT(업무일지!$B356,"yyyy-mm-dd"),"(날짜없음)")&amp;"  "&amp;업무일지!$F356&amp;"  "&amp;업무일지!$H356)</f>
        <v/>
      </c>
      <c r="D388" s="122">
        <f>IF(NOT(COUNTBLANK(업무일지!$B356:$AH356)&lt;33),"",TRIM(IF(업무일지!$B356="","시작일 누락; ","")&amp;IF(업무일지!$C356="","종료일 누락; ","")&amp;IF(AND(업무일지!$B356&lt;&gt;"",업무일지!$C356&lt;&gt;"",업무일지!$C356&lt;업무일지!$B356),"종료일이 시작일보다 빠름; ","")&amp;IF(COUNTIF(코드설정!$H$5:$H$7,업무일지!$D356)=0,"직무구분 누락; ","")&amp;IF(업무일지!$E356="","세부유형 누락; ",IF(AND(업무일지!$D356&lt;&gt;"",COUNTIFS(코드설정!$A$5:$A$21,업무일지!$D356,코드설정!$B$5:$B$21,업무일지!$E356)=0),"세부유형이 직무구분과 불일치; ",""))&amp;IF(AND(업무일지!$F356&lt;&gt;"",COUNTIF(사건마스터!$A$5:$A$64,업무일지!$F356)=0),"미등록 사건번호; ","")&amp;IF(AND(업무일지!$F356="",업무일지!$H356=""),"사건번호·업무명 모두 없음; ","")&amp;IF(업무일지!$J356="","담당자 없음; ","")&amp;IF(COUNTIF(코드설정!$F$5:$F$7,업무일지!$AG356)=0,"진행상태 누락; ","")))</f>
        <v/>
      </c>
    </row>
    <row r="389">
      <c r="A389" s="26" t="inlineStr">
        <is>
          <t>업무일지</t>
        </is>
      </c>
      <c r="B389" s="66" t="n">
        <v>357</v>
      </c>
      <c r="C389" s="122">
        <f>IF($D389="","",IFERROR(TEXT(업무일지!$B357,"yyyy-mm-dd"),"(날짜없음)")&amp;"  "&amp;업무일지!$F357&amp;"  "&amp;업무일지!$H357)</f>
        <v/>
      </c>
      <c r="D389" s="122">
        <f>IF(NOT(COUNTBLANK(업무일지!$B357:$AH357)&lt;33),"",TRIM(IF(업무일지!$B357="","시작일 누락; ","")&amp;IF(업무일지!$C357="","종료일 누락; ","")&amp;IF(AND(업무일지!$B357&lt;&gt;"",업무일지!$C357&lt;&gt;"",업무일지!$C357&lt;업무일지!$B357),"종료일이 시작일보다 빠름; ","")&amp;IF(COUNTIF(코드설정!$H$5:$H$7,업무일지!$D357)=0,"직무구분 누락; ","")&amp;IF(업무일지!$E357="","세부유형 누락; ",IF(AND(업무일지!$D357&lt;&gt;"",COUNTIFS(코드설정!$A$5:$A$21,업무일지!$D357,코드설정!$B$5:$B$21,업무일지!$E357)=0),"세부유형이 직무구분과 불일치; ",""))&amp;IF(AND(업무일지!$F357&lt;&gt;"",COUNTIF(사건마스터!$A$5:$A$64,업무일지!$F357)=0),"미등록 사건번호; ","")&amp;IF(AND(업무일지!$F357="",업무일지!$H357=""),"사건번호·업무명 모두 없음; ","")&amp;IF(업무일지!$J357="","담당자 없음; ","")&amp;IF(COUNTIF(코드설정!$F$5:$F$7,업무일지!$AG357)=0,"진행상태 누락; ","")))</f>
        <v/>
      </c>
    </row>
    <row r="390">
      <c r="A390" s="26" t="inlineStr">
        <is>
          <t>업무일지</t>
        </is>
      </c>
      <c r="B390" s="66" t="n">
        <v>358</v>
      </c>
      <c r="C390" s="122">
        <f>IF($D390="","",IFERROR(TEXT(업무일지!$B358,"yyyy-mm-dd"),"(날짜없음)")&amp;"  "&amp;업무일지!$F358&amp;"  "&amp;업무일지!$H358)</f>
        <v/>
      </c>
      <c r="D390" s="122">
        <f>IF(NOT(COUNTBLANK(업무일지!$B358:$AH358)&lt;33),"",TRIM(IF(업무일지!$B358="","시작일 누락; ","")&amp;IF(업무일지!$C358="","종료일 누락; ","")&amp;IF(AND(업무일지!$B358&lt;&gt;"",업무일지!$C358&lt;&gt;"",업무일지!$C358&lt;업무일지!$B358),"종료일이 시작일보다 빠름; ","")&amp;IF(COUNTIF(코드설정!$H$5:$H$7,업무일지!$D358)=0,"직무구분 누락; ","")&amp;IF(업무일지!$E358="","세부유형 누락; ",IF(AND(업무일지!$D358&lt;&gt;"",COUNTIFS(코드설정!$A$5:$A$21,업무일지!$D358,코드설정!$B$5:$B$21,업무일지!$E358)=0),"세부유형이 직무구분과 불일치; ",""))&amp;IF(AND(업무일지!$F358&lt;&gt;"",COUNTIF(사건마스터!$A$5:$A$64,업무일지!$F358)=0),"미등록 사건번호; ","")&amp;IF(AND(업무일지!$F358="",업무일지!$H358=""),"사건번호·업무명 모두 없음; ","")&amp;IF(업무일지!$J358="","담당자 없음; ","")&amp;IF(COUNTIF(코드설정!$F$5:$F$7,업무일지!$AG358)=0,"진행상태 누락; ","")))</f>
        <v/>
      </c>
    </row>
    <row r="391">
      <c r="A391" s="26" t="inlineStr">
        <is>
          <t>업무일지</t>
        </is>
      </c>
      <c r="B391" s="66" t="n">
        <v>359</v>
      </c>
      <c r="C391" s="122">
        <f>IF($D391="","",IFERROR(TEXT(업무일지!$B359,"yyyy-mm-dd"),"(날짜없음)")&amp;"  "&amp;업무일지!$F359&amp;"  "&amp;업무일지!$H359)</f>
        <v/>
      </c>
      <c r="D391" s="122">
        <f>IF(NOT(COUNTBLANK(업무일지!$B359:$AH359)&lt;33),"",TRIM(IF(업무일지!$B359="","시작일 누락; ","")&amp;IF(업무일지!$C359="","종료일 누락; ","")&amp;IF(AND(업무일지!$B359&lt;&gt;"",업무일지!$C359&lt;&gt;"",업무일지!$C359&lt;업무일지!$B359),"종료일이 시작일보다 빠름; ","")&amp;IF(COUNTIF(코드설정!$H$5:$H$7,업무일지!$D359)=0,"직무구분 누락; ","")&amp;IF(업무일지!$E359="","세부유형 누락; ",IF(AND(업무일지!$D359&lt;&gt;"",COUNTIFS(코드설정!$A$5:$A$21,업무일지!$D359,코드설정!$B$5:$B$21,업무일지!$E359)=0),"세부유형이 직무구분과 불일치; ",""))&amp;IF(AND(업무일지!$F359&lt;&gt;"",COUNTIF(사건마스터!$A$5:$A$64,업무일지!$F359)=0),"미등록 사건번호; ","")&amp;IF(AND(업무일지!$F359="",업무일지!$H359=""),"사건번호·업무명 모두 없음; ","")&amp;IF(업무일지!$J359="","담당자 없음; ","")&amp;IF(COUNTIF(코드설정!$F$5:$F$7,업무일지!$AG359)=0,"진행상태 누락; ","")))</f>
        <v/>
      </c>
    </row>
    <row r="392">
      <c r="A392" s="26" t="inlineStr">
        <is>
          <t>업무일지</t>
        </is>
      </c>
      <c r="B392" s="66" t="n">
        <v>360</v>
      </c>
      <c r="C392" s="122">
        <f>IF($D392="","",IFERROR(TEXT(업무일지!$B360,"yyyy-mm-dd"),"(날짜없음)")&amp;"  "&amp;업무일지!$F360&amp;"  "&amp;업무일지!$H360)</f>
        <v/>
      </c>
      <c r="D392" s="122">
        <f>IF(NOT(COUNTBLANK(업무일지!$B360:$AH360)&lt;33),"",TRIM(IF(업무일지!$B360="","시작일 누락; ","")&amp;IF(업무일지!$C360="","종료일 누락; ","")&amp;IF(AND(업무일지!$B360&lt;&gt;"",업무일지!$C360&lt;&gt;"",업무일지!$C360&lt;업무일지!$B360),"종료일이 시작일보다 빠름; ","")&amp;IF(COUNTIF(코드설정!$H$5:$H$7,업무일지!$D360)=0,"직무구분 누락; ","")&amp;IF(업무일지!$E360="","세부유형 누락; ",IF(AND(업무일지!$D360&lt;&gt;"",COUNTIFS(코드설정!$A$5:$A$21,업무일지!$D360,코드설정!$B$5:$B$21,업무일지!$E360)=0),"세부유형이 직무구분과 불일치; ",""))&amp;IF(AND(업무일지!$F360&lt;&gt;"",COUNTIF(사건마스터!$A$5:$A$64,업무일지!$F360)=0),"미등록 사건번호; ","")&amp;IF(AND(업무일지!$F360="",업무일지!$H360=""),"사건번호·업무명 모두 없음; ","")&amp;IF(업무일지!$J360="","담당자 없음; ","")&amp;IF(COUNTIF(코드설정!$F$5:$F$7,업무일지!$AG360)=0,"진행상태 누락; ","")))</f>
        <v/>
      </c>
    </row>
    <row r="393">
      <c r="A393" s="26" t="inlineStr">
        <is>
          <t>업무일지</t>
        </is>
      </c>
      <c r="B393" s="66" t="n">
        <v>361</v>
      </c>
      <c r="C393" s="122">
        <f>IF($D393="","",IFERROR(TEXT(업무일지!$B361,"yyyy-mm-dd"),"(날짜없음)")&amp;"  "&amp;업무일지!$F361&amp;"  "&amp;업무일지!$H361)</f>
        <v/>
      </c>
      <c r="D393" s="122">
        <f>IF(NOT(COUNTBLANK(업무일지!$B361:$AH361)&lt;33),"",TRIM(IF(업무일지!$B361="","시작일 누락; ","")&amp;IF(업무일지!$C361="","종료일 누락; ","")&amp;IF(AND(업무일지!$B361&lt;&gt;"",업무일지!$C361&lt;&gt;"",업무일지!$C361&lt;업무일지!$B361),"종료일이 시작일보다 빠름; ","")&amp;IF(COUNTIF(코드설정!$H$5:$H$7,업무일지!$D361)=0,"직무구분 누락; ","")&amp;IF(업무일지!$E361="","세부유형 누락; ",IF(AND(업무일지!$D361&lt;&gt;"",COUNTIFS(코드설정!$A$5:$A$21,업무일지!$D361,코드설정!$B$5:$B$21,업무일지!$E361)=0),"세부유형이 직무구분과 불일치; ",""))&amp;IF(AND(업무일지!$F361&lt;&gt;"",COUNTIF(사건마스터!$A$5:$A$64,업무일지!$F361)=0),"미등록 사건번호; ","")&amp;IF(AND(업무일지!$F361="",업무일지!$H361=""),"사건번호·업무명 모두 없음; ","")&amp;IF(업무일지!$J361="","담당자 없음; ","")&amp;IF(COUNTIF(코드설정!$F$5:$F$7,업무일지!$AG361)=0,"진행상태 누락; ","")))</f>
        <v/>
      </c>
    </row>
    <row r="394">
      <c r="A394" s="26" t="inlineStr">
        <is>
          <t>업무일지</t>
        </is>
      </c>
      <c r="B394" s="66" t="n">
        <v>362</v>
      </c>
      <c r="C394" s="122">
        <f>IF($D394="","",IFERROR(TEXT(업무일지!$B362,"yyyy-mm-dd"),"(날짜없음)")&amp;"  "&amp;업무일지!$F362&amp;"  "&amp;업무일지!$H362)</f>
        <v/>
      </c>
      <c r="D394" s="122">
        <f>IF(NOT(COUNTBLANK(업무일지!$B362:$AH362)&lt;33),"",TRIM(IF(업무일지!$B362="","시작일 누락; ","")&amp;IF(업무일지!$C362="","종료일 누락; ","")&amp;IF(AND(업무일지!$B362&lt;&gt;"",업무일지!$C362&lt;&gt;"",업무일지!$C362&lt;업무일지!$B362),"종료일이 시작일보다 빠름; ","")&amp;IF(COUNTIF(코드설정!$H$5:$H$7,업무일지!$D362)=0,"직무구분 누락; ","")&amp;IF(업무일지!$E362="","세부유형 누락; ",IF(AND(업무일지!$D362&lt;&gt;"",COUNTIFS(코드설정!$A$5:$A$21,업무일지!$D362,코드설정!$B$5:$B$21,업무일지!$E362)=0),"세부유형이 직무구분과 불일치; ",""))&amp;IF(AND(업무일지!$F362&lt;&gt;"",COUNTIF(사건마스터!$A$5:$A$64,업무일지!$F362)=0),"미등록 사건번호; ","")&amp;IF(AND(업무일지!$F362="",업무일지!$H362=""),"사건번호·업무명 모두 없음; ","")&amp;IF(업무일지!$J362="","담당자 없음; ","")&amp;IF(COUNTIF(코드설정!$F$5:$F$7,업무일지!$AG362)=0,"진행상태 누락; ","")))</f>
        <v/>
      </c>
    </row>
    <row r="395">
      <c r="A395" s="26" t="inlineStr">
        <is>
          <t>업무일지</t>
        </is>
      </c>
      <c r="B395" s="66" t="n">
        <v>363</v>
      </c>
      <c r="C395" s="122">
        <f>IF($D395="","",IFERROR(TEXT(업무일지!$B363,"yyyy-mm-dd"),"(날짜없음)")&amp;"  "&amp;업무일지!$F363&amp;"  "&amp;업무일지!$H363)</f>
        <v/>
      </c>
      <c r="D395" s="122">
        <f>IF(NOT(COUNTBLANK(업무일지!$B363:$AH363)&lt;33),"",TRIM(IF(업무일지!$B363="","시작일 누락; ","")&amp;IF(업무일지!$C363="","종료일 누락; ","")&amp;IF(AND(업무일지!$B363&lt;&gt;"",업무일지!$C363&lt;&gt;"",업무일지!$C363&lt;업무일지!$B363),"종료일이 시작일보다 빠름; ","")&amp;IF(COUNTIF(코드설정!$H$5:$H$7,업무일지!$D363)=0,"직무구분 누락; ","")&amp;IF(업무일지!$E363="","세부유형 누락; ",IF(AND(업무일지!$D363&lt;&gt;"",COUNTIFS(코드설정!$A$5:$A$21,업무일지!$D363,코드설정!$B$5:$B$21,업무일지!$E363)=0),"세부유형이 직무구분과 불일치; ",""))&amp;IF(AND(업무일지!$F363&lt;&gt;"",COUNTIF(사건마스터!$A$5:$A$64,업무일지!$F363)=0),"미등록 사건번호; ","")&amp;IF(AND(업무일지!$F363="",업무일지!$H363=""),"사건번호·업무명 모두 없음; ","")&amp;IF(업무일지!$J363="","담당자 없음; ","")&amp;IF(COUNTIF(코드설정!$F$5:$F$7,업무일지!$AG363)=0,"진행상태 누락; ","")))</f>
        <v/>
      </c>
    </row>
    <row r="396">
      <c r="A396" s="26" t="inlineStr">
        <is>
          <t>업무일지</t>
        </is>
      </c>
      <c r="B396" s="66" t="n">
        <v>364</v>
      </c>
      <c r="C396" s="122">
        <f>IF($D396="","",IFERROR(TEXT(업무일지!$B364,"yyyy-mm-dd"),"(날짜없음)")&amp;"  "&amp;업무일지!$F364&amp;"  "&amp;업무일지!$H364)</f>
        <v/>
      </c>
      <c r="D396" s="122">
        <f>IF(NOT(COUNTBLANK(업무일지!$B364:$AH364)&lt;33),"",TRIM(IF(업무일지!$B364="","시작일 누락; ","")&amp;IF(업무일지!$C364="","종료일 누락; ","")&amp;IF(AND(업무일지!$B364&lt;&gt;"",업무일지!$C364&lt;&gt;"",업무일지!$C364&lt;업무일지!$B364),"종료일이 시작일보다 빠름; ","")&amp;IF(COUNTIF(코드설정!$H$5:$H$7,업무일지!$D364)=0,"직무구분 누락; ","")&amp;IF(업무일지!$E364="","세부유형 누락; ",IF(AND(업무일지!$D364&lt;&gt;"",COUNTIFS(코드설정!$A$5:$A$21,업무일지!$D364,코드설정!$B$5:$B$21,업무일지!$E364)=0),"세부유형이 직무구분과 불일치; ",""))&amp;IF(AND(업무일지!$F364&lt;&gt;"",COUNTIF(사건마스터!$A$5:$A$64,업무일지!$F364)=0),"미등록 사건번호; ","")&amp;IF(AND(업무일지!$F364="",업무일지!$H364=""),"사건번호·업무명 모두 없음; ","")&amp;IF(업무일지!$J364="","담당자 없음; ","")&amp;IF(COUNTIF(코드설정!$F$5:$F$7,업무일지!$AG364)=0,"진행상태 누락; ","")))</f>
        <v/>
      </c>
    </row>
    <row r="397">
      <c r="A397" s="26" t="inlineStr">
        <is>
          <t>업무일지</t>
        </is>
      </c>
      <c r="B397" s="66" t="n">
        <v>365</v>
      </c>
      <c r="C397" s="122">
        <f>IF($D397="","",IFERROR(TEXT(업무일지!$B365,"yyyy-mm-dd"),"(날짜없음)")&amp;"  "&amp;업무일지!$F365&amp;"  "&amp;업무일지!$H365)</f>
        <v/>
      </c>
      <c r="D397" s="122">
        <f>IF(NOT(COUNTBLANK(업무일지!$B365:$AH365)&lt;33),"",TRIM(IF(업무일지!$B365="","시작일 누락; ","")&amp;IF(업무일지!$C365="","종료일 누락; ","")&amp;IF(AND(업무일지!$B365&lt;&gt;"",업무일지!$C365&lt;&gt;"",업무일지!$C365&lt;업무일지!$B365),"종료일이 시작일보다 빠름; ","")&amp;IF(COUNTIF(코드설정!$H$5:$H$7,업무일지!$D365)=0,"직무구분 누락; ","")&amp;IF(업무일지!$E365="","세부유형 누락; ",IF(AND(업무일지!$D365&lt;&gt;"",COUNTIFS(코드설정!$A$5:$A$21,업무일지!$D365,코드설정!$B$5:$B$21,업무일지!$E365)=0),"세부유형이 직무구분과 불일치; ",""))&amp;IF(AND(업무일지!$F365&lt;&gt;"",COUNTIF(사건마스터!$A$5:$A$64,업무일지!$F365)=0),"미등록 사건번호; ","")&amp;IF(AND(업무일지!$F365="",업무일지!$H365=""),"사건번호·업무명 모두 없음; ","")&amp;IF(업무일지!$J365="","담당자 없음; ","")&amp;IF(COUNTIF(코드설정!$F$5:$F$7,업무일지!$AG365)=0,"진행상태 누락; ","")))</f>
        <v/>
      </c>
    </row>
    <row r="398">
      <c r="A398" s="26" t="inlineStr">
        <is>
          <t>업무일지</t>
        </is>
      </c>
      <c r="B398" s="66" t="n">
        <v>366</v>
      </c>
      <c r="C398" s="122">
        <f>IF($D398="","",IFERROR(TEXT(업무일지!$B366,"yyyy-mm-dd"),"(날짜없음)")&amp;"  "&amp;업무일지!$F366&amp;"  "&amp;업무일지!$H366)</f>
        <v/>
      </c>
      <c r="D398" s="122">
        <f>IF(NOT(COUNTBLANK(업무일지!$B366:$AH366)&lt;33),"",TRIM(IF(업무일지!$B366="","시작일 누락; ","")&amp;IF(업무일지!$C366="","종료일 누락; ","")&amp;IF(AND(업무일지!$B366&lt;&gt;"",업무일지!$C366&lt;&gt;"",업무일지!$C366&lt;업무일지!$B366),"종료일이 시작일보다 빠름; ","")&amp;IF(COUNTIF(코드설정!$H$5:$H$7,업무일지!$D366)=0,"직무구분 누락; ","")&amp;IF(업무일지!$E366="","세부유형 누락; ",IF(AND(업무일지!$D366&lt;&gt;"",COUNTIFS(코드설정!$A$5:$A$21,업무일지!$D366,코드설정!$B$5:$B$21,업무일지!$E366)=0),"세부유형이 직무구분과 불일치; ",""))&amp;IF(AND(업무일지!$F366&lt;&gt;"",COUNTIF(사건마스터!$A$5:$A$64,업무일지!$F366)=0),"미등록 사건번호; ","")&amp;IF(AND(업무일지!$F366="",업무일지!$H366=""),"사건번호·업무명 모두 없음; ","")&amp;IF(업무일지!$J366="","담당자 없음; ","")&amp;IF(COUNTIF(코드설정!$F$5:$F$7,업무일지!$AG366)=0,"진행상태 누락; ","")))</f>
        <v/>
      </c>
    </row>
    <row r="399">
      <c r="A399" s="26" t="inlineStr">
        <is>
          <t>업무일지</t>
        </is>
      </c>
      <c r="B399" s="66" t="n">
        <v>367</v>
      </c>
      <c r="C399" s="122">
        <f>IF($D399="","",IFERROR(TEXT(업무일지!$B367,"yyyy-mm-dd"),"(날짜없음)")&amp;"  "&amp;업무일지!$F367&amp;"  "&amp;업무일지!$H367)</f>
        <v/>
      </c>
      <c r="D399" s="122">
        <f>IF(NOT(COUNTBLANK(업무일지!$B367:$AH367)&lt;33),"",TRIM(IF(업무일지!$B367="","시작일 누락; ","")&amp;IF(업무일지!$C367="","종료일 누락; ","")&amp;IF(AND(업무일지!$B367&lt;&gt;"",업무일지!$C367&lt;&gt;"",업무일지!$C367&lt;업무일지!$B367),"종료일이 시작일보다 빠름; ","")&amp;IF(COUNTIF(코드설정!$H$5:$H$7,업무일지!$D367)=0,"직무구분 누락; ","")&amp;IF(업무일지!$E367="","세부유형 누락; ",IF(AND(업무일지!$D367&lt;&gt;"",COUNTIFS(코드설정!$A$5:$A$21,업무일지!$D367,코드설정!$B$5:$B$21,업무일지!$E367)=0),"세부유형이 직무구분과 불일치; ",""))&amp;IF(AND(업무일지!$F367&lt;&gt;"",COUNTIF(사건마스터!$A$5:$A$64,업무일지!$F367)=0),"미등록 사건번호; ","")&amp;IF(AND(업무일지!$F367="",업무일지!$H367=""),"사건번호·업무명 모두 없음; ","")&amp;IF(업무일지!$J367="","담당자 없음; ","")&amp;IF(COUNTIF(코드설정!$F$5:$F$7,업무일지!$AG367)=0,"진행상태 누락; ","")))</f>
        <v/>
      </c>
    </row>
    <row r="400">
      <c r="A400" s="26" t="inlineStr">
        <is>
          <t>업무일지</t>
        </is>
      </c>
      <c r="B400" s="66" t="n">
        <v>368</v>
      </c>
      <c r="C400" s="122">
        <f>IF($D400="","",IFERROR(TEXT(업무일지!$B368,"yyyy-mm-dd"),"(날짜없음)")&amp;"  "&amp;업무일지!$F368&amp;"  "&amp;업무일지!$H368)</f>
        <v/>
      </c>
      <c r="D400" s="122">
        <f>IF(NOT(COUNTBLANK(업무일지!$B368:$AH368)&lt;33),"",TRIM(IF(업무일지!$B368="","시작일 누락; ","")&amp;IF(업무일지!$C368="","종료일 누락; ","")&amp;IF(AND(업무일지!$B368&lt;&gt;"",업무일지!$C368&lt;&gt;"",업무일지!$C368&lt;업무일지!$B368),"종료일이 시작일보다 빠름; ","")&amp;IF(COUNTIF(코드설정!$H$5:$H$7,업무일지!$D368)=0,"직무구분 누락; ","")&amp;IF(업무일지!$E368="","세부유형 누락; ",IF(AND(업무일지!$D368&lt;&gt;"",COUNTIFS(코드설정!$A$5:$A$21,업무일지!$D368,코드설정!$B$5:$B$21,업무일지!$E368)=0),"세부유형이 직무구분과 불일치; ",""))&amp;IF(AND(업무일지!$F368&lt;&gt;"",COUNTIF(사건마스터!$A$5:$A$64,업무일지!$F368)=0),"미등록 사건번호; ","")&amp;IF(AND(업무일지!$F368="",업무일지!$H368=""),"사건번호·업무명 모두 없음; ","")&amp;IF(업무일지!$J368="","담당자 없음; ","")&amp;IF(COUNTIF(코드설정!$F$5:$F$7,업무일지!$AG368)=0,"진행상태 누락; ","")))</f>
        <v/>
      </c>
    </row>
    <row r="401">
      <c r="A401" s="26" t="inlineStr">
        <is>
          <t>업무일지</t>
        </is>
      </c>
      <c r="B401" s="66" t="n">
        <v>369</v>
      </c>
      <c r="C401" s="122">
        <f>IF($D401="","",IFERROR(TEXT(업무일지!$B369,"yyyy-mm-dd"),"(날짜없음)")&amp;"  "&amp;업무일지!$F369&amp;"  "&amp;업무일지!$H369)</f>
        <v/>
      </c>
      <c r="D401" s="122">
        <f>IF(NOT(COUNTBLANK(업무일지!$B369:$AH369)&lt;33),"",TRIM(IF(업무일지!$B369="","시작일 누락; ","")&amp;IF(업무일지!$C369="","종료일 누락; ","")&amp;IF(AND(업무일지!$B369&lt;&gt;"",업무일지!$C369&lt;&gt;"",업무일지!$C369&lt;업무일지!$B369),"종료일이 시작일보다 빠름; ","")&amp;IF(COUNTIF(코드설정!$H$5:$H$7,업무일지!$D369)=0,"직무구분 누락; ","")&amp;IF(업무일지!$E369="","세부유형 누락; ",IF(AND(업무일지!$D369&lt;&gt;"",COUNTIFS(코드설정!$A$5:$A$21,업무일지!$D369,코드설정!$B$5:$B$21,업무일지!$E369)=0),"세부유형이 직무구분과 불일치; ",""))&amp;IF(AND(업무일지!$F369&lt;&gt;"",COUNTIF(사건마스터!$A$5:$A$64,업무일지!$F369)=0),"미등록 사건번호; ","")&amp;IF(AND(업무일지!$F369="",업무일지!$H369=""),"사건번호·업무명 모두 없음; ","")&amp;IF(업무일지!$J369="","담당자 없음; ","")&amp;IF(COUNTIF(코드설정!$F$5:$F$7,업무일지!$AG369)=0,"진행상태 누락; ","")))</f>
        <v/>
      </c>
    </row>
    <row r="402">
      <c r="A402" s="26" t="inlineStr">
        <is>
          <t>업무일지</t>
        </is>
      </c>
      <c r="B402" s="66" t="n">
        <v>370</v>
      </c>
      <c r="C402" s="122">
        <f>IF($D402="","",IFERROR(TEXT(업무일지!$B370,"yyyy-mm-dd"),"(날짜없음)")&amp;"  "&amp;업무일지!$F370&amp;"  "&amp;업무일지!$H370)</f>
        <v/>
      </c>
      <c r="D402" s="122">
        <f>IF(NOT(COUNTBLANK(업무일지!$B370:$AH370)&lt;33),"",TRIM(IF(업무일지!$B370="","시작일 누락; ","")&amp;IF(업무일지!$C370="","종료일 누락; ","")&amp;IF(AND(업무일지!$B370&lt;&gt;"",업무일지!$C370&lt;&gt;"",업무일지!$C370&lt;업무일지!$B370),"종료일이 시작일보다 빠름; ","")&amp;IF(COUNTIF(코드설정!$H$5:$H$7,업무일지!$D370)=0,"직무구분 누락; ","")&amp;IF(업무일지!$E370="","세부유형 누락; ",IF(AND(업무일지!$D370&lt;&gt;"",COUNTIFS(코드설정!$A$5:$A$21,업무일지!$D370,코드설정!$B$5:$B$21,업무일지!$E370)=0),"세부유형이 직무구분과 불일치; ",""))&amp;IF(AND(업무일지!$F370&lt;&gt;"",COUNTIF(사건마스터!$A$5:$A$64,업무일지!$F370)=0),"미등록 사건번호; ","")&amp;IF(AND(업무일지!$F370="",업무일지!$H370=""),"사건번호·업무명 모두 없음; ","")&amp;IF(업무일지!$J370="","담당자 없음; ","")&amp;IF(COUNTIF(코드설정!$F$5:$F$7,업무일지!$AG370)=0,"진행상태 누락; ","")))</f>
        <v/>
      </c>
    </row>
    <row r="403">
      <c r="A403" s="26" t="inlineStr">
        <is>
          <t>업무일지</t>
        </is>
      </c>
      <c r="B403" s="66" t="n">
        <v>371</v>
      </c>
      <c r="C403" s="122">
        <f>IF($D403="","",IFERROR(TEXT(업무일지!$B371,"yyyy-mm-dd"),"(날짜없음)")&amp;"  "&amp;업무일지!$F371&amp;"  "&amp;업무일지!$H371)</f>
        <v/>
      </c>
      <c r="D403" s="122">
        <f>IF(NOT(COUNTBLANK(업무일지!$B371:$AH371)&lt;33),"",TRIM(IF(업무일지!$B371="","시작일 누락; ","")&amp;IF(업무일지!$C371="","종료일 누락; ","")&amp;IF(AND(업무일지!$B371&lt;&gt;"",업무일지!$C371&lt;&gt;"",업무일지!$C371&lt;업무일지!$B371),"종료일이 시작일보다 빠름; ","")&amp;IF(COUNTIF(코드설정!$H$5:$H$7,업무일지!$D371)=0,"직무구분 누락; ","")&amp;IF(업무일지!$E371="","세부유형 누락; ",IF(AND(업무일지!$D371&lt;&gt;"",COUNTIFS(코드설정!$A$5:$A$21,업무일지!$D371,코드설정!$B$5:$B$21,업무일지!$E371)=0),"세부유형이 직무구분과 불일치; ",""))&amp;IF(AND(업무일지!$F371&lt;&gt;"",COUNTIF(사건마스터!$A$5:$A$64,업무일지!$F371)=0),"미등록 사건번호; ","")&amp;IF(AND(업무일지!$F371="",업무일지!$H371=""),"사건번호·업무명 모두 없음; ","")&amp;IF(업무일지!$J371="","담당자 없음; ","")&amp;IF(COUNTIF(코드설정!$F$5:$F$7,업무일지!$AG371)=0,"진행상태 누락; ","")))</f>
        <v/>
      </c>
    </row>
    <row r="404">
      <c r="A404" s="26" t="inlineStr">
        <is>
          <t>업무일지</t>
        </is>
      </c>
      <c r="B404" s="66" t="n">
        <v>372</v>
      </c>
      <c r="C404" s="122">
        <f>IF($D404="","",IFERROR(TEXT(업무일지!$B372,"yyyy-mm-dd"),"(날짜없음)")&amp;"  "&amp;업무일지!$F372&amp;"  "&amp;업무일지!$H372)</f>
        <v/>
      </c>
      <c r="D404" s="122">
        <f>IF(NOT(COUNTBLANK(업무일지!$B372:$AH372)&lt;33),"",TRIM(IF(업무일지!$B372="","시작일 누락; ","")&amp;IF(업무일지!$C372="","종료일 누락; ","")&amp;IF(AND(업무일지!$B372&lt;&gt;"",업무일지!$C372&lt;&gt;"",업무일지!$C372&lt;업무일지!$B372),"종료일이 시작일보다 빠름; ","")&amp;IF(COUNTIF(코드설정!$H$5:$H$7,업무일지!$D372)=0,"직무구분 누락; ","")&amp;IF(업무일지!$E372="","세부유형 누락; ",IF(AND(업무일지!$D372&lt;&gt;"",COUNTIFS(코드설정!$A$5:$A$21,업무일지!$D372,코드설정!$B$5:$B$21,업무일지!$E372)=0),"세부유형이 직무구분과 불일치; ",""))&amp;IF(AND(업무일지!$F372&lt;&gt;"",COUNTIF(사건마스터!$A$5:$A$64,업무일지!$F372)=0),"미등록 사건번호; ","")&amp;IF(AND(업무일지!$F372="",업무일지!$H372=""),"사건번호·업무명 모두 없음; ","")&amp;IF(업무일지!$J372="","담당자 없음; ","")&amp;IF(COUNTIF(코드설정!$F$5:$F$7,업무일지!$AG372)=0,"진행상태 누락; ","")))</f>
        <v/>
      </c>
    </row>
    <row r="405">
      <c r="A405" s="26" t="inlineStr">
        <is>
          <t>업무일지</t>
        </is>
      </c>
      <c r="B405" s="66" t="n">
        <v>373</v>
      </c>
      <c r="C405" s="122">
        <f>IF($D405="","",IFERROR(TEXT(업무일지!$B373,"yyyy-mm-dd"),"(날짜없음)")&amp;"  "&amp;업무일지!$F373&amp;"  "&amp;업무일지!$H373)</f>
        <v/>
      </c>
      <c r="D405" s="122">
        <f>IF(NOT(COUNTBLANK(업무일지!$B373:$AH373)&lt;33),"",TRIM(IF(업무일지!$B373="","시작일 누락; ","")&amp;IF(업무일지!$C373="","종료일 누락; ","")&amp;IF(AND(업무일지!$B373&lt;&gt;"",업무일지!$C373&lt;&gt;"",업무일지!$C373&lt;업무일지!$B373),"종료일이 시작일보다 빠름; ","")&amp;IF(COUNTIF(코드설정!$H$5:$H$7,업무일지!$D373)=0,"직무구분 누락; ","")&amp;IF(업무일지!$E373="","세부유형 누락; ",IF(AND(업무일지!$D373&lt;&gt;"",COUNTIFS(코드설정!$A$5:$A$21,업무일지!$D373,코드설정!$B$5:$B$21,업무일지!$E373)=0),"세부유형이 직무구분과 불일치; ",""))&amp;IF(AND(업무일지!$F373&lt;&gt;"",COUNTIF(사건마스터!$A$5:$A$64,업무일지!$F373)=0),"미등록 사건번호; ","")&amp;IF(AND(업무일지!$F373="",업무일지!$H373=""),"사건번호·업무명 모두 없음; ","")&amp;IF(업무일지!$J373="","담당자 없음; ","")&amp;IF(COUNTIF(코드설정!$F$5:$F$7,업무일지!$AG373)=0,"진행상태 누락; ","")))</f>
        <v/>
      </c>
    </row>
    <row r="406">
      <c r="A406" s="26" t="inlineStr">
        <is>
          <t>업무일지</t>
        </is>
      </c>
      <c r="B406" s="66" t="n">
        <v>374</v>
      </c>
      <c r="C406" s="122">
        <f>IF($D406="","",IFERROR(TEXT(업무일지!$B374,"yyyy-mm-dd"),"(날짜없음)")&amp;"  "&amp;업무일지!$F374&amp;"  "&amp;업무일지!$H374)</f>
        <v/>
      </c>
      <c r="D406" s="122">
        <f>IF(NOT(COUNTBLANK(업무일지!$B374:$AH374)&lt;33),"",TRIM(IF(업무일지!$B374="","시작일 누락; ","")&amp;IF(업무일지!$C374="","종료일 누락; ","")&amp;IF(AND(업무일지!$B374&lt;&gt;"",업무일지!$C374&lt;&gt;"",업무일지!$C374&lt;업무일지!$B374),"종료일이 시작일보다 빠름; ","")&amp;IF(COUNTIF(코드설정!$H$5:$H$7,업무일지!$D374)=0,"직무구분 누락; ","")&amp;IF(업무일지!$E374="","세부유형 누락; ",IF(AND(업무일지!$D374&lt;&gt;"",COUNTIFS(코드설정!$A$5:$A$21,업무일지!$D374,코드설정!$B$5:$B$21,업무일지!$E374)=0),"세부유형이 직무구분과 불일치; ",""))&amp;IF(AND(업무일지!$F374&lt;&gt;"",COUNTIF(사건마스터!$A$5:$A$64,업무일지!$F374)=0),"미등록 사건번호; ","")&amp;IF(AND(업무일지!$F374="",업무일지!$H374=""),"사건번호·업무명 모두 없음; ","")&amp;IF(업무일지!$J374="","담당자 없음; ","")&amp;IF(COUNTIF(코드설정!$F$5:$F$7,업무일지!$AG374)=0,"진행상태 누락; ","")))</f>
        <v/>
      </c>
    </row>
    <row r="407">
      <c r="A407" s="26" t="inlineStr">
        <is>
          <t>업무일지</t>
        </is>
      </c>
      <c r="B407" s="66" t="n">
        <v>375</v>
      </c>
      <c r="C407" s="122">
        <f>IF($D407="","",IFERROR(TEXT(업무일지!$B375,"yyyy-mm-dd"),"(날짜없음)")&amp;"  "&amp;업무일지!$F375&amp;"  "&amp;업무일지!$H375)</f>
        <v/>
      </c>
      <c r="D407" s="122">
        <f>IF(NOT(COUNTBLANK(업무일지!$B375:$AH375)&lt;33),"",TRIM(IF(업무일지!$B375="","시작일 누락; ","")&amp;IF(업무일지!$C375="","종료일 누락; ","")&amp;IF(AND(업무일지!$B375&lt;&gt;"",업무일지!$C375&lt;&gt;"",업무일지!$C375&lt;업무일지!$B375),"종료일이 시작일보다 빠름; ","")&amp;IF(COUNTIF(코드설정!$H$5:$H$7,업무일지!$D375)=0,"직무구분 누락; ","")&amp;IF(업무일지!$E375="","세부유형 누락; ",IF(AND(업무일지!$D375&lt;&gt;"",COUNTIFS(코드설정!$A$5:$A$21,업무일지!$D375,코드설정!$B$5:$B$21,업무일지!$E375)=0),"세부유형이 직무구분과 불일치; ",""))&amp;IF(AND(업무일지!$F375&lt;&gt;"",COUNTIF(사건마스터!$A$5:$A$64,업무일지!$F375)=0),"미등록 사건번호; ","")&amp;IF(AND(업무일지!$F375="",업무일지!$H375=""),"사건번호·업무명 모두 없음; ","")&amp;IF(업무일지!$J375="","담당자 없음; ","")&amp;IF(COUNTIF(코드설정!$F$5:$F$7,업무일지!$AG375)=0,"진행상태 누락; ","")))</f>
        <v/>
      </c>
    </row>
    <row r="408">
      <c r="A408" s="26" t="inlineStr">
        <is>
          <t>업무일지</t>
        </is>
      </c>
      <c r="B408" s="66" t="n">
        <v>376</v>
      </c>
      <c r="C408" s="122">
        <f>IF($D408="","",IFERROR(TEXT(업무일지!$B376,"yyyy-mm-dd"),"(날짜없음)")&amp;"  "&amp;업무일지!$F376&amp;"  "&amp;업무일지!$H376)</f>
        <v/>
      </c>
      <c r="D408" s="122">
        <f>IF(NOT(COUNTBLANK(업무일지!$B376:$AH376)&lt;33),"",TRIM(IF(업무일지!$B376="","시작일 누락; ","")&amp;IF(업무일지!$C376="","종료일 누락; ","")&amp;IF(AND(업무일지!$B376&lt;&gt;"",업무일지!$C376&lt;&gt;"",업무일지!$C376&lt;업무일지!$B376),"종료일이 시작일보다 빠름; ","")&amp;IF(COUNTIF(코드설정!$H$5:$H$7,업무일지!$D376)=0,"직무구분 누락; ","")&amp;IF(업무일지!$E376="","세부유형 누락; ",IF(AND(업무일지!$D376&lt;&gt;"",COUNTIFS(코드설정!$A$5:$A$21,업무일지!$D376,코드설정!$B$5:$B$21,업무일지!$E376)=0),"세부유형이 직무구분과 불일치; ",""))&amp;IF(AND(업무일지!$F376&lt;&gt;"",COUNTIF(사건마스터!$A$5:$A$64,업무일지!$F376)=0),"미등록 사건번호; ","")&amp;IF(AND(업무일지!$F376="",업무일지!$H376=""),"사건번호·업무명 모두 없음; ","")&amp;IF(업무일지!$J376="","담당자 없음; ","")&amp;IF(COUNTIF(코드설정!$F$5:$F$7,업무일지!$AG376)=0,"진행상태 누락; ","")))</f>
        <v/>
      </c>
    </row>
    <row r="409">
      <c r="A409" s="26" t="inlineStr">
        <is>
          <t>업무일지</t>
        </is>
      </c>
      <c r="B409" s="66" t="n">
        <v>377</v>
      </c>
      <c r="C409" s="122">
        <f>IF($D409="","",IFERROR(TEXT(업무일지!$B377,"yyyy-mm-dd"),"(날짜없음)")&amp;"  "&amp;업무일지!$F377&amp;"  "&amp;업무일지!$H377)</f>
        <v/>
      </c>
      <c r="D409" s="122">
        <f>IF(NOT(COUNTBLANK(업무일지!$B377:$AH377)&lt;33),"",TRIM(IF(업무일지!$B377="","시작일 누락; ","")&amp;IF(업무일지!$C377="","종료일 누락; ","")&amp;IF(AND(업무일지!$B377&lt;&gt;"",업무일지!$C377&lt;&gt;"",업무일지!$C377&lt;업무일지!$B377),"종료일이 시작일보다 빠름; ","")&amp;IF(COUNTIF(코드설정!$H$5:$H$7,업무일지!$D377)=0,"직무구분 누락; ","")&amp;IF(업무일지!$E377="","세부유형 누락; ",IF(AND(업무일지!$D377&lt;&gt;"",COUNTIFS(코드설정!$A$5:$A$21,업무일지!$D377,코드설정!$B$5:$B$21,업무일지!$E377)=0),"세부유형이 직무구분과 불일치; ",""))&amp;IF(AND(업무일지!$F377&lt;&gt;"",COUNTIF(사건마스터!$A$5:$A$64,업무일지!$F377)=0),"미등록 사건번호; ","")&amp;IF(AND(업무일지!$F377="",업무일지!$H377=""),"사건번호·업무명 모두 없음; ","")&amp;IF(업무일지!$J377="","담당자 없음; ","")&amp;IF(COUNTIF(코드설정!$F$5:$F$7,업무일지!$AG377)=0,"진행상태 누락; ","")))</f>
        <v/>
      </c>
    </row>
    <row r="410">
      <c r="A410" s="26" t="inlineStr">
        <is>
          <t>업무일지</t>
        </is>
      </c>
      <c r="B410" s="66" t="n">
        <v>378</v>
      </c>
      <c r="C410" s="122">
        <f>IF($D410="","",IFERROR(TEXT(업무일지!$B378,"yyyy-mm-dd"),"(날짜없음)")&amp;"  "&amp;업무일지!$F378&amp;"  "&amp;업무일지!$H378)</f>
        <v/>
      </c>
      <c r="D410" s="122">
        <f>IF(NOT(COUNTBLANK(업무일지!$B378:$AH378)&lt;33),"",TRIM(IF(업무일지!$B378="","시작일 누락; ","")&amp;IF(업무일지!$C378="","종료일 누락; ","")&amp;IF(AND(업무일지!$B378&lt;&gt;"",업무일지!$C378&lt;&gt;"",업무일지!$C378&lt;업무일지!$B378),"종료일이 시작일보다 빠름; ","")&amp;IF(COUNTIF(코드설정!$H$5:$H$7,업무일지!$D378)=0,"직무구분 누락; ","")&amp;IF(업무일지!$E378="","세부유형 누락; ",IF(AND(업무일지!$D378&lt;&gt;"",COUNTIFS(코드설정!$A$5:$A$21,업무일지!$D378,코드설정!$B$5:$B$21,업무일지!$E378)=0),"세부유형이 직무구분과 불일치; ",""))&amp;IF(AND(업무일지!$F378&lt;&gt;"",COUNTIF(사건마스터!$A$5:$A$64,업무일지!$F378)=0),"미등록 사건번호; ","")&amp;IF(AND(업무일지!$F378="",업무일지!$H378=""),"사건번호·업무명 모두 없음; ","")&amp;IF(업무일지!$J378="","담당자 없음; ","")&amp;IF(COUNTIF(코드설정!$F$5:$F$7,업무일지!$AG378)=0,"진행상태 누락; ","")))</f>
        <v/>
      </c>
    </row>
    <row r="411">
      <c r="A411" s="26" t="inlineStr">
        <is>
          <t>업무일지</t>
        </is>
      </c>
      <c r="B411" s="66" t="n">
        <v>379</v>
      </c>
      <c r="C411" s="122">
        <f>IF($D411="","",IFERROR(TEXT(업무일지!$B379,"yyyy-mm-dd"),"(날짜없음)")&amp;"  "&amp;업무일지!$F379&amp;"  "&amp;업무일지!$H379)</f>
        <v/>
      </c>
      <c r="D411" s="122">
        <f>IF(NOT(COUNTBLANK(업무일지!$B379:$AH379)&lt;33),"",TRIM(IF(업무일지!$B379="","시작일 누락; ","")&amp;IF(업무일지!$C379="","종료일 누락; ","")&amp;IF(AND(업무일지!$B379&lt;&gt;"",업무일지!$C379&lt;&gt;"",업무일지!$C379&lt;업무일지!$B379),"종료일이 시작일보다 빠름; ","")&amp;IF(COUNTIF(코드설정!$H$5:$H$7,업무일지!$D379)=0,"직무구분 누락; ","")&amp;IF(업무일지!$E379="","세부유형 누락; ",IF(AND(업무일지!$D379&lt;&gt;"",COUNTIFS(코드설정!$A$5:$A$21,업무일지!$D379,코드설정!$B$5:$B$21,업무일지!$E379)=0),"세부유형이 직무구분과 불일치; ",""))&amp;IF(AND(업무일지!$F379&lt;&gt;"",COUNTIF(사건마스터!$A$5:$A$64,업무일지!$F379)=0),"미등록 사건번호; ","")&amp;IF(AND(업무일지!$F379="",업무일지!$H379=""),"사건번호·업무명 모두 없음; ","")&amp;IF(업무일지!$J379="","담당자 없음; ","")&amp;IF(COUNTIF(코드설정!$F$5:$F$7,업무일지!$AG379)=0,"진행상태 누락; ","")))</f>
        <v/>
      </c>
    </row>
    <row r="412">
      <c r="A412" s="26" t="inlineStr">
        <is>
          <t>업무일지</t>
        </is>
      </c>
      <c r="B412" s="66" t="n">
        <v>380</v>
      </c>
      <c r="C412" s="122">
        <f>IF($D412="","",IFERROR(TEXT(업무일지!$B380,"yyyy-mm-dd"),"(날짜없음)")&amp;"  "&amp;업무일지!$F380&amp;"  "&amp;업무일지!$H380)</f>
        <v/>
      </c>
      <c r="D412" s="122">
        <f>IF(NOT(COUNTBLANK(업무일지!$B380:$AH380)&lt;33),"",TRIM(IF(업무일지!$B380="","시작일 누락; ","")&amp;IF(업무일지!$C380="","종료일 누락; ","")&amp;IF(AND(업무일지!$B380&lt;&gt;"",업무일지!$C380&lt;&gt;"",업무일지!$C380&lt;업무일지!$B380),"종료일이 시작일보다 빠름; ","")&amp;IF(COUNTIF(코드설정!$H$5:$H$7,업무일지!$D380)=0,"직무구분 누락; ","")&amp;IF(업무일지!$E380="","세부유형 누락; ",IF(AND(업무일지!$D380&lt;&gt;"",COUNTIFS(코드설정!$A$5:$A$21,업무일지!$D380,코드설정!$B$5:$B$21,업무일지!$E380)=0),"세부유형이 직무구분과 불일치; ",""))&amp;IF(AND(업무일지!$F380&lt;&gt;"",COUNTIF(사건마스터!$A$5:$A$64,업무일지!$F380)=0),"미등록 사건번호; ","")&amp;IF(AND(업무일지!$F380="",업무일지!$H380=""),"사건번호·업무명 모두 없음; ","")&amp;IF(업무일지!$J380="","담당자 없음; ","")&amp;IF(COUNTIF(코드설정!$F$5:$F$7,업무일지!$AG380)=0,"진행상태 누락; ","")))</f>
        <v/>
      </c>
    </row>
    <row r="413">
      <c r="A413" s="26" t="inlineStr">
        <is>
          <t>업무일지</t>
        </is>
      </c>
      <c r="B413" s="66" t="n">
        <v>381</v>
      </c>
      <c r="C413" s="122">
        <f>IF($D413="","",IFERROR(TEXT(업무일지!$B381,"yyyy-mm-dd"),"(날짜없음)")&amp;"  "&amp;업무일지!$F381&amp;"  "&amp;업무일지!$H381)</f>
        <v/>
      </c>
      <c r="D413" s="122">
        <f>IF(NOT(COUNTBLANK(업무일지!$B381:$AH381)&lt;33),"",TRIM(IF(업무일지!$B381="","시작일 누락; ","")&amp;IF(업무일지!$C381="","종료일 누락; ","")&amp;IF(AND(업무일지!$B381&lt;&gt;"",업무일지!$C381&lt;&gt;"",업무일지!$C381&lt;업무일지!$B381),"종료일이 시작일보다 빠름; ","")&amp;IF(COUNTIF(코드설정!$H$5:$H$7,업무일지!$D381)=0,"직무구분 누락; ","")&amp;IF(업무일지!$E381="","세부유형 누락; ",IF(AND(업무일지!$D381&lt;&gt;"",COUNTIFS(코드설정!$A$5:$A$21,업무일지!$D381,코드설정!$B$5:$B$21,업무일지!$E381)=0),"세부유형이 직무구분과 불일치; ",""))&amp;IF(AND(업무일지!$F381&lt;&gt;"",COUNTIF(사건마스터!$A$5:$A$64,업무일지!$F381)=0),"미등록 사건번호; ","")&amp;IF(AND(업무일지!$F381="",업무일지!$H381=""),"사건번호·업무명 모두 없음; ","")&amp;IF(업무일지!$J381="","담당자 없음; ","")&amp;IF(COUNTIF(코드설정!$F$5:$F$7,업무일지!$AG381)=0,"진행상태 누락; ","")))</f>
        <v/>
      </c>
    </row>
    <row r="414">
      <c r="A414" s="26" t="inlineStr">
        <is>
          <t>업무일지</t>
        </is>
      </c>
      <c r="B414" s="66" t="n">
        <v>382</v>
      </c>
      <c r="C414" s="122">
        <f>IF($D414="","",IFERROR(TEXT(업무일지!$B382,"yyyy-mm-dd"),"(날짜없음)")&amp;"  "&amp;업무일지!$F382&amp;"  "&amp;업무일지!$H382)</f>
        <v/>
      </c>
      <c r="D414" s="122">
        <f>IF(NOT(COUNTBLANK(업무일지!$B382:$AH382)&lt;33),"",TRIM(IF(업무일지!$B382="","시작일 누락; ","")&amp;IF(업무일지!$C382="","종료일 누락; ","")&amp;IF(AND(업무일지!$B382&lt;&gt;"",업무일지!$C382&lt;&gt;"",업무일지!$C382&lt;업무일지!$B382),"종료일이 시작일보다 빠름; ","")&amp;IF(COUNTIF(코드설정!$H$5:$H$7,업무일지!$D382)=0,"직무구분 누락; ","")&amp;IF(업무일지!$E382="","세부유형 누락; ",IF(AND(업무일지!$D382&lt;&gt;"",COUNTIFS(코드설정!$A$5:$A$21,업무일지!$D382,코드설정!$B$5:$B$21,업무일지!$E382)=0),"세부유형이 직무구분과 불일치; ",""))&amp;IF(AND(업무일지!$F382&lt;&gt;"",COUNTIF(사건마스터!$A$5:$A$64,업무일지!$F382)=0),"미등록 사건번호; ","")&amp;IF(AND(업무일지!$F382="",업무일지!$H382=""),"사건번호·업무명 모두 없음; ","")&amp;IF(업무일지!$J382="","담당자 없음; ","")&amp;IF(COUNTIF(코드설정!$F$5:$F$7,업무일지!$AG382)=0,"진행상태 누락; ","")))</f>
        <v/>
      </c>
    </row>
    <row r="415">
      <c r="A415" s="26" t="inlineStr">
        <is>
          <t>업무일지</t>
        </is>
      </c>
      <c r="B415" s="66" t="n">
        <v>383</v>
      </c>
      <c r="C415" s="122">
        <f>IF($D415="","",IFERROR(TEXT(업무일지!$B383,"yyyy-mm-dd"),"(날짜없음)")&amp;"  "&amp;업무일지!$F383&amp;"  "&amp;업무일지!$H383)</f>
        <v/>
      </c>
      <c r="D415" s="122">
        <f>IF(NOT(COUNTBLANK(업무일지!$B383:$AH383)&lt;33),"",TRIM(IF(업무일지!$B383="","시작일 누락; ","")&amp;IF(업무일지!$C383="","종료일 누락; ","")&amp;IF(AND(업무일지!$B383&lt;&gt;"",업무일지!$C383&lt;&gt;"",업무일지!$C383&lt;업무일지!$B383),"종료일이 시작일보다 빠름; ","")&amp;IF(COUNTIF(코드설정!$H$5:$H$7,업무일지!$D383)=0,"직무구분 누락; ","")&amp;IF(업무일지!$E383="","세부유형 누락; ",IF(AND(업무일지!$D383&lt;&gt;"",COUNTIFS(코드설정!$A$5:$A$21,업무일지!$D383,코드설정!$B$5:$B$21,업무일지!$E383)=0),"세부유형이 직무구분과 불일치; ",""))&amp;IF(AND(업무일지!$F383&lt;&gt;"",COUNTIF(사건마스터!$A$5:$A$64,업무일지!$F383)=0),"미등록 사건번호; ","")&amp;IF(AND(업무일지!$F383="",업무일지!$H383=""),"사건번호·업무명 모두 없음; ","")&amp;IF(업무일지!$J383="","담당자 없음; ","")&amp;IF(COUNTIF(코드설정!$F$5:$F$7,업무일지!$AG383)=0,"진행상태 누락; ","")))</f>
        <v/>
      </c>
    </row>
    <row r="416">
      <c r="A416" s="26" t="inlineStr">
        <is>
          <t>업무일지</t>
        </is>
      </c>
      <c r="B416" s="66" t="n">
        <v>384</v>
      </c>
      <c r="C416" s="122">
        <f>IF($D416="","",IFERROR(TEXT(업무일지!$B384,"yyyy-mm-dd"),"(날짜없음)")&amp;"  "&amp;업무일지!$F384&amp;"  "&amp;업무일지!$H384)</f>
        <v/>
      </c>
      <c r="D416" s="122">
        <f>IF(NOT(COUNTBLANK(업무일지!$B384:$AH384)&lt;33),"",TRIM(IF(업무일지!$B384="","시작일 누락; ","")&amp;IF(업무일지!$C384="","종료일 누락; ","")&amp;IF(AND(업무일지!$B384&lt;&gt;"",업무일지!$C384&lt;&gt;"",업무일지!$C384&lt;업무일지!$B384),"종료일이 시작일보다 빠름; ","")&amp;IF(COUNTIF(코드설정!$H$5:$H$7,업무일지!$D384)=0,"직무구분 누락; ","")&amp;IF(업무일지!$E384="","세부유형 누락; ",IF(AND(업무일지!$D384&lt;&gt;"",COUNTIFS(코드설정!$A$5:$A$21,업무일지!$D384,코드설정!$B$5:$B$21,업무일지!$E384)=0),"세부유형이 직무구분과 불일치; ",""))&amp;IF(AND(업무일지!$F384&lt;&gt;"",COUNTIF(사건마스터!$A$5:$A$64,업무일지!$F384)=0),"미등록 사건번호; ","")&amp;IF(AND(업무일지!$F384="",업무일지!$H384=""),"사건번호·업무명 모두 없음; ","")&amp;IF(업무일지!$J384="","담당자 없음; ","")&amp;IF(COUNTIF(코드설정!$F$5:$F$7,업무일지!$AG384)=0,"진행상태 누락; ","")))</f>
        <v/>
      </c>
    </row>
    <row r="417">
      <c r="A417" s="26" t="inlineStr">
        <is>
          <t>업무일지</t>
        </is>
      </c>
      <c r="B417" s="66" t="n">
        <v>385</v>
      </c>
      <c r="C417" s="122">
        <f>IF($D417="","",IFERROR(TEXT(업무일지!$B385,"yyyy-mm-dd"),"(날짜없음)")&amp;"  "&amp;업무일지!$F385&amp;"  "&amp;업무일지!$H385)</f>
        <v/>
      </c>
      <c r="D417" s="122">
        <f>IF(NOT(COUNTBLANK(업무일지!$B385:$AH385)&lt;33),"",TRIM(IF(업무일지!$B385="","시작일 누락; ","")&amp;IF(업무일지!$C385="","종료일 누락; ","")&amp;IF(AND(업무일지!$B385&lt;&gt;"",업무일지!$C385&lt;&gt;"",업무일지!$C385&lt;업무일지!$B385),"종료일이 시작일보다 빠름; ","")&amp;IF(COUNTIF(코드설정!$H$5:$H$7,업무일지!$D385)=0,"직무구분 누락; ","")&amp;IF(업무일지!$E385="","세부유형 누락; ",IF(AND(업무일지!$D385&lt;&gt;"",COUNTIFS(코드설정!$A$5:$A$21,업무일지!$D385,코드설정!$B$5:$B$21,업무일지!$E385)=0),"세부유형이 직무구분과 불일치; ",""))&amp;IF(AND(업무일지!$F385&lt;&gt;"",COUNTIF(사건마스터!$A$5:$A$64,업무일지!$F385)=0),"미등록 사건번호; ","")&amp;IF(AND(업무일지!$F385="",업무일지!$H385=""),"사건번호·업무명 모두 없음; ","")&amp;IF(업무일지!$J385="","담당자 없음; ","")&amp;IF(COUNTIF(코드설정!$F$5:$F$7,업무일지!$AG385)=0,"진행상태 누락; ","")))</f>
        <v/>
      </c>
    </row>
    <row r="418">
      <c r="A418" s="26" t="inlineStr">
        <is>
          <t>업무일지</t>
        </is>
      </c>
      <c r="B418" s="66" t="n">
        <v>386</v>
      </c>
      <c r="C418" s="122">
        <f>IF($D418="","",IFERROR(TEXT(업무일지!$B386,"yyyy-mm-dd"),"(날짜없음)")&amp;"  "&amp;업무일지!$F386&amp;"  "&amp;업무일지!$H386)</f>
        <v/>
      </c>
      <c r="D418" s="122">
        <f>IF(NOT(COUNTBLANK(업무일지!$B386:$AH386)&lt;33),"",TRIM(IF(업무일지!$B386="","시작일 누락; ","")&amp;IF(업무일지!$C386="","종료일 누락; ","")&amp;IF(AND(업무일지!$B386&lt;&gt;"",업무일지!$C386&lt;&gt;"",업무일지!$C386&lt;업무일지!$B386),"종료일이 시작일보다 빠름; ","")&amp;IF(COUNTIF(코드설정!$H$5:$H$7,업무일지!$D386)=0,"직무구분 누락; ","")&amp;IF(업무일지!$E386="","세부유형 누락; ",IF(AND(업무일지!$D386&lt;&gt;"",COUNTIFS(코드설정!$A$5:$A$21,업무일지!$D386,코드설정!$B$5:$B$21,업무일지!$E386)=0),"세부유형이 직무구분과 불일치; ",""))&amp;IF(AND(업무일지!$F386&lt;&gt;"",COUNTIF(사건마스터!$A$5:$A$64,업무일지!$F386)=0),"미등록 사건번호; ","")&amp;IF(AND(업무일지!$F386="",업무일지!$H386=""),"사건번호·업무명 모두 없음; ","")&amp;IF(업무일지!$J386="","담당자 없음; ","")&amp;IF(COUNTIF(코드설정!$F$5:$F$7,업무일지!$AG386)=0,"진행상태 누락; ","")))</f>
        <v/>
      </c>
    </row>
    <row r="419">
      <c r="A419" s="26" t="inlineStr">
        <is>
          <t>업무일지</t>
        </is>
      </c>
      <c r="B419" s="66" t="n">
        <v>387</v>
      </c>
      <c r="C419" s="122">
        <f>IF($D419="","",IFERROR(TEXT(업무일지!$B387,"yyyy-mm-dd"),"(날짜없음)")&amp;"  "&amp;업무일지!$F387&amp;"  "&amp;업무일지!$H387)</f>
        <v/>
      </c>
      <c r="D419" s="122">
        <f>IF(NOT(COUNTBLANK(업무일지!$B387:$AH387)&lt;33),"",TRIM(IF(업무일지!$B387="","시작일 누락; ","")&amp;IF(업무일지!$C387="","종료일 누락; ","")&amp;IF(AND(업무일지!$B387&lt;&gt;"",업무일지!$C387&lt;&gt;"",업무일지!$C387&lt;업무일지!$B387),"종료일이 시작일보다 빠름; ","")&amp;IF(COUNTIF(코드설정!$H$5:$H$7,업무일지!$D387)=0,"직무구분 누락; ","")&amp;IF(업무일지!$E387="","세부유형 누락; ",IF(AND(업무일지!$D387&lt;&gt;"",COUNTIFS(코드설정!$A$5:$A$21,업무일지!$D387,코드설정!$B$5:$B$21,업무일지!$E387)=0),"세부유형이 직무구분과 불일치; ",""))&amp;IF(AND(업무일지!$F387&lt;&gt;"",COUNTIF(사건마스터!$A$5:$A$64,업무일지!$F387)=0),"미등록 사건번호; ","")&amp;IF(AND(업무일지!$F387="",업무일지!$H387=""),"사건번호·업무명 모두 없음; ","")&amp;IF(업무일지!$J387="","담당자 없음; ","")&amp;IF(COUNTIF(코드설정!$F$5:$F$7,업무일지!$AG387)=0,"진행상태 누락; ","")))</f>
        <v/>
      </c>
    </row>
    <row r="420">
      <c r="A420" s="26" t="inlineStr">
        <is>
          <t>업무일지</t>
        </is>
      </c>
      <c r="B420" s="66" t="n">
        <v>388</v>
      </c>
      <c r="C420" s="122">
        <f>IF($D420="","",IFERROR(TEXT(업무일지!$B388,"yyyy-mm-dd"),"(날짜없음)")&amp;"  "&amp;업무일지!$F388&amp;"  "&amp;업무일지!$H388)</f>
        <v/>
      </c>
      <c r="D420" s="122">
        <f>IF(NOT(COUNTBLANK(업무일지!$B388:$AH388)&lt;33),"",TRIM(IF(업무일지!$B388="","시작일 누락; ","")&amp;IF(업무일지!$C388="","종료일 누락; ","")&amp;IF(AND(업무일지!$B388&lt;&gt;"",업무일지!$C388&lt;&gt;"",업무일지!$C388&lt;업무일지!$B388),"종료일이 시작일보다 빠름; ","")&amp;IF(COUNTIF(코드설정!$H$5:$H$7,업무일지!$D388)=0,"직무구분 누락; ","")&amp;IF(업무일지!$E388="","세부유형 누락; ",IF(AND(업무일지!$D388&lt;&gt;"",COUNTIFS(코드설정!$A$5:$A$21,업무일지!$D388,코드설정!$B$5:$B$21,업무일지!$E388)=0),"세부유형이 직무구분과 불일치; ",""))&amp;IF(AND(업무일지!$F388&lt;&gt;"",COUNTIF(사건마스터!$A$5:$A$64,업무일지!$F388)=0),"미등록 사건번호; ","")&amp;IF(AND(업무일지!$F388="",업무일지!$H388=""),"사건번호·업무명 모두 없음; ","")&amp;IF(업무일지!$J388="","담당자 없음; ","")&amp;IF(COUNTIF(코드설정!$F$5:$F$7,업무일지!$AG388)=0,"진행상태 누락; ","")))</f>
        <v/>
      </c>
    </row>
    <row r="421">
      <c r="A421" s="26" t="inlineStr">
        <is>
          <t>업무일지</t>
        </is>
      </c>
      <c r="B421" s="66" t="n">
        <v>389</v>
      </c>
      <c r="C421" s="122">
        <f>IF($D421="","",IFERROR(TEXT(업무일지!$B389,"yyyy-mm-dd"),"(날짜없음)")&amp;"  "&amp;업무일지!$F389&amp;"  "&amp;업무일지!$H389)</f>
        <v/>
      </c>
      <c r="D421" s="122">
        <f>IF(NOT(COUNTBLANK(업무일지!$B389:$AH389)&lt;33),"",TRIM(IF(업무일지!$B389="","시작일 누락; ","")&amp;IF(업무일지!$C389="","종료일 누락; ","")&amp;IF(AND(업무일지!$B389&lt;&gt;"",업무일지!$C389&lt;&gt;"",업무일지!$C389&lt;업무일지!$B389),"종료일이 시작일보다 빠름; ","")&amp;IF(COUNTIF(코드설정!$H$5:$H$7,업무일지!$D389)=0,"직무구분 누락; ","")&amp;IF(업무일지!$E389="","세부유형 누락; ",IF(AND(업무일지!$D389&lt;&gt;"",COUNTIFS(코드설정!$A$5:$A$21,업무일지!$D389,코드설정!$B$5:$B$21,업무일지!$E389)=0),"세부유형이 직무구분과 불일치; ",""))&amp;IF(AND(업무일지!$F389&lt;&gt;"",COUNTIF(사건마스터!$A$5:$A$64,업무일지!$F389)=0),"미등록 사건번호; ","")&amp;IF(AND(업무일지!$F389="",업무일지!$H389=""),"사건번호·업무명 모두 없음; ","")&amp;IF(업무일지!$J389="","담당자 없음; ","")&amp;IF(COUNTIF(코드설정!$F$5:$F$7,업무일지!$AG389)=0,"진행상태 누락; ","")))</f>
        <v/>
      </c>
    </row>
    <row r="422">
      <c r="A422" s="26" t="inlineStr">
        <is>
          <t>업무일지</t>
        </is>
      </c>
      <c r="B422" s="66" t="n">
        <v>390</v>
      </c>
      <c r="C422" s="122">
        <f>IF($D422="","",IFERROR(TEXT(업무일지!$B390,"yyyy-mm-dd"),"(날짜없음)")&amp;"  "&amp;업무일지!$F390&amp;"  "&amp;업무일지!$H390)</f>
        <v/>
      </c>
      <c r="D422" s="122">
        <f>IF(NOT(COUNTBLANK(업무일지!$B390:$AH390)&lt;33),"",TRIM(IF(업무일지!$B390="","시작일 누락; ","")&amp;IF(업무일지!$C390="","종료일 누락; ","")&amp;IF(AND(업무일지!$B390&lt;&gt;"",업무일지!$C390&lt;&gt;"",업무일지!$C390&lt;업무일지!$B390),"종료일이 시작일보다 빠름; ","")&amp;IF(COUNTIF(코드설정!$H$5:$H$7,업무일지!$D390)=0,"직무구분 누락; ","")&amp;IF(업무일지!$E390="","세부유형 누락; ",IF(AND(업무일지!$D390&lt;&gt;"",COUNTIFS(코드설정!$A$5:$A$21,업무일지!$D390,코드설정!$B$5:$B$21,업무일지!$E390)=0),"세부유형이 직무구분과 불일치; ",""))&amp;IF(AND(업무일지!$F390&lt;&gt;"",COUNTIF(사건마스터!$A$5:$A$64,업무일지!$F390)=0),"미등록 사건번호; ","")&amp;IF(AND(업무일지!$F390="",업무일지!$H390=""),"사건번호·업무명 모두 없음; ","")&amp;IF(업무일지!$J390="","담당자 없음; ","")&amp;IF(COUNTIF(코드설정!$F$5:$F$7,업무일지!$AG390)=0,"진행상태 누락; ","")))</f>
        <v/>
      </c>
    </row>
    <row r="423">
      <c r="A423" s="26" t="inlineStr">
        <is>
          <t>업무일지</t>
        </is>
      </c>
      <c r="B423" s="66" t="n">
        <v>391</v>
      </c>
      <c r="C423" s="122">
        <f>IF($D423="","",IFERROR(TEXT(업무일지!$B391,"yyyy-mm-dd"),"(날짜없음)")&amp;"  "&amp;업무일지!$F391&amp;"  "&amp;업무일지!$H391)</f>
        <v/>
      </c>
      <c r="D423" s="122">
        <f>IF(NOT(COUNTBLANK(업무일지!$B391:$AH391)&lt;33),"",TRIM(IF(업무일지!$B391="","시작일 누락; ","")&amp;IF(업무일지!$C391="","종료일 누락; ","")&amp;IF(AND(업무일지!$B391&lt;&gt;"",업무일지!$C391&lt;&gt;"",업무일지!$C391&lt;업무일지!$B391),"종료일이 시작일보다 빠름; ","")&amp;IF(COUNTIF(코드설정!$H$5:$H$7,업무일지!$D391)=0,"직무구분 누락; ","")&amp;IF(업무일지!$E391="","세부유형 누락; ",IF(AND(업무일지!$D391&lt;&gt;"",COUNTIFS(코드설정!$A$5:$A$21,업무일지!$D391,코드설정!$B$5:$B$21,업무일지!$E391)=0),"세부유형이 직무구분과 불일치; ",""))&amp;IF(AND(업무일지!$F391&lt;&gt;"",COUNTIF(사건마스터!$A$5:$A$64,업무일지!$F391)=0),"미등록 사건번호; ","")&amp;IF(AND(업무일지!$F391="",업무일지!$H391=""),"사건번호·업무명 모두 없음; ","")&amp;IF(업무일지!$J391="","담당자 없음; ","")&amp;IF(COUNTIF(코드설정!$F$5:$F$7,업무일지!$AG391)=0,"진행상태 누락; ","")))</f>
        <v/>
      </c>
    </row>
    <row r="424">
      <c r="A424" s="26" t="inlineStr">
        <is>
          <t>업무일지</t>
        </is>
      </c>
      <c r="B424" s="66" t="n">
        <v>392</v>
      </c>
      <c r="C424" s="122">
        <f>IF($D424="","",IFERROR(TEXT(업무일지!$B392,"yyyy-mm-dd"),"(날짜없음)")&amp;"  "&amp;업무일지!$F392&amp;"  "&amp;업무일지!$H392)</f>
        <v/>
      </c>
      <c r="D424" s="122">
        <f>IF(NOT(COUNTBLANK(업무일지!$B392:$AH392)&lt;33),"",TRIM(IF(업무일지!$B392="","시작일 누락; ","")&amp;IF(업무일지!$C392="","종료일 누락; ","")&amp;IF(AND(업무일지!$B392&lt;&gt;"",업무일지!$C392&lt;&gt;"",업무일지!$C392&lt;업무일지!$B392),"종료일이 시작일보다 빠름; ","")&amp;IF(COUNTIF(코드설정!$H$5:$H$7,업무일지!$D392)=0,"직무구분 누락; ","")&amp;IF(업무일지!$E392="","세부유형 누락; ",IF(AND(업무일지!$D392&lt;&gt;"",COUNTIFS(코드설정!$A$5:$A$21,업무일지!$D392,코드설정!$B$5:$B$21,업무일지!$E392)=0),"세부유형이 직무구분과 불일치; ",""))&amp;IF(AND(업무일지!$F392&lt;&gt;"",COUNTIF(사건마스터!$A$5:$A$64,업무일지!$F392)=0),"미등록 사건번호; ","")&amp;IF(AND(업무일지!$F392="",업무일지!$H392=""),"사건번호·업무명 모두 없음; ","")&amp;IF(업무일지!$J392="","담당자 없음; ","")&amp;IF(COUNTIF(코드설정!$F$5:$F$7,업무일지!$AG392)=0,"진행상태 누락; ","")))</f>
        <v/>
      </c>
    </row>
    <row r="425">
      <c r="A425" s="26" t="inlineStr">
        <is>
          <t>업무일지</t>
        </is>
      </c>
      <c r="B425" s="66" t="n">
        <v>393</v>
      </c>
      <c r="C425" s="122">
        <f>IF($D425="","",IFERROR(TEXT(업무일지!$B393,"yyyy-mm-dd"),"(날짜없음)")&amp;"  "&amp;업무일지!$F393&amp;"  "&amp;업무일지!$H393)</f>
        <v/>
      </c>
      <c r="D425" s="122">
        <f>IF(NOT(COUNTBLANK(업무일지!$B393:$AH393)&lt;33),"",TRIM(IF(업무일지!$B393="","시작일 누락; ","")&amp;IF(업무일지!$C393="","종료일 누락; ","")&amp;IF(AND(업무일지!$B393&lt;&gt;"",업무일지!$C393&lt;&gt;"",업무일지!$C393&lt;업무일지!$B393),"종료일이 시작일보다 빠름; ","")&amp;IF(COUNTIF(코드설정!$H$5:$H$7,업무일지!$D393)=0,"직무구분 누락; ","")&amp;IF(업무일지!$E393="","세부유형 누락; ",IF(AND(업무일지!$D393&lt;&gt;"",COUNTIFS(코드설정!$A$5:$A$21,업무일지!$D393,코드설정!$B$5:$B$21,업무일지!$E393)=0),"세부유형이 직무구분과 불일치; ",""))&amp;IF(AND(업무일지!$F393&lt;&gt;"",COUNTIF(사건마스터!$A$5:$A$64,업무일지!$F393)=0),"미등록 사건번호; ","")&amp;IF(AND(업무일지!$F393="",업무일지!$H393=""),"사건번호·업무명 모두 없음; ","")&amp;IF(업무일지!$J393="","담당자 없음; ","")&amp;IF(COUNTIF(코드설정!$F$5:$F$7,업무일지!$AG393)=0,"진행상태 누락; ","")))</f>
        <v/>
      </c>
    </row>
    <row r="426">
      <c r="A426" s="26" t="inlineStr">
        <is>
          <t>업무일지</t>
        </is>
      </c>
      <c r="B426" s="66" t="n">
        <v>394</v>
      </c>
      <c r="C426" s="122">
        <f>IF($D426="","",IFERROR(TEXT(업무일지!$B394,"yyyy-mm-dd"),"(날짜없음)")&amp;"  "&amp;업무일지!$F394&amp;"  "&amp;업무일지!$H394)</f>
        <v/>
      </c>
      <c r="D426" s="122">
        <f>IF(NOT(COUNTBLANK(업무일지!$B394:$AH394)&lt;33),"",TRIM(IF(업무일지!$B394="","시작일 누락; ","")&amp;IF(업무일지!$C394="","종료일 누락; ","")&amp;IF(AND(업무일지!$B394&lt;&gt;"",업무일지!$C394&lt;&gt;"",업무일지!$C394&lt;업무일지!$B394),"종료일이 시작일보다 빠름; ","")&amp;IF(COUNTIF(코드설정!$H$5:$H$7,업무일지!$D394)=0,"직무구분 누락; ","")&amp;IF(업무일지!$E394="","세부유형 누락; ",IF(AND(업무일지!$D394&lt;&gt;"",COUNTIFS(코드설정!$A$5:$A$21,업무일지!$D394,코드설정!$B$5:$B$21,업무일지!$E394)=0),"세부유형이 직무구분과 불일치; ",""))&amp;IF(AND(업무일지!$F394&lt;&gt;"",COUNTIF(사건마스터!$A$5:$A$64,업무일지!$F394)=0),"미등록 사건번호; ","")&amp;IF(AND(업무일지!$F394="",업무일지!$H394=""),"사건번호·업무명 모두 없음; ","")&amp;IF(업무일지!$J394="","담당자 없음; ","")&amp;IF(COUNTIF(코드설정!$F$5:$F$7,업무일지!$AG394)=0,"진행상태 누락; ","")))</f>
        <v/>
      </c>
    </row>
    <row r="427">
      <c r="A427" s="26" t="inlineStr">
        <is>
          <t>업무일지</t>
        </is>
      </c>
      <c r="B427" s="66" t="n">
        <v>395</v>
      </c>
      <c r="C427" s="122">
        <f>IF($D427="","",IFERROR(TEXT(업무일지!$B395,"yyyy-mm-dd"),"(날짜없음)")&amp;"  "&amp;업무일지!$F395&amp;"  "&amp;업무일지!$H395)</f>
        <v/>
      </c>
      <c r="D427" s="122">
        <f>IF(NOT(COUNTBLANK(업무일지!$B395:$AH395)&lt;33),"",TRIM(IF(업무일지!$B395="","시작일 누락; ","")&amp;IF(업무일지!$C395="","종료일 누락; ","")&amp;IF(AND(업무일지!$B395&lt;&gt;"",업무일지!$C395&lt;&gt;"",업무일지!$C395&lt;업무일지!$B395),"종료일이 시작일보다 빠름; ","")&amp;IF(COUNTIF(코드설정!$H$5:$H$7,업무일지!$D395)=0,"직무구분 누락; ","")&amp;IF(업무일지!$E395="","세부유형 누락; ",IF(AND(업무일지!$D395&lt;&gt;"",COUNTIFS(코드설정!$A$5:$A$21,업무일지!$D395,코드설정!$B$5:$B$21,업무일지!$E395)=0),"세부유형이 직무구분과 불일치; ",""))&amp;IF(AND(업무일지!$F395&lt;&gt;"",COUNTIF(사건마스터!$A$5:$A$64,업무일지!$F395)=0),"미등록 사건번호; ","")&amp;IF(AND(업무일지!$F395="",업무일지!$H395=""),"사건번호·업무명 모두 없음; ","")&amp;IF(업무일지!$J395="","담당자 없음; ","")&amp;IF(COUNTIF(코드설정!$F$5:$F$7,업무일지!$AG395)=0,"진행상태 누락; ","")))</f>
        <v/>
      </c>
    </row>
    <row r="428">
      <c r="A428" s="26" t="inlineStr">
        <is>
          <t>업무일지</t>
        </is>
      </c>
      <c r="B428" s="66" t="n">
        <v>396</v>
      </c>
      <c r="C428" s="122">
        <f>IF($D428="","",IFERROR(TEXT(업무일지!$B396,"yyyy-mm-dd"),"(날짜없음)")&amp;"  "&amp;업무일지!$F396&amp;"  "&amp;업무일지!$H396)</f>
        <v/>
      </c>
      <c r="D428" s="122">
        <f>IF(NOT(COUNTBLANK(업무일지!$B396:$AH396)&lt;33),"",TRIM(IF(업무일지!$B396="","시작일 누락; ","")&amp;IF(업무일지!$C396="","종료일 누락; ","")&amp;IF(AND(업무일지!$B396&lt;&gt;"",업무일지!$C396&lt;&gt;"",업무일지!$C396&lt;업무일지!$B396),"종료일이 시작일보다 빠름; ","")&amp;IF(COUNTIF(코드설정!$H$5:$H$7,업무일지!$D396)=0,"직무구분 누락; ","")&amp;IF(업무일지!$E396="","세부유형 누락; ",IF(AND(업무일지!$D396&lt;&gt;"",COUNTIFS(코드설정!$A$5:$A$21,업무일지!$D396,코드설정!$B$5:$B$21,업무일지!$E396)=0),"세부유형이 직무구분과 불일치; ",""))&amp;IF(AND(업무일지!$F396&lt;&gt;"",COUNTIF(사건마스터!$A$5:$A$64,업무일지!$F396)=0),"미등록 사건번호; ","")&amp;IF(AND(업무일지!$F396="",업무일지!$H396=""),"사건번호·업무명 모두 없음; ","")&amp;IF(업무일지!$J396="","담당자 없음; ","")&amp;IF(COUNTIF(코드설정!$F$5:$F$7,업무일지!$AG396)=0,"진행상태 누락; ","")))</f>
        <v/>
      </c>
    </row>
    <row r="429">
      <c r="A429" s="26" t="inlineStr">
        <is>
          <t>업무일지</t>
        </is>
      </c>
      <c r="B429" s="66" t="n">
        <v>397</v>
      </c>
      <c r="C429" s="122">
        <f>IF($D429="","",IFERROR(TEXT(업무일지!$B397,"yyyy-mm-dd"),"(날짜없음)")&amp;"  "&amp;업무일지!$F397&amp;"  "&amp;업무일지!$H397)</f>
        <v/>
      </c>
      <c r="D429" s="122">
        <f>IF(NOT(COUNTBLANK(업무일지!$B397:$AH397)&lt;33),"",TRIM(IF(업무일지!$B397="","시작일 누락; ","")&amp;IF(업무일지!$C397="","종료일 누락; ","")&amp;IF(AND(업무일지!$B397&lt;&gt;"",업무일지!$C397&lt;&gt;"",업무일지!$C397&lt;업무일지!$B397),"종료일이 시작일보다 빠름; ","")&amp;IF(COUNTIF(코드설정!$H$5:$H$7,업무일지!$D397)=0,"직무구분 누락; ","")&amp;IF(업무일지!$E397="","세부유형 누락; ",IF(AND(업무일지!$D397&lt;&gt;"",COUNTIFS(코드설정!$A$5:$A$21,업무일지!$D397,코드설정!$B$5:$B$21,업무일지!$E397)=0),"세부유형이 직무구분과 불일치; ",""))&amp;IF(AND(업무일지!$F397&lt;&gt;"",COUNTIF(사건마스터!$A$5:$A$64,업무일지!$F397)=0),"미등록 사건번호; ","")&amp;IF(AND(업무일지!$F397="",업무일지!$H397=""),"사건번호·업무명 모두 없음; ","")&amp;IF(업무일지!$J397="","담당자 없음; ","")&amp;IF(COUNTIF(코드설정!$F$5:$F$7,업무일지!$AG397)=0,"진행상태 누락; ","")))</f>
        <v/>
      </c>
    </row>
    <row r="430">
      <c r="A430" s="26" t="inlineStr">
        <is>
          <t>업무일지</t>
        </is>
      </c>
      <c r="B430" s="66" t="n">
        <v>398</v>
      </c>
      <c r="C430" s="122">
        <f>IF($D430="","",IFERROR(TEXT(업무일지!$B398,"yyyy-mm-dd"),"(날짜없음)")&amp;"  "&amp;업무일지!$F398&amp;"  "&amp;업무일지!$H398)</f>
        <v/>
      </c>
      <c r="D430" s="122">
        <f>IF(NOT(COUNTBLANK(업무일지!$B398:$AH398)&lt;33),"",TRIM(IF(업무일지!$B398="","시작일 누락; ","")&amp;IF(업무일지!$C398="","종료일 누락; ","")&amp;IF(AND(업무일지!$B398&lt;&gt;"",업무일지!$C398&lt;&gt;"",업무일지!$C398&lt;업무일지!$B398),"종료일이 시작일보다 빠름; ","")&amp;IF(COUNTIF(코드설정!$H$5:$H$7,업무일지!$D398)=0,"직무구분 누락; ","")&amp;IF(업무일지!$E398="","세부유형 누락; ",IF(AND(업무일지!$D398&lt;&gt;"",COUNTIFS(코드설정!$A$5:$A$21,업무일지!$D398,코드설정!$B$5:$B$21,업무일지!$E398)=0),"세부유형이 직무구분과 불일치; ",""))&amp;IF(AND(업무일지!$F398&lt;&gt;"",COUNTIF(사건마스터!$A$5:$A$64,업무일지!$F398)=0),"미등록 사건번호; ","")&amp;IF(AND(업무일지!$F398="",업무일지!$H398=""),"사건번호·업무명 모두 없음; ","")&amp;IF(업무일지!$J398="","담당자 없음; ","")&amp;IF(COUNTIF(코드설정!$F$5:$F$7,업무일지!$AG398)=0,"진행상태 누락; ","")))</f>
        <v/>
      </c>
    </row>
    <row r="431">
      <c r="A431" s="26" t="inlineStr">
        <is>
          <t>업무일지</t>
        </is>
      </c>
      <c r="B431" s="66" t="n">
        <v>399</v>
      </c>
      <c r="C431" s="122">
        <f>IF($D431="","",IFERROR(TEXT(업무일지!$B399,"yyyy-mm-dd"),"(날짜없음)")&amp;"  "&amp;업무일지!$F399&amp;"  "&amp;업무일지!$H399)</f>
        <v/>
      </c>
      <c r="D431" s="122">
        <f>IF(NOT(COUNTBLANK(업무일지!$B399:$AH399)&lt;33),"",TRIM(IF(업무일지!$B399="","시작일 누락; ","")&amp;IF(업무일지!$C399="","종료일 누락; ","")&amp;IF(AND(업무일지!$B399&lt;&gt;"",업무일지!$C399&lt;&gt;"",업무일지!$C399&lt;업무일지!$B399),"종료일이 시작일보다 빠름; ","")&amp;IF(COUNTIF(코드설정!$H$5:$H$7,업무일지!$D399)=0,"직무구분 누락; ","")&amp;IF(업무일지!$E399="","세부유형 누락; ",IF(AND(업무일지!$D399&lt;&gt;"",COUNTIFS(코드설정!$A$5:$A$21,업무일지!$D399,코드설정!$B$5:$B$21,업무일지!$E399)=0),"세부유형이 직무구분과 불일치; ",""))&amp;IF(AND(업무일지!$F399&lt;&gt;"",COUNTIF(사건마스터!$A$5:$A$64,업무일지!$F399)=0),"미등록 사건번호; ","")&amp;IF(AND(업무일지!$F399="",업무일지!$H399=""),"사건번호·업무명 모두 없음; ","")&amp;IF(업무일지!$J399="","담당자 없음; ","")&amp;IF(COUNTIF(코드설정!$F$5:$F$7,업무일지!$AG399)=0,"진행상태 누락; ","")))</f>
        <v/>
      </c>
    </row>
    <row r="432">
      <c r="A432" s="26" t="inlineStr">
        <is>
          <t>업무일지</t>
        </is>
      </c>
      <c r="B432" s="66" t="n">
        <v>400</v>
      </c>
      <c r="C432" s="122">
        <f>IF($D432="","",IFERROR(TEXT(업무일지!$B400,"yyyy-mm-dd"),"(날짜없음)")&amp;"  "&amp;업무일지!$F400&amp;"  "&amp;업무일지!$H400)</f>
        <v/>
      </c>
      <c r="D432" s="122">
        <f>IF(NOT(COUNTBLANK(업무일지!$B400:$AH400)&lt;33),"",TRIM(IF(업무일지!$B400="","시작일 누락; ","")&amp;IF(업무일지!$C400="","종료일 누락; ","")&amp;IF(AND(업무일지!$B400&lt;&gt;"",업무일지!$C400&lt;&gt;"",업무일지!$C400&lt;업무일지!$B400),"종료일이 시작일보다 빠름; ","")&amp;IF(COUNTIF(코드설정!$H$5:$H$7,업무일지!$D400)=0,"직무구분 누락; ","")&amp;IF(업무일지!$E400="","세부유형 누락; ",IF(AND(업무일지!$D400&lt;&gt;"",COUNTIFS(코드설정!$A$5:$A$21,업무일지!$D400,코드설정!$B$5:$B$21,업무일지!$E400)=0),"세부유형이 직무구분과 불일치; ",""))&amp;IF(AND(업무일지!$F400&lt;&gt;"",COUNTIF(사건마스터!$A$5:$A$64,업무일지!$F400)=0),"미등록 사건번호; ","")&amp;IF(AND(업무일지!$F400="",업무일지!$H400=""),"사건번호·업무명 모두 없음; ","")&amp;IF(업무일지!$J400="","담당자 없음; ","")&amp;IF(COUNTIF(코드설정!$F$5:$F$7,업무일지!$AG400)=0,"진행상태 누락; ","")))</f>
        <v/>
      </c>
    </row>
    <row r="433">
      <c r="A433" s="26" t="inlineStr">
        <is>
          <t>업무일지</t>
        </is>
      </c>
      <c r="B433" s="66" t="n">
        <v>401</v>
      </c>
      <c r="C433" s="122">
        <f>IF($D433="","",IFERROR(TEXT(업무일지!$B401,"yyyy-mm-dd"),"(날짜없음)")&amp;"  "&amp;업무일지!$F401&amp;"  "&amp;업무일지!$H401)</f>
        <v/>
      </c>
      <c r="D433" s="122">
        <f>IF(NOT(COUNTBLANK(업무일지!$B401:$AH401)&lt;33),"",TRIM(IF(업무일지!$B401="","시작일 누락; ","")&amp;IF(업무일지!$C401="","종료일 누락; ","")&amp;IF(AND(업무일지!$B401&lt;&gt;"",업무일지!$C401&lt;&gt;"",업무일지!$C401&lt;업무일지!$B401),"종료일이 시작일보다 빠름; ","")&amp;IF(COUNTIF(코드설정!$H$5:$H$7,업무일지!$D401)=0,"직무구분 누락; ","")&amp;IF(업무일지!$E401="","세부유형 누락; ",IF(AND(업무일지!$D401&lt;&gt;"",COUNTIFS(코드설정!$A$5:$A$21,업무일지!$D401,코드설정!$B$5:$B$21,업무일지!$E401)=0),"세부유형이 직무구분과 불일치; ",""))&amp;IF(AND(업무일지!$F401&lt;&gt;"",COUNTIF(사건마스터!$A$5:$A$64,업무일지!$F401)=0),"미등록 사건번호; ","")&amp;IF(AND(업무일지!$F401="",업무일지!$H401=""),"사건번호·업무명 모두 없음; ","")&amp;IF(업무일지!$J401="","담당자 없음; ","")&amp;IF(COUNTIF(코드설정!$F$5:$F$7,업무일지!$AG401)=0,"진행상태 누락; ","")))</f>
        <v/>
      </c>
    </row>
    <row r="434">
      <c r="A434" s="26" t="inlineStr">
        <is>
          <t>업무일지</t>
        </is>
      </c>
      <c r="B434" s="66" t="n">
        <v>402</v>
      </c>
      <c r="C434" s="122">
        <f>IF($D434="","",IFERROR(TEXT(업무일지!$B402,"yyyy-mm-dd"),"(날짜없음)")&amp;"  "&amp;업무일지!$F402&amp;"  "&amp;업무일지!$H402)</f>
        <v/>
      </c>
      <c r="D434" s="122">
        <f>IF(NOT(COUNTBLANK(업무일지!$B402:$AH402)&lt;33),"",TRIM(IF(업무일지!$B402="","시작일 누락; ","")&amp;IF(업무일지!$C402="","종료일 누락; ","")&amp;IF(AND(업무일지!$B402&lt;&gt;"",업무일지!$C402&lt;&gt;"",업무일지!$C402&lt;업무일지!$B402),"종료일이 시작일보다 빠름; ","")&amp;IF(COUNTIF(코드설정!$H$5:$H$7,업무일지!$D402)=0,"직무구분 누락; ","")&amp;IF(업무일지!$E402="","세부유형 누락; ",IF(AND(업무일지!$D402&lt;&gt;"",COUNTIFS(코드설정!$A$5:$A$21,업무일지!$D402,코드설정!$B$5:$B$21,업무일지!$E402)=0),"세부유형이 직무구분과 불일치; ",""))&amp;IF(AND(업무일지!$F402&lt;&gt;"",COUNTIF(사건마스터!$A$5:$A$64,업무일지!$F402)=0),"미등록 사건번호; ","")&amp;IF(AND(업무일지!$F402="",업무일지!$H402=""),"사건번호·업무명 모두 없음; ","")&amp;IF(업무일지!$J402="","담당자 없음; ","")&amp;IF(COUNTIF(코드설정!$F$5:$F$7,업무일지!$AG402)=0,"진행상태 누락; ","")))</f>
        <v/>
      </c>
    </row>
    <row r="435">
      <c r="A435" s="26" t="inlineStr">
        <is>
          <t>업무일지</t>
        </is>
      </c>
      <c r="B435" s="66" t="n">
        <v>403</v>
      </c>
      <c r="C435" s="122">
        <f>IF($D435="","",IFERROR(TEXT(업무일지!$B403,"yyyy-mm-dd"),"(날짜없음)")&amp;"  "&amp;업무일지!$F403&amp;"  "&amp;업무일지!$H403)</f>
        <v/>
      </c>
      <c r="D435" s="122">
        <f>IF(NOT(COUNTBLANK(업무일지!$B403:$AH403)&lt;33),"",TRIM(IF(업무일지!$B403="","시작일 누락; ","")&amp;IF(업무일지!$C403="","종료일 누락; ","")&amp;IF(AND(업무일지!$B403&lt;&gt;"",업무일지!$C403&lt;&gt;"",업무일지!$C403&lt;업무일지!$B403),"종료일이 시작일보다 빠름; ","")&amp;IF(COUNTIF(코드설정!$H$5:$H$7,업무일지!$D403)=0,"직무구분 누락; ","")&amp;IF(업무일지!$E403="","세부유형 누락; ",IF(AND(업무일지!$D403&lt;&gt;"",COUNTIFS(코드설정!$A$5:$A$21,업무일지!$D403,코드설정!$B$5:$B$21,업무일지!$E403)=0),"세부유형이 직무구분과 불일치; ",""))&amp;IF(AND(업무일지!$F403&lt;&gt;"",COUNTIF(사건마스터!$A$5:$A$64,업무일지!$F403)=0),"미등록 사건번호; ","")&amp;IF(AND(업무일지!$F403="",업무일지!$H403=""),"사건번호·업무명 모두 없음; ","")&amp;IF(업무일지!$J403="","담당자 없음; ","")&amp;IF(COUNTIF(코드설정!$F$5:$F$7,업무일지!$AG403)=0,"진행상태 누락; ","")))</f>
        <v/>
      </c>
    </row>
    <row r="436">
      <c r="A436" s="26" t="inlineStr">
        <is>
          <t>업무일지</t>
        </is>
      </c>
      <c r="B436" s="66" t="n">
        <v>404</v>
      </c>
      <c r="C436" s="122">
        <f>IF($D436="","",IFERROR(TEXT(업무일지!$B404,"yyyy-mm-dd"),"(날짜없음)")&amp;"  "&amp;업무일지!$F404&amp;"  "&amp;업무일지!$H404)</f>
        <v/>
      </c>
      <c r="D436" s="122">
        <f>IF(NOT(COUNTBLANK(업무일지!$B404:$AH404)&lt;33),"",TRIM(IF(업무일지!$B404="","시작일 누락; ","")&amp;IF(업무일지!$C404="","종료일 누락; ","")&amp;IF(AND(업무일지!$B404&lt;&gt;"",업무일지!$C404&lt;&gt;"",업무일지!$C404&lt;업무일지!$B404),"종료일이 시작일보다 빠름; ","")&amp;IF(COUNTIF(코드설정!$H$5:$H$7,업무일지!$D404)=0,"직무구분 누락; ","")&amp;IF(업무일지!$E404="","세부유형 누락; ",IF(AND(업무일지!$D404&lt;&gt;"",COUNTIFS(코드설정!$A$5:$A$21,업무일지!$D404,코드설정!$B$5:$B$21,업무일지!$E404)=0),"세부유형이 직무구분과 불일치; ",""))&amp;IF(AND(업무일지!$F404&lt;&gt;"",COUNTIF(사건마스터!$A$5:$A$64,업무일지!$F404)=0),"미등록 사건번호; ","")&amp;IF(AND(업무일지!$F404="",업무일지!$H404=""),"사건번호·업무명 모두 없음; ","")&amp;IF(업무일지!$J404="","담당자 없음; ","")&amp;IF(COUNTIF(코드설정!$F$5:$F$7,업무일지!$AG404)=0,"진행상태 누락; ","")))</f>
        <v/>
      </c>
    </row>
    <row r="437">
      <c r="A437" s="26" t="inlineStr">
        <is>
          <t>업무일지</t>
        </is>
      </c>
      <c r="B437" s="66" t="n">
        <v>405</v>
      </c>
      <c r="C437" s="122">
        <f>IF($D437="","",IFERROR(TEXT(업무일지!$B405,"yyyy-mm-dd"),"(날짜없음)")&amp;"  "&amp;업무일지!$F405&amp;"  "&amp;업무일지!$H405)</f>
        <v/>
      </c>
      <c r="D437" s="122">
        <f>IF(NOT(COUNTBLANK(업무일지!$B405:$AH405)&lt;33),"",TRIM(IF(업무일지!$B405="","시작일 누락; ","")&amp;IF(업무일지!$C405="","종료일 누락; ","")&amp;IF(AND(업무일지!$B405&lt;&gt;"",업무일지!$C405&lt;&gt;"",업무일지!$C405&lt;업무일지!$B405),"종료일이 시작일보다 빠름; ","")&amp;IF(COUNTIF(코드설정!$H$5:$H$7,업무일지!$D405)=0,"직무구분 누락; ","")&amp;IF(업무일지!$E405="","세부유형 누락; ",IF(AND(업무일지!$D405&lt;&gt;"",COUNTIFS(코드설정!$A$5:$A$21,업무일지!$D405,코드설정!$B$5:$B$21,업무일지!$E405)=0),"세부유형이 직무구분과 불일치; ",""))&amp;IF(AND(업무일지!$F405&lt;&gt;"",COUNTIF(사건마스터!$A$5:$A$64,업무일지!$F405)=0),"미등록 사건번호; ","")&amp;IF(AND(업무일지!$F405="",업무일지!$H405=""),"사건번호·업무명 모두 없음; ","")&amp;IF(업무일지!$J405="","담당자 없음; ","")&amp;IF(COUNTIF(코드설정!$F$5:$F$7,업무일지!$AG405)=0,"진행상태 누락; ","")))</f>
        <v/>
      </c>
    </row>
    <row r="438">
      <c r="A438" s="26" t="inlineStr">
        <is>
          <t>업무일지</t>
        </is>
      </c>
      <c r="B438" s="66" t="n">
        <v>406</v>
      </c>
      <c r="C438" s="122">
        <f>IF($D438="","",IFERROR(TEXT(업무일지!$B406,"yyyy-mm-dd"),"(날짜없음)")&amp;"  "&amp;업무일지!$F406&amp;"  "&amp;업무일지!$H406)</f>
        <v/>
      </c>
      <c r="D438" s="122">
        <f>IF(NOT(COUNTBLANK(업무일지!$B406:$AH406)&lt;33),"",TRIM(IF(업무일지!$B406="","시작일 누락; ","")&amp;IF(업무일지!$C406="","종료일 누락; ","")&amp;IF(AND(업무일지!$B406&lt;&gt;"",업무일지!$C406&lt;&gt;"",업무일지!$C406&lt;업무일지!$B406),"종료일이 시작일보다 빠름; ","")&amp;IF(COUNTIF(코드설정!$H$5:$H$7,업무일지!$D406)=0,"직무구분 누락; ","")&amp;IF(업무일지!$E406="","세부유형 누락; ",IF(AND(업무일지!$D406&lt;&gt;"",COUNTIFS(코드설정!$A$5:$A$21,업무일지!$D406,코드설정!$B$5:$B$21,업무일지!$E406)=0),"세부유형이 직무구분과 불일치; ",""))&amp;IF(AND(업무일지!$F406&lt;&gt;"",COUNTIF(사건마스터!$A$5:$A$64,업무일지!$F406)=0),"미등록 사건번호; ","")&amp;IF(AND(업무일지!$F406="",업무일지!$H406=""),"사건번호·업무명 모두 없음; ","")&amp;IF(업무일지!$J406="","담당자 없음; ","")&amp;IF(COUNTIF(코드설정!$F$5:$F$7,업무일지!$AG406)=0,"진행상태 누락; ","")))</f>
        <v/>
      </c>
    </row>
    <row r="439">
      <c r="A439" s="26" t="inlineStr">
        <is>
          <t>업무일지</t>
        </is>
      </c>
      <c r="B439" s="66" t="n">
        <v>407</v>
      </c>
      <c r="C439" s="122">
        <f>IF($D439="","",IFERROR(TEXT(업무일지!$B407,"yyyy-mm-dd"),"(날짜없음)")&amp;"  "&amp;업무일지!$F407&amp;"  "&amp;업무일지!$H407)</f>
        <v/>
      </c>
      <c r="D439" s="122">
        <f>IF(NOT(COUNTBLANK(업무일지!$B407:$AH407)&lt;33),"",TRIM(IF(업무일지!$B407="","시작일 누락; ","")&amp;IF(업무일지!$C407="","종료일 누락; ","")&amp;IF(AND(업무일지!$B407&lt;&gt;"",업무일지!$C407&lt;&gt;"",업무일지!$C407&lt;업무일지!$B407),"종료일이 시작일보다 빠름; ","")&amp;IF(COUNTIF(코드설정!$H$5:$H$7,업무일지!$D407)=0,"직무구분 누락; ","")&amp;IF(업무일지!$E407="","세부유형 누락; ",IF(AND(업무일지!$D407&lt;&gt;"",COUNTIFS(코드설정!$A$5:$A$21,업무일지!$D407,코드설정!$B$5:$B$21,업무일지!$E407)=0),"세부유형이 직무구분과 불일치; ",""))&amp;IF(AND(업무일지!$F407&lt;&gt;"",COUNTIF(사건마스터!$A$5:$A$64,업무일지!$F407)=0),"미등록 사건번호; ","")&amp;IF(AND(업무일지!$F407="",업무일지!$H407=""),"사건번호·업무명 모두 없음; ","")&amp;IF(업무일지!$J407="","담당자 없음; ","")&amp;IF(COUNTIF(코드설정!$F$5:$F$7,업무일지!$AG407)=0,"진행상태 누락; ","")))</f>
        <v/>
      </c>
    </row>
    <row r="440">
      <c r="A440" s="26" t="inlineStr">
        <is>
          <t>업무일지</t>
        </is>
      </c>
      <c r="B440" s="66" t="n">
        <v>408</v>
      </c>
      <c r="C440" s="122">
        <f>IF($D440="","",IFERROR(TEXT(업무일지!$B408,"yyyy-mm-dd"),"(날짜없음)")&amp;"  "&amp;업무일지!$F408&amp;"  "&amp;업무일지!$H408)</f>
        <v/>
      </c>
      <c r="D440" s="122">
        <f>IF(NOT(COUNTBLANK(업무일지!$B408:$AH408)&lt;33),"",TRIM(IF(업무일지!$B408="","시작일 누락; ","")&amp;IF(업무일지!$C408="","종료일 누락; ","")&amp;IF(AND(업무일지!$B408&lt;&gt;"",업무일지!$C408&lt;&gt;"",업무일지!$C408&lt;업무일지!$B408),"종료일이 시작일보다 빠름; ","")&amp;IF(COUNTIF(코드설정!$H$5:$H$7,업무일지!$D408)=0,"직무구분 누락; ","")&amp;IF(업무일지!$E408="","세부유형 누락; ",IF(AND(업무일지!$D408&lt;&gt;"",COUNTIFS(코드설정!$A$5:$A$21,업무일지!$D408,코드설정!$B$5:$B$21,업무일지!$E408)=0),"세부유형이 직무구분과 불일치; ",""))&amp;IF(AND(업무일지!$F408&lt;&gt;"",COUNTIF(사건마스터!$A$5:$A$64,업무일지!$F408)=0),"미등록 사건번호; ","")&amp;IF(AND(업무일지!$F408="",업무일지!$H408=""),"사건번호·업무명 모두 없음; ","")&amp;IF(업무일지!$J408="","담당자 없음; ","")&amp;IF(COUNTIF(코드설정!$F$5:$F$7,업무일지!$AG408)=0,"진행상태 누락; ","")))</f>
        <v/>
      </c>
    </row>
    <row r="441">
      <c r="A441" s="26" t="inlineStr">
        <is>
          <t>업무일지</t>
        </is>
      </c>
      <c r="B441" s="66" t="n">
        <v>409</v>
      </c>
      <c r="C441" s="122">
        <f>IF($D441="","",IFERROR(TEXT(업무일지!$B409,"yyyy-mm-dd"),"(날짜없음)")&amp;"  "&amp;업무일지!$F409&amp;"  "&amp;업무일지!$H409)</f>
        <v/>
      </c>
      <c r="D441" s="122">
        <f>IF(NOT(COUNTBLANK(업무일지!$B409:$AH409)&lt;33),"",TRIM(IF(업무일지!$B409="","시작일 누락; ","")&amp;IF(업무일지!$C409="","종료일 누락; ","")&amp;IF(AND(업무일지!$B409&lt;&gt;"",업무일지!$C409&lt;&gt;"",업무일지!$C409&lt;업무일지!$B409),"종료일이 시작일보다 빠름; ","")&amp;IF(COUNTIF(코드설정!$H$5:$H$7,업무일지!$D409)=0,"직무구분 누락; ","")&amp;IF(업무일지!$E409="","세부유형 누락; ",IF(AND(업무일지!$D409&lt;&gt;"",COUNTIFS(코드설정!$A$5:$A$21,업무일지!$D409,코드설정!$B$5:$B$21,업무일지!$E409)=0),"세부유형이 직무구분과 불일치; ",""))&amp;IF(AND(업무일지!$F409&lt;&gt;"",COUNTIF(사건마스터!$A$5:$A$64,업무일지!$F409)=0),"미등록 사건번호; ","")&amp;IF(AND(업무일지!$F409="",업무일지!$H409=""),"사건번호·업무명 모두 없음; ","")&amp;IF(업무일지!$J409="","담당자 없음; ","")&amp;IF(COUNTIF(코드설정!$F$5:$F$7,업무일지!$AG409)=0,"진행상태 누락; ","")))</f>
        <v/>
      </c>
    </row>
    <row r="442">
      <c r="A442" s="26" t="inlineStr">
        <is>
          <t>업무일지</t>
        </is>
      </c>
      <c r="B442" s="66" t="n">
        <v>410</v>
      </c>
      <c r="C442" s="122">
        <f>IF($D442="","",IFERROR(TEXT(업무일지!$B410,"yyyy-mm-dd"),"(날짜없음)")&amp;"  "&amp;업무일지!$F410&amp;"  "&amp;업무일지!$H410)</f>
        <v/>
      </c>
      <c r="D442" s="122">
        <f>IF(NOT(COUNTBLANK(업무일지!$B410:$AH410)&lt;33),"",TRIM(IF(업무일지!$B410="","시작일 누락; ","")&amp;IF(업무일지!$C410="","종료일 누락; ","")&amp;IF(AND(업무일지!$B410&lt;&gt;"",업무일지!$C410&lt;&gt;"",업무일지!$C410&lt;업무일지!$B410),"종료일이 시작일보다 빠름; ","")&amp;IF(COUNTIF(코드설정!$H$5:$H$7,업무일지!$D410)=0,"직무구분 누락; ","")&amp;IF(업무일지!$E410="","세부유형 누락; ",IF(AND(업무일지!$D410&lt;&gt;"",COUNTIFS(코드설정!$A$5:$A$21,업무일지!$D410,코드설정!$B$5:$B$21,업무일지!$E410)=0),"세부유형이 직무구분과 불일치; ",""))&amp;IF(AND(업무일지!$F410&lt;&gt;"",COUNTIF(사건마스터!$A$5:$A$64,업무일지!$F410)=0),"미등록 사건번호; ","")&amp;IF(AND(업무일지!$F410="",업무일지!$H410=""),"사건번호·업무명 모두 없음; ","")&amp;IF(업무일지!$J410="","담당자 없음; ","")&amp;IF(COUNTIF(코드설정!$F$5:$F$7,업무일지!$AG410)=0,"진행상태 누락; ","")))</f>
        <v/>
      </c>
    </row>
    <row r="443">
      <c r="A443" s="26" t="inlineStr">
        <is>
          <t>업무일지</t>
        </is>
      </c>
      <c r="B443" s="66" t="n">
        <v>411</v>
      </c>
      <c r="C443" s="122">
        <f>IF($D443="","",IFERROR(TEXT(업무일지!$B411,"yyyy-mm-dd"),"(날짜없음)")&amp;"  "&amp;업무일지!$F411&amp;"  "&amp;업무일지!$H411)</f>
        <v/>
      </c>
      <c r="D443" s="122">
        <f>IF(NOT(COUNTBLANK(업무일지!$B411:$AH411)&lt;33),"",TRIM(IF(업무일지!$B411="","시작일 누락; ","")&amp;IF(업무일지!$C411="","종료일 누락; ","")&amp;IF(AND(업무일지!$B411&lt;&gt;"",업무일지!$C411&lt;&gt;"",업무일지!$C411&lt;업무일지!$B411),"종료일이 시작일보다 빠름; ","")&amp;IF(COUNTIF(코드설정!$H$5:$H$7,업무일지!$D411)=0,"직무구분 누락; ","")&amp;IF(업무일지!$E411="","세부유형 누락; ",IF(AND(업무일지!$D411&lt;&gt;"",COUNTIFS(코드설정!$A$5:$A$21,업무일지!$D411,코드설정!$B$5:$B$21,업무일지!$E411)=0),"세부유형이 직무구분과 불일치; ",""))&amp;IF(AND(업무일지!$F411&lt;&gt;"",COUNTIF(사건마스터!$A$5:$A$64,업무일지!$F411)=0),"미등록 사건번호; ","")&amp;IF(AND(업무일지!$F411="",업무일지!$H411=""),"사건번호·업무명 모두 없음; ","")&amp;IF(업무일지!$J411="","담당자 없음; ","")&amp;IF(COUNTIF(코드설정!$F$5:$F$7,업무일지!$AG411)=0,"진행상태 누락; ","")))</f>
        <v/>
      </c>
    </row>
    <row r="444">
      <c r="A444" s="26" t="inlineStr">
        <is>
          <t>업무일지</t>
        </is>
      </c>
      <c r="B444" s="66" t="n">
        <v>412</v>
      </c>
      <c r="C444" s="122">
        <f>IF($D444="","",IFERROR(TEXT(업무일지!$B412,"yyyy-mm-dd"),"(날짜없음)")&amp;"  "&amp;업무일지!$F412&amp;"  "&amp;업무일지!$H412)</f>
        <v/>
      </c>
      <c r="D444" s="122">
        <f>IF(NOT(COUNTBLANK(업무일지!$B412:$AH412)&lt;33),"",TRIM(IF(업무일지!$B412="","시작일 누락; ","")&amp;IF(업무일지!$C412="","종료일 누락; ","")&amp;IF(AND(업무일지!$B412&lt;&gt;"",업무일지!$C412&lt;&gt;"",업무일지!$C412&lt;업무일지!$B412),"종료일이 시작일보다 빠름; ","")&amp;IF(COUNTIF(코드설정!$H$5:$H$7,업무일지!$D412)=0,"직무구분 누락; ","")&amp;IF(업무일지!$E412="","세부유형 누락; ",IF(AND(업무일지!$D412&lt;&gt;"",COUNTIFS(코드설정!$A$5:$A$21,업무일지!$D412,코드설정!$B$5:$B$21,업무일지!$E412)=0),"세부유형이 직무구분과 불일치; ",""))&amp;IF(AND(업무일지!$F412&lt;&gt;"",COUNTIF(사건마스터!$A$5:$A$64,업무일지!$F412)=0),"미등록 사건번호; ","")&amp;IF(AND(업무일지!$F412="",업무일지!$H412=""),"사건번호·업무명 모두 없음; ","")&amp;IF(업무일지!$J412="","담당자 없음; ","")&amp;IF(COUNTIF(코드설정!$F$5:$F$7,업무일지!$AG412)=0,"진행상태 누락; ","")))</f>
        <v/>
      </c>
    </row>
    <row r="445">
      <c r="A445" s="26" t="inlineStr">
        <is>
          <t>업무일지</t>
        </is>
      </c>
      <c r="B445" s="66" t="n">
        <v>413</v>
      </c>
      <c r="C445" s="122">
        <f>IF($D445="","",IFERROR(TEXT(업무일지!$B413,"yyyy-mm-dd"),"(날짜없음)")&amp;"  "&amp;업무일지!$F413&amp;"  "&amp;업무일지!$H413)</f>
        <v/>
      </c>
      <c r="D445" s="122">
        <f>IF(NOT(COUNTBLANK(업무일지!$B413:$AH413)&lt;33),"",TRIM(IF(업무일지!$B413="","시작일 누락; ","")&amp;IF(업무일지!$C413="","종료일 누락; ","")&amp;IF(AND(업무일지!$B413&lt;&gt;"",업무일지!$C413&lt;&gt;"",업무일지!$C413&lt;업무일지!$B413),"종료일이 시작일보다 빠름; ","")&amp;IF(COUNTIF(코드설정!$H$5:$H$7,업무일지!$D413)=0,"직무구분 누락; ","")&amp;IF(업무일지!$E413="","세부유형 누락; ",IF(AND(업무일지!$D413&lt;&gt;"",COUNTIFS(코드설정!$A$5:$A$21,업무일지!$D413,코드설정!$B$5:$B$21,업무일지!$E413)=0),"세부유형이 직무구분과 불일치; ",""))&amp;IF(AND(업무일지!$F413&lt;&gt;"",COUNTIF(사건마스터!$A$5:$A$64,업무일지!$F413)=0),"미등록 사건번호; ","")&amp;IF(AND(업무일지!$F413="",업무일지!$H413=""),"사건번호·업무명 모두 없음; ","")&amp;IF(업무일지!$J413="","담당자 없음; ","")&amp;IF(COUNTIF(코드설정!$F$5:$F$7,업무일지!$AG413)=0,"진행상태 누락; ","")))</f>
        <v/>
      </c>
    </row>
    <row r="446">
      <c r="A446" s="26" t="inlineStr">
        <is>
          <t>업무일지</t>
        </is>
      </c>
      <c r="B446" s="66" t="n">
        <v>414</v>
      </c>
      <c r="C446" s="122">
        <f>IF($D446="","",IFERROR(TEXT(업무일지!$B414,"yyyy-mm-dd"),"(날짜없음)")&amp;"  "&amp;업무일지!$F414&amp;"  "&amp;업무일지!$H414)</f>
        <v/>
      </c>
      <c r="D446" s="122">
        <f>IF(NOT(COUNTBLANK(업무일지!$B414:$AH414)&lt;33),"",TRIM(IF(업무일지!$B414="","시작일 누락; ","")&amp;IF(업무일지!$C414="","종료일 누락; ","")&amp;IF(AND(업무일지!$B414&lt;&gt;"",업무일지!$C414&lt;&gt;"",업무일지!$C414&lt;업무일지!$B414),"종료일이 시작일보다 빠름; ","")&amp;IF(COUNTIF(코드설정!$H$5:$H$7,업무일지!$D414)=0,"직무구분 누락; ","")&amp;IF(업무일지!$E414="","세부유형 누락; ",IF(AND(업무일지!$D414&lt;&gt;"",COUNTIFS(코드설정!$A$5:$A$21,업무일지!$D414,코드설정!$B$5:$B$21,업무일지!$E414)=0),"세부유형이 직무구분과 불일치; ",""))&amp;IF(AND(업무일지!$F414&lt;&gt;"",COUNTIF(사건마스터!$A$5:$A$64,업무일지!$F414)=0),"미등록 사건번호; ","")&amp;IF(AND(업무일지!$F414="",업무일지!$H414=""),"사건번호·업무명 모두 없음; ","")&amp;IF(업무일지!$J414="","담당자 없음; ","")&amp;IF(COUNTIF(코드설정!$F$5:$F$7,업무일지!$AG414)=0,"진행상태 누락; ","")))</f>
        <v/>
      </c>
    </row>
    <row r="447">
      <c r="A447" s="26" t="inlineStr">
        <is>
          <t>업무일지</t>
        </is>
      </c>
      <c r="B447" s="66" t="n">
        <v>415</v>
      </c>
      <c r="C447" s="122">
        <f>IF($D447="","",IFERROR(TEXT(업무일지!$B415,"yyyy-mm-dd"),"(날짜없음)")&amp;"  "&amp;업무일지!$F415&amp;"  "&amp;업무일지!$H415)</f>
        <v/>
      </c>
      <c r="D447" s="122">
        <f>IF(NOT(COUNTBLANK(업무일지!$B415:$AH415)&lt;33),"",TRIM(IF(업무일지!$B415="","시작일 누락; ","")&amp;IF(업무일지!$C415="","종료일 누락; ","")&amp;IF(AND(업무일지!$B415&lt;&gt;"",업무일지!$C415&lt;&gt;"",업무일지!$C415&lt;업무일지!$B415),"종료일이 시작일보다 빠름; ","")&amp;IF(COUNTIF(코드설정!$H$5:$H$7,업무일지!$D415)=0,"직무구분 누락; ","")&amp;IF(업무일지!$E415="","세부유형 누락; ",IF(AND(업무일지!$D415&lt;&gt;"",COUNTIFS(코드설정!$A$5:$A$21,업무일지!$D415,코드설정!$B$5:$B$21,업무일지!$E415)=0),"세부유형이 직무구분과 불일치; ",""))&amp;IF(AND(업무일지!$F415&lt;&gt;"",COUNTIF(사건마스터!$A$5:$A$64,업무일지!$F415)=0),"미등록 사건번호; ","")&amp;IF(AND(업무일지!$F415="",업무일지!$H415=""),"사건번호·업무명 모두 없음; ","")&amp;IF(업무일지!$J415="","담당자 없음; ","")&amp;IF(COUNTIF(코드설정!$F$5:$F$7,업무일지!$AG415)=0,"진행상태 누락; ","")))</f>
        <v/>
      </c>
    </row>
    <row r="448">
      <c r="A448" s="26" t="inlineStr">
        <is>
          <t>업무일지</t>
        </is>
      </c>
      <c r="B448" s="66" t="n">
        <v>416</v>
      </c>
      <c r="C448" s="122">
        <f>IF($D448="","",IFERROR(TEXT(업무일지!$B416,"yyyy-mm-dd"),"(날짜없음)")&amp;"  "&amp;업무일지!$F416&amp;"  "&amp;업무일지!$H416)</f>
        <v/>
      </c>
      <c r="D448" s="122">
        <f>IF(NOT(COUNTBLANK(업무일지!$B416:$AH416)&lt;33),"",TRIM(IF(업무일지!$B416="","시작일 누락; ","")&amp;IF(업무일지!$C416="","종료일 누락; ","")&amp;IF(AND(업무일지!$B416&lt;&gt;"",업무일지!$C416&lt;&gt;"",업무일지!$C416&lt;업무일지!$B416),"종료일이 시작일보다 빠름; ","")&amp;IF(COUNTIF(코드설정!$H$5:$H$7,업무일지!$D416)=0,"직무구분 누락; ","")&amp;IF(업무일지!$E416="","세부유형 누락; ",IF(AND(업무일지!$D416&lt;&gt;"",COUNTIFS(코드설정!$A$5:$A$21,업무일지!$D416,코드설정!$B$5:$B$21,업무일지!$E416)=0),"세부유형이 직무구분과 불일치; ",""))&amp;IF(AND(업무일지!$F416&lt;&gt;"",COUNTIF(사건마스터!$A$5:$A$64,업무일지!$F416)=0),"미등록 사건번호; ","")&amp;IF(AND(업무일지!$F416="",업무일지!$H416=""),"사건번호·업무명 모두 없음; ","")&amp;IF(업무일지!$J416="","담당자 없음; ","")&amp;IF(COUNTIF(코드설정!$F$5:$F$7,업무일지!$AG416)=0,"진행상태 누락; ","")))</f>
        <v/>
      </c>
    </row>
    <row r="449">
      <c r="A449" s="26" t="inlineStr">
        <is>
          <t>업무일지</t>
        </is>
      </c>
      <c r="B449" s="66" t="n">
        <v>417</v>
      </c>
      <c r="C449" s="122">
        <f>IF($D449="","",IFERROR(TEXT(업무일지!$B417,"yyyy-mm-dd"),"(날짜없음)")&amp;"  "&amp;업무일지!$F417&amp;"  "&amp;업무일지!$H417)</f>
        <v/>
      </c>
      <c r="D449" s="122">
        <f>IF(NOT(COUNTBLANK(업무일지!$B417:$AH417)&lt;33),"",TRIM(IF(업무일지!$B417="","시작일 누락; ","")&amp;IF(업무일지!$C417="","종료일 누락; ","")&amp;IF(AND(업무일지!$B417&lt;&gt;"",업무일지!$C417&lt;&gt;"",업무일지!$C417&lt;업무일지!$B417),"종료일이 시작일보다 빠름; ","")&amp;IF(COUNTIF(코드설정!$H$5:$H$7,업무일지!$D417)=0,"직무구분 누락; ","")&amp;IF(업무일지!$E417="","세부유형 누락; ",IF(AND(업무일지!$D417&lt;&gt;"",COUNTIFS(코드설정!$A$5:$A$21,업무일지!$D417,코드설정!$B$5:$B$21,업무일지!$E417)=0),"세부유형이 직무구분과 불일치; ",""))&amp;IF(AND(업무일지!$F417&lt;&gt;"",COUNTIF(사건마스터!$A$5:$A$64,업무일지!$F417)=0),"미등록 사건번호; ","")&amp;IF(AND(업무일지!$F417="",업무일지!$H417=""),"사건번호·업무명 모두 없음; ","")&amp;IF(업무일지!$J417="","담당자 없음; ","")&amp;IF(COUNTIF(코드설정!$F$5:$F$7,업무일지!$AG417)=0,"진행상태 누락; ","")))</f>
        <v/>
      </c>
    </row>
    <row r="450">
      <c r="A450" s="26" t="inlineStr">
        <is>
          <t>업무일지</t>
        </is>
      </c>
      <c r="B450" s="66" t="n">
        <v>418</v>
      </c>
      <c r="C450" s="122">
        <f>IF($D450="","",IFERROR(TEXT(업무일지!$B418,"yyyy-mm-dd"),"(날짜없음)")&amp;"  "&amp;업무일지!$F418&amp;"  "&amp;업무일지!$H418)</f>
        <v/>
      </c>
      <c r="D450" s="122">
        <f>IF(NOT(COUNTBLANK(업무일지!$B418:$AH418)&lt;33),"",TRIM(IF(업무일지!$B418="","시작일 누락; ","")&amp;IF(업무일지!$C418="","종료일 누락; ","")&amp;IF(AND(업무일지!$B418&lt;&gt;"",업무일지!$C418&lt;&gt;"",업무일지!$C418&lt;업무일지!$B418),"종료일이 시작일보다 빠름; ","")&amp;IF(COUNTIF(코드설정!$H$5:$H$7,업무일지!$D418)=0,"직무구분 누락; ","")&amp;IF(업무일지!$E418="","세부유형 누락; ",IF(AND(업무일지!$D418&lt;&gt;"",COUNTIFS(코드설정!$A$5:$A$21,업무일지!$D418,코드설정!$B$5:$B$21,업무일지!$E418)=0),"세부유형이 직무구분과 불일치; ",""))&amp;IF(AND(업무일지!$F418&lt;&gt;"",COUNTIF(사건마스터!$A$5:$A$64,업무일지!$F418)=0),"미등록 사건번호; ","")&amp;IF(AND(업무일지!$F418="",업무일지!$H418=""),"사건번호·업무명 모두 없음; ","")&amp;IF(업무일지!$J418="","담당자 없음; ","")&amp;IF(COUNTIF(코드설정!$F$5:$F$7,업무일지!$AG418)=0,"진행상태 누락; ","")))</f>
        <v/>
      </c>
    </row>
    <row r="451">
      <c r="A451" s="26" t="inlineStr">
        <is>
          <t>업무일지</t>
        </is>
      </c>
      <c r="B451" s="66" t="n">
        <v>419</v>
      </c>
      <c r="C451" s="122">
        <f>IF($D451="","",IFERROR(TEXT(업무일지!$B419,"yyyy-mm-dd"),"(날짜없음)")&amp;"  "&amp;업무일지!$F419&amp;"  "&amp;업무일지!$H419)</f>
        <v/>
      </c>
      <c r="D451" s="122">
        <f>IF(NOT(COUNTBLANK(업무일지!$B419:$AH419)&lt;33),"",TRIM(IF(업무일지!$B419="","시작일 누락; ","")&amp;IF(업무일지!$C419="","종료일 누락; ","")&amp;IF(AND(업무일지!$B419&lt;&gt;"",업무일지!$C419&lt;&gt;"",업무일지!$C419&lt;업무일지!$B419),"종료일이 시작일보다 빠름; ","")&amp;IF(COUNTIF(코드설정!$H$5:$H$7,업무일지!$D419)=0,"직무구분 누락; ","")&amp;IF(업무일지!$E419="","세부유형 누락; ",IF(AND(업무일지!$D419&lt;&gt;"",COUNTIFS(코드설정!$A$5:$A$21,업무일지!$D419,코드설정!$B$5:$B$21,업무일지!$E419)=0),"세부유형이 직무구분과 불일치; ",""))&amp;IF(AND(업무일지!$F419&lt;&gt;"",COUNTIF(사건마스터!$A$5:$A$64,업무일지!$F419)=0),"미등록 사건번호; ","")&amp;IF(AND(업무일지!$F419="",업무일지!$H419=""),"사건번호·업무명 모두 없음; ","")&amp;IF(업무일지!$J419="","담당자 없음; ","")&amp;IF(COUNTIF(코드설정!$F$5:$F$7,업무일지!$AG419)=0,"진행상태 누락; ","")))</f>
        <v/>
      </c>
    </row>
    <row r="452">
      <c r="A452" s="26" t="inlineStr">
        <is>
          <t>업무일지</t>
        </is>
      </c>
      <c r="B452" s="66" t="n">
        <v>420</v>
      </c>
      <c r="C452" s="122">
        <f>IF($D452="","",IFERROR(TEXT(업무일지!$B420,"yyyy-mm-dd"),"(날짜없음)")&amp;"  "&amp;업무일지!$F420&amp;"  "&amp;업무일지!$H420)</f>
        <v/>
      </c>
      <c r="D452" s="122">
        <f>IF(NOT(COUNTBLANK(업무일지!$B420:$AH420)&lt;33),"",TRIM(IF(업무일지!$B420="","시작일 누락; ","")&amp;IF(업무일지!$C420="","종료일 누락; ","")&amp;IF(AND(업무일지!$B420&lt;&gt;"",업무일지!$C420&lt;&gt;"",업무일지!$C420&lt;업무일지!$B420),"종료일이 시작일보다 빠름; ","")&amp;IF(COUNTIF(코드설정!$H$5:$H$7,업무일지!$D420)=0,"직무구분 누락; ","")&amp;IF(업무일지!$E420="","세부유형 누락; ",IF(AND(업무일지!$D420&lt;&gt;"",COUNTIFS(코드설정!$A$5:$A$21,업무일지!$D420,코드설정!$B$5:$B$21,업무일지!$E420)=0),"세부유형이 직무구분과 불일치; ",""))&amp;IF(AND(업무일지!$F420&lt;&gt;"",COUNTIF(사건마스터!$A$5:$A$64,업무일지!$F420)=0),"미등록 사건번호; ","")&amp;IF(AND(업무일지!$F420="",업무일지!$H420=""),"사건번호·업무명 모두 없음; ","")&amp;IF(업무일지!$J420="","담당자 없음; ","")&amp;IF(COUNTIF(코드설정!$F$5:$F$7,업무일지!$AG420)=0,"진행상태 누락; ","")))</f>
        <v/>
      </c>
    </row>
    <row r="453">
      <c r="A453" s="26" t="inlineStr">
        <is>
          <t>업무일지</t>
        </is>
      </c>
      <c r="B453" s="66" t="n">
        <v>421</v>
      </c>
      <c r="C453" s="122">
        <f>IF($D453="","",IFERROR(TEXT(업무일지!$B421,"yyyy-mm-dd"),"(날짜없음)")&amp;"  "&amp;업무일지!$F421&amp;"  "&amp;업무일지!$H421)</f>
        <v/>
      </c>
      <c r="D453" s="122">
        <f>IF(NOT(COUNTBLANK(업무일지!$B421:$AH421)&lt;33),"",TRIM(IF(업무일지!$B421="","시작일 누락; ","")&amp;IF(업무일지!$C421="","종료일 누락; ","")&amp;IF(AND(업무일지!$B421&lt;&gt;"",업무일지!$C421&lt;&gt;"",업무일지!$C421&lt;업무일지!$B421),"종료일이 시작일보다 빠름; ","")&amp;IF(COUNTIF(코드설정!$H$5:$H$7,업무일지!$D421)=0,"직무구분 누락; ","")&amp;IF(업무일지!$E421="","세부유형 누락; ",IF(AND(업무일지!$D421&lt;&gt;"",COUNTIFS(코드설정!$A$5:$A$21,업무일지!$D421,코드설정!$B$5:$B$21,업무일지!$E421)=0),"세부유형이 직무구분과 불일치; ",""))&amp;IF(AND(업무일지!$F421&lt;&gt;"",COUNTIF(사건마스터!$A$5:$A$64,업무일지!$F421)=0),"미등록 사건번호; ","")&amp;IF(AND(업무일지!$F421="",업무일지!$H421=""),"사건번호·업무명 모두 없음; ","")&amp;IF(업무일지!$J421="","담당자 없음; ","")&amp;IF(COUNTIF(코드설정!$F$5:$F$7,업무일지!$AG421)=0,"진행상태 누락; ","")))</f>
        <v/>
      </c>
    </row>
    <row r="454">
      <c r="A454" s="26" t="inlineStr">
        <is>
          <t>업무일지</t>
        </is>
      </c>
      <c r="B454" s="66" t="n">
        <v>422</v>
      </c>
      <c r="C454" s="122">
        <f>IF($D454="","",IFERROR(TEXT(업무일지!$B422,"yyyy-mm-dd"),"(날짜없음)")&amp;"  "&amp;업무일지!$F422&amp;"  "&amp;업무일지!$H422)</f>
        <v/>
      </c>
      <c r="D454" s="122">
        <f>IF(NOT(COUNTBLANK(업무일지!$B422:$AH422)&lt;33),"",TRIM(IF(업무일지!$B422="","시작일 누락; ","")&amp;IF(업무일지!$C422="","종료일 누락; ","")&amp;IF(AND(업무일지!$B422&lt;&gt;"",업무일지!$C422&lt;&gt;"",업무일지!$C422&lt;업무일지!$B422),"종료일이 시작일보다 빠름; ","")&amp;IF(COUNTIF(코드설정!$H$5:$H$7,업무일지!$D422)=0,"직무구분 누락; ","")&amp;IF(업무일지!$E422="","세부유형 누락; ",IF(AND(업무일지!$D422&lt;&gt;"",COUNTIFS(코드설정!$A$5:$A$21,업무일지!$D422,코드설정!$B$5:$B$21,업무일지!$E422)=0),"세부유형이 직무구분과 불일치; ",""))&amp;IF(AND(업무일지!$F422&lt;&gt;"",COUNTIF(사건마스터!$A$5:$A$64,업무일지!$F422)=0),"미등록 사건번호; ","")&amp;IF(AND(업무일지!$F422="",업무일지!$H422=""),"사건번호·업무명 모두 없음; ","")&amp;IF(업무일지!$J422="","담당자 없음; ","")&amp;IF(COUNTIF(코드설정!$F$5:$F$7,업무일지!$AG422)=0,"진행상태 누락; ","")))</f>
        <v/>
      </c>
    </row>
    <row r="455">
      <c r="A455" s="26" t="inlineStr">
        <is>
          <t>업무일지</t>
        </is>
      </c>
      <c r="B455" s="66" t="n">
        <v>423</v>
      </c>
      <c r="C455" s="122">
        <f>IF($D455="","",IFERROR(TEXT(업무일지!$B423,"yyyy-mm-dd"),"(날짜없음)")&amp;"  "&amp;업무일지!$F423&amp;"  "&amp;업무일지!$H423)</f>
        <v/>
      </c>
      <c r="D455" s="122">
        <f>IF(NOT(COUNTBLANK(업무일지!$B423:$AH423)&lt;33),"",TRIM(IF(업무일지!$B423="","시작일 누락; ","")&amp;IF(업무일지!$C423="","종료일 누락; ","")&amp;IF(AND(업무일지!$B423&lt;&gt;"",업무일지!$C423&lt;&gt;"",업무일지!$C423&lt;업무일지!$B423),"종료일이 시작일보다 빠름; ","")&amp;IF(COUNTIF(코드설정!$H$5:$H$7,업무일지!$D423)=0,"직무구분 누락; ","")&amp;IF(업무일지!$E423="","세부유형 누락; ",IF(AND(업무일지!$D423&lt;&gt;"",COUNTIFS(코드설정!$A$5:$A$21,업무일지!$D423,코드설정!$B$5:$B$21,업무일지!$E423)=0),"세부유형이 직무구분과 불일치; ",""))&amp;IF(AND(업무일지!$F423&lt;&gt;"",COUNTIF(사건마스터!$A$5:$A$64,업무일지!$F423)=0),"미등록 사건번호; ","")&amp;IF(AND(업무일지!$F423="",업무일지!$H423=""),"사건번호·업무명 모두 없음; ","")&amp;IF(업무일지!$J423="","담당자 없음; ","")&amp;IF(COUNTIF(코드설정!$F$5:$F$7,업무일지!$AG423)=0,"진행상태 누락; ","")))</f>
        <v/>
      </c>
    </row>
    <row r="456">
      <c r="A456" s="26" t="inlineStr">
        <is>
          <t>업무일지</t>
        </is>
      </c>
      <c r="B456" s="66" t="n">
        <v>424</v>
      </c>
      <c r="C456" s="122">
        <f>IF($D456="","",IFERROR(TEXT(업무일지!$B424,"yyyy-mm-dd"),"(날짜없음)")&amp;"  "&amp;업무일지!$F424&amp;"  "&amp;업무일지!$H424)</f>
        <v/>
      </c>
      <c r="D456" s="122">
        <f>IF(NOT(COUNTBLANK(업무일지!$B424:$AH424)&lt;33),"",TRIM(IF(업무일지!$B424="","시작일 누락; ","")&amp;IF(업무일지!$C424="","종료일 누락; ","")&amp;IF(AND(업무일지!$B424&lt;&gt;"",업무일지!$C424&lt;&gt;"",업무일지!$C424&lt;업무일지!$B424),"종료일이 시작일보다 빠름; ","")&amp;IF(COUNTIF(코드설정!$H$5:$H$7,업무일지!$D424)=0,"직무구분 누락; ","")&amp;IF(업무일지!$E424="","세부유형 누락; ",IF(AND(업무일지!$D424&lt;&gt;"",COUNTIFS(코드설정!$A$5:$A$21,업무일지!$D424,코드설정!$B$5:$B$21,업무일지!$E424)=0),"세부유형이 직무구분과 불일치; ",""))&amp;IF(AND(업무일지!$F424&lt;&gt;"",COUNTIF(사건마스터!$A$5:$A$64,업무일지!$F424)=0),"미등록 사건번호; ","")&amp;IF(AND(업무일지!$F424="",업무일지!$H424=""),"사건번호·업무명 모두 없음; ","")&amp;IF(업무일지!$J424="","담당자 없음; ","")&amp;IF(COUNTIF(코드설정!$F$5:$F$7,업무일지!$AG424)=0,"진행상태 누락; ","")))</f>
        <v/>
      </c>
    </row>
    <row r="457">
      <c r="A457" s="26" t="inlineStr">
        <is>
          <t>업무일지</t>
        </is>
      </c>
      <c r="B457" s="66" t="n">
        <v>425</v>
      </c>
      <c r="C457" s="122">
        <f>IF($D457="","",IFERROR(TEXT(업무일지!$B425,"yyyy-mm-dd"),"(날짜없음)")&amp;"  "&amp;업무일지!$F425&amp;"  "&amp;업무일지!$H425)</f>
        <v/>
      </c>
      <c r="D457" s="122">
        <f>IF(NOT(COUNTBLANK(업무일지!$B425:$AH425)&lt;33),"",TRIM(IF(업무일지!$B425="","시작일 누락; ","")&amp;IF(업무일지!$C425="","종료일 누락; ","")&amp;IF(AND(업무일지!$B425&lt;&gt;"",업무일지!$C425&lt;&gt;"",업무일지!$C425&lt;업무일지!$B425),"종료일이 시작일보다 빠름; ","")&amp;IF(COUNTIF(코드설정!$H$5:$H$7,업무일지!$D425)=0,"직무구분 누락; ","")&amp;IF(업무일지!$E425="","세부유형 누락; ",IF(AND(업무일지!$D425&lt;&gt;"",COUNTIFS(코드설정!$A$5:$A$21,업무일지!$D425,코드설정!$B$5:$B$21,업무일지!$E425)=0),"세부유형이 직무구분과 불일치; ",""))&amp;IF(AND(업무일지!$F425&lt;&gt;"",COUNTIF(사건마스터!$A$5:$A$64,업무일지!$F425)=0),"미등록 사건번호; ","")&amp;IF(AND(업무일지!$F425="",업무일지!$H425=""),"사건번호·업무명 모두 없음; ","")&amp;IF(업무일지!$J425="","담당자 없음; ","")&amp;IF(COUNTIF(코드설정!$F$5:$F$7,업무일지!$AG425)=0,"진행상태 누락; ","")))</f>
        <v/>
      </c>
    </row>
    <row r="458">
      <c r="A458" s="26" t="inlineStr">
        <is>
          <t>업무일지</t>
        </is>
      </c>
      <c r="B458" s="66" t="n">
        <v>426</v>
      </c>
      <c r="C458" s="122">
        <f>IF($D458="","",IFERROR(TEXT(업무일지!$B426,"yyyy-mm-dd"),"(날짜없음)")&amp;"  "&amp;업무일지!$F426&amp;"  "&amp;업무일지!$H426)</f>
        <v/>
      </c>
      <c r="D458" s="122">
        <f>IF(NOT(COUNTBLANK(업무일지!$B426:$AH426)&lt;33),"",TRIM(IF(업무일지!$B426="","시작일 누락; ","")&amp;IF(업무일지!$C426="","종료일 누락; ","")&amp;IF(AND(업무일지!$B426&lt;&gt;"",업무일지!$C426&lt;&gt;"",업무일지!$C426&lt;업무일지!$B426),"종료일이 시작일보다 빠름; ","")&amp;IF(COUNTIF(코드설정!$H$5:$H$7,업무일지!$D426)=0,"직무구분 누락; ","")&amp;IF(업무일지!$E426="","세부유형 누락; ",IF(AND(업무일지!$D426&lt;&gt;"",COUNTIFS(코드설정!$A$5:$A$21,업무일지!$D426,코드설정!$B$5:$B$21,업무일지!$E426)=0),"세부유형이 직무구분과 불일치; ",""))&amp;IF(AND(업무일지!$F426&lt;&gt;"",COUNTIF(사건마스터!$A$5:$A$64,업무일지!$F426)=0),"미등록 사건번호; ","")&amp;IF(AND(업무일지!$F426="",업무일지!$H426=""),"사건번호·업무명 모두 없음; ","")&amp;IF(업무일지!$J426="","담당자 없음; ","")&amp;IF(COUNTIF(코드설정!$F$5:$F$7,업무일지!$AG426)=0,"진행상태 누락; ","")))</f>
        <v/>
      </c>
    </row>
    <row r="459">
      <c r="A459" s="26" t="inlineStr">
        <is>
          <t>업무일지</t>
        </is>
      </c>
      <c r="B459" s="66" t="n">
        <v>427</v>
      </c>
      <c r="C459" s="122">
        <f>IF($D459="","",IFERROR(TEXT(업무일지!$B427,"yyyy-mm-dd"),"(날짜없음)")&amp;"  "&amp;업무일지!$F427&amp;"  "&amp;업무일지!$H427)</f>
        <v/>
      </c>
      <c r="D459" s="122">
        <f>IF(NOT(COUNTBLANK(업무일지!$B427:$AH427)&lt;33),"",TRIM(IF(업무일지!$B427="","시작일 누락; ","")&amp;IF(업무일지!$C427="","종료일 누락; ","")&amp;IF(AND(업무일지!$B427&lt;&gt;"",업무일지!$C427&lt;&gt;"",업무일지!$C427&lt;업무일지!$B427),"종료일이 시작일보다 빠름; ","")&amp;IF(COUNTIF(코드설정!$H$5:$H$7,업무일지!$D427)=0,"직무구분 누락; ","")&amp;IF(업무일지!$E427="","세부유형 누락; ",IF(AND(업무일지!$D427&lt;&gt;"",COUNTIFS(코드설정!$A$5:$A$21,업무일지!$D427,코드설정!$B$5:$B$21,업무일지!$E427)=0),"세부유형이 직무구분과 불일치; ",""))&amp;IF(AND(업무일지!$F427&lt;&gt;"",COUNTIF(사건마스터!$A$5:$A$64,업무일지!$F427)=0),"미등록 사건번호; ","")&amp;IF(AND(업무일지!$F427="",업무일지!$H427=""),"사건번호·업무명 모두 없음; ","")&amp;IF(업무일지!$J427="","담당자 없음; ","")&amp;IF(COUNTIF(코드설정!$F$5:$F$7,업무일지!$AG427)=0,"진행상태 누락; ","")))</f>
        <v/>
      </c>
    </row>
    <row r="460">
      <c r="A460" s="26" t="inlineStr">
        <is>
          <t>업무일지</t>
        </is>
      </c>
      <c r="B460" s="66" t="n">
        <v>428</v>
      </c>
      <c r="C460" s="122">
        <f>IF($D460="","",IFERROR(TEXT(업무일지!$B428,"yyyy-mm-dd"),"(날짜없음)")&amp;"  "&amp;업무일지!$F428&amp;"  "&amp;업무일지!$H428)</f>
        <v/>
      </c>
      <c r="D460" s="122">
        <f>IF(NOT(COUNTBLANK(업무일지!$B428:$AH428)&lt;33),"",TRIM(IF(업무일지!$B428="","시작일 누락; ","")&amp;IF(업무일지!$C428="","종료일 누락; ","")&amp;IF(AND(업무일지!$B428&lt;&gt;"",업무일지!$C428&lt;&gt;"",업무일지!$C428&lt;업무일지!$B428),"종료일이 시작일보다 빠름; ","")&amp;IF(COUNTIF(코드설정!$H$5:$H$7,업무일지!$D428)=0,"직무구분 누락; ","")&amp;IF(업무일지!$E428="","세부유형 누락; ",IF(AND(업무일지!$D428&lt;&gt;"",COUNTIFS(코드설정!$A$5:$A$21,업무일지!$D428,코드설정!$B$5:$B$21,업무일지!$E428)=0),"세부유형이 직무구분과 불일치; ",""))&amp;IF(AND(업무일지!$F428&lt;&gt;"",COUNTIF(사건마스터!$A$5:$A$64,업무일지!$F428)=0),"미등록 사건번호; ","")&amp;IF(AND(업무일지!$F428="",업무일지!$H428=""),"사건번호·업무명 모두 없음; ","")&amp;IF(업무일지!$J428="","담당자 없음; ","")&amp;IF(COUNTIF(코드설정!$F$5:$F$7,업무일지!$AG428)=0,"진행상태 누락; ","")))</f>
        <v/>
      </c>
    </row>
    <row r="461">
      <c r="A461" s="26" t="inlineStr">
        <is>
          <t>업무일지</t>
        </is>
      </c>
      <c r="B461" s="66" t="n">
        <v>429</v>
      </c>
      <c r="C461" s="122">
        <f>IF($D461="","",IFERROR(TEXT(업무일지!$B429,"yyyy-mm-dd"),"(날짜없음)")&amp;"  "&amp;업무일지!$F429&amp;"  "&amp;업무일지!$H429)</f>
        <v/>
      </c>
      <c r="D461" s="122">
        <f>IF(NOT(COUNTBLANK(업무일지!$B429:$AH429)&lt;33),"",TRIM(IF(업무일지!$B429="","시작일 누락; ","")&amp;IF(업무일지!$C429="","종료일 누락; ","")&amp;IF(AND(업무일지!$B429&lt;&gt;"",업무일지!$C429&lt;&gt;"",업무일지!$C429&lt;업무일지!$B429),"종료일이 시작일보다 빠름; ","")&amp;IF(COUNTIF(코드설정!$H$5:$H$7,업무일지!$D429)=0,"직무구분 누락; ","")&amp;IF(업무일지!$E429="","세부유형 누락; ",IF(AND(업무일지!$D429&lt;&gt;"",COUNTIFS(코드설정!$A$5:$A$21,업무일지!$D429,코드설정!$B$5:$B$21,업무일지!$E429)=0),"세부유형이 직무구분과 불일치; ",""))&amp;IF(AND(업무일지!$F429&lt;&gt;"",COUNTIF(사건마스터!$A$5:$A$64,업무일지!$F429)=0),"미등록 사건번호; ","")&amp;IF(AND(업무일지!$F429="",업무일지!$H429=""),"사건번호·업무명 모두 없음; ","")&amp;IF(업무일지!$J429="","담당자 없음; ","")&amp;IF(COUNTIF(코드설정!$F$5:$F$7,업무일지!$AG429)=0,"진행상태 누락; ","")))</f>
        <v/>
      </c>
    </row>
    <row r="462">
      <c r="A462" s="26" t="inlineStr">
        <is>
          <t>업무일지</t>
        </is>
      </c>
      <c r="B462" s="66" t="n">
        <v>430</v>
      </c>
      <c r="C462" s="122">
        <f>IF($D462="","",IFERROR(TEXT(업무일지!$B430,"yyyy-mm-dd"),"(날짜없음)")&amp;"  "&amp;업무일지!$F430&amp;"  "&amp;업무일지!$H430)</f>
        <v/>
      </c>
      <c r="D462" s="122">
        <f>IF(NOT(COUNTBLANK(업무일지!$B430:$AH430)&lt;33),"",TRIM(IF(업무일지!$B430="","시작일 누락; ","")&amp;IF(업무일지!$C430="","종료일 누락; ","")&amp;IF(AND(업무일지!$B430&lt;&gt;"",업무일지!$C430&lt;&gt;"",업무일지!$C430&lt;업무일지!$B430),"종료일이 시작일보다 빠름; ","")&amp;IF(COUNTIF(코드설정!$H$5:$H$7,업무일지!$D430)=0,"직무구분 누락; ","")&amp;IF(업무일지!$E430="","세부유형 누락; ",IF(AND(업무일지!$D430&lt;&gt;"",COUNTIFS(코드설정!$A$5:$A$21,업무일지!$D430,코드설정!$B$5:$B$21,업무일지!$E430)=0),"세부유형이 직무구분과 불일치; ",""))&amp;IF(AND(업무일지!$F430&lt;&gt;"",COUNTIF(사건마스터!$A$5:$A$64,업무일지!$F430)=0),"미등록 사건번호; ","")&amp;IF(AND(업무일지!$F430="",업무일지!$H430=""),"사건번호·업무명 모두 없음; ","")&amp;IF(업무일지!$J430="","담당자 없음; ","")&amp;IF(COUNTIF(코드설정!$F$5:$F$7,업무일지!$AG430)=0,"진행상태 누락; ","")))</f>
        <v/>
      </c>
    </row>
    <row r="463">
      <c r="A463" s="26" t="inlineStr">
        <is>
          <t>업무일지</t>
        </is>
      </c>
      <c r="B463" s="66" t="n">
        <v>431</v>
      </c>
      <c r="C463" s="122">
        <f>IF($D463="","",IFERROR(TEXT(업무일지!$B431,"yyyy-mm-dd"),"(날짜없음)")&amp;"  "&amp;업무일지!$F431&amp;"  "&amp;업무일지!$H431)</f>
        <v/>
      </c>
      <c r="D463" s="122">
        <f>IF(NOT(COUNTBLANK(업무일지!$B431:$AH431)&lt;33),"",TRIM(IF(업무일지!$B431="","시작일 누락; ","")&amp;IF(업무일지!$C431="","종료일 누락; ","")&amp;IF(AND(업무일지!$B431&lt;&gt;"",업무일지!$C431&lt;&gt;"",업무일지!$C431&lt;업무일지!$B431),"종료일이 시작일보다 빠름; ","")&amp;IF(COUNTIF(코드설정!$H$5:$H$7,업무일지!$D431)=0,"직무구분 누락; ","")&amp;IF(업무일지!$E431="","세부유형 누락; ",IF(AND(업무일지!$D431&lt;&gt;"",COUNTIFS(코드설정!$A$5:$A$21,업무일지!$D431,코드설정!$B$5:$B$21,업무일지!$E431)=0),"세부유형이 직무구분과 불일치; ",""))&amp;IF(AND(업무일지!$F431&lt;&gt;"",COUNTIF(사건마스터!$A$5:$A$64,업무일지!$F431)=0),"미등록 사건번호; ","")&amp;IF(AND(업무일지!$F431="",업무일지!$H431=""),"사건번호·업무명 모두 없음; ","")&amp;IF(업무일지!$J431="","담당자 없음; ","")&amp;IF(COUNTIF(코드설정!$F$5:$F$7,업무일지!$AG431)=0,"진행상태 누락; ","")))</f>
        <v/>
      </c>
    </row>
    <row r="464">
      <c r="A464" s="26" t="inlineStr">
        <is>
          <t>업무일지</t>
        </is>
      </c>
      <c r="B464" s="66" t="n">
        <v>432</v>
      </c>
      <c r="C464" s="122">
        <f>IF($D464="","",IFERROR(TEXT(업무일지!$B432,"yyyy-mm-dd"),"(날짜없음)")&amp;"  "&amp;업무일지!$F432&amp;"  "&amp;업무일지!$H432)</f>
        <v/>
      </c>
      <c r="D464" s="122">
        <f>IF(NOT(COUNTBLANK(업무일지!$B432:$AH432)&lt;33),"",TRIM(IF(업무일지!$B432="","시작일 누락; ","")&amp;IF(업무일지!$C432="","종료일 누락; ","")&amp;IF(AND(업무일지!$B432&lt;&gt;"",업무일지!$C432&lt;&gt;"",업무일지!$C432&lt;업무일지!$B432),"종료일이 시작일보다 빠름; ","")&amp;IF(COUNTIF(코드설정!$H$5:$H$7,업무일지!$D432)=0,"직무구분 누락; ","")&amp;IF(업무일지!$E432="","세부유형 누락; ",IF(AND(업무일지!$D432&lt;&gt;"",COUNTIFS(코드설정!$A$5:$A$21,업무일지!$D432,코드설정!$B$5:$B$21,업무일지!$E432)=0),"세부유형이 직무구분과 불일치; ",""))&amp;IF(AND(업무일지!$F432&lt;&gt;"",COUNTIF(사건마스터!$A$5:$A$64,업무일지!$F432)=0),"미등록 사건번호; ","")&amp;IF(AND(업무일지!$F432="",업무일지!$H432=""),"사건번호·업무명 모두 없음; ","")&amp;IF(업무일지!$J432="","담당자 없음; ","")&amp;IF(COUNTIF(코드설정!$F$5:$F$7,업무일지!$AG432)=0,"진행상태 누락; ","")))</f>
        <v/>
      </c>
    </row>
    <row r="465">
      <c r="A465" s="26" t="inlineStr">
        <is>
          <t>업무일지</t>
        </is>
      </c>
      <c r="B465" s="66" t="n">
        <v>433</v>
      </c>
      <c r="C465" s="122">
        <f>IF($D465="","",IFERROR(TEXT(업무일지!$B433,"yyyy-mm-dd"),"(날짜없음)")&amp;"  "&amp;업무일지!$F433&amp;"  "&amp;업무일지!$H433)</f>
        <v/>
      </c>
      <c r="D465" s="122">
        <f>IF(NOT(COUNTBLANK(업무일지!$B433:$AH433)&lt;33),"",TRIM(IF(업무일지!$B433="","시작일 누락; ","")&amp;IF(업무일지!$C433="","종료일 누락; ","")&amp;IF(AND(업무일지!$B433&lt;&gt;"",업무일지!$C433&lt;&gt;"",업무일지!$C433&lt;업무일지!$B433),"종료일이 시작일보다 빠름; ","")&amp;IF(COUNTIF(코드설정!$H$5:$H$7,업무일지!$D433)=0,"직무구분 누락; ","")&amp;IF(업무일지!$E433="","세부유형 누락; ",IF(AND(업무일지!$D433&lt;&gt;"",COUNTIFS(코드설정!$A$5:$A$21,업무일지!$D433,코드설정!$B$5:$B$21,업무일지!$E433)=0),"세부유형이 직무구분과 불일치; ",""))&amp;IF(AND(업무일지!$F433&lt;&gt;"",COUNTIF(사건마스터!$A$5:$A$64,업무일지!$F433)=0),"미등록 사건번호; ","")&amp;IF(AND(업무일지!$F433="",업무일지!$H433=""),"사건번호·업무명 모두 없음; ","")&amp;IF(업무일지!$J433="","담당자 없음; ","")&amp;IF(COUNTIF(코드설정!$F$5:$F$7,업무일지!$AG433)=0,"진행상태 누락; ","")))</f>
        <v/>
      </c>
    </row>
    <row r="466">
      <c r="A466" s="26" t="inlineStr">
        <is>
          <t>업무일지</t>
        </is>
      </c>
      <c r="B466" s="66" t="n">
        <v>434</v>
      </c>
      <c r="C466" s="122">
        <f>IF($D466="","",IFERROR(TEXT(업무일지!$B434,"yyyy-mm-dd"),"(날짜없음)")&amp;"  "&amp;업무일지!$F434&amp;"  "&amp;업무일지!$H434)</f>
        <v/>
      </c>
      <c r="D466" s="122">
        <f>IF(NOT(COUNTBLANK(업무일지!$B434:$AH434)&lt;33),"",TRIM(IF(업무일지!$B434="","시작일 누락; ","")&amp;IF(업무일지!$C434="","종료일 누락; ","")&amp;IF(AND(업무일지!$B434&lt;&gt;"",업무일지!$C434&lt;&gt;"",업무일지!$C434&lt;업무일지!$B434),"종료일이 시작일보다 빠름; ","")&amp;IF(COUNTIF(코드설정!$H$5:$H$7,업무일지!$D434)=0,"직무구분 누락; ","")&amp;IF(업무일지!$E434="","세부유형 누락; ",IF(AND(업무일지!$D434&lt;&gt;"",COUNTIFS(코드설정!$A$5:$A$21,업무일지!$D434,코드설정!$B$5:$B$21,업무일지!$E434)=0),"세부유형이 직무구분과 불일치; ",""))&amp;IF(AND(업무일지!$F434&lt;&gt;"",COUNTIF(사건마스터!$A$5:$A$64,업무일지!$F434)=0),"미등록 사건번호; ","")&amp;IF(AND(업무일지!$F434="",업무일지!$H434=""),"사건번호·업무명 모두 없음; ","")&amp;IF(업무일지!$J434="","담당자 없음; ","")&amp;IF(COUNTIF(코드설정!$F$5:$F$7,업무일지!$AG434)=0,"진행상태 누락; ","")))</f>
        <v/>
      </c>
    </row>
    <row r="467">
      <c r="A467" s="26" t="inlineStr">
        <is>
          <t>업무일지</t>
        </is>
      </c>
      <c r="B467" s="66" t="n">
        <v>435</v>
      </c>
      <c r="C467" s="122">
        <f>IF($D467="","",IFERROR(TEXT(업무일지!$B435,"yyyy-mm-dd"),"(날짜없음)")&amp;"  "&amp;업무일지!$F435&amp;"  "&amp;업무일지!$H435)</f>
        <v/>
      </c>
      <c r="D467" s="122">
        <f>IF(NOT(COUNTBLANK(업무일지!$B435:$AH435)&lt;33),"",TRIM(IF(업무일지!$B435="","시작일 누락; ","")&amp;IF(업무일지!$C435="","종료일 누락; ","")&amp;IF(AND(업무일지!$B435&lt;&gt;"",업무일지!$C435&lt;&gt;"",업무일지!$C435&lt;업무일지!$B435),"종료일이 시작일보다 빠름; ","")&amp;IF(COUNTIF(코드설정!$H$5:$H$7,업무일지!$D435)=0,"직무구분 누락; ","")&amp;IF(업무일지!$E435="","세부유형 누락; ",IF(AND(업무일지!$D435&lt;&gt;"",COUNTIFS(코드설정!$A$5:$A$21,업무일지!$D435,코드설정!$B$5:$B$21,업무일지!$E435)=0),"세부유형이 직무구분과 불일치; ",""))&amp;IF(AND(업무일지!$F435&lt;&gt;"",COUNTIF(사건마스터!$A$5:$A$64,업무일지!$F435)=0),"미등록 사건번호; ","")&amp;IF(AND(업무일지!$F435="",업무일지!$H435=""),"사건번호·업무명 모두 없음; ","")&amp;IF(업무일지!$J435="","담당자 없음; ","")&amp;IF(COUNTIF(코드설정!$F$5:$F$7,업무일지!$AG435)=0,"진행상태 누락; ","")))</f>
        <v/>
      </c>
    </row>
    <row r="468">
      <c r="A468" s="26" t="inlineStr">
        <is>
          <t>업무일지</t>
        </is>
      </c>
      <c r="B468" s="66" t="n">
        <v>436</v>
      </c>
      <c r="C468" s="122">
        <f>IF($D468="","",IFERROR(TEXT(업무일지!$B436,"yyyy-mm-dd"),"(날짜없음)")&amp;"  "&amp;업무일지!$F436&amp;"  "&amp;업무일지!$H436)</f>
        <v/>
      </c>
      <c r="D468" s="122">
        <f>IF(NOT(COUNTBLANK(업무일지!$B436:$AH436)&lt;33),"",TRIM(IF(업무일지!$B436="","시작일 누락; ","")&amp;IF(업무일지!$C436="","종료일 누락; ","")&amp;IF(AND(업무일지!$B436&lt;&gt;"",업무일지!$C436&lt;&gt;"",업무일지!$C436&lt;업무일지!$B436),"종료일이 시작일보다 빠름; ","")&amp;IF(COUNTIF(코드설정!$H$5:$H$7,업무일지!$D436)=0,"직무구분 누락; ","")&amp;IF(업무일지!$E436="","세부유형 누락; ",IF(AND(업무일지!$D436&lt;&gt;"",COUNTIFS(코드설정!$A$5:$A$21,업무일지!$D436,코드설정!$B$5:$B$21,업무일지!$E436)=0),"세부유형이 직무구분과 불일치; ",""))&amp;IF(AND(업무일지!$F436&lt;&gt;"",COUNTIF(사건마스터!$A$5:$A$64,업무일지!$F436)=0),"미등록 사건번호; ","")&amp;IF(AND(업무일지!$F436="",업무일지!$H436=""),"사건번호·업무명 모두 없음; ","")&amp;IF(업무일지!$J436="","담당자 없음; ","")&amp;IF(COUNTIF(코드설정!$F$5:$F$7,업무일지!$AG436)=0,"진행상태 누락; ","")))</f>
        <v/>
      </c>
    </row>
    <row r="469">
      <c r="A469" s="26" t="inlineStr">
        <is>
          <t>업무일지</t>
        </is>
      </c>
      <c r="B469" s="66" t="n">
        <v>437</v>
      </c>
      <c r="C469" s="122">
        <f>IF($D469="","",IFERROR(TEXT(업무일지!$B437,"yyyy-mm-dd"),"(날짜없음)")&amp;"  "&amp;업무일지!$F437&amp;"  "&amp;업무일지!$H437)</f>
        <v/>
      </c>
      <c r="D469" s="122">
        <f>IF(NOT(COUNTBLANK(업무일지!$B437:$AH437)&lt;33),"",TRIM(IF(업무일지!$B437="","시작일 누락; ","")&amp;IF(업무일지!$C437="","종료일 누락; ","")&amp;IF(AND(업무일지!$B437&lt;&gt;"",업무일지!$C437&lt;&gt;"",업무일지!$C437&lt;업무일지!$B437),"종료일이 시작일보다 빠름; ","")&amp;IF(COUNTIF(코드설정!$H$5:$H$7,업무일지!$D437)=0,"직무구분 누락; ","")&amp;IF(업무일지!$E437="","세부유형 누락; ",IF(AND(업무일지!$D437&lt;&gt;"",COUNTIFS(코드설정!$A$5:$A$21,업무일지!$D437,코드설정!$B$5:$B$21,업무일지!$E437)=0),"세부유형이 직무구분과 불일치; ",""))&amp;IF(AND(업무일지!$F437&lt;&gt;"",COUNTIF(사건마스터!$A$5:$A$64,업무일지!$F437)=0),"미등록 사건번호; ","")&amp;IF(AND(업무일지!$F437="",업무일지!$H437=""),"사건번호·업무명 모두 없음; ","")&amp;IF(업무일지!$J437="","담당자 없음; ","")&amp;IF(COUNTIF(코드설정!$F$5:$F$7,업무일지!$AG437)=0,"진행상태 누락; ","")))</f>
        <v/>
      </c>
    </row>
    <row r="470">
      <c r="A470" s="26" t="inlineStr">
        <is>
          <t>업무일지</t>
        </is>
      </c>
      <c r="B470" s="66" t="n">
        <v>438</v>
      </c>
      <c r="C470" s="122">
        <f>IF($D470="","",IFERROR(TEXT(업무일지!$B438,"yyyy-mm-dd"),"(날짜없음)")&amp;"  "&amp;업무일지!$F438&amp;"  "&amp;업무일지!$H438)</f>
        <v/>
      </c>
      <c r="D470" s="122">
        <f>IF(NOT(COUNTBLANK(업무일지!$B438:$AH438)&lt;33),"",TRIM(IF(업무일지!$B438="","시작일 누락; ","")&amp;IF(업무일지!$C438="","종료일 누락; ","")&amp;IF(AND(업무일지!$B438&lt;&gt;"",업무일지!$C438&lt;&gt;"",업무일지!$C438&lt;업무일지!$B438),"종료일이 시작일보다 빠름; ","")&amp;IF(COUNTIF(코드설정!$H$5:$H$7,업무일지!$D438)=0,"직무구분 누락; ","")&amp;IF(업무일지!$E438="","세부유형 누락; ",IF(AND(업무일지!$D438&lt;&gt;"",COUNTIFS(코드설정!$A$5:$A$21,업무일지!$D438,코드설정!$B$5:$B$21,업무일지!$E438)=0),"세부유형이 직무구분과 불일치; ",""))&amp;IF(AND(업무일지!$F438&lt;&gt;"",COUNTIF(사건마스터!$A$5:$A$64,업무일지!$F438)=0),"미등록 사건번호; ","")&amp;IF(AND(업무일지!$F438="",업무일지!$H438=""),"사건번호·업무명 모두 없음; ","")&amp;IF(업무일지!$J438="","담당자 없음; ","")&amp;IF(COUNTIF(코드설정!$F$5:$F$7,업무일지!$AG438)=0,"진행상태 누락; ","")))</f>
        <v/>
      </c>
    </row>
    <row r="471">
      <c r="A471" s="26" t="inlineStr">
        <is>
          <t>업무일지</t>
        </is>
      </c>
      <c r="B471" s="66" t="n">
        <v>439</v>
      </c>
      <c r="C471" s="122">
        <f>IF($D471="","",IFERROR(TEXT(업무일지!$B439,"yyyy-mm-dd"),"(날짜없음)")&amp;"  "&amp;업무일지!$F439&amp;"  "&amp;업무일지!$H439)</f>
        <v/>
      </c>
      <c r="D471" s="122">
        <f>IF(NOT(COUNTBLANK(업무일지!$B439:$AH439)&lt;33),"",TRIM(IF(업무일지!$B439="","시작일 누락; ","")&amp;IF(업무일지!$C439="","종료일 누락; ","")&amp;IF(AND(업무일지!$B439&lt;&gt;"",업무일지!$C439&lt;&gt;"",업무일지!$C439&lt;업무일지!$B439),"종료일이 시작일보다 빠름; ","")&amp;IF(COUNTIF(코드설정!$H$5:$H$7,업무일지!$D439)=0,"직무구분 누락; ","")&amp;IF(업무일지!$E439="","세부유형 누락; ",IF(AND(업무일지!$D439&lt;&gt;"",COUNTIFS(코드설정!$A$5:$A$21,업무일지!$D439,코드설정!$B$5:$B$21,업무일지!$E439)=0),"세부유형이 직무구분과 불일치; ",""))&amp;IF(AND(업무일지!$F439&lt;&gt;"",COUNTIF(사건마스터!$A$5:$A$64,업무일지!$F439)=0),"미등록 사건번호; ","")&amp;IF(AND(업무일지!$F439="",업무일지!$H439=""),"사건번호·업무명 모두 없음; ","")&amp;IF(업무일지!$J439="","담당자 없음; ","")&amp;IF(COUNTIF(코드설정!$F$5:$F$7,업무일지!$AG439)=0,"진행상태 누락; ","")))</f>
        <v/>
      </c>
    </row>
    <row r="472">
      <c r="A472" s="26" t="inlineStr">
        <is>
          <t>업무일지</t>
        </is>
      </c>
      <c r="B472" s="66" t="n">
        <v>440</v>
      </c>
      <c r="C472" s="122">
        <f>IF($D472="","",IFERROR(TEXT(업무일지!$B440,"yyyy-mm-dd"),"(날짜없음)")&amp;"  "&amp;업무일지!$F440&amp;"  "&amp;업무일지!$H440)</f>
        <v/>
      </c>
      <c r="D472" s="122">
        <f>IF(NOT(COUNTBLANK(업무일지!$B440:$AH440)&lt;33),"",TRIM(IF(업무일지!$B440="","시작일 누락; ","")&amp;IF(업무일지!$C440="","종료일 누락; ","")&amp;IF(AND(업무일지!$B440&lt;&gt;"",업무일지!$C440&lt;&gt;"",업무일지!$C440&lt;업무일지!$B440),"종료일이 시작일보다 빠름; ","")&amp;IF(COUNTIF(코드설정!$H$5:$H$7,업무일지!$D440)=0,"직무구분 누락; ","")&amp;IF(업무일지!$E440="","세부유형 누락; ",IF(AND(업무일지!$D440&lt;&gt;"",COUNTIFS(코드설정!$A$5:$A$21,업무일지!$D440,코드설정!$B$5:$B$21,업무일지!$E440)=0),"세부유형이 직무구분과 불일치; ",""))&amp;IF(AND(업무일지!$F440&lt;&gt;"",COUNTIF(사건마스터!$A$5:$A$64,업무일지!$F440)=0),"미등록 사건번호; ","")&amp;IF(AND(업무일지!$F440="",업무일지!$H440=""),"사건번호·업무명 모두 없음; ","")&amp;IF(업무일지!$J440="","담당자 없음; ","")&amp;IF(COUNTIF(코드설정!$F$5:$F$7,업무일지!$AG440)=0,"진행상태 누락; ","")))</f>
        <v/>
      </c>
    </row>
    <row r="473">
      <c r="A473" s="26" t="inlineStr">
        <is>
          <t>업무일지</t>
        </is>
      </c>
      <c r="B473" s="66" t="n">
        <v>441</v>
      </c>
      <c r="C473" s="122">
        <f>IF($D473="","",IFERROR(TEXT(업무일지!$B441,"yyyy-mm-dd"),"(날짜없음)")&amp;"  "&amp;업무일지!$F441&amp;"  "&amp;업무일지!$H441)</f>
        <v/>
      </c>
      <c r="D473" s="122">
        <f>IF(NOT(COUNTBLANK(업무일지!$B441:$AH441)&lt;33),"",TRIM(IF(업무일지!$B441="","시작일 누락; ","")&amp;IF(업무일지!$C441="","종료일 누락; ","")&amp;IF(AND(업무일지!$B441&lt;&gt;"",업무일지!$C441&lt;&gt;"",업무일지!$C441&lt;업무일지!$B441),"종료일이 시작일보다 빠름; ","")&amp;IF(COUNTIF(코드설정!$H$5:$H$7,업무일지!$D441)=0,"직무구분 누락; ","")&amp;IF(업무일지!$E441="","세부유형 누락; ",IF(AND(업무일지!$D441&lt;&gt;"",COUNTIFS(코드설정!$A$5:$A$21,업무일지!$D441,코드설정!$B$5:$B$21,업무일지!$E441)=0),"세부유형이 직무구분과 불일치; ",""))&amp;IF(AND(업무일지!$F441&lt;&gt;"",COUNTIF(사건마스터!$A$5:$A$64,업무일지!$F441)=0),"미등록 사건번호; ","")&amp;IF(AND(업무일지!$F441="",업무일지!$H441=""),"사건번호·업무명 모두 없음; ","")&amp;IF(업무일지!$J441="","담당자 없음; ","")&amp;IF(COUNTIF(코드설정!$F$5:$F$7,업무일지!$AG441)=0,"진행상태 누락; ","")))</f>
        <v/>
      </c>
    </row>
    <row r="474">
      <c r="A474" s="26" t="inlineStr">
        <is>
          <t>업무일지</t>
        </is>
      </c>
      <c r="B474" s="66" t="n">
        <v>442</v>
      </c>
      <c r="C474" s="122">
        <f>IF($D474="","",IFERROR(TEXT(업무일지!$B442,"yyyy-mm-dd"),"(날짜없음)")&amp;"  "&amp;업무일지!$F442&amp;"  "&amp;업무일지!$H442)</f>
        <v/>
      </c>
      <c r="D474" s="122">
        <f>IF(NOT(COUNTBLANK(업무일지!$B442:$AH442)&lt;33),"",TRIM(IF(업무일지!$B442="","시작일 누락; ","")&amp;IF(업무일지!$C442="","종료일 누락; ","")&amp;IF(AND(업무일지!$B442&lt;&gt;"",업무일지!$C442&lt;&gt;"",업무일지!$C442&lt;업무일지!$B442),"종료일이 시작일보다 빠름; ","")&amp;IF(COUNTIF(코드설정!$H$5:$H$7,업무일지!$D442)=0,"직무구분 누락; ","")&amp;IF(업무일지!$E442="","세부유형 누락; ",IF(AND(업무일지!$D442&lt;&gt;"",COUNTIFS(코드설정!$A$5:$A$21,업무일지!$D442,코드설정!$B$5:$B$21,업무일지!$E442)=0),"세부유형이 직무구분과 불일치; ",""))&amp;IF(AND(업무일지!$F442&lt;&gt;"",COUNTIF(사건마스터!$A$5:$A$64,업무일지!$F442)=0),"미등록 사건번호; ","")&amp;IF(AND(업무일지!$F442="",업무일지!$H442=""),"사건번호·업무명 모두 없음; ","")&amp;IF(업무일지!$J442="","담당자 없음; ","")&amp;IF(COUNTIF(코드설정!$F$5:$F$7,업무일지!$AG442)=0,"진행상태 누락; ","")))</f>
        <v/>
      </c>
    </row>
    <row r="475">
      <c r="A475" s="26" t="inlineStr">
        <is>
          <t>업무일지</t>
        </is>
      </c>
      <c r="B475" s="66" t="n">
        <v>443</v>
      </c>
      <c r="C475" s="122">
        <f>IF($D475="","",IFERROR(TEXT(업무일지!$B443,"yyyy-mm-dd"),"(날짜없음)")&amp;"  "&amp;업무일지!$F443&amp;"  "&amp;업무일지!$H443)</f>
        <v/>
      </c>
      <c r="D475" s="122">
        <f>IF(NOT(COUNTBLANK(업무일지!$B443:$AH443)&lt;33),"",TRIM(IF(업무일지!$B443="","시작일 누락; ","")&amp;IF(업무일지!$C443="","종료일 누락; ","")&amp;IF(AND(업무일지!$B443&lt;&gt;"",업무일지!$C443&lt;&gt;"",업무일지!$C443&lt;업무일지!$B443),"종료일이 시작일보다 빠름; ","")&amp;IF(COUNTIF(코드설정!$H$5:$H$7,업무일지!$D443)=0,"직무구분 누락; ","")&amp;IF(업무일지!$E443="","세부유형 누락; ",IF(AND(업무일지!$D443&lt;&gt;"",COUNTIFS(코드설정!$A$5:$A$21,업무일지!$D443,코드설정!$B$5:$B$21,업무일지!$E443)=0),"세부유형이 직무구분과 불일치; ",""))&amp;IF(AND(업무일지!$F443&lt;&gt;"",COUNTIF(사건마스터!$A$5:$A$64,업무일지!$F443)=0),"미등록 사건번호; ","")&amp;IF(AND(업무일지!$F443="",업무일지!$H443=""),"사건번호·업무명 모두 없음; ","")&amp;IF(업무일지!$J443="","담당자 없음; ","")&amp;IF(COUNTIF(코드설정!$F$5:$F$7,업무일지!$AG443)=0,"진행상태 누락; ","")))</f>
        <v/>
      </c>
    </row>
    <row r="476">
      <c r="A476" s="26" t="inlineStr">
        <is>
          <t>업무일지</t>
        </is>
      </c>
      <c r="B476" s="66" t="n">
        <v>444</v>
      </c>
      <c r="C476" s="122">
        <f>IF($D476="","",IFERROR(TEXT(업무일지!$B444,"yyyy-mm-dd"),"(날짜없음)")&amp;"  "&amp;업무일지!$F444&amp;"  "&amp;업무일지!$H444)</f>
        <v/>
      </c>
      <c r="D476" s="122">
        <f>IF(NOT(COUNTBLANK(업무일지!$B444:$AH444)&lt;33),"",TRIM(IF(업무일지!$B444="","시작일 누락; ","")&amp;IF(업무일지!$C444="","종료일 누락; ","")&amp;IF(AND(업무일지!$B444&lt;&gt;"",업무일지!$C444&lt;&gt;"",업무일지!$C444&lt;업무일지!$B444),"종료일이 시작일보다 빠름; ","")&amp;IF(COUNTIF(코드설정!$H$5:$H$7,업무일지!$D444)=0,"직무구분 누락; ","")&amp;IF(업무일지!$E444="","세부유형 누락; ",IF(AND(업무일지!$D444&lt;&gt;"",COUNTIFS(코드설정!$A$5:$A$21,업무일지!$D444,코드설정!$B$5:$B$21,업무일지!$E444)=0),"세부유형이 직무구분과 불일치; ",""))&amp;IF(AND(업무일지!$F444&lt;&gt;"",COUNTIF(사건마스터!$A$5:$A$64,업무일지!$F444)=0),"미등록 사건번호; ","")&amp;IF(AND(업무일지!$F444="",업무일지!$H444=""),"사건번호·업무명 모두 없음; ","")&amp;IF(업무일지!$J444="","담당자 없음; ","")&amp;IF(COUNTIF(코드설정!$F$5:$F$7,업무일지!$AG444)=0,"진행상태 누락; ","")))</f>
        <v/>
      </c>
    </row>
    <row r="477">
      <c r="A477" s="26" t="inlineStr">
        <is>
          <t>업무일지</t>
        </is>
      </c>
      <c r="B477" s="66" t="n">
        <v>445</v>
      </c>
      <c r="C477" s="122">
        <f>IF($D477="","",IFERROR(TEXT(업무일지!$B445,"yyyy-mm-dd"),"(날짜없음)")&amp;"  "&amp;업무일지!$F445&amp;"  "&amp;업무일지!$H445)</f>
        <v/>
      </c>
      <c r="D477" s="122">
        <f>IF(NOT(COUNTBLANK(업무일지!$B445:$AH445)&lt;33),"",TRIM(IF(업무일지!$B445="","시작일 누락; ","")&amp;IF(업무일지!$C445="","종료일 누락; ","")&amp;IF(AND(업무일지!$B445&lt;&gt;"",업무일지!$C445&lt;&gt;"",업무일지!$C445&lt;업무일지!$B445),"종료일이 시작일보다 빠름; ","")&amp;IF(COUNTIF(코드설정!$H$5:$H$7,업무일지!$D445)=0,"직무구분 누락; ","")&amp;IF(업무일지!$E445="","세부유형 누락; ",IF(AND(업무일지!$D445&lt;&gt;"",COUNTIFS(코드설정!$A$5:$A$21,업무일지!$D445,코드설정!$B$5:$B$21,업무일지!$E445)=0),"세부유형이 직무구분과 불일치; ",""))&amp;IF(AND(업무일지!$F445&lt;&gt;"",COUNTIF(사건마스터!$A$5:$A$64,업무일지!$F445)=0),"미등록 사건번호; ","")&amp;IF(AND(업무일지!$F445="",업무일지!$H445=""),"사건번호·업무명 모두 없음; ","")&amp;IF(업무일지!$J445="","담당자 없음; ","")&amp;IF(COUNTIF(코드설정!$F$5:$F$7,업무일지!$AG445)=0,"진행상태 누락; ","")))</f>
        <v/>
      </c>
    </row>
    <row r="478">
      <c r="A478" s="26" t="inlineStr">
        <is>
          <t>업무일지</t>
        </is>
      </c>
      <c r="B478" s="66" t="n">
        <v>446</v>
      </c>
      <c r="C478" s="122">
        <f>IF($D478="","",IFERROR(TEXT(업무일지!$B446,"yyyy-mm-dd"),"(날짜없음)")&amp;"  "&amp;업무일지!$F446&amp;"  "&amp;업무일지!$H446)</f>
        <v/>
      </c>
      <c r="D478" s="122">
        <f>IF(NOT(COUNTBLANK(업무일지!$B446:$AH446)&lt;33),"",TRIM(IF(업무일지!$B446="","시작일 누락; ","")&amp;IF(업무일지!$C446="","종료일 누락; ","")&amp;IF(AND(업무일지!$B446&lt;&gt;"",업무일지!$C446&lt;&gt;"",업무일지!$C446&lt;업무일지!$B446),"종료일이 시작일보다 빠름; ","")&amp;IF(COUNTIF(코드설정!$H$5:$H$7,업무일지!$D446)=0,"직무구분 누락; ","")&amp;IF(업무일지!$E446="","세부유형 누락; ",IF(AND(업무일지!$D446&lt;&gt;"",COUNTIFS(코드설정!$A$5:$A$21,업무일지!$D446,코드설정!$B$5:$B$21,업무일지!$E446)=0),"세부유형이 직무구분과 불일치; ",""))&amp;IF(AND(업무일지!$F446&lt;&gt;"",COUNTIF(사건마스터!$A$5:$A$64,업무일지!$F446)=0),"미등록 사건번호; ","")&amp;IF(AND(업무일지!$F446="",업무일지!$H446=""),"사건번호·업무명 모두 없음; ","")&amp;IF(업무일지!$J446="","담당자 없음; ","")&amp;IF(COUNTIF(코드설정!$F$5:$F$7,업무일지!$AG446)=0,"진행상태 누락; ","")))</f>
        <v/>
      </c>
    </row>
    <row r="479">
      <c r="A479" s="26" t="inlineStr">
        <is>
          <t>업무일지</t>
        </is>
      </c>
      <c r="B479" s="66" t="n">
        <v>447</v>
      </c>
      <c r="C479" s="122">
        <f>IF($D479="","",IFERROR(TEXT(업무일지!$B447,"yyyy-mm-dd"),"(날짜없음)")&amp;"  "&amp;업무일지!$F447&amp;"  "&amp;업무일지!$H447)</f>
        <v/>
      </c>
      <c r="D479" s="122">
        <f>IF(NOT(COUNTBLANK(업무일지!$B447:$AH447)&lt;33),"",TRIM(IF(업무일지!$B447="","시작일 누락; ","")&amp;IF(업무일지!$C447="","종료일 누락; ","")&amp;IF(AND(업무일지!$B447&lt;&gt;"",업무일지!$C447&lt;&gt;"",업무일지!$C447&lt;업무일지!$B447),"종료일이 시작일보다 빠름; ","")&amp;IF(COUNTIF(코드설정!$H$5:$H$7,업무일지!$D447)=0,"직무구분 누락; ","")&amp;IF(업무일지!$E447="","세부유형 누락; ",IF(AND(업무일지!$D447&lt;&gt;"",COUNTIFS(코드설정!$A$5:$A$21,업무일지!$D447,코드설정!$B$5:$B$21,업무일지!$E447)=0),"세부유형이 직무구분과 불일치; ",""))&amp;IF(AND(업무일지!$F447&lt;&gt;"",COUNTIF(사건마스터!$A$5:$A$64,업무일지!$F447)=0),"미등록 사건번호; ","")&amp;IF(AND(업무일지!$F447="",업무일지!$H447=""),"사건번호·업무명 모두 없음; ","")&amp;IF(업무일지!$J447="","담당자 없음; ","")&amp;IF(COUNTIF(코드설정!$F$5:$F$7,업무일지!$AG447)=0,"진행상태 누락; ","")))</f>
        <v/>
      </c>
    </row>
    <row r="480">
      <c r="A480" s="26" t="inlineStr">
        <is>
          <t>업무일지</t>
        </is>
      </c>
      <c r="B480" s="66" t="n">
        <v>448</v>
      </c>
      <c r="C480" s="122">
        <f>IF($D480="","",IFERROR(TEXT(업무일지!$B448,"yyyy-mm-dd"),"(날짜없음)")&amp;"  "&amp;업무일지!$F448&amp;"  "&amp;업무일지!$H448)</f>
        <v/>
      </c>
      <c r="D480" s="122">
        <f>IF(NOT(COUNTBLANK(업무일지!$B448:$AH448)&lt;33),"",TRIM(IF(업무일지!$B448="","시작일 누락; ","")&amp;IF(업무일지!$C448="","종료일 누락; ","")&amp;IF(AND(업무일지!$B448&lt;&gt;"",업무일지!$C448&lt;&gt;"",업무일지!$C448&lt;업무일지!$B448),"종료일이 시작일보다 빠름; ","")&amp;IF(COUNTIF(코드설정!$H$5:$H$7,업무일지!$D448)=0,"직무구분 누락; ","")&amp;IF(업무일지!$E448="","세부유형 누락; ",IF(AND(업무일지!$D448&lt;&gt;"",COUNTIFS(코드설정!$A$5:$A$21,업무일지!$D448,코드설정!$B$5:$B$21,업무일지!$E448)=0),"세부유형이 직무구분과 불일치; ",""))&amp;IF(AND(업무일지!$F448&lt;&gt;"",COUNTIF(사건마스터!$A$5:$A$64,업무일지!$F448)=0),"미등록 사건번호; ","")&amp;IF(AND(업무일지!$F448="",업무일지!$H448=""),"사건번호·업무명 모두 없음; ","")&amp;IF(업무일지!$J448="","담당자 없음; ","")&amp;IF(COUNTIF(코드설정!$F$5:$F$7,업무일지!$AG448)=0,"진행상태 누락; ","")))</f>
        <v/>
      </c>
    </row>
    <row r="481">
      <c r="A481" s="26" t="inlineStr">
        <is>
          <t>업무일지</t>
        </is>
      </c>
      <c r="B481" s="66" t="n">
        <v>449</v>
      </c>
      <c r="C481" s="122">
        <f>IF($D481="","",IFERROR(TEXT(업무일지!$B449,"yyyy-mm-dd"),"(날짜없음)")&amp;"  "&amp;업무일지!$F449&amp;"  "&amp;업무일지!$H449)</f>
        <v/>
      </c>
      <c r="D481" s="122">
        <f>IF(NOT(COUNTBLANK(업무일지!$B449:$AH449)&lt;33),"",TRIM(IF(업무일지!$B449="","시작일 누락; ","")&amp;IF(업무일지!$C449="","종료일 누락; ","")&amp;IF(AND(업무일지!$B449&lt;&gt;"",업무일지!$C449&lt;&gt;"",업무일지!$C449&lt;업무일지!$B449),"종료일이 시작일보다 빠름; ","")&amp;IF(COUNTIF(코드설정!$H$5:$H$7,업무일지!$D449)=0,"직무구분 누락; ","")&amp;IF(업무일지!$E449="","세부유형 누락; ",IF(AND(업무일지!$D449&lt;&gt;"",COUNTIFS(코드설정!$A$5:$A$21,업무일지!$D449,코드설정!$B$5:$B$21,업무일지!$E449)=0),"세부유형이 직무구분과 불일치; ",""))&amp;IF(AND(업무일지!$F449&lt;&gt;"",COUNTIF(사건마스터!$A$5:$A$64,업무일지!$F449)=0),"미등록 사건번호; ","")&amp;IF(AND(업무일지!$F449="",업무일지!$H449=""),"사건번호·업무명 모두 없음; ","")&amp;IF(업무일지!$J449="","담당자 없음; ","")&amp;IF(COUNTIF(코드설정!$F$5:$F$7,업무일지!$AG449)=0,"진행상태 누락; ","")))</f>
        <v/>
      </c>
    </row>
    <row r="482">
      <c r="A482" s="26" t="inlineStr">
        <is>
          <t>업무일지</t>
        </is>
      </c>
      <c r="B482" s="66" t="n">
        <v>450</v>
      </c>
      <c r="C482" s="122">
        <f>IF($D482="","",IFERROR(TEXT(업무일지!$B450,"yyyy-mm-dd"),"(날짜없음)")&amp;"  "&amp;업무일지!$F450&amp;"  "&amp;업무일지!$H450)</f>
        <v/>
      </c>
      <c r="D482" s="122">
        <f>IF(NOT(COUNTBLANK(업무일지!$B450:$AH450)&lt;33),"",TRIM(IF(업무일지!$B450="","시작일 누락; ","")&amp;IF(업무일지!$C450="","종료일 누락; ","")&amp;IF(AND(업무일지!$B450&lt;&gt;"",업무일지!$C450&lt;&gt;"",업무일지!$C450&lt;업무일지!$B450),"종료일이 시작일보다 빠름; ","")&amp;IF(COUNTIF(코드설정!$H$5:$H$7,업무일지!$D450)=0,"직무구분 누락; ","")&amp;IF(업무일지!$E450="","세부유형 누락; ",IF(AND(업무일지!$D450&lt;&gt;"",COUNTIFS(코드설정!$A$5:$A$21,업무일지!$D450,코드설정!$B$5:$B$21,업무일지!$E450)=0),"세부유형이 직무구분과 불일치; ",""))&amp;IF(AND(업무일지!$F450&lt;&gt;"",COUNTIF(사건마스터!$A$5:$A$64,업무일지!$F450)=0),"미등록 사건번호; ","")&amp;IF(AND(업무일지!$F450="",업무일지!$H450=""),"사건번호·업무명 모두 없음; ","")&amp;IF(업무일지!$J450="","담당자 없음; ","")&amp;IF(COUNTIF(코드설정!$F$5:$F$7,업무일지!$AG450)=0,"진행상태 누락; ","")))</f>
        <v/>
      </c>
    </row>
    <row r="483">
      <c r="A483" s="26" t="inlineStr">
        <is>
          <t>업무일지</t>
        </is>
      </c>
      <c r="B483" s="66" t="n">
        <v>451</v>
      </c>
      <c r="C483" s="122">
        <f>IF($D483="","",IFERROR(TEXT(업무일지!$B451,"yyyy-mm-dd"),"(날짜없음)")&amp;"  "&amp;업무일지!$F451&amp;"  "&amp;업무일지!$H451)</f>
        <v/>
      </c>
      <c r="D483" s="122">
        <f>IF(NOT(COUNTBLANK(업무일지!$B451:$AH451)&lt;33),"",TRIM(IF(업무일지!$B451="","시작일 누락; ","")&amp;IF(업무일지!$C451="","종료일 누락; ","")&amp;IF(AND(업무일지!$B451&lt;&gt;"",업무일지!$C451&lt;&gt;"",업무일지!$C451&lt;업무일지!$B451),"종료일이 시작일보다 빠름; ","")&amp;IF(COUNTIF(코드설정!$H$5:$H$7,업무일지!$D451)=0,"직무구분 누락; ","")&amp;IF(업무일지!$E451="","세부유형 누락; ",IF(AND(업무일지!$D451&lt;&gt;"",COUNTIFS(코드설정!$A$5:$A$21,업무일지!$D451,코드설정!$B$5:$B$21,업무일지!$E451)=0),"세부유형이 직무구분과 불일치; ",""))&amp;IF(AND(업무일지!$F451&lt;&gt;"",COUNTIF(사건마스터!$A$5:$A$64,업무일지!$F451)=0),"미등록 사건번호; ","")&amp;IF(AND(업무일지!$F451="",업무일지!$H451=""),"사건번호·업무명 모두 없음; ","")&amp;IF(업무일지!$J451="","담당자 없음; ","")&amp;IF(COUNTIF(코드설정!$F$5:$F$7,업무일지!$AG451)=0,"진행상태 누락; ","")))</f>
        <v/>
      </c>
    </row>
    <row r="484">
      <c r="A484" s="26" t="inlineStr">
        <is>
          <t>업무일지</t>
        </is>
      </c>
      <c r="B484" s="66" t="n">
        <v>452</v>
      </c>
      <c r="C484" s="122">
        <f>IF($D484="","",IFERROR(TEXT(업무일지!$B452,"yyyy-mm-dd"),"(날짜없음)")&amp;"  "&amp;업무일지!$F452&amp;"  "&amp;업무일지!$H452)</f>
        <v/>
      </c>
      <c r="D484" s="122">
        <f>IF(NOT(COUNTBLANK(업무일지!$B452:$AH452)&lt;33),"",TRIM(IF(업무일지!$B452="","시작일 누락; ","")&amp;IF(업무일지!$C452="","종료일 누락; ","")&amp;IF(AND(업무일지!$B452&lt;&gt;"",업무일지!$C452&lt;&gt;"",업무일지!$C452&lt;업무일지!$B452),"종료일이 시작일보다 빠름; ","")&amp;IF(COUNTIF(코드설정!$H$5:$H$7,업무일지!$D452)=0,"직무구분 누락; ","")&amp;IF(업무일지!$E452="","세부유형 누락; ",IF(AND(업무일지!$D452&lt;&gt;"",COUNTIFS(코드설정!$A$5:$A$21,업무일지!$D452,코드설정!$B$5:$B$21,업무일지!$E452)=0),"세부유형이 직무구분과 불일치; ",""))&amp;IF(AND(업무일지!$F452&lt;&gt;"",COUNTIF(사건마스터!$A$5:$A$64,업무일지!$F452)=0),"미등록 사건번호; ","")&amp;IF(AND(업무일지!$F452="",업무일지!$H452=""),"사건번호·업무명 모두 없음; ","")&amp;IF(업무일지!$J452="","담당자 없음; ","")&amp;IF(COUNTIF(코드설정!$F$5:$F$7,업무일지!$AG452)=0,"진행상태 누락; ","")))</f>
        <v/>
      </c>
    </row>
    <row r="485">
      <c r="A485" s="26" t="inlineStr">
        <is>
          <t>업무일지</t>
        </is>
      </c>
      <c r="B485" s="66" t="n">
        <v>453</v>
      </c>
      <c r="C485" s="122">
        <f>IF($D485="","",IFERROR(TEXT(업무일지!$B453,"yyyy-mm-dd"),"(날짜없음)")&amp;"  "&amp;업무일지!$F453&amp;"  "&amp;업무일지!$H453)</f>
        <v/>
      </c>
      <c r="D485" s="122">
        <f>IF(NOT(COUNTBLANK(업무일지!$B453:$AH453)&lt;33),"",TRIM(IF(업무일지!$B453="","시작일 누락; ","")&amp;IF(업무일지!$C453="","종료일 누락; ","")&amp;IF(AND(업무일지!$B453&lt;&gt;"",업무일지!$C453&lt;&gt;"",업무일지!$C453&lt;업무일지!$B453),"종료일이 시작일보다 빠름; ","")&amp;IF(COUNTIF(코드설정!$H$5:$H$7,업무일지!$D453)=0,"직무구분 누락; ","")&amp;IF(업무일지!$E453="","세부유형 누락; ",IF(AND(업무일지!$D453&lt;&gt;"",COUNTIFS(코드설정!$A$5:$A$21,업무일지!$D453,코드설정!$B$5:$B$21,업무일지!$E453)=0),"세부유형이 직무구분과 불일치; ",""))&amp;IF(AND(업무일지!$F453&lt;&gt;"",COUNTIF(사건마스터!$A$5:$A$64,업무일지!$F453)=0),"미등록 사건번호; ","")&amp;IF(AND(업무일지!$F453="",업무일지!$H453=""),"사건번호·업무명 모두 없음; ","")&amp;IF(업무일지!$J453="","담당자 없음; ","")&amp;IF(COUNTIF(코드설정!$F$5:$F$7,업무일지!$AG453)=0,"진행상태 누락; ","")))</f>
        <v/>
      </c>
    </row>
    <row r="486">
      <c r="A486" s="26" t="inlineStr">
        <is>
          <t>업무일지</t>
        </is>
      </c>
      <c r="B486" s="66" t="n">
        <v>454</v>
      </c>
      <c r="C486" s="122">
        <f>IF($D486="","",IFERROR(TEXT(업무일지!$B454,"yyyy-mm-dd"),"(날짜없음)")&amp;"  "&amp;업무일지!$F454&amp;"  "&amp;업무일지!$H454)</f>
        <v/>
      </c>
      <c r="D486" s="122">
        <f>IF(NOT(COUNTBLANK(업무일지!$B454:$AH454)&lt;33),"",TRIM(IF(업무일지!$B454="","시작일 누락; ","")&amp;IF(업무일지!$C454="","종료일 누락; ","")&amp;IF(AND(업무일지!$B454&lt;&gt;"",업무일지!$C454&lt;&gt;"",업무일지!$C454&lt;업무일지!$B454),"종료일이 시작일보다 빠름; ","")&amp;IF(COUNTIF(코드설정!$H$5:$H$7,업무일지!$D454)=0,"직무구분 누락; ","")&amp;IF(업무일지!$E454="","세부유형 누락; ",IF(AND(업무일지!$D454&lt;&gt;"",COUNTIFS(코드설정!$A$5:$A$21,업무일지!$D454,코드설정!$B$5:$B$21,업무일지!$E454)=0),"세부유형이 직무구분과 불일치; ",""))&amp;IF(AND(업무일지!$F454&lt;&gt;"",COUNTIF(사건마스터!$A$5:$A$64,업무일지!$F454)=0),"미등록 사건번호; ","")&amp;IF(AND(업무일지!$F454="",업무일지!$H454=""),"사건번호·업무명 모두 없음; ","")&amp;IF(업무일지!$J454="","담당자 없음; ","")&amp;IF(COUNTIF(코드설정!$F$5:$F$7,업무일지!$AG454)=0,"진행상태 누락; ","")))</f>
        <v/>
      </c>
    </row>
    <row r="487">
      <c r="A487" s="26" t="inlineStr">
        <is>
          <t>업무일지</t>
        </is>
      </c>
      <c r="B487" s="66" t="n">
        <v>455</v>
      </c>
      <c r="C487" s="122">
        <f>IF($D487="","",IFERROR(TEXT(업무일지!$B455,"yyyy-mm-dd"),"(날짜없음)")&amp;"  "&amp;업무일지!$F455&amp;"  "&amp;업무일지!$H455)</f>
        <v/>
      </c>
      <c r="D487" s="122">
        <f>IF(NOT(COUNTBLANK(업무일지!$B455:$AH455)&lt;33),"",TRIM(IF(업무일지!$B455="","시작일 누락; ","")&amp;IF(업무일지!$C455="","종료일 누락; ","")&amp;IF(AND(업무일지!$B455&lt;&gt;"",업무일지!$C455&lt;&gt;"",업무일지!$C455&lt;업무일지!$B455),"종료일이 시작일보다 빠름; ","")&amp;IF(COUNTIF(코드설정!$H$5:$H$7,업무일지!$D455)=0,"직무구분 누락; ","")&amp;IF(업무일지!$E455="","세부유형 누락; ",IF(AND(업무일지!$D455&lt;&gt;"",COUNTIFS(코드설정!$A$5:$A$21,업무일지!$D455,코드설정!$B$5:$B$21,업무일지!$E455)=0),"세부유형이 직무구분과 불일치; ",""))&amp;IF(AND(업무일지!$F455&lt;&gt;"",COUNTIF(사건마스터!$A$5:$A$64,업무일지!$F455)=0),"미등록 사건번호; ","")&amp;IF(AND(업무일지!$F455="",업무일지!$H455=""),"사건번호·업무명 모두 없음; ","")&amp;IF(업무일지!$J455="","담당자 없음; ","")&amp;IF(COUNTIF(코드설정!$F$5:$F$7,업무일지!$AG455)=0,"진행상태 누락; ","")))</f>
        <v/>
      </c>
    </row>
    <row r="488">
      <c r="A488" s="26" t="inlineStr">
        <is>
          <t>업무일지</t>
        </is>
      </c>
      <c r="B488" s="66" t="n">
        <v>456</v>
      </c>
      <c r="C488" s="122">
        <f>IF($D488="","",IFERROR(TEXT(업무일지!$B456,"yyyy-mm-dd"),"(날짜없음)")&amp;"  "&amp;업무일지!$F456&amp;"  "&amp;업무일지!$H456)</f>
        <v/>
      </c>
      <c r="D488" s="122">
        <f>IF(NOT(COUNTBLANK(업무일지!$B456:$AH456)&lt;33),"",TRIM(IF(업무일지!$B456="","시작일 누락; ","")&amp;IF(업무일지!$C456="","종료일 누락; ","")&amp;IF(AND(업무일지!$B456&lt;&gt;"",업무일지!$C456&lt;&gt;"",업무일지!$C456&lt;업무일지!$B456),"종료일이 시작일보다 빠름; ","")&amp;IF(COUNTIF(코드설정!$H$5:$H$7,업무일지!$D456)=0,"직무구분 누락; ","")&amp;IF(업무일지!$E456="","세부유형 누락; ",IF(AND(업무일지!$D456&lt;&gt;"",COUNTIFS(코드설정!$A$5:$A$21,업무일지!$D456,코드설정!$B$5:$B$21,업무일지!$E456)=0),"세부유형이 직무구분과 불일치; ",""))&amp;IF(AND(업무일지!$F456&lt;&gt;"",COUNTIF(사건마스터!$A$5:$A$64,업무일지!$F456)=0),"미등록 사건번호; ","")&amp;IF(AND(업무일지!$F456="",업무일지!$H456=""),"사건번호·업무명 모두 없음; ","")&amp;IF(업무일지!$J456="","담당자 없음; ","")&amp;IF(COUNTIF(코드설정!$F$5:$F$7,업무일지!$AG456)=0,"진행상태 누락; ","")))</f>
        <v/>
      </c>
    </row>
    <row r="489">
      <c r="A489" s="26" t="inlineStr">
        <is>
          <t>업무일지</t>
        </is>
      </c>
      <c r="B489" s="66" t="n">
        <v>457</v>
      </c>
      <c r="C489" s="122">
        <f>IF($D489="","",IFERROR(TEXT(업무일지!$B457,"yyyy-mm-dd"),"(날짜없음)")&amp;"  "&amp;업무일지!$F457&amp;"  "&amp;업무일지!$H457)</f>
        <v/>
      </c>
      <c r="D489" s="122">
        <f>IF(NOT(COUNTBLANK(업무일지!$B457:$AH457)&lt;33),"",TRIM(IF(업무일지!$B457="","시작일 누락; ","")&amp;IF(업무일지!$C457="","종료일 누락; ","")&amp;IF(AND(업무일지!$B457&lt;&gt;"",업무일지!$C457&lt;&gt;"",업무일지!$C457&lt;업무일지!$B457),"종료일이 시작일보다 빠름; ","")&amp;IF(COUNTIF(코드설정!$H$5:$H$7,업무일지!$D457)=0,"직무구분 누락; ","")&amp;IF(업무일지!$E457="","세부유형 누락; ",IF(AND(업무일지!$D457&lt;&gt;"",COUNTIFS(코드설정!$A$5:$A$21,업무일지!$D457,코드설정!$B$5:$B$21,업무일지!$E457)=0),"세부유형이 직무구분과 불일치; ",""))&amp;IF(AND(업무일지!$F457&lt;&gt;"",COUNTIF(사건마스터!$A$5:$A$64,업무일지!$F457)=0),"미등록 사건번호; ","")&amp;IF(AND(업무일지!$F457="",업무일지!$H457=""),"사건번호·업무명 모두 없음; ","")&amp;IF(업무일지!$J457="","담당자 없음; ","")&amp;IF(COUNTIF(코드설정!$F$5:$F$7,업무일지!$AG457)=0,"진행상태 누락; ","")))</f>
        <v/>
      </c>
    </row>
    <row r="490">
      <c r="A490" s="26" t="inlineStr">
        <is>
          <t>업무일지</t>
        </is>
      </c>
      <c r="B490" s="66" t="n">
        <v>458</v>
      </c>
      <c r="C490" s="122">
        <f>IF($D490="","",IFERROR(TEXT(업무일지!$B458,"yyyy-mm-dd"),"(날짜없음)")&amp;"  "&amp;업무일지!$F458&amp;"  "&amp;업무일지!$H458)</f>
        <v/>
      </c>
      <c r="D490" s="122">
        <f>IF(NOT(COUNTBLANK(업무일지!$B458:$AH458)&lt;33),"",TRIM(IF(업무일지!$B458="","시작일 누락; ","")&amp;IF(업무일지!$C458="","종료일 누락; ","")&amp;IF(AND(업무일지!$B458&lt;&gt;"",업무일지!$C458&lt;&gt;"",업무일지!$C458&lt;업무일지!$B458),"종료일이 시작일보다 빠름; ","")&amp;IF(COUNTIF(코드설정!$H$5:$H$7,업무일지!$D458)=0,"직무구분 누락; ","")&amp;IF(업무일지!$E458="","세부유형 누락; ",IF(AND(업무일지!$D458&lt;&gt;"",COUNTIFS(코드설정!$A$5:$A$21,업무일지!$D458,코드설정!$B$5:$B$21,업무일지!$E458)=0),"세부유형이 직무구분과 불일치; ",""))&amp;IF(AND(업무일지!$F458&lt;&gt;"",COUNTIF(사건마스터!$A$5:$A$64,업무일지!$F458)=0),"미등록 사건번호; ","")&amp;IF(AND(업무일지!$F458="",업무일지!$H458=""),"사건번호·업무명 모두 없음; ","")&amp;IF(업무일지!$J458="","담당자 없음; ","")&amp;IF(COUNTIF(코드설정!$F$5:$F$7,업무일지!$AG458)=0,"진행상태 누락; ","")))</f>
        <v/>
      </c>
    </row>
    <row r="491">
      <c r="A491" s="26" t="inlineStr">
        <is>
          <t>업무일지</t>
        </is>
      </c>
      <c r="B491" s="66" t="n">
        <v>459</v>
      </c>
      <c r="C491" s="122">
        <f>IF($D491="","",IFERROR(TEXT(업무일지!$B459,"yyyy-mm-dd"),"(날짜없음)")&amp;"  "&amp;업무일지!$F459&amp;"  "&amp;업무일지!$H459)</f>
        <v/>
      </c>
      <c r="D491" s="122">
        <f>IF(NOT(COUNTBLANK(업무일지!$B459:$AH459)&lt;33),"",TRIM(IF(업무일지!$B459="","시작일 누락; ","")&amp;IF(업무일지!$C459="","종료일 누락; ","")&amp;IF(AND(업무일지!$B459&lt;&gt;"",업무일지!$C459&lt;&gt;"",업무일지!$C459&lt;업무일지!$B459),"종료일이 시작일보다 빠름; ","")&amp;IF(COUNTIF(코드설정!$H$5:$H$7,업무일지!$D459)=0,"직무구분 누락; ","")&amp;IF(업무일지!$E459="","세부유형 누락; ",IF(AND(업무일지!$D459&lt;&gt;"",COUNTIFS(코드설정!$A$5:$A$21,업무일지!$D459,코드설정!$B$5:$B$21,업무일지!$E459)=0),"세부유형이 직무구분과 불일치; ",""))&amp;IF(AND(업무일지!$F459&lt;&gt;"",COUNTIF(사건마스터!$A$5:$A$64,업무일지!$F459)=0),"미등록 사건번호; ","")&amp;IF(AND(업무일지!$F459="",업무일지!$H459=""),"사건번호·업무명 모두 없음; ","")&amp;IF(업무일지!$J459="","담당자 없음; ","")&amp;IF(COUNTIF(코드설정!$F$5:$F$7,업무일지!$AG459)=0,"진행상태 누락; ","")))</f>
        <v/>
      </c>
    </row>
    <row r="492">
      <c r="A492" s="26" t="inlineStr">
        <is>
          <t>업무일지</t>
        </is>
      </c>
      <c r="B492" s="66" t="n">
        <v>460</v>
      </c>
      <c r="C492" s="122">
        <f>IF($D492="","",IFERROR(TEXT(업무일지!$B460,"yyyy-mm-dd"),"(날짜없음)")&amp;"  "&amp;업무일지!$F460&amp;"  "&amp;업무일지!$H460)</f>
        <v/>
      </c>
      <c r="D492" s="122">
        <f>IF(NOT(COUNTBLANK(업무일지!$B460:$AH460)&lt;33),"",TRIM(IF(업무일지!$B460="","시작일 누락; ","")&amp;IF(업무일지!$C460="","종료일 누락; ","")&amp;IF(AND(업무일지!$B460&lt;&gt;"",업무일지!$C460&lt;&gt;"",업무일지!$C460&lt;업무일지!$B460),"종료일이 시작일보다 빠름; ","")&amp;IF(COUNTIF(코드설정!$H$5:$H$7,업무일지!$D460)=0,"직무구분 누락; ","")&amp;IF(업무일지!$E460="","세부유형 누락; ",IF(AND(업무일지!$D460&lt;&gt;"",COUNTIFS(코드설정!$A$5:$A$21,업무일지!$D460,코드설정!$B$5:$B$21,업무일지!$E460)=0),"세부유형이 직무구분과 불일치; ",""))&amp;IF(AND(업무일지!$F460&lt;&gt;"",COUNTIF(사건마스터!$A$5:$A$64,업무일지!$F460)=0),"미등록 사건번호; ","")&amp;IF(AND(업무일지!$F460="",업무일지!$H460=""),"사건번호·업무명 모두 없음; ","")&amp;IF(업무일지!$J460="","담당자 없음; ","")&amp;IF(COUNTIF(코드설정!$F$5:$F$7,업무일지!$AG460)=0,"진행상태 누락; ","")))</f>
        <v/>
      </c>
    </row>
    <row r="493">
      <c r="A493" s="26" t="inlineStr">
        <is>
          <t>업무일지</t>
        </is>
      </c>
      <c r="B493" s="66" t="n">
        <v>461</v>
      </c>
      <c r="C493" s="122">
        <f>IF($D493="","",IFERROR(TEXT(업무일지!$B461,"yyyy-mm-dd"),"(날짜없음)")&amp;"  "&amp;업무일지!$F461&amp;"  "&amp;업무일지!$H461)</f>
        <v/>
      </c>
      <c r="D493" s="122">
        <f>IF(NOT(COUNTBLANK(업무일지!$B461:$AH461)&lt;33),"",TRIM(IF(업무일지!$B461="","시작일 누락; ","")&amp;IF(업무일지!$C461="","종료일 누락; ","")&amp;IF(AND(업무일지!$B461&lt;&gt;"",업무일지!$C461&lt;&gt;"",업무일지!$C461&lt;업무일지!$B461),"종료일이 시작일보다 빠름; ","")&amp;IF(COUNTIF(코드설정!$H$5:$H$7,업무일지!$D461)=0,"직무구분 누락; ","")&amp;IF(업무일지!$E461="","세부유형 누락; ",IF(AND(업무일지!$D461&lt;&gt;"",COUNTIFS(코드설정!$A$5:$A$21,업무일지!$D461,코드설정!$B$5:$B$21,업무일지!$E461)=0),"세부유형이 직무구분과 불일치; ",""))&amp;IF(AND(업무일지!$F461&lt;&gt;"",COUNTIF(사건마스터!$A$5:$A$64,업무일지!$F461)=0),"미등록 사건번호; ","")&amp;IF(AND(업무일지!$F461="",업무일지!$H461=""),"사건번호·업무명 모두 없음; ","")&amp;IF(업무일지!$J461="","담당자 없음; ","")&amp;IF(COUNTIF(코드설정!$F$5:$F$7,업무일지!$AG461)=0,"진행상태 누락; ","")))</f>
        <v/>
      </c>
    </row>
    <row r="494">
      <c r="A494" s="26" t="inlineStr">
        <is>
          <t>업무일지</t>
        </is>
      </c>
      <c r="B494" s="66" t="n">
        <v>462</v>
      </c>
      <c r="C494" s="122">
        <f>IF($D494="","",IFERROR(TEXT(업무일지!$B462,"yyyy-mm-dd"),"(날짜없음)")&amp;"  "&amp;업무일지!$F462&amp;"  "&amp;업무일지!$H462)</f>
        <v/>
      </c>
      <c r="D494" s="122">
        <f>IF(NOT(COUNTBLANK(업무일지!$B462:$AH462)&lt;33),"",TRIM(IF(업무일지!$B462="","시작일 누락; ","")&amp;IF(업무일지!$C462="","종료일 누락; ","")&amp;IF(AND(업무일지!$B462&lt;&gt;"",업무일지!$C462&lt;&gt;"",업무일지!$C462&lt;업무일지!$B462),"종료일이 시작일보다 빠름; ","")&amp;IF(COUNTIF(코드설정!$H$5:$H$7,업무일지!$D462)=0,"직무구분 누락; ","")&amp;IF(업무일지!$E462="","세부유형 누락; ",IF(AND(업무일지!$D462&lt;&gt;"",COUNTIFS(코드설정!$A$5:$A$21,업무일지!$D462,코드설정!$B$5:$B$21,업무일지!$E462)=0),"세부유형이 직무구분과 불일치; ",""))&amp;IF(AND(업무일지!$F462&lt;&gt;"",COUNTIF(사건마스터!$A$5:$A$64,업무일지!$F462)=0),"미등록 사건번호; ","")&amp;IF(AND(업무일지!$F462="",업무일지!$H462=""),"사건번호·업무명 모두 없음; ","")&amp;IF(업무일지!$J462="","담당자 없음; ","")&amp;IF(COUNTIF(코드설정!$F$5:$F$7,업무일지!$AG462)=0,"진행상태 누락; ","")))</f>
        <v/>
      </c>
    </row>
    <row r="495">
      <c r="A495" s="26" t="inlineStr">
        <is>
          <t>업무일지</t>
        </is>
      </c>
      <c r="B495" s="66" t="n">
        <v>463</v>
      </c>
      <c r="C495" s="122">
        <f>IF($D495="","",IFERROR(TEXT(업무일지!$B463,"yyyy-mm-dd"),"(날짜없음)")&amp;"  "&amp;업무일지!$F463&amp;"  "&amp;업무일지!$H463)</f>
        <v/>
      </c>
      <c r="D495" s="122">
        <f>IF(NOT(COUNTBLANK(업무일지!$B463:$AH463)&lt;33),"",TRIM(IF(업무일지!$B463="","시작일 누락; ","")&amp;IF(업무일지!$C463="","종료일 누락; ","")&amp;IF(AND(업무일지!$B463&lt;&gt;"",업무일지!$C463&lt;&gt;"",업무일지!$C463&lt;업무일지!$B463),"종료일이 시작일보다 빠름; ","")&amp;IF(COUNTIF(코드설정!$H$5:$H$7,업무일지!$D463)=0,"직무구분 누락; ","")&amp;IF(업무일지!$E463="","세부유형 누락; ",IF(AND(업무일지!$D463&lt;&gt;"",COUNTIFS(코드설정!$A$5:$A$21,업무일지!$D463,코드설정!$B$5:$B$21,업무일지!$E463)=0),"세부유형이 직무구분과 불일치; ",""))&amp;IF(AND(업무일지!$F463&lt;&gt;"",COUNTIF(사건마스터!$A$5:$A$64,업무일지!$F463)=0),"미등록 사건번호; ","")&amp;IF(AND(업무일지!$F463="",업무일지!$H463=""),"사건번호·업무명 모두 없음; ","")&amp;IF(업무일지!$J463="","담당자 없음; ","")&amp;IF(COUNTIF(코드설정!$F$5:$F$7,업무일지!$AG463)=0,"진행상태 누락; ","")))</f>
        <v/>
      </c>
    </row>
    <row r="496">
      <c r="A496" s="26" t="inlineStr">
        <is>
          <t>업무일지</t>
        </is>
      </c>
      <c r="B496" s="66" t="n">
        <v>464</v>
      </c>
      <c r="C496" s="122">
        <f>IF($D496="","",IFERROR(TEXT(업무일지!$B464,"yyyy-mm-dd"),"(날짜없음)")&amp;"  "&amp;업무일지!$F464&amp;"  "&amp;업무일지!$H464)</f>
        <v/>
      </c>
      <c r="D496" s="122">
        <f>IF(NOT(COUNTBLANK(업무일지!$B464:$AH464)&lt;33),"",TRIM(IF(업무일지!$B464="","시작일 누락; ","")&amp;IF(업무일지!$C464="","종료일 누락; ","")&amp;IF(AND(업무일지!$B464&lt;&gt;"",업무일지!$C464&lt;&gt;"",업무일지!$C464&lt;업무일지!$B464),"종료일이 시작일보다 빠름; ","")&amp;IF(COUNTIF(코드설정!$H$5:$H$7,업무일지!$D464)=0,"직무구분 누락; ","")&amp;IF(업무일지!$E464="","세부유형 누락; ",IF(AND(업무일지!$D464&lt;&gt;"",COUNTIFS(코드설정!$A$5:$A$21,업무일지!$D464,코드설정!$B$5:$B$21,업무일지!$E464)=0),"세부유형이 직무구분과 불일치; ",""))&amp;IF(AND(업무일지!$F464&lt;&gt;"",COUNTIF(사건마스터!$A$5:$A$64,업무일지!$F464)=0),"미등록 사건번호; ","")&amp;IF(AND(업무일지!$F464="",업무일지!$H464=""),"사건번호·업무명 모두 없음; ","")&amp;IF(업무일지!$J464="","담당자 없음; ","")&amp;IF(COUNTIF(코드설정!$F$5:$F$7,업무일지!$AG464)=0,"진행상태 누락; ","")))</f>
        <v/>
      </c>
    </row>
    <row r="497">
      <c r="A497" s="26" t="inlineStr">
        <is>
          <t>업무일지</t>
        </is>
      </c>
      <c r="B497" s="66" t="n">
        <v>465</v>
      </c>
      <c r="C497" s="122">
        <f>IF($D497="","",IFERROR(TEXT(업무일지!$B465,"yyyy-mm-dd"),"(날짜없음)")&amp;"  "&amp;업무일지!$F465&amp;"  "&amp;업무일지!$H465)</f>
        <v/>
      </c>
      <c r="D497" s="122">
        <f>IF(NOT(COUNTBLANK(업무일지!$B465:$AH465)&lt;33),"",TRIM(IF(업무일지!$B465="","시작일 누락; ","")&amp;IF(업무일지!$C465="","종료일 누락; ","")&amp;IF(AND(업무일지!$B465&lt;&gt;"",업무일지!$C465&lt;&gt;"",업무일지!$C465&lt;업무일지!$B465),"종료일이 시작일보다 빠름; ","")&amp;IF(COUNTIF(코드설정!$H$5:$H$7,업무일지!$D465)=0,"직무구분 누락; ","")&amp;IF(업무일지!$E465="","세부유형 누락; ",IF(AND(업무일지!$D465&lt;&gt;"",COUNTIFS(코드설정!$A$5:$A$21,업무일지!$D465,코드설정!$B$5:$B$21,업무일지!$E465)=0),"세부유형이 직무구분과 불일치; ",""))&amp;IF(AND(업무일지!$F465&lt;&gt;"",COUNTIF(사건마스터!$A$5:$A$64,업무일지!$F465)=0),"미등록 사건번호; ","")&amp;IF(AND(업무일지!$F465="",업무일지!$H465=""),"사건번호·업무명 모두 없음; ","")&amp;IF(업무일지!$J465="","담당자 없음; ","")&amp;IF(COUNTIF(코드설정!$F$5:$F$7,업무일지!$AG465)=0,"진행상태 누락; ","")))</f>
        <v/>
      </c>
    </row>
    <row r="498">
      <c r="A498" s="26" t="inlineStr">
        <is>
          <t>업무일지</t>
        </is>
      </c>
      <c r="B498" s="66" t="n">
        <v>466</v>
      </c>
      <c r="C498" s="122">
        <f>IF($D498="","",IFERROR(TEXT(업무일지!$B466,"yyyy-mm-dd"),"(날짜없음)")&amp;"  "&amp;업무일지!$F466&amp;"  "&amp;업무일지!$H466)</f>
        <v/>
      </c>
      <c r="D498" s="122">
        <f>IF(NOT(COUNTBLANK(업무일지!$B466:$AH466)&lt;33),"",TRIM(IF(업무일지!$B466="","시작일 누락; ","")&amp;IF(업무일지!$C466="","종료일 누락; ","")&amp;IF(AND(업무일지!$B466&lt;&gt;"",업무일지!$C466&lt;&gt;"",업무일지!$C466&lt;업무일지!$B466),"종료일이 시작일보다 빠름; ","")&amp;IF(COUNTIF(코드설정!$H$5:$H$7,업무일지!$D466)=0,"직무구분 누락; ","")&amp;IF(업무일지!$E466="","세부유형 누락; ",IF(AND(업무일지!$D466&lt;&gt;"",COUNTIFS(코드설정!$A$5:$A$21,업무일지!$D466,코드설정!$B$5:$B$21,업무일지!$E466)=0),"세부유형이 직무구분과 불일치; ",""))&amp;IF(AND(업무일지!$F466&lt;&gt;"",COUNTIF(사건마스터!$A$5:$A$64,업무일지!$F466)=0),"미등록 사건번호; ","")&amp;IF(AND(업무일지!$F466="",업무일지!$H466=""),"사건번호·업무명 모두 없음; ","")&amp;IF(업무일지!$J466="","담당자 없음; ","")&amp;IF(COUNTIF(코드설정!$F$5:$F$7,업무일지!$AG466)=0,"진행상태 누락; ","")))</f>
        <v/>
      </c>
    </row>
    <row r="499">
      <c r="A499" s="26" t="inlineStr">
        <is>
          <t>업무일지</t>
        </is>
      </c>
      <c r="B499" s="66" t="n">
        <v>467</v>
      </c>
      <c r="C499" s="122">
        <f>IF($D499="","",IFERROR(TEXT(업무일지!$B467,"yyyy-mm-dd"),"(날짜없음)")&amp;"  "&amp;업무일지!$F467&amp;"  "&amp;업무일지!$H467)</f>
        <v/>
      </c>
      <c r="D499" s="122">
        <f>IF(NOT(COUNTBLANK(업무일지!$B467:$AH467)&lt;33),"",TRIM(IF(업무일지!$B467="","시작일 누락; ","")&amp;IF(업무일지!$C467="","종료일 누락; ","")&amp;IF(AND(업무일지!$B467&lt;&gt;"",업무일지!$C467&lt;&gt;"",업무일지!$C467&lt;업무일지!$B467),"종료일이 시작일보다 빠름; ","")&amp;IF(COUNTIF(코드설정!$H$5:$H$7,업무일지!$D467)=0,"직무구분 누락; ","")&amp;IF(업무일지!$E467="","세부유형 누락; ",IF(AND(업무일지!$D467&lt;&gt;"",COUNTIFS(코드설정!$A$5:$A$21,업무일지!$D467,코드설정!$B$5:$B$21,업무일지!$E467)=0),"세부유형이 직무구분과 불일치; ",""))&amp;IF(AND(업무일지!$F467&lt;&gt;"",COUNTIF(사건마스터!$A$5:$A$64,업무일지!$F467)=0),"미등록 사건번호; ","")&amp;IF(AND(업무일지!$F467="",업무일지!$H467=""),"사건번호·업무명 모두 없음; ","")&amp;IF(업무일지!$J467="","담당자 없음; ","")&amp;IF(COUNTIF(코드설정!$F$5:$F$7,업무일지!$AG467)=0,"진행상태 누락; ","")))</f>
        <v/>
      </c>
    </row>
    <row r="500">
      <c r="A500" s="26" t="inlineStr">
        <is>
          <t>업무일지</t>
        </is>
      </c>
      <c r="B500" s="66" t="n">
        <v>468</v>
      </c>
      <c r="C500" s="122">
        <f>IF($D500="","",IFERROR(TEXT(업무일지!$B468,"yyyy-mm-dd"),"(날짜없음)")&amp;"  "&amp;업무일지!$F468&amp;"  "&amp;업무일지!$H468)</f>
        <v/>
      </c>
      <c r="D500" s="122">
        <f>IF(NOT(COUNTBLANK(업무일지!$B468:$AH468)&lt;33),"",TRIM(IF(업무일지!$B468="","시작일 누락; ","")&amp;IF(업무일지!$C468="","종료일 누락; ","")&amp;IF(AND(업무일지!$B468&lt;&gt;"",업무일지!$C468&lt;&gt;"",업무일지!$C468&lt;업무일지!$B468),"종료일이 시작일보다 빠름; ","")&amp;IF(COUNTIF(코드설정!$H$5:$H$7,업무일지!$D468)=0,"직무구분 누락; ","")&amp;IF(업무일지!$E468="","세부유형 누락; ",IF(AND(업무일지!$D468&lt;&gt;"",COUNTIFS(코드설정!$A$5:$A$21,업무일지!$D468,코드설정!$B$5:$B$21,업무일지!$E468)=0),"세부유형이 직무구분과 불일치; ",""))&amp;IF(AND(업무일지!$F468&lt;&gt;"",COUNTIF(사건마스터!$A$5:$A$64,업무일지!$F468)=0),"미등록 사건번호; ","")&amp;IF(AND(업무일지!$F468="",업무일지!$H468=""),"사건번호·업무명 모두 없음; ","")&amp;IF(업무일지!$J468="","담당자 없음; ","")&amp;IF(COUNTIF(코드설정!$F$5:$F$7,업무일지!$AG468)=0,"진행상태 누락; ","")))</f>
        <v/>
      </c>
    </row>
    <row r="501">
      <c r="A501" s="26" t="inlineStr">
        <is>
          <t>업무일지</t>
        </is>
      </c>
      <c r="B501" s="66" t="n">
        <v>469</v>
      </c>
      <c r="C501" s="122">
        <f>IF($D501="","",IFERROR(TEXT(업무일지!$B469,"yyyy-mm-dd"),"(날짜없음)")&amp;"  "&amp;업무일지!$F469&amp;"  "&amp;업무일지!$H469)</f>
        <v/>
      </c>
      <c r="D501" s="122">
        <f>IF(NOT(COUNTBLANK(업무일지!$B469:$AH469)&lt;33),"",TRIM(IF(업무일지!$B469="","시작일 누락; ","")&amp;IF(업무일지!$C469="","종료일 누락; ","")&amp;IF(AND(업무일지!$B469&lt;&gt;"",업무일지!$C469&lt;&gt;"",업무일지!$C469&lt;업무일지!$B469),"종료일이 시작일보다 빠름; ","")&amp;IF(COUNTIF(코드설정!$H$5:$H$7,업무일지!$D469)=0,"직무구분 누락; ","")&amp;IF(업무일지!$E469="","세부유형 누락; ",IF(AND(업무일지!$D469&lt;&gt;"",COUNTIFS(코드설정!$A$5:$A$21,업무일지!$D469,코드설정!$B$5:$B$21,업무일지!$E469)=0),"세부유형이 직무구분과 불일치; ",""))&amp;IF(AND(업무일지!$F469&lt;&gt;"",COUNTIF(사건마스터!$A$5:$A$64,업무일지!$F469)=0),"미등록 사건번호; ","")&amp;IF(AND(업무일지!$F469="",업무일지!$H469=""),"사건번호·업무명 모두 없음; ","")&amp;IF(업무일지!$J469="","담당자 없음; ","")&amp;IF(COUNTIF(코드설정!$F$5:$F$7,업무일지!$AG469)=0,"진행상태 누락; ","")))</f>
        <v/>
      </c>
    </row>
    <row r="502">
      <c r="A502" s="26" t="inlineStr">
        <is>
          <t>업무일지</t>
        </is>
      </c>
      <c r="B502" s="66" t="n">
        <v>470</v>
      </c>
      <c r="C502" s="122">
        <f>IF($D502="","",IFERROR(TEXT(업무일지!$B470,"yyyy-mm-dd"),"(날짜없음)")&amp;"  "&amp;업무일지!$F470&amp;"  "&amp;업무일지!$H470)</f>
        <v/>
      </c>
      <c r="D502" s="122">
        <f>IF(NOT(COUNTBLANK(업무일지!$B470:$AH470)&lt;33),"",TRIM(IF(업무일지!$B470="","시작일 누락; ","")&amp;IF(업무일지!$C470="","종료일 누락; ","")&amp;IF(AND(업무일지!$B470&lt;&gt;"",업무일지!$C470&lt;&gt;"",업무일지!$C470&lt;업무일지!$B470),"종료일이 시작일보다 빠름; ","")&amp;IF(COUNTIF(코드설정!$H$5:$H$7,업무일지!$D470)=0,"직무구분 누락; ","")&amp;IF(업무일지!$E470="","세부유형 누락; ",IF(AND(업무일지!$D470&lt;&gt;"",COUNTIFS(코드설정!$A$5:$A$21,업무일지!$D470,코드설정!$B$5:$B$21,업무일지!$E470)=0),"세부유형이 직무구분과 불일치; ",""))&amp;IF(AND(업무일지!$F470&lt;&gt;"",COUNTIF(사건마스터!$A$5:$A$64,업무일지!$F470)=0),"미등록 사건번호; ","")&amp;IF(AND(업무일지!$F470="",업무일지!$H470=""),"사건번호·업무명 모두 없음; ","")&amp;IF(업무일지!$J470="","담당자 없음; ","")&amp;IF(COUNTIF(코드설정!$F$5:$F$7,업무일지!$AG470)=0,"진행상태 누락; ","")))</f>
        <v/>
      </c>
    </row>
    <row r="503">
      <c r="A503" s="26" t="inlineStr">
        <is>
          <t>업무일지</t>
        </is>
      </c>
      <c r="B503" s="66" t="n">
        <v>471</v>
      </c>
      <c r="C503" s="122">
        <f>IF($D503="","",IFERROR(TEXT(업무일지!$B471,"yyyy-mm-dd"),"(날짜없음)")&amp;"  "&amp;업무일지!$F471&amp;"  "&amp;업무일지!$H471)</f>
        <v/>
      </c>
      <c r="D503" s="122">
        <f>IF(NOT(COUNTBLANK(업무일지!$B471:$AH471)&lt;33),"",TRIM(IF(업무일지!$B471="","시작일 누락; ","")&amp;IF(업무일지!$C471="","종료일 누락; ","")&amp;IF(AND(업무일지!$B471&lt;&gt;"",업무일지!$C471&lt;&gt;"",업무일지!$C471&lt;업무일지!$B471),"종료일이 시작일보다 빠름; ","")&amp;IF(COUNTIF(코드설정!$H$5:$H$7,업무일지!$D471)=0,"직무구분 누락; ","")&amp;IF(업무일지!$E471="","세부유형 누락; ",IF(AND(업무일지!$D471&lt;&gt;"",COUNTIFS(코드설정!$A$5:$A$21,업무일지!$D471,코드설정!$B$5:$B$21,업무일지!$E471)=0),"세부유형이 직무구분과 불일치; ",""))&amp;IF(AND(업무일지!$F471&lt;&gt;"",COUNTIF(사건마스터!$A$5:$A$64,업무일지!$F471)=0),"미등록 사건번호; ","")&amp;IF(AND(업무일지!$F471="",업무일지!$H471=""),"사건번호·업무명 모두 없음; ","")&amp;IF(업무일지!$J471="","담당자 없음; ","")&amp;IF(COUNTIF(코드설정!$F$5:$F$7,업무일지!$AG471)=0,"진행상태 누락; ","")))</f>
        <v/>
      </c>
    </row>
    <row r="504">
      <c r="A504" s="26" t="inlineStr">
        <is>
          <t>업무일지</t>
        </is>
      </c>
      <c r="B504" s="66" t="n">
        <v>472</v>
      </c>
      <c r="C504" s="122">
        <f>IF($D504="","",IFERROR(TEXT(업무일지!$B472,"yyyy-mm-dd"),"(날짜없음)")&amp;"  "&amp;업무일지!$F472&amp;"  "&amp;업무일지!$H472)</f>
        <v/>
      </c>
      <c r="D504" s="122">
        <f>IF(NOT(COUNTBLANK(업무일지!$B472:$AH472)&lt;33),"",TRIM(IF(업무일지!$B472="","시작일 누락; ","")&amp;IF(업무일지!$C472="","종료일 누락; ","")&amp;IF(AND(업무일지!$B472&lt;&gt;"",업무일지!$C472&lt;&gt;"",업무일지!$C472&lt;업무일지!$B472),"종료일이 시작일보다 빠름; ","")&amp;IF(COUNTIF(코드설정!$H$5:$H$7,업무일지!$D472)=0,"직무구분 누락; ","")&amp;IF(업무일지!$E472="","세부유형 누락; ",IF(AND(업무일지!$D472&lt;&gt;"",COUNTIFS(코드설정!$A$5:$A$21,업무일지!$D472,코드설정!$B$5:$B$21,업무일지!$E472)=0),"세부유형이 직무구분과 불일치; ",""))&amp;IF(AND(업무일지!$F472&lt;&gt;"",COUNTIF(사건마스터!$A$5:$A$64,업무일지!$F472)=0),"미등록 사건번호; ","")&amp;IF(AND(업무일지!$F472="",업무일지!$H472=""),"사건번호·업무명 모두 없음; ","")&amp;IF(업무일지!$J472="","담당자 없음; ","")&amp;IF(COUNTIF(코드설정!$F$5:$F$7,업무일지!$AG472)=0,"진행상태 누락; ","")))</f>
        <v/>
      </c>
    </row>
    <row r="505">
      <c r="A505" s="26" t="inlineStr">
        <is>
          <t>업무일지</t>
        </is>
      </c>
      <c r="B505" s="66" t="n">
        <v>473</v>
      </c>
      <c r="C505" s="122">
        <f>IF($D505="","",IFERROR(TEXT(업무일지!$B473,"yyyy-mm-dd"),"(날짜없음)")&amp;"  "&amp;업무일지!$F473&amp;"  "&amp;업무일지!$H473)</f>
        <v/>
      </c>
      <c r="D505" s="122">
        <f>IF(NOT(COUNTBLANK(업무일지!$B473:$AH473)&lt;33),"",TRIM(IF(업무일지!$B473="","시작일 누락; ","")&amp;IF(업무일지!$C473="","종료일 누락; ","")&amp;IF(AND(업무일지!$B473&lt;&gt;"",업무일지!$C473&lt;&gt;"",업무일지!$C473&lt;업무일지!$B473),"종료일이 시작일보다 빠름; ","")&amp;IF(COUNTIF(코드설정!$H$5:$H$7,업무일지!$D473)=0,"직무구분 누락; ","")&amp;IF(업무일지!$E473="","세부유형 누락; ",IF(AND(업무일지!$D473&lt;&gt;"",COUNTIFS(코드설정!$A$5:$A$21,업무일지!$D473,코드설정!$B$5:$B$21,업무일지!$E473)=0),"세부유형이 직무구분과 불일치; ",""))&amp;IF(AND(업무일지!$F473&lt;&gt;"",COUNTIF(사건마스터!$A$5:$A$64,업무일지!$F473)=0),"미등록 사건번호; ","")&amp;IF(AND(업무일지!$F473="",업무일지!$H473=""),"사건번호·업무명 모두 없음; ","")&amp;IF(업무일지!$J473="","담당자 없음; ","")&amp;IF(COUNTIF(코드설정!$F$5:$F$7,업무일지!$AG473)=0,"진행상태 누락; ","")))</f>
        <v/>
      </c>
    </row>
    <row r="506">
      <c r="A506" s="26" t="inlineStr">
        <is>
          <t>업무일지</t>
        </is>
      </c>
      <c r="B506" s="66" t="n">
        <v>474</v>
      </c>
      <c r="C506" s="122">
        <f>IF($D506="","",IFERROR(TEXT(업무일지!$B474,"yyyy-mm-dd"),"(날짜없음)")&amp;"  "&amp;업무일지!$F474&amp;"  "&amp;업무일지!$H474)</f>
        <v/>
      </c>
      <c r="D506" s="122">
        <f>IF(NOT(COUNTBLANK(업무일지!$B474:$AH474)&lt;33),"",TRIM(IF(업무일지!$B474="","시작일 누락; ","")&amp;IF(업무일지!$C474="","종료일 누락; ","")&amp;IF(AND(업무일지!$B474&lt;&gt;"",업무일지!$C474&lt;&gt;"",업무일지!$C474&lt;업무일지!$B474),"종료일이 시작일보다 빠름; ","")&amp;IF(COUNTIF(코드설정!$H$5:$H$7,업무일지!$D474)=0,"직무구분 누락; ","")&amp;IF(업무일지!$E474="","세부유형 누락; ",IF(AND(업무일지!$D474&lt;&gt;"",COUNTIFS(코드설정!$A$5:$A$21,업무일지!$D474,코드설정!$B$5:$B$21,업무일지!$E474)=0),"세부유형이 직무구분과 불일치; ",""))&amp;IF(AND(업무일지!$F474&lt;&gt;"",COUNTIF(사건마스터!$A$5:$A$64,업무일지!$F474)=0),"미등록 사건번호; ","")&amp;IF(AND(업무일지!$F474="",업무일지!$H474=""),"사건번호·업무명 모두 없음; ","")&amp;IF(업무일지!$J474="","담당자 없음; ","")&amp;IF(COUNTIF(코드설정!$F$5:$F$7,업무일지!$AG474)=0,"진행상태 누락; ","")))</f>
        <v/>
      </c>
    </row>
    <row r="507">
      <c r="A507" s="26" t="inlineStr">
        <is>
          <t>업무일지</t>
        </is>
      </c>
      <c r="B507" s="66" t="n">
        <v>475</v>
      </c>
      <c r="C507" s="122">
        <f>IF($D507="","",IFERROR(TEXT(업무일지!$B475,"yyyy-mm-dd"),"(날짜없음)")&amp;"  "&amp;업무일지!$F475&amp;"  "&amp;업무일지!$H475)</f>
        <v/>
      </c>
      <c r="D507" s="122">
        <f>IF(NOT(COUNTBLANK(업무일지!$B475:$AH475)&lt;33),"",TRIM(IF(업무일지!$B475="","시작일 누락; ","")&amp;IF(업무일지!$C475="","종료일 누락; ","")&amp;IF(AND(업무일지!$B475&lt;&gt;"",업무일지!$C475&lt;&gt;"",업무일지!$C475&lt;업무일지!$B475),"종료일이 시작일보다 빠름; ","")&amp;IF(COUNTIF(코드설정!$H$5:$H$7,업무일지!$D475)=0,"직무구분 누락; ","")&amp;IF(업무일지!$E475="","세부유형 누락; ",IF(AND(업무일지!$D475&lt;&gt;"",COUNTIFS(코드설정!$A$5:$A$21,업무일지!$D475,코드설정!$B$5:$B$21,업무일지!$E475)=0),"세부유형이 직무구분과 불일치; ",""))&amp;IF(AND(업무일지!$F475&lt;&gt;"",COUNTIF(사건마스터!$A$5:$A$64,업무일지!$F475)=0),"미등록 사건번호; ","")&amp;IF(AND(업무일지!$F475="",업무일지!$H475=""),"사건번호·업무명 모두 없음; ","")&amp;IF(업무일지!$J475="","담당자 없음; ","")&amp;IF(COUNTIF(코드설정!$F$5:$F$7,업무일지!$AG475)=0,"진행상태 누락; ","")))</f>
        <v/>
      </c>
    </row>
    <row r="508">
      <c r="A508" s="26" t="inlineStr">
        <is>
          <t>업무일지</t>
        </is>
      </c>
      <c r="B508" s="66" t="n">
        <v>476</v>
      </c>
      <c r="C508" s="122">
        <f>IF($D508="","",IFERROR(TEXT(업무일지!$B476,"yyyy-mm-dd"),"(날짜없음)")&amp;"  "&amp;업무일지!$F476&amp;"  "&amp;업무일지!$H476)</f>
        <v/>
      </c>
      <c r="D508" s="122">
        <f>IF(NOT(COUNTBLANK(업무일지!$B476:$AH476)&lt;33),"",TRIM(IF(업무일지!$B476="","시작일 누락; ","")&amp;IF(업무일지!$C476="","종료일 누락; ","")&amp;IF(AND(업무일지!$B476&lt;&gt;"",업무일지!$C476&lt;&gt;"",업무일지!$C476&lt;업무일지!$B476),"종료일이 시작일보다 빠름; ","")&amp;IF(COUNTIF(코드설정!$H$5:$H$7,업무일지!$D476)=0,"직무구분 누락; ","")&amp;IF(업무일지!$E476="","세부유형 누락; ",IF(AND(업무일지!$D476&lt;&gt;"",COUNTIFS(코드설정!$A$5:$A$21,업무일지!$D476,코드설정!$B$5:$B$21,업무일지!$E476)=0),"세부유형이 직무구분과 불일치; ",""))&amp;IF(AND(업무일지!$F476&lt;&gt;"",COUNTIF(사건마스터!$A$5:$A$64,업무일지!$F476)=0),"미등록 사건번호; ","")&amp;IF(AND(업무일지!$F476="",업무일지!$H476=""),"사건번호·업무명 모두 없음; ","")&amp;IF(업무일지!$J476="","담당자 없음; ","")&amp;IF(COUNTIF(코드설정!$F$5:$F$7,업무일지!$AG476)=0,"진행상태 누락; ","")))</f>
        <v/>
      </c>
    </row>
    <row r="509">
      <c r="A509" s="26" t="inlineStr">
        <is>
          <t>업무일지</t>
        </is>
      </c>
      <c r="B509" s="66" t="n">
        <v>477</v>
      </c>
      <c r="C509" s="122">
        <f>IF($D509="","",IFERROR(TEXT(업무일지!$B477,"yyyy-mm-dd"),"(날짜없음)")&amp;"  "&amp;업무일지!$F477&amp;"  "&amp;업무일지!$H477)</f>
        <v/>
      </c>
      <c r="D509" s="122">
        <f>IF(NOT(COUNTBLANK(업무일지!$B477:$AH477)&lt;33),"",TRIM(IF(업무일지!$B477="","시작일 누락; ","")&amp;IF(업무일지!$C477="","종료일 누락; ","")&amp;IF(AND(업무일지!$B477&lt;&gt;"",업무일지!$C477&lt;&gt;"",업무일지!$C477&lt;업무일지!$B477),"종료일이 시작일보다 빠름; ","")&amp;IF(COUNTIF(코드설정!$H$5:$H$7,업무일지!$D477)=0,"직무구분 누락; ","")&amp;IF(업무일지!$E477="","세부유형 누락; ",IF(AND(업무일지!$D477&lt;&gt;"",COUNTIFS(코드설정!$A$5:$A$21,업무일지!$D477,코드설정!$B$5:$B$21,업무일지!$E477)=0),"세부유형이 직무구분과 불일치; ",""))&amp;IF(AND(업무일지!$F477&lt;&gt;"",COUNTIF(사건마스터!$A$5:$A$64,업무일지!$F477)=0),"미등록 사건번호; ","")&amp;IF(AND(업무일지!$F477="",업무일지!$H477=""),"사건번호·업무명 모두 없음; ","")&amp;IF(업무일지!$J477="","담당자 없음; ","")&amp;IF(COUNTIF(코드설정!$F$5:$F$7,업무일지!$AG477)=0,"진행상태 누락; ","")))</f>
        <v/>
      </c>
    </row>
    <row r="510">
      <c r="A510" s="26" t="inlineStr">
        <is>
          <t>업무일지</t>
        </is>
      </c>
      <c r="B510" s="66" t="n">
        <v>478</v>
      </c>
      <c r="C510" s="122">
        <f>IF($D510="","",IFERROR(TEXT(업무일지!$B478,"yyyy-mm-dd"),"(날짜없음)")&amp;"  "&amp;업무일지!$F478&amp;"  "&amp;업무일지!$H478)</f>
        <v/>
      </c>
      <c r="D510" s="122">
        <f>IF(NOT(COUNTBLANK(업무일지!$B478:$AH478)&lt;33),"",TRIM(IF(업무일지!$B478="","시작일 누락; ","")&amp;IF(업무일지!$C478="","종료일 누락; ","")&amp;IF(AND(업무일지!$B478&lt;&gt;"",업무일지!$C478&lt;&gt;"",업무일지!$C478&lt;업무일지!$B478),"종료일이 시작일보다 빠름; ","")&amp;IF(COUNTIF(코드설정!$H$5:$H$7,업무일지!$D478)=0,"직무구분 누락; ","")&amp;IF(업무일지!$E478="","세부유형 누락; ",IF(AND(업무일지!$D478&lt;&gt;"",COUNTIFS(코드설정!$A$5:$A$21,업무일지!$D478,코드설정!$B$5:$B$21,업무일지!$E478)=0),"세부유형이 직무구분과 불일치; ",""))&amp;IF(AND(업무일지!$F478&lt;&gt;"",COUNTIF(사건마스터!$A$5:$A$64,업무일지!$F478)=0),"미등록 사건번호; ","")&amp;IF(AND(업무일지!$F478="",업무일지!$H478=""),"사건번호·업무명 모두 없음; ","")&amp;IF(업무일지!$J478="","담당자 없음; ","")&amp;IF(COUNTIF(코드설정!$F$5:$F$7,업무일지!$AG478)=0,"진행상태 누락; ","")))</f>
        <v/>
      </c>
    </row>
    <row r="511">
      <c r="A511" s="26" t="inlineStr">
        <is>
          <t>업무일지</t>
        </is>
      </c>
      <c r="B511" s="66" t="n">
        <v>479</v>
      </c>
      <c r="C511" s="122">
        <f>IF($D511="","",IFERROR(TEXT(업무일지!$B479,"yyyy-mm-dd"),"(날짜없음)")&amp;"  "&amp;업무일지!$F479&amp;"  "&amp;업무일지!$H479)</f>
        <v/>
      </c>
      <c r="D511" s="122">
        <f>IF(NOT(COUNTBLANK(업무일지!$B479:$AH479)&lt;33),"",TRIM(IF(업무일지!$B479="","시작일 누락; ","")&amp;IF(업무일지!$C479="","종료일 누락; ","")&amp;IF(AND(업무일지!$B479&lt;&gt;"",업무일지!$C479&lt;&gt;"",업무일지!$C479&lt;업무일지!$B479),"종료일이 시작일보다 빠름; ","")&amp;IF(COUNTIF(코드설정!$H$5:$H$7,업무일지!$D479)=0,"직무구분 누락; ","")&amp;IF(업무일지!$E479="","세부유형 누락; ",IF(AND(업무일지!$D479&lt;&gt;"",COUNTIFS(코드설정!$A$5:$A$21,업무일지!$D479,코드설정!$B$5:$B$21,업무일지!$E479)=0),"세부유형이 직무구분과 불일치; ",""))&amp;IF(AND(업무일지!$F479&lt;&gt;"",COUNTIF(사건마스터!$A$5:$A$64,업무일지!$F479)=0),"미등록 사건번호; ","")&amp;IF(AND(업무일지!$F479="",업무일지!$H479=""),"사건번호·업무명 모두 없음; ","")&amp;IF(업무일지!$J479="","담당자 없음; ","")&amp;IF(COUNTIF(코드설정!$F$5:$F$7,업무일지!$AG479)=0,"진행상태 누락; ","")))</f>
        <v/>
      </c>
    </row>
    <row r="512">
      <c r="A512" s="26" t="inlineStr">
        <is>
          <t>업무일지</t>
        </is>
      </c>
      <c r="B512" s="66" t="n">
        <v>480</v>
      </c>
      <c r="C512" s="122">
        <f>IF($D512="","",IFERROR(TEXT(업무일지!$B480,"yyyy-mm-dd"),"(날짜없음)")&amp;"  "&amp;업무일지!$F480&amp;"  "&amp;업무일지!$H480)</f>
        <v/>
      </c>
      <c r="D512" s="122">
        <f>IF(NOT(COUNTBLANK(업무일지!$B480:$AH480)&lt;33),"",TRIM(IF(업무일지!$B480="","시작일 누락; ","")&amp;IF(업무일지!$C480="","종료일 누락; ","")&amp;IF(AND(업무일지!$B480&lt;&gt;"",업무일지!$C480&lt;&gt;"",업무일지!$C480&lt;업무일지!$B480),"종료일이 시작일보다 빠름; ","")&amp;IF(COUNTIF(코드설정!$H$5:$H$7,업무일지!$D480)=0,"직무구분 누락; ","")&amp;IF(업무일지!$E480="","세부유형 누락; ",IF(AND(업무일지!$D480&lt;&gt;"",COUNTIFS(코드설정!$A$5:$A$21,업무일지!$D480,코드설정!$B$5:$B$21,업무일지!$E480)=0),"세부유형이 직무구분과 불일치; ",""))&amp;IF(AND(업무일지!$F480&lt;&gt;"",COUNTIF(사건마스터!$A$5:$A$64,업무일지!$F480)=0),"미등록 사건번호; ","")&amp;IF(AND(업무일지!$F480="",업무일지!$H480=""),"사건번호·업무명 모두 없음; ","")&amp;IF(업무일지!$J480="","담당자 없음; ","")&amp;IF(COUNTIF(코드설정!$F$5:$F$7,업무일지!$AG480)=0,"진행상태 누락; ","")))</f>
        <v/>
      </c>
    </row>
    <row r="513">
      <c r="A513" s="26" t="inlineStr">
        <is>
          <t>업무일지</t>
        </is>
      </c>
      <c r="B513" s="66" t="n">
        <v>481</v>
      </c>
      <c r="C513" s="122">
        <f>IF($D513="","",IFERROR(TEXT(업무일지!$B481,"yyyy-mm-dd"),"(날짜없음)")&amp;"  "&amp;업무일지!$F481&amp;"  "&amp;업무일지!$H481)</f>
        <v/>
      </c>
      <c r="D513" s="122">
        <f>IF(NOT(COUNTBLANK(업무일지!$B481:$AH481)&lt;33),"",TRIM(IF(업무일지!$B481="","시작일 누락; ","")&amp;IF(업무일지!$C481="","종료일 누락; ","")&amp;IF(AND(업무일지!$B481&lt;&gt;"",업무일지!$C481&lt;&gt;"",업무일지!$C481&lt;업무일지!$B481),"종료일이 시작일보다 빠름; ","")&amp;IF(COUNTIF(코드설정!$H$5:$H$7,업무일지!$D481)=0,"직무구분 누락; ","")&amp;IF(업무일지!$E481="","세부유형 누락; ",IF(AND(업무일지!$D481&lt;&gt;"",COUNTIFS(코드설정!$A$5:$A$21,업무일지!$D481,코드설정!$B$5:$B$21,업무일지!$E481)=0),"세부유형이 직무구분과 불일치; ",""))&amp;IF(AND(업무일지!$F481&lt;&gt;"",COUNTIF(사건마스터!$A$5:$A$64,업무일지!$F481)=0),"미등록 사건번호; ","")&amp;IF(AND(업무일지!$F481="",업무일지!$H481=""),"사건번호·업무명 모두 없음; ","")&amp;IF(업무일지!$J481="","담당자 없음; ","")&amp;IF(COUNTIF(코드설정!$F$5:$F$7,업무일지!$AG481)=0,"진행상태 누락; ","")))</f>
        <v/>
      </c>
    </row>
    <row r="514">
      <c r="A514" s="26" t="inlineStr">
        <is>
          <t>업무일지</t>
        </is>
      </c>
      <c r="B514" s="66" t="n">
        <v>482</v>
      </c>
      <c r="C514" s="122">
        <f>IF($D514="","",IFERROR(TEXT(업무일지!$B482,"yyyy-mm-dd"),"(날짜없음)")&amp;"  "&amp;업무일지!$F482&amp;"  "&amp;업무일지!$H482)</f>
        <v/>
      </c>
      <c r="D514" s="122">
        <f>IF(NOT(COUNTBLANK(업무일지!$B482:$AH482)&lt;33),"",TRIM(IF(업무일지!$B482="","시작일 누락; ","")&amp;IF(업무일지!$C482="","종료일 누락; ","")&amp;IF(AND(업무일지!$B482&lt;&gt;"",업무일지!$C482&lt;&gt;"",업무일지!$C482&lt;업무일지!$B482),"종료일이 시작일보다 빠름; ","")&amp;IF(COUNTIF(코드설정!$H$5:$H$7,업무일지!$D482)=0,"직무구분 누락; ","")&amp;IF(업무일지!$E482="","세부유형 누락; ",IF(AND(업무일지!$D482&lt;&gt;"",COUNTIFS(코드설정!$A$5:$A$21,업무일지!$D482,코드설정!$B$5:$B$21,업무일지!$E482)=0),"세부유형이 직무구분과 불일치; ",""))&amp;IF(AND(업무일지!$F482&lt;&gt;"",COUNTIF(사건마스터!$A$5:$A$64,업무일지!$F482)=0),"미등록 사건번호; ","")&amp;IF(AND(업무일지!$F482="",업무일지!$H482=""),"사건번호·업무명 모두 없음; ","")&amp;IF(업무일지!$J482="","담당자 없음; ","")&amp;IF(COUNTIF(코드설정!$F$5:$F$7,업무일지!$AG482)=0,"진행상태 누락; ","")))</f>
        <v/>
      </c>
    </row>
    <row r="515">
      <c r="A515" s="26" t="inlineStr">
        <is>
          <t>업무일지</t>
        </is>
      </c>
      <c r="B515" s="66" t="n">
        <v>483</v>
      </c>
      <c r="C515" s="122">
        <f>IF($D515="","",IFERROR(TEXT(업무일지!$B483,"yyyy-mm-dd"),"(날짜없음)")&amp;"  "&amp;업무일지!$F483&amp;"  "&amp;업무일지!$H483)</f>
        <v/>
      </c>
      <c r="D515" s="122">
        <f>IF(NOT(COUNTBLANK(업무일지!$B483:$AH483)&lt;33),"",TRIM(IF(업무일지!$B483="","시작일 누락; ","")&amp;IF(업무일지!$C483="","종료일 누락; ","")&amp;IF(AND(업무일지!$B483&lt;&gt;"",업무일지!$C483&lt;&gt;"",업무일지!$C483&lt;업무일지!$B483),"종료일이 시작일보다 빠름; ","")&amp;IF(COUNTIF(코드설정!$H$5:$H$7,업무일지!$D483)=0,"직무구분 누락; ","")&amp;IF(업무일지!$E483="","세부유형 누락; ",IF(AND(업무일지!$D483&lt;&gt;"",COUNTIFS(코드설정!$A$5:$A$21,업무일지!$D483,코드설정!$B$5:$B$21,업무일지!$E483)=0),"세부유형이 직무구분과 불일치; ",""))&amp;IF(AND(업무일지!$F483&lt;&gt;"",COUNTIF(사건마스터!$A$5:$A$64,업무일지!$F483)=0),"미등록 사건번호; ","")&amp;IF(AND(업무일지!$F483="",업무일지!$H483=""),"사건번호·업무명 모두 없음; ","")&amp;IF(업무일지!$J483="","담당자 없음; ","")&amp;IF(COUNTIF(코드설정!$F$5:$F$7,업무일지!$AG483)=0,"진행상태 누락; ","")))</f>
        <v/>
      </c>
    </row>
    <row r="516">
      <c r="A516" s="26" t="inlineStr">
        <is>
          <t>업무일지</t>
        </is>
      </c>
      <c r="B516" s="66" t="n">
        <v>484</v>
      </c>
      <c r="C516" s="122">
        <f>IF($D516="","",IFERROR(TEXT(업무일지!$B484,"yyyy-mm-dd"),"(날짜없음)")&amp;"  "&amp;업무일지!$F484&amp;"  "&amp;업무일지!$H484)</f>
        <v/>
      </c>
      <c r="D516" s="122">
        <f>IF(NOT(COUNTBLANK(업무일지!$B484:$AH484)&lt;33),"",TRIM(IF(업무일지!$B484="","시작일 누락; ","")&amp;IF(업무일지!$C484="","종료일 누락; ","")&amp;IF(AND(업무일지!$B484&lt;&gt;"",업무일지!$C484&lt;&gt;"",업무일지!$C484&lt;업무일지!$B484),"종료일이 시작일보다 빠름; ","")&amp;IF(COUNTIF(코드설정!$H$5:$H$7,업무일지!$D484)=0,"직무구분 누락; ","")&amp;IF(업무일지!$E484="","세부유형 누락; ",IF(AND(업무일지!$D484&lt;&gt;"",COUNTIFS(코드설정!$A$5:$A$21,업무일지!$D484,코드설정!$B$5:$B$21,업무일지!$E484)=0),"세부유형이 직무구분과 불일치; ",""))&amp;IF(AND(업무일지!$F484&lt;&gt;"",COUNTIF(사건마스터!$A$5:$A$64,업무일지!$F484)=0),"미등록 사건번호; ","")&amp;IF(AND(업무일지!$F484="",업무일지!$H484=""),"사건번호·업무명 모두 없음; ","")&amp;IF(업무일지!$J484="","담당자 없음; ","")&amp;IF(COUNTIF(코드설정!$F$5:$F$7,업무일지!$AG484)=0,"진행상태 누락; ","")))</f>
        <v/>
      </c>
    </row>
    <row r="517">
      <c r="A517" s="26" t="inlineStr">
        <is>
          <t>업무일지</t>
        </is>
      </c>
      <c r="B517" s="66" t="n">
        <v>485</v>
      </c>
      <c r="C517" s="122">
        <f>IF($D517="","",IFERROR(TEXT(업무일지!$B485,"yyyy-mm-dd"),"(날짜없음)")&amp;"  "&amp;업무일지!$F485&amp;"  "&amp;업무일지!$H485)</f>
        <v/>
      </c>
      <c r="D517" s="122">
        <f>IF(NOT(COUNTBLANK(업무일지!$B485:$AH485)&lt;33),"",TRIM(IF(업무일지!$B485="","시작일 누락; ","")&amp;IF(업무일지!$C485="","종료일 누락; ","")&amp;IF(AND(업무일지!$B485&lt;&gt;"",업무일지!$C485&lt;&gt;"",업무일지!$C485&lt;업무일지!$B485),"종료일이 시작일보다 빠름; ","")&amp;IF(COUNTIF(코드설정!$H$5:$H$7,업무일지!$D485)=0,"직무구분 누락; ","")&amp;IF(업무일지!$E485="","세부유형 누락; ",IF(AND(업무일지!$D485&lt;&gt;"",COUNTIFS(코드설정!$A$5:$A$21,업무일지!$D485,코드설정!$B$5:$B$21,업무일지!$E485)=0),"세부유형이 직무구분과 불일치; ",""))&amp;IF(AND(업무일지!$F485&lt;&gt;"",COUNTIF(사건마스터!$A$5:$A$64,업무일지!$F485)=0),"미등록 사건번호; ","")&amp;IF(AND(업무일지!$F485="",업무일지!$H485=""),"사건번호·업무명 모두 없음; ","")&amp;IF(업무일지!$J485="","담당자 없음; ","")&amp;IF(COUNTIF(코드설정!$F$5:$F$7,업무일지!$AG485)=0,"진행상태 누락; ","")))</f>
        <v/>
      </c>
    </row>
    <row r="518">
      <c r="A518" s="26" t="inlineStr">
        <is>
          <t>업무일지</t>
        </is>
      </c>
      <c r="B518" s="66" t="n">
        <v>486</v>
      </c>
      <c r="C518" s="122">
        <f>IF($D518="","",IFERROR(TEXT(업무일지!$B486,"yyyy-mm-dd"),"(날짜없음)")&amp;"  "&amp;업무일지!$F486&amp;"  "&amp;업무일지!$H486)</f>
        <v/>
      </c>
      <c r="D518" s="122">
        <f>IF(NOT(COUNTBLANK(업무일지!$B486:$AH486)&lt;33),"",TRIM(IF(업무일지!$B486="","시작일 누락; ","")&amp;IF(업무일지!$C486="","종료일 누락; ","")&amp;IF(AND(업무일지!$B486&lt;&gt;"",업무일지!$C486&lt;&gt;"",업무일지!$C486&lt;업무일지!$B486),"종료일이 시작일보다 빠름; ","")&amp;IF(COUNTIF(코드설정!$H$5:$H$7,업무일지!$D486)=0,"직무구분 누락; ","")&amp;IF(업무일지!$E486="","세부유형 누락; ",IF(AND(업무일지!$D486&lt;&gt;"",COUNTIFS(코드설정!$A$5:$A$21,업무일지!$D486,코드설정!$B$5:$B$21,업무일지!$E486)=0),"세부유형이 직무구분과 불일치; ",""))&amp;IF(AND(업무일지!$F486&lt;&gt;"",COUNTIF(사건마스터!$A$5:$A$64,업무일지!$F486)=0),"미등록 사건번호; ","")&amp;IF(AND(업무일지!$F486="",업무일지!$H486=""),"사건번호·업무명 모두 없음; ","")&amp;IF(업무일지!$J486="","담당자 없음; ","")&amp;IF(COUNTIF(코드설정!$F$5:$F$7,업무일지!$AG486)=0,"진행상태 누락; ","")))</f>
        <v/>
      </c>
    </row>
    <row r="519">
      <c r="A519" s="26" t="inlineStr">
        <is>
          <t>업무일지</t>
        </is>
      </c>
      <c r="B519" s="66" t="n">
        <v>487</v>
      </c>
      <c r="C519" s="122">
        <f>IF($D519="","",IFERROR(TEXT(업무일지!$B487,"yyyy-mm-dd"),"(날짜없음)")&amp;"  "&amp;업무일지!$F487&amp;"  "&amp;업무일지!$H487)</f>
        <v/>
      </c>
      <c r="D519" s="122">
        <f>IF(NOT(COUNTBLANK(업무일지!$B487:$AH487)&lt;33),"",TRIM(IF(업무일지!$B487="","시작일 누락; ","")&amp;IF(업무일지!$C487="","종료일 누락; ","")&amp;IF(AND(업무일지!$B487&lt;&gt;"",업무일지!$C487&lt;&gt;"",업무일지!$C487&lt;업무일지!$B487),"종료일이 시작일보다 빠름; ","")&amp;IF(COUNTIF(코드설정!$H$5:$H$7,업무일지!$D487)=0,"직무구분 누락; ","")&amp;IF(업무일지!$E487="","세부유형 누락; ",IF(AND(업무일지!$D487&lt;&gt;"",COUNTIFS(코드설정!$A$5:$A$21,업무일지!$D487,코드설정!$B$5:$B$21,업무일지!$E487)=0),"세부유형이 직무구분과 불일치; ",""))&amp;IF(AND(업무일지!$F487&lt;&gt;"",COUNTIF(사건마스터!$A$5:$A$64,업무일지!$F487)=0),"미등록 사건번호; ","")&amp;IF(AND(업무일지!$F487="",업무일지!$H487=""),"사건번호·업무명 모두 없음; ","")&amp;IF(업무일지!$J487="","담당자 없음; ","")&amp;IF(COUNTIF(코드설정!$F$5:$F$7,업무일지!$AG487)=0,"진행상태 누락; ","")))</f>
        <v/>
      </c>
    </row>
    <row r="520">
      <c r="A520" s="26" t="inlineStr">
        <is>
          <t>업무일지</t>
        </is>
      </c>
      <c r="B520" s="66" t="n">
        <v>488</v>
      </c>
      <c r="C520" s="122">
        <f>IF($D520="","",IFERROR(TEXT(업무일지!$B488,"yyyy-mm-dd"),"(날짜없음)")&amp;"  "&amp;업무일지!$F488&amp;"  "&amp;업무일지!$H488)</f>
        <v/>
      </c>
      <c r="D520" s="122">
        <f>IF(NOT(COUNTBLANK(업무일지!$B488:$AH488)&lt;33),"",TRIM(IF(업무일지!$B488="","시작일 누락; ","")&amp;IF(업무일지!$C488="","종료일 누락; ","")&amp;IF(AND(업무일지!$B488&lt;&gt;"",업무일지!$C488&lt;&gt;"",업무일지!$C488&lt;업무일지!$B488),"종료일이 시작일보다 빠름; ","")&amp;IF(COUNTIF(코드설정!$H$5:$H$7,업무일지!$D488)=0,"직무구분 누락; ","")&amp;IF(업무일지!$E488="","세부유형 누락; ",IF(AND(업무일지!$D488&lt;&gt;"",COUNTIFS(코드설정!$A$5:$A$21,업무일지!$D488,코드설정!$B$5:$B$21,업무일지!$E488)=0),"세부유형이 직무구분과 불일치; ",""))&amp;IF(AND(업무일지!$F488&lt;&gt;"",COUNTIF(사건마스터!$A$5:$A$64,업무일지!$F488)=0),"미등록 사건번호; ","")&amp;IF(AND(업무일지!$F488="",업무일지!$H488=""),"사건번호·업무명 모두 없음; ","")&amp;IF(업무일지!$J488="","담당자 없음; ","")&amp;IF(COUNTIF(코드설정!$F$5:$F$7,업무일지!$AG488)=0,"진행상태 누락; ","")))</f>
        <v/>
      </c>
    </row>
    <row r="521">
      <c r="A521" s="26" t="inlineStr">
        <is>
          <t>업무일지</t>
        </is>
      </c>
      <c r="B521" s="66" t="n">
        <v>489</v>
      </c>
      <c r="C521" s="122">
        <f>IF($D521="","",IFERROR(TEXT(업무일지!$B489,"yyyy-mm-dd"),"(날짜없음)")&amp;"  "&amp;업무일지!$F489&amp;"  "&amp;업무일지!$H489)</f>
        <v/>
      </c>
      <c r="D521" s="122">
        <f>IF(NOT(COUNTBLANK(업무일지!$B489:$AH489)&lt;33),"",TRIM(IF(업무일지!$B489="","시작일 누락; ","")&amp;IF(업무일지!$C489="","종료일 누락; ","")&amp;IF(AND(업무일지!$B489&lt;&gt;"",업무일지!$C489&lt;&gt;"",업무일지!$C489&lt;업무일지!$B489),"종료일이 시작일보다 빠름; ","")&amp;IF(COUNTIF(코드설정!$H$5:$H$7,업무일지!$D489)=0,"직무구분 누락; ","")&amp;IF(업무일지!$E489="","세부유형 누락; ",IF(AND(업무일지!$D489&lt;&gt;"",COUNTIFS(코드설정!$A$5:$A$21,업무일지!$D489,코드설정!$B$5:$B$21,업무일지!$E489)=0),"세부유형이 직무구분과 불일치; ",""))&amp;IF(AND(업무일지!$F489&lt;&gt;"",COUNTIF(사건마스터!$A$5:$A$64,업무일지!$F489)=0),"미등록 사건번호; ","")&amp;IF(AND(업무일지!$F489="",업무일지!$H489=""),"사건번호·업무명 모두 없음; ","")&amp;IF(업무일지!$J489="","담당자 없음; ","")&amp;IF(COUNTIF(코드설정!$F$5:$F$7,업무일지!$AG489)=0,"진행상태 누락; ","")))</f>
        <v/>
      </c>
    </row>
    <row r="522">
      <c r="A522" s="26" t="inlineStr">
        <is>
          <t>업무일지</t>
        </is>
      </c>
      <c r="B522" s="66" t="n">
        <v>490</v>
      </c>
      <c r="C522" s="122">
        <f>IF($D522="","",IFERROR(TEXT(업무일지!$B490,"yyyy-mm-dd"),"(날짜없음)")&amp;"  "&amp;업무일지!$F490&amp;"  "&amp;업무일지!$H490)</f>
        <v/>
      </c>
      <c r="D522" s="122">
        <f>IF(NOT(COUNTBLANK(업무일지!$B490:$AH490)&lt;33),"",TRIM(IF(업무일지!$B490="","시작일 누락; ","")&amp;IF(업무일지!$C490="","종료일 누락; ","")&amp;IF(AND(업무일지!$B490&lt;&gt;"",업무일지!$C490&lt;&gt;"",업무일지!$C490&lt;업무일지!$B490),"종료일이 시작일보다 빠름; ","")&amp;IF(COUNTIF(코드설정!$H$5:$H$7,업무일지!$D490)=0,"직무구분 누락; ","")&amp;IF(업무일지!$E490="","세부유형 누락; ",IF(AND(업무일지!$D490&lt;&gt;"",COUNTIFS(코드설정!$A$5:$A$21,업무일지!$D490,코드설정!$B$5:$B$21,업무일지!$E490)=0),"세부유형이 직무구분과 불일치; ",""))&amp;IF(AND(업무일지!$F490&lt;&gt;"",COUNTIF(사건마스터!$A$5:$A$64,업무일지!$F490)=0),"미등록 사건번호; ","")&amp;IF(AND(업무일지!$F490="",업무일지!$H490=""),"사건번호·업무명 모두 없음; ","")&amp;IF(업무일지!$J490="","담당자 없음; ","")&amp;IF(COUNTIF(코드설정!$F$5:$F$7,업무일지!$AG490)=0,"진행상태 누락; ","")))</f>
        <v/>
      </c>
    </row>
    <row r="523">
      <c r="A523" s="26" t="inlineStr">
        <is>
          <t>업무일지</t>
        </is>
      </c>
      <c r="B523" s="66" t="n">
        <v>491</v>
      </c>
      <c r="C523" s="122">
        <f>IF($D523="","",IFERROR(TEXT(업무일지!$B491,"yyyy-mm-dd"),"(날짜없음)")&amp;"  "&amp;업무일지!$F491&amp;"  "&amp;업무일지!$H491)</f>
        <v/>
      </c>
      <c r="D523" s="122">
        <f>IF(NOT(COUNTBLANK(업무일지!$B491:$AH491)&lt;33),"",TRIM(IF(업무일지!$B491="","시작일 누락; ","")&amp;IF(업무일지!$C491="","종료일 누락; ","")&amp;IF(AND(업무일지!$B491&lt;&gt;"",업무일지!$C491&lt;&gt;"",업무일지!$C491&lt;업무일지!$B491),"종료일이 시작일보다 빠름; ","")&amp;IF(COUNTIF(코드설정!$H$5:$H$7,업무일지!$D491)=0,"직무구분 누락; ","")&amp;IF(업무일지!$E491="","세부유형 누락; ",IF(AND(업무일지!$D491&lt;&gt;"",COUNTIFS(코드설정!$A$5:$A$21,업무일지!$D491,코드설정!$B$5:$B$21,업무일지!$E491)=0),"세부유형이 직무구분과 불일치; ",""))&amp;IF(AND(업무일지!$F491&lt;&gt;"",COUNTIF(사건마스터!$A$5:$A$64,업무일지!$F491)=0),"미등록 사건번호; ","")&amp;IF(AND(업무일지!$F491="",업무일지!$H491=""),"사건번호·업무명 모두 없음; ","")&amp;IF(업무일지!$J491="","담당자 없음; ","")&amp;IF(COUNTIF(코드설정!$F$5:$F$7,업무일지!$AG491)=0,"진행상태 누락; ","")))</f>
        <v/>
      </c>
    </row>
    <row r="524">
      <c r="A524" s="26" t="inlineStr">
        <is>
          <t>업무일지</t>
        </is>
      </c>
      <c r="B524" s="66" t="n">
        <v>492</v>
      </c>
      <c r="C524" s="122">
        <f>IF($D524="","",IFERROR(TEXT(업무일지!$B492,"yyyy-mm-dd"),"(날짜없음)")&amp;"  "&amp;업무일지!$F492&amp;"  "&amp;업무일지!$H492)</f>
        <v/>
      </c>
      <c r="D524" s="122">
        <f>IF(NOT(COUNTBLANK(업무일지!$B492:$AH492)&lt;33),"",TRIM(IF(업무일지!$B492="","시작일 누락; ","")&amp;IF(업무일지!$C492="","종료일 누락; ","")&amp;IF(AND(업무일지!$B492&lt;&gt;"",업무일지!$C492&lt;&gt;"",업무일지!$C492&lt;업무일지!$B492),"종료일이 시작일보다 빠름; ","")&amp;IF(COUNTIF(코드설정!$H$5:$H$7,업무일지!$D492)=0,"직무구분 누락; ","")&amp;IF(업무일지!$E492="","세부유형 누락; ",IF(AND(업무일지!$D492&lt;&gt;"",COUNTIFS(코드설정!$A$5:$A$21,업무일지!$D492,코드설정!$B$5:$B$21,업무일지!$E492)=0),"세부유형이 직무구분과 불일치; ",""))&amp;IF(AND(업무일지!$F492&lt;&gt;"",COUNTIF(사건마스터!$A$5:$A$64,업무일지!$F492)=0),"미등록 사건번호; ","")&amp;IF(AND(업무일지!$F492="",업무일지!$H492=""),"사건번호·업무명 모두 없음; ","")&amp;IF(업무일지!$J492="","담당자 없음; ","")&amp;IF(COUNTIF(코드설정!$F$5:$F$7,업무일지!$AG492)=0,"진행상태 누락; ","")))</f>
        <v/>
      </c>
    </row>
    <row r="525">
      <c r="A525" s="26" t="inlineStr">
        <is>
          <t>업무일지</t>
        </is>
      </c>
      <c r="B525" s="66" t="n">
        <v>493</v>
      </c>
      <c r="C525" s="122">
        <f>IF($D525="","",IFERROR(TEXT(업무일지!$B493,"yyyy-mm-dd"),"(날짜없음)")&amp;"  "&amp;업무일지!$F493&amp;"  "&amp;업무일지!$H493)</f>
        <v/>
      </c>
      <c r="D525" s="122">
        <f>IF(NOT(COUNTBLANK(업무일지!$B493:$AH493)&lt;33),"",TRIM(IF(업무일지!$B493="","시작일 누락; ","")&amp;IF(업무일지!$C493="","종료일 누락; ","")&amp;IF(AND(업무일지!$B493&lt;&gt;"",업무일지!$C493&lt;&gt;"",업무일지!$C493&lt;업무일지!$B493),"종료일이 시작일보다 빠름; ","")&amp;IF(COUNTIF(코드설정!$H$5:$H$7,업무일지!$D493)=0,"직무구분 누락; ","")&amp;IF(업무일지!$E493="","세부유형 누락; ",IF(AND(업무일지!$D493&lt;&gt;"",COUNTIFS(코드설정!$A$5:$A$21,업무일지!$D493,코드설정!$B$5:$B$21,업무일지!$E493)=0),"세부유형이 직무구분과 불일치; ",""))&amp;IF(AND(업무일지!$F493&lt;&gt;"",COUNTIF(사건마스터!$A$5:$A$64,업무일지!$F493)=0),"미등록 사건번호; ","")&amp;IF(AND(업무일지!$F493="",업무일지!$H493=""),"사건번호·업무명 모두 없음; ","")&amp;IF(업무일지!$J493="","담당자 없음; ","")&amp;IF(COUNTIF(코드설정!$F$5:$F$7,업무일지!$AG493)=0,"진행상태 누락; ","")))</f>
        <v/>
      </c>
    </row>
    <row r="526">
      <c r="A526" s="26" t="inlineStr">
        <is>
          <t>업무일지</t>
        </is>
      </c>
      <c r="B526" s="66" t="n">
        <v>494</v>
      </c>
      <c r="C526" s="122">
        <f>IF($D526="","",IFERROR(TEXT(업무일지!$B494,"yyyy-mm-dd"),"(날짜없음)")&amp;"  "&amp;업무일지!$F494&amp;"  "&amp;업무일지!$H494)</f>
        <v/>
      </c>
      <c r="D526" s="122">
        <f>IF(NOT(COUNTBLANK(업무일지!$B494:$AH494)&lt;33),"",TRIM(IF(업무일지!$B494="","시작일 누락; ","")&amp;IF(업무일지!$C494="","종료일 누락; ","")&amp;IF(AND(업무일지!$B494&lt;&gt;"",업무일지!$C494&lt;&gt;"",업무일지!$C494&lt;업무일지!$B494),"종료일이 시작일보다 빠름; ","")&amp;IF(COUNTIF(코드설정!$H$5:$H$7,업무일지!$D494)=0,"직무구분 누락; ","")&amp;IF(업무일지!$E494="","세부유형 누락; ",IF(AND(업무일지!$D494&lt;&gt;"",COUNTIFS(코드설정!$A$5:$A$21,업무일지!$D494,코드설정!$B$5:$B$21,업무일지!$E494)=0),"세부유형이 직무구분과 불일치; ",""))&amp;IF(AND(업무일지!$F494&lt;&gt;"",COUNTIF(사건마스터!$A$5:$A$64,업무일지!$F494)=0),"미등록 사건번호; ","")&amp;IF(AND(업무일지!$F494="",업무일지!$H494=""),"사건번호·업무명 모두 없음; ","")&amp;IF(업무일지!$J494="","담당자 없음; ","")&amp;IF(COUNTIF(코드설정!$F$5:$F$7,업무일지!$AG494)=0,"진행상태 누락; ","")))</f>
        <v/>
      </c>
    </row>
    <row r="527">
      <c r="A527" s="26" t="inlineStr">
        <is>
          <t>업무일지</t>
        </is>
      </c>
      <c r="B527" s="66" t="n">
        <v>495</v>
      </c>
      <c r="C527" s="122">
        <f>IF($D527="","",IFERROR(TEXT(업무일지!$B495,"yyyy-mm-dd"),"(날짜없음)")&amp;"  "&amp;업무일지!$F495&amp;"  "&amp;업무일지!$H495)</f>
        <v/>
      </c>
      <c r="D527" s="122">
        <f>IF(NOT(COUNTBLANK(업무일지!$B495:$AH495)&lt;33),"",TRIM(IF(업무일지!$B495="","시작일 누락; ","")&amp;IF(업무일지!$C495="","종료일 누락; ","")&amp;IF(AND(업무일지!$B495&lt;&gt;"",업무일지!$C495&lt;&gt;"",업무일지!$C495&lt;업무일지!$B495),"종료일이 시작일보다 빠름; ","")&amp;IF(COUNTIF(코드설정!$H$5:$H$7,업무일지!$D495)=0,"직무구분 누락; ","")&amp;IF(업무일지!$E495="","세부유형 누락; ",IF(AND(업무일지!$D495&lt;&gt;"",COUNTIFS(코드설정!$A$5:$A$21,업무일지!$D495,코드설정!$B$5:$B$21,업무일지!$E495)=0),"세부유형이 직무구분과 불일치; ",""))&amp;IF(AND(업무일지!$F495&lt;&gt;"",COUNTIF(사건마스터!$A$5:$A$64,업무일지!$F495)=0),"미등록 사건번호; ","")&amp;IF(AND(업무일지!$F495="",업무일지!$H495=""),"사건번호·업무명 모두 없음; ","")&amp;IF(업무일지!$J495="","담당자 없음; ","")&amp;IF(COUNTIF(코드설정!$F$5:$F$7,업무일지!$AG495)=0,"진행상태 누락; ","")))</f>
        <v/>
      </c>
    </row>
    <row r="528">
      <c r="A528" s="26" t="inlineStr">
        <is>
          <t>업무일지</t>
        </is>
      </c>
      <c r="B528" s="66" t="n">
        <v>496</v>
      </c>
      <c r="C528" s="122">
        <f>IF($D528="","",IFERROR(TEXT(업무일지!$B496,"yyyy-mm-dd"),"(날짜없음)")&amp;"  "&amp;업무일지!$F496&amp;"  "&amp;업무일지!$H496)</f>
        <v/>
      </c>
      <c r="D528" s="122">
        <f>IF(NOT(COUNTBLANK(업무일지!$B496:$AH496)&lt;33),"",TRIM(IF(업무일지!$B496="","시작일 누락; ","")&amp;IF(업무일지!$C496="","종료일 누락; ","")&amp;IF(AND(업무일지!$B496&lt;&gt;"",업무일지!$C496&lt;&gt;"",업무일지!$C496&lt;업무일지!$B496),"종료일이 시작일보다 빠름; ","")&amp;IF(COUNTIF(코드설정!$H$5:$H$7,업무일지!$D496)=0,"직무구분 누락; ","")&amp;IF(업무일지!$E496="","세부유형 누락; ",IF(AND(업무일지!$D496&lt;&gt;"",COUNTIFS(코드설정!$A$5:$A$21,업무일지!$D496,코드설정!$B$5:$B$21,업무일지!$E496)=0),"세부유형이 직무구분과 불일치; ",""))&amp;IF(AND(업무일지!$F496&lt;&gt;"",COUNTIF(사건마스터!$A$5:$A$64,업무일지!$F496)=0),"미등록 사건번호; ","")&amp;IF(AND(업무일지!$F496="",업무일지!$H496=""),"사건번호·업무명 모두 없음; ","")&amp;IF(업무일지!$J496="","담당자 없음; ","")&amp;IF(COUNTIF(코드설정!$F$5:$F$7,업무일지!$AG496)=0,"진행상태 누락; ","")))</f>
        <v/>
      </c>
    </row>
    <row r="529">
      <c r="A529" s="26" t="inlineStr">
        <is>
          <t>업무일지</t>
        </is>
      </c>
      <c r="B529" s="66" t="n">
        <v>497</v>
      </c>
      <c r="C529" s="122">
        <f>IF($D529="","",IFERROR(TEXT(업무일지!$B497,"yyyy-mm-dd"),"(날짜없음)")&amp;"  "&amp;업무일지!$F497&amp;"  "&amp;업무일지!$H497)</f>
        <v/>
      </c>
      <c r="D529" s="122">
        <f>IF(NOT(COUNTBLANK(업무일지!$B497:$AH497)&lt;33),"",TRIM(IF(업무일지!$B497="","시작일 누락; ","")&amp;IF(업무일지!$C497="","종료일 누락; ","")&amp;IF(AND(업무일지!$B497&lt;&gt;"",업무일지!$C497&lt;&gt;"",업무일지!$C497&lt;업무일지!$B497),"종료일이 시작일보다 빠름; ","")&amp;IF(COUNTIF(코드설정!$H$5:$H$7,업무일지!$D497)=0,"직무구분 누락; ","")&amp;IF(업무일지!$E497="","세부유형 누락; ",IF(AND(업무일지!$D497&lt;&gt;"",COUNTIFS(코드설정!$A$5:$A$21,업무일지!$D497,코드설정!$B$5:$B$21,업무일지!$E497)=0),"세부유형이 직무구분과 불일치; ",""))&amp;IF(AND(업무일지!$F497&lt;&gt;"",COUNTIF(사건마스터!$A$5:$A$64,업무일지!$F497)=0),"미등록 사건번호; ","")&amp;IF(AND(업무일지!$F497="",업무일지!$H497=""),"사건번호·업무명 모두 없음; ","")&amp;IF(업무일지!$J497="","담당자 없음; ","")&amp;IF(COUNTIF(코드설정!$F$5:$F$7,업무일지!$AG497)=0,"진행상태 누락; ","")))</f>
        <v/>
      </c>
    </row>
    <row r="530">
      <c r="A530" s="26" t="inlineStr">
        <is>
          <t>업무일지</t>
        </is>
      </c>
      <c r="B530" s="66" t="n">
        <v>498</v>
      </c>
      <c r="C530" s="122">
        <f>IF($D530="","",IFERROR(TEXT(업무일지!$B498,"yyyy-mm-dd"),"(날짜없음)")&amp;"  "&amp;업무일지!$F498&amp;"  "&amp;업무일지!$H498)</f>
        <v/>
      </c>
      <c r="D530" s="122">
        <f>IF(NOT(COUNTBLANK(업무일지!$B498:$AH498)&lt;33),"",TRIM(IF(업무일지!$B498="","시작일 누락; ","")&amp;IF(업무일지!$C498="","종료일 누락; ","")&amp;IF(AND(업무일지!$B498&lt;&gt;"",업무일지!$C498&lt;&gt;"",업무일지!$C498&lt;업무일지!$B498),"종료일이 시작일보다 빠름; ","")&amp;IF(COUNTIF(코드설정!$H$5:$H$7,업무일지!$D498)=0,"직무구분 누락; ","")&amp;IF(업무일지!$E498="","세부유형 누락; ",IF(AND(업무일지!$D498&lt;&gt;"",COUNTIFS(코드설정!$A$5:$A$21,업무일지!$D498,코드설정!$B$5:$B$21,업무일지!$E498)=0),"세부유형이 직무구분과 불일치; ",""))&amp;IF(AND(업무일지!$F498&lt;&gt;"",COUNTIF(사건마스터!$A$5:$A$64,업무일지!$F498)=0),"미등록 사건번호; ","")&amp;IF(AND(업무일지!$F498="",업무일지!$H498=""),"사건번호·업무명 모두 없음; ","")&amp;IF(업무일지!$J498="","담당자 없음; ","")&amp;IF(COUNTIF(코드설정!$F$5:$F$7,업무일지!$AG498)=0,"진행상태 누락; ","")))</f>
        <v/>
      </c>
    </row>
    <row r="531">
      <c r="A531" s="26" t="inlineStr">
        <is>
          <t>업무일지</t>
        </is>
      </c>
      <c r="B531" s="66" t="n">
        <v>499</v>
      </c>
      <c r="C531" s="122">
        <f>IF($D531="","",IFERROR(TEXT(업무일지!$B499,"yyyy-mm-dd"),"(날짜없음)")&amp;"  "&amp;업무일지!$F499&amp;"  "&amp;업무일지!$H499)</f>
        <v/>
      </c>
      <c r="D531" s="122">
        <f>IF(NOT(COUNTBLANK(업무일지!$B499:$AH499)&lt;33),"",TRIM(IF(업무일지!$B499="","시작일 누락; ","")&amp;IF(업무일지!$C499="","종료일 누락; ","")&amp;IF(AND(업무일지!$B499&lt;&gt;"",업무일지!$C499&lt;&gt;"",업무일지!$C499&lt;업무일지!$B499),"종료일이 시작일보다 빠름; ","")&amp;IF(COUNTIF(코드설정!$H$5:$H$7,업무일지!$D499)=0,"직무구분 누락; ","")&amp;IF(업무일지!$E499="","세부유형 누락; ",IF(AND(업무일지!$D499&lt;&gt;"",COUNTIFS(코드설정!$A$5:$A$21,업무일지!$D499,코드설정!$B$5:$B$21,업무일지!$E499)=0),"세부유형이 직무구분과 불일치; ",""))&amp;IF(AND(업무일지!$F499&lt;&gt;"",COUNTIF(사건마스터!$A$5:$A$64,업무일지!$F499)=0),"미등록 사건번호; ","")&amp;IF(AND(업무일지!$F499="",업무일지!$H499=""),"사건번호·업무명 모두 없음; ","")&amp;IF(업무일지!$J499="","담당자 없음; ","")&amp;IF(COUNTIF(코드설정!$F$5:$F$7,업무일지!$AG499)=0,"진행상태 누락; ","")))</f>
        <v/>
      </c>
    </row>
    <row r="532">
      <c r="A532" s="26" t="inlineStr">
        <is>
          <t>업무일지</t>
        </is>
      </c>
      <c r="B532" s="66" t="n">
        <v>500</v>
      </c>
      <c r="C532" s="122">
        <f>IF($D532="","",IFERROR(TEXT(업무일지!$B500,"yyyy-mm-dd"),"(날짜없음)")&amp;"  "&amp;업무일지!$F500&amp;"  "&amp;업무일지!$H500)</f>
        <v/>
      </c>
      <c r="D532" s="122">
        <f>IF(NOT(COUNTBLANK(업무일지!$B500:$AH500)&lt;33),"",TRIM(IF(업무일지!$B500="","시작일 누락; ","")&amp;IF(업무일지!$C500="","종료일 누락; ","")&amp;IF(AND(업무일지!$B500&lt;&gt;"",업무일지!$C500&lt;&gt;"",업무일지!$C500&lt;업무일지!$B500),"종료일이 시작일보다 빠름; ","")&amp;IF(COUNTIF(코드설정!$H$5:$H$7,업무일지!$D500)=0,"직무구분 누락; ","")&amp;IF(업무일지!$E500="","세부유형 누락; ",IF(AND(업무일지!$D500&lt;&gt;"",COUNTIFS(코드설정!$A$5:$A$21,업무일지!$D500,코드설정!$B$5:$B$21,업무일지!$E500)=0),"세부유형이 직무구분과 불일치; ",""))&amp;IF(AND(업무일지!$F500&lt;&gt;"",COUNTIF(사건마스터!$A$5:$A$64,업무일지!$F500)=0),"미등록 사건번호; ","")&amp;IF(AND(업무일지!$F500="",업무일지!$H500=""),"사건번호·업무명 모두 없음; ","")&amp;IF(업무일지!$J500="","담당자 없음; ","")&amp;IF(COUNTIF(코드설정!$F$5:$F$7,업무일지!$AG500)=0,"진행상태 누락; ","")))</f>
        <v/>
      </c>
    </row>
    <row r="533">
      <c r="A533" s="26" t="inlineStr">
        <is>
          <t>업무일지</t>
        </is>
      </c>
      <c r="B533" s="66" t="n">
        <v>501</v>
      </c>
      <c r="C533" s="122">
        <f>IF($D533="","",IFERROR(TEXT(업무일지!$B501,"yyyy-mm-dd"),"(날짜없음)")&amp;"  "&amp;업무일지!$F501&amp;"  "&amp;업무일지!$H501)</f>
        <v/>
      </c>
      <c r="D533" s="122">
        <f>IF(NOT(COUNTBLANK(업무일지!$B501:$AH501)&lt;33),"",TRIM(IF(업무일지!$B501="","시작일 누락; ","")&amp;IF(업무일지!$C501="","종료일 누락; ","")&amp;IF(AND(업무일지!$B501&lt;&gt;"",업무일지!$C501&lt;&gt;"",업무일지!$C501&lt;업무일지!$B501),"종료일이 시작일보다 빠름; ","")&amp;IF(COUNTIF(코드설정!$H$5:$H$7,업무일지!$D501)=0,"직무구분 누락; ","")&amp;IF(업무일지!$E501="","세부유형 누락; ",IF(AND(업무일지!$D501&lt;&gt;"",COUNTIFS(코드설정!$A$5:$A$21,업무일지!$D501,코드설정!$B$5:$B$21,업무일지!$E501)=0),"세부유형이 직무구분과 불일치; ",""))&amp;IF(AND(업무일지!$F501&lt;&gt;"",COUNTIF(사건마스터!$A$5:$A$64,업무일지!$F501)=0),"미등록 사건번호; ","")&amp;IF(AND(업무일지!$F501="",업무일지!$H501=""),"사건번호·업무명 모두 없음; ","")&amp;IF(업무일지!$J501="","담당자 없음; ","")&amp;IF(COUNTIF(코드설정!$F$5:$F$7,업무일지!$AG501)=0,"진행상태 누락; ","")))</f>
        <v/>
      </c>
    </row>
    <row r="534">
      <c r="A534" s="26" t="inlineStr">
        <is>
          <t>업무일지</t>
        </is>
      </c>
      <c r="B534" s="66" t="n">
        <v>502</v>
      </c>
      <c r="C534" s="122">
        <f>IF($D534="","",IFERROR(TEXT(업무일지!$B502,"yyyy-mm-dd"),"(날짜없음)")&amp;"  "&amp;업무일지!$F502&amp;"  "&amp;업무일지!$H502)</f>
        <v/>
      </c>
      <c r="D534" s="122">
        <f>IF(NOT(COUNTBLANK(업무일지!$B502:$AH502)&lt;33),"",TRIM(IF(업무일지!$B502="","시작일 누락; ","")&amp;IF(업무일지!$C502="","종료일 누락; ","")&amp;IF(AND(업무일지!$B502&lt;&gt;"",업무일지!$C502&lt;&gt;"",업무일지!$C502&lt;업무일지!$B502),"종료일이 시작일보다 빠름; ","")&amp;IF(COUNTIF(코드설정!$H$5:$H$7,업무일지!$D502)=0,"직무구분 누락; ","")&amp;IF(업무일지!$E502="","세부유형 누락; ",IF(AND(업무일지!$D502&lt;&gt;"",COUNTIFS(코드설정!$A$5:$A$21,업무일지!$D502,코드설정!$B$5:$B$21,업무일지!$E502)=0),"세부유형이 직무구분과 불일치; ",""))&amp;IF(AND(업무일지!$F502&lt;&gt;"",COUNTIF(사건마스터!$A$5:$A$64,업무일지!$F502)=0),"미등록 사건번호; ","")&amp;IF(AND(업무일지!$F502="",업무일지!$H502=""),"사건번호·업무명 모두 없음; ","")&amp;IF(업무일지!$J502="","담당자 없음; ","")&amp;IF(COUNTIF(코드설정!$F$5:$F$7,업무일지!$AG502)=0,"진행상태 누락; ","")))</f>
        <v/>
      </c>
    </row>
    <row r="535">
      <c r="A535" s="26" t="inlineStr">
        <is>
          <t>업무일지</t>
        </is>
      </c>
      <c r="B535" s="66" t="n">
        <v>503</v>
      </c>
      <c r="C535" s="122">
        <f>IF($D535="","",IFERROR(TEXT(업무일지!$B503,"yyyy-mm-dd"),"(날짜없음)")&amp;"  "&amp;업무일지!$F503&amp;"  "&amp;업무일지!$H503)</f>
        <v/>
      </c>
      <c r="D535" s="122">
        <f>IF(NOT(COUNTBLANK(업무일지!$B503:$AH503)&lt;33),"",TRIM(IF(업무일지!$B503="","시작일 누락; ","")&amp;IF(업무일지!$C503="","종료일 누락; ","")&amp;IF(AND(업무일지!$B503&lt;&gt;"",업무일지!$C503&lt;&gt;"",업무일지!$C503&lt;업무일지!$B503),"종료일이 시작일보다 빠름; ","")&amp;IF(COUNTIF(코드설정!$H$5:$H$7,업무일지!$D503)=0,"직무구분 누락; ","")&amp;IF(업무일지!$E503="","세부유형 누락; ",IF(AND(업무일지!$D503&lt;&gt;"",COUNTIFS(코드설정!$A$5:$A$21,업무일지!$D503,코드설정!$B$5:$B$21,업무일지!$E503)=0),"세부유형이 직무구분과 불일치; ",""))&amp;IF(AND(업무일지!$F503&lt;&gt;"",COUNTIF(사건마스터!$A$5:$A$64,업무일지!$F503)=0),"미등록 사건번호; ","")&amp;IF(AND(업무일지!$F503="",업무일지!$H503=""),"사건번호·업무명 모두 없음; ","")&amp;IF(업무일지!$J503="","담당자 없음; ","")&amp;IF(COUNTIF(코드설정!$F$5:$F$7,업무일지!$AG503)=0,"진행상태 누락; ","")))</f>
        <v/>
      </c>
    </row>
    <row r="536">
      <c r="A536" s="26" t="inlineStr">
        <is>
          <t>업무일지</t>
        </is>
      </c>
      <c r="B536" s="66" t="n">
        <v>504</v>
      </c>
      <c r="C536" s="122">
        <f>IF($D536="","",IFERROR(TEXT(업무일지!$B504,"yyyy-mm-dd"),"(날짜없음)")&amp;"  "&amp;업무일지!$F504&amp;"  "&amp;업무일지!$H504)</f>
        <v/>
      </c>
      <c r="D536" s="122">
        <f>IF(NOT(COUNTBLANK(업무일지!$B504:$AH504)&lt;33),"",TRIM(IF(업무일지!$B504="","시작일 누락; ","")&amp;IF(업무일지!$C504="","종료일 누락; ","")&amp;IF(AND(업무일지!$B504&lt;&gt;"",업무일지!$C504&lt;&gt;"",업무일지!$C504&lt;업무일지!$B504),"종료일이 시작일보다 빠름; ","")&amp;IF(COUNTIF(코드설정!$H$5:$H$7,업무일지!$D504)=0,"직무구분 누락; ","")&amp;IF(업무일지!$E504="","세부유형 누락; ",IF(AND(업무일지!$D504&lt;&gt;"",COUNTIFS(코드설정!$A$5:$A$21,업무일지!$D504,코드설정!$B$5:$B$21,업무일지!$E504)=0),"세부유형이 직무구분과 불일치; ",""))&amp;IF(AND(업무일지!$F504&lt;&gt;"",COUNTIF(사건마스터!$A$5:$A$64,업무일지!$F504)=0),"미등록 사건번호; ","")&amp;IF(AND(업무일지!$F504="",업무일지!$H504=""),"사건번호·업무명 모두 없음; ","")&amp;IF(업무일지!$J504="","담당자 없음; ","")&amp;IF(COUNTIF(코드설정!$F$5:$F$7,업무일지!$AG504)=0,"진행상태 누락; ","")))</f>
        <v/>
      </c>
    </row>
    <row r="537">
      <c r="A537" s="26" t="inlineStr">
        <is>
          <t>업무일지</t>
        </is>
      </c>
      <c r="B537" s="66" t="n">
        <v>505</v>
      </c>
      <c r="C537" s="122">
        <f>IF($D537="","",IFERROR(TEXT(업무일지!$B505,"yyyy-mm-dd"),"(날짜없음)")&amp;"  "&amp;업무일지!$F505&amp;"  "&amp;업무일지!$H505)</f>
        <v/>
      </c>
      <c r="D537" s="122">
        <f>IF(NOT(COUNTBLANK(업무일지!$B505:$AH505)&lt;33),"",TRIM(IF(업무일지!$B505="","시작일 누락; ","")&amp;IF(업무일지!$C505="","종료일 누락; ","")&amp;IF(AND(업무일지!$B505&lt;&gt;"",업무일지!$C505&lt;&gt;"",업무일지!$C505&lt;업무일지!$B505),"종료일이 시작일보다 빠름; ","")&amp;IF(COUNTIF(코드설정!$H$5:$H$7,업무일지!$D505)=0,"직무구분 누락; ","")&amp;IF(업무일지!$E505="","세부유형 누락; ",IF(AND(업무일지!$D505&lt;&gt;"",COUNTIFS(코드설정!$A$5:$A$21,업무일지!$D505,코드설정!$B$5:$B$21,업무일지!$E505)=0),"세부유형이 직무구분과 불일치; ",""))&amp;IF(AND(업무일지!$F505&lt;&gt;"",COUNTIF(사건마스터!$A$5:$A$64,업무일지!$F505)=0),"미등록 사건번호; ","")&amp;IF(AND(업무일지!$F505="",업무일지!$H505=""),"사건번호·업무명 모두 없음; ","")&amp;IF(업무일지!$J505="","담당자 없음; ","")&amp;IF(COUNTIF(코드설정!$F$5:$F$7,업무일지!$AG505)=0,"진행상태 누락; ","")))</f>
        <v/>
      </c>
    </row>
    <row r="538">
      <c r="A538" s="26" t="inlineStr">
        <is>
          <t>업무일지</t>
        </is>
      </c>
      <c r="B538" s="66" t="n">
        <v>506</v>
      </c>
      <c r="C538" s="122">
        <f>IF($D538="","",IFERROR(TEXT(업무일지!$B506,"yyyy-mm-dd"),"(날짜없음)")&amp;"  "&amp;업무일지!$F506&amp;"  "&amp;업무일지!$H506)</f>
        <v/>
      </c>
      <c r="D538" s="122">
        <f>IF(NOT(COUNTBLANK(업무일지!$B506:$AH506)&lt;33),"",TRIM(IF(업무일지!$B506="","시작일 누락; ","")&amp;IF(업무일지!$C506="","종료일 누락; ","")&amp;IF(AND(업무일지!$B506&lt;&gt;"",업무일지!$C506&lt;&gt;"",업무일지!$C506&lt;업무일지!$B506),"종료일이 시작일보다 빠름; ","")&amp;IF(COUNTIF(코드설정!$H$5:$H$7,업무일지!$D506)=0,"직무구분 누락; ","")&amp;IF(업무일지!$E506="","세부유형 누락; ",IF(AND(업무일지!$D506&lt;&gt;"",COUNTIFS(코드설정!$A$5:$A$21,업무일지!$D506,코드설정!$B$5:$B$21,업무일지!$E506)=0),"세부유형이 직무구분과 불일치; ",""))&amp;IF(AND(업무일지!$F506&lt;&gt;"",COUNTIF(사건마스터!$A$5:$A$64,업무일지!$F506)=0),"미등록 사건번호; ","")&amp;IF(AND(업무일지!$F506="",업무일지!$H506=""),"사건번호·업무명 모두 없음; ","")&amp;IF(업무일지!$J506="","담당자 없음; ","")&amp;IF(COUNTIF(코드설정!$F$5:$F$7,업무일지!$AG506)=0,"진행상태 누락; ","")))</f>
        <v/>
      </c>
    </row>
    <row r="539">
      <c r="A539" s="26" t="inlineStr">
        <is>
          <t>업무일지</t>
        </is>
      </c>
      <c r="B539" s="66" t="n">
        <v>507</v>
      </c>
      <c r="C539" s="122">
        <f>IF($D539="","",IFERROR(TEXT(업무일지!$B507,"yyyy-mm-dd"),"(날짜없음)")&amp;"  "&amp;업무일지!$F507&amp;"  "&amp;업무일지!$H507)</f>
        <v/>
      </c>
      <c r="D539" s="122">
        <f>IF(NOT(COUNTBLANK(업무일지!$B507:$AH507)&lt;33),"",TRIM(IF(업무일지!$B507="","시작일 누락; ","")&amp;IF(업무일지!$C507="","종료일 누락; ","")&amp;IF(AND(업무일지!$B507&lt;&gt;"",업무일지!$C507&lt;&gt;"",업무일지!$C507&lt;업무일지!$B507),"종료일이 시작일보다 빠름; ","")&amp;IF(COUNTIF(코드설정!$H$5:$H$7,업무일지!$D507)=0,"직무구분 누락; ","")&amp;IF(업무일지!$E507="","세부유형 누락; ",IF(AND(업무일지!$D507&lt;&gt;"",COUNTIFS(코드설정!$A$5:$A$21,업무일지!$D507,코드설정!$B$5:$B$21,업무일지!$E507)=0),"세부유형이 직무구분과 불일치; ",""))&amp;IF(AND(업무일지!$F507&lt;&gt;"",COUNTIF(사건마스터!$A$5:$A$64,업무일지!$F507)=0),"미등록 사건번호; ","")&amp;IF(AND(업무일지!$F507="",업무일지!$H507=""),"사건번호·업무명 모두 없음; ","")&amp;IF(업무일지!$J507="","담당자 없음; ","")&amp;IF(COUNTIF(코드설정!$F$5:$F$7,업무일지!$AG507)=0,"진행상태 누락; ","")))</f>
        <v/>
      </c>
    </row>
    <row r="540">
      <c r="A540" s="26" t="inlineStr">
        <is>
          <t>업무일지</t>
        </is>
      </c>
      <c r="B540" s="66" t="n">
        <v>508</v>
      </c>
      <c r="C540" s="122">
        <f>IF($D540="","",IFERROR(TEXT(업무일지!$B508,"yyyy-mm-dd"),"(날짜없음)")&amp;"  "&amp;업무일지!$F508&amp;"  "&amp;업무일지!$H508)</f>
        <v/>
      </c>
      <c r="D540" s="122">
        <f>IF(NOT(COUNTBLANK(업무일지!$B508:$AH508)&lt;33),"",TRIM(IF(업무일지!$B508="","시작일 누락; ","")&amp;IF(업무일지!$C508="","종료일 누락; ","")&amp;IF(AND(업무일지!$B508&lt;&gt;"",업무일지!$C508&lt;&gt;"",업무일지!$C508&lt;업무일지!$B508),"종료일이 시작일보다 빠름; ","")&amp;IF(COUNTIF(코드설정!$H$5:$H$7,업무일지!$D508)=0,"직무구분 누락; ","")&amp;IF(업무일지!$E508="","세부유형 누락; ",IF(AND(업무일지!$D508&lt;&gt;"",COUNTIFS(코드설정!$A$5:$A$21,업무일지!$D508,코드설정!$B$5:$B$21,업무일지!$E508)=0),"세부유형이 직무구분과 불일치; ",""))&amp;IF(AND(업무일지!$F508&lt;&gt;"",COUNTIF(사건마스터!$A$5:$A$64,업무일지!$F508)=0),"미등록 사건번호; ","")&amp;IF(AND(업무일지!$F508="",업무일지!$H508=""),"사건번호·업무명 모두 없음; ","")&amp;IF(업무일지!$J508="","담당자 없음; ","")&amp;IF(COUNTIF(코드설정!$F$5:$F$7,업무일지!$AG508)=0,"진행상태 누락; ","")))</f>
        <v/>
      </c>
    </row>
    <row r="541">
      <c r="A541" s="26" t="inlineStr">
        <is>
          <t>업무일지</t>
        </is>
      </c>
      <c r="B541" s="66" t="n">
        <v>509</v>
      </c>
      <c r="C541" s="122">
        <f>IF($D541="","",IFERROR(TEXT(업무일지!$B509,"yyyy-mm-dd"),"(날짜없음)")&amp;"  "&amp;업무일지!$F509&amp;"  "&amp;업무일지!$H509)</f>
        <v/>
      </c>
      <c r="D541" s="122">
        <f>IF(NOT(COUNTBLANK(업무일지!$B509:$AH509)&lt;33),"",TRIM(IF(업무일지!$B509="","시작일 누락; ","")&amp;IF(업무일지!$C509="","종료일 누락; ","")&amp;IF(AND(업무일지!$B509&lt;&gt;"",업무일지!$C509&lt;&gt;"",업무일지!$C509&lt;업무일지!$B509),"종료일이 시작일보다 빠름; ","")&amp;IF(COUNTIF(코드설정!$H$5:$H$7,업무일지!$D509)=0,"직무구분 누락; ","")&amp;IF(업무일지!$E509="","세부유형 누락; ",IF(AND(업무일지!$D509&lt;&gt;"",COUNTIFS(코드설정!$A$5:$A$21,업무일지!$D509,코드설정!$B$5:$B$21,업무일지!$E509)=0),"세부유형이 직무구분과 불일치; ",""))&amp;IF(AND(업무일지!$F509&lt;&gt;"",COUNTIF(사건마스터!$A$5:$A$64,업무일지!$F509)=0),"미등록 사건번호; ","")&amp;IF(AND(업무일지!$F509="",업무일지!$H509=""),"사건번호·업무명 모두 없음; ","")&amp;IF(업무일지!$J509="","담당자 없음; ","")&amp;IF(COUNTIF(코드설정!$F$5:$F$7,업무일지!$AG509)=0,"진행상태 누락; ","")))</f>
        <v/>
      </c>
    </row>
    <row r="542">
      <c r="A542" s="26" t="inlineStr">
        <is>
          <t>업무일지</t>
        </is>
      </c>
      <c r="B542" s="66" t="n">
        <v>510</v>
      </c>
      <c r="C542" s="122">
        <f>IF($D542="","",IFERROR(TEXT(업무일지!$B510,"yyyy-mm-dd"),"(날짜없음)")&amp;"  "&amp;업무일지!$F510&amp;"  "&amp;업무일지!$H510)</f>
        <v/>
      </c>
      <c r="D542" s="122">
        <f>IF(NOT(COUNTBLANK(업무일지!$B510:$AH510)&lt;33),"",TRIM(IF(업무일지!$B510="","시작일 누락; ","")&amp;IF(업무일지!$C510="","종료일 누락; ","")&amp;IF(AND(업무일지!$B510&lt;&gt;"",업무일지!$C510&lt;&gt;"",업무일지!$C510&lt;업무일지!$B510),"종료일이 시작일보다 빠름; ","")&amp;IF(COUNTIF(코드설정!$H$5:$H$7,업무일지!$D510)=0,"직무구분 누락; ","")&amp;IF(업무일지!$E510="","세부유형 누락; ",IF(AND(업무일지!$D510&lt;&gt;"",COUNTIFS(코드설정!$A$5:$A$21,업무일지!$D510,코드설정!$B$5:$B$21,업무일지!$E510)=0),"세부유형이 직무구분과 불일치; ",""))&amp;IF(AND(업무일지!$F510&lt;&gt;"",COUNTIF(사건마스터!$A$5:$A$64,업무일지!$F510)=0),"미등록 사건번호; ","")&amp;IF(AND(업무일지!$F510="",업무일지!$H510=""),"사건번호·업무명 모두 없음; ","")&amp;IF(업무일지!$J510="","담당자 없음; ","")&amp;IF(COUNTIF(코드설정!$F$5:$F$7,업무일지!$AG510)=0,"진행상태 누락; ","")))</f>
        <v/>
      </c>
    </row>
    <row r="543">
      <c r="A543" s="26" t="inlineStr">
        <is>
          <t>업무일지</t>
        </is>
      </c>
      <c r="B543" s="66" t="n">
        <v>511</v>
      </c>
      <c r="C543" s="122">
        <f>IF($D543="","",IFERROR(TEXT(업무일지!$B511,"yyyy-mm-dd"),"(날짜없음)")&amp;"  "&amp;업무일지!$F511&amp;"  "&amp;업무일지!$H511)</f>
        <v/>
      </c>
      <c r="D543" s="122">
        <f>IF(NOT(COUNTBLANK(업무일지!$B511:$AH511)&lt;33),"",TRIM(IF(업무일지!$B511="","시작일 누락; ","")&amp;IF(업무일지!$C511="","종료일 누락; ","")&amp;IF(AND(업무일지!$B511&lt;&gt;"",업무일지!$C511&lt;&gt;"",업무일지!$C511&lt;업무일지!$B511),"종료일이 시작일보다 빠름; ","")&amp;IF(COUNTIF(코드설정!$H$5:$H$7,업무일지!$D511)=0,"직무구분 누락; ","")&amp;IF(업무일지!$E511="","세부유형 누락; ",IF(AND(업무일지!$D511&lt;&gt;"",COUNTIFS(코드설정!$A$5:$A$21,업무일지!$D511,코드설정!$B$5:$B$21,업무일지!$E511)=0),"세부유형이 직무구분과 불일치; ",""))&amp;IF(AND(업무일지!$F511&lt;&gt;"",COUNTIF(사건마스터!$A$5:$A$64,업무일지!$F511)=0),"미등록 사건번호; ","")&amp;IF(AND(업무일지!$F511="",업무일지!$H511=""),"사건번호·업무명 모두 없음; ","")&amp;IF(업무일지!$J511="","담당자 없음; ","")&amp;IF(COUNTIF(코드설정!$F$5:$F$7,업무일지!$AG511)=0,"진행상태 누락; ","")))</f>
        <v/>
      </c>
    </row>
    <row r="544">
      <c r="A544" s="26" t="inlineStr">
        <is>
          <t>업무일지</t>
        </is>
      </c>
      <c r="B544" s="66" t="n">
        <v>512</v>
      </c>
      <c r="C544" s="122">
        <f>IF($D544="","",IFERROR(TEXT(업무일지!$B512,"yyyy-mm-dd"),"(날짜없음)")&amp;"  "&amp;업무일지!$F512&amp;"  "&amp;업무일지!$H512)</f>
        <v/>
      </c>
      <c r="D544" s="122">
        <f>IF(NOT(COUNTBLANK(업무일지!$B512:$AH512)&lt;33),"",TRIM(IF(업무일지!$B512="","시작일 누락; ","")&amp;IF(업무일지!$C512="","종료일 누락; ","")&amp;IF(AND(업무일지!$B512&lt;&gt;"",업무일지!$C512&lt;&gt;"",업무일지!$C512&lt;업무일지!$B512),"종료일이 시작일보다 빠름; ","")&amp;IF(COUNTIF(코드설정!$H$5:$H$7,업무일지!$D512)=0,"직무구분 누락; ","")&amp;IF(업무일지!$E512="","세부유형 누락; ",IF(AND(업무일지!$D512&lt;&gt;"",COUNTIFS(코드설정!$A$5:$A$21,업무일지!$D512,코드설정!$B$5:$B$21,업무일지!$E512)=0),"세부유형이 직무구분과 불일치; ",""))&amp;IF(AND(업무일지!$F512&lt;&gt;"",COUNTIF(사건마스터!$A$5:$A$64,업무일지!$F512)=0),"미등록 사건번호; ","")&amp;IF(AND(업무일지!$F512="",업무일지!$H512=""),"사건번호·업무명 모두 없음; ","")&amp;IF(업무일지!$J512="","담당자 없음; ","")&amp;IF(COUNTIF(코드설정!$F$5:$F$7,업무일지!$AG512)=0,"진행상태 누락; ","")))</f>
        <v/>
      </c>
    </row>
    <row r="545">
      <c r="A545" s="26" t="inlineStr">
        <is>
          <t>업무일지</t>
        </is>
      </c>
      <c r="B545" s="66" t="n">
        <v>513</v>
      </c>
      <c r="C545" s="122">
        <f>IF($D545="","",IFERROR(TEXT(업무일지!$B513,"yyyy-mm-dd"),"(날짜없음)")&amp;"  "&amp;업무일지!$F513&amp;"  "&amp;업무일지!$H513)</f>
        <v/>
      </c>
      <c r="D545" s="122">
        <f>IF(NOT(COUNTBLANK(업무일지!$B513:$AH513)&lt;33),"",TRIM(IF(업무일지!$B513="","시작일 누락; ","")&amp;IF(업무일지!$C513="","종료일 누락; ","")&amp;IF(AND(업무일지!$B513&lt;&gt;"",업무일지!$C513&lt;&gt;"",업무일지!$C513&lt;업무일지!$B513),"종료일이 시작일보다 빠름; ","")&amp;IF(COUNTIF(코드설정!$H$5:$H$7,업무일지!$D513)=0,"직무구분 누락; ","")&amp;IF(업무일지!$E513="","세부유형 누락; ",IF(AND(업무일지!$D513&lt;&gt;"",COUNTIFS(코드설정!$A$5:$A$21,업무일지!$D513,코드설정!$B$5:$B$21,업무일지!$E513)=0),"세부유형이 직무구분과 불일치; ",""))&amp;IF(AND(업무일지!$F513&lt;&gt;"",COUNTIF(사건마스터!$A$5:$A$64,업무일지!$F513)=0),"미등록 사건번호; ","")&amp;IF(AND(업무일지!$F513="",업무일지!$H513=""),"사건번호·업무명 모두 없음; ","")&amp;IF(업무일지!$J513="","담당자 없음; ","")&amp;IF(COUNTIF(코드설정!$F$5:$F$7,업무일지!$AG513)=0,"진행상태 누락; ","")))</f>
        <v/>
      </c>
    </row>
    <row r="546">
      <c r="A546" s="26" t="inlineStr">
        <is>
          <t>업무일지</t>
        </is>
      </c>
      <c r="B546" s="66" t="n">
        <v>514</v>
      </c>
      <c r="C546" s="122">
        <f>IF($D546="","",IFERROR(TEXT(업무일지!$B514,"yyyy-mm-dd"),"(날짜없음)")&amp;"  "&amp;업무일지!$F514&amp;"  "&amp;업무일지!$H514)</f>
        <v/>
      </c>
      <c r="D546" s="122">
        <f>IF(NOT(COUNTBLANK(업무일지!$B514:$AH514)&lt;33),"",TRIM(IF(업무일지!$B514="","시작일 누락; ","")&amp;IF(업무일지!$C514="","종료일 누락; ","")&amp;IF(AND(업무일지!$B514&lt;&gt;"",업무일지!$C514&lt;&gt;"",업무일지!$C514&lt;업무일지!$B514),"종료일이 시작일보다 빠름; ","")&amp;IF(COUNTIF(코드설정!$H$5:$H$7,업무일지!$D514)=0,"직무구분 누락; ","")&amp;IF(업무일지!$E514="","세부유형 누락; ",IF(AND(업무일지!$D514&lt;&gt;"",COUNTIFS(코드설정!$A$5:$A$21,업무일지!$D514,코드설정!$B$5:$B$21,업무일지!$E514)=0),"세부유형이 직무구분과 불일치; ",""))&amp;IF(AND(업무일지!$F514&lt;&gt;"",COUNTIF(사건마스터!$A$5:$A$64,업무일지!$F514)=0),"미등록 사건번호; ","")&amp;IF(AND(업무일지!$F514="",업무일지!$H514=""),"사건번호·업무명 모두 없음; ","")&amp;IF(업무일지!$J514="","담당자 없음; ","")&amp;IF(COUNTIF(코드설정!$F$5:$F$7,업무일지!$AG514)=0,"진행상태 누락; ","")))</f>
        <v/>
      </c>
    </row>
    <row r="547">
      <c r="A547" s="26" t="inlineStr">
        <is>
          <t>업무일지</t>
        </is>
      </c>
      <c r="B547" s="66" t="n">
        <v>515</v>
      </c>
      <c r="C547" s="122">
        <f>IF($D547="","",IFERROR(TEXT(업무일지!$B515,"yyyy-mm-dd"),"(날짜없음)")&amp;"  "&amp;업무일지!$F515&amp;"  "&amp;업무일지!$H515)</f>
        <v/>
      </c>
      <c r="D547" s="122">
        <f>IF(NOT(COUNTBLANK(업무일지!$B515:$AH515)&lt;33),"",TRIM(IF(업무일지!$B515="","시작일 누락; ","")&amp;IF(업무일지!$C515="","종료일 누락; ","")&amp;IF(AND(업무일지!$B515&lt;&gt;"",업무일지!$C515&lt;&gt;"",업무일지!$C515&lt;업무일지!$B515),"종료일이 시작일보다 빠름; ","")&amp;IF(COUNTIF(코드설정!$H$5:$H$7,업무일지!$D515)=0,"직무구분 누락; ","")&amp;IF(업무일지!$E515="","세부유형 누락; ",IF(AND(업무일지!$D515&lt;&gt;"",COUNTIFS(코드설정!$A$5:$A$21,업무일지!$D515,코드설정!$B$5:$B$21,업무일지!$E515)=0),"세부유형이 직무구분과 불일치; ",""))&amp;IF(AND(업무일지!$F515&lt;&gt;"",COUNTIF(사건마스터!$A$5:$A$64,업무일지!$F515)=0),"미등록 사건번호; ","")&amp;IF(AND(업무일지!$F515="",업무일지!$H515=""),"사건번호·업무명 모두 없음; ","")&amp;IF(업무일지!$J515="","담당자 없음; ","")&amp;IF(COUNTIF(코드설정!$F$5:$F$7,업무일지!$AG515)=0,"진행상태 누락; ","")))</f>
        <v/>
      </c>
    </row>
    <row r="548">
      <c r="A548" s="26" t="inlineStr">
        <is>
          <t>업무일지</t>
        </is>
      </c>
      <c r="B548" s="66" t="n">
        <v>516</v>
      </c>
      <c r="C548" s="122">
        <f>IF($D548="","",IFERROR(TEXT(업무일지!$B516,"yyyy-mm-dd"),"(날짜없음)")&amp;"  "&amp;업무일지!$F516&amp;"  "&amp;업무일지!$H516)</f>
        <v/>
      </c>
      <c r="D548" s="122">
        <f>IF(NOT(COUNTBLANK(업무일지!$B516:$AH516)&lt;33),"",TRIM(IF(업무일지!$B516="","시작일 누락; ","")&amp;IF(업무일지!$C516="","종료일 누락; ","")&amp;IF(AND(업무일지!$B516&lt;&gt;"",업무일지!$C516&lt;&gt;"",업무일지!$C516&lt;업무일지!$B516),"종료일이 시작일보다 빠름; ","")&amp;IF(COUNTIF(코드설정!$H$5:$H$7,업무일지!$D516)=0,"직무구분 누락; ","")&amp;IF(업무일지!$E516="","세부유형 누락; ",IF(AND(업무일지!$D516&lt;&gt;"",COUNTIFS(코드설정!$A$5:$A$21,업무일지!$D516,코드설정!$B$5:$B$21,업무일지!$E516)=0),"세부유형이 직무구분과 불일치; ",""))&amp;IF(AND(업무일지!$F516&lt;&gt;"",COUNTIF(사건마스터!$A$5:$A$64,업무일지!$F516)=0),"미등록 사건번호; ","")&amp;IF(AND(업무일지!$F516="",업무일지!$H516=""),"사건번호·업무명 모두 없음; ","")&amp;IF(업무일지!$J516="","담당자 없음; ","")&amp;IF(COUNTIF(코드설정!$F$5:$F$7,업무일지!$AG516)=0,"진행상태 누락; ","")))</f>
        <v/>
      </c>
    </row>
    <row r="549">
      <c r="A549" s="26" t="inlineStr">
        <is>
          <t>업무일지</t>
        </is>
      </c>
      <c r="B549" s="66" t="n">
        <v>517</v>
      </c>
      <c r="C549" s="122">
        <f>IF($D549="","",IFERROR(TEXT(업무일지!$B517,"yyyy-mm-dd"),"(날짜없음)")&amp;"  "&amp;업무일지!$F517&amp;"  "&amp;업무일지!$H517)</f>
        <v/>
      </c>
      <c r="D549" s="122">
        <f>IF(NOT(COUNTBLANK(업무일지!$B517:$AH517)&lt;33),"",TRIM(IF(업무일지!$B517="","시작일 누락; ","")&amp;IF(업무일지!$C517="","종료일 누락; ","")&amp;IF(AND(업무일지!$B517&lt;&gt;"",업무일지!$C517&lt;&gt;"",업무일지!$C517&lt;업무일지!$B517),"종료일이 시작일보다 빠름; ","")&amp;IF(COUNTIF(코드설정!$H$5:$H$7,업무일지!$D517)=0,"직무구분 누락; ","")&amp;IF(업무일지!$E517="","세부유형 누락; ",IF(AND(업무일지!$D517&lt;&gt;"",COUNTIFS(코드설정!$A$5:$A$21,업무일지!$D517,코드설정!$B$5:$B$21,업무일지!$E517)=0),"세부유형이 직무구분과 불일치; ",""))&amp;IF(AND(업무일지!$F517&lt;&gt;"",COUNTIF(사건마스터!$A$5:$A$64,업무일지!$F517)=0),"미등록 사건번호; ","")&amp;IF(AND(업무일지!$F517="",업무일지!$H517=""),"사건번호·업무명 모두 없음; ","")&amp;IF(업무일지!$J517="","담당자 없음; ","")&amp;IF(COUNTIF(코드설정!$F$5:$F$7,업무일지!$AG517)=0,"진행상태 누락; ","")))</f>
        <v/>
      </c>
    </row>
    <row r="550">
      <c r="A550" s="26" t="inlineStr">
        <is>
          <t>업무일지</t>
        </is>
      </c>
      <c r="B550" s="66" t="n">
        <v>518</v>
      </c>
      <c r="C550" s="122">
        <f>IF($D550="","",IFERROR(TEXT(업무일지!$B518,"yyyy-mm-dd"),"(날짜없음)")&amp;"  "&amp;업무일지!$F518&amp;"  "&amp;업무일지!$H518)</f>
        <v/>
      </c>
      <c r="D550" s="122">
        <f>IF(NOT(COUNTBLANK(업무일지!$B518:$AH518)&lt;33),"",TRIM(IF(업무일지!$B518="","시작일 누락; ","")&amp;IF(업무일지!$C518="","종료일 누락; ","")&amp;IF(AND(업무일지!$B518&lt;&gt;"",업무일지!$C518&lt;&gt;"",업무일지!$C518&lt;업무일지!$B518),"종료일이 시작일보다 빠름; ","")&amp;IF(COUNTIF(코드설정!$H$5:$H$7,업무일지!$D518)=0,"직무구분 누락; ","")&amp;IF(업무일지!$E518="","세부유형 누락; ",IF(AND(업무일지!$D518&lt;&gt;"",COUNTIFS(코드설정!$A$5:$A$21,업무일지!$D518,코드설정!$B$5:$B$21,업무일지!$E518)=0),"세부유형이 직무구분과 불일치; ",""))&amp;IF(AND(업무일지!$F518&lt;&gt;"",COUNTIF(사건마스터!$A$5:$A$64,업무일지!$F518)=0),"미등록 사건번호; ","")&amp;IF(AND(업무일지!$F518="",업무일지!$H518=""),"사건번호·업무명 모두 없음; ","")&amp;IF(업무일지!$J518="","담당자 없음; ","")&amp;IF(COUNTIF(코드설정!$F$5:$F$7,업무일지!$AG518)=0,"진행상태 누락; ","")))</f>
        <v/>
      </c>
    </row>
    <row r="551">
      <c r="A551" s="26" t="inlineStr">
        <is>
          <t>업무일지</t>
        </is>
      </c>
      <c r="B551" s="66" t="n">
        <v>519</v>
      </c>
      <c r="C551" s="122">
        <f>IF($D551="","",IFERROR(TEXT(업무일지!$B519,"yyyy-mm-dd"),"(날짜없음)")&amp;"  "&amp;업무일지!$F519&amp;"  "&amp;업무일지!$H519)</f>
        <v/>
      </c>
      <c r="D551" s="122">
        <f>IF(NOT(COUNTBLANK(업무일지!$B519:$AH519)&lt;33),"",TRIM(IF(업무일지!$B519="","시작일 누락; ","")&amp;IF(업무일지!$C519="","종료일 누락; ","")&amp;IF(AND(업무일지!$B519&lt;&gt;"",업무일지!$C519&lt;&gt;"",업무일지!$C519&lt;업무일지!$B519),"종료일이 시작일보다 빠름; ","")&amp;IF(COUNTIF(코드설정!$H$5:$H$7,업무일지!$D519)=0,"직무구분 누락; ","")&amp;IF(업무일지!$E519="","세부유형 누락; ",IF(AND(업무일지!$D519&lt;&gt;"",COUNTIFS(코드설정!$A$5:$A$21,업무일지!$D519,코드설정!$B$5:$B$21,업무일지!$E519)=0),"세부유형이 직무구분과 불일치; ",""))&amp;IF(AND(업무일지!$F519&lt;&gt;"",COUNTIF(사건마스터!$A$5:$A$64,업무일지!$F519)=0),"미등록 사건번호; ","")&amp;IF(AND(업무일지!$F519="",업무일지!$H519=""),"사건번호·업무명 모두 없음; ","")&amp;IF(업무일지!$J519="","담당자 없음; ","")&amp;IF(COUNTIF(코드설정!$F$5:$F$7,업무일지!$AG519)=0,"진행상태 누락; ","")))</f>
        <v/>
      </c>
    </row>
    <row r="552">
      <c r="A552" s="26" t="inlineStr">
        <is>
          <t>업무일지</t>
        </is>
      </c>
      <c r="B552" s="66" t="n">
        <v>520</v>
      </c>
      <c r="C552" s="122">
        <f>IF($D552="","",IFERROR(TEXT(업무일지!$B520,"yyyy-mm-dd"),"(날짜없음)")&amp;"  "&amp;업무일지!$F520&amp;"  "&amp;업무일지!$H520)</f>
        <v/>
      </c>
      <c r="D552" s="122">
        <f>IF(NOT(COUNTBLANK(업무일지!$B520:$AH520)&lt;33),"",TRIM(IF(업무일지!$B520="","시작일 누락; ","")&amp;IF(업무일지!$C520="","종료일 누락; ","")&amp;IF(AND(업무일지!$B520&lt;&gt;"",업무일지!$C520&lt;&gt;"",업무일지!$C520&lt;업무일지!$B520),"종료일이 시작일보다 빠름; ","")&amp;IF(COUNTIF(코드설정!$H$5:$H$7,업무일지!$D520)=0,"직무구분 누락; ","")&amp;IF(업무일지!$E520="","세부유형 누락; ",IF(AND(업무일지!$D520&lt;&gt;"",COUNTIFS(코드설정!$A$5:$A$21,업무일지!$D520,코드설정!$B$5:$B$21,업무일지!$E520)=0),"세부유형이 직무구분과 불일치; ",""))&amp;IF(AND(업무일지!$F520&lt;&gt;"",COUNTIF(사건마스터!$A$5:$A$64,업무일지!$F520)=0),"미등록 사건번호; ","")&amp;IF(AND(업무일지!$F520="",업무일지!$H520=""),"사건번호·업무명 모두 없음; ","")&amp;IF(업무일지!$J520="","담당자 없음; ","")&amp;IF(COUNTIF(코드설정!$F$5:$F$7,업무일지!$AG520)=0,"진행상태 누락; ","")))</f>
        <v/>
      </c>
    </row>
    <row r="553">
      <c r="A553" s="26" t="inlineStr">
        <is>
          <t>업무일지</t>
        </is>
      </c>
      <c r="B553" s="66" t="n">
        <v>521</v>
      </c>
      <c r="C553" s="122">
        <f>IF($D553="","",IFERROR(TEXT(업무일지!$B521,"yyyy-mm-dd"),"(날짜없음)")&amp;"  "&amp;업무일지!$F521&amp;"  "&amp;업무일지!$H521)</f>
        <v/>
      </c>
      <c r="D553" s="122">
        <f>IF(NOT(COUNTBLANK(업무일지!$B521:$AH521)&lt;33),"",TRIM(IF(업무일지!$B521="","시작일 누락; ","")&amp;IF(업무일지!$C521="","종료일 누락; ","")&amp;IF(AND(업무일지!$B521&lt;&gt;"",업무일지!$C521&lt;&gt;"",업무일지!$C521&lt;업무일지!$B521),"종료일이 시작일보다 빠름; ","")&amp;IF(COUNTIF(코드설정!$H$5:$H$7,업무일지!$D521)=0,"직무구분 누락; ","")&amp;IF(업무일지!$E521="","세부유형 누락; ",IF(AND(업무일지!$D521&lt;&gt;"",COUNTIFS(코드설정!$A$5:$A$21,업무일지!$D521,코드설정!$B$5:$B$21,업무일지!$E521)=0),"세부유형이 직무구분과 불일치; ",""))&amp;IF(AND(업무일지!$F521&lt;&gt;"",COUNTIF(사건마스터!$A$5:$A$64,업무일지!$F521)=0),"미등록 사건번호; ","")&amp;IF(AND(업무일지!$F521="",업무일지!$H521=""),"사건번호·업무명 모두 없음; ","")&amp;IF(업무일지!$J521="","담당자 없음; ","")&amp;IF(COUNTIF(코드설정!$F$5:$F$7,업무일지!$AG521)=0,"진행상태 누락; ","")))</f>
        <v/>
      </c>
    </row>
    <row r="554">
      <c r="A554" s="26" t="inlineStr">
        <is>
          <t>업무일지</t>
        </is>
      </c>
      <c r="B554" s="66" t="n">
        <v>522</v>
      </c>
      <c r="C554" s="122">
        <f>IF($D554="","",IFERROR(TEXT(업무일지!$B522,"yyyy-mm-dd"),"(날짜없음)")&amp;"  "&amp;업무일지!$F522&amp;"  "&amp;업무일지!$H522)</f>
        <v/>
      </c>
      <c r="D554" s="122">
        <f>IF(NOT(COUNTBLANK(업무일지!$B522:$AH522)&lt;33),"",TRIM(IF(업무일지!$B522="","시작일 누락; ","")&amp;IF(업무일지!$C522="","종료일 누락; ","")&amp;IF(AND(업무일지!$B522&lt;&gt;"",업무일지!$C522&lt;&gt;"",업무일지!$C522&lt;업무일지!$B522),"종료일이 시작일보다 빠름; ","")&amp;IF(COUNTIF(코드설정!$H$5:$H$7,업무일지!$D522)=0,"직무구분 누락; ","")&amp;IF(업무일지!$E522="","세부유형 누락; ",IF(AND(업무일지!$D522&lt;&gt;"",COUNTIFS(코드설정!$A$5:$A$21,업무일지!$D522,코드설정!$B$5:$B$21,업무일지!$E522)=0),"세부유형이 직무구분과 불일치; ",""))&amp;IF(AND(업무일지!$F522&lt;&gt;"",COUNTIF(사건마스터!$A$5:$A$64,업무일지!$F522)=0),"미등록 사건번호; ","")&amp;IF(AND(업무일지!$F522="",업무일지!$H522=""),"사건번호·업무명 모두 없음; ","")&amp;IF(업무일지!$J522="","담당자 없음; ","")&amp;IF(COUNTIF(코드설정!$F$5:$F$7,업무일지!$AG522)=0,"진행상태 누락; ","")))</f>
        <v/>
      </c>
    </row>
    <row r="555">
      <c r="A555" s="26" t="inlineStr">
        <is>
          <t>업무일지</t>
        </is>
      </c>
      <c r="B555" s="66" t="n">
        <v>523</v>
      </c>
      <c r="C555" s="122">
        <f>IF($D555="","",IFERROR(TEXT(업무일지!$B523,"yyyy-mm-dd"),"(날짜없음)")&amp;"  "&amp;업무일지!$F523&amp;"  "&amp;업무일지!$H523)</f>
        <v/>
      </c>
      <c r="D555" s="122">
        <f>IF(NOT(COUNTBLANK(업무일지!$B523:$AH523)&lt;33),"",TRIM(IF(업무일지!$B523="","시작일 누락; ","")&amp;IF(업무일지!$C523="","종료일 누락; ","")&amp;IF(AND(업무일지!$B523&lt;&gt;"",업무일지!$C523&lt;&gt;"",업무일지!$C523&lt;업무일지!$B523),"종료일이 시작일보다 빠름; ","")&amp;IF(COUNTIF(코드설정!$H$5:$H$7,업무일지!$D523)=0,"직무구분 누락; ","")&amp;IF(업무일지!$E523="","세부유형 누락; ",IF(AND(업무일지!$D523&lt;&gt;"",COUNTIFS(코드설정!$A$5:$A$21,업무일지!$D523,코드설정!$B$5:$B$21,업무일지!$E523)=0),"세부유형이 직무구분과 불일치; ",""))&amp;IF(AND(업무일지!$F523&lt;&gt;"",COUNTIF(사건마스터!$A$5:$A$64,업무일지!$F523)=0),"미등록 사건번호; ","")&amp;IF(AND(업무일지!$F523="",업무일지!$H523=""),"사건번호·업무명 모두 없음; ","")&amp;IF(업무일지!$J523="","담당자 없음; ","")&amp;IF(COUNTIF(코드설정!$F$5:$F$7,업무일지!$AG523)=0,"진행상태 누락; ","")))</f>
        <v/>
      </c>
    </row>
    <row r="556">
      <c r="A556" s="26" t="inlineStr">
        <is>
          <t>업무일지</t>
        </is>
      </c>
      <c r="B556" s="66" t="n">
        <v>524</v>
      </c>
      <c r="C556" s="122">
        <f>IF($D556="","",IFERROR(TEXT(업무일지!$B524,"yyyy-mm-dd"),"(날짜없음)")&amp;"  "&amp;업무일지!$F524&amp;"  "&amp;업무일지!$H524)</f>
        <v/>
      </c>
      <c r="D556" s="122">
        <f>IF(NOT(COUNTBLANK(업무일지!$B524:$AH524)&lt;33),"",TRIM(IF(업무일지!$B524="","시작일 누락; ","")&amp;IF(업무일지!$C524="","종료일 누락; ","")&amp;IF(AND(업무일지!$B524&lt;&gt;"",업무일지!$C524&lt;&gt;"",업무일지!$C524&lt;업무일지!$B524),"종료일이 시작일보다 빠름; ","")&amp;IF(COUNTIF(코드설정!$H$5:$H$7,업무일지!$D524)=0,"직무구분 누락; ","")&amp;IF(업무일지!$E524="","세부유형 누락; ",IF(AND(업무일지!$D524&lt;&gt;"",COUNTIFS(코드설정!$A$5:$A$21,업무일지!$D524,코드설정!$B$5:$B$21,업무일지!$E524)=0),"세부유형이 직무구분과 불일치; ",""))&amp;IF(AND(업무일지!$F524&lt;&gt;"",COUNTIF(사건마스터!$A$5:$A$64,업무일지!$F524)=0),"미등록 사건번호; ","")&amp;IF(AND(업무일지!$F524="",업무일지!$H524=""),"사건번호·업무명 모두 없음; ","")&amp;IF(업무일지!$J524="","담당자 없음; ","")&amp;IF(COUNTIF(코드설정!$F$5:$F$7,업무일지!$AG524)=0,"진행상태 누락; ","")))</f>
        <v/>
      </c>
    </row>
    <row r="557">
      <c r="A557" s="26" t="inlineStr">
        <is>
          <t>업무일지</t>
        </is>
      </c>
      <c r="B557" s="66" t="n">
        <v>525</v>
      </c>
      <c r="C557" s="122">
        <f>IF($D557="","",IFERROR(TEXT(업무일지!$B525,"yyyy-mm-dd"),"(날짜없음)")&amp;"  "&amp;업무일지!$F525&amp;"  "&amp;업무일지!$H525)</f>
        <v/>
      </c>
      <c r="D557" s="122">
        <f>IF(NOT(COUNTBLANK(업무일지!$B525:$AH525)&lt;33),"",TRIM(IF(업무일지!$B525="","시작일 누락; ","")&amp;IF(업무일지!$C525="","종료일 누락; ","")&amp;IF(AND(업무일지!$B525&lt;&gt;"",업무일지!$C525&lt;&gt;"",업무일지!$C525&lt;업무일지!$B525),"종료일이 시작일보다 빠름; ","")&amp;IF(COUNTIF(코드설정!$H$5:$H$7,업무일지!$D525)=0,"직무구분 누락; ","")&amp;IF(업무일지!$E525="","세부유형 누락; ",IF(AND(업무일지!$D525&lt;&gt;"",COUNTIFS(코드설정!$A$5:$A$21,업무일지!$D525,코드설정!$B$5:$B$21,업무일지!$E525)=0),"세부유형이 직무구분과 불일치; ",""))&amp;IF(AND(업무일지!$F525&lt;&gt;"",COUNTIF(사건마스터!$A$5:$A$64,업무일지!$F525)=0),"미등록 사건번호; ","")&amp;IF(AND(업무일지!$F525="",업무일지!$H525=""),"사건번호·업무명 모두 없음; ","")&amp;IF(업무일지!$J525="","담당자 없음; ","")&amp;IF(COUNTIF(코드설정!$F$5:$F$7,업무일지!$AG525)=0,"진행상태 누락; ","")))</f>
        <v/>
      </c>
    </row>
    <row r="558">
      <c r="A558" s="26" t="inlineStr">
        <is>
          <t>업무일지</t>
        </is>
      </c>
      <c r="B558" s="66" t="n">
        <v>526</v>
      </c>
      <c r="C558" s="122">
        <f>IF($D558="","",IFERROR(TEXT(업무일지!$B526,"yyyy-mm-dd"),"(날짜없음)")&amp;"  "&amp;업무일지!$F526&amp;"  "&amp;업무일지!$H526)</f>
        <v/>
      </c>
      <c r="D558" s="122">
        <f>IF(NOT(COUNTBLANK(업무일지!$B526:$AH526)&lt;33),"",TRIM(IF(업무일지!$B526="","시작일 누락; ","")&amp;IF(업무일지!$C526="","종료일 누락; ","")&amp;IF(AND(업무일지!$B526&lt;&gt;"",업무일지!$C526&lt;&gt;"",업무일지!$C526&lt;업무일지!$B526),"종료일이 시작일보다 빠름; ","")&amp;IF(COUNTIF(코드설정!$H$5:$H$7,업무일지!$D526)=0,"직무구분 누락; ","")&amp;IF(업무일지!$E526="","세부유형 누락; ",IF(AND(업무일지!$D526&lt;&gt;"",COUNTIFS(코드설정!$A$5:$A$21,업무일지!$D526,코드설정!$B$5:$B$21,업무일지!$E526)=0),"세부유형이 직무구분과 불일치; ",""))&amp;IF(AND(업무일지!$F526&lt;&gt;"",COUNTIF(사건마스터!$A$5:$A$64,업무일지!$F526)=0),"미등록 사건번호; ","")&amp;IF(AND(업무일지!$F526="",업무일지!$H526=""),"사건번호·업무명 모두 없음; ","")&amp;IF(업무일지!$J526="","담당자 없음; ","")&amp;IF(COUNTIF(코드설정!$F$5:$F$7,업무일지!$AG526)=0,"진행상태 누락; ","")))</f>
        <v/>
      </c>
    </row>
    <row r="559">
      <c r="A559" s="26" t="inlineStr">
        <is>
          <t>업무일지</t>
        </is>
      </c>
      <c r="B559" s="66" t="n">
        <v>527</v>
      </c>
      <c r="C559" s="122">
        <f>IF($D559="","",IFERROR(TEXT(업무일지!$B527,"yyyy-mm-dd"),"(날짜없음)")&amp;"  "&amp;업무일지!$F527&amp;"  "&amp;업무일지!$H527)</f>
        <v/>
      </c>
      <c r="D559" s="122">
        <f>IF(NOT(COUNTBLANK(업무일지!$B527:$AH527)&lt;33),"",TRIM(IF(업무일지!$B527="","시작일 누락; ","")&amp;IF(업무일지!$C527="","종료일 누락; ","")&amp;IF(AND(업무일지!$B527&lt;&gt;"",업무일지!$C527&lt;&gt;"",업무일지!$C527&lt;업무일지!$B527),"종료일이 시작일보다 빠름; ","")&amp;IF(COUNTIF(코드설정!$H$5:$H$7,업무일지!$D527)=0,"직무구분 누락; ","")&amp;IF(업무일지!$E527="","세부유형 누락; ",IF(AND(업무일지!$D527&lt;&gt;"",COUNTIFS(코드설정!$A$5:$A$21,업무일지!$D527,코드설정!$B$5:$B$21,업무일지!$E527)=0),"세부유형이 직무구분과 불일치; ",""))&amp;IF(AND(업무일지!$F527&lt;&gt;"",COUNTIF(사건마스터!$A$5:$A$64,업무일지!$F527)=0),"미등록 사건번호; ","")&amp;IF(AND(업무일지!$F527="",업무일지!$H527=""),"사건번호·업무명 모두 없음; ","")&amp;IF(업무일지!$J527="","담당자 없음; ","")&amp;IF(COUNTIF(코드설정!$F$5:$F$7,업무일지!$AG527)=0,"진행상태 누락; ","")))</f>
        <v/>
      </c>
    </row>
    <row r="560">
      <c r="A560" s="26" t="inlineStr">
        <is>
          <t>업무일지</t>
        </is>
      </c>
      <c r="B560" s="66" t="n">
        <v>528</v>
      </c>
      <c r="C560" s="122">
        <f>IF($D560="","",IFERROR(TEXT(업무일지!$B528,"yyyy-mm-dd"),"(날짜없음)")&amp;"  "&amp;업무일지!$F528&amp;"  "&amp;업무일지!$H528)</f>
        <v/>
      </c>
      <c r="D560" s="122">
        <f>IF(NOT(COUNTBLANK(업무일지!$B528:$AH528)&lt;33),"",TRIM(IF(업무일지!$B528="","시작일 누락; ","")&amp;IF(업무일지!$C528="","종료일 누락; ","")&amp;IF(AND(업무일지!$B528&lt;&gt;"",업무일지!$C528&lt;&gt;"",업무일지!$C528&lt;업무일지!$B528),"종료일이 시작일보다 빠름; ","")&amp;IF(COUNTIF(코드설정!$H$5:$H$7,업무일지!$D528)=0,"직무구분 누락; ","")&amp;IF(업무일지!$E528="","세부유형 누락; ",IF(AND(업무일지!$D528&lt;&gt;"",COUNTIFS(코드설정!$A$5:$A$21,업무일지!$D528,코드설정!$B$5:$B$21,업무일지!$E528)=0),"세부유형이 직무구분과 불일치; ",""))&amp;IF(AND(업무일지!$F528&lt;&gt;"",COUNTIF(사건마스터!$A$5:$A$64,업무일지!$F528)=0),"미등록 사건번호; ","")&amp;IF(AND(업무일지!$F528="",업무일지!$H528=""),"사건번호·업무명 모두 없음; ","")&amp;IF(업무일지!$J528="","담당자 없음; ","")&amp;IF(COUNTIF(코드설정!$F$5:$F$7,업무일지!$AG528)=0,"진행상태 누락; ","")))</f>
        <v/>
      </c>
    </row>
    <row r="561">
      <c r="A561" s="26" t="inlineStr">
        <is>
          <t>업무일지</t>
        </is>
      </c>
      <c r="B561" s="66" t="n">
        <v>529</v>
      </c>
      <c r="C561" s="122">
        <f>IF($D561="","",IFERROR(TEXT(업무일지!$B529,"yyyy-mm-dd"),"(날짜없음)")&amp;"  "&amp;업무일지!$F529&amp;"  "&amp;업무일지!$H529)</f>
        <v/>
      </c>
      <c r="D561" s="122">
        <f>IF(NOT(COUNTBLANK(업무일지!$B529:$AH529)&lt;33),"",TRIM(IF(업무일지!$B529="","시작일 누락; ","")&amp;IF(업무일지!$C529="","종료일 누락; ","")&amp;IF(AND(업무일지!$B529&lt;&gt;"",업무일지!$C529&lt;&gt;"",업무일지!$C529&lt;업무일지!$B529),"종료일이 시작일보다 빠름; ","")&amp;IF(COUNTIF(코드설정!$H$5:$H$7,업무일지!$D529)=0,"직무구분 누락; ","")&amp;IF(업무일지!$E529="","세부유형 누락; ",IF(AND(업무일지!$D529&lt;&gt;"",COUNTIFS(코드설정!$A$5:$A$21,업무일지!$D529,코드설정!$B$5:$B$21,업무일지!$E529)=0),"세부유형이 직무구분과 불일치; ",""))&amp;IF(AND(업무일지!$F529&lt;&gt;"",COUNTIF(사건마스터!$A$5:$A$64,업무일지!$F529)=0),"미등록 사건번호; ","")&amp;IF(AND(업무일지!$F529="",업무일지!$H529=""),"사건번호·업무명 모두 없음; ","")&amp;IF(업무일지!$J529="","담당자 없음; ","")&amp;IF(COUNTIF(코드설정!$F$5:$F$7,업무일지!$AG529)=0,"진행상태 누락; ","")))</f>
        <v/>
      </c>
    </row>
    <row r="562">
      <c r="A562" s="26" t="inlineStr">
        <is>
          <t>업무일지</t>
        </is>
      </c>
      <c r="B562" s="66" t="n">
        <v>530</v>
      </c>
      <c r="C562" s="122">
        <f>IF($D562="","",IFERROR(TEXT(업무일지!$B530,"yyyy-mm-dd"),"(날짜없음)")&amp;"  "&amp;업무일지!$F530&amp;"  "&amp;업무일지!$H530)</f>
        <v/>
      </c>
      <c r="D562" s="122">
        <f>IF(NOT(COUNTBLANK(업무일지!$B530:$AH530)&lt;33),"",TRIM(IF(업무일지!$B530="","시작일 누락; ","")&amp;IF(업무일지!$C530="","종료일 누락; ","")&amp;IF(AND(업무일지!$B530&lt;&gt;"",업무일지!$C530&lt;&gt;"",업무일지!$C530&lt;업무일지!$B530),"종료일이 시작일보다 빠름; ","")&amp;IF(COUNTIF(코드설정!$H$5:$H$7,업무일지!$D530)=0,"직무구분 누락; ","")&amp;IF(업무일지!$E530="","세부유형 누락; ",IF(AND(업무일지!$D530&lt;&gt;"",COUNTIFS(코드설정!$A$5:$A$21,업무일지!$D530,코드설정!$B$5:$B$21,업무일지!$E530)=0),"세부유형이 직무구분과 불일치; ",""))&amp;IF(AND(업무일지!$F530&lt;&gt;"",COUNTIF(사건마스터!$A$5:$A$64,업무일지!$F530)=0),"미등록 사건번호; ","")&amp;IF(AND(업무일지!$F530="",업무일지!$H530=""),"사건번호·업무명 모두 없음; ","")&amp;IF(업무일지!$J530="","담당자 없음; ","")&amp;IF(COUNTIF(코드설정!$F$5:$F$7,업무일지!$AG530)=0,"진행상태 누락; ","")))</f>
        <v/>
      </c>
    </row>
    <row r="563">
      <c r="A563" s="26" t="inlineStr">
        <is>
          <t>업무일지</t>
        </is>
      </c>
      <c r="B563" s="66" t="n">
        <v>531</v>
      </c>
      <c r="C563" s="122">
        <f>IF($D563="","",IFERROR(TEXT(업무일지!$B531,"yyyy-mm-dd"),"(날짜없음)")&amp;"  "&amp;업무일지!$F531&amp;"  "&amp;업무일지!$H531)</f>
        <v/>
      </c>
      <c r="D563" s="122">
        <f>IF(NOT(COUNTBLANK(업무일지!$B531:$AH531)&lt;33),"",TRIM(IF(업무일지!$B531="","시작일 누락; ","")&amp;IF(업무일지!$C531="","종료일 누락; ","")&amp;IF(AND(업무일지!$B531&lt;&gt;"",업무일지!$C531&lt;&gt;"",업무일지!$C531&lt;업무일지!$B531),"종료일이 시작일보다 빠름; ","")&amp;IF(COUNTIF(코드설정!$H$5:$H$7,업무일지!$D531)=0,"직무구분 누락; ","")&amp;IF(업무일지!$E531="","세부유형 누락; ",IF(AND(업무일지!$D531&lt;&gt;"",COUNTIFS(코드설정!$A$5:$A$21,업무일지!$D531,코드설정!$B$5:$B$21,업무일지!$E531)=0),"세부유형이 직무구분과 불일치; ",""))&amp;IF(AND(업무일지!$F531&lt;&gt;"",COUNTIF(사건마스터!$A$5:$A$64,업무일지!$F531)=0),"미등록 사건번호; ","")&amp;IF(AND(업무일지!$F531="",업무일지!$H531=""),"사건번호·업무명 모두 없음; ","")&amp;IF(업무일지!$J531="","담당자 없음; ","")&amp;IF(COUNTIF(코드설정!$F$5:$F$7,업무일지!$AG531)=0,"진행상태 누락; ","")))</f>
        <v/>
      </c>
    </row>
    <row r="564">
      <c r="A564" s="26" t="inlineStr">
        <is>
          <t>업무일지</t>
        </is>
      </c>
      <c r="B564" s="66" t="n">
        <v>532</v>
      </c>
      <c r="C564" s="122">
        <f>IF($D564="","",IFERROR(TEXT(업무일지!$B532,"yyyy-mm-dd"),"(날짜없음)")&amp;"  "&amp;업무일지!$F532&amp;"  "&amp;업무일지!$H532)</f>
        <v/>
      </c>
      <c r="D564" s="122">
        <f>IF(NOT(COUNTBLANK(업무일지!$B532:$AH532)&lt;33),"",TRIM(IF(업무일지!$B532="","시작일 누락; ","")&amp;IF(업무일지!$C532="","종료일 누락; ","")&amp;IF(AND(업무일지!$B532&lt;&gt;"",업무일지!$C532&lt;&gt;"",업무일지!$C532&lt;업무일지!$B532),"종료일이 시작일보다 빠름; ","")&amp;IF(COUNTIF(코드설정!$H$5:$H$7,업무일지!$D532)=0,"직무구분 누락; ","")&amp;IF(업무일지!$E532="","세부유형 누락; ",IF(AND(업무일지!$D532&lt;&gt;"",COUNTIFS(코드설정!$A$5:$A$21,업무일지!$D532,코드설정!$B$5:$B$21,업무일지!$E532)=0),"세부유형이 직무구분과 불일치; ",""))&amp;IF(AND(업무일지!$F532&lt;&gt;"",COUNTIF(사건마스터!$A$5:$A$64,업무일지!$F532)=0),"미등록 사건번호; ","")&amp;IF(AND(업무일지!$F532="",업무일지!$H532=""),"사건번호·업무명 모두 없음; ","")&amp;IF(업무일지!$J532="","담당자 없음; ","")&amp;IF(COUNTIF(코드설정!$F$5:$F$7,업무일지!$AG532)=0,"진행상태 누락; ","")))</f>
        <v/>
      </c>
    </row>
    <row r="565">
      <c r="A565" s="26" t="inlineStr">
        <is>
          <t>업무일지</t>
        </is>
      </c>
      <c r="B565" s="66" t="n">
        <v>533</v>
      </c>
      <c r="C565" s="122">
        <f>IF($D565="","",IFERROR(TEXT(업무일지!$B533,"yyyy-mm-dd"),"(날짜없음)")&amp;"  "&amp;업무일지!$F533&amp;"  "&amp;업무일지!$H533)</f>
        <v/>
      </c>
      <c r="D565" s="122">
        <f>IF(NOT(COUNTBLANK(업무일지!$B533:$AH533)&lt;33),"",TRIM(IF(업무일지!$B533="","시작일 누락; ","")&amp;IF(업무일지!$C533="","종료일 누락; ","")&amp;IF(AND(업무일지!$B533&lt;&gt;"",업무일지!$C533&lt;&gt;"",업무일지!$C533&lt;업무일지!$B533),"종료일이 시작일보다 빠름; ","")&amp;IF(COUNTIF(코드설정!$H$5:$H$7,업무일지!$D533)=0,"직무구분 누락; ","")&amp;IF(업무일지!$E533="","세부유형 누락; ",IF(AND(업무일지!$D533&lt;&gt;"",COUNTIFS(코드설정!$A$5:$A$21,업무일지!$D533,코드설정!$B$5:$B$21,업무일지!$E533)=0),"세부유형이 직무구분과 불일치; ",""))&amp;IF(AND(업무일지!$F533&lt;&gt;"",COUNTIF(사건마스터!$A$5:$A$64,업무일지!$F533)=0),"미등록 사건번호; ","")&amp;IF(AND(업무일지!$F533="",업무일지!$H533=""),"사건번호·업무명 모두 없음; ","")&amp;IF(업무일지!$J533="","담당자 없음; ","")&amp;IF(COUNTIF(코드설정!$F$5:$F$7,업무일지!$AG533)=0,"진행상태 누락; ","")))</f>
        <v/>
      </c>
    </row>
    <row r="566">
      <c r="A566" s="26" t="inlineStr">
        <is>
          <t>업무일지</t>
        </is>
      </c>
      <c r="B566" s="66" t="n">
        <v>534</v>
      </c>
      <c r="C566" s="122">
        <f>IF($D566="","",IFERROR(TEXT(업무일지!$B534,"yyyy-mm-dd"),"(날짜없음)")&amp;"  "&amp;업무일지!$F534&amp;"  "&amp;업무일지!$H534)</f>
        <v/>
      </c>
      <c r="D566" s="122">
        <f>IF(NOT(COUNTBLANK(업무일지!$B534:$AH534)&lt;33),"",TRIM(IF(업무일지!$B534="","시작일 누락; ","")&amp;IF(업무일지!$C534="","종료일 누락; ","")&amp;IF(AND(업무일지!$B534&lt;&gt;"",업무일지!$C534&lt;&gt;"",업무일지!$C534&lt;업무일지!$B534),"종료일이 시작일보다 빠름; ","")&amp;IF(COUNTIF(코드설정!$H$5:$H$7,업무일지!$D534)=0,"직무구분 누락; ","")&amp;IF(업무일지!$E534="","세부유형 누락; ",IF(AND(업무일지!$D534&lt;&gt;"",COUNTIFS(코드설정!$A$5:$A$21,업무일지!$D534,코드설정!$B$5:$B$21,업무일지!$E534)=0),"세부유형이 직무구분과 불일치; ",""))&amp;IF(AND(업무일지!$F534&lt;&gt;"",COUNTIF(사건마스터!$A$5:$A$64,업무일지!$F534)=0),"미등록 사건번호; ","")&amp;IF(AND(업무일지!$F534="",업무일지!$H534=""),"사건번호·업무명 모두 없음; ","")&amp;IF(업무일지!$J534="","담당자 없음; ","")&amp;IF(COUNTIF(코드설정!$F$5:$F$7,업무일지!$AG534)=0,"진행상태 누락; ","")))</f>
        <v/>
      </c>
    </row>
    <row r="567">
      <c r="A567" s="26" t="inlineStr">
        <is>
          <t>업무일지</t>
        </is>
      </c>
      <c r="B567" s="66" t="n">
        <v>535</v>
      </c>
      <c r="C567" s="122">
        <f>IF($D567="","",IFERROR(TEXT(업무일지!$B535,"yyyy-mm-dd"),"(날짜없음)")&amp;"  "&amp;업무일지!$F535&amp;"  "&amp;업무일지!$H535)</f>
        <v/>
      </c>
      <c r="D567" s="122">
        <f>IF(NOT(COUNTBLANK(업무일지!$B535:$AH535)&lt;33),"",TRIM(IF(업무일지!$B535="","시작일 누락; ","")&amp;IF(업무일지!$C535="","종료일 누락; ","")&amp;IF(AND(업무일지!$B535&lt;&gt;"",업무일지!$C535&lt;&gt;"",업무일지!$C535&lt;업무일지!$B535),"종료일이 시작일보다 빠름; ","")&amp;IF(COUNTIF(코드설정!$H$5:$H$7,업무일지!$D535)=0,"직무구분 누락; ","")&amp;IF(업무일지!$E535="","세부유형 누락; ",IF(AND(업무일지!$D535&lt;&gt;"",COUNTIFS(코드설정!$A$5:$A$21,업무일지!$D535,코드설정!$B$5:$B$21,업무일지!$E535)=0),"세부유형이 직무구분과 불일치; ",""))&amp;IF(AND(업무일지!$F535&lt;&gt;"",COUNTIF(사건마스터!$A$5:$A$64,업무일지!$F535)=0),"미등록 사건번호; ","")&amp;IF(AND(업무일지!$F535="",업무일지!$H535=""),"사건번호·업무명 모두 없음; ","")&amp;IF(업무일지!$J535="","담당자 없음; ","")&amp;IF(COUNTIF(코드설정!$F$5:$F$7,업무일지!$AG535)=0,"진행상태 누락; ","")))</f>
        <v/>
      </c>
    </row>
    <row r="568">
      <c r="A568" s="26" t="inlineStr">
        <is>
          <t>업무일지</t>
        </is>
      </c>
      <c r="B568" s="66" t="n">
        <v>536</v>
      </c>
      <c r="C568" s="122">
        <f>IF($D568="","",IFERROR(TEXT(업무일지!$B536,"yyyy-mm-dd"),"(날짜없음)")&amp;"  "&amp;업무일지!$F536&amp;"  "&amp;업무일지!$H536)</f>
        <v/>
      </c>
      <c r="D568" s="122">
        <f>IF(NOT(COUNTBLANK(업무일지!$B536:$AH536)&lt;33),"",TRIM(IF(업무일지!$B536="","시작일 누락; ","")&amp;IF(업무일지!$C536="","종료일 누락; ","")&amp;IF(AND(업무일지!$B536&lt;&gt;"",업무일지!$C536&lt;&gt;"",업무일지!$C536&lt;업무일지!$B536),"종료일이 시작일보다 빠름; ","")&amp;IF(COUNTIF(코드설정!$H$5:$H$7,업무일지!$D536)=0,"직무구분 누락; ","")&amp;IF(업무일지!$E536="","세부유형 누락; ",IF(AND(업무일지!$D536&lt;&gt;"",COUNTIFS(코드설정!$A$5:$A$21,업무일지!$D536,코드설정!$B$5:$B$21,업무일지!$E536)=0),"세부유형이 직무구분과 불일치; ",""))&amp;IF(AND(업무일지!$F536&lt;&gt;"",COUNTIF(사건마스터!$A$5:$A$64,업무일지!$F536)=0),"미등록 사건번호; ","")&amp;IF(AND(업무일지!$F536="",업무일지!$H536=""),"사건번호·업무명 모두 없음; ","")&amp;IF(업무일지!$J536="","담당자 없음; ","")&amp;IF(COUNTIF(코드설정!$F$5:$F$7,업무일지!$AG536)=0,"진행상태 누락; ","")))</f>
        <v/>
      </c>
    </row>
    <row r="569">
      <c r="A569" s="26" t="inlineStr">
        <is>
          <t>업무일지</t>
        </is>
      </c>
      <c r="B569" s="66" t="n">
        <v>537</v>
      </c>
      <c r="C569" s="122">
        <f>IF($D569="","",IFERROR(TEXT(업무일지!$B537,"yyyy-mm-dd"),"(날짜없음)")&amp;"  "&amp;업무일지!$F537&amp;"  "&amp;업무일지!$H537)</f>
        <v/>
      </c>
      <c r="D569" s="122">
        <f>IF(NOT(COUNTBLANK(업무일지!$B537:$AH537)&lt;33),"",TRIM(IF(업무일지!$B537="","시작일 누락; ","")&amp;IF(업무일지!$C537="","종료일 누락; ","")&amp;IF(AND(업무일지!$B537&lt;&gt;"",업무일지!$C537&lt;&gt;"",업무일지!$C537&lt;업무일지!$B537),"종료일이 시작일보다 빠름; ","")&amp;IF(COUNTIF(코드설정!$H$5:$H$7,업무일지!$D537)=0,"직무구분 누락; ","")&amp;IF(업무일지!$E537="","세부유형 누락; ",IF(AND(업무일지!$D537&lt;&gt;"",COUNTIFS(코드설정!$A$5:$A$21,업무일지!$D537,코드설정!$B$5:$B$21,업무일지!$E537)=0),"세부유형이 직무구분과 불일치; ",""))&amp;IF(AND(업무일지!$F537&lt;&gt;"",COUNTIF(사건마스터!$A$5:$A$64,업무일지!$F537)=0),"미등록 사건번호; ","")&amp;IF(AND(업무일지!$F537="",업무일지!$H537=""),"사건번호·업무명 모두 없음; ","")&amp;IF(업무일지!$J537="","담당자 없음; ","")&amp;IF(COUNTIF(코드설정!$F$5:$F$7,업무일지!$AG537)=0,"진행상태 누락; ","")))</f>
        <v/>
      </c>
    </row>
    <row r="570">
      <c r="A570" s="26" t="inlineStr">
        <is>
          <t>업무일지</t>
        </is>
      </c>
      <c r="B570" s="66" t="n">
        <v>538</v>
      </c>
      <c r="C570" s="122">
        <f>IF($D570="","",IFERROR(TEXT(업무일지!$B538,"yyyy-mm-dd"),"(날짜없음)")&amp;"  "&amp;업무일지!$F538&amp;"  "&amp;업무일지!$H538)</f>
        <v/>
      </c>
      <c r="D570" s="122">
        <f>IF(NOT(COUNTBLANK(업무일지!$B538:$AH538)&lt;33),"",TRIM(IF(업무일지!$B538="","시작일 누락; ","")&amp;IF(업무일지!$C538="","종료일 누락; ","")&amp;IF(AND(업무일지!$B538&lt;&gt;"",업무일지!$C538&lt;&gt;"",업무일지!$C538&lt;업무일지!$B538),"종료일이 시작일보다 빠름; ","")&amp;IF(COUNTIF(코드설정!$H$5:$H$7,업무일지!$D538)=0,"직무구분 누락; ","")&amp;IF(업무일지!$E538="","세부유형 누락; ",IF(AND(업무일지!$D538&lt;&gt;"",COUNTIFS(코드설정!$A$5:$A$21,업무일지!$D538,코드설정!$B$5:$B$21,업무일지!$E538)=0),"세부유형이 직무구분과 불일치; ",""))&amp;IF(AND(업무일지!$F538&lt;&gt;"",COUNTIF(사건마스터!$A$5:$A$64,업무일지!$F538)=0),"미등록 사건번호; ","")&amp;IF(AND(업무일지!$F538="",업무일지!$H538=""),"사건번호·업무명 모두 없음; ","")&amp;IF(업무일지!$J538="","담당자 없음; ","")&amp;IF(COUNTIF(코드설정!$F$5:$F$7,업무일지!$AG538)=0,"진행상태 누락; ","")))</f>
        <v/>
      </c>
    </row>
    <row r="571">
      <c r="A571" s="26" t="inlineStr">
        <is>
          <t>업무일지</t>
        </is>
      </c>
      <c r="B571" s="66" t="n">
        <v>539</v>
      </c>
      <c r="C571" s="122">
        <f>IF($D571="","",IFERROR(TEXT(업무일지!$B539,"yyyy-mm-dd"),"(날짜없음)")&amp;"  "&amp;업무일지!$F539&amp;"  "&amp;업무일지!$H539)</f>
        <v/>
      </c>
      <c r="D571" s="122">
        <f>IF(NOT(COUNTBLANK(업무일지!$B539:$AH539)&lt;33),"",TRIM(IF(업무일지!$B539="","시작일 누락; ","")&amp;IF(업무일지!$C539="","종료일 누락; ","")&amp;IF(AND(업무일지!$B539&lt;&gt;"",업무일지!$C539&lt;&gt;"",업무일지!$C539&lt;업무일지!$B539),"종료일이 시작일보다 빠름; ","")&amp;IF(COUNTIF(코드설정!$H$5:$H$7,업무일지!$D539)=0,"직무구분 누락; ","")&amp;IF(업무일지!$E539="","세부유형 누락; ",IF(AND(업무일지!$D539&lt;&gt;"",COUNTIFS(코드설정!$A$5:$A$21,업무일지!$D539,코드설정!$B$5:$B$21,업무일지!$E539)=0),"세부유형이 직무구분과 불일치; ",""))&amp;IF(AND(업무일지!$F539&lt;&gt;"",COUNTIF(사건마스터!$A$5:$A$64,업무일지!$F539)=0),"미등록 사건번호; ","")&amp;IF(AND(업무일지!$F539="",업무일지!$H539=""),"사건번호·업무명 모두 없음; ","")&amp;IF(업무일지!$J539="","담당자 없음; ","")&amp;IF(COUNTIF(코드설정!$F$5:$F$7,업무일지!$AG539)=0,"진행상태 누락; ","")))</f>
        <v/>
      </c>
    </row>
    <row r="572">
      <c r="A572" s="26" t="inlineStr">
        <is>
          <t>업무일지</t>
        </is>
      </c>
      <c r="B572" s="66" t="n">
        <v>540</v>
      </c>
      <c r="C572" s="122">
        <f>IF($D572="","",IFERROR(TEXT(업무일지!$B540,"yyyy-mm-dd"),"(날짜없음)")&amp;"  "&amp;업무일지!$F540&amp;"  "&amp;업무일지!$H540)</f>
        <v/>
      </c>
      <c r="D572" s="122">
        <f>IF(NOT(COUNTBLANK(업무일지!$B540:$AH540)&lt;33),"",TRIM(IF(업무일지!$B540="","시작일 누락; ","")&amp;IF(업무일지!$C540="","종료일 누락; ","")&amp;IF(AND(업무일지!$B540&lt;&gt;"",업무일지!$C540&lt;&gt;"",업무일지!$C540&lt;업무일지!$B540),"종료일이 시작일보다 빠름; ","")&amp;IF(COUNTIF(코드설정!$H$5:$H$7,업무일지!$D540)=0,"직무구분 누락; ","")&amp;IF(업무일지!$E540="","세부유형 누락; ",IF(AND(업무일지!$D540&lt;&gt;"",COUNTIFS(코드설정!$A$5:$A$21,업무일지!$D540,코드설정!$B$5:$B$21,업무일지!$E540)=0),"세부유형이 직무구분과 불일치; ",""))&amp;IF(AND(업무일지!$F540&lt;&gt;"",COUNTIF(사건마스터!$A$5:$A$64,업무일지!$F540)=0),"미등록 사건번호; ","")&amp;IF(AND(업무일지!$F540="",업무일지!$H540=""),"사건번호·업무명 모두 없음; ","")&amp;IF(업무일지!$J540="","담당자 없음; ","")&amp;IF(COUNTIF(코드설정!$F$5:$F$7,업무일지!$AG540)=0,"진행상태 누락; ","")))</f>
        <v/>
      </c>
    </row>
    <row r="573">
      <c r="A573" s="26" t="inlineStr">
        <is>
          <t>업무일지</t>
        </is>
      </c>
      <c r="B573" s="66" t="n">
        <v>541</v>
      </c>
      <c r="C573" s="122">
        <f>IF($D573="","",IFERROR(TEXT(업무일지!$B541,"yyyy-mm-dd"),"(날짜없음)")&amp;"  "&amp;업무일지!$F541&amp;"  "&amp;업무일지!$H541)</f>
        <v/>
      </c>
      <c r="D573" s="122">
        <f>IF(NOT(COUNTBLANK(업무일지!$B541:$AH541)&lt;33),"",TRIM(IF(업무일지!$B541="","시작일 누락; ","")&amp;IF(업무일지!$C541="","종료일 누락; ","")&amp;IF(AND(업무일지!$B541&lt;&gt;"",업무일지!$C541&lt;&gt;"",업무일지!$C541&lt;업무일지!$B541),"종료일이 시작일보다 빠름; ","")&amp;IF(COUNTIF(코드설정!$H$5:$H$7,업무일지!$D541)=0,"직무구분 누락; ","")&amp;IF(업무일지!$E541="","세부유형 누락; ",IF(AND(업무일지!$D541&lt;&gt;"",COUNTIFS(코드설정!$A$5:$A$21,업무일지!$D541,코드설정!$B$5:$B$21,업무일지!$E541)=0),"세부유형이 직무구분과 불일치; ",""))&amp;IF(AND(업무일지!$F541&lt;&gt;"",COUNTIF(사건마스터!$A$5:$A$64,업무일지!$F541)=0),"미등록 사건번호; ","")&amp;IF(AND(업무일지!$F541="",업무일지!$H541=""),"사건번호·업무명 모두 없음; ","")&amp;IF(업무일지!$J541="","담당자 없음; ","")&amp;IF(COUNTIF(코드설정!$F$5:$F$7,업무일지!$AG541)=0,"진행상태 누락; ","")))</f>
        <v/>
      </c>
    </row>
    <row r="574">
      <c r="A574" s="26" t="inlineStr">
        <is>
          <t>업무일지</t>
        </is>
      </c>
      <c r="B574" s="66" t="n">
        <v>542</v>
      </c>
      <c r="C574" s="122">
        <f>IF($D574="","",IFERROR(TEXT(업무일지!$B542,"yyyy-mm-dd"),"(날짜없음)")&amp;"  "&amp;업무일지!$F542&amp;"  "&amp;업무일지!$H542)</f>
        <v/>
      </c>
      <c r="D574" s="122">
        <f>IF(NOT(COUNTBLANK(업무일지!$B542:$AH542)&lt;33),"",TRIM(IF(업무일지!$B542="","시작일 누락; ","")&amp;IF(업무일지!$C542="","종료일 누락; ","")&amp;IF(AND(업무일지!$B542&lt;&gt;"",업무일지!$C542&lt;&gt;"",업무일지!$C542&lt;업무일지!$B542),"종료일이 시작일보다 빠름; ","")&amp;IF(COUNTIF(코드설정!$H$5:$H$7,업무일지!$D542)=0,"직무구분 누락; ","")&amp;IF(업무일지!$E542="","세부유형 누락; ",IF(AND(업무일지!$D542&lt;&gt;"",COUNTIFS(코드설정!$A$5:$A$21,업무일지!$D542,코드설정!$B$5:$B$21,업무일지!$E542)=0),"세부유형이 직무구분과 불일치; ",""))&amp;IF(AND(업무일지!$F542&lt;&gt;"",COUNTIF(사건마스터!$A$5:$A$64,업무일지!$F542)=0),"미등록 사건번호; ","")&amp;IF(AND(업무일지!$F542="",업무일지!$H542=""),"사건번호·업무명 모두 없음; ","")&amp;IF(업무일지!$J542="","담당자 없음; ","")&amp;IF(COUNTIF(코드설정!$F$5:$F$7,업무일지!$AG542)=0,"진행상태 누락; ","")))</f>
        <v/>
      </c>
    </row>
    <row r="575">
      <c r="A575" s="26" t="inlineStr">
        <is>
          <t>업무일지</t>
        </is>
      </c>
      <c r="B575" s="66" t="n">
        <v>543</v>
      </c>
      <c r="C575" s="122">
        <f>IF($D575="","",IFERROR(TEXT(업무일지!$B543,"yyyy-mm-dd"),"(날짜없음)")&amp;"  "&amp;업무일지!$F543&amp;"  "&amp;업무일지!$H543)</f>
        <v/>
      </c>
      <c r="D575" s="122">
        <f>IF(NOT(COUNTBLANK(업무일지!$B543:$AH543)&lt;33),"",TRIM(IF(업무일지!$B543="","시작일 누락; ","")&amp;IF(업무일지!$C543="","종료일 누락; ","")&amp;IF(AND(업무일지!$B543&lt;&gt;"",업무일지!$C543&lt;&gt;"",업무일지!$C543&lt;업무일지!$B543),"종료일이 시작일보다 빠름; ","")&amp;IF(COUNTIF(코드설정!$H$5:$H$7,업무일지!$D543)=0,"직무구분 누락; ","")&amp;IF(업무일지!$E543="","세부유형 누락; ",IF(AND(업무일지!$D543&lt;&gt;"",COUNTIFS(코드설정!$A$5:$A$21,업무일지!$D543,코드설정!$B$5:$B$21,업무일지!$E543)=0),"세부유형이 직무구분과 불일치; ",""))&amp;IF(AND(업무일지!$F543&lt;&gt;"",COUNTIF(사건마스터!$A$5:$A$64,업무일지!$F543)=0),"미등록 사건번호; ","")&amp;IF(AND(업무일지!$F543="",업무일지!$H543=""),"사건번호·업무명 모두 없음; ","")&amp;IF(업무일지!$J543="","담당자 없음; ","")&amp;IF(COUNTIF(코드설정!$F$5:$F$7,업무일지!$AG543)=0,"진행상태 누락; ","")))</f>
        <v/>
      </c>
    </row>
    <row r="576">
      <c r="A576" s="26" t="inlineStr">
        <is>
          <t>업무일지</t>
        </is>
      </c>
      <c r="B576" s="66" t="n">
        <v>544</v>
      </c>
      <c r="C576" s="122">
        <f>IF($D576="","",IFERROR(TEXT(업무일지!$B544,"yyyy-mm-dd"),"(날짜없음)")&amp;"  "&amp;업무일지!$F544&amp;"  "&amp;업무일지!$H544)</f>
        <v/>
      </c>
      <c r="D576" s="122">
        <f>IF(NOT(COUNTBLANK(업무일지!$B544:$AH544)&lt;33),"",TRIM(IF(업무일지!$B544="","시작일 누락; ","")&amp;IF(업무일지!$C544="","종료일 누락; ","")&amp;IF(AND(업무일지!$B544&lt;&gt;"",업무일지!$C544&lt;&gt;"",업무일지!$C544&lt;업무일지!$B544),"종료일이 시작일보다 빠름; ","")&amp;IF(COUNTIF(코드설정!$H$5:$H$7,업무일지!$D544)=0,"직무구분 누락; ","")&amp;IF(업무일지!$E544="","세부유형 누락; ",IF(AND(업무일지!$D544&lt;&gt;"",COUNTIFS(코드설정!$A$5:$A$21,업무일지!$D544,코드설정!$B$5:$B$21,업무일지!$E544)=0),"세부유형이 직무구분과 불일치; ",""))&amp;IF(AND(업무일지!$F544&lt;&gt;"",COUNTIF(사건마스터!$A$5:$A$64,업무일지!$F544)=0),"미등록 사건번호; ","")&amp;IF(AND(업무일지!$F544="",업무일지!$H544=""),"사건번호·업무명 모두 없음; ","")&amp;IF(업무일지!$J544="","담당자 없음; ","")&amp;IF(COUNTIF(코드설정!$F$5:$F$7,업무일지!$AG544)=0,"진행상태 누락; ","")))</f>
        <v/>
      </c>
    </row>
    <row r="577">
      <c r="A577" s="26" t="inlineStr">
        <is>
          <t>업무일지</t>
        </is>
      </c>
      <c r="B577" s="66" t="n">
        <v>545</v>
      </c>
      <c r="C577" s="122">
        <f>IF($D577="","",IFERROR(TEXT(업무일지!$B545,"yyyy-mm-dd"),"(날짜없음)")&amp;"  "&amp;업무일지!$F545&amp;"  "&amp;업무일지!$H545)</f>
        <v/>
      </c>
      <c r="D577" s="122">
        <f>IF(NOT(COUNTBLANK(업무일지!$B545:$AH545)&lt;33),"",TRIM(IF(업무일지!$B545="","시작일 누락; ","")&amp;IF(업무일지!$C545="","종료일 누락; ","")&amp;IF(AND(업무일지!$B545&lt;&gt;"",업무일지!$C545&lt;&gt;"",업무일지!$C545&lt;업무일지!$B545),"종료일이 시작일보다 빠름; ","")&amp;IF(COUNTIF(코드설정!$H$5:$H$7,업무일지!$D545)=0,"직무구분 누락; ","")&amp;IF(업무일지!$E545="","세부유형 누락; ",IF(AND(업무일지!$D545&lt;&gt;"",COUNTIFS(코드설정!$A$5:$A$21,업무일지!$D545,코드설정!$B$5:$B$21,업무일지!$E545)=0),"세부유형이 직무구분과 불일치; ",""))&amp;IF(AND(업무일지!$F545&lt;&gt;"",COUNTIF(사건마스터!$A$5:$A$64,업무일지!$F545)=0),"미등록 사건번호; ","")&amp;IF(AND(업무일지!$F545="",업무일지!$H545=""),"사건번호·업무명 모두 없음; ","")&amp;IF(업무일지!$J545="","담당자 없음; ","")&amp;IF(COUNTIF(코드설정!$F$5:$F$7,업무일지!$AG545)=0,"진행상태 누락; ","")))</f>
        <v/>
      </c>
    </row>
    <row r="578">
      <c r="A578" s="26" t="inlineStr">
        <is>
          <t>업무일지</t>
        </is>
      </c>
      <c r="B578" s="66" t="n">
        <v>546</v>
      </c>
      <c r="C578" s="122">
        <f>IF($D578="","",IFERROR(TEXT(업무일지!$B546,"yyyy-mm-dd"),"(날짜없음)")&amp;"  "&amp;업무일지!$F546&amp;"  "&amp;업무일지!$H546)</f>
        <v/>
      </c>
      <c r="D578" s="122">
        <f>IF(NOT(COUNTBLANK(업무일지!$B546:$AH546)&lt;33),"",TRIM(IF(업무일지!$B546="","시작일 누락; ","")&amp;IF(업무일지!$C546="","종료일 누락; ","")&amp;IF(AND(업무일지!$B546&lt;&gt;"",업무일지!$C546&lt;&gt;"",업무일지!$C546&lt;업무일지!$B546),"종료일이 시작일보다 빠름; ","")&amp;IF(COUNTIF(코드설정!$H$5:$H$7,업무일지!$D546)=0,"직무구분 누락; ","")&amp;IF(업무일지!$E546="","세부유형 누락; ",IF(AND(업무일지!$D546&lt;&gt;"",COUNTIFS(코드설정!$A$5:$A$21,업무일지!$D546,코드설정!$B$5:$B$21,업무일지!$E546)=0),"세부유형이 직무구분과 불일치; ",""))&amp;IF(AND(업무일지!$F546&lt;&gt;"",COUNTIF(사건마스터!$A$5:$A$64,업무일지!$F546)=0),"미등록 사건번호; ","")&amp;IF(AND(업무일지!$F546="",업무일지!$H546=""),"사건번호·업무명 모두 없음; ","")&amp;IF(업무일지!$J546="","담당자 없음; ","")&amp;IF(COUNTIF(코드설정!$F$5:$F$7,업무일지!$AG546)=0,"진행상태 누락; ","")))</f>
        <v/>
      </c>
    </row>
    <row r="579">
      <c r="A579" s="26" t="inlineStr">
        <is>
          <t>업무일지</t>
        </is>
      </c>
      <c r="B579" s="66" t="n">
        <v>547</v>
      </c>
      <c r="C579" s="122">
        <f>IF($D579="","",IFERROR(TEXT(업무일지!$B547,"yyyy-mm-dd"),"(날짜없음)")&amp;"  "&amp;업무일지!$F547&amp;"  "&amp;업무일지!$H547)</f>
        <v/>
      </c>
      <c r="D579" s="122">
        <f>IF(NOT(COUNTBLANK(업무일지!$B547:$AH547)&lt;33),"",TRIM(IF(업무일지!$B547="","시작일 누락; ","")&amp;IF(업무일지!$C547="","종료일 누락; ","")&amp;IF(AND(업무일지!$B547&lt;&gt;"",업무일지!$C547&lt;&gt;"",업무일지!$C547&lt;업무일지!$B547),"종료일이 시작일보다 빠름; ","")&amp;IF(COUNTIF(코드설정!$H$5:$H$7,업무일지!$D547)=0,"직무구분 누락; ","")&amp;IF(업무일지!$E547="","세부유형 누락; ",IF(AND(업무일지!$D547&lt;&gt;"",COUNTIFS(코드설정!$A$5:$A$21,업무일지!$D547,코드설정!$B$5:$B$21,업무일지!$E547)=0),"세부유형이 직무구분과 불일치; ",""))&amp;IF(AND(업무일지!$F547&lt;&gt;"",COUNTIF(사건마스터!$A$5:$A$64,업무일지!$F547)=0),"미등록 사건번호; ","")&amp;IF(AND(업무일지!$F547="",업무일지!$H547=""),"사건번호·업무명 모두 없음; ","")&amp;IF(업무일지!$J547="","담당자 없음; ","")&amp;IF(COUNTIF(코드설정!$F$5:$F$7,업무일지!$AG547)=0,"진행상태 누락; ","")))</f>
        <v/>
      </c>
    </row>
    <row r="580">
      <c r="A580" s="26" t="inlineStr">
        <is>
          <t>업무일지</t>
        </is>
      </c>
      <c r="B580" s="66" t="n">
        <v>548</v>
      </c>
      <c r="C580" s="122">
        <f>IF($D580="","",IFERROR(TEXT(업무일지!$B548,"yyyy-mm-dd"),"(날짜없음)")&amp;"  "&amp;업무일지!$F548&amp;"  "&amp;업무일지!$H548)</f>
        <v/>
      </c>
      <c r="D580" s="122">
        <f>IF(NOT(COUNTBLANK(업무일지!$B548:$AH548)&lt;33),"",TRIM(IF(업무일지!$B548="","시작일 누락; ","")&amp;IF(업무일지!$C548="","종료일 누락; ","")&amp;IF(AND(업무일지!$B548&lt;&gt;"",업무일지!$C548&lt;&gt;"",업무일지!$C548&lt;업무일지!$B548),"종료일이 시작일보다 빠름; ","")&amp;IF(COUNTIF(코드설정!$H$5:$H$7,업무일지!$D548)=0,"직무구분 누락; ","")&amp;IF(업무일지!$E548="","세부유형 누락; ",IF(AND(업무일지!$D548&lt;&gt;"",COUNTIFS(코드설정!$A$5:$A$21,업무일지!$D548,코드설정!$B$5:$B$21,업무일지!$E548)=0),"세부유형이 직무구분과 불일치; ",""))&amp;IF(AND(업무일지!$F548&lt;&gt;"",COUNTIF(사건마스터!$A$5:$A$64,업무일지!$F548)=0),"미등록 사건번호; ","")&amp;IF(AND(업무일지!$F548="",업무일지!$H548=""),"사건번호·업무명 모두 없음; ","")&amp;IF(업무일지!$J548="","담당자 없음; ","")&amp;IF(COUNTIF(코드설정!$F$5:$F$7,업무일지!$AG548)=0,"진행상태 누락; ","")))</f>
        <v/>
      </c>
    </row>
    <row r="581">
      <c r="A581" s="26" t="inlineStr">
        <is>
          <t>업무일지</t>
        </is>
      </c>
      <c r="B581" s="66" t="n">
        <v>549</v>
      </c>
      <c r="C581" s="122">
        <f>IF($D581="","",IFERROR(TEXT(업무일지!$B549,"yyyy-mm-dd"),"(날짜없음)")&amp;"  "&amp;업무일지!$F549&amp;"  "&amp;업무일지!$H549)</f>
        <v/>
      </c>
      <c r="D581" s="122">
        <f>IF(NOT(COUNTBLANK(업무일지!$B549:$AH549)&lt;33),"",TRIM(IF(업무일지!$B549="","시작일 누락; ","")&amp;IF(업무일지!$C549="","종료일 누락; ","")&amp;IF(AND(업무일지!$B549&lt;&gt;"",업무일지!$C549&lt;&gt;"",업무일지!$C549&lt;업무일지!$B549),"종료일이 시작일보다 빠름; ","")&amp;IF(COUNTIF(코드설정!$H$5:$H$7,업무일지!$D549)=0,"직무구분 누락; ","")&amp;IF(업무일지!$E549="","세부유형 누락; ",IF(AND(업무일지!$D549&lt;&gt;"",COUNTIFS(코드설정!$A$5:$A$21,업무일지!$D549,코드설정!$B$5:$B$21,업무일지!$E549)=0),"세부유형이 직무구분과 불일치; ",""))&amp;IF(AND(업무일지!$F549&lt;&gt;"",COUNTIF(사건마스터!$A$5:$A$64,업무일지!$F549)=0),"미등록 사건번호; ","")&amp;IF(AND(업무일지!$F549="",업무일지!$H549=""),"사건번호·업무명 모두 없음; ","")&amp;IF(업무일지!$J549="","담당자 없음; ","")&amp;IF(COUNTIF(코드설정!$F$5:$F$7,업무일지!$AG549)=0,"진행상태 누락; ","")))</f>
        <v/>
      </c>
    </row>
    <row r="582">
      <c r="A582" s="26" t="inlineStr">
        <is>
          <t>업무일지</t>
        </is>
      </c>
      <c r="B582" s="66" t="n">
        <v>550</v>
      </c>
      <c r="C582" s="122">
        <f>IF($D582="","",IFERROR(TEXT(업무일지!$B550,"yyyy-mm-dd"),"(날짜없음)")&amp;"  "&amp;업무일지!$F550&amp;"  "&amp;업무일지!$H550)</f>
        <v/>
      </c>
      <c r="D582" s="122">
        <f>IF(NOT(COUNTBLANK(업무일지!$B550:$AH550)&lt;33),"",TRIM(IF(업무일지!$B550="","시작일 누락; ","")&amp;IF(업무일지!$C550="","종료일 누락; ","")&amp;IF(AND(업무일지!$B550&lt;&gt;"",업무일지!$C550&lt;&gt;"",업무일지!$C550&lt;업무일지!$B550),"종료일이 시작일보다 빠름; ","")&amp;IF(COUNTIF(코드설정!$H$5:$H$7,업무일지!$D550)=0,"직무구분 누락; ","")&amp;IF(업무일지!$E550="","세부유형 누락; ",IF(AND(업무일지!$D550&lt;&gt;"",COUNTIFS(코드설정!$A$5:$A$21,업무일지!$D550,코드설정!$B$5:$B$21,업무일지!$E550)=0),"세부유형이 직무구분과 불일치; ",""))&amp;IF(AND(업무일지!$F550&lt;&gt;"",COUNTIF(사건마스터!$A$5:$A$64,업무일지!$F550)=0),"미등록 사건번호; ","")&amp;IF(AND(업무일지!$F550="",업무일지!$H550=""),"사건번호·업무명 모두 없음; ","")&amp;IF(업무일지!$J550="","담당자 없음; ","")&amp;IF(COUNTIF(코드설정!$F$5:$F$7,업무일지!$AG550)=0,"진행상태 누락; ","")))</f>
        <v/>
      </c>
    </row>
    <row r="583">
      <c r="A583" s="26" t="inlineStr">
        <is>
          <t>업무일지</t>
        </is>
      </c>
      <c r="B583" s="66" t="n">
        <v>551</v>
      </c>
      <c r="C583" s="122">
        <f>IF($D583="","",IFERROR(TEXT(업무일지!$B551,"yyyy-mm-dd"),"(날짜없음)")&amp;"  "&amp;업무일지!$F551&amp;"  "&amp;업무일지!$H551)</f>
        <v/>
      </c>
      <c r="D583" s="122">
        <f>IF(NOT(COUNTBLANK(업무일지!$B551:$AH551)&lt;33),"",TRIM(IF(업무일지!$B551="","시작일 누락; ","")&amp;IF(업무일지!$C551="","종료일 누락; ","")&amp;IF(AND(업무일지!$B551&lt;&gt;"",업무일지!$C551&lt;&gt;"",업무일지!$C551&lt;업무일지!$B551),"종료일이 시작일보다 빠름; ","")&amp;IF(COUNTIF(코드설정!$H$5:$H$7,업무일지!$D551)=0,"직무구분 누락; ","")&amp;IF(업무일지!$E551="","세부유형 누락; ",IF(AND(업무일지!$D551&lt;&gt;"",COUNTIFS(코드설정!$A$5:$A$21,업무일지!$D551,코드설정!$B$5:$B$21,업무일지!$E551)=0),"세부유형이 직무구분과 불일치; ",""))&amp;IF(AND(업무일지!$F551&lt;&gt;"",COUNTIF(사건마스터!$A$5:$A$64,업무일지!$F551)=0),"미등록 사건번호; ","")&amp;IF(AND(업무일지!$F551="",업무일지!$H551=""),"사건번호·업무명 모두 없음; ","")&amp;IF(업무일지!$J551="","담당자 없음; ","")&amp;IF(COUNTIF(코드설정!$F$5:$F$7,업무일지!$AG551)=0,"진행상태 누락; ","")))</f>
        <v/>
      </c>
    </row>
    <row r="584">
      <c r="A584" s="26" t="inlineStr">
        <is>
          <t>업무일지</t>
        </is>
      </c>
      <c r="B584" s="66" t="n">
        <v>552</v>
      </c>
      <c r="C584" s="122">
        <f>IF($D584="","",IFERROR(TEXT(업무일지!$B552,"yyyy-mm-dd"),"(날짜없음)")&amp;"  "&amp;업무일지!$F552&amp;"  "&amp;업무일지!$H552)</f>
        <v/>
      </c>
      <c r="D584" s="122">
        <f>IF(NOT(COUNTBLANK(업무일지!$B552:$AH552)&lt;33),"",TRIM(IF(업무일지!$B552="","시작일 누락; ","")&amp;IF(업무일지!$C552="","종료일 누락; ","")&amp;IF(AND(업무일지!$B552&lt;&gt;"",업무일지!$C552&lt;&gt;"",업무일지!$C552&lt;업무일지!$B552),"종료일이 시작일보다 빠름; ","")&amp;IF(COUNTIF(코드설정!$H$5:$H$7,업무일지!$D552)=0,"직무구분 누락; ","")&amp;IF(업무일지!$E552="","세부유형 누락; ",IF(AND(업무일지!$D552&lt;&gt;"",COUNTIFS(코드설정!$A$5:$A$21,업무일지!$D552,코드설정!$B$5:$B$21,업무일지!$E552)=0),"세부유형이 직무구분과 불일치; ",""))&amp;IF(AND(업무일지!$F552&lt;&gt;"",COUNTIF(사건마스터!$A$5:$A$64,업무일지!$F552)=0),"미등록 사건번호; ","")&amp;IF(AND(업무일지!$F552="",업무일지!$H552=""),"사건번호·업무명 모두 없음; ","")&amp;IF(업무일지!$J552="","담당자 없음; ","")&amp;IF(COUNTIF(코드설정!$F$5:$F$7,업무일지!$AG552)=0,"진행상태 누락; ","")))</f>
        <v/>
      </c>
    </row>
    <row r="585">
      <c r="A585" s="26" t="inlineStr">
        <is>
          <t>업무일지</t>
        </is>
      </c>
      <c r="B585" s="66" t="n">
        <v>553</v>
      </c>
      <c r="C585" s="122">
        <f>IF($D585="","",IFERROR(TEXT(업무일지!$B553,"yyyy-mm-dd"),"(날짜없음)")&amp;"  "&amp;업무일지!$F553&amp;"  "&amp;업무일지!$H553)</f>
        <v/>
      </c>
      <c r="D585" s="122">
        <f>IF(NOT(COUNTBLANK(업무일지!$B553:$AH553)&lt;33),"",TRIM(IF(업무일지!$B553="","시작일 누락; ","")&amp;IF(업무일지!$C553="","종료일 누락; ","")&amp;IF(AND(업무일지!$B553&lt;&gt;"",업무일지!$C553&lt;&gt;"",업무일지!$C553&lt;업무일지!$B553),"종료일이 시작일보다 빠름; ","")&amp;IF(COUNTIF(코드설정!$H$5:$H$7,업무일지!$D553)=0,"직무구분 누락; ","")&amp;IF(업무일지!$E553="","세부유형 누락; ",IF(AND(업무일지!$D553&lt;&gt;"",COUNTIFS(코드설정!$A$5:$A$21,업무일지!$D553,코드설정!$B$5:$B$21,업무일지!$E553)=0),"세부유형이 직무구분과 불일치; ",""))&amp;IF(AND(업무일지!$F553&lt;&gt;"",COUNTIF(사건마스터!$A$5:$A$64,업무일지!$F553)=0),"미등록 사건번호; ","")&amp;IF(AND(업무일지!$F553="",업무일지!$H553=""),"사건번호·업무명 모두 없음; ","")&amp;IF(업무일지!$J553="","담당자 없음; ","")&amp;IF(COUNTIF(코드설정!$F$5:$F$7,업무일지!$AG553)=0,"진행상태 누락; ","")))</f>
        <v/>
      </c>
    </row>
    <row r="586">
      <c r="A586" s="26" t="inlineStr">
        <is>
          <t>업무일지</t>
        </is>
      </c>
      <c r="B586" s="66" t="n">
        <v>554</v>
      </c>
      <c r="C586" s="122">
        <f>IF($D586="","",IFERROR(TEXT(업무일지!$B554,"yyyy-mm-dd"),"(날짜없음)")&amp;"  "&amp;업무일지!$F554&amp;"  "&amp;업무일지!$H554)</f>
        <v/>
      </c>
      <c r="D586" s="122">
        <f>IF(NOT(COUNTBLANK(업무일지!$B554:$AH554)&lt;33),"",TRIM(IF(업무일지!$B554="","시작일 누락; ","")&amp;IF(업무일지!$C554="","종료일 누락; ","")&amp;IF(AND(업무일지!$B554&lt;&gt;"",업무일지!$C554&lt;&gt;"",업무일지!$C554&lt;업무일지!$B554),"종료일이 시작일보다 빠름; ","")&amp;IF(COUNTIF(코드설정!$H$5:$H$7,업무일지!$D554)=0,"직무구분 누락; ","")&amp;IF(업무일지!$E554="","세부유형 누락; ",IF(AND(업무일지!$D554&lt;&gt;"",COUNTIFS(코드설정!$A$5:$A$21,업무일지!$D554,코드설정!$B$5:$B$21,업무일지!$E554)=0),"세부유형이 직무구분과 불일치; ",""))&amp;IF(AND(업무일지!$F554&lt;&gt;"",COUNTIF(사건마스터!$A$5:$A$64,업무일지!$F554)=0),"미등록 사건번호; ","")&amp;IF(AND(업무일지!$F554="",업무일지!$H554=""),"사건번호·업무명 모두 없음; ","")&amp;IF(업무일지!$J554="","담당자 없음; ","")&amp;IF(COUNTIF(코드설정!$F$5:$F$7,업무일지!$AG554)=0,"진행상태 누락; ","")))</f>
        <v/>
      </c>
    </row>
    <row r="587">
      <c r="A587" s="26" t="inlineStr">
        <is>
          <t>업무일지</t>
        </is>
      </c>
      <c r="B587" s="66" t="n">
        <v>555</v>
      </c>
      <c r="C587" s="122">
        <f>IF($D587="","",IFERROR(TEXT(업무일지!$B555,"yyyy-mm-dd"),"(날짜없음)")&amp;"  "&amp;업무일지!$F555&amp;"  "&amp;업무일지!$H555)</f>
        <v/>
      </c>
      <c r="D587" s="122">
        <f>IF(NOT(COUNTBLANK(업무일지!$B555:$AH555)&lt;33),"",TRIM(IF(업무일지!$B555="","시작일 누락; ","")&amp;IF(업무일지!$C555="","종료일 누락; ","")&amp;IF(AND(업무일지!$B555&lt;&gt;"",업무일지!$C555&lt;&gt;"",업무일지!$C555&lt;업무일지!$B555),"종료일이 시작일보다 빠름; ","")&amp;IF(COUNTIF(코드설정!$H$5:$H$7,업무일지!$D555)=0,"직무구분 누락; ","")&amp;IF(업무일지!$E555="","세부유형 누락; ",IF(AND(업무일지!$D555&lt;&gt;"",COUNTIFS(코드설정!$A$5:$A$21,업무일지!$D555,코드설정!$B$5:$B$21,업무일지!$E555)=0),"세부유형이 직무구분과 불일치; ",""))&amp;IF(AND(업무일지!$F555&lt;&gt;"",COUNTIF(사건마스터!$A$5:$A$64,업무일지!$F555)=0),"미등록 사건번호; ","")&amp;IF(AND(업무일지!$F555="",업무일지!$H555=""),"사건번호·업무명 모두 없음; ","")&amp;IF(업무일지!$J555="","담당자 없음; ","")&amp;IF(COUNTIF(코드설정!$F$5:$F$7,업무일지!$AG555)=0,"진행상태 누락; ","")))</f>
        <v/>
      </c>
    </row>
    <row r="588">
      <c r="A588" s="26" t="inlineStr">
        <is>
          <t>업무일지</t>
        </is>
      </c>
      <c r="B588" s="66" t="n">
        <v>556</v>
      </c>
      <c r="C588" s="122">
        <f>IF($D588="","",IFERROR(TEXT(업무일지!$B556,"yyyy-mm-dd"),"(날짜없음)")&amp;"  "&amp;업무일지!$F556&amp;"  "&amp;업무일지!$H556)</f>
        <v/>
      </c>
      <c r="D588" s="122">
        <f>IF(NOT(COUNTBLANK(업무일지!$B556:$AH556)&lt;33),"",TRIM(IF(업무일지!$B556="","시작일 누락; ","")&amp;IF(업무일지!$C556="","종료일 누락; ","")&amp;IF(AND(업무일지!$B556&lt;&gt;"",업무일지!$C556&lt;&gt;"",업무일지!$C556&lt;업무일지!$B556),"종료일이 시작일보다 빠름; ","")&amp;IF(COUNTIF(코드설정!$H$5:$H$7,업무일지!$D556)=0,"직무구분 누락; ","")&amp;IF(업무일지!$E556="","세부유형 누락; ",IF(AND(업무일지!$D556&lt;&gt;"",COUNTIFS(코드설정!$A$5:$A$21,업무일지!$D556,코드설정!$B$5:$B$21,업무일지!$E556)=0),"세부유형이 직무구분과 불일치; ",""))&amp;IF(AND(업무일지!$F556&lt;&gt;"",COUNTIF(사건마스터!$A$5:$A$64,업무일지!$F556)=0),"미등록 사건번호; ","")&amp;IF(AND(업무일지!$F556="",업무일지!$H556=""),"사건번호·업무명 모두 없음; ","")&amp;IF(업무일지!$J556="","담당자 없음; ","")&amp;IF(COUNTIF(코드설정!$F$5:$F$7,업무일지!$AG556)=0,"진행상태 누락; ","")))</f>
        <v/>
      </c>
    </row>
    <row r="589">
      <c r="A589" s="26" t="inlineStr">
        <is>
          <t>업무일지</t>
        </is>
      </c>
      <c r="B589" s="66" t="n">
        <v>557</v>
      </c>
      <c r="C589" s="122">
        <f>IF($D589="","",IFERROR(TEXT(업무일지!$B557,"yyyy-mm-dd"),"(날짜없음)")&amp;"  "&amp;업무일지!$F557&amp;"  "&amp;업무일지!$H557)</f>
        <v/>
      </c>
      <c r="D589" s="122">
        <f>IF(NOT(COUNTBLANK(업무일지!$B557:$AH557)&lt;33),"",TRIM(IF(업무일지!$B557="","시작일 누락; ","")&amp;IF(업무일지!$C557="","종료일 누락; ","")&amp;IF(AND(업무일지!$B557&lt;&gt;"",업무일지!$C557&lt;&gt;"",업무일지!$C557&lt;업무일지!$B557),"종료일이 시작일보다 빠름; ","")&amp;IF(COUNTIF(코드설정!$H$5:$H$7,업무일지!$D557)=0,"직무구분 누락; ","")&amp;IF(업무일지!$E557="","세부유형 누락; ",IF(AND(업무일지!$D557&lt;&gt;"",COUNTIFS(코드설정!$A$5:$A$21,업무일지!$D557,코드설정!$B$5:$B$21,업무일지!$E557)=0),"세부유형이 직무구분과 불일치; ",""))&amp;IF(AND(업무일지!$F557&lt;&gt;"",COUNTIF(사건마스터!$A$5:$A$64,업무일지!$F557)=0),"미등록 사건번호; ","")&amp;IF(AND(업무일지!$F557="",업무일지!$H557=""),"사건번호·업무명 모두 없음; ","")&amp;IF(업무일지!$J557="","담당자 없음; ","")&amp;IF(COUNTIF(코드설정!$F$5:$F$7,업무일지!$AG557)=0,"진행상태 누락; ","")))</f>
        <v/>
      </c>
    </row>
    <row r="590">
      <c r="A590" s="26" t="inlineStr">
        <is>
          <t>업무일지</t>
        </is>
      </c>
      <c r="B590" s="66" t="n">
        <v>558</v>
      </c>
      <c r="C590" s="122">
        <f>IF($D590="","",IFERROR(TEXT(업무일지!$B558,"yyyy-mm-dd"),"(날짜없음)")&amp;"  "&amp;업무일지!$F558&amp;"  "&amp;업무일지!$H558)</f>
        <v/>
      </c>
      <c r="D590" s="122">
        <f>IF(NOT(COUNTBLANK(업무일지!$B558:$AH558)&lt;33),"",TRIM(IF(업무일지!$B558="","시작일 누락; ","")&amp;IF(업무일지!$C558="","종료일 누락; ","")&amp;IF(AND(업무일지!$B558&lt;&gt;"",업무일지!$C558&lt;&gt;"",업무일지!$C558&lt;업무일지!$B558),"종료일이 시작일보다 빠름; ","")&amp;IF(COUNTIF(코드설정!$H$5:$H$7,업무일지!$D558)=0,"직무구분 누락; ","")&amp;IF(업무일지!$E558="","세부유형 누락; ",IF(AND(업무일지!$D558&lt;&gt;"",COUNTIFS(코드설정!$A$5:$A$21,업무일지!$D558,코드설정!$B$5:$B$21,업무일지!$E558)=0),"세부유형이 직무구분과 불일치; ",""))&amp;IF(AND(업무일지!$F558&lt;&gt;"",COUNTIF(사건마스터!$A$5:$A$64,업무일지!$F558)=0),"미등록 사건번호; ","")&amp;IF(AND(업무일지!$F558="",업무일지!$H558=""),"사건번호·업무명 모두 없음; ","")&amp;IF(업무일지!$J558="","담당자 없음; ","")&amp;IF(COUNTIF(코드설정!$F$5:$F$7,업무일지!$AG558)=0,"진행상태 누락; ","")))</f>
        <v/>
      </c>
    </row>
    <row r="591">
      <c r="A591" s="26" t="inlineStr">
        <is>
          <t>업무일지</t>
        </is>
      </c>
      <c r="B591" s="66" t="n">
        <v>559</v>
      </c>
      <c r="C591" s="122">
        <f>IF($D591="","",IFERROR(TEXT(업무일지!$B559,"yyyy-mm-dd"),"(날짜없음)")&amp;"  "&amp;업무일지!$F559&amp;"  "&amp;업무일지!$H559)</f>
        <v/>
      </c>
      <c r="D591" s="122">
        <f>IF(NOT(COUNTBLANK(업무일지!$B559:$AH559)&lt;33),"",TRIM(IF(업무일지!$B559="","시작일 누락; ","")&amp;IF(업무일지!$C559="","종료일 누락; ","")&amp;IF(AND(업무일지!$B559&lt;&gt;"",업무일지!$C559&lt;&gt;"",업무일지!$C559&lt;업무일지!$B559),"종료일이 시작일보다 빠름; ","")&amp;IF(COUNTIF(코드설정!$H$5:$H$7,업무일지!$D559)=0,"직무구분 누락; ","")&amp;IF(업무일지!$E559="","세부유형 누락; ",IF(AND(업무일지!$D559&lt;&gt;"",COUNTIFS(코드설정!$A$5:$A$21,업무일지!$D559,코드설정!$B$5:$B$21,업무일지!$E559)=0),"세부유형이 직무구분과 불일치; ",""))&amp;IF(AND(업무일지!$F559&lt;&gt;"",COUNTIF(사건마스터!$A$5:$A$64,업무일지!$F559)=0),"미등록 사건번호; ","")&amp;IF(AND(업무일지!$F559="",업무일지!$H559=""),"사건번호·업무명 모두 없음; ","")&amp;IF(업무일지!$J559="","담당자 없음; ","")&amp;IF(COUNTIF(코드설정!$F$5:$F$7,업무일지!$AG559)=0,"진행상태 누락; ","")))</f>
        <v/>
      </c>
    </row>
    <row r="592">
      <c r="A592" s="26" t="inlineStr">
        <is>
          <t>업무일지</t>
        </is>
      </c>
      <c r="B592" s="66" t="n">
        <v>560</v>
      </c>
      <c r="C592" s="122">
        <f>IF($D592="","",IFERROR(TEXT(업무일지!$B560,"yyyy-mm-dd"),"(날짜없음)")&amp;"  "&amp;업무일지!$F560&amp;"  "&amp;업무일지!$H560)</f>
        <v/>
      </c>
      <c r="D592" s="122">
        <f>IF(NOT(COUNTBLANK(업무일지!$B560:$AH560)&lt;33),"",TRIM(IF(업무일지!$B560="","시작일 누락; ","")&amp;IF(업무일지!$C560="","종료일 누락; ","")&amp;IF(AND(업무일지!$B560&lt;&gt;"",업무일지!$C560&lt;&gt;"",업무일지!$C560&lt;업무일지!$B560),"종료일이 시작일보다 빠름; ","")&amp;IF(COUNTIF(코드설정!$H$5:$H$7,업무일지!$D560)=0,"직무구분 누락; ","")&amp;IF(업무일지!$E560="","세부유형 누락; ",IF(AND(업무일지!$D560&lt;&gt;"",COUNTIFS(코드설정!$A$5:$A$21,업무일지!$D560,코드설정!$B$5:$B$21,업무일지!$E560)=0),"세부유형이 직무구분과 불일치; ",""))&amp;IF(AND(업무일지!$F560&lt;&gt;"",COUNTIF(사건마스터!$A$5:$A$64,업무일지!$F560)=0),"미등록 사건번호; ","")&amp;IF(AND(업무일지!$F560="",업무일지!$H560=""),"사건번호·업무명 모두 없음; ","")&amp;IF(업무일지!$J560="","담당자 없음; ","")&amp;IF(COUNTIF(코드설정!$F$5:$F$7,업무일지!$AG560)=0,"진행상태 누락; ","")))</f>
        <v/>
      </c>
    </row>
    <row r="593">
      <c r="A593" s="26" t="inlineStr">
        <is>
          <t>업무일지</t>
        </is>
      </c>
      <c r="B593" s="66" t="n">
        <v>561</v>
      </c>
      <c r="C593" s="122">
        <f>IF($D593="","",IFERROR(TEXT(업무일지!$B561,"yyyy-mm-dd"),"(날짜없음)")&amp;"  "&amp;업무일지!$F561&amp;"  "&amp;업무일지!$H561)</f>
        <v/>
      </c>
      <c r="D593" s="122">
        <f>IF(NOT(COUNTBLANK(업무일지!$B561:$AH561)&lt;33),"",TRIM(IF(업무일지!$B561="","시작일 누락; ","")&amp;IF(업무일지!$C561="","종료일 누락; ","")&amp;IF(AND(업무일지!$B561&lt;&gt;"",업무일지!$C561&lt;&gt;"",업무일지!$C561&lt;업무일지!$B561),"종료일이 시작일보다 빠름; ","")&amp;IF(COUNTIF(코드설정!$H$5:$H$7,업무일지!$D561)=0,"직무구분 누락; ","")&amp;IF(업무일지!$E561="","세부유형 누락; ",IF(AND(업무일지!$D561&lt;&gt;"",COUNTIFS(코드설정!$A$5:$A$21,업무일지!$D561,코드설정!$B$5:$B$21,업무일지!$E561)=0),"세부유형이 직무구분과 불일치; ",""))&amp;IF(AND(업무일지!$F561&lt;&gt;"",COUNTIF(사건마스터!$A$5:$A$64,업무일지!$F561)=0),"미등록 사건번호; ","")&amp;IF(AND(업무일지!$F561="",업무일지!$H561=""),"사건번호·업무명 모두 없음; ","")&amp;IF(업무일지!$J561="","담당자 없음; ","")&amp;IF(COUNTIF(코드설정!$F$5:$F$7,업무일지!$AG561)=0,"진행상태 누락; ","")))</f>
        <v/>
      </c>
    </row>
    <row r="594">
      <c r="A594" s="26" t="inlineStr">
        <is>
          <t>업무일지</t>
        </is>
      </c>
      <c r="B594" s="66" t="n">
        <v>562</v>
      </c>
      <c r="C594" s="122">
        <f>IF($D594="","",IFERROR(TEXT(업무일지!$B562,"yyyy-mm-dd"),"(날짜없음)")&amp;"  "&amp;업무일지!$F562&amp;"  "&amp;업무일지!$H562)</f>
        <v/>
      </c>
      <c r="D594" s="122">
        <f>IF(NOT(COUNTBLANK(업무일지!$B562:$AH562)&lt;33),"",TRIM(IF(업무일지!$B562="","시작일 누락; ","")&amp;IF(업무일지!$C562="","종료일 누락; ","")&amp;IF(AND(업무일지!$B562&lt;&gt;"",업무일지!$C562&lt;&gt;"",업무일지!$C562&lt;업무일지!$B562),"종료일이 시작일보다 빠름; ","")&amp;IF(COUNTIF(코드설정!$H$5:$H$7,업무일지!$D562)=0,"직무구분 누락; ","")&amp;IF(업무일지!$E562="","세부유형 누락; ",IF(AND(업무일지!$D562&lt;&gt;"",COUNTIFS(코드설정!$A$5:$A$21,업무일지!$D562,코드설정!$B$5:$B$21,업무일지!$E562)=0),"세부유형이 직무구분과 불일치; ",""))&amp;IF(AND(업무일지!$F562&lt;&gt;"",COUNTIF(사건마스터!$A$5:$A$64,업무일지!$F562)=0),"미등록 사건번호; ","")&amp;IF(AND(업무일지!$F562="",업무일지!$H562=""),"사건번호·업무명 모두 없음; ","")&amp;IF(업무일지!$J562="","담당자 없음; ","")&amp;IF(COUNTIF(코드설정!$F$5:$F$7,업무일지!$AG562)=0,"진행상태 누락; ","")))</f>
        <v/>
      </c>
    </row>
    <row r="595">
      <c r="A595" s="26" t="inlineStr">
        <is>
          <t>업무일지</t>
        </is>
      </c>
      <c r="B595" s="66" t="n">
        <v>563</v>
      </c>
      <c r="C595" s="122">
        <f>IF($D595="","",IFERROR(TEXT(업무일지!$B563,"yyyy-mm-dd"),"(날짜없음)")&amp;"  "&amp;업무일지!$F563&amp;"  "&amp;업무일지!$H563)</f>
        <v/>
      </c>
      <c r="D595" s="122">
        <f>IF(NOT(COUNTBLANK(업무일지!$B563:$AH563)&lt;33),"",TRIM(IF(업무일지!$B563="","시작일 누락; ","")&amp;IF(업무일지!$C563="","종료일 누락; ","")&amp;IF(AND(업무일지!$B563&lt;&gt;"",업무일지!$C563&lt;&gt;"",업무일지!$C563&lt;업무일지!$B563),"종료일이 시작일보다 빠름; ","")&amp;IF(COUNTIF(코드설정!$H$5:$H$7,업무일지!$D563)=0,"직무구분 누락; ","")&amp;IF(업무일지!$E563="","세부유형 누락; ",IF(AND(업무일지!$D563&lt;&gt;"",COUNTIFS(코드설정!$A$5:$A$21,업무일지!$D563,코드설정!$B$5:$B$21,업무일지!$E563)=0),"세부유형이 직무구분과 불일치; ",""))&amp;IF(AND(업무일지!$F563&lt;&gt;"",COUNTIF(사건마스터!$A$5:$A$64,업무일지!$F563)=0),"미등록 사건번호; ","")&amp;IF(AND(업무일지!$F563="",업무일지!$H563=""),"사건번호·업무명 모두 없음; ","")&amp;IF(업무일지!$J563="","담당자 없음; ","")&amp;IF(COUNTIF(코드설정!$F$5:$F$7,업무일지!$AG563)=0,"진행상태 누락; ","")))</f>
        <v/>
      </c>
    </row>
    <row r="596">
      <c r="A596" s="26" t="inlineStr">
        <is>
          <t>업무일지</t>
        </is>
      </c>
      <c r="B596" s="66" t="n">
        <v>564</v>
      </c>
      <c r="C596" s="122">
        <f>IF($D596="","",IFERROR(TEXT(업무일지!$B564,"yyyy-mm-dd"),"(날짜없음)")&amp;"  "&amp;업무일지!$F564&amp;"  "&amp;업무일지!$H564)</f>
        <v/>
      </c>
      <c r="D596" s="122">
        <f>IF(NOT(COUNTBLANK(업무일지!$B564:$AH564)&lt;33),"",TRIM(IF(업무일지!$B564="","시작일 누락; ","")&amp;IF(업무일지!$C564="","종료일 누락; ","")&amp;IF(AND(업무일지!$B564&lt;&gt;"",업무일지!$C564&lt;&gt;"",업무일지!$C564&lt;업무일지!$B564),"종료일이 시작일보다 빠름; ","")&amp;IF(COUNTIF(코드설정!$H$5:$H$7,업무일지!$D564)=0,"직무구분 누락; ","")&amp;IF(업무일지!$E564="","세부유형 누락; ",IF(AND(업무일지!$D564&lt;&gt;"",COUNTIFS(코드설정!$A$5:$A$21,업무일지!$D564,코드설정!$B$5:$B$21,업무일지!$E564)=0),"세부유형이 직무구분과 불일치; ",""))&amp;IF(AND(업무일지!$F564&lt;&gt;"",COUNTIF(사건마스터!$A$5:$A$64,업무일지!$F564)=0),"미등록 사건번호; ","")&amp;IF(AND(업무일지!$F564="",업무일지!$H564=""),"사건번호·업무명 모두 없음; ","")&amp;IF(업무일지!$J564="","담당자 없음; ","")&amp;IF(COUNTIF(코드설정!$F$5:$F$7,업무일지!$AG564)=0,"진행상태 누락; ","")))</f>
        <v/>
      </c>
    </row>
    <row r="597">
      <c r="A597" s="26" t="inlineStr">
        <is>
          <t>업무일지</t>
        </is>
      </c>
      <c r="B597" s="66" t="n">
        <v>565</v>
      </c>
      <c r="C597" s="122">
        <f>IF($D597="","",IFERROR(TEXT(업무일지!$B565,"yyyy-mm-dd"),"(날짜없음)")&amp;"  "&amp;업무일지!$F565&amp;"  "&amp;업무일지!$H565)</f>
        <v/>
      </c>
      <c r="D597" s="122">
        <f>IF(NOT(COUNTBLANK(업무일지!$B565:$AH565)&lt;33),"",TRIM(IF(업무일지!$B565="","시작일 누락; ","")&amp;IF(업무일지!$C565="","종료일 누락; ","")&amp;IF(AND(업무일지!$B565&lt;&gt;"",업무일지!$C565&lt;&gt;"",업무일지!$C565&lt;업무일지!$B565),"종료일이 시작일보다 빠름; ","")&amp;IF(COUNTIF(코드설정!$H$5:$H$7,업무일지!$D565)=0,"직무구분 누락; ","")&amp;IF(업무일지!$E565="","세부유형 누락; ",IF(AND(업무일지!$D565&lt;&gt;"",COUNTIFS(코드설정!$A$5:$A$21,업무일지!$D565,코드설정!$B$5:$B$21,업무일지!$E565)=0),"세부유형이 직무구분과 불일치; ",""))&amp;IF(AND(업무일지!$F565&lt;&gt;"",COUNTIF(사건마스터!$A$5:$A$64,업무일지!$F565)=0),"미등록 사건번호; ","")&amp;IF(AND(업무일지!$F565="",업무일지!$H565=""),"사건번호·업무명 모두 없음; ","")&amp;IF(업무일지!$J565="","담당자 없음; ","")&amp;IF(COUNTIF(코드설정!$F$5:$F$7,업무일지!$AG565)=0,"진행상태 누락; ","")))</f>
        <v/>
      </c>
    </row>
    <row r="598">
      <c r="A598" s="26" t="inlineStr">
        <is>
          <t>업무일지</t>
        </is>
      </c>
      <c r="B598" s="66" t="n">
        <v>566</v>
      </c>
      <c r="C598" s="122">
        <f>IF($D598="","",IFERROR(TEXT(업무일지!$B566,"yyyy-mm-dd"),"(날짜없음)")&amp;"  "&amp;업무일지!$F566&amp;"  "&amp;업무일지!$H566)</f>
        <v/>
      </c>
      <c r="D598" s="122">
        <f>IF(NOT(COUNTBLANK(업무일지!$B566:$AH566)&lt;33),"",TRIM(IF(업무일지!$B566="","시작일 누락; ","")&amp;IF(업무일지!$C566="","종료일 누락; ","")&amp;IF(AND(업무일지!$B566&lt;&gt;"",업무일지!$C566&lt;&gt;"",업무일지!$C566&lt;업무일지!$B566),"종료일이 시작일보다 빠름; ","")&amp;IF(COUNTIF(코드설정!$H$5:$H$7,업무일지!$D566)=0,"직무구분 누락; ","")&amp;IF(업무일지!$E566="","세부유형 누락; ",IF(AND(업무일지!$D566&lt;&gt;"",COUNTIFS(코드설정!$A$5:$A$21,업무일지!$D566,코드설정!$B$5:$B$21,업무일지!$E566)=0),"세부유형이 직무구분과 불일치; ",""))&amp;IF(AND(업무일지!$F566&lt;&gt;"",COUNTIF(사건마스터!$A$5:$A$64,업무일지!$F566)=0),"미등록 사건번호; ","")&amp;IF(AND(업무일지!$F566="",업무일지!$H566=""),"사건번호·업무명 모두 없음; ","")&amp;IF(업무일지!$J566="","담당자 없음; ","")&amp;IF(COUNTIF(코드설정!$F$5:$F$7,업무일지!$AG566)=0,"진행상태 누락; ","")))</f>
        <v/>
      </c>
    </row>
    <row r="599">
      <c r="A599" s="26" t="inlineStr">
        <is>
          <t>업무일지</t>
        </is>
      </c>
      <c r="B599" s="66" t="n">
        <v>567</v>
      </c>
      <c r="C599" s="122">
        <f>IF($D599="","",IFERROR(TEXT(업무일지!$B567,"yyyy-mm-dd"),"(날짜없음)")&amp;"  "&amp;업무일지!$F567&amp;"  "&amp;업무일지!$H567)</f>
        <v/>
      </c>
      <c r="D599" s="122">
        <f>IF(NOT(COUNTBLANK(업무일지!$B567:$AH567)&lt;33),"",TRIM(IF(업무일지!$B567="","시작일 누락; ","")&amp;IF(업무일지!$C567="","종료일 누락; ","")&amp;IF(AND(업무일지!$B567&lt;&gt;"",업무일지!$C567&lt;&gt;"",업무일지!$C567&lt;업무일지!$B567),"종료일이 시작일보다 빠름; ","")&amp;IF(COUNTIF(코드설정!$H$5:$H$7,업무일지!$D567)=0,"직무구분 누락; ","")&amp;IF(업무일지!$E567="","세부유형 누락; ",IF(AND(업무일지!$D567&lt;&gt;"",COUNTIFS(코드설정!$A$5:$A$21,업무일지!$D567,코드설정!$B$5:$B$21,업무일지!$E567)=0),"세부유형이 직무구분과 불일치; ",""))&amp;IF(AND(업무일지!$F567&lt;&gt;"",COUNTIF(사건마스터!$A$5:$A$64,업무일지!$F567)=0),"미등록 사건번호; ","")&amp;IF(AND(업무일지!$F567="",업무일지!$H567=""),"사건번호·업무명 모두 없음; ","")&amp;IF(업무일지!$J567="","담당자 없음; ","")&amp;IF(COUNTIF(코드설정!$F$5:$F$7,업무일지!$AG567)=0,"진행상태 누락; ","")))</f>
        <v/>
      </c>
    </row>
    <row r="600">
      <c r="A600" s="26" t="inlineStr">
        <is>
          <t>업무일지</t>
        </is>
      </c>
      <c r="B600" s="66" t="n">
        <v>568</v>
      </c>
      <c r="C600" s="122">
        <f>IF($D600="","",IFERROR(TEXT(업무일지!$B568,"yyyy-mm-dd"),"(날짜없음)")&amp;"  "&amp;업무일지!$F568&amp;"  "&amp;업무일지!$H568)</f>
        <v/>
      </c>
      <c r="D600" s="122">
        <f>IF(NOT(COUNTBLANK(업무일지!$B568:$AH568)&lt;33),"",TRIM(IF(업무일지!$B568="","시작일 누락; ","")&amp;IF(업무일지!$C568="","종료일 누락; ","")&amp;IF(AND(업무일지!$B568&lt;&gt;"",업무일지!$C568&lt;&gt;"",업무일지!$C568&lt;업무일지!$B568),"종료일이 시작일보다 빠름; ","")&amp;IF(COUNTIF(코드설정!$H$5:$H$7,업무일지!$D568)=0,"직무구분 누락; ","")&amp;IF(업무일지!$E568="","세부유형 누락; ",IF(AND(업무일지!$D568&lt;&gt;"",COUNTIFS(코드설정!$A$5:$A$21,업무일지!$D568,코드설정!$B$5:$B$21,업무일지!$E568)=0),"세부유형이 직무구분과 불일치; ",""))&amp;IF(AND(업무일지!$F568&lt;&gt;"",COUNTIF(사건마스터!$A$5:$A$64,업무일지!$F568)=0),"미등록 사건번호; ","")&amp;IF(AND(업무일지!$F568="",업무일지!$H568=""),"사건번호·업무명 모두 없음; ","")&amp;IF(업무일지!$J568="","담당자 없음; ","")&amp;IF(COUNTIF(코드설정!$F$5:$F$7,업무일지!$AG568)=0,"진행상태 누락; ","")))</f>
        <v/>
      </c>
    </row>
    <row r="601">
      <c r="A601" s="26" t="inlineStr">
        <is>
          <t>업무일지</t>
        </is>
      </c>
      <c r="B601" s="66" t="n">
        <v>569</v>
      </c>
      <c r="C601" s="122">
        <f>IF($D601="","",IFERROR(TEXT(업무일지!$B569,"yyyy-mm-dd"),"(날짜없음)")&amp;"  "&amp;업무일지!$F569&amp;"  "&amp;업무일지!$H569)</f>
        <v/>
      </c>
      <c r="D601" s="122">
        <f>IF(NOT(COUNTBLANK(업무일지!$B569:$AH569)&lt;33),"",TRIM(IF(업무일지!$B569="","시작일 누락; ","")&amp;IF(업무일지!$C569="","종료일 누락; ","")&amp;IF(AND(업무일지!$B569&lt;&gt;"",업무일지!$C569&lt;&gt;"",업무일지!$C569&lt;업무일지!$B569),"종료일이 시작일보다 빠름; ","")&amp;IF(COUNTIF(코드설정!$H$5:$H$7,업무일지!$D569)=0,"직무구분 누락; ","")&amp;IF(업무일지!$E569="","세부유형 누락; ",IF(AND(업무일지!$D569&lt;&gt;"",COUNTIFS(코드설정!$A$5:$A$21,업무일지!$D569,코드설정!$B$5:$B$21,업무일지!$E569)=0),"세부유형이 직무구분과 불일치; ",""))&amp;IF(AND(업무일지!$F569&lt;&gt;"",COUNTIF(사건마스터!$A$5:$A$64,업무일지!$F569)=0),"미등록 사건번호; ","")&amp;IF(AND(업무일지!$F569="",업무일지!$H569=""),"사건번호·업무명 모두 없음; ","")&amp;IF(업무일지!$J569="","담당자 없음; ","")&amp;IF(COUNTIF(코드설정!$F$5:$F$7,업무일지!$AG569)=0,"진행상태 누락; ","")))</f>
        <v/>
      </c>
    </row>
    <row r="602">
      <c r="A602" s="26" t="inlineStr">
        <is>
          <t>업무일지</t>
        </is>
      </c>
      <c r="B602" s="66" t="n">
        <v>570</v>
      </c>
      <c r="C602" s="122">
        <f>IF($D602="","",IFERROR(TEXT(업무일지!$B570,"yyyy-mm-dd"),"(날짜없음)")&amp;"  "&amp;업무일지!$F570&amp;"  "&amp;업무일지!$H570)</f>
        <v/>
      </c>
      <c r="D602" s="122">
        <f>IF(NOT(COUNTBLANK(업무일지!$B570:$AH570)&lt;33),"",TRIM(IF(업무일지!$B570="","시작일 누락; ","")&amp;IF(업무일지!$C570="","종료일 누락; ","")&amp;IF(AND(업무일지!$B570&lt;&gt;"",업무일지!$C570&lt;&gt;"",업무일지!$C570&lt;업무일지!$B570),"종료일이 시작일보다 빠름; ","")&amp;IF(COUNTIF(코드설정!$H$5:$H$7,업무일지!$D570)=0,"직무구분 누락; ","")&amp;IF(업무일지!$E570="","세부유형 누락; ",IF(AND(업무일지!$D570&lt;&gt;"",COUNTIFS(코드설정!$A$5:$A$21,업무일지!$D570,코드설정!$B$5:$B$21,업무일지!$E570)=0),"세부유형이 직무구분과 불일치; ",""))&amp;IF(AND(업무일지!$F570&lt;&gt;"",COUNTIF(사건마스터!$A$5:$A$64,업무일지!$F570)=0),"미등록 사건번호; ","")&amp;IF(AND(업무일지!$F570="",업무일지!$H570=""),"사건번호·업무명 모두 없음; ","")&amp;IF(업무일지!$J570="","담당자 없음; ","")&amp;IF(COUNTIF(코드설정!$F$5:$F$7,업무일지!$AG570)=0,"진행상태 누락; ","")))</f>
        <v/>
      </c>
    </row>
    <row r="603">
      <c r="A603" s="26" t="inlineStr">
        <is>
          <t>업무일지</t>
        </is>
      </c>
      <c r="B603" s="66" t="n">
        <v>571</v>
      </c>
      <c r="C603" s="122">
        <f>IF($D603="","",IFERROR(TEXT(업무일지!$B571,"yyyy-mm-dd"),"(날짜없음)")&amp;"  "&amp;업무일지!$F571&amp;"  "&amp;업무일지!$H571)</f>
        <v/>
      </c>
      <c r="D603" s="122">
        <f>IF(NOT(COUNTBLANK(업무일지!$B571:$AH571)&lt;33),"",TRIM(IF(업무일지!$B571="","시작일 누락; ","")&amp;IF(업무일지!$C571="","종료일 누락; ","")&amp;IF(AND(업무일지!$B571&lt;&gt;"",업무일지!$C571&lt;&gt;"",업무일지!$C571&lt;업무일지!$B571),"종료일이 시작일보다 빠름; ","")&amp;IF(COUNTIF(코드설정!$H$5:$H$7,업무일지!$D571)=0,"직무구분 누락; ","")&amp;IF(업무일지!$E571="","세부유형 누락; ",IF(AND(업무일지!$D571&lt;&gt;"",COUNTIFS(코드설정!$A$5:$A$21,업무일지!$D571,코드설정!$B$5:$B$21,업무일지!$E571)=0),"세부유형이 직무구분과 불일치; ",""))&amp;IF(AND(업무일지!$F571&lt;&gt;"",COUNTIF(사건마스터!$A$5:$A$64,업무일지!$F571)=0),"미등록 사건번호; ","")&amp;IF(AND(업무일지!$F571="",업무일지!$H571=""),"사건번호·업무명 모두 없음; ","")&amp;IF(업무일지!$J571="","담당자 없음; ","")&amp;IF(COUNTIF(코드설정!$F$5:$F$7,업무일지!$AG571)=0,"진행상태 누락; ","")))</f>
        <v/>
      </c>
    </row>
    <row r="604">
      <c r="A604" s="26" t="inlineStr">
        <is>
          <t>업무일지</t>
        </is>
      </c>
      <c r="B604" s="66" t="n">
        <v>572</v>
      </c>
      <c r="C604" s="122">
        <f>IF($D604="","",IFERROR(TEXT(업무일지!$B572,"yyyy-mm-dd"),"(날짜없음)")&amp;"  "&amp;업무일지!$F572&amp;"  "&amp;업무일지!$H572)</f>
        <v/>
      </c>
      <c r="D604" s="122">
        <f>IF(NOT(COUNTBLANK(업무일지!$B572:$AH572)&lt;33),"",TRIM(IF(업무일지!$B572="","시작일 누락; ","")&amp;IF(업무일지!$C572="","종료일 누락; ","")&amp;IF(AND(업무일지!$B572&lt;&gt;"",업무일지!$C572&lt;&gt;"",업무일지!$C572&lt;업무일지!$B572),"종료일이 시작일보다 빠름; ","")&amp;IF(COUNTIF(코드설정!$H$5:$H$7,업무일지!$D572)=0,"직무구분 누락; ","")&amp;IF(업무일지!$E572="","세부유형 누락; ",IF(AND(업무일지!$D572&lt;&gt;"",COUNTIFS(코드설정!$A$5:$A$21,업무일지!$D572,코드설정!$B$5:$B$21,업무일지!$E572)=0),"세부유형이 직무구분과 불일치; ",""))&amp;IF(AND(업무일지!$F572&lt;&gt;"",COUNTIF(사건마스터!$A$5:$A$64,업무일지!$F572)=0),"미등록 사건번호; ","")&amp;IF(AND(업무일지!$F572="",업무일지!$H572=""),"사건번호·업무명 모두 없음; ","")&amp;IF(업무일지!$J572="","담당자 없음; ","")&amp;IF(COUNTIF(코드설정!$F$5:$F$7,업무일지!$AG572)=0,"진행상태 누락; ","")))</f>
        <v/>
      </c>
    </row>
    <row r="605">
      <c r="A605" s="26" t="inlineStr">
        <is>
          <t>업무일지</t>
        </is>
      </c>
      <c r="B605" s="66" t="n">
        <v>573</v>
      </c>
      <c r="C605" s="122">
        <f>IF($D605="","",IFERROR(TEXT(업무일지!$B573,"yyyy-mm-dd"),"(날짜없음)")&amp;"  "&amp;업무일지!$F573&amp;"  "&amp;업무일지!$H573)</f>
        <v/>
      </c>
      <c r="D605" s="122">
        <f>IF(NOT(COUNTBLANK(업무일지!$B573:$AH573)&lt;33),"",TRIM(IF(업무일지!$B573="","시작일 누락; ","")&amp;IF(업무일지!$C573="","종료일 누락; ","")&amp;IF(AND(업무일지!$B573&lt;&gt;"",업무일지!$C573&lt;&gt;"",업무일지!$C573&lt;업무일지!$B573),"종료일이 시작일보다 빠름; ","")&amp;IF(COUNTIF(코드설정!$H$5:$H$7,업무일지!$D573)=0,"직무구분 누락; ","")&amp;IF(업무일지!$E573="","세부유형 누락; ",IF(AND(업무일지!$D573&lt;&gt;"",COUNTIFS(코드설정!$A$5:$A$21,업무일지!$D573,코드설정!$B$5:$B$21,업무일지!$E573)=0),"세부유형이 직무구분과 불일치; ",""))&amp;IF(AND(업무일지!$F573&lt;&gt;"",COUNTIF(사건마스터!$A$5:$A$64,업무일지!$F573)=0),"미등록 사건번호; ","")&amp;IF(AND(업무일지!$F573="",업무일지!$H573=""),"사건번호·업무명 모두 없음; ","")&amp;IF(업무일지!$J573="","담당자 없음; ","")&amp;IF(COUNTIF(코드설정!$F$5:$F$7,업무일지!$AG573)=0,"진행상태 누락; ","")))</f>
        <v/>
      </c>
    </row>
    <row r="606">
      <c r="A606" s="26" t="inlineStr">
        <is>
          <t>업무일지</t>
        </is>
      </c>
      <c r="B606" s="66" t="n">
        <v>574</v>
      </c>
      <c r="C606" s="122">
        <f>IF($D606="","",IFERROR(TEXT(업무일지!$B574,"yyyy-mm-dd"),"(날짜없음)")&amp;"  "&amp;업무일지!$F574&amp;"  "&amp;업무일지!$H574)</f>
        <v/>
      </c>
      <c r="D606" s="122">
        <f>IF(NOT(COUNTBLANK(업무일지!$B574:$AH574)&lt;33),"",TRIM(IF(업무일지!$B574="","시작일 누락; ","")&amp;IF(업무일지!$C574="","종료일 누락; ","")&amp;IF(AND(업무일지!$B574&lt;&gt;"",업무일지!$C574&lt;&gt;"",업무일지!$C574&lt;업무일지!$B574),"종료일이 시작일보다 빠름; ","")&amp;IF(COUNTIF(코드설정!$H$5:$H$7,업무일지!$D574)=0,"직무구분 누락; ","")&amp;IF(업무일지!$E574="","세부유형 누락; ",IF(AND(업무일지!$D574&lt;&gt;"",COUNTIFS(코드설정!$A$5:$A$21,업무일지!$D574,코드설정!$B$5:$B$21,업무일지!$E574)=0),"세부유형이 직무구분과 불일치; ",""))&amp;IF(AND(업무일지!$F574&lt;&gt;"",COUNTIF(사건마스터!$A$5:$A$64,업무일지!$F574)=0),"미등록 사건번호; ","")&amp;IF(AND(업무일지!$F574="",업무일지!$H574=""),"사건번호·업무명 모두 없음; ","")&amp;IF(업무일지!$J574="","담당자 없음; ","")&amp;IF(COUNTIF(코드설정!$F$5:$F$7,업무일지!$AG574)=0,"진행상태 누락; ","")))</f>
        <v/>
      </c>
    </row>
    <row r="607">
      <c r="A607" s="26" t="inlineStr">
        <is>
          <t>업무일지</t>
        </is>
      </c>
      <c r="B607" s="66" t="n">
        <v>575</v>
      </c>
      <c r="C607" s="122">
        <f>IF($D607="","",IFERROR(TEXT(업무일지!$B575,"yyyy-mm-dd"),"(날짜없음)")&amp;"  "&amp;업무일지!$F575&amp;"  "&amp;업무일지!$H575)</f>
        <v/>
      </c>
      <c r="D607" s="122">
        <f>IF(NOT(COUNTBLANK(업무일지!$B575:$AH575)&lt;33),"",TRIM(IF(업무일지!$B575="","시작일 누락; ","")&amp;IF(업무일지!$C575="","종료일 누락; ","")&amp;IF(AND(업무일지!$B575&lt;&gt;"",업무일지!$C575&lt;&gt;"",업무일지!$C575&lt;업무일지!$B575),"종료일이 시작일보다 빠름; ","")&amp;IF(COUNTIF(코드설정!$H$5:$H$7,업무일지!$D575)=0,"직무구분 누락; ","")&amp;IF(업무일지!$E575="","세부유형 누락; ",IF(AND(업무일지!$D575&lt;&gt;"",COUNTIFS(코드설정!$A$5:$A$21,업무일지!$D575,코드설정!$B$5:$B$21,업무일지!$E575)=0),"세부유형이 직무구분과 불일치; ",""))&amp;IF(AND(업무일지!$F575&lt;&gt;"",COUNTIF(사건마스터!$A$5:$A$64,업무일지!$F575)=0),"미등록 사건번호; ","")&amp;IF(AND(업무일지!$F575="",업무일지!$H575=""),"사건번호·업무명 모두 없음; ","")&amp;IF(업무일지!$J575="","담당자 없음; ","")&amp;IF(COUNTIF(코드설정!$F$5:$F$7,업무일지!$AG575)=0,"진행상태 누락; ","")))</f>
        <v/>
      </c>
    </row>
    <row r="608">
      <c r="A608" s="26" t="inlineStr">
        <is>
          <t>업무일지</t>
        </is>
      </c>
      <c r="B608" s="66" t="n">
        <v>576</v>
      </c>
      <c r="C608" s="122">
        <f>IF($D608="","",IFERROR(TEXT(업무일지!$B576,"yyyy-mm-dd"),"(날짜없음)")&amp;"  "&amp;업무일지!$F576&amp;"  "&amp;업무일지!$H576)</f>
        <v/>
      </c>
      <c r="D608" s="122">
        <f>IF(NOT(COUNTBLANK(업무일지!$B576:$AH576)&lt;33),"",TRIM(IF(업무일지!$B576="","시작일 누락; ","")&amp;IF(업무일지!$C576="","종료일 누락; ","")&amp;IF(AND(업무일지!$B576&lt;&gt;"",업무일지!$C576&lt;&gt;"",업무일지!$C576&lt;업무일지!$B576),"종료일이 시작일보다 빠름; ","")&amp;IF(COUNTIF(코드설정!$H$5:$H$7,업무일지!$D576)=0,"직무구분 누락; ","")&amp;IF(업무일지!$E576="","세부유형 누락; ",IF(AND(업무일지!$D576&lt;&gt;"",COUNTIFS(코드설정!$A$5:$A$21,업무일지!$D576,코드설정!$B$5:$B$21,업무일지!$E576)=0),"세부유형이 직무구분과 불일치; ",""))&amp;IF(AND(업무일지!$F576&lt;&gt;"",COUNTIF(사건마스터!$A$5:$A$64,업무일지!$F576)=0),"미등록 사건번호; ","")&amp;IF(AND(업무일지!$F576="",업무일지!$H576=""),"사건번호·업무명 모두 없음; ","")&amp;IF(업무일지!$J576="","담당자 없음; ","")&amp;IF(COUNTIF(코드설정!$F$5:$F$7,업무일지!$AG576)=0,"진행상태 누락; ","")))</f>
        <v/>
      </c>
    </row>
    <row r="609">
      <c r="A609" s="26" t="inlineStr">
        <is>
          <t>업무일지</t>
        </is>
      </c>
      <c r="B609" s="66" t="n">
        <v>577</v>
      </c>
      <c r="C609" s="122">
        <f>IF($D609="","",IFERROR(TEXT(업무일지!$B577,"yyyy-mm-dd"),"(날짜없음)")&amp;"  "&amp;업무일지!$F577&amp;"  "&amp;업무일지!$H577)</f>
        <v/>
      </c>
      <c r="D609" s="122">
        <f>IF(NOT(COUNTBLANK(업무일지!$B577:$AH577)&lt;33),"",TRIM(IF(업무일지!$B577="","시작일 누락; ","")&amp;IF(업무일지!$C577="","종료일 누락; ","")&amp;IF(AND(업무일지!$B577&lt;&gt;"",업무일지!$C577&lt;&gt;"",업무일지!$C577&lt;업무일지!$B577),"종료일이 시작일보다 빠름; ","")&amp;IF(COUNTIF(코드설정!$H$5:$H$7,업무일지!$D577)=0,"직무구분 누락; ","")&amp;IF(업무일지!$E577="","세부유형 누락; ",IF(AND(업무일지!$D577&lt;&gt;"",COUNTIFS(코드설정!$A$5:$A$21,업무일지!$D577,코드설정!$B$5:$B$21,업무일지!$E577)=0),"세부유형이 직무구분과 불일치; ",""))&amp;IF(AND(업무일지!$F577&lt;&gt;"",COUNTIF(사건마스터!$A$5:$A$64,업무일지!$F577)=0),"미등록 사건번호; ","")&amp;IF(AND(업무일지!$F577="",업무일지!$H577=""),"사건번호·업무명 모두 없음; ","")&amp;IF(업무일지!$J577="","담당자 없음; ","")&amp;IF(COUNTIF(코드설정!$F$5:$F$7,업무일지!$AG577)=0,"진행상태 누락; ","")))</f>
        <v/>
      </c>
    </row>
    <row r="610">
      <c r="A610" s="26" t="inlineStr">
        <is>
          <t>업무일지</t>
        </is>
      </c>
      <c r="B610" s="66" t="n">
        <v>578</v>
      </c>
      <c r="C610" s="122">
        <f>IF($D610="","",IFERROR(TEXT(업무일지!$B578,"yyyy-mm-dd"),"(날짜없음)")&amp;"  "&amp;업무일지!$F578&amp;"  "&amp;업무일지!$H578)</f>
        <v/>
      </c>
      <c r="D610" s="122">
        <f>IF(NOT(COUNTBLANK(업무일지!$B578:$AH578)&lt;33),"",TRIM(IF(업무일지!$B578="","시작일 누락; ","")&amp;IF(업무일지!$C578="","종료일 누락; ","")&amp;IF(AND(업무일지!$B578&lt;&gt;"",업무일지!$C578&lt;&gt;"",업무일지!$C578&lt;업무일지!$B578),"종료일이 시작일보다 빠름; ","")&amp;IF(COUNTIF(코드설정!$H$5:$H$7,업무일지!$D578)=0,"직무구분 누락; ","")&amp;IF(업무일지!$E578="","세부유형 누락; ",IF(AND(업무일지!$D578&lt;&gt;"",COUNTIFS(코드설정!$A$5:$A$21,업무일지!$D578,코드설정!$B$5:$B$21,업무일지!$E578)=0),"세부유형이 직무구분과 불일치; ",""))&amp;IF(AND(업무일지!$F578&lt;&gt;"",COUNTIF(사건마스터!$A$5:$A$64,업무일지!$F578)=0),"미등록 사건번호; ","")&amp;IF(AND(업무일지!$F578="",업무일지!$H578=""),"사건번호·업무명 모두 없음; ","")&amp;IF(업무일지!$J578="","담당자 없음; ","")&amp;IF(COUNTIF(코드설정!$F$5:$F$7,업무일지!$AG578)=0,"진행상태 누락; ","")))</f>
        <v/>
      </c>
    </row>
    <row r="611">
      <c r="A611" s="26" t="inlineStr">
        <is>
          <t>업무일지</t>
        </is>
      </c>
      <c r="B611" s="66" t="n">
        <v>579</v>
      </c>
      <c r="C611" s="122">
        <f>IF($D611="","",IFERROR(TEXT(업무일지!$B579,"yyyy-mm-dd"),"(날짜없음)")&amp;"  "&amp;업무일지!$F579&amp;"  "&amp;업무일지!$H579)</f>
        <v/>
      </c>
      <c r="D611" s="122">
        <f>IF(NOT(COUNTBLANK(업무일지!$B579:$AH579)&lt;33),"",TRIM(IF(업무일지!$B579="","시작일 누락; ","")&amp;IF(업무일지!$C579="","종료일 누락; ","")&amp;IF(AND(업무일지!$B579&lt;&gt;"",업무일지!$C579&lt;&gt;"",업무일지!$C579&lt;업무일지!$B579),"종료일이 시작일보다 빠름; ","")&amp;IF(COUNTIF(코드설정!$H$5:$H$7,업무일지!$D579)=0,"직무구분 누락; ","")&amp;IF(업무일지!$E579="","세부유형 누락; ",IF(AND(업무일지!$D579&lt;&gt;"",COUNTIFS(코드설정!$A$5:$A$21,업무일지!$D579,코드설정!$B$5:$B$21,업무일지!$E579)=0),"세부유형이 직무구분과 불일치; ",""))&amp;IF(AND(업무일지!$F579&lt;&gt;"",COUNTIF(사건마스터!$A$5:$A$64,업무일지!$F579)=0),"미등록 사건번호; ","")&amp;IF(AND(업무일지!$F579="",업무일지!$H579=""),"사건번호·업무명 모두 없음; ","")&amp;IF(업무일지!$J579="","담당자 없음; ","")&amp;IF(COUNTIF(코드설정!$F$5:$F$7,업무일지!$AG579)=0,"진행상태 누락; ","")))</f>
        <v/>
      </c>
    </row>
    <row r="612">
      <c r="A612" s="26" t="inlineStr">
        <is>
          <t>업무일지</t>
        </is>
      </c>
      <c r="B612" s="66" t="n">
        <v>580</v>
      </c>
      <c r="C612" s="122">
        <f>IF($D612="","",IFERROR(TEXT(업무일지!$B580,"yyyy-mm-dd"),"(날짜없음)")&amp;"  "&amp;업무일지!$F580&amp;"  "&amp;업무일지!$H580)</f>
        <v/>
      </c>
      <c r="D612" s="122">
        <f>IF(NOT(COUNTBLANK(업무일지!$B580:$AH580)&lt;33),"",TRIM(IF(업무일지!$B580="","시작일 누락; ","")&amp;IF(업무일지!$C580="","종료일 누락; ","")&amp;IF(AND(업무일지!$B580&lt;&gt;"",업무일지!$C580&lt;&gt;"",업무일지!$C580&lt;업무일지!$B580),"종료일이 시작일보다 빠름; ","")&amp;IF(COUNTIF(코드설정!$H$5:$H$7,업무일지!$D580)=0,"직무구분 누락; ","")&amp;IF(업무일지!$E580="","세부유형 누락; ",IF(AND(업무일지!$D580&lt;&gt;"",COUNTIFS(코드설정!$A$5:$A$21,업무일지!$D580,코드설정!$B$5:$B$21,업무일지!$E580)=0),"세부유형이 직무구분과 불일치; ",""))&amp;IF(AND(업무일지!$F580&lt;&gt;"",COUNTIF(사건마스터!$A$5:$A$64,업무일지!$F580)=0),"미등록 사건번호; ","")&amp;IF(AND(업무일지!$F580="",업무일지!$H580=""),"사건번호·업무명 모두 없음; ","")&amp;IF(업무일지!$J580="","담당자 없음; ","")&amp;IF(COUNTIF(코드설정!$F$5:$F$7,업무일지!$AG580)=0,"진행상태 누락; ","")))</f>
        <v/>
      </c>
    </row>
    <row r="613">
      <c r="A613" s="26" t="inlineStr">
        <is>
          <t>업무일지</t>
        </is>
      </c>
      <c r="B613" s="66" t="n">
        <v>581</v>
      </c>
      <c r="C613" s="122">
        <f>IF($D613="","",IFERROR(TEXT(업무일지!$B581,"yyyy-mm-dd"),"(날짜없음)")&amp;"  "&amp;업무일지!$F581&amp;"  "&amp;업무일지!$H581)</f>
        <v/>
      </c>
      <c r="D613" s="122">
        <f>IF(NOT(COUNTBLANK(업무일지!$B581:$AH581)&lt;33),"",TRIM(IF(업무일지!$B581="","시작일 누락; ","")&amp;IF(업무일지!$C581="","종료일 누락; ","")&amp;IF(AND(업무일지!$B581&lt;&gt;"",업무일지!$C581&lt;&gt;"",업무일지!$C581&lt;업무일지!$B581),"종료일이 시작일보다 빠름; ","")&amp;IF(COUNTIF(코드설정!$H$5:$H$7,업무일지!$D581)=0,"직무구분 누락; ","")&amp;IF(업무일지!$E581="","세부유형 누락; ",IF(AND(업무일지!$D581&lt;&gt;"",COUNTIFS(코드설정!$A$5:$A$21,업무일지!$D581,코드설정!$B$5:$B$21,업무일지!$E581)=0),"세부유형이 직무구분과 불일치; ",""))&amp;IF(AND(업무일지!$F581&lt;&gt;"",COUNTIF(사건마스터!$A$5:$A$64,업무일지!$F581)=0),"미등록 사건번호; ","")&amp;IF(AND(업무일지!$F581="",업무일지!$H581=""),"사건번호·업무명 모두 없음; ","")&amp;IF(업무일지!$J581="","담당자 없음; ","")&amp;IF(COUNTIF(코드설정!$F$5:$F$7,업무일지!$AG581)=0,"진행상태 누락; ","")))</f>
        <v/>
      </c>
    </row>
    <row r="614">
      <c r="A614" s="26" t="inlineStr">
        <is>
          <t>업무일지</t>
        </is>
      </c>
      <c r="B614" s="66" t="n">
        <v>582</v>
      </c>
      <c r="C614" s="122">
        <f>IF($D614="","",IFERROR(TEXT(업무일지!$B582,"yyyy-mm-dd"),"(날짜없음)")&amp;"  "&amp;업무일지!$F582&amp;"  "&amp;업무일지!$H582)</f>
        <v/>
      </c>
      <c r="D614" s="122">
        <f>IF(NOT(COUNTBLANK(업무일지!$B582:$AH582)&lt;33),"",TRIM(IF(업무일지!$B582="","시작일 누락; ","")&amp;IF(업무일지!$C582="","종료일 누락; ","")&amp;IF(AND(업무일지!$B582&lt;&gt;"",업무일지!$C582&lt;&gt;"",업무일지!$C582&lt;업무일지!$B582),"종료일이 시작일보다 빠름; ","")&amp;IF(COUNTIF(코드설정!$H$5:$H$7,업무일지!$D582)=0,"직무구분 누락; ","")&amp;IF(업무일지!$E582="","세부유형 누락; ",IF(AND(업무일지!$D582&lt;&gt;"",COUNTIFS(코드설정!$A$5:$A$21,업무일지!$D582,코드설정!$B$5:$B$21,업무일지!$E582)=0),"세부유형이 직무구분과 불일치; ",""))&amp;IF(AND(업무일지!$F582&lt;&gt;"",COUNTIF(사건마스터!$A$5:$A$64,업무일지!$F582)=0),"미등록 사건번호; ","")&amp;IF(AND(업무일지!$F582="",업무일지!$H582=""),"사건번호·업무명 모두 없음; ","")&amp;IF(업무일지!$J582="","담당자 없음; ","")&amp;IF(COUNTIF(코드설정!$F$5:$F$7,업무일지!$AG582)=0,"진행상태 누락; ","")))</f>
        <v/>
      </c>
    </row>
    <row r="615">
      <c r="A615" s="26" t="inlineStr">
        <is>
          <t>업무일지</t>
        </is>
      </c>
      <c r="B615" s="66" t="n">
        <v>583</v>
      </c>
      <c r="C615" s="122">
        <f>IF($D615="","",IFERROR(TEXT(업무일지!$B583,"yyyy-mm-dd"),"(날짜없음)")&amp;"  "&amp;업무일지!$F583&amp;"  "&amp;업무일지!$H583)</f>
        <v/>
      </c>
      <c r="D615" s="122">
        <f>IF(NOT(COUNTBLANK(업무일지!$B583:$AH583)&lt;33),"",TRIM(IF(업무일지!$B583="","시작일 누락; ","")&amp;IF(업무일지!$C583="","종료일 누락; ","")&amp;IF(AND(업무일지!$B583&lt;&gt;"",업무일지!$C583&lt;&gt;"",업무일지!$C583&lt;업무일지!$B583),"종료일이 시작일보다 빠름; ","")&amp;IF(COUNTIF(코드설정!$H$5:$H$7,업무일지!$D583)=0,"직무구분 누락; ","")&amp;IF(업무일지!$E583="","세부유형 누락; ",IF(AND(업무일지!$D583&lt;&gt;"",COUNTIFS(코드설정!$A$5:$A$21,업무일지!$D583,코드설정!$B$5:$B$21,업무일지!$E583)=0),"세부유형이 직무구분과 불일치; ",""))&amp;IF(AND(업무일지!$F583&lt;&gt;"",COUNTIF(사건마스터!$A$5:$A$64,업무일지!$F583)=0),"미등록 사건번호; ","")&amp;IF(AND(업무일지!$F583="",업무일지!$H583=""),"사건번호·업무명 모두 없음; ","")&amp;IF(업무일지!$J583="","담당자 없음; ","")&amp;IF(COUNTIF(코드설정!$F$5:$F$7,업무일지!$AG583)=0,"진행상태 누락; ","")))</f>
        <v/>
      </c>
    </row>
    <row r="616">
      <c r="A616" s="26" t="inlineStr">
        <is>
          <t>업무일지</t>
        </is>
      </c>
      <c r="B616" s="66" t="n">
        <v>584</v>
      </c>
      <c r="C616" s="122">
        <f>IF($D616="","",IFERROR(TEXT(업무일지!$B584,"yyyy-mm-dd"),"(날짜없음)")&amp;"  "&amp;업무일지!$F584&amp;"  "&amp;업무일지!$H584)</f>
        <v/>
      </c>
      <c r="D616" s="122">
        <f>IF(NOT(COUNTBLANK(업무일지!$B584:$AH584)&lt;33),"",TRIM(IF(업무일지!$B584="","시작일 누락; ","")&amp;IF(업무일지!$C584="","종료일 누락; ","")&amp;IF(AND(업무일지!$B584&lt;&gt;"",업무일지!$C584&lt;&gt;"",업무일지!$C584&lt;업무일지!$B584),"종료일이 시작일보다 빠름; ","")&amp;IF(COUNTIF(코드설정!$H$5:$H$7,업무일지!$D584)=0,"직무구분 누락; ","")&amp;IF(업무일지!$E584="","세부유형 누락; ",IF(AND(업무일지!$D584&lt;&gt;"",COUNTIFS(코드설정!$A$5:$A$21,업무일지!$D584,코드설정!$B$5:$B$21,업무일지!$E584)=0),"세부유형이 직무구분과 불일치; ",""))&amp;IF(AND(업무일지!$F584&lt;&gt;"",COUNTIF(사건마스터!$A$5:$A$64,업무일지!$F584)=0),"미등록 사건번호; ","")&amp;IF(AND(업무일지!$F584="",업무일지!$H584=""),"사건번호·업무명 모두 없음; ","")&amp;IF(업무일지!$J584="","담당자 없음; ","")&amp;IF(COUNTIF(코드설정!$F$5:$F$7,업무일지!$AG584)=0,"진행상태 누락; ","")))</f>
        <v/>
      </c>
    </row>
    <row r="617">
      <c r="A617" s="26" t="inlineStr">
        <is>
          <t>업무일지</t>
        </is>
      </c>
      <c r="B617" s="66" t="n">
        <v>585</v>
      </c>
      <c r="C617" s="122">
        <f>IF($D617="","",IFERROR(TEXT(업무일지!$B585,"yyyy-mm-dd"),"(날짜없음)")&amp;"  "&amp;업무일지!$F585&amp;"  "&amp;업무일지!$H585)</f>
        <v/>
      </c>
      <c r="D617" s="122">
        <f>IF(NOT(COUNTBLANK(업무일지!$B585:$AH585)&lt;33),"",TRIM(IF(업무일지!$B585="","시작일 누락; ","")&amp;IF(업무일지!$C585="","종료일 누락; ","")&amp;IF(AND(업무일지!$B585&lt;&gt;"",업무일지!$C585&lt;&gt;"",업무일지!$C585&lt;업무일지!$B585),"종료일이 시작일보다 빠름; ","")&amp;IF(COUNTIF(코드설정!$H$5:$H$7,업무일지!$D585)=0,"직무구분 누락; ","")&amp;IF(업무일지!$E585="","세부유형 누락; ",IF(AND(업무일지!$D585&lt;&gt;"",COUNTIFS(코드설정!$A$5:$A$21,업무일지!$D585,코드설정!$B$5:$B$21,업무일지!$E585)=0),"세부유형이 직무구분과 불일치; ",""))&amp;IF(AND(업무일지!$F585&lt;&gt;"",COUNTIF(사건마스터!$A$5:$A$64,업무일지!$F585)=0),"미등록 사건번호; ","")&amp;IF(AND(업무일지!$F585="",업무일지!$H585=""),"사건번호·업무명 모두 없음; ","")&amp;IF(업무일지!$J585="","담당자 없음; ","")&amp;IF(COUNTIF(코드설정!$F$5:$F$7,업무일지!$AG585)=0,"진행상태 누락; ","")))</f>
        <v/>
      </c>
    </row>
    <row r="618">
      <c r="A618" s="26" t="inlineStr">
        <is>
          <t>업무일지</t>
        </is>
      </c>
      <c r="B618" s="66" t="n">
        <v>586</v>
      </c>
      <c r="C618" s="122">
        <f>IF($D618="","",IFERROR(TEXT(업무일지!$B586,"yyyy-mm-dd"),"(날짜없음)")&amp;"  "&amp;업무일지!$F586&amp;"  "&amp;업무일지!$H586)</f>
        <v/>
      </c>
      <c r="D618" s="122">
        <f>IF(NOT(COUNTBLANK(업무일지!$B586:$AH586)&lt;33),"",TRIM(IF(업무일지!$B586="","시작일 누락; ","")&amp;IF(업무일지!$C586="","종료일 누락; ","")&amp;IF(AND(업무일지!$B586&lt;&gt;"",업무일지!$C586&lt;&gt;"",업무일지!$C586&lt;업무일지!$B586),"종료일이 시작일보다 빠름; ","")&amp;IF(COUNTIF(코드설정!$H$5:$H$7,업무일지!$D586)=0,"직무구분 누락; ","")&amp;IF(업무일지!$E586="","세부유형 누락; ",IF(AND(업무일지!$D586&lt;&gt;"",COUNTIFS(코드설정!$A$5:$A$21,업무일지!$D586,코드설정!$B$5:$B$21,업무일지!$E586)=0),"세부유형이 직무구분과 불일치; ",""))&amp;IF(AND(업무일지!$F586&lt;&gt;"",COUNTIF(사건마스터!$A$5:$A$64,업무일지!$F586)=0),"미등록 사건번호; ","")&amp;IF(AND(업무일지!$F586="",업무일지!$H586=""),"사건번호·업무명 모두 없음; ","")&amp;IF(업무일지!$J586="","담당자 없음; ","")&amp;IF(COUNTIF(코드설정!$F$5:$F$7,업무일지!$AG586)=0,"진행상태 누락; ","")))</f>
        <v/>
      </c>
    </row>
    <row r="619">
      <c r="A619" s="26" t="inlineStr">
        <is>
          <t>업무일지</t>
        </is>
      </c>
      <c r="B619" s="66" t="n">
        <v>587</v>
      </c>
      <c r="C619" s="122">
        <f>IF($D619="","",IFERROR(TEXT(업무일지!$B587,"yyyy-mm-dd"),"(날짜없음)")&amp;"  "&amp;업무일지!$F587&amp;"  "&amp;업무일지!$H587)</f>
        <v/>
      </c>
      <c r="D619" s="122">
        <f>IF(NOT(COUNTBLANK(업무일지!$B587:$AH587)&lt;33),"",TRIM(IF(업무일지!$B587="","시작일 누락; ","")&amp;IF(업무일지!$C587="","종료일 누락; ","")&amp;IF(AND(업무일지!$B587&lt;&gt;"",업무일지!$C587&lt;&gt;"",업무일지!$C587&lt;업무일지!$B587),"종료일이 시작일보다 빠름; ","")&amp;IF(COUNTIF(코드설정!$H$5:$H$7,업무일지!$D587)=0,"직무구분 누락; ","")&amp;IF(업무일지!$E587="","세부유형 누락; ",IF(AND(업무일지!$D587&lt;&gt;"",COUNTIFS(코드설정!$A$5:$A$21,업무일지!$D587,코드설정!$B$5:$B$21,업무일지!$E587)=0),"세부유형이 직무구분과 불일치; ",""))&amp;IF(AND(업무일지!$F587&lt;&gt;"",COUNTIF(사건마스터!$A$5:$A$64,업무일지!$F587)=0),"미등록 사건번호; ","")&amp;IF(AND(업무일지!$F587="",업무일지!$H587=""),"사건번호·업무명 모두 없음; ","")&amp;IF(업무일지!$J587="","담당자 없음; ","")&amp;IF(COUNTIF(코드설정!$F$5:$F$7,업무일지!$AG587)=0,"진행상태 누락; ","")))</f>
        <v/>
      </c>
    </row>
    <row r="620">
      <c r="A620" s="26" t="inlineStr">
        <is>
          <t>업무일지</t>
        </is>
      </c>
      <c r="B620" s="66" t="n">
        <v>588</v>
      </c>
      <c r="C620" s="122">
        <f>IF($D620="","",IFERROR(TEXT(업무일지!$B588,"yyyy-mm-dd"),"(날짜없음)")&amp;"  "&amp;업무일지!$F588&amp;"  "&amp;업무일지!$H588)</f>
        <v/>
      </c>
      <c r="D620" s="122">
        <f>IF(NOT(COUNTBLANK(업무일지!$B588:$AH588)&lt;33),"",TRIM(IF(업무일지!$B588="","시작일 누락; ","")&amp;IF(업무일지!$C588="","종료일 누락; ","")&amp;IF(AND(업무일지!$B588&lt;&gt;"",업무일지!$C588&lt;&gt;"",업무일지!$C588&lt;업무일지!$B588),"종료일이 시작일보다 빠름; ","")&amp;IF(COUNTIF(코드설정!$H$5:$H$7,업무일지!$D588)=0,"직무구분 누락; ","")&amp;IF(업무일지!$E588="","세부유형 누락; ",IF(AND(업무일지!$D588&lt;&gt;"",COUNTIFS(코드설정!$A$5:$A$21,업무일지!$D588,코드설정!$B$5:$B$21,업무일지!$E588)=0),"세부유형이 직무구분과 불일치; ",""))&amp;IF(AND(업무일지!$F588&lt;&gt;"",COUNTIF(사건마스터!$A$5:$A$64,업무일지!$F588)=0),"미등록 사건번호; ","")&amp;IF(AND(업무일지!$F588="",업무일지!$H588=""),"사건번호·업무명 모두 없음; ","")&amp;IF(업무일지!$J588="","담당자 없음; ","")&amp;IF(COUNTIF(코드설정!$F$5:$F$7,업무일지!$AG588)=0,"진행상태 누락; ","")))</f>
        <v/>
      </c>
    </row>
    <row r="621">
      <c r="A621" s="26" t="inlineStr">
        <is>
          <t>업무일지</t>
        </is>
      </c>
      <c r="B621" s="66" t="n">
        <v>589</v>
      </c>
      <c r="C621" s="122">
        <f>IF($D621="","",IFERROR(TEXT(업무일지!$B589,"yyyy-mm-dd"),"(날짜없음)")&amp;"  "&amp;업무일지!$F589&amp;"  "&amp;업무일지!$H589)</f>
        <v/>
      </c>
      <c r="D621" s="122">
        <f>IF(NOT(COUNTBLANK(업무일지!$B589:$AH589)&lt;33),"",TRIM(IF(업무일지!$B589="","시작일 누락; ","")&amp;IF(업무일지!$C589="","종료일 누락; ","")&amp;IF(AND(업무일지!$B589&lt;&gt;"",업무일지!$C589&lt;&gt;"",업무일지!$C589&lt;업무일지!$B589),"종료일이 시작일보다 빠름; ","")&amp;IF(COUNTIF(코드설정!$H$5:$H$7,업무일지!$D589)=0,"직무구분 누락; ","")&amp;IF(업무일지!$E589="","세부유형 누락; ",IF(AND(업무일지!$D589&lt;&gt;"",COUNTIFS(코드설정!$A$5:$A$21,업무일지!$D589,코드설정!$B$5:$B$21,업무일지!$E589)=0),"세부유형이 직무구분과 불일치; ",""))&amp;IF(AND(업무일지!$F589&lt;&gt;"",COUNTIF(사건마스터!$A$5:$A$64,업무일지!$F589)=0),"미등록 사건번호; ","")&amp;IF(AND(업무일지!$F589="",업무일지!$H589=""),"사건번호·업무명 모두 없음; ","")&amp;IF(업무일지!$J589="","담당자 없음; ","")&amp;IF(COUNTIF(코드설정!$F$5:$F$7,업무일지!$AG589)=0,"진행상태 누락; ","")))</f>
        <v/>
      </c>
    </row>
    <row r="622">
      <c r="A622" s="26" t="inlineStr">
        <is>
          <t>업무일지</t>
        </is>
      </c>
      <c r="B622" s="66" t="n">
        <v>590</v>
      </c>
      <c r="C622" s="122">
        <f>IF($D622="","",IFERROR(TEXT(업무일지!$B590,"yyyy-mm-dd"),"(날짜없음)")&amp;"  "&amp;업무일지!$F590&amp;"  "&amp;업무일지!$H590)</f>
        <v/>
      </c>
      <c r="D622" s="122">
        <f>IF(NOT(COUNTBLANK(업무일지!$B590:$AH590)&lt;33),"",TRIM(IF(업무일지!$B590="","시작일 누락; ","")&amp;IF(업무일지!$C590="","종료일 누락; ","")&amp;IF(AND(업무일지!$B590&lt;&gt;"",업무일지!$C590&lt;&gt;"",업무일지!$C590&lt;업무일지!$B590),"종료일이 시작일보다 빠름; ","")&amp;IF(COUNTIF(코드설정!$H$5:$H$7,업무일지!$D590)=0,"직무구분 누락; ","")&amp;IF(업무일지!$E590="","세부유형 누락; ",IF(AND(업무일지!$D590&lt;&gt;"",COUNTIFS(코드설정!$A$5:$A$21,업무일지!$D590,코드설정!$B$5:$B$21,업무일지!$E590)=0),"세부유형이 직무구분과 불일치; ",""))&amp;IF(AND(업무일지!$F590&lt;&gt;"",COUNTIF(사건마스터!$A$5:$A$64,업무일지!$F590)=0),"미등록 사건번호; ","")&amp;IF(AND(업무일지!$F590="",업무일지!$H590=""),"사건번호·업무명 모두 없음; ","")&amp;IF(업무일지!$J590="","담당자 없음; ","")&amp;IF(COUNTIF(코드설정!$F$5:$F$7,업무일지!$AG590)=0,"진행상태 누락; ","")))</f>
        <v/>
      </c>
    </row>
    <row r="623">
      <c r="A623" s="26" t="inlineStr">
        <is>
          <t>업무일지</t>
        </is>
      </c>
      <c r="B623" s="66" t="n">
        <v>591</v>
      </c>
      <c r="C623" s="122">
        <f>IF($D623="","",IFERROR(TEXT(업무일지!$B591,"yyyy-mm-dd"),"(날짜없음)")&amp;"  "&amp;업무일지!$F591&amp;"  "&amp;업무일지!$H591)</f>
        <v/>
      </c>
      <c r="D623" s="122">
        <f>IF(NOT(COUNTBLANK(업무일지!$B591:$AH591)&lt;33),"",TRIM(IF(업무일지!$B591="","시작일 누락; ","")&amp;IF(업무일지!$C591="","종료일 누락; ","")&amp;IF(AND(업무일지!$B591&lt;&gt;"",업무일지!$C591&lt;&gt;"",업무일지!$C591&lt;업무일지!$B591),"종료일이 시작일보다 빠름; ","")&amp;IF(COUNTIF(코드설정!$H$5:$H$7,업무일지!$D591)=0,"직무구분 누락; ","")&amp;IF(업무일지!$E591="","세부유형 누락; ",IF(AND(업무일지!$D591&lt;&gt;"",COUNTIFS(코드설정!$A$5:$A$21,업무일지!$D591,코드설정!$B$5:$B$21,업무일지!$E591)=0),"세부유형이 직무구분과 불일치; ",""))&amp;IF(AND(업무일지!$F591&lt;&gt;"",COUNTIF(사건마스터!$A$5:$A$64,업무일지!$F591)=0),"미등록 사건번호; ","")&amp;IF(AND(업무일지!$F591="",업무일지!$H591=""),"사건번호·업무명 모두 없음; ","")&amp;IF(업무일지!$J591="","담당자 없음; ","")&amp;IF(COUNTIF(코드설정!$F$5:$F$7,업무일지!$AG591)=0,"진행상태 누락; ","")))</f>
        <v/>
      </c>
    </row>
    <row r="624">
      <c r="A624" s="26" t="inlineStr">
        <is>
          <t>업무일지</t>
        </is>
      </c>
      <c r="B624" s="66" t="n">
        <v>592</v>
      </c>
      <c r="C624" s="122">
        <f>IF($D624="","",IFERROR(TEXT(업무일지!$B592,"yyyy-mm-dd"),"(날짜없음)")&amp;"  "&amp;업무일지!$F592&amp;"  "&amp;업무일지!$H592)</f>
        <v/>
      </c>
      <c r="D624" s="122">
        <f>IF(NOT(COUNTBLANK(업무일지!$B592:$AH592)&lt;33),"",TRIM(IF(업무일지!$B592="","시작일 누락; ","")&amp;IF(업무일지!$C592="","종료일 누락; ","")&amp;IF(AND(업무일지!$B592&lt;&gt;"",업무일지!$C592&lt;&gt;"",업무일지!$C592&lt;업무일지!$B592),"종료일이 시작일보다 빠름; ","")&amp;IF(COUNTIF(코드설정!$H$5:$H$7,업무일지!$D592)=0,"직무구분 누락; ","")&amp;IF(업무일지!$E592="","세부유형 누락; ",IF(AND(업무일지!$D592&lt;&gt;"",COUNTIFS(코드설정!$A$5:$A$21,업무일지!$D592,코드설정!$B$5:$B$21,업무일지!$E592)=0),"세부유형이 직무구분과 불일치; ",""))&amp;IF(AND(업무일지!$F592&lt;&gt;"",COUNTIF(사건마스터!$A$5:$A$64,업무일지!$F592)=0),"미등록 사건번호; ","")&amp;IF(AND(업무일지!$F592="",업무일지!$H592=""),"사건번호·업무명 모두 없음; ","")&amp;IF(업무일지!$J592="","담당자 없음; ","")&amp;IF(COUNTIF(코드설정!$F$5:$F$7,업무일지!$AG592)=0,"진행상태 누락; ","")))</f>
        <v/>
      </c>
    </row>
    <row r="625">
      <c r="A625" s="26" t="inlineStr">
        <is>
          <t>업무일지</t>
        </is>
      </c>
      <c r="B625" s="66" t="n">
        <v>593</v>
      </c>
      <c r="C625" s="122">
        <f>IF($D625="","",IFERROR(TEXT(업무일지!$B593,"yyyy-mm-dd"),"(날짜없음)")&amp;"  "&amp;업무일지!$F593&amp;"  "&amp;업무일지!$H593)</f>
        <v/>
      </c>
      <c r="D625" s="122">
        <f>IF(NOT(COUNTBLANK(업무일지!$B593:$AH593)&lt;33),"",TRIM(IF(업무일지!$B593="","시작일 누락; ","")&amp;IF(업무일지!$C593="","종료일 누락; ","")&amp;IF(AND(업무일지!$B593&lt;&gt;"",업무일지!$C593&lt;&gt;"",업무일지!$C593&lt;업무일지!$B593),"종료일이 시작일보다 빠름; ","")&amp;IF(COUNTIF(코드설정!$H$5:$H$7,업무일지!$D593)=0,"직무구분 누락; ","")&amp;IF(업무일지!$E593="","세부유형 누락; ",IF(AND(업무일지!$D593&lt;&gt;"",COUNTIFS(코드설정!$A$5:$A$21,업무일지!$D593,코드설정!$B$5:$B$21,업무일지!$E593)=0),"세부유형이 직무구분과 불일치; ",""))&amp;IF(AND(업무일지!$F593&lt;&gt;"",COUNTIF(사건마스터!$A$5:$A$64,업무일지!$F593)=0),"미등록 사건번호; ","")&amp;IF(AND(업무일지!$F593="",업무일지!$H593=""),"사건번호·업무명 모두 없음; ","")&amp;IF(업무일지!$J593="","담당자 없음; ","")&amp;IF(COUNTIF(코드설정!$F$5:$F$7,업무일지!$AG593)=0,"진행상태 누락; ","")))</f>
        <v/>
      </c>
    </row>
    <row r="626">
      <c r="A626" s="26" t="inlineStr">
        <is>
          <t>업무일지</t>
        </is>
      </c>
      <c r="B626" s="66" t="n">
        <v>594</v>
      </c>
      <c r="C626" s="122">
        <f>IF($D626="","",IFERROR(TEXT(업무일지!$B594,"yyyy-mm-dd"),"(날짜없음)")&amp;"  "&amp;업무일지!$F594&amp;"  "&amp;업무일지!$H594)</f>
        <v/>
      </c>
      <c r="D626" s="122">
        <f>IF(NOT(COUNTBLANK(업무일지!$B594:$AH594)&lt;33),"",TRIM(IF(업무일지!$B594="","시작일 누락; ","")&amp;IF(업무일지!$C594="","종료일 누락; ","")&amp;IF(AND(업무일지!$B594&lt;&gt;"",업무일지!$C594&lt;&gt;"",업무일지!$C594&lt;업무일지!$B594),"종료일이 시작일보다 빠름; ","")&amp;IF(COUNTIF(코드설정!$H$5:$H$7,업무일지!$D594)=0,"직무구분 누락; ","")&amp;IF(업무일지!$E594="","세부유형 누락; ",IF(AND(업무일지!$D594&lt;&gt;"",COUNTIFS(코드설정!$A$5:$A$21,업무일지!$D594,코드설정!$B$5:$B$21,업무일지!$E594)=0),"세부유형이 직무구분과 불일치; ",""))&amp;IF(AND(업무일지!$F594&lt;&gt;"",COUNTIF(사건마스터!$A$5:$A$64,업무일지!$F594)=0),"미등록 사건번호; ","")&amp;IF(AND(업무일지!$F594="",업무일지!$H594=""),"사건번호·업무명 모두 없음; ","")&amp;IF(업무일지!$J594="","담당자 없음; ","")&amp;IF(COUNTIF(코드설정!$F$5:$F$7,업무일지!$AG594)=0,"진행상태 누락; ","")))</f>
        <v/>
      </c>
    </row>
    <row r="627">
      <c r="A627" s="26" t="inlineStr">
        <is>
          <t>업무일지</t>
        </is>
      </c>
      <c r="B627" s="66" t="n">
        <v>595</v>
      </c>
      <c r="C627" s="122">
        <f>IF($D627="","",IFERROR(TEXT(업무일지!$B595,"yyyy-mm-dd"),"(날짜없음)")&amp;"  "&amp;업무일지!$F595&amp;"  "&amp;업무일지!$H595)</f>
        <v/>
      </c>
      <c r="D627" s="122">
        <f>IF(NOT(COUNTBLANK(업무일지!$B595:$AH595)&lt;33),"",TRIM(IF(업무일지!$B595="","시작일 누락; ","")&amp;IF(업무일지!$C595="","종료일 누락; ","")&amp;IF(AND(업무일지!$B595&lt;&gt;"",업무일지!$C595&lt;&gt;"",업무일지!$C595&lt;업무일지!$B595),"종료일이 시작일보다 빠름; ","")&amp;IF(COUNTIF(코드설정!$H$5:$H$7,업무일지!$D595)=0,"직무구분 누락; ","")&amp;IF(업무일지!$E595="","세부유형 누락; ",IF(AND(업무일지!$D595&lt;&gt;"",COUNTIFS(코드설정!$A$5:$A$21,업무일지!$D595,코드설정!$B$5:$B$21,업무일지!$E595)=0),"세부유형이 직무구분과 불일치; ",""))&amp;IF(AND(업무일지!$F595&lt;&gt;"",COUNTIF(사건마스터!$A$5:$A$64,업무일지!$F595)=0),"미등록 사건번호; ","")&amp;IF(AND(업무일지!$F595="",업무일지!$H595=""),"사건번호·업무명 모두 없음; ","")&amp;IF(업무일지!$J595="","담당자 없음; ","")&amp;IF(COUNTIF(코드설정!$F$5:$F$7,업무일지!$AG595)=0,"진행상태 누락; ","")))</f>
        <v/>
      </c>
    </row>
    <row r="628">
      <c r="A628" s="26" t="inlineStr">
        <is>
          <t>업무일지</t>
        </is>
      </c>
      <c r="B628" s="66" t="n">
        <v>596</v>
      </c>
      <c r="C628" s="122">
        <f>IF($D628="","",IFERROR(TEXT(업무일지!$B596,"yyyy-mm-dd"),"(날짜없음)")&amp;"  "&amp;업무일지!$F596&amp;"  "&amp;업무일지!$H596)</f>
        <v/>
      </c>
      <c r="D628" s="122">
        <f>IF(NOT(COUNTBLANK(업무일지!$B596:$AH596)&lt;33),"",TRIM(IF(업무일지!$B596="","시작일 누락; ","")&amp;IF(업무일지!$C596="","종료일 누락; ","")&amp;IF(AND(업무일지!$B596&lt;&gt;"",업무일지!$C596&lt;&gt;"",업무일지!$C596&lt;업무일지!$B596),"종료일이 시작일보다 빠름; ","")&amp;IF(COUNTIF(코드설정!$H$5:$H$7,업무일지!$D596)=0,"직무구분 누락; ","")&amp;IF(업무일지!$E596="","세부유형 누락; ",IF(AND(업무일지!$D596&lt;&gt;"",COUNTIFS(코드설정!$A$5:$A$21,업무일지!$D596,코드설정!$B$5:$B$21,업무일지!$E596)=0),"세부유형이 직무구분과 불일치; ",""))&amp;IF(AND(업무일지!$F596&lt;&gt;"",COUNTIF(사건마스터!$A$5:$A$64,업무일지!$F596)=0),"미등록 사건번호; ","")&amp;IF(AND(업무일지!$F596="",업무일지!$H596=""),"사건번호·업무명 모두 없음; ","")&amp;IF(업무일지!$J596="","담당자 없음; ","")&amp;IF(COUNTIF(코드설정!$F$5:$F$7,업무일지!$AG596)=0,"진행상태 누락; ","")))</f>
        <v/>
      </c>
    </row>
    <row r="629">
      <c r="A629" s="26" t="inlineStr">
        <is>
          <t>업무일지</t>
        </is>
      </c>
      <c r="B629" s="66" t="n">
        <v>597</v>
      </c>
      <c r="C629" s="122">
        <f>IF($D629="","",IFERROR(TEXT(업무일지!$B597,"yyyy-mm-dd"),"(날짜없음)")&amp;"  "&amp;업무일지!$F597&amp;"  "&amp;업무일지!$H597)</f>
        <v/>
      </c>
      <c r="D629" s="122">
        <f>IF(NOT(COUNTBLANK(업무일지!$B597:$AH597)&lt;33),"",TRIM(IF(업무일지!$B597="","시작일 누락; ","")&amp;IF(업무일지!$C597="","종료일 누락; ","")&amp;IF(AND(업무일지!$B597&lt;&gt;"",업무일지!$C597&lt;&gt;"",업무일지!$C597&lt;업무일지!$B597),"종료일이 시작일보다 빠름; ","")&amp;IF(COUNTIF(코드설정!$H$5:$H$7,업무일지!$D597)=0,"직무구분 누락; ","")&amp;IF(업무일지!$E597="","세부유형 누락; ",IF(AND(업무일지!$D597&lt;&gt;"",COUNTIFS(코드설정!$A$5:$A$21,업무일지!$D597,코드설정!$B$5:$B$21,업무일지!$E597)=0),"세부유형이 직무구분과 불일치; ",""))&amp;IF(AND(업무일지!$F597&lt;&gt;"",COUNTIF(사건마스터!$A$5:$A$64,업무일지!$F597)=0),"미등록 사건번호; ","")&amp;IF(AND(업무일지!$F597="",업무일지!$H597=""),"사건번호·업무명 모두 없음; ","")&amp;IF(업무일지!$J597="","담당자 없음; ","")&amp;IF(COUNTIF(코드설정!$F$5:$F$7,업무일지!$AG597)=0,"진행상태 누락; ","")))</f>
        <v/>
      </c>
    </row>
    <row r="630">
      <c r="A630" s="26" t="inlineStr">
        <is>
          <t>업무일지</t>
        </is>
      </c>
      <c r="B630" s="66" t="n">
        <v>598</v>
      </c>
      <c r="C630" s="122">
        <f>IF($D630="","",IFERROR(TEXT(업무일지!$B598,"yyyy-mm-dd"),"(날짜없음)")&amp;"  "&amp;업무일지!$F598&amp;"  "&amp;업무일지!$H598)</f>
        <v/>
      </c>
      <c r="D630" s="122">
        <f>IF(NOT(COUNTBLANK(업무일지!$B598:$AH598)&lt;33),"",TRIM(IF(업무일지!$B598="","시작일 누락; ","")&amp;IF(업무일지!$C598="","종료일 누락; ","")&amp;IF(AND(업무일지!$B598&lt;&gt;"",업무일지!$C598&lt;&gt;"",업무일지!$C598&lt;업무일지!$B598),"종료일이 시작일보다 빠름; ","")&amp;IF(COUNTIF(코드설정!$H$5:$H$7,업무일지!$D598)=0,"직무구분 누락; ","")&amp;IF(업무일지!$E598="","세부유형 누락; ",IF(AND(업무일지!$D598&lt;&gt;"",COUNTIFS(코드설정!$A$5:$A$21,업무일지!$D598,코드설정!$B$5:$B$21,업무일지!$E598)=0),"세부유형이 직무구분과 불일치; ",""))&amp;IF(AND(업무일지!$F598&lt;&gt;"",COUNTIF(사건마스터!$A$5:$A$64,업무일지!$F598)=0),"미등록 사건번호; ","")&amp;IF(AND(업무일지!$F598="",업무일지!$H598=""),"사건번호·업무명 모두 없음; ","")&amp;IF(업무일지!$J598="","담당자 없음; ","")&amp;IF(COUNTIF(코드설정!$F$5:$F$7,업무일지!$AG598)=0,"진행상태 누락; ","")))</f>
        <v/>
      </c>
    </row>
    <row r="631">
      <c r="A631" s="26" t="inlineStr">
        <is>
          <t>업무일지</t>
        </is>
      </c>
      <c r="B631" s="66" t="n">
        <v>599</v>
      </c>
      <c r="C631" s="122">
        <f>IF($D631="","",IFERROR(TEXT(업무일지!$B599,"yyyy-mm-dd"),"(날짜없음)")&amp;"  "&amp;업무일지!$F599&amp;"  "&amp;업무일지!$H599)</f>
        <v/>
      </c>
      <c r="D631" s="122">
        <f>IF(NOT(COUNTBLANK(업무일지!$B599:$AH599)&lt;33),"",TRIM(IF(업무일지!$B599="","시작일 누락; ","")&amp;IF(업무일지!$C599="","종료일 누락; ","")&amp;IF(AND(업무일지!$B599&lt;&gt;"",업무일지!$C599&lt;&gt;"",업무일지!$C599&lt;업무일지!$B599),"종료일이 시작일보다 빠름; ","")&amp;IF(COUNTIF(코드설정!$H$5:$H$7,업무일지!$D599)=0,"직무구분 누락; ","")&amp;IF(업무일지!$E599="","세부유형 누락; ",IF(AND(업무일지!$D599&lt;&gt;"",COUNTIFS(코드설정!$A$5:$A$21,업무일지!$D599,코드설정!$B$5:$B$21,업무일지!$E599)=0),"세부유형이 직무구분과 불일치; ",""))&amp;IF(AND(업무일지!$F599&lt;&gt;"",COUNTIF(사건마스터!$A$5:$A$64,업무일지!$F599)=0),"미등록 사건번호; ","")&amp;IF(AND(업무일지!$F599="",업무일지!$H599=""),"사건번호·업무명 모두 없음; ","")&amp;IF(업무일지!$J599="","담당자 없음; ","")&amp;IF(COUNTIF(코드설정!$F$5:$F$7,업무일지!$AG599)=0,"진행상태 누락; ","")))</f>
        <v/>
      </c>
    </row>
    <row r="632">
      <c r="A632" s="26" t="inlineStr">
        <is>
          <t>업무일지</t>
        </is>
      </c>
      <c r="B632" s="66" t="n">
        <v>600</v>
      </c>
      <c r="C632" s="122">
        <f>IF($D632="","",IFERROR(TEXT(업무일지!$B600,"yyyy-mm-dd"),"(날짜없음)")&amp;"  "&amp;업무일지!$F600&amp;"  "&amp;업무일지!$H600)</f>
        <v/>
      </c>
      <c r="D632" s="122">
        <f>IF(NOT(COUNTBLANK(업무일지!$B600:$AH600)&lt;33),"",TRIM(IF(업무일지!$B600="","시작일 누락; ","")&amp;IF(업무일지!$C600="","종료일 누락; ","")&amp;IF(AND(업무일지!$B600&lt;&gt;"",업무일지!$C600&lt;&gt;"",업무일지!$C600&lt;업무일지!$B600),"종료일이 시작일보다 빠름; ","")&amp;IF(COUNTIF(코드설정!$H$5:$H$7,업무일지!$D600)=0,"직무구분 누락; ","")&amp;IF(업무일지!$E600="","세부유형 누락; ",IF(AND(업무일지!$D600&lt;&gt;"",COUNTIFS(코드설정!$A$5:$A$21,업무일지!$D600,코드설정!$B$5:$B$21,업무일지!$E600)=0),"세부유형이 직무구분과 불일치; ",""))&amp;IF(AND(업무일지!$F600&lt;&gt;"",COUNTIF(사건마스터!$A$5:$A$64,업무일지!$F600)=0),"미등록 사건번호; ","")&amp;IF(AND(업무일지!$F600="",업무일지!$H600=""),"사건번호·업무명 모두 없음; ","")&amp;IF(업무일지!$J600="","담당자 없음; ","")&amp;IF(COUNTIF(코드설정!$F$5:$F$7,업무일지!$AG600)=0,"진행상태 누락; ","")))</f>
        <v/>
      </c>
    </row>
    <row r="633">
      <c r="A633" s="26" t="inlineStr">
        <is>
          <t>업무일지</t>
        </is>
      </c>
      <c r="B633" s="66" t="n">
        <v>601</v>
      </c>
      <c r="C633" s="122">
        <f>IF($D633="","",IFERROR(TEXT(업무일지!$B601,"yyyy-mm-dd"),"(날짜없음)")&amp;"  "&amp;업무일지!$F601&amp;"  "&amp;업무일지!$H601)</f>
        <v/>
      </c>
      <c r="D633" s="122">
        <f>IF(NOT(COUNTBLANK(업무일지!$B601:$AH601)&lt;33),"",TRIM(IF(업무일지!$B601="","시작일 누락; ","")&amp;IF(업무일지!$C601="","종료일 누락; ","")&amp;IF(AND(업무일지!$B601&lt;&gt;"",업무일지!$C601&lt;&gt;"",업무일지!$C601&lt;업무일지!$B601),"종료일이 시작일보다 빠름; ","")&amp;IF(COUNTIF(코드설정!$H$5:$H$7,업무일지!$D601)=0,"직무구분 누락; ","")&amp;IF(업무일지!$E601="","세부유형 누락; ",IF(AND(업무일지!$D601&lt;&gt;"",COUNTIFS(코드설정!$A$5:$A$21,업무일지!$D601,코드설정!$B$5:$B$21,업무일지!$E601)=0),"세부유형이 직무구분과 불일치; ",""))&amp;IF(AND(업무일지!$F601&lt;&gt;"",COUNTIF(사건마스터!$A$5:$A$64,업무일지!$F601)=0),"미등록 사건번호; ","")&amp;IF(AND(업무일지!$F601="",업무일지!$H601=""),"사건번호·업무명 모두 없음; ","")&amp;IF(업무일지!$J601="","담당자 없음; ","")&amp;IF(COUNTIF(코드설정!$F$5:$F$7,업무일지!$AG601)=0,"진행상태 누락; ","")))</f>
        <v/>
      </c>
    </row>
    <row r="634">
      <c r="A634" s="26" t="inlineStr">
        <is>
          <t>업무일지</t>
        </is>
      </c>
      <c r="B634" s="66" t="n">
        <v>602</v>
      </c>
      <c r="C634" s="122">
        <f>IF($D634="","",IFERROR(TEXT(업무일지!$B602,"yyyy-mm-dd"),"(날짜없음)")&amp;"  "&amp;업무일지!$F602&amp;"  "&amp;업무일지!$H602)</f>
        <v/>
      </c>
      <c r="D634" s="122">
        <f>IF(NOT(COUNTBLANK(업무일지!$B602:$AH602)&lt;33),"",TRIM(IF(업무일지!$B602="","시작일 누락; ","")&amp;IF(업무일지!$C602="","종료일 누락; ","")&amp;IF(AND(업무일지!$B602&lt;&gt;"",업무일지!$C602&lt;&gt;"",업무일지!$C602&lt;업무일지!$B602),"종료일이 시작일보다 빠름; ","")&amp;IF(COUNTIF(코드설정!$H$5:$H$7,업무일지!$D602)=0,"직무구분 누락; ","")&amp;IF(업무일지!$E602="","세부유형 누락; ",IF(AND(업무일지!$D602&lt;&gt;"",COUNTIFS(코드설정!$A$5:$A$21,업무일지!$D602,코드설정!$B$5:$B$21,업무일지!$E602)=0),"세부유형이 직무구분과 불일치; ",""))&amp;IF(AND(업무일지!$F602&lt;&gt;"",COUNTIF(사건마스터!$A$5:$A$64,업무일지!$F602)=0),"미등록 사건번호; ","")&amp;IF(AND(업무일지!$F602="",업무일지!$H602=""),"사건번호·업무명 모두 없음; ","")&amp;IF(업무일지!$J602="","담당자 없음; ","")&amp;IF(COUNTIF(코드설정!$F$5:$F$7,업무일지!$AG602)=0,"진행상태 누락; ","")))</f>
        <v/>
      </c>
    </row>
    <row r="635">
      <c r="A635" s="26" t="inlineStr">
        <is>
          <t>업무일지</t>
        </is>
      </c>
      <c r="B635" s="66" t="n">
        <v>603</v>
      </c>
      <c r="C635" s="122">
        <f>IF($D635="","",IFERROR(TEXT(업무일지!$B603,"yyyy-mm-dd"),"(날짜없음)")&amp;"  "&amp;업무일지!$F603&amp;"  "&amp;업무일지!$H603)</f>
        <v/>
      </c>
      <c r="D635" s="122">
        <f>IF(NOT(COUNTBLANK(업무일지!$B603:$AH603)&lt;33),"",TRIM(IF(업무일지!$B603="","시작일 누락; ","")&amp;IF(업무일지!$C603="","종료일 누락; ","")&amp;IF(AND(업무일지!$B603&lt;&gt;"",업무일지!$C603&lt;&gt;"",업무일지!$C603&lt;업무일지!$B603),"종료일이 시작일보다 빠름; ","")&amp;IF(COUNTIF(코드설정!$H$5:$H$7,업무일지!$D603)=0,"직무구분 누락; ","")&amp;IF(업무일지!$E603="","세부유형 누락; ",IF(AND(업무일지!$D603&lt;&gt;"",COUNTIFS(코드설정!$A$5:$A$21,업무일지!$D603,코드설정!$B$5:$B$21,업무일지!$E603)=0),"세부유형이 직무구분과 불일치; ",""))&amp;IF(AND(업무일지!$F603&lt;&gt;"",COUNTIF(사건마스터!$A$5:$A$64,업무일지!$F603)=0),"미등록 사건번호; ","")&amp;IF(AND(업무일지!$F603="",업무일지!$H603=""),"사건번호·업무명 모두 없음; ","")&amp;IF(업무일지!$J603="","담당자 없음; ","")&amp;IF(COUNTIF(코드설정!$F$5:$F$7,업무일지!$AG603)=0,"진행상태 누락; ","")))</f>
        <v/>
      </c>
    </row>
    <row r="636">
      <c r="A636" s="26" t="inlineStr">
        <is>
          <t>업무일지</t>
        </is>
      </c>
      <c r="B636" s="66" t="n">
        <v>604</v>
      </c>
      <c r="C636" s="122">
        <f>IF($D636="","",IFERROR(TEXT(업무일지!$B604,"yyyy-mm-dd"),"(날짜없음)")&amp;"  "&amp;업무일지!$F604&amp;"  "&amp;업무일지!$H604)</f>
        <v/>
      </c>
      <c r="D636" s="122">
        <f>IF(NOT(COUNTBLANK(업무일지!$B604:$AH604)&lt;33),"",TRIM(IF(업무일지!$B604="","시작일 누락; ","")&amp;IF(업무일지!$C604="","종료일 누락; ","")&amp;IF(AND(업무일지!$B604&lt;&gt;"",업무일지!$C604&lt;&gt;"",업무일지!$C604&lt;업무일지!$B604),"종료일이 시작일보다 빠름; ","")&amp;IF(COUNTIF(코드설정!$H$5:$H$7,업무일지!$D604)=0,"직무구분 누락; ","")&amp;IF(업무일지!$E604="","세부유형 누락; ",IF(AND(업무일지!$D604&lt;&gt;"",COUNTIFS(코드설정!$A$5:$A$21,업무일지!$D604,코드설정!$B$5:$B$21,업무일지!$E604)=0),"세부유형이 직무구분과 불일치; ",""))&amp;IF(AND(업무일지!$F604&lt;&gt;"",COUNTIF(사건마스터!$A$5:$A$64,업무일지!$F604)=0),"미등록 사건번호; ","")&amp;IF(AND(업무일지!$F604="",업무일지!$H604=""),"사건번호·업무명 모두 없음; ","")&amp;IF(업무일지!$J604="","담당자 없음; ","")&amp;IF(COUNTIF(코드설정!$F$5:$F$7,업무일지!$AG604)=0,"진행상태 누락; ","")))</f>
        <v/>
      </c>
    </row>
    <row r="637">
      <c r="A637" s="26" t="inlineStr">
        <is>
          <t>업무일지</t>
        </is>
      </c>
      <c r="B637" s="66" t="n">
        <v>605</v>
      </c>
      <c r="C637" s="122">
        <f>IF($D637="","",IFERROR(TEXT(업무일지!$B605,"yyyy-mm-dd"),"(날짜없음)")&amp;"  "&amp;업무일지!$F605&amp;"  "&amp;업무일지!$H605)</f>
        <v/>
      </c>
      <c r="D637" s="122">
        <f>IF(NOT(COUNTBLANK(업무일지!$B605:$AH605)&lt;33),"",TRIM(IF(업무일지!$B605="","시작일 누락; ","")&amp;IF(업무일지!$C605="","종료일 누락; ","")&amp;IF(AND(업무일지!$B605&lt;&gt;"",업무일지!$C605&lt;&gt;"",업무일지!$C605&lt;업무일지!$B605),"종료일이 시작일보다 빠름; ","")&amp;IF(COUNTIF(코드설정!$H$5:$H$7,업무일지!$D605)=0,"직무구분 누락; ","")&amp;IF(업무일지!$E605="","세부유형 누락; ",IF(AND(업무일지!$D605&lt;&gt;"",COUNTIFS(코드설정!$A$5:$A$21,업무일지!$D605,코드설정!$B$5:$B$21,업무일지!$E605)=0),"세부유형이 직무구분과 불일치; ",""))&amp;IF(AND(업무일지!$F605&lt;&gt;"",COUNTIF(사건마스터!$A$5:$A$64,업무일지!$F605)=0),"미등록 사건번호; ","")&amp;IF(AND(업무일지!$F605="",업무일지!$H605=""),"사건번호·업무명 모두 없음; ","")&amp;IF(업무일지!$J605="","담당자 없음; ","")&amp;IF(COUNTIF(코드설정!$F$5:$F$7,업무일지!$AG605)=0,"진행상태 누락; ","")))</f>
        <v/>
      </c>
    </row>
    <row r="638">
      <c r="A638" s="26" t="inlineStr">
        <is>
          <t>업무일지</t>
        </is>
      </c>
      <c r="B638" s="66" t="n">
        <v>606</v>
      </c>
      <c r="C638" s="122">
        <f>IF($D638="","",IFERROR(TEXT(업무일지!$B606,"yyyy-mm-dd"),"(날짜없음)")&amp;"  "&amp;업무일지!$F606&amp;"  "&amp;업무일지!$H606)</f>
        <v/>
      </c>
      <c r="D638" s="122">
        <f>IF(NOT(COUNTBLANK(업무일지!$B606:$AH606)&lt;33),"",TRIM(IF(업무일지!$B606="","시작일 누락; ","")&amp;IF(업무일지!$C606="","종료일 누락; ","")&amp;IF(AND(업무일지!$B606&lt;&gt;"",업무일지!$C606&lt;&gt;"",업무일지!$C606&lt;업무일지!$B606),"종료일이 시작일보다 빠름; ","")&amp;IF(COUNTIF(코드설정!$H$5:$H$7,업무일지!$D606)=0,"직무구분 누락; ","")&amp;IF(업무일지!$E606="","세부유형 누락; ",IF(AND(업무일지!$D606&lt;&gt;"",COUNTIFS(코드설정!$A$5:$A$21,업무일지!$D606,코드설정!$B$5:$B$21,업무일지!$E606)=0),"세부유형이 직무구분과 불일치; ",""))&amp;IF(AND(업무일지!$F606&lt;&gt;"",COUNTIF(사건마스터!$A$5:$A$64,업무일지!$F606)=0),"미등록 사건번호; ","")&amp;IF(AND(업무일지!$F606="",업무일지!$H606=""),"사건번호·업무명 모두 없음; ","")&amp;IF(업무일지!$J606="","담당자 없음; ","")&amp;IF(COUNTIF(코드설정!$F$5:$F$7,업무일지!$AG606)=0,"진행상태 누락; ","")))</f>
        <v/>
      </c>
    </row>
    <row r="639">
      <c r="A639" s="26" t="inlineStr">
        <is>
          <t>업무일지</t>
        </is>
      </c>
      <c r="B639" s="66" t="n">
        <v>607</v>
      </c>
      <c r="C639" s="122">
        <f>IF($D639="","",IFERROR(TEXT(업무일지!$B607,"yyyy-mm-dd"),"(날짜없음)")&amp;"  "&amp;업무일지!$F607&amp;"  "&amp;업무일지!$H607)</f>
        <v/>
      </c>
      <c r="D639" s="122">
        <f>IF(NOT(COUNTBLANK(업무일지!$B607:$AH607)&lt;33),"",TRIM(IF(업무일지!$B607="","시작일 누락; ","")&amp;IF(업무일지!$C607="","종료일 누락; ","")&amp;IF(AND(업무일지!$B607&lt;&gt;"",업무일지!$C607&lt;&gt;"",업무일지!$C607&lt;업무일지!$B607),"종료일이 시작일보다 빠름; ","")&amp;IF(COUNTIF(코드설정!$H$5:$H$7,업무일지!$D607)=0,"직무구분 누락; ","")&amp;IF(업무일지!$E607="","세부유형 누락; ",IF(AND(업무일지!$D607&lt;&gt;"",COUNTIFS(코드설정!$A$5:$A$21,업무일지!$D607,코드설정!$B$5:$B$21,업무일지!$E607)=0),"세부유형이 직무구분과 불일치; ",""))&amp;IF(AND(업무일지!$F607&lt;&gt;"",COUNTIF(사건마스터!$A$5:$A$64,업무일지!$F607)=0),"미등록 사건번호; ","")&amp;IF(AND(업무일지!$F607="",업무일지!$H607=""),"사건번호·업무명 모두 없음; ","")&amp;IF(업무일지!$J607="","담당자 없음; ","")&amp;IF(COUNTIF(코드설정!$F$5:$F$7,업무일지!$AG607)=0,"진행상태 누락; ","")))</f>
        <v/>
      </c>
    </row>
    <row r="640">
      <c r="A640" s="26" t="inlineStr">
        <is>
          <t>업무일지</t>
        </is>
      </c>
      <c r="B640" s="66" t="n">
        <v>608</v>
      </c>
      <c r="C640" s="122">
        <f>IF($D640="","",IFERROR(TEXT(업무일지!$B608,"yyyy-mm-dd"),"(날짜없음)")&amp;"  "&amp;업무일지!$F608&amp;"  "&amp;업무일지!$H608)</f>
        <v/>
      </c>
      <c r="D640" s="122">
        <f>IF(NOT(COUNTBLANK(업무일지!$B608:$AH608)&lt;33),"",TRIM(IF(업무일지!$B608="","시작일 누락; ","")&amp;IF(업무일지!$C608="","종료일 누락; ","")&amp;IF(AND(업무일지!$B608&lt;&gt;"",업무일지!$C608&lt;&gt;"",업무일지!$C608&lt;업무일지!$B608),"종료일이 시작일보다 빠름; ","")&amp;IF(COUNTIF(코드설정!$H$5:$H$7,업무일지!$D608)=0,"직무구분 누락; ","")&amp;IF(업무일지!$E608="","세부유형 누락; ",IF(AND(업무일지!$D608&lt;&gt;"",COUNTIFS(코드설정!$A$5:$A$21,업무일지!$D608,코드설정!$B$5:$B$21,업무일지!$E608)=0),"세부유형이 직무구분과 불일치; ",""))&amp;IF(AND(업무일지!$F608&lt;&gt;"",COUNTIF(사건마스터!$A$5:$A$64,업무일지!$F608)=0),"미등록 사건번호; ","")&amp;IF(AND(업무일지!$F608="",업무일지!$H608=""),"사건번호·업무명 모두 없음; ","")&amp;IF(업무일지!$J608="","담당자 없음; ","")&amp;IF(COUNTIF(코드설정!$F$5:$F$7,업무일지!$AG608)=0,"진행상태 누락; ","")))</f>
        <v/>
      </c>
    </row>
    <row r="641">
      <c r="A641" s="26" t="inlineStr">
        <is>
          <t>업무일지</t>
        </is>
      </c>
      <c r="B641" s="66" t="n">
        <v>609</v>
      </c>
      <c r="C641" s="122">
        <f>IF($D641="","",IFERROR(TEXT(업무일지!$B609,"yyyy-mm-dd"),"(날짜없음)")&amp;"  "&amp;업무일지!$F609&amp;"  "&amp;업무일지!$H609)</f>
        <v/>
      </c>
      <c r="D641" s="122">
        <f>IF(NOT(COUNTBLANK(업무일지!$B609:$AH609)&lt;33),"",TRIM(IF(업무일지!$B609="","시작일 누락; ","")&amp;IF(업무일지!$C609="","종료일 누락; ","")&amp;IF(AND(업무일지!$B609&lt;&gt;"",업무일지!$C609&lt;&gt;"",업무일지!$C609&lt;업무일지!$B609),"종료일이 시작일보다 빠름; ","")&amp;IF(COUNTIF(코드설정!$H$5:$H$7,업무일지!$D609)=0,"직무구분 누락; ","")&amp;IF(업무일지!$E609="","세부유형 누락; ",IF(AND(업무일지!$D609&lt;&gt;"",COUNTIFS(코드설정!$A$5:$A$21,업무일지!$D609,코드설정!$B$5:$B$21,업무일지!$E609)=0),"세부유형이 직무구분과 불일치; ",""))&amp;IF(AND(업무일지!$F609&lt;&gt;"",COUNTIF(사건마스터!$A$5:$A$64,업무일지!$F609)=0),"미등록 사건번호; ","")&amp;IF(AND(업무일지!$F609="",업무일지!$H609=""),"사건번호·업무명 모두 없음; ","")&amp;IF(업무일지!$J609="","담당자 없음; ","")&amp;IF(COUNTIF(코드설정!$F$5:$F$7,업무일지!$AG609)=0,"진행상태 누락; ","")))</f>
        <v/>
      </c>
    </row>
    <row r="642">
      <c r="A642" s="26" t="inlineStr">
        <is>
          <t>업무일지</t>
        </is>
      </c>
      <c r="B642" s="66" t="n">
        <v>610</v>
      </c>
      <c r="C642" s="122">
        <f>IF($D642="","",IFERROR(TEXT(업무일지!$B610,"yyyy-mm-dd"),"(날짜없음)")&amp;"  "&amp;업무일지!$F610&amp;"  "&amp;업무일지!$H610)</f>
        <v/>
      </c>
      <c r="D642" s="122">
        <f>IF(NOT(COUNTBLANK(업무일지!$B610:$AH610)&lt;33),"",TRIM(IF(업무일지!$B610="","시작일 누락; ","")&amp;IF(업무일지!$C610="","종료일 누락; ","")&amp;IF(AND(업무일지!$B610&lt;&gt;"",업무일지!$C610&lt;&gt;"",업무일지!$C610&lt;업무일지!$B610),"종료일이 시작일보다 빠름; ","")&amp;IF(COUNTIF(코드설정!$H$5:$H$7,업무일지!$D610)=0,"직무구분 누락; ","")&amp;IF(업무일지!$E610="","세부유형 누락; ",IF(AND(업무일지!$D610&lt;&gt;"",COUNTIFS(코드설정!$A$5:$A$21,업무일지!$D610,코드설정!$B$5:$B$21,업무일지!$E610)=0),"세부유형이 직무구분과 불일치; ",""))&amp;IF(AND(업무일지!$F610&lt;&gt;"",COUNTIF(사건마스터!$A$5:$A$64,업무일지!$F610)=0),"미등록 사건번호; ","")&amp;IF(AND(업무일지!$F610="",업무일지!$H610=""),"사건번호·업무명 모두 없음; ","")&amp;IF(업무일지!$J610="","담당자 없음; ","")&amp;IF(COUNTIF(코드설정!$F$5:$F$7,업무일지!$AG610)=0,"진행상태 누락; ","")))</f>
        <v/>
      </c>
    </row>
    <row r="643">
      <c r="A643" s="26" t="inlineStr">
        <is>
          <t>업무일지</t>
        </is>
      </c>
      <c r="B643" s="66" t="n">
        <v>611</v>
      </c>
      <c r="C643" s="122">
        <f>IF($D643="","",IFERROR(TEXT(업무일지!$B611,"yyyy-mm-dd"),"(날짜없음)")&amp;"  "&amp;업무일지!$F611&amp;"  "&amp;업무일지!$H611)</f>
        <v/>
      </c>
      <c r="D643" s="122">
        <f>IF(NOT(COUNTBLANK(업무일지!$B611:$AH611)&lt;33),"",TRIM(IF(업무일지!$B611="","시작일 누락; ","")&amp;IF(업무일지!$C611="","종료일 누락; ","")&amp;IF(AND(업무일지!$B611&lt;&gt;"",업무일지!$C611&lt;&gt;"",업무일지!$C611&lt;업무일지!$B611),"종료일이 시작일보다 빠름; ","")&amp;IF(COUNTIF(코드설정!$H$5:$H$7,업무일지!$D611)=0,"직무구분 누락; ","")&amp;IF(업무일지!$E611="","세부유형 누락; ",IF(AND(업무일지!$D611&lt;&gt;"",COUNTIFS(코드설정!$A$5:$A$21,업무일지!$D611,코드설정!$B$5:$B$21,업무일지!$E611)=0),"세부유형이 직무구분과 불일치; ",""))&amp;IF(AND(업무일지!$F611&lt;&gt;"",COUNTIF(사건마스터!$A$5:$A$64,업무일지!$F611)=0),"미등록 사건번호; ","")&amp;IF(AND(업무일지!$F611="",업무일지!$H611=""),"사건번호·업무명 모두 없음; ","")&amp;IF(업무일지!$J611="","담당자 없음; ","")&amp;IF(COUNTIF(코드설정!$F$5:$F$7,업무일지!$AG611)=0,"진행상태 누락; ","")))</f>
        <v/>
      </c>
    </row>
    <row r="644">
      <c r="A644" s="26" t="inlineStr">
        <is>
          <t>업무일지</t>
        </is>
      </c>
      <c r="B644" s="66" t="n">
        <v>612</v>
      </c>
      <c r="C644" s="122">
        <f>IF($D644="","",IFERROR(TEXT(업무일지!$B612,"yyyy-mm-dd"),"(날짜없음)")&amp;"  "&amp;업무일지!$F612&amp;"  "&amp;업무일지!$H612)</f>
        <v/>
      </c>
      <c r="D644" s="122">
        <f>IF(NOT(COUNTBLANK(업무일지!$B612:$AH612)&lt;33),"",TRIM(IF(업무일지!$B612="","시작일 누락; ","")&amp;IF(업무일지!$C612="","종료일 누락; ","")&amp;IF(AND(업무일지!$B612&lt;&gt;"",업무일지!$C612&lt;&gt;"",업무일지!$C612&lt;업무일지!$B612),"종료일이 시작일보다 빠름; ","")&amp;IF(COUNTIF(코드설정!$H$5:$H$7,업무일지!$D612)=0,"직무구분 누락; ","")&amp;IF(업무일지!$E612="","세부유형 누락; ",IF(AND(업무일지!$D612&lt;&gt;"",COUNTIFS(코드설정!$A$5:$A$21,업무일지!$D612,코드설정!$B$5:$B$21,업무일지!$E612)=0),"세부유형이 직무구분과 불일치; ",""))&amp;IF(AND(업무일지!$F612&lt;&gt;"",COUNTIF(사건마스터!$A$5:$A$64,업무일지!$F612)=0),"미등록 사건번호; ","")&amp;IF(AND(업무일지!$F612="",업무일지!$H612=""),"사건번호·업무명 모두 없음; ","")&amp;IF(업무일지!$J612="","담당자 없음; ","")&amp;IF(COUNTIF(코드설정!$F$5:$F$7,업무일지!$AG612)=0,"진행상태 누락; ","")))</f>
        <v/>
      </c>
    </row>
    <row r="645">
      <c r="A645" s="26" t="inlineStr">
        <is>
          <t>업무일지</t>
        </is>
      </c>
      <c r="B645" s="66" t="n">
        <v>613</v>
      </c>
      <c r="C645" s="122">
        <f>IF($D645="","",IFERROR(TEXT(업무일지!$B613,"yyyy-mm-dd"),"(날짜없음)")&amp;"  "&amp;업무일지!$F613&amp;"  "&amp;업무일지!$H613)</f>
        <v/>
      </c>
      <c r="D645" s="122">
        <f>IF(NOT(COUNTBLANK(업무일지!$B613:$AH613)&lt;33),"",TRIM(IF(업무일지!$B613="","시작일 누락; ","")&amp;IF(업무일지!$C613="","종료일 누락; ","")&amp;IF(AND(업무일지!$B613&lt;&gt;"",업무일지!$C613&lt;&gt;"",업무일지!$C613&lt;업무일지!$B613),"종료일이 시작일보다 빠름; ","")&amp;IF(COUNTIF(코드설정!$H$5:$H$7,업무일지!$D613)=0,"직무구분 누락; ","")&amp;IF(업무일지!$E613="","세부유형 누락; ",IF(AND(업무일지!$D613&lt;&gt;"",COUNTIFS(코드설정!$A$5:$A$21,업무일지!$D613,코드설정!$B$5:$B$21,업무일지!$E613)=0),"세부유형이 직무구분과 불일치; ",""))&amp;IF(AND(업무일지!$F613&lt;&gt;"",COUNTIF(사건마스터!$A$5:$A$64,업무일지!$F613)=0),"미등록 사건번호; ","")&amp;IF(AND(업무일지!$F613="",업무일지!$H613=""),"사건번호·업무명 모두 없음; ","")&amp;IF(업무일지!$J613="","담당자 없음; ","")&amp;IF(COUNTIF(코드설정!$F$5:$F$7,업무일지!$AG613)=0,"진행상태 누락; ","")))</f>
        <v/>
      </c>
    </row>
    <row r="646">
      <c r="A646" s="26" t="inlineStr">
        <is>
          <t>업무일지</t>
        </is>
      </c>
      <c r="B646" s="66" t="n">
        <v>614</v>
      </c>
      <c r="C646" s="122">
        <f>IF($D646="","",IFERROR(TEXT(업무일지!$B614,"yyyy-mm-dd"),"(날짜없음)")&amp;"  "&amp;업무일지!$F614&amp;"  "&amp;업무일지!$H614)</f>
        <v/>
      </c>
      <c r="D646" s="122">
        <f>IF(NOT(COUNTBLANK(업무일지!$B614:$AH614)&lt;33),"",TRIM(IF(업무일지!$B614="","시작일 누락; ","")&amp;IF(업무일지!$C614="","종료일 누락; ","")&amp;IF(AND(업무일지!$B614&lt;&gt;"",업무일지!$C614&lt;&gt;"",업무일지!$C614&lt;업무일지!$B614),"종료일이 시작일보다 빠름; ","")&amp;IF(COUNTIF(코드설정!$H$5:$H$7,업무일지!$D614)=0,"직무구분 누락; ","")&amp;IF(업무일지!$E614="","세부유형 누락; ",IF(AND(업무일지!$D614&lt;&gt;"",COUNTIFS(코드설정!$A$5:$A$21,업무일지!$D614,코드설정!$B$5:$B$21,업무일지!$E614)=0),"세부유형이 직무구분과 불일치; ",""))&amp;IF(AND(업무일지!$F614&lt;&gt;"",COUNTIF(사건마스터!$A$5:$A$64,업무일지!$F614)=0),"미등록 사건번호; ","")&amp;IF(AND(업무일지!$F614="",업무일지!$H614=""),"사건번호·업무명 모두 없음; ","")&amp;IF(업무일지!$J614="","담당자 없음; ","")&amp;IF(COUNTIF(코드설정!$F$5:$F$7,업무일지!$AG614)=0,"진행상태 누락; ","")))</f>
        <v/>
      </c>
    </row>
    <row r="647">
      <c r="A647" s="26" t="inlineStr">
        <is>
          <t>업무일지</t>
        </is>
      </c>
      <c r="B647" s="66" t="n">
        <v>615</v>
      </c>
      <c r="C647" s="122">
        <f>IF($D647="","",IFERROR(TEXT(업무일지!$B615,"yyyy-mm-dd"),"(날짜없음)")&amp;"  "&amp;업무일지!$F615&amp;"  "&amp;업무일지!$H615)</f>
        <v/>
      </c>
      <c r="D647" s="122">
        <f>IF(NOT(COUNTBLANK(업무일지!$B615:$AH615)&lt;33),"",TRIM(IF(업무일지!$B615="","시작일 누락; ","")&amp;IF(업무일지!$C615="","종료일 누락; ","")&amp;IF(AND(업무일지!$B615&lt;&gt;"",업무일지!$C615&lt;&gt;"",업무일지!$C615&lt;업무일지!$B615),"종료일이 시작일보다 빠름; ","")&amp;IF(COUNTIF(코드설정!$H$5:$H$7,업무일지!$D615)=0,"직무구분 누락; ","")&amp;IF(업무일지!$E615="","세부유형 누락; ",IF(AND(업무일지!$D615&lt;&gt;"",COUNTIFS(코드설정!$A$5:$A$21,업무일지!$D615,코드설정!$B$5:$B$21,업무일지!$E615)=0),"세부유형이 직무구분과 불일치; ",""))&amp;IF(AND(업무일지!$F615&lt;&gt;"",COUNTIF(사건마스터!$A$5:$A$64,업무일지!$F615)=0),"미등록 사건번호; ","")&amp;IF(AND(업무일지!$F615="",업무일지!$H615=""),"사건번호·업무명 모두 없음; ","")&amp;IF(업무일지!$J615="","담당자 없음; ","")&amp;IF(COUNTIF(코드설정!$F$5:$F$7,업무일지!$AG615)=0,"진행상태 누락; ","")))</f>
        <v/>
      </c>
    </row>
    <row r="648">
      <c r="A648" s="26" t="inlineStr">
        <is>
          <t>업무일지</t>
        </is>
      </c>
      <c r="B648" s="66" t="n">
        <v>616</v>
      </c>
      <c r="C648" s="122">
        <f>IF($D648="","",IFERROR(TEXT(업무일지!$B616,"yyyy-mm-dd"),"(날짜없음)")&amp;"  "&amp;업무일지!$F616&amp;"  "&amp;업무일지!$H616)</f>
        <v/>
      </c>
      <c r="D648" s="122">
        <f>IF(NOT(COUNTBLANK(업무일지!$B616:$AH616)&lt;33),"",TRIM(IF(업무일지!$B616="","시작일 누락; ","")&amp;IF(업무일지!$C616="","종료일 누락; ","")&amp;IF(AND(업무일지!$B616&lt;&gt;"",업무일지!$C616&lt;&gt;"",업무일지!$C616&lt;업무일지!$B616),"종료일이 시작일보다 빠름; ","")&amp;IF(COUNTIF(코드설정!$H$5:$H$7,업무일지!$D616)=0,"직무구분 누락; ","")&amp;IF(업무일지!$E616="","세부유형 누락; ",IF(AND(업무일지!$D616&lt;&gt;"",COUNTIFS(코드설정!$A$5:$A$21,업무일지!$D616,코드설정!$B$5:$B$21,업무일지!$E616)=0),"세부유형이 직무구분과 불일치; ",""))&amp;IF(AND(업무일지!$F616&lt;&gt;"",COUNTIF(사건마스터!$A$5:$A$64,업무일지!$F616)=0),"미등록 사건번호; ","")&amp;IF(AND(업무일지!$F616="",업무일지!$H616=""),"사건번호·업무명 모두 없음; ","")&amp;IF(업무일지!$J616="","담당자 없음; ","")&amp;IF(COUNTIF(코드설정!$F$5:$F$7,업무일지!$AG616)=0,"진행상태 누락; ","")))</f>
        <v/>
      </c>
    </row>
    <row r="649">
      <c r="A649" s="26" t="inlineStr">
        <is>
          <t>업무일지</t>
        </is>
      </c>
      <c r="B649" s="66" t="n">
        <v>617</v>
      </c>
      <c r="C649" s="122">
        <f>IF($D649="","",IFERROR(TEXT(업무일지!$B617,"yyyy-mm-dd"),"(날짜없음)")&amp;"  "&amp;업무일지!$F617&amp;"  "&amp;업무일지!$H617)</f>
        <v/>
      </c>
      <c r="D649" s="122">
        <f>IF(NOT(COUNTBLANK(업무일지!$B617:$AH617)&lt;33),"",TRIM(IF(업무일지!$B617="","시작일 누락; ","")&amp;IF(업무일지!$C617="","종료일 누락; ","")&amp;IF(AND(업무일지!$B617&lt;&gt;"",업무일지!$C617&lt;&gt;"",업무일지!$C617&lt;업무일지!$B617),"종료일이 시작일보다 빠름; ","")&amp;IF(COUNTIF(코드설정!$H$5:$H$7,업무일지!$D617)=0,"직무구분 누락; ","")&amp;IF(업무일지!$E617="","세부유형 누락; ",IF(AND(업무일지!$D617&lt;&gt;"",COUNTIFS(코드설정!$A$5:$A$21,업무일지!$D617,코드설정!$B$5:$B$21,업무일지!$E617)=0),"세부유형이 직무구분과 불일치; ",""))&amp;IF(AND(업무일지!$F617&lt;&gt;"",COUNTIF(사건마스터!$A$5:$A$64,업무일지!$F617)=0),"미등록 사건번호; ","")&amp;IF(AND(업무일지!$F617="",업무일지!$H617=""),"사건번호·업무명 모두 없음; ","")&amp;IF(업무일지!$J617="","담당자 없음; ","")&amp;IF(COUNTIF(코드설정!$F$5:$F$7,업무일지!$AG617)=0,"진행상태 누락; ","")))</f>
        <v/>
      </c>
    </row>
    <row r="650">
      <c r="A650" s="26" t="inlineStr">
        <is>
          <t>업무일지</t>
        </is>
      </c>
      <c r="B650" s="66" t="n">
        <v>618</v>
      </c>
      <c r="C650" s="122">
        <f>IF($D650="","",IFERROR(TEXT(업무일지!$B618,"yyyy-mm-dd"),"(날짜없음)")&amp;"  "&amp;업무일지!$F618&amp;"  "&amp;업무일지!$H618)</f>
        <v/>
      </c>
      <c r="D650" s="122">
        <f>IF(NOT(COUNTBLANK(업무일지!$B618:$AH618)&lt;33),"",TRIM(IF(업무일지!$B618="","시작일 누락; ","")&amp;IF(업무일지!$C618="","종료일 누락; ","")&amp;IF(AND(업무일지!$B618&lt;&gt;"",업무일지!$C618&lt;&gt;"",업무일지!$C618&lt;업무일지!$B618),"종료일이 시작일보다 빠름; ","")&amp;IF(COUNTIF(코드설정!$H$5:$H$7,업무일지!$D618)=0,"직무구분 누락; ","")&amp;IF(업무일지!$E618="","세부유형 누락; ",IF(AND(업무일지!$D618&lt;&gt;"",COUNTIFS(코드설정!$A$5:$A$21,업무일지!$D618,코드설정!$B$5:$B$21,업무일지!$E618)=0),"세부유형이 직무구분과 불일치; ",""))&amp;IF(AND(업무일지!$F618&lt;&gt;"",COUNTIF(사건마스터!$A$5:$A$64,업무일지!$F618)=0),"미등록 사건번호; ","")&amp;IF(AND(업무일지!$F618="",업무일지!$H618=""),"사건번호·업무명 모두 없음; ","")&amp;IF(업무일지!$J618="","담당자 없음; ","")&amp;IF(COUNTIF(코드설정!$F$5:$F$7,업무일지!$AG618)=0,"진행상태 누락; ","")))</f>
        <v/>
      </c>
    </row>
    <row r="651">
      <c r="A651" s="26" t="inlineStr">
        <is>
          <t>업무일지</t>
        </is>
      </c>
      <c r="B651" s="66" t="n">
        <v>619</v>
      </c>
      <c r="C651" s="122">
        <f>IF($D651="","",IFERROR(TEXT(업무일지!$B619,"yyyy-mm-dd"),"(날짜없음)")&amp;"  "&amp;업무일지!$F619&amp;"  "&amp;업무일지!$H619)</f>
        <v/>
      </c>
      <c r="D651" s="122">
        <f>IF(NOT(COUNTBLANK(업무일지!$B619:$AH619)&lt;33),"",TRIM(IF(업무일지!$B619="","시작일 누락; ","")&amp;IF(업무일지!$C619="","종료일 누락; ","")&amp;IF(AND(업무일지!$B619&lt;&gt;"",업무일지!$C619&lt;&gt;"",업무일지!$C619&lt;업무일지!$B619),"종료일이 시작일보다 빠름; ","")&amp;IF(COUNTIF(코드설정!$H$5:$H$7,업무일지!$D619)=0,"직무구분 누락; ","")&amp;IF(업무일지!$E619="","세부유형 누락; ",IF(AND(업무일지!$D619&lt;&gt;"",COUNTIFS(코드설정!$A$5:$A$21,업무일지!$D619,코드설정!$B$5:$B$21,업무일지!$E619)=0),"세부유형이 직무구분과 불일치; ",""))&amp;IF(AND(업무일지!$F619&lt;&gt;"",COUNTIF(사건마스터!$A$5:$A$64,업무일지!$F619)=0),"미등록 사건번호; ","")&amp;IF(AND(업무일지!$F619="",업무일지!$H619=""),"사건번호·업무명 모두 없음; ","")&amp;IF(업무일지!$J619="","담당자 없음; ","")&amp;IF(COUNTIF(코드설정!$F$5:$F$7,업무일지!$AG619)=0,"진행상태 누락; ","")))</f>
        <v/>
      </c>
    </row>
    <row r="652">
      <c r="A652" s="26" t="inlineStr">
        <is>
          <t>업무일지</t>
        </is>
      </c>
      <c r="B652" s="66" t="n">
        <v>620</v>
      </c>
      <c r="C652" s="122">
        <f>IF($D652="","",IFERROR(TEXT(업무일지!$B620,"yyyy-mm-dd"),"(날짜없음)")&amp;"  "&amp;업무일지!$F620&amp;"  "&amp;업무일지!$H620)</f>
        <v/>
      </c>
      <c r="D652" s="122">
        <f>IF(NOT(COUNTBLANK(업무일지!$B620:$AH620)&lt;33),"",TRIM(IF(업무일지!$B620="","시작일 누락; ","")&amp;IF(업무일지!$C620="","종료일 누락; ","")&amp;IF(AND(업무일지!$B620&lt;&gt;"",업무일지!$C620&lt;&gt;"",업무일지!$C620&lt;업무일지!$B620),"종료일이 시작일보다 빠름; ","")&amp;IF(COUNTIF(코드설정!$H$5:$H$7,업무일지!$D620)=0,"직무구분 누락; ","")&amp;IF(업무일지!$E620="","세부유형 누락; ",IF(AND(업무일지!$D620&lt;&gt;"",COUNTIFS(코드설정!$A$5:$A$21,업무일지!$D620,코드설정!$B$5:$B$21,업무일지!$E620)=0),"세부유형이 직무구분과 불일치; ",""))&amp;IF(AND(업무일지!$F620&lt;&gt;"",COUNTIF(사건마스터!$A$5:$A$64,업무일지!$F620)=0),"미등록 사건번호; ","")&amp;IF(AND(업무일지!$F620="",업무일지!$H620=""),"사건번호·업무명 모두 없음; ","")&amp;IF(업무일지!$J620="","담당자 없음; ","")&amp;IF(COUNTIF(코드설정!$F$5:$F$7,업무일지!$AG620)=0,"진행상태 누락; ","")))</f>
        <v/>
      </c>
    </row>
    <row r="653">
      <c r="A653" s="26" t="inlineStr">
        <is>
          <t>업무일지</t>
        </is>
      </c>
      <c r="B653" s="66" t="n">
        <v>621</v>
      </c>
      <c r="C653" s="122">
        <f>IF($D653="","",IFERROR(TEXT(업무일지!$B621,"yyyy-mm-dd"),"(날짜없음)")&amp;"  "&amp;업무일지!$F621&amp;"  "&amp;업무일지!$H621)</f>
        <v/>
      </c>
      <c r="D653" s="122">
        <f>IF(NOT(COUNTBLANK(업무일지!$B621:$AH621)&lt;33),"",TRIM(IF(업무일지!$B621="","시작일 누락; ","")&amp;IF(업무일지!$C621="","종료일 누락; ","")&amp;IF(AND(업무일지!$B621&lt;&gt;"",업무일지!$C621&lt;&gt;"",업무일지!$C621&lt;업무일지!$B621),"종료일이 시작일보다 빠름; ","")&amp;IF(COUNTIF(코드설정!$H$5:$H$7,업무일지!$D621)=0,"직무구분 누락; ","")&amp;IF(업무일지!$E621="","세부유형 누락; ",IF(AND(업무일지!$D621&lt;&gt;"",COUNTIFS(코드설정!$A$5:$A$21,업무일지!$D621,코드설정!$B$5:$B$21,업무일지!$E621)=0),"세부유형이 직무구분과 불일치; ",""))&amp;IF(AND(업무일지!$F621&lt;&gt;"",COUNTIF(사건마스터!$A$5:$A$64,업무일지!$F621)=0),"미등록 사건번호; ","")&amp;IF(AND(업무일지!$F621="",업무일지!$H621=""),"사건번호·업무명 모두 없음; ","")&amp;IF(업무일지!$J621="","담당자 없음; ","")&amp;IF(COUNTIF(코드설정!$F$5:$F$7,업무일지!$AG621)=0,"진행상태 누락; ","")))</f>
        <v/>
      </c>
    </row>
    <row r="654">
      <c r="A654" s="26" t="inlineStr">
        <is>
          <t>업무일지</t>
        </is>
      </c>
      <c r="B654" s="66" t="n">
        <v>622</v>
      </c>
      <c r="C654" s="122">
        <f>IF($D654="","",IFERROR(TEXT(업무일지!$B622,"yyyy-mm-dd"),"(날짜없음)")&amp;"  "&amp;업무일지!$F622&amp;"  "&amp;업무일지!$H622)</f>
        <v/>
      </c>
      <c r="D654" s="122">
        <f>IF(NOT(COUNTBLANK(업무일지!$B622:$AH622)&lt;33),"",TRIM(IF(업무일지!$B622="","시작일 누락; ","")&amp;IF(업무일지!$C622="","종료일 누락; ","")&amp;IF(AND(업무일지!$B622&lt;&gt;"",업무일지!$C622&lt;&gt;"",업무일지!$C622&lt;업무일지!$B622),"종료일이 시작일보다 빠름; ","")&amp;IF(COUNTIF(코드설정!$H$5:$H$7,업무일지!$D622)=0,"직무구분 누락; ","")&amp;IF(업무일지!$E622="","세부유형 누락; ",IF(AND(업무일지!$D622&lt;&gt;"",COUNTIFS(코드설정!$A$5:$A$21,업무일지!$D622,코드설정!$B$5:$B$21,업무일지!$E622)=0),"세부유형이 직무구분과 불일치; ",""))&amp;IF(AND(업무일지!$F622&lt;&gt;"",COUNTIF(사건마스터!$A$5:$A$64,업무일지!$F622)=0),"미등록 사건번호; ","")&amp;IF(AND(업무일지!$F622="",업무일지!$H622=""),"사건번호·업무명 모두 없음; ","")&amp;IF(업무일지!$J622="","담당자 없음; ","")&amp;IF(COUNTIF(코드설정!$F$5:$F$7,업무일지!$AG622)=0,"진행상태 누락; ","")))</f>
        <v/>
      </c>
    </row>
    <row r="655">
      <c r="A655" s="26" t="inlineStr">
        <is>
          <t>업무일지</t>
        </is>
      </c>
      <c r="B655" s="66" t="n">
        <v>623</v>
      </c>
      <c r="C655" s="122">
        <f>IF($D655="","",IFERROR(TEXT(업무일지!$B623,"yyyy-mm-dd"),"(날짜없음)")&amp;"  "&amp;업무일지!$F623&amp;"  "&amp;업무일지!$H623)</f>
        <v/>
      </c>
      <c r="D655" s="122">
        <f>IF(NOT(COUNTBLANK(업무일지!$B623:$AH623)&lt;33),"",TRIM(IF(업무일지!$B623="","시작일 누락; ","")&amp;IF(업무일지!$C623="","종료일 누락; ","")&amp;IF(AND(업무일지!$B623&lt;&gt;"",업무일지!$C623&lt;&gt;"",업무일지!$C623&lt;업무일지!$B623),"종료일이 시작일보다 빠름; ","")&amp;IF(COUNTIF(코드설정!$H$5:$H$7,업무일지!$D623)=0,"직무구분 누락; ","")&amp;IF(업무일지!$E623="","세부유형 누락; ",IF(AND(업무일지!$D623&lt;&gt;"",COUNTIFS(코드설정!$A$5:$A$21,업무일지!$D623,코드설정!$B$5:$B$21,업무일지!$E623)=0),"세부유형이 직무구분과 불일치; ",""))&amp;IF(AND(업무일지!$F623&lt;&gt;"",COUNTIF(사건마스터!$A$5:$A$64,업무일지!$F623)=0),"미등록 사건번호; ","")&amp;IF(AND(업무일지!$F623="",업무일지!$H623=""),"사건번호·업무명 모두 없음; ","")&amp;IF(업무일지!$J623="","담당자 없음; ","")&amp;IF(COUNTIF(코드설정!$F$5:$F$7,업무일지!$AG623)=0,"진행상태 누락; ","")))</f>
        <v/>
      </c>
    </row>
    <row r="656">
      <c r="A656" s="26" t="inlineStr">
        <is>
          <t>업무일지</t>
        </is>
      </c>
      <c r="B656" s="66" t="n">
        <v>624</v>
      </c>
      <c r="C656" s="122">
        <f>IF($D656="","",IFERROR(TEXT(업무일지!$B624,"yyyy-mm-dd"),"(날짜없음)")&amp;"  "&amp;업무일지!$F624&amp;"  "&amp;업무일지!$H624)</f>
        <v/>
      </c>
      <c r="D656" s="122">
        <f>IF(NOT(COUNTBLANK(업무일지!$B624:$AH624)&lt;33),"",TRIM(IF(업무일지!$B624="","시작일 누락; ","")&amp;IF(업무일지!$C624="","종료일 누락; ","")&amp;IF(AND(업무일지!$B624&lt;&gt;"",업무일지!$C624&lt;&gt;"",업무일지!$C624&lt;업무일지!$B624),"종료일이 시작일보다 빠름; ","")&amp;IF(COUNTIF(코드설정!$H$5:$H$7,업무일지!$D624)=0,"직무구분 누락; ","")&amp;IF(업무일지!$E624="","세부유형 누락; ",IF(AND(업무일지!$D624&lt;&gt;"",COUNTIFS(코드설정!$A$5:$A$21,업무일지!$D624,코드설정!$B$5:$B$21,업무일지!$E624)=0),"세부유형이 직무구분과 불일치; ",""))&amp;IF(AND(업무일지!$F624&lt;&gt;"",COUNTIF(사건마스터!$A$5:$A$64,업무일지!$F624)=0),"미등록 사건번호; ","")&amp;IF(AND(업무일지!$F624="",업무일지!$H624=""),"사건번호·업무명 모두 없음; ","")&amp;IF(업무일지!$J624="","담당자 없음; ","")&amp;IF(COUNTIF(코드설정!$F$5:$F$7,업무일지!$AG624)=0,"진행상태 누락; ","")))</f>
        <v/>
      </c>
    </row>
    <row r="657">
      <c r="A657" s="26" t="inlineStr">
        <is>
          <t>업무일지</t>
        </is>
      </c>
      <c r="B657" s="66" t="n">
        <v>625</v>
      </c>
      <c r="C657" s="122">
        <f>IF($D657="","",IFERROR(TEXT(업무일지!$B625,"yyyy-mm-dd"),"(날짜없음)")&amp;"  "&amp;업무일지!$F625&amp;"  "&amp;업무일지!$H625)</f>
        <v/>
      </c>
      <c r="D657" s="122">
        <f>IF(NOT(COUNTBLANK(업무일지!$B625:$AH625)&lt;33),"",TRIM(IF(업무일지!$B625="","시작일 누락; ","")&amp;IF(업무일지!$C625="","종료일 누락; ","")&amp;IF(AND(업무일지!$B625&lt;&gt;"",업무일지!$C625&lt;&gt;"",업무일지!$C625&lt;업무일지!$B625),"종료일이 시작일보다 빠름; ","")&amp;IF(COUNTIF(코드설정!$H$5:$H$7,업무일지!$D625)=0,"직무구분 누락; ","")&amp;IF(업무일지!$E625="","세부유형 누락; ",IF(AND(업무일지!$D625&lt;&gt;"",COUNTIFS(코드설정!$A$5:$A$21,업무일지!$D625,코드설정!$B$5:$B$21,업무일지!$E625)=0),"세부유형이 직무구분과 불일치; ",""))&amp;IF(AND(업무일지!$F625&lt;&gt;"",COUNTIF(사건마스터!$A$5:$A$64,업무일지!$F625)=0),"미등록 사건번호; ","")&amp;IF(AND(업무일지!$F625="",업무일지!$H625=""),"사건번호·업무명 모두 없음; ","")&amp;IF(업무일지!$J625="","담당자 없음; ","")&amp;IF(COUNTIF(코드설정!$F$5:$F$7,업무일지!$AG625)=0,"진행상태 누락; ","")))</f>
        <v/>
      </c>
    </row>
    <row r="658">
      <c r="A658" s="26" t="inlineStr">
        <is>
          <t>업무일지</t>
        </is>
      </c>
      <c r="B658" s="66" t="n">
        <v>626</v>
      </c>
      <c r="C658" s="122">
        <f>IF($D658="","",IFERROR(TEXT(업무일지!$B626,"yyyy-mm-dd"),"(날짜없음)")&amp;"  "&amp;업무일지!$F626&amp;"  "&amp;업무일지!$H626)</f>
        <v/>
      </c>
      <c r="D658" s="122">
        <f>IF(NOT(COUNTBLANK(업무일지!$B626:$AH626)&lt;33),"",TRIM(IF(업무일지!$B626="","시작일 누락; ","")&amp;IF(업무일지!$C626="","종료일 누락; ","")&amp;IF(AND(업무일지!$B626&lt;&gt;"",업무일지!$C626&lt;&gt;"",업무일지!$C626&lt;업무일지!$B626),"종료일이 시작일보다 빠름; ","")&amp;IF(COUNTIF(코드설정!$H$5:$H$7,업무일지!$D626)=0,"직무구분 누락; ","")&amp;IF(업무일지!$E626="","세부유형 누락; ",IF(AND(업무일지!$D626&lt;&gt;"",COUNTIFS(코드설정!$A$5:$A$21,업무일지!$D626,코드설정!$B$5:$B$21,업무일지!$E626)=0),"세부유형이 직무구분과 불일치; ",""))&amp;IF(AND(업무일지!$F626&lt;&gt;"",COUNTIF(사건마스터!$A$5:$A$64,업무일지!$F626)=0),"미등록 사건번호; ","")&amp;IF(AND(업무일지!$F626="",업무일지!$H626=""),"사건번호·업무명 모두 없음; ","")&amp;IF(업무일지!$J626="","담당자 없음; ","")&amp;IF(COUNTIF(코드설정!$F$5:$F$7,업무일지!$AG626)=0,"진행상태 누락; ","")))</f>
        <v/>
      </c>
    </row>
    <row r="659">
      <c r="A659" s="26" t="inlineStr">
        <is>
          <t>업무일지</t>
        </is>
      </c>
      <c r="B659" s="66" t="n">
        <v>627</v>
      </c>
      <c r="C659" s="122">
        <f>IF($D659="","",IFERROR(TEXT(업무일지!$B627,"yyyy-mm-dd"),"(날짜없음)")&amp;"  "&amp;업무일지!$F627&amp;"  "&amp;업무일지!$H627)</f>
        <v/>
      </c>
      <c r="D659" s="122">
        <f>IF(NOT(COUNTBLANK(업무일지!$B627:$AH627)&lt;33),"",TRIM(IF(업무일지!$B627="","시작일 누락; ","")&amp;IF(업무일지!$C627="","종료일 누락; ","")&amp;IF(AND(업무일지!$B627&lt;&gt;"",업무일지!$C627&lt;&gt;"",업무일지!$C627&lt;업무일지!$B627),"종료일이 시작일보다 빠름; ","")&amp;IF(COUNTIF(코드설정!$H$5:$H$7,업무일지!$D627)=0,"직무구분 누락; ","")&amp;IF(업무일지!$E627="","세부유형 누락; ",IF(AND(업무일지!$D627&lt;&gt;"",COUNTIFS(코드설정!$A$5:$A$21,업무일지!$D627,코드설정!$B$5:$B$21,업무일지!$E627)=0),"세부유형이 직무구분과 불일치; ",""))&amp;IF(AND(업무일지!$F627&lt;&gt;"",COUNTIF(사건마스터!$A$5:$A$64,업무일지!$F627)=0),"미등록 사건번호; ","")&amp;IF(AND(업무일지!$F627="",업무일지!$H627=""),"사건번호·업무명 모두 없음; ","")&amp;IF(업무일지!$J627="","담당자 없음; ","")&amp;IF(COUNTIF(코드설정!$F$5:$F$7,업무일지!$AG627)=0,"진행상태 누락; ","")))</f>
        <v/>
      </c>
    </row>
    <row r="660">
      <c r="A660" s="26" t="inlineStr">
        <is>
          <t>업무일지</t>
        </is>
      </c>
      <c r="B660" s="66" t="n">
        <v>628</v>
      </c>
      <c r="C660" s="122">
        <f>IF($D660="","",IFERROR(TEXT(업무일지!$B628,"yyyy-mm-dd"),"(날짜없음)")&amp;"  "&amp;업무일지!$F628&amp;"  "&amp;업무일지!$H628)</f>
        <v/>
      </c>
      <c r="D660" s="122">
        <f>IF(NOT(COUNTBLANK(업무일지!$B628:$AH628)&lt;33),"",TRIM(IF(업무일지!$B628="","시작일 누락; ","")&amp;IF(업무일지!$C628="","종료일 누락; ","")&amp;IF(AND(업무일지!$B628&lt;&gt;"",업무일지!$C628&lt;&gt;"",업무일지!$C628&lt;업무일지!$B628),"종료일이 시작일보다 빠름; ","")&amp;IF(COUNTIF(코드설정!$H$5:$H$7,업무일지!$D628)=0,"직무구분 누락; ","")&amp;IF(업무일지!$E628="","세부유형 누락; ",IF(AND(업무일지!$D628&lt;&gt;"",COUNTIFS(코드설정!$A$5:$A$21,업무일지!$D628,코드설정!$B$5:$B$21,업무일지!$E628)=0),"세부유형이 직무구분과 불일치; ",""))&amp;IF(AND(업무일지!$F628&lt;&gt;"",COUNTIF(사건마스터!$A$5:$A$64,업무일지!$F628)=0),"미등록 사건번호; ","")&amp;IF(AND(업무일지!$F628="",업무일지!$H628=""),"사건번호·업무명 모두 없음; ","")&amp;IF(업무일지!$J628="","담당자 없음; ","")&amp;IF(COUNTIF(코드설정!$F$5:$F$7,업무일지!$AG628)=0,"진행상태 누락; ","")))</f>
        <v/>
      </c>
    </row>
    <row r="661">
      <c r="A661" s="26" t="inlineStr">
        <is>
          <t>업무일지</t>
        </is>
      </c>
      <c r="B661" s="66" t="n">
        <v>629</v>
      </c>
      <c r="C661" s="122">
        <f>IF($D661="","",IFERROR(TEXT(업무일지!$B629,"yyyy-mm-dd"),"(날짜없음)")&amp;"  "&amp;업무일지!$F629&amp;"  "&amp;업무일지!$H629)</f>
        <v/>
      </c>
      <c r="D661" s="122">
        <f>IF(NOT(COUNTBLANK(업무일지!$B629:$AH629)&lt;33),"",TRIM(IF(업무일지!$B629="","시작일 누락; ","")&amp;IF(업무일지!$C629="","종료일 누락; ","")&amp;IF(AND(업무일지!$B629&lt;&gt;"",업무일지!$C629&lt;&gt;"",업무일지!$C629&lt;업무일지!$B629),"종료일이 시작일보다 빠름; ","")&amp;IF(COUNTIF(코드설정!$H$5:$H$7,업무일지!$D629)=0,"직무구분 누락; ","")&amp;IF(업무일지!$E629="","세부유형 누락; ",IF(AND(업무일지!$D629&lt;&gt;"",COUNTIFS(코드설정!$A$5:$A$21,업무일지!$D629,코드설정!$B$5:$B$21,업무일지!$E629)=0),"세부유형이 직무구분과 불일치; ",""))&amp;IF(AND(업무일지!$F629&lt;&gt;"",COUNTIF(사건마스터!$A$5:$A$64,업무일지!$F629)=0),"미등록 사건번호; ","")&amp;IF(AND(업무일지!$F629="",업무일지!$H629=""),"사건번호·업무명 모두 없음; ","")&amp;IF(업무일지!$J629="","담당자 없음; ","")&amp;IF(COUNTIF(코드설정!$F$5:$F$7,업무일지!$AG629)=0,"진행상태 누락; ","")))</f>
        <v/>
      </c>
    </row>
    <row r="662">
      <c r="A662" s="26" t="inlineStr">
        <is>
          <t>업무일지</t>
        </is>
      </c>
      <c r="B662" s="66" t="n">
        <v>630</v>
      </c>
      <c r="C662" s="122">
        <f>IF($D662="","",IFERROR(TEXT(업무일지!$B630,"yyyy-mm-dd"),"(날짜없음)")&amp;"  "&amp;업무일지!$F630&amp;"  "&amp;업무일지!$H630)</f>
        <v/>
      </c>
      <c r="D662" s="122">
        <f>IF(NOT(COUNTBLANK(업무일지!$B630:$AH630)&lt;33),"",TRIM(IF(업무일지!$B630="","시작일 누락; ","")&amp;IF(업무일지!$C630="","종료일 누락; ","")&amp;IF(AND(업무일지!$B630&lt;&gt;"",업무일지!$C630&lt;&gt;"",업무일지!$C630&lt;업무일지!$B630),"종료일이 시작일보다 빠름; ","")&amp;IF(COUNTIF(코드설정!$H$5:$H$7,업무일지!$D630)=0,"직무구분 누락; ","")&amp;IF(업무일지!$E630="","세부유형 누락; ",IF(AND(업무일지!$D630&lt;&gt;"",COUNTIFS(코드설정!$A$5:$A$21,업무일지!$D630,코드설정!$B$5:$B$21,업무일지!$E630)=0),"세부유형이 직무구분과 불일치; ",""))&amp;IF(AND(업무일지!$F630&lt;&gt;"",COUNTIF(사건마스터!$A$5:$A$64,업무일지!$F630)=0),"미등록 사건번호; ","")&amp;IF(AND(업무일지!$F630="",업무일지!$H630=""),"사건번호·업무명 모두 없음; ","")&amp;IF(업무일지!$J630="","담당자 없음; ","")&amp;IF(COUNTIF(코드설정!$F$5:$F$7,업무일지!$AG630)=0,"진행상태 누락; ","")))</f>
        <v/>
      </c>
    </row>
    <row r="663">
      <c r="A663" s="26" t="inlineStr">
        <is>
          <t>업무일지</t>
        </is>
      </c>
      <c r="B663" s="66" t="n">
        <v>631</v>
      </c>
      <c r="C663" s="122">
        <f>IF($D663="","",IFERROR(TEXT(업무일지!$B631,"yyyy-mm-dd"),"(날짜없음)")&amp;"  "&amp;업무일지!$F631&amp;"  "&amp;업무일지!$H631)</f>
        <v/>
      </c>
      <c r="D663" s="122">
        <f>IF(NOT(COUNTBLANK(업무일지!$B631:$AH631)&lt;33),"",TRIM(IF(업무일지!$B631="","시작일 누락; ","")&amp;IF(업무일지!$C631="","종료일 누락; ","")&amp;IF(AND(업무일지!$B631&lt;&gt;"",업무일지!$C631&lt;&gt;"",업무일지!$C631&lt;업무일지!$B631),"종료일이 시작일보다 빠름; ","")&amp;IF(COUNTIF(코드설정!$H$5:$H$7,업무일지!$D631)=0,"직무구분 누락; ","")&amp;IF(업무일지!$E631="","세부유형 누락; ",IF(AND(업무일지!$D631&lt;&gt;"",COUNTIFS(코드설정!$A$5:$A$21,업무일지!$D631,코드설정!$B$5:$B$21,업무일지!$E631)=0),"세부유형이 직무구분과 불일치; ",""))&amp;IF(AND(업무일지!$F631&lt;&gt;"",COUNTIF(사건마스터!$A$5:$A$64,업무일지!$F631)=0),"미등록 사건번호; ","")&amp;IF(AND(업무일지!$F631="",업무일지!$H631=""),"사건번호·업무명 모두 없음; ","")&amp;IF(업무일지!$J631="","담당자 없음; ","")&amp;IF(COUNTIF(코드설정!$F$5:$F$7,업무일지!$AG631)=0,"진행상태 누락; ","")))</f>
        <v/>
      </c>
    </row>
    <row r="664">
      <c r="A664" s="26" t="inlineStr">
        <is>
          <t>업무일지</t>
        </is>
      </c>
      <c r="B664" s="66" t="n">
        <v>632</v>
      </c>
      <c r="C664" s="122">
        <f>IF($D664="","",IFERROR(TEXT(업무일지!$B632,"yyyy-mm-dd"),"(날짜없음)")&amp;"  "&amp;업무일지!$F632&amp;"  "&amp;업무일지!$H632)</f>
        <v/>
      </c>
      <c r="D664" s="122">
        <f>IF(NOT(COUNTBLANK(업무일지!$B632:$AH632)&lt;33),"",TRIM(IF(업무일지!$B632="","시작일 누락; ","")&amp;IF(업무일지!$C632="","종료일 누락; ","")&amp;IF(AND(업무일지!$B632&lt;&gt;"",업무일지!$C632&lt;&gt;"",업무일지!$C632&lt;업무일지!$B632),"종료일이 시작일보다 빠름; ","")&amp;IF(COUNTIF(코드설정!$H$5:$H$7,업무일지!$D632)=0,"직무구분 누락; ","")&amp;IF(업무일지!$E632="","세부유형 누락; ",IF(AND(업무일지!$D632&lt;&gt;"",COUNTIFS(코드설정!$A$5:$A$21,업무일지!$D632,코드설정!$B$5:$B$21,업무일지!$E632)=0),"세부유형이 직무구분과 불일치; ",""))&amp;IF(AND(업무일지!$F632&lt;&gt;"",COUNTIF(사건마스터!$A$5:$A$64,업무일지!$F632)=0),"미등록 사건번호; ","")&amp;IF(AND(업무일지!$F632="",업무일지!$H632=""),"사건번호·업무명 모두 없음; ","")&amp;IF(업무일지!$J632="","담당자 없음; ","")&amp;IF(COUNTIF(코드설정!$F$5:$F$7,업무일지!$AG632)=0,"진행상태 누락; ","")))</f>
        <v/>
      </c>
    </row>
    <row r="665">
      <c r="A665" s="26" t="inlineStr">
        <is>
          <t>업무일지</t>
        </is>
      </c>
      <c r="B665" s="66" t="n">
        <v>633</v>
      </c>
      <c r="C665" s="122">
        <f>IF($D665="","",IFERROR(TEXT(업무일지!$B633,"yyyy-mm-dd"),"(날짜없음)")&amp;"  "&amp;업무일지!$F633&amp;"  "&amp;업무일지!$H633)</f>
        <v/>
      </c>
      <c r="D665" s="122">
        <f>IF(NOT(COUNTBLANK(업무일지!$B633:$AH633)&lt;33),"",TRIM(IF(업무일지!$B633="","시작일 누락; ","")&amp;IF(업무일지!$C633="","종료일 누락; ","")&amp;IF(AND(업무일지!$B633&lt;&gt;"",업무일지!$C633&lt;&gt;"",업무일지!$C633&lt;업무일지!$B633),"종료일이 시작일보다 빠름; ","")&amp;IF(COUNTIF(코드설정!$H$5:$H$7,업무일지!$D633)=0,"직무구분 누락; ","")&amp;IF(업무일지!$E633="","세부유형 누락; ",IF(AND(업무일지!$D633&lt;&gt;"",COUNTIFS(코드설정!$A$5:$A$21,업무일지!$D633,코드설정!$B$5:$B$21,업무일지!$E633)=0),"세부유형이 직무구분과 불일치; ",""))&amp;IF(AND(업무일지!$F633&lt;&gt;"",COUNTIF(사건마스터!$A$5:$A$64,업무일지!$F633)=0),"미등록 사건번호; ","")&amp;IF(AND(업무일지!$F633="",업무일지!$H633=""),"사건번호·업무명 모두 없음; ","")&amp;IF(업무일지!$J633="","담당자 없음; ","")&amp;IF(COUNTIF(코드설정!$F$5:$F$7,업무일지!$AG633)=0,"진행상태 누락; ","")))</f>
        <v/>
      </c>
    </row>
    <row r="666">
      <c r="A666" s="26" t="inlineStr">
        <is>
          <t>업무일지</t>
        </is>
      </c>
      <c r="B666" s="66" t="n">
        <v>634</v>
      </c>
      <c r="C666" s="122">
        <f>IF($D666="","",IFERROR(TEXT(업무일지!$B634,"yyyy-mm-dd"),"(날짜없음)")&amp;"  "&amp;업무일지!$F634&amp;"  "&amp;업무일지!$H634)</f>
        <v/>
      </c>
      <c r="D666" s="122">
        <f>IF(NOT(COUNTBLANK(업무일지!$B634:$AH634)&lt;33),"",TRIM(IF(업무일지!$B634="","시작일 누락; ","")&amp;IF(업무일지!$C634="","종료일 누락; ","")&amp;IF(AND(업무일지!$B634&lt;&gt;"",업무일지!$C634&lt;&gt;"",업무일지!$C634&lt;업무일지!$B634),"종료일이 시작일보다 빠름; ","")&amp;IF(COUNTIF(코드설정!$H$5:$H$7,업무일지!$D634)=0,"직무구분 누락; ","")&amp;IF(업무일지!$E634="","세부유형 누락; ",IF(AND(업무일지!$D634&lt;&gt;"",COUNTIFS(코드설정!$A$5:$A$21,업무일지!$D634,코드설정!$B$5:$B$21,업무일지!$E634)=0),"세부유형이 직무구분과 불일치; ",""))&amp;IF(AND(업무일지!$F634&lt;&gt;"",COUNTIF(사건마스터!$A$5:$A$64,업무일지!$F634)=0),"미등록 사건번호; ","")&amp;IF(AND(업무일지!$F634="",업무일지!$H634=""),"사건번호·업무명 모두 없음; ","")&amp;IF(업무일지!$J634="","담당자 없음; ","")&amp;IF(COUNTIF(코드설정!$F$5:$F$7,업무일지!$AG634)=0,"진행상태 누락; ","")))</f>
        <v/>
      </c>
    </row>
    <row r="667">
      <c r="A667" s="26" t="inlineStr">
        <is>
          <t>업무일지</t>
        </is>
      </c>
      <c r="B667" s="66" t="n">
        <v>635</v>
      </c>
      <c r="C667" s="122">
        <f>IF($D667="","",IFERROR(TEXT(업무일지!$B635,"yyyy-mm-dd"),"(날짜없음)")&amp;"  "&amp;업무일지!$F635&amp;"  "&amp;업무일지!$H635)</f>
        <v/>
      </c>
      <c r="D667" s="122">
        <f>IF(NOT(COUNTBLANK(업무일지!$B635:$AH635)&lt;33),"",TRIM(IF(업무일지!$B635="","시작일 누락; ","")&amp;IF(업무일지!$C635="","종료일 누락; ","")&amp;IF(AND(업무일지!$B635&lt;&gt;"",업무일지!$C635&lt;&gt;"",업무일지!$C635&lt;업무일지!$B635),"종료일이 시작일보다 빠름; ","")&amp;IF(COUNTIF(코드설정!$H$5:$H$7,업무일지!$D635)=0,"직무구분 누락; ","")&amp;IF(업무일지!$E635="","세부유형 누락; ",IF(AND(업무일지!$D635&lt;&gt;"",COUNTIFS(코드설정!$A$5:$A$21,업무일지!$D635,코드설정!$B$5:$B$21,업무일지!$E635)=0),"세부유형이 직무구분과 불일치; ",""))&amp;IF(AND(업무일지!$F635&lt;&gt;"",COUNTIF(사건마스터!$A$5:$A$64,업무일지!$F635)=0),"미등록 사건번호; ","")&amp;IF(AND(업무일지!$F635="",업무일지!$H635=""),"사건번호·업무명 모두 없음; ","")&amp;IF(업무일지!$J635="","담당자 없음; ","")&amp;IF(COUNTIF(코드설정!$F$5:$F$7,업무일지!$AG635)=0,"진행상태 누락; ","")))</f>
        <v/>
      </c>
    </row>
    <row r="668">
      <c r="A668" s="26" t="inlineStr">
        <is>
          <t>업무일지</t>
        </is>
      </c>
      <c r="B668" s="66" t="n">
        <v>636</v>
      </c>
      <c r="C668" s="122">
        <f>IF($D668="","",IFERROR(TEXT(업무일지!$B636,"yyyy-mm-dd"),"(날짜없음)")&amp;"  "&amp;업무일지!$F636&amp;"  "&amp;업무일지!$H636)</f>
        <v/>
      </c>
      <c r="D668" s="122">
        <f>IF(NOT(COUNTBLANK(업무일지!$B636:$AH636)&lt;33),"",TRIM(IF(업무일지!$B636="","시작일 누락; ","")&amp;IF(업무일지!$C636="","종료일 누락; ","")&amp;IF(AND(업무일지!$B636&lt;&gt;"",업무일지!$C636&lt;&gt;"",업무일지!$C636&lt;업무일지!$B636),"종료일이 시작일보다 빠름; ","")&amp;IF(COUNTIF(코드설정!$H$5:$H$7,업무일지!$D636)=0,"직무구분 누락; ","")&amp;IF(업무일지!$E636="","세부유형 누락; ",IF(AND(업무일지!$D636&lt;&gt;"",COUNTIFS(코드설정!$A$5:$A$21,업무일지!$D636,코드설정!$B$5:$B$21,업무일지!$E636)=0),"세부유형이 직무구분과 불일치; ",""))&amp;IF(AND(업무일지!$F636&lt;&gt;"",COUNTIF(사건마스터!$A$5:$A$64,업무일지!$F636)=0),"미등록 사건번호; ","")&amp;IF(AND(업무일지!$F636="",업무일지!$H636=""),"사건번호·업무명 모두 없음; ","")&amp;IF(업무일지!$J636="","담당자 없음; ","")&amp;IF(COUNTIF(코드설정!$F$5:$F$7,업무일지!$AG636)=0,"진행상태 누락; ","")))</f>
        <v/>
      </c>
    </row>
    <row r="669">
      <c r="A669" s="26" t="inlineStr">
        <is>
          <t>업무일지</t>
        </is>
      </c>
      <c r="B669" s="66" t="n">
        <v>637</v>
      </c>
      <c r="C669" s="122">
        <f>IF($D669="","",IFERROR(TEXT(업무일지!$B637,"yyyy-mm-dd"),"(날짜없음)")&amp;"  "&amp;업무일지!$F637&amp;"  "&amp;업무일지!$H637)</f>
        <v/>
      </c>
      <c r="D669" s="122">
        <f>IF(NOT(COUNTBLANK(업무일지!$B637:$AH637)&lt;33),"",TRIM(IF(업무일지!$B637="","시작일 누락; ","")&amp;IF(업무일지!$C637="","종료일 누락; ","")&amp;IF(AND(업무일지!$B637&lt;&gt;"",업무일지!$C637&lt;&gt;"",업무일지!$C637&lt;업무일지!$B637),"종료일이 시작일보다 빠름; ","")&amp;IF(COUNTIF(코드설정!$H$5:$H$7,업무일지!$D637)=0,"직무구분 누락; ","")&amp;IF(업무일지!$E637="","세부유형 누락; ",IF(AND(업무일지!$D637&lt;&gt;"",COUNTIFS(코드설정!$A$5:$A$21,업무일지!$D637,코드설정!$B$5:$B$21,업무일지!$E637)=0),"세부유형이 직무구분과 불일치; ",""))&amp;IF(AND(업무일지!$F637&lt;&gt;"",COUNTIF(사건마스터!$A$5:$A$64,업무일지!$F637)=0),"미등록 사건번호; ","")&amp;IF(AND(업무일지!$F637="",업무일지!$H637=""),"사건번호·업무명 모두 없음; ","")&amp;IF(업무일지!$J637="","담당자 없음; ","")&amp;IF(COUNTIF(코드설정!$F$5:$F$7,업무일지!$AG637)=0,"진행상태 누락; ","")))</f>
        <v/>
      </c>
    </row>
    <row r="670">
      <c r="A670" s="26" t="inlineStr">
        <is>
          <t>업무일지</t>
        </is>
      </c>
      <c r="B670" s="66" t="n">
        <v>638</v>
      </c>
      <c r="C670" s="122">
        <f>IF($D670="","",IFERROR(TEXT(업무일지!$B638,"yyyy-mm-dd"),"(날짜없음)")&amp;"  "&amp;업무일지!$F638&amp;"  "&amp;업무일지!$H638)</f>
        <v/>
      </c>
      <c r="D670" s="122">
        <f>IF(NOT(COUNTBLANK(업무일지!$B638:$AH638)&lt;33),"",TRIM(IF(업무일지!$B638="","시작일 누락; ","")&amp;IF(업무일지!$C638="","종료일 누락; ","")&amp;IF(AND(업무일지!$B638&lt;&gt;"",업무일지!$C638&lt;&gt;"",업무일지!$C638&lt;업무일지!$B638),"종료일이 시작일보다 빠름; ","")&amp;IF(COUNTIF(코드설정!$H$5:$H$7,업무일지!$D638)=0,"직무구분 누락; ","")&amp;IF(업무일지!$E638="","세부유형 누락; ",IF(AND(업무일지!$D638&lt;&gt;"",COUNTIFS(코드설정!$A$5:$A$21,업무일지!$D638,코드설정!$B$5:$B$21,업무일지!$E638)=0),"세부유형이 직무구분과 불일치; ",""))&amp;IF(AND(업무일지!$F638&lt;&gt;"",COUNTIF(사건마스터!$A$5:$A$64,업무일지!$F638)=0),"미등록 사건번호; ","")&amp;IF(AND(업무일지!$F638="",업무일지!$H638=""),"사건번호·업무명 모두 없음; ","")&amp;IF(업무일지!$J638="","담당자 없음; ","")&amp;IF(COUNTIF(코드설정!$F$5:$F$7,업무일지!$AG638)=0,"진행상태 누락; ","")))</f>
        <v/>
      </c>
    </row>
    <row r="671">
      <c r="A671" s="26" t="inlineStr">
        <is>
          <t>업무일지</t>
        </is>
      </c>
      <c r="B671" s="66" t="n">
        <v>639</v>
      </c>
      <c r="C671" s="122">
        <f>IF($D671="","",IFERROR(TEXT(업무일지!$B639,"yyyy-mm-dd"),"(날짜없음)")&amp;"  "&amp;업무일지!$F639&amp;"  "&amp;업무일지!$H639)</f>
        <v/>
      </c>
      <c r="D671" s="122">
        <f>IF(NOT(COUNTBLANK(업무일지!$B639:$AH639)&lt;33),"",TRIM(IF(업무일지!$B639="","시작일 누락; ","")&amp;IF(업무일지!$C639="","종료일 누락; ","")&amp;IF(AND(업무일지!$B639&lt;&gt;"",업무일지!$C639&lt;&gt;"",업무일지!$C639&lt;업무일지!$B639),"종료일이 시작일보다 빠름; ","")&amp;IF(COUNTIF(코드설정!$H$5:$H$7,업무일지!$D639)=0,"직무구분 누락; ","")&amp;IF(업무일지!$E639="","세부유형 누락; ",IF(AND(업무일지!$D639&lt;&gt;"",COUNTIFS(코드설정!$A$5:$A$21,업무일지!$D639,코드설정!$B$5:$B$21,업무일지!$E639)=0),"세부유형이 직무구분과 불일치; ",""))&amp;IF(AND(업무일지!$F639&lt;&gt;"",COUNTIF(사건마스터!$A$5:$A$64,업무일지!$F639)=0),"미등록 사건번호; ","")&amp;IF(AND(업무일지!$F639="",업무일지!$H639=""),"사건번호·업무명 모두 없음; ","")&amp;IF(업무일지!$J639="","담당자 없음; ","")&amp;IF(COUNTIF(코드설정!$F$5:$F$7,업무일지!$AG639)=0,"진행상태 누락; ","")))</f>
        <v/>
      </c>
    </row>
    <row r="672">
      <c r="A672" s="26" t="inlineStr">
        <is>
          <t>업무일지</t>
        </is>
      </c>
      <c r="B672" s="66" t="n">
        <v>640</v>
      </c>
      <c r="C672" s="122">
        <f>IF($D672="","",IFERROR(TEXT(업무일지!$B640,"yyyy-mm-dd"),"(날짜없음)")&amp;"  "&amp;업무일지!$F640&amp;"  "&amp;업무일지!$H640)</f>
        <v/>
      </c>
      <c r="D672" s="122">
        <f>IF(NOT(COUNTBLANK(업무일지!$B640:$AH640)&lt;33),"",TRIM(IF(업무일지!$B640="","시작일 누락; ","")&amp;IF(업무일지!$C640="","종료일 누락; ","")&amp;IF(AND(업무일지!$B640&lt;&gt;"",업무일지!$C640&lt;&gt;"",업무일지!$C640&lt;업무일지!$B640),"종료일이 시작일보다 빠름; ","")&amp;IF(COUNTIF(코드설정!$H$5:$H$7,업무일지!$D640)=0,"직무구분 누락; ","")&amp;IF(업무일지!$E640="","세부유형 누락; ",IF(AND(업무일지!$D640&lt;&gt;"",COUNTIFS(코드설정!$A$5:$A$21,업무일지!$D640,코드설정!$B$5:$B$21,업무일지!$E640)=0),"세부유형이 직무구분과 불일치; ",""))&amp;IF(AND(업무일지!$F640&lt;&gt;"",COUNTIF(사건마스터!$A$5:$A$64,업무일지!$F640)=0),"미등록 사건번호; ","")&amp;IF(AND(업무일지!$F640="",업무일지!$H640=""),"사건번호·업무명 모두 없음; ","")&amp;IF(업무일지!$J640="","담당자 없음; ","")&amp;IF(COUNTIF(코드설정!$F$5:$F$7,업무일지!$AG640)=0,"진행상태 누락; ","")))</f>
        <v/>
      </c>
    </row>
    <row r="673">
      <c r="A673" s="26" t="inlineStr">
        <is>
          <t>업무일지</t>
        </is>
      </c>
      <c r="B673" s="66" t="n">
        <v>641</v>
      </c>
      <c r="C673" s="122">
        <f>IF($D673="","",IFERROR(TEXT(업무일지!$B641,"yyyy-mm-dd"),"(날짜없음)")&amp;"  "&amp;업무일지!$F641&amp;"  "&amp;업무일지!$H641)</f>
        <v/>
      </c>
      <c r="D673" s="122">
        <f>IF(NOT(COUNTBLANK(업무일지!$B641:$AH641)&lt;33),"",TRIM(IF(업무일지!$B641="","시작일 누락; ","")&amp;IF(업무일지!$C641="","종료일 누락; ","")&amp;IF(AND(업무일지!$B641&lt;&gt;"",업무일지!$C641&lt;&gt;"",업무일지!$C641&lt;업무일지!$B641),"종료일이 시작일보다 빠름; ","")&amp;IF(COUNTIF(코드설정!$H$5:$H$7,업무일지!$D641)=0,"직무구분 누락; ","")&amp;IF(업무일지!$E641="","세부유형 누락; ",IF(AND(업무일지!$D641&lt;&gt;"",COUNTIFS(코드설정!$A$5:$A$21,업무일지!$D641,코드설정!$B$5:$B$21,업무일지!$E641)=0),"세부유형이 직무구분과 불일치; ",""))&amp;IF(AND(업무일지!$F641&lt;&gt;"",COUNTIF(사건마스터!$A$5:$A$64,업무일지!$F641)=0),"미등록 사건번호; ","")&amp;IF(AND(업무일지!$F641="",업무일지!$H641=""),"사건번호·업무명 모두 없음; ","")&amp;IF(업무일지!$J641="","담당자 없음; ","")&amp;IF(COUNTIF(코드설정!$F$5:$F$7,업무일지!$AG641)=0,"진행상태 누락; ","")))</f>
        <v/>
      </c>
    </row>
    <row r="674">
      <c r="A674" s="26" t="inlineStr">
        <is>
          <t>업무일지</t>
        </is>
      </c>
      <c r="B674" s="66" t="n">
        <v>642</v>
      </c>
      <c r="C674" s="122">
        <f>IF($D674="","",IFERROR(TEXT(업무일지!$B642,"yyyy-mm-dd"),"(날짜없음)")&amp;"  "&amp;업무일지!$F642&amp;"  "&amp;업무일지!$H642)</f>
        <v/>
      </c>
      <c r="D674" s="122">
        <f>IF(NOT(COUNTBLANK(업무일지!$B642:$AH642)&lt;33),"",TRIM(IF(업무일지!$B642="","시작일 누락; ","")&amp;IF(업무일지!$C642="","종료일 누락; ","")&amp;IF(AND(업무일지!$B642&lt;&gt;"",업무일지!$C642&lt;&gt;"",업무일지!$C642&lt;업무일지!$B642),"종료일이 시작일보다 빠름; ","")&amp;IF(COUNTIF(코드설정!$H$5:$H$7,업무일지!$D642)=0,"직무구분 누락; ","")&amp;IF(업무일지!$E642="","세부유형 누락; ",IF(AND(업무일지!$D642&lt;&gt;"",COUNTIFS(코드설정!$A$5:$A$21,업무일지!$D642,코드설정!$B$5:$B$21,업무일지!$E642)=0),"세부유형이 직무구분과 불일치; ",""))&amp;IF(AND(업무일지!$F642&lt;&gt;"",COUNTIF(사건마스터!$A$5:$A$64,업무일지!$F642)=0),"미등록 사건번호; ","")&amp;IF(AND(업무일지!$F642="",업무일지!$H642=""),"사건번호·업무명 모두 없음; ","")&amp;IF(업무일지!$J642="","담당자 없음; ","")&amp;IF(COUNTIF(코드설정!$F$5:$F$7,업무일지!$AG642)=0,"진행상태 누락; ","")))</f>
        <v/>
      </c>
    </row>
    <row r="675">
      <c r="A675" s="26" t="inlineStr">
        <is>
          <t>업무일지</t>
        </is>
      </c>
      <c r="B675" s="66" t="n">
        <v>643</v>
      </c>
      <c r="C675" s="122">
        <f>IF($D675="","",IFERROR(TEXT(업무일지!$B643,"yyyy-mm-dd"),"(날짜없음)")&amp;"  "&amp;업무일지!$F643&amp;"  "&amp;업무일지!$H643)</f>
        <v/>
      </c>
      <c r="D675" s="122">
        <f>IF(NOT(COUNTBLANK(업무일지!$B643:$AH643)&lt;33),"",TRIM(IF(업무일지!$B643="","시작일 누락; ","")&amp;IF(업무일지!$C643="","종료일 누락; ","")&amp;IF(AND(업무일지!$B643&lt;&gt;"",업무일지!$C643&lt;&gt;"",업무일지!$C643&lt;업무일지!$B643),"종료일이 시작일보다 빠름; ","")&amp;IF(COUNTIF(코드설정!$H$5:$H$7,업무일지!$D643)=0,"직무구분 누락; ","")&amp;IF(업무일지!$E643="","세부유형 누락; ",IF(AND(업무일지!$D643&lt;&gt;"",COUNTIFS(코드설정!$A$5:$A$21,업무일지!$D643,코드설정!$B$5:$B$21,업무일지!$E643)=0),"세부유형이 직무구분과 불일치; ",""))&amp;IF(AND(업무일지!$F643&lt;&gt;"",COUNTIF(사건마스터!$A$5:$A$64,업무일지!$F643)=0),"미등록 사건번호; ","")&amp;IF(AND(업무일지!$F643="",업무일지!$H643=""),"사건번호·업무명 모두 없음; ","")&amp;IF(업무일지!$J643="","담당자 없음; ","")&amp;IF(COUNTIF(코드설정!$F$5:$F$7,업무일지!$AG643)=0,"진행상태 누락; ","")))</f>
        <v/>
      </c>
    </row>
    <row r="676">
      <c r="A676" s="26" t="inlineStr">
        <is>
          <t>업무일지</t>
        </is>
      </c>
      <c r="B676" s="66" t="n">
        <v>644</v>
      </c>
      <c r="C676" s="122">
        <f>IF($D676="","",IFERROR(TEXT(업무일지!$B644,"yyyy-mm-dd"),"(날짜없음)")&amp;"  "&amp;업무일지!$F644&amp;"  "&amp;업무일지!$H644)</f>
        <v/>
      </c>
      <c r="D676" s="122">
        <f>IF(NOT(COUNTBLANK(업무일지!$B644:$AH644)&lt;33),"",TRIM(IF(업무일지!$B644="","시작일 누락; ","")&amp;IF(업무일지!$C644="","종료일 누락; ","")&amp;IF(AND(업무일지!$B644&lt;&gt;"",업무일지!$C644&lt;&gt;"",업무일지!$C644&lt;업무일지!$B644),"종료일이 시작일보다 빠름; ","")&amp;IF(COUNTIF(코드설정!$H$5:$H$7,업무일지!$D644)=0,"직무구분 누락; ","")&amp;IF(업무일지!$E644="","세부유형 누락; ",IF(AND(업무일지!$D644&lt;&gt;"",COUNTIFS(코드설정!$A$5:$A$21,업무일지!$D644,코드설정!$B$5:$B$21,업무일지!$E644)=0),"세부유형이 직무구분과 불일치; ",""))&amp;IF(AND(업무일지!$F644&lt;&gt;"",COUNTIF(사건마스터!$A$5:$A$64,업무일지!$F644)=0),"미등록 사건번호; ","")&amp;IF(AND(업무일지!$F644="",업무일지!$H644=""),"사건번호·업무명 모두 없음; ","")&amp;IF(업무일지!$J644="","담당자 없음; ","")&amp;IF(COUNTIF(코드설정!$F$5:$F$7,업무일지!$AG644)=0,"진행상태 누락; ","")))</f>
        <v/>
      </c>
    </row>
    <row r="677">
      <c r="A677" s="26" t="inlineStr">
        <is>
          <t>업무일지</t>
        </is>
      </c>
      <c r="B677" s="66" t="n">
        <v>645</v>
      </c>
      <c r="C677" s="122">
        <f>IF($D677="","",IFERROR(TEXT(업무일지!$B645,"yyyy-mm-dd"),"(날짜없음)")&amp;"  "&amp;업무일지!$F645&amp;"  "&amp;업무일지!$H645)</f>
        <v/>
      </c>
      <c r="D677" s="122">
        <f>IF(NOT(COUNTBLANK(업무일지!$B645:$AH645)&lt;33),"",TRIM(IF(업무일지!$B645="","시작일 누락; ","")&amp;IF(업무일지!$C645="","종료일 누락; ","")&amp;IF(AND(업무일지!$B645&lt;&gt;"",업무일지!$C645&lt;&gt;"",업무일지!$C645&lt;업무일지!$B645),"종료일이 시작일보다 빠름; ","")&amp;IF(COUNTIF(코드설정!$H$5:$H$7,업무일지!$D645)=0,"직무구분 누락; ","")&amp;IF(업무일지!$E645="","세부유형 누락; ",IF(AND(업무일지!$D645&lt;&gt;"",COUNTIFS(코드설정!$A$5:$A$21,업무일지!$D645,코드설정!$B$5:$B$21,업무일지!$E645)=0),"세부유형이 직무구분과 불일치; ",""))&amp;IF(AND(업무일지!$F645&lt;&gt;"",COUNTIF(사건마스터!$A$5:$A$64,업무일지!$F645)=0),"미등록 사건번호; ","")&amp;IF(AND(업무일지!$F645="",업무일지!$H645=""),"사건번호·업무명 모두 없음; ","")&amp;IF(업무일지!$J645="","담당자 없음; ","")&amp;IF(COUNTIF(코드설정!$F$5:$F$7,업무일지!$AG645)=0,"진행상태 누락; ","")))</f>
        <v/>
      </c>
    </row>
    <row r="678">
      <c r="A678" s="26" t="inlineStr">
        <is>
          <t>업무일지</t>
        </is>
      </c>
      <c r="B678" s="66" t="n">
        <v>646</v>
      </c>
      <c r="C678" s="122">
        <f>IF($D678="","",IFERROR(TEXT(업무일지!$B646,"yyyy-mm-dd"),"(날짜없음)")&amp;"  "&amp;업무일지!$F646&amp;"  "&amp;업무일지!$H646)</f>
        <v/>
      </c>
      <c r="D678" s="122">
        <f>IF(NOT(COUNTBLANK(업무일지!$B646:$AH646)&lt;33),"",TRIM(IF(업무일지!$B646="","시작일 누락; ","")&amp;IF(업무일지!$C646="","종료일 누락; ","")&amp;IF(AND(업무일지!$B646&lt;&gt;"",업무일지!$C646&lt;&gt;"",업무일지!$C646&lt;업무일지!$B646),"종료일이 시작일보다 빠름; ","")&amp;IF(COUNTIF(코드설정!$H$5:$H$7,업무일지!$D646)=0,"직무구분 누락; ","")&amp;IF(업무일지!$E646="","세부유형 누락; ",IF(AND(업무일지!$D646&lt;&gt;"",COUNTIFS(코드설정!$A$5:$A$21,업무일지!$D646,코드설정!$B$5:$B$21,업무일지!$E646)=0),"세부유형이 직무구분과 불일치; ",""))&amp;IF(AND(업무일지!$F646&lt;&gt;"",COUNTIF(사건마스터!$A$5:$A$64,업무일지!$F646)=0),"미등록 사건번호; ","")&amp;IF(AND(업무일지!$F646="",업무일지!$H646=""),"사건번호·업무명 모두 없음; ","")&amp;IF(업무일지!$J646="","담당자 없음; ","")&amp;IF(COUNTIF(코드설정!$F$5:$F$7,업무일지!$AG646)=0,"진행상태 누락; ","")))</f>
        <v/>
      </c>
    </row>
    <row r="679">
      <c r="A679" s="26" t="inlineStr">
        <is>
          <t>업무일지</t>
        </is>
      </c>
      <c r="B679" s="66" t="n">
        <v>647</v>
      </c>
      <c r="C679" s="122">
        <f>IF($D679="","",IFERROR(TEXT(업무일지!$B647,"yyyy-mm-dd"),"(날짜없음)")&amp;"  "&amp;업무일지!$F647&amp;"  "&amp;업무일지!$H647)</f>
        <v/>
      </c>
      <c r="D679" s="122">
        <f>IF(NOT(COUNTBLANK(업무일지!$B647:$AH647)&lt;33),"",TRIM(IF(업무일지!$B647="","시작일 누락; ","")&amp;IF(업무일지!$C647="","종료일 누락; ","")&amp;IF(AND(업무일지!$B647&lt;&gt;"",업무일지!$C647&lt;&gt;"",업무일지!$C647&lt;업무일지!$B647),"종료일이 시작일보다 빠름; ","")&amp;IF(COUNTIF(코드설정!$H$5:$H$7,업무일지!$D647)=0,"직무구분 누락; ","")&amp;IF(업무일지!$E647="","세부유형 누락; ",IF(AND(업무일지!$D647&lt;&gt;"",COUNTIFS(코드설정!$A$5:$A$21,업무일지!$D647,코드설정!$B$5:$B$21,업무일지!$E647)=0),"세부유형이 직무구분과 불일치; ",""))&amp;IF(AND(업무일지!$F647&lt;&gt;"",COUNTIF(사건마스터!$A$5:$A$64,업무일지!$F647)=0),"미등록 사건번호; ","")&amp;IF(AND(업무일지!$F647="",업무일지!$H647=""),"사건번호·업무명 모두 없음; ","")&amp;IF(업무일지!$J647="","담당자 없음; ","")&amp;IF(COUNTIF(코드설정!$F$5:$F$7,업무일지!$AG647)=0,"진행상태 누락; ","")))</f>
        <v/>
      </c>
    </row>
    <row r="680">
      <c r="A680" s="26" t="inlineStr">
        <is>
          <t>업무일지</t>
        </is>
      </c>
      <c r="B680" s="66" t="n">
        <v>648</v>
      </c>
      <c r="C680" s="122">
        <f>IF($D680="","",IFERROR(TEXT(업무일지!$B648,"yyyy-mm-dd"),"(날짜없음)")&amp;"  "&amp;업무일지!$F648&amp;"  "&amp;업무일지!$H648)</f>
        <v/>
      </c>
      <c r="D680" s="122">
        <f>IF(NOT(COUNTBLANK(업무일지!$B648:$AH648)&lt;33),"",TRIM(IF(업무일지!$B648="","시작일 누락; ","")&amp;IF(업무일지!$C648="","종료일 누락; ","")&amp;IF(AND(업무일지!$B648&lt;&gt;"",업무일지!$C648&lt;&gt;"",업무일지!$C648&lt;업무일지!$B648),"종료일이 시작일보다 빠름; ","")&amp;IF(COUNTIF(코드설정!$H$5:$H$7,업무일지!$D648)=0,"직무구분 누락; ","")&amp;IF(업무일지!$E648="","세부유형 누락; ",IF(AND(업무일지!$D648&lt;&gt;"",COUNTIFS(코드설정!$A$5:$A$21,업무일지!$D648,코드설정!$B$5:$B$21,업무일지!$E648)=0),"세부유형이 직무구분과 불일치; ",""))&amp;IF(AND(업무일지!$F648&lt;&gt;"",COUNTIF(사건마스터!$A$5:$A$64,업무일지!$F648)=0),"미등록 사건번호; ","")&amp;IF(AND(업무일지!$F648="",업무일지!$H648=""),"사건번호·업무명 모두 없음; ","")&amp;IF(업무일지!$J648="","담당자 없음; ","")&amp;IF(COUNTIF(코드설정!$F$5:$F$7,업무일지!$AG648)=0,"진행상태 누락; ","")))</f>
        <v/>
      </c>
    </row>
    <row r="681">
      <c r="A681" s="26" t="inlineStr">
        <is>
          <t>업무일지</t>
        </is>
      </c>
      <c r="B681" s="66" t="n">
        <v>649</v>
      </c>
      <c r="C681" s="122">
        <f>IF($D681="","",IFERROR(TEXT(업무일지!$B649,"yyyy-mm-dd"),"(날짜없음)")&amp;"  "&amp;업무일지!$F649&amp;"  "&amp;업무일지!$H649)</f>
        <v/>
      </c>
      <c r="D681" s="122">
        <f>IF(NOT(COUNTBLANK(업무일지!$B649:$AH649)&lt;33),"",TRIM(IF(업무일지!$B649="","시작일 누락; ","")&amp;IF(업무일지!$C649="","종료일 누락; ","")&amp;IF(AND(업무일지!$B649&lt;&gt;"",업무일지!$C649&lt;&gt;"",업무일지!$C649&lt;업무일지!$B649),"종료일이 시작일보다 빠름; ","")&amp;IF(COUNTIF(코드설정!$H$5:$H$7,업무일지!$D649)=0,"직무구분 누락; ","")&amp;IF(업무일지!$E649="","세부유형 누락; ",IF(AND(업무일지!$D649&lt;&gt;"",COUNTIFS(코드설정!$A$5:$A$21,업무일지!$D649,코드설정!$B$5:$B$21,업무일지!$E649)=0),"세부유형이 직무구분과 불일치; ",""))&amp;IF(AND(업무일지!$F649&lt;&gt;"",COUNTIF(사건마스터!$A$5:$A$64,업무일지!$F649)=0),"미등록 사건번호; ","")&amp;IF(AND(업무일지!$F649="",업무일지!$H649=""),"사건번호·업무명 모두 없음; ","")&amp;IF(업무일지!$J649="","담당자 없음; ","")&amp;IF(COUNTIF(코드설정!$F$5:$F$7,업무일지!$AG649)=0,"진행상태 누락; ","")))</f>
        <v/>
      </c>
    </row>
    <row r="682">
      <c r="A682" s="26" t="inlineStr">
        <is>
          <t>업무일지</t>
        </is>
      </c>
      <c r="B682" s="66" t="n">
        <v>650</v>
      </c>
      <c r="C682" s="122">
        <f>IF($D682="","",IFERROR(TEXT(업무일지!$B650,"yyyy-mm-dd"),"(날짜없음)")&amp;"  "&amp;업무일지!$F650&amp;"  "&amp;업무일지!$H650)</f>
        <v/>
      </c>
      <c r="D682" s="122">
        <f>IF(NOT(COUNTBLANK(업무일지!$B650:$AH650)&lt;33),"",TRIM(IF(업무일지!$B650="","시작일 누락; ","")&amp;IF(업무일지!$C650="","종료일 누락; ","")&amp;IF(AND(업무일지!$B650&lt;&gt;"",업무일지!$C650&lt;&gt;"",업무일지!$C650&lt;업무일지!$B650),"종료일이 시작일보다 빠름; ","")&amp;IF(COUNTIF(코드설정!$H$5:$H$7,업무일지!$D650)=0,"직무구분 누락; ","")&amp;IF(업무일지!$E650="","세부유형 누락; ",IF(AND(업무일지!$D650&lt;&gt;"",COUNTIFS(코드설정!$A$5:$A$21,업무일지!$D650,코드설정!$B$5:$B$21,업무일지!$E650)=0),"세부유형이 직무구분과 불일치; ",""))&amp;IF(AND(업무일지!$F650&lt;&gt;"",COUNTIF(사건마스터!$A$5:$A$64,업무일지!$F650)=0),"미등록 사건번호; ","")&amp;IF(AND(업무일지!$F650="",업무일지!$H650=""),"사건번호·업무명 모두 없음; ","")&amp;IF(업무일지!$J650="","담당자 없음; ","")&amp;IF(COUNTIF(코드설정!$F$5:$F$7,업무일지!$AG650)=0,"진행상태 누락; ","")))</f>
        <v/>
      </c>
    </row>
    <row r="683">
      <c r="A683" s="26" t="inlineStr">
        <is>
          <t>업무일지</t>
        </is>
      </c>
      <c r="B683" s="66" t="n">
        <v>651</v>
      </c>
      <c r="C683" s="122">
        <f>IF($D683="","",IFERROR(TEXT(업무일지!$B651,"yyyy-mm-dd"),"(날짜없음)")&amp;"  "&amp;업무일지!$F651&amp;"  "&amp;업무일지!$H651)</f>
        <v/>
      </c>
      <c r="D683" s="122">
        <f>IF(NOT(COUNTBLANK(업무일지!$B651:$AH651)&lt;33),"",TRIM(IF(업무일지!$B651="","시작일 누락; ","")&amp;IF(업무일지!$C651="","종료일 누락; ","")&amp;IF(AND(업무일지!$B651&lt;&gt;"",업무일지!$C651&lt;&gt;"",업무일지!$C651&lt;업무일지!$B651),"종료일이 시작일보다 빠름; ","")&amp;IF(COUNTIF(코드설정!$H$5:$H$7,업무일지!$D651)=0,"직무구분 누락; ","")&amp;IF(업무일지!$E651="","세부유형 누락; ",IF(AND(업무일지!$D651&lt;&gt;"",COUNTIFS(코드설정!$A$5:$A$21,업무일지!$D651,코드설정!$B$5:$B$21,업무일지!$E651)=0),"세부유형이 직무구분과 불일치; ",""))&amp;IF(AND(업무일지!$F651&lt;&gt;"",COUNTIF(사건마스터!$A$5:$A$64,업무일지!$F651)=0),"미등록 사건번호; ","")&amp;IF(AND(업무일지!$F651="",업무일지!$H651=""),"사건번호·업무명 모두 없음; ","")&amp;IF(업무일지!$J651="","담당자 없음; ","")&amp;IF(COUNTIF(코드설정!$F$5:$F$7,업무일지!$AG651)=0,"진행상태 누락; ","")))</f>
        <v/>
      </c>
    </row>
    <row r="684">
      <c r="A684" s="26" t="inlineStr">
        <is>
          <t>업무일지</t>
        </is>
      </c>
      <c r="B684" s="66" t="n">
        <v>652</v>
      </c>
      <c r="C684" s="122">
        <f>IF($D684="","",IFERROR(TEXT(업무일지!$B652,"yyyy-mm-dd"),"(날짜없음)")&amp;"  "&amp;업무일지!$F652&amp;"  "&amp;업무일지!$H652)</f>
        <v/>
      </c>
      <c r="D684" s="122">
        <f>IF(NOT(COUNTBLANK(업무일지!$B652:$AH652)&lt;33),"",TRIM(IF(업무일지!$B652="","시작일 누락; ","")&amp;IF(업무일지!$C652="","종료일 누락; ","")&amp;IF(AND(업무일지!$B652&lt;&gt;"",업무일지!$C652&lt;&gt;"",업무일지!$C652&lt;업무일지!$B652),"종료일이 시작일보다 빠름; ","")&amp;IF(COUNTIF(코드설정!$H$5:$H$7,업무일지!$D652)=0,"직무구분 누락; ","")&amp;IF(업무일지!$E652="","세부유형 누락; ",IF(AND(업무일지!$D652&lt;&gt;"",COUNTIFS(코드설정!$A$5:$A$21,업무일지!$D652,코드설정!$B$5:$B$21,업무일지!$E652)=0),"세부유형이 직무구분과 불일치; ",""))&amp;IF(AND(업무일지!$F652&lt;&gt;"",COUNTIF(사건마스터!$A$5:$A$64,업무일지!$F652)=0),"미등록 사건번호; ","")&amp;IF(AND(업무일지!$F652="",업무일지!$H652=""),"사건번호·업무명 모두 없음; ","")&amp;IF(업무일지!$J652="","담당자 없음; ","")&amp;IF(COUNTIF(코드설정!$F$5:$F$7,업무일지!$AG652)=0,"진행상태 누락; ","")))</f>
        <v/>
      </c>
    </row>
    <row r="685">
      <c r="A685" s="26" t="inlineStr">
        <is>
          <t>업무일지</t>
        </is>
      </c>
      <c r="B685" s="66" t="n">
        <v>653</v>
      </c>
      <c r="C685" s="122">
        <f>IF($D685="","",IFERROR(TEXT(업무일지!$B653,"yyyy-mm-dd"),"(날짜없음)")&amp;"  "&amp;업무일지!$F653&amp;"  "&amp;업무일지!$H653)</f>
        <v/>
      </c>
      <c r="D685" s="122">
        <f>IF(NOT(COUNTBLANK(업무일지!$B653:$AH653)&lt;33),"",TRIM(IF(업무일지!$B653="","시작일 누락; ","")&amp;IF(업무일지!$C653="","종료일 누락; ","")&amp;IF(AND(업무일지!$B653&lt;&gt;"",업무일지!$C653&lt;&gt;"",업무일지!$C653&lt;업무일지!$B653),"종료일이 시작일보다 빠름; ","")&amp;IF(COUNTIF(코드설정!$H$5:$H$7,업무일지!$D653)=0,"직무구분 누락; ","")&amp;IF(업무일지!$E653="","세부유형 누락; ",IF(AND(업무일지!$D653&lt;&gt;"",COUNTIFS(코드설정!$A$5:$A$21,업무일지!$D653,코드설정!$B$5:$B$21,업무일지!$E653)=0),"세부유형이 직무구분과 불일치; ",""))&amp;IF(AND(업무일지!$F653&lt;&gt;"",COUNTIF(사건마스터!$A$5:$A$64,업무일지!$F653)=0),"미등록 사건번호; ","")&amp;IF(AND(업무일지!$F653="",업무일지!$H653=""),"사건번호·업무명 모두 없음; ","")&amp;IF(업무일지!$J653="","담당자 없음; ","")&amp;IF(COUNTIF(코드설정!$F$5:$F$7,업무일지!$AG653)=0,"진행상태 누락; ","")))</f>
        <v/>
      </c>
    </row>
    <row r="686">
      <c r="A686" s="26" t="inlineStr">
        <is>
          <t>업무일지</t>
        </is>
      </c>
      <c r="B686" s="66" t="n">
        <v>654</v>
      </c>
      <c r="C686" s="122">
        <f>IF($D686="","",IFERROR(TEXT(업무일지!$B654,"yyyy-mm-dd"),"(날짜없음)")&amp;"  "&amp;업무일지!$F654&amp;"  "&amp;업무일지!$H654)</f>
        <v/>
      </c>
      <c r="D686" s="122">
        <f>IF(NOT(COUNTBLANK(업무일지!$B654:$AH654)&lt;33),"",TRIM(IF(업무일지!$B654="","시작일 누락; ","")&amp;IF(업무일지!$C654="","종료일 누락; ","")&amp;IF(AND(업무일지!$B654&lt;&gt;"",업무일지!$C654&lt;&gt;"",업무일지!$C654&lt;업무일지!$B654),"종료일이 시작일보다 빠름; ","")&amp;IF(COUNTIF(코드설정!$H$5:$H$7,업무일지!$D654)=0,"직무구분 누락; ","")&amp;IF(업무일지!$E654="","세부유형 누락; ",IF(AND(업무일지!$D654&lt;&gt;"",COUNTIFS(코드설정!$A$5:$A$21,업무일지!$D654,코드설정!$B$5:$B$21,업무일지!$E654)=0),"세부유형이 직무구분과 불일치; ",""))&amp;IF(AND(업무일지!$F654&lt;&gt;"",COUNTIF(사건마스터!$A$5:$A$64,업무일지!$F654)=0),"미등록 사건번호; ","")&amp;IF(AND(업무일지!$F654="",업무일지!$H654=""),"사건번호·업무명 모두 없음; ","")&amp;IF(업무일지!$J654="","담당자 없음; ","")&amp;IF(COUNTIF(코드설정!$F$5:$F$7,업무일지!$AG654)=0,"진행상태 누락; ","")))</f>
        <v/>
      </c>
    </row>
    <row r="687">
      <c r="A687" s="26" t="inlineStr">
        <is>
          <t>업무일지</t>
        </is>
      </c>
      <c r="B687" s="66" t="n">
        <v>655</v>
      </c>
      <c r="C687" s="122">
        <f>IF($D687="","",IFERROR(TEXT(업무일지!$B655,"yyyy-mm-dd"),"(날짜없음)")&amp;"  "&amp;업무일지!$F655&amp;"  "&amp;업무일지!$H655)</f>
        <v/>
      </c>
      <c r="D687" s="122">
        <f>IF(NOT(COUNTBLANK(업무일지!$B655:$AH655)&lt;33),"",TRIM(IF(업무일지!$B655="","시작일 누락; ","")&amp;IF(업무일지!$C655="","종료일 누락; ","")&amp;IF(AND(업무일지!$B655&lt;&gt;"",업무일지!$C655&lt;&gt;"",업무일지!$C655&lt;업무일지!$B655),"종료일이 시작일보다 빠름; ","")&amp;IF(COUNTIF(코드설정!$H$5:$H$7,업무일지!$D655)=0,"직무구분 누락; ","")&amp;IF(업무일지!$E655="","세부유형 누락; ",IF(AND(업무일지!$D655&lt;&gt;"",COUNTIFS(코드설정!$A$5:$A$21,업무일지!$D655,코드설정!$B$5:$B$21,업무일지!$E655)=0),"세부유형이 직무구분과 불일치; ",""))&amp;IF(AND(업무일지!$F655&lt;&gt;"",COUNTIF(사건마스터!$A$5:$A$64,업무일지!$F655)=0),"미등록 사건번호; ","")&amp;IF(AND(업무일지!$F655="",업무일지!$H655=""),"사건번호·업무명 모두 없음; ","")&amp;IF(업무일지!$J655="","담당자 없음; ","")&amp;IF(COUNTIF(코드설정!$F$5:$F$7,업무일지!$AG655)=0,"진행상태 누락; ","")))</f>
        <v/>
      </c>
    </row>
    <row r="688">
      <c r="A688" s="26" t="inlineStr">
        <is>
          <t>업무일지</t>
        </is>
      </c>
      <c r="B688" s="66" t="n">
        <v>656</v>
      </c>
      <c r="C688" s="122">
        <f>IF($D688="","",IFERROR(TEXT(업무일지!$B656,"yyyy-mm-dd"),"(날짜없음)")&amp;"  "&amp;업무일지!$F656&amp;"  "&amp;업무일지!$H656)</f>
        <v/>
      </c>
      <c r="D688" s="122">
        <f>IF(NOT(COUNTBLANK(업무일지!$B656:$AH656)&lt;33),"",TRIM(IF(업무일지!$B656="","시작일 누락; ","")&amp;IF(업무일지!$C656="","종료일 누락; ","")&amp;IF(AND(업무일지!$B656&lt;&gt;"",업무일지!$C656&lt;&gt;"",업무일지!$C656&lt;업무일지!$B656),"종료일이 시작일보다 빠름; ","")&amp;IF(COUNTIF(코드설정!$H$5:$H$7,업무일지!$D656)=0,"직무구분 누락; ","")&amp;IF(업무일지!$E656="","세부유형 누락; ",IF(AND(업무일지!$D656&lt;&gt;"",COUNTIFS(코드설정!$A$5:$A$21,업무일지!$D656,코드설정!$B$5:$B$21,업무일지!$E656)=0),"세부유형이 직무구분과 불일치; ",""))&amp;IF(AND(업무일지!$F656&lt;&gt;"",COUNTIF(사건마스터!$A$5:$A$64,업무일지!$F656)=0),"미등록 사건번호; ","")&amp;IF(AND(업무일지!$F656="",업무일지!$H656=""),"사건번호·업무명 모두 없음; ","")&amp;IF(업무일지!$J656="","담당자 없음; ","")&amp;IF(COUNTIF(코드설정!$F$5:$F$7,업무일지!$AG656)=0,"진행상태 누락; ","")))</f>
        <v/>
      </c>
    </row>
    <row r="689">
      <c r="A689" s="26" t="inlineStr">
        <is>
          <t>업무일지</t>
        </is>
      </c>
      <c r="B689" s="66" t="n">
        <v>657</v>
      </c>
      <c r="C689" s="122">
        <f>IF($D689="","",IFERROR(TEXT(업무일지!$B657,"yyyy-mm-dd"),"(날짜없음)")&amp;"  "&amp;업무일지!$F657&amp;"  "&amp;업무일지!$H657)</f>
        <v/>
      </c>
      <c r="D689" s="122">
        <f>IF(NOT(COUNTBLANK(업무일지!$B657:$AH657)&lt;33),"",TRIM(IF(업무일지!$B657="","시작일 누락; ","")&amp;IF(업무일지!$C657="","종료일 누락; ","")&amp;IF(AND(업무일지!$B657&lt;&gt;"",업무일지!$C657&lt;&gt;"",업무일지!$C657&lt;업무일지!$B657),"종료일이 시작일보다 빠름; ","")&amp;IF(COUNTIF(코드설정!$H$5:$H$7,업무일지!$D657)=0,"직무구분 누락; ","")&amp;IF(업무일지!$E657="","세부유형 누락; ",IF(AND(업무일지!$D657&lt;&gt;"",COUNTIFS(코드설정!$A$5:$A$21,업무일지!$D657,코드설정!$B$5:$B$21,업무일지!$E657)=0),"세부유형이 직무구분과 불일치; ",""))&amp;IF(AND(업무일지!$F657&lt;&gt;"",COUNTIF(사건마스터!$A$5:$A$64,업무일지!$F657)=0),"미등록 사건번호; ","")&amp;IF(AND(업무일지!$F657="",업무일지!$H657=""),"사건번호·업무명 모두 없음; ","")&amp;IF(업무일지!$J657="","담당자 없음; ","")&amp;IF(COUNTIF(코드설정!$F$5:$F$7,업무일지!$AG657)=0,"진행상태 누락; ","")))</f>
        <v/>
      </c>
    </row>
    <row r="690">
      <c r="A690" s="26" t="inlineStr">
        <is>
          <t>업무일지</t>
        </is>
      </c>
      <c r="B690" s="66" t="n">
        <v>658</v>
      </c>
      <c r="C690" s="122">
        <f>IF($D690="","",IFERROR(TEXT(업무일지!$B658,"yyyy-mm-dd"),"(날짜없음)")&amp;"  "&amp;업무일지!$F658&amp;"  "&amp;업무일지!$H658)</f>
        <v/>
      </c>
      <c r="D690" s="122">
        <f>IF(NOT(COUNTBLANK(업무일지!$B658:$AH658)&lt;33),"",TRIM(IF(업무일지!$B658="","시작일 누락; ","")&amp;IF(업무일지!$C658="","종료일 누락; ","")&amp;IF(AND(업무일지!$B658&lt;&gt;"",업무일지!$C658&lt;&gt;"",업무일지!$C658&lt;업무일지!$B658),"종료일이 시작일보다 빠름; ","")&amp;IF(COUNTIF(코드설정!$H$5:$H$7,업무일지!$D658)=0,"직무구분 누락; ","")&amp;IF(업무일지!$E658="","세부유형 누락; ",IF(AND(업무일지!$D658&lt;&gt;"",COUNTIFS(코드설정!$A$5:$A$21,업무일지!$D658,코드설정!$B$5:$B$21,업무일지!$E658)=0),"세부유형이 직무구분과 불일치; ",""))&amp;IF(AND(업무일지!$F658&lt;&gt;"",COUNTIF(사건마스터!$A$5:$A$64,업무일지!$F658)=0),"미등록 사건번호; ","")&amp;IF(AND(업무일지!$F658="",업무일지!$H658=""),"사건번호·업무명 모두 없음; ","")&amp;IF(업무일지!$J658="","담당자 없음; ","")&amp;IF(COUNTIF(코드설정!$F$5:$F$7,업무일지!$AG658)=0,"진행상태 누락; ","")))</f>
        <v/>
      </c>
    </row>
    <row r="691">
      <c r="A691" s="26" t="inlineStr">
        <is>
          <t>업무일지</t>
        </is>
      </c>
      <c r="B691" s="66" t="n">
        <v>659</v>
      </c>
      <c r="C691" s="122">
        <f>IF($D691="","",IFERROR(TEXT(업무일지!$B659,"yyyy-mm-dd"),"(날짜없음)")&amp;"  "&amp;업무일지!$F659&amp;"  "&amp;업무일지!$H659)</f>
        <v/>
      </c>
      <c r="D691" s="122">
        <f>IF(NOT(COUNTBLANK(업무일지!$B659:$AH659)&lt;33),"",TRIM(IF(업무일지!$B659="","시작일 누락; ","")&amp;IF(업무일지!$C659="","종료일 누락; ","")&amp;IF(AND(업무일지!$B659&lt;&gt;"",업무일지!$C659&lt;&gt;"",업무일지!$C659&lt;업무일지!$B659),"종료일이 시작일보다 빠름; ","")&amp;IF(COUNTIF(코드설정!$H$5:$H$7,업무일지!$D659)=0,"직무구분 누락; ","")&amp;IF(업무일지!$E659="","세부유형 누락; ",IF(AND(업무일지!$D659&lt;&gt;"",COUNTIFS(코드설정!$A$5:$A$21,업무일지!$D659,코드설정!$B$5:$B$21,업무일지!$E659)=0),"세부유형이 직무구분과 불일치; ",""))&amp;IF(AND(업무일지!$F659&lt;&gt;"",COUNTIF(사건마스터!$A$5:$A$64,업무일지!$F659)=0),"미등록 사건번호; ","")&amp;IF(AND(업무일지!$F659="",업무일지!$H659=""),"사건번호·업무명 모두 없음; ","")&amp;IF(업무일지!$J659="","담당자 없음; ","")&amp;IF(COUNTIF(코드설정!$F$5:$F$7,업무일지!$AG659)=0,"진행상태 누락; ","")))</f>
        <v/>
      </c>
    </row>
    <row r="692">
      <c r="A692" s="26" t="inlineStr">
        <is>
          <t>업무일지</t>
        </is>
      </c>
      <c r="B692" s="66" t="n">
        <v>660</v>
      </c>
      <c r="C692" s="122">
        <f>IF($D692="","",IFERROR(TEXT(업무일지!$B660,"yyyy-mm-dd"),"(날짜없음)")&amp;"  "&amp;업무일지!$F660&amp;"  "&amp;업무일지!$H660)</f>
        <v/>
      </c>
      <c r="D692" s="122">
        <f>IF(NOT(COUNTBLANK(업무일지!$B660:$AH660)&lt;33),"",TRIM(IF(업무일지!$B660="","시작일 누락; ","")&amp;IF(업무일지!$C660="","종료일 누락; ","")&amp;IF(AND(업무일지!$B660&lt;&gt;"",업무일지!$C660&lt;&gt;"",업무일지!$C660&lt;업무일지!$B660),"종료일이 시작일보다 빠름; ","")&amp;IF(COUNTIF(코드설정!$H$5:$H$7,업무일지!$D660)=0,"직무구분 누락; ","")&amp;IF(업무일지!$E660="","세부유형 누락; ",IF(AND(업무일지!$D660&lt;&gt;"",COUNTIFS(코드설정!$A$5:$A$21,업무일지!$D660,코드설정!$B$5:$B$21,업무일지!$E660)=0),"세부유형이 직무구분과 불일치; ",""))&amp;IF(AND(업무일지!$F660&lt;&gt;"",COUNTIF(사건마스터!$A$5:$A$64,업무일지!$F660)=0),"미등록 사건번호; ","")&amp;IF(AND(업무일지!$F660="",업무일지!$H660=""),"사건번호·업무명 모두 없음; ","")&amp;IF(업무일지!$J660="","담당자 없음; ","")&amp;IF(COUNTIF(코드설정!$F$5:$F$7,업무일지!$AG660)=0,"진행상태 누락; ","")))</f>
        <v/>
      </c>
    </row>
    <row r="693">
      <c r="A693" s="26" t="inlineStr">
        <is>
          <t>업무일지</t>
        </is>
      </c>
      <c r="B693" s="66" t="n">
        <v>661</v>
      </c>
      <c r="C693" s="122">
        <f>IF($D693="","",IFERROR(TEXT(업무일지!$B661,"yyyy-mm-dd"),"(날짜없음)")&amp;"  "&amp;업무일지!$F661&amp;"  "&amp;업무일지!$H661)</f>
        <v/>
      </c>
      <c r="D693" s="122">
        <f>IF(NOT(COUNTBLANK(업무일지!$B661:$AH661)&lt;33),"",TRIM(IF(업무일지!$B661="","시작일 누락; ","")&amp;IF(업무일지!$C661="","종료일 누락; ","")&amp;IF(AND(업무일지!$B661&lt;&gt;"",업무일지!$C661&lt;&gt;"",업무일지!$C661&lt;업무일지!$B661),"종료일이 시작일보다 빠름; ","")&amp;IF(COUNTIF(코드설정!$H$5:$H$7,업무일지!$D661)=0,"직무구분 누락; ","")&amp;IF(업무일지!$E661="","세부유형 누락; ",IF(AND(업무일지!$D661&lt;&gt;"",COUNTIFS(코드설정!$A$5:$A$21,업무일지!$D661,코드설정!$B$5:$B$21,업무일지!$E661)=0),"세부유형이 직무구분과 불일치; ",""))&amp;IF(AND(업무일지!$F661&lt;&gt;"",COUNTIF(사건마스터!$A$5:$A$64,업무일지!$F661)=0),"미등록 사건번호; ","")&amp;IF(AND(업무일지!$F661="",업무일지!$H661=""),"사건번호·업무명 모두 없음; ","")&amp;IF(업무일지!$J661="","담당자 없음; ","")&amp;IF(COUNTIF(코드설정!$F$5:$F$7,업무일지!$AG661)=0,"진행상태 누락; ","")))</f>
        <v/>
      </c>
    </row>
    <row r="694">
      <c r="A694" s="26" t="inlineStr">
        <is>
          <t>업무일지</t>
        </is>
      </c>
      <c r="B694" s="66" t="n">
        <v>662</v>
      </c>
      <c r="C694" s="122">
        <f>IF($D694="","",IFERROR(TEXT(업무일지!$B662,"yyyy-mm-dd"),"(날짜없음)")&amp;"  "&amp;업무일지!$F662&amp;"  "&amp;업무일지!$H662)</f>
        <v/>
      </c>
      <c r="D694" s="122">
        <f>IF(NOT(COUNTBLANK(업무일지!$B662:$AH662)&lt;33),"",TRIM(IF(업무일지!$B662="","시작일 누락; ","")&amp;IF(업무일지!$C662="","종료일 누락; ","")&amp;IF(AND(업무일지!$B662&lt;&gt;"",업무일지!$C662&lt;&gt;"",업무일지!$C662&lt;업무일지!$B662),"종료일이 시작일보다 빠름; ","")&amp;IF(COUNTIF(코드설정!$H$5:$H$7,업무일지!$D662)=0,"직무구분 누락; ","")&amp;IF(업무일지!$E662="","세부유형 누락; ",IF(AND(업무일지!$D662&lt;&gt;"",COUNTIFS(코드설정!$A$5:$A$21,업무일지!$D662,코드설정!$B$5:$B$21,업무일지!$E662)=0),"세부유형이 직무구분과 불일치; ",""))&amp;IF(AND(업무일지!$F662&lt;&gt;"",COUNTIF(사건마스터!$A$5:$A$64,업무일지!$F662)=0),"미등록 사건번호; ","")&amp;IF(AND(업무일지!$F662="",업무일지!$H662=""),"사건번호·업무명 모두 없음; ","")&amp;IF(업무일지!$J662="","담당자 없음; ","")&amp;IF(COUNTIF(코드설정!$F$5:$F$7,업무일지!$AG662)=0,"진행상태 누락; ","")))</f>
        <v/>
      </c>
    </row>
    <row r="695">
      <c r="A695" s="26" t="inlineStr">
        <is>
          <t>업무일지</t>
        </is>
      </c>
      <c r="B695" s="66" t="n">
        <v>663</v>
      </c>
      <c r="C695" s="122">
        <f>IF($D695="","",IFERROR(TEXT(업무일지!$B663,"yyyy-mm-dd"),"(날짜없음)")&amp;"  "&amp;업무일지!$F663&amp;"  "&amp;업무일지!$H663)</f>
        <v/>
      </c>
      <c r="D695" s="122">
        <f>IF(NOT(COUNTBLANK(업무일지!$B663:$AH663)&lt;33),"",TRIM(IF(업무일지!$B663="","시작일 누락; ","")&amp;IF(업무일지!$C663="","종료일 누락; ","")&amp;IF(AND(업무일지!$B663&lt;&gt;"",업무일지!$C663&lt;&gt;"",업무일지!$C663&lt;업무일지!$B663),"종료일이 시작일보다 빠름; ","")&amp;IF(COUNTIF(코드설정!$H$5:$H$7,업무일지!$D663)=0,"직무구분 누락; ","")&amp;IF(업무일지!$E663="","세부유형 누락; ",IF(AND(업무일지!$D663&lt;&gt;"",COUNTIFS(코드설정!$A$5:$A$21,업무일지!$D663,코드설정!$B$5:$B$21,업무일지!$E663)=0),"세부유형이 직무구분과 불일치; ",""))&amp;IF(AND(업무일지!$F663&lt;&gt;"",COUNTIF(사건마스터!$A$5:$A$64,업무일지!$F663)=0),"미등록 사건번호; ","")&amp;IF(AND(업무일지!$F663="",업무일지!$H663=""),"사건번호·업무명 모두 없음; ","")&amp;IF(업무일지!$J663="","담당자 없음; ","")&amp;IF(COUNTIF(코드설정!$F$5:$F$7,업무일지!$AG663)=0,"진행상태 누락; ","")))</f>
        <v/>
      </c>
    </row>
    <row r="696">
      <c r="A696" s="26" t="inlineStr">
        <is>
          <t>업무일지</t>
        </is>
      </c>
      <c r="B696" s="66" t="n">
        <v>664</v>
      </c>
      <c r="C696" s="122">
        <f>IF($D696="","",IFERROR(TEXT(업무일지!$B664,"yyyy-mm-dd"),"(날짜없음)")&amp;"  "&amp;업무일지!$F664&amp;"  "&amp;업무일지!$H664)</f>
        <v/>
      </c>
      <c r="D696" s="122">
        <f>IF(NOT(COUNTBLANK(업무일지!$B664:$AH664)&lt;33),"",TRIM(IF(업무일지!$B664="","시작일 누락; ","")&amp;IF(업무일지!$C664="","종료일 누락; ","")&amp;IF(AND(업무일지!$B664&lt;&gt;"",업무일지!$C664&lt;&gt;"",업무일지!$C664&lt;업무일지!$B664),"종료일이 시작일보다 빠름; ","")&amp;IF(COUNTIF(코드설정!$H$5:$H$7,업무일지!$D664)=0,"직무구분 누락; ","")&amp;IF(업무일지!$E664="","세부유형 누락; ",IF(AND(업무일지!$D664&lt;&gt;"",COUNTIFS(코드설정!$A$5:$A$21,업무일지!$D664,코드설정!$B$5:$B$21,업무일지!$E664)=0),"세부유형이 직무구분과 불일치; ",""))&amp;IF(AND(업무일지!$F664&lt;&gt;"",COUNTIF(사건마스터!$A$5:$A$64,업무일지!$F664)=0),"미등록 사건번호; ","")&amp;IF(AND(업무일지!$F664="",업무일지!$H664=""),"사건번호·업무명 모두 없음; ","")&amp;IF(업무일지!$J664="","담당자 없음; ","")&amp;IF(COUNTIF(코드설정!$F$5:$F$7,업무일지!$AG664)=0,"진행상태 누락; ","")))</f>
        <v/>
      </c>
    </row>
    <row r="697">
      <c r="A697" s="26" t="inlineStr">
        <is>
          <t>업무일지</t>
        </is>
      </c>
      <c r="B697" s="66" t="n">
        <v>665</v>
      </c>
      <c r="C697" s="122">
        <f>IF($D697="","",IFERROR(TEXT(업무일지!$B665,"yyyy-mm-dd"),"(날짜없음)")&amp;"  "&amp;업무일지!$F665&amp;"  "&amp;업무일지!$H665)</f>
        <v/>
      </c>
      <c r="D697" s="122">
        <f>IF(NOT(COUNTBLANK(업무일지!$B665:$AH665)&lt;33),"",TRIM(IF(업무일지!$B665="","시작일 누락; ","")&amp;IF(업무일지!$C665="","종료일 누락; ","")&amp;IF(AND(업무일지!$B665&lt;&gt;"",업무일지!$C665&lt;&gt;"",업무일지!$C665&lt;업무일지!$B665),"종료일이 시작일보다 빠름; ","")&amp;IF(COUNTIF(코드설정!$H$5:$H$7,업무일지!$D665)=0,"직무구분 누락; ","")&amp;IF(업무일지!$E665="","세부유형 누락; ",IF(AND(업무일지!$D665&lt;&gt;"",COUNTIFS(코드설정!$A$5:$A$21,업무일지!$D665,코드설정!$B$5:$B$21,업무일지!$E665)=0),"세부유형이 직무구분과 불일치; ",""))&amp;IF(AND(업무일지!$F665&lt;&gt;"",COUNTIF(사건마스터!$A$5:$A$64,업무일지!$F665)=0),"미등록 사건번호; ","")&amp;IF(AND(업무일지!$F665="",업무일지!$H665=""),"사건번호·업무명 모두 없음; ","")&amp;IF(업무일지!$J665="","담당자 없음; ","")&amp;IF(COUNTIF(코드설정!$F$5:$F$7,업무일지!$AG665)=0,"진행상태 누락; ","")))</f>
        <v/>
      </c>
    </row>
    <row r="698">
      <c r="A698" s="26" t="inlineStr">
        <is>
          <t>업무일지</t>
        </is>
      </c>
      <c r="B698" s="66" t="n">
        <v>666</v>
      </c>
      <c r="C698" s="122">
        <f>IF($D698="","",IFERROR(TEXT(업무일지!$B666,"yyyy-mm-dd"),"(날짜없음)")&amp;"  "&amp;업무일지!$F666&amp;"  "&amp;업무일지!$H666)</f>
        <v/>
      </c>
      <c r="D698" s="122">
        <f>IF(NOT(COUNTBLANK(업무일지!$B666:$AH666)&lt;33),"",TRIM(IF(업무일지!$B666="","시작일 누락; ","")&amp;IF(업무일지!$C666="","종료일 누락; ","")&amp;IF(AND(업무일지!$B666&lt;&gt;"",업무일지!$C666&lt;&gt;"",업무일지!$C666&lt;업무일지!$B666),"종료일이 시작일보다 빠름; ","")&amp;IF(COUNTIF(코드설정!$H$5:$H$7,업무일지!$D666)=0,"직무구분 누락; ","")&amp;IF(업무일지!$E666="","세부유형 누락; ",IF(AND(업무일지!$D666&lt;&gt;"",COUNTIFS(코드설정!$A$5:$A$21,업무일지!$D666,코드설정!$B$5:$B$21,업무일지!$E666)=0),"세부유형이 직무구분과 불일치; ",""))&amp;IF(AND(업무일지!$F666&lt;&gt;"",COUNTIF(사건마스터!$A$5:$A$64,업무일지!$F666)=0),"미등록 사건번호; ","")&amp;IF(AND(업무일지!$F666="",업무일지!$H666=""),"사건번호·업무명 모두 없음; ","")&amp;IF(업무일지!$J666="","담당자 없음; ","")&amp;IF(COUNTIF(코드설정!$F$5:$F$7,업무일지!$AG666)=0,"진행상태 누락; ","")))</f>
        <v/>
      </c>
    </row>
    <row r="699">
      <c r="A699" s="26" t="inlineStr">
        <is>
          <t>업무일지</t>
        </is>
      </c>
      <c r="B699" s="66" t="n">
        <v>667</v>
      </c>
      <c r="C699" s="122">
        <f>IF($D699="","",IFERROR(TEXT(업무일지!$B667,"yyyy-mm-dd"),"(날짜없음)")&amp;"  "&amp;업무일지!$F667&amp;"  "&amp;업무일지!$H667)</f>
        <v/>
      </c>
      <c r="D699" s="122">
        <f>IF(NOT(COUNTBLANK(업무일지!$B667:$AH667)&lt;33),"",TRIM(IF(업무일지!$B667="","시작일 누락; ","")&amp;IF(업무일지!$C667="","종료일 누락; ","")&amp;IF(AND(업무일지!$B667&lt;&gt;"",업무일지!$C667&lt;&gt;"",업무일지!$C667&lt;업무일지!$B667),"종료일이 시작일보다 빠름; ","")&amp;IF(COUNTIF(코드설정!$H$5:$H$7,업무일지!$D667)=0,"직무구분 누락; ","")&amp;IF(업무일지!$E667="","세부유형 누락; ",IF(AND(업무일지!$D667&lt;&gt;"",COUNTIFS(코드설정!$A$5:$A$21,업무일지!$D667,코드설정!$B$5:$B$21,업무일지!$E667)=0),"세부유형이 직무구분과 불일치; ",""))&amp;IF(AND(업무일지!$F667&lt;&gt;"",COUNTIF(사건마스터!$A$5:$A$64,업무일지!$F667)=0),"미등록 사건번호; ","")&amp;IF(AND(업무일지!$F667="",업무일지!$H667=""),"사건번호·업무명 모두 없음; ","")&amp;IF(업무일지!$J667="","담당자 없음; ","")&amp;IF(COUNTIF(코드설정!$F$5:$F$7,업무일지!$AG667)=0,"진행상태 누락; ","")))</f>
        <v/>
      </c>
    </row>
    <row r="700">
      <c r="A700" s="26" t="inlineStr">
        <is>
          <t>업무일지</t>
        </is>
      </c>
      <c r="B700" s="66" t="n">
        <v>668</v>
      </c>
      <c r="C700" s="122">
        <f>IF($D700="","",IFERROR(TEXT(업무일지!$B668,"yyyy-mm-dd"),"(날짜없음)")&amp;"  "&amp;업무일지!$F668&amp;"  "&amp;업무일지!$H668)</f>
        <v/>
      </c>
      <c r="D700" s="122">
        <f>IF(NOT(COUNTBLANK(업무일지!$B668:$AH668)&lt;33),"",TRIM(IF(업무일지!$B668="","시작일 누락; ","")&amp;IF(업무일지!$C668="","종료일 누락; ","")&amp;IF(AND(업무일지!$B668&lt;&gt;"",업무일지!$C668&lt;&gt;"",업무일지!$C668&lt;업무일지!$B668),"종료일이 시작일보다 빠름; ","")&amp;IF(COUNTIF(코드설정!$H$5:$H$7,업무일지!$D668)=0,"직무구분 누락; ","")&amp;IF(업무일지!$E668="","세부유형 누락; ",IF(AND(업무일지!$D668&lt;&gt;"",COUNTIFS(코드설정!$A$5:$A$21,업무일지!$D668,코드설정!$B$5:$B$21,업무일지!$E668)=0),"세부유형이 직무구분과 불일치; ",""))&amp;IF(AND(업무일지!$F668&lt;&gt;"",COUNTIF(사건마스터!$A$5:$A$64,업무일지!$F668)=0),"미등록 사건번호; ","")&amp;IF(AND(업무일지!$F668="",업무일지!$H668=""),"사건번호·업무명 모두 없음; ","")&amp;IF(업무일지!$J668="","담당자 없음; ","")&amp;IF(COUNTIF(코드설정!$F$5:$F$7,업무일지!$AG668)=0,"진행상태 누락; ","")))</f>
        <v/>
      </c>
    </row>
    <row r="701">
      <c r="A701" s="26" t="inlineStr">
        <is>
          <t>업무일지</t>
        </is>
      </c>
      <c r="B701" s="66" t="n">
        <v>669</v>
      </c>
      <c r="C701" s="122">
        <f>IF($D701="","",IFERROR(TEXT(업무일지!$B669,"yyyy-mm-dd"),"(날짜없음)")&amp;"  "&amp;업무일지!$F669&amp;"  "&amp;업무일지!$H669)</f>
        <v/>
      </c>
      <c r="D701" s="122">
        <f>IF(NOT(COUNTBLANK(업무일지!$B669:$AH669)&lt;33),"",TRIM(IF(업무일지!$B669="","시작일 누락; ","")&amp;IF(업무일지!$C669="","종료일 누락; ","")&amp;IF(AND(업무일지!$B669&lt;&gt;"",업무일지!$C669&lt;&gt;"",업무일지!$C669&lt;업무일지!$B669),"종료일이 시작일보다 빠름; ","")&amp;IF(COUNTIF(코드설정!$H$5:$H$7,업무일지!$D669)=0,"직무구분 누락; ","")&amp;IF(업무일지!$E669="","세부유형 누락; ",IF(AND(업무일지!$D669&lt;&gt;"",COUNTIFS(코드설정!$A$5:$A$21,업무일지!$D669,코드설정!$B$5:$B$21,업무일지!$E669)=0),"세부유형이 직무구분과 불일치; ",""))&amp;IF(AND(업무일지!$F669&lt;&gt;"",COUNTIF(사건마스터!$A$5:$A$64,업무일지!$F669)=0),"미등록 사건번호; ","")&amp;IF(AND(업무일지!$F669="",업무일지!$H669=""),"사건번호·업무명 모두 없음; ","")&amp;IF(업무일지!$J669="","담당자 없음; ","")&amp;IF(COUNTIF(코드설정!$F$5:$F$7,업무일지!$AG669)=0,"진행상태 누락; ","")))</f>
        <v/>
      </c>
    </row>
    <row r="702">
      <c r="A702" s="26" t="inlineStr">
        <is>
          <t>업무일지</t>
        </is>
      </c>
      <c r="B702" s="66" t="n">
        <v>670</v>
      </c>
      <c r="C702" s="122">
        <f>IF($D702="","",IFERROR(TEXT(업무일지!$B670,"yyyy-mm-dd"),"(날짜없음)")&amp;"  "&amp;업무일지!$F670&amp;"  "&amp;업무일지!$H670)</f>
        <v/>
      </c>
      <c r="D702" s="122">
        <f>IF(NOT(COUNTBLANK(업무일지!$B670:$AH670)&lt;33),"",TRIM(IF(업무일지!$B670="","시작일 누락; ","")&amp;IF(업무일지!$C670="","종료일 누락; ","")&amp;IF(AND(업무일지!$B670&lt;&gt;"",업무일지!$C670&lt;&gt;"",업무일지!$C670&lt;업무일지!$B670),"종료일이 시작일보다 빠름; ","")&amp;IF(COUNTIF(코드설정!$H$5:$H$7,업무일지!$D670)=0,"직무구분 누락; ","")&amp;IF(업무일지!$E670="","세부유형 누락; ",IF(AND(업무일지!$D670&lt;&gt;"",COUNTIFS(코드설정!$A$5:$A$21,업무일지!$D670,코드설정!$B$5:$B$21,업무일지!$E670)=0),"세부유형이 직무구분과 불일치; ",""))&amp;IF(AND(업무일지!$F670&lt;&gt;"",COUNTIF(사건마스터!$A$5:$A$64,업무일지!$F670)=0),"미등록 사건번호; ","")&amp;IF(AND(업무일지!$F670="",업무일지!$H670=""),"사건번호·업무명 모두 없음; ","")&amp;IF(업무일지!$J670="","담당자 없음; ","")&amp;IF(COUNTIF(코드설정!$F$5:$F$7,업무일지!$AG670)=0,"진행상태 누락; ","")))</f>
        <v/>
      </c>
    </row>
    <row r="703">
      <c r="A703" s="26" t="inlineStr">
        <is>
          <t>업무일지</t>
        </is>
      </c>
      <c r="B703" s="66" t="n">
        <v>671</v>
      </c>
      <c r="C703" s="122">
        <f>IF($D703="","",IFERROR(TEXT(업무일지!$B671,"yyyy-mm-dd"),"(날짜없음)")&amp;"  "&amp;업무일지!$F671&amp;"  "&amp;업무일지!$H671)</f>
        <v/>
      </c>
      <c r="D703" s="122">
        <f>IF(NOT(COUNTBLANK(업무일지!$B671:$AH671)&lt;33),"",TRIM(IF(업무일지!$B671="","시작일 누락; ","")&amp;IF(업무일지!$C671="","종료일 누락; ","")&amp;IF(AND(업무일지!$B671&lt;&gt;"",업무일지!$C671&lt;&gt;"",업무일지!$C671&lt;업무일지!$B671),"종료일이 시작일보다 빠름; ","")&amp;IF(COUNTIF(코드설정!$H$5:$H$7,업무일지!$D671)=0,"직무구분 누락; ","")&amp;IF(업무일지!$E671="","세부유형 누락; ",IF(AND(업무일지!$D671&lt;&gt;"",COUNTIFS(코드설정!$A$5:$A$21,업무일지!$D671,코드설정!$B$5:$B$21,업무일지!$E671)=0),"세부유형이 직무구분과 불일치; ",""))&amp;IF(AND(업무일지!$F671&lt;&gt;"",COUNTIF(사건마스터!$A$5:$A$64,업무일지!$F671)=0),"미등록 사건번호; ","")&amp;IF(AND(업무일지!$F671="",업무일지!$H671=""),"사건번호·업무명 모두 없음; ","")&amp;IF(업무일지!$J671="","담당자 없음; ","")&amp;IF(COUNTIF(코드설정!$F$5:$F$7,업무일지!$AG671)=0,"진행상태 누락; ","")))</f>
        <v/>
      </c>
    </row>
    <row r="704">
      <c r="A704" s="26" t="inlineStr">
        <is>
          <t>업무일지</t>
        </is>
      </c>
      <c r="B704" s="66" t="n">
        <v>672</v>
      </c>
      <c r="C704" s="122">
        <f>IF($D704="","",IFERROR(TEXT(업무일지!$B672,"yyyy-mm-dd"),"(날짜없음)")&amp;"  "&amp;업무일지!$F672&amp;"  "&amp;업무일지!$H672)</f>
        <v/>
      </c>
      <c r="D704" s="122">
        <f>IF(NOT(COUNTBLANK(업무일지!$B672:$AH672)&lt;33),"",TRIM(IF(업무일지!$B672="","시작일 누락; ","")&amp;IF(업무일지!$C672="","종료일 누락; ","")&amp;IF(AND(업무일지!$B672&lt;&gt;"",업무일지!$C672&lt;&gt;"",업무일지!$C672&lt;업무일지!$B672),"종료일이 시작일보다 빠름; ","")&amp;IF(COUNTIF(코드설정!$H$5:$H$7,업무일지!$D672)=0,"직무구분 누락; ","")&amp;IF(업무일지!$E672="","세부유형 누락; ",IF(AND(업무일지!$D672&lt;&gt;"",COUNTIFS(코드설정!$A$5:$A$21,업무일지!$D672,코드설정!$B$5:$B$21,업무일지!$E672)=0),"세부유형이 직무구분과 불일치; ",""))&amp;IF(AND(업무일지!$F672&lt;&gt;"",COUNTIF(사건마스터!$A$5:$A$64,업무일지!$F672)=0),"미등록 사건번호; ","")&amp;IF(AND(업무일지!$F672="",업무일지!$H672=""),"사건번호·업무명 모두 없음; ","")&amp;IF(업무일지!$J672="","담당자 없음; ","")&amp;IF(COUNTIF(코드설정!$F$5:$F$7,업무일지!$AG672)=0,"진행상태 누락; ","")))</f>
        <v/>
      </c>
    </row>
    <row r="705">
      <c r="A705" s="26" t="inlineStr">
        <is>
          <t>업무일지</t>
        </is>
      </c>
      <c r="B705" s="66" t="n">
        <v>673</v>
      </c>
      <c r="C705" s="122">
        <f>IF($D705="","",IFERROR(TEXT(업무일지!$B673,"yyyy-mm-dd"),"(날짜없음)")&amp;"  "&amp;업무일지!$F673&amp;"  "&amp;업무일지!$H673)</f>
        <v/>
      </c>
      <c r="D705" s="122">
        <f>IF(NOT(COUNTBLANK(업무일지!$B673:$AH673)&lt;33),"",TRIM(IF(업무일지!$B673="","시작일 누락; ","")&amp;IF(업무일지!$C673="","종료일 누락; ","")&amp;IF(AND(업무일지!$B673&lt;&gt;"",업무일지!$C673&lt;&gt;"",업무일지!$C673&lt;업무일지!$B673),"종료일이 시작일보다 빠름; ","")&amp;IF(COUNTIF(코드설정!$H$5:$H$7,업무일지!$D673)=0,"직무구분 누락; ","")&amp;IF(업무일지!$E673="","세부유형 누락; ",IF(AND(업무일지!$D673&lt;&gt;"",COUNTIFS(코드설정!$A$5:$A$21,업무일지!$D673,코드설정!$B$5:$B$21,업무일지!$E673)=0),"세부유형이 직무구분과 불일치; ",""))&amp;IF(AND(업무일지!$F673&lt;&gt;"",COUNTIF(사건마스터!$A$5:$A$64,업무일지!$F673)=0),"미등록 사건번호; ","")&amp;IF(AND(업무일지!$F673="",업무일지!$H673=""),"사건번호·업무명 모두 없음; ","")&amp;IF(업무일지!$J673="","담당자 없음; ","")&amp;IF(COUNTIF(코드설정!$F$5:$F$7,업무일지!$AG673)=0,"진행상태 누락; ","")))</f>
        <v/>
      </c>
    </row>
    <row r="706">
      <c r="A706" s="26" t="inlineStr">
        <is>
          <t>업무일지</t>
        </is>
      </c>
      <c r="B706" s="66" t="n">
        <v>674</v>
      </c>
      <c r="C706" s="122">
        <f>IF($D706="","",IFERROR(TEXT(업무일지!$B674,"yyyy-mm-dd"),"(날짜없음)")&amp;"  "&amp;업무일지!$F674&amp;"  "&amp;업무일지!$H674)</f>
        <v/>
      </c>
      <c r="D706" s="122">
        <f>IF(NOT(COUNTBLANK(업무일지!$B674:$AH674)&lt;33),"",TRIM(IF(업무일지!$B674="","시작일 누락; ","")&amp;IF(업무일지!$C674="","종료일 누락; ","")&amp;IF(AND(업무일지!$B674&lt;&gt;"",업무일지!$C674&lt;&gt;"",업무일지!$C674&lt;업무일지!$B674),"종료일이 시작일보다 빠름; ","")&amp;IF(COUNTIF(코드설정!$H$5:$H$7,업무일지!$D674)=0,"직무구분 누락; ","")&amp;IF(업무일지!$E674="","세부유형 누락; ",IF(AND(업무일지!$D674&lt;&gt;"",COUNTIFS(코드설정!$A$5:$A$21,업무일지!$D674,코드설정!$B$5:$B$21,업무일지!$E674)=0),"세부유형이 직무구분과 불일치; ",""))&amp;IF(AND(업무일지!$F674&lt;&gt;"",COUNTIF(사건마스터!$A$5:$A$64,업무일지!$F674)=0),"미등록 사건번호; ","")&amp;IF(AND(업무일지!$F674="",업무일지!$H674=""),"사건번호·업무명 모두 없음; ","")&amp;IF(업무일지!$J674="","담당자 없음; ","")&amp;IF(COUNTIF(코드설정!$F$5:$F$7,업무일지!$AG674)=0,"진행상태 누락; ","")))</f>
        <v/>
      </c>
    </row>
    <row r="707">
      <c r="A707" s="26" t="inlineStr">
        <is>
          <t>업무일지</t>
        </is>
      </c>
      <c r="B707" s="66" t="n">
        <v>675</v>
      </c>
      <c r="C707" s="122">
        <f>IF($D707="","",IFERROR(TEXT(업무일지!$B675,"yyyy-mm-dd"),"(날짜없음)")&amp;"  "&amp;업무일지!$F675&amp;"  "&amp;업무일지!$H675)</f>
        <v/>
      </c>
      <c r="D707" s="122">
        <f>IF(NOT(COUNTBLANK(업무일지!$B675:$AH675)&lt;33),"",TRIM(IF(업무일지!$B675="","시작일 누락; ","")&amp;IF(업무일지!$C675="","종료일 누락; ","")&amp;IF(AND(업무일지!$B675&lt;&gt;"",업무일지!$C675&lt;&gt;"",업무일지!$C675&lt;업무일지!$B675),"종료일이 시작일보다 빠름; ","")&amp;IF(COUNTIF(코드설정!$H$5:$H$7,업무일지!$D675)=0,"직무구분 누락; ","")&amp;IF(업무일지!$E675="","세부유형 누락; ",IF(AND(업무일지!$D675&lt;&gt;"",COUNTIFS(코드설정!$A$5:$A$21,업무일지!$D675,코드설정!$B$5:$B$21,업무일지!$E675)=0),"세부유형이 직무구분과 불일치; ",""))&amp;IF(AND(업무일지!$F675&lt;&gt;"",COUNTIF(사건마스터!$A$5:$A$64,업무일지!$F675)=0),"미등록 사건번호; ","")&amp;IF(AND(업무일지!$F675="",업무일지!$H675=""),"사건번호·업무명 모두 없음; ","")&amp;IF(업무일지!$J675="","담당자 없음; ","")&amp;IF(COUNTIF(코드설정!$F$5:$F$7,업무일지!$AG675)=0,"진행상태 누락; ","")))</f>
        <v/>
      </c>
    </row>
    <row r="708">
      <c r="A708" s="26" t="inlineStr">
        <is>
          <t>업무일지</t>
        </is>
      </c>
      <c r="B708" s="66" t="n">
        <v>676</v>
      </c>
      <c r="C708" s="122">
        <f>IF($D708="","",IFERROR(TEXT(업무일지!$B676,"yyyy-mm-dd"),"(날짜없음)")&amp;"  "&amp;업무일지!$F676&amp;"  "&amp;업무일지!$H676)</f>
        <v/>
      </c>
      <c r="D708" s="122">
        <f>IF(NOT(COUNTBLANK(업무일지!$B676:$AH676)&lt;33),"",TRIM(IF(업무일지!$B676="","시작일 누락; ","")&amp;IF(업무일지!$C676="","종료일 누락; ","")&amp;IF(AND(업무일지!$B676&lt;&gt;"",업무일지!$C676&lt;&gt;"",업무일지!$C676&lt;업무일지!$B676),"종료일이 시작일보다 빠름; ","")&amp;IF(COUNTIF(코드설정!$H$5:$H$7,업무일지!$D676)=0,"직무구분 누락; ","")&amp;IF(업무일지!$E676="","세부유형 누락; ",IF(AND(업무일지!$D676&lt;&gt;"",COUNTIFS(코드설정!$A$5:$A$21,업무일지!$D676,코드설정!$B$5:$B$21,업무일지!$E676)=0),"세부유형이 직무구분과 불일치; ",""))&amp;IF(AND(업무일지!$F676&lt;&gt;"",COUNTIF(사건마스터!$A$5:$A$64,업무일지!$F676)=0),"미등록 사건번호; ","")&amp;IF(AND(업무일지!$F676="",업무일지!$H676=""),"사건번호·업무명 모두 없음; ","")&amp;IF(업무일지!$J676="","담당자 없음; ","")&amp;IF(COUNTIF(코드설정!$F$5:$F$7,업무일지!$AG676)=0,"진행상태 누락; ","")))</f>
        <v/>
      </c>
    </row>
    <row r="709">
      <c r="A709" s="26" t="inlineStr">
        <is>
          <t>업무일지</t>
        </is>
      </c>
      <c r="B709" s="66" t="n">
        <v>677</v>
      </c>
      <c r="C709" s="122">
        <f>IF($D709="","",IFERROR(TEXT(업무일지!$B677,"yyyy-mm-dd"),"(날짜없음)")&amp;"  "&amp;업무일지!$F677&amp;"  "&amp;업무일지!$H677)</f>
        <v/>
      </c>
      <c r="D709" s="122">
        <f>IF(NOT(COUNTBLANK(업무일지!$B677:$AH677)&lt;33),"",TRIM(IF(업무일지!$B677="","시작일 누락; ","")&amp;IF(업무일지!$C677="","종료일 누락; ","")&amp;IF(AND(업무일지!$B677&lt;&gt;"",업무일지!$C677&lt;&gt;"",업무일지!$C677&lt;업무일지!$B677),"종료일이 시작일보다 빠름; ","")&amp;IF(COUNTIF(코드설정!$H$5:$H$7,업무일지!$D677)=0,"직무구분 누락; ","")&amp;IF(업무일지!$E677="","세부유형 누락; ",IF(AND(업무일지!$D677&lt;&gt;"",COUNTIFS(코드설정!$A$5:$A$21,업무일지!$D677,코드설정!$B$5:$B$21,업무일지!$E677)=0),"세부유형이 직무구분과 불일치; ",""))&amp;IF(AND(업무일지!$F677&lt;&gt;"",COUNTIF(사건마스터!$A$5:$A$64,업무일지!$F677)=0),"미등록 사건번호; ","")&amp;IF(AND(업무일지!$F677="",업무일지!$H677=""),"사건번호·업무명 모두 없음; ","")&amp;IF(업무일지!$J677="","담당자 없음; ","")&amp;IF(COUNTIF(코드설정!$F$5:$F$7,업무일지!$AG677)=0,"진행상태 누락; ","")))</f>
        <v/>
      </c>
    </row>
    <row r="710">
      <c r="A710" s="26" t="inlineStr">
        <is>
          <t>업무일지</t>
        </is>
      </c>
      <c r="B710" s="66" t="n">
        <v>678</v>
      </c>
      <c r="C710" s="122">
        <f>IF($D710="","",IFERROR(TEXT(업무일지!$B678,"yyyy-mm-dd"),"(날짜없음)")&amp;"  "&amp;업무일지!$F678&amp;"  "&amp;업무일지!$H678)</f>
        <v/>
      </c>
      <c r="D710" s="122">
        <f>IF(NOT(COUNTBLANK(업무일지!$B678:$AH678)&lt;33),"",TRIM(IF(업무일지!$B678="","시작일 누락; ","")&amp;IF(업무일지!$C678="","종료일 누락; ","")&amp;IF(AND(업무일지!$B678&lt;&gt;"",업무일지!$C678&lt;&gt;"",업무일지!$C678&lt;업무일지!$B678),"종료일이 시작일보다 빠름; ","")&amp;IF(COUNTIF(코드설정!$H$5:$H$7,업무일지!$D678)=0,"직무구분 누락; ","")&amp;IF(업무일지!$E678="","세부유형 누락; ",IF(AND(업무일지!$D678&lt;&gt;"",COUNTIFS(코드설정!$A$5:$A$21,업무일지!$D678,코드설정!$B$5:$B$21,업무일지!$E678)=0),"세부유형이 직무구분과 불일치; ",""))&amp;IF(AND(업무일지!$F678&lt;&gt;"",COUNTIF(사건마스터!$A$5:$A$64,업무일지!$F678)=0),"미등록 사건번호; ","")&amp;IF(AND(업무일지!$F678="",업무일지!$H678=""),"사건번호·업무명 모두 없음; ","")&amp;IF(업무일지!$J678="","담당자 없음; ","")&amp;IF(COUNTIF(코드설정!$F$5:$F$7,업무일지!$AG678)=0,"진행상태 누락; ","")))</f>
        <v/>
      </c>
    </row>
    <row r="711">
      <c r="A711" s="26" t="inlineStr">
        <is>
          <t>업무일지</t>
        </is>
      </c>
      <c r="B711" s="66" t="n">
        <v>679</v>
      </c>
      <c r="C711" s="122">
        <f>IF($D711="","",IFERROR(TEXT(업무일지!$B679,"yyyy-mm-dd"),"(날짜없음)")&amp;"  "&amp;업무일지!$F679&amp;"  "&amp;업무일지!$H679)</f>
        <v/>
      </c>
      <c r="D711" s="122">
        <f>IF(NOT(COUNTBLANK(업무일지!$B679:$AH679)&lt;33),"",TRIM(IF(업무일지!$B679="","시작일 누락; ","")&amp;IF(업무일지!$C679="","종료일 누락; ","")&amp;IF(AND(업무일지!$B679&lt;&gt;"",업무일지!$C679&lt;&gt;"",업무일지!$C679&lt;업무일지!$B679),"종료일이 시작일보다 빠름; ","")&amp;IF(COUNTIF(코드설정!$H$5:$H$7,업무일지!$D679)=0,"직무구분 누락; ","")&amp;IF(업무일지!$E679="","세부유형 누락; ",IF(AND(업무일지!$D679&lt;&gt;"",COUNTIFS(코드설정!$A$5:$A$21,업무일지!$D679,코드설정!$B$5:$B$21,업무일지!$E679)=0),"세부유형이 직무구분과 불일치; ",""))&amp;IF(AND(업무일지!$F679&lt;&gt;"",COUNTIF(사건마스터!$A$5:$A$64,업무일지!$F679)=0),"미등록 사건번호; ","")&amp;IF(AND(업무일지!$F679="",업무일지!$H679=""),"사건번호·업무명 모두 없음; ","")&amp;IF(업무일지!$J679="","담당자 없음; ","")&amp;IF(COUNTIF(코드설정!$F$5:$F$7,업무일지!$AG679)=0,"진행상태 누락; ","")))</f>
        <v/>
      </c>
    </row>
    <row r="712">
      <c r="A712" s="26" t="inlineStr">
        <is>
          <t>업무일지</t>
        </is>
      </c>
      <c r="B712" s="66" t="n">
        <v>680</v>
      </c>
      <c r="C712" s="122">
        <f>IF($D712="","",IFERROR(TEXT(업무일지!$B680,"yyyy-mm-dd"),"(날짜없음)")&amp;"  "&amp;업무일지!$F680&amp;"  "&amp;업무일지!$H680)</f>
        <v/>
      </c>
      <c r="D712" s="122">
        <f>IF(NOT(COUNTBLANK(업무일지!$B680:$AH680)&lt;33),"",TRIM(IF(업무일지!$B680="","시작일 누락; ","")&amp;IF(업무일지!$C680="","종료일 누락; ","")&amp;IF(AND(업무일지!$B680&lt;&gt;"",업무일지!$C680&lt;&gt;"",업무일지!$C680&lt;업무일지!$B680),"종료일이 시작일보다 빠름; ","")&amp;IF(COUNTIF(코드설정!$H$5:$H$7,업무일지!$D680)=0,"직무구분 누락; ","")&amp;IF(업무일지!$E680="","세부유형 누락; ",IF(AND(업무일지!$D680&lt;&gt;"",COUNTIFS(코드설정!$A$5:$A$21,업무일지!$D680,코드설정!$B$5:$B$21,업무일지!$E680)=0),"세부유형이 직무구분과 불일치; ",""))&amp;IF(AND(업무일지!$F680&lt;&gt;"",COUNTIF(사건마스터!$A$5:$A$64,업무일지!$F680)=0),"미등록 사건번호; ","")&amp;IF(AND(업무일지!$F680="",업무일지!$H680=""),"사건번호·업무명 모두 없음; ","")&amp;IF(업무일지!$J680="","담당자 없음; ","")&amp;IF(COUNTIF(코드설정!$F$5:$F$7,업무일지!$AG680)=0,"진행상태 누락; ","")))</f>
        <v/>
      </c>
    </row>
    <row r="713">
      <c r="A713" s="26" t="inlineStr">
        <is>
          <t>업무일지</t>
        </is>
      </c>
      <c r="B713" s="66" t="n">
        <v>681</v>
      </c>
      <c r="C713" s="122">
        <f>IF($D713="","",IFERROR(TEXT(업무일지!$B681,"yyyy-mm-dd"),"(날짜없음)")&amp;"  "&amp;업무일지!$F681&amp;"  "&amp;업무일지!$H681)</f>
        <v/>
      </c>
      <c r="D713" s="122">
        <f>IF(NOT(COUNTBLANK(업무일지!$B681:$AH681)&lt;33),"",TRIM(IF(업무일지!$B681="","시작일 누락; ","")&amp;IF(업무일지!$C681="","종료일 누락; ","")&amp;IF(AND(업무일지!$B681&lt;&gt;"",업무일지!$C681&lt;&gt;"",업무일지!$C681&lt;업무일지!$B681),"종료일이 시작일보다 빠름; ","")&amp;IF(COUNTIF(코드설정!$H$5:$H$7,업무일지!$D681)=0,"직무구분 누락; ","")&amp;IF(업무일지!$E681="","세부유형 누락; ",IF(AND(업무일지!$D681&lt;&gt;"",COUNTIFS(코드설정!$A$5:$A$21,업무일지!$D681,코드설정!$B$5:$B$21,업무일지!$E681)=0),"세부유형이 직무구분과 불일치; ",""))&amp;IF(AND(업무일지!$F681&lt;&gt;"",COUNTIF(사건마스터!$A$5:$A$64,업무일지!$F681)=0),"미등록 사건번호; ","")&amp;IF(AND(업무일지!$F681="",업무일지!$H681=""),"사건번호·업무명 모두 없음; ","")&amp;IF(업무일지!$J681="","담당자 없음; ","")&amp;IF(COUNTIF(코드설정!$F$5:$F$7,업무일지!$AG681)=0,"진행상태 누락; ","")))</f>
        <v/>
      </c>
    </row>
    <row r="714">
      <c r="A714" s="26" t="inlineStr">
        <is>
          <t>업무일지</t>
        </is>
      </c>
      <c r="B714" s="66" t="n">
        <v>682</v>
      </c>
      <c r="C714" s="122">
        <f>IF($D714="","",IFERROR(TEXT(업무일지!$B682,"yyyy-mm-dd"),"(날짜없음)")&amp;"  "&amp;업무일지!$F682&amp;"  "&amp;업무일지!$H682)</f>
        <v/>
      </c>
      <c r="D714" s="122">
        <f>IF(NOT(COUNTBLANK(업무일지!$B682:$AH682)&lt;33),"",TRIM(IF(업무일지!$B682="","시작일 누락; ","")&amp;IF(업무일지!$C682="","종료일 누락; ","")&amp;IF(AND(업무일지!$B682&lt;&gt;"",업무일지!$C682&lt;&gt;"",업무일지!$C682&lt;업무일지!$B682),"종료일이 시작일보다 빠름; ","")&amp;IF(COUNTIF(코드설정!$H$5:$H$7,업무일지!$D682)=0,"직무구분 누락; ","")&amp;IF(업무일지!$E682="","세부유형 누락; ",IF(AND(업무일지!$D682&lt;&gt;"",COUNTIFS(코드설정!$A$5:$A$21,업무일지!$D682,코드설정!$B$5:$B$21,업무일지!$E682)=0),"세부유형이 직무구분과 불일치; ",""))&amp;IF(AND(업무일지!$F682&lt;&gt;"",COUNTIF(사건마스터!$A$5:$A$64,업무일지!$F682)=0),"미등록 사건번호; ","")&amp;IF(AND(업무일지!$F682="",업무일지!$H682=""),"사건번호·업무명 모두 없음; ","")&amp;IF(업무일지!$J682="","담당자 없음; ","")&amp;IF(COUNTIF(코드설정!$F$5:$F$7,업무일지!$AG682)=0,"진행상태 누락; ","")))</f>
        <v/>
      </c>
    </row>
    <row r="715">
      <c r="A715" s="26" t="inlineStr">
        <is>
          <t>업무일지</t>
        </is>
      </c>
      <c r="B715" s="66" t="n">
        <v>683</v>
      </c>
      <c r="C715" s="122">
        <f>IF($D715="","",IFERROR(TEXT(업무일지!$B683,"yyyy-mm-dd"),"(날짜없음)")&amp;"  "&amp;업무일지!$F683&amp;"  "&amp;업무일지!$H683)</f>
        <v/>
      </c>
      <c r="D715" s="122">
        <f>IF(NOT(COUNTBLANK(업무일지!$B683:$AH683)&lt;33),"",TRIM(IF(업무일지!$B683="","시작일 누락; ","")&amp;IF(업무일지!$C683="","종료일 누락; ","")&amp;IF(AND(업무일지!$B683&lt;&gt;"",업무일지!$C683&lt;&gt;"",업무일지!$C683&lt;업무일지!$B683),"종료일이 시작일보다 빠름; ","")&amp;IF(COUNTIF(코드설정!$H$5:$H$7,업무일지!$D683)=0,"직무구분 누락; ","")&amp;IF(업무일지!$E683="","세부유형 누락; ",IF(AND(업무일지!$D683&lt;&gt;"",COUNTIFS(코드설정!$A$5:$A$21,업무일지!$D683,코드설정!$B$5:$B$21,업무일지!$E683)=0),"세부유형이 직무구분과 불일치; ",""))&amp;IF(AND(업무일지!$F683&lt;&gt;"",COUNTIF(사건마스터!$A$5:$A$64,업무일지!$F683)=0),"미등록 사건번호; ","")&amp;IF(AND(업무일지!$F683="",업무일지!$H683=""),"사건번호·업무명 모두 없음; ","")&amp;IF(업무일지!$J683="","담당자 없음; ","")&amp;IF(COUNTIF(코드설정!$F$5:$F$7,업무일지!$AG683)=0,"진행상태 누락; ","")))</f>
        <v/>
      </c>
    </row>
    <row r="716">
      <c r="A716" s="26" t="inlineStr">
        <is>
          <t>업무일지</t>
        </is>
      </c>
      <c r="B716" s="66" t="n">
        <v>684</v>
      </c>
      <c r="C716" s="122">
        <f>IF($D716="","",IFERROR(TEXT(업무일지!$B684,"yyyy-mm-dd"),"(날짜없음)")&amp;"  "&amp;업무일지!$F684&amp;"  "&amp;업무일지!$H684)</f>
        <v/>
      </c>
      <c r="D716" s="122">
        <f>IF(NOT(COUNTBLANK(업무일지!$B684:$AH684)&lt;33),"",TRIM(IF(업무일지!$B684="","시작일 누락; ","")&amp;IF(업무일지!$C684="","종료일 누락; ","")&amp;IF(AND(업무일지!$B684&lt;&gt;"",업무일지!$C684&lt;&gt;"",업무일지!$C684&lt;업무일지!$B684),"종료일이 시작일보다 빠름; ","")&amp;IF(COUNTIF(코드설정!$H$5:$H$7,업무일지!$D684)=0,"직무구분 누락; ","")&amp;IF(업무일지!$E684="","세부유형 누락; ",IF(AND(업무일지!$D684&lt;&gt;"",COUNTIFS(코드설정!$A$5:$A$21,업무일지!$D684,코드설정!$B$5:$B$21,업무일지!$E684)=0),"세부유형이 직무구분과 불일치; ",""))&amp;IF(AND(업무일지!$F684&lt;&gt;"",COUNTIF(사건마스터!$A$5:$A$64,업무일지!$F684)=0),"미등록 사건번호; ","")&amp;IF(AND(업무일지!$F684="",업무일지!$H684=""),"사건번호·업무명 모두 없음; ","")&amp;IF(업무일지!$J684="","담당자 없음; ","")&amp;IF(COUNTIF(코드설정!$F$5:$F$7,업무일지!$AG684)=0,"진행상태 누락; ","")))</f>
        <v/>
      </c>
    </row>
    <row r="717">
      <c r="A717" s="26" t="inlineStr">
        <is>
          <t>업무일지</t>
        </is>
      </c>
      <c r="B717" s="66" t="n">
        <v>685</v>
      </c>
      <c r="C717" s="122">
        <f>IF($D717="","",IFERROR(TEXT(업무일지!$B685,"yyyy-mm-dd"),"(날짜없음)")&amp;"  "&amp;업무일지!$F685&amp;"  "&amp;업무일지!$H685)</f>
        <v/>
      </c>
      <c r="D717" s="122">
        <f>IF(NOT(COUNTBLANK(업무일지!$B685:$AH685)&lt;33),"",TRIM(IF(업무일지!$B685="","시작일 누락; ","")&amp;IF(업무일지!$C685="","종료일 누락; ","")&amp;IF(AND(업무일지!$B685&lt;&gt;"",업무일지!$C685&lt;&gt;"",업무일지!$C685&lt;업무일지!$B685),"종료일이 시작일보다 빠름; ","")&amp;IF(COUNTIF(코드설정!$H$5:$H$7,업무일지!$D685)=0,"직무구분 누락; ","")&amp;IF(업무일지!$E685="","세부유형 누락; ",IF(AND(업무일지!$D685&lt;&gt;"",COUNTIFS(코드설정!$A$5:$A$21,업무일지!$D685,코드설정!$B$5:$B$21,업무일지!$E685)=0),"세부유형이 직무구분과 불일치; ",""))&amp;IF(AND(업무일지!$F685&lt;&gt;"",COUNTIF(사건마스터!$A$5:$A$64,업무일지!$F685)=0),"미등록 사건번호; ","")&amp;IF(AND(업무일지!$F685="",업무일지!$H685=""),"사건번호·업무명 모두 없음; ","")&amp;IF(업무일지!$J685="","담당자 없음; ","")&amp;IF(COUNTIF(코드설정!$F$5:$F$7,업무일지!$AG685)=0,"진행상태 누락; ","")))</f>
        <v/>
      </c>
    </row>
    <row r="718">
      <c r="A718" s="26" t="inlineStr">
        <is>
          <t>업무일지</t>
        </is>
      </c>
      <c r="B718" s="66" t="n">
        <v>686</v>
      </c>
      <c r="C718" s="122">
        <f>IF($D718="","",IFERROR(TEXT(업무일지!$B686,"yyyy-mm-dd"),"(날짜없음)")&amp;"  "&amp;업무일지!$F686&amp;"  "&amp;업무일지!$H686)</f>
        <v/>
      </c>
      <c r="D718" s="122">
        <f>IF(NOT(COUNTBLANK(업무일지!$B686:$AH686)&lt;33),"",TRIM(IF(업무일지!$B686="","시작일 누락; ","")&amp;IF(업무일지!$C686="","종료일 누락; ","")&amp;IF(AND(업무일지!$B686&lt;&gt;"",업무일지!$C686&lt;&gt;"",업무일지!$C686&lt;업무일지!$B686),"종료일이 시작일보다 빠름; ","")&amp;IF(COUNTIF(코드설정!$H$5:$H$7,업무일지!$D686)=0,"직무구분 누락; ","")&amp;IF(업무일지!$E686="","세부유형 누락; ",IF(AND(업무일지!$D686&lt;&gt;"",COUNTIFS(코드설정!$A$5:$A$21,업무일지!$D686,코드설정!$B$5:$B$21,업무일지!$E686)=0),"세부유형이 직무구분과 불일치; ",""))&amp;IF(AND(업무일지!$F686&lt;&gt;"",COUNTIF(사건마스터!$A$5:$A$64,업무일지!$F686)=0),"미등록 사건번호; ","")&amp;IF(AND(업무일지!$F686="",업무일지!$H686=""),"사건번호·업무명 모두 없음; ","")&amp;IF(업무일지!$J686="","담당자 없음; ","")&amp;IF(COUNTIF(코드설정!$F$5:$F$7,업무일지!$AG686)=0,"진행상태 누락; ","")))</f>
        <v/>
      </c>
    </row>
    <row r="719">
      <c r="A719" s="26" t="inlineStr">
        <is>
          <t>업무일지</t>
        </is>
      </c>
      <c r="B719" s="66" t="n">
        <v>687</v>
      </c>
      <c r="C719" s="122">
        <f>IF($D719="","",IFERROR(TEXT(업무일지!$B687,"yyyy-mm-dd"),"(날짜없음)")&amp;"  "&amp;업무일지!$F687&amp;"  "&amp;업무일지!$H687)</f>
        <v/>
      </c>
      <c r="D719" s="122">
        <f>IF(NOT(COUNTBLANK(업무일지!$B687:$AH687)&lt;33),"",TRIM(IF(업무일지!$B687="","시작일 누락; ","")&amp;IF(업무일지!$C687="","종료일 누락; ","")&amp;IF(AND(업무일지!$B687&lt;&gt;"",업무일지!$C687&lt;&gt;"",업무일지!$C687&lt;업무일지!$B687),"종료일이 시작일보다 빠름; ","")&amp;IF(COUNTIF(코드설정!$H$5:$H$7,업무일지!$D687)=0,"직무구분 누락; ","")&amp;IF(업무일지!$E687="","세부유형 누락; ",IF(AND(업무일지!$D687&lt;&gt;"",COUNTIFS(코드설정!$A$5:$A$21,업무일지!$D687,코드설정!$B$5:$B$21,업무일지!$E687)=0),"세부유형이 직무구분과 불일치; ",""))&amp;IF(AND(업무일지!$F687&lt;&gt;"",COUNTIF(사건마스터!$A$5:$A$64,업무일지!$F687)=0),"미등록 사건번호; ","")&amp;IF(AND(업무일지!$F687="",업무일지!$H687=""),"사건번호·업무명 모두 없음; ","")&amp;IF(업무일지!$J687="","담당자 없음; ","")&amp;IF(COUNTIF(코드설정!$F$5:$F$7,업무일지!$AG687)=0,"진행상태 누락; ","")))</f>
        <v/>
      </c>
    </row>
    <row r="720">
      <c r="A720" s="26" t="inlineStr">
        <is>
          <t>업무일지</t>
        </is>
      </c>
      <c r="B720" s="66" t="n">
        <v>688</v>
      </c>
      <c r="C720" s="122">
        <f>IF($D720="","",IFERROR(TEXT(업무일지!$B688,"yyyy-mm-dd"),"(날짜없음)")&amp;"  "&amp;업무일지!$F688&amp;"  "&amp;업무일지!$H688)</f>
        <v/>
      </c>
      <c r="D720" s="122">
        <f>IF(NOT(COUNTBLANK(업무일지!$B688:$AH688)&lt;33),"",TRIM(IF(업무일지!$B688="","시작일 누락; ","")&amp;IF(업무일지!$C688="","종료일 누락; ","")&amp;IF(AND(업무일지!$B688&lt;&gt;"",업무일지!$C688&lt;&gt;"",업무일지!$C688&lt;업무일지!$B688),"종료일이 시작일보다 빠름; ","")&amp;IF(COUNTIF(코드설정!$H$5:$H$7,업무일지!$D688)=0,"직무구분 누락; ","")&amp;IF(업무일지!$E688="","세부유형 누락; ",IF(AND(업무일지!$D688&lt;&gt;"",COUNTIFS(코드설정!$A$5:$A$21,업무일지!$D688,코드설정!$B$5:$B$21,업무일지!$E688)=0),"세부유형이 직무구분과 불일치; ",""))&amp;IF(AND(업무일지!$F688&lt;&gt;"",COUNTIF(사건마스터!$A$5:$A$64,업무일지!$F688)=0),"미등록 사건번호; ","")&amp;IF(AND(업무일지!$F688="",업무일지!$H688=""),"사건번호·업무명 모두 없음; ","")&amp;IF(업무일지!$J688="","담당자 없음; ","")&amp;IF(COUNTIF(코드설정!$F$5:$F$7,업무일지!$AG688)=0,"진행상태 누락; ","")))</f>
        <v/>
      </c>
    </row>
    <row r="721">
      <c r="A721" s="26" t="inlineStr">
        <is>
          <t>업무일지</t>
        </is>
      </c>
      <c r="B721" s="66" t="n">
        <v>689</v>
      </c>
      <c r="C721" s="122">
        <f>IF($D721="","",IFERROR(TEXT(업무일지!$B689,"yyyy-mm-dd"),"(날짜없음)")&amp;"  "&amp;업무일지!$F689&amp;"  "&amp;업무일지!$H689)</f>
        <v/>
      </c>
      <c r="D721" s="122">
        <f>IF(NOT(COUNTBLANK(업무일지!$B689:$AH689)&lt;33),"",TRIM(IF(업무일지!$B689="","시작일 누락; ","")&amp;IF(업무일지!$C689="","종료일 누락; ","")&amp;IF(AND(업무일지!$B689&lt;&gt;"",업무일지!$C689&lt;&gt;"",업무일지!$C689&lt;업무일지!$B689),"종료일이 시작일보다 빠름; ","")&amp;IF(COUNTIF(코드설정!$H$5:$H$7,업무일지!$D689)=0,"직무구분 누락; ","")&amp;IF(업무일지!$E689="","세부유형 누락; ",IF(AND(업무일지!$D689&lt;&gt;"",COUNTIFS(코드설정!$A$5:$A$21,업무일지!$D689,코드설정!$B$5:$B$21,업무일지!$E689)=0),"세부유형이 직무구분과 불일치; ",""))&amp;IF(AND(업무일지!$F689&lt;&gt;"",COUNTIF(사건마스터!$A$5:$A$64,업무일지!$F689)=0),"미등록 사건번호; ","")&amp;IF(AND(업무일지!$F689="",업무일지!$H689=""),"사건번호·업무명 모두 없음; ","")&amp;IF(업무일지!$J689="","담당자 없음; ","")&amp;IF(COUNTIF(코드설정!$F$5:$F$7,업무일지!$AG689)=0,"진행상태 누락; ","")))</f>
        <v/>
      </c>
    </row>
    <row r="722">
      <c r="A722" s="26" t="inlineStr">
        <is>
          <t>업무일지</t>
        </is>
      </c>
      <c r="B722" s="66" t="n">
        <v>690</v>
      </c>
      <c r="C722" s="122">
        <f>IF($D722="","",IFERROR(TEXT(업무일지!$B690,"yyyy-mm-dd"),"(날짜없음)")&amp;"  "&amp;업무일지!$F690&amp;"  "&amp;업무일지!$H690)</f>
        <v/>
      </c>
      <c r="D722" s="122">
        <f>IF(NOT(COUNTBLANK(업무일지!$B690:$AH690)&lt;33),"",TRIM(IF(업무일지!$B690="","시작일 누락; ","")&amp;IF(업무일지!$C690="","종료일 누락; ","")&amp;IF(AND(업무일지!$B690&lt;&gt;"",업무일지!$C690&lt;&gt;"",업무일지!$C690&lt;업무일지!$B690),"종료일이 시작일보다 빠름; ","")&amp;IF(COUNTIF(코드설정!$H$5:$H$7,업무일지!$D690)=0,"직무구분 누락; ","")&amp;IF(업무일지!$E690="","세부유형 누락; ",IF(AND(업무일지!$D690&lt;&gt;"",COUNTIFS(코드설정!$A$5:$A$21,업무일지!$D690,코드설정!$B$5:$B$21,업무일지!$E690)=0),"세부유형이 직무구분과 불일치; ",""))&amp;IF(AND(업무일지!$F690&lt;&gt;"",COUNTIF(사건마스터!$A$5:$A$64,업무일지!$F690)=0),"미등록 사건번호; ","")&amp;IF(AND(업무일지!$F690="",업무일지!$H690=""),"사건번호·업무명 모두 없음; ","")&amp;IF(업무일지!$J690="","담당자 없음; ","")&amp;IF(COUNTIF(코드설정!$F$5:$F$7,업무일지!$AG690)=0,"진행상태 누락; ","")))</f>
        <v/>
      </c>
    </row>
    <row r="723">
      <c r="A723" s="26" t="inlineStr">
        <is>
          <t>업무일지</t>
        </is>
      </c>
      <c r="B723" s="66" t="n">
        <v>691</v>
      </c>
      <c r="C723" s="122">
        <f>IF($D723="","",IFERROR(TEXT(업무일지!$B691,"yyyy-mm-dd"),"(날짜없음)")&amp;"  "&amp;업무일지!$F691&amp;"  "&amp;업무일지!$H691)</f>
        <v/>
      </c>
      <c r="D723" s="122">
        <f>IF(NOT(COUNTBLANK(업무일지!$B691:$AH691)&lt;33),"",TRIM(IF(업무일지!$B691="","시작일 누락; ","")&amp;IF(업무일지!$C691="","종료일 누락; ","")&amp;IF(AND(업무일지!$B691&lt;&gt;"",업무일지!$C691&lt;&gt;"",업무일지!$C691&lt;업무일지!$B691),"종료일이 시작일보다 빠름; ","")&amp;IF(COUNTIF(코드설정!$H$5:$H$7,업무일지!$D691)=0,"직무구분 누락; ","")&amp;IF(업무일지!$E691="","세부유형 누락; ",IF(AND(업무일지!$D691&lt;&gt;"",COUNTIFS(코드설정!$A$5:$A$21,업무일지!$D691,코드설정!$B$5:$B$21,업무일지!$E691)=0),"세부유형이 직무구분과 불일치; ",""))&amp;IF(AND(업무일지!$F691&lt;&gt;"",COUNTIF(사건마스터!$A$5:$A$64,업무일지!$F691)=0),"미등록 사건번호; ","")&amp;IF(AND(업무일지!$F691="",업무일지!$H691=""),"사건번호·업무명 모두 없음; ","")&amp;IF(업무일지!$J691="","담당자 없음; ","")&amp;IF(COUNTIF(코드설정!$F$5:$F$7,업무일지!$AG691)=0,"진행상태 누락; ","")))</f>
        <v/>
      </c>
    </row>
    <row r="724">
      <c r="A724" s="26" t="inlineStr">
        <is>
          <t>업무일지</t>
        </is>
      </c>
      <c r="B724" s="66" t="n">
        <v>692</v>
      </c>
      <c r="C724" s="122">
        <f>IF($D724="","",IFERROR(TEXT(업무일지!$B692,"yyyy-mm-dd"),"(날짜없음)")&amp;"  "&amp;업무일지!$F692&amp;"  "&amp;업무일지!$H692)</f>
        <v/>
      </c>
      <c r="D724" s="122">
        <f>IF(NOT(COUNTBLANK(업무일지!$B692:$AH692)&lt;33),"",TRIM(IF(업무일지!$B692="","시작일 누락; ","")&amp;IF(업무일지!$C692="","종료일 누락; ","")&amp;IF(AND(업무일지!$B692&lt;&gt;"",업무일지!$C692&lt;&gt;"",업무일지!$C692&lt;업무일지!$B692),"종료일이 시작일보다 빠름; ","")&amp;IF(COUNTIF(코드설정!$H$5:$H$7,업무일지!$D692)=0,"직무구분 누락; ","")&amp;IF(업무일지!$E692="","세부유형 누락; ",IF(AND(업무일지!$D692&lt;&gt;"",COUNTIFS(코드설정!$A$5:$A$21,업무일지!$D692,코드설정!$B$5:$B$21,업무일지!$E692)=0),"세부유형이 직무구분과 불일치; ",""))&amp;IF(AND(업무일지!$F692&lt;&gt;"",COUNTIF(사건마스터!$A$5:$A$64,업무일지!$F692)=0),"미등록 사건번호; ","")&amp;IF(AND(업무일지!$F692="",업무일지!$H692=""),"사건번호·업무명 모두 없음; ","")&amp;IF(업무일지!$J692="","담당자 없음; ","")&amp;IF(COUNTIF(코드설정!$F$5:$F$7,업무일지!$AG692)=0,"진행상태 누락; ","")))</f>
        <v/>
      </c>
    </row>
    <row r="725">
      <c r="A725" s="26" t="inlineStr">
        <is>
          <t>업무일지</t>
        </is>
      </c>
      <c r="B725" s="66" t="n">
        <v>693</v>
      </c>
      <c r="C725" s="122">
        <f>IF($D725="","",IFERROR(TEXT(업무일지!$B693,"yyyy-mm-dd"),"(날짜없음)")&amp;"  "&amp;업무일지!$F693&amp;"  "&amp;업무일지!$H693)</f>
        <v/>
      </c>
      <c r="D725" s="122">
        <f>IF(NOT(COUNTBLANK(업무일지!$B693:$AH693)&lt;33),"",TRIM(IF(업무일지!$B693="","시작일 누락; ","")&amp;IF(업무일지!$C693="","종료일 누락; ","")&amp;IF(AND(업무일지!$B693&lt;&gt;"",업무일지!$C693&lt;&gt;"",업무일지!$C693&lt;업무일지!$B693),"종료일이 시작일보다 빠름; ","")&amp;IF(COUNTIF(코드설정!$H$5:$H$7,업무일지!$D693)=0,"직무구분 누락; ","")&amp;IF(업무일지!$E693="","세부유형 누락; ",IF(AND(업무일지!$D693&lt;&gt;"",COUNTIFS(코드설정!$A$5:$A$21,업무일지!$D693,코드설정!$B$5:$B$21,업무일지!$E693)=0),"세부유형이 직무구분과 불일치; ",""))&amp;IF(AND(업무일지!$F693&lt;&gt;"",COUNTIF(사건마스터!$A$5:$A$64,업무일지!$F693)=0),"미등록 사건번호; ","")&amp;IF(AND(업무일지!$F693="",업무일지!$H693=""),"사건번호·업무명 모두 없음; ","")&amp;IF(업무일지!$J693="","담당자 없음; ","")&amp;IF(COUNTIF(코드설정!$F$5:$F$7,업무일지!$AG693)=0,"진행상태 누락; ","")))</f>
        <v/>
      </c>
    </row>
    <row r="726">
      <c r="A726" s="26" t="inlineStr">
        <is>
          <t>업무일지</t>
        </is>
      </c>
      <c r="B726" s="66" t="n">
        <v>694</v>
      </c>
      <c r="C726" s="122">
        <f>IF($D726="","",IFERROR(TEXT(업무일지!$B694,"yyyy-mm-dd"),"(날짜없음)")&amp;"  "&amp;업무일지!$F694&amp;"  "&amp;업무일지!$H694)</f>
        <v/>
      </c>
      <c r="D726" s="122">
        <f>IF(NOT(COUNTBLANK(업무일지!$B694:$AH694)&lt;33),"",TRIM(IF(업무일지!$B694="","시작일 누락; ","")&amp;IF(업무일지!$C694="","종료일 누락; ","")&amp;IF(AND(업무일지!$B694&lt;&gt;"",업무일지!$C694&lt;&gt;"",업무일지!$C694&lt;업무일지!$B694),"종료일이 시작일보다 빠름; ","")&amp;IF(COUNTIF(코드설정!$H$5:$H$7,업무일지!$D694)=0,"직무구분 누락; ","")&amp;IF(업무일지!$E694="","세부유형 누락; ",IF(AND(업무일지!$D694&lt;&gt;"",COUNTIFS(코드설정!$A$5:$A$21,업무일지!$D694,코드설정!$B$5:$B$21,업무일지!$E694)=0),"세부유형이 직무구분과 불일치; ",""))&amp;IF(AND(업무일지!$F694&lt;&gt;"",COUNTIF(사건마스터!$A$5:$A$64,업무일지!$F694)=0),"미등록 사건번호; ","")&amp;IF(AND(업무일지!$F694="",업무일지!$H694=""),"사건번호·업무명 모두 없음; ","")&amp;IF(업무일지!$J694="","담당자 없음; ","")&amp;IF(COUNTIF(코드설정!$F$5:$F$7,업무일지!$AG694)=0,"진행상태 누락; ","")))</f>
        <v/>
      </c>
    </row>
    <row r="727">
      <c r="A727" s="26" t="inlineStr">
        <is>
          <t>업무일지</t>
        </is>
      </c>
      <c r="B727" s="66" t="n">
        <v>695</v>
      </c>
      <c r="C727" s="122">
        <f>IF($D727="","",IFERROR(TEXT(업무일지!$B695,"yyyy-mm-dd"),"(날짜없음)")&amp;"  "&amp;업무일지!$F695&amp;"  "&amp;업무일지!$H695)</f>
        <v/>
      </c>
      <c r="D727" s="122">
        <f>IF(NOT(COUNTBLANK(업무일지!$B695:$AH695)&lt;33),"",TRIM(IF(업무일지!$B695="","시작일 누락; ","")&amp;IF(업무일지!$C695="","종료일 누락; ","")&amp;IF(AND(업무일지!$B695&lt;&gt;"",업무일지!$C695&lt;&gt;"",업무일지!$C695&lt;업무일지!$B695),"종료일이 시작일보다 빠름; ","")&amp;IF(COUNTIF(코드설정!$H$5:$H$7,업무일지!$D695)=0,"직무구분 누락; ","")&amp;IF(업무일지!$E695="","세부유형 누락; ",IF(AND(업무일지!$D695&lt;&gt;"",COUNTIFS(코드설정!$A$5:$A$21,업무일지!$D695,코드설정!$B$5:$B$21,업무일지!$E695)=0),"세부유형이 직무구분과 불일치; ",""))&amp;IF(AND(업무일지!$F695&lt;&gt;"",COUNTIF(사건마스터!$A$5:$A$64,업무일지!$F695)=0),"미등록 사건번호; ","")&amp;IF(AND(업무일지!$F695="",업무일지!$H695=""),"사건번호·업무명 모두 없음; ","")&amp;IF(업무일지!$J695="","담당자 없음; ","")&amp;IF(COUNTIF(코드설정!$F$5:$F$7,업무일지!$AG695)=0,"진행상태 누락; ","")))</f>
        <v/>
      </c>
    </row>
    <row r="728">
      <c r="A728" s="26" t="inlineStr">
        <is>
          <t>업무일지</t>
        </is>
      </c>
      <c r="B728" s="66" t="n">
        <v>696</v>
      </c>
      <c r="C728" s="122">
        <f>IF($D728="","",IFERROR(TEXT(업무일지!$B696,"yyyy-mm-dd"),"(날짜없음)")&amp;"  "&amp;업무일지!$F696&amp;"  "&amp;업무일지!$H696)</f>
        <v/>
      </c>
      <c r="D728" s="122">
        <f>IF(NOT(COUNTBLANK(업무일지!$B696:$AH696)&lt;33),"",TRIM(IF(업무일지!$B696="","시작일 누락; ","")&amp;IF(업무일지!$C696="","종료일 누락; ","")&amp;IF(AND(업무일지!$B696&lt;&gt;"",업무일지!$C696&lt;&gt;"",업무일지!$C696&lt;업무일지!$B696),"종료일이 시작일보다 빠름; ","")&amp;IF(COUNTIF(코드설정!$H$5:$H$7,업무일지!$D696)=0,"직무구분 누락; ","")&amp;IF(업무일지!$E696="","세부유형 누락; ",IF(AND(업무일지!$D696&lt;&gt;"",COUNTIFS(코드설정!$A$5:$A$21,업무일지!$D696,코드설정!$B$5:$B$21,업무일지!$E696)=0),"세부유형이 직무구분과 불일치; ",""))&amp;IF(AND(업무일지!$F696&lt;&gt;"",COUNTIF(사건마스터!$A$5:$A$64,업무일지!$F696)=0),"미등록 사건번호; ","")&amp;IF(AND(업무일지!$F696="",업무일지!$H696=""),"사건번호·업무명 모두 없음; ","")&amp;IF(업무일지!$J696="","담당자 없음; ","")&amp;IF(COUNTIF(코드설정!$F$5:$F$7,업무일지!$AG696)=0,"진행상태 누락; ","")))</f>
        <v/>
      </c>
    </row>
    <row r="729">
      <c r="A729" s="26" t="inlineStr">
        <is>
          <t>업무일지</t>
        </is>
      </c>
      <c r="B729" s="66" t="n">
        <v>697</v>
      </c>
      <c r="C729" s="122">
        <f>IF($D729="","",IFERROR(TEXT(업무일지!$B697,"yyyy-mm-dd"),"(날짜없음)")&amp;"  "&amp;업무일지!$F697&amp;"  "&amp;업무일지!$H697)</f>
        <v/>
      </c>
      <c r="D729" s="122">
        <f>IF(NOT(COUNTBLANK(업무일지!$B697:$AH697)&lt;33),"",TRIM(IF(업무일지!$B697="","시작일 누락; ","")&amp;IF(업무일지!$C697="","종료일 누락; ","")&amp;IF(AND(업무일지!$B697&lt;&gt;"",업무일지!$C697&lt;&gt;"",업무일지!$C697&lt;업무일지!$B697),"종료일이 시작일보다 빠름; ","")&amp;IF(COUNTIF(코드설정!$H$5:$H$7,업무일지!$D697)=0,"직무구분 누락; ","")&amp;IF(업무일지!$E697="","세부유형 누락; ",IF(AND(업무일지!$D697&lt;&gt;"",COUNTIFS(코드설정!$A$5:$A$21,업무일지!$D697,코드설정!$B$5:$B$21,업무일지!$E697)=0),"세부유형이 직무구분과 불일치; ",""))&amp;IF(AND(업무일지!$F697&lt;&gt;"",COUNTIF(사건마스터!$A$5:$A$64,업무일지!$F697)=0),"미등록 사건번호; ","")&amp;IF(AND(업무일지!$F697="",업무일지!$H697=""),"사건번호·업무명 모두 없음; ","")&amp;IF(업무일지!$J697="","담당자 없음; ","")&amp;IF(COUNTIF(코드설정!$F$5:$F$7,업무일지!$AG697)=0,"진행상태 누락; ","")))</f>
        <v/>
      </c>
    </row>
    <row r="730">
      <c r="A730" s="26" t="inlineStr">
        <is>
          <t>업무일지</t>
        </is>
      </c>
      <c r="B730" s="66" t="n">
        <v>698</v>
      </c>
      <c r="C730" s="122">
        <f>IF($D730="","",IFERROR(TEXT(업무일지!$B698,"yyyy-mm-dd"),"(날짜없음)")&amp;"  "&amp;업무일지!$F698&amp;"  "&amp;업무일지!$H698)</f>
        <v/>
      </c>
      <c r="D730" s="122">
        <f>IF(NOT(COUNTBLANK(업무일지!$B698:$AH698)&lt;33),"",TRIM(IF(업무일지!$B698="","시작일 누락; ","")&amp;IF(업무일지!$C698="","종료일 누락; ","")&amp;IF(AND(업무일지!$B698&lt;&gt;"",업무일지!$C698&lt;&gt;"",업무일지!$C698&lt;업무일지!$B698),"종료일이 시작일보다 빠름; ","")&amp;IF(COUNTIF(코드설정!$H$5:$H$7,업무일지!$D698)=0,"직무구분 누락; ","")&amp;IF(업무일지!$E698="","세부유형 누락; ",IF(AND(업무일지!$D698&lt;&gt;"",COUNTIFS(코드설정!$A$5:$A$21,업무일지!$D698,코드설정!$B$5:$B$21,업무일지!$E698)=0),"세부유형이 직무구분과 불일치; ",""))&amp;IF(AND(업무일지!$F698&lt;&gt;"",COUNTIF(사건마스터!$A$5:$A$64,업무일지!$F698)=0),"미등록 사건번호; ","")&amp;IF(AND(업무일지!$F698="",업무일지!$H698=""),"사건번호·업무명 모두 없음; ","")&amp;IF(업무일지!$J698="","담당자 없음; ","")&amp;IF(COUNTIF(코드설정!$F$5:$F$7,업무일지!$AG698)=0,"진행상태 누락; ","")))</f>
        <v/>
      </c>
    </row>
    <row r="731">
      <c r="A731" s="26" t="inlineStr">
        <is>
          <t>업무일지</t>
        </is>
      </c>
      <c r="B731" s="66" t="n">
        <v>699</v>
      </c>
      <c r="C731" s="122">
        <f>IF($D731="","",IFERROR(TEXT(업무일지!$B699,"yyyy-mm-dd"),"(날짜없음)")&amp;"  "&amp;업무일지!$F699&amp;"  "&amp;업무일지!$H699)</f>
        <v/>
      </c>
      <c r="D731" s="122">
        <f>IF(NOT(COUNTBLANK(업무일지!$B699:$AH699)&lt;33),"",TRIM(IF(업무일지!$B699="","시작일 누락; ","")&amp;IF(업무일지!$C699="","종료일 누락; ","")&amp;IF(AND(업무일지!$B699&lt;&gt;"",업무일지!$C699&lt;&gt;"",업무일지!$C699&lt;업무일지!$B699),"종료일이 시작일보다 빠름; ","")&amp;IF(COUNTIF(코드설정!$H$5:$H$7,업무일지!$D699)=0,"직무구분 누락; ","")&amp;IF(업무일지!$E699="","세부유형 누락; ",IF(AND(업무일지!$D699&lt;&gt;"",COUNTIFS(코드설정!$A$5:$A$21,업무일지!$D699,코드설정!$B$5:$B$21,업무일지!$E699)=0),"세부유형이 직무구분과 불일치; ",""))&amp;IF(AND(업무일지!$F699&lt;&gt;"",COUNTIF(사건마스터!$A$5:$A$64,업무일지!$F699)=0),"미등록 사건번호; ","")&amp;IF(AND(업무일지!$F699="",업무일지!$H699=""),"사건번호·업무명 모두 없음; ","")&amp;IF(업무일지!$J699="","담당자 없음; ","")&amp;IF(COUNTIF(코드설정!$F$5:$F$7,업무일지!$AG699)=0,"진행상태 누락; ","")))</f>
        <v/>
      </c>
    </row>
    <row r="732">
      <c r="A732" s="26" t="inlineStr">
        <is>
          <t>업무일지</t>
        </is>
      </c>
      <c r="B732" s="66" t="n">
        <v>700</v>
      </c>
      <c r="C732" s="122">
        <f>IF($D732="","",IFERROR(TEXT(업무일지!$B700,"yyyy-mm-dd"),"(날짜없음)")&amp;"  "&amp;업무일지!$F700&amp;"  "&amp;업무일지!$H700)</f>
        <v/>
      </c>
      <c r="D732" s="122">
        <f>IF(NOT(COUNTBLANK(업무일지!$B700:$AH700)&lt;33),"",TRIM(IF(업무일지!$B700="","시작일 누락; ","")&amp;IF(업무일지!$C700="","종료일 누락; ","")&amp;IF(AND(업무일지!$B700&lt;&gt;"",업무일지!$C700&lt;&gt;"",업무일지!$C700&lt;업무일지!$B700),"종료일이 시작일보다 빠름; ","")&amp;IF(COUNTIF(코드설정!$H$5:$H$7,업무일지!$D700)=0,"직무구분 누락; ","")&amp;IF(업무일지!$E700="","세부유형 누락; ",IF(AND(업무일지!$D700&lt;&gt;"",COUNTIFS(코드설정!$A$5:$A$21,업무일지!$D700,코드설정!$B$5:$B$21,업무일지!$E700)=0),"세부유형이 직무구분과 불일치; ",""))&amp;IF(AND(업무일지!$F700&lt;&gt;"",COUNTIF(사건마스터!$A$5:$A$64,업무일지!$F700)=0),"미등록 사건번호; ","")&amp;IF(AND(업무일지!$F700="",업무일지!$H700=""),"사건번호·업무명 모두 없음; ","")&amp;IF(업무일지!$J700="","담당자 없음; ","")&amp;IF(COUNTIF(코드설정!$F$5:$F$7,업무일지!$AG700)=0,"진행상태 누락; ","")))</f>
        <v/>
      </c>
    </row>
    <row r="733">
      <c r="A733" s="26" t="inlineStr">
        <is>
          <t>업무일지</t>
        </is>
      </c>
      <c r="B733" s="66" t="n">
        <v>701</v>
      </c>
      <c r="C733" s="122">
        <f>IF($D733="","",IFERROR(TEXT(업무일지!$B701,"yyyy-mm-dd"),"(날짜없음)")&amp;"  "&amp;업무일지!$F701&amp;"  "&amp;업무일지!$H701)</f>
        <v/>
      </c>
      <c r="D733" s="122">
        <f>IF(NOT(COUNTBLANK(업무일지!$B701:$AH701)&lt;33),"",TRIM(IF(업무일지!$B701="","시작일 누락; ","")&amp;IF(업무일지!$C701="","종료일 누락; ","")&amp;IF(AND(업무일지!$B701&lt;&gt;"",업무일지!$C701&lt;&gt;"",업무일지!$C701&lt;업무일지!$B701),"종료일이 시작일보다 빠름; ","")&amp;IF(COUNTIF(코드설정!$H$5:$H$7,업무일지!$D701)=0,"직무구분 누락; ","")&amp;IF(업무일지!$E701="","세부유형 누락; ",IF(AND(업무일지!$D701&lt;&gt;"",COUNTIFS(코드설정!$A$5:$A$21,업무일지!$D701,코드설정!$B$5:$B$21,업무일지!$E701)=0),"세부유형이 직무구분과 불일치; ",""))&amp;IF(AND(업무일지!$F701&lt;&gt;"",COUNTIF(사건마스터!$A$5:$A$64,업무일지!$F701)=0),"미등록 사건번호; ","")&amp;IF(AND(업무일지!$F701="",업무일지!$H701=""),"사건번호·업무명 모두 없음; ","")&amp;IF(업무일지!$J701="","담당자 없음; ","")&amp;IF(COUNTIF(코드설정!$F$5:$F$7,업무일지!$AG701)=0,"진행상태 누락; ","")))</f>
        <v/>
      </c>
    </row>
    <row r="734">
      <c r="A734" s="26" t="inlineStr">
        <is>
          <t>업무일지</t>
        </is>
      </c>
      <c r="B734" s="66" t="n">
        <v>702</v>
      </c>
      <c r="C734" s="122">
        <f>IF($D734="","",IFERROR(TEXT(업무일지!$B702,"yyyy-mm-dd"),"(날짜없음)")&amp;"  "&amp;업무일지!$F702&amp;"  "&amp;업무일지!$H702)</f>
        <v/>
      </c>
      <c r="D734" s="122">
        <f>IF(NOT(COUNTBLANK(업무일지!$B702:$AH702)&lt;33),"",TRIM(IF(업무일지!$B702="","시작일 누락; ","")&amp;IF(업무일지!$C702="","종료일 누락; ","")&amp;IF(AND(업무일지!$B702&lt;&gt;"",업무일지!$C702&lt;&gt;"",업무일지!$C702&lt;업무일지!$B702),"종료일이 시작일보다 빠름; ","")&amp;IF(COUNTIF(코드설정!$H$5:$H$7,업무일지!$D702)=0,"직무구분 누락; ","")&amp;IF(업무일지!$E702="","세부유형 누락; ",IF(AND(업무일지!$D702&lt;&gt;"",COUNTIFS(코드설정!$A$5:$A$21,업무일지!$D702,코드설정!$B$5:$B$21,업무일지!$E702)=0),"세부유형이 직무구분과 불일치; ",""))&amp;IF(AND(업무일지!$F702&lt;&gt;"",COUNTIF(사건마스터!$A$5:$A$64,업무일지!$F702)=0),"미등록 사건번호; ","")&amp;IF(AND(업무일지!$F702="",업무일지!$H702=""),"사건번호·업무명 모두 없음; ","")&amp;IF(업무일지!$J702="","담당자 없음; ","")&amp;IF(COUNTIF(코드설정!$F$5:$F$7,업무일지!$AG702)=0,"진행상태 누락; ","")))</f>
        <v/>
      </c>
    </row>
    <row r="735">
      <c r="A735" s="26" t="inlineStr">
        <is>
          <t>업무일지</t>
        </is>
      </c>
      <c r="B735" s="66" t="n">
        <v>703</v>
      </c>
      <c r="C735" s="122">
        <f>IF($D735="","",IFERROR(TEXT(업무일지!$B703,"yyyy-mm-dd"),"(날짜없음)")&amp;"  "&amp;업무일지!$F703&amp;"  "&amp;업무일지!$H703)</f>
        <v/>
      </c>
      <c r="D735" s="122">
        <f>IF(NOT(COUNTBLANK(업무일지!$B703:$AH703)&lt;33),"",TRIM(IF(업무일지!$B703="","시작일 누락; ","")&amp;IF(업무일지!$C703="","종료일 누락; ","")&amp;IF(AND(업무일지!$B703&lt;&gt;"",업무일지!$C703&lt;&gt;"",업무일지!$C703&lt;업무일지!$B703),"종료일이 시작일보다 빠름; ","")&amp;IF(COUNTIF(코드설정!$H$5:$H$7,업무일지!$D703)=0,"직무구분 누락; ","")&amp;IF(업무일지!$E703="","세부유형 누락; ",IF(AND(업무일지!$D703&lt;&gt;"",COUNTIFS(코드설정!$A$5:$A$21,업무일지!$D703,코드설정!$B$5:$B$21,업무일지!$E703)=0),"세부유형이 직무구분과 불일치; ",""))&amp;IF(AND(업무일지!$F703&lt;&gt;"",COUNTIF(사건마스터!$A$5:$A$64,업무일지!$F703)=0),"미등록 사건번호; ","")&amp;IF(AND(업무일지!$F703="",업무일지!$H703=""),"사건번호·업무명 모두 없음; ","")&amp;IF(업무일지!$J703="","담당자 없음; ","")&amp;IF(COUNTIF(코드설정!$F$5:$F$7,업무일지!$AG703)=0,"진행상태 누락; ","")))</f>
        <v/>
      </c>
    </row>
    <row r="736">
      <c r="A736" s="26" t="inlineStr">
        <is>
          <t>업무일지</t>
        </is>
      </c>
      <c r="B736" s="66" t="n">
        <v>704</v>
      </c>
      <c r="C736" s="122">
        <f>IF($D736="","",IFERROR(TEXT(업무일지!$B704,"yyyy-mm-dd"),"(날짜없음)")&amp;"  "&amp;업무일지!$F704&amp;"  "&amp;업무일지!$H704)</f>
        <v/>
      </c>
      <c r="D736" s="122">
        <f>IF(NOT(COUNTBLANK(업무일지!$B704:$AH704)&lt;33),"",TRIM(IF(업무일지!$B704="","시작일 누락; ","")&amp;IF(업무일지!$C704="","종료일 누락; ","")&amp;IF(AND(업무일지!$B704&lt;&gt;"",업무일지!$C704&lt;&gt;"",업무일지!$C704&lt;업무일지!$B704),"종료일이 시작일보다 빠름; ","")&amp;IF(COUNTIF(코드설정!$H$5:$H$7,업무일지!$D704)=0,"직무구분 누락; ","")&amp;IF(업무일지!$E704="","세부유형 누락; ",IF(AND(업무일지!$D704&lt;&gt;"",COUNTIFS(코드설정!$A$5:$A$21,업무일지!$D704,코드설정!$B$5:$B$21,업무일지!$E704)=0),"세부유형이 직무구분과 불일치; ",""))&amp;IF(AND(업무일지!$F704&lt;&gt;"",COUNTIF(사건마스터!$A$5:$A$64,업무일지!$F704)=0),"미등록 사건번호; ","")&amp;IF(AND(업무일지!$F704="",업무일지!$H704=""),"사건번호·업무명 모두 없음; ","")&amp;IF(업무일지!$J704="","담당자 없음; ","")&amp;IF(COUNTIF(코드설정!$F$5:$F$7,업무일지!$AG704)=0,"진행상태 누락; ","")))</f>
        <v/>
      </c>
    </row>
    <row r="737">
      <c r="A737" s="26" t="inlineStr">
        <is>
          <t>업무일지</t>
        </is>
      </c>
      <c r="B737" s="66" t="n">
        <v>705</v>
      </c>
      <c r="C737" s="122">
        <f>IF($D737="","",IFERROR(TEXT(업무일지!$B705,"yyyy-mm-dd"),"(날짜없음)")&amp;"  "&amp;업무일지!$F705&amp;"  "&amp;업무일지!$H705)</f>
        <v/>
      </c>
      <c r="D737" s="122">
        <f>IF(NOT(COUNTBLANK(업무일지!$B705:$AH705)&lt;33),"",TRIM(IF(업무일지!$B705="","시작일 누락; ","")&amp;IF(업무일지!$C705="","종료일 누락; ","")&amp;IF(AND(업무일지!$B705&lt;&gt;"",업무일지!$C705&lt;&gt;"",업무일지!$C705&lt;업무일지!$B705),"종료일이 시작일보다 빠름; ","")&amp;IF(COUNTIF(코드설정!$H$5:$H$7,업무일지!$D705)=0,"직무구분 누락; ","")&amp;IF(업무일지!$E705="","세부유형 누락; ",IF(AND(업무일지!$D705&lt;&gt;"",COUNTIFS(코드설정!$A$5:$A$21,업무일지!$D705,코드설정!$B$5:$B$21,업무일지!$E705)=0),"세부유형이 직무구분과 불일치; ",""))&amp;IF(AND(업무일지!$F705&lt;&gt;"",COUNTIF(사건마스터!$A$5:$A$64,업무일지!$F705)=0),"미등록 사건번호; ","")&amp;IF(AND(업무일지!$F705="",업무일지!$H705=""),"사건번호·업무명 모두 없음; ","")&amp;IF(업무일지!$J705="","담당자 없음; ","")&amp;IF(COUNTIF(코드설정!$F$5:$F$7,업무일지!$AG705)=0,"진행상태 누락; ","")))</f>
        <v/>
      </c>
    </row>
    <row r="738">
      <c r="A738" s="26" t="inlineStr">
        <is>
          <t>업무일지</t>
        </is>
      </c>
      <c r="B738" s="66" t="n">
        <v>706</v>
      </c>
      <c r="C738" s="122">
        <f>IF($D738="","",IFERROR(TEXT(업무일지!$B706,"yyyy-mm-dd"),"(날짜없음)")&amp;"  "&amp;업무일지!$F706&amp;"  "&amp;업무일지!$H706)</f>
        <v/>
      </c>
      <c r="D738" s="122">
        <f>IF(NOT(COUNTBLANK(업무일지!$B706:$AH706)&lt;33),"",TRIM(IF(업무일지!$B706="","시작일 누락; ","")&amp;IF(업무일지!$C706="","종료일 누락; ","")&amp;IF(AND(업무일지!$B706&lt;&gt;"",업무일지!$C706&lt;&gt;"",업무일지!$C706&lt;업무일지!$B706),"종료일이 시작일보다 빠름; ","")&amp;IF(COUNTIF(코드설정!$H$5:$H$7,업무일지!$D706)=0,"직무구분 누락; ","")&amp;IF(업무일지!$E706="","세부유형 누락; ",IF(AND(업무일지!$D706&lt;&gt;"",COUNTIFS(코드설정!$A$5:$A$21,업무일지!$D706,코드설정!$B$5:$B$21,업무일지!$E706)=0),"세부유형이 직무구분과 불일치; ",""))&amp;IF(AND(업무일지!$F706&lt;&gt;"",COUNTIF(사건마스터!$A$5:$A$64,업무일지!$F706)=0),"미등록 사건번호; ","")&amp;IF(AND(업무일지!$F706="",업무일지!$H706=""),"사건번호·업무명 모두 없음; ","")&amp;IF(업무일지!$J706="","담당자 없음; ","")&amp;IF(COUNTIF(코드설정!$F$5:$F$7,업무일지!$AG706)=0,"진행상태 누락; ","")))</f>
        <v/>
      </c>
    </row>
    <row r="739">
      <c r="A739" s="26" t="inlineStr">
        <is>
          <t>업무일지</t>
        </is>
      </c>
      <c r="B739" s="66" t="n">
        <v>707</v>
      </c>
      <c r="C739" s="122">
        <f>IF($D739="","",IFERROR(TEXT(업무일지!$B707,"yyyy-mm-dd"),"(날짜없음)")&amp;"  "&amp;업무일지!$F707&amp;"  "&amp;업무일지!$H707)</f>
        <v/>
      </c>
      <c r="D739" s="122">
        <f>IF(NOT(COUNTBLANK(업무일지!$B707:$AH707)&lt;33),"",TRIM(IF(업무일지!$B707="","시작일 누락; ","")&amp;IF(업무일지!$C707="","종료일 누락; ","")&amp;IF(AND(업무일지!$B707&lt;&gt;"",업무일지!$C707&lt;&gt;"",업무일지!$C707&lt;업무일지!$B707),"종료일이 시작일보다 빠름; ","")&amp;IF(COUNTIF(코드설정!$H$5:$H$7,업무일지!$D707)=0,"직무구분 누락; ","")&amp;IF(업무일지!$E707="","세부유형 누락; ",IF(AND(업무일지!$D707&lt;&gt;"",COUNTIFS(코드설정!$A$5:$A$21,업무일지!$D707,코드설정!$B$5:$B$21,업무일지!$E707)=0),"세부유형이 직무구분과 불일치; ",""))&amp;IF(AND(업무일지!$F707&lt;&gt;"",COUNTIF(사건마스터!$A$5:$A$64,업무일지!$F707)=0),"미등록 사건번호; ","")&amp;IF(AND(업무일지!$F707="",업무일지!$H707=""),"사건번호·업무명 모두 없음; ","")&amp;IF(업무일지!$J707="","담당자 없음; ","")&amp;IF(COUNTIF(코드설정!$F$5:$F$7,업무일지!$AG707)=0,"진행상태 누락; ","")))</f>
        <v/>
      </c>
    </row>
    <row r="740">
      <c r="A740" s="26" t="inlineStr">
        <is>
          <t>업무일지</t>
        </is>
      </c>
      <c r="B740" s="66" t="n">
        <v>708</v>
      </c>
      <c r="C740" s="122">
        <f>IF($D740="","",IFERROR(TEXT(업무일지!$B708,"yyyy-mm-dd"),"(날짜없음)")&amp;"  "&amp;업무일지!$F708&amp;"  "&amp;업무일지!$H708)</f>
        <v/>
      </c>
      <c r="D740" s="122">
        <f>IF(NOT(COUNTBLANK(업무일지!$B708:$AH708)&lt;33),"",TRIM(IF(업무일지!$B708="","시작일 누락; ","")&amp;IF(업무일지!$C708="","종료일 누락; ","")&amp;IF(AND(업무일지!$B708&lt;&gt;"",업무일지!$C708&lt;&gt;"",업무일지!$C708&lt;업무일지!$B708),"종료일이 시작일보다 빠름; ","")&amp;IF(COUNTIF(코드설정!$H$5:$H$7,업무일지!$D708)=0,"직무구분 누락; ","")&amp;IF(업무일지!$E708="","세부유형 누락; ",IF(AND(업무일지!$D708&lt;&gt;"",COUNTIFS(코드설정!$A$5:$A$21,업무일지!$D708,코드설정!$B$5:$B$21,업무일지!$E708)=0),"세부유형이 직무구분과 불일치; ",""))&amp;IF(AND(업무일지!$F708&lt;&gt;"",COUNTIF(사건마스터!$A$5:$A$64,업무일지!$F708)=0),"미등록 사건번호; ","")&amp;IF(AND(업무일지!$F708="",업무일지!$H708=""),"사건번호·업무명 모두 없음; ","")&amp;IF(업무일지!$J708="","담당자 없음; ","")&amp;IF(COUNTIF(코드설정!$F$5:$F$7,업무일지!$AG708)=0,"진행상태 누락; ","")))</f>
        <v/>
      </c>
    </row>
    <row r="741">
      <c r="A741" s="26" t="inlineStr">
        <is>
          <t>업무일지</t>
        </is>
      </c>
      <c r="B741" s="66" t="n">
        <v>709</v>
      </c>
      <c r="C741" s="122">
        <f>IF($D741="","",IFERROR(TEXT(업무일지!$B709,"yyyy-mm-dd"),"(날짜없음)")&amp;"  "&amp;업무일지!$F709&amp;"  "&amp;업무일지!$H709)</f>
        <v/>
      </c>
      <c r="D741" s="122">
        <f>IF(NOT(COUNTBLANK(업무일지!$B709:$AH709)&lt;33),"",TRIM(IF(업무일지!$B709="","시작일 누락; ","")&amp;IF(업무일지!$C709="","종료일 누락; ","")&amp;IF(AND(업무일지!$B709&lt;&gt;"",업무일지!$C709&lt;&gt;"",업무일지!$C709&lt;업무일지!$B709),"종료일이 시작일보다 빠름; ","")&amp;IF(COUNTIF(코드설정!$H$5:$H$7,업무일지!$D709)=0,"직무구분 누락; ","")&amp;IF(업무일지!$E709="","세부유형 누락; ",IF(AND(업무일지!$D709&lt;&gt;"",COUNTIFS(코드설정!$A$5:$A$21,업무일지!$D709,코드설정!$B$5:$B$21,업무일지!$E709)=0),"세부유형이 직무구분과 불일치; ",""))&amp;IF(AND(업무일지!$F709&lt;&gt;"",COUNTIF(사건마스터!$A$5:$A$64,업무일지!$F709)=0),"미등록 사건번호; ","")&amp;IF(AND(업무일지!$F709="",업무일지!$H709=""),"사건번호·업무명 모두 없음; ","")&amp;IF(업무일지!$J709="","담당자 없음; ","")&amp;IF(COUNTIF(코드설정!$F$5:$F$7,업무일지!$AG709)=0,"진행상태 누락; ","")))</f>
        <v/>
      </c>
    </row>
    <row r="742">
      <c r="A742" s="26" t="inlineStr">
        <is>
          <t>업무일지</t>
        </is>
      </c>
      <c r="B742" s="66" t="n">
        <v>710</v>
      </c>
      <c r="C742" s="122">
        <f>IF($D742="","",IFERROR(TEXT(업무일지!$B710,"yyyy-mm-dd"),"(날짜없음)")&amp;"  "&amp;업무일지!$F710&amp;"  "&amp;업무일지!$H710)</f>
        <v/>
      </c>
      <c r="D742" s="122">
        <f>IF(NOT(COUNTBLANK(업무일지!$B710:$AH710)&lt;33),"",TRIM(IF(업무일지!$B710="","시작일 누락; ","")&amp;IF(업무일지!$C710="","종료일 누락; ","")&amp;IF(AND(업무일지!$B710&lt;&gt;"",업무일지!$C710&lt;&gt;"",업무일지!$C710&lt;업무일지!$B710),"종료일이 시작일보다 빠름; ","")&amp;IF(COUNTIF(코드설정!$H$5:$H$7,업무일지!$D710)=0,"직무구분 누락; ","")&amp;IF(업무일지!$E710="","세부유형 누락; ",IF(AND(업무일지!$D710&lt;&gt;"",COUNTIFS(코드설정!$A$5:$A$21,업무일지!$D710,코드설정!$B$5:$B$21,업무일지!$E710)=0),"세부유형이 직무구분과 불일치; ",""))&amp;IF(AND(업무일지!$F710&lt;&gt;"",COUNTIF(사건마스터!$A$5:$A$64,업무일지!$F710)=0),"미등록 사건번호; ","")&amp;IF(AND(업무일지!$F710="",업무일지!$H710=""),"사건번호·업무명 모두 없음; ","")&amp;IF(업무일지!$J710="","담당자 없음; ","")&amp;IF(COUNTIF(코드설정!$F$5:$F$7,업무일지!$AG710)=0,"진행상태 누락; ","")))</f>
        <v/>
      </c>
    </row>
    <row r="743">
      <c r="A743" s="26" t="inlineStr">
        <is>
          <t>업무일지</t>
        </is>
      </c>
      <c r="B743" s="66" t="n">
        <v>711</v>
      </c>
      <c r="C743" s="122">
        <f>IF($D743="","",IFERROR(TEXT(업무일지!$B711,"yyyy-mm-dd"),"(날짜없음)")&amp;"  "&amp;업무일지!$F711&amp;"  "&amp;업무일지!$H711)</f>
        <v/>
      </c>
      <c r="D743" s="122">
        <f>IF(NOT(COUNTBLANK(업무일지!$B711:$AH711)&lt;33),"",TRIM(IF(업무일지!$B711="","시작일 누락; ","")&amp;IF(업무일지!$C711="","종료일 누락; ","")&amp;IF(AND(업무일지!$B711&lt;&gt;"",업무일지!$C711&lt;&gt;"",업무일지!$C711&lt;업무일지!$B711),"종료일이 시작일보다 빠름; ","")&amp;IF(COUNTIF(코드설정!$H$5:$H$7,업무일지!$D711)=0,"직무구분 누락; ","")&amp;IF(업무일지!$E711="","세부유형 누락; ",IF(AND(업무일지!$D711&lt;&gt;"",COUNTIFS(코드설정!$A$5:$A$21,업무일지!$D711,코드설정!$B$5:$B$21,업무일지!$E711)=0),"세부유형이 직무구분과 불일치; ",""))&amp;IF(AND(업무일지!$F711&lt;&gt;"",COUNTIF(사건마스터!$A$5:$A$64,업무일지!$F711)=0),"미등록 사건번호; ","")&amp;IF(AND(업무일지!$F711="",업무일지!$H711=""),"사건번호·업무명 모두 없음; ","")&amp;IF(업무일지!$J711="","담당자 없음; ","")&amp;IF(COUNTIF(코드설정!$F$5:$F$7,업무일지!$AG711)=0,"진행상태 누락; ","")))</f>
        <v/>
      </c>
    </row>
    <row r="744">
      <c r="A744" s="26" t="inlineStr">
        <is>
          <t>업무일지</t>
        </is>
      </c>
      <c r="B744" s="66" t="n">
        <v>712</v>
      </c>
      <c r="C744" s="122">
        <f>IF($D744="","",IFERROR(TEXT(업무일지!$B712,"yyyy-mm-dd"),"(날짜없음)")&amp;"  "&amp;업무일지!$F712&amp;"  "&amp;업무일지!$H712)</f>
        <v/>
      </c>
      <c r="D744" s="122">
        <f>IF(NOT(COUNTBLANK(업무일지!$B712:$AH712)&lt;33),"",TRIM(IF(업무일지!$B712="","시작일 누락; ","")&amp;IF(업무일지!$C712="","종료일 누락; ","")&amp;IF(AND(업무일지!$B712&lt;&gt;"",업무일지!$C712&lt;&gt;"",업무일지!$C712&lt;업무일지!$B712),"종료일이 시작일보다 빠름; ","")&amp;IF(COUNTIF(코드설정!$H$5:$H$7,업무일지!$D712)=0,"직무구분 누락; ","")&amp;IF(업무일지!$E712="","세부유형 누락; ",IF(AND(업무일지!$D712&lt;&gt;"",COUNTIFS(코드설정!$A$5:$A$21,업무일지!$D712,코드설정!$B$5:$B$21,업무일지!$E712)=0),"세부유형이 직무구분과 불일치; ",""))&amp;IF(AND(업무일지!$F712&lt;&gt;"",COUNTIF(사건마스터!$A$5:$A$64,업무일지!$F712)=0),"미등록 사건번호; ","")&amp;IF(AND(업무일지!$F712="",업무일지!$H712=""),"사건번호·업무명 모두 없음; ","")&amp;IF(업무일지!$J712="","담당자 없음; ","")&amp;IF(COUNTIF(코드설정!$F$5:$F$7,업무일지!$AG712)=0,"진행상태 누락; ","")))</f>
        <v/>
      </c>
    </row>
    <row r="745">
      <c r="A745" s="26" t="inlineStr">
        <is>
          <t>업무일지</t>
        </is>
      </c>
      <c r="B745" s="66" t="n">
        <v>713</v>
      </c>
      <c r="C745" s="122">
        <f>IF($D745="","",IFERROR(TEXT(업무일지!$B713,"yyyy-mm-dd"),"(날짜없음)")&amp;"  "&amp;업무일지!$F713&amp;"  "&amp;업무일지!$H713)</f>
        <v/>
      </c>
      <c r="D745" s="122">
        <f>IF(NOT(COUNTBLANK(업무일지!$B713:$AH713)&lt;33),"",TRIM(IF(업무일지!$B713="","시작일 누락; ","")&amp;IF(업무일지!$C713="","종료일 누락; ","")&amp;IF(AND(업무일지!$B713&lt;&gt;"",업무일지!$C713&lt;&gt;"",업무일지!$C713&lt;업무일지!$B713),"종료일이 시작일보다 빠름; ","")&amp;IF(COUNTIF(코드설정!$H$5:$H$7,업무일지!$D713)=0,"직무구분 누락; ","")&amp;IF(업무일지!$E713="","세부유형 누락; ",IF(AND(업무일지!$D713&lt;&gt;"",COUNTIFS(코드설정!$A$5:$A$21,업무일지!$D713,코드설정!$B$5:$B$21,업무일지!$E713)=0),"세부유형이 직무구분과 불일치; ",""))&amp;IF(AND(업무일지!$F713&lt;&gt;"",COUNTIF(사건마스터!$A$5:$A$64,업무일지!$F713)=0),"미등록 사건번호; ","")&amp;IF(AND(업무일지!$F713="",업무일지!$H713=""),"사건번호·업무명 모두 없음; ","")&amp;IF(업무일지!$J713="","담당자 없음; ","")&amp;IF(COUNTIF(코드설정!$F$5:$F$7,업무일지!$AG713)=0,"진행상태 누락; ","")))</f>
        <v/>
      </c>
    </row>
    <row r="746">
      <c r="A746" s="26" t="inlineStr">
        <is>
          <t>업무일지</t>
        </is>
      </c>
      <c r="B746" s="66" t="n">
        <v>714</v>
      </c>
      <c r="C746" s="122">
        <f>IF($D746="","",IFERROR(TEXT(업무일지!$B714,"yyyy-mm-dd"),"(날짜없음)")&amp;"  "&amp;업무일지!$F714&amp;"  "&amp;업무일지!$H714)</f>
        <v/>
      </c>
      <c r="D746" s="122">
        <f>IF(NOT(COUNTBLANK(업무일지!$B714:$AH714)&lt;33),"",TRIM(IF(업무일지!$B714="","시작일 누락; ","")&amp;IF(업무일지!$C714="","종료일 누락; ","")&amp;IF(AND(업무일지!$B714&lt;&gt;"",업무일지!$C714&lt;&gt;"",업무일지!$C714&lt;업무일지!$B714),"종료일이 시작일보다 빠름; ","")&amp;IF(COUNTIF(코드설정!$H$5:$H$7,업무일지!$D714)=0,"직무구분 누락; ","")&amp;IF(업무일지!$E714="","세부유형 누락; ",IF(AND(업무일지!$D714&lt;&gt;"",COUNTIFS(코드설정!$A$5:$A$21,업무일지!$D714,코드설정!$B$5:$B$21,업무일지!$E714)=0),"세부유형이 직무구분과 불일치; ",""))&amp;IF(AND(업무일지!$F714&lt;&gt;"",COUNTIF(사건마스터!$A$5:$A$64,업무일지!$F714)=0),"미등록 사건번호; ","")&amp;IF(AND(업무일지!$F714="",업무일지!$H714=""),"사건번호·업무명 모두 없음; ","")&amp;IF(업무일지!$J714="","담당자 없음; ","")&amp;IF(COUNTIF(코드설정!$F$5:$F$7,업무일지!$AG714)=0,"진행상태 누락; ","")))</f>
        <v/>
      </c>
    </row>
    <row r="747">
      <c r="A747" s="26" t="inlineStr">
        <is>
          <t>업무일지</t>
        </is>
      </c>
      <c r="B747" s="66" t="n">
        <v>715</v>
      </c>
      <c r="C747" s="122">
        <f>IF($D747="","",IFERROR(TEXT(업무일지!$B715,"yyyy-mm-dd"),"(날짜없음)")&amp;"  "&amp;업무일지!$F715&amp;"  "&amp;업무일지!$H715)</f>
        <v/>
      </c>
      <c r="D747" s="122">
        <f>IF(NOT(COUNTBLANK(업무일지!$B715:$AH715)&lt;33),"",TRIM(IF(업무일지!$B715="","시작일 누락; ","")&amp;IF(업무일지!$C715="","종료일 누락; ","")&amp;IF(AND(업무일지!$B715&lt;&gt;"",업무일지!$C715&lt;&gt;"",업무일지!$C715&lt;업무일지!$B715),"종료일이 시작일보다 빠름; ","")&amp;IF(COUNTIF(코드설정!$H$5:$H$7,업무일지!$D715)=0,"직무구분 누락; ","")&amp;IF(업무일지!$E715="","세부유형 누락; ",IF(AND(업무일지!$D715&lt;&gt;"",COUNTIFS(코드설정!$A$5:$A$21,업무일지!$D715,코드설정!$B$5:$B$21,업무일지!$E715)=0),"세부유형이 직무구분과 불일치; ",""))&amp;IF(AND(업무일지!$F715&lt;&gt;"",COUNTIF(사건마스터!$A$5:$A$64,업무일지!$F715)=0),"미등록 사건번호; ","")&amp;IF(AND(업무일지!$F715="",업무일지!$H715=""),"사건번호·업무명 모두 없음; ","")&amp;IF(업무일지!$J715="","담당자 없음; ","")&amp;IF(COUNTIF(코드설정!$F$5:$F$7,업무일지!$AG715)=0,"진행상태 누락; ","")))</f>
        <v/>
      </c>
    </row>
    <row r="748">
      <c r="A748" s="26" t="inlineStr">
        <is>
          <t>업무일지</t>
        </is>
      </c>
      <c r="B748" s="66" t="n">
        <v>716</v>
      </c>
      <c r="C748" s="122">
        <f>IF($D748="","",IFERROR(TEXT(업무일지!$B716,"yyyy-mm-dd"),"(날짜없음)")&amp;"  "&amp;업무일지!$F716&amp;"  "&amp;업무일지!$H716)</f>
        <v/>
      </c>
      <c r="D748" s="122">
        <f>IF(NOT(COUNTBLANK(업무일지!$B716:$AH716)&lt;33),"",TRIM(IF(업무일지!$B716="","시작일 누락; ","")&amp;IF(업무일지!$C716="","종료일 누락; ","")&amp;IF(AND(업무일지!$B716&lt;&gt;"",업무일지!$C716&lt;&gt;"",업무일지!$C716&lt;업무일지!$B716),"종료일이 시작일보다 빠름; ","")&amp;IF(COUNTIF(코드설정!$H$5:$H$7,업무일지!$D716)=0,"직무구분 누락; ","")&amp;IF(업무일지!$E716="","세부유형 누락; ",IF(AND(업무일지!$D716&lt;&gt;"",COUNTIFS(코드설정!$A$5:$A$21,업무일지!$D716,코드설정!$B$5:$B$21,업무일지!$E716)=0),"세부유형이 직무구분과 불일치; ",""))&amp;IF(AND(업무일지!$F716&lt;&gt;"",COUNTIF(사건마스터!$A$5:$A$64,업무일지!$F716)=0),"미등록 사건번호; ","")&amp;IF(AND(업무일지!$F716="",업무일지!$H716=""),"사건번호·업무명 모두 없음; ","")&amp;IF(업무일지!$J716="","담당자 없음; ","")&amp;IF(COUNTIF(코드설정!$F$5:$F$7,업무일지!$AG716)=0,"진행상태 누락; ","")))</f>
        <v/>
      </c>
    </row>
    <row r="749">
      <c r="A749" s="26" t="inlineStr">
        <is>
          <t>업무일지</t>
        </is>
      </c>
      <c r="B749" s="66" t="n">
        <v>717</v>
      </c>
      <c r="C749" s="122">
        <f>IF($D749="","",IFERROR(TEXT(업무일지!$B717,"yyyy-mm-dd"),"(날짜없음)")&amp;"  "&amp;업무일지!$F717&amp;"  "&amp;업무일지!$H717)</f>
        <v/>
      </c>
      <c r="D749" s="122">
        <f>IF(NOT(COUNTBLANK(업무일지!$B717:$AH717)&lt;33),"",TRIM(IF(업무일지!$B717="","시작일 누락; ","")&amp;IF(업무일지!$C717="","종료일 누락; ","")&amp;IF(AND(업무일지!$B717&lt;&gt;"",업무일지!$C717&lt;&gt;"",업무일지!$C717&lt;업무일지!$B717),"종료일이 시작일보다 빠름; ","")&amp;IF(COUNTIF(코드설정!$H$5:$H$7,업무일지!$D717)=0,"직무구분 누락; ","")&amp;IF(업무일지!$E717="","세부유형 누락; ",IF(AND(업무일지!$D717&lt;&gt;"",COUNTIFS(코드설정!$A$5:$A$21,업무일지!$D717,코드설정!$B$5:$B$21,업무일지!$E717)=0),"세부유형이 직무구분과 불일치; ",""))&amp;IF(AND(업무일지!$F717&lt;&gt;"",COUNTIF(사건마스터!$A$5:$A$64,업무일지!$F717)=0),"미등록 사건번호; ","")&amp;IF(AND(업무일지!$F717="",업무일지!$H717=""),"사건번호·업무명 모두 없음; ","")&amp;IF(업무일지!$J717="","담당자 없음; ","")&amp;IF(COUNTIF(코드설정!$F$5:$F$7,업무일지!$AG717)=0,"진행상태 누락; ","")))</f>
        <v/>
      </c>
    </row>
    <row r="750">
      <c r="A750" s="26" t="inlineStr">
        <is>
          <t>업무일지</t>
        </is>
      </c>
      <c r="B750" s="66" t="n">
        <v>718</v>
      </c>
      <c r="C750" s="122">
        <f>IF($D750="","",IFERROR(TEXT(업무일지!$B718,"yyyy-mm-dd"),"(날짜없음)")&amp;"  "&amp;업무일지!$F718&amp;"  "&amp;업무일지!$H718)</f>
        <v/>
      </c>
      <c r="D750" s="122">
        <f>IF(NOT(COUNTBLANK(업무일지!$B718:$AH718)&lt;33),"",TRIM(IF(업무일지!$B718="","시작일 누락; ","")&amp;IF(업무일지!$C718="","종료일 누락; ","")&amp;IF(AND(업무일지!$B718&lt;&gt;"",업무일지!$C718&lt;&gt;"",업무일지!$C718&lt;업무일지!$B718),"종료일이 시작일보다 빠름; ","")&amp;IF(COUNTIF(코드설정!$H$5:$H$7,업무일지!$D718)=0,"직무구분 누락; ","")&amp;IF(업무일지!$E718="","세부유형 누락; ",IF(AND(업무일지!$D718&lt;&gt;"",COUNTIFS(코드설정!$A$5:$A$21,업무일지!$D718,코드설정!$B$5:$B$21,업무일지!$E718)=0),"세부유형이 직무구분과 불일치; ",""))&amp;IF(AND(업무일지!$F718&lt;&gt;"",COUNTIF(사건마스터!$A$5:$A$64,업무일지!$F718)=0),"미등록 사건번호; ","")&amp;IF(AND(업무일지!$F718="",업무일지!$H718=""),"사건번호·업무명 모두 없음; ","")&amp;IF(업무일지!$J718="","담당자 없음; ","")&amp;IF(COUNTIF(코드설정!$F$5:$F$7,업무일지!$AG718)=0,"진행상태 누락; ","")))</f>
        <v/>
      </c>
    </row>
    <row r="751">
      <c r="A751" s="26" t="inlineStr">
        <is>
          <t>업무일지</t>
        </is>
      </c>
      <c r="B751" s="66" t="n">
        <v>719</v>
      </c>
      <c r="C751" s="122">
        <f>IF($D751="","",IFERROR(TEXT(업무일지!$B719,"yyyy-mm-dd"),"(날짜없음)")&amp;"  "&amp;업무일지!$F719&amp;"  "&amp;업무일지!$H719)</f>
        <v/>
      </c>
      <c r="D751" s="122">
        <f>IF(NOT(COUNTBLANK(업무일지!$B719:$AH719)&lt;33),"",TRIM(IF(업무일지!$B719="","시작일 누락; ","")&amp;IF(업무일지!$C719="","종료일 누락; ","")&amp;IF(AND(업무일지!$B719&lt;&gt;"",업무일지!$C719&lt;&gt;"",업무일지!$C719&lt;업무일지!$B719),"종료일이 시작일보다 빠름; ","")&amp;IF(COUNTIF(코드설정!$H$5:$H$7,업무일지!$D719)=0,"직무구분 누락; ","")&amp;IF(업무일지!$E719="","세부유형 누락; ",IF(AND(업무일지!$D719&lt;&gt;"",COUNTIFS(코드설정!$A$5:$A$21,업무일지!$D719,코드설정!$B$5:$B$21,업무일지!$E719)=0),"세부유형이 직무구분과 불일치; ",""))&amp;IF(AND(업무일지!$F719&lt;&gt;"",COUNTIF(사건마스터!$A$5:$A$64,업무일지!$F719)=0),"미등록 사건번호; ","")&amp;IF(AND(업무일지!$F719="",업무일지!$H719=""),"사건번호·업무명 모두 없음; ","")&amp;IF(업무일지!$J719="","담당자 없음; ","")&amp;IF(COUNTIF(코드설정!$F$5:$F$7,업무일지!$AG719)=0,"진행상태 누락; ","")))</f>
        <v/>
      </c>
    </row>
    <row r="752">
      <c r="A752" s="26" t="inlineStr">
        <is>
          <t>업무일지</t>
        </is>
      </c>
      <c r="B752" s="66" t="n">
        <v>720</v>
      </c>
      <c r="C752" s="122">
        <f>IF($D752="","",IFERROR(TEXT(업무일지!$B720,"yyyy-mm-dd"),"(날짜없음)")&amp;"  "&amp;업무일지!$F720&amp;"  "&amp;업무일지!$H720)</f>
        <v/>
      </c>
      <c r="D752" s="122">
        <f>IF(NOT(COUNTBLANK(업무일지!$B720:$AH720)&lt;33),"",TRIM(IF(업무일지!$B720="","시작일 누락; ","")&amp;IF(업무일지!$C720="","종료일 누락; ","")&amp;IF(AND(업무일지!$B720&lt;&gt;"",업무일지!$C720&lt;&gt;"",업무일지!$C720&lt;업무일지!$B720),"종료일이 시작일보다 빠름; ","")&amp;IF(COUNTIF(코드설정!$H$5:$H$7,업무일지!$D720)=0,"직무구분 누락; ","")&amp;IF(업무일지!$E720="","세부유형 누락; ",IF(AND(업무일지!$D720&lt;&gt;"",COUNTIFS(코드설정!$A$5:$A$21,업무일지!$D720,코드설정!$B$5:$B$21,업무일지!$E720)=0),"세부유형이 직무구분과 불일치; ",""))&amp;IF(AND(업무일지!$F720&lt;&gt;"",COUNTIF(사건마스터!$A$5:$A$64,업무일지!$F720)=0),"미등록 사건번호; ","")&amp;IF(AND(업무일지!$F720="",업무일지!$H720=""),"사건번호·업무명 모두 없음; ","")&amp;IF(업무일지!$J720="","담당자 없음; ","")&amp;IF(COUNTIF(코드설정!$F$5:$F$7,업무일지!$AG720)=0,"진행상태 누락; ","")))</f>
        <v/>
      </c>
    </row>
    <row r="753">
      <c r="A753" s="26" t="inlineStr">
        <is>
          <t>업무일지</t>
        </is>
      </c>
      <c r="B753" s="66" t="n">
        <v>721</v>
      </c>
      <c r="C753" s="122">
        <f>IF($D753="","",IFERROR(TEXT(업무일지!$B721,"yyyy-mm-dd"),"(날짜없음)")&amp;"  "&amp;업무일지!$F721&amp;"  "&amp;업무일지!$H721)</f>
        <v/>
      </c>
      <c r="D753" s="122">
        <f>IF(NOT(COUNTBLANK(업무일지!$B721:$AH721)&lt;33),"",TRIM(IF(업무일지!$B721="","시작일 누락; ","")&amp;IF(업무일지!$C721="","종료일 누락; ","")&amp;IF(AND(업무일지!$B721&lt;&gt;"",업무일지!$C721&lt;&gt;"",업무일지!$C721&lt;업무일지!$B721),"종료일이 시작일보다 빠름; ","")&amp;IF(COUNTIF(코드설정!$H$5:$H$7,업무일지!$D721)=0,"직무구분 누락; ","")&amp;IF(업무일지!$E721="","세부유형 누락; ",IF(AND(업무일지!$D721&lt;&gt;"",COUNTIFS(코드설정!$A$5:$A$21,업무일지!$D721,코드설정!$B$5:$B$21,업무일지!$E721)=0),"세부유형이 직무구분과 불일치; ",""))&amp;IF(AND(업무일지!$F721&lt;&gt;"",COUNTIF(사건마스터!$A$5:$A$64,업무일지!$F721)=0),"미등록 사건번호; ","")&amp;IF(AND(업무일지!$F721="",업무일지!$H721=""),"사건번호·업무명 모두 없음; ","")&amp;IF(업무일지!$J721="","담당자 없음; ","")&amp;IF(COUNTIF(코드설정!$F$5:$F$7,업무일지!$AG721)=0,"진행상태 누락; ","")))</f>
        <v/>
      </c>
    </row>
    <row r="754">
      <c r="A754" s="26" t="inlineStr">
        <is>
          <t>업무일지</t>
        </is>
      </c>
      <c r="B754" s="66" t="n">
        <v>722</v>
      </c>
      <c r="C754" s="122">
        <f>IF($D754="","",IFERROR(TEXT(업무일지!$B722,"yyyy-mm-dd"),"(날짜없음)")&amp;"  "&amp;업무일지!$F722&amp;"  "&amp;업무일지!$H722)</f>
        <v/>
      </c>
      <c r="D754" s="122">
        <f>IF(NOT(COUNTBLANK(업무일지!$B722:$AH722)&lt;33),"",TRIM(IF(업무일지!$B722="","시작일 누락; ","")&amp;IF(업무일지!$C722="","종료일 누락; ","")&amp;IF(AND(업무일지!$B722&lt;&gt;"",업무일지!$C722&lt;&gt;"",업무일지!$C722&lt;업무일지!$B722),"종료일이 시작일보다 빠름; ","")&amp;IF(COUNTIF(코드설정!$H$5:$H$7,업무일지!$D722)=0,"직무구분 누락; ","")&amp;IF(업무일지!$E722="","세부유형 누락; ",IF(AND(업무일지!$D722&lt;&gt;"",COUNTIFS(코드설정!$A$5:$A$21,업무일지!$D722,코드설정!$B$5:$B$21,업무일지!$E722)=0),"세부유형이 직무구분과 불일치; ",""))&amp;IF(AND(업무일지!$F722&lt;&gt;"",COUNTIF(사건마스터!$A$5:$A$64,업무일지!$F722)=0),"미등록 사건번호; ","")&amp;IF(AND(업무일지!$F722="",업무일지!$H722=""),"사건번호·업무명 모두 없음; ","")&amp;IF(업무일지!$J722="","담당자 없음; ","")&amp;IF(COUNTIF(코드설정!$F$5:$F$7,업무일지!$AG722)=0,"진행상태 누락; ","")))</f>
        <v/>
      </c>
    </row>
    <row r="755">
      <c r="A755" s="26" t="inlineStr">
        <is>
          <t>업무일지</t>
        </is>
      </c>
      <c r="B755" s="66" t="n">
        <v>723</v>
      </c>
      <c r="C755" s="122">
        <f>IF($D755="","",IFERROR(TEXT(업무일지!$B723,"yyyy-mm-dd"),"(날짜없음)")&amp;"  "&amp;업무일지!$F723&amp;"  "&amp;업무일지!$H723)</f>
        <v/>
      </c>
      <c r="D755" s="122">
        <f>IF(NOT(COUNTBLANK(업무일지!$B723:$AH723)&lt;33),"",TRIM(IF(업무일지!$B723="","시작일 누락; ","")&amp;IF(업무일지!$C723="","종료일 누락; ","")&amp;IF(AND(업무일지!$B723&lt;&gt;"",업무일지!$C723&lt;&gt;"",업무일지!$C723&lt;업무일지!$B723),"종료일이 시작일보다 빠름; ","")&amp;IF(COUNTIF(코드설정!$H$5:$H$7,업무일지!$D723)=0,"직무구분 누락; ","")&amp;IF(업무일지!$E723="","세부유형 누락; ",IF(AND(업무일지!$D723&lt;&gt;"",COUNTIFS(코드설정!$A$5:$A$21,업무일지!$D723,코드설정!$B$5:$B$21,업무일지!$E723)=0),"세부유형이 직무구분과 불일치; ",""))&amp;IF(AND(업무일지!$F723&lt;&gt;"",COUNTIF(사건마스터!$A$5:$A$64,업무일지!$F723)=0),"미등록 사건번호; ","")&amp;IF(AND(업무일지!$F723="",업무일지!$H723=""),"사건번호·업무명 모두 없음; ","")&amp;IF(업무일지!$J723="","담당자 없음; ","")&amp;IF(COUNTIF(코드설정!$F$5:$F$7,업무일지!$AG723)=0,"진행상태 누락; ","")))</f>
        <v/>
      </c>
    </row>
    <row r="756">
      <c r="A756" s="26" t="inlineStr">
        <is>
          <t>업무일지</t>
        </is>
      </c>
      <c r="B756" s="66" t="n">
        <v>724</v>
      </c>
      <c r="C756" s="122">
        <f>IF($D756="","",IFERROR(TEXT(업무일지!$B724,"yyyy-mm-dd"),"(날짜없음)")&amp;"  "&amp;업무일지!$F724&amp;"  "&amp;업무일지!$H724)</f>
        <v/>
      </c>
      <c r="D756" s="122">
        <f>IF(NOT(COUNTBLANK(업무일지!$B724:$AH724)&lt;33),"",TRIM(IF(업무일지!$B724="","시작일 누락; ","")&amp;IF(업무일지!$C724="","종료일 누락; ","")&amp;IF(AND(업무일지!$B724&lt;&gt;"",업무일지!$C724&lt;&gt;"",업무일지!$C724&lt;업무일지!$B724),"종료일이 시작일보다 빠름; ","")&amp;IF(COUNTIF(코드설정!$H$5:$H$7,업무일지!$D724)=0,"직무구분 누락; ","")&amp;IF(업무일지!$E724="","세부유형 누락; ",IF(AND(업무일지!$D724&lt;&gt;"",COUNTIFS(코드설정!$A$5:$A$21,업무일지!$D724,코드설정!$B$5:$B$21,업무일지!$E724)=0),"세부유형이 직무구분과 불일치; ",""))&amp;IF(AND(업무일지!$F724&lt;&gt;"",COUNTIF(사건마스터!$A$5:$A$64,업무일지!$F724)=0),"미등록 사건번호; ","")&amp;IF(AND(업무일지!$F724="",업무일지!$H724=""),"사건번호·업무명 모두 없음; ","")&amp;IF(업무일지!$J724="","담당자 없음; ","")&amp;IF(COUNTIF(코드설정!$F$5:$F$7,업무일지!$AG724)=0,"진행상태 누락; ","")))</f>
        <v/>
      </c>
    </row>
    <row r="757">
      <c r="A757" s="26" t="inlineStr">
        <is>
          <t>업무일지</t>
        </is>
      </c>
      <c r="B757" s="66" t="n">
        <v>725</v>
      </c>
      <c r="C757" s="122">
        <f>IF($D757="","",IFERROR(TEXT(업무일지!$B725,"yyyy-mm-dd"),"(날짜없음)")&amp;"  "&amp;업무일지!$F725&amp;"  "&amp;업무일지!$H725)</f>
        <v/>
      </c>
      <c r="D757" s="122">
        <f>IF(NOT(COUNTBLANK(업무일지!$B725:$AH725)&lt;33),"",TRIM(IF(업무일지!$B725="","시작일 누락; ","")&amp;IF(업무일지!$C725="","종료일 누락; ","")&amp;IF(AND(업무일지!$B725&lt;&gt;"",업무일지!$C725&lt;&gt;"",업무일지!$C725&lt;업무일지!$B725),"종료일이 시작일보다 빠름; ","")&amp;IF(COUNTIF(코드설정!$H$5:$H$7,업무일지!$D725)=0,"직무구분 누락; ","")&amp;IF(업무일지!$E725="","세부유형 누락; ",IF(AND(업무일지!$D725&lt;&gt;"",COUNTIFS(코드설정!$A$5:$A$21,업무일지!$D725,코드설정!$B$5:$B$21,업무일지!$E725)=0),"세부유형이 직무구분과 불일치; ",""))&amp;IF(AND(업무일지!$F725&lt;&gt;"",COUNTIF(사건마스터!$A$5:$A$64,업무일지!$F725)=0),"미등록 사건번호; ","")&amp;IF(AND(업무일지!$F725="",업무일지!$H725=""),"사건번호·업무명 모두 없음; ","")&amp;IF(업무일지!$J725="","담당자 없음; ","")&amp;IF(COUNTIF(코드설정!$F$5:$F$7,업무일지!$AG725)=0,"진행상태 누락; ","")))</f>
        <v/>
      </c>
    </row>
    <row r="758">
      <c r="A758" s="26" t="inlineStr">
        <is>
          <t>업무일지</t>
        </is>
      </c>
      <c r="B758" s="66" t="n">
        <v>726</v>
      </c>
      <c r="C758" s="122">
        <f>IF($D758="","",IFERROR(TEXT(업무일지!$B726,"yyyy-mm-dd"),"(날짜없음)")&amp;"  "&amp;업무일지!$F726&amp;"  "&amp;업무일지!$H726)</f>
        <v/>
      </c>
      <c r="D758" s="122">
        <f>IF(NOT(COUNTBLANK(업무일지!$B726:$AH726)&lt;33),"",TRIM(IF(업무일지!$B726="","시작일 누락; ","")&amp;IF(업무일지!$C726="","종료일 누락; ","")&amp;IF(AND(업무일지!$B726&lt;&gt;"",업무일지!$C726&lt;&gt;"",업무일지!$C726&lt;업무일지!$B726),"종료일이 시작일보다 빠름; ","")&amp;IF(COUNTIF(코드설정!$H$5:$H$7,업무일지!$D726)=0,"직무구분 누락; ","")&amp;IF(업무일지!$E726="","세부유형 누락; ",IF(AND(업무일지!$D726&lt;&gt;"",COUNTIFS(코드설정!$A$5:$A$21,업무일지!$D726,코드설정!$B$5:$B$21,업무일지!$E726)=0),"세부유형이 직무구분과 불일치; ",""))&amp;IF(AND(업무일지!$F726&lt;&gt;"",COUNTIF(사건마스터!$A$5:$A$64,업무일지!$F726)=0),"미등록 사건번호; ","")&amp;IF(AND(업무일지!$F726="",업무일지!$H726=""),"사건번호·업무명 모두 없음; ","")&amp;IF(업무일지!$J726="","담당자 없음; ","")&amp;IF(COUNTIF(코드설정!$F$5:$F$7,업무일지!$AG726)=0,"진행상태 누락; ","")))</f>
        <v/>
      </c>
    </row>
    <row r="759">
      <c r="A759" s="26" t="inlineStr">
        <is>
          <t>업무일지</t>
        </is>
      </c>
      <c r="B759" s="66" t="n">
        <v>727</v>
      </c>
      <c r="C759" s="122">
        <f>IF($D759="","",IFERROR(TEXT(업무일지!$B727,"yyyy-mm-dd"),"(날짜없음)")&amp;"  "&amp;업무일지!$F727&amp;"  "&amp;업무일지!$H727)</f>
        <v/>
      </c>
      <c r="D759" s="122">
        <f>IF(NOT(COUNTBLANK(업무일지!$B727:$AH727)&lt;33),"",TRIM(IF(업무일지!$B727="","시작일 누락; ","")&amp;IF(업무일지!$C727="","종료일 누락; ","")&amp;IF(AND(업무일지!$B727&lt;&gt;"",업무일지!$C727&lt;&gt;"",업무일지!$C727&lt;업무일지!$B727),"종료일이 시작일보다 빠름; ","")&amp;IF(COUNTIF(코드설정!$H$5:$H$7,업무일지!$D727)=0,"직무구분 누락; ","")&amp;IF(업무일지!$E727="","세부유형 누락; ",IF(AND(업무일지!$D727&lt;&gt;"",COUNTIFS(코드설정!$A$5:$A$21,업무일지!$D727,코드설정!$B$5:$B$21,업무일지!$E727)=0),"세부유형이 직무구분과 불일치; ",""))&amp;IF(AND(업무일지!$F727&lt;&gt;"",COUNTIF(사건마스터!$A$5:$A$64,업무일지!$F727)=0),"미등록 사건번호; ","")&amp;IF(AND(업무일지!$F727="",업무일지!$H727=""),"사건번호·업무명 모두 없음; ","")&amp;IF(업무일지!$J727="","담당자 없음; ","")&amp;IF(COUNTIF(코드설정!$F$5:$F$7,업무일지!$AG727)=0,"진행상태 누락; ","")))</f>
        <v/>
      </c>
    </row>
    <row r="760">
      <c r="A760" s="26" t="inlineStr">
        <is>
          <t>업무일지</t>
        </is>
      </c>
      <c r="B760" s="66" t="n">
        <v>728</v>
      </c>
      <c r="C760" s="122">
        <f>IF($D760="","",IFERROR(TEXT(업무일지!$B728,"yyyy-mm-dd"),"(날짜없음)")&amp;"  "&amp;업무일지!$F728&amp;"  "&amp;업무일지!$H728)</f>
        <v/>
      </c>
      <c r="D760" s="122">
        <f>IF(NOT(COUNTBLANK(업무일지!$B728:$AH728)&lt;33),"",TRIM(IF(업무일지!$B728="","시작일 누락; ","")&amp;IF(업무일지!$C728="","종료일 누락; ","")&amp;IF(AND(업무일지!$B728&lt;&gt;"",업무일지!$C728&lt;&gt;"",업무일지!$C728&lt;업무일지!$B728),"종료일이 시작일보다 빠름; ","")&amp;IF(COUNTIF(코드설정!$H$5:$H$7,업무일지!$D728)=0,"직무구분 누락; ","")&amp;IF(업무일지!$E728="","세부유형 누락; ",IF(AND(업무일지!$D728&lt;&gt;"",COUNTIFS(코드설정!$A$5:$A$21,업무일지!$D728,코드설정!$B$5:$B$21,업무일지!$E728)=0),"세부유형이 직무구분과 불일치; ",""))&amp;IF(AND(업무일지!$F728&lt;&gt;"",COUNTIF(사건마스터!$A$5:$A$64,업무일지!$F728)=0),"미등록 사건번호; ","")&amp;IF(AND(업무일지!$F728="",업무일지!$H728=""),"사건번호·업무명 모두 없음; ","")&amp;IF(업무일지!$J728="","담당자 없음; ","")&amp;IF(COUNTIF(코드설정!$F$5:$F$7,업무일지!$AG728)=0,"진행상태 누락; ","")))</f>
        <v/>
      </c>
    </row>
    <row r="761">
      <c r="A761" s="26" t="inlineStr">
        <is>
          <t>업무일지</t>
        </is>
      </c>
      <c r="B761" s="66" t="n">
        <v>729</v>
      </c>
      <c r="C761" s="122">
        <f>IF($D761="","",IFERROR(TEXT(업무일지!$B729,"yyyy-mm-dd"),"(날짜없음)")&amp;"  "&amp;업무일지!$F729&amp;"  "&amp;업무일지!$H729)</f>
        <v/>
      </c>
      <c r="D761" s="122">
        <f>IF(NOT(COUNTBLANK(업무일지!$B729:$AH729)&lt;33),"",TRIM(IF(업무일지!$B729="","시작일 누락; ","")&amp;IF(업무일지!$C729="","종료일 누락; ","")&amp;IF(AND(업무일지!$B729&lt;&gt;"",업무일지!$C729&lt;&gt;"",업무일지!$C729&lt;업무일지!$B729),"종료일이 시작일보다 빠름; ","")&amp;IF(COUNTIF(코드설정!$H$5:$H$7,업무일지!$D729)=0,"직무구분 누락; ","")&amp;IF(업무일지!$E729="","세부유형 누락; ",IF(AND(업무일지!$D729&lt;&gt;"",COUNTIFS(코드설정!$A$5:$A$21,업무일지!$D729,코드설정!$B$5:$B$21,업무일지!$E729)=0),"세부유형이 직무구분과 불일치; ",""))&amp;IF(AND(업무일지!$F729&lt;&gt;"",COUNTIF(사건마스터!$A$5:$A$64,업무일지!$F729)=0),"미등록 사건번호; ","")&amp;IF(AND(업무일지!$F729="",업무일지!$H729=""),"사건번호·업무명 모두 없음; ","")&amp;IF(업무일지!$J729="","담당자 없음; ","")&amp;IF(COUNTIF(코드설정!$F$5:$F$7,업무일지!$AG729)=0,"진행상태 누락; ","")))</f>
        <v/>
      </c>
    </row>
    <row r="762">
      <c r="A762" s="26" t="inlineStr">
        <is>
          <t>업무일지</t>
        </is>
      </c>
      <c r="B762" s="66" t="n">
        <v>730</v>
      </c>
      <c r="C762" s="122">
        <f>IF($D762="","",IFERROR(TEXT(업무일지!$B730,"yyyy-mm-dd"),"(날짜없음)")&amp;"  "&amp;업무일지!$F730&amp;"  "&amp;업무일지!$H730)</f>
        <v/>
      </c>
      <c r="D762" s="122">
        <f>IF(NOT(COUNTBLANK(업무일지!$B730:$AH730)&lt;33),"",TRIM(IF(업무일지!$B730="","시작일 누락; ","")&amp;IF(업무일지!$C730="","종료일 누락; ","")&amp;IF(AND(업무일지!$B730&lt;&gt;"",업무일지!$C730&lt;&gt;"",업무일지!$C730&lt;업무일지!$B730),"종료일이 시작일보다 빠름; ","")&amp;IF(COUNTIF(코드설정!$H$5:$H$7,업무일지!$D730)=0,"직무구분 누락; ","")&amp;IF(업무일지!$E730="","세부유형 누락; ",IF(AND(업무일지!$D730&lt;&gt;"",COUNTIFS(코드설정!$A$5:$A$21,업무일지!$D730,코드설정!$B$5:$B$21,업무일지!$E730)=0),"세부유형이 직무구분과 불일치; ",""))&amp;IF(AND(업무일지!$F730&lt;&gt;"",COUNTIF(사건마스터!$A$5:$A$64,업무일지!$F730)=0),"미등록 사건번호; ","")&amp;IF(AND(업무일지!$F730="",업무일지!$H730=""),"사건번호·업무명 모두 없음; ","")&amp;IF(업무일지!$J730="","담당자 없음; ","")&amp;IF(COUNTIF(코드설정!$F$5:$F$7,업무일지!$AG730)=0,"진행상태 누락; ","")))</f>
        <v/>
      </c>
    </row>
    <row r="763">
      <c r="A763" s="26" t="inlineStr">
        <is>
          <t>업무일지</t>
        </is>
      </c>
      <c r="B763" s="66" t="n">
        <v>731</v>
      </c>
      <c r="C763" s="122">
        <f>IF($D763="","",IFERROR(TEXT(업무일지!$B731,"yyyy-mm-dd"),"(날짜없음)")&amp;"  "&amp;업무일지!$F731&amp;"  "&amp;업무일지!$H731)</f>
        <v/>
      </c>
      <c r="D763" s="122">
        <f>IF(NOT(COUNTBLANK(업무일지!$B731:$AH731)&lt;33),"",TRIM(IF(업무일지!$B731="","시작일 누락; ","")&amp;IF(업무일지!$C731="","종료일 누락; ","")&amp;IF(AND(업무일지!$B731&lt;&gt;"",업무일지!$C731&lt;&gt;"",업무일지!$C731&lt;업무일지!$B731),"종료일이 시작일보다 빠름; ","")&amp;IF(COUNTIF(코드설정!$H$5:$H$7,업무일지!$D731)=0,"직무구분 누락; ","")&amp;IF(업무일지!$E731="","세부유형 누락; ",IF(AND(업무일지!$D731&lt;&gt;"",COUNTIFS(코드설정!$A$5:$A$21,업무일지!$D731,코드설정!$B$5:$B$21,업무일지!$E731)=0),"세부유형이 직무구분과 불일치; ",""))&amp;IF(AND(업무일지!$F731&lt;&gt;"",COUNTIF(사건마스터!$A$5:$A$64,업무일지!$F731)=0),"미등록 사건번호; ","")&amp;IF(AND(업무일지!$F731="",업무일지!$H731=""),"사건번호·업무명 모두 없음; ","")&amp;IF(업무일지!$J731="","담당자 없음; ","")&amp;IF(COUNTIF(코드설정!$F$5:$F$7,업무일지!$AG731)=0,"진행상태 누락; ","")))</f>
        <v/>
      </c>
    </row>
    <row r="764">
      <c r="A764" s="26" t="inlineStr">
        <is>
          <t>업무일지</t>
        </is>
      </c>
      <c r="B764" s="66" t="n">
        <v>732</v>
      </c>
      <c r="C764" s="122">
        <f>IF($D764="","",IFERROR(TEXT(업무일지!$B732,"yyyy-mm-dd"),"(날짜없음)")&amp;"  "&amp;업무일지!$F732&amp;"  "&amp;업무일지!$H732)</f>
        <v/>
      </c>
      <c r="D764" s="122">
        <f>IF(NOT(COUNTBLANK(업무일지!$B732:$AH732)&lt;33),"",TRIM(IF(업무일지!$B732="","시작일 누락; ","")&amp;IF(업무일지!$C732="","종료일 누락; ","")&amp;IF(AND(업무일지!$B732&lt;&gt;"",업무일지!$C732&lt;&gt;"",업무일지!$C732&lt;업무일지!$B732),"종료일이 시작일보다 빠름; ","")&amp;IF(COUNTIF(코드설정!$H$5:$H$7,업무일지!$D732)=0,"직무구분 누락; ","")&amp;IF(업무일지!$E732="","세부유형 누락; ",IF(AND(업무일지!$D732&lt;&gt;"",COUNTIFS(코드설정!$A$5:$A$21,업무일지!$D732,코드설정!$B$5:$B$21,업무일지!$E732)=0),"세부유형이 직무구분과 불일치; ",""))&amp;IF(AND(업무일지!$F732&lt;&gt;"",COUNTIF(사건마스터!$A$5:$A$64,업무일지!$F732)=0),"미등록 사건번호; ","")&amp;IF(AND(업무일지!$F732="",업무일지!$H732=""),"사건번호·업무명 모두 없음; ","")&amp;IF(업무일지!$J732="","담당자 없음; ","")&amp;IF(COUNTIF(코드설정!$F$5:$F$7,업무일지!$AG732)=0,"진행상태 누락; ","")))</f>
        <v/>
      </c>
    </row>
    <row r="765">
      <c r="A765" s="26" t="inlineStr">
        <is>
          <t>업무일지</t>
        </is>
      </c>
      <c r="B765" s="66" t="n">
        <v>733</v>
      </c>
      <c r="C765" s="122">
        <f>IF($D765="","",IFERROR(TEXT(업무일지!$B733,"yyyy-mm-dd"),"(날짜없음)")&amp;"  "&amp;업무일지!$F733&amp;"  "&amp;업무일지!$H733)</f>
        <v/>
      </c>
      <c r="D765" s="122">
        <f>IF(NOT(COUNTBLANK(업무일지!$B733:$AH733)&lt;33),"",TRIM(IF(업무일지!$B733="","시작일 누락; ","")&amp;IF(업무일지!$C733="","종료일 누락; ","")&amp;IF(AND(업무일지!$B733&lt;&gt;"",업무일지!$C733&lt;&gt;"",업무일지!$C733&lt;업무일지!$B733),"종료일이 시작일보다 빠름; ","")&amp;IF(COUNTIF(코드설정!$H$5:$H$7,업무일지!$D733)=0,"직무구분 누락; ","")&amp;IF(업무일지!$E733="","세부유형 누락; ",IF(AND(업무일지!$D733&lt;&gt;"",COUNTIFS(코드설정!$A$5:$A$21,업무일지!$D733,코드설정!$B$5:$B$21,업무일지!$E733)=0),"세부유형이 직무구분과 불일치; ",""))&amp;IF(AND(업무일지!$F733&lt;&gt;"",COUNTIF(사건마스터!$A$5:$A$64,업무일지!$F733)=0),"미등록 사건번호; ","")&amp;IF(AND(업무일지!$F733="",업무일지!$H733=""),"사건번호·업무명 모두 없음; ","")&amp;IF(업무일지!$J733="","담당자 없음; ","")&amp;IF(COUNTIF(코드설정!$F$5:$F$7,업무일지!$AG733)=0,"진행상태 누락; ","")))</f>
        <v/>
      </c>
    </row>
    <row r="766">
      <c r="A766" s="26" t="inlineStr">
        <is>
          <t>업무일지</t>
        </is>
      </c>
      <c r="B766" s="66" t="n">
        <v>734</v>
      </c>
      <c r="C766" s="122">
        <f>IF($D766="","",IFERROR(TEXT(업무일지!$B734,"yyyy-mm-dd"),"(날짜없음)")&amp;"  "&amp;업무일지!$F734&amp;"  "&amp;업무일지!$H734)</f>
        <v/>
      </c>
      <c r="D766" s="122">
        <f>IF(NOT(COUNTBLANK(업무일지!$B734:$AH734)&lt;33),"",TRIM(IF(업무일지!$B734="","시작일 누락; ","")&amp;IF(업무일지!$C734="","종료일 누락; ","")&amp;IF(AND(업무일지!$B734&lt;&gt;"",업무일지!$C734&lt;&gt;"",업무일지!$C734&lt;업무일지!$B734),"종료일이 시작일보다 빠름; ","")&amp;IF(COUNTIF(코드설정!$H$5:$H$7,업무일지!$D734)=0,"직무구분 누락; ","")&amp;IF(업무일지!$E734="","세부유형 누락; ",IF(AND(업무일지!$D734&lt;&gt;"",COUNTIFS(코드설정!$A$5:$A$21,업무일지!$D734,코드설정!$B$5:$B$21,업무일지!$E734)=0),"세부유형이 직무구분과 불일치; ",""))&amp;IF(AND(업무일지!$F734&lt;&gt;"",COUNTIF(사건마스터!$A$5:$A$64,업무일지!$F734)=0),"미등록 사건번호; ","")&amp;IF(AND(업무일지!$F734="",업무일지!$H734=""),"사건번호·업무명 모두 없음; ","")&amp;IF(업무일지!$J734="","담당자 없음; ","")&amp;IF(COUNTIF(코드설정!$F$5:$F$7,업무일지!$AG734)=0,"진행상태 누락; ","")))</f>
        <v/>
      </c>
    </row>
    <row r="767">
      <c r="A767" s="26" t="inlineStr">
        <is>
          <t>업무일지</t>
        </is>
      </c>
      <c r="B767" s="66" t="n">
        <v>735</v>
      </c>
      <c r="C767" s="122">
        <f>IF($D767="","",IFERROR(TEXT(업무일지!$B735,"yyyy-mm-dd"),"(날짜없음)")&amp;"  "&amp;업무일지!$F735&amp;"  "&amp;업무일지!$H735)</f>
        <v/>
      </c>
      <c r="D767" s="122">
        <f>IF(NOT(COUNTBLANK(업무일지!$B735:$AH735)&lt;33),"",TRIM(IF(업무일지!$B735="","시작일 누락; ","")&amp;IF(업무일지!$C735="","종료일 누락; ","")&amp;IF(AND(업무일지!$B735&lt;&gt;"",업무일지!$C735&lt;&gt;"",업무일지!$C735&lt;업무일지!$B735),"종료일이 시작일보다 빠름; ","")&amp;IF(COUNTIF(코드설정!$H$5:$H$7,업무일지!$D735)=0,"직무구분 누락; ","")&amp;IF(업무일지!$E735="","세부유형 누락; ",IF(AND(업무일지!$D735&lt;&gt;"",COUNTIFS(코드설정!$A$5:$A$21,업무일지!$D735,코드설정!$B$5:$B$21,업무일지!$E735)=0),"세부유형이 직무구분과 불일치; ",""))&amp;IF(AND(업무일지!$F735&lt;&gt;"",COUNTIF(사건마스터!$A$5:$A$64,업무일지!$F735)=0),"미등록 사건번호; ","")&amp;IF(AND(업무일지!$F735="",업무일지!$H735=""),"사건번호·업무명 모두 없음; ","")&amp;IF(업무일지!$J735="","담당자 없음; ","")&amp;IF(COUNTIF(코드설정!$F$5:$F$7,업무일지!$AG735)=0,"진행상태 누락; ","")))</f>
        <v/>
      </c>
    </row>
    <row r="768">
      <c r="A768" s="26" t="inlineStr">
        <is>
          <t>업무일지</t>
        </is>
      </c>
      <c r="B768" s="66" t="n">
        <v>736</v>
      </c>
      <c r="C768" s="122">
        <f>IF($D768="","",IFERROR(TEXT(업무일지!$B736,"yyyy-mm-dd"),"(날짜없음)")&amp;"  "&amp;업무일지!$F736&amp;"  "&amp;업무일지!$H736)</f>
        <v/>
      </c>
      <c r="D768" s="122">
        <f>IF(NOT(COUNTBLANK(업무일지!$B736:$AH736)&lt;33),"",TRIM(IF(업무일지!$B736="","시작일 누락; ","")&amp;IF(업무일지!$C736="","종료일 누락; ","")&amp;IF(AND(업무일지!$B736&lt;&gt;"",업무일지!$C736&lt;&gt;"",업무일지!$C736&lt;업무일지!$B736),"종료일이 시작일보다 빠름; ","")&amp;IF(COUNTIF(코드설정!$H$5:$H$7,업무일지!$D736)=0,"직무구분 누락; ","")&amp;IF(업무일지!$E736="","세부유형 누락; ",IF(AND(업무일지!$D736&lt;&gt;"",COUNTIFS(코드설정!$A$5:$A$21,업무일지!$D736,코드설정!$B$5:$B$21,업무일지!$E736)=0),"세부유형이 직무구분과 불일치; ",""))&amp;IF(AND(업무일지!$F736&lt;&gt;"",COUNTIF(사건마스터!$A$5:$A$64,업무일지!$F736)=0),"미등록 사건번호; ","")&amp;IF(AND(업무일지!$F736="",업무일지!$H736=""),"사건번호·업무명 모두 없음; ","")&amp;IF(업무일지!$J736="","담당자 없음; ","")&amp;IF(COUNTIF(코드설정!$F$5:$F$7,업무일지!$AG736)=0,"진행상태 누락; ","")))</f>
        <v/>
      </c>
    </row>
    <row r="769">
      <c r="A769" s="26" t="inlineStr">
        <is>
          <t>업무일지</t>
        </is>
      </c>
      <c r="B769" s="66" t="n">
        <v>737</v>
      </c>
      <c r="C769" s="122">
        <f>IF($D769="","",IFERROR(TEXT(업무일지!$B737,"yyyy-mm-dd"),"(날짜없음)")&amp;"  "&amp;업무일지!$F737&amp;"  "&amp;업무일지!$H737)</f>
        <v/>
      </c>
      <c r="D769" s="122">
        <f>IF(NOT(COUNTBLANK(업무일지!$B737:$AH737)&lt;33),"",TRIM(IF(업무일지!$B737="","시작일 누락; ","")&amp;IF(업무일지!$C737="","종료일 누락; ","")&amp;IF(AND(업무일지!$B737&lt;&gt;"",업무일지!$C737&lt;&gt;"",업무일지!$C737&lt;업무일지!$B737),"종료일이 시작일보다 빠름; ","")&amp;IF(COUNTIF(코드설정!$H$5:$H$7,업무일지!$D737)=0,"직무구분 누락; ","")&amp;IF(업무일지!$E737="","세부유형 누락; ",IF(AND(업무일지!$D737&lt;&gt;"",COUNTIFS(코드설정!$A$5:$A$21,업무일지!$D737,코드설정!$B$5:$B$21,업무일지!$E737)=0),"세부유형이 직무구분과 불일치; ",""))&amp;IF(AND(업무일지!$F737&lt;&gt;"",COUNTIF(사건마스터!$A$5:$A$64,업무일지!$F737)=0),"미등록 사건번호; ","")&amp;IF(AND(업무일지!$F737="",업무일지!$H737=""),"사건번호·업무명 모두 없음; ","")&amp;IF(업무일지!$J737="","담당자 없음; ","")&amp;IF(COUNTIF(코드설정!$F$5:$F$7,업무일지!$AG737)=0,"진행상태 누락; ","")))</f>
        <v/>
      </c>
    </row>
    <row r="770">
      <c r="A770" s="26" t="inlineStr">
        <is>
          <t>업무일지</t>
        </is>
      </c>
      <c r="B770" s="66" t="n">
        <v>738</v>
      </c>
      <c r="C770" s="122">
        <f>IF($D770="","",IFERROR(TEXT(업무일지!$B738,"yyyy-mm-dd"),"(날짜없음)")&amp;"  "&amp;업무일지!$F738&amp;"  "&amp;업무일지!$H738)</f>
        <v/>
      </c>
      <c r="D770" s="122">
        <f>IF(NOT(COUNTBLANK(업무일지!$B738:$AH738)&lt;33),"",TRIM(IF(업무일지!$B738="","시작일 누락; ","")&amp;IF(업무일지!$C738="","종료일 누락; ","")&amp;IF(AND(업무일지!$B738&lt;&gt;"",업무일지!$C738&lt;&gt;"",업무일지!$C738&lt;업무일지!$B738),"종료일이 시작일보다 빠름; ","")&amp;IF(COUNTIF(코드설정!$H$5:$H$7,업무일지!$D738)=0,"직무구분 누락; ","")&amp;IF(업무일지!$E738="","세부유형 누락; ",IF(AND(업무일지!$D738&lt;&gt;"",COUNTIFS(코드설정!$A$5:$A$21,업무일지!$D738,코드설정!$B$5:$B$21,업무일지!$E738)=0),"세부유형이 직무구분과 불일치; ",""))&amp;IF(AND(업무일지!$F738&lt;&gt;"",COUNTIF(사건마스터!$A$5:$A$64,업무일지!$F738)=0),"미등록 사건번호; ","")&amp;IF(AND(업무일지!$F738="",업무일지!$H738=""),"사건번호·업무명 모두 없음; ","")&amp;IF(업무일지!$J738="","담당자 없음; ","")&amp;IF(COUNTIF(코드설정!$F$5:$F$7,업무일지!$AG738)=0,"진행상태 누락; ","")))</f>
        <v/>
      </c>
    </row>
    <row r="771">
      <c r="A771" s="26" t="inlineStr">
        <is>
          <t>업무일지</t>
        </is>
      </c>
      <c r="B771" s="66" t="n">
        <v>739</v>
      </c>
      <c r="C771" s="122">
        <f>IF($D771="","",IFERROR(TEXT(업무일지!$B739,"yyyy-mm-dd"),"(날짜없음)")&amp;"  "&amp;업무일지!$F739&amp;"  "&amp;업무일지!$H739)</f>
        <v/>
      </c>
      <c r="D771" s="122">
        <f>IF(NOT(COUNTBLANK(업무일지!$B739:$AH739)&lt;33),"",TRIM(IF(업무일지!$B739="","시작일 누락; ","")&amp;IF(업무일지!$C739="","종료일 누락; ","")&amp;IF(AND(업무일지!$B739&lt;&gt;"",업무일지!$C739&lt;&gt;"",업무일지!$C739&lt;업무일지!$B739),"종료일이 시작일보다 빠름; ","")&amp;IF(COUNTIF(코드설정!$H$5:$H$7,업무일지!$D739)=0,"직무구분 누락; ","")&amp;IF(업무일지!$E739="","세부유형 누락; ",IF(AND(업무일지!$D739&lt;&gt;"",COUNTIFS(코드설정!$A$5:$A$21,업무일지!$D739,코드설정!$B$5:$B$21,업무일지!$E739)=0),"세부유형이 직무구분과 불일치; ",""))&amp;IF(AND(업무일지!$F739&lt;&gt;"",COUNTIF(사건마스터!$A$5:$A$64,업무일지!$F739)=0),"미등록 사건번호; ","")&amp;IF(AND(업무일지!$F739="",업무일지!$H739=""),"사건번호·업무명 모두 없음; ","")&amp;IF(업무일지!$J739="","담당자 없음; ","")&amp;IF(COUNTIF(코드설정!$F$5:$F$7,업무일지!$AG739)=0,"진행상태 누락; ","")))</f>
        <v/>
      </c>
    </row>
    <row r="772">
      <c r="A772" s="26" t="inlineStr">
        <is>
          <t>업무일지</t>
        </is>
      </c>
      <c r="B772" s="66" t="n">
        <v>740</v>
      </c>
      <c r="C772" s="122">
        <f>IF($D772="","",IFERROR(TEXT(업무일지!$B740,"yyyy-mm-dd"),"(날짜없음)")&amp;"  "&amp;업무일지!$F740&amp;"  "&amp;업무일지!$H740)</f>
        <v/>
      </c>
      <c r="D772" s="122">
        <f>IF(NOT(COUNTBLANK(업무일지!$B740:$AH740)&lt;33),"",TRIM(IF(업무일지!$B740="","시작일 누락; ","")&amp;IF(업무일지!$C740="","종료일 누락; ","")&amp;IF(AND(업무일지!$B740&lt;&gt;"",업무일지!$C740&lt;&gt;"",업무일지!$C740&lt;업무일지!$B740),"종료일이 시작일보다 빠름; ","")&amp;IF(COUNTIF(코드설정!$H$5:$H$7,업무일지!$D740)=0,"직무구분 누락; ","")&amp;IF(업무일지!$E740="","세부유형 누락; ",IF(AND(업무일지!$D740&lt;&gt;"",COUNTIFS(코드설정!$A$5:$A$21,업무일지!$D740,코드설정!$B$5:$B$21,업무일지!$E740)=0),"세부유형이 직무구분과 불일치; ",""))&amp;IF(AND(업무일지!$F740&lt;&gt;"",COUNTIF(사건마스터!$A$5:$A$64,업무일지!$F740)=0),"미등록 사건번호; ","")&amp;IF(AND(업무일지!$F740="",업무일지!$H740=""),"사건번호·업무명 모두 없음; ","")&amp;IF(업무일지!$J740="","담당자 없음; ","")&amp;IF(COUNTIF(코드설정!$F$5:$F$7,업무일지!$AG740)=0,"진행상태 누락; ","")))</f>
        <v/>
      </c>
    </row>
    <row r="773">
      <c r="A773" s="26" t="inlineStr">
        <is>
          <t>업무일지</t>
        </is>
      </c>
      <c r="B773" s="66" t="n">
        <v>741</v>
      </c>
      <c r="C773" s="122">
        <f>IF($D773="","",IFERROR(TEXT(업무일지!$B741,"yyyy-mm-dd"),"(날짜없음)")&amp;"  "&amp;업무일지!$F741&amp;"  "&amp;업무일지!$H741)</f>
        <v/>
      </c>
      <c r="D773" s="122">
        <f>IF(NOT(COUNTBLANK(업무일지!$B741:$AH741)&lt;33),"",TRIM(IF(업무일지!$B741="","시작일 누락; ","")&amp;IF(업무일지!$C741="","종료일 누락; ","")&amp;IF(AND(업무일지!$B741&lt;&gt;"",업무일지!$C741&lt;&gt;"",업무일지!$C741&lt;업무일지!$B741),"종료일이 시작일보다 빠름; ","")&amp;IF(COUNTIF(코드설정!$H$5:$H$7,업무일지!$D741)=0,"직무구분 누락; ","")&amp;IF(업무일지!$E741="","세부유형 누락; ",IF(AND(업무일지!$D741&lt;&gt;"",COUNTIFS(코드설정!$A$5:$A$21,업무일지!$D741,코드설정!$B$5:$B$21,업무일지!$E741)=0),"세부유형이 직무구분과 불일치; ",""))&amp;IF(AND(업무일지!$F741&lt;&gt;"",COUNTIF(사건마스터!$A$5:$A$64,업무일지!$F741)=0),"미등록 사건번호; ","")&amp;IF(AND(업무일지!$F741="",업무일지!$H741=""),"사건번호·업무명 모두 없음; ","")&amp;IF(업무일지!$J741="","담당자 없음; ","")&amp;IF(COUNTIF(코드설정!$F$5:$F$7,업무일지!$AG741)=0,"진행상태 누락; ","")))</f>
        <v/>
      </c>
    </row>
    <row r="774">
      <c r="A774" s="26" t="inlineStr">
        <is>
          <t>업무일지</t>
        </is>
      </c>
      <c r="B774" s="66" t="n">
        <v>742</v>
      </c>
      <c r="C774" s="122">
        <f>IF($D774="","",IFERROR(TEXT(업무일지!$B742,"yyyy-mm-dd"),"(날짜없음)")&amp;"  "&amp;업무일지!$F742&amp;"  "&amp;업무일지!$H742)</f>
        <v/>
      </c>
      <c r="D774" s="122">
        <f>IF(NOT(COUNTBLANK(업무일지!$B742:$AH742)&lt;33),"",TRIM(IF(업무일지!$B742="","시작일 누락; ","")&amp;IF(업무일지!$C742="","종료일 누락; ","")&amp;IF(AND(업무일지!$B742&lt;&gt;"",업무일지!$C742&lt;&gt;"",업무일지!$C742&lt;업무일지!$B742),"종료일이 시작일보다 빠름; ","")&amp;IF(COUNTIF(코드설정!$H$5:$H$7,업무일지!$D742)=0,"직무구분 누락; ","")&amp;IF(업무일지!$E742="","세부유형 누락; ",IF(AND(업무일지!$D742&lt;&gt;"",COUNTIFS(코드설정!$A$5:$A$21,업무일지!$D742,코드설정!$B$5:$B$21,업무일지!$E742)=0),"세부유형이 직무구분과 불일치; ",""))&amp;IF(AND(업무일지!$F742&lt;&gt;"",COUNTIF(사건마스터!$A$5:$A$64,업무일지!$F742)=0),"미등록 사건번호; ","")&amp;IF(AND(업무일지!$F742="",업무일지!$H742=""),"사건번호·업무명 모두 없음; ","")&amp;IF(업무일지!$J742="","담당자 없음; ","")&amp;IF(COUNTIF(코드설정!$F$5:$F$7,업무일지!$AG742)=0,"진행상태 누락; ","")))</f>
        <v/>
      </c>
    </row>
    <row r="775">
      <c r="A775" s="26" t="inlineStr">
        <is>
          <t>업무일지</t>
        </is>
      </c>
      <c r="B775" s="66" t="n">
        <v>743</v>
      </c>
      <c r="C775" s="122">
        <f>IF($D775="","",IFERROR(TEXT(업무일지!$B743,"yyyy-mm-dd"),"(날짜없음)")&amp;"  "&amp;업무일지!$F743&amp;"  "&amp;업무일지!$H743)</f>
        <v/>
      </c>
      <c r="D775" s="122">
        <f>IF(NOT(COUNTBLANK(업무일지!$B743:$AH743)&lt;33),"",TRIM(IF(업무일지!$B743="","시작일 누락; ","")&amp;IF(업무일지!$C743="","종료일 누락; ","")&amp;IF(AND(업무일지!$B743&lt;&gt;"",업무일지!$C743&lt;&gt;"",업무일지!$C743&lt;업무일지!$B743),"종료일이 시작일보다 빠름; ","")&amp;IF(COUNTIF(코드설정!$H$5:$H$7,업무일지!$D743)=0,"직무구분 누락; ","")&amp;IF(업무일지!$E743="","세부유형 누락; ",IF(AND(업무일지!$D743&lt;&gt;"",COUNTIFS(코드설정!$A$5:$A$21,업무일지!$D743,코드설정!$B$5:$B$21,업무일지!$E743)=0),"세부유형이 직무구분과 불일치; ",""))&amp;IF(AND(업무일지!$F743&lt;&gt;"",COUNTIF(사건마스터!$A$5:$A$64,업무일지!$F743)=0),"미등록 사건번호; ","")&amp;IF(AND(업무일지!$F743="",업무일지!$H743=""),"사건번호·업무명 모두 없음; ","")&amp;IF(업무일지!$J743="","담당자 없음; ","")&amp;IF(COUNTIF(코드설정!$F$5:$F$7,업무일지!$AG743)=0,"진행상태 누락; ","")))</f>
        <v/>
      </c>
    </row>
    <row r="776">
      <c r="A776" s="26" t="inlineStr">
        <is>
          <t>업무일지</t>
        </is>
      </c>
      <c r="B776" s="66" t="n">
        <v>744</v>
      </c>
      <c r="C776" s="122">
        <f>IF($D776="","",IFERROR(TEXT(업무일지!$B744,"yyyy-mm-dd"),"(날짜없음)")&amp;"  "&amp;업무일지!$F744&amp;"  "&amp;업무일지!$H744)</f>
        <v/>
      </c>
      <c r="D776" s="122">
        <f>IF(NOT(COUNTBLANK(업무일지!$B744:$AH744)&lt;33),"",TRIM(IF(업무일지!$B744="","시작일 누락; ","")&amp;IF(업무일지!$C744="","종료일 누락; ","")&amp;IF(AND(업무일지!$B744&lt;&gt;"",업무일지!$C744&lt;&gt;"",업무일지!$C744&lt;업무일지!$B744),"종료일이 시작일보다 빠름; ","")&amp;IF(COUNTIF(코드설정!$H$5:$H$7,업무일지!$D744)=0,"직무구분 누락; ","")&amp;IF(업무일지!$E744="","세부유형 누락; ",IF(AND(업무일지!$D744&lt;&gt;"",COUNTIFS(코드설정!$A$5:$A$21,업무일지!$D744,코드설정!$B$5:$B$21,업무일지!$E744)=0),"세부유형이 직무구분과 불일치; ",""))&amp;IF(AND(업무일지!$F744&lt;&gt;"",COUNTIF(사건마스터!$A$5:$A$64,업무일지!$F744)=0),"미등록 사건번호; ","")&amp;IF(AND(업무일지!$F744="",업무일지!$H744=""),"사건번호·업무명 모두 없음; ","")&amp;IF(업무일지!$J744="","담당자 없음; ","")&amp;IF(COUNTIF(코드설정!$F$5:$F$7,업무일지!$AG744)=0,"진행상태 누락; ","")))</f>
        <v/>
      </c>
    </row>
    <row r="777">
      <c r="A777" s="26" t="inlineStr">
        <is>
          <t>업무일지</t>
        </is>
      </c>
      <c r="B777" s="66" t="n">
        <v>745</v>
      </c>
      <c r="C777" s="122">
        <f>IF($D777="","",IFERROR(TEXT(업무일지!$B745,"yyyy-mm-dd"),"(날짜없음)")&amp;"  "&amp;업무일지!$F745&amp;"  "&amp;업무일지!$H745)</f>
        <v/>
      </c>
      <c r="D777" s="122">
        <f>IF(NOT(COUNTBLANK(업무일지!$B745:$AH745)&lt;33),"",TRIM(IF(업무일지!$B745="","시작일 누락; ","")&amp;IF(업무일지!$C745="","종료일 누락; ","")&amp;IF(AND(업무일지!$B745&lt;&gt;"",업무일지!$C745&lt;&gt;"",업무일지!$C745&lt;업무일지!$B745),"종료일이 시작일보다 빠름; ","")&amp;IF(COUNTIF(코드설정!$H$5:$H$7,업무일지!$D745)=0,"직무구분 누락; ","")&amp;IF(업무일지!$E745="","세부유형 누락; ",IF(AND(업무일지!$D745&lt;&gt;"",COUNTIFS(코드설정!$A$5:$A$21,업무일지!$D745,코드설정!$B$5:$B$21,업무일지!$E745)=0),"세부유형이 직무구분과 불일치; ",""))&amp;IF(AND(업무일지!$F745&lt;&gt;"",COUNTIF(사건마스터!$A$5:$A$64,업무일지!$F745)=0),"미등록 사건번호; ","")&amp;IF(AND(업무일지!$F745="",업무일지!$H745=""),"사건번호·업무명 모두 없음; ","")&amp;IF(업무일지!$J745="","담당자 없음; ","")&amp;IF(COUNTIF(코드설정!$F$5:$F$7,업무일지!$AG745)=0,"진행상태 누락; ","")))</f>
        <v/>
      </c>
    </row>
    <row r="778">
      <c r="A778" s="26" t="inlineStr">
        <is>
          <t>업무일지</t>
        </is>
      </c>
      <c r="B778" s="66" t="n">
        <v>746</v>
      </c>
      <c r="C778" s="122">
        <f>IF($D778="","",IFERROR(TEXT(업무일지!$B746,"yyyy-mm-dd"),"(날짜없음)")&amp;"  "&amp;업무일지!$F746&amp;"  "&amp;업무일지!$H746)</f>
        <v/>
      </c>
      <c r="D778" s="122">
        <f>IF(NOT(COUNTBLANK(업무일지!$B746:$AH746)&lt;33),"",TRIM(IF(업무일지!$B746="","시작일 누락; ","")&amp;IF(업무일지!$C746="","종료일 누락; ","")&amp;IF(AND(업무일지!$B746&lt;&gt;"",업무일지!$C746&lt;&gt;"",업무일지!$C746&lt;업무일지!$B746),"종료일이 시작일보다 빠름; ","")&amp;IF(COUNTIF(코드설정!$H$5:$H$7,업무일지!$D746)=0,"직무구분 누락; ","")&amp;IF(업무일지!$E746="","세부유형 누락; ",IF(AND(업무일지!$D746&lt;&gt;"",COUNTIFS(코드설정!$A$5:$A$21,업무일지!$D746,코드설정!$B$5:$B$21,업무일지!$E746)=0),"세부유형이 직무구분과 불일치; ",""))&amp;IF(AND(업무일지!$F746&lt;&gt;"",COUNTIF(사건마스터!$A$5:$A$64,업무일지!$F746)=0),"미등록 사건번호; ","")&amp;IF(AND(업무일지!$F746="",업무일지!$H746=""),"사건번호·업무명 모두 없음; ","")&amp;IF(업무일지!$J746="","담당자 없음; ","")&amp;IF(COUNTIF(코드설정!$F$5:$F$7,업무일지!$AG746)=0,"진행상태 누락; ","")))</f>
        <v/>
      </c>
    </row>
    <row r="779">
      <c r="A779" s="26" t="inlineStr">
        <is>
          <t>업무일지</t>
        </is>
      </c>
      <c r="B779" s="66" t="n">
        <v>747</v>
      </c>
      <c r="C779" s="122">
        <f>IF($D779="","",IFERROR(TEXT(업무일지!$B747,"yyyy-mm-dd"),"(날짜없음)")&amp;"  "&amp;업무일지!$F747&amp;"  "&amp;업무일지!$H747)</f>
        <v/>
      </c>
      <c r="D779" s="122">
        <f>IF(NOT(COUNTBLANK(업무일지!$B747:$AH747)&lt;33),"",TRIM(IF(업무일지!$B747="","시작일 누락; ","")&amp;IF(업무일지!$C747="","종료일 누락; ","")&amp;IF(AND(업무일지!$B747&lt;&gt;"",업무일지!$C747&lt;&gt;"",업무일지!$C747&lt;업무일지!$B747),"종료일이 시작일보다 빠름; ","")&amp;IF(COUNTIF(코드설정!$H$5:$H$7,업무일지!$D747)=0,"직무구분 누락; ","")&amp;IF(업무일지!$E747="","세부유형 누락; ",IF(AND(업무일지!$D747&lt;&gt;"",COUNTIFS(코드설정!$A$5:$A$21,업무일지!$D747,코드설정!$B$5:$B$21,업무일지!$E747)=0),"세부유형이 직무구분과 불일치; ",""))&amp;IF(AND(업무일지!$F747&lt;&gt;"",COUNTIF(사건마스터!$A$5:$A$64,업무일지!$F747)=0),"미등록 사건번호; ","")&amp;IF(AND(업무일지!$F747="",업무일지!$H747=""),"사건번호·업무명 모두 없음; ","")&amp;IF(업무일지!$J747="","담당자 없음; ","")&amp;IF(COUNTIF(코드설정!$F$5:$F$7,업무일지!$AG747)=0,"진행상태 누락; ","")))</f>
        <v/>
      </c>
    </row>
    <row r="780">
      <c r="A780" s="26" t="inlineStr">
        <is>
          <t>업무일지</t>
        </is>
      </c>
      <c r="B780" s="66" t="n">
        <v>748</v>
      </c>
      <c r="C780" s="122">
        <f>IF($D780="","",IFERROR(TEXT(업무일지!$B748,"yyyy-mm-dd"),"(날짜없음)")&amp;"  "&amp;업무일지!$F748&amp;"  "&amp;업무일지!$H748)</f>
        <v/>
      </c>
      <c r="D780" s="122">
        <f>IF(NOT(COUNTBLANK(업무일지!$B748:$AH748)&lt;33),"",TRIM(IF(업무일지!$B748="","시작일 누락; ","")&amp;IF(업무일지!$C748="","종료일 누락; ","")&amp;IF(AND(업무일지!$B748&lt;&gt;"",업무일지!$C748&lt;&gt;"",업무일지!$C748&lt;업무일지!$B748),"종료일이 시작일보다 빠름; ","")&amp;IF(COUNTIF(코드설정!$H$5:$H$7,업무일지!$D748)=0,"직무구분 누락; ","")&amp;IF(업무일지!$E748="","세부유형 누락; ",IF(AND(업무일지!$D748&lt;&gt;"",COUNTIFS(코드설정!$A$5:$A$21,업무일지!$D748,코드설정!$B$5:$B$21,업무일지!$E748)=0),"세부유형이 직무구분과 불일치; ",""))&amp;IF(AND(업무일지!$F748&lt;&gt;"",COUNTIF(사건마스터!$A$5:$A$64,업무일지!$F748)=0),"미등록 사건번호; ","")&amp;IF(AND(업무일지!$F748="",업무일지!$H748=""),"사건번호·업무명 모두 없음; ","")&amp;IF(업무일지!$J748="","담당자 없음; ","")&amp;IF(COUNTIF(코드설정!$F$5:$F$7,업무일지!$AG748)=0,"진행상태 누락; ","")))</f>
        <v/>
      </c>
    </row>
    <row r="781">
      <c r="A781" s="26" t="inlineStr">
        <is>
          <t>업무일지</t>
        </is>
      </c>
      <c r="B781" s="66" t="n">
        <v>749</v>
      </c>
      <c r="C781" s="122">
        <f>IF($D781="","",IFERROR(TEXT(업무일지!$B749,"yyyy-mm-dd"),"(날짜없음)")&amp;"  "&amp;업무일지!$F749&amp;"  "&amp;업무일지!$H749)</f>
        <v/>
      </c>
      <c r="D781" s="122">
        <f>IF(NOT(COUNTBLANK(업무일지!$B749:$AH749)&lt;33),"",TRIM(IF(업무일지!$B749="","시작일 누락; ","")&amp;IF(업무일지!$C749="","종료일 누락; ","")&amp;IF(AND(업무일지!$B749&lt;&gt;"",업무일지!$C749&lt;&gt;"",업무일지!$C749&lt;업무일지!$B749),"종료일이 시작일보다 빠름; ","")&amp;IF(COUNTIF(코드설정!$H$5:$H$7,업무일지!$D749)=0,"직무구분 누락; ","")&amp;IF(업무일지!$E749="","세부유형 누락; ",IF(AND(업무일지!$D749&lt;&gt;"",COUNTIFS(코드설정!$A$5:$A$21,업무일지!$D749,코드설정!$B$5:$B$21,업무일지!$E749)=0),"세부유형이 직무구분과 불일치; ",""))&amp;IF(AND(업무일지!$F749&lt;&gt;"",COUNTIF(사건마스터!$A$5:$A$64,업무일지!$F749)=0),"미등록 사건번호; ","")&amp;IF(AND(업무일지!$F749="",업무일지!$H749=""),"사건번호·업무명 모두 없음; ","")&amp;IF(업무일지!$J749="","담당자 없음; ","")&amp;IF(COUNTIF(코드설정!$F$5:$F$7,업무일지!$AG749)=0,"진행상태 누락; ","")))</f>
        <v/>
      </c>
    </row>
    <row r="782">
      <c r="A782" s="26" t="inlineStr">
        <is>
          <t>업무일지</t>
        </is>
      </c>
      <c r="B782" s="66" t="n">
        <v>750</v>
      </c>
      <c r="C782" s="122">
        <f>IF($D782="","",IFERROR(TEXT(업무일지!$B750,"yyyy-mm-dd"),"(날짜없음)")&amp;"  "&amp;업무일지!$F750&amp;"  "&amp;업무일지!$H750)</f>
        <v/>
      </c>
      <c r="D782" s="122">
        <f>IF(NOT(COUNTBLANK(업무일지!$B750:$AH750)&lt;33),"",TRIM(IF(업무일지!$B750="","시작일 누락; ","")&amp;IF(업무일지!$C750="","종료일 누락; ","")&amp;IF(AND(업무일지!$B750&lt;&gt;"",업무일지!$C750&lt;&gt;"",업무일지!$C750&lt;업무일지!$B750),"종료일이 시작일보다 빠름; ","")&amp;IF(COUNTIF(코드설정!$H$5:$H$7,업무일지!$D750)=0,"직무구분 누락; ","")&amp;IF(업무일지!$E750="","세부유형 누락; ",IF(AND(업무일지!$D750&lt;&gt;"",COUNTIFS(코드설정!$A$5:$A$21,업무일지!$D750,코드설정!$B$5:$B$21,업무일지!$E750)=0),"세부유형이 직무구분과 불일치; ",""))&amp;IF(AND(업무일지!$F750&lt;&gt;"",COUNTIF(사건마스터!$A$5:$A$64,업무일지!$F750)=0),"미등록 사건번호; ","")&amp;IF(AND(업무일지!$F750="",업무일지!$H750=""),"사건번호·업무명 모두 없음; ","")&amp;IF(업무일지!$J750="","담당자 없음; ","")&amp;IF(COUNTIF(코드설정!$F$5:$F$7,업무일지!$AG750)=0,"진행상태 누락; ","")))</f>
        <v/>
      </c>
    </row>
    <row r="783">
      <c r="A783" s="26" t="inlineStr">
        <is>
          <t>업무일지</t>
        </is>
      </c>
      <c r="B783" s="66" t="n">
        <v>751</v>
      </c>
      <c r="C783" s="122">
        <f>IF($D783="","",IFERROR(TEXT(업무일지!$B751,"yyyy-mm-dd"),"(날짜없음)")&amp;"  "&amp;업무일지!$F751&amp;"  "&amp;업무일지!$H751)</f>
        <v/>
      </c>
      <c r="D783" s="122">
        <f>IF(NOT(COUNTBLANK(업무일지!$B751:$AH751)&lt;33),"",TRIM(IF(업무일지!$B751="","시작일 누락; ","")&amp;IF(업무일지!$C751="","종료일 누락; ","")&amp;IF(AND(업무일지!$B751&lt;&gt;"",업무일지!$C751&lt;&gt;"",업무일지!$C751&lt;업무일지!$B751),"종료일이 시작일보다 빠름; ","")&amp;IF(COUNTIF(코드설정!$H$5:$H$7,업무일지!$D751)=0,"직무구분 누락; ","")&amp;IF(업무일지!$E751="","세부유형 누락; ",IF(AND(업무일지!$D751&lt;&gt;"",COUNTIFS(코드설정!$A$5:$A$21,업무일지!$D751,코드설정!$B$5:$B$21,업무일지!$E751)=0),"세부유형이 직무구분과 불일치; ",""))&amp;IF(AND(업무일지!$F751&lt;&gt;"",COUNTIF(사건마스터!$A$5:$A$64,업무일지!$F751)=0),"미등록 사건번호; ","")&amp;IF(AND(업무일지!$F751="",업무일지!$H751=""),"사건번호·업무명 모두 없음; ","")&amp;IF(업무일지!$J751="","담당자 없음; ","")&amp;IF(COUNTIF(코드설정!$F$5:$F$7,업무일지!$AG751)=0,"진행상태 누락; ","")))</f>
        <v/>
      </c>
    </row>
    <row r="784">
      <c r="A784" s="26" t="inlineStr">
        <is>
          <t>업무일지</t>
        </is>
      </c>
      <c r="B784" s="66" t="n">
        <v>752</v>
      </c>
      <c r="C784" s="122">
        <f>IF($D784="","",IFERROR(TEXT(업무일지!$B752,"yyyy-mm-dd"),"(날짜없음)")&amp;"  "&amp;업무일지!$F752&amp;"  "&amp;업무일지!$H752)</f>
        <v/>
      </c>
      <c r="D784" s="122">
        <f>IF(NOT(COUNTBLANK(업무일지!$B752:$AH752)&lt;33),"",TRIM(IF(업무일지!$B752="","시작일 누락; ","")&amp;IF(업무일지!$C752="","종료일 누락; ","")&amp;IF(AND(업무일지!$B752&lt;&gt;"",업무일지!$C752&lt;&gt;"",업무일지!$C752&lt;업무일지!$B752),"종료일이 시작일보다 빠름; ","")&amp;IF(COUNTIF(코드설정!$H$5:$H$7,업무일지!$D752)=0,"직무구분 누락; ","")&amp;IF(업무일지!$E752="","세부유형 누락; ",IF(AND(업무일지!$D752&lt;&gt;"",COUNTIFS(코드설정!$A$5:$A$21,업무일지!$D752,코드설정!$B$5:$B$21,업무일지!$E752)=0),"세부유형이 직무구분과 불일치; ",""))&amp;IF(AND(업무일지!$F752&lt;&gt;"",COUNTIF(사건마스터!$A$5:$A$64,업무일지!$F752)=0),"미등록 사건번호; ","")&amp;IF(AND(업무일지!$F752="",업무일지!$H752=""),"사건번호·업무명 모두 없음; ","")&amp;IF(업무일지!$J752="","담당자 없음; ","")&amp;IF(COUNTIF(코드설정!$F$5:$F$7,업무일지!$AG752)=0,"진행상태 누락; ","")))</f>
        <v/>
      </c>
    </row>
    <row r="785">
      <c r="A785" s="26" t="inlineStr">
        <is>
          <t>업무일지</t>
        </is>
      </c>
      <c r="B785" s="66" t="n">
        <v>753</v>
      </c>
      <c r="C785" s="122">
        <f>IF($D785="","",IFERROR(TEXT(업무일지!$B753,"yyyy-mm-dd"),"(날짜없음)")&amp;"  "&amp;업무일지!$F753&amp;"  "&amp;업무일지!$H753)</f>
        <v/>
      </c>
      <c r="D785" s="122">
        <f>IF(NOT(COUNTBLANK(업무일지!$B753:$AH753)&lt;33),"",TRIM(IF(업무일지!$B753="","시작일 누락; ","")&amp;IF(업무일지!$C753="","종료일 누락; ","")&amp;IF(AND(업무일지!$B753&lt;&gt;"",업무일지!$C753&lt;&gt;"",업무일지!$C753&lt;업무일지!$B753),"종료일이 시작일보다 빠름; ","")&amp;IF(COUNTIF(코드설정!$H$5:$H$7,업무일지!$D753)=0,"직무구분 누락; ","")&amp;IF(업무일지!$E753="","세부유형 누락; ",IF(AND(업무일지!$D753&lt;&gt;"",COUNTIFS(코드설정!$A$5:$A$21,업무일지!$D753,코드설정!$B$5:$B$21,업무일지!$E753)=0),"세부유형이 직무구분과 불일치; ",""))&amp;IF(AND(업무일지!$F753&lt;&gt;"",COUNTIF(사건마스터!$A$5:$A$64,업무일지!$F753)=0),"미등록 사건번호; ","")&amp;IF(AND(업무일지!$F753="",업무일지!$H753=""),"사건번호·업무명 모두 없음; ","")&amp;IF(업무일지!$J753="","담당자 없음; ","")&amp;IF(COUNTIF(코드설정!$F$5:$F$7,업무일지!$AG753)=0,"진행상태 누락; ","")))</f>
        <v/>
      </c>
    </row>
    <row r="786">
      <c r="A786" s="26" t="inlineStr">
        <is>
          <t>업무일지</t>
        </is>
      </c>
      <c r="B786" s="66" t="n">
        <v>754</v>
      </c>
      <c r="C786" s="122">
        <f>IF($D786="","",IFERROR(TEXT(업무일지!$B754,"yyyy-mm-dd"),"(날짜없음)")&amp;"  "&amp;업무일지!$F754&amp;"  "&amp;업무일지!$H754)</f>
        <v/>
      </c>
      <c r="D786" s="122">
        <f>IF(NOT(COUNTBLANK(업무일지!$B754:$AH754)&lt;33),"",TRIM(IF(업무일지!$B754="","시작일 누락; ","")&amp;IF(업무일지!$C754="","종료일 누락; ","")&amp;IF(AND(업무일지!$B754&lt;&gt;"",업무일지!$C754&lt;&gt;"",업무일지!$C754&lt;업무일지!$B754),"종료일이 시작일보다 빠름; ","")&amp;IF(COUNTIF(코드설정!$H$5:$H$7,업무일지!$D754)=0,"직무구분 누락; ","")&amp;IF(업무일지!$E754="","세부유형 누락; ",IF(AND(업무일지!$D754&lt;&gt;"",COUNTIFS(코드설정!$A$5:$A$21,업무일지!$D754,코드설정!$B$5:$B$21,업무일지!$E754)=0),"세부유형이 직무구분과 불일치; ",""))&amp;IF(AND(업무일지!$F754&lt;&gt;"",COUNTIF(사건마스터!$A$5:$A$64,업무일지!$F754)=0),"미등록 사건번호; ","")&amp;IF(AND(업무일지!$F754="",업무일지!$H754=""),"사건번호·업무명 모두 없음; ","")&amp;IF(업무일지!$J754="","담당자 없음; ","")&amp;IF(COUNTIF(코드설정!$F$5:$F$7,업무일지!$AG754)=0,"진행상태 누락; ","")))</f>
        <v/>
      </c>
    </row>
    <row r="787">
      <c r="A787" s="26" t="inlineStr">
        <is>
          <t>업무일지</t>
        </is>
      </c>
      <c r="B787" s="66" t="n">
        <v>755</v>
      </c>
      <c r="C787" s="122">
        <f>IF($D787="","",IFERROR(TEXT(업무일지!$B755,"yyyy-mm-dd"),"(날짜없음)")&amp;"  "&amp;업무일지!$F755&amp;"  "&amp;업무일지!$H755)</f>
        <v/>
      </c>
      <c r="D787" s="122">
        <f>IF(NOT(COUNTBLANK(업무일지!$B755:$AH755)&lt;33),"",TRIM(IF(업무일지!$B755="","시작일 누락; ","")&amp;IF(업무일지!$C755="","종료일 누락; ","")&amp;IF(AND(업무일지!$B755&lt;&gt;"",업무일지!$C755&lt;&gt;"",업무일지!$C755&lt;업무일지!$B755),"종료일이 시작일보다 빠름; ","")&amp;IF(COUNTIF(코드설정!$H$5:$H$7,업무일지!$D755)=0,"직무구분 누락; ","")&amp;IF(업무일지!$E755="","세부유형 누락; ",IF(AND(업무일지!$D755&lt;&gt;"",COUNTIFS(코드설정!$A$5:$A$21,업무일지!$D755,코드설정!$B$5:$B$21,업무일지!$E755)=0),"세부유형이 직무구분과 불일치; ",""))&amp;IF(AND(업무일지!$F755&lt;&gt;"",COUNTIF(사건마스터!$A$5:$A$64,업무일지!$F755)=0),"미등록 사건번호; ","")&amp;IF(AND(업무일지!$F755="",업무일지!$H755=""),"사건번호·업무명 모두 없음; ","")&amp;IF(업무일지!$J755="","담당자 없음; ","")&amp;IF(COUNTIF(코드설정!$F$5:$F$7,업무일지!$AG755)=0,"진행상태 누락; ","")))</f>
        <v/>
      </c>
    </row>
    <row r="788">
      <c r="A788" s="26" t="inlineStr">
        <is>
          <t>업무일지</t>
        </is>
      </c>
      <c r="B788" s="66" t="n">
        <v>756</v>
      </c>
      <c r="C788" s="122">
        <f>IF($D788="","",IFERROR(TEXT(업무일지!$B756,"yyyy-mm-dd"),"(날짜없음)")&amp;"  "&amp;업무일지!$F756&amp;"  "&amp;업무일지!$H756)</f>
        <v/>
      </c>
      <c r="D788" s="122">
        <f>IF(NOT(COUNTBLANK(업무일지!$B756:$AH756)&lt;33),"",TRIM(IF(업무일지!$B756="","시작일 누락; ","")&amp;IF(업무일지!$C756="","종료일 누락; ","")&amp;IF(AND(업무일지!$B756&lt;&gt;"",업무일지!$C756&lt;&gt;"",업무일지!$C756&lt;업무일지!$B756),"종료일이 시작일보다 빠름; ","")&amp;IF(COUNTIF(코드설정!$H$5:$H$7,업무일지!$D756)=0,"직무구분 누락; ","")&amp;IF(업무일지!$E756="","세부유형 누락; ",IF(AND(업무일지!$D756&lt;&gt;"",COUNTIFS(코드설정!$A$5:$A$21,업무일지!$D756,코드설정!$B$5:$B$21,업무일지!$E756)=0),"세부유형이 직무구분과 불일치; ",""))&amp;IF(AND(업무일지!$F756&lt;&gt;"",COUNTIF(사건마스터!$A$5:$A$64,업무일지!$F756)=0),"미등록 사건번호; ","")&amp;IF(AND(업무일지!$F756="",업무일지!$H756=""),"사건번호·업무명 모두 없음; ","")&amp;IF(업무일지!$J756="","담당자 없음; ","")&amp;IF(COUNTIF(코드설정!$F$5:$F$7,업무일지!$AG756)=0,"진행상태 누락; ","")))</f>
        <v/>
      </c>
    </row>
    <row r="789">
      <c r="A789" s="26" t="inlineStr">
        <is>
          <t>업무일지</t>
        </is>
      </c>
      <c r="B789" s="66" t="n">
        <v>757</v>
      </c>
      <c r="C789" s="122">
        <f>IF($D789="","",IFERROR(TEXT(업무일지!$B757,"yyyy-mm-dd"),"(날짜없음)")&amp;"  "&amp;업무일지!$F757&amp;"  "&amp;업무일지!$H757)</f>
        <v/>
      </c>
      <c r="D789" s="122">
        <f>IF(NOT(COUNTBLANK(업무일지!$B757:$AH757)&lt;33),"",TRIM(IF(업무일지!$B757="","시작일 누락; ","")&amp;IF(업무일지!$C757="","종료일 누락; ","")&amp;IF(AND(업무일지!$B757&lt;&gt;"",업무일지!$C757&lt;&gt;"",업무일지!$C757&lt;업무일지!$B757),"종료일이 시작일보다 빠름; ","")&amp;IF(COUNTIF(코드설정!$H$5:$H$7,업무일지!$D757)=0,"직무구분 누락; ","")&amp;IF(업무일지!$E757="","세부유형 누락; ",IF(AND(업무일지!$D757&lt;&gt;"",COUNTIFS(코드설정!$A$5:$A$21,업무일지!$D757,코드설정!$B$5:$B$21,업무일지!$E757)=0),"세부유형이 직무구분과 불일치; ",""))&amp;IF(AND(업무일지!$F757&lt;&gt;"",COUNTIF(사건마스터!$A$5:$A$64,업무일지!$F757)=0),"미등록 사건번호; ","")&amp;IF(AND(업무일지!$F757="",업무일지!$H757=""),"사건번호·업무명 모두 없음; ","")&amp;IF(업무일지!$J757="","담당자 없음; ","")&amp;IF(COUNTIF(코드설정!$F$5:$F$7,업무일지!$AG757)=0,"진행상태 누락; ","")))</f>
        <v/>
      </c>
    </row>
    <row r="790">
      <c r="A790" s="26" t="inlineStr">
        <is>
          <t>업무일지</t>
        </is>
      </c>
      <c r="B790" s="66" t="n">
        <v>758</v>
      </c>
      <c r="C790" s="122">
        <f>IF($D790="","",IFERROR(TEXT(업무일지!$B758,"yyyy-mm-dd"),"(날짜없음)")&amp;"  "&amp;업무일지!$F758&amp;"  "&amp;업무일지!$H758)</f>
        <v/>
      </c>
      <c r="D790" s="122">
        <f>IF(NOT(COUNTBLANK(업무일지!$B758:$AH758)&lt;33),"",TRIM(IF(업무일지!$B758="","시작일 누락; ","")&amp;IF(업무일지!$C758="","종료일 누락; ","")&amp;IF(AND(업무일지!$B758&lt;&gt;"",업무일지!$C758&lt;&gt;"",업무일지!$C758&lt;업무일지!$B758),"종료일이 시작일보다 빠름; ","")&amp;IF(COUNTIF(코드설정!$H$5:$H$7,업무일지!$D758)=0,"직무구분 누락; ","")&amp;IF(업무일지!$E758="","세부유형 누락; ",IF(AND(업무일지!$D758&lt;&gt;"",COUNTIFS(코드설정!$A$5:$A$21,업무일지!$D758,코드설정!$B$5:$B$21,업무일지!$E758)=0),"세부유형이 직무구분과 불일치; ",""))&amp;IF(AND(업무일지!$F758&lt;&gt;"",COUNTIF(사건마스터!$A$5:$A$64,업무일지!$F758)=0),"미등록 사건번호; ","")&amp;IF(AND(업무일지!$F758="",업무일지!$H758=""),"사건번호·업무명 모두 없음; ","")&amp;IF(업무일지!$J758="","담당자 없음; ","")&amp;IF(COUNTIF(코드설정!$F$5:$F$7,업무일지!$AG758)=0,"진행상태 누락; ","")))</f>
        <v/>
      </c>
    </row>
    <row r="791">
      <c r="A791" s="26" t="inlineStr">
        <is>
          <t>업무일지</t>
        </is>
      </c>
      <c r="B791" s="66" t="n">
        <v>759</v>
      </c>
      <c r="C791" s="122">
        <f>IF($D791="","",IFERROR(TEXT(업무일지!$B759,"yyyy-mm-dd"),"(날짜없음)")&amp;"  "&amp;업무일지!$F759&amp;"  "&amp;업무일지!$H759)</f>
        <v/>
      </c>
      <c r="D791" s="122">
        <f>IF(NOT(COUNTBLANK(업무일지!$B759:$AH759)&lt;33),"",TRIM(IF(업무일지!$B759="","시작일 누락; ","")&amp;IF(업무일지!$C759="","종료일 누락; ","")&amp;IF(AND(업무일지!$B759&lt;&gt;"",업무일지!$C759&lt;&gt;"",업무일지!$C759&lt;업무일지!$B759),"종료일이 시작일보다 빠름; ","")&amp;IF(COUNTIF(코드설정!$H$5:$H$7,업무일지!$D759)=0,"직무구분 누락; ","")&amp;IF(업무일지!$E759="","세부유형 누락; ",IF(AND(업무일지!$D759&lt;&gt;"",COUNTIFS(코드설정!$A$5:$A$21,업무일지!$D759,코드설정!$B$5:$B$21,업무일지!$E759)=0),"세부유형이 직무구분과 불일치; ",""))&amp;IF(AND(업무일지!$F759&lt;&gt;"",COUNTIF(사건마스터!$A$5:$A$64,업무일지!$F759)=0),"미등록 사건번호; ","")&amp;IF(AND(업무일지!$F759="",업무일지!$H759=""),"사건번호·업무명 모두 없음; ","")&amp;IF(업무일지!$J759="","담당자 없음; ","")&amp;IF(COUNTIF(코드설정!$F$5:$F$7,업무일지!$AG759)=0,"진행상태 누락; ","")))</f>
        <v/>
      </c>
    </row>
    <row r="792">
      <c r="A792" s="26" t="inlineStr">
        <is>
          <t>업무일지</t>
        </is>
      </c>
      <c r="B792" s="66" t="n">
        <v>760</v>
      </c>
      <c r="C792" s="122">
        <f>IF($D792="","",IFERROR(TEXT(업무일지!$B760,"yyyy-mm-dd"),"(날짜없음)")&amp;"  "&amp;업무일지!$F760&amp;"  "&amp;업무일지!$H760)</f>
        <v/>
      </c>
      <c r="D792" s="122">
        <f>IF(NOT(COUNTBLANK(업무일지!$B760:$AH760)&lt;33),"",TRIM(IF(업무일지!$B760="","시작일 누락; ","")&amp;IF(업무일지!$C760="","종료일 누락; ","")&amp;IF(AND(업무일지!$B760&lt;&gt;"",업무일지!$C760&lt;&gt;"",업무일지!$C760&lt;업무일지!$B760),"종료일이 시작일보다 빠름; ","")&amp;IF(COUNTIF(코드설정!$H$5:$H$7,업무일지!$D760)=0,"직무구분 누락; ","")&amp;IF(업무일지!$E760="","세부유형 누락; ",IF(AND(업무일지!$D760&lt;&gt;"",COUNTIFS(코드설정!$A$5:$A$21,업무일지!$D760,코드설정!$B$5:$B$21,업무일지!$E760)=0),"세부유형이 직무구분과 불일치; ",""))&amp;IF(AND(업무일지!$F760&lt;&gt;"",COUNTIF(사건마스터!$A$5:$A$64,업무일지!$F760)=0),"미등록 사건번호; ","")&amp;IF(AND(업무일지!$F760="",업무일지!$H760=""),"사건번호·업무명 모두 없음; ","")&amp;IF(업무일지!$J760="","담당자 없음; ","")&amp;IF(COUNTIF(코드설정!$F$5:$F$7,업무일지!$AG760)=0,"진행상태 누락; ","")))</f>
        <v/>
      </c>
    </row>
    <row r="793">
      <c r="A793" s="26" t="inlineStr">
        <is>
          <t>업무일지</t>
        </is>
      </c>
      <c r="B793" s="66" t="n">
        <v>761</v>
      </c>
      <c r="C793" s="122">
        <f>IF($D793="","",IFERROR(TEXT(업무일지!$B761,"yyyy-mm-dd"),"(날짜없음)")&amp;"  "&amp;업무일지!$F761&amp;"  "&amp;업무일지!$H761)</f>
        <v/>
      </c>
      <c r="D793" s="122">
        <f>IF(NOT(COUNTBLANK(업무일지!$B761:$AH761)&lt;33),"",TRIM(IF(업무일지!$B761="","시작일 누락; ","")&amp;IF(업무일지!$C761="","종료일 누락; ","")&amp;IF(AND(업무일지!$B761&lt;&gt;"",업무일지!$C761&lt;&gt;"",업무일지!$C761&lt;업무일지!$B761),"종료일이 시작일보다 빠름; ","")&amp;IF(COUNTIF(코드설정!$H$5:$H$7,업무일지!$D761)=0,"직무구분 누락; ","")&amp;IF(업무일지!$E761="","세부유형 누락; ",IF(AND(업무일지!$D761&lt;&gt;"",COUNTIFS(코드설정!$A$5:$A$21,업무일지!$D761,코드설정!$B$5:$B$21,업무일지!$E761)=0),"세부유형이 직무구분과 불일치; ",""))&amp;IF(AND(업무일지!$F761&lt;&gt;"",COUNTIF(사건마스터!$A$5:$A$64,업무일지!$F761)=0),"미등록 사건번호; ","")&amp;IF(AND(업무일지!$F761="",업무일지!$H761=""),"사건번호·업무명 모두 없음; ","")&amp;IF(업무일지!$J761="","담당자 없음; ","")&amp;IF(COUNTIF(코드설정!$F$5:$F$7,업무일지!$AG761)=0,"진행상태 누락; ","")))</f>
        <v/>
      </c>
    </row>
    <row r="794">
      <c r="A794" s="26" t="inlineStr">
        <is>
          <t>업무일지</t>
        </is>
      </c>
      <c r="B794" s="66" t="n">
        <v>762</v>
      </c>
      <c r="C794" s="122">
        <f>IF($D794="","",IFERROR(TEXT(업무일지!$B762,"yyyy-mm-dd"),"(날짜없음)")&amp;"  "&amp;업무일지!$F762&amp;"  "&amp;업무일지!$H762)</f>
        <v/>
      </c>
      <c r="D794" s="122">
        <f>IF(NOT(COUNTBLANK(업무일지!$B762:$AH762)&lt;33),"",TRIM(IF(업무일지!$B762="","시작일 누락; ","")&amp;IF(업무일지!$C762="","종료일 누락; ","")&amp;IF(AND(업무일지!$B762&lt;&gt;"",업무일지!$C762&lt;&gt;"",업무일지!$C762&lt;업무일지!$B762),"종료일이 시작일보다 빠름; ","")&amp;IF(COUNTIF(코드설정!$H$5:$H$7,업무일지!$D762)=0,"직무구분 누락; ","")&amp;IF(업무일지!$E762="","세부유형 누락; ",IF(AND(업무일지!$D762&lt;&gt;"",COUNTIFS(코드설정!$A$5:$A$21,업무일지!$D762,코드설정!$B$5:$B$21,업무일지!$E762)=0),"세부유형이 직무구분과 불일치; ",""))&amp;IF(AND(업무일지!$F762&lt;&gt;"",COUNTIF(사건마스터!$A$5:$A$64,업무일지!$F762)=0),"미등록 사건번호; ","")&amp;IF(AND(업무일지!$F762="",업무일지!$H762=""),"사건번호·업무명 모두 없음; ","")&amp;IF(업무일지!$J762="","담당자 없음; ","")&amp;IF(COUNTIF(코드설정!$F$5:$F$7,업무일지!$AG762)=0,"진행상태 누락; ","")))</f>
        <v/>
      </c>
    </row>
    <row r="795">
      <c r="A795" s="26" t="inlineStr">
        <is>
          <t>업무일지</t>
        </is>
      </c>
      <c r="B795" s="66" t="n">
        <v>763</v>
      </c>
      <c r="C795" s="122">
        <f>IF($D795="","",IFERROR(TEXT(업무일지!$B763,"yyyy-mm-dd"),"(날짜없음)")&amp;"  "&amp;업무일지!$F763&amp;"  "&amp;업무일지!$H763)</f>
        <v/>
      </c>
      <c r="D795" s="122">
        <f>IF(NOT(COUNTBLANK(업무일지!$B763:$AH763)&lt;33),"",TRIM(IF(업무일지!$B763="","시작일 누락; ","")&amp;IF(업무일지!$C763="","종료일 누락; ","")&amp;IF(AND(업무일지!$B763&lt;&gt;"",업무일지!$C763&lt;&gt;"",업무일지!$C763&lt;업무일지!$B763),"종료일이 시작일보다 빠름; ","")&amp;IF(COUNTIF(코드설정!$H$5:$H$7,업무일지!$D763)=0,"직무구분 누락; ","")&amp;IF(업무일지!$E763="","세부유형 누락; ",IF(AND(업무일지!$D763&lt;&gt;"",COUNTIFS(코드설정!$A$5:$A$21,업무일지!$D763,코드설정!$B$5:$B$21,업무일지!$E763)=0),"세부유형이 직무구분과 불일치; ",""))&amp;IF(AND(업무일지!$F763&lt;&gt;"",COUNTIF(사건마스터!$A$5:$A$64,업무일지!$F763)=0),"미등록 사건번호; ","")&amp;IF(AND(업무일지!$F763="",업무일지!$H763=""),"사건번호·업무명 모두 없음; ","")&amp;IF(업무일지!$J763="","담당자 없음; ","")&amp;IF(COUNTIF(코드설정!$F$5:$F$7,업무일지!$AG763)=0,"진행상태 누락; ","")))</f>
        <v/>
      </c>
    </row>
    <row r="796">
      <c r="A796" s="26" t="inlineStr">
        <is>
          <t>업무일지</t>
        </is>
      </c>
      <c r="B796" s="66" t="n">
        <v>764</v>
      </c>
      <c r="C796" s="122">
        <f>IF($D796="","",IFERROR(TEXT(업무일지!$B764,"yyyy-mm-dd"),"(날짜없음)")&amp;"  "&amp;업무일지!$F764&amp;"  "&amp;업무일지!$H764)</f>
        <v/>
      </c>
      <c r="D796" s="122">
        <f>IF(NOT(COUNTBLANK(업무일지!$B764:$AH764)&lt;33),"",TRIM(IF(업무일지!$B764="","시작일 누락; ","")&amp;IF(업무일지!$C764="","종료일 누락; ","")&amp;IF(AND(업무일지!$B764&lt;&gt;"",업무일지!$C764&lt;&gt;"",업무일지!$C764&lt;업무일지!$B764),"종료일이 시작일보다 빠름; ","")&amp;IF(COUNTIF(코드설정!$H$5:$H$7,업무일지!$D764)=0,"직무구분 누락; ","")&amp;IF(업무일지!$E764="","세부유형 누락; ",IF(AND(업무일지!$D764&lt;&gt;"",COUNTIFS(코드설정!$A$5:$A$21,업무일지!$D764,코드설정!$B$5:$B$21,업무일지!$E764)=0),"세부유형이 직무구분과 불일치; ",""))&amp;IF(AND(업무일지!$F764&lt;&gt;"",COUNTIF(사건마스터!$A$5:$A$64,업무일지!$F764)=0),"미등록 사건번호; ","")&amp;IF(AND(업무일지!$F764="",업무일지!$H764=""),"사건번호·업무명 모두 없음; ","")&amp;IF(업무일지!$J764="","담당자 없음; ","")&amp;IF(COUNTIF(코드설정!$F$5:$F$7,업무일지!$AG764)=0,"진행상태 누락; ","")))</f>
        <v/>
      </c>
    </row>
    <row r="797">
      <c r="A797" s="26" t="inlineStr">
        <is>
          <t>업무일지</t>
        </is>
      </c>
      <c r="B797" s="66" t="n">
        <v>765</v>
      </c>
      <c r="C797" s="122">
        <f>IF($D797="","",IFERROR(TEXT(업무일지!$B765,"yyyy-mm-dd"),"(날짜없음)")&amp;"  "&amp;업무일지!$F765&amp;"  "&amp;업무일지!$H765)</f>
        <v/>
      </c>
      <c r="D797" s="122">
        <f>IF(NOT(COUNTBLANK(업무일지!$B765:$AH765)&lt;33),"",TRIM(IF(업무일지!$B765="","시작일 누락; ","")&amp;IF(업무일지!$C765="","종료일 누락; ","")&amp;IF(AND(업무일지!$B765&lt;&gt;"",업무일지!$C765&lt;&gt;"",업무일지!$C765&lt;업무일지!$B765),"종료일이 시작일보다 빠름; ","")&amp;IF(COUNTIF(코드설정!$H$5:$H$7,업무일지!$D765)=0,"직무구분 누락; ","")&amp;IF(업무일지!$E765="","세부유형 누락; ",IF(AND(업무일지!$D765&lt;&gt;"",COUNTIFS(코드설정!$A$5:$A$21,업무일지!$D765,코드설정!$B$5:$B$21,업무일지!$E765)=0),"세부유형이 직무구분과 불일치; ",""))&amp;IF(AND(업무일지!$F765&lt;&gt;"",COUNTIF(사건마스터!$A$5:$A$64,업무일지!$F765)=0),"미등록 사건번호; ","")&amp;IF(AND(업무일지!$F765="",업무일지!$H765=""),"사건번호·업무명 모두 없음; ","")&amp;IF(업무일지!$J765="","담당자 없음; ","")&amp;IF(COUNTIF(코드설정!$F$5:$F$7,업무일지!$AG765)=0,"진행상태 누락; ","")))</f>
        <v/>
      </c>
    </row>
    <row r="798">
      <c r="A798" s="26" t="inlineStr">
        <is>
          <t>업무일지</t>
        </is>
      </c>
      <c r="B798" s="66" t="n">
        <v>766</v>
      </c>
      <c r="C798" s="122">
        <f>IF($D798="","",IFERROR(TEXT(업무일지!$B766,"yyyy-mm-dd"),"(날짜없음)")&amp;"  "&amp;업무일지!$F766&amp;"  "&amp;업무일지!$H766)</f>
        <v/>
      </c>
      <c r="D798" s="122">
        <f>IF(NOT(COUNTBLANK(업무일지!$B766:$AH766)&lt;33),"",TRIM(IF(업무일지!$B766="","시작일 누락; ","")&amp;IF(업무일지!$C766="","종료일 누락; ","")&amp;IF(AND(업무일지!$B766&lt;&gt;"",업무일지!$C766&lt;&gt;"",업무일지!$C766&lt;업무일지!$B766),"종료일이 시작일보다 빠름; ","")&amp;IF(COUNTIF(코드설정!$H$5:$H$7,업무일지!$D766)=0,"직무구분 누락; ","")&amp;IF(업무일지!$E766="","세부유형 누락; ",IF(AND(업무일지!$D766&lt;&gt;"",COUNTIFS(코드설정!$A$5:$A$21,업무일지!$D766,코드설정!$B$5:$B$21,업무일지!$E766)=0),"세부유형이 직무구분과 불일치; ",""))&amp;IF(AND(업무일지!$F766&lt;&gt;"",COUNTIF(사건마스터!$A$5:$A$64,업무일지!$F766)=0),"미등록 사건번호; ","")&amp;IF(AND(업무일지!$F766="",업무일지!$H766=""),"사건번호·업무명 모두 없음; ","")&amp;IF(업무일지!$J766="","담당자 없음; ","")&amp;IF(COUNTIF(코드설정!$F$5:$F$7,업무일지!$AG766)=0,"진행상태 누락; ","")))</f>
        <v/>
      </c>
    </row>
    <row r="799">
      <c r="A799" s="26" t="inlineStr">
        <is>
          <t>업무일지</t>
        </is>
      </c>
      <c r="B799" s="66" t="n">
        <v>767</v>
      </c>
      <c r="C799" s="122">
        <f>IF($D799="","",IFERROR(TEXT(업무일지!$B767,"yyyy-mm-dd"),"(날짜없음)")&amp;"  "&amp;업무일지!$F767&amp;"  "&amp;업무일지!$H767)</f>
        <v/>
      </c>
      <c r="D799" s="122">
        <f>IF(NOT(COUNTBLANK(업무일지!$B767:$AH767)&lt;33),"",TRIM(IF(업무일지!$B767="","시작일 누락; ","")&amp;IF(업무일지!$C767="","종료일 누락; ","")&amp;IF(AND(업무일지!$B767&lt;&gt;"",업무일지!$C767&lt;&gt;"",업무일지!$C767&lt;업무일지!$B767),"종료일이 시작일보다 빠름; ","")&amp;IF(COUNTIF(코드설정!$H$5:$H$7,업무일지!$D767)=0,"직무구분 누락; ","")&amp;IF(업무일지!$E767="","세부유형 누락; ",IF(AND(업무일지!$D767&lt;&gt;"",COUNTIFS(코드설정!$A$5:$A$21,업무일지!$D767,코드설정!$B$5:$B$21,업무일지!$E767)=0),"세부유형이 직무구분과 불일치; ",""))&amp;IF(AND(업무일지!$F767&lt;&gt;"",COUNTIF(사건마스터!$A$5:$A$64,업무일지!$F767)=0),"미등록 사건번호; ","")&amp;IF(AND(업무일지!$F767="",업무일지!$H767=""),"사건번호·업무명 모두 없음; ","")&amp;IF(업무일지!$J767="","담당자 없음; ","")&amp;IF(COUNTIF(코드설정!$F$5:$F$7,업무일지!$AG767)=0,"진행상태 누락; ","")))</f>
        <v/>
      </c>
    </row>
    <row r="800">
      <c r="A800" s="26" t="inlineStr">
        <is>
          <t>업무일지</t>
        </is>
      </c>
      <c r="B800" s="66" t="n">
        <v>768</v>
      </c>
      <c r="C800" s="122">
        <f>IF($D800="","",IFERROR(TEXT(업무일지!$B768,"yyyy-mm-dd"),"(날짜없음)")&amp;"  "&amp;업무일지!$F768&amp;"  "&amp;업무일지!$H768)</f>
        <v/>
      </c>
      <c r="D800" s="122">
        <f>IF(NOT(COUNTBLANK(업무일지!$B768:$AH768)&lt;33),"",TRIM(IF(업무일지!$B768="","시작일 누락; ","")&amp;IF(업무일지!$C768="","종료일 누락; ","")&amp;IF(AND(업무일지!$B768&lt;&gt;"",업무일지!$C768&lt;&gt;"",업무일지!$C768&lt;업무일지!$B768),"종료일이 시작일보다 빠름; ","")&amp;IF(COUNTIF(코드설정!$H$5:$H$7,업무일지!$D768)=0,"직무구분 누락; ","")&amp;IF(업무일지!$E768="","세부유형 누락; ",IF(AND(업무일지!$D768&lt;&gt;"",COUNTIFS(코드설정!$A$5:$A$21,업무일지!$D768,코드설정!$B$5:$B$21,업무일지!$E768)=0),"세부유형이 직무구분과 불일치; ",""))&amp;IF(AND(업무일지!$F768&lt;&gt;"",COUNTIF(사건마스터!$A$5:$A$64,업무일지!$F768)=0),"미등록 사건번호; ","")&amp;IF(AND(업무일지!$F768="",업무일지!$H768=""),"사건번호·업무명 모두 없음; ","")&amp;IF(업무일지!$J768="","담당자 없음; ","")&amp;IF(COUNTIF(코드설정!$F$5:$F$7,업무일지!$AG768)=0,"진행상태 누락; ","")))</f>
        <v/>
      </c>
    </row>
    <row r="801">
      <c r="A801" s="26" t="inlineStr">
        <is>
          <t>업무일지</t>
        </is>
      </c>
      <c r="B801" s="66" t="n">
        <v>769</v>
      </c>
      <c r="C801" s="122">
        <f>IF($D801="","",IFERROR(TEXT(업무일지!$B769,"yyyy-mm-dd"),"(날짜없음)")&amp;"  "&amp;업무일지!$F769&amp;"  "&amp;업무일지!$H769)</f>
        <v/>
      </c>
      <c r="D801" s="122">
        <f>IF(NOT(COUNTBLANK(업무일지!$B769:$AH769)&lt;33),"",TRIM(IF(업무일지!$B769="","시작일 누락; ","")&amp;IF(업무일지!$C769="","종료일 누락; ","")&amp;IF(AND(업무일지!$B769&lt;&gt;"",업무일지!$C769&lt;&gt;"",업무일지!$C769&lt;업무일지!$B769),"종료일이 시작일보다 빠름; ","")&amp;IF(COUNTIF(코드설정!$H$5:$H$7,업무일지!$D769)=0,"직무구분 누락; ","")&amp;IF(업무일지!$E769="","세부유형 누락; ",IF(AND(업무일지!$D769&lt;&gt;"",COUNTIFS(코드설정!$A$5:$A$21,업무일지!$D769,코드설정!$B$5:$B$21,업무일지!$E769)=0),"세부유형이 직무구분과 불일치; ",""))&amp;IF(AND(업무일지!$F769&lt;&gt;"",COUNTIF(사건마스터!$A$5:$A$64,업무일지!$F769)=0),"미등록 사건번호; ","")&amp;IF(AND(업무일지!$F769="",업무일지!$H769=""),"사건번호·업무명 모두 없음; ","")&amp;IF(업무일지!$J769="","담당자 없음; ","")&amp;IF(COUNTIF(코드설정!$F$5:$F$7,업무일지!$AG769)=0,"진행상태 누락; ","")))</f>
        <v/>
      </c>
    </row>
    <row r="802">
      <c r="A802" s="26" t="inlineStr">
        <is>
          <t>업무일지</t>
        </is>
      </c>
      <c r="B802" s="66" t="n">
        <v>770</v>
      </c>
      <c r="C802" s="122">
        <f>IF($D802="","",IFERROR(TEXT(업무일지!$B770,"yyyy-mm-dd"),"(날짜없음)")&amp;"  "&amp;업무일지!$F770&amp;"  "&amp;업무일지!$H770)</f>
        <v/>
      </c>
      <c r="D802" s="122">
        <f>IF(NOT(COUNTBLANK(업무일지!$B770:$AH770)&lt;33),"",TRIM(IF(업무일지!$B770="","시작일 누락; ","")&amp;IF(업무일지!$C770="","종료일 누락; ","")&amp;IF(AND(업무일지!$B770&lt;&gt;"",업무일지!$C770&lt;&gt;"",업무일지!$C770&lt;업무일지!$B770),"종료일이 시작일보다 빠름; ","")&amp;IF(COUNTIF(코드설정!$H$5:$H$7,업무일지!$D770)=0,"직무구분 누락; ","")&amp;IF(업무일지!$E770="","세부유형 누락; ",IF(AND(업무일지!$D770&lt;&gt;"",COUNTIFS(코드설정!$A$5:$A$21,업무일지!$D770,코드설정!$B$5:$B$21,업무일지!$E770)=0),"세부유형이 직무구분과 불일치; ",""))&amp;IF(AND(업무일지!$F770&lt;&gt;"",COUNTIF(사건마스터!$A$5:$A$64,업무일지!$F770)=0),"미등록 사건번호; ","")&amp;IF(AND(업무일지!$F770="",업무일지!$H770=""),"사건번호·업무명 모두 없음; ","")&amp;IF(업무일지!$J770="","담당자 없음; ","")&amp;IF(COUNTIF(코드설정!$F$5:$F$7,업무일지!$AG770)=0,"진행상태 누락; ","")))</f>
        <v/>
      </c>
    </row>
    <row r="803">
      <c r="A803" s="26" t="inlineStr">
        <is>
          <t>업무일지</t>
        </is>
      </c>
      <c r="B803" s="66" t="n">
        <v>771</v>
      </c>
      <c r="C803" s="122">
        <f>IF($D803="","",IFERROR(TEXT(업무일지!$B771,"yyyy-mm-dd"),"(날짜없음)")&amp;"  "&amp;업무일지!$F771&amp;"  "&amp;업무일지!$H771)</f>
        <v/>
      </c>
      <c r="D803" s="122">
        <f>IF(NOT(COUNTBLANK(업무일지!$B771:$AH771)&lt;33),"",TRIM(IF(업무일지!$B771="","시작일 누락; ","")&amp;IF(업무일지!$C771="","종료일 누락; ","")&amp;IF(AND(업무일지!$B771&lt;&gt;"",업무일지!$C771&lt;&gt;"",업무일지!$C771&lt;업무일지!$B771),"종료일이 시작일보다 빠름; ","")&amp;IF(COUNTIF(코드설정!$H$5:$H$7,업무일지!$D771)=0,"직무구분 누락; ","")&amp;IF(업무일지!$E771="","세부유형 누락; ",IF(AND(업무일지!$D771&lt;&gt;"",COUNTIFS(코드설정!$A$5:$A$21,업무일지!$D771,코드설정!$B$5:$B$21,업무일지!$E771)=0),"세부유형이 직무구분과 불일치; ",""))&amp;IF(AND(업무일지!$F771&lt;&gt;"",COUNTIF(사건마스터!$A$5:$A$64,업무일지!$F771)=0),"미등록 사건번호; ","")&amp;IF(AND(업무일지!$F771="",업무일지!$H771=""),"사건번호·업무명 모두 없음; ","")&amp;IF(업무일지!$J771="","담당자 없음; ","")&amp;IF(COUNTIF(코드설정!$F$5:$F$7,업무일지!$AG771)=0,"진행상태 누락; ","")))</f>
        <v/>
      </c>
    </row>
    <row r="804">
      <c r="A804" s="26" t="inlineStr">
        <is>
          <t>업무일지</t>
        </is>
      </c>
      <c r="B804" s="66" t="n">
        <v>772</v>
      </c>
      <c r="C804" s="122">
        <f>IF($D804="","",IFERROR(TEXT(업무일지!$B772,"yyyy-mm-dd"),"(날짜없음)")&amp;"  "&amp;업무일지!$F772&amp;"  "&amp;업무일지!$H772)</f>
        <v/>
      </c>
      <c r="D804" s="122">
        <f>IF(NOT(COUNTBLANK(업무일지!$B772:$AH772)&lt;33),"",TRIM(IF(업무일지!$B772="","시작일 누락; ","")&amp;IF(업무일지!$C772="","종료일 누락; ","")&amp;IF(AND(업무일지!$B772&lt;&gt;"",업무일지!$C772&lt;&gt;"",업무일지!$C772&lt;업무일지!$B772),"종료일이 시작일보다 빠름; ","")&amp;IF(COUNTIF(코드설정!$H$5:$H$7,업무일지!$D772)=0,"직무구분 누락; ","")&amp;IF(업무일지!$E772="","세부유형 누락; ",IF(AND(업무일지!$D772&lt;&gt;"",COUNTIFS(코드설정!$A$5:$A$21,업무일지!$D772,코드설정!$B$5:$B$21,업무일지!$E772)=0),"세부유형이 직무구분과 불일치; ",""))&amp;IF(AND(업무일지!$F772&lt;&gt;"",COUNTIF(사건마스터!$A$5:$A$64,업무일지!$F772)=0),"미등록 사건번호; ","")&amp;IF(AND(업무일지!$F772="",업무일지!$H772=""),"사건번호·업무명 모두 없음; ","")&amp;IF(업무일지!$J772="","담당자 없음; ","")&amp;IF(COUNTIF(코드설정!$F$5:$F$7,업무일지!$AG772)=0,"진행상태 누락; ","")))</f>
        <v/>
      </c>
    </row>
    <row r="805">
      <c r="A805" s="26" t="inlineStr">
        <is>
          <t>업무일지</t>
        </is>
      </c>
      <c r="B805" s="66" t="n">
        <v>773</v>
      </c>
      <c r="C805" s="122">
        <f>IF($D805="","",IFERROR(TEXT(업무일지!$B773,"yyyy-mm-dd"),"(날짜없음)")&amp;"  "&amp;업무일지!$F773&amp;"  "&amp;업무일지!$H773)</f>
        <v/>
      </c>
      <c r="D805" s="122">
        <f>IF(NOT(COUNTBLANK(업무일지!$B773:$AH773)&lt;33),"",TRIM(IF(업무일지!$B773="","시작일 누락; ","")&amp;IF(업무일지!$C773="","종료일 누락; ","")&amp;IF(AND(업무일지!$B773&lt;&gt;"",업무일지!$C773&lt;&gt;"",업무일지!$C773&lt;업무일지!$B773),"종료일이 시작일보다 빠름; ","")&amp;IF(COUNTIF(코드설정!$H$5:$H$7,업무일지!$D773)=0,"직무구분 누락; ","")&amp;IF(업무일지!$E773="","세부유형 누락; ",IF(AND(업무일지!$D773&lt;&gt;"",COUNTIFS(코드설정!$A$5:$A$21,업무일지!$D773,코드설정!$B$5:$B$21,업무일지!$E773)=0),"세부유형이 직무구분과 불일치; ",""))&amp;IF(AND(업무일지!$F773&lt;&gt;"",COUNTIF(사건마스터!$A$5:$A$64,업무일지!$F773)=0),"미등록 사건번호; ","")&amp;IF(AND(업무일지!$F773="",업무일지!$H773=""),"사건번호·업무명 모두 없음; ","")&amp;IF(업무일지!$J773="","담당자 없음; ","")&amp;IF(COUNTIF(코드설정!$F$5:$F$7,업무일지!$AG773)=0,"진행상태 누락; ","")))</f>
        <v/>
      </c>
    </row>
    <row r="806">
      <c r="A806" s="26" t="inlineStr">
        <is>
          <t>업무일지</t>
        </is>
      </c>
      <c r="B806" s="66" t="n">
        <v>774</v>
      </c>
      <c r="C806" s="122">
        <f>IF($D806="","",IFERROR(TEXT(업무일지!$B774,"yyyy-mm-dd"),"(날짜없음)")&amp;"  "&amp;업무일지!$F774&amp;"  "&amp;업무일지!$H774)</f>
        <v/>
      </c>
      <c r="D806" s="122">
        <f>IF(NOT(COUNTBLANK(업무일지!$B774:$AH774)&lt;33),"",TRIM(IF(업무일지!$B774="","시작일 누락; ","")&amp;IF(업무일지!$C774="","종료일 누락; ","")&amp;IF(AND(업무일지!$B774&lt;&gt;"",업무일지!$C774&lt;&gt;"",업무일지!$C774&lt;업무일지!$B774),"종료일이 시작일보다 빠름; ","")&amp;IF(COUNTIF(코드설정!$H$5:$H$7,업무일지!$D774)=0,"직무구분 누락; ","")&amp;IF(업무일지!$E774="","세부유형 누락; ",IF(AND(업무일지!$D774&lt;&gt;"",COUNTIFS(코드설정!$A$5:$A$21,업무일지!$D774,코드설정!$B$5:$B$21,업무일지!$E774)=0),"세부유형이 직무구분과 불일치; ",""))&amp;IF(AND(업무일지!$F774&lt;&gt;"",COUNTIF(사건마스터!$A$5:$A$64,업무일지!$F774)=0),"미등록 사건번호; ","")&amp;IF(AND(업무일지!$F774="",업무일지!$H774=""),"사건번호·업무명 모두 없음; ","")&amp;IF(업무일지!$J774="","담당자 없음; ","")&amp;IF(COUNTIF(코드설정!$F$5:$F$7,업무일지!$AG774)=0,"진행상태 누락; ","")))</f>
        <v/>
      </c>
    </row>
    <row r="807">
      <c r="A807" s="26" t="inlineStr">
        <is>
          <t>업무일지</t>
        </is>
      </c>
      <c r="B807" s="66" t="n">
        <v>775</v>
      </c>
      <c r="C807" s="122">
        <f>IF($D807="","",IFERROR(TEXT(업무일지!$B775,"yyyy-mm-dd"),"(날짜없음)")&amp;"  "&amp;업무일지!$F775&amp;"  "&amp;업무일지!$H775)</f>
        <v/>
      </c>
      <c r="D807" s="122">
        <f>IF(NOT(COUNTBLANK(업무일지!$B775:$AH775)&lt;33),"",TRIM(IF(업무일지!$B775="","시작일 누락; ","")&amp;IF(업무일지!$C775="","종료일 누락; ","")&amp;IF(AND(업무일지!$B775&lt;&gt;"",업무일지!$C775&lt;&gt;"",업무일지!$C775&lt;업무일지!$B775),"종료일이 시작일보다 빠름; ","")&amp;IF(COUNTIF(코드설정!$H$5:$H$7,업무일지!$D775)=0,"직무구분 누락; ","")&amp;IF(업무일지!$E775="","세부유형 누락; ",IF(AND(업무일지!$D775&lt;&gt;"",COUNTIFS(코드설정!$A$5:$A$21,업무일지!$D775,코드설정!$B$5:$B$21,업무일지!$E775)=0),"세부유형이 직무구분과 불일치; ",""))&amp;IF(AND(업무일지!$F775&lt;&gt;"",COUNTIF(사건마스터!$A$5:$A$64,업무일지!$F775)=0),"미등록 사건번호; ","")&amp;IF(AND(업무일지!$F775="",업무일지!$H775=""),"사건번호·업무명 모두 없음; ","")&amp;IF(업무일지!$J775="","담당자 없음; ","")&amp;IF(COUNTIF(코드설정!$F$5:$F$7,업무일지!$AG775)=0,"진행상태 누락; ","")))</f>
        <v/>
      </c>
    </row>
    <row r="808">
      <c r="A808" s="26" t="inlineStr">
        <is>
          <t>업무일지</t>
        </is>
      </c>
      <c r="B808" s="66" t="n">
        <v>776</v>
      </c>
      <c r="C808" s="122">
        <f>IF($D808="","",IFERROR(TEXT(업무일지!$B776,"yyyy-mm-dd"),"(날짜없음)")&amp;"  "&amp;업무일지!$F776&amp;"  "&amp;업무일지!$H776)</f>
        <v/>
      </c>
      <c r="D808" s="122">
        <f>IF(NOT(COUNTBLANK(업무일지!$B776:$AH776)&lt;33),"",TRIM(IF(업무일지!$B776="","시작일 누락; ","")&amp;IF(업무일지!$C776="","종료일 누락; ","")&amp;IF(AND(업무일지!$B776&lt;&gt;"",업무일지!$C776&lt;&gt;"",업무일지!$C776&lt;업무일지!$B776),"종료일이 시작일보다 빠름; ","")&amp;IF(COUNTIF(코드설정!$H$5:$H$7,업무일지!$D776)=0,"직무구분 누락; ","")&amp;IF(업무일지!$E776="","세부유형 누락; ",IF(AND(업무일지!$D776&lt;&gt;"",COUNTIFS(코드설정!$A$5:$A$21,업무일지!$D776,코드설정!$B$5:$B$21,업무일지!$E776)=0),"세부유형이 직무구분과 불일치; ",""))&amp;IF(AND(업무일지!$F776&lt;&gt;"",COUNTIF(사건마스터!$A$5:$A$64,업무일지!$F776)=0),"미등록 사건번호; ","")&amp;IF(AND(업무일지!$F776="",업무일지!$H776=""),"사건번호·업무명 모두 없음; ","")&amp;IF(업무일지!$J776="","담당자 없음; ","")&amp;IF(COUNTIF(코드설정!$F$5:$F$7,업무일지!$AG776)=0,"진행상태 누락; ","")))</f>
        <v/>
      </c>
    </row>
    <row r="809">
      <c r="A809" s="26" t="inlineStr">
        <is>
          <t>업무일지</t>
        </is>
      </c>
      <c r="B809" s="66" t="n">
        <v>777</v>
      </c>
      <c r="C809" s="122">
        <f>IF($D809="","",IFERROR(TEXT(업무일지!$B777,"yyyy-mm-dd"),"(날짜없음)")&amp;"  "&amp;업무일지!$F777&amp;"  "&amp;업무일지!$H777)</f>
        <v/>
      </c>
      <c r="D809" s="122">
        <f>IF(NOT(COUNTBLANK(업무일지!$B777:$AH777)&lt;33),"",TRIM(IF(업무일지!$B777="","시작일 누락; ","")&amp;IF(업무일지!$C777="","종료일 누락; ","")&amp;IF(AND(업무일지!$B777&lt;&gt;"",업무일지!$C777&lt;&gt;"",업무일지!$C777&lt;업무일지!$B777),"종료일이 시작일보다 빠름; ","")&amp;IF(COUNTIF(코드설정!$H$5:$H$7,업무일지!$D777)=0,"직무구분 누락; ","")&amp;IF(업무일지!$E777="","세부유형 누락; ",IF(AND(업무일지!$D777&lt;&gt;"",COUNTIFS(코드설정!$A$5:$A$21,업무일지!$D777,코드설정!$B$5:$B$21,업무일지!$E777)=0),"세부유형이 직무구분과 불일치; ",""))&amp;IF(AND(업무일지!$F777&lt;&gt;"",COUNTIF(사건마스터!$A$5:$A$64,업무일지!$F777)=0),"미등록 사건번호; ","")&amp;IF(AND(업무일지!$F777="",업무일지!$H777=""),"사건번호·업무명 모두 없음; ","")&amp;IF(업무일지!$J777="","담당자 없음; ","")&amp;IF(COUNTIF(코드설정!$F$5:$F$7,업무일지!$AG777)=0,"진행상태 누락; ","")))</f>
        <v/>
      </c>
    </row>
    <row r="810">
      <c r="A810" s="26" t="inlineStr">
        <is>
          <t>업무일지</t>
        </is>
      </c>
      <c r="B810" s="66" t="n">
        <v>778</v>
      </c>
      <c r="C810" s="122">
        <f>IF($D810="","",IFERROR(TEXT(업무일지!$B778,"yyyy-mm-dd"),"(날짜없음)")&amp;"  "&amp;업무일지!$F778&amp;"  "&amp;업무일지!$H778)</f>
        <v/>
      </c>
      <c r="D810" s="122">
        <f>IF(NOT(COUNTBLANK(업무일지!$B778:$AH778)&lt;33),"",TRIM(IF(업무일지!$B778="","시작일 누락; ","")&amp;IF(업무일지!$C778="","종료일 누락; ","")&amp;IF(AND(업무일지!$B778&lt;&gt;"",업무일지!$C778&lt;&gt;"",업무일지!$C778&lt;업무일지!$B778),"종료일이 시작일보다 빠름; ","")&amp;IF(COUNTIF(코드설정!$H$5:$H$7,업무일지!$D778)=0,"직무구분 누락; ","")&amp;IF(업무일지!$E778="","세부유형 누락; ",IF(AND(업무일지!$D778&lt;&gt;"",COUNTIFS(코드설정!$A$5:$A$21,업무일지!$D778,코드설정!$B$5:$B$21,업무일지!$E778)=0),"세부유형이 직무구분과 불일치; ",""))&amp;IF(AND(업무일지!$F778&lt;&gt;"",COUNTIF(사건마스터!$A$5:$A$64,업무일지!$F778)=0),"미등록 사건번호; ","")&amp;IF(AND(업무일지!$F778="",업무일지!$H778=""),"사건번호·업무명 모두 없음; ","")&amp;IF(업무일지!$J778="","담당자 없음; ","")&amp;IF(COUNTIF(코드설정!$F$5:$F$7,업무일지!$AG778)=0,"진행상태 누락; ","")))</f>
        <v/>
      </c>
    </row>
    <row r="811">
      <c r="A811" s="26" t="inlineStr">
        <is>
          <t>업무일지</t>
        </is>
      </c>
      <c r="B811" s="66" t="n">
        <v>779</v>
      </c>
      <c r="C811" s="122">
        <f>IF($D811="","",IFERROR(TEXT(업무일지!$B779,"yyyy-mm-dd"),"(날짜없음)")&amp;"  "&amp;업무일지!$F779&amp;"  "&amp;업무일지!$H779)</f>
        <v/>
      </c>
      <c r="D811" s="122">
        <f>IF(NOT(COUNTBLANK(업무일지!$B779:$AH779)&lt;33),"",TRIM(IF(업무일지!$B779="","시작일 누락; ","")&amp;IF(업무일지!$C779="","종료일 누락; ","")&amp;IF(AND(업무일지!$B779&lt;&gt;"",업무일지!$C779&lt;&gt;"",업무일지!$C779&lt;업무일지!$B779),"종료일이 시작일보다 빠름; ","")&amp;IF(COUNTIF(코드설정!$H$5:$H$7,업무일지!$D779)=0,"직무구분 누락; ","")&amp;IF(업무일지!$E779="","세부유형 누락; ",IF(AND(업무일지!$D779&lt;&gt;"",COUNTIFS(코드설정!$A$5:$A$21,업무일지!$D779,코드설정!$B$5:$B$21,업무일지!$E779)=0),"세부유형이 직무구분과 불일치; ",""))&amp;IF(AND(업무일지!$F779&lt;&gt;"",COUNTIF(사건마스터!$A$5:$A$64,업무일지!$F779)=0),"미등록 사건번호; ","")&amp;IF(AND(업무일지!$F779="",업무일지!$H779=""),"사건번호·업무명 모두 없음; ","")&amp;IF(업무일지!$J779="","담당자 없음; ","")&amp;IF(COUNTIF(코드설정!$F$5:$F$7,업무일지!$AG779)=0,"진행상태 누락; ","")))</f>
        <v/>
      </c>
    </row>
    <row r="812">
      <c r="A812" s="26" t="inlineStr">
        <is>
          <t>업무일지</t>
        </is>
      </c>
      <c r="B812" s="66" t="n">
        <v>780</v>
      </c>
      <c r="C812" s="122">
        <f>IF($D812="","",IFERROR(TEXT(업무일지!$B780,"yyyy-mm-dd"),"(날짜없음)")&amp;"  "&amp;업무일지!$F780&amp;"  "&amp;업무일지!$H780)</f>
        <v/>
      </c>
      <c r="D812" s="122">
        <f>IF(NOT(COUNTBLANK(업무일지!$B780:$AH780)&lt;33),"",TRIM(IF(업무일지!$B780="","시작일 누락; ","")&amp;IF(업무일지!$C780="","종료일 누락; ","")&amp;IF(AND(업무일지!$B780&lt;&gt;"",업무일지!$C780&lt;&gt;"",업무일지!$C780&lt;업무일지!$B780),"종료일이 시작일보다 빠름; ","")&amp;IF(COUNTIF(코드설정!$H$5:$H$7,업무일지!$D780)=0,"직무구분 누락; ","")&amp;IF(업무일지!$E780="","세부유형 누락; ",IF(AND(업무일지!$D780&lt;&gt;"",COUNTIFS(코드설정!$A$5:$A$21,업무일지!$D780,코드설정!$B$5:$B$21,업무일지!$E780)=0),"세부유형이 직무구분과 불일치; ",""))&amp;IF(AND(업무일지!$F780&lt;&gt;"",COUNTIF(사건마스터!$A$5:$A$64,업무일지!$F780)=0),"미등록 사건번호; ","")&amp;IF(AND(업무일지!$F780="",업무일지!$H780=""),"사건번호·업무명 모두 없음; ","")&amp;IF(업무일지!$J780="","담당자 없음; ","")&amp;IF(COUNTIF(코드설정!$F$5:$F$7,업무일지!$AG780)=0,"진행상태 누락; ","")))</f>
        <v/>
      </c>
    </row>
    <row r="813">
      <c r="A813" s="26" t="inlineStr">
        <is>
          <t>업무일지</t>
        </is>
      </c>
      <c r="B813" s="66" t="n">
        <v>781</v>
      </c>
      <c r="C813" s="122">
        <f>IF($D813="","",IFERROR(TEXT(업무일지!$B781,"yyyy-mm-dd"),"(날짜없음)")&amp;"  "&amp;업무일지!$F781&amp;"  "&amp;업무일지!$H781)</f>
        <v/>
      </c>
      <c r="D813" s="122">
        <f>IF(NOT(COUNTBLANK(업무일지!$B781:$AH781)&lt;33),"",TRIM(IF(업무일지!$B781="","시작일 누락; ","")&amp;IF(업무일지!$C781="","종료일 누락; ","")&amp;IF(AND(업무일지!$B781&lt;&gt;"",업무일지!$C781&lt;&gt;"",업무일지!$C781&lt;업무일지!$B781),"종료일이 시작일보다 빠름; ","")&amp;IF(COUNTIF(코드설정!$H$5:$H$7,업무일지!$D781)=0,"직무구분 누락; ","")&amp;IF(업무일지!$E781="","세부유형 누락; ",IF(AND(업무일지!$D781&lt;&gt;"",COUNTIFS(코드설정!$A$5:$A$21,업무일지!$D781,코드설정!$B$5:$B$21,업무일지!$E781)=0),"세부유형이 직무구분과 불일치; ",""))&amp;IF(AND(업무일지!$F781&lt;&gt;"",COUNTIF(사건마스터!$A$5:$A$64,업무일지!$F781)=0),"미등록 사건번호; ","")&amp;IF(AND(업무일지!$F781="",업무일지!$H781=""),"사건번호·업무명 모두 없음; ","")&amp;IF(업무일지!$J781="","담당자 없음; ","")&amp;IF(COUNTIF(코드설정!$F$5:$F$7,업무일지!$AG781)=0,"진행상태 누락; ","")))</f>
        <v/>
      </c>
    </row>
    <row r="814">
      <c r="A814" s="26" t="inlineStr">
        <is>
          <t>업무일지</t>
        </is>
      </c>
      <c r="B814" s="66" t="n">
        <v>782</v>
      </c>
      <c r="C814" s="122">
        <f>IF($D814="","",IFERROR(TEXT(업무일지!$B782,"yyyy-mm-dd"),"(날짜없음)")&amp;"  "&amp;업무일지!$F782&amp;"  "&amp;업무일지!$H782)</f>
        <v/>
      </c>
      <c r="D814" s="122">
        <f>IF(NOT(COUNTBLANK(업무일지!$B782:$AH782)&lt;33),"",TRIM(IF(업무일지!$B782="","시작일 누락; ","")&amp;IF(업무일지!$C782="","종료일 누락; ","")&amp;IF(AND(업무일지!$B782&lt;&gt;"",업무일지!$C782&lt;&gt;"",업무일지!$C782&lt;업무일지!$B782),"종료일이 시작일보다 빠름; ","")&amp;IF(COUNTIF(코드설정!$H$5:$H$7,업무일지!$D782)=0,"직무구분 누락; ","")&amp;IF(업무일지!$E782="","세부유형 누락; ",IF(AND(업무일지!$D782&lt;&gt;"",COUNTIFS(코드설정!$A$5:$A$21,업무일지!$D782,코드설정!$B$5:$B$21,업무일지!$E782)=0),"세부유형이 직무구분과 불일치; ",""))&amp;IF(AND(업무일지!$F782&lt;&gt;"",COUNTIF(사건마스터!$A$5:$A$64,업무일지!$F782)=0),"미등록 사건번호; ","")&amp;IF(AND(업무일지!$F782="",업무일지!$H782=""),"사건번호·업무명 모두 없음; ","")&amp;IF(업무일지!$J782="","담당자 없음; ","")&amp;IF(COUNTIF(코드설정!$F$5:$F$7,업무일지!$AG782)=0,"진행상태 누락; ","")))</f>
        <v/>
      </c>
    </row>
    <row r="815">
      <c r="A815" s="26" t="inlineStr">
        <is>
          <t>업무일지</t>
        </is>
      </c>
      <c r="B815" s="66" t="n">
        <v>783</v>
      </c>
      <c r="C815" s="122">
        <f>IF($D815="","",IFERROR(TEXT(업무일지!$B783,"yyyy-mm-dd"),"(날짜없음)")&amp;"  "&amp;업무일지!$F783&amp;"  "&amp;업무일지!$H783)</f>
        <v/>
      </c>
      <c r="D815" s="122">
        <f>IF(NOT(COUNTBLANK(업무일지!$B783:$AH783)&lt;33),"",TRIM(IF(업무일지!$B783="","시작일 누락; ","")&amp;IF(업무일지!$C783="","종료일 누락; ","")&amp;IF(AND(업무일지!$B783&lt;&gt;"",업무일지!$C783&lt;&gt;"",업무일지!$C783&lt;업무일지!$B783),"종료일이 시작일보다 빠름; ","")&amp;IF(COUNTIF(코드설정!$H$5:$H$7,업무일지!$D783)=0,"직무구분 누락; ","")&amp;IF(업무일지!$E783="","세부유형 누락; ",IF(AND(업무일지!$D783&lt;&gt;"",COUNTIFS(코드설정!$A$5:$A$21,업무일지!$D783,코드설정!$B$5:$B$21,업무일지!$E783)=0),"세부유형이 직무구분과 불일치; ",""))&amp;IF(AND(업무일지!$F783&lt;&gt;"",COUNTIF(사건마스터!$A$5:$A$64,업무일지!$F783)=0),"미등록 사건번호; ","")&amp;IF(AND(업무일지!$F783="",업무일지!$H783=""),"사건번호·업무명 모두 없음; ","")&amp;IF(업무일지!$J783="","담당자 없음; ","")&amp;IF(COUNTIF(코드설정!$F$5:$F$7,업무일지!$AG783)=0,"진행상태 누락; ","")))</f>
        <v/>
      </c>
    </row>
    <row r="816">
      <c r="A816" s="26" t="inlineStr">
        <is>
          <t>업무일지</t>
        </is>
      </c>
      <c r="B816" s="66" t="n">
        <v>784</v>
      </c>
      <c r="C816" s="122">
        <f>IF($D816="","",IFERROR(TEXT(업무일지!$B784,"yyyy-mm-dd"),"(날짜없음)")&amp;"  "&amp;업무일지!$F784&amp;"  "&amp;업무일지!$H784)</f>
        <v/>
      </c>
      <c r="D816" s="122">
        <f>IF(NOT(COUNTBLANK(업무일지!$B784:$AH784)&lt;33),"",TRIM(IF(업무일지!$B784="","시작일 누락; ","")&amp;IF(업무일지!$C784="","종료일 누락; ","")&amp;IF(AND(업무일지!$B784&lt;&gt;"",업무일지!$C784&lt;&gt;"",업무일지!$C784&lt;업무일지!$B784),"종료일이 시작일보다 빠름; ","")&amp;IF(COUNTIF(코드설정!$H$5:$H$7,업무일지!$D784)=0,"직무구분 누락; ","")&amp;IF(업무일지!$E784="","세부유형 누락; ",IF(AND(업무일지!$D784&lt;&gt;"",COUNTIFS(코드설정!$A$5:$A$21,업무일지!$D784,코드설정!$B$5:$B$21,업무일지!$E784)=0),"세부유형이 직무구분과 불일치; ",""))&amp;IF(AND(업무일지!$F784&lt;&gt;"",COUNTIF(사건마스터!$A$5:$A$64,업무일지!$F784)=0),"미등록 사건번호; ","")&amp;IF(AND(업무일지!$F784="",업무일지!$H784=""),"사건번호·업무명 모두 없음; ","")&amp;IF(업무일지!$J784="","담당자 없음; ","")&amp;IF(COUNTIF(코드설정!$F$5:$F$7,업무일지!$AG784)=0,"진행상태 누락; ","")))</f>
        <v/>
      </c>
    </row>
    <row r="817">
      <c r="A817" s="26" t="inlineStr">
        <is>
          <t>업무일지</t>
        </is>
      </c>
      <c r="B817" s="66" t="n">
        <v>785</v>
      </c>
      <c r="C817" s="122">
        <f>IF($D817="","",IFERROR(TEXT(업무일지!$B785,"yyyy-mm-dd"),"(날짜없음)")&amp;"  "&amp;업무일지!$F785&amp;"  "&amp;업무일지!$H785)</f>
        <v/>
      </c>
      <c r="D817" s="122">
        <f>IF(NOT(COUNTBLANK(업무일지!$B785:$AH785)&lt;33),"",TRIM(IF(업무일지!$B785="","시작일 누락; ","")&amp;IF(업무일지!$C785="","종료일 누락; ","")&amp;IF(AND(업무일지!$B785&lt;&gt;"",업무일지!$C785&lt;&gt;"",업무일지!$C785&lt;업무일지!$B785),"종료일이 시작일보다 빠름; ","")&amp;IF(COUNTIF(코드설정!$H$5:$H$7,업무일지!$D785)=0,"직무구분 누락; ","")&amp;IF(업무일지!$E785="","세부유형 누락; ",IF(AND(업무일지!$D785&lt;&gt;"",COUNTIFS(코드설정!$A$5:$A$21,업무일지!$D785,코드설정!$B$5:$B$21,업무일지!$E785)=0),"세부유형이 직무구분과 불일치; ",""))&amp;IF(AND(업무일지!$F785&lt;&gt;"",COUNTIF(사건마스터!$A$5:$A$64,업무일지!$F785)=0),"미등록 사건번호; ","")&amp;IF(AND(업무일지!$F785="",업무일지!$H785=""),"사건번호·업무명 모두 없음; ","")&amp;IF(업무일지!$J785="","담당자 없음; ","")&amp;IF(COUNTIF(코드설정!$F$5:$F$7,업무일지!$AG785)=0,"진행상태 누락; ","")))</f>
        <v/>
      </c>
    </row>
    <row r="818">
      <c r="A818" s="26" t="inlineStr">
        <is>
          <t>업무일지</t>
        </is>
      </c>
      <c r="B818" s="66" t="n">
        <v>786</v>
      </c>
      <c r="C818" s="122">
        <f>IF($D818="","",IFERROR(TEXT(업무일지!$B786,"yyyy-mm-dd"),"(날짜없음)")&amp;"  "&amp;업무일지!$F786&amp;"  "&amp;업무일지!$H786)</f>
        <v/>
      </c>
      <c r="D818" s="122">
        <f>IF(NOT(COUNTBLANK(업무일지!$B786:$AH786)&lt;33),"",TRIM(IF(업무일지!$B786="","시작일 누락; ","")&amp;IF(업무일지!$C786="","종료일 누락; ","")&amp;IF(AND(업무일지!$B786&lt;&gt;"",업무일지!$C786&lt;&gt;"",업무일지!$C786&lt;업무일지!$B786),"종료일이 시작일보다 빠름; ","")&amp;IF(COUNTIF(코드설정!$H$5:$H$7,업무일지!$D786)=0,"직무구분 누락; ","")&amp;IF(업무일지!$E786="","세부유형 누락; ",IF(AND(업무일지!$D786&lt;&gt;"",COUNTIFS(코드설정!$A$5:$A$21,업무일지!$D786,코드설정!$B$5:$B$21,업무일지!$E786)=0),"세부유형이 직무구분과 불일치; ",""))&amp;IF(AND(업무일지!$F786&lt;&gt;"",COUNTIF(사건마스터!$A$5:$A$64,업무일지!$F786)=0),"미등록 사건번호; ","")&amp;IF(AND(업무일지!$F786="",업무일지!$H786=""),"사건번호·업무명 모두 없음; ","")&amp;IF(업무일지!$J786="","담당자 없음; ","")&amp;IF(COUNTIF(코드설정!$F$5:$F$7,업무일지!$AG786)=0,"진행상태 누락; ","")))</f>
        <v/>
      </c>
    </row>
    <row r="819">
      <c r="A819" s="26" t="inlineStr">
        <is>
          <t>업무일지</t>
        </is>
      </c>
      <c r="B819" s="66" t="n">
        <v>787</v>
      </c>
      <c r="C819" s="122">
        <f>IF($D819="","",IFERROR(TEXT(업무일지!$B787,"yyyy-mm-dd"),"(날짜없음)")&amp;"  "&amp;업무일지!$F787&amp;"  "&amp;업무일지!$H787)</f>
        <v/>
      </c>
      <c r="D819" s="122">
        <f>IF(NOT(COUNTBLANK(업무일지!$B787:$AH787)&lt;33),"",TRIM(IF(업무일지!$B787="","시작일 누락; ","")&amp;IF(업무일지!$C787="","종료일 누락; ","")&amp;IF(AND(업무일지!$B787&lt;&gt;"",업무일지!$C787&lt;&gt;"",업무일지!$C787&lt;업무일지!$B787),"종료일이 시작일보다 빠름; ","")&amp;IF(COUNTIF(코드설정!$H$5:$H$7,업무일지!$D787)=0,"직무구분 누락; ","")&amp;IF(업무일지!$E787="","세부유형 누락; ",IF(AND(업무일지!$D787&lt;&gt;"",COUNTIFS(코드설정!$A$5:$A$21,업무일지!$D787,코드설정!$B$5:$B$21,업무일지!$E787)=0),"세부유형이 직무구분과 불일치; ",""))&amp;IF(AND(업무일지!$F787&lt;&gt;"",COUNTIF(사건마스터!$A$5:$A$64,업무일지!$F787)=0),"미등록 사건번호; ","")&amp;IF(AND(업무일지!$F787="",업무일지!$H787=""),"사건번호·업무명 모두 없음; ","")&amp;IF(업무일지!$J787="","담당자 없음; ","")&amp;IF(COUNTIF(코드설정!$F$5:$F$7,업무일지!$AG787)=0,"진행상태 누락; ","")))</f>
        <v/>
      </c>
    </row>
    <row r="820">
      <c r="A820" s="26" t="inlineStr">
        <is>
          <t>업무일지</t>
        </is>
      </c>
      <c r="B820" s="66" t="n">
        <v>788</v>
      </c>
      <c r="C820" s="122">
        <f>IF($D820="","",IFERROR(TEXT(업무일지!$B788,"yyyy-mm-dd"),"(날짜없음)")&amp;"  "&amp;업무일지!$F788&amp;"  "&amp;업무일지!$H788)</f>
        <v/>
      </c>
      <c r="D820" s="122">
        <f>IF(NOT(COUNTBLANK(업무일지!$B788:$AH788)&lt;33),"",TRIM(IF(업무일지!$B788="","시작일 누락; ","")&amp;IF(업무일지!$C788="","종료일 누락; ","")&amp;IF(AND(업무일지!$B788&lt;&gt;"",업무일지!$C788&lt;&gt;"",업무일지!$C788&lt;업무일지!$B788),"종료일이 시작일보다 빠름; ","")&amp;IF(COUNTIF(코드설정!$H$5:$H$7,업무일지!$D788)=0,"직무구분 누락; ","")&amp;IF(업무일지!$E788="","세부유형 누락; ",IF(AND(업무일지!$D788&lt;&gt;"",COUNTIFS(코드설정!$A$5:$A$21,업무일지!$D788,코드설정!$B$5:$B$21,업무일지!$E788)=0),"세부유형이 직무구분과 불일치; ",""))&amp;IF(AND(업무일지!$F788&lt;&gt;"",COUNTIF(사건마스터!$A$5:$A$64,업무일지!$F788)=0),"미등록 사건번호; ","")&amp;IF(AND(업무일지!$F788="",업무일지!$H788=""),"사건번호·업무명 모두 없음; ","")&amp;IF(업무일지!$J788="","담당자 없음; ","")&amp;IF(COUNTIF(코드설정!$F$5:$F$7,업무일지!$AG788)=0,"진행상태 누락; ","")))</f>
        <v/>
      </c>
    </row>
    <row r="821">
      <c r="A821" s="26" t="inlineStr">
        <is>
          <t>업무일지</t>
        </is>
      </c>
      <c r="B821" s="66" t="n">
        <v>789</v>
      </c>
      <c r="C821" s="122">
        <f>IF($D821="","",IFERROR(TEXT(업무일지!$B789,"yyyy-mm-dd"),"(날짜없음)")&amp;"  "&amp;업무일지!$F789&amp;"  "&amp;업무일지!$H789)</f>
        <v/>
      </c>
      <c r="D821" s="122">
        <f>IF(NOT(COUNTBLANK(업무일지!$B789:$AH789)&lt;33),"",TRIM(IF(업무일지!$B789="","시작일 누락; ","")&amp;IF(업무일지!$C789="","종료일 누락; ","")&amp;IF(AND(업무일지!$B789&lt;&gt;"",업무일지!$C789&lt;&gt;"",업무일지!$C789&lt;업무일지!$B789),"종료일이 시작일보다 빠름; ","")&amp;IF(COUNTIF(코드설정!$H$5:$H$7,업무일지!$D789)=0,"직무구분 누락; ","")&amp;IF(업무일지!$E789="","세부유형 누락; ",IF(AND(업무일지!$D789&lt;&gt;"",COUNTIFS(코드설정!$A$5:$A$21,업무일지!$D789,코드설정!$B$5:$B$21,업무일지!$E789)=0),"세부유형이 직무구분과 불일치; ",""))&amp;IF(AND(업무일지!$F789&lt;&gt;"",COUNTIF(사건마스터!$A$5:$A$64,업무일지!$F789)=0),"미등록 사건번호; ","")&amp;IF(AND(업무일지!$F789="",업무일지!$H789=""),"사건번호·업무명 모두 없음; ","")&amp;IF(업무일지!$J789="","담당자 없음; ","")&amp;IF(COUNTIF(코드설정!$F$5:$F$7,업무일지!$AG789)=0,"진행상태 누락; ","")))</f>
        <v/>
      </c>
    </row>
    <row r="822">
      <c r="A822" s="26" t="inlineStr">
        <is>
          <t>업무일지</t>
        </is>
      </c>
      <c r="B822" s="66" t="n">
        <v>790</v>
      </c>
      <c r="C822" s="122">
        <f>IF($D822="","",IFERROR(TEXT(업무일지!$B790,"yyyy-mm-dd"),"(날짜없음)")&amp;"  "&amp;업무일지!$F790&amp;"  "&amp;업무일지!$H790)</f>
        <v/>
      </c>
      <c r="D822" s="122">
        <f>IF(NOT(COUNTBLANK(업무일지!$B790:$AH790)&lt;33),"",TRIM(IF(업무일지!$B790="","시작일 누락; ","")&amp;IF(업무일지!$C790="","종료일 누락; ","")&amp;IF(AND(업무일지!$B790&lt;&gt;"",업무일지!$C790&lt;&gt;"",업무일지!$C790&lt;업무일지!$B790),"종료일이 시작일보다 빠름; ","")&amp;IF(COUNTIF(코드설정!$H$5:$H$7,업무일지!$D790)=0,"직무구분 누락; ","")&amp;IF(업무일지!$E790="","세부유형 누락; ",IF(AND(업무일지!$D790&lt;&gt;"",COUNTIFS(코드설정!$A$5:$A$21,업무일지!$D790,코드설정!$B$5:$B$21,업무일지!$E790)=0),"세부유형이 직무구분과 불일치; ",""))&amp;IF(AND(업무일지!$F790&lt;&gt;"",COUNTIF(사건마스터!$A$5:$A$64,업무일지!$F790)=0),"미등록 사건번호; ","")&amp;IF(AND(업무일지!$F790="",업무일지!$H790=""),"사건번호·업무명 모두 없음; ","")&amp;IF(업무일지!$J790="","담당자 없음; ","")&amp;IF(COUNTIF(코드설정!$F$5:$F$7,업무일지!$AG790)=0,"진행상태 누락; ","")))</f>
        <v/>
      </c>
    </row>
    <row r="823">
      <c r="A823" s="26" t="inlineStr">
        <is>
          <t>업무일지</t>
        </is>
      </c>
      <c r="B823" s="66" t="n">
        <v>791</v>
      </c>
      <c r="C823" s="122">
        <f>IF($D823="","",IFERROR(TEXT(업무일지!$B791,"yyyy-mm-dd"),"(날짜없음)")&amp;"  "&amp;업무일지!$F791&amp;"  "&amp;업무일지!$H791)</f>
        <v/>
      </c>
      <c r="D823" s="122">
        <f>IF(NOT(COUNTBLANK(업무일지!$B791:$AH791)&lt;33),"",TRIM(IF(업무일지!$B791="","시작일 누락; ","")&amp;IF(업무일지!$C791="","종료일 누락; ","")&amp;IF(AND(업무일지!$B791&lt;&gt;"",업무일지!$C791&lt;&gt;"",업무일지!$C791&lt;업무일지!$B791),"종료일이 시작일보다 빠름; ","")&amp;IF(COUNTIF(코드설정!$H$5:$H$7,업무일지!$D791)=0,"직무구분 누락; ","")&amp;IF(업무일지!$E791="","세부유형 누락; ",IF(AND(업무일지!$D791&lt;&gt;"",COUNTIFS(코드설정!$A$5:$A$21,업무일지!$D791,코드설정!$B$5:$B$21,업무일지!$E791)=0),"세부유형이 직무구분과 불일치; ",""))&amp;IF(AND(업무일지!$F791&lt;&gt;"",COUNTIF(사건마스터!$A$5:$A$64,업무일지!$F791)=0),"미등록 사건번호; ","")&amp;IF(AND(업무일지!$F791="",업무일지!$H791=""),"사건번호·업무명 모두 없음; ","")&amp;IF(업무일지!$J791="","담당자 없음; ","")&amp;IF(COUNTIF(코드설정!$F$5:$F$7,업무일지!$AG791)=0,"진행상태 누락; ","")))</f>
        <v/>
      </c>
    </row>
    <row r="824">
      <c r="A824" s="26" t="inlineStr">
        <is>
          <t>업무일지</t>
        </is>
      </c>
      <c r="B824" s="66" t="n">
        <v>792</v>
      </c>
      <c r="C824" s="122">
        <f>IF($D824="","",IFERROR(TEXT(업무일지!$B792,"yyyy-mm-dd"),"(날짜없음)")&amp;"  "&amp;업무일지!$F792&amp;"  "&amp;업무일지!$H792)</f>
        <v/>
      </c>
      <c r="D824" s="122">
        <f>IF(NOT(COUNTBLANK(업무일지!$B792:$AH792)&lt;33),"",TRIM(IF(업무일지!$B792="","시작일 누락; ","")&amp;IF(업무일지!$C792="","종료일 누락; ","")&amp;IF(AND(업무일지!$B792&lt;&gt;"",업무일지!$C792&lt;&gt;"",업무일지!$C792&lt;업무일지!$B792),"종료일이 시작일보다 빠름; ","")&amp;IF(COUNTIF(코드설정!$H$5:$H$7,업무일지!$D792)=0,"직무구분 누락; ","")&amp;IF(업무일지!$E792="","세부유형 누락; ",IF(AND(업무일지!$D792&lt;&gt;"",COUNTIFS(코드설정!$A$5:$A$21,업무일지!$D792,코드설정!$B$5:$B$21,업무일지!$E792)=0),"세부유형이 직무구분과 불일치; ",""))&amp;IF(AND(업무일지!$F792&lt;&gt;"",COUNTIF(사건마스터!$A$5:$A$64,업무일지!$F792)=0),"미등록 사건번호; ","")&amp;IF(AND(업무일지!$F792="",업무일지!$H792=""),"사건번호·업무명 모두 없음; ","")&amp;IF(업무일지!$J792="","담당자 없음; ","")&amp;IF(COUNTIF(코드설정!$F$5:$F$7,업무일지!$AG792)=0,"진행상태 누락; ","")))</f>
        <v/>
      </c>
    </row>
    <row r="825">
      <c r="A825" s="26" t="inlineStr">
        <is>
          <t>업무일지</t>
        </is>
      </c>
      <c r="B825" s="66" t="n">
        <v>793</v>
      </c>
      <c r="C825" s="122">
        <f>IF($D825="","",IFERROR(TEXT(업무일지!$B793,"yyyy-mm-dd"),"(날짜없음)")&amp;"  "&amp;업무일지!$F793&amp;"  "&amp;업무일지!$H793)</f>
        <v/>
      </c>
      <c r="D825" s="122">
        <f>IF(NOT(COUNTBLANK(업무일지!$B793:$AH793)&lt;33),"",TRIM(IF(업무일지!$B793="","시작일 누락; ","")&amp;IF(업무일지!$C793="","종료일 누락; ","")&amp;IF(AND(업무일지!$B793&lt;&gt;"",업무일지!$C793&lt;&gt;"",업무일지!$C793&lt;업무일지!$B793),"종료일이 시작일보다 빠름; ","")&amp;IF(COUNTIF(코드설정!$H$5:$H$7,업무일지!$D793)=0,"직무구분 누락; ","")&amp;IF(업무일지!$E793="","세부유형 누락; ",IF(AND(업무일지!$D793&lt;&gt;"",COUNTIFS(코드설정!$A$5:$A$21,업무일지!$D793,코드설정!$B$5:$B$21,업무일지!$E793)=0),"세부유형이 직무구분과 불일치; ",""))&amp;IF(AND(업무일지!$F793&lt;&gt;"",COUNTIF(사건마스터!$A$5:$A$64,업무일지!$F793)=0),"미등록 사건번호; ","")&amp;IF(AND(업무일지!$F793="",업무일지!$H793=""),"사건번호·업무명 모두 없음; ","")&amp;IF(업무일지!$J793="","담당자 없음; ","")&amp;IF(COUNTIF(코드설정!$F$5:$F$7,업무일지!$AG793)=0,"진행상태 누락; ","")))</f>
        <v/>
      </c>
    </row>
    <row r="826">
      <c r="A826" s="26" t="inlineStr">
        <is>
          <t>업무일지</t>
        </is>
      </c>
      <c r="B826" s="66" t="n">
        <v>794</v>
      </c>
      <c r="C826" s="122">
        <f>IF($D826="","",IFERROR(TEXT(업무일지!$B794,"yyyy-mm-dd"),"(날짜없음)")&amp;"  "&amp;업무일지!$F794&amp;"  "&amp;업무일지!$H794)</f>
        <v/>
      </c>
      <c r="D826" s="122">
        <f>IF(NOT(COUNTBLANK(업무일지!$B794:$AH794)&lt;33),"",TRIM(IF(업무일지!$B794="","시작일 누락; ","")&amp;IF(업무일지!$C794="","종료일 누락; ","")&amp;IF(AND(업무일지!$B794&lt;&gt;"",업무일지!$C794&lt;&gt;"",업무일지!$C794&lt;업무일지!$B794),"종료일이 시작일보다 빠름; ","")&amp;IF(COUNTIF(코드설정!$H$5:$H$7,업무일지!$D794)=0,"직무구분 누락; ","")&amp;IF(업무일지!$E794="","세부유형 누락; ",IF(AND(업무일지!$D794&lt;&gt;"",COUNTIFS(코드설정!$A$5:$A$21,업무일지!$D794,코드설정!$B$5:$B$21,업무일지!$E794)=0),"세부유형이 직무구분과 불일치; ",""))&amp;IF(AND(업무일지!$F794&lt;&gt;"",COUNTIF(사건마스터!$A$5:$A$64,업무일지!$F794)=0),"미등록 사건번호; ","")&amp;IF(AND(업무일지!$F794="",업무일지!$H794=""),"사건번호·업무명 모두 없음; ","")&amp;IF(업무일지!$J794="","담당자 없음; ","")&amp;IF(COUNTIF(코드설정!$F$5:$F$7,업무일지!$AG794)=0,"진행상태 누락; ","")))</f>
        <v/>
      </c>
    </row>
    <row r="827">
      <c r="A827" s="26" t="inlineStr">
        <is>
          <t>업무일지</t>
        </is>
      </c>
      <c r="B827" s="66" t="n">
        <v>795</v>
      </c>
      <c r="C827" s="122">
        <f>IF($D827="","",IFERROR(TEXT(업무일지!$B795,"yyyy-mm-dd"),"(날짜없음)")&amp;"  "&amp;업무일지!$F795&amp;"  "&amp;업무일지!$H795)</f>
        <v/>
      </c>
      <c r="D827" s="122">
        <f>IF(NOT(COUNTBLANK(업무일지!$B795:$AH795)&lt;33),"",TRIM(IF(업무일지!$B795="","시작일 누락; ","")&amp;IF(업무일지!$C795="","종료일 누락; ","")&amp;IF(AND(업무일지!$B795&lt;&gt;"",업무일지!$C795&lt;&gt;"",업무일지!$C795&lt;업무일지!$B795),"종료일이 시작일보다 빠름; ","")&amp;IF(COUNTIF(코드설정!$H$5:$H$7,업무일지!$D795)=0,"직무구분 누락; ","")&amp;IF(업무일지!$E795="","세부유형 누락; ",IF(AND(업무일지!$D795&lt;&gt;"",COUNTIFS(코드설정!$A$5:$A$21,업무일지!$D795,코드설정!$B$5:$B$21,업무일지!$E795)=0),"세부유형이 직무구분과 불일치; ",""))&amp;IF(AND(업무일지!$F795&lt;&gt;"",COUNTIF(사건마스터!$A$5:$A$64,업무일지!$F795)=0),"미등록 사건번호; ","")&amp;IF(AND(업무일지!$F795="",업무일지!$H795=""),"사건번호·업무명 모두 없음; ","")&amp;IF(업무일지!$J795="","담당자 없음; ","")&amp;IF(COUNTIF(코드설정!$F$5:$F$7,업무일지!$AG795)=0,"진행상태 누락; ","")))</f>
        <v/>
      </c>
    </row>
    <row r="828">
      <c r="A828" s="26" t="inlineStr">
        <is>
          <t>업무일지</t>
        </is>
      </c>
      <c r="B828" s="66" t="n">
        <v>796</v>
      </c>
      <c r="C828" s="122">
        <f>IF($D828="","",IFERROR(TEXT(업무일지!$B796,"yyyy-mm-dd"),"(날짜없음)")&amp;"  "&amp;업무일지!$F796&amp;"  "&amp;업무일지!$H796)</f>
        <v/>
      </c>
      <c r="D828" s="122">
        <f>IF(NOT(COUNTBLANK(업무일지!$B796:$AH796)&lt;33),"",TRIM(IF(업무일지!$B796="","시작일 누락; ","")&amp;IF(업무일지!$C796="","종료일 누락; ","")&amp;IF(AND(업무일지!$B796&lt;&gt;"",업무일지!$C796&lt;&gt;"",업무일지!$C796&lt;업무일지!$B796),"종료일이 시작일보다 빠름; ","")&amp;IF(COUNTIF(코드설정!$H$5:$H$7,업무일지!$D796)=0,"직무구분 누락; ","")&amp;IF(업무일지!$E796="","세부유형 누락; ",IF(AND(업무일지!$D796&lt;&gt;"",COUNTIFS(코드설정!$A$5:$A$21,업무일지!$D796,코드설정!$B$5:$B$21,업무일지!$E796)=0),"세부유형이 직무구분과 불일치; ",""))&amp;IF(AND(업무일지!$F796&lt;&gt;"",COUNTIF(사건마스터!$A$5:$A$64,업무일지!$F796)=0),"미등록 사건번호; ","")&amp;IF(AND(업무일지!$F796="",업무일지!$H796=""),"사건번호·업무명 모두 없음; ","")&amp;IF(업무일지!$J796="","담당자 없음; ","")&amp;IF(COUNTIF(코드설정!$F$5:$F$7,업무일지!$AG796)=0,"진행상태 누락; ","")))</f>
        <v/>
      </c>
    </row>
    <row r="829">
      <c r="A829" s="26" t="inlineStr">
        <is>
          <t>업무일지</t>
        </is>
      </c>
      <c r="B829" s="66" t="n">
        <v>797</v>
      </c>
      <c r="C829" s="122">
        <f>IF($D829="","",IFERROR(TEXT(업무일지!$B797,"yyyy-mm-dd"),"(날짜없음)")&amp;"  "&amp;업무일지!$F797&amp;"  "&amp;업무일지!$H797)</f>
        <v/>
      </c>
      <c r="D829" s="122">
        <f>IF(NOT(COUNTBLANK(업무일지!$B797:$AH797)&lt;33),"",TRIM(IF(업무일지!$B797="","시작일 누락; ","")&amp;IF(업무일지!$C797="","종료일 누락; ","")&amp;IF(AND(업무일지!$B797&lt;&gt;"",업무일지!$C797&lt;&gt;"",업무일지!$C797&lt;업무일지!$B797),"종료일이 시작일보다 빠름; ","")&amp;IF(COUNTIF(코드설정!$H$5:$H$7,업무일지!$D797)=0,"직무구분 누락; ","")&amp;IF(업무일지!$E797="","세부유형 누락; ",IF(AND(업무일지!$D797&lt;&gt;"",COUNTIFS(코드설정!$A$5:$A$21,업무일지!$D797,코드설정!$B$5:$B$21,업무일지!$E797)=0),"세부유형이 직무구분과 불일치; ",""))&amp;IF(AND(업무일지!$F797&lt;&gt;"",COUNTIF(사건마스터!$A$5:$A$64,업무일지!$F797)=0),"미등록 사건번호; ","")&amp;IF(AND(업무일지!$F797="",업무일지!$H797=""),"사건번호·업무명 모두 없음; ","")&amp;IF(업무일지!$J797="","담당자 없음; ","")&amp;IF(COUNTIF(코드설정!$F$5:$F$7,업무일지!$AG797)=0,"진행상태 누락; ","")))</f>
        <v/>
      </c>
    </row>
    <row r="830">
      <c r="A830" s="26" t="inlineStr">
        <is>
          <t>업무일지</t>
        </is>
      </c>
      <c r="B830" s="66" t="n">
        <v>798</v>
      </c>
      <c r="C830" s="122">
        <f>IF($D830="","",IFERROR(TEXT(업무일지!$B798,"yyyy-mm-dd"),"(날짜없음)")&amp;"  "&amp;업무일지!$F798&amp;"  "&amp;업무일지!$H798)</f>
        <v/>
      </c>
      <c r="D830" s="122">
        <f>IF(NOT(COUNTBLANK(업무일지!$B798:$AH798)&lt;33),"",TRIM(IF(업무일지!$B798="","시작일 누락; ","")&amp;IF(업무일지!$C798="","종료일 누락; ","")&amp;IF(AND(업무일지!$B798&lt;&gt;"",업무일지!$C798&lt;&gt;"",업무일지!$C798&lt;업무일지!$B798),"종료일이 시작일보다 빠름; ","")&amp;IF(COUNTIF(코드설정!$H$5:$H$7,업무일지!$D798)=0,"직무구분 누락; ","")&amp;IF(업무일지!$E798="","세부유형 누락; ",IF(AND(업무일지!$D798&lt;&gt;"",COUNTIFS(코드설정!$A$5:$A$21,업무일지!$D798,코드설정!$B$5:$B$21,업무일지!$E798)=0),"세부유형이 직무구분과 불일치; ",""))&amp;IF(AND(업무일지!$F798&lt;&gt;"",COUNTIF(사건마스터!$A$5:$A$64,업무일지!$F798)=0),"미등록 사건번호; ","")&amp;IF(AND(업무일지!$F798="",업무일지!$H798=""),"사건번호·업무명 모두 없음; ","")&amp;IF(업무일지!$J798="","담당자 없음; ","")&amp;IF(COUNTIF(코드설정!$F$5:$F$7,업무일지!$AG798)=0,"진행상태 누락; ","")))</f>
        <v/>
      </c>
    </row>
    <row r="831">
      <c r="A831" s="26" t="inlineStr">
        <is>
          <t>업무일지</t>
        </is>
      </c>
      <c r="B831" s="66" t="n">
        <v>799</v>
      </c>
      <c r="C831" s="122">
        <f>IF($D831="","",IFERROR(TEXT(업무일지!$B799,"yyyy-mm-dd"),"(날짜없음)")&amp;"  "&amp;업무일지!$F799&amp;"  "&amp;업무일지!$H799)</f>
        <v/>
      </c>
      <c r="D831" s="122">
        <f>IF(NOT(COUNTBLANK(업무일지!$B799:$AH799)&lt;33),"",TRIM(IF(업무일지!$B799="","시작일 누락; ","")&amp;IF(업무일지!$C799="","종료일 누락; ","")&amp;IF(AND(업무일지!$B799&lt;&gt;"",업무일지!$C799&lt;&gt;"",업무일지!$C799&lt;업무일지!$B799),"종료일이 시작일보다 빠름; ","")&amp;IF(COUNTIF(코드설정!$H$5:$H$7,업무일지!$D799)=0,"직무구분 누락; ","")&amp;IF(업무일지!$E799="","세부유형 누락; ",IF(AND(업무일지!$D799&lt;&gt;"",COUNTIFS(코드설정!$A$5:$A$21,업무일지!$D799,코드설정!$B$5:$B$21,업무일지!$E799)=0),"세부유형이 직무구분과 불일치; ",""))&amp;IF(AND(업무일지!$F799&lt;&gt;"",COUNTIF(사건마스터!$A$5:$A$64,업무일지!$F799)=0),"미등록 사건번호; ","")&amp;IF(AND(업무일지!$F799="",업무일지!$H799=""),"사건번호·업무명 모두 없음; ","")&amp;IF(업무일지!$J799="","담당자 없음; ","")&amp;IF(COUNTIF(코드설정!$F$5:$F$7,업무일지!$AG799)=0,"진행상태 누락; ","")))</f>
        <v/>
      </c>
    </row>
    <row r="832">
      <c r="A832" s="26" t="inlineStr">
        <is>
          <t>업무일지</t>
        </is>
      </c>
      <c r="B832" s="66" t="n">
        <v>800</v>
      </c>
      <c r="C832" s="122">
        <f>IF($D832="","",IFERROR(TEXT(업무일지!$B800,"yyyy-mm-dd"),"(날짜없음)")&amp;"  "&amp;업무일지!$F800&amp;"  "&amp;업무일지!$H800)</f>
        <v/>
      </c>
      <c r="D832" s="122">
        <f>IF(NOT(COUNTBLANK(업무일지!$B800:$AH800)&lt;33),"",TRIM(IF(업무일지!$B800="","시작일 누락; ","")&amp;IF(업무일지!$C800="","종료일 누락; ","")&amp;IF(AND(업무일지!$B800&lt;&gt;"",업무일지!$C800&lt;&gt;"",업무일지!$C800&lt;업무일지!$B800),"종료일이 시작일보다 빠름; ","")&amp;IF(COUNTIF(코드설정!$H$5:$H$7,업무일지!$D800)=0,"직무구분 누락; ","")&amp;IF(업무일지!$E800="","세부유형 누락; ",IF(AND(업무일지!$D800&lt;&gt;"",COUNTIFS(코드설정!$A$5:$A$21,업무일지!$D800,코드설정!$B$5:$B$21,업무일지!$E800)=0),"세부유형이 직무구분과 불일치; ",""))&amp;IF(AND(업무일지!$F800&lt;&gt;"",COUNTIF(사건마스터!$A$5:$A$64,업무일지!$F800)=0),"미등록 사건번호; ","")&amp;IF(AND(업무일지!$F800="",업무일지!$H800=""),"사건번호·업무명 모두 없음; ","")&amp;IF(업무일지!$J800="","담당자 없음; ","")&amp;IF(COUNTIF(코드설정!$F$5:$F$7,업무일지!$AG800)=0,"진행상태 누락; ","")))</f>
        <v/>
      </c>
    </row>
    <row r="833">
      <c r="A833" s="26" t="inlineStr">
        <is>
          <t>업무일지</t>
        </is>
      </c>
      <c r="B833" s="66" t="n">
        <v>801</v>
      </c>
      <c r="C833" s="122">
        <f>IF($D833="","",IFERROR(TEXT(업무일지!$B801,"yyyy-mm-dd"),"(날짜없음)")&amp;"  "&amp;업무일지!$F801&amp;"  "&amp;업무일지!$H801)</f>
        <v/>
      </c>
      <c r="D833" s="122">
        <f>IF(NOT(COUNTBLANK(업무일지!$B801:$AH801)&lt;33),"",TRIM(IF(업무일지!$B801="","시작일 누락; ","")&amp;IF(업무일지!$C801="","종료일 누락; ","")&amp;IF(AND(업무일지!$B801&lt;&gt;"",업무일지!$C801&lt;&gt;"",업무일지!$C801&lt;업무일지!$B801),"종료일이 시작일보다 빠름; ","")&amp;IF(COUNTIF(코드설정!$H$5:$H$7,업무일지!$D801)=0,"직무구분 누락; ","")&amp;IF(업무일지!$E801="","세부유형 누락; ",IF(AND(업무일지!$D801&lt;&gt;"",COUNTIFS(코드설정!$A$5:$A$21,업무일지!$D801,코드설정!$B$5:$B$21,업무일지!$E801)=0),"세부유형이 직무구분과 불일치; ",""))&amp;IF(AND(업무일지!$F801&lt;&gt;"",COUNTIF(사건마스터!$A$5:$A$64,업무일지!$F801)=0),"미등록 사건번호; ","")&amp;IF(AND(업무일지!$F801="",업무일지!$H801=""),"사건번호·업무명 모두 없음; ","")&amp;IF(업무일지!$J801="","담당자 없음; ","")&amp;IF(COUNTIF(코드설정!$F$5:$F$7,업무일지!$AG801)=0,"진행상태 누락; ","")))</f>
        <v/>
      </c>
    </row>
    <row r="834">
      <c r="A834" s="26" t="inlineStr">
        <is>
          <t>업무일지</t>
        </is>
      </c>
      <c r="B834" s="66" t="n">
        <v>802</v>
      </c>
      <c r="C834" s="122">
        <f>IF($D834="","",IFERROR(TEXT(업무일지!$B802,"yyyy-mm-dd"),"(날짜없음)")&amp;"  "&amp;업무일지!$F802&amp;"  "&amp;업무일지!$H802)</f>
        <v/>
      </c>
      <c r="D834" s="122">
        <f>IF(NOT(COUNTBLANK(업무일지!$B802:$AH802)&lt;33),"",TRIM(IF(업무일지!$B802="","시작일 누락; ","")&amp;IF(업무일지!$C802="","종료일 누락; ","")&amp;IF(AND(업무일지!$B802&lt;&gt;"",업무일지!$C802&lt;&gt;"",업무일지!$C802&lt;업무일지!$B802),"종료일이 시작일보다 빠름; ","")&amp;IF(COUNTIF(코드설정!$H$5:$H$7,업무일지!$D802)=0,"직무구분 누락; ","")&amp;IF(업무일지!$E802="","세부유형 누락; ",IF(AND(업무일지!$D802&lt;&gt;"",COUNTIFS(코드설정!$A$5:$A$21,업무일지!$D802,코드설정!$B$5:$B$21,업무일지!$E802)=0),"세부유형이 직무구분과 불일치; ",""))&amp;IF(AND(업무일지!$F802&lt;&gt;"",COUNTIF(사건마스터!$A$5:$A$64,업무일지!$F802)=0),"미등록 사건번호; ","")&amp;IF(AND(업무일지!$F802="",업무일지!$H802=""),"사건번호·업무명 모두 없음; ","")&amp;IF(업무일지!$J802="","담당자 없음; ","")&amp;IF(COUNTIF(코드설정!$F$5:$F$7,업무일지!$AG802)=0,"진행상태 누락; ","")))</f>
        <v/>
      </c>
    </row>
    <row r="835">
      <c r="A835" s="26" t="inlineStr">
        <is>
          <t>업무일지</t>
        </is>
      </c>
      <c r="B835" s="66" t="n">
        <v>803</v>
      </c>
      <c r="C835" s="122">
        <f>IF($D835="","",IFERROR(TEXT(업무일지!$B803,"yyyy-mm-dd"),"(날짜없음)")&amp;"  "&amp;업무일지!$F803&amp;"  "&amp;업무일지!$H803)</f>
        <v/>
      </c>
      <c r="D835" s="122">
        <f>IF(NOT(COUNTBLANK(업무일지!$B803:$AH803)&lt;33),"",TRIM(IF(업무일지!$B803="","시작일 누락; ","")&amp;IF(업무일지!$C803="","종료일 누락; ","")&amp;IF(AND(업무일지!$B803&lt;&gt;"",업무일지!$C803&lt;&gt;"",업무일지!$C803&lt;업무일지!$B803),"종료일이 시작일보다 빠름; ","")&amp;IF(COUNTIF(코드설정!$H$5:$H$7,업무일지!$D803)=0,"직무구분 누락; ","")&amp;IF(업무일지!$E803="","세부유형 누락; ",IF(AND(업무일지!$D803&lt;&gt;"",COUNTIFS(코드설정!$A$5:$A$21,업무일지!$D803,코드설정!$B$5:$B$21,업무일지!$E803)=0),"세부유형이 직무구분과 불일치; ",""))&amp;IF(AND(업무일지!$F803&lt;&gt;"",COUNTIF(사건마스터!$A$5:$A$64,업무일지!$F803)=0),"미등록 사건번호; ","")&amp;IF(AND(업무일지!$F803="",업무일지!$H803=""),"사건번호·업무명 모두 없음; ","")&amp;IF(업무일지!$J803="","담당자 없음; ","")&amp;IF(COUNTIF(코드설정!$F$5:$F$7,업무일지!$AG803)=0,"진행상태 누락; ","")))</f>
        <v/>
      </c>
    </row>
    <row r="836">
      <c r="A836" s="26" t="inlineStr">
        <is>
          <t>업무일지</t>
        </is>
      </c>
      <c r="B836" s="66" t="n">
        <v>804</v>
      </c>
      <c r="C836" s="122">
        <f>IF($D836="","",IFERROR(TEXT(업무일지!$B804,"yyyy-mm-dd"),"(날짜없음)")&amp;"  "&amp;업무일지!$F804&amp;"  "&amp;업무일지!$H804)</f>
        <v/>
      </c>
      <c r="D836" s="122">
        <f>IF(NOT(COUNTBLANK(업무일지!$B804:$AH804)&lt;33),"",TRIM(IF(업무일지!$B804="","시작일 누락; ","")&amp;IF(업무일지!$C804="","종료일 누락; ","")&amp;IF(AND(업무일지!$B804&lt;&gt;"",업무일지!$C804&lt;&gt;"",업무일지!$C804&lt;업무일지!$B804),"종료일이 시작일보다 빠름; ","")&amp;IF(COUNTIF(코드설정!$H$5:$H$7,업무일지!$D804)=0,"직무구분 누락; ","")&amp;IF(업무일지!$E804="","세부유형 누락; ",IF(AND(업무일지!$D804&lt;&gt;"",COUNTIFS(코드설정!$A$5:$A$21,업무일지!$D804,코드설정!$B$5:$B$21,업무일지!$E804)=0),"세부유형이 직무구분과 불일치; ",""))&amp;IF(AND(업무일지!$F804&lt;&gt;"",COUNTIF(사건마스터!$A$5:$A$64,업무일지!$F804)=0),"미등록 사건번호; ","")&amp;IF(AND(업무일지!$F804="",업무일지!$H804=""),"사건번호·업무명 모두 없음; ","")&amp;IF(업무일지!$J804="","담당자 없음; ","")&amp;IF(COUNTIF(코드설정!$F$5:$F$7,업무일지!$AG804)=0,"진행상태 누락; ","")))</f>
        <v/>
      </c>
    </row>
    <row r="837">
      <c r="A837" s="26" t="inlineStr">
        <is>
          <t>업무일지</t>
        </is>
      </c>
      <c r="B837" s="66" t="n">
        <v>805</v>
      </c>
      <c r="C837" s="122">
        <f>IF($D837="","",IFERROR(TEXT(업무일지!$B805,"yyyy-mm-dd"),"(날짜없음)")&amp;"  "&amp;업무일지!$F805&amp;"  "&amp;업무일지!$H805)</f>
        <v/>
      </c>
      <c r="D837" s="122">
        <f>IF(NOT(COUNTBLANK(업무일지!$B805:$AH805)&lt;33),"",TRIM(IF(업무일지!$B805="","시작일 누락; ","")&amp;IF(업무일지!$C805="","종료일 누락; ","")&amp;IF(AND(업무일지!$B805&lt;&gt;"",업무일지!$C805&lt;&gt;"",업무일지!$C805&lt;업무일지!$B805),"종료일이 시작일보다 빠름; ","")&amp;IF(COUNTIF(코드설정!$H$5:$H$7,업무일지!$D805)=0,"직무구분 누락; ","")&amp;IF(업무일지!$E805="","세부유형 누락; ",IF(AND(업무일지!$D805&lt;&gt;"",COUNTIFS(코드설정!$A$5:$A$21,업무일지!$D805,코드설정!$B$5:$B$21,업무일지!$E805)=0),"세부유형이 직무구분과 불일치; ",""))&amp;IF(AND(업무일지!$F805&lt;&gt;"",COUNTIF(사건마스터!$A$5:$A$64,업무일지!$F805)=0),"미등록 사건번호; ","")&amp;IF(AND(업무일지!$F805="",업무일지!$H805=""),"사건번호·업무명 모두 없음; ","")&amp;IF(업무일지!$J805="","담당자 없음; ","")&amp;IF(COUNTIF(코드설정!$F$5:$F$7,업무일지!$AG805)=0,"진행상태 누락; ","")))</f>
        <v/>
      </c>
    </row>
    <row r="838">
      <c r="A838" s="26" t="inlineStr">
        <is>
          <t>업무일지</t>
        </is>
      </c>
      <c r="B838" s="66" t="n">
        <v>806</v>
      </c>
      <c r="C838" s="122">
        <f>IF($D838="","",IFERROR(TEXT(업무일지!$B806,"yyyy-mm-dd"),"(날짜없음)")&amp;"  "&amp;업무일지!$F806&amp;"  "&amp;업무일지!$H806)</f>
        <v/>
      </c>
      <c r="D838" s="122">
        <f>IF(NOT(COUNTBLANK(업무일지!$B806:$AH806)&lt;33),"",TRIM(IF(업무일지!$B806="","시작일 누락; ","")&amp;IF(업무일지!$C806="","종료일 누락; ","")&amp;IF(AND(업무일지!$B806&lt;&gt;"",업무일지!$C806&lt;&gt;"",업무일지!$C806&lt;업무일지!$B806),"종료일이 시작일보다 빠름; ","")&amp;IF(COUNTIF(코드설정!$H$5:$H$7,업무일지!$D806)=0,"직무구분 누락; ","")&amp;IF(업무일지!$E806="","세부유형 누락; ",IF(AND(업무일지!$D806&lt;&gt;"",COUNTIFS(코드설정!$A$5:$A$21,업무일지!$D806,코드설정!$B$5:$B$21,업무일지!$E806)=0),"세부유형이 직무구분과 불일치; ",""))&amp;IF(AND(업무일지!$F806&lt;&gt;"",COUNTIF(사건마스터!$A$5:$A$64,업무일지!$F806)=0),"미등록 사건번호; ","")&amp;IF(AND(업무일지!$F806="",업무일지!$H806=""),"사건번호·업무명 모두 없음; ","")&amp;IF(업무일지!$J806="","담당자 없음; ","")&amp;IF(COUNTIF(코드설정!$F$5:$F$7,업무일지!$AG806)=0,"진행상태 누락; ","")))</f>
        <v/>
      </c>
    </row>
    <row r="839">
      <c r="A839" s="26" t="inlineStr">
        <is>
          <t>업무일지</t>
        </is>
      </c>
      <c r="B839" s="66" t="n">
        <v>807</v>
      </c>
      <c r="C839" s="122">
        <f>IF($D839="","",IFERROR(TEXT(업무일지!$B807,"yyyy-mm-dd"),"(날짜없음)")&amp;"  "&amp;업무일지!$F807&amp;"  "&amp;업무일지!$H807)</f>
        <v/>
      </c>
      <c r="D839" s="122">
        <f>IF(NOT(COUNTBLANK(업무일지!$B807:$AH807)&lt;33),"",TRIM(IF(업무일지!$B807="","시작일 누락; ","")&amp;IF(업무일지!$C807="","종료일 누락; ","")&amp;IF(AND(업무일지!$B807&lt;&gt;"",업무일지!$C807&lt;&gt;"",업무일지!$C807&lt;업무일지!$B807),"종료일이 시작일보다 빠름; ","")&amp;IF(COUNTIF(코드설정!$H$5:$H$7,업무일지!$D807)=0,"직무구분 누락; ","")&amp;IF(업무일지!$E807="","세부유형 누락; ",IF(AND(업무일지!$D807&lt;&gt;"",COUNTIFS(코드설정!$A$5:$A$21,업무일지!$D807,코드설정!$B$5:$B$21,업무일지!$E807)=0),"세부유형이 직무구분과 불일치; ",""))&amp;IF(AND(업무일지!$F807&lt;&gt;"",COUNTIF(사건마스터!$A$5:$A$64,업무일지!$F807)=0),"미등록 사건번호; ","")&amp;IF(AND(업무일지!$F807="",업무일지!$H807=""),"사건번호·업무명 모두 없음; ","")&amp;IF(업무일지!$J807="","담당자 없음; ","")&amp;IF(COUNTIF(코드설정!$F$5:$F$7,업무일지!$AG807)=0,"진행상태 누락; ","")))</f>
        <v/>
      </c>
    </row>
    <row r="840">
      <c r="A840" s="26" t="inlineStr">
        <is>
          <t>업무일지</t>
        </is>
      </c>
      <c r="B840" s="66" t="n">
        <v>808</v>
      </c>
      <c r="C840" s="122">
        <f>IF($D840="","",IFERROR(TEXT(업무일지!$B808,"yyyy-mm-dd"),"(날짜없음)")&amp;"  "&amp;업무일지!$F808&amp;"  "&amp;업무일지!$H808)</f>
        <v/>
      </c>
      <c r="D840" s="122">
        <f>IF(NOT(COUNTBLANK(업무일지!$B808:$AH808)&lt;33),"",TRIM(IF(업무일지!$B808="","시작일 누락; ","")&amp;IF(업무일지!$C808="","종료일 누락; ","")&amp;IF(AND(업무일지!$B808&lt;&gt;"",업무일지!$C808&lt;&gt;"",업무일지!$C808&lt;업무일지!$B808),"종료일이 시작일보다 빠름; ","")&amp;IF(COUNTIF(코드설정!$H$5:$H$7,업무일지!$D808)=0,"직무구분 누락; ","")&amp;IF(업무일지!$E808="","세부유형 누락; ",IF(AND(업무일지!$D808&lt;&gt;"",COUNTIFS(코드설정!$A$5:$A$21,업무일지!$D808,코드설정!$B$5:$B$21,업무일지!$E808)=0),"세부유형이 직무구분과 불일치; ",""))&amp;IF(AND(업무일지!$F808&lt;&gt;"",COUNTIF(사건마스터!$A$5:$A$64,업무일지!$F808)=0),"미등록 사건번호; ","")&amp;IF(AND(업무일지!$F808="",업무일지!$H808=""),"사건번호·업무명 모두 없음; ","")&amp;IF(업무일지!$J808="","담당자 없음; ","")&amp;IF(COUNTIF(코드설정!$F$5:$F$7,업무일지!$AG808)=0,"진행상태 누락; ","")))</f>
        <v/>
      </c>
    </row>
    <row r="841">
      <c r="A841" s="26" t="inlineStr">
        <is>
          <t>업무일지</t>
        </is>
      </c>
      <c r="B841" s="66" t="n">
        <v>809</v>
      </c>
      <c r="C841" s="122">
        <f>IF($D841="","",IFERROR(TEXT(업무일지!$B809,"yyyy-mm-dd"),"(날짜없음)")&amp;"  "&amp;업무일지!$F809&amp;"  "&amp;업무일지!$H809)</f>
        <v/>
      </c>
      <c r="D841" s="122">
        <f>IF(NOT(COUNTBLANK(업무일지!$B809:$AH809)&lt;33),"",TRIM(IF(업무일지!$B809="","시작일 누락; ","")&amp;IF(업무일지!$C809="","종료일 누락; ","")&amp;IF(AND(업무일지!$B809&lt;&gt;"",업무일지!$C809&lt;&gt;"",업무일지!$C809&lt;업무일지!$B809),"종료일이 시작일보다 빠름; ","")&amp;IF(COUNTIF(코드설정!$H$5:$H$7,업무일지!$D809)=0,"직무구분 누락; ","")&amp;IF(업무일지!$E809="","세부유형 누락; ",IF(AND(업무일지!$D809&lt;&gt;"",COUNTIFS(코드설정!$A$5:$A$21,업무일지!$D809,코드설정!$B$5:$B$21,업무일지!$E809)=0),"세부유형이 직무구분과 불일치; ",""))&amp;IF(AND(업무일지!$F809&lt;&gt;"",COUNTIF(사건마스터!$A$5:$A$64,업무일지!$F809)=0),"미등록 사건번호; ","")&amp;IF(AND(업무일지!$F809="",업무일지!$H809=""),"사건번호·업무명 모두 없음; ","")&amp;IF(업무일지!$J809="","담당자 없음; ","")&amp;IF(COUNTIF(코드설정!$F$5:$F$7,업무일지!$AG809)=0,"진행상태 누락; ","")))</f>
        <v/>
      </c>
    </row>
    <row r="842">
      <c r="A842" s="26" t="inlineStr">
        <is>
          <t>업무일지</t>
        </is>
      </c>
      <c r="B842" s="66" t="n">
        <v>810</v>
      </c>
      <c r="C842" s="122">
        <f>IF($D842="","",IFERROR(TEXT(업무일지!$B810,"yyyy-mm-dd"),"(날짜없음)")&amp;"  "&amp;업무일지!$F810&amp;"  "&amp;업무일지!$H810)</f>
        <v/>
      </c>
      <c r="D842" s="122">
        <f>IF(NOT(COUNTBLANK(업무일지!$B810:$AH810)&lt;33),"",TRIM(IF(업무일지!$B810="","시작일 누락; ","")&amp;IF(업무일지!$C810="","종료일 누락; ","")&amp;IF(AND(업무일지!$B810&lt;&gt;"",업무일지!$C810&lt;&gt;"",업무일지!$C810&lt;업무일지!$B810),"종료일이 시작일보다 빠름; ","")&amp;IF(COUNTIF(코드설정!$H$5:$H$7,업무일지!$D810)=0,"직무구분 누락; ","")&amp;IF(업무일지!$E810="","세부유형 누락; ",IF(AND(업무일지!$D810&lt;&gt;"",COUNTIFS(코드설정!$A$5:$A$21,업무일지!$D810,코드설정!$B$5:$B$21,업무일지!$E810)=0),"세부유형이 직무구분과 불일치; ",""))&amp;IF(AND(업무일지!$F810&lt;&gt;"",COUNTIF(사건마스터!$A$5:$A$64,업무일지!$F810)=0),"미등록 사건번호; ","")&amp;IF(AND(업무일지!$F810="",업무일지!$H810=""),"사건번호·업무명 모두 없음; ","")&amp;IF(업무일지!$J810="","담당자 없음; ","")&amp;IF(COUNTIF(코드설정!$F$5:$F$7,업무일지!$AG810)=0,"진행상태 누락; ","")))</f>
        <v/>
      </c>
    </row>
    <row r="843">
      <c r="A843" s="26" t="inlineStr">
        <is>
          <t>업무일지</t>
        </is>
      </c>
      <c r="B843" s="66" t="n">
        <v>811</v>
      </c>
      <c r="C843" s="122">
        <f>IF($D843="","",IFERROR(TEXT(업무일지!$B811,"yyyy-mm-dd"),"(날짜없음)")&amp;"  "&amp;업무일지!$F811&amp;"  "&amp;업무일지!$H811)</f>
        <v/>
      </c>
      <c r="D843" s="122">
        <f>IF(NOT(COUNTBLANK(업무일지!$B811:$AH811)&lt;33),"",TRIM(IF(업무일지!$B811="","시작일 누락; ","")&amp;IF(업무일지!$C811="","종료일 누락; ","")&amp;IF(AND(업무일지!$B811&lt;&gt;"",업무일지!$C811&lt;&gt;"",업무일지!$C811&lt;업무일지!$B811),"종료일이 시작일보다 빠름; ","")&amp;IF(COUNTIF(코드설정!$H$5:$H$7,업무일지!$D811)=0,"직무구분 누락; ","")&amp;IF(업무일지!$E811="","세부유형 누락; ",IF(AND(업무일지!$D811&lt;&gt;"",COUNTIFS(코드설정!$A$5:$A$21,업무일지!$D811,코드설정!$B$5:$B$21,업무일지!$E811)=0),"세부유형이 직무구분과 불일치; ",""))&amp;IF(AND(업무일지!$F811&lt;&gt;"",COUNTIF(사건마스터!$A$5:$A$64,업무일지!$F811)=0),"미등록 사건번호; ","")&amp;IF(AND(업무일지!$F811="",업무일지!$H811=""),"사건번호·업무명 모두 없음; ","")&amp;IF(업무일지!$J811="","담당자 없음; ","")&amp;IF(COUNTIF(코드설정!$F$5:$F$7,업무일지!$AG811)=0,"진행상태 누락; ","")))</f>
        <v/>
      </c>
    </row>
    <row r="844">
      <c r="A844" s="26" t="inlineStr">
        <is>
          <t>업무일지</t>
        </is>
      </c>
      <c r="B844" s="66" t="n">
        <v>812</v>
      </c>
      <c r="C844" s="122">
        <f>IF($D844="","",IFERROR(TEXT(업무일지!$B812,"yyyy-mm-dd"),"(날짜없음)")&amp;"  "&amp;업무일지!$F812&amp;"  "&amp;업무일지!$H812)</f>
        <v/>
      </c>
      <c r="D844" s="122">
        <f>IF(NOT(COUNTBLANK(업무일지!$B812:$AH812)&lt;33),"",TRIM(IF(업무일지!$B812="","시작일 누락; ","")&amp;IF(업무일지!$C812="","종료일 누락; ","")&amp;IF(AND(업무일지!$B812&lt;&gt;"",업무일지!$C812&lt;&gt;"",업무일지!$C812&lt;업무일지!$B812),"종료일이 시작일보다 빠름; ","")&amp;IF(COUNTIF(코드설정!$H$5:$H$7,업무일지!$D812)=0,"직무구분 누락; ","")&amp;IF(업무일지!$E812="","세부유형 누락; ",IF(AND(업무일지!$D812&lt;&gt;"",COUNTIFS(코드설정!$A$5:$A$21,업무일지!$D812,코드설정!$B$5:$B$21,업무일지!$E812)=0),"세부유형이 직무구분과 불일치; ",""))&amp;IF(AND(업무일지!$F812&lt;&gt;"",COUNTIF(사건마스터!$A$5:$A$64,업무일지!$F812)=0),"미등록 사건번호; ","")&amp;IF(AND(업무일지!$F812="",업무일지!$H812=""),"사건번호·업무명 모두 없음; ","")&amp;IF(업무일지!$J812="","담당자 없음; ","")&amp;IF(COUNTIF(코드설정!$F$5:$F$7,업무일지!$AG812)=0,"진행상태 누락; ","")))</f>
        <v/>
      </c>
    </row>
    <row r="845">
      <c r="A845" s="26" t="inlineStr">
        <is>
          <t>업무일지</t>
        </is>
      </c>
      <c r="B845" s="66" t="n">
        <v>813</v>
      </c>
      <c r="C845" s="122">
        <f>IF($D845="","",IFERROR(TEXT(업무일지!$B813,"yyyy-mm-dd"),"(날짜없음)")&amp;"  "&amp;업무일지!$F813&amp;"  "&amp;업무일지!$H813)</f>
        <v/>
      </c>
      <c r="D845" s="122">
        <f>IF(NOT(COUNTBLANK(업무일지!$B813:$AH813)&lt;33),"",TRIM(IF(업무일지!$B813="","시작일 누락; ","")&amp;IF(업무일지!$C813="","종료일 누락; ","")&amp;IF(AND(업무일지!$B813&lt;&gt;"",업무일지!$C813&lt;&gt;"",업무일지!$C813&lt;업무일지!$B813),"종료일이 시작일보다 빠름; ","")&amp;IF(COUNTIF(코드설정!$H$5:$H$7,업무일지!$D813)=0,"직무구분 누락; ","")&amp;IF(업무일지!$E813="","세부유형 누락; ",IF(AND(업무일지!$D813&lt;&gt;"",COUNTIFS(코드설정!$A$5:$A$21,업무일지!$D813,코드설정!$B$5:$B$21,업무일지!$E813)=0),"세부유형이 직무구분과 불일치; ",""))&amp;IF(AND(업무일지!$F813&lt;&gt;"",COUNTIF(사건마스터!$A$5:$A$64,업무일지!$F813)=0),"미등록 사건번호; ","")&amp;IF(AND(업무일지!$F813="",업무일지!$H813=""),"사건번호·업무명 모두 없음; ","")&amp;IF(업무일지!$J813="","담당자 없음; ","")&amp;IF(COUNTIF(코드설정!$F$5:$F$7,업무일지!$AG813)=0,"진행상태 누락; ","")))</f>
        <v/>
      </c>
    </row>
    <row r="846">
      <c r="A846" s="26" t="inlineStr">
        <is>
          <t>업무일지</t>
        </is>
      </c>
      <c r="B846" s="66" t="n">
        <v>814</v>
      </c>
      <c r="C846" s="122">
        <f>IF($D846="","",IFERROR(TEXT(업무일지!$B814,"yyyy-mm-dd"),"(날짜없음)")&amp;"  "&amp;업무일지!$F814&amp;"  "&amp;업무일지!$H814)</f>
        <v/>
      </c>
      <c r="D846" s="122">
        <f>IF(NOT(COUNTBLANK(업무일지!$B814:$AH814)&lt;33),"",TRIM(IF(업무일지!$B814="","시작일 누락; ","")&amp;IF(업무일지!$C814="","종료일 누락; ","")&amp;IF(AND(업무일지!$B814&lt;&gt;"",업무일지!$C814&lt;&gt;"",업무일지!$C814&lt;업무일지!$B814),"종료일이 시작일보다 빠름; ","")&amp;IF(COUNTIF(코드설정!$H$5:$H$7,업무일지!$D814)=0,"직무구분 누락; ","")&amp;IF(업무일지!$E814="","세부유형 누락; ",IF(AND(업무일지!$D814&lt;&gt;"",COUNTIFS(코드설정!$A$5:$A$21,업무일지!$D814,코드설정!$B$5:$B$21,업무일지!$E814)=0),"세부유형이 직무구분과 불일치; ",""))&amp;IF(AND(업무일지!$F814&lt;&gt;"",COUNTIF(사건마스터!$A$5:$A$64,업무일지!$F814)=0),"미등록 사건번호; ","")&amp;IF(AND(업무일지!$F814="",업무일지!$H814=""),"사건번호·업무명 모두 없음; ","")&amp;IF(업무일지!$J814="","담당자 없음; ","")&amp;IF(COUNTIF(코드설정!$F$5:$F$7,업무일지!$AG814)=0,"진행상태 누락; ","")))</f>
        <v/>
      </c>
    </row>
    <row r="847">
      <c r="A847" s="26" t="inlineStr">
        <is>
          <t>업무일지</t>
        </is>
      </c>
      <c r="B847" s="66" t="n">
        <v>815</v>
      </c>
      <c r="C847" s="122">
        <f>IF($D847="","",IFERROR(TEXT(업무일지!$B815,"yyyy-mm-dd"),"(날짜없음)")&amp;"  "&amp;업무일지!$F815&amp;"  "&amp;업무일지!$H815)</f>
        <v/>
      </c>
      <c r="D847" s="122">
        <f>IF(NOT(COUNTBLANK(업무일지!$B815:$AH815)&lt;33),"",TRIM(IF(업무일지!$B815="","시작일 누락; ","")&amp;IF(업무일지!$C815="","종료일 누락; ","")&amp;IF(AND(업무일지!$B815&lt;&gt;"",업무일지!$C815&lt;&gt;"",업무일지!$C815&lt;업무일지!$B815),"종료일이 시작일보다 빠름; ","")&amp;IF(COUNTIF(코드설정!$H$5:$H$7,업무일지!$D815)=0,"직무구분 누락; ","")&amp;IF(업무일지!$E815="","세부유형 누락; ",IF(AND(업무일지!$D815&lt;&gt;"",COUNTIFS(코드설정!$A$5:$A$21,업무일지!$D815,코드설정!$B$5:$B$21,업무일지!$E815)=0),"세부유형이 직무구분과 불일치; ",""))&amp;IF(AND(업무일지!$F815&lt;&gt;"",COUNTIF(사건마스터!$A$5:$A$64,업무일지!$F815)=0),"미등록 사건번호; ","")&amp;IF(AND(업무일지!$F815="",업무일지!$H815=""),"사건번호·업무명 모두 없음; ","")&amp;IF(업무일지!$J815="","담당자 없음; ","")&amp;IF(COUNTIF(코드설정!$F$5:$F$7,업무일지!$AG815)=0,"진행상태 누락; ","")))</f>
        <v/>
      </c>
    </row>
    <row r="848">
      <c r="A848" s="26" t="inlineStr">
        <is>
          <t>업무일지</t>
        </is>
      </c>
      <c r="B848" s="66" t="n">
        <v>816</v>
      </c>
      <c r="C848" s="122">
        <f>IF($D848="","",IFERROR(TEXT(업무일지!$B816,"yyyy-mm-dd"),"(날짜없음)")&amp;"  "&amp;업무일지!$F816&amp;"  "&amp;업무일지!$H816)</f>
        <v/>
      </c>
      <c r="D848" s="122">
        <f>IF(NOT(COUNTBLANK(업무일지!$B816:$AH816)&lt;33),"",TRIM(IF(업무일지!$B816="","시작일 누락; ","")&amp;IF(업무일지!$C816="","종료일 누락; ","")&amp;IF(AND(업무일지!$B816&lt;&gt;"",업무일지!$C816&lt;&gt;"",업무일지!$C816&lt;업무일지!$B816),"종료일이 시작일보다 빠름; ","")&amp;IF(COUNTIF(코드설정!$H$5:$H$7,업무일지!$D816)=0,"직무구분 누락; ","")&amp;IF(업무일지!$E816="","세부유형 누락; ",IF(AND(업무일지!$D816&lt;&gt;"",COUNTIFS(코드설정!$A$5:$A$21,업무일지!$D816,코드설정!$B$5:$B$21,업무일지!$E816)=0),"세부유형이 직무구분과 불일치; ",""))&amp;IF(AND(업무일지!$F816&lt;&gt;"",COUNTIF(사건마스터!$A$5:$A$64,업무일지!$F816)=0),"미등록 사건번호; ","")&amp;IF(AND(업무일지!$F816="",업무일지!$H816=""),"사건번호·업무명 모두 없음; ","")&amp;IF(업무일지!$J816="","담당자 없음; ","")&amp;IF(COUNTIF(코드설정!$F$5:$F$7,업무일지!$AG816)=0,"진행상태 누락; ","")))</f>
        <v/>
      </c>
    </row>
    <row r="849">
      <c r="A849" s="26" t="inlineStr">
        <is>
          <t>업무일지</t>
        </is>
      </c>
      <c r="B849" s="66" t="n">
        <v>817</v>
      </c>
      <c r="C849" s="122">
        <f>IF($D849="","",IFERROR(TEXT(업무일지!$B817,"yyyy-mm-dd"),"(날짜없음)")&amp;"  "&amp;업무일지!$F817&amp;"  "&amp;업무일지!$H817)</f>
        <v/>
      </c>
      <c r="D849" s="122">
        <f>IF(NOT(COUNTBLANK(업무일지!$B817:$AH817)&lt;33),"",TRIM(IF(업무일지!$B817="","시작일 누락; ","")&amp;IF(업무일지!$C817="","종료일 누락; ","")&amp;IF(AND(업무일지!$B817&lt;&gt;"",업무일지!$C817&lt;&gt;"",업무일지!$C817&lt;업무일지!$B817),"종료일이 시작일보다 빠름; ","")&amp;IF(COUNTIF(코드설정!$H$5:$H$7,업무일지!$D817)=0,"직무구분 누락; ","")&amp;IF(업무일지!$E817="","세부유형 누락; ",IF(AND(업무일지!$D817&lt;&gt;"",COUNTIFS(코드설정!$A$5:$A$21,업무일지!$D817,코드설정!$B$5:$B$21,업무일지!$E817)=0),"세부유형이 직무구분과 불일치; ",""))&amp;IF(AND(업무일지!$F817&lt;&gt;"",COUNTIF(사건마스터!$A$5:$A$64,업무일지!$F817)=0),"미등록 사건번호; ","")&amp;IF(AND(업무일지!$F817="",업무일지!$H817=""),"사건번호·업무명 모두 없음; ","")&amp;IF(업무일지!$J817="","담당자 없음; ","")&amp;IF(COUNTIF(코드설정!$F$5:$F$7,업무일지!$AG817)=0,"진행상태 누락; ","")))</f>
        <v/>
      </c>
    </row>
    <row r="850">
      <c r="A850" s="26" t="inlineStr">
        <is>
          <t>업무일지</t>
        </is>
      </c>
      <c r="B850" s="66" t="n">
        <v>818</v>
      </c>
      <c r="C850" s="122">
        <f>IF($D850="","",IFERROR(TEXT(업무일지!$B818,"yyyy-mm-dd"),"(날짜없음)")&amp;"  "&amp;업무일지!$F818&amp;"  "&amp;업무일지!$H818)</f>
        <v/>
      </c>
      <c r="D850" s="122">
        <f>IF(NOT(COUNTBLANK(업무일지!$B818:$AH818)&lt;33),"",TRIM(IF(업무일지!$B818="","시작일 누락; ","")&amp;IF(업무일지!$C818="","종료일 누락; ","")&amp;IF(AND(업무일지!$B818&lt;&gt;"",업무일지!$C818&lt;&gt;"",업무일지!$C818&lt;업무일지!$B818),"종료일이 시작일보다 빠름; ","")&amp;IF(COUNTIF(코드설정!$H$5:$H$7,업무일지!$D818)=0,"직무구분 누락; ","")&amp;IF(업무일지!$E818="","세부유형 누락; ",IF(AND(업무일지!$D818&lt;&gt;"",COUNTIFS(코드설정!$A$5:$A$21,업무일지!$D818,코드설정!$B$5:$B$21,업무일지!$E818)=0),"세부유형이 직무구분과 불일치; ",""))&amp;IF(AND(업무일지!$F818&lt;&gt;"",COUNTIF(사건마스터!$A$5:$A$64,업무일지!$F818)=0),"미등록 사건번호; ","")&amp;IF(AND(업무일지!$F818="",업무일지!$H818=""),"사건번호·업무명 모두 없음; ","")&amp;IF(업무일지!$J818="","담당자 없음; ","")&amp;IF(COUNTIF(코드설정!$F$5:$F$7,업무일지!$AG818)=0,"진행상태 누락; ","")))</f>
        <v/>
      </c>
    </row>
    <row r="851">
      <c r="A851" s="26" t="inlineStr">
        <is>
          <t>업무일지</t>
        </is>
      </c>
      <c r="B851" s="66" t="n">
        <v>819</v>
      </c>
      <c r="C851" s="122">
        <f>IF($D851="","",IFERROR(TEXT(업무일지!$B819,"yyyy-mm-dd"),"(날짜없음)")&amp;"  "&amp;업무일지!$F819&amp;"  "&amp;업무일지!$H819)</f>
        <v/>
      </c>
      <c r="D851" s="122">
        <f>IF(NOT(COUNTBLANK(업무일지!$B819:$AH819)&lt;33),"",TRIM(IF(업무일지!$B819="","시작일 누락; ","")&amp;IF(업무일지!$C819="","종료일 누락; ","")&amp;IF(AND(업무일지!$B819&lt;&gt;"",업무일지!$C819&lt;&gt;"",업무일지!$C819&lt;업무일지!$B819),"종료일이 시작일보다 빠름; ","")&amp;IF(COUNTIF(코드설정!$H$5:$H$7,업무일지!$D819)=0,"직무구분 누락; ","")&amp;IF(업무일지!$E819="","세부유형 누락; ",IF(AND(업무일지!$D819&lt;&gt;"",COUNTIFS(코드설정!$A$5:$A$21,업무일지!$D819,코드설정!$B$5:$B$21,업무일지!$E819)=0),"세부유형이 직무구분과 불일치; ",""))&amp;IF(AND(업무일지!$F819&lt;&gt;"",COUNTIF(사건마스터!$A$5:$A$64,업무일지!$F819)=0),"미등록 사건번호; ","")&amp;IF(AND(업무일지!$F819="",업무일지!$H819=""),"사건번호·업무명 모두 없음; ","")&amp;IF(업무일지!$J819="","담당자 없음; ","")&amp;IF(COUNTIF(코드설정!$F$5:$F$7,업무일지!$AG819)=0,"진행상태 누락; ","")))</f>
        <v/>
      </c>
    </row>
    <row r="852">
      <c r="A852" s="26" t="inlineStr">
        <is>
          <t>업무일지</t>
        </is>
      </c>
      <c r="B852" s="66" t="n">
        <v>820</v>
      </c>
      <c r="C852" s="122">
        <f>IF($D852="","",IFERROR(TEXT(업무일지!$B820,"yyyy-mm-dd"),"(날짜없음)")&amp;"  "&amp;업무일지!$F820&amp;"  "&amp;업무일지!$H820)</f>
        <v/>
      </c>
      <c r="D852" s="122">
        <f>IF(NOT(COUNTBLANK(업무일지!$B820:$AH820)&lt;33),"",TRIM(IF(업무일지!$B820="","시작일 누락; ","")&amp;IF(업무일지!$C820="","종료일 누락; ","")&amp;IF(AND(업무일지!$B820&lt;&gt;"",업무일지!$C820&lt;&gt;"",업무일지!$C820&lt;업무일지!$B820),"종료일이 시작일보다 빠름; ","")&amp;IF(COUNTIF(코드설정!$H$5:$H$7,업무일지!$D820)=0,"직무구분 누락; ","")&amp;IF(업무일지!$E820="","세부유형 누락; ",IF(AND(업무일지!$D820&lt;&gt;"",COUNTIFS(코드설정!$A$5:$A$21,업무일지!$D820,코드설정!$B$5:$B$21,업무일지!$E820)=0),"세부유형이 직무구분과 불일치; ",""))&amp;IF(AND(업무일지!$F820&lt;&gt;"",COUNTIF(사건마스터!$A$5:$A$64,업무일지!$F820)=0),"미등록 사건번호; ","")&amp;IF(AND(업무일지!$F820="",업무일지!$H820=""),"사건번호·업무명 모두 없음; ","")&amp;IF(업무일지!$J820="","담당자 없음; ","")&amp;IF(COUNTIF(코드설정!$F$5:$F$7,업무일지!$AG820)=0,"진행상태 누락; ","")))</f>
        <v/>
      </c>
    </row>
    <row r="853">
      <c r="A853" s="26" t="inlineStr">
        <is>
          <t>업무일지</t>
        </is>
      </c>
      <c r="B853" s="66" t="n">
        <v>821</v>
      </c>
      <c r="C853" s="122">
        <f>IF($D853="","",IFERROR(TEXT(업무일지!$B821,"yyyy-mm-dd"),"(날짜없음)")&amp;"  "&amp;업무일지!$F821&amp;"  "&amp;업무일지!$H821)</f>
        <v/>
      </c>
      <c r="D853" s="122">
        <f>IF(NOT(COUNTBLANK(업무일지!$B821:$AH821)&lt;33),"",TRIM(IF(업무일지!$B821="","시작일 누락; ","")&amp;IF(업무일지!$C821="","종료일 누락; ","")&amp;IF(AND(업무일지!$B821&lt;&gt;"",업무일지!$C821&lt;&gt;"",업무일지!$C821&lt;업무일지!$B821),"종료일이 시작일보다 빠름; ","")&amp;IF(COUNTIF(코드설정!$H$5:$H$7,업무일지!$D821)=0,"직무구분 누락; ","")&amp;IF(업무일지!$E821="","세부유형 누락; ",IF(AND(업무일지!$D821&lt;&gt;"",COUNTIFS(코드설정!$A$5:$A$21,업무일지!$D821,코드설정!$B$5:$B$21,업무일지!$E821)=0),"세부유형이 직무구분과 불일치; ",""))&amp;IF(AND(업무일지!$F821&lt;&gt;"",COUNTIF(사건마스터!$A$5:$A$64,업무일지!$F821)=0),"미등록 사건번호; ","")&amp;IF(AND(업무일지!$F821="",업무일지!$H821=""),"사건번호·업무명 모두 없음; ","")&amp;IF(업무일지!$J821="","담당자 없음; ","")&amp;IF(COUNTIF(코드설정!$F$5:$F$7,업무일지!$AG821)=0,"진행상태 누락; ","")))</f>
        <v/>
      </c>
    </row>
    <row r="854">
      <c r="A854" s="26" t="inlineStr">
        <is>
          <t>업무일지</t>
        </is>
      </c>
      <c r="B854" s="66" t="n">
        <v>822</v>
      </c>
      <c r="C854" s="122">
        <f>IF($D854="","",IFERROR(TEXT(업무일지!$B822,"yyyy-mm-dd"),"(날짜없음)")&amp;"  "&amp;업무일지!$F822&amp;"  "&amp;업무일지!$H822)</f>
        <v/>
      </c>
      <c r="D854" s="122">
        <f>IF(NOT(COUNTBLANK(업무일지!$B822:$AH822)&lt;33),"",TRIM(IF(업무일지!$B822="","시작일 누락; ","")&amp;IF(업무일지!$C822="","종료일 누락; ","")&amp;IF(AND(업무일지!$B822&lt;&gt;"",업무일지!$C822&lt;&gt;"",업무일지!$C822&lt;업무일지!$B822),"종료일이 시작일보다 빠름; ","")&amp;IF(COUNTIF(코드설정!$H$5:$H$7,업무일지!$D822)=0,"직무구분 누락; ","")&amp;IF(업무일지!$E822="","세부유형 누락; ",IF(AND(업무일지!$D822&lt;&gt;"",COUNTIFS(코드설정!$A$5:$A$21,업무일지!$D822,코드설정!$B$5:$B$21,업무일지!$E822)=0),"세부유형이 직무구분과 불일치; ",""))&amp;IF(AND(업무일지!$F822&lt;&gt;"",COUNTIF(사건마스터!$A$5:$A$64,업무일지!$F822)=0),"미등록 사건번호; ","")&amp;IF(AND(업무일지!$F822="",업무일지!$H822=""),"사건번호·업무명 모두 없음; ","")&amp;IF(업무일지!$J822="","담당자 없음; ","")&amp;IF(COUNTIF(코드설정!$F$5:$F$7,업무일지!$AG822)=0,"진행상태 누락; ","")))</f>
        <v/>
      </c>
    </row>
    <row r="855">
      <c r="A855" s="26" t="inlineStr">
        <is>
          <t>업무일지</t>
        </is>
      </c>
      <c r="B855" s="66" t="n">
        <v>823</v>
      </c>
      <c r="C855" s="122">
        <f>IF($D855="","",IFERROR(TEXT(업무일지!$B823,"yyyy-mm-dd"),"(날짜없음)")&amp;"  "&amp;업무일지!$F823&amp;"  "&amp;업무일지!$H823)</f>
        <v/>
      </c>
      <c r="D855" s="122">
        <f>IF(NOT(COUNTBLANK(업무일지!$B823:$AH823)&lt;33),"",TRIM(IF(업무일지!$B823="","시작일 누락; ","")&amp;IF(업무일지!$C823="","종료일 누락; ","")&amp;IF(AND(업무일지!$B823&lt;&gt;"",업무일지!$C823&lt;&gt;"",업무일지!$C823&lt;업무일지!$B823),"종료일이 시작일보다 빠름; ","")&amp;IF(COUNTIF(코드설정!$H$5:$H$7,업무일지!$D823)=0,"직무구분 누락; ","")&amp;IF(업무일지!$E823="","세부유형 누락; ",IF(AND(업무일지!$D823&lt;&gt;"",COUNTIFS(코드설정!$A$5:$A$21,업무일지!$D823,코드설정!$B$5:$B$21,업무일지!$E823)=0),"세부유형이 직무구분과 불일치; ",""))&amp;IF(AND(업무일지!$F823&lt;&gt;"",COUNTIF(사건마스터!$A$5:$A$64,업무일지!$F823)=0),"미등록 사건번호; ","")&amp;IF(AND(업무일지!$F823="",업무일지!$H823=""),"사건번호·업무명 모두 없음; ","")&amp;IF(업무일지!$J823="","담당자 없음; ","")&amp;IF(COUNTIF(코드설정!$F$5:$F$7,업무일지!$AG823)=0,"진행상태 누락; ","")))</f>
        <v/>
      </c>
    </row>
    <row r="856">
      <c r="A856" s="26" t="inlineStr">
        <is>
          <t>업무일지</t>
        </is>
      </c>
      <c r="B856" s="66" t="n">
        <v>824</v>
      </c>
      <c r="C856" s="122">
        <f>IF($D856="","",IFERROR(TEXT(업무일지!$B824,"yyyy-mm-dd"),"(날짜없음)")&amp;"  "&amp;업무일지!$F824&amp;"  "&amp;업무일지!$H824)</f>
        <v/>
      </c>
      <c r="D856" s="122">
        <f>IF(NOT(COUNTBLANK(업무일지!$B824:$AH824)&lt;33),"",TRIM(IF(업무일지!$B824="","시작일 누락; ","")&amp;IF(업무일지!$C824="","종료일 누락; ","")&amp;IF(AND(업무일지!$B824&lt;&gt;"",업무일지!$C824&lt;&gt;"",업무일지!$C824&lt;업무일지!$B824),"종료일이 시작일보다 빠름; ","")&amp;IF(COUNTIF(코드설정!$H$5:$H$7,업무일지!$D824)=0,"직무구분 누락; ","")&amp;IF(업무일지!$E824="","세부유형 누락; ",IF(AND(업무일지!$D824&lt;&gt;"",COUNTIFS(코드설정!$A$5:$A$21,업무일지!$D824,코드설정!$B$5:$B$21,업무일지!$E824)=0),"세부유형이 직무구분과 불일치; ",""))&amp;IF(AND(업무일지!$F824&lt;&gt;"",COUNTIF(사건마스터!$A$5:$A$64,업무일지!$F824)=0),"미등록 사건번호; ","")&amp;IF(AND(업무일지!$F824="",업무일지!$H824=""),"사건번호·업무명 모두 없음; ","")&amp;IF(업무일지!$J824="","담당자 없음; ","")&amp;IF(COUNTIF(코드설정!$F$5:$F$7,업무일지!$AG824)=0,"진행상태 누락; ","")))</f>
        <v/>
      </c>
    </row>
    <row r="857">
      <c r="A857" s="26" t="inlineStr">
        <is>
          <t>업무일지</t>
        </is>
      </c>
      <c r="B857" s="66" t="n">
        <v>825</v>
      </c>
      <c r="C857" s="122">
        <f>IF($D857="","",IFERROR(TEXT(업무일지!$B825,"yyyy-mm-dd"),"(날짜없음)")&amp;"  "&amp;업무일지!$F825&amp;"  "&amp;업무일지!$H825)</f>
        <v/>
      </c>
      <c r="D857" s="122">
        <f>IF(NOT(COUNTBLANK(업무일지!$B825:$AH825)&lt;33),"",TRIM(IF(업무일지!$B825="","시작일 누락; ","")&amp;IF(업무일지!$C825="","종료일 누락; ","")&amp;IF(AND(업무일지!$B825&lt;&gt;"",업무일지!$C825&lt;&gt;"",업무일지!$C825&lt;업무일지!$B825),"종료일이 시작일보다 빠름; ","")&amp;IF(COUNTIF(코드설정!$H$5:$H$7,업무일지!$D825)=0,"직무구분 누락; ","")&amp;IF(업무일지!$E825="","세부유형 누락; ",IF(AND(업무일지!$D825&lt;&gt;"",COUNTIFS(코드설정!$A$5:$A$21,업무일지!$D825,코드설정!$B$5:$B$21,업무일지!$E825)=0),"세부유형이 직무구분과 불일치; ",""))&amp;IF(AND(업무일지!$F825&lt;&gt;"",COUNTIF(사건마스터!$A$5:$A$64,업무일지!$F825)=0),"미등록 사건번호; ","")&amp;IF(AND(업무일지!$F825="",업무일지!$H825=""),"사건번호·업무명 모두 없음; ","")&amp;IF(업무일지!$J825="","담당자 없음; ","")&amp;IF(COUNTIF(코드설정!$F$5:$F$7,업무일지!$AG825)=0,"진행상태 누락; ","")))</f>
        <v/>
      </c>
    </row>
    <row r="858">
      <c r="A858" s="26" t="inlineStr">
        <is>
          <t>업무일지</t>
        </is>
      </c>
      <c r="B858" s="66" t="n">
        <v>826</v>
      </c>
      <c r="C858" s="122">
        <f>IF($D858="","",IFERROR(TEXT(업무일지!$B826,"yyyy-mm-dd"),"(날짜없음)")&amp;"  "&amp;업무일지!$F826&amp;"  "&amp;업무일지!$H826)</f>
        <v/>
      </c>
      <c r="D858" s="122">
        <f>IF(NOT(COUNTBLANK(업무일지!$B826:$AH826)&lt;33),"",TRIM(IF(업무일지!$B826="","시작일 누락; ","")&amp;IF(업무일지!$C826="","종료일 누락; ","")&amp;IF(AND(업무일지!$B826&lt;&gt;"",업무일지!$C826&lt;&gt;"",업무일지!$C826&lt;업무일지!$B826),"종료일이 시작일보다 빠름; ","")&amp;IF(COUNTIF(코드설정!$H$5:$H$7,업무일지!$D826)=0,"직무구분 누락; ","")&amp;IF(업무일지!$E826="","세부유형 누락; ",IF(AND(업무일지!$D826&lt;&gt;"",COUNTIFS(코드설정!$A$5:$A$21,업무일지!$D826,코드설정!$B$5:$B$21,업무일지!$E826)=0),"세부유형이 직무구분과 불일치; ",""))&amp;IF(AND(업무일지!$F826&lt;&gt;"",COUNTIF(사건마스터!$A$5:$A$64,업무일지!$F826)=0),"미등록 사건번호; ","")&amp;IF(AND(업무일지!$F826="",업무일지!$H826=""),"사건번호·업무명 모두 없음; ","")&amp;IF(업무일지!$J826="","담당자 없음; ","")&amp;IF(COUNTIF(코드설정!$F$5:$F$7,업무일지!$AG826)=0,"진행상태 누락; ","")))</f>
        <v/>
      </c>
    </row>
    <row r="859">
      <c r="A859" s="26" t="inlineStr">
        <is>
          <t>업무일지</t>
        </is>
      </c>
      <c r="B859" s="66" t="n">
        <v>827</v>
      </c>
      <c r="C859" s="122">
        <f>IF($D859="","",IFERROR(TEXT(업무일지!$B827,"yyyy-mm-dd"),"(날짜없음)")&amp;"  "&amp;업무일지!$F827&amp;"  "&amp;업무일지!$H827)</f>
        <v/>
      </c>
      <c r="D859" s="122">
        <f>IF(NOT(COUNTBLANK(업무일지!$B827:$AH827)&lt;33),"",TRIM(IF(업무일지!$B827="","시작일 누락; ","")&amp;IF(업무일지!$C827="","종료일 누락; ","")&amp;IF(AND(업무일지!$B827&lt;&gt;"",업무일지!$C827&lt;&gt;"",업무일지!$C827&lt;업무일지!$B827),"종료일이 시작일보다 빠름; ","")&amp;IF(COUNTIF(코드설정!$H$5:$H$7,업무일지!$D827)=0,"직무구분 누락; ","")&amp;IF(업무일지!$E827="","세부유형 누락; ",IF(AND(업무일지!$D827&lt;&gt;"",COUNTIFS(코드설정!$A$5:$A$21,업무일지!$D827,코드설정!$B$5:$B$21,업무일지!$E827)=0),"세부유형이 직무구분과 불일치; ",""))&amp;IF(AND(업무일지!$F827&lt;&gt;"",COUNTIF(사건마스터!$A$5:$A$64,업무일지!$F827)=0),"미등록 사건번호; ","")&amp;IF(AND(업무일지!$F827="",업무일지!$H827=""),"사건번호·업무명 모두 없음; ","")&amp;IF(업무일지!$J827="","담당자 없음; ","")&amp;IF(COUNTIF(코드설정!$F$5:$F$7,업무일지!$AG827)=0,"진행상태 누락; ","")))</f>
        <v/>
      </c>
    </row>
    <row r="860">
      <c r="A860" s="26" t="inlineStr">
        <is>
          <t>업무일지</t>
        </is>
      </c>
      <c r="B860" s="66" t="n">
        <v>828</v>
      </c>
      <c r="C860" s="122">
        <f>IF($D860="","",IFERROR(TEXT(업무일지!$B828,"yyyy-mm-dd"),"(날짜없음)")&amp;"  "&amp;업무일지!$F828&amp;"  "&amp;업무일지!$H828)</f>
        <v/>
      </c>
      <c r="D860" s="122">
        <f>IF(NOT(COUNTBLANK(업무일지!$B828:$AH828)&lt;33),"",TRIM(IF(업무일지!$B828="","시작일 누락; ","")&amp;IF(업무일지!$C828="","종료일 누락; ","")&amp;IF(AND(업무일지!$B828&lt;&gt;"",업무일지!$C828&lt;&gt;"",업무일지!$C828&lt;업무일지!$B828),"종료일이 시작일보다 빠름; ","")&amp;IF(COUNTIF(코드설정!$H$5:$H$7,업무일지!$D828)=0,"직무구분 누락; ","")&amp;IF(업무일지!$E828="","세부유형 누락; ",IF(AND(업무일지!$D828&lt;&gt;"",COUNTIFS(코드설정!$A$5:$A$21,업무일지!$D828,코드설정!$B$5:$B$21,업무일지!$E828)=0),"세부유형이 직무구분과 불일치; ",""))&amp;IF(AND(업무일지!$F828&lt;&gt;"",COUNTIF(사건마스터!$A$5:$A$64,업무일지!$F828)=0),"미등록 사건번호; ","")&amp;IF(AND(업무일지!$F828="",업무일지!$H828=""),"사건번호·업무명 모두 없음; ","")&amp;IF(업무일지!$J828="","담당자 없음; ","")&amp;IF(COUNTIF(코드설정!$F$5:$F$7,업무일지!$AG828)=0,"진행상태 누락; ","")))</f>
        <v/>
      </c>
    </row>
    <row r="861">
      <c r="A861" s="26" t="inlineStr">
        <is>
          <t>업무일지</t>
        </is>
      </c>
      <c r="B861" s="66" t="n">
        <v>829</v>
      </c>
      <c r="C861" s="122">
        <f>IF($D861="","",IFERROR(TEXT(업무일지!$B829,"yyyy-mm-dd"),"(날짜없음)")&amp;"  "&amp;업무일지!$F829&amp;"  "&amp;업무일지!$H829)</f>
        <v/>
      </c>
      <c r="D861" s="122">
        <f>IF(NOT(COUNTBLANK(업무일지!$B829:$AH829)&lt;33),"",TRIM(IF(업무일지!$B829="","시작일 누락; ","")&amp;IF(업무일지!$C829="","종료일 누락; ","")&amp;IF(AND(업무일지!$B829&lt;&gt;"",업무일지!$C829&lt;&gt;"",업무일지!$C829&lt;업무일지!$B829),"종료일이 시작일보다 빠름; ","")&amp;IF(COUNTIF(코드설정!$H$5:$H$7,업무일지!$D829)=0,"직무구분 누락; ","")&amp;IF(업무일지!$E829="","세부유형 누락; ",IF(AND(업무일지!$D829&lt;&gt;"",COUNTIFS(코드설정!$A$5:$A$21,업무일지!$D829,코드설정!$B$5:$B$21,업무일지!$E829)=0),"세부유형이 직무구분과 불일치; ",""))&amp;IF(AND(업무일지!$F829&lt;&gt;"",COUNTIF(사건마스터!$A$5:$A$64,업무일지!$F829)=0),"미등록 사건번호; ","")&amp;IF(AND(업무일지!$F829="",업무일지!$H829=""),"사건번호·업무명 모두 없음; ","")&amp;IF(업무일지!$J829="","담당자 없음; ","")&amp;IF(COUNTIF(코드설정!$F$5:$F$7,업무일지!$AG829)=0,"진행상태 누락; ","")))</f>
        <v/>
      </c>
    </row>
    <row r="862">
      <c r="A862" s="26" t="inlineStr">
        <is>
          <t>업무일지</t>
        </is>
      </c>
      <c r="B862" s="66" t="n">
        <v>830</v>
      </c>
      <c r="C862" s="122">
        <f>IF($D862="","",IFERROR(TEXT(업무일지!$B830,"yyyy-mm-dd"),"(날짜없음)")&amp;"  "&amp;업무일지!$F830&amp;"  "&amp;업무일지!$H830)</f>
        <v/>
      </c>
      <c r="D862" s="122">
        <f>IF(NOT(COUNTBLANK(업무일지!$B830:$AH830)&lt;33),"",TRIM(IF(업무일지!$B830="","시작일 누락; ","")&amp;IF(업무일지!$C830="","종료일 누락; ","")&amp;IF(AND(업무일지!$B830&lt;&gt;"",업무일지!$C830&lt;&gt;"",업무일지!$C830&lt;업무일지!$B830),"종료일이 시작일보다 빠름; ","")&amp;IF(COUNTIF(코드설정!$H$5:$H$7,업무일지!$D830)=0,"직무구분 누락; ","")&amp;IF(업무일지!$E830="","세부유형 누락; ",IF(AND(업무일지!$D830&lt;&gt;"",COUNTIFS(코드설정!$A$5:$A$21,업무일지!$D830,코드설정!$B$5:$B$21,업무일지!$E830)=0),"세부유형이 직무구분과 불일치; ",""))&amp;IF(AND(업무일지!$F830&lt;&gt;"",COUNTIF(사건마스터!$A$5:$A$64,업무일지!$F830)=0),"미등록 사건번호; ","")&amp;IF(AND(업무일지!$F830="",업무일지!$H830=""),"사건번호·업무명 모두 없음; ","")&amp;IF(업무일지!$J830="","담당자 없음; ","")&amp;IF(COUNTIF(코드설정!$F$5:$F$7,업무일지!$AG830)=0,"진행상태 누락; ","")))</f>
        <v/>
      </c>
    </row>
    <row r="863">
      <c r="A863" s="26" t="inlineStr">
        <is>
          <t>업무일지</t>
        </is>
      </c>
      <c r="B863" s="66" t="n">
        <v>831</v>
      </c>
      <c r="C863" s="122">
        <f>IF($D863="","",IFERROR(TEXT(업무일지!$B831,"yyyy-mm-dd"),"(날짜없음)")&amp;"  "&amp;업무일지!$F831&amp;"  "&amp;업무일지!$H831)</f>
        <v/>
      </c>
      <c r="D863" s="122">
        <f>IF(NOT(COUNTBLANK(업무일지!$B831:$AH831)&lt;33),"",TRIM(IF(업무일지!$B831="","시작일 누락; ","")&amp;IF(업무일지!$C831="","종료일 누락; ","")&amp;IF(AND(업무일지!$B831&lt;&gt;"",업무일지!$C831&lt;&gt;"",업무일지!$C831&lt;업무일지!$B831),"종료일이 시작일보다 빠름; ","")&amp;IF(COUNTIF(코드설정!$H$5:$H$7,업무일지!$D831)=0,"직무구분 누락; ","")&amp;IF(업무일지!$E831="","세부유형 누락; ",IF(AND(업무일지!$D831&lt;&gt;"",COUNTIFS(코드설정!$A$5:$A$21,업무일지!$D831,코드설정!$B$5:$B$21,업무일지!$E831)=0),"세부유형이 직무구분과 불일치; ",""))&amp;IF(AND(업무일지!$F831&lt;&gt;"",COUNTIF(사건마스터!$A$5:$A$64,업무일지!$F831)=0),"미등록 사건번호; ","")&amp;IF(AND(업무일지!$F831="",업무일지!$H831=""),"사건번호·업무명 모두 없음; ","")&amp;IF(업무일지!$J831="","담당자 없음; ","")&amp;IF(COUNTIF(코드설정!$F$5:$F$7,업무일지!$AG831)=0,"진행상태 누락; ","")))</f>
        <v/>
      </c>
    </row>
    <row r="864">
      <c r="A864" s="26" t="inlineStr">
        <is>
          <t>업무일지</t>
        </is>
      </c>
      <c r="B864" s="66" t="n">
        <v>832</v>
      </c>
      <c r="C864" s="122">
        <f>IF($D864="","",IFERROR(TEXT(업무일지!$B832,"yyyy-mm-dd"),"(날짜없음)")&amp;"  "&amp;업무일지!$F832&amp;"  "&amp;업무일지!$H832)</f>
        <v/>
      </c>
      <c r="D864" s="122">
        <f>IF(NOT(COUNTBLANK(업무일지!$B832:$AH832)&lt;33),"",TRIM(IF(업무일지!$B832="","시작일 누락; ","")&amp;IF(업무일지!$C832="","종료일 누락; ","")&amp;IF(AND(업무일지!$B832&lt;&gt;"",업무일지!$C832&lt;&gt;"",업무일지!$C832&lt;업무일지!$B832),"종료일이 시작일보다 빠름; ","")&amp;IF(COUNTIF(코드설정!$H$5:$H$7,업무일지!$D832)=0,"직무구분 누락; ","")&amp;IF(업무일지!$E832="","세부유형 누락; ",IF(AND(업무일지!$D832&lt;&gt;"",COUNTIFS(코드설정!$A$5:$A$21,업무일지!$D832,코드설정!$B$5:$B$21,업무일지!$E832)=0),"세부유형이 직무구분과 불일치; ",""))&amp;IF(AND(업무일지!$F832&lt;&gt;"",COUNTIF(사건마스터!$A$5:$A$64,업무일지!$F832)=0),"미등록 사건번호; ","")&amp;IF(AND(업무일지!$F832="",업무일지!$H832=""),"사건번호·업무명 모두 없음; ","")&amp;IF(업무일지!$J832="","담당자 없음; ","")&amp;IF(COUNTIF(코드설정!$F$5:$F$7,업무일지!$AG832)=0,"진행상태 누락; ","")))</f>
        <v/>
      </c>
    </row>
    <row r="865">
      <c r="A865" s="26" t="inlineStr">
        <is>
          <t>업무일지</t>
        </is>
      </c>
      <c r="B865" s="66" t="n">
        <v>833</v>
      </c>
      <c r="C865" s="122">
        <f>IF($D865="","",IFERROR(TEXT(업무일지!$B833,"yyyy-mm-dd"),"(날짜없음)")&amp;"  "&amp;업무일지!$F833&amp;"  "&amp;업무일지!$H833)</f>
        <v/>
      </c>
      <c r="D865" s="122">
        <f>IF(NOT(COUNTBLANK(업무일지!$B833:$AH833)&lt;33),"",TRIM(IF(업무일지!$B833="","시작일 누락; ","")&amp;IF(업무일지!$C833="","종료일 누락; ","")&amp;IF(AND(업무일지!$B833&lt;&gt;"",업무일지!$C833&lt;&gt;"",업무일지!$C833&lt;업무일지!$B833),"종료일이 시작일보다 빠름; ","")&amp;IF(COUNTIF(코드설정!$H$5:$H$7,업무일지!$D833)=0,"직무구분 누락; ","")&amp;IF(업무일지!$E833="","세부유형 누락; ",IF(AND(업무일지!$D833&lt;&gt;"",COUNTIFS(코드설정!$A$5:$A$21,업무일지!$D833,코드설정!$B$5:$B$21,업무일지!$E833)=0),"세부유형이 직무구분과 불일치; ",""))&amp;IF(AND(업무일지!$F833&lt;&gt;"",COUNTIF(사건마스터!$A$5:$A$64,업무일지!$F833)=0),"미등록 사건번호; ","")&amp;IF(AND(업무일지!$F833="",업무일지!$H833=""),"사건번호·업무명 모두 없음; ","")&amp;IF(업무일지!$J833="","담당자 없음; ","")&amp;IF(COUNTIF(코드설정!$F$5:$F$7,업무일지!$AG833)=0,"진행상태 누락; ","")))</f>
        <v/>
      </c>
    </row>
    <row r="866">
      <c r="A866" s="26" t="inlineStr">
        <is>
          <t>업무일지</t>
        </is>
      </c>
      <c r="B866" s="66" t="n">
        <v>834</v>
      </c>
      <c r="C866" s="122">
        <f>IF($D866="","",IFERROR(TEXT(업무일지!$B834,"yyyy-mm-dd"),"(날짜없음)")&amp;"  "&amp;업무일지!$F834&amp;"  "&amp;업무일지!$H834)</f>
        <v/>
      </c>
      <c r="D866" s="122">
        <f>IF(NOT(COUNTBLANK(업무일지!$B834:$AH834)&lt;33),"",TRIM(IF(업무일지!$B834="","시작일 누락; ","")&amp;IF(업무일지!$C834="","종료일 누락; ","")&amp;IF(AND(업무일지!$B834&lt;&gt;"",업무일지!$C834&lt;&gt;"",업무일지!$C834&lt;업무일지!$B834),"종료일이 시작일보다 빠름; ","")&amp;IF(COUNTIF(코드설정!$H$5:$H$7,업무일지!$D834)=0,"직무구분 누락; ","")&amp;IF(업무일지!$E834="","세부유형 누락; ",IF(AND(업무일지!$D834&lt;&gt;"",COUNTIFS(코드설정!$A$5:$A$21,업무일지!$D834,코드설정!$B$5:$B$21,업무일지!$E834)=0),"세부유형이 직무구분과 불일치; ",""))&amp;IF(AND(업무일지!$F834&lt;&gt;"",COUNTIF(사건마스터!$A$5:$A$64,업무일지!$F834)=0),"미등록 사건번호; ","")&amp;IF(AND(업무일지!$F834="",업무일지!$H834=""),"사건번호·업무명 모두 없음; ","")&amp;IF(업무일지!$J834="","담당자 없음; ","")&amp;IF(COUNTIF(코드설정!$F$5:$F$7,업무일지!$AG834)=0,"진행상태 누락; ","")))</f>
        <v/>
      </c>
    </row>
    <row r="867">
      <c r="A867" s="26" t="inlineStr">
        <is>
          <t>업무일지</t>
        </is>
      </c>
      <c r="B867" s="66" t="n">
        <v>835</v>
      </c>
      <c r="C867" s="122">
        <f>IF($D867="","",IFERROR(TEXT(업무일지!$B835,"yyyy-mm-dd"),"(날짜없음)")&amp;"  "&amp;업무일지!$F835&amp;"  "&amp;업무일지!$H835)</f>
        <v/>
      </c>
      <c r="D867" s="122">
        <f>IF(NOT(COUNTBLANK(업무일지!$B835:$AH835)&lt;33),"",TRIM(IF(업무일지!$B835="","시작일 누락; ","")&amp;IF(업무일지!$C835="","종료일 누락; ","")&amp;IF(AND(업무일지!$B835&lt;&gt;"",업무일지!$C835&lt;&gt;"",업무일지!$C835&lt;업무일지!$B835),"종료일이 시작일보다 빠름; ","")&amp;IF(COUNTIF(코드설정!$H$5:$H$7,업무일지!$D835)=0,"직무구분 누락; ","")&amp;IF(업무일지!$E835="","세부유형 누락; ",IF(AND(업무일지!$D835&lt;&gt;"",COUNTIFS(코드설정!$A$5:$A$21,업무일지!$D835,코드설정!$B$5:$B$21,업무일지!$E835)=0),"세부유형이 직무구분과 불일치; ",""))&amp;IF(AND(업무일지!$F835&lt;&gt;"",COUNTIF(사건마스터!$A$5:$A$64,업무일지!$F835)=0),"미등록 사건번호; ","")&amp;IF(AND(업무일지!$F835="",업무일지!$H835=""),"사건번호·업무명 모두 없음; ","")&amp;IF(업무일지!$J835="","담당자 없음; ","")&amp;IF(COUNTIF(코드설정!$F$5:$F$7,업무일지!$AG835)=0,"진행상태 누락; ","")))</f>
        <v/>
      </c>
    </row>
    <row r="868">
      <c r="A868" s="26" t="inlineStr">
        <is>
          <t>업무일지</t>
        </is>
      </c>
      <c r="B868" s="66" t="n">
        <v>836</v>
      </c>
      <c r="C868" s="122">
        <f>IF($D868="","",IFERROR(TEXT(업무일지!$B836,"yyyy-mm-dd"),"(날짜없음)")&amp;"  "&amp;업무일지!$F836&amp;"  "&amp;업무일지!$H836)</f>
        <v/>
      </c>
      <c r="D868" s="122">
        <f>IF(NOT(COUNTBLANK(업무일지!$B836:$AH836)&lt;33),"",TRIM(IF(업무일지!$B836="","시작일 누락; ","")&amp;IF(업무일지!$C836="","종료일 누락; ","")&amp;IF(AND(업무일지!$B836&lt;&gt;"",업무일지!$C836&lt;&gt;"",업무일지!$C836&lt;업무일지!$B836),"종료일이 시작일보다 빠름; ","")&amp;IF(COUNTIF(코드설정!$H$5:$H$7,업무일지!$D836)=0,"직무구분 누락; ","")&amp;IF(업무일지!$E836="","세부유형 누락; ",IF(AND(업무일지!$D836&lt;&gt;"",COUNTIFS(코드설정!$A$5:$A$21,업무일지!$D836,코드설정!$B$5:$B$21,업무일지!$E836)=0),"세부유형이 직무구분과 불일치; ",""))&amp;IF(AND(업무일지!$F836&lt;&gt;"",COUNTIF(사건마스터!$A$5:$A$64,업무일지!$F836)=0),"미등록 사건번호; ","")&amp;IF(AND(업무일지!$F836="",업무일지!$H836=""),"사건번호·업무명 모두 없음; ","")&amp;IF(업무일지!$J836="","담당자 없음; ","")&amp;IF(COUNTIF(코드설정!$F$5:$F$7,업무일지!$AG836)=0,"진행상태 누락; ","")))</f>
        <v/>
      </c>
    </row>
    <row r="869">
      <c r="A869" s="26" t="inlineStr">
        <is>
          <t>업무일지</t>
        </is>
      </c>
      <c r="B869" s="66" t="n">
        <v>837</v>
      </c>
      <c r="C869" s="122">
        <f>IF($D869="","",IFERROR(TEXT(업무일지!$B837,"yyyy-mm-dd"),"(날짜없음)")&amp;"  "&amp;업무일지!$F837&amp;"  "&amp;업무일지!$H837)</f>
        <v/>
      </c>
      <c r="D869" s="122">
        <f>IF(NOT(COUNTBLANK(업무일지!$B837:$AH837)&lt;33),"",TRIM(IF(업무일지!$B837="","시작일 누락; ","")&amp;IF(업무일지!$C837="","종료일 누락; ","")&amp;IF(AND(업무일지!$B837&lt;&gt;"",업무일지!$C837&lt;&gt;"",업무일지!$C837&lt;업무일지!$B837),"종료일이 시작일보다 빠름; ","")&amp;IF(COUNTIF(코드설정!$H$5:$H$7,업무일지!$D837)=0,"직무구분 누락; ","")&amp;IF(업무일지!$E837="","세부유형 누락; ",IF(AND(업무일지!$D837&lt;&gt;"",COUNTIFS(코드설정!$A$5:$A$21,업무일지!$D837,코드설정!$B$5:$B$21,업무일지!$E837)=0),"세부유형이 직무구분과 불일치; ",""))&amp;IF(AND(업무일지!$F837&lt;&gt;"",COUNTIF(사건마스터!$A$5:$A$64,업무일지!$F837)=0),"미등록 사건번호; ","")&amp;IF(AND(업무일지!$F837="",업무일지!$H837=""),"사건번호·업무명 모두 없음; ","")&amp;IF(업무일지!$J837="","담당자 없음; ","")&amp;IF(COUNTIF(코드설정!$F$5:$F$7,업무일지!$AG837)=0,"진행상태 누락; ","")))</f>
        <v/>
      </c>
    </row>
    <row r="870">
      <c r="A870" s="26" t="inlineStr">
        <is>
          <t>업무일지</t>
        </is>
      </c>
      <c r="B870" s="66" t="n">
        <v>838</v>
      </c>
      <c r="C870" s="122">
        <f>IF($D870="","",IFERROR(TEXT(업무일지!$B838,"yyyy-mm-dd"),"(날짜없음)")&amp;"  "&amp;업무일지!$F838&amp;"  "&amp;업무일지!$H838)</f>
        <v/>
      </c>
      <c r="D870" s="122">
        <f>IF(NOT(COUNTBLANK(업무일지!$B838:$AH838)&lt;33),"",TRIM(IF(업무일지!$B838="","시작일 누락; ","")&amp;IF(업무일지!$C838="","종료일 누락; ","")&amp;IF(AND(업무일지!$B838&lt;&gt;"",업무일지!$C838&lt;&gt;"",업무일지!$C838&lt;업무일지!$B838),"종료일이 시작일보다 빠름; ","")&amp;IF(COUNTIF(코드설정!$H$5:$H$7,업무일지!$D838)=0,"직무구분 누락; ","")&amp;IF(업무일지!$E838="","세부유형 누락; ",IF(AND(업무일지!$D838&lt;&gt;"",COUNTIFS(코드설정!$A$5:$A$21,업무일지!$D838,코드설정!$B$5:$B$21,업무일지!$E838)=0),"세부유형이 직무구분과 불일치; ",""))&amp;IF(AND(업무일지!$F838&lt;&gt;"",COUNTIF(사건마스터!$A$5:$A$64,업무일지!$F838)=0),"미등록 사건번호; ","")&amp;IF(AND(업무일지!$F838="",업무일지!$H838=""),"사건번호·업무명 모두 없음; ","")&amp;IF(업무일지!$J838="","담당자 없음; ","")&amp;IF(COUNTIF(코드설정!$F$5:$F$7,업무일지!$AG838)=0,"진행상태 누락; ","")))</f>
        <v/>
      </c>
    </row>
    <row r="871">
      <c r="A871" s="26" t="inlineStr">
        <is>
          <t>업무일지</t>
        </is>
      </c>
      <c r="B871" s="66" t="n">
        <v>839</v>
      </c>
      <c r="C871" s="122">
        <f>IF($D871="","",IFERROR(TEXT(업무일지!$B839,"yyyy-mm-dd"),"(날짜없음)")&amp;"  "&amp;업무일지!$F839&amp;"  "&amp;업무일지!$H839)</f>
        <v/>
      </c>
      <c r="D871" s="122">
        <f>IF(NOT(COUNTBLANK(업무일지!$B839:$AH839)&lt;33),"",TRIM(IF(업무일지!$B839="","시작일 누락; ","")&amp;IF(업무일지!$C839="","종료일 누락; ","")&amp;IF(AND(업무일지!$B839&lt;&gt;"",업무일지!$C839&lt;&gt;"",업무일지!$C839&lt;업무일지!$B839),"종료일이 시작일보다 빠름; ","")&amp;IF(COUNTIF(코드설정!$H$5:$H$7,업무일지!$D839)=0,"직무구분 누락; ","")&amp;IF(업무일지!$E839="","세부유형 누락; ",IF(AND(업무일지!$D839&lt;&gt;"",COUNTIFS(코드설정!$A$5:$A$21,업무일지!$D839,코드설정!$B$5:$B$21,업무일지!$E839)=0),"세부유형이 직무구분과 불일치; ",""))&amp;IF(AND(업무일지!$F839&lt;&gt;"",COUNTIF(사건마스터!$A$5:$A$64,업무일지!$F839)=0),"미등록 사건번호; ","")&amp;IF(AND(업무일지!$F839="",업무일지!$H839=""),"사건번호·업무명 모두 없음; ","")&amp;IF(업무일지!$J839="","담당자 없음; ","")&amp;IF(COUNTIF(코드설정!$F$5:$F$7,업무일지!$AG839)=0,"진행상태 누락; ","")))</f>
        <v/>
      </c>
    </row>
    <row r="872">
      <c r="A872" s="26" t="inlineStr">
        <is>
          <t>업무일지</t>
        </is>
      </c>
      <c r="B872" s="66" t="n">
        <v>840</v>
      </c>
      <c r="C872" s="122">
        <f>IF($D872="","",IFERROR(TEXT(업무일지!$B840,"yyyy-mm-dd"),"(날짜없음)")&amp;"  "&amp;업무일지!$F840&amp;"  "&amp;업무일지!$H840)</f>
        <v/>
      </c>
      <c r="D872" s="122">
        <f>IF(NOT(COUNTBLANK(업무일지!$B840:$AH840)&lt;33),"",TRIM(IF(업무일지!$B840="","시작일 누락; ","")&amp;IF(업무일지!$C840="","종료일 누락; ","")&amp;IF(AND(업무일지!$B840&lt;&gt;"",업무일지!$C840&lt;&gt;"",업무일지!$C840&lt;업무일지!$B840),"종료일이 시작일보다 빠름; ","")&amp;IF(COUNTIF(코드설정!$H$5:$H$7,업무일지!$D840)=0,"직무구분 누락; ","")&amp;IF(업무일지!$E840="","세부유형 누락; ",IF(AND(업무일지!$D840&lt;&gt;"",COUNTIFS(코드설정!$A$5:$A$21,업무일지!$D840,코드설정!$B$5:$B$21,업무일지!$E840)=0),"세부유형이 직무구분과 불일치; ",""))&amp;IF(AND(업무일지!$F840&lt;&gt;"",COUNTIF(사건마스터!$A$5:$A$64,업무일지!$F840)=0),"미등록 사건번호; ","")&amp;IF(AND(업무일지!$F840="",업무일지!$H840=""),"사건번호·업무명 모두 없음; ","")&amp;IF(업무일지!$J840="","담당자 없음; ","")&amp;IF(COUNTIF(코드설정!$F$5:$F$7,업무일지!$AG840)=0,"진행상태 누락; ","")))</f>
        <v/>
      </c>
    </row>
    <row r="873">
      <c r="A873" s="26" t="inlineStr">
        <is>
          <t>업무일지</t>
        </is>
      </c>
      <c r="B873" s="66" t="n">
        <v>841</v>
      </c>
      <c r="C873" s="122">
        <f>IF($D873="","",IFERROR(TEXT(업무일지!$B841,"yyyy-mm-dd"),"(날짜없음)")&amp;"  "&amp;업무일지!$F841&amp;"  "&amp;업무일지!$H841)</f>
        <v/>
      </c>
      <c r="D873" s="122">
        <f>IF(NOT(COUNTBLANK(업무일지!$B841:$AH841)&lt;33),"",TRIM(IF(업무일지!$B841="","시작일 누락; ","")&amp;IF(업무일지!$C841="","종료일 누락; ","")&amp;IF(AND(업무일지!$B841&lt;&gt;"",업무일지!$C841&lt;&gt;"",업무일지!$C841&lt;업무일지!$B841),"종료일이 시작일보다 빠름; ","")&amp;IF(COUNTIF(코드설정!$H$5:$H$7,업무일지!$D841)=0,"직무구분 누락; ","")&amp;IF(업무일지!$E841="","세부유형 누락; ",IF(AND(업무일지!$D841&lt;&gt;"",COUNTIFS(코드설정!$A$5:$A$21,업무일지!$D841,코드설정!$B$5:$B$21,업무일지!$E841)=0),"세부유형이 직무구분과 불일치; ",""))&amp;IF(AND(업무일지!$F841&lt;&gt;"",COUNTIF(사건마스터!$A$5:$A$64,업무일지!$F841)=0),"미등록 사건번호; ","")&amp;IF(AND(업무일지!$F841="",업무일지!$H841=""),"사건번호·업무명 모두 없음; ","")&amp;IF(업무일지!$J841="","담당자 없음; ","")&amp;IF(COUNTIF(코드설정!$F$5:$F$7,업무일지!$AG841)=0,"진행상태 누락; ","")))</f>
        <v/>
      </c>
    </row>
    <row r="874">
      <c r="A874" s="26" t="inlineStr">
        <is>
          <t>업무일지</t>
        </is>
      </c>
      <c r="B874" s="66" t="n">
        <v>842</v>
      </c>
      <c r="C874" s="122">
        <f>IF($D874="","",IFERROR(TEXT(업무일지!$B842,"yyyy-mm-dd"),"(날짜없음)")&amp;"  "&amp;업무일지!$F842&amp;"  "&amp;업무일지!$H842)</f>
        <v/>
      </c>
      <c r="D874" s="122">
        <f>IF(NOT(COUNTBLANK(업무일지!$B842:$AH842)&lt;33),"",TRIM(IF(업무일지!$B842="","시작일 누락; ","")&amp;IF(업무일지!$C842="","종료일 누락; ","")&amp;IF(AND(업무일지!$B842&lt;&gt;"",업무일지!$C842&lt;&gt;"",업무일지!$C842&lt;업무일지!$B842),"종료일이 시작일보다 빠름; ","")&amp;IF(COUNTIF(코드설정!$H$5:$H$7,업무일지!$D842)=0,"직무구분 누락; ","")&amp;IF(업무일지!$E842="","세부유형 누락; ",IF(AND(업무일지!$D842&lt;&gt;"",COUNTIFS(코드설정!$A$5:$A$21,업무일지!$D842,코드설정!$B$5:$B$21,업무일지!$E842)=0),"세부유형이 직무구분과 불일치; ",""))&amp;IF(AND(업무일지!$F842&lt;&gt;"",COUNTIF(사건마스터!$A$5:$A$64,업무일지!$F842)=0),"미등록 사건번호; ","")&amp;IF(AND(업무일지!$F842="",업무일지!$H842=""),"사건번호·업무명 모두 없음; ","")&amp;IF(업무일지!$J842="","담당자 없음; ","")&amp;IF(COUNTIF(코드설정!$F$5:$F$7,업무일지!$AG842)=0,"진행상태 누락; ","")))</f>
        <v/>
      </c>
    </row>
    <row r="875">
      <c r="A875" s="26" t="inlineStr">
        <is>
          <t>업무일지</t>
        </is>
      </c>
      <c r="B875" s="66" t="n">
        <v>843</v>
      </c>
      <c r="C875" s="122">
        <f>IF($D875="","",IFERROR(TEXT(업무일지!$B843,"yyyy-mm-dd"),"(날짜없음)")&amp;"  "&amp;업무일지!$F843&amp;"  "&amp;업무일지!$H843)</f>
        <v/>
      </c>
      <c r="D875" s="122">
        <f>IF(NOT(COUNTBLANK(업무일지!$B843:$AH843)&lt;33),"",TRIM(IF(업무일지!$B843="","시작일 누락; ","")&amp;IF(업무일지!$C843="","종료일 누락; ","")&amp;IF(AND(업무일지!$B843&lt;&gt;"",업무일지!$C843&lt;&gt;"",업무일지!$C843&lt;업무일지!$B843),"종료일이 시작일보다 빠름; ","")&amp;IF(COUNTIF(코드설정!$H$5:$H$7,업무일지!$D843)=0,"직무구분 누락; ","")&amp;IF(업무일지!$E843="","세부유형 누락; ",IF(AND(업무일지!$D843&lt;&gt;"",COUNTIFS(코드설정!$A$5:$A$21,업무일지!$D843,코드설정!$B$5:$B$21,업무일지!$E843)=0),"세부유형이 직무구분과 불일치; ",""))&amp;IF(AND(업무일지!$F843&lt;&gt;"",COUNTIF(사건마스터!$A$5:$A$64,업무일지!$F843)=0),"미등록 사건번호; ","")&amp;IF(AND(업무일지!$F843="",업무일지!$H843=""),"사건번호·업무명 모두 없음; ","")&amp;IF(업무일지!$J843="","담당자 없음; ","")&amp;IF(COUNTIF(코드설정!$F$5:$F$7,업무일지!$AG843)=0,"진행상태 누락; ","")))</f>
        <v/>
      </c>
    </row>
    <row r="876">
      <c r="A876" s="26" t="inlineStr">
        <is>
          <t>업무일지</t>
        </is>
      </c>
      <c r="B876" s="66" t="n">
        <v>844</v>
      </c>
      <c r="C876" s="122">
        <f>IF($D876="","",IFERROR(TEXT(업무일지!$B844,"yyyy-mm-dd"),"(날짜없음)")&amp;"  "&amp;업무일지!$F844&amp;"  "&amp;업무일지!$H844)</f>
        <v/>
      </c>
      <c r="D876" s="122">
        <f>IF(NOT(COUNTBLANK(업무일지!$B844:$AH844)&lt;33),"",TRIM(IF(업무일지!$B844="","시작일 누락; ","")&amp;IF(업무일지!$C844="","종료일 누락; ","")&amp;IF(AND(업무일지!$B844&lt;&gt;"",업무일지!$C844&lt;&gt;"",업무일지!$C844&lt;업무일지!$B844),"종료일이 시작일보다 빠름; ","")&amp;IF(COUNTIF(코드설정!$H$5:$H$7,업무일지!$D844)=0,"직무구분 누락; ","")&amp;IF(업무일지!$E844="","세부유형 누락; ",IF(AND(업무일지!$D844&lt;&gt;"",COUNTIFS(코드설정!$A$5:$A$21,업무일지!$D844,코드설정!$B$5:$B$21,업무일지!$E844)=0),"세부유형이 직무구분과 불일치; ",""))&amp;IF(AND(업무일지!$F844&lt;&gt;"",COUNTIF(사건마스터!$A$5:$A$64,업무일지!$F844)=0),"미등록 사건번호; ","")&amp;IF(AND(업무일지!$F844="",업무일지!$H844=""),"사건번호·업무명 모두 없음; ","")&amp;IF(업무일지!$J844="","담당자 없음; ","")&amp;IF(COUNTIF(코드설정!$F$5:$F$7,업무일지!$AG844)=0,"진행상태 누락; ","")))</f>
        <v/>
      </c>
    </row>
    <row r="877">
      <c r="A877" s="26" t="inlineStr">
        <is>
          <t>업무일지</t>
        </is>
      </c>
      <c r="B877" s="66" t="n">
        <v>845</v>
      </c>
      <c r="C877" s="122">
        <f>IF($D877="","",IFERROR(TEXT(업무일지!$B845,"yyyy-mm-dd"),"(날짜없음)")&amp;"  "&amp;업무일지!$F845&amp;"  "&amp;업무일지!$H845)</f>
        <v/>
      </c>
      <c r="D877" s="122">
        <f>IF(NOT(COUNTBLANK(업무일지!$B845:$AH845)&lt;33),"",TRIM(IF(업무일지!$B845="","시작일 누락; ","")&amp;IF(업무일지!$C845="","종료일 누락; ","")&amp;IF(AND(업무일지!$B845&lt;&gt;"",업무일지!$C845&lt;&gt;"",업무일지!$C845&lt;업무일지!$B845),"종료일이 시작일보다 빠름; ","")&amp;IF(COUNTIF(코드설정!$H$5:$H$7,업무일지!$D845)=0,"직무구분 누락; ","")&amp;IF(업무일지!$E845="","세부유형 누락; ",IF(AND(업무일지!$D845&lt;&gt;"",COUNTIFS(코드설정!$A$5:$A$21,업무일지!$D845,코드설정!$B$5:$B$21,업무일지!$E845)=0),"세부유형이 직무구분과 불일치; ",""))&amp;IF(AND(업무일지!$F845&lt;&gt;"",COUNTIF(사건마스터!$A$5:$A$64,업무일지!$F845)=0),"미등록 사건번호; ","")&amp;IF(AND(업무일지!$F845="",업무일지!$H845=""),"사건번호·업무명 모두 없음; ","")&amp;IF(업무일지!$J845="","담당자 없음; ","")&amp;IF(COUNTIF(코드설정!$F$5:$F$7,업무일지!$AG845)=0,"진행상태 누락; ","")))</f>
        <v/>
      </c>
    </row>
    <row r="878">
      <c r="A878" s="26" t="inlineStr">
        <is>
          <t>업무일지</t>
        </is>
      </c>
      <c r="B878" s="66" t="n">
        <v>846</v>
      </c>
      <c r="C878" s="122">
        <f>IF($D878="","",IFERROR(TEXT(업무일지!$B846,"yyyy-mm-dd"),"(날짜없음)")&amp;"  "&amp;업무일지!$F846&amp;"  "&amp;업무일지!$H846)</f>
        <v/>
      </c>
      <c r="D878" s="122">
        <f>IF(NOT(COUNTBLANK(업무일지!$B846:$AH846)&lt;33),"",TRIM(IF(업무일지!$B846="","시작일 누락; ","")&amp;IF(업무일지!$C846="","종료일 누락; ","")&amp;IF(AND(업무일지!$B846&lt;&gt;"",업무일지!$C846&lt;&gt;"",업무일지!$C846&lt;업무일지!$B846),"종료일이 시작일보다 빠름; ","")&amp;IF(COUNTIF(코드설정!$H$5:$H$7,업무일지!$D846)=0,"직무구분 누락; ","")&amp;IF(업무일지!$E846="","세부유형 누락; ",IF(AND(업무일지!$D846&lt;&gt;"",COUNTIFS(코드설정!$A$5:$A$21,업무일지!$D846,코드설정!$B$5:$B$21,업무일지!$E846)=0),"세부유형이 직무구분과 불일치; ",""))&amp;IF(AND(업무일지!$F846&lt;&gt;"",COUNTIF(사건마스터!$A$5:$A$64,업무일지!$F846)=0),"미등록 사건번호; ","")&amp;IF(AND(업무일지!$F846="",업무일지!$H846=""),"사건번호·업무명 모두 없음; ","")&amp;IF(업무일지!$J846="","담당자 없음; ","")&amp;IF(COUNTIF(코드설정!$F$5:$F$7,업무일지!$AG846)=0,"진행상태 누락; ","")))</f>
        <v/>
      </c>
    </row>
    <row r="879">
      <c r="A879" s="26" t="inlineStr">
        <is>
          <t>업무일지</t>
        </is>
      </c>
      <c r="B879" s="66" t="n">
        <v>847</v>
      </c>
      <c r="C879" s="122">
        <f>IF($D879="","",IFERROR(TEXT(업무일지!$B847,"yyyy-mm-dd"),"(날짜없음)")&amp;"  "&amp;업무일지!$F847&amp;"  "&amp;업무일지!$H847)</f>
        <v/>
      </c>
      <c r="D879" s="122">
        <f>IF(NOT(COUNTBLANK(업무일지!$B847:$AH847)&lt;33),"",TRIM(IF(업무일지!$B847="","시작일 누락; ","")&amp;IF(업무일지!$C847="","종료일 누락; ","")&amp;IF(AND(업무일지!$B847&lt;&gt;"",업무일지!$C847&lt;&gt;"",업무일지!$C847&lt;업무일지!$B847),"종료일이 시작일보다 빠름; ","")&amp;IF(COUNTIF(코드설정!$H$5:$H$7,업무일지!$D847)=0,"직무구분 누락; ","")&amp;IF(업무일지!$E847="","세부유형 누락; ",IF(AND(업무일지!$D847&lt;&gt;"",COUNTIFS(코드설정!$A$5:$A$21,업무일지!$D847,코드설정!$B$5:$B$21,업무일지!$E847)=0),"세부유형이 직무구분과 불일치; ",""))&amp;IF(AND(업무일지!$F847&lt;&gt;"",COUNTIF(사건마스터!$A$5:$A$64,업무일지!$F847)=0),"미등록 사건번호; ","")&amp;IF(AND(업무일지!$F847="",업무일지!$H847=""),"사건번호·업무명 모두 없음; ","")&amp;IF(업무일지!$J847="","담당자 없음; ","")&amp;IF(COUNTIF(코드설정!$F$5:$F$7,업무일지!$AG847)=0,"진행상태 누락; ","")))</f>
        <v/>
      </c>
    </row>
    <row r="880">
      <c r="A880" s="26" t="inlineStr">
        <is>
          <t>업무일지</t>
        </is>
      </c>
      <c r="B880" s="66" t="n">
        <v>848</v>
      </c>
      <c r="C880" s="122">
        <f>IF($D880="","",IFERROR(TEXT(업무일지!$B848,"yyyy-mm-dd"),"(날짜없음)")&amp;"  "&amp;업무일지!$F848&amp;"  "&amp;업무일지!$H848)</f>
        <v/>
      </c>
      <c r="D880" s="122">
        <f>IF(NOT(COUNTBLANK(업무일지!$B848:$AH848)&lt;33),"",TRIM(IF(업무일지!$B848="","시작일 누락; ","")&amp;IF(업무일지!$C848="","종료일 누락; ","")&amp;IF(AND(업무일지!$B848&lt;&gt;"",업무일지!$C848&lt;&gt;"",업무일지!$C848&lt;업무일지!$B848),"종료일이 시작일보다 빠름; ","")&amp;IF(COUNTIF(코드설정!$H$5:$H$7,업무일지!$D848)=0,"직무구분 누락; ","")&amp;IF(업무일지!$E848="","세부유형 누락; ",IF(AND(업무일지!$D848&lt;&gt;"",COUNTIFS(코드설정!$A$5:$A$21,업무일지!$D848,코드설정!$B$5:$B$21,업무일지!$E848)=0),"세부유형이 직무구분과 불일치; ",""))&amp;IF(AND(업무일지!$F848&lt;&gt;"",COUNTIF(사건마스터!$A$5:$A$64,업무일지!$F848)=0),"미등록 사건번호; ","")&amp;IF(AND(업무일지!$F848="",업무일지!$H848=""),"사건번호·업무명 모두 없음; ","")&amp;IF(업무일지!$J848="","담당자 없음; ","")&amp;IF(COUNTIF(코드설정!$F$5:$F$7,업무일지!$AG848)=0,"진행상태 누락; ","")))</f>
        <v/>
      </c>
    </row>
    <row r="881">
      <c r="A881" s="26" t="inlineStr">
        <is>
          <t>업무일지</t>
        </is>
      </c>
      <c r="B881" s="66" t="n">
        <v>849</v>
      </c>
      <c r="C881" s="122">
        <f>IF($D881="","",IFERROR(TEXT(업무일지!$B849,"yyyy-mm-dd"),"(날짜없음)")&amp;"  "&amp;업무일지!$F849&amp;"  "&amp;업무일지!$H849)</f>
        <v/>
      </c>
      <c r="D881" s="122">
        <f>IF(NOT(COUNTBLANK(업무일지!$B849:$AH849)&lt;33),"",TRIM(IF(업무일지!$B849="","시작일 누락; ","")&amp;IF(업무일지!$C849="","종료일 누락; ","")&amp;IF(AND(업무일지!$B849&lt;&gt;"",업무일지!$C849&lt;&gt;"",업무일지!$C849&lt;업무일지!$B849),"종료일이 시작일보다 빠름; ","")&amp;IF(COUNTIF(코드설정!$H$5:$H$7,업무일지!$D849)=0,"직무구분 누락; ","")&amp;IF(업무일지!$E849="","세부유형 누락; ",IF(AND(업무일지!$D849&lt;&gt;"",COUNTIFS(코드설정!$A$5:$A$21,업무일지!$D849,코드설정!$B$5:$B$21,업무일지!$E849)=0),"세부유형이 직무구분과 불일치; ",""))&amp;IF(AND(업무일지!$F849&lt;&gt;"",COUNTIF(사건마스터!$A$5:$A$64,업무일지!$F849)=0),"미등록 사건번호; ","")&amp;IF(AND(업무일지!$F849="",업무일지!$H849=""),"사건번호·업무명 모두 없음; ","")&amp;IF(업무일지!$J849="","담당자 없음; ","")&amp;IF(COUNTIF(코드설정!$F$5:$F$7,업무일지!$AG849)=0,"진행상태 누락; ","")))</f>
        <v/>
      </c>
    </row>
    <row r="882">
      <c r="A882" s="26" t="inlineStr">
        <is>
          <t>업무일지</t>
        </is>
      </c>
      <c r="B882" s="66" t="n">
        <v>850</v>
      </c>
      <c r="C882" s="122">
        <f>IF($D882="","",IFERROR(TEXT(업무일지!$B850,"yyyy-mm-dd"),"(날짜없음)")&amp;"  "&amp;업무일지!$F850&amp;"  "&amp;업무일지!$H850)</f>
        <v/>
      </c>
      <c r="D882" s="122">
        <f>IF(NOT(COUNTBLANK(업무일지!$B850:$AH850)&lt;33),"",TRIM(IF(업무일지!$B850="","시작일 누락; ","")&amp;IF(업무일지!$C850="","종료일 누락; ","")&amp;IF(AND(업무일지!$B850&lt;&gt;"",업무일지!$C850&lt;&gt;"",업무일지!$C850&lt;업무일지!$B850),"종료일이 시작일보다 빠름; ","")&amp;IF(COUNTIF(코드설정!$H$5:$H$7,업무일지!$D850)=0,"직무구분 누락; ","")&amp;IF(업무일지!$E850="","세부유형 누락; ",IF(AND(업무일지!$D850&lt;&gt;"",COUNTIFS(코드설정!$A$5:$A$21,업무일지!$D850,코드설정!$B$5:$B$21,업무일지!$E850)=0),"세부유형이 직무구분과 불일치; ",""))&amp;IF(AND(업무일지!$F850&lt;&gt;"",COUNTIF(사건마스터!$A$5:$A$64,업무일지!$F850)=0),"미등록 사건번호; ","")&amp;IF(AND(업무일지!$F850="",업무일지!$H850=""),"사건번호·업무명 모두 없음; ","")&amp;IF(업무일지!$J850="","담당자 없음; ","")&amp;IF(COUNTIF(코드설정!$F$5:$F$7,업무일지!$AG850)=0,"진행상태 누락; ","")))</f>
        <v/>
      </c>
    </row>
    <row r="883">
      <c r="A883" s="26" t="inlineStr">
        <is>
          <t>업무일지</t>
        </is>
      </c>
      <c r="B883" s="66" t="n">
        <v>851</v>
      </c>
      <c r="C883" s="122">
        <f>IF($D883="","",IFERROR(TEXT(업무일지!$B851,"yyyy-mm-dd"),"(날짜없음)")&amp;"  "&amp;업무일지!$F851&amp;"  "&amp;업무일지!$H851)</f>
        <v/>
      </c>
      <c r="D883" s="122">
        <f>IF(NOT(COUNTBLANK(업무일지!$B851:$AH851)&lt;33),"",TRIM(IF(업무일지!$B851="","시작일 누락; ","")&amp;IF(업무일지!$C851="","종료일 누락; ","")&amp;IF(AND(업무일지!$B851&lt;&gt;"",업무일지!$C851&lt;&gt;"",업무일지!$C851&lt;업무일지!$B851),"종료일이 시작일보다 빠름; ","")&amp;IF(COUNTIF(코드설정!$H$5:$H$7,업무일지!$D851)=0,"직무구분 누락; ","")&amp;IF(업무일지!$E851="","세부유형 누락; ",IF(AND(업무일지!$D851&lt;&gt;"",COUNTIFS(코드설정!$A$5:$A$21,업무일지!$D851,코드설정!$B$5:$B$21,업무일지!$E851)=0),"세부유형이 직무구분과 불일치; ",""))&amp;IF(AND(업무일지!$F851&lt;&gt;"",COUNTIF(사건마스터!$A$5:$A$64,업무일지!$F851)=0),"미등록 사건번호; ","")&amp;IF(AND(업무일지!$F851="",업무일지!$H851=""),"사건번호·업무명 모두 없음; ","")&amp;IF(업무일지!$J851="","담당자 없음; ","")&amp;IF(COUNTIF(코드설정!$F$5:$F$7,업무일지!$AG851)=0,"진행상태 누락; ","")))</f>
        <v/>
      </c>
    </row>
    <row r="884">
      <c r="A884" s="26" t="inlineStr">
        <is>
          <t>업무일지</t>
        </is>
      </c>
      <c r="B884" s="66" t="n">
        <v>852</v>
      </c>
      <c r="C884" s="122">
        <f>IF($D884="","",IFERROR(TEXT(업무일지!$B852,"yyyy-mm-dd"),"(날짜없음)")&amp;"  "&amp;업무일지!$F852&amp;"  "&amp;업무일지!$H852)</f>
        <v/>
      </c>
      <c r="D884" s="122">
        <f>IF(NOT(COUNTBLANK(업무일지!$B852:$AH852)&lt;33),"",TRIM(IF(업무일지!$B852="","시작일 누락; ","")&amp;IF(업무일지!$C852="","종료일 누락; ","")&amp;IF(AND(업무일지!$B852&lt;&gt;"",업무일지!$C852&lt;&gt;"",업무일지!$C852&lt;업무일지!$B852),"종료일이 시작일보다 빠름; ","")&amp;IF(COUNTIF(코드설정!$H$5:$H$7,업무일지!$D852)=0,"직무구분 누락; ","")&amp;IF(업무일지!$E852="","세부유형 누락; ",IF(AND(업무일지!$D852&lt;&gt;"",COUNTIFS(코드설정!$A$5:$A$21,업무일지!$D852,코드설정!$B$5:$B$21,업무일지!$E852)=0),"세부유형이 직무구분과 불일치; ",""))&amp;IF(AND(업무일지!$F852&lt;&gt;"",COUNTIF(사건마스터!$A$5:$A$64,업무일지!$F852)=0),"미등록 사건번호; ","")&amp;IF(AND(업무일지!$F852="",업무일지!$H852=""),"사건번호·업무명 모두 없음; ","")&amp;IF(업무일지!$J852="","담당자 없음; ","")&amp;IF(COUNTIF(코드설정!$F$5:$F$7,업무일지!$AG852)=0,"진행상태 누락; ","")))</f>
        <v/>
      </c>
    </row>
    <row r="885">
      <c r="A885" s="26" t="inlineStr">
        <is>
          <t>업무일지</t>
        </is>
      </c>
      <c r="B885" s="66" t="n">
        <v>853</v>
      </c>
      <c r="C885" s="122">
        <f>IF($D885="","",IFERROR(TEXT(업무일지!$B853,"yyyy-mm-dd"),"(날짜없음)")&amp;"  "&amp;업무일지!$F853&amp;"  "&amp;업무일지!$H853)</f>
        <v/>
      </c>
      <c r="D885" s="122">
        <f>IF(NOT(COUNTBLANK(업무일지!$B853:$AH853)&lt;33),"",TRIM(IF(업무일지!$B853="","시작일 누락; ","")&amp;IF(업무일지!$C853="","종료일 누락; ","")&amp;IF(AND(업무일지!$B853&lt;&gt;"",업무일지!$C853&lt;&gt;"",업무일지!$C853&lt;업무일지!$B853),"종료일이 시작일보다 빠름; ","")&amp;IF(COUNTIF(코드설정!$H$5:$H$7,업무일지!$D853)=0,"직무구분 누락; ","")&amp;IF(업무일지!$E853="","세부유형 누락; ",IF(AND(업무일지!$D853&lt;&gt;"",COUNTIFS(코드설정!$A$5:$A$21,업무일지!$D853,코드설정!$B$5:$B$21,업무일지!$E853)=0),"세부유형이 직무구분과 불일치; ",""))&amp;IF(AND(업무일지!$F853&lt;&gt;"",COUNTIF(사건마스터!$A$5:$A$64,업무일지!$F853)=0),"미등록 사건번호; ","")&amp;IF(AND(업무일지!$F853="",업무일지!$H853=""),"사건번호·업무명 모두 없음; ","")&amp;IF(업무일지!$J853="","담당자 없음; ","")&amp;IF(COUNTIF(코드설정!$F$5:$F$7,업무일지!$AG853)=0,"진행상태 누락; ","")))</f>
        <v/>
      </c>
    </row>
    <row r="886">
      <c r="A886" s="26" t="inlineStr">
        <is>
          <t>업무일지</t>
        </is>
      </c>
      <c r="B886" s="66" t="n">
        <v>854</v>
      </c>
      <c r="C886" s="122">
        <f>IF($D886="","",IFERROR(TEXT(업무일지!$B854,"yyyy-mm-dd"),"(날짜없음)")&amp;"  "&amp;업무일지!$F854&amp;"  "&amp;업무일지!$H854)</f>
        <v/>
      </c>
      <c r="D886" s="122">
        <f>IF(NOT(COUNTBLANK(업무일지!$B854:$AH854)&lt;33),"",TRIM(IF(업무일지!$B854="","시작일 누락; ","")&amp;IF(업무일지!$C854="","종료일 누락; ","")&amp;IF(AND(업무일지!$B854&lt;&gt;"",업무일지!$C854&lt;&gt;"",업무일지!$C854&lt;업무일지!$B854),"종료일이 시작일보다 빠름; ","")&amp;IF(COUNTIF(코드설정!$H$5:$H$7,업무일지!$D854)=0,"직무구분 누락; ","")&amp;IF(업무일지!$E854="","세부유형 누락; ",IF(AND(업무일지!$D854&lt;&gt;"",COUNTIFS(코드설정!$A$5:$A$21,업무일지!$D854,코드설정!$B$5:$B$21,업무일지!$E854)=0),"세부유형이 직무구분과 불일치; ",""))&amp;IF(AND(업무일지!$F854&lt;&gt;"",COUNTIF(사건마스터!$A$5:$A$64,업무일지!$F854)=0),"미등록 사건번호; ","")&amp;IF(AND(업무일지!$F854="",업무일지!$H854=""),"사건번호·업무명 모두 없음; ","")&amp;IF(업무일지!$J854="","담당자 없음; ","")&amp;IF(COUNTIF(코드설정!$F$5:$F$7,업무일지!$AG854)=0,"진행상태 누락; ","")))</f>
        <v/>
      </c>
    </row>
    <row r="887">
      <c r="A887" s="26" t="inlineStr">
        <is>
          <t>업무일지</t>
        </is>
      </c>
      <c r="B887" s="66" t="n">
        <v>855</v>
      </c>
      <c r="C887" s="122">
        <f>IF($D887="","",IFERROR(TEXT(업무일지!$B855,"yyyy-mm-dd"),"(날짜없음)")&amp;"  "&amp;업무일지!$F855&amp;"  "&amp;업무일지!$H855)</f>
        <v/>
      </c>
      <c r="D887" s="122">
        <f>IF(NOT(COUNTBLANK(업무일지!$B855:$AH855)&lt;33),"",TRIM(IF(업무일지!$B855="","시작일 누락; ","")&amp;IF(업무일지!$C855="","종료일 누락; ","")&amp;IF(AND(업무일지!$B855&lt;&gt;"",업무일지!$C855&lt;&gt;"",업무일지!$C855&lt;업무일지!$B855),"종료일이 시작일보다 빠름; ","")&amp;IF(COUNTIF(코드설정!$H$5:$H$7,업무일지!$D855)=0,"직무구분 누락; ","")&amp;IF(업무일지!$E855="","세부유형 누락; ",IF(AND(업무일지!$D855&lt;&gt;"",COUNTIFS(코드설정!$A$5:$A$21,업무일지!$D855,코드설정!$B$5:$B$21,업무일지!$E855)=0),"세부유형이 직무구분과 불일치; ",""))&amp;IF(AND(업무일지!$F855&lt;&gt;"",COUNTIF(사건마스터!$A$5:$A$64,업무일지!$F855)=0),"미등록 사건번호; ","")&amp;IF(AND(업무일지!$F855="",업무일지!$H855=""),"사건번호·업무명 모두 없음; ","")&amp;IF(업무일지!$J855="","담당자 없음; ","")&amp;IF(COUNTIF(코드설정!$F$5:$F$7,업무일지!$AG855)=0,"진행상태 누락; ","")))</f>
        <v/>
      </c>
    </row>
    <row r="888">
      <c r="A888" s="26" t="inlineStr">
        <is>
          <t>업무일지</t>
        </is>
      </c>
      <c r="B888" s="66" t="n">
        <v>856</v>
      </c>
      <c r="C888" s="122">
        <f>IF($D888="","",IFERROR(TEXT(업무일지!$B856,"yyyy-mm-dd"),"(날짜없음)")&amp;"  "&amp;업무일지!$F856&amp;"  "&amp;업무일지!$H856)</f>
        <v/>
      </c>
      <c r="D888" s="122">
        <f>IF(NOT(COUNTBLANK(업무일지!$B856:$AH856)&lt;33),"",TRIM(IF(업무일지!$B856="","시작일 누락; ","")&amp;IF(업무일지!$C856="","종료일 누락; ","")&amp;IF(AND(업무일지!$B856&lt;&gt;"",업무일지!$C856&lt;&gt;"",업무일지!$C856&lt;업무일지!$B856),"종료일이 시작일보다 빠름; ","")&amp;IF(COUNTIF(코드설정!$H$5:$H$7,업무일지!$D856)=0,"직무구분 누락; ","")&amp;IF(업무일지!$E856="","세부유형 누락; ",IF(AND(업무일지!$D856&lt;&gt;"",COUNTIFS(코드설정!$A$5:$A$21,업무일지!$D856,코드설정!$B$5:$B$21,업무일지!$E856)=0),"세부유형이 직무구분과 불일치; ",""))&amp;IF(AND(업무일지!$F856&lt;&gt;"",COUNTIF(사건마스터!$A$5:$A$64,업무일지!$F856)=0),"미등록 사건번호; ","")&amp;IF(AND(업무일지!$F856="",업무일지!$H856=""),"사건번호·업무명 모두 없음; ","")&amp;IF(업무일지!$J856="","담당자 없음; ","")&amp;IF(COUNTIF(코드설정!$F$5:$F$7,업무일지!$AG856)=0,"진행상태 누락; ","")))</f>
        <v/>
      </c>
    </row>
    <row r="889">
      <c r="A889" s="26" t="inlineStr">
        <is>
          <t>업무일지</t>
        </is>
      </c>
      <c r="B889" s="66" t="n">
        <v>857</v>
      </c>
      <c r="C889" s="122">
        <f>IF($D889="","",IFERROR(TEXT(업무일지!$B857,"yyyy-mm-dd"),"(날짜없음)")&amp;"  "&amp;업무일지!$F857&amp;"  "&amp;업무일지!$H857)</f>
        <v/>
      </c>
      <c r="D889" s="122">
        <f>IF(NOT(COUNTBLANK(업무일지!$B857:$AH857)&lt;33),"",TRIM(IF(업무일지!$B857="","시작일 누락; ","")&amp;IF(업무일지!$C857="","종료일 누락; ","")&amp;IF(AND(업무일지!$B857&lt;&gt;"",업무일지!$C857&lt;&gt;"",업무일지!$C857&lt;업무일지!$B857),"종료일이 시작일보다 빠름; ","")&amp;IF(COUNTIF(코드설정!$H$5:$H$7,업무일지!$D857)=0,"직무구분 누락; ","")&amp;IF(업무일지!$E857="","세부유형 누락; ",IF(AND(업무일지!$D857&lt;&gt;"",COUNTIFS(코드설정!$A$5:$A$21,업무일지!$D857,코드설정!$B$5:$B$21,업무일지!$E857)=0),"세부유형이 직무구분과 불일치; ",""))&amp;IF(AND(업무일지!$F857&lt;&gt;"",COUNTIF(사건마스터!$A$5:$A$64,업무일지!$F857)=0),"미등록 사건번호; ","")&amp;IF(AND(업무일지!$F857="",업무일지!$H857=""),"사건번호·업무명 모두 없음; ","")&amp;IF(업무일지!$J857="","담당자 없음; ","")&amp;IF(COUNTIF(코드설정!$F$5:$F$7,업무일지!$AG857)=0,"진행상태 누락; ","")))</f>
        <v/>
      </c>
    </row>
    <row r="890">
      <c r="A890" s="26" t="inlineStr">
        <is>
          <t>업무일지</t>
        </is>
      </c>
      <c r="B890" s="66" t="n">
        <v>858</v>
      </c>
      <c r="C890" s="122">
        <f>IF($D890="","",IFERROR(TEXT(업무일지!$B858,"yyyy-mm-dd"),"(날짜없음)")&amp;"  "&amp;업무일지!$F858&amp;"  "&amp;업무일지!$H858)</f>
        <v/>
      </c>
      <c r="D890" s="122">
        <f>IF(NOT(COUNTBLANK(업무일지!$B858:$AH858)&lt;33),"",TRIM(IF(업무일지!$B858="","시작일 누락; ","")&amp;IF(업무일지!$C858="","종료일 누락; ","")&amp;IF(AND(업무일지!$B858&lt;&gt;"",업무일지!$C858&lt;&gt;"",업무일지!$C858&lt;업무일지!$B858),"종료일이 시작일보다 빠름; ","")&amp;IF(COUNTIF(코드설정!$H$5:$H$7,업무일지!$D858)=0,"직무구분 누락; ","")&amp;IF(업무일지!$E858="","세부유형 누락; ",IF(AND(업무일지!$D858&lt;&gt;"",COUNTIFS(코드설정!$A$5:$A$21,업무일지!$D858,코드설정!$B$5:$B$21,업무일지!$E858)=0),"세부유형이 직무구분과 불일치; ",""))&amp;IF(AND(업무일지!$F858&lt;&gt;"",COUNTIF(사건마스터!$A$5:$A$64,업무일지!$F858)=0),"미등록 사건번호; ","")&amp;IF(AND(업무일지!$F858="",업무일지!$H858=""),"사건번호·업무명 모두 없음; ","")&amp;IF(업무일지!$J858="","담당자 없음; ","")&amp;IF(COUNTIF(코드설정!$F$5:$F$7,업무일지!$AG858)=0,"진행상태 누락; ","")))</f>
        <v/>
      </c>
    </row>
    <row r="891">
      <c r="A891" s="26" t="inlineStr">
        <is>
          <t>업무일지</t>
        </is>
      </c>
      <c r="B891" s="66" t="n">
        <v>859</v>
      </c>
      <c r="C891" s="122">
        <f>IF($D891="","",IFERROR(TEXT(업무일지!$B859,"yyyy-mm-dd"),"(날짜없음)")&amp;"  "&amp;업무일지!$F859&amp;"  "&amp;업무일지!$H859)</f>
        <v/>
      </c>
      <c r="D891" s="122">
        <f>IF(NOT(COUNTBLANK(업무일지!$B859:$AH859)&lt;33),"",TRIM(IF(업무일지!$B859="","시작일 누락; ","")&amp;IF(업무일지!$C859="","종료일 누락; ","")&amp;IF(AND(업무일지!$B859&lt;&gt;"",업무일지!$C859&lt;&gt;"",업무일지!$C859&lt;업무일지!$B859),"종료일이 시작일보다 빠름; ","")&amp;IF(COUNTIF(코드설정!$H$5:$H$7,업무일지!$D859)=0,"직무구분 누락; ","")&amp;IF(업무일지!$E859="","세부유형 누락; ",IF(AND(업무일지!$D859&lt;&gt;"",COUNTIFS(코드설정!$A$5:$A$21,업무일지!$D859,코드설정!$B$5:$B$21,업무일지!$E859)=0),"세부유형이 직무구분과 불일치; ",""))&amp;IF(AND(업무일지!$F859&lt;&gt;"",COUNTIF(사건마스터!$A$5:$A$64,업무일지!$F859)=0),"미등록 사건번호; ","")&amp;IF(AND(업무일지!$F859="",업무일지!$H859=""),"사건번호·업무명 모두 없음; ","")&amp;IF(업무일지!$J859="","담당자 없음; ","")&amp;IF(COUNTIF(코드설정!$F$5:$F$7,업무일지!$AG859)=0,"진행상태 누락; ","")))</f>
        <v/>
      </c>
    </row>
    <row r="892">
      <c r="A892" s="26" t="inlineStr">
        <is>
          <t>업무일지</t>
        </is>
      </c>
      <c r="B892" s="66" t="n">
        <v>860</v>
      </c>
      <c r="C892" s="122">
        <f>IF($D892="","",IFERROR(TEXT(업무일지!$B860,"yyyy-mm-dd"),"(날짜없음)")&amp;"  "&amp;업무일지!$F860&amp;"  "&amp;업무일지!$H860)</f>
        <v/>
      </c>
      <c r="D892" s="122">
        <f>IF(NOT(COUNTBLANK(업무일지!$B860:$AH860)&lt;33),"",TRIM(IF(업무일지!$B860="","시작일 누락; ","")&amp;IF(업무일지!$C860="","종료일 누락; ","")&amp;IF(AND(업무일지!$B860&lt;&gt;"",업무일지!$C860&lt;&gt;"",업무일지!$C860&lt;업무일지!$B860),"종료일이 시작일보다 빠름; ","")&amp;IF(COUNTIF(코드설정!$H$5:$H$7,업무일지!$D860)=0,"직무구분 누락; ","")&amp;IF(업무일지!$E860="","세부유형 누락; ",IF(AND(업무일지!$D860&lt;&gt;"",COUNTIFS(코드설정!$A$5:$A$21,업무일지!$D860,코드설정!$B$5:$B$21,업무일지!$E860)=0),"세부유형이 직무구분과 불일치; ",""))&amp;IF(AND(업무일지!$F860&lt;&gt;"",COUNTIF(사건마스터!$A$5:$A$64,업무일지!$F860)=0),"미등록 사건번호; ","")&amp;IF(AND(업무일지!$F860="",업무일지!$H860=""),"사건번호·업무명 모두 없음; ","")&amp;IF(업무일지!$J860="","담당자 없음; ","")&amp;IF(COUNTIF(코드설정!$F$5:$F$7,업무일지!$AG860)=0,"진행상태 누락; ","")))</f>
        <v/>
      </c>
    </row>
    <row r="893">
      <c r="A893" s="26" t="inlineStr">
        <is>
          <t>업무일지</t>
        </is>
      </c>
      <c r="B893" s="66" t="n">
        <v>861</v>
      </c>
      <c r="C893" s="122">
        <f>IF($D893="","",IFERROR(TEXT(업무일지!$B861,"yyyy-mm-dd"),"(날짜없음)")&amp;"  "&amp;업무일지!$F861&amp;"  "&amp;업무일지!$H861)</f>
        <v/>
      </c>
      <c r="D893" s="122">
        <f>IF(NOT(COUNTBLANK(업무일지!$B861:$AH861)&lt;33),"",TRIM(IF(업무일지!$B861="","시작일 누락; ","")&amp;IF(업무일지!$C861="","종료일 누락; ","")&amp;IF(AND(업무일지!$B861&lt;&gt;"",업무일지!$C861&lt;&gt;"",업무일지!$C861&lt;업무일지!$B861),"종료일이 시작일보다 빠름; ","")&amp;IF(COUNTIF(코드설정!$H$5:$H$7,업무일지!$D861)=0,"직무구분 누락; ","")&amp;IF(업무일지!$E861="","세부유형 누락; ",IF(AND(업무일지!$D861&lt;&gt;"",COUNTIFS(코드설정!$A$5:$A$21,업무일지!$D861,코드설정!$B$5:$B$21,업무일지!$E861)=0),"세부유형이 직무구분과 불일치; ",""))&amp;IF(AND(업무일지!$F861&lt;&gt;"",COUNTIF(사건마스터!$A$5:$A$64,업무일지!$F861)=0),"미등록 사건번호; ","")&amp;IF(AND(업무일지!$F861="",업무일지!$H861=""),"사건번호·업무명 모두 없음; ","")&amp;IF(업무일지!$J861="","담당자 없음; ","")&amp;IF(COUNTIF(코드설정!$F$5:$F$7,업무일지!$AG861)=0,"진행상태 누락; ","")))</f>
        <v/>
      </c>
    </row>
    <row r="894">
      <c r="A894" s="26" t="inlineStr">
        <is>
          <t>업무일지</t>
        </is>
      </c>
      <c r="B894" s="66" t="n">
        <v>862</v>
      </c>
      <c r="C894" s="122">
        <f>IF($D894="","",IFERROR(TEXT(업무일지!$B862,"yyyy-mm-dd"),"(날짜없음)")&amp;"  "&amp;업무일지!$F862&amp;"  "&amp;업무일지!$H862)</f>
        <v/>
      </c>
      <c r="D894" s="122">
        <f>IF(NOT(COUNTBLANK(업무일지!$B862:$AH862)&lt;33),"",TRIM(IF(업무일지!$B862="","시작일 누락; ","")&amp;IF(업무일지!$C862="","종료일 누락; ","")&amp;IF(AND(업무일지!$B862&lt;&gt;"",업무일지!$C862&lt;&gt;"",업무일지!$C862&lt;업무일지!$B862),"종료일이 시작일보다 빠름; ","")&amp;IF(COUNTIF(코드설정!$H$5:$H$7,업무일지!$D862)=0,"직무구분 누락; ","")&amp;IF(업무일지!$E862="","세부유형 누락; ",IF(AND(업무일지!$D862&lt;&gt;"",COUNTIFS(코드설정!$A$5:$A$21,업무일지!$D862,코드설정!$B$5:$B$21,업무일지!$E862)=0),"세부유형이 직무구분과 불일치; ",""))&amp;IF(AND(업무일지!$F862&lt;&gt;"",COUNTIF(사건마스터!$A$5:$A$64,업무일지!$F862)=0),"미등록 사건번호; ","")&amp;IF(AND(업무일지!$F862="",업무일지!$H862=""),"사건번호·업무명 모두 없음; ","")&amp;IF(업무일지!$J862="","담당자 없음; ","")&amp;IF(COUNTIF(코드설정!$F$5:$F$7,업무일지!$AG862)=0,"진행상태 누락; ","")))</f>
        <v/>
      </c>
    </row>
    <row r="895">
      <c r="A895" s="26" t="inlineStr">
        <is>
          <t>업무일지</t>
        </is>
      </c>
      <c r="B895" s="66" t="n">
        <v>863</v>
      </c>
      <c r="C895" s="122">
        <f>IF($D895="","",IFERROR(TEXT(업무일지!$B863,"yyyy-mm-dd"),"(날짜없음)")&amp;"  "&amp;업무일지!$F863&amp;"  "&amp;업무일지!$H863)</f>
        <v/>
      </c>
      <c r="D895" s="122">
        <f>IF(NOT(COUNTBLANK(업무일지!$B863:$AH863)&lt;33),"",TRIM(IF(업무일지!$B863="","시작일 누락; ","")&amp;IF(업무일지!$C863="","종료일 누락; ","")&amp;IF(AND(업무일지!$B863&lt;&gt;"",업무일지!$C863&lt;&gt;"",업무일지!$C863&lt;업무일지!$B863),"종료일이 시작일보다 빠름; ","")&amp;IF(COUNTIF(코드설정!$H$5:$H$7,업무일지!$D863)=0,"직무구분 누락; ","")&amp;IF(업무일지!$E863="","세부유형 누락; ",IF(AND(업무일지!$D863&lt;&gt;"",COUNTIFS(코드설정!$A$5:$A$21,업무일지!$D863,코드설정!$B$5:$B$21,업무일지!$E863)=0),"세부유형이 직무구분과 불일치; ",""))&amp;IF(AND(업무일지!$F863&lt;&gt;"",COUNTIF(사건마스터!$A$5:$A$64,업무일지!$F863)=0),"미등록 사건번호; ","")&amp;IF(AND(업무일지!$F863="",업무일지!$H863=""),"사건번호·업무명 모두 없음; ","")&amp;IF(업무일지!$J863="","담당자 없음; ","")&amp;IF(COUNTIF(코드설정!$F$5:$F$7,업무일지!$AG863)=0,"진행상태 누락; ","")))</f>
        <v/>
      </c>
    </row>
    <row r="896">
      <c r="A896" s="26" t="inlineStr">
        <is>
          <t>업무일지</t>
        </is>
      </c>
      <c r="B896" s="66" t="n">
        <v>864</v>
      </c>
      <c r="C896" s="122">
        <f>IF($D896="","",IFERROR(TEXT(업무일지!$B864,"yyyy-mm-dd"),"(날짜없음)")&amp;"  "&amp;업무일지!$F864&amp;"  "&amp;업무일지!$H864)</f>
        <v/>
      </c>
      <c r="D896" s="122">
        <f>IF(NOT(COUNTBLANK(업무일지!$B864:$AH864)&lt;33),"",TRIM(IF(업무일지!$B864="","시작일 누락; ","")&amp;IF(업무일지!$C864="","종료일 누락; ","")&amp;IF(AND(업무일지!$B864&lt;&gt;"",업무일지!$C864&lt;&gt;"",업무일지!$C864&lt;업무일지!$B864),"종료일이 시작일보다 빠름; ","")&amp;IF(COUNTIF(코드설정!$H$5:$H$7,업무일지!$D864)=0,"직무구분 누락; ","")&amp;IF(업무일지!$E864="","세부유형 누락; ",IF(AND(업무일지!$D864&lt;&gt;"",COUNTIFS(코드설정!$A$5:$A$21,업무일지!$D864,코드설정!$B$5:$B$21,업무일지!$E864)=0),"세부유형이 직무구분과 불일치; ",""))&amp;IF(AND(업무일지!$F864&lt;&gt;"",COUNTIF(사건마스터!$A$5:$A$64,업무일지!$F864)=0),"미등록 사건번호; ","")&amp;IF(AND(업무일지!$F864="",업무일지!$H864=""),"사건번호·업무명 모두 없음; ","")&amp;IF(업무일지!$J864="","담당자 없음; ","")&amp;IF(COUNTIF(코드설정!$F$5:$F$7,업무일지!$AG864)=0,"진행상태 누락; ","")))</f>
        <v/>
      </c>
    </row>
    <row r="897">
      <c r="A897" s="26" t="inlineStr">
        <is>
          <t>업무일지</t>
        </is>
      </c>
      <c r="B897" s="66" t="n">
        <v>865</v>
      </c>
      <c r="C897" s="122">
        <f>IF($D897="","",IFERROR(TEXT(업무일지!$B865,"yyyy-mm-dd"),"(날짜없음)")&amp;"  "&amp;업무일지!$F865&amp;"  "&amp;업무일지!$H865)</f>
        <v/>
      </c>
      <c r="D897" s="122">
        <f>IF(NOT(COUNTBLANK(업무일지!$B865:$AH865)&lt;33),"",TRIM(IF(업무일지!$B865="","시작일 누락; ","")&amp;IF(업무일지!$C865="","종료일 누락; ","")&amp;IF(AND(업무일지!$B865&lt;&gt;"",업무일지!$C865&lt;&gt;"",업무일지!$C865&lt;업무일지!$B865),"종료일이 시작일보다 빠름; ","")&amp;IF(COUNTIF(코드설정!$H$5:$H$7,업무일지!$D865)=0,"직무구분 누락; ","")&amp;IF(업무일지!$E865="","세부유형 누락; ",IF(AND(업무일지!$D865&lt;&gt;"",COUNTIFS(코드설정!$A$5:$A$21,업무일지!$D865,코드설정!$B$5:$B$21,업무일지!$E865)=0),"세부유형이 직무구분과 불일치; ",""))&amp;IF(AND(업무일지!$F865&lt;&gt;"",COUNTIF(사건마스터!$A$5:$A$64,업무일지!$F865)=0),"미등록 사건번호; ","")&amp;IF(AND(업무일지!$F865="",업무일지!$H865=""),"사건번호·업무명 모두 없음; ","")&amp;IF(업무일지!$J865="","담당자 없음; ","")&amp;IF(COUNTIF(코드설정!$F$5:$F$7,업무일지!$AG865)=0,"진행상태 누락; ","")))</f>
        <v/>
      </c>
    </row>
    <row r="898">
      <c r="A898" s="26" t="inlineStr">
        <is>
          <t>업무일지</t>
        </is>
      </c>
      <c r="B898" s="66" t="n">
        <v>866</v>
      </c>
      <c r="C898" s="122">
        <f>IF($D898="","",IFERROR(TEXT(업무일지!$B866,"yyyy-mm-dd"),"(날짜없음)")&amp;"  "&amp;업무일지!$F866&amp;"  "&amp;업무일지!$H866)</f>
        <v/>
      </c>
      <c r="D898" s="122">
        <f>IF(NOT(COUNTBLANK(업무일지!$B866:$AH866)&lt;33),"",TRIM(IF(업무일지!$B866="","시작일 누락; ","")&amp;IF(업무일지!$C866="","종료일 누락; ","")&amp;IF(AND(업무일지!$B866&lt;&gt;"",업무일지!$C866&lt;&gt;"",업무일지!$C866&lt;업무일지!$B866),"종료일이 시작일보다 빠름; ","")&amp;IF(COUNTIF(코드설정!$H$5:$H$7,업무일지!$D866)=0,"직무구분 누락; ","")&amp;IF(업무일지!$E866="","세부유형 누락; ",IF(AND(업무일지!$D866&lt;&gt;"",COUNTIFS(코드설정!$A$5:$A$21,업무일지!$D866,코드설정!$B$5:$B$21,업무일지!$E866)=0),"세부유형이 직무구분과 불일치; ",""))&amp;IF(AND(업무일지!$F866&lt;&gt;"",COUNTIF(사건마스터!$A$5:$A$64,업무일지!$F866)=0),"미등록 사건번호; ","")&amp;IF(AND(업무일지!$F866="",업무일지!$H866=""),"사건번호·업무명 모두 없음; ","")&amp;IF(업무일지!$J866="","담당자 없음; ","")&amp;IF(COUNTIF(코드설정!$F$5:$F$7,업무일지!$AG866)=0,"진행상태 누락; ","")))</f>
        <v/>
      </c>
    </row>
    <row r="899">
      <c r="A899" s="26" t="inlineStr">
        <is>
          <t>업무일지</t>
        </is>
      </c>
      <c r="B899" s="66" t="n">
        <v>867</v>
      </c>
      <c r="C899" s="122">
        <f>IF($D899="","",IFERROR(TEXT(업무일지!$B867,"yyyy-mm-dd"),"(날짜없음)")&amp;"  "&amp;업무일지!$F867&amp;"  "&amp;업무일지!$H867)</f>
        <v/>
      </c>
      <c r="D899" s="122">
        <f>IF(NOT(COUNTBLANK(업무일지!$B867:$AH867)&lt;33),"",TRIM(IF(업무일지!$B867="","시작일 누락; ","")&amp;IF(업무일지!$C867="","종료일 누락; ","")&amp;IF(AND(업무일지!$B867&lt;&gt;"",업무일지!$C867&lt;&gt;"",업무일지!$C867&lt;업무일지!$B867),"종료일이 시작일보다 빠름; ","")&amp;IF(COUNTIF(코드설정!$H$5:$H$7,업무일지!$D867)=0,"직무구분 누락; ","")&amp;IF(업무일지!$E867="","세부유형 누락; ",IF(AND(업무일지!$D867&lt;&gt;"",COUNTIFS(코드설정!$A$5:$A$21,업무일지!$D867,코드설정!$B$5:$B$21,업무일지!$E867)=0),"세부유형이 직무구분과 불일치; ",""))&amp;IF(AND(업무일지!$F867&lt;&gt;"",COUNTIF(사건마스터!$A$5:$A$64,업무일지!$F867)=0),"미등록 사건번호; ","")&amp;IF(AND(업무일지!$F867="",업무일지!$H867=""),"사건번호·업무명 모두 없음; ","")&amp;IF(업무일지!$J867="","담당자 없음; ","")&amp;IF(COUNTIF(코드설정!$F$5:$F$7,업무일지!$AG867)=0,"진행상태 누락; ","")))</f>
        <v/>
      </c>
    </row>
    <row r="900">
      <c r="A900" s="26" t="inlineStr">
        <is>
          <t>업무일지</t>
        </is>
      </c>
      <c r="B900" s="66" t="n">
        <v>868</v>
      </c>
      <c r="C900" s="122">
        <f>IF($D900="","",IFERROR(TEXT(업무일지!$B868,"yyyy-mm-dd"),"(날짜없음)")&amp;"  "&amp;업무일지!$F868&amp;"  "&amp;업무일지!$H868)</f>
        <v/>
      </c>
      <c r="D900" s="122">
        <f>IF(NOT(COUNTBLANK(업무일지!$B868:$AH868)&lt;33),"",TRIM(IF(업무일지!$B868="","시작일 누락; ","")&amp;IF(업무일지!$C868="","종료일 누락; ","")&amp;IF(AND(업무일지!$B868&lt;&gt;"",업무일지!$C868&lt;&gt;"",업무일지!$C868&lt;업무일지!$B868),"종료일이 시작일보다 빠름; ","")&amp;IF(COUNTIF(코드설정!$H$5:$H$7,업무일지!$D868)=0,"직무구분 누락; ","")&amp;IF(업무일지!$E868="","세부유형 누락; ",IF(AND(업무일지!$D868&lt;&gt;"",COUNTIFS(코드설정!$A$5:$A$21,업무일지!$D868,코드설정!$B$5:$B$21,업무일지!$E868)=0),"세부유형이 직무구분과 불일치; ",""))&amp;IF(AND(업무일지!$F868&lt;&gt;"",COUNTIF(사건마스터!$A$5:$A$64,업무일지!$F868)=0),"미등록 사건번호; ","")&amp;IF(AND(업무일지!$F868="",업무일지!$H868=""),"사건번호·업무명 모두 없음; ","")&amp;IF(업무일지!$J868="","담당자 없음; ","")&amp;IF(COUNTIF(코드설정!$F$5:$F$7,업무일지!$AG868)=0,"진행상태 누락; ","")))</f>
        <v/>
      </c>
    </row>
    <row r="901">
      <c r="A901" s="26" t="inlineStr">
        <is>
          <t>업무일지</t>
        </is>
      </c>
      <c r="B901" s="66" t="n">
        <v>869</v>
      </c>
      <c r="C901" s="122">
        <f>IF($D901="","",IFERROR(TEXT(업무일지!$B869,"yyyy-mm-dd"),"(날짜없음)")&amp;"  "&amp;업무일지!$F869&amp;"  "&amp;업무일지!$H869)</f>
        <v/>
      </c>
      <c r="D901" s="122">
        <f>IF(NOT(COUNTBLANK(업무일지!$B869:$AH869)&lt;33),"",TRIM(IF(업무일지!$B869="","시작일 누락; ","")&amp;IF(업무일지!$C869="","종료일 누락; ","")&amp;IF(AND(업무일지!$B869&lt;&gt;"",업무일지!$C869&lt;&gt;"",업무일지!$C869&lt;업무일지!$B869),"종료일이 시작일보다 빠름; ","")&amp;IF(COUNTIF(코드설정!$H$5:$H$7,업무일지!$D869)=0,"직무구분 누락; ","")&amp;IF(업무일지!$E869="","세부유형 누락; ",IF(AND(업무일지!$D869&lt;&gt;"",COUNTIFS(코드설정!$A$5:$A$21,업무일지!$D869,코드설정!$B$5:$B$21,업무일지!$E869)=0),"세부유형이 직무구분과 불일치; ",""))&amp;IF(AND(업무일지!$F869&lt;&gt;"",COUNTIF(사건마스터!$A$5:$A$64,업무일지!$F869)=0),"미등록 사건번호; ","")&amp;IF(AND(업무일지!$F869="",업무일지!$H869=""),"사건번호·업무명 모두 없음; ","")&amp;IF(업무일지!$J869="","담당자 없음; ","")&amp;IF(COUNTIF(코드설정!$F$5:$F$7,업무일지!$AG869)=0,"진행상태 누락; ","")))</f>
        <v/>
      </c>
    </row>
    <row r="902">
      <c r="A902" s="26" t="inlineStr">
        <is>
          <t>업무일지</t>
        </is>
      </c>
      <c r="B902" s="66" t="n">
        <v>870</v>
      </c>
      <c r="C902" s="122">
        <f>IF($D902="","",IFERROR(TEXT(업무일지!$B870,"yyyy-mm-dd"),"(날짜없음)")&amp;"  "&amp;업무일지!$F870&amp;"  "&amp;업무일지!$H870)</f>
        <v/>
      </c>
      <c r="D902" s="122">
        <f>IF(NOT(COUNTBLANK(업무일지!$B870:$AH870)&lt;33),"",TRIM(IF(업무일지!$B870="","시작일 누락; ","")&amp;IF(업무일지!$C870="","종료일 누락; ","")&amp;IF(AND(업무일지!$B870&lt;&gt;"",업무일지!$C870&lt;&gt;"",업무일지!$C870&lt;업무일지!$B870),"종료일이 시작일보다 빠름; ","")&amp;IF(COUNTIF(코드설정!$H$5:$H$7,업무일지!$D870)=0,"직무구분 누락; ","")&amp;IF(업무일지!$E870="","세부유형 누락; ",IF(AND(업무일지!$D870&lt;&gt;"",COUNTIFS(코드설정!$A$5:$A$21,업무일지!$D870,코드설정!$B$5:$B$21,업무일지!$E870)=0),"세부유형이 직무구분과 불일치; ",""))&amp;IF(AND(업무일지!$F870&lt;&gt;"",COUNTIF(사건마스터!$A$5:$A$64,업무일지!$F870)=0),"미등록 사건번호; ","")&amp;IF(AND(업무일지!$F870="",업무일지!$H870=""),"사건번호·업무명 모두 없음; ","")&amp;IF(업무일지!$J870="","담당자 없음; ","")&amp;IF(COUNTIF(코드설정!$F$5:$F$7,업무일지!$AG870)=0,"진행상태 누락; ","")))</f>
        <v/>
      </c>
    </row>
    <row r="903">
      <c r="A903" s="26" t="inlineStr">
        <is>
          <t>업무일지</t>
        </is>
      </c>
      <c r="B903" s="66" t="n">
        <v>871</v>
      </c>
      <c r="C903" s="122">
        <f>IF($D903="","",IFERROR(TEXT(업무일지!$B871,"yyyy-mm-dd"),"(날짜없음)")&amp;"  "&amp;업무일지!$F871&amp;"  "&amp;업무일지!$H871)</f>
        <v/>
      </c>
      <c r="D903" s="122">
        <f>IF(NOT(COUNTBLANK(업무일지!$B871:$AH871)&lt;33),"",TRIM(IF(업무일지!$B871="","시작일 누락; ","")&amp;IF(업무일지!$C871="","종료일 누락; ","")&amp;IF(AND(업무일지!$B871&lt;&gt;"",업무일지!$C871&lt;&gt;"",업무일지!$C871&lt;업무일지!$B871),"종료일이 시작일보다 빠름; ","")&amp;IF(COUNTIF(코드설정!$H$5:$H$7,업무일지!$D871)=0,"직무구분 누락; ","")&amp;IF(업무일지!$E871="","세부유형 누락; ",IF(AND(업무일지!$D871&lt;&gt;"",COUNTIFS(코드설정!$A$5:$A$21,업무일지!$D871,코드설정!$B$5:$B$21,업무일지!$E871)=0),"세부유형이 직무구분과 불일치; ",""))&amp;IF(AND(업무일지!$F871&lt;&gt;"",COUNTIF(사건마스터!$A$5:$A$64,업무일지!$F871)=0),"미등록 사건번호; ","")&amp;IF(AND(업무일지!$F871="",업무일지!$H871=""),"사건번호·업무명 모두 없음; ","")&amp;IF(업무일지!$J871="","담당자 없음; ","")&amp;IF(COUNTIF(코드설정!$F$5:$F$7,업무일지!$AG871)=0,"진행상태 누락; ","")))</f>
        <v/>
      </c>
    </row>
    <row r="904">
      <c r="A904" s="26" t="inlineStr">
        <is>
          <t>업무일지</t>
        </is>
      </c>
      <c r="B904" s="66" t="n">
        <v>872</v>
      </c>
      <c r="C904" s="122">
        <f>IF($D904="","",IFERROR(TEXT(업무일지!$B872,"yyyy-mm-dd"),"(날짜없음)")&amp;"  "&amp;업무일지!$F872&amp;"  "&amp;업무일지!$H872)</f>
        <v/>
      </c>
      <c r="D904" s="122">
        <f>IF(NOT(COUNTBLANK(업무일지!$B872:$AH872)&lt;33),"",TRIM(IF(업무일지!$B872="","시작일 누락; ","")&amp;IF(업무일지!$C872="","종료일 누락; ","")&amp;IF(AND(업무일지!$B872&lt;&gt;"",업무일지!$C872&lt;&gt;"",업무일지!$C872&lt;업무일지!$B872),"종료일이 시작일보다 빠름; ","")&amp;IF(COUNTIF(코드설정!$H$5:$H$7,업무일지!$D872)=0,"직무구분 누락; ","")&amp;IF(업무일지!$E872="","세부유형 누락; ",IF(AND(업무일지!$D872&lt;&gt;"",COUNTIFS(코드설정!$A$5:$A$21,업무일지!$D872,코드설정!$B$5:$B$21,업무일지!$E872)=0),"세부유형이 직무구분과 불일치; ",""))&amp;IF(AND(업무일지!$F872&lt;&gt;"",COUNTIF(사건마스터!$A$5:$A$64,업무일지!$F872)=0),"미등록 사건번호; ","")&amp;IF(AND(업무일지!$F872="",업무일지!$H872=""),"사건번호·업무명 모두 없음; ","")&amp;IF(업무일지!$J872="","담당자 없음; ","")&amp;IF(COUNTIF(코드설정!$F$5:$F$7,업무일지!$AG872)=0,"진행상태 누락; ","")))</f>
        <v/>
      </c>
    </row>
    <row r="905">
      <c r="A905" s="26" t="inlineStr">
        <is>
          <t>업무일지</t>
        </is>
      </c>
      <c r="B905" s="66" t="n">
        <v>873</v>
      </c>
      <c r="C905" s="122">
        <f>IF($D905="","",IFERROR(TEXT(업무일지!$B873,"yyyy-mm-dd"),"(날짜없음)")&amp;"  "&amp;업무일지!$F873&amp;"  "&amp;업무일지!$H873)</f>
        <v/>
      </c>
      <c r="D905" s="122">
        <f>IF(NOT(COUNTBLANK(업무일지!$B873:$AH873)&lt;33),"",TRIM(IF(업무일지!$B873="","시작일 누락; ","")&amp;IF(업무일지!$C873="","종료일 누락; ","")&amp;IF(AND(업무일지!$B873&lt;&gt;"",업무일지!$C873&lt;&gt;"",업무일지!$C873&lt;업무일지!$B873),"종료일이 시작일보다 빠름; ","")&amp;IF(COUNTIF(코드설정!$H$5:$H$7,업무일지!$D873)=0,"직무구분 누락; ","")&amp;IF(업무일지!$E873="","세부유형 누락; ",IF(AND(업무일지!$D873&lt;&gt;"",COUNTIFS(코드설정!$A$5:$A$21,업무일지!$D873,코드설정!$B$5:$B$21,업무일지!$E873)=0),"세부유형이 직무구분과 불일치; ",""))&amp;IF(AND(업무일지!$F873&lt;&gt;"",COUNTIF(사건마스터!$A$5:$A$64,업무일지!$F873)=0),"미등록 사건번호; ","")&amp;IF(AND(업무일지!$F873="",업무일지!$H873=""),"사건번호·업무명 모두 없음; ","")&amp;IF(업무일지!$J873="","담당자 없음; ","")&amp;IF(COUNTIF(코드설정!$F$5:$F$7,업무일지!$AG873)=0,"진행상태 누락; ","")))</f>
        <v/>
      </c>
    </row>
    <row r="906">
      <c r="A906" s="26" t="inlineStr">
        <is>
          <t>업무일지</t>
        </is>
      </c>
      <c r="B906" s="66" t="n">
        <v>874</v>
      </c>
      <c r="C906" s="122">
        <f>IF($D906="","",IFERROR(TEXT(업무일지!$B874,"yyyy-mm-dd"),"(날짜없음)")&amp;"  "&amp;업무일지!$F874&amp;"  "&amp;업무일지!$H874)</f>
        <v/>
      </c>
      <c r="D906" s="122">
        <f>IF(NOT(COUNTBLANK(업무일지!$B874:$AH874)&lt;33),"",TRIM(IF(업무일지!$B874="","시작일 누락; ","")&amp;IF(업무일지!$C874="","종료일 누락; ","")&amp;IF(AND(업무일지!$B874&lt;&gt;"",업무일지!$C874&lt;&gt;"",업무일지!$C874&lt;업무일지!$B874),"종료일이 시작일보다 빠름; ","")&amp;IF(COUNTIF(코드설정!$H$5:$H$7,업무일지!$D874)=0,"직무구분 누락; ","")&amp;IF(업무일지!$E874="","세부유형 누락; ",IF(AND(업무일지!$D874&lt;&gt;"",COUNTIFS(코드설정!$A$5:$A$21,업무일지!$D874,코드설정!$B$5:$B$21,업무일지!$E874)=0),"세부유형이 직무구분과 불일치; ",""))&amp;IF(AND(업무일지!$F874&lt;&gt;"",COUNTIF(사건마스터!$A$5:$A$64,업무일지!$F874)=0),"미등록 사건번호; ","")&amp;IF(AND(업무일지!$F874="",업무일지!$H874=""),"사건번호·업무명 모두 없음; ","")&amp;IF(업무일지!$J874="","담당자 없음; ","")&amp;IF(COUNTIF(코드설정!$F$5:$F$7,업무일지!$AG874)=0,"진행상태 누락; ","")))</f>
        <v/>
      </c>
    </row>
    <row r="907">
      <c r="A907" s="26" t="inlineStr">
        <is>
          <t>업무일지</t>
        </is>
      </c>
      <c r="B907" s="66" t="n">
        <v>875</v>
      </c>
      <c r="C907" s="122">
        <f>IF($D907="","",IFERROR(TEXT(업무일지!$B875,"yyyy-mm-dd"),"(날짜없음)")&amp;"  "&amp;업무일지!$F875&amp;"  "&amp;업무일지!$H875)</f>
        <v/>
      </c>
      <c r="D907" s="122">
        <f>IF(NOT(COUNTBLANK(업무일지!$B875:$AH875)&lt;33),"",TRIM(IF(업무일지!$B875="","시작일 누락; ","")&amp;IF(업무일지!$C875="","종료일 누락; ","")&amp;IF(AND(업무일지!$B875&lt;&gt;"",업무일지!$C875&lt;&gt;"",업무일지!$C875&lt;업무일지!$B875),"종료일이 시작일보다 빠름; ","")&amp;IF(COUNTIF(코드설정!$H$5:$H$7,업무일지!$D875)=0,"직무구분 누락; ","")&amp;IF(업무일지!$E875="","세부유형 누락; ",IF(AND(업무일지!$D875&lt;&gt;"",COUNTIFS(코드설정!$A$5:$A$21,업무일지!$D875,코드설정!$B$5:$B$21,업무일지!$E875)=0),"세부유형이 직무구분과 불일치; ",""))&amp;IF(AND(업무일지!$F875&lt;&gt;"",COUNTIF(사건마스터!$A$5:$A$64,업무일지!$F875)=0),"미등록 사건번호; ","")&amp;IF(AND(업무일지!$F875="",업무일지!$H875=""),"사건번호·업무명 모두 없음; ","")&amp;IF(업무일지!$J875="","담당자 없음; ","")&amp;IF(COUNTIF(코드설정!$F$5:$F$7,업무일지!$AG875)=0,"진행상태 누락; ","")))</f>
        <v/>
      </c>
    </row>
    <row r="908">
      <c r="A908" s="26" t="inlineStr">
        <is>
          <t>업무일지</t>
        </is>
      </c>
      <c r="B908" s="66" t="n">
        <v>876</v>
      </c>
      <c r="C908" s="122">
        <f>IF($D908="","",IFERROR(TEXT(업무일지!$B876,"yyyy-mm-dd"),"(날짜없음)")&amp;"  "&amp;업무일지!$F876&amp;"  "&amp;업무일지!$H876)</f>
        <v/>
      </c>
      <c r="D908" s="122">
        <f>IF(NOT(COUNTBLANK(업무일지!$B876:$AH876)&lt;33),"",TRIM(IF(업무일지!$B876="","시작일 누락; ","")&amp;IF(업무일지!$C876="","종료일 누락; ","")&amp;IF(AND(업무일지!$B876&lt;&gt;"",업무일지!$C876&lt;&gt;"",업무일지!$C876&lt;업무일지!$B876),"종료일이 시작일보다 빠름; ","")&amp;IF(COUNTIF(코드설정!$H$5:$H$7,업무일지!$D876)=0,"직무구분 누락; ","")&amp;IF(업무일지!$E876="","세부유형 누락; ",IF(AND(업무일지!$D876&lt;&gt;"",COUNTIFS(코드설정!$A$5:$A$21,업무일지!$D876,코드설정!$B$5:$B$21,업무일지!$E876)=0),"세부유형이 직무구분과 불일치; ",""))&amp;IF(AND(업무일지!$F876&lt;&gt;"",COUNTIF(사건마스터!$A$5:$A$64,업무일지!$F876)=0),"미등록 사건번호; ","")&amp;IF(AND(업무일지!$F876="",업무일지!$H876=""),"사건번호·업무명 모두 없음; ","")&amp;IF(업무일지!$J876="","담당자 없음; ","")&amp;IF(COUNTIF(코드설정!$F$5:$F$7,업무일지!$AG876)=0,"진행상태 누락; ","")))</f>
        <v/>
      </c>
    </row>
    <row r="909">
      <c r="A909" s="26" t="inlineStr">
        <is>
          <t>업무일지</t>
        </is>
      </c>
      <c r="B909" s="66" t="n">
        <v>877</v>
      </c>
      <c r="C909" s="122">
        <f>IF($D909="","",IFERROR(TEXT(업무일지!$B877,"yyyy-mm-dd"),"(날짜없음)")&amp;"  "&amp;업무일지!$F877&amp;"  "&amp;업무일지!$H877)</f>
        <v/>
      </c>
      <c r="D909" s="122">
        <f>IF(NOT(COUNTBLANK(업무일지!$B877:$AH877)&lt;33),"",TRIM(IF(업무일지!$B877="","시작일 누락; ","")&amp;IF(업무일지!$C877="","종료일 누락; ","")&amp;IF(AND(업무일지!$B877&lt;&gt;"",업무일지!$C877&lt;&gt;"",업무일지!$C877&lt;업무일지!$B877),"종료일이 시작일보다 빠름; ","")&amp;IF(COUNTIF(코드설정!$H$5:$H$7,업무일지!$D877)=0,"직무구분 누락; ","")&amp;IF(업무일지!$E877="","세부유형 누락; ",IF(AND(업무일지!$D877&lt;&gt;"",COUNTIFS(코드설정!$A$5:$A$21,업무일지!$D877,코드설정!$B$5:$B$21,업무일지!$E877)=0),"세부유형이 직무구분과 불일치; ",""))&amp;IF(AND(업무일지!$F877&lt;&gt;"",COUNTIF(사건마스터!$A$5:$A$64,업무일지!$F877)=0),"미등록 사건번호; ","")&amp;IF(AND(업무일지!$F877="",업무일지!$H877=""),"사건번호·업무명 모두 없음; ","")&amp;IF(업무일지!$J877="","담당자 없음; ","")&amp;IF(COUNTIF(코드설정!$F$5:$F$7,업무일지!$AG877)=0,"진행상태 누락; ","")))</f>
        <v/>
      </c>
    </row>
    <row r="910">
      <c r="A910" s="26" t="inlineStr">
        <is>
          <t>업무일지</t>
        </is>
      </c>
      <c r="B910" s="66" t="n">
        <v>878</v>
      </c>
      <c r="C910" s="122">
        <f>IF($D910="","",IFERROR(TEXT(업무일지!$B878,"yyyy-mm-dd"),"(날짜없음)")&amp;"  "&amp;업무일지!$F878&amp;"  "&amp;업무일지!$H878)</f>
        <v/>
      </c>
      <c r="D910" s="122">
        <f>IF(NOT(COUNTBLANK(업무일지!$B878:$AH878)&lt;33),"",TRIM(IF(업무일지!$B878="","시작일 누락; ","")&amp;IF(업무일지!$C878="","종료일 누락; ","")&amp;IF(AND(업무일지!$B878&lt;&gt;"",업무일지!$C878&lt;&gt;"",업무일지!$C878&lt;업무일지!$B878),"종료일이 시작일보다 빠름; ","")&amp;IF(COUNTIF(코드설정!$H$5:$H$7,업무일지!$D878)=0,"직무구분 누락; ","")&amp;IF(업무일지!$E878="","세부유형 누락; ",IF(AND(업무일지!$D878&lt;&gt;"",COUNTIFS(코드설정!$A$5:$A$21,업무일지!$D878,코드설정!$B$5:$B$21,업무일지!$E878)=0),"세부유형이 직무구분과 불일치; ",""))&amp;IF(AND(업무일지!$F878&lt;&gt;"",COUNTIF(사건마스터!$A$5:$A$64,업무일지!$F878)=0),"미등록 사건번호; ","")&amp;IF(AND(업무일지!$F878="",업무일지!$H878=""),"사건번호·업무명 모두 없음; ","")&amp;IF(업무일지!$J878="","담당자 없음; ","")&amp;IF(COUNTIF(코드설정!$F$5:$F$7,업무일지!$AG878)=0,"진행상태 누락; ","")))</f>
        <v/>
      </c>
    </row>
    <row r="911">
      <c r="A911" s="26" t="inlineStr">
        <is>
          <t>업무일지</t>
        </is>
      </c>
      <c r="B911" s="66" t="n">
        <v>879</v>
      </c>
      <c r="C911" s="122">
        <f>IF($D911="","",IFERROR(TEXT(업무일지!$B879,"yyyy-mm-dd"),"(날짜없음)")&amp;"  "&amp;업무일지!$F879&amp;"  "&amp;업무일지!$H879)</f>
        <v/>
      </c>
      <c r="D911" s="122">
        <f>IF(NOT(COUNTBLANK(업무일지!$B879:$AH879)&lt;33),"",TRIM(IF(업무일지!$B879="","시작일 누락; ","")&amp;IF(업무일지!$C879="","종료일 누락; ","")&amp;IF(AND(업무일지!$B879&lt;&gt;"",업무일지!$C879&lt;&gt;"",업무일지!$C879&lt;업무일지!$B879),"종료일이 시작일보다 빠름; ","")&amp;IF(COUNTIF(코드설정!$H$5:$H$7,업무일지!$D879)=0,"직무구분 누락; ","")&amp;IF(업무일지!$E879="","세부유형 누락; ",IF(AND(업무일지!$D879&lt;&gt;"",COUNTIFS(코드설정!$A$5:$A$21,업무일지!$D879,코드설정!$B$5:$B$21,업무일지!$E879)=0),"세부유형이 직무구분과 불일치; ",""))&amp;IF(AND(업무일지!$F879&lt;&gt;"",COUNTIF(사건마스터!$A$5:$A$64,업무일지!$F879)=0),"미등록 사건번호; ","")&amp;IF(AND(업무일지!$F879="",업무일지!$H879=""),"사건번호·업무명 모두 없음; ","")&amp;IF(업무일지!$J879="","담당자 없음; ","")&amp;IF(COUNTIF(코드설정!$F$5:$F$7,업무일지!$AG879)=0,"진행상태 누락; ","")))</f>
        <v/>
      </c>
    </row>
    <row r="912">
      <c r="A912" s="26" t="inlineStr">
        <is>
          <t>업무일지</t>
        </is>
      </c>
      <c r="B912" s="66" t="n">
        <v>880</v>
      </c>
      <c r="C912" s="122">
        <f>IF($D912="","",IFERROR(TEXT(업무일지!$B880,"yyyy-mm-dd"),"(날짜없음)")&amp;"  "&amp;업무일지!$F880&amp;"  "&amp;업무일지!$H880)</f>
        <v/>
      </c>
      <c r="D912" s="122">
        <f>IF(NOT(COUNTBLANK(업무일지!$B880:$AH880)&lt;33),"",TRIM(IF(업무일지!$B880="","시작일 누락; ","")&amp;IF(업무일지!$C880="","종료일 누락; ","")&amp;IF(AND(업무일지!$B880&lt;&gt;"",업무일지!$C880&lt;&gt;"",업무일지!$C880&lt;업무일지!$B880),"종료일이 시작일보다 빠름; ","")&amp;IF(COUNTIF(코드설정!$H$5:$H$7,업무일지!$D880)=0,"직무구분 누락; ","")&amp;IF(업무일지!$E880="","세부유형 누락; ",IF(AND(업무일지!$D880&lt;&gt;"",COUNTIFS(코드설정!$A$5:$A$21,업무일지!$D880,코드설정!$B$5:$B$21,업무일지!$E880)=0),"세부유형이 직무구분과 불일치; ",""))&amp;IF(AND(업무일지!$F880&lt;&gt;"",COUNTIF(사건마스터!$A$5:$A$64,업무일지!$F880)=0),"미등록 사건번호; ","")&amp;IF(AND(업무일지!$F880="",업무일지!$H880=""),"사건번호·업무명 모두 없음; ","")&amp;IF(업무일지!$J880="","담당자 없음; ","")&amp;IF(COUNTIF(코드설정!$F$5:$F$7,업무일지!$AG880)=0,"진행상태 누락; ","")))</f>
        <v/>
      </c>
    </row>
    <row r="913">
      <c r="A913" s="26" t="inlineStr">
        <is>
          <t>업무일지</t>
        </is>
      </c>
      <c r="B913" s="66" t="n">
        <v>881</v>
      </c>
      <c r="C913" s="122">
        <f>IF($D913="","",IFERROR(TEXT(업무일지!$B881,"yyyy-mm-dd"),"(날짜없음)")&amp;"  "&amp;업무일지!$F881&amp;"  "&amp;업무일지!$H881)</f>
        <v/>
      </c>
      <c r="D913" s="122">
        <f>IF(NOT(COUNTBLANK(업무일지!$B881:$AH881)&lt;33),"",TRIM(IF(업무일지!$B881="","시작일 누락; ","")&amp;IF(업무일지!$C881="","종료일 누락; ","")&amp;IF(AND(업무일지!$B881&lt;&gt;"",업무일지!$C881&lt;&gt;"",업무일지!$C881&lt;업무일지!$B881),"종료일이 시작일보다 빠름; ","")&amp;IF(COUNTIF(코드설정!$H$5:$H$7,업무일지!$D881)=0,"직무구분 누락; ","")&amp;IF(업무일지!$E881="","세부유형 누락; ",IF(AND(업무일지!$D881&lt;&gt;"",COUNTIFS(코드설정!$A$5:$A$21,업무일지!$D881,코드설정!$B$5:$B$21,업무일지!$E881)=0),"세부유형이 직무구분과 불일치; ",""))&amp;IF(AND(업무일지!$F881&lt;&gt;"",COUNTIF(사건마스터!$A$5:$A$64,업무일지!$F881)=0),"미등록 사건번호; ","")&amp;IF(AND(업무일지!$F881="",업무일지!$H881=""),"사건번호·업무명 모두 없음; ","")&amp;IF(업무일지!$J881="","담당자 없음; ","")&amp;IF(COUNTIF(코드설정!$F$5:$F$7,업무일지!$AG881)=0,"진행상태 누락; ","")))</f>
        <v/>
      </c>
    </row>
    <row r="914">
      <c r="A914" s="26" t="inlineStr">
        <is>
          <t>업무일지</t>
        </is>
      </c>
      <c r="B914" s="66" t="n">
        <v>882</v>
      </c>
      <c r="C914" s="122">
        <f>IF($D914="","",IFERROR(TEXT(업무일지!$B882,"yyyy-mm-dd"),"(날짜없음)")&amp;"  "&amp;업무일지!$F882&amp;"  "&amp;업무일지!$H882)</f>
        <v/>
      </c>
      <c r="D914" s="122">
        <f>IF(NOT(COUNTBLANK(업무일지!$B882:$AH882)&lt;33),"",TRIM(IF(업무일지!$B882="","시작일 누락; ","")&amp;IF(업무일지!$C882="","종료일 누락; ","")&amp;IF(AND(업무일지!$B882&lt;&gt;"",업무일지!$C882&lt;&gt;"",업무일지!$C882&lt;업무일지!$B882),"종료일이 시작일보다 빠름; ","")&amp;IF(COUNTIF(코드설정!$H$5:$H$7,업무일지!$D882)=0,"직무구분 누락; ","")&amp;IF(업무일지!$E882="","세부유형 누락; ",IF(AND(업무일지!$D882&lt;&gt;"",COUNTIFS(코드설정!$A$5:$A$21,업무일지!$D882,코드설정!$B$5:$B$21,업무일지!$E882)=0),"세부유형이 직무구분과 불일치; ",""))&amp;IF(AND(업무일지!$F882&lt;&gt;"",COUNTIF(사건마스터!$A$5:$A$64,업무일지!$F882)=0),"미등록 사건번호; ","")&amp;IF(AND(업무일지!$F882="",업무일지!$H882=""),"사건번호·업무명 모두 없음; ","")&amp;IF(업무일지!$J882="","담당자 없음; ","")&amp;IF(COUNTIF(코드설정!$F$5:$F$7,업무일지!$AG882)=0,"진행상태 누락; ","")))</f>
        <v/>
      </c>
    </row>
    <row r="915">
      <c r="A915" s="26" t="inlineStr">
        <is>
          <t>업무일지</t>
        </is>
      </c>
      <c r="B915" s="66" t="n">
        <v>883</v>
      </c>
      <c r="C915" s="122">
        <f>IF($D915="","",IFERROR(TEXT(업무일지!$B883,"yyyy-mm-dd"),"(날짜없음)")&amp;"  "&amp;업무일지!$F883&amp;"  "&amp;업무일지!$H883)</f>
        <v/>
      </c>
      <c r="D915" s="122">
        <f>IF(NOT(COUNTBLANK(업무일지!$B883:$AH883)&lt;33),"",TRIM(IF(업무일지!$B883="","시작일 누락; ","")&amp;IF(업무일지!$C883="","종료일 누락; ","")&amp;IF(AND(업무일지!$B883&lt;&gt;"",업무일지!$C883&lt;&gt;"",업무일지!$C883&lt;업무일지!$B883),"종료일이 시작일보다 빠름; ","")&amp;IF(COUNTIF(코드설정!$H$5:$H$7,업무일지!$D883)=0,"직무구분 누락; ","")&amp;IF(업무일지!$E883="","세부유형 누락; ",IF(AND(업무일지!$D883&lt;&gt;"",COUNTIFS(코드설정!$A$5:$A$21,업무일지!$D883,코드설정!$B$5:$B$21,업무일지!$E883)=0),"세부유형이 직무구분과 불일치; ",""))&amp;IF(AND(업무일지!$F883&lt;&gt;"",COUNTIF(사건마스터!$A$5:$A$64,업무일지!$F883)=0),"미등록 사건번호; ","")&amp;IF(AND(업무일지!$F883="",업무일지!$H883=""),"사건번호·업무명 모두 없음; ","")&amp;IF(업무일지!$J883="","담당자 없음; ","")&amp;IF(COUNTIF(코드설정!$F$5:$F$7,업무일지!$AG883)=0,"진행상태 누락; ","")))</f>
        <v/>
      </c>
    </row>
    <row r="916">
      <c r="A916" s="26" t="inlineStr">
        <is>
          <t>업무일지</t>
        </is>
      </c>
      <c r="B916" s="66" t="n">
        <v>884</v>
      </c>
      <c r="C916" s="122">
        <f>IF($D916="","",IFERROR(TEXT(업무일지!$B884,"yyyy-mm-dd"),"(날짜없음)")&amp;"  "&amp;업무일지!$F884&amp;"  "&amp;업무일지!$H884)</f>
        <v/>
      </c>
      <c r="D916" s="122">
        <f>IF(NOT(COUNTBLANK(업무일지!$B884:$AH884)&lt;33),"",TRIM(IF(업무일지!$B884="","시작일 누락; ","")&amp;IF(업무일지!$C884="","종료일 누락; ","")&amp;IF(AND(업무일지!$B884&lt;&gt;"",업무일지!$C884&lt;&gt;"",업무일지!$C884&lt;업무일지!$B884),"종료일이 시작일보다 빠름; ","")&amp;IF(COUNTIF(코드설정!$H$5:$H$7,업무일지!$D884)=0,"직무구분 누락; ","")&amp;IF(업무일지!$E884="","세부유형 누락; ",IF(AND(업무일지!$D884&lt;&gt;"",COUNTIFS(코드설정!$A$5:$A$21,업무일지!$D884,코드설정!$B$5:$B$21,업무일지!$E884)=0),"세부유형이 직무구분과 불일치; ",""))&amp;IF(AND(업무일지!$F884&lt;&gt;"",COUNTIF(사건마스터!$A$5:$A$64,업무일지!$F884)=0),"미등록 사건번호; ","")&amp;IF(AND(업무일지!$F884="",업무일지!$H884=""),"사건번호·업무명 모두 없음; ","")&amp;IF(업무일지!$J884="","담당자 없음; ","")&amp;IF(COUNTIF(코드설정!$F$5:$F$7,업무일지!$AG884)=0,"진행상태 누락; ","")))</f>
        <v/>
      </c>
    </row>
    <row r="917">
      <c r="A917" s="26" t="inlineStr">
        <is>
          <t>업무일지</t>
        </is>
      </c>
      <c r="B917" s="66" t="n">
        <v>885</v>
      </c>
      <c r="C917" s="122">
        <f>IF($D917="","",IFERROR(TEXT(업무일지!$B885,"yyyy-mm-dd"),"(날짜없음)")&amp;"  "&amp;업무일지!$F885&amp;"  "&amp;업무일지!$H885)</f>
        <v/>
      </c>
      <c r="D917" s="122">
        <f>IF(NOT(COUNTBLANK(업무일지!$B885:$AH885)&lt;33),"",TRIM(IF(업무일지!$B885="","시작일 누락; ","")&amp;IF(업무일지!$C885="","종료일 누락; ","")&amp;IF(AND(업무일지!$B885&lt;&gt;"",업무일지!$C885&lt;&gt;"",업무일지!$C885&lt;업무일지!$B885),"종료일이 시작일보다 빠름; ","")&amp;IF(COUNTIF(코드설정!$H$5:$H$7,업무일지!$D885)=0,"직무구분 누락; ","")&amp;IF(업무일지!$E885="","세부유형 누락; ",IF(AND(업무일지!$D885&lt;&gt;"",COUNTIFS(코드설정!$A$5:$A$21,업무일지!$D885,코드설정!$B$5:$B$21,업무일지!$E885)=0),"세부유형이 직무구분과 불일치; ",""))&amp;IF(AND(업무일지!$F885&lt;&gt;"",COUNTIF(사건마스터!$A$5:$A$64,업무일지!$F885)=0),"미등록 사건번호; ","")&amp;IF(AND(업무일지!$F885="",업무일지!$H885=""),"사건번호·업무명 모두 없음; ","")&amp;IF(업무일지!$J885="","담당자 없음; ","")&amp;IF(COUNTIF(코드설정!$F$5:$F$7,업무일지!$AG885)=0,"진행상태 누락; ","")))</f>
        <v/>
      </c>
    </row>
    <row r="918">
      <c r="A918" s="26" t="inlineStr">
        <is>
          <t>업무일지</t>
        </is>
      </c>
      <c r="B918" s="66" t="n">
        <v>886</v>
      </c>
      <c r="C918" s="122">
        <f>IF($D918="","",IFERROR(TEXT(업무일지!$B886,"yyyy-mm-dd"),"(날짜없음)")&amp;"  "&amp;업무일지!$F886&amp;"  "&amp;업무일지!$H886)</f>
        <v/>
      </c>
      <c r="D918" s="122">
        <f>IF(NOT(COUNTBLANK(업무일지!$B886:$AH886)&lt;33),"",TRIM(IF(업무일지!$B886="","시작일 누락; ","")&amp;IF(업무일지!$C886="","종료일 누락; ","")&amp;IF(AND(업무일지!$B886&lt;&gt;"",업무일지!$C886&lt;&gt;"",업무일지!$C886&lt;업무일지!$B886),"종료일이 시작일보다 빠름; ","")&amp;IF(COUNTIF(코드설정!$H$5:$H$7,업무일지!$D886)=0,"직무구분 누락; ","")&amp;IF(업무일지!$E886="","세부유형 누락; ",IF(AND(업무일지!$D886&lt;&gt;"",COUNTIFS(코드설정!$A$5:$A$21,업무일지!$D886,코드설정!$B$5:$B$21,업무일지!$E886)=0),"세부유형이 직무구분과 불일치; ",""))&amp;IF(AND(업무일지!$F886&lt;&gt;"",COUNTIF(사건마스터!$A$5:$A$64,업무일지!$F886)=0),"미등록 사건번호; ","")&amp;IF(AND(업무일지!$F886="",업무일지!$H886=""),"사건번호·업무명 모두 없음; ","")&amp;IF(업무일지!$J886="","담당자 없음; ","")&amp;IF(COUNTIF(코드설정!$F$5:$F$7,업무일지!$AG886)=0,"진행상태 누락; ","")))</f>
        <v/>
      </c>
    </row>
    <row r="919">
      <c r="A919" s="26" t="inlineStr">
        <is>
          <t>업무일지</t>
        </is>
      </c>
      <c r="B919" s="66" t="n">
        <v>887</v>
      </c>
      <c r="C919" s="122">
        <f>IF($D919="","",IFERROR(TEXT(업무일지!$B887,"yyyy-mm-dd"),"(날짜없음)")&amp;"  "&amp;업무일지!$F887&amp;"  "&amp;업무일지!$H887)</f>
        <v/>
      </c>
      <c r="D919" s="122">
        <f>IF(NOT(COUNTBLANK(업무일지!$B887:$AH887)&lt;33),"",TRIM(IF(업무일지!$B887="","시작일 누락; ","")&amp;IF(업무일지!$C887="","종료일 누락; ","")&amp;IF(AND(업무일지!$B887&lt;&gt;"",업무일지!$C887&lt;&gt;"",업무일지!$C887&lt;업무일지!$B887),"종료일이 시작일보다 빠름; ","")&amp;IF(COUNTIF(코드설정!$H$5:$H$7,업무일지!$D887)=0,"직무구분 누락; ","")&amp;IF(업무일지!$E887="","세부유형 누락; ",IF(AND(업무일지!$D887&lt;&gt;"",COUNTIFS(코드설정!$A$5:$A$21,업무일지!$D887,코드설정!$B$5:$B$21,업무일지!$E887)=0),"세부유형이 직무구분과 불일치; ",""))&amp;IF(AND(업무일지!$F887&lt;&gt;"",COUNTIF(사건마스터!$A$5:$A$64,업무일지!$F887)=0),"미등록 사건번호; ","")&amp;IF(AND(업무일지!$F887="",업무일지!$H887=""),"사건번호·업무명 모두 없음; ","")&amp;IF(업무일지!$J887="","담당자 없음; ","")&amp;IF(COUNTIF(코드설정!$F$5:$F$7,업무일지!$AG887)=0,"진행상태 누락; ","")))</f>
        <v/>
      </c>
    </row>
    <row r="920">
      <c r="A920" s="26" t="inlineStr">
        <is>
          <t>업무일지</t>
        </is>
      </c>
      <c r="B920" s="66" t="n">
        <v>888</v>
      </c>
      <c r="C920" s="122">
        <f>IF($D920="","",IFERROR(TEXT(업무일지!$B888,"yyyy-mm-dd"),"(날짜없음)")&amp;"  "&amp;업무일지!$F888&amp;"  "&amp;업무일지!$H888)</f>
        <v/>
      </c>
      <c r="D920" s="122">
        <f>IF(NOT(COUNTBLANK(업무일지!$B888:$AH888)&lt;33),"",TRIM(IF(업무일지!$B888="","시작일 누락; ","")&amp;IF(업무일지!$C888="","종료일 누락; ","")&amp;IF(AND(업무일지!$B888&lt;&gt;"",업무일지!$C888&lt;&gt;"",업무일지!$C888&lt;업무일지!$B888),"종료일이 시작일보다 빠름; ","")&amp;IF(COUNTIF(코드설정!$H$5:$H$7,업무일지!$D888)=0,"직무구분 누락; ","")&amp;IF(업무일지!$E888="","세부유형 누락; ",IF(AND(업무일지!$D888&lt;&gt;"",COUNTIFS(코드설정!$A$5:$A$21,업무일지!$D888,코드설정!$B$5:$B$21,업무일지!$E888)=0),"세부유형이 직무구분과 불일치; ",""))&amp;IF(AND(업무일지!$F888&lt;&gt;"",COUNTIF(사건마스터!$A$5:$A$64,업무일지!$F888)=0),"미등록 사건번호; ","")&amp;IF(AND(업무일지!$F888="",업무일지!$H888=""),"사건번호·업무명 모두 없음; ","")&amp;IF(업무일지!$J888="","담당자 없음; ","")&amp;IF(COUNTIF(코드설정!$F$5:$F$7,업무일지!$AG888)=0,"진행상태 누락; ","")))</f>
        <v/>
      </c>
    </row>
    <row r="921">
      <c r="A921" s="26" t="inlineStr">
        <is>
          <t>업무일지</t>
        </is>
      </c>
      <c r="B921" s="66" t="n">
        <v>889</v>
      </c>
      <c r="C921" s="122">
        <f>IF($D921="","",IFERROR(TEXT(업무일지!$B889,"yyyy-mm-dd"),"(날짜없음)")&amp;"  "&amp;업무일지!$F889&amp;"  "&amp;업무일지!$H889)</f>
        <v/>
      </c>
      <c r="D921" s="122">
        <f>IF(NOT(COUNTBLANK(업무일지!$B889:$AH889)&lt;33),"",TRIM(IF(업무일지!$B889="","시작일 누락; ","")&amp;IF(업무일지!$C889="","종료일 누락; ","")&amp;IF(AND(업무일지!$B889&lt;&gt;"",업무일지!$C889&lt;&gt;"",업무일지!$C889&lt;업무일지!$B889),"종료일이 시작일보다 빠름; ","")&amp;IF(COUNTIF(코드설정!$H$5:$H$7,업무일지!$D889)=0,"직무구분 누락; ","")&amp;IF(업무일지!$E889="","세부유형 누락; ",IF(AND(업무일지!$D889&lt;&gt;"",COUNTIFS(코드설정!$A$5:$A$21,업무일지!$D889,코드설정!$B$5:$B$21,업무일지!$E889)=0),"세부유형이 직무구분과 불일치; ",""))&amp;IF(AND(업무일지!$F889&lt;&gt;"",COUNTIF(사건마스터!$A$5:$A$64,업무일지!$F889)=0),"미등록 사건번호; ","")&amp;IF(AND(업무일지!$F889="",업무일지!$H889=""),"사건번호·업무명 모두 없음; ","")&amp;IF(업무일지!$J889="","담당자 없음; ","")&amp;IF(COUNTIF(코드설정!$F$5:$F$7,업무일지!$AG889)=0,"진행상태 누락; ","")))</f>
        <v/>
      </c>
    </row>
    <row r="922">
      <c r="A922" s="26" t="inlineStr">
        <is>
          <t>업무일지</t>
        </is>
      </c>
      <c r="B922" s="66" t="n">
        <v>890</v>
      </c>
      <c r="C922" s="122">
        <f>IF($D922="","",IFERROR(TEXT(업무일지!$B890,"yyyy-mm-dd"),"(날짜없음)")&amp;"  "&amp;업무일지!$F890&amp;"  "&amp;업무일지!$H890)</f>
        <v/>
      </c>
      <c r="D922" s="122">
        <f>IF(NOT(COUNTBLANK(업무일지!$B890:$AH890)&lt;33),"",TRIM(IF(업무일지!$B890="","시작일 누락; ","")&amp;IF(업무일지!$C890="","종료일 누락; ","")&amp;IF(AND(업무일지!$B890&lt;&gt;"",업무일지!$C890&lt;&gt;"",업무일지!$C890&lt;업무일지!$B890),"종료일이 시작일보다 빠름; ","")&amp;IF(COUNTIF(코드설정!$H$5:$H$7,업무일지!$D890)=0,"직무구분 누락; ","")&amp;IF(업무일지!$E890="","세부유형 누락; ",IF(AND(업무일지!$D890&lt;&gt;"",COUNTIFS(코드설정!$A$5:$A$21,업무일지!$D890,코드설정!$B$5:$B$21,업무일지!$E890)=0),"세부유형이 직무구분과 불일치; ",""))&amp;IF(AND(업무일지!$F890&lt;&gt;"",COUNTIF(사건마스터!$A$5:$A$64,업무일지!$F890)=0),"미등록 사건번호; ","")&amp;IF(AND(업무일지!$F890="",업무일지!$H890=""),"사건번호·업무명 모두 없음; ","")&amp;IF(업무일지!$J890="","담당자 없음; ","")&amp;IF(COUNTIF(코드설정!$F$5:$F$7,업무일지!$AG890)=0,"진행상태 누락; ","")))</f>
        <v/>
      </c>
    </row>
    <row r="923">
      <c r="A923" s="26" t="inlineStr">
        <is>
          <t>업무일지</t>
        </is>
      </c>
      <c r="B923" s="66" t="n">
        <v>891</v>
      </c>
      <c r="C923" s="122">
        <f>IF($D923="","",IFERROR(TEXT(업무일지!$B891,"yyyy-mm-dd"),"(날짜없음)")&amp;"  "&amp;업무일지!$F891&amp;"  "&amp;업무일지!$H891)</f>
        <v/>
      </c>
      <c r="D923" s="122">
        <f>IF(NOT(COUNTBLANK(업무일지!$B891:$AH891)&lt;33),"",TRIM(IF(업무일지!$B891="","시작일 누락; ","")&amp;IF(업무일지!$C891="","종료일 누락; ","")&amp;IF(AND(업무일지!$B891&lt;&gt;"",업무일지!$C891&lt;&gt;"",업무일지!$C891&lt;업무일지!$B891),"종료일이 시작일보다 빠름; ","")&amp;IF(COUNTIF(코드설정!$H$5:$H$7,업무일지!$D891)=0,"직무구분 누락; ","")&amp;IF(업무일지!$E891="","세부유형 누락; ",IF(AND(업무일지!$D891&lt;&gt;"",COUNTIFS(코드설정!$A$5:$A$21,업무일지!$D891,코드설정!$B$5:$B$21,업무일지!$E891)=0),"세부유형이 직무구분과 불일치; ",""))&amp;IF(AND(업무일지!$F891&lt;&gt;"",COUNTIF(사건마스터!$A$5:$A$64,업무일지!$F891)=0),"미등록 사건번호; ","")&amp;IF(AND(업무일지!$F891="",업무일지!$H891=""),"사건번호·업무명 모두 없음; ","")&amp;IF(업무일지!$J891="","담당자 없음; ","")&amp;IF(COUNTIF(코드설정!$F$5:$F$7,업무일지!$AG891)=0,"진행상태 누락; ","")))</f>
        <v/>
      </c>
    </row>
    <row r="924">
      <c r="A924" s="26" t="inlineStr">
        <is>
          <t>업무일지</t>
        </is>
      </c>
      <c r="B924" s="66" t="n">
        <v>892</v>
      </c>
      <c r="C924" s="122">
        <f>IF($D924="","",IFERROR(TEXT(업무일지!$B892,"yyyy-mm-dd"),"(날짜없음)")&amp;"  "&amp;업무일지!$F892&amp;"  "&amp;업무일지!$H892)</f>
        <v/>
      </c>
      <c r="D924" s="122">
        <f>IF(NOT(COUNTBLANK(업무일지!$B892:$AH892)&lt;33),"",TRIM(IF(업무일지!$B892="","시작일 누락; ","")&amp;IF(업무일지!$C892="","종료일 누락; ","")&amp;IF(AND(업무일지!$B892&lt;&gt;"",업무일지!$C892&lt;&gt;"",업무일지!$C892&lt;업무일지!$B892),"종료일이 시작일보다 빠름; ","")&amp;IF(COUNTIF(코드설정!$H$5:$H$7,업무일지!$D892)=0,"직무구분 누락; ","")&amp;IF(업무일지!$E892="","세부유형 누락; ",IF(AND(업무일지!$D892&lt;&gt;"",COUNTIFS(코드설정!$A$5:$A$21,업무일지!$D892,코드설정!$B$5:$B$21,업무일지!$E892)=0),"세부유형이 직무구분과 불일치; ",""))&amp;IF(AND(업무일지!$F892&lt;&gt;"",COUNTIF(사건마스터!$A$5:$A$64,업무일지!$F892)=0),"미등록 사건번호; ","")&amp;IF(AND(업무일지!$F892="",업무일지!$H892=""),"사건번호·업무명 모두 없음; ","")&amp;IF(업무일지!$J892="","담당자 없음; ","")&amp;IF(COUNTIF(코드설정!$F$5:$F$7,업무일지!$AG892)=0,"진행상태 누락; ","")))</f>
        <v/>
      </c>
    </row>
    <row r="925">
      <c r="A925" s="26" t="inlineStr">
        <is>
          <t>업무일지</t>
        </is>
      </c>
      <c r="B925" s="66" t="n">
        <v>893</v>
      </c>
      <c r="C925" s="122">
        <f>IF($D925="","",IFERROR(TEXT(업무일지!$B893,"yyyy-mm-dd"),"(날짜없음)")&amp;"  "&amp;업무일지!$F893&amp;"  "&amp;업무일지!$H893)</f>
        <v/>
      </c>
      <c r="D925" s="122">
        <f>IF(NOT(COUNTBLANK(업무일지!$B893:$AH893)&lt;33),"",TRIM(IF(업무일지!$B893="","시작일 누락; ","")&amp;IF(업무일지!$C893="","종료일 누락; ","")&amp;IF(AND(업무일지!$B893&lt;&gt;"",업무일지!$C893&lt;&gt;"",업무일지!$C893&lt;업무일지!$B893),"종료일이 시작일보다 빠름; ","")&amp;IF(COUNTIF(코드설정!$H$5:$H$7,업무일지!$D893)=0,"직무구분 누락; ","")&amp;IF(업무일지!$E893="","세부유형 누락; ",IF(AND(업무일지!$D893&lt;&gt;"",COUNTIFS(코드설정!$A$5:$A$21,업무일지!$D893,코드설정!$B$5:$B$21,업무일지!$E893)=0),"세부유형이 직무구분과 불일치; ",""))&amp;IF(AND(업무일지!$F893&lt;&gt;"",COUNTIF(사건마스터!$A$5:$A$64,업무일지!$F893)=0),"미등록 사건번호; ","")&amp;IF(AND(업무일지!$F893="",업무일지!$H893=""),"사건번호·업무명 모두 없음; ","")&amp;IF(업무일지!$J893="","담당자 없음; ","")&amp;IF(COUNTIF(코드설정!$F$5:$F$7,업무일지!$AG893)=0,"진행상태 누락; ","")))</f>
        <v/>
      </c>
    </row>
    <row r="926">
      <c r="A926" s="26" t="inlineStr">
        <is>
          <t>업무일지</t>
        </is>
      </c>
      <c r="B926" s="66" t="n">
        <v>894</v>
      </c>
      <c r="C926" s="122">
        <f>IF($D926="","",IFERROR(TEXT(업무일지!$B894,"yyyy-mm-dd"),"(날짜없음)")&amp;"  "&amp;업무일지!$F894&amp;"  "&amp;업무일지!$H894)</f>
        <v/>
      </c>
      <c r="D926" s="122">
        <f>IF(NOT(COUNTBLANK(업무일지!$B894:$AH894)&lt;33),"",TRIM(IF(업무일지!$B894="","시작일 누락; ","")&amp;IF(업무일지!$C894="","종료일 누락; ","")&amp;IF(AND(업무일지!$B894&lt;&gt;"",업무일지!$C894&lt;&gt;"",업무일지!$C894&lt;업무일지!$B894),"종료일이 시작일보다 빠름; ","")&amp;IF(COUNTIF(코드설정!$H$5:$H$7,업무일지!$D894)=0,"직무구분 누락; ","")&amp;IF(업무일지!$E894="","세부유형 누락; ",IF(AND(업무일지!$D894&lt;&gt;"",COUNTIFS(코드설정!$A$5:$A$21,업무일지!$D894,코드설정!$B$5:$B$21,업무일지!$E894)=0),"세부유형이 직무구분과 불일치; ",""))&amp;IF(AND(업무일지!$F894&lt;&gt;"",COUNTIF(사건마스터!$A$5:$A$64,업무일지!$F894)=0),"미등록 사건번호; ","")&amp;IF(AND(업무일지!$F894="",업무일지!$H894=""),"사건번호·업무명 모두 없음; ","")&amp;IF(업무일지!$J894="","담당자 없음; ","")&amp;IF(COUNTIF(코드설정!$F$5:$F$7,업무일지!$AG894)=0,"진행상태 누락; ","")))</f>
        <v/>
      </c>
    </row>
    <row r="927">
      <c r="A927" s="26" t="inlineStr">
        <is>
          <t>업무일지</t>
        </is>
      </c>
      <c r="B927" s="66" t="n">
        <v>895</v>
      </c>
      <c r="C927" s="122">
        <f>IF($D927="","",IFERROR(TEXT(업무일지!$B895,"yyyy-mm-dd"),"(날짜없음)")&amp;"  "&amp;업무일지!$F895&amp;"  "&amp;업무일지!$H895)</f>
        <v/>
      </c>
      <c r="D927" s="122">
        <f>IF(NOT(COUNTBLANK(업무일지!$B895:$AH895)&lt;33),"",TRIM(IF(업무일지!$B895="","시작일 누락; ","")&amp;IF(업무일지!$C895="","종료일 누락; ","")&amp;IF(AND(업무일지!$B895&lt;&gt;"",업무일지!$C895&lt;&gt;"",업무일지!$C895&lt;업무일지!$B895),"종료일이 시작일보다 빠름; ","")&amp;IF(COUNTIF(코드설정!$H$5:$H$7,업무일지!$D895)=0,"직무구분 누락; ","")&amp;IF(업무일지!$E895="","세부유형 누락; ",IF(AND(업무일지!$D895&lt;&gt;"",COUNTIFS(코드설정!$A$5:$A$21,업무일지!$D895,코드설정!$B$5:$B$21,업무일지!$E895)=0),"세부유형이 직무구분과 불일치; ",""))&amp;IF(AND(업무일지!$F895&lt;&gt;"",COUNTIF(사건마스터!$A$5:$A$64,업무일지!$F895)=0),"미등록 사건번호; ","")&amp;IF(AND(업무일지!$F895="",업무일지!$H895=""),"사건번호·업무명 모두 없음; ","")&amp;IF(업무일지!$J895="","담당자 없음; ","")&amp;IF(COUNTIF(코드설정!$F$5:$F$7,업무일지!$AG895)=0,"진행상태 누락; ","")))</f>
        <v/>
      </c>
    </row>
    <row r="928">
      <c r="A928" s="26" t="inlineStr">
        <is>
          <t>업무일지</t>
        </is>
      </c>
      <c r="B928" s="66" t="n">
        <v>896</v>
      </c>
      <c r="C928" s="122">
        <f>IF($D928="","",IFERROR(TEXT(업무일지!$B896,"yyyy-mm-dd"),"(날짜없음)")&amp;"  "&amp;업무일지!$F896&amp;"  "&amp;업무일지!$H896)</f>
        <v/>
      </c>
      <c r="D928" s="122">
        <f>IF(NOT(COUNTBLANK(업무일지!$B896:$AH896)&lt;33),"",TRIM(IF(업무일지!$B896="","시작일 누락; ","")&amp;IF(업무일지!$C896="","종료일 누락; ","")&amp;IF(AND(업무일지!$B896&lt;&gt;"",업무일지!$C896&lt;&gt;"",업무일지!$C896&lt;업무일지!$B896),"종료일이 시작일보다 빠름; ","")&amp;IF(COUNTIF(코드설정!$H$5:$H$7,업무일지!$D896)=0,"직무구분 누락; ","")&amp;IF(업무일지!$E896="","세부유형 누락; ",IF(AND(업무일지!$D896&lt;&gt;"",COUNTIFS(코드설정!$A$5:$A$21,업무일지!$D896,코드설정!$B$5:$B$21,업무일지!$E896)=0),"세부유형이 직무구분과 불일치; ",""))&amp;IF(AND(업무일지!$F896&lt;&gt;"",COUNTIF(사건마스터!$A$5:$A$64,업무일지!$F896)=0),"미등록 사건번호; ","")&amp;IF(AND(업무일지!$F896="",업무일지!$H896=""),"사건번호·업무명 모두 없음; ","")&amp;IF(업무일지!$J896="","담당자 없음; ","")&amp;IF(COUNTIF(코드설정!$F$5:$F$7,업무일지!$AG896)=0,"진행상태 누락; ","")))</f>
        <v/>
      </c>
    </row>
    <row r="929">
      <c r="A929" s="26" t="inlineStr">
        <is>
          <t>업무일지</t>
        </is>
      </c>
      <c r="B929" s="66" t="n">
        <v>897</v>
      </c>
      <c r="C929" s="122">
        <f>IF($D929="","",IFERROR(TEXT(업무일지!$B897,"yyyy-mm-dd"),"(날짜없음)")&amp;"  "&amp;업무일지!$F897&amp;"  "&amp;업무일지!$H897)</f>
        <v/>
      </c>
      <c r="D929" s="122">
        <f>IF(NOT(COUNTBLANK(업무일지!$B897:$AH897)&lt;33),"",TRIM(IF(업무일지!$B897="","시작일 누락; ","")&amp;IF(업무일지!$C897="","종료일 누락; ","")&amp;IF(AND(업무일지!$B897&lt;&gt;"",업무일지!$C897&lt;&gt;"",업무일지!$C897&lt;업무일지!$B897),"종료일이 시작일보다 빠름; ","")&amp;IF(COUNTIF(코드설정!$H$5:$H$7,업무일지!$D897)=0,"직무구분 누락; ","")&amp;IF(업무일지!$E897="","세부유형 누락; ",IF(AND(업무일지!$D897&lt;&gt;"",COUNTIFS(코드설정!$A$5:$A$21,업무일지!$D897,코드설정!$B$5:$B$21,업무일지!$E897)=0),"세부유형이 직무구분과 불일치; ",""))&amp;IF(AND(업무일지!$F897&lt;&gt;"",COUNTIF(사건마스터!$A$5:$A$64,업무일지!$F897)=0),"미등록 사건번호; ","")&amp;IF(AND(업무일지!$F897="",업무일지!$H897=""),"사건번호·업무명 모두 없음; ","")&amp;IF(업무일지!$J897="","담당자 없음; ","")&amp;IF(COUNTIF(코드설정!$F$5:$F$7,업무일지!$AG897)=0,"진행상태 누락; ","")))</f>
        <v/>
      </c>
    </row>
    <row r="930">
      <c r="A930" s="26" t="inlineStr">
        <is>
          <t>업무일지</t>
        </is>
      </c>
      <c r="B930" s="66" t="n">
        <v>898</v>
      </c>
      <c r="C930" s="122">
        <f>IF($D930="","",IFERROR(TEXT(업무일지!$B898,"yyyy-mm-dd"),"(날짜없음)")&amp;"  "&amp;업무일지!$F898&amp;"  "&amp;업무일지!$H898)</f>
        <v/>
      </c>
      <c r="D930" s="122">
        <f>IF(NOT(COUNTBLANK(업무일지!$B898:$AH898)&lt;33),"",TRIM(IF(업무일지!$B898="","시작일 누락; ","")&amp;IF(업무일지!$C898="","종료일 누락; ","")&amp;IF(AND(업무일지!$B898&lt;&gt;"",업무일지!$C898&lt;&gt;"",업무일지!$C898&lt;업무일지!$B898),"종료일이 시작일보다 빠름; ","")&amp;IF(COUNTIF(코드설정!$H$5:$H$7,업무일지!$D898)=0,"직무구분 누락; ","")&amp;IF(업무일지!$E898="","세부유형 누락; ",IF(AND(업무일지!$D898&lt;&gt;"",COUNTIFS(코드설정!$A$5:$A$21,업무일지!$D898,코드설정!$B$5:$B$21,업무일지!$E898)=0),"세부유형이 직무구분과 불일치; ",""))&amp;IF(AND(업무일지!$F898&lt;&gt;"",COUNTIF(사건마스터!$A$5:$A$64,업무일지!$F898)=0),"미등록 사건번호; ","")&amp;IF(AND(업무일지!$F898="",업무일지!$H898=""),"사건번호·업무명 모두 없음; ","")&amp;IF(업무일지!$J898="","담당자 없음; ","")&amp;IF(COUNTIF(코드설정!$F$5:$F$7,업무일지!$AG898)=0,"진행상태 누락; ","")))</f>
        <v/>
      </c>
    </row>
    <row r="931">
      <c r="A931" s="26" t="inlineStr">
        <is>
          <t>업무일지</t>
        </is>
      </c>
      <c r="B931" s="66" t="n">
        <v>899</v>
      </c>
      <c r="C931" s="122">
        <f>IF($D931="","",IFERROR(TEXT(업무일지!$B899,"yyyy-mm-dd"),"(날짜없음)")&amp;"  "&amp;업무일지!$F899&amp;"  "&amp;업무일지!$H899)</f>
        <v/>
      </c>
      <c r="D931" s="122">
        <f>IF(NOT(COUNTBLANK(업무일지!$B899:$AH899)&lt;33),"",TRIM(IF(업무일지!$B899="","시작일 누락; ","")&amp;IF(업무일지!$C899="","종료일 누락; ","")&amp;IF(AND(업무일지!$B899&lt;&gt;"",업무일지!$C899&lt;&gt;"",업무일지!$C899&lt;업무일지!$B899),"종료일이 시작일보다 빠름; ","")&amp;IF(COUNTIF(코드설정!$H$5:$H$7,업무일지!$D899)=0,"직무구분 누락; ","")&amp;IF(업무일지!$E899="","세부유형 누락; ",IF(AND(업무일지!$D899&lt;&gt;"",COUNTIFS(코드설정!$A$5:$A$21,업무일지!$D899,코드설정!$B$5:$B$21,업무일지!$E899)=0),"세부유형이 직무구분과 불일치; ",""))&amp;IF(AND(업무일지!$F899&lt;&gt;"",COUNTIF(사건마스터!$A$5:$A$64,업무일지!$F899)=0),"미등록 사건번호; ","")&amp;IF(AND(업무일지!$F899="",업무일지!$H899=""),"사건번호·업무명 모두 없음; ","")&amp;IF(업무일지!$J899="","담당자 없음; ","")&amp;IF(COUNTIF(코드설정!$F$5:$F$7,업무일지!$AG899)=0,"진행상태 누락; ","")))</f>
        <v/>
      </c>
    </row>
    <row r="932">
      <c r="A932" s="26" t="inlineStr">
        <is>
          <t>업무일지</t>
        </is>
      </c>
      <c r="B932" s="66" t="n">
        <v>900</v>
      </c>
      <c r="C932" s="122">
        <f>IF($D932="","",IFERROR(TEXT(업무일지!$B900,"yyyy-mm-dd"),"(날짜없음)")&amp;"  "&amp;업무일지!$F900&amp;"  "&amp;업무일지!$H900)</f>
        <v/>
      </c>
      <c r="D932" s="122">
        <f>IF(NOT(COUNTBLANK(업무일지!$B900:$AH900)&lt;33),"",TRIM(IF(업무일지!$B900="","시작일 누락; ","")&amp;IF(업무일지!$C900="","종료일 누락; ","")&amp;IF(AND(업무일지!$B900&lt;&gt;"",업무일지!$C900&lt;&gt;"",업무일지!$C900&lt;업무일지!$B900),"종료일이 시작일보다 빠름; ","")&amp;IF(COUNTIF(코드설정!$H$5:$H$7,업무일지!$D900)=0,"직무구분 누락; ","")&amp;IF(업무일지!$E900="","세부유형 누락; ",IF(AND(업무일지!$D900&lt;&gt;"",COUNTIFS(코드설정!$A$5:$A$21,업무일지!$D900,코드설정!$B$5:$B$21,업무일지!$E900)=0),"세부유형이 직무구분과 불일치; ",""))&amp;IF(AND(업무일지!$F900&lt;&gt;"",COUNTIF(사건마스터!$A$5:$A$64,업무일지!$F900)=0),"미등록 사건번호; ","")&amp;IF(AND(업무일지!$F900="",업무일지!$H900=""),"사건번호·업무명 모두 없음; ","")&amp;IF(업무일지!$J900="","담당자 없음; ","")&amp;IF(COUNTIF(코드설정!$F$5:$F$7,업무일지!$AG900)=0,"진행상태 누락; ","")))</f>
        <v/>
      </c>
    </row>
    <row r="933">
      <c r="A933" s="26" t="inlineStr">
        <is>
          <t>업무일지</t>
        </is>
      </c>
      <c r="B933" s="66" t="n">
        <v>901</v>
      </c>
      <c r="C933" s="122">
        <f>IF($D933="","",IFERROR(TEXT(업무일지!$B901,"yyyy-mm-dd"),"(날짜없음)")&amp;"  "&amp;업무일지!$F901&amp;"  "&amp;업무일지!$H901)</f>
        <v/>
      </c>
      <c r="D933" s="122">
        <f>IF(NOT(COUNTBLANK(업무일지!$B901:$AH901)&lt;33),"",TRIM(IF(업무일지!$B901="","시작일 누락; ","")&amp;IF(업무일지!$C901="","종료일 누락; ","")&amp;IF(AND(업무일지!$B901&lt;&gt;"",업무일지!$C901&lt;&gt;"",업무일지!$C901&lt;업무일지!$B901),"종료일이 시작일보다 빠름; ","")&amp;IF(COUNTIF(코드설정!$H$5:$H$7,업무일지!$D901)=0,"직무구분 누락; ","")&amp;IF(업무일지!$E901="","세부유형 누락; ",IF(AND(업무일지!$D901&lt;&gt;"",COUNTIFS(코드설정!$A$5:$A$21,업무일지!$D901,코드설정!$B$5:$B$21,업무일지!$E901)=0),"세부유형이 직무구분과 불일치; ",""))&amp;IF(AND(업무일지!$F901&lt;&gt;"",COUNTIF(사건마스터!$A$5:$A$64,업무일지!$F901)=0),"미등록 사건번호; ","")&amp;IF(AND(업무일지!$F901="",업무일지!$H901=""),"사건번호·업무명 모두 없음; ","")&amp;IF(업무일지!$J901="","담당자 없음; ","")&amp;IF(COUNTIF(코드설정!$F$5:$F$7,업무일지!$AG901)=0,"진행상태 누락; ","")))</f>
        <v/>
      </c>
    </row>
    <row r="934">
      <c r="A934" s="26" t="inlineStr">
        <is>
          <t>업무일지</t>
        </is>
      </c>
      <c r="B934" s="66" t="n">
        <v>902</v>
      </c>
      <c r="C934" s="122">
        <f>IF($D934="","",IFERROR(TEXT(업무일지!$B902,"yyyy-mm-dd"),"(날짜없음)")&amp;"  "&amp;업무일지!$F902&amp;"  "&amp;업무일지!$H902)</f>
        <v/>
      </c>
      <c r="D934" s="122">
        <f>IF(NOT(COUNTBLANK(업무일지!$B902:$AH902)&lt;33),"",TRIM(IF(업무일지!$B902="","시작일 누락; ","")&amp;IF(업무일지!$C902="","종료일 누락; ","")&amp;IF(AND(업무일지!$B902&lt;&gt;"",업무일지!$C902&lt;&gt;"",업무일지!$C902&lt;업무일지!$B902),"종료일이 시작일보다 빠름; ","")&amp;IF(COUNTIF(코드설정!$H$5:$H$7,업무일지!$D902)=0,"직무구분 누락; ","")&amp;IF(업무일지!$E902="","세부유형 누락; ",IF(AND(업무일지!$D902&lt;&gt;"",COUNTIFS(코드설정!$A$5:$A$21,업무일지!$D902,코드설정!$B$5:$B$21,업무일지!$E902)=0),"세부유형이 직무구분과 불일치; ",""))&amp;IF(AND(업무일지!$F902&lt;&gt;"",COUNTIF(사건마스터!$A$5:$A$64,업무일지!$F902)=0),"미등록 사건번호; ","")&amp;IF(AND(업무일지!$F902="",업무일지!$H902=""),"사건번호·업무명 모두 없음; ","")&amp;IF(업무일지!$J902="","담당자 없음; ","")&amp;IF(COUNTIF(코드설정!$F$5:$F$7,업무일지!$AG902)=0,"진행상태 누락; ","")))</f>
        <v/>
      </c>
    </row>
    <row r="935">
      <c r="A935" s="26" t="inlineStr">
        <is>
          <t>업무일지</t>
        </is>
      </c>
      <c r="B935" s="66" t="n">
        <v>903</v>
      </c>
      <c r="C935" s="122">
        <f>IF($D935="","",IFERROR(TEXT(업무일지!$B903,"yyyy-mm-dd"),"(날짜없음)")&amp;"  "&amp;업무일지!$F903&amp;"  "&amp;업무일지!$H903)</f>
        <v/>
      </c>
      <c r="D935" s="122">
        <f>IF(NOT(COUNTBLANK(업무일지!$B903:$AH903)&lt;33),"",TRIM(IF(업무일지!$B903="","시작일 누락; ","")&amp;IF(업무일지!$C903="","종료일 누락; ","")&amp;IF(AND(업무일지!$B903&lt;&gt;"",업무일지!$C903&lt;&gt;"",업무일지!$C903&lt;업무일지!$B903),"종료일이 시작일보다 빠름; ","")&amp;IF(COUNTIF(코드설정!$H$5:$H$7,업무일지!$D903)=0,"직무구분 누락; ","")&amp;IF(업무일지!$E903="","세부유형 누락; ",IF(AND(업무일지!$D903&lt;&gt;"",COUNTIFS(코드설정!$A$5:$A$21,업무일지!$D903,코드설정!$B$5:$B$21,업무일지!$E903)=0),"세부유형이 직무구분과 불일치; ",""))&amp;IF(AND(업무일지!$F903&lt;&gt;"",COUNTIF(사건마스터!$A$5:$A$64,업무일지!$F903)=0),"미등록 사건번호; ","")&amp;IF(AND(업무일지!$F903="",업무일지!$H903=""),"사건번호·업무명 모두 없음; ","")&amp;IF(업무일지!$J903="","담당자 없음; ","")&amp;IF(COUNTIF(코드설정!$F$5:$F$7,업무일지!$AG903)=0,"진행상태 누락; ","")))</f>
        <v/>
      </c>
    </row>
    <row r="936">
      <c r="A936" s="26" t="inlineStr">
        <is>
          <t>업무일지</t>
        </is>
      </c>
      <c r="B936" s="66" t="n">
        <v>904</v>
      </c>
      <c r="C936" s="122">
        <f>IF($D936="","",IFERROR(TEXT(업무일지!$B904,"yyyy-mm-dd"),"(날짜없음)")&amp;"  "&amp;업무일지!$F904&amp;"  "&amp;업무일지!$H904)</f>
        <v/>
      </c>
      <c r="D936" s="122">
        <f>IF(NOT(COUNTBLANK(업무일지!$B904:$AH904)&lt;33),"",TRIM(IF(업무일지!$B904="","시작일 누락; ","")&amp;IF(업무일지!$C904="","종료일 누락; ","")&amp;IF(AND(업무일지!$B904&lt;&gt;"",업무일지!$C904&lt;&gt;"",업무일지!$C904&lt;업무일지!$B904),"종료일이 시작일보다 빠름; ","")&amp;IF(COUNTIF(코드설정!$H$5:$H$7,업무일지!$D904)=0,"직무구분 누락; ","")&amp;IF(업무일지!$E904="","세부유형 누락; ",IF(AND(업무일지!$D904&lt;&gt;"",COUNTIFS(코드설정!$A$5:$A$21,업무일지!$D904,코드설정!$B$5:$B$21,업무일지!$E904)=0),"세부유형이 직무구분과 불일치; ",""))&amp;IF(AND(업무일지!$F904&lt;&gt;"",COUNTIF(사건마스터!$A$5:$A$64,업무일지!$F904)=0),"미등록 사건번호; ","")&amp;IF(AND(업무일지!$F904="",업무일지!$H904=""),"사건번호·업무명 모두 없음; ","")&amp;IF(업무일지!$J904="","담당자 없음; ","")&amp;IF(COUNTIF(코드설정!$F$5:$F$7,업무일지!$AG904)=0,"진행상태 누락; ","")))</f>
        <v/>
      </c>
    </row>
    <row r="937">
      <c r="A937" s="26" t="inlineStr">
        <is>
          <t>업무일지</t>
        </is>
      </c>
      <c r="B937" s="66" t="n">
        <v>905</v>
      </c>
      <c r="C937" s="122">
        <f>IF($D937="","",IFERROR(TEXT(업무일지!$B905,"yyyy-mm-dd"),"(날짜없음)")&amp;"  "&amp;업무일지!$F905&amp;"  "&amp;업무일지!$H905)</f>
        <v/>
      </c>
      <c r="D937" s="122">
        <f>IF(NOT(COUNTBLANK(업무일지!$B905:$AH905)&lt;33),"",TRIM(IF(업무일지!$B905="","시작일 누락; ","")&amp;IF(업무일지!$C905="","종료일 누락; ","")&amp;IF(AND(업무일지!$B905&lt;&gt;"",업무일지!$C905&lt;&gt;"",업무일지!$C905&lt;업무일지!$B905),"종료일이 시작일보다 빠름; ","")&amp;IF(COUNTIF(코드설정!$H$5:$H$7,업무일지!$D905)=0,"직무구분 누락; ","")&amp;IF(업무일지!$E905="","세부유형 누락; ",IF(AND(업무일지!$D905&lt;&gt;"",COUNTIFS(코드설정!$A$5:$A$21,업무일지!$D905,코드설정!$B$5:$B$21,업무일지!$E905)=0),"세부유형이 직무구분과 불일치; ",""))&amp;IF(AND(업무일지!$F905&lt;&gt;"",COUNTIF(사건마스터!$A$5:$A$64,업무일지!$F905)=0),"미등록 사건번호; ","")&amp;IF(AND(업무일지!$F905="",업무일지!$H905=""),"사건번호·업무명 모두 없음; ","")&amp;IF(업무일지!$J905="","담당자 없음; ","")&amp;IF(COUNTIF(코드설정!$F$5:$F$7,업무일지!$AG905)=0,"진행상태 누락; ","")))</f>
        <v/>
      </c>
    </row>
    <row r="938">
      <c r="A938" s="26" t="inlineStr">
        <is>
          <t>업무일지</t>
        </is>
      </c>
      <c r="B938" s="66" t="n">
        <v>906</v>
      </c>
      <c r="C938" s="122">
        <f>IF($D938="","",IFERROR(TEXT(업무일지!$B906,"yyyy-mm-dd"),"(날짜없음)")&amp;"  "&amp;업무일지!$F906&amp;"  "&amp;업무일지!$H906)</f>
        <v/>
      </c>
      <c r="D938" s="122">
        <f>IF(NOT(COUNTBLANK(업무일지!$B906:$AH906)&lt;33),"",TRIM(IF(업무일지!$B906="","시작일 누락; ","")&amp;IF(업무일지!$C906="","종료일 누락; ","")&amp;IF(AND(업무일지!$B906&lt;&gt;"",업무일지!$C906&lt;&gt;"",업무일지!$C906&lt;업무일지!$B906),"종료일이 시작일보다 빠름; ","")&amp;IF(COUNTIF(코드설정!$H$5:$H$7,업무일지!$D906)=0,"직무구분 누락; ","")&amp;IF(업무일지!$E906="","세부유형 누락; ",IF(AND(업무일지!$D906&lt;&gt;"",COUNTIFS(코드설정!$A$5:$A$21,업무일지!$D906,코드설정!$B$5:$B$21,업무일지!$E906)=0),"세부유형이 직무구분과 불일치; ",""))&amp;IF(AND(업무일지!$F906&lt;&gt;"",COUNTIF(사건마스터!$A$5:$A$64,업무일지!$F906)=0),"미등록 사건번호; ","")&amp;IF(AND(업무일지!$F906="",업무일지!$H906=""),"사건번호·업무명 모두 없음; ","")&amp;IF(업무일지!$J906="","담당자 없음; ","")&amp;IF(COUNTIF(코드설정!$F$5:$F$7,업무일지!$AG906)=0,"진행상태 누락; ","")))</f>
        <v/>
      </c>
    </row>
    <row r="939">
      <c r="A939" s="26" t="inlineStr">
        <is>
          <t>업무일지</t>
        </is>
      </c>
      <c r="B939" s="66" t="n">
        <v>907</v>
      </c>
      <c r="C939" s="122">
        <f>IF($D939="","",IFERROR(TEXT(업무일지!$B907,"yyyy-mm-dd"),"(날짜없음)")&amp;"  "&amp;업무일지!$F907&amp;"  "&amp;업무일지!$H907)</f>
        <v/>
      </c>
      <c r="D939" s="122">
        <f>IF(NOT(COUNTBLANK(업무일지!$B907:$AH907)&lt;33),"",TRIM(IF(업무일지!$B907="","시작일 누락; ","")&amp;IF(업무일지!$C907="","종료일 누락; ","")&amp;IF(AND(업무일지!$B907&lt;&gt;"",업무일지!$C907&lt;&gt;"",업무일지!$C907&lt;업무일지!$B907),"종료일이 시작일보다 빠름; ","")&amp;IF(COUNTIF(코드설정!$H$5:$H$7,업무일지!$D907)=0,"직무구분 누락; ","")&amp;IF(업무일지!$E907="","세부유형 누락; ",IF(AND(업무일지!$D907&lt;&gt;"",COUNTIFS(코드설정!$A$5:$A$21,업무일지!$D907,코드설정!$B$5:$B$21,업무일지!$E907)=0),"세부유형이 직무구분과 불일치; ",""))&amp;IF(AND(업무일지!$F907&lt;&gt;"",COUNTIF(사건마스터!$A$5:$A$64,업무일지!$F907)=0),"미등록 사건번호; ","")&amp;IF(AND(업무일지!$F907="",업무일지!$H907=""),"사건번호·업무명 모두 없음; ","")&amp;IF(업무일지!$J907="","담당자 없음; ","")&amp;IF(COUNTIF(코드설정!$F$5:$F$7,업무일지!$AG907)=0,"진행상태 누락; ","")))</f>
        <v/>
      </c>
    </row>
    <row r="940">
      <c r="A940" s="26" t="inlineStr">
        <is>
          <t>업무일지</t>
        </is>
      </c>
      <c r="B940" s="66" t="n">
        <v>908</v>
      </c>
      <c r="C940" s="122">
        <f>IF($D940="","",IFERROR(TEXT(업무일지!$B908,"yyyy-mm-dd"),"(날짜없음)")&amp;"  "&amp;업무일지!$F908&amp;"  "&amp;업무일지!$H908)</f>
        <v/>
      </c>
      <c r="D940" s="122">
        <f>IF(NOT(COUNTBLANK(업무일지!$B908:$AH908)&lt;33),"",TRIM(IF(업무일지!$B908="","시작일 누락; ","")&amp;IF(업무일지!$C908="","종료일 누락; ","")&amp;IF(AND(업무일지!$B908&lt;&gt;"",업무일지!$C908&lt;&gt;"",업무일지!$C908&lt;업무일지!$B908),"종료일이 시작일보다 빠름; ","")&amp;IF(COUNTIF(코드설정!$H$5:$H$7,업무일지!$D908)=0,"직무구분 누락; ","")&amp;IF(업무일지!$E908="","세부유형 누락; ",IF(AND(업무일지!$D908&lt;&gt;"",COUNTIFS(코드설정!$A$5:$A$21,업무일지!$D908,코드설정!$B$5:$B$21,업무일지!$E908)=0),"세부유형이 직무구분과 불일치; ",""))&amp;IF(AND(업무일지!$F908&lt;&gt;"",COUNTIF(사건마스터!$A$5:$A$64,업무일지!$F908)=0),"미등록 사건번호; ","")&amp;IF(AND(업무일지!$F908="",업무일지!$H908=""),"사건번호·업무명 모두 없음; ","")&amp;IF(업무일지!$J908="","담당자 없음; ","")&amp;IF(COUNTIF(코드설정!$F$5:$F$7,업무일지!$AG908)=0,"진행상태 누락; ","")))</f>
        <v/>
      </c>
    </row>
    <row r="941">
      <c r="A941" s="26" t="inlineStr">
        <is>
          <t>업무일지</t>
        </is>
      </c>
      <c r="B941" s="66" t="n">
        <v>909</v>
      </c>
      <c r="C941" s="122">
        <f>IF($D941="","",IFERROR(TEXT(업무일지!$B909,"yyyy-mm-dd"),"(날짜없음)")&amp;"  "&amp;업무일지!$F909&amp;"  "&amp;업무일지!$H909)</f>
        <v/>
      </c>
      <c r="D941" s="122">
        <f>IF(NOT(COUNTBLANK(업무일지!$B909:$AH909)&lt;33),"",TRIM(IF(업무일지!$B909="","시작일 누락; ","")&amp;IF(업무일지!$C909="","종료일 누락; ","")&amp;IF(AND(업무일지!$B909&lt;&gt;"",업무일지!$C909&lt;&gt;"",업무일지!$C909&lt;업무일지!$B909),"종료일이 시작일보다 빠름; ","")&amp;IF(COUNTIF(코드설정!$H$5:$H$7,업무일지!$D909)=0,"직무구분 누락; ","")&amp;IF(업무일지!$E909="","세부유형 누락; ",IF(AND(업무일지!$D909&lt;&gt;"",COUNTIFS(코드설정!$A$5:$A$21,업무일지!$D909,코드설정!$B$5:$B$21,업무일지!$E909)=0),"세부유형이 직무구분과 불일치; ",""))&amp;IF(AND(업무일지!$F909&lt;&gt;"",COUNTIF(사건마스터!$A$5:$A$64,업무일지!$F909)=0),"미등록 사건번호; ","")&amp;IF(AND(업무일지!$F909="",업무일지!$H909=""),"사건번호·업무명 모두 없음; ","")&amp;IF(업무일지!$J909="","담당자 없음; ","")&amp;IF(COUNTIF(코드설정!$F$5:$F$7,업무일지!$AG909)=0,"진행상태 누락; ","")))</f>
        <v/>
      </c>
    </row>
    <row r="942">
      <c r="A942" s="26" t="inlineStr">
        <is>
          <t>업무일지</t>
        </is>
      </c>
      <c r="B942" s="66" t="n">
        <v>910</v>
      </c>
      <c r="C942" s="122">
        <f>IF($D942="","",IFERROR(TEXT(업무일지!$B910,"yyyy-mm-dd"),"(날짜없음)")&amp;"  "&amp;업무일지!$F910&amp;"  "&amp;업무일지!$H910)</f>
        <v/>
      </c>
      <c r="D942" s="122">
        <f>IF(NOT(COUNTBLANK(업무일지!$B910:$AH910)&lt;33),"",TRIM(IF(업무일지!$B910="","시작일 누락; ","")&amp;IF(업무일지!$C910="","종료일 누락; ","")&amp;IF(AND(업무일지!$B910&lt;&gt;"",업무일지!$C910&lt;&gt;"",업무일지!$C910&lt;업무일지!$B910),"종료일이 시작일보다 빠름; ","")&amp;IF(COUNTIF(코드설정!$H$5:$H$7,업무일지!$D910)=0,"직무구분 누락; ","")&amp;IF(업무일지!$E910="","세부유형 누락; ",IF(AND(업무일지!$D910&lt;&gt;"",COUNTIFS(코드설정!$A$5:$A$21,업무일지!$D910,코드설정!$B$5:$B$21,업무일지!$E910)=0),"세부유형이 직무구분과 불일치; ",""))&amp;IF(AND(업무일지!$F910&lt;&gt;"",COUNTIF(사건마스터!$A$5:$A$64,업무일지!$F910)=0),"미등록 사건번호; ","")&amp;IF(AND(업무일지!$F910="",업무일지!$H910=""),"사건번호·업무명 모두 없음; ","")&amp;IF(업무일지!$J910="","담당자 없음; ","")&amp;IF(COUNTIF(코드설정!$F$5:$F$7,업무일지!$AG910)=0,"진행상태 누락; ","")))</f>
        <v/>
      </c>
    </row>
    <row r="943">
      <c r="A943" s="26" t="inlineStr">
        <is>
          <t>업무일지</t>
        </is>
      </c>
      <c r="B943" s="66" t="n">
        <v>911</v>
      </c>
      <c r="C943" s="122">
        <f>IF($D943="","",IFERROR(TEXT(업무일지!$B911,"yyyy-mm-dd"),"(날짜없음)")&amp;"  "&amp;업무일지!$F911&amp;"  "&amp;업무일지!$H911)</f>
        <v/>
      </c>
      <c r="D943" s="122">
        <f>IF(NOT(COUNTBLANK(업무일지!$B911:$AH911)&lt;33),"",TRIM(IF(업무일지!$B911="","시작일 누락; ","")&amp;IF(업무일지!$C911="","종료일 누락; ","")&amp;IF(AND(업무일지!$B911&lt;&gt;"",업무일지!$C911&lt;&gt;"",업무일지!$C911&lt;업무일지!$B911),"종료일이 시작일보다 빠름; ","")&amp;IF(COUNTIF(코드설정!$H$5:$H$7,업무일지!$D911)=0,"직무구분 누락; ","")&amp;IF(업무일지!$E911="","세부유형 누락; ",IF(AND(업무일지!$D911&lt;&gt;"",COUNTIFS(코드설정!$A$5:$A$21,업무일지!$D911,코드설정!$B$5:$B$21,업무일지!$E911)=0),"세부유형이 직무구분과 불일치; ",""))&amp;IF(AND(업무일지!$F911&lt;&gt;"",COUNTIF(사건마스터!$A$5:$A$64,업무일지!$F911)=0),"미등록 사건번호; ","")&amp;IF(AND(업무일지!$F911="",업무일지!$H911=""),"사건번호·업무명 모두 없음; ","")&amp;IF(업무일지!$J911="","담당자 없음; ","")&amp;IF(COUNTIF(코드설정!$F$5:$F$7,업무일지!$AG911)=0,"진행상태 누락; ","")))</f>
        <v/>
      </c>
    </row>
    <row r="944">
      <c r="A944" s="26" t="inlineStr">
        <is>
          <t>업무일지</t>
        </is>
      </c>
      <c r="B944" s="66" t="n">
        <v>912</v>
      </c>
      <c r="C944" s="122">
        <f>IF($D944="","",IFERROR(TEXT(업무일지!$B912,"yyyy-mm-dd"),"(날짜없음)")&amp;"  "&amp;업무일지!$F912&amp;"  "&amp;업무일지!$H912)</f>
        <v/>
      </c>
      <c r="D944" s="122">
        <f>IF(NOT(COUNTBLANK(업무일지!$B912:$AH912)&lt;33),"",TRIM(IF(업무일지!$B912="","시작일 누락; ","")&amp;IF(업무일지!$C912="","종료일 누락; ","")&amp;IF(AND(업무일지!$B912&lt;&gt;"",업무일지!$C912&lt;&gt;"",업무일지!$C912&lt;업무일지!$B912),"종료일이 시작일보다 빠름; ","")&amp;IF(COUNTIF(코드설정!$H$5:$H$7,업무일지!$D912)=0,"직무구분 누락; ","")&amp;IF(업무일지!$E912="","세부유형 누락; ",IF(AND(업무일지!$D912&lt;&gt;"",COUNTIFS(코드설정!$A$5:$A$21,업무일지!$D912,코드설정!$B$5:$B$21,업무일지!$E912)=0),"세부유형이 직무구분과 불일치; ",""))&amp;IF(AND(업무일지!$F912&lt;&gt;"",COUNTIF(사건마스터!$A$5:$A$64,업무일지!$F912)=0),"미등록 사건번호; ","")&amp;IF(AND(업무일지!$F912="",업무일지!$H912=""),"사건번호·업무명 모두 없음; ","")&amp;IF(업무일지!$J912="","담당자 없음; ","")&amp;IF(COUNTIF(코드설정!$F$5:$F$7,업무일지!$AG912)=0,"진행상태 누락; ","")))</f>
        <v/>
      </c>
    </row>
    <row r="945">
      <c r="A945" s="26" t="inlineStr">
        <is>
          <t>업무일지</t>
        </is>
      </c>
      <c r="B945" s="66" t="n">
        <v>913</v>
      </c>
      <c r="C945" s="122">
        <f>IF($D945="","",IFERROR(TEXT(업무일지!$B913,"yyyy-mm-dd"),"(날짜없음)")&amp;"  "&amp;업무일지!$F913&amp;"  "&amp;업무일지!$H913)</f>
        <v/>
      </c>
      <c r="D945" s="122">
        <f>IF(NOT(COUNTBLANK(업무일지!$B913:$AH913)&lt;33),"",TRIM(IF(업무일지!$B913="","시작일 누락; ","")&amp;IF(업무일지!$C913="","종료일 누락; ","")&amp;IF(AND(업무일지!$B913&lt;&gt;"",업무일지!$C913&lt;&gt;"",업무일지!$C913&lt;업무일지!$B913),"종료일이 시작일보다 빠름; ","")&amp;IF(COUNTIF(코드설정!$H$5:$H$7,업무일지!$D913)=0,"직무구분 누락; ","")&amp;IF(업무일지!$E913="","세부유형 누락; ",IF(AND(업무일지!$D913&lt;&gt;"",COUNTIFS(코드설정!$A$5:$A$21,업무일지!$D913,코드설정!$B$5:$B$21,업무일지!$E913)=0),"세부유형이 직무구분과 불일치; ",""))&amp;IF(AND(업무일지!$F913&lt;&gt;"",COUNTIF(사건마스터!$A$5:$A$64,업무일지!$F913)=0),"미등록 사건번호; ","")&amp;IF(AND(업무일지!$F913="",업무일지!$H913=""),"사건번호·업무명 모두 없음; ","")&amp;IF(업무일지!$J913="","담당자 없음; ","")&amp;IF(COUNTIF(코드설정!$F$5:$F$7,업무일지!$AG913)=0,"진행상태 누락; ","")))</f>
        <v/>
      </c>
    </row>
    <row r="946">
      <c r="A946" s="26" t="inlineStr">
        <is>
          <t>업무일지</t>
        </is>
      </c>
      <c r="B946" s="66" t="n">
        <v>914</v>
      </c>
      <c r="C946" s="122">
        <f>IF($D946="","",IFERROR(TEXT(업무일지!$B914,"yyyy-mm-dd"),"(날짜없음)")&amp;"  "&amp;업무일지!$F914&amp;"  "&amp;업무일지!$H914)</f>
        <v/>
      </c>
      <c r="D946" s="122">
        <f>IF(NOT(COUNTBLANK(업무일지!$B914:$AH914)&lt;33),"",TRIM(IF(업무일지!$B914="","시작일 누락; ","")&amp;IF(업무일지!$C914="","종료일 누락; ","")&amp;IF(AND(업무일지!$B914&lt;&gt;"",업무일지!$C914&lt;&gt;"",업무일지!$C914&lt;업무일지!$B914),"종료일이 시작일보다 빠름; ","")&amp;IF(COUNTIF(코드설정!$H$5:$H$7,업무일지!$D914)=0,"직무구분 누락; ","")&amp;IF(업무일지!$E914="","세부유형 누락; ",IF(AND(업무일지!$D914&lt;&gt;"",COUNTIFS(코드설정!$A$5:$A$21,업무일지!$D914,코드설정!$B$5:$B$21,업무일지!$E914)=0),"세부유형이 직무구분과 불일치; ",""))&amp;IF(AND(업무일지!$F914&lt;&gt;"",COUNTIF(사건마스터!$A$5:$A$64,업무일지!$F914)=0),"미등록 사건번호; ","")&amp;IF(AND(업무일지!$F914="",업무일지!$H914=""),"사건번호·업무명 모두 없음; ","")&amp;IF(업무일지!$J914="","담당자 없음; ","")&amp;IF(COUNTIF(코드설정!$F$5:$F$7,업무일지!$AG914)=0,"진행상태 누락; ","")))</f>
        <v/>
      </c>
    </row>
    <row r="947">
      <c r="A947" s="26" t="inlineStr">
        <is>
          <t>업무일지</t>
        </is>
      </c>
      <c r="B947" s="66" t="n">
        <v>915</v>
      </c>
      <c r="C947" s="122">
        <f>IF($D947="","",IFERROR(TEXT(업무일지!$B915,"yyyy-mm-dd"),"(날짜없음)")&amp;"  "&amp;업무일지!$F915&amp;"  "&amp;업무일지!$H915)</f>
        <v/>
      </c>
      <c r="D947" s="122">
        <f>IF(NOT(COUNTBLANK(업무일지!$B915:$AH915)&lt;33),"",TRIM(IF(업무일지!$B915="","시작일 누락; ","")&amp;IF(업무일지!$C915="","종료일 누락; ","")&amp;IF(AND(업무일지!$B915&lt;&gt;"",업무일지!$C915&lt;&gt;"",업무일지!$C915&lt;업무일지!$B915),"종료일이 시작일보다 빠름; ","")&amp;IF(COUNTIF(코드설정!$H$5:$H$7,업무일지!$D915)=0,"직무구분 누락; ","")&amp;IF(업무일지!$E915="","세부유형 누락; ",IF(AND(업무일지!$D915&lt;&gt;"",COUNTIFS(코드설정!$A$5:$A$21,업무일지!$D915,코드설정!$B$5:$B$21,업무일지!$E915)=0),"세부유형이 직무구분과 불일치; ",""))&amp;IF(AND(업무일지!$F915&lt;&gt;"",COUNTIF(사건마스터!$A$5:$A$64,업무일지!$F915)=0),"미등록 사건번호; ","")&amp;IF(AND(업무일지!$F915="",업무일지!$H915=""),"사건번호·업무명 모두 없음; ","")&amp;IF(업무일지!$J915="","담당자 없음; ","")&amp;IF(COUNTIF(코드설정!$F$5:$F$7,업무일지!$AG915)=0,"진행상태 누락; ","")))</f>
        <v/>
      </c>
    </row>
    <row r="948">
      <c r="A948" s="26" t="inlineStr">
        <is>
          <t>업무일지</t>
        </is>
      </c>
      <c r="B948" s="66" t="n">
        <v>916</v>
      </c>
      <c r="C948" s="122">
        <f>IF($D948="","",IFERROR(TEXT(업무일지!$B916,"yyyy-mm-dd"),"(날짜없음)")&amp;"  "&amp;업무일지!$F916&amp;"  "&amp;업무일지!$H916)</f>
        <v/>
      </c>
      <c r="D948" s="122">
        <f>IF(NOT(COUNTBLANK(업무일지!$B916:$AH916)&lt;33),"",TRIM(IF(업무일지!$B916="","시작일 누락; ","")&amp;IF(업무일지!$C916="","종료일 누락; ","")&amp;IF(AND(업무일지!$B916&lt;&gt;"",업무일지!$C916&lt;&gt;"",업무일지!$C916&lt;업무일지!$B916),"종료일이 시작일보다 빠름; ","")&amp;IF(COUNTIF(코드설정!$H$5:$H$7,업무일지!$D916)=0,"직무구분 누락; ","")&amp;IF(업무일지!$E916="","세부유형 누락; ",IF(AND(업무일지!$D916&lt;&gt;"",COUNTIFS(코드설정!$A$5:$A$21,업무일지!$D916,코드설정!$B$5:$B$21,업무일지!$E916)=0),"세부유형이 직무구분과 불일치; ",""))&amp;IF(AND(업무일지!$F916&lt;&gt;"",COUNTIF(사건마스터!$A$5:$A$64,업무일지!$F916)=0),"미등록 사건번호; ","")&amp;IF(AND(업무일지!$F916="",업무일지!$H916=""),"사건번호·업무명 모두 없음; ","")&amp;IF(업무일지!$J916="","담당자 없음; ","")&amp;IF(COUNTIF(코드설정!$F$5:$F$7,업무일지!$AG916)=0,"진행상태 누락; ","")))</f>
        <v/>
      </c>
    </row>
    <row r="949">
      <c r="A949" s="26" t="inlineStr">
        <is>
          <t>업무일지</t>
        </is>
      </c>
      <c r="B949" s="66" t="n">
        <v>917</v>
      </c>
      <c r="C949" s="122">
        <f>IF($D949="","",IFERROR(TEXT(업무일지!$B917,"yyyy-mm-dd"),"(날짜없음)")&amp;"  "&amp;업무일지!$F917&amp;"  "&amp;업무일지!$H917)</f>
        <v/>
      </c>
      <c r="D949" s="122">
        <f>IF(NOT(COUNTBLANK(업무일지!$B917:$AH917)&lt;33),"",TRIM(IF(업무일지!$B917="","시작일 누락; ","")&amp;IF(업무일지!$C917="","종료일 누락; ","")&amp;IF(AND(업무일지!$B917&lt;&gt;"",업무일지!$C917&lt;&gt;"",업무일지!$C917&lt;업무일지!$B917),"종료일이 시작일보다 빠름; ","")&amp;IF(COUNTIF(코드설정!$H$5:$H$7,업무일지!$D917)=0,"직무구분 누락; ","")&amp;IF(업무일지!$E917="","세부유형 누락; ",IF(AND(업무일지!$D917&lt;&gt;"",COUNTIFS(코드설정!$A$5:$A$21,업무일지!$D917,코드설정!$B$5:$B$21,업무일지!$E917)=0),"세부유형이 직무구분과 불일치; ",""))&amp;IF(AND(업무일지!$F917&lt;&gt;"",COUNTIF(사건마스터!$A$5:$A$64,업무일지!$F917)=0),"미등록 사건번호; ","")&amp;IF(AND(업무일지!$F917="",업무일지!$H917=""),"사건번호·업무명 모두 없음; ","")&amp;IF(업무일지!$J917="","담당자 없음; ","")&amp;IF(COUNTIF(코드설정!$F$5:$F$7,업무일지!$AG917)=0,"진행상태 누락; ","")))</f>
        <v/>
      </c>
    </row>
    <row r="950">
      <c r="A950" s="26" t="inlineStr">
        <is>
          <t>업무일지</t>
        </is>
      </c>
      <c r="B950" s="66" t="n">
        <v>918</v>
      </c>
      <c r="C950" s="122">
        <f>IF($D950="","",IFERROR(TEXT(업무일지!$B918,"yyyy-mm-dd"),"(날짜없음)")&amp;"  "&amp;업무일지!$F918&amp;"  "&amp;업무일지!$H918)</f>
        <v/>
      </c>
      <c r="D950" s="122">
        <f>IF(NOT(COUNTBLANK(업무일지!$B918:$AH918)&lt;33),"",TRIM(IF(업무일지!$B918="","시작일 누락; ","")&amp;IF(업무일지!$C918="","종료일 누락; ","")&amp;IF(AND(업무일지!$B918&lt;&gt;"",업무일지!$C918&lt;&gt;"",업무일지!$C918&lt;업무일지!$B918),"종료일이 시작일보다 빠름; ","")&amp;IF(COUNTIF(코드설정!$H$5:$H$7,업무일지!$D918)=0,"직무구분 누락; ","")&amp;IF(업무일지!$E918="","세부유형 누락; ",IF(AND(업무일지!$D918&lt;&gt;"",COUNTIFS(코드설정!$A$5:$A$21,업무일지!$D918,코드설정!$B$5:$B$21,업무일지!$E918)=0),"세부유형이 직무구분과 불일치; ",""))&amp;IF(AND(업무일지!$F918&lt;&gt;"",COUNTIF(사건마스터!$A$5:$A$64,업무일지!$F918)=0),"미등록 사건번호; ","")&amp;IF(AND(업무일지!$F918="",업무일지!$H918=""),"사건번호·업무명 모두 없음; ","")&amp;IF(업무일지!$J918="","담당자 없음; ","")&amp;IF(COUNTIF(코드설정!$F$5:$F$7,업무일지!$AG918)=0,"진행상태 누락; ","")))</f>
        <v/>
      </c>
    </row>
    <row r="951">
      <c r="A951" s="26" t="inlineStr">
        <is>
          <t>업무일지</t>
        </is>
      </c>
      <c r="B951" s="66" t="n">
        <v>919</v>
      </c>
      <c r="C951" s="122">
        <f>IF($D951="","",IFERROR(TEXT(업무일지!$B919,"yyyy-mm-dd"),"(날짜없음)")&amp;"  "&amp;업무일지!$F919&amp;"  "&amp;업무일지!$H919)</f>
        <v/>
      </c>
      <c r="D951" s="122">
        <f>IF(NOT(COUNTBLANK(업무일지!$B919:$AH919)&lt;33),"",TRIM(IF(업무일지!$B919="","시작일 누락; ","")&amp;IF(업무일지!$C919="","종료일 누락; ","")&amp;IF(AND(업무일지!$B919&lt;&gt;"",업무일지!$C919&lt;&gt;"",업무일지!$C919&lt;업무일지!$B919),"종료일이 시작일보다 빠름; ","")&amp;IF(COUNTIF(코드설정!$H$5:$H$7,업무일지!$D919)=0,"직무구분 누락; ","")&amp;IF(업무일지!$E919="","세부유형 누락; ",IF(AND(업무일지!$D919&lt;&gt;"",COUNTIFS(코드설정!$A$5:$A$21,업무일지!$D919,코드설정!$B$5:$B$21,업무일지!$E919)=0),"세부유형이 직무구분과 불일치; ",""))&amp;IF(AND(업무일지!$F919&lt;&gt;"",COUNTIF(사건마스터!$A$5:$A$64,업무일지!$F919)=0),"미등록 사건번호; ","")&amp;IF(AND(업무일지!$F919="",업무일지!$H919=""),"사건번호·업무명 모두 없음; ","")&amp;IF(업무일지!$J919="","담당자 없음; ","")&amp;IF(COUNTIF(코드설정!$F$5:$F$7,업무일지!$AG919)=0,"진행상태 누락; ","")))</f>
        <v/>
      </c>
    </row>
    <row r="952">
      <c r="A952" s="26" t="inlineStr">
        <is>
          <t>업무일지</t>
        </is>
      </c>
      <c r="B952" s="66" t="n">
        <v>920</v>
      </c>
      <c r="C952" s="122">
        <f>IF($D952="","",IFERROR(TEXT(업무일지!$B920,"yyyy-mm-dd"),"(날짜없음)")&amp;"  "&amp;업무일지!$F920&amp;"  "&amp;업무일지!$H920)</f>
        <v/>
      </c>
      <c r="D952" s="122">
        <f>IF(NOT(COUNTBLANK(업무일지!$B920:$AH920)&lt;33),"",TRIM(IF(업무일지!$B920="","시작일 누락; ","")&amp;IF(업무일지!$C920="","종료일 누락; ","")&amp;IF(AND(업무일지!$B920&lt;&gt;"",업무일지!$C920&lt;&gt;"",업무일지!$C920&lt;업무일지!$B920),"종료일이 시작일보다 빠름; ","")&amp;IF(COUNTIF(코드설정!$H$5:$H$7,업무일지!$D920)=0,"직무구분 누락; ","")&amp;IF(업무일지!$E920="","세부유형 누락; ",IF(AND(업무일지!$D920&lt;&gt;"",COUNTIFS(코드설정!$A$5:$A$21,업무일지!$D920,코드설정!$B$5:$B$21,업무일지!$E920)=0),"세부유형이 직무구분과 불일치; ",""))&amp;IF(AND(업무일지!$F920&lt;&gt;"",COUNTIF(사건마스터!$A$5:$A$64,업무일지!$F920)=0),"미등록 사건번호; ","")&amp;IF(AND(업무일지!$F920="",업무일지!$H920=""),"사건번호·업무명 모두 없음; ","")&amp;IF(업무일지!$J920="","담당자 없음; ","")&amp;IF(COUNTIF(코드설정!$F$5:$F$7,업무일지!$AG920)=0,"진행상태 누락; ","")))</f>
        <v/>
      </c>
    </row>
    <row r="953">
      <c r="A953" s="26" t="inlineStr">
        <is>
          <t>업무일지</t>
        </is>
      </c>
      <c r="B953" s="66" t="n">
        <v>921</v>
      </c>
      <c r="C953" s="122">
        <f>IF($D953="","",IFERROR(TEXT(업무일지!$B921,"yyyy-mm-dd"),"(날짜없음)")&amp;"  "&amp;업무일지!$F921&amp;"  "&amp;업무일지!$H921)</f>
        <v/>
      </c>
      <c r="D953" s="122">
        <f>IF(NOT(COUNTBLANK(업무일지!$B921:$AH921)&lt;33),"",TRIM(IF(업무일지!$B921="","시작일 누락; ","")&amp;IF(업무일지!$C921="","종료일 누락; ","")&amp;IF(AND(업무일지!$B921&lt;&gt;"",업무일지!$C921&lt;&gt;"",업무일지!$C921&lt;업무일지!$B921),"종료일이 시작일보다 빠름; ","")&amp;IF(COUNTIF(코드설정!$H$5:$H$7,업무일지!$D921)=0,"직무구분 누락; ","")&amp;IF(업무일지!$E921="","세부유형 누락; ",IF(AND(업무일지!$D921&lt;&gt;"",COUNTIFS(코드설정!$A$5:$A$21,업무일지!$D921,코드설정!$B$5:$B$21,업무일지!$E921)=0),"세부유형이 직무구분과 불일치; ",""))&amp;IF(AND(업무일지!$F921&lt;&gt;"",COUNTIF(사건마스터!$A$5:$A$64,업무일지!$F921)=0),"미등록 사건번호; ","")&amp;IF(AND(업무일지!$F921="",업무일지!$H921=""),"사건번호·업무명 모두 없음; ","")&amp;IF(업무일지!$J921="","담당자 없음; ","")&amp;IF(COUNTIF(코드설정!$F$5:$F$7,업무일지!$AG921)=0,"진행상태 누락; ","")))</f>
        <v/>
      </c>
    </row>
    <row r="954">
      <c r="A954" s="26" t="inlineStr">
        <is>
          <t>업무일지</t>
        </is>
      </c>
      <c r="B954" s="66" t="n">
        <v>922</v>
      </c>
      <c r="C954" s="122">
        <f>IF($D954="","",IFERROR(TEXT(업무일지!$B922,"yyyy-mm-dd"),"(날짜없음)")&amp;"  "&amp;업무일지!$F922&amp;"  "&amp;업무일지!$H922)</f>
        <v/>
      </c>
      <c r="D954" s="122">
        <f>IF(NOT(COUNTBLANK(업무일지!$B922:$AH922)&lt;33),"",TRIM(IF(업무일지!$B922="","시작일 누락; ","")&amp;IF(업무일지!$C922="","종료일 누락; ","")&amp;IF(AND(업무일지!$B922&lt;&gt;"",업무일지!$C922&lt;&gt;"",업무일지!$C922&lt;업무일지!$B922),"종료일이 시작일보다 빠름; ","")&amp;IF(COUNTIF(코드설정!$H$5:$H$7,업무일지!$D922)=0,"직무구분 누락; ","")&amp;IF(업무일지!$E922="","세부유형 누락; ",IF(AND(업무일지!$D922&lt;&gt;"",COUNTIFS(코드설정!$A$5:$A$21,업무일지!$D922,코드설정!$B$5:$B$21,업무일지!$E922)=0),"세부유형이 직무구분과 불일치; ",""))&amp;IF(AND(업무일지!$F922&lt;&gt;"",COUNTIF(사건마스터!$A$5:$A$64,업무일지!$F922)=0),"미등록 사건번호; ","")&amp;IF(AND(업무일지!$F922="",업무일지!$H922=""),"사건번호·업무명 모두 없음; ","")&amp;IF(업무일지!$J922="","담당자 없음; ","")&amp;IF(COUNTIF(코드설정!$F$5:$F$7,업무일지!$AG922)=0,"진행상태 누락; ","")))</f>
        <v/>
      </c>
    </row>
    <row r="955">
      <c r="A955" s="26" t="inlineStr">
        <is>
          <t>업무일지</t>
        </is>
      </c>
      <c r="B955" s="66" t="n">
        <v>923</v>
      </c>
      <c r="C955" s="122">
        <f>IF($D955="","",IFERROR(TEXT(업무일지!$B923,"yyyy-mm-dd"),"(날짜없음)")&amp;"  "&amp;업무일지!$F923&amp;"  "&amp;업무일지!$H923)</f>
        <v/>
      </c>
      <c r="D955" s="122">
        <f>IF(NOT(COUNTBLANK(업무일지!$B923:$AH923)&lt;33),"",TRIM(IF(업무일지!$B923="","시작일 누락; ","")&amp;IF(업무일지!$C923="","종료일 누락; ","")&amp;IF(AND(업무일지!$B923&lt;&gt;"",업무일지!$C923&lt;&gt;"",업무일지!$C923&lt;업무일지!$B923),"종료일이 시작일보다 빠름; ","")&amp;IF(COUNTIF(코드설정!$H$5:$H$7,업무일지!$D923)=0,"직무구분 누락; ","")&amp;IF(업무일지!$E923="","세부유형 누락; ",IF(AND(업무일지!$D923&lt;&gt;"",COUNTIFS(코드설정!$A$5:$A$21,업무일지!$D923,코드설정!$B$5:$B$21,업무일지!$E923)=0),"세부유형이 직무구분과 불일치; ",""))&amp;IF(AND(업무일지!$F923&lt;&gt;"",COUNTIF(사건마스터!$A$5:$A$64,업무일지!$F923)=0),"미등록 사건번호; ","")&amp;IF(AND(업무일지!$F923="",업무일지!$H923=""),"사건번호·업무명 모두 없음; ","")&amp;IF(업무일지!$J923="","담당자 없음; ","")&amp;IF(COUNTIF(코드설정!$F$5:$F$7,업무일지!$AG923)=0,"진행상태 누락; ","")))</f>
        <v/>
      </c>
    </row>
    <row r="956">
      <c r="A956" s="26" t="inlineStr">
        <is>
          <t>업무일지</t>
        </is>
      </c>
      <c r="B956" s="66" t="n">
        <v>924</v>
      </c>
      <c r="C956" s="122">
        <f>IF($D956="","",IFERROR(TEXT(업무일지!$B924,"yyyy-mm-dd"),"(날짜없음)")&amp;"  "&amp;업무일지!$F924&amp;"  "&amp;업무일지!$H924)</f>
        <v/>
      </c>
      <c r="D956" s="122">
        <f>IF(NOT(COUNTBLANK(업무일지!$B924:$AH924)&lt;33),"",TRIM(IF(업무일지!$B924="","시작일 누락; ","")&amp;IF(업무일지!$C924="","종료일 누락; ","")&amp;IF(AND(업무일지!$B924&lt;&gt;"",업무일지!$C924&lt;&gt;"",업무일지!$C924&lt;업무일지!$B924),"종료일이 시작일보다 빠름; ","")&amp;IF(COUNTIF(코드설정!$H$5:$H$7,업무일지!$D924)=0,"직무구분 누락; ","")&amp;IF(업무일지!$E924="","세부유형 누락; ",IF(AND(업무일지!$D924&lt;&gt;"",COUNTIFS(코드설정!$A$5:$A$21,업무일지!$D924,코드설정!$B$5:$B$21,업무일지!$E924)=0),"세부유형이 직무구분과 불일치; ",""))&amp;IF(AND(업무일지!$F924&lt;&gt;"",COUNTIF(사건마스터!$A$5:$A$64,업무일지!$F924)=0),"미등록 사건번호; ","")&amp;IF(AND(업무일지!$F924="",업무일지!$H924=""),"사건번호·업무명 모두 없음; ","")&amp;IF(업무일지!$J924="","담당자 없음; ","")&amp;IF(COUNTIF(코드설정!$F$5:$F$7,업무일지!$AG924)=0,"진행상태 누락; ","")))</f>
        <v/>
      </c>
    </row>
    <row r="957">
      <c r="A957" s="26" t="inlineStr">
        <is>
          <t>업무일지</t>
        </is>
      </c>
      <c r="B957" s="66" t="n">
        <v>925</v>
      </c>
      <c r="C957" s="122">
        <f>IF($D957="","",IFERROR(TEXT(업무일지!$B925,"yyyy-mm-dd"),"(날짜없음)")&amp;"  "&amp;업무일지!$F925&amp;"  "&amp;업무일지!$H925)</f>
        <v/>
      </c>
      <c r="D957" s="122">
        <f>IF(NOT(COUNTBLANK(업무일지!$B925:$AH925)&lt;33),"",TRIM(IF(업무일지!$B925="","시작일 누락; ","")&amp;IF(업무일지!$C925="","종료일 누락; ","")&amp;IF(AND(업무일지!$B925&lt;&gt;"",업무일지!$C925&lt;&gt;"",업무일지!$C925&lt;업무일지!$B925),"종료일이 시작일보다 빠름; ","")&amp;IF(COUNTIF(코드설정!$H$5:$H$7,업무일지!$D925)=0,"직무구분 누락; ","")&amp;IF(업무일지!$E925="","세부유형 누락; ",IF(AND(업무일지!$D925&lt;&gt;"",COUNTIFS(코드설정!$A$5:$A$21,업무일지!$D925,코드설정!$B$5:$B$21,업무일지!$E925)=0),"세부유형이 직무구분과 불일치; ",""))&amp;IF(AND(업무일지!$F925&lt;&gt;"",COUNTIF(사건마스터!$A$5:$A$64,업무일지!$F925)=0),"미등록 사건번호; ","")&amp;IF(AND(업무일지!$F925="",업무일지!$H925=""),"사건번호·업무명 모두 없음; ","")&amp;IF(업무일지!$J925="","담당자 없음; ","")&amp;IF(COUNTIF(코드설정!$F$5:$F$7,업무일지!$AG925)=0,"진행상태 누락; ","")))</f>
        <v/>
      </c>
    </row>
    <row r="958">
      <c r="A958" s="26" t="inlineStr">
        <is>
          <t>업무일지</t>
        </is>
      </c>
      <c r="B958" s="66" t="n">
        <v>926</v>
      </c>
      <c r="C958" s="122">
        <f>IF($D958="","",IFERROR(TEXT(업무일지!$B926,"yyyy-mm-dd"),"(날짜없음)")&amp;"  "&amp;업무일지!$F926&amp;"  "&amp;업무일지!$H926)</f>
        <v/>
      </c>
      <c r="D958" s="122">
        <f>IF(NOT(COUNTBLANK(업무일지!$B926:$AH926)&lt;33),"",TRIM(IF(업무일지!$B926="","시작일 누락; ","")&amp;IF(업무일지!$C926="","종료일 누락; ","")&amp;IF(AND(업무일지!$B926&lt;&gt;"",업무일지!$C926&lt;&gt;"",업무일지!$C926&lt;업무일지!$B926),"종료일이 시작일보다 빠름; ","")&amp;IF(COUNTIF(코드설정!$H$5:$H$7,업무일지!$D926)=0,"직무구분 누락; ","")&amp;IF(업무일지!$E926="","세부유형 누락; ",IF(AND(업무일지!$D926&lt;&gt;"",COUNTIFS(코드설정!$A$5:$A$21,업무일지!$D926,코드설정!$B$5:$B$21,업무일지!$E926)=0),"세부유형이 직무구분과 불일치; ",""))&amp;IF(AND(업무일지!$F926&lt;&gt;"",COUNTIF(사건마스터!$A$5:$A$64,업무일지!$F926)=0),"미등록 사건번호; ","")&amp;IF(AND(업무일지!$F926="",업무일지!$H926=""),"사건번호·업무명 모두 없음; ","")&amp;IF(업무일지!$J926="","담당자 없음; ","")&amp;IF(COUNTIF(코드설정!$F$5:$F$7,업무일지!$AG926)=0,"진행상태 누락; ","")))</f>
        <v/>
      </c>
    </row>
    <row r="959">
      <c r="A959" s="26" t="inlineStr">
        <is>
          <t>업무일지</t>
        </is>
      </c>
      <c r="B959" s="66" t="n">
        <v>927</v>
      </c>
      <c r="C959" s="122">
        <f>IF($D959="","",IFERROR(TEXT(업무일지!$B927,"yyyy-mm-dd"),"(날짜없음)")&amp;"  "&amp;업무일지!$F927&amp;"  "&amp;업무일지!$H927)</f>
        <v/>
      </c>
      <c r="D959" s="122">
        <f>IF(NOT(COUNTBLANK(업무일지!$B927:$AH927)&lt;33),"",TRIM(IF(업무일지!$B927="","시작일 누락; ","")&amp;IF(업무일지!$C927="","종료일 누락; ","")&amp;IF(AND(업무일지!$B927&lt;&gt;"",업무일지!$C927&lt;&gt;"",업무일지!$C927&lt;업무일지!$B927),"종료일이 시작일보다 빠름; ","")&amp;IF(COUNTIF(코드설정!$H$5:$H$7,업무일지!$D927)=0,"직무구분 누락; ","")&amp;IF(업무일지!$E927="","세부유형 누락; ",IF(AND(업무일지!$D927&lt;&gt;"",COUNTIFS(코드설정!$A$5:$A$21,업무일지!$D927,코드설정!$B$5:$B$21,업무일지!$E927)=0),"세부유형이 직무구분과 불일치; ",""))&amp;IF(AND(업무일지!$F927&lt;&gt;"",COUNTIF(사건마스터!$A$5:$A$64,업무일지!$F927)=0),"미등록 사건번호; ","")&amp;IF(AND(업무일지!$F927="",업무일지!$H927=""),"사건번호·업무명 모두 없음; ","")&amp;IF(업무일지!$J927="","담당자 없음; ","")&amp;IF(COUNTIF(코드설정!$F$5:$F$7,업무일지!$AG927)=0,"진행상태 누락; ","")))</f>
        <v/>
      </c>
    </row>
    <row r="960">
      <c r="A960" s="26" t="inlineStr">
        <is>
          <t>업무일지</t>
        </is>
      </c>
      <c r="B960" s="66" t="n">
        <v>928</v>
      </c>
      <c r="C960" s="122">
        <f>IF($D960="","",IFERROR(TEXT(업무일지!$B928,"yyyy-mm-dd"),"(날짜없음)")&amp;"  "&amp;업무일지!$F928&amp;"  "&amp;업무일지!$H928)</f>
        <v/>
      </c>
      <c r="D960" s="122">
        <f>IF(NOT(COUNTBLANK(업무일지!$B928:$AH928)&lt;33),"",TRIM(IF(업무일지!$B928="","시작일 누락; ","")&amp;IF(업무일지!$C928="","종료일 누락; ","")&amp;IF(AND(업무일지!$B928&lt;&gt;"",업무일지!$C928&lt;&gt;"",업무일지!$C928&lt;업무일지!$B928),"종료일이 시작일보다 빠름; ","")&amp;IF(COUNTIF(코드설정!$H$5:$H$7,업무일지!$D928)=0,"직무구분 누락; ","")&amp;IF(업무일지!$E928="","세부유형 누락; ",IF(AND(업무일지!$D928&lt;&gt;"",COUNTIFS(코드설정!$A$5:$A$21,업무일지!$D928,코드설정!$B$5:$B$21,업무일지!$E928)=0),"세부유형이 직무구분과 불일치; ",""))&amp;IF(AND(업무일지!$F928&lt;&gt;"",COUNTIF(사건마스터!$A$5:$A$64,업무일지!$F928)=0),"미등록 사건번호; ","")&amp;IF(AND(업무일지!$F928="",업무일지!$H928=""),"사건번호·업무명 모두 없음; ","")&amp;IF(업무일지!$J928="","담당자 없음; ","")&amp;IF(COUNTIF(코드설정!$F$5:$F$7,업무일지!$AG928)=0,"진행상태 누락; ","")))</f>
        <v/>
      </c>
    </row>
    <row r="961">
      <c r="A961" s="26" t="inlineStr">
        <is>
          <t>업무일지</t>
        </is>
      </c>
      <c r="B961" s="66" t="n">
        <v>929</v>
      </c>
      <c r="C961" s="122">
        <f>IF($D961="","",IFERROR(TEXT(업무일지!$B929,"yyyy-mm-dd"),"(날짜없음)")&amp;"  "&amp;업무일지!$F929&amp;"  "&amp;업무일지!$H929)</f>
        <v/>
      </c>
      <c r="D961" s="122">
        <f>IF(NOT(COUNTBLANK(업무일지!$B929:$AH929)&lt;33),"",TRIM(IF(업무일지!$B929="","시작일 누락; ","")&amp;IF(업무일지!$C929="","종료일 누락; ","")&amp;IF(AND(업무일지!$B929&lt;&gt;"",업무일지!$C929&lt;&gt;"",업무일지!$C929&lt;업무일지!$B929),"종료일이 시작일보다 빠름; ","")&amp;IF(COUNTIF(코드설정!$H$5:$H$7,업무일지!$D929)=0,"직무구분 누락; ","")&amp;IF(업무일지!$E929="","세부유형 누락; ",IF(AND(업무일지!$D929&lt;&gt;"",COUNTIFS(코드설정!$A$5:$A$21,업무일지!$D929,코드설정!$B$5:$B$21,업무일지!$E929)=0),"세부유형이 직무구분과 불일치; ",""))&amp;IF(AND(업무일지!$F929&lt;&gt;"",COUNTIF(사건마스터!$A$5:$A$64,업무일지!$F929)=0),"미등록 사건번호; ","")&amp;IF(AND(업무일지!$F929="",업무일지!$H929=""),"사건번호·업무명 모두 없음; ","")&amp;IF(업무일지!$J929="","담당자 없음; ","")&amp;IF(COUNTIF(코드설정!$F$5:$F$7,업무일지!$AG929)=0,"진행상태 누락; ","")))</f>
        <v/>
      </c>
    </row>
    <row r="962">
      <c r="A962" s="26" t="inlineStr">
        <is>
          <t>업무일지</t>
        </is>
      </c>
      <c r="B962" s="66" t="n">
        <v>930</v>
      </c>
      <c r="C962" s="122">
        <f>IF($D962="","",IFERROR(TEXT(업무일지!$B930,"yyyy-mm-dd"),"(날짜없음)")&amp;"  "&amp;업무일지!$F930&amp;"  "&amp;업무일지!$H930)</f>
        <v/>
      </c>
      <c r="D962" s="122">
        <f>IF(NOT(COUNTBLANK(업무일지!$B930:$AH930)&lt;33),"",TRIM(IF(업무일지!$B930="","시작일 누락; ","")&amp;IF(업무일지!$C930="","종료일 누락; ","")&amp;IF(AND(업무일지!$B930&lt;&gt;"",업무일지!$C930&lt;&gt;"",업무일지!$C930&lt;업무일지!$B930),"종료일이 시작일보다 빠름; ","")&amp;IF(COUNTIF(코드설정!$H$5:$H$7,업무일지!$D930)=0,"직무구분 누락; ","")&amp;IF(업무일지!$E930="","세부유형 누락; ",IF(AND(업무일지!$D930&lt;&gt;"",COUNTIFS(코드설정!$A$5:$A$21,업무일지!$D930,코드설정!$B$5:$B$21,업무일지!$E930)=0),"세부유형이 직무구분과 불일치; ",""))&amp;IF(AND(업무일지!$F930&lt;&gt;"",COUNTIF(사건마스터!$A$5:$A$64,업무일지!$F930)=0),"미등록 사건번호; ","")&amp;IF(AND(업무일지!$F930="",업무일지!$H930=""),"사건번호·업무명 모두 없음; ","")&amp;IF(업무일지!$J930="","담당자 없음; ","")&amp;IF(COUNTIF(코드설정!$F$5:$F$7,업무일지!$AG930)=0,"진행상태 누락; ","")))</f>
        <v/>
      </c>
    </row>
    <row r="963">
      <c r="A963" s="26" t="inlineStr">
        <is>
          <t>업무일지</t>
        </is>
      </c>
      <c r="B963" s="66" t="n">
        <v>931</v>
      </c>
      <c r="C963" s="122">
        <f>IF($D963="","",IFERROR(TEXT(업무일지!$B931,"yyyy-mm-dd"),"(날짜없음)")&amp;"  "&amp;업무일지!$F931&amp;"  "&amp;업무일지!$H931)</f>
        <v/>
      </c>
      <c r="D963" s="122">
        <f>IF(NOT(COUNTBLANK(업무일지!$B931:$AH931)&lt;33),"",TRIM(IF(업무일지!$B931="","시작일 누락; ","")&amp;IF(업무일지!$C931="","종료일 누락; ","")&amp;IF(AND(업무일지!$B931&lt;&gt;"",업무일지!$C931&lt;&gt;"",업무일지!$C931&lt;업무일지!$B931),"종료일이 시작일보다 빠름; ","")&amp;IF(COUNTIF(코드설정!$H$5:$H$7,업무일지!$D931)=0,"직무구분 누락; ","")&amp;IF(업무일지!$E931="","세부유형 누락; ",IF(AND(업무일지!$D931&lt;&gt;"",COUNTIFS(코드설정!$A$5:$A$21,업무일지!$D931,코드설정!$B$5:$B$21,업무일지!$E931)=0),"세부유형이 직무구분과 불일치; ",""))&amp;IF(AND(업무일지!$F931&lt;&gt;"",COUNTIF(사건마스터!$A$5:$A$64,업무일지!$F931)=0),"미등록 사건번호; ","")&amp;IF(AND(업무일지!$F931="",업무일지!$H931=""),"사건번호·업무명 모두 없음; ","")&amp;IF(업무일지!$J931="","담당자 없음; ","")&amp;IF(COUNTIF(코드설정!$F$5:$F$7,업무일지!$AG931)=0,"진행상태 누락; ","")))</f>
        <v/>
      </c>
    </row>
    <row r="964">
      <c r="A964" s="26" t="inlineStr">
        <is>
          <t>업무일지</t>
        </is>
      </c>
      <c r="B964" s="66" t="n">
        <v>932</v>
      </c>
      <c r="C964" s="122">
        <f>IF($D964="","",IFERROR(TEXT(업무일지!$B932,"yyyy-mm-dd"),"(날짜없음)")&amp;"  "&amp;업무일지!$F932&amp;"  "&amp;업무일지!$H932)</f>
        <v/>
      </c>
      <c r="D964" s="122">
        <f>IF(NOT(COUNTBLANK(업무일지!$B932:$AH932)&lt;33),"",TRIM(IF(업무일지!$B932="","시작일 누락; ","")&amp;IF(업무일지!$C932="","종료일 누락; ","")&amp;IF(AND(업무일지!$B932&lt;&gt;"",업무일지!$C932&lt;&gt;"",업무일지!$C932&lt;업무일지!$B932),"종료일이 시작일보다 빠름; ","")&amp;IF(COUNTIF(코드설정!$H$5:$H$7,업무일지!$D932)=0,"직무구분 누락; ","")&amp;IF(업무일지!$E932="","세부유형 누락; ",IF(AND(업무일지!$D932&lt;&gt;"",COUNTIFS(코드설정!$A$5:$A$21,업무일지!$D932,코드설정!$B$5:$B$21,업무일지!$E932)=0),"세부유형이 직무구분과 불일치; ",""))&amp;IF(AND(업무일지!$F932&lt;&gt;"",COUNTIF(사건마스터!$A$5:$A$64,업무일지!$F932)=0),"미등록 사건번호; ","")&amp;IF(AND(업무일지!$F932="",업무일지!$H932=""),"사건번호·업무명 모두 없음; ","")&amp;IF(업무일지!$J932="","담당자 없음; ","")&amp;IF(COUNTIF(코드설정!$F$5:$F$7,업무일지!$AG932)=0,"진행상태 누락; ","")))</f>
        <v/>
      </c>
    </row>
    <row r="965">
      <c r="A965" s="26" t="inlineStr">
        <is>
          <t>업무일지</t>
        </is>
      </c>
      <c r="B965" s="66" t="n">
        <v>933</v>
      </c>
      <c r="C965" s="122">
        <f>IF($D965="","",IFERROR(TEXT(업무일지!$B933,"yyyy-mm-dd"),"(날짜없음)")&amp;"  "&amp;업무일지!$F933&amp;"  "&amp;업무일지!$H933)</f>
        <v/>
      </c>
      <c r="D965" s="122">
        <f>IF(NOT(COUNTBLANK(업무일지!$B933:$AH933)&lt;33),"",TRIM(IF(업무일지!$B933="","시작일 누락; ","")&amp;IF(업무일지!$C933="","종료일 누락; ","")&amp;IF(AND(업무일지!$B933&lt;&gt;"",업무일지!$C933&lt;&gt;"",업무일지!$C933&lt;업무일지!$B933),"종료일이 시작일보다 빠름; ","")&amp;IF(COUNTIF(코드설정!$H$5:$H$7,업무일지!$D933)=0,"직무구분 누락; ","")&amp;IF(업무일지!$E933="","세부유형 누락; ",IF(AND(업무일지!$D933&lt;&gt;"",COUNTIFS(코드설정!$A$5:$A$21,업무일지!$D933,코드설정!$B$5:$B$21,업무일지!$E933)=0),"세부유형이 직무구분과 불일치; ",""))&amp;IF(AND(업무일지!$F933&lt;&gt;"",COUNTIF(사건마스터!$A$5:$A$64,업무일지!$F933)=0),"미등록 사건번호; ","")&amp;IF(AND(업무일지!$F933="",업무일지!$H933=""),"사건번호·업무명 모두 없음; ","")&amp;IF(업무일지!$J933="","담당자 없음; ","")&amp;IF(COUNTIF(코드설정!$F$5:$F$7,업무일지!$AG933)=0,"진행상태 누락; ","")))</f>
        <v/>
      </c>
    </row>
    <row r="966">
      <c r="A966" s="26" t="inlineStr">
        <is>
          <t>업무일지</t>
        </is>
      </c>
      <c r="B966" s="66" t="n">
        <v>934</v>
      </c>
      <c r="C966" s="122">
        <f>IF($D966="","",IFERROR(TEXT(업무일지!$B934,"yyyy-mm-dd"),"(날짜없음)")&amp;"  "&amp;업무일지!$F934&amp;"  "&amp;업무일지!$H934)</f>
        <v/>
      </c>
      <c r="D966" s="122">
        <f>IF(NOT(COUNTBLANK(업무일지!$B934:$AH934)&lt;33),"",TRIM(IF(업무일지!$B934="","시작일 누락; ","")&amp;IF(업무일지!$C934="","종료일 누락; ","")&amp;IF(AND(업무일지!$B934&lt;&gt;"",업무일지!$C934&lt;&gt;"",업무일지!$C934&lt;업무일지!$B934),"종료일이 시작일보다 빠름; ","")&amp;IF(COUNTIF(코드설정!$H$5:$H$7,업무일지!$D934)=0,"직무구분 누락; ","")&amp;IF(업무일지!$E934="","세부유형 누락; ",IF(AND(업무일지!$D934&lt;&gt;"",COUNTIFS(코드설정!$A$5:$A$21,업무일지!$D934,코드설정!$B$5:$B$21,업무일지!$E934)=0),"세부유형이 직무구분과 불일치; ",""))&amp;IF(AND(업무일지!$F934&lt;&gt;"",COUNTIF(사건마스터!$A$5:$A$64,업무일지!$F934)=0),"미등록 사건번호; ","")&amp;IF(AND(업무일지!$F934="",업무일지!$H934=""),"사건번호·업무명 모두 없음; ","")&amp;IF(업무일지!$J934="","담당자 없음; ","")&amp;IF(COUNTIF(코드설정!$F$5:$F$7,업무일지!$AG934)=0,"진행상태 누락; ","")))</f>
        <v/>
      </c>
    </row>
    <row r="967">
      <c r="A967" s="26" t="inlineStr">
        <is>
          <t>업무일지</t>
        </is>
      </c>
      <c r="B967" s="66" t="n">
        <v>935</v>
      </c>
      <c r="C967" s="122">
        <f>IF($D967="","",IFERROR(TEXT(업무일지!$B935,"yyyy-mm-dd"),"(날짜없음)")&amp;"  "&amp;업무일지!$F935&amp;"  "&amp;업무일지!$H935)</f>
        <v/>
      </c>
      <c r="D967" s="122">
        <f>IF(NOT(COUNTBLANK(업무일지!$B935:$AH935)&lt;33),"",TRIM(IF(업무일지!$B935="","시작일 누락; ","")&amp;IF(업무일지!$C935="","종료일 누락; ","")&amp;IF(AND(업무일지!$B935&lt;&gt;"",업무일지!$C935&lt;&gt;"",업무일지!$C935&lt;업무일지!$B935),"종료일이 시작일보다 빠름; ","")&amp;IF(COUNTIF(코드설정!$H$5:$H$7,업무일지!$D935)=0,"직무구분 누락; ","")&amp;IF(업무일지!$E935="","세부유형 누락; ",IF(AND(업무일지!$D935&lt;&gt;"",COUNTIFS(코드설정!$A$5:$A$21,업무일지!$D935,코드설정!$B$5:$B$21,업무일지!$E935)=0),"세부유형이 직무구분과 불일치; ",""))&amp;IF(AND(업무일지!$F935&lt;&gt;"",COUNTIF(사건마스터!$A$5:$A$64,업무일지!$F935)=0),"미등록 사건번호; ","")&amp;IF(AND(업무일지!$F935="",업무일지!$H935=""),"사건번호·업무명 모두 없음; ","")&amp;IF(업무일지!$J935="","담당자 없음; ","")&amp;IF(COUNTIF(코드설정!$F$5:$F$7,업무일지!$AG935)=0,"진행상태 누락; ","")))</f>
        <v/>
      </c>
    </row>
    <row r="968">
      <c r="A968" s="26" t="inlineStr">
        <is>
          <t>업무일지</t>
        </is>
      </c>
      <c r="B968" s="66" t="n">
        <v>936</v>
      </c>
      <c r="C968" s="122">
        <f>IF($D968="","",IFERROR(TEXT(업무일지!$B936,"yyyy-mm-dd"),"(날짜없음)")&amp;"  "&amp;업무일지!$F936&amp;"  "&amp;업무일지!$H936)</f>
        <v/>
      </c>
      <c r="D968" s="122">
        <f>IF(NOT(COUNTBLANK(업무일지!$B936:$AH936)&lt;33),"",TRIM(IF(업무일지!$B936="","시작일 누락; ","")&amp;IF(업무일지!$C936="","종료일 누락; ","")&amp;IF(AND(업무일지!$B936&lt;&gt;"",업무일지!$C936&lt;&gt;"",업무일지!$C936&lt;업무일지!$B936),"종료일이 시작일보다 빠름; ","")&amp;IF(COUNTIF(코드설정!$H$5:$H$7,업무일지!$D936)=0,"직무구분 누락; ","")&amp;IF(업무일지!$E936="","세부유형 누락; ",IF(AND(업무일지!$D936&lt;&gt;"",COUNTIFS(코드설정!$A$5:$A$21,업무일지!$D936,코드설정!$B$5:$B$21,업무일지!$E936)=0),"세부유형이 직무구분과 불일치; ",""))&amp;IF(AND(업무일지!$F936&lt;&gt;"",COUNTIF(사건마스터!$A$5:$A$64,업무일지!$F936)=0),"미등록 사건번호; ","")&amp;IF(AND(업무일지!$F936="",업무일지!$H936=""),"사건번호·업무명 모두 없음; ","")&amp;IF(업무일지!$J936="","담당자 없음; ","")&amp;IF(COUNTIF(코드설정!$F$5:$F$7,업무일지!$AG936)=0,"진행상태 누락; ","")))</f>
        <v/>
      </c>
    </row>
    <row r="969">
      <c r="A969" s="26" t="inlineStr">
        <is>
          <t>업무일지</t>
        </is>
      </c>
      <c r="B969" s="66" t="n">
        <v>937</v>
      </c>
      <c r="C969" s="122">
        <f>IF($D969="","",IFERROR(TEXT(업무일지!$B937,"yyyy-mm-dd"),"(날짜없음)")&amp;"  "&amp;업무일지!$F937&amp;"  "&amp;업무일지!$H937)</f>
        <v/>
      </c>
      <c r="D969" s="122">
        <f>IF(NOT(COUNTBLANK(업무일지!$B937:$AH937)&lt;33),"",TRIM(IF(업무일지!$B937="","시작일 누락; ","")&amp;IF(업무일지!$C937="","종료일 누락; ","")&amp;IF(AND(업무일지!$B937&lt;&gt;"",업무일지!$C937&lt;&gt;"",업무일지!$C937&lt;업무일지!$B937),"종료일이 시작일보다 빠름; ","")&amp;IF(COUNTIF(코드설정!$H$5:$H$7,업무일지!$D937)=0,"직무구분 누락; ","")&amp;IF(업무일지!$E937="","세부유형 누락; ",IF(AND(업무일지!$D937&lt;&gt;"",COUNTIFS(코드설정!$A$5:$A$21,업무일지!$D937,코드설정!$B$5:$B$21,업무일지!$E937)=0),"세부유형이 직무구분과 불일치; ",""))&amp;IF(AND(업무일지!$F937&lt;&gt;"",COUNTIF(사건마스터!$A$5:$A$64,업무일지!$F937)=0),"미등록 사건번호; ","")&amp;IF(AND(업무일지!$F937="",업무일지!$H937=""),"사건번호·업무명 모두 없음; ","")&amp;IF(업무일지!$J937="","담당자 없음; ","")&amp;IF(COUNTIF(코드설정!$F$5:$F$7,업무일지!$AG937)=0,"진행상태 누락; ","")))</f>
        <v/>
      </c>
    </row>
    <row r="970">
      <c r="A970" s="26" t="inlineStr">
        <is>
          <t>업무일지</t>
        </is>
      </c>
      <c r="B970" s="66" t="n">
        <v>938</v>
      </c>
      <c r="C970" s="122">
        <f>IF($D970="","",IFERROR(TEXT(업무일지!$B938,"yyyy-mm-dd"),"(날짜없음)")&amp;"  "&amp;업무일지!$F938&amp;"  "&amp;업무일지!$H938)</f>
        <v/>
      </c>
      <c r="D970" s="122">
        <f>IF(NOT(COUNTBLANK(업무일지!$B938:$AH938)&lt;33),"",TRIM(IF(업무일지!$B938="","시작일 누락; ","")&amp;IF(업무일지!$C938="","종료일 누락; ","")&amp;IF(AND(업무일지!$B938&lt;&gt;"",업무일지!$C938&lt;&gt;"",업무일지!$C938&lt;업무일지!$B938),"종료일이 시작일보다 빠름; ","")&amp;IF(COUNTIF(코드설정!$H$5:$H$7,업무일지!$D938)=0,"직무구분 누락; ","")&amp;IF(업무일지!$E938="","세부유형 누락; ",IF(AND(업무일지!$D938&lt;&gt;"",COUNTIFS(코드설정!$A$5:$A$21,업무일지!$D938,코드설정!$B$5:$B$21,업무일지!$E938)=0),"세부유형이 직무구분과 불일치; ",""))&amp;IF(AND(업무일지!$F938&lt;&gt;"",COUNTIF(사건마스터!$A$5:$A$64,업무일지!$F938)=0),"미등록 사건번호; ","")&amp;IF(AND(업무일지!$F938="",업무일지!$H938=""),"사건번호·업무명 모두 없음; ","")&amp;IF(업무일지!$J938="","담당자 없음; ","")&amp;IF(COUNTIF(코드설정!$F$5:$F$7,업무일지!$AG938)=0,"진행상태 누락; ","")))</f>
        <v/>
      </c>
    </row>
    <row r="971">
      <c r="A971" s="26" t="inlineStr">
        <is>
          <t>업무일지</t>
        </is>
      </c>
      <c r="B971" s="66" t="n">
        <v>939</v>
      </c>
      <c r="C971" s="122">
        <f>IF($D971="","",IFERROR(TEXT(업무일지!$B939,"yyyy-mm-dd"),"(날짜없음)")&amp;"  "&amp;업무일지!$F939&amp;"  "&amp;업무일지!$H939)</f>
        <v/>
      </c>
      <c r="D971" s="122">
        <f>IF(NOT(COUNTBLANK(업무일지!$B939:$AH939)&lt;33),"",TRIM(IF(업무일지!$B939="","시작일 누락; ","")&amp;IF(업무일지!$C939="","종료일 누락; ","")&amp;IF(AND(업무일지!$B939&lt;&gt;"",업무일지!$C939&lt;&gt;"",업무일지!$C939&lt;업무일지!$B939),"종료일이 시작일보다 빠름; ","")&amp;IF(COUNTIF(코드설정!$H$5:$H$7,업무일지!$D939)=0,"직무구분 누락; ","")&amp;IF(업무일지!$E939="","세부유형 누락; ",IF(AND(업무일지!$D939&lt;&gt;"",COUNTIFS(코드설정!$A$5:$A$21,업무일지!$D939,코드설정!$B$5:$B$21,업무일지!$E939)=0),"세부유형이 직무구분과 불일치; ",""))&amp;IF(AND(업무일지!$F939&lt;&gt;"",COUNTIF(사건마스터!$A$5:$A$64,업무일지!$F939)=0),"미등록 사건번호; ","")&amp;IF(AND(업무일지!$F939="",업무일지!$H939=""),"사건번호·업무명 모두 없음; ","")&amp;IF(업무일지!$J939="","담당자 없음; ","")&amp;IF(COUNTIF(코드설정!$F$5:$F$7,업무일지!$AG939)=0,"진행상태 누락; ","")))</f>
        <v/>
      </c>
    </row>
    <row r="972">
      <c r="A972" s="26" t="inlineStr">
        <is>
          <t>업무일지</t>
        </is>
      </c>
      <c r="B972" s="66" t="n">
        <v>940</v>
      </c>
      <c r="C972" s="122">
        <f>IF($D972="","",IFERROR(TEXT(업무일지!$B940,"yyyy-mm-dd"),"(날짜없음)")&amp;"  "&amp;업무일지!$F940&amp;"  "&amp;업무일지!$H940)</f>
        <v/>
      </c>
      <c r="D972" s="122">
        <f>IF(NOT(COUNTBLANK(업무일지!$B940:$AH940)&lt;33),"",TRIM(IF(업무일지!$B940="","시작일 누락; ","")&amp;IF(업무일지!$C940="","종료일 누락; ","")&amp;IF(AND(업무일지!$B940&lt;&gt;"",업무일지!$C940&lt;&gt;"",업무일지!$C940&lt;업무일지!$B940),"종료일이 시작일보다 빠름; ","")&amp;IF(COUNTIF(코드설정!$H$5:$H$7,업무일지!$D940)=0,"직무구분 누락; ","")&amp;IF(업무일지!$E940="","세부유형 누락; ",IF(AND(업무일지!$D940&lt;&gt;"",COUNTIFS(코드설정!$A$5:$A$21,업무일지!$D940,코드설정!$B$5:$B$21,업무일지!$E940)=0),"세부유형이 직무구분과 불일치; ",""))&amp;IF(AND(업무일지!$F940&lt;&gt;"",COUNTIF(사건마스터!$A$5:$A$64,업무일지!$F940)=0),"미등록 사건번호; ","")&amp;IF(AND(업무일지!$F940="",업무일지!$H940=""),"사건번호·업무명 모두 없음; ","")&amp;IF(업무일지!$J940="","담당자 없음; ","")&amp;IF(COUNTIF(코드설정!$F$5:$F$7,업무일지!$AG940)=0,"진행상태 누락; ","")))</f>
        <v/>
      </c>
    </row>
    <row r="973">
      <c r="A973" s="26" t="inlineStr">
        <is>
          <t>업무일지</t>
        </is>
      </c>
      <c r="B973" s="66" t="n">
        <v>941</v>
      </c>
      <c r="C973" s="122">
        <f>IF($D973="","",IFERROR(TEXT(업무일지!$B941,"yyyy-mm-dd"),"(날짜없음)")&amp;"  "&amp;업무일지!$F941&amp;"  "&amp;업무일지!$H941)</f>
        <v/>
      </c>
      <c r="D973" s="122">
        <f>IF(NOT(COUNTBLANK(업무일지!$B941:$AH941)&lt;33),"",TRIM(IF(업무일지!$B941="","시작일 누락; ","")&amp;IF(업무일지!$C941="","종료일 누락; ","")&amp;IF(AND(업무일지!$B941&lt;&gt;"",업무일지!$C941&lt;&gt;"",업무일지!$C941&lt;업무일지!$B941),"종료일이 시작일보다 빠름; ","")&amp;IF(COUNTIF(코드설정!$H$5:$H$7,업무일지!$D941)=0,"직무구분 누락; ","")&amp;IF(업무일지!$E941="","세부유형 누락; ",IF(AND(업무일지!$D941&lt;&gt;"",COUNTIFS(코드설정!$A$5:$A$21,업무일지!$D941,코드설정!$B$5:$B$21,업무일지!$E941)=0),"세부유형이 직무구분과 불일치; ",""))&amp;IF(AND(업무일지!$F941&lt;&gt;"",COUNTIF(사건마스터!$A$5:$A$64,업무일지!$F941)=0),"미등록 사건번호; ","")&amp;IF(AND(업무일지!$F941="",업무일지!$H941=""),"사건번호·업무명 모두 없음; ","")&amp;IF(업무일지!$J941="","담당자 없음; ","")&amp;IF(COUNTIF(코드설정!$F$5:$F$7,업무일지!$AG941)=0,"진행상태 누락; ","")))</f>
        <v/>
      </c>
    </row>
    <row r="974">
      <c r="A974" s="26" t="inlineStr">
        <is>
          <t>업무일지</t>
        </is>
      </c>
      <c r="B974" s="66" t="n">
        <v>942</v>
      </c>
      <c r="C974" s="122">
        <f>IF($D974="","",IFERROR(TEXT(업무일지!$B942,"yyyy-mm-dd"),"(날짜없음)")&amp;"  "&amp;업무일지!$F942&amp;"  "&amp;업무일지!$H942)</f>
        <v/>
      </c>
      <c r="D974" s="122">
        <f>IF(NOT(COUNTBLANK(업무일지!$B942:$AH942)&lt;33),"",TRIM(IF(업무일지!$B942="","시작일 누락; ","")&amp;IF(업무일지!$C942="","종료일 누락; ","")&amp;IF(AND(업무일지!$B942&lt;&gt;"",업무일지!$C942&lt;&gt;"",업무일지!$C942&lt;업무일지!$B942),"종료일이 시작일보다 빠름; ","")&amp;IF(COUNTIF(코드설정!$H$5:$H$7,업무일지!$D942)=0,"직무구분 누락; ","")&amp;IF(업무일지!$E942="","세부유형 누락; ",IF(AND(업무일지!$D942&lt;&gt;"",COUNTIFS(코드설정!$A$5:$A$21,업무일지!$D942,코드설정!$B$5:$B$21,업무일지!$E942)=0),"세부유형이 직무구분과 불일치; ",""))&amp;IF(AND(업무일지!$F942&lt;&gt;"",COUNTIF(사건마스터!$A$5:$A$64,업무일지!$F942)=0),"미등록 사건번호; ","")&amp;IF(AND(업무일지!$F942="",업무일지!$H942=""),"사건번호·업무명 모두 없음; ","")&amp;IF(업무일지!$J942="","담당자 없음; ","")&amp;IF(COUNTIF(코드설정!$F$5:$F$7,업무일지!$AG942)=0,"진행상태 누락; ","")))</f>
        <v/>
      </c>
    </row>
    <row r="975">
      <c r="A975" s="26" t="inlineStr">
        <is>
          <t>업무일지</t>
        </is>
      </c>
      <c r="B975" s="66" t="n">
        <v>943</v>
      </c>
      <c r="C975" s="122">
        <f>IF($D975="","",IFERROR(TEXT(업무일지!$B943,"yyyy-mm-dd"),"(날짜없음)")&amp;"  "&amp;업무일지!$F943&amp;"  "&amp;업무일지!$H943)</f>
        <v/>
      </c>
      <c r="D975" s="122">
        <f>IF(NOT(COUNTBLANK(업무일지!$B943:$AH943)&lt;33),"",TRIM(IF(업무일지!$B943="","시작일 누락; ","")&amp;IF(업무일지!$C943="","종료일 누락; ","")&amp;IF(AND(업무일지!$B943&lt;&gt;"",업무일지!$C943&lt;&gt;"",업무일지!$C943&lt;업무일지!$B943),"종료일이 시작일보다 빠름; ","")&amp;IF(COUNTIF(코드설정!$H$5:$H$7,업무일지!$D943)=0,"직무구분 누락; ","")&amp;IF(업무일지!$E943="","세부유형 누락; ",IF(AND(업무일지!$D943&lt;&gt;"",COUNTIFS(코드설정!$A$5:$A$21,업무일지!$D943,코드설정!$B$5:$B$21,업무일지!$E943)=0),"세부유형이 직무구분과 불일치; ",""))&amp;IF(AND(업무일지!$F943&lt;&gt;"",COUNTIF(사건마스터!$A$5:$A$64,업무일지!$F943)=0),"미등록 사건번호; ","")&amp;IF(AND(업무일지!$F943="",업무일지!$H943=""),"사건번호·업무명 모두 없음; ","")&amp;IF(업무일지!$J943="","담당자 없음; ","")&amp;IF(COUNTIF(코드설정!$F$5:$F$7,업무일지!$AG943)=0,"진행상태 누락; ","")))</f>
        <v/>
      </c>
    </row>
    <row r="976">
      <c r="A976" s="26" t="inlineStr">
        <is>
          <t>업무일지</t>
        </is>
      </c>
      <c r="B976" s="66" t="n">
        <v>944</v>
      </c>
      <c r="C976" s="122">
        <f>IF($D976="","",IFERROR(TEXT(업무일지!$B944,"yyyy-mm-dd"),"(날짜없음)")&amp;"  "&amp;업무일지!$F944&amp;"  "&amp;업무일지!$H944)</f>
        <v/>
      </c>
      <c r="D976" s="122">
        <f>IF(NOT(COUNTBLANK(업무일지!$B944:$AH944)&lt;33),"",TRIM(IF(업무일지!$B944="","시작일 누락; ","")&amp;IF(업무일지!$C944="","종료일 누락; ","")&amp;IF(AND(업무일지!$B944&lt;&gt;"",업무일지!$C944&lt;&gt;"",업무일지!$C944&lt;업무일지!$B944),"종료일이 시작일보다 빠름; ","")&amp;IF(COUNTIF(코드설정!$H$5:$H$7,업무일지!$D944)=0,"직무구분 누락; ","")&amp;IF(업무일지!$E944="","세부유형 누락; ",IF(AND(업무일지!$D944&lt;&gt;"",COUNTIFS(코드설정!$A$5:$A$21,업무일지!$D944,코드설정!$B$5:$B$21,업무일지!$E944)=0),"세부유형이 직무구분과 불일치; ",""))&amp;IF(AND(업무일지!$F944&lt;&gt;"",COUNTIF(사건마스터!$A$5:$A$64,업무일지!$F944)=0),"미등록 사건번호; ","")&amp;IF(AND(업무일지!$F944="",업무일지!$H944=""),"사건번호·업무명 모두 없음; ","")&amp;IF(업무일지!$J944="","담당자 없음; ","")&amp;IF(COUNTIF(코드설정!$F$5:$F$7,업무일지!$AG944)=0,"진행상태 누락; ","")))</f>
        <v/>
      </c>
    </row>
    <row r="977">
      <c r="A977" s="26" t="inlineStr">
        <is>
          <t>업무일지</t>
        </is>
      </c>
      <c r="B977" s="66" t="n">
        <v>945</v>
      </c>
      <c r="C977" s="122">
        <f>IF($D977="","",IFERROR(TEXT(업무일지!$B945,"yyyy-mm-dd"),"(날짜없음)")&amp;"  "&amp;업무일지!$F945&amp;"  "&amp;업무일지!$H945)</f>
        <v/>
      </c>
      <c r="D977" s="122">
        <f>IF(NOT(COUNTBLANK(업무일지!$B945:$AH945)&lt;33),"",TRIM(IF(업무일지!$B945="","시작일 누락; ","")&amp;IF(업무일지!$C945="","종료일 누락; ","")&amp;IF(AND(업무일지!$B945&lt;&gt;"",업무일지!$C945&lt;&gt;"",업무일지!$C945&lt;업무일지!$B945),"종료일이 시작일보다 빠름; ","")&amp;IF(COUNTIF(코드설정!$H$5:$H$7,업무일지!$D945)=0,"직무구분 누락; ","")&amp;IF(업무일지!$E945="","세부유형 누락; ",IF(AND(업무일지!$D945&lt;&gt;"",COUNTIFS(코드설정!$A$5:$A$21,업무일지!$D945,코드설정!$B$5:$B$21,업무일지!$E945)=0),"세부유형이 직무구분과 불일치; ",""))&amp;IF(AND(업무일지!$F945&lt;&gt;"",COUNTIF(사건마스터!$A$5:$A$64,업무일지!$F945)=0),"미등록 사건번호; ","")&amp;IF(AND(업무일지!$F945="",업무일지!$H945=""),"사건번호·업무명 모두 없음; ","")&amp;IF(업무일지!$J945="","담당자 없음; ","")&amp;IF(COUNTIF(코드설정!$F$5:$F$7,업무일지!$AG945)=0,"진행상태 누락; ","")))</f>
        <v/>
      </c>
    </row>
    <row r="978">
      <c r="A978" s="26" t="inlineStr">
        <is>
          <t>업무일지</t>
        </is>
      </c>
      <c r="B978" s="66" t="n">
        <v>946</v>
      </c>
      <c r="C978" s="122">
        <f>IF($D978="","",IFERROR(TEXT(업무일지!$B946,"yyyy-mm-dd"),"(날짜없음)")&amp;"  "&amp;업무일지!$F946&amp;"  "&amp;업무일지!$H946)</f>
        <v/>
      </c>
      <c r="D978" s="122">
        <f>IF(NOT(COUNTBLANK(업무일지!$B946:$AH946)&lt;33),"",TRIM(IF(업무일지!$B946="","시작일 누락; ","")&amp;IF(업무일지!$C946="","종료일 누락; ","")&amp;IF(AND(업무일지!$B946&lt;&gt;"",업무일지!$C946&lt;&gt;"",업무일지!$C946&lt;업무일지!$B946),"종료일이 시작일보다 빠름; ","")&amp;IF(COUNTIF(코드설정!$H$5:$H$7,업무일지!$D946)=0,"직무구분 누락; ","")&amp;IF(업무일지!$E946="","세부유형 누락; ",IF(AND(업무일지!$D946&lt;&gt;"",COUNTIFS(코드설정!$A$5:$A$21,업무일지!$D946,코드설정!$B$5:$B$21,업무일지!$E946)=0),"세부유형이 직무구분과 불일치; ",""))&amp;IF(AND(업무일지!$F946&lt;&gt;"",COUNTIF(사건마스터!$A$5:$A$64,업무일지!$F946)=0),"미등록 사건번호; ","")&amp;IF(AND(업무일지!$F946="",업무일지!$H946=""),"사건번호·업무명 모두 없음; ","")&amp;IF(업무일지!$J946="","담당자 없음; ","")&amp;IF(COUNTIF(코드설정!$F$5:$F$7,업무일지!$AG946)=0,"진행상태 누락; ","")))</f>
        <v/>
      </c>
    </row>
    <row r="979">
      <c r="A979" s="26" t="inlineStr">
        <is>
          <t>업무일지</t>
        </is>
      </c>
      <c r="B979" s="66" t="n">
        <v>947</v>
      </c>
      <c r="C979" s="122">
        <f>IF($D979="","",IFERROR(TEXT(업무일지!$B947,"yyyy-mm-dd"),"(날짜없음)")&amp;"  "&amp;업무일지!$F947&amp;"  "&amp;업무일지!$H947)</f>
        <v/>
      </c>
      <c r="D979" s="122">
        <f>IF(NOT(COUNTBLANK(업무일지!$B947:$AH947)&lt;33),"",TRIM(IF(업무일지!$B947="","시작일 누락; ","")&amp;IF(업무일지!$C947="","종료일 누락; ","")&amp;IF(AND(업무일지!$B947&lt;&gt;"",업무일지!$C947&lt;&gt;"",업무일지!$C947&lt;업무일지!$B947),"종료일이 시작일보다 빠름; ","")&amp;IF(COUNTIF(코드설정!$H$5:$H$7,업무일지!$D947)=0,"직무구분 누락; ","")&amp;IF(업무일지!$E947="","세부유형 누락; ",IF(AND(업무일지!$D947&lt;&gt;"",COUNTIFS(코드설정!$A$5:$A$21,업무일지!$D947,코드설정!$B$5:$B$21,업무일지!$E947)=0),"세부유형이 직무구분과 불일치; ",""))&amp;IF(AND(업무일지!$F947&lt;&gt;"",COUNTIF(사건마스터!$A$5:$A$64,업무일지!$F947)=0),"미등록 사건번호; ","")&amp;IF(AND(업무일지!$F947="",업무일지!$H947=""),"사건번호·업무명 모두 없음; ","")&amp;IF(업무일지!$J947="","담당자 없음; ","")&amp;IF(COUNTIF(코드설정!$F$5:$F$7,업무일지!$AG947)=0,"진행상태 누락; ","")))</f>
        <v/>
      </c>
    </row>
    <row r="980">
      <c r="A980" s="26" t="inlineStr">
        <is>
          <t>업무일지</t>
        </is>
      </c>
      <c r="B980" s="66" t="n">
        <v>948</v>
      </c>
      <c r="C980" s="122">
        <f>IF($D980="","",IFERROR(TEXT(업무일지!$B948,"yyyy-mm-dd"),"(날짜없음)")&amp;"  "&amp;업무일지!$F948&amp;"  "&amp;업무일지!$H948)</f>
        <v/>
      </c>
      <c r="D980" s="122">
        <f>IF(NOT(COUNTBLANK(업무일지!$B948:$AH948)&lt;33),"",TRIM(IF(업무일지!$B948="","시작일 누락; ","")&amp;IF(업무일지!$C948="","종료일 누락; ","")&amp;IF(AND(업무일지!$B948&lt;&gt;"",업무일지!$C948&lt;&gt;"",업무일지!$C948&lt;업무일지!$B948),"종료일이 시작일보다 빠름; ","")&amp;IF(COUNTIF(코드설정!$H$5:$H$7,업무일지!$D948)=0,"직무구분 누락; ","")&amp;IF(업무일지!$E948="","세부유형 누락; ",IF(AND(업무일지!$D948&lt;&gt;"",COUNTIFS(코드설정!$A$5:$A$21,업무일지!$D948,코드설정!$B$5:$B$21,업무일지!$E948)=0),"세부유형이 직무구분과 불일치; ",""))&amp;IF(AND(업무일지!$F948&lt;&gt;"",COUNTIF(사건마스터!$A$5:$A$64,업무일지!$F948)=0),"미등록 사건번호; ","")&amp;IF(AND(업무일지!$F948="",업무일지!$H948=""),"사건번호·업무명 모두 없음; ","")&amp;IF(업무일지!$J948="","담당자 없음; ","")&amp;IF(COUNTIF(코드설정!$F$5:$F$7,업무일지!$AG948)=0,"진행상태 누락; ","")))</f>
        <v/>
      </c>
    </row>
    <row r="981">
      <c r="A981" s="26" t="inlineStr">
        <is>
          <t>업무일지</t>
        </is>
      </c>
      <c r="B981" s="66" t="n">
        <v>949</v>
      </c>
      <c r="C981" s="122">
        <f>IF($D981="","",IFERROR(TEXT(업무일지!$B949,"yyyy-mm-dd"),"(날짜없음)")&amp;"  "&amp;업무일지!$F949&amp;"  "&amp;업무일지!$H949)</f>
        <v/>
      </c>
      <c r="D981" s="122">
        <f>IF(NOT(COUNTBLANK(업무일지!$B949:$AH949)&lt;33),"",TRIM(IF(업무일지!$B949="","시작일 누락; ","")&amp;IF(업무일지!$C949="","종료일 누락; ","")&amp;IF(AND(업무일지!$B949&lt;&gt;"",업무일지!$C949&lt;&gt;"",업무일지!$C949&lt;업무일지!$B949),"종료일이 시작일보다 빠름; ","")&amp;IF(COUNTIF(코드설정!$H$5:$H$7,업무일지!$D949)=0,"직무구분 누락; ","")&amp;IF(업무일지!$E949="","세부유형 누락; ",IF(AND(업무일지!$D949&lt;&gt;"",COUNTIFS(코드설정!$A$5:$A$21,업무일지!$D949,코드설정!$B$5:$B$21,업무일지!$E949)=0),"세부유형이 직무구분과 불일치; ",""))&amp;IF(AND(업무일지!$F949&lt;&gt;"",COUNTIF(사건마스터!$A$5:$A$64,업무일지!$F949)=0),"미등록 사건번호; ","")&amp;IF(AND(업무일지!$F949="",업무일지!$H949=""),"사건번호·업무명 모두 없음; ","")&amp;IF(업무일지!$J949="","담당자 없음; ","")&amp;IF(COUNTIF(코드설정!$F$5:$F$7,업무일지!$AG949)=0,"진행상태 누락; ","")))</f>
        <v/>
      </c>
    </row>
    <row r="982">
      <c r="A982" s="26" t="inlineStr">
        <is>
          <t>업무일지</t>
        </is>
      </c>
      <c r="B982" s="66" t="n">
        <v>950</v>
      </c>
      <c r="C982" s="122">
        <f>IF($D982="","",IFERROR(TEXT(업무일지!$B950,"yyyy-mm-dd"),"(날짜없음)")&amp;"  "&amp;업무일지!$F950&amp;"  "&amp;업무일지!$H950)</f>
        <v/>
      </c>
      <c r="D982" s="122">
        <f>IF(NOT(COUNTBLANK(업무일지!$B950:$AH950)&lt;33),"",TRIM(IF(업무일지!$B950="","시작일 누락; ","")&amp;IF(업무일지!$C950="","종료일 누락; ","")&amp;IF(AND(업무일지!$B950&lt;&gt;"",업무일지!$C950&lt;&gt;"",업무일지!$C950&lt;업무일지!$B950),"종료일이 시작일보다 빠름; ","")&amp;IF(COUNTIF(코드설정!$H$5:$H$7,업무일지!$D950)=0,"직무구분 누락; ","")&amp;IF(업무일지!$E950="","세부유형 누락; ",IF(AND(업무일지!$D950&lt;&gt;"",COUNTIFS(코드설정!$A$5:$A$21,업무일지!$D950,코드설정!$B$5:$B$21,업무일지!$E950)=0),"세부유형이 직무구분과 불일치; ",""))&amp;IF(AND(업무일지!$F950&lt;&gt;"",COUNTIF(사건마스터!$A$5:$A$64,업무일지!$F950)=0),"미등록 사건번호; ","")&amp;IF(AND(업무일지!$F950="",업무일지!$H950=""),"사건번호·업무명 모두 없음; ","")&amp;IF(업무일지!$J950="","담당자 없음; ","")&amp;IF(COUNTIF(코드설정!$F$5:$F$7,업무일지!$AG950)=0,"진행상태 누락; ","")))</f>
        <v/>
      </c>
    </row>
    <row r="983">
      <c r="A983" s="26" t="inlineStr">
        <is>
          <t>업무일지</t>
        </is>
      </c>
      <c r="B983" s="66" t="n">
        <v>951</v>
      </c>
      <c r="C983" s="122">
        <f>IF($D983="","",IFERROR(TEXT(업무일지!$B951,"yyyy-mm-dd"),"(날짜없음)")&amp;"  "&amp;업무일지!$F951&amp;"  "&amp;업무일지!$H951)</f>
        <v/>
      </c>
      <c r="D983" s="122">
        <f>IF(NOT(COUNTBLANK(업무일지!$B951:$AH951)&lt;33),"",TRIM(IF(업무일지!$B951="","시작일 누락; ","")&amp;IF(업무일지!$C951="","종료일 누락; ","")&amp;IF(AND(업무일지!$B951&lt;&gt;"",업무일지!$C951&lt;&gt;"",업무일지!$C951&lt;업무일지!$B951),"종료일이 시작일보다 빠름; ","")&amp;IF(COUNTIF(코드설정!$H$5:$H$7,업무일지!$D951)=0,"직무구분 누락; ","")&amp;IF(업무일지!$E951="","세부유형 누락; ",IF(AND(업무일지!$D951&lt;&gt;"",COUNTIFS(코드설정!$A$5:$A$21,업무일지!$D951,코드설정!$B$5:$B$21,업무일지!$E951)=0),"세부유형이 직무구분과 불일치; ",""))&amp;IF(AND(업무일지!$F951&lt;&gt;"",COUNTIF(사건마스터!$A$5:$A$64,업무일지!$F951)=0),"미등록 사건번호; ","")&amp;IF(AND(업무일지!$F951="",업무일지!$H951=""),"사건번호·업무명 모두 없음; ","")&amp;IF(업무일지!$J951="","담당자 없음; ","")&amp;IF(COUNTIF(코드설정!$F$5:$F$7,업무일지!$AG951)=0,"진행상태 누락; ","")))</f>
        <v/>
      </c>
    </row>
    <row r="984">
      <c r="A984" s="26" t="inlineStr">
        <is>
          <t>업무일지</t>
        </is>
      </c>
      <c r="B984" s="66" t="n">
        <v>952</v>
      </c>
      <c r="C984" s="122">
        <f>IF($D984="","",IFERROR(TEXT(업무일지!$B952,"yyyy-mm-dd"),"(날짜없음)")&amp;"  "&amp;업무일지!$F952&amp;"  "&amp;업무일지!$H952)</f>
        <v/>
      </c>
      <c r="D984" s="122">
        <f>IF(NOT(COUNTBLANK(업무일지!$B952:$AH952)&lt;33),"",TRIM(IF(업무일지!$B952="","시작일 누락; ","")&amp;IF(업무일지!$C952="","종료일 누락; ","")&amp;IF(AND(업무일지!$B952&lt;&gt;"",업무일지!$C952&lt;&gt;"",업무일지!$C952&lt;업무일지!$B952),"종료일이 시작일보다 빠름; ","")&amp;IF(COUNTIF(코드설정!$H$5:$H$7,업무일지!$D952)=0,"직무구분 누락; ","")&amp;IF(업무일지!$E952="","세부유형 누락; ",IF(AND(업무일지!$D952&lt;&gt;"",COUNTIFS(코드설정!$A$5:$A$21,업무일지!$D952,코드설정!$B$5:$B$21,업무일지!$E952)=0),"세부유형이 직무구분과 불일치; ",""))&amp;IF(AND(업무일지!$F952&lt;&gt;"",COUNTIF(사건마스터!$A$5:$A$64,업무일지!$F952)=0),"미등록 사건번호; ","")&amp;IF(AND(업무일지!$F952="",업무일지!$H952=""),"사건번호·업무명 모두 없음; ","")&amp;IF(업무일지!$J952="","담당자 없음; ","")&amp;IF(COUNTIF(코드설정!$F$5:$F$7,업무일지!$AG952)=0,"진행상태 누락; ","")))</f>
        <v/>
      </c>
    </row>
    <row r="985">
      <c r="A985" s="26" t="inlineStr">
        <is>
          <t>업무일지</t>
        </is>
      </c>
      <c r="B985" s="66" t="n">
        <v>953</v>
      </c>
      <c r="C985" s="122">
        <f>IF($D985="","",IFERROR(TEXT(업무일지!$B953,"yyyy-mm-dd"),"(날짜없음)")&amp;"  "&amp;업무일지!$F953&amp;"  "&amp;업무일지!$H953)</f>
        <v/>
      </c>
      <c r="D985" s="122">
        <f>IF(NOT(COUNTBLANK(업무일지!$B953:$AH953)&lt;33),"",TRIM(IF(업무일지!$B953="","시작일 누락; ","")&amp;IF(업무일지!$C953="","종료일 누락; ","")&amp;IF(AND(업무일지!$B953&lt;&gt;"",업무일지!$C953&lt;&gt;"",업무일지!$C953&lt;업무일지!$B953),"종료일이 시작일보다 빠름; ","")&amp;IF(COUNTIF(코드설정!$H$5:$H$7,업무일지!$D953)=0,"직무구분 누락; ","")&amp;IF(업무일지!$E953="","세부유형 누락; ",IF(AND(업무일지!$D953&lt;&gt;"",COUNTIFS(코드설정!$A$5:$A$21,업무일지!$D953,코드설정!$B$5:$B$21,업무일지!$E953)=0),"세부유형이 직무구분과 불일치; ",""))&amp;IF(AND(업무일지!$F953&lt;&gt;"",COUNTIF(사건마스터!$A$5:$A$64,업무일지!$F953)=0),"미등록 사건번호; ","")&amp;IF(AND(업무일지!$F953="",업무일지!$H953=""),"사건번호·업무명 모두 없음; ","")&amp;IF(업무일지!$J953="","담당자 없음; ","")&amp;IF(COUNTIF(코드설정!$F$5:$F$7,업무일지!$AG953)=0,"진행상태 누락; ","")))</f>
        <v/>
      </c>
    </row>
    <row r="986">
      <c r="A986" s="26" t="inlineStr">
        <is>
          <t>업무일지</t>
        </is>
      </c>
      <c r="B986" s="66" t="n">
        <v>954</v>
      </c>
      <c r="C986" s="122">
        <f>IF($D986="","",IFERROR(TEXT(업무일지!$B954,"yyyy-mm-dd"),"(날짜없음)")&amp;"  "&amp;업무일지!$F954&amp;"  "&amp;업무일지!$H954)</f>
        <v/>
      </c>
      <c r="D986" s="122">
        <f>IF(NOT(COUNTBLANK(업무일지!$B954:$AH954)&lt;33),"",TRIM(IF(업무일지!$B954="","시작일 누락; ","")&amp;IF(업무일지!$C954="","종료일 누락; ","")&amp;IF(AND(업무일지!$B954&lt;&gt;"",업무일지!$C954&lt;&gt;"",업무일지!$C954&lt;업무일지!$B954),"종료일이 시작일보다 빠름; ","")&amp;IF(COUNTIF(코드설정!$H$5:$H$7,업무일지!$D954)=0,"직무구분 누락; ","")&amp;IF(업무일지!$E954="","세부유형 누락; ",IF(AND(업무일지!$D954&lt;&gt;"",COUNTIFS(코드설정!$A$5:$A$21,업무일지!$D954,코드설정!$B$5:$B$21,업무일지!$E954)=0),"세부유형이 직무구분과 불일치; ",""))&amp;IF(AND(업무일지!$F954&lt;&gt;"",COUNTIF(사건마스터!$A$5:$A$64,업무일지!$F954)=0),"미등록 사건번호; ","")&amp;IF(AND(업무일지!$F954="",업무일지!$H954=""),"사건번호·업무명 모두 없음; ","")&amp;IF(업무일지!$J954="","담당자 없음; ","")&amp;IF(COUNTIF(코드설정!$F$5:$F$7,업무일지!$AG954)=0,"진행상태 누락; ","")))</f>
        <v/>
      </c>
    </row>
    <row r="987">
      <c r="A987" s="26" t="inlineStr">
        <is>
          <t>업무일지</t>
        </is>
      </c>
      <c r="B987" s="66" t="n">
        <v>955</v>
      </c>
      <c r="C987" s="122">
        <f>IF($D987="","",IFERROR(TEXT(업무일지!$B955,"yyyy-mm-dd"),"(날짜없음)")&amp;"  "&amp;업무일지!$F955&amp;"  "&amp;업무일지!$H955)</f>
        <v/>
      </c>
      <c r="D987" s="122">
        <f>IF(NOT(COUNTBLANK(업무일지!$B955:$AH955)&lt;33),"",TRIM(IF(업무일지!$B955="","시작일 누락; ","")&amp;IF(업무일지!$C955="","종료일 누락; ","")&amp;IF(AND(업무일지!$B955&lt;&gt;"",업무일지!$C955&lt;&gt;"",업무일지!$C955&lt;업무일지!$B955),"종료일이 시작일보다 빠름; ","")&amp;IF(COUNTIF(코드설정!$H$5:$H$7,업무일지!$D955)=0,"직무구분 누락; ","")&amp;IF(업무일지!$E955="","세부유형 누락; ",IF(AND(업무일지!$D955&lt;&gt;"",COUNTIFS(코드설정!$A$5:$A$21,업무일지!$D955,코드설정!$B$5:$B$21,업무일지!$E955)=0),"세부유형이 직무구분과 불일치; ",""))&amp;IF(AND(업무일지!$F955&lt;&gt;"",COUNTIF(사건마스터!$A$5:$A$64,업무일지!$F955)=0),"미등록 사건번호; ","")&amp;IF(AND(업무일지!$F955="",업무일지!$H955=""),"사건번호·업무명 모두 없음; ","")&amp;IF(업무일지!$J955="","담당자 없음; ","")&amp;IF(COUNTIF(코드설정!$F$5:$F$7,업무일지!$AG955)=0,"진행상태 누락; ","")))</f>
        <v/>
      </c>
    </row>
    <row r="988">
      <c r="A988" s="26" t="inlineStr">
        <is>
          <t>업무일지</t>
        </is>
      </c>
      <c r="B988" s="66" t="n">
        <v>956</v>
      </c>
      <c r="C988" s="122">
        <f>IF($D988="","",IFERROR(TEXT(업무일지!$B956,"yyyy-mm-dd"),"(날짜없음)")&amp;"  "&amp;업무일지!$F956&amp;"  "&amp;업무일지!$H956)</f>
        <v/>
      </c>
      <c r="D988" s="122">
        <f>IF(NOT(COUNTBLANK(업무일지!$B956:$AH956)&lt;33),"",TRIM(IF(업무일지!$B956="","시작일 누락; ","")&amp;IF(업무일지!$C956="","종료일 누락; ","")&amp;IF(AND(업무일지!$B956&lt;&gt;"",업무일지!$C956&lt;&gt;"",업무일지!$C956&lt;업무일지!$B956),"종료일이 시작일보다 빠름; ","")&amp;IF(COUNTIF(코드설정!$H$5:$H$7,업무일지!$D956)=0,"직무구분 누락; ","")&amp;IF(업무일지!$E956="","세부유형 누락; ",IF(AND(업무일지!$D956&lt;&gt;"",COUNTIFS(코드설정!$A$5:$A$21,업무일지!$D956,코드설정!$B$5:$B$21,업무일지!$E956)=0),"세부유형이 직무구분과 불일치; ",""))&amp;IF(AND(업무일지!$F956&lt;&gt;"",COUNTIF(사건마스터!$A$5:$A$64,업무일지!$F956)=0),"미등록 사건번호; ","")&amp;IF(AND(업무일지!$F956="",업무일지!$H956=""),"사건번호·업무명 모두 없음; ","")&amp;IF(업무일지!$J956="","담당자 없음; ","")&amp;IF(COUNTIF(코드설정!$F$5:$F$7,업무일지!$AG956)=0,"진행상태 누락; ","")))</f>
        <v/>
      </c>
    </row>
    <row r="989">
      <c r="A989" s="26" t="inlineStr">
        <is>
          <t>업무일지</t>
        </is>
      </c>
      <c r="B989" s="66" t="n">
        <v>957</v>
      </c>
      <c r="C989" s="122">
        <f>IF($D989="","",IFERROR(TEXT(업무일지!$B957,"yyyy-mm-dd"),"(날짜없음)")&amp;"  "&amp;업무일지!$F957&amp;"  "&amp;업무일지!$H957)</f>
        <v/>
      </c>
      <c r="D989" s="122">
        <f>IF(NOT(COUNTBLANK(업무일지!$B957:$AH957)&lt;33),"",TRIM(IF(업무일지!$B957="","시작일 누락; ","")&amp;IF(업무일지!$C957="","종료일 누락; ","")&amp;IF(AND(업무일지!$B957&lt;&gt;"",업무일지!$C957&lt;&gt;"",업무일지!$C957&lt;업무일지!$B957),"종료일이 시작일보다 빠름; ","")&amp;IF(COUNTIF(코드설정!$H$5:$H$7,업무일지!$D957)=0,"직무구분 누락; ","")&amp;IF(업무일지!$E957="","세부유형 누락; ",IF(AND(업무일지!$D957&lt;&gt;"",COUNTIFS(코드설정!$A$5:$A$21,업무일지!$D957,코드설정!$B$5:$B$21,업무일지!$E957)=0),"세부유형이 직무구분과 불일치; ",""))&amp;IF(AND(업무일지!$F957&lt;&gt;"",COUNTIF(사건마스터!$A$5:$A$64,업무일지!$F957)=0),"미등록 사건번호; ","")&amp;IF(AND(업무일지!$F957="",업무일지!$H957=""),"사건번호·업무명 모두 없음; ","")&amp;IF(업무일지!$J957="","담당자 없음; ","")&amp;IF(COUNTIF(코드설정!$F$5:$F$7,업무일지!$AG957)=0,"진행상태 누락; ","")))</f>
        <v/>
      </c>
    </row>
    <row r="990">
      <c r="A990" s="26" t="inlineStr">
        <is>
          <t>업무일지</t>
        </is>
      </c>
      <c r="B990" s="66" t="n">
        <v>958</v>
      </c>
      <c r="C990" s="122">
        <f>IF($D990="","",IFERROR(TEXT(업무일지!$B958,"yyyy-mm-dd"),"(날짜없음)")&amp;"  "&amp;업무일지!$F958&amp;"  "&amp;업무일지!$H958)</f>
        <v/>
      </c>
      <c r="D990" s="122">
        <f>IF(NOT(COUNTBLANK(업무일지!$B958:$AH958)&lt;33),"",TRIM(IF(업무일지!$B958="","시작일 누락; ","")&amp;IF(업무일지!$C958="","종료일 누락; ","")&amp;IF(AND(업무일지!$B958&lt;&gt;"",업무일지!$C958&lt;&gt;"",업무일지!$C958&lt;업무일지!$B958),"종료일이 시작일보다 빠름; ","")&amp;IF(COUNTIF(코드설정!$H$5:$H$7,업무일지!$D958)=0,"직무구분 누락; ","")&amp;IF(업무일지!$E958="","세부유형 누락; ",IF(AND(업무일지!$D958&lt;&gt;"",COUNTIFS(코드설정!$A$5:$A$21,업무일지!$D958,코드설정!$B$5:$B$21,업무일지!$E958)=0),"세부유형이 직무구분과 불일치; ",""))&amp;IF(AND(업무일지!$F958&lt;&gt;"",COUNTIF(사건마스터!$A$5:$A$64,업무일지!$F958)=0),"미등록 사건번호; ","")&amp;IF(AND(업무일지!$F958="",업무일지!$H958=""),"사건번호·업무명 모두 없음; ","")&amp;IF(업무일지!$J958="","담당자 없음; ","")&amp;IF(COUNTIF(코드설정!$F$5:$F$7,업무일지!$AG958)=0,"진행상태 누락; ","")))</f>
        <v/>
      </c>
    </row>
    <row r="991">
      <c r="A991" s="26" t="inlineStr">
        <is>
          <t>업무일지</t>
        </is>
      </c>
      <c r="B991" s="66" t="n">
        <v>959</v>
      </c>
      <c r="C991" s="122">
        <f>IF($D991="","",IFERROR(TEXT(업무일지!$B959,"yyyy-mm-dd"),"(날짜없음)")&amp;"  "&amp;업무일지!$F959&amp;"  "&amp;업무일지!$H959)</f>
        <v/>
      </c>
      <c r="D991" s="122">
        <f>IF(NOT(COUNTBLANK(업무일지!$B959:$AH959)&lt;33),"",TRIM(IF(업무일지!$B959="","시작일 누락; ","")&amp;IF(업무일지!$C959="","종료일 누락; ","")&amp;IF(AND(업무일지!$B959&lt;&gt;"",업무일지!$C959&lt;&gt;"",업무일지!$C959&lt;업무일지!$B959),"종료일이 시작일보다 빠름; ","")&amp;IF(COUNTIF(코드설정!$H$5:$H$7,업무일지!$D959)=0,"직무구분 누락; ","")&amp;IF(업무일지!$E959="","세부유형 누락; ",IF(AND(업무일지!$D959&lt;&gt;"",COUNTIFS(코드설정!$A$5:$A$21,업무일지!$D959,코드설정!$B$5:$B$21,업무일지!$E959)=0),"세부유형이 직무구분과 불일치; ",""))&amp;IF(AND(업무일지!$F959&lt;&gt;"",COUNTIF(사건마스터!$A$5:$A$64,업무일지!$F959)=0),"미등록 사건번호; ","")&amp;IF(AND(업무일지!$F959="",업무일지!$H959=""),"사건번호·업무명 모두 없음; ","")&amp;IF(업무일지!$J959="","담당자 없음; ","")&amp;IF(COUNTIF(코드설정!$F$5:$F$7,업무일지!$AG959)=0,"진행상태 누락; ","")))</f>
        <v/>
      </c>
    </row>
    <row r="992">
      <c r="A992" s="26" t="inlineStr">
        <is>
          <t>업무일지</t>
        </is>
      </c>
      <c r="B992" s="66" t="n">
        <v>960</v>
      </c>
      <c r="C992" s="122">
        <f>IF($D992="","",IFERROR(TEXT(업무일지!$B960,"yyyy-mm-dd"),"(날짜없음)")&amp;"  "&amp;업무일지!$F960&amp;"  "&amp;업무일지!$H960)</f>
        <v/>
      </c>
      <c r="D992" s="122">
        <f>IF(NOT(COUNTBLANK(업무일지!$B960:$AH960)&lt;33),"",TRIM(IF(업무일지!$B960="","시작일 누락; ","")&amp;IF(업무일지!$C960="","종료일 누락; ","")&amp;IF(AND(업무일지!$B960&lt;&gt;"",업무일지!$C960&lt;&gt;"",업무일지!$C960&lt;업무일지!$B960),"종료일이 시작일보다 빠름; ","")&amp;IF(COUNTIF(코드설정!$H$5:$H$7,업무일지!$D960)=0,"직무구분 누락; ","")&amp;IF(업무일지!$E960="","세부유형 누락; ",IF(AND(업무일지!$D960&lt;&gt;"",COUNTIFS(코드설정!$A$5:$A$21,업무일지!$D960,코드설정!$B$5:$B$21,업무일지!$E960)=0),"세부유형이 직무구분과 불일치; ",""))&amp;IF(AND(업무일지!$F960&lt;&gt;"",COUNTIF(사건마스터!$A$5:$A$64,업무일지!$F960)=0),"미등록 사건번호; ","")&amp;IF(AND(업무일지!$F960="",업무일지!$H960=""),"사건번호·업무명 모두 없음; ","")&amp;IF(업무일지!$J960="","담당자 없음; ","")&amp;IF(COUNTIF(코드설정!$F$5:$F$7,업무일지!$AG960)=0,"진행상태 누락; ","")))</f>
        <v/>
      </c>
    </row>
    <row r="993">
      <c r="A993" s="26" t="inlineStr">
        <is>
          <t>업무일지</t>
        </is>
      </c>
      <c r="B993" s="66" t="n">
        <v>961</v>
      </c>
      <c r="C993" s="122">
        <f>IF($D993="","",IFERROR(TEXT(업무일지!$B961,"yyyy-mm-dd"),"(날짜없음)")&amp;"  "&amp;업무일지!$F961&amp;"  "&amp;업무일지!$H961)</f>
        <v/>
      </c>
      <c r="D993" s="122">
        <f>IF(NOT(COUNTBLANK(업무일지!$B961:$AH961)&lt;33),"",TRIM(IF(업무일지!$B961="","시작일 누락; ","")&amp;IF(업무일지!$C961="","종료일 누락; ","")&amp;IF(AND(업무일지!$B961&lt;&gt;"",업무일지!$C961&lt;&gt;"",업무일지!$C961&lt;업무일지!$B961),"종료일이 시작일보다 빠름; ","")&amp;IF(COUNTIF(코드설정!$H$5:$H$7,업무일지!$D961)=0,"직무구분 누락; ","")&amp;IF(업무일지!$E961="","세부유형 누락; ",IF(AND(업무일지!$D961&lt;&gt;"",COUNTIFS(코드설정!$A$5:$A$21,업무일지!$D961,코드설정!$B$5:$B$21,업무일지!$E961)=0),"세부유형이 직무구분과 불일치; ",""))&amp;IF(AND(업무일지!$F961&lt;&gt;"",COUNTIF(사건마스터!$A$5:$A$64,업무일지!$F961)=0),"미등록 사건번호; ","")&amp;IF(AND(업무일지!$F961="",업무일지!$H961=""),"사건번호·업무명 모두 없음; ","")&amp;IF(업무일지!$J961="","담당자 없음; ","")&amp;IF(COUNTIF(코드설정!$F$5:$F$7,업무일지!$AG961)=0,"진행상태 누락; ","")))</f>
        <v/>
      </c>
    </row>
    <row r="994">
      <c r="A994" s="26" t="inlineStr">
        <is>
          <t>업무일지</t>
        </is>
      </c>
      <c r="B994" s="66" t="n">
        <v>962</v>
      </c>
      <c r="C994" s="122">
        <f>IF($D994="","",IFERROR(TEXT(업무일지!$B962,"yyyy-mm-dd"),"(날짜없음)")&amp;"  "&amp;업무일지!$F962&amp;"  "&amp;업무일지!$H962)</f>
        <v/>
      </c>
      <c r="D994" s="122">
        <f>IF(NOT(COUNTBLANK(업무일지!$B962:$AH962)&lt;33),"",TRIM(IF(업무일지!$B962="","시작일 누락; ","")&amp;IF(업무일지!$C962="","종료일 누락; ","")&amp;IF(AND(업무일지!$B962&lt;&gt;"",업무일지!$C962&lt;&gt;"",업무일지!$C962&lt;업무일지!$B962),"종료일이 시작일보다 빠름; ","")&amp;IF(COUNTIF(코드설정!$H$5:$H$7,업무일지!$D962)=0,"직무구분 누락; ","")&amp;IF(업무일지!$E962="","세부유형 누락; ",IF(AND(업무일지!$D962&lt;&gt;"",COUNTIFS(코드설정!$A$5:$A$21,업무일지!$D962,코드설정!$B$5:$B$21,업무일지!$E962)=0),"세부유형이 직무구분과 불일치; ",""))&amp;IF(AND(업무일지!$F962&lt;&gt;"",COUNTIF(사건마스터!$A$5:$A$64,업무일지!$F962)=0),"미등록 사건번호; ","")&amp;IF(AND(업무일지!$F962="",업무일지!$H962=""),"사건번호·업무명 모두 없음; ","")&amp;IF(업무일지!$J962="","담당자 없음; ","")&amp;IF(COUNTIF(코드설정!$F$5:$F$7,업무일지!$AG962)=0,"진행상태 누락; ","")))</f>
        <v/>
      </c>
    </row>
    <row r="995">
      <c r="A995" s="26" t="inlineStr">
        <is>
          <t>업무일지</t>
        </is>
      </c>
      <c r="B995" s="66" t="n">
        <v>963</v>
      </c>
      <c r="C995" s="122">
        <f>IF($D995="","",IFERROR(TEXT(업무일지!$B963,"yyyy-mm-dd"),"(날짜없음)")&amp;"  "&amp;업무일지!$F963&amp;"  "&amp;업무일지!$H963)</f>
        <v/>
      </c>
      <c r="D995" s="122">
        <f>IF(NOT(COUNTBLANK(업무일지!$B963:$AH963)&lt;33),"",TRIM(IF(업무일지!$B963="","시작일 누락; ","")&amp;IF(업무일지!$C963="","종료일 누락; ","")&amp;IF(AND(업무일지!$B963&lt;&gt;"",업무일지!$C963&lt;&gt;"",업무일지!$C963&lt;업무일지!$B963),"종료일이 시작일보다 빠름; ","")&amp;IF(COUNTIF(코드설정!$H$5:$H$7,업무일지!$D963)=0,"직무구분 누락; ","")&amp;IF(업무일지!$E963="","세부유형 누락; ",IF(AND(업무일지!$D963&lt;&gt;"",COUNTIFS(코드설정!$A$5:$A$21,업무일지!$D963,코드설정!$B$5:$B$21,업무일지!$E963)=0),"세부유형이 직무구분과 불일치; ",""))&amp;IF(AND(업무일지!$F963&lt;&gt;"",COUNTIF(사건마스터!$A$5:$A$64,업무일지!$F963)=0),"미등록 사건번호; ","")&amp;IF(AND(업무일지!$F963="",업무일지!$H963=""),"사건번호·업무명 모두 없음; ","")&amp;IF(업무일지!$J963="","담당자 없음; ","")&amp;IF(COUNTIF(코드설정!$F$5:$F$7,업무일지!$AG963)=0,"진행상태 누락; ","")))</f>
        <v/>
      </c>
    </row>
    <row r="996">
      <c r="A996" s="26" t="inlineStr">
        <is>
          <t>업무일지</t>
        </is>
      </c>
      <c r="B996" s="66" t="n">
        <v>964</v>
      </c>
      <c r="C996" s="122">
        <f>IF($D996="","",IFERROR(TEXT(업무일지!$B964,"yyyy-mm-dd"),"(날짜없음)")&amp;"  "&amp;업무일지!$F964&amp;"  "&amp;업무일지!$H964)</f>
        <v/>
      </c>
      <c r="D996" s="122">
        <f>IF(NOT(COUNTBLANK(업무일지!$B964:$AH964)&lt;33),"",TRIM(IF(업무일지!$B964="","시작일 누락; ","")&amp;IF(업무일지!$C964="","종료일 누락; ","")&amp;IF(AND(업무일지!$B964&lt;&gt;"",업무일지!$C964&lt;&gt;"",업무일지!$C964&lt;업무일지!$B964),"종료일이 시작일보다 빠름; ","")&amp;IF(COUNTIF(코드설정!$H$5:$H$7,업무일지!$D964)=0,"직무구분 누락; ","")&amp;IF(업무일지!$E964="","세부유형 누락; ",IF(AND(업무일지!$D964&lt;&gt;"",COUNTIFS(코드설정!$A$5:$A$21,업무일지!$D964,코드설정!$B$5:$B$21,업무일지!$E964)=0),"세부유형이 직무구분과 불일치; ",""))&amp;IF(AND(업무일지!$F964&lt;&gt;"",COUNTIF(사건마스터!$A$5:$A$64,업무일지!$F964)=0),"미등록 사건번호; ","")&amp;IF(AND(업무일지!$F964="",업무일지!$H964=""),"사건번호·업무명 모두 없음; ","")&amp;IF(업무일지!$J964="","담당자 없음; ","")&amp;IF(COUNTIF(코드설정!$F$5:$F$7,업무일지!$AG964)=0,"진행상태 누락; ","")))</f>
        <v/>
      </c>
    </row>
    <row r="997">
      <c r="A997" s="26" t="inlineStr">
        <is>
          <t>업무일지</t>
        </is>
      </c>
      <c r="B997" s="66" t="n">
        <v>965</v>
      </c>
      <c r="C997" s="122">
        <f>IF($D997="","",IFERROR(TEXT(업무일지!$B965,"yyyy-mm-dd"),"(날짜없음)")&amp;"  "&amp;업무일지!$F965&amp;"  "&amp;업무일지!$H965)</f>
        <v/>
      </c>
      <c r="D997" s="122">
        <f>IF(NOT(COUNTBLANK(업무일지!$B965:$AH965)&lt;33),"",TRIM(IF(업무일지!$B965="","시작일 누락; ","")&amp;IF(업무일지!$C965="","종료일 누락; ","")&amp;IF(AND(업무일지!$B965&lt;&gt;"",업무일지!$C965&lt;&gt;"",업무일지!$C965&lt;업무일지!$B965),"종료일이 시작일보다 빠름; ","")&amp;IF(COUNTIF(코드설정!$H$5:$H$7,업무일지!$D965)=0,"직무구분 누락; ","")&amp;IF(업무일지!$E965="","세부유형 누락; ",IF(AND(업무일지!$D965&lt;&gt;"",COUNTIFS(코드설정!$A$5:$A$21,업무일지!$D965,코드설정!$B$5:$B$21,업무일지!$E965)=0),"세부유형이 직무구분과 불일치; ",""))&amp;IF(AND(업무일지!$F965&lt;&gt;"",COUNTIF(사건마스터!$A$5:$A$64,업무일지!$F965)=0),"미등록 사건번호; ","")&amp;IF(AND(업무일지!$F965="",업무일지!$H965=""),"사건번호·업무명 모두 없음; ","")&amp;IF(업무일지!$J965="","담당자 없음; ","")&amp;IF(COUNTIF(코드설정!$F$5:$F$7,업무일지!$AG965)=0,"진행상태 누락; ","")))</f>
        <v/>
      </c>
    </row>
    <row r="998">
      <c r="A998" s="26" t="inlineStr">
        <is>
          <t>업무일지</t>
        </is>
      </c>
      <c r="B998" s="66" t="n">
        <v>966</v>
      </c>
      <c r="C998" s="122">
        <f>IF($D998="","",IFERROR(TEXT(업무일지!$B966,"yyyy-mm-dd"),"(날짜없음)")&amp;"  "&amp;업무일지!$F966&amp;"  "&amp;업무일지!$H966)</f>
        <v/>
      </c>
      <c r="D998" s="122">
        <f>IF(NOT(COUNTBLANK(업무일지!$B966:$AH966)&lt;33),"",TRIM(IF(업무일지!$B966="","시작일 누락; ","")&amp;IF(업무일지!$C966="","종료일 누락; ","")&amp;IF(AND(업무일지!$B966&lt;&gt;"",업무일지!$C966&lt;&gt;"",업무일지!$C966&lt;업무일지!$B966),"종료일이 시작일보다 빠름; ","")&amp;IF(COUNTIF(코드설정!$H$5:$H$7,업무일지!$D966)=0,"직무구분 누락; ","")&amp;IF(업무일지!$E966="","세부유형 누락; ",IF(AND(업무일지!$D966&lt;&gt;"",COUNTIFS(코드설정!$A$5:$A$21,업무일지!$D966,코드설정!$B$5:$B$21,업무일지!$E966)=0),"세부유형이 직무구분과 불일치; ",""))&amp;IF(AND(업무일지!$F966&lt;&gt;"",COUNTIF(사건마스터!$A$5:$A$64,업무일지!$F966)=0),"미등록 사건번호; ","")&amp;IF(AND(업무일지!$F966="",업무일지!$H966=""),"사건번호·업무명 모두 없음; ","")&amp;IF(업무일지!$J966="","담당자 없음; ","")&amp;IF(COUNTIF(코드설정!$F$5:$F$7,업무일지!$AG966)=0,"진행상태 누락; ","")))</f>
        <v/>
      </c>
    </row>
    <row r="999">
      <c r="A999" s="26" t="inlineStr">
        <is>
          <t>업무일지</t>
        </is>
      </c>
      <c r="B999" s="66" t="n">
        <v>967</v>
      </c>
      <c r="C999" s="122">
        <f>IF($D999="","",IFERROR(TEXT(업무일지!$B967,"yyyy-mm-dd"),"(날짜없음)")&amp;"  "&amp;업무일지!$F967&amp;"  "&amp;업무일지!$H967)</f>
        <v/>
      </c>
      <c r="D999" s="122">
        <f>IF(NOT(COUNTBLANK(업무일지!$B967:$AH967)&lt;33),"",TRIM(IF(업무일지!$B967="","시작일 누락; ","")&amp;IF(업무일지!$C967="","종료일 누락; ","")&amp;IF(AND(업무일지!$B967&lt;&gt;"",업무일지!$C967&lt;&gt;"",업무일지!$C967&lt;업무일지!$B967),"종료일이 시작일보다 빠름; ","")&amp;IF(COUNTIF(코드설정!$H$5:$H$7,업무일지!$D967)=0,"직무구분 누락; ","")&amp;IF(업무일지!$E967="","세부유형 누락; ",IF(AND(업무일지!$D967&lt;&gt;"",COUNTIFS(코드설정!$A$5:$A$21,업무일지!$D967,코드설정!$B$5:$B$21,업무일지!$E967)=0),"세부유형이 직무구분과 불일치; ",""))&amp;IF(AND(업무일지!$F967&lt;&gt;"",COUNTIF(사건마스터!$A$5:$A$64,업무일지!$F967)=0),"미등록 사건번호; ","")&amp;IF(AND(업무일지!$F967="",업무일지!$H967=""),"사건번호·업무명 모두 없음; ","")&amp;IF(업무일지!$J967="","담당자 없음; ","")&amp;IF(COUNTIF(코드설정!$F$5:$F$7,업무일지!$AG967)=0,"진행상태 누락; ","")))</f>
        <v/>
      </c>
    </row>
    <row r="1000">
      <c r="A1000" s="26" t="inlineStr">
        <is>
          <t>업무일지</t>
        </is>
      </c>
      <c r="B1000" s="66" t="n">
        <v>968</v>
      </c>
      <c r="C1000" s="122">
        <f>IF($D1000="","",IFERROR(TEXT(업무일지!$B968,"yyyy-mm-dd"),"(날짜없음)")&amp;"  "&amp;업무일지!$F968&amp;"  "&amp;업무일지!$H968)</f>
        <v/>
      </c>
      <c r="D1000" s="122">
        <f>IF(NOT(COUNTBLANK(업무일지!$B968:$AH968)&lt;33),"",TRIM(IF(업무일지!$B968="","시작일 누락; ","")&amp;IF(업무일지!$C968="","종료일 누락; ","")&amp;IF(AND(업무일지!$B968&lt;&gt;"",업무일지!$C968&lt;&gt;"",업무일지!$C968&lt;업무일지!$B968),"종료일이 시작일보다 빠름; ","")&amp;IF(COUNTIF(코드설정!$H$5:$H$7,업무일지!$D968)=0,"직무구분 누락; ","")&amp;IF(업무일지!$E968="","세부유형 누락; ",IF(AND(업무일지!$D968&lt;&gt;"",COUNTIFS(코드설정!$A$5:$A$21,업무일지!$D968,코드설정!$B$5:$B$21,업무일지!$E968)=0),"세부유형이 직무구분과 불일치; ",""))&amp;IF(AND(업무일지!$F968&lt;&gt;"",COUNTIF(사건마스터!$A$5:$A$64,업무일지!$F968)=0),"미등록 사건번호; ","")&amp;IF(AND(업무일지!$F968="",업무일지!$H968=""),"사건번호·업무명 모두 없음; ","")&amp;IF(업무일지!$J968="","담당자 없음; ","")&amp;IF(COUNTIF(코드설정!$F$5:$F$7,업무일지!$AG968)=0,"진행상태 누락; ","")))</f>
        <v/>
      </c>
    </row>
    <row r="1001">
      <c r="A1001" s="26" t="inlineStr">
        <is>
          <t>업무일지</t>
        </is>
      </c>
      <c r="B1001" s="66" t="n">
        <v>969</v>
      </c>
      <c r="C1001" s="122">
        <f>IF($D1001="","",IFERROR(TEXT(업무일지!$B969,"yyyy-mm-dd"),"(날짜없음)")&amp;"  "&amp;업무일지!$F969&amp;"  "&amp;업무일지!$H969)</f>
        <v/>
      </c>
      <c r="D1001" s="122">
        <f>IF(NOT(COUNTBLANK(업무일지!$B969:$AH969)&lt;33),"",TRIM(IF(업무일지!$B969="","시작일 누락; ","")&amp;IF(업무일지!$C969="","종료일 누락; ","")&amp;IF(AND(업무일지!$B969&lt;&gt;"",업무일지!$C969&lt;&gt;"",업무일지!$C969&lt;업무일지!$B969),"종료일이 시작일보다 빠름; ","")&amp;IF(COUNTIF(코드설정!$H$5:$H$7,업무일지!$D969)=0,"직무구분 누락; ","")&amp;IF(업무일지!$E969="","세부유형 누락; ",IF(AND(업무일지!$D969&lt;&gt;"",COUNTIFS(코드설정!$A$5:$A$21,업무일지!$D969,코드설정!$B$5:$B$21,업무일지!$E969)=0),"세부유형이 직무구분과 불일치; ",""))&amp;IF(AND(업무일지!$F969&lt;&gt;"",COUNTIF(사건마스터!$A$5:$A$64,업무일지!$F969)=0),"미등록 사건번호; ","")&amp;IF(AND(업무일지!$F969="",업무일지!$H969=""),"사건번호·업무명 모두 없음; ","")&amp;IF(업무일지!$J969="","담당자 없음; ","")&amp;IF(COUNTIF(코드설정!$F$5:$F$7,업무일지!$AG969)=0,"진행상태 누락; ","")))</f>
        <v/>
      </c>
    </row>
    <row r="1002">
      <c r="A1002" s="26" t="inlineStr">
        <is>
          <t>업무일지</t>
        </is>
      </c>
      <c r="B1002" s="66" t="n">
        <v>970</v>
      </c>
      <c r="C1002" s="122">
        <f>IF($D1002="","",IFERROR(TEXT(업무일지!$B970,"yyyy-mm-dd"),"(날짜없음)")&amp;"  "&amp;업무일지!$F970&amp;"  "&amp;업무일지!$H970)</f>
        <v/>
      </c>
      <c r="D1002" s="122">
        <f>IF(NOT(COUNTBLANK(업무일지!$B970:$AH970)&lt;33),"",TRIM(IF(업무일지!$B970="","시작일 누락; ","")&amp;IF(업무일지!$C970="","종료일 누락; ","")&amp;IF(AND(업무일지!$B970&lt;&gt;"",업무일지!$C970&lt;&gt;"",업무일지!$C970&lt;업무일지!$B970),"종료일이 시작일보다 빠름; ","")&amp;IF(COUNTIF(코드설정!$H$5:$H$7,업무일지!$D970)=0,"직무구분 누락; ","")&amp;IF(업무일지!$E970="","세부유형 누락; ",IF(AND(업무일지!$D970&lt;&gt;"",COUNTIFS(코드설정!$A$5:$A$21,업무일지!$D970,코드설정!$B$5:$B$21,업무일지!$E970)=0),"세부유형이 직무구분과 불일치; ",""))&amp;IF(AND(업무일지!$F970&lt;&gt;"",COUNTIF(사건마스터!$A$5:$A$64,업무일지!$F970)=0),"미등록 사건번호; ","")&amp;IF(AND(업무일지!$F970="",업무일지!$H970=""),"사건번호·업무명 모두 없음; ","")&amp;IF(업무일지!$J970="","담당자 없음; ","")&amp;IF(COUNTIF(코드설정!$F$5:$F$7,업무일지!$AG970)=0,"진행상태 누락; ","")))</f>
        <v/>
      </c>
    </row>
    <row r="1003">
      <c r="A1003" s="26" t="inlineStr">
        <is>
          <t>업무일지</t>
        </is>
      </c>
      <c r="B1003" s="66" t="n">
        <v>971</v>
      </c>
      <c r="C1003" s="122">
        <f>IF($D1003="","",IFERROR(TEXT(업무일지!$B971,"yyyy-mm-dd"),"(날짜없음)")&amp;"  "&amp;업무일지!$F971&amp;"  "&amp;업무일지!$H971)</f>
        <v/>
      </c>
      <c r="D1003" s="122">
        <f>IF(NOT(COUNTBLANK(업무일지!$B971:$AH971)&lt;33),"",TRIM(IF(업무일지!$B971="","시작일 누락; ","")&amp;IF(업무일지!$C971="","종료일 누락; ","")&amp;IF(AND(업무일지!$B971&lt;&gt;"",업무일지!$C971&lt;&gt;"",업무일지!$C971&lt;업무일지!$B971),"종료일이 시작일보다 빠름; ","")&amp;IF(COUNTIF(코드설정!$H$5:$H$7,업무일지!$D971)=0,"직무구분 누락; ","")&amp;IF(업무일지!$E971="","세부유형 누락; ",IF(AND(업무일지!$D971&lt;&gt;"",COUNTIFS(코드설정!$A$5:$A$21,업무일지!$D971,코드설정!$B$5:$B$21,업무일지!$E971)=0),"세부유형이 직무구분과 불일치; ",""))&amp;IF(AND(업무일지!$F971&lt;&gt;"",COUNTIF(사건마스터!$A$5:$A$64,업무일지!$F971)=0),"미등록 사건번호; ","")&amp;IF(AND(업무일지!$F971="",업무일지!$H971=""),"사건번호·업무명 모두 없음; ","")&amp;IF(업무일지!$J971="","담당자 없음; ","")&amp;IF(COUNTIF(코드설정!$F$5:$F$7,업무일지!$AG971)=0,"진행상태 누락; ","")))</f>
        <v/>
      </c>
    </row>
    <row r="1004">
      <c r="A1004" s="26" t="inlineStr">
        <is>
          <t>업무일지</t>
        </is>
      </c>
      <c r="B1004" s="66" t="n">
        <v>972</v>
      </c>
      <c r="C1004" s="122">
        <f>IF($D1004="","",IFERROR(TEXT(업무일지!$B972,"yyyy-mm-dd"),"(날짜없음)")&amp;"  "&amp;업무일지!$F972&amp;"  "&amp;업무일지!$H972)</f>
        <v/>
      </c>
      <c r="D1004" s="122">
        <f>IF(NOT(COUNTBLANK(업무일지!$B972:$AH972)&lt;33),"",TRIM(IF(업무일지!$B972="","시작일 누락; ","")&amp;IF(업무일지!$C972="","종료일 누락; ","")&amp;IF(AND(업무일지!$B972&lt;&gt;"",업무일지!$C972&lt;&gt;"",업무일지!$C972&lt;업무일지!$B972),"종료일이 시작일보다 빠름; ","")&amp;IF(COUNTIF(코드설정!$H$5:$H$7,업무일지!$D972)=0,"직무구분 누락; ","")&amp;IF(업무일지!$E972="","세부유형 누락; ",IF(AND(업무일지!$D972&lt;&gt;"",COUNTIFS(코드설정!$A$5:$A$21,업무일지!$D972,코드설정!$B$5:$B$21,업무일지!$E972)=0),"세부유형이 직무구분과 불일치; ",""))&amp;IF(AND(업무일지!$F972&lt;&gt;"",COUNTIF(사건마스터!$A$5:$A$64,업무일지!$F972)=0),"미등록 사건번호; ","")&amp;IF(AND(업무일지!$F972="",업무일지!$H972=""),"사건번호·업무명 모두 없음; ","")&amp;IF(업무일지!$J972="","담당자 없음; ","")&amp;IF(COUNTIF(코드설정!$F$5:$F$7,업무일지!$AG972)=0,"진행상태 누락; ","")))</f>
        <v/>
      </c>
    </row>
    <row r="1005">
      <c r="A1005" s="26" t="inlineStr">
        <is>
          <t>업무일지</t>
        </is>
      </c>
      <c r="B1005" s="66" t="n">
        <v>973</v>
      </c>
      <c r="C1005" s="122">
        <f>IF($D1005="","",IFERROR(TEXT(업무일지!$B973,"yyyy-mm-dd"),"(날짜없음)")&amp;"  "&amp;업무일지!$F973&amp;"  "&amp;업무일지!$H973)</f>
        <v/>
      </c>
      <c r="D1005" s="122">
        <f>IF(NOT(COUNTBLANK(업무일지!$B973:$AH973)&lt;33),"",TRIM(IF(업무일지!$B973="","시작일 누락; ","")&amp;IF(업무일지!$C973="","종료일 누락; ","")&amp;IF(AND(업무일지!$B973&lt;&gt;"",업무일지!$C973&lt;&gt;"",업무일지!$C973&lt;업무일지!$B973),"종료일이 시작일보다 빠름; ","")&amp;IF(COUNTIF(코드설정!$H$5:$H$7,업무일지!$D973)=0,"직무구분 누락; ","")&amp;IF(업무일지!$E973="","세부유형 누락; ",IF(AND(업무일지!$D973&lt;&gt;"",COUNTIFS(코드설정!$A$5:$A$21,업무일지!$D973,코드설정!$B$5:$B$21,업무일지!$E973)=0),"세부유형이 직무구분과 불일치; ",""))&amp;IF(AND(업무일지!$F973&lt;&gt;"",COUNTIF(사건마스터!$A$5:$A$64,업무일지!$F973)=0),"미등록 사건번호; ","")&amp;IF(AND(업무일지!$F973="",업무일지!$H973=""),"사건번호·업무명 모두 없음; ","")&amp;IF(업무일지!$J973="","담당자 없음; ","")&amp;IF(COUNTIF(코드설정!$F$5:$F$7,업무일지!$AG973)=0,"진행상태 누락; ","")))</f>
        <v/>
      </c>
    </row>
    <row r="1006">
      <c r="A1006" s="26" t="inlineStr">
        <is>
          <t>업무일지</t>
        </is>
      </c>
      <c r="B1006" s="66" t="n">
        <v>974</v>
      </c>
      <c r="C1006" s="122">
        <f>IF($D1006="","",IFERROR(TEXT(업무일지!$B974,"yyyy-mm-dd"),"(날짜없음)")&amp;"  "&amp;업무일지!$F974&amp;"  "&amp;업무일지!$H974)</f>
        <v/>
      </c>
      <c r="D1006" s="122">
        <f>IF(NOT(COUNTBLANK(업무일지!$B974:$AH974)&lt;33),"",TRIM(IF(업무일지!$B974="","시작일 누락; ","")&amp;IF(업무일지!$C974="","종료일 누락; ","")&amp;IF(AND(업무일지!$B974&lt;&gt;"",업무일지!$C974&lt;&gt;"",업무일지!$C974&lt;업무일지!$B974),"종료일이 시작일보다 빠름; ","")&amp;IF(COUNTIF(코드설정!$H$5:$H$7,업무일지!$D974)=0,"직무구분 누락; ","")&amp;IF(업무일지!$E974="","세부유형 누락; ",IF(AND(업무일지!$D974&lt;&gt;"",COUNTIFS(코드설정!$A$5:$A$21,업무일지!$D974,코드설정!$B$5:$B$21,업무일지!$E974)=0),"세부유형이 직무구분과 불일치; ",""))&amp;IF(AND(업무일지!$F974&lt;&gt;"",COUNTIF(사건마스터!$A$5:$A$64,업무일지!$F974)=0),"미등록 사건번호; ","")&amp;IF(AND(업무일지!$F974="",업무일지!$H974=""),"사건번호·업무명 모두 없음; ","")&amp;IF(업무일지!$J974="","담당자 없음; ","")&amp;IF(COUNTIF(코드설정!$F$5:$F$7,업무일지!$AG974)=0,"진행상태 누락; ","")))</f>
        <v/>
      </c>
    </row>
    <row r="1007">
      <c r="A1007" s="26" t="inlineStr">
        <is>
          <t>업무일지</t>
        </is>
      </c>
      <c r="B1007" s="66" t="n">
        <v>975</v>
      </c>
      <c r="C1007" s="122">
        <f>IF($D1007="","",IFERROR(TEXT(업무일지!$B975,"yyyy-mm-dd"),"(날짜없음)")&amp;"  "&amp;업무일지!$F975&amp;"  "&amp;업무일지!$H975)</f>
        <v/>
      </c>
      <c r="D1007" s="122">
        <f>IF(NOT(COUNTBLANK(업무일지!$B975:$AH975)&lt;33),"",TRIM(IF(업무일지!$B975="","시작일 누락; ","")&amp;IF(업무일지!$C975="","종료일 누락; ","")&amp;IF(AND(업무일지!$B975&lt;&gt;"",업무일지!$C975&lt;&gt;"",업무일지!$C975&lt;업무일지!$B975),"종료일이 시작일보다 빠름; ","")&amp;IF(COUNTIF(코드설정!$H$5:$H$7,업무일지!$D975)=0,"직무구분 누락; ","")&amp;IF(업무일지!$E975="","세부유형 누락; ",IF(AND(업무일지!$D975&lt;&gt;"",COUNTIFS(코드설정!$A$5:$A$21,업무일지!$D975,코드설정!$B$5:$B$21,업무일지!$E975)=0),"세부유형이 직무구분과 불일치; ",""))&amp;IF(AND(업무일지!$F975&lt;&gt;"",COUNTIF(사건마스터!$A$5:$A$64,업무일지!$F975)=0),"미등록 사건번호; ","")&amp;IF(AND(업무일지!$F975="",업무일지!$H975=""),"사건번호·업무명 모두 없음; ","")&amp;IF(업무일지!$J975="","담당자 없음; ","")&amp;IF(COUNTIF(코드설정!$F$5:$F$7,업무일지!$AG975)=0,"진행상태 누락; ","")))</f>
        <v/>
      </c>
    </row>
    <row r="1008">
      <c r="A1008" s="26" t="inlineStr">
        <is>
          <t>업무일지</t>
        </is>
      </c>
      <c r="B1008" s="66" t="n">
        <v>976</v>
      </c>
      <c r="C1008" s="122">
        <f>IF($D1008="","",IFERROR(TEXT(업무일지!$B976,"yyyy-mm-dd"),"(날짜없음)")&amp;"  "&amp;업무일지!$F976&amp;"  "&amp;업무일지!$H976)</f>
        <v/>
      </c>
      <c r="D1008" s="122">
        <f>IF(NOT(COUNTBLANK(업무일지!$B976:$AH976)&lt;33),"",TRIM(IF(업무일지!$B976="","시작일 누락; ","")&amp;IF(업무일지!$C976="","종료일 누락; ","")&amp;IF(AND(업무일지!$B976&lt;&gt;"",업무일지!$C976&lt;&gt;"",업무일지!$C976&lt;업무일지!$B976),"종료일이 시작일보다 빠름; ","")&amp;IF(COUNTIF(코드설정!$H$5:$H$7,업무일지!$D976)=0,"직무구분 누락; ","")&amp;IF(업무일지!$E976="","세부유형 누락; ",IF(AND(업무일지!$D976&lt;&gt;"",COUNTIFS(코드설정!$A$5:$A$21,업무일지!$D976,코드설정!$B$5:$B$21,업무일지!$E976)=0),"세부유형이 직무구분과 불일치; ",""))&amp;IF(AND(업무일지!$F976&lt;&gt;"",COUNTIF(사건마스터!$A$5:$A$64,업무일지!$F976)=0),"미등록 사건번호; ","")&amp;IF(AND(업무일지!$F976="",업무일지!$H976=""),"사건번호·업무명 모두 없음; ","")&amp;IF(업무일지!$J976="","담당자 없음; ","")&amp;IF(COUNTIF(코드설정!$F$5:$F$7,업무일지!$AG976)=0,"진행상태 누락; ","")))</f>
        <v/>
      </c>
    </row>
    <row r="1009">
      <c r="A1009" s="26" t="inlineStr">
        <is>
          <t>업무일지</t>
        </is>
      </c>
      <c r="B1009" s="66" t="n">
        <v>977</v>
      </c>
      <c r="C1009" s="122">
        <f>IF($D1009="","",IFERROR(TEXT(업무일지!$B977,"yyyy-mm-dd"),"(날짜없음)")&amp;"  "&amp;업무일지!$F977&amp;"  "&amp;업무일지!$H977)</f>
        <v/>
      </c>
      <c r="D1009" s="122">
        <f>IF(NOT(COUNTBLANK(업무일지!$B977:$AH977)&lt;33),"",TRIM(IF(업무일지!$B977="","시작일 누락; ","")&amp;IF(업무일지!$C977="","종료일 누락; ","")&amp;IF(AND(업무일지!$B977&lt;&gt;"",업무일지!$C977&lt;&gt;"",업무일지!$C977&lt;업무일지!$B977),"종료일이 시작일보다 빠름; ","")&amp;IF(COUNTIF(코드설정!$H$5:$H$7,업무일지!$D977)=0,"직무구분 누락; ","")&amp;IF(업무일지!$E977="","세부유형 누락; ",IF(AND(업무일지!$D977&lt;&gt;"",COUNTIFS(코드설정!$A$5:$A$21,업무일지!$D977,코드설정!$B$5:$B$21,업무일지!$E977)=0),"세부유형이 직무구분과 불일치; ",""))&amp;IF(AND(업무일지!$F977&lt;&gt;"",COUNTIF(사건마스터!$A$5:$A$64,업무일지!$F977)=0),"미등록 사건번호; ","")&amp;IF(AND(업무일지!$F977="",업무일지!$H977=""),"사건번호·업무명 모두 없음; ","")&amp;IF(업무일지!$J977="","담당자 없음; ","")&amp;IF(COUNTIF(코드설정!$F$5:$F$7,업무일지!$AG977)=0,"진행상태 누락; ","")))</f>
        <v/>
      </c>
    </row>
    <row r="1010">
      <c r="A1010" s="26" t="inlineStr">
        <is>
          <t>업무일지</t>
        </is>
      </c>
      <c r="B1010" s="66" t="n">
        <v>978</v>
      </c>
      <c r="C1010" s="122">
        <f>IF($D1010="","",IFERROR(TEXT(업무일지!$B978,"yyyy-mm-dd"),"(날짜없음)")&amp;"  "&amp;업무일지!$F978&amp;"  "&amp;업무일지!$H978)</f>
        <v/>
      </c>
      <c r="D1010" s="122">
        <f>IF(NOT(COUNTBLANK(업무일지!$B978:$AH978)&lt;33),"",TRIM(IF(업무일지!$B978="","시작일 누락; ","")&amp;IF(업무일지!$C978="","종료일 누락; ","")&amp;IF(AND(업무일지!$B978&lt;&gt;"",업무일지!$C978&lt;&gt;"",업무일지!$C978&lt;업무일지!$B978),"종료일이 시작일보다 빠름; ","")&amp;IF(COUNTIF(코드설정!$H$5:$H$7,업무일지!$D978)=0,"직무구분 누락; ","")&amp;IF(업무일지!$E978="","세부유형 누락; ",IF(AND(업무일지!$D978&lt;&gt;"",COUNTIFS(코드설정!$A$5:$A$21,업무일지!$D978,코드설정!$B$5:$B$21,업무일지!$E978)=0),"세부유형이 직무구분과 불일치; ",""))&amp;IF(AND(업무일지!$F978&lt;&gt;"",COUNTIF(사건마스터!$A$5:$A$64,업무일지!$F978)=0),"미등록 사건번호; ","")&amp;IF(AND(업무일지!$F978="",업무일지!$H978=""),"사건번호·업무명 모두 없음; ","")&amp;IF(업무일지!$J978="","담당자 없음; ","")&amp;IF(COUNTIF(코드설정!$F$5:$F$7,업무일지!$AG978)=0,"진행상태 누락; ","")))</f>
        <v/>
      </c>
    </row>
    <row r="1011">
      <c r="A1011" s="26" t="inlineStr">
        <is>
          <t>업무일지</t>
        </is>
      </c>
      <c r="B1011" s="66" t="n">
        <v>979</v>
      </c>
      <c r="C1011" s="122">
        <f>IF($D1011="","",IFERROR(TEXT(업무일지!$B979,"yyyy-mm-dd"),"(날짜없음)")&amp;"  "&amp;업무일지!$F979&amp;"  "&amp;업무일지!$H979)</f>
        <v/>
      </c>
      <c r="D1011" s="122">
        <f>IF(NOT(COUNTBLANK(업무일지!$B979:$AH979)&lt;33),"",TRIM(IF(업무일지!$B979="","시작일 누락; ","")&amp;IF(업무일지!$C979="","종료일 누락; ","")&amp;IF(AND(업무일지!$B979&lt;&gt;"",업무일지!$C979&lt;&gt;"",업무일지!$C979&lt;업무일지!$B979),"종료일이 시작일보다 빠름; ","")&amp;IF(COUNTIF(코드설정!$H$5:$H$7,업무일지!$D979)=0,"직무구분 누락; ","")&amp;IF(업무일지!$E979="","세부유형 누락; ",IF(AND(업무일지!$D979&lt;&gt;"",COUNTIFS(코드설정!$A$5:$A$21,업무일지!$D979,코드설정!$B$5:$B$21,업무일지!$E979)=0),"세부유형이 직무구분과 불일치; ",""))&amp;IF(AND(업무일지!$F979&lt;&gt;"",COUNTIF(사건마스터!$A$5:$A$64,업무일지!$F979)=0),"미등록 사건번호; ","")&amp;IF(AND(업무일지!$F979="",업무일지!$H979=""),"사건번호·업무명 모두 없음; ","")&amp;IF(업무일지!$J979="","담당자 없음; ","")&amp;IF(COUNTIF(코드설정!$F$5:$F$7,업무일지!$AG979)=0,"진행상태 누락; ","")))</f>
        <v/>
      </c>
    </row>
    <row r="1012">
      <c r="A1012" s="26" t="inlineStr">
        <is>
          <t>업무일지</t>
        </is>
      </c>
      <c r="B1012" s="66" t="n">
        <v>980</v>
      </c>
      <c r="C1012" s="122">
        <f>IF($D1012="","",IFERROR(TEXT(업무일지!$B980,"yyyy-mm-dd"),"(날짜없음)")&amp;"  "&amp;업무일지!$F980&amp;"  "&amp;업무일지!$H980)</f>
        <v/>
      </c>
      <c r="D1012" s="122">
        <f>IF(NOT(COUNTBLANK(업무일지!$B980:$AH980)&lt;33),"",TRIM(IF(업무일지!$B980="","시작일 누락; ","")&amp;IF(업무일지!$C980="","종료일 누락; ","")&amp;IF(AND(업무일지!$B980&lt;&gt;"",업무일지!$C980&lt;&gt;"",업무일지!$C980&lt;업무일지!$B980),"종료일이 시작일보다 빠름; ","")&amp;IF(COUNTIF(코드설정!$H$5:$H$7,업무일지!$D980)=0,"직무구분 누락; ","")&amp;IF(업무일지!$E980="","세부유형 누락; ",IF(AND(업무일지!$D980&lt;&gt;"",COUNTIFS(코드설정!$A$5:$A$21,업무일지!$D980,코드설정!$B$5:$B$21,업무일지!$E980)=0),"세부유형이 직무구분과 불일치; ",""))&amp;IF(AND(업무일지!$F980&lt;&gt;"",COUNTIF(사건마스터!$A$5:$A$64,업무일지!$F980)=0),"미등록 사건번호; ","")&amp;IF(AND(업무일지!$F980="",업무일지!$H980=""),"사건번호·업무명 모두 없음; ","")&amp;IF(업무일지!$J980="","담당자 없음; ","")&amp;IF(COUNTIF(코드설정!$F$5:$F$7,업무일지!$AG980)=0,"진행상태 누락; ","")))</f>
        <v/>
      </c>
    </row>
    <row r="1013">
      <c r="A1013" s="26" t="inlineStr">
        <is>
          <t>업무일지</t>
        </is>
      </c>
      <c r="B1013" s="66" t="n">
        <v>981</v>
      </c>
      <c r="C1013" s="122">
        <f>IF($D1013="","",IFERROR(TEXT(업무일지!$B981,"yyyy-mm-dd"),"(날짜없음)")&amp;"  "&amp;업무일지!$F981&amp;"  "&amp;업무일지!$H981)</f>
        <v/>
      </c>
      <c r="D1013" s="122">
        <f>IF(NOT(COUNTBLANK(업무일지!$B981:$AH981)&lt;33),"",TRIM(IF(업무일지!$B981="","시작일 누락; ","")&amp;IF(업무일지!$C981="","종료일 누락; ","")&amp;IF(AND(업무일지!$B981&lt;&gt;"",업무일지!$C981&lt;&gt;"",업무일지!$C981&lt;업무일지!$B981),"종료일이 시작일보다 빠름; ","")&amp;IF(COUNTIF(코드설정!$H$5:$H$7,업무일지!$D981)=0,"직무구분 누락; ","")&amp;IF(업무일지!$E981="","세부유형 누락; ",IF(AND(업무일지!$D981&lt;&gt;"",COUNTIFS(코드설정!$A$5:$A$21,업무일지!$D981,코드설정!$B$5:$B$21,업무일지!$E981)=0),"세부유형이 직무구분과 불일치; ",""))&amp;IF(AND(업무일지!$F981&lt;&gt;"",COUNTIF(사건마스터!$A$5:$A$64,업무일지!$F981)=0),"미등록 사건번호; ","")&amp;IF(AND(업무일지!$F981="",업무일지!$H981=""),"사건번호·업무명 모두 없음; ","")&amp;IF(업무일지!$J981="","담당자 없음; ","")&amp;IF(COUNTIF(코드설정!$F$5:$F$7,업무일지!$AG981)=0,"진행상태 누락; ","")))</f>
        <v/>
      </c>
    </row>
    <row r="1014">
      <c r="A1014" s="26" t="inlineStr">
        <is>
          <t>업무일지</t>
        </is>
      </c>
      <c r="B1014" s="66" t="n">
        <v>982</v>
      </c>
      <c r="C1014" s="122">
        <f>IF($D1014="","",IFERROR(TEXT(업무일지!$B982,"yyyy-mm-dd"),"(날짜없음)")&amp;"  "&amp;업무일지!$F982&amp;"  "&amp;업무일지!$H982)</f>
        <v/>
      </c>
      <c r="D1014" s="122">
        <f>IF(NOT(COUNTBLANK(업무일지!$B982:$AH982)&lt;33),"",TRIM(IF(업무일지!$B982="","시작일 누락; ","")&amp;IF(업무일지!$C982="","종료일 누락; ","")&amp;IF(AND(업무일지!$B982&lt;&gt;"",업무일지!$C982&lt;&gt;"",업무일지!$C982&lt;업무일지!$B982),"종료일이 시작일보다 빠름; ","")&amp;IF(COUNTIF(코드설정!$H$5:$H$7,업무일지!$D982)=0,"직무구분 누락; ","")&amp;IF(업무일지!$E982="","세부유형 누락; ",IF(AND(업무일지!$D982&lt;&gt;"",COUNTIFS(코드설정!$A$5:$A$21,업무일지!$D982,코드설정!$B$5:$B$21,업무일지!$E982)=0),"세부유형이 직무구분과 불일치; ",""))&amp;IF(AND(업무일지!$F982&lt;&gt;"",COUNTIF(사건마스터!$A$5:$A$64,업무일지!$F982)=0),"미등록 사건번호; ","")&amp;IF(AND(업무일지!$F982="",업무일지!$H982=""),"사건번호·업무명 모두 없음; ","")&amp;IF(업무일지!$J982="","담당자 없음; ","")&amp;IF(COUNTIF(코드설정!$F$5:$F$7,업무일지!$AG982)=0,"진행상태 누락; ","")))</f>
        <v/>
      </c>
    </row>
    <row r="1015">
      <c r="A1015" s="26" t="inlineStr">
        <is>
          <t>업무일지</t>
        </is>
      </c>
      <c r="B1015" s="66" t="n">
        <v>983</v>
      </c>
      <c r="C1015" s="122">
        <f>IF($D1015="","",IFERROR(TEXT(업무일지!$B983,"yyyy-mm-dd"),"(날짜없음)")&amp;"  "&amp;업무일지!$F983&amp;"  "&amp;업무일지!$H983)</f>
        <v/>
      </c>
      <c r="D1015" s="122">
        <f>IF(NOT(COUNTBLANK(업무일지!$B983:$AH983)&lt;33),"",TRIM(IF(업무일지!$B983="","시작일 누락; ","")&amp;IF(업무일지!$C983="","종료일 누락; ","")&amp;IF(AND(업무일지!$B983&lt;&gt;"",업무일지!$C983&lt;&gt;"",업무일지!$C983&lt;업무일지!$B983),"종료일이 시작일보다 빠름; ","")&amp;IF(COUNTIF(코드설정!$H$5:$H$7,업무일지!$D983)=0,"직무구분 누락; ","")&amp;IF(업무일지!$E983="","세부유형 누락; ",IF(AND(업무일지!$D983&lt;&gt;"",COUNTIFS(코드설정!$A$5:$A$21,업무일지!$D983,코드설정!$B$5:$B$21,업무일지!$E983)=0),"세부유형이 직무구분과 불일치; ",""))&amp;IF(AND(업무일지!$F983&lt;&gt;"",COUNTIF(사건마스터!$A$5:$A$64,업무일지!$F983)=0),"미등록 사건번호; ","")&amp;IF(AND(업무일지!$F983="",업무일지!$H983=""),"사건번호·업무명 모두 없음; ","")&amp;IF(업무일지!$J983="","담당자 없음; ","")&amp;IF(COUNTIF(코드설정!$F$5:$F$7,업무일지!$AG983)=0,"진행상태 누락; ","")))</f>
        <v/>
      </c>
    </row>
    <row r="1016">
      <c r="A1016" s="26" t="inlineStr">
        <is>
          <t>업무일지</t>
        </is>
      </c>
      <c r="B1016" s="66" t="n">
        <v>984</v>
      </c>
      <c r="C1016" s="122">
        <f>IF($D1016="","",IFERROR(TEXT(업무일지!$B984,"yyyy-mm-dd"),"(날짜없음)")&amp;"  "&amp;업무일지!$F984&amp;"  "&amp;업무일지!$H984)</f>
        <v/>
      </c>
      <c r="D1016" s="122">
        <f>IF(NOT(COUNTBLANK(업무일지!$B984:$AH984)&lt;33),"",TRIM(IF(업무일지!$B984="","시작일 누락; ","")&amp;IF(업무일지!$C984="","종료일 누락; ","")&amp;IF(AND(업무일지!$B984&lt;&gt;"",업무일지!$C984&lt;&gt;"",업무일지!$C984&lt;업무일지!$B984),"종료일이 시작일보다 빠름; ","")&amp;IF(COUNTIF(코드설정!$H$5:$H$7,업무일지!$D984)=0,"직무구분 누락; ","")&amp;IF(업무일지!$E984="","세부유형 누락; ",IF(AND(업무일지!$D984&lt;&gt;"",COUNTIFS(코드설정!$A$5:$A$21,업무일지!$D984,코드설정!$B$5:$B$21,업무일지!$E984)=0),"세부유형이 직무구분과 불일치; ",""))&amp;IF(AND(업무일지!$F984&lt;&gt;"",COUNTIF(사건마스터!$A$5:$A$64,업무일지!$F984)=0),"미등록 사건번호; ","")&amp;IF(AND(업무일지!$F984="",업무일지!$H984=""),"사건번호·업무명 모두 없음; ","")&amp;IF(업무일지!$J984="","담당자 없음; ","")&amp;IF(COUNTIF(코드설정!$F$5:$F$7,업무일지!$AG984)=0,"진행상태 누락; ","")))</f>
        <v/>
      </c>
    </row>
    <row r="1017">
      <c r="A1017" s="26" t="inlineStr">
        <is>
          <t>업무일지</t>
        </is>
      </c>
      <c r="B1017" s="66" t="n">
        <v>985</v>
      </c>
      <c r="C1017" s="122">
        <f>IF($D1017="","",IFERROR(TEXT(업무일지!$B985,"yyyy-mm-dd"),"(날짜없음)")&amp;"  "&amp;업무일지!$F985&amp;"  "&amp;업무일지!$H985)</f>
        <v/>
      </c>
      <c r="D1017" s="122">
        <f>IF(NOT(COUNTBLANK(업무일지!$B985:$AH985)&lt;33),"",TRIM(IF(업무일지!$B985="","시작일 누락; ","")&amp;IF(업무일지!$C985="","종료일 누락; ","")&amp;IF(AND(업무일지!$B985&lt;&gt;"",업무일지!$C985&lt;&gt;"",업무일지!$C985&lt;업무일지!$B985),"종료일이 시작일보다 빠름; ","")&amp;IF(COUNTIF(코드설정!$H$5:$H$7,업무일지!$D985)=0,"직무구분 누락; ","")&amp;IF(업무일지!$E985="","세부유형 누락; ",IF(AND(업무일지!$D985&lt;&gt;"",COUNTIFS(코드설정!$A$5:$A$21,업무일지!$D985,코드설정!$B$5:$B$21,업무일지!$E985)=0),"세부유형이 직무구분과 불일치; ",""))&amp;IF(AND(업무일지!$F985&lt;&gt;"",COUNTIF(사건마스터!$A$5:$A$64,업무일지!$F985)=0),"미등록 사건번호; ","")&amp;IF(AND(업무일지!$F985="",업무일지!$H985=""),"사건번호·업무명 모두 없음; ","")&amp;IF(업무일지!$J985="","담당자 없음; ","")&amp;IF(COUNTIF(코드설정!$F$5:$F$7,업무일지!$AG985)=0,"진행상태 누락; ","")))</f>
        <v/>
      </c>
    </row>
    <row r="1018">
      <c r="A1018" s="26" t="inlineStr">
        <is>
          <t>업무일지</t>
        </is>
      </c>
      <c r="B1018" s="66" t="n">
        <v>986</v>
      </c>
      <c r="C1018" s="122">
        <f>IF($D1018="","",IFERROR(TEXT(업무일지!$B986,"yyyy-mm-dd"),"(날짜없음)")&amp;"  "&amp;업무일지!$F986&amp;"  "&amp;업무일지!$H986)</f>
        <v/>
      </c>
      <c r="D1018" s="122">
        <f>IF(NOT(COUNTBLANK(업무일지!$B986:$AH986)&lt;33),"",TRIM(IF(업무일지!$B986="","시작일 누락; ","")&amp;IF(업무일지!$C986="","종료일 누락; ","")&amp;IF(AND(업무일지!$B986&lt;&gt;"",업무일지!$C986&lt;&gt;"",업무일지!$C986&lt;업무일지!$B986),"종료일이 시작일보다 빠름; ","")&amp;IF(COUNTIF(코드설정!$H$5:$H$7,업무일지!$D986)=0,"직무구분 누락; ","")&amp;IF(업무일지!$E986="","세부유형 누락; ",IF(AND(업무일지!$D986&lt;&gt;"",COUNTIFS(코드설정!$A$5:$A$21,업무일지!$D986,코드설정!$B$5:$B$21,업무일지!$E986)=0),"세부유형이 직무구분과 불일치; ",""))&amp;IF(AND(업무일지!$F986&lt;&gt;"",COUNTIF(사건마스터!$A$5:$A$64,업무일지!$F986)=0),"미등록 사건번호; ","")&amp;IF(AND(업무일지!$F986="",업무일지!$H986=""),"사건번호·업무명 모두 없음; ","")&amp;IF(업무일지!$J986="","담당자 없음; ","")&amp;IF(COUNTIF(코드설정!$F$5:$F$7,업무일지!$AG986)=0,"진행상태 누락; ","")))</f>
        <v/>
      </c>
    </row>
    <row r="1019">
      <c r="A1019" s="26" t="inlineStr">
        <is>
          <t>업무일지</t>
        </is>
      </c>
      <c r="B1019" s="66" t="n">
        <v>987</v>
      </c>
      <c r="C1019" s="122">
        <f>IF($D1019="","",IFERROR(TEXT(업무일지!$B987,"yyyy-mm-dd"),"(날짜없음)")&amp;"  "&amp;업무일지!$F987&amp;"  "&amp;업무일지!$H987)</f>
        <v/>
      </c>
      <c r="D1019" s="122">
        <f>IF(NOT(COUNTBLANK(업무일지!$B987:$AH987)&lt;33),"",TRIM(IF(업무일지!$B987="","시작일 누락; ","")&amp;IF(업무일지!$C987="","종료일 누락; ","")&amp;IF(AND(업무일지!$B987&lt;&gt;"",업무일지!$C987&lt;&gt;"",업무일지!$C987&lt;업무일지!$B987),"종료일이 시작일보다 빠름; ","")&amp;IF(COUNTIF(코드설정!$H$5:$H$7,업무일지!$D987)=0,"직무구분 누락; ","")&amp;IF(업무일지!$E987="","세부유형 누락; ",IF(AND(업무일지!$D987&lt;&gt;"",COUNTIFS(코드설정!$A$5:$A$21,업무일지!$D987,코드설정!$B$5:$B$21,업무일지!$E987)=0),"세부유형이 직무구분과 불일치; ",""))&amp;IF(AND(업무일지!$F987&lt;&gt;"",COUNTIF(사건마스터!$A$5:$A$64,업무일지!$F987)=0),"미등록 사건번호; ","")&amp;IF(AND(업무일지!$F987="",업무일지!$H987=""),"사건번호·업무명 모두 없음; ","")&amp;IF(업무일지!$J987="","담당자 없음; ","")&amp;IF(COUNTIF(코드설정!$F$5:$F$7,업무일지!$AG987)=0,"진행상태 누락; ","")))</f>
        <v/>
      </c>
    </row>
    <row r="1020">
      <c r="A1020" s="26" t="inlineStr">
        <is>
          <t>업무일지</t>
        </is>
      </c>
      <c r="B1020" s="66" t="n">
        <v>988</v>
      </c>
      <c r="C1020" s="122">
        <f>IF($D1020="","",IFERROR(TEXT(업무일지!$B988,"yyyy-mm-dd"),"(날짜없음)")&amp;"  "&amp;업무일지!$F988&amp;"  "&amp;업무일지!$H988)</f>
        <v/>
      </c>
      <c r="D1020" s="122">
        <f>IF(NOT(COUNTBLANK(업무일지!$B988:$AH988)&lt;33),"",TRIM(IF(업무일지!$B988="","시작일 누락; ","")&amp;IF(업무일지!$C988="","종료일 누락; ","")&amp;IF(AND(업무일지!$B988&lt;&gt;"",업무일지!$C988&lt;&gt;"",업무일지!$C988&lt;업무일지!$B988),"종료일이 시작일보다 빠름; ","")&amp;IF(COUNTIF(코드설정!$H$5:$H$7,업무일지!$D988)=0,"직무구분 누락; ","")&amp;IF(업무일지!$E988="","세부유형 누락; ",IF(AND(업무일지!$D988&lt;&gt;"",COUNTIFS(코드설정!$A$5:$A$21,업무일지!$D988,코드설정!$B$5:$B$21,업무일지!$E988)=0),"세부유형이 직무구분과 불일치; ",""))&amp;IF(AND(업무일지!$F988&lt;&gt;"",COUNTIF(사건마스터!$A$5:$A$64,업무일지!$F988)=0),"미등록 사건번호; ","")&amp;IF(AND(업무일지!$F988="",업무일지!$H988=""),"사건번호·업무명 모두 없음; ","")&amp;IF(업무일지!$J988="","담당자 없음; ","")&amp;IF(COUNTIF(코드설정!$F$5:$F$7,업무일지!$AG988)=0,"진행상태 누락; ","")))</f>
        <v/>
      </c>
    </row>
    <row r="1021">
      <c r="A1021" s="26" t="inlineStr">
        <is>
          <t>업무일지</t>
        </is>
      </c>
      <c r="B1021" s="66" t="n">
        <v>989</v>
      </c>
      <c r="C1021" s="122">
        <f>IF($D1021="","",IFERROR(TEXT(업무일지!$B989,"yyyy-mm-dd"),"(날짜없음)")&amp;"  "&amp;업무일지!$F989&amp;"  "&amp;업무일지!$H989)</f>
        <v/>
      </c>
      <c r="D1021" s="122">
        <f>IF(NOT(COUNTBLANK(업무일지!$B989:$AH989)&lt;33),"",TRIM(IF(업무일지!$B989="","시작일 누락; ","")&amp;IF(업무일지!$C989="","종료일 누락; ","")&amp;IF(AND(업무일지!$B989&lt;&gt;"",업무일지!$C989&lt;&gt;"",업무일지!$C989&lt;업무일지!$B989),"종료일이 시작일보다 빠름; ","")&amp;IF(COUNTIF(코드설정!$H$5:$H$7,업무일지!$D989)=0,"직무구분 누락; ","")&amp;IF(업무일지!$E989="","세부유형 누락; ",IF(AND(업무일지!$D989&lt;&gt;"",COUNTIFS(코드설정!$A$5:$A$21,업무일지!$D989,코드설정!$B$5:$B$21,업무일지!$E989)=0),"세부유형이 직무구분과 불일치; ",""))&amp;IF(AND(업무일지!$F989&lt;&gt;"",COUNTIF(사건마스터!$A$5:$A$64,업무일지!$F989)=0),"미등록 사건번호; ","")&amp;IF(AND(업무일지!$F989="",업무일지!$H989=""),"사건번호·업무명 모두 없음; ","")&amp;IF(업무일지!$J989="","담당자 없음; ","")&amp;IF(COUNTIF(코드설정!$F$5:$F$7,업무일지!$AG989)=0,"진행상태 누락; ","")))</f>
        <v/>
      </c>
    </row>
    <row r="1022">
      <c r="A1022" s="26" t="inlineStr">
        <is>
          <t>업무일지</t>
        </is>
      </c>
      <c r="B1022" s="66" t="n">
        <v>990</v>
      </c>
      <c r="C1022" s="122">
        <f>IF($D1022="","",IFERROR(TEXT(업무일지!$B990,"yyyy-mm-dd"),"(날짜없음)")&amp;"  "&amp;업무일지!$F990&amp;"  "&amp;업무일지!$H990)</f>
        <v/>
      </c>
      <c r="D1022" s="122">
        <f>IF(NOT(COUNTBLANK(업무일지!$B990:$AH990)&lt;33),"",TRIM(IF(업무일지!$B990="","시작일 누락; ","")&amp;IF(업무일지!$C990="","종료일 누락; ","")&amp;IF(AND(업무일지!$B990&lt;&gt;"",업무일지!$C990&lt;&gt;"",업무일지!$C990&lt;업무일지!$B990),"종료일이 시작일보다 빠름; ","")&amp;IF(COUNTIF(코드설정!$H$5:$H$7,업무일지!$D990)=0,"직무구분 누락; ","")&amp;IF(업무일지!$E990="","세부유형 누락; ",IF(AND(업무일지!$D990&lt;&gt;"",COUNTIFS(코드설정!$A$5:$A$21,업무일지!$D990,코드설정!$B$5:$B$21,업무일지!$E990)=0),"세부유형이 직무구분과 불일치; ",""))&amp;IF(AND(업무일지!$F990&lt;&gt;"",COUNTIF(사건마스터!$A$5:$A$64,업무일지!$F990)=0),"미등록 사건번호; ","")&amp;IF(AND(업무일지!$F990="",업무일지!$H990=""),"사건번호·업무명 모두 없음; ","")&amp;IF(업무일지!$J990="","담당자 없음; ","")&amp;IF(COUNTIF(코드설정!$F$5:$F$7,업무일지!$AG990)=0,"진행상태 누락; ","")))</f>
        <v/>
      </c>
    </row>
    <row r="1023">
      <c r="A1023" s="26" t="inlineStr">
        <is>
          <t>업무일지</t>
        </is>
      </c>
      <c r="B1023" s="66" t="n">
        <v>991</v>
      </c>
      <c r="C1023" s="122">
        <f>IF($D1023="","",IFERROR(TEXT(업무일지!$B991,"yyyy-mm-dd"),"(날짜없음)")&amp;"  "&amp;업무일지!$F991&amp;"  "&amp;업무일지!$H991)</f>
        <v/>
      </c>
      <c r="D1023" s="122">
        <f>IF(NOT(COUNTBLANK(업무일지!$B991:$AH991)&lt;33),"",TRIM(IF(업무일지!$B991="","시작일 누락; ","")&amp;IF(업무일지!$C991="","종료일 누락; ","")&amp;IF(AND(업무일지!$B991&lt;&gt;"",업무일지!$C991&lt;&gt;"",업무일지!$C991&lt;업무일지!$B991),"종료일이 시작일보다 빠름; ","")&amp;IF(COUNTIF(코드설정!$H$5:$H$7,업무일지!$D991)=0,"직무구분 누락; ","")&amp;IF(업무일지!$E991="","세부유형 누락; ",IF(AND(업무일지!$D991&lt;&gt;"",COUNTIFS(코드설정!$A$5:$A$21,업무일지!$D991,코드설정!$B$5:$B$21,업무일지!$E991)=0),"세부유형이 직무구분과 불일치; ",""))&amp;IF(AND(업무일지!$F991&lt;&gt;"",COUNTIF(사건마스터!$A$5:$A$64,업무일지!$F991)=0),"미등록 사건번호; ","")&amp;IF(AND(업무일지!$F991="",업무일지!$H991=""),"사건번호·업무명 모두 없음; ","")&amp;IF(업무일지!$J991="","담당자 없음; ","")&amp;IF(COUNTIF(코드설정!$F$5:$F$7,업무일지!$AG991)=0,"진행상태 누락; ","")))</f>
        <v/>
      </c>
    </row>
    <row r="1024">
      <c r="A1024" s="26" t="inlineStr">
        <is>
          <t>업무일지</t>
        </is>
      </c>
      <c r="B1024" s="66" t="n">
        <v>992</v>
      </c>
      <c r="C1024" s="122">
        <f>IF($D1024="","",IFERROR(TEXT(업무일지!$B992,"yyyy-mm-dd"),"(날짜없음)")&amp;"  "&amp;업무일지!$F992&amp;"  "&amp;업무일지!$H992)</f>
        <v/>
      </c>
      <c r="D1024" s="122">
        <f>IF(NOT(COUNTBLANK(업무일지!$B992:$AH992)&lt;33),"",TRIM(IF(업무일지!$B992="","시작일 누락; ","")&amp;IF(업무일지!$C992="","종료일 누락; ","")&amp;IF(AND(업무일지!$B992&lt;&gt;"",업무일지!$C992&lt;&gt;"",업무일지!$C992&lt;업무일지!$B992),"종료일이 시작일보다 빠름; ","")&amp;IF(COUNTIF(코드설정!$H$5:$H$7,업무일지!$D992)=0,"직무구분 누락; ","")&amp;IF(업무일지!$E992="","세부유형 누락; ",IF(AND(업무일지!$D992&lt;&gt;"",COUNTIFS(코드설정!$A$5:$A$21,업무일지!$D992,코드설정!$B$5:$B$21,업무일지!$E992)=0),"세부유형이 직무구분과 불일치; ",""))&amp;IF(AND(업무일지!$F992&lt;&gt;"",COUNTIF(사건마스터!$A$5:$A$64,업무일지!$F992)=0),"미등록 사건번호; ","")&amp;IF(AND(업무일지!$F992="",업무일지!$H992=""),"사건번호·업무명 모두 없음; ","")&amp;IF(업무일지!$J992="","담당자 없음; ","")&amp;IF(COUNTIF(코드설정!$F$5:$F$7,업무일지!$AG992)=0,"진행상태 누락; ","")))</f>
        <v/>
      </c>
    </row>
    <row r="1025">
      <c r="A1025" s="26" t="inlineStr">
        <is>
          <t>업무일지</t>
        </is>
      </c>
      <c r="B1025" s="66" t="n">
        <v>993</v>
      </c>
      <c r="C1025" s="122">
        <f>IF($D1025="","",IFERROR(TEXT(업무일지!$B993,"yyyy-mm-dd"),"(날짜없음)")&amp;"  "&amp;업무일지!$F993&amp;"  "&amp;업무일지!$H993)</f>
        <v/>
      </c>
      <c r="D1025" s="122">
        <f>IF(NOT(COUNTBLANK(업무일지!$B993:$AH993)&lt;33),"",TRIM(IF(업무일지!$B993="","시작일 누락; ","")&amp;IF(업무일지!$C993="","종료일 누락; ","")&amp;IF(AND(업무일지!$B993&lt;&gt;"",업무일지!$C993&lt;&gt;"",업무일지!$C993&lt;업무일지!$B993),"종료일이 시작일보다 빠름; ","")&amp;IF(COUNTIF(코드설정!$H$5:$H$7,업무일지!$D993)=0,"직무구분 누락; ","")&amp;IF(업무일지!$E993="","세부유형 누락; ",IF(AND(업무일지!$D993&lt;&gt;"",COUNTIFS(코드설정!$A$5:$A$21,업무일지!$D993,코드설정!$B$5:$B$21,업무일지!$E993)=0),"세부유형이 직무구분과 불일치; ",""))&amp;IF(AND(업무일지!$F993&lt;&gt;"",COUNTIF(사건마스터!$A$5:$A$64,업무일지!$F993)=0),"미등록 사건번호; ","")&amp;IF(AND(업무일지!$F993="",업무일지!$H993=""),"사건번호·업무명 모두 없음; ","")&amp;IF(업무일지!$J993="","담당자 없음; ","")&amp;IF(COUNTIF(코드설정!$F$5:$F$7,업무일지!$AG993)=0,"진행상태 누락; ","")))</f>
        <v/>
      </c>
    </row>
    <row r="1026">
      <c r="A1026" s="26" t="inlineStr">
        <is>
          <t>업무일지</t>
        </is>
      </c>
      <c r="B1026" s="66" t="n">
        <v>994</v>
      </c>
      <c r="C1026" s="122">
        <f>IF($D1026="","",IFERROR(TEXT(업무일지!$B994,"yyyy-mm-dd"),"(날짜없음)")&amp;"  "&amp;업무일지!$F994&amp;"  "&amp;업무일지!$H994)</f>
        <v/>
      </c>
      <c r="D1026" s="122">
        <f>IF(NOT(COUNTBLANK(업무일지!$B994:$AH994)&lt;33),"",TRIM(IF(업무일지!$B994="","시작일 누락; ","")&amp;IF(업무일지!$C994="","종료일 누락; ","")&amp;IF(AND(업무일지!$B994&lt;&gt;"",업무일지!$C994&lt;&gt;"",업무일지!$C994&lt;업무일지!$B994),"종료일이 시작일보다 빠름; ","")&amp;IF(COUNTIF(코드설정!$H$5:$H$7,업무일지!$D994)=0,"직무구분 누락; ","")&amp;IF(업무일지!$E994="","세부유형 누락; ",IF(AND(업무일지!$D994&lt;&gt;"",COUNTIFS(코드설정!$A$5:$A$21,업무일지!$D994,코드설정!$B$5:$B$21,업무일지!$E994)=0),"세부유형이 직무구분과 불일치; ",""))&amp;IF(AND(업무일지!$F994&lt;&gt;"",COUNTIF(사건마스터!$A$5:$A$64,업무일지!$F994)=0),"미등록 사건번호; ","")&amp;IF(AND(업무일지!$F994="",업무일지!$H994=""),"사건번호·업무명 모두 없음; ","")&amp;IF(업무일지!$J994="","담당자 없음; ","")&amp;IF(COUNTIF(코드설정!$F$5:$F$7,업무일지!$AG994)=0,"진행상태 누락; ","")))</f>
        <v/>
      </c>
    </row>
    <row r="1027">
      <c r="A1027" s="26" t="inlineStr">
        <is>
          <t>업무일지</t>
        </is>
      </c>
      <c r="B1027" s="66" t="n">
        <v>995</v>
      </c>
      <c r="C1027" s="122">
        <f>IF($D1027="","",IFERROR(TEXT(업무일지!$B995,"yyyy-mm-dd"),"(날짜없음)")&amp;"  "&amp;업무일지!$F995&amp;"  "&amp;업무일지!$H995)</f>
        <v/>
      </c>
      <c r="D1027" s="122">
        <f>IF(NOT(COUNTBLANK(업무일지!$B995:$AH995)&lt;33),"",TRIM(IF(업무일지!$B995="","시작일 누락; ","")&amp;IF(업무일지!$C995="","종료일 누락; ","")&amp;IF(AND(업무일지!$B995&lt;&gt;"",업무일지!$C995&lt;&gt;"",업무일지!$C995&lt;업무일지!$B995),"종료일이 시작일보다 빠름; ","")&amp;IF(COUNTIF(코드설정!$H$5:$H$7,업무일지!$D995)=0,"직무구분 누락; ","")&amp;IF(업무일지!$E995="","세부유형 누락; ",IF(AND(업무일지!$D995&lt;&gt;"",COUNTIFS(코드설정!$A$5:$A$21,업무일지!$D995,코드설정!$B$5:$B$21,업무일지!$E995)=0),"세부유형이 직무구분과 불일치; ",""))&amp;IF(AND(업무일지!$F995&lt;&gt;"",COUNTIF(사건마스터!$A$5:$A$64,업무일지!$F995)=0),"미등록 사건번호; ","")&amp;IF(AND(업무일지!$F995="",업무일지!$H995=""),"사건번호·업무명 모두 없음; ","")&amp;IF(업무일지!$J995="","담당자 없음; ","")&amp;IF(COUNTIF(코드설정!$F$5:$F$7,업무일지!$AG995)=0,"진행상태 누락; ","")))</f>
        <v/>
      </c>
    </row>
    <row r="1028">
      <c r="A1028" s="26" t="inlineStr">
        <is>
          <t>업무일지</t>
        </is>
      </c>
      <c r="B1028" s="66" t="n">
        <v>996</v>
      </c>
      <c r="C1028" s="122">
        <f>IF($D1028="","",IFERROR(TEXT(업무일지!$B996,"yyyy-mm-dd"),"(날짜없음)")&amp;"  "&amp;업무일지!$F996&amp;"  "&amp;업무일지!$H996)</f>
        <v/>
      </c>
      <c r="D1028" s="122">
        <f>IF(NOT(COUNTBLANK(업무일지!$B996:$AH996)&lt;33),"",TRIM(IF(업무일지!$B996="","시작일 누락; ","")&amp;IF(업무일지!$C996="","종료일 누락; ","")&amp;IF(AND(업무일지!$B996&lt;&gt;"",업무일지!$C996&lt;&gt;"",업무일지!$C996&lt;업무일지!$B996),"종료일이 시작일보다 빠름; ","")&amp;IF(COUNTIF(코드설정!$H$5:$H$7,업무일지!$D996)=0,"직무구분 누락; ","")&amp;IF(업무일지!$E996="","세부유형 누락; ",IF(AND(업무일지!$D996&lt;&gt;"",COUNTIFS(코드설정!$A$5:$A$21,업무일지!$D996,코드설정!$B$5:$B$21,업무일지!$E996)=0),"세부유형이 직무구분과 불일치; ",""))&amp;IF(AND(업무일지!$F996&lt;&gt;"",COUNTIF(사건마스터!$A$5:$A$64,업무일지!$F996)=0),"미등록 사건번호; ","")&amp;IF(AND(업무일지!$F996="",업무일지!$H996=""),"사건번호·업무명 모두 없음; ","")&amp;IF(업무일지!$J996="","담당자 없음; ","")&amp;IF(COUNTIF(코드설정!$F$5:$F$7,업무일지!$AG996)=0,"진행상태 누락; ","")))</f>
        <v/>
      </c>
    </row>
    <row r="1029">
      <c r="A1029" s="26" t="inlineStr">
        <is>
          <t>업무일지</t>
        </is>
      </c>
      <c r="B1029" s="66" t="n">
        <v>997</v>
      </c>
      <c r="C1029" s="122">
        <f>IF($D1029="","",IFERROR(TEXT(업무일지!$B997,"yyyy-mm-dd"),"(날짜없음)")&amp;"  "&amp;업무일지!$F997&amp;"  "&amp;업무일지!$H997)</f>
        <v/>
      </c>
      <c r="D1029" s="122">
        <f>IF(NOT(COUNTBLANK(업무일지!$B997:$AH997)&lt;33),"",TRIM(IF(업무일지!$B997="","시작일 누락; ","")&amp;IF(업무일지!$C997="","종료일 누락; ","")&amp;IF(AND(업무일지!$B997&lt;&gt;"",업무일지!$C997&lt;&gt;"",업무일지!$C997&lt;업무일지!$B997),"종료일이 시작일보다 빠름; ","")&amp;IF(COUNTIF(코드설정!$H$5:$H$7,업무일지!$D997)=0,"직무구분 누락; ","")&amp;IF(업무일지!$E997="","세부유형 누락; ",IF(AND(업무일지!$D997&lt;&gt;"",COUNTIFS(코드설정!$A$5:$A$21,업무일지!$D997,코드설정!$B$5:$B$21,업무일지!$E997)=0),"세부유형이 직무구분과 불일치; ",""))&amp;IF(AND(업무일지!$F997&lt;&gt;"",COUNTIF(사건마스터!$A$5:$A$64,업무일지!$F997)=0),"미등록 사건번호; ","")&amp;IF(AND(업무일지!$F997="",업무일지!$H997=""),"사건번호·업무명 모두 없음; ","")&amp;IF(업무일지!$J997="","담당자 없음; ","")&amp;IF(COUNTIF(코드설정!$F$5:$F$7,업무일지!$AG997)=0,"진행상태 누락; ","")))</f>
        <v/>
      </c>
    </row>
    <row r="1030">
      <c r="A1030" s="26" t="inlineStr">
        <is>
          <t>업무일지</t>
        </is>
      </c>
      <c r="B1030" s="66" t="n">
        <v>998</v>
      </c>
      <c r="C1030" s="122">
        <f>IF($D1030="","",IFERROR(TEXT(업무일지!$B998,"yyyy-mm-dd"),"(날짜없음)")&amp;"  "&amp;업무일지!$F998&amp;"  "&amp;업무일지!$H998)</f>
        <v/>
      </c>
      <c r="D1030" s="122">
        <f>IF(NOT(COUNTBLANK(업무일지!$B998:$AH998)&lt;33),"",TRIM(IF(업무일지!$B998="","시작일 누락; ","")&amp;IF(업무일지!$C998="","종료일 누락; ","")&amp;IF(AND(업무일지!$B998&lt;&gt;"",업무일지!$C998&lt;&gt;"",업무일지!$C998&lt;업무일지!$B998),"종료일이 시작일보다 빠름; ","")&amp;IF(COUNTIF(코드설정!$H$5:$H$7,업무일지!$D998)=0,"직무구분 누락; ","")&amp;IF(업무일지!$E998="","세부유형 누락; ",IF(AND(업무일지!$D998&lt;&gt;"",COUNTIFS(코드설정!$A$5:$A$21,업무일지!$D998,코드설정!$B$5:$B$21,업무일지!$E998)=0),"세부유형이 직무구분과 불일치; ",""))&amp;IF(AND(업무일지!$F998&lt;&gt;"",COUNTIF(사건마스터!$A$5:$A$64,업무일지!$F998)=0),"미등록 사건번호; ","")&amp;IF(AND(업무일지!$F998="",업무일지!$H998=""),"사건번호·업무명 모두 없음; ","")&amp;IF(업무일지!$J998="","담당자 없음; ","")&amp;IF(COUNTIF(코드설정!$F$5:$F$7,업무일지!$AG998)=0,"진행상태 누락; ","")))</f>
        <v/>
      </c>
    </row>
    <row r="1031">
      <c r="A1031" s="26" t="inlineStr">
        <is>
          <t>업무일지</t>
        </is>
      </c>
      <c r="B1031" s="66" t="n">
        <v>999</v>
      </c>
      <c r="C1031" s="122">
        <f>IF($D1031="","",IFERROR(TEXT(업무일지!$B999,"yyyy-mm-dd"),"(날짜없음)")&amp;"  "&amp;업무일지!$F999&amp;"  "&amp;업무일지!$H999)</f>
        <v/>
      </c>
      <c r="D1031" s="122">
        <f>IF(NOT(COUNTBLANK(업무일지!$B999:$AH999)&lt;33),"",TRIM(IF(업무일지!$B999="","시작일 누락; ","")&amp;IF(업무일지!$C999="","종료일 누락; ","")&amp;IF(AND(업무일지!$B999&lt;&gt;"",업무일지!$C999&lt;&gt;"",업무일지!$C999&lt;업무일지!$B999),"종료일이 시작일보다 빠름; ","")&amp;IF(COUNTIF(코드설정!$H$5:$H$7,업무일지!$D999)=0,"직무구분 누락; ","")&amp;IF(업무일지!$E999="","세부유형 누락; ",IF(AND(업무일지!$D999&lt;&gt;"",COUNTIFS(코드설정!$A$5:$A$21,업무일지!$D999,코드설정!$B$5:$B$21,업무일지!$E999)=0),"세부유형이 직무구분과 불일치; ",""))&amp;IF(AND(업무일지!$F999&lt;&gt;"",COUNTIF(사건마스터!$A$5:$A$64,업무일지!$F999)=0),"미등록 사건번호; ","")&amp;IF(AND(업무일지!$F999="",업무일지!$H999=""),"사건번호·업무명 모두 없음; ","")&amp;IF(업무일지!$J999="","담당자 없음; ","")&amp;IF(COUNTIF(코드설정!$F$5:$F$7,업무일지!$AG999)=0,"진행상태 누락; ","")))</f>
        <v/>
      </c>
    </row>
    <row r="1032">
      <c r="A1032" s="26" t="inlineStr">
        <is>
          <t>업무일지</t>
        </is>
      </c>
      <c r="B1032" s="66" t="n">
        <v>1000</v>
      </c>
      <c r="C1032" s="122">
        <f>IF($D1032="","",IFERROR(TEXT(업무일지!$B1000,"yyyy-mm-dd"),"(날짜없음)")&amp;"  "&amp;업무일지!$F1000&amp;"  "&amp;업무일지!$H1000)</f>
        <v/>
      </c>
      <c r="D1032" s="122">
        <f>IF(NOT(COUNTBLANK(업무일지!$B1000:$AH1000)&lt;33),"",TRIM(IF(업무일지!$B1000="","시작일 누락; ","")&amp;IF(업무일지!$C1000="","종료일 누락; ","")&amp;IF(AND(업무일지!$B1000&lt;&gt;"",업무일지!$C1000&lt;&gt;"",업무일지!$C1000&lt;업무일지!$B1000),"종료일이 시작일보다 빠름; ","")&amp;IF(COUNTIF(코드설정!$H$5:$H$7,업무일지!$D1000)=0,"직무구분 누락; ","")&amp;IF(업무일지!$E1000="","세부유형 누락; ",IF(AND(업무일지!$D1000&lt;&gt;"",COUNTIFS(코드설정!$A$5:$A$21,업무일지!$D1000,코드설정!$B$5:$B$21,업무일지!$E1000)=0),"세부유형이 직무구분과 불일치; ",""))&amp;IF(AND(업무일지!$F1000&lt;&gt;"",COUNTIF(사건마스터!$A$5:$A$64,업무일지!$F1000)=0),"미등록 사건번호; ","")&amp;IF(AND(업무일지!$F1000="",업무일지!$H1000=""),"사건번호·업무명 모두 없음; ","")&amp;IF(업무일지!$J1000="","담당자 없음; ","")&amp;IF(COUNTIF(코드설정!$F$5:$F$7,업무일지!$AG1000)=0,"진행상태 누락; ","")))</f>
        <v/>
      </c>
    </row>
    <row r="1033">
      <c r="A1033" s="26" t="inlineStr">
        <is>
          <t>업무일지</t>
        </is>
      </c>
      <c r="B1033" s="66" t="n">
        <v>1001</v>
      </c>
      <c r="C1033" s="122">
        <f>IF($D1033="","",IFERROR(TEXT(업무일지!$B1001,"yyyy-mm-dd"),"(날짜없음)")&amp;"  "&amp;업무일지!$F1001&amp;"  "&amp;업무일지!$H1001)</f>
        <v/>
      </c>
      <c r="D1033" s="122">
        <f>IF(NOT(COUNTBLANK(업무일지!$B1001:$AH1001)&lt;33),"",TRIM(IF(업무일지!$B1001="","시작일 누락; ","")&amp;IF(업무일지!$C1001="","종료일 누락; ","")&amp;IF(AND(업무일지!$B1001&lt;&gt;"",업무일지!$C1001&lt;&gt;"",업무일지!$C1001&lt;업무일지!$B1001),"종료일이 시작일보다 빠름; ","")&amp;IF(COUNTIF(코드설정!$H$5:$H$7,업무일지!$D1001)=0,"직무구분 누락; ","")&amp;IF(업무일지!$E1001="","세부유형 누락; ",IF(AND(업무일지!$D1001&lt;&gt;"",COUNTIFS(코드설정!$A$5:$A$21,업무일지!$D1001,코드설정!$B$5:$B$21,업무일지!$E1001)=0),"세부유형이 직무구분과 불일치; ",""))&amp;IF(AND(업무일지!$F1001&lt;&gt;"",COUNTIF(사건마스터!$A$5:$A$64,업무일지!$F1001)=0),"미등록 사건번호; ","")&amp;IF(AND(업무일지!$F1001="",업무일지!$H1001=""),"사건번호·업무명 모두 없음; ","")&amp;IF(업무일지!$J1001="","담당자 없음; ","")&amp;IF(COUNTIF(코드설정!$F$5:$F$7,업무일지!$AG1001)=0,"진행상태 누락; ","")))</f>
        <v/>
      </c>
    </row>
    <row r="1034">
      <c r="A1034" s="26" t="inlineStr">
        <is>
          <t>업무일지</t>
        </is>
      </c>
      <c r="B1034" s="66" t="n">
        <v>1002</v>
      </c>
      <c r="C1034" s="122">
        <f>IF($D1034="","",IFERROR(TEXT(업무일지!$B1002,"yyyy-mm-dd"),"(날짜없음)")&amp;"  "&amp;업무일지!$F1002&amp;"  "&amp;업무일지!$H1002)</f>
        <v/>
      </c>
      <c r="D1034" s="122">
        <f>IF(NOT(COUNTBLANK(업무일지!$B1002:$AH1002)&lt;33),"",TRIM(IF(업무일지!$B1002="","시작일 누락; ","")&amp;IF(업무일지!$C1002="","종료일 누락; ","")&amp;IF(AND(업무일지!$B1002&lt;&gt;"",업무일지!$C1002&lt;&gt;"",업무일지!$C1002&lt;업무일지!$B1002),"종료일이 시작일보다 빠름; ","")&amp;IF(COUNTIF(코드설정!$H$5:$H$7,업무일지!$D1002)=0,"직무구분 누락; ","")&amp;IF(업무일지!$E1002="","세부유형 누락; ",IF(AND(업무일지!$D1002&lt;&gt;"",COUNTIFS(코드설정!$A$5:$A$21,업무일지!$D1002,코드설정!$B$5:$B$21,업무일지!$E1002)=0),"세부유형이 직무구분과 불일치; ",""))&amp;IF(AND(업무일지!$F1002&lt;&gt;"",COUNTIF(사건마스터!$A$5:$A$64,업무일지!$F1002)=0),"미등록 사건번호; ","")&amp;IF(AND(업무일지!$F1002="",업무일지!$H1002=""),"사건번호·업무명 모두 없음; ","")&amp;IF(업무일지!$J1002="","담당자 없음; ","")&amp;IF(COUNTIF(코드설정!$F$5:$F$7,업무일지!$AG1002)=0,"진행상태 누락; ","")))</f>
        <v/>
      </c>
    </row>
    <row r="1035">
      <c r="A1035" s="26" t="inlineStr">
        <is>
          <t>업무일지</t>
        </is>
      </c>
      <c r="B1035" s="66" t="n">
        <v>1003</v>
      </c>
      <c r="C1035" s="122">
        <f>IF($D1035="","",IFERROR(TEXT(업무일지!$B1003,"yyyy-mm-dd"),"(날짜없음)")&amp;"  "&amp;업무일지!$F1003&amp;"  "&amp;업무일지!$H1003)</f>
        <v/>
      </c>
      <c r="D1035" s="122">
        <f>IF(NOT(COUNTBLANK(업무일지!$B1003:$AH1003)&lt;33),"",TRIM(IF(업무일지!$B1003="","시작일 누락; ","")&amp;IF(업무일지!$C1003="","종료일 누락; ","")&amp;IF(AND(업무일지!$B1003&lt;&gt;"",업무일지!$C1003&lt;&gt;"",업무일지!$C1003&lt;업무일지!$B1003),"종료일이 시작일보다 빠름; ","")&amp;IF(COUNTIF(코드설정!$H$5:$H$7,업무일지!$D1003)=0,"직무구분 누락; ","")&amp;IF(업무일지!$E1003="","세부유형 누락; ",IF(AND(업무일지!$D1003&lt;&gt;"",COUNTIFS(코드설정!$A$5:$A$21,업무일지!$D1003,코드설정!$B$5:$B$21,업무일지!$E1003)=0),"세부유형이 직무구분과 불일치; ",""))&amp;IF(AND(업무일지!$F1003&lt;&gt;"",COUNTIF(사건마스터!$A$5:$A$64,업무일지!$F1003)=0),"미등록 사건번호; ","")&amp;IF(AND(업무일지!$F1003="",업무일지!$H1003=""),"사건번호·업무명 모두 없음; ","")&amp;IF(업무일지!$J1003="","담당자 없음; ","")&amp;IF(COUNTIF(코드설정!$F$5:$F$7,업무일지!$AG1003)=0,"진행상태 누락; ","")))</f>
        <v/>
      </c>
    </row>
    <row r="1036">
      <c r="A1036" s="26" t="inlineStr">
        <is>
          <t>업무일지</t>
        </is>
      </c>
      <c r="B1036" s="66" t="n">
        <v>1004</v>
      </c>
      <c r="C1036" s="122">
        <f>IF($D1036="","",IFERROR(TEXT(업무일지!$B1004,"yyyy-mm-dd"),"(날짜없음)")&amp;"  "&amp;업무일지!$F1004&amp;"  "&amp;업무일지!$H1004)</f>
        <v/>
      </c>
      <c r="D1036" s="122">
        <f>IF(NOT(COUNTBLANK(업무일지!$B1004:$AH1004)&lt;33),"",TRIM(IF(업무일지!$B1004="","시작일 누락; ","")&amp;IF(업무일지!$C1004="","종료일 누락; ","")&amp;IF(AND(업무일지!$B1004&lt;&gt;"",업무일지!$C1004&lt;&gt;"",업무일지!$C1004&lt;업무일지!$B1004),"종료일이 시작일보다 빠름; ","")&amp;IF(COUNTIF(코드설정!$H$5:$H$7,업무일지!$D1004)=0,"직무구분 누락; ","")&amp;IF(업무일지!$E1004="","세부유형 누락; ",IF(AND(업무일지!$D1004&lt;&gt;"",COUNTIFS(코드설정!$A$5:$A$21,업무일지!$D1004,코드설정!$B$5:$B$21,업무일지!$E1004)=0),"세부유형이 직무구분과 불일치; ",""))&amp;IF(AND(업무일지!$F1004&lt;&gt;"",COUNTIF(사건마스터!$A$5:$A$64,업무일지!$F1004)=0),"미등록 사건번호; ","")&amp;IF(AND(업무일지!$F1004="",업무일지!$H1004=""),"사건번호·업무명 모두 없음; ","")&amp;IF(업무일지!$J1004="","담당자 없음; ","")&amp;IF(COUNTIF(코드설정!$F$5:$F$7,업무일지!$AG1004)=0,"진행상태 누락; ","")))</f>
        <v/>
      </c>
    </row>
    <row r="1037">
      <c r="A1037" s="26" t="inlineStr">
        <is>
          <t>일일실시사항</t>
        </is>
      </c>
      <c r="B1037" s="66" t="n">
        <v>5</v>
      </c>
      <c r="C1037" s="122">
        <f>IF($D1037="","",IFERROR(TEXT(일일실시사항!$B5,"yyyy-mm-dd"),"(날짜없음)")&amp;"  "&amp;일일실시사항!$D5&amp;"  "&amp;일일실시사항!$H5)</f>
        <v/>
      </c>
      <c r="D1037" s="122">
        <f>IF(NOT(COUNTBLANK(일일실시사항!$B5:$K5)&lt;10),"",TRIM(IF(일일실시사항!$B5="","일자 누락; ","")&amp;IF(COUNTIF(코드설정!$C$5:$C$24,일일실시사항!$D5)=0,"담당자 누락; ","")&amp;IF(COUNTIF(코드설정!$G$5:$G$14,일일실시사항!$F5)=0,"업무구분 누락; ","")&amp;IF(AND(일일실시사항!$G5&lt;&gt;"",COUNTIF(사건마스터!$A$5:$A$64,일일실시사항!$G5)=0),"미등록 사건번호; ","")&amp;IF(일일실시사항!$H5="","실시 내용 없음; ","")&amp;IF(COUNTIF(코드설정!$F$5:$F$7,일일실시사항!$J5)=0,"진행상태 누락; ","")))</f>
        <v/>
      </c>
    </row>
    <row r="1038">
      <c r="A1038" s="26" t="inlineStr">
        <is>
          <t>일일실시사항</t>
        </is>
      </c>
      <c r="B1038" s="66" t="n">
        <v>6</v>
      </c>
      <c r="C1038" s="122">
        <f>IF($D1038="","",IFERROR(TEXT(일일실시사항!$B6,"yyyy-mm-dd"),"(날짜없음)")&amp;"  "&amp;일일실시사항!$D6&amp;"  "&amp;일일실시사항!$H6)</f>
        <v/>
      </c>
      <c r="D1038" s="122">
        <f>IF(NOT(COUNTBLANK(일일실시사항!$B6:$K6)&lt;10),"",TRIM(IF(일일실시사항!$B6="","일자 누락; ","")&amp;IF(COUNTIF(코드설정!$C$5:$C$24,일일실시사항!$D6)=0,"담당자 누락; ","")&amp;IF(COUNTIF(코드설정!$G$5:$G$14,일일실시사항!$F6)=0,"업무구분 누락; ","")&amp;IF(AND(일일실시사항!$G6&lt;&gt;"",COUNTIF(사건마스터!$A$5:$A$64,일일실시사항!$G6)=0),"미등록 사건번호; ","")&amp;IF(일일실시사항!$H6="","실시 내용 없음; ","")&amp;IF(COUNTIF(코드설정!$F$5:$F$7,일일실시사항!$J6)=0,"진행상태 누락; ","")))</f>
        <v/>
      </c>
    </row>
    <row r="1039">
      <c r="A1039" s="26" t="inlineStr">
        <is>
          <t>일일실시사항</t>
        </is>
      </c>
      <c r="B1039" s="66" t="n">
        <v>7</v>
      </c>
      <c r="C1039" s="122">
        <f>IF($D1039="","",IFERROR(TEXT(일일실시사항!$B7,"yyyy-mm-dd"),"(날짜없음)")&amp;"  "&amp;일일실시사항!$D7&amp;"  "&amp;일일실시사항!$H7)</f>
        <v/>
      </c>
      <c r="D1039" s="122">
        <f>IF(NOT(COUNTBLANK(일일실시사항!$B7:$K7)&lt;10),"",TRIM(IF(일일실시사항!$B7="","일자 누락; ","")&amp;IF(COUNTIF(코드설정!$C$5:$C$24,일일실시사항!$D7)=0,"담당자 누락; ","")&amp;IF(COUNTIF(코드설정!$G$5:$G$14,일일실시사항!$F7)=0,"업무구분 누락; ","")&amp;IF(AND(일일실시사항!$G7&lt;&gt;"",COUNTIF(사건마스터!$A$5:$A$64,일일실시사항!$G7)=0),"미등록 사건번호; ","")&amp;IF(일일실시사항!$H7="","실시 내용 없음; ","")&amp;IF(COUNTIF(코드설정!$F$5:$F$7,일일실시사항!$J7)=0,"진행상태 누락; ","")))</f>
        <v/>
      </c>
    </row>
    <row r="1040">
      <c r="A1040" s="26" t="inlineStr">
        <is>
          <t>일일실시사항</t>
        </is>
      </c>
      <c r="B1040" s="66" t="n">
        <v>8</v>
      </c>
      <c r="C1040" s="122">
        <f>IF($D1040="","",IFERROR(TEXT(일일실시사항!$B8,"yyyy-mm-dd"),"(날짜없음)")&amp;"  "&amp;일일실시사항!$D8&amp;"  "&amp;일일실시사항!$H8)</f>
        <v/>
      </c>
      <c r="D1040" s="122">
        <f>IF(NOT(COUNTBLANK(일일실시사항!$B8:$K8)&lt;10),"",TRIM(IF(일일실시사항!$B8="","일자 누락; ","")&amp;IF(COUNTIF(코드설정!$C$5:$C$24,일일실시사항!$D8)=0,"담당자 누락; ","")&amp;IF(COUNTIF(코드설정!$G$5:$G$14,일일실시사항!$F8)=0,"업무구분 누락; ","")&amp;IF(AND(일일실시사항!$G8&lt;&gt;"",COUNTIF(사건마스터!$A$5:$A$64,일일실시사항!$G8)=0),"미등록 사건번호; ","")&amp;IF(일일실시사항!$H8="","실시 내용 없음; ","")&amp;IF(COUNTIF(코드설정!$F$5:$F$7,일일실시사항!$J8)=0,"진행상태 누락; ","")))</f>
        <v/>
      </c>
    </row>
    <row r="1041">
      <c r="A1041" s="26" t="inlineStr">
        <is>
          <t>일일실시사항</t>
        </is>
      </c>
      <c r="B1041" s="66" t="n">
        <v>9</v>
      </c>
      <c r="C1041" s="122">
        <f>IF($D1041="","",IFERROR(TEXT(일일실시사항!$B9,"yyyy-mm-dd"),"(날짜없음)")&amp;"  "&amp;일일실시사항!$D9&amp;"  "&amp;일일실시사항!$H9)</f>
        <v/>
      </c>
      <c r="D1041" s="122">
        <f>IF(NOT(COUNTBLANK(일일실시사항!$B9:$K9)&lt;10),"",TRIM(IF(일일실시사항!$B9="","일자 누락; ","")&amp;IF(COUNTIF(코드설정!$C$5:$C$24,일일실시사항!$D9)=0,"담당자 누락; ","")&amp;IF(COUNTIF(코드설정!$G$5:$G$14,일일실시사항!$F9)=0,"업무구분 누락; ","")&amp;IF(AND(일일실시사항!$G9&lt;&gt;"",COUNTIF(사건마스터!$A$5:$A$64,일일실시사항!$G9)=0),"미등록 사건번호; ","")&amp;IF(일일실시사항!$H9="","실시 내용 없음; ","")&amp;IF(COUNTIF(코드설정!$F$5:$F$7,일일실시사항!$J9)=0,"진행상태 누락; ","")))</f>
        <v/>
      </c>
    </row>
    <row r="1042">
      <c r="A1042" s="26" t="inlineStr">
        <is>
          <t>일일실시사항</t>
        </is>
      </c>
      <c r="B1042" s="66" t="n">
        <v>10</v>
      </c>
      <c r="C1042" s="122">
        <f>IF($D1042="","",IFERROR(TEXT(일일실시사항!$B10,"yyyy-mm-dd"),"(날짜없음)")&amp;"  "&amp;일일실시사항!$D10&amp;"  "&amp;일일실시사항!$H10)</f>
        <v/>
      </c>
      <c r="D1042" s="122">
        <f>IF(NOT(COUNTBLANK(일일실시사항!$B10:$K10)&lt;10),"",TRIM(IF(일일실시사항!$B10="","일자 누락; ","")&amp;IF(COUNTIF(코드설정!$C$5:$C$24,일일실시사항!$D10)=0,"담당자 누락; ","")&amp;IF(COUNTIF(코드설정!$G$5:$G$14,일일실시사항!$F10)=0,"업무구분 누락; ","")&amp;IF(AND(일일실시사항!$G10&lt;&gt;"",COUNTIF(사건마스터!$A$5:$A$64,일일실시사항!$G10)=0),"미등록 사건번호; ","")&amp;IF(일일실시사항!$H10="","실시 내용 없음; ","")&amp;IF(COUNTIF(코드설정!$F$5:$F$7,일일실시사항!$J10)=0,"진행상태 누락; ","")))</f>
        <v/>
      </c>
    </row>
    <row r="1043">
      <c r="A1043" s="26" t="inlineStr">
        <is>
          <t>일일실시사항</t>
        </is>
      </c>
      <c r="B1043" s="66" t="n">
        <v>11</v>
      </c>
      <c r="C1043" s="122">
        <f>IF($D1043="","",IFERROR(TEXT(일일실시사항!$B11,"yyyy-mm-dd"),"(날짜없음)")&amp;"  "&amp;일일실시사항!$D11&amp;"  "&amp;일일실시사항!$H11)</f>
        <v/>
      </c>
      <c r="D1043" s="122">
        <f>IF(NOT(COUNTBLANK(일일실시사항!$B11:$K11)&lt;10),"",TRIM(IF(일일실시사항!$B11="","일자 누락; ","")&amp;IF(COUNTIF(코드설정!$C$5:$C$24,일일실시사항!$D11)=0,"담당자 누락; ","")&amp;IF(COUNTIF(코드설정!$G$5:$G$14,일일실시사항!$F11)=0,"업무구분 누락; ","")&amp;IF(AND(일일실시사항!$G11&lt;&gt;"",COUNTIF(사건마스터!$A$5:$A$64,일일실시사항!$G11)=0),"미등록 사건번호; ","")&amp;IF(일일실시사항!$H11="","실시 내용 없음; ","")&amp;IF(COUNTIF(코드설정!$F$5:$F$7,일일실시사항!$J11)=0,"진행상태 누락; ","")))</f>
        <v/>
      </c>
    </row>
    <row r="1044">
      <c r="A1044" s="26" t="inlineStr">
        <is>
          <t>일일실시사항</t>
        </is>
      </c>
      <c r="B1044" s="66" t="n">
        <v>12</v>
      </c>
      <c r="C1044" s="122">
        <f>IF($D1044="","",IFERROR(TEXT(일일실시사항!$B12,"yyyy-mm-dd"),"(날짜없음)")&amp;"  "&amp;일일실시사항!$D12&amp;"  "&amp;일일실시사항!$H12)</f>
        <v/>
      </c>
      <c r="D1044" s="122">
        <f>IF(NOT(COUNTBLANK(일일실시사항!$B12:$K12)&lt;10),"",TRIM(IF(일일실시사항!$B12="","일자 누락; ","")&amp;IF(COUNTIF(코드설정!$C$5:$C$24,일일실시사항!$D12)=0,"담당자 누락; ","")&amp;IF(COUNTIF(코드설정!$G$5:$G$14,일일실시사항!$F12)=0,"업무구분 누락; ","")&amp;IF(AND(일일실시사항!$G12&lt;&gt;"",COUNTIF(사건마스터!$A$5:$A$64,일일실시사항!$G12)=0),"미등록 사건번호; ","")&amp;IF(일일실시사항!$H12="","실시 내용 없음; ","")&amp;IF(COUNTIF(코드설정!$F$5:$F$7,일일실시사항!$J12)=0,"진행상태 누락; ","")))</f>
        <v/>
      </c>
    </row>
    <row r="1045">
      <c r="A1045" s="26" t="inlineStr">
        <is>
          <t>일일실시사항</t>
        </is>
      </c>
      <c r="B1045" s="66" t="n">
        <v>13</v>
      </c>
      <c r="C1045" s="122">
        <f>IF($D1045="","",IFERROR(TEXT(일일실시사항!$B13,"yyyy-mm-dd"),"(날짜없음)")&amp;"  "&amp;일일실시사항!$D13&amp;"  "&amp;일일실시사항!$H13)</f>
        <v/>
      </c>
      <c r="D1045" s="122">
        <f>IF(NOT(COUNTBLANK(일일실시사항!$B13:$K13)&lt;10),"",TRIM(IF(일일실시사항!$B13="","일자 누락; ","")&amp;IF(COUNTIF(코드설정!$C$5:$C$24,일일실시사항!$D13)=0,"담당자 누락; ","")&amp;IF(COUNTIF(코드설정!$G$5:$G$14,일일실시사항!$F13)=0,"업무구분 누락; ","")&amp;IF(AND(일일실시사항!$G13&lt;&gt;"",COUNTIF(사건마스터!$A$5:$A$64,일일실시사항!$G13)=0),"미등록 사건번호; ","")&amp;IF(일일실시사항!$H13="","실시 내용 없음; ","")&amp;IF(COUNTIF(코드설정!$F$5:$F$7,일일실시사항!$J13)=0,"진행상태 누락; ","")))</f>
        <v/>
      </c>
    </row>
    <row r="1046">
      <c r="A1046" s="26" t="inlineStr">
        <is>
          <t>일일실시사항</t>
        </is>
      </c>
      <c r="B1046" s="66" t="n">
        <v>14</v>
      </c>
      <c r="C1046" s="122">
        <f>IF($D1046="","",IFERROR(TEXT(일일실시사항!$B14,"yyyy-mm-dd"),"(날짜없음)")&amp;"  "&amp;일일실시사항!$D14&amp;"  "&amp;일일실시사항!$H14)</f>
        <v/>
      </c>
      <c r="D1046" s="122">
        <f>IF(NOT(COUNTBLANK(일일실시사항!$B14:$K14)&lt;10),"",TRIM(IF(일일실시사항!$B14="","일자 누락; ","")&amp;IF(COUNTIF(코드설정!$C$5:$C$24,일일실시사항!$D14)=0,"담당자 누락; ","")&amp;IF(COUNTIF(코드설정!$G$5:$G$14,일일실시사항!$F14)=0,"업무구분 누락; ","")&amp;IF(AND(일일실시사항!$G14&lt;&gt;"",COUNTIF(사건마스터!$A$5:$A$64,일일실시사항!$G14)=0),"미등록 사건번호; ","")&amp;IF(일일실시사항!$H14="","실시 내용 없음; ","")&amp;IF(COUNTIF(코드설정!$F$5:$F$7,일일실시사항!$J14)=0,"진행상태 누락; ","")))</f>
        <v/>
      </c>
    </row>
    <row r="1047">
      <c r="A1047" s="26" t="inlineStr">
        <is>
          <t>일일실시사항</t>
        </is>
      </c>
      <c r="B1047" s="66" t="n">
        <v>15</v>
      </c>
      <c r="C1047" s="122">
        <f>IF($D1047="","",IFERROR(TEXT(일일실시사항!$B15,"yyyy-mm-dd"),"(날짜없음)")&amp;"  "&amp;일일실시사항!$D15&amp;"  "&amp;일일실시사항!$H15)</f>
        <v/>
      </c>
      <c r="D1047" s="122">
        <f>IF(NOT(COUNTBLANK(일일실시사항!$B15:$K15)&lt;10),"",TRIM(IF(일일실시사항!$B15="","일자 누락; ","")&amp;IF(COUNTIF(코드설정!$C$5:$C$24,일일실시사항!$D15)=0,"담당자 누락; ","")&amp;IF(COUNTIF(코드설정!$G$5:$G$14,일일실시사항!$F15)=0,"업무구분 누락; ","")&amp;IF(AND(일일실시사항!$G15&lt;&gt;"",COUNTIF(사건마스터!$A$5:$A$64,일일실시사항!$G15)=0),"미등록 사건번호; ","")&amp;IF(일일실시사항!$H15="","실시 내용 없음; ","")&amp;IF(COUNTIF(코드설정!$F$5:$F$7,일일실시사항!$J15)=0,"진행상태 누락; ","")))</f>
        <v/>
      </c>
    </row>
    <row r="1048">
      <c r="A1048" s="26" t="inlineStr">
        <is>
          <t>일일실시사항</t>
        </is>
      </c>
      <c r="B1048" s="66" t="n">
        <v>16</v>
      </c>
      <c r="C1048" s="122">
        <f>IF($D1048="","",IFERROR(TEXT(일일실시사항!$B16,"yyyy-mm-dd"),"(날짜없음)")&amp;"  "&amp;일일실시사항!$D16&amp;"  "&amp;일일실시사항!$H16)</f>
        <v/>
      </c>
      <c r="D1048" s="122">
        <f>IF(NOT(COUNTBLANK(일일실시사항!$B16:$K16)&lt;10),"",TRIM(IF(일일실시사항!$B16="","일자 누락; ","")&amp;IF(COUNTIF(코드설정!$C$5:$C$24,일일실시사항!$D16)=0,"담당자 누락; ","")&amp;IF(COUNTIF(코드설정!$G$5:$G$14,일일실시사항!$F16)=0,"업무구분 누락; ","")&amp;IF(AND(일일실시사항!$G16&lt;&gt;"",COUNTIF(사건마스터!$A$5:$A$64,일일실시사항!$G16)=0),"미등록 사건번호; ","")&amp;IF(일일실시사항!$H16="","실시 내용 없음; ","")&amp;IF(COUNTIF(코드설정!$F$5:$F$7,일일실시사항!$J16)=0,"진행상태 누락; ","")))</f>
        <v/>
      </c>
    </row>
    <row r="1049">
      <c r="A1049" s="26" t="inlineStr">
        <is>
          <t>일일실시사항</t>
        </is>
      </c>
      <c r="B1049" s="66" t="n">
        <v>17</v>
      </c>
      <c r="C1049" s="122">
        <f>IF($D1049="","",IFERROR(TEXT(일일실시사항!$B17,"yyyy-mm-dd"),"(날짜없음)")&amp;"  "&amp;일일실시사항!$D17&amp;"  "&amp;일일실시사항!$H17)</f>
        <v/>
      </c>
      <c r="D1049" s="122">
        <f>IF(NOT(COUNTBLANK(일일실시사항!$B17:$K17)&lt;10),"",TRIM(IF(일일실시사항!$B17="","일자 누락; ","")&amp;IF(COUNTIF(코드설정!$C$5:$C$24,일일실시사항!$D17)=0,"담당자 누락; ","")&amp;IF(COUNTIF(코드설정!$G$5:$G$14,일일실시사항!$F17)=0,"업무구분 누락; ","")&amp;IF(AND(일일실시사항!$G17&lt;&gt;"",COUNTIF(사건마스터!$A$5:$A$64,일일실시사항!$G17)=0),"미등록 사건번호; ","")&amp;IF(일일실시사항!$H17="","실시 내용 없음; ","")&amp;IF(COUNTIF(코드설정!$F$5:$F$7,일일실시사항!$J17)=0,"진행상태 누락; ","")))</f>
        <v/>
      </c>
    </row>
    <row r="1050">
      <c r="A1050" s="26" t="inlineStr">
        <is>
          <t>일일실시사항</t>
        </is>
      </c>
      <c r="B1050" s="66" t="n">
        <v>18</v>
      </c>
      <c r="C1050" s="122">
        <f>IF($D1050="","",IFERROR(TEXT(일일실시사항!$B18,"yyyy-mm-dd"),"(날짜없음)")&amp;"  "&amp;일일실시사항!$D18&amp;"  "&amp;일일실시사항!$H18)</f>
        <v/>
      </c>
      <c r="D1050" s="122">
        <f>IF(NOT(COUNTBLANK(일일실시사항!$B18:$K18)&lt;10),"",TRIM(IF(일일실시사항!$B18="","일자 누락; ","")&amp;IF(COUNTIF(코드설정!$C$5:$C$24,일일실시사항!$D18)=0,"담당자 누락; ","")&amp;IF(COUNTIF(코드설정!$G$5:$G$14,일일실시사항!$F18)=0,"업무구분 누락; ","")&amp;IF(AND(일일실시사항!$G18&lt;&gt;"",COUNTIF(사건마스터!$A$5:$A$64,일일실시사항!$G18)=0),"미등록 사건번호; ","")&amp;IF(일일실시사항!$H18="","실시 내용 없음; ","")&amp;IF(COUNTIF(코드설정!$F$5:$F$7,일일실시사항!$J18)=0,"진행상태 누락; ","")))</f>
        <v/>
      </c>
    </row>
    <row r="1051">
      <c r="A1051" s="26" t="inlineStr">
        <is>
          <t>일일실시사항</t>
        </is>
      </c>
      <c r="B1051" s="66" t="n">
        <v>19</v>
      </c>
      <c r="C1051" s="122">
        <f>IF($D1051="","",IFERROR(TEXT(일일실시사항!$B19,"yyyy-mm-dd"),"(날짜없음)")&amp;"  "&amp;일일실시사항!$D19&amp;"  "&amp;일일실시사항!$H19)</f>
        <v/>
      </c>
      <c r="D1051" s="122">
        <f>IF(NOT(COUNTBLANK(일일실시사항!$B19:$K19)&lt;10),"",TRIM(IF(일일실시사항!$B19="","일자 누락; ","")&amp;IF(COUNTIF(코드설정!$C$5:$C$24,일일실시사항!$D19)=0,"담당자 누락; ","")&amp;IF(COUNTIF(코드설정!$G$5:$G$14,일일실시사항!$F19)=0,"업무구분 누락; ","")&amp;IF(AND(일일실시사항!$G19&lt;&gt;"",COUNTIF(사건마스터!$A$5:$A$64,일일실시사항!$G19)=0),"미등록 사건번호; ","")&amp;IF(일일실시사항!$H19="","실시 내용 없음; ","")&amp;IF(COUNTIF(코드설정!$F$5:$F$7,일일실시사항!$J19)=0,"진행상태 누락; ","")))</f>
        <v/>
      </c>
    </row>
    <row r="1052">
      <c r="A1052" s="26" t="inlineStr">
        <is>
          <t>일일실시사항</t>
        </is>
      </c>
      <c r="B1052" s="66" t="n">
        <v>20</v>
      </c>
      <c r="C1052" s="122">
        <f>IF($D1052="","",IFERROR(TEXT(일일실시사항!$B20,"yyyy-mm-dd"),"(날짜없음)")&amp;"  "&amp;일일실시사항!$D20&amp;"  "&amp;일일실시사항!$H20)</f>
        <v/>
      </c>
      <c r="D1052" s="122">
        <f>IF(NOT(COUNTBLANK(일일실시사항!$B20:$K20)&lt;10),"",TRIM(IF(일일실시사항!$B20="","일자 누락; ","")&amp;IF(COUNTIF(코드설정!$C$5:$C$24,일일실시사항!$D20)=0,"담당자 누락; ","")&amp;IF(COUNTIF(코드설정!$G$5:$G$14,일일실시사항!$F20)=0,"업무구분 누락; ","")&amp;IF(AND(일일실시사항!$G20&lt;&gt;"",COUNTIF(사건마스터!$A$5:$A$64,일일실시사항!$G20)=0),"미등록 사건번호; ","")&amp;IF(일일실시사항!$H20="","실시 내용 없음; ","")&amp;IF(COUNTIF(코드설정!$F$5:$F$7,일일실시사항!$J20)=0,"진행상태 누락; ","")))</f>
        <v/>
      </c>
    </row>
    <row r="1053">
      <c r="A1053" s="26" t="inlineStr">
        <is>
          <t>일일실시사항</t>
        </is>
      </c>
      <c r="B1053" s="66" t="n">
        <v>21</v>
      </c>
      <c r="C1053" s="122">
        <f>IF($D1053="","",IFERROR(TEXT(일일실시사항!$B21,"yyyy-mm-dd"),"(날짜없음)")&amp;"  "&amp;일일실시사항!$D21&amp;"  "&amp;일일실시사항!$H21)</f>
        <v/>
      </c>
      <c r="D1053" s="122">
        <f>IF(NOT(COUNTBLANK(일일실시사항!$B21:$K21)&lt;10),"",TRIM(IF(일일실시사항!$B21="","일자 누락; ","")&amp;IF(COUNTIF(코드설정!$C$5:$C$24,일일실시사항!$D21)=0,"담당자 누락; ","")&amp;IF(COUNTIF(코드설정!$G$5:$G$14,일일실시사항!$F21)=0,"업무구분 누락; ","")&amp;IF(AND(일일실시사항!$G21&lt;&gt;"",COUNTIF(사건마스터!$A$5:$A$64,일일실시사항!$G21)=0),"미등록 사건번호; ","")&amp;IF(일일실시사항!$H21="","실시 내용 없음; ","")&amp;IF(COUNTIF(코드설정!$F$5:$F$7,일일실시사항!$J21)=0,"진행상태 누락; ","")))</f>
        <v/>
      </c>
    </row>
    <row r="1054">
      <c r="A1054" s="26" t="inlineStr">
        <is>
          <t>일일실시사항</t>
        </is>
      </c>
      <c r="B1054" s="66" t="n">
        <v>22</v>
      </c>
      <c r="C1054" s="122">
        <f>IF($D1054="","",IFERROR(TEXT(일일실시사항!$B22,"yyyy-mm-dd"),"(날짜없음)")&amp;"  "&amp;일일실시사항!$D22&amp;"  "&amp;일일실시사항!$H22)</f>
        <v/>
      </c>
      <c r="D1054" s="122">
        <f>IF(NOT(COUNTBLANK(일일실시사항!$B22:$K22)&lt;10),"",TRIM(IF(일일실시사항!$B22="","일자 누락; ","")&amp;IF(COUNTIF(코드설정!$C$5:$C$24,일일실시사항!$D22)=0,"담당자 누락; ","")&amp;IF(COUNTIF(코드설정!$G$5:$G$14,일일실시사항!$F22)=0,"업무구분 누락; ","")&amp;IF(AND(일일실시사항!$G22&lt;&gt;"",COUNTIF(사건마스터!$A$5:$A$64,일일실시사항!$G22)=0),"미등록 사건번호; ","")&amp;IF(일일실시사항!$H22="","실시 내용 없음; ","")&amp;IF(COUNTIF(코드설정!$F$5:$F$7,일일실시사항!$J22)=0,"진행상태 누락; ","")))</f>
        <v/>
      </c>
    </row>
    <row r="1055">
      <c r="A1055" s="26" t="inlineStr">
        <is>
          <t>일일실시사항</t>
        </is>
      </c>
      <c r="B1055" s="66" t="n">
        <v>23</v>
      </c>
      <c r="C1055" s="122">
        <f>IF($D1055="","",IFERROR(TEXT(일일실시사항!$B23,"yyyy-mm-dd"),"(날짜없음)")&amp;"  "&amp;일일실시사항!$D23&amp;"  "&amp;일일실시사항!$H23)</f>
        <v/>
      </c>
      <c r="D1055" s="122">
        <f>IF(NOT(COUNTBLANK(일일실시사항!$B23:$K23)&lt;10),"",TRIM(IF(일일실시사항!$B23="","일자 누락; ","")&amp;IF(COUNTIF(코드설정!$C$5:$C$24,일일실시사항!$D23)=0,"담당자 누락; ","")&amp;IF(COUNTIF(코드설정!$G$5:$G$14,일일실시사항!$F23)=0,"업무구분 누락; ","")&amp;IF(AND(일일실시사항!$G23&lt;&gt;"",COUNTIF(사건마스터!$A$5:$A$64,일일실시사항!$G23)=0),"미등록 사건번호; ","")&amp;IF(일일실시사항!$H23="","실시 내용 없음; ","")&amp;IF(COUNTIF(코드설정!$F$5:$F$7,일일실시사항!$J23)=0,"진행상태 누락; ","")))</f>
        <v/>
      </c>
    </row>
    <row r="1056">
      <c r="A1056" s="26" t="inlineStr">
        <is>
          <t>일일실시사항</t>
        </is>
      </c>
      <c r="B1056" s="66" t="n">
        <v>24</v>
      </c>
      <c r="C1056" s="122">
        <f>IF($D1056="","",IFERROR(TEXT(일일실시사항!$B24,"yyyy-mm-dd"),"(날짜없음)")&amp;"  "&amp;일일실시사항!$D24&amp;"  "&amp;일일실시사항!$H24)</f>
        <v/>
      </c>
      <c r="D1056" s="122">
        <f>IF(NOT(COUNTBLANK(일일실시사항!$B24:$K24)&lt;10),"",TRIM(IF(일일실시사항!$B24="","일자 누락; ","")&amp;IF(COUNTIF(코드설정!$C$5:$C$24,일일실시사항!$D24)=0,"담당자 누락; ","")&amp;IF(COUNTIF(코드설정!$G$5:$G$14,일일실시사항!$F24)=0,"업무구분 누락; ","")&amp;IF(AND(일일실시사항!$G24&lt;&gt;"",COUNTIF(사건마스터!$A$5:$A$64,일일실시사항!$G24)=0),"미등록 사건번호; ","")&amp;IF(일일실시사항!$H24="","실시 내용 없음; ","")&amp;IF(COUNTIF(코드설정!$F$5:$F$7,일일실시사항!$J24)=0,"진행상태 누락; ","")))</f>
        <v/>
      </c>
    </row>
    <row r="1057">
      <c r="A1057" s="26" t="inlineStr">
        <is>
          <t>일일실시사항</t>
        </is>
      </c>
      <c r="B1057" s="66" t="n">
        <v>25</v>
      </c>
      <c r="C1057" s="122">
        <f>IF($D1057="","",IFERROR(TEXT(일일실시사항!$B25,"yyyy-mm-dd"),"(날짜없음)")&amp;"  "&amp;일일실시사항!$D25&amp;"  "&amp;일일실시사항!$H25)</f>
        <v/>
      </c>
      <c r="D1057" s="122">
        <f>IF(NOT(COUNTBLANK(일일실시사항!$B25:$K25)&lt;10),"",TRIM(IF(일일실시사항!$B25="","일자 누락; ","")&amp;IF(COUNTIF(코드설정!$C$5:$C$24,일일실시사항!$D25)=0,"담당자 누락; ","")&amp;IF(COUNTIF(코드설정!$G$5:$G$14,일일실시사항!$F25)=0,"업무구분 누락; ","")&amp;IF(AND(일일실시사항!$G25&lt;&gt;"",COUNTIF(사건마스터!$A$5:$A$64,일일실시사항!$G25)=0),"미등록 사건번호; ","")&amp;IF(일일실시사항!$H25="","실시 내용 없음; ","")&amp;IF(COUNTIF(코드설정!$F$5:$F$7,일일실시사항!$J25)=0,"진행상태 누락; ","")))</f>
        <v/>
      </c>
    </row>
    <row r="1058">
      <c r="A1058" s="26" t="inlineStr">
        <is>
          <t>일일실시사항</t>
        </is>
      </c>
      <c r="B1058" s="66" t="n">
        <v>26</v>
      </c>
      <c r="C1058" s="122">
        <f>IF($D1058="","",IFERROR(TEXT(일일실시사항!$B26,"yyyy-mm-dd"),"(날짜없음)")&amp;"  "&amp;일일실시사항!$D26&amp;"  "&amp;일일실시사항!$H26)</f>
        <v/>
      </c>
      <c r="D1058" s="122">
        <f>IF(NOT(COUNTBLANK(일일실시사항!$B26:$K26)&lt;10),"",TRIM(IF(일일실시사항!$B26="","일자 누락; ","")&amp;IF(COUNTIF(코드설정!$C$5:$C$24,일일실시사항!$D26)=0,"담당자 누락; ","")&amp;IF(COUNTIF(코드설정!$G$5:$G$14,일일실시사항!$F26)=0,"업무구분 누락; ","")&amp;IF(AND(일일실시사항!$G26&lt;&gt;"",COUNTIF(사건마스터!$A$5:$A$64,일일실시사항!$G26)=0),"미등록 사건번호; ","")&amp;IF(일일실시사항!$H26="","실시 내용 없음; ","")&amp;IF(COUNTIF(코드설정!$F$5:$F$7,일일실시사항!$J26)=0,"진행상태 누락; ","")))</f>
        <v/>
      </c>
    </row>
    <row r="1059">
      <c r="A1059" s="26" t="inlineStr">
        <is>
          <t>일일실시사항</t>
        </is>
      </c>
      <c r="B1059" s="66" t="n">
        <v>27</v>
      </c>
      <c r="C1059" s="122">
        <f>IF($D1059="","",IFERROR(TEXT(일일실시사항!$B27,"yyyy-mm-dd"),"(날짜없음)")&amp;"  "&amp;일일실시사항!$D27&amp;"  "&amp;일일실시사항!$H27)</f>
        <v/>
      </c>
      <c r="D1059" s="122">
        <f>IF(NOT(COUNTBLANK(일일실시사항!$B27:$K27)&lt;10),"",TRIM(IF(일일실시사항!$B27="","일자 누락; ","")&amp;IF(COUNTIF(코드설정!$C$5:$C$24,일일실시사항!$D27)=0,"담당자 누락; ","")&amp;IF(COUNTIF(코드설정!$G$5:$G$14,일일실시사항!$F27)=0,"업무구분 누락; ","")&amp;IF(AND(일일실시사항!$G27&lt;&gt;"",COUNTIF(사건마스터!$A$5:$A$64,일일실시사항!$G27)=0),"미등록 사건번호; ","")&amp;IF(일일실시사항!$H27="","실시 내용 없음; ","")&amp;IF(COUNTIF(코드설정!$F$5:$F$7,일일실시사항!$J27)=0,"진행상태 누락; ","")))</f>
        <v/>
      </c>
    </row>
    <row r="1060">
      <c r="A1060" s="26" t="inlineStr">
        <is>
          <t>일일실시사항</t>
        </is>
      </c>
      <c r="B1060" s="66" t="n">
        <v>28</v>
      </c>
      <c r="C1060" s="122">
        <f>IF($D1060="","",IFERROR(TEXT(일일실시사항!$B28,"yyyy-mm-dd"),"(날짜없음)")&amp;"  "&amp;일일실시사항!$D28&amp;"  "&amp;일일실시사항!$H28)</f>
        <v/>
      </c>
      <c r="D1060" s="122">
        <f>IF(NOT(COUNTBLANK(일일실시사항!$B28:$K28)&lt;10),"",TRIM(IF(일일실시사항!$B28="","일자 누락; ","")&amp;IF(COUNTIF(코드설정!$C$5:$C$24,일일실시사항!$D28)=0,"담당자 누락; ","")&amp;IF(COUNTIF(코드설정!$G$5:$G$14,일일실시사항!$F28)=0,"업무구분 누락; ","")&amp;IF(AND(일일실시사항!$G28&lt;&gt;"",COUNTIF(사건마스터!$A$5:$A$64,일일실시사항!$G28)=0),"미등록 사건번호; ","")&amp;IF(일일실시사항!$H28="","실시 내용 없음; ","")&amp;IF(COUNTIF(코드설정!$F$5:$F$7,일일실시사항!$J28)=0,"진행상태 누락; ","")))</f>
        <v/>
      </c>
    </row>
    <row r="1061">
      <c r="A1061" s="26" t="inlineStr">
        <is>
          <t>일일실시사항</t>
        </is>
      </c>
      <c r="B1061" s="66" t="n">
        <v>29</v>
      </c>
      <c r="C1061" s="122">
        <f>IF($D1061="","",IFERROR(TEXT(일일실시사항!$B29,"yyyy-mm-dd"),"(날짜없음)")&amp;"  "&amp;일일실시사항!$D29&amp;"  "&amp;일일실시사항!$H29)</f>
        <v/>
      </c>
      <c r="D1061" s="122">
        <f>IF(NOT(COUNTBLANK(일일실시사항!$B29:$K29)&lt;10),"",TRIM(IF(일일실시사항!$B29="","일자 누락; ","")&amp;IF(COUNTIF(코드설정!$C$5:$C$24,일일실시사항!$D29)=0,"담당자 누락; ","")&amp;IF(COUNTIF(코드설정!$G$5:$G$14,일일실시사항!$F29)=0,"업무구분 누락; ","")&amp;IF(AND(일일실시사항!$G29&lt;&gt;"",COUNTIF(사건마스터!$A$5:$A$64,일일실시사항!$G29)=0),"미등록 사건번호; ","")&amp;IF(일일실시사항!$H29="","실시 내용 없음; ","")&amp;IF(COUNTIF(코드설정!$F$5:$F$7,일일실시사항!$J29)=0,"진행상태 누락; ","")))</f>
        <v/>
      </c>
    </row>
    <row r="1062">
      <c r="A1062" s="26" t="inlineStr">
        <is>
          <t>일일실시사항</t>
        </is>
      </c>
      <c r="B1062" s="66" t="n">
        <v>30</v>
      </c>
      <c r="C1062" s="122">
        <f>IF($D1062="","",IFERROR(TEXT(일일실시사항!$B30,"yyyy-mm-dd"),"(날짜없음)")&amp;"  "&amp;일일실시사항!$D30&amp;"  "&amp;일일실시사항!$H30)</f>
        <v/>
      </c>
      <c r="D1062" s="122">
        <f>IF(NOT(COUNTBLANK(일일실시사항!$B30:$K30)&lt;10),"",TRIM(IF(일일실시사항!$B30="","일자 누락; ","")&amp;IF(COUNTIF(코드설정!$C$5:$C$24,일일실시사항!$D30)=0,"담당자 누락; ","")&amp;IF(COUNTIF(코드설정!$G$5:$G$14,일일실시사항!$F30)=0,"업무구분 누락; ","")&amp;IF(AND(일일실시사항!$G30&lt;&gt;"",COUNTIF(사건마스터!$A$5:$A$64,일일실시사항!$G30)=0),"미등록 사건번호; ","")&amp;IF(일일실시사항!$H30="","실시 내용 없음; ","")&amp;IF(COUNTIF(코드설정!$F$5:$F$7,일일실시사항!$J30)=0,"진행상태 누락; ","")))</f>
        <v/>
      </c>
    </row>
    <row r="1063">
      <c r="A1063" s="26" t="inlineStr">
        <is>
          <t>일일실시사항</t>
        </is>
      </c>
      <c r="B1063" s="66" t="n">
        <v>31</v>
      </c>
      <c r="C1063" s="122">
        <f>IF($D1063="","",IFERROR(TEXT(일일실시사항!$B31,"yyyy-mm-dd"),"(날짜없음)")&amp;"  "&amp;일일실시사항!$D31&amp;"  "&amp;일일실시사항!$H31)</f>
        <v/>
      </c>
      <c r="D1063" s="122">
        <f>IF(NOT(COUNTBLANK(일일실시사항!$B31:$K31)&lt;10),"",TRIM(IF(일일실시사항!$B31="","일자 누락; ","")&amp;IF(COUNTIF(코드설정!$C$5:$C$24,일일실시사항!$D31)=0,"담당자 누락; ","")&amp;IF(COUNTIF(코드설정!$G$5:$G$14,일일실시사항!$F31)=0,"업무구분 누락; ","")&amp;IF(AND(일일실시사항!$G31&lt;&gt;"",COUNTIF(사건마스터!$A$5:$A$64,일일실시사항!$G31)=0),"미등록 사건번호; ","")&amp;IF(일일실시사항!$H31="","실시 내용 없음; ","")&amp;IF(COUNTIF(코드설정!$F$5:$F$7,일일실시사항!$J31)=0,"진행상태 누락; ","")))</f>
        <v/>
      </c>
    </row>
    <row r="1064">
      <c r="A1064" s="26" t="inlineStr">
        <is>
          <t>일일실시사항</t>
        </is>
      </c>
      <c r="B1064" s="66" t="n">
        <v>32</v>
      </c>
      <c r="C1064" s="122">
        <f>IF($D1064="","",IFERROR(TEXT(일일실시사항!$B32,"yyyy-mm-dd"),"(날짜없음)")&amp;"  "&amp;일일실시사항!$D32&amp;"  "&amp;일일실시사항!$H32)</f>
        <v/>
      </c>
      <c r="D1064" s="122">
        <f>IF(NOT(COUNTBLANK(일일실시사항!$B32:$K32)&lt;10),"",TRIM(IF(일일실시사항!$B32="","일자 누락; ","")&amp;IF(COUNTIF(코드설정!$C$5:$C$24,일일실시사항!$D32)=0,"담당자 누락; ","")&amp;IF(COUNTIF(코드설정!$G$5:$G$14,일일실시사항!$F32)=0,"업무구분 누락; ","")&amp;IF(AND(일일실시사항!$G32&lt;&gt;"",COUNTIF(사건마스터!$A$5:$A$64,일일실시사항!$G32)=0),"미등록 사건번호; ","")&amp;IF(일일실시사항!$H32="","실시 내용 없음; ","")&amp;IF(COUNTIF(코드설정!$F$5:$F$7,일일실시사항!$J32)=0,"진행상태 누락; ","")))</f>
        <v/>
      </c>
    </row>
    <row r="1065">
      <c r="A1065" s="26" t="inlineStr">
        <is>
          <t>일일실시사항</t>
        </is>
      </c>
      <c r="B1065" s="66" t="n">
        <v>33</v>
      </c>
      <c r="C1065" s="122">
        <f>IF($D1065="","",IFERROR(TEXT(일일실시사항!$B33,"yyyy-mm-dd"),"(날짜없음)")&amp;"  "&amp;일일실시사항!$D33&amp;"  "&amp;일일실시사항!$H33)</f>
        <v/>
      </c>
      <c r="D1065" s="122">
        <f>IF(NOT(COUNTBLANK(일일실시사항!$B33:$K33)&lt;10),"",TRIM(IF(일일실시사항!$B33="","일자 누락; ","")&amp;IF(COUNTIF(코드설정!$C$5:$C$24,일일실시사항!$D33)=0,"담당자 누락; ","")&amp;IF(COUNTIF(코드설정!$G$5:$G$14,일일실시사항!$F33)=0,"업무구분 누락; ","")&amp;IF(AND(일일실시사항!$G33&lt;&gt;"",COUNTIF(사건마스터!$A$5:$A$64,일일실시사항!$G33)=0),"미등록 사건번호; ","")&amp;IF(일일실시사항!$H33="","실시 내용 없음; ","")&amp;IF(COUNTIF(코드설정!$F$5:$F$7,일일실시사항!$J33)=0,"진행상태 누락; ","")))</f>
        <v/>
      </c>
    </row>
    <row r="1066">
      <c r="A1066" s="26" t="inlineStr">
        <is>
          <t>일일실시사항</t>
        </is>
      </c>
      <c r="B1066" s="66" t="n">
        <v>34</v>
      </c>
      <c r="C1066" s="122">
        <f>IF($D1066="","",IFERROR(TEXT(일일실시사항!$B34,"yyyy-mm-dd"),"(날짜없음)")&amp;"  "&amp;일일실시사항!$D34&amp;"  "&amp;일일실시사항!$H34)</f>
        <v/>
      </c>
      <c r="D1066" s="122">
        <f>IF(NOT(COUNTBLANK(일일실시사항!$B34:$K34)&lt;10),"",TRIM(IF(일일실시사항!$B34="","일자 누락; ","")&amp;IF(COUNTIF(코드설정!$C$5:$C$24,일일실시사항!$D34)=0,"담당자 누락; ","")&amp;IF(COUNTIF(코드설정!$G$5:$G$14,일일실시사항!$F34)=0,"업무구분 누락; ","")&amp;IF(AND(일일실시사항!$G34&lt;&gt;"",COUNTIF(사건마스터!$A$5:$A$64,일일실시사항!$G34)=0),"미등록 사건번호; ","")&amp;IF(일일실시사항!$H34="","실시 내용 없음; ","")&amp;IF(COUNTIF(코드설정!$F$5:$F$7,일일실시사항!$J34)=0,"진행상태 누락; ","")))</f>
        <v/>
      </c>
    </row>
    <row r="1067">
      <c r="A1067" s="26" t="inlineStr">
        <is>
          <t>일일실시사항</t>
        </is>
      </c>
      <c r="B1067" s="66" t="n">
        <v>35</v>
      </c>
      <c r="C1067" s="122">
        <f>IF($D1067="","",IFERROR(TEXT(일일실시사항!$B35,"yyyy-mm-dd"),"(날짜없음)")&amp;"  "&amp;일일실시사항!$D35&amp;"  "&amp;일일실시사항!$H35)</f>
        <v/>
      </c>
      <c r="D1067" s="122">
        <f>IF(NOT(COUNTBLANK(일일실시사항!$B35:$K35)&lt;10),"",TRIM(IF(일일실시사항!$B35="","일자 누락; ","")&amp;IF(COUNTIF(코드설정!$C$5:$C$24,일일실시사항!$D35)=0,"담당자 누락; ","")&amp;IF(COUNTIF(코드설정!$G$5:$G$14,일일실시사항!$F35)=0,"업무구분 누락; ","")&amp;IF(AND(일일실시사항!$G35&lt;&gt;"",COUNTIF(사건마스터!$A$5:$A$64,일일실시사항!$G35)=0),"미등록 사건번호; ","")&amp;IF(일일실시사항!$H35="","실시 내용 없음; ","")&amp;IF(COUNTIF(코드설정!$F$5:$F$7,일일실시사항!$J35)=0,"진행상태 누락; ","")))</f>
        <v/>
      </c>
    </row>
    <row r="1068">
      <c r="A1068" s="26" t="inlineStr">
        <is>
          <t>일일실시사항</t>
        </is>
      </c>
      <c r="B1068" s="66" t="n">
        <v>36</v>
      </c>
      <c r="C1068" s="122">
        <f>IF($D1068="","",IFERROR(TEXT(일일실시사항!$B36,"yyyy-mm-dd"),"(날짜없음)")&amp;"  "&amp;일일실시사항!$D36&amp;"  "&amp;일일실시사항!$H36)</f>
        <v/>
      </c>
      <c r="D1068" s="122">
        <f>IF(NOT(COUNTBLANK(일일실시사항!$B36:$K36)&lt;10),"",TRIM(IF(일일실시사항!$B36="","일자 누락; ","")&amp;IF(COUNTIF(코드설정!$C$5:$C$24,일일실시사항!$D36)=0,"담당자 누락; ","")&amp;IF(COUNTIF(코드설정!$G$5:$G$14,일일실시사항!$F36)=0,"업무구분 누락; ","")&amp;IF(AND(일일실시사항!$G36&lt;&gt;"",COUNTIF(사건마스터!$A$5:$A$64,일일실시사항!$G36)=0),"미등록 사건번호; ","")&amp;IF(일일실시사항!$H36="","실시 내용 없음; ","")&amp;IF(COUNTIF(코드설정!$F$5:$F$7,일일실시사항!$J36)=0,"진행상태 누락; ","")))</f>
        <v/>
      </c>
    </row>
    <row r="1069">
      <c r="A1069" s="26" t="inlineStr">
        <is>
          <t>일일실시사항</t>
        </is>
      </c>
      <c r="B1069" s="66" t="n">
        <v>37</v>
      </c>
      <c r="C1069" s="122">
        <f>IF($D1069="","",IFERROR(TEXT(일일실시사항!$B37,"yyyy-mm-dd"),"(날짜없음)")&amp;"  "&amp;일일실시사항!$D37&amp;"  "&amp;일일실시사항!$H37)</f>
        <v/>
      </c>
      <c r="D1069" s="122">
        <f>IF(NOT(COUNTBLANK(일일실시사항!$B37:$K37)&lt;10),"",TRIM(IF(일일실시사항!$B37="","일자 누락; ","")&amp;IF(COUNTIF(코드설정!$C$5:$C$24,일일실시사항!$D37)=0,"담당자 누락; ","")&amp;IF(COUNTIF(코드설정!$G$5:$G$14,일일실시사항!$F37)=0,"업무구분 누락; ","")&amp;IF(AND(일일실시사항!$G37&lt;&gt;"",COUNTIF(사건마스터!$A$5:$A$64,일일실시사항!$G37)=0),"미등록 사건번호; ","")&amp;IF(일일실시사항!$H37="","실시 내용 없음; ","")&amp;IF(COUNTIF(코드설정!$F$5:$F$7,일일실시사항!$J37)=0,"진행상태 누락; ","")))</f>
        <v/>
      </c>
    </row>
    <row r="1070">
      <c r="A1070" s="26" t="inlineStr">
        <is>
          <t>일일실시사항</t>
        </is>
      </c>
      <c r="B1070" s="66" t="n">
        <v>38</v>
      </c>
      <c r="C1070" s="122">
        <f>IF($D1070="","",IFERROR(TEXT(일일실시사항!$B38,"yyyy-mm-dd"),"(날짜없음)")&amp;"  "&amp;일일실시사항!$D38&amp;"  "&amp;일일실시사항!$H38)</f>
        <v/>
      </c>
      <c r="D1070" s="122">
        <f>IF(NOT(COUNTBLANK(일일실시사항!$B38:$K38)&lt;10),"",TRIM(IF(일일실시사항!$B38="","일자 누락; ","")&amp;IF(COUNTIF(코드설정!$C$5:$C$24,일일실시사항!$D38)=0,"담당자 누락; ","")&amp;IF(COUNTIF(코드설정!$G$5:$G$14,일일실시사항!$F38)=0,"업무구분 누락; ","")&amp;IF(AND(일일실시사항!$G38&lt;&gt;"",COUNTIF(사건마스터!$A$5:$A$64,일일실시사항!$G38)=0),"미등록 사건번호; ","")&amp;IF(일일실시사항!$H38="","실시 내용 없음; ","")&amp;IF(COUNTIF(코드설정!$F$5:$F$7,일일실시사항!$J38)=0,"진행상태 누락; ","")))</f>
        <v/>
      </c>
    </row>
    <row r="1071">
      <c r="A1071" s="26" t="inlineStr">
        <is>
          <t>일일실시사항</t>
        </is>
      </c>
      <c r="B1071" s="66" t="n">
        <v>39</v>
      </c>
      <c r="C1071" s="122">
        <f>IF($D1071="","",IFERROR(TEXT(일일실시사항!$B39,"yyyy-mm-dd"),"(날짜없음)")&amp;"  "&amp;일일실시사항!$D39&amp;"  "&amp;일일실시사항!$H39)</f>
        <v/>
      </c>
      <c r="D1071" s="122">
        <f>IF(NOT(COUNTBLANK(일일실시사항!$B39:$K39)&lt;10),"",TRIM(IF(일일실시사항!$B39="","일자 누락; ","")&amp;IF(COUNTIF(코드설정!$C$5:$C$24,일일실시사항!$D39)=0,"담당자 누락; ","")&amp;IF(COUNTIF(코드설정!$G$5:$G$14,일일실시사항!$F39)=0,"업무구분 누락; ","")&amp;IF(AND(일일실시사항!$G39&lt;&gt;"",COUNTIF(사건마스터!$A$5:$A$64,일일실시사항!$G39)=0),"미등록 사건번호; ","")&amp;IF(일일실시사항!$H39="","실시 내용 없음; ","")&amp;IF(COUNTIF(코드설정!$F$5:$F$7,일일실시사항!$J39)=0,"진행상태 누락; ","")))</f>
        <v/>
      </c>
    </row>
    <row r="1072">
      <c r="A1072" s="26" t="inlineStr">
        <is>
          <t>일일실시사항</t>
        </is>
      </c>
      <c r="B1072" s="66" t="n">
        <v>40</v>
      </c>
      <c r="C1072" s="122">
        <f>IF($D1072="","",IFERROR(TEXT(일일실시사항!$B40,"yyyy-mm-dd"),"(날짜없음)")&amp;"  "&amp;일일실시사항!$D40&amp;"  "&amp;일일실시사항!$H40)</f>
        <v/>
      </c>
      <c r="D1072" s="122">
        <f>IF(NOT(COUNTBLANK(일일실시사항!$B40:$K40)&lt;10),"",TRIM(IF(일일실시사항!$B40="","일자 누락; ","")&amp;IF(COUNTIF(코드설정!$C$5:$C$24,일일실시사항!$D40)=0,"담당자 누락; ","")&amp;IF(COUNTIF(코드설정!$G$5:$G$14,일일실시사항!$F40)=0,"업무구분 누락; ","")&amp;IF(AND(일일실시사항!$G40&lt;&gt;"",COUNTIF(사건마스터!$A$5:$A$64,일일실시사항!$G40)=0),"미등록 사건번호; ","")&amp;IF(일일실시사항!$H40="","실시 내용 없음; ","")&amp;IF(COUNTIF(코드설정!$F$5:$F$7,일일실시사항!$J40)=0,"진행상태 누락; ","")))</f>
        <v/>
      </c>
    </row>
    <row r="1073">
      <c r="A1073" s="26" t="inlineStr">
        <is>
          <t>일일실시사항</t>
        </is>
      </c>
      <c r="B1073" s="66" t="n">
        <v>41</v>
      </c>
      <c r="C1073" s="122">
        <f>IF($D1073="","",IFERROR(TEXT(일일실시사항!$B41,"yyyy-mm-dd"),"(날짜없음)")&amp;"  "&amp;일일실시사항!$D41&amp;"  "&amp;일일실시사항!$H41)</f>
        <v/>
      </c>
      <c r="D1073" s="122">
        <f>IF(NOT(COUNTBLANK(일일실시사항!$B41:$K41)&lt;10),"",TRIM(IF(일일실시사항!$B41="","일자 누락; ","")&amp;IF(COUNTIF(코드설정!$C$5:$C$24,일일실시사항!$D41)=0,"담당자 누락; ","")&amp;IF(COUNTIF(코드설정!$G$5:$G$14,일일실시사항!$F41)=0,"업무구분 누락; ","")&amp;IF(AND(일일실시사항!$G41&lt;&gt;"",COUNTIF(사건마스터!$A$5:$A$64,일일실시사항!$G41)=0),"미등록 사건번호; ","")&amp;IF(일일실시사항!$H41="","실시 내용 없음; ","")&amp;IF(COUNTIF(코드설정!$F$5:$F$7,일일실시사항!$J41)=0,"진행상태 누락; ","")))</f>
        <v/>
      </c>
    </row>
    <row r="1074">
      <c r="A1074" s="26" t="inlineStr">
        <is>
          <t>일일실시사항</t>
        </is>
      </c>
      <c r="B1074" s="66" t="n">
        <v>42</v>
      </c>
      <c r="C1074" s="122">
        <f>IF($D1074="","",IFERROR(TEXT(일일실시사항!$B42,"yyyy-mm-dd"),"(날짜없음)")&amp;"  "&amp;일일실시사항!$D42&amp;"  "&amp;일일실시사항!$H42)</f>
        <v/>
      </c>
      <c r="D1074" s="122">
        <f>IF(NOT(COUNTBLANK(일일실시사항!$B42:$K42)&lt;10),"",TRIM(IF(일일실시사항!$B42="","일자 누락; ","")&amp;IF(COUNTIF(코드설정!$C$5:$C$24,일일실시사항!$D42)=0,"담당자 누락; ","")&amp;IF(COUNTIF(코드설정!$G$5:$G$14,일일실시사항!$F42)=0,"업무구분 누락; ","")&amp;IF(AND(일일실시사항!$G42&lt;&gt;"",COUNTIF(사건마스터!$A$5:$A$64,일일실시사항!$G42)=0),"미등록 사건번호; ","")&amp;IF(일일실시사항!$H42="","실시 내용 없음; ","")&amp;IF(COUNTIF(코드설정!$F$5:$F$7,일일실시사항!$J42)=0,"진행상태 누락; ","")))</f>
        <v/>
      </c>
    </row>
    <row r="1075">
      <c r="A1075" s="26" t="inlineStr">
        <is>
          <t>일일실시사항</t>
        </is>
      </c>
      <c r="B1075" s="66" t="n">
        <v>43</v>
      </c>
      <c r="C1075" s="122">
        <f>IF($D1075="","",IFERROR(TEXT(일일실시사항!$B43,"yyyy-mm-dd"),"(날짜없음)")&amp;"  "&amp;일일실시사항!$D43&amp;"  "&amp;일일실시사항!$H43)</f>
        <v/>
      </c>
      <c r="D1075" s="122">
        <f>IF(NOT(COUNTBLANK(일일실시사항!$B43:$K43)&lt;10),"",TRIM(IF(일일실시사항!$B43="","일자 누락; ","")&amp;IF(COUNTIF(코드설정!$C$5:$C$24,일일실시사항!$D43)=0,"담당자 누락; ","")&amp;IF(COUNTIF(코드설정!$G$5:$G$14,일일실시사항!$F43)=0,"업무구분 누락; ","")&amp;IF(AND(일일실시사항!$G43&lt;&gt;"",COUNTIF(사건마스터!$A$5:$A$64,일일실시사항!$G43)=0),"미등록 사건번호; ","")&amp;IF(일일실시사항!$H43="","실시 내용 없음; ","")&amp;IF(COUNTIF(코드설정!$F$5:$F$7,일일실시사항!$J43)=0,"진행상태 누락; ","")))</f>
        <v/>
      </c>
    </row>
    <row r="1076">
      <c r="A1076" s="26" t="inlineStr">
        <is>
          <t>일일실시사항</t>
        </is>
      </c>
      <c r="B1076" s="66" t="n">
        <v>44</v>
      </c>
      <c r="C1076" s="122">
        <f>IF($D1076="","",IFERROR(TEXT(일일실시사항!$B44,"yyyy-mm-dd"),"(날짜없음)")&amp;"  "&amp;일일실시사항!$D44&amp;"  "&amp;일일실시사항!$H44)</f>
        <v/>
      </c>
      <c r="D1076" s="122">
        <f>IF(NOT(COUNTBLANK(일일실시사항!$B44:$K44)&lt;10),"",TRIM(IF(일일실시사항!$B44="","일자 누락; ","")&amp;IF(COUNTIF(코드설정!$C$5:$C$24,일일실시사항!$D44)=0,"담당자 누락; ","")&amp;IF(COUNTIF(코드설정!$G$5:$G$14,일일실시사항!$F44)=0,"업무구분 누락; ","")&amp;IF(AND(일일실시사항!$G44&lt;&gt;"",COUNTIF(사건마스터!$A$5:$A$64,일일실시사항!$G44)=0),"미등록 사건번호; ","")&amp;IF(일일실시사항!$H44="","실시 내용 없음; ","")&amp;IF(COUNTIF(코드설정!$F$5:$F$7,일일실시사항!$J44)=0,"진행상태 누락; ","")))</f>
        <v/>
      </c>
    </row>
    <row r="1077">
      <c r="A1077" s="26" t="inlineStr">
        <is>
          <t>일일실시사항</t>
        </is>
      </c>
      <c r="B1077" s="66" t="n">
        <v>45</v>
      </c>
      <c r="C1077" s="122">
        <f>IF($D1077="","",IFERROR(TEXT(일일실시사항!$B45,"yyyy-mm-dd"),"(날짜없음)")&amp;"  "&amp;일일실시사항!$D45&amp;"  "&amp;일일실시사항!$H45)</f>
        <v/>
      </c>
      <c r="D1077" s="122">
        <f>IF(NOT(COUNTBLANK(일일실시사항!$B45:$K45)&lt;10),"",TRIM(IF(일일실시사항!$B45="","일자 누락; ","")&amp;IF(COUNTIF(코드설정!$C$5:$C$24,일일실시사항!$D45)=0,"담당자 누락; ","")&amp;IF(COUNTIF(코드설정!$G$5:$G$14,일일실시사항!$F45)=0,"업무구분 누락; ","")&amp;IF(AND(일일실시사항!$G45&lt;&gt;"",COUNTIF(사건마스터!$A$5:$A$64,일일실시사항!$G45)=0),"미등록 사건번호; ","")&amp;IF(일일실시사항!$H45="","실시 내용 없음; ","")&amp;IF(COUNTIF(코드설정!$F$5:$F$7,일일실시사항!$J45)=0,"진행상태 누락; ","")))</f>
        <v/>
      </c>
    </row>
    <row r="1078">
      <c r="A1078" s="26" t="inlineStr">
        <is>
          <t>일일실시사항</t>
        </is>
      </c>
      <c r="B1078" s="66" t="n">
        <v>46</v>
      </c>
      <c r="C1078" s="122">
        <f>IF($D1078="","",IFERROR(TEXT(일일실시사항!$B46,"yyyy-mm-dd"),"(날짜없음)")&amp;"  "&amp;일일실시사항!$D46&amp;"  "&amp;일일실시사항!$H46)</f>
        <v/>
      </c>
      <c r="D1078" s="122">
        <f>IF(NOT(COUNTBLANK(일일실시사항!$B46:$K46)&lt;10),"",TRIM(IF(일일실시사항!$B46="","일자 누락; ","")&amp;IF(COUNTIF(코드설정!$C$5:$C$24,일일실시사항!$D46)=0,"담당자 누락; ","")&amp;IF(COUNTIF(코드설정!$G$5:$G$14,일일실시사항!$F46)=0,"업무구분 누락; ","")&amp;IF(AND(일일실시사항!$G46&lt;&gt;"",COUNTIF(사건마스터!$A$5:$A$64,일일실시사항!$G46)=0),"미등록 사건번호; ","")&amp;IF(일일실시사항!$H46="","실시 내용 없음; ","")&amp;IF(COUNTIF(코드설정!$F$5:$F$7,일일실시사항!$J46)=0,"진행상태 누락; ","")))</f>
        <v/>
      </c>
    </row>
    <row r="1079">
      <c r="A1079" s="26" t="inlineStr">
        <is>
          <t>일일실시사항</t>
        </is>
      </c>
      <c r="B1079" s="66" t="n">
        <v>47</v>
      </c>
      <c r="C1079" s="122">
        <f>IF($D1079="","",IFERROR(TEXT(일일실시사항!$B47,"yyyy-mm-dd"),"(날짜없음)")&amp;"  "&amp;일일실시사항!$D47&amp;"  "&amp;일일실시사항!$H47)</f>
        <v/>
      </c>
      <c r="D1079" s="122">
        <f>IF(NOT(COUNTBLANK(일일실시사항!$B47:$K47)&lt;10),"",TRIM(IF(일일실시사항!$B47="","일자 누락; ","")&amp;IF(COUNTIF(코드설정!$C$5:$C$24,일일실시사항!$D47)=0,"담당자 누락; ","")&amp;IF(COUNTIF(코드설정!$G$5:$G$14,일일실시사항!$F47)=0,"업무구분 누락; ","")&amp;IF(AND(일일실시사항!$G47&lt;&gt;"",COUNTIF(사건마스터!$A$5:$A$64,일일실시사항!$G47)=0),"미등록 사건번호; ","")&amp;IF(일일실시사항!$H47="","실시 내용 없음; ","")&amp;IF(COUNTIF(코드설정!$F$5:$F$7,일일실시사항!$J47)=0,"진행상태 누락; ","")))</f>
        <v/>
      </c>
    </row>
    <row r="1080">
      <c r="A1080" s="26" t="inlineStr">
        <is>
          <t>일일실시사항</t>
        </is>
      </c>
      <c r="B1080" s="66" t="n">
        <v>48</v>
      </c>
      <c r="C1080" s="122">
        <f>IF($D1080="","",IFERROR(TEXT(일일실시사항!$B48,"yyyy-mm-dd"),"(날짜없음)")&amp;"  "&amp;일일실시사항!$D48&amp;"  "&amp;일일실시사항!$H48)</f>
        <v/>
      </c>
      <c r="D1080" s="122">
        <f>IF(NOT(COUNTBLANK(일일실시사항!$B48:$K48)&lt;10),"",TRIM(IF(일일실시사항!$B48="","일자 누락; ","")&amp;IF(COUNTIF(코드설정!$C$5:$C$24,일일실시사항!$D48)=0,"담당자 누락; ","")&amp;IF(COUNTIF(코드설정!$G$5:$G$14,일일실시사항!$F48)=0,"업무구분 누락; ","")&amp;IF(AND(일일실시사항!$G48&lt;&gt;"",COUNTIF(사건마스터!$A$5:$A$64,일일실시사항!$G48)=0),"미등록 사건번호; ","")&amp;IF(일일실시사항!$H48="","실시 내용 없음; ","")&amp;IF(COUNTIF(코드설정!$F$5:$F$7,일일실시사항!$J48)=0,"진행상태 누락; ","")))</f>
        <v/>
      </c>
    </row>
    <row r="1081">
      <c r="A1081" s="26" t="inlineStr">
        <is>
          <t>일일실시사항</t>
        </is>
      </c>
      <c r="B1081" s="66" t="n">
        <v>49</v>
      </c>
      <c r="C1081" s="122">
        <f>IF($D1081="","",IFERROR(TEXT(일일실시사항!$B49,"yyyy-mm-dd"),"(날짜없음)")&amp;"  "&amp;일일실시사항!$D49&amp;"  "&amp;일일실시사항!$H49)</f>
        <v/>
      </c>
      <c r="D1081" s="122">
        <f>IF(NOT(COUNTBLANK(일일실시사항!$B49:$K49)&lt;10),"",TRIM(IF(일일실시사항!$B49="","일자 누락; ","")&amp;IF(COUNTIF(코드설정!$C$5:$C$24,일일실시사항!$D49)=0,"담당자 누락; ","")&amp;IF(COUNTIF(코드설정!$G$5:$G$14,일일실시사항!$F49)=0,"업무구분 누락; ","")&amp;IF(AND(일일실시사항!$G49&lt;&gt;"",COUNTIF(사건마스터!$A$5:$A$64,일일실시사항!$G49)=0),"미등록 사건번호; ","")&amp;IF(일일실시사항!$H49="","실시 내용 없음; ","")&amp;IF(COUNTIF(코드설정!$F$5:$F$7,일일실시사항!$J49)=0,"진행상태 누락; ","")))</f>
        <v/>
      </c>
    </row>
    <row r="1082">
      <c r="A1082" s="26" t="inlineStr">
        <is>
          <t>일일실시사항</t>
        </is>
      </c>
      <c r="B1082" s="66" t="n">
        <v>50</v>
      </c>
      <c r="C1082" s="122">
        <f>IF($D1082="","",IFERROR(TEXT(일일실시사항!$B50,"yyyy-mm-dd"),"(날짜없음)")&amp;"  "&amp;일일실시사항!$D50&amp;"  "&amp;일일실시사항!$H50)</f>
        <v/>
      </c>
      <c r="D1082" s="122">
        <f>IF(NOT(COUNTBLANK(일일실시사항!$B50:$K50)&lt;10),"",TRIM(IF(일일실시사항!$B50="","일자 누락; ","")&amp;IF(COUNTIF(코드설정!$C$5:$C$24,일일실시사항!$D50)=0,"담당자 누락; ","")&amp;IF(COUNTIF(코드설정!$G$5:$G$14,일일실시사항!$F50)=0,"업무구분 누락; ","")&amp;IF(AND(일일실시사항!$G50&lt;&gt;"",COUNTIF(사건마스터!$A$5:$A$64,일일실시사항!$G50)=0),"미등록 사건번호; ","")&amp;IF(일일실시사항!$H50="","실시 내용 없음; ","")&amp;IF(COUNTIF(코드설정!$F$5:$F$7,일일실시사항!$J50)=0,"진행상태 누락; ","")))</f>
        <v/>
      </c>
    </row>
    <row r="1083">
      <c r="A1083" s="26" t="inlineStr">
        <is>
          <t>일일실시사항</t>
        </is>
      </c>
      <c r="B1083" s="66" t="n">
        <v>51</v>
      </c>
      <c r="C1083" s="122">
        <f>IF($D1083="","",IFERROR(TEXT(일일실시사항!$B51,"yyyy-mm-dd"),"(날짜없음)")&amp;"  "&amp;일일실시사항!$D51&amp;"  "&amp;일일실시사항!$H51)</f>
        <v/>
      </c>
      <c r="D1083" s="122">
        <f>IF(NOT(COUNTBLANK(일일실시사항!$B51:$K51)&lt;10),"",TRIM(IF(일일실시사항!$B51="","일자 누락; ","")&amp;IF(COUNTIF(코드설정!$C$5:$C$24,일일실시사항!$D51)=0,"담당자 누락; ","")&amp;IF(COUNTIF(코드설정!$G$5:$G$14,일일실시사항!$F51)=0,"업무구분 누락; ","")&amp;IF(AND(일일실시사항!$G51&lt;&gt;"",COUNTIF(사건마스터!$A$5:$A$64,일일실시사항!$G51)=0),"미등록 사건번호; ","")&amp;IF(일일실시사항!$H51="","실시 내용 없음; ","")&amp;IF(COUNTIF(코드설정!$F$5:$F$7,일일실시사항!$J51)=0,"진행상태 누락; ","")))</f>
        <v/>
      </c>
    </row>
    <row r="1084">
      <c r="A1084" s="26" t="inlineStr">
        <is>
          <t>일일실시사항</t>
        </is>
      </c>
      <c r="B1084" s="66" t="n">
        <v>52</v>
      </c>
      <c r="C1084" s="122">
        <f>IF($D1084="","",IFERROR(TEXT(일일실시사항!$B52,"yyyy-mm-dd"),"(날짜없음)")&amp;"  "&amp;일일실시사항!$D52&amp;"  "&amp;일일실시사항!$H52)</f>
        <v/>
      </c>
      <c r="D1084" s="122">
        <f>IF(NOT(COUNTBLANK(일일실시사항!$B52:$K52)&lt;10),"",TRIM(IF(일일실시사항!$B52="","일자 누락; ","")&amp;IF(COUNTIF(코드설정!$C$5:$C$24,일일실시사항!$D52)=0,"담당자 누락; ","")&amp;IF(COUNTIF(코드설정!$G$5:$G$14,일일실시사항!$F52)=0,"업무구분 누락; ","")&amp;IF(AND(일일실시사항!$G52&lt;&gt;"",COUNTIF(사건마스터!$A$5:$A$64,일일실시사항!$G52)=0),"미등록 사건번호; ","")&amp;IF(일일실시사항!$H52="","실시 내용 없음; ","")&amp;IF(COUNTIF(코드설정!$F$5:$F$7,일일실시사항!$J52)=0,"진행상태 누락; ","")))</f>
        <v/>
      </c>
    </row>
    <row r="1085">
      <c r="A1085" s="26" t="inlineStr">
        <is>
          <t>일일실시사항</t>
        </is>
      </c>
      <c r="B1085" s="66" t="n">
        <v>53</v>
      </c>
      <c r="C1085" s="122">
        <f>IF($D1085="","",IFERROR(TEXT(일일실시사항!$B53,"yyyy-mm-dd"),"(날짜없음)")&amp;"  "&amp;일일실시사항!$D53&amp;"  "&amp;일일실시사항!$H53)</f>
        <v/>
      </c>
      <c r="D1085" s="122">
        <f>IF(NOT(COUNTBLANK(일일실시사항!$B53:$K53)&lt;10),"",TRIM(IF(일일실시사항!$B53="","일자 누락; ","")&amp;IF(COUNTIF(코드설정!$C$5:$C$24,일일실시사항!$D53)=0,"담당자 누락; ","")&amp;IF(COUNTIF(코드설정!$G$5:$G$14,일일실시사항!$F53)=0,"업무구분 누락; ","")&amp;IF(AND(일일실시사항!$G53&lt;&gt;"",COUNTIF(사건마스터!$A$5:$A$64,일일실시사항!$G53)=0),"미등록 사건번호; ","")&amp;IF(일일실시사항!$H53="","실시 내용 없음; ","")&amp;IF(COUNTIF(코드설정!$F$5:$F$7,일일실시사항!$J53)=0,"진행상태 누락; ","")))</f>
        <v/>
      </c>
    </row>
    <row r="1086">
      <c r="A1086" s="26" t="inlineStr">
        <is>
          <t>일일실시사항</t>
        </is>
      </c>
      <c r="B1086" s="66" t="n">
        <v>54</v>
      </c>
      <c r="C1086" s="122">
        <f>IF($D1086="","",IFERROR(TEXT(일일실시사항!$B54,"yyyy-mm-dd"),"(날짜없음)")&amp;"  "&amp;일일실시사항!$D54&amp;"  "&amp;일일실시사항!$H54)</f>
        <v/>
      </c>
      <c r="D1086" s="122">
        <f>IF(NOT(COUNTBLANK(일일실시사항!$B54:$K54)&lt;10),"",TRIM(IF(일일실시사항!$B54="","일자 누락; ","")&amp;IF(COUNTIF(코드설정!$C$5:$C$24,일일실시사항!$D54)=0,"담당자 누락; ","")&amp;IF(COUNTIF(코드설정!$G$5:$G$14,일일실시사항!$F54)=0,"업무구분 누락; ","")&amp;IF(AND(일일실시사항!$G54&lt;&gt;"",COUNTIF(사건마스터!$A$5:$A$64,일일실시사항!$G54)=0),"미등록 사건번호; ","")&amp;IF(일일실시사항!$H54="","실시 내용 없음; ","")&amp;IF(COUNTIF(코드설정!$F$5:$F$7,일일실시사항!$J54)=0,"진행상태 누락; ","")))</f>
        <v/>
      </c>
    </row>
    <row r="1087">
      <c r="A1087" s="26" t="inlineStr">
        <is>
          <t>일일실시사항</t>
        </is>
      </c>
      <c r="B1087" s="66" t="n">
        <v>55</v>
      </c>
      <c r="C1087" s="122">
        <f>IF($D1087="","",IFERROR(TEXT(일일실시사항!$B55,"yyyy-mm-dd"),"(날짜없음)")&amp;"  "&amp;일일실시사항!$D55&amp;"  "&amp;일일실시사항!$H55)</f>
        <v/>
      </c>
      <c r="D1087" s="122">
        <f>IF(NOT(COUNTBLANK(일일실시사항!$B55:$K55)&lt;10),"",TRIM(IF(일일실시사항!$B55="","일자 누락; ","")&amp;IF(COUNTIF(코드설정!$C$5:$C$24,일일실시사항!$D55)=0,"담당자 누락; ","")&amp;IF(COUNTIF(코드설정!$G$5:$G$14,일일실시사항!$F55)=0,"업무구분 누락; ","")&amp;IF(AND(일일실시사항!$G55&lt;&gt;"",COUNTIF(사건마스터!$A$5:$A$64,일일실시사항!$G55)=0),"미등록 사건번호; ","")&amp;IF(일일실시사항!$H55="","실시 내용 없음; ","")&amp;IF(COUNTIF(코드설정!$F$5:$F$7,일일실시사항!$J55)=0,"진행상태 누락; ","")))</f>
        <v/>
      </c>
    </row>
    <row r="1088">
      <c r="A1088" s="26" t="inlineStr">
        <is>
          <t>일일실시사항</t>
        </is>
      </c>
      <c r="B1088" s="66" t="n">
        <v>56</v>
      </c>
      <c r="C1088" s="122">
        <f>IF($D1088="","",IFERROR(TEXT(일일실시사항!$B56,"yyyy-mm-dd"),"(날짜없음)")&amp;"  "&amp;일일실시사항!$D56&amp;"  "&amp;일일실시사항!$H56)</f>
        <v/>
      </c>
      <c r="D1088" s="122">
        <f>IF(NOT(COUNTBLANK(일일실시사항!$B56:$K56)&lt;10),"",TRIM(IF(일일실시사항!$B56="","일자 누락; ","")&amp;IF(COUNTIF(코드설정!$C$5:$C$24,일일실시사항!$D56)=0,"담당자 누락; ","")&amp;IF(COUNTIF(코드설정!$G$5:$G$14,일일실시사항!$F56)=0,"업무구분 누락; ","")&amp;IF(AND(일일실시사항!$G56&lt;&gt;"",COUNTIF(사건마스터!$A$5:$A$64,일일실시사항!$G56)=0),"미등록 사건번호; ","")&amp;IF(일일실시사항!$H56="","실시 내용 없음; ","")&amp;IF(COUNTIF(코드설정!$F$5:$F$7,일일실시사항!$J56)=0,"진행상태 누락; ","")))</f>
        <v/>
      </c>
    </row>
    <row r="1089">
      <c r="A1089" s="26" t="inlineStr">
        <is>
          <t>일일실시사항</t>
        </is>
      </c>
      <c r="B1089" s="66" t="n">
        <v>57</v>
      </c>
      <c r="C1089" s="122">
        <f>IF($D1089="","",IFERROR(TEXT(일일실시사항!$B57,"yyyy-mm-dd"),"(날짜없음)")&amp;"  "&amp;일일실시사항!$D57&amp;"  "&amp;일일실시사항!$H57)</f>
        <v/>
      </c>
      <c r="D1089" s="122">
        <f>IF(NOT(COUNTBLANK(일일실시사항!$B57:$K57)&lt;10),"",TRIM(IF(일일실시사항!$B57="","일자 누락; ","")&amp;IF(COUNTIF(코드설정!$C$5:$C$24,일일실시사항!$D57)=0,"담당자 누락; ","")&amp;IF(COUNTIF(코드설정!$G$5:$G$14,일일실시사항!$F57)=0,"업무구분 누락; ","")&amp;IF(AND(일일실시사항!$G57&lt;&gt;"",COUNTIF(사건마스터!$A$5:$A$64,일일실시사항!$G57)=0),"미등록 사건번호; ","")&amp;IF(일일실시사항!$H57="","실시 내용 없음; ","")&amp;IF(COUNTIF(코드설정!$F$5:$F$7,일일실시사항!$J57)=0,"진행상태 누락; ","")))</f>
        <v/>
      </c>
    </row>
    <row r="1090">
      <c r="A1090" s="26" t="inlineStr">
        <is>
          <t>일일실시사항</t>
        </is>
      </c>
      <c r="B1090" s="66" t="n">
        <v>58</v>
      </c>
      <c r="C1090" s="122">
        <f>IF($D1090="","",IFERROR(TEXT(일일실시사항!$B58,"yyyy-mm-dd"),"(날짜없음)")&amp;"  "&amp;일일실시사항!$D58&amp;"  "&amp;일일실시사항!$H58)</f>
        <v/>
      </c>
      <c r="D1090" s="122">
        <f>IF(NOT(COUNTBLANK(일일실시사항!$B58:$K58)&lt;10),"",TRIM(IF(일일실시사항!$B58="","일자 누락; ","")&amp;IF(COUNTIF(코드설정!$C$5:$C$24,일일실시사항!$D58)=0,"담당자 누락; ","")&amp;IF(COUNTIF(코드설정!$G$5:$G$14,일일실시사항!$F58)=0,"업무구분 누락; ","")&amp;IF(AND(일일실시사항!$G58&lt;&gt;"",COUNTIF(사건마스터!$A$5:$A$64,일일실시사항!$G58)=0),"미등록 사건번호; ","")&amp;IF(일일실시사항!$H58="","실시 내용 없음; ","")&amp;IF(COUNTIF(코드설정!$F$5:$F$7,일일실시사항!$J58)=0,"진행상태 누락; ","")))</f>
        <v/>
      </c>
    </row>
    <row r="1091">
      <c r="A1091" s="26" t="inlineStr">
        <is>
          <t>일일실시사항</t>
        </is>
      </c>
      <c r="B1091" s="66" t="n">
        <v>59</v>
      </c>
      <c r="C1091" s="122">
        <f>IF($D1091="","",IFERROR(TEXT(일일실시사항!$B59,"yyyy-mm-dd"),"(날짜없음)")&amp;"  "&amp;일일실시사항!$D59&amp;"  "&amp;일일실시사항!$H59)</f>
        <v/>
      </c>
      <c r="D1091" s="122">
        <f>IF(NOT(COUNTBLANK(일일실시사항!$B59:$K59)&lt;10),"",TRIM(IF(일일실시사항!$B59="","일자 누락; ","")&amp;IF(COUNTIF(코드설정!$C$5:$C$24,일일실시사항!$D59)=0,"담당자 누락; ","")&amp;IF(COUNTIF(코드설정!$G$5:$G$14,일일실시사항!$F59)=0,"업무구분 누락; ","")&amp;IF(AND(일일실시사항!$G59&lt;&gt;"",COUNTIF(사건마스터!$A$5:$A$64,일일실시사항!$G59)=0),"미등록 사건번호; ","")&amp;IF(일일실시사항!$H59="","실시 내용 없음; ","")&amp;IF(COUNTIF(코드설정!$F$5:$F$7,일일실시사항!$J59)=0,"진행상태 누락; ","")))</f>
        <v/>
      </c>
    </row>
    <row r="1092">
      <c r="A1092" s="26" t="inlineStr">
        <is>
          <t>일일실시사항</t>
        </is>
      </c>
      <c r="B1092" s="66" t="n">
        <v>60</v>
      </c>
      <c r="C1092" s="122">
        <f>IF($D1092="","",IFERROR(TEXT(일일실시사항!$B60,"yyyy-mm-dd"),"(날짜없음)")&amp;"  "&amp;일일실시사항!$D60&amp;"  "&amp;일일실시사항!$H60)</f>
        <v/>
      </c>
      <c r="D1092" s="122">
        <f>IF(NOT(COUNTBLANK(일일실시사항!$B60:$K60)&lt;10),"",TRIM(IF(일일실시사항!$B60="","일자 누락; ","")&amp;IF(COUNTIF(코드설정!$C$5:$C$24,일일실시사항!$D60)=0,"담당자 누락; ","")&amp;IF(COUNTIF(코드설정!$G$5:$G$14,일일실시사항!$F60)=0,"업무구분 누락; ","")&amp;IF(AND(일일실시사항!$G60&lt;&gt;"",COUNTIF(사건마스터!$A$5:$A$64,일일실시사항!$G60)=0),"미등록 사건번호; ","")&amp;IF(일일실시사항!$H60="","실시 내용 없음; ","")&amp;IF(COUNTIF(코드설정!$F$5:$F$7,일일실시사항!$J60)=0,"진행상태 누락; ","")))</f>
        <v/>
      </c>
    </row>
    <row r="1093">
      <c r="A1093" s="26" t="inlineStr">
        <is>
          <t>일일실시사항</t>
        </is>
      </c>
      <c r="B1093" s="66" t="n">
        <v>61</v>
      </c>
      <c r="C1093" s="122">
        <f>IF($D1093="","",IFERROR(TEXT(일일실시사항!$B61,"yyyy-mm-dd"),"(날짜없음)")&amp;"  "&amp;일일실시사항!$D61&amp;"  "&amp;일일실시사항!$H61)</f>
        <v/>
      </c>
      <c r="D1093" s="122">
        <f>IF(NOT(COUNTBLANK(일일실시사항!$B61:$K61)&lt;10),"",TRIM(IF(일일실시사항!$B61="","일자 누락; ","")&amp;IF(COUNTIF(코드설정!$C$5:$C$24,일일실시사항!$D61)=0,"담당자 누락; ","")&amp;IF(COUNTIF(코드설정!$G$5:$G$14,일일실시사항!$F61)=0,"업무구분 누락; ","")&amp;IF(AND(일일실시사항!$G61&lt;&gt;"",COUNTIF(사건마스터!$A$5:$A$64,일일실시사항!$G61)=0),"미등록 사건번호; ","")&amp;IF(일일실시사항!$H61="","실시 내용 없음; ","")&amp;IF(COUNTIF(코드설정!$F$5:$F$7,일일실시사항!$J61)=0,"진행상태 누락; ","")))</f>
        <v/>
      </c>
    </row>
    <row r="1094">
      <c r="A1094" s="26" t="inlineStr">
        <is>
          <t>일일실시사항</t>
        </is>
      </c>
      <c r="B1094" s="66" t="n">
        <v>62</v>
      </c>
      <c r="C1094" s="122">
        <f>IF($D1094="","",IFERROR(TEXT(일일실시사항!$B62,"yyyy-mm-dd"),"(날짜없음)")&amp;"  "&amp;일일실시사항!$D62&amp;"  "&amp;일일실시사항!$H62)</f>
        <v/>
      </c>
      <c r="D1094" s="122">
        <f>IF(NOT(COUNTBLANK(일일실시사항!$B62:$K62)&lt;10),"",TRIM(IF(일일실시사항!$B62="","일자 누락; ","")&amp;IF(COUNTIF(코드설정!$C$5:$C$24,일일실시사항!$D62)=0,"담당자 누락; ","")&amp;IF(COUNTIF(코드설정!$G$5:$G$14,일일실시사항!$F62)=0,"업무구분 누락; ","")&amp;IF(AND(일일실시사항!$G62&lt;&gt;"",COUNTIF(사건마스터!$A$5:$A$64,일일실시사항!$G62)=0),"미등록 사건번호; ","")&amp;IF(일일실시사항!$H62="","실시 내용 없음; ","")&amp;IF(COUNTIF(코드설정!$F$5:$F$7,일일실시사항!$J62)=0,"진행상태 누락; ","")))</f>
        <v/>
      </c>
    </row>
    <row r="1095">
      <c r="A1095" s="26" t="inlineStr">
        <is>
          <t>일일실시사항</t>
        </is>
      </c>
      <c r="B1095" s="66" t="n">
        <v>63</v>
      </c>
      <c r="C1095" s="122">
        <f>IF($D1095="","",IFERROR(TEXT(일일실시사항!$B63,"yyyy-mm-dd"),"(날짜없음)")&amp;"  "&amp;일일실시사항!$D63&amp;"  "&amp;일일실시사항!$H63)</f>
        <v/>
      </c>
      <c r="D1095" s="122">
        <f>IF(NOT(COUNTBLANK(일일실시사항!$B63:$K63)&lt;10),"",TRIM(IF(일일실시사항!$B63="","일자 누락; ","")&amp;IF(COUNTIF(코드설정!$C$5:$C$24,일일실시사항!$D63)=0,"담당자 누락; ","")&amp;IF(COUNTIF(코드설정!$G$5:$G$14,일일실시사항!$F63)=0,"업무구분 누락; ","")&amp;IF(AND(일일실시사항!$G63&lt;&gt;"",COUNTIF(사건마스터!$A$5:$A$64,일일실시사항!$G63)=0),"미등록 사건번호; ","")&amp;IF(일일실시사항!$H63="","실시 내용 없음; ","")&amp;IF(COUNTIF(코드설정!$F$5:$F$7,일일실시사항!$J63)=0,"진행상태 누락; ","")))</f>
        <v/>
      </c>
    </row>
    <row r="1096">
      <c r="A1096" s="26" t="inlineStr">
        <is>
          <t>일일실시사항</t>
        </is>
      </c>
      <c r="B1096" s="66" t="n">
        <v>64</v>
      </c>
      <c r="C1096" s="122">
        <f>IF($D1096="","",IFERROR(TEXT(일일실시사항!$B64,"yyyy-mm-dd"),"(날짜없음)")&amp;"  "&amp;일일실시사항!$D64&amp;"  "&amp;일일실시사항!$H64)</f>
        <v/>
      </c>
      <c r="D1096" s="122">
        <f>IF(NOT(COUNTBLANK(일일실시사항!$B64:$K64)&lt;10),"",TRIM(IF(일일실시사항!$B64="","일자 누락; ","")&amp;IF(COUNTIF(코드설정!$C$5:$C$24,일일실시사항!$D64)=0,"담당자 누락; ","")&amp;IF(COUNTIF(코드설정!$G$5:$G$14,일일실시사항!$F64)=0,"업무구분 누락; ","")&amp;IF(AND(일일실시사항!$G64&lt;&gt;"",COUNTIF(사건마스터!$A$5:$A$64,일일실시사항!$G64)=0),"미등록 사건번호; ","")&amp;IF(일일실시사항!$H64="","실시 내용 없음; ","")&amp;IF(COUNTIF(코드설정!$F$5:$F$7,일일실시사항!$J64)=0,"진행상태 누락; ","")))</f>
        <v/>
      </c>
    </row>
    <row r="1097">
      <c r="A1097" s="26" t="inlineStr">
        <is>
          <t>일일실시사항</t>
        </is>
      </c>
      <c r="B1097" s="66" t="n">
        <v>65</v>
      </c>
      <c r="C1097" s="122">
        <f>IF($D1097="","",IFERROR(TEXT(일일실시사항!$B65,"yyyy-mm-dd"),"(날짜없음)")&amp;"  "&amp;일일실시사항!$D65&amp;"  "&amp;일일실시사항!$H65)</f>
        <v/>
      </c>
      <c r="D1097" s="122">
        <f>IF(NOT(COUNTBLANK(일일실시사항!$B65:$K65)&lt;10),"",TRIM(IF(일일실시사항!$B65="","일자 누락; ","")&amp;IF(COUNTIF(코드설정!$C$5:$C$24,일일실시사항!$D65)=0,"담당자 누락; ","")&amp;IF(COUNTIF(코드설정!$G$5:$G$14,일일실시사항!$F65)=0,"업무구분 누락; ","")&amp;IF(AND(일일실시사항!$G65&lt;&gt;"",COUNTIF(사건마스터!$A$5:$A$64,일일실시사항!$G65)=0),"미등록 사건번호; ","")&amp;IF(일일실시사항!$H65="","실시 내용 없음; ","")&amp;IF(COUNTIF(코드설정!$F$5:$F$7,일일실시사항!$J65)=0,"진행상태 누락; ","")))</f>
        <v/>
      </c>
    </row>
    <row r="1098">
      <c r="A1098" s="26" t="inlineStr">
        <is>
          <t>일일실시사항</t>
        </is>
      </c>
      <c r="B1098" s="66" t="n">
        <v>66</v>
      </c>
      <c r="C1098" s="122">
        <f>IF($D1098="","",IFERROR(TEXT(일일실시사항!$B66,"yyyy-mm-dd"),"(날짜없음)")&amp;"  "&amp;일일실시사항!$D66&amp;"  "&amp;일일실시사항!$H66)</f>
        <v/>
      </c>
      <c r="D1098" s="122">
        <f>IF(NOT(COUNTBLANK(일일실시사항!$B66:$K66)&lt;10),"",TRIM(IF(일일실시사항!$B66="","일자 누락; ","")&amp;IF(COUNTIF(코드설정!$C$5:$C$24,일일실시사항!$D66)=0,"담당자 누락; ","")&amp;IF(COUNTIF(코드설정!$G$5:$G$14,일일실시사항!$F66)=0,"업무구분 누락; ","")&amp;IF(AND(일일실시사항!$G66&lt;&gt;"",COUNTIF(사건마스터!$A$5:$A$64,일일실시사항!$G66)=0),"미등록 사건번호; ","")&amp;IF(일일실시사항!$H66="","실시 내용 없음; ","")&amp;IF(COUNTIF(코드설정!$F$5:$F$7,일일실시사항!$J66)=0,"진행상태 누락; ","")))</f>
        <v/>
      </c>
    </row>
    <row r="1099">
      <c r="A1099" s="26" t="inlineStr">
        <is>
          <t>일일실시사항</t>
        </is>
      </c>
      <c r="B1099" s="66" t="n">
        <v>67</v>
      </c>
      <c r="C1099" s="122">
        <f>IF($D1099="","",IFERROR(TEXT(일일실시사항!$B67,"yyyy-mm-dd"),"(날짜없음)")&amp;"  "&amp;일일실시사항!$D67&amp;"  "&amp;일일실시사항!$H67)</f>
        <v/>
      </c>
      <c r="D1099" s="122">
        <f>IF(NOT(COUNTBLANK(일일실시사항!$B67:$K67)&lt;10),"",TRIM(IF(일일실시사항!$B67="","일자 누락; ","")&amp;IF(COUNTIF(코드설정!$C$5:$C$24,일일실시사항!$D67)=0,"담당자 누락; ","")&amp;IF(COUNTIF(코드설정!$G$5:$G$14,일일실시사항!$F67)=0,"업무구분 누락; ","")&amp;IF(AND(일일실시사항!$G67&lt;&gt;"",COUNTIF(사건마스터!$A$5:$A$64,일일실시사항!$G67)=0),"미등록 사건번호; ","")&amp;IF(일일실시사항!$H67="","실시 내용 없음; ","")&amp;IF(COUNTIF(코드설정!$F$5:$F$7,일일실시사항!$J67)=0,"진행상태 누락; ","")))</f>
        <v/>
      </c>
    </row>
    <row r="1100">
      <c r="A1100" s="26" t="inlineStr">
        <is>
          <t>일일실시사항</t>
        </is>
      </c>
      <c r="B1100" s="66" t="n">
        <v>68</v>
      </c>
      <c r="C1100" s="122">
        <f>IF($D1100="","",IFERROR(TEXT(일일실시사항!$B68,"yyyy-mm-dd"),"(날짜없음)")&amp;"  "&amp;일일실시사항!$D68&amp;"  "&amp;일일실시사항!$H68)</f>
        <v/>
      </c>
      <c r="D1100" s="122">
        <f>IF(NOT(COUNTBLANK(일일실시사항!$B68:$K68)&lt;10),"",TRIM(IF(일일실시사항!$B68="","일자 누락; ","")&amp;IF(COUNTIF(코드설정!$C$5:$C$24,일일실시사항!$D68)=0,"담당자 누락; ","")&amp;IF(COUNTIF(코드설정!$G$5:$G$14,일일실시사항!$F68)=0,"업무구분 누락; ","")&amp;IF(AND(일일실시사항!$G68&lt;&gt;"",COUNTIF(사건마스터!$A$5:$A$64,일일실시사항!$G68)=0),"미등록 사건번호; ","")&amp;IF(일일실시사항!$H68="","실시 내용 없음; ","")&amp;IF(COUNTIF(코드설정!$F$5:$F$7,일일실시사항!$J68)=0,"진행상태 누락; ","")))</f>
        <v/>
      </c>
    </row>
    <row r="1101">
      <c r="A1101" s="26" t="inlineStr">
        <is>
          <t>일일실시사항</t>
        </is>
      </c>
      <c r="B1101" s="66" t="n">
        <v>69</v>
      </c>
      <c r="C1101" s="122">
        <f>IF($D1101="","",IFERROR(TEXT(일일실시사항!$B69,"yyyy-mm-dd"),"(날짜없음)")&amp;"  "&amp;일일실시사항!$D69&amp;"  "&amp;일일실시사항!$H69)</f>
        <v/>
      </c>
      <c r="D1101" s="122">
        <f>IF(NOT(COUNTBLANK(일일실시사항!$B69:$K69)&lt;10),"",TRIM(IF(일일실시사항!$B69="","일자 누락; ","")&amp;IF(COUNTIF(코드설정!$C$5:$C$24,일일실시사항!$D69)=0,"담당자 누락; ","")&amp;IF(COUNTIF(코드설정!$G$5:$G$14,일일실시사항!$F69)=0,"업무구분 누락; ","")&amp;IF(AND(일일실시사항!$G69&lt;&gt;"",COUNTIF(사건마스터!$A$5:$A$64,일일실시사항!$G69)=0),"미등록 사건번호; ","")&amp;IF(일일실시사항!$H69="","실시 내용 없음; ","")&amp;IF(COUNTIF(코드설정!$F$5:$F$7,일일실시사항!$J69)=0,"진행상태 누락; ","")))</f>
        <v/>
      </c>
    </row>
    <row r="1102">
      <c r="A1102" s="26" t="inlineStr">
        <is>
          <t>일일실시사항</t>
        </is>
      </c>
      <c r="B1102" s="66" t="n">
        <v>70</v>
      </c>
      <c r="C1102" s="122">
        <f>IF($D1102="","",IFERROR(TEXT(일일실시사항!$B70,"yyyy-mm-dd"),"(날짜없음)")&amp;"  "&amp;일일실시사항!$D70&amp;"  "&amp;일일실시사항!$H70)</f>
        <v/>
      </c>
      <c r="D1102" s="122">
        <f>IF(NOT(COUNTBLANK(일일실시사항!$B70:$K70)&lt;10),"",TRIM(IF(일일실시사항!$B70="","일자 누락; ","")&amp;IF(COUNTIF(코드설정!$C$5:$C$24,일일실시사항!$D70)=0,"담당자 누락; ","")&amp;IF(COUNTIF(코드설정!$G$5:$G$14,일일실시사항!$F70)=0,"업무구분 누락; ","")&amp;IF(AND(일일실시사항!$G70&lt;&gt;"",COUNTIF(사건마스터!$A$5:$A$64,일일실시사항!$G70)=0),"미등록 사건번호; ","")&amp;IF(일일실시사항!$H70="","실시 내용 없음; ","")&amp;IF(COUNTIF(코드설정!$F$5:$F$7,일일실시사항!$J70)=0,"진행상태 누락; ","")))</f>
        <v/>
      </c>
    </row>
    <row r="1103">
      <c r="A1103" s="26" t="inlineStr">
        <is>
          <t>일일실시사항</t>
        </is>
      </c>
      <c r="B1103" s="66" t="n">
        <v>71</v>
      </c>
      <c r="C1103" s="122">
        <f>IF($D1103="","",IFERROR(TEXT(일일실시사항!$B71,"yyyy-mm-dd"),"(날짜없음)")&amp;"  "&amp;일일실시사항!$D71&amp;"  "&amp;일일실시사항!$H71)</f>
        <v/>
      </c>
      <c r="D1103" s="122">
        <f>IF(NOT(COUNTBLANK(일일실시사항!$B71:$K71)&lt;10),"",TRIM(IF(일일실시사항!$B71="","일자 누락; ","")&amp;IF(COUNTIF(코드설정!$C$5:$C$24,일일실시사항!$D71)=0,"담당자 누락; ","")&amp;IF(COUNTIF(코드설정!$G$5:$G$14,일일실시사항!$F71)=0,"업무구분 누락; ","")&amp;IF(AND(일일실시사항!$G71&lt;&gt;"",COUNTIF(사건마스터!$A$5:$A$64,일일실시사항!$G71)=0),"미등록 사건번호; ","")&amp;IF(일일실시사항!$H71="","실시 내용 없음; ","")&amp;IF(COUNTIF(코드설정!$F$5:$F$7,일일실시사항!$J71)=0,"진행상태 누락; ","")))</f>
        <v/>
      </c>
    </row>
    <row r="1104">
      <c r="A1104" s="26" t="inlineStr">
        <is>
          <t>일일실시사항</t>
        </is>
      </c>
      <c r="B1104" s="66" t="n">
        <v>72</v>
      </c>
      <c r="C1104" s="122">
        <f>IF($D1104="","",IFERROR(TEXT(일일실시사항!$B72,"yyyy-mm-dd"),"(날짜없음)")&amp;"  "&amp;일일실시사항!$D72&amp;"  "&amp;일일실시사항!$H72)</f>
        <v/>
      </c>
      <c r="D1104" s="122">
        <f>IF(NOT(COUNTBLANK(일일실시사항!$B72:$K72)&lt;10),"",TRIM(IF(일일실시사항!$B72="","일자 누락; ","")&amp;IF(COUNTIF(코드설정!$C$5:$C$24,일일실시사항!$D72)=0,"담당자 누락; ","")&amp;IF(COUNTIF(코드설정!$G$5:$G$14,일일실시사항!$F72)=0,"업무구분 누락; ","")&amp;IF(AND(일일실시사항!$G72&lt;&gt;"",COUNTIF(사건마스터!$A$5:$A$64,일일실시사항!$G72)=0),"미등록 사건번호; ","")&amp;IF(일일실시사항!$H72="","실시 내용 없음; ","")&amp;IF(COUNTIF(코드설정!$F$5:$F$7,일일실시사항!$J72)=0,"진행상태 누락; ","")))</f>
        <v/>
      </c>
    </row>
    <row r="1105">
      <c r="A1105" s="26" t="inlineStr">
        <is>
          <t>일일실시사항</t>
        </is>
      </c>
      <c r="B1105" s="66" t="n">
        <v>73</v>
      </c>
      <c r="C1105" s="122">
        <f>IF($D1105="","",IFERROR(TEXT(일일실시사항!$B73,"yyyy-mm-dd"),"(날짜없음)")&amp;"  "&amp;일일실시사항!$D73&amp;"  "&amp;일일실시사항!$H73)</f>
        <v/>
      </c>
      <c r="D1105" s="122">
        <f>IF(NOT(COUNTBLANK(일일실시사항!$B73:$K73)&lt;10),"",TRIM(IF(일일실시사항!$B73="","일자 누락; ","")&amp;IF(COUNTIF(코드설정!$C$5:$C$24,일일실시사항!$D73)=0,"담당자 누락; ","")&amp;IF(COUNTIF(코드설정!$G$5:$G$14,일일실시사항!$F73)=0,"업무구분 누락; ","")&amp;IF(AND(일일실시사항!$G73&lt;&gt;"",COUNTIF(사건마스터!$A$5:$A$64,일일실시사항!$G73)=0),"미등록 사건번호; ","")&amp;IF(일일실시사항!$H73="","실시 내용 없음; ","")&amp;IF(COUNTIF(코드설정!$F$5:$F$7,일일실시사항!$J73)=0,"진행상태 누락; ","")))</f>
        <v/>
      </c>
    </row>
    <row r="1106">
      <c r="A1106" s="26" t="inlineStr">
        <is>
          <t>일일실시사항</t>
        </is>
      </c>
      <c r="B1106" s="66" t="n">
        <v>74</v>
      </c>
      <c r="C1106" s="122">
        <f>IF($D1106="","",IFERROR(TEXT(일일실시사항!$B74,"yyyy-mm-dd"),"(날짜없음)")&amp;"  "&amp;일일실시사항!$D74&amp;"  "&amp;일일실시사항!$H74)</f>
        <v/>
      </c>
      <c r="D1106" s="122">
        <f>IF(NOT(COUNTBLANK(일일실시사항!$B74:$K74)&lt;10),"",TRIM(IF(일일실시사항!$B74="","일자 누락; ","")&amp;IF(COUNTIF(코드설정!$C$5:$C$24,일일실시사항!$D74)=0,"담당자 누락; ","")&amp;IF(COUNTIF(코드설정!$G$5:$G$14,일일실시사항!$F74)=0,"업무구분 누락; ","")&amp;IF(AND(일일실시사항!$G74&lt;&gt;"",COUNTIF(사건마스터!$A$5:$A$64,일일실시사항!$G74)=0),"미등록 사건번호; ","")&amp;IF(일일실시사항!$H74="","실시 내용 없음; ","")&amp;IF(COUNTIF(코드설정!$F$5:$F$7,일일실시사항!$J74)=0,"진행상태 누락; ","")))</f>
        <v/>
      </c>
    </row>
    <row r="1107">
      <c r="A1107" s="26" t="inlineStr">
        <is>
          <t>일일실시사항</t>
        </is>
      </c>
      <c r="B1107" s="66" t="n">
        <v>75</v>
      </c>
      <c r="C1107" s="122">
        <f>IF($D1107="","",IFERROR(TEXT(일일실시사항!$B75,"yyyy-mm-dd"),"(날짜없음)")&amp;"  "&amp;일일실시사항!$D75&amp;"  "&amp;일일실시사항!$H75)</f>
        <v/>
      </c>
      <c r="D1107" s="122">
        <f>IF(NOT(COUNTBLANK(일일실시사항!$B75:$K75)&lt;10),"",TRIM(IF(일일실시사항!$B75="","일자 누락; ","")&amp;IF(COUNTIF(코드설정!$C$5:$C$24,일일실시사항!$D75)=0,"담당자 누락; ","")&amp;IF(COUNTIF(코드설정!$G$5:$G$14,일일실시사항!$F75)=0,"업무구분 누락; ","")&amp;IF(AND(일일실시사항!$G75&lt;&gt;"",COUNTIF(사건마스터!$A$5:$A$64,일일실시사항!$G75)=0),"미등록 사건번호; ","")&amp;IF(일일실시사항!$H75="","실시 내용 없음; ","")&amp;IF(COUNTIF(코드설정!$F$5:$F$7,일일실시사항!$J75)=0,"진행상태 누락; ","")))</f>
        <v/>
      </c>
    </row>
    <row r="1108">
      <c r="A1108" s="26" t="inlineStr">
        <is>
          <t>일일실시사항</t>
        </is>
      </c>
      <c r="B1108" s="66" t="n">
        <v>76</v>
      </c>
      <c r="C1108" s="122">
        <f>IF($D1108="","",IFERROR(TEXT(일일실시사항!$B76,"yyyy-mm-dd"),"(날짜없음)")&amp;"  "&amp;일일실시사항!$D76&amp;"  "&amp;일일실시사항!$H76)</f>
        <v/>
      </c>
      <c r="D1108" s="122">
        <f>IF(NOT(COUNTBLANK(일일실시사항!$B76:$K76)&lt;10),"",TRIM(IF(일일실시사항!$B76="","일자 누락; ","")&amp;IF(COUNTIF(코드설정!$C$5:$C$24,일일실시사항!$D76)=0,"담당자 누락; ","")&amp;IF(COUNTIF(코드설정!$G$5:$G$14,일일실시사항!$F76)=0,"업무구분 누락; ","")&amp;IF(AND(일일실시사항!$G76&lt;&gt;"",COUNTIF(사건마스터!$A$5:$A$64,일일실시사항!$G76)=0),"미등록 사건번호; ","")&amp;IF(일일실시사항!$H76="","실시 내용 없음; ","")&amp;IF(COUNTIF(코드설정!$F$5:$F$7,일일실시사항!$J76)=0,"진행상태 누락; ","")))</f>
        <v/>
      </c>
    </row>
    <row r="1109">
      <c r="A1109" s="26" t="inlineStr">
        <is>
          <t>일일실시사항</t>
        </is>
      </c>
      <c r="B1109" s="66" t="n">
        <v>77</v>
      </c>
      <c r="C1109" s="122">
        <f>IF($D1109="","",IFERROR(TEXT(일일실시사항!$B77,"yyyy-mm-dd"),"(날짜없음)")&amp;"  "&amp;일일실시사항!$D77&amp;"  "&amp;일일실시사항!$H77)</f>
        <v/>
      </c>
      <c r="D1109" s="122">
        <f>IF(NOT(COUNTBLANK(일일실시사항!$B77:$K77)&lt;10),"",TRIM(IF(일일실시사항!$B77="","일자 누락; ","")&amp;IF(COUNTIF(코드설정!$C$5:$C$24,일일실시사항!$D77)=0,"담당자 누락; ","")&amp;IF(COUNTIF(코드설정!$G$5:$G$14,일일실시사항!$F77)=0,"업무구분 누락; ","")&amp;IF(AND(일일실시사항!$G77&lt;&gt;"",COUNTIF(사건마스터!$A$5:$A$64,일일실시사항!$G77)=0),"미등록 사건번호; ","")&amp;IF(일일실시사항!$H77="","실시 내용 없음; ","")&amp;IF(COUNTIF(코드설정!$F$5:$F$7,일일실시사항!$J77)=0,"진행상태 누락; ","")))</f>
        <v/>
      </c>
    </row>
    <row r="1110">
      <c r="A1110" s="26" t="inlineStr">
        <is>
          <t>일일실시사항</t>
        </is>
      </c>
      <c r="B1110" s="66" t="n">
        <v>78</v>
      </c>
      <c r="C1110" s="122">
        <f>IF($D1110="","",IFERROR(TEXT(일일실시사항!$B78,"yyyy-mm-dd"),"(날짜없음)")&amp;"  "&amp;일일실시사항!$D78&amp;"  "&amp;일일실시사항!$H78)</f>
        <v/>
      </c>
      <c r="D1110" s="122">
        <f>IF(NOT(COUNTBLANK(일일실시사항!$B78:$K78)&lt;10),"",TRIM(IF(일일실시사항!$B78="","일자 누락; ","")&amp;IF(COUNTIF(코드설정!$C$5:$C$24,일일실시사항!$D78)=0,"담당자 누락; ","")&amp;IF(COUNTIF(코드설정!$G$5:$G$14,일일실시사항!$F78)=0,"업무구분 누락; ","")&amp;IF(AND(일일실시사항!$G78&lt;&gt;"",COUNTIF(사건마스터!$A$5:$A$64,일일실시사항!$G78)=0),"미등록 사건번호; ","")&amp;IF(일일실시사항!$H78="","실시 내용 없음; ","")&amp;IF(COUNTIF(코드설정!$F$5:$F$7,일일실시사항!$J78)=0,"진행상태 누락; ","")))</f>
        <v/>
      </c>
    </row>
    <row r="1111">
      <c r="A1111" s="26" t="inlineStr">
        <is>
          <t>일일실시사항</t>
        </is>
      </c>
      <c r="B1111" s="66" t="n">
        <v>79</v>
      </c>
      <c r="C1111" s="122">
        <f>IF($D1111="","",IFERROR(TEXT(일일실시사항!$B79,"yyyy-mm-dd"),"(날짜없음)")&amp;"  "&amp;일일실시사항!$D79&amp;"  "&amp;일일실시사항!$H79)</f>
        <v/>
      </c>
      <c r="D1111" s="122">
        <f>IF(NOT(COUNTBLANK(일일실시사항!$B79:$K79)&lt;10),"",TRIM(IF(일일실시사항!$B79="","일자 누락; ","")&amp;IF(COUNTIF(코드설정!$C$5:$C$24,일일실시사항!$D79)=0,"담당자 누락; ","")&amp;IF(COUNTIF(코드설정!$G$5:$G$14,일일실시사항!$F79)=0,"업무구분 누락; ","")&amp;IF(AND(일일실시사항!$G79&lt;&gt;"",COUNTIF(사건마스터!$A$5:$A$64,일일실시사항!$G79)=0),"미등록 사건번호; ","")&amp;IF(일일실시사항!$H79="","실시 내용 없음; ","")&amp;IF(COUNTIF(코드설정!$F$5:$F$7,일일실시사항!$J79)=0,"진행상태 누락; ","")))</f>
        <v/>
      </c>
    </row>
    <row r="1112">
      <c r="A1112" s="26" t="inlineStr">
        <is>
          <t>일일실시사항</t>
        </is>
      </c>
      <c r="B1112" s="66" t="n">
        <v>80</v>
      </c>
      <c r="C1112" s="122">
        <f>IF($D1112="","",IFERROR(TEXT(일일실시사항!$B80,"yyyy-mm-dd"),"(날짜없음)")&amp;"  "&amp;일일실시사항!$D80&amp;"  "&amp;일일실시사항!$H80)</f>
        <v/>
      </c>
      <c r="D1112" s="122">
        <f>IF(NOT(COUNTBLANK(일일실시사항!$B80:$K80)&lt;10),"",TRIM(IF(일일실시사항!$B80="","일자 누락; ","")&amp;IF(COUNTIF(코드설정!$C$5:$C$24,일일실시사항!$D80)=0,"담당자 누락; ","")&amp;IF(COUNTIF(코드설정!$G$5:$G$14,일일실시사항!$F80)=0,"업무구분 누락; ","")&amp;IF(AND(일일실시사항!$G80&lt;&gt;"",COUNTIF(사건마스터!$A$5:$A$64,일일실시사항!$G80)=0),"미등록 사건번호; ","")&amp;IF(일일실시사항!$H80="","실시 내용 없음; ","")&amp;IF(COUNTIF(코드설정!$F$5:$F$7,일일실시사항!$J80)=0,"진행상태 누락; ","")))</f>
        <v/>
      </c>
    </row>
    <row r="1113">
      <c r="A1113" s="26" t="inlineStr">
        <is>
          <t>일일실시사항</t>
        </is>
      </c>
      <c r="B1113" s="66" t="n">
        <v>81</v>
      </c>
      <c r="C1113" s="122">
        <f>IF($D1113="","",IFERROR(TEXT(일일실시사항!$B81,"yyyy-mm-dd"),"(날짜없음)")&amp;"  "&amp;일일실시사항!$D81&amp;"  "&amp;일일실시사항!$H81)</f>
        <v/>
      </c>
      <c r="D1113" s="122">
        <f>IF(NOT(COUNTBLANK(일일실시사항!$B81:$K81)&lt;10),"",TRIM(IF(일일실시사항!$B81="","일자 누락; ","")&amp;IF(COUNTIF(코드설정!$C$5:$C$24,일일실시사항!$D81)=0,"담당자 누락; ","")&amp;IF(COUNTIF(코드설정!$G$5:$G$14,일일실시사항!$F81)=0,"업무구분 누락; ","")&amp;IF(AND(일일실시사항!$G81&lt;&gt;"",COUNTIF(사건마스터!$A$5:$A$64,일일실시사항!$G81)=0),"미등록 사건번호; ","")&amp;IF(일일실시사항!$H81="","실시 내용 없음; ","")&amp;IF(COUNTIF(코드설정!$F$5:$F$7,일일실시사항!$J81)=0,"진행상태 누락; ","")))</f>
        <v/>
      </c>
    </row>
    <row r="1114">
      <c r="A1114" s="26" t="inlineStr">
        <is>
          <t>일일실시사항</t>
        </is>
      </c>
      <c r="B1114" s="66" t="n">
        <v>82</v>
      </c>
      <c r="C1114" s="122">
        <f>IF($D1114="","",IFERROR(TEXT(일일실시사항!$B82,"yyyy-mm-dd"),"(날짜없음)")&amp;"  "&amp;일일실시사항!$D82&amp;"  "&amp;일일실시사항!$H82)</f>
        <v/>
      </c>
      <c r="D1114" s="122">
        <f>IF(NOT(COUNTBLANK(일일실시사항!$B82:$K82)&lt;10),"",TRIM(IF(일일실시사항!$B82="","일자 누락; ","")&amp;IF(COUNTIF(코드설정!$C$5:$C$24,일일실시사항!$D82)=0,"담당자 누락; ","")&amp;IF(COUNTIF(코드설정!$G$5:$G$14,일일실시사항!$F82)=0,"업무구분 누락; ","")&amp;IF(AND(일일실시사항!$G82&lt;&gt;"",COUNTIF(사건마스터!$A$5:$A$64,일일실시사항!$G82)=0),"미등록 사건번호; ","")&amp;IF(일일실시사항!$H82="","실시 내용 없음; ","")&amp;IF(COUNTIF(코드설정!$F$5:$F$7,일일실시사항!$J82)=0,"진행상태 누락; ","")))</f>
        <v/>
      </c>
    </row>
    <row r="1115">
      <c r="A1115" s="26" t="inlineStr">
        <is>
          <t>일일실시사항</t>
        </is>
      </c>
      <c r="B1115" s="66" t="n">
        <v>83</v>
      </c>
      <c r="C1115" s="122">
        <f>IF($D1115="","",IFERROR(TEXT(일일실시사항!$B83,"yyyy-mm-dd"),"(날짜없음)")&amp;"  "&amp;일일실시사항!$D83&amp;"  "&amp;일일실시사항!$H83)</f>
        <v/>
      </c>
      <c r="D1115" s="122">
        <f>IF(NOT(COUNTBLANK(일일실시사항!$B83:$K83)&lt;10),"",TRIM(IF(일일실시사항!$B83="","일자 누락; ","")&amp;IF(COUNTIF(코드설정!$C$5:$C$24,일일실시사항!$D83)=0,"담당자 누락; ","")&amp;IF(COUNTIF(코드설정!$G$5:$G$14,일일실시사항!$F83)=0,"업무구분 누락; ","")&amp;IF(AND(일일실시사항!$G83&lt;&gt;"",COUNTIF(사건마스터!$A$5:$A$64,일일실시사항!$G83)=0),"미등록 사건번호; ","")&amp;IF(일일실시사항!$H83="","실시 내용 없음; ","")&amp;IF(COUNTIF(코드설정!$F$5:$F$7,일일실시사항!$J83)=0,"진행상태 누락; ","")))</f>
        <v/>
      </c>
    </row>
    <row r="1116">
      <c r="A1116" s="26" t="inlineStr">
        <is>
          <t>일일실시사항</t>
        </is>
      </c>
      <c r="B1116" s="66" t="n">
        <v>84</v>
      </c>
      <c r="C1116" s="122">
        <f>IF($D1116="","",IFERROR(TEXT(일일실시사항!$B84,"yyyy-mm-dd"),"(날짜없음)")&amp;"  "&amp;일일실시사항!$D84&amp;"  "&amp;일일실시사항!$H84)</f>
        <v/>
      </c>
      <c r="D1116" s="122">
        <f>IF(NOT(COUNTBLANK(일일실시사항!$B84:$K84)&lt;10),"",TRIM(IF(일일실시사항!$B84="","일자 누락; ","")&amp;IF(COUNTIF(코드설정!$C$5:$C$24,일일실시사항!$D84)=0,"담당자 누락; ","")&amp;IF(COUNTIF(코드설정!$G$5:$G$14,일일실시사항!$F84)=0,"업무구분 누락; ","")&amp;IF(AND(일일실시사항!$G84&lt;&gt;"",COUNTIF(사건마스터!$A$5:$A$64,일일실시사항!$G84)=0),"미등록 사건번호; ","")&amp;IF(일일실시사항!$H84="","실시 내용 없음; ","")&amp;IF(COUNTIF(코드설정!$F$5:$F$7,일일실시사항!$J84)=0,"진행상태 누락; ","")))</f>
        <v/>
      </c>
    </row>
    <row r="1117">
      <c r="A1117" s="26" t="inlineStr">
        <is>
          <t>일일실시사항</t>
        </is>
      </c>
      <c r="B1117" s="66" t="n">
        <v>85</v>
      </c>
      <c r="C1117" s="122">
        <f>IF($D1117="","",IFERROR(TEXT(일일실시사항!$B85,"yyyy-mm-dd"),"(날짜없음)")&amp;"  "&amp;일일실시사항!$D85&amp;"  "&amp;일일실시사항!$H85)</f>
        <v/>
      </c>
      <c r="D1117" s="122">
        <f>IF(NOT(COUNTBLANK(일일실시사항!$B85:$K85)&lt;10),"",TRIM(IF(일일실시사항!$B85="","일자 누락; ","")&amp;IF(COUNTIF(코드설정!$C$5:$C$24,일일실시사항!$D85)=0,"담당자 누락; ","")&amp;IF(COUNTIF(코드설정!$G$5:$G$14,일일실시사항!$F85)=0,"업무구분 누락; ","")&amp;IF(AND(일일실시사항!$G85&lt;&gt;"",COUNTIF(사건마스터!$A$5:$A$64,일일실시사항!$G85)=0),"미등록 사건번호; ","")&amp;IF(일일실시사항!$H85="","실시 내용 없음; ","")&amp;IF(COUNTIF(코드설정!$F$5:$F$7,일일실시사항!$J85)=0,"진행상태 누락; ","")))</f>
        <v/>
      </c>
    </row>
    <row r="1118">
      <c r="A1118" s="26" t="inlineStr">
        <is>
          <t>일일실시사항</t>
        </is>
      </c>
      <c r="B1118" s="66" t="n">
        <v>86</v>
      </c>
      <c r="C1118" s="122">
        <f>IF($D1118="","",IFERROR(TEXT(일일실시사항!$B86,"yyyy-mm-dd"),"(날짜없음)")&amp;"  "&amp;일일실시사항!$D86&amp;"  "&amp;일일실시사항!$H86)</f>
        <v/>
      </c>
      <c r="D1118" s="122">
        <f>IF(NOT(COUNTBLANK(일일실시사항!$B86:$K86)&lt;10),"",TRIM(IF(일일실시사항!$B86="","일자 누락; ","")&amp;IF(COUNTIF(코드설정!$C$5:$C$24,일일실시사항!$D86)=0,"담당자 누락; ","")&amp;IF(COUNTIF(코드설정!$G$5:$G$14,일일실시사항!$F86)=0,"업무구분 누락; ","")&amp;IF(AND(일일실시사항!$G86&lt;&gt;"",COUNTIF(사건마스터!$A$5:$A$64,일일실시사항!$G86)=0),"미등록 사건번호; ","")&amp;IF(일일실시사항!$H86="","실시 내용 없음; ","")&amp;IF(COUNTIF(코드설정!$F$5:$F$7,일일실시사항!$J86)=0,"진행상태 누락; ","")))</f>
        <v/>
      </c>
    </row>
    <row r="1119">
      <c r="A1119" s="26" t="inlineStr">
        <is>
          <t>일일실시사항</t>
        </is>
      </c>
      <c r="B1119" s="66" t="n">
        <v>87</v>
      </c>
      <c r="C1119" s="122">
        <f>IF($D1119="","",IFERROR(TEXT(일일실시사항!$B87,"yyyy-mm-dd"),"(날짜없음)")&amp;"  "&amp;일일실시사항!$D87&amp;"  "&amp;일일실시사항!$H87)</f>
        <v/>
      </c>
      <c r="D1119" s="122">
        <f>IF(NOT(COUNTBLANK(일일실시사항!$B87:$K87)&lt;10),"",TRIM(IF(일일실시사항!$B87="","일자 누락; ","")&amp;IF(COUNTIF(코드설정!$C$5:$C$24,일일실시사항!$D87)=0,"담당자 누락; ","")&amp;IF(COUNTIF(코드설정!$G$5:$G$14,일일실시사항!$F87)=0,"업무구분 누락; ","")&amp;IF(AND(일일실시사항!$G87&lt;&gt;"",COUNTIF(사건마스터!$A$5:$A$64,일일실시사항!$G87)=0),"미등록 사건번호; ","")&amp;IF(일일실시사항!$H87="","실시 내용 없음; ","")&amp;IF(COUNTIF(코드설정!$F$5:$F$7,일일실시사항!$J87)=0,"진행상태 누락; ","")))</f>
        <v/>
      </c>
    </row>
    <row r="1120">
      <c r="A1120" s="26" t="inlineStr">
        <is>
          <t>일일실시사항</t>
        </is>
      </c>
      <c r="B1120" s="66" t="n">
        <v>88</v>
      </c>
      <c r="C1120" s="122">
        <f>IF($D1120="","",IFERROR(TEXT(일일실시사항!$B88,"yyyy-mm-dd"),"(날짜없음)")&amp;"  "&amp;일일실시사항!$D88&amp;"  "&amp;일일실시사항!$H88)</f>
        <v/>
      </c>
      <c r="D1120" s="122">
        <f>IF(NOT(COUNTBLANK(일일실시사항!$B88:$K88)&lt;10),"",TRIM(IF(일일실시사항!$B88="","일자 누락; ","")&amp;IF(COUNTIF(코드설정!$C$5:$C$24,일일실시사항!$D88)=0,"담당자 누락; ","")&amp;IF(COUNTIF(코드설정!$G$5:$G$14,일일실시사항!$F88)=0,"업무구분 누락; ","")&amp;IF(AND(일일실시사항!$G88&lt;&gt;"",COUNTIF(사건마스터!$A$5:$A$64,일일실시사항!$G88)=0),"미등록 사건번호; ","")&amp;IF(일일실시사항!$H88="","실시 내용 없음; ","")&amp;IF(COUNTIF(코드설정!$F$5:$F$7,일일실시사항!$J88)=0,"진행상태 누락; ","")))</f>
        <v/>
      </c>
    </row>
    <row r="1121">
      <c r="A1121" s="26" t="inlineStr">
        <is>
          <t>일일실시사항</t>
        </is>
      </c>
      <c r="B1121" s="66" t="n">
        <v>89</v>
      </c>
      <c r="C1121" s="122">
        <f>IF($D1121="","",IFERROR(TEXT(일일실시사항!$B89,"yyyy-mm-dd"),"(날짜없음)")&amp;"  "&amp;일일실시사항!$D89&amp;"  "&amp;일일실시사항!$H89)</f>
        <v/>
      </c>
      <c r="D1121" s="122">
        <f>IF(NOT(COUNTBLANK(일일실시사항!$B89:$K89)&lt;10),"",TRIM(IF(일일실시사항!$B89="","일자 누락; ","")&amp;IF(COUNTIF(코드설정!$C$5:$C$24,일일실시사항!$D89)=0,"담당자 누락; ","")&amp;IF(COUNTIF(코드설정!$G$5:$G$14,일일실시사항!$F89)=0,"업무구분 누락; ","")&amp;IF(AND(일일실시사항!$G89&lt;&gt;"",COUNTIF(사건마스터!$A$5:$A$64,일일실시사항!$G89)=0),"미등록 사건번호; ","")&amp;IF(일일실시사항!$H89="","실시 내용 없음; ","")&amp;IF(COUNTIF(코드설정!$F$5:$F$7,일일실시사항!$J89)=0,"진행상태 누락; ","")))</f>
        <v/>
      </c>
    </row>
    <row r="1122">
      <c r="A1122" s="26" t="inlineStr">
        <is>
          <t>일일실시사항</t>
        </is>
      </c>
      <c r="B1122" s="66" t="n">
        <v>90</v>
      </c>
      <c r="C1122" s="122">
        <f>IF($D1122="","",IFERROR(TEXT(일일실시사항!$B90,"yyyy-mm-dd"),"(날짜없음)")&amp;"  "&amp;일일실시사항!$D90&amp;"  "&amp;일일실시사항!$H90)</f>
        <v/>
      </c>
      <c r="D1122" s="122">
        <f>IF(NOT(COUNTBLANK(일일실시사항!$B90:$K90)&lt;10),"",TRIM(IF(일일실시사항!$B90="","일자 누락; ","")&amp;IF(COUNTIF(코드설정!$C$5:$C$24,일일실시사항!$D90)=0,"담당자 누락; ","")&amp;IF(COUNTIF(코드설정!$G$5:$G$14,일일실시사항!$F90)=0,"업무구분 누락; ","")&amp;IF(AND(일일실시사항!$G90&lt;&gt;"",COUNTIF(사건마스터!$A$5:$A$64,일일실시사항!$G90)=0),"미등록 사건번호; ","")&amp;IF(일일실시사항!$H90="","실시 내용 없음; ","")&amp;IF(COUNTIF(코드설정!$F$5:$F$7,일일실시사항!$J90)=0,"진행상태 누락; ","")))</f>
        <v/>
      </c>
    </row>
    <row r="1123">
      <c r="A1123" s="26" t="inlineStr">
        <is>
          <t>일일실시사항</t>
        </is>
      </c>
      <c r="B1123" s="66" t="n">
        <v>91</v>
      </c>
      <c r="C1123" s="122">
        <f>IF($D1123="","",IFERROR(TEXT(일일실시사항!$B91,"yyyy-mm-dd"),"(날짜없음)")&amp;"  "&amp;일일실시사항!$D91&amp;"  "&amp;일일실시사항!$H91)</f>
        <v/>
      </c>
      <c r="D1123" s="122">
        <f>IF(NOT(COUNTBLANK(일일실시사항!$B91:$K91)&lt;10),"",TRIM(IF(일일실시사항!$B91="","일자 누락; ","")&amp;IF(COUNTIF(코드설정!$C$5:$C$24,일일실시사항!$D91)=0,"담당자 누락; ","")&amp;IF(COUNTIF(코드설정!$G$5:$G$14,일일실시사항!$F91)=0,"업무구분 누락; ","")&amp;IF(AND(일일실시사항!$G91&lt;&gt;"",COUNTIF(사건마스터!$A$5:$A$64,일일실시사항!$G91)=0),"미등록 사건번호; ","")&amp;IF(일일실시사항!$H91="","실시 내용 없음; ","")&amp;IF(COUNTIF(코드설정!$F$5:$F$7,일일실시사항!$J91)=0,"진행상태 누락; ","")))</f>
        <v/>
      </c>
    </row>
    <row r="1124">
      <c r="A1124" s="26" t="inlineStr">
        <is>
          <t>일일실시사항</t>
        </is>
      </c>
      <c r="B1124" s="66" t="n">
        <v>92</v>
      </c>
      <c r="C1124" s="122">
        <f>IF($D1124="","",IFERROR(TEXT(일일실시사항!$B92,"yyyy-mm-dd"),"(날짜없음)")&amp;"  "&amp;일일실시사항!$D92&amp;"  "&amp;일일실시사항!$H92)</f>
        <v/>
      </c>
      <c r="D1124" s="122">
        <f>IF(NOT(COUNTBLANK(일일실시사항!$B92:$K92)&lt;10),"",TRIM(IF(일일실시사항!$B92="","일자 누락; ","")&amp;IF(COUNTIF(코드설정!$C$5:$C$24,일일실시사항!$D92)=0,"담당자 누락; ","")&amp;IF(COUNTIF(코드설정!$G$5:$G$14,일일실시사항!$F92)=0,"업무구분 누락; ","")&amp;IF(AND(일일실시사항!$G92&lt;&gt;"",COUNTIF(사건마스터!$A$5:$A$64,일일실시사항!$G92)=0),"미등록 사건번호; ","")&amp;IF(일일실시사항!$H92="","실시 내용 없음; ","")&amp;IF(COUNTIF(코드설정!$F$5:$F$7,일일실시사항!$J92)=0,"진행상태 누락; ","")))</f>
        <v/>
      </c>
    </row>
    <row r="1125">
      <c r="A1125" s="26" t="inlineStr">
        <is>
          <t>일일실시사항</t>
        </is>
      </c>
      <c r="B1125" s="66" t="n">
        <v>93</v>
      </c>
      <c r="C1125" s="122">
        <f>IF($D1125="","",IFERROR(TEXT(일일실시사항!$B93,"yyyy-mm-dd"),"(날짜없음)")&amp;"  "&amp;일일실시사항!$D93&amp;"  "&amp;일일실시사항!$H93)</f>
        <v/>
      </c>
      <c r="D1125" s="122">
        <f>IF(NOT(COUNTBLANK(일일실시사항!$B93:$K93)&lt;10),"",TRIM(IF(일일실시사항!$B93="","일자 누락; ","")&amp;IF(COUNTIF(코드설정!$C$5:$C$24,일일실시사항!$D93)=0,"담당자 누락; ","")&amp;IF(COUNTIF(코드설정!$G$5:$G$14,일일실시사항!$F93)=0,"업무구분 누락; ","")&amp;IF(AND(일일실시사항!$G93&lt;&gt;"",COUNTIF(사건마스터!$A$5:$A$64,일일실시사항!$G93)=0),"미등록 사건번호; ","")&amp;IF(일일실시사항!$H93="","실시 내용 없음; ","")&amp;IF(COUNTIF(코드설정!$F$5:$F$7,일일실시사항!$J93)=0,"진행상태 누락; ","")))</f>
        <v/>
      </c>
    </row>
    <row r="1126">
      <c r="A1126" s="26" t="inlineStr">
        <is>
          <t>일일실시사항</t>
        </is>
      </c>
      <c r="B1126" s="66" t="n">
        <v>94</v>
      </c>
      <c r="C1126" s="122">
        <f>IF($D1126="","",IFERROR(TEXT(일일실시사항!$B94,"yyyy-mm-dd"),"(날짜없음)")&amp;"  "&amp;일일실시사항!$D94&amp;"  "&amp;일일실시사항!$H94)</f>
        <v/>
      </c>
      <c r="D1126" s="122">
        <f>IF(NOT(COUNTBLANK(일일실시사항!$B94:$K94)&lt;10),"",TRIM(IF(일일실시사항!$B94="","일자 누락; ","")&amp;IF(COUNTIF(코드설정!$C$5:$C$24,일일실시사항!$D94)=0,"담당자 누락; ","")&amp;IF(COUNTIF(코드설정!$G$5:$G$14,일일실시사항!$F94)=0,"업무구분 누락; ","")&amp;IF(AND(일일실시사항!$G94&lt;&gt;"",COUNTIF(사건마스터!$A$5:$A$64,일일실시사항!$G94)=0),"미등록 사건번호; ","")&amp;IF(일일실시사항!$H94="","실시 내용 없음; ","")&amp;IF(COUNTIF(코드설정!$F$5:$F$7,일일실시사항!$J94)=0,"진행상태 누락; ","")))</f>
        <v/>
      </c>
    </row>
    <row r="1127">
      <c r="A1127" s="26" t="inlineStr">
        <is>
          <t>일일실시사항</t>
        </is>
      </c>
      <c r="B1127" s="66" t="n">
        <v>95</v>
      </c>
      <c r="C1127" s="122">
        <f>IF($D1127="","",IFERROR(TEXT(일일실시사항!$B95,"yyyy-mm-dd"),"(날짜없음)")&amp;"  "&amp;일일실시사항!$D95&amp;"  "&amp;일일실시사항!$H95)</f>
        <v/>
      </c>
      <c r="D1127" s="122">
        <f>IF(NOT(COUNTBLANK(일일실시사항!$B95:$K95)&lt;10),"",TRIM(IF(일일실시사항!$B95="","일자 누락; ","")&amp;IF(COUNTIF(코드설정!$C$5:$C$24,일일실시사항!$D95)=0,"담당자 누락; ","")&amp;IF(COUNTIF(코드설정!$G$5:$G$14,일일실시사항!$F95)=0,"업무구분 누락; ","")&amp;IF(AND(일일실시사항!$G95&lt;&gt;"",COUNTIF(사건마스터!$A$5:$A$64,일일실시사항!$G95)=0),"미등록 사건번호; ","")&amp;IF(일일실시사항!$H95="","실시 내용 없음; ","")&amp;IF(COUNTIF(코드설정!$F$5:$F$7,일일실시사항!$J95)=0,"진행상태 누락; ","")))</f>
        <v/>
      </c>
    </row>
    <row r="1128">
      <c r="A1128" s="26" t="inlineStr">
        <is>
          <t>일일실시사항</t>
        </is>
      </c>
      <c r="B1128" s="66" t="n">
        <v>96</v>
      </c>
      <c r="C1128" s="122">
        <f>IF($D1128="","",IFERROR(TEXT(일일실시사항!$B96,"yyyy-mm-dd"),"(날짜없음)")&amp;"  "&amp;일일실시사항!$D96&amp;"  "&amp;일일실시사항!$H96)</f>
        <v/>
      </c>
      <c r="D1128" s="122">
        <f>IF(NOT(COUNTBLANK(일일실시사항!$B96:$K96)&lt;10),"",TRIM(IF(일일실시사항!$B96="","일자 누락; ","")&amp;IF(COUNTIF(코드설정!$C$5:$C$24,일일실시사항!$D96)=0,"담당자 누락; ","")&amp;IF(COUNTIF(코드설정!$G$5:$G$14,일일실시사항!$F96)=0,"업무구분 누락; ","")&amp;IF(AND(일일실시사항!$G96&lt;&gt;"",COUNTIF(사건마스터!$A$5:$A$64,일일실시사항!$G96)=0),"미등록 사건번호; ","")&amp;IF(일일실시사항!$H96="","실시 내용 없음; ","")&amp;IF(COUNTIF(코드설정!$F$5:$F$7,일일실시사항!$J96)=0,"진행상태 누락; ","")))</f>
        <v/>
      </c>
    </row>
    <row r="1129">
      <c r="A1129" s="26" t="inlineStr">
        <is>
          <t>일일실시사항</t>
        </is>
      </c>
      <c r="B1129" s="66" t="n">
        <v>97</v>
      </c>
      <c r="C1129" s="122">
        <f>IF($D1129="","",IFERROR(TEXT(일일실시사항!$B97,"yyyy-mm-dd"),"(날짜없음)")&amp;"  "&amp;일일실시사항!$D97&amp;"  "&amp;일일실시사항!$H97)</f>
        <v/>
      </c>
      <c r="D1129" s="122">
        <f>IF(NOT(COUNTBLANK(일일실시사항!$B97:$K97)&lt;10),"",TRIM(IF(일일실시사항!$B97="","일자 누락; ","")&amp;IF(COUNTIF(코드설정!$C$5:$C$24,일일실시사항!$D97)=0,"담당자 누락; ","")&amp;IF(COUNTIF(코드설정!$G$5:$G$14,일일실시사항!$F97)=0,"업무구분 누락; ","")&amp;IF(AND(일일실시사항!$G97&lt;&gt;"",COUNTIF(사건마스터!$A$5:$A$64,일일실시사항!$G97)=0),"미등록 사건번호; ","")&amp;IF(일일실시사항!$H97="","실시 내용 없음; ","")&amp;IF(COUNTIF(코드설정!$F$5:$F$7,일일실시사항!$J97)=0,"진행상태 누락; ","")))</f>
        <v/>
      </c>
    </row>
    <row r="1130">
      <c r="A1130" s="26" t="inlineStr">
        <is>
          <t>일일실시사항</t>
        </is>
      </c>
      <c r="B1130" s="66" t="n">
        <v>98</v>
      </c>
      <c r="C1130" s="122">
        <f>IF($D1130="","",IFERROR(TEXT(일일실시사항!$B98,"yyyy-mm-dd"),"(날짜없음)")&amp;"  "&amp;일일실시사항!$D98&amp;"  "&amp;일일실시사항!$H98)</f>
        <v/>
      </c>
      <c r="D1130" s="122">
        <f>IF(NOT(COUNTBLANK(일일실시사항!$B98:$K98)&lt;10),"",TRIM(IF(일일실시사항!$B98="","일자 누락; ","")&amp;IF(COUNTIF(코드설정!$C$5:$C$24,일일실시사항!$D98)=0,"담당자 누락; ","")&amp;IF(COUNTIF(코드설정!$G$5:$G$14,일일실시사항!$F98)=0,"업무구분 누락; ","")&amp;IF(AND(일일실시사항!$G98&lt;&gt;"",COUNTIF(사건마스터!$A$5:$A$64,일일실시사항!$G98)=0),"미등록 사건번호; ","")&amp;IF(일일실시사항!$H98="","실시 내용 없음; ","")&amp;IF(COUNTIF(코드설정!$F$5:$F$7,일일실시사항!$J98)=0,"진행상태 누락; ","")))</f>
        <v/>
      </c>
    </row>
    <row r="1131">
      <c r="A1131" s="26" t="inlineStr">
        <is>
          <t>일일실시사항</t>
        </is>
      </c>
      <c r="B1131" s="66" t="n">
        <v>99</v>
      </c>
      <c r="C1131" s="122">
        <f>IF($D1131="","",IFERROR(TEXT(일일실시사항!$B99,"yyyy-mm-dd"),"(날짜없음)")&amp;"  "&amp;일일실시사항!$D99&amp;"  "&amp;일일실시사항!$H99)</f>
        <v/>
      </c>
      <c r="D1131" s="122">
        <f>IF(NOT(COUNTBLANK(일일실시사항!$B99:$K99)&lt;10),"",TRIM(IF(일일실시사항!$B99="","일자 누락; ","")&amp;IF(COUNTIF(코드설정!$C$5:$C$24,일일실시사항!$D99)=0,"담당자 누락; ","")&amp;IF(COUNTIF(코드설정!$G$5:$G$14,일일실시사항!$F99)=0,"업무구분 누락; ","")&amp;IF(AND(일일실시사항!$G99&lt;&gt;"",COUNTIF(사건마스터!$A$5:$A$64,일일실시사항!$G99)=0),"미등록 사건번호; ","")&amp;IF(일일실시사항!$H99="","실시 내용 없음; ","")&amp;IF(COUNTIF(코드설정!$F$5:$F$7,일일실시사항!$J99)=0,"진행상태 누락; ","")))</f>
        <v/>
      </c>
    </row>
    <row r="1132">
      <c r="A1132" s="26" t="inlineStr">
        <is>
          <t>일일실시사항</t>
        </is>
      </c>
      <c r="B1132" s="66" t="n">
        <v>100</v>
      </c>
      <c r="C1132" s="122">
        <f>IF($D1132="","",IFERROR(TEXT(일일실시사항!$B100,"yyyy-mm-dd"),"(날짜없음)")&amp;"  "&amp;일일실시사항!$D100&amp;"  "&amp;일일실시사항!$H100)</f>
        <v/>
      </c>
      <c r="D1132" s="122">
        <f>IF(NOT(COUNTBLANK(일일실시사항!$B100:$K100)&lt;10),"",TRIM(IF(일일실시사항!$B100="","일자 누락; ","")&amp;IF(COUNTIF(코드설정!$C$5:$C$24,일일실시사항!$D100)=0,"담당자 누락; ","")&amp;IF(COUNTIF(코드설정!$G$5:$G$14,일일실시사항!$F100)=0,"업무구분 누락; ","")&amp;IF(AND(일일실시사항!$G100&lt;&gt;"",COUNTIF(사건마스터!$A$5:$A$64,일일실시사항!$G100)=0),"미등록 사건번호; ","")&amp;IF(일일실시사항!$H100="","실시 내용 없음; ","")&amp;IF(COUNTIF(코드설정!$F$5:$F$7,일일실시사항!$J100)=0,"진행상태 누락; ","")))</f>
        <v/>
      </c>
    </row>
    <row r="1133">
      <c r="A1133" s="26" t="inlineStr">
        <is>
          <t>일일실시사항</t>
        </is>
      </c>
      <c r="B1133" s="66" t="n">
        <v>101</v>
      </c>
      <c r="C1133" s="122">
        <f>IF($D1133="","",IFERROR(TEXT(일일실시사항!$B101,"yyyy-mm-dd"),"(날짜없음)")&amp;"  "&amp;일일실시사항!$D101&amp;"  "&amp;일일실시사항!$H101)</f>
        <v/>
      </c>
      <c r="D1133" s="122">
        <f>IF(NOT(COUNTBLANK(일일실시사항!$B101:$K101)&lt;10),"",TRIM(IF(일일실시사항!$B101="","일자 누락; ","")&amp;IF(COUNTIF(코드설정!$C$5:$C$24,일일실시사항!$D101)=0,"담당자 누락; ","")&amp;IF(COUNTIF(코드설정!$G$5:$G$14,일일실시사항!$F101)=0,"업무구분 누락; ","")&amp;IF(AND(일일실시사항!$G101&lt;&gt;"",COUNTIF(사건마스터!$A$5:$A$64,일일실시사항!$G101)=0),"미등록 사건번호; ","")&amp;IF(일일실시사항!$H101="","실시 내용 없음; ","")&amp;IF(COUNTIF(코드설정!$F$5:$F$7,일일실시사항!$J101)=0,"진행상태 누락; ","")))</f>
        <v/>
      </c>
    </row>
    <row r="1134">
      <c r="A1134" s="26" t="inlineStr">
        <is>
          <t>일일실시사항</t>
        </is>
      </c>
      <c r="B1134" s="66" t="n">
        <v>102</v>
      </c>
      <c r="C1134" s="122">
        <f>IF($D1134="","",IFERROR(TEXT(일일실시사항!$B102,"yyyy-mm-dd"),"(날짜없음)")&amp;"  "&amp;일일실시사항!$D102&amp;"  "&amp;일일실시사항!$H102)</f>
        <v/>
      </c>
      <c r="D1134" s="122">
        <f>IF(NOT(COUNTBLANK(일일실시사항!$B102:$K102)&lt;10),"",TRIM(IF(일일실시사항!$B102="","일자 누락; ","")&amp;IF(COUNTIF(코드설정!$C$5:$C$24,일일실시사항!$D102)=0,"담당자 누락; ","")&amp;IF(COUNTIF(코드설정!$G$5:$G$14,일일실시사항!$F102)=0,"업무구분 누락; ","")&amp;IF(AND(일일실시사항!$G102&lt;&gt;"",COUNTIF(사건마스터!$A$5:$A$64,일일실시사항!$G102)=0),"미등록 사건번호; ","")&amp;IF(일일실시사항!$H102="","실시 내용 없음; ","")&amp;IF(COUNTIF(코드설정!$F$5:$F$7,일일실시사항!$J102)=0,"진행상태 누락; ","")))</f>
        <v/>
      </c>
    </row>
    <row r="1135">
      <c r="A1135" s="26" t="inlineStr">
        <is>
          <t>일일실시사항</t>
        </is>
      </c>
      <c r="B1135" s="66" t="n">
        <v>103</v>
      </c>
      <c r="C1135" s="122">
        <f>IF($D1135="","",IFERROR(TEXT(일일실시사항!$B103,"yyyy-mm-dd"),"(날짜없음)")&amp;"  "&amp;일일실시사항!$D103&amp;"  "&amp;일일실시사항!$H103)</f>
        <v/>
      </c>
      <c r="D1135" s="122">
        <f>IF(NOT(COUNTBLANK(일일실시사항!$B103:$K103)&lt;10),"",TRIM(IF(일일실시사항!$B103="","일자 누락; ","")&amp;IF(COUNTIF(코드설정!$C$5:$C$24,일일실시사항!$D103)=0,"담당자 누락; ","")&amp;IF(COUNTIF(코드설정!$G$5:$G$14,일일실시사항!$F103)=0,"업무구분 누락; ","")&amp;IF(AND(일일실시사항!$G103&lt;&gt;"",COUNTIF(사건마스터!$A$5:$A$64,일일실시사항!$G103)=0),"미등록 사건번호; ","")&amp;IF(일일실시사항!$H103="","실시 내용 없음; ","")&amp;IF(COUNTIF(코드설정!$F$5:$F$7,일일실시사항!$J103)=0,"진행상태 누락; ","")))</f>
        <v/>
      </c>
    </row>
    <row r="1136">
      <c r="A1136" s="26" t="inlineStr">
        <is>
          <t>일일실시사항</t>
        </is>
      </c>
      <c r="B1136" s="66" t="n">
        <v>104</v>
      </c>
      <c r="C1136" s="122">
        <f>IF($D1136="","",IFERROR(TEXT(일일실시사항!$B104,"yyyy-mm-dd"),"(날짜없음)")&amp;"  "&amp;일일실시사항!$D104&amp;"  "&amp;일일실시사항!$H104)</f>
        <v/>
      </c>
      <c r="D1136" s="122">
        <f>IF(NOT(COUNTBLANK(일일실시사항!$B104:$K104)&lt;10),"",TRIM(IF(일일실시사항!$B104="","일자 누락; ","")&amp;IF(COUNTIF(코드설정!$C$5:$C$24,일일실시사항!$D104)=0,"담당자 누락; ","")&amp;IF(COUNTIF(코드설정!$G$5:$G$14,일일실시사항!$F104)=0,"업무구분 누락; ","")&amp;IF(AND(일일실시사항!$G104&lt;&gt;"",COUNTIF(사건마스터!$A$5:$A$64,일일실시사항!$G104)=0),"미등록 사건번호; ","")&amp;IF(일일실시사항!$H104="","실시 내용 없음; ","")&amp;IF(COUNTIF(코드설정!$F$5:$F$7,일일실시사항!$J104)=0,"진행상태 누락; ","")))</f>
        <v/>
      </c>
    </row>
    <row r="1137">
      <c r="A1137" s="26" t="inlineStr">
        <is>
          <t>일일실시사항</t>
        </is>
      </c>
      <c r="B1137" s="66" t="n">
        <v>105</v>
      </c>
      <c r="C1137" s="122">
        <f>IF($D1137="","",IFERROR(TEXT(일일실시사항!$B105,"yyyy-mm-dd"),"(날짜없음)")&amp;"  "&amp;일일실시사항!$D105&amp;"  "&amp;일일실시사항!$H105)</f>
        <v/>
      </c>
      <c r="D1137" s="122">
        <f>IF(NOT(COUNTBLANK(일일실시사항!$B105:$K105)&lt;10),"",TRIM(IF(일일실시사항!$B105="","일자 누락; ","")&amp;IF(COUNTIF(코드설정!$C$5:$C$24,일일실시사항!$D105)=0,"담당자 누락; ","")&amp;IF(COUNTIF(코드설정!$G$5:$G$14,일일실시사항!$F105)=0,"업무구분 누락; ","")&amp;IF(AND(일일실시사항!$G105&lt;&gt;"",COUNTIF(사건마스터!$A$5:$A$64,일일실시사항!$G105)=0),"미등록 사건번호; ","")&amp;IF(일일실시사항!$H105="","실시 내용 없음; ","")&amp;IF(COUNTIF(코드설정!$F$5:$F$7,일일실시사항!$J105)=0,"진행상태 누락; ","")))</f>
        <v/>
      </c>
    </row>
    <row r="1138">
      <c r="A1138" s="26" t="inlineStr">
        <is>
          <t>일일실시사항</t>
        </is>
      </c>
      <c r="B1138" s="66" t="n">
        <v>106</v>
      </c>
      <c r="C1138" s="122">
        <f>IF($D1138="","",IFERROR(TEXT(일일실시사항!$B106,"yyyy-mm-dd"),"(날짜없음)")&amp;"  "&amp;일일실시사항!$D106&amp;"  "&amp;일일실시사항!$H106)</f>
        <v/>
      </c>
      <c r="D1138" s="122">
        <f>IF(NOT(COUNTBLANK(일일실시사항!$B106:$K106)&lt;10),"",TRIM(IF(일일실시사항!$B106="","일자 누락; ","")&amp;IF(COUNTIF(코드설정!$C$5:$C$24,일일실시사항!$D106)=0,"담당자 누락; ","")&amp;IF(COUNTIF(코드설정!$G$5:$G$14,일일실시사항!$F106)=0,"업무구분 누락; ","")&amp;IF(AND(일일실시사항!$G106&lt;&gt;"",COUNTIF(사건마스터!$A$5:$A$64,일일실시사항!$G106)=0),"미등록 사건번호; ","")&amp;IF(일일실시사항!$H106="","실시 내용 없음; ","")&amp;IF(COUNTIF(코드설정!$F$5:$F$7,일일실시사항!$J106)=0,"진행상태 누락; ","")))</f>
        <v/>
      </c>
    </row>
    <row r="1139">
      <c r="A1139" s="26" t="inlineStr">
        <is>
          <t>일일실시사항</t>
        </is>
      </c>
      <c r="B1139" s="66" t="n">
        <v>107</v>
      </c>
      <c r="C1139" s="122">
        <f>IF($D1139="","",IFERROR(TEXT(일일실시사항!$B107,"yyyy-mm-dd"),"(날짜없음)")&amp;"  "&amp;일일실시사항!$D107&amp;"  "&amp;일일실시사항!$H107)</f>
        <v/>
      </c>
      <c r="D1139" s="122">
        <f>IF(NOT(COUNTBLANK(일일실시사항!$B107:$K107)&lt;10),"",TRIM(IF(일일실시사항!$B107="","일자 누락; ","")&amp;IF(COUNTIF(코드설정!$C$5:$C$24,일일실시사항!$D107)=0,"담당자 누락; ","")&amp;IF(COUNTIF(코드설정!$G$5:$G$14,일일실시사항!$F107)=0,"업무구분 누락; ","")&amp;IF(AND(일일실시사항!$G107&lt;&gt;"",COUNTIF(사건마스터!$A$5:$A$64,일일실시사항!$G107)=0),"미등록 사건번호; ","")&amp;IF(일일실시사항!$H107="","실시 내용 없음; ","")&amp;IF(COUNTIF(코드설정!$F$5:$F$7,일일실시사항!$J107)=0,"진행상태 누락; ","")))</f>
        <v/>
      </c>
    </row>
    <row r="1140">
      <c r="A1140" s="26" t="inlineStr">
        <is>
          <t>일일실시사항</t>
        </is>
      </c>
      <c r="B1140" s="66" t="n">
        <v>108</v>
      </c>
      <c r="C1140" s="122">
        <f>IF($D1140="","",IFERROR(TEXT(일일실시사항!$B108,"yyyy-mm-dd"),"(날짜없음)")&amp;"  "&amp;일일실시사항!$D108&amp;"  "&amp;일일실시사항!$H108)</f>
        <v/>
      </c>
      <c r="D1140" s="122">
        <f>IF(NOT(COUNTBLANK(일일실시사항!$B108:$K108)&lt;10),"",TRIM(IF(일일실시사항!$B108="","일자 누락; ","")&amp;IF(COUNTIF(코드설정!$C$5:$C$24,일일실시사항!$D108)=0,"담당자 누락; ","")&amp;IF(COUNTIF(코드설정!$G$5:$G$14,일일실시사항!$F108)=0,"업무구분 누락; ","")&amp;IF(AND(일일실시사항!$G108&lt;&gt;"",COUNTIF(사건마스터!$A$5:$A$64,일일실시사항!$G108)=0),"미등록 사건번호; ","")&amp;IF(일일실시사항!$H108="","실시 내용 없음; ","")&amp;IF(COUNTIF(코드설정!$F$5:$F$7,일일실시사항!$J108)=0,"진행상태 누락; ","")))</f>
        <v/>
      </c>
    </row>
    <row r="1141">
      <c r="A1141" s="26" t="inlineStr">
        <is>
          <t>일일실시사항</t>
        </is>
      </c>
      <c r="B1141" s="66" t="n">
        <v>109</v>
      </c>
      <c r="C1141" s="122">
        <f>IF($D1141="","",IFERROR(TEXT(일일실시사항!$B109,"yyyy-mm-dd"),"(날짜없음)")&amp;"  "&amp;일일실시사항!$D109&amp;"  "&amp;일일실시사항!$H109)</f>
        <v/>
      </c>
      <c r="D1141" s="122">
        <f>IF(NOT(COUNTBLANK(일일실시사항!$B109:$K109)&lt;10),"",TRIM(IF(일일실시사항!$B109="","일자 누락; ","")&amp;IF(COUNTIF(코드설정!$C$5:$C$24,일일실시사항!$D109)=0,"담당자 누락; ","")&amp;IF(COUNTIF(코드설정!$G$5:$G$14,일일실시사항!$F109)=0,"업무구분 누락; ","")&amp;IF(AND(일일실시사항!$G109&lt;&gt;"",COUNTIF(사건마스터!$A$5:$A$64,일일실시사항!$G109)=0),"미등록 사건번호; ","")&amp;IF(일일실시사항!$H109="","실시 내용 없음; ","")&amp;IF(COUNTIF(코드설정!$F$5:$F$7,일일실시사항!$J109)=0,"진행상태 누락; ","")))</f>
        <v/>
      </c>
    </row>
    <row r="1142">
      <c r="A1142" s="26" t="inlineStr">
        <is>
          <t>일일실시사항</t>
        </is>
      </c>
      <c r="B1142" s="66" t="n">
        <v>110</v>
      </c>
      <c r="C1142" s="122">
        <f>IF($D1142="","",IFERROR(TEXT(일일실시사항!$B110,"yyyy-mm-dd"),"(날짜없음)")&amp;"  "&amp;일일실시사항!$D110&amp;"  "&amp;일일실시사항!$H110)</f>
        <v/>
      </c>
      <c r="D1142" s="122">
        <f>IF(NOT(COUNTBLANK(일일실시사항!$B110:$K110)&lt;10),"",TRIM(IF(일일실시사항!$B110="","일자 누락; ","")&amp;IF(COUNTIF(코드설정!$C$5:$C$24,일일실시사항!$D110)=0,"담당자 누락; ","")&amp;IF(COUNTIF(코드설정!$G$5:$G$14,일일실시사항!$F110)=0,"업무구분 누락; ","")&amp;IF(AND(일일실시사항!$G110&lt;&gt;"",COUNTIF(사건마스터!$A$5:$A$64,일일실시사항!$G110)=0),"미등록 사건번호; ","")&amp;IF(일일실시사항!$H110="","실시 내용 없음; ","")&amp;IF(COUNTIF(코드설정!$F$5:$F$7,일일실시사항!$J110)=0,"진행상태 누락; ","")))</f>
        <v/>
      </c>
    </row>
    <row r="1143">
      <c r="A1143" s="26" t="inlineStr">
        <is>
          <t>일일실시사항</t>
        </is>
      </c>
      <c r="B1143" s="66" t="n">
        <v>111</v>
      </c>
      <c r="C1143" s="122">
        <f>IF($D1143="","",IFERROR(TEXT(일일실시사항!$B111,"yyyy-mm-dd"),"(날짜없음)")&amp;"  "&amp;일일실시사항!$D111&amp;"  "&amp;일일실시사항!$H111)</f>
        <v/>
      </c>
      <c r="D1143" s="122">
        <f>IF(NOT(COUNTBLANK(일일실시사항!$B111:$K111)&lt;10),"",TRIM(IF(일일실시사항!$B111="","일자 누락; ","")&amp;IF(COUNTIF(코드설정!$C$5:$C$24,일일실시사항!$D111)=0,"담당자 누락; ","")&amp;IF(COUNTIF(코드설정!$G$5:$G$14,일일실시사항!$F111)=0,"업무구분 누락; ","")&amp;IF(AND(일일실시사항!$G111&lt;&gt;"",COUNTIF(사건마스터!$A$5:$A$64,일일실시사항!$G111)=0),"미등록 사건번호; ","")&amp;IF(일일실시사항!$H111="","실시 내용 없음; ","")&amp;IF(COUNTIF(코드설정!$F$5:$F$7,일일실시사항!$J111)=0,"진행상태 누락; ","")))</f>
        <v/>
      </c>
    </row>
    <row r="1144">
      <c r="A1144" s="26" t="inlineStr">
        <is>
          <t>일일실시사항</t>
        </is>
      </c>
      <c r="B1144" s="66" t="n">
        <v>112</v>
      </c>
      <c r="C1144" s="122">
        <f>IF($D1144="","",IFERROR(TEXT(일일실시사항!$B112,"yyyy-mm-dd"),"(날짜없음)")&amp;"  "&amp;일일실시사항!$D112&amp;"  "&amp;일일실시사항!$H112)</f>
        <v/>
      </c>
      <c r="D1144" s="122">
        <f>IF(NOT(COUNTBLANK(일일실시사항!$B112:$K112)&lt;10),"",TRIM(IF(일일실시사항!$B112="","일자 누락; ","")&amp;IF(COUNTIF(코드설정!$C$5:$C$24,일일실시사항!$D112)=0,"담당자 누락; ","")&amp;IF(COUNTIF(코드설정!$G$5:$G$14,일일실시사항!$F112)=0,"업무구분 누락; ","")&amp;IF(AND(일일실시사항!$G112&lt;&gt;"",COUNTIF(사건마스터!$A$5:$A$64,일일실시사항!$G112)=0),"미등록 사건번호; ","")&amp;IF(일일실시사항!$H112="","실시 내용 없음; ","")&amp;IF(COUNTIF(코드설정!$F$5:$F$7,일일실시사항!$J112)=0,"진행상태 누락; ","")))</f>
        <v/>
      </c>
    </row>
    <row r="1145">
      <c r="A1145" s="26" t="inlineStr">
        <is>
          <t>일일실시사항</t>
        </is>
      </c>
      <c r="B1145" s="66" t="n">
        <v>113</v>
      </c>
      <c r="C1145" s="122">
        <f>IF($D1145="","",IFERROR(TEXT(일일실시사항!$B113,"yyyy-mm-dd"),"(날짜없음)")&amp;"  "&amp;일일실시사항!$D113&amp;"  "&amp;일일실시사항!$H113)</f>
        <v/>
      </c>
      <c r="D1145" s="122">
        <f>IF(NOT(COUNTBLANK(일일실시사항!$B113:$K113)&lt;10),"",TRIM(IF(일일실시사항!$B113="","일자 누락; ","")&amp;IF(COUNTIF(코드설정!$C$5:$C$24,일일실시사항!$D113)=0,"담당자 누락; ","")&amp;IF(COUNTIF(코드설정!$G$5:$G$14,일일실시사항!$F113)=0,"업무구분 누락; ","")&amp;IF(AND(일일실시사항!$G113&lt;&gt;"",COUNTIF(사건마스터!$A$5:$A$64,일일실시사항!$G113)=0),"미등록 사건번호; ","")&amp;IF(일일실시사항!$H113="","실시 내용 없음; ","")&amp;IF(COUNTIF(코드설정!$F$5:$F$7,일일실시사항!$J113)=0,"진행상태 누락; ","")))</f>
        <v/>
      </c>
    </row>
    <row r="1146">
      <c r="A1146" s="26" t="inlineStr">
        <is>
          <t>일일실시사항</t>
        </is>
      </c>
      <c r="B1146" s="66" t="n">
        <v>114</v>
      </c>
      <c r="C1146" s="122">
        <f>IF($D1146="","",IFERROR(TEXT(일일실시사항!$B114,"yyyy-mm-dd"),"(날짜없음)")&amp;"  "&amp;일일실시사항!$D114&amp;"  "&amp;일일실시사항!$H114)</f>
        <v/>
      </c>
      <c r="D1146" s="122">
        <f>IF(NOT(COUNTBLANK(일일실시사항!$B114:$K114)&lt;10),"",TRIM(IF(일일실시사항!$B114="","일자 누락; ","")&amp;IF(COUNTIF(코드설정!$C$5:$C$24,일일실시사항!$D114)=0,"담당자 누락; ","")&amp;IF(COUNTIF(코드설정!$G$5:$G$14,일일실시사항!$F114)=0,"업무구분 누락; ","")&amp;IF(AND(일일실시사항!$G114&lt;&gt;"",COUNTIF(사건마스터!$A$5:$A$64,일일실시사항!$G114)=0),"미등록 사건번호; ","")&amp;IF(일일실시사항!$H114="","실시 내용 없음; ","")&amp;IF(COUNTIF(코드설정!$F$5:$F$7,일일실시사항!$J114)=0,"진행상태 누락; ","")))</f>
        <v/>
      </c>
    </row>
    <row r="1147">
      <c r="A1147" s="26" t="inlineStr">
        <is>
          <t>일일실시사항</t>
        </is>
      </c>
      <c r="B1147" s="66" t="n">
        <v>115</v>
      </c>
      <c r="C1147" s="122">
        <f>IF($D1147="","",IFERROR(TEXT(일일실시사항!$B115,"yyyy-mm-dd"),"(날짜없음)")&amp;"  "&amp;일일실시사항!$D115&amp;"  "&amp;일일실시사항!$H115)</f>
        <v/>
      </c>
      <c r="D1147" s="122">
        <f>IF(NOT(COUNTBLANK(일일실시사항!$B115:$K115)&lt;10),"",TRIM(IF(일일실시사항!$B115="","일자 누락; ","")&amp;IF(COUNTIF(코드설정!$C$5:$C$24,일일실시사항!$D115)=0,"담당자 누락; ","")&amp;IF(COUNTIF(코드설정!$G$5:$G$14,일일실시사항!$F115)=0,"업무구분 누락; ","")&amp;IF(AND(일일실시사항!$G115&lt;&gt;"",COUNTIF(사건마스터!$A$5:$A$64,일일실시사항!$G115)=0),"미등록 사건번호; ","")&amp;IF(일일실시사항!$H115="","실시 내용 없음; ","")&amp;IF(COUNTIF(코드설정!$F$5:$F$7,일일실시사항!$J115)=0,"진행상태 누락; ","")))</f>
        <v/>
      </c>
    </row>
    <row r="1148">
      <c r="A1148" s="26" t="inlineStr">
        <is>
          <t>일일실시사항</t>
        </is>
      </c>
      <c r="B1148" s="66" t="n">
        <v>116</v>
      </c>
      <c r="C1148" s="122">
        <f>IF($D1148="","",IFERROR(TEXT(일일실시사항!$B116,"yyyy-mm-dd"),"(날짜없음)")&amp;"  "&amp;일일실시사항!$D116&amp;"  "&amp;일일실시사항!$H116)</f>
        <v/>
      </c>
      <c r="D1148" s="122">
        <f>IF(NOT(COUNTBLANK(일일실시사항!$B116:$K116)&lt;10),"",TRIM(IF(일일실시사항!$B116="","일자 누락; ","")&amp;IF(COUNTIF(코드설정!$C$5:$C$24,일일실시사항!$D116)=0,"담당자 누락; ","")&amp;IF(COUNTIF(코드설정!$G$5:$G$14,일일실시사항!$F116)=0,"업무구분 누락; ","")&amp;IF(AND(일일실시사항!$G116&lt;&gt;"",COUNTIF(사건마스터!$A$5:$A$64,일일실시사항!$G116)=0),"미등록 사건번호; ","")&amp;IF(일일실시사항!$H116="","실시 내용 없음; ","")&amp;IF(COUNTIF(코드설정!$F$5:$F$7,일일실시사항!$J116)=0,"진행상태 누락; ","")))</f>
        <v/>
      </c>
    </row>
    <row r="1149">
      <c r="A1149" s="26" t="inlineStr">
        <is>
          <t>일일실시사항</t>
        </is>
      </c>
      <c r="B1149" s="66" t="n">
        <v>117</v>
      </c>
      <c r="C1149" s="122">
        <f>IF($D1149="","",IFERROR(TEXT(일일실시사항!$B117,"yyyy-mm-dd"),"(날짜없음)")&amp;"  "&amp;일일실시사항!$D117&amp;"  "&amp;일일실시사항!$H117)</f>
        <v/>
      </c>
      <c r="D1149" s="122">
        <f>IF(NOT(COUNTBLANK(일일실시사항!$B117:$K117)&lt;10),"",TRIM(IF(일일실시사항!$B117="","일자 누락; ","")&amp;IF(COUNTIF(코드설정!$C$5:$C$24,일일실시사항!$D117)=0,"담당자 누락; ","")&amp;IF(COUNTIF(코드설정!$G$5:$G$14,일일실시사항!$F117)=0,"업무구분 누락; ","")&amp;IF(AND(일일실시사항!$G117&lt;&gt;"",COUNTIF(사건마스터!$A$5:$A$64,일일실시사항!$G117)=0),"미등록 사건번호; ","")&amp;IF(일일실시사항!$H117="","실시 내용 없음; ","")&amp;IF(COUNTIF(코드설정!$F$5:$F$7,일일실시사항!$J117)=0,"진행상태 누락; ","")))</f>
        <v/>
      </c>
    </row>
    <row r="1150">
      <c r="A1150" s="26" t="inlineStr">
        <is>
          <t>일일실시사항</t>
        </is>
      </c>
      <c r="B1150" s="66" t="n">
        <v>118</v>
      </c>
      <c r="C1150" s="122">
        <f>IF($D1150="","",IFERROR(TEXT(일일실시사항!$B118,"yyyy-mm-dd"),"(날짜없음)")&amp;"  "&amp;일일실시사항!$D118&amp;"  "&amp;일일실시사항!$H118)</f>
        <v/>
      </c>
      <c r="D1150" s="122">
        <f>IF(NOT(COUNTBLANK(일일실시사항!$B118:$K118)&lt;10),"",TRIM(IF(일일실시사항!$B118="","일자 누락; ","")&amp;IF(COUNTIF(코드설정!$C$5:$C$24,일일실시사항!$D118)=0,"담당자 누락; ","")&amp;IF(COUNTIF(코드설정!$G$5:$G$14,일일실시사항!$F118)=0,"업무구분 누락; ","")&amp;IF(AND(일일실시사항!$G118&lt;&gt;"",COUNTIF(사건마스터!$A$5:$A$64,일일실시사항!$G118)=0),"미등록 사건번호; ","")&amp;IF(일일실시사항!$H118="","실시 내용 없음; ","")&amp;IF(COUNTIF(코드설정!$F$5:$F$7,일일실시사항!$J118)=0,"진행상태 누락; ","")))</f>
        <v/>
      </c>
    </row>
    <row r="1151">
      <c r="A1151" s="26" t="inlineStr">
        <is>
          <t>일일실시사항</t>
        </is>
      </c>
      <c r="B1151" s="66" t="n">
        <v>119</v>
      </c>
      <c r="C1151" s="122">
        <f>IF($D1151="","",IFERROR(TEXT(일일실시사항!$B119,"yyyy-mm-dd"),"(날짜없음)")&amp;"  "&amp;일일실시사항!$D119&amp;"  "&amp;일일실시사항!$H119)</f>
        <v/>
      </c>
      <c r="D1151" s="122">
        <f>IF(NOT(COUNTBLANK(일일실시사항!$B119:$K119)&lt;10),"",TRIM(IF(일일실시사항!$B119="","일자 누락; ","")&amp;IF(COUNTIF(코드설정!$C$5:$C$24,일일실시사항!$D119)=0,"담당자 누락; ","")&amp;IF(COUNTIF(코드설정!$G$5:$G$14,일일실시사항!$F119)=0,"업무구분 누락; ","")&amp;IF(AND(일일실시사항!$G119&lt;&gt;"",COUNTIF(사건마스터!$A$5:$A$64,일일실시사항!$G119)=0),"미등록 사건번호; ","")&amp;IF(일일실시사항!$H119="","실시 내용 없음; ","")&amp;IF(COUNTIF(코드설정!$F$5:$F$7,일일실시사항!$J119)=0,"진행상태 누락; ","")))</f>
        <v/>
      </c>
    </row>
    <row r="1152">
      <c r="A1152" s="26" t="inlineStr">
        <is>
          <t>일일실시사항</t>
        </is>
      </c>
      <c r="B1152" s="66" t="n">
        <v>120</v>
      </c>
      <c r="C1152" s="122">
        <f>IF($D1152="","",IFERROR(TEXT(일일실시사항!$B120,"yyyy-mm-dd"),"(날짜없음)")&amp;"  "&amp;일일실시사항!$D120&amp;"  "&amp;일일실시사항!$H120)</f>
        <v/>
      </c>
      <c r="D1152" s="122">
        <f>IF(NOT(COUNTBLANK(일일실시사항!$B120:$K120)&lt;10),"",TRIM(IF(일일실시사항!$B120="","일자 누락; ","")&amp;IF(COUNTIF(코드설정!$C$5:$C$24,일일실시사항!$D120)=0,"담당자 누락; ","")&amp;IF(COUNTIF(코드설정!$G$5:$G$14,일일실시사항!$F120)=0,"업무구분 누락; ","")&amp;IF(AND(일일실시사항!$G120&lt;&gt;"",COUNTIF(사건마스터!$A$5:$A$64,일일실시사항!$G120)=0),"미등록 사건번호; ","")&amp;IF(일일실시사항!$H120="","실시 내용 없음; ","")&amp;IF(COUNTIF(코드설정!$F$5:$F$7,일일실시사항!$J120)=0,"진행상태 누락; ","")))</f>
        <v/>
      </c>
    </row>
    <row r="1153">
      <c r="A1153" s="26" t="inlineStr">
        <is>
          <t>일일실시사항</t>
        </is>
      </c>
      <c r="B1153" s="66" t="n">
        <v>121</v>
      </c>
      <c r="C1153" s="122">
        <f>IF($D1153="","",IFERROR(TEXT(일일실시사항!$B121,"yyyy-mm-dd"),"(날짜없음)")&amp;"  "&amp;일일실시사항!$D121&amp;"  "&amp;일일실시사항!$H121)</f>
        <v/>
      </c>
      <c r="D1153" s="122">
        <f>IF(NOT(COUNTBLANK(일일실시사항!$B121:$K121)&lt;10),"",TRIM(IF(일일실시사항!$B121="","일자 누락; ","")&amp;IF(COUNTIF(코드설정!$C$5:$C$24,일일실시사항!$D121)=0,"담당자 누락; ","")&amp;IF(COUNTIF(코드설정!$G$5:$G$14,일일실시사항!$F121)=0,"업무구분 누락; ","")&amp;IF(AND(일일실시사항!$G121&lt;&gt;"",COUNTIF(사건마스터!$A$5:$A$64,일일실시사항!$G121)=0),"미등록 사건번호; ","")&amp;IF(일일실시사항!$H121="","실시 내용 없음; ","")&amp;IF(COUNTIF(코드설정!$F$5:$F$7,일일실시사항!$J121)=0,"진행상태 누락; ","")))</f>
        <v/>
      </c>
    </row>
    <row r="1154">
      <c r="A1154" s="26" t="inlineStr">
        <is>
          <t>일일실시사항</t>
        </is>
      </c>
      <c r="B1154" s="66" t="n">
        <v>122</v>
      </c>
      <c r="C1154" s="122">
        <f>IF($D1154="","",IFERROR(TEXT(일일실시사항!$B122,"yyyy-mm-dd"),"(날짜없음)")&amp;"  "&amp;일일실시사항!$D122&amp;"  "&amp;일일실시사항!$H122)</f>
        <v/>
      </c>
      <c r="D1154" s="122">
        <f>IF(NOT(COUNTBLANK(일일실시사항!$B122:$K122)&lt;10),"",TRIM(IF(일일실시사항!$B122="","일자 누락; ","")&amp;IF(COUNTIF(코드설정!$C$5:$C$24,일일실시사항!$D122)=0,"담당자 누락; ","")&amp;IF(COUNTIF(코드설정!$G$5:$G$14,일일실시사항!$F122)=0,"업무구분 누락; ","")&amp;IF(AND(일일실시사항!$G122&lt;&gt;"",COUNTIF(사건마스터!$A$5:$A$64,일일실시사항!$G122)=0),"미등록 사건번호; ","")&amp;IF(일일실시사항!$H122="","실시 내용 없음; ","")&amp;IF(COUNTIF(코드설정!$F$5:$F$7,일일실시사항!$J122)=0,"진행상태 누락; ","")))</f>
        <v/>
      </c>
    </row>
    <row r="1155">
      <c r="A1155" s="26" t="inlineStr">
        <is>
          <t>일일실시사항</t>
        </is>
      </c>
      <c r="B1155" s="66" t="n">
        <v>123</v>
      </c>
      <c r="C1155" s="122">
        <f>IF($D1155="","",IFERROR(TEXT(일일실시사항!$B123,"yyyy-mm-dd"),"(날짜없음)")&amp;"  "&amp;일일실시사항!$D123&amp;"  "&amp;일일실시사항!$H123)</f>
        <v/>
      </c>
      <c r="D1155" s="122">
        <f>IF(NOT(COUNTBLANK(일일실시사항!$B123:$K123)&lt;10),"",TRIM(IF(일일실시사항!$B123="","일자 누락; ","")&amp;IF(COUNTIF(코드설정!$C$5:$C$24,일일실시사항!$D123)=0,"담당자 누락; ","")&amp;IF(COUNTIF(코드설정!$G$5:$G$14,일일실시사항!$F123)=0,"업무구분 누락; ","")&amp;IF(AND(일일실시사항!$G123&lt;&gt;"",COUNTIF(사건마스터!$A$5:$A$64,일일실시사항!$G123)=0),"미등록 사건번호; ","")&amp;IF(일일실시사항!$H123="","실시 내용 없음; ","")&amp;IF(COUNTIF(코드설정!$F$5:$F$7,일일실시사항!$J123)=0,"진행상태 누락; ","")))</f>
        <v/>
      </c>
    </row>
    <row r="1156">
      <c r="A1156" s="26" t="inlineStr">
        <is>
          <t>일일실시사항</t>
        </is>
      </c>
      <c r="B1156" s="66" t="n">
        <v>124</v>
      </c>
      <c r="C1156" s="122">
        <f>IF($D1156="","",IFERROR(TEXT(일일실시사항!$B124,"yyyy-mm-dd"),"(날짜없음)")&amp;"  "&amp;일일실시사항!$D124&amp;"  "&amp;일일실시사항!$H124)</f>
        <v/>
      </c>
      <c r="D1156" s="122">
        <f>IF(NOT(COUNTBLANK(일일실시사항!$B124:$K124)&lt;10),"",TRIM(IF(일일실시사항!$B124="","일자 누락; ","")&amp;IF(COUNTIF(코드설정!$C$5:$C$24,일일실시사항!$D124)=0,"담당자 누락; ","")&amp;IF(COUNTIF(코드설정!$G$5:$G$14,일일실시사항!$F124)=0,"업무구분 누락; ","")&amp;IF(AND(일일실시사항!$G124&lt;&gt;"",COUNTIF(사건마스터!$A$5:$A$64,일일실시사항!$G124)=0),"미등록 사건번호; ","")&amp;IF(일일실시사항!$H124="","실시 내용 없음; ","")&amp;IF(COUNTIF(코드설정!$F$5:$F$7,일일실시사항!$J124)=0,"진행상태 누락; ","")))</f>
        <v/>
      </c>
    </row>
    <row r="1157">
      <c r="A1157" s="26" t="inlineStr">
        <is>
          <t>일일실시사항</t>
        </is>
      </c>
      <c r="B1157" s="66" t="n">
        <v>125</v>
      </c>
      <c r="C1157" s="122">
        <f>IF($D1157="","",IFERROR(TEXT(일일실시사항!$B125,"yyyy-mm-dd"),"(날짜없음)")&amp;"  "&amp;일일실시사항!$D125&amp;"  "&amp;일일실시사항!$H125)</f>
        <v/>
      </c>
      <c r="D1157" s="122">
        <f>IF(NOT(COUNTBLANK(일일실시사항!$B125:$K125)&lt;10),"",TRIM(IF(일일실시사항!$B125="","일자 누락; ","")&amp;IF(COUNTIF(코드설정!$C$5:$C$24,일일실시사항!$D125)=0,"담당자 누락; ","")&amp;IF(COUNTIF(코드설정!$G$5:$G$14,일일실시사항!$F125)=0,"업무구분 누락; ","")&amp;IF(AND(일일실시사항!$G125&lt;&gt;"",COUNTIF(사건마스터!$A$5:$A$64,일일실시사항!$G125)=0),"미등록 사건번호; ","")&amp;IF(일일실시사항!$H125="","실시 내용 없음; ","")&amp;IF(COUNTIF(코드설정!$F$5:$F$7,일일실시사항!$J125)=0,"진행상태 누락; ","")))</f>
        <v/>
      </c>
    </row>
    <row r="1158">
      <c r="A1158" s="26" t="inlineStr">
        <is>
          <t>일일실시사항</t>
        </is>
      </c>
      <c r="B1158" s="66" t="n">
        <v>126</v>
      </c>
      <c r="C1158" s="122">
        <f>IF($D1158="","",IFERROR(TEXT(일일실시사항!$B126,"yyyy-mm-dd"),"(날짜없음)")&amp;"  "&amp;일일실시사항!$D126&amp;"  "&amp;일일실시사항!$H126)</f>
        <v/>
      </c>
      <c r="D1158" s="122">
        <f>IF(NOT(COUNTBLANK(일일실시사항!$B126:$K126)&lt;10),"",TRIM(IF(일일실시사항!$B126="","일자 누락; ","")&amp;IF(COUNTIF(코드설정!$C$5:$C$24,일일실시사항!$D126)=0,"담당자 누락; ","")&amp;IF(COUNTIF(코드설정!$G$5:$G$14,일일실시사항!$F126)=0,"업무구분 누락; ","")&amp;IF(AND(일일실시사항!$G126&lt;&gt;"",COUNTIF(사건마스터!$A$5:$A$64,일일실시사항!$G126)=0),"미등록 사건번호; ","")&amp;IF(일일실시사항!$H126="","실시 내용 없음; ","")&amp;IF(COUNTIF(코드설정!$F$5:$F$7,일일실시사항!$J126)=0,"진행상태 누락; ","")))</f>
        <v/>
      </c>
    </row>
    <row r="1159">
      <c r="A1159" s="26" t="inlineStr">
        <is>
          <t>일일실시사항</t>
        </is>
      </c>
      <c r="B1159" s="66" t="n">
        <v>127</v>
      </c>
      <c r="C1159" s="122">
        <f>IF($D1159="","",IFERROR(TEXT(일일실시사항!$B127,"yyyy-mm-dd"),"(날짜없음)")&amp;"  "&amp;일일실시사항!$D127&amp;"  "&amp;일일실시사항!$H127)</f>
        <v/>
      </c>
      <c r="D1159" s="122">
        <f>IF(NOT(COUNTBLANK(일일실시사항!$B127:$K127)&lt;10),"",TRIM(IF(일일실시사항!$B127="","일자 누락; ","")&amp;IF(COUNTIF(코드설정!$C$5:$C$24,일일실시사항!$D127)=0,"담당자 누락; ","")&amp;IF(COUNTIF(코드설정!$G$5:$G$14,일일실시사항!$F127)=0,"업무구분 누락; ","")&amp;IF(AND(일일실시사항!$G127&lt;&gt;"",COUNTIF(사건마스터!$A$5:$A$64,일일실시사항!$G127)=0),"미등록 사건번호; ","")&amp;IF(일일실시사항!$H127="","실시 내용 없음; ","")&amp;IF(COUNTIF(코드설정!$F$5:$F$7,일일실시사항!$J127)=0,"진행상태 누락; ","")))</f>
        <v/>
      </c>
    </row>
    <row r="1160">
      <c r="A1160" s="26" t="inlineStr">
        <is>
          <t>일일실시사항</t>
        </is>
      </c>
      <c r="B1160" s="66" t="n">
        <v>128</v>
      </c>
      <c r="C1160" s="122">
        <f>IF($D1160="","",IFERROR(TEXT(일일실시사항!$B128,"yyyy-mm-dd"),"(날짜없음)")&amp;"  "&amp;일일실시사항!$D128&amp;"  "&amp;일일실시사항!$H128)</f>
        <v/>
      </c>
      <c r="D1160" s="122">
        <f>IF(NOT(COUNTBLANK(일일실시사항!$B128:$K128)&lt;10),"",TRIM(IF(일일실시사항!$B128="","일자 누락; ","")&amp;IF(COUNTIF(코드설정!$C$5:$C$24,일일실시사항!$D128)=0,"담당자 누락; ","")&amp;IF(COUNTIF(코드설정!$G$5:$G$14,일일실시사항!$F128)=0,"업무구분 누락; ","")&amp;IF(AND(일일실시사항!$G128&lt;&gt;"",COUNTIF(사건마스터!$A$5:$A$64,일일실시사항!$G128)=0),"미등록 사건번호; ","")&amp;IF(일일실시사항!$H128="","실시 내용 없음; ","")&amp;IF(COUNTIF(코드설정!$F$5:$F$7,일일실시사항!$J128)=0,"진행상태 누락; ","")))</f>
        <v/>
      </c>
    </row>
    <row r="1161">
      <c r="A1161" s="26" t="inlineStr">
        <is>
          <t>일일실시사항</t>
        </is>
      </c>
      <c r="B1161" s="66" t="n">
        <v>129</v>
      </c>
      <c r="C1161" s="122">
        <f>IF($D1161="","",IFERROR(TEXT(일일실시사항!$B129,"yyyy-mm-dd"),"(날짜없음)")&amp;"  "&amp;일일실시사항!$D129&amp;"  "&amp;일일실시사항!$H129)</f>
        <v/>
      </c>
      <c r="D1161" s="122">
        <f>IF(NOT(COUNTBLANK(일일실시사항!$B129:$K129)&lt;10),"",TRIM(IF(일일실시사항!$B129="","일자 누락; ","")&amp;IF(COUNTIF(코드설정!$C$5:$C$24,일일실시사항!$D129)=0,"담당자 누락; ","")&amp;IF(COUNTIF(코드설정!$G$5:$G$14,일일실시사항!$F129)=0,"업무구분 누락; ","")&amp;IF(AND(일일실시사항!$G129&lt;&gt;"",COUNTIF(사건마스터!$A$5:$A$64,일일실시사항!$G129)=0),"미등록 사건번호; ","")&amp;IF(일일실시사항!$H129="","실시 내용 없음; ","")&amp;IF(COUNTIF(코드설정!$F$5:$F$7,일일실시사항!$J129)=0,"진행상태 누락; ","")))</f>
        <v/>
      </c>
    </row>
    <row r="1162">
      <c r="A1162" s="26" t="inlineStr">
        <is>
          <t>일일실시사항</t>
        </is>
      </c>
      <c r="B1162" s="66" t="n">
        <v>130</v>
      </c>
      <c r="C1162" s="122">
        <f>IF($D1162="","",IFERROR(TEXT(일일실시사항!$B130,"yyyy-mm-dd"),"(날짜없음)")&amp;"  "&amp;일일실시사항!$D130&amp;"  "&amp;일일실시사항!$H130)</f>
        <v/>
      </c>
      <c r="D1162" s="122">
        <f>IF(NOT(COUNTBLANK(일일실시사항!$B130:$K130)&lt;10),"",TRIM(IF(일일실시사항!$B130="","일자 누락; ","")&amp;IF(COUNTIF(코드설정!$C$5:$C$24,일일실시사항!$D130)=0,"담당자 누락; ","")&amp;IF(COUNTIF(코드설정!$G$5:$G$14,일일실시사항!$F130)=0,"업무구분 누락; ","")&amp;IF(AND(일일실시사항!$G130&lt;&gt;"",COUNTIF(사건마스터!$A$5:$A$64,일일실시사항!$G130)=0),"미등록 사건번호; ","")&amp;IF(일일실시사항!$H130="","실시 내용 없음; ","")&amp;IF(COUNTIF(코드설정!$F$5:$F$7,일일실시사항!$J130)=0,"진행상태 누락; ","")))</f>
        <v/>
      </c>
    </row>
    <row r="1163">
      <c r="A1163" s="26" t="inlineStr">
        <is>
          <t>일일실시사항</t>
        </is>
      </c>
      <c r="B1163" s="66" t="n">
        <v>131</v>
      </c>
      <c r="C1163" s="122">
        <f>IF($D1163="","",IFERROR(TEXT(일일실시사항!$B131,"yyyy-mm-dd"),"(날짜없음)")&amp;"  "&amp;일일실시사항!$D131&amp;"  "&amp;일일실시사항!$H131)</f>
        <v/>
      </c>
      <c r="D1163" s="122">
        <f>IF(NOT(COUNTBLANK(일일실시사항!$B131:$K131)&lt;10),"",TRIM(IF(일일실시사항!$B131="","일자 누락; ","")&amp;IF(COUNTIF(코드설정!$C$5:$C$24,일일실시사항!$D131)=0,"담당자 누락; ","")&amp;IF(COUNTIF(코드설정!$G$5:$G$14,일일실시사항!$F131)=0,"업무구분 누락; ","")&amp;IF(AND(일일실시사항!$G131&lt;&gt;"",COUNTIF(사건마스터!$A$5:$A$64,일일실시사항!$G131)=0),"미등록 사건번호; ","")&amp;IF(일일실시사항!$H131="","실시 내용 없음; ","")&amp;IF(COUNTIF(코드설정!$F$5:$F$7,일일실시사항!$J131)=0,"진행상태 누락; ","")))</f>
        <v/>
      </c>
    </row>
    <row r="1164">
      <c r="A1164" s="26" t="inlineStr">
        <is>
          <t>일일실시사항</t>
        </is>
      </c>
      <c r="B1164" s="66" t="n">
        <v>132</v>
      </c>
      <c r="C1164" s="122">
        <f>IF($D1164="","",IFERROR(TEXT(일일실시사항!$B132,"yyyy-mm-dd"),"(날짜없음)")&amp;"  "&amp;일일실시사항!$D132&amp;"  "&amp;일일실시사항!$H132)</f>
        <v/>
      </c>
      <c r="D1164" s="122">
        <f>IF(NOT(COUNTBLANK(일일실시사항!$B132:$K132)&lt;10),"",TRIM(IF(일일실시사항!$B132="","일자 누락; ","")&amp;IF(COUNTIF(코드설정!$C$5:$C$24,일일실시사항!$D132)=0,"담당자 누락; ","")&amp;IF(COUNTIF(코드설정!$G$5:$G$14,일일실시사항!$F132)=0,"업무구분 누락; ","")&amp;IF(AND(일일실시사항!$G132&lt;&gt;"",COUNTIF(사건마스터!$A$5:$A$64,일일실시사항!$G132)=0),"미등록 사건번호; ","")&amp;IF(일일실시사항!$H132="","실시 내용 없음; ","")&amp;IF(COUNTIF(코드설정!$F$5:$F$7,일일실시사항!$J132)=0,"진행상태 누락; ","")))</f>
        <v/>
      </c>
    </row>
    <row r="1165">
      <c r="A1165" s="26" t="inlineStr">
        <is>
          <t>일일실시사항</t>
        </is>
      </c>
      <c r="B1165" s="66" t="n">
        <v>133</v>
      </c>
      <c r="C1165" s="122">
        <f>IF($D1165="","",IFERROR(TEXT(일일실시사항!$B133,"yyyy-mm-dd"),"(날짜없음)")&amp;"  "&amp;일일실시사항!$D133&amp;"  "&amp;일일실시사항!$H133)</f>
        <v/>
      </c>
      <c r="D1165" s="122">
        <f>IF(NOT(COUNTBLANK(일일실시사항!$B133:$K133)&lt;10),"",TRIM(IF(일일실시사항!$B133="","일자 누락; ","")&amp;IF(COUNTIF(코드설정!$C$5:$C$24,일일실시사항!$D133)=0,"담당자 누락; ","")&amp;IF(COUNTIF(코드설정!$G$5:$G$14,일일실시사항!$F133)=0,"업무구분 누락; ","")&amp;IF(AND(일일실시사항!$G133&lt;&gt;"",COUNTIF(사건마스터!$A$5:$A$64,일일실시사항!$G133)=0),"미등록 사건번호; ","")&amp;IF(일일실시사항!$H133="","실시 내용 없음; ","")&amp;IF(COUNTIF(코드설정!$F$5:$F$7,일일실시사항!$J133)=0,"진행상태 누락; ","")))</f>
        <v/>
      </c>
    </row>
    <row r="1166">
      <c r="A1166" s="26" t="inlineStr">
        <is>
          <t>일일실시사항</t>
        </is>
      </c>
      <c r="B1166" s="66" t="n">
        <v>134</v>
      </c>
      <c r="C1166" s="122">
        <f>IF($D1166="","",IFERROR(TEXT(일일실시사항!$B134,"yyyy-mm-dd"),"(날짜없음)")&amp;"  "&amp;일일실시사항!$D134&amp;"  "&amp;일일실시사항!$H134)</f>
        <v/>
      </c>
      <c r="D1166" s="122">
        <f>IF(NOT(COUNTBLANK(일일실시사항!$B134:$K134)&lt;10),"",TRIM(IF(일일실시사항!$B134="","일자 누락; ","")&amp;IF(COUNTIF(코드설정!$C$5:$C$24,일일실시사항!$D134)=0,"담당자 누락; ","")&amp;IF(COUNTIF(코드설정!$G$5:$G$14,일일실시사항!$F134)=0,"업무구분 누락; ","")&amp;IF(AND(일일실시사항!$G134&lt;&gt;"",COUNTIF(사건마스터!$A$5:$A$64,일일실시사항!$G134)=0),"미등록 사건번호; ","")&amp;IF(일일실시사항!$H134="","실시 내용 없음; ","")&amp;IF(COUNTIF(코드설정!$F$5:$F$7,일일실시사항!$J134)=0,"진행상태 누락; ","")))</f>
        <v/>
      </c>
    </row>
    <row r="1167">
      <c r="A1167" s="26" t="inlineStr">
        <is>
          <t>일일실시사항</t>
        </is>
      </c>
      <c r="B1167" s="66" t="n">
        <v>135</v>
      </c>
      <c r="C1167" s="122">
        <f>IF($D1167="","",IFERROR(TEXT(일일실시사항!$B135,"yyyy-mm-dd"),"(날짜없음)")&amp;"  "&amp;일일실시사항!$D135&amp;"  "&amp;일일실시사항!$H135)</f>
        <v/>
      </c>
      <c r="D1167" s="122">
        <f>IF(NOT(COUNTBLANK(일일실시사항!$B135:$K135)&lt;10),"",TRIM(IF(일일실시사항!$B135="","일자 누락; ","")&amp;IF(COUNTIF(코드설정!$C$5:$C$24,일일실시사항!$D135)=0,"담당자 누락; ","")&amp;IF(COUNTIF(코드설정!$G$5:$G$14,일일실시사항!$F135)=0,"업무구분 누락; ","")&amp;IF(AND(일일실시사항!$G135&lt;&gt;"",COUNTIF(사건마스터!$A$5:$A$64,일일실시사항!$G135)=0),"미등록 사건번호; ","")&amp;IF(일일실시사항!$H135="","실시 내용 없음; ","")&amp;IF(COUNTIF(코드설정!$F$5:$F$7,일일실시사항!$J135)=0,"진행상태 누락; ","")))</f>
        <v/>
      </c>
    </row>
    <row r="1168">
      <c r="A1168" s="26" t="inlineStr">
        <is>
          <t>일일실시사항</t>
        </is>
      </c>
      <c r="B1168" s="66" t="n">
        <v>136</v>
      </c>
      <c r="C1168" s="122">
        <f>IF($D1168="","",IFERROR(TEXT(일일실시사항!$B136,"yyyy-mm-dd"),"(날짜없음)")&amp;"  "&amp;일일실시사항!$D136&amp;"  "&amp;일일실시사항!$H136)</f>
        <v/>
      </c>
      <c r="D1168" s="122">
        <f>IF(NOT(COUNTBLANK(일일실시사항!$B136:$K136)&lt;10),"",TRIM(IF(일일실시사항!$B136="","일자 누락; ","")&amp;IF(COUNTIF(코드설정!$C$5:$C$24,일일실시사항!$D136)=0,"담당자 누락; ","")&amp;IF(COUNTIF(코드설정!$G$5:$G$14,일일실시사항!$F136)=0,"업무구분 누락; ","")&amp;IF(AND(일일실시사항!$G136&lt;&gt;"",COUNTIF(사건마스터!$A$5:$A$64,일일실시사항!$G136)=0),"미등록 사건번호; ","")&amp;IF(일일실시사항!$H136="","실시 내용 없음; ","")&amp;IF(COUNTIF(코드설정!$F$5:$F$7,일일실시사항!$J136)=0,"진행상태 누락; ","")))</f>
        <v/>
      </c>
    </row>
    <row r="1169">
      <c r="A1169" s="26" t="inlineStr">
        <is>
          <t>일일실시사항</t>
        </is>
      </c>
      <c r="B1169" s="66" t="n">
        <v>137</v>
      </c>
      <c r="C1169" s="122">
        <f>IF($D1169="","",IFERROR(TEXT(일일실시사항!$B137,"yyyy-mm-dd"),"(날짜없음)")&amp;"  "&amp;일일실시사항!$D137&amp;"  "&amp;일일실시사항!$H137)</f>
        <v/>
      </c>
      <c r="D1169" s="122">
        <f>IF(NOT(COUNTBLANK(일일실시사항!$B137:$K137)&lt;10),"",TRIM(IF(일일실시사항!$B137="","일자 누락; ","")&amp;IF(COUNTIF(코드설정!$C$5:$C$24,일일실시사항!$D137)=0,"담당자 누락; ","")&amp;IF(COUNTIF(코드설정!$G$5:$G$14,일일실시사항!$F137)=0,"업무구분 누락; ","")&amp;IF(AND(일일실시사항!$G137&lt;&gt;"",COUNTIF(사건마스터!$A$5:$A$64,일일실시사항!$G137)=0),"미등록 사건번호; ","")&amp;IF(일일실시사항!$H137="","실시 내용 없음; ","")&amp;IF(COUNTIF(코드설정!$F$5:$F$7,일일실시사항!$J137)=0,"진행상태 누락; ","")))</f>
        <v/>
      </c>
    </row>
    <row r="1170">
      <c r="A1170" s="26" t="inlineStr">
        <is>
          <t>일일실시사항</t>
        </is>
      </c>
      <c r="B1170" s="66" t="n">
        <v>138</v>
      </c>
      <c r="C1170" s="122">
        <f>IF($D1170="","",IFERROR(TEXT(일일실시사항!$B138,"yyyy-mm-dd"),"(날짜없음)")&amp;"  "&amp;일일실시사항!$D138&amp;"  "&amp;일일실시사항!$H138)</f>
        <v/>
      </c>
      <c r="D1170" s="122">
        <f>IF(NOT(COUNTBLANK(일일실시사항!$B138:$K138)&lt;10),"",TRIM(IF(일일실시사항!$B138="","일자 누락; ","")&amp;IF(COUNTIF(코드설정!$C$5:$C$24,일일실시사항!$D138)=0,"담당자 누락; ","")&amp;IF(COUNTIF(코드설정!$G$5:$G$14,일일실시사항!$F138)=0,"업무구분 누락; ","")&amp;IF(AND(일일실시사항!$G138&lt;&gt;"",COUNTIF(사건마스터!$A$5:$A$64,일일실시사항!$G138)=0),"미등록 사건번호; ","")&amp;IF(일일실시사항!$H138="","실시 내용 없음; ","")&amp;IF(COUNTIF(코드설정!$F$5:$F$7,일일실시사항!$J138)=0,"진행상태 누락; ","")))</f>
        <v/>
      </c>
    </row>
    <row r="1171">
      <c r="A1171" s="26" t="inlineStr">
        <is>
          <t>일일실시사항</t>
        </is>
      </c>
      <c r="B1171" s="66" t="n">
        <v>139</v>
      </c>
      <c r="C1171" s="122">
        <f>IF($D1171="","",IFERROR(TEXT(일일실시사항!$B139,"yyyy-mm-dd"),"(날짜없음)")&amp;"  "&amp;일일실시사항!$D139&amp;"  "&amp;일일실시사항!$H139)</f>
        <v/>
      </c>
      <c r="D1171" s="122">
        <f>IF(NOT(COUNTBLANK(일일실시사항!$B139:$K139)&lt;10),"",TRIM(IF(일일실시사항!$B139="","일자 누락; ","")&amp;IF(COUNTIF(코드설정!$C$5:$C$24,일일실시사항!$D139)=0,"담당자 누락; ","")&amp;IF(COUNTIF(코드설정!$G$5:$G$14,일일실시사항!$F139)=0,"업무구분 누락; ","")&amp;IF(AND(일일실시사항!$G139&lt;&gt;"",COUNTIF(사건마스터!$A$5:$A$64,일일실시사항!$G139)=0),"미등록 사건번호; ","")&amp;IF(일일실시사항!$H139="","실시 내용 없음; ","")&amp;IF(COUNTIF(코드설정!$F$5:$F$7,일일실시사항!$J139)=0,"진행상태 누락; ","")))</f>
        <v/>
      </c>
    </row>
    <row r="1172">
      <c r="A1172" s="26" t="inlineStr">
        <is>
          <t>일일실시사항</t>
        </is>
      </c>
      <c r="B1172" s="66" t="n">
        <v>140</v>
      </c>
      <c r="C1172" s="122">
        <f>IF($D1172="","",IFERROR(TEXT(일일실시사항!$B140,"yyyy-mm-dd"),"(날짜없음)")&amp;"  "&amp;일일실시사항!$D140&amp;"  "&amp;일일실시사항!$H140)</f>
        <v/>
      </c>
      <c r="D1172" s="122">
        <f>IF(NOT(COUNTBLANK(일일실시사항!$B140:$K140)&lt;10),"",TRIM(IF(일일실시사항!$B140="","일자 누락; ","")&amp;IF(COUNTIF(코드설정!$C$5:$C$24,일일실시사항!$D140)=0,"담당자 누락; ","")&amp;IF(COUNTIF(코드설정!$G$5:$G$14,일일실시사항!$F140)=0,"업무구분 누락; ","")&amp;IF(AND(일일실시사항!$G140&lt;&gt;"",COUNTIF(사건마스터!$A$5:$A$64,일일실시사항!$G140)=0),"미등록 사건번호; ","")&amp;IF(일일실시사항!$H140="","실시 내용 없음; ","")&amp;IF(COUNTIF(코드설정!$F$5:$F$7,일일실시사항!$J140)=0,"진행상태 누락; ","")))</f>
        <v/>
      </c>
    </row>
    <row r="1173">
      <c r="A1173" s="26" t="inlineStr">
        <is>
          <t>일일실시사항</t>
        </is>
      </c>
      <c r="B1173" s="66" t="n">
        <v>141</v>
      </c>
      <c r="C1173" s="122">
        <f>IF($D1173="","",IFERROR(TEXT(일일실시사항!$B141,"yyyy-mm-dd"),"(날짜없음)")&amp;"  "&amp;일일실시사항!$D141&amp;"  "&amp;일일실시사항!$H141)</f>
        <v/>
      </c>
      <c r="D1173" s="122">
        <f>IF(NOT(COUNTBLANK(일일실시사항!$B141:$K141)&lt;10),"",TRIM(IF(일일실시사항!$B141="","일자 누락; ","")&amp;IF(COUNTIF(코드설정!$C$5:$C$24,일일실시사항!$D141)=0,"담당자 누락; ","")&amp;IF(COUNTIF(코드설정!$G$5:$G$14,일일실시사항!$F141)=0,"업무구분 누락; ","")&amp;IF(AND(일일실시사항!$G141&lt;&gt;"",COUNTIF(사건마스터!$A$5:$A$64,일일실시사항!$G141)=0),"미등록 사건번호; ","")&amp;IF(일일실시사항!$H141="","실시 내용 없음; ","")&amp;IF(COUNTIF(코드설정!$F$5:$F$7,일일실시사항!$J141)=0,"진행상태 누락; ","")))</f>
        <v/>
      </c>
    </row>
    <row r="1174">
      <c r="A1174" s="26" t="inlineStr">
        <is>
          <t>일일실시사항</t>
        </is>
      </c>
      <c r="B1174" s="66" t="n">
        <v>142</v>
      </c>
      <c r="C1174" s="122">
        <f>IF($D1174="","",IFERROR(TEXT(일일실시사항!$B142,"yyyy-mm-dd"),"(날짜없음)")&amp;"  "&amp;일일실시사항!$D142&amp;"  "&amp;일일실시사항!$H142)</f>
        <v/>
      </c>
      <c r="D1174" s="122">
        <f>IF(NOT(COUNTBLANK(일일실시사항!$B142:$K142)&lt;10),"",TRIM(IF(일일실시사항!$B142="","일자 누락; ","")&amp;IF(COUNTIF(코드설정!$C$5:$C$24,일일실시사항!$D142)=0,"담당자 누락; ","")&amp;IF(COUNTIF(코드설정!$G$5:$G$14,일일실시사항!$F142)=0,"업무구분 누락; ","")&amp;IF(AND(일일실시사항!$G142&lt;&gt;"",COUNTIF(사건마스터!$A$5:$A$64,일일실시사항!$G142)=0),"미등록 사건번호; ","")&amp;IF(일일실시사항!$H142="","실시 내용 없음; ","")&amp;IF(COUNTIF(코드설정!$F$5:$F$7,일일실시사항!$J142)=0,"진행상태 누락; ","")))</f>
        <v/>
      </c>
    </row>
    <row r="1175">
      <c r="A1175" s="26" t="inlineStr">
        <is>
          <t>일일실시사항</t>
        </is>
      </c>
      <c r="B1175" s="66" t="n">
        <v>143</v>
      </c>
      <c r="C1175" s="122">
        <f>IF($D1175="","",IFERROR(TEXT(일일실시사항!$B143,"yyyy-mm-dd"),"(날짜없음)")&amp;"  "&amp;일일실시사항!$D143&amp;"  "&amp;일일실시사항!$H143)</f>
        <v/>
      </c>
      <c r="D1175" s="122">
        <f>IF(NOT(COUNTBLANK(일일실시사항!$B143:$K143)&lt;10),"",TRIM(IF(일일실시사항!$B143="","일자 누락; ","")&amp;IF(COUNTIF(코드설정!$C$5:$C$24,일일실시사항!$D143)=0,"담당자 누락; ","")&amp;IF(COUNTIF(코드설정!$G$5:$G$14,일일실시사항!$F143)=0,"업무구분 누락; ","")&amp;IF(AND(일일실시사항!$G143&lt;&gt;"",COUNTIF(사건마스터!$A$5:$A$64,일일실시사항!$G143)=0),"미등록 사건번호; ","")&amp;IF(일일실시사항!$H143="","실시 내용 없음; ","")&amp;IF(COUNTIF(코드설정!$F$5:$F$7,일일실시사항!$J143)=0,"진행상태 누락; ","")))</f>
        <v/>
      </c>
    </row>
    <row r="1176">
      <c r="A1176" s="26" t="inlineStr">
        <is>
          <t>일일실시사항</t>
        </is>
      </c>
      <c r="B1176" s="66" t="n">
        <v>144</v>
      </c>
      <c r="C1176" s="122">
        <f>IF($D1176="","",IFERROR(TEXT(일일실시사항!$B144,"yyyy-mm-dd"),"(날짜없음)")&amp;"  "&amp;일일실시사항!$D144&amp;"  "&amp;일일실시사항!$H144)</f>
        <v/>
      </c>
      <c r="D1176" s="122">
        <f>IF(NOT(COUNTBLANK(일일실시사항!$B144:$K144)&lt;10),"",TRIM(IF(일일실시사항!$B144="","일자 누락; ","")&amp;IF(COUNTIF(코드설정!$C$5:$C$24,일일실시사항!$D144)=0,"담당자 누락; ","")&amp;IF(COUNTIF(코드설정!$G$5:$G$14,일일실시사항!$F144)=0,"업무구분 누락; ","")&amp;IF(AND(일일실시사항!$G144&lt;&gt;"",COUNTIF(사건마스터!$A$5:$A$64,일일실시사항!$G144)=0),"미등록 사건번호; ","")&amp;IF(일일실시사항!$H144="","실시 내용 없음; ","")&amp;IF(COUNTIF(코드설정!$F$5:$F$7,일일실시사항!$J144)=0,"진행상태 누락; ","")))</f>
        <v/>
      </c>
    </row>
    <row r="1177">
      <c r="A1177" s="26" t="inlineStr">
        <is>
          <t>일일실시사항</t>
        </is>
      </c>
      <c r="B1177" s="66" t="n">
        <v>145</v>
      </c>
      <c r="C1177" s="122">
        <f>IF($D1177="","",IFERROR(TEXT(일일실시사항!$B145,"yyyy-mm-dd"),"(날짜없음)")&amp;"  "&amp;일일실시사항!$D145&amp;"  "&amp;일일실시사항!$H145)</f>
        <v/>
      </c>
      <c r="D1177" s="122">
        <f>IF(NOT(COUNTBLANK(일일실시사항!$B145:$K145)&lt;10),"",TRIM(IF(일일실시사항!$B145="","일자 누락; ","")&amp;IF(COUNTIF(코드설정!$C$5:$C$24,일일실시사항!$D145)=0,"담당자 누락; ","")&amp;IF(COUNTIF(코드설정!$G$5:$G$14,일일실시사항!$F145)=0,"업무구분 누락; ","")&amp;IF(AND(일일실시사항!$G145&lt;&gt;"",COUNTIF(사건마스터!$A$5:$A$64,일일실시사항!$G145)=0),"미등록 사건번호; ","")&amp;IF(일일실시사항!$H145="","실시 내용 없음; ","")&amp;IF(COUNTIF(코드설정!$F$5:$F$7,일일실시사항!$J145)=0,"진행상태 누락; ","")))</f>
        <v/>
      </c>
    </row>
    <row r="1178">
      <c r="A1178" s="26" t="inlineStr">
        <is>
          <t>일일실시사항</t>
        </is>
      </c>
      <c r="B1178" s="66" t="n">
        <v>146</v>
      </c>
      <c r="C1178" s="122">
        <f>IF($D1178="","",IFERROR(TEXT(일일실시사항!$B146,"yyyy-mm-dd"),"(날짜없음)")&amp;"  "&amp;일일실시사항!$D146&amp;"  "&amp;일일실시사항!$H146)</f>
        <v/>
      </c>
      <c r="D1178" s="122">
        <f>IF(NOT(COUNTBLANK(일일실시사항!$B146:$K146)&lt;10),"",TRIM(IF(일일실시사항!$B146="","일자 누락; ","")&amp;IF(COUNTIF(코드설정!$C$5:$C$24,일일실시사항!$D146)=0,"담당자 누락; ","")&amp;IF(COUNTIF(코드설정!$G$5:$G$14,일일실시사항!$F146)=0,"업무구분 누락; ","")&amp;IF(AND(일일실시사항!$G146&lt;&gt;"",COUNTIF(사건마스터!$A$5:$A$64,일일실시사항!$G146)=0),"미등록 사건번호; ","")&amp;IF(일일실시사항!$H146="","실시 내용 없음; ","")&amp;IF(COUNTIF(코드설정!$F$5:$F$7,일일실시사항!$J146)=0,"진행상태 누락; ","")))</f>
        <v/>
      </c>
    </row>
    <row r="1179">
      <c r="A1179" s="26" t="inlineStr">
        <is>
          <t>일일실시사항</t>
        </is>
      </c>
      <c r="B1179" s="66" t="n">
        <v>147</v>
      </c>
      <c r="C1179" s="122">
        <f>IF($D1179="","",IFERROR(TEXT(일일실시사항!$B147,"yyyy-mm-dd"),"(날짜없음)")&amp;"  "&amp;일일실시사항!$D147&amp;"  "&amp;일일실시사항!$H147)</f>
        <v/>
      </c>
      <c r="D1179" s="122">
        <f>IF(NOT(COUNTBLANK(일일실시사항!$B147:$K147)&lt;10),"",TRIM(IF(일일실시사항!$B147="","일자 누락; ","")&amp;IF(COUNTIF(코드설정!$C$5:$C$24,일일실시사항!$D147)=0,"담당자 누락; ","")&amp;IF(COUNTIF(코드설정!$G$5:$G$14,일일실시사항!$F147)=0,"업무구분 누락; ","")&amp;IF(AND(일일실시사항!$G147&lt;&gt;"",COUNTIF(사건마스터!$A$5:$A$64,일일실시사항!$G147)=0),"미등록 사건번호; ","")&amp;IF(일일실시사항!$H147="","실시 내용 없음; ","")&amp;IF(COUNTIF(코드설정!$F$5:$F$7,일일실시사항!$J147)=0,"진행상태 누락; ","")))</f>
        <v/>
      </c>
    </row>
    <row r="1180">
      <c r="A1180" s="26" t="inlineStr">
        <is>
          <t>일일실시사항</t>
        </is>
      </c>
      <c r="B1180" s="66" t="n">
        <v>148</v>
      </c>
      <c r="C1180" s="122">
        <f>IF($D1180="","",IFERROR(TEXT(일일실시사항!$B148,"yyyy-mm-dd"),"(날짜없음)")&amp;"  "&amp;일일실시사항!$D148&amp;"  "&amp;일일실시사항!$H148)</f>
        <v/>
      </c>
      <c r="D1180" s="122">
        <f>IF(NOT(COUNTBLANK(일일실시사항!$B148:$K148)&lt;10),"",TRIM(IF(일일실시사항!$B148="","일자 누락; ","")&amp;IF(COUNTIF(코드설정!$C$5:$C$24,일일실시사항!$D148)=0,"담당자 누락; ","")&amp;IF(COUNTIF(코드설정!$G$5:$G$14,일일실시사항!$F148)=0,"업무구분 누락; ","")&amp;IF(AND(일일실시사항!$G148&lt;&gt;"",COUNTIF(사건마스터!$A$5:$A$64,일일실시사항!$G148)=0),"미등록 사건번호; ","")&amp;IF(일일실시사항!$H148="","실시 내용 없음; ","")&amp;IF(COUNTIF(코드설정!$F$5:$F$7,일일실시사항!$J148)=0,"진행상태 누락; ","")))</f>
        <v/>
      </c>
    </row>
    <row r="1181">
      <c r="A1181" s="26" t="inlineStr">
        <is>
          <t>일일실시사항</t>
        </is>
      </c>
      <c r="B1181" s="66" t="n">
        <v>149</v>
      </c>
      <c r="C1181" s="122">
        <f>IF($D1181="","",IFERROR(TEXT(일일실시사항!$B149,"yyyy-mm-dd"),"(날짜없음)")&amp;"  "&amp;일일실시사항!$D149&amp;"  "&amp;일일실시사항!$H149)</f>
        <v/>
      </c>
      <c r="D1181" s="122">
        <f>IF(NOT(COUNTBLANK(일일실시사항!$B149:$K149)&lt;10),"",TRIM(IF(일일실시사항!$B149="","일자 누락; ","")&amp;IF(COUNTIF(코드설정!$C$5:$C$24,일일실시사항!$D149)=0,"담당자 누락; ","")&amp;IF(COUNTIF(코드설정!$G$5:$G$14,일일실시사항!$F149)=0,"업무구분 누락; ","")&amp;IF(AND(일일실시사항!$G149&lt;&gt;"",COUNTIF(사건마스터!$A$5:$A$64,일일실시사항!$G149)=0),"미등록 사건번호; ","")&amp;IF(일일실시사항!$H149="","실시 내용 없음; ","")&amp;IF(COUNTIF(코드설정!$F$5:$F$7,일일실시사항!$J149)=0,"진행상태 누락; ","")))</f>
        <v/>
      </c>
    </row>
    <row r="1182">
      <c r="A1182" s="26" t="inlineStr">
        <is>
          <t>일일실시사항</t>
        </is>
      </c>
      <c r="B1182" s="66" t="n">
        <v>150</v>
      </c>
      <c r="C1182" s="122">
        <f>IF($D1182="","",IFERROR(TEXT(일일실시사항!$B150,"yyyy-mm-dd"),"(날짜없음)")&amp;"  "&amp;일일실시사항!$D150&amp;"  "&amp;일일실시사항!$H150)</f>
        <v/>
      </c>
      <c r="D1182" s="122">
        <f>IF(NOT(COUNTBLANK(일일실시사항!$B150:$K150)&lt;10),"",TRIM(IF(일일실시사항!$B150="","일자 누락; ","")&amp;IF(COUNTIF(코드설정!$C$5:$C$24,일일실시사항!$D150)=0,"담당자 누락; ","")&amp;IF(COUNTIF(코드설정!$G$5:$G$14,일일실시사항!$F150)=0,"업무구분 누락; ","")&amp;IF(AND(일일실시사항!$G150&lt;&gt;"",COUNTIF(사건마스터!$A$5:$A$64,일일실시사항!$G150)=0),"미등록 사건번호; ","")&amp;IF(일일실시사항!$H150="","실시 내용 없음; ","")&amp;IF(COUNTIF(코드설정!$F$5:$F$7,일일실시사항!$J150)=0,"진행상태 누락; ","")))</f>
        <v/>
      </c>
    </row>
    <row r="1183">
      <c r="A1183" s="26" t="inlineStr">
        <is>
          <t>일일실시사항</t>
        </is>
      </c>
      <c r="B1183" s="66" t="n">
        <v>151</v>
      </c>
      <c r="C1183" s="122">
        <f>IF($D1183="","",IFERROR(TEXT(일일실시사항!$B151,"yyyy-mm-dd"),"(날짜없음)")&amp;"  "&amp;일일실시사항!$D151&amp;"  "&amp;일일실시사항!$H151)</f>
        <v/>
      </c>
      <c r="D1183" s="122">
        <f>IF(NOT(COUNTBLANK(일일실시사항!$B151:$K151)&lt;10),"",TRIM(IF(일일실시사항!$B151="","일자 누락; ","")&amp;IF(COUNTIF(코드설정!$C$5:$C$24,일일실시사항!$D151)=0,"담당자 누락; ","")&amp;IF(COUNTIF(코드설정!$G$5:$G$14,일일실시사항!$F151)=0,"업무구분 누락; ","")&amp;IF(AND(일일실시사항!$G151&lt;&gt;"",COUNTIF(사건마스터!$A$5:$A$64,일일실시사항!$G151)=0),"미등록 사건번호; ","")&amp;IF(일일실시사항!$H151="","실시 내용 없음; ","")&amp;IF(COUNTIF(코드설정!$F$5:$F$7,일일실시사항!$J151)=0,"진행상태 누락; ","")))</f>
        <v/>
      </c>
    </row>
    <row r="1184">
      <c r="A1184" s="26" t="inlineStr">
        <is>
          <t>일일실시사항</t>
        </is>
      </c>
      <c r="B1184" s="66" t="n">
        <v>152</v>
      </c>
      <c r="C1184" s="122">
        <f>IF($D1184="","",IFERROR(TEXT(일일실시사항!$B152,"yyyy-mm-dd"),"(날짜없음)")&amp;"  "&amp;일일실시사항!$D152&amp;"  "&amp;일일실시사항!$H152)</f>
        <v/>
      </c>
      <c r="D1184" s="122">
        <f>IF(NOT(COUNTBLANK(일일실시사항!$B152:$K152)&lt;10),"",TRIM(IF(일일실시사항!$B152="","일자 누락; ","")&amp;IF(COUNTIF(코드설정!$C$5:$C$24,일일실시사항!$D152)=0,"담당자 누락; ","")&amp;IF(COUNTIF(코드설정!$G$5:$G$14,일일실시사항!$F152)=0,"업무구분 누락; ","")&amp;IF(AND(일일실시사항!$G152&lt;&gt;"",COUNTIF(사건마스터!$A$5:$A$64,일일실시사항!$G152)=0),"미등록 사건번호; ","")&amp;IF(일일실시사항!$H152="","실시 내용 없음; ","")&amp;IF(COUNTIF(코드설정!$F$5:$F$7,일일실시사항!$J152)=0,"진행상태 누락; ","")))</f>
        <v/>
      </c>
    </row>
    <row r="1185">
      <c r="A1185" s="26" t="inlineStr">
        <is>
          <t>일일실시사항</t>
        </is>
      </c>
      <c r="B1185" s="66" t="n">
        <v>153</v>
      </c>
      <c r="C1185" s="122">
        <f>IF($D1185="","",IFERROR(TEXT(일일실시사항!$B153,"yyyy-mm-dd"),"(날짜없음)")&amp;"  "&amp;일일실시사항!$D153&amp;"  "&amp;일일실시사항!$H153)</f>
        <v/>
      </c>
      <c r="D1185" s="122">
        <f>IF(NOT(COUNTBLANK(일일실시사항!$B153:$K153)&lt;10),"",TRIM(IF(일일실시사항!$B153="","일자 누락; ","")&amp;IF(COUNTIF(코드설정!$C$5:$C$24,일일실시사항!$D153)=0,"담당자 누락; ","")&amp;IF(COUNTIF(코드설정!$G$5:$G$14,일일실시사항!$F153)=0,"업무구분 누락; ","")&amp;IF(AND(일일실시사항!$G153&lt;&gt;"",COUNTIF(사건마스터!$A$5:$A$64,일일실시사항!$G153)=0),"미등록 사건번호; ","")&amp;IF(일일실시사항!$H153="","실시 내용 없음; ","")&amp;IF(COUNTIF(코드설정!$F$5:$F$7,일일실시사항!$J153)=0,"진행상태 누락; ","")))</f>
        <v/>
      </c>
    </row>
    <row r="1186">
      <c r="A1186" s="26" t="inlineStr">
        <is>
          <t>일일실시사항</t>
        </is>
      </c>
      <c r="B1186" s="66" t="n">
        <v>154</v>
      </c>
      <c r="C1186" s="122">
        <f>IF($D1186="","",IFERROR(TEXT(일일실시사항!$B154,"yyyy-mm-dd"),"(날짜없음)")&amp;"  "&amp;일일실시사항!$D154&amp;"  "&amp;일일실시사항!$H154)</f>
        <v/>
      </c>
      <c r="D1186" s="122">
        <f>IF(NOT(COUNTBLANK(일일실시사항!$B154:$K154)&lt;10),"",TRIM(IF(일일실시사항!$B154="","일자 누락; ","")&amp;IF(COUNTIF(코드설정!$C$5:$C$24,일일실시사항!$D154)=0,"담당자 누락; ","")&amp;IF(COUNTIF(코드설정!$G$5:$G$14,일일실시사항!$F154)=0,"업무구분 누락; ","")&amp;IF(AND(일일실시사항!$G154&lt;&gt;"",COUNTIF(사건마스터!$A$5:$A$64,일일실시사항!$G154)=0),"미등록 사건번호; ","")&amp;IF(일일실시사항!$H154="","실시 내용 없음; ","")&amp;IF(COUNTIF(코드설정!$F$5:$F$7,일일실시사항!$J154)=0,"진행상태 누락; ","")))</f>
        <v/>
      </c>
    </row>
    <row r="1187">
      <c r="A1187" s="26" t="inlineStr">
        <is>
          <t>일일실시사항</t>
        </is>
      </c>
      <c r="B1187" s="66" t="n">
        <v>155</v>
      </c>
      <c r="C1187" s="122">
        <f>IF($D1187="","",IFERROR(TEXT(일일실시사항!$B155,"yyyy-mm-dd"),"(날짜없음)")&amp;"  "&amp;일일실시사항!$D155&amp;"  "&amp;일일실시사항!$H155)</f>
        <v/>
      </c>
      <c r="D1187" s="122">
        <f>IF(NOT(COUNTBLANK(일일실시사항!$B155:$K155)&lt;10),"",TRIM(IF(일일실시사항!$B155="","일자 누락; ","")&amp;IF(COUNTIF(코드설정!$C$5:$C$24,일일실시사항!$D155)=0,"담당자 누락; ","")&amp;IF(COUNTIF(코드설정!$G$5:$G$14,일일실시사항!$F155)=0,"업무구분 누락; ","")&amp;IF(AND(일일실시사항!$G155&lt;&gt;"",COUNTIF(사건마스터!$A$5:$A$64,일일실시사항!$G155)=0),"미등록 사건번호; ","")&amp;IF(일일실시사항!$H155="","실시 내용 없음; ","")&amp;IF(COUNTIF(코드설정!$F$5:$F$7,일일실시사항!$J155)=0,"진행상태 누락; ","")))</f>
        <v/>
      </c>
    </row>
    <row r="1188">
      <c r="A1188" s="26" t="inlineStr">
        <is>
          <t>일일실시사항</t>
        </is>
      </c>
      <c r="B1188" s="66" t="n">
        <v>156</v>
      </c>
      <c r="C1188" s="122">
        <f>IF($D1188="","",IFERROR(TEXT(일일실시사항!$B156,"yyyy-mm-dd"),"(날짜없음)")&amp;"  "&amp;일일실시사항!$D156&amp;"  "&amp;일일실시사항!$H156)</f>
        <v/>
      </c>
      <c r="D1188" s="122">
        <f>IF(NOT(COUNTBLANK(일일실시사항!$B156:$K156)&lt;10),"",TRIM(IF(일일실시사항!$B156="","일자 누락; ","")&amp;IF(COUNTIF(코드설정!$C$5:$C$24,일일실시사항!$D156)=0,"담당자 누락; ","")&amp;IF(COUNTIF(코드설정!$G$5:$G$14,일일실시사항!$F156)=0,"업무구분 누락; ","")&amp;IF(AND(일일실시사항!$G156&lt;&gt;"",COUNTIF(사건마스터!$A$5:$A$64,일일실시사항!$G156)=0),"미등록 사건번호; ","")&amp;IF(일일실시사항!$H156="","실시 내용 없음; ","")&amp;IF(COUNTIF(코드설정!$F$5:$F$7,일일실시사항!$J156)=0,"진행상태 누락; ","")))</f>
        <v/>
      </c>
    </row>
    <row r="1189">
      <c r="A1189" s="26" t="inlineStr">
        <is>
          <t>일일실시사항</t>
        </is>
      </c>
      <c r="B1189" s="66" t="n">
        <v>157</v>
      </c>
      <c r="C1189" s="122">
        <f>IF($D1189="","",IFERROR(TEXT(일일실시사항!$B157,"yyyy-mm-dd"),"(날짜없음)")&amp;"  "&amp;일일실시사항!$D157&amp;"  "&amp;일일실시사항!$H157)</f>
        <v/>
      </c>
      <c r="D1189" s="122">
        <f>IF(NOT(COUNTBLANK(일일실시사항!$B157:$K157)&lt;10),"",TRIM(IF(일일실시사항!$B157="","일자 누락; ","")&amp;IF(COUNTIF(코드설정!$C$5:$C$24,일일실시사항!$D157)=0,"담당자 누락; ","")&amp;IF(COUNTIF(코드설정!$G$5:$G$14,일일실시사항!$F157)=0,"업무구분 누락; ","")&amp;IF(AND(일일실시사항!$G157&lt;&gt;"",COUNTIF(사건마스터!$A$5:$A$64,일일실시사항!$G157)=0),"미등록 사건번호; ","")&amp;IF(일일실시사항!$H157="","실시 내용 없음; ","")&amp;IF(COUNTIF(코드설정!$F$5:$F$7,일일실시사항!$J157)=0,"진행상태 누락; ","")))</f>
        <v/>
      </c>
    </row>
    <row r="1190">
      <c r="A1190" s="26" t="inlineStr">
        <is>
          <t>일일실시사항</t>
        </is>
      </c>
      <c r="B1190" s="66" t="n">
        <v>158</v>
      </c>
      <c r="C1190" s="122">
        <f>IF($D1190="","",IFERROR(TEXT(일일실시사항!$B158,"yyyy-mm-dd"),"(날짜없음)")&amp;"  "&amp;일일실시사항!$D158&amp;"  "&amp;일일실시사항!$H158)</f>
        <v/>
      </c>
      <c r="D1190" s="122">
        <f>IF(NOT(COUNTBLANK(일일실시사항!$B158:$K158)&lt;10),"",TRIM(IF(일일실시사항!$B158="","일자 누락; ","")&amp;IF(COUNTIF(코드설정!$C$5:$C$24,일일실시사항!$D158)=0,"담당자 누락; ","")&amp;IF(COUNTIF(코드설정!$G$5:$G$14,일일실시사항!$F158)=0,"업무구분 누락; ","")&amp;IF(AND(일일실시사항!$G158&lt;&gt;"",COUNTIF(사건마스터!$A$5:$A$64,일일실시사항!$G158)=0),"미등록 사건번호; ","")&amp;IF(일일실시사항!$H158="","실시 내용 없음; ","")&amp;IF(COUNTIF(코드설정!$F$5:$F$7,일일실시사항!$J158)=0,"진행상태 누락; ","")))</f>
        <v/>
      </c>
    </row>
    <row r="1191">
      <c r="A1191" s="26" t="inlineStr">
        <is>
          <t>일일실시사항</t>
        </is>
      </c>
      <c r="B1191" s="66" t="n">
        <v>159</v>
      </c>
      <c r="C1191" s="122">
        <f>IF($D1191="","",IFERROR(TEXT(일일실시사항!$B159,"yyyy-mm-dd"),"(날짜없음)")&amp;"  "&amp;일일실시사항!$D159&amp;"  "&amp;일일실시사항!$H159)</f>
        <v/>
      </c>
      <c r="D1191" s="122">
        <f>IF(NOT(COUNTBLANK(일일실시사항!$B159:$K159)&lt;10),"",TRIM(IF(일일실시사항!$B159="","일자 누락; ","")&amp;IF(COUNTIF(코드설정!$C$5:$C$24,일일실시사항!$D159)=0,"담당자 누락; ","")&amp;IF(COUNTIF(코드설정!$G$5:$G$14,일일실시사항!$F159)=0,"업무구분 누락; ","")&amp;IF(AND(일일실시사항!$G159&lt;&gt;"",COUNTIF(사건마스터!$A$5:$A$64,일일실시사항!$G159)=0),"미등록 사건번호; ","")&amp;IF(일일실시사항!$H159="","실시 내용 없음; ","")&amp;IF(COUNTIF(코드설정!$F$5:$F$7,일일실시사항!$J159)=0,"진행상태 누락; ","")))</f>
        <v/>
      </c>
    </row>
    <row r="1192">
      <c r="A1192" s="26" t="inlineStr">
        <is>
          <t>일일실시사항</t>
        </is>
      </c>
      <c r="B1192" s="66" t="n">
        <v>160</v>
      </c>
      <c r="C1192" s="122">
        <f>IF($D1192="","",IFERROR(TEXT(일일실시사항!$B160,"yyyy-mm-dd"),"(날짜없음)")&amp;"  "&amp;일일실시사항!$D160&amp;"  "&amp;일일실시사항!$H160)</f>
        <v/>
      </c>
      <c r="D1192" s="122">
        <f>IF(NOT(COUNTBLANK(일일실시사항!$B160:$K160)&lt;10),"",TRIM(IF(일일실시사항!$B160="","일자 누락; ","")&amp;IF(COUNTIF(코드설정!$C$5:$C$24,일일실시사항!$D160)=0,"담당자 누락; ","")&amp;IF(COUNTIF(코드설정!$G$5:$G$14,일일실시사항!$F160)=0,"업무구분 누락; ","")&amp;IF(AND(일일실시사항!$G160&lt;&gt;"",COUNTIF(사건마스터!$A$5:$A$64,일일실시사항!$G160)=0),"미등록 사건번호; ","")&amp;IF(일일실시사항!$H160="","실시 내용 없음; ","")&amp;IF(COUNTIF(코드설정!$F$5:$F$7,일일실시사항!$J160)=0,"진행상태 누락; ","")))</f>
        <v/>
      </c>
    </row>
    <row r="1193">
      <c r="A1193" s="26" t="inlineStr">
        <is>
          <t>일일실시사항</t>
        </is>
      </c>
      <c r="B1193" s="66" t="n">
        <v>161</v>
      </c>
      <c r="C1193" s="122">
        <f>IF($D1193="","",IFERROR(TEXT(일일실시사항!$B161,"yyyy-mm-dd"),"(날짜없음)")&amp;"  "&amp;일일실시사항!$D161&amp;"  "&amp;일일실시사항!$H161)</f>
        <v/>
      </c>
      <c r="D1193" s="122">
        <f>IF(NOT(COUNTBLANK(일일실시사항!$B161:$K161)&lt;10),"",TRIM(IF(일일실시사항!$B161="","일자 누락; ","")&amp;IF(COUNTIF(코드설정!$C$5:$C$24,일일실시사항!$D161)=0,"담당자 누락; ","")&amp;IF(COUNTIF(코드설정!$G$5:$G$14,일일실시사항!$F161)=0,"업무구분 누락; ","")&amp;IF(AND(일일실시사항!$G161&lt;&gt;"",COUNTIF(사건마스터!$A$5:$A$64,일일실시사항!$G161)=0),"미등록 사건번호; ","")&amp;IF(일일실시사항!$H161="","실시 내용 없음; ","")&amp;IF(COUNTIF(코드설정!$F$5:$F$7,일일실시사항!$J161)=0,"진행상태 누락; ","")))</f>
        <v/>
      </c>
    </row>
    <row r="1194">
      <c r="A1194" s="26" t="inlineStr">
        <is>
          <t>일일실시사항</t>
        </is>
      </c>
      <c r="B1194" s="66" t="n">
        <v>162</v>
      </c>
      <c r="C1194" s="122">
        <f>IF($D1194="","",IFERROR(TEXT(일일실시사항!$B162,"yyyy-mm-dd"),"(날짜없음)")&amp;"  "&amp;일일실시사항!$D162&amp;"  "&amp;일일실시사항!$H162)</f>
        <v/>
      </c>
      <c r="D1194" s="122">
        <f>IF(NOT(COUNTBLANK(일일실시사항!$B162:$K162)&lt;10),"",TRIM(IF(일일실시사항!$B162="","일자 누락; ","")&amp;IF(COUNTIF(코드설정!$C$5:$C$24,일일실시사항!$D162)=0,"담당자 누락; ","")&amp;IF(COUNTIF(코드설정!$G$5:$G$14,일일실시사항!$F162)=0,"업무구분 누락; ","")&amp;IF(AND(일일실시사항!$G162&lt;&gt;"",COUNTIF(사건마스터!$A$5:$A$64,일일실시사항!$G162)=0),"미등록 사건번호; ","")&amp;IF(일일실시사항!$H162="","실시 내용 없음; ","")&amp;IF(COUNTIF(코드설정!$F$5:$F$7,일일실시사항!$J162)=0,"진행상태 누락; ","")))</f>
        <v/>
      </c>
    </row>
    <row r="1195">
      <c r="A1195" s="26" t="inlineStr">
        <is>
          <t>일일실시사항</t>
        </is>
      </c>
      <c r="B1195" s="66" t="n">
        <v>163</v>
      </c>
      <c r="C1195" s="122">
        <f>IF($D1195="","",IFERROR(TEXT(일일실시사항!$B163,"yyyy-mm-dd"),"(날짜없음)")&amp;"  "&amp;일일실시사항!$D163&amp;"  "&amp;일일실시사항!$H163)</f>
        <v/>
      </c>
      <c r="D1195" s="122">
        <f>IF(NOT(COUNTBLANK(일일실시사항!$B163:$K163)&lt;10),"",TRIM(IF(일일실시사항!$B163="","일자 누락; ","")&amp;IF(COUNTIF(코드설정!$C$5:$C$24,일일실시사항!$D163)=0,"담당자 누락; ","")&amp;IF(COUNTIF(코드설정!$G$5:$G$14,일일실시사항!$F163)=0,"업무구분 누락; ","")&amp;IF(AND(일일실시사항!$G163&lt;&gt;"",COUNTIF(사건마스터!$A$5:$A$64,일일실시사항!$G163)=0),"미등록 사건번호; ","")&amp;IF(일일실시사항!$H163="","실시 내용 없음; ","")&amp;IF(COUNTIF(코드설정!$F$5:$F$7,일일실시사항!$J163)=0,"진행상태 누락; ","")))</f>
        <v/>
      </c>
    </row>
    <row r="1196">
      <c r="A1196" s="26" t="inlineStr">
        <is>
          <t>일일실시사항</t>
        </is>
      </c>
      <c r="B1196" s="66" t="n">
        <v>164</v>
      </c>
      <c r="C1196" s="122">
        <f>IF($D1196="","",IFERROR(TEXT(일일실시사항!$B164,"yyyy-mm-dd"),"(날짜없음)")&amp;"  "&amp;일일실시사항!$D164&amp;"  "&amp;일일실시사항!$H164)</f>
        <v/>
      </c>
      <c r="D1196" s="122">
        <f>IF(NOT(COUNTBLANK(일일실시사항!$B164:$K164)&lt;10),"",TRIM(IF(일일실시사항!$B164="","일자 누락; ","")&amp;IF(COUNTIF(코드설정!$C$5:$C$24,일일실시사항!$D164)=0,"담당자 누락; ","")&amp;IF(COUNTIF(코드설정!$G$5:$G$14,일일실시사항!$F164)=0,"업무구분 누락; ","")&amp;IF(AND(일일실시사항!$G164&lt;&gt;"",COUNTIF(사건마스터!$A$5:$A$64,일일실시사항!$G164)=0),"미등록 사건번호; ","")&amp;IF(일일실시사항!$H164="","실시 내용 없음; ","")&amp;IF(COUNTIF(코드설정!$F$5:$F$7,일일실시사항!$J164)=0,"진행상태 누락; ","")))</f>
        <v/>
      </c>
    </row>
    <row r="1197">
      <c r="A1197" s="26" t="inlineStr">
        <is>
          <t>일일실시사항</t>
        </is>
      </c>
      <c r="B1197" s="66" t="n">
        <v>165</v>
      </c>
      <c r="C1197" s="122">
        <f>IF($D1197="","",IFERROR(TEXT(일일실시사항!$B165,"yyyy-mm-dd"),"(날짜없음)")&amp;"  "&amp;일일실시사항!$D165&amp;"  "&amp;일일실시사항!$H165)</f>
        <v/>
      </c>
      <c r="D1197" s="122">
        <f>IF(NOT(COUNTBLANK(일일실시사항!$B165:$K165)&lt;10),"",TRIM(IF(일일실시사항!$B165="","일자 누락; ","")&amp;IF(COUNTIF(코드설정!$C$5:$C$24,일일실시사항!$D165)=0,"담당자 누락; ","")&amp;IF(COUNTIF(코드설정!$G$5:$G$14,일일실시사항!$F165)=0,"업무구분 누락; ","")&amp;IF(AND(일일실시사항!$G165&lt;&gt;"",COUNTIF(사건마스터!$A$5:$A$64,일일실시사항!$G165)=0),"미등록 사건번호; ","")&amp;IF(일일실시사항!$H165="","실시 내용 없음; ","")&amp;IF(COUNTIF(코드설정!$F$5:$F$7,일일실시사항!$J165)=0,"진행상태 누락; ","")))</f>
        <v/>
      </c>
    </row>
    <row r="1198">
      <c r="A1198" s="26" t="inlineStr">
        <is>
          <t>일일실시사항</t>
        </is>
      </c>
      <c r="B1198" s="66" t="n">
        <v>166</v>
      </c>
      <c r="C1198" s="122">
        <f>IF($D1198="","",IFERROR(TEXT(일일실시사항!$B166,"yyyy-mm-dd"),"(날짜없음)")&amp;"  "&amp;일일실시사항!$D166&amp;"  "&amp;일일실시사항!$H166)</f>
        <v/>
      </c>
      <c r="D1198" s="122">
        <f>IF(NOT(COUNTBLANK(일일실시사항!$B166:$K166)&lt;10),"",TRIM(IF(일일실시사항!$B166="","일자 누락; ","")&amp;IF(COUNTIF(코드설정!$C$5:$C$24,일일실시사항!$D166)=0,"담당자 누락; ","")&amp;IF(COUNTIF(코드설정!$G$5:$G$14,일일실시사항!$F166)=0,"업무구분 누락; ","")&amp;IF(AND(일일실시사항!$G166&lt;&gt;"",COUNTIF(사건마스터!$A$5:$A$64,일일실시사항!$G166)=0),"미등록 사건번호; ","")&amp;IF(일일실시사항!$H166="","실시 내용 없음; ","")&amp;IF(COUNTIF(코드설정!$F$5:$F$7,일일실시사항!$J166)=0,"진행상태 누락; ","")))</f>
        <v/>
      </c>
    </row>
    <row r="1199">
      <c r="A1199" s="26" t="inlineStr">
        <is>
          <t>일일실시사항</t>
        </is>
      </c>
      <c r="B1199" s="66" t="n">
        <v>167</v>
      </c>
      <c r="C1199" s="122">
        <f>IF($D1199="","",IFERROR(TEXT(일일실시사항!$B167,"yyyy-mm-dd"),"(날짜없음)")&amp;"  "&amp;일일실시사항!$D167&amp;"  "&amp;일일실시사항!$H167)</f>
        <v/>
      </c>
      <c r="D1199" s="122">
        <f>IF(NOT(COUNTBLANK(일일실시사항!$B167:$K167)&lt;10),"",TRIM(IF(일일실시사항!$B167="","일자 누락; ","")&amp;IF(COUNTIF(코드설정!$C$5:$C$24,일일실시사항!$D167)=0,"담당자 누락; ","")&amp;IF(COUNTIF(코드설정!$G$5:$G$14,일일실시사항!$F167)=0,"업무구분 누락; ","")&amp;IF(AND(일일실시사항!$G167&lt;&gt;"",COUNTIF(사건마스터!$A$5:$A$64,일일실시사항!$G167)=0),"미등록 사건번호; ","")&amp;IF(일일실시사항!$H167="","실시 내용 없음; ","")&amp;IF(COUNTIF(코드설정!$F$5:$F$7,일일실시사항!$J167)=0,"진행상태 누락; ","")))</f>
        <v/>
      </c>
    </row>
    <row r="1200">
      <c r="A1200" s="26" t="inlineStr">
        <is>
          <t>일일실시사항</t>
        </is>
      </c>
      <c r="B1200" s="66" t="n">
        <v>168</v>
      </c>
      <c r="C1200" s="122">
        <f>IF($D1200="","",IFERROR(TEXT(일일실시사항!$B168,"yyyy-mm-dd"),"(날짜없음)")&amp;"  "&amp;일일실시사항!$D168&amp;"  "&amp;일일실시사항!$H168)</f>
        <v/>
      </c>
      <c r="D1200" s="122">
        <f>IF(NOT(COUNTBLANK(일일실시사항!$B168:$K168)&lt;10),"",TRIM(IF(일일실시사항!$B168="","일자 누락; ","")&amp;IF(COUNTIF(코드설정!$C$5:$C$24,일일실시사항!$D168)=0,"담당자 누락; ","")&amp;IF(COUNTIF(코드설정!$G$5:$G$14,일일실시사항!$F168)=0,"업무구분 누락; ","")&amp;IF(AND(일일실시사항!$G168&lt;&gt;"",COUNTIF(사건마스터!$A$5:$A$64,일일실시사항!$G168)=0),"미등록 사건번호; ","")&amp;IF(일일실시사항!$H168="","실시 내용 없음; ","")&amp;IF(COUNTIF(코드설정!$F$5:$F$7,일일실시사항!$J168)=0,"진행상태 누락; ","")))</f>
        <v/>
      </c>
    </row>
    <row r="1201">
      <c r="A1201" s="26" t="inlineStr">
        <is>
          <t>일일실시사항</t>
        </is>
      </c>
      <c r="B1201" s="66" t="n">
        <v>169</v>
      </c>
      <c r="C1201" s="122">
        <f>IF($D1201="","",IFERROR(TEXT(일일실시사항!$B169,"yyyy-mm-dd"),"(날짜없음)")&amp;"  "&amp;일일실시사항!$D169&amp;"  "&amp;일일실시사항!$H169)</f>
        <v/>
      </c>
      <c r="D1201" s="122">
        <f>IF(NOT(COUNTBLANK(일일실시사항!$B169:$K169)&lt;10),"",TRIM(IF(일일실시사항!$B169="","일자 누락; ","")&amp;IF(COUNTIF(코드설정!$C$5:$C$24,일일실시사항!$D169)=0,"담당자 누락; ","")&amp;IF(COUNTIF(코드설정!$G$5:$G$14,일일실시사항!$F169)=0,"업무구분 누락; ","")&amp;IF(AND(일일실시사항!$G169&lt;&gt;"",COUNTIF(사건마스터!$A$5:$A$64,일일실시사항!$G169)=0),"미등록 사건번호; ","")&amp;IF(일일실시사항!$H169="","실시 내용 없음; ","")&amp;IF(COUNTIF(코드설정!$F$5:$F$7,일일실시사항!$J169)=0,"진행상태 누락; ","")))</f>
        <v/>
      </c>
    </row>
    <row r="1202">
      <c r="A1202" s="26" t="inlineStr">
        <is>
          <t>일일실시사항</t>
        </is>
      </c>
      <c r="B1202" s="66" t="n">
        <v>170</v>
      </c>
      <c r="C1202" s="122">
        <f>IF($D1202="","",IFERROR(TEXT(일일실시사항!$B170,"yyyy-mm-dd"),"(날짜없음)")&amp;"  "&amp;일일실시사항!$D170&amp;"  "&amp;일일실시사항!$H170)</f>
        <v/>
      </c>
      <c r="D1202" s="122">
        <f>IF(NOT(COUNTBLANK(일일실시사항!$B170:$K170)&lt;10),"",TRIM(IF(일일실시사항!$B170="","일자 누락; ","")&amp;IF(COUNTIF(코드설정!$C$5:$C$24,일일실시사항!$D170)=0,"담당자 누락; ","")&amp;IF(COUNTIF(코드설정!$G$5:$G$14,일일실시사항!$F170)=0,"업무구분 누락; ","")&amp;IF(AND(일일실시사항!$G170&lt;&gt;"",COUNTIF(사건마스터!$A$5:$A$64,일일실시사항!$G170)=0),"미등록 사건번호; ","")&amp;IF(일일실시사항!$H170="","실시 내용 없음; ","")&amp;IF(COUNTIF(코드설정!$F$5:$F$7,일일실시사항!$J170)=0,"진행상태 누락; ","")))</f>
        <v/>
      </c>
    </row>
    <row r="1203">
      <c r="A1203" s="26" t="inlineStr">
        <is>
          <t>일일실시사항</t>
        </is>
      </c>
      <c r="B1203" s="66" t="n">
        <v>171</v>
      </c>
      <c r="C1203" s="122">
        <f>IF($D1203="","",IFERROR(TEXT(일일실시사항!$B171,"yyyy-mm-dd"),"(날짜없음)")&amp;"  "&amp;일일실시사항!$D171&amp;"  "&amp;일일실시사항!$H171)</f>
        <v/>
      </c>
      <c r="D1203" s="122">
        <f>IF(NOT(COUNTBLANK(일일실시사항!$B171:$K171)&lt;10),"",TRIM(IF(일일실시사항!$B171="","일자 누락; ","")&amp;IF(COUNTIF(코드설정!$C$5:$C$24,일일실시사항!$D171)=0,"담당자 누락; ","")&amp;IF(COUNTIF(코드설정!$G$5:$G$14,일일실시사항!$F171)=0,"업무구분 누락; ","")&amp;IF(AND(일일실시사항!$G171&lt;&gt;"",COUNTIF(사건마스터!$A$5:$A$64,일일실시사항!$G171)=0),"미등록 사건번호; ","")&amp;IF(일일실시사항!$H171="","실시 내용 없음; ","")&amp;IF(COUNTIF(코드설정!$F$5:$F$7,일일실시사항!$J171)=0,"진행상태 누락; ","")))</f>
        <v/>
      </c>
    </row>
    <row r="1204">
      <c r="A1204" s="26" t="inlineStr">
        <is>
          <t>일일실시사항</t>
        </is>
      </c>
      <c r="B1204" s="66" t="n">
        <v>172</v>
      </c>
      <c r="C1204" s="122">
        <f>IF($D1204="","",IFERROR(TEXT(일일실시사항!$B172,"yyyy-mm-dd"),"(날짜없음)")&amp;"  "&amp;일일실시사항!$D172&amp;"  "&amp;일일실시사항!$H172)</f>
        <v/>
      </c>
      <c r="D1204" s="122">
        <f>IF(NOT(COUNTBLANK(일일실시사항!$B172:$K172)&lt;10),"",TRIM(IF(일일실시사항!$B172="","일자 누락; ","")&amp;IF(COUNTIF(코드설정!$C$5:$C$24,일일실시사항!$D172)=0,"담당자 누락; ","")&amp;IF(COUNTIF(코드설정!$G$5:$G$14,일일실시사항!$F172)=0,"업무구분 누락; ","")&amp;IF(AND(일일실시사항!$G172&lt;&gt;"",COUNTIF(사건마스터!$A$5:$A$64,일일실시사항!$G172)=0),"미등록 사건번호; ","")&amp;IF(일일실시사항!$H172="","실시 내용 없음; ","")&amp;IF(COUNTIF(코드설정!$F$5:$F$7,일일실시사항!$J172)=0,"진행상태 누락; ","")))</f>
        <v/>
      </c>
    </row>
    <row r="1205">
      <c r="A1205" s="26" t="inlineStr">
        <is>
          <t>일일실시사항</t>
        </is>
      </c>
      <c r="B1205" s="66" t="n">
        <v>173</v>
      </c>
      <c r="C1205" s="122">
        <f>IF($D1205="","",IFERROR(TEXT(일일실시사항!$B173,"yyyy-mm-dd"),"(날짜없음)")&amp;"  "&amp;일일실시사항!$D173&amp;"  "&amp;일일실시사항!$H173)</f>
        <v/>
      </c>
      <c r="D1205" s="122">
        <f>IF(NOT(COUNTBLANK(일일실시사항!$B173:$K173)&lt;10),"",TRIM(IF(일일실시사항!$B173="","일자 누락; ","")&amp;IF(COUNTIF(코드설정!$C$5:$C$24,일일실시사항!$D173)=0,"담당자 누락; ","")&amp;IF(COUNTIF(코드설정!$G$5:$G$14,일일실시사항!$F173)=0,"업무구분 누락; ","")&amp;IF(AND(일일실시사항!$G173&lt;&gt;"",COUNTIF(사건마스터!$A$5:$A$64,일일실시사항!$G173)=0),"미등록 사건번호; ","")&amp;IF(일일실시사항!$H173="","실시 내용 없음; ","")&amp;IF(COUNTIF(코드설정!$F$5:$F$7,일일실시사항!$J173)=0,"진행상태 누락; ","")))</f>
        <v/>
      </c>
    </row>
    <row r="1206">
      <c r="A1206" s="26" t="inlineStr">
        <is>
          <t>일일실시사항</t>
        </is>
      </c>
      <c r="B1206" s="66" t="n">
        <v>174</v>
      </c>
      <c r="C1206" s="122">
        <f>IF($D1206="","",IFERROR(TEXT(일일실시사항!$B174,"yyyy-mm-dd"),"(날짜없음)")&amp;"  "&amp;일일실시사항!$D174&amp;"  "&amp;일일실시사항!$H174)</f>
        <v/>
      </c>
      <c r="D1206" s="122">
        <f>IF(NOT(COUNTBLANK(일일실시사항!$B174:$K174)&lt;10),"",TRIM(IF(일일실시사항!$B174="","일자 누락; ","")&amp;IF(COUNTIF(코드설정!$C$5:$C$24,일일실시사항!$D174)=0,"담당자 누락; ","")&amp;IF(COUNTIF(코드설정!$G$5:$G$14,일일실시사항!$F174)=0,"업무구분 누락; ","")&amp;IF(AND(일일실시사항!$G174&lt;&gt;"",COUNTIF(사건마스터!$A$5:$A$64,일일실시사항!$G174)=0),"미등록 사건번호; ","")&amp;IF(일일실시사항!$H174="","실시 내용 없음; ","")&amp;IF(COUNTIF(코드설정!$F$5:$F$7,일일실시사항!$J174)=0,"진행상태 누락; ","")))</f>
        <v/>
      </c>
    </row>
    <row r="1207">
      <c r="A1207" s="26" t="inlineStr">
        <is>
          <t>일일실시사항</t>
        </is>
      </c>
      <c r="B1207" s="66" t="n">
        <v>175</v>
      </c>
      <c r="C1207" s="122">
        <f>IF($D1207="","",IFERROR(TEXT(일일실시사항!$B175,"yyyy-mm-dd"),"(날짜없음)")&amp;"  "&amp;일일실시사항!$D175&amp;"  "&amp;일일실시사항!$H175)</f>
        <v/>
      </c>
      <c r="D1207" s="122">
        <f>IF(NOT(COUNTBLANK(일일실시사항!$B175:$K175)&lt;10),"",TRIM(IF(일일실시사항!$B175="","일자 누락; ","")&amp;IF(COUNTIF(코드설정!$C$5:$C$24,일일실시사항!$D175)=0,"담당자 누락; ","")&amp;IF(COUNTIF(코드설정!$G$5:$G$14,일일실시사항!$F175)=0,"업무구분 누락; ","")&amp;IF(AND(일일실시사항!$G175&lt;&gt;"",COUNTIF(사건마스터!$A$5:$A$64,일일실시사항!$G175)=0),"미등록 사건번호; ","")&amp;IF(일일실시사항!$H175="","실시 내용 없음; ","")&amp;IF(COUNTIF(코드설정!$F$5:$F$7,일일실시사항!$J175)=0,"진행상태 누락; ","")))</f>
        <v/>
      </c>
    </row>
    <row r="1208">
      <c r="A1208" s="26" t="inlineStr">
        <is>
          <t>일일실시사항</t>
        </is>
      </c>
      <c r="B1208" s="66" t="n">
        <v>176</v>
      </c>
      <c r="C1208" s="122">
        <f>IF($D1208="","",IFERROR(TEXT(일일실시사항!$B176,"yyyy-mm-dd"),"(날짜없음)")&amp;"  "&amp;일일실시사항!$D176&amp;"  "&amp;일일실시사항!$H176)</f>
        <v/>
      </c>
      <c r="D1208" s="122">
        <f>IF(NOT(COUNTBLANK(일일실시사항!$B176:$K176)&lt;10),"",TRIM(IF(일일실시사항!$B176="","일자 누락; ","")&amp;IF(COUNTIF(코드설정!$C$5:$C$24,일일실시사항!$D176)=0,"담당자 누락; ","")&amp;IF(COUNTIF(코드설정!$G$5:$G$14,일일실시사항!$F176)=0,"업무구분 누락; ","")&amp;IF(AND(일일실시사항!$G176&lt;&gt;"",COUNTIF(사건마스터!$A$5:$A$64,일일실시사항!$G176)=0),"미등록 사건번호; ","")&amp;IF(일일실시사항!$H176="","실시 내용 없음; ","")&amp;IF(COUNTIF(코드설정!$F$5:$F$7,일일실시사항!$J176)=0,"진행상태 누락; ","")))</f>
        <v/>
      </c>
    </row>
    <row r="1209">
      <c r="A1209" s="26" t="inlineStr">
        <is>
          <t>일일실시사항</t>
        </is>
      </c>
      <c r="B1209" s="66" t="n">
        <v>177</v>
      </c>
      <c r="C1209" s="122">
        <f>IF($D1209="","",IFERROR(TEXT(일일실시사항!$B177,"yyyy-mm-dd"),"(날짜없음)")&amp;"  "&amp;일일실시사항!$D177&amp;"  "&amp;일일실시사항!$H177)</f>
        <v/>
      </c>
      <c r="D1209" s="122">
        <f>IF(NOT(COUNTBLANK(일일실시사항!$B177:$K177)&lt;10),"",TRIM(IF(일일실시사항!$B177="","일자 누락; ","")&amp;IF(COUNTIF(코드설정!$C$5:$C$24,일일실시사항!$D177)=0,"담당자 누락; ","")&amp;IF(COUNTIF(코드설정!$G$5:$G$14,일일실시사항!$F177)=0,"업무구분 누락; ","")&amp;IF(AND(일일실시사항!$G177&lt;&gt;"",COUNTIF(사건마스터!$A$5:$A$64,일일실시사항!$G177)=0),"미등록 사건번호; ","")&amp;IF(일일실시사항!$H177="","실시 내용 없음; ","")&amp;IF(COUNTIF(코드설정!$F$5:$F$7,일일실시사항!$J177)=0,"진행상태 누락; ","")))</f>
        <v/>
      </c>
    </row>
    <row r="1210">
      <c r="A1210" s="26" t="inlineStr">
        <is>
          <t>일일실시사항</t>
        </is>
      </c>
      <c r="B1210" s="66" t="n">
        <v>178</v>
      </c>
      <c r="C1210" s="122">
        <f>IF($D1210="","",IFERROR(TEXT(일일실시사항!$B178,"yyyy-mm-dd"),"(날짜없음)")&amp;"  "&amp;일일실시사항!$D178&amp;"  "&amp;일일실시사항!$H178)</f>
        <v/>
      </c>
      <c r="D1210" s="122">
        <f>IF(NOT(COUNTBLANK(일일실시사항!$B178:$K178)&lt;10),"",TRIM(IF(일일실시사항!$B178="","일자 누락; ","")&amp;IF(COUNTIF(코드설정!$C$5:$C$24,일일실시사항!$D178)=0,"담당자 누락; ","")&amp;IF(COUNTIF(코드설정!$G$5:$G$14,일일실시사항!$F178)=0,"업무구분 누락; ","")&amp;IF(AND(일일실시사항!$G178&lt;&gt;"",COUNTIF(사건마스터!$A$5:$A$64,일일실시사항!$G178)=0),"미등록 사건번호; ","")&amp;IF(일일실시사항!$H178="","실시 내용 없음; ","")&amp;IF(COUNTIF(코드설정!$F$5:$F$7,일일실시사항!$J178)=0,"진행상태 누락; ","")))</f>
        <v/>
      </c>
    </row>
    <row r="1211">
      <c r="A1211" s="26" t="inlineStr">
        <is>
          <t>일일실시사항</t>
        </is>
      </c>
      <c r="B1211" s="66" t="n">
        <v>179</v>
      </c>
      <c r="C1211" s="122">
        <f>IF($D1211="","",IFERROR(TEXT(일일실시사항!$B179,"yyyy-mm-dd"),"(날짜없음)")&amp;"  "&amp;일일실시사항!$D179&amp;"  "&amp;일일실시사항!$H179)</f>
        <v/>
      </c>
      <c r="D1211" s="122">
        <f>IF(NOT(COUNTBLANK(일일실시사항!$B179:$K179)&lt;10),"",TRIM(IF(일일실시사항!$B179="","일자 누락; ","")&amp;IF(COUNTIF(코드설정!$C$5:$C$24,일일실시사항!$D179)=0,"담당자 누락; ","")&amp;IF(COUNTIF(코드설정!$G$5:$G$14,일일실시사항!$F179)=0,"업무구분 누락; ","")&amp;IF(AND(일일실시사항!$G179&lt;&gt;"",COUNTIF(사건마스터!$A$5:$A$64,일일실시사항!$G179)=0),"미등록 사건번호; ","")&amp;IF(일일실시사항!$H179="","실시 내용 없음; ","")&amp;IF(COUNTIF(코드설정!$F$5:$F$7,일일실시사항!$J179)=0,"진행상태 누락; ","")))</f>
        <v/>
      </c>
    </row>
    <row r="1212">
      <c r="A1212" s="26" t="inlineStr">
        <is>
          <t>일일실시사항</t>
        </is>
      </c>
      <c r="B1212" s="66" t="n">
        <v>180</v>
      </c>
      <c r="C1212" s="122">
        <f>IF($D1212="","",IFERROR(TEXT(일일실시사항!$B180,"yyyy-mm-dd"),"(날짜없음)")&amp;"  "&amp;일일실시사항!$D180&amp;"  "&amp;일일실시사항!$H180)</f>
        <v/>
      </c>
      <c r="D1212" s="122">
        <f>IF(NOT(COUNTBLANK(일일실시사항!$B180:$K180)&lt;10),"",TRIM(IF(일일실시사항!$B180="","일자 누락; ","")&amp;IF(COUNTIF(코드설정!$C$5:$C$24,일일실시사항!$D180)=0,"담당자 누락; ","")&amp;IF(COUNTIF(코드설정!$G$5:$G$14,일일실시사항!$F180)=0,"업무구분 누락; ","")&amp;IF(AND(일일실시사항!$G180&lt;&gt;"",COUNTIF(사건마스터!$A$5:$A$64,일일실시사항!$G180)=0),"미등록 사건번호; ","")&amp;IF(일일실시사항!$H180="","실시 내용 없음; ","")&amp;IF(COUNTIF(코드설정!$F$5:$F$7,일일실시사항!$J180)=0,"진행상태 누락; ","")))</f>
        <v/>
      </c>
    </row>
    <row r="1213">
      <c r="A1213" s="26" t="inlineStr">
        <is>
          <t>일일실시사항</t>
        </is>
      </c>
      <c r="B1213" s="66" t="n">
        <v>181</v>
      </c>
      <c r="C1213" s="122">
        <f>IF($D1213="","",IFERROR(TEXT(일일실시사항!$B181,"yyyy-mm-dd"),"(날짜없음)")&amp;"  "&amp;일일실시사항!$D181&amp;"  "&amp;일일실시사항!$H181)</f>
        <v/>
      </c>
      <c r="D1213" s="122">
        <f>IF(NOT(COUNTBLANK(일일실시사항!$B181:$K181)&lt;10),"",TRIM(IF(일일실시사항!$B181="","일자 누락; ","")&amp;IF(COUNTIF(코드설정!$C$5:$C$24,일일실시사항!$D181)=0,"담당자 누락; ","")&amp;IF(COUNTIF(코드설정!$G$5:$G$14,일일실시사항!$F181)=0,"업무구분 누락; ","")&amp;IF(AND(일일실시사항!$G181&lt;&gt;"",COUNTIF(사건마스터!$A$5:$A$64,일일실시사항!$G181)=0),"미등록 사건번호; ","")&amp;IF(일일실시사항!$H181="","실시 내용 없음; ","")&amp;IF(COUNTIF(코드설정!$F$5:$F$7,일일실시사항!$J181)=0,"진행상태 누락; ","")))</f>
        <v/>
      </c>
    </row>
    <row r="1214">
      <c r="A1214" s="26" t="inlineStr">
        <is>
          <t>일일실시사항</t>
        </is>
      </c>
      <c r="B1214" s="66" t="n">
        <v>182</v>
      </c>
      <c r="C1214" s="122">
        <f>IF($D1214="","",IFERROR(TEXT(일일실시사항!$B182,"yyyy-mm-dd"),"(날짜없음)")&amp;"  "&amp;일일실시사항!$D182&amp;"  "&amp;일일실시사항!$H182)</f>
        <v/>
      </c>
      <c r="D1214" s="122">
        <f>IF(NOT(COUNTBLANK(일일실시사항!$B182:$K182)&lt;10),"",TRIM(IF(일일실시사항!$B182="","일자 누락; ","")&amp;IF(COUNTIF(코드설정!$C$5:$C$24,일일실시사항!$D182)=0,"담당자 누락; ","")&amp;IF(COUNTIF(코드설정!$G$5:$G$14,일일실시사항!$F182)=0,"업무구분 누락; ","")&amp;IF(AND(일일실시사항!$G182&lt;&gt;"",COUNTIF(사건마스터!$A$5:$A$64,일일실시사항!$G182)=0),"미등록 사건번호; ","")&amp;IF(일일실시사항!$H182="","실시 내용 없음; ","")&amp;IF(COUNTIF(코드설정!$F$5:$F$7,일일실시사항!$J182)=0,"진행상태 누락; ","")))</f>
        <v/>
      </c>
    </row>
    <row r="1215">
      <c r="A1215" s="26" t="inlineStr">
        <is>
          <t>일일실시사항</t>
        </is>
      </c>
      <c r="B1215" s="66" t="n">
        <v>183</v>
      </c>
      <c r="C1215" s="122">
        <f>IF($D1215="","",IFERROR(TEXT(일일실시사항!$B183,"yyyy-mm-dd"),"(날짜없음)")&amp;"  "&amp;일일실시사항!$D183&amp;"  "&amp;일일실시사항!$H183)</f>
        <v/>
      </c>
      <c r="D1215" s="122">
        <f>IF(NOT(COUNTBLANK(일일실시사항!$B183:$K183)&lt;10),"",TRIM(IF(일일실시사항!$B183="","일자 누락; ","")&amp;IF(COUNTIF(코드설정!$C$5:$C$24,일일실시사항!$D183)=0,"담당자 누락; ","")&amp;IF(COUNTIF(코드설정!$G$5:$G$14,일일실시사항!$F183)=0,"업무구분 누락; ","")&amp;IF(AND(일일실시사항!$G183&lt;&gt;"",COUNTIF(사건마스터!$A$5:$A$64,일일실시사항!$G183)=0),"미등록 사건번호; ","")&amp;IF(일일실시사항!$H183="","실시 내용 없음; ","")&amp;IF(COUNTIF(코드설정!$F$5:$F$7,일일실시사항!$J183)=0,"진행상태 누락; ","")))</f>
        <v/>
      </c>
    </row>
    <row r="1216">
      <c r="A1216" s="26" t="inlineStr">
        <is>
          <t>일일실시사항</t>
        </is>
      </c>
      <c r="B1216" s="66" t="n">
        <v>184</v>
      </c>
      <c r="C1216" s="122">
        <f>IF($D1216="","",IFERROR(TEXT(일일실시사항!$B184,"yyyy-mm-dd"),"(날짜없음)")&amp;"  "&amp;일일실시사항!$D184&amp;"  "&amp;일일실시사항!$H184)</f>
        <v/>
      </c>
      <c r="D1216" s="122">
        <f>IF(NOT(COUNTBLANK(일일실시사항!$B184:$K184)&lt;10),"",TRIM(IF(일일실시사항!$B184="","일자 누락; ","")&amp;IF(COUNTIF(코드설정!$C$5:$C$24,일일실시사항!$D184)=0,"담당자 누락; ","")&amp;IF(COUNTIF(코드설정!$G$5:$G$14,일일실시사항!$F184)=0,"업무구분 누락; ","")&amp;IF(AND(일일실시사항!$G184&lt;&gt;"",COUNTIF(사건마스터!$A$5:$A$64,일일실시사항!$G184)=0),"미등록 사건번호; ","")&amp;IF(일일실시사항!$H184="","실시 내용 없음; ","")&amp;IF(COUNTIF(코드설정!$F$5:$F$7,일일실시사항!$J184)=0,"진행상태 누락; ","")))</f>
        <v/>
      </c>
    </row>
    <row r="1217">
      <c r="A1217" s="26" t="inlineStr">
        <is>
          <t>일일실시사항</t>
        </is>
      </c>
      <c r="B1217" s="66" t="n">
        <v>185</v>
      </c>
      <c r="C1217" s="122">
        <f>IF($D1217="","",IFERROR(TEXT(일일실시사항!$B185,"yyyy-mm-dd"),"(날짜없음)")&amp;"  "&amp;일일실시사항!$D185&amp;"  "&amp;일일실시사항!$H185)</f>
        <v/>
      </c>
      <c r="D1217" s="122">
        <f>IF(NOT(COUNTBLANK(일일실시사항!$B185:$K185)&lt;10),"",TRIM(IF(일일실시사항!$B185="","일자 누락; ","")&amp;IF(COUNTIF(코드설정!$C$5:$C$24,일일실시사항!$D185)=0,"담당자 누락; ","")&amp;IF(COUNTIF(코드설정!$G$5:$G$14,일일실시사항!$F185)=0,"업무구분 누락; ","")&amp;IF(AND(일일실시사항!$G185&lt;&gt;"",COUNTIF(사건마스터!$A$5:$A$64,일일실시사항!$G185)=0),"미등록 사건번호; ","")&amp;IF(일일실시사항!$H185="","실시 내용 없음; ","")&amp;IF(COUNTIF(코드설정!$F$5:$F$7,일일실시사항!$J185)=0,"진행상태 누락; ","")))</f>
        <v/>
      </c>
    </row>
    <row r="1218">
      <c r="A1218" s="26" t="inlineStr">
        <is>
          <t>일일실시사항</t>
        </is>
      </c>
      <c r="B1218" s="66" t="n">
        <v>186</v>
      </c>
      <c r="C1218" s="122">
        <f>IF($D1218="","",IFERROR(TEXT(일일실시사항!$B186,"yyyy-mm-dd"),"(날짜없음)")&amp;"  "&amp;일일실시사항!$D186&amp;"  "&amp;일일실시사항!$H186)</f>
        <v/>
      </c>
      <c r="D1218" s="122">
        <f>IF(NOT(COUNTBLANK(일일실시사항!$B186:$K186)&lt;10),"",TRIM(IF(일일실시사항!$B186="","일자 누락; ","")&amp;IF(COUNTIF(코드설정!$C$5:$C$24,일일실시사항!$D186)=0,"담당자 누락; ","")&amp;IF(COUNTIF(코드설정!$G$5:$G$14,일일실시사항!$F186)=0,"업무구분 누락; ","")&amp;IF(AND(일일실시사항!$G186&lt;&gt;"",COUNTIF(사건마스터!$A$5:$A$64,일일실시사항!$G186)=0),"미등록 사건번호; ","")&amp;IF(일일실시사항!$H186="","실시 내용 없음; ","")&amp;IF(COUNTIF(코드설정!$F$5:$F$7,일일실시사항!$J186)=0,"진행상태 누락; ","")))</f>
        <v/>
      </c>
    </row>
    <row r="1219">
      <c r="A1219" s="26" t="inlineStr">
        <is>
          <t>일일실시사항</t>
        </is>
      </c>
      <c r="B1219" s="66" t="n">
        <v>187</v>
      </c>
      <c r="C1219" s="122">
        <f>IF($D1219="","",IFERROR(TEXT(일일실시사항!$B187,"yyyy-mm-dd"),"(날짜없음)")&amp;"  "&amp;일일실시사항!$D187&amp;"  "&amp;일일실시사항!$H187)</f>
        <v/>
      </c>
      <c r="D1219" s="122">
        <f>IF(NOT(COUNTBLANK(일일실시사항!$B187:$K187)&lt;10),"",TRIM(IF(일일실시사항!$B187="","일자 누락; ","")&amp;IF(COUNTIF(코드설정!$C$5:$C$24,일일실시사항!$D187)=0,"담당자 누락; ","")&amp;IF(COUNTIF(코드설정!$G$5:$G$14,일일실시사항!$F187)=0,"업무구분 누락; ","")&amp;IF(AND(일일실시사항!$G187&lt;&gt;"",COUNTIF(사건마스터!$A$5:$A$64,일일실시사항!$G187)=0),"미등록 사건번호; ","")&amp;IF(일일실시사항!$H187="","실시 내용 없음; ","")&amp;IF(COUNTIF(코드설정!$F$5:$F$7,일일실시사항!$J187)=0,"진행상태 누락; ","")))</f>
        <v/>
      </c>
    </row>
    <row r="1220">
      <c r="A1220" s="26" t="inlineStr">
        <is>
          <t>일일실시사항</t>
        </is>
      </c>
      <c r="B1220" s="66" t="n">
        <v>188</v>
      </c>
      <c r="C1220" s="122">
        <f>IF($D1220="","",IFERROR(TEXT(일일실시사항!$B188,"yyyy-mm-dd"),"(날짜없음)")&amp;"  "&amp;일일실시사항!$D188&amp;"  "&amp;일일실시사항!$H188)</f>
        <v/>
      </c>
      <c r="D1220" s="122">
        <f>IF(NOT(COUNTBLANK(일일실시사항!$B188:$K188)&lt;10),"",TRIM(IF(일일실시사항!$B188="","일자 누락; ","")&amp;IF(COUNTIF(코드설정!$C$5:$C$24,일일실시사항!$D188)=0,"담당자 누락; ","")&amp;IF(COUNTIF(코드설정!$G$5:$G$14,일일실시사항!$F188)=0,"업무구분 누락; ","")&amp;IF(AND(일일실시사항!$G188&lt;&gt;"",COUNTIF(사건마스터!$A$5:$A$64,일일실시사항!$G188)=0),"미등록 사건번호; ","")&amp;IF(일일실시사항!$H188="","실시 내용 없음; ","")&amp;IF(COUNTIF(코드설정!$F$5:$F$7,일일실시사항!$J188)=0,"진행상태 누락; ","")))</f>
        <v/>
      </c>
    </row>
    <row r="1221">
      <c r="A1221" s="26" t="inlineStr">
        <is>
          <t>일일실시사항</t>
        </is>
      </c>
      <c r="B1221" s="66" t="n">
        <v>189</v>
      </c>
      <c r="C1221" s="122">
        <f>IF($D1221="","",IFERROR(TEXT(일일실시사항!$B189,"yyyy-mm-dd"),"(날짜없음)")&amp;"  "&amp;일일실시사항!$D189&amp;"  "&amp;일일실시사항!$H189)</f>
        <v/>
      </c>
      <c r="D1221" s="122">
        <f>IF(NOT(COUNTBLANK(일일실시사항!$B189:$K189)&lt;10),"",TRIM(IF(일일실시사항!$B189="","일자 누락; ","")&amp;IF(COUNTIF(코드설정!$C$5:$C$24,일일실시사항!$D189)=0,"담당자 누락; ","")&amp;IF(COUNTIF(코드설정!$G$5:$G$14,일일실시사항!$F189)=0,"업무구분 누락; ","")&amp;IF(AND(일일실시사항!$G189&lt;&gt;"",COUNTIF(사건마스터!$A$5:$A$64,일일실시사항!$G189)=0),"미등록 사건번호; ","")&amp;IF(일일실시사항!$H189="","실시 내용 없음; ","")&amp;IF(COUNTIF(코드설정!$F$5:$F$7,일일실시사항!$J189)=0,"진행상태 누락; ","")))</f>
        <v/>
      </c>
    </row>
    <row r="1222">
      <c r="A1222" s="26" t="inlineStr">
        <is>
          <t>일일실시사항</t>
        </is>
      </c>
      <c r="B1222" s="66" t="n">
        <v>190</v>
      </c>
      <c r="C1222" s="122">
        <f>IF($D1222="","",IFERROR(TEXT(일일실시사항!$B190,"yyyy-mm-dd"),"(날짜없음)")&amp;"  "&amp;일일실시사항!$D190&amp;"  "&amp;일일실시사항!$H190)</f>
        <v/>
      </c>
      <c r="D1222" s="122">
        <f>IF(NOT(COUNTBLANK(일일실시사항!$B190:$K190)&lt;10),"",TRIM(IF(일일실시사항!$B190="","일자 누락; ","")&amp;IF(COUNTIF(코드설정!$C$5:$C$24,일일실시사항!$D190)=0,"담당자 누락; ","")&amp;IF(COUNTIF(코드설정!$G$5:$G$14,일일실시사항!$F190)=0,"업무구분 누락; ","")&amp;IF(AND(일일실시사항!$G190&lt;&gt;"",COUNTIF(사건마스터!$A$5:$A$64,일일실시사항!$G190)=0),"미등록 사건번호; ","")&amp;IF(일일실시사항!$H190="","실시 내용 없음; ","")&amp;IF(COUNTIF(코드설정!$F$5:$F$7,일일실시사항!$J190)=0,"진행상태 누락; ","")))</f>
        <v/>
      </c>
    </row>
    <row r="1223">
      <c r="A1223" s="26" t="inlineStr">
        <is>
          <t>일일실시사항</t>
        </is>
      </c>
      <c r="B1223" s="66" t="n">
        <v>191</v>
      </c>
      <c r="C1223" s="122">
        <f>IF($D1223="","",IFERROR(TEXT(일일실시사항!$B191,"yyyy-mm-dd"),"(날짜없음)")&amp;"  "&amp;일일실시사항!$D191&amp;"  "&amp;일일실시사항!$H191)</f>
        <v/>
      </c>
      <c r="D1223" s="122">
        <f>IF(NOT(COUNTBLANK(일일실시사항!$B191:$K191)&lt;10),"",TRIM(IF(일일실시사항!$B191="","일자 누락; ","")&amp;IF(COUNTIF(코드설정!$C$5:$C$24,일일실시사항!$D191)=0,"담당자 누락; ","")&amp;IF(COUNTIF(코드설정!$G$5:$G$14,일일실시사항!$F191)=0,"업무구분 누락; ","")&amp;IF(AND(일일실시사항!$G191&lt;&gt;"",COUNTIF(사건마스터!$A$5:$A$64,일일실시사항!$G191)=0),"미등록 사건번호; ","")&amp;IF(일일실시사항!$H191="","실시 내용 없음; ","")&amp;IF(COUNTIF(코드설정!$F$5:$F$7,일일실시사항!$J191)=0,"진행상태 누락; ","")))</f>
        <v/>
      </c>
    </row>
    <row r="1224">
      <c r="A1224" s="26" t="inlineStr">
        <is>
          <t>일일실시사항</t>
        </is>
      </c>
      <c r="B1224" s="66" t="n">
        <v>192</v>
      </c>
      <c r="C1224" s="122">
        <f>IF($D1224="","",IFERROR(TEXT(일일실시사항!$B192,"yyyy-mm-dd"),"(날짜없음)")&amp;"  "&amp;일일실시사항!$D192&amp;"  "&amp;일일실시사항!$H192)</f>
        <v/>
      </c>
      <c r="D1224" s="122">
        <f>IF(NOT(COUNTBLANK(일일실시사항!$B192:$K192)&lt;10),"",TRIM(IF(일일실시사항!$B192="","일자 누락; ","")&amp;IF(COUNTIF(코드설정!$C$5:$C$24,일일실시사항!$D192)=0,"담당자 누락; ","")&amp;IF(COUNTIF(코드설정!$G$5:$G$14,일일실시사항!$F192)=0,"업무구분 누락; ","")&amp;IF(AND(일일실시사항!$G192&lt;&gt;"",COUNTIF(사건마스터!$A$5:$A$64,일일실시사항!$G192)=0),"미등록 사건번호; ","")&amp;IF(일일실시사항!$H192="","실시 내용 없음; ","")&amp;IF(COUNTIF(코드설정!$F$5:$F$7,일일실시사항!$J192)=0,"진행상태 누락; ","")))</f>
        <v/>
      </c>
    </row>
    <row r="1225">
      <c r="A1225" s="26" t="inlineStr">
        <is>
          <t>일일실시사항</t>
        </is>
      </c>
      <c r="B1225" s="66" t="n">
        <v>193</v>
      </c>
      <c r="C1225" s="122">
        <f>IF($D1225="","",IFERROR(TEXT(일일실시사항!$B193,"yyyy-mm-dd"),"(날짜없음)")&amp;"  "&amp;일일실시사항!$D193&amp;"  "&amp;일일실시사항!$H193)</f>
        <v/>
      </c>
      <c r="D1225" s="122">
        <f>IF(NOT(COUNTBLANK(일일실시사항!$B193:$K193)&lt;10),"",TRIM(IF(일일실시사항!$B193="","일자 누락; ","")&amp;IF(COUNTIF(코드설정!$C$5:$C$24,일일실시사항!$D193)=0,"담당자 누락; ","")&amp;IF(COUNTIF(코드설정!$G$5:$G$14,일일실시사항!$F193)=0,"업무구분 누락; ","")&amp;IF(AND(일일실시사항!$G193&lt;&gt;"",COUNTIF(사건마스터!$A$5:$A$64,일일실시사항!$G193)=0),"미등록 사건번호; ","")&amp;IF(일일실시사항!$H193="","실시 내용 없음; ","")&amp;IF(COUNTIF(코드설정!$F$5:$F$7,일일실시사항!$J193)=0,"진행상태 누락; ","")))</f>
        <v/>
      </c>
    </row>
    <row r="1226">
      <c r="A1226" s="26" t="inlineStr">
        <is>
          <t>일일실시사항</t>
        </is>
      </c>
      <c r="B1226" s="66" t="n">
        <v>194</v>
      </c>
      <c r="C1226" s="122">
        <f>IF($D1226="","",IFERROR(TEXT(일일실시사항!$B194,"yyyy-mm-dd"),"(날짜없음)")&amp;"  "&amp;일일실시사항!$D194&amp;"  "&amp;일일실시사항!$H194)</f>
        <v/>
      </c>
      <c r="D1226" s="122">
        <f>IF(NOT(COUNTBLANK(일일실시사항!$B194:$K194)&lt;10),"",TRIM(IF(일일실시사항!$B194="","일자 누락; ","")&amp;IF(COUNTIF(코드설정!$C$5:$C$24,일일실시사항!$D194)=0,"담당자 누락; ","")&amp;IF(COUNTIF(코드설정!$G$5:$G$14,일일실시사항!$F194)=0,"업무구분 누락; ","")&amp;IF(AND(일일실시사항!$G194&lt;&gt;"",COUNTIF(사건마스터!$A$5:$A$64,일일실시사항!$G194)=0),"미등록 사건번호; ","")&amp;IF(일일실시사항!$H194="","실시 내용 없음; ","")&amp;IF(COUNTIF(코드설정!$F$5:$F$7,일일실시사항!$J194)=0,"진행상태 누락; ","")))</f>
        <v/>
      </c>
    </row>
    <row r="1227">
      <c r="A1227" s="26" t="inlineStr">
        <is>
          <t>일일실시사항</t>
        </is>
      </c>
      <c r="B1227" s="66" t="n">
        <v>195</v>
      </c>
      <c r="C1227" s="122">
        <f>IF($D1227="","",IFERROR(TEXT(일일실시사항!$B195,"yyyy-mm-dd"),"(날짜없음)")&amp;"  "&amp;일일실시사항!$D195&amp;"  "&amp;일일실시사항!$H195)</f>
        <v/>
      </c>
      <c r="D1227" s="122">
        <f>IF(NOT(COUNTBLANK(일일실시사항!$B195:$K195)&lt;10),"",TRIM(IF(일일실시사항!$B195="","일자 누락; ","")&amp;IF(COUNTIF(코드설정!$C$5:$C$24,일일실시사항!$D195)=0,"담당자 누락; ","")&amp;IF(COUNTIF(코드설정!$G$5:$G$14,일일실시사항!$F195)=0,"업무구분 누락; ","")&amp;IF(AND(일일실시사항!$G195&lt;&gt;"",COUNTIF(사건마스터!$A$5:$A$64,일일실시사항!$G195)=0),"미등록 사건번호; ","")&amp;IF(일일실시사항!$H195="","실시 내용 없음; ","")&amp;IF(COUNTIF(코드설정!$F$5:$F$7,일일실시사항!$J195)=0,"진행상태 누락; ","")))</f>
        <v/>
      </c>
    </row>
    <row r="1228">
      <c r="A1228" s="26" t="inlineStr">
        <is>
          <t>일일실시사항</t>
        </is>
      </c>
      <c r="B1228" s="66" t="n">
        <v>196</v>
      </c>
      <c r="C1228" s="122">
        <f>IF($D1228="","",IFERROR(TEXT(일일실시사항!$B196,"yyyy-mm-dd"),"(날짜없음)")&amp;"  "&amp;일일실시사항!$D196&amp;"  "&amp;일일실시사항!$H196)</f>
        <v/>
      </c>
      <c r="D1228" s="122">
        <f>IF(NOT(COUNTBLANK(일일실시사항!$B196:$K196)&lt;10),"",TRIM(IF(일일실시사항!$B196="","일자 누락; ","")&amp;IF(COUNTIF(코드설정!$C$5:$C$24,일일실시사항!$D196)=0,"담당자 누락; ","")&amp;IF(COUNTIF(코드설정!$G$5:$G$14,일일실시사항!$F196)=0,"업무구분 누락; ","")&amp;IF(AND(일일실시사항!$G196&lt;&gt;"",COUNTIF(사건마스터!$A$5:$A$64,일일실시사항!$G196)=0),"미등록 사건번호; ","")&amp;IF(일일실시사항!$H196="","실시 내용 없음; ","")&amp;IF(COUNTIF(코드설정!$F$5:$F$7,일일실시사항!$J196)=0,"진행상태 누락; ","")))</f>
        <v/>
      </c>
    </row>
    <row r="1229">
      <c r="A1229" s="26" t="inlineStr">
        <is>
          <t>일일실시사항</t>
        </is>
      </c>
      <c r="B1229" s="66" t="n">
        <v>197</v>
      </c>
      <c r="C1229" s="122">
        <f>IF($D1229="","",IFERROR(TEXT(일일실시사항!$B197,"yyyy-mm-dd"),"(날짜없음)")&amp;"  "&amp;일일실시사항!$D197&amp;"  "&amp;일일실시사항!$H197)</f>
        <v/>
      </c>
      <c r="D1229" s="122">
        <f>IF(NOT(COUNTBLANK(일일실시사항!$B197:$K197)&lt;10),"",TRIM(IF(일일실시사항!$B197="","일자 누락; ","")&amp;IF(COUNTIF(코드설정!$C$5:$C$24,일일실시사항!$D197)=0,"담당자 누락; ","")&amp;IF(COUNTIF(코드설정!$G$5:$G$14,일일실시사항!$F197)=0,"업무구분 누락; ","")&amp;IF(AND(일일실시사항!$G197&lt;&gt;"",COUNTIF(사건마스터!$A$5:$A$64,일일실시사항!$G197)=0),"미등록 사건번호; ","")&amp;IF(일일실시사항!$H197="","실시 내용 없음; ","")&amp;IF(COUNTIF(코드설정!$F$5:$F$7,일일실시사항!$J197)=0,"진행상태 누락; ","")))</f>
        <v/>
      </c>
    </row>
    <row r="1230">
      <c r="A1230" s="26" t="inlineStr">
        <is>
          <t>일일실시사항</t>
        </is>
      </c>
      <c r="B1230" s="66" t="n">
        <v>198</v>
      </c>
      <c r="C1230" s="122">
        <f>IF($D1230="","",IFERROR(TEXT(일일실시사항!$B198,"yyyy-mm-dd"),"(날짜없음)")&amp;"  "&amp;일일실시사항!$D198&amp;"  "&amp;일일실시사항!$H198)</f>
        <v/>
      </c>
      <c r="D1230" s="122">
        <f>IF(NOT(COUNTBLANK(일일실시사항!$B198:$K198)&lt;10),"",TRIM(IF(일일실시사항!$B198="","일자 누락; ","")&amp;IF(COUNTIF(코드설정!$C$5:$C$24,일일실시사항!$D198)=0,"담당자 누락; ","")&amp;IF(COUNTIF(코드설정!$G$5:$G$14,일일실시사항!$F198)=0,"업무구분 누락; ","")&amp;IF(AND(일일실시사항!$G198&lt;&gt;"",COUNTIF(사건마스터!$A$5:$A$64,일일실시사항!$G198)=0),"미등록 사건번호; ","")&amp;IF(일일실시사항!$H198="","실시 내용 없음; ","")&amp;IF(COUNTIF(코드설정!$F$5:$F$7,일일실시사항!$J198)=0,"진행상태 누락; ","")))</f>
        <v/>
      </c>
    </row>
    <row r="1231">
      <c r="A1231" s="26" t="inlineStr">
        <is>
          <t>일일실시사항</t>
        </is>
      </c>
      <c r="B1231" s="66" t="n">
        <v>199</v>
      </c>
      <c r="C1231" s="122">
        <f>IF($D1231="","",IFERROR(TEXT(일일실시사항!$B199,"yyyy-mm-dd"),"(날짜없음)")&amp;"  "&amp;일일실시사항!$D199&amp;"  "&amp;일일실시사항!$H199)</f>
        <v/>
      </c>
      <c r="D1231" s="122">
        <f>IF(NOT(COUNTBLANK(일일실시사항!$B199:$K199)&lt;10),"",TRIM(IF(일일실시사항!$B199="","일자 누락; ","")&amp;IF(COUNTIF(코드설정!$C$5:$C$24,일일실시사항!$D199)=0,"담당자 누락; ","")&amp;IF(COUNTIF(코드설정!$G$5:$G$14,일일실시사항!$F199)=0,"업무구분 누락; ","")&amp;IF(AND(일일실시사항!$G199&lt;&gt;"",COUNTIF(사건마스터!$A$5:$A$64,일일실시사항!$G199)=0),"미등록 사건번호; ","")&amp;IF(일일실시사항!$H199="","실시 내용 없음; ","")&amp;IF(COUNTIF(코드설정!$F$5:$F$7,일일실시사항!$J199)=0,"진행상태 누락; ","")))</f>
        <v/>
      </c>
    </row>
    <row r="1232">
      <c r="A1232" s="26" t="inlineStr">
        <is>
          <t>일일실시사항</t>
        </is>
      </c>
      <c r="B1232" s="66" t="n">
        <v>200</v>
      </c>
      <c r="C1232" s="122">
        <f>IF($D1232="","",IFERROR(TEXT(일일실시사항!$B200,"yyyy-mm-dd"),"(날짜없음)")&amp;"  "&amp;일일실시사항!$D200&amp;"  "&amp;일일실시사항!$H200)</f>
        <v/>
      </c>
      <c r="D1232" s="122">
        <f>IF(NOT(COUNTBLANK(일일실시사항!$B200:$K200)&lt;10),"",TRIM(IF(일일실시사항!$B200="","일자 누락; ","")&amp;IF(COUNTIF(코드설정!$C$5:$C$24,일일실시사항!$D200)=0,"담당자 누락; ","")&amp;IF(COUNTIF(코드설정!$G$5:$G$14,일일실시사항!$F200)=0,"업무구분 누락; ","")&amp;IF(AND(일일실시사항!$G200&lt;&gt;"",COUNTIF(사건마스터!$A$5:$A$64,일일실시사항!$G200)=0),"미등록 사건번호; ","")&amp;IF(일일실시사항!$H200="","실시 내용 없음; ","")&amp;IF(COUNTIF(코드설정!$F$5:$F$7,일일실시사항!$J200)=0,"진행상태 누락; ","")))</f>
        <v/>
      </c>
    </row>
    <row r="1233">
      <c r="A1233" s="26" t="inlineStr">
        <is>
          <t>일일실시사항</t>
        </is>
      </c>
      <c r="B1233" s="66" t="n">
        <v>201</v>
      </c>
      <c r="C1233" s="122">
        <f>IF($D1233="","",IFERROR(TEXT(일일실시사항!$B201,"yyyy-mm-dd"),"(날짜없음)")&amp;"  "&amp;일일실시사항!$D201&amp;"  "&amp;일일실시사항!$H201)</f>
        <v/>
      </c>
      <c r="D1233" s="122">
        <f>IF(NOT(COUNTBLANK(일일실시사항!$B201:$K201)&lt;10),"",TRIM(IF(일일실시사항!$B201="","일자 누락; ","")&amp;IF(COUNTIF(코드설정!$C$5:$C$24,일일실시사항!$D201)=0,"담당자 누락; ","")&amp;IF(COUNTIF(코드설정!$G$5:$G$14,일일실시사항!$F201)=0,"업무구분 누락; ","")&amp;IF(AND(일일실시사항!$G201&lt;&gt;"",COUNTIF(사건마스터!$A$5:$A$64,일일실시사항!$G201)=0),"미등록 사건번호; ","")&amp;IF(일일실시사항!$H201="","실시 내용 없음; ","")&amp;IF(COUNTIF(코드설정!$F$5:$F$7,일일실시사항!$J201)=0,"진행상태 누락; ","")))</f>
        <v/>
      </c>
    </row>
    <row r="1234">
      <c r="A1234" s="26" t="inlineStr">
        <is>
          <t>일일실시사항</t>
        </is>
      </c>
      <c r="B1234" s="66" t="n">
        <v>202</v>
      </c>
      <c r="C1234" s="122">
        <f>IF($D1234="","",IFERROR(TEXT(일일실시사항!$B202,"yyyy-mm-dd"),"(날짜없음)")&amp;"  "&amp;일일실시사항!$D202&amp;"  "&amp;일일실시사항!$H202)</f>
        <v/>
      </c>
      <c r="D1234" s="122">
        <f>IF(NOT(COUNTBLANK(일일실시사항!$B202:$K202)&lt;10),"",TRIM(IF(일일실시사항!$B202="","일자 누락; ","")&amp;IF(COUNTIF(코드설정!$C$5:$C$24,일일실시사항!$D202)=0,"담당자 누락; ","")&amp;IF(COUNTIF(코드설정!$G$5:$G$14,일일실시사항!$F202)=0,"업무구분 누락; ","")&amp;IF(AND(일일실시사항!$G202&lt;&gt;"",COUNTIF(사건마스터!$A$5:$A$64,일일실시사항!$G202)=0),"미등록 사건번호; ","")&amp;IF(일일실시사항!$H202="","실시 내용 없음; ","")&amp;IF(COUNTIF(코드설정!$F$5:$F$7,일일실시사항!$J202)=0,"진행상태 누락; ","")))</f>
        <v/>
      </c>
    </row>
    <row r="1235">
      <c r="A1235" s="26" t="inlineStr">
        <is>
          <t>일일실시사항</t>
        </is>
      </c>
      <c r="B1235" s="66" t="n">
        <v>203</v>
      </c>
      <c r="C1235" s="122">
        <f>IF($D1235="","",IFERROR(TEXT(일일실시사항!$B203,"yyyy-mm-dd"),"(날짜없음)")&amp;"  "&amp;일일실시사항!$D203&amp;"  "&amp;일일실시사항!$H203)</f>
        <v/>
      </c>
      <c r="D1235" s="122">
        <f>IF(NOT(COUNTBLANK(일일실시사항!$B203:$K203)&lt;10),"",TRIM(IF(일일실시사항!$B203="","일자 누락; ","")&amp;IF(COUNTIF(코드설정!$C$5:$C$24,일일실시사항!$D203)=0,"담당자 누락; ","")&amp;IF(COUNTIF(코드설정!$G$5:$G$14,일일실시사항!$F203)=0,"업무구분 누락; ","")&amp;IF(AND(일일실시사항!$G203&lt;&gt;"",COUNTIF(사건마스터!$A$5:$A$64,일일실시사항!$G203)=0),"미등록 사건번호; ","")&amp;IF(일일실시사항!$H203="","실시 내용 없음; ","")&amp;IF(COUNTIF(코드설정!$F$5:$F$7,일일실시사항!$J203)=0,"진행상태 누락; ","")))</f>
        <v/>
      </c>
    </row>
    <row r="1236">
      <c r="A1236" s="26" t="inlineStr">
        <is>
          <t>일일실시사항</t>
        </is>
      </c>
      <c r="B1236" s="66" t="n">
        <v>204</v>
      </c>
      <c r="C1236" s="122">
        <f>IF($D1236="","",IFERROR(TEXT(일일실시사항!$B204,"yyyy-mm-dd"),"(날짜없음)")&amp;"  "&amp;일일실시사항!$D204&amp;"  "&amp;일일실시사항!$H204)</f>
        <v/>
      </c>
      <c r="D1236" s="122">
        <f>IF(NOT(COUNTBLANK(일일실시사항!$B204:$K204)&lt;10),"",TRIM(IF(일일실시사항!$B204="","일자 누락; ","")&amp;IF(COUNTIF(코드설정!$C$5:$C$24,일일실시사항!$D204)=0,"담당자 누락; ","")&amp;IF(COUNTIF(코드설정!$G$5:$G$14,일일실시사항!$F204)=0,"업무구분 누락; ","")&amp;IF(AND(일일실시사항!$G204&lt;&gt;"",COUNTIF(사건마스터!$A$5:$A$64,일일실시사항!$G204)=0),"미등록 사건번호; ","")&amp;IF(일일실시사항!$H204="","실시 내용 없음; ","")&amp;IF(COUNTIF(코드설정!$F$5:$F$7,일일실시사항!$J204)=0,"진행상태 누락; ","")))</f>
        <v/>
      </c>
    </row>
    <row r="1237">
      <c r="A1237" s="26" t="inlineStr">
        <is>
          <t>일일실시사항</t>
        </is>
      </c>
      <c r="B1237" s="66" t="n">
        <v>205</v>
      </c>
      <c r="C1237" s="122">
        <f>IF($D1237="","",IFERROR(TEXT(일일실시사항!$B205,"yyyy-mm-dd"),"(날짜없음)")&amp;"  "&amp;일일실시사항!$D205&amp;"  "&amp;일일실시사항!$H205)</f>
        <v/>
      </c>
      <c r="D1237" s="122">
        <f>IF(NOT(COUNTBLANK(일일실시사항!$B205:$K205)&lt;10),"",TRIM(IF(일일실시사항!$B205="","일자 누락; ","")&amp;IF(COUNTIF(코드설정!$C$5:$C$24,일일실시사항!$D205)=0,"담당자 누락; ","")&amp;IF(COUNTIF(코드설정!$G$5:$G$14,일일실시사항!$F205)=0,"업무구분 누락; ","")&amp;IF(AND(일일실시사항!$G205&lt;&gt;"",COUNTIF(사건마스터!$A$5:$A$64,일일실시사항!$G205)=0),"미등록 사건번호; ","")&amp;IF(일일실시사항!$H205="","실시 내용 없음; ","")&amp;IF(COUNTIF(코드설정!$F$5:$F$7,일일실시사항!$J205)=0,"진행상태 누락; ","")))</f>
        <v/>
      </c>
    </row>
    <row r="1238">
      <c r="A1238" s="26" t="inlineStr">
        <is>
          <t>일일실시사항</t>
        </is>
      </c>
      <c r="B1238" s="66" t="n">
        <v>206</v>
      </c>
      <c r="C1238" s="122">
        <f>IF($D1238="","",IFERROR(TEXT(일일실시사항!$B206,"yyyy-mm-dd"),"(날짜없음)")&amp;"  "&amp;일일실시사항!$D206&amp;"  "&amp;일일실시사항!$H206)</f>
        <v/>
      </c>
      <c r="D1238" s="122">
        <f>IF(NOT(COUNTBLANK(일일실시사항!$B206:$K206)&lt;10),"",TRIM(IF(일일실시사항!$B206="","일자 누락; ","")&amp;IF(COUNTIF(코드설정!$C$5:$C$24,일일실시사항!$D206)=0,"담당자 누락; ","")&amp;IF(COUNTIF(코드설정!$G$5:$G$14,일일실시사항!$F206)=0,"업무구분 누락; ","")&amp;IF(AND(일일실시사항!$G206&lt;&gt;"",COUNTIF(사건마스터!$A$5:$A$64,일일실시사항!$G206)=0),"미등록 사건번호; ","")&amp;IF(일일실시사항!$H206="","실시 내용 없음; ","")&amp;IF(COUNTIF(코드설정!$F$5:$F$7,일일실시사항!$J206)=0,"진행상태 누락; ","")))</f>
        <v/>
      </c>
    </row>
    <row r="1239">
      <c r="A1239" s="26" t="inlineStr">
        <is>
          <t>일일실시사항</t>
        </is>
      </c>
      <c r="B1239" s="66" t="n">
        <v>207</v>
      </c>
      <c r="C1239" s="122">
        <f>IF($D1239="","",IFERROR(TEXT(일일실시사항!$B207,"yyyy-mm-dd"),"(날짜없음)")&amp;"  "&amp;일일실시사항!$D207&amp;"  "&amp;일일실시사항!$H207)</f>
        <v/>
      </c>
      <c r="D1239" s="122">
        <f>IF(NOT(COUNTBLANK(일일실시사항!$B207:$K207)&lt;10),"",TRIM(IF(일일실시사항!$B207="","일자 누락; ","")&amp;IF(COUNTIF(코드설정!$C$5:$C$24,일일실시사항!$D207)=0,"담당자 누락; ","")&amp;IF(COUNTIF(코드설정!$G$5:$G$14,일일실시사항!$F207)=0,"업무구분 누락; ","")&amp;IF(AND(일일실시사항!$G207&lt;&gt;"",COUNTIF(사건마스터!$A$5:$A$64,일일실시사항!$G207)=0),"미등록 사건번호; ","")&amp;IF(일일실시사항!$H207="","실시 내용 없음; ","")&amp;IF(COUNTIF(코드설정!$F$5:$F$7,일일실시사항!$J207)=0,"진행상태 누락; ","")))</f>
        <v/>
      </c>
    </row>
    <row r="1240">
      <c r="A1240" s="26" t="inlineStr">
        <is>
          <t>일일실시사항</t>
        </is>
      </c>
      <c r="B1240" s="66" t="n">
        <v>208</v>
      </c>
      <c r="C1240" s="122">
        <f>IF($D1240="","",IFERROR(TEXT(일일실시사항!$B208,"yyyy-mm-dd"),"(날짜없음)")&amp;"  "&amp;일일실시사항!$D208&amp;"  "&amp;일일실시사항!$H208)</f>
        <v/>
      </c>
      <c r="D1240" s="122">
        <f>IF(NOT(COUNTBLANK(일일실시사항!$B208:$K208)&lt;10),"",TRIM(IF(일일실시사항!$B208="","일자 누락; ","")&amp;IF(COUNTIF(코드설정!$C$5:$C$24,일일실시사항!$D208)=0,"담당자 누락; ","")&amp;IF(COUNTIF(코드설정!$G$5:$G$14,일일실시사항!$F208)=0,"업무구분 누락; ","")&amp;IF(AND(일일실시사항!$G208&lt;&gt;"",COUNTIF(사건마스터!$A$5:$A$64,일일실시사항!$G208)=0),"미등록 사건번호; ","")&amp;IF(일일실시사항!$H208="","실시 내용 없음; ","")&amp;IF(COUNTIF(코드설정!$F$5:$F$7,일일실시사항!$J208)=0,"진행상태 누락; ","")))</f>
        <v/>
      </c>
    </row>
    <row r="1241">
      <c r="A1241" s="26" t="inlineStr">
        <is>
          <t>일일실시사항</t>
        </is>
      </c>
      <c r="B1241" s="66" t="n">
        <v>209</v>
      </c>
      <c r="C1241" s="122">
        <f>IF($D1241="","",IFERROR(TEXT(일일실시사항!$B209,"yyyy-mm-dd"),"(날짜없음)")&amp;"  "&amp;일일실시사항!$D209&amp;"  "&amp;일일실시사항!$H209)</f>
        <v/>
      </c>
      <c r="D1241" s="122">
        <f>IF(NOT(COUNTBLANK(일일실시사항!$B209:$K209)&lt;10),"",TRIM(IF(일일실시사항!$B209="","일자 누락; ","")&amp;IF(COUNTIF(코드설정!$C$5:$C$24,일일실시사항!$D209)=0,"담당자 누락; ","")&amp;IF(COUNTIF(코드설정!$G$5:$G$14,일일실시사항!$F209)=0,"업무구분 누락; ","")&amp;IF(AND(일일실시사항!$G209&lt;&gt;"",COUNTIF(사건마스터!$A$5:$A$64,일일실시사항!$G209)=0),"미등록 사건번호; ","")&amp;IF(일일실시사항!$H209="","실시 내용 없음; ","")&amp;IF(COUNTIF(코드설정!$F$5:$F$7,일일실시사항!$J209)=0,"진행상태 누락; ","")))</f>
        <v/>
      </c>
    </row>
    <row r="1242">
      <c r="A1242" s="26" t="inlineStr">
        <is>
          <t>일일실시사항</t>
        </is>
      </c>
      <c r="B1242" s="66" t="n">
        <v>210</v>
      </c>
      <c r="C1242" s="122">
        <f>IF($D1242="","",IFERROR(TEXT(일일실시사항!$B210,"yyyy-mm-dd"),"(날짜없음)")&amp;"  "&amp;일일실시사항!$D210&amp;"  "&amp;일일실시사항!$H210)</f>
        <v/>
      </c>
      <c r="D1242" s="122">
        <f>IF(NOT(COUNTBLANK(일일실시사항!$B210:$K210)&lt;10),"",TRIM(IF(일일실시사항!$B210="","일자 누락; ","")&amp;IF(COUNTIF(코드설정!$C$5:$C$24,일일실시사항!$D210)=0,"담당자 누락; ","")&amp;IF(COUNTIF(코드설정!$G$5:$G$14,일일실시사항!$F210)=0,"업무구분 누락; ","")&amp;IF(AND(일일실시사항!$G210&lt;&gt;"",COUNTIF(사건마스터!$A$5:$A$64,일일실시사항!$G210)=0),"미등록 사건번호; ","")&amp;IF(일일실시사항!$H210="","실시 내용 없음; ","")&amp;IF(COUNTIF(코드설정!$F$5:$F$7,일일실시사항!$J210)=0,"진행상태 누락; ","")))</f>
        <v/>
      </c>
    </row>
    <row r="1243">
      <c r="A1243" s="26" t="inlineStr">
        <is>
          <t>일일실시사항</t>
        </is>
      </c>
      <c r="B1243" s="66" t="n">
        <v>211</v>
      </c>
      <c r="C1243" s="122">
        <f>IF($D1243="","",IFERROR(TEXT(일일실시사항!$B211,"yyyy-mm-dd"),"(날짜없음)")&amp;"  "&amp;일일실시사항!$D211&amp;"  "&amp;일일실시사항!$H211)</f>
        <v/>
      </c>
      <c r="D1243" s="122">
        <f>IF(NOT(COUNTBLANK(일일실시사항!$B211:$K211)&lt;10),"",TRIM(IF(일일실시사항!$B211="","일자 누락; ","")&amp;IF(COUNTIF(코드설정!$C$5:$C$24,일일실시사항!$D211)=0,"담당자 누락; ","")&amp;IF(COUNTIF(코드설정!$G$5:$G$14,일일실시사항!$F211)=0,"업무구분 누락; ","")&amp;IF(AND(일일실시사항!$G211&lt;&gt;"",COUNTIF(사건마스터!$A$5:$A$64,일일실시사항!$G211)=0),"미등록 사건번호; ","")&amp;IF(일일실시사항!$H211="","실시 내용 없음; ","")&amp;IF(COUNTIF(코드설정!$F$5:$F$7,일일실시사항!$J211)=0,"진행상태 누락; ","")))</f>
        <v/>
      </c>
    </row>
    <row r="1244">
      <c r="A1244" s="26" t="inlineStr">
        <is>
          <t>일일실시사항</t>
        </is>
      </c>
      <c r="B1244" s="66" t="n">
        <v>212</v>
      </c>
      <c r="C1244" s="122">
        <f>IF($D1244="","",IFERROR(TEXT(일일실시사항!$B212,"yyyy-mm-dd"),"(날짜없음)")&amp;"  "&amp;일일실시사항!$D212&amp;"  "&amp;일일실시사항!$H212)</f>
        <v/>
      </c>
      <c r="D1244" s="122">
        <f>IF(NOT(COUNTBLANK(일일실시사항!$B212:$K212)&lt;10),"",TRIM(IF(일일실시사항!$B212="","일자 누락; ","")&amp;IF(COUNTIF(코드설정!$C$5:$C$24,일일실시사항!$D212)=0,"담당자 누락; ","")&amp;IF(COUNTIF(코드설정!$G$5:$G$14,일일실시사항!$F212)=0,"업무구분 누락; ","")&amp;IF(AND(일일실시사항!$G212&lt;&gt;"",COUNTIF(사건마스터!$A$5:$A$64,일일실시사항!$G212)=0),"미등록 사건번호; ","")&amp;IF(일일실시사항!$H212="","실시 내용 없음; ","")&amp;IF(COUNTIF(코드설정!$F$5:$F$7,일일실시사항!$J212)=0,"진행상태 누락; ","")))</f>
        <v/>
      </c>
    </row>
    <row r="1245">
      <c r="A1245" s="26" t="inlineStr">
        <is>
          <t>일일실시사항</t>
        </is>
      </c>
      <c r="B1245" s="66" t="n">
        <v>213</v>
      </c>
      <c r="C1245" s="122">
        <f>IF($D1245="","",IFERROR(TEXT(일일실시사항!$B213,"yyyy-mm-dd"),"(날짜없음)")&amp;"  "&amp;일일실시사항!$D213&amp;"  "&amp;일일실시사항!$H213)</f>
        <v/>
      </c>
      <c r="D1245" s="122">
        <f>IF(NOT(COUNTBLANK(일일실시사항!$B213:$K213)&lt;10),"",TRIM(IF(일일실시사항!$B213="","일자 누락; ","")&amp;IF(COUNTIF(코드설정!$C$5:$C$24,일일실시사항!$D213)=0,"담당자 누락; ","")&amp;IF(COUNTIF(코드설정!$G$5:$G$14,일일실시사항!$F213)=0,"업무구분 누락; ","")&amp;IF(AND(일일실시사항!$G213&lt;&gt;"",COUNTIF(사건마스터!$A$5:$A$64,일일실시사항!$G213)=0),"미등록 사건번호; ","")&amp;IF(일일실시사항!$H213="","실시 내용 없음; ","")&amp;IF(COUNTIF(코드설정!$F$5:$F$7,일일실시사항!$J213)=0,"진행상태 누락; ","")))</f>
        <v/>
      </c>
    </row>
    <row r="1246">
      <c r="A1246" s="26" t="inlineStr">
        <is>
          <t>일일실시사항</t>
        </is>
      </c>
      <c r="B1246" s="66" t="n">
        <v>214</v>
      </c>
      <c r="C1246" s="122">
        <f>IF($D1246="","",IFERROR(TEXT(일일실시사항!$B214,"yyyy-mm-dd"),"(날짜없음)")&amp;"  "&amp;일일실시사항!$D214&amp;"  "&amp;일일실시사항!$H214)</f>
        <v/>
      </c>
      <c r="D1246" s="122">
        <f>IF(NOT(COUNTBLANK(일일실시사항!$B214:$K214)&lt;10),"",TRIM(IF(일일실시사항!$B214="","일자 누락; ","")&amp;IF(COUNTIF(코드설정!$C$5:$C$24,일일실시사항!$D214)=0,"담당자 누락; ","")&amp;IF(COUNTIF(코드설정!$G$5:$G$14,일일실시사항!$F214)=0,"업무구분 누락; ","")&amp;IF(AND(일일실시사항!$G214&lt;&gt;"",COUNTIF(사건마스터!$A$5:$A$64,일일실시사항!$G214)=0),"미등록 사건번호; ","")&amp;IF(일일실시사항!$H214="","실시 내용 없음; ","")&amp;IF(COUNTIF(코드설정!$F$5:$F$7,일일실시사항!$J214)=0,"진행상태 누락; ","")))</f>
        <v/>
      </c>
    </row>
    <row r="1247">
      <c r="A1247" s="26" t="inlineStr">
        <is>
          <t>일일실시사항</t>
        </is>
      </c>
      <c r="B1247" s="66" t="n">
        <v>215</v>
      </c>
      <c r="C1247" s="122">
        <f>IF($D1247="","",IFERROR(TEXT(일일실시사항!$B215,"yyyy-mm-dd"),"(날짜없음)")&amp;"  "&amp;일일실시사항!$D215&amp;"  "&amp;일일실시사항!$H215)</f>
        <v/>
      </c>
      <c r="D1247" s="122">
        <f>IF(NOT(COUNTBLANK(일일실시사항!$B215:$K215)&lt;10),"",TRIM(IF(일일실시사항!$B215="","일자 누락; ","")&amp;IF(COUNTIF(코드설정!$C$5:$C$24,일일실시사항!$D215)=0,"담당자 누락; ","")&amp;IF(COUNTIF(코드설정!$G$5:$G$14,일일실시사항!$F215)=0,"업무구분 누락; ","")&amp;IF(AND(일일실시사항!$G215&lt;&gt;"",COUNTIF(사건마스터!$A$5:$A$64,일일실시사항!$G215)=0),"미등록 사건번호; ","")&amp;IF(일일실시사항!$H215="","실시 내용 없음; ","")&amp;IF(COUNTIF(코드설정!$F$5:$F$7,일일실시사항!$J215)=0,"진행상태 누락; ","")))</f>
        <v/>
      </c>
    </row>
    <row r="1248">
      <c r="A1248" s="26" t="inlineStr">
        <is>
          <t>일일실시사항</t>
        </is>
      </c>
      <c r="B1248" s="66" t="n">
        <v>216</v>
      </c>
      <c r="C1248" s="122">
        <f>IF($D1248="","",IFERROR(TEXT(일일실시사항!$B216,"yyyy-mm-dd"),"(날짜없음)")&amp;"  "&amp;일일실시사항!$D216&amp;"  "&amp;일일실시사항!$H216)</f>
        <v/>
      </c>
      <c r="D1248" s="122">
        <f>IF(NOT(COUNTBLANK(일일실시사항!$B216:$K216)&lt;10),"",TRIM(IF(일일실시사항!$B216="","일자 누락; ","")&amp;IF(COUNTIF(코드설정!$C$5:$C$24,일일실시사항!$D216)=0,"담당자 누락; ","")&amp;IF(COUNTIF(코드설정!$G$5:$G$14,일일실시사항!$F216)=0,"업무구분 누락; ","")&amp;IF(AND(일일실시사항!$G216&lt;&gt;"",COUNTIF(사건마스터!$A$5:$A$64,일일실시사항!$G216)=0),"미등록 사건번호; ","")&amp;IF(일일실시사항!$H216="","실시 내용 없음; ","")&amp;IF(COUNTIF(코드설정!$F$5:$F$7,일일실시사항!$J216)=0,"진행상태 누락; ","")))</f>
        <v/>
      </c>
    </row>
    <row r="1249">
      <c r="A1249" s="26" t="inlineStr">
        <is>
          <t>일일실시사항</t>
        </is>
      </c>
      <c r="B1249" s="66" t="n">
        <v>217</v>
      </c>
      <c r="C1249" s="122">
        <f>IF($D1249="","",IFERROR(TEXT(일일실시사항!$B217,"yyyy-mm-dd"),"(날짜없음)")&amp;"  "&amp;일일실시사항!$D217&amp;"  "&amp;일일실시사항!$H217)</f>
        <v/>
      </c>
      <c r="D1249" s="122">
        <f>IF(NOT(COUNTBLANK(일일실시사항!$B217:$K217)&lt;10),"",TRIM(IF(일일실시사항!$B217="","일자 누락; ","")&amp;IF(COUNTIF(코드설정!$C$5:$C$24,일일실시사항!$D217)=0,"담당자 누락; ","")&amp;IF(COUNTIF(코드설정!$G$5:$G$14,일일실시사항!$F217)=0,"업무구분 누락; ","")&amp;IF(AND(일일실시사항!$G217&lt;&gt;"",COUNTIF(사건마스터!$A$5:$A$64,일일실시사항!$G217)=0),"미등록 사건번호; ","")&amp;IF(일일실시사항!$H217="","실시 내용 없음; ","")&amp;IF(COUNTIF(코드설정!$F$5:$F$7,일일실시사항!$J217)=0,"진행상태 누락; ","")))</f>
        <v/>
      </c>
    </row>
    <row r="1250">
      <c r="A1250" s="26" t="inlineStr">
        <is>
          <t>일일실시사항</t>
        </is>
      </c>
      <c r="B1250" s="66" t="n">
        <v>218</v>
      </c>
      <c r="C1250" s="122">
        <f>IF($D1250="","",IFERROR(TEXT(일일실시사항!$B218,"yyyy-mm-dd"),"(날짜없음)")&amp;"  "&amp;일일실시사항!$D218&amp;"  "&amp;일일실시사항!$H218)</f>
        <v/>
      </c>
      <c r="D1250" s="122">
        <f>IF(NOT(COUNTBLANK(일일실시사항!$B218:$K218)&lt;10),"",TRIM(IF(일일실시사항!$B218="","일자 누락; ","")&amp;IF(COUNTIF(코드설정!$C$5:$C$24,일일실시사항!$D218)=0,"담당자 누락; ","")&amp;IF(COUNTIF(코드설정!$G$5:$G$14,일일실시사항!$F218)=0,"업무구분 누락; ","")&amp;IF(AND(일일실시사항!$G218&lt;&gt;"",COUNTIF(사건마스터!$A$5:$A$64,일일실시사항!$G218)=0),"미등록 사건번호; ","")&amp;IF(일일실시사항!$H218="","실시 내용 없음; ","")&amp;IF(COUNTIF(코드설정!$F$5:$F$7,일일실시사항!$J218)=0,"진행상태 누락; ","")))</f>
        <v/>
      </c>
    </row>
    <row r="1251">
      <c r="A1251" s="26" t="inlineStr">
        <is>
          <t>일일실시사항</t>
        </is>
      </c>
      <c r="B1251" s="66" t="n">
        <v>219</v>
      </c>
      <c r="C1251" s="122">
        <f>IF($D1251="","",IFERROR(TEXT(일일실시사항!$B219,"yyyy-mm-dd"),"(날짜없음)")&amp;"  "&amp;일일실시사항!$D219&amp;"  "&amp;일일실시사항!$H219)</f>
        <v/>
      </c>
      <c r="D1251" s="122">
        <f>IF(NOT(COUNTBLANK(일일실시사항!$B219:$K219)&lt;10),"",TRIM(IF(일일실시사항!$B219="","일자 누락; ","")&amp;IF(COUNTIF(코드설정!$C$5:$C$24,일일실시사항!$D219)=0,"담당자 누락; ","")&amp;IF(COUNTIF(코드설정!$G$5:$G$14,일일실시사항!$F219)=0,"업무구분 누락; ","")&amp;IF(AND(일일실시사항!$G219&lt;&gt;"",COUNTIF(사건마스터!$A$5:$A$64,일일실시사항!$G219)=0),"미등록 사건번호; ","")&amp;IF(일일실시사항!$H219="","실시 내용 없음; ","")&amp;IF(COUNTIF(코드설정!$F$5:$F$7,일일실시사항!$J219)=0,"진행상태 누락; ","")))</f>
        <v/>
      </c>
    </row>
    <row r="1252">
      <c r="A1252" s="26" t="inlineStr">
        <is>
          <t>일일실시사항</t>
        </is>
      </c>
      <c r="B1252" s="66" t="n">
        <v>220</v>
      </c>
      <c r="C1252" s="122">
        <f>IF($D1252="","",IFERROR(TEXT(일일실시사항!$B220,"yyyy-mm-dd"),"(날짜없음)")&amp;"  "&amp;일일실시사항!$D220&amp;"  "&amp;일일실시사항!$H220)</f>
        <v/>
      </c>
      <c r="D1252" s="122">
        <f>IF(NOT(COUNTBLANK(일일실시사항!$B220:$K220)&lt;10),"",TRIM(IF(일일실시사항!$B220="","일자 누락; ","")&amp;IF(COUNTIF(코드설정!$C$5:$C$24,일일실시사항!$D220)=0,"담당자 누락; ","")&amp;IF(COUNTIF(코드설정!$G$5:$G$14,일일실시사항!$F220)=0,"업무구분 누락; ","")&amp;IF(AND(일일실시사항!$G220&lt;&gt;"",COUNTIF(사건마스터!$A$5:$A$64,일일실시사항!$G220)=0),"미등록 사건번호; ","")&amp;IF(일일실시사항!$H220="","실시 내용 없음; ","")&amp;IF(COUNTIF(코드설정!$F$5:$F$7,일일실시사항!$J220)=0,"진행상태 누락; ","")))</f>
        <v/>
      </c>
    </row>
    <row r="1253">
      <c r="A1253" s="26" t="inlineStr">
        <is>
          <t>일일실시사항</t>
        </is>
      </c>
      <c r="B1253" s="66" t="n">
        <v>221</v>
      </c>
      <c r="C1253" s="122">
        <f>IF($D1253="","",IFERROR(TEXT(일일실시사항!$B221,"yyyy-mm-dd"),"(날짜없음)")&amp;"  "&amp;일일실시사항!$D221&amp;"  "&amp;일일실시사항!$H221)</f>
        <v/>
      </c>
      <c r="D1253" s="122">
        <f>IF(NOT(COUNTBLANK(일일실시사항!$B221:$K221)&lt;10),"",TRIM(IF(일일실시사항!$B221="","일자 누락; ","")&amp;IF(COUNTIF(코드설정!$C$5:$C$24,일일실시사항!$D221)=0,"담당자 누락; ","")&amp;IF(COUNTIF(코드설정!$G$5:$G$14,일일실시사항!$F221)=0,"업무구분 누락; ","")&amp;IF(AND(일일실시사항!$G221&lt;&gt;"",COUNTIF(사건마스터!$A$5:$A$64,일일실시사항!$G221)=0),"미등록 사건번호; ","")&amp;IF(일일실시사항!$H221="","실시 내용 없음; ","")&amp;IF(COUNTIF(코드설정!$F$5:$F$7,일일실시사항!$J221)=0,"진행상태 누락; ","")))</f>
        <v/>
      </c>
    </row>
    <row r="1254">
      <c r="A1254" s="26" t="inlineStr">
        <is>
          <t>일일실시사항</t>
        </is>
      </c>
      <c r="B1254" s="66" t="n">
        <v>222</v>
      </c>
      <c r="C1254" s="122">
        <f>IF($D1254="","",IFERROR(TEXT(일일실시사항!$B222,"yyyy-mm-dd"),"(날짜없음)")&amp;"  "&amp;일일실시사항!$D222&amp;"  "&amp;일일실시사항!$H222)</f>
        <v/>
      </c>
      <c r="D1254" s="122">
        <f>IF(NOT(COUNTBLANK(일일실시사항!$B222:$K222)&lt;10),"",TRIM(IF(일일실시사항!$B222="","일자 누락; ","")&amp;IF(COUNTIF(코드설정!$C$5:$C$24,일일실시사항!$D222)=0,"담당자 누락; ","")&amp;IF(COUNTIF(코드설정!$G$5:$G$14,일일실시사항!$F222)=0,"업무구분 누락; ","")&amp;IF(AND(일일실시사항!$G222&lt;&gt;"",COUNTIF(사건마스터!$A$5:$A$64,일일실시사항!$G222)=0),"미등록 사건번호; ","")&amp;IF(일일실시사항!$H222="","실시 내용 없음; ","")&amp;IF(COUNTIF(코드설정!$F$5:$F$7,일일실시사항!$J222)=0,"진행상태 누락; ","")))</f>
        <v/>
      </c>
    </row>
    <row r="1255">
      <c r="A1255" s="26" t="inlineStr">
        <is>
          <t>일일실시사항</t>
        </is>
      </c>
      <c r="B1255" s="66" t="n">
        <v>223</v>
      </c>
      <c r="C1255" s="122">
        <f>IF($D1255="","",IFERROR(TEXT(일일실시사항!$B223,"yyyy-mm-dd"),"(날짜없음)")&amp;"  "&amp;일일실시사항!$D223&amp;"  "&amp;일일실시사항!$H223)</f>
        <v/>
      </c>
      <c r="D1255" s="122">
        <f>IF(NOT(COUNTBLANK(일일실시사항!$B223:$K223)&lt;10),"",TRIM(IF(일일실시사항!$B223="","일자 누락; ","")&amp;IF(COUNTIF(코드설정!$C$5:$C$24,일일실시사항!$D223)=0,"담당자 누락; ","")&amp;IF(COUNTIF(코드설정!$G$5:$G$14,일일실시사항!$F223)=0,"업무구분 누락; ","")&amp;IF(AND(일일실시사항!$G223&lt;&gt;"",COUNTIF(사건마스터!$A$5:$A$64,일일실시사항!$G223)=0),"미등록 사건번호; ","")&amp;IF(일일실시사항!$H223="","실시 내용 없음; ","")&amp;IF(COUNTIF(코드설정!$F$5:$F$7,일일실시사항!$J223)=0,"진행상태 누락; ","")))</f>
        <v/>
      </c>
    </row>
    <row r="1256">
      <c r="A1256" s="26" t="inlineStr">
        <is>
          <t>일일실시사항</t>
        </is>
      </c>
      <c r="B1256" s="66" t="n">
        <v>224</v>
      </c>
      <c r="C1256" s="122">
        <f>IF($D1256="","",IFERROR(TEXT(일일실시사항!$B224,"yyyy-mm-dd"),"(날짜없음)")&amp;"  "&amp;일일실시사항!$D224&amp;"  "&amp;일일실시사항!$H224)</f>
        <v/>
      </c>
      <c r="D1256" s="122">
        <f>IF(NOT(COUNTBLANK(일일실시사항!$B224:$K224)&lt;10),"",TRIM(IF(일일실시사항!$B224="","일자 누락; ","")&amp;IF(COUNTIF(코드설정!$C$5:$C$24,일일실시사항!$D224)=0,"담당자 누락; ","")&amp;IF(COUNTIF(코드설정!$G$5:$G$14,일일실시사항!$F224)=0,"업무구분 누락; ","")&amp;IF(AND(일일실시사항!$G224&lt;&gt;"",COUNTIF(사건마스터!$A$5:$A$64,일일실시사항!$G224)=0),"미등록 사건번호; ","")&amp;IF(일일실시사항!$H224="","실시 내용 없음; ","")&amp;IF(COUNTIF(코드설정!$F$5:$F$7,일일실시사항!$J224)=0,"진행상태 누락; ","")))</f>
        <v/>
      </c>
    </row>
    <row r="1257">
      <c r="A1257" s="26" t="inlineStr">
        <is>
          <t>일일실시사항</t>
        </is>
      </c>
      <c r="B1257" s="66" t="n">
        <v>225</v>
      </c>
      <c r="C1257" s="122">
        <f>IF($D1257="","",IFERROR(TEXT(일일실시사항!$B225,"yyyy-mm-dd"),"(날짜없음)")&amp;"  "&amp;일일실시사항!$D225&amp;"  "&amp;일일실시사항!$H225)</f>
        <v/>
      </c>
      <c r="D1257" s="122">
        <f>IF(NOT(COUNTBLANK(일일실시사항!$B225:$K225)&lt;10),"",TRIM(IF(일일실시사항!$B225="","일자 누락; ","")&amp;IF(COUNTIF(코드설정!$C$5:$C$24,일일실시사항!$D225)=0,"담당자 누락; ","")&amp;IF(COUNTIF(코드설정!$G$5:$G$14,일일실시사항!$F225)=0,"업무구분 누락; ","")&amp;IF(AND(일일실시사항!$G225&lt;&gt;"",COUNTIF(사건마스터!$A$5:$A$64,일일실시사항!$G225)=0),"미등록 사건번호; ","")&amp;IF(일일실시사항!$H225="","실시 내용 없음; ","")&amp;IF(COUNTIF(코드설정!$F$5:$F$7,일일실시사항!$J225)=0,"진행상태 누락; ","")))</f>
        <v/>
      </c>
    </row>
    <row r="1258">
      <c r="A1258" s="26" t="inlineStr">
        <is>
          <t>일일실시사항</t>
        </is>
      </c>
      <c r="B1258" s="66" t="n">
        <v>226</v>
      </c>
      <c r="C1258" s="122">
        <f>IF($D1258="","",IFERROR(TEXT(일일실시사항!$B226,"yyyy-mm-dd"),"(날짜없음)")&amp;"  "&amp;일일실시사항!$D226&amp;"  "&amp;일일실시사항!$H226)</f>
        <v/>
      </c>
      <c r="D1258" s="122">
        <f>IF(NOT(COUNTBLANK(일일실시사항!$B226:$K226)&lt;10),"",TRIM(IF(일일실시사항!$B226="","일자 누락; ","")&amp;IF(COUNTIF(코드설정!$C$5:$C$24,일일실시사항!$D226)=0,"담당자 누락; ","")&amp;IF(COUNTIF(코드설정!$G$5:$G$14,일일실시사항!$F226)=0,"업무구분 누락; ","")&amp;IF(AND(일일실시사항!$G226&lt;&gt;"",COUNTIF(사건마스터!$A$5:$A$64,일일실시사항!$G226)=0),"미등록 사건번호; ","")&amp;IF(일일실시사항!$H226="","실시 내용 없음; ","")&amp;IF(COUNTIF(코드설정!$F$5:$F$7,일일실시사항!$J226)=0,"진행상태 누락; ","")))</f>
        <v/>
      </c>
    </row>
    <row r="1259">
      <c r="A1259" s="26" t="inlineStr">
        <is>
          <t>일일실시사항</t>
        </is>
      </c>
      <c r="B1259" s="66" t="n">
        <v>227</v>
      </c>
      <c r="C1259" s="122">
        <f>IF($D1259="","",IFERROR(TEXT(일일실시사항!$B227,"yyyy-mm-dd"),"(날짜없음)")&amp;"  "&amp;일일실시사항!$D227&amp;"  "&amp;일일실시사항!$H227)</f>
        <v/>
      </c>
      <c r="D1259" s="122">
        <f>IF(NOT(COUNTBLANK(일일실시사항!$B227:$K227)&lt;10),"",TRIM(IF(일일실시사항!$B227="","일자 누락; ","")&amp;IF(COUNTIF(코드설정!$C$5:$C$24,일일실시사항!$D227)=0,"담당자 누락; ","")&amp;IF(COUNTIF(코드설정!$G$5:$G$14,일일실시사항!$F227)=0,"업무구분 누락; ","")&amp;IF(AND(일일실시사항!$G227&lt;&gt;"",COUNTIF(사건마스터!$A$5:$A$64,일일실시사항!$G227)=0),"미등록 사건번호; ","")&amp;IF(일일실시사항!$H227="","실시 내용 없음; ","")&amp;IF(COUNTIF(코드설정!$F$5:$F$7,일일실시사항!$J227)=0,"진행상태 누락; ","")))</f>
        <v/>
      </c>
    </row>
    <row r="1260">
      <c r="A1260" s="26" t="inlineStr">
        <is>
          <t>일일실시사항</t>
        </is>
      </c>
      <c r="B1260" s="66" t="n">
        <v>228</v>
      </c>
      <c r="C1260" s="122">
        <f>IF($D1260="","",IFERROR(TEXT(일일실시사항!$B228,"yyyy-mm-dd"),"(날짜없음)")&amp;"  "&amp;일일실시사항!$D228&amp;"  "&amp;일일실시사항!$H228)</f>
        <v/>
      </c>
      <c r="D1260" s="122">
        <f>IF(NOT(COUNTBLANK(일일실시사항!$B228:$K228)&lt;10),"",TRIM(IF(일일실시사항!$B228="","일자 누락; ","")&amp;IF(COUNTIF(코드설정!$C$5:$C$24,일일실시사항!$D228)=0,"담당자 누락; ","")&amp;IF(COUNTIF(코드설정!$G$5:$G$14,일일실시사항!$F228)=0,"업무구분 누락; ","")&amp;IF(AND(일일실시사항!$G228&lt;&gt;"",COUNTIF(사건마스터!$A$5:$A$64,일일실시사항!$G228)=0),"미등록 사건번호; ","")&amp;IF(일일실시사항!$H228="","실시 내용 없음; ","")&amp;IF(COUNTIF(코드설정!$F$5:$F$7,일일실시사항!$J228)=0,"진행상태 누락; ","")))</f>
        <v/>
      </c>
    </row>
    <row r="1261">
      <c r="A1261" s="26" t="inlineStr">
        <is>
          <t>일일실시사항</t>
        </is>
      </c>
      <c r="B1261" s="66" t="n">
        <v>229</v>
      </c>
      <c r="C1261" s="122">
        <f>IF($D1261="","",IFERROR(TEXT(일일실시사항!$B229,"yyyy-mm-dd"),"(날짜없음)")&amp;"  "&amp;일일실시사항!$D229&amp;"  "&amp;일일실시사항!$H229)</f>
        <v/>
      </c>
      <c r="D1261" s="122">
        <f>IF(NOT(COUNTBLANK(일일실시사항!$B229:$K229)&lt;10),"",TRIM(IF(일일실시사항!$B229="","일자 누락; ","")&amp;IF(COUNTIF(코드설정!$C$5:$C$24,일일실시사항!$D229)=0,"담당자 누락; ","")&amp;IF(COUNTIF(코드설정!$G$5:$G$14,일일실시사항!$F229)=0,"업무구분 누락; ","")&amp;IF(AND(일일실시사항!$G229&lt;&gt;"",COUNTIF(사건마스터!$A$5:$A$64,일일실시사항!$G229)=0),"미등록 사건번호; ","")&amp;IF(일일실시사항!$H229="","실시 내용 없음; ","")&amp;IF(COUNTIF(코드설정!$F$5:$F$7,일일실시사항!$J229)=0,"진행상태 누락; ","")))</f>
        <v/>
      </c>
    </row>
    <row r="1262">
      <c r="A1262" s="26" t="inlineStr">
        <is>
          <t>일일실시사항</t>
        </is>
      </c>
      <c r="B1262" s="66" t="n">
        <v>230</v>
      </c>
      <c r="C1262" s="122">
        <f>IF($D1262="","",IFERROR(TEXT(일일실시사항!$B230,"yyyy-mm-dd"),"(날짜없음)")&amp;"  "&amp;일일실시사항!$D230&amp;"  "&amp;일일실시사항!$H230)</f>
        <v/>
      </c>
      <c r="D1262" s="122">
        <f>IF(NOT(COUNTBLANK(일일실시사항!$B230:$K230)&lt;10),"",TRIM(IF(일일실시사항!$B230="","일자 누락; ","")&amp;IF(COUNTIF(코드설정!$C$5:$C$24,일일실시사항!$D230)=0,"담당자 누락; ","")&amp;IF(COUNTIF(코드설정!$G$5:$G$14,일일실시사항!$F230)=0,"업무구분 누락; ","")&amp;IF(AND(일일실시사항!$G230&lt;&gt;"",COUNTIF(사건마스터!$A$5:$A$64,일일실시사항!$G230)=0),"미등록 사건번호; ","")&amp;IF(일일실시사항!$H230="","실시 내용 없음; ","")&amp;IF(COUNTIF(코드설정!$F$5:$F$7,일일실시사항!$J230)=0,"진행상태 누락; ","")))</f>
        <v/>
      </c>
    </row>
    <row r="1263">
      <c r="A1263" s="26" t="inlineStr">
        <is>
          <t>일일실시사항</t>
        </is>
      </c>
      <c r="B1263" s="66" t="n">
        <v>231</v>
      </c>
      <c r="C1263" s="122">
        <f>IF($D1263="","",IFERROR(TEXT(일일실시사항!$B231,"yyyy-mm-dd"),"(날짜없음)")&amp;"  "&amp;일일실시사항!$D231&amp;"  "&amp;일일실시사항!$H231)</f>
        <v/>
      </c>
      <c r="D1263" s="122">
        <f>IF(NOT(COUNTBLANK(일일실시사항!$B231:$K231)&lt;10),"",TRIM(IF(일일실시사항!$B231="","일자 누락; ","")&amp;IF(COUNTIF(코드설정!$C$5:$C$24,일일실시사항!$D231)=0,"담당자 누락; ","")&amp;IF(COUNTIF(코드설정!$G$5:$G$14,일일실시사항!$F231)=0,"업무구분 누락; ","")&amp;IF(AND(일일실시사항!$G231&lt;&gt;"",COUNTIF(사건마스터!$A$5:$A$64,일일실시사항!$G231)=0),"미등록 사건번호; ","")&amp;IF(일일실시사항!$H231="","실시 내용 없음; ","")&amp;IF(COUNTIF(코드설정!$F$5:$F$7,일일실시사항!$J231)=0,"진행상태 누락; ","")))</f>
        <v/>
      </c>
    </row>
    <row r="1264">
      <c r="A1264" s="26" t="inlineStr">
        <is>
          <t>일일실시사항</t>
        </is>
      </c>
      <c r="B1264" s="66" t="n">
        <v>232</v>
      </c>
      <c r="C1264" s="122">
        <f>IF($D1264="","",IFERROR(TEXT(일일실시사항!$B232,"yyyy-mm-dd"),"(날짜없음)")&amp;"  "&amp;일일실시사항!$D232&amp;"  "&amp;일일실시사항!$H232)</f>
        <v/>
      </c>
      <c r="D1264" s="122">
        <f>IF(NOT(COUNTBLANK(일일실시사항!$B232:$K232)&lt;10),"",TRIM(IF(일일실시사항!$B232="","일자 누락; ","")&amp;IF(COUNTIF(코드설정!$C$5:$C$24,일일실시사항!$D232)=0,"담당자 누락; ","")&amp;IF(COUNTIF(코드설정!$G$5:$G$14,일일실시사항!$F232)=0,"업무구분 누락; ","")&amp;IF(AND(일일실시사항!$G232&lt;&gt;"",COUNTIF(사건마스터!$A$5:$A$64,일일실시사항!$G232)=0),"미등록 사건번호; ","")&amp;IF(일일실시사항!$H232="","실시 내용 없음; ","")&amp;IF(COUNTIF(코드설정!$F$5:$F$7,일일실시사항!$J232)=0,"진행상태 누락; ","")))</f>
        <v/>
      </c>
    </row>
    <row r="1265">
      <c r="A1265" s="26" t="inlineStr">
        <is>
          <t>일일실시사항</t>
        </is>
      </c>
      <c r="B1265" s="66" t="n">
        <v>233</v>
      </c>
      <c r="C1265" s="122">
        <f>IF($D1265="","",IFERROR(TEXT(일일실시사항!$B233,"yyyy-mm-dd"),"(날짜없음)")&amp;"  "&amp;일일실시사항!$D233&amp;"  "&amp;일일실시사항!$H233)</f>
        <v/>
      </c>
      <c r="D1265" s="122">
        <f>IF(NOT(COUNTBLANK(일일실시사항!$B233:$K233)&lt;10),"",TRIM(IF(일일실시사항!$B233="","일자 누락; ","")&amp;IF(COUNTIF(코드설정!$C$5:$C$24,일일실시사항!$D233)=0,"담당자 누락; ","")&amp;IF(COUNTIF(코드설정!$G$5:$G$14,일일실시사항!$F233)=0,"업무구분 누락; ","")&amp;IF(AND(일일실시사항!$G233&lt;&gt;"",COUNTIF(사건마스터!$A$5:$A$64,일일실시사항!$G233)=0),"미등록 사건번호; ","")&amp;IF(일일실시사항!$H233="","실시 내용 없음; ","")&amp;IF(COUNTIF(코드설정!$F$5:$F$7,일일실시사항!$J233)=0,"진행상태 누락; ","")))</f>
        <v/>
      </c>
    </row>
    <row r="1266">
      <c r="A1266" s="26" t="inlineStr">
        <is>
          <t>일일실시사항</t>
        </is>
      </c>
      <c r="B1266" s="66" t="n">
        <v>234</v>
      </c>
      <c r="C1266" s="122">
        <f>IF($D1266="","",IFERROR(TEXT(일일실시사항!$B234,"yyyy-mm-dd"),"(날짜없음)")&amp;"  "&amp;일일실시사항!$D234&amp;"  "&amp;일일실시사항!$H234)</f>
        <v/>
      </c>
      <c r="D1266" s="122">
        <f>IF(NOT(COUNTBLANK(일일실시사항!$B234:$K234)&lt;10),"",TRIM(IF(일일실시사항!$B234="","일자 누락; ","")&amp;IF(COUNTIF(코드설정!$C$5:$C$24,일일실시사항!$D234)=0,"담당자 누락; ","")&amp;IF(COUNTIF(코드설정!$G$5:$G$14,일일실시사항!$F234)=0,"업무구분 누락; ","")&amp;IF(AND(일일실시사항!$G234&lt;&gt;"",COUNTIF(사건마스터!$A$5:$A$64,일일실시사항!$G234)=0),"미등록 사건번호; ","")&amp;IF(일일실시사항!$H234="","실시 내용 없음; ","")&amp;IF(COUNTIF(코드설정!$F$5:$F$7,일일실시사항!$J234)=0,"진행상태 누락; ","")))</f>
        <v/>
      </c>
    </row>
    <row r="1267">
      <c r="A1267" s="26" t="inlineStr">
        <is>
          <t>일일실시사항</t>
        </is>
      </c>
      <c r="B1267" s="66" t="n">
        <v>235</v>
      </c>
      <c r="C1267" s="122">
        <f>IF($D1267="","",IFERROR(TEXT(일일실시사항!$B235,"yyyy-mm-dd"),"(날짜없음)")&amp;"  "&amp;일일실시사항!$D235&amp;"  "&amp;일일실시사항!$H235)</f>
        <v/>
      </c>
      <c r="D1267" s="122">
        <f>IF(NOT(COUNTBLANK(일일실시사항!$B235:$K235)&lt;10),"",TRIM(IF(일일실시사항!$B235="","일자 누락; ","")&amp;IF(COUNTIF(코드설정!$C$5:$C$24,일일실시사항!$D235)=0,"담당자 누락; ","")&amp;IF(COUNTIF(코드설정!$G$5:$G$14,일일실시사항!$F235)=0,"업무구분 누락; ","")&amp;IF(AND(일일실시사항!$G235&lt;&gt;"",COUNTIF(사건마스터!$A$5:$A$64,일일실시사항!$G235)=0),"미등록 사건번호; ","")&amp;IF(일일실시사항!$H235="","실시 내용 없음; ","")&amp;IF(COUNTIF(코드설정!$F$5:$F$7,일일실시사항!$J235)=0,"진행상태 누락; ","")))</f>
        <v/>
      </c>
    </row>
    <row r="1268">
      <c r="A1268" s="26" t="inlineStr">
        <is>
          <t>일일실시사항</t>
        </is>
      </c>
      <c r="B1268" s="66" t="n">
        <v>236</v>
      </c>
      <c r="C1268" s="122">
        <f>IF($D1268="","",IFERROR(TEXT(일일실시사항!$B236,"yyyy-mm-dd"),"(날짜없음)")&amp;"  "&amp;일일실시사항!$D236&amp;"  "&amp;일일실시사항!$H236)</f>
        <v/>
      </c>
      <c r="D1268" s="122">
        <f>IF(NOT(COUNTBLANK(일일실시사항!$B236:$K236)&lt;10),"",TRIM(IF(일일실시사항!$B236="","일자 누락; ","")&amp;IF(COUNTIF(코드설정!$C$5:$C$24,일일실시사항!$D236)=0,"담당자 누락; ","")&amp;IF(COUNTIF(코드설정!$G$5:$G$14,일일실시사항!$F236)=0,"업무구분 누락; ","")&amp;IF(AND(일일실시사항!$G236&lt;&gt;"",COUNTIF(사건마스터!$A$5:$A$64,일일실시사항!$G236)=0),"미등록 사건번호; ","")&amp;IF(일일실시사항!$H236="","실시 내용 없음; ","")&amp;IF(COUNTIF(코드설정!$F$5:$F$7,일일실시사항!$J236)=0,"진행상태 누락; ","")))</f>
        <v/>
      </c>
    </row>
    <row r="1269">
      <c r="A1269" s="26" t="inlineStr">
        <is>
          <t>일일실시사항</t>
        </is>
      </c>
      <c r="B1269" s="66" t="n">
        <v>237</v>
      </c>
      <c r="C1269" s="122">
        <f>IF($D1269="","",IFERROR(TEXT(일일실시사항!$B237,"yyyy-mm-dd"),"(날짜없음)")&amp;"  "&amp;일일실시사항!$D237&amp;"  "&amp;일일실시사항!$H237)</f>
        <v/>
      </c>
      <c r="D1269" s="122">
        <f>IF(NOT(COUNTBLANK(일일실시사항!$B237:$K237)&lt;10),"",TRIM(IF(일일실시사항!$B237="","일자 누락; ","")&amp;IF(COUNTIF(코드설정!$C$5:$C$24,일일실시사항!$D237)=0,"담당자 누락; ","")&amp;IF(COUNTIF(코드설정!$G$5:$G$14,일일실시사항!$F237)=0,"업무구분 누락; ","")&amp;IF(AND(일일실시사항!$G237&lt;&gt;"",COUNTIF(사건마스터!$A$5:$A$64,일일실시사항!$G237)=0),"미등록 사건번호; ","")&amp;IF(일일실시사항!$H237="","실시 내용 없음; ","")&amp;IF(COUNTIF(코드설정!$F$5:$F$7,일일실시사항!$J237)=0,"진행상태 누락; ","")))</f>
        <v/>
      </c>
    </row>
    <row r="1270">
      <c r="A1270" s="26" t="inlineStr">
        <is>
          <t>일일실시사항</t>
        </is>
      </c>
      <c r="B1270" s="66" t="n">
        <v>238</v>
      </c>
      <c r="C1270" s="122">
        <f>IF($D1270="","",IFERROR(TEXT(일일실시사항!$B238,"yyyy-mm-dd"),"(날짜없음)")&amp;"  "&amp;일일실시사항!$D238&amp;"  "&amp;일일실시사항!$H238)</f>
        <v/>
      </c>
      <c r="D1270" s="122">
        <f>IF(NOT(COUNTBLANK(일일실시사항!$B238:$K238)&lt;10),"",TRIM(IF(일일실시사항!$B238="","일자 누락; ","")&amp;IF(COUNTIF(코드설정!$C$5:$C$24,일일실시사항!$D238)=0,"담당자 누락; ","")&amp;IF(COUNTIF(코드설정!$G$5:$G$14,일일실시사항!$F238)=0,"업무구분 누락; ","")&amp;IF(AND(일일실시사항!$G238&lt;&gt;"",COUNTIF(사건마스터!$A$5:$A$64,일일실시사항!$G238)=0),"미등록 사건번호; ","")&amp;IF(일일실시사항!$H238="","실시 내용 없음; ","")&amp;IF(COUNTIF(코드설정!$F$5:$F$7,일일실시사항!$J238)=0,"진행상태 누락; ","")))</f>
        <v/>
      </c>
    </row>
    <row r="1271">
      <c r="A1271" s="26" t="inlineStr">
        <is>
          <t>일일실시사항</t>
        </is>
      </c>
      <c r="B1271" s="66" t="n">
        <v>239</v>
      </c>
      <c r="C1271" s="122">
        <f>IF($D1271="","",IFERROR(TEXT(일일실시사항!$B239,"yyyy-mm-dd"),"(날짜없음)")&amp;"  "&amp;일일실시사항!$D239&amp;"  "&amp;일일실시사항!$H239)</f>
        <v/>
      </c>
      <c r="D1271" s="122">
        <f>IF(NOT(COUNTBLANK(일일실시사항!$B239:$K239)&lt;10),"",TRIM(IF(일일실시사항!$B239="","일자 누락; ","")&amp;IF(COUNTIF(코드설정!$C$5:$C$24,일일실시사항!$D239)=0,"담당자 누락; ","")&amp;IF(COUNTIF(코드설정!$G$5:$G$14,일일실시사항!$F239)=0,"업무구분 누락; ","")&amp;IF(AND(일일실시사항!$G239&lt;&gt;"",COUNTIF(사건마스터!$A$5:$A$64,일일실시사항!$G239)=0),"미등록 사건번호; ","")&amp;IF(일일실시사항!$H239="","실시 내용 없음; ","")&amp;IF(COUNTIF(코드설정!$F$5:$F$7,일일실시사항!$J239)=0,"진행상태 누락; ","")))</f>
        <v/>
      </c>
    </row>
    <row r="1272">
      <c r="A1272" s="26" t="inlineStr">
        <is>
          <t>일일실시사항</t>
        </is>
      </c>
      <c r="B1272" s="66" t="n">
        <v>240</v>
      </c>
      <c r="C1272" s="122">
        <f>IF($D1272="","",IFERROR(TEXT(일일실시사항!$B240,"yyyy-mm-dd"),"(날짜없음)")&amp;"  "&amp;일일실시사항!$D240&amp;"  "&amp;일일실시사항!$H240)</f>
        <v/>
      </c>
      <c r="D1272" s="122">
        <f>IF(NOT(COUNTBLANK(일일실시사항!$B240:$K240)&lt;10),"",TRIM(IF(일일실시사항!$B240="","일자 누락; ","")&amp;IF(COUNTIF(코드설정!$C$5:$C$24,일일실시사항!$D240)=0,"담당자 누락; ","")&amp;IF(COUNTIF(코드설정!$G$5:$G$14,일일실시사항!$F240)=0,"업무구분 누락; ","")&amp;IF(AND(일일실시사항!$G240&lt;&gt;"",COUNTIF(사건마스터!$A$5:$A$64,일일실시사항!$G240)=0),"미등록 사건번호; ","")&amp;IF(일일실시사항!$H240="","실시 내용 없음; ","")&amp;IF(COUNTIF(코드설정!$F$5:$F$7,일일실시사항!$J240)=0,"진행상태 누락; ","")))</f>
        <v/>
      </c>
    </row>
    <row r="1273">
      <c r="A1273" s="26" t="inlineStr">
        <is>
          <t>일일실시사항</t>
        </is>
      </c>
      <c r="B1273" s="66" t="n">
        <v>241</v>
      </c>
      <c r="C1273" s="122">
        <f>IF($D1273="","",IFERROR(TEXT(일일실시사항!$B241,"yyyy-mm-dd"),"(날짜없음)")&amp;"  "&amp;일일실시사항!$D241&amp;"  "&amp;일일실시사항!$H241)</f>
        <v/>
      </c>
      <c r="D1273" s="122">
        <f>IF(NOT(COUNTBLANK(일일실시사항!$B241:$K241)&lt;10),"",TRIM(IF(일일실시사항!$B241="","일자 누락; ","")&amp;IF(COUNTIF(코드설정!$C$5:$C$24,일일실시사항!$D241)=0,"담당자 누락; ","")&amp;IF(COUNTIF(코드설정!$G$5:$G$14,일일실시사항!$F241)=0,"업무구분 누락; ","")&amp;IF(AND(일일실시사항!$G241&lt;&gt;"",COUNTIF(사건마스터!$A$5:$A$64,일일실시사항!$G241)=0),"미등록 사건번호; ","")&amp;IF(일일실시사항!$H241="","실시 내용 없음; ","")&amp;IF(COUNTIF(코드설정!$F$5:$F$7,일일실시사항!$J241)=0,"진행상태 누락; ","")))</f>
        <v/>
      </c>
    </row>
    <row r="1274">
      <c r="A1274" s="26" t="inlineStr">
        <is>
          <t>일일실시사항</t>
        </is>
      </c>
      <c r="B1274" s="66" t="n">
        <v>242</v>
      </c>
      <c r="C1274" s="122">
        <f>IF($D1274="","",IFERROR(TEXT(일일실시사항!$B242,"yyyy-mm-dd"),"(날짜없음)")&amp;"  "&amp;일일실시사항!$D242&amp;"  "&amp;일일실시사항!$H242)</f>
        <v/>
      </c>
      <c r="D1274" s="122">
        <f>IF(NOT(COUNTBLANK(일일실시사항!$B242:$K242)&lt;10),"",TRIM(IF(일일실시사항!$B242="","일자 누락; ","")&amp;IF(COUNTIF(코드설정!$C$5:$C$24,일일실시사항!$D242)=0,"담당자 누락; ","")&amp;IF(COUNTIF(코드설정!$G$5:$G$14,일일실시사항!$F242)=0,"업무구분 누락; ","")&amp;IF(AND(일일실시사항!$G242&lt;&gt;"",COUNTIF(사건마스터!$A$5:$A$64,일일실시사항!$G242)=0),"미등록 사건번호; ","")&amp;IF(일일실시사항!$H242="","실시 내용 없음; ","")&amp;IF(COUNTIF(코드설정!$F$5:$F$7,일일실시사항!$J242)=0,"진행상태 누락; ","")))</f>
        <v/>
      </c>
    </row>
    <row r="1275">
      <c r="A1275" s="26" t="inlineStr">
        <is>
          <t>일일실시사항</t>
        </is>
      </c>
      <c r="B1275" s="66" t="n">
        <v>243</v>
      </c>
      <c r="C1275" s="122">
        <f>IF($D1275="","",IFERROR(TEXT(일일실시사항!$B243,"yyyy-mm-dd"),"(날짜없음)")&amp;"  "&amp;일일실시사항!$D243&amp;"  "&amp;일일실시사항!$H243)</f>
        <v/>
      </c>
      <c r="D1275" s="122">
        <f>IF(NOT(COUNTBLANK(일일실시사항!$B243:$K243)&lt;10),"",TRIM(IF(일일실시사항!$B243="","일자 누락; ","")&amp;IF(COUNTIF(코드설정!$C$5:$C$24,일일실시사항!$D243)=0,"담당자 누락; ","")&amp;IF(COUNTIF(코드설정!$G$5:$G$14,일일실시사항!$F243)=0,"업무구분 누락; ","")&amp;IF(AND(일일실시사항!$G243&lt;&gt;"",COUNTIF(사건마스터!$A$5:$A$64,일일실시사항!$G243)=0),"미등록 사건번호; ","")&amp;IF(일일실시사항!$H243="","실시 내용 없음; ","")&amp;IF(COUNTIF(코드설정!$F$5:$F$7,일일실시사항!$J243)=0,"진행상태 누락; ","")))</f>
        <v/>
      </c>
    </row>
    <row r="1276">
      <c r="A1276" s="26" t="inlineStr">
        <is>
          <t>일일실시사항</t>
        </is>
      </c>
      <c r="B1276" s="66" t="n">
        <v>244</v>
      </c>
      <c r="C1276" s="122">
        <f>IF($D1276="","",IFERROR(TEXT(일일실시사항!$B244,"yyyy-mm-dd"),"(날짜없음)")&amp;"  "&amp;일일실시사항!$D244&amp;"  "&amp;일일실시사항!$H244)</f>
        <v/>
      </c>
      <c r="D1276" s="122">
        <f>IF(NOT(COUNTBLANK(일일실시사항!$B244:$K244)&lt;10),"",TRIM(IF(일일실시사항!$B244="","일자 누락; ","")&amp;IF(COUNTIF(코드설정!$C$5:$C$24,일일실시사항!$D244)=0,"담당자 누락; ","")&amp;IF(COUNTIF(코드설정!$G$5:$G$14,일일실시사항!$F244)=0,"업무구분 누락; ","")&amp;IF(AND(일일실시사항!$G244&lt;&gt;"",COUNTIF(사건마스터!$A$5:$A$64,일일실시사항!$G244)=0),"미등록 사건번호; ","")&amp;IF(일일실시사항!$H244="","실시 내용 없음; ","")&amp;IF(COUNTIF(코드설정!$F$5:$F$7,일일실시사항!$J244)=0,"진행상태 누락; ","")))</f>
        <v/>
      </c>
    </row>
    <row r="1277">
      <c r="A1277" s="26" t="inlineStr">
        <is>
          <t>일일실시사항</t>
        </is>
      </c>
      <c r="B1277" s="66" t="n">
        <v>245</v>
      </c>
      <c r="C1277" s="122">
        <f>IF($D1277="","",IFERROR(TEXT(일일실시사항!$B245,"yyyy-mm-dd"),"(날짜없음)")&amp;"  "&amp;일일실시사항!$D245&amp;"  "&amp;일일실시사항!$H245)</f>
        <v/>
      </c>
      <c r="D1277" s="122">
        <f>IF(NOT(COUNTBLANK(일일실시사항!$B245:$K245)&lt;10),"",TRIM(IF(일일실시사항!$B245="","일자 누락; ","")&amp;IF(COUNTIF(코드설정!$C$5:$C$24,일일실시사항!$D245)=0,"담당자 누락; ","")&amp;IF(COUNTIF(코드설정!$G$5:$G$14,일일실시사항!$F245)=0,"업무구분 누락; ","")&amp;IF(AND(일일실시사항!$G245&lt;&gt;"",COUNTIF(사건마스터!$A$5:$A$64,일일실시사항!$G245)=0),"미등록 사건번호; ","")&amp;IF(일일실시사항!$H245="","실시 내용 없음; ","")&amp;IF(COUNTIF(코드설정!$F$5:$F$7,일일실시사항!$J245)=0,"진행상태 누락; ","")))</f>
        <v/>
      </c>
    </row>
    <row r="1278">
      <c r="A1278" s="26" t="inlineStr">
        <is>
          <t>일일실시사항</t>
        </is>
      </c>
      <c r="B1278" s="66" t="n">
        <v>246</v>
      </c>
      <c r="C1278" s="122">
        <f>IF($D1278="","",IFERROR(TEXT(일일실시사항!$B246,"yyyy-mm-dd"),"(날짜없음)")&amp;"  "&amp;일일실시사항!$D246&amp;"  "&amp;일일실시사항!$H246)</f>
        <v/>
      </c>
      <c r="D1278" s="122">
        <f>IF(NOT(COUNTBLANK(일일실시사항!$B246:$K246)&lt;10),"",TRIM(IF(일일실시사항!$B246="","일자 누락; ","")&amp;IF(COUNTIF(코드설정!$C$5:$C$24,일일실시사항!$D246)=0,"담당자 누락; ","")&amp;IF(COUNTIF(코드설정!$G$5:$G$14,일일실시사항!$F246)=0,"업무구분 누락; ","")&amp;IF(AND(일일실시사항!$G246&lt;&gt;"",COUNTIF(사건마스터!$A$5:$A$64,일일실시사항!$G246)=0),"미등록 사건번호; ","")&amp;IF(일일실시사항!$H246="","실시 내용 없음; ","")&amp;IF(COUNTIF(코드설정!$F$5:$F$7,일일실시사항!$J246)=0,"진행상태 누락; ","")))</f>
        <v/>
      </c>
    </row>
    <row r="1279">
      <c r="A1279" s="26" t="inlineStr">
        <is>
          <t>일일실시사항</t>
        </is>
      </c>
      <c r="B1279" s="66" t="n">
        <v>247</v>
      </c>
      <c r="C1279" s="122">
        <f>IF($D1279="","",IFERROR(TEXT(일일실시사항!$B247,"yyyy-mm-dd"),"(날짜없음)")&amp;"  "&amp;일일실시사항!$D247&amp;"  "&amp;일일실시사항!$H247)</f>
        <v/>
      </c>
      <c r="D1279" s="122">
        <f>IF(NOT(COUNTBLANK(일일실시사항!$B247:$K247)&lt;10),"",TRIM(IF(일일실시사항!$B247="","일자 누락; ","")&amp;IF(COUNTIF(코드설정!$C$5:$C$24,일일실시사항!$D247)=0,"담당자 누락; ","")&amp;IF(COUNTIF(코드설정!$G$5:$G$14,일일실시사항!$F247)=0,"업무구분 누락; ","")&amp;IF(AND(일일실시사항!$G247&lt;&gt;"",COUNTIF(사건마스터!$A$5:$A$64,일일실시사항!$G247)=0),"미등록 사건번호; ","")&amp;IF(일일실시사항!$H247="","실시 내용 없음; ","")&amp;IF(COUNTIF(코드설정!$F$5:$F$7,일일실시사항!$J247)=0,"진행상태 누락; ","")))</f>
        <v/>
      </c>
    </row>
    <row r="1280">
      <c r="A1280" s="26" t="inlineStr">
        <is>
          <t>일일실시사항</t>
        </is>
      </c>
      <c r="B1280" s="66" t="n">
        <v>248</v>
      </c>
      <c r="C1280" s="122">
        <f>IF($D1280="","",IFERROR(TEXT(일일실시사항!$B248,"yyyy-mm-dd"),"(날짜없음)")&amp;"  "&amp;일일실시사항!$D248&amp;"  "&amp;일일실시사항!$H248)</f>
        <v/>
      </c>
      <c r="D1280" s="122">
        <f>IF(NOT(COUNTBLANK(일일실시사항!$B248:$K248)&lt;10),"",TRIM(IF(일일실시사항!$B248="","일자 누락; ","")&amp;IF(COUNTIF(코드설정!$C$5:$C$24,일일실시사항!$D248)=0,"담당자 누락; ","")&amp;IF(COUNTIF(코드설정!$G$5:$G$14,일일실시사항!$F248)=0,"업무구분 누락; ","")&amp;IF(AND(일일실시사항!$G248&lt;&gt;"",COUNTIF(사건마스터!$A$5:$A$64,일일실시사항!$G248)=0),"미등록 사건번호; ","")&amp;IF(일일실시사항!$H248="","실시 내용 없음; ","")&amp;IF(COUNTIF(코드설정!$F$5:$F$7,일일실시사항!$J248)=0,"진행상태 누락; ","")))</f>
        <v/>
      </c>
    </row>
    <row r="1281">
      <c r="A1281" s="26" t="inlineStr">
        <is>
          <t>일일실시사항</t>
        </is>
      </c>
      <c r="B1281" s="66" t="n">
        <v>249</v>
      </c>
      <c r="C1281" s="122">
        <f>IF($D1281="","",IFERROR(TEXT(일일실시사항!$B249,"yyyy-mm-dd"),"(날짜없음)")&amp;"  "&amp;일일실시사항!$D249&amp;"  "&amp;일일실시사항!$H249)</f>
        <v/>
      </c>
      <c r="D1281" s="122">
        <f>IF(NOT(COUNTBLANK(일일실시사항!$B249:$K249)&lt;10),"",TRIM(IF(일일실시사항!$B249="","일자 누락; ","")&amp;IF(COUNTIF(코드설정!$C$5:$C$24,일일실시사항!$D249)=0,"담당자 누락; ","")&amp;IF(COUNTIF(코드설정!$G$5:$G$14,일일실시사항!$F249)=0,"업무구분 누락; ","")&amp;IF(AND(일일실시사항!$G249&lt;&gt;"",COUNTIF(사건마스터!$A$5:$A$64,일일실시사항!$G249)=0),"미등록 사건번호; ","")&amp;IF(일일실시사항!$H249="","실시 내용 없음; ","")&amp;IF(COUNTIF(코드설정!$F$5:$F$7,일일실시사항!$J249)=0,"진행상태 누락; ","")))</f>
        <v/>
      </c>
    </row>
    <row r="1282">
      <c r="A1282" s="26" t="inlineStr">
        <is>
          <t>일일실시사항</t>
        </is>
      </c>
      <c r="B1282" s="66" t="n">
        <v>250</v>
      </c>
      <c r="C1282" s="122">
        <f>IF($D1282="","",IFERROR(TEXT(일일실시사항!$B250,"yyyy-mm-dd"),"(날짜없음)")&amp;"  "&amp;일일실시사항!$D250&amp;"  "&amp;일일실시사항!$H250)</f>
        <v/>
      </c>
      <c r="D1282" s="122">
        <f>IF(NOT(COUNTBLANK(일일실시사항!$B250:$K250)&lt;10),"",TRIM(IF(일일실시사항!$B250="","일자 누락; ","")&amp;IF(COUNTIF(코드설정!$C$5:$C$24,일일실시사항!$D250)=0,"담당자 누락; ","")&amp;IF(COUNTIF(코드설정!$G$5:$G$14,일일실시사항!$F250)=0,"업무구분 누락; ","")&amp;IF(AND(일일실시사항!$G250&lt;&gt;"",COUNTIF(사건마스터!$A$5:$A$64,일일실시사항!$G250)=0),"미등록 사건번호; ","")&amp;IF(일일실시사항!$H250="","실시 내용 없음; ","")&amp;IF(COUNTIF(코드설정!$F$5:$F$7,일일실시사항!$J250)=0,"진행상태 누락; ","")))</f>
        <v/>
      </c>
    </row>
    <row r="1283">
      <c r="A1283" s="26" t="inlineStr">
        <is>
          <t>일일실시사항</t>
        </is>
      </c>
      <c r="B1283" s="66" t="n">
        <v>251</v>
      </c>
      <c r="C1283" s="122">
        <f>IF($D1283="","",IFERROR(TEXT(일일실시사항!$B251,"yyyy-mm-dd"),"(날짜없음)")&amp;"  "&amp;일일실시사항!$D251&amp;"  "&amp;일일실시사항!$H251)</f>
        <v/>
      </c>
      <c r="D1283" s="122">
        <f>IF(NOT(COUNTBLANK(일일실시사항!$B251:$K251)&lt;10),"",TRIM(IF(일일실시사항!$B251="","일자 누락; ","")&amp;IF(COUNTIF(코드설정!$C$5:$C$24,일일실시사항!$D251)=0,"담당자 누락; ","")&amp;IF(COUNTIF(코드설정!$G$5:$G$14,일일실시사항!$F251)=0,"업무구분 누락; ","")&amp;IF(AND(일일실시사항!$G251&lt;&gt;"",COUNTIF(사건마스터!$A$5:$A$64,일일실시사항!$G251)=0),"미등록 사건번호; ","")&amp;IF(일일실시사항!$H251="","실시 내용 없음; ","")&amp;IF(COUNTIF(코드설정!$F$5:$F$7,일일실시사항!$J251)=0,"진행상태 누락; ","")))</f>
        <v/>
      </c>
    </row>
    <row r="1284">
      <c r="A1284" s="26" t="inlineStr">
        <is>
          <t>일일실시사항</t>
        </is>
      </c>
      <c r="B1284" s="66" t="n">
        <v>252</v>
      </c>
      <c r="C1284" s="122">
        <f>IF($D1284="","",IFERROR(TEXT(일일실시사항!$B252,"yyyy-mm-dd"),"(날짜없음)")&amp;"  "&amp;일일실시사항!$D252&amp;"  "&amp;일일실시사항!$H252)</f>
        <v/>
      </c>
      <c r="D1284" s="122">
        <f>IF(NOT(COUNTBLANK(일일실시사항!$B252:$K252)&lt;10),"",TRIM(IF(일일실시사항!$B252="","일자 누락; ","")&amp;IF(COUNTIF(코드설정!$C$5:$C$24,일일실시사항!$D252)=0,"담당자 누락; ","")&amp;IF(COUNTIF(코드설정!$G$5:$G$14,일일실시사항!$F252)=0,"업무구분 누락; ","")&amp;IF(AND(일일실시사항!$G252&lt;&gt;"",COUNTIF(사건마스터!$A$5:$A$64,일일실시사항!$G252)=0),"미등록 사건번호; ","")&amp;IF(일일실시사항!$H252="","실시 내용 없음; ","")&amp;IF(COUNTIF(코드설정!$F$5:$F$7,일일실시사항!$J252)=0,"진행상태 누락; ","")))</f>
        <v/>
      </c>
    </row>
    <row r="1285">
      <c r="A1285" s="26" t="inlineStr">
        <is>
          <t>일일실시사항</t>
        </is>
      </c>
      <c r="B1285" s="66" t="n">
        <v>253</v>
      </c>
      <c r="C1285" s="122">
        <f>IF($D1285="","",IFERROR(TEXT(일일실시사항!$B253,"yyyy-mm-dd"),"(날짜없음)")&amp;"  "&amp;일일실시사항!$D253&amp;"  "&amp;일일실시사항!$H253)</f>
        <v/>
      </c>
      <c r="D1285" s="122">
        <f>IF(NOT(COUNTBLANK(일일실시사항!$B253:$K253)&lt;10),"",TRIM(IF(일일실시사항!$B253="","일자 누락; ","")&amp;IF(COUNTIF(코드설정!$C$5:$C$24,일일실시사항!$D253)=0,"담당자 누락; ","")&amp;IF(COUNTIF(코드설정!$G$5:$G$14,일일실시사항!$F253)=0,"업무구분 누락; ","")&amp;IF(AND(일일실시사항!$G253&lt;&gt;"",COUNTIF(사건마스터!$A$5:$A$64,일일실시사항!$G253)=0),"미등록 사건번호; ","")&amp;IF(일일실시사항!$H253="","실시 내용 없음; ","")&amp;IF(COUNTIF(코드설정!$F$5:$F$7,일일실시사항!$J253)=0,"진행상태 누락; ","")))</f>
        <v/>
      </c>
    </row>
    <row r="1286">
      <c r="A1286" s="26" t="inlineStr">
        <is>
          <t>일일실시사항</t>
        </is>
      </c>
      <c r="B1286" s="66" t="n">
        <v>254</v>
      </c>
      <c r="C1286" s="122">
        <f>IF($D1286="","",IFERROR(TEXT(일일실시사항!$B254,"yyyy-mm-dd"),"(날짜없음)")&amp;"  "&amp;일일실시사항!$D254&amp;"  "&amp;일일실시사항!$H254)</f>
        <v/>
      </c>
      <c r="D1286" s="122">
        <f>IF(NOT(COUNTBLANK(일일실시사항!$B254:$K254)&lt;10),"",TRIM(IF(일일실시사항!$B254="","일자 누락; ","")&amp;IF(COUNTIF(코드설정!$C$5:$C$24,일일실시사항!$D254)=0,"담당자 누락; ","")&amp;IF(COUNTIF(코드설정!$G$5:$G$14,일일실시사항!$F254)=0,"업무구분 누락; ","")&amp;IF(AND(일일실시사항!$G254&lt;&gt;"",COUNTIF(사건마스터!$A$5:$A$64,일일실시사항!$G254)=0),"미등록 사건번호; ","")&amp;IF(일일실시사항!$H254="","실시 내용 없음; ","")&amp;IF(COUNTIF(코드설정!$F$5:$F$7,일일실시사항!$J254)=0,"진행상태 누락; ","")))</f>
        <v/>
      </c>
    </row>
    <row r="1287">
      <c r="A1287" s="26" t="inlineStr">
        <is>
          <t>일일실시사항</t>
        </is>
      </c>
      <c r="B1287" s="66" t="n">
        <v>255</v>
      </c>
      <c r="C1287" s="122">
        <f>IF($D1287="","",IFERROR(TEXT(일일실시사항!$B255,"yyyy-mm-dd"),"(날짜없음)")&amp;"  "&amp;일일실시사항!$D255&amp;"  "&amp;일일실시사항!$H255)</f>
        <v/>
      </c>
      <c r="D1287" s="122">
        <f>IF(NOT(COUNTBLANK(일일실시사항!$B255:$K255)&lt;10),"",TRIM(IF(일일실시사항!$B255="","일자 누락; ","")&amp;IF(COUNTIF(코드설정!$C$5:$C$24,일일실시사항!$D255)=0,"담당자 누락; ","")&amp;IF(COUNTIF(코드설정!$G$5:$G$14,일일실시사항!$F255)=0,"업무구분 누락; ","")&amp;IF(AND(일일실시사항!$G255&lt;&gt;"",COUNTIF(사건마스터!$A$5:$A$64,일일실시사항!$G255)=0),"미등록 사건번호; ","")&amp;IF(일일실시사항!$H255="","실시 내용 없음; ","")&amp;IF(COUNTIF(코드설정!$F$5:$F$7,일일실시사항!$J255)=0,"진행상태 누락; ","")))</f>
        <v/>
      </c>
    </row>
    <row r="1288">
      <c r="A1288" s="26" t="inlineStr">
        <is>
          <t>일일실시사항</t>
        </is>
      </c>
      <c r="B1288" s="66" t="n">
        <v>256</v>
      </c>
      <c r="C1288" s="122">
        <f>IF($D1288="","",IFERROR(TEXT(일일실시사항!$B256,"yyyy-mm-dd"),"(날짜없음)")&amp;"  "&amp;일일실시사항!$D256&amp;"  "&amp;일일실시사항!$H256)</f>
        <v/>
      </c>
      <c r="D1288" s="122">
        <f>IF(NOT(COUNTBLANK(일일실시사항!$B256:$K256)&lt;10),"",TRIM(IF(일일실시사항!$B256="","일자 누락; ","")&amp;IF(COUNTIF(코드설정!$C$5:$C$24,일일실시사항!$D256)=0,"담당자 누락; ","")&amp;IF(COUNTIF(코드설정!$G$5:$G$14,일일실시사항!$F256)=0,"업무구분 누락; ","")&amp;IF(AND(일일실시사항!$G256&lt;&gt;"",COUNTIF(사건마스터!$A$5:$A$64,일일실시사항!$G256)=0),"미등록 사건번호; ","")&amp;IF(일일실시사항!$H256="","실시 내용 없음; ","")&amp;IF(COUNTIF(코드설정!$F$5:$F$7,일일실시사항!$J256)=0,"진행상태 누락; ","")))</f>
        <v/>
      </c>
    </row>
    <row r="1289">
      <c r="A1289" s="26" t="inlineStr">
        <is>
          <t>일일실시사항</t>
        </is>
      </c>
      <c r="B1289" s="66" t="n">
        <v>257</v>
      </c>
      <c r="C1289" s="122">
        <f>IF($D1289="","",IFERROR(TEXT(일일실시사항!$B257,"yyyy-mm-dd"),"(날짜없음)")&amp;"  "&amp;일일실시사항!$D257&amp;"  "&amp;일일실시사항!$H257)</f>
        <v/>
      </c>
      <c r="D1289" s="122">
        <f>IF(NOT(COUNTBLANK(일일실시사항!$B257:$K257)&lt;10),"",TRIM(IF(일일실시사항!$B257="","일자 누락; ","")&amp;IF(COUNTIF(코드설정!$C$5:$C$24,일일실시사항!$D257)=0,"담당자 누락; ","")&amp;IF(COUNTIF(코드설정!$G$5:$G$14,일일실시사항!$F257)=0,"업무구분 누락; ","")&amp;IF(AND(일일실시사항!$G257&lt;&gt;"",COUNTIF(사건마스터!$A$5:$A$64,일일실시사항!$G257)=0),"미등록 사건번호; ","")&amp;IF(일일실시사항!$H257="","실시 내용 없음; ","")&amp;IF(COUNTIF(코드설정!$F$5:$F$7,일일실시사항!$J257)=0,"진행상태 누락; ","")))</f>
        <v/>
      </c>
    </row>
    <row r="1290">
      <c r="A1290" s="26" t="inlineStr">
        <is>
          <t>일일실시사항</t>
        </is>
      </c>
      <c r="B1290" s="66" t="n">
        <v>258</v>
      </c>
      <c r="C1290" s="122">
        <f>IF($D1290="","",IFERROR(TEXT(일일실시사항!$B258,"yyyy-mm-dd"),"(날짜없음)")&amp;"  "&amp;일일실시사항!$D258&amp;"  "&amp;일일실시사항!$H258)</f>
        <v/>
      </c>
      <c r="D1290" s="122">
        <f>IF(NOT(COUNTBLANK(일일실시사항!$B258:$K258)&lt;10),"",TRIM(IF(일일실시사항!$B258="","일자 누락; ","")&amp;IF(COUNTIF(코드설정!$C$5:$C$24,일일실시사항!$D258)=0,"담당자 누락; ","")&amp;IF(COUNTIF(코드설정!$G$5:$G$14,일일실시사항!$F258)=0,"업무구분 누락; ","")&amp;IF(AND(일일실시사항!$G258&lt;&gt;"",COUNTIF(사건마스터!$A$5:$A$64,일일실시사항!$G258)=0),"미등록 사건번호; ","")&amp;IF(일일실시사항!$H258="","실시 내용 없음; ","")&amp;IF(COUNTIF(코드설정!$F$5:$F$7,일일실시사항!$J258)=0,"진행상태 누락; ","")))</f>
        <v/>
      </c>
    </row>
    <row r="1291">
      <c r="A1291" s="26" t="inlineStr">
        <is>
          <t>일일실시사항</t>
        </is>
      </c>
      <c r="B1291" s="66" t="n">
        <v>259</v>
      </c>
      <c r="C1291" s="122">
        <f>IF($D1291="","",IFERROR(TEXT(일일실시사항!$B259,"yyyy-mm-dd"),"(날짜없음)")&amp;"  "&amp;일일실시사항!$D259&amp;"  "&amp;일일실시사항!$H259)</f>
        <v/>
      </c>
      <c r="D1291" s="122">
        <f>IF(NOT(COUNTBLANK(일일실시사항!$B259:$K259)&lt;10),"",TRIM(IF(일일실시사항!$B259="","일자 누락; ","")&amp;IF(COUNTIF(코드설정!$C$5:$C$24,일일실시사항!$D259)=0,"담당자 누락; ","")&amp;IF(COUNTIF(코드설정!$G$5:$G$14,일일실시사항!$F259)=0,"업무구분 누락; ","")&amp;IF(AND(일일실시사항!$G259&lt;&gt;"",COUNTIF(사건마스터!$A$5:$A$64,일일실시사항!$G259)=0),"미등록 사건번호; ","")&amp;IF(일일실시사항!$H259="","실시 내용 없음; ","")&amp;IF(COUNTIF(코드설정!$F$5:$F$7,일일실시사항!$J259)=0,"진행상태 누락; ","")))</f>
        <v/>
      </c>
    </row>
    <row r="1292">
      <c r="A1292" s="26" t="inlineStr">
        <is>
          <t>일일실시사항</t>
        </is>
      </c>
      <c r="B1292" s="66" t="n">
        <v>260</v>
      </c>
      <c r="C1292" s="122">
        <f>IF($D1292="","",IFERROR(TEXT(일일실시사항!$B260,"yyyy-mm-dd"),"(날짜없음)")&amp;"  "&amp;일일실시사항!$D260&amp;"  "&amp;일일실시사항!$H260)</f>
        <v/>
      </c>
      <c r="D1292" s="122">
        <f>IF(NOT(COUNTBLANK(일일실시사항!$B260:$K260)&lt;10),"",TRIM(IF(일일실시사항!$B260="","일자 누락; ","")&amp;IF(COUNTIF(코드설정!$C$5:$C$24,일일실시사항!$D260)=0,"담당자 누락; ","")&amp;IF(COUNTIF(코드설정!$G$5:$G$14,일일실시사항!$F260)=0,"업무구분 누락; ","")&amp;IF(AND(일일실시사항!$G260&lt;&gt;"",COUNTIF(사건마스터!$A$5:$A$64,일일실시사항!$G260)=0),"미등록 사건번호; ","")&amp;IF(일일실시사항!$H260="","실시 내용 없음; ","")&amp;IF(COUNTIF(코드설정!$F$5:$F$7,일일실시사항!$J260)=0,"진행상태 누락; ","")))</f>
        <v/>
      </c>
    </row>
    <row r="1293">
      <c r="A1293" s="26" t="inlineStr">
        <is>
          <t>일일실시사항</t>
        </is>
      </c>
      <c r="B1293" s="66" t="n">
        <v>261</v>
      </c>
      <c r="C1293" s="122">
        <f>IF($D1293="","",IFERROR(TEXT(일일실시사항!$B261,"yyyy-mm-dd"),"(날짜없음)")&amp;"  "&amp;일일실시사항!$D261&amp;"  "&amp;일일실시사항!$H261)</f>
        <v/>
      </c>
      <c r="D1293" s="122">
        <f>IF(NOT(COUNTBLANK(일일실시사항!$B261:$K261)&lt;10),"",TRIM(IF(일일실시사항!$B261="","일자 누락; ","")&amp;IF(COUNTIF(코드설정!$C$5:$C$24,일일실시사항!$D261)=0,"담당자 누락; ","")&amp;IF(COUNTIF(코드설정!$G$5:$G$14,일일실시사항!$F261)=0,"업무구분 누락; ","")&amp;IF(AND(일일실시사항!$G261&lt;&gt;"",COUNTIF(사건마스터!$A$5:$A$64,일일실시사항!$G261)=0),"미등록 사건번호; ","")&amp;IF(일일실시사항!$H261="","실시 내용 없음; ","")&amp;IF(COUNTIF(코드설정!$F$5:$F$7,일일실시사항!$J261)=0,"진행상태 누락; ","")))</f>
        <v/>
      </c>
    </row>
    <row r="1294">
      <c r="A1294" s="26" t="inlineStr">
        <is>
          <t>일일실시사항</t>
        </is>
      </c>
      <c r="B1294" s="66" t="n">
        <v>262</v>
      </c>
      <c r="C1294" s="122">
        <f>IF($D1294="","",IFERROR(TEXT(일일실시사항!$B262,"yyyy-mm-dd"),"(날짜없음)")&amp;"  "&amp;일일실시사항!$D262&amp;"  "&amp;일일실시사항!$H262)</f>
        <v/>
      </c>
      <c r="D1294" s="122">
        <f>IF(NOT(COUNTBLANK(일일실시사항!$B262:$K262)&lt;10),"",TRIM(IF(일일실시사항!$B262="","일자 누락; ","")&amp;IF(COUNTIF(코드설정!$C$5:$C$24,일일실시사항!$D262)=0,"담당자 누락; ","")&amp;IF(COUNTIF(코드설정!$G$5:$G$14,일일실시사항!$F262)=0,"업무구분 누락; ","")&amp;IF(AND(일일실시사항!$G262&lt;&gt;"",COUNTIF(사건마스터!$A$5:$A$64,일일실시사항!$G262)=0),"미등록 사건번호; ","")&amp;IF(일일실시사항!$H262="","실시 내용 없음; ","")&amp;IF(COUNTIF(코드설정!$F$5:$F$7,일일실시사항!$J262)=0,"진행상태 누락; ","")))</f>
        <v/>
      </c>
    </row>
    <row r="1295">
      <c r="A1295" s="26" t="inlineStr">
        <is>
          <t>일일실시사항</t>
        </is>
      </c>
      <c r="B1295" s="66" t="n">
        <v>263</v>
      </c>
      <c r="C1295" s="122">
        <f>IF($D1295="","",IFERROR(TEXT(일일실시사항!$B263,"yyyy-mm-dd"),"(날짜없음)")&amp;"  "&amp;일일실시사항!$D263&amp;"  "&amp;일일실시사항!$H263)</f>
        <v/>
      </c>
      <c r="D1295" s="122">
        <f>IF(NOT(COUNTBLANK(일일실시사항!$B263:$K263)&lt;10),"",TRIM(IF(일일실시사항!$B263="","일자 누락; ","")&amp;IF(COUNTIF(코드설정!$C$5:$C$24,일일실시사항!$D263)=0,"담당자 누락; ","")&amp;IF(COUNTIF(코드설정!$G$5:$G$14,일일실시사항!$F263)=0,"업무구분 누락; ","")&amp;IF(AND(일일실시사항!$G263&lt;&gt;"",COUNTIF(사건마스터!$A$5:$A$64,일일실시사항!$G263)=0),"미등록 사건번호; ","")&amp;IF(일일실시사항!$H263="","실시 내용 없음; ","")&amp;IF(COUNTIF(코드설정!$F$5:$F$7,일일실시사항!$J263)=0,"진행상태 누락; ","")))</f>
        <v/>
      </c>
    </row>
    <row r="1296">
      <c r="A1296" s="26" t="inlineStr">
        <is>
          <t>일일실시사항</t>
        </is>
      </c>
      <c r="B1296" s="66" t="n">
        <v>264</v>
      </c>
      <c r="C1296" s="122">
        <f>IF($D1296="","",IFERROR(TEXT(일일실시사항!$B264,"yyyy-mm-dd"),"(날짜없음)")&amp;"  "&amp;일일실시사항!$D264&amp;"  "&amp;일일실시사항!$H264)</f>
        <v/>
      </c>
      <c r="D1296" s="122">
        <f>IF(NOT(COUNTBLANK(일일실시사항!$B264:$K264)&lt;10),"",TRIM(IF(일일실시사항!$B264="","일자 누락; ","")&amp;IF(COUNTIF(코드설정!$C$5:$C$24,일일실시사항!$D264)=0,"담당자 누락; ","")&amp;IF(COUNTIF(코드설정!$G$5:$G$14,일일실시사항!$F264)=0,"업무구분 누락; ","")&amp;IF(AND(일일실시사항!$G264&lt;&gt;"",COUNTIF(사건마스터!$A$5:$A$64,일일실시사항!$G264)=0),"미등록 사건번호; ","")&amp;IF(일일실시사항!$H264="","실시 내용 없음; ","")&amp;IF(COUNTIF(코드설정!$F$5:$F$7,일일실시사항!$J264)=0,"진행상태 누락; ","")))</f>
        <v/>
      </c>
    </row>
    <row r="1297">
      <c r="A1297" s="26" t="inlineStr">
        <is>
          <t>일일실시사항</t>
        </is>
      </c>
      <c r="B1297" s="66" t="n">
        <v>265</v>
      </c>
      <c r="C1297" s="122">
        <f>IF($D1297="","",IFERROR(TEXT(일일실시사항!$B265,"yyyy-mm-dd"),"(날짜없음)")&amp;"  "&amp;일일실시사항!$D265&amp;"  "&amp;일일실시사항!$H265)</f>
        <v/>
      </c>
      <c r="D1297" s="122">
        <f>IF(NOT(COUNTBLANK(일일실시사항!$B265:$K265)&lt;10),"",TRIM(IF(일일실시사항!$B265="","일자 누락; ","")&amp;IF(COUNTIF(코드설정!$C$5:$C$24,일일실시사항!$D265)=0,"담당자 누락; ","")&amp;IF(COUNTIF(코드설정!$G$5:$G$14,일일실시사항!$F265)=0,"업무구분 누락; ","")&amp;IF(AND(일일실시사항!$G265&lt;&gt;"",COUNTIF(사건마스터!$A$5:$A$64,일일실시사항!$G265)=0),"미등록 사건번호; ","")&amp;IF(일일실시사항!$H265="","실시 내용 없음; ","")&amp;IF(COUNTIF(코드설정!$F$5:$F$7,일일실시사항!$J265)=0,"진행상태 누락; ","")))</f>
        <v/>
      </c>
    </row>
    <row r="1298">
      <c r="A1298" s="26" t="inlineStr">
        <is>
          <t>일일실시사항</t>
        </is>
      </c>
      <c r="B1298" s="66" t="n">
        <v>266</v>
      </c>
      <c r="C1298" s="122">
        <f>IF($D1298="","",IFERROR(TEXT(일일실시사항!$B266,"yyyy-mm-dd"),"(날짜없음)")&amp;"  "&amp;일일실시사항!$D266&amp;"  "&amp;일일실시사항!$H266)</f>
        <v/>
      </c>
      <c r="D1298" s="122">
        <f>IF(NOT(COUNTBLANK(일일실시사항!$B266:$K266)&lt;10),"",TRIM(IF(일일실시사항!$B266="","일자 누락; ","")&amp;IF(COUNTIF(코드설정!$C$5:$C$24,일일실시사항!$D266)=0,"담당자 누락; ","")&amp;IF(COUNTIF(코드설정!$G$5:$G$14,일일실시사항!$F266)=0,"업무구분 누락; ","")&amp;IF(AND(일일실시사항!$G266&lt;&gt;"",COUNTIF(사건마스터!$A$5:$A$64,일일실시사항!$G266)=0),"미등록 사건번호; ","")&amp;IF(일일실시사항!$H266="","실시 내용 없음; ","")&amp;IF(COUNTIF(코드설정!$F$5:$F$7,일일실시사항!$J266)=0,"진행상태 누락; ","")))</f>
        <v/>
      </c>
    </row>
    <row r="1299">
      <c r="A1299" s="26" t="inlineStr">
        <is>
          <t>일일실시사항</t>
        </is>
      </c>
      <c r="B1299" s="66" t="n">
        <v>267</v>
      </c>
      <c r="C1299" s="122">
        <f>IF($D1299="","",IFERROR(TEXT(일일실시사항!$B267,"yyyy-mm-dd"),"(날짜없음)")&amp;"  "&amp;일일실시사항!$D267&amp;"  "&amp;일일실시사항!$H267)</f>
        <v/>
      </c>
      <c r="D1299" s="122">
        <f>IF(NOT(COUNTBLANK(일일실시사항!$B267:$K267)&lt;10),"",TRIM(IF(일일실시사항!$B267="","일자 누락; ","")&amp;IF(COUNTIF(코드설정!$C$5:$C$24,일일실시사항!$D267)=0,"담당자 누락; ","")&amp;IF(COUNTIF(코드설정!$G$5:$G$14,일일실시사항!$F267)=0,"업무구분 누락; ","")&amp;IF(AND(일일실시사항!$G267&lt;&gt;"",COUNTIF(사건마스터!$A$5:$A$64,일일실시사항!$G267)=0),"미등록 사건번호; ","")&amp;IF(일일실시사항!$H267="","실시 내용 없음; ","")&amp;IF(COUNTIF(코드설정!$F$5:$F$7,일일실시사항!$J267)=0,"진행상태 누락; ","")))</f>
        <v/>
      </c>
    </row>
    <row r="1300">
      <c r="A1300" s="26" t="inlineStr">
        <is>
          <t>일일실시사항</t>
        </is>
      </c>
      <c r="B1300" s="66" t="n">
        <v>268</v>
      </c>
      <c r="C1300" s="122">
        <f>IF($D1300="","",IFERROR(TEXT(일일실시사항!$B268,"yyyy-mm-dd"),"(날짜없음)")&amp;"  "&amp;일일실시사항!$D268&amp;"  "&amp;일일실시사항!$H268)</f>
        <v/>
      </c>
      <c r="D1300" s="122">
        <f>IF(NOT(COUNTBLANK(일일실시사항!$B268:$K268)&lt;10),"",TRIM(IF(일일실시사항!$B268="","일자 누락; ","")&amp;IF(COUNTIF(코드설정!$C$5:$C$24,일일실시사항!$D268)=0,"담당자 누락; ","")&amp;IF(COUNTIF(코드설정!$G$5:$G$14,일일실시사항!$F268)=0,"업무구분 누락; ","")&amp;IF(AND(일일실시사항!$G268&lt;&gt;"",COUNTIF(사건마스터!$A$5:$A$64,일일실시사항!$G268)=0),"미등록 사건번호; ","")&amp;IF(일일실시사항!$H268="","실시 내용 없음; ","")&amp;IF(COUNTIF(코드설정!$F$5:$F$7,일일실시사항!$J268)=0,"진행상태 누락; ","")))</f>
        <v/>
      </c>
    </row>
    <row r="1301">
      <c r="A1301" s="26" t="inlineStr">
        <is>
          <t>일일실시사항</t>
        </is>
      </c>
      <c r="B1301" s="66" t="n">
        <v>269</v>
      </c>
      <c r="C1301" s="122">
        <f>IF($D1301="","",IFERROR(TEXT(일일실시사항!$B269,"yyyy-mm-dd"),"(날짜없음)")&amp;"  "&amp;일일실시사항!$D269&amp;"  "&amp;일일실시사항!$H269)</f>
        <v/>
      </c>
      <c r="D1301" s="122">
        <f>IF(NOT(COUNTBLANK(일일실시사항!$B269:$K269)&lt;10),"",TRIM(IF(일일실시사항!$B269="","일자 누락; ","")&amp;IF(COUNTIF(코드설정!$C$5:$C$24,일일실시사항!$D269)=0,"담당자 누락; ","")&amp;IF(COUNTIF(코드설정!$G$5:$G$14,일일실시사항!$F269)=0,"업무구분 누락; ","")&amp;IF(AND(일일실시사항!$G269&lt;&gt;"",COUNTIF(사건마스터!$A$5:$A$64,일일실시사항!$G269)=0),"미등록 사건번호; ","")&amp;IF(일일실시사항!$H269="","실시 내용 없음; ","")&amp;IF(COUNTIF(코드설정!$F$5:$F$7,일일실시사항!$J269)=0,"진행상태 누락; ","")))</f>
        <v/>
      </c>
    </row>
    <row r="1302">
      <c r="A1302" s="26" t="inlineStr">
        <is>
          <t>일일실시사항</t>
        </is>
      </c>
      <c r="B1302" s="66" t="n">
        <v>270</v>
      </c>
      <c r="C1302" s="122">
        <f>IF($D1302="","",IFERROR(TEXT(일일실시사항!$B270,"yyyy-mm-dd"),"(날짜없음)")&amp;"  "&amp;일일실시사항!$D270&amp;"  "&amp;일일실시사항!$H270)</f>
        <v/>
      </c>
      <c r="D1302" s="122">
        <f>IF(NOT(COUNTBLANK(일일실시사항!$B270:$K270)&lt;10),"",TRIM(IF(일일실시사항!$B270="","일자 누락; ","")&amp;IF(COUNTIF(코드설정!$C$5:$C$24,일일실시사항!$D270)=0,"담당자 누락; ","")&amp;IF(COUNTIF(코드설정!$G$5:$G$14,일일실시사항!$F270)=0,"업무구분 누락; ","")&amp;IF(AND(일일실시사항!$G270&lt;&gt;"",COUNTIF(사건마스터!$A$5:$A$64,일일실시사항!$G270)=0),"미등록 사건번호; ","")&amp;IF(일일실시사항!$H270="","실시 내용 없음; ","")&amp;IF(COUNTIF(코드설정!$F$5:$F$7,일일실시사항!$J270)=0,"진행상태 누락; ","")))</f>
        <v/>
      </c>
    </row>
    <row r="1303">
      <c r="A1303" s="26" t="inlineStr">
        <is>
          <t>일일실시사항</t>
        </is>
      </c>
      <c r="B1303" s="66" t="n">
        <v>271</v>
      </c>
      <c r="C1303" s="122">
        <f>IF($D1303="","",IFERROR(TEXT(일일실시사항!$B271,"yyyy-mm-dd"),"(날짜없음)")&amp;"  "&amp;일일실시사항!$D271&amp;"  "&amp;일일실시사항!$H271)</f>
        <v/>
      </c>
      <c r="D1303" s="122">
        <f>IF(NOT(COUNTBLANK(일일실시사항!$B271:$K271)&lt;10),"",TRIM(IF(일일실시사항!$B271="","일자 누락; ","")&amp;IF(COUNTIF(코드설정!$C$5:$C$24,일일실시사항!$D271)=0,"담당자 누락; ","")&amp;IF(COUNTIF(코드설정!$G$5:$G$14,일일실시사항!$F271)=0,"업무구분 누락; ","")&amp;IF(AND(일일실시사항!$G271&lt;&gt;"",COUNTIF(사건마스터!$A$5:$A$64,일일실시사항!$G271)=0),"미등록 사건번호; ","")&amp;IF(일일실시사항!$H271="","실시 내용 없음; ","")&amp;IF(COUNTIF(코드설정!$F$5:$F$7,일일실시사항!$J271)=0,"진행상태 누락; ","")))</f>
        <v/>
      </c>
    </row>
    <row r="1304">
      <c r="A1304" s="26" t="inlineStr">
        <is>
          <t>일일실시사항</t>
        </is>
      </c>
      <c r="B1304" s="66" t="n">
        <v>272</v>
      </c>
      <c r="C1304" s="122">
        <f>IF($D1304="","",IFERROR(TEXT(일일실시사항!$B272,"yyyy-mm-dd"),"(날짜없음)")&amp;"  "&amp;일일실시사항!$D272&amp;"  "&amp;일일실시사항!$H272)</f>
        <v/>
      </c>
      <c r="D1304" s="122">
        <f>IF(NOT(COUNTBLANK(일일실시사항!$B272:$K272)&lt;10),"",TRIM(IF(일일실시사항!$B272="","일자 누락; ","")&amp;IF(COUNTIF(코드설정!$C$5:$C$24,일일실시사항!$D272)=0,"담당자 누락; ","")&amp;IF(COUNTIF(코드설정!$G$5:$G$14,일일실시사항!$F272)=0,"업무구분 누락; ","")&amp;IF(AND(일일실시사항!$G272&lt;&gt;"",COUNTIF(사건마스터!$A$5:$A$64,일일실시사항!$G272)=0),"미등록 사건번호; ","")&amp;IF(일일실시사항!$H272="","실시 내용 없음; ","")&amp;IF(COUNTIF(코드설정!$F$5:$F$7,일일실시사항!$J272)=0,"진행상태 누락; ","")))</f>
        <v/>
      </c>
    </row>
    <row r="1305">
      <c r="A1305" s="26" t="inlineStr">
        <is>
          <t>일일실시사항</t>
        </is>
      </c>
      <c r="B1305" s="66" t="n">
        <v>273</v>
      </c>
      <c r="C1305" s="122">
        <f>IF($D1305="","",IFERROR(TEXT(일일실시사항!$B273,"yyyy-mm-dd"),"(날짜없음)")&amp;"  "&amp;일일실시사항!$D273&amp;"  "&amp;일일실시사항!$H273)</f>
        <v/>
      </c>
      <c r="D1305" s="122">
        <f>IF(NOT(COUNTBLANK(일일실시사항!$B273:$K273)&lt;10),"",TRIM(IF(일일실시사항!$B273="","일자 누락; ","")&amp;IF(COUNTIF(코드설정!$C$5:$C$24,일일실시사항!$D273)=0,"담당자 누락; ","")&amp;IF(COUNTIF(코드설정!$G$5:$G$14,일일실시사항!$F273)=0,"업무구분 누락; ","")&amp;IF(AND(일일실시사항!$G273&lt;&gt;"",COUNTIF(사건마스터!$A$5:$A$64,일일실시사항!$G273)=0),"미등록 사건번호; ","")&amp;IF(일일실시사항!$H273="","실시 내용 없음; ","")&amp;IF(COUNTIF(코드설정!$F$5:$F$7,일일실시사항!$J273)=0,"진행상태 누락; ","")))</f>
        <v/>
      </c>
    </row>
    <row r="1306">
      <c r="A1306" s="26" t="inlineStr">
        <is>
          <t>일일실시사항</t>
        </is>
      </c>
      <c r="B1306" s="66" t="n">
        <v>274</v>
      </c>
      <c r="C1306" s="122">
        <f>IF($D1306="","",IFERROR(TEXT(일일실시사항!$B274,"yyyy-mm-dd"),"(날짜없음)")&amp;"  "&amp;일일실시사항!$D274&amp;"  "&amp;일일실시사항!$H274)</f>
        <v/>
      </c>
      <c r="D1306" s="122">
        <f>IF(NOT(COUNTBLANK(일일실시사항!$B274:$K274)&lt;10),"",TRIM(IF(일일실시사항!$B274="","일자 누락; ","")&amp;IF(COUNTIF(코드설정!$C$5:$C$24,일일실시사항!$D274)=0,"담당자 누락; ","")&amp;IF(COUNTIF(코드설정!$G$5:$G$14,일일실시사항!$F274)=0,"업무구분 누락; ","")&amp;IF(AND(일일실시사항!$G274&lt;&gt;"",COUNTIF(사건마스터!$A$5:$A$64,일일실시사항!$G274)=0),"미등록 사건번호; ","")&amp;IF(일일실시사항!$H274="","실시 내용 없음; ","")&amp;IF(COUNTIF(코드설정!$F$5:$F$7,일일실시사항!$J274)=0,"진행상태 누락; ","")))</f>
        <v/>
      </c>
    </row>
    <row r="1307">
      <c r="A1307" s="26" t="inlineStr">
        <is>
          <t>일일실시사항</t>
        </is>
      </c>
      <c r="B1307" s="66" t="n">
        <v>275</v>
      </c>
      <c r="C1307" s="122">
        <f>IF($D1307="","",IFERROR(TEXT(일일실시사항!$B275,"yyyy-mm-dd"),"(날짜없음)")&amp;"  "&amp;일일실시사항!$D275&amp;"  "&amp;일일실시사항!$H275)</f>
        <v/>
      </c>
      <c r="D1307" s="122">
        <f>IF(NOT(COUNTBLANK(일일실시사항!$B275:$K275)&lt;10),"",TRIM(IF(일일실시사항!$B275="","일자 누락; ","")&amp;IF(COUNTIF(코드설정!$C$5:$C$24,일일실시사항!$D275)=0,"담당자 누락; ","")&amp;IF(COUNTIF(코드설정!$G$5:$G$14,일일실시사항!$F275)=0,"업무구분 누락; ","")&amp;IF(AND(일일실시사항!$G275&lt;&gt;"",COUNTIF(사건마스터!$A$5:$A$64,일일실시사항!$G275)=0),"미등록 사건번호; ","")&amp;IF(일일실시사항!$H275="","실시 내용 없음; ","")&amp;IF(COUNTIF(코드설정!$F$5:$F$7,일일실시사항!$J275)=0,"진행상태 누락; ","")))</f>
        <v/>
      </c>
    </row>
    <row r="1308">
      <c r="A1308" s="26" t="inlineStr">
        <is>
          <t>일일실시사항</t>
        </is>
      </c>
      <c r="B1308" s="66" t="n">
        <v>276</v>
      </c>
      <c r="C1308" s="122">
        <f>IF($D1308="","",IFERROR(TEXT(일일실시사항!$B276,"yyyy-mm-dd"),"(날짜없음)")&amp;"  "&amp;일일실시사항!$D276&amp;"  "&amp;일일실시사항!$H276)</f>
        <v/>
      </c>
      <c r="D1308" s="122">
        <f>IF(NOT(COUNTBLANK(일일실시사항!$B276:$K276)&lt;10),"",TRIM(IF(일일실시사항!$B276="","일자 누락; ","")&amp;IF(COUNTIF(코드설정!$C$5:$C$24,일일실시사항!$D276)=0,"담당자 누락; ","")&amp;IF(COUNTIF(코드설정!$G$5:$G$14,일일실시사항!$F276)=0,"업무구분 누락; ","")&amp;IF(AND(일일실시사항!$G276&lt;&gt;"",COUNTIF(사건마스터!$A$5:$A$64,일일실시사항!$G276)=0),"미등록 사건번호; ","")&amp;IF(일일실시사항!$H276="","실시 내용 없음; ","")&amp;IF(COUNTIF(코드설정!$F$5:$F$7,일일실시사항!$J276)=0,"진행상태 누락; ","")))</f>
        <v/>
      </c>
    </row>
    <row r="1309">
      <c r="A1309" s="26" t="inlineStr">
        <is>
          <t>일일실시사항</t>
        </is>
      </c>
      <c r="B1309" s="66" t="n">
        <v>277</v>
      </c>
      <c r="C1309" s="122">
        <f>IF($D1309="","",IFERROR(TEXT(일일실시사항!$B277,"yyyy-mm-dd"),"(날짜없음)")&amp;"  "&amp;일일실시사항!$D277&amp;"  "&amp;일일실시사항!$H277)</f>
        <v/>
      </c>
      <c r="D1309" s="122">
        <f>IF(NOT(COUNTBLANK(일일실시사항!$B277:$K277)&lt;10),"",TRIM(IF(일일실시사항!$B277="","일자 누락; ","")&amp;IF(COUNTIF(코드설정!$C$5:$C$24,일일실시사항!$D277)=0,"담당자 누락; ","")&amp;IF(COUNTIF(코드설정!$G$5:$G$14,일일실시사항!$F277)=0,"업무구분 누락; ","")&amp;IF(AND(일일실시사항!$G277&lt;&gt;"",COUNTIF(사건마스터!$A$5:$A$64,일일실시사항!$G277)=0),"미등록 사건번호; ","")&amp;IF(일일실시사항!$H277="","실시 내용 없음; ","")&amp;IF(COUNTIF(코드설정!$F$5:$F$7,일일실시사항!$J277)=0,"진행상태 누락; ","")))</f>
        <v/>
      </c>
    </row>
    <row r="1310">
      <c r="A1310" s="26" t="inlineStr">
        <is>
          <t>일일실시사항</t>
        </is>
      </c>
      <c r="B1310" s="66" t="n">
        <v>278</v>
      </c>
      <c r="C1310" s="122">
        <f>IF($D1310="","",IFERROR(TEXT(일일실시사항!$B278,"yyyy-mm-dd"),"(날짜없음)")&amp;"  "&amp;일일실시사항!$D278&amp;"  "&amp;일일실시사항!$H278)</f>
        <v/>
      </c>
      <c r="D1310" s="122">
        <f>IF(NOT(COUNTBLANK(일일실시사항!$B278:$K278)&lt;10),"",TRIM(IF(일일실시사항!$B278="","일자 누락; ","")&amp;IF(COUNTIF(코드설정!$C$5:$C$24,일일실시사항!$D278)=0,"담당자 누락; ","")&amp;IF(COUNTIF(코드설정!$G$5:$G$14,일일실시사항!$F278)=0,"업무구분 누락; ","")&amp;IF(AND(일일실시사항!$G278&lt;&gt;"",COUNTIF(사건마스터!$A$5:$A$64,일일실시사항!$G278)=0),"미등록 사건번호; ","")&amp;IF(일일실시사항!$H278="","실시 내용 없음; ","")&amp;IF(COUNTIF(코드설정!$F$5:$F$7,일일실시사항!$J278)=0,"진행상태 누락; ","")))</f>
        <v/>
      </c>
    </row>
    <row r="1311">
      <c r="A1311" s="26" t="inlineStr">
        <is>
          <t>일일실시사항</t>
        </is>
      </c>
      <c r="B1311" s="66" t="n">
        <v>279</v>
      </c>
      <c r="C1311" s="122">
        <f>IF($D1311="","",IFERROR(TEXT(일일실시사항!$B279,"yyyy-mm-dd"),"(날짜없음)")&amp;"  "&amp;일일실시사항!$D279&amp;"  "&amp;일일실시사항!$H279)</f>
        <v/>
      </c>
      <c r="D1311" s="122">
        <f>IF(NOT(COUNTBLANK(일일실시사항!$B279:$K279)&lt;10),"",TRIM(IF(일일실시사항!$B279="","일자 누락; ","")&amp;IF(COUNTIF(코드설정!$C$5:$C$24,일일실시사항!$D279)=0,"담당자 누락; ","")&amp;IF(COUNTIF(코드설정!$G$5:$G$14,일일실시사항!$F279)=0,"업무구분 누락; ","")&amp;IF(AND(일일실시사항!$G279&lt;&gt;"",COUNTIF(사건마스터!$A$5:$A$64,일일실시사항!$G279)=0),"미등록 사건번호; ","")&amp;IF(일일실시사항!$H279="","실시 내용 없음; ","")&amp;IF(COUNTIF(코드설정!$F$5:$F$7,일일실시사항!$J279)=0,"진행상태 누락; ","")))</f>
        <v/>
      </c>
    </row>
    <row r="1312">
      <c r="A1312" s="26" t="inlineStr">
        <is>
          <t>일일실시사항</t>
        </is>
      </c>
      <c r="B1312" s="66" t="n">
        <v>280</v>
      </c>
      <c r="C1312" s="122">
        <f>IF($D1312="","",IFERROR(TEXT(일일실시사항!$B280,"yyyy-mm-dd"),"(날짜없음)")&amp;"  "&amp;일일실시사항!$D280&amp;"  "&amp;일일실시사항!$H280)</f>
        <v/>
      </c>
      <c r="D1312" s="122">
        <f>IF(NOT(COUNTBLANK(일일실시사항!$B280:$K280)&lt;10),"",TRIM(IF(일일실시사항!$B280="","일자 누락; ","")&amp;IF(COUNTIF(코드설정!$C$5:$C$24,일일실시사항!$D280)=0,"담당자 누락; ","")&amp;IF(COUNTIF(코드설정!$G$5:$G$14,일일실시사항!$F280)=0,"업무구분 누락; ","")&amp;IF(AND(일일실시사항!$G280&lt;&gt;"",COUNTIF(사건마스터!$A$5:$A$64,일일실시사항!$G280)=0),"미등록 사건번호; ","")&amp;IF(일일실시사항!$H280="","실시 내용 없음; ","")&amp;IF(COUNTIF(코드설정!$F$5:$F$7,일일실시사항!$J280)=0,"진행상태 누락; ","")))</f>
        <v/>
      </c>
    </row>
    <row r="1313">
      <c r="A1313" s="26" t="inlineStr">
        <is>
          <t>일일실시사항</t>
        </is>
      </c>
      <c r="B1313" s="66" t="n">
        <v>281</v>
      </c>
      <c r="C1313" s="122">
        <f>IF($D1313="","",IFERROR(TEXT(일일실시사항!$B281,"yyyy-mm-dd"),"(날짜없음)")&amp;"  "&amp;일일실시사항!$D281&amp;"  "&amp;일일실시사항!$H281)</f>
        <v/>
      </c>
      <c r="D1313" s="122">
        <f>IF(NOT(COUNTBLANK(일일실시사항!$B281:$K281)&lt;10),"",TRIM(IF(일일실시사항!$B281="","일자 누락; ","")&amp;IF(COUNTIF(코드설정!$C$5:$C$24,일일실시사항!$D281)=0,"담당자 누락; ","")&amp;IF(COUNTIF(코드설정!$G$5:$G$14,일일실시사항!$F281)=0,"업무구분 누락; ","")&amp;IF(AND(일일실시사항!$G281&lt;&gt;"",COUNTIF(사건마스터!$A$5:$A$64,일일실시사항!$G281)=0),"미등록 사건번호; ","")&amp;IF(일일실시사항!$H281="","실시 내용 없음; ","")&amp;IF(COUNTIF(코드설정!$F$5:$F$7,일일실시사항!$J281)=0,"진행상태 누락; ","")))</f>
        <v/>
      </c>
    </row>
    <row r="1314">
      <c r="A1314" s="26" t="inlineStr">
        <is>
          <t>일일실시사항</t>
        </is>
      </c>
      <c r="B1314" s="66" t="n">
        <v>282</v>
      </c>
      <c r="C1314" s="122">
        <f>IF($D1314="","",IFERROR(TEXT(일일실시사항!$B282,"yyyy-mm-dd"),"(날짜없음)")&amp;"  "&amp;일일실시사항!$D282&amp;"  "&amp;일일실시사항!$H282)</f>
        <v/>
      </c>
      <c r="D1314" s="122">
        <f>IF(NOT(COUNTBLANK(일일실시사항!$B282:$K282)&lt;10),"",TRIM(IF(일일실시사항!$B282="","일자 누락; ","")&amp;IF(COUNTIF(코드설정!$C$5:$C$24,일일실시사항!$D282)=0,"담당자 누락; ","")&amp;IF(COUNTIF(코드설정!$G$5:$G$14,일일실시사항!$F282)=0,"업무구분 누락; ","")&amp;IF(AND(일일실시사항!$G282&lt;&gt;"",COUNTIF(사건마스터!$A$5:$A$64,일일실시사항!$G282)=0),"미등록 사건번호; ","")&amp;IF(일일실시사항!$H282="","실시 내용 없음; ","")&amp;IF(COUNTIF(코드설정!$F$5:$F$7,일일실시사항!$J282)=0,"진행상태 누락; ","")))</f>
        <v/>
      </c>
    </row>
    <row r="1315">
      <c r="A1315" s="26" t="inlineStr">
        <is>
          <t>일일실시사항</t>
        </is>
      </c>
      <c r="B1315" s="66" t="n">
        <v>283</v>
      </c>
      <c r="C1315" s="122">
        <f>IF($D1315="","",IFERROR(TEXT(일일실시사항!$B283,"yyyy-mm-dd"),"(날짜없음)")&amp;"  "&amp;일일실시사항!$D283&amp;"  "&amp;일일실시사항!$H283)</f>
        <v/>
      </c>
      <c r="D1315" s="122">
        <f>IF(NOT(COUNTBLANK(일일실시사항!$B283:$K283)&lt;10),"",TRIM(IF(일일실시사항!$B283="","일자 누락; ","")&amp;IF(COUNTIF(코드설정!$C$5:$C$24,일일실시사항!$D283)=0,"담당자 누락; ","")&amp;IF(COUNTIF(코드설정!$G$5:$G$14,일일실시사항!$F283)=0,"업무구분 누락; ","")&amp;IF(AND(일일실시사항!$G283&lt;&gt;"",COUNTIF(사건마스터!$A$5:$A$64,일일실시사항!$G283)=0),"미등록 사건번호; ","")&amp;IF(일일실시사항!$H283="","실시 내용 없음; ","")&amp;IF(COUNTIF(코드설정!$F$5:$F$7,일일실시사항!$J283)=0,"진행상태 누락; ","")))</f>
        <v/>
      </c>
    </row>
    <row r="1316">
      <c r="A1316" s="26" t="inlineStr">
        <is>
          <t>일일실시사항</t>
        </is>
      </c>
      <c r="B1316" s="66" t="n">
        <v>284</v>
      </c>
      <c r="C1316" s="122">
        <f>IF($D1316="","",IFERROR(TEXT(일일실시사항!$B284,"yyyy-mm-dd"),"(날짜없음)")&amp;"  "&amp;일일실시사항!$D284&amp;"  "&amp;일일실시사항!$H284)</f>
        <v/>
      </c>
      <c r="D1316" s="122">
        <f>IF(NOT(COUNTBLANK(일일실시사항!$B284:$K284)&lt;10),"",TRIM(IF(일일실시사항!$B284="","일자 누락; ","")&amp;IF(COUNTIF(코드설정!$C$5:$C$24,일일실시사항!$D284)=0,"담당자 누락; ","")&amp;IF(COUNTIF(코드설정!$G$5:$G$14,일일실시사항!$F284)=0,"업무구분 누락; ","")&amp;IF(AND(일일실시사항!$G284&lt;&gt;"",COUNTIF(사건마스터!$A$5:$A$64,일일실시사항!$G284)=0),"미등록 사건번호; ","")&amp;IF(일일실시사항!$H284="","실시 내용 없음; ","")&amp;IF(COUNTIF(코드설정!$F$5:$F$7,일일실시사항!$J284)=0,"진행상태 누락; ","")))</f>
        <v/>
      </c>
    </row>
    <row r="1317">
      <c r="A1317" s="26" t="inlineStr">
        <is>
          <t>일일실시사항</t>
        </is>
      </c>
      <c r="B1317" s="66" t="n">
        <v>285</v>
      </c>
      <c r="C1317" s="122">
        <f>IF($D1317="","",IFERROR(TEXT(일일실시사항!$B285,"yyyy-mm-dd"),"(날짜없음)")&amp;"  "&amp;일일실시사항!$D285&amp;"  "&amp;일일실시사항!$H285)</f>
        <v/>
      </c>
      <c r="D1317" s="122">
        <f>IF(NOT(COUNTBLANK(일일실시사항!$B285:$K285)&lt;10),"",TRIM(IF(일일실시사항!$B285="","일자 누락; ","")&amp;IF(COUNTIF(코드설정!$C$5:$C$24,일일실시사항!$D285)=0,"담당자 누락; ","")&amp;IF(COUNTIF(코드설정!$G$5:$G$14,일일실시사항!$F285)=0,"업무구분 누락; ","")&amp;IF(AND(일일실시사항!$G285&lt;&gt;"",COUNTIF(사건마스터!$A$5:$A$64,일일실시사항!$G285)=0),"미등록 사건번호; ","")&amp;IF(일일실시사항!$H285="","실시 내용 없음; ","")&amp;IF(COUNTIF(코드설정!$F$5:$F$7,일일실시사항!$J285)=0,"진행상태 누락; ","")))</f>
        <v/>
      </c>
    </row>
    <row r="1318">
      <c r="A1318" s="26" t="inlineStr">
        <is>
          <t>일일실시사항</t>
        </is>
      </c>
      <c r="B1318" s="66" t="n">
        <v>286</v>
      </c>
      <c r="C1318" s="122">
        <f>IF($D1318="","",IFERROR(TEXT(일일실시사항!$B286,"yyyy-mm-dd"),"(날짜없음)")&amp;"  "&amp;일일실시사항!$D286&amp;"  "&amp;일일실시사항!$H286)</f>
        <v/>
      </c>
      <c r="D1318" s="122">
        <f>IF(NOT(COUNTBLANK(일일실시사항!$B286:$K286)&lt;10),"",TRIM(IF(일일실시사항!$B286="","일자 누락; ","")&amp;IF(COUNTIF(코드설정!$C$5:$C$24,일일실시사항!$D286)=0,"담당자 누락; ","")&amp;IF(COUNTIF(코드설정!$G$5:$G$14,일일실시사항!$F286)=0,"업무구분 누락; ","")&amp;IF(AND(일일실시사항!$G286&lt;&gt;"",COUNTIF(사건마스터!$A$5:$A$64,일일실시사항!$G286)=0),"미등록 사건번호; ","")&amp;IF(일일실시사항!$H286="","실시 내용 없음; ","")&amp;IF(COUNTIF(코드설정!$F$5:$F$7,일일실시사항!$J286)=0,"진행상태 누락; ","")))</f>
        <v/>
      </c>
    </row>
    <row r="1319">
      <c r="A1319" s="26" t="inlineStr">
        <is>
          <t>일일실시사항</t>
        </is>
      </c>
      <c r="B1319" s="66" t="n">
        <v>287</v>
      </c>
      <c r="C1319" s="122">
        <f>IF($D1319="","",IFERROR(TEXT(일일실시사항!$B287,"yyyy-mm-dd"),"(날짜없음)")&amp;"  "&amp;일일실시사항!$D287&amp;"  "&amp;일일실시사항!$H287)</f>
        <v/>
      </c>
      <c r="D1319" s="122">
        <f>IF(NOT(COUNTBLANK(일일실시사항!$B287:$K287)&lt;10),"",TRIM(IF(일일실시사항!$B287="","일자 누락; ","")&amp;IF(COUNTIF(코드설정!$C$5:$C$24,일일실시사항!$D287)=0,"담당자 누락; ","")&amp;IF(COUNTIF(코드설정!$G$5:$G$14,일일실시사항!$F287)=0,"업무구분 누락; ","")&amp;IF(AND(일일실시사항!$G287&lt;&gt;"",COUNTIF(사건마스터!$A$5:$A$64,일일실시사항!$G287)=0),"미등록 사건번호; ","")&amp;IF(일일실시사항!$H287="","실시 내용 없음; ","")&amp;IF(COUNTIF(코드설정!$F$5:$F$7,일일실시사항!$J287)=0,"진행상태 누락; ","")))</f>
        <v/>
      </c>
    </row>
    <row r="1320">
      <c r="A1320" s="26" t="inlineStr">
        <is>
          <t>일일실시사항</t>
        </is>
      </c>
      <c r="B1320" s="66" t="n">
        <v>288</v>
      </c>
      <c r="C1320" s="122">
        <f>IF($D1320="","",IFERROR(TEXT(일일실시사항!$B288,"yyyy-mm-dd"),"(날짜없음)")&amp;"  "&amp;일일실시사항!$D288&amp;"  "&amp;일일실시사항!$H288)</f>
        <v/>
      </c>
      <c r="D1320" s="122">
        <f>IF(NOT(COUNTBLANK(일일실시사항!$B288:$K288)&lt;10),"",TRIM(IF(일일실시사항!$B288="","일자 누락; ","")&amp;IF(COUNTIF(코드설정!$C$5:$C$24,일일실시사항!$D288)=0,"담당자 누락; ","")&amp;IF(COUNTIF(코드설정!$G$5:$G$14,일일실시사항!$F288)=0,"업무구분 누락; ","")&amp;IF(AND(일일실시사항!$G288&lt;&gt;"",COUNTIF(사건마스터!$A$5:$A$64,일일실시사항!$G288)=0),"미등록 사건번호; ","")&amp;IF(일일실시사항!$H288="","실시 내용 없음; ","")&amp;IF(COUNTIF(코드설정!$F$5:$F$7,일일실시사항!$J288)=0,"진행상태 누락; ","")))</f>
        <v/>
      </c>
    </row>
    <row r="1321">
      <c r="A1321" s="26" t="inlineStr">
        <is>
          <t>일일실시사항</t>
        </is>
      </c>
      <c r="B1321" s="66" t="n">
        <v>289</v>
      </c>
      <c r="C1321" s="122">
        <f>IF($D1321="","",IFERROR(TEXT(일일실시사항!$B289,"yyyy-mm-dd"),"(날짜없음)")&amp;"  "&amp;일일실시사항!$D289&amp;"  "&amp;일일실시사항!$H289)</f>
        <v/>
      </c>
      <c r="D1321" s="122">
        <f>IF(NOT(COUNTBLANK(일일실시사항!$B289:$K289)&lt;10),"",TRIM(IF(일일실시사항!$B289="","일자 누락; ","")&amp;IF(COUNTIF(코드설정!$C$5:$C$24,일일실시사항!$D289)=0,"담당자 누락; ","")&amp;IF(COUNTIF(코드설정!$G$5:$G$14,일일실시사항!$F289)=0,"업무구분 누락; ","")&amp;IF(AND(일일실시사항!$G289&lt;&gt;"",COUNTIF(사건마스터!$A$5:$A$64,일일실시사항!$G289)=0),"미등록 사건번호; ","")&amp;IF(일일실시사항!$H289="","실시 내용 없음; ","")&amp;IF(COUNTIF(코드설정!$F$5:$F$7,일일실시사항!$J289)=0,"진행상태 누락; ","")))</f>
        <v/>
      </c>
    </row>
    <row r="1322">
      <c r="A1322" s="26" t="inlineStr">
        <is>
          <t>일일실시사항</t>
        </is>
      </c>
      <c r="B1322" s="66" t="n">
        <v>290</v>
      </c>
      <c r="C1322" s="122">
        <f>IF($D1322="","",IFERROR(TEXT(일일실시사항!$B290,"yyyy-mm-dd"),"(날짜없음)")&amp;"  "&amp;일일실시사항!$D290&amp;"  "&amp;일일실시사항!$H290)</f>
        <v/>
      </c>
      <c r="D1322" s="122">
        <f>IF(NOT(COUNTBLANK(일일실시사항!$B290:$K290)&lt;10),"",TRIM(IF(일일실시사항!$B290="","일자 누락; ","")&amp;IF(COUNTIF(코드설정!$C$5:$C$24,일일실시사항!$D290)=0,"담당자 누락; ","")&amp;IF(COUNTIF(코드설정!$G$5:$G$14,일일실시사항!$F290)=0,"업무구분 누락; ","")&amp;IF(AND(일일실시사항!$G290&lt;&gt;"",COUNTIF(사건마스터!$A$5:$A$64,일일실시사항!$G290)=0),"미등록 사건번호; ","")&amp;IF(일일실시사항!$H290="","실시 내용 없음; ","")&amp;IF(COUNTIF(코드설정!$F$5:$F$7,일일실시사항!$J290)=0,"진행상태 누락; ","")))</f>
        <v/>
      </c>
    </row>
    <row r="1323">
      <c r="A1323" s="26" t="inlineStr">
        <is>
          <t>일일실시사항</t>
        </is>
      </c>
      <c r="B1323" s="66" t="n">
        <v>291</v>
      </c>
      <c r="C1323" s="122">
        <f>IF($D1323="","",IFERROR(TEXT(일일실시사항!$B291,"yyyy-mm-dd"),"(날짜없음)")&amp;"  "&amp;일일실시사항!$D291&amp;"  "&amp;일일실시사항!$H291)</f>
        <v/>
      </c>
      <c r="D1323" s="122">
        <f>IF(NOT(COUNTBLANK(일일실시사항!$B291:$K291)&lt;10),"",TRIM(IF(일일실시사항!$B291="","일자 누락; ","")&amp;IF(COUNTIF(코드설정!$C$5:$C$24,일일실시사항!$D291)=0,"담당자 누락; ","")&amp;IF(COUNTIF(코드설정!$G$5:$G$14,일일실시사항!$F291)=0,"업무구분 누락; ","")&amp;IF(AND(일일실시사항!$G291&lt;&gt;"",COUNTIF(사건마스터!$A$5:$A$64,일일실시사항!$G291)=0),"미등록 사건번호; ","")&amp;IF(일일실시사항!$H291="","실시 내용 없음; ","")&amp;IF(COUNTIF(코드설정!$F$5:$F$7,일일실시사항!$J291)=0,"진행상태 누락; ","")))</f>
        <v/>
      </c>
    </row>
    <row r="1324">
      <c r="A1324" s="26" t="inlineStr">
        <is>
          <t>일일실시사항</t>
        </is>
      </c>
      <c r="B1324" s="66" t="n">
        <v>292</v>
      </c>
      <c r="C1324" s="122">
        <f>IF($D1324="","",IFERROR(TEXT(일일실시사항!$B292,"yyyy-mm-dd"),"(날짜없음)")&amp;"  "&amp;일일실시사항!$D292&amp;"  "&amp;일일실시사항!$H292)</f>
        <v/>
      </c>
      <c r="D1324" s="122">
        <f>IF(NOT(COUNTBLANK(일일실시사항!$B292:$K292)&lt;10),"",TRIM(IF(일일실시사항!$B292="","일자 누락; ","")&amp;IF(COUNTIF(코드설정!$C$5:$C$24,일일실시사항!$D292)=0,"담당자 누락; ","")&amp;IF(COUNTIF(코드설정!$G$5:$G$14,일일실시사항!$F292)=0,"업무구분 누락; ","")&amp;IF(AND(일일실시사항!$G292&lt;&gt;"",COUNTIF(사건마스터!$A$5:$A$64,일일실시사항!$G292)=0),"미등록 사건번호; ","")&amp;IF(일일실시사항!$H292="","실시 내용 없음; ","")&amp;IF(COUNTIF(코드설정!$F$5:$F$7,일일실시사항!$J292)=0,"진행상태 누락; ","")))</f>
        <v/>
      </c>
    </row>
    <row r="1325">
      <c r="A1325" s="26" t="inlineStr">
        <is>
          <t>일일실시사항</t>
        </is>
      </c>
      <c r="B1325" s="66" t="n">
        <v>293</v>
      </c>
      <c r="C1325" s="122">
        <f>IF($D1325="","",IFERROR(TEXT(일일실시사항!$B293,"yyyy-mm-dd"),"(날짜없음)")&amp;"  "&amp;일일실시사항!$D293&amp;"  "&amp;일일실시사항!$H293)</f>
        <v/>
      </c>
      <c r="D1325" s="122">
        <f>IF(NOT(COUNTBLANK(일일실시사항!$B293:$K293)&lt;10),"",TRIM(IF(일일실시사항!$B293="","일자 누락; ","")&amp;IF(COUNTIF(코드설정!$C$5:$C$24,일일실시사항!$D293)=0,"담당자 누락; ","")&amp;IF(COUNTIF(코드설정!$G$5:$G$14,일일실시사항!$F293)=0,"업무구분 누락; ","")&amp;IF(AND(일일실시사항!$G293&lt;&gt;"",COUNTIF(사건마스터!$A$5:$A$64,일일실시사항!$G293)=0),"미등록 사건번호; ","")&amp;IF(일일실시사항!$H293="","실시 내용 없음; ","")&amp;IF(COUNTIF(코드설정!$F$5:$F$7,일일실시사항!$J293)=0,"진행상태 누락; ","")))</f>
        <v/>
      </c>
    </row>
    <row r="1326">
      <c r="A1326" s="26" t="inlineStr">
        <is>
          <t>일일실시사항</t>
        </is>
      </c>
      <c r="B1326" s="66" t="n">
        <v>294</v>
      </c>
      <c r="C1326" s="122">
        <f>IF($D1326="","",IFERROR(TEXT(일일실시사항!$B294,"yyyy-mm-dd"),"(날짜없음)")&amp;"  "&amp;일일실시사항!$D294&amp;"  "&amp;일일실시사항!$H294)</f>
        <v/>
      </c>
      <c r="D1326" s="122">
        <f>IF(NOT(COUNTBLANK(일일실시사항!$B294:$K294)&lt;10),"",TRIM(IF(일일실시사항!$B294="","일자 누락; ","")&amp;IF(COUNTIF(코드설정!$C$5:$C$24,일일실시사항!$D294)=0,"담당자 누락; ","")&amp;IF(COUNTIF(코드설정!$G$5:$G$14,일일실시사항!$F294)=0,"업무구분 누락; ","")&amp;IF(AND(일일실시사항!$G294&lt;&gt;"",COUNTIF(사건마스터!$A$5:$A$64,일일실시사항!$G294)=0),"미등록 사건번호; ","")&amp;IF(일일실시사항!$H294="","실시 내용 없음; ","")&amp;IF(COUNTIF(코드설정!$F$5:$F$7,일일실시사항!$J294)=0,"진행상태 누락; ","")))</f>
        <v/>
      </c>
    </row>
    <row r="1327">
      <c r="A1327" s="26" t="inlineStr">
        <is>
          <t>일일실시사항</t>
        </is>
      </c>
      <c r="B1327" s="66" t="n">
        <v>295</v>
      </c>
      <c r="C1327" s="122">
        <f>IF($D1327="","",IFERROR(TEXT(일일실시사항!$B295,"yyyy-mm-dd"),"(날짜없음)")&amp;"  "&amp;일일실시사항!$D295&amp;"  "&amp;일일실시사항!$H295)</f>
        <v/>
      </c>
      <c r="D1327" s="122">
        <f>IF(NOT(COUNTBLANK(일일실시사항!$B295:$K295)&lt;10),"",TRIM(IF(일일실시사항!$B295="","일자 누락; ","")&amp;IF(COUNTIF(코드설정!$C$5:$C$24,일일실시사항!$D295)=0,"담당자 누락; ","")&amp;IF(COUNTIF(코드설정!$G$5:$G$14,일일실시사항!$F295)=0,"업무구분 누락; ","")&amp;IF(AND(일일실시사항!$G295&lt;&gt;"",COUNTIF(사건마스터!$A$5:$A$64,일일실시사항!$G295)=0),"미등록 사건번호; ","")&amp;IF(일일실시사항!$H295="","실시 내용 없음; ","")&amp;IF(COUNTIF(코드설정!$F$5:$F$7,일일실시사항!$J295)=0,"진행상태 누락; ","")))</f>
        <v/>
      </c>
    </row>
    <row r="1328">
      <c r="A1328" s="26" t="inlineStr">
        <is>
          <t>일일실시사항</t>
        </is>
      </c>
      <c r="B1328" s="66" t="n">
        <v>296</v>
      </c>
      <c r="C1328" s="122">
        <f>IF($D1328="","",IFERROR(TEXT(일일실시사항!$B296,"yyyy-mm-dd"),"(날짜없음)")&amp;"  "&amp;일일실시사항!$D296&amp;"  "&amp;일일실시사항!$H296)</f>
        <v/>
      </c>
      <c r="D1328" s="122">
        <f>IF(NOT(COUNTBLANK(일일실시사항!$B296:$K296)&lt;10),"",TRIM(IF(일일실시사항!$B296="","일자 누락; ","")&amp;IF(COUNTIF(코드설정!$C$5:$C$24,일일실시사항!$D296)=0,"담당자 누락; ","")&amp;IF(COUNTIF(코드설정!$G$5:$G$14,일일실시사항!$F296)=0,"업무구분 누락; ","")&amp;IF(AND(일일실시사항!$G296&lt;&gt;"",COUNTIF(사건마스터!$A$5:$A$64,일일실시사항!$G296)=0),"미등록 사건번호; ","")&amp;IF(일일실시사항!$H296="","실시 내용 없음; ","")&amp;IF(COUNTIF(코드설정!$F$5:$F$7,일일실시사항!$J296)=0,"진행상태 누락; ","")))</f>
        <v/>
      </c>
    </row>
    <row r="1329">
      <c r="A1329" s="26" t="inlineStr">
        <is>
          <t>일일실시사항</t>
        </is>
      </c>
      <c r="B1329" s="66" t="n">
        <v>297</v>
      </c>
      <c r="C1329" s="122">
        <f>IF($D1329="","",IFERROR(TEXT(일일실시사항!$B297,"yyyy-mm-dd"),"(날짜없음)")&amp;"  "&amp;일일실시사항!$D297&amp;"  "&amp;일일실시사항!$H297)</f>
        <v/>
      </c>
      <c r="D1329" s="122">
        <f>IF(NOT(COUNTBLANK(일일실시사항!$B297:$K297)&lt;10),"",TRIM(IF(일일실시사항!$B297="","일자 누락; ","")&amp;IF(COUNTIF(코드설정!$C$5:$C$24,일일실시사항!$D297)=0,"담당자 누락; ","")&amp;IF(COUNTIF(코드설정!$G$5:$G$14,일일실시사항!$F297)=0,"업무구분 누락; ","")&amp;IF(AND(일일실시사항!$G297&lt;&gt;"",COUNTIF(사건마스터!$A$5:$A$64,일일실시사항!$G297)=0),"미등록 사건번호; ","")&amp;IF(일일실시사항!$H297="","실시 내용 없음; ","")&amp;IF(COUNTIF(코드설정!$F$5:$F$7,일일실시사항!$J297)=0,"진행상태 누락; ","")))</f>
        <v/>
      </c>
    </row>
    <row r="1330">
      <c r="A1330" s="26" t="inlineStr">
        <is>
          <t>일일실시사항</t>
        </is>
      </c>
      <c r="B1330" s="66" t="n">
        <v>298</v>
      </c>
      <c r="C1330" s="122">
        <f>IF($D1330="","",IFERROR(TEXT(일일실시사항!$B298,"yyyy-mm-dd"),"(날짜없음)")&amp;"  "&amp;일일실시사항!$D298&amp;"  "&amp;일일실시사항!$H298)</f>
        <v/>
      </c>
      <c r="D1330" s="122">
        <f>IF(NOT(COUNTBLANK(일일실시사항!$B298:$K298)&lt;10),"",TRIM(IF(일일실시사항!$B298="","일자 누락; ","")&amp;IF(COUNTIF(코드설정!$C$5:$C$24,일일실시사항!$D298)=0,"담당자 누락; ","")&amp;IF(COUNTIF(코드설정!$G$5:$G$14,일일실시사항!$F298)=0,"업무구분 누락; ","")&amp;IF(AND(일일실시사항!$G298&lt;&gt;"",COUNTIF(사건마스터!$A$5:$A$64,일일실시사항!$G298)=0),"미등록 사건번호; ","")&amp;IF(일일실시사항!$H298="","실시 내용 없음; ","")&amp;IF(COUNTIF(코드설정!$F$5:$F$7,일일실시사항!$J298)=0,"진행상태 누락; ","")))</f>
        <v/>
      </c>
    </row>
    <row r="1331">
      <c r="A1331" s="26" t="inlineStr">
        <is>
          <t>일일실시사항</t>
        </is>
      </c>
      <c r="B1331" s="66" t="n">
        <v>299</v>
      </c>
      <c r="C1331" s="122">
        <f>IF($D1331="","",IFERROR(TEXT(일일실시사항!$B299,"yyyy-mm-dd"),"(날짜없음)")&amp;"  "&amp;일일실시사항!$D299&amp;"  "&amp;일일실시사항!$H299)</f>
        <v/>
      </c>
      <c r="D1331" s="122">
        <f>IF(NOT(COUNTBLANK(일일실시사항!$B299:$K299)&lt;10),"",TRIM(IF(일일실시사항!$B299="","일자 누락; ","")&amp;IF(COUNTIF(코드설정!$C$5:$C$24,일일실시사항!$D299)=0,"담당자 누락; ","")&amp;IF(COUNTIF(코드설정!$G$5:$G$14,일일실시사항!$F299)=0,"업무구분 누락; ","")&amp;IF(AND(일일실시사항!$G299&lt;&gt;"",COUNTIF(사건마스터!$A$5:$A$64,일일실시사항!$G299)=0),"미등록 사건번호; ","")&amp;IF(일일실시사항!$H299="","실시 내용 없음; ","")&amp;IF(COUNTIF(코드설정!$F$5:$F$7,일일실시사항!$J299)=0,"진행상태 누락; ","")))</f>
        <v/>
      </c>
    </row>
    <row r="1332">
      <c r="A1332" s="26" t="inlineStr">
        <is>
          <t>일일실시사항</t>
        </is>
      </c>
      <c r="B1332" s="66" t="n">
        <v>300</v>
      </c>
      <c r="C1332" s="122">
        <f>IF($D1332="","",IFERROR(TEXT(일일실시사항!$B300,"yyyy-mm-dd"),"(날짜없음)")&amp;"  "&amp;일일실시사항!$D300&amp;"  "&amp;일일실시사항!$H300)</f>
        <v/>
      </c>
      <c r="D1332" s="122">
        <f>IF(NOT(COUNTBLANK(일일실시사항!$B300:$K300)&lt;10),"",TRIM(IF(일일실시사항!$B300="","일자 누락; ","")&amp;IF(COUNTIF(코드설정!$C$5:$C$24,일일실시사항!$D300)=0,"담당자 누락; ","")&amp;IF(COUNTIF(코드설정!$G$5:$G$14,일일실시사항!$F300)=0,"업무구분 누락; ","")&amp;IF(AND(일일실시사항!$G300&lt;&gt;"",COUNTIF(사건마스터!$A$5:$A$64,일일실시사항!$G300)=0),"미등록 사건번호; ","")&amp;IF(일일실시사항!$H300="","실시 내용 없음; ","")&amp;IF(COUNTIF(코드설정!$F$5:$F$7,일일실시사항!$J300)=0,"진행상태 누락; ","")))</f>
        <v/>
      </c>
    </row>
    <row r="1333">
      <c r="A1333" s="26" t="inlineStr">
        <is>
          <t>일일실시사항</t>
        </is>
      </c>
      <c r="B1333" s="66" t="n">
        <v>301</v>
      </c>
      <c r="C1333" s="122">
        <f>IF($D1333="","",IFERROR(TEXT(일일실시사항!$B301,"yyyy-mm-dd"),"(날짜없음)")&amp;"  "&amp;일일실시사항!$D301&amp;"  "&amp;일일실시사항!$H301)</f>
        <v/>
      </c>
      <c r="D1333" s="122">
        <f>IF(NOT(COUNTBLANK(일일실시사항!$B301:$K301)&lt;10),"",TRIM(IF(일일실시사항!$B301="","일자 누락; ","")&amp;IF(COUNTIF(코드설정!$C$5:$C$24,일일실시사항!$D301)=0,"담당자 누락; ","")&amp;IF(COUNTIF(코드설정!$G$5:$G$14,일일실시사항!$F301)=0,"업무구분 누락; ","")&amp;IF(AND(일일실시사항!$G301&lt;&gt;"",COUNTIF(사건마스터!$A$5:$A$64,일일실시사항!$G301)=0),"미등록 사건번호; ","")&amp;IF(일일실시사항!$H301="","실시 내용 없음; ","")&amp;IF(COUNTIF(코드설정!$F$5:$F$7,일일실시사항!$J301)=0,"진행상태 누락; ","")))</f>
        <v/>
      </c>
    </row>
    <row r="1334">
      <c r="A1334" s="26" t="inlineStr">
        <is>
          <t>일일실시사항</t>
        </is>
      </c>
      <c r="B1334" s="66" t="n">
        <v>302</v>
      </c>
      <c r="C1334" s="122">
        <f>IF($D1334="","",IFERROR(TEXT(일일실시사항!$B302,"yyyy-mm-dd"),"(날짜없음)")&amp;"  "&amp;일일실시사항!$D302&amp;"  "&amp;일일실시사항!$H302)</f>
        <v/>
      </c>
      <c r="D1334" s="122">
        <f>IF(NOT(COUNTBLANK(일일실시사항!$B302:$K302)&lt;10),"",TRIM(IF(일일실시사항!$B302="","일자 누락; ","")&amp;IF(COUNTIF(코드설정!$C$5:$C$24,일일실시사항!$D302)=0,"담당자 누락; ","")&amp;IF(COUNTIF(코드설정!$G$5:$G$14,일일실시사항!$F302)=0,"업무구분 누락; ","")&amp;IF(AND(일일실시사항!$G302&lt;&gt;"",COUNTIF(사건마스터!$A$5:$A$64,일일실시사항!$G302)=0),"미등록 사건번호; ","")&amp;IF(일일실시사항!$H302="","실시 내용 없음; ","")&amp;IF(COUNTIF(코드설정!$F$5:$F$7,일일실시사항!$J302)=0,"진행상태 누락; ","")))</f>
        <v/>
      </c>
    </row>
    <row r="1335">
      <c r="A1335" s="26" t="inlineStr">
        <is>
          <t>일일실시사항</t>
        </is>
      </c>
      <c r="B1335" s="66" t="n">
        <v>303</v>
      </c>
      <c r="C1335" s="122">
        <f>IF($D1335="","",IFERROR(TEXT(일일실시사항!$B303,"yyyy-mm-dd"),"(날짜없음)")&amp;"  "&amp;일일실시사항!$D303&amp;"  "&amp;일일실시사항!$H303)</f>
        <v/>
      </c>
      <c r="D1335" s="122">
        <f>IF(NOT(COUNTBLANK(일일실시사항!$B303:$K303)&lt;10),"",TRIM(IF(일일실시사항!$B303="","일자 누락; ","")&amp;IF(COUNTIF(코드설정!$C$5:$C$24,일일실시사항!$D303)=0,"담당자 누락; ","")&amp;IF(COUNTIF(코드설정!$G$5:$G$14,일일실시사항!$F303)=0,"업무구분 누락; ","")&amp;IF(AND(일일실시사항!$G303&lt;&gt;"",COUNTIF(사건마스터!$A$5:$A$64,일일실시사항!$G303)=0),"미등록 사건번호; ","")&amp;IF(일일실시사항!$H303="","실시 내용 없음; ","")&amp;IF(COUNTIF(코드설정!$F$5:$F$7,일일실시사항!$J303)=0,"진행상태 누락; ","")))</f>
        <v/>
      </c>
    </row>
    <row r="1336">
      <c r="A1336" s="26" t="inlineStr">
        <is>
          <t>일일실시사항</t>
        </is>
      </c>
      <c r="B1336" s="66" t="n">
        <v>304</v>
      </c>
      <c r="C1336" s="122">
        <f>IF($D1336="","",IFERROR(TEXT(일일실시사항!$B304,"yyyy-mm-dd"),"(날짜없음)")&amp;"  "&amp;일일실시사항!$D304&amp;"  "&amp;일일실시사항!$H304)</f>
        <v/>
      </c>
      <c r="D1336" s="122">
        <f>IF(NOT(COUNTBLANK(일일실시사항!$B304:$K304)&lt;10),"",TRIM(IF(일일실시사항!$B304="","일자 누락; ","")&amp;IF(COUNTIF(코드설정!$C$5:$C$24,일일실시사항!$D304)=0,"담당자 누락; ","")&amp;IF(COUNTIF(코드설정!$G$5:$G$14,일일실시사항!$F304)=0,"업무구분 누락; ","")&amp;IF(AND(일일실시사항!$G304&lt;&gt;"",COUNTIF(사건마스터!$A$5:$A$64,일일실시사항!$G304)=0),"미등록 사건번호; ","")&amp;IF(일일실시사항!$H304="","실시 내용 없음; ","")&amp;IF(COUNTIF(코드설정!$F$5:$F$7,일일실시사항!$J304)=0,"진행상태 누락; ","")))</f>
        <v/>
      </c>
    </row>
    <row r="1337">
      <c r="A1337" s="26" t="inlineStr">
        <is>
          <t>일일실시사항</t>
        </is>
      </c>
      <c r="B1337" s="66" t="n">
        <v>305</v>
      </c>
      <c r="C1337" s="122">
        <f>IF($D1337="","",IFERROR(TEXT(일일실시사항!$B305,"yyyy-mm-dd"),"(날짜없음)")&amp;"  "&amp;일일실시사항!$D305&amp;"  "&amp;일일실시사항!$H305)</f>
        <v/>
      </c>
      <c r="D1337" s="122">
        <f>IF(NOT(COUNTBLANK(일일실시사항!$B305:$K305)&lt;10),"",TRIM(IF(일일실시사항!$B305="","일자 누락; ","")&amp;IF(COUNTIF(코드설정!$C$5:$C$24,일일실시사항!$D305)=0,"담당자 누락; ","")&amp;IF(COUNTIF(코드설정!$G$5:$G$14,일일실시사항!$F305)=0,"업무구분 누락; ","")&amp;IF(AND(일일실시사항!$G305&lt;&gt;"",COUNTIF(사건마스터!$A$5:$A$64,일일실시사항!$G305)=0),"미등록 사건번호; ","")&amp;IF(일일실시사항!$H305="","실시 내용 없음; ","")&amp;IF(COUNTIF(코드설정!$F$5:$F$7,일일실시사항!$J305)=0,"진행상태 누락; ","")))</f>
        <v/>
      </c>
    </row>
    <row r="1338">
      <c r="A1338" s="26" t="inlineStr">
        <is>
          <t>일일실시사항</t>
        </is>
      </c>
      <c r="B1338" s="66" t="n">
        <v>306</v>
      </c>
      <c r="C1338" s="122">
        <f>IF($D1338="","",IFERROR(TEXT(일일실시사항!$B306,"yyyy-mm-dd"),"(날짜없음)")&amp;"  "&amp;일일실시사항!$D306&amp;"  "&amp;일일실시사항!$H306)</f>
        <v/>
      </c>
      <c r="D1338" s="122">
        <f>IF(NOT(COUNTBLANK(일일실시사항!$B306:$K306)&lt;10),"",TRIM(IF(일일실시사항!$B306="","일자 누락; ","")&amp;IF(COUNTIF(코드설정!$C$5:$C$24,일일실시사항!$D306)=0,"담당자 누락; ","")&amp;IF(COUNTIF(코드설정!$G$5:$G$14,일일실시사항!$F306)=0,"업무구분 누락; ","")&amp;IF(AND(일일실시사항!$G306&lt;&gt;"",COUNTIF(사건마스터!$A$5:$A$64,일일실시사항!$G306)=0),"미등록 사건번호; ","")&amp;IF(일일실시사항!$H306="","실시 내용 없음; ","")&amp;IF(COUNTIF(코드설정!$F$5:$F$7,일일실시사항!$J306)=0,"진행상태 누락; ","")))</f>
        <v/>
      </c>
    </row>
    <row r="1339">
      <c r="A1339" s="26" t="inlineStr">
        <is>
          <t>일일실시사항</t>
        </is>
      </c>
      <c r="B1339" s="66" t="n">
        <v>307</v>
      </c>
      <c r="C1339" s="122">
        <f>IF($D1339="","",IFERROR(TEXT(일일실시사항!$B307,"yyyy-mm-dd"),"(날짜없음)")&amp;"  "&amp;일일실시사항!$D307&amp;"  "&amp;일일실시사항!$H307)</f>
        <v/>
      </c>
      <c r="D1339" s="122">
        <f>IF(NOT(COUNTBLANK(일일실시사항!$B307:$K307)&lt;10),"",TRIM(IF(일일실시사항!$B307="","일자 누락; ","")&amp;IF(COUNTIF(코드설정!$C$5:$C$24,일일실시사항!$D307)=0,"담당자 누락; ","")&amp;IF(COUNTIF(코드설정!$G$5:$G$14,일일실시사항!$F307)=0,"업무구분 누락; ","")&amp;IF(AND(일일실시사항!$G307&lt;&gt;"",COUNTIF(사건마스터!$A$5:$A$64,일일실시사항!$G307)=0),"미등록 사건번호; ","")&amp;IF(일일실시사항!$H307="","실시 내용 없음; ","")&amp;IF(COUNTIF(코드설정!$F$5:$F$7,일일실시사항!$J307)=0,"진행상태 누락; ","")))</f>
        <v/>
      </c>
    </row>
    <row r="1340">
      <c r="A1340" s="26" t="inlineStr">
        <is>
          <t>일일실시사항</t>
        </is>
      </c>
      <c r="B1340" s="66" t="n">
        <v>308</v>
      </c>
      <c r="C1340" s="122">
        <f>IF($D1340="","",IFERROR(TEXT(일일실시사항!$B308,"yyyy-mm-dd"),"(날짜없음)")&amp;"  "&amp;일일실시사항!$D308&amp;"  "&amp;일일실시사항!$H308)</f>
        <v/>
      </c>
      <c r="D1340" s="122">
        <f>IF(NOT(COUNTBLANK(일일실시사항!$B308:$K308)&lt;10),"",TRIM(IF(일일실시사항!$B308="","일자 누락; ","")&amp;IF(COUNTIF(코드설정!$C$5:$C$24,일일실시사항!$D308)=0,"담당자 누락; ","")&amp;IF(COUNTIF(코드설정!$G$5:$G$14,일일실시사항!$F308)=0,"업무구분 누락; ","")&amp;IF(AND(일일실시사항!$G308&lt;&gt;"",COUNTIF(사건마스터!$A$5:$A$64,일일실시사항!$G308)=0),"미등록 사건번호; ","")&amp;IF(일일실시사항!$H308="","실시 내용 없음; ","")&amp;IF(COUNTIF(코드설정!$F$5:$F$7,일일실시사항!$J308)=0,"진행상태 누락; ","")))</f>
        <v/>
      </c>
    </row>
    <row r="1341">
      <c r="A1341" s="26" t="inlineStr">
        <is>
          <t>일일실시사항</t>
        </is>
      </c>
      <c r="B1341" s="66" t="n">
        <v>309</v>
      </c>
      <c r="C1341" s="122">
        <f>IF($D1341="","",IFERROR(TEXT(일일실시사항!$B309,"yyyy-mm-dd"),"(날짜없음)")&amp;"  "&amp;일일실시사항!$D309&amp;"  "&amp;일일실시사항!$H309)</f>
        <v/>
      </c>
      <c r="D1341" s="122">
        <f>IF(NOT(COUNTBLANK(일일실시사항!$B309:$K309)&lt;10),"",TRIM(IF(일일실시사항!$B309="","일자 누락; ","")&amp;IF(COUNTIF(코드설정!$C$5:$C$24,일일실시사항!$D309)=0,"담당자 누락; ","")&amp;IF(COUNTIF(코드설정!$G$5:$G$14,일일실시사항!$F309)=0,"업무구분 누락; ","")&amp;IF(AND(일일실시사항!$G309&lt;&gt;"",COUNTIF(사건마스터!$A$5:$A$64,일일실시사항!$G309)=0),"미등록 사건번호; ","")&amp;IF(일일실시사항!$H309="","실시 내용 없음; ","")&amp;IF(COUNTIF(코드설정!$F$5:$F$7,일일실시사항!$J309)=0,"진행상태 누락; ","")))</f>
        <v/>
      </c>
    </row>
    <row r="1342">
      <c r="A1342" s="26" t="inlineStr">
        <is>
          <t>일일실시사항</t>
        </is>
      </c>
      <c r="B1342" s="66" t="n">
        <v>310</v>
      </c>
      <c r="C1342" s="122">
        <f>IF($D1342="","",IFERROR(TEXT(일일실시사항!$B310,"yyyy-mm-dd"),"(날짜없음)")&amp;"  "&amp;일일실시사항!$D310&amp;"  "&amp;일일실시사항!$H310)</f>
        <v/>
      </c>
      <c r="D1342" s="122">
        <f>IF(NOT(COUNTBLANK(일일실시사항!$B310:$K310)&lt;10),"",TRIM(IF(일일실시사항!$B310="","일자 누락; ","")&amp;IF(COUNTIF(코드설정!$C$5:$C$24,일일실시사항!$D310)=0,"담당자 누락; ","")&amp;IF(COUNTIF(코드설정!$G$5:$G$14,일일실시사항!$F310)=0,"업무구분 누락; ","")&amp;IF(AND(일일실시사항!$G310&lt;&gt;"",COUNTIF(사건마스터!$A$5:$A$64,일일실시사항!$G310)=0),"미등록 사건번호; ","")&amp;IF(일일실시사항!$H310="","실시 내용 없음; ","")&amp;IF(COUNTIF(코드설정!$F$5:$F$7,일일실시사항!$J310)=0,"진행상태 누락; ","")))</f>
        <v/>
      </c>
    </row>
    <row r="1343">
      <c r="A1343" s="26" t="inlineStr">
        <is>
          <t>일일실시사항</t>
        </is>
      </c>
      <c r="B1343" s="66" t="n">
        <v>311</v>
      </c>
      <c r="C1343" s="122">
        <f>IF($D1343="","",IFERROR(TEXT(일일실시사항!$B311,"yyyy-mm-dd"),"(날짜없음)")&amp;"  "&amp;일일실시사항!$D311&amp;"  "&amp;일일실시사항!$H311)</f>
        <v/>
      </c>
      <c r="D1343" s="122">
        <f>IF(NOT(COUNTBLANK(일일실시사항!$B311:$K311)&lt;10),"",TRIM(IF(일일실시사항!$B311="","일자 누락; ","")&amp;IF(COUNTIF(코드설정!$C$5:$C$24,일일실시사항!$D311)=0,"담당자 누락; ","")&amp;IF(COUNTIF(코드설정!$G$5:$G$14,일일실시사항!$F311)=0,"업무구분 누락; ","")&amp;IF(AND(일일실시사항!$G311&lt;&gt;"",COUNTIF(사건마스터!$A$5:$A$64,일일실시사항!$G311)=0),"미등록 사건번호; ","")&amp;IF(일일실시사항!$H311="","실시 내용 없음; ","")&amp;IF(COUNTIF(코드설정!$F$5:$F$7,일일실시사항!$J311)=0,"진행상태 누락; ","")))</f>
        <v/>
      </c>
    </row>
    <row r="1344">
      <c r="A1344" s="26" t="inlineStr">
        <is>
          <t>일일실시사항</t>
        </is>
      </c>
      <c r="B1344" s="66" t="n">
        <v>312</v>
      </c>
      <c r="C1344" s="122">
        <f>IF($D1344="","",IFERROR(TEXT(일일실시사항!$B312,"yyyy-mm-dd"),"(날짜없음)")&amp;"  "&amp;일일실시사항!$D312&amp;"  "&amp;일일실시사항!$H312)</f>
        <v/>
      </c>
      <c r="D1344" s="122">
        <f>IF(NOT(COUNTBLANK(일일실시사항!$B312:$K312)&lt;10),"",TRIM(IF(일일실시사항!$B312="","일자 누락; ","")&amp;IF(COUNTIF(코드설정!$C$5:$C$24,일일실시사항!$D312)=0,"담당자 누락; ","")&amp;IF(COUNTIF(코드설정!$G$5:$G$14,일일실시사항!$F312)=0,"업무구분 누락; ","")&amp;IF(AND(일일실시사항!$G312&lt;&gt;"",COUNTIF(사건마스터!$A$5:$A$64,일일실시사항!$G312)=0),"미등록 사건번호; ","")&amp;IF(일일실시사항!$H312="","실시 내용 없음; ","")&amp;IF(COUNTIF(코드설정!$F$5:$F$7,일일실시사항!$J312)=0,"진행상태 누락; ","")))</f>
        <v/>
      </c>
    </row>
    <row r="1345">
      <c r="A1345" s="26" t="inlineStr">
        <is>
          <t>일일실시사항</t>
        </is>
      </c>
      <c r="B1345" s="66" t="n">
        <v>313</v>
      </c>
      <c r="C1345" s="122">
        <f>IF($D1345="","",IFERROR(TEXT(일일실시사항!$B313,"yyyy-mm-dd"),"(날짜없음)")&amp;"  "&amp;일일실시사항!$D313&amp;"  "&amp;일일실시사항!$H313)</f>
        <v/>
      </c>
      <c r="D1345" s="122">
        <f>IF(NOT(COUNTBLANK(일일실시사항!$B313:$K313)&lt;10),"",TRIM(IF(일일실시사항!$B313="","일자 누락; ","")&amp;IF(COUNTIF(코드설정!$C$5:$C$24,일일실시사항!$D313)=0,"담당자 누락; ","")&amp;IF(COUNTIF(코드설정!$G$5:$G$14,일일실시사항!$F313)=0,"업무구분 누락; ","")&amp;IF(AND(일일실시사항!$G313&lt;&gt;"",COUNTIF(사건마스터!$A$5:$A$64,일일실시사항!$G313)=0),"미등록 사건번호; ","")&amp;IF(일일실시사항!$H313="","실시 내용 없음; ","")&amp;IF(COUNTIF(코드설정!$F$5:$F$7,일일실시사항!$J313)=0,"진행상태 누락; ","")))</f>
        <v/>
      </c>
    </row>
    <row r="1346">
      <c r="A1346" s="26" t="inlineStr">
        <is>
          <t>일일실시사항</t>
        </is>
      </c>
      <c r="B1346" s="66" t="n">
        <v>314</v>
      </c>
      <c r="C1346" s="122">
        <f>IF($D1346="","",IFERROR(TEXT(일일실시사항!$B314,"yyyy-mm-dd"),"(날짜없음)")&amp;"  "&amp;일일실시사항!$D314&amp;"  "&amp;일일실시사항!$H314)</f>
        <v/>
      </c>
      <c r="D1346" s="122">
        <f>IF(NOT(COUNTBLANK(일일실시사항!$B314:$K314)&lt;10),"",TRIM(IF(일일실시사항!$B314="","일자 누락; ","")&amp;IF(COUNTIF(코드설정!$C$5:$C$24,일일실시사항!$D314)=0,"담당자 누락; ","")&amp;IF(COUNTIF(코드설정!$G$5:$G$14,일일실시사항!$F314)=0,"업무구분 누락; ","")&amp;IF(AND(일일실시사항!$G314&lt;&gt;"",COUNTIF(사건마스터!$A$5:$A$64,일일실시사항!$G314)=0),"미등록 사건번호; ","")&amp;IF(일일실시사항!$H314="","실시 내용 없음; ","")&amp;IF(COUNTIF(코드설정!$F$5:$F$7,일일실시사항!$J314)=0,"진행상태 누락; ","")))</f>
        <v/>
      </c>
    </row>
    <row r="1347">
      <c r="A1347" s="26" t="inlineStr">
        <is>
          <t>일일실시사항</t>
        </is>
      </c>
      <c r="B1347" s="66" t="n">
        <v>315</v>
      </c>
      <c r="C1347" s="122">
        <f>IF($D1347="","",IFERROR(TEXT(일일실시사항!$B315,"yyyy-mm-dd"),"(날짜없음)")&amp;"  "&amp;일일실시사항!$D315&amp;"  "&amp;일일실시사항!$H315)</f>
        <v/>
      </c>
      <c r="D1347" s="122">
        <f>IF(NOT(COUNTBLANK(일일실시사항!$B315:$K315)&lt;10),"",TRIM(IF(일일실시사항!$B315="","일자 누락; ","")&amp;IF(COUNTIF(코드설정!$C$5:$C$24,일일실시사항!$D315)=0,"담당자 누락; ","")&amp;IF(COUNTIF(코드설정!$G$5:$G$14,일일실시사항!$F315)=0,"업무구분 누락; ","")&amp;IF(AND(일일실시사항!$G315&lt;&gt;"",COUNTIF(사건마스터!$A$5:$A$64,일일실시사항!$G315)=0),"미등록 사건번호; ","")&amp;IF(일일실시사항!$H315="","실시 내용 없음; ","")&amp;IF(COUNTIF(코드설정!$F$5:$F$7,일일실시사항!$J315)=0,"진행상태 누락; ","")))</f>
        <v/>
      </c>
    </row>
    <row r="1348">
      <c r="A1348" s="26" t="inlineStr">
        <is>
          <t>일일실시사항</t>
        </is>
      </c>
      <c r="B1348" s="66" t="n">
        <v>316</v>
      </c>
      <c r="C1348" s="122">
        <f>IF($D1348="","",IFERROR(TEXT(일일실시사항!$B316,"yyyy-mm-dd"),"(날짜없음)")&amp;"  "&amp;일일실시사항!$D316&amp;"  "&amp;일일실시사항!$H316)</f>
        <v/>
      </c>
      <c r="D1348" s="122">
        <f>IF(NOT(COUNTBLANK(일일실시사항!$B316:$K316)&lt;10),"",TRIM(IF(일일실시사항!$B316="","일자 누락; ","")&amp;IF(COUNTIF(코드설정!$C$5:$C$24,일일실시사항!$D316)=0,"담당자 누락; ","")&amp;IF(COUNTIF(코드설정!$G$5:$G$14,일일실시사항!$F316)=0,"업무구분 누락; ","")&amp;IF(AND(일일실시사항!$G316&lt;&gt;"",COUNTIF(사건마스터!$A$5:$A$64,일일실시사항!$G316)=0),"미등록 사건번호; ","")&amp;IF(일일실시사항!$H316="","실시 내용 없음; ","")&amp;IF(COUNTIF(코드설정!$F$5:$F$7,일일실시사항!$J316)=0,"진행상태 누락; ","")))</f>
        <v/>
      </c>
    </row>
    <row r="1349">
      <c r="A1349" s="26" t="inlineStr">
        <is>
          <t>일일실시사항</t>
        </is>
      </c>
      <c r="B1349" s="66" t="n">
        <v>317</v>
      </c>
      <c r="C1349" s="122">
        <f>IF($D1349="","",IFERROR(TEXT(일일실시사항!$B317,"yyyy-mm-dd"),"(날짜없음)")&amp;"  "&amp;일일실시사항!$D317&amp;"  "&amp;일일실시사항!$H317)</f>
        <v/>
      </c>
      <c r="D1349" s="122">
        <f>IF(NOT(COUNTBLANK(일일실시사항!$B317:$K317)&lt;10),"",TRIM(IF(일일실시사항!$B317="","일자 누락; ","")&amp;IF(COUNTIF(코드설정!$C$5:$C$24,일일실시사항!$D317)=0,"담당자 누락; ","")&amp;IF(COUNTIF(코드설정!$G$5:$G$14,일일실시사항!$F317)=0,"업무구분 누락; ","")&amp;IF(AND(일일실시사항!$G317&lt;&gt;"",COUNTIF(사건마스터!$A$5:$A$64,일일실시사항!$G317)=0),"미등록 사건번호; ","")&amp;IF(일일실시사항!$H317="","실시 내용 없음; ","")&amp;IF(COUNTIF(코드설정!$F$5:$F$7,일일실시사항!$J317)=0,"진행상태 누락; ","")))</f>
        <v/>
      </c>
    </row>
    <row r="1350">
      <c r="A1350" s="26" t="inlineStr">
        <is>
          <t>일일실시사항</t>
        </is>
      </c>
      <c r="B1350" s="66" t="n">
        <v>318</v>
      </c>
      <c r="C1350" s="122">
        <f>IF($D1350="","",IFERROR(TEXT(일일실시사항!$B318,"yyyy-mm-dd"),"(날짜없음)")&amp;"  "&amp;일일실시사항!$D318&amp;"  "&amp;일일실시사항!$H318)</f>
        <v/>
      </c>
      <c r="D1350" s="122">
        <f>IF(NOT(COUNTBLANK(일일실시사항!$B318:$K318)&lt;10),"",TRIM(IF(일일실시사항!$B318="","일자 누락; ","")&amp;IF(COUNTIF(코드설정!$C$5:$C$24,일일실시사항!$D318)=0,"담당자 누락; ","")&amp;IF(COUNTIF(코드설정!$G$5:$G$14,일일실시사항!$F318)=0,"업무구분 누락; ","")&amp;IF(AND(일일실시사항!$G318&lt;&gt;"",COUNTIF(사건마스터!$A$5:$A$64,일일실시사항!$G318)=0),"미등록 사건번호; ","")&amp;IF(일일실시사항!$H318="","실시 내용 없음; ","")&amp;IF(COUNTIF(코드설정!$F$5:$F$7,일일실시사항!$J318)=0,"진행상태 누락; ","")))</f>
        <v/>
      </c>
    </row>
    <row r="1351">
      <c r="A1351" s="26" t="inlineStr">
        <is>
          <t>일일실시사항</t>
        </is>
      </c>
      <c r="B1351" s="66" t="n">
        <v>319</v>
      </c>
      <c r="C1351" s="122">
        <f>IF($D1351="","",IFERROR(TEXT(일일실시사항!$B319,"yyyy-mm-dd"),"(날짜없음)")&amp;"  "&amp;일일실시사항!$D319&amp;"  "&amp;일일실시사항!$H319)</f>
        <v/>
      </c>
      <c r="D1351" s="122">
        <f>IF(NOT(COUNTBLANK(일일실시사항!$B319:$K319)&lt;10),"",TRIM(IF(일일실시사항!$B319="","일자 누락; ","")&amp;IF(COUNTIF(코드설정!$C$5:$C$24,일일실시사항!$D319)=0,"담당자 누락; ","")&amp;IF(COUNTIF(코드설정!$G$5:$G$14,일일실시사항!$F319)=0,"업무구분 누락; ","")&amp;IF(AND(일일실시사항!$G319&lt;&gt;"",COUNTIF(사건마스터!$A$5:$A$64,일일실시사항!$G319)=0),"미등록 사건번호; ","")&amp;IF(일일실시사항!$H319="","실시 내용 없음; ","")&amp;IF(COUNTIF(코드설정!$F$5:$F$7,일일실시사항!$J319)=0,"진행상태 누락; ","")))</f>
        <v/>
      </c>
    </row>
    <row r="1352">
      <c r="A1352" s="26" t="inlineStr">
        <is>
          <t>일일실시사항</t>
        </is>
      </c>
      <c r="B1352" s="66" t="n">
        <v>320</v>
      </c>
      <c r="C1352" s="122">
        <f>IF($D1352="","",IFERROR(TEXT(일일실시사항!$B320,"yyyy-mm-dd"),"(날짜없음)")&amp;"  "&amp;일일실시사항!$D320&amp;"  "&amp;일일실시사항!$H320)</f>
        <v/>
      </c>
      <c r="D1352" s="122">
        <f>IF(NOT(COUNTBLANK(일일실시사항!$B320:$K320)&lt;10),"",TRIM(IF(일일실시사항!$B320="","일자 누락; ","")&amp;IF(COUNTIF(코드설정!$C$5:$C$24,일일실시사항!$D320)=0,"담당자 누락; ","")&amp;IF(COUNTIF(코드설정!$G$5:$G$14,일일실시사항!$F320)=0,"업무구분 누락; ","")&amp;IF(AND(일일실시사항!$G320&lt;&gt;"",COUNTIF(사건마스터!$A$5:$A$64,일일실시사항!$G320)=0),"미등록 사건번호; ","")&amp;IF(일일실시사항!$H320="","실시 내용 없음; ","")&amp;IF(COUNTIF(코드설정!$F$5:$F$7,일일실시사항!$J320)=0,"진행상태 누락; ","")))</f>
        <v/>
      </c>
    </row>
    <row r="1353">
      <c r="A1353" s="26" t="inlineStr">
        <is>
          <t>일일실시사항</t>
        </is>
      </c>
      <c r="B1353" s="66" t="n">
        <v>321</v>
      </c>
      <c r="C1353" s="122">
        <f>IF($D1353="","",IFERROR(TEXT(일일실시사항!$B321,"yyyy-mm-dd"),"(날짜없음)")&amp;"  "&amp;일일실시사항!$D321&amp;"  "&amp;일일실시사항!$H321)</f>
        <v/>
      </c>
      <c r="D1353" s="122">
        <f>IF(NOT(COUNTBLANK(일일실시사항!$B321:$K321)&lt;10),"",TRIM(IF(일일실시사항!$B321="","일자 누락; ","")&amp;IF(COUNTIF(코드설정!$C$5:$C$24,일일실시사항!$D321)=0,"담당자 누락; ","")&amp;IF(COUNTIF(코드설정!$G$5:$G$14,일일실시사항!$F321)=0,"업무구분 누락; ","")&amp;IF(AND(일일실시사항!$G321&lt;&gt;"",COUNTIF(사건마스터!$A$5:$A$64,일일실시사항!$G321)=0),"미등록 사건번호; ","")&amp;IF(일일실시사항!$H321="","실시 내용 없음; ","")&amp;IF(COUNTIF(코드설정!$F$5:$F$7,일일실시사항!$J321)=0,"진행상태 누락; ","")))</f>
        <v/>
      </c>
    </row>
    <row r="1354">
      <c r="A1354" s="26" t="inlineStr">
        <is>
          <t>일일실시사항</t>
        </is>
      </c>
      <c r="B1354" s="66" t="n">
        <v>322</v>
      </c>
      <c r="C1354" s="122">
        <f>IF($D1354="","",IFERROR(TEXT(일일실시사항!$B322,"yyyy-mm-dd"),"(날짜없음)")&amp;"  "&amp;일일실시사항!$D322&amp;"  "&amp;일일실시사항!$H322)</f>
        <v/>
      </c>
      <c r="D1354" s="122">
        <f>IF(NOT(COUNTBLANK(일일실시사항!$B322:$K322)&lt;10),"",TRIM(IF(일일실시사항!$B322="","일자 누락; ","")&amp;IF(COUNTIF(코드설정!$C$5:$C$24,일일실시사항!$D322)=0,"담당자 누락; ","")&amp;IF(COUNTIF(코드설정!$G$5:$G$14,일일실시사항!$F322)=0,"업무구분 누락; ","")&amp;IF(AND(일일실시사항!$G322&lt;&gt;"",COUNTIF(사건마스터!$A$5:$A$64,일일실시사항!$G322)=0),"미등록 사건번호; ","")&amp;IF(일일실시사항!$H322="","실시 내용 없음; ","")&amp;IF(COUNTIF(코드설정!$F$5:$F$7,일일실시사항!$J322)=0,"진행상태 누락; ","")))</f>
        <v/>
      </c>
    </row>
    <row r="1355">
      <c r="A1355" s="26" t="inlineStr">
        <is>
          <t>일일실시사항</t>
        </is>
      </c>
      <c r="B1355" s="66" t="n">
        <v>323</v>
      </c>
      <c r="C1355" s="122">
        <f>IF($D1355="","",IFERROR(TEXT(일일실시사항!$B323,"yyyy-mm-dd"),"(날짜없음)")&amp;"  "&amp;일일실시사항!$D323&amp;"  "&amp;일일실시사항!$H323)</f>
        <v/>
      </c>
      <c r="D1355" s="122">
        <f>IF(NOT(COUNTBLANK(일일실시사항!$B323:$K323)&lt;10),"",TRIM(IF(일일실시사항!$B323="","일자 누락; ","")&amp;IF(COUNTIF(코드설정!$C$5:$C$24,일일실시사항!$D323)=0,"담당자 누락; ","")&amp;IF(COUNTIF(코드설정!$G$5:$G$14,일일실시사항!$F323)=0,"업무구분 누락; ","")&amp;IF(AND(일일실시사항!$G323&lt;&gt;"",COUNTIF(사건마스터!$A$5:$A$64,일일실시사항!$G323)=0),"미등록 사건번호; ","")&amp;IF(일일실시사항!$H323="","실시 내용 없음; ","")&amp;IF(COUNTIF(코드설정!$F$5:$F$7,일일실시사항!$J323)=0,"진행상태 누락; ","")))</f>
        <v/>
      </c>
    </row>
    <row r="1356">
      <c r="A1356" s="26" t="inlineStr">
        <is>
          <t>일일실시사항</t>
        </is>
      </c>
      <c r="B1356" s="66" t="n">
        <v>324</v>
      </c>
      <c r="C1356" s="122">
        <f>IF($D1356="","",IFERROR(TEXT(일일실시사항!$B324,"yyyy-mm-dd"),"(날짜없음)")&amp;"  "&amp;일일실시사항!$D324&amp;"  "&amp;일일실시사항!$H324)</f>
        <v/>
      </c>
      <c r="D1356" s="122">
        <f>IF(NOT(COUNTBLANK(일일실시사항!$B324:$K324)&lt;10),"",TRIM(IF(일일실시사항!$B324="","일자 누락; ","")&amp;IF(COUNTIF(코드설정!$C$5:$C$24,일일실시사항!$D324)=0,"담당자 누락; ","")&amp;IF(COUNTIF(코드설정!$G$5:$G$14,일일실시사항!$F324)=0,"업무구분 누락; ","")&amp;IF(AND(일일실시사항!$G324&lt;&gt;"",COUNTIF(사건마스터!$A$5:$A$64,일일실시사항!$G324)=0),"미등록 사건번호; ","")&amp;IF(일일실시사항!$H324="","실시 내용 없음; ","")&amp;IF(COUNTIF(코드설정!$F$5:$F$7,일일실시사항!$J324)=0,"진행상태 누락; ","")))</f>
        <v/>
      </c>
    </row>
    <row r="1357">
      <c r="A1357" s="26" t="inlineStr">
        <is>
          <t>일일실시사항</t>
        </is>
      </c>
      <c r="B1357" s="66" t="n">
        <v>325</v>
      </c>
      <c r="C1357" s="122">
        <f>IF($D1357="","",IFERROR(TEXT(일일실시사항!$B325,"yyyy-mm-dd"),"(날짜없음)")&amp;"  "&amp;일일실시사항!$D325&amp;"  "&amp;일일실시사항!$H325)</f>
        <v/>
      </c>
      <c r="D1357" s="122">
        <f>IF(NOT(COUNTBLANK(일일실시사항!$B325:$K325)&lt;10),"",TRIM(IF(일일실시사항!$B325="","일자 누락; ","")&amp;IF(COUNTIF(코드설정!$C$5:$C$24,일일실시사항!$D325)=0,"담당자 누락; ","")&amp;IF(COUNTIF(코드설정!$G$5:$G$14,일일실시사항!$F325)=0,"업무구분 누락; ","")&amp;IF(AND(일일실시사항!$G325&lt;&gt;"",COUNTIF(사건마스터!$A$5:$A$64,일일실시사항!$G325)=0),"미등록 사건번호; ","")&amp;IF(일일실시사항!$H325="","실시 내용 없음; ","")&amp;IF(COUNTIF(코드설정!$F$5:$F$7,일일실시사항!$J325)=0,"진행상태 누락; ","")))</f>
        <v/>
      </c>
    </row>
    <row r="1358">
      <c r="A1358" s="26" t="inlineStr">
        <is>
          <t>일일실시사항</t>
        </is>
      </c>
      <c r="B1358" s="66" t="n">
        <v>326</v>
      </c>
      <c r="C1358" s="122">
        <f>IF($D1358="","",IFERROR(TEXT(일일실시사항!$B326,"yyyy-mm-dd"),"(날짜없음)")&amp;"  "&amp;일일실시사항!$D326&amp;"  "&amp;일일실시사항!$H326)</f>
        <v/>
      </c>
      <c r="D1358" s="122">
        <f>IF(NOT(COUNTBLANK(일일실시사항!$B326:$K326)&lt;10),"",TRIM(IF(일일실시사항!$B326="","일자 누락; ","")&amp;IF(COUNTIF(코드설정!$C$5:$C$24,일일실시사항!$D326)=0,"담당자 누락; ","")&amp;IF(COUNTIF(코드설정!$G$5:$G$14,일일실시사항!$F326)=0,"업무구분 누락; ","")&amp;IF(AND(일일실시사항!$G326&lt;&gt;"",COUNTIF(사건마스터!$A$5:$A$64,일일실시사항!$G326)=0),"미등록 사건번호; ","")&amp;IF(일일실시사항!$H326="","실시 내용 없음; ","")&amp;IF(COUNTIF(코드설정!$F$5:$F$7,일일실시사항!$J326)=0,"진행상태 누락; ","")))</f>
        <v/>
      </c>
    </row>
    <row r="1359">
      <c r="A1359" s="26" t="inlineStr">
        <is>
          <t>일일실시사항</t>
        </is>
      </c>
      <c r="B1359" s="66" t="n">
        <v>327</v>
      </c>
      <c r="C1359" s="122">
        <f>IF($D1359="","",IFERROR(TEXT(일일실시사항!$B327,"yyyy-mm-dd"),"(날짜없음)")&amp;"  "&amp;일일실시사항!$D327&amp;"  "&amp;일일실시사항!$H327)</f>
        <v/>
      </c>
      <c r="D1359" s="122">
        <f>IF(NOT(COUNTBLANK(일일실시사항!$B327:$K327)&lt;10),"",TRIM(IF(일일실시사항!$B327="","일자 누락; ","")&amp;IF(COUNTIF(코드설정!$C$5:$C$24,일일실시사항!$D327)=0,"담당자 누락; ","")&amp;IF(COUNTIF(코드설정!$G$5:$G$14,일일실시사항!$F327)=0,"업무구분 누락; ","")&amp;IF(AND(일일실시사항!$G327&lt;&gt;"",COUNTIF(사건마스터!$A$5:$A$64,일일실시사항!$G327)=0),"미등록 사건번호; ","")&amp;IF(일일실시사항!$H327="","실시 내용 없음; ","")&amp;IF(COUNTIF(코드설정!$F$5:$F$7,일일실시사항!$J327)=0,"진행상태 누락; ","")))</f>
        <v/>
      </c>
    </row>
    <row r="1360">
      <c r="A1360" s="26" t="inlineStr">
        <is>
          <t>일일실시사항</t>
        </is>
      </c>
      <c r="B1360" s="66" t="n">
        <v>328</v>
      </c>
      <c r="C1360" s="122">
        <f>IF($D1360="","",IFERROR(TEXT(일일실시사항!$B328,"yyyy-mm-dd"),"(날짜없음)")&amp;"  "&amp;일일실시사항!$D328&amp;"  "&amp;일일실시사항!$H328)</f>
        <v/>
      </c>
      <c r="D1360" s="122">
        <f>IF(NOT(COUNTBLANK(일일실시사항!$B328:$K328)&lt;10),"",TRIM(IF(일일실시사항!$B328="","일자 누락; ","")&amp;IF(COUNTIF(코드설정!$C$5:$C$24,일일실시사항!$D328)=0,"담당자 누락; ","")&amp;IF(COUNTIF(코드설정!$G$5:$G$14,일일실시사항!$F328)=0,"업무구분 누락; ","")&amp;IF(AND(일일실시사항!$G328&lt;&gt;"",COUNTIF(사건마스터!$A$5:$A$64,일일실시사항!$G328)=0),"미등록 사건번호; ","")&amp;IF(일일실시사항!$H328="","실시 내용 없음; ","")&amp;IF(COUNTIF(코드설정!$F$5:$F$7,일일실시사항!$J328)=0,"진행상태 누락; ","")))</f>
        <v/>
      </c>
    </row>
    <row r="1361">
      <c r="A1361" s="26" t="inlineStr">
        <is>
          <t>일일실시사항</t>
        </is>
      </c>
      <c r="B1361" s="66" t="n">
        <v>329</v>
      </c>
      <c r="C1361" s="122">
        <f>IF($D1361="","",IFERROR(TEXT(일일실시사항!$B329,"yyyy-mm-dd"),"(날짜없음)")&amp;"  "&amp;일일실시사항!$D329&amp;"  "&amp;일일실시사항!$H329)</f>
        <v/>
      </c>
      <c r="D1361" s="122">
        <f>IF(NOT(COUNTBLANK(일일실시사항!$B329:$K329)&lt;10),"",TRIM(IF(일일실시사항!$B329="","일자 누락; ","")&amp;IF(COUNTIF(코드설정!$C$5:$C$24,일일실시사항!$D329)=0,"담당자 누락; ","")&amp;IF(COUNTIF(코드설정!$G$5:$G$14,일일실시사항!$F329)=0,"업무구분 누락; ","")&amp;IF(AND(일일실시사항!$G329&lt;&gt;"",COUNTIF(사건마스터!$A$5:$A$64,일일실시사항!$G329)=0),"미등록 사건번호; ","")&amp;IF(일일실시사항!$H329="","실시 내용 없음; ","")&amp;IF(COUNTIF(코드설정!$F$5:$F$7,일일실시사항!$J329)=0,"진행상태 누락; ","")))</f>
        <v/>
      </c>
    </row>
    <row r="1362">
      <c r="A1362" s="26" t="inlineStr">
        <is>
          <t>일일실시사항</t>
        </is>
      </c>
      <c r="B1362" s="66" t="n">
        <v>330</v>
      </c>
      <c r="C1362" s="122">
        <f>IF($D1362="","",IFERROR(TEXT(일일실시사항!$B330,"yyyy-mm-dd"),"(날짜없음)")&amp;"  "&amp;일일실시사항!$D330&amp;"  "&amp;일일실시사항!$H330)</f>
        <v/>
      </c>
      <c r="D1362" s="122">
        <f>IF(NOT(COUNTBLANK(일일실시사항!$B330:$K330)&lt;10),"",TRIM(IF(일일실시사항!$B330="","일자 누락; ","")&amp;IF(COUNTIF(코드설정!$C$5:$C$24,일일실시사항!$D330)=0,"담당자 누락; ","")&amp;IF(COUNTIF(코드설정!$G$5:$G$14,일일실시사항!$F330)=0,"업무구분 누락; ","")&amp;IF(AND(일일실시사항!$G330&lt;&gt;"",COUNTIF(사건마스터!$A$5:$A$64,일일실시사항!$G330)=0),"미등록 사건번호; ","")&amp;IF(일일실시사항!$H330="","실시 내용 없음; ","")&amp;IF(COUNTIF(코드설정!$F$5:$F$7,일일실시사항!$J330)=0,"진행상태 누락; ","")))</f>
        <v/>
      </c>
    </row>
    <row r="1363">
      <c r="A1363" s="26" t="inlineStr">
        <is>
          <t>일일실시사항</t>
        </is>
      </c>
      <c r="B1363" s="66" t="n">
        <v>331</v>
      </c>
      <c r="C1363" s="122">
        <f>IF($D1363="","",IFERROR(TEXT(일일실시사항!$B331,"yyyy-mm-dd"),"(날짜없음)")&amp;"  "&amp;일일실시사항!$D331&amp;"  "&amp;일일실시사항!$H331)</f>
        <v/>
      </c>
      <c r="D1363" s="122">
        <f>IF(NOT(COUNTBLANK(일일실시사항!$B331:$K331)&lt;10),"",TRIM(IF(일일실시사항!$B331="","일자 누락; ","")&amp;IF(COUNTIF(코드설정!$C$5:$C$24,일일실시사항!$D331)=0,"담당자 누락; ","")&amp;IF(COUNTIF(코드설정!$G$5:$G$14,일일실시사항!$F331)=0,"업무구분 누락; ","")&amp;IF(AND(일일실시사항!$G331&lt;&gt;"",COUNTIF(사건마스터!$A$5:$A$64,일일실시사항!$G331)=0),"미등록 사건번호; ","")&amp;IF(일일실시사항!$H331="","실시 내용 없음; ","")&amp;IF(COUNTIF(코드설정!$F$5:$F$7,일일실시사항!$J331)=0,"진행상태 누락; ","")))</f>
        <v/>
      </c>
    </row>
    <row r="1364">
      <c r="A1364" s="26" t="inlineStr">
        <is>
          <t>일일실시사항</t>
        </is>
      </c>
      <c r="B1364" s="66" t="n">
        <v>332</v>
      </c>
      <c r="C1364" s="122">
        <f>IF($D1364="","",IFERROR(TEXT(일일실시사항!$B332,"yyyy-mm-dd"),"(날짜없음)")&amp;"  "&amp;일일실시사항!$D332&amp;"  "&amp;일일실시사항!$H332)</f>
        <v/>
      </c>
      <c r="D1364" s="122">
        <f>IF(NOT(COUNTBLANK(일일실시사항!$B332:$K332)&lt;10),"",TRIM(IF(일일실시사항!$B332="","일자 누락; ","")&amp;IF(COUNTIF(코드설정!$C$5:$C$24,일일실시사항!$D332)=0,"담당자 누락; ","")&amp;IF(COUNTIF(코드설정!$G$5:$G$14,일일실시사항!$F332)=0,"업무구분 누락; ","")&amp;IF(AND(일일실시사항!$G332&lt;&gt;"",COUNTIF(사건마스터!$A$5:$A$64,일일실시사항!$G332)=0),"미등록 사건번호; ","")&amp;IF(일일실시사항!$H332="","실시 내용 없음; ","")&amp;IF(COUNTIF(코드설정!$F$5:$F$7,일일실시사항!$J332)=0,"진행상태 누락; ","")))</f>
        <v/>
      </c>
    </row>
    <row r="1365">
      <c r="A1365" s="26" t="inlineStr">
        <is>
          <t>일일실시사항</t>
        </is>
      </c>
      <c r="B1365" s="66" t="n">
        <v>333</v>
      </c>
      <c r="C1365" s="122">
        <f>IF($D1365="","",IFERROR(TEXT(일일실시사항!$B333,"yyyy-mm-dd"),"(날짜없음)")&amp;"  "&amp;일일실시사항!$D333&amp;"  "&amp;일일실시사항!$H333)</f>
        <v/>
      </c>
      <c r="D1365" s="122">
        <f>IF(NOT(COUNTBLANK(일일실시사항!$B333:$K333)&lt;10),"",TRIM(IF(일일실시사항!$B333="","일자 누락; ","")&amp;IF(COUNTIF(코드설정!$C$5:$C$24,일일실시사항!$D333)=0,"담당자 누락; ","")&amp;IF(COUNTIF(코드설정!$G$5:$G$14,일일실시사항!$F333)=0,"업무구분 누락; ","")&amp;IF(AND(일일실시사항!$G333&lt;&gt;"",COUNTIF(사건마스터!$A$5:$A$64,일일실시사항!$G333)=0),"미등록 사건번호; ","")&amp;IF(일일실시사항!$H333="","실시 내용 없음; ","")&amp;IF(COUNTIF(코드설정!$F$5:$F$7,일일실시사항!$J333)=0,"진행상태 누락; ","")))</f>
        <v/>
      </c>
    </row>
    <row r="1366">
      <c r="A1366" s="26" t="inlineStr">
        <is>
          <t>일일실시사항</t>
        </is>
      </c>
      <c r="B1366" s="66" t="n">
        <v>334</v>
      </c>
      <c r="C1366" s="122">
        <f>IF($D1366="","",IFERROR(TEXT(일일실시사항!$B334,"yyyy-mm-dd"),"(날짜없음)")&amp;"  "&amp;일일실시사항!$D334&amp;"  "&amp;일일실시사항!$H334)</f>
        <v/>
      </c>
      <c r="D1366" s="122">
        <f>IF(NOT(COUNTBLANK(일일실시사항!$B334:$K334)&lt;10),"",TRIM(IF(일일실시사항!$B334="","일자 누락; ","")&amp;IF(COUNTIF(코드설정!$C$5:$C$24,일일실시사항!$D334)=0,"담당자 누락; ","")&amp;IF(COUNTIF(코드설정!$G$5:$G$14,일일실시사항!$F334)=0,"업무구분 누락; ","")&amp;IF(AND(일일실시사항!$G334&lt;&gt;"",COUNTIF(사건마스터!$A$5:$A$64,일일실시사항!$G334)=0),"미등록 사건번호; ","")&amp;IF(일일실시사항!$H334="","실시 내용 없음; ","")&amp;IF(COUNTIF(코드설정!$F$5:$F$7,일일실시사항!$J334)=0,"진행상태 누락; ","")))</f>
        <v/>
      </c>
    </row>
    <row r="1367">
      <c r="A1367" s="26" t="inlineStr">
        <is>
          <t>일일실시사항</t>
        </is>
      </c>
      <c r="B1367" s="66" t="n">
        <v>335</v>
      </c>
      <c r="C1367" s="122">
        <f>IF($D1367="","",IFERROR(TEXT(일일실시사항!$B335,"yyyy-mm-dd"),"(날짜없음)")&amp;"  "&amp;일일실시사항!$D335&amp;"  "&amp;일일실시사항!$H335)</f>
        <v/>
      </c>
      <c r="D1367" s="122">
        <f>IF(NOT(COUNTBLANK(일일실시사항!$B335:$K335)&lt;10),"",TRIM(IF(일일실시사항!$B335="","일자 누락; ","")&amp;IF(COUNTIF(코드설정!$C$5:$C$24,일일실시사항!$D335)=0,"담당자 누락; ","")&amp;IF(COUNTIF(코드설정!$G$5:$G$14,일일실시사항!$F335)=0,"업무구분 누락; ","")&amp;IF(AND(일일실시사항!$G335&lt;&gt;"",COUNTIF(사건마스터!$A$5:$A$64,일일실시사항!$G335)=0),"미등록 사건번호; ","")&amp;IF(일일실시사항!$H335="","실시 내용 없음; ","")&amp;IF(COUNTIF(코드설정!$F$5:$F$7,일일실시사항!$J335)=0,"진행상태 누락; ","")))</f>
        <v/>
      </c>
    </row>
    <row r="1368">
      <c r="A1368" s="26" t="inlineStr">
        <is>
          <t>일일실시사항</t>
        </is>
      </c>
      <c r="B1368" s="66" t="n">
        <v>336</v>
      </c>
      <c r="C1368" s="122">
        <f>IF($D1368="","",IFERROR(TEXT(일일실시사항!$B336,"yyyy-mm-dd"),"(날짜없음)")&amp;"  "&amp;일일실시사항!$D336&amp;"  "&amp;일일실시사항!$H336)</f>
        <v/>
      </c>
      <c r="D1368" s="122">
        <f>IF(NOT(COUNTBLANK(일일실시사항!$B336:$K336)&lt;10),"",TRIM(IF(일일실시사항!$B336="","일자 누락; ","")&amp;IF(COUNTIF(코드설정!$C$5:$C$24,일일실시사항!$D336)=0,"담당자 누락; ","")&amp;IF(COUNTIF(코드설정!$G$5:$G$14,일일실시사항!$F336)=0,"업무구분 누락; ","")&amp;IF(AND(일일실시사항!$G336&lt;&gt;"",COUNTIF(사건마스터!$A$5:$A$64,일일실시사항!$G336)=0),"미등록 사건번호; ","")&amp;IF(일일실시사항!$H336="","실시 내용 없음; ","")&amp;IF(COUNTIF(코드설정!$F$5:$F$7,일일실시사항!$J336)=0,"진행상태 누락; ","")))</f>
        <v/>
      </c>
    </row>
    <row r="1369">
      <c r="A1369" s="26" t="inlineStr">
        <is>
          <t>일일실시사항</t>
        </is>
      </c>
      <c r="B1369" s="66" t="n">
        <v>337</v>
      </c>
      <c r="C1369" s="122">
        <f>IF($D1369="","",IFERROR(TEXT(일일실시사항!$B337,"yyyy-mm-dd"),"(날짜없음)")&amp;"  "&amp;일일실시사항!$D337&amp;"  "&amp;일일실시사항!$H337)</f>
        <v/>
      </c>
      <c r="D1369" s="122">
        <f>IF(NOT(COUNTBLANK(일일실시사항!$B337:$K337)&lt;10),"",TRIM(IF(일일실시사항!$B337="","일자 누락; ","")&amp;IF(COUNTIF(코드설정!$C$5:$C$24,일일실시사항!$D337)=0,"담당자 누락; ","")&amp;IF(COUNTIF(코드설정!$G$5:$G$14,일일실시사항!$F337)=0,"업무구분 누락; ","")&amp;IF(AND(일일실시사항!$G337&lt;&gt;"",COUNTIF(사건마스터!$A$5:$A$64,일일실시사항!$G337)=0),"미등록 사건번호; ","")&amp;IF(일일실시사항!$H337="","실시 내용 없음; ","")&amp;IF(COUNTIF(코드설정!$F$5:$F$7,일일실시사항!$J337)=0,"진행상태 누락; ","")))</f>
        <v/>
      </c>
    </row>
    <row r="1370">
      <c r="A1370" s="26" t="inlineStr">
        <is>
          <t>일일실시사항</t>
        </is>
      </c>
      <c r="B1370" s="66" t="n">
        <v>338</v>
      </c>
      <c r="C1370" s="122">
        <f>IF($D1370="","",IFERROR(TEXT(일일실시사항!$B338,"yyyy-mm-dd"),"(날짜없음)")&amp;"  "&amp;일일실시사항!$D338&amp;"  "&amp;일일실시사항!$H338)</f>
        <v/>
      </c>
      <c r="D1370" s="122">
        <f>IF(NOT(COUNTBLANK(일일실시사항!$B338:$K338)&lt;10),"",TRIM(IF(일일실시사항!$B338="","일자 누락; ","")&amp;IF(COUNTIF(코드설정!$C$5:$C$24,일일실시사항!$D338)=0,"담당자 누락; ","")&amp;IF(COUNTIF(코드설정!$G$5:$G$14,일일실시사항!$F338)=0,"업무구분 누락; ","")&amp;IF(AND(일일실시사항!$G338&lt;&gt;"",COUNTIF(사건마스터!$A$5:$A$64,일일실시사항!$G338)=0),"미등록 사건번호; ","")&amp;IF(일일실시사항!$H338="","실시 내용 없음; ","")&amp;IF(COUNTIF(코드설정!$F$5:$F$7,일일실시사항!$J338)=0,"진행상태 누락; ","")))</f>
        <v/>
      </c>
    </row>
    <row r="1371">
      <c r="A1371" s="26" t="inlineStr">
        <is>
          <t>일일실시사항</t>
        </is>
      </c>
      <c r="B1371" s="66" t="n">
        <v>339</v>
      </c>
      <c r="C1371" s="122">
        <f>IF($D1371="","",IFERROR(TEXT(일일실시사항!$B339,"yyyy-mm-dd"),"(날짜없음)")&amp;"  "&amp;일일실시사항!$D339&amp;"  "&amp;일일실시사항!$H339)</f>
        <v/>
      </c>
      <c r="D1371" s="122">
        <f>IF(NOT(COUNTBLANK(일일실시사항!$B339:$K339)&lt;10),"",TRIM(IF(일일실시사항!$B339="","일자 누락; ","")&amp;IF(COUNTIF(코드설정!$C$5:$C$24,일일실시사항!$D339)=0,"담당자 누락; ","")&amp;IF(COUNTIF(코드설정!$G$5:$G$14,일일실시사항!$F339)=0,"업무구분 누락; ","")&amp;IF(AND(일일실시사항!$G339&lt;&gt;"",COUNTIF(사건마스터!$A$5:$A$64,일일실시사항!$G339)=0),"미등록 사건번호; ","")&amp;IF(일일실시사항!$H339="","실시 내용 없음; ","")&amp;IF(COUNTIF(코드설정!$F$5:$F$7,일일실시사항!$J339)=0,"진행상태 누락; ","")))</f>
        <v/>
      </c>
    </row>
    <row r="1372">
      <c r="A1372" s="26" t="inlineStr">
        <is>
          <t>일일실시사항</t>
        </is>
      </c>
      <c r="B1372" s="66" t="n">
        <v>340</v>
      </c>
      <c r="C1372" s="122">
        <f>IF($D1372="","",IFERROR(TEXT(일일실시사항!$B340,"yyyy-mm-dd"),"(날짜없음)")&amp;"  "&amp;일일실시사항!$D340&amp;"  "&amp;일일실시사항!$H340)</f>
        <v/>
      </c>
      <c r="D1372" s="122">
        <f>IF(NOT(COUNTBLANK(일일실시사항!$B340:$K340)&lt;10),"",TRIM(IF(일일실시사항!$B340="","일자 누락; ","")&amp;IF(COUNTIF(코드설정!$C$5:$C$24,일일실시사항!$D340)=0,"담당자 누락; ","")&amp;IF(COUNTIF(코드설정!$G$5:$G$14,일일실시사항!$F340)=0,"업무구분 누락; ","")&amp;IF(AND(일일실시사항!$G340&lt;&gt;"",COUNTIF(사건마스터!$A$5:$A$64,일일실시사항!$G340)=0),"미등록 사건번호; ","")&amp;IF(일일실시사항!$H340="","실시 내용 없음; ","")&amp;IF(COUNTIF(코드설정!$F$5:$F$7,일일실시사항!$J340)=0,"진행상태 누락; ","")))</f>
        <v/>
      </c>
    </row>
    <row r="1373">
      <c r="A1373" s="26" t="inlineStr">
        <is>
          <t>일일실시사항</t>
        </is>
      </c>
      <c r="B1373" s="66" t="n">
        <v>341</v>
      </c>
      <c r="C1373" s="122">
        <f>IF($D1373="","",IFERROR(TEXT(일일실시사항!$B341,"yyyy-mm-dd"),"(날짜없음)")&amp;"  "&amp;일일실시사항!$D341&amp;"  "&amp;일일실시사항!$H341)</f>
        <v/>
      </c>
      <c r="D1373" s="122">
        <f>IF(NOT(COUNTBLANK(일일실시사항!$B341:$K341)&lt;10),"",TRIM(IF(일일실시사항!$B341="","일자 누락; ","")&amp;IF(COUNTIF(코드설정!$C$5:$C$24,일일실시사항!$D341)=0,"담당자 누락; ","")&amp;IF(COUNTIF(코드설정!$G$5:$G$14,일일실시사항!$F341)=0,"업무구분 누락; ","")&amp;IF(AND(일일실시사항!$G341&lt;&gt;"",COUNTIF(사건마스터!$A$5:$A$64,일일실시사항!$G341)=0),"미등록 사건번호; ","")&amp;IF(일일실시사항!$H341="","실시 내용 없음; ","")&amp;IF(COUNTIF(코드설정!$F$5:$F$7,일일실시사항!$J341)=0,"진행상태 누락; ","")))</f>
        <v/>
      </c>
    </row>
    <row r="1374">
      <c r="A1374" s="26" t="inlineStr">
        <is>
          <t>일일실시사항</t>
        </is>
      </c>
      <c r="B1374" s="66" t="n">
        <v>342</v>
      </c>
      <c r="C1374" s="122">
        <f>IF($D1374="","",IFERROR(TEXT(일일실시사항!$B342,"yyyy-mm-dd"),"(날짜없음)")&amp;"  "&amp;일일실시사항!$D342&amp;"  "&amp;일일실시사항!$H342)</f>
        <v/>
      </c>
      <c r="D1374" s="122">
        <f>IF(NOT(COUNTBLANK(일일실시사항!$B342:$K342)&lt;10),"",TRIM(IF(일일실시사항!$B342="","일자 누락; ","")&amp;IF(COUNTIF(코드설정!$C$5:$C$24,일일실시사항!$D342)=0,"담당자 누락; ","")&amp;IF(COUNTIF(코드설정!$G$5:$G$14,일일실시사항!$F342)=0,"업무구분 누락; ","")&amp;IF(AND(일일실시사항!$G342&lt;&gt;"",COUNTIF(사건마스터!$A$5:$A$64,일일실시사항!$G342)=0),"미등록 사건번호; ","")&amp;IF(일일실시사항!$H342="","실시 내용 없음; ","")&amp;IF(COUNTIF(코드설정!$F$5:$F$7,일일실시사항!$J342)=0,"진행상태 누락; ","")))</f>
        <v/>
      </c>
    </row>
    <row r="1375">
      <c r="A1375" s="26" t="inlineStr">
        <is>
          <t>일일실시사항</t>
        </is>
      </c>
      <c r="B1375" s="66" t="n">
        <v>343</v>
      </c>
      <c r="C1375" s="122">
        <f>IF($D1375="","",IFERROR(TEXT(일일실시사항!$B343,"yyyy-mm-dd"),"(날짜없음)")&amp;"  "&amp;일일실시사항!$D343&amp;"  "&amp;일일실시사항!$H343)</f>
        <v/>
      </c>
      <c r="D1375" s="122">
        <f>IF(NOT(COUNTBLANK(일일실시사항!$B343:$K343)&lt;10),"",TRIM(IF(일일실시사항!$B343="","일자 누락; ","")&amp;IF(COUNTIF(코드설정!$C$5:$C$24,일일실시사항!$D343)=0,"담당자 누락; ","")&amp;IF(COUNTIF(코드설정!$G$5:$G$14,일일실시사항!$F343)=0,"업무구분 누락; ","")&amp;IF(AND(일일실시사항!$G343&lt;&gt;"",COUNTIF(사건마스터!$A$5:$A$64,일일실시사항!$G343)=0),"미등록 사건번호; ","")&amp;IF(일일실시사항!$H343="","실시 내용 없음; ","")&amp;IF(COUNTIF(코드설정!$F$5:$F$7,일일실시사항!$J343)=0,"진행상태 누락; ","")))</f>
        <v/>
      </c>
    </row>
    <row r="1376">
      <c r="A1376" s="26" t="inlineStr">
        <is>
          <t>일일실시사항</t>
        </is>
      </c>
      <c r="B1376" s="66" t="n">
        <v>344</v>
      </c>
      <c r="C1376" s="122">
        <f>IF($D1376="","",IFERROR(TEXT(일일실시사항!$B344,"yyyy-mm-dd"),"(날짜없음)")&amp;"  "&amp;일일실시사항!$D344&amp;"  "&amp;일일실시사항!$H344)</f>
        <v/>
      </c>
      <c r="D1376" s="122">
        <f>IF(NOT(COUNTBLANK(일일실시사항!$B344:$K344)&lt;10),"",TRIM(IF(일일실시사항!$B344="","일자 누락; ","")&amp;IF(COUNTIF(코드설정!$C$5:$C$24,일일실시사항!$D344)=0,"담당자 누락; ","")&amp;IF(COUNTIF(코드설정!$G$5:$G$14,일일실시사항!$F344)=0,"업무구분 누락; ","")&amp;IF(AND(일일실시사항!$G344&lt;&gt;"",COUNTIF(사건마스터!$A$5:$A$64,일일실시사항!$G344)=0),"미등록 사건번호; ","")&amp;IF(일일실시사항!$H344="","실시 내용 없음; ","")&amp;IF(COUNTIF(코드설정!$F$5:$F$7,일일실시사항!$J344)=0,"진행상태 누락; ","")))</f>
        <v/>
      </c>
    </row>
    <row r="1377">
      <c r="A1377" s="26" t="inlineStr">
        <is>
          <t>일일실시사항</t>
        </is>
      </c>
      <c r="B1377" s="66" t="n">
        <v>345</v>
      </c>
      <c r="C1377" s="122">
        <f>IF($D1377="","",IFERROR(TEXT(일일실시사항!$B345,"yyyy-mm-dd"),"(날짜없음)")&amp;"  "&amp;일일실시사항!$D345&amp;"  "&amp;일일실시사항!$H345)</f>
        <v/>
      </c>
      <c r="D1377" s="122">
        <f>IF(NOT(COUNTBLANK(일일실시사항!$B345:$K345)&lt;10),"",TRIM(IF(일일실시사항!$B345="","일자 누락; ","")&amp;IF(COUNTIF(코드설정!$C$5:$C$24,일일실시사항!$D345)=0,"담당자 누락; ","")&amp;IF(COUNTIF(코드설정!$G$5:$G$14,일일실시사항!$F345)=0,"업무구분 누락; ","")&amp;IF(AND(일일실시사항!$G345&lt;&gt;"",COUNTIF(사건마스터!$A$5:$A$64,일일실시사항!$G345)=0),"미등록 사건번호; ","")&amp;IF(일일실시사항!$H345="","실시 내용 없음; ","")&amp;IF(COUNTIF(코드설정!$F$5:$F$7,일일실시사항!$J345)=0,"진행상태 누락; ","")))</f>
        <v/>
      </c>
    </row>
    <row r="1378">
      <c r="A1378" s="26" t="inlineStr">
        <is>
          <t>일일실시사항</t>
        </is>
      </c>
      <c r="B1378" s="66" t="n">
        <v>346</v>
      </c>
      <c r="C1378" s="122">
        <f>IF($D1378="","",IFERROR(TEXT(일일실시사항!$B346,"yyyy-mm-dd"),"(날짜없음)")&amp;"  "&amp;일일실시사항!$D346&amp;"  "&amp;일일실시사항!$H346)</f>
        <v/>
      </c>
      <c r="D1378" s="122">
        <f>IF(NOT(COUNTBLANK(일일실시사항!$B346:$K346)&lt;10),"",TRIM(IF(일일실시사항!$B346="","일자 누락; ","")&amp;IF(COUNTIF(코드설정!$C$5:$C$24,일일실시사항!$D346)=0,"담당자 누락; ","")&amp;IF(COUNTIF(코드설정!$G$5:$G$14,일일실시사항!$F346)=0,"업무구분 누락; ","")&amp;IF(AND(일일실시사항!$G346&lt;&gt;"",COUNTIF(사건마스터!$A$5:$A$64,일일실시사항!$G346)=0),"미등록 사건번호; ","")&amp;IF(일일실시사항!$H346="","실시 내용 없음; ","")&amp;IF(COUNTIF(코드설정!$F$5:$F$7,일일실시사항!$J346)=0,"진행상태 누락; ","")))</f>
        <v/>
      </c>
    </row>
    <row r="1379">
      <c r="A1379" s="26" t="inlineStr">
        <is>
          <t>일일실시사항</t>
        </is>
      </c>
      <c r="B1379" s="66" t="n">
        <v>347</v>
      </c>
      <c r="C1379" s="122">
        <f>IF($D1379="","",IFERROR(TEXT(일일실시사항!$B347,"yyyy-mm-dd"),"(날짜없음)")&amp;"  "&amp;일일실시사항!$D347&amp;"  "&amp;일일실시사항!$H347)</f>
        <v/>
      </c>
      <c r="D1379" s="122">
        <f>IF(NOT(COUNTBLANK(일일실시사항!$B347:$K347)&lt;10),"",TRIM(IF(일일실시사항!$B347="","일자 누락; ","")&amp;IF(COUNTIF(코드설정!$C$5:$C$24,일일실시사항!$D347)=0,"담당자 누락; ","")&amp;IF(COUNTIF(코드설정!$G$5:$G$14,일일실시사항!$F347)=0,"업무구분 누락; ","")&amp;IF(AND(일일실시사항!$G347&lt;&gt;"",COUNTIF(사건마스터!$A$5:$A$64,일일실시사항!$G347)=0),"미등록 사건번호; ","")&amp;IF(일일실시사항!$H347="","실시 내용 없음; ","")&amp;IF(COUNTIF(코드설정!$F$5:$F$7,일일실시사항!$J347)=0,"진행상태 누락; ","")))</f>
        <v/>
      </c>
    </row>
    <row r="1380">
      <c r="A1380" s="26" t="inlineStr">
        <is>
          <t>일일실시사항</t>
        </is>
      </c>
      <c r="B1380" s="66" t="n">
        <v>348</v>
      </c>
      <c r="C1380" s="122">
        <f>IF($D1380="","",IFERROR(TEXT(일일실시사항!$B348,"yyyy-mm-dd"),"(날짜없음)")&amp;"  "&amp;일일실시사항!$D348&amp;"  "&amp;일일실시사항!$H348)</f>
        <v/>
      </c>
      <c r="D1380" s="122">
        <f>IF(NOT(COUNTBLANK(일일실시사항!$B348:$K348)&lt;10),"",TRIM(IF(일일실시사항!$B348="","일자 누락; ","")&amp;IF(COUNTIF(코드설정!$C$5:$C$24,일일실시사항!$D348)=0,"담당자 누락; ","")&amp;IF(COUNTIF(코드설정!$G$5:$G$14,일일실시사항!$F348)=0,"업무구분 누락; ","")&amp;IF(AND(일일실시사항!$G348&lt;&gt;"",COUNTIF(사건마스터!$A$5:$A$64,일일실시사항!$G348)=0),"미등록 사건번호; ","")&amp;IF(일일실시사항!$H348="","실시 내용 없음; ","")&amp;IF(COUNTIF(코드설정!$F$5:$F$7,일일실시사항!$J348)=0,"진행상태 누락; ","")))</f>
        <v/>
      </c>
    </row>
    <row r="1381">
      <c r="A1381" s="26" t="inlineStr">
        <is>
          <t>일일실시사항</t>
        </is>
      </c>
      <c r="B1381" s="66" t="n">
        <v>349</v>
      </c>
      <c r="C1381" s="122">
        <f>IF($D1381="","",IFERROR(TEXT(일일실시사항!$B349,"yyyy-mm-dd"),"(날짜없음)")&amp;"  "&amp;일일실시사항!$D349&amp;"  "&amp;일일실시사항!$H349)</f>
        <v/>
      </c>
      <c r="D1381" s="122">
        <f>IF(NOT(COUNTBLANK(일일실시사항!$B349:$K349)&lt;10),"",TRIM(IF(일일실시사항!$B349="","일자 누락; ","")&amp;IF(COUNTIF(코드설정!$C$5:$C$24,일일실시사항!$D349)=0,"담당자 누락; ","")&amp;IF(COUNTIF(코드설정!$G$5:$G$14,일일실시사항!$F349)=0,"업무구분 누락; ","")&amp;IF(AND(일일실시사항!$G349&lt;&gt;"",COUNTIF(사건마스터!$A$5:$A$64,일일실시사항!$G349)=0),"미등록 사건번호; ","")&amp;IF(일일실시사항!$H349="","실시 내용 없음; ","")&amp;IF(COUNTIF(코드설정!$F$5:$F$7,일일실시사항!$J349)=0,"진행상태 누락; ","")))</f>
        <v/>
      </c>
    </row>
    <row r="1382">
      <c r="A1382" s="26" t="inlineStr">
        <is>
          <t>일일실시사항</t>
        </is>
      </c>
      <c r="B1382" s="66" t="n">
        <v>350</v>
      </c>
      <c r="C1382" s="122">
        <f>IF($D1382="","",IFERROR(TEXT(일일실시사항!$B350,"yyyy-mm-dd"),"(날짜없음)")&amp;"  "&amp;일일실시사항!$D350&amp;"  "&amp;일일실시사항!$H350)</f>
        <v/>
      </c>
      <c r="D1382" s="122">
        <f>IF(NOT(COUNTBLANK(일일실시사항!$B350:$K350)&lt;10),"",TRIM(IF(일일실시사항!$B350="","일자 누락; ","")&amp;IF(COUNTIF(코드설정!$C$5:$C$24,일일실시사항!$D350)=0,"담당자 누락; ","")&amp;IF(COUNTIF(코드설정!$G$5:$G$14,일일실시사항!$F350)=0,"업무구분 누락; ","")&amp;IF(AND(일일실시사항!$G350&lt;&gt;"",COUNTIF(사건마스터!$A$5:$A$64,일일실시사항!$G350)=0),"미등록 사건번호; ","")&amp;IF(일일실시사항!$H350="","실시 내용 없음; ","")&amp;IF(COUNTIF(코드설정!$F$5:$F$7,일일실시사항!$J350)=0,"진행상태 누락; ","")))</f>
        <v/>
      </c>
    </row>
    <row r="1383">
      <c r="A1383" s="26" t="inlineStr">
        <is>
          <t>일일실시사항</t>
        </is>
      </c>
      <c r="B1383" s="66" t="n">
        <v>351</v>
      </c>
      <c r="C1383" s="122">
        <f>IF($D1383="","",IFERROR(TEXT(일일실시사항!$B351,"yyyy-mm-dd"),"(날짜없음)")&amp;"  "&amp;일일실시사항!$D351&amp;"  "&amp;일일실시사항!$H351)</f>
        <v/>
      </c>
      <c r="D1383" s="122">
        <f>IF(NOT(COUNTBLANK(일일실시사항!$B351:$K351)&lt;10),"",TRIM(IF(일일실시사항!$B351="","일자 누락; ","")&amp;IF(COUNTIF(코드설정!$C$5:$C$24,일일실시사항!$D351)=0,"담당자 누락; ","")&amp;IF(COUNTIF(코드설정!$G$5:$G$14,일일실시사항!$F351)=0,"업무구분 누락; ","")&amp;IF(AND(일일실시사항!$G351&lt;&gt;"",COUNTIF(사건마스터!$A$5:$A$64,일일실시사항!$G351)=0),"미등록 사건번호; ","")&amp;IF(일일실시사항!$H351="","실시 내용 없음; ","")&amp;IF(COUNTIF(코드설정!$F$5:$F$7,일일실시사항!$J351)=0,"진행상태 누락; ","")))</f>
        <v/>
      </c>
    </row>
    <row r="1384">
      <c r="A1384" s="26" t="inlineStr">
        <is>
          <t>일일실시사항</t>
        </is>
      </c>
      <c r="B1384" s="66" t="n">
        <v>352</v>
      </c>
      <c r="C1384" s="122">
        <f>IF($D1384="","",IFERROR(TEXT(일일실시사항!$B352,"yyyy-mm-dd"),"(날짜없음)")&amp;"  "&amp;일일실시사항!$D352&amp;"  "&amp;일일실시사항!$H352)</f>
        <v/>
      </c>
      <c r="D1384" s="122">
        <f>IF(NOT(COUNTBLANK(일일실시사항!$B352:$K352)&lt;10),"",TRIM(IF(일일실시사항!$B352="","일자 누락; ","")&amp;IF(COUNTIF(코드설정!$C$5:$C$24,일일실시사항!$D352)=0,"담당자 누락; ","")&amp;IF(COUNTIF(코드설정!$G$5:$G$14,일일실시사항!$F352)=0,"업무구분 누락; ","")&amp;IF(AND(일일실시사항!$G352&lt;&gt;"",COUNTIF(사건마스터!$A$5:$A$64,일일실시사항!$G352)=0),"미등록 사건번호; ","")&amp;IF(일일실시사항!$H352="","실시 내용 없음; ","")&amp;IF(COUNTIF(코드설정!$F$5:$F$7,일일실시사항!$J352)=0,"진행상태 누락; ","")))</f>
        <v/>
      </c>
    </row>
    <row r="1385">
      <c r="A1385" s="26" t="inlineStr">
        <is>
          <t>일일실시사항</t>
        </is>
      </c>
      <c r="B1385" s="66" t="n">
        <v>353</v>
      </c>
      <c r="C1385" s="122">
        <f>IF($D1385="","",IFERROR(TEXT(일일실시사항!$B353,"yyyy-mm-dd"),"(날짜없음)")&amp;"  "&amp;일일실시사항!$D353&amp;"  "&amp;일일실시사항!$H353)</f>
        <v/>
      </c>
      <c r="D1385" s="122">
        <f>IF(NOT(COUNTBLANK(일일실시사항!$B353:$K353)&lt;10),"",TRIM(IF(일일실시사항!$B353="","일자 누락; ","")&amp;IF(COUNTIF(코드설정!$C$5:$C$24,일일실시사항!$D353)=0,"담당자 누락; ","")&amp;IF(COUNTIF(코드설정!$G$5:$G$14,일일실시사항!$F353)=0,"업무구분 누락; ","")&amp;IF(AND(일일실시사항!$G353&lt;&gt;"",COUNTIF(사건마스터!$A$5:$A$64,일일실시사항!$G353)=0),"미등록 사건번호; ","")&amp;IF(일일실시사항!$H353="","실시 내용 없음; ","")&amp;IF(COUNTIF(코드설정!$F$5:$F$7,일일실시사항!$J353)=0,"진행상태 누락; ","")))</f>
        <v/>
      </c>
    </row>
    <row r="1386">
      <c r="A1386" s="26" t="inlineStr">
        <is>
          <t>일일실시사항</t>
        </is>
      </c>
      <c r="B1386" s="66" t="n">
        <v>354</v>
      </c>
      <c r="C1386" s="122">
        <f>IF($D1386="","",IFERROR(TEXT(일일실시사항!$B354,"yyyy-mm-dd"),"(날짜없음)")&amp;"  "&amp;일일실시사항!$D354&amp;"  "&amp;일일실시사항!$H354)</f>
        <v/>
      </c>
      <c r="D1386" s="122">
        <f>IF(NOT(COUNTBLANK(일일실시사항!$B354:$K354)&lt;10),"",TRIM(IF(일일실시사항!$B354="","일자 누락; ","")&amp;IF(COUNTIF(코드설정!$C$5:$C$24,일일실시사항!$D354)=0,"담당자 누락; ","")&amp;IF(COUNTIF(코드설정!$G$5:$G$14,일일실시사항!$F354)=0,"업무구분 누락; ","")&amp;IF(AND(일일실시사항!$G354&lt;&gt;"",COUNTIF(사건마스터!$A$5:$A$64,일일실시사항!$G354)=0),"미등록 사건번호; ","")&amp;IF(일일실시사항!$H354="","실시 내용 없음; ","")&amp;IF(COUNTIF(코드설정!$F$5:$F$7,일일실시사항!$J354)=0,"진행상태 누락; ","")))</f>
        <v/>
      </c>
    </row>
    <row r="1387">
      <c r="A1387" s="26" t="inlineStr">
        <is>
          <t>일일실시사항</t>
        </is>
      </c>
      <c r="B1387" s="66" t="n">
        <v>355</v>
      </c>
      <c r="C1387" s="122">
        <f>IF($D1387="","",IFERROR(TEXT(일일실시사항!$B355,"yyyy-mm-dd"),"(날짜없음)")&amp;"  "&amp;일일실시사항!$D355&amp;"  "&amp;일일실시사항!$H355)</f>
        <v/>
      </c>
      <c r="D1387" s="122">
        <f>IF(NOT(COUNTBLANK(일일실시사항!$B355:$K355)&lt;10),"",TRIM(IF(일일실시사항!$B355="","일자 누락; ","")&amp;IF(COUNTIF(코드설정!$C$5:$C$24,일일실시사항!$D355)=0,"담당자 누락; ","")&amp;IF(COUNTIF(코드설정!$G$5:$G$14,일일실시사항!$F355)=0,"업무구분 누락; ","")&amp;IF(AND(일일실시사항!$G355&lt;&gt;"",COUNTIF(사건마스터!$A$5:$A$64,일일실시사항!$G355)=0),"미등록 사건번호; ","")&amp;IF(일일실시사항!$H355="","실시 내용 없음; ","")&amp;IF(COUNTIF(코드설정!$F$5:$F$7,일일실시사항!$J355)=0,"진행상태 누락; ","")))</f>
        <v/>
      </c>
    </row>
    <row r="1388">
      <c r="A1388" s="26" t="inlineStr">
        <is>
          <t>일일실시사항</t>
        </is>
      </c>
      <c r="B1388" s="66" t="n">
        <v>356</v>
      </c>
      <c r="C1388" s="122">
        <f>IF($D1388="","",IFERROR(TEXT(일일실시사항!$B356,"yyyy-mm-dd"),"(날짜없음)")&amp;"  "&amp;일일실시사항!$D356&amp;"  "&amp;일일실시사항!$H356)</f>
        <v/>
      </c>
      <c r="D1388" s="122">
        <f>IF(NOT(COUNTBLANK(일일실시사항!$B356:$K356)&lt;10),"",TRIM(IF(일일실시사항!$B356="","일자 누락; ","")&amp;IF(COUNTIF(코드설정!$C$5:$C$24,일일실시사항!$D356)=0,"담당자 누락; ","")&amp;IF(COUNTIF(코드설정!$G$5:$G$14,일일실시사항!$F356)=0,"업무구분 누락; ","")&amp;IF(AND(일일실시사항!$G356&lt;&gt;"",COUNTIF(사건마스터!$A$5:$A$64,일일실시사항!$G356)=0),"미등록 사건번호; ","")&amp;IF(일일실시사항!$H356="","실시 내용 없음; ","")&amp;IF(COUNTIF(코드설정!$F$5:$F$7,일일실시사항!$J356)=0,"진행상태 누락; ","")))</f>
        <v/>
      </c>
    </row>
    <row r="1389">
      <c r="A1389" s="26" t="inlineStr">
        <is>
          <t>일일실시사항</t>
        </is>
      </c>
      <c r="B1389" s="66" t="n">
        <v>357</v>
      </c>
      <c r="C1389" s="122">
        <f>IF($D1389="","",IFERROR(TEXT(일일실시사항!$B357,"yyyy-mm-dd"),"(날짜없음)")&amp;"  "&amp;일일실시사항!$D357&amp;"  "&amp;일일실시사항!$H357)</f>
        <v/>
      </c>
      <c r="D1389" s="122">
        <f>IF(NOT(COUNTBLANK(일일실시사항!$B357:$K357)&lt;10),"",TRIM(IF(일일실시사항!$B357="","일자 누락; ","")&amp;IF(COUNTIF(코드설정!$C$5:$C$24,일일실시사항!$D357)=0,"담당자 누락; ","")&amp;IF(COUNTIF(코드설정!$G$5:$G$14,일일실시사항!$F357)=0,"업무구분 누락; ","")&amp;IF(AND(일일실시사항!$G357&lt;&gt;"",COUNTIF(사건마스터!$A$5:$A$64,일일실시사항!$G357)=0),"미등록 사건번호; ","")&amp;IF(일일실시사항!$H357="","실시 내용 없음; ","")&amp;IF(COUNTIF(코드설정!$F$5:$F$7,일일실시사항!$J357)=0,"진행상태 누락; ","")))</f>
        <v/>
      </c>
    </row>
    <row r="1390">
      <c r="A1390" s="26" t="inlineStr">
        <is>
          <t>일일실시사항</t>
        </is>
      </c>
      <c r="B1390" s="66" t="n">
        <v>358</v>
      </c>
      <c r="C1390" s="122">
        <f>IF($D1390="","",IFERROR(TEXT(일일실시사항!$B358,"yyyy-mm-dd"),"(날짜없음)")&amp;"  "&amp;일일실시사항!$D358&amp;"  "&amp;일일실시사항!$H358)</f>
        <v/>
      </c>
      <c r="D1390" s="122">
        <f>IF(NOT(COUNTBLANK(일일실시사항!$B358:$K358)&lt;10),"",TRIM(IF(일일실시사항!$B358="","일자 누락; ","")&amp;IF(COUNTIF(코드설정!$C$5:$C$24,일일실시사항!$D358)=0,"담당자 누락; ","")&amp;IF(COUNTIF(코드설정!$G$5:$G$14,일일실시사항!$F358)=0,"업무구분 누락; ","")&amp;IF(AND(일일실시사항!$G358&lt;&gt;"",COUNTIF(사건마스터!$A$5:$A$64,일일실시사항!$G358)=0),"미등록 사건번호; ","")&amp;IF(일일실시사항!$H358="","실시 내용 없음; ","")&amp;IF(COUNTIF(코드설정!$F$5:$F$7,일일실시사항!$J358)=0,"진행상태 누락; ","")))</f>
        <v/>
      </c>
    </row>
    <row r="1391">
      <c r="A1391" s="26" t="inlineStr">
        <is>
          <t>일일실시사항</t>
        </is>
      </c>
      <c r="B1391" s="66" t="n">
        <v>359</v>
      </c>
      <c r="C1391" s="122">
        <f>IF($D1391="","",IFERROR(TEXT(일일실시사항!$B359,"yyyy-mm-dd"),"(날짜없음)")&amp;"  "&amp;일일실시사항!$D359&amp;"  "&amp;일일실시사항!$H359)</f>
        <v/>
      </c>
      <c r="D1391" s="122">
        <f>IF(NOT(COUNTBLANK(일일실시사항!$B359:$K359)&lt;10),"",TRIM(IF(일일실시사항!$B359="","일자 누락; ","")&amp;IF(COUNTIF(코드설정!$C$5:$C$24,일일실시사항!$D359)=0,"담당자 누락; ","")&amp;IF(COUNTIF(코드설정!$G$5:$G$14,일일실시사항!$F359)=0,"업무구분 누락; ","")&amp;IF(AND(일일실시사항!$G359&lt;&gt;"",COUNTIF(사건마스터!$A$5:$A$64,일일실시사항!$G359)=0),"미등록 사건번호; ","")&amp;IF(일일실시사항!$H359="","실시 내용 없음; ","")&amp;IF(COUNTIF(코드설정!$F$5:$F$7,일일실시사항!$J359)=0,"진행상태 누락; ","")))</f>
        <v/>
      </c>
    </row>
    <row r="1392">
      <c r="A1392" s="26" t="inlineStr">
        <is>
          <t>일일실시사항</t>
        </is>
      </c>
      <c r="B1392" s="66" t="n">
        <v>360</v>
      </c>
      <c r="C1392" s="122">
        <f>IF($D1392="","",IFERROR(TEXT(일일실시사항!$B360,"yyyy-mm-dd"),"(날짜없음)")&amp;"  "&amp;일일실시사항!$D360&amp;"  "&amp;일일실시사항!$H360)</f>
        <v/>
      </c>
      <c r="D1392" s="122">
        <f>IF(NOT(COUNTBLANK(일일실시사항!$B360:$K360)&lt;10),"",TRIM(IF(일일실시사항!$B360="","일자 누락; ","")&amp;IF(COUNTIF(코드설정!$C$5:$C$24,일일실시사항!$D360)=0,"담당자 누락; ","")&amp;IF(COUNTIF(코드설정!$G$5:$G$14,일일실시사항!$F360)=0,"업무구분 누락; ","")&amp;IF(AND(일일실시사항!$G360&lt;&gt;"",COUNTIF(사건마스터!$A$5:$A$64,일일실시사항!$G360)=0),"미등록 사건번호; ","")&amp;IF(일일실시사항!$H360="","실시 내용 없음; ","")&amp;IF(COUNTIF(코드설정!$F$5:$F$7,일일실시사항!$J360)=0,"진행상태 누락; ","")))</f>
        <v/>
      </c>
    </row>
    <row r="1393">
      <c r="A1393" s="26" t="inlineStr">
        <is>
          <t>일일실시사항</t>
        </is>
      </c>
      <c r="B1393" s="66" t="n">
        <v>361</v>
      </c>
      <c r="C1393" s="122">
        <f>IF($D1393="","",IFERROR(TEXT(일일실시사항!$B361,"yyyy-mm-dd"),"(날짜없음)")&amp;"  "&amp;일일실시사항!$D361&amp;"  "&amp;일일실시사항!$H361)</f>
        <v/>
      </c>
      <c r="D1393" s="122">
        <f>IF(NOT(COUNTBLANK(일일실시사항!$B361:$K361)&lt;10),"",TRIM(IF(일일실시사항!$B361="","일자 누락; ","")&amp;IF(COUNTIF(코드설정!$C$5:$C$24,일일실시사항!$D361)=0,"담당자 누락; ","")&amp;IF(COUNTIF(코드설정!$G$5:$G$14,일일실시사항!$F361)=0,"업무구분 누락; ","")&amp;IF(AND(일일실시사항!$G361&lt;&gt;"",COUNTIF(사건마스터!$A$5:$A$64,일일실시사항!$G361)=0),"미등록 사건번호; ","")&amp;IF(일일실시사항!$H361="","실시 내용 없음; ","")&amp;IF(COUNTIF(코드설정!$F$5:$F$7,일일실시사항!$J361)=0,"진행상태 누락; ","")))</f>
        <v/>
      </c>
    </row>
    <row r="1394">
      <c r="A1394" s="26" t="inlineStr">
        <is>
          <t>일일실시사항</t>
        </is>
      </c>
      <c r="B1394" s="66" t="n">
        <v>362</v>
      </c>
      <c r="C1394" s="122">
        <f>IF($D1394="","",IFERROR(TEXT(일일실시사항!$B362,"yyyy-mm-dd"),"(날짜없음)")&amp;"  "&amp;일일실시사항!$D362&amp;"  "&amp;일일실시사항!$H362)</f>
        <v/>
      </c>
      <c r="D1394" s="122">
        <f>IF(NOT(COUNTBLANK(일일실시사항!$B362:$K362)&lt;10),"",TRIM(IF(일일실시사항!$B362="","일자 누락; ","")&amp;IF(COUNTIF(코드설정!$C$5:$C$24,일일실시사항!$D362)=0,"담당자 누락; ","")&amp;IF(COUNTIF(코드설정!$G$5:$G$14,일일실시사항!$F362)=0,"업무구분 누락; ","")&amp;IF(AND(일일실시사항!$G362&lt;&gt;"",COUNTIF(사건마스터!$A$5:$A$64,일일실시사항!$G362)=0),"미등록 사건번호; ","")&amp;IF(일일실시사항!$H362="","실시 내용 없음; ","")&amp;IF(COUNTIF(코드설정!$F$5:$F$7,일일실시사항!$J362)=0,"진행상태 누락; ","")))</f>
        <v/>
      </c>
    </row>
    <row r="1395">
      <c r="A1395" s="26" t="inlineStr">
        <is>
          <t>일일실시사항</t>
        </is>
      </c>
      <c r="B1395" s="66" t="n">
        <v>363</v>
      </c>
      <c r="C1395" s="122">
        <f>IF($D1395="","",IFERROR(TEXT(일일실시사항!$B363,"yyyy-mm-dd"),"(날짜없음)")&amp;"  "&amp;일일실시사항!$D363&amp;"  "&amp;일일실시사항!$H363)</f>
        <v/>
      </c>
      <c r="D1395" s="122">
        <f>IF(NOT(COUNTBLANK(일일실시사항!$B363:$K363)&lt;10),"",TRIM(IF(일일실시사항!$B363="","일자 누락; ","")&amp;IF(COUNTIF(코드설정!$C$5:$C$24,일일실시사항!$D363)=0,"담당자 누락; ","")&amp;IF(COUNTIF(코드설정!$G$5:$G$14,일일실시사항!$F363)=0,"업무구분 누락; ","")&amp;IF(AND(일일실시사항!$G363&lt;&gt;"",COUNTIF(사건마스터!$A$5:$A$64,일일실시사항!$G363)=0),"미등록 사건번호; ","")&amp;IF(일일실시사항!$H363="","실시 내용 없음; ","")&amp;IF(COUNTIF(코드설정!$F$5:$F$7,일일실시사항!$J363)=0,"진행상태 누락; ","")))</f>
        <v/>
      </c>
    </row>
    <row r="1396">
      <c r="A1396" s="26" t="inlineStr">
        <is>
          <t>일일실시사항</t>
        </is>
      </c>
      <c r="B1396" s="66" t="n">
        <v>364</v>
      </c>
      <c r="C1396" s="122">
        <f>IF($D1396="","",IFERROR(TEXT(일일실시사항!$B364,"yyyy-mm-dd"),"(날짜없음)")&amp;"  "&amp;일일실시사항!$D364&amp;"  "&amp;일일실시사항!$H364)</f>
        <v/>
      </c>
      <c r="D1396" s="122">
        <f>IF(NOT(COUNTBLANK(일일실시사항!$B364:$K364)&lt;10),"",TRIM(IF(일일실시사항!$B364="","일자 누락; ","")&amp;IF(COUNTIF(코드설정!$C$5:$C$24,일일실시사항!$D364)=0,"담당자 누락; ","")&amp;IF(COUNTIF(코드설정!$G$5:$G$14,일일실시사항!$F364)=0,"업무구분 누락; ","")&amp;IF(AND(일일실시사항!$G364&lt;&gt;"",COUNTIF(사건마스터!$A$5:$A$64,일일실시사항!$G364)=0),"미등록 사건번호; ","")&amp;IF(일일실시사항!$H364="","실시 내용 없음; ","")&amp;IF(COUNTIF(코드설정!$F$5:$F$7,일일실시사항!$J364)=0,"진행상태 누락; ","")))</f>
        <v/>
      </c>
    </row>
    <row r="1397">
      <c r="A1397" s="26" t="inlineStr">
        <is>
          <t>일일실시사항</t>
        </is>
      </c>
      <c r="B1397" s="66" t="n">
        <v>365</v>
      </c>
      <c r="C1397" s="122">
        <f>IF($D1397="","",IFERROR(TEXT(일일실시사항!$B365,"yyyy-mm-dd"),"(날짜없음)")&amp;"  "&amp;일일실시사항!$D365&amp;"  "&amp;일일실시사항!$H365)</f>
        <v/>
      </c>
      <c r="D1397" s="122">
        <f>IF(NOT(COUNTBLANK(일일실시사항!$B365:$K365)&lt;10),"",TRIM(IF(일일실시사항!$B365="","일자 누락; ","")&amp;IF(COUNTIF(코드설정!$C$5:$C$24,일일실시사항!$D365)=0,"담당자 누락; ","")&amp;IF(COUNTIF(코드설정!$G$5:$G$14,일일실시사항!$F365)=0,"업무구분 누락; ","")&amp;IF(AND(일일실시사항!$G365&lt;&gt;"",COUNTIF(사건마스터!$A$5:$A$64,일일실시사항!$G365)=0),"미등록 사건번호; ","")&amp;IF(일일실시사항!$H365="","실시 내용 없음; ","")&amp;IF(COUNTIF(코드설정!$F$5:$F$7,일일실시사항!$J365)=0,"진행상태 누락; ","")))</f>
        <v/>
      </c>
    </row>
    <row r="1398">
      <c r="A1398" s="26" t="inlineStr">
        <is>
          <t>일일실시사항</t>
        </is>
      </c>
      <c r="B1398" s="66" t="n">
        <v>366</v>
      </c>
      <c r="C1398" s="122">
        <f>IF($D1398="","",IFERROR(TEXT(일일실시사항!$B366,"yyyy-mm-dd"),"(날짜없음)")&amp;"  "&amp;일일실시사항!$D366&amp;"  "&amp;일일실시사항!$H366)</f>
        <v/>
      </c>
      <c r="D1398" s="122">
        <f>IF(NOT(COUNTBLANK(일일실시사항!$B366:$K366)&lt;10),"",TRIM(IF(일일실시사항!$B366="","일자 누락; ","")&amp;IF(COUNTIF(코드설정!$C$5:$C$24,일일실시사항!$D366)=0,"담당자 누락; ","")&amp;IF(COUNTIF(코드설정!$G$5:$G$14,일일실시사항!$F366)=0,"업무구분 누락; ","")&amp;IF(AND(일일실시사항!$G366&lt;&gt;"",COUNTIF(사건마스터!$A$5:$A$64,일일실시사항!$G366)=0),"미등록 사건번호; ","")&amp;IF(일일실시사항!$H366="","실시 내용 없음; ","")&amp;IF(COUNTIF(코드설정!$F$5:$F$7,일일실시사항!$J366)=0,"진행상태 누락; ","")))</f>
        <v/>
      </c>
    </row>
    <row r="1399">
      <c r="A1399" s="26" t="inlineStr">
        <is>
          <t>일일실시사항</t>
        </is>
      </c>
      <c r="B1399" s="66" t="n">
        <v>367</v>
      </c>
      <c r="C1399" s="122">
        <f>IF($D1399="","",IFERROR(TEXT(일일실시사항!$B367,"yyyy-mm-dd"),"(날짜없음)")&amp;"  "&amp;일일실시사항!$D367&amp;"  "&amp;일일실시사항!$H367)</f>
        <v/>
      </c>
      <c r="D1399" s="122">
        <f>IF(NOT(COUNTBLANK(일일실시사항!$B367:$K367)&lt;10),"",TRIM(IF(일일실시사항!$B367="","일자 누락; ","")&amp;IF(COUNTIF(코드설정!$C$5:$C$24,일일실시사항!$D367)=0,"담당자 누락; ","")&amp;IF(COUNTIF(코드설정!$G$5:$G$14,일일실시사항!$F367)=0,"업무구분 누락; ","")&amp;IF(AND(일일실시사항!$G367&lt;&gt;"",COUNTIF(사건마스터!$A$5:$A$64,일일실시사항!$G367)=0),"미등록 사건번호; ","")&amp;IF(일일실시사항!$H367="","실시 내용 없음; ","")&amp;IF(COUNTIF(코드설정!$F$5:$F$7,일일실시사항!$J367)=0,"진행상태 누락; ","")))</f>
        <v/>
      </c>
    </row>
    <row r="1400">
      <c r="A1400" s="26" t="inlineStr">
        <is>
          <t>일일실시사항</t>
        </is>
      </c>
      <c r="B1400" s="66" t="n">
        <v>368</v>
      </c>
      <c r="C1400" s="122">
        <f>IF($D1400="","",IFERROR(TEXT(일일실시사항!$B368,"yyyy-mm-dd"),"(날짜없음)")&amp;"  "&amp;일일실시사항!$D368&amp;"  "&amp;일일실시사항!$H368)</f>
        <v/>
      </c>
      <c r="D1400" s="122">
        <f>IF(NOT(COUNTBLANK(일일실시사항!$B368:$K368)&lt;10),"",TRIM(IF(일일실시사항!$B368="","일자 누락; ","")&amp;IF(COUNTIF(코드설정!$C$5:$C$24,일일실시사항!$D368)=0,"담당자 누락; ","")&amp;IF(COUNTIF(코드설정!$G$5:$G$14,일일실시사항!$F368)=0,"업무구분 누락; ","")&amp;IF(AND(일일실시사항!$G368&lt;&gt;"",COUNTIF(사건마스터!$A$5:$A$64,일일실시사항!$G368)=0),"미등록 사건번호; ","")&amp;IF(일일실시사항!$H368="","실시 내용 없음; ","")&amp;IF(COUNTIF(코드설정!$F$5:$F$7,일일실시사항!$J368)=0,"진행상태 누락; ","")))</f>
        <v/>
      </c>
    </row>
    <row r="1401">
      <c r="A1401" s="26" t="inlineStr">
        <is>
          <t>일일실시사항</t>
        </is>
      </c>
      <c r="B1401" s="66" t="n">
        <v>369</v>
      </c>
      <c r="C1401" s="122">
        <f>IF($D1401="","",IFERROR(TEXT(일일실시사항!$B369,"yyyy-mm-dd"),"(날짜없음)")&amp;"  "&amp;일일실시사항!$D369&amp;"  "&amp;일일실시사항!$H369)</f>
        <v/>
      </c>
      <c r="D1401" s="122">
        <f>IF(NOT(COUNTBLANK(일일실시사항!$B369:$K369)&lt;10),"",TRIM(IF(일일실시사항!$B369="","일자 누락; ","")&amp;IF(COUNTIF(코드설정!$C$5:$C$24,일일실시사항!$D369)=0,"담당자 누락; ","")&amp;IF(COUNTIF(코드설정!$G$5:$G$14,일일실시사항!$F369)=0,"업무구분 누락; ","")&amp;IF(AND(일일실시사항!$G369&lt;&gt;"",COUNTIF(사건마스터!$A$5:$A$64,일일실시사항!$G369)=0),"미등록 사건번호; ","")&amp;IF(일일실시사항!$H369="","실시 내용 없음; ","")&amp;IF(COUNTIF(코드설정!$F$5:$F$7,일일실시사항!$J369)=0,"진행상태 누락; ","")))</f>
        <v/>
      </c>
    </row>
    <row r="1402">
      <c r="A1402" s="26" t="inlineStr">
        <is>
          <t>일일실시사항</t>
        </is>
      </c>
      <c r="B1402" s="66" t="n">
        <v>370</v>
      </c>
      <c r="C1402" s="122">
        <f>IF($D1402="","",IFERROR(TEXT(일일실시사항!$B370,"yyyy-mm-dd"),"(날짜없음)")&amp;"  "&amp;일일실시사항!$D370&amp;"  "&amp;일일실시사항!$H370)</f>
        <v/>
      </c>
      <c r="D1402" s="122">
        <f>IF(NOT(COUNTBLANK(일일실시사항!$B370:$K370)&lt;10),"",TRIM(IF(일일실시사항!$B370="","일자 누락; ","")&amp;IF(COUNTIF(코드설정!$C$5:$C$24,일일실시사항!$D370)=0,"담당자 누락; ","")&amp;IF(COUNTIF(코드설정!$G$5:$G$14,일일실시사항!$F370)=0,"업무구분 누락; ","")&amp;IF(AND(일일실시사항!$G370&lt;&gt;"",COUNTIF(사건마스터!$A$5:$A$64,일일실시사항!$G370)=0),"미등록 사건번호; ","")&amp;IF(일일실시사항!$H370="","실시 내용 없음; ","")&amp;IF(COUNTIF(코드설정!$F$5:$F$7,일일실시사항!$J370)=0,"진행상태 누락; ","")))</f>
        <v/>
      </c>
    </row>
    <row r="1403">
      <c r="A1403" s="26" t="inlineStr">
        <is>
          <t>일일실시사항</t>
        </is>
      </c>
      <c r="B1403" s="66" t="n">
        <v>371</v>
      </c>
      <c r="C1403" s="122">
        <f>IF($D1403="","",IFERROR(TEXT(일일실시사항!$B371,"yyyy-mm-dd"),"(날짜없음)")&amp;"  "&amp;일일실시사항!$D371&amp;"  "&amp;일일실시사항!$H371)</f>
        <v/>
      </c>
      <c r="D1403" s="122">
        <f>IF(NOT(COUNTBLANK(일일실시사항!$B371:$K371)&lt;10),"",TRIM(IF(일일실시사항!$B371="","일자 누락; ","")&amp;IF(COUNTIF(코드설정!$C$5:$C$24,일일실시사항!$D371)=0,"담당자 누락; ","")&amp;IF(COUNTIF(코드설정!$G$5:$G$14,일일실시사항!$F371)=0,"업무구분 누락; ","")&amp;IF(AND(일일실시사항!$G371&lt;&gt;"",COUNTIF(사건마스터!$A$5:$A$64,일일실시사항!$G371)=0),"미등록 사건번호; ","")&amp;IF(일일실시사항!$H371="","실시 내용 없음; ","")&amp;IF(COUNTIF(코드설정!$F$5:$F$7,일일실시사항!$J371)=0,"진행상태 누락; ","")))</f>
        <v/>
      </c>
    </row>
    <row r="1404">
      <c r="A1404" s="26" t="inlineStr">
        <is>
          <t>일일실시사항</t>
        </is>
      </c>
      <c r="B1404" s="66" t="n">
        <v>372</v>
      </c>
      <c r="C1404" s="122">
        <f>IF($D1404="","",IFERROR(TEXT(일일실시사항!$B372,"yyyy-mm-dd"),"(날짜없음)")&amp;"  "&amp;일일실시사항!$D372&amp;"  "&amp;일일실시사항!$H372)</f>
        <v/>
      </c>
      <c r="D1404" s="122">
        <f>IF(NOT(COUNTBLANK(일일실시사항!$B372:$K372)&lt;10),"",TRIM(IF(일일실시사항!$B372="","일자 누락; ","")&amp;IF(COUNTIF(코드설정!$C$5:$C$24,일일실시사항!$D372)=0,"담당자 누락; ","")&amp;IF(COUNTIF(코드설정!$G$5:$G$14,일일실시사항!$F372)=0,"업무구분 누락; ","")&amp;IF(AND(일일실시사항!$G372&lt;&gt;"",COUNTIF(사건마스터!$A$5:$A$64,일일실시사항!$G372)=0),"미등록 사건번호; ","")&amp;IF(일일실시사항!$H372="","실시 내용 없음; ","")&amp;IF(COUNTIF(코드설정!$F$5:$F$7,일일실시사항!$J372)=0,"진행상태 누락; ","")))</f>
        <v/>
      </c>
    </row>
    <row r="1405">
      <c r="A1405" s="26" t="inlineStr">
        <is>
          <t>일일실시사항</t>
        </is>
      </c>
      <c r="B1405" s="66" t="n">
        <v>373</v>
      </c>
      <c r="C1405" s="122">
        <f>IF($D1405="","",IFERROR(TEXT(일일실시사항!$B373,"yyyy-mm-dd"),"(날짜없음)")&amp;"  "&amp;일일실시사항!$D373&amp;"  "&amp;일일실시사항!$H373)</f>
        <v/>
      </c>
      <c r="D1405" s="122">
        <f>IF(NOT(COUNTBLANK(일일실시사항!$B373:$K373)&lt;10),"",TRIM(IF(일일실시사항!$B373="","일자 누락; ","")&amp;IF(COUNTIF(코드설정!$C$5:$C$24,일일실시사항!$D373)=0,"담당자 누락; ","")&amp;IF(COUNTIF(코드설정!$G$5:$G$14,일일실시사항!$F373)=0,"업무구분 누락; ","")&amp;IF(AND(일일실시사항!$G373&lt;&gt;"",COUNTIF(사건마스터!$A$5:$A$64,일일실시사항!$G373)=0),"미등록 사건번호; ","")&amp;IF(일일실시사항!$H373="","실시 내용 없음; ","")&amp;IF(COUNTIF(코드설정!$F$5:$F$7,일일실시사항!$J373)=0,"진행상태 누락; ","")))</f>
        <v/>
      </c>
    </row>
    <row r="1406">
      <c r="A1406" s="26" t="inlineStr">
        <is>
          <t>일일실시사항</t>
        </is>
      </c>
      <c r="B1406" s="66" t="n">
        <v>374</v>
      </c>
      <c r="C1406" s="122">
        <f>IF($D1406="","",IFERROR(TEXT(일일실시사항!$B374,"yyyy-mm-dd"),"(날짜없음)")&amp;"  "&amp;일일실시사항!$D374&amp;"  "&amp;일일실시사항!$H374)</f>
        <v/>
      </c>
      <c r="D1406" s="122">
        <f>IF(NOT(COUNTBLANK(일일실시사항!$B374:$K374)&lt;10),"",TRIM(IF(일일실시사항!$B374="","일자 누락; ","")&amp;IF(COUNTIF(코드설정!$C$5:$C$24,일일실시사항!$D374)=0,"담당자 누락; ","")&amp;IF(COUNTIF(코드설정!$G$5:$G$14,일일실시사항!$F374)=0,"업무구분 누락; ","")&amp;IF(AND(일일실시사항!$G374&lt;&gt;"",COUNTIF(사건마스터!$A$5:$A$64,일일실시사항!$G374)=0),"미등록 사건번호; ","")&amp;IF(일일실시사항!$H374="","실시 내용 없음; ","")&amp;IF(COUNTIF(코드설정!$F$5:$F$7,일일실시사항!$J374)=0,"진행상태 누락; ","")))</f>
        <v/>
      </c>
    </row>
    <row r="1407">
      <c r="A1407" s="26" t="inlineStr">
        <is>
          <t>일일실시사항</t>
        </is>
      </c>
      <c r="B1407" s="66" t="n">
        <v>375</v>
      </c>
      <c r="C1407" s="122">
        <f>IF($D1407="","",IFERROR(TEXT(일일실시사항!$B375,"yyyy-mm-dd"),"(날짜없음)")&amp;"  "&amp;일일실시사항!$D375&amp;"  "&amp;일일실시사항!$H375)</f>
        <v/>
      </c>
      <c r="D1407" s="122">
        <f>IF(NOT(COUNTBLANK(일일실시사항!$B375:$K375)&lt;10),"",TRIM(IF(일일실시사항!$B375="","일자 누락; ","")&amp;IF(COUNTIF(코드설정!$C$5:$C$24,일일실시사항!$D375)=0,"담당자 누락; ","")&amp;IF(COUNTIF(코드설정!$G$5:$G$14,일일실시사항!$F375)=0,"업무구분 누락; ","")&amp;IF(AND(일일실시사항!$G375&lt;&gt;"",COUNTIF(사건마스터!$A$5:$A$64,일일실시사항!$G375)=0),"미등록 사건번호; ","")&amp;IF(일일실시사항!$H375="","실시 내용 없음; ","")&amp;IF(COUNTIF(코드설정!$F$5:$F$7,일일실시사항!$J375)=0,"진행상태 누락; ","")))</f>
        <v/>
      </c>
    </row>
    <row r="1408">
      <c r="A1408" s="26" t="inlineStr">
        <is>
          <t>일일실시사항</t>
        </is>
      </c>
      <c r="B1408" s="66" t="n">
        <v>376</v>
      </c>
      <c r="C1408" s="122">
        <f>IF($D1408="","",IFERROR(TEXT(일일실시사항!$B376,"yyyy-mm-dd"),"(날짜없음)")&amp;"  "&amp;일일실시사항!$D376&amp;"  "&amp;일일실시사항!$H376)</f>
        <v/>
      </c>
      <c r="D1408" s="122">
        <f>IF(NOT(COUNTBLANK(일일실시사항!$B376:$K376)&lt;10),"",TRIM(IF(일일실시사항!$B376="","일자 누락; ","")&amp;IF(COUNTIF(코드설정!$C$5:$C$24,일일실시사항!$D376)=0,"담당자 누락; ","")&amp;IF(COUNTIF(코드설정!$G$5:$G$14,일일실시사항!$F376)=0,"업무구분 누락; ","")&amp;IF(AND(일일실시사항!$G376&lt;&gt;"",COUNTIF(사건마스터!$A$5:$A$64,일일실시사항!$G376)=0),"미등록 사건번호; ","")&amp;IF(일일실시사항!$H376="","실시 내용 없음; ","")&amp;IF(COUNTIF(코드설정!$F$5:$F$7,일일실시사항!$J376)=0,"진행상태 누락; ","")))</f>
        <v/>
      </c>
    </row>
    <row r="1409">
      <c r="A1409" s="26" t="inlineStr">
        <is>
          <t>일일실시사항</t>
        </is>
      </c>
      <c r="B1409" s="66" t="n">
        <v>377</v>
      </c>
      <c r="C1409" s="122">
        <f>IF($D1409="","",IFERROR(TEXT(일일실시사항!$B377,"yyyy-mm-dd"),"(날짜없음)")&amp;"  "&amp;일일실시사항!$D377&amp;"  "&amp;일일실시사항!$H377)</f>
        <v/>
      </c>
      <c r="D1409" s="122">
        <f>IF(NOT(COUNTBLANK(일일실시사항!$B377:$K377)&lt;10),"",TRIM(IF(일일실시사항!$B377="","일자 누락; ","")&amp;IF(COUNTIF(코드설정!$C$5:$C$24,일일실시사항!$D377)=0,"담당자 누락; ","")&amp;IF(COUNTIF(코드설정!$G$5:$G$14,일일실시사항!$F377)=0,"업무구분 누락; ","")&amp;IF(AND(일일실시사항!$G377&lt;&gt;"",COUNTIF(사건마스터!$A$5:$A$64,일일실시사항!$G377)=0),"미등록 사건번호; ","")&amp;IF(일일실시사항!$H377="","실시 내용 없음; ","")&amp;IF(COUNTIF(코드설정!$F$5:$F$7,일일실시사항!$J377)=0,"진행상태 누락; ","")))</f>
        <v/>
      </c>
    </row>
    <row r="1410">
      <c r="A1410" s="26" t="inlineStr">
        <is>
          <t>일일실시사항</t>
        </is>
      </c>
      <c r="B1410" s="66" t="n">
        <v>378</v>
      </c>
      <c r="C1410" s="122">
        <f>IF($D1410="","",IFERROR(TEXT(일일실시사항!$B378,"yyyy-mm-dd"),"(날짜없음)")&amp;"  "&amp;일일실시사항!$D378&amp;"  "&amp;일일실시사항!$H378)</f>
        <v/>
      </c>
      <c r="D1410" s="122">
        <f>IF(NOT(COUNTBLANK(일일실시사항!$B378:$K378)&lt;10),"",TRIM(IF(일일실시사항!$B378="","일자 누락; ","")&amp;IF(COUNTIF(코드설정!$C$5:$C$24,일일실시사항!$D378)=0,"담당자 누락; ","")&amp;IF(COUNTIF(코드설정!$G$5:$G$14,일일실시사항!$F378)=0,"업무구분 누락; ","")&amp;IF(AND(일일실시사항!$G378&lt;&gt;"",COUNTIF(사건마스터!$A$5:$A$64,일일실시사항!$G378)=0),"미등록 사건번호; ","")&amp;IF(일일실시사항!$H378="","실시 내용 없음; ","")&amp;IF(COUNTIF(코드설정!$F$5:$F$7,일일실시사항!$J378)=0,"진행상태 누락; ","")))</f>
        <v/>
      </c>
    </row>
    <row r="1411">
      <c r="A1411" s="26" t="inlineStr">
        <is>
          <t>일일실시사항</t>
        </is>
      </c>
      <c r="B1411" s="66" t="n">
        <v>379</v>
      </c>
      <c r="C1411" s="122">
        <f>IF($D1411="","",IFERROR(TEXT(일일실시사항!$B379,"yyyy-mm-dd"),"(날짜없음)")&amp;"  "&amp;일일실시사항!$D379&amp;"  "&amp;일일실시사항!$H379)</f>
        <v/>
      </c>
      <c r="D1411" s="122">
        <f>IF(NOT(COUNTBLANK(일일실시사항!$B379:$K379)&lt;10),"",TRIM(IF(일일실시사항!$B379="","일자 누락; ","")&amp;IF(COUNTIF(코드설정!$C$5:$C$24,일일실시사항!$D379)=0,"담당자 누락; ","")&amp;IF(COUNTIF(코드설정!$G$5:$G$14,일일실시사항!$F379)=0,"업무구분 누락; ","")&amp;IF(AND(일일실시사항!$G379&lt;&gt;"",COUNTIF(사건마스터!$A$5:$A$64,일일실시사항!$G379)=0),"미등록 사건번호; ","")&amp;IF(일일실시사항!$H379="","실시 내용 없음; ","")&amp;IF(COUNTIF(코드설정!$F$5:$F$7,일일실시사항!$J379)=0,"진행상태 누락; ","")))</f>
        <v/>
      </c>
    </row>
    <row r="1412">
      <c r="A1412" s="26" t="inlineStr">
        <is>
          <t>일일실시사항</t>
        </is>
      </c>
      <c r="B1412" s="66" t="n">
        <v>380</v>
      </c>
      <c r="C1412" s="122">
        <f>IF($D1412="","",IFERROR(TEXT(일일실시사항!$B380,"yyyy-mm-dd"),"(날짜없음)")&amp;"  "&amp;일일실시사항!$D380&amp;"  "&amp;일일실시사항!$H380)</f>
        <v/>
      </c>
      <c r="D1412" s="122">
        <f>IF(NOT(COUNTBLANK(일일실시사항!$B380:$K380)&lt;10),"",TRIM(IF(일일실시사항!$B380="","일자 누락; ","")&amp;IF(COUNTIF(코드설정!$C$5:$C$24,일일실시사항!$D380)=0,"담당자 누락; ","")&amp;IF(COUNTIF(코드설정!$G$5:$G$14,일일실시사항!$F380)=0,"업무구분 누락; ","")&amp;IF(AND(일일실시사항!$G380&lt;&gt;"",COUNTIF(사건마스터!$A$5:$A$64,일일실시사항!$G380)=0),"미등록 사건번호; ","")&amp;IF(일일실시사항!$H380="","실시 내용 없음; ","")&amp;IF(COUNTIF(코드설정!$F$5:$F$7,일일실시사항!$J380)=0,"진행상태 누락; ","")))</f>
        <v/>
      </c>
    </row>
    <row r="1413">
      <c r="A1413" s="26" t="inlineStr">
        <is>
          <t>일일실시사항</t>
        </is>
      </c>
      <c r="B1413" s="66" t="n">
        <v>381</v>
      </c>
      <c r="C1413" s="122">
        <f>IF($D1413="","",IFERROR(TEXT(일일실시사항!$B381,"yyyy-mm-dd"),"(날짜없음)")&amp;"  "&amp;일일실시사항!$D381&amp;"  "&amp;일일실시사항!$H381)</f>
        <v/>
      </c>
      <c r="D1413" s="122">
        <f>IF(NOT(COUNTBLANK(일일실시사항!$B381:$K381)&lt;10),"",TRIM(IF(일일실시사항!$B381="","일자 누락; ","")&amp;IF(COUNTIF(코드설정!$C$5:$C$24,일일실시사항!$D381)=0,"담당자 누락; ","")&amp;IF(COUNTIF(코드설정!$G$5:$G$14,일일실시사항!$F381)=0,"업무구분 누락; ","")&amp;IF(AND(일일실시사항!$G381&lt;&gt;"",COUNTIF(사건마스터!$A$5:$A$64,일일실시사항!$G381)=0),"미등록 사건번호; ","")&amp;IF(일일실시사항!$H381="","실시 내용 없음; ","")&amp;IF(COUNTIF(코드설정!$F$5:$F$7,일일실시사항!$J381)=0,"진행상태 누락; ","")))</f>
        <v/>
      </c>
    </row>
    <row r="1414">
      <c r="A1414" s="26" t="inlineStr">
        <is>
          <t>일일실시사항</t>
        </is>
      </c>
      <c r="B1414" s="66" t="n">
        <v>382</v>
      </c>
      <c r="C1414" s="122">
        <f>IF($D1414="","",IFERROR(TEXT(일일실시사항!$B382,"yyyy-mm-dd"),"(날짜없음)")&amp;"  "&amp;일일실시사항!$D382&amp;"  "&amp;일일실시사항!$H382)</f>
        <v/>
      </c>
      <c r="D1414" s="122">
        <f>IF(NOT(COUNTBLANK(일일실시사항!$B382:$K382)&lt;10),"",TRIM(IF(일일실시사항!$B382="","일자 누락; ","")&amp;IF(COUNTIF(코드설정!$C$5:$C$24,일일실시사항!$D382)=0,"담당자 누락; ","")&amp;IF(COUNTIF(코드설정!$G$5:$G$14,일일실시사항!$F382)=0,"업무구분 누락; ","")&amp;IF(AND(일일실시사항!$G382&lt;&gt;"",COUNTIF(사건마스터!$A$5:$A$64,일일실시사항!$G382)=0),"미등록 사건번호; ","")&amp;IF(일일실시사항!$H382="","실시 내용 없음; ","")&amp;IF(COUNTIF(코드설정!$F$5:$F$7,일일실시사항!$J382)=0,"진행상태 누락; ","")))</f>
        <v/>
      </c>
    </row>
    <row r="1415">
      <c r="A1415" s="26" t="inlineStr">
        <is>
          <t>일일실시사항</t>
        </is>
      </c>
      <c r="B1415" s="66" t="n">
        <v>383</v>
      </c>
      <c r="C1415" s="122">
        <f>IF($D1415="","",IFERROR(TEXT(일일실시사항!$B383,"yyyy-mm-dd"),"(날짜없음)")&amp;"  "&amp;일일실시사항!$D383&amp;"  "&amp;일일실시사항!$H383)</f>
        <v/>
      </c>
      <c r="D1415" s="122">
        <f>IF(NOT(COUNTBLANK(일일실시사항!$B383:$K383)&lt;10),"",TRIM(IF(일일실시사항!$B383="","일자 누락; ","")&amp;IF(COUNTIF(코드설정!$C$5:$C$24,일일실시사항!$D383)=0,"담당자 누락; ","")&amp;IF(COUNTIF(코드설정!$G$5:$G$14,일일실시사항!$F383)=0,"업무구분 누락; ","")&amp;IF(AND(일일실시사항!$G383&lt;&gt;"",COUNTIF(사건마스터!$A$5:$A$64,일일실시사항!$G383)=0),"미등록 사건번호; ","")&amp;IF(일일실시사항!$H383="","실시 내용 없음; ","")&amp;IF(COUNTIF(코드설정!$F$5:$F$7,일일실시사항!$J383)=0,"진행상태 누락; ","")))</f>
        <v/>
      </c>
    </row>
    <row r="1416">
      <c r="A1416" s="26" t="inlineStr">
        <is>
          <t>일일실시사항</t>
        </is>
      </c>
      <c r="B1416" s="66" t="n">
        <v>384</v>
      </c>
      <c r="C1416" s="122">
        <f>IF($D1416="","",IFERROR(TEXT(일일실시사항!$B384,"yyyy-mm-dd"),"(날짜없음)")&amp;"  "&amp;일일실시사항!$D384&amp;"  "&amp;일일실시사항!$H384)</f>
        <v/>
      </c>
      <c r="D1416" s="122">
        <f>IF(NOT(COUNTBLANK(일일실시사항!$B384:$K384)&lt;10),"",TRIM(IF(일일실시사항!$B384="","일자 누락; ","")&amp;IF(COUNTIF(코드설정!$C$5:$C$24,일일실시사항!$D384)=0,"담당자 누락; ","")&amp;IF(COUNTIF(코드설정!$G$5:$G$14,일일실시사항!$F384)=0,"업무구분 누락; ","")&amp;IF(AND(일일실시사항!$G384&lt;&gt;"",COUNTIF(사건마스터!$A$5:$A$64,일일실시사항!$G384)=0),"미등록 사건번호; ","")&amp;IF(일일실시사항!$H384="","실시 내용 없음; ","")&amp;IF(COUNTIF(코드설정!$F$5:$F$7,일일실시사항!$J384)=0,"진행상태 누락; ","")))</f>
        <v/>
      </c>
    </row>
    <row r="1417">
      <c r="A1417" s="26" t="inlineStr">
        <is>
          <t>일일실시사항</t>
        </is>
      </c>
      <c r="B1417" s="66" t="n">
        <v>385</v>
      </c>
      <c r="C1417" s="122">
        <f>IF($D1417="","",IFERROR(TEXT(일일실시사항!$B385,"yyyy-mm-dd"),"(날짜없음)")&amp;"  "&amp;일일실시사항!$D385&amp;"  "&amp;일일실시사항!$H385)</f>
        <v/>
      </c>
      <c r="D1417" s="122">
        <f>IF(NOT(COUNTBLANK(일일실시사항!$B385:$K385)&lt;10),"",TRIM(IF(일일실시사항!$B385="","일자 누락; ","")&amp;IF(COUNTIF(코드설정!$C$5:$C$24,일일실시사항!$D385)=0,"담당자 누락; ","")&amp;IF(COUNTIF(코드설정!$G$5:$G$14,일일실시사항!$F385)=0,"업무구분 누락; ","")&amp;IF(AND(일일실시사항!$G385&lt;&gt;"",COUNTIF(사건마스터!$A$5:$A$64,일일실시사항!$G385)=0),"미등록 사건번호; ","")&amp;IF(일일실시사항!$H385="","실시 내용 없음; ","")&amp;IF(COUNTIF(코드설정!$F$5:$F$7,일일실시사항!$J385)=0,"진행상태 누락; ","")))</f>
        <v/>
      </c>
    </row>
    <row r="1418">
      <c r="A1418" s="26" t="inlineStr">
        <is>
          <t>일일실시사항</t>
        </is>
      </c>
      <c r="B1418" s="66" t="n">
        <v>386</v>
      </c>
      <c r="C1418" s="122">
        <f>IF($D1418="","",IFERROR(TEXT(일일실시사항!$B386,"yyyy-mm-dd"),"(날짜없음)")&amp;"  "&amp;일일실시사항!$D386&amp;"  "&amp;일일실시사항!$H386)</f>
        <v/>
      </c>
      <c r="D1418" s="122">
        <f>IF(NOT(COUNTBLANK(일일실시사항!$B386:$K386)&lt;10),"",TRIM(IF(일일실시사항!$B386="","일자 누락; ","")&amp;IF(COUNTIF(코드설정!$C$5:$C$24,일일실시사항!$D386)=0,"담당자 누락; ","")&amp;IF(COUNTIF(코드설정!$G$5:$G$14,일일실시사항!$F386)=0,"업무구분 누락; ","")&amp;IF(AND(일일실시사항!$G386&lt;&gt;"",COUNTIF(사건마스터!$A$5:$A$64,일일실시사항!$G386)=0),"미등록 사건번호; ","")&amp;IF(일일실시사항!$H386="","실시 내용 없음; ","")&amp;IF(COUNTIF(코드설정!$F$5:$F$7,일일실시사항!$J386)=0,"진행상태 누락; ","")))</f>
        <v/>
      </c>
    </row>
    <row r="1419">
      <c r="A1419" s="26" t="inlineStr">
        <is>
          <t>일일실시사항</t>
        </is>
      </c>
      <c r="B1419" s="66" t="n">
        <v>387</v>
      </c>
      <c r="C1419" s="122">
        <f>IF($D1419="","",IFERROR(TEXT(일일실시사항!$B387,"yyyy-mm-dd"),"(날짜없음)")&amp;"  "&amp;일일실시사항!$D387&amp;"  "&amp;일일실시사항!$H387)</f>
        <v/>
      </c>
      <c r="D1419" s="122">
        <f>IF(NOT(COUNTBLANK(일일실시사항!$B387:$K387)&lt;10),"",TRIM(IF(일일실시사항!$B387="","일자 누락; ","")&amp;IF(COUNTIF(코드설정!$C$5:$C$24,일일실시사항!$D387)=0,"담당자 누락; ","")&amp;IF(COUNTIF(코드설정!$G$5:$G$14,일일실시사항!$F387)=0,"업무구분 누락; ","")&amp;IF(AND(일일실시사항!$G387&lt;&gt;"",COUNTIF(사건마스터!$A$5:$A$64,일일실시사항!$G387)=0),"미등록 사건번호; ","")&amp;IF(일일실시사항!$H387="","실시 내용 없음; ","")&amp;IF(COUNTIF(코드설정!$F$5:$F$7,일일실시사항!$J387)=0,"진행상태 누락; ","")))</f>
        <v/>
      </c>
    </row>
    <row r="1420">
      <c r="A1420" s="26" t="inlineStr">
        <is>
          <t>일일실시사항</t>
        </is>
      </c>
      <c r="B1420" s="66" t="n">
        <v>388</v>
      </c>
      <c r="C1420" s="122">
        <f>IF($D1420="","",IFERROR(TEXT(일일실시사항!$B388,"yyyy-mm-dd"),"(날짜없음)")&amp;"  "&amp;일일실시사항!$D388&amp;"  "&amp;일일실시사항!$H388)</f>
        <v/>
      </c>
      <c r="D1420" s="122">
        <f>IF(NOT(COUNTBLANK(일일실시사항!$B388:$K388)&lt;10),"",TRIM(IF(일일실시사항!$B388="","일자 누락; ","")&amp;IF(COUNTIF(코드설정!$C$5:$C$24,일일실시사항!$D388)=0,"담당자 누락; ","")&amp;IF(COUNTIF(코드설정!$G$5:$G$14,일일실시사항!$F388)=0,"업무구분 누락; ","")&amp;IF(AND(일일실시사항!$G388&lt;&gt;"",COUNTIF(사건마스터!$A$5:$A$64,일일실시사항!$G388)=0),"미등록 사건번호; ","")&amp;IF(일일실시사항!$H388="","실시 내용 없음; ","")&amp;IF(COUNTIF(코드설정!$F$5:$F$7,일일실시사항!$J388)=0,"진행상태 누락; ","")))</f>
        <v/>
      </c>
    </row>
    <row r="1421">
      <c r="A1421" s="26" t="inlineStr">
        <is>
          <t>일일실시사항</t>
        </is>
      </c>
      <c r="B1421" s="66" t="n">
        <v>389</v>
      </c>
      <c r="C1421" s="122">
        <f>IF($D1421="","",IFERROR(TEXT(일일실시사항!$B389,"yyyy-mm-dd"),"(날짜없음)")&amp;"  "&amp;일일실시사항!$D389&amp;"  "&amp;일일실시사항!$H389)</f>
        <v/>
      </c>
      <c r="D1421" s="122">
        <f>IF(NOT(COUNTBLANK(일일실시사항!$B389:$K389)&lt;10),"",TRIM(IF(일일실시사항!$B389="","일자 누락; ","")&amp;IF(COUNTIF(코드설정!$C$5:$C$24,일일실시사항!$D389)=0,"담당자 누락; ","")&amp;IF(COUNTIF(코드설정!$G$5:$G$14,일일실시사항!$F389)=0,"업무구분 누락; ","")&amp;IF(AND(일일실시사항!$G389&lt;&gt;"",COUNTIF(사건마스터!$A$5:$A$64,일일실시사항!$G389)=0),"미등록 사건번호; ","")&amp;IF(일일실시사항!$H389="","실시 내용 없음; ","")&amp;IF(COUNTIF(코드설정!$F$5:$F$7,일일실시사항!$J389)=0,"진행상태 누락; ","")))</f>
        <v/>
      </c>
    </row>
    <row r="1422">
      <c r="A1422" s="26" t="inlineStr">
        <is>
          <t>일일실시사항</t>
        </is>
      </c>
      <c r="B1422" s="66" t="n">
        <v>390</v>
      </c>
      <c r="C1422" s="122">
        <f>IF($D1422="","",IFERROR(TEXT(일일실시사항!$B390,"yyyy-mm-dd"),"(날짜없음)")&amp;"  "&amp;일일실시사항!$D390&amp;"  "&amp;일일실시사항!$H390)</f>
        <v/>
      </c>
      <c r="D1422" s="122">
        <f>IF(NOT(COUNTBLANK(일일실시사항!$B390:$K390)&lt;10),"",TRIM(IF(일일실시사항!$B390="","일자 누락; ","")&amp;IF(COUNTIF(코드설정!$C$5:$C$24,일일실시사항!$D390)=0,"담당자 누락; ","")&amp;IF(COUNTIF(코드설정!$G$5:$G$14,일일실시사항!$F390)=0,"업무구분 누락; ","")&amp;IF(AND(일일실시사항!$G390&lt;&gt;"",COUNTIF(사건마스터!$A$5:$A$64,일일실시사항!$G390)=0),"미등록 사건번호; ","")&amp;IF(일일실시사항!$H390="","실시 내용 없음; ","")&amp;IF(COUNTIF(코드설정!$F$5:$F$7,일일실시사항!$J390)=0,"진행상태 누락; ","")))</f>
        <v/>
      </c>
    </row>
    <row r="1423">
      <c r="A1423" s="26" t="inlineStr">
        <is>
          <t>일일실시사항</t>
        </is>
      </c>
      <c r="B1423" s="66" t="n">
        <v>391</v>
      </c>
      <c r="C1423" s="122">
        <f>IF($D1423="","",IFERROR(TEXT(일일실시사항!$B391,"yyyy-mm-dd"),"(날짜없음)")&amp;"  "&amp;일일실시사항!$D391&amp;"  "&amp;일일실시사항!$H391)</f>
        <v/>
      </c>
      <c r="D1423" s="122">
        <f>IF(NOT(COUNTBLANK(일일실시사항!$B391:$K391)&lt;10),"",TRIM(IF(일일실시사항!$B391="","일자 누락; ","")&amp;IF(COUNTIF(코드설정!$C$5:$C$24,일일실시사항!$D391)=0,"담당자 누락; ","")&amp;IF(COUNTIF(코드설정!$G$5:$G$14,일일실시사항!$F391)=0,"업무구분 누락; ","")&amp;IF(AND(일일실시사항!$G391&lt;&gt;"",COUNTIF(사건마스터!$A$5:$A$64,일일실시사항!$G391)=0),"미등록 사건번호; ","")&amp;IF(일일실시사항!$H391="","실시 내용 없음; ","")&amp;IF(COUNTIF(코드설정!$F$5:$F$7,일일실시사항!$J391)=0,"진행상태 누락; ","")))</f>
        <v/>
      </c>
    </row>
    <row r="1424">
      <c r="A1424" s="26" t="inlineStr">
        <is>
          <t>일일실시사항</t>
        </is>
      </c>
      <c r="B1424" s="66" t="n">
        <v>392</v>
      </c>
      <c r="C1424" s="122">
        <f>IF($D1424="","",IFERROR(TEXT(일일실시사항!$B392,"yyyy-mm-dd"),"(날짜없음)")&amp;"  "&amp;일일실시사항!$D392&amp;"  "&amp;일일실시사항!$H392)</f>
        <v/>
      </c>
      <c r="D1424" s="122">
        <f>IF(NOT(COUNTBLANK(일일실시사항!$B392:$K392)&lt;10),"",TRIM(IF(일일실시사항!$B392="","일자 누락; ","")&amp;IF(COUNTIF(코드설정!$C$5:$C$24,일일실시사항!$D392)=0,"담당자 누락; ","")&amp;IF(COUNTIF(코드설정!$G$5:$G$14,일일실시사항!$F392)=0,"업무구분 누락; ","")&amp;IF(AND(일일실시사항!$G392&lt;&gt;"",COUNTIF(사건마스터!$A$5:$A$64,일일실시사항!$G392)=0),"미등록 사건번호; ","")&amp;IF(일일실시사항!$H392="","실시 내용 없음; ","")&amp;IF(COUNTIF(코드설정!$F$5:$F$7,일일실시사항!$J392)=0,"진행상태 누락; ","")))</f>
        <v/>
      </c>
    </row>
    <row r="1425">
      <c r="A1425" s="26" t="inlineStr">
        <is>
          <t>일일실시사항</t>
        </is>
      </c>
      <c r="B1425" s="66" t="n">
        <v>393</v>
      </c>
      <c r="C1425" s="122">
        <f>IF($D1425="","",IFERROR(TEXT(일일실시사항!$B393,"yyyy-mm-dd"),"(날짜없음)")&amp;"  "&amp;일일실시사항!$D393&amp;"  "&amp;일일실시사항!$H393)</f>
        <v/>
      </c>
      <c r="D1425" s="122">
        <f>IF(NOT(COUNTBLANK(일일실시사항!$B393:$K393)&lt;10),"",TRIM(IF(일일실시사항!$B393="","일자 누락; ","")&amp;IF(COUNTIF(코드설정!$C$5:$C$24,일일실시사항!$D393)=0,"담당자 누락; ","")&amp;IF(COUNTIF(코드설정!$G$5:$G$14,일일실시사항!$F393)=0,"업무구분 누락; ","")&amp;IF(AND(일일실시사항!$G393&lt;&gt;"",COUNTIF(사건마스터!$A$5:$A$64,일일실시사항!$G393)=0),"미등록 사건번호; ","")&amp;IF(일일실시사항!$H393="","실시 내용 없음; ","")&amp;IF(COUNTIF(코드설정!$F$5:$F$7,일일실시사항!$J393)=0,"진행상태 누락; ","")))</f>
        <v/>
      </c>
    </row>
    <row r="1426">
      <c r="A1426" s="26" t="inlineStr">
        <is>
          <t>일일실시사항</t>
        </is>
      </c>
      <c r="B1426" s="66" t="n">
        <v>394</v>
      </c>
      <c r="C1426" s="122">
        <f>IF($D1426="","",IFERROR(TEXT(일일실시사항!$B394,"yyyy-mm-dd"),"(날짜없음)")&amp;"  "&amp;일일실시사항!$D394&amp;"  "&amp;일일실시사항!$H394)</f>
        <v/>
      </c>
      <c r="D1426" s="122">
        <f>IF(NOT(COUNTBLANK(일일실시사항!$B394:$K394)&lt;10),"",TRIM(IF(일일실시사항!$B394="","일자 누락; ","")&amp;IF(COUNTIF(코드설정!$C$5:$C$24,일일실시사항!$D394)=0,"담당자 누락; ","")&amp;IF(COUNTIF(코드설정!$G$5:$G$14,일일실시사항!$F394)=0,"업무구분 누락; ","")&amp;IF(AND(일일실시사항!$G394&lt;&gt;"",COUNTIF(사건마스터!$A$5:$A$64,일일실시사항!$G394)=0),"미등록 사건번호; ","")&amp;IF(일일실시사항!$H394="","실시 내용 없음; ","")&amp;IF(COUNTIF(코드설정!$F$5:$F$7,일일실시사항!$J394)=0,"진행상태 누락; ","")))</f>
        <v/>
      </c>
    </row>
    <row r="1427">
      <c r="A1427" s="26" t="inlineStr">
        <is>
          <t>일일실시사항</t>
        </is>
      </c>
      <c r="B1427" s="66" t="n">
        <v>395</v>
      </c>
      <c r="C1427" s="122">
        <f>IF($D1427="","",IFERROR(TEXT(일일실시사항!$B395,"yyyy-mm-dd"),"(날짜없음)")&amp;"  "&amp;일일실시사항!$D395&amp;"  "&amp;일일실시사항!$H395)</f>
        <v/>
      </c>
      <c r="D1427" s="122">
        <f>IF(NOT(COUNTBLANK(일일실시사항!$B395:$K395)&lt;10),"",TRIM(IF(일일실시사항!$B395="","일자 누락; ","")&amp;IF(COUNTIF(코드설정!$C$5:$C$24,일일실시사항!$D395)=0,"담당자 누락; ","")&amp;IF(COUNTIF(코드설정!$G$5:$G$14,일일실시사항!$F395)=0,"업무구분 누락; ","")&amp;IF(AND(일일실시사항!$G395&lt;&gt;"",COUNTIF(사건마스터!$A$5:$A$64,일일실시사항!$G395)=0),"미등록 사건번호; ","")&amp;IF(일일실시사항!$H395="","실시 내용 없음; ","")&amp;IF(COUNTIF(코드설정!$F$5:$F$7,일일실시사항!$J395)=0,"진행상태 누락; ","")))</f>
        <v/>
      </c>
    </row>
    <row r="1428">
      <c r="A1428" s="26" t="inlineStr">
        <is>
          <t>일일실시사항</t>
        </is>
      </c>
      <c r="B1428" s="66" t="n">
        <v>396</v>
      </c>
      <c r="C1428" s="122">
        <f>IF($D1428="","",IFERROR(TEXT(일일실시사항!$B396,"yyyy-mm-dd"),"(날짜없음)")&amp;"  "&amp;일일실시사항!$D396&amp;"  "&amp;일일실시사항!$H396)</f>
        <v/>
      </c>
      <c r="D1428" s="122">
        <f>IF(NOT(COUNTBLANK(일일실시사항!$B396:$K396)&lt;10),"",TRIM(IF(일일실시사항!$B396="","일자 누락; ","")&amp;IF(COUNTIF(코드설정!$C$5:$C$24,일일실시사항!$D396)=0,"담당자 누락; ","")&amp;IF(COUNTIF(코드설정!$G$5:$G$14,일일실시사항!$F396)=0,"업무구분 누락; ","")&amp;IF(AND(일일실시사항!$G396&lt;&gt;"",COUNTIF(사건마스터!$A$5:$A$64,일일실시사항!$G396)=0),"미등록 사건번호; ","")&amp;IF(일일실시사항!$H396="","실시 내용 없음; ","")&amp;IF(COUNTIF(코드설정!$F$5:$F$7,일일실시사항!$J396)=0,"진행상태 누락; ","")))</f>
        <v/>
      </c>
    </row>
    <row r="1429">
      <c r="A1429" s="26" t="inlineStr">
        <is>
          <t>일일실시사항</t>
        </is>
      </c>
      <c r="B1429" s="66" t="n">
        <v>397</v>
      </c>
      <c r="C1429" s="122">
        <f>IF($D1429="","",IFERROR(TEXT(일일실시사항!$B397,"yyyy-mm-dd"),"(날짜없음)")&amp;"  "&amp;일일실시사항!$D397&amp;"  "&amp;일일실시사항!$H397)</f>
        <v/>
      </c>
      <c r="D1429" s="122">
        <f>IF(NOT(COUNTBLANK(일일실시사항!$B397:$K397)&lt;10),"",TRIM(IF(일일실시사항!$B397="","일자 누락; ","")&amp;IF(COUNTIF(코드설정!$C$5:$C$24,일일실시사항!$D397)=0,"담당자 누락; ","")&amp;IF(COUNTIF(코드설정!$G$5:$G$14,일일실시사항!$F397)=0,"업무구분 누락; ","")&amp;IF(AND(일일실시사항!$G397&lt;&gt;"",COUNTIF(사건마스터!$A$5:$A$64,일일실시사항!$G397)=0),"미등록 사건번호; ","")&amp;IF(일일실시사항!$H397="","실시 내용 없음; ","")&amp;IF(COUNTIF(코드설정!$F$5:$F$7,일일실시사항!$J397)=0,"진행상태 누락; ","")))</f>
        <v/>
      </c>
    </row>
    <row r="1430">
      <c r="A1430" s="26" t="inlineStr">
        <is>
          <t>일일실시사항</t>
        </is>
      </c>
      <c r="B1430" s="66" t="n">
        <v>398</v>
      </c>
      <c r="C1430" s="122">
        <f>IF($D1430="","",IFERROR(TEXT(일일실시사항!$B398,"yyyy-mm-dd"),"(날짜없음)")&amp;"  "&amp;일일실시사항!$D398&amp;"  "&amp;일일실시사항!$H398)</f>
        <v/>
      </c>
      <c r="D1430" s="122">
        <f>IF(NOT(COUNTBLANK(일일실시사항!$B398:$K398)&lt;10),"",TRIM(IF(일일실시사항!$B398="","일자 누락; ","")&amp;IF(COUNTIF(코드설정!$C$5:$C$24,일일실시사항!$D398)=0,"담당자 누락; ","")&amp;IF(COUNTIF(코드설정!$G$5:$G$14,일일실시사항!$F398)=0,"업무구분 누락; ","")&amp;IF(AND(일일실시사항!$G398&lt;&gt;"",COUNTIF(사건마스터!$A$5:$A$64,일일실시사항!$G398)=0),"미등록 사건번호; ","")&amp;IF(일일실시사항!$H398="","실시 내용 없음; ","")&amp;IF(COUNTIF(코드설정!$F$5:$F$7,일일실시사항!$J398)=0,"진행상태 누락; ","")))</f>
        <v/>
      </c>
    </row>
    <row r="1431">
      <c r="A1431" s="26" t="inlineStr">
        <is>
          <t>일일실시사항</t>
        </is>
      </c>
      <c r="B1431" s="66" t="n">
        <v>399</v>
      </c>
      <c r="C1431" s="122">
        <f>IF($D1431="","",IFERROR(TEXT(일일실시사항!$B399,"yyyy-mm-dd"),"(날짜없음)")&amp;"  "&amp;일일실시사항!$D399&amp;"  "&amp;일일실시사항!$H399)</f>
        <v/>
      </c>
      <c r="D1431" s="122">
        <f>IF(NOT(COUNTBLANK(일일실시사항!$B399:$K399)&lt;10),"",TRIM(IF(일일실시사항!$B399="","일자 누락; ","")&amp;IF(COUNTIF(코드설정!$C$5:$C$24,일일실시사항!$D399)=0,"담당자 누락; ","")&amp;IF(COUNTIF(코드설정!$G$5:$G$14,일일실시사항!$F399)=0,"업무구분 누락; ","")&amp;IF(AND(일일실시사항!$G399&lt;&gt;"",COUNTIF(사건마스터!$A$5:$A$64,일일실시사항!$G399)=0),"미등록 사건번호; ","")&amp;IF(일일실시사항!$H399="","실시 내용 없음; ","")&amp;IF(COUNTIF(코드설정!$F$5:$F$7,일일실시사항!$J399)=0,"진행상태 누락; ","")))</f>
        <v/>
      </c>
    </row>
    <row r="1432">
      <c r="A1432" s="26" t="inlineStr">
        <is>
          <t>일일실시사항</t>
        </is>
      </c>
      <c r="B1432" s="66" t="n">
        <v>400</v>
      </c>
      <c r="C1432" s="122">
        <f>IF($D1432="","",IFERROR(TEXT(일일실시사항!$B400,"yyyy-mm-dd"),"(날짜없음)")&amp;"  "&amp;일일실시사항!$D400&amp;"  "&amp;일일실시사항!$H400)</f>
        <v/>
      </c>
      <c r="D1432" s="122">
        <f>IF(NOT(COUNTBLANK(일일실시사항!$B400:$K400)&lt;10),"",TRIM(IF(일일실시사항!$B400="","일자 누락; ","")&amp;IF(COUNTIF(코드설정!$C$5:$C$24,일일실시사항!$D400)=0,"담당자 누락; ","")&amp;IF(COUNTIF(코드설정!$G$5:$G$14,일일실시사항!$F400)=0,"업무구분 누락; ","")&amp;IF(AND(일일실시사항!$G400&lt;&gt;"",COUNTIF(사건마스터!$A$5:$A$64,일일실시사항!$G400)=0),"미등록 사건번호; ","")&amp;IF(일일실시사항!$H400="","실시 내용 없음; ","")&amp;IF(COUNTIF(코드설정!$F$5:$F$7,일일실시사항!$J400)=0,"진행상태 누락; ","")))</f>
        <v/>
      </c>
    </row>
    <row r="1433">
      <c r="A1433" s="26" t="inlineStr">
        <is>
          <t>일일실시사항</t>
        </is>
      </c>
      <c r="B1433" s="66" t="n">
        <v>401</v>
      </c>
      <c r="C1433" s="122">
        <f>IF($D1433="","",IFERROR(TEXT(일일실시사항!$B401,"yyyy-mm-dd"),"(날짜없음)")&amp;"  "&amp;일일실시사항!$D401&amp;"  "&amp;일일실시사항!$H401)</f>
        <v/>
      </c>
      <c r="D1433" s="122">
        <f>IF(NOT(COUNTBLANK(일일실시사항!$B401:$K401)&lt;10),"",TRIM(IF(일일실시사항!$B401="","일자 누락; ","")&amp;IF(COUNTIF(코드설정!$C$5:$C$24,일일실시사항!$D401)=0,"담당자 누락; ","")&amp;IF(COUNTIF(코드설정!$G$5:$G$14,일일실시사항!$F401)=0,"업무구분 누락; ","")&amp;IF(AND(일일실시사항!$G401&lt;&gt;"",COUNTIF(사건마스터!$A$5:$A$64,일일실시사항!$G401)=0),"미등록 사건번호; ","")&amp;IF(일일실시사항!$H401="","실시 내용 없음; ","")&amp;IF(COUNTIF(코드설정!$F$5:$F$7,일일실시사항!$J401)=0,"진행상태 누락; ","")))</f>
        <v/>
      </c>
    </row>
    <row r="1434">
      <c r="A1434" s="26" t="inlineStr">
        <is>
          <t>일일실시사항</t>
        </is>
      </c>
      <c r="B1434" s="66" t="n">
        <v>402</v>
      </c>
      <c r="C1434" s="122">
        <f>IF($D1434="","",IFERROR(TEXT(일일실시사항!$B402,"yyyy-mm-dd"),"(날짜없음)")&amp;"  "&amp;일일실시사항!$D402&amp;"  "&amp;일일실시사항!$H402)</f>
        <v/>
      </c>
      <c r="D1434" s="122">
        <f>IF(NOT(COUNTBLANK(일일실시사항!$B402:$K402)&lt;10),"",TRIM(IF(일일실시사항!$B402="","일자 누락; ","")&amp;IF(COUNTIF(코드설정!$C$5:$C$24,일일실시사항!$D402)=0,"담당자 누락; ","")&amp;IF(COUNTIF(코드설정!$G$5:$G$14,일일실시사항!$F402)=0,"업무구분 누락; ","")&amp;IF(AND(일일실시사항!$G402&lt;&gt;"",COUNTIF(사건마스터!$A$5:$A$64,일일실시사항!$G402)=0),"미등록 사건번호; ","")&amp;IF(일일실시사항!$H402="","실시 내용 없음; ","")&amp;IF(COUNTIF(코드설정!$F$5:$F$7,일일실시사항!$J402)=0,"진행상태 누락; ","")))</f>
        <v/>
      </c>
    </row>
    <row r="1435">
      <c r="A1435" s="26" t="inlineStr">
        <is>
          <t>일일실시사항</t>
        </is>
      </c>
      <c r="B1435" s="66" t="n">
        <v>403</v>
      </c>
      <c r="C1435" s="122">
        <f>IF($D1435="","",IFERROR(TEXT(일일실시사항!$B403,"yyyy-mm-dd"),"(날짜없음)")&amp;"  "&amp;일일실시사항!$D403&amp;"  "&amp;일일실시사항!$H403)</f>
        <v/>
      </c>
      <c r="D1435" s="122">
        <f>IF(NOT(COUNTBLANK(일일실시사항!$B403:$K403)&lt;10),"",TRIM(IF(일일실시사항!$B403="","일자 누락; ","")&amp;IF(COUNTIF(코드설정!$C$5:$C$24,일일실시사항!$D403)=0,"담당자 누락; ","")&amp;IF(COUNTIF(코드설정!$G$5:$G$14,일일실시사항!$F403)=0,"업무구분 누락; ","")&amp;IF(AND(일일실시사항!$G403&lt;&gt;"",COUNTIF(사건마스터!$A$5:$A$64,일일실시사항!$G403)=0),"미등록 사건번호; ","")&amp;IF(일일실시사항!$H403="","실시 내용 없음; ","")&amp;IF(COUNTIF(코드설정!$F$5:$F$7,일일실시사항!$J403)=0,"진행상태 누락; ","")))</f>
        <v/>
      </c>
    </row>
    <row r="1436">
      <c r="A1436" s="26" t="inlineStr">
        <is>
          <t>일일실시사항</t>
        </is>
      </c>
      <c r="B1436" s="66" t="n">
        <v>404</v>
      </c>
      <c r="C1436" s="122">
        <f>IF($D1436="","",IFERROR(TEXT(일일실시사항!$B404,"yyyy-mm-dd"),"(날짜없음)")&amp;"  "&amp;일일실시사항!$D404&amp;"  "&amp;일일실시사항!$H404)</f>
        <v/>
      </c>
      <c r="D1436" s="122">
        <f>IF(NOT(COUNTBLANK(일일실시사항!$B404:$K404)&lt;10),"",TRIM(IF(일일실시사항!$B404="","일자 누락; ","")&amp;IF(COUNTIF(코드설정!$C$5:$C$24,일일실시사항!$D404)=0,"담당자 누락; ","")&amp;IF(COUNTIF(코드설정!$G$5:$G$14,일일실시사항!$F404)=0,"업무구분 누락; ","")&amp;IF(AND(일일실시사항!$G404&lt;&gt;"",COUNTIF(사건마스터!$A$5:$A$64,일일실시사항!$G404)=0),"미등록 사건번호; ","")&amp;IF(일일실시사항!$H404="","실시 내용 없음; ","")&amp;IF(COUNTIF(코드설정!$F$5:$F$7,일일실시사항!$J404)=0,"진행상태 누락; ","")))</f>
        <v/>
      </c>
    </row>
    <row r="1437">
      <c r="A1437" s="26" t="inlineStr">
        <is>
          <t>일일실시사항</t>
        </is>
      </c>
      <c r="B1437" s="66" t="n">
        <v>405</v>
      </c>
      <c r="C1437" s="122">
        <f>IF($D1437="","",IFERROR(TEXT(일일실시사항!$B405,"yyyy-mm-dd"),"(날짜없음)")&amp;"  "&amp;일일실시사항!$D405&amp;"  "&amp;일일실시사항!$H405)</f>
        <v/>
      </c>
      <c r="D1437" s="122">
        <f>IF(NOT(COUNTBLANK(일일실시사항!$B405:$K405)&lt;10),"",TRIM(IF(일일실시사항!$B405="","일자 누락; ","")&amp;IF(COUNTIF(코드설정!$C$5:$C$24,일일실시사항!$D405)=0,"담당자 누락; ","")&amp;IF(COUNTIF(코드설정!$G$5:$G$14,일일실시사항!$F405)=0,"업무구분 누락; ","")&amp;IF(AND(일일실시사항!$G405&lt;&gt;"",COUNTIF(사건마스터!$A$5:$A$64,일일실시사항!$G405)=0),"미등록 사건번호; ","")&amp;IF(일일실시사항!$H405="","실시 내용 없음; ","")&amp;IF(COUNTIF(코드설정!$F$5:$F$7,일일실시사항!$J405)=0,"진행상태 누락; ","")))</f>
        <v/>
      </c>
    </row>
    <row r="1438">
      <c r="A1438" s="26" t="inlineStr">
        <is>
          <t>일일실시사항</t>
        </is>
      </c>
      <c r="B1438" s="66" t="n">
        <v>406</v>
      </c>
      <c r="C1438" s="122">
        <f>IF($D1438="","",IFERROR(TEXT(일일실시사항!$B406,"yyyy-mm-dd"),"(날짜없음)")&amp;"  "&amp;일일실시사항!$D406&amp;"  "&amp;일일실시사항!$H406)</f>
        <v/>
      </c>
      <c r="D1438" s="122">
        <f>IF(NOT(COUNTBLANK(일일실시사항!$B406:$K406)&lt;10),"",TRIM(IF(일일실시사항!$B406="","일자 누락; ","")&amp;IF(COUNTIF(코드설정!$C$5:$C$24,일일실시사항!$D406)=0,"담당자 누락; ","")&amp;IF(COUNTIF(코드설정!$G$5:$G$14,일일실시사항!$F406)=0,"업무구분 누락; ","")&amp;IF(AND(일일실시사항!$G406&lt;&gt;"",COUNTIF(사건마스터!$A$5:$A$64,일일실시사항!$G406)=0),"미등록 사건번호; ","")&amp;IF(일일실시사항!$H406="","실시 내용 없음; ","")&amp;IF(COUNTIF(코드설정!$F$5:$F$7,일일실시사항!$J406)=0,"진행상태 누락; ","")))</f>
        <v/>
      </c>
    </row>
    <row r="1439">
      <c r="A1439" s="26" t="inlineStr">
        <is>
          <t>일일실시사항</t>
        </is>
      </c>
      <c r="B1439" s="66" t="n">
        <v>407</v>
      </c>
      <c r="C1439" s="122">
        <f>IF($D1439="","",IFERROR(TEXT(일일실시사항!$B407,"yyyy-mm-dd"),"(날짜없음)")&amp;"  "&amp;일일실시사항!$D407&amp;"  "&amp;일일실시사항!$H407)</f>
        <v/>
      </c>
      <c r="D1439" s="122">
        <f>IF(NOT(COUNTBLANK(일일실시사항!$B407:$K407)&lt;10),"",TRIM(IF(일일실시사항!$B407="","일자 누락; ","")&amp;IF(COUNTIF(코드설정!$C$5:$C$24,일일실시사항!$D407)=0,"담당자 누락; ","")&amp;IF(COUNTIF(코드설정!$G$5:$G$14,일일실시사항!$F407)=0,"업무구분 누락; ","")&amp;IF(AND(일일실시사항!$G407&lt;&gt;"",COUNTIF(사건마스터!$A$5:$A$64,일일실시사항!$G407)=0),"미등록 사건번호; ","")&amp;IF(일일실시사항!$H407="","실시 내용 없음; ","")&amp;IF(COUNTIF(코드설정!$F$5:$F$7,일일실시사항!$J407)=0,"진행상태 누락; ","")))</f>
        <v/>
      </c>
    </row>
    <row r="1440">
      <c r="A1440" s="26" t="inlineStr">
        <is>
          <t>일일실시사항</t>
        </is>
      </c>
      <c r="B1440" s="66" t="n">
        <v>408</v>
      </c>
      <c r="C1440" s="122">
        <f>IF($D1440="","",IFERROR(TEXT(일일실시사항!$B408,"yyyy-mm-dd"),"(날짜없음)")&amp;"  "&amp;일일실시사항!$D408&amp;"  "&amp;일일실시사항!$H408)</f>
        <v/>
      </c>
      <c r="D1440" s="122">
        <f>IF(NOT(COUNTBLANK(일일실시사항!$B408:$K408)&lt;10),"",TRIM(IF(일일실시사항!$B408="","일자 누락; ","")&amp;IF(COUNTIF(코드설정!$C$5:$C$24,일일실시사항!$D408)=0,"담당자 누락; ","")&amp;IF(COUNTIF(코드설정!$G$5:$G$14,일일실시사항!$F408)=0,"업무구분 누락; ","")&amp;IF(AND(일일실시사항!$G408&lt;&gt;"",COUNTIF(사건마스터!$A$5:$A$64,일일실시사항!$G408)=0),"미등록 사건번호; ","")&amp;IF(일일실시사항!$H408="","실시 내용 없음; ","")&amp;IF(COUNTIF(코드설정!$F$5:$F$7,일일실시사항!$J408)=0,"진행상태 누락; ","")))</f>
        <v/>
      </c>
    </row>
    <row r="1441">
      <c r="A1441" s="26" t="inlineStr">
        <is>
          <t>일일실시사항</t>
        </is>
      </c>
      <c r="B1441" s="66" t="n">
        <v>409</v>
      </c>
      <c r="C1441" s="122">
        <f>IF($D1441="","",IFERROR(TEXT(일일실시사항!$B409,"yyyy-mm-dd"),"(날짜없음)")&amp;"  "&amp;일일실시사항!$D409&amp;"  "&amp;일일실시사항!$H409)</f>
        <v/>
      </c>
      <c r="D1441" s="122">
        <f>IF(NOT(COUNTBLANK(일일실시사항!$B409:$K409)&lt;10),"",TRIM(IF(일일실시사항!$B409="","일자 누락; ","")&amp;IF(COUNTIF(코드설정!$C$5:$C$24,일일실시사항!$D409)=0,"담당자 누락; ","")&amp;IF(COUNTIF(코드설정!$G$5:$G$14,일일실시사항!$F409)=0,"업무구분 누락; ","")&amp;IF(AND(일일실시사항!$G409&lt;&gt;"",COUNTIF(사건마스터!$A$5:$A$64,일일실시사항!$G409)=0),"미등록 사건번호; ","")&amp;IF(일일실시사항!$H409="","실시 내용 없음; ","")&amp;IF(COUNTIF(코드설정!$F$5:$F$7,일일실시사항!$J409)=0,"진행상태 누락; ","")))</f>
        <v/>
      </c>
    </row>
    <row r="1442">
      <c r="A1442" s="26" t="inlineStr">
        <is>
          <t>일일실시사항</t>
        </is>
      </c>
      <c r="B1442" s="66" t="n">
        <v>410</v>
      </c>
      <c r="C1442" s="122">
        <f>IF($D1442="","",IFERROR(TEXT(일일실시사항!$B410,"yyyy-mm-dd"),"(날짜없음)")&amp;"  "&amp;일일실시사항!$D410&amp;"  "&amp;일일실시사항!$H410)</f>
        <v/>
      </c>
      <c r="D1442" s="122">
        <f>IF(NOT(COUNTBLANK(일일실시사항!$B410:$K410)&lt;10),"",TRIM(IF(일일실시사항!$B410="","일자 누락; ","")&amp;IF(COUNTIF(코드설정!$C$5:$C$24,일일실시사항!$D410)=0,"담당자 누락; ","")&amp;IF(COUNTIF(코드설정!$G$5:$G$14,일일실시사항!$F410)=0,"업무구분 누락; ","")&amp;IF(AND(일일실시사항!$G410&lt;&gt;"",COUNTIF(사건마스터!$A$5:$A$64,일일실시사항!$G410)=0),"미등록 사건번호; ","")&amp;IF(일일실시사항!$H410="","실시 내용 없음; ","")&amp;IF(COUNTIF(코드설정!$F$5:$F$7,일일실시사항!$J410)=0,"진행상태 누락; ","")))</f>
        <v/>
      </c>
    </row>
    <row r="1443">
      <c r="A1443" s="26" t="inlineStr">
        <is>
          <t>일일실시사항</t>
        </is>
      </c>
      <c r="B1443" s="66" t="n">
        <v>411</v>
      </c>
      <c r="C1443" s="122">
        <f>IF($D1443="","",IFERROR(TEXT(일일실시사항!$B411,"yyyy-mm-dd"),"(날짜없음)")&amp;"  "&amp;일일실시사항!$D411&amp;"  "&amp;일일실시사항!$H411)</f>
        <v/>
      </c>
      <c r="D1443" s="122">
        <f>IF(NOT(COUNTBLANK(일일실시사항!$B411:$K411)&lt;10),"",TRIM(IF(일일실시사항!$B411="","일자 누락; ","")&amp;IF(COUNTIF(코드설정!$C$5:$C$24,일일실시사항!$D411)=0,"담당자 누락; ","")&amp;IF(COUNTIF(코드설정!$G$5:$G$14,일일실시사항!$F411)=0,"업무구분 누락; ","")&amp;IF(AND(일일실시사항!$G411&lt;&gt;"",COUNTIF(사건마스터!$A$5:$A$64,일일실시사항!$G411)=0),"미등록 사건번호; ","")&amp;IF(일일실시사항!$H411="","실시 내용 없음; ","")&amp;IF(COUNTIF(코드설정!$F$5:$F$7,일일실시사항!$J411)=0,"진행상태 누락; ","")))</f>
        <v/>
      </c>
    </row>
    <row r="1444">
      <c r="A1444" s="26" t="inlineStr">
        <is>
          <t>일일실시사항</t>
        </is>
      </c>
      <c r="B1444" s="66" t="n">
        <v>412</v>
      </c>
      <c r="C1444" s="122">
        <f>IF($D1444="","",IFERROR(TEXT(일일실시사항!$B412,"yyyy-mm-dd"),"(날짜없음)")&amp;"  "&amp;일일실시사항!$D412&amp;"  "&amp;일일실시사항!$H412)</f>
        <v/>
      </c>
      <c r="D1444" s="122">
        <f>IF(NOT(COUNTBLANK(일일실시사항!$B412:$K412)&lt;10),"",TRIM(IF(일일실시사항!$B412="","일자 누락; ","")&amp;IF(COUNTIF(코드설정!$C$5:$C$24,일일실시사항!$D412)=0,"담당자 누락; ","")&amp;IF(COUNTIF(코드설정!$G$5:$G$14,일일실시사항!$F412)=0,"업무구분 누락; ","")&amp;IF(AND(일일실시사항!$G412&lt;&gt;"",COUNTIF(사건마스터!$A$5:$A$64,일일실시사항!$G412)=0),"미등록 사건번호; ","")&amp;IF(일일실시사항!$H412="","실시 내용 없음; ","")&amp;IF(COUNTIF(코드설정!$F$5:$F$7,일일실시사항!$J412)=0,"진행상태 누락; ","")))</f>
        <v/>
      </c>
    </row>
    <row r="1445">
      <c r="A1445" s="26" t="inlineStr">
        <is>
          <t>일일실시사항</t>
        </is>
      </c>
      <c r="B1445" s="66" t="n">
        <v>413</v>
      </c>
      <c r="C1445" s="122">
        <f>IF($D1445="","",IFERROR(TEXT(일일실시사항!$B413,"yyyy-mm-dd"),"(날짜없음)")&amp;"  "&amp;일일실시사항!$D413&amp;"  "&amp;일일실시사항!$H413)</f>
        <v/>
      </c>
      <c r="D1445" s="122">
        <f>IF(NOT(COUNTBLANK(일일실시사항!$B413:$K413)&lt;10),"",TRIM(IF(일일실시사항!$B413="","일자 누락; ","")&amp;IF(COUNTIF(코드설정!$C$5:$C$24,일일실시사항!$D413)=0,"담당자 누락; ","")&amp;IF(COUNTIF(코드설정!$G$5:$G$14,일일실시사항!$F413)=0,"업무구분 누락; ","")&amp;IF(AND(일일실시사항!$G413&lt;&gt;"",COUNTIF(사건마스터!$A$5:$A$64,일일실시사항!$G413)=0),"미등록 사건번호; ","")&amp;IF(일일실시사항!$H413="","실시 내용 없음; ","")&amp;IF(COUNTIF(코드설정!$F$5:$F$7,일일실시사항!$J413)=0,"진행상태 누락; ","")))</f>
        <v/>
      </c>
    </row>
    <row r="1446">
      <c r="A1446" s="26" t="inlineStr">
        <is>
          <t>일일실시사항</t>
        </is>
      </c>
      <c r="B1446" s="66" t="n">
        <v>414</v>
      </c>
      <c r="C1446" s="122">
        <f>IF($D1446="","",IFERROR(TEXT(일일실시사항!$B414,"yyyy-mm-dd"),"(날짜없음)")&amp;"  "&amp;일일실시사항!$D414&amp;"  "&amp;일일실시사항!$H414)</f>
        <v/>
      </c>
      <c r="D1446" s="122">
        <f>IF(NOT(COUNTBLANK(일일실시사항!$B414:$K414)&lt;10),"",TRIM(IF(일일실시사항!$B414="","일자 누락; ","")&amp;IF(COUNTIF(코드설정!$C$5:$C$24,일일실시사항!$D414)=0,"담당자 누락; ","")&amp;IF(COUNTIF(코드설정!$G$5:$G$14,일일실시사항!$F414)=0,"업무구분 누락; ","")&amp;IF(AND(일일실시사항!$G414&lt;&gt;"",COUNTIF(사건마스터!$A$5:$A$64,일일실시사항!$G414)=0),"미등록 사건번호; ","")&amp;IF(일일실시사항!$H414="","실시 내용 없음; ","")&amp;IF(COUNTIF(코드설정!$F$5:$F$7,일일실시사항!$J414)=0,"진행상태 누락; ","")))</f>
        <v/>
      </c>
    </row>
    <row r="1447">
      <c r="A1447" s="26" t="inlineStr">
        <is>
          <t>일일실시사항</t>
        </is>
      </c>
      <c r="B1447" s="66" t="n">
        <v>415</v>
      </c>
      <c r="C1447" s="122">
        <f>IF($D1447="","",IFERROR(TEXT(일일실시사항!$B415,"yyyy-mm-dd"),"(날짜없음)")&amp;"  "&amp;일일실시사항!$D415&amp;"  "&amp;일일실시사항!$H415)</f>
        <v/>
      </c>
      <c r="D1447" s="122">
        <f>IF(NOT(COUNTBLANK(일일실시사항!$B415:$K415)&lt;10),"",TRIM(IF(일일실시사항!$B415="","일자 누락; ","")&amp;IF(COUNTIF(코드설정!$C$5:$C$24,일일실시사항!$D415)=0,"담당자 누락; ","")&amp;IF(COUNTIF(코드설정!$G$5:$G$14,일일실시사항!$F415)=0,"업무구분 누락; ","")&amp;IF(AND(일일실시사항!$G415&lt;&gt;"",COUNTIF(사건마스터!$A$5:$A$64,일일실시사항!$G415)=0),"미등록 사건번호; ","")&amp;IF(일일실시사항!$H415="","실시 내용 없음; ","")&amp;IF(COUNTIF(코드설정!$F$5:$F$7,일일실시사항!$J415)=0,"진행상태 누락; ","")))</f>
        <v/>
      </c>
    </row>
    <row r="1448">
      <c r="A1448" s="26" t="inlineStr">
        <is>
          <t>일일실시사항</t>
        </is>
      </c>
      <c r="B1448" s="66" t="n">
        <v>416</v>
      </c>
      <c r="C1448" s="122">
        <f>IF($D1448="","",IFERROR(TEXT(일일실시사항!$B416,"yyyy-mm-dd"),"(날짜없음)")&amp;"  "&amp;일일실시사항!$D416&amp;"  "&amp;일일실시사항!$H416)</f>
        <v/>
      </c>
      <c r="D1448" s="122">
        <f>IF(NOT(COUNTBLANK(일일실시사항!$B416:$K416)&lt;10),"",TRIM(IF(일일실시사항!$B416="","일자 누락; ","")&amp;IF(COUNTIF(코드설정!$C$5:$C$24,일일실시사항!$D416)=0,"담당자 누락; ","")&amp;IF(COUNTIF(코드설정!$G$5:$G$14,일일실시사항!$F416)=0,"업무구분 누락; ","")&amp;IF(AND(일일실시사항!$G416&lt;&gt;"",COUNTIF(사건마스터!$A$5:$A$64,일일실시사항!$G416)=0),"미등록 사건번호; ","")&amp;IF(일일실시사항!$H416="","실시 내용 없음; ","")&amp;IF(COUNTIF(코드설정!$F$5:$F$7,일일실시사항!$J416)=0,"진행상태 누락; ","")))</f>
        <v/>
      </c>
    </row>
    <row r="1449">
      <c r="A1449" s="26" t="inlineStr">
        <is>
          <t>일일실시사항</t>
        </is>
      </c>
      <c r="B1449" s="66" t="n">
        <v>417</v>
      </c>
      <c r="C1449" s="122">
        <f>IF($D1449="","",IFERROR(TEXT(일일실시사항!$B417,"yyyy-mm-dd"),"(날짜없음)")&amp;"  "&amp;일일실시사항!$D417&amp;"  "&amp;일일실시사항!$H417)</f>
        <v/>
      </c>
      <c r="D1449" s="122">
        <f>IF(NOT(COUNTBLANK(일일실시사항!$B417:$K417)&lt;10),"",TRIM(IF(일일실시사항!$B417="","일자 누락; ","")&amp;IF(COUNTIF(코드설정!$C$5:$C$24,일일실시사항!$D417)=0,"담당자 누락; ","")&amp;IF(COUNTIF(코드설정!$G$5:$G$14,일일실시사항!$F417)=0,"업무구분 누락; ","")&amp;IF(AND(일일실시사항!$G417&lt;&gt;"",COUNTIF(사건마스터!$A$5:$A$64,일일실시사항!$G417)=0),"미등록 사건번호; ","")&amp;IF(일일실시사항!$H417="","실시 내용 없음; ","")&amp;IF(COUNTIF(코드설정!$F$5:$F$7,일일실시사항!$J417)=0,"진행상태 누락; ","")))</f>
        <v/>
      </c>
    </row>
    <row r="1450">
      <c r="A1450" s="26" t="inlineStr">
        <is>
          <t>일일실시사항</t>
        </is>
      </c>
      <c r="B1450" s="66" t="n">
        <v>418</v>
      </c>
      <c r="C1450" s="122">
        <f>IF($D1450="","",IFERROR(TEXT(일일실시사항!$B418,"yyyy-mm-dd"),"(날짜없음)")&amp;"  "&amp;일일실시사항!$D418&amp;"  "&amp;일일실시사항!$H418)</f>
        <v/>
      </c>
      <c r="D1450" s="122">
        <f>IF(NOT(COUNTBLANK(일일실시사항!$B418:$K418)&lt;10),"",TRIM(IF(일일실시사항!$B418="","일자 누락; ","")&amp;IF(COUNTIF(코드설정!$C$5:$C$24,일일실시사항!$D418)=0,"담당자 누락; ","")&amp;IF(COUNTIF(코드설정!$G$5:$G$14,일일실시사항!$F418)=0,"업무구분 누락; ","")&amp;IF(AND(일일실시사항!$G418&lt;&gt;"",COUNTIF(사건마스터!$A$5:$A$64,일일실시사항!$G418)=0),"미등록 사건번호; ","")&amp;IF(일일실시사항!$H418="","실시 내용 없음; ","")&amp;IF(COUNTIF(코드설정!$F$5:$F$7,일일실시사항!$J418)=0,"진행상태 누락; ","")))</f>
        <v/>
      </c>
    </row>
    <row r="1451">
      <c r="A1451" s="26" t="inlineStr">
        <is>
          <t>일일실시사항</t>
        </is>
      </c>
      <c r="B1451" s="66" t="n">
        <v>419</v>
      </c>
      <c r="C1451" s="122">
        <f>IF($D1451="","",IFERROR(TEXT(일일실시사항!$B419,"yyyy-mm-dd"),"(날짜없음)")&amp;"  "&amp;일일실시사항!$D419&amp;"  "&amp;일일실시사항!$H419)</f>
        <v/>
      </c>
      <c r="D1451" s="122">
        <f>IF(NOT(COUNTBLANK(일일실시사항!$B419:$K419)&lt;10),"",TRIM(IF(일일실시사항!$B419="","일자 누락; ","")&amp;IF(COUNTIF(코드설정!$C$5:$C$24,일일실시사항!$D419)=0,"담당자 누락; ","")&amp;IF(COUNTIF(코드설정!$G$5:$G$14,일일실시사항!$F419)=0,"업무구분 누락; ","")&amp;IF(AND(일일실시사항!$G419&lt;&gt;"",COUNTIF(사건마스터!$A$5:$A$64,일일실시사항!$G419)=0),"미등록 사건번호; ","")&amp;IF(일일실시사항!$H419="","실시 내용 없음; ","")&amp;IF(COUNTIF(코드설정!$F$5:$F$7,일일실시사항!$J419)=0,"진행상태 누락; ","")))</f>
        <v/>
      </c>
    </row>
    <row r="1452">
      <c r="A1452" s="26" t="inlineStr">
        <is>
          <t>일일실시사항</t>
        </is>
      </c>
      <c r="B1452" s="66" t="n">
        <v>420</v>
      </c>
      <c r="C1452" s="122">
        <f>IF($D1452="","",IFERROR(TEXT(일일실시사항!$B420,"yyyy-mm-dd"),"(날짜없음)")&amp;"  "&amp;일일실시사항!$D420&amp;"  "&amp;일일실시사항!$H420)</f>
        <v/>
      </c>
      <c r="D1452" s="122">
        <f>IF(NOT(COUNTBLANK(일일실시사항!$B420:$K420)&lt;10),"",TRIM(IF(일일실시사항!$B420="","일자 누락; ","")&amp;IF(COUNTIF(코드설정!$C$5:$C$24,일일실시사항!$D420)=0,"담당자 누락; ","")&amp;IF(COUNTIF(코드설정!$G$5:$G$14,일일실시사항!$F420)=0,"업무구분 누락; ","")&amp;IF(AND(일일실시사항!$G420&lt;&gt;"",COUNTIF(사건마스터!$A$5:$A$64,일일실시사항!$G420)=0),"미등록 사건번호; ","")&amp;IF(일일실시사항!$H420="","실시 내용 없음; ","")&amp;IF(COUNTIF(코드설정!$F$5:$F$7,일일실시사항!$J420)=0,"진행상태 누락; ","")))</f>
        <v/>
      </c>
    </row>
    <row r="1453">
      <c r="A1453" s="26" t="inlineStr">
        <is>
          <t>일일실시사항</t>
        </is>
      </c>
      <c r="B1453" s="66" t="n">
        <v>421</v>
      </c>
      <c r="C1453" s="122">
        <f>IF($D1453="","",IFERROR(TEXT(일일실시사항!$B421,"yyyy-mm-dd"),"(날짜없음)")&amp;"  "&amp;일일실시사항!$D421&amp;"  "&amp;일일실시사항!$H421)</f>
        <v/>
      </c>
      <c r="D1453" s="122">
        <f>IF(NOT(COUNTBLANK(일일실시사항!$B421:$K421)&lt;10),"",TRIM(IF(일일실시사항!$B421="","일자 누락; ","")&amp;IF(COUNTIF(코드설정!$C$5:$C$24,일일실시사항!$D421)=0,"담당자 누락; ","")&amp;IF(COUNTIF(코드설정!$G$5:$G$14,일일실시사항!$F421)=0,"업무구분 누락; ","")&amp;IF(AND(일일실시사항!$G421&lt;&gt;"",COUNTIF(사건마스터!$A$5:$A$64,일일실시사항!$G421)=0),"미등록 사건번호; ","")&amp;IF(일일실시사항!$H421="","실시 내용 없음; ","")&amp;IF(COUNTIF(코드설정!$F$5:$F$7,일일실시사항!$J421)=0,"진행상태 누락; ","")))</f>
        <v/>
      </c>
    </row>
    <row r="1454">
      <c r="A1454" s="26" t="inlineStr">
        <is>
          <t>일일실시사항</t>
        </is>
      </c>
      <c r="B1454" s="66" t="n">
        <v>422</v>
      </c>
      <c r="C1454" s="122">
        <f>IF($D1454="","",IFERROR(TEXT(일일실시사항!$B422,"yyyy-mm-dd"),"(날짜없음)")&amp;"  "&amp;일일실시사항!$D422&amp;"  "&amp;일일실시사항!$H422)</f>
        <v/>
      </c>
      <c r="D1454" s="122">
        <f>IF(NOT(COUNTBLANK(일일실시사항!$B422:$K422)&lt;10),"",TRIM(IF(일일실시사항!$B422="","일자 누락; ","")&amp;IF(COUNTIF(코드설정!$C$5:$C$24,일일실시사항!$D422)=0,"담당자 누락; ","")&amp;IF(COUNTIF(코드설정!$G$5:$G$14,일일실시사항!$F422)=0,"업무구분 누락; ","")&amp;IF(AND(일일실시사항!$G422&lt;&gt;"",COUNTIF(사건마스터!$A$5:$A$64,일일실시사항!$G422)=0),"미등록 사건번호; ","")&amp;IF(일일실시사항!$H422="","실시 내용 없음; ","")&amp;IF(COUNTIF(코드설정!$F$5:$F$7,일일실시사항!$J422)=0,"진행상태 누락; ","")))</f>
        <v/>
      </c>
    </row>
    <row r="1455">
      <c r="A1455" s="26" t="inlineStr">
        <is>
          <t>일일실시사항</t>
        </is>
      </c>
      <c r="B1455" s="66" t="n">
        <v>423</v>
      </c>
      <c r="C1455" s="122">
        <f>IF($D1455="","",IFERROR(TEXT(일일실시사항!$B423,"yyyy-mm-dd"),"(날짜없음)")&amp;"  "&amp;일일실시사항!$D423&amp;"  "&amp;일일실시사항!$H423)</f>
        <v/>
      </c>
      <c r="D1455" s="122">
        <f>IF(NOT(COUNTBLANK(일일실시사항!$B423:$K423)&lt;10),"",TRIM(IF(일일실시사항!$B423="","일자 누락; ","")&amp;IF(COUNTIF(코드설정!$C$5:$C$24,일일실시사항!$D423)=0,"담당자 누락; ","")&amp;IF(COUNTIF(코드설정!$G$5:$G$14,일일실시사항!$F423)=0,"업무구분 누락; ","")&amp;IF(AND(일일실시사항!$G423&lt;&gt;"",COUNTIF(사건마스터!$A$5:$A$64,일일실시사항!$G423)=0),"미등록 사건번호; ","")&amp;IF(일일실시사항!$H423="","실시 내용 없음; ","")&amp;IF(COUNTIF(코드설정!$F$5:$F$7,일일실시사항!$J423)=0,"진행상태 누락; ","")))</f>
        <v/>
      </c>
    </row>
    <row r="1456">
      <c r="A1456" s="26" t="inlineStr">
        <is>
          <t>일일실시사항</t>
        </is>
      </c>
      <c r="B1456" s="66" t="n">
        <v>424</v>
      </c>
      <c r="C1456" s="122">
        <f>IF($D1456="","",IFERROR(TEXT(일일실시사항!$B424,"yyyy-mm-dd"),"(날짜없음)")&amp;"  "&amp;일일실시사항!$D424&amp;"  "&amp;일일실시사항!$H424)</f>
        <v/>
      </c>
      <c r="D1456" s="122">
        <f>IF(NOT(COUNTBLANK(일일실시사항!$B424:$K424)&lt;10),"",TRIM(IF(일일실시사항!$B424="","일자 누락; ","")&amp;IF(COUNTIF(코드설정!$C$5:$C$24,일일실시사항!$D424)=0,"담당자 누락; ","")&amp;IF(COUNTIF(코드설정!$G$5:$G$14,일일실시사항!$F424)=0,"업무구분 누락; ","")&amp;IF(AND(일일실시사항!$G424&lt;&gt;"",COUNTIF(사건마스터!$A$5:$A$64,일일실시사항!$G424)=0),"미등록 사건번호; ","")&amp;IF(일일실시사항!$H424="","실시 내용 없음; ","")&amp;IF(COUNTIF(코드설정!$F$5:$F$7,일일실시사항!$J424)=0,"진행상태 누락; ","")))</f>
        <v/>
      </c>
    </row>
    <row r="1457">
      <c r="A1457" s="26" t="inlineStr">
        <is>
          <t>일일실시사항</t>
        </is>
      </c>
      <c r="B1457" s="66" t="n">
        <v>425</v>
      </c>
      <c r="C1457" s="122">
        <f>IF($D1457="","",IFERROR(TEXT(일일실시사항!$B425,"yyyy-mm-dd"),"(날짜없음)")&amp;"  "&amp;일일실시사항!$D425&amp;"  "&amp;일일실시사항!$H425)</f>
        <v/>
      </c>
      <c r="D1457" s="122">
        <f>IF(NOT(COUNTBLANK(일일실시사항!$B425:$K425)&lt;10),"",TRIM(IF(일일실시사항!$B425="","일자 누락; ","")&amp;IF(COUNTIF(코드설정!$C$5:$C$24,일일실시사항!$D425)=0,"담당자 누락; ","")&amp;IF(COUNTIF(코드설정!$G$5:$G$14,일일실시사항!$F425)=0,"업무구분 누락; ","")&amp;IF(AND(일일실시사항!$G425&lt;&gt;"",COUNTIF(사건마스터!$A$5:$A$64,일일실시사항!$G425)=0),"미등록 사건번호; ","")&amp;IF(일일실시사항!$H425="","실시 내용 없음; ","")&amp;IF(COUNTIF(코드설정!$F$5:$F$7,일일실시사항!$J425)=0,"진행상태 누락; ","")))</f>
        <v/>
      </c>
    </row>
    <row r="1458">
      <c r="A1458" s="26" t="inlineStr">
        <is>
          <t>일일실시사항</t>
        </is>
      </c>
      <c r="B1458" s="66" t="n">
        <v>426</v>
      </c>
      <c r="C1458" s="122">
        <f>IF($D1458="","",IFERROR(TEXT(일일실시사항!$B426,"yyyy-mm-dd"),"(날짜없음)")&amp;"  "&amp;일일실시사항!$D426&amp;"  "&amp;일일실시사항!$H426)</f>
        <v/>
      </c>
      <c r="D1458" s="122">
        <f>IF(NOT(COUNTBLANK(일일실시사항!$B426:$K426)&lt;10),"",TRIM(IF(일일실시사항!$B426="","일자 누락; ","")&amp;IF(COUNTIF(코드설정!$C$5:$C$24,일일실시사항!$D426)=0,"담당자 누락; ","")&amp;IF(COUNTIF(코드설정!$G$5:$G$14,일일실시사항!$F426)=0,"업무구분 누락; ","")&amp;IF(AND(일일실시사항!$G426&lt;&gt;"",COUNTIF(사건마스터!$A$5:$A$64,일일실시사항!$G426)=0),"미등록 사건번호; ","")&amp;IF(일일실시사항!$H426="","실시 내용 없음; ","")&amp;IF(COUNTIF(코드설정!$F$5:$F$7,일일실시사항!$J426)=0,"진행상태 누락; ","")))</f>
        <v/>
      </c>
    </row>
    <row r="1459">
      <c r="A1459" s="26" t="inlineStr">
        <is>
          <t>일일실시사항</t>
        </is>
      </c>
      <c r="B1459" s="66" t="n">
        <v>427</v>
      </c>
      <c r="C1459" s="122">
        <f>IF($D1459="","",IFERROR(TEXT(일일실시사항!$B427,"yyyy-mm-dd"),"(날짜없음)")&amp;"  "&amp;일일실시사항!$D427&amp;"  "&amp;일일실시사항!$H427)</f>
        <v/>
      </c>
      <c r="D1459" s="122">
        <f>IF(NOT(COUNTBLANK(일일실시사항!$B427:$K427)&lt;10),"",TRIM(IF(일일실시사항!$B427="","일자 누락; ","")&amp;IF(COUNTIF(코드설정!$C$5:$C$24,일일실시사항!$D427)=0,"담당자 누락; ","")&amp;IF(COUNTIF(코드설정!$G$5:$G$14,일일실시사항!$F427)=0,"업무구분 누락; ","")&amp;IF(AND(일일실시사항!$G427&lt;&gt;"",COUNTIF(사건마스터!$A$5:$A$64,일일실시사항!$G427)=0),"미등록 사건번호; ","")&amp;IF(일일실시사항!$H427="","실시 내용 없음; ","")&amp;IF(COUNTIF(코드설정!$F$5:$F$7,일일실시사항!$J427)=0,"진행상태 누락; ","")))</f>
        <v/>
      </c>
    </row>
    <row r="1460">
      <c r="A1460" s="26" t="inlineStr">
        <is>
          <t>일일실시사항</t>
        </is>
      </c>
      <c r="B1460" s="66" t="n">
        <v>428</v>
      </c>
      <c r="C1460" s="122">
        <f>IF($D1460="","",IFERROR(TEXT(일일실시사항!$B428,"yyyy-mm-dd"),"(날짜없음)")&amp;"  "&amp;일일실시사항!$D428&amp;"  "&amp;일일실시사항!$H428)</f>
        <v/>
      </c>
      <c r="D1460" s="122">
        <f>IF(NOT(COUNTBLANK(일일실시사항!$B428:$K428)&lt;10),"",TRIM(IF(일일실시사항!$B428="","일자 누락; ","")&amp;IF(COUNTIF(코드설정!$C$5:$C$24,일일실시사항!$D428)=0,"담당자 누락; ","")&amp;IF(COUNTIF(코드설정!$G$5:$G$14,일일실시사항!$F428)=0,"업무구분 누락; ","")&amp;IF(AND(일일실시사항!$G428&lt;&gt;"",COUNTIF(사건마스터!$A$5:$A$64,일일실시사항!$G428)=0),"미등록 사건번호; ","")&amp;IF(일일실시사항!$H428="","실시 내용 없음; ","")&amp;IF(COUNTIF(코드설정!$F$5:$F$7,일일실시사항!$J428)=0,"진행상태 누락; ","")))</f>
        <v/>
      </c>
    </row>
    <row r="1461">
      <c r="A1461" s="26" t="inlineStr">
        <is>
          <t>일일실시사항</t>
        </is>
      </c>
      <c r="B1461" s="66" t="n">
        <v>429</v>
      </c>
      <c r="C1461" s="122">
        <f>IF($D1461="","",IFERROR(TEXT(일일실시사항!$B429,"yyyy-mm-dd"),"(날짜없음)")&amp;"  "&amp;일일실시사항!$D429&amp;"  "&amp;일일실시사항!$H429)</f>
        <v/>
      </c>
      <c r="D1461" s="122">
        <f>IF(NOT(COUNTBLANK(일일실시사항!$B429:$K429)&lt;10),"",TRIM(IF(일일실시사항!$B429="","일자 누락; ","")&amp;IF(COUNTIF(코드설정!$C$5:$C$24,일일실시사항!$D429)=0,"담당자 누락; ","")&amp;IF(COUNTIF(코드설정!$G$5:$G$14,일일실시사항!$F429)=0,"업무구분 누락; ","")&amp;IF(AND(일일실시사항!$G429&lt;&gt;"",COUNTIF(사건마스터!$A$5:$A$64,일일실시사항!$G429)=0),"미등록 사건번호; ","")&amp;IF(일일실시사항!$H429="","실시 내용 없음; ","")&amp;IF(COUNTIF(코드설정!$F$5:$F$7,일일실시사항!$J429)=0,"진행상태 누락; ","")))</f>
        <v/>
      </c>
    </row>
    <row r="1462">
      <c r="A1462" s="26" t="inlineStr">
        <is>
          <t>일일실시사항</t>
        </is>
      </c>
      <c r="B1462" s="66" t="n">
        <v>430</v>
      </c>
      <c r="C1462" s="122">
        <f>IF($D1462="","",IFERROR(TEXT(일일실시사항!$B430,"yyyy-mm-dd"),"(날짜없음)")&amp;"  "&amp;일일실시사항!$D430&amp;"  "&amp;일일실시사항!$H430)</f>
        <v/>
      </c>
      <c r="D1462" s="122">
        <f>IF(NOT(COUNTBLANK(일일실시사항!$B430:$K430)&lt;10),"",TRIM(IF(일일실시사항!$B430="","일자 누락; ","")&amp;IF(COUNTIF(코드설정!$C$5:$C$24,일일실시사항!$D430)=0,"담당자 누락; ","")&amp;IF(COUNTIF(코드설정!$G$5:$G$14,일일실시사항!$F430)=0,"업무구분 누락; ","")&amp;IF(AND(일일실시사항!$G430&lt;&gt;"",COUNTIF(사건마스터!$A$5:$A$64,일일실시사항!$G430)=0),"미등록 사건번호; ","")&amp;IF(일일실시사항!$H430="","실시 내용 없음; ","")&amp;IF(COUNTIF(코드설정!$F$5:$F$7,일일실시사항!$J430)=0,"진행상태 누락; ","")))</f>
        <v/>
      </c>
    </row>
    <row r="1463">
      <c r="A1463" s="26" t="inlineStr">
        <is>
          <t>일일실시사항</t>
        </is>
      </c>
      <c r="B1463" s="66" t="n">
        <v>431</v>
      </c>
      <c r="C1463" s="122">
        <f>IF($D1463="","",IFERROR(TEXT(일일실시사항!$B431,"yyyy-mm-dd"),"(날짜없음)")&amp;"  "&amp;일일실시사항!$D431&amp;"  "&amp;일일실시사항!$H431)</f>
        <v/>
      </c>
      <c r="D1463" s="122">
        <f>IF(NOT(COUNTBLANK(일일실시사항!$B431:$K431)&lt;10),"",TRIM(IF(일일실시사항!$B431="","일자 누락; ","")&amp;IF(COUNTIF(코드설정!$C$5:$C$24,일일실시사항!$D431)=0,"담당자 누락; ","")&amp;IF(COUNTIF(코드설정!$G$5:$G$14,일일실시사항!$F431)=0,"업무구분 누락; ","")&amp;IF(AND(일일실시사항!$G431&lt;&gt;"",COUNTIF(사건마스터!$A$5:$A$64,일일실시사항!$G431)=0),"미등록 사건번호; ","")&amp;IF(일일실시사항!$H431="","실시 내용 없음; ","")&amp;IF(COUNTIF(코드설정!$F$5:$F$7,일일실시사항!$J431)=0,"진행상태 누락; ","")))</f>
        <v/>
      </c>
    </row>
    <row r="1464">
      <c r="A1464" s="26" t="inlineStr">
        <is>
          <t>일일실시사항</t>
        </is>
      </c>
      <c r="B1464" s="66" t="n">
        <v>432</v>
      </c>
      <c r="C1464" s="122">
        <f>IF($D1464="","",IFERROR(TEXT(일일실시사항!$B432,"yyyy-mm-dd"),"(날짜없음)")&amp;"  "&amp;일일실시사항!$D432&amp;"  "&amp;일일실시사항!$H432)</f>
        <v/>
      </c>
      <c r="D1464" s="122">
        <f>IF(NOT(COUNTBLANK(일일실시사항!$B432:$K432)&lt;10),"",TRIM(IF(일일실시사항!$B432="","일자 누락; ","")&amp;IF(COUNTIF(코드설정!$C$5:$C$24,일일실시사항!$D432)=0,"담당자 누락; ","")&amp;IF(COUNTIF(코드설정!$G$5:$G$14,일일실시사항!$F432)=0,"업무구분 누락; ","")&amp;IF(AND(일일실시사항!$G432&lt;&gt;"",COUNTIF(사건마스터!$A$5:$A$64,일일실시사항!$G432)=0),"미등록 사건번호; ","")&amp;IF(일일실시사항!$H432="","실시 내용 없음; ","")&amp;IF(COUNTIF(코드설정!$F$5:$F$7,일일실시사항!$J432)=0,"진행상태 누락; ","")))</f>
        <v/>
      </c>
    </row>
    <row r="1465">
      <c r="A1465" s="26" t="inlineStr">
        <is>
          <t>일일실시사항</t>
        </is>
      </c>
      <c r="B1465" s="66" t="n">
        <v>433</v>
      </c>
      <c r="C1465" s="122">
        <f>IF($D1465="","",IFERROR(TEXT(일일실시사항!$B433,"yyyy-mm-dd"),"(날짜없음)")&amp;"  "&amp;일일실시사항!$D433&amp;"  "&amp;일일실시사항!$H433)</f>
        <v/>
      </c>
      <c r="D1465" s="122">
        <f>IF(NOT(COUNTBLANK(일일실시사항!$B433:$K433)&lt;10),"",TRIM(IF(일일실시사항!$B433="","일자 누락; ","")&amp;IF(COUNTIF(코드설정!$C$5:$C$24,일일실시사항!$D433)=0,"담당자 누락; ","")&amp;IF(COUNTIF(코드설정!$G$5:$G$14,일일실시사항!$F433)=0,"업무구분 누락; ","")&amp;IF(AND(일일실시사항!$G433&lt;&gt;"",COUNTIF(사건마스터!$A$5:$A$64,일일실시사항!$G433)=0),"미등록 사건번호; ","")&amp;IF(일일실시사항!$H433="","실시 내용 없음; ","")&amp;IF(COUNTIF(코드설정!$F$5:$F$7,일일실시사항!$J433)=0,"진행상태 누락; ","")))</f>
        <v/>
      </c>
    </row>
    <row r="1466">
      <c r="A1466" s="26" t="inlineStr">
        <is>
          <t>일일실시사항</t>
        </is>
      </c>
      <c r="B1466" s="66" t="n">
        <v>434</v>
      </c>
      <c r="C1466" s="122">
        <f>IF($D1466="","",IFERROR(TEXT(일일실시사항!$B434,"yyyy-mm-dd"),"(날짜없음)")&amp;"  "&amp;일일실시사항!$D434&amp;"  "&amp;일일실시사항!$H434)</f>
        <v/>
      </c>
      <c r="D1466" s="122">
        <f>IF(NOT(COUNTBLANK(일일실시사항!$B434:$K434)&lt;10),"",TRIM(IF(일일실시사항!$B434="","일자 누락; ","")&amp;IF(COUNTIF(코드설정!$C$5:$C$24,일일실시사항!$D434)=0,"담당자 누락; ","")&amp;IF(COUNTIF(코드설정!$G$5:$G$14,일일실시사항!$F434)=0,"업무구분 누락; ","")&amp;IF(AND(일일실시사항!$G434&lt;&gt;"",COUNTIF(사건마스터!$A$5:$A$64,일일실시사항!$G434)=0),"미등록 사건번호; ","")&amp;IF(일일실시사항!$H434="","실시 내용 없음; ","")&amp;IF(COUNTIF(코드설정!$F$5:$F$7,일일실시사항!$J434)=0,"진행상태 누락; ","")))</f>
        <v/>
      </c>
    </row>
    <row r="1467">
      <c r="A1467" s="26" t="inlineStr">
        <is>
          <t>일일실시사항</t>
        </is>
      </c>
      <c r="B1467" s="66" t="n">
        <v>435</v>
      </c>
      <c r="C1467" s="122">
        <f>IF($D1467="","",IFERROR(TEXT(일일실시사항!$B435,"yyyy-mm-dd"),"(날짜없음)")&amp;"  "&amp;일일실시사항!$D435&amp;"  "&amp;일일실시사항!$H435)</f>
        <v/>
      </c>
      <c r="D1467" s="122">
        <f>IF(NOT(COUNTBLANK(일일실시사항!$B435:$K435)&lt;10),"",TRIM(IF(일일실시사항!$B435="","일자 누락; ","")&amp;IF(COUNTIF(코드설정!$C$5:$C$24,일일실시사항!$D435)=0,"담당자 누락; ","")&amp;IF(COUNTIF(코드설정!$G$5:$G$14,일일실시사항!$F435)=0,"업무구분 누락; ","")&amp;IF(AND(일일실시사항!$G435&lt;&gt;"",COUNTIF(사건마스터!$A$5:$A$64,일일실시사항!$G435)=0),"미등록 사건번호; ","")&amp;IF(일일실시사항!$H435="","실시 내용 없음; ","")&amp;IF(COUNTIF(코드설정!$F$5:$F$7,일일실시사항!$J435)=0,"진행상태 누락; ","")))</f>
        <v/>
      </c>
    </row>
    <row r="1468">
      <c r="A1468" s="26" t="inlineStr">
        <is>
          <t>일일실시사항</t>
        </is>
      </c>
      <c r="B1468" s="66" t="n">
        <v>436</v>
      </c>
      <c r="C1468" s="122">
        <f>IF($D1468="","",IFERROR(TEXT(일일실시사항!$B436,"yyyy-mm-dd"),"(날짜없음)")&amp;"  "&amp;일일실시사항!$D436&amp;"  "&amp;일일실시사항!$H436)</f>
        <v/>
      </c>
      <c r="D1468" s="122">
        <f>IF(NOT(COUNTBLANK(일일실시사항!$B436:$K436)&lt;10),"",TRIM(IF(일일실시사항!$B436="","일자 누락; ","")&amp;IF(COUNTIF(코드설정!$C$5:$C$24,일일실시사항!$D436)=0,"담당자 누락; ","")&amp;IF(COUNTIF(코드설정!$G$5:$G$14,일일실시사항!$F436)=0,"업무구분 누락; ","")&amp;IF(AND(일일실시사항!$G436&lt;&gt;"",COUNTIF(사건마스터!$A$5:$A$64,일일실시사항!$G436)=0),"미등록 사건번호; ","")&amp;IF(일일실시사항!$H436="","실시 내용 없음; ","")&amp;IF(COUNTIF(코드설정!$F$5:$F$7,일일실시사항!$J436)=0,"진행상태 누락; ","")))</f>
        <v/>
      </c>
    </row>
    <row r="1469">
      <c r="A1469" s="26" t="inlineStr">
        <is>
          <t>일일실시사항</t>
        </is>
      </c>
      <c r="B1469" s="66" t="n">
        <v>437</v>
      </c>
      <c r="C1469" s="122">
        <f>IF($D1469="","",IFERROR(TEXT(일일실시사항!$B437,"yyyy-mm-dd"),"(날짜없음)")&amp;"  "&amp;일일실시사항!$D437&amp;"  "&amp;일일실시사항!$H437)</f>
        <v/>
      </c>
      <c r="D1469" s="122">
        <f>IF(NOT(COUNTBLANK(일일실시사항!$B437:$K437)&lt;10),"",TRIM(IF(일일실시사항!$B437="","일자 누락; ","")&amp;IF(COUNTIF(코드설정!$C$5:$C$24,일일실시사항!$D437)=0,"담당자 누락; ","")&amp;IF(COUNTIF(코드설정!$G$5:$G$14,일일실시사항!$F437)=0,"업무구분 누락; ","")&amp;IF(AND(일일실시사항!$G437&lt;&gt;"",COUNTIF(사건마스터!$A$5:$A$64,일일실시사항!$G437)=0),"미등록 사건번호; ","")&amp;IF(일일실시사항!$H437="","실시 내용 없음; ","")&amp;IF(COUNTIF(코드설정!$F$5:$F$7,일일실시사항!$J437)=0,"진행상태 누락; ","")))</f>
        <v/>
      </c>
    </row>
    <row r="1470">
      <c r="A1470" s="26" t="inlineStr">
        <is>
          <t>일일실시사항</t>
        </is>
      </c>
      <c r="B1470" s="66" t="n">
        <v>438</v>
      </c>
      <c r="C1470" s="122">
        <f>IF($D1470="","",IFERROR(TEXT(일일실시사항!$B438,"yyyy-mm-dd"),"(날짜없음)")&amp;"  "&amp;일일실시사항!$D438&amp;"  "&amp;일일실시사항!$H438)</f>
        <v/>
      </c>
      <c r="D1470" s="122">
        <f>IF(NOT(COUNTBLANK(일일실시사항!$B438:$K438)&lt;10),"",TRIM(IF(일일실시사항!$B438="","일자 누락; ","")&amp;IF(COUNTIF(코드설정!$C$5:$C$24,일일실시사항!$D438)=0,"담당자 누락; ","")&amp;IF(COUNTIF(코드설정!$G$5:$G$14,일일실시사항!$F438)=0,"업무구분 누락; ","")&amp;IF(AND(일일실시사항!$G438&lt;&gt;"",COUNTIF(사건마스터!$A$5:$A$64,일일실시사항!$G438)=0),"미등록 사건번호; ","")&amp;IF(일일실시사항!$H438="","실시 내용 없음; ","")&amp;IF(COUNTIF(코드설정!$F$5:$F$7,일일실시사항!$J438)=0,"진행상태 누락; ","")))</f>
        <v/>
      </c>
    </row>
    <row r="1471">
      <c r="A1471" s="26" t="inlineStr">
        <is>
          <t>일일실시사항</t>
        </is>
      </c>
      <c r="B1471" s="66" t="n">
        <v>439</v>
      </c>
      <c r="C1471" s="122">
        <f>IF($D1471="","",IFERROR(TEXT(일일실시사항!$B439,"yyyy-mm-dd"),"(날짜없음)")&amp;"  "&amp;일일실시사항!$D439&amp;"  "&amp;일일실시사항!$H439)</f>
        <v/>
      </c>
      <c r="D1471" s="122">
        <f>IF(NOT(COUNTBLANK(일일실시사항!$B439:$K439)&lt;10),"",TRIM(IF(일일실시사항!$B439="","일자 누락; ","")&amp;IF(COUNTIF(코드설정!$C$5:$C$24,일일실시사항!$D439)=0,"담당자 누락; ","")&amp;IF(COUNTIF(코드설정!$G$5:$G$14,일일실시사항!$F439)=0,"업무구분 누락; ","")&amp;IF(AND(일일실시사항!$G439&lt;&gt;"",COUNTIF(사건마스터!$A$5:$A$64,일일실시사항!$G439)=0),"미등록 사건번호; ","")&amp;IF(일일실시사항!$H439="","실시 내용 없음; ","")&amp;IF(COUNTIF(코드설정!$F$5:$F$7,일일실시사항!$J439)=0,"진행상태 누락; ","")))</f>
        <v/>
      </c>
    </row>
    <row r="1472">
      <c r="A1472" s="26" t="inlineStr">
        <is>
          <t>일일실시사항</t>
        </is>
      </c>
      <c r="B1472" s="66" t="n">
        <v>440</v>
      </c>
      <c r="C1472" s="122">
        <f>IF($D1472="","",IFERROR(TEXT(일일실시사항!$B440,"yyyy-mm-dd"),"(날짜없음)")&amp;"  "&amp;일일실시사항!$D440&amp;"  "&amp;일일실시사항!$H440)</f>
        <v/>
      </c>
      <c r="D1472" s="122">
        <f>IF(NOT(COUNTBLANK(일일실시사항!$B440:$K440)&lt;10),"",TRIM(IF(일일실시사항!$B440="","일자 누락; ","")&amp;IF(COUNTIF(코드설정!$C$5:$C$24,일일실시사항!$D440)=0,"담당자 누락; ","")&amp;IF(COUNTIF(코드설정!$G$5:$G$14,일일실시사항!$F440)=0,"업무구분 누락; ","")&amp;IF(AND(일일실시사항!$G440&lt;&gt;"",COUNTIF(사건마스터!$A$5:$A$64,일일실시사항!$G440)=0),"미등록 사건번호; ","")&amp;IF(일일실시사항!$H440="","실시 내용 없음; ","")&amp;IF(COUNTIF(코드설정!$F$5:$F$7,일일실시사항!$J440)=0,"진행상태 누락; ","")))</f>
        <v/>
      </c>
    </row>
    <row r="1473">
      <c r="A1473" s="26" t="inlineStr">
        <is>
          <t>일일실시사항</t>
        </is>
      </c>
      <c r="B1473" s="66" t="n">
        <v>441</v>
      </c>
      <c r="C1473" s="122">
        <f>IF($D1473="","",IFERROR(TEXT(일일실시사항!$B441,"yyyy-mm-dd"),"(날짜없음)")&amp;"  "&amp;일일실시사항!$D441&amp;"  "&amp;일일실시사항!$H441)</f>
        <v/>
      </c>
      <c r="D1473" s="122">
        <f>IF(NOT(COUNTBLANK(일일실시사항!$B441:$K441)&lt;10),"",TRIM(IF(일일실시사항!$B441="","일자 누락; ","")&amp;IF(COUNTIF(코드설정!$C$5:$C$24,일일실시사항!$D441)=0,"담당자 누락; ","")&amp;IF(COUNTIF(코드설정!$G$5:$G$14,일일실시사항!$F441)=0,"업무구분 누락; ","")&amp;IF(AND(일일실시사항!$G441&lt;&gt;"",COUNTIF(사건마스터!$A$5:$A$64,일일실시사항!$G441)=0),"미등록 사건번호; ","")&amp;IF(일일실시사항!$H441="","실시 내용 없음; ","")&amp;IF(COUNTIF(코드설정!$F$5:$F$7,일일실시사항!$J441)=0,"진행상태 누락; ","")))</f>
        <v/>
      </c>
    </row>
    <row r="1474">
      <c r="A1474" s="26" t="inlineStr">
        <is>
          <t>일일실시사항</t>
        </is>
      </c>
      <c r="B1474" s="66" t="n">
        <v>442</v>
      </c>
      <c r="C1474" s="122">
        <f>IF($D1474="","",IFERROR(TEXT(일일실시사항!$B442,"yyyy-mm-dd"),"(날짜없음)")&amp;"  "&amp;일일실시사항!$D442&amp;"  "&amp;일일실시사항!$H442)</f>
        <v/>
      </c>
      <c r="D1474" s="122">
        <f>IF(NOT(COUNTBLANK(일일실시사항!$B442:$K442)&lt;10),"",TRIM(IF(일일실시사항!$B442="","일자 누락; ","")&amp;IF(COUNTIF(코드설정!$C$5:$C$24,일일실시사항!$D442)=0,"담당자 누락; ","")&amp;IF(COUNTIF(코드설정!$G$5:$G$14,일일실시사항!$F442)=0,"업무구분 누락; ","")&amp;IF(AND(일일실시사항!$G442&lt;&gt;"",COUNTIF(사건마스터!$A$5:$A$64,일일실시사항!$G442)=0),"미등록 사건번호; ","")&amp;IF(일일실시사항!$H442="","실시 내용 없음; ","")&amp;IF(COUNTIF(코드설정!$F$5:$F$7,일일실시사항!$J442)=0,"진행상태 누락; ","")))</f>
        <v/>
      </c>
    </row>
    <row r="1475">
      <c r="A1475" s="26" t="inlineStr">
        <is>
          <t>일일실시사항</t>
        </is>
      </c>
      <c r="B1475" s="66" t="n">
        <v>443</v>
      </c>
      <c r="C1475" s="122">
        <f>IF($D1475="","",IFERROR(TEXT(일일실시사항!$B443,"yyyy-mm-dd"),"(날짜없음)")&amp;"  "&amp;일일실시사항!$D443&amp;"  "&amp;일일실시사항!$H443)</f>
        <v/>
      </c>
      <c r="D1475" s="122">
        <f>IF(NOT(COUNTBLANK(일일실시사항!$B443:$K443)&lt;10),"",TRIM(IF(일일실시사항!$B443="","일자 누락; ","")&amp;IF(COUNTIF(코드설정!$C$5:$C$24,일일실시사항!$D443)=0,"담당자 누락; ","")&amp;IF(COUNTIF(코드설정!$G$5:$G$14,일일실시사항!$F443)=0,"업무구분 누락; ","")&amp;IF(AND(일일실시사항!$G443&lt;&gt;"",COUNTIF(사건마스터!$A$5:$A$64,일일실시사항!$G443)=0),"미등록 사건번호; ","")&amp;IF(일일실시사항!$H443="","실시 내용 없음; ","")&amp;IF(COUNTIF(코드설정!$F$5:$F$7,일일실시사항!$J443)=0,"진행상태 누락; ","")))</f>
        <v/>
      </c>
    </row>
    <row r="1476">
      <c r="A1476" s="26" t="inlineStr">
        <is>
          <t>일일실시사항</t>
        </is>
      </c>
      <c r="B1476" s="66" t="n">
        <v>444</v>
      </c>
      <c r="C1476" s="122">
        <f>IF($D1476="","",IFERROR(TEXT(일일실시사항!$B444,"yyyy-mm-dd"),"(날짜없음)")&amp;"  "&amp;일일실시사항!$D444&amp;"  "&amp;일일실시사항!$H444)</f>
        <v/>
      </c>
      <c r="D1476" s="122">
        <f>IF(NOT(COUNTBLANK(일일실시사항!$B444:$K444)&lt;10),"",TRIM(IF(일일실시사항!$B444="","일자 누락; ","")&amp;IF(COUNTIF(코드설정!$C$5:$C$24,일일실시사항!$D444)=0,"담당자 누락; ","")&amp;IF(COUNTIF(코드설정!$G$5:$G$14,일일실시사항!$F444)=0,"업무구분 누락; ","")&amp;IF(AND(일일실시사항!$G444&lt;&gt;"",COUNTIF(사건마스터!$A$5:$A$64,일일실시사항!$G444)=0),"미등록 사건번호; ","")&amp;IF(일일실시사항!$H444="","실시 내용 없음; ","")&amp;IF(COUNTIF(코드설정!$F$5:$F$7,일일실시사항!$J444)=0,"진행상태 누락; ","")))</f>
        <v/>
      </c>
    </row>
    <row r="1477">
      <c r="A1477" s="26" t="inlineStr">
        <is>
          <t>일일실시사항</t>
        </is>
      </c>
      <c r="B1477" s="66" t="n">
        <v>445</v>
      </c>
      <c r="C1477" s="122">
        <f>IF($D1477="","",IFERROR(TEXT(일일실시사항!$B445,"yyyy-mm-dd"),"(날짜없음)")&amp;"  "&amp;일일실시사항!$D445&amp;"  "&amp;일일실시사항!$H445)</f>
        <v/>
      </c>
      <c r="D1477" s="122">
        <f>IF(NOT(COUNTBLANK(일일실시사항!$B445:$K445)&lt;10),"",TRIM(IF(일일실시사항!$B445="","일자 누락; ","")&amp;IF(COUNTIF(코드설정!$C$5:$C$24,일일실시사항!$D445)=0,"담당자 누락; ","")&amp;IF(COUNTIF(코드설정!$G$5:$G$14,일일실시사항!$F445)=0,"업무구분 누락; ","")&amp;IF(AND(일일실시사항!$G445&lt;&gt;"",COUNTIF(사건마스터!$A$5:$A$64,일일실시사항!$G445)=0),"미등록 사건번호; ","")&amp;IF(일일실시사항!$H445="","실시 내용 없음; ","")&amp;IF(COUNTIF(코드설정!$F$5:$F$7,일일실시사항!$J445)=0,"진행상태 누락; ","")))</f>
        <v/>
      </c>
    </row>
    <row r="1478">
      <c r="A1478" s="26" t="inlineStr">
        <is>
          <t>일일실시사항</t>
        </is>
      </c>
      <c r="B1478" s="66" t="n">
        <v>446</v>
      </c>
      <c r="C1478" s="122">
        <f>IF($D1478="","",IFERROR(TEXT(일일실시사항!$B446,"yyyy-mm-dd"),"(날짜없음)")&amp;"  "&amp;일일실시사항!$D446&amp;"  "&amp;일일실시사항!$H446)</f>
        <v/>
      </c>
      <c r="D1478" s="122">
        <f>IF(NOT(COUNTBLANK(일일실시사항!$B446:$K446)&lt;10),"",TRIM(IF(일일실시사항!$B446="","일자 누락; ","")&amp;IF(COUNTIF(코드설정!$C$5:$C$24,일일실시사항!$D446)=0,"담당자 누락; ","")&amp;IF(COUNTIF(코드설정!$G$5:$G$14,일일실시사항!$F446)=0,"업무구분 누락; ","")&amp;IF(AND(일일실시사항!$G446&lt;&gt;"",COUNTIF(사건마스터!$A$5:$A$64,일일실시사항!$G446)=0),"미등록 사건번호; ","")&amp;IF(일일실시사항!$H446="","실시 내용 없음; ","")&amp;IF(COUNTIF(코드설정!$F$5:$F$7,일일실시사항!$J446)=0,"진행상태 누락; ","")))</f>
        <v/>
      </c>
    </row>
    <row r="1479">
      <c r="A1479" s="26" t="inlineStr">
        <is>
          <t>일일실시사항</t>
        </is>
      </c>
      <c r="B1479" s="66" t="n">
        <v>447</v>
      </c>
      <c r="C1479" s="122">
        <f>IF($D1479="","",IFERROR(TEXT(일일실시사항!$B447,"yyyy-mm-dd"),"(날짜없음)")&amp;"  "&amp;일일실시사항!$D447&amp;"  "&amp;일일실시사항!$H447)</f>
        <v/>
      </c>
      <c r="D1479" s="122">
        <f>IF(NOT(COUNTBLANK(일일실시사항!$B447:$K447)&lt;10),"",TRIM(IF(일일실시사항!$B447="","일자 누락; ","")&amp;IF(COUNTIF(코드설정!$C$5:$C$24,일일실시사항!$D447)=0,"담당자 누락; ","")&amp;IF(COUNTIF(코드설정!$G$5:$G$14,일일실시사항!$F447)=0,"업무구분 누락; ","")&amp;IF(AND(일일실시사항!$G447&lt;&gt;"",COUNTIF(사건마스터!$A$5:$A$64,일일실시사항!$G447)=0),"미등록 사건번호; ","")&amp;IF(일일실시사항!$H447="","실시 내용 없음; ","")&amp;IF(COUNTIF(코드설정!$F$5:$F$7,일일실시사항!$J447)=0,"진행상태 누락; ","")))</f>
        <v/>
      </c>
    </row>
    <row r="1480">
      <c r="A1480" s="26" t="inlineStr">
        <is>
          <t>일일실시사항</t>
        </is>
      </c>
      <c r="B1480" s="66" t="n">
        <v>448</v>
      </c>
      <c r="C1480" s="122">
        <f>IF($D1480="","",IFERROR(TEXT(일일실시사항!$B448,"yyyy-mm-dd"),"(날짜없음)")&amp;"  "&amp;일일실시사항!$D448&amp;"  "&amp;일일실시사항!$H448)</f>
        <v/>
      </c>
      <c r="D1480" s="122">
        <f>IF(NOT(COUNTBLANK(일일실시사항!$B448:$K448)&lt;10),"",TRIM(IF(일일실시사항!$B448="","일자 누락; ","")&amp;IF(COUNTIF(코드설정!$C$5:$C$24,일일실시사항!$D448)=0,"담당자 누락; ","")&amp;IF(COUNTIF(코드설정!$G$5:$G$14,일일실시사항!$F448)=0,"업무구분 누락; ","")&amp;IF(AND(일일실시사항!$G448&lt;&gt;"",COUNTIF(사건마스터!$A$5:$A$64,일일실시사항!$G448)=0),"미등록 사건번호; ","")&amp;IF(일일실시사항!$H448="","실시 내용 없음; ","")&amp;IF(COUNTIF(코드설정!$F$5:$F$7,일일실시사항!$J448)=0,"진행상태 누락; ","")))</f>
        <v/>
      </c>
    </row>
    <row r="1481">
      <c r="A1481" s="26" t="inlineStr">
        <is>
          <t>일일실시사항</t>
        </is>
      </c>
      <c r="B1481" s="66" t="n">
        <v>449</v>
      </c>
      <c r="C1481" s="122">
        <f>IF($D1481="","",IFERROR(TEXT(일일실시사항!$B449,"yyyy-mm-dd"),"(날짜없음)")&amp;"  "&amp;일일실시사항!$D449&amp;"  "&amp;일일실시사항!$H449)</f>
        <v/>
      </c>
      <c r="D1481" s="122">
        <f>IF(NOT(COUNTBLANK(일일실시사항!$B449:$K449)&lt;10),"",TRIM(IF(일일실시사항!$B449="","일자 누락; ","")&amp;IF(COUNTIF(코드설정!$C$5:$C$24,일일실시사항!$D449)=0,"담당자 누락; ","")&amp;IF(COUNTIF(코드설정!$G$5:$G$14,일일실시사항!$F449)=0,"업무구분 누락; ","")&amp;IF(AND(일일실시사항!$G449&lt;&gt;"",COUNTIF(사건마스터!$A$5:$A$64,일일실시사항!$G449)=0),"미등록 사건번호; ","")&amp;IF(일일실시사항!$H449="","실시 내용 없음; ","")&amp;IF(COUNTIF(코드설정!$F$5:$F$7,일일실시사항!$J449)=0,"진행상태 누락; ","")))</f>
        <v/>
      </c>
    </row>
    <row r="1482">
      <c r="A1482" s="26" t="inlineStr">
        <is>
          <t>일일실시사항</t>
        </is>
      </c>
      <c r="B1482" s="66" t="n">
        <v>450</v>
      </c>
      <c r="C1482" s="122">
        <f>IF($D1482="","",IFERROR(TEXT(일일실시사항!$B450,"yyyy-mm-dd"),"(날짜없음)")&amp;"  "&amp;일일실시사항!$D450&amp;"  "&amp;일일실시사항!$H450)</f>
        <v/>
      </c>
      <c r="D1482" s="122">
        <f>IF(NOT(COUNTBLANK(일일실시사항!$B450:$K450)&lt;10),"",TRIM(IF(일일실시사항!$B450="","일자 누락; ","")&amp;IF(COUNTIF(코드설정!$C$5:$C$24,일일실시사항!$D450)=0,"담당자 누락; ","")&amp;IF(COUNTIF(코드설정!$G$5:$G$14,일일실시사항!$F450)=0,"업무구분 누락; ","")&amp;IF(AND(일일실시사항!$G450&lt;&gt;"",COUNTIF(사건마스터!$A$5:$A$64,일일실시사항!$G450)=0),"미등록 사건번호; ","")&amp;IF(일일실시사항!$H450="","실시 내용 없음; ","")&amp;IF(COUNTIF(코드설정!$F$5:$F$7,일일실시사항!$J450)=0,"진행상태 누락; ","")))</f>
        <v/>
      </c>
    </row>
    <row r="1483">
      <c r="A1483" s="26" t="inlineStr">
        <is>
          <t>일일실시사항</t>
        </is>
      </c>
      <c r="B1483" s="66" t="n">
        <v>451</v>
      </c>
      <c r="C1483" s="122">
        <f>IF($D1483="","",IFERROR(TEXT(일일실시사항!$B451,"yyyy-mm-dd"),"(날짜없음)")&amp;"  "&amp;일일실시사항!$D451&amp;"  "&amp;일일실시사항!$H451)</f>
        <v/>
      </c>
      <c r="D1483" s="122">
        <f>IF(NOT(COUNTBLANK(일일실시사항!$B451:$K451)&lt;10),"",TRIM(IF(일일실시사항!$B451="","일자 누락; ","")&amp;IF(COUNTIF(코드설정!$C$5:$C$24,일일실시사항!$D451)=0,"담당자 누락; ","")&amp;IF(COUNTIF(코드설정!$G$5:$G$14,일일실시사항!$F451)=0,"업무구분 누락; ","")&amp;IF(AND(일일실시사항!$G451&lt;&gt;"",COUNTIF(사건마스터!$A$5:$A$64,일일실시사항!$G451)=0),"미등록 사건번호; ","")&amp;IF(일일실시사항!$H451="","실시 내용 없음; ","")&amp;IF(COUNTIF(코드설정!$F$5:$F$7,일일실시사항!$J451)=0,"진행상태 누락; ","")))</f>
        <v/>
      </c>
    </row>
    <row r="1484">
      <c r="A1484" s="26" t="inlineStr">
        <is>
          <t>일일실시사항</t>
        </is>
      </c>
      <c r="B1484" s="66" t="n">
        <v>452</v>
      </c>
      <c r="C1484" s="122">
        <f>IF($D1484="","",IFERROR(TEXT(일일실시사항!$B452,"yyyy-mm-dd"),"(날짜없음)")&amp;"  "&amp;일일실시사항!$D452&amp;"  "&amp;일일실시사항!$H452)</f>
        <v/>
      </c>
      <c r="D1484" s="122">
        <f>IF(NOT(COUNTBLANK(일일실시사항!$B452:$K452)&lt;10),"",TRIM(IF(일일실시사항!$B452="","일자 누락; ","")&amp;IF(COUNTIF(코드설정!$C$5:$C$24,일일실시사항!$D452)=0,"담당자 누락; ","")&amp;IF(COUNTIF(코드설정!$G$5:$G$14,일일실시사항!$F452)=0,"업무구분 누락; ","")&amp;IF(AND(일일실시사항!$G452&lt;&gt;"",COUNTIF(사건마스터!$A$5:$A$64,일일실시사항!$G452)=0),"미등록 사건번호; ","")&amp;IF(일일실시사항!$H452="","실시 내용 없음; ","")&amp;IF(COUNTIF(코드설정!$F$5:$F$7,일일실시사항!$J452)=0,"진행상태 누락; ","")))</f>
        <v/>
      </c>
    </row>
    <row r="1485">
      <c r="A1485" s="26" t="inlineStr">
        <is>
          <t>일일실시사항</t>
        </is>
      </c>
      <c r="B1485" s="66" t="n">
        <v>453</v>
      </c>
      <c r="C1485" s="122">
        <f>IF($D1485="","",IFERROR(TEXT(일일실시사항!$B453,"yyyy-mm-dd"),"(날짜없음)")&amp;"  "&amp;일일실시사항!$D453&amp;"  "&amp;일일실시사항!$H453)</f>
        <v/>
      </c>
      <c r="D1485" s="122">
        <f>IF(NOT(COUNTBLANK(일일실시사항!$B453:$K453)&lt;10),"",TRIM(IF(일일실시사항!$B453="","일자 누락; ","")&amp;IF(COUNTIF(코드설정!$C$5:$C$24,일일실시사항!$D453)=0,"담당자 누락; ","")&amp;IF(COUNTIF(코드설정!$G$5:$G$14,일일실시사항!$F453)=0,"업무구분 누락; ","")&amp;IF(AND(일일실시사항!$G453&lt;&gt;"",COUNTIF(사건마스터!$A$5:$A$64,일일실시사항!$G453)=0),"미등록 사건번호; ","")&amp;IF(일일실시사항!$H453="","실시 내용 없음; ","")&amp;IF(COUNTIF(코드설정!$F$5:$F$7,일일실시사항!$J453)=0,"진행상태 누락; ","")))</f>
        <v/>
      </c>
    </row>
    <row r="1486">
      <c r="A1486" s="26" t="inlineStr">
        <is>
          <t>일일실시사항</t>
        </is>
      </c>
      <c r="B1486" s="66" t="n">
        <v>454</v>
      </c>
      <c r="C1486" s="122">
        <f>IF($D1486="","",IFERROR(TEXT(일일실시사항!$B454,"yyyy-mm-dd"),"(날짜없음)")&amp;"  "&amp;일일실시사항!$D454&amp;"  "&amp;일일실시사항!$H454)</f>
        <v/>
      </c>
      <c r="D1486" s="122">
        <f>IF(NOT(COUNTBLANK(일일실시사항!$B454:$K454)&lt;10),"",TRIM(IF(일일실시사항!$B454="","일자 누락; ","")&amp;IF(COUNTIF(코드설정!$C$5:$C$24,일일실시사항!$D454)=0,"담당자 누락; ","")&amp;IF(COUNTIF(코드설정!$G$5:$G$14,일일실시사항!$F454)=0,"업무구분 누락; ","")&amp;IF(AND(일일실시사항!$G454&lt;&gt;"",COUNTIF(사건마스터!$A$5:$A$64,일일실시사항!$G454)=0),"미등록 사건번호; ","")&amp;IF(일일실시사항!$H454="","실시 내용 없음; ","")&amp;IF(COUNTIF(코드설정!$F$5:$F$7,일일실시사항!$J454)=0,"진행상태 누락; ","")))</f>
        <v/>
      </c>
    </row>
    <row r="1487">
      <c r="A1487" s="26" t="inlineStr">
        <is>
          <t>일일실시사항</t>
        </is>
      </c>
      <c r="B1487" s="66" t="n">
        <v>455</v>
      </c>
      <c r="C1487" s="122">
        <f>IF($D1487="","",IFERROR(TEXT(일일실시사항!$B455,"yyyy-mm-dd"),"(날짜없음)")&amp;"  "&amp;일일실시사항!$D455&amp;"  "&amp;일일실시사항!$H455)</f>
        <v/>
      </c>
      <c r="D1487" s="122">
        <f>IF(NOT(COUNTBLANK(일일실시사항!$B455:$K455)&lt;10),"",TRIM(IF(일일실시사항!$B455="","일자 누락; ","")&amp;IF(COUNTIF(코드설정!$C$5:$C$24,일일실시사항!$D455)=0,"담당자 누락; ","")&amp;IF(COUNTIF(코드설정!$G$5:$G$14,일일실시사항!$F455)=0,"업무구분 누락; ","")&amp;IF(AND(일일실시사항!$G455&lt;&gt;"",COUNTIF(사건마스터!$A$5:$A$64,일일실시사항!$G455)=0),"미등록 사건번호; ","")&amp;IF(일일실시사항!$H455="","실시 내용 없음; ","")&amp;IF(COUNTIF(코드설정!$F$5:$F$7,일일실시사항!$J455)=0,"진행상태 누락; ","")))</f>
        <v/>
      </c>
    </row>
    <row r="1488">
      <c r="A1488" s="26" t="inlineStr">
        <is>
          <t>일일실시사항</t>
        </is>
      </c>
      <c r="B1488" s="66" t="n">
        <v>456</v>
      </c>
      <c r="C1488" s="122">
        <f>IF($D1488="","",IFERROR(TEXT(일일실시사항!$B456,"yyyy-mm-dd"),"(날짜없음)")&amp;"  "&amp;일일실시사항!$D456&amp;"  "&amp;일일실시사항!$H456)</f>
        <v/>
      </c>
      <c r="D1488" s="122">
        <f>IF(NOT(COUNTBLANK(일일실시사항!$B456:$K456)&lt;10),"",TRIM(IF(일일실시사항!$B456="","일자 누락; ","")&amp;IF(COUNTIF(코드설정!$C$5:$C$24,일일실시사항!$D456)=0,"담당자 누락; ","")&amp;IF(COUNTIF(코드설정!$G$5:$G$14,일일실시사항!$F456)=0,"업무구분 누락; ","")&amp;IF(AND(일일실시사항!$G456&lt;&gt;"",COUNTIF(사건마스터!$A$5:$A$64,일일실시사항!$G456)=0),"미등록 사건번호; ","")&amp;IF(일일실시사항!$H456="","실시 내용 없음; ","")&amp;IF(COUNTIF(코드설정!$F$5:$F$7,일일실시사항!$J456)=0,"진행상태 누락; ","")))</f>
        <v/>
      </c>
    </row>
    <row r="1489">
      <c r="A1489" s="26" t="inlineStr">
        <is>
          <t>일일실시사항</t>
        </is>
      </c>
      <c r="B1489" s="66" t="n">
        <v>457</v>
      </c>
      <c r="C1489" s="122">
        <f>IF($D1489="","",IFERROR(TEXT(일일실시사항!$B457,"yyyy-mm-dd"),"(날짜없음)")&amp;"  "&amp;일일실시사항!$D457&amp;"  "&amp;일일실시사항!$H457)</f>
        <v/>
      </c>
      <c r="D1489" s="122">
        <f>IF(NOT(COUNTBLANK(일일실시사항!$B457:$K457)&lt;10),"",TRIM(IF(일일실시사항!$B457="","일자 누락; ","")&amp;IF(COUNTIF(코드설정!$C$5:$C$24,일일실시사항!$D457)=0,"담당자 누락; ","")&amp;IF(COUNTIF(코드설정!$G$5:$G$14,일일실시사항!$F457)=0,"업무구분 누락; ","")&amp;IF(AND(일일실시사항!$G457&lt;&gt;"",COUNTIF(사건마스터!$A$5:$A$64,일일실시사항!$G457)=0),"미등록 사건번호; ","")&amp;IF(일일실시사항!$H457="","실시 내용 없음; ","")&amp;IF(COUNTIF(코드설정!$F$5:$F$7,일일실시사항!$J457)=0,"진행상태 누락; ","")))</f>
        <v/>
      </c>
    </row>
    <row r="1490">
      <c r="A1490" s="26" t="inlineStr">
        <is>
          <t>일일실시사항</t>
        </is>
      </c>
      <c r="B1490" s="66" t="n">
        <v>458</v>
      </c>
      <c r="C1490" s="122">
        <f>IF($D1490="","",IFERROR(TEXT(일일실시사항!$B458,"yyyy-mm-dd"),"(날짜없음)")&amp;"  "&amp;일일실시사항!$D458&amp;"  "&amp;일일실시사항!$H458)</f>
        <v/>
      </c>
      <c r="D1490" s="122">
        <f>IF(NOT(COUNTBLANK(일일실시사항!$B458:$K458)&lt;10),"",TRIM(IF(일일실시사항!$B458="","일자 누락; ","")&amp;IF(COUNTIF(코드설정!$C$5:$C$24,일일실시사항!$D458)=0,"담당자 누락; ","")&amp;IF(COUNTIF(코드설정!$G$5:$G$14,일일실시사항!$F458)=0,"업무구분 누락; ","")&amp;IF(AND(일일실시사항!$G458&lt;&gt;"",COUNTIF(사건마스터!$A$5:$A$64,일일실시사항!$G458)=0),"미등록 사건번호; ","")&amp;IF(일일실시사항!$H458="","실시 내용 없음; ","")&amp;IF(COUNTIF(코드설정!$F$5:$F$7,일일실시사항!$J458)=0,"진행상태 누락; ","")))</f>
        <v/>
      </c>
    </row>
    <row r="1491">
      <c r="A1491" s="26" t="inlineStr">
        <is>
          <t>일일실시사항</t>
        </is>
      </c>
      <c r="B1491" s="66" t="n">
        <v>459</v>
      </c>
      <c r="C1491" s="122">
        <f>IF($D1491="","",IFERROR(TEXT(일일실시사항!$B459,"yyyy-mm-dd"),"(날짜없음)")&amp;"  "&amp;일일실시사항!$D459&amp;"  "&amp;일일실시사항!$H459)</f>
        <v/>
      </c>
      <c r="D1491" s="122">
        <f>IF(NOT(COUNTBLANK(일일실시사항!$B459:$K459)&lt;10),"",TRIM(IF(일일실시사항!$B459="","일자 누락; ","")&amp;IF(COUNTIF(코드설정!$C$5:$C$24,일일실시사항!$D459)=0,"담당자 누락; ","")&amp;IF(COUNTIF(코드설정!$G$5:$G$14,일일실시사항!$F459)=0,"업무구분 누락; ","")&amp;IF(AND(일일실시사항!$G459&lt;&gt;"",COUNTIF(사건마스터!$A$5:$A$64,일일실시사항!$G459)=0),"미등록 사건번호; ","")&amp;IF(일일실시사항!$H459="","실시 내용 없음; ","")&amp;IF(COUNTIF(코드설정!$F$5:$F$7,일일실시사항!$J459)=0,"진행상태 누락; ","")))</f>
        <v/>
      </c>
    </row>
    <row r="1492">
      <c r="A1492" s="26" t="inlineStr">
        <is>
          <t>일일실시사항</t>
        </is>
      </c>
      <c r="B1492" s="66" t="n">
        <v>460</v>
      </c>
      <c r="C1492" s="122">
        <f>IF($D1492="","",IFERROR(TEXT(일일실시사항!$B460,"yyyy-mm-dd"),"(날짜없음)")&amp;"  "&amp;일일실시사항!$D460&amp;"  "&amp;일일실시사항!$H460)</f>
        <v/>
      </c>
      <c r="D1492" s="122">
        <f>IF(NOT(COUNTBLANK(일일실시사항!$B460:$K460)&lt;10),"",TRIM(IF(일일실시사항!$B460="","일자 누락; ","")&amp;IF(COUNTIF(코드설정!$C$5:$C$24,일일실시사항!$D460)=0,"담당자 누락; ","")&amp;IF(COUNTIF(코드설정!$G$5:$G$14,일일실시사항!$F460)=0,"업무구분 누락; ","")&amp;IF(AND(일일실시사항!$G460&lt;&gt;"",COUNTIF(사건마스터!$A$5:$A$64,일일실시사항!$G460)=0),"미등록 사건번호; ","")&amp;IF(일일실시사항!$H460="","실시 내용 없음; ","")&amp;IF(COUNTIF(코드설정!$F$5:$F$7,일일실시사항!$J460)=0,"진행상태 누락; ","")))</f>
        <v/>
      </c>
    </row>
    <row r="1493">
      <c r="A1493" s="26" t="inlineStr">
        <is>
          <t>일일실시사항</t>
        </is>
      </c>
      <c r="B1493" s="66" t="n">
        <v>461</v>
      </c>
      <c r="C1493" s="122">
        <f>IF($D1493="","",IFERROR(TEXT(일일실시사항!$B461,"yyyy-mm-dd"),"(날짜없음)")&amp;"  "&amp;일일실시사항!$D461&amp;"  "&amp;일일실시사항!$H461)</f>
        <v/>
      </c>
      <c r="D1493" s="122">
        <f>IF(NOT(COUNTBLANK(일일실시사항!$B461:$K461)&lt;10),"",TRIM(IF(일일실시사항!$B461="","일자 누락; ","")&amp;IF(COUNTIF(코드설정!$C$5:$C$24,일일실시사항!$D461)=0,"담당자 누락; ","")&amp;IF(COUNTIF(코드설정!$G$5:$G$14,일일실시사항!$F461)=0,"업무구분 누락; ","")&amp;IF(AND(일일실시사항!$G461&lt;&gt;"",COUNTIF(사건마스터!$A$5:$A$64,일일실시사항!$G461)=0),"미등록 사건번호; ","")&amp;IF(일일실시사항!$H461="","실시 내용 없음; ","")&amp;IF(COUNTIF(코드설정!$F$5:$F$7,일일실시사항!$J461)=0,"진행상태 누락; ","")))</f>
        <v/>
      </c>
    </row>
    <row r="1494">
      <c r="A1494" s="26" t="inlineStr">
        <is>
          <t>일일실시사항</t>
        </is>
      </c>
      <c r="B1494" s="66" t="n">
        <v>462</v>
      </c>
      <c r="C1494" s="122">
        <f>IF($D1494="","",IFERROR(TEXT(일일실시사항!$B462,"yyyy-mm-dd"),"(날짜없음)")&amp;"  "&amp;일일실시사항!$D462&amp;"  "&amp;일일실시사항!$H462)</f>
        <v/>
      </c>
      <c r="D1494" s="122">
        <f>IF(NOT(COUNTBLANK(일일실시사항!$B462:$K462)&lt;10),"",TRIM(IF(일일실시사항!$B462="","일자 누락; ","")&amp;IF(COUNTIF(코드설정!$C$5:$C$24,일일실시사항!$D462)=0,"담당자 누락; ","")&amp;IF(COUNTIF(코드설정!$G$5:$G$14,일일실시사항!$F462)=0,"업무구분 누락; ","")&amp;IF(AND(일일실시사항!$G462&lt;&gt;"",COUNTIF(사건마스터!$A$5:$A$64,일일실시사항!$G462)=0),"미등록 사건번호; ","")&amp;IF(일일실시사항!$H462="","실시 내용 없음; ","")&amp;IF(COUNTIF(코드설정!$F$5:$F$7,일일실시사항!$J462)=0,"진행상태 누락; ","")))</f>
        <v/>
      </c>
    </row>
    <row r="1495">
      <c r="A1495" s="26" t="inlineStr">
        <is>
          <t>일일실시사항</t>
        </is>
      </c>
      <c r="B1495" s="66" t="n">
        <v>463</v>
      </c>
      <c r="C1495" s="122">
        <f>IF($D1495="","",IFERROR(TEXT(일일실시사항!$B463,"yyyy-mm-dd"),"(날짜없음)")&amp;"  "&amp;일일실시사항!$D463&amp;"  "&amp;일일실시사항!$H463)</f>
        <v/>
      </c>
      <c r="D1495" s="122">
        <f>IF(NOT(COUNTBLANK(일일실시사항!$B463:$K463)&lt;10),"",TRIM(IF(일일실시사항!$B463="","일자 누락; ","")&amp;IF(COUNTIF(코드설정!$C$5:$C$24,일일실시사항!$D463)=0,"담당자 누락; ","")&amp;IF(COUNTIF(코드설정!$G$5:$G$14,일일실시사항!$F463)=0,"업무구분 누락; ","")&amp;IF(AND(일일실시사항!$G463&lt;&gt;"",COUNTIF(사건마스터!$A$5:$A$64,일일실시사항!$G463)=0),"미등록 사건번호; ","")&amp;IF(일일실시사항!$H463="","실시 내용 없음; ","")&amp;IF(COUNTIF(코드설정!$F$5:$F$7,일일실시사항!$J463)=0,"진행상태 누락; ","")))</f>
        <v/>
      </c>
    </row>
    <row r="1496">
      <c r="A1496" s="26" t="inlineStr">
        <is>
          <t>일일실시사항</t>
        </is>
      </c>
      <c r="B1496" s="66" t="n">
        <v>464</v>
      </c>
      <c r="C1496" s="122">
        <f>IF($D1496="","",IFERROR(TEXT(일일실시사항!$B464,"yyyy-mm-dd"),"(날짜없음)")&amp;"  "&amp;일일실시사항!$D464&amp;"  "&amp;일일실시사항!$H464)</f>
        <v/>
      </c>
      <c r="D1496" s="122">
        <f>IF(NOT(COUNTBLANK(일일실시사항!$B464:$K464)&lt;10),"",TRIM(IF(일일실시사항!$B464="","일자 누락; ","")&amp;IF(COUNTIF(코드설정!$C$5:$C$24,일일실시사항!$D464)=0,"담당자 누락; ","")&amp;IF(COUNTIF(코드설정!$G$5:$G$14,일일실시사항!$F464)=0,"업무구분 누락; ","")&amp;IF(AND(일일실시사항!$G464&lt;&gt;"",COUNTIF(사건마스터!$A$5:$A$64,일일실시사항!$G464)=0),"미등록 사건번호; ","")&amp;IF(일일실시사항!$H464="","실시 내용 없음; ","")&amp;IF(COUNTIF(코드설정!$F$5:$F$7,일일실시사항!$J464)=0,"진행상태 누락; ","")))</f>
        <v/>
      </c>
    </row>
    <row r="1497">
      <c r="A1497" s="26" t="inlineStr">
        <is>
          <t>일일실시사항</t>
        </is>
      </c>
      <c r="B1497" s="66" t="n">
        <v>465</v>
      </c>
      <c r="C1497" s="122">
        <f>IF($D1497="","",IFERROR(TEXT(일일실시사항!$B465,"yyyy-mm-dd"),"(날짜없음)")&amp;"  "&amp;일일실시사항!$D465&amp;"  "&amp;일일실시사항!$H465)</f>
        <v/>
      </c>
      <c r="D1497" s="122">
        <f>IF(NOT(COUNTBLANK(일일실시사항!$B465:$K465)&lt;10),"",TRIM(IF(일일실시사항!$B465="","일자 누락; ","")&amp;IF(COUNTIF(코드설정!$C$5:$C$24,일일실시사항!$D465)=0,"담당자 누락; ","")&amp;IF(COUNTIF(코드설정!$G$5:$G$14,일일실시사항!$F465)=0,"업무구분 누락; ","")&amp;IF(AND(일일실시사항!$G465&lt;&gt;"",COUNTIF(사건마스터!$A$5:$A$64,일일실시사항!$G465)=0),"미등록 사건번호; ","")&amp;IF(일일실시사항!$H465="","실시 내용 없음; ","")&amp;IF(COUNTIF(코드설정!$F$5:$F$7,일일실시사항!$J465)=0,"진행상태 누락; ","")))</f>
        <v/>
      </c>
    </row>
    <row r="1498">
      <c r="A1498" s="26" t="inlineStr">
        <is>
          <t>일일실시사항</t>
        </is>
      </c>
      <c r="B1498" s="66" t="n">
        <v>466</v>
      </c>
      <c r="C1498" s="122">
        <f>IF($D1498="","",IFERROR(TEXT(일일실시사항!$B466,"yyyy-mm-dd"),"(날짜없음)")&amp;"  "&amp;일일실시사항!$D466&amp;"  "&amp;일일실시사항!$H466)</f>
        <v/>
      </c>
      <c r="D1498" s="122">
        <f>IF(NOT(COUNTBLANK(일일실시사항!$B466:$K466)&lt;10),"",TRIM(IF(일일실시사항!$B466="","일자 누락; ","")&amp;IF(COUNTIF(코드설정!$C$5:$C$24,일일실시사항!$D466)=0,"담당자 누락; ","")&amp;IF(COUNTIF(코드설정!$G$5:$G$14,일일실시사항!$F466)=0,"업무구분 누락; ","")&amp;IF(AND(일일실시사항!$G466&lt;&gt;"",COUNTIF(사건마스터!$A$5:$A$64,일일실시사항!$G466)=0),"미등록 사건번호; ","")&amp;IF(일일실시사항!$H466="","실시 내용 없음; ","")&amp;IF(COUNTIF(코드설정!$F$5:$F$7,일일실시사항!$J466)=0,"진행상태 누락; ","")))</f>
        <v/>
      </c>
    </row>
    <row r="1499">
      <c r="A1499" s="26" t="inlineStr">
        <is>
          <t>일일실시사항</t>
        </is>
      </c>
      <c r="B1499" s="66" t="n">
        <v>467</v>
      </c>
      <c r="C1499" s="122">
        <f>IF($D1499="","",IFERROR(TEXT(일일실시사항!$B467,"yyyy-mm-dd"),"(날짜없음)")&amp;"  "&amp;일일실시사항!$D467&amp;"  "&amp;일일실시사항!$H467)</f>
        <v/>
      </c>
      <c r="D1499" s="122">
        <f>IF(NOT(COUNTBLANK(일일실시사항!$B467:$K467)&lt;10),"",TRIM(IF(일일실시사항!$B467="","일자 누락; ","")&amp;IF(COUNTIF(코드설정!$C$5:$C$24,일일실시사항!$D467)=0,"담당자 누락; ","")&amp;IF(COUNTIF(코드설정!$G$5:$G$14,일일실시사항!$F467)=0,"업무구분 누락; ","")&amp;IF(AND(일일실시사항!$G467&lt;&gt;"",COUNTIF(사건마스터!$A$5:$A$64,일일실시사항!$G467)=0),"미등록 사건번호; ","")&amp;IF(일일실시사항!$H467="","실시 내용 없음; ","")&amp;IF(COUNTIF(코드설정!$F$5:$F$7,일일실시사항!$J467)=0,"진행상태 누락; ","")))</f>
        <v/>
      </c>
    </row>
    <row r="1500">
      <c r="A1500" s="26" t="inlineStr">
        <is>
          <t>일일실시사항</t>
        </is>
      </c>
      <c r="B1500" s="66" t="n">
        <v>468</v>
      </c>
      <c r="C1500" s="122">
        <f>IF($D1500="","",IFERROR(TEXT(일일실시사항!$B468,"yyyy-mm-dd"),"(날짜없음)")&amp;"  "&amp;일일실시사항!$D468&amp;"  "&amp;일일실시사항!$H468)</f>
        <v/>
      </c>
      <c r="D1500" s="122">
        <f>IF(NOT(COUNTBLANK(일일실시사항!$B468:$K468)&lt;10),"",TRIM(IF(일일실시사항!$B468="","일자 누락; ","")&amp;IF(COUNTIF(코드설정!$C$5:$C$24,일일실시사항!$D468)=0,"담당자 누락; ","")&amp;IF(COUNTIF(코드설정!$G$5:$G$14,일일실시사항!$F468)=0,"업무구분 누락; ","")&amp;IF(AND(일일실시사항!$G468&lt;&gt;"",COUNTIF(사건마스터!$A$5:$A$64,일일실시사항!$G468)=0),"미등록 사건번호; ","")&amp;IF(일일실시사항!$H468="","실시 내용 없음; ","")&amp;IF(COUNTIF(코드설정!$F$5:$F$7,일일실시사항!$J468)=0,"진행상태 누락; ","")))</f>
        <v/>
      </c>
    </row>
    <row r="1501">
      <c r="A1501" s="26" t="inlineStr">
        <is>
          <t>일일실시사항</t>
        </is>
      </c>
      <c r="B1501" s="66" t="n">
        <v>469</v>
      </c>
      <c r="C1501" s="122">
        <f>IF($D1501="","",IFERROR(TEXT(일일실시사항!$B469,"yyyy-mm-dd"),"(날짜없음)")&amp;"  "&amp;일일실시사항!$D469&amp;"  "&amp;일일실시사항!$H469)</f>
        <v/>
      </c>
      <c r="D1501" s="122">
        <f>IF(NOT(COUNTBLANK(일일실시사항!$B469:$K469)&lt;10),"",TRIM(IF(일일실시사항!$B469="","일자 누락; ","")&amp;IF(COUNTIF(코드설정!$C$5:$C$24,일일실시사항!$D469)=0,"담당자 누락; ","")&amp;IF(COUNTIF(코드설정!$G$5:$G$14,일일실시사항!$F469)=0,"업무구분 누락; ","")&amp;IF(AND(일일실시사항!$G469&lt;&gt;"",COUNTIF(사건마스터!$A$5:$A$64,일일실시사항!$G469)=0),"미등록 사건번호; ","")&amp;IF(일일실시사항!$H469="","실시 내용 없음; ","")&amp;IF(COUNTIF(코드설정!$F$5:$F$7,일일실시사항!$J469)=0,"진행상태 누락; ","")))</f>
        <v/>
      </c>
    </row>
    <row r="1502">
      <c r="A1502" s="26" t="inlineStr">
        <is>
          <t>일일실시사항</t>
        </is>
      </c>
      <c r="B1502" s="66" t="n">
        <v>470</v>
      </c>
      <c r="C1502" s="122">
        <f>IF($D1502="","",IFERROR(TEXT(일일실시사항!$B470,"yyyy-mm-dd"),"(날짜없음)")&amp;"  "&amp;일일실시사항!$D470&amp;"  "&amp;일일실시사항!$H470)</f>
        <v/>
      </c>
      <c r="D1502" s="122">
        <f>IF(NOT(COUNTBLANK(일일실시사항!$B470:$K470)&lt;10),"",TRIM(IF(일일실시사항!$B470="","일자 누락; ","")&amp;IF(COUNTIF(코드설정!$C$5:$C$24,일일실시사항!$D470)=0,"담당자 누락; ","")&amp;IF(COUNTIF(코드설정!$G$5:$G$14,일일실시사항!$F470)=0,"업무구분 누락; ","")&amp;IF(AND(일일실시사항!$G470&lt;&gt;"",COUNTIF(사건마스터!$A$5:$A$64,일일실시사항!$G470)=0),"미등록 사건번호; ","")&amp;IF(일일실시사항!$H470="","실시 내용 없음; ","")&amp;IF(COUNTIF(코드설정!$F$5:$F$7,일일실시사항!$J470)=0,"진행상태 누락; ","")))</f>
        <v/>
      </c>
    </row>
    <row r="1503">
      <c r="A1503" s="26" t="inlineStr">
        <is>
          <t>일일실시사항</t>
        </is>
      </c>
      <c r="B1503" s="66" t="n">
        <v>471</v>
      </c>
      <c r="C1503" s="122">
        <f>IF($D1503="","",IFERROR(TEXT(일일실시사항!$B471,"yyyy-mm-dd"),"(날짜없음)")&amp;"  "&amp;일일실시사항!$D471&amp;"  "&amp;일일실시사항!$H471)</f>
        <v/>
      </c>
      <c r="D1503" s="122">
        <f>IF(NOT(COUNTBLANK(일일실시사항!$B471:$K471)&lt;10),"",TRIM(IF(일일실시사항!$B471="","일자 누락; ","")&amp;IF(COUNTIF(코드설정!$C$5:$C$24,일일실시사항!$D471)=0,"담당자 누락; ","")&amp;IF(COUNTIF(코드설정!$G$5:$G$14,일일실시사항!$F471)=0,"업무구분 누락; ","")&amp;IF(AND(일일실시사항!$G471&lt;&gt;"",COUNTIF(사건마스터!$A$5:$A$64,일일실시사항!$G471)=0),"미등록 사건번호; ","")&amp;IF(일일실시사항!$H471="","실시 내용 없음; ","")&amp;IF(COUNTIF(코드설정!$F$5:$F$7,일일실시사항!$J471)=0,"진행상태 누락; ","")))</f>
        <v/>
      </c>
    </row>
    <row r="1504">
      <c r="A1504" s="26" t="inlineStr">
        <is>
          <t>일일실시사항</t>
        </is>
      </c>
      <c r="B1504" s="66" t="n">
        <v>472</v>
      </c>
      <c r="C1504" s="122">
        <f>IF($D1504="","",IFERROR(TEXT(일일실시사항!$B472,"yyyy-mm-dd"),"(날짜없음)")&amp;"  "&amp;일일실시사항!$D472&amp;"  "&amp;일일실시사항!$H472)</f>
        <v/>
      </c>
      <c r="D1504" s="122">
        <f>IF(NOT(COUNTBLANK(일일실시사항!$B472:$K472)&lt;10),"",TRIM(IF(일일실시사항!$B472="","일자 누락; ","")&amp;IF(COUNTIF(코드설정!$C$5:$C$24,일일실시사항!$D472)=0,"담당자 누락; ","")&amp;IF(COUNTIF(코드설정!$G$5:$G$14,일일실시사항!$F472)=0,"업무구분 누락; ","")&amp;IF(AND(일일실시사항!$G472&lt;&gt;"",COUNTIF(사건마스터!$A$5:$A$64,일일실시사항!$G472)=0),"미등록 사건번호; ","")&amp;IF(일일실시사항!$H472="","실시 내용 없음; ","")&amp;IF(COUNTIF(코드설정!$F$5:$F$7,일일실시사항!$J472)=0,"진행상태 누락; ","")))</f>
        <v/>
      </c>
    </row>
    <row r="1505">
      <c r="A1505" s="26" t="inlineStr">
        <is>
          <t>일일실시사항</t>
        </is>
      </c>
      <c r="B1505" s="66" t="n">
        <v>473</v>
      </c>
      <c r="C1505" s="122">
        <f>IF($D1505="","",IFERROR(TEXT(일일실시사항!$B473,"yyyy-mm-dd"),"(날짜없음)")&amp;"  "&amp;일일실시사항!$D473&amp;"  "&amp;일일실시사항!$H473)</f>
        <v/>
      </c>
      <c r="D1505" s="122">
        <f>IF(NOT(COUNTBLANK(일일실시사항!$B473:$K473)&lt;10),"",TRIM(IF(일일실시사항!$B473="","일자 누락; ","")&amp;IF(COUNTIF(코드설정!$C$5:$C$24,일일실시사항!$D473)=0,"담당자 누락; ","")&amp;IF(COUNTIF(코드설정!$G$5:$G$14,일일실시사항!$F473)=0,"업무구분 누락; ","")&amp;IF(AND(일일실시사항!$G473&lt;&gt;"",COUNTIF(사건마스터!$A$5:$A$64,일일실시사항!$G473)=0),"미등록 사건번호; ","")&amp;IF(일일실시사항!$H473="","실시 내용 없음; ","")&amp;IF(COUNTIF(코드설정!$F$5:$F$7,일일실시사항!$J473)=0,"진행상태 누락; ","")))</f>
        <v/>
      </c>
    </row>
    <row r="1506">
      <c r="A1506" s="26" t="inlineStr">
        <is>
          <t>일일실시사항</t>
        </is>
      </c>
      <c r="B1506" s="66" t="n">
        <v>474</v>
      </c>
      <c r="C1506" s="122">
        <f>IF($D1506="","",IFERROR(TEXT(일일실시사항!$B474,"yyyy-mm-dd"),"(날짜없음)")&amp;"  "&amp;일일실시사항!$D474&amp;"  "&amp;일일실시사항!$H474)</f>
        <v/>
      </c>
      <c r="D1506" s="122">
        <f>IF(NOT(COUNTBLANK(일일실시사항!$B474:$K474)&lt;10),"",TRIM(IF(일일실시사항!$B474="","일자 누락; ","")&amp;IF(COUNTIF(코드설정!$C$5:$C$24,일일실시사항!$D474)=0,"담당자 누락; ","")&amp;IF(COUNTIF(코드설정!$G$5:$G$14,일일실시사항!$F474)=0,"업무구분 누락; ","")&amp;IF(AND(일일실시사항!$G474&lt;&gt;"",COUNTIF(사건마스터!$A$5:$A$64,일일실시사항!$G474)=0),"미등록 사건번호; ","")&amp;IF(일일실시사항!$H474="","실시 내용 없음; ","")&amp;IF(COUNTIF(코드설정!$F$5:$F$7,일일실시사항!$J474)=0,"진행상태 누락; ","")))</f>
        <v/>
      </c>
    </row>
    <row r="1507">
      <c r="A1507" s="26" t="inlineStr">
        <is>
          <t>일일실시사항</t>
        </is>
      </c>
      <c r="B1507" s="66" t="n">
        <v>475</v>
      </c>
      <c r="C1507" s="122">
        <f>IF($D1507="","",IFERROR(TEXT(일일실시사항!$B475,"yyyy-mm-dd"),"(날짜없음)")&amp;"  "&amp;일일실시사항!$D475&amp;"  "&amp;일일실시사항!$H475)</f>
        <v/>
      </c>
      <c r="D1507" s="122">
        <f>IF(NOT(COUNTBLANK(일일실시사항!$B475:$K475)&lt;10),"",TRIM(IF(일일실시사항!$B475="","일자 누락; ","")&amp;IF(COUNTIF(코드설정!$C$5:$C$24,일일실시사항!$D475)=0,"담당자 누락; ","")&amp;IF(COUNTIF(코드설정!$G$5:$G$14,일일실시사항!$F475)=0,"업무구분 누락; ","")&amp;IF(AND(일일실시사항!$G475&lt;&gt;"",COUNTIF(사건마스터!$A$5:$A$64,일일실시사항!$G475)=0),"미등록 사건번호; ","")&amp;IF(일일실시사항!$H475="","실시 내용 없음; ","")&amp;IF(COUNTIF(코드설정!$F$5:$F$7,일일실시사항!$J475)=0,"진행상태 누락; ","")))</f>
        <v/>
      </c>
    </row>
    <row r="1508">
      <c r="A1508" s="26" t="inlineStr">
        <is>
          <t>일일실시사항</t>
        </is>
      </c>
      <c r="B1508" s="66" t="n">
        <v>476</v>
      </c>
      <c r="C1508" s="122">
        <f>IF($D1508="","",IFERROR(TEXT(일일실시사항!$B476,"yyyy-mm-dd"),"(날짜없음)")&amp;"  "&amp;일일실시사항!$D476&amp;"  "&amp;일일실시사항!$H476)</f>
        <v/>
      </c>
      <c r="D1508" s="122">
        <f>IF(NOT(COUNTBLANK(일일실시사항!$B476:$K476)&lt;10),"",TRIM(IF(일일실시사항!$B476="","일자 누락; ","")&amp;IF(COUNTIF(코드설정!$C$5:$C$24,일일실시사항!$D476)=0,"담당자 누락; ","")&amp;IF(COUNTIF(코드설정!$G$5:$G$14,일일실시사항!$F476)=0,"업무구분 누락; ","")&amp;IF(AND(일일실시사항!$G476&lt;&gt;"",COUNTIF(사건마스터!$A$5:$A$64,일일실시사항!$G476)=0),"미등록 사건번호; ","")&amp;IF(일일실시사항!$H476="","실시 내용 없음; ","")&amp;IF(COUNTIF(코드설정!$F$5:$F$7,일일실시사항!$J476)=0,"진행상태 누락; ","")))</f>
        <v/>
      </c>
    </row>
    <row r="1509">
      <c r="A1509" s="26" t="inlineStr">
        <is>
          <t>일일실시사항</t>
        </is>
      </c>
      <c r="B1509" s="66" t="n">
        <v>477</v>
      </c>
      <c r="C1509" s="122">
        <f>IF($D1509="","",IFERROR(TEXT(일일실시사항!$B477,"yyyy-mm-dd"),"(날짜없음)")&amp;"  "&amp;일일실시사항!$D477&amp;"  "&amp;일일실시사항!$H477)</f>
        <v/>
      </c>
      <c r="D1509" s="122">
        <f>IF(NOT(COUNTBLANK(일일실시사항!$B477:$K477)&lt;10),"",TRIM(IF(일일실시사항!$B477="","일자 누락; ","")&amp;IF(COUNTIF(코드설정!$C$5:$C$24,일일실시사항!$D477)=0,"담당자 누락; ","")&amp;IF(COUNTIF(코드설정!$G$5:$G$14,일일실시사항!$F477)=0,"업무구분 누락; ","")&amp;IF(AND(일일실시사항!$G477&lt;&gt;"",COUNTIF(사건마스터!$A$5:$A$64,일일실시사항!$G477)=0),"미등록 사건번호; ","")&amp;IF(일일실시사항!$H477="","실시 내용 없음; ","")&amp;IF(COUNTIF(코드설정!$F$5:$F$7,일일실시사항!$J477)=0,"진행상태 누락; ","")))</f>
        <v/>
      </c>
    </row>
    <row r="1510">
      <c r="A1510" s="26" t="inlineStr">
        <is>
          <t>일일실시사항</t>
        </is>
      </c>
      <c r="B1510" s="66" t="n">
        <v>478</v>
      </c>
      <c r="C1510" s="122">
        <f>IF($D1510="","",IFERROR(TEXT(일일실시사항!$B478,"yyyy-mm-dd"),"(날짜없음)")&amp;"  "&amp;일일실시사항!$D478&amp;"  "&amp;일일실시사항!$H478)</f>
        <v/>
      </c>
      <c r="D1510" s="122">
        <f>IF(NOT(COUNTBLANK(일일실시사항!$B478:$K478)&lt;10),"",TRIM(IF(일일실시사항!$B478="","일자 누락; ","")&amp;IF(COUNTIF(코드설정!$C$5:$C$24,일일실시사항!$D478)=0,"담당자 누락; ","")&amp;IF(COUNTIF(코드설정!$G$5:$G$14,일일실시사항!$F478)=0,"업무구분 누락; ","")&amp;IF(AND(일일실시사항!$G478&lt;&gt;"",COUNTIF(사건마스터!$A$5:$A$64,일일실시사항!$G478)=0),"미등록 사건번호; ","")&amp;IF(일일실시사항!$H478="","실시 내용 없음; ","")&amp;IF(COUNTIF(코드설정!$F$5:$F$7,일일실시사항!$J478)=0,"진행상태 누락; ","")))</f>
        <v/>
      </c>
    </row>
    <row r="1511">
      <c r="A1511" s="26" t="inlineStr">
        <is>
          <t>일일실시사항</t>
        </is>
      </c>
      <c r="B1511" s="66" t="n">
        <v>479</v>
      </c>
      <c r="C1511" s="122">
        <f>IF($D1511="","",IFERROR(TEXT(일일실시사항!$B479,"yyyy-mm-dd"),"(날짜없음)")&amp;"  "&amp;일일실시사항!$D479&amp;"  "&amp;일일실시사항!$H479)</f>
        <v/>
      </c>
      <c r="D1511" s="122">
        <f>IF(NOT(COUNTBLANK(일일실시사항!$B479:$K479)&lt;10),"",TRIM(IF(일일실시사항!$B479="","일자 누락; ","")&amp;IF(COUNTIF(코드설정!$C$5:$C$24,일일실시사항!$D479)=0,"담당자 누락; ","")&amp;IF(COUNTIF(코드설정!$G$5:$G$14,일일실시사항!$F479)=0,"업무구분 누락; ","")&amp;IF(AND(일일실시사항!$G479&lt;&gt;"",COUNTIF(사건마스터!$A$5:$A$64,일일실시사항!$G479)=0),"미등록 사건번호; ","")&amp;IF(일일실시사항!$H479="","실시 내용 없음; ","")&amp;IF(COUNTIF(코드설정!$F$5:$F$7,일일실시사항!$J479)=0,"진행상태 누락; ","")))</f>
        <v/>
      </c>
    </row>
    <row r="1512">
      <c r="A1512" s="26" t="inlineStr">
        <is>
          <t>일일실시사항</t>
        </is>
      </c>
      <c r="B1512" s="66" t="n">
        <v>480</v>
      </c>
      <c r="C1512" s="122">
        <f>IF($D1512="","",IFERROR(TEXT(일일실시사항!$B480,"yyyy-mm-dd"),"(날짜없음)")&amp;"  "&amp;일일실시사항!$D480&amp;"  "&amp;일일실시사항!$H480)</f>
        <v/>
      </c>
      <c r="D1512" s="122">
        <f>IF(NOT(COUNTBLANK(일일실시사항!$B480:$K480)&lt;10),"",TRIM(IF(일일실시사항!$B480="","일자 누락; ","")&amp;IF(COUNTIF(코드설정!$C$5:$C$24,일일실시사항!$D480)=0,"담당자 누락; ","")&amp;IF(COUNTIF(코드설정!$G$5:$G$14,일일실시사항!$F480)=0,"업무구분 누락; ","")&amp;IF(AND(일일실시사항!$G480&lt;&gt;"",COUNTIF(사건마스터!$A$5:$A$64,일일실시사항!$G480)=0),"미등록 사건번호; ","")&amp;IF(일일실시사항!$H480="","실시 내용 없음; ","")&amp;IF(COUNTIF(코드설정!$F$5:$F$7,일일실시사항!$J480)=0,"진행상태 누락; ","")))</f>
        <v/>
      </c>
    </row>
    <row r="1513">
      <c r="A1513" s="26" t="inlineStr">
        <is>
          <t>일일실시사항</t>
        </is>
      </c>
      <c r="B1513" s="66" t="n">
        <v>481</v>
      </c>
      <c r="C1513" s="122">
        <f>IF($D1513="","",IFERROR(TEXT(일일실시사항!$B481,"yyyy-mm-dd"),"(날짜없음)")&amp;"  "&amp;일일실시사항!$D481&amp;"  "&amp;일일실시사항!$H481)</f>
        <v/>
      </c>
      <c r="D1513" s="122">
        <f>IF(NOT(COUNTBLANK(일일실시사항!$B481:$K481)&lt;10),"",TRIM(IF(일일실시사항!$B481="","일자 누락; ","")&amp;IF(COUNTIF(코드설정!$C$5:$C$24,일일실시사항!$D481)=0,"담당자 누락; ","")&amp;IF(COUNTIF(코드설정!$G$5:$G$14,일일실시사항!$F481)=0,"업무구분 누락; ","")&amp;IF(AND(일일실시사항!$G481&lt;&gt;"",COUNTIF(사건마스터!$A$5:$A$64,일일실시사항!$G481)=0),"미등록 사건번호; ","")&amp;IF(일일실시사항!$H481="","실시 내용 없음; ","")&amp;IF(COUNTIF(코드설정!$F$5:$F$7,일일실시사항!$J481)=0,"진행상태 누락; ","")))</f>
        <v/>
      </c>
    </row>
    <row r="1514">
      <c r="A1514" s="26" t="inlineStr">
        <is>
          <t>일일실시사항</t>
        </is>
      </c>
      <c r="B1514" s="66" t="n">
        <v>482</v>
      </c>
      <c r="C1514" s="122">
        <f>IF($D1514="","",IFERROR(TEXT(일일실시사항!$B482,"yyyy-mm-dd"),"(날짜없음)")&amp;"  "&amp;일일실시사항!$D482&amp;"  "&amp;일일실시사항!$H482)</f>
        <v/>
      </c>
      <c r="D1514" s="122">
        <f>IF(NOT(COUNTBLANK(일일실시사항!$B482:$K482)&lt;10),"",TRIM(IF(일일실시사항!$B482="","일자 누락; ","")&amp;IF(COUNTIF(코드설정!$C$5:$C$24,일일실시사항!$D482)=0,"담당자 누락; ","")&amp;IF(COUNTIF(코드설정!$G$5:$G$14,일일실시사항!$F482)=0,"업무구분 누락; ","")&amp;IF(AND(일일실시사항!$G482&lt;&gt;"",COUNTIF(사건마스터!$A$5:$A$64,일일실시사항!$G482)=0),"미등록 사건번호; ","")&amp;IF(일일실시사항!$H482="","실시 내용 없음; ","")&amp;IF(COUNTIF(코드설정!$F$5:$F$7,일일실시사항!$J482)=0,"진행상태 누락; ","")))</f>
        <v/>
      </c>
    </row>
    <row r="1515">
      <c r="A1515" s="26" t="inlineStr">
        <is>
          <t>일일실시사항</t>
        </is>
      </c>
      <c r="B1515" s="66" t="n">
        <v>483</v>
      </c>
      <c r="C1515" s="122">
        <f>IF($D1515="","",IFERROR(TEXT(일일실시사항!$B483,"yyyy-mm-dd"),"(날짜없음)")&amp;"  "&amp;일일실시사항!$D483&amp;"  "&amp;일일실시사항!$H483)</f>
        <v/>
      </c>
      <c r="D1515" s="122">
        <f>IF(NOT(COUNTBLANK(일일실시사항!$B483:$K483)&lt;10),"",TRIM(IF(일일실시사항!$B483="","일자 누락; ","")&amp;IF(COUNTIF(코드설정!$C$5:$C$24,일일실시사항!$D483)=0,"담당자 누락; ","")&amp;IF(COUNTIF(코드설정!$G$5:$G$14,일일실시사항!$F483)=0,"업무구분 누락; ","")&amp;IF(AND(일일실시사항!$G483&lt;&gt;"",COUNTIF(사건마스터!$A$5:$A$64,일일실시사항!$G483)=0),"미등록 사건번호; ","")&amp;IF(일일실시사항!$H483="","실시 내용 없음; ","")&amp;IF(COUNTIF(코드설정!$F$5:$F$7,일일실시사항!$J483)=0,"진행상태 누락; ","")))</f>
        <v/>
      </c>
    </row>
    <row r="1516">
      <c r="A1516" s="26" t="inlineStr">
        <is>
          <t>일일실시사항</t>
        </is>
      </c>
      <c r="B1516" s="66" t="n">
        <v>484</v>
      </c>
      <c r="C1516" s="122">
        <f>IF($D1516="","",IFERROR(TEXT(일일실시사항!$B484,"yyyy-mm-dd"),"(날짜없음)")&amp;"  "&amp;일일실시사항!$D484&amp;"  "&amp;일일실시사항!$H484)</f>
        <v/>
      </c>
      <c r="D1516" s="122">
        <f>IF(NOT(COUNTBLANK(일일실시사항!$B484:$K484)&lt;10),"",TRIM(IF(일일실시사항!$B484="","일자 누락; ","")&amp;IF(COUNTIF(코드설정!$C$5:$C$24,일일실시사항!$D484)=0,"담당자 누락; ","")&amp;IF(COUNTIF(코드설정!$G$5:$G$14,일일실시사항!$F484)=0,"업무구분 누락; ","")&amp;IF(AND(일일실시사항!$G484&lt;&gt;"",COUNTIF(사건마스터!$A$5:$A$64,일일실시사항!$G484)=0),"미등록 사건번호; ","")&amp;IF(일일실시사항!$H484="","실시 내용 없음; ","")&amp;IF(COUNTIF(코드설정!$F$5:$F$7,일일실시사항!$J484)=0,"진행상태 누락; ","")))</f>
        <v/>
      </c>
    </row>
    <row r="1517">
      <c r="A1517" s="26" t="inlineStr">
        <is>
          <t>일일실시사항</t>
        </is>
      </c>
      <c r="B1517" s="66" t="n">
        <v>485</v>
      </c>
      <c r="C1517" s="122">
        <f>IF($D1517="","",IFERROR(TEXT(일일실시사항!$B485,"yyyy-mm-dd"),"(날짜없음)")&amp;"  "&amp;일일실시사항!$D485&amp;"  "&amp;일일실시사항!$H485)</f>
        <v/>
      </c>
      <c r="D1517" s="122">
        <f>IF(NOT(COUNTBLANK(일일실시사항!$B485:$K485)&lt;10),"",TRIM(IF(일일실시사항!$B485="","일자 누락; ","")&amp;IF(COUNTIF(코드설정!$C$5:$C$24,일일실시사항!$D485)=0,"담당자 누락; ","")&amp;IF(COUNTIF(코드설정!$G$5:$G$14,일일실시사항!$F485)=0,"업무구분 누락; ","")&amp;IF(AND(일일실시사항!$G485&lt;&gt;"",COUNTIF(사건마스터!$A$5:$A$64,일일실시사항!$G485)=0),"미등록 사건번호; ","")&amp;IF(일일실시사항!$H485="","실시 내용 없음; ","")&amp;IF(COUNTIF(코드설정!$F$5:$F$7,일일실시사항!$J485)=0,"진행상태 누락; ","")))</f>
        <v/>
      </c>
    </row>
    <row r="1518">
      <c r="A1518" s="26" t="inlineStr">
        <is>
          <t>일일실시사항</t>
        </is>
      </c>
      <c r="B1518" s="66" t="n">
        <v>486</v>
      </c>
      <c r="C1518" s="122">
        <f>IF($D1518="","",IFERROR(TEXT(일일실시사항!$B486,"yyyy-mm-dd"),"(날짜없음)")&amp;"  "&amp;일일실시사항!$D486&amp;"  "&amp;일일실시사항!$H486)</f>
        <v/>
      </c>
      <c r="D1518" s="122">
        <f>IF(NOT(COUNTBLANK(일일실시사항!$B486:$K486)&lt;10),"",TRIM(IF(일일실시사항!$B486="","일자 누락; ","")&amp;IF(COUNTIF(코드설정!$C$5:$C$24,일일실시사항!$D486)=0,"담당자 누락; ","")&amp;IF(COUNTIF(코드설정!$G$5:$G$14,일일실시사항!$F486)=0,"업무구분 누락; ","")&amp;IF(AND(일일실시사항!$G486&lt;&gt;"",COUNTIF(사건마스터!$A$5:$A$64,일일실시사항!$G486)=0),"미등록 사건번호; ","")&amp;IF(일일실시사항!$H486="","실시 내용 없음; ","")&amp;IF(COUNTIF(코드설정!$F$5:$F$7,일일실시사항!$J486)=0,"진행상태 누락; ","")))</f>
        <v/>
      </c>
    </row>
    <row r="1519">
      <c r="A1519" s="26" t="inlineStr">
        <is>
          <t>일일실시사항</t>
        </is>
      </c>
      <c r="B1519" s="66" t="n">
        <v>487</v>
      </c>
      <c r="C1519" s="122">
        <f>IF($D1519="","",IFERROR(TEXT(일일실시사항!$B487,"yyyy-mm-dd"),"(날짜없음)")&amp;"  "&amp;일일실시사항!$D487&amp;"  "&amp;일일실시사항!$H487)</f>
        <v/>
      </c>
      <c r="D1519" s="122">
        <f>IF(NOT(COUNTBLANK(일일실시사항!$B487:$K487)&lt;10),"",TRIM(IF(일일실시사항!$B487="","일자 누락; ","")&amp;IF(COUNTIF(코드설정!$C$5:$C$24,일일실시사항!$D487)=0,"담당자 누락; ","")&amp;IF(COUNTIF(코드설정!$G$5:$G$14,일일실시사항!$F487)=0,"업무구분 누락; ","")&amp;IF(AND(일일실시사항!$G487&lt;&gt;"",COUNTIF(사건마스터!$A$5:$A$64,일일실시사항!$G487)=0),"미등록 사건번호; ","")&amp;IF(일일실시사항!$H487="","실시 내용 없음; ","")&amp;IF(COUNTIF(코드설정!$F$5:$F$7,일일실시사항!$J487)=0,"진행상태 누락; ","")))</f>
        <v/>
      </c>
    </row>
    <row r="1520">
      <c r="A1520" s="26" t="inlineStr">
        <is>
          <t>일일실시사항</t>
        </is>
      </c>
      <c r="B1520" s="66" t="n">
        <v>488</v>
      </c>
      <c r="C1520" s="122">
        <f>IF($D1520="","",IFERROR(TEXT(일일실시사항!$B488,"yyyy-mm-dd"),"(날짜없음)")&amp;"  "&amp;일일실시사항!$D488&amp;"  "&amp;일일실시사항!$H488)</f>
        <v/>
      </c>
      <c r="D1520" s="122">
        <f>IF(NOT(COUNTBLANK(일일실시사항!$B488:$K488)&lt;10),"",TRIM(IF(일일실시사항!$B488="","일자 누락; ","")&amp;IF(COUNTIF(코드설정!$C$5:$C$24,일일실시사항!$D488)=0,"담당자 누락; ","")&amp;IF(COUNTIF(코드설정!$G$5:$G$14,일일실시사항!$F488)=0,"업무구분 누락; ","")&amp;IF(AND(일일실시사항!$G488&lt;&gt;"",COUNTIF(사건마스터!$A$5:$A$64,일일실시사항!$G488)=0),"미등록 사건번호; ","")&amp;IF(일일실시사항!$H488="","실시 내용 없음; ","")&amp;IF(COUNTIF(코드설정!$F$5:$F$7,일일실시사항!$J488)=0,"진행상태 누락; ","")))</f>
        <v/>
      </c>
    </row>
    <row r="1521">
      <c r="A1521" s="26" t="inlineStr">
        <is>
          <t>일일실시사항</t>
        </is>
      </c>
      <c r="B1521" s="66" t="n">
        <v>489</v>
      </c>
      <c r="C1521" s="122">
        <f>IF($D1521="","",IFERROR(TEXT(일일실시사항!$B489,"yyyy-mm-dd"),"(날짜없음)")&amp;"  "&amp;일일실시사항!$D489&amp;"  "&amp;일일실시사항!$H489)</f>
        <v/>
      </c>
      <c r="D1521" s="122">
        <f>IF(NOT(COUNTBLANK(일일실시사항!$B489:$K489)&lt;10),"",TRIM(IF(일일실시사항!$B489="","일자 누락; ","")&amp;IF(COUNTIF(코드설정!$C$5:$C$24,일일실시사항!$D489)=0,"담당자 누락; ","")&amp;IF(COUNTIF(코드설정!$G$5:$G$14,일일실시사항!$F489)=0,"업무구분 누락; ","")&amp;IF(AND(일일실시사항!$G489&lt;&gt;"",COUNTIF(사건마스터!$A$5:$A$64,일일실시사항!$G489)=0),"미등록 사건번호; ","")&amp;IF(일일실시사항!$H489="","실시 내용 없음; ","")&amp;IF(COUNTIF(코드설정!$F$5:$F$7,일일실시사항!$J489)=0,"진행상태 누락; ","")))</f>
        <v/>
      </c>
    </row>
    <row r="1522">
      <c r="A1522" s="26" t="inlineStr">
        <is>
          <t>일일실시사항</t>
        </is>
      </c>
      <c r="B1522" s="66" t="n">
        <v>490</v>
      </c>
      <c r="C1522" s="122">
        <f>IF($D1522="","",IFERROR(TEXT(일일실시사항!$B490,"yyyy-mm-dd"),"(날짜없음)")&amp;"  "&amp;일일실시사항!$D490&amp;"  "&amp;일일실시사항!$H490)</f>
        <v/>
      </c>
      <c r="D1522" s="122">
        <f>IF(NOT(COUNTBLANK(일일실시사항!$B490:$K490)&lt;10),"",TRIM(IF(일일실시사항!$B490="","일자 누락; ","")&amp;IF(COUNTIF(코드설정!$C$5:$C$24,일일실시사항!$D490)=0,"담당자 누락; ","")&amp;IF(COUNTIF(코드설정!$G$5:$G$14,일일실시사항!$F490)=0,"업무구분 누락; ","")&amp;IF(AND(일일실시사항!$G490&lt;&gt;"",COUNTIF(사건마스터!$A$5:$A$64,일일실시사항!$G490)=0),"미등록 사건번호; ","")&amp;IF(일일실시사항!$H490="","실시 내용 없음; ","")&amp;IF(COUNTIF(코드설정!$F$5:$F$7,일일실시사항!$J490)=0,"진행상태 누락; ","")))</f>
        <v/>
      </c>
    </row>
    <row r="1523">
      <c r="A1523" s="26" t="inlineStr">
        <is>
          <t>일일실시사항</t>
        </is>
      </c>
      <c r="B1523" s="66" t="n">
        <v>491</v>
      </c>
      <c r="C1523" s="122">
        <f>IF($D1523="","",IFERROR(TEXT(일일실시사항!$B491,"yyyy-mm-dd"),"(날짜없음)")&amp;"  "&amp;일일실시사항!$D491&amp;"  "&amp;일일실시사항!$H491)</f>
        <v/>
      </c>
      <c r="D1523" s="122">
        <f>IF(NOT(COUNTBLANK(일일실시사항!$B491:$K491)&lt;10),"",TRIM(IF(일일실시사항!$B491="","일자 누락; ","")&amp;IF(COUNTIF(코드설정!$C$5:$C$24,일일실시사항!$D491)=0,"담당자 누락; ","")&amp;IF(COUNTIF(코드설정!$G$5:$G$14,일일실시사항!$F491)=0,"업무구분 누락; ","")&amp;IF(AND(일일실시사항!$G491&lt;&gt;"",COUNTIF(사건마스터!$A$5:$A$64,일일실시사항!$G491)=0),"미등록 사건번호; ","")&amp;IF(일일실시사항!$H491="","실시 내용 없음; ","")&amp;IF(COUNTIF(코드설정!$F$5:$F$7,일일실시사항!$J491)=0,"진행상태 누락; ","")))</f>
        <v/>
      </c>
    </row>
    <row r="1524">
      <c r="A1524" s="26" t="inlineStr">
        <is>
          <t>일일실시사항</t>
        </is>
      </c>
      <c r="B1524" s="66" t="n">
        <v>492</v>
      </c>
      <c r="C1524" s="122">
        <f>IF($D1524="","",IFERROR(TEXT(일일실시사항!$B492,"yyyy-mm-dd"),"(날짜없음)")&amp;"  "&amp;일일실시사항!$D492&amp;"  "&amp;일일실시사항!$H492)</f>
        <v/>
      </c>
      <c r="D1524" s="122">
        <f>IF(NOT(COUNTBLANK(일일실시사항!$B492:$K492)&lt;10),"",TRIM(IF(일일실시사항!$B492="","일자 누락; ","")&amp;IF(COUNTIF(코드설정!$C$5:$C$24,일일실시사항!$D492)=0,"담당자 누락; ","")&amp;IF(COUNTIF(코드설정!$G$5:$G$14,일일실시사항!$F492)=0,"업무구분 누락; ","")&amp;IF(AND(일일실시사항!$G492&lt;&gt;"",COUNTIF(사건마스터!$A$5:$A$64,일일실시사항!$G492)=0),"미등록 사건번호; ","")&amp;IF(일일실시사항!$H492="","실시 내용 없음; ","")&amp;IF(COUNTIF(코드설정!$F$5:$F$7,일일실시사항!$J492)=0,"진행상태 누락; ","")))</f>
        <v/>
      </c>
    </row>
    <row r="1525">
      <c r="A1525" s="26" t="inlineStr">
        <is>
          <t>일일실시사항</t>
        </is>
      </c>
      <c r="B1525" s="66" t="n">
        <v>493</v>
      </c>
      <c r="C1525" s="122">
        <f>IF($D1525="","",IFERROR(TEXT(일일실시사항!$B493,"yyyy-mm-dd"),"(날짜없음)")&amp;"  "&amp;일일실시사항!$D493&amp;"  "&amp;일일실시사항!$H493)</f>
        <v/>
      </c>
      <c r="D1525" s="122">
        <f>IF(NOT(COUNTBLANK(일일실시사항!$B493:$K493)&lt;10),"",TRIM(IF(일일실시사항!$B493="","일자 누락; ","")&amp;IF(COUNTIF(코드설정!$C$5:$C$24,일일실시사항!$D493)=0,"담당자 누락; ","")&amp;IF(COUNTIF(코드설정!$G$5:$G$14,일일실시사항!$F493)=0,"업무구분 누락; ","")&amp;IF(AND(일일실시사항!$G493&lt;&gt;"",COUNTIF(사건마스터!$A$5:$A$64,일일실시사항!$G493)=0),"미등록 사건번호; ","")&amp;IF(일일실시사항!$H493="","실시 내용 없음; ","")&amp;IF(COUNTIF(코드설정!$F$5:$F$7,일일실시사항!$J493)=0,"진행상태 누락; ","")))</f>
        <v/>
      </c>
    </row>
    <row r="1526">
      <c r="A1526" s="26" t="inlineStr">
        <is>
          <t>일일실시사항</t>
        </is>
      </c>
      <c r="B1526" s="66" t="n">
        <v>494</v>
      </c>
      <c r="C1526" s="122">
        <f>IF($D1526="","",IFERROR(TEXT(일일실시사항!$B494,"yyyy-mm-dd"),"(날짜없음)")&amp;"  "&amp;일일실시사항!$D494&amp;"  "&amp;일일실시사항!$H494)</f>
        <v/>
      </c>
      <c r="D1526" s="122">
        <f>IF(NOT(COUNTBLANK(일일실시사항!$B494:$K494)&lt;10),"",TRIM(IF(일일실시사항!$B494="","일자 누락; ","")&amp;IF(COUNTIF(코드설정!$C$5:$C$24,일일실시사항!$D494)=0,"담당자 누락; ","")&amp;IF(COUNTIF(코드설정!$G$5:$G$14,일일실시사항!$F494)=0,"업무구분 누락; ","")&amp;IF(AND(일일실시사항!$G494&lt;&gt;"",COUNTIF(사건마스터!$A$5:$A$64,일일실시사항!$G494)=0),"미등록 사건번호; ","")&amp;IF(일일실시사항!$H494="","실시 내용 없음; ","")&amp;IF(COUNTIF(코드설정!$F$5:$F$7,일일실시사항!$J494)=0,"진행상태 누락; ","")))</f>
        <v/>
      </c>
    </row>
    <row r="1527">
      <c r="A1527" s="26" t="inlineStr">
        <is>
          <t>일일실시사항</t>
        </is>
      </c>
      <c r="B1527" s="66" t="n">
        <v>495</v>
      </c>
      <c r="C1527" s="122">
        <f>IF($D1527="","",IFERROR(TEXT(일일실시사항!$B495,"yyyy-mm-dd"),"(날짜없음)")&amp;"  "&amp;일일실시사항!$D495&amp;"  "&amp;일일실시사항!$H495)</f>
        <v/>
      </c>
      <c r="D1527" s="122">
        <f>IF(NOT(COUNTBLANK(일일실시사항!$B495:$K495)&lt;10),"",TRIM(IF(일일실시사항!$B495="","일자 누락; ","")&amp;IF(COUNTIF(코드설정!$C$5:$C$24,일일실시사항!$D495)=0,"담당자 누락; ","")&amp;IF(COUNTIF(코드설정!$G$5:$G$14,일일실시사항!$F495)=0,"업무구분 누락; ","")&amp;IF(AND(일일실시사항!$G495&lt;&gt;"",COUNTIF(사건마스터!$A$5:$A$64,일일실시사항!$G495)=0),"미등록 사건번호; ","")&amp;IF(일일실시사항!$H495="","실시 내용 없음; ","")&amp;IF(COUNTIF(코드설정!$F$5:$F$7,일일실시사항!$J495)=0,"진행상태 누락; ","")))</f>
        <v/>
      </c>
    </row>
    <row r="1528">
      <c r="A1528" s="26" t="inlineStr">
        <is>
          <t>일일실시사항</t>
        </is>
      </c>
      <c r="B1528" s="66" t="n">
        <v>496</v>
      </c>
      <c r="C1528" s="122">
        <f>IF($D1528="","",IFERROR(TEXT(일일실시사항!$B496,"yyyy-mm-dd"),"(날짜없음)")&amp;"  "&amp;일일실시사항!$D496&amp;"  "&amp;일일실시사항!$H496)</f>
        <v/>
      </c>
      <c r="D1528" s="122">
        <f>IF(NOT(COUNTBLANK(일일실시사항!$B496:$K496)&lt;10),"",TRIM(IF(일일실시사항!$B496="","일자 누락; ","")&amp;IF(COUNTIF(코드설정!$C$5:$C$24,일일실시사항!$D496)=0,"담당자 누락; ","")&amp;IF(COUNTIF(코드설정!$G$5:$G$14,일일실시사항!$F496)=0,"업무구분 누락; ","")&amp;IF(AND(일일실시사항!$G496&lt;&gt;"",COUNTIF(사건마스터!$A$5:$A$64,일일실시사항!$G496)=0),"미등록 사건번호; ","")&amp;IF(일일실시사항!$H496="","실시 내용 없음; ","")&amp;IF(COUNTIF(코드설정!$F$5:$F$7,일일실시사항!$J496)=0,"진행상태 누락; ","")))</f>
        <v/>
      </c>
    </row>
    <row r="1529">
      <c r="A1529" s="26" t="inlineStr">
        <is>
          <t>일일실시사항</t>
        </is>
      </c>
      <c r="B1529" s="66" t="n">
        <v>497</v>
      </c>
      <c r="C1529" s="122">
        <f>IF($D1529="","",IFERROR(TEXT(일일실시사항!$B497,"yyyy-mm-dd"),"(날짜없음)")&amp;"  "&amp;일일실시사항!$D497&amp;"  "&amp;일일실시사항!$H497)</f>
        <v/>
      </c>
      <c r="D1529" s="122">
        <f>IF(NOT(COUNTBLANK(일일실시사항!$B497:$K497)&lt;10),"",TRIM(IF(일일실시사항!$B497="","일자 누락; ","")&amp;IF(COUNTIF(코드설정!$C$5:$C$24,일일실시사항!$D497)=0,"담당자 누락; ","")&amp;IF(COUNTIF(코드설정!$G$5:$G$14,일일실시사항!$F497)=0,"업무구분 누락; ","")&amp;IF(AND(일일실시사항!$G497&lt;&gt;"",COUNTIF(사건마스터!$A$5:$A$64,일일실시사항!$G497)=0),"미등록 사건번호; ","")&amp;IF(일일실시사항!$H497="","실시 내용 없음; ","")&amp;IF(COUNTIF(코드설정!$F$5:$F$7,일일실시사항!$J497)=0,"진행상태 누락; ","")))</f>
        <v/>
      </c>
    </row>
    <row r="1530">
      <c r="A1530" s="26" t="inlineStr">
        <is>
          <t>일일실시사항</t>
        </is>
      </c>
      <c r="B1530" s="66" t="n">
        <v>498</v>
      </c>
      <c r="C1530" s="122">
        <f>IF($D1530="","",IFERROR(TEXT(일일실시사항!$B498,"yyyy-mm-dd"),"(날짜없음)")&amp;"  "&amp;일일실시사항!$D498&amp;"  "&amp;일일실시사항!$H498)</f>
        <v/>
      </c>
      <c r="D1530" s="122">
        <f>IF(NOT(COUNTBLANK(일일실시사항!$B498:$K498)&lt;10),"",TRIM(IF(일일실시사항!$B498="","일자 누락; ","")&amp;IF(COUNTIF(코드설정!$C$5:$C$24,일일실시사항!$D498)=0,"담당자 누락; ","")&amp;IF(COUNTIF(코드설정!$G$5:$G$14,일일실시사항!$F498)=0,"업무구분 누락; ","")&amp;IF(AND(일일실시사항!$G498&lt;&gt;"",COUNTIF(사건마스터!$A$5:$A$64,일일실시사항!$G498)=0),"미등록 사건번호; ","")&amp;IF(일일실시사항!$H498="","실시 내용 없음; ","")&amp;IF(COUNTIF(코드설정!$F$5:$F$7,일일실시사항!$J498)=0,"진행상태 누락; ","")))</f>
        <v/>
      </c>
    </row>
    <row r="1531">
      <c r="A1531" s="26" t="inlineStr">
        <is>
          <t>일일실시사항</t>
        </is>
      </c>
      <c r="B1531" s="66" t="n">
        <v>499</v>
      </c>
      <c r="C1531" s="122">
        <f>IF($D1531="","",IFERROR(TEXT(일일실시사항!$B499,"yyyy-mm-dd"),"(날짜없음)")&amp;"  "&amp;일일실시사항!$D499&amp;"  "&amp;일일실시사항!$H499)</f>
        <v/>
      </c>
      <c r="D1531" s="122">
        <f>IF(NOT(COUNTBLANK(일일실시사항!$B499:$K499)&lt;10),"",TRIM(IF(일일실시사항!$B499="","일자 누락; ","")&amp;IF(COUNTIF(코드설정!$C$5:$C$24,일일실시사항!$D499)=0,"담당자 누락; ","")&amp;IF(COUNTIF(코드설정!$G$5:$G$14,일일실시사항!$F499)=0,"업무구분 누락; ","")&amp;IF(AND(일일실시사항!$G499&lt;&gt;"",COUNTIF(사건마스터!$A$5:$A$64,일일실시사항!$G499)=0),"미등록 사건번호; ","")&amp;IF(일일실시사항!$H499="","실시 내용 없음; ","")&amp;IF(COUNTIF(코드설정!$F$5:$F$7,일일실시사항!$J499)=0,"진행상태 누락; ","")))</f>
        <v/>
      </c>
    </row>
    <row r="1532">
      <c r="A1532" s="26" t="inlineStr">
        <is>
          <t>일일실시사항</t>
        </is>
      </c>
      <c r="B1532" s="66" t="n">
        <v>500</v>
      </c>
      <c r="C1532" s="122">
        <f>IF($D1532="","",IFERROR(TEXT(일일실시사항!$B500,"yyyy-mm-dd"),"(날짜없음)")&amp;"  "&amp;일일실시사항!$D500&amp;"  "&amp;일일실시사항!$H500)</f>
        <v/>
      </c>
      <c r="D1532" s="122">
        <f>IF(NOT(COUNTBLANK(일일실시사항!$B500:$K500)&lt;10),"",TRIM(IF(일일실시사항!$B500="","일자 누락; ","")&amp;IF(COUNTIF(코드설정!$C$5:$C$24,일일실시사항!$D500)=0,"담당자 누락; ","")&amp;IF(COUNTIF(코드설정!$G$5:$G$14,일일실시사항!$F500)=0,"업무구분 누락; ","")&amp;IF(AND(일일실시사항!$G500&lt;&gt;"",COUNTIF(사건마스터!$A$5:$A$64,일일실시사항!$G500)=0),"미등록 사건번호; ","")&amp;IF(일일실시사항!$H500="","실시 내용 없음; ","")&amp;IF(COUNTIF(코드설정!$F$5:$F$7,일일실시사항!$J500)=0,"진행상태 누락; ","")))</f>
        <v/>
      </c>
    </row>
    <row r="1533">
      <c r="A1533" s="26" t="inlineStr">
        <is>
          <t>일일실시사항</t>
        </is>
      </c>
      <c r="B1533" s="66" t="n">
        <v>501</v>
      </c>
      <c r="C1533" s="122">
        <f>IF($D1533="","",IFERROR(TEXT(일일실시사항!$B501,"yyyy-mm-dd"),"(날짜없음)")&amp;"  "&amp;일일실시사항!$D501&amp;"  "&amp;일일실시사항!$H501)</f>
        <v/>
      </c>
      <c r="D1533" s="122">
        <f>IF(NOT(COUNTBLANK(일일실시사항!$B501:$K501)&lt;10),"",TRIM(IF(일일실시사항!$B501="","일자 누락; ","")&amp;IF(COUNTIF(코드설정!$C$5:$C$24,일일실시사항!$D501)=0,"담당자 누락; ","")&amp;IF(COUNTIF(코드설정!$G$5:$G$14,일일실시사항!$F501)=0,"업무구분 누락; ","")&amp;IF(AND(일일실시사항!$G501&lt;&gt;"",COUNTIF(사건마스터!$A$5:$A$64,일일실시사항!$G501)=0),"미등록 사건번호; ","")&amp;IF(일일실시사항!$H501="","실시 내용 없음; ","")&amp;IF(COUNTIF(코드설정!$F$5:$F$7,일일실시사항!$J501)=0,"진행상태 누락; ","")))</f>
        <v/>
      </c>
    </row>
    <row r="1534">
      <c r="A1534" s="26" t="inlineStr">
        <is>
          <t>일일실시사항</t>
        </is>
      </c>
      <c r="B1534" s="66" t="n">
        <v>502</v>
      </c>
      <c r="C1534" s="122">
        <f>IF($D1534="","",IFERROR(TEXT(일일실시사항!$B502,"yyyy-mm-dd"),"(날짜없음)")&amp;"  "&amp;일일실시사항!$D502&amp;"  "&amp;일일실시사항!$H502)</f>
        <v/>
      </c>
      <c r="D1534" s="122">
        <f>IF(NOT(COUNTBLANK(일일실시사항!$B502:$K502)&lt;10),"",TRIM(IF(일일실시사항!$B502="","일자 누락; ","")&amp;IF(COUNTIF(코드설정!$C$5:$C$24,일일실시사항!$D502)=0,"담당자 누락; ","")&amp;IF(COUNTIF(코드설정!$G$5:$G$14,일일실시사항!$F502)=0,"업무구분 누락; ","")&amp;IF(AND(일일실시사항!$G502&lt;&gt;"",COUNTIF(사건마스터!$A$5:$A$64,일일실시사항!$G502)=0),"미등록 사건번호; ","")&amp;IF(일일실시사항!$H502="","실시 내용 없음; ","")&amp;IF(COUNTIF(코드설정!$F$5:$F$7,일일실시사항!$J502)=0,"진행상태 누락; ","")))</f>
        <v/>
      </c>
    </row>
    <row r="1535">
      <c r="A1535" s="26" t="inlineStr">
        <is>
          <t>일일실시사항</t>
        </is>
      </c>
      <c r="B1535" s="66" t="n">
        <v>503</v>
      </c>
      <c r="C1535" s="122">
        <f>IF($D1535="","",IFERROR(TEXT(일일실시사항!$B503,"yyyy-mm-dd"),"(날짜없음)")&amp;"  "&amp;일일실시사항!$D503&amp;"  "&amp;일일실시사항!$H503)</f>
        <v/>
      </c>
      <c r="D1535" s="122">
        <f>IF(NOT(COUNTBLANK(일일실시사항!$B503:$K503)&lt;10),"",TRIM(IF(일일실시사항!$B503="","일자 누락; ","")&amp;IF(COUNTIF(코드설정!$C$5:$C$24,일일실시사항!$D503)=0,"담당자 누락; ","")&amp;IF(COUNTIF(코드설정!$G$5:$G$14,일일실시사항!$F503)=0,"업무구분 누락; ","")&amp;IF(AND(일일실시사항!$G503&lt;&gt;"",COUNTIF(사건마스터!$A$5:$A$64,일일실시사항!$G503)=0),"미등록 사건번호; ","")&amp;IF(일일실시사항!$H503="","실시 내용 없음; ","")&amp;IF(COUNTIF(코드설정!$F$5:$F$7,일일실시사항!$J503)=0,"진행상태 누락; ","")))</f>
        <v/>
      </c>
    </row>
    <row r="1536">
      <c r="A1536" s="26" t="inlineStr">
        <is>
          <t>일일실시사항</t>
        </is>
      </c>
      <c r="B1536" s="66" t="n">
        <v>504</v>
      </c>
      <c r="C1536" s="122">
        <f>IF($D1536="","",IFERROR(TEXT(일일실시사항!$B504,"yyyy-mm-dd"),"(날짜없음)")&amp;"  "&amp;일일실시사항!$D504&amp;"  "&amp;일일실시사항!$H504)</f>
        <v/>
      </c>
      <c r="D1536" s="122">
        <f>IF(NOT(COUNTBLANK(일일실시사항!$B504:$K504)&lt;10),"",TRIM(IF(일일실시사항!$B504="","일자 누락; ","")&amp;IF(COUNTIF(코드설정!$C$5:$C$24,일일실시사항!$D504)=0,"담당자 누락; ","")&amp;IF(COUNTIF(코드설정!$G$5:$G$14,일일실시사항!$F504)=0,"업무구분 누락; ","")&amp;IF(AND(일일실시사항!$G504&lt;&gt;"",COUNTIF(사건마스터!$A$5:$A$64,일일실시사항!$G504)=0),"미등록 사건번호; ","")&amp;IF(일일실시사항!$H504="","실시 내용 없음; ","")&amp;IF(COUNTIF(코드설정!$F$5:$F$7,일일실시사항!$J504)=0,"진행상태 누락; ","")))</f>
        <v/>
      </c>
    </row>
    <row r="1537">
      <c r="A1537" s="26" t="inlineStr">
        <is>
          <t>일일실시사항</t>
        </is>
      </c>
      <c r="B1537" s="66" t="n">
        <v>505</v>
      </c>
      <c r="C1537" s="122">
        <f>IF($D1537="","",IFERROR(TEXT(일일실시사항!$B505,"yyyy-mm-dd"),"(날짜없음)")&amp;"  "&amp;일일실시사항!$D505&amp;"  "&amp;일일실시사항!$H505)</f>
        <v/>
      </c>
      <c r="D1537" s="122">
        <f>IF(NOT(COUNTBLANK(일일실시사항!$B505:$K505)&lt;10),"",TRIM(IF(일일실시사항!$B505="","일자 누락; ","")&amp;IF(COUNTIF(코드설정!$C$5:$C$24,일일실시사항!$D505)=0,"담당자 누락; ","")&amp;IF(COUNTIF(코드설정!$G$5:$G$14,일일실시사항!$F505)=0,"업무구분 누락; ","")&amp;IF(AND(일일실시사항!$G505&lt;&gt;"",COUNTIF(사건마스터!$A$5:$A$64,일일실시사항!$G505)=0),"미등록 사건번호; ","")&amp;IF(일일실시사항!$H505="","실시 내용 없음; ","")&amp;IF(COUNTIF(코드설정!$F$5:$F$7,일일실시사항!$J505)=0,"진행상태 누락; ","")))</f>
        <v/>
      </c>
    </row>
    <row r="1538">
      <c r="A1538" s="26" t="inlineStr">
        <is>
          <t>일일실시사항</t>
        </is>
      </c>
      <c r="B1538" s="66" t="n">
        <v>506</v>
      </c>
      <c r="C1538" s="122">
        <f>IF($D1538="","",IFERROR(TEXT(일일실시사항!$B506,"yyyy-mm-dd"),"(날짜없음)")&amp;"  "&amp;일일실시사항!$D506&amp;"  "&amp;일일실시사항!$H506)</f>
        <v/>
      </c>
      <c r="D1538" s="122">
        <f>IF(NOT(COUNTBLANK(일일실시사항!$B506:$K506)&lt;10),"",TRIM(IF(일일실시사항!$B506="","일자 누락; ","")&amp;IF(COUNTIF(코드설정!$C$5:$C$24,일일실시사항!$D506)=0,"담당자 누락; ","")&amp;IF(COUNTIF(코드설정!$G$5:$G$14,일일실시사항!$F506)=0,"업무구분 누락; ","")&amp;IF(AND(일일실시사항!$G506&lt;&gt;"",COUNTIF(사건마스터!$A$5:$A$64,일일실시사항!$G506)=0),"미등록 사건번호; ","")&amp;IF(일일실시사항!$H506="","실시 내용 없음; ","")&amp;IF(COUNTIF(코드설정!$F$5:$F$7,일일실시사항!$J506)=0,"진행상태 누락; ","")))</f>
        <v/>
      </c>
    </row>
    <row r="1539">
      <c r="A1539" s="26" t="inlineStr">
        <is>
          <t>일일실시사항</t>
        </is>
      </c>
      <c r="B1539" s="66" t="n">
        <v>507</v>
      </c>
      <c r="C1539" s="122">
        <f>IF($D1539="","",IFERROR(TEXT(일일실시사항!$B507,"yyyy-mm-dd"),"(날짜없음)")&amp;"  "&amp;일일실시사항!$D507&amp;"  "&amp;일일실시사항!$H507)</f>
        <v/>
      </c>
      <c r="D1539" s="122">
        <f>IF(NOT(COUNTBLANK(일일실시사항!$B507:$K507)&lt;10),"",TRIM(IF(일일실시사항!$B507="","일자 누락; ","")&amp;IF(COUNTIF(코드설정!$C$5:$C$24,일일실시사항!$D507)=0,"담당자 누락; ","")&amp;IF(COUNTIF(코드설정!$G$5:$G$14,일일실시사항!$F507)=0,"업무구분 누락; ","")&amp;IF(AND(일일실시사항!$G507&lt;&gt;"",COUNTIF(사건마스터!$A$5:$A$64,일일실시사항!$G507)=0),"미등록 사건번호; ","")&amp;IF(일일실시사항!$H507="","실시 내용 없음; ","")&amp;IF(COUNTIF(코드설정!$F$5:$F$7,일일실시사항!$J507)=0,"진행상태 누락; ","")))</f>
        <v/>
      </c>
    </row>
    <row r="1540">
      <c r="A1540" s="26" t="inlineStr">
        <is>
          <t>일일실시사항</t>
        </is>
      </c>
      <c r="B1540" s="66" t="n">
        <v>508</v>
      </c>
      <c r="C1540" s="122">
        <f>IF($D1540="","",IFERROR(TEXT(일일실시사항!$B508,"yyyy-mm-dd"),"(날짜없음)")&amp;"  "&amp;일일실시사항!$D508&amp;"  "&amp;일일실시사항!$H508)</f>
        <v/>
      </c>
      <c r="D1540" s="122">
        <f>IF(NOT(COUNTBLANK(일일실시사항!$B508:$K508)&lt;10),"",TRIM(IF(일일실시사항!$B508="","일자 누락; ","")&amp;IF(COUNTIF(코드설정!$C$5:$C$24,일일실시사항!$D508)=0,"담당자 누락; ","")&amp;IF(COUNTIF(코드설정!$G$5:$G$14,일일실시사항!$F508)=0,"업무구분 누락; ","")&amp;IF(AND(일일실시사항!$G508&lt;&gt;"",COUNTIF(사건마스터!$A$5:$A$64,일일실시사항!$G508)=0),"미등록 사건번호; ","")&amp;IF(일일실시사항!$H508="","실시 내용 없음; ","")&amp;IF(COUNTIF(코드설정!$F$5:$F$7,일일실시사항!$J508)=0,"진행상태 누락; ","")))</f>
        <v/>
      </c>
    </row>
    <row r="1541">
      <c r="A1541" s="26" t="inlineStr">
        <is>
          <t>일일실시사항</t>
        </is>
      </c>
      <c r="B1541" s="66" t="n">
        <v>509</v>
      </c>
      <c r="C1541" s="122">
        <f>IF($D1541="","",IFERROR(TEXT(일일실시사항!$B509,"yyyy-mm-dd"),"(날짜없음)")&amp;"  "&amp;일일실시사항!$D509&amp;"  "&amp;일일실시사항!$H509)</f>
        <v/>
      </c>
      <c r="D1541" s="122">
        <f>IF(NOT(COUNTBLANK(일일실시사항!$B509:$K509)&lt;10),"",TRIM(IF(일일실시사항!$B509="","일자 누락; ","")&amp;IF(COUNTIF(코드설정!$C$5:$C$24,일일실시사항!$D509)=0,"담당자 누락; ","")&amp;IF(COUNTIF(코드설정!$G$5:$G$14,일일실시사항!$F509)=0,"업무구분 누락; ","")&amp;IF(AND(일일실시사항!$G509&lt;&gt;"",COUNTIF(사건마스터!$A$5:$A$64,일일실시사항!$G509)=0),"미등록 사건번호; ","")&amp;IF(일일실시사항!$H509="","실시 내용 없음; ","")&amp;IF(COUNTIF(코드설정!$F$5:$F$7,일일실시사항!$J509)=0,"진행상태 누락; ","")))</f>
        <v/>
      </c>
    </row>
    <row r="1542">
      <c r="A1542" s="26" t="inlineStr">
        <is>
          <t>일일실시사항</t>
        </is>
      </c>
      <c r="B1542" s="66" t="n">
        <v>510</v>
      </c>
      <c r="C1542" s="122">
        <f>IF($D1542="","",IFERROR(TEXT(일일실시사항!$B510,"yyyy-mm-dd"),"(날짜없음)")&amp;"  "&amp;일일실시사항!$D510&amp;"  "&amp;일일실시사항!$H510)</f>
        <v/>
      </c>
      <c r="D1542" s="122">
        <f>IF(NOT(COUNTBLANK(일일실시사항!$B510:$K510)&lt;10),"",TRIM(IF(일일실시사항!$B510="","일자 누락; ","")&amp;IF(COUNTIF(코드설정!$C$5:$C$24,일일실시사항!$D510)=0,"담당자 누락; ","")&amp;IF(COUNTIF(코드설정!$G$5:$G$14,일일실시사항!$F510)=0,"업무구분 누락; ","")&amp;IF(AND(일일실시사항!$G510&lt;&gt;"",COUNTIF(사건마스터!$A$5:$A$64,일일실시사항!$G510)=0),"미등록 사건번호; ","")&amp;IF(일일실시사항!$H510="","실시 내용 없음; ","")&amp;IF(COUNTIF(코드설정!$F$5:$F$7,일일실시사항!$J510)=0,"진행상태 누락; ","")))</f>
        <v/>
      </c>
    </row>
    <row r="1543">
      <c r="A1543" s="26" t="inlineStr">
        <is>
          <t>일일실시사항</t>
        </is>
      </c>
      <c r="B1543" s="66" t="n">
        <v>511</v>
      </c>
      <c r="C1543" s="122">
        <f>IF($D1543="","",IFERROR(TEXT(일일실시사항!$B511,"yyyy-mm-dd"),"(날짜없음)")&amp;"  "&amp;일일실시사항!$D511&amp;"  "&amp;일일실시사항!$H511)</f>
        <v/>
      </c>
      <c r="D1543" s="122">
        <f>IF(NOT(COUNTBLANK(일일실시사항!$B511:$K511)&lt;10),"",TRIM(IF(일일실시사항!$B511="","일자 누락; ","")&amp;IF(COUNTIF(코드설정!$C$5:$C$24,일일실시사항!$D511)=0,"담당자 누락; ","")&amp;IF(COUNTIF(코드설정!$G$5:$G$14,일일실시사항!$F511)=0,"업무구분 누락; ","")&amp;IF(AND(일일실시사항!$G511&lt;&gt;"",COUNTIF(사건마스터!$A$5:$A$64,일일실시사항!$G511)=0),"미등록 사건번호; ","")&amp;IF(일일실시사항!$H511="","실시 내용 없음; ","")&amp;IF(COUNTIF(코드설정!$F$5:$F$7,일일실시사항!$J511)=0,"진행상태 누락; ","")))</f>
        <v/>
      </c>
    </row>
    <row r="1544">
      <c r="A1544" s="26" t="inlineStr">
        <is>
          <t>일일실시사항</t>
        </is>
      </c>
      <c r="B1544" s="66" t="n">
        <v>512</v>
      </c>
      <c r="C1544" s="122">
        <f>IF($D1544="","",IFERROR(TEXT(일일실시사항!$B512,"yyyy-mm-dd"),"(날짜없음)")&amp;"  "&amp;일일실시사항!$D512&amp;"  "&amp;일일실시사항!$H512)</f>
        <v/>
      </c>
      <c r="D1544" s="122">
        <f>IF(NOT(COUNTBLANK(일일실시사항!$B512:$K512)&lt;10),"",TRIM(IF(일일실시사항!$B512="","일자 누락; ","")&amp;IF(COUNTIF(코드설정!$C$5:$C$24,일일실시사항!$D512)=0,"담당자 누락; ","")&amp;IF(COUNTIF(코드설정!$G$5:$G$14,일일실시사항!$F512)=0,"업무구분 누락; ","")&amp;IF(AND(일일실시사항!$G512&lt;&gt;"",COUNTIF(사건마스터!$A$5:$A$64,일일실시사항!$G512)=0),"미등록 사건번호; ","")&amp;IF(일일실시사항!$H512="","실시 내용 없음; ","")&amp;IF(COUNTIF(코드설정!$F$5:$F$7,일일실시사항!$J512)=0,"진행상태 누락; ","")))</f>
        <v/>
      </c>
    </row>
    <row r="1545">
      <c r="A1545" s="26" t="inlineStr">
        <is>
          <t>일일실시사항</t>
        </is>
      </c>
      <c r="B1545" s="66" t="n">
        <v>513</v>
      </c>
      <c r="C1545" s="122">
        <f>IF($D1545="","",IFERROR(TEXT(일일실시사항!$B513,"yyyy-mm-dd"),"(날짜없음)")&amp;"  "&amp;일일실시사항!$D513&amp;"  "&amp;일일실시사항!$H513)</f>
        <v/>
      </c>
      <c r="D1545" s="122">
        <f>IF(NOT(COUNTBLANK(일일실시사항!$B513:$K513)&lt;10),"",TRIM(IF(일일실시사항!$B513="","일자 누락; ","")&amp;IF(COUNTIF(코드설정!$C$5:$C$24,일일실시사항!$D513)=0,"담당자 누락; ","")&amp;IF(COUNTIF(코드설정!$G$5:$G$14,일일실시사항!$F513)=0,"업무구분 누락; ","")&amp;IF(AND(일일실시사항!$G513&lt;&gt;"",COUNTIF(사건마스터!$A$5:$A$64,일일실시사항!$G513)=0),"미등록 사건번호; ","")&amp;IF(일일실시사항!$H513="","실시 내용 없음; ","")&amp;IF(COUNTIF(코드설정!$F$5:$F$7,일일실시사항!$J513)=0,"진행상태 누락; ","")))</f>
        <v/>
      </c>
    </row>
    <row r="1546">
      <c r="A1546" s="26" t="inlineStr">
        <is>
          <t>일일실시사항</t>
        </is>
      </c>
      <c r="B1546" s="66" t="n">
        <v>514</v>
      </c>
      <c r="C1546" s="122">
        <f>IF($D1546="","",IFERROR(TEXT(일일실시사항!$B514,"yyyy-mm-dd"),"(날짜없음)")&amp;"  "&amp;일일실시사항!$D514&amp;"  "&amp;일일실시사항!$H514)</f>
        <v/>
      </c>
      <c r="D1546" s="122">
        <f>IF(NOT(COUNTBLANK(일일실시사항!$B514:$K514)&lt;10),"",TRIM(IF(일일실시사항!$B514="","일자 누락; ","")&amp;IF(COUNTIF(코드설정!$C$5:$C$24,일일실시사항!$D514)=0,"담당자 누락; ","")&amp;IF(COUNTIF(코드설정!$G$5:$G$14,일일실시사항!$F514)=0,"업무구분 누락; ","")&amp;IF(AND(일일실시사항!$G514&lt;&gt;"",COUNTIF(사건마스터!$A$5:$A$64,일일실시사항!$G514)=0),"미등록 사건번호; ","")&amp;IF(일일실시사항!$H514="","실시 내용 없음; ","")&amp;IF(COUNTIF(코드설정!$F$5:$F$7,일일실시사항!$J514)=0,"진행상태 누락; ","")))</f>
        <v/>
      </c>
    </row>
    <row r="1547">
      <c r="A1547" s="26" t="inlineStr">
        <is>
          <t>일일실시사항</t>
        </is>
      </c>
      <c r="B1547" s="66" t="n">
        <v>515</v>
      </c>
      <c r="C1547" s="122">
        <f>IF($D1547="","",IFERROR(TEXT(일일실시사항!$B515,"yyyy-mm-dd"),"(날짜없음)")&amp;"  "&amp;일일실시사항!$D515&amp;"  "&amp;일일실시사항!$H515)</f>
        <v/>
      </c>
      <c r="D1547" s="122">
        <f>IF(NOT(COUNTBLANK(일일실시사항!$B515:$K515)&lt;10),"",TRIM(IF(일일실시사항!$B515="","일자 누락; ","")&amp;IF(COUNTIF(코드설정!$C$5:$C$24,일일실시사항!$D515)=0,"담당자 누락; ","")&amp;IF(COUNTIF(코드설정!$G$5:$G$14,일일실시사항!$F515)=0,"업무구분 누락; ","")&amp;IF(AND(일일실시사항!$G515&lt;&gt;"",COUNTIF(사건마스터!$A$5:$A$64,일일실시사항!$G515)=0),"미등록 사건번호; ","")&amp;IF(일일실시사항!$H515="","실시 내용 없음; ","")&amp;IF(COUNTIF(코드설정!$F$5:$F$7,일일실시사항!$J515)=0,"진행상태 누락; ","")))</f>
        <v/>
      </c>
    </row>
    <row r="1548">
      <c r="A1548" s="26" t="inlineStr">
        <is>
          <t>일일실시사항</t>
        </is>
      </c>
      <c r="B1548" s="66" t="n">
        <v>516</v>
      </c>
      <c r="C1548" s="122">
        <f>IF($D1548="","",IFERROR(TEXT(일일실시사항!$B516,"yyyy-mm-dd"),"(날짜없음)")&amp;"  "&amp;일일실시사항!$D516&amp;"  "&amp;일일실시사항!$H516)</f>
        <v/>
      </c>
      <c r="D1548" s="122">
        <f>IF(NOT(COUNTBLANK(일일실시사항!$B516:$K516)&lt;10),"",TRIM(IF(일일실시사항!$B516="","일자 누락; ","")&amp;IF(COUNTIF(코드설정!$C$5:$C$24,일일실시사항!$D516)=0,"담당자 누락; ","")&amp;IF(COUNTIF(코드설정!$G$5:$G$14,일일실시사항!$F516)=0,"업무구분 누락; ","")&amp;IF(AND(일일실시사항!$G516&lt;&gt;"",COUNTIF(사건마스터!$A$5:$A$64,일일실시사항!$G516)=0),"미등록 사건번호; ","")&amp;IF(일일실시사항!$H516="","실시 내용 없음; ","")&amp;IF(COUNTIF(코드설정!$F$5:$F$7,일일실시사항!$J516)=0,"진행상태 누락; ","")))</f>
        <v/>
      </c>
    </row>
    <row r="1549">
      <c r="A1549" s="26" t="inlineStr">
        <is>
          <t>일일실시사항</t>
        </is>
      </c>
      <c r="B1549" s="66" t="n">
        <v>517</v>
      </c>
      <c r="C1549" s="122">
        <f>IF($D1549="","",IFERROR(TEXT(일일실시사항!$B517,"yyyy-mm-dd"),"(날짜없음)")&amp;"  "&amp;일일실시사항!$D517&amp;"  "&amp;일일실시사항!$H517)</f>
        <v/>
      </c>
      <c r="D1549" s="122">
        <f>IF(NOT(COUNTBLANK(일일실시사항!$B517:$K517)&lt;10),"",TRIM(IF(일일실시사항!$B517="","일자 누락; ","")&amp;IF(COUNTIF(코드설정!$C$5:$C$24,일일실시사항!$D517)=0,"담당자 누락; ","")&amp;IF(COUNTIF(코드설정!$G$5:$G$14,일일실시사항!$F517)=0,"업무구분 누락; ","")&amp;IF(AND(일일실시사항!$G517&lt;&gt;"",COUNTIF(사건마스터!$A$5:$A$64,일일실시사항!$G517)=0),"미등록 사건번호; ","")&amp;IF(일일실시사항!$H517="","실시 내용 없음; ","")&amp;IF(COUNTIF(코드설정!$F$5:$F$7,일일실시사항!$J517)=0,"진행상태 누락; ","")))</f>
        <v/>
      </c>
    </row>
    <row r="1550">
      <c r="A1550" s="26" t="inlineStr">
        <is>
          <t>일일실시사항</t>
        </is>
      </c>
      <c r="B1550" s="66" t="n">
        <v>518</v>
      </c>
      <c r="C1550" s="122">
        <f>IF($D1550="","",IFERROR(TEXT(일일실시사항!$B518,"yyyy-mm-dd"),"(날짜없음)")&amp;"  "&amp;일일실시사항!$D518&amp;"  "&amp;일일실시사항!$H518)</f>
        <v/>
      </c>
      <c r="D1550" s="122">
        <f>IF(NOT(COUNTBLANK(일일실시사항!$B518:$K518)&lt;10),"",TRIM(IF(일일실시사항!$B518="","일자 누락; ","")&amp;IF(COUNTIF(코드설정!$C$5:$C$24,일일실시사항!$D518)=0,"담당자 누락; ","")&amp;IF(COUNTIF(코드설정!$G$5:$G$14,일일실시사항!$F518)=0,"업무구분 누락; ","")&amp;IF(AND(일일실시사항!$G518&lt;&gt;"",COUNTIF(사건마스터!$A$5:$A$64,일일실시사항!$G518)=0),"미등록 사건번호; ","")&amp;IF(일일실시사항!$H518="","실시 내용 없음; ","")&amp;IF(COUNTIF(코드설정!$F$5:$F$7,일일실시사항!$J518)=0,"진행상태 누락; ","")))</f>
        <v/>
      </c>
    </row>
    <row r="1551">
      <c r="A1551" s="26" t="inlineStr">
        <is>
          <t>일일실시사항</t>
        </is>
      </c>
      <c r="B1551" s="66" t="n">
        <v>519</v>
      </c>
      <c r="C1551" s="122">
        <f>IF($D1551="","",IFERROR(TEXT(일일실시사항!$B519,"yyyy-mm-dd"),"(날짜없음)")&amp;"  "&amp;일일실시사항!$D519&amp;"  "&amp;일일실시사항!$H519)</f>
        <v/>
      </c>
      <c r="D1551" s="122">
        <f>IF(NOT(COUNTBLANK(일일실시사항!$B519:$K519)&lt;10),"",TRIM(IF(일일실시사항!$B519="","일자 누락; ","")&amp;IF(COUNTIF(코드설정!$C$5:$C$24,일일실시사항!$D519)=0,"담당자 누락; ","")&amp;IF(COUNTIF(코드설정!$G$5:$G$14,일일실시사항!$F519)=0,"업무구분 누락; ","")&amp;IF(AND(일일실시사항!$G519&lt;&gt;"",COUNTIF(사건마스터!$A$5:$A$64,일일실시사항!$G519)=0),"미등록 사건번호; ","")&amp;IF(일일실시사항!$H519="","실시 내용 없음; ","")&amp;IF(COUNTIF(코드설정!$F$5:$F$7,일일실시사항!$J519)=0,"진행상태 누락; ","")))</f>
        <v/>
      </c>
    </row>
    <row r="1552">
      <c r="A1552" s="26" t="inlineStr">
        <is>
          <t>일일실시사항</t>
        </is>
      </c>
      <c r="B1552" s="66" t="n">
        <v>520</v>
      </c>
      <c r="C1552" s="122">
        <f>IF($D1552="","",IFERROR(TEXT(일일실시사항!$B520,"yyyy-mm-dd"),"(날짜없음)")&amp;"  "&amp;일일실시사항!$D520&amp;"  "&amp;일일실시사항!$H520)</f>
        <v/>
      </c>
      <c r="D1552" s="122">
        <f>IF(NOT(COUNTBLANK(일일실시사항!$B520:$K520)&lt;10),"",TRIM(IF(일일실시사항!$B520="","일자 누락; ","")&amp;IF(COUNTIF(코드설정!$C$5:$C$24,일일실시사항!$D520)=0,"담당자 누락; ","")&amp;IF(COUNTIF(코드설정!$G$5:$G$14,일일실시사항!$F520)=0,"업무구분 누락; ","")&amp;IF(AND(일일실시사항!$G520&lt;&gt;"",COUNTIF(사건마스터!$A$5:$A$64,일일실시사항!$G520)=0),"미등록 사건번호; ","")&amp;IF(일일실시사항!$H520="","실시 내용 없음; ","")&amp;IF(COUNTIF(코드설정!$F$5:$F$7,일일실시사항!$J520)=0,"진행상태 누락; ","")))</f>
        <v/>
      </c>
    </row>
    <row r="1553">
      <c r="A1553" s="26" t="inlineStr">
        <is>
          <t>일일실시사항</t>
        </is>
      </c>
      <c r="B1553" s="66" t="n">
        <v>521</v>
      </c>
      <c r="C1553" s="122">
        <f>IF($D1553="","",IFERROR(TEXT(일일실시사항!$B521,"yyyy-mm-dd"),"(날짜없음)")&amp;"  "&amp;일일실시사항!$D521&amp;"  "&amp;일일실시사항!$H521)</f>
        <v/>
      </c>
      <c r="D1553" s="122">
        <f>IF(NOT(COUNTBLANK(일일실시사항!$B521:$K521)&lt;10),"",TRIM(IF(일일실시사항!$B521="","일자 누락; ","")&amp;IF(COUNTIF(코드설정!$C$5:$C$24,일일실시사항!$D521)=0,"담당자 누락; ","")&amp;IF(COUNTIF(코드설정!$G$5:$G$14,일일실시사항!$F521)=0,"업무구분 누락; ","")&amp;IF(AND(일일실시사항!$G521&lt;&gt;"",COUNTIF(사건마스터!$A$5:$A$64,일일실시사항!$G521)=0),"미등록 사건번호; ","")&amp;IF(일일실시사항!$H521="","실시 내용 없음; ","")&amp;IF(COUNTIF(코드설정!$F$5:$F$7,일일실시사항!$J521)=0,"진행상태 누락; ","")))</f>
        <v/>
      </c>
    </row>
    <row r="1554">
      <c r="A1554" s="26" t="inlineStr">
        <is>
          <t>일일실시사항</t>
        </is>
      </c>
      <c r="B1554" s="66" t="n">
        <v>522</v>
      </c>
      <c r="C1554" s="122">
        <f>IF($D1554="","",IFERROR(TEXT(일일실시사항!$B522,"yyyy-mm-dd"),"(날짜없음)")&amp;"  "&amp;일일실시사항!$D522&amp;"  "&amp;일일실시사항!$H522)</f>
        <v/>
      </c>
      <c r="D1554" s="122">
        <f>IF(NOT(COUNTBLANK(일일실시사항!$B522:$K522)&lt;10),"",TRIM(IF(일일실시사항!$B522="","일자 누락; ","")&amp;IF(COUNTIF(코드설정!$C$5:$C$24,일일실시사항!$D522)=0,"담당자 누락; ","")&amp;IF(COUNTIF(코드설정!$G$5:$G$14,일일실시사항!$F522)=0,"업무구분 누락; ","")&amp;IF(AND(일일실시사항!$G522&lt;&gt;"",COUNTIF(사건마스터!$A$5:$A$64,일일실시사항!$G522)=0),"미등록 사건번호; ","")&amp;IF(일일실시사항!$H522="","실시 내용 없음; ","")&amp;IF(COUNTIF(코드설정!$F$5:$F$7,일일실시사항!$J522)=0,"진행상태 누락; ","")))</f>
        <v/>
      </c>
    </row>
    <row r="1555">
      <c r="A1555" s="26" t="inlineStr">
        <is>
          <t>일일실시사항</t>
        </is>
      </c>
      <c r="B1555" s="66" t="n">
        <v>523</v>
      </c>
      <c r="C1555" s="122">
        <f>IF($D1555="","",IFERROR(TEXT(일일실시사항!$B523,"yyyy-mm-dd"),"(날짜없음)")&amp;"  "&amp;일일실시사항!$D523&amp;"  "&amp;일일실시사항!$H523)</f>
        <v/>
      </c>
      <c r="D1555" s="122">
        <f>IF(NOT(COUNTBLANK(일일실시사항!$B523:$K523)&lt;10),"",TRIM(IF(일일실시사항!$B523="","일자 누락; ","")&amp;IF(COUNTIF(코드설정!$C$5:$C$24,일일실시사항!$D523)=0,"담당자 누락; ","")&amp;IF(COUNTIF(코드설정!$G$5:$G$14,일일실시사항!$F523)=0,"업무구분 누락; ","")&amp;IF(AND(일일실시사항!$G523&lt;&gt;"",COUNTIF(사건마스터!$A$5:$A$64,일일실시사항!$G523)=0),"미등록 사건번호; ","")&amp;IF(일일실시사항!$H523="","실시 내용 없음; ","")&amp;IF(COUNTIF(코드설정!$F$5:$F$7,일일실시사항!$J523)=0,"진행상태 누락; ","")))</f>
        <v/>
      </c>
    </row>
    <row r="1556">
      <c r="A1556" s="26" t="inlineStr">
        <is>
          <t>일일실시사항</t>
        </is>
      </c>
      <c r="B1556" s="66" t="n">
        <v>524</v>
      </c>
      <c r="C1556" s="122">
        <f>IF($D1556="","",IFERROR(TEXT(일일실시사항!$B524,"yyyy-mm-dd"),"(날짜없음)")&amp;"  "&amp;일일실시사항!$D524&amp;"  "&amp;일일실시사항!$H524)</f>
        <v/>
      </c>
      <c r="D1556" s="122">
        <f>IF(NOT(COUNTBLANK(일일실시사항!$B524:$K524)&lt;10),"",TRIM(IF(일일실시사항!$B524="","일자 누락; ","")&amp;IF(COUNTIF(코드설정!$C$5:$C$24,일일실시사항!$D524)=0,"담당자 누락; ","")&amp;IF(COUNTIF(코드설정!$G$5:$G$14,일일실시사항!$F524)=0,"업무구분 누락; ","")&amp;IF(AND(일일실시사항!$G524&lt;&gt;"",COUNTIF(사건마스터!$A$5:$A$64,일일실시사항!$G524)=0),"미등록 사건번호; ","")&amp;IF(일일실시사항!$H524="","실시 내용 없음; ","")&amp;IF(COUNTIF(코드설정!$F$5:$F$7,일일실시사항!$J524)=0,"진행상태 누락; ","")))</f>
        <v/>
      </c>
    </row>
    <row r="1557">
      <c r="A1557" s="26" t="inlineStr">
        <is>
          <t>일일실시사항</t>
        </is>
      </c>
      <c r="B1557" s="66" t="n">
        <v>525</v>
      </c>
      <c r="C1557" s="122">
        <f>IF($D1557="","",IFERROR(TEXT(일일실시사항!$B525,"yyyy-mm-dd"),"(날짜없음)")&amp;"  "&amp;일일실시사항!$D525&amp;"  "&amp;일일실시사항!$H525)</f>
        <v/>
      </c>
      <c r="D1557" s="122">
        <f>IF(NOT(COUNTBLANK(일일실시사항!$B525:$K525)&lt;10),"",TRIM(IF(일일실시사항!$B525="","일자 누락; ","")&amp;IF(COUNTIF(코드설정!$C$5:$C$24,일일실시사항!$D525)=0,"담당자 누락; ","")&amp;IF(COUNTIF(코드설정!$G$5:$G$14,일일실시사항!$F525)=0,"업무구분 누락; ","")&amp;IF(AND(일일실시사항!$G525&lt;&gt;"",COUNTIF(사건마스터!$A$5:$A$64,일일실시사항!$G525)=0),"미등록 사건번호; ","")&amp;IF(일일실시사항!$H525="","실시 내용 없음; ","")&amp;IF(COUNTIF(코드설정!$F$5:$F$7,일일실시사항!$J525)=0,"진행상태 누락; ","")))</f>
        <v/>
      </c>
    </row>
    <row r="1558">
      <c r="A1558" s="26" t="inlineStr">
        <is>
          <t>일일실시사항</t>
        </is>
      </c>
      <c r="B1558" s="66" t="n">
        <v>526</v>
      </c>
      <c r="C1558" s="122">
        <f>IF($D1558="","",IFERROR(TEXT(일일실시사항!$B526,"yyyy-mm-dd"),"(날짜없음)")&amp;"  "&amp;일일실시사항!$D526&amp;"  "&amp;일일실시사항!$H526)</f>
        <v/>
      </c>
      <c r="D1558" s="122">
        <f>IF(NOT(COUNTBLANK(일일실시사항!$B526:$K526)&lt;10),"",TRIM(IF(일일실시사항!$B526="","일자 누락; ","")&amp;IF(COUNTIF(코드설정!$C$5:$C$24,일일실시사항!$D526)=0,"담당자 누락; ","")&amp;IF(COUNTIF(코드설정!$G$5:$G$14,일일실시사항!$F526)=0,"업무구분 누락; ","")&amp;IF(AND(일일실시사항!$G526&lt;&gt;"",COUNTIF(사건마스터!$A$5:$A$64,일일실시사항!$G526)=0),"미등록 사건번호; ","")&amp;IF(일일실시사항!$H526="","실시 내용 없음; ","")&amp;IF(COUNTIF(코드설정!$F$5:$F$7,일일실시사항!$J526)=0,"진행상태 누락; ","")))</f>
        <v/>
      </c>
    </row>
    <row r="1559">
      <c r="A1559" s="26" t="inlineStr">
        <is>
          <t>일일실시사항</t>
        </is>
      </c>
      <c r="B1559" s="66" t="n">
        <v>527</v>
      </c>
      <c r="C1559" s="122">
        <f>IF($D1559="","",IFERROR(TEXT(일일실시사항!$B527,"yyyy-mm-dd"),"(날짜없음)")&amp;"  "&amp;일일실시사항!$D527&amp;"  "&amp;일일실시사항!$H527)</f>
        <v/>
      </c>
      <c r="D1559" s="122">
        <f>IF(NOT(COUNTBLANK(일일실시사항!$B527:$K527)&lt;10),"",TRIM(IF(일일실시사항!$B527="","일자 누락; ","")&amp;IF(COUNTIF(코드설정!$C$5:$C$24,일일실시사항!$D527)=0,"담당자 누락; ","")&amp;IF(COUNTIF(코드설정!$G$5:$G$14,일일실시사항!$F527)=0,"업무구분 누락; ","")&amp;IF(AND(일일실시사항!$G527&lt;&gt;"",COUNTIF(사건마스터!$A$5:$A$64,일일실시사항!$G527)=0),"미등록 사건번호; ","")&amp;IF(일일실시사항!$H527="","실시 내용 없음; ","")&amp;IF(COUNTIF(코드설정!$F$5:$F$7,일일실시사항!$J527)=0,"진행상태 누락; ","")))</f>
        <v/>
      </c>
    </row>
    <row r="1560">
      <c r="A1560" s="26" t="inlineStr">
        <is>
          <t>일일실시사항</t>
        </is>
      </c>
      <c r="B1560" s="66" t="n">
        <v>528</v>
      </c>
      <c r="C1560" s="122">
        <f>IF($D1560="","",IFERROR(TEXT(일일실시사항!$B528,"yyyy-mm-dd"),"(날짜없음)")&amp;"  "&amp;일일실시사항!$D528&amp;"  "&amp;일일실시사항!$H528)</f>
        <v/>
      </c>
      <c r="D1560" s="122">
        <f>IF(NOT(COUNTBLANK(일일실시사항!$B528:$K528)&lt;10),"",TRIM(IF(일일실시사항!$B528="","일자 누락; ","")&amp;IF(COUNTIF(코드설정!$C$5:$C$24,일일실시사항!$D528)=0,"담당자 누락; ","")&amp;IF(COUNTIF(코드설정!$G$5:$G$14,일일실시사항!$F528)=0,"업무구분 누락; ","")&amp;IF(AND(일일실시사항!$G528&lt;&gt;"",COUNTIF(사건마스터!$A$5:$A$64,일일실시사항!$G528)=0),"미등록 사건번호; ","")&amp;IF(일일실시사항!$H528="","실시 내용 없음; ","")&amp;IF(COUNTIF(코드설정!$F$5:$F$7,일일실시사항!$J528)=0,"진행상태 누락; ","")))</f>
        <v/>
      </c>
    </row>
    <row r="1561">
      <c r="A1561" s="26" t="inlineStr">
        <is>
          <t>일일실시사항</t>
        </is>
      </c>
      <c r="B1561" s="66" t="n">
        <v>529</v>
      </c>
      <c r="C1561" s="122">
        <f>IF($D1561="","",IFERROR(TEXT(일일실시사항!$B529,"yyyy-mm-dd"),"(날짜없음)")&amp;"  "&amp;일일실시사항!$D529&amp;"  "&amp;일일실시사항!$H529)</f>
        <v/>
      </c>
      <c r="D1561" s="122">
        <f>IF(NOT(COUNTBLANK(일일실시사항!$B529:$K529)&lt;10),"",TRIM(IF(일일실시사항!$B529="","일자 누락; ","")&amp;IF(COUNTIF(코드설정!$C$5:$C$24,일일실시사항!$D529)=0,"담당자 누락; ","")&amp;IF(COUNTIF(코드설정!$G$5:$G$14,일일실시사항!$F529)=0,"업무구분 누락; ","")&amp;IF(AND(일일실시사항!$G529&lt;&gt;"",COUNTIF(사건마스터!$A$5:$A$64,일일실시사항!$G529)=0),"미등록 사건번호; ","")&amp;IF(일일실시사항!$H529="","실시 내용 없음; ","")&amp;IF(COUNTIF(코드설정!$F$5:$F$7,일일실시사항!$J529)=0,"진행상태 누락; ","")))</f>
        <v/>
      </c>
    </row>
    <row r="1562">
      <c r="A1562" s="26" t="inlineStr">
        <is>
          <t>일일실시사항</t>
        </is>
      </c>
      <c r="B1562" s="66" t="n">
        <v>530</v>
      </c>
      <c r="C1562" s="122">
        <f>IF($D1562="","",IFERROR(TEXT(일일실시사항!$B530,"yyyy-mm-dd"),"(날짜없음)")&amp;"  "&amp;일일실시사항!$D530&amp;"  "&amp;일일실시사항!$H530)</f>
        <v/>
      </c>
      <c r="D1562" s="122">
        <f>IF(NOT(COUNTBLANK(일일실시사항!$B530:$K530)&lt;10),"",TRIM(IF(일일실시사항!$B530="","일자 누락; ","")&amp;IF(COUNTIF(코드설정!$C$5:$C$24,일일실시사항!$D530)=0,"담당자 누락; ","")&amp;IF(COUNTIF(코드설정!$G$5:$G$14,일일실시사항!$F530)=0,"업무구분 누락; ","")&amp;IF(AND(일일실시사항!$G530&lt;&gt;"",COUNTIF(사건마스터!$A$5:$A$64,일일실시사항!$G530)=0),"미등록 사건번호; ","")&amp;IF(일일실시사항!$H530="","실시 내용 없음; ","")&amp;IF(COUNTIF(코드설정!$F$5:$F$7,일일실시사항!$J530)=0,"진행상태 누락; ","")))</f>
        <v/>
      </c>
    </row>
    <row r="1563">
      <c r="A1563" s="26" t="inlineStr">
        <is>
          <t>일일실시사항</t>
        </is>
      </c>
      <c r="B1563" s="66" t="n">
        <v>531</v>
      </c>
      <c r="C1563" s="122">
        <f>IF($D1563="","",IFERROR(TEXT(일일실시사항!$B531,"yyyy-mm-dd"),"(날짜없음)")&amp;"  "&amp;일일실시사항!$D531&amp;"  "&amp;일일실시사항!$H531)</f>
        <v/>
      </c>
      <c r="D1563" s="122">
        <f>IF(NOT(COUNTBLANK(일일실시사항!$B531:$K531)&lt;10),"",TRIM(IF(일일실시사항!$B531="","일자 누락; ","")&amp;IF(COUNTIF(코드설정!$C$5:$C$24,일일실시사항!$D531)=0,"담당자 누락; ","")&amp;IF(COUNTIF(코드설정!$G$5:$G$14,일일실시사항!$F531)=0,"업무구분 누락; ","")&amp;IF(AND(일일실시사항!$G531&lt;&gt;"",COUNTIF(사건마스터!$A$5:$A$64,일일실시사항!$G531)=0),"미등록 사건번호; ","")&amp;IF(일일실시사항!$H531="","실시 내용 없음; ","")&amp;IF(COUNTIF(코드설정!$F$5:$F$7,일일실시사항!$J531)=0,"진행상태 누락; ","")))</f>
        <v/>
      </c>
    </row>
    <row r="1564">
      <c r="A1564" s="26" t="inlineStr">
        <is>
          <t>일일실시사항</t>
        </is>
      </c>
      <c r="B1564" s="66" t="n">
        <v>532</v>
      </c>
      <c r="C1564" s="122">
        <f>IF($D1564="","",IFERROR(TEXT(일일실시사항!$B532,"yyyy-mm-dd"),"(날짜없음)")&amp;"  "&amp;일일실시사항!$D532&amp;"  "&amp;일일실시사항!$H532)</f>
        <v/>
      </c>
      <c r="D1564" s="122">
        <f>IF(NOT(COUNTBLANK(일일실시사항!$B532:$K532)&lt;10),"",TRIM(IF(일일실시사항!$B532="","일자 누락; ","")&amp;IF(COUNTIF(코드설정!$C$5:$C$24,일일실시사항!$D532)=0,"담당자 누락; ","")&amp;IF(COUNTIF(코드설정!$G$5:$G$14,일일실시사항!$F532)=0,"업무구분 누락; ","")&amp;IF(AND(일일실시사항!$G532&lt;&gt;"",COUNTIF(사건마스터!$A$5:$A$64,일일실시사항!$G532)=0),"미등록 사건번호; ","")&amp;IF(일일실시사항!$H532="","실시 내용 없음; ","")&amp;IF(COUNTIF(코드설정!$F$5:$F$7,일일실시사항!$J532)=0,"진행상태 누락; ","")))</f>
        <v/>
      </c>
    </row>
    <row r="1565">
      <c r="A1565" s="26" t="inlineStr">
        <is>
          <t>일일실시사항</t>
        </is>
      </c>
      <c r="B1565" s="66" t="n">
        <v>533</v>
      </c>
      <c r="C1565" s="122">
        <f>IF($D1565="","",IFERROR(TEXT(일일실시사항!$B533,"yyyy-mm-dd"),"(날짜없음)")&amp;"  "&amp;일일실시사항!$D533&amp;"  "&amp;일일실시사항!$H533)</f>
        <v/>
      </c>
      <c r="D1565" s="122">
        <f>IF(NOT(COUNTBLANK(일일실시사항!$B533:$K533)&lt;10),"",TRIM(IF(일일실시사항!$B533="","일자 누락; ","")&amp;IF(COUNTIF(코드설정!$C$5:$C$24,일일실시사항!$D533)=0,"담당자 누락; ","")&amp;IF(COUNTIF(코드설정!$G$5:$G$14,일일실시사항!$F533)=0,"업무구분 누락; ","")&amp;IF(AND(일일실시사항!$G533&lt;&gt;"",COUNTIF(사건마스터!$A$5:$A$64,일일실시사항!$G533)=0),"미등록 사건번호; ","")&amp;IF(일일실시사항!$H533="","실시 내용 없음; ","")&amp;IF(COUNTIF(코드설정!$F$5:$F$7,일일실시사항!$J533)=0,"진행상태 누락; ","")))</f>
        <v/>
      </c>
    </row>
    <row r="1566">
      <c r="A1566" s="26" t="inlineStr">
        <is>
          <t>일일실시사항</t>
        </is>
      </c>
      <c r="B1566" s="66" t="n">
        <v>534</v>
      </c>
      <c r="C1566" s="122">
        <f>IF($D1566="","",IFERROR(TEXT(일일실시사항!$B534,"yyyy-mm-dd"),"(날짜없음)")&amp;"  "&amp;일일실시사항!$D534&amp;"  "&amp;일일실시사항!$H534)</f>
        <v/>
      </c>
      <c r="D1566" s="122">
        <f>IF(NOT(COUNTBLANK(일일실시사항!$B534:$K534)&lt;10),"",TRIM(IF(일일실시사항!$B534="","일자 누락; ","")&amp;IF(COUNTIF(코드설정!$C$5:$C$24,일일실시사항!$D534)=0,"담당자 누락; ","")&amp;IF(COUNTIF(코드설정!$G$5:$G$14,일일실시사항!$F534)=0,"업무구분 누락; ","")&amp;IF(AND(일일실시사항!$G534&lt;&gt;"",COUNTIF(사건마스터!$A$5:$A$64,일일실시사항!$G534)=0),"미등록 사건번호; ","")&amp;IF(일일실시사항!$H534="","실시 내용 없음; ","")&amp;IF(COUNTIF(코드설정!$F$5:$F$7,일일실시사항!$J534)=0,"진행상태 누락; ","")))</f>
        <v/>
      </c>
    </row>
    <row r="1567">
      <c r="A1567" s="26" t="inlineStr">
        <is>
          <t>일일실시사항</t>
        </is>
      </c>
      <c r="B1567" s="66" t="n">
        <v>535</v>
      </c>
      <c r="C1567" s="122">
        <f>IF($D1567="","",IFERROR(TEXT(일일실시사항!$B535,"yyyy-mm-dd"),"(날짜없음)")&amp;"  "&amp;일일실시사항!$D535&amp;"  "&amp;일일실시사항!$H535)</f>
        <v/>
      </c>
      <c r="D1567" s="122">
        <f>IF(NOT(COUNTBLANK(일일실시사항!$B535:$K535)&lt;10),"",TRIM(IF(일일실시사항!$B535="","일자 누락; ","")&amp;IF(COUNTIF(코드설정!$C$5:$C$24,일일실시사항!$D535)=0,"담당자 누락; ","")&amp;IF(COUNTIF(코드설정!$G$5:$G$14,일일실시사항!$F535)=0,"업무구분 누락; ","")&amp;IF(AND(일일실시사항!$G535&lt;&gt;"",COUNTIF(사건마스터!$A$5:$A$64,일일실시사항!$G535)=0),"미등록 사건번호; ","")&amp;IF(일일실시사항!$H535="","실시 내용 없음; ","")&amp;IF(COUNTIF(코드설정!$F$5:$F$7,일일실시사항!$J535)=0,"진행상태 누락; ","")))</f>
        <v/>
      </c>
    </row>
    <row r="1568">
      <c r="A1568" s="26" t="inlineStr">
        <is>
          <t>일일실시사항</t>
        </is>
      </c>
      <c r="B1568" s="66" t="n">
        <v>536</v>
      </c>
      <c r="C1568" s="122">
        <f>IF($D1568="","",IFERROR(TEXT(일일실시사항!$B536,"yyyy-mm-dd"),"(날짜없음)")&amp;"  "&amp;일일실시사항!$D536&amp;"  "&amp;일일실시사항!$H536)</f>
        <v/>
      </c>
      <c r="D1568" s="122">
        <f>IF(NOT(COUNTBLANK(일일실시사항!$B536:$K536)&lt;10),"",TRIM(IF(일일실시사항!$B536="","일자 누락; ","")&amp;IF(COUNTIF(코드설정!$C$5:$C$24,일일실시사항!$D536)=0,"담당자 누락; ","")&amp;IF(COUNTIF(코드설정!$G$5:$G$14,일일실시사항!$F536)=0,"업무구분 누락; ","")&amp;IF(AND(일일실시사항!$G536&lt;&gt;"",COUNTIF(사건마스터!$A$5:$A$64,일일실시사항!$G536)=0),"미등록 사건번호; ","")&amp;IF(일일실시사항!$H536="","실시 내용 없음; ","")&amp;IF(COUNTIF(코드설정!$F$5:$F$7,일일실시사항!$J536)=0,"진행상태 누락; ","")))</f>
        <v/>
      </c>
    </row>
    <row r="1569">
      <c r="A1569" s="26" t="inlineStr">
        <is>
          <t>일일실시사항</t>
        </is>
      </c>
      <c r="B1569" s="66" t="n">
        <v>537</v>
      </c>
      <c r="C1569" s="122">
        <f>IF($D1569="","",IFERROR(TEXT(일일실시사항!$B537,"yyyy-mm-dd"),"(날짜없음)")&amp;"  "&amp;일일실시사항!$D537&amp;"  "&amp;일일실시사항!$H537)</f>
        <v/>
      </c>
      <c r="D1569" s="122">
        <f>IF(NOT(COUNTBLANK(일일실시사항!$B537:$K537)&lt;10),"",TRIM(IF(일일실시사항!$B537="","일자 누락; ","")&amp;IF(COUNTIF(코드설정!$C$5:$C$24,일일실시사항!$D537)=0,"담당자 누락; ","")&amp;IF(COUNTIF(코드설정!$G$5:$G$14,일일실시사항!$F537)=0,"업무구분 누락; ","")&amp;IF(AND(일일실시사항!$G537&lt;&gt;"",COUNTIF(사건마스터!$A$5:$A$64,일일실시사항!$G537)=0),"미등록 사건번호; ","")&amp;IF(일일실시사항!$H537="","실시 내용 없음; ","")&amp;IF(COUNTIF(코드설정!$F$5:$F$7,일일실시사항!$J537)=0,"진행상태 누락; ","")))</f>
        <v/>
      </c>
    </row>
    <row r="1570">
      <c r="A1570" s="26" t="inlineStr">
        <is>
          <t>일일실시사항</t>
        </is>
      </c>
      <c r="B1570" s="66" t="n">
        <v>538</v>
      </c>
      <c r="C1570" s="122">
        <f>IF($D1570="","",IFERROR(TEXT(일일실시사항!$B538,"yyyy-mm-dd"),"(날짜없음)")&amp;"  "&amp;일일실시사항!$D538&amp;"  "&amp;일일실시사항!$H538)</f>
        <v/>
      </c>
      <c r="D1570" s="122">
        <f>IF(NOT(COUNTBLANK(일일실시사항!$B538:$K538)&lt;10),"",TRIM(IF(일일실시사항!$B538="","일자 누락; ","")&amp;IF(COUNTIF(코드설정!$C$5:$C$24,일일실시사항!$D538)=0,"담당자 누락; ","")&amp;IF(COUNTIF(코드설정!$G$5:$G$14,일일실시사항!$F538)=0,"업무구분 누락; ","")&amp;IF(AND(일일실시사항!$G538&lt;&gt;"",COUNTIF(사건마스터!$A$5:$A$64,일일실시사항!$G538)=0),"미등록 사건번호; ","")&amp;IF(일일실시사항!$H538="","실시 내용 없음; ","")&amp;IF(COUNTIF(코드설정!$F$5:$F$7,일일실시사항!$J538)=0,"진행상태 누락; ","")))</f>
        <v/>
      </c>
    </row>
    <row r="1571">
      <c r="A1571" s="26" t="inlineStr">
        <is>
          <t>일일실시사항</t>
        </is>
      </c>
      <c r="B1571" s="66" t="n">
        <v>539</v>
      </c>
      <c r="C1571" s="122">
        <f>IF($D1571="","",IFERROR(TEXT(일일실시사항!$B539,"yyyy-mm-dd"),"(날짜없음)")&amp;"  "&amp;일일실시사항!$D539&amp;"  "&amp;일일실시사항!$H539)</f>
        <v/>
      </c>
      <c r="D1571" s="122">
        <f>IF(NOT(COUNTBLANK(일일실시사항!$B539:$K539)&lt;10),"",TRIM(IF(일일실시사항!$B539="","일자 누락; ","")&amp;IF(COUNTIF(코드설정!$C$5:$C$24,일일실시사항!$D539)=0,"담당자 누락; ","")&amp;IF(COUNTIF(코드설정!$G$5:$G$14,일일실시사항!$F539)=0,"업무구분 누락; ","")&amp;IF(AND(일일실시사항!$G539&lt;&gt;"",COUNTIF(사건마스터!$A$5:$A$64,일일실시사항!$G539)=0),"미등록 사건번호; ","")&amp;IF(일일실시사항!$H539="","실시 내용 없음; ","")&amp;IF(COUNTIF(코드설정!$F$5:$F$7,일일실시사항!$J539)=0,"진행상태 누락; ","")))</f>
        <v/>
      </c>
    </row>
    <row r="1572">
      <c r="A1572" s="26" t="inlineStr">
        <is>
          <t>일일실시사항</t>
        </is>
      </c>
      <c r="B1572" s="66" t="n">
        <v>540</v>
      </c>
      <c r="C1572" s="122">
        <f>IF($D1572="","",IFERROR(TEXT(일일실시사항!$B540,"yyyy-mm-dd"),"(날짜없음)")&amp;"  "&amp;일일실시사항!$D540&amp;"  "&amp;일일실시사항!$H540)</f>
        <v/>
      </c>
      <c r="D1572" s="122">
        <f>IF(NOT(COUNTBLANK(일일실시사항!$B540:$K540)&lt;10),"",TRIM(IF(일일실시사항!$B540="","일자 누락; ","")&amp;IF(COUNTIF(코드설정!$C$5:$C$24,일일실시사항!$D540)=0,"담당자 누락; ","")&amp;IF(COUNTIF(코드설정!$G$5:$G$14,일일실시사항!$F540)=0,"업무구분 누락; ","")&amp;IF(AND(일일실시사항!$G540&lt;&gt;"",COUNTIF(사건마스터!$A$5:$A$64,일일실시사항!$G540)=0),"미등록 사건번호; ","")&amp;IF(일일실시사항!$H540="","실시 내용 없음; ","")&amp;IF(COUNTIF(코드설정!$F$5:$F$7,일일실시사항!$J540)=0,"진행상태 누락; ","")))</f>
        <v/>
      </c>
    </row>
    <row r="1573">
      <c r="A1573" s="26" t="inlineStr">
        <is>
          <t>일일실시사항</t>
        </is>
      </c>
      <c r="B1573" s="66" t="n">
        <v>541</v>
      </c>
      <c r="C1573" s="122">
        <f>IF($D1573="","",IFERROR(TEXT(일일실시사항!$B541,"yyyy-mm-dd"),"(날짜없음)")&amp;"  "&amp;일일실시사항!$D541&amp;"  "&amp;일일실시사항!$H541)</f>
        <v/>
      </c>
      <c r="D1573" s="122">
        <f>IF(NOT(COUNTBLANK(일일실시사항!$B541:$K541)&lt;10),"",TRIM(IF(일일실시사항!$B541="","일자 누락; ","")&amp;IF(COUNTIF(코드설정!$C$5:$C$24,일일실시사항!$D541)=0,"담당자 누락; ","")&amp;IF(COUNTIF(코드설정!$G$5:$G$14,일일실시사항!$F541)=0,"업무구분 누락; ","")&amp;IF(AND(일일실시사항!$G541&lt;&gt;"",COUNTIF(사건마스터!$A$5:$A$64,일일실시사항!$G541)=0),"미등록 사건번호; ","")&amp;IF(일일실시사항!$H541="","실시 내용 없음; ","")&amp;IF(COUNTIF(코드설정!$F$5:$F$7,일일실시사항!$J541)=0,"진행상태 누락; ","")))</f>
        <v/>
      </c>
    </row>
    <row r="1574">
      <c r="A1574" s="26" t="inlineStr">
        <is>
          <t>일일실시사항</t>
        </is>
      </c>
      <c r="B1574" s="66" t="n">
        <v>542</v>
      </c>
      <c r="C1574" s="122">
        <f>IF($D1574="","",IFERROR(TEXT(일일실시사항!$B542,"yyyy-mm-dd"),"(날짜없음)")&amp;"  "&amp;일일실시사항!$D542&amp;"  "&amp;일일실시사항!$H542)</f>
        <v/>
      </c>
      <c r="D1574" s="122">
        <f>IF(NOT(COUNTBLANK(일일실시사항!$B542:$K542)&lt;10),"",TRIM(IF(일일실시사항!$B542="","일자 누락; ","")&amp;IF(COUNTIF(코드설정!$C$5:$C$24,일일실시사항!$D542)=0,"담당자 누락; ","")&amp;IF(COUNTIF(코드설정!$G$5:$G$14,일일실시사항!$F542)=0,"업무구분 누락; ","")&amp;IF(AND(일일실시사항!$G542&lt;&gt;"",COUNTIF(사건마스터!$A$5:$A$64,일일실시사항!$G542)=0),"미등록 사건번호; ","")&amp;IF(일일실시사항!$H542="","실시 내용 없음; ","")&amp;IF(COUNTIF(코드설정!$F$5:$F$7,일일실시사항!$J542)=0,"진행상태 누락; ","")))</f>
        <v/>
      </c>
    </row>
    <row r="1575">
      <c r="A1575" s="26" t="inlineStr">
        <is>
          <t>일일실시사항</t>
        </is>
      </c>
      <c r="B1575" s="66" t="n">
        <v>543</v>
      </c>
      <c r="C1575" s="122">
        <f>IF($D1575="","",IFERROR(TEXT(일일실시사항!$B543,"yyyy-mm-dd"),"(날짜없음)")&amp;"  "&amp;일일실시사항!$D543&amp;"  "&amp;일일실시사항!$H543)</f>
        <v/>
      </c>
      <c r="D1575" s="122">
        <f>IF(NOT(COUNTBLANK(일일실시사항!$B543:$K543)&lt;10),"",TRIM(IF(일일실시사항!$B543="","일자 누락; ","")&amp;IF(COUNTIF(코드설정!$C$5:$C$24,일일실시사항!$D543)=0,"담당자 누락; ","")&amp;IF(COUNTIF(코드설정!$G$5:$G$14,일일실시사항!$F543)=0,"업무구분 누락; ","")&amp;IF(AND(일일실시사항!$G543&lt;&gt;"",COUNTIF(사건마스터!$A$5:$A$64,일일실시사항!$G543)=0),"미등록 사건번호; ","")&amp;IF(일일실시사항!$H543="","실시 내용 없음; ","")&amp;IF(COUNTIF(코드설정!$F$5:$F$7,일일실시사항!$J543)=0,"진행상태 누락; ","")))</f>
        <v/>
      </c>
    </row>
    <row r="1576">
      <c r="A1576" s="26" t="inlineStr">
        <is>
          <t>일일실시사항</t>
        </is>
      </c>
      <c r="B1576" s="66" t="n">
        <v>544</v>
      </c>
      <c r="C1576" s="122">
        <f>IF($D1576="","",IFERROR(TEXT(일일실시사항!$B544,"yyyy-mm-dd"),"(날짜없음)")&amp;"  "&amp;일일실시사항!$D544&amp;"  "&amp;일일실시사항!$H544)</f>
        <v/>
      </c>
      <c r="D1576" s="122">
        <f>IF(NOT(COUNTBLANK(일일실시사항!$B544:$K544)&lt;10),"",TRIM(IF(일일실시사항!$B544="","일자 누락; ","")&amp;IF(COUNTIF(코드설정!$C$5:$C$24,일일실시사항!$D544)=0,"담당자 누락; ","")&amp;IF(COUNTIF(코드설정!$G$5:$G$14,일일실시사항!$F544)=0,"업무구분 누락; ","")&amp;IF(AND(일일실시사항!$G544&lt;&gt;"",COUNTIF(사건마스터!$A$5:$A$64,일일실시사항!$G544)=0),"미등록 사건번호; ","")&amp;IF(일일실시사항!$H544="","실시 내용 없음; ","")&amp;IF(COUNTIF(코드설정!$F$5:$F$7,일일실시사항!$J544)=0,"진행상태 누락; ","")))</f>
        <v/>
      </c>
    </row>
    <row r="1577">
      <c r="A1577" s="26" t="inlineStr">
        <is>
          <t>일일실시사항</t>
        </is>
      </c>
      <c r="B1577" s="66" t="n">
        <v>545</v>
      </c>
      <c r="C1577" s="122">
        <f>IF($D1577="","",IFERROR(TEXT(일일실시사항!$B545,"yyyy-mm-dd"),"(날짜없음)")&amp;"  "&amp;일일실시사항!$D545&amp;"  "&amp;일일실시사항!$H545)</f>
        <v/>
      </c>
      <c r="D1577" s="122">
        <f>IF(NOT(COUNTBLANK(일일실시사항!$B545:$K545)&lt;10),"",TRIM(IF(일일실시사항!$B545="","일자 누락; ","")&amp;IF(COUNTIF(코드설정!$C$5:$C$24,일일실시사항!$D545)=0,"담당자 누락; ","")&amp;IF(COUNTIF(코드설정!$G$5:$G$14,일일실시사항!$F545)=0,"업무구분 누락; ","")&amp;IF(AND(일일실시사항!$G545&lt;&gt;"",COUNTIF(사건마스터!$A$5:$A$64,일일실시사항!$G545)=0),"미등록 사건번호; ","")&amp;IF(일일실시사항!$H545="","실시 내용 없음; ","")&amp;IF(COUNTIF(코드설정!$F$5:$F$7,일일실시사항!$J545)=0,"진행상태 누락; ","")))</f>
        <v/>
      </c>
    </row>
    <row r="1578">
      <c r="A1578" s="26" t="inlineStr">
        <is>
          <t>일일실시사항</t>
        </is>
      </c>
      <c r="B1578" s="66" t="n">
        <v>546</v>
      </c>
      <c r="C1578" s="122">
        <f>IF($D1578="","",IFERROR(TEXT(일일실시사항!$B546,"yyyy-mm-dd"),"(날짜없음)")&amp;"  "&amp;일일실시사항!$D546&amp;"  "&amp;일일실시사항!$H546)</f>
        <v/>
      </c>
      <c r="D1578" s="122">
        <f>IF(NOT(COUNTBLANK(일일실시사항!$B546:$K546)&lt;10),"",TRIM(IF(일일실시사항!$B546="","일자 누락; ","")&amp;IF(COUNTIF(코드설정!$C$5:$C$24,일일실시사항!$D546)=0,"담당자 누락; ","")&amp;IF(COUNTIF(코드설정!$G$5:$G$14,일일실시사항!$F546)=0,"업무구분 누락; ","")&amp;IF(AND(일일실시사항!$G546&lt;&gt;"",COUNTIF(사건마스터!$A$5:$A$64,일일실시사항!$G546)=0),"미등록 사건번호; ","")&amp;IF(일일실시사항!$H546="","실시 내용 없음; ","")&amp;IF(COUNTIF(코드설정!$F$5:$F$7,일일실시사항!$J546)=0,"진행상태 누락; ","")))</f>
        <v/>
      </c>
    </row>
    <row r="1579">
      <c r="A1579" s="26" t="inlineStr">
        <is>
          <t>일일실시사항</t>
        </is>
      </c>
      <c r="B1579" s="66" t="n">
        <v>547</v>
      </c>
      <c r="C1579" s="122">
        <f>IF($D1579="","",IFERROR(TEXT(일일실시사항!$B547,"yyyy-mm-dd"),"(날짜없음)")&amp;"  "&amp;일일실시사항!$D547&amp;"  "&amp;일일실시사항!$H547)</f>
        <v/>
      </c>
      <c r="D1579" s="122">
        <f>IF(NOT(COUNTBLANK(일일실시사항!$B547:$K547)&lt;10),"",TRIM(IF(일일실시사항!$B547="","일자 누락; ","")&amp;IF(COUNTIF(코드설정!$C$5:$C$24,일일실시사항!$D547)=0,"담당자 누락; ","")&amp;IF(COUNTIF(코드설정!$G$5:$G$14,일일실시사항!$F547)=0,"업무구분 누락; ","")&amp;IF(AND(일일실시사항!$G547&lt;&gt;"",COUNTIF(사건마스터!$A$5:$A$64,일일실시사항!$G547)=0),"미등록 사건번호; ","")&amp;IF(일일실시사항!$H547="","실시 내용 없음; ","")&amp;IF(COUNTIF(코드설정!$F$5:$F$7,일일실시사항!$J547)=0,"진행상태 누락; ","")))</f>
        <v/>
      </c>
    </row>
    <row r="1580">
      <c r="A1580" s="26" t="inlineStr">
        <is>
          <t>일일실시사항</t>
        </is>
      </c>
      <c r="B1580" s="66" t="n">
        <v>548</v>
      </c>
      <c r="C1580" s="122">
        <f>IF($D1580="","",IFERROR(TEXT(일일실시사항!$B548,"yyyy-mm-dd"),"(날짜없음)")&amp;"  "&amp;일일실시사항!$D548&amp;"  "&amp;일일실시사항!$H548)</f>
        <v/>
      </c>
      <c r="D1580" s="122">
        <f>IF(NOT(COUNTBLANK(일일실시사항!$B548:$K548)&lt;10),"",TRIM(IF(일일실시사항!$B548="","일자 누락; ","")&amp;IF(COUNTIF(코드설정!$C$5:$C$24,일일실시사항!$D548)=0,"담당자 누락; ","")&amp;IF(COUNTIF(코드설정!$G$5:$G$14,일일실시사항!$F548)=0,"업무구분 누락; ","")&amp;IF(AND(일일실시사항!$G548&lt;&gt;"",COUNTIF(사건마스터!$A$5:$A$64,일일실시사항!$G548)=0),"미등록 사건번호; ","")&amp;IF(일일실시사항!$H548="","실시 내용 없음; ","")&amp;IF(COUNTIF(코드설정!$F$5:$F$7,일일실시사항!$J548)=0,"진행상태 누락; ","")))</f>
        <v/>
      </c>
    </row>
    <row r="1581">
      <c r="A1581" s="26" t="inlineStr">
        <is>
          <t>일일실시사항</t>
        </is>
      </c>
      <c r="B1581" s="66" t="n">
        <v>549</v>
      </c>
      <c r="C1581" s="122">
        <f>IF($D1581="","",IFERROR(TEXT(일일실시사항!$B549,"yyyy-mm-dd"),"(날짜없음)")&amp;"  "&amp;일일실시사항!$D549&amp;"  "&amp;일일실시사항!$H549)</f>
        <v/>
      </c>
      <c r="D1581" s="122">
        <f>IF(NOT(COUNTBLANK(일일실시사항!$B549:$K549)&lt;10),"",TRIM(IF(일일실시사항!$B549="","일자 누락; ","")&amp;IF(COUNTIF(코드설정!$C$5:$C$24,일일실시사항!$D549)=0,"담당자 누락; ","")&amp;IF(COUNTIF(코드설정!$G$5:$G$14,일일실시사항!$F549)=0,"업무구분 누락; ","")&amp;IF(AND(일일실시사항!$G549&lt;&gt;"",COUNTIF(사건마스터!$A$5:$A$64,일일실시사항!$G549)=0),"미등록 사건번호; ","")&amp;IF(일일실시사항!$H549="","실시 내용 없음; ","")&amp;IF(COUNTIF(코드설정!$F$5:$F$7,일일실시사항!$J549)=0,"진행상태 누락; ","")))</f>
        <v/>
      </c>
    </row>
    <row r="1582">
      <c r="A1582" s="26" t="inlineStr">
        <is>
          <t>일일실시사항</t>
        </is>
      </c>
      <c r="B1582" s="66" t="n">
        <v>550</v>
      </c>
      <c r="C1582" s="122">
        <f>IF($D1582="","",IFERROR(TEXT(일일실시사항!$B550,"yyyy-mm-dd"),"(날짜없음)")&amp;"  "&amp;일일실시사항!$D550&amp;"  "&amp;일일실시사항!$H550)</f>
        <v/>
      </c>
      <c r="D1582" s="122">
        <f>IF(NOT(COUNTBLANK(일일실시사항!$B550:$K550)&lt;10),"",TRIM(IF(일일실시사항!$B550="","일자 누락; ","")&amp;IF(COUNTIF(코드설정!$C$5:$C$24,일일실시사항!$D550)=0,"담당자 누락; ","")&amp;IF(COUNTIF(코드설정!$G$5:$G$14,일일실시사항!$F550)=0,"업무구분 누락; ","")&amp;IF(AND(일일실시사항!$G550&lt;&gt;"",COUNTIF(사건마스터!$A$5:$A$64,일일실시사항!$G550)=0),"미등록 사건번호; ","")&amp;IF(일일실시사항!$H550="","실시 내용 없음; ","")&amp;IF(COUNTIF(코드설정!$F$5:$F$7,일일실시사항!$J550)=0,"진행상태 누락; ","")))</f>
        <v/>
      </c>
    </row>
    <row r="1583">
      <c r="A1583" s="26" t="inlineStr">
        <is>
          <t>일일실시사항</t>
        </is>
      </c>
      <c r="B1583" s="66" t="n">
        <v>551</v>
      </c>
      <c r="C1583" s="122">
        <f>IF($D1583="","",IFERROR(TEXT(일일실시사항!$B551,"yyyy-mm-dd"),"(날짜없음)")&amp;"  "&amp;일일실시사항!$D551&amp;"  "&amp;일일실시사항!$H551)</f>
        <v/>
      </c>
      <c r="D1583" s="122">
        <f>IF(NOT(COUNTBLANK(일일실시사항!$B551:$K551)&lt;10),"",TRIM(IF(일일실시사항!$B551="","일자 누락; ","")&amp;IF(COUNTIF(코드설정!$C$5:$C$24,일일실시사항!$D551)=0,"담당자 누락; ","")&amp;IF(COUNTIF(코드설정!$G$5:$G$14,일일실시사항!$F551)=0,"업무구분 누락; ","")&amp;IF(AND(일일실시사항!$G551&lt;&gt;"",COUNTIF(사건마스터!$A$5:$A$64,일일실시사항!$G551)=0),"미등록 사건번호; ","")&amp;IF(일일실시사항!$H551="","실시 내용 없음; ","")&amp;IF(COUNTIF(코드설정!$F$5:$F$7,일일실시사항!$J551)=0,"진행상태 누락; ","")))</f>
        <v/>
      </c>
    </row>
    <row r="1584">
      <c r="A1584" s="26" t="inlineStr">
        <is>
          <t>일일실시사항</t>
        </is>
      </c>
      <c r="B1584" s="66" t="n">
        <v>552</v>
      </c>
      <c r="C1584" s="122">
        <f>IF($D1584="","",IFERROR(TEXT(일일실시사항!$B552,"yyyy-mm-dd"),"(날짜없음)")&amp;"  "&amp;일일실시사항!$D552&amp;"  "&amp;일일실시사항!$H552)</f>
        <v/>
      </c>
      <c r="D1584" s="122">
        <f>IF(NOT(COUNTBLANK(일일실시사항!$B552:$K552)&lt;10),"",TRIM(IF(일일실시사항!$B552="","일자 누락; ","")&amp;IF(COUNTIF(코드설정!$C$5:$C$24,일일실시사항!$D552)=0,"담당자 누락; ","")&amp;IF(COUNTIF(코드설정!$G$5:$G$14,일일실시사항!$F552)=0,"업무구분 누락; ","")&amp;IF(AND(일일실시사항!$G552&lt;&gt;"",COUNTIF(사건마스터!$A$5:$A$64,일일실시사항!$G552)=0),"미등록 사건번호; ","")&amp;IF(일일실시사항!$H552="","실시 내용 없음; ","")&amp;IF(COUNTIF(코드설정!$F$5:$F$7,일일실시사항!$J552)=0,"진행상태 누락; ","")))</f>
        <v/>
      </c>
    </row>
    <row r="1585">
      <c r="A1585" s="26" t="inlineStr">
        <is>
          <t>일일실시사항</t>
        </is>
      </c>
      <c r="B1585" s="66" t="n">
        <v>553</v>
      </c>
      <c r="C1585" s="122">
        <f>IF($D1585="","",IFERROR(TEXT(일일실시사항!$B553,"yyyy-mm-dd"),"(날짜없음)")&amp;"  "&amp;일일실시사항!$D553&amp;"  "&amp;일일실시사항!$H553)</f>
        <v/>
      </c>
      <c r="D1585" s="122">
        <f>IF(NOT(COUNTBLANK(일일실시사항!$B553:$K553)&lt;10),"",TRIM(IF(일일실시사항!$B553="","일자 누락; ","")&amp;IF(COUNTIF(코드설정!$C$5:$C$24,일일실시사항!$D553)=0,"담당자 누락; ","")&amp;IF(COUNTIF(코드설정!$G$5:$G$14,일일실시사항!$F553)=0,"업무구분 누락; ","")&amp;IF(AND(일일실시사항!$G553&lt;&gt;"",COUNTIF(사건마스터!$A$5:$A$64,일일실시사항!$G553)=0),"미등록 사건번호; ","")&amp;IF(일일실시사항!$H553="","실시 내용 없음; ","")&amp;IF(COUNTIF(코드설정!$F$5:$F$7,일일실시사항!$J553)=0,"진행상태 누락; ","")))</f>
        <v/>
      </c>
    </row>
    <row r="1586">
      <c r="A1586" s="26" t="inlineStr">
        <is>
          <t>일일실시사항</t>
        </is>
      </c>
      <c r="B1586" s="66" t="n">
        <v>554</v>
      </c>
      <c r="C1586" s="122">
        <f>IF($D1586="","",IFERROR(TEXT(일일실시사항!$B554,"yyyy-mm-dd"),"(날짜없음)")&amp;"  "&amp;일일실시사항!$D554&amp;"  "&amp;일일실시사항!$H554)</f>
        <v/>
      </c>
      <c r="D1586" s="122">
        <f>IF(NOT(COUNTBLANK(일일실시사항!$B554:$K554)&lt;10),"",TRIM(IF(일일실시사항!$B554="","일자 누락; ","")&amp;IF(COUNTIF(코드설정!$C$5:$C$24,일일실시사항!$D554)=0,"담당자 누락; ","")&amp;IF(COUNTIF(코드설정!$G$5:$G$14,일일실시사항!$F554)=0,"업무구분 누락; ","")&amp;IF(AND(일일실시사항!$G554&lt;&gt;"",COUNTIF(사건마스터!$A$5:$A$64,일일실시사항!$G554)=0),"미등록 사건번호; ","")&amp;IF(일일실시사항!$H554="","실시 내용 없음; ","")&amp;IF(COUNTIF(코드설정!$F$5:$F$7,일일실시사항!$J554)=0,"진행상태 누락; ","")))</f>
        <v/>
      </c>
    </row>
    <row r="1587">
      <c r="A1587" s="26" t="inlineStr">
        <is>
          <t>일일실시사항</t>
        </is>
      </c>
      <c r="B1587" s="66" t="n">
        <v>555</v>
      </c>
      <c r="C1587" s="122">
        <f>IF($D1587="","",IFERROR(TEXT(일일실시사항!$B555,"yyyy-mm-dd"),"(날짜없음)")&amp;"  "&amp;일일실시사항!$D555&amp;"  "&amp;일일실시사항!$H555)</f>
        <v/>
      </c>
      <c r="D1587" s="122">
        <f>IF(NOT(COUNTBLANK(일일실시사항!$B555:$K555)&lt;10),"",TRIM(IF(일일실시사항!$B555="","일자 누락; ","")&amp;IF(COUNTIF(코드설정!$C$5:$C$24,일일실시사항!$D555)=0,"담당자 누락; ","")&amp;IF(COUNTIF(코드설정!$G$5:$G$14,일일실시사항!$F555)=0,"업무구분 누락; ","")&amp;IF(AND(일일실시사항!$G555&lt;&gt;"",COUNTIF(사건마스터!$A$5:$A$64,일일실시사항!$G555)=0),"미등록 사건번호; ","")&amp;IF(일일실시사항!$H555="","실시 내용 없음; ","")&amp;IF(COUNTIF(코드설정!$F$5:$F$7,일일실시사항!$J555)=0,"진행상태 누락; ","")))</f>
        <v/>
      </c>
    </row>
    <row r="1588">
      <c r="A1588" s="26" t="inlineStr">
        <is>
          <t>일일실시사항</t>
        </is>
      </c>
      <c r="B1588" s="66" t="n">
        <v>556</v>
      </c>
      <c r="C1588" s="122">
        <f>IF($D1588="","",IFERROR(TEXT(일일실시사항!$B556,"yyyy-mm-dd"),"(날짜없음)")&amp;"  "&amp;일일실시사항!$D556&amp;"  "&amp;일일실시사항!$H556)</f>
        <v/>
      </c>
      <c r="D1588" s="122">
        <f>IF(NOT(COUNTBLANK(일일실시사항!$B556:$K556)&lt;10),"",TRIM(IF(일일실시사항!$B556="","일자 누락; ","")&amp;IF(COUNTIF(코드설정!$C$5:$C$24,일일실시사항!$D556)=0,"담당자 누락; ","")&amp;IF(COUNTIF(코드설정!$G$5:$G$14,일일실시사항!$F556)=0,"업무구분 누락; ","")&amp;IF(AND(일일실시사항!$G556&lt;&gt;"",COUNTIF(사건마스터!$A$5:$A$64,일일실시사항!$G556)=0),"미등록 사건번호; ","")&amp;IF(일일실시사항!$H556="","실시 내용 없음; ","")&amp;IF(COUNTIF(코드설정!$F$5:$F$7,일일실시사항!$J556)=0,"진행상태 누락; ","")))</f>
        <v/>
      </c>
    </row>
    <row r="1589">
      <c r="A1589" s="26" t="inlineStr">
        <is>
          <t>일일실시사항</t>
        </is>
      </c>
      <c r="B1589" s="66" t="n">
        <v>557</v>
      </c>
      <c r="C1589" s="122">
        <f>IF($D1589="","",IFERROR(TEXT(일일실시사항!$B557,"yyyy-mm-dd"),"(날짜없음)")&amp;"  "&amp;일일실시사항!$D557&amp;"  "&amp;일일실시사항!$H557)</f>
        <v/>
      </c>
      <c r="D1589" s="122">
        <f>IF(NOT(COUNTBLANK(일일실시사항!$B557:$K557)&lt;10),"",TRIM(IF(일일실시사항!$B557="","일자 누락; ","")&amp;IF(COUNTIF(코드설정!$C$5:$C$24,일일실시사항!$D557)=0,"담당자 누락; ","")&amp;IF(COUNTIF(코드설정!$G$5:$G$14,일일실시사항!$F557)=0,"업무구분 누락; ","")&amp;IF(AND(일일실시사항!$G557&lt;&gt;"",COUNTIF(사건마스터!$A$5:$A$64,일일실시사항!$G557)=0),"미등록 사건번호; ","")&amp;IF(일일실시사항!$H557="","실시 내용 없음; ","")&amp;IF(COUNTIF(코드설정!$F$5:$F$7,일일실시사항!$J557)=0,"진행상태 누락; ","")))</f>
        <v/>
      </c>
    </row>
    <row r="1590">
      <c r="A1590" s="26" t="inlineStr">
        <is>
          <t>일일실시사항</t>
        </is>
      </c>
      <c r="B1590" s="66" t="n">
        <v>558</v>
      </c>
      <c r="C1590" s="122">
        <f>IF($D1590="","",IFERROR(TEXT(일일실시사항!$B558,"yyyy-mm-dd"),"(날짜없음)")&amp;"  "&amp;일일실시사항!$D558&amp;"  "&amp;일일실시사항!$H558)</f>
        <v/>
      </c>
      <c r="D1590" s="122">
        <f>IF(NOT(COUNTBLANK(일일실시사항!$B558:$K558)&lt;10),"",TRIM(IF(일일실시사항!$B558="","일자 누락; ","")&amp;IF(COUNTIF(코드설정!$C$5:$C$24,일일실시사항!$D558)=0,"담당자 누락; ","")&amp;IF(COUNTIF(코드설정!$G$5:$G$14,일일실시사항!$F558)=0,"업무구분 누락; ","")&amp;IF(AND(일일실시사항!$G558&lt;&gt;"",COUNTIF(사건마스터!$A$5:$A$64,일일실시사항!$G558)=0),"미등록 사건번호; ","")&amp;IF(일일실시사항!$H558="","실시 내용 없음; ","")&amp;IF(COUNTIF(코드설정!$F$5:$F$7,일일실시사항!$J558)=0,"진행상태 누락; ","")))</f>
        <v/>
      </c>
    </row>
    <row r="1591">
      <c r="A1591" s="26" t="inlineStr">
        <is>
          <t>일일실시사항</t>
        </is>
      </c>
      <c r="B1591" s="66" t="n">
        <v>559</v>
      </c>
      <c r="C1591" s="122">
        <f>IF($D1591="","",IFERROR(TEXT(일일실시사항!$B559,"yyyy-mm-dd"),"(날짜없음)")&amp;"  "&amp;일일실시사항!$D559&amp;"  "&amp;일일실시사항!$H559)</f>
        <v/>
      </c>
      <c r="D1591" s="122">
        <f>IF(NOT(COUNTBLANK(일일실시사항!$B559:$K559)&lt;10),"",TRIM(IF(일일실시사항!$B559="","일자 누락; ","")&amp;IF(COUNTIF(코드설정!$C$5:$C$24,일일실시사항!$D559)=0,"담당자 누락; ","")&amp;IF(COUNTIF(코드설정!$G$5:$G$14,일일실시사항!$F559)=0,"업무구분 누락; ","")&amp;IF(AND(일일실시사항!$G559&lt;&gt;"",COUNTIF(사건마스터!$A$5:$A$64,일일실시사항!$G559)=0),"미등록 사건번호; ","")&amp;IF(일일실시사항!$H559="","실시 내용 없음; ","")&amp;IF(COUNTIF(코드설정!$F$5:$F$7,일일실시사항!$J559)=0,"진행상태 누락; ","")))</f>
        <v/>
      </c>
    </row>
    <row r="1592">
      <c r="A1592" s="26" t="inlineStr">
        <is>
          <t>일일실시사항</t>
        </is>
      </c>
      <c r="B1592" s="66" t="n">
        <v>560</v>
      </c>
      <c r="C1592" s="122">
        <f>IF($D1592="","",IFERROR(TEXT(일일실시사항!$B560,"yyyy-mm-dd"),"(날짜없음)")&amp;"  "&amp;일일실시사항!$D560&amp;"  "&amp;일일실시사항!$H560)</f>
        <v/>
      </c>
      <c r="D1592" s="122">
        <f>IF(NOT(COUNTBLANK(일일실시사항!$B560:$K560)&lt;10),"",TRIM(IF(일일실시사항!$B560="","일자 누락; ","")&amp;IF(COUNTIF(코드설정!$C$5:$C$24,일일실시사항!$D560)=0,"담당자 누락; ","")&amp;IF(COUNTIF(코드설정!$G$5:$G$14,일일실시사항!$F560)=0,"업무구분 누락; ","")&amp;IF(AND(일일실시사항!$G560&lt;&gt;"",COUNTIF(사건마스터!$A$5:$A$64,일일실시사항!$G560)=0),"미등록 사건번호; ","")&amp;IF(일일실시사항!$H560="","실시 내용 없음; ","")&amp;IF(COUNTIF(코드설정!$F$5:$F$7,일일실시사항!$J560)=0,"진행상태 누락; ","")))</f>
        <v/>
      </c>
    </row>
    <row r="1593">
      <c r="A1593" s="26" t="inlineStr">
        <is>
          <t>일일실시사항</t>
        </is>
      </c>
      <c r="B1593" s="66" t="n">
        <v>561</v>
      </c>
      <c r="C1593" s="122">
        <f>IF($D1593="","",IFERROR(TEXT(일일실시사항!$B561,"yyyy-mm-dd"),"(날짜없음)")&amp;"  "&amp;일일실시사항!$D561&amp;"  "&amp;일일실시사항!$H561)</f>
        <v/>
      </c>
      <c r="D1593" s="122">
        <f>IF(NOT(COUNTBLANK(일일실시사항!$B561:$K561)&lt;10),"",TRIM(IF(일일실시사항!$B561="","일자 누락; ","")&amp;IF(COUNTIF(코드설정!$C$5:$C$24,일일실시사항!$D561)=0,"담당자 누락; ","")&amp;IF(COUNTIF(코드설정!$G$5:$G$14,일일실시사항!$F561)=0,"업무구분 누락; ","")&amp;IF(AND(일일실시사항!$G561&lt;&gt;"",COUNTIF(사건마스터!$A$5:$A$64,일일실시사항!$G561)=0),"미등록 사건번호; ","")&amp;IF(일일실시사항!$H561="","실시 내용 없음; ","")&amp;IF(COUNTIF(코드설정!$F$5:$F$7,일일실시사항!$J561)=0,"진행상태 누락; ","")))</f>
        <v/>
      </c>
    </row>
    <row r="1594">
      <c r="A1594" s="26" t="inlineStr">
        <is>
          <t>일일실시사항</t>
        </is>
      </c>
      <c r="B1594" s="66" t="n">
        <v>562</v>
      </c>
      <c r="C1594" s="122">
        <f>IF($D1594="","",IFERROR(TEXT(일일실시사항!$B562,"yyyy-mm-dd"),"(날짜없음)")&amp;"  "&amp;일일실시사항!$D562&amp;"  "&amp;일일실시사항!$H562)</f>
        <v/>
      </c>
      <c r="D1594" s="122">
        <f>IF(NOT(COUNTBLANK(일일실시사항!$B562:$K562)&lt;10),"",TRIM(IF(일일실시사항!$B562="","일자 누락; ","")&amp;IF(COUNTIF(코드설정!$C$5:$C$24,일일실시사항!$D562)=0,"담당자 누락; ","")&amp;IF(COUNTIF(코드설정!$G$5:$G$14,일일실시사항!$F562)=0,"업무구분 누락; ","")&amp;IF(AND(일일실시사항!$G562&lt;&gt;"",COUNTIF(사건마스터!$A$5:$A$64,일일실시사항!$G562)=0),"미등록 사건번호; ","")&amp;IF(일일실시사항!$H562="","실시 내용 없음; ","")&amp;IF(COUNTIF(코드설정!$F$5:$F$7,일일실시사항!$J562)=0,"진행상태 누락; ","")))</f>
        <v/>
      </c>
    </row>
    <row r="1595">
      <c r="A1595" s="26" t="inlineStr">
        <is>
          <t>일일실시사항</t>
        </is>
      </c>
      <c r="B1595" s="66" t="n">
        <v>563</v>
      </c>
      <c r="C1595" s="122">
        <f>IF($D1595="","",IFERROR(TEXT(일일실시사항!$B563,"yyyy-mm-dd"),"(날짜없음)")&amp;"  "&amp;일일실시사항!$D563&amp;"  "&amp;일일실시사항!$H563)</f>
        <v/>
      </c>
      <c r="D1595" s="122">
        <f>IF(NOT(COUNTBLANK(일일실시사항!$B563:$K563)&lt;10),"",TRIM(IF(일일실시사항!$B563="","일자 누락; ","")&amp;IF(COUNTIF(코드설정!$C$5:$C$24,일일실시사항!$D563)=0,"담당자 누락; ","")&amp;IF(COUNTIF(코드설정!$G$5:$G$14,일일실시사항!$F563)=0,"업무구분 누락; ","")&amp;IF(AND(일일실시사항!$G563&lt;&gt;"",COUNTIF(사건마스터!$A$5:$A$64,일일실시사항!$G563)=0),"미등록 사건번호; ","")&amp;IF(일일실시사항!$H563="","실시 내용 없음; ","")&amp;IF(COUNTIF(코드설정!$F$5:$F$7,일일실시사항!$J563)=0,"진행상태 누락; ","")))</f>
        <v/>
      </c>
    </row>
    <row r="1596">
      <c r="A1596" s="26" t="inlineStr">
        <is>
          <t>일일실시사항</t>
        </is>
      </c>
      <c r="B1596" s="66" t="n">
        <v>564</v>
      </c>
      <c r="C1596" s="122">
        <f>IF($D1596="","",IFERROR(TEXT(일일실시사항!$B564,"yyyy-mm-dd"),"(날짜없음)")&amp;"  "&amp;일일실시사항!$D564&amp;"  "&amp;일일실시사항!$H564)</f>
        <v/>
      </c>
      <c r="D1596" s="122">
        <f>IF(NOT(COUNTBLANK(일일실시사항!$B564:$K564)&lt;10),"",TRIM(IF(일일실시사항!$B564="","일자 누락; ","")&amp;IF(COUNTIF(코드설정!$C$5:$C$24,일일실시사항!$D564)=0,"담당자 누락; ","")&amp;IF(COUNTIF(코드설정!$G$5:$G$14,일일실시사항!$F564)=0,"업무구분 누락; ","")&amp;IF(AND(일일실시사항!$G564&lt;&gt;"",COUNTIF(사건마스터!$A$5:$A$64,일일실시사항!$G564)=0),"미등록 사건번호; ","")&amp;IF(일일실시사항!$H564="","실시 내용 없음; ","")&amp;IF(COUNTIF(코드설정!$F$5:$F$7,일일실시사항!$J564)=0,"진행상태 누락; ","")))</f>
        <v/>
      </c>
    </row>
    <row r="1597">
      <c r="A1597" s="26" t="inlineStr">
        <is>
          <t>일일실시사항</t>
        </is>
      </c>
      <c r="B1597" s="66" t="n">
        <v>565</v>
      </c>
      <c r="C1597" s="122">
        <f>IF($D1597="","",IFERROR(TEXT(일일실시사항!$B565,"yyyy-mm-dd"),"(날짜없음)")&amp;"  "&amp;일일실시사항!$D565&amp;"  "&amp;일일실시사항!$H565)</f>
        <v/>
      </c>
      <c r="D1597" s="122">
        <f>IF(NOT(COUNTBLANK(일일실시사항!$B565:$K565)&lt;10),"",TRIM(IF(일일실시사항!$B565="","일자 누락; ","")&amp;IF(COUNTIF(코드설정!$C$5:$C$24,일일실시사항!$D565)=0,"담당자 누락; ","")&amp;IF(COUNTIF(코드설정!$G$5:$G$14,일일실시사항!$F565)=0,"업무구분 누락; ","")&amp;IF(AND(일일실시사항!$G565&lt;&gt;"",COUNTIF(사건마스터!$A$5:$A$64,일일실시사항!$G565)=0),"미등록 사건번호; ","")&amp;IF(일일실시사항!$H565="","실시 내용 없음; ","")&amp;IF(COUNTIF(코드설정!$F$5:$F$7,일일실시사항!$J565)=0,"진행상태 누락; ","")))</f>
        <v/>
      </c>
    </row>
    <row r="1598">
      <c r="A1598" s="26" t="inlineStr">
        <is>
          <t>일일실시사항</t>
        </is>
      </c>
      <c r="B1598" s="66" t="n">
        <v>566</v>
      </c>
      <c r="C1598" s="122">
        <f>IF($D1598="","",IFERROR(TEXT(일일실시사항!$B566,"yyyy-mm-dd"),"(날짜없음)")&amp;"  "&amp;일일실시사항!$D566&amp;"  "&amp;일일실시사항!$H566)</f>
        <v/>
      </c>
      <c r="D1598" s="122">
        <f>IF(NOT(COUNTBLANK(일일실시사항!$B566:$K566)&lt;10),"",TRIM(IF(일일실시사항!$B566="","일자 누락; ","")&amp;IF(COUNTIF(코드설정!$C$5:$C$24,일일실시사항!$D566)=0,"담당자 누락; ","")&amp;IF(COUNTIF(코드설정!$G$5:$G$14,일일실시사항!$F566)=0,"업무구분 누락; ","")&amp;IF(AND(일일실시사항!$G566&lt;&gt;"",COUNTIF(사건마스터!$A$5:$A$64,일일실시사항!$G566)=0),"미등록 사건번호; ","")&amp;IF(일일실시사항!$H566="","실시 내용 없음; ","")&amp;IF(COUNTIF(코드설정!$F$5:$F$7,일일실시사항!$J566)=0,"진행상태 누락; ","")))</f>
        <v/>
      </c>
    </row>
    <row r="1599">
      <c r="A1599" s="26" t="inlineStr">
        <is>
          <t>일일실시사항</t>
        </is>
      </c>
      <c r="B1599" s="66" t="n">
        <v>567</v>
      </c>
      <c r="C1599" s="122">
        <f>IF($D1599="","",IFERROR(TEXT(일일실시사항!$B567,"yyyy-mm-dd"),"(날짜없음)")&amp;"  "&amp;일일실시사항!$D567&amp;"  "&amp;일일실시사항!$H567)</f>
        <v/>
      </c>
      <c r="D1599" s="122">
        <f>IF(NOT(COUNTBLANK(일일실시사항!$B567:$K567)&lt;10),"",TRIM(IF(일일실시사항!$B567="","일자 누락; ","")&amp;IF(COUNTIF(코드설정!$C$5:$C$24,일일실시사항!$D567)=0,"담당자 누락; ","")&amp;IF(COUNTIF(코드설정!$G$5:$G$14,일일실시사항!$F567)=0,"업무구분 누락; ","")&amp;IF(AND(일일실시사항!$G567&lt;&gt;"",COUNTIF(사건마스터!$A$5:$A$64,일일실시사항!$G567)=0),"미등록 사건번호; ","")&amp;IF(일일실시사항!$H567="","실시 내용 없음; ","")&amp;IF(COUNTIF(코드설정!$F$5:$F$7,일일실시사항!$J567)=0,"진행상태 누락; ","")))</f>
        <v/>
      </c>
    </row>
    <row r="1600">
      <c r="A1600" s="26" t="inlineStr">
        <is>
          <t>일일실시사항</t>
        </is>
      </c>
      <c r="B1600" s="66" t="n">
        <v>568</v>
      </c>
      <c r="C1600" s="122">
        <f>IF($D1600="","",IFERROR(TEXT(일일실시사항!$B568,"yyyy-mm-dd"),"(날짜없음)")&amp;"  "&amp;일일실시사항!$D568&amp;"  "&amp;일일실시사항!$H568)</f>
        <v/>
      </c>
      <c r="D1600" s="122">
        <f>IF(NOT(COUNTBLANK(일일실시사항!$B568:$K568)&lt;10),"",TRIM(IF(일일실시사항!$B568="","일자 누락; ","")&amp;IF(COUNTIF(코드설정!$C$5:$C$24,일일실시사항!$D568)=0,"담당자 누락; ","")&amp;IF(COUNTIF(코드설정!$G$5:$G$14,일일실시사항!$F568)=0,"업무구분 누락; ","")&amp;IF(AND(일일실시사항!$G568&lt;&gt;"",COUNTIF(사건마스터!$A$5:$A$64,일일실시사항!$G568)=0),"미등록 사건번호; ","")&amp;IF(일일실시사항!$H568="","실시 내용 없음; ","")&amp;IF(COUNTIF(코드설정!$F$5:$F$7,일일실시사항!$J568)=0,"진행상태 누락; ","")))</f>
        <v/>
      </c>
    </row>
    <row r="1601">
      <c r="A1601" s="26" t="inlineStr">
        <is>
          <t>일일실시사항</t>
        </is>
      </c>
      <c r="B1601" s="66" t="n">
        <v>569</v>
      </c>
      <c r="C1601" s="122">
        <f>IF($D1601="","",IFERROR(TEXT(일일실시사항!$B569,"yyyy-mm-dd"),"(날짜없음)")&amp;"  "&amp;일일실시사항!$D569&amp;"  "&amp;일일실시사항!$H569)</f>
        <v/>
      </c>
      <c r="D1601" s="122">
        <f>IF(NOT(COUNTBLANK(일일실시사항!$B569:$K569)&lt;10),"",TRIM(IF(일일실시사항!$B569="","일자 누락; ","")&amp;IF(COUNTIF(코드설정!$C$5:$C$24,일일실시사항!$D569)=0,"담당자 누락; ","")&amp;IF(COUNTIF(코드설정!$G$5:$G$14,일일실시사항!$F569)=0,"업무구분 누락; ","")&amp;IF(AND(일일실시사항!$G569&lt;&gt;"",COUNTIF(사건마스터!$A$5:$A$64,일일실시사항!$G569)=0),"미등록 사건번호; ","")&amp;IF(일일실시사항!$H569="","실시 내용 없음; ","")&amp;IF(COUNTIF(코드설정!$F$5:$F$7,일일실시사항!$J569)=0,"진행상태 누락; ","")))</f>
        <v/>
      </c>
    </row>
    <row r="1602">
      <c r="A1602" s="26" t="inlineStr">
        <is>
          <t>일일실시사항</t>
        </is>
      </c>
      <c r="B1602" s="66" t="n">
        <v>570</v>
      </c>
      <c r="C1602" s="122">
        <f>IF($D1602="","",IFERROR(TEXT(일일실시사항!$B570,"yyyy-mm-dd"),"(날짜없음)")&amp;"  "&amp;일일실시사항!$D570&amp;"  "&amp;일일실시사항!$H570)</f>
        <v/>
      </c>
      <c r="D1602" s="122">
        <f>IF(NOT(COUNTBLANK(일일실시사항!$B570:$K570)&lt;10),"",TRIM(IF(일일실시사항!$B570="","일자 누락; ","")&amp;IF(COUNTIF(코드설정!$C$5:$C$24,일일실시사항!$D570)=0,"담당자 누락; ","")&amp;IF(COUNTIF(코드설정!$G$5:$G$14,일일실시사항!$F570)=0,"업무구분 누락; ","")&amp;IF(AND(일일실시사항!$G570&lt;&gt;"",COUNTIF(사건마스터!$A$5:$A$64,일일실시사항!$G570)=0),"미등록 사건번호; ","")&amp;IF(일일실시사항!$H570="","실시 내용 없음; ","")&amp;IF(COUNTIF(코드설정!$F$5:$F$7,일일실시사항!$J570)=0,"진행상태 누락; ","")))</f>
        <v/>
      </c>
    </row>
    <row r="1603">
      <c r="A1603" s="26" t="inlineStr">
        <is>
          <t>일일실시사항</t>
        </is>
      </c>
      <c r="B1603" s="66" t="n">
        <v>571</v>
      </c>
      <c r="C1603" s="122">
        <f>IF($D1603="","",IFERROR(TEXT(일일실시사항!$B571,"yyyy-mm-dd"),"(날짜없음)")&amp;"  "&amp;일일실시사항!$D571&amp;"  "&amp;일일실시사항!$H571)</f>
        <v/>
      </c>
      <c r="D1603" s="122">
        <f>IF(NOT(COUNTBLANK(일일실시사항!$B571:$K571)&lt;10),"",TRIM(IF(일일실시사항!$B571="","일자 누락; ","")&amp;IF(COUNTIF(코드설정!$C$5:$C$24,일일실시사항!$D571)=0,"담당자 누락; ","")&amp;IF(COUNTIF(코드설정!$G$5:$G$14,일일실시사항!$F571)=0,"업무구분 누락; ","")&amp;IF(AND(일일실시사항!$G571&lt;&gt;"",COUNTIF(사건마스터!$A$5:$A$64,일일실시사항!$G571)=0),"미등록 사건번호; ","")&amp;IF(일일실시사항!$H571="","실시 내용 없음; ","")&amp;IF(COUNTIF(코드설정!$F$5:$F$7,일일실시사항!$J571)=0,"진행상태 누락; ","")))</f>
        <v/>
      </c>
    </row>
    <row r="1604">
      <c r="A1604" s="26" t="inlineStr">
        <is>
          <t>일일실시사항</t>
        </is>
      </c>
      <c r="B1604" s="66" t="n">
        <v>572</v>
      </c>
      <c r="C1604" s="122">
        <f>IF($D1604="","",IFERROR(TEXT(일일실시사항!$B572,"yyyy-mm-dd"),"(날짜없음)")&amp;"  "&amp;일일실시사항!$D572&amp;"  "&amp;일일실시사항!$H572)</f>
        <v/>
      </c>
      <c r="D1604" s="122">
        <f>IF(NOT(COUNTBLANK(일일실시사항!$B572:$K572)&lt;10),"",TRIM(IF(일일실시사항!$B572="","일자 누락; ","")&amp;IF(COUNTIF(코드설정!$C$5:$C$24,일일실시사항!$D572)=0,"담당자 누락; ","")&amp;IF(COUNTIF(코드설정!$G$5:$G$14,일일실시사항!$F572)=0,"업무구분 누락; ","")&amp;IF(AND(일일실시사항!$G572&lt;&gt;"",COUNTIF(사건마스터!$A$5:$A$64,일일실시사항!$G572)=0),"미등록 사건번호; ","")&amp;IF(일일실시사항!$H572="","실시 내용 없음; ","")&amp;IF(COUNTIF(코드설정!$F$5:$F$7,일일실시사항!$J572)=0,"진행상태 누락; ","")))</f>
        <v/>
      </c>
    </row>
    <row r="1605">
      <c r="A1605" s="26" t="inlineStr">
        <is>
          <t>일일실시사항</t>
        </is>
      </c>
      <c r="B1605" s="66" t="n">
        <v>573</v>
      </c>
      <c r="C1605" s="122">
        <f>IF($D1605="","",IFERROR(TEXT(일일실시사항!$B573,"yyyy-mm-dd"),"(날짜없음)")&amp;"  "&amp;일일실시사항!$D573&amp;"  "&amp;일일실시사항!$H573)</f>
        <v/>
      </c>
      <c r="D1605" s="122">
        <f>IF(NOT(COUNTBLANK(일일실시사항!$B573:$K573)&lt;10),"",TRIM(IF(일일실시사항!$B573="","일자 누락; ","")&amp;IF(COUNTIF(코드설정!$C$5:$C$24,일일실시사항!$D573)=0,"담당자 누락; ","")&amp;IF(COUNTIF(코드설정!$G$5:$G$14,일일실시사항!$F573)=0,"업무구분 누락; ","")&amp;IF(AND(일일실시사항!$G573&lt;&gt;"",COUNTIF(사건마스터!$A$5:$A$64,일일실시사항!$G573)=0),"미등록 사건번호; ","")&amp;IF(일일실시사항!$H573="","실시 내용 없음; ","")&amp;IF(COUNTIF(코드설정!$F$5:$F$7,일일실시사항!$J573)=0,"진행상태 누락; ","")))</f>
        <v/>
      </c>
    </row>
    <row r="1606">
      <c r="A1606" s="26" t="inlineStr">
        <is>
          <t>일일실시사항</t>
        </is>
      </c>
      <c r="B1606" s="66" t="n">
        <v>574</v>
      </c>
      <c r="C1606" s="122">
        <f>IF($D1606="","",IFERROR(TEXT(일일실시사항!$B574,"yyyy-mm-dd"),"(날짜없음)")&amp;"  "&amp;일일실시사항!$D574&amp;"  "&amp;일일실시사항!$H574)</f>
        <v/>
      </c>
      <c r="D1606" s="122">
        <f>IF(NOT(COUNTBLANK(일일실시사항!$B574:$K574)&lt;10),"",TRIM(IF(일일실시사항!$B574="","일자 누락; ","")&amp;IF(COUNTIF(코드설정!$C$5:$C$24,일일실시사항!$D574)=0,"담당자 누락; ","")&amp;IF(COUNTIF(코드설정!$G$5:$G$14,일일실시사항!$F574)=0,"업무구분 누락; ","")&amp;IF(AND(일일실시사항!$G574&lt;&gt;"",COUNTIF(사건마스터!$A$5:$A$64,일일실시사항!$G574)=0),"미등록 사건번호; ","")&amp;IF(일일실시사항!$H574="","실시 내용 없음; ","")&amp;IF(COUNTIF(코드설정!$F$5:$F$7,일일실시사항!$J574)=0,"진행상태 누락; ","")))</f>
        <v/>
      </c>
    </row>
    <row r="1607">
      <c r="A1607" s="26" t="inlineStr">
        <is>
          <t>일일실시사항</t>
        </is>
      </c>
      <c r="B1607" s="66" t="n">
        <v>575</v>
      </c>
      <c r="C1607" s="122">
        <f>IF($D1607="","",IFERROR(TEXT(일일실시사항!$B575,"yyyy-mm-dd"),"(날짜없음)")&amp;"  "&amp;일일실시사항!$D575&amp;"  "&amp;일일실시사항!$H575)</f>
        <v/>
      </c>
      <c r="D1607" s="122">
        <f>IF(NOT(COUNTBLANK(일일실시사항!$B575:$K575)&lt;10),"",TRIM(IF(일일실시사항!$B575="","일자 누락; ","")&amp;IF(COUNTIF(코드설정!$C$5:$C$24,일일실시사항!$D575)=0,"담당자 누락; ","")&amp;IF(COUNTIF(코드설정!$G$5:$G$14,일일실시사항!$F575)=0,"업무구분 누락; ","")&amp;IF(AND(일일실시사항!$G575&lt;&gt;"",COUNTIF(사건마스터!$A$5:$A$64,일일실시사항!$G575)=0),"미등록 사건번호; ","")&amp;IF(일일실시사항!$H575="","실시 내용 없음; ","")&amp;IF(COUNTIF(코드설정!$F$5:$F$7,일일실시사항!$J575)=0,"진행상태 누락; ","")))</f>
        <v/>
      </c>
    </row>
    <row r="1608">
      <c r="A1608" s="26" t="inlineStr">
        <is>
          <t>일일실시사항</t>
        </is>
      </c>
      <c r="B1608" s="66" t="n">
        <v>576</v>
      </c>
      <c r="C1608" s="122">
        <f>IF($D1608="","",IFERROR(TEXT(일일실시사항!$B576,"yyyy-mm-dd"),"(날짜없음)")&amp;"  "&amp;일일실시사항!$D576&amp;"  "&amp;일일실시사항!$H576)</f>
        <v/>
      </c>
      <c r="D1608" s="122">
        <f>IF(NOT(COUNTBLANK(일일실시사항!$B576:$K576)&lt;10),"",TRIM(IF(일일실시사항!$B576="","일자 누락; ","")&amp;IF(COUNTIF(코드설정!$C$5:$C$24,일일실시사항!$D576)=0,"담당자 누락; ","")&amp;IF(COUNTIF(코드설정!$G$5:$G$14,일일실시사항!$F576)=0,"업무구분 누락; ","")&amp;IF(AND(일일실시사항!$G576&lt;&gt;"",COUNTIF(사건마스터!$A$5:$A$64,일일실시사항!$G576)=0),"미등록 사건번호; ","")&amp;IF(일일실시사항!$H576="","실시 내용 없음; ","")&amp;IF(COUNTIF(코드설정!$F$5:$F$7,일일실시사항!$J576)=0,"진행상태 누락; ","")))</f>
        <v/>
      </c>
    </row>
    <row r="1609">
      <c r="A1609" s="26" t="inlineStr">
        <is>
          <t>일일실시사항</t>
        </is>
      </c>
      <c r="B1609" s="66" t="n">
        <v>577</v>
      </c>
      <c r="C1609" s="122">
        <f>IF($D1609="","",IFERROR(TEXT(일일실시사항!$B577,"yyyy-mm-dd"),"(날짜없음)")&amp;"  "&amp;일일실시사항!$D577&amp;"  "&amp;일일실시사항!$H577)</f>
        <v/>
      </c>
      <c r="D1609" s="122">
        <f>IF(NOT(COUNTBLANK(일일실시사항!$B577:$K577)&lt;10),"",TRIM(IF(일일실시사항!$B577="","일자 누락; ","")&amp;IF(COUNTIF(코드설정!$C$5:$C$24,일일실시사항!$D577)=0,"담당자 누락; ","")&amp;IF(COUNTIF(코드설정!$G$5:$G$14,일일실시사항!$F577)=0,"업무구분 누락; ","")&amp;IF(AND(일일실시사항!$G577&lt;&gt;"",COUNTIF(사건마스터!$A$5:$A$64,일일실시사항!$G577)=0),"미등록 사건번호; ","")&amp;IF(일일실시사항!$H577="","실시 내용 없음; ","")&amp;IF(COUNTIF(코드설정!$F$5:$F$7,일일실시사항!$J577)=0,"진행상태 누락; ","")))</f>
        <v/>
      </c>
    </row>
    <row r="1610">
      <c r="A1610" s="26" t="inlineStr">
        <is>
          <t>일일실시사항</t>
        </is>
      </c>
      <c r="B1610" s="66" t="n">
        <v>578</v>
      </c>
      <c r="C1610" s="122">
        <f>IF($D1610="","",IFERROR(TEXT(일일실시사항!$B578,"yyyy-mm-dd"),"(날짜없음)")&amp;"  "&amp;일일실시사항!$D578&amp;"  "&amp;일일실시사항!$H578)</f>
        <v/>
      </c>
      <c r="D1610" s="122">
        <f>IF(NOT(COUNTBLANK(일일실시사항!$B578:$K578)&lt;10),"",TRIM(IF(일일실시사항!$B578="","일자 누락; ","")&amp;IF(COUNTIF(코드설정!$C$5:$C$24,일일실시사항!$D578)=0,"담당자 누락; ","")&amp;IF(COUNTIF(코드설정!$G$5:$G$14,일일실시사항!$F578)=0,"업무구분 누락; ","")&amp;IF(AND(일일실시사항!$G578&lt;&gt;"",COUNTIF(사건마스터!$A$5:$A$64,일일실시사항!$G578)=0),"미등록 사건번호; ","")&amp;IF(일일실시사항!$H578="","실시 내용 없음; ","")&amp;IF(COUNTIF(코드설정!$F$5:$F$7,일일실시사항!$J578)=0,"진행상태 누락; ","")))</f>
        <v/>
      </c>
    </row>
    <row r="1611">
      <c r="A1611" s="26" t="inlineStr">
        <is>
          <t>일일실시사항</t>
        </is>
      </c>
      <c r="B1611" s="66" t="n">
        <v>579</v>
      </c>
      <c r="C1611" s="122">
        <f>IF($D1611="","",IFERROR(TEXT(일일실시사항!$B579,"yyyy-mm-dd"),"(날짜없음)")&amp;"  "&amp;일일실시사항!$D579&amp;"  "&amp;일일실시사항!$H579)</f>
        <v/>
      </c>
      <c r="D1611" s="122">
        <f>IF(NOT(COUNTBLANK(일일실시사항!$B579:$K579)&lt;10),"",TRIM(IF(일일실시사항!$B579="","일자 누락; ","")&amp;IF(COUNTIF(코드설정!$C$5:$C$24,일일실시사항!$D579)=0,"담당자 누락; ","")&amp;IF(COUNTIF(코드설정!$G$5:$G$14,일일실시사항!$F579)=0,"업무구분 누락; ","")&amp;IF(AND(일일실시사항!$G579&lt;&gt;"",COUNTIF(사건마스터!$A$5:$A$64,일일실시사항!$G579)=0),"미등록 사건번호; ","")&amp;IF(일일실시사항!$H579="","실시 내용 없음; ","")&amp;IF(COUNTIF(코드설정!$F$5:$F$7,일일실시사항!$J579)=0,"진행상태 누락; ","")))</f>
        <v/>
      </c>
    </row>
    <row r="1612">
      <c r="A1612" s="26" t="inlineStr">
        <is>
          <t>일일실시사항</t>
        </is>
      </c>
      <c r="B1612" s="66" t="n">
        <v>580</v>
      </c>
      <c r="C1612" s="122">
        <f>IF($D1612="","",IFERROR(TEXT(일일실시사항!$B580,"yyyy-mm-dd"),"(날짜없음)")&amp;"  "&amp;일일실시사항!$D580&amp;"  "&amp;일일실시사항!$H580)</f>
        <v/>
      </c>
      <c r="D1612" s="122">
        <f>IF(NOT(COUNTBLANK(일일실시사항!$B580:$K580)&lt;10),"",TRIM(IF(일일실시사항!$B580="","일자 누락; ","")&amp;IF(COUNTIF(코드설정!$C$5:$C$24,일일실시사항!$D580)=0,"담당자 누락; ","")&amp;IF(COUNTIF(코드설정!$G$5:$G$14,일일실시사항!$F580)=0,"업무구분 누락; ","")&amp;IF(AND(일일실시사항!$G580&lt;&gt;"",COUNTIF(사건마스터!$A$5:$A$64,일일실시사항!$G580)=0),"미등록 사건번호; ","")&amp;IF(일일실시사항!$H580="","실시 내용 없음; ","")&amp;IF(COUNTIF(코드설정!$F$5:$F$7,일일실시사항!$J580)=0,"진행상태 누락; ","")))</f>
        <v/>
      </c>
    </row>
    <row r="1613">
      <c r="A1613" s="26" t="inlineStr">
        <is>
          <t>일일실시사항</t>
        </is>
      </c>
      <c r="B1613" s="66" t="n">
        <v>581</v>
      </c>
      <c r="C1613" s="122">
        <f>IF($D1613="","",IFERROR(TEXT(일일실시사항!$B581,"yyyy-mm-dd"),"(날짜없음)")&amp;"  "&amp;일일실시사항!$D581&amp;"  "&amp;일일실시사항!$H581)</f>
        <v/>
      </c>
      <c r="D1613" s="122">
        <f>IF(NOT(COUNTBLANK(일일실시사항!$B581:$K581)&lt;10),"",TRIM(IF(일일실시사항!$B581="","일자 누락; ","")&amp;IF(COUNTIF(코드설정!$C$5:$C$24,일일실시사항!$D581)=0,"담당자 누락; ","")&amp;IF(COUNTIF(코드설정!$G$5:$G$14,일일실시사항!$F581)=0,"업무구분 누락; ","")&amp;IF(AND(일일실시사항!$G581&lt;&gt;"",COUNTIF(사건마스터!$A$5:$A$64,일일실시사항!$G581)=0),"미등록 사건번호; ","")&amp;IF(일일실시사항!$H581="","실시 내용 없음; ","")&amp;IF(COUNTIF(코드설정!$F$5:$F$7,일일실시사항!$J581)=0,"진행상태 누락; ","")))</f>
        <v/>
      </c>
    </row>
    <row r="1614">
      <c r="A1614" s="26" t="inlineStr">
        <is>
          <t>일일실시사항</t>
        </is>
      </c>
      <c r="B1614" s="66" t="n">
        <v>582</v>
      </c>
      <c r="C1614" s="122">
        <f>IF($D1614="","",IFERROR(TEXT(일일실시사항!$B582,"yyyy-mm-dd"),"(날짜없음)")&amp;"  "&amp;일일실시사항!$D582&amp;"  "&amp;일일실시사항!$H582)</f>
        <v/>
      </c>
      <c r="D1614" s="122">
        <f>IF(NOT(COUNTBLANK(일일실시사항!$B582:$K582)&lt;10),"",TRIM(IF(일일실시사항!$B582="","일자 누락; ","")&amp;IF(COUNTIF(코드설정!$C$5:$C$24,일일실시사항!$D582)=0,"담당자 누락; ","")&amp;IF(COUNTIF(코드설정!$G$5:$G$14,일일실시사항!$F582)=0,"업무구분 누락; ","")&amp;IF(AND(일일실시사항!$G582&lt;&gt;"",COUNTIF(사건마스터!$A$5:$A$64,일일실시사항!$G582)=0),"미등록 사건번호; ","")&amp;IF(일일실시사항!$H582="","실시 내용 없음; ","")&amp;IF(COUNTIF(코드설정!$F$5:$F$7,일일실시사항!$J582)=0,"진행상태 누락; ","")))</f>
        <v/>
      </c>
    </row>
    <row r="1615">
      <c r="A1615" s="26" t="inlineStr">
        <is>
          <t>일일실시사항</t>
        </is>
      </c>
      <c r="B1615" s="66" t="n">
        <v>583</v>
      </c>
      <c r="C1615" s="122">
        <f>IF($D1615="","",IFERROR(TEXT(일일실시사항!$B583,"yyyy-mm-dd"),"(날짜없음)")&amp;"  "&amp;일일실시사항!$D583&amp;"  "&amp;일일실시사항!$H583)</f>
        <v/>
      </c>
      <c r="D1615" s="122">
        <f>IF(NOT(COUNTBLANK(일일실시사항!$B583:$K583)&lt;10),"",TRIM(IF(일일실시사항!$B583="","일자 누락; ","")&amp;IF(COUNTIF(코드설정!$C$5:$C$24,일일실시사항!$D583)=0,"담당자 누락; ","")&amp;IF(COUNTIF(코드설정!$G$5:$G$14,일일실시사항!$F583)=0,"업무구분 누락; ","")&amp;IF(AND(일일실시사항!$G583&lt;&gt;"",COUNTIF(사건마스터!$A$5:$A$64,일일실시사항!$G583)=0),"미등록 사건번호; ","")&amp;IF(일일실시사항!$H583="","실시 내용 없음; ","")&amp;IF(COUNTIF(코드설정!$F$5:$F$7,일일실시사항!$J583)=0,"진행상태 누락; ","")))</f>
        <v/>
      </c>
    </row>
    <row r="1616">
      <c r="A1616" s="26" t="inlineStr">
        <is>
          <t>일일실시사항</t>
        </is>
      </c>
      <c r="B1616" s="66" t="n">
        <v>584</v>
      </c>
      <c r="C1616" s="122">
        <f>IF($D1616="","",IFERROR(TEXT(일일실시사항!$B584,"yyyy-mm-dd"),"(날짜없음)")&amp;"  "&amp;일일실시사항!$D584&amp;"  "&amp;일일실시사항!$H584)</f>
        <v/>
      </c>
      <c r="D1616" s="122">
        <f>IF(NOT(COUNTBLANK(일일실시사항!$B584:$K584)&lt;10),"",TRIM(IF(일일실시사항!$B584="","일자 누락; ","")&amp;IF(COUNTIF(코드설정!$C$5:$C$24,일일실시사항!$D584)=0,"담당자 누락; ","")&amp;IF(COUNTIF(코드설정!$G$5:$G$14,일일실시사항!$F584)=0,"업무구분 누락; ","")&amp;IF(AND(일일실시사항!$G584&lt;&gt;"",COUNTIF(사건마스터!$A$5:$A$64,일일실시사항!$G584)=0),"미등록 사건번호; ","")&amp;IF(일일실시사항!$H584="","실시 내용 없음; ","")&amp;IF(COUNTIF(코드설정!$F$5:$F$7,일일실시사항!$J584)=0,"진행상태 누락; ","")))</f>
        <v/>
      </c>
    </row>
    <row r="1617">
      <c r="A1617" s="26" t="inlineStr">
        <is>
          <t>일일실시사항</t>
        </is>
      </c>
      <c r="B1617" s="66" t="n">
        <v>585</v>
      </c>
      <c r="C1617" s="122">
        <f>IF($D1617="","",IFERROR(TEXT(일일실시사항!$B585,"yyyy-mm-dd"),"(날짜없음)")&amp;"  "&amp;일일실시사항!$D585&amp;"  "&amp;일일실시사항!$H585)</f>
        <v/>
      </c>
      <c r="D1617" s="122">
        <f>IF(NOT(COUNTBLANK(일일실시사항!$B585:$K585)&lt;10),"",TRIM(IF(일일실시사항!$B585="","일자 누락; ","")&amp;IF(COUNTIF(코드설정!$C$5:$C$24,일일실시사항!$D585)=0,"담당자 누락; ","")&amp;IF(COUNTIF(코드설정!$G$5:$G$14,일일실시사항!$F585)=0,"업무구분 누락; ","")&amp;IF(AND(일일실시사항!$G585&lt;&gt;"",COUNTIF(사건마스터!$A$5:$A$64,일일실시사항!$G585)=0),"미등록 사건번호; ","")&amp;IF(일일실시사항!$H585="","실시 내용 없음; ","")&amp;IF(COUNTIF(코드설정!$F$5:$F$7,일일실시사항!$J585)=0,"진행상태 누락; ","")))</f>
        <v/>
      </c>
    </row>
    <row r="1618">
      <c r="A1618" s="26" t="inlineStr">
        <is>
          <t>일일실시사항</t>
        </is>
      </c>
      <c r="B1618" s="66" t="n">
        <v>586</v>
      </c>
      <c r="C1618" s="122">
        <f>IF($D1618="","",IFERROR(TEXT(일일실시사항!$B586,"yyyy-mm-dd"),"(날짜없음)")&amp;"  "&amp;일일실시사항!$D586&amp;"  "&amp;일일실시사항!$H586)</f>
        <v/>
      </c>
      <c r="D1618" s="122">
        <f>IF(NOT(COUNTBLANK(일일실시사항!$B586:$K586)&lt;10),"",TRIM(IF(일일실시사항!$B586="","일자 누락; ","")&amp;IF(COUNTIF(코드설정!$C$5:$C$24,일일실시사항!$D586)=0,"담당자 누락; ","")&amp;IF(COUNTIF(코드설정!$G$5:$G$14,일일실시사항!$F586)=0,"업무구분 누락; ","")&amp;IF(AND(일일실시사항!$G586&lt;&gt;"",COUNTIF(사건마스터!$A$5:$A$64,일일실시사항!$G586)=0),"미등록 사건번호; ","")&amp;IF(일일실시사항!$H586="","실시 내용 없음; ","")&amp;IF(COUNTIF(코드설정!$F$5:$F$7,일일실시사항!$J586)=0,"진행상태 누락; ","")))</f>
        <v/>
      </c>
    </row>
    <row r="1619">
      <c r="A1619" s="26" t="inlineStr">
        <is>
          <t>일일실시사항</t>
        </is>
      </c>
      <c r="B1619" s="66" t="n">
        <v>587</v>
      </c>
      <c r="C1619" s="122">
        <f>IF($D1619="","",IFERROR(TEXT(일일실시사항!$B587,"yyyy-mm-dd"),"(날짜없음)")&amp;"  "&amp;일일실시사항!$D587&amp;"  "&amp;일일실시사항!$H587)</f>
        <v/>
      </c>
      <c r="D1619" s="122">
        <f>IF(NOT(COUNTBLANK(일일실시사항!$B587:$K587)&lt;10),"",TRIM(IF(일일실시사항!$B587="","일자 누락; ","")&amp;IF(COUNTIF(코드설정!$C$5:$C$24,일일실시사항!$D587)=0,"담당자 누락; ","")&amp;IF(COUNTIF(코드설정!$G$5:$G$14,일일실시사항!$F587)=0,"업무구분 누락; ","")&amp;IF(AND(일일실시사항!$G587&lt;&gt;"",COUNTIF(사건마스터!$A$5:$A$64,일일실시사항!$G587)=0),"미등록 사건번호; ","")&amp;IF(일일실시사항!$H587="","실시 내용 없음; ","")&amp;IF(COUNTIF(코드설정!$F$5:$F$7,일일실시사항!$J587)=0,"진행상태 누락; ","")))</f>
        <v/>
      </c>
    </row>
    <row r="1620">
      <c r="A1620" s="26" t="inlineStr">
        <is>
          <t>일일실시사항</t>
        </is>
      </c>
      <c r="B1620" s="66" t="n">
        <v>588</v>
      </c>
      <c r="C1620" s="122">
        <f>IF($D1620="","",IFERROR(TEXT(일일실시사항!$B588,"yyyy-mm-dd"),"(날짜없음)")&amp;"  "&amp;일일실시사항!$D588&amp;"  "&amp;일일실시사항!$H588)</f>
        <v/>
      </c>
      <c r="D1620" s="122">
        <f>IF(NOT(COUNTBLANK(일일실시사항!$B588:$K588)&lt;10),"",TRIM(IF(일일실시사항!$B588="","일자 누락; ","")&amp;IF(COUNTIF(코드설정!$C$5:$C$24,일일실시사항!$D588)=0,"담당자 누락; ","")&amp;IF(COUNTIF(코드설정!$G$5:$G$14,일일실시사항!$F588)=0,"업무구분 누락; ","")&amp;IF(AND(일일실시사항!$G588&lt;&gt;"",COUNTIF(사건마스터!$A$5:$A$64,일일실시사항!$G588)=0),"미등록 사건번호; ","")&amp;IF(일일실시사항!$H588="","실시 내용 없음; ","")&amp;IF(COUNTIF(코드설정!$F$5:$F$7,일일실시사항!$J588)=0,"진행상태 누락; ","")))</f>
        <v/>
      </c>
    </row>
    <row r="1621">
      <c r="A1621" s="26" t="inlineStr">
        <is>
          <t>일일실시사항</t>
        </is>
      </c>
      <c r="B1621" s="66" t="n">
        <v>589</v>
      </c>
      <c r="C1621" s="122">
        <f>IF($D1621="","",IFERROR(TEXT(일일실시사항!$B589,"yyyy-mm-dd"),"(날짜없음)")&amp;"  "&amp;일일실시사항!$D589&amp;"  "&amp;일일실시사항!$H589)</f>
        <v/>
      </c>
      <c r="D1621" s="122">
        <f>IF(NOT(COUNTBLANK(일일실시사항!$B589:$K589)&lt;10),"",TRIM(IF(일일실시사항!$B589="","일자 누락; ","")&amp;IF(COUNTIF(코드설정!$C$5:$C$24,일일실시사항!$D589)=0,"담당자 누락; ","")&amp;IF(COUNTIF(코드설정!$G$5:$G$14,일일실시사항!$F589)=0,"업무구분 누락; ","")&amp;IF(AND(일일실시사항!$G589&lt;&gt;"",COUNTIF(사건마스터!$A$5:$A$64,일일실시사항!$G589)=0),"미등록 사건번호; ","")&amp;IF(일일실시사항!$H589="","실시 내용 없음; ","")&amp;IF(COUNTIF(코드설정!$F$5:$F$7,일일실시사항!$J589)=0,"진행상태 누락; ","")))</f>
        <v/>
      </c>
    </row>
    <row r="1622">
      <c r="A1622" s="26" t="inlineStr">
        <is>
          <t>일일실시사항</t>
        </is>
      </c>
      <c r="B1622" s="66" t="n">
        <v>590</v>
      </c>
      <c r="C1622" s="122">
        <f>IF($D1622="","",IFERROR(TEXT(일일실시사항!$B590,"yyyy-mm-dd"),"(날짜없음)")&amp;"  "&amp;일일실시사항!$D590&amp;"  "&amp;일일실시사항!$H590)</f>
        <v/>
      </c>
      <c r="D1622" s="122">
        <f>IF(NOT(COUNTBLANK(일일실시사항!$B590:$K590)&lt;10),"",TRIM(IF(일일실시사항!$B590="","일자 누락; ","")&amp;IF(COUNTIF(코드설정!$C$5:$C$24,일일실시사항!$D590)=0,"담당자 누락; ","")&amp;IF(COUNTIF(코드설정!$G$5:$G$14,일일실시사항!$F590)=0,"업무구분 누락; ","")&amp;IF(AND(일일실시사항!$G590&lt;&gt;"",COUNTIF(사건마스터!$A$5:$A$64,일일실시사항!$G590)=0),"미등록 사건번호; ","")&amp;IF(일일실시사항!$H590="","실시 내용 없음; ","")&amp;IF(COUNTIF(코드설정!$F$5:$F$7,일일실시사항!$J590)=0,"진행상태 누락; ","")))</f>
        <v/>
      </c>
    </row>
    <row r="1623">
      <c r="A1623" s="26" t="inlineStr">
        <is>
          <t>일일실시사항</t>
        </is>
      </c>
      <c r="B1623" s="66" t="n">
        <v>591</v>
      </c>
      <c r="C1623" s="122">
        <f>IF($D1623="","",IFERROR(TEXT(일일실시사항!$B591,"yyyy-mm-dd"),"(날짜없음)")&amp;"  "&amp;일일실시사항!$D591&amp;"  "&amp;일일실시사항!$H591)</f>
        <v/>
      </c>
      <c r="D1623" s="122">
        <f>IF(NOT(COUNTBLANK(일일실시사항!$B591:$K591)&lt;10),"",TRIM(IF(일일실시사항!$B591="","일자 누락; ","")&amp;IF(COUNTIF(코드설정!$C$5:$C$24,일일실시사항!$D591)=0,"담당자 누락; ","")&amp;IF(COUNTIF(코드설정!$G$5:$G$14,일일실시사항!$F591)=0,"업무구분 누락; ","")&amp;IF(AND(일일실시사항!$G591&lt;&gt;"",COUNTIF(사건마스터!$A$5:$A$64,일일실시사항!$G591)=0),"미등록 사건번호; ","")&amp;IF(일일실시사항!$H591="","실시 내용 없음; ","")&amp;IF(COUNTIF(코드설정!$F$5:$F$7,일일실시사항!$J591)=0,"진행상태 누락; ","")))</f>
        <v/>
      </c>
    </row>
    <row r="1624">
      <c r="A1624" s="26" t="inlineStr">
        <is>
          <t>일일실시사항</t>
        </is>
      </c>
      <c r="B1624" s="66" t="n">
        <v>592</v>
      </c>
      <c r="C1624" s="122">
        <f>IF($D1624="","",IFERROR(TEXT(일일실시사항!$B592,"yyyy-mm-dd"),"(날짜없음)")&amp;"  "&amp;일일실시사항!$D592&amp;"  "&amp;일일실시사항!$H592)</f>
        <v/>
      </c>
      <c r="D1624" s="122">
        <f>IF(NOT(COUNTBLANK(일일실시사항!$B592:$K592)&lt;10),"",TRIM(IF(일일실시사항!$B592="","일자 누락; ","")&amp;IF(COUNTIF(코드설정!$C$5:$C$24,일일실시사항!$D592)=0,"담당자 누락; ","")&amp;IF(COUNTIF(코드설정!$G$5:$G$14,일일실시사항!$F592)=0,"업무구분 누락; ","")&amp;IF(AND(일일실시사항!$G592&lt;&gt;"",COUNTIF(사건마스터!$A$5:$A$64,일일실시사항!$G592)=0),"미등록 사건번호; ","")&amp;IF(일일실시사항!$H592="","실시 내용 없음; ","")&amp;IF(COUNTIF(코드설정!$F$5:$F$7,일일실시사항!$J592)=0,"진행상태 누락; ","")))</f>
        <v/>
      </c>
    </row>
    <row r="1625">
      <c r="A1625" s="26" t="inlineStr">
        <is>
          <t>일일실시사항</t>
        </is>
      </c>
      <c r="B1625" s="66" t="n">
        <v>593</v>
      </c>
      <c r="C1625" s="122">
        <f>IF($D1625="","",IFERROR(TEXT(일일실시사항!$B593,"yyyy-mm-dd"),"(날짜없음)")&amp;"  "&amp;일일실시사항!$D593&amp;"  "&amp;일일실시사항!$H593)</f>
        <v/>
      </c>
      <c r="D1625" s="122">
        <f>IF(NOT(COUNTBLANK(일일실시사항!$B593:$K593)&lt;10),"",TRIM(IF(일일실시사항!$B593="","일자 누락; ","")&amp;IF(COUNTIF(코드설정!$C$5:$C$24,일일실시사항!$D593)=0,"담당자 누락; ","")&amp;IF(COUNTIF(코드설정!$G$5:$G$14,일일실시사항!$F593)=0,"업무구분 누락; ","")&amp;IF(AND(일일실시사항!$G593&lt;&gt;"",COUNTIF(사건마스터!$A$5:$A$64,일일실시사항!$G593)=0),"미등록 사건번호; ","")&amp;IF(일일실시사항!$H593="","실시 내용 없음; ","")&amp;IF(COUNTIF(코드설정!$F$5:$F$7,일일실시사항!$J593)=0,"진행상태 누락; ","")))</f>
        <v/>
      </c>
    </row>
    <row r="1626">
      <c r="A1626" s="26" t="inlineStr">
        <is>
          <t>일일실시사항</t>
        </is>
      </c>
      <c r="B1626" s="66" t="n">
        <v>594</v>
      </c>
      <c r="C1626" s="122">
        <f>IF($D1626="","",IFERROR(TEXT(일일실시사항!$B594,"yyyy-mm-dd"),"(날짜없음)")&amp;"  "&amp;일일실시사항!$D594&amp;"  "&amp;일일실시사항!$H594)</f>
        <v/>
      </c>
      <c r="D1626" s="122">
        <f>IF(NOT(COUNTBLANK(일일실시사항!$B594:$K594)&lt;10),"",TRIM(IF(일일실시사항!$B594="","일자 누락; ","")&amp;IF(COUNTIF(코드설정!$C$5:$C$24,일일실시사항!$D594)=0,"담당자 누락; ","")&amp;IF(COUNTIF(코드설정!$G$5:$G$14,일일실시사항!$F594)=0,"업무구분 누락; ","")&amp;IF(AND(일일실시사항!$G594&lt;&gt;"",COUNTIF(사건마스터!$A$5:$A$64,일일실시사항!$G594)=0),"미등록 사건번호; ","")&amp;IF(일일실시사항!$H594="","실시 내용 없음; ","")&amp;IF(COUNTIF(코드설정!$F$5:$F$7,일일실시사항!$J594)=0,"진행상태 누락; ","")))</f>
        <v/>
      </c>
    </row>
    <row r="1627">
      <c r="A1627" s="26" t="inlineStr">
        <is>
          <t>일일실시사항</t>
        </is>
      </c>
      <c r="B1627" s="66" t="n">
        <v>595</v>
      </c>
      <c r="C1627" s="122">
        <f>IF($D1627="","",IFERROR(TEXT(일일실시사항!$B595,"yyyy-mm-dd"),"(날짜없음)")&amp;"  "&amp;일일실시사항!$D595&amp;"  "&amp;일일실시사항!$H595)</f>
        <v/>
      </c>
      <c r="D1627" s="122">
        <f>IF(NOT(COUNTBLANK(일일실시사항!$B595:$K595)&lt;10),"",TRIM(IF(일일실시사항!$B595="","일자 누락; ","")&amp;IF(COUNTIF(코드설정!$C$5:$C$24,일일실시사항!$D595)=0,"담당자 누락; ","")&amp;IF(COUNTIF(코드설정!$G$5:$G$14,일일실시사항!$F595)=0,"업무구분 누락; ","")&amp;IF(AND(일일실시사항!$G595&lt;&gt;"",COUNTIF(사건마스터!$A$5:$A$64,일일실시사항!$G595)=0),"미등록 사건번호; ","")&amp;IF(일일실시사항!$H595="","실시 내용 없음; ","")&amp;IF(COUNTIF(코드설정!$F$5:$F$7,일일실시사항!$J595)=0,"진행상태 누락; ","")))</f>
        <v/>
      </c>
    </row>
    <row r="1628">
      <c r="A1628" s="26" t="inlineStr">
        <is>
          <t>일일실시사항</t>
        </is>
      </c>
      <c r="B1628" s="66" t="n">
        <v>596</v>
      </c>
      <c r="C1628" s="122">
        <f>IF($D1628="","",IFERROR(TEXT(일일실시사항!$B596,"yyyy-mm-dd"),"(날짜없음)")&amp;"  "&amp;일일실시사항!$D596&amp;"  "&amp;일일실시사항!$H596)</f>
        <v/>
      </c>
      <c r="D1628" s="122">
        <f>IF(NOT(COUNTBLANK(일일실시사항!$B596:$K596)&lt;10),"",TRIM(IF(일일실시사항!$B596="","일자 누락; ","")&amp;IF(COUNTIF(코드설정!$C$5:$C$24,일일실시사항!$D596)=0,"담당자 누락; ","")&amp;IF(COUNTIF(코드설정!$G$5:$G$14,일일실시사항!$F596)=0,"업무구분 누락; ","")&amp;IF(AND(일일실시사항!$G596&lt;&gt;"",COUNTIF(사건마스터!$A$5:$A$64,일일실시사항!$G596)=0),"미등록 사건번호; ","")&amp;IF(일일실시사항!$H596="","실시 내용 없음; ","")&amp;IF(COUNTIF(코드설정!$F$5:$F$7,일일실시사항!$J596)=0,"진행상태 누락; ","")))</f>
        <v/>
      </c>
    </row>
    <row r="1629">
      <c r="A1629" s="26" t="inlineStr">
        <is>
          <t>일일실시사항</t>
        </is>
      </c>
      <c r="B1629" s="66" t="n">
        <v>597</v>
      </c>
      <c r="C1629" s="122">
        <f>IF($D1629="","",IFERROR(TEXT(일일실시사항!$B597,"yyyy-mm-dd"),"(날짜없음)")&amp;"  "&amp;일일실시사항!$D597&amp;"  "&amp;일일실시사항!$H597)</f>
        <v/>
      </c>
      <c r="D1629" s="122">
        <f>IF(NOT(COUNTBLANK(일일실시사항!$B597:$K597)&lt;10),"",TRIM(IF(일일실시사항!$B597="","일자 누락; ","")&amp;IF(COUNTIF(코드설정!$C$5:$C$24,일일실시사항!$D597)=0,"담당자 누락; ","")&amp;IF(COUNTIF(코드설정!$G$5:$G$14,일일실시사항!$F597)=0,"업무구분 누락; ","")&amp;IF(AND(일일실시사항!$G597&lt;&gt;"",COUNTIF(사건마스터!$A$5:$A$64,일일실시사항!$G597)=0),"미등록 사건번호; ","")&amp;IF(일일실시사항!$H597="","실시 내용 없음; ","")&amp;IF(COUNTIF(코드설정!$F$5:$F$7,일일실시사항!$J597)=0,"진행상태 누락; ","")))</f>
        <v/>
      </c>
    </row>
    <row r="1630">
      <c r="A1630" s="26" t="inlineStr">
        <is>
          <t>일일실시사항</t>
        </is>
      </c>
      <c r="B1630" s="66" t="n">
        <v>598</v>
      </c>
      <c r="C1630" s="122">
        <f>IF($D1630="","",IFERROR(TEXT(일일실시사항!$B598,"yyyy-mm-dd"),"(날짜없음)")&amp;"  "&amp;일일실시사항!$D598&amp;"  "&amp;일일실시사항!$H598)</f>
        <v/>
      </c>
      <c r="D1630" s="122">
        <f>IF(NOT(COUNTBLANK(일일실시사항!$B598:$K598)&lt;10),"",TRIM(IF(일일실시사항!$B598="","일자 누락; ","")&amp;IF(COUNTIF(코드설정!$C$5:$C$24,일일실시사항!$D598)=0,"담당자 누락; ","")&amp;IF(COUNTIF(코드설정!$G$5:$G$14,일일실시사항!$F598)=0,"업무구분 누락; ","")&amp;IF(AND(일일실시사항!$G598&lt;&gt;"",COUNTIF(사건마스터!$A$5:$A$64,일일실시사항!$G598)=0),"미등록 사건번호; ","")&amp;IF(일일실시사항!$H598="","실시 내용 없음; ","")&amp;IF(COUNTIF(코드설정!$F$5:$F$7,일일실시사항!$J598)=0,"진행상태 누락; ","")))</f>
        <v/>
      </c>
    </row>
    <row r="1631">
      <c r="A1631" s="26" t="inlineStr">
        <is>
          <t>일일실시사항</t>
        </is>
      </c>
      <c r="B1631" s="66" t="n">
        <v>599</v>
      </c>
      <c r="C1631" s="122">
        <f>IF($D1631="","",IFERROR(TEXT(일일실시사항!$B599,"yyyy-mm-dd"),"(날짜없음)")&amp;"  "&amp;일일실시사항!$D599&amp;"  "&amp;일일실시사항!$H599)</f>
        <v/>
      </c>
      <c r="D1631" s="122">
        <f>IF(NOT(COUNTBLANK(일일실시사항!$B599:$K599)&lt;10),"",TRIM(IF(일일실시사항!$B599="","일자 누락; ","")&amp;IF(COUNTIF(코드설정!$C$5:$C$24,일일실시사항!$D599)=0,"담당자 누락; ","")&amp;IF(COUNTIF(코드설정!$G$5:$G$14,일일실시사항!$F599)=0,"업무구분 누락; ","")&amp;IF(AND(일일실시사항!$G599&lt;&gt;"",COUNTIF(사건마스터!$A$5:$A$64,일일실시사항!$G599)=0),"미등록 사건번호; ","")&amp;IF(일일실시사항!$H599="","실시 내용 없음; ","")&amp;IF(COUNTIF(코드설정!$F$5:$F$7,일일실시사항!$J599)=0,"진행상태 누락; ","")))</f>
        <v/>
      </c>
    </row>
    <row r="1632">
      <c r="A1632" s="26" t="inlineStr">
        <is>
          <t>일일실시사항</t>
        </is>
      </c>
      <c r="B1632" s="66" t="n">
        <v>600</v>
      </c>
      <c r="C1632" s="122">
        <f>IF($D1632="","",IFERROR(TEXT(일일실시사항!$B600,"yyyy-mm-dd"),"(날짜없음)")&amp;"  "&amp;일일실시사항!$D600&amp;"  "&amp;일일실시사항!$H600)</f>
        <v/>
      </c>
      <c r="D1632" s="122">
        <f>IF(NOT(COUNTBLANK(일일실시사항!$B600:$K600)&lt;10),"",TRIM(IF(일일실시사항!$B600="","일자 누락; ","")&amp;IF(COUNTIF(코드설정!$C$5:$C$24,일일실시사항!$D600)=0,"담당자 누락; ","")&amp;IF(COUNTIF(코드설정!$G$5:$G$14,일일실시사항!$F600)=0,"업무구분 누락; ","")&amp;IF(AND(일일실시사항!$G600&lt;&gt;"",COUNTIF(사건마스터!$A$5:$A$64,일일실시사항!$G600)=0),"미등록 사건번호; ","")&amp;IF(일일실시사항!$H600="","실시 내용 없음; ","")&amp;IF(COUNTIF(코드설정!$F$5:$F$7,일일실시사항!$J600)=0,"진행상태 누락; ","")))</f>
        <v/>
      </c>
    </row>
    <row r="1633">
      <c r="A1633" s="26" t="inlineStr">
        <is>
          <t>일일실시사항</t>
        </is>
      </c>
      <c r="B1633" s="66" t="n">
        <v>601</v>
      </c>
      <c r="C1633" s="122">
        <f>IF($D1633="","",IFERROR(TEXT(일일실시사항!$B601,"yyyy-mm-dd"),"(날짜없음)")&amp;"  "&amp;일일실시사항!$D601&amp;"  "&amp;일일실시사항!$H601)</f>
        <v/>
      </c>
      <c r="D1633" s="122">
        <f>IF(NOT(COUNTBLANK(일일실시사항!$B601:$K601)&lt;10),"",TRIM(IF(일일실시사항!$B601="","일자 누락; ","")&amp;IF(COUNTIF(코드설정!$C$5:$C$24,일일실시사항!$D601)=0,"담당자 누락; ","")&amp;IF(COUNTIF(코드설정!$G$5:$G$14,일일실시사항!$F601)=0,"업무구분 누락; ","")&amp;IF(AND(일일실시사항!$G601&lt;&gt;"",COUNTIF(사건마스터!$A$5:$A$64,일일실시사항!$G601)=0),"미등록 사건번호; ","")&amp;IF(일일실시사항!$H601="","실시 내용 없음; ","")&amp;IF(COUNTIF(코드설정!$F$5:$F$7,일일실시사항!$J601)=0,"진행상태 누락; ","")))</f>
        <v/>
      </c>
    </row>
    <row r="1634">
      <c r="A1634" s="26" t="inlineStr">
        <is>
          <t>일일실시사항</t>
        </is>
      </c>
      <c r="B1634" s="66" t="n">
        <v>602</v>
      </c>
      <c r="C1634" s="122">
        <f>IF($D1634="","",IFERROR(TEXT(일일실시사항!$B602,"yyyy-mm-dd"),"(날짜없음)")&amp;"  "&amp;일일실시사항!$D602&amp;"  "&amp;일일실시사항!$H602)</f>
        <v/>
      </c>
      <c r="D1634" s="122">
        <f>IF(NOT(COUNTBLANK(일일실시사항!$B602:$K602)&lt;10),"",TRIM(IF(일일실시사항!$B602="","일자 누락; ","")&amp;IF(COUNTIF(코드설정!$C$5:$C$24,일일실시사항!$D602)=0,"담당자 누락; ","")&amp;IF(COUNTIF(코드설정!$G$5:$G$14,일일실시사항!$F602)=0,"업무구분 누락; ","")&amp;IF(AND(일일실시사항!$G602&lt;&gt;"",COUNTIF(사건마스터!$A$5:$A$64,일일실시사항!$G602)=0),"미등록 사건번호; ","")&amp;IF(일일실시사항!$H602="","실시 내용 없음; ","")&amp;IF(COUNTIF(코드설정!$F$5:$F$7,일일실시사항!$J602)=0,"진행상태 누락; ","")))</f>
        <v/>
      </c>
    </row>
    <row r="1635">
      <c r="A1635" s="26" t="inlineStr">
        <is>
          <t>일일실시사항</t>
        </is>
      </c>
      <c r="B1635" s="66" t="n">
        <v>603</v>
      </c>
      <c r="C1635" s="122">
        <f>IF($D1635="","",IFERROR(TEXT(일일실시사항!$B603,"yyyy-mm-dd"),"(날짜없음)")&amp;"  "&amp;일일실시사항!$D603&amp;"  "&amp;일일실시사항!$H603)</f>
        <v/>
      </c>
      <c r="D1635" s="122">
        <f>IF(NOT(COUNTBLANK(일일실시사항!$B603:$K603)&lt;10),"",TRIM(IF(일일실시사항!$B603="","일자 누락; ","")&amp;IF(COUNTIF(코드설정!$C$5:$C$24,일일실시사항!$D603)=0,"담당자 누락; ","")&amp;IF(COUNTIF(코드설정!$G$5:$G$14,일일실시사항!$F603)=0,"업무구분 누락; ","")&amp;IF(AND(일일실시사항!$G603&lt;&gt;"",COUNTIF(사건마스터!$A$5:$A$64,일일실시사항!$G603)=0),"미등록 사건번호; ","")&amp;IF(일일실시사항!$H603="","실시 내용 없음; ","")&amp;IF(COUNTIF(코드설정!$F$5:$F$7,일일실시사항!$J603)=0,"진행상태 누락; ","")))</f>
        <v/>
      </c>
    </row>
    <row r="1636">
      <c r="A1636" s="26" t="inlineStr">
        <is>
          <t>일일실시사항</t>
        </is>
      </c>
      <c r="B1636" s="66" t="n">
        <v>604</v>
      </c>
      <c r="C1636" s="122">
        <f>IF($D1636="","",IFERROR(TEXT(일일실시사항!$B604,"yyyy-mm-dd"),"(날짜없음)")&amp;"  "&amp;일일실시사항!$D604&amp;"  "&amp;일일실시사항!$H604)</f>
        <v/>
      </c>
      <c r="D1636" s="122">
        <f>IF(NOT(COUNTBLANK(일일실시사항!$B604:$K604)&lt;10),"",TRIM(IF(일일실시사항!$B604="","일자 누락; ","")&amp;IF(COUNTIF(코드설정!$C$5:$C$24,일일실시사항!$D604)=0,"담당자 누락; ","")&amp;IF(COUNTIF(코드설정!$G$5:$G$14,일일실시사항!$F604)=0,"업무구분 누락; ","")&amp;IF(AND(일일실시사항!$G604&lt;&gt;"",COUNTIF(사건마스터!$A$5:$A$64,일일실시사항!$G604)=0),"미등록 사건번호; ","")&amp;IF(일일실시사항!$H604="","실시 내용 없음; ","")&amp;IF(COUNTIF(코드설정!$F$5:$F$7,일일실시사항!$J604)=0,"진행상태 누락; ","")))</f>
        <v/>
      </c>
    </row>
    <row r="1637">
      <c r="A1637" s="26" t="inlineStr">
        <is>
          <t>일일실시사항</t>
        </is>
      </c>
      <c r="B1637" s="66" t="n">
        <v>605</v>
      </c>
      <c r="C1637" s="122">
        <f>IF($D1637="","",IFERROR(TEXT(일일실시사항!$B605,"yyyy-mm-dd"),"(날짜없음)")&amp;"  "&amp;일일실시사항!$D605&amp;"  "&amp;일일실시사항!$H605)</f>
        <v/>
      </c>
      <c r="D1637" s="122">
        <f>IF(NOT(COUNTBLANK(일일실시사항!$B605:$K605)&lt;10),"",TRIM(IF(일일실시사항!$B605="","일자 누락; ","")&amp;IF(COUNTIF(코드설정!$C$5:$C$24,일일실시사항!$D605)=0,"담당자 누락; ","")&amp;IF(COUNTIF(코드설정!$G$5:$G$14,일일실시사항!$F605)=0,"업무구분 누락; ","")&amp;IF(AND(일일실시사항!$G605&lt;&gt;"",COUNTIF(사건마스터!$A$5:$A$64,일일실시사항!$G605)=0),"미등록 사건번호; ","")&amp;IF(일일실시사항!$H605="","실시 내용 없음; ","")&amp;IF(COUNTIF(코드설정!$F$5:$F$7,일일실시사항!$J605)=0,"진행상태 누락; ","")))</f>
        <v/>
      </c>
    </row>
    <row r="1638">
      <c r="A1638" s="26" t="inlineStr">
        <is>
          <t>일일실시사항</t>
        </is>
      </c>
      <c r="B1638" s="66" t="n">
        <v>606</v>
      </c>
      <c r="C1638" s="122">
        <f>IF($D1638="","",IFERROR(TEXT(일일실시사항!$B606,"yyyy-mm-dd"),"(날짜없음)")&amp;"  "&amp;일일실시사항!$D606&amp;"  "&amp;일일실시사항!$H606)</f>
        <v/>
      </c>
      <c r="D1638" s="122">
        <f>IF(NOT(COUNTBLANK(일일실시사항!$B606:$K606)&lt;10),"",TRIM(IF(일일실시사항!$B606="","일자 누락; ","")&amp;IF(COUNTIF(코드설정!$C$5:$C$24,일일실시사항!$D606)=0,"담당자 누락; ","")&amp;IF(COUNTIF(코드설정!$G$5:$G$14,일일실시사항!$F606)=0,"업무구분 누락; ","")&amp;IF(AND(일일실시사항!$G606&lt;&gt;"",COUNTIF(사건마스터!$A$5:$A$64,일일실시사항!$G606)=0),"미등록 사건번호; ","")&amp;IF(일일실시사항!$H606="","실시 내용 없음; ","")&amp;IF(COUNTIF(코드설정!$F$5:$F$7,일일실시사항!$J606)=0,"진행상태 누락; ","")))</f>
        <v/>
      </c>
    </row>
    <row r="1639">
      <c r="A1639" s="26" t="inlineStr">
        <is>
          <t>일일실시사항</t>
        </is>
      </c>
      <c r="B1639" s="66" t="n">
        <v>607</v>
      </c>
      <c r="C1639" s="122">
        <f>IF($D1639="","",IFERROR(TEXT(일일실시사항!$B607,"yyyy-mm-dd"),"(날짜없음)")&amp;"  "&amp;일일실시사항!$D607&amp;"  "&amp;일일실시사항!$H607)</f>
        <v/>
      </c>
      <c r="D1639" s="122">
        <f>IF(NOT(COUNTBLANK(일일실시사항!$B607:$K607)&lt;10),"",TRIM(IF(일일실시사항!$B607="","일자 누락; ","")&amp;IF(COUNTIF(코드설정!$C$5:$C$24,일일실시사항!$D607)=0,"담당자 누락; ","")&amp;IF(COUNTIF(코드설정!$G$5:$G$14,일일실시사항!$F607)=0,"업무구분 누락; ","")&amp;IF(AND(일일실시사항!$G607&lt;&gt;"",COUNTIF(사건마스터!$A$5:$A$64,일일실시사항!$G607)=0),"미등록 사건번호; ","")&amp;IF(일일실시사항!$H607="","실시 내용 없음; ","")&amp;IF(COUNTIF(코드설정!$F$5:$F$7,일일실시사항!$J607)=0,"진행상태 누락; ","")))</f>
        <v/>
      </c>
    </row>
    <row r="1640">
      <c r="A1640" s="26" t="inlineStr">
        <is>
          <t>일일실시사항</t>
        </is>
      </c>
      <c r="B1640" s="66" t="n">
        <v>608</v>
      </c>
      <c r="C1640" s="122">
        <f>IF($D1640="","",IFERROR(TEXT(일일실시사항!$B608,"yyyy-mm-dd"),"(날짜없음)")&amp;"  "&amp;일일실시사항!$D608&amp;"  "&amp;일일실시사항!$H608)</f>
        <v/>
      </c>
      <c r="D1640" s="122">
        <f>IF(NOT(COUNTBLANK(일일실시사항!$B608:$K608)&lt;10),"",TRIM(IF(일일실시사항!$B608="","일자 누락; ","")&amp;IF(COUNTIF(코드설정!$C$5:$C$24,일일실시사항!$D608)=0,"담당자 누락; ","")&amp;IF(COUNTIF(코드설정!$G$5:$G$14,일일실시사항!$F608)=0,"업무구분 누락; ","")&amp;IF(AND(일일실시사항!$G608&lt;&gt;"",COUNTIF(사건마스터!$A$5:$A$64,일일실시사항!$G608)=0),"미등록 사건번호; ","")&amp;IF(일일실시사항!$H608="","실시 내용 없음; ","")&amp;IF(COUNTIF(코드설정!$F$5:$F$7,일일실시사항!$J608)=0,"진행상태 누락; ","")))</f>
        <v/>
      </c>
    </row>
    <row r="1641">
      <c r="A1641" s="26" t="inlineStr">
        <is>
          <t>일일실시사항</t>
        </is>
      </c>
      <c r="B1641" s="66" t="n">
        <v>609</v>
      </c>
      <c r="C1641" s="122">
        <f>IF($D1641="","",IFERROR(TEXT(일일실시사항!$B609,"yyyy-mm-dd"),"(날짜없음)")&amp;"  "&amp;일일실시사항!$D609&amp;"  "&amp;일일실시사항!$H609)</f>
        <v/>
      </c>
      <c r="D1641" s="122">
        <f>IF(NOT(COUNTBLANK(일일실시사항!$B609:$K609)&lt;10),"",TRIM(IF(일일실시사항!$B609="","일자 누락; ","")&amp;IF(COUNTIF(코드설정!$C$5:$C$24,일일실시사항!$D609)=0,"담당자 누락; ","")&amp;IF(COUNTIF(코드설정!$G$5:$G$14,일일실시사항!$F609)=0,"업무구분 누락; ","")&amp;IF(AND(일일실시사항!$G609&lt;&gt;"",COUNTIF(사건마스터!$A$5:$A$64,일일실시사항!$G609)=0),"미등록 사건번호; ","")&amp;IF(일일실시사항!$H609="","실시 내용 없음; ","")&amp;IF(COUNTIF(코드설정!$F$5:$F$7,일일실시사항!$J609)=0,"진행상태 누락; ","")))</f>
        <v/>
      </c>
    </row>
    <row r="1642">
      <c r="A1642" s="26" t="inlineStr">
        <is>
          <t>일일실시사항</t>
        </is>
      </c>
      <c r="B1642" s="66" t="n">
        <v>610</v>
      </c>
      <c r="C1642" s="122">
        <f>IF($D1642="","",IFERROR(TEXT(일일실시사항!$B610,"yyyy-mm-dd"),"(날짜없음)")&amp;"  "&amp;일일실시사항!$D610&amp;"  "&amp;일일실시사항!$H610)</f>
        <v/>
      </c>
      <c r="D1642" s="122">
        <f>IF(NOT(COUNTBLANK(일일실시사항!$B610:$K610)&lt;10),"",TRIM(IF(일일실시사항!$B610="","일자 누락; ","")&amp;IF(COUNTIF(코드설정!$C$5:$C$24,일일실시사항!$D610)=0,"담당자 누락; ","")&amp;IF(COUNTIF(코드설정!$G$5:$G$14,일일실시사항!$F610)=0,"업무구분 누락; ","")&amp;IF(AND(일일실시사항!$G610&lt;&gt;"",COUNTIF(사건마스터!$A$5:$A$64,일일실시사항!$G610)=0),"미등록 사건번호; ","")&amp;IF(일일실시사항!$H610="","실시 내용 없음; ","")&amp;IF(COUNTIF(코드설정!$F$5:$F$7,일일실시사항!$J610)=0,"진행상태 누락; ","")))</f>
        <v/>
      </c>
    </row>
    <row r="1643">
      <c r="A1643" s="26" t="inlineStr">
        <is>
          <t>일일실시사항</t>
        </is>
      </c>
      <c r="B1643" s="66" t="n">
        <v>611</v>
      </c>
      <c r="C1643" s="122">
        <f>IF($D1643="","",IFERROR(TEXT(일일실시사항!$B611,"yyyy-mm-dd"),"(날짜없음)")&amp;"  "&amp;일일실시사항!$D611&amp;"  "&amp;일일실시사항!$H611)</f>
        <v/>
      </c>
      <c r="D1643" s="122">
        <f>IF(NOT(COUNTBLANK(일일실시사항!$B611:$K611)&lt;10),"",TRIM(IF(일일실시사항!$B611="","일자 누락; ","")&amp;IF(COUNTIF(코드설정!$C$5:$C$24,일일실시사항!$D611)=0,"담당자 누락; ","")&amp;IF(COUNTIF(코드설정!$G$5:$G$14,일일실시사항!$F611)=0,"업무구분 누락; ","")&amp;IF(AND(일일실시사항!$G611&lt;&gt;"",COUNTIF(사건마스터!$A$5:$A$64,일일실시사항!$G611)=0),"미등록 사건번호; ","")&amp;IF(일일실시사항!$H611="","실시 내용 없음; ","")&amp;IF(COUNTIF(코드설정!$F$5:$F$7,일일실시사항!$J611)=0,"진행상태 누락; ","")))</f>
        <v/>
      </c>
    </row>
    <row r="1644">
      <c r="A1644" s="26" t="inlineStr">
        <is>
          <t>일일실시사항</t>
        </is>
      </c>
      <c r="B1644" s="66" t="n">
        <v>612</v>
      </c>
      <c r="C1644" s="122">
        <f>IF($D1644="","",IFERROR(TEXT(일일실시사항!$B612,"yyyy-mm-dd"),"(날짜없음)")&amp;"  "&amp;일일실시사항!$D612&amp;"  "&amp;일일실시사항!$H612)</f>
        <v/>
      </c>
      <c r="D1644" s="122">
        <f>IF(NOT(COUNTBLANK(일일실시사항!$B612:$K612)&lt;10),"",TRIM(IF(일일실시사항!$B612="","일자 누락; ","")&amp;IF(COUNTIF(코드설정!$C$5:$C$24,일일실시사항!$D612)=0,"담당자 누락; ","")&amp;IF(COUNTIF(코드설정!$G$5:$G$14,일일실시사항!$F612)=0,"업무구분 누락; ","")&amp;IF(AND(일일실시사항!$G612&lt;&gt;"",COUNTIF(사건마스터!$A$5:$A$64,일일실시사항!$G612)=0),"미등록 사건번호; ","")&amp;IF(일일실시사항!$H612="","실시 내용 없음; ","")&amp;IF(COUNTIF(코드설정!$F$5:$F$7,일일실시사항!$J612)=0,"진행상태 누락; ","")))</f>
        <v/>
      </c>
    </row>
    <row r="1645">
      <c r="A1645" s="26" t="inlineStr">
        <is>
          <t>일일실시사항</t>
        </is>
      </c>
      <c r="B1645" s="66" t="n">
        <v>613</v>
      </c>
      <c r="C1645" s="122">
        <f>IF($D1645="","",IFERROR(TEXT(일일실시사항!$B613,"yyyy-mm-dd"),"(날짜없음)")&amp;"  "&amp;일일실시사항!$D613&amp;"  "&amp;일일실시사항!$H613)</f>
        <v/>
      </c>
      <c r="D1645" s="122">
        <f>IF(NOT(COUNTBLANK(일일실시사항!$B613:$K613)&lt;10),"",TRIM(IF(일일실시사항!$B613="","일자 누락; ","")&amp;IF(COUNTIF(코드설정!$C$5:$C$24,일일실시사항!$D613)=0,"담당자 누락; ","")&amp;IF(COUNTIF(코드설정!$G$5:$G$14,일일실시사항!$F613)=0,"업무구분 누락; ","")&amp;IF(AND(일일실시사항!$G613&lt;&gt;"",COUNTIF(사건마스터!$A$5:$A$64,일일실시사항!$G613)=0),"미등록 사건번호; ","")&amp;IF(일일실시사항!$H613="","실시 내용 없음; ","")&amp;IF(COUNTIF(코드설정!$F$5:$F$7,일일실시사항!$J613)=0,"진행상태 누락; ","")))</f>
        <v/>
      </c>
    </row>
    <row r="1646">
      <c r="A1646" s="26" t="inlineStr">
        <is>
          <t>일일실시사항</t>
        </is>
      </c>
      <c r="B1646" s="66" t="n">
        <v>614</v>
      </c>
      <c r="C1646" s="122">
        <f>IF($D1646="","",IFERROR(TEXT(일일실시사항!$B614,"yyyy-mm-dd"),"(날짜없음)")&amp;"  "&amp;일일실시사항!$D614&amp;"  "&amp;일일실시사항!$H614)</f>
        <v/>
      </c>
      <c r="D1646" s="122">
        <f>IF(NOT(COUNTBLANK(일일실시사항!$B614:$K614)&lt;10),"",TRIM(IF(일일실시사항!$B614="","일자 누락; ","")&amp;IF(COUNTIF(코드설정!$C$5:$C$24,일일실시사항!$D614)=0,"담당자 누락; ","")&amp;IF(COUNTIF(코드설정!$G$5:$G$14,일일실시사항!$F614)=0,"업무구분 누락; ","")&amp;IF(AND(일일실시사항!$G614&lt;&gt;"",COUNTIF(사건마스터!$A$5:$A$64,일일실시사항!$G614)=0),"미등록 사건번호; ","")&amp;IF(일일실시사항!$H614="","실시 내용 없음; ","")&amp;IF(COUNTIF(코드설정!$F$5:$F$7,일일실시사항!$J614)=0,"진행상태 누락; ","")))</f>
        <v/>
      </c>
    </row>
    <row r="1647">
      <c r="A1647" s="26" t="inlineStr">
        <is>
          <t>일일실시사항</t>
        </is>
      </c>
      <c r="B1647" s="66" t="n">
        <v>615</v>
      </c>
      <c r="C1647" s="122">
        <f>IF($D1647="","",IFERROR(TEXT(일일실시사항!$B615,"yyyy-mm-dd"),"(날짜없음)")&amp;"  "&amp;일일실시사항!$D615&amp;"  "&amp;일일실시사항!$H615)</f>
        <v/>
      </c>
      <c r="D1647" s="122">
        <f>IF(NOT(COUNTBLANK(일일실시사항!$B615:$K615)&lt;10),"",TRIM(IF(일일실시사항!$B615="","일자 누락; ","")&amp;IF(COUNTIF(코드설정!$C$5:$C$24,일일실시사항!$D615)=0,"담당자 누락; ","")&amp;IF(COUNTIF(코드설정!$G$5:$G$14,일일실시사항!$F615)=0,"업무구분 누락; ","")&amp;IF(AND(일일실시사항!$G615&lt;&gt;"",COUNTIF(사건마스터!$A$5:$A$64,일일실시사항!$G615)=0),"미등록 사건번호; ","")&amp;IF(일일실시사항!$H615="","실시 내용 없음; ","")&amp;IF(COUNTIF(코드설정!$F$5:$F$7,일일실시사항!$J615)=0,"진행상태 누락; ","")))</f>
        <v/>
      </c>
    </row>
    <row r="1648">
      <c r="A1648" s="26" t="inlineStr">
        <is>
          <t>일일실시사항</t>
        </is>
      </c>
      <c r="B1648" s="66" t="n">
        <v>616</v>
      </c>
      <c r="C1648" s="122">
        <f>IF($D1648="","",IFERROR(TEXT(일일실시사항!$B616,"yyyy-mm-dd"),"(날짜없음)")&amp;"  "&amp;일일실시사항!$D616&amp;"  "&amp;일일실시사항!$H616)</f>
        <v/>
      </c>
      <c r="D1648" s="122">
        <f>IF(NOT(COUNTBLANK(일일실시사항!$B616:$K616)&lt;10),"",TRIM(IF(일일실시사항!$B616="","일자 누락; ","")&amp;IF(COUNTIF(코드설정!$C$5:$C$24,일일실시사항!$D616)=0,"담당자 누락; ","")&amp;IF(COUNTIF(코드설정!$G$5:$G$14,일일실시사항!$F616)=0,"업무구분 누락; ","")&amp;IF(AND(일일실시사항!$G616&lt;&gt;"",COUNTIF(사건마스터!$A$5:$A$64,일일실시사항!$G616)=0),"미등록 사건번호; ","")&amp;IF(일일실시사항!$H616="","실시 내용 없음; ","")&amp;IF(COUNTIF(코드설정!$F$5:$F$7,일일실시사항!$J616)=0,"진행상태 누락; ","")))</f>
        <v/>
      </c>
    </row>
    <row r="1649">
      <c r="A1649" s="26" t="inlineStr">
        <is>
          <t>일일실시사항</t>
        </is>
      </c>
      <c r="B1649" s="66" t="n">
        <v>617</v>
      </c>
      <c r="C1649" s="122">
        <f>IF($D1649="","",IFERROR(TEXT(일일실시사항!$B617,"yyyy-mm-dd"),"(날짜없음)")&amp;"  "&amp;일일실시사항!$D617&amp;"  "&amp;일일실시사항!$H617)</f>
        <v/>
      </c>
      <c r="D1649" s="122">
        <f>IF(NOT(COUNTBLANK(일일실시사항!$B617:$K617)&lt;10),"",TRIM(IF(일일실시사항!$B617="","일자 누락; ","")&amp;IF(COUNTIF(코드설정!$C$5:$C$24,일일실시사항!$D617)=0,"담당자 누락; ","")&amp;IF(COUNTIF(코드설정!$G$5:$G$14,일일실시사항!$F617)=0,"업무구분 누락; ","")&amp;IF(AND(일일실시사항!$G617&lt;&gt;"",COUNTIF(사건마스터!$A$5:$A$64,일일실시사항!$G617)=0),"미등록 사건번호; ","")&amp;IF(일일실시사항!$H617="","실시 내용 없음; ","")&amp;IF(COUNTIF(코드설정!$F$5:$F$7,일일실시사항!$J617)=0,"진행상태 누락; ","")))</f>
        <v/>
      </c>
    </row>
    <row r="1650">
      <c r="A1650" s="26" t="inlineStr">
        <is>
          <t>일일실시사항</t>
        </is>
      </c>
      <c r="B1650" s="66" t="n">
        <v>618</v>
      </c>
      <c r="C1650" s="122">
        <f>IF($D1650="","",IFERROR(TEXT(일일실시사항!$B618,"yyyy-mm-dd"),"(날짜없음)")&amp;"  "&amp;일일실시사항!$D618&amp;"  "&amp;일일실시사항!$H618)</f>
        <v/>
      </c>
      <c r="D1650" s="122">
        <f>IF(NOT(COUNTBLANK(일일실시사항!$B618:$K618)&lt;10),"",TRIM(IF(일일실시사항!$B618="","일자 누락; ","")&amp;IF(COUNTIF(코드설정!$C$5:$C$24,일일실시사항!$D618)=0,"담당자 누락; ","")&amp;IF(COUNTIF(코드설정!$G$5:$G$14,일일실시사항!$F618)=0,"업무구분 누락; ","")&amp;IF(AND(일일실시사항!$G618&lt;&gt;"",COUNTIF(사건마스터!$A$5:$A$64,일일실시사항!$G618)=0),"미등록 사건번호; ","")&amp;IF(일일실시사항!$H618="","실시 내용 없음; ","")&amp;IF(COUNTIF(코드설정!$F$5:$F$7,일일실시사항!$J618)=0,"진행상태 누락; ","")))</f>
        <v/>
      </c>
    </row>
    <row r="1651">
      <c r="A1651" s="26" t="inlineStr">
        <is>
          <t>일일실시사항</t>
        </is>
      </c>
      <c r="B1651" s="66" t="n">
        <v>619</v>
      </c>
      <c r="C1651" s="122">
        <f>IF($D1651="","",IFERROR(TEXT(일일실시사항!$B619,"yyyy-mm-dd"),"(날짜없음)")&amp;"  "&amp;일일실시사항!$D619&amp;"  "&amp;일일실시사항!$H619)</f>
        <v/>
      </c>
      <c r="D1651" s="122">
        <f>IF(NOT(COUNTBLANK(일일실시사항!$B619:$K619)&lt;10),"",TRIM(IF(일일실시사항!$B619="","일자 누락; ","")&amp;IF(COUNTIF(코드설정!$C$5:$C$24,일일실시사항!$D619)=0,"담당자 누락; ","")&amp;IF(COUNTIF(코드설정!$G$5:$G$14,일일실시사항!$F619)=0,"업무구분 누락; ","")&amp;IF(AND(일일실시사항!$G619&lt;&gt;"",COUNTIF(사건마스터!$A$5:$A$64,일일실시사항!$G619)=0),"미등록 사건번호; ","")&amp;IF(일일실시사항!$H619="","실시 내용 없음; ","")&amp;IF(COUNTIF(코드설정!$F$5:$F$7,일일실시사항!$J619)=0,"진행상태 누락; ","")))</f>
        <v/>
      </c>
    </row>
    <row r="1652">
      <c r="A1652" s="26" t="inlineStr">
        <is>
          <t>일일실시사항</t>
        </is>
      </c>
      <c r="B1652" s="66" t="n">
        <v>620</v>
      </c>
      <c r="C1652" s="122">
        <f>IF($D1652="","",IFERROR(TEXT(일일실시사항!$B620,"yyyy-mm-dd"),"(날짜없음)")&amp;"  "&amp;일일실시사항!$D620&amp;"  "&amp;일일실시사항!$H620)</f>
        <v/>
      </c>
      <c r="D1652" s="122">
        <f>IF(NOT(COUNTBLANK(일일실시사항!$B620:$K620)&lt;10),"",TRIM(IF(일일실시사항!$B620="","일자 누락; ","")&amp;IF(COUNTIF(코드설정!$C$5:$C$24,일일실시사항!$D620)=0,"담당자 누락; ","")&amp;IF(COUNTIF(코드설정!$G$5:$G$14,일일실시사항!$F620)=0,"업무구분 누락; ","")&amp;IF(AND(일일실시사항!$G620&lt;&gt;"",COUNTIF(사건마스터!$A$5:$A$64,일일실시사항!$G620)=0),"미등록 사건번호; ","")&amp;IF(일일실시사항!$H620="","실시 내용 없음; ","")&amp;IF(COUNTIF(코드설정!$F$5:$F$7,일일실시사항!$J620)=0,"진행상태 누락; ","")))</f>
        <v/>
      </c>
    </row>
    <row r="1653">
      <c r="A1653" s="26" t="inlineStr">
        <is>
          <t>일일실시사항</t>
        </is>
      </c>
      <c r="B1653" s="66" t="n">
        <v>621</v>
      </c>
      <c r="C1653" s="122">
        <f>IF($D1653="","",IFERROR(TEXT(일일실시사항!$B621,"yyyy-mm-dd"),"(날짜없음)")&amp;"  "&amp;일일실시사항!$D621&amp;"  "&amp;일일실시사항!$H621)</f>
        <v/>
      </c>
      <c r="D1653" s="122">
        <f>IF(NOT(COUNTBLANK(일일실시사항!$B621:$K621)&lt;10),"",TRIM(IF(일일실시사항!$B621="","일자 누락; ","")&amp;IF(COUNTIF(코드설정!$C$5:$C$24,일일실시사항!$D621)=0,"담당자 누락; ","")&amp;IF(COUNTIF(코드설정!$G$5:$G$14,일일실시사항!$F621)=0,"업무구분 누락; ","")&amp;IF(AND(일일실시사항!$G621&lt;&gt;"",COUNTIF(사건마스터!$A$5:$A$64,일일실시사항!$G621)=0),"미등록 사건번호; ","")&amp;IF(일일실시사항!$H621="","실시 내용 없음; ","")&amp;IF(COUNTIF(코드설정!$F$5:$F$7,일일실시사항!$J621)=0,"진행상태 누락; ","")))</f>
        <v/>
      </c>
    </row>
    <row r="1654">
      <c r="A1654" s="26" t="inlineStr">
        <is>
          <t>일일실시사항</t>
        </is>
      </c>
      <c r="B1654" s="66" t="n">
        <v>622</v>
      </c>
      <c r="C1654" s="122">
        <f>IF($D1654="","",IFERROR(TEXT(일일실시사항!$B622,"yyyy-mm-dd"),"(날짜없음)")&amp;"  "&amp;일일실시사항!$D622&amp;"  "&amp;일일실시사항!$H622)</f>
        <v/>
      </c>
      <c r="D1654" s="122">
        <f>IF(NOT(COUNTBLANK(일일실시사항!$B622:$K622)&lt;10),"",TRIM(IF(일일실시사항!$B622="","일자 누락; ","")&amp;IF(COUNTIF(코드설정!$C$5:$C$24,일일실시사항!$D622)=0,"담당자 누락; ","")&amp;IF(COUNTIF(코드설정!$G$5:$G$14,일일실시사항!$F622)=0,"업무구분 누락; ","")&amp;IF(AND(일일실시사항!$G622&lt;&gt;"",COUNTIF(사건마스터!$A$5:$A$64,일일실시사항!$G622)=0),"미등록 사건번호; ","")&amp;IF(일일실시사항!$H622="","실시 내용 없음; ","")&amp;IF(COUNTIF(코드설정!$F$5:$F$7,일일실시사항!$J622)=0,"진행상태 누락; ","")))</f>
        <v/>
      </c>
    </row>
    <row r="1655">
      <c r="A1655" s="26" t="inlineStr">
        <is>
          <t>일일실시사항</t>
        </is>
      </c>
      <c r="B1655" s="66" t="n">
        <v>623</v>
      </c>
      <c r="C1655" s="122">
        <f>IF($D1655="","",IFERROR(TEXT(일일실시사항!$B623,"yyyy-mm-dd"),"(날짜없음)")&amp;"  "&amp;일일실시사항!$D623&amp;"  "&amp;일일실시사항!$H623)</f>
        <v/>
      </c>
      <c r="D1655" s="122">
        <f>IF(NOT(COUNTBLANK(일일실시사항!$B623:$K623)&lt;10),"",TRIM(IF(일일실시사항!$B623="","일자 누락; ","")&amp;IF(COUNTIF(코드설정!$C$5:$C$24,일일실시사항!$D623)=0,"담당자 누락; ","")&amp;IF(COUNTIF(코드설정!$G$5:$G$14,일일실시사항!$F623)=0,"업무구분 누락; ","")&amp;IF(AND(일일실시사항!$G623&lt;&gt;"",COUNTIF(사건마스터!$A$5:$A$64,일일실시사항!$G623)=0),"미등록 사건번호; ","")&amp;IF(일일실시사항!$H623="","실시 내용 없음; ","")&amp;IF(COUNTIF(코드설정!$F$5:$F$7,일일실시사항!$J623)=0,"진행상태 누락; ","")))</f>
        <v/>
      </c>
    </row>
    <row r="1656">
      <c r="A1656" s="26" t="inlineStr">
        <is>
          <t>일일실시사항</t>
        </is>
      </c>
      <c r="B1656" s="66" t="n">
        <v>624</v>
      </c>
      <c r="C1656" s="122">
        <f>IF($D1656="","",IFERROR(TEXT(일일실시사항!$B624,"yyyy-mm-dd"),"(날짜없음)")&amp;"  "&amp;일일실시사항!$D624&amp;"  "&amp;일일실시사항!$H624)</f>
        <v/>
      </c>
      <c r="D1656" s="122">
        <f>IF(NOT(COUNTBLANK(일일실시사항!$B624:$K624)&lt;10),"",TRIM(IF(일일실시사항!$B624="","일자 누락; ","")&amp;IF(COUNTIF(코드설정!$C$5:$C$24,일일실시사항!$D624)=0,"담당자 누락; ","")&amp;IF(COUNTIF(코드설정!$G$5:$G$14,일일실시사항!$F624)=0,"업무구분 누락; ","")&amp;IF(AND(일일실시사항!$G624&lt;&gt;"",COUNTIF(사건마스터!$A$5:$A$64,일일실시사항!$G624)=0),"미등록 사건번호; ","")&amp;IF(일일실시사항!$H624="","실시 내용 없음; ","")&amp;IF(COUNTIF(코드설정!$F$5:$F$7,일일실시사항!$J624)=0,"진행상태 누락; ","")))</f>
        <v/>
      </c>
    </row>
    <row r="1657">
      <c r="A1657" s="26" t="inlineStr">
        <is>
          <t>일일실시사항</t>
        </is>
      </c>
      <c r="B1657" s="66" t="n">
        <v>625</v>
      </c>
      <c r="C1657" s="122">
        <f>IF($D1657="","",IFERROR(TEXT(일일실시사항!$B625,"yyyy-mm-dd"),"(날짜없음)")&amp;"  "&amp;일일실시사항!$D625&amp;"  "&amp;일일실시사항!$H625)</f>
        <v/>
      </c>
      <c r="D1657" s="122">
        <f>IF(NOT(COUNTBLANK(일일실시사항!$B625:$K625)&lt;10),"",TRIM(IF(일일실시사항!$B625="","일자 누락; ","")&amp;IF(COUNTIF(코드설정!$C$5:$C$24,일일실시사항!$D625)=0,"담당자 누락; ","")&amp;IF(COUNTIF(코드설정!$G$5:$G$14,일일실시사항!$F625)=0,"업무구분 누락; ","")&amp;IF(AND(일일실시사항!$G625&lt;&gt;"",COUNTIF(사건마스터!$A$5:$A$64,일일실시사항!$G625)=0),"미등록 사건번호; ","")&amp;IF(일일실시사항!$H625="","실시 내용 없음; ","")&amp;IF(COUNTIF(코드설정!$F$5:$F$7,일일실시사항!$J625)=0,"진행상태 누락; ","")))</f>
        <v/>
      </c>
    </row>
    <row r="1658">
      <c r="A1658" s="26" t="inlineStr">
        <is>
          <t>일일실시사항</t>
        </is>
      </c>
      <c r="B1658" s="66" t="n">
        <v>626</v>
      </c>
      <c r="C1658" s="122">
        <f>IF($D1658="","",IFERROR(TEXT(일일실시사항!$B626,"yyyy-mm-dd"),"(날짜없음)")&amp;"  "&amp;일일실시사항!$D626&amp;"  "&amp;일일실시사항!$H626)</f>
        <v/>
      </c>
      <c r="D1658" s="122">
        <f>IF(NOT(COUNTBLANK(일일실시사항!$B626:$K626)&lt;10),"",TRIM(IF(일일실시사항!$B626="","일자 누락; ","")&amp;IF(COUNTIF(코드설정!$C$5:$C$24,일일실시사항!$D626)=0,"담당자 누락; ","")&amp;IF(COUNTIF(코드설정!$G$5:$G$14,일일실시사항!$F626)=0,"업무구분 누락; ","")&amp;IF(AND(일일실시사항!$G626&lt;&gt;"",COUNTIF(사건마스터!$A$5:$A$64,일일실시사항!$G626)=0),"미등록 사건번호; ","")&amp;IF(일일실시사항!$H626="","실시 내용 없음; ","")&amp;IF(COUNTIF(코드설정!$F$5:$F$7,일일실시사항!$J626)=0,"진행상태 누락; ","")))</f>
        <v/>
      </c>
    </row>
    <row r="1659">
      <c r="A1659" s="26" t="inlineStr">
        <is>
          <t>일일실시사항</t>
        </is>
      </c>
      <c r="B1659" s="66" t="n">
        <v>627</v>
      </c>
      <c r="C1659" s="122">
        <f>IF($D1659="","",IFERROR(TEXT(일일실시사항!$B627,"yyyy-mm-dd"),"(날짜없음)")&amp;"  "&amp;일일실시사항!$D627&amp;"  "&amp;일일실시사항!$H627)</f>
        <v/>
      </c>
      <c r="D1659" s="122">
        <f>IF(NOT(COUNTBLANK(일일실시사항!$B627:$K627)&lt;10),"",TRIM(IF(일일실시사항!$B627="","일자 누락; ","")&amp;IF(COUNTIF(코드설정!$C$5:$C$24,일일실시사항!$D627)=0,"담당자 누락; ","")&amp;IF(COUNTIF(코드설정!$G$5:$G$14,일일실시사항!$F627)=0,"업무구분 누락; ","")&amp;IF(AND(일일실시사항!$G627&lt;&gt;"",COUNTIF(사건마스터!$A$5:$A$64,일일실시사항!$G627)=0),"미등록 사건번호; ","")&amp;IF(일일실시사항!$H627="","실시 내용 없음; ","")&amp;IF(COUNTIF(코드설정!$F$5:$F$7,일일실시사항!$J627)=0,"진행상태 누락; ","")))</f>
        <v/>
      </c>
    </row>
    <row r="1660">
      <c r="A1660" s="26" t="inlineStr">
        <is>
          <t>일일실시사항</t>
        </is>
      </c>
      <c r="B1660" s="66" t="n">
        <v>628</v>
      </c>
      <c r="C1660" s="122">
        <f>IF($D1660="","",IFERROR(TEXT(일일실시사항!$B628,"yyyy-mm-dd"),"(날짜없음)")&amp;"  "&amp;일일실시사항!$D628&amp;"  "&amp;일일실시사항!$H628)</f>
        <v/>
      </c>
      <c r="D1660" s="122">
        <f>IF(NOT(COUNTBLANK(일일실시사항!$B628:$K628)&lt;10),"",TRIM(IF(일일실시사항!$B628="","일자 누락; ","")&amp;IF(COUNTIF(코드설정!$C$5:$C$24,일일실시사항!$D628)=0,"담당자 누락; ","")&amp;IF(COUNTIF(코드설정!$G$5:$G$14,일일실시사항!$F628)=0,"업무구분 누락; ","")&amp;IF(AND(일일실시사항!$G628&lt;&gt;"",COUNTIF(사건마스터!$A$5:$A$64,일일실시사항!$G628)=0),"미등록 사건번호; ","")&amp;IF(일일실시사항!$H628="","실시 내용 없음; ","")&amp;IF(COUNTIF(코드설정!$F$5:$F$7,일일실시사항!$J628)=0,"진행상태 누락; ","")))</f>
        <v/>
      </c>
    </row>
    <row r="1661">
      <c r="A1661" s="26" t="inlineStr">
        <is>
          <t>일일실시사항</t>
        </is>
      </c>
      <c r="B1661" s="66" t="n">
        <v>629</v>
      </c>
      <c r="C1661" s="122">
        <f>IF($D1661="","",IFERROR(TEXT(일일실시사항!$B629,"yyyy-mm-dd"),"(날짜없음)")&amp;"  "&amp;일일실시사항!$D629&amp;"  "&amp;일일실시사항!$H629)</f>
        <v/>
      </c>
      <c r="D1661" s="122">
        <f>IF(NOT(COUNTBLANK(일일실시사항!$B629:$K629)&lt;10),"",TRIM(IF(일일실시사항!$B629="","일자 누락; ","")&amp;IF(COUNTIF(코드설정!$C$5:$C$24,일일실시사항!$D629)=0,"담당자 누락; ","")&amp;IF(COUNTIF(코드설정!$G$5:$G$14,일일실시사항!$F629)=0,"업무구분 누락; ","")&amp;IF(AND(일일실시사항!$G629&lt;&gt;"",COUNTIF(사건마스터!$A$5:$A$64,일일실시사항!$G629)=0),"미등록 사건번호; ","")&amp;IF(일일실시사항!$H629="","실시 내용 없음; ","")&amp;IF(COUNTIF(코드설정!$F$5:$F$7,일일실시사항!$J629)=0,"진행상태 누락; ","")))</f>
        <v/>
      </c>
    </row>
    <row r="1662">
      <c r="A1662" s="26" t="inlineStr">
        <is>
          <t>일일실시사항</t>
        </is>
      </c>
      <c r="B1662" s="66" t="n">
        <v>630</v>
      </c>
      <c r="C1662" s="122">
        <f>IF($D1662="","",IFERROR(TEXT(일일실시사항!$B630,"yyyy-mm-dd"),"(날짜없음)")&amp;"  "&amp;일일실시사항!$D630&amp;"  "&amp;일일실시사항!$H630)</f>
        <v/>
      </c>
      <c r="D1662" s="122">
        <f>IF(NOT(COUNTBLANK(일일실시사항!$B630:$K630)&lt;10),"",TRIM(IF(일일실시사항!$B630="","일자 누락; ","")&amp;IF(COUNTIF(코드설정!$C$5:$C$24,일일실시사항!$D630)=0,"담당자 누락; ","")&amp;IF(COUNTIF(코드설정!$G$5:$G$14,일일실시사항!$F630)=0,"업무구분 누락; ","")&amp;IF(AND(일일실시사항!$G630&lt;&gt;"",COUNTIF(사건마스터!$A$5:$A$64,일일실시사항!$G630)=0),"미등록 사건번호; ","")&amp;IF(일일실시사항!$H630="","실시 내용 없음; ","")&amp;IF(COUNTIF(코드설정!$F$5:$F$7,일일실시사항!$J630)=0,"진행상태 누락; ","")))</f>
        <v/>
      </c>
    </row>
    <row r="1663">
      <c r="A1663" s="26" t="inlineStr">
        <is>
          <t>일일실시사항</t>
        </is>
      </c>
      <c r="B1663" s="66" t="n">
        <v>631</v>
      </c>
      <c r="C1663" s="122">
        <f>IF($D1663="","",IFERROR(TEXT(일일실시사항!$B631,"yyyy-mm-dd"),"(날짜없음)")&amp;"  "&amp;일일실시사항!$D631&amp;"  "&amp;일일실시사항!$H631)</f>
        <v/>
      </c>
      <c r="D1663" s="122">
        <f>IF(NOT(COUNTBLANK(일일실시사항!$B631:$K631)&lt;10),"",TRIM(IF(일일실시사항!$B631="","일자 누락; ","")&amp;IF(COUNTIF(코드설정!$C$5:$C$24,일일실시사항!$D631)=0,"담당자 누락; ","")&amp;IF(COUNTIF(코드설정!$G$5:$G$14,일일실시사항!$F631)=0,"업무구분 누락; ","")&amp;IF(AND(일일실시사항!$G631&lt;&gt;"",COUNTIF(사건마스터!$A$5:$A$64,일일실시사항!$G631)=0),"미등록 사건번호; ","")&amp;IF(일일실시사항!$H631="","실시 내용 없음; ","")&amp;IF(COUNTIF(코드설정!$F$5:$F$7,일일실시사항!$J631)=0,"진행상태 누락; ","")))</f>
        <v/>
      </c>
    </row>
    <row r="1664">
      <c r="A1664" s="26" t="inlineStr">
        <is>
          <t>일일실시사항</t>
        </is>
      </c>
      <c r="B1664" s="66" t="n">
        <v>632</v>
      </c>
      <c r="C1664" s="122">
        <f>IF($D1664="","",IFERROR(TEXT(일일실시사항!$B632,"yyyy-mm-dd"),"(날짜없음)")&amp;"  "&amp;일일실시사항!$D632&amp;"  "&amp;일일실시사항!$H632)</f>
        <v/>
      </c>
      <c r="D1664" s="122">
        <f>IF(NOT(COUNTBLANK(일일실시사항!$B632:$K632)&lt;10),"",TRIM(IF(일일실시사항!$B632="","일자 누락; ","")&amp;IF(COUNTIF(코드설정!$C$5:$C$24,일일실시사항!$D632)=0,"담당자 누락; ","")&amp;IF(COUNTIF(코드설정!$G$5:$G$14,일일실시사항!$F632)=0,"업무구분 누락; ","")&amp;IF(AND(일일실시사항!$G632&lt;&gt;"",COUNTIF(사건마스터!$A$5:$A$64,일일실시사항!$G632)=0),"미등록 사건번호; ","")&amp;IF(일일실시사항!$H632="","실시 내용 없음; ","")&amp;IF(COUNTIF(코드설정!$F$5:$F$7,일일실시사항!$J632)=0,"진행상태 누락; ","")))</f>
        <v/>
      </c>
    </row>
    <row r="1665">
      <c r="A1665" s="26" t="inlineStr">
        <is>
          <t>일일실시사항</t>
        </is>
      </c>
      <c r="B1665" s="66" t="n">
        <v>633</v>
      </c>
      <c r="C1665" s="122">
        <f>IF($D1665="","",IFERROR(TEXT(일일실시사항!$B633,"yyyy-mm-dd"),"(날짜없음)")&amp;"  "&amp;일일실시사항!$D633&amp;"  "&amp;일일실시사항!$H633)</f>
        <v/>
      </c>
      <c r="D1665" s="122">
        <f>IF(NOT(COUNTBLANK(일일실시사항!$B633:$K633)&lt;10),"",TRIM(IF(일일실시사항!$B633="","일자 누락; ","")&amp;IF(COUNTIF(코드설정!$C$5:$C$24,일일실시사항!$D633)=0,"담당자 누락; ","")&amp;IF(COUNTIF(코드설정!$G$5:$G$14,일일실시사항!$F633)=0,"업무구분 누락; ","")&amp;IF(AND(일일실시사항!$G633&lt;&gt;"",COUNTIF(사건마스터!$A$5:$A$64,일일실시사항!$G633)=0),"미등록 사건번호; ","")&amp;IF(일일실시사항!$H633="","실시 내용 없음; ","")&amp;IF(COUNTIF(코드설정!$F$5:$F$7,일일실시사항!$J633)=0,"진행상태 누락; ","")))</f>
        <v/>
      </c>
    </row>
    <row r="1666">
      <c r="A1666" s="26" t="inlineStr">
        <is>
          <t>일일실시사항</t>
        </is>
      </c>
      <c r="B1666" s="66" t="n">
        <v>634</v>
      </c>
      <c r="C1666" s="122">
        <f>IF($D1666="","",IFERROR(TEXT(일일실시사항!$B634,"yyyy-mm-dd"),"(날짜없음)")&amp;"  "&amp;일일실시사항!$D634&amp;"  "&amp;일일실시사항!$H634)</f>
        <v/>
      </c>
      <c r="D1666" s="122">
        <f>IF(NOT(COUNTBLANK(일일실시사항!$B634:$K634)&lt;10),"",TRIM(IF(일일실시사항!$B634="","일자 누락; ","")&amp;IF(COUNTIF(코드설정!$C$5:$C$24,일일실시사항!$D634)=0,"담당자 누락; ","")&amp;IF(COUNTIF(코드설정!$G$5:$G$14,일일실시사항!$F634)=0,"업무구분 누락; ","")&amp;IF(AND(일일실시사항!$G634&lt;&gt;"",COUNTIF(사건마스터!$A$5:$A$64,일일실시사항!$G634)=0),"미등록 사건번호; ","")&amp;IF(일일실시사항!$H634="","실시 내용 없음; ","")&amp;IF(COUNTIF(코드설정!$F$5:$F$7,일일실시사항!$J634)=0,"진행상태 누락; ","")))</f>
        <v/>
      </c>
    </row>
    <row r="1667">
      <c r="A1667" s="26" t="inlineStr">
        <is>
          <t>일일실시사항</t>
        </is>
      </c>
      <c r="B1667" s="66" t="n">
        <v>635</v>
      </c>
      <c r="C1667" s="122">
        <f>IF($D1667="","",IFERROR(TEXT(일일실시사항!$B635,"yyyy-mm-dd"),"(날짜없음)")&amp;"  "&amp;일일실시사항!$D635&amp;"  "&amp;일일실시사항!$H635)</f>
        <v/>
      </c>
      <c r="D1667" s="122">
        <f>IF(NOT(COUNTBLANK(일일실시사항!$B635:$K635)&lt;10),"",TRIM(IF(일일실시사항!$B635="","일자 누락; ","")&amp;IF(COUNTIF(코드설정!$C$5:$C$24,일일실시사항!$D635)=0,"담당자 누락; ","")&amp;IF(COUNTIF(코드설정!$G$5:$G$14,일일실시사항!$F635)=0,"업무구분 누락; ","")&amp;IF(AND(일일실시사항!$G635&lt;&gt;"",COUNTIF(사건마스터!$A$5:$A$64,일일실시사항!$G635)=0),"미등록 사건번호; ","")&amp;IF(일일실시사항!$H635="","실시 내용 없음; ","")&amp;IF(COUNTIF(코드설정!$F$5:$F$7,일일실시사항!$J635)=0,"진행상태 누락; ","")))</f>
        <v/>
      </c>
    </row>
    <row r="1668">
      <c r="A1668" s="26" t="inlineStr">
        <is>
          <t>일일실시사항</t>
        </is>
      </c>
      <c r="B1668" s="66" t="n">
        <v>636</v>
      </c>
      <c r="C1668" s="122">
        <f>IF($D1668="","",IFERROR(TEXT(일일실시사항!$B636,"yyyy-mm-dd"),"(날짜없음)")&amp;"  "&amp;일일실시사항!$D636&amp;"  "&amp;일일실시사항!$H636)</f>
        <v/>
      </c>
      <c r="D1668" s="122">
        <f>IF(NOT(COUNTBLANK(일일실시사항!$B636:$K636)&lt;10),"",TRIM(IF(일일실시사항!$B636="","일자 누락; ","")&amp;IF(COUNTIF(코드설정!$C$5:$C$24,일일실시사항!$D636)=0,"담당자 누락; ","")&amp;IF(COUNTIF(코드설정!$G$5:$G$14,일일실시사항!$F636)=0,"업무구분 누락; ","")&amp;IF(AND(일일실시사항!$G636&lt;&gt;"",COUNTIF(사건마스터!$A$5:$A$64,일일실시사항!$G636)=0),"미등록 사건번호; ","")&amp;IF(일일실시사항!$H636="","실시 내용 없음; ","")&amp;IF(COUNTIF(코드설정!$F$5:$F$7,일일실시사항!$J636)=0,"진행상태 누락; ","")))</f>
        <v/>
      </c>
    </row>
    <row r="1669">
      <c r="A1669" s="26" t="inlineStr">
        <is>
          <t>일일실시사항</t>
        </is>
      </c>
      <c r="B1669" s="66" t="n">
        <v>637</v>
      </c>
      <c r="C1669" s="122">
        <f>IF($D1669="","",IFERROR(TEXT(일일실시사항!$B637,"yyyy-mm-dd"),"(날짜없음)")&amp;"  "&amp;일일실시사항!$D637&amp;"  "&amp;일일실시사항!$H637)</f>
        <v/>
      </c>
      <c r="D1669" s="122">
        <f>IF(NOT(COUNTBLANK(일일실시사항!$B637:$K637)&lt;10),"",TRIM(IF(일일실시사항!$B637="","일자 누락; ","")&amp;IF(COUNTIF(코드설정!$C$5:$C$24,일일실시사항!$D637)=0,"담당자 누락; ","")&amp;IF(COUNTIF(코드설정!$G$5:$G$14,일일실시사항!$F637)=0,"업무구분 누락; ","")&amp;IF(AND(일일실시사항!$G637&lt;&gt;"",COUNTIF(사건마스터!$A$5:$A$64,일일실시사항!$G637)=0),"미등록 사건번호; ","")&amp;IF(일일실시사항!$H637="","실시 내용 없음; ","")&amp;IF(COUNTIF(코드설정!$F$5:$F$7,일일실시사항!$J637)=0,"진행상태 누락; ","")))</f>
        <v/>
      </c>
    </row>
    <row r="1670">
      <c r="A1670" s="26" t="inlineStr">
        <is>
          <t>일일실시사항</t>
        </is>
      </c>
      <c r="B1670" s="66" t="n">
        <v>638</v>
      </c>
      <c r="C1670" s="122">
        <f>IF($D1670="","",IFERROR(TEXT(일일실시사항!$B638,"yyyy-mm-dd"),"(날짜없음)")&amp;"  "&amp;일일실시사항!$D638&amp;"  "&amp;일일실시사항!$H638)</f>
        <v/>
      </c>
      <c r="D1670" s="122">
        <f>IF(NOT(COUNTBLANK(일일실시사항!$B638:$K638)&lt;10),"",TRIM(IF(일일실시사항!$B638="","일자 누락; ","")&amp;IF(COUNTIF(코드설정!$C$5:$C$24,일일실시사항!$D638)=0,"담당자 누락; ","")&amp;IF(COUNTIF(코드설정!$G$5:$G$14,일일실시사항!$F638)=0,"업무구분 누락; ","")&amp;IF(AND(일일실시사항!$G638&lt;&gt;"",COUNTIF(사건마스터!$A$5:$A$64,일일실시사항!$G638)=0),"미등록 사건번호; ","")&amp;IF(일일실시사항!$H638="","실시 내용 없음; ","")&amp;IF(COUNTIF(코드설정!$F$5:$F$7,일일실시사항!$J638)=0,"진행상태 누락; ","")))</f>
        <v/>
      </c>
    </row>
    <row r="1671">
      <c r="A1671" s="26" t="inlineStr">
        <is>
          <t>일일실시사항</t>
        </is>
      </c>
      <c r="B1671" s="66" t="n">
        <v>639</v>
      </c>
      <c r="C1671" s="122">
        <f>IF($D1671="","",IFERROR(TEXT(일일실시사항!$B639,"yyyy-mm-dd"),"(날짜없음)")&amp;"  "&amp;일일실시사항!$D639&amp;"  "&amp;일일실시사항!$H639)</f>
        <v/>
      </c>
      <c r="D1671" s="122">
        <f>IF(NOT(COUNTBLANK(일일실시사항!$B639:$K639)&lt;10),"",TRIM(IF(일일실시사항!$B639="","일자 누락; ","")&amp;IF(COUNTIF(코드설정!$C$5:$C$24,일일실시사항!$D639)=0,"담당자 누락; ","")&amp;IF(COUNTIF(코드설정!$G$5:$G$14,일일실시사항!$F639)=0,"업무구분 누락; ","")&amp;IF(AND(일일실시사항!$G639&lt;&gt;"",COUNTIF(사건마스터!$A$5:$A$64,일일실시사항!$G639)=0),"미등록 사건번호; ","")&amp;IF(일일실시사항!$H639="","실시 내용 없음; ","")&amp;IF(COUNTIF(코드설정!$F$5:$F$7,일일실시사항!$J639)=0,"진행상태 누락; ","")))</f>
        <v/>
      </c>
    </row>
    <row r="1672">
      <c r="A1672" s="26" t="inlineStr">
        <is>
          <t>일일실시사항</t>
        </is>
      </c>
      <c r="B1672" s="66" t="n">
        <v>640</v>
      </c>
      <c r="C1672" s="122">
        <f>IF($D1672="","",IFERROR(TEXT(일일실시사항!$B640,"yyyy-mm-dd"),"(날짜없음)")&amp;"  "&amp;일일실시사항!$D640&amp;"  "&amp;일일실시사항!$H640)</f>
        <v/>
      </c>
      <c r="D1672" s="122">
        <f>IF(NOT(COUNTBLANK(일일실시사항!$B640:$K640)&lt;10),"",TRIM(IF(일일실시사항!$B640="","일자 누락; ","")&amp;IF(COUNTIF(코드설정!$C$5:$C$24,일일실시사항!$D640)=0,"담당자 누락; ","")&amp;IF(COUNTIF(코드설정!$G$5:$G$14,일일실시사항!$F640)=0,"업무구분 누락; ","")&amp;IF(AND(일일실시사항!$G640&lt;&gt;"",COUNTIF(사건마스터!$A$5:$A$64,일일실시사항!$G640)=0),"미등록 사건번호; ","")&amp;IF(일일실시사항!$H640="","실시 내용 없음; ","")&amp;IF(COUNTIF(코드설정!$F$5:$F$7,일일실시사항!$J640)=0,"진행상태 누락; ","")))</f>
        <v/>
      </c>
    </row>
    <row r="1673">
      <c r="A1673" s="26" t="inlineStr">
        <is>
          <t>일일실시사항</t>
        </is>
      </c>
      <c r="B1673" s="66" t="n">
        <v>641</v>
      </c>
      <c r="C1673" s="122">
        <f>IF($D1673="","",IFERROR(TEXT(일일실시사항!$B641,"yyyy-mm-dd"),"(날짜없음)")&amp;"  "&amp;일일실시사항!$D641&amp;"  "&amp;일일실시사항!$H641)</f>
        <v/>
      </c>
      <c r="D1673" s="122">
        <f>IF(NOT(COUNTBLANK(일일실시사항!$B641:$K641)&lt;10),"",TRIM(IF(일일실시사항!$B641="","일자 누락; ","")&amp;IF(COUNTIF(코드설정!$C$5:$C$24,일일실시사항!$D641)=0,"담당자 누락; ","")&amp;IF(COUNTIF(코드설정!$G$5:$G$14,일일실시사항!$F641)=0,"업무구분 누락; ","")&amp;IF(AND(일일실시사항!$G641&lt;&gt;"",COUNTIF(사건마스터!$A$5:$A$64,일일실시사항!$G641)=0),"미등록 사건번호; ","")&amp;IF(일일실시사항!$H641="","실시 내용 없음; ","")&amp;IF(COUNTIF(코드설정!$F$5:$F$7,일일실시사항!$J641)=0,"진행상태 누락; ","")))</f>
        <v/>
      </c>
    </row>
    <row r="1674">
      <c r="A1674" s="26" t="inlineStr">
        <is>
          <t>일일실시사항</t>
        </is>
      </c>
      <c r="B1674" s="66" t="n">
        <v>642</v>
      </c>
      <c r="C1674" s="122">
        <f>IF($D1674="","",IFERROR(TEXT(일일실시사항!$B642,"yyyy-mm-dd"),"(날짜없음)")&amp;"  "&amp;일일실시사항!$D642&amp;"  "&amp;일일실시사항!$H642)</f>
        <v/>
      </c>
      <c r="D1674" s="122">
        <f>IF(NOT(COUNTBLANK(일일실시사항!$B642:$K642)&lt;10),"",TRIM(IF(일일실시사항!$B642="","일자 누락; ","")&amp;IF(COUNTIF(코드설정!$C$5:$C$24,일일실시사항!$D642)=0,"담당자 누락; ","")&amp;IF(COUNTIF(코드설정!$G$5:$G$14,일일실시사항!$F642)=0,"업무구분 누락; ","")&amp;IF(AND(일일실시사항!$G642&lt;&gt;"",COUNTIF(사건마스터!$A$5:$A$64,일일실시사항!$G642)=0),"미등록 사건번호; ","")&amp;IF(일일실시사항!$H642="","실시 내용 없음; ","")&amp;IF(COUNTIF(코드설정!$F$5:$F$7,일일실시사항!$J642)=0,"진행상태 누락; ","")))</f>
        <v/>
      </c>
    </row>
    <row r="1675">
      <c r="A1675" s="26" t="inlineStr">
        <is>
          <t>일일실시사항</t>
        </is>
      </c>
      <c r="B1675" s="66" t="n">
        <v>643</v>
      </c>
      <c r="C1675" s="122">
        <f>IF($D1675="","",IFERROR(TEXT(일일실시사항!$B643,"yyyy-mm-dd"),"(날짜없음)")&amp;"  "&amp;일일실시사항!$D643&amp;"  "&amp;일일실시사항!$H643)</f>
        <v/>
      </c>
      <c r="D1675" s="122">
        <f>IF(NOT(COUNTBLANK(일일실시사항!$B643:$K643)&lt;10),"",TRIM(IF(일일실시사항!$B643="","일자 누락; ","")&amp;IF(COUNTIF(코드설정!$C$5:$C$24,일일실시사항!$D643)=0,"담당자 누락; ","")&amp;IF(COUNTIF(코드설정!$G$5:$G$14,일일실시사항!$F643)=0,"업무구분 누락; ","")&amp;IF(AND(일일실시사항!$G643&lt;&gt;"",COUNTIF(사건마스터!$A$5:$A$64,일일실시사항!$G643)=0),"미등록 사건번호; ","")&amp;IF(일일실시사항!$H643="","실시 내용 없음; ","")&amp;IF(COUNTIF(코드설정!$F$5:$F$7,일일실시사항!$J643)=0,"진행상태 누락; ","")))</f>
        <v/>
      </c>
    </row>
    <row r="1676">
      <c r="A1676" s="26" t="inlineStr">
        <is>
          <t>일일실시사항</t>
        </is>
      </c>
      <c r="B1676" s="66" t="n">
        <v>644</v>
      </c>
      <c r="C1676" s="122">
        <f>IF($D1676="","",IFERROR(TEXT(일일실시사항!$B644,"yyyy-mm-dd"),"(날짜없음)")&amp;"  "&amp;일일실시사항!$D644&amp;"  "&amp;일일실시사항!$H644)</f>
        <v/>
      </c>
      <c r="D1676" s="122">
        <f>IF(NOT(COUNTBLANK(일일실시사항!$B644:$K644)&lt;10),"",TRIM(IF(일일실시사항!$B644="","일자 누락; ","")&amp;IF(COUNTIF(코드설정!$C$5:$C$24,일일실시사항!$D644)=0,"담당자 누락; ","")&amp;IF(COUNTIF(코드설정!$G$5:$G$14,일일실시사항!$F644)=0,"업무구분 누락; ","")&amp;IF(AND(일일실시사항!$G644&lt;&gt;"",COUNTIF(사건마스터!$A$5:$A$64,일일실시사항!$G644)=0),"미등록 사건번호; ","")&amp;IF(일일실시사항!$H644="","실시 내용 없음; ","")&amp;IF(COUNTIF(코드설정!$F$5:$F$7,일일실시사항!$J644)=0,"진행상태 누락; ","")))</f>
        <v/>
      </c>
    </row>
    <row r="1677">
      <c r="A1677" s="26" t="inlineStr">
        <is>
          <t>일일실시사항</t>
        </is>
      </c>
      <c r="B1677" s="66" t="n">
        <v>645</v>
      </c>
      <c r="C1677" s="122">
        <f>IF($D1677="","",IFERROR(TEXT(일일실시사항!$B645,"yyyy-mm-dd"),"(날짜없음)")&amp;"  "&amp;일일실시사항!$D645&amp;"  "&amp;일일실시사항!$H645)</f>
        <v/>
      </c>
      <c r="D1677" s="122">
        <f>IF(NOT(COUNTBLANK(일일실시사항!$B645:$K645)&lt;10),"",TRIM(IF(일일실시사항!$B645="","일자 누락; ","")&amp;IF(COUNTIF(코드설정!$C$5:$C$24,일일실시사항!$D645)=0,"담당자 누락; ","")&amp;IF(COUNTIF(코드설정!$G$5:$G$14,일일실시사항!$F645)=0,"업무구분 누락; ","")&amp;IF(AND(일일실시사항!$G645&lt;&gt;"",COUNTIF(사건마스터!$A$5:$A$64,일일실시사항!$G645)=0),"미등록 사건번호; ","")&amp;IF(일일실시사항!$H645="","실시 내용 없음; ","")&amp;IF(COUNTIF(코드설정!$F$5:$F$7,일일실시사항!$J645)=0,"진행상태 누락; ","")))</f>
        <v/>
      </c>
    </row>
    <row r="1678">
      <c r="A1678" s="26" t="inlineStr">
        <is>
          <t>일일실시사항</t>
        </is>
      </c>
      <c r="B1678" s="66" t="n">
        <v>646</v>
      </c>
      <c r="C1678" s="122">
        <f>IF($D1678="","",IFERROR(TEXT(일일실시사항!$B646,"yyyy-mm-dd"),"(날짜없음)")&amp;"  "&amp;일일실시사항!$D646&amp;"  "&amp;일일실시사항!$H646)</f>
        <v/>
      </c>
      <c r="D1678" s="122">
        <f>IF(NOT(COUNTBLANK(일일실시사항!$B646:$K646)&lt;10),"",TRIM(IF(일일실시사항!$B646="","일자 누락; ","")&amp;IF(COUNTIF(코드설정!$C$5:$C$24,일일실시사항!$D646)=0,"담당자 누락; ","")&amp;IF(COUNTIF(코드설정!$G$5:$G$14,일일실시사항!$F646)=0,"업무구분 누락; ","")&amp;IF(AND(일일실시사항!$G646&lt;&gt;"",COUNTIF(사건마스터!$A$5:$A$64,일일실시사항!$G646)=0),"미등록 사건번호; ","")&amp;IF(일일실시사항!$H646="","실시 내용 없음; ","")&amp;IF(COUNTIF(코드설정!$F$5:$F$7,일일실시사항!$J646)=0,"진행상태 누락; ","")))</f>
        <v/>
      </c>
    </row>
    <row r="1679">
      <c r="A1679" s="26" t="inlineStr">
        <is>
          <t>일일실시사항</t>
        </is>
      </c>
      <c r="B1679" s="66" t="n">
        <v>647</v>
      </c>
      <c r="C1679" s="122">
        <f>IF($D1679="","",IFERROR(TEXT(일일실시사항!$B647,"yyyy-mm-dd"),"(날짜없음)")&amp;"  "&amp;일일실시사항!$D647&amp;"  "&amp;일일실시사항!$H647)</f>
        <v/>
      </c>
      <c r="D1679" s="122">
        <f>IF(NOT(COUNTBLANK(일일실시사항!$B647:$K647)&lt;10),"",TRIM(IF(일일실시사항!$B647="","일자 누락; ","")&amp;IF(COUNTIF(코드설정!$C$5:$C$24,일일실시사항!$D647)=0,"담당자 누락; ","")&amp;IF(COUNTIF(코드설정!$G$5:$G$14,일일실시사항!$F647)=0,"업무구분 누락; ","")&amp;IF(AND(일일실시사항!$G647&lt;&gt;"",COUNTIF(사건마스터!$A$5:$A$64,일일실시사항!$G647)=0),"미등록 사건번호; ","")&amp;IF(일일실시사항!$H647="","실시 내용 없음; ","")&amp;IF(COUNTIF(코드설정!$F$5:$F$7,일일실시사항!$J647)=0,"진행상태 누락; ","")))</f>
        <v/>
      </c>
    </row>
    <row r="1680">
      <c r="A1680" s="26" t="inlineStr">
        <is>
          <t>일일실시사항</t>
        </is>
      </c>
      <c r="B1680" s="66" t="n">
        <v>648</v>
      </c>
      <c r="C1680" s="122">
        <f>IF($D1680="","",IFERROR(TEXT(일일실시사항!$B648,"yyyy-mm-dd"),"(날짜없음)")&amp;"  "&amp;일일실시사항!$D648&amp;"  "&amp;일일실시사항!$H648)</f>
        <v/>
      </c>
      <c r="D1680" s="122">
        <f>IF(NOT(COUNTBLANK(일일실시사항!$B648:$K648)&lt;10),"",TRIM(IF(일일실시사항!$B648="","일자 누락; ","")&amp;IF(COUNTIF(코드설정!$C$5:$C$24,일일실시사항!$D648)=0,"담당자 누락; ","")&amp;IF(COUNTIF(코드설정!$G$5:$G$14,일일실시사항!$F648)=0,"업무구분 누락; ","")&amp;IF(AND(일일실시사항!$G648&lt;&gt;"",COUNTIF(사건마스터!$A$5:$A$64,일일실시사항!$G648)=0),"미등록 사건번호; ","")&amp;IF(일일실시사항!$H648="","실시 내용 없음; ","")&amp;IF(COUNTIF(코드설정!$F$5:$F$7,일일실시사항!$J648)=0,"진행상태 누락; ","")))</f>
        <v/>
      </c>
    </row>
    <row r="1681">
      <c r="A1681" s="26" t="inlineStr">
        <is>
          <t>일일실시사항</t>
        </is>
      </c>
      <c r="B1681" s="66" t="n">
        <v>649</v>
      </c>
      <c r="C1681" s="122">
        <f>IF($D1681="","",IFERROR(TEXT(일일실시사항!$B649,"yyyy-mm-dd"),"(날짜없음)")&amp;"  "&amp;일일실시사항!$D649&amp;"  "&amp;일일실시사항!$H649)</f>
        <v/>
      </c>
      <c r="D1681" s="122">
        <f>IF(NOT(COUNTBLANK(일일실시사항!$B649:$K649)&lt;10),"",TRIM(IF(일일실시사항!$B649="","일자 누락; ","")&amp;IF(COUNTIF(코드설정!$C$5:$C$24,일일실시사항!$D649)=0,"담당자 누락; ","")&amp;IF(COUNTIF(코드설정!$G$5:$G$14,일일실시사항!$F649)=0,"업무구분 누락; ","")&amp;IF(AND(일일실시사항!$G649&lt;&gt;"",COUNTIF(사건마스터!$A$5:$A$64,일일실시사항!$G649)=0),"미등록 사건번호; ","")&amp;IF(일일실시사항!$H649="","실시 내용 없음; ","")&amp;IF(COUNTIF(코드설정!$F$5:$F$7,일일실시사항!$J649)=0,"진행상태 누락; ","")))</f>
        <v/>
      </c>
    </row>
    <row r="1682">
      <c r="A1682" s="26" t="inlineStr">
        <is>
          <t>일일실시사항</t>
        </is>
      </c>
      <c r="B1682" s="66" t="n">
        <v>650</v>
      </c>
      <c r="C1682" s="122">
        <f>IF($D1682="","",IFERROR(TEXT(일일실시사항!$B650,"yyyy-mm-dd"),"(날짜없음)")&amp;"  "&amp;일일실시사항!$D650&amp;"  "&amp;일일실시사항!$H650)</f>
        <v/>
      </c>
      <c r="D1682" s="122">
        <f>IF(NOT(COUNTBLANK(일일실시사항!$B650:$K650)&lt;10),"",TRIM(IF(일일실시사항!$B650="","일자 누락; ","")&amp;IF(COUNTIF(코드설정!$C$5:$C$24,일일실시사항!$D650)=0,"담당자 누락; ","")&amp;IF(COUNTIF(코드설정!$G$5:$G$14,일일실시사항!$F650)=0,"업무구분 누락; ","")&amp;IF(AND(일일실시사항!$G650&lt;&gt;"",COUNTIF(사건마스터!$A$5:$A$64,일일실시사항!$G650)=0),"미등록 사건번호; ","")&amp;IF(일일실시사항!$H650="","실시 내용 없음; ","")&amp;IF(COUNTIF(코드설정!$F$5:$F$7,일일실시사항!$J650)=0,"진행상태 누락; ","")))</f>
        <v/>
      </c>
    </row>
    <row r="1683">
      <c r="A1683" s="26" t="inlineStr">
        <is>
          <t>일일실시사항</t>
        </is>
      </c>
      <c r="B1683" s="66" t="n">
        <v>651</v>
      </c>
      <c r="C1683" s="122">
        <f>IF($D1683="","",IFERROR(TEXT(일일실시사항!$B651,"yyyy-mm-dd"),"(날짜없음)")&amp;"  "&amp;일일실시사항!$D651&amp;"  "&amp;일일실시사항!$H651)</f>
        <v/>
      </c>
      <c r="D1683" s="122">
        <f>IF(NOT(COUNTBLANK(일일실시사항!$B651:$K651)&lt;10),"",TRIM(IF(일일실시사항!$B651="","일자 누락; ","")&amp;IF(COUNTIF(코드설정!$C$5:$C$24,일일실시사항!$D651)=0,"담당자 누락; ","")&amp;IF(COUNTIF(코드설정!$G$5:$G$14,일일실시사항!$F651)=0,"업무구분 누락; ","")&amp;IF(AND(일일실시사항!$G651&lt;&gt;"",COUNTIF(사건마스터!$A$5:$A$64,일일실시사항!$G651)=0),"미등록 사건번호; ","")&amp;IF(일일실시사항!$H651="","실시 내용 없음; ","")&amp;IF(COUNTIF(코드설정!$F$5:$F$7,일일실시사항!$J651)=0,"진행상태 누락; ","")))</f>
        <v/>
      </c>
    </row>
    <row r="1684">
      <c r="A1684" s="26" t="inlineStr">
        <is>
          <t>일일실시사항</t>
        </is>
      </c>
      <c r="B1684" s="66" t="n">
        <v>652</v>
      </c>
      <c r="C1684" s="122">
        <f>IF($D1684="","",IFERROR(TEXT(일일실시사항!$B652,"yyyy-mm-dd"),"(날짜없음)")&amp;"  "&amp;일일실시사항!$D652&amp;"  "&amp;일일실시사항!$H652)</f>
        <v/>
      </c>
      <c r="D1684" s="122">
        <f>IF(NOT(COUNTBLANK(일일실시사항!$B652:$K652)&lt;10),"",TRIM(IF(일일실시사항!$B652="","일자 누락; ","")&amp;IF(COUNTIF(코드설정!$C$5:$C$24,일일실시사항!$D652)=0,"담당자 누락; ","")&amp;IF(COUNTIF(코드설정!$G$5:$G$14,일일실시사항!$F652)=0,"업무구분 누락; ","")&amp;IF(AND(일일실시사항!$G652&lt;&gt;"",COUNTIF(사건마스터!$A$5:$A$64,일일실시사항!$G652)=0),"미등록 사건번호; ","")&amp;IF(일일실시사항!$H652="","실시 내용 없음; ","")&amp;IF(COUNTIF(코드설정!$F$5:$F$7,일일실시사항!$J652)=0,"진행상태 누락; ","")))</f>
        <v/>
      </c>
    </row>
    <row r="1685">
      <c r="A1685" s="26" t="inlineStr">
        <is>
          <t>일일실시사항</t>
        </is>
      </c>
      <c r="B1685" s="66" t="n">
        <v>653</v>
      </c>
      <c r="C1685" s="122">
        <f>IF($D1685="","",IFERROR(TEXT(일일실시사항!$B653,"yyyy-mm-dd"),"(날짜없음)")&amp;"  "&amp;일일실시사항!$D653&amp;"  "&amp;일일실시사항!$H653)</f>
        <v/>
      </c>
      <c r="D1685" s="122">
        <f>IF(NOT(COUNTBLANK(일일실시사항!$B653:$K653)&lt;10),"",TRIM(IF(일일실시사항!$B653="","일자 누락; ","")&amp;IF(COUNTIF(코드설정!$C$5:$C$24,일일실시사항!$D653)=0,"담당자 누락; ","")&amp;IF(COUNTIF(코드설정!$G$5:$G$14,일일실시사항!$F653)=0,"업무구분 누락; ","")&amp;IF(AND(일일실시사항!$G653&lt;&gt;"",COUNTIF(사건마스터!$A$5:$A$64,일일실시사항!$G653)=0),"미등록 사건번호; ","")&amp;IF(일일실시사항!$H653="","실시 내용 없음; ","")&amp;IF(COUNTIF(코드설정!$F$5:$F$7,일일실시사항!$J653)=0,"진행상태 누락; ","")))</f>
        <v/>
      </c>
    </row>
    <row r="1686">
      <c r="A1686" s="26" t="inlineStr">
        <is>
          <t>일일실시사항</t>
        </is>
      </c>
      <c r="B1686" s="66" t="n">
        <v>654</v>
      </c>
      <c r="C1686" s="122">
        <f>IF($D1686="","",IFERROR(TEXT(일일실시사항!$B654,"yyyy-mm-dd"),"(날짜없음)")&amp;"  "&amp;일일실시사항!$D654&amp;"  "&amp;일일실시사항!$H654)</f>
        <v/>
      </c>
      <c r="D1686" s="122">
        <f>IF(NOT(COUNTBLANK(일일실시사항!$B654:$K654)&lt;10),"",TRIM(IF(일일실시사항!$B654="","일자 누락; ","")&amp;IF(COUNTIF(코드설정!$C$5:$C$24,일일실시사항!$D654)=0,"담당자 누락; ","")&amp;IF(COUNTIF(코드설정!$G$5:$G$14,일일실시사항!$F654)=0,"업무구분 누락; ","")&amp;IF(AND(일일실시사항!$G654&lt;&gt;"",COUNTIF(사건마스터!$A$5:$A$64,일일실시사항!$G654)=0),"미등록 사건번호; ","")&amp;IF(일일실시사항!$H654="","실시 내용 없음; ","")&amp;IF(COUNTIF(코드설정!$F$5:$F$7,일일실시사항!$J654)=0,"진행상태 누락; ","")))</f>
        <v/>
      </c>
    </row>
    <row r="1687">
      <c r="A1687" s="26" t="inlineStr">
        <is>
          <t>일일실시사항</t>
        </is>
      </c>
      <c r="B1687" s="66" t="n">
        <v>655</v>
      </c>
      <c r="C1687" s="122">
        <f>IF($D1687="","",IFERROR(TEXT(일일실시사항!$B655,"yyyy-mm-dd"),"(날짜없음)")&amp;"  "&amp;일일실시사항!$D655&amp;"  "&amp;일일실시사항!$H655)</f>
        <v/>
      </c>
      <c r="D1687" s="122">
        <f>IF(NOT(COUNTBLANK(일일실시사항!$B655:$K655)&lt;10),"",TRIM(IF(일일실시사항!$B655="","일자 누락; ","")&amp;IF(COUNTIF(코드설정!$C$5:$C$24,일일실시사항!$D655)=0,"담당자 누락; ","")&amp;IF(COUNTIF(코드설정!$G$5:$G$14,일일실시사항!$F655)=0,"업무구분 누락; ","")&amp;IF(AND(일일실시사항!$G655&lt;&gt;"",COUNTIF(사건마스터!$A$5:$A$64,일일실시사항!$G655)=0),"미등록 사건번호; ","")&amp;IF(일일실시사항!$H655="","실시 내용 없음; ","")&amp;IF(COUNTIF(코드설정!$F$5:$F$7,일일실시사항!$J655)=0,"진행상태 누락; ","")))</f>
        <v/>
      </c>
    </row>
    <row r="1688">
      <c r="A1688" s="26" t="inlineStr">
        <is>
          <t>일일실시사항</t>
        </is>
      </c>
      <c r="B1688" s="66" t="n">
        <v>656</v>
      </c>
      <c r="C1688" s="122">
        <f>IF($D1688="","",IFERROR(TEXT(일일실시사항!$B656,"yyyy-mm-dd"),"(날짜없음)")&amp;"  "&amp;일일실시사항!$D656&amp;"  "&amp;일일실시사항!$H656)</f>
        <v/>
      </c>
      <c r="D1688" s="122">
        <f>IF(NOT(COUNTBLANK(일일실시사항!$B656:$K656)&lt;10),"",TRIM(IF(일일실시사항!$B656="","일자 누락; ","")&amp;IF(COUNTIF(코드설정!$C$5:$C$24,일일실시사항!$D656)=0,"담당자 누락; ","")&amp;IF(COUNTIF(코드설정!$G$5:$G$14,일일실시사항!$F656)=0,"업무구분 누락; ","")&amp;IF(AND(일일실시사항!$G656&lt;&gt;"",COUNTIF(사건마스터!$A$5:$A$64,일일실시사항!$G656)=0),"미등록 사건번호; ","")&amp;IF(일일실시사항!$H656="","실시 내용 없음; ","")&amp;IF(COUNTIF(코드설정!$F$5:$F$7,일일실시사항!$J656)=0,"진행상태 누락; ","")))</f>
        <v/>
      </c>
    </row>
    <row r="1689">
      <c r="A1689" s="26" t="inlineStr">
        <is>
          <t>일일실시사항</t>
        </is>
      </c>
      <c r="B1689" s="66" t="n">
        <v>657</v>
      </c>
      <c r="C1689" s="122">
        <f>IF($D1689="","",IFERROR(TEXT(일일실시사항!$B657,"yyyy-mm-dd"),"(날짜없음)")&amp;"  "&amp;일일실시사항!$D657&amp;"  "&amp;일일실시사항!$H657)</f>
        <v/>
      </c>
      <c r="D1689" s="122">
        <f>IF(NOT(COUNTBLANK(일일실시사항!$B657:$K657)&lt;10),"",TRIM(IF(일일실시사항!$B657="","일자 누락; ","")&amp;IF(COUNTIF(코드설정!$C$5:$C$24,일일실시사항!$D657)=0,"담당자 누락; ","")&amp;IF(COUNTIF(코드설정!$G$5:$G$14,일일실시사항!$F657)=0,"업무구분 누락; ","")&amp;IF(AND(일일실시사항!$G657&lt;&gt;"",COUNTIF(사건마스터!$A$5:$A$64,일일실시사항!$G657)=0),"미등록 사건번호; ","")&amp;IF(일일실시사항!$H657="","실시 내용 없음; ","")&amp;IF(COUNTIF(코드설정!$F$5:$F$7,일일실시사항!$J657)=0,"진행상태 누락; ","")))</f>
        <v/>
      </c>
    </row>
    <row r="1690">
      <c r="A1690" s="26" t="inlineStr">
        <is>
          <t>일일실시사항</t>
        </is>
      </c>
      <c r="B1690" s="66" t="n">
        <v>658</v>
      </c>
      <c r="C1690" s="122">
        <f>IF($D1690="","",IFERROR(TEXT(일일실시사항!$B658,"yyyy-mm-dd"),"(날짜없음)")&amp;"  "&amp;일일실시사항!$D658&amp;"  "&amp;일일실시사항!$H658)</f>
        <v/>
      </c>
      <c r="D1690" s="122">
        <f>IF(NOT(COUNTBLANK(일일실시사항!$B658:$K658)&lt;10),"",TRIM(IF(일일실시사항!$B658="","일자 누락; ","")&amp;IF(COUNTIF(코드설정!$C$5:$C$24,일일실시사항!$D658)=0,"담당자 누락; ","")&amp;IF(COUNTIF(코드설정!$G$5:$G$14,일일실시사항!$F658)=0,"업무구분 누락; ","")&amp;IF(AND(일일실시사항!$G658&lt;&gt;"",COUNTIF(사건마스터!$A$5:$A$64,일일실시사항!$G658)=0),"미등록 사건번호; ","")&amp;IF(일일실시사항!$H658="","실시 내용 없음; ","")&amp;IF(COUNTIF(코드설정!$F$5:$F$7,일일실시사항!$J658)=0,"진행상태 누락; ","")))</f>
        <v/>
      </c>
    </row>
    <row r="1691">
      <c r="A1691" s="26" t="inlineStr">
        <is>
          <t>일일실시사항</t>
        </is>
      </c>
      <c r="B1691" s="66" t="n">
        <v>659</v>
      </c>
      <c r="C1691" s="122">
        <f>IF($D1691="","",IFERROR(TEXT(일일실시사항!$B659,"yyyy-mm-dd"),"(날짜없음)")&amp;"  "&amp;일일실시사항!$D659&amp;"  "&amp;일일실시사항!$H659)</f>
        <v/>
      </c>
      <c r="D1691" s="122">
        <f>IF(NOT(COUNTBLANK(일일실시사항!$B659:$K659)&lt;10),"",TRIM(IF(일일실시사항!$B659="","일자 누락; ","")&amp;IF(COUNTIF(코드설정!$C$5:$C$24,일일실시사항!$D659)=0,"담당자 누락; ","")&amp;IF(COUNTIF(코드설정!$G$5:$G$14,일일실시사항!$F659)=0,"업무구분 누락; ","")&amp;IF(AND(일일실시사항!$G659&lt;&gt;"",COUNTIF(사건마스터!$A$5:$A$64,일일실시사항!$G659)=0),"미등록 사건번호; ","")&amp;IF(일일실시사항!$H659="","실시 내용 없음; ","")&amp;IF(COUNTIF(코드설정!$F$5:$F$7,일일실시사항!$J659)=0,"진행상태 누락; ","")))</f>
        <v/>
      </c>
    </row>
    <row r="1692">
      <c r="A1692" s="26" t="inlineStr">
        <is>
          <t>일일실시사항</t>
        </is>
      </c>
      <c r="B1692" s="66" t="n">
        <v>660</v>
      </c>
      <c r="C1692" s="122">
        <f>IF($D1692="","",IFERROR(TEXT(일일실시사항!$B660,"yyyy-mm-dd"),"(날짜없음)")&amp;"  "&amp;일일실시사항!$D660&amp;"  "&amp;일일실시사항!$H660)</f>
        <v/>
      </c>
      <c r="D1692" s="122">
        <f>IF(NOT(COUNTBLANK(일일실시사항!$B660:$K660)&lt;10),"",TRIM(IF(일일실시사항!$B660="","일자 누락; ","")&amp;IF(COUNTIF(코드설정!$C$5:$C$24,일일실시사항!$D660)=0,"담당자 누락; ","")&amp;IF(COUNTIF(코드설정!$G$5:$G$14,일일실시사항!$F660)=0,"업무구분 누락; ","")&amp;IF(AND(일일실시사항!$G660&lt;&gt;"",COUNTIF(사건마스터!$A$5:$A$64,일일실시사항!$G660)=0),"미등록 사건번호; ","")&amp;IF(일일실시사항!$H660="","실시 내용 없음; ","")&amp;IF(COUNTIF(코드설정!$F$5:$F$7,일일실시사항!$J660)=0,"진행상태 누락; ","")))</f>
        <v/>
      </c>
    </row>
    <row r="1693">
      <c r="A1693" s="26" t="inlineStr">
        <is>
          <t>일일실시사항</t>
        </is>
      </c>
      <c r="B1693" s="66" t="n">
        <v>661</v>
      </c>
      <c r="C1693" s="122">
        <f>IF($D1693="","",IFERROR(TEXT(일일실시사항!$B661,"yyyy-mm-dd"),"(날짜없음)")&amp;"  "&amp;일일실시사항!$D661&amp;"  "&amp;일일실시사항!$H661)</f>
        <v/>
      </c>
      <c r="D1693" s="122">
        <f>IF(NOT(COUNTBLANK(일일실시사항!$B661:$K661)&lt;10),"",TRIM(IF(일일실시사항!$B661="","일자 누락; ","")&amp;IF(COUNTIF(코드설정!$C$5:$C$24,일일실시사항!$D661)=0,"담당자 누락; ","")&amp;IF(COUNTIF(코드설정!$G$5:$G$14,일일실시사항!$F661)=0,"업무구분 누락; ","")&amp;IF(AND(일일실시사항!$G661&lt;&gt;"",COUNTIF(사건마스터!$A$5:$A$64,일일실시사항!$G661)=0),"미등록 사건번호; ","")&amp;IF(일일실시사항!$H661="","실시 내용 없음; ","")&amp;IF(COUNTIF(코드설정!$F$5:$F$7,일일실시사항!$J661)=0,"진행상태 누락; ","")))</f>
        <v/>
      </c>
    </row>
    <row r="1694">
      <c r="A1694" s="26" t="inlineStr">
        <is>
          <t>일일실시사항</t>
        </is>
      </c>
      <c r="B1694" s="66" t="n">
        <v>662</v>
      </c>
      <c r="C1694" s="122">
        <f>IF($D1694="","",IFERROR(TEXT(일일실시사항!$B662,"yyyy-mm-dd"),"(날짜없음)")&amp;"  "&amp;일일실시사항!$D662&amp;"  "&amp;일일실시사항!$H662)</f>
        <v/>
      </c>
      <c r="D1694" s="122">
        <f>IF(NOT(COUNTBLANK(일일실시사항!$B662:$K662)&lt;10),"",TRIM(IF(일일실시사항!$B662="","일자 누락; ","")&amp;IF(COUNTIF(코드설정!$C$5:$C$24,일일실시사항!$D662)=0,"담당자 누락; ","")&amp;IF(COUNTIF(코드설정!$G$5:$G$14,일일실시사항!$F662)=0,"업무구분 누락; ","")&amp;IF(AND(일일실시사항!$G662&lt;&gt;"",COUNTIF(사건마스터!$A$5:$A$64,일일실시사항!$G662)=0),"미등록 사건번호; ","")&amp;IF(일일실시사항!$H662="","실시 내용 없음; ","")&amp;IF(COUNTIF(코드설정!$F$5:$F$7,일일실시사항!$J662)=0,"진행상태 누락; ","")))</f>
        <v/>
      </c>
    </row>
    <row r="1695">
      <c r="A1695" s="26" t="inlineStr">
        <is>
          <t>일일실시사항</t>
        </is>
      </c>
      <c r="B1695" s="66" t="n">
        <v>663</v>
      </c>
      <c r="C1695" s="122">
        <f>IF($D1695="","",IFERROR(TEXT(일일실시사항!$B663,"yyyy-mm-dd"),"(날짜없음)")&amp;"  "&amp;일일실시사항!$D663&amp;"  "&amp;일일실시사항!$H663)</f>
        <v/>
      </c>
      <c r="D1695" s="122">
        <f>IF(NOT(COUNTBLANK(일일실시사항!$B663:$K663)&lt;10),"",TRIM(IF(일일실시사항!$B663="","일자 누락; ","")&amp;IF(COUNTIF(코드설정!$C$5:$C$24,일일실시사항!$D663)=0,"담당자 누락; ","")&amp;IF(COUNTIF(코드설정!$G$5:$G$14,일일실시사항!$F663)=0,"업무구분 누락; ","")&amp;IF(AND(일일실시사항!$G663&lt;&gt;"",COUNTIF(사건마스터!$A$5:$A$64,일일실시사항!$G663)=0),"미등록 사건번호; ","")&amp;IF(일일실시사항!$H663="","실시 내용 없음; ","")&amp;IF(COUNTIF(코드설정!$F$5:$F$7,일일실시사항!$J663)=0,"진행상태 누락; ","")))</f>
        <v/>
      </c>
    </row>
    <row r="1696">
      <c r="A1696" s="26" t="inlineStr">
        <is>
          <t>일일실시사항</t>
        </is>
      </c>
      <c r="B1696" s="66" t="n">
        <v>664</v>
      </c>
      <c r="C1696" s="122">
        <f>IF($D1696="","",IFERROR(TEXT(일일실시사항!$B664,"yyyy-mm-dd"),"(날짜없음)")&amp;"  "&amp;일일실시사항!$D664&amp;"  "&amp;일일실시사항!$H664)</f>
        <v/>
      </c>
      <c r="D1696" s="122">
        <f>IF(NOT(COUNTBLANK(일일실시사항!$B664:$K664)&lt;10),"",TRIM(IF(일일실시사항!$B664="","일자 누락; ","")&amp;IF(COUNTIF(코드설정!$C$5:$C$24,일일실시사항!$D664)=0,"담당자 누락; ","")&amp;IF(COUNTIF(코드설정!$G$5:$G$14,일일실시사항!$F664)=0,"업무구분 누락; ","")&amp;IF(AND(일일실시사항!$G664&lt;&gt;"",COUNTIF(사건마스터!$A$5:$A$64,일일실시사항!$G664)=0),"미등록 사건번호; ","")&amp;IF(일일실시사항!$H664="","실시 내용 없음; ","")&amp;IF(COUNTIF(코드설정!$F$5:$F$7,일일실시사항!$J664)=0,"진행상태 누락; ","")))</f>
        <v/>
      </c>
    </row>
    <row r="1697">
      <c r="A1697" s="26" t="inlineStr">
        <is>
          <t>일일실시사항</t>
        </is>
      </c>
      <c r="B1697" s="66" t="n">
        <v>665</v>
      </c>
      <c r="C1697" s="122">
        <f>IF($D1697="","",IFERROR(TEXT(일일실시사항!$B665,"yyyy-mm-dd"),"(날짜없음)")&amp;"  "&amp;일일실시사항!$D665&amp;"  "&amp;일일실시사항!$H665)</f>
        <v/>
      </c>
      <c r="D1697" s="122">
        <f>IF(NOT(COUNTBLANK(일일실시사항!$B665:$K665)&lt;10),"",TRIM(IF(일일실시사항!$B665="","일자 누락; ","")&amp;IF(COUNTIF(코드설정!$C$5:$C$24,일일실시사항!$D665)=0,"담당자 누락; ","")&amp;IF(COUNTIF(코드설정!$G$5:$G$14,일일실시사항!$F665)=0,"업무구분 누락; ","")&amp;IF(AND(일일실시사항!$G665&lt;&gt;"",COUNTIF(사건마스터!$A$5:$A$64,일일실시사항!$G665)=0),"미등록 사건번호; ","")&amp;IF(일일실시사항!$H665="","실시 내용 없음; ","")&amp;IF(COUNTIF(코드설정!$F$5:$F$7,일일실시사항!$J665)=0,"진행상태 누락; ","")))</f>
        <v/>
      </c>
    </row>
    <row r="1698">
      <c r="A1698" s="26" t="inlineStr">
        <is>
          <t>일일실시사항</t>
        </is>
      </c>
      <c r="B1698" s="66" t="n">
        <v>666</v>
      </c>
      <c r="C1698" s="122">
        <f>IF($D1698="","",IFERROR(TEXT(일일실시사항!$B666,"yyyy-mm-dd"),"(날짜없음)")&amp;"  "&amp;일일실시사항!$D666&amp;"  "&amp;일일실시사항!$H666)</f>
        <v/>
      </c>
      <c r="D1698" s="122">
        <f>IF(NOT(COUNTBLANK(일일실시사항!$B666:$K666)&lt;10),"",TRIM(IF(일일실시사항!$B666="","일자 누락; ","")&amp;IF(COUNTIF(코드설정!$C$5:$C$24,일일실시사항!$D666)=0,"담당자 누락; ","")&amp;IF(COUNTIF(코드설정!$G$5:$G$14,일일실시사항!$F666)=0,"업무구분 누락; ","")&amp;IF(AND(일일실시사항!$G666&lt;&gt;"",COUNTIF(사건마스터!$A$5:$A$64,일일실시사항!$G666)=0),"미등록 사건번호; ","")&amp;IF(일일실시사항!$H666="","실시 내용 없음; ","")&amp;IF(COUNTIF(코드설정!$F$5:$F$7,일일실시사항!$J666)=0,"진행상태 누락; ","")))</f>
        <v/>
      </c>
    </row>
    <row r="1699">
      <c r="A1699" s="26" t="inlineStr">
        <is>
          <t>일일실시사항</t>
        </is>
      </c>
      <c r="B1699" s="66" t="n">
        <v>667</v>
      </c>
      <c r="C1699" s="122">
        <f>IF($D1699="","",IFERROR(TEXT(일일실시사항!$B667,"yyyy-mm-dd"),"(날짜없음)")&amp;"  "&amp;일일실시사항!$D667&amp;"  "&amp;일일실시사항!$H667)</f>
        <v/>
      </c>
      <c r="D1699" s="122">
        <f>IF(NOT(COUNTBLANK(일일실시사항!$B667:$K667)&lt;10),"",TRIM(IF(일일실시사항!$B667="","일자 누락; ","")&amp;IF(COUNTIF(코드설정!$C$5:$C$24,일일실시사항!$D667)=0,"담당자 누락; ","")&amp;IF(COUNTIF(코드설정!$G$5:$G$14,일일실시사항!$F667)=0,"업무구분 누락; ","")&amp;IF(AND(일일실시사항!$G667&lt;&gt;"",COUNTIF(사건마스터!$A$5:$A$64,일일실시사항!$G667)=0),"미등록 사건번호; ","")&amp;IF(일일실시사항!$H667="","실시 내용 없음; ","")&amp;IF(COUNTIF(코드설정!$F$5:$F$7,일일실시사항!$J667)=0,"진행상태 누락; ","")))</f>
        <v/>
      </c>
    </row>
    <row r="1700">
      <c r="A1700" s="26" t="inlineStr">
        <is>
          <t>일일실시사항</t>
        </is>
      </c>
      <c r="B1700" s="66" t="n">
        <v>668</v>
      </c>
      <c r="C1700" s="122">
        <f>IF($D1700="","",IFERROR(TEXT(일일실시사항!$B668,"yyyy-mm-dd"),"(날짜없음)")&amp;"  "&amp;일일실시사항!$D668&amp;"  "&amp;일일실시사항!$H668)</f>
        <v/>
      </c>
      <c r="D1700" s="122">
        <f>IF(NOT(COUNTBLANK(일일실시사항!$B668:$K668)&lt;10),"",TRIM(IF(일일실시사항!$B668="","일자 누락; ","")&amp;IF(COUNTIF(코드설정!$C$5:$C$24,일일실시사항!$D668)=0,"담당자 누락; ","")&amp;IF(COUNTIF(코드설정!$G$5:$G$14,일일실시사항!$F668)=0,"업무구분 누락; ","")&amp;IF(AND(일일실시사항!$G668&lt;&gt;"",COUNTIF(사건마스터!$A$5:$A$64,일일실시사항!$G668)=0),"미등록 사건번호; ","")&amp;IF(일일실시사항!$H668="","실시 내용 없음; ","")&amp;IF(COUNTIF(코드설정!$F$5:$F$7,일일실시사항!$J668)=0,"진행상태 누락; ","")))</f>
        <v/>
      </c>
    </row>
    <row r="1701">
      <c r="A1701" s="26" t="inlineStr">
        <is>
          <t>일일실시사항</t>
        </is>
      </c>
      <c r="B1701" s="66" t="n">
        <v>669</v>
      </c>
      <c r="C1701" s="122">
        <f>IF($D1701="","",IFERROR(TEXT(일일실시사항!$B669,"yyyy-mm-dd"),"(날짜없음)")&amp;"  "&amp;일일실시사항!$D669&amp;"  "&amp;일일실시사항!$H669)</f>
        <v/>
      </c>
      <c r="D1701" s="122">
        <f>IF(NOT(COUNTBLANK(일일실시사항!$B669:$K669)&lt;10),"",TRIM(IF(일일실시사항!$B669="","일자 누락; ","")&amp;IF(COUNTIF(코드설정!$C$5:$C$24,일일실시사항!$D669)=0,"담당자 누락; ","")&amp;IF(COUNTIF(코드설정!$G$5:$G$14,일일실시사항!$F669)=0,"업무구분 누락; ","")&amp;IF(AND(일일실시사항!$G669&lt;&gt;"",COUNTIF(사건마스터!$A$5:$A$64,일일실시사항!$G669)=0),"미등록 사건번호; ","")&amp;IF(일일실시사항!$H669="","실시 내용 없음; ","")&amp;IF(COUNTIF(코드설정!$F$5:$F$7,일일실시사항!$J669)=0,"진행상태 누락; ","")))</f>
        <v/>
      </c>
    </row>
    <row r="1702">
      <c r="A1702" s="26" t="inlineStr">
        <is>
          <t>일일실시사항</t>
        </is>
      </c>
      <c r="B1702" s="66" t="n">
        <v>670</v>
      </c>
      <c r="C1702" s="122">
        <f>IF($D1702="","",IFERROR(TEXT(일일실시사항!$B670,"yyyy-mm-dd"),"(날짜없음)")&amp;"  "&amp;일일실시사항!$D670&amp;"  "&amp;일일실시사항!$H670)</f>
        <v/>
      </c>
      <c r="D1702" s="122">
        <f>IF(NOT(COUNTBLANK(일일실시사항!$B670:$K670)&lt;10),"",TRIM(IF(일일실시사항!$B670="","일자 누락; ","")&amp;IF(COUNTIF(코드설정!$C$5:$C$24,일일실시사항!$D670)=0,"담당자 누락; ","")&amp;IF(COUNTIF(코드설정!$G$5:$G$14,일일실시사항!$F670)=0,"업무구분 누락; ","")&amp;IF(AND(일일실시사항!$G670&lt;&gt;"",COUNTIF(사건마스터!$A$5:$A$64,일일실시사항!$G670)=0),"미등록 사건번호; ","")&amp;IF(일일실시사항!$H670="","실시 내용 없음; ","")&amp;IF(COUNTIF(코드설정!$F$5:$F$7,일일실시사항!$J670)=0,"진행상태 누락; ","")))</f>
        <v/>
      </c>
    </row>
    <row r="1703">
      <c r="A1703" s="26" t="inlineStr">
        <is>
          <t>일일실시사항</t>
        </is>
      </c>
      <c r="B1703" s="66" t="n">
        <v>671</v>
      </c>
      <c r="C1703" s="122">
        <f>IF($D1703="","",IFERROR(TEXT(일일실시사항!$B671,"yyyy-mm-dd"),"(날짜없음)")&amp;"  "&amp;일일실시사항!$D671&amp;"  "&amp;일일실시사항!$H671)</f>
        <v/>
      </c>
      <c r="D1703" s="122">
        <f>IF(NOT(COUNTBLANK(일일실시사항!$B671:$K671)&lt;10),"",TRIM(IF(일일실시사항!$B671="","일자 누락; ","")&amp;IF(COUNTIF(코드설정!$C$5:$C$24,일일실시사항!$D671)=0,"담당자 누락; ","")&amp;IF(COUNTIF(코드설정!$G$5:$G$14,일일실시사항!$F671)=0,"업무구분 누락; ","")&amp;IF(AND(일일실시사항!$G671&lt;&gt;"",COUNTIF(사건마스터!$A$5:$A$64,일일실시사항!$G671)=0),"미등록 사건번호; ","")&amp;IF(일일실시사항!$H671="","실시 내용 없음; ","")&amp;IF(COUNTIF(코드설정!$F$5:$F$7,일일실시사항!$J671)=0,"진행상태 누락; ","")))</f>
        <v/>
      </c>
    </row>
    <row r="1704">
      <c r="A1704" s="26" t="inlineStr">
        <is>
          <t>일일실시사항</t>
        </is>
      </c>
      <c r="B1704" s="66" t="n">
        <v>672</v>
      </c>
      <c r="C1704" s="122">
        <f>IF($D1704="","",IFERROR(TEXT(일일실시사항!$B672,"yyyy-mm-dd"),"(날짜없음)")&amp;"  "&amp;일일실시사항!$D672&amp;"  "&amp;일일실시사항!$H672)</f>
        <v/>
      </c>
      <c r="D1704" s="122">
        <f>IF(NOT(COUNTBLANK(일일실시사항!$B672:$K672)&lt;10),"",TRIM(IF(일일실시사항!$B672="","일자 누락; ","")&amp;IF(COUNTIF(코드설정!$C$5:$C$24,일일실시사항!$D672)=0,"담당자 누락; ","")&amp;IF(COUNTIF(코드설정!$G$5:$G$14,일일실시사항!$F672)=0,"업무구분 누락; ","")&amp;IF(AND(일일실시사항!$G672&lt;&gt;"",COUNTIF(사건마스터!$A$5:$A$64,일일실시사항!$G672)=0),"미등록 사건번호; ","")&amp;IF(일일실시사항!$H672="","실시 내용 없음; ","")&amp;IF(COUNTIF(코드설정!$F$5:$F$7,일일실시사항!$J672)=0,"진행상태 누락; ","")))</f>
        <v/>
      </c>
    </row>
    <row r="1705">
      <c r="A1705" s="26" t="inlineStr">
        <is>
          <t>일일실시사항</t>
        </is>
      </c>
      <c r="B1705" s="66" t="n">
        <v>673</v>
      </c>
      <c r="C1705" s="122">
        <f>IF($D1705="","",IFERROR(TEXT(일일실시사항!$B673,"yyyy-mm-dd"),"(날짜없음)")&amp;"  "&amp;일일실시사항!$D673&amp;"  "&amp;일일실시사항!$H673)</f>
        <v/>
      </c>
      <c r="D1705" s="122">
        <f>IF(NOT(COUNTBLANK(일일실시사항!$B673:$K673)&lt;10),"",TRIM(IF(일일실시사항!$B673="","일자 누락; ","")&amp;IF(COUNTIF(코드설정!$C$5:$C$24,일일실시사항!$D673)=0,"담당자 누락; ","")&amp;IF(COUNTIF(코드설정!$G$5:$G$14,일일실시사항!$F673)=0,"업무구분 누락; ","")&amp;IF(AND(일일실시사항!$G673&lt;&gt;"",COUNTIF(사건마스터!$A$5:$A$64,일일실시사항!$G673)=0),"미등록 사건번호; ","")&amp;IF(일일실시사항!$H673="","실시 내용 없음; ","")&amp;IF(COUNTIF(코드설정!$F$5:$F$7,일일실시사항!$J673)=0,"진행상태 누락; ","")))</f>
        <v/>
      </c>
    </row>
    <row r="1706">
      <c r="A1706" s="26" t="inlineStr">
        <is>
          <t>일일실시사항</t>
        </is>
      </c>
      <c r="B1706" s="66" t="n">
        <v>674</v>
      </c>
      <c r="C1706" s="122">
        <f>IF($D1706="","",IFERROR(TEXT(일일실시사항!$B674,"yyyy-mm-dd"),"(날짜없음)")&amp;"  "&amp;일일실시사항!$D674&amp;"  "&amp;일일실시사항!$H674)</f>
        <v/>
      </c>
      <c r="D1706" s="122">
        <f>IF(NOT(COUNTBLANK(일일실시사항!$B674:$K674)&lt;10),"",TRIM(IF(일일실시사항!$B674="","일자 누락; ","")&amp;IF(COUNTIF(코드설정!$C$5:$C$24,일일실시사항!$D674)=0,"담당자 누락; ","")&amp;IF(COUNTIF(코드설정!$G$5:$G$14,일일실시사항!$F674)=0,"업무구분 누락; ","")&amp;IF(AND(일일실시사항!$G674&lt;&gt;"",COUNTIF(사건마스터!$A$5:$A$64,일일실시사항!$G674)=0),"미등록 사건번호; ","")&amp;IF(일일실시사항!$H674="","실시 내용 없음; ","")&amp;IF(COUNTIF(코드설정!$F$5:$F$7,일일실시사항!$J674)=0,"진행상태 누락; ","")))</f>
        <v/>
      </c>
    </row>
    <row r="1707">
      <c r="A1707" s="26" t="inlineStr">
        <is>
          <t>일일실시사항</t>
        </is>
      </c>
      <c r="B1707" s="66" t="n">
        <v>675</v>
      </c>
      <c r="C1707" s="122">
        <f>IF($D1707="","",IFERROR(TEXT(일일실시사항!$B675,"yyyy-mm-dd"),"(날짜없음)")&amp;"  "&amp;일일실시사항!$D675&amp;"  "&amp;일일실시사항!$H675)</f>
        <v/>
      </c>
      <c r="D1707" s="122">
        <f>IF(NOT(COUNTBLANK(일일실시사항!$B675:$K675)&lt;10),"",TRIM(IF(일일실시사항!$B675="","일자 누락; ","")&amp;IF(COUNTIF(코드설정!$C$5:$C$24,일일실시사항!$D675)=0,"담당자 누락; ","")&amp;IF(COUNTIF(코드설정!$G$5:$G$14,일일실시사항!$F675)=0,"업무구분 누락; ","")&amp;IF(AND(일일실시사항!$G675&lt;&gt;"",COUNTIF(사건마스터!$A$5:$A$64,일일실시사항!$G675)=0),"미등록 사건번호; ","")&amp;IF(일일실시사항!$H675="","실시 내용 없음; ","")&amp;IF(COUNTIF(코드설정!$F$5:$F$7,일일실시사항!$J675)=0,"진행상태 누락; ","")))</f>
        <v/>
      </c>
    </row>
    <row r="1708">
      <c r="A1708" s="26" t="inlineStr">
        <is>
          <t>일일실시사항</t>
        </is>
      </c>
      <c r="B1708" s="66" t="n">
        <v>676</v>
      </c>
      <c r="C1708" s="122">
        <f>IF($D1708="","",IFERROR(TEXT(일일실시사항!$B676,"yyyy-mm-dd"),"(날짜없음)")&amp;"  "&amp;일일실시사항!$D676&amp;"  "&amp;일일실시사항!$H676)</f>
        <v/>
      </c>
      <c r="D1708" s="122">
        <f>IF(NOT(COUNTBLANK(일일실시사항!$B676:$K676)&lt;10),"",TRIM(IF(일일실시사항!$B676="","일자 누락; ","")&amp;IF(COUNTIF(코드설정!$C$5:$C$24,일일실시사항!$D676)=0,"담당자 누락; ","")&amp;IF(COUNTIF(코드설정!$G$5:$G$14,일일실시사항!$F676)=0,"업무구분 누락; ","")&amp;IF(AND(일일실시사항!$G676&lt;&gt;"",COUNTIF(사건마스터!$A$5:$A$64,일일실시사항!$G676)=0),"미등록 사건번호; ","")&amp;IF(일일실시사항!$H676="","실시 내용 없음; ","")&amp;IF(COUNTIF(코드설정!$F$5:$F$7,일일실시사항!$J676)=0,"진행상태 누락; ","")))</f>
        <v/>
      </c>
    </row>
    <row r="1709">
      <c r="A1709" s="26" t="inlineStr">
        <is>
          <t>일일실시사항</t>
        </is>
      </c>
      <c r="B1709" s="66" t="n">
        <v>677</v>
      </c>
      <c r="C1709" s="122">
        <f>IF($D1709="","",IFERROR(TEXT(일일실시사항!$B677,"yyyy-mm-dd"),"(날짜없음)")&amp;"  "&amp;일일실시사항!$D677&amp;"  "&amp;일일실시사항!$H677)</f>
        <v/>
      </c>
      <c r="D1709" s="122">
        <f>IF(NOT(COUNTBLANK(일일실시사항!$B677:$K677)&lt;10),"",TRIM(IF(일일실시사항!$B677="","일자 누락; ","")&amp;IF(COUNTIF(코드설정!$C$5:$C$24,일일실시사항!$D677)=0,"담당자 누락; ","")&amp;IF(COUNTIF(코드설정!$G$5:$G$14,일일실시사항!$F677)=0,"업무구분 누락; ","")&amp;IF(AND(일일실시사항!$G677&lt;&gt;"",COUNTIF(사건마스터!$A$5:$A$64,일일실시사항!$G677)=0),"미등록 사건번호; ","")&amp;IF(일일실시사항!$H677="","실시 내용 없음; ","")&amp;IF(COUNTIF(코드설정!$F$5:$F$7,일일실시사항!$J677)=0,"진행상태 누락; ","")))</f>
        <v/>
      </c>
    </row>
    <row r="1710">
      <c r="A1710" s="26" t="inlineStr">
        <is>
          <t>일일실시사항</t>
        </is>
      </c>
      <c r="B1710" s="66" t="n">
        <v>678</v>
      </c>
      <c r="C1710" s="122">
        <f>IF($D1710="","",IFERROR(TEXT(일일실시사항!$B678,"yyyy-mm-dd"),"(날짜없음)")&amp;"  "&amp;일일실시사항!$D678&amp;"  "&amp;일일실시사항!$H678)</f>
        <v/>
      </c>
      <c r="D1710" s="122">
        <f>IF(NOT(COUNTBLANK(일일실시사항!$B678:$K678)&lt;10),"",TRIM(IF(일일실시사항!$B678="","일자 누락; ","")&amp;IF(COUNTIF(코드설정!$C$5:$C$24,일일실시사항!$D678)=0,"담당자 누락; ","")&amp;IF(COUNTIF(코드설정!$G$5:$G$14,일일실시사항!$F678)=0,"업무구분 누락; ","")&amp;IF(AND(일일실시사항!$G678&lt;&gt;"",COUNTIF(사건마스터!$A$5:$A$64,일일실시사항!$G678)=0),"미등록 사건번호; ","")&amp;IF(일일실시사항!$H678="","실시 내용 없음; ","")&amp;IF(COUNTIF(코드설정!$F$5:$F$7,일일실시사항!$J678)=0,"진행상태 누락; ","")))</f>
        <v/>
      </c>
    </row>
    <row r="1711">
      <c r="A1711" s="26" t="inlineStr">
        <is>
          <t>일일실시사항</t>
        </is>
      </c>
      <c r="B1711" s="66" t="n">
        <v>679</v>
      </c>
      <c r="C1711" s="122">
        <f>IF($D1711="","",IFERROR(TEXT(일일실시사항!$B679,"yyyy-mm-dd"),"(날짜없음)")&amp;"  "&amp;일일실시사항!$D679&amp;"  "&amp;일일실시사항!$H679)</f>
        <v/>
      </c>
      <c r="D1711" s="122">
        <f>IF(NOT(COUNTBLANK(일일실시사항!$B679:$K679)&lt;10),"",TRIM(IF(일일실시사항!$B679="","일자 누락; ","")&amp;IF(COUNTIF(코드설정!$C$5:$C$24,일일실시사항!$D679)=0,"담당자 누락; ","")&amp;IF(COUNTIF(코드설정!$G$5:$G$14,일일실시사항!$F679)=0,"업무구분 누락; ","")&amp;IF(AND(일일실시사항!$G679&lt;&gt;"",COUNTIF(사건마스터!$A$5:$A$64,일일실시사항!$G679)=0),"미등록 사건번호; ","")&amp;IF(일일실시사항!$H679="","실시 내용 없음; ","")&amp;IF(COUNTIF(코드설정!$F$5:$F$7,일일실시사항!$J679)=0,"진행상태 누락; ","")))</f>
        <v/>
      </c>
    </row>
    <row r="1712">
      <c r="A1712" s="26" t="inlineStr">
        <is>
          <t>일일실시사항</t>
        </is>
      </c>
      <c r="B1712" s="66" t="n">
        <v>680</v>
      </c>
      <c r="C1712" s="122">
        <f>IF($D1712="","",IFERROR(TEXT(일일실시사항!$B680,"yyyy-mm-dd"),"(날짜없음)")&amp;"  "&amp;일일실시사항!$D680&amp;"  "&amp;일일실시사항!$H680)</f>
        <v/>
      </c>
      <c r="D1712" s="122">
        <f>IF(NOT(COUNTBLANK(일일실시사항!$B680:$K680)&lt;10),"",TRIM(IF(일일실시사항!$B680="","일자 누락; ","")&amp;IF(COUNTIF(코드설정!$C$5:$C$24,일일실시사항!$D680)=0,"담당자 누락; ","")&amp;IF(COUNTIF(코드설정!$G$5:$G$14,일일실시사항!$F680)=0,"업무구분 누락; ","")&amp;IF(AND(일일실시사항!$G680&lt;&gt;"",COUNTIF(사건마스터!$A$5:$A$64,일일실시사항!$G680)=0),"미등록 사건번호; ","")&amp;IF(일일실시사항!$H680="","실시 내용 없음; ","")&amp;IF(COUNTIF(코드설정!$F$5:$F$7,일일실시사항!$J680)=0,"진행상태 누락; ","")))</f>
        <v/>
      </c>
    </row>
    <row r="1713">
      <c r="A1713" s="26" t="inlineStr">
        <is>
          <t>일일실시사항</t>
        </is>
      </c>
      <c r="B1713" s="66" t="n">
        <v>681</v>
      </c>
      <c r="C1713" s="122">
        <f>IF($D1713="","",IFERROR(TEXT(일일실시사항!$B681,"yyyy-mm-dd"),"(날짜없음)")&amp;"  "&amp;일일실시사항!$D681&amp;"  "&amp;일일실시사항!$H681)</f>
        <v/>
      </c>
      <c r="D1713" s="122">
        <f>IF(NOT(COUNTBLANK(일일실시사항!$B681:$K681)&lt;10),"",TRIM(IF(일일실시사항!$B681="","일자 누락; ","")&amp;IF(COUNTIF(코드설정!$C$5:$C$24,일일실시사항!$D681)=0,"담당자 누락; ","")&amp;IF(COUNTIF(코드설정!$G$5:$G$14,일일실시사항!$F681)=0,"업무구분 누락; ","")&amp;IF(AND(일일실시사항!$G681&lt;&gt;"",COUNTIF(사건마스터!$A$5:$A$64,일일실시사항!$G681)=0),"미등록 사건번호; ","")&amp;IF(일일실시사항!$H681="","실시 내용 없음; ","")&amp;IF(COUNTIF(코드설정!$F$5:$F$7,일일실시사항!$J681)=0,"진행상태 누락; ","")))</f>
        <v/>
      </c>
    </row>
    <row r="1714">
      <c r="A1714" s="26" t="inlineStr">
        <is>
          <t>일일실시사항</t>
        </is>
      </c>
      <c r="B1714" s="66" t="n">
        <v>682</v>
      </c>
      <c r="C1714" s="122">
        <f>IF($D1714="","",IFERROR(TEXT(일일실시사항!$B682,"yyyy-mm-dd"),"(날짜없음)")&amp;"  "&amp;일일실시사항!$D682&amp;"  "&amp;일일실시사항!$H682)</f>
        <v/>
      </c>
      <c r="D1714" s="122">
        <f>IF(NOT(COUNTBLANK(일일실시사항!$B682:$K682)&lt;10),"",TRIM(IF(일일실시사항!$B682="","일자 누락; ","")&amp;IF(COUNTIF(코드설정!$C$5:$C$24,일일실시사항!$D682)=0,"담당자 누락; ","")&amp;IF(COUNTIF(코드설정!$G$5:$G$14,일일실시사항!$F682)=0,"업무구분 누락; ","")&amp;IF(AND(일일실시사항!$G682&lt;&gt;"",COUNTIF(사건마스터!$A$5:$A$64,일일실시사항!$G682)=0),"미등록 사건번호; ","")&amp;IF(일일실시사항!$H682="","실시 내용 없음; ","")&amp;IF(COUNTIF(코드설정!$F$5:$F$7,일일실시사항!$J682)=0,"진행상태 누락; ","")))</f>
        <v/>
      </c>
    </row>
    <row r="1715">
      <c r="A1715" s="26" t="inlineStr">
        <is>
          <t>일일실시사항</t>
        </is>
      </c>
      <c r="B1715" s="66" t="n">
        <v>683</v>
      </c>
      <c r="C1715" s="122">
        <f>IF($D1715="","",IFERROR(TEXT(일일실시사항!$B683,"yyyy-mm-dd"),"(날짜없음)")&amp;"  "&amp;일일실시사항!$D683&amp;"  "&amp;일일실시사항!$H683)</f>
        <v/>
      </c>
      <c r="D1715" s="122">
        <f>IF(NOT(COUNTBLANK(일일실시사항!$B683:$K683)&lt;10),"",TRIM(IF(일일실시사항!$B683="","일자 누락; ","")&amp;IF(COUNTIF(코드설정!$C$5:$C$24,일일실시사항!$D683)=0,"담당자 누락; ","")&amp;IF(COUNTIF(코드설정!$G$5:$G$14,일일실시사항!$F683)=0,"업무구분 누락; ","")&amp;IF(AND(일일실시사항!$G683&lt;&gt;"",COUNTIF(사건마스터!$A$5:$A$64,일일실시사항!$G683)=0),"미등록 사건번호; ","")&amp;IF(일일실시사항!$H683="","실시 내용 없음; ","")&amp;IF(COUNTIF(코드설정!$F$5:$F$7,일일실시사항!$J683)=0,"진행상태 누락; ","")))</f>
        <v/>
      </c>
    </row>
    <row r="1716">
      <c r="A1716" s="26" t="inlineStr">
        <is>
          <t>일일실시사항</t>
        </is>
      </c>
      <c r="B1716" s="66" t="n">
        <v>684</v>
      </c>
      <c r="C1716" s="122">
        <f>IF($D1716="","",IFERROR(TEXT(일일실시사항!$B684,"yyyy-mm-dd"),"(날짜없음)")&amp;"  "&amp;일일실시사항!$D684&amp;"  "&amp;일일실시사항!$H684)</f>
        <v/>
      </c>
      <c r="D1716" s="122">
        <f>IF(NOT(COUNTBLANK(일일실시사항!$B684:$K684)&lt;10),"",TRIM(IF(일일실시사항!$B684="","일자 누락; ","")&amp;IF(COUNTIF(코드설정!$C$5:$C$24,일일실시사항!$D684)=0,"담당자 누락; ","")&amp;IF(COUNTIF(코드설정!$G$5:$G$14,일일실시사항!$F684)=0,"업무구분 누락; ","")&amp;IF(AND(일일실시사항!$G684&lt;&gt;"",COUNTIF(사건마스터!$A$5:$A$64,일일실시사항!$G684)=0),"미등록 사건번호; ","")&amp;IF(일일실시사항!$H684="","실시 내용 없음; ","")&amp;IF(COUNTIF(코드설정!$F$5:$F$7,일일실시사항!$J684)=0,"진행상태 누락; ","")))</f>
        <v/>
      </c>
    </row>
    <row r="1717">
      <c r="A1717" s="26" t="inlineStr">
        <is>
          <t>일일실시사항</t>
        </is>
      </c>
      <c r="B1717" s="66" t="n">
        <v>685</v>
      </c>
      <c r="C1717" s="122">
        <f>IF($D1717="","",IFERROR(TEXT(일일실시사항!$B685,"yyyy-mm-dd"),"(날짜없음)")&amp;"  "&amp;일일실시사항!$D685&amp;"  "&amp;일일실시사항!$H685)</f>
        <v/>
      </c>
      <c r="D1717" s="122">
        <f>IF(NOT(COUNTBLANK(일일실시사항!$B685:$K685)&lt;10),"",TRIM(IF(일일실시사항!$B685="","일자 누락; ","")&amp;IF(COUNTIF(코드설정!$C$5:$C$24,일일실시사항!$D685)=0,"담당자 누락; ","")&amp;IF(COUNTIF(코드설정!$G$5:$G$14,일일실시사항!$F685)=0,"업무구분 누락; ","")&amp;IF(AND(일일실시사항!$G685&lt;&gt;"",COUNTIF(사건마스터!$A$5:$A$64,일일실시사항!$G685)=0),"미등록 사건번호; ","")&amp;IF(일일실시사항!$H685="","실시 내용 없음; ","")&amp;IF(COUNTIF(코드설정!$F$5:$F$7,일일실시사항!$J685)=0,"진행상태 누락; ","")))</f>
        <v/>
      </c>
    </row>
    <row r="1718">
      <c r="A1718" s="26" t="inlineStr">
        <is>
          <t>일일실시사항</t>
        </is>
      </c>
      <c r="B1718" s="66" t="n">
        <v>686</v>
      </c>
      <c r="C1718" s="122">
        <f>IF($D1718="","",IFERROR(TEXT(일일실시사항!$B686,"yyyy-mm-dd"),"(날짜없음)")&amp;"  "&amp;일일실시사항!$D686&amp;"  "&amp;일일실시사항!$H686)</f>
        <v/>
      </c>
      <c r="D1718" s="122">
        <f>IF(NOT(COUNTBLANK(일일실시사항!$B686:$K686)&lt;10),"",TRIM(IF(일일실시사항!$B686="","일자 누락; ","")&amp;IF(COUNTIF(코드설정!$C$5:$C$24,일일실시사항!$D686)=0,"담당자 누락; ","")&amp;IF(COUNTIF(코드설정!$G$5:$G$14,일일실시사항!$F686)=0,"업무구분 누락; ","")&amp;IF(AND(일일실시사항!$G686&lt;&gt;"",COUNTIF(사건마스터!$A$5:$A$64,일일실시사항!$G686)=0),"미등록 사건번호; ","")&amp;IF(일일실시사항!$H686="","실시 내용 없음; ","")&amp;IF(COUNTIF(코드설정!$F$5:$F$7,일일실시사항!$J686)=0,"진행상태 누락; ","")))</f>
        <v/>
      </c>
    </row>
    <row r="1719">
      <c r="A1719" s="26" t="inlineStr">
        <is>
          <t>일일실시사항</t>
        </is>
      </c>
      <c r="B1719" s="66" t="n">
        <v>687</v>
      </c>
      <c r="C1719" s="122">
        <f>IF($D1719="","",IFERROR(TEXT(일일실시사항!$B687,"yyyy-mm-dd"),"(날짜없음)")&amp;"  "&amp;일일실시사항!$D687&amp;"  "&amp;일일실시사항!$H687)</f>
        <v/>
      </c>
      <c r="D1719" s="122">
        <f>IF(NOT(COUNTBLANK(일일실시사항!$B687:$K687)&lt;10),"",TRIM(IF(일일실시사항!$B687="","일자 누락; ","")&amp;IF(COUNTIF(코드설정!$C$5:$C$24,일일실시사항!$D687)=0,"담당자 누락; ","")&amp;IF(COUNTIF(코드설정!$G$5:$G$14,일일실시사항!$F687)=0,"업무구분 누락; ","")&amp;IF(AND(일일실시사항!$G687&lt;&gt;"",COUNTIF(사건마스터!$A$5:$A$64,일일실시사항!$G687)=0),"미등록 사건번호; ","")&amp;IF(일일실시사항!$H687="","실시 내용 없음; ","")&amp;IF(COUNTIF(코드설정!$F$5:$F$7,일일실시사항!$J687)=0,"진행상태 누락; ","")))</f>
        <v/>
      </c>
    </row>
    <row r="1720">
      <c r="A1720" s="26" t="inlineStr">
        <is>
          <t>일일실시사항</t>
        </is>
      </c>
      <c r="B1720" s="66" t="n">
        <v>688</v>
      </c>
      <c r="C1720" s="122">
        <f>IF($D1720="","",IFERROR(TEXT(일일실시사항!$B688,"yyyy-mm-dd"),"(날짜없음)")&amp;"  "&amp;일일실시사항!$D688&amp;"  "&amp;일일실시사항!$H688)</f>
        <v/>
      </c>
      <c r="D1720" s="122">
        <f>IF(NOT(COUNTBLANK(일일실시사항!$B688:$K688)&lt;10),"",TRIM(IF(일일실시사항!$B688="","일자 누락; ","")&amp;IF(COUNTIF(코드설정!$C$5:$C$24,일일실시사항!$D688)=0,"담당자 누락; ","")&amp;IF(COUNTIF(코드설정!$G$5:$G$14,일일실시사항!$F688)=0,"업무구분 누락; ","")&amp;IF(AND(일일실시사항!$G688&lt;&gt;"",COUNTIF(사건마스터!$A$5:$A$64,일일실시사항!$G688)=0),"미등록 사건번호; ","")&amp;IF(일일실시사항!$H688="","실시 내용 없음; ","")&amp;IF(COUNTIF(코드설정!$F$5:$F$7,일일실시사항!$J688)=0,"진행상태 누락; ","")))</f>
        <v/>
      </c>
    </row>
    <row r="1721">
      <c r="A1721" s="26" t="inlineStr">
        <is>
          <t>일일실시사항</t>
        </is>
      </c>
      <c r="B1721" s="66" t="n">
        <v>689</v>
      </c>
      <c r="C1721" s="122">
        <f>IF($D1721="","",IFERROR(TEXT(일일실시사항!$B689,"yyyy-mm-dd"),"(날짜없음)")&amp;"  "&amp;일일실시사항!$D689&amp;"  "&amp;일일실시사항!$H689)</f>
        <v/>
      </c>
      <c r="D1721" s="122">
        <f>IF(NOT(COUNTBLANK(일일실시사항!$B689:$K689)&lt;10),"",TRIM(IF(일일실시사항!$B689="","일자 누락; ","")&amp;IF(COUNTIF(코드설정!$C$5:$C$24,일일실시사항!$D689)=0,"담당자 누락; ","")&amp;IF(COUNTIF(코드설정!$G$5:$G$14,일일실시사항!$F689)=0,"업무구분 누락; ","")&amp;IF(AND(일일실시사항!$G689&lt;&gt;"",COUNTIF(사건마스터!$A$5:$A$64,일일실시사항!$G689)=0),"미등록 사건번호; ","")&amp;IF(일일실시사항!$H689="","실시 내용 없음; ","")&amp;IF(COUNTIF(코드설정!$F$5:$F$7,일일실시사항!$J689)=0,"진행상태 누락; ","")))</f>
        <v/>
      </c>
    </row>
    <row r="1722">
      <c r="A1722" s="26" t="inlineStr">
        <is>
          <t>일일실시사항</t>
        </is>
      </c>
      <c r="B1722" s="66" t="n">
        <v>690</v>
      </c>
      <c r="C1722" s="122">
        <f>IF($D1722="","",IFERROR(TEXT(일일실시사항!$B690,"yyyy-mm-dd"),"(날짜없음)")&amp;"  "&amp;일일실시사항!$D690&amp;"  "&amp;일일실시사항!$H690)</f>
        <v/>
      </c>
      <c r="D1722" s="122">
        <f>IF(NOT(COUNTBLANK(일일실시사항!$B690:$K690)&lt;10),"",TRIM(IF(일일실시사항!$B690="","일자 누락; ","")&amp;IF(COUNTIF(코드설정!$C$5:$C$24,일일실시사항!$D690)=0,"담당자 누락; ","")&amp;IF(COUNTIF(코드설정!$G$5:$G$14,일일실시사항!$F690)=0,"업무구분 누락; ","")&amp;IF(AND(일일실시사항!$G690&lt;&gt;"",COUNTIF(사건마스터!$A$5:$A$64,일일실시사항!$G690)=0),"미등록 사건번호; ","")&amp;IF(일일실시사항!$H690="","실시 내용 없음; ","")&amp;IF(COUNTIF(코드설정!$F$5:$F$7,일일실시사항!$J690)=0,"진행상태 누락; ","")))</f>
        <v/>
      </c>
    </row>
    <row r="1723">
      <c r="A1723" s="26" t="inlineStr">
        <is>
          <t>일일실시사항</t>
        </is>
      </c>
      <c r="B1723" s="66" t="n">
        <v>691</v>
      </c>
      <c r="C1723" s="122">
        <f>IF($D1723="","",IFERROR(TEXT(일일실시사항!$B691,"yyyy-mm-dd"),"(날짜없음)")&amp;"  "&amp;일일실시사항!$D691&amp;"  "&amp;일일실시사항!$H691)</f>
        <v/>
      </c>
      <c r="D1723" s="122">
        <f>IF(NOT(COUNTBLANK(일일실시사항!$B691:$K691)&lt;10),"",TRIM(IF(일일실시사항!$B691="","일자 누락; ","")&amp;IF(COUNTIF(코드설정!$C$5:$C$24,일일실시사항!$D691)=0,"담당자 누락; ","")&amp;IF(COUNTIF(코드설정!$G$5:$G$14,일일실시사항!$F691)=0,"업무구분 누락; ","")&amp;IF(AND(일일실시사항!$G691&lt;&gt;"",COUNTIF(사건마스터!$A$5:$A$64,일일실시사항!$G691)=0),"미등록 사건번호; ","")&amp;IF(일일실시사항!$H691="","실시 내용 없음; ","")&amp;IF(COUNTIF(코드설정!$F$5:$F$7,일일실시사항!$J691)=0,"진행상태 누락; ","")))</f>
        <v/>
      </c>
    </row>
    <row r="1724">
      <c r="A1724" s="26" t="inlineStr">
        <is>
          <t>일일실시사항</t>
        </is>
      </c>
      <c r="B1724" s="66" t="n">
        <v>692</v>
      </c>
      <c r="C1724" s="122">
        <f>IF($D1724="","",IFERROR(TEXT(일일실시사항!$B692,"yyyy-mm-dd"),"(날짜없음)")&amp;"  "&amp;일일실시사항!$D692&amp;"  "&amp;일일실시사항!$H692)</f>
        <v/>
      </c>
      <c r="D1724" s="122">
        <f>IF(NOT(COUNTBLANK(일일실시사항!$B692:$K692)&lt;10),"",TRIM(IF(일일실시사항!$B692="","일자 누락; ","")&amp;IF(COUNTIF(코드설정!$C$5:$C$24,일일실시사항!$D692)=0,"담당자 누락; ","")&amp;IF(COUNTIF(코드설정!$G$5:$G$14,일일실시사항!$F692)=0,"업무구분 누락; ","")&amp;IF(AND(일일실시사항!$G692&lt;&gt;"",COUNTIF(사건마스터!$A$5:$A$64,일일실시사항!$G692)=0),"미등록 사건번호; ","")&amp;IF(일일실시사항!$H692="","실시 내용 없음; ","")&amp;IF(COUNTIF(코드설정!$F$5:$F$7,일일실시사항!$J692)=0,"진행상태 누락; ","")))</f>
        <v/>
      </c>
    </row>
    <row r="1725">
      <c r="A1725" s="26" t="inlineStr">
        <is>
          <t>일일실시사항</t>
        </is>
      </c>
      <c r="B1725" s="66" t="n">
        <v>693</v>
      </c>
      <c r="C1725" s="122">
        <f>IF($D1725="","",IFERROR(TEXT(일일실시사항!$B693,"yyyy-mm-dd"),"(날짜없음)")&amp;"  "&amp;일일실시사항!$D693&amp;"  "&amp;일일실시사항!$H693)</f>
        <v/>
      </c>
      <c r="D1725" s="122">
        <f>IF(NOT(COUNTBLANK(일일실시사항!$B693:$K693)&lt;10),"",TRIM(IF(일일실시사항!$B693="","일자 누락; ","")&amp;IF(COUNTIF(코드설정!$C$5:$C$24,일일실시사항!$D693)=0,"담당자 누락; ","")&amp;IF(COUNTIF(코드설정!$G$5:$G$14,일일실시사항!$F693)=0,"업무구분 누락; ","")&amp;IF(AND(일일실시사항!$G693&lt;&gt;"",COUNTIF(사건마스터!$A$5:$A$64,일일실시사항!$G693)=0),"미등록 사건번호; ","")&amp;IF(일일실시사항!$H693="","실시 내용 없음; ","")&amp;IF(COUNTIF(코드설정!$F$5:$F$7,일일실시사항!$J693)=0,"진행상태 누락; ","")))</f>
        <v/>
      </c>
    </row>
    <row r="1726">
      <c r="A1726" s="26" t="inlineStr">
        <is>
          <t>일일실시사항</t>
        </is>
      </c>
      <c r="B1726" s="66" t="n">
        <v>694</v>
      </c>
      <c r="C1726" s="122">
        <f>IF($D1726="","",IFERROR(TEXT(일일실시사항!$B694,"yyyy-mm-dd"),"(날짜없음)")&amp;"  "&amp;일일실시사항!$D694&amp;"  "&amp;일일실시사항!$H694)</f>
        <v/>
      </c>
      <c r="D1726" s="122">
        <f>IF(NOT(COUNTBLANK(일일실시사항!$B694:$K694)&lt;10),"",TRIM(IF(일일실시사항!$B694="","일자 누락; ","")&amp;IF(COUNTIF(코드설정!$C$5:$C$24,일일실시사항!$D694)=0,"담당자 누락; ","")&amp;IF(COUNTIF(코드설정!$G$5:$G$14,일일실시사항!$F694)=0,"업무구분 누락; ","")&amp;IF(AND(일일실시사항!$G694&lt;&gt;"",COUNTIF(사건마스터!$A$5:$A$64,일일실시사항!$G694)=0),"미등록 사건번호; ","")&amp;IF(일일실시사항!$H694="","실시 내용 없음; ","")&amp;IF(COUNTIF(코드설정!$F$5:$F$7,일일실시사항!$J694)=0,"진행상태 누락; ","")))</f>
        <v/>
      </c>
    </row>
    <row r="1727">
      <c r="A1727" s="26" t="inlineStr">
        <is>
          <t>일일실시사항</t>
        </is>
      </c>
      <c r="B1727" s="66" t="n">
        <v>695</v>
      </c>
      <c r="C1727" s="122">
        <f>IF($D1727="","",IFERROR(TEXT(일일실시사항!$B695,"yyyy-mm-dd"),"(날짜없음)")&amp;"  "&amp;일일실시사항!$D695&amp;"  "&amp;일일실시사항!$H695)</f>
        <v/>
      </c>
      <c r="D1727" s="122">
        <f>IF(NOT(COUNTBLANK(일일실시사항!$B695:$K695)&lt;10),"",TRIM(IF(일일실시사항!$B695="","일자 누락; ","")&amp;IF(COUNTIF(코드설정!$C$5:$C$24,일일실시사항!$D695)=0,"담당자 누락; ","")&amp;IF(COUNTIF(코드설정!$G$5:$G$14,일일실시사항!$F695)=0,"업무구분 누락; ","")&amp;IF(AND(일일실시사항!$G695&lt;&gt;"",COUNTIF(사건마스터!$A$5:$A$64,일일실시사항!$G695)=0),"미등록 사건번호; ","")&amp;IF(일일실시사항!$H695="","실시 내용 없음; ","")&amp;IF(COUNTIF(코드설정!$F$5:$F$7,일일실시사항!$J695)=0,"진행상태 누락; ","")))</f>
        <v/>
      </c>
    </row>
    <row r="1728">
      <c r="A1728" s="26" t="inlineStr">
        <is>
          <t>일일실시사항</t>
        </is>
      </c>
      <c r="B1728" s="66" t="n">
        <v>696</v>
      </c>
      <c r="C1728" s="122">
        <f>IF($D1728="","",IFERROR(TEXT(일일실시사항!$B696,"yyyy-mm-dd"),"(날짜없음)")&amp;"  "&amp;일일실시사항!$D696&amp;"  "&amp;일일실시사항!$H696)</f>
        <v/>
      </c>
      <c r="D1728" s="122">
        <f>IF(NOT(COUNTBLANK(일일실시사항!$B696:$K696)&lt;10),"",TRIM(IF(일일실시사항!$B696="","일자 누락; ","")&amp;IF(COUNTIF(코드설정!$C$5:$C$24,일일실시사항!$D696)=0,"담당자 누락; ","")&amp;IF(COUNTIF(코드설정!$G$5:$G$14,일일실시사항!$F696)=0,"업무구분 누락; ","")&amp;IF(AND(일일실시사항!$G696&lt;&gt;"",COUNTIF(사건마스터!$A$5:$A$64,일일실시사항!$G696)=0),"미등록 사건번호; ","")&amp;IF(일일실시사항!$H696="","실시 내용 없음; ","")&amp;IF(COUNTIF(코드설정!$F$5:$F$7,일일실시사항!$J696)=0,"진행상태 누락; ","")))</f>
        <v/>
      </c>
    </row>
    <row r="1729">
      <c r="A1729" s="26" t="inlineStr">
        <is>
          <t>일일실시사항</t>
        </is>
      </c>
      <c r="B1729" s="66" t="n">
        <v>697</v>
      </c>
      <c r="C1729" s="122">
        <f>IF($D1729="","",IFERROR(TEXT(일일실시사항!$B697,"yyyy-mm-dd"),"(날짜없음)")&amp;"  "&amp;일일실시사항!$D697&amp;"  "&amp;일일실시사항!$H697)</f>
        <v/>
      </c>
      <c r="D1729" s="122">
        <f>IF(NOT(COUNTBLANK(일일실시사항!$B697:$K697)&lt;10),"",TRIM(IF(일일실시사항!$B697="","일자 누락; ","")&amp;IF(COUNTIF(코드설정!$C$5:$C$24,일일실시사항!$D697)=0,"담당자 누락; ","")&amp;IF(COUNTIF(코드설정!$G$5:$G$14,일일실시사항!$F697)=0,"업무구분 누락; ","")&amp;IF(AND(일일실시사항!$G697&lt;&gt;"",COUNTIF(사건마스터!$A$5:$A$64,일일실시사항!$G697)=0),"미등록 사건번호; ","")&amp;IF(일일실시사항!$H697="","실시 내용 없음; ","")&amp;IF(COUNTIF(코드설정!$F$5:$F$7,일일실시사항!$J697)=0,"진행상태 누락; ","")))</f>
        <v/>
      </c>
    </row>
    <row r="1730">
      <c r="A1730" s="26" t="inlineStr">
        <is>
          <t>일일실시사항</t>
        </is>
      </c>
      <c r="B1730" s="66" t="n">
        <v>698</v>
      </c>
      <c r="C1730" s="122">
        <f>IF($D1730="","",IFERROR(TEXT(일일실시사항!$B698,"yyyy-mm-dd"),"(날짜없음)")&amp;"  "&amp;일일실시사항!$D698&amp;"  "&amp;일일실시사항!$H698)</f>
        <v/>
      </c>
      <c r="D1730" s="122">
        <f>IF(NOT(COUNTBLANK(일일실시사항!$B698:$K698)&lt;10),"",TRIM(IF(일일실시사항!$B698="","일자 누락; ","")&amp;IF(COUNTIF(코드설정!$C$5:$C$24,일일실시사항!$D698)=0,"담당자 누락; ","")&amp;IF(COUNTIF(코드설정!$G$5:$G$14,일일실시사항!$F698)=0,"업무구분 누락; ","")&amp;IF(AND(일일실시사항!$G698&lt;&gt;"",COUNTIF(사건마스터!$A$5:$A$64,일일실시사항!$G698)=0),"미등록 사건번호; ","")&amp;IF(일일실시사항!$H698="","실시 내용 없음; ","")&amp;IF(COUNTIF(코드설정!$F$5:$F$7,일일실시사항!$J698)=0,"진행상태 누락; ","")))</f>
        <v/>
      </c>
    </row>
    <row r="1731">
      <c r="A1731" s="26" t="inlineStr">
        <is>
          <t>일일실시사항</t>
        </is>
      </c>
      <c r="B1731" s="66" t="n">
        <v>699</v>
      </c>
      <c r="C1731" s="122">
        <f>IF($D1731="","",IFERROR(TEXT(일일실시사항!$B699,"yyyy-mm-dd"),"(날짜없음)")&amp;"  "&amp;일일실시사항!$D699&amp;"  "&amp;일일실시사항!$H699)</f>
        <v/>
      </c>
      <c r="D1731" s="122">
        <f>IF(NOT(COUNTBLANK(일일실시사항!$B699:$K699)&lt;10),"",TRIM(IF(일일실시사항!$B699="","일자 누락; ","")&amp;IF(COUNTIF(코드설정!$C$5:$C$24,일일실시사항!$D699)=0,"담당자 누락; ","")&amp;IF(COUNTIF(코드설정!$G$5:$G$14,일일실시사항!$F699)=0,"업무구분 누락; ","")&amp;IF(AND(일일실시사항!$G699&lt;&gt;"",COUNTIF(사건마스터!$A$5:$A$64,일일실시사항!$G699)=0),"미등록 사건번호; ","")&amp;IF(일일실시사항!$H699="","실시 내용 없음; ","")&amp;IF(COUNTIF(코드설정!$F$5:$F$7,일일실시사항!$J699)=0,"진행상태 누락; ","")))</f>
        <v/>
      </c>
    </row>
    <row r="1732">
      <c r="A1732" s="26" t="inlineStr">
        <is>
          <t>일일실시사항</t>
        </is>
      </c>
      <c r="B1732" s="66" t="n">
        <v>700</v>
      </c>
      <c r="C1732" s="122">
        <f>IF($D1732="","",IFERROR(TEXT(일일실시사항!$B700,"yyyy-mm-dd"),"(날짜없음)")&amp;"  "&amp;일일실시사항!$D700&amp;"  "&amp;일일실시사항!$H700)</f>
        <v/>
      </c>
      <c r="D1732" s="122">
        <f>IF(NOT(COUNTBLANK(일일실시사항!$B700:$K700)&lt;10),"",TRIM(IF(일일실시사항!$B700="","일자 누락; ","")&amp;IF(COUNTIF(코드설정!$C$5:$C$24,일일실시사항!$D700)=0,"담당자 누락; ","")&amp;IF(COUNTIF(코드설정!$G$5:$G$14,일일실시사항!$F700)=0,"업무구분 누락; ","")&amp;IF(AND(일일실시사항!$G700&lt;&gt;"",COUNTIF(사건마스터!$A$5:$A$64,일일실시사항!$G700)=0),"미등록 사건번호; ","")&amp;IF(일일실시사항!$H700="","실시 내용 없음; ","")&amp;IF(COUNTIF(코드설정!$F$5:$F$7,일일실시사항!$J700)=0,"진행상태 누락; ","")))</f>
        <v/>
      </c>
    </row>
    <row r="1733">
      <c r="A1733" s="26" t="inlineStr">
        <is>
          <t>일일실시사항</t>
        </is>
      </c>
      <c r="B1733" s="66" t="n">
        <v>701</v>
      </c>
      <c r="C1733" s="122">
        <f>IF($D1733="","",IFERROR(TEXT(일일실시사항!$B701,"yyyy-mm-dd"),"(날짜없음)")&amp;"  "&amp;일일실시사항!$D701&amp;"  "&amp;일일실시사항!$H701)</f>
        <v/>
      </c>
      <c r="D1733" s="122">
        <f>IF(NOT(COUNTBLANK(일일실시사항!$B701:$K701)&lt;10),"",TRIM(IF(일일실시사항!$B701="","일자 누락; ","")&amp;IF(COUNTIF(코드설정!$C$5:$C$24,일일실시사항!$D701)=0,"담당자 누락; ","")&amp;IF(COUNTIF(코드설정!$G$5:$G$14,일일실시사항!$F701)=0,"업무구분 누락; ","")&amp;IF(AND(일일실시사항!$G701&lt;&gt;"",COUNTIF(사건마스터!$A$5:$A$64,일일실시사항!$G701)=0),"미등록 사건번호; ","")&amp;IF(일일실시사항!$H701="","실시 내용 없음; ","")&amp;IF(COUNTIF(코드설정!$F$5:$F$7,일일실시사항!$J701)=0,"진행상태 누락; ","")))</f>
        <v/>
      </c>
    </row>
    <row r="1734">
      <c r="A1734" s="26" t="inlineStr">
        <is>
          <t>일일실시사항</t>
        </is>
      </c>
      <c r="B1734" s="66" t="n">
        <v>702</v>
      </c>
      <c r="C1734" s="122">
        <f>IF($D1734="","",IFERROR(TEXT(일일실시사항!$B702,"yyyy-mm-dd"),"(날짜없음)")&amp;"  "&amp;일일실시사항!$D702&amp;"  "&amp;일일실시사항!$H702)</f>
        <v/>
      </c>
      <c r="D1734" s="122">
        <f>IF(NOT(COUNTBLANK(일일실시사항!$B702:$K702)&lt;10),"",TRIM(IF(일일실시사항!$B702="","일자 누락; ","")&amp;IF(COUNTIF(코드설정!$C$5:$C$24,일일실시사항!$D702)=0,"담당자 누락; ","")&amp;IF(COUNTIF(코드설정!$G$5:$G$14,일일실시사항!$F702)=0,"업무구분 누락; ","")&amp;IF(AND(일일실시사항!$G702&lt;&gt;"",COUNTIF(사건마스터!$A$5:$A$64,일일실시사항!$G702)=0),"미등록 사건번호; ","")&amp;IF(일일실시사항!$H702="","실시 내용 없음; ","")&amp;IF(COUNTIF(코드설정!$F$5:$F$7,일일실시사항!$J702)=0,"진행상태 누락; ","")))</f>
        <v/>
      </c>
    </row>
    <row r="1735">
      <c r="A1735" s="26" t="inlineStr">
        <is>
          <t>일일실시사항</t>
        </is>
      </c>
      <c r="B1735" s="66" t="n">
        <v>703</v>
      </c>
      <c r="C1735" s="122">
        <f>IF($D1735="","",IFERROR(TEXT(일일실시사항!$B703,"yyyy-mm-dd"),"(날짜없음)")&amp;"  "&amp;일일실시사항!$D703&amp;"  "&amp;일일실시사항!$H703)</f>
        <v/>
      </c>
      <c r="D1735" s="122">
        <f>IF(NOT(COUNTBLANK(일일실시사항!$B703:$K703)&lt;10),"",TRIM(IF(일일실시사항!$B703="","일자 누락; ","")&amp;IF(COUNTIF(코드설정!$C$5:$C$24,일일실시사항!$D703)=0,"담당자 누락; ","")&amp;IF(COUNTIF(코드설정!$G$5:$G$14,일일실시사항!$F703)=0,"업무구분 누락; ","")&amp;IF(AND(일일실시사항!$G703&lt;&gt;"",COUNTIF(사건마스터!$A$5:$A$64,일일실시사항!$G703)=0),"미등록 사건번호; ","")&amp;IF(일일실시사항!$H703="","실시 내용 없음; ","")&amp;IF(COUNTIF(코드설정!$F$5:$F$7,일일실시사항!$J703)=0,"진행상태 누락; ","")))</f>
        <v/>
      </c>
    </row>
    <row r="1736">
      <c r="A1736" s="26" t="inlineStr">
        <is>
          <t>일일실시사항</t>
        </is>
      </c>
      <c r="B1736" s="66" t="n">
        <v>704</v>
      </c>
      <c r="C1736" s="122">
        <f>IF($D1736="","",IFERROR(TEXT(일일실시사항!$B704,"yyyy-mm-dd"),"(날짜없음)")&amp;"  "&amp;일일실시사항!$D704&amp;"  "&amp;일일실시사항!$H704)</f>
        <v/>
      </c>
      <c r="D1736" s="122">
        <f>IF(NOT(COUNTBLANK(일일실시사항!$B704:$K704)&lt;10),"",TRIM(IF(일일실시사항!$B704="","일자 누락; ","")&amp;IF(COUNTIF(코드설정!$C$5:$C$24,일일실시사항!$D704)=0,"담당자 누락; ","")&amp;IF(COUNTIF(코드설정!$G$5:$G$14,일일실시사항!$F704)=0,"업무구분 누락; ","")&amp;IF(AND(일일실시사항!$G704&lt;&gt;"",COUNTIF(사건마스터!$A$5:$A$64,일일실시사항!$G704)=0),"미등록 사건번호; ","")&amp;IF(일일실시사항!$H704="","실시 내용 없음; ","")&amp;IF(COUNTIF(코드설정!$F$5:$F$7,일일실시사항!$J704)=0,"진행상태 누락; ","")))</f>
        <v/>
      </c>
    </row>
    <row r="1737">
      <c r="A1737" s="26" t="inlineStr">
        <is>
          <t>일일실시사항</t>
        </is>
      </c>
      <c r="B1737" s="66" t="n">
        <v>705</v>
      </c>
      <c r="C1737" s="122">
        <f>IF($D1737="","",IFERROR(TEXT(일일실시사항!$B705,"yyyy-mm-dd"),"(날짜없음)")&amp;"  "&amp;일일실시사항!$D705&amp;"  "&amp;일일실시사항!$H705)</f>
        <v/>
      </c>
      <c r="D1737" s="122">
        <f>IF(NOT(COUNTBLANK(일일실시사항!$B705:$K705)&lt;10),"",TRIM(IF(일일실시사항!$B705="","일자 누락; ","")&amp;IF(COUNTIF(코드설정!$C$5:$C$24,일일실시사항!$D705)=0,"담당자 누락; ","")&amp;IF(COUNTIF(코드설정!$G$5:$G$14,일일실시사항!$F705)=0,"업무구분 누락; ","")&amp;IF(AND(일일실시사항!$G705&lt;&gt;"",COUNTIF(사건마스터!$A$5:$A$64,일일실시사항!$G705)=0),"미등록 사건번호; ","")&amp;IF(일일실시사항!$H705="","실시 내용 없음; ","")&amp;IF(COUNTIF(코드설정!$F$5:$F$7,일일실시사항!$J705)=0,"진행상태 누락; ","")))</f>
        <v/>
      </c>
    </row>
    <row r="1738">
      <c r="A1738" s="26" t="inlineStr">
        <is>
          <t>일일실시사항</t>
        </is>
      </c>
      <c r="B1738" s="66" t="n">
        <v>706</v>
      </c>
      <c r="C1738" s="122">
        <f>IF($D1738="","",IFERROR(TEXT(일일실시사항!$B706,"yyyy-mm-dd"),"(날짜없음)")&amp;"  "&amp;일일실시사항!$D706&amp;"  "&amp;일일실시사항!$H706)</f>
        <v/>
      </c>
      <c r="D1738" s="122">
        <f>IF(NOT(COUNTBLANK(일일실시사항!$B706:$K706)&lt;10),"",TRIM(IF(일일실시사항!$B706="","일자 누락; ","")&amp;IF(COUNTIF(코드설정!$C$5:$C$24,일일실시사항!$D706)=0,"담당자 누락; ","")&amp;IF(COUNTIF(코드설정!$G$5:$G$14,일일실시사항!$F706)=0,"업무구분 누락; ","")&amp;IF(AND(일일실시사항!$G706&lt;&gt;"",COUNTIF(사건마스터!$A$5:$A$64,일일실시사항!$G706)=0),"미등록 사건번호; ","")&amp;IF(일일실시사항!$H706="","실시 내용 없음; ","")&amp;IF(COUNTIF(코드설정!$F$5:$F$7,일일실시사항!$J706)=0,"진행상태 누락; ","")))</f>
        <v/>
      </c>
    </row>
    <row r="1739">
      <c r="A1739" s="26" t="inlineStr">
        <is>
          <t>일일실시사항</t>
        </is>
      </c>
      <c r="B1739" s="66" t="n">
        <v>707</v>
      </c>
      <c r="C1739" s="122">
        <f>IF($D1739="","",IFERROR(TEXT(일일실시사항!$B707,"yyyy-mm-dd"),"(날짜없음)")&amp;"  "&amp;일일실시사항!$D707&amp;"  "&amp;일일실시사항!$H707)</f>
        <v/>
      </c>
      <c r="D1739" s="122">
        <f>IF(NOT(COUNTBLANK(일일실시사항!$B707:$K707)&lt;10),"",TRIM(IF(일일실시사항!$B707="","일자 누락; ","")&amp;IF(COUNTIF(코드설정!$C$5:$C$24,일일실시사항!$D707)=0,"담당자 누락; ","")&amp;IF(COUNTIF(코드설정!$G$5:$G$14,일일실시사항!$F707)=0,"업무구분 누락; ","")&amp;IF(AND(일일실시사항!$G707&lt;&gt;"",COUNTIF(사건마스터!$A$5:$A$64,일일실시사항!$G707)=0),"미등록 사건번호; ","")&amp;IF(일일실시사항!$H707="","실시 내용 없음; ","")&amp;IF(COUNTIF(코드설정!$F$5:$F$7,일일실시사항!$J707)=0,"진행상태 누락; ","")))</f>
        <v/>
      </c>
    </row>
    <row r="1740">
      <c r="A1740" s="26" t="inlineStr">
        <is>
          <t>일일실시사항</t>
        </is>
      </c>
      <c r="B1740" s="66" t="n">
        <v>708</v>
      </c>
      <c r="C1740" s="122">
        <f>IF($D1740="","",IFERROR(TEXT(일일실시사항!$B708,"yyyy-mm-dd"),"(날짜없음)")&amp;"  "&amp;일일실시사항!$D708&amp;"  "&amp;일일실시사항!$H708)</f>
        <v/>
      </c>
      <c r="D1740" s="122">
        <f>IF(NOT(COUNTBLANK(일일실시사항!$B708:$K708)&lt;10),"",TRIM(IF(일일실시사항!$B708="","일자 누락; ","")&amp;IF(COUNTIF(코드설정!$C$5:$C$24,일일실시사항!$D708)=0,"담당자 누락; ","")&amp;IF(COUNTIF(코드설정!$G$5:$G$14,일일실시사항!$F708)=0,"업무구분 누락; ","")&amp;IF(AND(일일실시사항!$G708&lt;&gt;"",COUNTIF(사건마스터!$A$5:$A$64,일일실시사항!$G708)=0),"미등록 사건번호; ","")&amp;IF(일일실시사항!$H708="","실시 내용 없음; ","")&amp;IF(COUNTIF(코드설정!$F$5:$F$7,일일실시사항!$J708)=0,"진행상태 누락; ","")))</f>
        <v/>
      </c>
    </row>
    <row r="1741">
      <c r="A1741" s="26" t="inlineStr">
        <is>
          <t>일일실시사항</t>
        </is>
      </c>
      <c r="B1741" s="66" t="n">
        <v>709</v>
      </c>
      <c r="C1741" s="122">
        <f>IF($D1741="","",IFERROR(TEXT(일일실시사항!$B709,"yyyy-mm-dd"),"(날짜없음)")&amp;"  "&amp;일일실시사항!$D709&amp;"  "&amp;일일실시사항!$H709)</f>
        <v/>
      </c>
      <c r="D1741" s="122">
        <f>IF(NOT(COUNTBLANK(일일실시사항!$B709:$K709)&lt;10),"",TRIM(IF(일일실시사항!$B709="","일자 누락; ","")&amp;IF(COUNTIF(코드설정!$C$5:$C$24,일일실시사항!$D709)=0,"담당자 누락; ","")&amp;IF(COUNTIF(코드설정!$G$5:$G$14,일일실시사항!$F709)=0,"업무구분 누락; ","")&amp;IF(AND(일일실시사항!$G709&lt;&gt;"",COUNTIF(사건마스터!$A$5:$A$64,일일실시사항!$G709)=0),"미등록 사건번호; ","")&amp;IF(일일실시사항!$H709="","실시 내용 없음; ","")&amp;IF(COUNTIF(코드설정!$F$5:$F$7,일일실시사항!$J709)=0,"진행상태 누락; ","")))</f>
        <v/>
      </c>
    </row>
    <row r="1742">
      <c r="A1742" s="26" t="inlineStr">
        <is>
          <t>일일실시사항</t>
        </is>
      </c>
      <c r="B1742" s="66" t="n">
        <v>710</v>
      </c>
      <c r="C1742" s="122">
        <f>IF($D1742="","",IFERROR(TEXT(일일실시사항!$B710,"yyyy-mm-dd"),"(날짜없음)")&amp;"  "&amp;일일실시사항!$D710&amp;"  "&amp;일일실시사항!$H710)</f>
        <v/>
      </c>
      <c r="D1742" s="122">
        <f>IF(NOT(COUNTBLANK(일일실시사항!$B710:$K710)&lt;10),"",TRIM(IF(일일실시사항!$B710="","일자 누락; ","")&amp;IF(COUNTIF(코드설정!$C$5:$C$24,일일실시사항!$D710)=0,"담당자 누락; ","")&amp;IF(COUNTIF(코드설정!$G$5:$G$14,일일실시사항!$F710)=0,"업무구분 누락; ","")&amp;IF(AND(일일실시사항!$G710&lt;&gt;"",COUNTIF(사건마스터!$A$5:$A$64,일일실시사항!$G710)=0),"미등록 사건번호; ","")&amp;IF(일일실시사항!$H710="","실시 내용 없음; ","")&amp;IF(COUNTIF(코드설정!$F$5:$F$7,일일실시사항!$J710)=0,"진행상태 누락; ","")))</f>
        <v/>
      </c>
    </row>
    <row r="1743">
      <c r="A1743" s="26" t="inlineStr">
        <is>
          <t>일일실시사항</t>
        </is>
      </c>
      <c r="B1743" s="66" t="n">
        <v>711</v>
      </c>
      <c r="C1743" s="122">
        <f>IF($D1743="","",IFERROR(TEXT(일일실시사항!$B711,"yyyy-mm-dd"),"(날짜없음)")&amp;"  "&amp;일일실시사항!$D711&amp;"  "&amp;일일실시사항!$H711)</f>
        <v/>
      </c>
      <c r="D1743" s="122">
        <f>IF(NOT(COUNTBLANK(일일실시사항!$B711:$K711)&lt;10),"",TRIM(IF(일일실시사항!$B711="","일자 누락; ","")&amp;IF(COUNTIF(코드설정!$C$5:$C$24,일일실시사항!$D711)=0,"담당자 누락; ","")&amp;IF(COUNTIF(코드설정!$G$5:$G$14,일일실시사항!$F711)=0,"업무구분 누락; ","")&amp;IF(AND(일일실시사항!$G711&lt;&gt;"",COUNTIF(사건마스터!$A$5:$A$64,일일실시사항!$G711)=0),"미등록 사건번호; ","")&amp;IF(일일실시사항!$H711="","실시 내용 없음; ","")&amp;IF(COUNTIF(코드설정!$F$5:$F$7,일일실시사항!$J711)=0,"진행상태 누락; ","")))</f>
        <v/>
      </c>
    </row>
    <row r="1744">
      <c r="A1744" s="26" t="inlineStr">
        <is>
          <t>일일실시사항</t>
        </is>
      </c>
      <c r="B1744" s="66" t="n">
        <v>712</v>
      </c>
      <c r="C1744" s="122">
        <f>IF($D1744="","",IFERROR(TEXT(일일실시사항!$B712,"yyyy-mm-dd"),"(날짜없음)")&amp;"  "&amp;일일실시사항!$D712&amp;"  "&amp;일일실시사항!$H712)</f>
        <v/>
      </c>
      <c r="D1744" s="122">
        <f>IF(NOT(COUNTBLANK(일일실시사항!$B712:$K712)&lt;10),"",TRIM(IF(일일실시사항!$B712="","일자 누락; ","")&amp;IF(COUNTIF(코드설정!$C$5:$C$24,일일실시사항!$D712)=0,"담당자 누락; ","")&amp;IF(COUNTIF(코드설정!$G$5:$G$14,일일실시사항!$F712)=0,"업무구분 누락; ","")&amp;IF(AND(일일실시사항!$G712&lt;&gt;"",COUNTIF(사건마스터!$A$5:$A$64,일일실시사항!$G712)=0),"미등록 사건번호; ","")&amp;IF(일일실시사항!$H712="","실시 내용 없음; ","")&amp;IF(COUNTIF(코드설정!$F$5:$F$7,일일실시사항!$J712)=0,"진행상태 누락; ","")))</f>
        <v/>
      </c>
    </row>
    <row r="1745">
      <c r="A1745" s="26" t="inlineStr">
        <is>
          <t>일일실시사항</t>
        </is>
      </c>
      <c r="B1745" s="66" t="n">
        <v>713</v>
      </c>
      <c r="C1745" s="122">
        <f>IF($D1745="","",IFERROR(TEXT(일일실시사항!$B713,"yyyy-mm-dd"),"(날짜없음)")&amp;"  "&amp;일일실시사항!$D713&amp;"  "&amp;일일실시사항!$H713)</f>
        <v/>
      </c>
      <c r="D1745" s="122">
        <f>IF(NOT(COUNTBLANK(일일실시사항!$B713:$K713)&lt;10),"",TRIM(IF(일일실시사항!$B713="","일자 누락; ","")&amp;IF(COUNTIF(코드설정!$C$5:$C$24,일일실시사항!$D713)=0,"담당자 누락; ","")&amp;IF(COUNTIF(코드설정!$G$5:$G$14,일일실시사항!$F713)=0,"업무구분 누락; ","")&amp;IF(AND(일일실시사항!$G713&lt;&gt;"",COUNTIF(사건마스터!$A$5:$A$64,일일실시사항!$G713)=0),"미등록 사건번호; ","")&amp;IF(일일실시사항!$H713="","실시 내용 없음; ","")&amp;IF(COUNTIF(코드설정!$F$5:$F$7,일일실시사항!$J713)=0,"진행상태 누락; ","")))</f>
        <v/>
      </c>
    </row>
    <row r="1746">
      <c r="A1746" s="26" t="inlineStr">
        <is>
          <t>일일실시사항</t>
        </is>
      </c>
      <c r="B1746" s="66" t="n">
        <v>714</v>
      </c>
      <c r="C1746" s="122">
        <f>IF($D1746="","",IFERROR(TEXT(일일실시사항!$B714,"yyyy-mm-dd"),"(날짜없음)")&amp;"  "&amp;일일실시사항!$D714&amp;"  "&amp;일일실시사항!$H714)</f>
        <v/>
      </c>
      <c r="D1746" s="122">
        <f>IF(NOT(COUNTBLANK(일일실시사항!$B714:$K714)&lt;10),"",TRIM(IF(일일실시사항!$B714="","일자 누락; ","")&amp;IF(COUNTIF(코드설정!$C$5:$C$24,일일실시사항!$D714)=0,"담당자 누락; ","")&amp;IF(COUNTIF(코드설정!$G$5:$G$14,일일실시사항!$F714)=0,"업무구분 누락; ","")&amp;IF(AND(일일실시사항!$G714&lt;&gt;"",COUNTIF(사건마스터!$A$5:$A$64,일일실시사항!$G714)=0),"미등록 사건번호; ","")&amp;IF(일일실시사항!$H714="","실시 내용 없음; ","")&amp;IF(COUNTIF(코드설정!$F$5:$F$7,일일실시사항!$J714)=0,"진행상태 누락; ","")))</f>
        <v/>
      </c>
    </row>
    <row r="1747">
      <c r="A1747" s="26" t="inlineStr">
        <is>
          <t>일일실시사항</t>
        </is>
      </c>
      <c r="B1747" s="66" t="n">
        <v>715</v>
      </c>
      <c r="C1747" s="122">
        <f>IF($D1747="","",IFERROR(TEXT(일일실시사항!$B715,"yyyy-mm-dd"),"(날짜없음)")&amp;"  "&amp;일일실시사항!$D715&amp;"  "&amp;일일실시사항!$H715)</f>
        <v/>
      </c>
      <c r="D1747" s="122">
        <f>IF(NOT(COUNTBLANK(일일실시사항!$B715:$K715)&lt;10),"",TRIM(IF(일일실시사항!$B715="","일자 누락; ","")&amp;IF(COUNTIF(코드설정!$C$5:$C$24,일일실시사항!$D715)=0,"담당자 누락; ","")&amp;IF(COUNTIF(코드설정!$G$5:$G$14,일일실시사항!$F715)=0,"업무구분 누락; ","")&amp;IF(AND(일일실시사항!$G715&lt;&gt;"",COUNTIF(사건마스터!$A$5:$A$64,일일실시사항!$G715)=0),"미등록 사건번호; ","")&amp;IF(일일실시사항!$H715="","실시 내용 없음; ","")&amp;IF(COUNTIF(코드설정!$F$5:$F$7,일일실시사항!$J715)=0,"진행상태 누락; ","")))</f>
        <v/>
      </c>
    </row>
    <row r="1748">
      <c r="A1748" s="26" t="inlineStr">
        <is>
          <t>일일실시사항</t>
        </is>
      </c>
      <c r="B1748" s="66" t="n">
        <v>716</v>
      </c>
      <c r="C1748" s="122">
        <f>IF($D1748="","",IFERROR(TEXT(일일실시사항!$B716,"yyyy-mm-dd"),"(날짜없음)")&amp;"  "&amp;일일실시사항!$D716&amp;"  "&amp;일일실시사항!$H716)</f>
        <v/>
      </c>
      <c r="D1748" s="122">
        <f>IF(NOT(COUNTBLANK(일일실시사항!$B716:$K716)&lt;10),"",TRIM(IF(일일실시사항!$B716="","일자 누락; ","")&amp;IF(COUNTIF(코드설정!$C$5:$C$24,일일실시사항!$D716)=0,"담당자 누락; ","")&amp;IF(COUNTIF(코드설정!$G$5:$G$14,일일실시사항!$F716)=0,"업무구분 누락; ","")&amp;IF(AND(일일실시사항!$G716&lt;&gt;"",COUNTIF(사건마스터!$A$5:$A$64,일일실시사항!$G716)=0),"미등록 사건번호; ","")&amp;IF(일일실시사항!$H716="","실시 내용 없음; ","")&amp;IF(COUNTIF(코드설정!$F$5:$F$7,일일실시사항!$J716)=0,"진행상태 누락; ","")))</f>
        <v/>
      </c>
    </row>
    <row r="1749">
      <c r="A1749" s="26" t="inlineStr">
        <is>
          <t>일일실시사항</t>
        </is>
      </c>
      <c r="B1749" s="66" t="n">
        <v>717</v>
      </c>
      <c r="C1749" s="122">
        <f>IF($D1749="","",IFERROR(TEXT(일일실시사항!$B717,"yyyy-mm-dd"),"(날짜없음)")&amp;"  "&amp;일일실시사항!$D717&amp;"  "&amp;일일실시사항!$H717)</f>
        <v/>
      </c>
      <c r="D1749" s="122">
        <f>IF(NOT(COUNTBLANK(일일실시사항!$B717:$K717)&lt;10),"",TRIM(IF(일일실시사항!$B717="","일자 누락; ","")&amp;IF(COUNTIF(코드설정!$C$5:$C$24,일일실시사항!$D717)=0,"담당자 누락; ","")&amp;IF(COUNTIF(코드설정!$G$5:$G$14,일일실시사항!$F717)=0,"업무구분 누락; ","")&amp;IF(AND(일일실시사항!$G717&lt;&gt;"",COUNTIF(사건마스터!$A$5:$A$64,일일실시사항!$G717)=0),"미등록 사건번호; ","")&amp;IF(일일실시사항!$H717="","실시 내용 없음; ","")&amp;IF(COUNTIF(코드설정!$F$5:$F$7,일일실시사항!$J717)=0,"진행상태 누락; ","")))</f>
        <v/>
      </c>
    </row>
    <row r="1750">
      <c r="A1750" s="26" t="inlineStr">
        <is>
          <t>일일실시사항</t>
        </is>
      </c>
      <c r="B1750" s="66" t="n">
        <v>718</v>
      </c>
      <c r="C1750" s="122">
        <f>IF($D1750="","",IFERROR(TEXT(일일실시사항!$B718,"yyyy-mm-dd"),"(날짜없음)")&amp;"  "&amp;일일실시사항!$D718&amp;"  "&amp;일일실시사항!$H718)</f>
        <v/>
      </c>
      <c r="D1750" s="122">
        <f>IF(NOT(COUNTBLANK(일일실시사항!$B718:$K718)&lt;10),"",TRIM(IF(일일실시사항!$B718="","일자 누락; ","")&amp;IF(COUNTIF(코드설정!$C$5:$C$24,일일실시사항!$D718)=0,"담당자 누락; ","")&amp;IF(COUNTIF(코드설정!$G$5:$G$14,일일실시사항!$F718)=0,"업무구분 누락; ","")&amp;IF(AND(일일실시사항!$G718&lt;&gt;"",COUNTIF(사건마스터!$A$5:$A$64,일일실시사항!$G718)=0),"미등록 사건번호; ","")&amp;IF(일일실시사항!$H718="","실시 내용 없음; ","")&amp;IF(COUNTIF(코드설정!$F$5:$F$7,일일실시사항!$J718)=0,"진행상태 누락; ","")))</f>
        <v/>
      </c>
    </row>
    <row r="1751">
      <c r="A1751" s="26" t="inlineStr">
        <is>
          <t>일일실시사항</t>
        </is>
      </c>
      <c r="B1751" s="66" t="n">
        <v>719</v>
      </c>
      <c r="C1751" s="122">
        <f>IF($D1751="","",IFERROR(TEXT(일일실시사항!$B719,"yyyy-mm-dd"),"(날짜없음)")&amp;"  "&amp;일일실시사항!$D719&amp;"  "&amp;일일실시사항!$H719)</f>
        <v/>
      </c>
      <c r="D1751" s="122">
        <f>IF(NOT(COUNTBLANK(일일실시사항!$B719:$K719)&lt;10),"",TRIM(IF(일일실시사항!$B719="","일자 누락; ","")&amp;IF(COUNTIF(코드설정!$C$5:$C$24,일일실시사항!$D719)=0,"담당자 누락; ","")&amp;IF(COUNTIF(코드설정!$G$5:$G$14,일일실시사항!$F719)=0,"업무구분 누락; ","")&amp;IF(AND(일일실시사항!$G719&lt;&gt;"",COUNTIF(사건마스터!$A$5:$A$64,일일실시사항!$G719)=0),"미등록 사건번호; ","")&amp;IF(일일실시사항!$H719="","실시 내용 없음; ","")&amp;IF(COUNTIF(코드설정!$F$5:$F$7,일일실시사항!$J719)=0,"진행상태 누락; ","")))</f>
        <v/>
      </c>
    </row>
    <row r="1752">
      <c r="A1752" s="26" t="inlineStr">
        <is>
          <t>일일실시사항</t>
        </is>
      </c>
      <c r="B1752" s="66" t="n">
        <v>720</v>
      </c>
      <c r="C1752" s="122">
        <f>IF($D1752="","",IFERROR(TEXT(일일실시사항!$B720,"yyyy-mm-dd"),"(날짜없음)")&amp;"  "&amp;일일실시사항!$D720&amp;"  "&amp;일일실시사항!$H720)</f>
        <v/>
      </c>
      <c r="D1752" s="122">
        <f>IF(NOT(COUNTBLANK(일일실시사항!$B720:$K720)&lt;10),"",TRIM(IF(일일실시사항!$B720="","일자 누락; ","")&amp;IF(COUNTIF(코드설정!$C$5:$C$24,일일실시사항!$D720)=0,"담당자 누락; ","")&amp;IF(COUNTIF(코드설정!$G$5:$G$14,일일실시사항!$F720)=0,"업무구분 누락; ","")&amp;IF(AND(일일실시사항!$G720&lt;&gt;"",COUNTIF(사건마스터!$A$5:$A$64,일일실시사항!$G720)=0),"미등록 사건번호; ","")&amp;IF(일일실시사항!$H720="","실시 내용 없음; ","")&amp;IF(COUNTIF(코드설정!$F$5:$F$7,일일실시사항!$J720)=0,"진행상태 누락; ","")))</f>
        <v/>
      </c>
    </row>
    <row r="1753">
      <c r="A1753" s="26" t="inlineStr">
        <is>
          <t>일일실시사항</t>
        </is>
      </c>
      <c r="B1753" s="66" t="n">
        <v>721</v>
      </c>
      <c r="C1753" s="122">
        <f>IF($D1753="","",IFERROR(TEXT(일일실시사항!$B721,"yyyy-mm-dd"),"(날짜없음)")&amp;"  "&amp;일일실시사항!$D721&amp;"  "&amp;일일실시사항!$H721)</f>
        <v/>
      </c>
      <c r="D1753" s="122">
        <f>IF(NOT(COUNTBLANK(일일실시사항!$B721:$K721)&lt;10),"",TRIM(IF(일일실시사항!$B721="","일자 누락; ","")&amp;IF(COUNTIF(코드설정!$C$5:$C$24,일일실시사항!$D721)=0,"담당자 누락; ","")&amp;IF(COUNTIF(코드설정!$G$5:$G$14,일일실시사항!$F721)=0,"업무구분 누락; ","")&amp;IF(AND(일일실시사항!$G721&lt;&gt;"",COUNTIF(사건마스터!$A$5:$A$64,일일실시사항!$G721)=0),"미등록 사건번호; ","")&amp;IF(일일실시사항!$H721="","실시 내용 없음; ","")&amp;IF(COUNTIF(코드설정!$F$5:$F$7,일일실시사항!$J721)=0,"진행상태 누락; ","")))</f>
        <v/>
      </c>
    </row>
    <row r="1754">
      <c r="A1754" s="26" t="inlineStr">
        <is>
          <t>일일실시사항</t>
        </is>
      </c>
      <c r="B1754" s="66" t="n">
        <v>722</v>
      </c>
      <c r="C1754" s="122">
        <f>IF($D1754="","",IFERROR(TEXT(일일실시사항!$B722,"yyyy-mm-dd"),"(날짜없음)")&amp;"  "&amp;일일실시사항!$D722&amp;"  "&amp;일일실시사항!$H722)</f>
        <v/>
      </c>
      <c r="D1754" s="122">
        <f>IF(NOT(COUNTBLANK(일일실시사항!$B722:$K722)&lt;10),"",TRIM(IF(일일실시사항!$B722="","일자 누락; ","")&amp;IF(COUNTIF(코드설정!$C$5:$C$24,일일실시사항!$D722)=0,"담당자 누락; ","")&amp;IF(COUNTIF(코드설정!$G$5:$G$14,일일실시사항!$F722)=0,"업무구분 누락; ","")&amp;IF(AND(일일실시사항!$G722&lt;&gt;"",COUNTIF(사건마스터!$A$5:$A$64,일일실시사항!$G722)=0),"미등록 사건번호; ","")&amp;IF(일일실시사항!$H722="","실시 내용 없음; ","")&amp;IF(COUNTIF(코드설정!$F$5:$F$7,일일실시사항!$J722)=0,"진행상태 누락; ","")))</f>
        <v/>
      </c>
    </row>
    <row r="1755">
      <c r="A1755" s="26" t="inlineStr">
        <is>
          <t>일일실시사항</t>
        </is>
      </c>
      <c r="B1755" s="66" t="n">
        <v>723</v>
      </c>
      <c r="C1755" s="122">
        <f>IF($D1755="","",IFERROR(TEXT(일일실시사항!$B723,"yyyy-mm-dd"),"(날짜없음)")&amp;"  "&amp;일일실시사항!$D723&amp;"  "&amp;일일실시사항!$H723)</f>
        <v/>
      </c>
      <c r="D1755" s="122">
        <f>IF(NOT(COUNTBLANK(일일실시사항!$B723:$K723)&lt;10),"",TRIM(IF(일일실시사항!$B723="","일자 누락; ","")&amp;IF(COUNTIF(코드설정!$C$5:$C$24,일일실시사항!$D723)=0,"담당자 누락; ","")&amp;IF(COUNTIF(코드설정!$G$5:$G$14,일일실시사항!$F723)=0,"업무구분 누락; ","")&amp;IF(AND(일일실시사항!$G723&lt;&gt;"",COUNTIF(사건마스터!$A$5:$A$64,일일실시사항!$G723)=0),"미등록 사건번호; ","")&amp;IF(일일실시사항!$H723="","실시 내용 없음; ","")&amp;IF(COUNTIF(코드설정!$F$5:$F$7,일일실시사항!$J723)=0,"진행상태 누락; ","")))</f>
        <v/>
      </c>
    </row>
    <row r="1756">
      <c r="A1756" s="26" t="inlineStr">
        <is>
          <t>일일실시사항</t>
        </is>
      </c>
      <c r="B1756" s="66" t="n">
        <v>724</v>
      </c>
      <c r="C1756" s="122">
        <f>IF($D1756="","",IFERROR(TEXT(일일실시사항!$B724,"yyyy-mm-dd"),"(날짜없음)")&amp;"  "&amp;일일실시사항!$D724&amp;"  "&amp;일일실시사항!$H724)</f>
        <v/>
      </c>
      <c r="D1756" s="122">
        <f>IF(NOT(COUNTBLANK(일일실시사항!$B724:$K724)&lt;10),"",TRIM(IF(일일실시사항!$B724="","일자 누락; ","")&amp;IF(COUNTIF(코드설정!$C$5:$C$24,일일실시사항!$D724)=0,"담당자 누락; ","")&amp;IF(COUNTIF(코드설정!$G$5:$G$14,일일실시사항!$F724)=0,"업무구분 누락; ","")&amp;IF(AND(일일실시사항!$G724&lt;&gt;"",COUNTIF(사건마스터!$A$5:$A$64,일일실시사항!$G724)=0),"미등록 사건번호; ","")&amp;IF(일일실시사항!$H724="","실시 내용 없음; ","")&amp;IF(COUNTIF(코드설정!$F$5:$F$7,일일실시사항!$J724)=0,"진행상태 누락; ","")))</f>
        <v/>
      </c>
    </row>
    <row r="1757">
      <c r="A1757" s="26" t="inlineStr">
        <is>
          <t>일일실시사항</t>
        </is>
      </c>
      <c r="B1757" s="66" t="n">
        <v>725</v>
      </c>
      <c r="C1757" s="122">
        <f>IF($D1757="","",IFERROR(TEXT(일일실시사항!$B725,"yyyy-mm-dd"),"(날짜없음)")&amp;"  "&amp;일일실시사항!$D725&amp;"  "&amp;일일실시사항!$H725)</f>
        <v/>
      </c>
      <c r="D1757" s="122">
        <f>IF(NOT(COUNTBLANK(일일실시사항!$B725:$K725)&lt;10),"",TRIM(IF(일일실시사항!$B725="","일자 누락; ","")&amp;IF(COUNTIF(코드설정!$C$5:$C$24,일일실시사항!$D725)=0,"담당자 누락; ","")&amp;IF(COUNTIF(코드설정!$G$5:$G$14,일일실시사항!$F725)=0,"업무구분 누락; ","")&amp;IF(AND(일일실시사항!$G725&lt;&gt;"",COUNTIF(사건마스터!$A$5:$A$64,일일실시사항!$G725)=0),"미등록 사건번호; ","")&amp;IF(일일실시사항!$H725="","실시 내용 없음; ","")&amp;IF(COUNTIF(코드설정!$F$5:$F$7,일일실시사항!$J725)=0,"진행상태 누락; ","")))</f>
        <v/>
      </c>
    </row>
    <row r="1758">
      <c r="A1758" s="26" t="inlineStr">
        <is>
          <t>일일실시사항</t>
        </is>
      </c>
      <c r="B1758" s="66" t="n">
        <v>726</v>
      </c>
      <c r="C1758" s="122">
        <f>IF($D1758="","",IFERROR(TEXT(일일실시사항!$B726,"yyyy-mm-dd"),"(날짜없음)")&amp;"  "&amp;일일실시사항!$D726&amp;"  "&amp;일일실시사항!$H726)</f>
        <v/>
      </c>
      <c r="D1758" s="122">
        <f>IF(NOT(COUNTBLANK(일일실시사항!$B726:$K726)&lt;10),"",TRIM(IF(일일실시사항!$B726="","일자 누락; ","")&amp;IF(COUNTIF(코드설정!$C$5:$C$24,일일실시사항!$D726)=0,"담당자 누락; ","")&amp;IF(COUNTIF(코드설정!$G$5:$G$14,일일실시사항!$F726)=0,"업무구분 누락; ","")&amp;IF(AND(일일실시사항!$G726&lt;&gt;"",COUNTIF(사건마스터!$A$5:$A$64,일일실시사항!$G726)=0),"미등록 사건번호; ","")&amp;IF(일일실시사항!$H726="","실시 내용 없음; ","")&amp;IF(COUNTIF(코드설정!$F$5:$F$7,일일실시사항!$J726)=0,"진행상태 누락; ","")))</f>
        <v/>
      </c>
    </row>
    <row r="1759">
      <c r="A1759" s="26" t="inlineStr">
        <is>
          <t>일일실시사항</t>
        </is>
      </c>
      <c r="B1759" s="66" t="n">
        <v>727</v>
      </c>
      <c r="C1759" s="122">
        <f>IF($D1759="","",IFERROR(TEXT(일일실시사항!$B727,"yyyy-mm-dd"),"(날짜없음)")&amp;"  "&amp;일일실시사항!$D727&amp;"  "&amp;일일실시사항!$H727)</f>
        <v/>
      </c>
      <c r="D1759" s="122">
        <f>IF(NOT(COUNTBLANK(일일실시사항!$B727:$K727)&lt;10),"",TRIM(IF(일일실시사항!$B727="","일자 누락; ","")&amp;IF(COUNTIF(코드설정!$C$5:$C$24,일일실시사항!$D727)=0,"담당자 누락; ","")&amp;IF(COUNTIF(코드설정!$G$5:$G$14,일일실시사항!$F727)=0,"업무구분 누락; ","")&amp;IF(AND(일일실시사항!$G727&lt;&gt;"",COUNTIF(사건마스터!$A$5:$A$64,일일실시사항!$G727)=0),"미등록 사건번호; ","")&amp;IF(일일실시사항!$H727="","실시 내용 없음; ","")&amp;IF(COUNTIF(코드설정!$F$5:$F$7,일일실시사항!$J727)=0,"진행상태 누락; ","")))</f>
        <v/>
      </c>
    </row>
    <row r="1760">
      <c r="A1760" s="26" t="inlineStr">
        <is>
          <t>일일실시사항</t>
        </is>
      </c>
      <c r="B1760" s="66" t="n">
        <v>728</v>
      </c>
      <c r="C1760" s="122">
        <f>IF($D1760="","",IFERROR(TEXT(일일실시사항!$B728,"yyyy-mm-dd"),"(날짜없음)")&amp;"  "&amp;일일실시사항!$D728&amp;"  "&amp;일일실시사항!$H728)</f>
        <v/>
      </c>
      <c r="D1760" s="122">
        <f>IF(NOT(COUNTBLANK(일일실시사항!$B728:$K728)&lt;10),"",TRIM(IF(일일실시사항!$B728="","일자 누락; ","")&amp;IF(COUNTIF(코드설정!$C$5:$C$24,일일실시사항!$D728)=0,"담당자 누락; ","")&amp;IF(COUNTIF(코드설정!$G$5:$G$14,일일실시사항!$F728)=0,"업무구분 누락; ","")&amp;IF(AND(일일실시사항!$G728&lt;&gt;"",COUNTIF(사건마스터!$A$5:$A$64,일일실시사항!$G728)=0),"미등록 사건번호; ","")&amp;IF(일일실시사항!$H728="","실시 내용 없음; ","")&amp;IF(COUNTIF(코드설정!$F$5:$F$7,일일실시사항!$J728)=0,"진행상태 누락; ","")))</f>
        <v/>
      </c>
    </row>
    <row r="1761">
      <c r="A1761" s="26" t="inlineStr">
        <is>
          <t>일일실시사항</t>
        </is>
      </c>
      <c r="B1761" s="66" t="n">
        <v>729</v>
      </c>
      <c r="C1761" s="122">
        <f>IF($D1761="","",IFERROR(TEXT(일일실시사항!$B729,"yyyy-mm-dd"),"(날짜없음)")&amp;"  "&amp;일일실시사항!$D729&amp;"  "&amp;일일실시사항!$H729)</f>
        <v/>
      </c>
      <c r="D1761" s="122">
        <f>IF(NOT(COUNTBLANK(일일실시사항!$B729:$K729)&lt;10),"",TRIM(IF(일일실시사항!$B729="","일자 누락; ","")&amp;IF(COUNTIF(코드설정!$C$5:$C$24,일일실시사항!$D729)=0,"담당자 누락; ","")&amp;IF(COUNTIF(코드설정!$G$5:$G$14,일일실시사항!$F729)=0,"업무구분 누락; ","")&amp;IF(AND(일일실시사항!$G729&lt;&gt;"",COUNTIF(사건마스터!$A$5:$A$64,일일실시사항!$G729)=0),"미등록 사건번호; ","")&amp;IF(일일실시사항!$H729="","실시 내용 없음; ","")&amp;IF(COUNTIF(코드설정!$F$5:$F$7,일일실시사항!$J729)=0,"진행상태 누락; ","")))</f>
        <v/>
      </c>
    </row>
    <row r="1762">
      <c r="A1762" s="26" t="inlineStr">
        <is>
          <t>일일실시사항</t>
        </is>
      </c>
      <c r="B1762" s="66" t="n">
        <v>730</v>
      </c>
      <c r="C1762" s="122">
        <f>IF($D1762="","",IFERROR(TEXT(일일실시사항!$B730,"yyyy-mm-dd"),"(날짜없음)")&amp;"  "&amp;일일실시사항!$D730&amp;"  "&amp;일일실시사항!$H730)</f>
        <v/>
      </c>
      <c r="D1762" s="122">
        <f>IF(NOT(COUNTBLANK(일일실시사항!$B730:$K730)&lt;10),"",TRIM(IF(일일실시사항!$B730="","일자 누락; ","")&amp;IF(COUNTIF(코드설정!$C$5:$C$24,일일실시사항!$D730)=0,"담당자 누락; ","")&amp;IF(COUNTIF(코드설정!$G$5:$G$14,일일실시사항!$F730)=0,"업무구분 누락; ","")&amp;IF(AND(일일실시사항!$G730&lt;&gt;"",COUNTIF(사건마스터!$A$5:$A$64,일일실시사항!$G730)=0),"미등록 사건번호; ","")&amp;IF(일일실시사항!$H730="","실시 내용 없음; ","")&amp;IF(COUNTIF(코드설정!$F$5:$F$7,일일실시사항!$J730)=0,"진행상태 누락; ","")))</f>
        <v/>
      </c>
    </row>
    <row r="1763">
      <c r="A1763" s="26" t="inlineStr">
        <is>
          <t>일일실시사항</t>
        </is>
      </c>
      <c r="B1763" s="66" t="n">
        <v>731</v>
      </c>
      <c r="C1763" s="122">
        <f>IF($D1763="","",IFERROR(TEXT(일일실시사항!$B731,"yyyy-mm-dd"),"(날짜없음)")&amp;"  "&amp;일일실시사항!$D731&amp;"  "&amp;일일실시사항!$H731)</f>
        <v/>
      </c>
      <c r="D1763" s="122">
        <f>IF(NOT(COUNTBLANK(일일실시사항!$B731:$K731)&lt;10),"",TRIM(IF(일일실시사항!$B731="","일자 누락; ","")&amp;IF(COUNTIF(코드설정!$C$5:$C$24,일일실시사항!$D731)=0,"담당자 누락; ","")&amp;IF(COUNTIF(코드설정!$G$5:$G$14,일일실시사항!$F731)=0,"업무구분 누락; ","")&amp;IF(AND(일일실시사항!$G731&lt;&gt;"",COUNTIF(사건마스터!$A$5:$A$64,일일실시사항!$G731)=0),"미등록 사건번호; ","")&amp;IF(일일실시사항!$H731="","실시 내용 없음; ","")&amp;IF(COUNTIF(코드설정!$F$5:$F$7,일일실시사항!$J731)=0,"진행상태 누락; ","")))</f>
        <v/>
      </c>
    </row>
    <row r="1764">
      <c r="A1764" s="26" t="inlineStr">
        <is>
          <t>일일실시사항</t>
        </is>
      </c>
      <c r="B1764" s="66" t="n">
        <v>732</v>
      </c>
      <c r="C1764" s="122">
        <f>IF($D1764="","",IFERROR(TEXT(일일실시사항!$B732,"yyyy-mm-dd"),"(날짜없음)")&amp;"  "&amp;일일실시사항!$D732&amp;"  "&amp;일일실시사항!$H732)</f>
        <v/>
      </c>
      <c r="D1764" s="122">
        <f>IF(NOT(COUNTBLANK(일일실시사항!$B732:$K732)&lt;10),"",TRIM(IF(일일실시사항!$B732="","일자 누락; ","")&amp;IF(COUNTIF(코드설정!$C$5:$C$24,일일실시사항!$D732)=0,"담당자 누락; ","")&amp;IF(COUNTIF(코드설정!$G$5:$G$14,일일실시사항!$F732)=0,"업무구분 누락; ","")&amp;IF(AND(일일실시사항!$G732&lt;&gt;"",COUNTIF(사건마스터!$A$5:$A$64,일일실시사항!$G732)=0),"미등록 사건번호; ","")&amp;IF(일일실시사항!$H732="","실시 내용 없음; ","")&amp;IF(COUNTIF(코드설정!$F$5:$F$7,일일실시사항!$J732)=0,"진행상태 누락; ","")))</f>
        <v/>
      </c>
    </row>
    <row r="1765">
      <c r="A1765" s="26" t="inlineStr">
        <is>
          <t>일일실시사항</t>
        </is>
      </c>
      <c r="B1765" s="66" t="n">
        <v>733</v>
      </c>
      <c r="C1765" s="122">
        <f>IF($D1765="","",IFERROR(TEXT(일일실시사항!$B733,"yyyy-mm-dd"),"(날짜없음)")&amp;"  "&amp;일일실시사항!$D733&amp;"  "&amp;일일실시사항!$H733)</f>
        <v/>
      </c>
      <c r="D1765" s="122">
        <f>IF(NOT(COUNTBLANK(일일실시사항!$B733:$K733)&lt;10),"",TRIM(IF(일일실시사항!$B733="","일자 누락; ","")&amp;IF(COUNTIF(코드설정!$C$5:$C$24,일일실시사항!$D733)=0,"담당자 누락; ","")&amp;IF(COUNTIF(코드설정!$G$5:$G$14,일일실시사항!$F733)=0,"업무구분 누락; ","")&amp;IF(AND(일일실시사항!$G733&lt;&gt;"",COUNTIF(사건마스터!$A$5:$A$64,일일실시사항!$G733)=0),"미등록 사건번호; ","")&amp;IF(일일실시사항!$H733="","실시 내용 없음; ","")&amp;IF(COUNTIF(코드설정!$F$5:$F$7,일일실시사항!$J733)=0,"진행상태 누락; ","")))</f>
        <v/>
      </c>
    </row>
    <row r="1766">
      <c r="A1766" s="26" t="inlineStr">
        <is>
          <t>일일실시사항</t>
        </is>
      </c>
      <c r="B1766" s="66" t="n">
        <v>734</v>
      </c>
      <c r="C1766" s="122">
        <f>IF($D1766="","",IFERROR(TEXT(일일실시사항!$B734,"yyyy-mm-dd"),"(날짜없음)")&amp;"  "&amp;일일실시사항!$D734&amp;"  "&amp;일일실시사항!$H734)</f>
        <v/>
      </c>
      <c r="D1766" s="122">
        <f>IF(NOT(COUNTBLANK(일일실시사항!$B734:$K734)&lt;10),"",TRIM(IF(일일실시사항!$B734="","일자 누락; ","")&amp;IF(COUNTIF(코드설정!$C$5:$C$24,일일실시사항!$D734)=0,"담당자 누락; ","")&amp;IF(COUNTIF(코드설정!$G$5:$G$14,일일실시사항!$F734)=0,"업무구분 누락; ","")&amp;IF(AND(일일실시사항!$G734&lt;&gt;"",COUNTIF(사건마스터!$A$5:$A$64,일일실시사항!$G734)=0),"미등록 사건번호; ","")&amp;IF(일일실시사항!$H734="","실시 내용 없음; ","")&amp;IF(COUNTIF(코드설정!$F$5:$F$7,일일실시사항!$J734)=0,"진행상태 누락; ","")))</f>
        <v/>
      </c>
    </row>
    <row r="1767">
      <c r="A1767" s="26" t="inlineStr">
        <is>
          <t>일일실시사항</t>
        </is>
      </c>
      <c r="B1767" s="66" t="n">
        <v>735</v>
      </c>
      <c r="C1767" s="122">
        <f>IF($D1767="","",IFERROR(TEXT(일일실시사항!$B735,"yyyy-mm-dd"),"(날짜없음)")&amp;"  "&amp;일일실시사항!$D735&amp;"  "&amp;일일실시사항!$H735)</f>
        <v/>
      </c>
      <c r="D1767" s="122">
        <f>IF(NOT(COUNTBLANK(일일실시사항!$B735:$K735)&lt;10),"",TRIM(IF(일일실시사항!$B735="","일자 누락; ","")&amp;IF(COUNTIF(코드설정!$C$5:$C$24,일일실시사항!$D735)=0,"담당자 누락; ","")&amp;IF(COUNTIF(코드설정!$G$5:$G$14,일일실시사항!$F735)=0,"업무구분 누락; ","")&amp;IF(AND(일일실시사항!$G735&lt;&gt;"",COUNTIF(사건마스터!$A$5:$A$64,일일실시사항!$G735)=0),"미등록 사건번호; ","")&amp;IF(일일실시사항!$H735="","실시 내용 없음; ","")&amp;IF(COUNTIF(코드설정!$F$5:$F$7,일일실시사항!$J735)=0,"진행상태 누락; ","")))</f>
        <v/>
      </c>
    </row>
    <row r="1768">
      <c r="A1768" s="26" t="inlineStr">
        <is>
          <t>일일실시사항</t>
        </is>
      </c>
      <c r="B1768" s="66" t="n">
        <v>736</v>
      </c>
      <c r="C1768" s="122">
        <f>IF($D1768="","",IFERROR(TEXT(일일실시사항!$B736,"yyyy-mm-dd"),"(날짜없음)")&amp;"  "&amp;일일실시사항!$D736&amp;"  "&amp;일일실시사항!$H736)</f>
        <v/>
      </c>
      <c r="D1768" s="122">
        <f>IF(NOT(COUNTBLANK(일일실시사항!$B736:$K736)&lt;10),"",TRIM(IF(일일실시사항!$B736="","일자 누락; ","")&amp;IF(COUNTIF(코드설정!$C$5:$C$24,일일실시사항!$D736)=0,"담당자 누락; ","")&amp;IF(COUNTIF(코드설정!$G$5:$G$14,일일실시사항!$F736)=0,"업무구분 누락; ","")&amp;IF(AND(일일실시사항!$G736&lt;&gt;"",COUNTIF(사건마스터!$A$5:$A$64,일일실시사항!$G736)=0),"미등록 사건번호; ","")&amp;IF(일일실시사항!$H736="","실시 내용 없음; ","")&amp;IF(COUNTIF(코드설정!$F$5:$F$7,일일실시사항!$J736)=0,"진행상태 누락; ","")))</f>
        <v/>
      </c>
    </row>
    <row r="1769">
      <c r="A1769" s="26" t="inlineStr">
        <is>
          <t>일일실시사항</t>
        </is>
      </c>
      <c r="B1769" s="66" t="n">
        <v>737</v>
      </c>
      <c r="C1769" s="122">
        <f>IF($D1769="","",IFERROR(TEXT(일일실시사항!$B737,"yyyy-mm-dd"),"(날짜없음)")&amp;"  "&amp;일일실시사항!$D737&amp;"  "&amp;일일실시사항!$H737)</f>
        <v/>
      </c>
      <c r="D1769" s="122">
        <f>IF(NOT(COUNTBLANK(일일실시사항!$B737:$K737)&lt;10),"",TRIM(IF(일일실시사항!$B737="","일자 누락; ","")&amp;IF(COUNTIF(코드설정!$C$5:$C$24,일일실시사항!$D737)=0,"담당자 누락; ","")&amp;IF(COUNTIF(코드설정!$G$5:$G$14,일일실시사항!$F737)=0,"업무구분 누락; ","")&amp;IF(AND(일일실시사항!$G737&lt;&gt;"",COUNTIF(사건마스터!$A$5:$A$64,일일실시사항!$G737)=0),"미등록 사건번호; ","")&amp;IF(일일실시사항!$H737="","실시 내용 없음; ","")&amp;IF(COUNTIF(코드설정!$F$5:$F$7,일일실시사항!$J737)=0,"진행상태 누락; ","")))</f>
        <v/>
      </c>
    </row>
    <row r="1770">
      <c r="A1770" s="26" t="inlineStr">
        <is>
          <t>일일실시사항</t>
        </is>
      </c>
      <c r="B1770" s="66" t="n">
        <v>738</v>
      </c>
      <c r="C1770" s="122">
        <f>IF($D1770="","",IFERROR(TEXT(일일실시사항!$B738,"yyyy-mm-dd"),"(날짜없음)")&amp;"  "&amp;일일실시사항!$D738&amp;"  "&amp;일일실시사항!$H738)</f>
        <v/>
      </c>
      <c r="D1770" s="122">
        <f>IF(NOT(COUNTBLANK(일일실시사항!$B738:$K738)&lt;10),"",TRIM(IF(일일실시사항!$B738="","일자 누락; ","")&amp;IF(COUNTIF(코드설정!$C$5:$C$24,일일실시사항!$D738)=0,"담당자 누락; ","")&amp;IF(COUNTIF(코드설정!$G$5:$G$14,일일실시사항!$F738)=0,"업무구분 누락; ","")&amp;IF(AND(일일실시사항!$G738&lt;&gt;"",COUNTIF(사건마스터!$A$5:$A$64,일일실시사항!$G738)=0),"미등록 사건번호; ","")&amp;IF(일일실시사항!$H738="","실시 내용 없음; ","")&amp;IF(COUNTIF(코드설정!$F$5:$F$7,일일실시사항!$J738)=0,"진행상태 누락; ","")))</f>
        <v/>
      </c>
    </row>
    <row r="1771">
      <c r="A1771" s="26" t="inlineStr">
        <is>
          <t>일일실시사항</t>
        </is>
      </c>
      <c r="B1771" s="66" t="n">
        <v>739</v>
      </c>
      <c r="C1771" s="122">
        <f>IF($D1771="","",IFERROR(TEXT(일일실시사항!$B739,"yyyy-mm-dd"),"(날짜없음)")&amp;"  "&amp;일일실시사항!$D739&amp;"  "&amp;일일실시사항!$H739)</f>
        <v/>
      </c>
      <c r="D1771" s="122">
        <f>IF(NOT(COUNTBLANK(일일실시사항!$B739:$K739)&lt;10),"",TRIM(IF(일일실시사항!$B739="","일자 누락; ","")&amp;IF(COUNTIF(코드설정!$C$5:$C$24,일일실시사항!$D739)=0,"담당자 누락; ","")&amp;IF(COUNTIF(코드설정!$G$5:$G$14,일일실시사항!$F739)=0,"업무구분 누락; ","")&amp;IF(AND(일일실시사항!$G739&lt;&gt;"",COUNTIF(사건마스터!$A$5:$A$64,일일실시사항!$G739)=0),"미등록 사건번호; ","")&amp;IF(일일실시사항!$H739="","실시 내용 없음; ","")&amp;IF(COUNTIF(코드설정!$F$5:$F$7,일일실시사항!$J739)=0,"진행상태 누락; ","")))</f>
        <v/>
      </c>
    </row>
    <row r="1772">
      <c r="A1772" s="26" t="inlineStr">
        <is>
          <t>일일실시사항</t>
        </is>
      </c>
      <c r="B1772" s="66" t="n">
        <v>740</v>
      </c>
      <c r="C1772" s="122">
        <f>IF($D1772="","",IFERROR(TEXT(일일실시사항!$B740,"yyyy-mm-dd"),"(날짜없음)")&amp;"  "&amp;일일실시사항!$D740&amp;"  "&amp;일일실시사항!$H740)</f>
        <v/>
      </c>
      <c r="D1772" s="122">
        <f>IF(NOT(COUNTBLANK(일일실시사항!$B740:$K740)&lt;10),"",TRIM(IF(일일실시사항!$B740="","일자 누락; ","")&amp;IF(COUNTIF(코드설정!$C$5:$C$24,일일실시사항!$D740)=0,"담당자 누락; ","")&amp;IF(COUNTIF(코드설정!$G$5:$G$14,일일실시사항!$F740)=0,"업무구분 누락; ","")&amp;IF(AND(일일실시사항!$G740&lt;&gt;"",COUNTIF(사건마스터!$A$5:$A$64,일일실시사항!$G740)=0),"미등록 사건번호; ","")&amp;IF(일일실시사항!$H740="","실시 내용 없음; ","")&amp;IF(COUNTIF(코드설정!$F$5:$F$7,일일실시사항!$J740)=0,"진행상태 누락; ","")))</f>
        <v/>
      </c>
    </row>
    <row r="1773">
      <c r="A1773" s="26" t="inlineStr">
        <is>
          <t>일일실시사항</t>
        </is>
      </c>
      <c r="B1773" s="66" t="n">
        <v>741</v>
      </c>
      <c r="C1773" s="122">
        <f>IF($D1773="","",IFERROR(TEXT(일일실시사항!$B741,"yyyy-mm-dd"),"(날짜없음)")&amp;"  "&amp;일일실시사항!$D741&amp;"  "&amp;일일실시사항!$H741)</f>
        <v/>
      </c>
      <c r="D1773" s="122">
        <f>IF(NOT(COUNTBLANK(일일실시사항!$B741:$K741)&lt;10),"",TRIM(IF(일일실시사항!$B741="","일자 누락; ","")&amp;IF(COUNTIF(코드설정!$C$5:$C$24,일일실시사항!$D741)=0,"담당자 누락; ","")&amp;IF(COUNTIF(코드설정!$G$5:$G$14,일일실시사항!$F741)=0,"업무구분 누락; ","")&amp;IF(AND(일일실시사항!$G741&lt;&gt;"",COUNTIF(사건마스터!$A$5:$A$64,일일실시사항!$G741)=0),"미등록 사건번호; ","")&amp;IF(일일실시사항!$H741="","실시 내용 없음; ","")&amp;IF(COUNTIF(코드설정!$F$5:$F$7,일일실시사항!$J741)=0,"진행상태 누락; ","")))</f>
        <v/>
      </c>
    </row>
    <row r="1774">
      <c r="A1774" s="26" t="inlineStr">
        <is>
          <t>일일실시사항</t>
        </is>
      </c>
      <c r="B1774" s="66" t="n">
        <v>742</v>
      </c>
      <c r="C1774" s="122">
        <f>IF($D1774="","",IFERROR(TEXT(일일실시사항!$B742,"yyyy-mm-dd"),"(날짜없음)")&amp;"  "&amp;일일실시사항!$D742&amp;"  "&amp;일일실시사항!$H742)</f>
        <v/>
      </c>
      <c r="D1774" s="122">
        <f>IF(NOT(COUNTBLANK(일일실시사항!$B742:$K742)&lt;10),"",TRIM(IF(일일실시사항!$B742="","일자 누락; ","")&amp;IF(COUNTIF(코드설정!$C$5:$C$24,일일실시사항!$D742)=0,"담당자 누락; ","")&amp;IF(COUNTIF(코드설정!$G$5:$G$14,일일실시사항!$F742)=0,"업무구분 누락; ","")&amp;IF(AND(일일실시사항!$G742&lt;&gt;"",COUNTIF(사건마스터!$A$5:$A$64,일일실시사항!$G742)=0),"미등록 사건번호; ","")&amp;IF(일일실시사항!$H742="","실시 내용 없음; ","")&amp;IF(COUNTIF(코드설정!$F$5:$F$7,일일실시사항!$J742)=0,"진행상태 누락; ","")))</f>
        <v/>
      </c>
    </row>
    <row r="1775">
      <c r="A1775" s="26" t="inlineStr">
        <is>
          <t>일일실시사항</t>
        </is>
      </c>
      <c r="B1775" s="66" t="n">
        <v>743</v>
      </c>
      <c r="C1775" s="122">
        <f>IF($D1775="","",IFERROR(TEXT(일일실시사항!$B743,"yyyy-mm-dd"),"(날짜없음)")&amp;"  "&amp;일일실시사항!$D743&amp;"  "&amp;일일실시사항!$H743)</f>
        <v/>
      </c>
      <c r="D1775" s="122">
        <f>IF(NOT(COUNTBLANK(일일실시사항!$B743:$K743)&lt;10),"",TRIM(IF(일일실시사항!$B743="","일자 누락; ","")&amp;IF(COUNTIF(코드설정!$C$5:$C$24,일일실시사항!$D743)=0,"담당자 누락; ","")&amp;IF(COUNTIF(코드설정!$G$5:$G$14,일일실시사항!$F743)=0,"업무구분 누락; ","")&amp;IF(AND(일일실시사항!$G743&lt;&gt;"",COUNTIF(사건마스터!$A$5:$A$64,일일실시사항!$G743)=0),"미등록 사건번호; ","")&amp;IF(일일실시사항!$H743="","실시 내용 없음; ","")&amp;IF(COUNTIF(코드설정!$F$5:$F$7,일일실시사항!$J743)=0,"진행상태 누락; ","")))</f>
        <v/>
      </c>
    </row>
    <row r="1776">
      <c r="A1776" s="26" t="inlineStr">
        <is>
          <t>일일실시사항</t>
        </is>
      </c>
      <c r="B1776" s="66" t="n">
        <v>744</v>
      </c>
      <c r="C1776" s="122">
        <f>IF($D1776="","",IFERROR(TEXT(일일실시사항!$B744,"yyyy-mm-dd"),"(날짜없음)")&amp;"  "&amp;일일실시사항!$D744&amp;"  "&amp;일일실시사항!$H744)</f>
        <v/>
      </c>
      <c r="D1776" s="122">
        <f>IF(NOT(COUNTBLANK(일일실시사항!$B744:$K744)&lt;10),"",TRIM(IF(일일실시사항!$B744="","일자 누락; ","")&amp;IF(COUNTIF(코드설정!$C$5:$C$24,일일실시사항!$D744)=0,"담당자 누락; ","")&amp;IF(COUNTIF(코드설정!$G$5:$G$14,일일실시사항!$F744)=0,"업무구분 누락; ","")&amp;IF(AND(일일실시사항!$G744&lt;&gt;"",COUNTIF(사건마스터!$A$5:$A$64,일일실시사항!$G744)=0),"미등록 사건번호; ","")&amp;IF(일일실시사항!$H744="","실시 내용 없음; ","")&amp;IF(COUNTIF(코드설정!$F$5:$F$7,일일실시사항!$J744)=0,"진행상태 누락; ","")))</f>
        <v/>
      </c>
    </row>
    <row r="1777">
      <c r="A1777" s="26" t="inlineStr">
        <is>
          <t>일일실시사항</t>
        </is>
      </c>
      <c r="B1777" s="66" t="n">
        <v>745</v>
      </c>
      <c r="C1777" s="122">
        <f>IF($D1777="","",IFERROR(TEXT(일일실시사항!$B745,"yyyy-mm-dd"),"(날짜없음)")&amp;"  "&amp;일일실시사항!$D745&amp;"  "&amp;일일실시사항!$H745)</f>
        <v/>
      </c>
      <c r="D1777" s="122">
        <f>IF(NOT(COUNTBLANK(일일실시사항!$B745:$K745)&lt;10),"",TRIM(IF(일일실시사항!$B745="","일자 누락; ","")&amp;IF(COUNTIF(코드설정!$C$5:$C$24,일일실시사항!$D745)=0,"담당자 누락; ","")&amp;IF(COUNTIF(코드설정!$G$5:$G$14,일일실시사항!$F745)=0,"업무구분 누락; ","")&amp;IF(AND(일일실시사항!$G745&lt;&gt;"",COUNTIF(사건마스터!$A$5:$A$64,일일실시사항!$G745)=0),"미등록 사건번호; ","")&amp;IF(일일실시사항!$H745="","실시 내용 없음; ","")&amp;IF(COUNTIF(코드설정!$F$5:$F$7,일일실시사항!$J745)=0,"진행상태 누락; ","")))</f>
        <v/>
      </c>
    </row>
    <row r="1778">
      <c r="A1778" s="26" t="inlineStr">
        <is>
          <t>일일실시사항</t>
        </is>
      </c>
      <c r="B1778" s="66" t="n">
        <v>746</v>
      </c>
      <c r="C1778" s="122">
        <f>IF($D1778="","",IFERROR(TEXT(일일실시사항!$B746,"yyyy-mm-dd"),"(날짜없음)")&amp;"  "&amp;일일실시사항!$D746&amp;"  "&amp;일일실시사항!$H746)</f>
        <v/>
      </c>
      <c r="D1778" s="122">
        <f>IF(NOT(COUNTBLANK(일일실시사항!$B746:$K746)&lt;10),"",TRIM(IF(일일실시사항!$B746="","일자 누락; ","")&amp;IF(COUNTIF(코드설정!$C$5:$C$24,일일실시사항!$D746)=0,"담당자 누락; ","")&amp;IF(COUNTIF(코드설정!$G$5:$G$14,일일실시사항!$F746)=0,"업무구분 누락; ","")&amp;IF(AND(일일실시사항!$G746&lt;&gt;"",COUNTIF(사건마스터!$A$5:$A$64,일일실시사항!$G746)=0),"미등록 사건번호; ","")&amp;IF(일일실시사항!$H746="","실시 내용 없음; ","")&amp;IF(COUNTIF(코드설정!$F$5:$F$7,일일실시사항!$J746)=0,"진행상태 누락; ","")))</f>
        <v/>
      </c>
    </row>
    <row r="1779">
      <c r="A1779" s="26" t="inlineStr">
        <is>
          <t>일일실시사항</t>
        </is>
      </c>
      <c r="B1779" s="66" t="n">
        <v>747</v>
      </c>
      <c r="C1779" s="122">
        <f>IF($D1779="","",IFERROR(TEXT(일일실시사항!$B747,"yyyy-mm-dd"),"(날짜없음)")&amp;"  "&amp;일일실시사항!$D747&amp;"  "&amp;일일실시사항!$H747)</f>
        <v/>
      </c>
      <c r="D1779" s="122">
        <f>IF(NOT(COUNTBLANK(일일실시사항!$B747:$K747)&lt;10),"",TRIM(IF(일일실시사항!$B747="","일자 누락; ","")&amp;IF(COUNTIF(코드설정!$C$5:$C$24,일일실시사항!$D747)=0,"담당자 누락; ","")&amp;IF(COUNTIF(코드설정!$G$5:$G$14,일일실시사항!$F747)=0,"업무구분 누락; ","")&amp;IF(AND(일일실시사항!$G747&lt;&gt;"",COUNTIF(사건마스터!$A$5:$A$64,일일실시사항!$G747)=0),"미등록 사건번호; ","")&amp;IF(일일실시사항!$H747="","실시 내용 없음; ","")&amp;IF(COUNTIF(코드설정!$F$5:$F$7,일일실시사항!$J747)=0,"진행상태 누락; ","")))</f>
        <v/>
      </c>
    </row>
    <row r="1780">
      <c r="A1780" s="26" t="inlineStr">
        <is>
          <t>일일실시사항</t>
        </is>
      </c>
      <c r="B1780" s="66" t="n">
        <v>748</v>
      </c>
      <c r="C1780" s="122">
        <f>IF($D1780="","",IFERROR(TEXT(일일실시사항!$B748,"yyyy-mm-dd"),"(날짜없음)")&amp;"  "&amp;일일실시사항!$D748&amp;"  "&amp;일일실시사항!$H748)</f>
        <v/>
      </c>
      <c r="D1780" s="122">
        <f>IF(NOT(COUNTBLANK(일일실시사항!$B748:$K748)&lt;10),"",TRIM(IF(일일실시사항!$B748="","일자 누락; ","")&amp;IF(COUNTIF(코드설정!$C$5:$C$24,일일실시사항!$D748)=0,"담당자 누락; ","")&amp;IF(COUNTIF(코드설정!$G$5:$G$14,일일실시사항!$F748)=0,"업무구분 누락; ","")&amp;IF(AND(일일실시사항!$G748&lt;&gt;"",COUNTIF(사건마스터!$A$5:$A$64,일일실시사항!$G748)=0),"미등록 사건번호; ","")&amp;IF(일일실시사항!$H748="","실시 내용 없음; ","")&amp;IF(COUNTIF(코드설정!$F$5:$F$7,일일실시사항!$J748)=0,"진행상태 누락; ","")))</f>
        <v/>
      </c>
    </row>
    <row r="1781">
      <c r="A1781" s="26" t="inlineStr">
        <is>
          <t>일일실시사항</t>
        </is>
      </c>
      <c r="B1781" s="66" t="n">
        <v>749</v>
      </c>
      <c r="C1781" s="122">
        <f>IF($D1781="","",IFERROR(TEXT(일일실시사항!$B749,"yyyy-mm-dd"),"(날짜없음)")&amp;"  "&amp;일일실시사항!$D749&amp;"  "&amp;일일실시사항!$H749)</f>
        <v/>
      </c>
      <c r="D1781" s="122">
        <f>IF(NOT(COUNTBLANK(일일실시사항!$B749:$K749)&lt;10),"",TRIM(IF(일일실시사항!$B749="","일자 누락; ","")&amp;IF(COUNTIF(코드설정!$C$5:$C$24,일일실시사항!$D749)=0,"담당자 누락; ","")&amp;IF(COUNTIF(코드설정!$G$5:$G$14,일일실시사항!$F749)=0,"업무구분 누락; ","")&amp;IF(AND(일일실시사항!$G749&lt;&gt;"",COUNTIF(사건마스터!$A$5:$A$64,일일실시사항!$G749)=0),"미등록 사건번호; ","")&amp;IF(일일실시사항!$H749="","실시 내용 없음; ","")&amp;IF(COUNTIF(코드설정!$F$5:$F$7,일일실시사항!$J749)=0,"진행상태 누락; ","")))</f>
        <v/>
      </c>
    </row>
    <row r="1782">
      <c r="A1782" s="26" t="inlineStr">
        <is>
          <t>일일실시사항</t>
        </is>
      </c>
      <c r="B1782" s="66" t="n">
        <v>750</v>
      </c>
      <c r="C1782" s="122">
        <f>IF($D1782="","",IFERROR(TEXT(일일실시사항!$B750,"yyyy-mm-dd"),"(날짜없음)")&amp;"  "&amp;일일실시사항!$D750&amp;"  "&amp;일일실시사항!$H750)</f>
        <v/>
      </c>
      <c r="D1782" s="122">
        <f>IF(NOT(COUNTBLANK(일일실시사항!$B750:$K750)&lt;10),"",TRIM(IF(일일실시사항!$B750="","일자 누락; ","")&amp;IF(COUNTIF(코드설정!$C$5:$C$24,일일실시사항!$D750)=0,"담당자 누락; ","")&amp;IF(COUNTIF(코드설정!$G$5:$G$14,일일실시사항!$F750)=0,"업무구분 누락; ","")&amp;IF(AND(일일실시사항!$G750&lt;&gt;"",COUNTIF(사건마스터!$A$5:$A$64,일일실시사항!$G750)=0),"미등록 사건번호; ","")&amp;IF(일일실시사항!$H750="","실시 내용 없음; ","")&amp;IF(COUNTIF(코드설정!$F$5:$F$7,일일실시사항!$J750)=0,"진행상태 누락; ","")))</f>
        <v/>
      </c>
    </row>
    <row r="1783">
      <c r="A1783" s="26" t="inlineStr">
        <is>
          <t>일일실시사항</t>
        </is>
      </c>
      <c r="B1783" s="66" t="n">
        <v>751</v>
      </c>
      <c r="C1783" s="122">
        <f>IF($D1783="","",IFERROR(TEXT(일일실시사항!$B751,"yyyy-mm-dd"),"(날짜없음)")&amp;"  "&amp;일일실시사항!$D751&amp;"  "&amp;일일실시사항!$H751)</f>
        <v/>
      </c>
      <c r="D1783" s="122">
        <f>IF(NOT(COUNTBLANK(일일실시사항!$B751:$K751)&lt;10),"",TRIM(IF(일일실시사항!$B751="","일자 누락; ","")&amp;IF(COUNTIF(코드설정!$C$5:$C$24,일일실시사항!$D751)=0,"담당자 누락; ","")&amp;IF(COUNTIF(코드설정!$G$5:$G$14,일일실시사항!$F751)=0,"업무구분 누락; ","")&amp;IF(AND(일일실시사항!$G751&lt;&gt;"",COUNTIF(사건마스터!$A$5:$A$64,일일실시사항!$G751)=0),"미등록 사건번호; ","")&amp;IF(일일실시사항!$H751="","실시 내용 없음; ","")&amp;IF(COUNTIF(코드설정!$F$5:$F$7,일일실시사항!$J751)=0,"진행상태 누락; ","")))</f>
        <v/>
      </c>
    </row>
    <row r="1784">
      <c r="A1784" s="26" t="inlineStr">
        <is>
          <t>일일실시사항</t>
        </is>
      </c>
      <c r="B1784" s="66" t="n">
        <v>752</v>
      </c>
      <c r="C1784" s="122">
        <f>IF($D1784="","",IFERROR(TEXT(일일실시사항!$B752,"yyyy-mm-dd"),"(날짜없음)")&amp;"  "&amp;일일실시사항!$D752&amp;"  "&amp;일일실시사항!$H752)</f>
        <v/>
      </c>
      <c r="D1784" s="122">
        <f>IF(NOT(COUNTBLANK(일일실시사항!$B752:$K752)&lt;10),"",TRIM(IF(일일실시사항!$B752="","일자 누락; ","")&amp;IF(COUNTIF(코드설정!$C$5:$C$24,일일실시사항!$D752)=0,"담당자 누락; ","")&amp;IF(COUNTIF(코드설정!$G$5:$G$14,일일실시사항!$F752)=0,"업무구분 누락; ","")&amp;IF(AND(일일실시사항!$G752&lt;&gt;"",COUNTIF(사건마스터!$A$5:$A$64,일일실시사항!$G752)=0),"미등록 사건번호; ","")&amp;IF(일일실시사항!$H752="","실시 내용 없음; ","")&amp;IF(COUNTIF(코드설정!$F$5:$F$7,일일실시사항!$J752)=0,"진행상태 누락; ","")))</f>
        <v/>
      </c>
    </row>
    <row r="1785">
      <c r="A1785" s="26" t="inlineStr">
        <is>
          <t>일일실시사항</t>
        </is>
      </c>
      <c r="B1785" s="66" t="n">
        <v>753</v>
      </c>
      <c r="C1785" s="122">
        <f>IF($D1785="","",IFERROR(TEXT(일일실시사항!$B753,"yyyy-mm-dd"),"(날짜없음)")&amp;"  "&amp;일일실시사항!$D753&amp;"  "&amp;일일실시사항!$H753)</f>
        <v/>
      </c>
      <c r="D1785" s="122">
        <f>IF(NOT(COUNTBLANK(일일실시사항!$B753:$K753)&lt;10),"",TRIM(IF(일일실시사항!$B753="","일자 누락; ","")&amp;IF(COUNTIF(코드설정!$C$5:$C$24,일일실시사항!$D753)=0,"담당자 누락; ","")&amp;IF(COUNTIF(코드설정!$G$5:$G$14,일일실시사항!$F753)=0,"업무구분 누락; ","")&amp;IF(AND(일일실시사항!$G753&lt;&gt;"",COUNTIF(사건마스터!$A$5:$A$64,일일실시사항!$G753)=0),"미등록 사건번호; ","")&amp;IF(일일실시사항!$H753="","실시 내용 없음; ","")&amp;IF(COUNTIF(코드설정!$F$5:$F$7,일일실시사항!$J753)=0,"진행상태 누락; ","")))</f>
        <v/>
      </c>
    </row>
    <row r="1786">
      <c r="A1786" s="26" t="inlineStr">
        <is>
          <t>일일실시사항</t>
        </is>
      </c>
      <c r="B1786" s="66" t="n">
        <v>754</v>
      </c>
      <c r="C1786" s="122">
        <f>IF($D1786="","",IFERROR(TEXT(일일실시사항!$B754,"yyyy-mm-dd"),"(날짜없음)")&amp;"  "&amp;일일실시사항!$D754&amp;"  "&amp;일일실시사항!$H754)</f>
        <v/>
      </c>
      <c r="D1786" s="122">
        <f>IF(NOT(COUNTBLANK(일일실시사항!$B754:$K754)&lt;10),"",TRIM(IF(일일실시사항!$B754="","일자 누락; ","")&amp;IF(COUNTIF(코드설정!$C$5:$C$24,일일실시사항!$D754)=0,"담당자 누락; ","")&amp;IF(COUNTIF(코드설정!$G$5:$G$14,일일실시사항!$F754)=0,"업무구분 누락; ","")&amp;IF(AND(일일실시사항!$G754&lt;&gt;"",COUNTIF(사건마스터!$A$5:$A$64,일일실시사항!$G754)=0),"미등록 사건번호; ","")&amp;IF(일일실시사항!$H754="","실시 내용 없음; ","")&amp;IF(COUNTIF(코드설정!$F$5:$F$7,일일실시사항!$J754)=0,"진행상태 누락; ","")))</f>
        <v/>
      </c>
    </row>
    <row r="1787">
      <c r="A1787" s="26" t="inlineStr">
        <is>
          <t>일일실시사항</t>
        </is>
      </c>
      <c r="B1787" s="66" t="n">
        <v>755</v>
      </c>
      <c r="C1787" s="122">
        <f>IF($D1787="","",IFERROR(TEXT(일일실시사항!$B755,"yyyy-mm-dd"),"(날짜없음)")&amp;"  "&amp;일일실시사항!$D755&amp;"  "&amp;일일실시사항!$H755)</f>
        <v/>
      </c>
      <c r="D1787" s="122">
        <f>IF(NOT(COUNTBLANK(일일실시사항!$B755:$K755)&lt;10),"",TRIM(IF(일일실시사항!$B755="","일자 누락; ","")&amp;IF(COUNTIF(코드설정!$C$5:$C$24,일일실시사항!$D755)=0,"담당자 누락; ","")&amp;IF(COUNTIF(코드설정!$G$5:$G$14,일일실시사항!$F755)=0,"업무구분 누락; ","")&amp;IF(AND(일일실시사항!$G755&lt;&gt;"",COUNTIF(사건마스터!$A$5:$A$64,일일실시사항!$G755)=0),"미등록 사건번호; ","")&amp;IF(일일실시사항!$H755="","실시 내용 없음; ","")&amp;IF(COUNTIF(코드설정!$F$5:$F$7,일일실시사항!$J755)=0,"진행상태 누락; ","")))</f>
        <v/>
      </c>
    </row>
    <row r="1788">
      <c r="A1788" s="26" t="inlineStr">
        <is>
          <t>일일실시사항</t>
        </is>
      </c>
      <c r="B1788" s="66" t="n">
        <v>756</v>
      </c>
      <c r="C1788" s="122">
        <f>IF($D1788="","",IFERROR(TEXT(일일실시사항!$B756,"yyyy-mm-dd"),"(날짜없음)")&amp;"  "&amp;일일실시사항!$D756&amp;"  "&amp;일일실시사항!$H756)</f>
        <v/>
      </c>
      <c r="D1788" s="122">
        <f>IF(NOT(COUNTBLANK(일일실시사항!$B756:$K756)&lt;10),"",TRIM(IF(일일실시사항!$B756="","일자 누락; ","")&amp;IF(COUNTIF(코드설정!$C$5:$C$24,일일실시사항!$D756)=0,"담당자 누락; ","")&amp;IF(COUNTIF(코드설정!$G$5:$G$14,일일실시사항!$F756)=0,"업무구분 누락; ","")&amp;IF(AND(일일실시사항!$G756&lt;&gt;"",COUNTIF(사건마스터!$A$5:$A$64,일일실시사항!$G756)=0),"미등록 사건번호; ","")&amp;IF(일일실시사항!$H756="","실시 내용 없음; ","")&amp;IF(COUNTIF(코드설정!$F$5:$F$7,일일실시사항!$J756)=0,"진행상태 누락; ","")))</f>
        <v/>
      </c>
    </row>
    <row r="1789">
      <c r="A1789" s="26" t="inlineStr">
        <is>
          <t>일일실시사항</t>
        </is>
      </c>
      <c r="B1789" s="66" t="n">
        <v>757</v>
      </c>
      <c r="C1789" s="122">
        <f>IF($D1789="","",IFERROR(TEXT(일일실시사항!$B757,"yyyy-mm-dd"),"(날짜없음)")&amp;"  "&amp;일일실시사항!$D757&amp;"  "&amp;일일실시사항!$H757)</f>
        <v/>
      </c>
      <c r="D1789" s="122">
        <f>IF(NOT(COUNTBLANK(일일실시사항!$B757:$K757)&lt;10),"",TRIM(IF(일일실시사항!$B757="","일자 누락; ","")&amp;IF(COUNTIF(코드설정!$C$5:$C$24,일일실시사항!$D757)=0,"담당자 누락; ","")&amp;IF(COUNTIF(코드설정!$G$5:$G$14,일일실시사항!$F757)=0,"업무구분 누락; ","")&amp;IF(AND(일일실시사항!$G757&lt;&gt;"",COUNTIF(사건마스터!$A$5:$A$64,일일실시사항!$G757)=0),"미등록 사건번호; ","")&amp;IF(일일실시사항!$H757="","실시 내용 없음; ","")&amp;IF(COUNTIF(코드설정!$F$5:$F$7,일일실시사항!$J757)=0,"진행상태 누락; ","")))</f>
        <v/>
      </c>
    </row>
    <row r="1790">
      <c r="A1790" s="26" t="inlineStr">
        <is>
          <t>일일실시사항</t>
        </is>
      </c>
      <c r="B1790" s="66" t="n">
        <v>758</v>
      </c>
      <c r="C1790" s="122">
        <f>IF($D1790="","",IFERROR(TEXT(일일실시사항!$B758,"yyyy-mm-dd"),"(날짜없음)")&amp;"  "&amp;일일실시사항!$D758&amp;"  "&amp;일일실시사항!$H758)</f>
        <v/>
      </c>
      <c r="D1790" s="122">
        <f>IF(NOT(COUNTBLANK(일일실시사항!$B758:$K758)&lt;10),"",TRIM(IF(일일실시사항!$B758="","일자 누락; ","")&amp;IF(COUNTIF(코드설정!$C$5:$C$24,일일실시사항!$D758)=0,"담당자 누락; ","")&amp;IF(COUNTIF(코드설정!$G$5:$G$14,일일실시사항!$F758)=0,"업무구분 누락; ","")&amp;IF(AND(일일실시사항!$G758&lt;&gt;"",COUNTIF(사건마스터!$A$5:$A$64,일일실시사항!$G758)=0),"미등록 사건번호; ","")&amp;IF(일일실시사항!$H758="","실시 내용 없음; ","")&amp;IF(COUNTIF(코드설정!$F$5:$F$7,일일실시사항!$J758)=0,"진행상태 누락; ","")))</f>
        <v/>
      </c>
    </row>
    <row r="1791">
      <c r="A1791" s="26" t="inlineStr">
        <is>
          <t>일일실시사항</t>
        </is>
      </c>
      <c r="B1791" s="66" t="n">
        <v>759</v>
      </c>
      <c r="C1791" s="122">
        <f>IF($D1791="","",IFERROR(TEXT(일일실시사항!$B759,"yyyy-mm-dd"),"(날짜없음)")&amp;"  "&amp;일일실시사항!$D759&amp;"  "&amp;일일실시사항!$H759)</f>
        <v/>
      </c>
      <c r="D1791" s="122">
        <f>IF(NOT(COUNTBLANK(일일실시사항!$B759:$K759)&lt;10),"",TRIM(IF(일일실시사항!$B759="","일자 누락; ","")&amp;IF(COUNTIF(코드설정!$C$5:$C$24,일일실시사항!$D759)=0,"담당자 누락; ","")&amp;IF(COUNTIF(코드설정!$G$5:$G$14,일일실시사항!$F759)=0,"업무구분 누락; ","")&amp;IF(AND(일일실시사항!$G759&lt;&gt;"",COUNTIF(사건마스터!$A$5:$A$64,일일실시사항!$G759)=0),"미등록 사건번호; ","")&amp;IF(일일실시사항!$H759="","실시 내용 없음; ","")&amp;IF(COUNTIF(코드설정!$F$5:$F$7,일일실시사항!$J759)=0,"진행상태 누락; ","")))</f>
        <v/>
      </c>
    </row>
    <row r="1792">
      <c r="A1792" s="26" t="inlineStr">
        <is>
          <t>일일실시사항</t>
        </is>
      </c>
      <c r="B1792" s="66" t="n">
        <v>760</v>
      </c>
      <c r="C1792" s="122">
        <f>IF($D1792="","",IFERROR(TEXT(일일실시사항!$B760,"yyyy-mm-dd"),"(날짜없음)")&amp;"  "&amp;일일실시사항!$D760&amp;"  "&amp;일일실시사항!$H760)</f>
        <v/>
      </c>
      <c r="D1792" s="122">
        <f>IF(NOT(COUNTBLANK(일일실시사항!$B760:$K760)&lt;10),"",TRIM(IF(일일실시사항!$B760="","일자 누락; ","")&amp;IF(COUNTIF(코드설정!$C$5:$C$24,일일실시사항!$D760)=0,"담당자 누락; ","")&amp;IF(COUNTIF(코드설정!$G$5:$G$14,일일실시사항!$F760)=0,"업무구분 누락; ","")&amp;IF(AND(일일실시사항!$G760&lt;&gt;"",COUNTIF(사건마스터!$A$5:$A$64,일일실시사항!$G760)=0),"미등록 사건번호; ","")&amp;IF(일일실시사항!$H760="","실시 내용 없음; ","")&amp;IF(COUNTIF(코드설정!$F$5:$F$7,일일실시사항!$J760)=0,"진행상태 누락; ","")))</f>
        <v/>
      </c>
    </row>
    <row r="1793">
      <c r="A1793" s="26" t="inlineStr">
        <is>
          <t>일일실시사항</t>
        </is>
      </c>
      <c r="B1793" s="66" t="n">
        <v>761</v>
      </c>
      <c r="C1793" s="122">
        <f>IF($D1793="","",IFERROR(TEXT(일일실시사항!$B761,"yyyy-mm-dd"),"(날짜없음)")&amp;"  "&amp;일일실시사항!$D761&amp;"  "&amp;일일실시사항!$H761)</f>
        <v/>
      </c>
      <c r="D1793" s="122">
        <f>IF(NOT(COUNTBLANK(일일실시사항!$B761:$K761)&lt;10),"",TRIM(IF(일일실시사항!$B761="","일자 누락; ","")&amp;IF(COUNTIF(코드설정!$C$5:$C$24,일일실시사항!$D761)=0,"담당자 누락; ","")&amp;IF(COUNTIF(코드설정!$G$5:$G$14,일일실시사항!$F761)=0,"업무구분 누락; ","")&amp;IF(AND(일일실시사항!$G761&lt;&gt;"",COUNTIF(사건마스터!$A$5:$A$64,일일실시사항!$G761)=0),"미등록 사건번호; ","")&amp;IF(일일실시사항!$H761="","실시 내용 없음; ","")&amp;IF(COUNTIF(코드설정!$F$5:$F$7,일일실시사항!$J761)=0,"진행상태 누락; ","")))</f>
        <v/>
      </c>
    </row>
    <row r="1794">
      <c r="A1794" s="26" t="inlineStr">
        <is>
          <t>일일실시사항</t>
        </is>
      </c>
      <c r="B1794" s="66" t="n">
        <v>762</v>
      </c>
      <c r="C1794" s="122">
        <f>IF($D1794="","",IFERROR(TEXT(일일실시사항!$B762,"yyyy-mm-dd"),"(날짜없음)")&amp;"  "&amp;일일실시사항!$D762&amp;"  "&amp;일일실시사항!$H762)</f>
        <v/>
      </c>
      <c r="D1794" s="122">
        <f>IF(NOT(COUNTBLANK(일일실시사항!$B762:$K762)&lt;10),"",TRIM(IF(일일실시사항!$B762="","일자 누락; ","")&amp;IF(COUNTIF(코드설정!$C$5:$C$24,일일실시사항!$D762)=0,"담당자 누락; ","")&amp;IF(COUNTIF(코드설정!$G$5:$G$14,일일실시사항!$F762)=0,"업무구분 누락; ","")&amp;IF(AND(일일실시사항!$G762&lt;&gt;"",COUNTIF(사건마스터!$A$5:$A$64,일일실시사항!$G762)=0),"미등록 사건번호; ","")&amp;IF(일일실시사항!$H762="","실시 내용 없음; ","")&amp;IF(COUNTIF(코드설정!$F$5:$F$7,일일실시사항!$J762)=0,"진행상태 누락; ","")))</f>
        <v/>
      </c>
    </row>
    <row r="1795">
      <c r="A1795" s="26" t="inlineStr">
        <is>
          <t>일일실시사항</t>
        </is>
      </c>
      <c r="B1795" s="66" t="n">
        <v>763</v>
      </c>
      <c r="C1795" s="122">
        <f>IF($D1795="","",IFERROR(TEXT(일일실시사항!$B763,"yyyy-mm-dd"),"(날짜없음)")&amp;"  "&amp;일일실시사항!$D763&amp;"  "&amp;일일실시사항!$H763)</f>
        <v/>
      </c>
      <c r="D1795" s="122">
        <f>IF(NOT(COUNTBLANK(일일실시사항!$B763:$K763)&lt;10),"",TRIM(IF(일일실시사항!$B763="","일자 누락; ","")&amp;IF(COUNTIF(코드설정!$C$5:$C$24,일일실시사항!$D763)=0,"담당자 누락; ","")&amp;IF(COUNTIF(코드설정!$G$5:$G$14,일일실시사항!$F763)=0,"업무구분 누락; ","")&amp;IF(AND(일일실시사항!$G763&lt;&gt;"",COUNTIF(사건마스터!$A$5:$A$64,일일실시사항!$G763)=0),"미등록 사건번호; ","")&amp;IF(일일실시사항!$H763="","실시 내용 없음; ","")&amp;IF(COUNTIF(코드설정!$F$5:$F$7,일일실시사항!$J763)=0,"진행상태 누락; ","")))</f>
        <v/>
      </c>
    </row>
    <row r="1796">
      <c r="A1796" s="26" t="inlineStr">
        <is>
          <t>일일실시사항</t>
        </is>
      </c>
      <c r="B1796" s="66" t="n">
        <v>764</v>
      </c>
      <c r="C1796" s="122">
        <f>IF($D1796="","",IFERROR(TEXT(일일실시사항!$B764,"yyyy-mm-dd"),"(날짜없음)")&amp;"  "&amp;일일실시사항!$D764&amp;"  "&amp;일일실시사항!$H764)</f>
        <v/>
      </c>
      <c r="D1796" s="122">
        <f>IF(NOT(COUNTBLANK(일일실시사항!$B764:$K764)&lt;10),"",TRIM(IF(일일실시사항!$B764="","일자 누락; ","")&amp;IF(COUNTIF(코드설정!$C$5:$C$24,일일실시사항!$D764)=0,"담당자 누락; ","")&amp;IF(COUNTIF(코드설정!$G$5:$G$14,일일실시사항!$F764)=0,"업무구분 누락; ","")&amp;IF(AND(일일실시사항!$G764&lt;&gt;"",COUNTIF(사건마스터!$A$5:$A$64,일일실시사항!$G764)=0),"미등록 사건번호; ","")&amp;IF(일일실시사항!$H764="","실시 내용 없음; ","")&amp;IF(COUNTIF(코드설정!$F$5:$F$7,일일실시사항!$J764)=0,"진행상태 누락; ","")))</f>
        <v/>
      </c>
    </row>
    <row r="1797">
      <c r="A1797" s="26" t="inlineStr">
        <is>
          <t>일일실시사항</t>
        </is>
      </c>
      <c r="B1797" s="66" t="n">
        <v>765</v>
      </c>
      <c r="C1797" s="122">
        <f>IF($D1797="","",IFERROR(TEXT(일일실시사항!$B765,"yyyy-mm-dd"),"(날짜없음)")&amp;"  "&amp;일일실시사항!$D765&amp;"  "&amp;일일실시사항!$H765)</f>
        <v/>
      </c>
      <c r="D1797" s="122">
        <f>IF(NOT(COUNTBLANK(일일실시사항!$B765:$K765)&lt;10),"",TRIM(IF(일일실시사항!$B765="","일자 누락; ","")&amp;IF(COUNTIF(코드설정!$C$5:$C$24,일일실시사항!$D765)=0,"담당자 누락; ","")&amp;IF(COUNTIF(코드설정!$G$5:$G$14,일일실시사항!$F765)=0,"업무구분 누락; ","")&amp;IF(AND(일일실시사항!$G765&lt;&gt;"",COUNTIF(사건마스터!$A$5:$A$64,일일실시사항!$G765)=0),"미등록 사건번호; ","")&amp;IF(일일실시사항!$H765="","실시 내용 없음; ","")&amp;IF(COUNTIF(코드설정!$F$5:$F$7,일일실시사항!$J765)=0,"진행상태 누락; ","")))</f>
        <v/>
      </c>
    </row>
    <row r="1798">
      <c r="A1798" s="26" t="inlineStr">
        <is>
          <t>일일실시사항</t>
        </is>
      </c>
      <c r="B1798" s="66" t="n">
        <v>766</v>
      </c>
      <c r="C1798" s="122">
        <f>IF($D1798="","",IFERROR(TEXT(일일실시사항!$B766,"yyyy-mm-dd"),"(날짜없음)")&amp;"  "&amp;일일실시사항!$D766&amp;"  "&amp;일일실시사항!$H766)</f>
        <v/>
      </c>
      <c r="D1798" s="122">
        <f>IF(NOT(COUNTBLANK(일일실시사항!$B766:$K766)&lt;10),"",TRIM(IF(일일실시사항!$B766="","일자 누락; ","")&amp;IF(COUNTIF(코드설정!$C$5:$C$24,일일실시사항!$D766)=0,"담당자 누락; ","")&amp;IF(COUNTIF(코드설정!$G$5:$G$14,일일실시사항!$F766)=0,"업무구분 누락; ","")&amp;IF(AND(일일실시사항!$G766&lt;&gt;"",COUNTIF(사건마스터!$A$5:$A$64,일일실시사항!$G766)=0),"미등록 사건번호; ","")&amp;IF(일일실시사항!$H766="","실시 내용 없음; ","")&amp;IF(COUNTIF(코드설정!$F$5:$F$7,일일실시사항!$J766)=0,"진행상태 누락; ","")))</f>
        <v/>
      </c>
    </row>
    <row r="1799">
      <c r="A1799" s="26" t="inlineStr">
        <is>
          <t>일일실시사항</t>
        </is>
      </c>
      <c r="B1799" s="66" t="n">
        <v>767</v>
      </c>
      <c r="C1799" s="122">
        <f>IF($D1799="","",IFERROR(TEXT(일일실시사항!$B767,"yyyy-mm-dd"),"(날짜없음)")&amp;"  "&amp;일일실시사항!$D767&amp;"  "&amp;일일실시사항!$H767)</f>
        <v/>
      </c>
      <c r="D1799" s="122">
        <f>IF(NOT(COUNTBLANK(일일실시사항!$B767:$K767)&lt;10),"",TRIM(IF(일일실시사항!$B767="","일자 누락; ","")&amp;IF(COUNTIF(코드설정!$C$5:$C$24,일일실시사항!$D767)=0,"담당자 누락; ","")&amp;IF(COUNTIF(코드설정!$G$5:$G$14,일일실시사항!$F767)=0,"업무구분 누락; ","")&amp;IF(AND(일일실시사항!$G767&lt;&gt;"",COUNTIF(사건마스터!$A$5:$A$64,일일실시사항!$G767)=0),"미등록 사건번호; ","")&amp;IF(일일실시사항!$H767="","실시 내용 없음; ","")&amp;IF(COUNTIF(코드설정!$F$5:$F$7,일일실시사항!$J767)=0,"진행상태 누락; ","")))</f>
        <v/>
      </c>
    </row>
    <row r="1800">
      <c r="A1800" s="26" t="inlineStr">
        <is>
          <t>일일실시사항</t>
        </is>
      </c>
      <c r="B1800" s="66" t="n">
        <v>768</v>
      </c>
      <c r="C1800" s="122">
        <f>IF($D1800="","",IFERROR(TEXT(일일실시사항!$B768,"yyyy-mm-dd"),"(날짜없음)")&amp;"  "&amp;일일실시사항!$D768&amp;"  "&amp;일일실시사항!$H768)</f>
        <v/>
      </c>
      <c r="D1800" s="122">
        <f>IF(NOT(COUNTBLANK(일일실시사항!$B768:$K768)&lt;10),"",TRIM(IF(일일실시사항!$B768="","일자 누락; ","")&amp;IF(COUNTIF(코드설정!$C$5:$C$24,일일실시사항!$D768)=0,"담당자 누락; ","")&amp;IF(COUNTIF(코드설정!$G$5:$G$14,일일실시사항!$F768)=0,"업무구분 누락; ","")&amp;IF(AND(일일실시사항!$G768&lt;&gt;"",COUNTIF(사건마스터!$A$5:$A$64,일일실시사항!$G768)=0),"미등록 사건번호; ","")&amp;IF(일일실시사항!$H768="","실시 내용 없음; ","")&amp;IF(COUNTIF(코드설정!$F$5:$F$7,일일실시사항!$J768)=0,"진행상태 누락; ","")))</f>
        <v/>
      </c>
    </row>
    <row r="1801">
      <c r="A1801" s="26" t="inlineStr">
        <is>
          <t>일일실시사항</t>
        </is>
      </c>
      <c r="B1801" s="66" t="n">
        <v>769</v>
      </c>
      <c r="C1801" s="122">
        <f>IF($D1801="","",IFERROR(TEXT(일일실시사항!$B769,"yyyy-mm-dd"),"(날짜없음)")&amp;"  "&amp;일일실시사항!$D769&amp;"  "&amp;일일실시사항!$H769)</f>
        <v/>
      </c>
      <c r="D1801" s="122">
        <f>IF(NOT(COUNTBLANK(일일실시사항!$B769:$K769)&lt;10),"",TRIM(IF(일일실시사항!$B769="","일자 누락; ","")&amp;IF(COUNTIF(코드설정!$C$5:$C$24,일일실시사항!$D769)=0,"담당자 누락; ","")&amp;IF(COUNTIF(코드설정!$G$5:$G$14,일일실시사항!$F769)=0,"업무구분 누락; ","")&amp;IF(AND(일일실시사항!$G769&lt;&gt;"",COUNTIF(사건마스터!$A$5:$A$64,일일실시사항!$G769)=0),"미등록 사건번호; ","")&amp;IF(일일실시사항!$H769="","실시 내용 없음; ","")&amp;IF(COUNTIF(코드설정!$F$5:$F$7,일일실시사항!$J769)=0,"진행상태 누락; ","")))</f>
        <v/>
      </c>
    </row>
    <row r="1802">
      <c r="A1802" s="26" t="inlineStr">
        <is>
          <t>일일실시사항</t>
        </is>
      </c>
      <c r="B1802" s="66" t="n">
        <v>770</v>
      </c>
      <c r="C1802" s="122">
        <f>IF($D1802="","",IFERROR(TEXT(일일실시사항!$B770,"yyyy-mm-dd"),"(날짜없음)")&amp;"  "&amp;일일실시사항!$D770&amp;"  "&amp;일일실시사항!$H770)</f>
        <v/>
      </c>
      <c r="D1802" s="122">
        <f>IF(NOT(COUNTBLANK(일일실시사항!$B770:$K770)&lt;10),"",TRIM(IF(일일실시사항!$B770="","일자 누락; ","")&amp;IF(COUNTIF(코드설정!$C$5:$C$24,일일실시사항!$D770)=0,"담당자 누락; ","")&amp;IF(COUNTIF(코드설정!$G$5:$G$14,일일실시사항!$F770)=0,"업무구분 누락; ","")&amp;IF(AND(일일실시사항!$G770&lt;&gt;"",COUNTIF(사건마스터!$A$5:$A$64,일일실시사항!$G770)=0),"미등록 사건번호; ","")&amp;IF(일일실시사항!$H770="","실시 내용 없음; ","")&amp;IF(COUNTIF(코드설정!$F$5:$F$7,일일실시사항!$J770)=0,"진행상태 누락; ","")))</f>
        <v/>
      </c>
    </row>
    <row r="1803">
      <c r="A1803" s="26" t="inlineStr">
        <is>
          <t>일일실시사항</t>
        </is>
      </c>
      <c r="B1803" s="66" t="n">
        <v>771</v>
      </c>
      <c r="C1803" s="122">
        <f>IF($D1803="","",IFERROR(TEXT(일일실시사항!$B771,"yyyy-mm-dd"),"(날짜없음)")&amp;"  "&amp;일일실시사항!$D771&amp;"  "&amp;일일실시사항!$H771)</f>
        <v/>
      </c>
      <c r="D1803" s="122">
        <f>IF(NOT(COUNTBLANK(일일실시사항!$B771:$K771)&lt;10),"",TRIM(IF(일일실시사항!$B771="","일자 누락; ","")&amp;IF(COUNTIF(코드설정!$C$5:$C$24,일일실시사항!$D771)=0,"담당자 누락; ","")&amp;IF(COUNTIF(코드설정!$G$5:$G$14,일일실시사항!$F771)=0,"업무구분 누락; ","")&amp;IF(AND(일일실시사항!$G771&lt;&gt;"",COUNTIF(사건마스터!$A$5:$A$64,일일실시사항!$G771)=0),"미등록 사건번호; ","")&amp;IF(일일실시사항!$H771="","실시 내용 없음; ","")&amp;IF(COUNTIF(코드설정!$F$5:$F$7,일일실시사항!$J771)=0,"진행상태 누락; ","")))</f>
        <v/>
      </c>
    </row>
    <row r="1804">
      <c r="A1804" s="26" t="inlineStr">
        <is>
          <t>일일실시사항</t>
        </is>
      </c>
      <c r="B1804" s="66" t="n">
        <v>772</v>
      </c>
      <c r="C1804" s="122">
        <f>IF($D1804="","",IFERROR(TEXT(일일실시사항!$B772,"yyyy-mm-dd"),"(날짜없음)")&amp;"  "&amp;일일실시사항!$D772&amp;"  "&amp;일일실시사항!$H772)</f>
        <v/>
      </c>
      <c r="D1804" s="122">
        <f>IF(NOT(COUNTBLANK(일일실시사항!$B772:$K772)&lt;10),"",TRIM(IF(일일실시사항!$B772="","일자 누락; ","")&amp;IF(COUNTIF(코드설정!$C$5:$C$24,일일실시사항!$D772)=0,"담당자 누락; ","")&amp;IF(COUNTIF(코드설정!$G$5:$G$14,일일실시사항!$F772)=0,"업무구분 누락; ","")&amp;IF(AND(일일실시사항!$G772&lt;&gt;"",COUNTIF(사건마스터!$A$5:$A$64,일일실시사항!$G772)=0),"미등록 사건번호; ","")&amp;IF(일일실시사항!$H772="","실시 내용 없음; ","")&amp;IF(COUNTIF(코드설정!$F$5:$F$7,일일실시사항!$J772)=0,"진행상태 누락; ","")))</f>
        <v/>
      </c>
    </row>
    <row r="1805">
      <c r="A1805" s="26" t="inlineStr">
        <is>
          <t>일일실시사항</t>
        </is>
      </c>
      <c r="B1805" s="66" t="n">
        <v>773</v>
      </c>
      <c r="C1805" s="122">
        <f>IF($D1805="","",IFERROR(TEXT(일일실시사항!$B773,"yyyy-mm-dd"),"(날짜없음)")&amp;"  "&amp;일일실시사항!$D773&amp;"  "&amp;일일실시사항!$H773)</f>
        <v/>
      </c>
      <c r="D1805" s="122">
        <f>IF(NOT(COUNTBLANK(일일실시사항!$B773:$K773)&lt;10),"",TRIM(IF(일일실시사항!$B773="","일자 누락; ","")&amp;IF(COUNTIF(코드설정!$C$5:$C$24,일일실시사항!$D773)=0,"담당자 누락; ","")&amp;IF(COUNTIF(코드설정!$G$5:$G$14,일일실시사항!$F773)=0,"업무구분 누락; ","")&amp;IF(AND(일일실시사항!$G773&lt;&gt;"",COUNTIF(사건마스터!$A$5:$A$64,일일실시사항!$G773)=0),"미등록 사건번호; ","")&amp;IF(일일실시사항!$H773="","실시 내용 없음; ","")&amp;IF(COUNTIF(코드설정!$F$5:$F$7,일일실시사항!$J773)=0,"진행상태 누락; ","")))</f>
        <v/>
      </c>
    </row>
    <row r="1806">
      <c r="A1806" s="26" t="inlineStr">
        <is>
          <t>일일실시사항</t>
        </is>
      </c>
      <c r="B1806" s="66" t="n">
        <v>774</v>
      </c>
      <c r="C1806" s="122">
        <f>IF($D1806="","",IFERROR(TEXT(일일실시사항!$B774,"yyyy-mm-dd"),"(날짜없음)")&amp;"  "&amp;일일실시사항!$D774&amp;"  "&amp;일일실시사항!$H774)</f>
        <v/>
      </c>
      <c r="D1806" s="122">
        <f>IF(NOT(COUNTBLANK(일일실시사항!$B774:$K774)&lt;10),"",TRIM(IF(일일실시사항!$B774="","일자 누락; ","")&amp;IF(COUNTIF(코드설정!$C$5:$C$24,일일실시사항!$D774)=0,"담당자 누락; ","")&amp;IF(COUNTIF(코드설정!$G$5:$G$14,일일실시사항!$F774)=0,"업무구분 누락; ","")&amp;IF(AND(일일실시사항!$G774&lt;&gt;"",COUNTIF(사건마스터!$A$5:$A$64,일일실시사항!$G774)=0),"미등록 사건번호; ","")&amp;IF(일일실시사항!$H774="","실시 내용 없음; ","")&amp;IF(COUNTIF(코드설정!$F$5:$F$7,일일실시사항!$J774)=0,"진행상태 누락; ","")))</f>
        <v/>
      </c>
    </row>
    <row r="1807">
      <c r="A1807" s="26" t="inlineStr">
        <is>
          <t>일일실시사항</t>
        </is>
      </c>
      <c r="B1807" s="66" t="n">
        <v>775</v>
      </c>
      <c r="C1807" s="122">
        <f>IF($D1807="","",IFERROR(TEXT(일일실시사항!$B775,"yyyy-mm-dd"),"(날짜없음)")&amp;"  "&amp;일일실시사항!$D775&amp;"  "&amp;일일실시사항!$H775)</f>
        <v/>
      </c>
      <c r="D1807" s="122">
        <f>IF(NOT(COUNTBLANK(일일실시사항!$B775:$K775)&lt;10),"",TRIM(IF(일일실시사항!$B775="","일자 누락; ","")&amp;IF(COUNTIF(코드설정!$C$5:$C$24,일일실시사항!$D775)=0,"담당자 누락; ","")&amp;IF(COUNTIF(코드설정!$G$5:$G$14,일일실시사항!$F775)=0,"업무구분 누락; ","")&amp;IF(AND(일일실시사항!$G775&lt;&gt;"",COUNTIF(사건마스터!$A$5:$A$64,일일실시사항!$G775)=0),"미등록 사건번호; ","")&amp;IF(일일실시사항!$H775="","실시 내용 없음; ","")&amp;IF(COUNTIF(코드설정!$F$5:$F$7,일일실시사항!$J775)=0,"진행상태 누락; ","")))</f>
        <v/>
      </c>
    </row>
    <row r="1808">
      <c r="A1808" s="26" t="inlineStr">
        <is>
          <t>일일실시사항</t>
        </is>
      </c>
      <c r="B1808" s="66" t="n">
        <v>776</v>
      </c>
      <c r="C1808" s="122">
        <f>IF($D1808="","",IFERROR(TEXT(일일실시사항!$B776,"yyyy-mm-dd"),"(날짜없음)")&amp;"  "&amp;일일실시사항!$D776&amp;"  "&amp;일일실시사항!$H776)</f>
        <v/>
      </c>
      <c r="D1808" s="122">
        <f>IF(NOT(COUNTBLANK(일일실시사항!$B776:$K776)&lt;10),"",TRIM(IF(일일실시사항!$B776="","일자 누락; ","")&amp;IF(COUNTIF(코드설정!$C$5:$C$24,일일실시사항!$D776)=0,"담당자 누락; ","")&amp;IF(COUNTIF(코드설정!$G$5:$G$14,일일실시사항!$F776)=0,"업무구분 누락; ","")&amp;IF(AND(일일실시사항!$G776&lt;&gt;"",COUNTIF(사건마스터!$A$5:$A$64,일일실시사항!$G776)=0),"미등록 사건번호; ","")&amp;IF(일일실시사항!$H776="","실시 내용 없음; ","")&amp;IF(COUNTIF(코드설정!$F$5:$F$7,일일실시사항!$J776)=0,"진행상태 누락; ","")))</f>
        <v/>
      </c>
    </row>
    <row r="1809">
      <c r="A1809" s="26" t="inlineStr">
        <is>
          <t>일일실시사항</t>
        </is>
      </c>
      <c r="B1809" s="66" t="n">
        <v>777</v>
      </c>
      <c r="C1809" s="122">
        <f>IF($D1809="","",IFERROR(TEXT(일일실시사항!$B777,"yyyy-mm-dd"),"(날짜없음)")&amp;"  "&amp;일일실시사항!$D777&amp;"  "&amp;일일실시사항!$H777)</f>
        <v/>
      </c>
      <c r="D1809" s="122">
        <f>IF(NOT(COUNTBLANK(일일실시사항!$B777:$K777)&lt;10),"",TRIM(IF(일일실시사항!$B777="","일자 누락; ","")&amp;IF(COUNTIF(코드설정!$C$5:$C$24,일일실시사항!$D777)=0,"담당자 누락; ","")&amp;IF(COUNTIF(코드설정!$G$5:$G$14,일일실시사항!$F777)=0,"업무구분 누락; ","")&amp;IF(AND(일일실시사항!$G777&lt;&gt;"",COUNTIF(사건마스터!$A$5:$A$64,일일실시사항!$G777)=0),"미등록 사건번호; ","")&amp;IF(일일실시사항!$H777="","실시 내용 없음; ","")&amp;IF(COUNTIF(코드설정!$F$5:$F$7,일일실시사항!$J777)=0,"진행상태 누락; ","")))</f>
        <v/>
      </c>
    </row>
    <row r="1810">
      <c r="A1810" s="26" t="inlineStr">
        <is>
          <t>일일실시사항</t>
        </is>
      </c>
      <c r="B1810" s="66" t="n">
        <v>778</v>
      </c>
      <c r="C1810" s="122">
        <f>IF($D1810="","",IFERROR(TEXT(일일실시사항!$B778,"yyyy-mm-dd"),"(날짜없음)")&amp;"  "&amp;일일실시사항!$D778&amp;"  "&amp;일일실시사항!$H778)</f>
        <v/>
      </c>
      <c r="D1810" s="122">
        <f>IF(NOT(COUNTBLANK(일일실시사항!$B778:$K778)&lt;10),"",TRIM(IF(일일실시사항!$B778="","일자 누락; ","")&amp;IF(COUNTIF(코드설정!$C$5:$C$24,일일실시사항!$D778)=0,"담당자 누락; ","")&amp;IF(COUNTIF(코드설정!$G$5:$G$14,일일실시사항!$F778)=0,"업무구분 누락; ","")&amp;IF(AND(일일실시사항!$G778&lt;&gt;"",COUNTIF(사건마스터!$A$5:$A$64,일일실시사항!$G778)=0),"미등록 사건번호; ","")&amp;IF(일일실시사항!$H778="","실시 내용 없음; ","")&amp;IF(COUNTIF(코드설정!$F$5:$F$7,일일실시사항!$J778)=0,"진행상태 누락; ","")))</f>
        <v/>
      </c>
    </row>
    <row r="1811">
      <c r="A1811" s="26" t="inlineStr">
        <is>
          <t>일일실시사항</t>
        </is>
      </c>
      <c r="B1811" s="66" t="n">
        <v>779</v>
      </c>
      <c r="C1811" s="122">
        <f>IF($D1811="","",IFERROR(TEXT(일일실시사항!$B779,"yyyy-mm-dd"),"(날짜없음)")&amp;"  "&amp;일일실시사항!$D779&amp;"  "&amp;일일실시사항!$H779)</f>
        <v/>
      </c>
      <c r="D1811" s="122">
        <f>IF(NOT(COUNTBLANK(일일실시사항!$B779:$K779)&lt;10),"",TRIM(IF(일일실시사항!$B779="","일자 누락; ","")&amp;IF(COUNTIF(코드설정!$C$5:$C$24,일일실시사항!$D779)=0,"담당자 누락; ","")&amp;IF(COUNTIF(코드설정!$G$5:$G$14,일일실시사항!$F779)=0,"업무구분 누락; ","")&amp;IF(AND(일일실시사항!$G779&lt;&gt;"",COUNTIF(사건마스터!$A$5:$A$64,일일실시사항!$G779)=0),"미등록 사건번호; ","")&amp;IF(일일실시사항!$H779="","실시 내용 없음; ","")&amp;IF(COUNTIF(코드설정!$F$5:$F$7,일일실시사항!$J779)=0,"진행상태 누락; ","")))</f>
        <v/>
      </c>
    </row>
    <row r="1812">
      <c r="A1812" s="26" t="inlineStr">
        <is>
          <t>일일실시사항</t>
        </is>
      </c>
      <c r="B1812" s="66" t="n">
        <v>780</v>
      </c>
      <c r="C1812" s="122">
        <f>IF($D1812="","",IFERROR(TEXT(일일실시사항!$B780,"yyyy-mm-dd"),"(날짜없음)")&amp;"  "&amp;일일실시사항!$D780&amp;"  "&amp;일일실시사항!$H780)</f>
        <v/>
      </c>
      <c r="D1812" s="122">
        <f>IF(NOT(COUNTBLANK(일일실시사항!$B780:$K780)&lt;10),"",TRIM(IF(일일실시사항!$B780="","일자 누락; ","")&amp;IF(COUNTIF(코드설정!$C$5:$C$24,일일실시사항!$D780)=0,"담당자 누락; ","")&amp;IF(COUNTIF(코드설정!$G$5:$G$14,일일실시사항!$F780)=0,"업무구분 누락; ","")&amp;IF(AND(일일실시사항!$G780&lt;&gt;"",COUNTIF(사건마스터!$A$5:$A$64,일일실시사항!$G780)=0),"미등록 사건번호; ","")&amp;IF(일일실시사항!$H780="","실시 내용 없음; ","")&amp;IF(COUNTIF(코드설정!$F$5:$F$7,일일실시사항!$J780)=0,"진행상태 누락; ","")))</f>
        <v/>
      </c>
    </row>
    <row r="1813">
      <c r="A1813" s="26" t="inlineStr">
        <is>
          <t>일일실시사항</t>
        </is>
      </c>
      <c r="B1813" s="66" t="n">
        <v>781</v>
      </c>
      <c r="C1813" s="122">
        <f>IF($D1813="","",IFERROR(TEXT(일일실시사항!$B781,"yyyy-mm-dd"),"(날짜없음)")&amp;"  "&amp;일일실시사항!$D781&amp;"  "&amp;일일실시사항!$H781)</f>
        <v/>
      </c>
      <c r="D1813" s="122">
        <f>IF(NOT(COUNTBLANK(일일실시사항!$B781:$K781)&lt;10),"",TRIM(IF(일일실시사항!$B781="","일자 누락; ","")&amp;IF(COUNTIF(코드설정!$C$5:$C$24,일일실시사항!$D781)=0,"담당자 누락; ","")&amp;IF(COUNTIF(코드설정!$G$5:$G$14,일일실시사항!$F781)=0,"업무구분 누락; ","")&amp;IF(AND(일일실시사항!$G781&lt;&gt;"",COUNTIF(사건마스터!$A$5:$A$64,일일실시사항!$G781)=0),"미등록 사건번호; ","")&amp;IF(일일실시사항!$H781="","실시 내용 없음; ","")&amp;IF(COUNTIF(코드설정!$F$5:$F$7,일일실시사항!$J781)=0,"진행상태 누락; ","")))</f>
        <v/>
      </c>
    </row>
    <row r="1814">
      <c r="A1814" s="26" t="inlineStr">
        <is>
          <t>일일실시사항</t>
        </is>
      </c>
      <c r="B1814" s="66" t="n">
        <v>782</v>
      </c>
      <c r="C1814" s="122">
        <f>IF($D1814="","",IFERROR(TEXT(일일실시사항!$B782,"yyyy-mm-dd"),"(날짜없음)")&amp;"  "&amp;일일실시사항!$D782&amp;"  "&amp;일일실시사항!$H782)</f>
        <v/>
      </c>
      <c r="D1814" s="122">
        <f>IF(NOT(COUNTBLANK(일일실시사항!$B782:$K782)&lt;10),"",TRIM(IF(일일실시사항!$B782="","일자 누락; ","")&amp;IF(COUNTIF(코드설정!$C$5:$C$24,일일실시사항!$D782)=0,"담당자 누락; ","")&amp;IF(COUNTIF(코드설정!$G$5:$G$14,일일실시사항!$F782)=0,"업무구분 누락; ","")&amp;IF(AND(일일실시사항!$G782&lt;&gt;"",COUNTIF(사건마스터!$A$5:$A$64,일일실시사항!$G782)=0),"미등록 사건번호; ","")&amp;IF(일일실시사항!$H782="","실시 내용 없음; ","")&amp;IF(COUNTIF(코드설정!$F$5:$F$7,일일실시사항!$J782)=0,"진행상태 누락; ","")))</f>
        <v/>
      </c>
    </row>
    <row r="1815">
      <c r="A1815" s="26" t="inlineStr">
        <is>
          <t>일일실시사항</t>
        </is>
      </c>
      <c r="B1815" s="66" t="n">
        <v>783</v>
      </c>
      <c r="C1815" s="122">
        <f>IF($D1815="","",IFERROR(TEXT(일일실시사항!$B783,"yyyy-mm-dd"),"(날짜없음)")&amp;"  "&amp;일일실시사항!$D783&amp;"  "&amp;일일실시사항!$H783)</f>
        <v/>
      </c>
      <c r="D1815" s="122">
        <f>IF(NOT(COUNTBLANK(일일실시사항!$B783:$K783)&lt;10),"",TRIM(IF(일일실시사항!$B783="","일자 누락; ","")&amp;IF(COUNTIF(코드설정!$C$5:$C$24,일일실시사항!$D783)=0,"담당자 누락; ","")&amp;IF(COUNTIF(코드설정!$G$5:$G$14,일일실시사항!$F783)=0,"업무구분 누락; ","")&amp;IF(AND(일일실시사항!$G783&lt;&gt;"",COUNTIF(사건마스터!$A$5:$A$64,일일실시사항!$G783)=0),"미등록 사건번호; ","")&amp;IF(일일실시사항!$H783="","실시 내용 없음; ","")&amp;IF(COUNTIF(코드설정!$F$5:$F$7,일일실시사항!$J783)=0,"진행상태 누락; ","")))</f>
        <v/>
      </c>
    </row>
    <row r="1816">
      <c r="A1816" s="26" t="inlineStr">
        <is>
          <t>일일실시사항</t>
        </is>
      </c>
      <c r="B1816" s="66" t="n">
        <v>784</v>
      </c>
      <c r="C1816" s="122">
        <f>IF($D1816="","",IFERROR(TEXT(일일실시사항!$B784,"yyyy-mm-dd"),"(날짜없음)")&amp;"  "&amp;일일실시사항!$D784&amp;"  "&amp;일일실시사항!$H784)</f>
        <v/>
      </c>
      <c r="D1816" s="122">
        <f>IF(NOT(COUNTBLANK(일일실시사항!$B784:$K784)&lt;10),"",TRIM(IF(일일실시사항!$B784="","일자 누락; ","")&amp;IF(COUNTIF(코드설정!$C$5:$C$24,일일실시사항!$D784)=0,"담당자 누락; ","")&amp;IF(COUNTIF(코드설정!$G$5:$G$14,일일실시사항!$F784)=0,"업무구분 누락; ","")&amp;IF(AND(일일실시사항!$G784&lt;&gt;"",COUNTIF(사건마스터!$A$5:$A$64,일일실시사항!$G784)=0),"미등록 사건번호; ","")&amp;IF(일일실시사항!$H784="","실시 내용 없음; ","")&amp;IF(COUNTIF(코드설정!$F$5:$F$7,일일실시사항!$J784)=0,"진행상태 누락; ","")))</f>
        <v/>
      </c>
    </row>
    <row r="1817">
      <c r="A1817" s="26" t="inlineStr">
        <is>
          <t>일일실시사항</t>
        </is>
      </c>
      <c r="B1817" s="66" t="n">
        <v>785</v>
      </c>
      <c r="C1817" s="122">
        <f>IF($D1817="","",IFERROR(TEXT(일일실시사항!$B785,"yyyy-mm-dd"),"(날짜없음)")&amp;"  "&amp;일일실시사항!$D785&amp;"  "&amp;일일실시사항!$H785)</f>
        <v/>
      </c>
      <c r="D1817" s="122">
        <f>IF(NOT(COUNTBLANK(일일실시사항!$B785:$K785)&lt;10),"",TRIM(IF(일일실시사항!$B785="","일자 누락; ","")&amp;IF(COUNTIF(코드설정!$C$5:$C$24,일일실시사항!$D785)=0,"담당자 누락; ","")&amp;IF(COUNTIF(코드설정!$G$5:$G$14,일일실시사항!$F785)=0,"업무구분 누락; ","")&amp;IF(AND(일일실시사항!$G785&lt;&gt;"",COUNTIF(사건마스터!$A$5:$A$64,일일실시사항!$G785)=0),"미등록 사건번호; ","")&amp;IF(일일실시사항!$H785="","실시 내용 없음; ","")&amp;IF(COUNTIF(코드설정!$F$5:$F$7,일일실시사항!$J785)=0,"진행상태 누락; ","")))</f>
        <v/>
      </c>
    </row>
    <row r="1818">
      <c r="A1818" s="26" t="inlineStr">
        <is>
          <t>일일실시사항</t>
        </is>
      </c>
      <c r="B1818" s="66" t="n">
        <v>786</v>
      </c>
      <c r="C1818" s="122">
        <f>IF($D1818="","",IFERROR(TEXT(일일실시사항!$B786,"yyyy-mm-dd"),"(날짜없음)")&amp;"  "&amp;일일실시사항!$D786&amp;"  "&amp;일일실시사항!$H786)</f>
        <v/>
      </c>
      <c r="D1818" s="122">
        <f>IF(NOT(COUNTBLANK(일일실시사항!$B786:$K786)&lt;10),"",TRIM(IF(일일실시사항!$B786="","일자 누락; ","")&amp;IF(COUNTIF(코드설정!$C$5:$C$24,일일실시사항!$D786)=0,"담당자 누락; ","")&amp;IF(COUNTIF(코드설정!$G$5:$G$14,일일실시사항!$F786)=0,"업무구분 누락; ","")&amp;IF(AND(일일실시사항!$G786&lt;&gt;"",COUNTIF(사건마스터!$A$5:$A$64,일일실시사항!$G786)=0),"미등록 사건번호; ","")&amp;IF(일일실시사항!$H786="","실시 내용 없음; ","")&amp;IF(COUNTIF(코드설정!$F$5:$F$7,일일실시사항!$J786)=0,"진행상태 누락; ","")))</f>
        <v/>
      </c>
    </row>
    <row r="1819">
      <c r="A1819" s="26" t="inlineStr">
        <is>
          <t>일일실시사항</t>
        </is>
      </c>
      <c r="B1819" s="66" t="n">
        <v>787</v>
      </c>
      <c r="C1819" s="122">
        <f>IF($D1819="","",IFERROR(TEXT(일일실시사항!$B787,"yyyy-mm-dd"),"(날짜없음)")&amp;"  "&amp;일일실시사항!$D787&amp;"  "&amp;일일실시사항!$H787)</f>
        <v/>
      </c>
      <c r="D1819" s="122">
        <f>IF(NOT(COUNTBLANK(일일실시사항!$B787:$K787)&lt;10),"",TRIM(IF(일일실시사항!$B787="","일자 누락; ","")&amp;IF(COUNTIF(코드설정!$C$5:$C$24,일일실시사항!$D787)=0,"담당자 누락; ","")&amp;IF(COUNTIF(코드설정!$G$5:$G$14,일일실시사항!$F787)=0,"업무구분 누락; ","")&amp;IF(AND(일일실시사항!$G787&lt;&gt;"",COUNTIF(사건마스터!$A$5:$A$64,일일실시사항!$G787)=0),"미등록 사건번호; ","")&amp;IF(일일실시사항!$H787="","실시 내용 없음; ","")&amp;IF(COUNTIF(코드설정!$F$5:$F$7,일일실시사항!$J787)=0,"진행상태 누락; ","")))</f>
        <v/>
      </c>
    </row>
    <row r="1820">
      <c r="A1820" s="26" t="inlineStr">
        <is>
          <t>일일실시사항</t>
        </is>
      </c>
      <c r="B1820" s="66" t="n">
        <v>788</v>
      </c>
      <c r="C1820" s="122">
        <f>IF($D1820="","",IFERROR(TEXT(일일실시사항!$B788,"yyyy-mm-dd"),"(날짜없음)")&amp;"  "&amp;일일실시사항!$D788&amp;"  "&amp;일일실시사항!$H788)</f>
        <v/>
      </c>
      <c r="D1820" s="122">
        <f>IF(NOT(COUNTBLANK(일일실시사항!$B788:$K788)&lt;10),"",TRIM(IF(일일실시사항!$B788="","일자 누락; ","")&amp;IF(COUNTIF(코드설정!$C$5:$C$24,일일실시사항!$D788)=0,"담당자 누락; ","")&amp;IF(COUNTIF(코드설정!$G$5:$G$14,일일실시사항!$F788)=0,"업무구분 누락; ","")&amp;IF(AND(일일실시사항!$G788&lt;&gt;"",COUNTIF(사건마스터!$A$5:$A$64,일일실시사항!$G788)=0),"미등록 사건번호; ","")&amp;IF(일일실시사항!$H788="","실시 내용 없음; ","")&amp;IF(COUNTIF(코드설정!$F$5:$F$7,일일실시사항!$J788)=0,"진행상태 누락; ","")))</f>
        <v/>
      </c>
    </row>
    <row r="1821">
      <c r="A1821" s="26" t="inlineStr">
        <is>
          <t>일일실시사항</t>
        </is>
      </c>
      <c r="B1821" s="66" t="n">
        <v>789</v>
      </c>
      <c r="C1821" s="122">
        <f>IF($D1821="","",IFERROR(TEXT(일일실시사항!$B789,"yyyy-mm-dd"),"(날짜없음)")&amp;"  "&amp;일일실시사항!$D789&amp;"  "&amp;일일실시사항!$H789)</f>
        <v/>
      </c>
      <c r="D1821" s="122">
        <f>IF(NOT(COUNTBLANK(일일실시사항!$B789:$K789)&lt;10),"",TRIM(IF(일일실시사항!$B789="","일자 누락; ","")&amp;IF(COUNTIF(코드설정!$C$5:$C$24,일일실시사항!$D789)=0,"담당자 누락; ","")&amp;IF(COUNTIF(코드설정!$G$5:$G$14,일일실시사항!$F789)=0,"업무구분 누락; ","")&amp;IF(AND(일일실시사항!$G789&lt;&gt;"",COUNTIF(사건마스터!$A$5:$A$64,일일실시사항!$G789)=0),"미등록 사건번호; ","")&amp;IF(일일실시사항!$H789="","실시 내용 없음; ","")&amp;IF(COUNTIF(코드설정!$F$5:$F$7,일일실시사항!$J789)=0,"진행상태 누락; ","")))</f>
        <v/>
      </c>
    </row>
    <row r="1822">
      <c r="A1822" s="26" t="inlineStr">
        <is>
          <t>일일실시사항</t>
        </is>
      </c>
      <c r="B1822" s="66" t="n">
        <v>790</v>
      </c>
      <c r="C1822" s="122">
        <f>IF($D1822="","",IFERROR(TEXT(일일실시사항!$B790,"yyyy-mm-dd"),"(날짜없음)")&amp;"  "&amp;일일실시사항!$D790&amp;"  "&amp;일일실시사항!$H790)</f>
        <v/>
      </c>
      <c r="D1822" s="122">
        <f>IF(NOT(COUNTBLANK(일일실시사항!$B790:$K790)&lt;10),"",TRIM(IF(일일실시사항!$B790="","일자 누락; ","")&amp;IF(COUNTIF(코드설정!$C$5:$C$24,일일실시사항!$D790)=0,"담당자 누락; ","")&amp;IF(COUNTIF(코드설정!$G$5:$G$14,일일실시사항!$F790)=0,"업무구분 누락; ","")&amp;IF(AND(일일실시사항!$G790&lt;&gt;"",COUNTIF(사건마스터!$A$5:$A$64,일일실시사항!$G790)=0),"미등록 사건번호; ","")&amp;IF(일일실시사항!$H790="","실시 내용 없음; ","")&amp;IF(COUNTIF(코드설정!$F$5:$F$7,일일실시사항!$J790)=0,"진행상태 누락; ","")))</f>
        <v/>
      </c>
    </row>
    <row r="1823">
      <c r="A1823" s="26" t="inlineStr">
        <is>
          <t>일일실시사항</t>
        </is>
      </c>
      <c r="B1823" s="66" t="n">
        <v>791</v>
      </c>
      <c r="C1823" s="122">
        <f>IF($D1823="","",IFERROR(TEXT(일일실시사항!$B791,"yyyy-mm-dd"),"(날짜없음)")&amp;"  "&amp;일일실시사항!$D791&amp;"  "&amp;일일실시사항!$H791)</f>
        <v/>
      </c>
      <c r="D1823" s="122">
        <f>IF(NOT(COUNTBLANK(일일실시사항!$B791:$K791)&lt;10),"",TRIM(IF(일일실시사항!$B791="","일자 누락; ","")&amp;IF(COUNTIF(코드설정!$C$5:$C$24,일일실시사항!$D791)=0,"담당자 누락; ","")&amp;IF(COUNTIF(코드설정!$G$5:$G$14,일일실시사항!$F791)=0,"업무구분 누락; ","")&amp;IF(AND(일일실시사항!$G791&lt;&gt;"",COUNTIF(사건마스터!$A$5:$A$64,일일실시사항!$G791)=0),"미등록 사건번호; ","")&amp;IF(일일실시사항!$H791="","실시 내용 없음; ","")&amp;IF(COUNTIF(코드설정!$F$5:$F$7,일일실시사항!$J791)=0,"진행상태 누락; ","")))</f>
        <v/>
      </c>
    </row>
    <row r="1824">
      <c r="A1824" s="26" t="inlineStr">
        <is>
          <t>일일실시사항</t>
        </is>
      </c>
      <c r="B1824" s="66" t="n">
        <v>792</v>
      </c>
      <c r="C1824" s="122">
        <f>IF($D1824="","",IFERROR(TEXT(일일실시사항!$B792,"yyyy-mm-dd"),"(날짜없음)")&amp;"  "&amp;일일실시사항!$D792&amp;"  "&amp;일일실시사항!$H792)</f>
        <v/>
      </c>
      <c r="D1824" s="122">
        <f>IF(NOT(COUNTBLANK(일일실시사항!$B792:$K792)&lt;10),"",TRIM(IF(일일실시사항!$B792="","일자 누락; ","")&amp;IF(COUNTIF(코드설정!$C$5:$C$24,일일실시사항!$D792)=0,"담당자 누락; ","")&amp;IF(COUNTIF(코드설정!$G$5:$G$14,일일실시사항!$F792)=0,"업무구분 누락; ","")&amp;IF(AND(일일실시사항!$G792&lt;&gt;"",COUNTIF(사건마스터!$A$5:$A$64,일일실시사항!$G792)=0),"미등록 사건번호; ","")&amp;IF(일일실시사항!$H792="","실시 내용 없음; ","")&amp;IF(COUNTIF(코드설정!$F$5:$F$7,일일실시사항!$J792)=0,"진행상태 누락; ","")))</f>
        <v/>
      </c>
    </row>
    <row r="1825">
      <c r="A1825" s="26" t="inlineStr">
        <is>
          <t>일일실시사항</t>
        </is>
      </c>
      <c r="B1825" s="66" t="n">
        <v>793</v>
      </c>
      <c r="C1825" s="122">
        <f>IF($D1825="","",IFERROR(TEXT(일일실시사항!$B793,"yyyy-mm-dd"),"(날짜없음)")&amp;"  "&amp;일일실시사항!$D793&amp;"  "&amp;일일실시사항!$H793)</f>
        <v/>
      </c>
      <c r="D1825" s="122">
        <f>IF(NOT(COUNTBLANK(일일실시사항!$B793:$K793)&lt;10),"",TRIM(IF(일일실시사항!$B793="","일자 누락; ","")&amp;IF(COUNTIF(코드설정!$C$5:$C$24,일일실시사항!$D793)=0,"담당자 누락; ","")&amp;IF(COUNTIF(코드설정!$G$5:$G$14,일일실시사항!$F793)=0,"업무구분 누락; ","")&amp;IF(AND(일일실시사항!$G793&lt;&gt;"",COUNTIF(사건마스터!$A$5:$A$64,일일실시사항!$G793)=0),"미등록 사건번호; ","")&amp;IF(일일실시사항!$H793="","실시 내용 없음; ","")&amp;IF(COUNTIF(코드설정!$F$5:$F$7,일일실시사항!$J793)=0,"진행상태 누락; ","")))</f>
        <v/>
      </c>
    </row>
    <row r="1826">
      <c r="A1826" s="26" t="inlineStr">
        <is>
          <t>일일실시사항</t>
        </is>
      </c>
      <c r="B1826" s="66" t="n">
        <v>794</v>
      </c>
      <c r="C1826" s="122">
        <f>IF($D1826="","",IFERROR(TEXT(일일실시사항!$B794,"yyyy-mm-dd"),"(날짜없음)")&amp;"  "&amp;일일실시사항!$D794&amp;"  "&amp;일일실시사항!$H794)</f>
        <v/>
      </c>
      <c r="D1826" s="122">
        <f>IF(NOT(COUNTBLANK(일일실시사항!$B794:$K794)&lt;10),"",TRIM(IF(일일실시사항!$B794="","일자 누락; ","")&amp;IF(COUNTIF(코드설정!$C$5:$C$24,일일실시사항!$D794)=0,"담당자 누락; ","")&amp;IF(COUNTIF(코드설정!$G$5:$G$14,일일실시사항!$F794)=0,"업무구분 누락; ","")&amp;IF(AND(일일실시사항!$G794&lt;&gt;"",COUNTIF(사건마스터!$A$5:$A$64,일일실시사항!$G794)=0),"미등록 사건번호; ","")&amp;IF(일일실시사항!$H794="","실시 내용 없음; ","")&amp;IF(COUNTIF(코드설정!$F$5:$F$7,일일실시사항!$J794)=0,"진행상태 누락; ","")))</f>
        <v/>
      </c>
    </row>
    <row r="1827">
      <c r="A1827" s="26" t="inlineStr">
        <is>
          <t>일일실시사항</t>
        </is>
      </c>
      <c r="B1827" s="66" t="n">
        <v>795</v>
      </c>
      <c r="C1827" s="122">
        <f>IF($D1827="","",IFERROR(TEXT(일일실시사항!$B795,"yyyy-mm-dd"),"(날짜없음)")&amp;"  "&amp;일일실시사항!$D795&amp;"  "&amp;일일실시사항!$H795)</f>
        <v/>
      </c>
      <c r="D1827" s="122">
        <f>IF(NOT(COUNTBLANK(일일실시사항!$B795:$K795)&lt;10),"",TRIM(IF(일일실시사항!$B795="","일자 누락; ","")&amp;IF(COUNTIF(코드설정!$C$5:$C$24,일일실시사항!$D795)=0,"담당자 누락; ","")&amp;IF(COUNTIF(코드설정!$G$5:$G$14,일일실시사항!$F795)=0,"업무구분 누락; ","")&amp;IF(AND(일일실시사항!$G795&lt;&gt;"",COUNTIF(사건마스터!$A$5:$A$64,일일실시사항!$G795)=0),"미등록 사건번호; ","")&amp;IF(일일실시사항!$H795="","실시 내용 없음; ","")&amp;IF(COUNTIF(코드설정!$F$5:$F$7,일일실시사항!$J795)=0,"진행상태 누락; ","")))</f>
        <v/>
      </c>
    </row>
    <row r="1828">
      <c r="A1828" s="26" t="inlineStr">
        <is>
          <t>일일실시사항</t>
        </is>
      </c>
      <c r="B1828" s="66" t="n">
        <v>796</v>
      </c>
      <c r="C1828" s="122">
        <f>IF($D1828="","",IFERROR(TEXT(일일실시사항!$B796,"yyyy-mm-dd"),"(날짜없음)")&amp;"  "&amp;일일실시사항!$D796&amp;"  "&amp;일일실시사항!$H796)</f>
        <v/>
      </c>
      <c r="D1828" s="122">
        <f>IF(NOT(COUNTBLANK(일일실시사항!$B796:$K796)&lt;10),"",TRIM(IF(일일실시사항!$B796="","일자 누락; ","")&amp;IF(COUNTIF(코드설정!$C$5:$C$24,일일실시사항!$D796)=0,"담당자 누락; ","")&amp;IF(COUNTIF(코드설정!$G$5:$G$14,일일실시사항!$F796)=0,"업무구분 누락; ","")&amp;IF(AND(일일실시사항!$G796&lt;&gt;"",COUNTIF(사건마스터!$A$5:$A$64,일일실시사항!$G796)=0),"미등록 사건번호; ","")&amp;IF(일일실시사항!$H796="","실시 내용 없음; ","")&amp;IF(COUNTIF(코드설정!$F$5:$F$7,일일실시사항!$J796)=0,"진행상태 누락; ","")))</f>
        <v/>
      </c>
    </row>
    <row r="1829">
      <c r="A1829" s="26" t="inlineStr">
        <is>
          <t>일일실시사항</t>
        </is>
      </c>
      <c r="B1829" s="66" t="n">
        <v>797</v>
      </c>
      <c r="C1829" s="122">
        <f>IF($D1829="","",IFERROR(TEXT(일일실시사항!$B797,"yyyy-mm-dd"),"(날짜없음)")&amp;"  "&amp;일일실시사항!$D797&amp;"  "&amp;일일실시사항!$H797)</f>
        <v/>
      </c>
      <c r="D1829" s="122">
        <f>IF(NOT(COUNTBLANK(일일실시사항!$B797:$K797)&lt;10),"",TRIM(IF(일일실시사항!$B797="","일자 누락; ","")&amp;IF(COUNTIF(코드설정!$C$5:$C$24,일일실시사항!$D797)=0,"담당자 누락; ","")&amp;IF(COUNTIF(코드설정!$G$5:$G$14,일일실시사항!$F797)=0,"업무구분 누락; ","")&amp;IF(AND(일일실시사항!$G797&lt;&gt;"",COUNTIF(사건마스터!$A$5:$A$64,일일실시사항!$G797)=0),"미등록 사건번호; ","")&amp;IF(일일실시사항!$H797="","실시 내용 없음; ","")&amp;IF(COUNTIF(코드설정!$F$5:$F$7,일일실시사항!$J797)=0,"진행상태 누락; ","")))</f>
        <v/>
      </c>
    </row>
    <row r="1830">
      <c r="A1830" s="26" t="inlineStr">
        <is>
          <t>일일실시사항</t>
        </is>
      </c>
      <c r="B1830" s="66" t="n">
        <v>798</v>
      </c>
      <c r="C1830" s="122">
        <f>IF($D1830="","",IFERROR(TEXT(일일실시사항!$B798,"yyyy-mm-dd"),"(날짜없음)")&amp;"  "&amp;일일실시사항!$D798&amp;"  "&amp;일일실시사항!$H798)</f>
        <v/>
      </c>
      <c r="D1830" s="122">
        <f>IF(NOT(COUNTBLANK(일일실시사항!$B798:$K798)&lt;10),"",TRIM(IF(일일실시사항!$B798="","일자 누락; ","")&amp;IF(COUNTIF(코드설정!$C$5:$C$24,일일실시사항!$D798)=0,"담당자 누락; ","")&amp;IF(COUNTIF(코드설정!$G$5:$G$14,일일실시사항!$F798)=0,"업무구분 누락; ","")&amp;IF(AND(일일실시사항!$G798&lt;&gt;"",COUNTIF(사건마스터!$A$5:$A$64,일일실시사항!$G798)=0),"미등록 사건번호; ","")&amp;IF(일일실시사항!$H798="","실시 내용 없음; ","")&amp;IF(COUNTIF(코드설정!$F$5:$F$7,일일실시사항!$J798)=0,"진행상태 누락; ","")))</f>
        <v/>
      </c>
    </row>
    <row r="1831">
      <c r="A1831" s="26" t="inlineStr">
        <is>
          <t>일일실시사항</t>
        </is>
      </c>
      <c r="B1831" s="66" t="n">
        <v>799</v>
      </c>
      <c r="C1831" s="122">
        <f>IF($D1831="","",IFERROR(TEXT(일일실시사항!$B799,"yyyy-mm-dd"),"(날짜없음)")&amp;"  "&amp;일일실시사항!$D799&amp;"  "&amp;일일실시사항!$H799)</f>
        <v/>
      </c>
      <c r="D1831" s="122">
        <f>IF(NOT(COUNTBLANK(일일실시사항!$B799:$K799)&lt;10),"",TRIM(IF(일일실시사항!$B799="","일자 누락; ","")&amp;IF(COUNTIF(코드설정!$C$5:$C$24,일일실시사항!$D799)=0,"담당자 누락; ","")&amp;IF(COUNTIF(코드설정!$G$5:$G$14,일일실시사항!$F799)=0,"업무구분 누락; ","")&amp;IF(AND(일일실시사항!$G799&lt;&gt;"",COUNTIF(사건마스터!$A$5:$A$64,일일실시사항!$G799)=0),"미등록 사건번호; ","")&amp;IF(일일실시사항!$H799="","실시 내용 없음; ","")&amp;IF(COUNTIF(코드설정!$F$5:$F$7,일일실시사항!$J799)=0,"진행상태 누락; ","")))</f>
        <v/>
      </c>
    </row>
    <row r="1832">
      <c r="A1832" s="26" t="inlineStr">
        <is>
          <t>일일실시사항</t>
        </is>
      </c>
      <c r="B1832" s="66" t="n">
        <v>800</v>
      </c>
      <c r="C1832" s="122">
        <f>IF($D1832="","",IFERROR(TEXT(일일실시사항!$B800,"yyyy-mm-dd"),"(날짜없음)")&amp;"  "&amp;일일실시사항!$D800&amp;"  "&amp;일일실시사항!$H800)</f>
        <v/>
      </c>
      <c r="D1832" s="122">
        <f>IF(NOT(COUNTBLANK(일일실시사항!$B800:$K800)&lt;10),"",TRIM(IF(일일실시사항!$B800="","일자 누락; ","")&amp;IF(COUNTIF(코드설정!$C$5:$C$24,일일실시사항!$D800)=0,"담당자 누락; ","")&amp;IF(COUNTIF(코드설정!$G$5:$G$14,일일실시사항!$F800)=0,"업무구분 누락; ","")&amp;IF(AND(일일실시사항!$G800&lt;&gt;"",COUNTIF(사건마스터!$A$5:$A$64,일일실시사항!$G800)=0),"미등록 사건번호; ","")&amp;IF(일일실시사항!$H800="","실시 내용 없음; ","")&amp;IF(COUNTIF(코드설정!$F$5:$F$7,일일실시사항!$J800)=0,"진행상태 누락; ","")))</f>
        <v/>
      </c>
    </row>
    <row r="1833">
      <c r="A1833" s="26" t="inlineStr">
        <is>
          <t>일일실시사항</t>
        </is>
      </c>
      <c r="B1833" s="66" t="n">
        <v>801</v>
      </c>
      <c r="C1833" s="122">
        <f>IF($D1833="","",IFERROR(TEXT(일일실시사항!$B801,"yyyy-mm-dd"),"(날짜없음)")&amp;"  "&amp;일일실시사항!$D801&amp;"  "&amp;일일실시사항!$H801)</f>
        <v/>
      </c>
      <c r="D1833" s="122">
        <f>IF(NOT(COUNTBLANK(일일실시사항!$B801:$K801)&lt;10),"",TRIM(IF(일일실시사항!$B801="","일자 누락; ","")&amp;IF(COUNTIF(코드설정!$C$5:$C$24,일일실시사항!$D801)=0,"담당자 누락; ","")&amp;IF(COUNTIF(코드설정!$G$5:$G$14,일일실시사항!$F801)=0,"업무구분 누락; ","")&amp;IF(AND(일일실시사항!$G801&lt;&gt;"",COUNTIF(사건마스터!$A$5:$A$64,일일실시사항!$G801)=0),"미등록 사건번호; ","")&amp;IF(일일실시사항!$H801="","실시 내용 없음; ","")&amp;IF(COUNTIF(코드설정!$F$5:$F$7,일일실시사항!$J801)=0,"진행상태 누락; ","")))</f>
        <v/>
      </c>
    </row>
    <row r="1834">
      <c r="A1834" s="26" t="inlineStr">
        <is>
          <t>일일실시사항</t>
        </is>
      </c>
      <c r="B1834" s="66" t="n">
        <v>802</v>
      </c>
      <c r="C1834" s="122">
        <f>IF($D1834="","",IFERROR(TEXT(일일실시사항!$B802,"yyyy-mm-dd"),"(날짜없음)")&amp;"  "&amp;일일실시사항!$D802&amp;"  "&amp;일일실시사항!$H802)</f>
        <v/>
      </c>
      <c r="D1834" s="122">
        <f>IF(NOT(COUNTBLANK(일일실시사항!$B802:$K802)&lt;10),"",TRIM(IF(일일실시사항!$B802="","일자 누락; ","")&amp;IF(COUNTIF(코드설정!$C$5:$C$24,일일실시사항!$D802)=0,"담당자 누락; ","")&amp;IF(COUNTIF(코드설정!$G$5:$G$14,일일실시사항!$F802)=0,"업무구분 누락; ","")&amp;IF(AND(일일실시사항!$G802&lt;&gt;"",COUNTIF(사건마스터!$A$5:$A$64,일일실시사항!$G802)=0),"미등록 사건번호; ","")&amp;IF(일일실시사항!$H802="","실시 내용 없음; ","")&amp;IF(COUNTIF(코드설정!$F$5:$F$7,일일실시사항!$J802)=0,"진행상태 누락; ","")))</f>
        <v/>
      </c>
    </row>
    <row r="1835">
      <c r="A1835" s="26" t="inlineStr">
        <is>
          <t>일일실시사항</t>
        </is>
      </c>
      <c r="B1835" s="66" t="n">
        <v>803</v>
      </c>
      <c r="C1835" s="122">
        <f>IF($D1835="","",IFERROR(TEXT(일일실시사항!$B803,"yyyy-mm-dd"),"(날짜없음)")&amp;"  "&amp;일일실시사항!$D803&amp;"  "&amp;일일실시사항!$H803)</f>
        <v/>
      </c>
      <c r="D1835" s="122">
        <f>IF(NOT(COUNTBLANK(일일실시사항!$B803:$K803)&lt;10),"",TRIM(IF(일일실시사항!$B803="","일자 누락; ","")&amp;IF(COUNTIF(코드설정!$C$5:$C$24,일일실시사항!$D803)=0,"담당자 누락; ","")&amp;IF(COUNTIF(코드설정!$G$5:$G$14,일일실시사항!$F803)=0,"업무구분 누락; ","")&amp;IF(AND(일일실시사항!$G803&lt;&gt;"",COUNTIF(사건마스터!$A$5:$A$64,일일실시사항!$G803)=0),"미등록 사건번호; ","")&amp;IF(일일실시사항!$H803="","실시 내용 없음; ","")&amp;IF(COUNTIF(코드설정!$F$5:$F$7,일일실시사항!$J803)=0,"진행상태 누락; ","")))</f>
        <v/>
      </c>
    </row>
    <row r="1836">
      <c r="A1836" s="26" t="inlineStr">
        <is>
          <t>일일실시사항</t>
        </is>
      </c>
      <c r="B1836" s="66" t="n">
        <v>804</v>
      </c>
      <c r="C1836" s="122">
        <f>IF($D1836="","",IFERROR(TEXT(일일실시사항!$B804,"yyyy-mm-dd"),"(날짜없음)")&amp;"  "&amp;일일실시사항!$D804&amp;"  "&amp;일일실시사항!$H804)</f>
        <v/>
      </c>
      <c r="D1836" s="122">
        <f>IF(NOT(COUNTBLANK(일일실시사항!$B804:$K804)&lt;10),"",TRIM(IF(일일실시사항!$B804="","일자 누락; ","")&amp;IF(COUNTIF(코드설정!$C$5:$C$24,일일실시사항!$D804)=0,"담당자 누락; ","")&amp;IF(COUNTIF(코드설정!$G$5:$G$14,일일실시사항!$F804)=0,"업무구분 누락; ","")&amp;IF(AND(일일실시사항!$G804&lt;&gt;"",COUNTIF(사건마스터!$A$5:$A$64,일일실시사항!$G804)=0),"미등록 사건번호; ","")&amp;IF(일일실시사항!$H804="","실시 내용 없음; ","")&amp;IF(COUNTIF(코드설정!$F$5:$F$7,일일실시사항!$J804)=0,"진행상태 누락; ","")))</f>
        <v/>
      </c>
    </row>
    <row r="1837">
      <c r="A1837" s="26" t="inlineStr">
        <is>
          <t>일일실시사항</t>
        </is>
      </c>
      <c r="B1837" s="66" t="n">
        <v>805</v>
      </c>
      <c r="C1837" s="122">
        <f>IF($D1837="","",IFERROR(TEXT(일일실시사항!$B805,"yyyy-mm-dd"),"(날짜없음)")&amp;"  "&amp;일일실시사항!$D805&amp;"  "&amp;일일실시사항!$H805)</f>
        <v/>
      </c>
      <c r="D1837" s="122">
        <f>IF(NOT(COUNTBLANK(일일실시사항!$B805:$K805)&lt;10),"",TRIM(IF(일일실시사항!$B805="","일자 누락; ","")&amp;IF(COUNTIF(코드설정!$C$5:$C$24,일일실시사항!$D805)=0,"담당자 누락; ","")&amp;IF(COUNTIF(코드설정!$G$5:$G$14,일일실시사항!$F805)=0,"업무구분 누락; ","")&amp;IF(AND(일일실시사항!$G805&lt;&gt;"",COUNTIF(사건마스터!$A$5:$A$64,일일실시사항!$G805)=0),"미등록 사건번호; ","")&amp;IF(일일실시사항!$H805="","실시 내용 없음; ","")&amp;IF(COUNTIF(코드설정!$F$5:$F$7,일일실시사항!$J805)=0,"진행상태 누락; ","")))</f>
        <v/>
      </c>
    </row>
    <row r="1838">
      <c r="A1838" s="26" t="inlineStr">
        <is>
          <t>일일실시사항</t>
        </is>
      </c>
      <c r="B1838" s="66" t="n">
        <v>806</v>
      </c>
      <c r="C1838" s="122">
        <f>IF($D1838="","",IFERROR(TEXT(일일실시사항!$B806,"yyyy-mm-dd"),"(날짜없음)")&amp;"  "&amp;일일실시사항!$D806&amp;"  "&amp;일일실시사항!$H806)</f>
        <v/>
      </c>
      <c r="D1838" s="122">
        <f>IF(NOT(COUNTBLANK(일일실시사항!$B806:$K806)&lt;10),"",TRIM(IF(일일실시사항!$B806="","일자 누락; ","")&amp;IF(COUNTIF(코드설정!$C$5:$C$24,일일실시사항!$D806)=0,"담당자 누락; ","")&amp;IF(COUNTIF(코드설정!$G$5:$G$14,일일실시사항!$F806)=0,"업무구분 누락; ","")&amp;IF(AND(일일실시사항!$G806&lt;&gt;"",COUNTIF(사건마스터!$A$5:$A$64,일일실시사항!$G806)=0),"미등록 사건번호; ","")&amp;IF(일일실시사항!$H806="","실시 내용 없음; ","")&amp;IF(COUNTIF(코드설정!$F$5:$F$7,일일실시사항!$J806)=0,"진행상태 누락; ","")))</f>
        <v/>
      </c>
    </row>
    <row r="1839">
      <c r="A1839" s="26" t="inlineStr">
        <is>
          <t>일일실시사항</t>
        </is>
      </c>
      <c r="B1839" s="66" t="n">
        <v>807</v>
      </c>
      <c r="C1839" s="122">
        <f>IF($D1839="","",IFERROR(TEXT(일일실시사항!$B807,"yyyy-mm-dd"),"(날짜없음)")&amp;"  "&amp;일일실시사항!$D807&amp;"  "&amp;일일실시사항!$H807)</f>
        <v/>
      </c>
      <c r="D1839" s="122">
        <f>IF(NOT(COUNTBLANK(일일실시사항!$B807:$K807)&lt;10),"",TRIM(IF(일일실시사항!$B807="","일자 누락; ","")&amp;IF(COUNTIF(코드설정!$C$5:$C$24,일일실시사항!$D807)=0,"담당자 누락; ","")&amp;IF(COUNTIF(코드설정!$G$5:$G$14,일일실시사항!$F807)=0,"업무구분 누락; ","")&amp;IF(AND(일일실시사항!$G807&lt;&gt;"",COUNTIF(사건마스터!$A$5:$A$64,일일실시사항!$G807)=0),"미등록 사건번호; ","")&amp;IF(일일실시사항!$H807="","실시 내용 없음; ","")&amp;IF(COUNTIF(코드설정!$F$5:$F$7,일일실시사항!$J807)=0,"진행상태 누락; ","")))</f>
        <v/>
      </c>
    </row>
    <row r="1840">
      <c r="A1840" s="26" t="inlineStr">
        <is>
          <t>일일실시사항</t>
        </is>
      </c>
      <c r="B1840" s="66" t="n">
        <v>808</v>
      </c>
      <c r="C1840" s="122">
        <f>IF($D1840="","",IFERROR(TEXT(일일실시사항!$B808,"yyyy-mm-dd"),"(날짜없음)")&amp;"  "&amp;일일실시사항!$D808&amp;"  "&amp;일일실시사항!$H808)</f>
        <v/>
      </c>
      <c r="D1840" s="122">
        <f>IF(NOT(COUNTBLANK(일일실시사항!$B808:$K808)&lt;10),"",TRIM(IF(일일실시사항!$B808="","일자 누락; ","")&amp;IF(COUNTIF(코드설정!$C$5:$C$24,일일실시사항!$D808)=0,"담당자 누락; ","")&amp;IF(COUNTIF(코드설정!$G$5:$G$14,일일실시사항!$F808)=0,"업무구분 누락; ","")&amp;IF(AND(일일실시사항!$G808&lt;&gt;"",COUNTIF(사건마스터!$A$5:$A$64,일일실시사항!$G808)=0),"미등록 사건번호; ","")&amp;IF(일일실시사항!$H808="","실시 내용 없음; ","")&amp;IF(COUNTIF(코드설정!$F$5:$F$7,일일실시사항!$J808)=0,"진행상태 누락; ","")))</f>
        <v/>
      </c>
    </row>
    <row r="1841">
      <c r="A1841" s="26" t="inlineStr">
        <is>
          <t>일일실시사항</t>
        </is>
      </c>
      <c r="B1841" s="66" t="n">
        <v>809</v>
      </c>
      <c r="C1841" s="122">
        <f>IF($D1841="","",IFERROR(TEXT(일일실시사항!$B809,"yyyy-mm-dd"),"(날짜없음)")&amp;"  "&amp;일일실시사항!$D809&amp;"  "&amp;일일실시사항!$H809)</f>
        <v/>
      </c>
      <c r="D1841" s="122">
        <f>IF(NOT(COUNTBLANK(일일실시사항!$B809:$K809)&lt;10),"",TRIM(IF(일일실시사항!$B809="","일자 누락; ","")&amp;IF(COUNTIF(코드설정!$C$5:$C$24,일일실시사항!$D809)=0,"담당자 누락; ","")&amp;IF(COUNTIF(코드설정!$G$5:$G$14,일일실시사항!$F809)=0,"업무구분 누락; ","")&amp;IF(AND(일일실시사항!$G809&lt;&gt;"",COUNTIF(사건마스터!$A$5:$A$64,일일실시사항!$G809)=0),"미등록 사건번호; ","")&amp;IF(일일실시사항!$H809="","실시 내용 없음; ","")&amp;IF(COUNTIF(코드설정!$F$5:$F$7,일일실시사항!$J809)=0,"진행상태 누락; ","")))</f>
        <v/>
      </c>
    </row>
    <row r="1842">
      <c r="A1842" s="26" t="inlineStr">
        <is>
          <t>일일실시사항</t>
        </is>
      </c>
      <c r="B1842" s="66" t="n">
        <v>810</v>
      </c>
      <c r="C1842" s="122">
        <f>IF($D1842="","",IFERROR(TEXT(일일실시사항!$B810,"yyyy-mm-dd"),"(날짜없음)")&amp;"  "&amp;일일실시사항!$D810&amp;"  "&amp;일일실시사항!$H810)</f>
        <v/>
      </c>
      <c r="D1842" s="122">
        <f>IF(NOT(COUNTBLANK(일일실시사항!$B810:$K810)&lt;10),"",TRIM(IF(일일실시사항!$B810="","일자 누락; ","")&amp;IF(COUNTIF(코드설정!$C$5:$C$24,일일실시사항!$D810)=0,"담당자 누락; ","")&amp;IF(COUNTIF(코드설정!$G$5:$G$14,일일실시사항!$F810)=0,"업무구분 누락; ","")&amp;IF(AND(일일실시사항!$G810&lt;&gt;"",COUNTIF(사건마스터!$A$5:$A$64,일일실시사항!$G810)=0),"미등록 사건번호; ","")&amp;IF(일일실시사항!$H810="","실시 내용 없음; ","")&amp;IF(COUNTIF(코드설정!$F$5:$F$7,일일실시사항!$J810)=0,"진행상태 누락; ","")))</f>
        <v/>
      </c>
    </row>
    <row r="1843">
      <c r="A1843" s="26" t="inlineStr">
        <is>
          <t>일일실시사항</t>
        </is>
      </c>
      <c r="B1843" s="66" t="n">
        <v>811</v>
      </c>
      <c r="C1843" s="122">
        <f>IF($D1843="","",IFERROR(TEXT(일일실시사항!$B811,"yyyy-mm-dd"),"(날짜없음)")&amp;"  "&amp;일일실시사항!$D811&amp;"  "&amp;일일실시사항!$H811)</f>
        <v/>
      </c>
      <c r="D1843" s="122">
        <f>IF(NOT(COUNTBLANK(일일실시사항!$B811:$K811)&lt;10),"",TRIM(IF(일일실시사항!$B811="","일자 누락; ","")&amp;IF(COUNTIF(코드설정!$C$5:$C$24,일일실시사항!$D811)=0,"담당자 누락; ","")&amp;IF(COUNTIF(코드설정!$G$5:$G$14,일일실시사항!$F811)=0,"업무구분 누락; ","")&amp;IF(AND(일일실시사항!$G811&lt;&gt;"",COUNTIF(사건마스터!$A$5:$A$64,일일실시사항!$G811)=0),"미등록 사건번호; ","")&amp;IF(일일실시사항!$H811="","실시 내용 없음; ","")&amp;IF(COUNTIF(코드설정!$F$5:$F$7,일일실시사항!$J811)=0,"진행상태 누락; ","")))</f>
        <v/>
      </c>
    </row>
    <row r="1844">
      <c r="A1844" s="26" t="inlineStr">
        <is>
          <t>일일실시사항</t>
        </is>
      </c>
      <c r="B1844" s="66" t="n">
        <v>812</v>
      </c>
      <c r="C1844" s="122">
        <f>IF($D1844="","",IFERROR(TEXT(일일실시사항!$B812,"yyyy-mm-dd"),"(날짜없음)")&amp;"  "&amp;일일실시사항!$D812&amp;"  "&amp;일일실시사항!$H812)</f>
        <v/>
      </c>
      <c r="D1844" s="122">
        <f>IF(NOT(COUNTBLANK(일일실시사항!$B812:$K812)&lt;10),"",TRIM(IF(일일실시사항!$B812="","일자 누락; ","")&amp;IF(COUNTIF(코드설정!$C$5:$C$24,일일실시사항!$D812)=0,"담당자 누락; ","")&amp;IF(COUNTIF(코드설정!$G$5:$G$14,일일실시사항!$F812)=0,"업무구분 누락; ","")&amp;IF(AND(일일실시사항!$G812&lt;&gt;"",COUNTIF(사건마스터!$A$5:$A$64,일일실시사항!$G812)=0),"미등록 사건번호; ","")&amp;IF(일일실시사항!$H812="","실시 내용 없음; ","")&amp;IF(COUNTIF(코드설정!$F$5:$F$7,일일실시사항!$J812)=0,"진행상태 누락; ","")))</f>
        <v/>
      </c>
    </row>
    <row r="1845">
      <c r="A1845" s="26" t="inlineStr">
        <is>
          <t>일일실시사항</t>
        </is>
      </c>
      <c r="B1845" s="66" t="n">
        <v>813</v>
      </c>
      <c r="C1845" s="122">
        <f>IF($D1845="","",IFERROR(TEXT(일일실시사항!$B813,"yyyy-mm-dd"),"(날짜없음)")&amp;"  "&amp;일일실시사항!$D813&amp;"  "&amp;일일실시사항!$H813)</f>
        <v/>
      </c>
      <c r="D1845" s="122">
        <f>IF(NOT(COUNTBLANK(일일실시사항!$B813:$K813)&lt;10),"",TRIM(IF(일일실시사항!$B813="","일자 누락; ","")&amp;IF(COUNTIF(코드설정!$C$5:$C$24,일일실시사항!$D813)=0,"담당자 누락; ","")&amp;IF(COUNTIF(코드설정!$G$5:$G$14,일일실시사항!$F813)=0,"업무구분 누락; ","")&amp;IF(AND(일일실시사항!$G813&lt;&gt;"",COUNTIF(사건마스터!$A$5:$A$64,일일실시사항!$G813)=0),"미등록 사건번호; ","")&amp;IF(일일실시사항!$H813="","실시 내용 없음; ","")&amp;IF(COUNTIF(코드설정!$F$5:$F$7,일일실시사항!$J813)=0,"진행상태 누락; ","")))</f>
        <v/>
      </c>
    </row>
    <row r="1846">
      <c r="A1846" s="26" t="inlineStr">
        <is>
          <t>일일실시사항</t>
        </is>
      </c>
      <c r="B1846" s="66" t="n">
        <v>814</v>
      </c>
      <c r="C1846" s="122">
        <f>IF($D1846="","",IFERROR(TEXT(일일실시사항!$B814,"yyyy-mm-dd"),"(날짜없음)")&amp;"  "&amp;일일실시사항!$D814&amp;"  "&amp;일일실시사항!$H814)</f>
        <v/>
      </c>
      <c r="D1846" s="122">
        <f>IF(NOT(COUNTBLANK(일일실시사항!$B814:$K814)&lt;10),"",TRIM(IF(일일실시사항!$B814="","일자 누락; ","")&amp;IF(COUNTIF(코드설정!$C$5:$C$24,일일실시사항!$D814)=0,"담당자 누락; ","")&amp;IF(COUNTIF(코드설정!$G$5:$G$14,일일실시사항!$F814)=0,"업무구분 누락; ","")&amp;IF(AND(일일실시사항!$G814&lt;&gt;"",COUNTIF(사건마스터!$A$5:$A$64,일일실시사항!$G814)=0),"미등록 사건번호; ","")&amp;IF(일일실시사항!$H814="","실시 내용 없음; ","")&amp;IF(COUNTIF(코드설정!$F$5:$F$7,일일실시사항!$J814)=0,"진행상태 누락; ","")))</f>
        <v/>
      </c>
    </row>
    <row r="1847">
      <c r="A1847" s="26" t="inlineStr">
        <is>
          <t>일일실시사항</t>
        </is>
      </c>
      <c r="B1847" s="66" t="n">
        <v>815</v>
      </c>
      <c r="C1847" s="122">
        <f>IF($D1847="","",IFERROR(TEXT(일일실시사항!$B815,"yyyy-mm-dd"),"(날짜없음)")&amp;"  "&amp;일일실시사항!$D815&amp;"  "&amp;일일실시사항!$H815)</f>
        <v/>
      </c>
      <c r="D1847" s="122">
        <f>IF(NOT(COUNTBLANK(일일실시사항!$B815:$K815)&lt;10),"",TRIM(IF(일일실시사항!$B815="","일자 누락; ","")&amp;IF(COUNTIF(코드설정!$C$5:$C$24,일일실시사항!$D815)=0,"담당자 누락; ","")&amp;IF(COUNTIF(코드설정!$G$5:$G$14,일일실시사항!$F815)=0,"업무구분 누락; ","")&amp;IF(AND(일일실시사항!$G815&lt;&gt;"",COUNTIF(사건마스터!$A$5:$A$64,일일실시사항!$G815)=0),"미등록 사건번호; ","")&amp;IF(일일실시사항!$H815="","실시 내용 없음; ","")&amp;IF(COUNTIF(코드설정!$F$5:$F$7,일일실시사항!$J815)=0,"진행상태 누락; ","")))</f>
        <v/>
      </c>
    </row>
    <row r="1848">
      <c r="A1848" s="26" t="inlineStr">
        <is>
          <t>일일실시사항</t>
        </is>
      </c>
      <c r="B1848" s="66" t="n">
        <v>816</v>
      </c>
      <c r="C1848" s="122">
        <f>IF($D1848="","",IFERROR(TEXT(일일실시사항!$B816,"yyyy-mm-dd"),"(날짜없음)")&amp;"  "&amp;일일실시사항!$D816&amp;"  "&amp;일일실시사항!$H816)</f>
        <v/>
      </c>
      <c r="D1848" s="122">
        <f>IF(NOT(COUNTBLANK(일일실시사항!$B816:$K816)&lt;10),"",TRIM(IF(일일실시사항!$B816="","일자 누락; ","")&amp;IF(COUNTIF(코드설정!$C$5:$C$24,일일실시사항!$D816)=0,"담당자 누락; ","")&amp;IF(COUNTIF(코드설정!$G$5:$G$14,일일실시사항!$F816)=0,"업무구분 누락; ","")&amp;IF(AND(일일실시사항!$G816&lt;&gt;"",COUNTIF(사건마스터!$A$5:$A$64,일일실시사항!$G816)=0),"미등록 사건번호; ","")&amp;IF(일일실시사항!$H816="","실시 내용 없음; ","")&amp;IF(COUNTIF(코드설정!$F$5:$F$7,일일실시사항!$J816)=0,"진행상태 누락; ","")))</f>
        <v/>
      </c>
    </row>
    <row r="1849">
      <c r="A1849" s="26" t="inlineStr">
        <is>
          <t>일일실시사항</t>
        </is>
      </c>
      <c r="B1849" s="66" t="n">
        <v>817</v>
      </c>
      <c r="C1849" s="122">
        <f>IF($D1849="","",IFERROR(TEXT(일일실시사항!$B817,"yyyy-mm-dd"),"(날짜없음)")&amp;"  "&amp;일일실시사항!$D817&amp;"  "&amp;일일실시사항!$H817)</f>
        <v/>
      </c>
      <c r="D1849" s="122">
        <f>IF(NOT(COUNTBLANK(일일실시사항!$B817:$K817)&lt;10),"",TRIM(IF(일일실시사항!$B817="","일자 누락; ","")&amp;IF(COUNTIF(코드설정!$C$5:$C$24,일일실시사항!$D817)=0,"담당자 누락; ","")&amp;IF(COUNTIF(코드설정!$G$5:$G$14,일일실시사항!$F817)=0,"업무구분 누락; ","")&amp;IF(AND(일일실시사항!$G817&lt;&gt;"",COUNTIF(사건마스터!$A$5:$A$64,일일실시사항!$G817)=0),"미등록 사건번호; ","")&amp;IF(일일실시사항!$H817="","실시 내용 없음; ","")&amp;IF(COUNTIF(코드설정!$F$5:$F$7,일일실시사항!$J817)=0,"진행상태 누락; ","")))</f>
        <v/>
      </c>
    </row>
    <row r="1850">
      <c r="A1850" s="26" t="inlineStr">
        <is>
          <t>일일실시사항</t>
        </is>
      </c>
      <c r="B1850" s="66" t="n">
        <v>818</v>
      </c>
      <c r="C1850" s="122">
        <f>IF($D1850="","",IFERROR(TEXT(일일실시사항!$B818,"yyyy-mm-dd"),"(날짜없음)")&amp;"  "&amp;일일실시사항!$D818&amp;"  "&amp;일일실시사항!$H818)</f>
        <v/>
      </c>
      <c r="D1850" s="122">
        <f>IF(NOT(COUNTBLANK(일일실시사항!$B818:$K818)&lt;10),"",TRIM(IF(일일실시사항!$B818="","일자 누락; ","")&amp;IF(COUNTIF(코드설정!$C$5:$C$24,일일실시사항!$D818)=0,"담당자 누락; ","")&amp;IF(COUNTIF(코드설정!$G$5:$G$14,일일실시사항!$F818)=0,"업무구분 누락; ","")&amp;IF(AND(일일실시사항!$G818&lt;&gt;"",COUNTIF(사건마스터!$A$5:$A$64,일일실시사항!$G818)=0),"미등록 사건번호; ","")&amp;IF(일일실시사항!$H818="","실시 내용 없음; ","")&amp;IF(COUNTIF(코드설정!$F$5:$F$7,일일실시사항!$J818)=0,"진행상태 누락; ","")))</f>
        <v/>
      </c>
    </row>
    <row r="1851">
      <c r="A1851" s="26" t="inlineStr">
        <is>
          <t>일일실시사항</t>
        </is>
      </c>
      <c r="B1851" s="66" t="n">
        <v>819</v>
      </c>
      <c r="C1851" s="122">
        <f>IF($D1851="","",IFERROR(TEXT(일일실시사항!$B819,"yyyy-mm-dd"),"(날짜없음)")&amp;"  "&amp;일일실시사항!$D819&amp;"  "&amp;일일실시사항!$H819)</f>
        <v/>
      </c>
      <c r="D1851" s="122">
        <f>IF(NOT(COUNTBLANK(일일실시사항!$B819:$K819)&lt;10),"",TRIM(IF(일일실시사항!$B819="","일자 누락; ","")&amp;IF(COUNTIF(코드설정!$C$5:$C$24,일일실시사항!$D819)=0,"담당자 누락; ","")&amp;IF(COUNTIF(코드설정!$G$5:$G$14,일일실시사항!$F819)=0,"업무구분 누락; ","")&amp;IF(AND(일일실시사항!$G819&lt;&gt;"",COUNTIF(사건마스터!$A$5:$A$64,일일실시사항!$G819)=0),"미등록 사건번호; ","")&amp;IF(일일실시사항!$H819="","실시 내용 없음; ","")&amp;IF(COUNTIF(코드설정!$F$5:$F$7,일일실시사항!$J819)=0,"진행상태 누락; ","")))</f>
        <v/>
      </c>
    </row>
    <row r="1852">
      <c r="A1852" s="26" t="inlineStr">
        <is>
          <t>일일실시사항</t>
        </is>
      </c>
      <c r="B1852" s="66" t="n">
        <v>820</v>
      </c>
      <c r="C1852" s="122">
        <f>IF($D1852="","",IFERROR(TEXT(일일실시사항!$B820,"yyyy-mm-dd"),"(날짜없음)")&amp;"  "&amp;일일실시사항!$D820&amp;"  "&amp;일일실시사항!$H820)</f>
        <v/>
      </c>
      <c r="D1852" s="122">
        <f>IF(NOT(COUNTBLANK(일일실시사항!$B820:$K820)&lt;10),"",TRIM(IF(일일실시사항!$B820="","일자 누락; ","")&amp;IF(COUNTIF(코드설정!$C$5:$C$24,일일실시사항!$D820)=0,"담당자 누락; ","")&amp;IF(COUNTIF(코드설정!$G$5:$G$14,일일실시사항!$F820)=0,"업무구분 누락; ","")&amp;IF(AND(일일실시사항!$G820&lt;&gt;"",COUNTIF(사건마스터!$A$5:$A$64,일일실시사항!$G820)=0),"미등록 사건번호; ","")&amp;IF(일일실시사항!$H820="","실시 내용 없음; ","")&amp;IF(COUNTIF(코드설정!$F$5:$F$7,일일실시사항!$J820)=0,"진행상태 누락; ","")))</f>
        <v/>
      </c>
    </row>
    <row r="1853">
      <c r="A1853" s="26" t="inlineStr">
        <is>
          <t>일일실시사항</t>
        </is>
      </c>
      <c r="B1853" s="66" t="n">
        <v>821</v>
      </c>
      <c r="C1853" s="122">
        <f>IF($D1853="","",IFERROR(TEXT(일일실시사항!$B821,"yyyy-mm-dd"),"(날짜없음)")&amp;"  "&amp;일일실시사항!$D821&amp;"  "&amp;일일실시사항!$H821)</f>
        <v/>
      </c>
      <c r="D1853" s="122">
        <f>IF(NOT(COUNTBLANK(일일실시사항!$B821:$K821)&lt;10),"",TRIM(IF(일일실시사항!$B821="","일자 누락; ","")&amp;IF(COUNTIF(코드설정!$C$5:$C$24,일일실시사항!$D821)=0,"담당자 누락; ","")&amp;IF(COUNTIF(코드설정!$G$5:$G$14,일일실시사항!$F821)=0,"업무구분 누락; ","")&amp;IF(AND(일일실시사항!$G821&lt;&gt;"",COUNTIF(사건마스터!$A$5:$A$64,일일실시사항!$G821)=0),"미등록 사건번호; ","")&amp;IF(일일실시사항!$H821="","실시 내용 없음; ","")&amp;IF(COUNTIF(코드설정!$F$5:$F$7,일일실시사항!$J821)=0,"진행상태 누락; ","")))</f>
        <v/>
      </c>
    </row>
    <row r="1854">
      <c r="A1854" s="26" t="inlineStr">
        <is>
          <t>일일실시사항</t>
        </is>
      </c>
      <c r="B1854" s="66" t="n">
        <v>822</v>
      </c>
      <c r="C1854" s="122">
        <f>IF($D1854="","",IFERROR(TEXT(일일실시사항!$B822,"yyyy-mm-dd"),"(날짜없음)")&amp;"  "&amp;일일실시사항!$D822&amp;"  "&amp;일일실시사항!$H822)</f>
        <v/>
      </c>
      <c r="D1854" s="122">
        <f>IF(NOT(COUNTBLANK(일일실시사항!$B822:$K822)&lt;10),"",TRIM(IF(일일실시사항!$B822="","일자 누락; ","")&amp;IF(COUNTIF(코드설정!$C$5:$C$24,일일실시사항!$D822)=0,"담당자 누락; ","")&amp;IF(COUNTIF(코드설정!$G$5:$G$14,일일실시사항!$F822)=0,"업무구분 누락; ","")&amp;IF(AND(일일실시사항!$G822&lt;&gt;"",COUNTIF(사건마스터!$A$5:$A$64,일일실시사항!$G822)=0),"미등록 사건번호; ","")&amp;IF(일일실시사항!$H822="","실시 내용 없음; ","")&amp;IF(COUNTIF(코드설정!$F$5:$F$7,일일실시사항!$J822)=0,"진행상태 누락; ","")))</f>
        <v/>
      </c>
    </row>
    <row r="1855">
      <c r="A1855" s="26" t="inlineStr">
        <is>
          <t>일일실시사항</t>
        </is>
      </c>
      <c r="B1855" s="66" t="n">
        <v>823</v>
      </c>
      <c r="C1855" s="122">
        <f>IF($D1855="","",IFERROR(TEXT(일일실시사항!$B823,"yyyy-mm-dd"),"(날짜없음)")&amp;"  "&amp;일일실시사항!$D823&amp;"  "&amp;일일실시사항!$H823)</f>
        <v/>
      </c>
      <c r="D1855" s="122">
        <f>IF(NOT(COUNTBLANK(일일실시사항!$B823:$K823)&lt;10),"",TRIM(IF(일일실시사항!$B823="","일자 누락; ","")&amp;IF(COUNTIF(코드설정!$C$5:$C$24,일일실시사항!$D823)=0,"담당자 누락; ","")&amp;IF(COUNTIF(코드설정!$G$5:$G$14,일일실시사항!$F823)=0,"업무구분 누락; ","")&amp;IF(AND(일일실시사항!$G823&lt;&gt;"",COUNTIF(사건마스터!$A$5:$A$64,일일실시사항!$G823)=0),"미등록 사건번호; ","")&amp;IF(일일실시사항!$H823="","실시 내용 없음; ","")&amp;IF(COUNTIF(코드설정!$F$5:$F$7,일일실시사항!$J823)=0,"진행상태 누락; ","")))</f>
        <v/>
      </c>
    </row>
    <row r="1856">
      <c r="A1856" s="26" t="inlineStr">
        <is>
          <t>일일실시사항</t>
        </is>
      </c>
      <c r="B1856" s="66" t="n">
        <v>824</v>
      </c>
      <c r="C1856" s="122">
        <f>IF($D1856="","",IFERROR(TEXT(일일실시사항!$B824,"yyyy-mm-dd"),"(날짜없음)")&amp;"  "&amp;일일실시사항!$D824&amp;"  "&amp;일일실시사항!$H824)</f>
        <v/>
      </c>
      <c r="D1856" s="122">
        <f>IF(NOT(COUNTBLANK(일일실시사항!$B824:$K824)&lt;10),"",TRIM(IF(일일실시사항!$B824="","일자 누락; ","")&amp;IF(COUNTIF(코드설정!$C$5:$C$24,일일실시사항!$D824)=0,"담당자 누락; ","")&amp;IF(COUNTIF(코드설정!$G$5:$G$14,일일실시사항!$F824)=0,"업무구분 누락; ","")&amp;IF(AND(일일실시사항!$G824&lt;&gt;"",COUNTIF(사건마스터!$A$5:$A$64,일일실시사항!$G824)=0),"미등록 사건번호; ","")&amp;IF(일일실시사항!$H824="","실시 내용 없음; ","")&amp;IF(COUNTIF(코드설정!$F$5:$F$7,일일실시사항!$J824)=0,"진행상태 누락; ","")))</f>
        <v/>
      </c>
    </row>
    <row r="1857">
      <c r="A1857" s="26" t="inlineStr">
        <is>
          <t>일일실시사항</t>
        </is>
      </c>
      <c r="B1857" s="66" t="n">
        <v>825</v>
      </c>
      <c r="C1857" s="122">
        <f>IF($D1857="","",IFERROR(TEXT(일일실시사항!$B825,"yyyy-mm-dd"),"(날짜없음)")&amp;"  "&amp;일일실시사항!$D825&amp;"  "&amp;일일실시사항!$H825)</f>
        <v/>
      </c>
      <c r="D1857" s="122">
        <f>IF(NOT(COUNTBLANK(일일실시사항!$B825:$K825)&lt;10),"",TRIM(IF(일일실시사항!$B825="","일자 누락; ","")&amp;IF(COUNTIF(코드설정!$C$5:$C$24,일일실시사항!$D825)=0,"담당자 누락; ","")&amp;IF(COUNTIF(코드설정!$G$5:$G$14,일일실시사항!$F825)=0,"업무구분 누락; ","")&amp;IF(AND(일일실시사항!$G825&lt;&gt;"",COUNTIF(사건마스터!$A$5:$A$64,일일실시사항!$G825)=0),"미등록 사건번호; ","")&amp;IF(일일실시사항!$H825="","실시 내용 없음; ","")&amp;IF(COUNTIF(코드설정!$F$5:$F$7,일일실시사항!$J825)=0,"진행상태 누락; ","")))</f>
        <v/>
      </c>
    </row>
    <row r="1858">
      <c r="A1858" s="26" t="inlineStr">
        <is>
          <t>일일실시사항</t>
        </is>
      </c>
      <c r="B1858" s="66" t="n">
        <v>826</v>
      </c>
      <c r="C1858" s="122">
        <f>IF($D1858="","",IFERROR(TEXT(일일실시사항!$B826,"yyyy-mm-dd"),"(날짜없음)")&amp;"  "&amp;일일실시사항!$D826&amp;"  "&amp;일일실시사항!$H826)</f>
        <v/>
      </c>
      <c r="D1858" s="122">
        <f>IF(NOT(COUNTBLANK(일일실시사항!$B826:$K826)&lt;10),"",TRIM(IF(일일실시사항!$B826="","일자 누락; ","")&amp;IF(COUNTIF(코드설정!$C$5:$C$24,일일실시사항!$D826)=0,"담당자 누락; ","")&amp;IF(COUNTIF(코드설정!$G$5:$G$14,일일실시사항!$F826)=0,"업무구분 누락; ","")&amp;IF(AND(일일실시사항!$G826&lt;&gt;"",COUNTIF(사건마스터!$A$5:$A$64,일일실시사항!$G826)=0),"미등록 사건번호; ","")&amp;IF(일일실시사항!$H826="","실시 내용 없음; ","")&amp;IF(COUNTIF(코드설정!$F$5:$F$7,일일실시사항!$J826)=0,"진행상태 누락; ","")))</f>
        <v/>
      </c>
    </row>
    <row r="1859">
      <c r="A1859" s="26" t="inlineStr">
        <is>
          <t>일일실시사항</t>
        </is>
      </c>
      <c r="B1859" s="66" t="n">
        <v>827</v>
      </c>
      <c r="C1859" s="122">
        <f>IF($D1859="","",IFERROR(TEXT(일일실시사항!$B827,"yyyy-mm-dd"),"(날짜없음)")&amp;"  "&amp;일일실시사항!$D827&amp;"  "&amp;일일실시사항!$H827)</f>
        <v/>
      </c>
      <c r="D1859" s="122">
        <f>IF(NOT(COUNTBLANK(일일실시사항!$B827:$K827)&lt;10),"",TRIM(IF(일일실시사항!$B827="","일자 누락; ","")&amp;IF(COUNTIF(코드설정!$C$5:$C$24,일일실시사항!$D827)=0,"담당자 누락; ","")&amp;IF(COUNTIF(코드설정!$G$5:$G$14,일일실시사항!$F827)=0,"업무구분 누락; ","")&amp;IF(AND(일일실시사항!$G827&lt;&gt;"",COUNTIF(사건마스터!$A$5:$A$64,일일실시사항!$G827)=0),"미등록 사건번호; ","")&amp;IF(일일실시사항!$H827="","실시 내용 없음; ","")&amp;IF(COUNTIF(코드설정!$F$5:$F$7,일일실시사항!$J827)=0,"진행상태 누락; ","")))</f>
        <v/>
      </c>
    </row>
    <row r="1860">
      <c r="A1860" s="26" t="inlineStr">
        <is>
          <t>일일실시사항</t>
        </is>
      </c>
      <c r="B1860" s="66" t="n">
        <v>828</v>
      </c>
      <c r="C1860" s="122">
        <f>IF($D1860="","",IFERROR(TEXT(일일실시사항!$B828,"yyyy-mm-dd"),"(날짜없음)")&amp;"  "&amp;일일실시사항!$D828&amp;"  "&amp;일일실시사항!$H828)</f>
        <v/>
      </c>
      <c r="D1860" s="122">
        <f>IF(NOT(COUNTBLANK(일일실시사항!$B828:$K828)&lt;10),"",TRIM(IF(일일실시사항!$B828="","일자 누락; ","")&amp;IF(COUNTIF(코드설정!$C$5:$C$24,일일실시사항!$D828)=0,"담당자 누락; ","")&amp;IF(COUNTIF(코드설정!$G$5:$G$14,일일실시사항!$F828)=0,"업무구분 누락; ","")&amp;IF(AND(일일실시사항!$G828&lt;&gt;"",COUNTIF(사건마스터!$A$5:$A$64,일일실시사항!$G828)=0),"미등록 사건번호; ","")&amp;IF(일일실시사항!$H828="","실시 내용 없음; ","")&amp;IF(COUNTIF(코드설정!$F$5:$F$7,일일실시사항!$J828)=0,"진행상태 누락; ","")))</f>
        <v/>
      </c>
    </row>
    <row r="1861">
      <c r="A1861" s="26" t="inlineStr">
        <is>
          <t>일일실시사항</t>
        </is>
      </c>
      <c r="B1861" s="66" t="n">
        <v>829</v>
      </c>
      <c r="C1861" s="122">
        <f>IF($D1861="","",IFERROR(TEXT(일일실시사항!$B829,"yyyy-mm-dd"),"(날짜없음)")&amp;"  "&amp;일일실시사항!$D829&amp;"  "&amp;일일실시사항!$H829)</f>
        <v/>
      </c>
      <c r="D1861" s="122">
        <f>IF(NOT(COUNTBLANK(일일실시사항!$B829:$K829)&lt;10),"",TRIM(IF(일일실시사항!$B829="","일자 누락; ","")&amp;IF(COUNTIF(코드설정!$C$5:$C$24,일일실시사항!$D829)=0,"담당자 누락; ","")&amp;IF(COUNTIF(코드설정!$G$5:$G$14,일일실시사항!$F829)=0,"업무구분 누락; ","")&amp;IF(AND(일일실시사항!$G829&lt;&gt;"",COUNTIF(사건마스터!$A$5:$A$64,일일실시사항!$G829)=0),"미등록 사건번호; ","")&amp;IF(일일실시사항!$H829="","실시 내용 없음; ","")&amp;IF(COUNTIF(코드설정!$F$5:$F$7,일일실시사항!$J829)=0,"진행상태 누락; ","")))</f>
        <v/>
      </c>
    </row>
    <row r="1862">
      <c r="A1862" s="26" t="inlineStr">
        <is>
          <t>일일실시사항</t>
        </is>
      </c>
      <c r="B1862" s="66" t="n">
        <v>830</v>
      </c>
      <c r="C1862" s="122">
        <f>IF($D1862="","",IFERROR(TEXT(일일실시사항!$B830,"yyyy-mm-dd"),"(날짜없음)")&amp;"  "&amp;일일실시사항!$D830&amp;"  "&amp;일일실시사항!$H830)</f>
        <v/>
      </c>
      <c r="D1862" s="122">
        <f>IF(NOT(COUNTBLANK(일일실시사항!$B830:$K830)&lt;10),"",TRIM(IF(일일실시사항!$B830="","일자 누락; ","")&amp;IF(COUNTIF(코드설정!$C$5:$C$24,일일실시사항!$D830)=0,"담당자 누락; ","")&amp;IF(COUNTIF(코드설정!$G$5:$G$14,일일실시사항!$F830)=0,"업무구분 누락; ","")&amp;IF(AND(일일실시사항!$G830&lt;&gt;"",COUNTIF(사건마스터!$A$5:$A$64,일일실시사항!$G830)=0),"미등록 사건번호; ","")&amp;IF(일일실시사항!$H830="","실시 내용 없음; ","")&amp;IF(COUNTIF(코드설정!$F$5:$F$7,일일실시사항!$J830)=0,"진행상태 누락; ","")))</f>
        <v/>
      </c>
    </row>
    <row r="1863">
      <c r="A1863" s="26" t="inlineStr">
        <is>
          <t>일일실시사항</t>
        </is>
      </c>
      <c r="B1863" s="66" t="n">
        <v>831</v>
      </c>
      <c r="C1863" s="122">
        <f>IF($D1863="","",IFERROR(TEXT(일일실시사항!$B831,"yyyy-mm-dd"),"(날짜없음)")&amp;"  "&amp;일일실시사항!$D831&amp;"  "&amp;일일실시사항!$H831)</f>
        <v/>
      </c>
      <c r="D1863" s="122">
        <f>IF(NOT(COUNTBLANK(일일실시사항!$B831:$K831)&lt;10),"",TRIM(IF(일일실시사항!$B831="","일자 누락; ","")&amp;IF(COUNTIF(코드설정!$C$5:$C$24,일일실시사항!$D831)=0,"담당자 누락; ","")&amp;IF(COUNTIF(코드설정!$G$5:$G$14,일일실시사항!$F831)=0,"업무구분 누락; ","")&amp;IF(AND(일일실시사항!$G831&lt;&gt;"",COUNTIF(사건마스터!$A$5:$A$64,일일실시사항!$G831)=0),"미등록 사건번호; ","")&amp;IF(일일실시사항!$H831="","실시 내용 없음; ","")&amp;IF(COUNTIF(코드설정!$F$5:$F$7,일일실시사항!$J831)=0,"진행상태 누락; ","")))</f>
        <v/>
      </c>
    </row>
    <row r="1864">
      <c r="A1864" s="26" t="inlineStr">
        <is>
          <t>일일실시사항</t>
        </is>
      </c>
      <c r="B1864" s="66" t="n">
        <v>832</v>
      </c>
      <c r="C1864" s="122">
        <f>IF($D1864="","",IFERROR(TEXT(일일실시사항!$B832,"yyyy-mm-dd"),"(날짜없음)")&amp;"  "&amp;일일실시사항!$D832&amp;"  "&amp;일일실시사항!$H832)</f>
        <v/>
      </c>
      <c r="D1864" s="122">
        <f>IF(NOT(COUNTBLANK(일일실시사항!$B832:$K832)&lt;10),"",TRIM(IF(일일실시사항!$B832="","일자 누락; ","")&amp;IF(COUNTIF(코드설정!$C$5:$C$24,일일실시사항!$D832)=0,"담당자 누락; ","")&amp;IF(COUNTIF(코드설정!$G$5:$G$14,일일실시사항!$F832)=0,"업무구분 누락; ","")&amp;IF(AND(일일실시사항!$G832&lt;&gt;"",COUNTIF(사건마스터!$A$5:$A$64,일일실시사항!$G832)=0),"미등록 사건번호; ","")&amp;IF(일일실시사항!$H832="","실시 내용 없음; ","")&amp;IF(COUNTIF(코드설정!$F$5:$F$7,일일실시사항!$J832)=0,"진행상태 누락; ","")))</f>
        <v/>
      </c>
    </row>
    <row r="1865">
      <c r="A1865" s="26" t="inlineStr">
        <is>
          <t>일일실시사항</t>
        </is>
      </c>
      <c r="B1865" s="66" t="n">
        <v>833</v>
      </c>
      <c r="C1865" s="122">
        <f>IF($D1865="","",IFERROR(TEXT(일일실시사항!$B833,"yyyy-mm-dd"),"(날짜없음)")&amp;"  "&amp;일일실시사항!$D833&amp;"  "&amp;일일실시사항!$H833)</f>
        <v/>
      </c>
      <c r="D1865" s="122">
        <f>IF(NOT(COUNTBLANK(일일실시사항!$B833:$K833)&lt;10),"",TRIM(IF(일일실시사항!$B833="","일자 누락; ","")&amp;IF(COUNTIF(코드설정!$C$5:$C$24,일일실시사항!$D833)=0,"담당자 누락; ","")&amp;IF(COUNTIF(코드설정!$G$5:$G$14,일일실시사항!$F833)=0,"업무구분 누락; ","")&amp;IF(AND(일일실시사항!$G833&lt;&gt;"",COUNTIF(사건마스터!$A$5:$A$64,일일실시사항!$G833)=0),"미등록 사건번호; ","")&amp;IF(일일실시사항!$H833="","실시 내용 없음; ","")&amp;IF(COUNTIF(코드설정!$F$5:$F$7,일일실시사항!$J833)=0,"진행상태 누락; ","")))</f>
        <v/>
      </c>
    </row>
    <row r="1866">
      <c r="A1866" s="26" t="inlineStr">
        <is>
          <t>일일실시사항</t>
        </is>
      </c>
      <c r="B1866" s="66" t="n">
        <v>834</v>
      </c>
      <c r="C1866" s="122">
        <f>IF($D1866="","",IFERROR(TEXT(일일실시사항!$B834,"yyyy-mm-dd"),"(날짜없음)")&amp;"  "&amp;일일실시사항!$D834&amp;"  "&amp;일일실시사항!$H834)</f>
        <v/>
      </c>
      <c r="D1866" s="122">
        <f>IF(NOT(COUNTBLANK(일일실시사항!$B834:$K834)&lt;10),"",TRIM(IF(일일실시사항!$B834="","일자 누락; ","")&amp;IF(COUNTIF(코드설정!$C$5:$C$24,일일실시사항!$D834)=0,"담당자 누락; ","")&amp;IF(COUNTIF(코드설정!$G$5:$G$14,일일실시사항!$F834)=0,"업무구분 누락; ","")&amp;IF(AND(일일실시사항!$G834&lt;&gt;"",COUNTIF(사건마스터!$A$5:$A$64,일일실시사항!$G834)=0),"미등록 사건번호; ","")&amp;IF(일일실시사항!$H834="","실시 내용 없음; ","")&amp;IF(COUNTIF(코드설정!$F$5:$F$7,일일실시사항!$J834)=0,"진행상태 누락; ","")))</f>
        <v/>
      </c>
    </row>
    <row r="1867">
      <c r="A1867" s="26" t="inlineStr">
        <is>
          <t>일일실시사항</t>
        </is>
      </c>
      <c r="B1867" s="66" t="n">
        <v>835</v>
      </c>
      <c r="C1867" s="122">
        <f>IF($D1867="","",IFERROR(TEXT(일일실시사항!$B835,"yyyy-mm-dd"),"(날짜없음)")&amp;"  "&amp;일일실시사항!$D835&amp;"  "&amp;일일실시사항!$H835)</f>
        <v/>
      </c>
      <c r="D1867" s="122">
        <f>IF(NOT(COUNTBLANK(일일실시사항!$B835:$K835)&lt;10),"",TRIM(IF(일일실시사항!$B835="","일자 누락; ","")&amp;IF(COUNTIF(코드설정!$C$5:$C$24,일일실시사항!$D835)=0,"담당자 누락; ","")&amp;IF(COUNTIF(코드설정!$G$5:$G$14,일일실시사항!$F835)=0,"업무구분 누락; ","")&amp;IF(AND(일일실시사항!$G835&lt;&gt;"",COUNTIF(사건마스터!$A$5:$A$64,일일실시사항!$G835)=0),"미등록 사건번호; ","")&amp;IF(일일실시사항!$H835="","실시 내용 없음; ","")&amp;IF(COUNTIF(코드설정!$F$5:$F$7,일일실시사항!$J835)=0,"진행상태 누락; ","")))</f>
        <v/>
      </c>
    </row>
    <row r="1868">
      <c r="A1868" s="26" t="inlineStr">
        <is>
          <t>일일실시사항</t>
        </is>
      </c>
      <c r="B1868" s="66" t="n">
        <v>836</v>
      </c>
      <c r="C1868" s="122">
        <f>IF($D1868="","",IFERROR(TEXT(일일실시사항!$B836,"yyyy-mm-dd"),"(날짜없음)")&amp;"  "&amp;일일실시사항!$D836&amp;"  "&amp;일일실시사항!$H836)</f>
        <v/>
      </c>
      <c r="D1868" s="122">
        <f>IF(NOT(COUNTBLANK(일일실시사항!$B836:$K836)&lt;10),"",TRIM(IF(일일실시사항!$B836="","일자 누락; ","")&amp;IF(COUNTIF(코드설정!$C$5:$C$24,일일실시사항!$D836)=0,"담당자 누락; ","")&amp;IF(COUNTIF(코드설정!$G$5:$G$14,일일실시사항!$F836)=0,"업무구분 누락; ","")&amp;IF(AND(일일실시사항!$G836&lt;&gt;"",COUNTIF(사건마스터!$A$5:$A$64,일일실시사항!$G836)=0),"미등록 사건번호; ","")&amp;IF(일일실시사항!$H836="","실시 내용 없음; ","")&amp;IF(COUNTIF(코드설정!$F$5:$F$7,일일실시사항!$J836)=0,"진행상태 누락; ","")))</f>
        <v/>
      </c>
    </row>
    <row r="1869">
      <c r="A1869" s="26" t="inlineStr">
        <is>
          <t>일일실시사항</t>
        </is>
      </c>
      <c r="B1869" s="66" t="n">
        <v>837</v>
      </c>
      <c r="C1869" s="122">
        <f>IF($D1869="","",IFERROR(TEXT(일일실시사항!$B837,"yyyy-mm-dd"),"(날짜없음)")&amp;"  "&amp;일일실시사항!$D837&amp;"  "&amp;일일실시사항!$H837)</f>
        <v/>
      </c>
      <c r="D1869" s="122">
        <f>IF(NOT(COUNTBLANK(일일실시사항!$B837:$K837)&lt;10),"",TRIM(IF(일일실시사항!$B837="","일자 누락; ","")&amp;IF(COUNTIF(코드설정!$C$5:$C$24,일일실시사항!$D837)=0,"담당자 누락; ","")&amp;IF(COUNTIF(코드설정!$G$5:$G$14,일일실시사항!$F837)=0,"업무구분 누락; ","")&amp;IF(AND(일일실시사항!$G837&lt;&gt;"",COUNTIF(사건마스터!$A$5:$A$64,일일실시사항!$G837)=0),"미등록 사건번호; ","")&amp;IF(일일실시사항!$H837="","실시 내용 없음; ","")&amp;IF(COUNTIF(코드설정!$F$5:$F$7,일일실시사항!$J837)=0,"진행상태 누락; ","")))</f>
        <v/>
      </c>
    </row>
    <row r="1870">
      <c r="A1870" s="26" t="inlineStr">
        <is>
          <t>일일실시사항</t>
        </is>
      </c>
      <c r="B1870" s="66" t="n">
        <v>838</v>
      </c>
      <c r="C1870" s="122">
        <f>IF($D1870="","",IFERROR(TEXT(일일실시사항!$B838,"yyyy-mm-dd"),"(날짜없음)")&amp;"  "&amp;일일실시사항!$D838&amp;"  "&amp;일일실시사항!$H838)</f>
        <v/>
      </c>
      <c r="D1870" s="122">
        <f>IF(NOT(COUNTBLANK(일일실시사항!$B838:$K838)&lt;10),"",TRIM(IF(일일실시사항!$B838="","일자 누락; ","")&amp;IF(COUNTIF(코드설정!$C$5:$C$24,일일실시사항!$D838)=0,"담당자 누락; ","")&amp;IF(COUNTIF(코드설정!$G$5:$G$14,일일실시사항!$F838)=0,"업무구분 누락; ","")&amp;IF(AND(일일실시사항!$G838&lt;&gt;"",COUNTIF(사건마스터!$A$5:$A$64,일일실시사항!$G838)=0),"미등록 사건번호; ","")&amp;IF(일일실시사항!$H838="","실시 내용 없음; ","")&amp;IF(COUNTIF(코드설정!$F$5:$F$7,일일실시사항!$J838)=0,"진행상태 누락; ","")))</f>
        <v/>
      </c>
    </row>
    <row r="1871">
      <c r="A1871" s="26" t="inlineStr">
        <is>
          <t>일일실시사항</t>
        </is>
      </c>
      <c r="B1871" s="66" t="n">
        <v>839</v>
      </c>
      <c r="C1871" s="122">
        <f>IF($D1871="","",IFERROR(TEXT(일일실시사항!$B839,"yyyy-mm-dd"),"(날짜없음)")&amp;"  "&amp;일일실시사항!$D839&amp;"  "&amp;일일실시사항!$H839)</f>
        <v/>
      </c>
      <c r="D1871" s="122">
        <f>IF(NOT(COUNTBLANK(일일실시사항!$B839:$K839)&lt;10),"",TRIM(IF(일일실시사항!$B839="","일자 누락; ","")&amp;IF(COUNTIF(코드설정!$C$5:$C$24,일일실시사항!$D839)=0,"담당자 누락; ","")&amp;IF(COUNTIF(코드설정!$G$5:$G$14,일일실시사항!$F839)=0,"업무구분 누락; ","")&amp;IF(AND(일일실시사항!$G839&lt;&gt;"",COUNTIF(사건마스터!$A$5:$A$64,일일실시사항!$G839)=0),"미등록 사건번호; ","")&amp;IF(일일실시사항!$H839="","실시 내용 없음; ","")&amp;IF(COUNTIF(코드설정!$F$5:$F$7,일일실시사항!$J839)=0,"진행상태 누락; ","")))</f>
        <v/>
      </c>
    </row>
    <row r="1872">
      <c r="A1872" s="26" t="inlineStr">
        <is>
          <t>일일실시사항</t>
        </is>
      </c>
      <c r="B1872" s="66" t="n">
        <v>840</v>
      </c>
      <c r="C1872" s="122">
        <f>IF($D1872="","",IFERROR(TEXT(일일실시사항!$B840,"yyyy-mm-dd"),"(날짜없음)")&amp;"  "&amp;일일실시사항!$D840&amp;"  "&amp;일일실시사항!$H840)</f>
        <v/>
      </c>
      <c r="D1872" s="122">
        <f>IF(NOT(COUNTBLANK(일일실시사항!$B840:$K840)&lt;10),"",TRIM(IF(일일실시사항!$B840="","일자 누락; ","")&amp;IF(COUNTIF(코드설정!$C$5:$C$24,일일실시사항!$D840)=0,"담당자 누락; ","")&amp;IF(COUNTIF(코드설정!$G$5:$G$14,일일실시사항!$F840)=0,"업무구분 누락; ","")&amp;IF(AND(일일실시사항!$G840&lt;&gt;"",COUNTIF(사건마스터!$A$5:$A$64,일일실시사항!$G840)=0),"미등록 사건번호; ","")&amp;IF(일일실시사항!$H840="","실시 내용 없음; ","")&amp;IF(COUNTIF(코드설정!$F$5:$F$7,일일실시사항!$J840)=0,"진행상태 누락; ","")))</f>
        <v/>
      </c>
    </row>
    <row r="1873">
      <c r="A1873" s="26" t="inlineStr">
        <is>
          <t>일일실시사항</t>
        </is>
      </c>
      <c r="B1873" s="66" t="n">
        <v>841</v>
      </c>
      <c r="C1873" s="122">
        <f>IF($D1873="","",IFERROR(TEXT(일일실시사항!$B841,"yyyy-mm-dd"),"(날짜없음)")&amp;"  "&amp;일일실시사항!$D841&amp;"  "&amp;일일실시사항!$H841)</f>
        <v/>
      </c>
      <c r="D1873" s="122">
        <f>IF(NOT(COUNTBLANK(일일실시사항!$B841:$K841)&lt;10),"",TRIM(IF(일일실시사항!$B841="","일자 누락; ","")&amp;IF(COUNTIF(코드설정!$C$5:$C$24,일일실시사항!$D841)=0,"담당자 누락; ","")&amp;IF(COUNTIF(코드설정!$G$5:$G$14,일일실시사항!$F841)=0,"업무구분 누락; ","")&amp;IF(AND(일일실시사항!$G841&lt;&gt;"",COUNTIF(사건마스터!$A$5:$A$64,일일실시사항!$G841)=0),"미등록 사건번호; ","")&amp;IF(일일실시사항!$H841="","실시 내용 없음; ","")&amp;IF(COUNTIF(코드설정!$F$5:$F$7,일일실시사항!$J841)=0,"진행상태 누락; ","")))</f>
        <v/>
      </c>
    </row>
    <row r="1874">
      <c r="A1874" s="26" t="inlineStr">
        <is>
          <t>일일실시사항</t>
        </is>
      </c>
      <c r="B1874" s="66" t="n">
        <v>842</v>
      </c>
      <c r="C1874" s="122">
        <f>IF($D1874="","",IFERROR(TEXT(일일실시사항!$B842,"yyyy-mm-dd"),"(날짜없음)")&amp;"  "&amp;일일실시사항!$D842&amp;"  "&amp;일일실시사항!$H842)</f>
        <v/>
      </c>
      <c r="D1874" s="122">
        <f>IF(NOT(COUNTBLANK(일일실시사항!$B842:$K842)&lt;10),"",TRIM(IF(일일실시사항!$B842="","일자 누락; ","")&amp;IF(COUNTIF(코드설정!$C$5:$C$24,일일실시사항!$D842)=0,"담당자 누락; ","")&amp;IF(COUNTIF(코드설정!$G$5:$G$14,일일실시사항!$F842)=0,"업무구분 누락; ","")&amp;IF(AND(일일실시사항!$G842&lt;&gt;"",COUNTIF(사건마스터!$A$5:$A$64,일일실시사항!$G842)=0),"미등록 사건번호; ","")&amp;IF(일일실시사항!$H842="","실시 내용 없음; ","")&amp;IF(COUNTIF(코드설정!$F$5:$F$7,일일실시사항!$J842)=0,"진행상태 누락; ","")))</f>
        <v/>
      </c>
    </row>
    <row r="1875">
      <c r="A1875" s="26" t="inlineStr">
        <is>
          <t>일일실시사항</t>
        </is>
      </c>
      <c r="B1875" s="66" t="n">
        <v>843</v>
      </c>
      <c r="C1875" s="122">
        <f>IF($D1875="","",IFERROR(TEXT(일일실시사항!$B843,"yyyy-mm-dd"),"(날짜없음)")&amp;"  "&amp;일일실시사항!$D843&amp;"  "&amp;일일실시사항!$H843)</f>
        <v/>
      </c>
      <c r="D1875" s="122">
        <f>IF(NOT(COUNTBLANK(일일실시사항!$B843:$K843)&lt;10),"",TRIM(IF(일일실시사항!$B843="","일자 누락; ","")&amp;IF(COUNTIF(코드설정!$C$5:$C$24,일일실시사항!$D843)=0,"담당자 누락; ","")&amp;IF(COUNTIF(코드설정!$G$5:$G$14,일일실시사항!$F843)=0,"업무구분 누락; ","")&amp;IF(AND(일일실시사항!$G843&lt;&gt;"",COUNTIF(사건마스터!$A$5:$A$64,일일실시사항!$G843)=0),"미등록 사건번호; ","")&amp;IF(일일실시사항!$H843="","실시 내용 없음; ","")&amp;IF(COUNTIF(코드설정!$F$5:$F$7,일일실시사항!$J843)=0,"진행상태 누락; ","")))</f>
        <v/>
      </c>
    </row>
    <row r="1876">
      <c r="A1876" s="26" t="inlineStr">
        <is>
          <t>일일실시사항</t>
        </is>
      </c>
      <c r="B1876" s="66" t="n">
        <v>844</v>
      </c>
      <c r="C1876" s="122">
        <f>IF($D1876="","",IFERROR(TEXT(일일실시사항!$B844,"yyyy-mm-dd"),"(날짜없음)")&amp;"  "&amp;일일실시사항!$D844&amp;"  "&amp;일일실시사항!$H844)</f>
        <v/>
      </c>
      <c r="D1876" s="122">
        <f>IF(NOT(COUNTBLANK(일일실시사항!$B844:$K844)&lt;10),"",TRIM(IF(일일실시사항!$B844="","일자 누락; ","")&amp;IF(COUNTIF(코드설정!$C$5:$C$24,일일실시사항!$D844)=0,"담당자 누락; ","")&amp;IF(COUNTIF(코드설정!$G$5:$G$14,일일실시사항!$F844)=0,"업무구분 누락; ","")&amp;IF(AND(일일실시사항!$G844&lt;&gt;"",COUNTIF(사건마스터!$A$5:$A$64,일일실시사항!$G844)=0),"미등록 사건번호; ","")&amp;IF(일일실시사항!$H844="","실시 내용 없음; ","")&amp;IF(COUNTIF(코드설정!$F$5:$F$7,일일실시사항!$J844)=0,"진행상태 누락; ","")))</f>
        <v/>
      </c>
    </row>
    <row r="1877">
      <c r="A1877" s="26" t="inlineStr">
        <is>
          <t>일일실시사항</t>
        </is>
      </c>
      <c r="B1877" s="66" t="n">
        <v>845</v>
      </c>
      <c r="C1877" s="122">
        <f>IF($D1877="","",IFERROR(TEXT(일일실시사항!$B845,"yyyy-mm-dd"),"(날짜없음)")&amp;"  "&amp;일일실시사항!$D845&amp;"  "&amp;일일실시사항!$H845)</f>
        <v/>
      </c>
      <c r="D1877" s="122">
        <f>IF(NOT(COUNTBLANK(일일실시사항!$B845:$K845)&lt;10),"",TRIM(IF(일일실시사항!$B845="","일자 누락; ","")&amp;IF(COUNTIF(코드설정!$C$5:$C$24,일일실시사항!$D845)=0,"담당자 누락; ","")&amp;IF(COUNTIF(코드설정!$G$5:$G$14,일일실시사항!$F845)=0,"업무구분 누락; ","")&amp;IF(AND(일일실시사항!$G845&lt;&gt;"",COUNTIF(사건마스터!$A$5:$A$64,일일실시사항!$G845)=0),"미등록 사건번호; ","")&amp;IF(일일실시사항!$H845="","실시 내용 없음; ","")&amp;IF(COUNTIF(코드설정!$F$5:$F$7,일일실시사항!$J845)=0,"진행상태 누락; ","")))</f>
        <v/>
      </c>
    </row>
    <row r="1878">
      <c r="A1878" s="26" t="inlineStr">
        <is>
          <t>일일실시사항</t>
        </is>
      </c>
      <c r="B1878" s="66" t="n">
        <v>846</v>
      </c>
      <c r="C1878" s="122">
        <f>IF($D1878="","",IFERROR(TEXT(일일실시사항!$B846,"yyyy-mm-dd"),"(날짜없음)")&amp;"  "&amp;일일실시사항!$D846&amp;"  "&amp;일일실시사항!$H846)</f>
        <v/>
      </c>
      <c r="D1878" s="122">
        <f>IF(NOT(COUNTBLANK(일일실시사항!$B846:$K846)&lt;10),"",TRIM(IF(일일실시사항!$B846="","일자 누락; ","")&amp;IF(COUNTIF(코드설정!$C$5:$C$24,일일실시사항!$D846)=0,"담당자 누락; ","")&amp;IF(COUNTIF(코드설정!$G$5:$G$14,일일실시사항!$F846)=0,"업무구분 누락; ","")&amp;IF(AND(일일실시사항!$G846&lt;&gt;"",COUNTIF(사건마스터!$A$5:$A$64,일일실시사항!$G846)=0),"미등록 사건번호; ","")&amp;IF(일일실시사항!$H846="","실시 내용 없음; ","")&amp;IF(COUNTIF(코드설정!$F$5:$F$7,일일실시사항!$J846)=0,"진행상태 누락; ","")))</f>
        <v/>
      </c>
    </row>
    <row r="1879">
      <c r="A1879" s="26" t="inlineStr">
        <is>
          <t>일일실시사항</t>
        </is>
      </c>
      <c r="B1879" s="66" t="n">
        <v>847</v>
      </c>
      <c r="C1879" s="122">
        <f>IF($D1879="","",IFERROR(TEXT(일일실시사항!$B847,"yyyy-mm-dd"),"(날짜없음)")&amp;"  "&amp;일일실시사항!$D847&amp;"  "&amp;일일실시사항!$H847)</f>
        <v/>
      </c>
      <c r="D1879" s="122">
        <f>IF(NOT(COUNTBLANK(일일실시사항!$B847:$K847)&lt;10),"",TRIM(IF(일일실시사항!$B847="","일자 누락; ","")&amp;IF(COUNTIF(코드설정!$C$5:$C$24,일일실시사항!$D847)=0,"담당자 누락; ","")&amp;IF(COUNTIF(코드설정!$G$5:$G$14,일일실시사항!$F847)=0,"업무구분 누락; ","")&amp;IF(AND(일일실시사항!$G847&lt;&gt;"",COUNTIF(사건마스터!$A$5:$A$64,일일실시사항!$G847)=0),"미등록 사건번호; ","")&amp;IF(일일실시사항!$H847="","실시 내용 없음; ","")&amp;IF(COUNTIF(코드설정!$F$5:$F$7,일일실시사항!$J847)=0,"진행상태 누락; ","")))</f>
        <v/>
      </c>
    </row>
    <row r="1880">
      <c r="A1880" s="26" t="inlineStr">
        <is>
          <t>일일실시사항</t>
        </is>
      </c>
      <c r="B1880" s="66" t="n">
        <v>848</v>
      </c>
      <c r="C1880" s="122">
        <f>IF($D1880="","",IFERROR(TEXT(일일실시사항!$B848,"yyyy-mm-dd"),"(날짜없음)")&amp;"  "&amp;일일실시사항!$D848&amp;"  "&amp;일일실시사항!$H848)</f>
        <v/>
      </c>
      <c r="D1880" s="122">
        <f>IF(NOT(COUNTBLANK(일일실시사항!$B848:$K848)&lt;10),"",TRIM(IF(일일실시사항!$B848="","일자 누락; ","")&amp;IF(COUNTIF(코드설정!$C$5:$C$24,일일실시사항!$D848)=0,"담당자 누락; ","")&amp;IF(COUNTIF(코드설정!$G$5:$G$14,일일실시사항!$F848)=0,"업무구분 누락; ","")&amp;IF(AND(일일실시사항!$G848&lt;&gt;"",COUNTIF(사건마스터!$A$5:$A$64,일일실시사항!$G848)=0),"미등록 사건번호; ","")&amp;IF(일일실시사항!$H848="","실시 내용 없음; ","")&amp;IF(COUNTIF(코드설정!$F$5:$F$7,일일실시사항!$J848)=0,"진행상태 누락; ","")))</f>
        <v/>
      </c>
    </row>
    <row r="1881">
      <c r="A1881" s="26" t="inlineStr">
        <is>
          <t>일일실시사항</t>
        </is>
      </c>
      <c r="B1881" s="66" t="n">
        <v>849</v>
      </c>
      <c r="C1881" s="122">
        <f>IF($D1881="","",IFERROR(TEXT(일일실시사항!$B849,"yyyy-mm-dd"),"(날짜없음)")&amp;"  "&amp;일일실시사항!$D849&amp;"  "&amp;일일실시사항!$H849)</f>
        <v/>
      </c>
      <c r="D1881" s="122">
        <f>IF(NOT(COUNTBLANK(일일실시사항!$B849:$K849)&lt;10),"",TRIM(IF(일일실시사항!$B849="","일자 누락; ","")&amp;IF(COUNTIF(코드설정!$C$5:$C$24,일일실시사항!$D849)=0,"담당자 누락; ","")&amp;IF(COUNTIF(코드설정!$G$5:$G$14,일일실시사항!$F849)=0,"업무구분 누락; ","")&amp;IF(AND(일일실시사항!$G849&lt;&gt;"",COUNTIF(사건마스터!$A$5:$A$64,일일실시사항!$G849)=0),"미등록 사건번호; ","")&amp;IF(일일실시사항!$H849="","실시 내용 없음; ","")&amp;IF(COUNTIF(코드설정!$F$5:$F$7,일일실시사항!$J849)=0,"진행상태 누락; ","")))</f>
        <v/>
      </c>
    </row>
    <row r="1882">
      <c r="A1882" s="26" t="inlineStr">
        <is>
          <t>일일실시사항</t>
        </is>
      </c>
      <c r="B1882" s="66" t="n">
        <v>850</v>
      </c>
      <c r="C1882" s="122">
        <f>IF($D1882="","",IFERROR(TEXT(일일실시사항!$B850,"yyyy-mm-dd"),"(날짜없음)")&amp;"  "&amp;일일실시사항!$D850&amp;"  "&amp;일일실시사항!$H850)</f>
        <v/>
      </c>
      <c r="D1882" s="122">
        <f>IF(NOT(COUNTBLANK(일일실시사항!$B850:$K850)&lt;10),"",TRIM(IF(일일실시사항!$B850="","일자 누락; ","")&amp;IF(COUNTIF(코드설정!$C$5:$C$24,일일실시사항!$D850)=0,"담당자 누락; ","")&amp;IF(COUNTIF(코드설정!$G$5:$G$14,일일실시사항!$F850)=0,"업무구분 누락; ","")&amp;IF(AND(일일실시사항!$G850&lt;&gt;"",COUNTIF(사건마스터!$A$5:$A$64,일일실시사항!$G850)=0),"미등록 사건번호; ","")&amp;IF(일일실시사항!$H850="","실시 내용 없음; ","")&amp;IF(COUNTIF(코드설정!$F$5:$F$7,일일실시사항!$J850)=0,"진행상태 누락; ","")))</f>
        <v/>
      </c>
    </row>
    <row r="1883">
      <c r="A1883" s="26" t="inlineStr">
        <is>
          <t>일일실시사항</t>
        </is>
      </c>
      <c r="B1883" s="66" t="n">
        <v>851</v>
      </c>
      <c r="C1883" s="122">
        <f>IF($D1883="","",IFERROR(TEXT(일일실시사항!$B851,"yyyy-mm-dd"),"(날짜없음)")&amp;"  "&amp;일일실시사항!$D851&amp;"  "&amp;일일실시사항!$H851)</f>
        <v/>
      </c>
      <c r="D1883" s="122">
        <f>IF(NOT(COUNTBLANK(일일실시사항!$B851:$K851)&lt;10),"",TRIM(IF(일일실시사항!$B851="","일자 누락; ","")&amp;IF(COUNTIF(코드설정!$C$5:$C$24,일일실시사항!$D851)=0,"담당자 누락; ","")&amp;IF(COUNTIF(코드설정!$G$5:$G$14,일일실시사항!$F851)=0,"업무구분 누락; ","")&amp;IF(AND(일일실시사항!$G851&lt;&gt;"",COUNTIF(사건마스터!$A$5:$A$64,일일실시사항!$G851)=0),"미등록 사건번호; ","")&amp;IF(일일실시사항!$H851="","실시 내용 없음; ","")&amp;IF(COUNTIF(코드설정!$F$5:$F$7,일일실시사항!$J851)=0,"진행상태 누락; ","")))</f>
        <v/>
      </c>
    </row>
    <row r="1884">
      <c r="A1884" s="26" t="inlineStr">
        <is>
          <t>일일실시사항</t>
        </is>
      </c>
      <c r="B1884" s="66" t="n">
        <v>852</v>
      </c>
      <c r="C1884" s="122">
        <f>IF($D1884="","",IFERROR(TEXT(일일실시사항!$B852,"yyyy-mm-dd"),"(날짜없음)")&amp;"  "&amp;일일실시사항!$D852&amp;"  "&amp;일일실시사항!$H852)</f>
        <v/>
      </c>
      <c r="D1884" s="122">
        <f>IF(NOT(COUNTBLANK(일일실시사항!$B852:$K852)&lt;10),"",TRIM(IF(일일실시사항!$B852="","일자 누락; ","")&amp;IF(COUNTIF(코드설정!$C$5:$C$24,일일실시사항!$D852)=0,"담당자 누락; ","")&amp;IF(COUNTIF(코드설정!$G$5:$G$14,일일실시사항!$F852)=0,"업무구분 누락; ","")&amp;IF(AND(일일실시사항!$G852&lt;&gt;"",COUNTIF(사건마스터!$A$5:$A$64,일일실시사항!$G852)=0),"미등록 사건번호; ","")&amp;IF(일일실시사항!$H852="","실시 내용 없음; ","")&amp;IF(COUNTIF(코드설정!$F$5:$F$7,일일실시사항!$J852)=0,"진행상태 누락; ","")))</f>
        <v/>
      </c>
    </row>
    <row r="1885">
      <c r="A1885" s="26" t="inlineStr">
        <is>
          <t>일일실시사항</t>
        </is>
      </c>
      <c r="B1885" s="66" t="n">
        <v>853</v>
      </c>
      <c r="C1885" s="122">
        <f>IF($D1885="","",IFERROR(TEXT(일일실시사항!$B853,"yyyy-mm-dd"),"(날짜없음)")&amp;"  "&amp;일일실시사항!$D853&amp;"  "&amp;일일실시사항!$H853)</f>
        <v/>
      </c>
      <c r="D1885" s="122">
        <f>IF(NOT(COUNTBLANK(일일실시사항!$B853:$K853)&lt;10),"",TRIM(IF(일일실시사항!$B853="","일자 누락; ","")&amp;IF(COUNTIF(코드설정!$C$5:$C$24,일일실시사항!$D853)=0,"담당자 누락; ","")&amp;IF(COUNTIF(코드설정!$G$5:$G$14,일일실시사항!$F853)=0,"업무구분 누락; ","")&amp;IF(AND(일일실시사항!$G853&lt;&gt;"",COUNTIF(사건마스터!$A$5:$A$64,일일실시사항!$G853)=0),"미등록 사건번호; ","")&amp;IF(일일실시사항!$H853="","실시 내용 없음; ","")&amp;IF(COUNTIF(코드설정!$F$5:$F$7,일일실시사항!$J853)=0,"진행상태 누락; ","")))</f>
        <v/>
      </c>
    </row>
    <row r="1886">
      <c r="A1886" s="26" t="inlineStr">
        <is>
          <t>일일실시사항</t>
        </is>
      </c>
      <c r="B1886" s="66" t="n">
        <v>854</v>
      </c>
      <c r="C1886" s="122">
        <f>IF($D1886="","",IFERROR(TEXT(일일실시사항!$B854,"yyyy-mm-dd"),"(날짜없음)")&amp;"  "&amp;일일실시사항!$D854&amp;"  "&amp;일일실시사항!$H854)</f>
        <v/>
      </c>
      <c r="D1886" s="122">
        <f>IF(NOT(COUNTBLANK(일일실시사항!$B854:$K854)&lt;10),"",TRIM(IF(일일실시사항!$B854="","일자 누락; ","")&amp;IF(COUNTIF(코드설정!$C$5:$C$24,일일실시사항!$D854)=0,"담당자 누락; ","")&amp;IF(COUNTIF(코드설정!$G$5:$G$14,일일실시사항!$F854)=0,"업무구분 누락; ","")&amp;IF(AND(일일실시사항!$G854&lt;&gt;"",COUNTIF(사건마스터!$A$5:$A$64,일일실시사항!$G854)=0),"미등록 사건번호; ","")&amp;IF(일일실시사항!$H854="","실시 내용 없음; ","")&amp;IF(COUNTIF(코드설정!$F$5:$F$7,일일실시사항!$J854)=0,"진행상태 누락; ","")))</f>
        <v/>
      </c>
    </row>
    <row r="1887">
      <c r="A1887" s="26" t="inlineStr">
        <is>
          <t>일일실시사항</t>
        </is>
      </c>
      <c r="B1887" s="66" t="n">
        <v>855</v>
      </c>
      <c r="C1887" s="122">
        <f>IF($D1887="","",IFERROR(TEXT(일일실시사항!$B855,"yyyy-mm-dd"),"(날짜없음)")&amp;"  "&amp;일일실시사항!$D855&amp;"  "&amp;일일실시사항!$H855)</f>
        <v/>
      </c>
      <c r="D1887" s="122">
        <f>IF(NOT(COUNTBLANK(일일실시사항!$B855:$K855)&lt;10),"",TRIM(IF(일일실시사항!$B855="","일자 누락; ","")&amp;IF(COUNTIF(코드설정!$C$5:$C$24,일일실시사항!$D855)=0,"담당자 누락; ","")&amp;IF(COUNTIF(코드설정!$G$5:$G$14,일일실시사항!$F855)=0,"업무구분 누락; ","")&amp;IF(AND(일일실시사항!$G855&lt;&gt;"",COUNTIF(사건마스터!$A$5:$A$64,일일실시사항!$G855)=0),"미등록 사건번호; ","")&amp;IF(일일실시사항!$H855="","실시 내용 없음; ","")&amp;IF(COUNTIF(코드설정!$F$5:$F$7,일일실시사항!$J855)=0,"진행상태 누락; ","")))</f>
        <v/>
      </c>
    </row>
    <row r="1888">
      <c r="A1888" s="26" t="inlineStr">
        <is>
          <t>일일실시사항</t>
        </is>
      </c>
      <c r="B1888" s="66" t="n">
        <v>856</v>
      </c>
      <c r="C1888" s="122">
        <f>IF($D1888="","",IFERROR(TEXT(일일실시사항!$B856,"yyyy-mm-dd"),"(날짜없음)")&amp;"  "&amp;일일실시사항!$D856&amp;"  "&amp;일일실시사항!$H856)</f>
        <v/>
      </c>
      <c r="D1888" s="122">
        <f>IF(NOT(COUNTBLANK(일일실시사항!$B856:$K856)&lt;10),"",TRIM(IF(일일실시사항!$B856="","일자 누락; ","")&amp;IF(COUNTIF(코드설정!$C$5:$C$24,일일실시사항!$D856)=0,"담당자 누락; ","")&amp;IF(COUNTIF(코드설정!$G$5:$G$14,일일실시사항!$F856)=0,"업무구분 누락; ","")&amp;IF(AND(일일실시사항!$G856&lt;&gt;"",COUNTIF(사건마스터!$A$5:$A$64,일일실시사항!$G856)=0),"미등록 사건번호; ","")&amp;IF(일일실시사항!$H856="","실시 내용 없음; ","")&amp;IF(COUNTIF(코드설정!$F$5:$F$7,일일실시사항!$J856)=0,"진행상태 누락; ","")))</f>
        <v/>
      </c>
    </row>
    <row r="1889">
      <c r="A1889" s="26" t="inlineStr">
        <is>
          <t>일일실시사항</t>
        </is>
      </c>
      <c r="B1889" s="66" t="n">
        <v>857</v>
      </c>
      <c r="C1889" s="122">
        <f>IF($D1889="","",IFERROR(TEXT(일일실시사항!$B857,"yyyy-mm-dd"),"(날짜없음)")&amp;"  "&amp;일일실시사항!$D857&amp;"  "&amp;일일실시사항!$H857)</f>
        <v/>
      </c>
      <c r="D1889" s="122">
        <f>IF(NOT(COUNTBLANK(일일실시사항!$B857:$K857)&lt;10),"",TRIM(IF(일일실시사항!$B857="","일자 누락; ","")&amp;IF(COUNTIF(코드설정!$C$5:$C$24,일일실시사항!$D857)=0,"담당자 누락; ","")&amp;IF(COUNTIF(코드설정!$G$5:$G$14,일일실시사항!$F857)=0,"업무구분 누락; ","")&amp;IF(AND(일일실시사항!$G857&lt;&gt;"",COUNTIF(사건마스터!$A$5:$A$64,일일실시사항!$G857)=0),"미등록 사건번호; ","")&amp;IF(일일실시사항!$H857="","실시 내용 없음; ","")&amp;IF(COUNTIF(코드설정!$F$5:$F$7,일일실시사항!$J857)=0,"진행상태 누락; ","")))</f>
        <v/>
      </c>
    </row>
    <row r="1890">
      <c r="A1890" s="26" t="inlineStr">
        <is>
          <t>일일실시사항</t>
        </is>
      </c>
      <c r="B1890" s="66" t="n">
        <v>858</v>
      </c>
      <c r="C1890" s="122">
        <f>IF($D1890="","",IFERROR(TEXT(일일실시사항!$B858,"yyyy-mm-dd"),"(날짜없음)")&amp;"  "&amp;일일실시사항!$D858&amp;"  "&amp;일일실시사항!$H858)</f>
        <v/>
      </c>
      <c r="D1890" s="122">
        <f>IF(NOT(COUNTBLANK(일일실시사항!$B858:$K858)&lt;10),"",TRIM(IF(일일실시사항!$B858="","일자 누락; ","")&amp;IF(COUNTIF(코드설정!$C$5:$C$24,일일실시사항!$D858)=0,"담당자 누락; ","")&amp;IF(COUNTIF(코드설정!$G$5:$G$14,일일실시사항!$F858)=0,"업무구분 누락; ","")&amp;IF(AND(일일실시사항!$G858&lt;&gt;"",COUNTIF(사건마스터!$A$5:$A$64,일일실시사항!$G858)=0),"미등록 사건번호; ","")&amp;IF(일일실시사항!$H858="","실시 내용 없음; ","")&amp;IF(COUNTIF(코드설정!$F$5:$F$7,일일실시사항!$J858)=0,"진행상태 누락; ","")))</f>
        <v/>
      </c>
    </row>
    <row r="1891">
      <c r="A1891" s="26" t="inlineStr">
        <is>
          <t>일일실시사항</t>
        </is>
      </c>
      <c r="B1891" s="66" t="n">
        <v>859</v>
      </c>
      <c r="C1891" s="122">
        <f>IF($D1891="","",IFERROR(TEXT(일일실시사항!$B859,"yyyy-mm-dd"),"(날짜없음)")&amp;"  "&amp;일일실시사항!$D859&amp;"  "&amp;일일실시사항!$H859)</f>
        <v/>
      </c>
      <c r="D1891" s="122">
        <f>IF(NOT(COUNTBLANK(일일실시사항!$B859:$K859)&lt;10),"",TRIM(IF(일일실시사항!$B859="","일자 누락; ","")&amp;IF(COUNTIF(코드설정!$C$5:$C$24,일일실시사항!$D859)=0,"담당자 누락; ","")&amp;IF(COUNTIF(코드설정!$G$5:$G$14,일일실시사항!$F859)=0,"업무구분 누락; ","")&amp;IF(AND(일일실시사항!$G859&lt;&gt;"",COUNTIF(사건마스터!$A$5:$A$64,일일실시사항!$G859)=0),"미등록 사건번호; ","")&amp;IF(일일실시사항!$H859="","실시 내용 없음; ","")&amp;IF(COUNTIF(코드설정!$F$5:$F$7,일일실시사항!$J859)=0,"진행상태 누락; ","")))</f>
        <v/>
      </c>
    </row>
    <row r="1892">
      <c r="A1892" s="26" t="inlineStr">
        <is>
          <t>일일실시사항</t>
        </is>
      </c>
      <c r="B1892" s="66" t="n">
        <v>860</v>
      </c>
      <c r="C1892" s="122">
        <f>IF($D1892="","",IFERROR(TEXT(일일실시사항!$B860,"yyyy-mm-dd"),"(날짜없음)")&amp;"  "&amp;일일실시사항!$D860&amp;"  "&amp;일일실시사항!$H860)</f>
        <v/>
      </c>
      <c r="D1892" s="122">
        <f>IF(NOT(COUNTBLANK(일일실시사항!$B860:$K860)&lt;10),"",TRIM(IF(일일실시사항!$B860="","일자 누락; ","")&amp;IF(COUNTIF(코드설정!$C$5:$C$24,일일실시사항!$D860)=0,"담당자 누락; ","")&amp;IF(COUNTIF(코드설정!$G$5:$G$14,일일실시사항!$F860)=0,"업무구분 누락; ","")&amp;IF(AND(일일실시사항!$G860&lt;&gt;"",COUNTIF(사건마스터!$A$5:$A$64,일일실시사항!$G860)=0),"미등록 사건번호; ","")&amp;IF(일일실시사항!$H860="","실시 내용 없음; ","")&amp;IF(COUNTIF(코드설정!$F$5:$F$7,일일실시사항!$J860)=0,"진행상태 누락; ","")))</f>
        <v/>
      </c>
    </row>
    <row r="1893">
      <c r="A1893" s="26" t="inlineStr">
        <is>
          <t>일일실시사항</t>
        </is>
      </c>
      <c r="B1893" s="66" t="n">
        <v>861</v>
      </c>
      <c r="C1893" s="122">
        <f>IF($D1893="","",IFERROR(TEXT(일일실시사항!$B861,"yyyy-mm-dd"),"(날짜없음)")&amp;"  "&amp;일일실시사항!$D861&amp;"  "&amp;일일실시사항!$H861)</f>
        <v/>
      </c>
      <c r="D1893" s="122">
        <f>IF(NOT(COUNTBLANK(일일실시사항!$B861:$K861)&lt;10),"",TRIM(IF(일일실시사항!$B861="","일자 누락; ","")&amp;IF(COUNTIF(코드설정!$C$5:$C$24,일일실시사항!$D861)=0,"담당자 누락; ","")&amp;IF(COUNTIF(코드설정!$G$5:$G$14,일일실시사항!$F861)=0,"업무구분 누락; ","")&amp;IF(AND(일일실시사항!$G861&lt;&gt;"",COUNTIF(사건마스터!$A$5:$A$64,일일실시사항!$G861)=0),"미등록 사건번호; ","")&amp;IF(일일실시사항!$H861="","실시 내용 없음; ","")&amp;IF(COUNTIF(코드설정!$F$5:$F$7,일일실시사항!$J861)=0,"진행상태 누락; ","")))</f>
        <v/>
      </c>
    </row>
    <row r="1894">
      <c r="A1894" s="26" t="inlineStr">
        <is>
          <t>일일실시사항</t>
        </is>
      </c>
      <c r="B1894" s="66" t="n">
        <v>862</v>
      </c>
      <c r="C1894" s="122">
        <f>IF($D1894="","",IFERROR(TEXT(일일실시사항!$B862,"yyyy-mm-dd"),"(날짜없음)")&amp;"  "&amp;일일실시사항!$D862&amp;"  "&amp;일일실시사항!$H862)</f>
        <v/>
      </c>
      <c r="D1894" s="122">
        <f>IF(NOT(COUNTBLANK(일일실시사항!$B862:$K862)&lt;10),"",TRIM(IF(일일실시사항!$B862="","일자 누락; ","")&amp;IF(COUNTIF(코드설정!$C$5:$C$24,일일실시사항!$D862)=0,"담당자 누락; ","")&amp;IF(COUNTIF(코드설정!$G$5:$G$14,일일실시사항!$F862)=0,"업무구분 누락; ","")&amp;IF(AND(일일실시사항!$G862&lt;&gt;"",COUNTIF(사건마스터!$A$5:$A$64,일일실시사항!$G862)=0),"미등록 사건번호; ","")&amp;IF(일일실시사항!$H862="","실시 내용 없음; ","")&amp;IF(COUNTIF(코드설정!$F$5:$F$7,일일실시사항!$J862)=0,"진행상태 누락; ","")))</f>
        <v/>
      </c>
    </row>
    <row r="1895">
      <c r="A1895" s="26" t="inlineStr">
        <is>
          <t>일일실시사항</t>
        </is>
      </c>
      <c r="B1895" s="66" t="n">
        <v>863</v>
      </c>
      <c r="C1895" s="122">
        <f>IF($D1895="","",IFERROR(TEXT(일일실시사항!$B863,"yyyy-mm-dd"),"(날짜없음)")&amp;"  "&amp;일일실시사항!$D863&amp;"  "&amp;일일실시사항!$H863)</f>
        <v/>
      </c>
      <c r="D1895" s="122">
        <f>IF(NOT(COUNTBLANK(일일실시사항!$B863:$K863)&lt;10),"",TRIM(IF(일일실시사항!$B863="","일자 누락; ","")&amp;IF(COUNTIF(코드설정!$C$5:$C$24,일일실시사항!$D863)=0,"담당자 누락; ","")&amp;IF(COUNTIF(코드설정!$G$5:$G$14,일일실시사항!$F863)=0,"업무구분 누락; ","")&amp;IF(AND(일일실시사항!$G863&lt;&gt;"",COUNTIF(사건마스터!$A$5:$A$64,일일실시사항!$G863)=0),"미등록 사건번호; ","")&amp;IF(일일실시사항!$H863="","실시 내용 없음; ","")&amp;IF(COUNTIF(코드설정!$F$5:$F$7,일일실시사항!$J863)=0,"진행상태 누락; ","")))</f>
        <v/>
      </c>
    </row>
    <row r="1896">
      <c r="A1896" s="26" t="inlineStr">
        <is>
          <t>일일실시사항</t>
        </is>
      </c>
      <c r="B1896" s="66" t="n">
        <v>864</v>
      </c>
      <c r="C1896" s="122">
        <f>IF($D1896="","",IFERROR(TEXT(일일실시사항!$B864,"yyyy-mm-dd"),"(날짜없음)")&amp;"  "&amp;일일실시사항!$D864&amp;"  "&amp;일일실시사항!$H864)</f>
        <v/>
      </c>
      <c r="D1896" s="122">
        <f>IF(NOT(COUNTBLANK(일일실시사항!$B864:$K864)&lt;10),"",TRIM(IF(일일실시사항!$B864="","일자 누락; ","")&amp;IF(COUNTIF(코드설정!$C$5:$C$24,일일실시사항!$D864)=0,"담당자 누락; ","")&amp;IF(COUNTIF(코드설정!$G$5:$G$14,일일실시사항!$F864)=0,"업무구분 누락; ","")&amp;IF(AND(일일실시사항!$G864&lt;&gt;"",COUNTIF(사건마스터!$A$5:$A$64,일일실시사항!$G864)=0),"미등록 사건번호; ","")&amp;IF(일일실시사항!$H864="","실시 내용 없음; ","")&amp;IF(COUNTIF(코드설정!$F$5:$F$7,일일실시사항!$J864)=0,"진행상태 누락; ","")))</f>
        <v/>
      </c>
    </row>
    <row r="1897">
      <c r="A1897" s="26" t="inlineStr">
        <is>
          <t>일일실시사항</t>
        </is>
      </c>
      <c r="B1897" s="66" t="n">
        <v>865</v>
      </c>
      <c r="C1897" s="122">
        <f>IF($D1897="","",IFERROR(TEXT(일일실시사항!$B865,"yyyy-mm-dd"),"(날짜없음)")&amp;"  "&amp;일일실시사항!$D865&amp;"  "&amp;일일실시사항!$H865)</f>
        <v/>
      </c>
      <c r="D1897" s="122">
        <f>IF(NOT(COUNTBLANK(일일실시사항!$B865:$K865)&lt;10),"",TRIM(IF(일일실시사항!$B865="","일자 누락; ","")&amp;IF(COUNTIF(코드설정!$C$5:$C$24,일일실시사항!$D865)=0,"담당자 누락; ","")&amp;IF(COUNTIF(코드설정!$G$5:$G$14,일일실시사항!$F865)=0,"업무구분 누락; ","")&amp;IF(AND(일일실시사항!$G865&lt;&gt;"",COUNTIF(사건마스터!$A$5:$A$64,일일실시사항!$G865)=0),"미등록 사건번호; ","")&amp;IF(일일실시사항!$H865="","실시 내용 없음; ","")&amp;IF(COUNTIF(코드설정!$F$5:$F$7,일일실시사항!$J865)=0,"진행상태 누락; ","")))</f>
        <v/>
      </c>
    </row>
    <row r="1898">
      <c r="A1898" s="26" t="inlineStr">
        <is>
          <t>일일실시사항</t>
        </is>
      </c>
      <c r="B1898" s="66" t="n">
        <v>866</v>
      </c>
      <c r="C1898" s="122">
        <f>IF($D1898="","",IFERROR(TEXT(일일실시사항!$B866,"yyyy-mm-dd"),"(날짜없음)")&amp;"  "&amp;일일실시사항!$D866&amp;"  "&amp;일일실시사항!$H866)</f>
        <v/>
      </c>
      <c r="D1898" s="122">
        <f>IF(NOT(COUNTBLANK(일일실시사항!$B866:$K866)&lt;10),"",TRIM(IF(일일실시사항!$B866="","일자 누락; ","")&amp;IF(COUNTIF(코드설정!$C$5:$C$24,일일실시사항!$D866)=0,"담당자 누락; ","")&amp;IF(COUNTIF(코드설정!$G$5:$G$14,일일실시사항!$F866)=0,"업무구분 누락; ","")&amp;IF(AND(일일실시사항!$G866&lt;&gt;"",COUNTIF(사건마스터!$A$5:$A$64,일일실시사항!$G866)=0),"미등록 사건번호; ","")&amp;IF(일일실시사항!$H866="","실시 내용 없음; ","")&amp;IF(COUNTIF(코드설정!$F$5:$F$7,일일실시사항!$J866)=0,"진행상태 누락; ","")))</f>
        <v/>
      </c>
    </row>
    <row r="1899">
      <c r="A1899" s="26" t="inlineStr">
        <is>
          <t>일일실시사항</t>
        </is>
      </c>
      <c r="B1899" s="66" t="n">
        <v>867</v>
      </c>
      <c r="C1899" s="122">
        <f>IF($D1899="","",IFERROR(TEXT(일일실시사항!$B867,"yyyy-mm-dd"),"(날짜없음)")&amp;"  "&amp;일일실시사항!$D867&amp;"  "&amp;일일실시사항!$H867)</f>
        <v/>
      </c>
      <c r="D1899" s="122">
        <f>IF(NOT(COUNTBLANK(일일실시사항!$B867:$K867)&lt;10),"",TRIM(IF(일일실시사항!$B867="","일자 누락; ","")&amp;IF(COUNTIF(코드설정!$C$5:$C$24,일일실시사항!$D867)=0,"담당자 누락; ","")&amp;IF(COUNTIF(코드설정!$G$5:$G$14,일일실시사항!$F867)=0,"업무구분 누락; ","")&amp;IF(AND(일일실시사항!$G867&lt;&gt;"",COUNTIF(사건마스터!$A$5:$A$64,일일실시사항!$G867)=0),"미등록 사건번호; ","")&amp;IF(일일실시사항!$H867="","실시 내용 없음; ","")&amp;IF(COUNTIF(코드설정!$F$5:$F$7,일일실시사항!$J867)=0,"진행상태 누락; ","")))</f>
        <v/>
      </c>
    </row>
    <row r="1900">
      <c r="A1900" s="26" t="inlineStr">
        <is>
          <t>일일실시사항</t>
        </is>
      </c>
      <c r="B1900" s="66" t="n">
        <v>868</v>
      </c>
      <c r="C1900" s="122">
        <f>IF($D1900="","",IFERROR(TEXT(일일실시사항!$B868,"yyyy-mm-dd"),"(날짜없음)")&amp;"  "&amp;일일실시사항!$D868&amp;"  "&amp;일일실시사항!$H868)</f>
        <v/>
      </c>
      <c r="D1900" s="122">
        <f>IF(NOT(COUNTBLANK(일일실시사항!$B868:$K868)&lt;10),"",TRIM(IF(일일실시사항!$B868="","일자 누락; ","")&amp;IF(COUNTIF(코드설정!$C$5:$C$24,일일실시사항!$D868)=0,"담당자 누락; ","")&amp;IF(COUNTIF(코드설정!$G$5:$G$14,일일실시사항!$F868)=0,"업무구분 누락; ","")&amp;IF(AND(일일실시사항!$G868&lt;&gt;"",COUNTIF(사건마스터!$A$5:$A$64,일일실시사항!$G868)=0),"미등록 사건번호; ","")&amp;IF(일일실시사항!$H868="","실시 내용 없음; ","")&amp;IF(COUNTIF(코드설정!$F$5:$F$7,일일실시사항!$J868)=0,"진행상태 누락; ","")))</f>
        <v/>
      </c>
    </row>
    <row r="1901">
      <c r="A1901" s="26" t="inlineStr">
        <is>
          <t>일일실시사항</t>
        </is>
      </c>
      <c r="B1901" s="66" t="n">
        <v>869</v>
      </c>
      <c r="C1901" s="122">
        <f>IF($D1901="","",IFERROR(TEXT(일일실시사항!$B869,"yyyy-mm-dd"),"(날짜없음)")&amp;"  "&amp;일일실시사항!$D869&amp;"  "&amp;일일실시사항!$H869)</f>
        <v/>
      </c>
      <c r="D1901" s="122">
        <f>IF(NOT(COUNTBLANK(일일실시사항!$B869:$K869)&lt;10),"",TRIM(IF(일일실시사항!$B869="","일자 누락; ","")&amp;IF(COUNTIF(코드설정!$C$5:$C$24,일일실시사항!$D869)=0,"담당자 누락; ","")&amp;IF(COUNTIF(코드설정!$G$5:$G$14,일일실시사항!$F869)=0,"업무구분 누락; ","")&amp;IF(AND(일일실시사항!$G869&lt;&gt;"",COUNTIF(사건마스터!$A$5:$A$64,일일실시사항!$G869)=0),"미등록 사건번호; ","")&amp;IF(일일실시사항!$H869="","실시 내용 없음; ","")&amp;IF(COUNTIF(코드설정!$F$5:$F$7,일일실시사항!$J869)=0,"진행상태 누락; ","")))</f>
        <v/>
      </c>
    </row>
    <row r="1902">
      <c r="A1902" s="26" t="inlineStr">
        <is>
          <t>일일실시사항</t>
        </is>
      </c>
      <c r="B1902" s="66" t="n">
        <v>870</v>
      </c>
      <c r="C1902" s="122">
        <f>IF($D1902="","",IFERROR(TEXT(일일실시사항!$B870,"yyyy-mm-dd"),"(날짜없음)")&amp;"  "&amp;일일실시사항!$D870&amp;"  "&amp;일일실시사항!$H870)</f>
        <v/>
      </c>
      <c r="D1902" s="122">
        <f>IF(NOT(COUNTBLANK(일일실시사항!$B870:$K870)&lt;10),"",TRIM(IF(일일실시사항!$B870="","일자 누락; ","")&amp;IF(COUNTIF(코드설정!$C$5:$C$24,일일실시사항!$D870)=0,"담당자 누락; ","")&amp;IF(COUNTIF(코드설정!$G$5:$G$14,일일실시사항!$F870)=0,"업무구분 누락; ","")&amp;IF(AND(일일실시사항!$G870&lt;&gt;"",COUNTIF(사건마스터!$A$5:$A$64,일일실시사항!$G870)=0),"미등록 사건번호; ","")&amp;IF(일일실시사항!$H870="","실시 내용 없음; ","")&amp;IF(COUNTIF(코드설정!$F$5:$F$7,일일실시사항!$J870)=0,"진행상태 누락; ","")))</f>
        <v/>
      </c>
    </row>
    <row r="1903">
      <c r="A1903" s="26" t="inlineStr">
        <is>
          <t>일일실시사항</t>
        </is>
      </c>
      <c r="B1903" s="66" t="n">
        <v>871</v>
      </c>
      <c r="C1903" s="122">
        <f>IF($D1903="","",IFERROR(TEXT(일일실시사항!$B871,"yyyy-mm-dd"),"(날짜없음)")&amp;"  "&amp;일일실시사항!$D871&amp;"  "&amp;일일실시사항!$H871)</f>
        <v/>
      </c>
      <c r="D1903" s="122">
        <f>IF(NOT(COUNTBLANK(일일실시사항!$B871:$K871)&lt;10),"",TRIM(IF(일일실시사항!$B871="","일자 누락; ","")&amp;IF(COUNTIF(코드설정!$C$5:$C$24,일일실시사항!$D871)=0,"담당자 누락; ","")&amp;IF(COUNTIF(코드설정!$G$5:$G$14,일일실시사항!$F871)=0,"업무구분 누락; ","")&amp;IF(AND(일일실시사항!$G871&lt;&gt;"",COUNTIF(사건마스터!$A$5:$A$64,일일실시사항!$G871)=0),"미등록 사건번호; ","")&amp;IF(일일실시사항!$H871="","실시 내용 없음; ","")&amp;IF(COUNTIF(코드설정!$F$5:$F$7,일일실시사항!$J871)=0,"진행상태 누락; ","")))</f>
        <v/>
      </c>
    </row>
    <row r="1904">
      <c r="A1904" s="26" t="inlineStr">
        <is>
          <t>일일실시사항</t>
        </is>
      </c>
      <c r="B1904" s="66" t="n">
        <v>872</v>
      </c>
      <c r="C1904" s="122">
        <f>IF($D1904="","",IFERROR(TEXT(일일실시사항!$B872,"yyyy-mm-dd"),"(날짜없음)")&amp;"  "&amp;일일실시사항!$D872&amp;"  "&amp;일일실시사항!$H872)</f>
        <v/>
      </c>
      <c r="D1904" s="122">
        <f>IF(NOT(COUNTBLANK(일일실시사항!$B872:$K872)&lt;10),"",TRIM(IF(일일실시사항!$B872="","일자 누락; ","")&amp;IF(COUNTIF(코드설정!$C$5:$C$24,일일실시사항!$D872)=0,"담당자 누락; ","")&amp;IF(COUNTIF(코드설정!$G$5:$G$14,일일실시사항!$F872)=0,"업무구분 누락; ","")&amp;IF(AND(일일실시사항!$G872&lt;&gt;"",COUNTIF(사건마스터!$A$5:$A$64,일일실시사항!$G872)=0),"미등록 사건번호; ","")&amp;IF(일일실시사항!$H872="","실시 내용 없음; ","")&amp;IF(COUNTIF(코드설정!$F$5:$F$7,일일실시사항!$J872)=0,"진행상태 누락; ","")))</f>
        <v/>
      </c>
    </row>
    <row r="1905">
      <c r="A1905" s="26" t="inlineStr">
        <is>
          <t>일일실시사항</t>
        </is>
      </c>
      <c r="B1905" s="66" t="n">
        <v>873</v>
      </c>
      <c r="C1905" s="122">
        <f>IF($D1905="","",IFERROR(TEXT(일일실시사항!$B873,"yyyy-mm-dd"),"(날짜없음)")&amp;"  "&amp;일일실시사항!$D873&amp;"  "&amp;일일실시사항!$H873)</f>
        <v/>
      </c>
      <c r="D1905" s="122">
        <f>IF(NOT(COUNTBLANK(일일실시사항!$B873:$K873)&lt;10),"",TRIM(IF(일일실시사항!$B873="","일자 누락; ","")&amp;IF(COUNTIF(코드설정!$C$5:$C$24,일일실시사항!$D873)=0,"담당자 누락; ","")&amp;IF(COUNTIF(코드설정!$G$5:$G$14,일일실시사항!$F873)=0,"업무구분 누락; ","")&amp;IF(AND(일일실시사항!$G873&lt;&gt;"",COUNTIF(사건마스터!$A$5:$A$64,일일실시사항!$G873)=0),"미등록 사건번호; ","")&amp;IF(일일실시사항!$H873="","실시 내용 없음; ","")&amp;IF(COUNTIF(코드설정!$F$5:$F$7,일일실시사항!$J873)=0,"진행상태 누락; ","")))</f>
        <v/>
      </c>
    </row>
    <row r="1906">
      <c r="A1906" s="26" t="inlineStr">
        <is>
          <t>일일실시사항</t>
        </is>
      </c>
      <c r="B1906" s="66" t="n">
        <v>874</v>
      </c>
      <c r="C1906" s="122">
        <f>IF($D1906="","",IFERROR(TEXT(일일실시사항!$B874,"yyyy-mm-dd"),"(날짜없음)")&amp;"  "&amp;일일실시사항!$D874&amp;"  "&amp;일일실시사항!$H874)</f>
        <v/>
      </c>
      <c r="D1906" s="122">
        <f>IF(NOT(COUNTBLANK(일일실시사항!$B874:$K874)&lt;10),"",TRIM(IF(일일실시사항!$B874="","일자 누락; ","")&amp;IF(COUNTIF(코드설정!$C$5:$C$24,일일실시사항!$D874)=0,"담당자 누락; ","")&amp;IF(COUNTIF(코드설정!$G$5:$G$14,일일실시사항!$F874)=0,"업무구분 누락; ","")&amp;IF(AND(일일실시사항!$G874&lt;&gt;"",COUNTIF(사건마스터!$A$5:$A$64,일일실시사항!$G874)=0),"미등록 사건번호; ","")&amp;IF(일일실시사항!$H874="","실시 내용 없음; ","")&amp;IF(COUNTIF(코드설정!$F$5:$F$7,일일실시사항!$J874)=0,"진행상태 누락; ","")))</f>
        <v/>
      </c>
    </row>
    <row r="1907">
      <c r="A1907" s="26" t="inlineStr">
        <is>
          <t>일일실시사항</t>
        </is>
      </c>
      <c r="B1907" s="66" t="n">
        <v>875</v>
      </c>
      <c r="C1907" s="122">
        <f>IF($D1907="","",IFERROR(TEXT(일일실시사항!$B875,"yyyy-mm-dd"),"(날짜없음)")&amp;"  "&amp;일일실시사항!$D875&amp;"  "&amp;일일실시사항!$H875)</f>
        <v/>
      </c>
      <c r="D1907" s="122">
        <f>IF(NOT(COUNTBLANK(일일실시사항!$B875:$K875)&lt;10),"",TRIM(IF(일일실시사항!$B875="","일자 누락; ","")&amp;IF(COUNTIF(코드설정!$C$5:$C$24,일일실시사항!$D875)=0,"담당자 누락; ","")&amp;IF(COUNTIF(코드설정!$G$5:$G$14,일일실시사항!$F875)=0,"업무구분 누락; ","")&amp;IF(AND(일일실시사항!$G875&lt;&gt;"",COUNTIF(사건마스터!$A$5:$A$64,일일실시사항!$G875)=0),"미등록 사건번호; ","")&amp;IF(일일실시사항!$H875="","실시 내용 없음; ","")&amp;IF(COUNTIF(코드설정!$F$5:$F$7,일일실시사항!$J875)=0,"진행상태 누락; ","")))</f>
        <v/>
      </c>
    </row>
    <row r="1908">
      <c r="A1908" s="26" t="inlineStr">
        <is>
          <t>일일실시사항</t>
        </is>
      </c>
      <c r="B1908" s="66" t="n">
        <v>876</v>
      </c>
      <c r="C1908" s="122">
        <f>IF($D1908="","",IFERROR(TEXT(일일실시사항!$B876,"yyyy-mm-dd"),"(날짜없음)")&amp;"  "&amp;일일실시사항!$D876&amp;"  "&amp;일일실시사항!$H876)</f>
        <v/>
      </c>
      <c r="D1908" s="122">
        <f>IF(NOT(COUNTBLANK(일일실시사항!$B876:$K876)&lt;10),"",TRIM(IF(일일실시사항!$B876="","일자 누락; ","")&amp;IF(COUNTIF(코드설정!$C$5:$C$24,일일실시사항!$D876)=0,"담당자 누락; ","")&amp;IF(COUNTIF(코드설정!$G$5:$G$14,일일실시사항!$F876)=0,"업무구분 누락; ","")&amp;IF(AND(일일실시사항!$G876&lt;&gt;"",COUNTIF(사건마스터!$A$5:$A$64,일일실시사항!$G876)=0),"미등록 사건번호; ","")&amp;IF(일일실시사항!$H876="","실시 내용 없음; ","")&amp;IF(COUNTIF(코드설정!$F$5:$F$7,일일실시사항!$J876)=0,"진행상태 누락; ","")))</f>
        <v/>
      </c>
    </row>
    <row r="1909">
      <c r="A1909" s="26" t="inlineStr">
        <is>
          <t>일일실시사항</t>
        </is>
      </c>
      <c r="B1909" s="66" t="n">
        <v>877</v>
      </c>
      <c r="C1909" s="122">
        <f>IF($D1909="","",IFERROR(TEXT(일일실시사항!$B877,"yyyy-mm-dd"),"(날짜없음)")&amp;"  "&amp;일일실시사항!$D877&amp;"  "&amp;일일실시사항!$H877)</f>
        <v/>
      </c>
      <c r="D1909" s="122">
        <f>IF(NOT(COUNTBLANK(일일실시사항!$B877:$K877)&lt;10),"",TRIM(IF(일일실시사항!$B877="","일자 누락; ","")&amp;IF(COUNTIF(코드설정!$C$5:$C$24,일일실시사항!$D877)=0,"담당자 누락; ","")&amp;IF(COUNTIF(코드설정!$G$5:$G$14,일일실시사항!$F877)=0,"업무구분 누락; ","")&amp;IF(AND(일일실시사항!$G877&lt;&gt;"",COUNTIF(사건마스터!$A$5:$A$64,일일실시사항!$G877)=0),"미등록 사건번호; ","")&amp;IF(일일실시사항!$H877="","실시 내용 없음; ","")&amp;IF(COUNTIF(코드설정!$F$5:$F$7,일일실시사항!$J877)=0,"진행상태 누락; ","")))</f>
        <v/>
      </c>
    </row>
    <row r="1910">
      <c r="A1910" s="26" t="inlineStr">
        <is>
          <t>일일실시사항</t>
        </is>
      </c>
      <c r="B1910" s="66" t="n">
        <v>878</v>
      </c>
      <c r="C1910" s="122">
        <f>IF($D1910="","",IFERROR(TEXT(일일실시사항!$B878,"yyyy-mm-dd"),"(날짜없음)")&amp;"  "&amp;일일실시사항!$D878&amp;"  "&amp;일일실시사항!$H878)</f>
        <v/>
      </c>
      <c r="D1910" s="122">
        <f>IF(NOT(COUNTBLANK(일일실시사항!$B878:$K878)&lt;10),"",TRIM(IF(일일실시사항!$B878="","일자 누락; ","")&amp;IF(COUNTIF(코드설정!$C$5:$C$24,일일실시사항!$D878)=0,"담당자 누락; ","")&amp;IF(COUNTIF(코드설정!$G$5:$G$14,일일실시사항!$F878)=0,"업무구분 누락; ","")&amp;IF(AND(일일실시사항!$G878&lt;&gt;"",COUNTIF(사건마스터!$A$5:$A$64,일일실시사항!$G878)=0),"미등록 사건번호; ","")&amp;IF(일일실시사항!$H878="","실시 내용 없음; ","")&amp;IF(COUNTIF(코드설정!$F$5:$F$7,일일실시사항!$J878)=0,"진행상태 누락; ","")))</f>
        <v/>
      </c>
    </row>
    <row r="1911">
      <c r="A1911" s="26" t="inlineStr">
        <is>
          <t>일일실시사항</t>
        </is>
      </c>
      <c r="B1911" s="66" t="n">
        <v>879</v>
      </c>
      <c r="C1911" s="122">
        <f>IF($D1911="","",IFERROR(TEXT(일일실시사항!$B879,"yyyy-mm-dd"),"(날짜없음)")&amp;"  "&amp;일일실시사항!$D879&amp;"  "&amp;일일실시사항!$H879)</f>
        <v/>
      </c>
      <c r="D1911" s="122">
        <f>IF(NOT(COUNTBLANK(일일실시사항!$B879:$K879)&lt;10),"",TRIM(IF(일일실시사항!$B879="","일자 누락; ","")&amp;IF(COUNTIF(코드설정!$C$5:$C$24,일일실시사항!$D879)=0,"담당자 누락; ","")&amp;IF(COUNTIF(코드설정!$G$5:$G$14,일일실시사항!$F879)=0,"업무구분 누락; ","")&amp;IF(AND(일일실시사항!$G879&lt;&gt;"",COUNTIF(사건마스터!$A$5:$A$64,일일실시사항!$G879)=0),"미등록 사건번호; ","")&amp;IF(일일실시사항!$H879="","실시 내용 없음; ","")&amp;IF(COUNTIF(코드설정!$F$5:$F$7,일일실시사항!$J879)=0,"진행상태 누락; ","")))</f>
        <v/>
      </c>
    </row>
    <row r="1912">
      <c r="A1912" s="26" t="inlineStr">
        <is>
          <t>일일실시사항</t>
        </is>
      </c>
      <c r="B1912" s="66" t="n">
        <v>880</v>
      </c>
      <c r="C1912" s="122">
        <f>IF($D1912="","",IFERROR(TEXT(일일실시사항!$B880,"yyyy-mm-dd"),"(날짜없음)")&amp;"  "&amp;일일실시사항!$D880&amp;"  "&amp;일일실시사항!$H880)</f>
        <v/>
      </c>
      <c r="D1912" s="122">
        <f>IF(NOT(COUNTBLANK(일일실시사항!$B880:$K880)&lt;10),"",TRIM(IF(일일실시사항!$B880="","일자 누락; ","")&amp;IF(COUNTIF(코드설정!$C$5:$C$24,일일실시사항!$D880)=0,"담당자 누락; ","")&amp;IF(COUNTIF(코드설정!$G$5:$G$14,일일실시사항!$F880)=0,"업무구분 누락; ","")&amp;IF(AND(일일실시사항!$G880&lt;&gt;"",COUNTIF(사건마스터!$A$5:$A$64,일일실시사항!$G880)=0),"미등록 사건번호; ","")&amp;IF(일일실시사항!$H880="","실시 내용 없음; ","")&amp;IF(COUNTIF(코드설정!$F$5:$F$7,일일실시사항!$J880)=0,"진행상태 누락; ","")))</f>
        <v/>
      </c>
    </row>
    <row r="1913">
      <c r="A1913" s="26" t="inlineStr">
        <is>
          <t>일일실시사항</t>
        </is>
      </c>
      <c r="B1913" s="66" t="n">
        <v>881</v>
      </c>
      <c r="C1913" s="122">
        <f>IF($D1913="","",IFERROR(TEXT(일일실시사항!$B881,"yyyy-mm-dd"),"(날짜없음)")&amp;"  "&amp;일일실시사항!$D881&amp;"  "&amp;일일실시사항!$H881)</f>
        <v/>
      </c>
      <c r="D1913" s="122">
        <f>IF(NOT(COUNTBLANK(일일실시사항!$B881:$K881)&lt;10),"",TRIM(IF(일일실시사항!$B881="","일자 누락; ","")&amp;IF(COUNTIF(코드설정!$C$5:$C$24,일일실시사항!$D881)=0,"담당자 누락; ","")&amp;IF(COUNTIF(코드설정!$G$5:$G$14,일일실시사항!$F881)=0,"업무구분 누락; ","")&amp;IF(AND(일일실시사항!$G881&lt;&gt;"",COUNTIF(사건마스터!$A$5:$A$64,일일실시사항!$G881)=0),"미등록 사건번호; ","")&amp;IF(일일실시사항!$H881="","실시 내용 없음; ","")&amp;IF(COUNTIF(코드설정!$F$5:$F$7,일일실시사항!$J881)=0,"진행상태 누락; ","")))</f>
        <v/>
      </c>
    </row>
    <row r="1914">
      <c r="A1914" s="26" t="inlineStr">
        <is>
          <t>일일실시사항</t>
        </is>
      </c>
      <c r="B1914" s="66" t="n">
        <v>882</v>
      </c>
      <c r="C1914" s="122">
        <f>IF($D1914="","",IFERROR(TEXT(일일실시사항!$B882,"yyyy-mm-dd"),"(날짜없음)")&amp;"  "&amp;일일실시사항!$D882&amp;"  "&amp;일일실시사항!$H882)</f>
        <v/>
      </c>
      <c r="D1914" s="122">
        <f>IF(NOT(COUNTBLANK(일일실시사항!$B882:$K882)&lt;10),"",TRIM(IF(일일실시사항!$B882="","일자 누락; ","")&amp;IF(COUNTIF(코드설정!$C$5:$C$24,일일실시사항!$D882)=0,"담당자 누락; ","")&amp;IF(COUNTIF(코드설정!$G$5:$G$14,일일실시사항!$F882)=0,"업무구분 누락; ","")&amp;IF(AND(일일실시사항!$G882&lt;&gt;"",COUNTIF(사건마스터!$A$5:$A$64,일일실시사항!$G882)=0),"미등록 사건번호; ","")&amp;IF(일일실시사항!$H882="","실시 내용 없음; ","")&amp;IF(COUNTIF(코드설정!$F$5:$F$7,일일실시사항!$J882)=0,"진행상태 누락; ","")))</f>
        <v/>
      </c>
    </row>
    <row r="1915">
      <c r="A1915" s="26" t="inlineStr">
        <is>
          <t>일일실시사항</t>
        </is>
      </c>
      <c r="B1915" s="66" t="n">
        <v>883</v>
      </c>
      <c r="C1915" s="122">
        <f>IF($D1915="","",IFERROR(TEXT(일일실시사항!$B883,"yyyy-mm-dd"),"(날짜없음)")&amp;"  "&amp;일일실시사항!$D883&amp;"  "&amp;일일실시사항!$H883)</f>
        <v/>
      </c>
      <c r="D1915" s="122">
        <f>IF(NOT(COUNTBLANK(일일실시사항!$B883:$K883)&lt;10),"",TRIM(IF(일일실시사항!$B883="","일자 누락; ","")&amp;IF(COUNTIF(코드설정!$C$5:$C$24,일일실시사항!$D883)=0,"담당자 누락; ","")&amp;IF(COUNTIF(코드설정!$G$5:$G$14,일일실시사항!$F883)=0,"업무구분 누락; ","")&amp;IF(AND(일일실시사항!$G883&lt;&gt;"",COUNTIF(사건마스터!$A$5:$A$64,일일실시사항!$G883)=0),"미등록 사건번호; ","")&amp;IF(일일실시사항!$H883="","실시 내용 없음; ","")&amp;IF(COUNTIF(코드설정!$F$5:$F$7,일일실시사항!$J883)=0,"진행상태 누락; ","")))</f>
        <v/>
      </c>
    </row>
    <row r="1916">
      <c r="A1916" s="26" t="inlineStr">
        <is>
          <t>일일실시사항</t>
        </is>
      </c>
      <c r="B1916" s="66" t="n">
        <v>884</v>
      </c>
      <c r="C1916" s="122">
        <f>IF($D1916="","",IFERROR(TEXT(일일실시사항!$B884,"yyyy-mm-dd"),"(날짜없음)")&amp;"  "&amp;일일실시사항!$D884&amp;"  "&amp;일일실시사항!$H884)</f>
        <v/>
      </c>
      <c r="D1916" s="122">
        <f>IF(NOT(COUNTBLANK(일일실시사항!$B884:$K884)&lt;10),"",TRIM(IF(일일실시사항!$B884="","일자 누락; ","")&amp;IF(COUNTIF(코드설정!$C$5:$C$24,일일실시사항!$D884)=0,"담당자 누락; ","")&amp;IF(COUNTIF(코드설정!$G$5:$G$14,일일실시사항!$F884)=0,"업무구분 누락; ","")&amp;IF(AND(일일실시사항!$G884&lt;&gt;"",COUNTIF(사건마스터!$A$5:$A$64,일일실시사항!$G884)=0),"미등록 사건번호; ","")&amp;IF(일일실시사항!$H884="","실시 내용 없음; ","")&amp;IF(COUNTIF(코드설정!$F$5:$F$7,일일실시사항!$J884)=0,"진행상태 누락; ","")))</f>
        <v/>
      </c>
    </row>
    <row r="1917">
      <c r="A1917" s="26" t="inlineStr">
        <is>
          <t>일일실시사항</t>
        </is>
      </c>
      <c r="B1917" s="66" t="n">
        <v>885</v>
      </c>
      <c r="C1917" s="122">
        <f>IF($D1917="","",IFERROR(TEXT(일일실시사항!$B885,"yyyy-mm-dd"),"(날짜없음)")&amp;"  "&amp;일일실시사항!$D885&amp;"  "&amp;일일실시사항!$H885)</f>
        <v/>
      </c>
      <c r="D1917" s="122">
        <f>IF(NOT(COUNTBLANK(일일실시사항!$B885:$K885)&lt;10),"",TRIM(IF(일일실시사항!$B885="","일자 누락; ","")&amp;IF(COUNTIF(코드설정!$C$5:$C$24,일일실시사항!$D885)=0,"담당자 누락; ","")&amp;IF(COUNTIF(코드설정!$G$5:$G$14,일일실시사항!$F885)=0,"업무구분 누락; ","")&amp;IF(AND(일일실시사항!$G885&lt;&gt;"",COUNTIF(사건마스터!$A$5:$A$64,일일실시사항!$G885)=0),"미등록 사건번호; ","")&amp;IF(일일실시사항!$H885="","실시 내용 없음; ","")&amp;IF(COUNTIF(코드설정!$F$5:$F$7,일일실시사항!$J885)=0,"진행상태 누락; ","")))</f>
        <v/>
      </c>
    </row>
    <row r="1918">
      <c r="A1918" s="26" t="inlineStr">
        <is>
          <t>일일실시사항</t>
        </is>
      </c>
      <c r="B1918" s="66" t="n">
        <v>886</v>
      </c>
      <c r="C1918" s="122">
        <f>IF($D1918="","",IFERROR(TEXT(일일실시사항!$B886,"yyyy-mm-dd"),"(날짜없음)")&amp;"  "&amp;일일실시사항!$D886&amp;"  "&amp;일일실시사항!$H886)</f>
        <v/>
      </c>
      <c r="D1918" s="122">
        <f>IF(NOT(COUNTBLANK(일일실시사항!$B886:$K886)&lt;10),"",TRIM(IF(일일실시사항!$B886="","일자 누락; ","")&amp;IF(COUNTIF(코드설정!$C$5:$C$24,일일실시사항!$D886)=0,"담당자 누락; ","")&amp;IF(COUNTIF(코드설정!$G$5:$G$14,일일실시사항!$F886)=0,"업무구분 누락; ","")&amp;IF(AND(일일실시사항!$G886&lt;&gt;"",COUNTIF(사건마스터!$A$5:$A$64,일일실시사항!$G886)=0),"미등록 사건번호; ","")&amp;IF(일일실시사항!$H886="","실시 내용 없음; ","")&amp;IF(COUNTIF(코드설정!$F$5:$F$7,일일실시사항!$J886)=0,"진행상태 누락; ","")))</f>
        <v/>
      </c>
    </row>
    <row r="1919">
      <c r="A1919" s="26" t="inlineStr">
        <is>
          <t>일일실시사항</t>
        </is>
      </c>
      <c r="B1919" s="66" t="n">
        <v>887</v>
      </c>
      <c r="C1919" s="122">
        <f>IF($D1919="","",IFERROR(TEXT(일일실시사항!$B887,"yyyy-mm-dd"),"(날짜없음)")&amp;"  "&amp;일일실시사항!$D887&amp;"  "&amp;일일실시사항!$H887)</f>
        <v/>
      </c>
      <c r="D1919" s="122">
        <f>IF(NOT(COUNTBLANK(일일실시사항!$B887:$K887)&lt;10),"",TRIM(IF(일일실시사항!$B887="","일자 누락; ","")&amp;IF(COUNTIF(코드설정!$C$5:$C$24,일일실시사항!$D887)=0,"담당자 누락; ","")&amp;IF(COUNTIF(코드설정!$G$5:$G$14,일일실시사항!$F887)=0,"업무구분 누락; ","")&amp;IF(AND(일일실시사항!$G887&lt;&gt;"",COUNTIF(사건마스터!$A$5:$A$64,일일실시사항!$G887)=0),"미등록 사건번호; ","")&amp;IF(일일실시사항!$H887="","실시 내용 없음; ","")&amp;IF(COUNTIF(코드설정!$F$5:$F$7,일일실시사항!$J887)=0,"진행상태 누락; ","")))</f>
        <v/>
      </c>
    </row>
    <row r="1920">
      <c r="A1920" s="26" t="inlineStr">
        <is>
          <t>일일실시사항</t>
        </is>
      </c>
      <c r="B1920" s="66" t="n">
        <v>888</v>
      </c>
      <c r="C1920" s="122">
        <f>IF($D1920="","",IFERROR(TEXT(일일실시사항!$B888,"yyyy-mm-dd"),"(날짜없음)")&amp;"  "&amp;일일실시사항!$D888&amp;"  "&amp;일일실시사항!$H888)</f>
        <v/>
      </c>
      <c r="D1920" s="122">
        <f>IF(NOT(COUNTBLANK(일일실시사항!$B888:$K888)&lt;10),"",TRIM(IF(일일실시사항!$B888="","일자 누락; ","")&amp;IF(COUNTIF(코드설정!$C$5:$C$24,일일실시사항!$D888)=0,"담당자 누락; ","")&amp;IF(COUNTIF(코드설정!$G$5:$G$14,일일실시사항!$F888)=0,"업무구분 누락; ","")&amp;IF(AND(일일실시사항!$G888&lt;&gt;"",COUNTIF(사건마스터!$A$5:$A$64,일일실시사항!$G888)=0),"미등록 사건번호; ","")&amp;IF(일일실시사항!$H888="","실시 내용 없음; ","")&amp;IF(COUNTIF(코드설정!$F$5:$F$7,일일실시사항!$J888)=0,"진행상태 누락; ","")))</f>
        <v/>
      </c>
    </row>
    <row r="1921">
      <c r="A1921" s="26" t="inlineStr">
        <is>
          <t>일일실시사항</t>
        </is>
      </c>
      <c r="B1921" s="66" t="n">
        <v>889</v>
      </c>
      <c r="C1921" s="122">
        <f>IF($D1921="","",IFERROR(TEXT(일일실시사항!$B889,"yyyy-mm-dd"),"(날짜없음)")&amp;"  "&amp;일일실시사항!$D889&amp;"  "&amp;일일실시사항!$H889)</f>
        <v/>
      </c>
      <c r="D1921" s="122">
        <f>IF(NOT(COUNTBLANK(일일실시사항!$B889:$K889)&lt;10),"",TRIM(IF(일일실시사항!$B889="","일자 누락; ","")&amp;IF(COUNTIF(코드설정!$C$5:$C$24,일일실시사항!$D889)=0,"담당자 누락; ","")&amp;IF(COUNTIF(코드설정!$G$5:$G$14,일일실시사항!$F889)=0,"업무구분 누락; ","")&amp;IF(AND(일일실시사항!$G889&lt;&gt;"",COUNTIF(사건마스터!$A$5:$A$64,일일실시사항!$G889)=0),"미등록 사건번호; ","")&amp;IF(일일실시사항!$H889="","실시 내용 없음; ","")&amp;IF(COUNTIF(코드설정!$F$5:$F$7,일일실시사항!$J889)=0,"진행상태 누락; ","")))</f>
        <v/>
      </c>
    </row>
    <row r="1922">
      <c r="A1922" s="26" t="inlineStr">
        <is>
          <t>일일실시사항</t>
        </is>
      </c>
      <c r="B1922" s="66" t="n">
        <v>890</v>
      </c>
      <c r="C1922" s="122">
        <f>IF($D1922="","",IFERROR(TEXT(일일실시사항!$B890,"yyyy-mm-dd"),"(날짜없음)")&amp;"  "&amp;일일실시사항!$D890&amp;"  "&amp;일일실시사항!$H890)</f>
        <v/>
      </c>
      <c r="D1922" s="122">
        <f>IF(NOT(COUNTBLANK(일일실시사항!$B890:$K890)&lt;10),"",TRIM(IF(일일실시사항!$B890="","일자 누락; ","")&amp;IF(COUNTIF(코드설정!$C$5:$C$24,일일실시사항!$D890)=0,"담당자 누락; ","")&amp;IF(COUNTIF(코드설정!$G$5:$G$14,일일실시사항!$F890)=0,"업무구분 누락; ","")&amp;IF(AND(일일실시사항!$G890&lt;&gt;"",COUNTIF(사건마스터!$A$5:$A$64,일일실시사항!$G890)=0),"미등록 사건번호; ","")&amp;IF(일일실시사항!$H890="","실시 내용 없음; ","")&amp;IF(COUNTIF(코드설정!$F$5:$F$7,일일실시사항!$J890)=0,"진행상태 누락; ","")))</f>
        <v/>
      </c>
    </row>
    <row r="1923">
      <c r="A1923" s="26" t="inlineStr">
        <is>
          <t>일일실시사항</t>
        </is>
      </c>
      <c r="B1923" s="66" t="n">
        <v>891</v>
      </c>
      <c r="C1923" s="122">
        <f>IF($D1923="","",IFERROR(TEXT(일일실시사항!$B891,"yyyy-mm-dd"),"(날짜없음)")&amp;"  "&amp;일일실시사항!$D891&amp;"  "&amp;일일실시사항!$H891)</f>
        <v/>
      </c>
      <c r="D1923" s="122">
        <f>IF(NOT(COUNTBLANK(일일실시사항!$B891:$K891)&lt;10),"",TRIM(IF(일일실시사항!$B891="","일자 누락; ","")&amp;IF(COUNTIF(코드설정!$C$5:$C$24,일일실시사항!$D891)=0,"담당자 누락; ","")&amp;IF(COUNTIF(코드설정!$G$5:$G$14,일일실시사항!$F891)=0,"업무구분 누락; ","")&amp;IF(AND(일일실시사항!$G891&lt;&gt;"",COUNTIF(사건마스터!$A$5:$A$64,일일실시사항!$G891)=0),"미등록 사건번호; ","")&amp;IF(일일실시사항!$H891="","실시 내용 없음; ","")&amp;IF(COUNTIF(코드설정!$F$5:$F$7,일일실시사항!$J891)=0,"진행상태 누락; ","")))</f>
        <v/>
      </c>
    </row>
    <row r="1924">
      <c r="A1924" s="26" t="inlineStr">
        <is>
          <t>일일실시사항</t>
        </is>
      </c>
      <c r="B1924" s="66" t="n">
        <v>892</v>
      </c>
      <c r="C1924" s="122">
        <f>IF($D1924="","",IFERROR(TEXT(일일실시사항!$B892,"yyyy-mm-dd"),"(날짜없음)")&amp;"  "&amp;일일실시사항!$D892&amp;"  "&amp;일일실시사항!$H892)</f>
        <v/>
      </c>
      <c r="D1924" s="122">
        <f>IF(NOT(COUNTBLANK(일일실시사항!$B892:$K892)&lt;10),"",TRIM(IF(일일실시사항!$B892="","일자 누락; ","")&amp;IF(COUNTIF(코드설정!$C$5:$C$24,일일실시사항!$D892)=0,"담당자 누락; ","")&amp;IF(COUNTIF(코드설정!$G$5:$G$14,일일실시사항!$F892)=0,"업무구분 누락; ","")&amp;IF(AND(일일실시사항!$G892&lt;&gt;"",COUNTIF(사건마스터!$A$5:$A$64,일일실시사항!$G892)=0),"미등록 사건번호; ","")&amp;IF(일일실시사항!$H892="","실시 내용 없음; ","")&amp;IF(COUNTIF(코드설정!$F$5:$F$7,일일실시사항!$J892)=0,"진행상태 누락; ","")))</f>
        <v/>
      </c>
    </row>
    <row r="1925">
      <c r="A1925" s="26" t="inlineStr">
        <is>
          <t>일일실시사항</t>
        </is>
      </c>
      <c r="B1925" s="66" t="n">
        <v>893</v>
      </c>
      <c r="C1925" s="122">
        <f>IF($D1925="","",IFERROR(TEXT(일일실시사항!$B893,"yyyy-mm-dd"),"(날짜없음)")&amp;"  "&amp;일일실시사항!$D893&amp;"  "&amp;일일실시사항!$H893)</f>
        <v/>
      </c>
      <c r="D1925" s="122">
        <f>IF(NOT(COUNTBLANK(일일실시사항!$B893:$K893)&lt;10),"",TRIM(IF(일일실시사항!$B893="","일자 누락; ","")&amp;IF(COUNTIF(코드설정!$C$5:$C$24,일일실시사항!$D893)=0,"담당자 누락; ","")&amp;IF(COUNTIF(코드설정!$G$5:$G$14,일일실시사항!$F893)=0,"업무구분 누락; ","")&amp;IF(AND(일일실시사항!$G893&lt;&gt;"",COUNTIF(사건마스터!$A$5:$A$64,일일실시사항!$G893)=0),"미등록 사건번호; ","")&amp;IF(일일실시사항!$H893="","실시 내용 없음; ","")&amp;IF(COUNTIF(코드설정!$F$5:$F$7,일일실시사항!$J893)=0,"진행상태 누락; ","")))</f>
        <v/>
      </c>
    </row>
    <row r="1926">
      <c r="A1926" s="26" t="inlineStr">
        <is>
          <t>일일실시사항</t>
        </is>
      </c>
      <c r="B1926" s="66" t="n">
        <v>894</v>
      </c>
      <c r="C1926" s="122">
        <f>IF($D1926="","",IFERROR(TEXT(일일실시사항!$B894,"yyyy-mm-dd"),"(날짜없음)")&amp;"  "&amp;일일실시사항!$D894&amp;"  "&amp;일일실시사항!$H894)</f>
        <v/>
      </c>
      <c r="D1926" s="122">
        <f>IF(NOT(COUNTBLANK(일일실시사항!$B894:$K894)&lt;10),"",TRIM(IF(일일실시사항!$B894="","일자 누락; ","")&amp;IF(COUNTIF(코드설정!$C$5:$C$24,일일실시사항!$D894)=0,"담당자 누락; ","")&amp;IF(COUNTIF(코드설정!$G$5:$G$14,일일실시사항!$F894)=0,"업무구분 누락; ","")&amp;IF(AND(일일실시사항!$G894&lt;&gt;"",COUNTIF(사건마스터!$A$5:$A$64,일일실시사항!$G894)=0),"미등록 사건번호; ","")&amp;IF(일일실시사항!$H894="","실시 내용 없음; ","")&amp;IF(COUNTIF(코드설정!$F$5:$F$7,일일실시사항!$J894)=0,"진행상태 누락; ","")))</f>
        <v/>
      </c>
    </row>
    <row r="1927">
      <c r="A1927" s="26" t="inlineStr">
        <is>
          <t>일일실시사항</t>
        </is>
      </c>
      <c r="B1927" s="66" t="n">
        <v>895</v>
      </c>
      <c r="C1927" s="122">
        <f>IF($D1927="","",IFERROR(TEXT(일일실시사항!$B895,"yyyy-mm-dd"),"(날짜없음)")&amp;"  "&amp;일일실시사항!$D895&amp;"  "&amp;일일실시사항!$H895)</f>
        <v/>
      </c>
      <c r="D1927" s="122">
        <f>IF(NOT(COUNTBLANK(일일실시사항!$B895:$K895)&lt;10),"",TRIM(IF(일일실시사항!$B895="","일자 누락; ","")&amp;IF(COUNTIF(코드설정!$C$5:$C$24,일일실시사항!$D895)=0,"담당자 누락; ","")&amp;IF(COUNTIF(코드설정!$G$5:$G$14,일일실시사항!$F895)=0,"업무구분 누락; ","")&amp;IF(AND(일일실시사항!$G895&lt;&gt;"",COUNTIF(사건마스터!$A$5:$A$64,일일실시사항!$G895)=0),"미등록 사건번호; ","")&amp;IF(일일실시사항!$H895="","실시 내용 없음; ","")&amp;IF(COUNTIF(코드설정!$F$5:$F$7,일일실시사항!$J895)=0,"진행상태 누락; ","")))</f>
        <v/>
      </c>
    </row>
    <row r="1928">
      <c r="A1928" s="26" t="inlineStr">
        <is>
          <t>일일실시사항</t>
        </is>
      </c>
      <c r="B1928" s="66" t="n">
        <v>896</v>
      </c>
      <c r="C1928" s="122">
        <f>IF($D1928="","",IFERROR(TEXT(일일실시사항!$B896,"yyyy-mm-dd"),"(날짜없음)")&amp;"  "&amp;일일실시사항!$D896&amp;"  "&amp;일일실시사항!$H896)</f>
        <v/>
      </c>
      <c r="D1928" s="122">
        <f>IF(NOT(COUNTBLANK(일일실시사항!$B896:$K896)&lt;10),"",TRIM(IF(일일실시사항!$B896="","일자 누락; ","")&amp;IF(COUNTIF(코드설정!$C$5:$C$24,일일실시사항!$D896)=0,"담당자 누락; ","")&amp;IF(COUNTIF(코드설정!$G$5:$G$14,일일실시사항!$F896)=0,"업무구분 누락; ","")&amp;IF(AND(일일실시사항!$G896&lt;&gt;"",COUNTIF(사건마스터!$A$5:$A$64,일일실시사항!$G896)=0),"미등록 사건번호; ","")&amp;IF(일일실시사항!$H896="","실시 내용 없음; ","")&amp;IF(COUNTIF(코드설정!$F$5:$F$7,일일실시사항!$J896)=0,"진행상태 누락; ","")))</f>
        <v/>
      </c>
    </row>
    <row r="1929">
      <c r="A1929" s="26" t="inlineStr">
        <is>
          <t>일일실시사항</t>
        </is>
      </c>
      <c r="B1929" s="66" t="n">
        <v>897</v>
      </c>
      <c r="C1929" s="122">
        <f>IF($D1929="","",IFERROR(TEXT(일일실시사항!$B897,"yyyy-mm-dd"),"(날짜없음)")&amp;"  "&amp;일일실시사항!$D897&amp;"  "&amp;일일실시사항!$H897)</f>
        <v/>
      </c>
      <c r="D1929" s="122">
        <f>IF(NOT(COUNTBLANK(일일실시사항!$B897:$K897)&lt;10),"",TRIM(IF(일일실시사항!$B897="","일자 누락; ","")&amp;IF(COUNTIF(코드설정!$C$5:$C$24,일일실시사항!$D897)=0,"담당자 누락; ","")&amp;IF(COUNTIF(코드설정!$G$5:$G$14,일일실시사항!$F897)=0,"업무구분 누락; ","")&amp;IF(AND(일일실시사항!$G897&lt;&gt;"",COUNTIF(사건마스터!$A$5:$A$64,일일실시사항!$G897)=0),"미등록 사건번호; ","")&amp;IF(일일실시사항!$H897="","실시 내용 없음; ","")&amp;IF(COUNTIF(코드설정!$F$5:$F$7,일일실시사항!$J897)=0,"진행상태 누락; ","")))</f>
        <v/>
      </c>
    </row>
    <row r="1930">
      <c r="A1930" s="26" t="inlineStr">
        <is>
          <t>일일실시사항</t>
        </is>
      </c>
      <c r="B1930" s="66" t="n">
        <v>898</v>
      </c>
      <c r="C1930" s="122">
        <f>IF($D1930="","",IFERROR(TEXT(일일실시사항!$B898,"yyyy-mm-dd"),"(날짜없음)")&amp;"  "&amp;일일실시사항!$D898&amp;"  "&amp;일일실시사항!$H898)</f>
        <v/>
      </c>
      <c r="D1930" s="122">
        <f>IF(NOT(COUNTBLANK(일일실시사항!$B898:$K898)&lt;10),"",TRIM(IF(일일실시사항!$B898="","일자 누락; ","")&amp;IF(COUNTIF(코드설정!$C$5:$C$24,일일실시사항!$D898)=0,"담당자 누락; ","")&amp;IF(COUNTIF(코드설정!$G$5:$G$14,일일실시사항!$F898)=0,"업무구분 누락; ","")&amp;IF(AND(일일실시사항!$G898&lt;&gt;"",COUNTIF(사건마스터!$A$5:$A$64,일일실시사항!$G898)=0),"미등록 사건번호; ","")&amp;IF(일일실시사항!$H898="","실시 내용 없음; ","")&amp;IF(COUNTIF(코드설정!$F$5:$F$7,일일실시사항!$J898)=0,"진행상태 누락; ","")))</f>
        <v/>
      </c>
    </row>
    <row r="1931">
      <c r="A1931" s="26" t="inlineStr">
        <is>
          <t>일일실시사항</t>
        </is>
      </c>
      <c r="B1931" s="66" t="n">
        <v>899</v>
      </c>
      <c r="C1931" s="122">
        <f>IF($D1931="","",IFERROR(TEXT(일일실시사항!$B899,"yyyy-mm-dd"),"(날짜없음)")&amp;"  "&amp;일일실시사항!$D899&amp;"  "&amp;일일실시사항!$H899)</f>
        <v/>
      </c>
      <c r="D1931" s="122">
        <f>IF(NOT(COUNTBLANK(일일실시사항!$B899:$K899)&lt;10),"",TRIM(IF(일일실시사항!$B899="","일자 누락; ","")&amp;IF(COUNTIF(코드설정!$C$5:$C$24,일일실시사항!$D899)=0,"담당자 누락; ","")&amp;IF(COUNTIF(코드설정!$G$5:$G$14,일일실시사항!$F899)=0,"업무구분 누락; ","")&amp;IF(AND(일일실시사항!$G899&lt;&gt;"",COUNTIF(사건마스터!$A$5:$A$64,일일실시사항!$G899)=0),"미등록 사건번호; ","")&amp;IF(일일실시사항!$H899="","실시 내용 없음; ","")&amp;IF(COUNTIF(코드설정!$F$5:$F$7,일일실시사항!$J899)=0,"진행상태 누락; ","")))</f>
        <v/>
      </c>
    </row>
    <row r="1932">
      <c r="A1932" s="26" t="inlineStr">
        <is>
          <t>일일실시사항</t>
        </is>
      </c>
      <c r="B1932" s="66" t="n">
        <v>900</v>
      </c>
      <c r="C1932" s="122">
        <f>IF($D1932="","",IFERROR(TEXT(일일실시사항!$B900,"yyyy-mm-dd"),"(날짜없음)")&amp;"  "&amp;일일실시사항!$D900&amp;"  "&amp;일일실시사항!$H900)</f>
        <v/>
      </c>
      <c r="D1932" s="122">
        <f>IF(NOT(COUNTBLANK(일일실시사항!$B900:$K900)&lt;10),"",TRIM(IF(일일실시사항!$B900="","일자 누락; ","")&amp;IF(COUNTIF(코드설정!$C$5:$C$24,일일실시사항!$D900)=0,"담당자 누락; ","")&amp;IF(COUNTIF(코드설정!$G$5:$G$14,일일실시사항!$F900)=0,"업무구분 누락; ","")&amp;IF(AND(일일실시사항!$G900&lt;&gt;"",COUNTIF(사건마스터!$A$5:$A$64,일일실시사항!$G900)=0),"미등록 사건번호; ","")&amp;IF(일일실시사항!$H900="","실시 내용 없음; ","")&amp;IF(COUNTIF(코드설정!$F$5:$F$7,일일실시사항!$J900)=0,"진행상태 누락; ","")))</f>
        <v/>
      </c>
    </row>
    <row r="1933">
      <c r="A1933" s="26" t="inlineStr">
        <is>
          <t>일일실시사항</t>
        </is>
      </c>
      <c r="B1933" s="66" t="n">
        <v>901</v>
      </c>
      <c r="C1933" s="122">
        <f>IF($D1933="","",IFERROR(TEXT(일일실시사항!$B901,"yyyy-mm-dd"),"(날짜없음)")&amp;"  "&amp;일일실시사항!$D901&amp;"  "&amp;일일실시사항!$H901)</f>
        <v/>
      </c>
      <c r="D1933" s="122">
        <f>IF(NOT(COUNTBLANK(일일실시사항!$B901:$K901)&lt;10),"",TRIM(IF(일일실시사항!$B901="","일자 누락; ","")&amp;IF(COUNTIF(코드설정!$C$5:$C$24,일일실시사항!$D901)=0,"담당자 누락; ","")&amp;IF(COUNTIF(코드설정!$G$5:$G$14,일일실시사항!$F901)=0,"업무구분 누락; ","")&amp;IF(AND(일일실시사항!$G901&lt;&gt;"",COUNTIF(사건마스터!$A$5:$A$64,일일실시사항!$G901)=0),"미등록 사건번호; ","")&amp;IF(일일실시사항!$H901="","실시 내용 없음; ","")&amp;IF(COUNTIF(코드설정!$F$5:$F$7,일일실시사항!$J901)=0,"진행상태 누락; ","")))</f>
        <v/>
      </c>
    </row>
    <row r="1934">
      <c r="A1934" s="26" t="inlineStr">
        <is>
          <t>일일실시사항</t>
        </is>
      </c>
      <c r="B1934" s="66" t="n">
        <v>902</v>
      </c>
      <c r="C1934" s="122">
        <f>IF($D1934="","",IFERROR(TEXT(일일실시사항!$B902,"yyyy-mm-dd"),"(날짜없음)")&amp;"  "&amp;일일실시사항!$D902&amp;"  "&amp;일일실시사항!$H902)</f>
        <v/>
      </c>
      <c r="D1934" s="122">
        <f>IF(NOT(COUNTBLANK(일일실시사항!$B902:$K902)&lt;10),"",TRIM(IF(일일실시사항!$B902="","일자 누락; ","")&amp;IF(COUNTIF(코드설정!$C$5:$C$24,일일실시사항!$D902)=0,"담당자 누락; ","")&amp;IF(COUNTIF(코드설정!$G$5:$G$14,일일실시사항!$F902)=0,"업무구분 누락; ","")&amp;IF(AND(일일실시사항!$G902&lt;&gt;"",COUNTIF(사건마스터!$A$5:$A$64,일일실시사항!$G902)=0),"미등록 사건번호; ","")&amp;IF(일일실시사항!$H902="","실시 내용 없음; ","")&amp;IF(COUNTIF(코드설정!$F$5:$F$7,일일실시사항!$J902)=0,"진행상태 누락; ","")))</f>
        <v/>
      </c>
    </row>
    <row r="1935">
      <c r="A1935" s="26" t="inlineStr">
        <is>
          <t>일일실시사항</t>
        </is>
      </c>
      <c r="B1935" s="66" t="n">
        <v>903</v>
      </c>
      <c r="C1935" s="122">
        <f>IF($D1935="","",IFERROR(TEXT(일일실시사항!$B903,"yyyy-mm-dd"),"(날짜없음)")&amp;"  "&amp;일일실시사항!$D903&amp;"  "&amp;일일실시사항!$H903)</f>
        <v/>
      </c>
      <c r="D1935" s="122">
        <f>IF(NOT(COUNTBLANK(일일실시사항!$B903:$K903)&lt;10),"",TRIM(IF(일일실시사항!$B903="","일자 누락; ","")&amp;IF(COUNTIF(코드설정!$C$5:$C$24,일일실시사항!$D903)=0,"담당자 누락; ","")&amp;IF(COUNTIF(코드설정!$G$5:$G$14,일일실시사항!$F903)=0,"업무구분 누락; ","")&amp;IF(AND(일일실시사항!$G903&lt;&gt;"",COUNTIF(사건마스터!$A$5:$A$64,일일실시사항!$G903)=0),"미등록 사건번호; ","")&amp;IF(일일실시사항!$H903="","실시 내용 없음; ","")&amp;IF(COUNTIF(코드설정!$F$5:$F$7,일일실시사항!$J903)=0,"진행상태 누락; ","")))</f>
        <v/>
      </c>
    </row>
    <row r="1936">
      <c r="A1936" s="26" t="inlineStr">
        <is>
          <t>일일실시사항</t>
        </is>
      </c>
      <c r="B1936" s="66" t="n">
        <v>904</v>
      </c>
      <c r="C1936" s="122">
        <f>IF($D1936="","",IFERROR(TEXT(일일실시사항!$B904,"yyyy-mm-dd"),"(날짜없음)")&amp;"  "&amp;일일실시사항!$D904&amp;"  "&amp;일일실시사항!$H904)</f>
        <v/>
      </c>
      <c r="D1936" s="122">
        <f>IF(NOT(COUNTBLANK(일일실시사항!$B904:$K904)&lt;10),"",TRIM(IF(일일실시사항!$B904="","일자 누락; ","")&amp;IF(COUNTIF(코드설정!$C$5:$C$24,일일실시사항!$D904)=0,"담당자 누락; ","")&amp;IF(COUNTIF(코드설정!$G$5:$G$14,일일실시사항!$F904)=0,"업무구분 누락; ","")&amp;IF(AND(일일실시사항!$G904&lt;&gt;"",COUNTIF(사건마스터!$A$5:$A$64,일일실시사항!$G904)=0),"미등록 사건번호; ","")&amp;IF(일일실시사항!$H904="","실시 내용 없음; ","")&amp;IF(COUNTIF(코드설정!$F$5:$F$7,일일실시사항!$J904)=0,"진행상태 누락; ","")))</f>
        <v/>
      </c>
    </row>
    <row r="1937">
      <c r="A1937" s="26" t="inlineStr">
        <is>
          <t>일일실시사항</t>
        </is>
      </c>
      <c r="B1937" s="66" t="n">
        <v>905</v>
      </c>
      <c r="C1937" s="122">
        <f>IF($D1937="","",IFERROR(TEXT(일일실시사항!$B905,"yyyy-mm-dd"),"(날짜없음)")&amp;"  "&amp;일일실시사항!$D905&amp;"  "&amp;일일실시사항!$H905)</f>
        <v/>
      </c>
      <c r="D1937" s="122">
        <f>IF(NOT(COUNTBLANK(일일실시사항!$B905:$K905)&lt;10),"",TRIM(IF(일일실시사항!$B905="","일자 누락; ","")&amp;IF(COUNTIF(코드설정!$C$5:$C$24,일일실시사항!$D905)=0,"담당자 누락; ","")&amp;IF(COUNTIF(코드설정!$G$5:$G$14,일일실시사항!$F905)=0,"업무구분 누락; ","")&amp;IF(AND(일일실시사항!$G905&lt;&gt;"",COUNTIF(사건마스터!$A$5:$A$64,일일실시사항!$G905)=0),"미등록 사건번호; ","")&amp;IF(일일실시사항!$H905="","실시 내용 없음; ","")&amp;IF(COUNTIF(코드설정!$F$5:$F$7,일일실시사항!$J905)=0,"진행상태 누락; ","")))</f>
        <v/>
      </c>
    </row>
    <row r="1938">
      <c r="A1938" s="26" t="inlineStr">
        <is>
          <t>일일실시사항</t>
        </is>
      </c>
      <c r="B1938" s="66" t="n">
        <v>906</v>
      </c>
      <c r="C1938" s="122">
        <f>IF($D1938="","",IFERROR(TEXT(일일실시사항!$B906,"yyyy-mm-dd"),"(날짜없음)")&amp;"  "&amp;일일실시사항!$D906&amp;"  "&amp;일일실시사항!$H906)</f>
        <v/>
      </c>
      <c r="D1938" s="122">
        <f>IF(NOT(COUNTBLANK(일일실시사항!$B906:$K906)&lt;10),"",TRIM(IF(일일실시사항!$B906="","일자 누락; ","")&amp;IF(COUNTIF(코드설정!$C$5:$C$24,일일실시사항!$D906)=0,"담당자 누락; ","")&amp;IF(COUNTIF(코드설정!$G$5:$G$14,일일실시사항!$F906)=0,"업무구분 누락; ","")&amp;IF(AND(일일실시사항!$G906&lt;&gt;"",COUNTIF(사건마스터!$A$5:$A$64,일일실시사항!$G906)=0),"미등록 사건번호; ","")&amp;IF(일일실시사항!$H906="","실시 내용 없음; ","")&amp;IF(COUNTIF(코드설정!$F$5:$F$7,일일실시사항!$J906)=0,"진행상태 누락; ","")))</f>
        <v/>
      </c>
    </row>
    <row r="1939">
      <c r="A1939" s="26" t="inlineStr">
        <is>
          <t>일일실시사항</t>
        </is>
      </c>
      <c r="B1939" s="66" t="n">
        <v>907</v>
      </c>
      <c r="C1939" s="122">
        <f>IF($D1939="","",IFERROR(TEXT(일일실시사항!$B907,"yyyy-mm-dd"),"(날짜없음)")&amp;"  "&amp;일일실시사항!$D907&amp;"  "&amp;일일실시사항!$H907)</f>
        <v/>
      </c>
      <c r="D1939" s="122">
        <f>IF(NOT(COUNTBLANK(일일실시사항!$B907:$K907)&lt;10),"",TRIM(IF(일일실시사항!$B907="","일자 누락; ","")&amp;IF(COUNTIF(코드설정!$C$5:$C$24,일일실시사항!$D907)=0,"담당자 누락; ","")&amp;IF(COUNTIF(코드설정!$G$5:$G$14,일일실시사항!$F907)=0,"업무구분 누락; ","")&amp;IF(AND(일일실시사항!$G907&lt;&gt;"",COUNTIF(사건마스터!$A$5:$A$64,일일실시사항!$G907)=0),"미등록 사건번호; ","")&amp;IF(일일실시사항!$H907="","실시 내용 없음; ","")&amp;IF(COUNTIF(코드설정!$F$5:$F$7,일일실시사항!$J907)=0,"진행상태 누락; ","")))</f>
        <v/>
      </c>
    </row>
    <row r="1940">
      <c r="A1940" s="26" t="inlineStr">
        <is>
          <t>일일실시사항</t>
        </is>
      </c>
      <c r="B1940" s="66" t="n">
        <v>908</v>
      </c>
      <c r="C1940" s="122">
        <f>IF($D1940="","",IFERROR(TEXT(일일실시사항!$B908,"yyyy-mm-dd"),"(날짜없음)")&amp;"  "&amp;일일실시사항!$D908&amp;"  "&amp;일일실시사항!$H908)</f>
        <v/>
      </c>
      <c r="D1940" s="122">
        <f>IF(NOT(COUNTBLANK(일일실시사항!$B908:$K908)&lt;10),"",TRIM(IF(일일실시사항!$B908="","일자 누락; ","")&amp;IF(COUNTIF(코드설정!$C$5:$C$24,일일실시사항!$D908)=0,"담당자 누락; ","")&amp;IF(COUNTIF(코드설정!$G$5:$G$14,일일실시사항!$F908)=0,"업무구분 누락; ","")&amp;IF(AND(일일실시사항!$G908&lt;&gt;"",COUNTIF(사건마스터!$A$5:$A$64,일일실시사항!$G908)=0),"미등록 사건번호; ","")&amp;IF(일일실시사항!$H908="","실시 내용 없음; ","")&amp;IF(COUNTIF(코드설정!$F$5:$F$7,일일실시사항!$J908)=0,"진행상태 누락; ","")))</f>
        <v/>
      </c>
    </row>
    <row r="1941">
      <c r="A1941" s="26" t="inlineStr">
        <is>
          <t>일일실시사항</t>
        </is>
      </c>
      <c r="B1941" s="66" t="n">
        <v>909</v>
      </c>
      <c r="C1941" s="122">
        <f>IF($D1941="","",IFERROR(TEXT(일일실시사항!$B909,"yyyy-mm-dd"),"(날짜없음)")&amp;"  "&amp;일일실시사항!$D909&amp;"  "&amp;일일실시사항!$H909)</f>
        <v/>
      </c>
      <c r="D1941" s="122">
        <f>IF(NOT(COUNTBLANK(일일실시사항!$B909:$K909)&lt;10),"",TRIM(IF(일일실시사항!$B909="","일자 누락; ","")&amp;IF(COUNTIF(코드설정!$C$5:$C$24,일일실시사항!$D909)=0,"담당자 누락; ","")&amp;IF(COUNTIF(코드설정!$G$5:$G$14,일일실시사항!$F909)=0,"업무구분 누락; ","")&amp;IF(AND(일일실시사항!$G909&lt;&gt;"",COUNTIF(사건마스터!$A$5:$A$64,일일실시사항!$G909)=0),"미등록 사건번호; ","")&amp;IF(일일실시사항!$H909="","실시 내용 없음; ","")&amp;IF(COUNTIF(코드설정!$F$5:$F$7,일일실시사항!$J909)=0,"진행상태 누락; ","")))</f>
        <v/>
      </c>
    </row>
    <row r="1942">
      <c r="A1942" s="26" t="inlineStr">
        <is>
          <t>일일실시사항</t>
        </is>
      </c>
      <c r="B1942" s="66" t="n">
        <v>910</v>
      </c>
      <c r="C1942" s="122">
        <f>IF($D1942="","",IFERROR(TEXT(일일실시사항!$B910,"yyyy-mm-dd"),"(날짜없음)")&amp;"  "&amp;일일실시사항!$D910&amp;"  "&amp;일일실시사항!$H910)</f>
        <v/>
      </c>
      <c r="D1942" s="122">
        <f>IF(NOT(COUNTBLANK(일일실시사항!$B910:$K910)&lt;10),"",TRIM(IF(일일실시사항!$B910="","일자 누락; ","")&amp;IF(COUNTIF(코드설정!$C$5:$C$24,일일실시사항!$D910)=0,"담당자 누락; ","")&amp;IF(COUNTIF(코드설정!$G$5:$G$14,일일실시사항!$F910)=0,"업무구분 누락; ","")&amp;IF(AND(일일실시사항!$G910&lt;&gt;"",COUNTIF(사건마스터!$A$5:$A$64,일일실시사항!$G910)=0),"미등록 사건번호; ","")&amp;IF(일일실시사항!$H910="","실시 내용 없음; ","")&amp;IF(COUNTIF(코드설정!$F$5:$F$7,일일실시사항!$J910)=0,"진행상태 누락; ","")))</f>
        <v/>
      </c>
    </row>
    <row r="1943">
      <c r="A1943" s="26" t="inlineStr">
        <is>
          <t>일일실시사항</t>
        </is>
      </c>
      <c r="B1943" s="66" t="n">
        <v>911</v>
      </c>
      <c r="C1943" s="122">
        <f>IF($D1943="","",IFERROR(TEXT(일일실시사항!$B911,"yyyy-mm-dd"),"(날짜없음)")&amp;"  "&amp;일일실시사항!$D911&amp;"  "&amp;일일실시사항!$H911)</f>
        <v/>
      </c>
      <c r="D1943" s="122">
        <f>IF(NOT(COUNTBLANK(일일실시사항!$B911:$K911)&lt;10),"",TRIM(IF(일일실시사항!$B911="","일자 누락; ","")&amp;IF(COUNTIF(코드설정!$C$5:$C$24,일일실시사항!$D911)=0,"담당자 누락; ","")&amp;IF(COUNTIF(코드설정!$G$5:$G$14,일일실시사항!$F911)=0,"업무구분 누락; ","")&amp;IF(AND(일일실시사항!$G911&lt;&gt;"",COUNTIF(사건마스터!$A$5:$A$64,일일실시사항!$G911)=0),"미등록 사건번호; ","")&amp;IF(일일실시사항!$H911="","실시 내용 없음; ","")&amp;IF(COUNTIF(코드설정!$F$5:$F$7,일일실시사항!$J911)=0,"진행상태 누락; ","")))</f>
        <v/>
      </c>
    </row>
    <row r="1944">
      <c r="A1944" s="26" t="inlineStr">
        <is>
          <t>일일실시사항</t>
        </is>
      </c>
      <c r="B1944" s="66" t="n">
        <v>912</v>
      </c>
      <c r="C1944" s="122">
        <f>IF($D1944="","",IFERROR(TEXT(일일실시사항!$B912,"yyyy-mm-dd"),"(날짜없음)")&amp;"  "&amp;일일실시사항!$D912&amp;"  "&amp;일일실시사항!$H912)</f>
        <v/>
      </c>
      <c r="D1944" s="122">
        <f>IF(NOT(COUNTBLANK(일일실시사항!$B912:$K912)&lt;10),"",TRIM(IF(일일실시사항!$B912="","일자 누락; ","")&amp;IF(COUNTIF(코드설정!$C$5:$C$24,일일실시사항!$D912)=0,"담당자 누락; ","")&amp;IF(COUNTIF(코드설정!$G$5:$G$14,일일실시사항!$F912)=0,"업무구분 누락; ","")&amp;IF(AND(일일실시사항!$G912&lt;&gt;"",COUNTIF(사건마스터!$A$5:$A$64,일일실시사항!$G912)=0),"미등록 사건번호; ","")&amp;IF(일일실시사항!$H912="","실시 내용 없음; ","")&amp;IF(COUNTIF(코드설정!$F$5:$F$7,일일실시사항!$J912)=0,"진행상태 누락; ","")))</f>
        <v/>
      </c>
    </row>
    <row r="1945">
      <c r="A1945" s="26" t="inlineStr">
        <is>
          <t>일일실시사항</t>
        </is>
      </c>
      <c r="B1945" s="66" t="n">
        <v>913</v>
      </c>
      <c r="C1945" s="122">
        <f>IF($D1945="","",IFERROR(TEXT(일일실시사항!$B913,"yyyy-mm-dd"),"(날짜없음)")&amp;"  "&amp;일일실시사항!$D913&amp;"  "&amp;일일실시사항!$H913)</f>
        <v/>
      </c>
      <c r="D1945" s="122">
        <f>IF(NOT(COUNTBLANK(일일실시사항!$B913:$K913)&lt;10),"",TRIM(IF(일일실시사항!$B913="","일자 누락; ","")&amp;IF(COUNTIF(코드설정!$C$5:$C$24,일일실시사항!$D913)=0,"담당자 누락; ","")&amp;IF(COUNTIF(코드설정!$G$5:$G$14,일일실시사항!$F913)=0,"업무구분 누락; ","")&amp;IF(AND(일일실시사항!$G913&lt;&gt;"",COUNTIF(사건마스터!$A$5:$A$64,일일실시사항!$G913)=0),"미등록 사건번호; ","")&amp;IF(일일실시사항!$H913="","실시 내용 없음; ","")&amp;IF(COUNTIF(코드설정!$F$5:$F$7,일일실시사항!$J913)=0,"진행상태 누락; ","")))</f>
        <v/>
      </c>
    </row>
    <row r="1946">
      <c r="A1946" s="26" t="inlineStr">
        <is>
          <t>일일실시사항</t>
        </is>
      </c>
      <c r="B1946" s="66" t="n">
        <v>914</v>
      </c>
      <c r="C1946" s="122">
        <f>IF($D1946="","",IFERROR(TEXT(일일실시사항!$B914,"yyyy-mm-dd"),"(날짜없음)")&amp;"  "&amp;일일실시사항!$D914&amp;"  "&amp;일일실시사항!$H914)</f>
        <v/>
      </c>
      <c r="D1946" s="122">
        <f>IF(NOT(COUNTBLANK(일일실시사항!$B914:$K914)&lt;10),"",TRIM(IF(일일실시사항!$B914="","일자 누락; ","")&amp;IF(COUNTIF(코드설정!$C$5:$C$24,일일실시사항!$D914)=0,"담당자 누락; ","")&amp;IF(COUNTIF(코드설정!$G$5:$G$14,일일실시사항!$F914)=0,"업무구분 누락; ","")&amp;IF(AND(일일실시사항!$G914&lt;&gt;"",COUNTIF(사건마스터!$A$5:$A$64,일일실시사항!$G914)=0),"미등록 사건번호; ","")&amp;IF(일일실시사항!$H914="","실시 내용 없음; ","")&amp;IF(COUNTIF(코드설정!$F$5:$F$7,일일실시사항!$J914)=0,"진행상태 누락; ","")))</f>
        <v/>
      </c>
    </row>
    <row r="1947">
      <c r="A1947" s="26" t="inlineStr">
        <is>
          <t>일일실시사항</t>
        </is>
      </c>
      <c r="B1947" s="66" t="n">
        <v>915</v>
      </c>
      <c r="C1947" s="122">
        <f>IF($D1947="","",IFERROR(TEXT(일일실시사항!$B915,"yyyy-mm-dd"),"(날짜없음)")&amp;"  "&amp;일일실시사항!$D915&amp;"  "&amp;일일실시사항!$H915)</f>
        <v/>
      </c>
      <c r="D1947" s="122">
        <f>IF(NOT(COUNTBLANK(일일실시사항!$B915:$K915)&lt;10),"",TRIM(IF(일일실시사항!$B915="","일자 누락; ","")&amp;IF(COUNTIF(코드설정!$C$5:$C$24,일일실시사항!$D915)=0,"담당자 누락; ","")&amp;IF(COUNTIF(코드설정!$G$5:$G$14,일일실시사항!$F915)=0,"업무구분 누락; ","")&amp;IF(AND(일일실시사항!$G915&lt;&gt;"",COUNTIF(사건마스터!$A$5:$A$64,일일실시사항!$G915)=0),"미등록 사건번호; ","")&amp;IF(일일실시사항!$H915="","실시 내용 없음; ","")&amp;IF(COUNTIF(코드설정!$F$5:$F$7,일일실시사항!$J915)=0,"진행상태 누락; ","")))</f>
        <v/>
      </c>
    </row>
    <row r="1948">
      <c r="A1948" s="26" t="inlineStr">
        <is>
          <t>일일실시사항</t>
        </is>
      </c>
      <c r="B1948" s="66" t="n">
        <v>916</v>
      </c>
      <c r="C1948" s="122">
        <f>IF($D1948="","",IFERROR(TEXT(일일실시사항!$B916,"yyyy-mm-dd"),"(날짜없음)")&amp;"  "&amp;일일실시사항!$D916&amp;"  "&amp;일일실시사항!$H916)</f>
        <v/>
      </c>
      <c r="D1948" s="122">
        <f>IF(NOT(COUNTBLANK(일일실시사항!$B916:$K916)&lt;10),"",TRIM(IF(일일실시사항!$B916="","일자 누락; ","")&amp;IF(COUNTIF(코드설정!$C$5:$C$24,일일실시사항!$D916)=0,"담당자 누락; ","")&amp;IF(COUNTIF(코드설정!$G$5:$G$14,일일실시사항!$F916)=0,"업무구분 누락; ","")&amp;IF(AND(일일실시사항!$G916&lt;&gt;"",COUNTIF(사건마스터!$A$5:$A$64,일일실시사항!$G916)=0),"미등록 사건번호; ","")&amp;IF(일일실시사항!$H916="","실시 내용 없음; ","")&amp;IF(COUNTIF(코드설정!$F$5:$F$7,일일실시사항!$J916)=0,"진행상태 누락; ","")))</f>
        <v/>
      </c>
    </row>
    <row r="1949">
      <c r="A1949" s="26" t="inlineStr">
        <is>
          <t>일일실시사항</t>
        </is>
      </c>
      <c r="B1949" s="66" t="n">
        <v>917</v>
      </c>
      <c r="C1949" s="122">
        <f>IF($D1949="","",IFERROR(TEXT(일일실시사항!$B917,"yyyy-mm-dd"),"(날짜없음)")&amp;"  "&amp;일일실시사항!$D917&amp;"  "&amp;일일실시사항!$H917)</f>
        <v/>
      </c>
      <c r="D1949" s="122">
        <f>IF(NOT(COUNTBLANK(일일실시사항!$B917:$K917)&lt;10),"",TRIM(IF(일일실시사항!$B917="","일자 누락; ","")&amp;IF(COUNTIF(코드설정!$C$5:$C$24,일일실시사항!$D917)=0,"담당자 누락; ","")&amp;IF(COUNTIF(코드설정!$G$5:$G$14,일일실시사항!$F917)=0,"업무구분 누락; ","")&amp;IF(AND(일일실시사항!$G917&lt;&gt;"",COUNTIF(사건마스터!$A$5:$A$64,일일실시사항!$G917)=0),"미등록 사건번호; ","")&amp;IF(일일실시사항!$H917="","실시 내용 없음; ","")&amp;IF(COUNTIF(코드설정!$F$5:$F$7,일일실시사항!$J917)=0,"진행상태 누락; ","")))</f>
        <v/>
      </c>
    </row>
    <row r="1950">
      <c r="A1950" s="26" t="inlineStr">
        <is>
          <t>일일실시사항</t>
        </is>
      </c>
      <c r="B1950" s="66" t="n">
        <v>918</v>
      </c>
      <c r="C1950" s="122">
        <f>IF($D1950="","",IFERROR(TEXT(일일실시사항!$B918,"yyyy-mm-dd"),"(날짜없음)")&amp;"  "&amp;일일실시사항!$D918&amp;"  "&amp;일일실시사항!$H918)</f>
        <v/>
      </c>
      <c r="D1950" s="122">
        <f>IF(NOT(COUNTBLANK(일일실시사항!$B918:$K918)&lt;10),"",TRIM(IF(일일실시사항!$B918="","일자 누락; ","")&amp;IF(COUNTIF(코드설정!$C$5:$C$24,일일실시사항!$D918)=0,"담당자 누락; ","")&amp;IF(COUNTIF(코드설정!$G$5:$G$14,일일실시사항!$F918)=0,"업무구분 누락; ","")&amp;IF(AND(일일실시사항!$G918&lt;&gt;"",COUNTIF(사건마스터!$A$5:$A$64,일일실시사항!$G918)=0),"미등록 사건번호; ","")&amp;IF(일일실시사항!$H918="","실시 내용 없음; ","")&amp;IF(COUNTIF(코드설정!$F$5:$F$7,일일실시사항!$J918)=0,"진행상태 누락; ","")))</f>
        <v/>
      </c>
    </row>
    <row r="1951">
      <c r="A1951" s="26" t="inlineStr">
        <is>
          <t>일일실시사항</t>
        </is>
      </c>
      <c r="B1951" s="66" t="n">
        <v>919</v>
      </c>
      <c r="C1951" s="122">
        <f>IF($D1951="","",IFERROR(TEXT(일일실시사항!$B919,"yyyy-mm-dd"),"(날짜없음)")&amp;"  "&amp;일일실시사항!$D919&amp;"  "&amp;일일실시사항!$H919)</f>
        <v/>
      </c>
      <c r="D1951" s="122">
        <f>IF(NOT(COUNTBLANK(일일실시사항!$B919:$K919)&lt;10),"",TRIM(IF(일일실시사항!$B919="","일자 누락; ","")&amp;IF(COUNTIF(코드설정!$C$5:$C$24,일일실시사항!$D919)=0,"담당자 누락; ","")&amp;IF(COUNTIF(코드설정!$G$5:$G$14,일일실시사항!$F919)=0,"업무구분 누락; ","")&amp;IF(AND(일일실시사항!$G919&lt;&gt;"",COUNTIF(사건마스터!$A$5:$A$64,일일실시사항!$G919)=0),"미등록 사건번호; ","")&amp;IF(일일실시사항!$H919="","실시 내용 없음; ","")&amp;IF(COUNTIF(코드설정!$F$5:$F$7,일일실시사항!$J919)=0,"진행상태 누락; ","")))</f>
        <v/>
      </c>
    </row>
    <row r="1952">
      <c r="A1952" s="26" t="inlineStr">
        <is>
          <t>일일실시사항</t>
        </is>
      </c>
      <c r="B1952" s="66" t="n">
        <v>920</v>
      </c>
      <c r="C1952" s="122">
        <f>IF($D1952="","",IFERROR(TEXT(일일실시사항!$B920,"yyyy-mm-dd"),"(날짜없음)")&amp;"  "&amp;일일실시사항!$D920&amp;"  "&amp;일일실시사항!$H920)</f>
        <v/>
      </c>
      <c r="D1952" s="122">
        <f>IF(NOT(COUNTBLANK(일일실시사항!$B920:$K920)&lt;10),"",TRIM(IF(일일실시사항!$B920="","일자 누락; ","")&amp;IF(COUNTIF(코드설정!$C$5:$C$24,일일실시사항!$D920)=0,"담당자 누락; ","")&amp;IF(COUNTIF(코드설정!$G$5:$G$14,일일실시사항!$F920)=0,"업무구분 누락; ","")&amp;IF(AND(일일실시사항!$G920&lt;&gt;"",COUNTIF(사건마스터!$A$5:$A$64,일일실시사항!$G920)=0),"미등록 사건번호; ","")&amp;IF(일일실시사항!$H920="","실시 내용 없음; ","")&amp;IF(COUNTIF(코드설정!$F$5:$F$7,일일실시사항!$J920)=0,"진행상태 누락; ","")))</f>
        <v/>
      </c>
    </row>
    <row r="1953">
      <c r="A1953" s="26" t="inlineStr">
        <is>
          <t>일일실시사항</t>
        </is>
      </c>
      <c r="B1953" s="66" t="n">
        <v>921</v>
      </c>
      <c r="C1953" s="122">
        <f>IF($D1953="","",IFERROR(TEXT(일일실시사항!$B921,"yyyy-mm-dd"),"(날짜없음)")&amp;"  "&amp;일일실시사항!$D921&amp;"  "&amp;일일실시사항!$H921)</f>
        <v/>
      </c>
      <c r="D1953" s="122">
        <f>IF(NOT(COUNTBLANK(일일실시사항!$B921:$K921)&lt;10),"",TRIM(IF(일일실시사항!$B921="","일자 누락; ","")&amp;IF(COUNTIF(코드설정!$C$5:$C$24,일일실시사항!$D921)=0,"담당자 누락; ","")&amp;IF(COUNTIF(코드설정!$G$5:$G$14,일일실시사항!$F921)=0,"업무구분 누락; ","")&amp;IF(AND(일일실시사항!$G921&lt;&gt;"",COUNTIF(사건마스터!$A$5:$A$64,일일실시사항!$G921)=0),"미등록 사건번호; ","")&amp;IF(일일실시사항!$H921="","실시 내용 없음; ","")&amp;IF(COUNTIF(코드설정!$F$5:$F$7,일일실시사항!$J921)=0,"진행상태 누락; ","")))</f>
        <v/>
      </c>
    </row>
    <row r="1954">
      <c r="A1954" s="26" t="inlineStr">
        <is>
          <t>일일실시사항</t>
        </is>
      </c>
      <c r="B1954" s="66" t="n">
        <v>922</v>
      </c>
      <c r="C1954" s="122">
        <f>IF($D1954="","",IFERROR(TEXT(일일실시사항!$B922,"yyyy-mm-dd"),"(날짜없음)")&amp;"  "&amp;일일실시사항!$D922&amp;"  "&amp;일일실시사항!$H922)</f>
        <v/>
      </c>
      <c r="D1954" s="122">
        <f>IF(NOT(COUNTBLANK(일일실시사항!$B922:$K922)&lt;10),"",TRIM(IF(일일실시사항!$B922="","일자 누락; ","")&amp;IF(COUNTIF(코드설정!$C$5:$C$24,일일실시사항!$D922)=0,"담당자 누락; ","")&amp;IF(COUNTIF(코드설정!$G$5:$G$14,일일실시사항!$F922)=0,"업무구분 누락; ","")&amp;IF(AND(일일실시사항!$G922&lt;&gt;"",COUNTIF(사건마스터!$A$5:$A$64,일일실시사항!$G922)=0),"미등록 사건번호; ","")&amp;IF(일일실시사항!$H922="","실시 내용 없음; ","")&amp;IF(COUNTIF(코드설정!$F$5:$F$7,일일실시사항!$J922)=0,"진행상태 누락; ","")))</f>
        <v/>
      </c>
    </row>
    <row r="1955">
      <c r="A1955" s="26" t="inlineStr">
        <is>
          <t>일일실시사항</t>
        </is>
      </c>
      <c r="B1955" s="66" t="n">
        <v>923</v>
      </c>
      <c r="C1955" s="122">
        <f>IF($D1955="","",IFERROR(TEXT(일일실시사항!$B923,"yyyy-mm-dd"),"(날짜없음)")&amp;"  "&amp;일일실시사항!$D923&amp;"  "&amp;일일실시사항!$H923)</f>
        <v/>
      </c>
      <c r="D1955" s="122">
        <f>IF(NOT(COUNTBLANK(일일실시사항!$B923:$K923)&lt;10),"",TRIM(IF(일일실시사항!$B923="","일자 누락; ","")&amp;IF(COUNTIF(코드설정!$C$5:$C$24,일일실시사항!$D923)=0,"담당자 누락; ","")&amp;IF(COUNTIF(코드설정!$G$5:$G$14,일일실시사항!$F923)=0,"업무구분 누락; ","")&amp;IF(AND(일일실시사항!$G923&lt;&gt;"",COUNTIF(사건마스터!$A$5:$A$64,일일실시사항!$G923)=0),"미등록 사건번호; ","")&amp;IF(일일실시사항!$H923="","실시 내용 없음; ","")&amp;IF(COUNTIF(코드설정!$F$5:$F$7,일일실시사항!$J923)=0,"진행상태 누락; ","")))</f>
        <v/>
      </c>
    </row>
    <row r="1956">
      <c r="A1956" s="26" t="inlineStr">
        <is>
          <t>일일실시사항</t>
        </is>
      </c>
      <c r="B1956" s="66" t="n">
        <v>924</v>
      </c>
      <c r="C1956" s="122">
        <f>IF($D1956="","",IFERROR(TEXT(일일실시사항!$B924,"yyyy-mm-dd"),"(날짜없음)")&amp;"  "&amp;일일실시사항!$D924&amp;"  "&amp;일일실시사항!$H924)</f>
        <v/>
      </c>
      <c r="D1956" s="122">
        <f>IF(NOT(COUNTBLANK(일일실시사항!$B924:$K924)&lt;10),"",TRIM(IF(일일실시사항!$B924="","일자 누락; ","")&amp;IF(COUNTIF(코드설정!$C$5:$C$24,일일실시사항!$D924)=0,"담당자 누락; ","")&amp;IF(COUNTIF(코드설정!$G$5:$G$14,일일실시사항!$F924)=0,"업무구분 누락; ","")&amp;IF(AND(일일실시사항!$G924&lt;&gt;"",COUNTIF(사건마스터!$A$5:$A$64,일일실시사항!$G924)=0),"미등록 사건번호; ","")&amp;IF(일일실시사항!$H924="","실시 내용 없음; ","")&amp;IF(COUNTIF(코드설정!$F$5:$F$7,일일실시사항!$J924)=0,"진행상태 누락; ","")))</f>
        <v/>
      </c>
    </row>
    <row r="1957">
      <c r="A1957" s="26" t="inlineStr">
        <is>
          <t>일일실시사항</t>
        </is>
      </c>
      <c r="B1957" s="66" t="n">
        <v>925</v>
      </c>
      <c r="C1957" s="122">
        <f>IF($D1957="","",IFERROR(TEXT(일일실시사항!$B925,"yyyy-mm-dd"),"(날짜없음)")&amp;"  "&amp;일일실시사항!$D925&amp;"  "&amp;일일실시사항!$H925)</f>
        <v/>
      </c>
      <c r="D1957" s="122">
        <f>IF(NOT(COUNTBLANK(일일실시사항!$B925:$K925)&lt;10),"",TRIM(IF(일일실시사항!$B925="","일자 누락; ","")&amp;IF(COUNTIF(코드설정!$C$5:$C$24,일일실시사항!$D925)=0,"담당자 누락; ","")&amp;IF(COUNTIF(코드설정!$G$5:$G$14,일일실시사항!$F925)=0,"업무구분 누락; ","")&amp;IF(AND(일일실시사항!$G925&lt;&gt;"",COUNTIF(사건마스터!$A$5:$A$64,일일실시사항!$G925)=0),"미등록 사건번호; ","")&amp;IF(일일실시사항!$H925="","실시 내용 없음; ","")&amp;IF(COUNTIF(코드설정!$F$5:$F$7,일일실시사항!$J925)=0,"진행상태 누락; ","")))</f>
        <v/>
      </c>
    </row>
    <row r="1958">
      <c r="A1958" s="26" t="inlineStr">
        <is>
          <t>일일실시사항</t>
        </is>
      </c>
      <c r="B1958" s="66" t="n">
        <v>926</v>
      </c>
      <c r="C1958" s="122">
        <f>IF($D1958="","",IFERROR(TEXT(일일실시사항!$B926,"yyyy-mm-dd"),"(날짜없음)")&amp;"  "&amp;일일실시사항!$D926&amp;"  "&amp;일일실시사항!$H926)</f>
        <v/>
      </c>
      <c r="D1958" s="122">
        <f>IF(NOT(COUNTBLANK(일일실시사항!$B926:$K926)&lt;10),"",TRIM(IF(일일실시사항!$B926="","일자 누락; ","")&amp;IF(COUNTIF(코드설정!$C$5:$C$24,일일실시사항!$D926)=0,"담당자 누락; ","")&amp;IF(COUNTIF(코드설정!$G$5:$G$14,일일실시사항!$F926)=0,"업무구분 누락; ","")&amp;IF(AND(일일실시사항!$G926&lt;&gt;"",COUNTIF(사건마스터!$A$5:$A$64,일일실시사항!$G926)=0),"미등록 사건번호; ","")&amp;IF(일일실시사항!$H926="","실시 내용 없음; ","")&amp;IF(COUNTIF(코드설정!$F$5:$F$7,일일실시사항!$J926)=0,"진행상태 누락; ","")))</f>
        <v/>
      </c>
    </row>
    <row r="1959">
      <c r="A1959" s="26" t="inlineStr">
        <is>
          <t>일일실시사항</t>
        </is>
      </c>
      <c r="B1959" s="66" t="n">
        <v>927</v>
      </c>
      <c r="C1959" s="122">
        <f>IF($D1959="","",IFERROR(TEXT(일일실시사항!$B927,"yyyy-mm-dd"),"(날짜없음)")&amp;"  "&amp;일일실시사항!$D927&amp;"  "&amp;일일실시사항!$H927)</f>
        <v/>
      </c>
      <c r="D1959" s="122">
        <f>IF(NOT(COUNTBLANK(일일실시사항!$B927:$K927)&lt;10),"",TRIM(IF(일일실시사항!$B927="","일자 누락; ","")&amp;IF(COUNTIF(코드설정!$C$5:$C$24,일일실시사항!$D927)=0,"담당자 누락; ","")&amp;IF(COUNTIF(코드설정!$G$5:$G$14,일일실시사항!$F927)=0,"업무구분 누락; ","")&amp;IF(AND(일일실시사항!$G927&lt;&gt;"",COUNTIF(사건마스터!$A$5:$A$64,일일실시사항!$G927)=0),"미등록 사건번호; ","")&amp;IF(일일실시사항!$H927="","실시 내용 없음; ","")&amp;IF(COUNTIF(코드설정!$F$5:$F$7,일일실시사항!$J927)=0,"진행상태 누락; ","")))</f>
        <v/>
      </c>
    </row>
    <row r="1960">
      <c r="A1960" s="26" t="inlineStr">
        <is>
          <t>일일실시사항</t>
        </is>
      </c>
      <c r="B1960" s="66" t="n">
        <v>928</v>
      </c>
      <c r="C1960" s="122">
        <f>IF($D1960="","",IFERROR(TEXT(일일실시사항!$B928,"yyyy-mm-dd"),"(날짜없음)")&amp;"  "&amp;일일실시사항!$D928&amp;"  "&amp;일일실시사항!$H928)</f>
        <v/>
      </c>
      <c r="D1960" s="122">
        <f>IF(NOT(COUNTBLANK(일일실시사항!$B928:$K928)&lt;10),"",TRIM(IF(일일실시사항!$B928="","일자 누락; ","")&amp;IF(COUNTIF(코드설정!$C$5:$C$24,일일실시사항!$D928)=0,"담당자 누락; ","")&amp;IF(COUNTIF(코드설정!$G$5:$G$14,일일실시사항!$F928)=0,"업무구분 누락; ","")&amp;IF(AND(일일실시사항!$G928&lt;&gt;"",COUNTIF(사건마스터!$A$5:$A$64,일일실시사항!$G928)=0),"미등록 사건번호; ","")&amp;IF(일일실시사항!$H928="","실시 내용 없음; ","")&amp;IF(COUNTIF(코드설정!$F$5:$F$7,일일실시사항!$J928)=0,"진행상태 누락; ","")))</f>
        <v/>
      </c>
    </row>
    <row r="1961">
      <c r="A1961" s="26" t="inlineStr">
        <is>
          <t>일일실시사항</t>
        </is>
      </c>
      <c r="B1961" s="66" t="n">
        <v>929</v>
      </c>
      <c r="C1961" s="122">
        <f>IF($D1961="","",IFERROR(TEXT(일일실시사항!$B929,"yyyy-mm-dd"),"(날짜없음)")&amp;"  "&amp;일일실시사항!$D929&amp;"  "&amp;일일실시사항!$H929)</f>
        <v/>
      </c>
      <c r="D1961" s="122">
        <f>IF(NOT(COUNTBLANK(일일실시사항!$B929:$K929)&lt;10),"",TRIM(IF(일일실시사항!$B929="","일자 누락; ","")&amp;IF(COUNTIF(코드설정!$C$5:$C$24,일일실시사항!$D929)=0,"담당자 누락; ","")&amp;IF(COUNTIF(코드설정!$G$5:$G$14,일일실시사항!$F929)=0,"업무구분 누락; ","")&amp;IF(AND(일일실시사항!$G929&lt;&gt;"",COUNTIF(사건마스터!$A$5:$A$64,일일실시사항!$G929)=0),"미등록 사건번호; ","")&amp;IF(일일실시사항!$H929="","실시 내용 없음; ","")&amp;IF(COUNTIF(코드설정!$F$5:$F$7,일일실시사항!$J929)=0,"진행상태 누락; ","")))</f>
        <v/>
      </c>
    </row>
    <row r="1962">
      <c r="A1962" s="26" t="inlineStr">
        <is>
          <t>일일실시사항</t>
        </is>
      </c>
      <c r="B1962" s="66" t="n">
        <v>930</v>
      </c>
      <c r="C1962" s="122">
        <f>IF($D1962="","",IFERROR(TEXT(일일실시사항!$B930,"yyyy-mm-dd"),"(날짜없음)")&amp;"  "&amp;일일실시사항!$D930&amp;"  "&amp;일일실시사항!$H930)</f>
        <v/>
      </c>
      <c r="D1962" s="122">
        <f>IF(NOT(COUNTBLANK(일일실시사항!$B930:$K930)&lt;10),"",TRIM(IF(일일실시사항!$B930="","일자 누락; ","")&amp;IF(COUNTIF(코드설정!$C$5:$C$24,일일실시사항!$D930)=0,"담당자 누락; ","")&amp;IF(COUNTIF(코드설정!$G$5:$G$14,일일실시사항!$F930)=0,"업무구분 누락; ","")&amp;IF(AND(일일실시사항!$G930&lt;&gt;"",COUNTIF(사건마스터!$A$5:$A$64,일일실시사항!$G930)=0),"미등록 사건번호; ","")&amp;IF(일일실시사항!$H930="","실시 내용 없음; ","")&amp;IF(COUNTIF(코드설정!$F$5:$F$7,일일실시사항!$J930)=0,"진행상태 누락; ","")))</f>
        <v/>
      </c>
    </row>
    <row r="1963">
      <c r="A1963" s="26" t="inlineStr">
        <is>
          <t>일일실시사항</t>
        </is>
      </c>
      <c r="B1963" s="66" t="n">
        <v>931</v>
      </c>
      <c r="C1963" s="122">
        <f>IF($D1963="","",IFERROR(TEXT(일일실시사항!$B931,"yyyy-mm-dd"),"(날짜없음)")&amp;"  "&amp;일일실시사항!$D931&amp;"  "&amp;일일실시사항!$H931)</f>
        <v/>
      </c>
      <c r="D1963" s="122">
        <f>IF(NOT(COUNTBLANK(일일실시사항!$B931:$K931)&lt;10),"",TRIM(IF(일일실시사항!$B931="","일자 누락; ","")&amp;IF(COUNTIF(코드설정!$C$5:$C$24,일일실시사항!$D931)=0,"담당자 누락; ","")&amp;IF(COUNTIF(코드설정!$G$5:$G$14,일일실시사항!$F931)=0,"업무구분 누락; ","")&amp;IF(AND(일일실시사항!$G931&lt;&gt;"",COUNTIF(사건마스터!$A$5:$A$64,일일실시사항!$G931)=0),"미등록 사건번호; ","")&amp;IF(일일실시사항!$H931="","실시 내용 없음; ","")&amp;IF(COUNTIF(코드설정!$F$5:$F$7,일일실시사항!$J931)=0,"진행상태 누락; ","")))</f>
        <v/>
      </c>
    </row>
    <row r="1964">
      <c r="A1964" s="26" t="inlineStr">
        <is>
          <t>일일실시사항</t>
        </is>
      </c>
      <c r="B1964" s="66" t="n">
        <v>932</v>
      </c>
      <c r="C1964" s="122">
        <f>IF($D1964="","",IFERROR(TEXT(일일실시사항!$B932,"yyyy-mm-dd"),"(날짜없음)")&amp;"  "&amp;일일실시사항!$D932&amp;"  "&amp;일일실시사항!$H932)</f>
        <v/>
      </c>
      <c r="D1964" s="122">
        <f>IF(NOT(COUNTBLANK(일일실시사항!$B932:$K932)&lt;10),"",TRIM(IF(일일실시사항!$B932="","일자 누락; ","")&amp;IF(COUNTIF(코드설정!$C$5:$C$24,일일실시사항!$D932)=0,"담당자 누락; ","")&amp;IF(COUNTIF(코드설정!$G$5:$G$14,일일실시사항!$F932)=0,"업무구분 누락; ","")&amp;IF(AND(일일실시사항!$G932&lt;&gt;"",COUNTIF(사건마스터!$A$5:$A$64,일일실시사항!$G932)=0),"미등록 사건번호; ","")&amp;IF(일일실시사항!$H932="","실시 내용 없음; ","")&amp;IF(COUNTIF(코드설정!$F$5:$F$7,일일실시사항!$J932)=0,"진행상태 누락; ","")))</f>
        <v/>
      </c>
    </row>
    <row r="1965">
      <c r="A1965" s="26" t="inlineStr">
        <is>
          <t>일일실시사항</t>
        </is>
      </c>
      <c r="B1965" s="66" t="n">
        <v>933</v>
      </c>
      <c r="C1965" s="122">
        <f>IF($D1965="","",IFERROR(TEXT(일일실시사항!$B933,"yyyy-mm-dd"),"(날짜없음)")&amp;"  "&amp;일일실시사항!$D933&amp;"  "&amp;일일실시사항!$H933)</f>
        <v/>
      </c>
      <c r="D1965" s="122">
        <f>IF(NOT(COUNTBLANK(일일실시사항!$B933:$K933)&lt;10),"",TRIM(IF(일일실시사항!$B933="","일자 누락; ","")&amp;IF(COUNTIF(코드설정!$C$5:$C$24,일일실시사항!$D933)=0,"담당자 누락; ","")&amp;IF(COUNTIF(코드설정!$G$5:$G$14,일일실시사항!$F933)=0,"업무구분 누락; ","")&amp;IF(AND(일일실시사항!$G933&lt;&gt;"",COUNTIF(사건마스터!$A$5:$A$64,일일실시사항!$G933)=0),"미등록 사건번호; ","")&amp;IF(일일실시사항!$H933="","실시 내용 없음; ","")&amp;IF(COUNTIF(코드설정!$F$5:$F$7,일일실시사항!$J933)=0,"진행상태 누락; ","")))</f>
        <v/>
      </c>
    </row>
    <row r="1966">
      <c r="A1966" s="26" t="inlineStr">
        <is>
          <t>일일실시사항</t>
        </is>
      </c>
      <c r="B1966" s="66" t="n">
        <v>934</v>
      </c>
      <c r="C1966" s="122">
        <f>IF($D1966="","",IFERROR(TEXT(일일실시사항!$B934,"yyyy-mm-dd"),"(날짜없음)")&amp;"  "&amp;일일실시사항!$D934&amp;"  "&amp;일일실시사항!$H934)</f>
        <v/>
      </c>
      <c r="D1966" s="122">
        <f>IF(NOT(COUNTBLANK(일일실시사항!$B934:$K934)&lt;10),"",TRIM(IF(일일실시사항!$B934="","일자 누락; ","")&amp;IF(COUNTIF(코드설정!$C$5:$C$24,일일실시사항!$D934)=0,"담당자 누락; ","")&amp;IF(COUNTIF(코드설정!$G$5:$G$14,일일실시사항!$F934)=0,"업무구분 누락; ","")&amp;IF(AND(일일실시사항!$G934&lt;&gt;"",COUNTIF(사건마스터!$A$5:$A$64,일일실시사항!$G934)=0),"미등록 사건번호; ","")&amp;IF(일일실시사항!$H934="","실시 내용 없음; ","")&amp;IF(COUNTIF(코드설정!$F$5:$F$7,일일실시사항!$J934)=0,"진행상태 누락; ","")))</f>
        <v/>
      </c>
    </row>
    <row r="1967">
      <c r="A1967" s="26" t="inlineStr">
        <is>
          <t>일일실시사항</t>
        </is>
      </c>
      <c r="B1967" s="66" t="n">
        <v>935</v>
      </c>
      <c r="C1967" s="122">
        <f>IF($D1967="","",IFERROR(TEXT(일일실시사항!$B935,"yyyy-mm-dd"),"(날짜없음)")&amp;"  "&amp;일일실시사항!$D935&amp;"  "&amp;일일실시사항!$H935)</f>
        <v/>
      </c>
      <c r="D1967" s="122">
        <f>IF(NOT(COUNTBLANK(일일실시사항!$B935:$K935)&lt;10),"",TRIM(IF(일일실시사항!$B935="","일자 누락; ","")&amp;IF(COUNTIF(코드설정!$C$5:$C$24,일일실시사항!$D935)=0,"담당자 누락; ","")&amp;IF(COUNTIF(코드설정!$G$5:$G$14,일일실시사항!$F935)=0,"업무구분 누락; ","")&amp;IF(AND(일일실시사항!$G935&lt;&gt;"",COUNTIF(사건마스터!$A$5:$A$64,일일실시사항!$G935)=0),"미등록 사건번호; ","")&amp;IF(일일실시사항!$H935="","실시 내용 없음; ","")&amp;IF(COUNTIF(코드설정!$F$5:$F$7,일일실시사항!$J935)=0,"진행상태 누락; ","")))</f>
        <v/>
      </c>
    </row>
    <row r="1968">
      <c r="A1968" s="26" t="inlineStr">
        <is>
          <t>일일실시사항</t>
        </is>
      </c>
      <c r="B1968" s="66" t="n">
        <v>936</v>
      </c>
      <c r="C1968" s="122">
        <f>IF($D1968="","",IFERROR(TEXT(일일실시사항!$B936,"yyyy-mm-dd"),"(날짜없음)")&amp;"  "&amp;일일실시사항!$D936&amp;"  "&amp;일일실시사항!$H936)</f>
        <v/>
      </c>
      <c r="D1968" s="122">
        <f>IF(NOT(COUNTBLANK(일일실시사항!$B936:$K936)&lt;10),"",TRIM(IF(일일실시사항!$B936="","일자 누락; ","")&amp;IF(COUNTIF(코드설정!$C$5:$C$24,일일실시사항!$D936)=0,"담당자 누락; ","")&amp;IF(COUNTIF(코드설정!$G$5:$G$14,일일실시사항!$F936)=0,"업무구분 누락; ","")&amp;IF(AND(일일실시사항!$G936&lt;&gt;"",COUNTIF(사건마스터!$A$5:$A$64,일일실시사항!$G936)=0),"미등록 사건번호; ","")&amp;IF(일일실시사항!$H936="","실시 내용 없음; ","")&amp;IF(COUNTIF(코드설정!$F$5:$F$7,일일실시사항!$J936)=0,"진행상태 누락; ","")))</f>
        <v/>
      </c>
    </row>
    <row r="1969">
      <c r="A1969" s="26" t="inlineStr">
        <is>
          <t>일일실시사항</t>
        </is>
      </c>
      <c r="B1969" s="66" t="n">
        <v>937</v>
      </c>
      <c r="C1969" s="122">
        <f>IF($D1969="","",IFERROR(TEXT(일일실시사항!$B937,"yyyy-mm-dd"),"(날짜없음)")&amp;"  "&amp;일일실시사항!$D937&amp;"  "&amp;일일실시사항!$H937)</f>
        <v/>
      </c>
      <c r="D1969" s="122">
        <f>IF(NOT(COUNTBLANK(일일실시사항!$B937:$K937)&lt;10),"",TRIM(IF(일일실시사항!$B937="","일자 누락; ","")&amp;IF(COUNTIF(코드설정!$C$5:$C$24,일일실시사항!$D937)=0,"담당자 누락; ","")&amp;IF(COUNTIF(코드설정!$G$5:$G$14,일일실시사항!$F937)=0,"업무구분 누락; ","")&amp;IF(AND(일일실시사항!$G937&lt;&gt;"",COUNTIF(사건마스터!$A$5:$A$64,일일실시사항!$G937)=0),"미등록 사건번호; ","")&amp;IF(일일실시사항!$H937="","실시 내용 없음; ","")&amp;IF(COUNTIF(코드설정!$F$5:$F$7,일일실시사항!$J937)=0,"진행상태 누락; ","")))</f>
        <v/>
      </c>
    </row>
    <row r="1970">
      <c r="A1970" s="26" t="inlineStr">
        <is>
          <t>일일실시사항</t>
        </is>
      </c>
      <c r="B1970" s="66" t="n">
        <v>938</v>
      </c>
      <c r="C1970" s="122">
        <f>IF($D1970="","",IFERROR(TEXT(일일실시사항!$B938,"yyyy-mm-dd"),"(날짜없음)")&amp;"  "&amp;일일실시사항!$D938&amp;"  "&amp;일일실시사항!$H938)</f>
        <v/>
      </c>
      <c r="D1970" s="122">
        <f>IF(NOT(COUNTBLANK(일일실시사항!$B938:$K938)&lt;10),"",TRIM(IF(일일실시사항!$B938="","일자 누락; ","")&amp;IF(COUNTIF(코드설정!$C$5:$C$24,일일실시사항!$D938)=0,"담당자 누락; ","")&amp;IF(COUNTIF(코드설정!$G$5:$G$14,일일실시사항!$F938)=0,"업무구분 누락; ","")&amp;IF(AND(일일실시사항!$G938&lt;&gt;"",COUNTIF(사건마스터!$A$5:$A$64,일일실시사항!$G938)=0),"미등록 사건번호; ","")&amp;IF(일일실시사항!$H938="","실시 내용 없음; ","")&amp;IF(COUNTIF(코드설정!$F$5:$F$7,일일실시사항!$J938)=0,"진행상태 누락; ","")))</f>
        <v/>
      </c>
    </row>
    <row r="1971">
      <c r="A1971" s="26" t="inlineStr">
        <is>
          <t>일일실시사항</t>
        </is>
      </c>
      <c r="B1971" s="66" t="n">
        <v>939</v>
      </c>
      <c r="C1971" s="122">
        <f>IF($D1971="","",IFERROR(TEXT(일일실시사항!$B939,"yyyy-mm-dd"),"(날짜없음)")&amp;"  "&amp;일일실시사항!$D939&amp;"  "&amp;일일실시사항!$H939)</f>
        <v/>
      </c>
      <c r="D1971" s="122">
        <f>IF(NOT(COUNTBLANK(일일실시사항!$B939:$K939)&lt;10),"",TRIM(IF(일일실시사항!$B939="","일자 누락; ","")&amp;IF(COUNTIF(코드설정!$C$5:$C$24,일일실시사항!$D939)=0,"담당자 누락; ","")&amp;IF(COUNTIF(코드설정!$G$5:$G$14,일일실시사항!$F939)=0,"업무구분 누락; ","")&amp;IF(AND(일일실시사항!$G939&lt;&gt;"",COUNTIF(사건마스터!$A$5:$A$64,일일실시사항!$G939)=0),"미등록 사건번호; ","")&amp;IF(일일실시사항!$H939="","실시 내용 없음; ","")&amp;IF(COUNTIF(코드설정!$F$5:$F$7,일일실시사항!$J939)=0,"진행상태 누락; ","")))</f>
        <v/>
      </c>
    </row>
    <row r="1972">
      <c r="A1972" s="26" t="inlineStr">
        <is>
          <t>일일실시사항</t>
        </is>
      </c>
      <c r="B1972" s="66" t="n">
        <v>940</v>
      </c>
      <c r="C1972" s="122">
        <f>IF($D1972="","",IFERROR(TEXT(일일실시사항!$B940,"yyyy-mm-dd"),"(날짜없음)")&amp;"  "&amp;일일실시사항!$D940&amp;"  "&amp;일일실시사항!$H940)</f>
        <v/>
      </c>
      <c r="D1972" s="122">
        <f>IF(NOT(COUNTBLANK(일일실시사항!$B940:$K940)&lt;10),"",TRIM(IF(일일실시사항!$B940="","일자 누락; ","")&amp;IF(COUNTIF(코드설정!$C$5:$C$24,일일실시사항!$D940)=0,"담당자 누락; ","")&amp;IF(COUNTIF(코드설정!$G$5:$G$14,일일실시사항!$F940)=0,"업무구분 누락; ","")&amp;IF(AND(일일실시사항!$G940&lt;&gt;"",COUNTIF(사건마스터!$A$5:$A$64,일일실시사항!$G940)=0),"미등록 사건번호; ","")&amp;IF(일일실시사항!$H940="","실시 내용 없음; ","")&amp;IF(COUNTIF(코드설정!$F$5:$F$7,일일실시사항!$J940)=0,"진행상태 누락; ","")))</f>
        <v/>
      </c>
    </row>
    <row r="1973">
      <c r="A1973" s="26" t="inlineStr">
        <is>
          <t>일일실시사항</t>
        </is>
      </c>
      <c r="B1973" s="66" t="n">
        <v>941</v>
      </c>
      <c r="C1973" s="122">
        <f>IF($D1973="","",IFERROR(TEXT(일일실시사항!$B941,"yyyy-mm-dd"),"(날짜없음)")&amp;"  "&amp;일일실시사항!$D941&amp;"  "&amp;일일실시사항!$H941)</f>
        <v/>
      </c>
      <c r="D1973" s="122">
        <f>IF(NOT(COUNTBLANK(일일실시사항!$B941:$K941)&lt;10),"",TRIM(IF(일일실시사항!$B941="","일자 누락; ","")&amp;IF(COUNTIF(코드설정!$C$5:$C$24,일일실시사항!$D941)=0,"담당자 누락; ","")&amp;IF(COUNTIF(코드설정!$G$5:$G$14,일일실시사항!$F941)=0,"업무구분 누락; ","")&amp;IF(AND(일일실시사항!$G941&lt;&gt;"",COUNTIF(사건마스터!$A$5:$A$64,일일실시사항!$G941)=0),"미등록 사건번호; ","")&amp;IF(일일실시사항!$H941="","실시 내용 없음; ","")&amp;IF(COUNTIF(코드설정!$F$5:$F$7,일일실시사항!$J941)=0,"진행상태 누락; ","")))</f>
        <v/>
      </c>
    </row>
    <row r="1974">
      <c r="A1974" s="26" t="inlineStr">
        <is>
          <t>일일실시사항</t>
        </is>
      </c>
      <c r="B1974" s="66" t="n">
        <v>942</v>
      </c>
      <c r="C1974" s="122">
        <f>IF($D1974="","",IFERROR(TEXT(일일실시사항!$B942,"yyyy-mm-dd"),"(날짜없음)")&amp;"  "&amp;일일실시사항!$D942&amp;"  "&amp;일일실시사항!$H942)</f>
        <v/>
      </c>
      <c r="D1974" s="122">
        <f>IF(NOT(COUNTBLANK(일일실시사항!$B942:$K942)&lt;10),"",TRIM(IF(일일실시사항!$B942="","일자 누락; ","")&amp;IF(COUNTIF(코드설정!$C$5:$C$24,일일실시사항!$D942)=0,"담당자 누락; ","")&amp;IF(COUNTIF(코드설정!$G$5:$G$14,일일실시사항!$F942)=0,"업무구분 누락; ","")&amp;IF(AND(일일실시사항!$G942&lt;&gt;"",COUNTIF(사건마스터!$A$5:$A$64,일일실시사항!$G942)=0),"미등록 사건번호; ","")&amp;IF(일일실시사항!$H942="","실시 내용 없음; ","")&amp;IF(COUNTIF(코드설정!$F$5:$F$7,일일실시사항!$J942)=0,"진행상태 누락; ","")))</f>
        <v/>
      </c>
    </row>
    <row r="1975">
      <c r="A1975" s="26" t="inlineStr">
        <is>
          <t>일일실시사항</t>
        </is>
      </c>
      <c r="B1975" s="66" t="n">
        <v>943</v>
      </c>
      <c r="C1975" s="122">
        <f>IF($D1975="","",IFERROR(TEXT(일일실시사항!$B943,"yyyy-mm-dd"),"(날짜없음)")&amp;"  "&amp;일일실시사항!$D943&amp;"  "&amp;일일실시사항!$H943)</f>
        <v/>
      </c>
      <c r="D1975" s="122">
        <f>IF(NOT(COUNTBLANK(일일실시사항!$B943:$K943)&lt;10),"",TRIM(IF(일일실시사항!$B943="","일자 누락; ","")&amp;IF(COUNTIF(코드설정!$C$5:$C$24,일일실시사항!$D943)=0,"담당자 누락; ","")&amp;IF(COUNTIF(코드설정!$G$5:$G$14,일일실시사항!$F943)=0,"업무구분 누락; ","")&amp;IF(AND(일일실시사항!$G943&lt;&gt;"",COUNTIF(사건마스터!$A$5:$A$64,일일실시사항!$G943)=0),"미등록 사건번호; ","")&amp;IF(일일실시사항!$H943="","실시 내용 없음; ","")&amp;IF(COUNTIF(코드설정!$F$5:$F$7,일일실시사항!$J943)=0,"진행상태 누락; ","")))</f>
        <v/>
      </c>
    </row>
    <row r="1976">
      <c r="A1976" s="26" t="inlineStr">
        <is>
          <t>일일실시사항</t>
        </is>
      </c>
      <c r="B1976" s="66" t="n">
        <v>944</v>
      </c>
      <c r="C1976" s="122">
        <f>IF($D1976="","",IFERROR(TEXT(일일실시사항!$B944,"yyyy-mm-dd"),"(날짜없음)")&amp;"  "&amp;일일실시사항!$D944&amp;"  "&amp;일일실시사항!$H944)</f>
        <v/>
      </c>
      <c r="D1976" s="122">
        <f>IF(NOT(COUNTBLANK(일일실시사항!$B944:$K944)&lt;10),"",TRIM(IF(일일실시사항!$B944="","일자 누락; ","")&amp;IF(COUNTIF(코드설정!$C$5:$C$24,일일실시사항!$D944)=0,"담당자 누락; ","")&amp;IF(COUNTIF(코드설정!$G$5:$G$14,일일실시사항!$F944)=0,"업무구분 누락; ","")&amp;IF(AND(일일실시사항!$G944&lt;&gt;"",COUNTIF(사건마스터!$A$5:$A$64,일일실시사항!$G944)=0),"미등록 사건번호; ","")&amp;IF(일일실시사항!$H944="","실시 내용 없음; ","")&amp;IF(COUNTIF(코드설정!$F$5:$F$7,일일실시사항!$J944)=0,"진행상태 누락; ","")))</f>
        <v/>
      </c>
    </row>
    <row r="1977">
      <c r="A1977" s="26" t="inlineStr">
        <is>
          <t>일일실시사항</t>
        </is>
      </c>
      <c r="B1977" s="66" t="n">
        <v>945</v>
      </c>
      <c r="C1977" s="122">
        <f>IF($D1977="","",IFERROR(TEXT(일일실시사항!$B945,"yyyy-mm-dd"),"(날짜없음)")&amp;"  "&amp;일일실시사항!$D945&amp;"  "&amp;일일실시사항!$H945)</f>
        <v/>
      </c>
      <c r="D1977" s="122">
        <f>IF(NOT(COUNTBLANK(일일실시사항!$B945:$K945)&lt;10),"",TRIM(IF(일일실시사항!$B945="","일자 누락; ","")&amp;IF(COUNTIF(코드설정!$C$5:$C$24,일일실시사항!$D945)=0,"담당자 누락; ","")&amp;IF(COUNTIF(코드설정!$G$5:$G$14,일일실시사항!$F945)=0,"업무구분 누락; ","")&amp;IF(AND(일일실시사항!$G945&lt;&gt;"",COUNTIF(사건마스터!$A$5:$A$64,일일실시사항!$G945)=0),"미등록 사건번호; ","")&amp;IF(일일실시사항!$H945="","실시 내용 없음; ","")&amp;IF(COUNTIF(코드설정!$F$5:$F$7,일일실시사항!$J945)=0,"진행상태 누락; ","")))</f>
        <v/>
      </c>
    </row>
    <row r="1978">
      <c r="A1978" s="26" t="inlineStr">
        <is>
          <t>일일실시사항</t>
        </is>
      </c>
      <c r="B1978" s="66" t="n">
        <v>946</v>
      </c>
      <c r="C1978" s="122">
        <f>IF($D1978="","",IFERROR(TEXT(일일실시사항!$B946,"yyyy-mm-dd"),"(날짜없음)")&amp;"  "&amp;일일실시사항!$D946&amp;"  "&amp;일일실시사항!$H946)</f>
        <v/>
      </c>
      <c r="D1978" s="122">
        <f>IF(NOT(COUNTBLANK(일일실시사항!$B946:$K946)&lt;10),"",TRIM(IF(일일실시사항!$B946="","일자 누락; ","")&amp;IF(COUNTIF(코드설정!$C$5:$C$24,일일실시사항!$D946)=0,"담당자 누락; ","")&amp;IF(COUNTIF(코드설정!$G$5:$G$14,일일실시사항!$F946)=0,"업무구분 누락; ","")&amp;IF(AND(일일실시사항!$G946&lt;&gt;"",COUNTIF(사건마스터!$A$5:$A$64,일일실시사항!$G946)=0),"미등록 사건번호; ","")&amp;IF(일일실시사항!$H946="","실시 내용 없음; ","")&amp;IF(COUNTIF(코드설정!$F$5:$F$7,일일실시사항!$J946)=0,"진행상태 누락; ","")))</f>
        <v/>
      </c>
    </row>
    <row r="1979">
      <c r="A1979" s="26" t="inlineStr">
        <is>
          <t>일일실시사항</t>
        </is>
      </c>
      <c r="B1979" s="66" t="n">
        <v>947</v>
      </c>
      <c r="C1979" s="122">
        <f>IF($D1979="","",IFERROR(TEXT(일일실시사항!$B947,"yyyy-mm-dd"),"(날짜없음)")&amp;"  "&amp;일일실시사항!$D947&amp;"  "&amp;일일실시사항!$H947)</f>
        <v/>
      </c>
      <c r="D1979" s="122">
        <f>IF(NOT(COUNTBLANK(일일실시사항!$B947:$K947)&lt;10),"",TRIM(IF(일일실시사항!$B947="","일자 누락; ","")&amp;IF(COUNTIF(코드설정!$C$5:$C$24,일일실시사항!$D947)=0,"담당자 누락; ","")&amp;IF(COUNTIF(코드설정!$G$5:$G$14,일일실시사항!$F947)=0,"업무구분 누락; ","")&amp;IF(AND(일일실시사항!$G947&lt;&gt;"",COUNTIF(사건마스터!$A$5:$A$64,일일실시사항!$G947)=0),"미등록 사건번호; ","")&amp;IF(일일실시사항!$H947="","실시 내용 없음; ","")&amp;IF(COUNTIF(코드설정!$F$5:$F$7,일일실시사항!$J947)=0,"진행상태 누락; ","")))</f>
        <v/>
      </c>
    </row>
    <row r="1980">
      <c r="A1980" s="26" t="inlineStr">
        <is>
          <t>일일실시사항</t>
        </is>
      </c>
      <c r="B1980" s="66" t="n">
        <v>948</v>
      </c>
      <c r="C1980" s="122">
        <f>IF($D1980="","",IFERROR(TEXT(일일실시사항!$B948,"yyyy-mm-dd"),"(날짜없음)")&amp;"  "&amp;일일실시사항!$D948&amp;"  "&amp;일일실시사항!$H948)</f>
        <v/>
      </c>
      <c r="D1980" s="122">
        <f>IF(NOT(COUNTBLANK(일일실시사항!$B948:$K948)&lt;10),"",TRIM(IF(일일실시사항!$B948="","일자 누락; ","")&amp;IF(COUNTIF(코드설정!$C$5:$C$24,일일실시사항!$D948)=0,"담당자 누락; ","")&amp;IF(COUNTIF(코드설정!$G$5:$G$14,일일실시사항!$F948)=0,"업무구분 누락; ","")&amp;IF(AND(일일실시사항!$G948&lt;&gt;"",COUNTIF(사건마스터!$A$5:$A$64,일일실시사항!$G948)=0),"미등록 사건번호; ","")&amp;IF(일일실시사항!$H948="","실시 내용 없음; ","")&amp;IF(COUNTIF(코드설정!$F$5:$F$7,일일실시사항!$J948)=0,"진행상태 누락; ","")))</f>
        <v/>
      </c>
    </row>
    <row r="1981">
      <c r="A1981" s="26" t="inlineStr">
        <is>
          <t>일일실시사항</t>
        </is>
      </c>
      <c r="B1981" s="66" t="n">
        <v>949</v>
      </c>
      <c r="C1981" s="122">
        <f>IF($D1981="","",IFERROR(TEXT(일일실시사항!$B949,"yyyy-mm-dd"),"(날짜없음)")&amp;"  "&amp;일일실시사항!$D949&amp;"  "&amp;일일실시사항!$H949)</f>
        <v/>
      </c>
      <c r="D1981" s="122">
        <f>IF(NOT(COUNTBLANK(일일실시사항!$B949:$K949)&lt;10),"",TRIM(IF(일일실시사항!$B949="","일자 누락; ","")&amp;IF(COUNTIF(코드설정!$C$5:$C$24,일일실시사항!$D949)=0,"담당자 누락; ","")&amp;IF(COUNTIF(코드설정!$G$5:$G$14,일일실시사항!$F949)=0,"업무구분 누락; ","")&amp;IF(AND(일일실시사항!$G949&lt;&gt;"",COUNTIF(사건마스터!$A$5:$A$64,일일실시사항!$G949)=0),"미등록 사건번호; ","")&amp;IF(일일실시사항!$H949="","실시 내용 없음; ","")&amp;IF(COUNTIF(코드설정!$F$5:$F$7,일일실시사항!$J949)=0,"진행상태 누락; ","")))</f>
        <v/>
      </c>
    </row>
    <row r="1982">
      <c r="A1982" s="26" t="inlineStr">
        <is>
          <t>일일실시사항</t>
        </is>
      </c>
      <c r="B1982" s="66" t="n">
        <v>950</v>
      </c>
      <c r="C1982" s="122">
        <f>IF($D1982="","",IFERROR(TEXT(일일실시사항!$B950,"yyyy-mm-dd"),"(날짜없음)")&amp;"  "&amp;일일실시사항!$D950&amp;"  "&amp;일일실시사항!$H950)</f>
        <v/>
      </c>
      <c r="D1982" s="122">
        <f>IF(NOT(COUNTBLANK(일일실시사항!$B950:$K950)&lt;10),"",TRIM(IF(일일실시사항!$B950="","일자 누락; ","")&amp;IF(COUNTIF(코드설정!$C$5:$C$24,일일실시사항!$D950)=0,"담당자 누락; ","")&amp;IF(COUNTIF(코드설정!$G$5:$G$14,일일실시사항!$F950)=0,"업무구분 누락; ","")&amp;IF(AND(일일실시사항!$G950&lt;&gt;"",COUNTIF(사건마스터!$A$5:$A$64,일일실시사항!$G950)=0),"미등록 사건번호; ","")&amp;IF(일일실시사항!$H950="","실시 내용 없음; ","")&amp;IF(COUNTIF(코드설정!$F$5:$F$7,일일실시사항!$J950)=0,"진행상태 누락; ","")))</f>
        <v/>
      </c>
    </row>
    <row r="1983">
      <c r="A1983" s="26" t="inlineStr">
        <is>
          <t>일일실시사항</t>
        </is>
      </c>
      <c r="B1983" s="66" t="n">
        <v>951</v>
      </c>
      <c r="C1983" s="122">
        <f>IF($D1983="","",IFERROR(TEXT(일일실시사항!$B951,"yyyy-mm-dd"),"(날짜없음)")&amp;"  "&amp;일일실시사항!$D951&amp;"  "&amp;일일실시사항!$H951)</f>
        <v/>
      </c>
      <c r="D1983" s="122">
        <f>IF(NOT(COUNTBLANK(일일실시사항!$B951:$K951)&lt;10),"",TRIM(IF(일일실시사항!$B951="","일자 누락; ","")&amp;IF(COUNTIF(코드설정!$C$5:$C$24,일일실시사항!$D951)=0,"담당자 누락; ","")&amp;IF(COUNTIF(코드설정!$G$5:$G$14,일일실시사항!$F951)=0,"업무구분 누락; ","")&amp;IF(AND(일일실시사항!$G951&lt;&gt;"",COUNTIF(사건마스터!$A$5:$A$64,일일실시사항!$G951)=0),"미등록 사건번호; ","")&amp;IF(일일실시사항!$H951="","실시 내용 없음; ","")&amp;IF(COUNTIF(코드설정!$F$5:$F$7,일일실시사항!$J951)=0,"진행상태 누락; ","")))</f>
        <v/>
      </c>
    </row>
    <row r="1984">
      <c r="A1984" s="26" t="inlineStr">
        <is>
          <t>일일실시사항</t>
        </is>
      </c>
      <c r="B1984" s="66" t="n">
        <v>952</v>
      </c>
      <c r="C1984" s="122">
        <f>IF($D1984="","",IFERROR(TEXT(일일실시사항!$B952,"yyyy-mm-dd"),"(날짜없음)")&amp;"  "&amp;일일실시사항!$D952&amp;"  "&amp;일일실시사항!$H952)</f>
        <v/>
      </c>
      <c r="D1984" s="122">
        <f>IF(NOT(COUNTBLANK(일일실시사항!$B952:$K952)&lt;10),"",TRIM(IF(일일실시사항!$B952="","일자 누락; ","")&amp;IF(COUNTIF(코드설정!$C$5:$C$24,일일실시사항!$D952)=0,"담당자 누락; ","")&amp;IF(COUNTIF(코드설정!$G$5:$G$14,일일실시사항!$F952)=0,"업무구분 누락; ","")&amp;IF(AND(일일실시사항!$G952&lt;&gt;"",COUNTIF(사건마스터!$A$5:$A$64,일일실시사항!$G952)=0),"미등록 사건번호; ","")&amp;IF(일일실시사항!$H952="","실시 내용 없음; ","")&amp;IF(COUNTIF(코드설정!$F$5:$F$7,일일실시사항!$J952)=0,"진행상태 누락; ","")))</f>
        <v/>
      </c>
    </row>
    <row r="1985">
      <c r="A1985" s="26" t="inlineStr">
        <is>
          <t>일일실시사항</t>
        </is>
      </c>
      <c r="B1985" s="66" t="n">
        <v>953</v>
      </c>
      <c r="C1985" s="122">
        <f>IF($D1985="","",IFERROR(TEXT(일일실시사항!$B953,"yyyy-mm-dd"),"(날짜없음)")&amp;"  "&amp;일일실시사항!$D953&amp;"  "&amp;일일실시사항!$H953)</f>
        <v/>
      </c>
      <c r="D1985" s="122">
        <f>IF(NOT(COUNTBLANK(일일실시사항!$B953:$K953)&lt;10),"",TRIM(IF(일일실시사항!$B953="","일자 누락; ","")&amp;IF(COUNTIF(코드설정!$C$5:$C$24,일일실시사항!$D953)=0,"담당자 누락; ","")&amp;IF(COUNTIF(코드설정!$G$5:$G$14,일일실시사항!$F953)=0,"업무구분 누락; ","")&amp;IF(AND(일일실시사항!$G953&lt;&gt;"",COUNTIF(사건마스터!$A$5:$A$64,일일실시사항!$G953)=0),"미등록 사건번호; ","")&amp;IF(일일실시사항!$H953="","실시 내용 없음; ","")&amp;IF(COUNTIF(코드설정!$F$5:$F$7,일일실시사항!$J953)=0,"진행상태 누락; ","")))</f>
        <v/>
      </c>
    </row>
    <row r="1986">
      <c r="A1986" s="26" t="inlineStr">
        <is>
          <t>일일실시사항</t>
        </is>
      </c>
      <c r="B1986" s="66" t="n">
        <v>954</v>
      </c>
      <c r="C1986" s="122">
        <f>IF($D1986="","",IFERROR(TEXT(일일실시사항!$B954,"yyyy-mm-dd"),"(날짜없음)")&amp;"  "&amp;일일실시사항!$D954&amp;"  "&amp;일일실시사항!$H954)</f>
        <v/>
      </c>
      <c r="D1986" s="122">
        <f>IF(NOT(COUNTBLANK(일일실시사항!$B954:$K954)&lt;10),"",TRIM(IF(일일실시사항!$B954="","일자 누락; ","")&amp;IF(COUNTIF(코드설정!$C$5:$C$24,일일실시사항!$D954)=0,"담당자 누락; ","")&amp;IF(COUNTIF(코드설정!$G$5:$G$14,일일실시사항!$F954)=0,"업무구분 누락; ","")&amp;IF(AND(일일실시사항!$G954&lt;&gt;"",COUNTIF(사건마스터!$A$5:$A$64,일일실시사항!$G954)=0),"미등록 사건번호; ","")&amp;IF(일일실시사항!$H954="","실시 내용 없음; ","")&amp;IF(COUNTIF(코드설정!$F$5:$F$7,일일실시사항!$J954)=0,"진행상태 누락; ","")))</f>
        <v/>
      </c>
    </row>
    <row r="1987">
      <c r="A1987" s="26" t="inlineStr">
        <is>
          <t>일일실시사항</t>
        </is>
      </c>
      <c r="B1987" s="66" t="n">
        <v>955</v>
      </c>
      <c r="C1987" s="122">
        <f>IF($D1987="","",IFERROR(TEXT(일일실시사항!$B955,"yyyy-mm-dd"),"(날짜없음)")&amp;"  "&amp;일일실시사항!$D955&amp;"  "&amp;일일실시사항!$H955)</f>
        <v/>
      </c>
      <c r="D1987" s="122">
        <f>IF(NOT(COUNTBLANK(일일실시사항!$B955:$K955)&lt;10),"",TRIM(IF(일일실시사항!$B955="","일자 누락; ","")&amp;IF(COUNTIF(코드설정!$C$5:$C$24,일일실시사항!$D955)=0,"담당자 누락; ","")&amp;IF(COUNTIF(코드설정!$G$5:$G$14,일일실시사항!$F955)=0,"업무구분 누락; ","")&amp;IF(AND(일일실시사항!$G955&lt;&gt;"",COUNTIF(사건마스터!$A$5:$A$64,일일실시사항!$G955)=0),"미등록 사건번호; ","")&amp;IF(일일실시사항!$H955="","실시 내용 없음; ","")&amp;IF(COUNTIF(코드설정!$F$5:$F$7,일일실시사항!$J955)=0,"진행상태 누락; ","")))</f>
        <v/>
      </c>
    </row>
    <row r="1988">
      <c r="A1988" s="26" t="inlineStr">
        <is>
          <t>일일실시사항</t>
        </is>
      </c>
      <c r="B1988" s="66" t="n">
        <v>956</v>
      </c>
      <c r="C1988" s="122">
        <f>IF($D1988="","",IFERROR(TEXT(일일실시사항!$B956,"yyyy-mm-dd"),"(날짜없음)")&amp;"  "&amp;일일실시사항!$D956&amp;"  "&amp;일일실시사항!$H956)</f>
        <v/>
      </c>
      <c r="D1988" s="122">
        <f>IF(NOT(COUNTBLANK(일일실시사항!$B956:$K956)&lt;10),"",TRIM(IF(일일실시사항!$B956="","일자 누락; ","")&amp;IF(COUNTIF(코드설정!$C$5:$C$24,일일실시사항!$D956)=0,"담당자 누락; ","")&amp;IF(COUNTIF(코드설정!$G$5:$G$14,일일실시사항!$F956)=0,"업무구분 누락; ","")&amp;IF(AND(일일실시사항!$G956&lt;&gt;"",COUNTIF(사건마스터!$A$5:$A$64,일일실시사항!$G956)=0),"미등록 사건번호; ","")&amp;IF(일일실시사항!$H956="","실시 내용 없음; ","")&amp;IF(COUNTIF(코드설정!$F$5:$F$7,일일실시사항!$J956)=0,"진행상태 누락; ","")))</f>
        <v/>
      </c>
    </row>
    <row r="1989">
      <c r="A1989" s="26" t="inlineStr">
        <is>
          <t>일일실시사항</t>
        </is>
      </c>
      <c r="B1989" s="66" t="n">
        <v>957</v>
      </c>
      <c r="C1989" s="122">
        <f>IF($D1989="","",IFERROR(TEXT(일일실시사항!$B957,"yyyy-mm-dd"),"(날짜없음)")&amp;"  "&amp;일일실시사항!$D957&amp;"  "&amp;일일실시사항!$H957)</f>
        <v/>
      </c>
      <c r="D1989" s="122">
        <f>IF(NOT(COUNTBLANK(일일실시사항!$B957:$K957)&lt;10),"",TRIM(IF(일일실시사항!$B957="","일자 누락; ","")&amp;IF(COUNTIF(코드설정!$C$5:$C$24,일일실시사항!$D957)=0,"담당자 누락; ","")&amp;IF(COUNTIF(코드설정!$G$5:$G$14,일일실시사항!$F957)=0,"업무구분 누락; ","")&amp;IF(AND(일일실시사항!$G957&lt;&gt;"",COUNTIF(사건마스터!$A$5:$A$64,일일실시사항!$G957)=0),"미등록 사건번호; ","")&amp;IF(일일실시사항!$H957="","실시 내용 없음; ","")&amp;IF(COUNTIF(코드설정!$F$5:$F$7,일일실시사항!$J957)=0,"진행상태 누락; ","")))</f>
        <v/>
      </c>
    </row>
    <row r="1990">
      <c r="A1990" s="26" t="inlineStr">
        <is>
          <t>일일실시사항</t>
        </is>
      </c>
      <c r="B1990" s="66" t="n">
        <v>958</v>
      </c>
      <c r="C1990" s="122">
        <f>IF($D1990="","",IFERROR(TEXT(일일실시사항!$B958,"yyyy-mm-dd"),"(날짜없음)")&amp;"  "&amp;일일실시사항!$D958&amp;"  "&amp;일일실시사항!$H958)</f>
        <v/>
      </c>
      <c r="D1990" s="122">
        <f>IF(NOT(COUNTBLANK(일일실시사항!$B958:$K958)&lt;10),"",TRIM(IF(일일실시사항!$B958="","일자 누락; ","")&amp;IF(COUNTIF(코드설정!$C$5:$C$24,일일실시사항!$D958)=0,"담당자 누락; ","")&amp;IF(COUNTIF(코드설정!$G$5:$G$14,일일실시사항!$F958)=0,"업무구분 누락; ","")&amp;IF(AND(일일실시사항!$G958&lt;&gt;"",COUNTIF(사건마스터!$A$5:$A$64,일일실시사항!$G958)=0),"미등록 사건번호; ","")&amp;IF(일일실시사항!$H958="","실시 내용 없음; ","")&amp;IF(COUNTIF(코드설정!$F$5:$F$7,일일실시사항!$J958)=0,"진행상태 누락; ","")))</f>
        <v/>
      </c>
    </row>
    <row r="1991">
      <c r="A1991" s="26" t="inlineStr">
        <is>
          <t>일일실시사항</t>
        </is>
      </c>
      <c r="B1991" s="66" t="n">
        <v>959</v>
      </c>
      <c r="C1991" s="122">
        <f>IF($D1991="","",IFERROR(TEXT(일일실시사항!$B959,"yyyy-mm-dd"),"(날짜없음)")&amp;"  "&amp;일일실시사항!$D959&amp;"  "&amp;일일실시사항!$H959)</f>
        <v/>
      </c>
      <c r="D1991" s="122">
        <f>IF(NOT(COUNTBLANK(일일실시사항!$B959:$K959)&lt;10),"",TRIM(IF(일일실시사항!$B959="","일자 누락; ","")&amp;IF(COUNTIF(코드설정!$C$5:$C$24,일일실시사항!$D959)=0,"담당자 누락; ","")&amp;IF(COUNTIF(코드설정!$G$5:$G$14,일일실시사항!$F959)=0,"업무구분 누락; ","")&amp;IF(AND(일일실시사항!$G959&lt;&gt;"",COUNTIF(사건마스터!$A$5:$A$64,일일실시사항!$G959)=0),"미등록 사건번호; ","")&amp;IF(일일실시사항!$H959="","실시 내용 없음; ","")&amp;IF(COUNTIF(코드설정!$F$5:$F$7,일일실시사항!$J959)=0,"진행상태 누락; ","")))</f>
        <v/>
      </c>
    </row>
    <row r="1992">
      <c r="A1992" s="26" t="inlineStr">
        <is>
          <t>일일실시사항</t>
        </is>
      </c>
      <c r="B1992" s="66" t="n">
        <v>960</v>
      </c>
      <c r="C1992" s="122">
        <f>IF($D1992="","",IFERROR(TEXT(일일실시사항!$B960,"yyyy-mm-dd"),"(날짜없음)")&amp;"  "&amp;일일실시사항!$D960&amp;"  "&amp;일일실시사항!$H960)</f>
        <v/>
      </c>
      <c r="D1992" s="122">
        <f>IF(NOT(COUNTBLANK(일일실시사항!$B960:$K960)&lt;10),"",TRIM(IF(일일실시사항!$B960="","일자 누락; ","")&amp;IF(COUNTIF(코드설정!$C$5:$C$24,일일실시사항!$D960)=0,"담당자 누락; ","")&amp;IF(COUNTIF(코드설정!$G$5:$G$14,일일실시사항!$F960)=0,"업무구분 누락; ","")&amp;IF(AND(일일실시사항!$G960&lt;&gt;"",COUNTIF(사건마스터!$A$5:$A$64,일일실시사항!$G960)=0),"미등록 사건번호; ","")&amp;IF(일일실시사항!$H960="","실시 내용 없음; ","")&amp;IF(COUNTIF(코드설정!$F$5:$F$7,일일실시사항!$J960)=0,"진행상태 누락; ","")))</f>
        <v/>
      </c>
    </row>
    <row r="1993">
      <c r="A1993" s="26" t="inlineStr">
        <is>
          <t>일일실시사항</t>
        </is>
      </c>
      <c r="B1993" s="66" t="n">
        <v>961</v>
      </c>
      <c r="C1993" s="122">
        <f>IF($D1993="","",IFERROR(TEXT(일일실시사항!$B961,"yyyy-mm-dd"),"(날짜없음)")&amp;"  "&amp;일일실시사항!$D961&amp;"  "&amp;일일실시사항!$H961)</f>
        <v/>
      </c>
      <c r="D1993" s="122">
        <f>IF(NOT(COUNTBLANK(일일실시사항!$B961:$K961)&lt;10),"",TRIM(IF(일일실시사항!$B961="","일자 누락; ","")&amp;IF(COUNTIF(코드설정!$C$5:$C$24,일일실시사항!$D961)=0,"담당자 누락; ","")&amp;IF(COUNTIF(코드설정!$G$5:$G$14,일일실시사항!$F961)=0,"업무구분 누락; ","")&amp;IF(AND(일일실시사항!$G961&lt;&gt;"",COUNTIF(사건마스터!$A$5:$A$64,일일실시사항!$G961)=0),"미등록 사건번호; ","")&amp;IF(일일실시사항!$H961="","실시 내용 없음; ","")&amp;IF(COUNTIF(코드설정!$F$5:$F$7,일일실시사항!$J961)=0,"진행상태 누락; ","")))</f>
        <v/>
      </c>
    </row>
    <row r="1994">
      <c r="A1994" s="26" t="inlineStr">
        <is>
          <t>일일실시사항</t>
        </is>
      </c>
      <c r="B1994" s="66" t="n">
        <v>962</v>
      </c>
      <c r="C1994" s="122">
        <f>IF($D1994="","",IFERROR(TEXT(일일실시사항!$B962,"yyyy-mm-dd"),"(날짜없음)")&amp;"  "&amp;일일실시사항!$D962&amp;"  "&amp;일일실시사항!$H962)</f>
        <v/>
      </c>
      <c r="D1994" s="122">
        <f>IF(NOT(COUNTBLANK(일일실시사항!$B962:$K962)&lt;10),"",TRIM(IF(일일실시사항!$B962="","일자 누락; ","")&amp;IF(COUNTIF(코드설정!$C$5:$C$24,일일실시사항!$D962)=0,"담당자 누락; ","")&amp;IF(COUNTIF(코드설정!$G$5:$G$14,일일실시사항!$F962)=0,"업무구분 누락; ","")&amp;IF(AND(일일실시사항!$G962&lt;&gt;"",COUNTIF(사건마스터!$A$5:$A$64,일일실시사항!$G962)=0),"미등록 사건번호; ","")&amp;IF(일일실시사항!$H962="","실시 내용 없음; ","")&amp;IF(COUNTIF(코드설정!$F$5:$F$7,일일실시사항!$J962)=0,"진행상태 누락; ","")))</f>
        <v/>
      </c>
    </row>
    <row r="1995">
      <c r="A1995" s="26" t="inlineStr">
        <is>
          <t>일일실시사항</t>
        </is>
      </c>
      <c r="B1995" s="66" t="n">
        <v>963</v>
      </c>
      <c r="C1995" s="122">
        <f>IF($D1995="","",IFERROR(TEXT(일일실시사항!$B963,"yyyy-mm-dd"),"(날짜없음)")&amp;"  "&amp;일일실시사항!$D963&amp;"  "&amp;일일실시사항!$H963)</f>
        <v/>
      </c>
      <c r="D1995" s="122">
        <f>IF(NOT(COUNTBLANK(일일실시사항!$B963:$K963)&lt;10),"",TRIM(IF(일일실시사항!$B963="","일자 누락; ","")&amp;IF(COUNTIF(코드설정!$C$5:$C$24,일일실시사항!$D963)=0,"담당자 누락; ","")&amp;IF(COUNTIF(코드설정!$G$5:$G$14,일일실시사항!$F963)=0,"업무구분 누락; ","")&amp;IF(AND(일일실시사항!$G963&lt;&gt;"",COUNTIF(사건마스터!$A$5:$A$64,일일실시사항!$G963)=0),"미등록 사건번호; ","")&amp;IF(일일실시사항!$H963="","실시 내용 없음; ","")&amp;IF(COUNTIF(코드설정!$F$5:$F$7,일일실시사항!$J963)=0,"진행상태 누락; ","")))</f>
        <v/>
      </c>
    </row>
    <row r="1996">
      <c r="A1996" s="26" t="inlineStr">
        <is>
          <t>일일실시사항</t>
        </is>
      </c>
      <c r="B1996" s="66" t="n">
        <v>964</v>
      </c>
      <c r="C1996" s="122">
        <f>IF($D1996="","",IFERROR(TEXT(일일실시사항!$B964,"yyyy-mm-dd"),"(날짜없음)")&amp;"  "&amp;일일실시사항!$D964&amp;"  "&amp;일일실시사항!$H964)</f>
        <v/>
      </c>
      <c r="D1996" s="122">
        <f>IF(NOT(COUNTBLANK(일일실시사항!$B964:$K964)&lt;10),"",TRIM(IF(일일실시사항!$B964="","일자 누락; ","")&amp;IF(COUNTIF(코드설정!$C$5:$C$24,일일실시사항!$D964)=0,"담당자 누락; ","")&amp;IF(COUNTIF(코드설정!$G$5:$G$14,일일실시사항!$F964)=0,"업무구분 누락; ","")&amp;IF(AND(일일실시사항!$G964&lt;&gt;"",COUNTIF(사건마스터!$A$5:$A$64,일일실시사항!$G964)=0),"미등록 사건번호; ","")&amp;IF(일일실시사항!$H964="","실시 내용 없음; ","")&amp;IF(COUNTIF(코드설정!$F$5:$F$7,일일실시사항!$J964)=0,"진행상태 누락; ","")))</f>
        <v/>
      </c>
    </row>
    <row r="1997">
      <c r="A1997" s="26" t="inlineStr">
        <is>
          <t>일일실시사항</t>
        </is>
      </c>
      <c r="B1997" s="66" t="n">
        <v>965</v>
      </c>
      <c r="C1997" s="122">
        <f>IF($D1997="","",IFERROR(TEXT(일일실시사항!$B965,"yyyy-mm-dd"),"(날짜없음)")&amp;"  "&amp;일일실시사항!$D965&amp;"  "&amp;일일실시사항!$H965)</f>
        <v/>
      </c>
      <c r="D1997" s="122">
        <f>IF(NOT(COUNTBLANK(일일실시사항!$B965:$K965)&lt;10),"",TRIM(IF(일일실시사항!$B965="","일자 누락; ","")&amp;IF(COUNTIF(코드설정!$C$5:$C$24,일일실시사항!$D965)=0,"담당자 누락; ","")&amp;IF(COUNTIF(코드설정!$G$5:$G$14,일일실시사항!$F965)=0,"업무구분 누락; ","")&amp;IF(AND(일일실시사항!$G965&lt;&gt;"",COUNTIF(사건마스터!$A$5:$A$64,일일실시사항!$G965)=0),"미등록 사건번호; ","")&amp;IF(일일실시사항!$H965="","실시 내용 없음; ","")&amp;IF(COUNTIF(코드설정!$F$5:$F$7,일일실시사항!$J965)=0,"진행상태 누락; ","")))</f>
        <v/>
      </c>
    </row>
    <row r="1998">
      <c r="A1998" s="26" t="inlineStr">
        <is>
          <t>일일실시사항</t>
        </is>
      </c>
      <c r="B1998" s="66" t="n">
        <v>966</v>
      </c>
      <c r="C1998" s="122">
        <f>IF($D1998="","",IFERROR(TEXT(일일실시사항!$B966,"yyyy-mm-dd"),"(날짜없음)")&amp;"  "&amp;일일실시사항!$D966&amp;"  "&amp;일일실시사항!$H966)</f>
        <v/>
      </c>
      <c r="D1998" s="122">
        <f>IF(NOT(COUNTBLANK(일일실시사항!$B966:$K966)&lt;10),"",TRIM(IF(일일실시사항!$B966="","일자 누락; ","")&amp;IF(COUNTIF(코드설정!$C$5:$C$24,일일실시사항!$D966)=0,"담당자 누락; ","")&amp;IF(COUNTIF(코드설정!$G$5:$G$14,일일실시사항!$F966)=0,"업무구분 누락; ","")&amp;IF(AND(일일실시사항!$G966&lt;&gt;"",COUNTIF(사건마스터!$A$5:$A$64,일일실시사항!$G966)=0),"미등록 사건번호; ","")&amp;IF(일일실시사항!$H966="","실시 내용 없음; ","")&amp;IF(COUNTIF(코드설정!$F$5:$F$7,일일실시사항!$J966)=0,"진행상태 누락; ","")))</f>
        <v/>
      </c>
    </row>
    <row r="1999">
      <c r="A1999" s="26" t="inlineStr">
        <is>
          <t>일일실시사항</t>
        </is>
      </c>
      <c r="B1999" s="66" t="n">
        <v>967</v>
      </c>
      <c r="C1999" s="122">
        <f>IF($D1999="","",IFERROR(TEXT(일일실시사항!$B967,"yyyy-mm-dd"),"(날짜없음)")&amp;"  "&amp;일일실시사항!$D967&amp;"  "&amp;일일실시사항!$H967)</f>
        <v/>
      </c>
      <c r="D1999" s="122">
        <f>IF(NOT(COUNTBLANK(일일실시사항!$B967:$K967)&lt;10),"",TRIM(IF(일일실시사항!$B967="","일자 누락; ","")&amp;IF(COUNTIF(코드설정!$C$5:$C$24,일일실시사항!$D967)=0,"담당자 누락; ","")&amp;IF(COUNTIF(코드설정!$G$5:$G$14,일일실시사항!$F967)=0,"업무구분 누락; ","")&amp;IF(AND(일일실시사항!$G967&lt;&gt;"",COUNTIF(사건마스터!$A$5:$A$64,일일실시사항!$G967)=0),"미등록 사건번호; ","")&amp;IF(일일실시사항!$H967="","실시 내용 없음; ","")&amp;IF(COUNTIF(코드설정!$F$5:$F$7,일일실시사항!$J967)=0,"진행상태 누락; ","")))</f>
        <v/>
      </c>
    </row>
    <row r="2000">
      <c r="A2000" s="26" t="inlineStr">
        <is>
          <t>일일실시사항</t>
        </is>
      </c>
      <c r="B2000" s="66" t="n">
        <v>968</v>
      </c>
      <c r="C2000" s="122">
        <f>IF($D2000="","",IFERROR(TEXT(일일실시사항!$B968,"yyyy-mm-dd"),"(날짜없음)")&amp;"  "&amp;일일실시사항!$D968&amp;"  "&amp;일일실시사항!$H968)</f>
        <v/>
      </c>
      <c r="D2000" s="122">
        <f>IF(NOT(COUNTBLANK(일일실시사항!$B968:$K968)&lt;10),"",TRIM(IF(일일실시사항!$B968="","일자 누락; ","")&amp;IF(COUNTIF(코드설정!$C$5:$C$24,일일실시사항!$D968)=0,"담당자 누락; ","")&amp;IF(COUNTIF(코드설정!$G$5:$G$14,일일실시사항!$F968)=0,"업무구분 누락; ","")&amp;IF(AND(일일실시사항!$G968&lt;&gt;"",COUNTIF(사건마스터!$A$5:$A$64,일일실시사항!$G968)=0),"미등록 사건번호; ","")&amp;IF(일일실시사항!$H968="","실시 내용 없음; ","")&amp;IF(COUNTIF(코드설정!$F$5:$F$7,일일실시사항!$J968)=0,"진행상태 누락; ","")))</f>
        <v/>
      </c>
    </row>
    <row r="2001">
      <c r="A2001" s="26" t="inlineStr">
        <is>
          <t>일일실시사항</t>
        </is>
      </c>
      <c r="B2001" s="66" t="n">
        <v>969</v>
      </c>
      <c r="C2001" s="122">
        <f>IF($D2001="","",IFERROR(TEXT(일일실시사항!$B969,"yyyy-mm-dd"),"(날짜없음)")&amp;"  "&amp;일일실시사항!$D969&amp;"  "&amp;일일실시사항!$H969)</f>
        <v/>
      </c>
      <c r="D2001" s="122">
        <f>IF(NOT(COUNTBLANK(일일실시사항!$B969:$K969)&lt;10),"",TRIM(IF(일일실시사항!$B969="","일자 누락; ","")&amp;IF(COUNTIF(코드설정!$C$5:$C$24,일일실시사항!$D969)=0,"담당자 누락; ","")&amp;IF(COUNTIF(코드설정!$G$5:$G$14,일일실시사항!$F969)=0,"업무구분 누락; ","")&amp;IF(AND(일일실시사항!$G969&lt;&gt;"",COUNTIF(사건마스터!$A$5:$A$64,일일실시사항!$G969)=0),"미등록 사건번호; ","")&amp;IF(일일실시사항!$H969="","실시 내용 없음; ","")&amp;IF(COUNTIF(코드설정!$F$5:$F$7,일일실시사항!$J969)=0,"진행상태 누락; ","")))</f>
        <v/>
      </c>
    </row>
    <row r="2002">
      <c r="A2002" s="26" t="inlineStr">
        <is>
          <t>일일실시사항</t>
        </is>
      </c>
      <c r="B2002" s="66" t="n">
        <v>970</v>
      </c>
      <c r="C2002" s="122">
        <f>IF($D2002="","",IFERROR(TEXT(일일실시사항!$B970,"yyyy-mm-dd"),"(날짜없음)")&amp;"  "&amp;일일실시사항!$D970&amp;"  "&amp;일일실시사항!$H970)</f>
        <v/>
      </c>
      <c r="D2002" s="122">
        <f>IF(NOT(COUNTBLANK(일일실시사항!$B970:$K970)&lt;10),"",TRIM(IF(일일실시사항!$B970="","일자 누락; ","")&amp;IF(COUNTIF(코드설정!$C$5:$C$24,일일실시사항!$D970)=0,"담당자 누락; ","")&amp;IF(COUNTIF(코드설정!$G$5:$G$14,일일실시사항!$F970)=0,"업무구분 누락; ","")&amp;IF(AND(일일실시사항!$G970&lt;&gt;"",COUNTIF(사건마스터!$A$5:$A$64,일일실시사항!$G970)=0),"미등록 사건번호; ","")&amp;IF(일일실시사항!$H970="","실시 내용 없음; ","")&amp;IF(COUNTIF(코드설정!$F$5:$F$7,일일실시사항!$J970)=0,"진행상태 누락; ","")))</f>
        <v/>
      </c>
    </row>
    <row r="2003">
      <c r="A2003" s="26" t="inlineStr">
        <is>
          <t>일일실시사항</t>
        </is>
      </c>
      <c r="B2003" s="66" t="n">
        <v>971</v>
      </c>
      <c r="C2003" s="122">
        <f>IF($D2003="","",IFERROR(TEXT(일일실시사항!$B971,"yyyy-mm-dd"),"(날짜없음)")&amp;"  "&amp;일일실시사항!$D971&amp;"  "&amp;일일실시사항!$H971)</f>
        <v/>
      </c>
      <c r="D2003" s="122">
        <f>IF(NOT(COUNTBLANK(일일실시사항!$B971:$K971)&lt;10),"",TRIM(IF(일일실시사항!$B971="","일자 누락; ","")&amp;IF(COUNTIF(코드설정!$C$5:$C$24,일일실시사항!$D971)=0,"담당자 누락; ","")&amp;IF(COUNTIF(코드설정!$G$5:$G$14,일일실시사항!$F971)=0,"업무구분 누락; ","")&amp;IF(AND(일일실시사항!$G971&lt;&gt;"",COUNTIF(사건마스터!$A$5:$A$64,일일실시사항!$G971)=0),"미등록 사건번호; ","")&amp;IF(일일실시사항!$H971="","실시 내용 없음; ","")&amp;IF(COUNTIF(코드설정!$F$5:$F$7,일일실시사항!$J971)=0,"진행상태 누락; ","")))</f>
        <v/>
      </c>
    </row>
    <row r="2004">
      <c r="A2004" s="26" t="inlineStr">
        <is>
          <t>일일실시사항</t>
        </is>
      </c>
      <c r="B2004" s="66" t="n">
        <v>972</v>
      </c>
      <c r="C2004" s="122">
        <f>IF($D2004="","",IFERROR(TEXT(일일실시사항!$B972,"yyyy-mm-dd"),"(날짜없음)")&amp;"  "&amp;일일실시사항!$D972&amp;"  "&amp;일일실시사항!$H972)</f>
        <v/>
      </c>
      <c r="D2004" s="122">
        <f>IF(NOT(COUNTBLANK(일일실시사항!$B972:$K972)&lt;10),"",TRIM(IF(일일실시사항!$B972="","일자 누락; ","")&amp;IF(COUNTIF(코드설정!$C$5:$C$24,일일실시사항!$D972)=0,"담당자 누락; ","")&amp;IF(COUNTIF(코드설정!$G$5:$G$14,일일실시사항!$F972)=0,"업무구분 누락; ","")&amp;IF(AND(일일실시사항!$G972&lt;&gt;"",COUNTIF(사건마스터!$A$5:$A$64,일일실시사항!$G972)=0),"미등록 사건번호; ","")&amp;IF(일일실시사항!$H972="","실시 내용 없음; ","")&amp;IF(COUNTIF(코드설정!$F$5:$F$7,일일실시사항!$J972)=0,"진행상태 누락; ","")))</f>
        <v/>
      </c>
    </row>
    <row r="2005">
      <c r="A2005" s="26" t="inlineStr">
        <is>
          <t>일일실시사항</t>
        </is>
      </c>
      <c r="B2005" s="66" t="n">
        <v>973</v>
      </c>
      <c r="C2005" s="122">
        <f>IF($D2005="","",IFERROR(TEXT(일일실시사항!$B973,"yyyy-mm-dd"),"(날짜없음)")&amp;"  "&amp;일일실시사항!$D973&amp;"  "&amp;일일실시사항!$H973)</f>
        <v/>
      </c>
      <c r="D2005" s="122">
        <f>IF(NOT(COUNTBLANK(일일실시사항!$B973:$K973)&lt;10),"",TRIM(IF(일일실시사항!$B973="","일자 누락; ","")&amp;IF(COUNTIF(코드설정!$C$5:$C$24,일일실시사항!$D973)=0,"담당자 누락; ","")&amp;IF(COUNTIF(코드설정!$G$5:$G$14,일일실시사항!$F973)=0,"업무구분 누락; ","")&amp;IF(AND(일일실시사항!$G973&lt;&gt;"",COUNTIF(사건마스터!$A$5:$A$64,일일실시사항!$G973)=0),"미등록 사건번호; ","")&amp;IF(일일실시사항!$H973="","실시 내용 없음; ","")&amp;IF(COUNTIF(코드설정!$F$5:$F$7,일일실시사항!$J973)=0,"진행상태 누락; ","")))</f>
        <v/>
      </c>
    </row>
    <row r="2006">
      <c r="A2006" s="26" t="inlineStr">
        <is>
          <t>일일실시사항</t>
        </is>
      </c>
      <c r="B2006" s="66" t="n">
        <v>974</v>
      </c>
      <c r="C2006" s="122">
        <f>IF($D2006="","",IFERROR(TEXT(일일실시사항!$B974,"yyyy-mm-dd"),"(날짜없음)")&amp;"  "&amp;일일실시사항!$D974&amp;"  "&amp;일일실시사항!$H974)</f>
        <v/>
      </c>
      <c r="D2006" s="122">
        <f>IF(NOT(COUNTBLANK(일일실시사항!$B974:$K974)&lt;10),"",TRIM(IF(일일실시사항!$B974="","일자 누락; ","")&amp;IF(COUNTIF(코드설정!$C$5:$C$24,일일실시사항!$D974)=0,"담당자 누락; ","")&amp;IF(COUNTIF(코드설정!$G$5:$G$14,일일실시사항!$F974)=0,"업무구분 누락; ","")&amp;IF(AND(일일실시사항!$G974&lt;&gt;"",COUNTIF(사건마스터!$A$5:$A$64,일일실시사항!$G974)=0),"미등록 사건번호; ","")&amp;IF(일일실시사항!$H974="","실시 내용 없음; ","")&amp;IF(COUNTIF(코드설정!$F$5:$F$7,일일실시사항!$J974)=0,"진행상태 누락; ","")))</f>
        <v/>
      </c>
    </row>
    <row r="2007">
      <c r="A2007" s="26" t="inlineStr">
        <is>
          <t>일일실시사항</t>
        </is>
      </c>
      <c r="B2007" s="66" t="n">
        <v>975</v>
      </c>
      <c r="C2007" s="122">
        <f>IF($D2007="","",IFERROR(TEXT(일일실시사항!$B975,"yyyy-mm-dd"),"(날짜없음)")&amp;"  "&amp;일일실시사항!$D975&amp;"  "&amp;일일실시사항!$H975)</f>
        <v/>
      </c>
      <c r="D2007" s="122">
        <f>IF(NOT(COUNTBLANK(일일실시사항!$B975:$K975)&lt;10),"",TRIM(IF(일일실시사항!$B975="","일자 누락; ","")&amp;IF(COUNTIF(코드설정!$C$5:$C$24,일일실시사항!$D975)=0,"담당자 누락; ","")&amp;IF(COUNTIF(코드설정!$G$5:$G$14,일일실시사항!$F975)=0,"업무구분 누락; ","")&amp;IF(AND(일일실시사항!$G975&lt;&gt;"",COUNTIF(사건마스터!$A$5:$A$64,일일실시사항!$G975)=0),"미등록 사건번호; ","")&amp;IF(일일실시사항!$H975="","실시 내용 없음; ","")&amp;IF(COUNTIF(코드설정!$F$5:$F$7,일일실시사항!$J975)=0,"진행상태 누락; ","")))</f>
        <v/>
      </c>
    </row>
    <row r="2008">
      <c r="A2008" s="26" t="inlineStr">
        <is>
          <t>일일실시사항</t>
        </is>
      </c>
      <c r="B2008" s="66" t="n">
        <v>976</v>
      </c>
      <c r="C2008" s="122">
        <f>IF($D2008="","",IFERROR(TEXT(일일실시사항!$B976,"yyyy-mm-dd"),"(날짜없음)")&amp;"  "&amp;일일실시사항!$D976&amp;"  "&amp;일일실시사항!$H976)</f>
        <v/>
      </c>
      <c r="D2008" s="122">
        <f>IF(NOT(COUNTBLANK(일일실시사항!$B976:$K976)&lt;10),"",TRIM(IF(일일실시사항!$B976="","일자 누락; ","")&amp;IF(COUNTIF(코드설정!$C$5:$C$24,일일실시사항!$D976)=0,"담당자 누락; ","")&amp;IF(COUNTIF(코드설정!$G$5:$G$14,일일실시사항!$F976)=0,"업무구분 누락; ","")&amp;IF(AND(일일실시사항!$G976&lt;&gt;"",COUNTIF(사건마스터!$A$5:$A$64,일일실시사항!$G976)=0),"미등록 사건번호; ","")&amp;IF(일일실시사항!$H976="","실시 내용 없음; ","")&amp;IF(COUNTIF(코드설정!$F$5:$F$7,일일실시사항!$J976)=0,"진행상태 누락; ","")))</f>
        <v/>
      </c>
    </row>
    <row r="2009">
      <c r="A2009" s="26" t="inlineStr">
        <is>
          <t>일일실시사항</t>
        </is>
      </c>
      <c r="B2009" s="66" t="n">
        <v>977</v>
      </c>
      <c r="C2009" s="122">
        <f>IF($D2009="","",IFERROR(TEXT(일일실시사항!$B977,"yyyy-mm-dd"),"(날짜없음)")&amp;"  "&amp;일일실시사항!$D977&amp;"  "&amp;일일실시사항!$H977)</f>
        <v/>
      </c>
      <c r="D2009" s="122">
        <f>IF(NOT(COUNTBLANK(일일실시사항!$B977:$K977)&lt;10),"",TRIM(IF(일일실시사항!$B977="","일자 누락; ","")&amp;IF(COUNTIF(코드설정!$C$5:$C$24,일일실시사항!$D977)=0,"담당자 누락; ","")&amp;IF(COUNTIF(코드설정!$G$5:$G$14,일일실시사항!$F977)=0,"업무구분 누락; ","")&amp;IF(AND(일일실시사항!$G977&lt;&gt;"",COUNTIF(사건마스터!$A$5:$A$64,일일실시사항!$G977)=0),"미등록 사건번호; ","")&amp;IF(일일실시사항!$H977="","실시 내용 없음; ","")&amp;IF(COUNTIF(코드설정!$F$5:$F$7,일일실시사항!$J977)=0,"진행상태 누락; ","")))</f>
        <v/>
      </c>
    </row>
    <row r="2010">
      <c r="A2010" s="26" t="inlineStr">
        <is>
          <t>일일실시사항</t>
        </is>
      </c>
      <c r="B2010" s="66" t="n">
        <v>978</v>
      </c>
      <c r="C2010" s="122">
        <f>IF($D2010="","",IFERROR(TEXT(일일실시사항!$B978,"yyyy-mm-dd"),"(날짜없음)")&amp;"  "&amp;일일실시사항!$D978&amp;"  "&amp;일일실시사항!$H978)</f>
        <v/>
      </c>
      <c r="D2010" s="122">
        <f>IF(NOT(COUNTBLANK(일일실시사항!$B978:$K978)&lt;10),"",TRIM(IF(일일실시사항!$B978="","일자 누락; ","")&amp;IF(COUNTIF(코드설정!$C$5:$C$24,일일실시사항!$D978)=0,"담당자 누락; ","")&amp;IF(COUNTIF(코드설정!$G$5:$G$14,일일실시사항!$F978)=0,"업무구분 누락; ","")&amp;IF(AND(일일실시사항!$G978&lt;&gt;"",COUNTIF(사건마스터!$A$5:$A$64,일일실시사항!$G978)=0),"미등록 사건번호; ","")&amp;IF(일일실시사항!$H978="","실시 내용 없음; ","")&amp;IF(COUNTIF(코드설정!$F$5:$F$7,일일실시사항!$J978)=0,"진행상태 누락; ","")))</f>
        <v/>
      </c>
    </row>
    <row r="2011">
      <c r="A2011" s="26" t="inlineStr">
        <is>
          <t>일일실시사항</t>
        </is>
      </c>
      <c r="B2011" s="66" t="n">
        <v>979</v>
      </c>
      <c r="C2011" s="122">
        <f>IF($D2011="","",IFERROR(TEXT(일일실시사항!$B979,"yyyy-mm-dd"),"(날짜없음)")&amp;"  "&amp;일일실시사항!$D979&amp;"  "&amp;일일실시사항!$H979)</f>
        <v/>
      </c>
      <c r="D2011" s="122">
        <f>IF(NOT(COUNTBLANK(일일실시사항!$B979:$K979)&lt;10),"",TRIM(IF(일일실시사항!$B979="","일자 누락; ","")&amp;IF(COUNTIF(코드설정!$C$5:$C$24,일일실시사항!$D979)=0,"담당자 누락; ","")&amp;IF(COUNTIF(코드설정!$G$5:$G$14,일일실시사항!$F979)=0,"업무구분 누락; ","")&amp;IF(AND(일일실시사항!$G979&lt;&gt;"",COUNTIF(사건마스터!$A$5:$A$64,일일실시사항!$G979)=0),"미등록 사건번호; ","")&amp;IF(일일실시사항!$H979="","실시 내용 없음; ","")&amp;IF(COUNTIF(코드설정!$F$5:$F$7,일일실시사항!$J979)=0,"진행상태 누락; ","")))</f>
        <v/>
      </c>
    </row>
    <row r="2012">
      <c r="A2012" s="26" t="inlineStr">
        <is>
          <t>일일실시사항</t>
        </is>
      </c>
      <c r="B2012" s="66" t="n">
        <v>980</v>
      </c>
      <c r="C2012" s="122">
        <f>IF($D2012="","",IFERROR(TEXT(일일실시사항!$B980,"yyyy-mm-dd"),"(날짜없음)")&amp;"  "&amp;일일실시사항!$D980&amp;"  "&amp;일일실시사항!$H980)</f>
        <v/>
      </c>
      <c r="D2012" s="122">
        <f>IF(NOT(COUNTBLANK(일일실시사항!$B980:$K980)&lt;10),"",TRIM(IF(일일실시사항!$B980="","일자 누락; ","")&amp;IF(COUNTIF(코드설정!$C$5:$C$24,일일실시사항!$D980)=0,"담당자 누락; ","")&amp;IF(COUNTIF(코드설정!$G$5:$G$14,일일실시사항!$F980)=0,"업무구분 누락; ","")&amp;IF(AND(일일실시사항!$G980&lt;&gt;"",COUNTIF(사건마스터!$A$5:$A$64,일일실시사항!$G980)=0),"미등록 사건번호; ","")&amp;IF(일일실시사항!$H980="","실시 내용 없음; ","")&amp;IF(COUNTIF(코드설정!$F$5:$F$7,일일실시사항!$J980)=0,"진행상태 누락; ","")))</f>
        <v/>
      </c>
    </row>
    <row r="2013">
      <c r="A2013" s="26" t="inlineStr">
        <is>
          <t>일일실시사항</t>
        </is>
      </c>
      <c r="B2013" s="66" t="n">
        <v>981</v>
      </c>
      <c r="C2013" s="122">
        <f>IF($D2013="","",IFERROR(TEXT(일일실시사항!$B981,"yyyy-mm-dd"),"(날짜없음)")&amp;"  "&amp;일일실시사항!$D981&amp;"  "&amp;일일실시사항!$H981)</f>
        <v/>
      </c>
      <c r="D2013" s="122">
        <f>IF(NOT(COUNTBLANK(일일실시사항!$B981:$K981)&lt;10),"",TRIM(IF(일일실시사항!$B981="","일자 누락; ","")&amp;IF(COUNTIF(코드설정!$C$5:$C$24,일일실시사항!$D981)=0,"담당자 누락; ","")&amp;IF(COUNTIF(코드설정!$G$5:$G$14,일일실시사항!$F981)=0,"업무구분 누락; ","")&amp;IF(AND(일일실시사항!$G981&lt;&gt;"",COUNTIF(사건마스터!$A$5:$A$64,일일실시사항!$G981)=0),"미등록 사건번호; ","")&amp;IF(일일실시사항!$H981="","실시 내용 없음; ","")&amp;IF(COUNTIF(코드설정!$F$5:$F$7,일일실시사항!$J981)=0,"진행상태 누락; ","")))</f>
        <v/>
      </c>
    </row>
    <row r="2014">
      <c r="A2014" s="26" t="inlineStr">
        <is>
          <t>일일실시사항</t>
        </is>
      </c>
      <c r="B2014" s="66" t="n">
        <v>982</v>
      </c>
      <c r="C2014" s="122">
        <f>IF($D2014="","",IFERROR(TEXT(일일실시사항!$B982,"yyyy-mm-dd"),"(날짜없음)")&amp;"  "&amp;일일실시사항!$D982&amp;"  "&amp;일일실시사항!$H982)</f>
        <v/>
      </c>
      <c r="D2014" s="122">
        <f>IF(NOT(COUNTBLANK(일일실시사항!$B982:$K982)&lt;10),"",TRIM(IF(일일실시사항!$B982="","일자 누락; ","")&amp;IF(COUNTIF(코드설정!$C$5:$C$24,일일실시사항!$D982)=0,"담당자 누락; ","")&amp;IF(COUNTIF(코드설정!$G$5:$G$14,일일실시사항!$F982)=0,"업무구분 누락; ","")&amp;IF(AND(일일실시사항!$G982&lt;&gt;"",COUNTIF(사건마스터!$A$5:$A$64,일일실시사항!$G982)=0),"미등록 사건번호; ","")&amp;IF(일일실시사항!$H982="","실시 내용 없음; ","")&amp;IF(COUNTIF(코드설정!$F$5:$F$7,일일실시사항!$J982)=0,"진행상태 누락; ","")))</f>
        <v/>
      </c>
    </row>
    <row r="2015">
      <c r="A2015" s="26" t="inlineStr">
        <is>
          <t>일일실시사항</t>
        </is>
      </c>
      <c r="B2015" s="66" t="n">
        <v>983</v>
      </c>
      <c r="C2015" s="122">
        <f>IF($D2015="","",IFERROR(TEXT(일일실시사항!$B983,"yyyy-mm-dd"),"(날짜없음)")&amp;"  "&amp;일일실시사항!$D983&amp;"  "&amp;일일실시사항!$H983)</f>
        <v/>
      </c>
      <c r="D2015" s="122">
        <f>IF(NOT(COUNTBLANK(일일실시사항!$B983:$K983)&lt;10),"",TRIM(IF(일일실시사항!$B983="","일자 누락; ","")&amp;IF(COUNTIF(코드설정!$C$5:$C$24,일일실시사항!$D983)=0,"담당자 누락; ","")&amp;IF(COUNTIF(코드설정!$G$5:$G$14,일일실시사항!$F983)=0,"업무구분 누락; ","")&amp;IF(AND(일일실시사항!$G983&lt;&gt;"",COUNTIF(사건마스터!$A$5:$A$64,일일실시사항!$G983)=0),"미등록 사건번호; ","")&amp;IF(일일실시사항!$H983="","실시 내용 없음; ","")&amp;IF(COUNTIF(코드설정!$F$5:$F$7,일일실시사항!$J983)=0,"진행상태 누락; ","")))</f>
        <v/>
      </c>
    </row>
    <row r="2016">
      <c r="A2016" s="26" t="inlineStr">
        <is>
          <t>일일실시사항</t>
        </is>
      </c>
      <c r="B2016" s="66" t="n">
        <v>984</v>
      </c>
      <c r="C2016" s="122">
        <f>IF($D2016="","",IFERROR(TEXT(일일실시사항!$B984,"yyyy-mm-dd"),"(날짜없음)")&amp;"  "&amp;일일실시사항!$D984&amp;"  "&amp;일일실시사항!$H984)</f>
        <v/>
      </c>
      <c r="D2016" s="122">
        <f>IF(NOT(COUNTBLANK(일일실시사항!$B984:$K984)&lt;10),"",TRIM(IF(일일실시사항!$B984="","일자 누락; ","")&amp;IF(COUNTIF(코드설정!$C$5:$C$24,일일실시사항!$D984)=0,"담당자 누락; ","")&amp;IF(COUNTIF(코드설정!$G$5:$G$14,일일실시사항!$F984)=0,"업무구분 누락; ","")&amp;IF(AND(일일실시사항!$G984&lt;&gt;"",COUNTIF(사건마스터!$A$5:$A$64,일일실시사항!$G984)=0),"미등록 사건번호; ","")&amp;IF(일일실시사항!$H984="","실시 내용 없음; ","")&amp;IF(COUNTIF(코드설정!$F$5:$F$7,일일실시사항!$J984)=0,"진행상태 누락; ","")))</f>
        <v/>
      </c>
    </row>
    <row r="2017">
      <c r="A2017" s="26" t="inlineStr">
        <is>
          <t>일일실시사항</t>
        </is>
      </c>
      <c r="B2017" s="66" t="n">
        <v>985</v>
      </c>
      <c r="C2017" s="122">
        <f>IF($D2017="","",IFERROR(TEXT(일일실시사항!$B985,"yyyy-mm-dd"),"(날짜없음)")&amp;"  "&amp;일일실시사항!$D985&amp;"  "&amp;일일실시사항!$H985)</f>
        <v/>
      </c>
      <c r="D2017" s="122">
        <f>IF(NOT(COUNTBLANK(일일실시사항!$B985:$K985)&lt;10),"",TRIM(IF(일일실시사항!$B985="","일자 누락; ","")&amp;IF(COUNTIF(코드설정!$C$5:$C$24,일일실시사항!$D985)=0,"담당자 누락; ","")&amp;IF(COUNTIF(코드설정!$G$5:$G$14,일일실시사항!$F985)=0,"업무구분 누락; ","")&amp;IF(AND(일일실시사항!$G985&lt;&gt;"",COUNTIF(사건마스터!$A$5:$A$64,일일실시사항!$G985)=0),"미등록 사건번호; ","")&amp;IF(일일실시사항!$H985="","실시 내용 없음; ","")&amp;IF(COUNTIF(코드설정!$F$5:$F$7,일일실시사항!$J985)=0,"진행상태 누락; ","")))</f>
        <v/>
      </c>
    </row>
    <row r="2018">
      <c r="A2018" s="26" t="inlineStr">
        <is>
          <t>일일실시사항</t>
        </is>
      </c>
      <c r="B2018" s="66" t="n">
        <v>986</v>
      </c>
      <c r="C2018" s="122">
        <f>IF($D2018="","",IFERROR(TEXT(일일실시사항!$B986,"yyyy-mm-dd"),"(날짜없음)")&amp;"  "&amp;일일실시사항!$D986&amp;"  "&amp;일일실시사항!$H986)</f>
        <v/>
      </c>
      <c r="D2018" s="122">
        <f>IF(NOT(COUNTBLANK(일일실시사항!$B986:$K986)&lt;10),"",TRIM(IF(일일실시사항!$B986="","일자 누락; ","")&amp;IF(COUNTIF(코드설정!$C$5:$C$24,일일실시사항!$D986)=0,"담당자 누락; ","")&amp;IF(COUNTIF(코드설정!$G$5:$G$14,일일실시사항!$F986)=0,"업무구분 누락; ","")&amp;IF(AND(일일실시사항!$G986&lt;&gt;"",COUNTIF(사건마스터!$A$5:$A$64,일일실시사항!$G986)=0),"미등록 사건번호; ","")&amp;IF(일일실시사항!$H986="","실시 내용 없음; ","")&amp;IF(COUNTIF(코드설정!$F$5:$F$7,일일실시사항!$J986)=0,"진행상태 누락; ","")))</f>
        <v/>
      </c>
    </row>
    <row r="2019">
      <c r="A2019" s="26" t="inlineStr">
        <is>
          <t>일일실시사항</t>
        </is>
      </c>
      <c r="B2019" s="66" t="n">
        <v>987</v>
      </c>
      <c r="C2019" s="122">
        <f>IF($D2019="","",IFERROR(TEXT(일일실시사항!$B987,"yyyy-mm-dd"),"(날짜없음)")&amp;"  "&amp;일일실시사항!$D987&amp;"  "&amp;일일실시사항!$H987)</f>
        <v/>
      </c>
      <c r="D2019" s="122">
        <f>IF(NOT(COUNTBLANK(일일실시사항!$B987:$K987)&lt;10),"",TRIM(IF(일일실시사항!$B987="","일자 누락; ","")&amp;IF(COUNTIF(코드설정!$C$5:$C$24,일일실시사항!$D987)=0,"담당자 누락; ","")&amp;IF(COUNTIF(코드설정!$G$5:$G$14,일일실시사항!$F987)=0,"업무구분 누락; ","")&amp;IF(AND(일일실시사항!$G987&lt;&gt;"",COUNTIF(사건마스터!$A$5:$A$64,일일실시사항!$G987)=0),"미등록 사건번호; ","")&amp;IF(일일실시사항!$H987="","실시 내용 없음; ","")&amp;IF(COUNTIF(코드설정!$F$5:$F$7,일일실시사항!$J987)=0,"진행상태 누락; ","")))</f>
        <v/>
      </c>
    </row>
    <row r="2020">
      <c r="A2020" s="26" t="inlineStr">
        <is>
          <t>일일실시사항</t>
        </is>
      </c>
      <c r="B2020" s="66" t="n">
        <v>988</v>
      </c>
      <c r="C2020" s="122">
        <f>IF($D2020="","",IFERROR(TEXT(일일실시사항!$B988,"yyyy-mm-dd"),"(날짜없음)")&amp;"  "&amp;일일실시사항!$D988&amp;"  "&amp;일일실시사항!$H988)</f>
        <v/>
      </c>
      <c r="D2020" s="122">
        <f>IF(NOT(COUNTBLANK(일일실시사항!$B988:$K988)&lt;10),"",TRIM(IF(일일실시사항!$B988="","일자 누락; ","")&amp;IF(COUNTIF(코드설정!$C$5:$C$24,일일실시사항!$D988)=0,"담당자 누락; ","")&amp;IF(COUNTIF(코드설정!$G$5:$G$14,일일실시사항!$F988)=0,"업무구분 누락; ","")&amp;IF(AND(일일실시사항!$G988&lt;&gt;"",COUNTIF(사건마스터!$A$5:$A$64,일일실시사항!$G988)=0),"미등록 사건번호; ","")&amp;IF(일일실시사항!$H988="","실시 내용 없음; ","")&amp;IF(COUNTIF(코드설정!$F$5:$F$7,일일실시사항!$J988)=0,"진행상태 누락; ","")))</f>
        <v/>
      </c>
    </row>
    <row r="2021">
      <c r="A2021" s="26" t="inlineStr">
        <is>
          <t>일일실시사항</t>
        </is>
      </c>
      <c r="B2021" s="66" t="n">
        <v>989</v>
      </c>
      <c r="C2021" s="122">
        <f>IF($D2021="","",IFERROR(TEXT(일일실시사항!$B989,"yyyy-mm-dd"),"(날짜없음)")&amp;"  "&amp;일일실시사항!$D989&amp;"  "&amp;일일실시사항!$H989)</f>
        <v/>
      </c>
      <c r="D2021" s="122">
        <f>IF(NOT(COUNTBLANK(일일실시사항!$B989:$K989)&lt;10),"",TRIM(IF(일일실시사항!$B989="","일자 누락; ","")&amp;IF(COUNTIF(코드설정!$C$5:$C$24,일일실시사항!$D989)=0,"담당자 누락; ","")&amp;IF(COUNTIF(코드설정!$G$5:$G$14,일일실시사항!$F989)=0,"업무구분 누락; ","")&amp;IF(AND(일일실시사항!$G989&lt;&gt;"",COUNTIF(사건마스터!$A$5:$A$64,일일실시사항!$G989)=0),"미등록 사건번호; ","")&amp;IF(일일실시사항!$H989="","실시 내용 없음; ","")&amp;IF(COUNTIF(코드설정!$F$5:$F$7,일일실시사항!$J989)=0,"진행상태 누락; ","")))</f>
        <v/>
      </c>
    </row>
    <row r="2022">
      <c r="A2022" s="26" t="inlineStr">
        <is>
          <t>일일실시사항</t>
        </is>
      </c>
      <c r="B2022" s="66" t="n">
        <v>990</v>
      </c>
      <c r="C2022" s="122">
        <f>IF($D2022="","",IFERROR(TEXT(일일실시사항!$B990,"yyyy-mm-dd"),"(날짜없음)")&amp;"  "&amp;일일실시사항!$D990&amp;"  "&amp;일일실시사항!$H990)</f>
        <v/>
      </c>
      <c r="D2022" s="122">
        <f>IF(NOT(COUNTBLANK(일일실시사항!$B990:$K990)&lt;10),"",TRIM(IF(일일실시사항!$B990="","일자 누락; ","")&amp;IF(COUNTIF(코드설정!$C$5:$C$24,일일실시사항!$D990)=0,"담당자 누락; ","")&amp;IF(COUNTIF(코드설정!$G$5:$G$14,일일실시사항!$F990)=0,"업무구분 누락; ","")&amp;IF(AND(일일실시사항!$G990&lt;&gt;"",COUNTIF(사건마스터!$A$5:$A$64,일일실시사항!$G990)=0),"미등록 사건번호; ","")&amp;IF(일일실시사항!$H990="","실시 내용 없음; ","")&amp;IF(COUNTIF(코드설정!$F$5:$F$7,일일실시사항!$J990)=0,"진행상태 누락; ","")))</f>
        <v/>
      </c>
    </row>
    <row r="2023">
      <c r="A2023" s="26" t="inlineStr">
        <is>
          <t>일일실시사항</t>
        </is>
      </c>
      <c r="B2023" s="66" t="n">
        <v>991</v>
      </c>
      <c r="C2023" s="122">
        <f>IF($D2023="","",IFERROR(TEXT(일일실시사항!$B991,"yyyy-mm-dd"),"(날짜없음)")&amp;"  "&amp;일일실시사항!$D991&amp;"  "&amp;일일실시사항!$H991)</f>
        <v/>
      </c>
      <c r="D2023" s="122">
        <f>IF(NOT(COUNTBLANK(일일실시사항!$B991:$K991)&lt;10),"",TRIM(IF(일일실시사항!$B991="","일자 누락; ","")&amp;IF(COUNTIF(코드설정!$C$5:$C$24,일일실시사항!$D991)=0,"담당자 누락; ","")&amp;IF(COUNTIF(코드설정!$G$5:$G$14,일일실시사항!$F991)=0,"업무구분 누락; ","")&amp;IF(AND(일일실시사항!$G991&lt;&gt;"",COUNTIF(사건마스터!$A$5:$A$64,일일실시사항!$G991)=0),"미등록 사건번호; ","")&amp;IF(일일실시사항!$H991="","실시 내용 없음; ","")&amp;IF(COUNTIF(코드설정!$F$5:$F$7,일일실시사항!$J991)=0,"진행상태 누락; ","")))</f>
        <v/>
      </c>
    </row>
    <row r="2024">
      <c r="A2024" s="26" t="inlineStr">
        <is>
          <t>일일실시사항</t>
        </is>
      </c>
      <c r="B2024" s="66" t="n">
        <v>992</v>
      </c>
      <c r="C2024" s="122">
        <f>IF($D2024="","",IFERROR(TEXT(일일실시사항!$B992,"yyyy-mm-dd"),"(날짜없음)")&amp;"  "&amp;일일실시사항!$D992&amp;"  "&amp;일일실시사항!$H992)</f>
        <v/>
      </c>
      <c r="D2024" s="122">
        <f>IF(NOT(COUNTBLANK(일일실시사항!$B992:$K992)&lt;10),"",TRIM(IF(일일실시사항!$B992="","일자 누락; ","")&amp;IF(COUNTIF(코드설정!$C$5:$C$24,일일실시사항!$D992)=0,"담당자 누락; ","")&amp;IF(COUNTIF(코드설정!$G$5:$G$14,일일실시사항!$F992)=0,"업무구분 누락; ","")&amp;IF(AND(일일실시사항!$G992&lt;&gt;"",COUNTIF(사건마스터!$A$5:$A$64,일일실시사항!$G992)=0),"미등록 사건번호; ","")&amp;IF(일일실시사항!$H992="","실시 내용 없음; ","")&amp;IF(COUNTIF(코드설정!$F$5:$F$7,일일실시사항!$J992)=0,"진행상태 누락; ","")))</f>
        <v/>
      </c>
    </row>
    <row r="2025">
      <c r="A2025" s="26" t="inlineStr">
        <is>
          <t>일일실시사항</t>
        </is>
      </c>
      <c r="B2025" s="66" t="n">
        <v>993</v>
      </c>
      <c r="C2025" s="122">
        <f>IF($D2025="","",IFERROR(TEXT(일일실시사항!$B993,"yyyy-mm-dd"),"(날짜없음)")&amp;"  "&amp;일일실시사항!$D993&amp;"  "&amp;일일실시사항!$H993)</f>
        <v/>
      </c>
      <c r="D2025" s="122">
        <f>IF(NOT(COUNTBLANK(일일실시사항!$B993:$K993)&lt;10),"",TRIM(IF(일일실시사항!$B993="","일자 누락; ","")&amp;IF(COUNTIF(코드설정!$C$5:$C$24,일일실시사항!$D993)=0,"담당자 누락; ","")&amp;IF(COUNTIF(코드설정!$G$5:$G$14,일일실시사항!$F993)=0,"업무구분 누락; ","")&amp;IF(AND(일일실시사항!$G993&lt;&gt;"",COUNTIF(사건마스터!$A$5:$A$64,일일실시사항!$G993)=0),"미등록 사건번호; ","")&amp;IF(일일실시사항!$H993="","실시 내용 없음; ","")&amp;IF(COUNTIF(코드설정!$F$5:$F$7,일일실시사항!$J993)=0,"진행상태 누락; ","")))</f>
        <v/>
      </c>
    </row>
    <row r="2026">
      <c r="A2026" s="26" t="inlineStr">
        <is>
          <t>일일실시사항</t>
        </is>
      </c>
      <c r="B2026" s="66" t="n">
        <v>994</v>
      </c>
      <c r="C2026" s="122">
        <f>IF($D2026="","",IFERROR(TEXT(일일실시사항!$B994,"yyyy-mm-dd"),"(날짜없음)")&amp;"  "&amp;일일실시사항!$D994&amp;"  "&amp;일일실시사항!$H994)</f>
        <v/>
      </c>
      <c r="D2026" s="122">
        <f>IF(NOT(COUNTBLANK(일일실시사항!$B994:$K994)&lt;10),"",TRIM(IF(일일실시사항!$B994="","일자 누락; ","")&amp;IF(COUNTIF(코드설정!$C$5:$C$24,일일실시사항!$D994)=0,"담당자 누락; ","")&amp;IF(COUNTIF(코드설정!$G$5:$G$14,일일실시사항!$F994)=0,"업무구분 누락; ","")&amp;IF(AND(일일실시사항!$G994&lt;&gt;"",COUNTIF(사건마스터!$A$5:$A$64,일일실시사항!$G994)=0),"미등록 사건번호; ","")&amp;IF(일일실시사항!$H994="","실시 내용 없음; ","")&amp;IF(COUNTIF(코드설정!$F$5:$F$7,일일실시사항!$J994)=0,"진행상태 누락; ","")))</f>
        <v/>
      </c>
    </row>
    <row r="2027">
      <c r="A2027" s="26" t="inlineStr">
        <is>
          <t>일일실시사항</t>
        </is>
      </c>
      <c r="B2027" s="66" t="n">
        <v>995</v>
      </c>
      <c r="C2027" s="122">
        <f>IF($D2027="","",IFERROR(TEXT(일일실시사항!$B995,"yyyy-mm-dd"),"(날짜없음)")&amp;"  "&amp;일일실시사항!$D995&amp;"  "&amp;일일실시사항!$H995)</f>
        <v/>
      </c>
      <c r="D2027" s="122">
        <f>IF(NOT(COUNTBLANK(일일실시사항!$B995:$K995)&lt;10),"",TRIM(IF(일일실시사항!$B995="","일자 누락; ","")&amp;IF(COUNTIF(코드설정!$C$5:$C$24,일일실시사항!$D995)=0,"담당자 누락; ","")&amp;IF(COUNTIF(코드설정!$G$5:$G$14,일일실시사항!$F995)=0,"업무구분 누락; ","")&amp;IF(AND(일일실시사항!$G995&lt;&gt;"",COUNTIF(사건마스터!$A$5:$A$64,일일실시사항!$G995)=0),"미등록 사건번호; ","")&amp;IF(일일실시사항!$H995="","실시 내용 없음; ","")&amp;IF(COUNTIF(코드설정!$F$5:$F$7,일일실시사항!$J995)=0,"진행상태 누락; ","")))</f>
        <v/>
      </c>
    </row>
    <row r="2028">
      <c r="A2028" s="26" t="inlineStr">
        <is>
          <t>일일실시사항</t>
        </is>
      </c>
      <c r="B2028" s="66" t="n">
        <v>996</v>
      </c>
      <c r="C2028" s="122">
        <f>IF($D2028="","",IFERROR(TEXT(일일실시사항!$B996,"yyyy-mm-dd"),"(날짜없음)")&amp;"  "&amp;일일실시사항!$D996&amp;"  "&amp;일일실시사항!$H996)</f>
        <v/>
      </c>
      <c r="D2028" s="122">
        <f>IF(NOT(COUNTBLANK(일일실시사항!$B996:$K996)&lt;10),"",TRIM(IF(일일실시사항!$B996="","일자 누락; ","")&amp;IF(COUNTIF(코드설정!$C$5:$C$24,일일실시사항!$D996)=0,"담당자 누락; ","")&amp;IF(COUNTIF(코드설정!$G$5:$G$14,일일실시사항!$F996)=0,"업무구분 누락; ","")&amp;IF(AND(일일실시사항!$G996&lt;&gt;"",COUNTIF(사건마스터!$A$5:$A$64,일일실시사항!$G996)=0),"미등록 사건번호; ","")&amp;IF(일일실시사항!$H996="","실시 내용 없음; ","")&amp;IF(COUNTIF(코드설정!$F$5:$F$7,일일실시사항!$J996)=0,"진행상태 누락; ","")))</f>
        <v/>
      </c>
    </row>
    <row r="2029">
      <c r="A2029" s="26" t="inlineStr">
        <is>
          <t>일일실시사항</t>
        </is>
      </c>
      <c r="B2029" s="66" t="n">
        <v>997</v>
      </c>
      <c r="C2029" s="122">
        <f>IF($D2029="","",IFERROR(TEXT(일일실시사항!$B997,"yyyy-mm-dd"),"(날짜없음)")&amp;"  "&amp;일일실시사항!$D997&amp;"  "&amp;일일실시사항!$H997)</f>
        <v/>
      </c>
      <c r="D2029" s="122">
        <f>IF(NOT(COUNTBLANK(일일실시사항!$B997:$K997)&lt;10),"",TRIM(IF(일일실시사항!$B997="","일자 누락; ","")&amp;IF(COUNTIF(코드설정!$C$5:$C$24,일일실시사항!$D997)=0,"담당자 누락; ","")&amp;IF(COUNTIF(코드설정!$G$5:$G$14,일일실시사항!$F997)=0,"업무구분 누락; ","")&amp;IF(AND(일일실시사항!$G997&lt;&gt;"",COUNTIF(사건마스터!$A$5:$A$64,일일실시사항!$G997)=0),"미등록 사건번호; ","")&amp;IF(일일실시사항!$H997="","실시 내용 없음; ","")&amp;IF(COUNTIF(코드설정!$F$5:$F$7,일일실시사항!$J997)=0,"진행상태 누락; ","")))</f>
        <v/>
      </c>
    </row>
    <row r="2030">
      <c r="A2030" s="26" t="inlineStr">
        <is>
          <t>일일실시사항</t>
        </is>
      </c>
      <c r="B2030" s="66" t="n">
        <v>998</v>
      </c>
      <c r="C2030" s="122">
        <f>IF($D2030="","",IFERROR(TEXT(일일실시사항!$B998,"yyyy-mm-dd"),"(날짜없음)")&amp;"  "&amp;일일실시사항!$D998&amp;"  "&amp;일일실시사항!$H998)</f>
        <v/>
      </c>
      <c r="D2030" s="122">
        <f>IF(NOT(COUNTBLANK(일일실시사항!$B998:$K998)&lt;10),"",TRIM(IF(일일실시사항!$B998="","일자 누락; ","")&amp;IF(COUNTIF(코드설정!$C$5:$C$24,일일실시사항!$D998)=0,"담당자 누락; ","")&amp;IF(COUNTIF(코드설정!$G$5:$G$14,일일실시사항!$F998)=0,"업무구분 누락; ","")&amp;IF(AND(일일실시사항!$G998&lt;&gt;"",COUNTIF(사건마스터!$A$5:$A$64,일일실시사항!$G998)=0),"미등록 사건번호; ","")&amp;IF(일일실시사항!$H998="","실시 내용 없음; ","")&amp;IF(COUNTIF(코드설정!$F$5:$F$7,일일실시사항!$J998)=0,"진행상태 누락; ","")))</f>
        <v/>
      </c>
    </row>
    <row r="2031">
      <c r="A2031" s="26" t="inlineStr">
        <is>
          <t>일일실시사항</t>
        </is>
      </c>
      <c r="B2031" s="66" t="n">
        <v>999</v>
      </c>
      <c r="C2031" s="122">
        <f>IF($D2031="","",IFERROR(TEXT(일일실시사항!$B999,"yyyy-mm-dd"),"(날짜없음)")&amp;"  "&amp;일일실시사항!$D999&amp;"  "&amp;일일실시사항!$H999)</f>
        <v/>
      </c>
      <c r="D2031" s="122">
        <f>IF(NOT(COUNTBLANK(일일실시사항!$B999:$K999)&lt;10),"",TRIM(IF(일일실시사항!$B999="","일자 누락; ","")&amp;IF(COUNTIF(코드설정!$C$5:$C$24,일일실시사항!$D999)=0,"담당자 누락; ","")&amp;IF(COUNTIF(코드설정!$G$5:$G$14,일일실시사항!$F999)=0,"업무구분 누락; ","")&amp;IF(AND(일일실시사항!$G999&lt;&gt;"",COUNTIF(사건마스터!$A$5:$A$64,일일실시사항!$G999)=0),"미등록 사건번호; ","")&amp;IF(일일실시사항!$H999="","실시 내용 없음; ","")&amp;IF(COUNTIF(코드설정!$F$5:$F$7,일일실시사항!$J999)=0,"진행상태 누락; ","")))</f>
        <v/>
      </c>
    </row>
    <row r="2032">
      <c r="A2032" s="26" t="inlineStr">
        <is>
          <t>일일실시사항</t>
        </is>
      </c>
      <c r="B2032" s="66" t="n">
        <v>1000</v>
      </c>
      <c r="C2032" s="122">
        <f>IF($D2032="","",IFERROR(TEXT(일일실시사항!$B1000,"yyyy-mm-dd"),"(날짜없음)")&amp;"  "&amp;일일실시사항!$D1000&amp;"  "&amp;일일실시사항!$H1000)</f>
        <v/>
      </c>
      <c r="D2032" s="122">
        <f>IF(NOT(COUNTBLANK(일일실시사항!$B1000:$K1000)&lt;10),"",TRIM(IF(일일실시사항!$B1000="","일자 누락; ","")&amp;IF(COUNTIF(코드설정!$C$5:$C$24,일일실시사항!$D1000)=0,"담당자 누락; ","")&amp;IF(COUNTIF(코드설정!$G$5:$G$14,일일실시사항!$F1000)=0,"업무구분 누락; ","")&amp;IF(AND(일일실시사항!$G1000&lt;&gt;"",COUNTIF(사건마스터!$A$5:$A$64,일일실시사항!$G1000)=0),"미등록 사건번호; ","")&amp;IF(일일실시사항!$H1000="","실시 내용 없음; ","")&amp;IF(COUNTIF(코드설정!$F$5:$F$7,일일실시사항!$J1000)=0,"진행상태 누락; ","")))</f>
        <v/>
      </c>
    </row>
    <row r="2033">
      <c r="A2033" s="26" t="inlineStr">
        <is>
          <t>일일실시사항</t>
        </is>
      </c>
      <c r="B2033" s="66" t="n">
        <v>1001</v>
      </c>
      <c r="C2033" s="122">
        <f>IF($D2033="","",IFERROR(TEXT(일일실시사항!$B1001,"yyyy-mm-dd"),"(날짜없음)")&amp;"  "&amp;일일실시사항!$D1001&amp;"  "&amp;일일실시사항!$H1001)</f>
        <v/>
      </c>
      <c r="D2033" s="122">
        <f>IF(NOT(COUNTBLANK(일일실시사항!$B1001:$K1001)&lt;10),"",TRIM(IF(일일실시사항!$B1001="","일자 누락; ","")&amp;IF(COUNTIF(코드설정!$C$5:$C$24,일일실시사항!$D1001)=0,"담당자 누락; ","")&amp;IF(COUNTIF(코드설정!$G$5:$G$14,일일실시사항!$F1001)=0,"업무구분 누락; ","")&amp;IF(AND(일일실시사항!$G1001&lt;&gt;"",COUNTIF(사건마스터!$A$5:$A$64,일일실시사항!$G1001)=0),"미등록 사건번호; ","")&amp;IF(일일실시사항!$H1001="","실시 내용 없음; ","")&amp;IF(COUNTIF(코드설정!$F$5:$F$7,일일실시사항!$J1001)=0,"진행상태 누락; ","")))</f>
        <v/>
      </c>
    </row>
    <row r="2034">
      <c r="A2034" s="26" t="inlineStr">
        <is>
          <t>일일실시사항</t>
        </is>
      </c>
      <c r="B2034" s="66" t="n">
        <v>1002</v>
      </c>
      <c r="C2034" s="122">
        <f>IF($D2034="","",IFERROR(TEXT(일일실시사항!$B1002,"yyyy-mm-dd"),"(날짜없음)")&amp;"  "&amp;일일실시사항!$D1002&amp;"  "&amp;일일실시사항!$H1002)</f>
        <v/>
      </c>
      <c r="D2034" s="122">
        <f>IF(NOT(COUNTBLANK(일일실시사항!$B1002:$K1002)&lt;10),"",TRIM(IF(일일실시사항!$B1002="","일자 누락; ","")&amp;IF(COUNTIF(코드설정!$C$5:$C$24,일일실시사항!$D1002)=0,"담당자 누락; ","")&amp;IF(COUNTIF(코드설정!$G$5:$G$14,일일실시사항!$F1002)=0,"업무구분 누락; ","")&amp;IF(AND(일일실시사항!$G1002&lt;&gt;"",COUNTIF(사건마스터!$A$5:$A$64,일일실시사항!$G1002)=0),"미등록 사건번호; ","")&amp;IF(일일실시사항!$H1002="","실시 내용 없음; ","")&amp;IF(COUNTIF(코드설정!$F$5:$F$7,일일실시사항!$J1002)=0,"진행상태 누락; ","")))</f>
        <v/>
      </c>
    </row>
    <row r="2035">
      <c r="A2035" s="26" t="inlineStr">
        <is>
          <t>일일실시사항</t>
        </is>
      </c>
      <c r="B2035" s="66" t="n">
        <v>1003</v>
      </c>
      <c r="C2035" s="122">
        <f>IF($D2035="","",IFERROR(TEXT(일일실시사항!$B1003,"yyyy-mm-dd"),"(날짜없음)")&amp;"  "&amp;일일실시사항!$D1003&amp;"  "&amp;일일실시사항!$H1003)</f>
        <v/>
      </c>
      <c r="D2035" s="122">
        <f>IF(NOT(COUNTBLANK(일일실시사항!$B1003:$K1003)&lt;10),"",TRIM(IF(일일실시사항!$B1003="","일자 누락; ","")&amp;IF(COUNTIF(코드설정!$C$5:$C$24,일일실시사항!$D1003)=0,"담당자 누락; ","")&amp;IF(COUNTIF(코드설정!$G$5:$G$14,일일실시사항!$F1003)=0,"업무구분 누락; ","")&amp;IF(AND(일일실시사항!$G1003&lt;&gt;"",COUNTIF(사건마스터!$A$5:$A$64,일일실시사항!$G1003)=0),"미등록 사건번호; ","")&amp;IF(일일실시사항!$H1003="","실시 내용 없음; ","")&amp;IF(COUNTIF(코드설정!$F$5:$F$7,일일실시사항!$J1003)=0,"진행상태 누락; ","")))</f>
        <v/>
      </c>
    </row>
    <row r="2036">
      <c r="A2036" s="26" t="inlineStr">
        <is>
          <t>일일실시사항</t>
        </is>
      </c>
      <c r="B2036" s="66" t="n">
        <v>1004</v>
      </c>
      <c r="C2036" s="122">
        <f>IF($D2036="","",IFERROR(TEXT(일일실시사항!$B1004,"yyyy-mm-dd"),"(날짜없음)")&amp;"  "&amp;일일실시사항!$D1004&amp;"  "&amp;일일실시사항!$H1004)</f>
        <v/>
      </c>
      <c r="D2036" s="122">
        <f>IF(NOT(COUNTBLANK(일일실시사항!$B1004:$K1004)&lt;10),"",TRIM(IF(일일실시사항!$B1004="","일자 누락; ","")&amp;IF(COUNTIF(코드설정!$C$5:$C$24,일일실시사항!$D1004)=0,"담당자 누락; ","")&amp;IF(COUNTIF(코드설정!$G$5:$G$14,일일실시사항!$F1004)=0,"업무구분 누락; ","")&amp;IF(AND(일일실시사항!$G1004&lt;&gt;"",COUNTIF(사건마스터!$A$5:$A$64,일일실시사항!$G1004)=0),"미등록 사건번호; ","")&amp;IF(일일실시사항!$H1004="","실시 내용 없음; ","")&amp;IF(COUNTIF(코드설정!$F$5:$F$7,일일실시사항!$J1004)=0,"진행상태 누락; ","")))</f>
        <v/>
      </c>
    </row>
    <row r="2037">
      <c r="A2037" s="26" t="inlineStr">
        <is>
          <t>사건마스터</t>
        </is>
      </c>
      <c r="B2037" s="66" t="n">
        <v>5</v>
      </c>
      <c r="C2037" s="122">
        <f>IF($D2037="","",사건마스터!$A5&amp;"  "&amp;사건마스터!$B5)</f>
        <v/>
      </c>
      <c r="D2037" s="122">
        <f>IF(사건마스터!$A5="","",TRIM(IF(COUNTIF(사건마스터!$A$5:$A$64,사건마스터!$A5)&gt;1,"사건번호 중복; ","")&amp;IF(사건마스터!$B5="","사건명 누락; ","")&amp;IF(사건마스터!$C5="","요청처 누락; ","")&amp;IF(COUNTIF(사건마스터!$L5:사건마스터!$AE5,"주담당")=0,"주담당 미지정; ","")&amp;IF(COUNTIF(사건마스터!$L5:사건마스터!$AE5,"주담당")&gt;1,"주담당 2명 이상; ","")&amp;IF(N(사건마스터!$G5)=0,"배정 인원 없음; ","")&amp;IF(COUNTIF(코드설정!$F$5:$F$7,사건마스터!$E5)=0,"진행상태 누락; ","")))</f>
        <v/>
      </c>
    </row>
    <row r="2038">
      <c r="A2038" s="26" t="inlineStr">
        <is>
          <t>사건마스터</t>
        </is>
      </c>
      <c r="B2038" s="66" t="n">
        <v>6</v>
      </c>
      <c r="C2038" s="122">
        <f>IF($D2038="","",사건마스터!$A6&amp;"  "&amp;사건마스터!$B6)</f>
        <v/>
      </c>
      <c r="D2038" s="122">
        <f>IF(사건마스터!$A6="","",TRIM(IF(COUNTIF(사건마스터!$A$5:$A$64,사건마스터!$A6)&gt;1,"사건번호 중복; ","")&amp;IF(사건마스터!$B6="","사건명 누락; ","")&amp;IF(사건마스터!$C6="","요청처 누락; ","")&amp;IF(COUNTIF(사건마스터!$L6:사건마스터!$AE6,"주담당")=0,"주담당 미지정; ","")&amp;IF(COUNTIF(사건마스터!$L6:사건마스터!$AE6,"주담당")&gt;1,"주담당 2명 이상; ","")&amp;IF(N(사건마스터!$G6)=0,"배정 인원 없음; ","")&amp;IF(COUNTIF(코드설정!$F$5:$F$7,사건마스터!$E6)=0,"진행상태 누락; ","")))</f>
        <v/>
      </c>
    </row>
    <row r="2039">
      <c r="A2039" s="26" t="inlineStr">
        <is>
          <t>사건마스터</t>
        </is>
      </c>
      <c r="B2039" s="66" t="n">
        <v>7</v>
      </c>
      <c r="C2039" s="122">
        <f>IF($D2039="","",사건마스터!$A7&amp;"  "&amp;사건마스터!$B7)</f>
        <v/>
      </c>
      <c r="D2039" s="122">
        <f>IF(사건마스터!$A7="","",TRIM(IF(COUNTIF(사건마스터!$A$5:$A$64,사건마스터!$A7)&gt;1,"사건번호 중복; ","")&amp;IF(사건마스터!$B7="","사건명 누락; ","")&amp;IF(사건마스터!$C7="","요청처 누락; ","")&amp;IF(COUNTIF(사건마스터!$L7:사건마스터!$AE7,"주담당")=0,"주담당 미지정; ","")&amp;IF(COUNTIF(사건마스터!$L7:사건마스터!$AE7,"주담당")&gt;1,"주담당 2명 이상; ","")&amp;IF(N(사건마스터!$G7)=0,"배정 인원 없음; ","")&amp;IF(COUNTIF(코드설정!$F$5:$F$7,사건마스터!$E7)=0,"진행상태 누락; ","")))</f>
        <v/>
      </c>
    </row>
    <row r="2040">
      <c r="A2040" s="26" t="inlineStr">
        <is>
          <t>사건마스터</t>
        </is>
      </c>
      <c r="B2040" s="66" t="n">
        <v>8</v>
      </c>
      <c r="C2040" s="122">
        <f>IF($D2040="","",사건마스터!$A8&amp;"  "&amp;사건마스터!$B8)</f>
        <v/>
      </c>
      <c r="D2040" s="122">
        <f>IF(사건마스터!$A8="","",TRIM(IF(COUNTIF(사건마스터!$A$5:$A$64,사건마스터!$A8)&gt;1,"사건번호 중복; ","")&amp;IF(사건마스터!$B8="","사건명 누락; ","")&amp;IF(사건마스터!$C8="","요청처 누락; ","")&amp;IF(COUNTIF(사건마스터!$L8:사건마스터!$AE8,"주담당")=0,"주담당 미지정; ","")&amp;IF(COUNTIF(사건마스터!$L8:사건마스터!$AE8,"주담당")&gt;1,"주담당 2명 이상; ","")&amp;IF(N(사건마스터!$G8)=0,"배정 인원 없음; ","")&amp;IF(COUNTIF(코드설정!$F$5:$F$7,사건마스터!$E8)=0,"진행상태 누락; ","")))</f>
        <v/>
      </c>
    </row>
    <row r="2041">
      <c r="A2041" s="26" t="inlineStr">
        <is>
          <t>사건마스터</t>
        </is>
      </c>
      <c r="B2041" s="66" t="n">
        <v>9</v>
      </c>
      <c r="C2041" s="122">
        <f>IF($D2041="","",사건마스터!$A9&amp;"  "&amp;사건마스터!$B9)</f>
        <v/>
      </c>
      <c r="D2041" s="122">
        <f>IF(사건마스터!$A9="","",TRIM(IF(COUNTIF(사건마스터!$A$5:$A$64,사건마스터!$A9)&gt;1,"사건번호 중복; ","")&amp;IF(사건마스터!$B9="","사건명 누락; ","")&amp;IF(사건마스터!$C9="","요청처 누락; ","")&amp;IF(COUNTIF(사건마스터!$L9:사건마스터!$AE9,"주담당")=0,"주담당 미지정; ","")&amp;IF(COUNTIF(사건마스터!$L9:사건마스터!$AE9,"주담당")&gt;1,"주담당 2명 이상; ","")&amp;IF(N(사건마스터!$G9)=0,"배정 인원 없음; ","")&amp;IF(COUNTIF(코드설정!$F$5:$F$7,사건마스터!$E9)=0,"진행상태 누락; ","")))</f>
        <v/>
      </c>
    </row>
    <row r="2042">
      <c r="A2042" s="26" t="inlineStr">
        <is>
          <t>사건마스터</t>
        </is>
      </c>
      <c r="B2042" s="66" t="n">
        <v>10</v>
      </c>
      <c r="C2042" s="122">
        <f>IF($D2042="","",사건마스터!$A10&amp;"  "&amp;사건마스터!$B10)</f>
        <v/>
      </c>
      <c r="D2042" s="122">
        <f>IF(사건마스터!$A10="","",TRIM(IF(COUNTIF(사건마스터!$A$5:$A$64,사건마스터!$A10)&gt;1,"사건번호 중복; ","")&amp;IF(사건마스터!$B10="","사건명 누락; ","")&amp;IF(사건마스터!$C10="","요청처 누락; ","")&amp;IF(COUNTIF(사건마스터!$L10:사건마스터!$AE10,"주담당")=0,"주담당 미지정; ","")&amp;IF(COUNTIF(사건마스터!$L10:사건마스터!$AE10,"주담당")&gt;1,"주담당 2명 이상; ","")&amp;IF(N(사건마스터!$G10)=0,"배정 인원 없음; ","")&amp;IF(COUNTIF(코드설정!$F$5:$F$7,사건마스터!$E10)=0,"진행상태 누락; ","")))</f>
        <v/>
      </c>
    </row>
    <row r="2043">
      <c r="A2043" s="26" t="inlineStr">
        <is>
          <t>사건마스터</t>
        </is>
      </c>
      <c r="B2043" s="66" t="n">
        <v>11</v>
      </c>
      <c r="C2043" s="122">
        <f>IF($D2043="","",사건마스터!$A11&amp;"  "&amp;사건마스터!$B11)</f>
        <v/>
      </c>
      <c r="D2043" s="122">
        <f>IF(사건마스터!$A11="","",TRIM(IF(COUNTIF(사건마스터!$A$5:$A$64,사건마스터!$A11)&gt;1,"사건번호 중복; ","")&amp;IF(사건마스터!$B11="","사건명 누락; ","")&amp;IF(사건마스터!$C11="","요청처 누락; ","")&amp;IF(COUNTIF(사건마스터!$L11:사건마스터!$AE11,"주담당")=0,"주담당 미지정; ","")&amp;IF(COUNTIF(사건마스터!$L11:사건마스터!$AE11,"주담당")&gt;1,"주담당 2명 이상; ","")&amp;IF(N(사건마스터!$G11)=0,"배정 인원 없음; ","")&amp;IF(COUNTIF(코드설정!$F$5:$F$7,사건마스터!$E11)=0,"진행상태 누락; ","")))</f>
        <v/>
      </c>
    </row>
    <row r="2044">
      <c r="A2044" s="26" t="inlineStr">
        <is>
          <t>사건마스터</t>
        </is>
      </c>
      <c r="B2044" s="66" t="n">
        <v>12</v>
      </c>
      <c r="C2044" s="122">
        <f>IF($D2044="","",사건마스터!$A12&amp;"  "&amp;사건마스터!$B12)</f>
        <v/>
      </c>
      <c r="D2044" s="122">
        <f>IF(사건마스터!$A12="","",TRIM(IF(COUNTIF(사건마스터!$A$5:$A$64,사건마스터!$A12)&gt;1,"사건번호 중복; ","")&amp;IF(사건마스터!$B12="","사건명 누락; ","")&amp;IF(사건마스터!$C12="","요청처 누락; ","")&amp;IF(COUNTIF(사건마스터!$L12:사건마스터!$AE12,"주담당")=0,"주담당 미지정; ","")&amp;IF(COUNTIF(사건마스터!$L12:사건마스터!$AE12,"주담당")&gt;1,"주담당 2명 이상; ","")&amp;IF(N(사건마스터!$G12)=0,"배정 인원 없음; ","")&amp;IF(COUNTIF(코드설정!$F$5:$F$7,사건마스터!$E12)=0,"진행상태 누락; ","")))</f>
        <v/>
      </c>
    </row>
    <row r="2045">
      <c r="A2045" s="26" t="inlineStr">
        <is>
          <t>사건마스터</t>
        </is>
      </c>
      <c r="B2045" s="66" t="n">
        <v>13</v>
      </c>
      <c r="C2045" s="122">
        <f>IF($D2045="","",사건마스터!$A13&amp;"  "&amp;사건마스터!$B13)</f>
        <v/>
      </c>
      <c r="D2045" s="122">
        <f>IF(사건마스터!$A13="","",TRIM(IF(COUNTIF(사건마스터!$A$5:$A$64,사건마스터!$A13)&gt;1,"사건번호 중복; ","")&amp;IF(사건마스터!$B13="","사건명 누락; ","")&amp;IF(사건마스터!$C13="","요청처 누락; ","")&amp;IF(COUNTIF(사건마스터!$L13:사건마스터!$AE13,"주담당")=0,"주담당 미지정; ","")&amp;IF(COUNTIF(사건마스터!$L13:사건마스터!$AE13,"주담당")&gt;1,"주담당 2명 이상; ","")&amp;IF(N(사건마스터!$G13)=0,"배정 인원 없음; ","")&amp;IF(COUNTIF(코드설정!$F$5:$F$7,사건마스터!$E13)=0,"진행상태 누락; ","")))</f>
        <v/>
      </c>
    </row>
    <row r="2046">
      <c r="A2046" s="26" t="inlineStr">
        <is>
          <t>사건마스터</t>
        </is>
      </c>
      <c r="B2046" s="66" t="n">
        <v>14</v>
      </c>
      <c r="C2046" s="122">
        <f>IF($D2046="","",사건마스터!$A14&amp;"  "&amp;사건마스터!$B14)</f>
        <v/>
      </c>
      <c r="D2046" s="122">
        <f>IF(사건마스터!$A14="","",TRIM(IF(COUNTIF(사건마스터!$A$5:$A$64,사건마스터!$A14)&gt;1,"사건번호 중복; ","")&amp;IF(사건마스터!$B14="","사건명 누락; ","")&amp;IF(사건마스터!$C14="","요청처 누락; ","")&amp;IF(COUNTIF(사건마스터!$L14:사건마스터!$AE14,"주담당")=0,"주담당 미지정; ","")&amp;IF(COUNTIF(사건마스터!$L14:사건마스터!$AE14,"주담당")&gt;1,"주담당 2명 이상; ","")&amp;IF(N(사건마스터!$G14)=0,"배정 인원 없음; ","")&amp;IF(COUNTIF(코드설정!$F$5:$F$7,사건마스터!$E14)=0,"진행상태 누락; ","")))</f>
        <v/>
      </c>
    </row>
    <row r="2047">
      <c r="A2047" s="26" t="inlineStr">
        <is>
          <t>사건마스터</t>
        </is>
      </c>
      <c r="B2047" s="66" t="n">
        <v>15</v>
      </c>
      <c r="C2047" s="122">
        <f>IF($D2047="","",사건마스터!$A15&amp;"  "&amp;사건마스터!$B15)</f>
        <v/>
      </c>
      <c r="D2047" s="122">
        <f>IF(사건마스터!$A15="","",TRIM(IF(COUNTIF(사건마스터!$A$5:$A$64,사건마스터!$A15)&gt;1,"사건번호 중복; ","")&amp;IF(사건마스터!$B15="","사건명 누락; ","")&amp;IF(사건마스터!$C15="","요청처 누락; ","")&amp;IF(COUNTIF(사건마스터!$L15:사건마스터!$AE15,"주담당")=0,"주담당 미지정; ","")&amp;IF(COUNTIF(사건마스터!$L15:사건마스터!$AE15,"주담당")&gt;1,"주담당 2명 이상; ","")&amp;IF(N(사건마스터!$G15)=0,"배정 인원 없음; ","")&amp;IF(COUNTIF(코드설정!$F$5:$F$7,사건마스터!$E15)=0,"진행상태 누락; ","")))</f>
        <v/>
      </c>
    </row>
    <row r="2048">
      <c r="A2048" s="26" t="inlineStr">
        <is>
          <t>사건마스터</t>
        </is>
      </c>
      <c r="B2048" s="66" t="n">
        <v>16</v>
      </c>
      <c r="C2048" s="122">
        <f>IF($D2048="","",사건마스터!$A16&amp;"  "&amp;사건마스터!$B16)</f>
        <v/>
      </c>
      <c r="D2048" s="122">
        <f>IF(사건마스터!$A16="","",TRIM(IF(COUNTIF(사건마스터!$A$5:$A$64,사건마스터!$A16)&gt;1,"사건번호 중복; ","")&amp;IF(사건마스터!$B16="","사건명 누락; ","")&amp;IF(사건마스터!$C16="","요청처 누락; ","")&amp;IF(COUNTIF(사건마스터!$L16:사건마스터!$AE16,"주담당")=0,"주담당 미지정; ","")&amp;IF(COUNTIF(사건마스터!$L16:사건마스터!$AE16,"주담당")&gt;1,"주담당 2명 이상; ","")&amp;IF(N(사건마스터!$G16)=0,"배정 인원 없음; ","")&amp;IF(COUNTIF(코드설정!$F$5:$F$7,사건마스터!$E16)=0,"진행상태 누락; ","")))</f>
        <v/>
      </c>
    </row>
    <row r="2049">
      <c r="A2049" s="26" t="inlineStr">
        <is>
          <t>사건마스터</t>
        </is>
      </c>
      <c r="B2049" s="66" t="n">
        <v>17</v>
      </c>
      <c r="C2049" s="122">
        <f>IF($D2049="","",사건마스터!$A17&amp;"  "&amp;사건마스터!$B17)</f>
        <v/>
      </c>
      <c r="D2049" s="122">
        <f>IF(사건마스터!$A17="","",TRIM(IF(COUNTIF(사건마스터!$A$5:$A$64,사건마스터!$A17)&gt;1,"사건번호 중복; ","")&amp;IF(사건마스터!$B17="","사건명 누락; ","")&amp;IF(사건마스터!$C17="","요청처 누락; ","")&amp;IF(COUNTIF(사건마스터!$L17:사건마스터!$AE17,"주담당")=0,"주담당 미지정; ","")&amp;IF(COUNTIF(사건마스터!$L17:사건마스터!$AE17,"주담당")&gt;1,"주담당 2명 이상; ","")&amp;IF(N(사건마스터!$G17)=0,"배정 인원 없음; ","")&amp;IF(COUNTIF(코드설정!$F$5:$F$7,사건마스터!$E17)=0,"진행상태 누락; ","")))</f>
        <v/>
      </c>
    </row>
    <row r="2050">
      <c r="A2050" s="26" t="inlineStr">
        <is>
          <t>사건마스터</t>
        </is>
      </c>
      <c r="B2050" s="66" t="n">
        <v>18</v>
      </c>
      <c r="C2050" s="122">
        <f>IF($D2050="","",사건마스터!$A18&amp;"  "&amp;사건마스터!$B18)</f>
        <v/>
      </c>
      <c r="D2050" s="122">
        <f>IF(사건마스터!$A18="","",TRIM(IF(COUNTIF(사건마스터!$A$5:$A$64,사건마스터!$A18)&gt;1,"사건번호 중복; ","")&amp;IF(사건마스터!$B18="","사건명 누락; ","")&amp;IF(사건마스터!$C18="","요청처 누락; ","")&amp;IF(COUNTIF(사건마스터!$L18:사건마스터!$AE18,"주담당")=0,"주담당 미지정; ","")&amp;IF(COUNTIF(사건마스터!$L18:사건마스터!$AE18,"주담당")&gt;1,"주담당 2명 이상; ","")&amp;IF(N(사건마스터!$G18)=0,"배정 인원 없음; ","")&amp;IF(COUNTIF(코드설정!$F$5:$F$7,사건마스터!$E18)=0,"진행상태 누락; ","")))</f>
        <v/>
      </c>
    </row>
    <row r="2051">
      <c r="A2051" s="26" t="inlineStr">
        <is>
          <t>사건마스터</t>
        </is>
      </c>
      <c r="B2051" s="66" t="n">
        <v>19</v>
      </c>
      <c r="C2051" s="122">
        <f>IF($D2051="","",사건마스터!$A19&amp;"  "&amp;사건마스터!$B19)</f>
        <v/>
      </c>
      <c r="D2051" s="122">
        <f>IF(사건마스터!$A19="","",TRIM(IF(COUNTIF(사건마스터!$A$5:$A$64,사건마스터!$A19)&gt;1,"사건번호 중복; ","")&amp;IF(사건마스터!$B19="","사건명 누락; ","")&amp;IF(사건마스터!$C19="","요청처 누락; ","")&amp;IF(COUNTIF(사건마스터!$L19:사건마스터!$AE19,"주담당")=0,"주담당 미지정; ","")&amp;IF(COUNTIF(사건마스터!$L19:사건마스터!$AE19,"주담당")&gt;1,"주담당 2명 이상; ","")&amp;IF(N(사건마스터!$G19)=0,"배정 인원 없음; ","")&amp;IF(COUNTIF(코드설정!$F$5:$F$7,사건마스터!$E19)=0,"진행상태 누락; ","")))</f>
        <v/>
      </c>
    </row>
    <row r="2052">
      <c r="A2052" s="26" t="inlineStr">
        <is>
          <t>사건마스터</t>
        </is>
      </c>
      <c r="B2052" s="66" t="n">
        <v>20</v>
      </c>
      <c r="C2052" s="122">
        <f>IF($D2052="","",사건마스터!$A20&amp;"  "&amp;사건마스터!$B20)</f>
        <v/>
      </c>
      <c r="D2052" s="122">
        <f>IF(사건마스터!$A20="","",TRIM(IF(COUNTIF(사건마스터!$A$5:$A$64,사건마스터!$A20)&gt;1,"사건번호 중복; ","")&amp;IF(사건마스터!$B20="","사건명 누락; ","")&amp;IF(사건마스터!$C20="","요청처 누락; ","")&amp;IF(COUNTIF(사건마스터!$L20:사건마스터!$AE20,"주담당")=0,"주담당 미지정; ","")&amp;IF(COUNTIF(사건마스터!$L20:사건마스터!$AE20,"주담당")&gt;1,"주담당 2명 이상; ","")&amp;IF(N(사건마스터!$G20)=0,"배정 인원 없음; ","")&amp;IF(COUNTIF(코드설정!$F$5:$F$7,사건마스터!$E20)=0,"진행상태 누락; ","")))</f>
        <v/>
      </c>
    </row>
    <row r="2053">
      <c r="A2053" s="26" t="inlineStr">
        <is>
          <t>사건마스터</t>
        </is>
      </c>
      <c r="B2053" s="66" t="n">
        <v>21</v>
      </c>
      <c r="C2053" s="122">
        <f>IF($D2053="","",사건마스터!$A21&amp;"  "&amp;사건마스터!$B21)</f>
        <v/>
      </c>
      <c r="D2053" s="122">
        <f>IF(사건마스터!$A21="","",TRIM(IF(COUNTIF(사건마스터!$A$5:$A$64,사건마스터!$A21)&gt;1,"사건번호 중복; ","")&amp;IF(사건마스터!$B21="","사건명 누락; ","")&amp;IF(사건마스터!$C21="","요청처 누락; ","")&amp;IF(COUNTIF(사건마스터!$L21:사건마스터!$AE21,"주담당")=0,"주담당 미지정; ","")&amp;IF(COUNTIF(사건마스터!$L21:사건마스터!$AE21,"주담당")&gt;1,"주담당 2명 이상; ","")&amp;IF(N(사건마스터!$G21)=0,"배정 인원 없음; ","")&amp;IF(COUNTIF(코드설정!$F$5:$F$7,사건마스터!$E21)=0,"진행상태 누락; ","")))</f>
        <v/>
      </c>
    </row>
    <row r="2054">
      <c r="A2054" s="26" t="inlineStr">
        <is>
          <t>사건마스터</t>
        </is>
      </c>
      <c r="B2054" s="66" t="n">
        <v>22</v>
      </c>
      <c r="C2054" s="122">
        <f>IF($D2054="","",사건마스터!$A22&amp;"  "&amp;사건마스터!$B22)</f>
        <v/>
      </c>
      <c r="D2054" s="122">
        <f>IF(사건마스터!$A22="","",TRIM(IF(COUNTIF(사건마스터!$A$5:$A$64,사건마스터!$A22)&gt;1,"사건번호 중복; ","")&amp;IF(사건마스터!$B22="","사건명 누락; ","")&amp;IF(사건마스터!$C22="","요청처 누락; ","")&amp;IF(COUNTIF(사건마스터!$L22:사건마스터!$AE22,"주담당")=0,"주담당 미지정; ","")&amp;IF(COUNTIF(사건마스터!$L22:사건마스터!$AE22,"주담당")&gt;1,"주담당 2명 이상; ","")&amp;IF(N(사건마스터!$G22)=0,"배정 인원 없음; ","")&amp;IF(COUNTIF(코드설정!$F$5:$F$7,사건마스터!$E22)=0,"진행상태 누락; ","")))</f>
        <v/>
      </c>
    </row>
    <row r="2055">
      <c r="A2055" s="26" t="inlineStr">
        <is>
          <t>사건마스터</t>
        </is>
      </c>
      <c r="B2055" s="66" t="n">
        <v>23</v>
      </c>
      <c r="C2055" s="122">
        <f>IF($D2055="","",사건마스터!$A23&amp;"  "&amp;사건마스터!$B23)</f>
        <v/>
      </c>
      <c r="D2055" s="122">
        <f>IF(사건마스터!$A23="","",TRIM(IF(COUNTIF(사건마스터!$A$5:$A$64,사건마스터!$A23)&gt;1,"사건번호 중복; ","")&amp;IF(사건마스터!$B23="","사건명 누락; ","")&amp;IF(사건마스터!$C23="","요청처 누락; ","")&amp;IF(COUNTIF(사건마스터!$L23:사건마스터!$AE23,"주담당")=0,"주담당 미지정; ","")&amp;IF(COUNTIF(사건마스터!$L23:사건마스터!$AE23,"주담당")&gt;1,"주담당 2명 이상; ","")&amp;IF(N(사건마스터!$G23)=0,"배정 인원 없음; ","")&amp;IF(COUNTIF(코드설정!$F$5:$F$7,사건마스터!$E23)=0,"진행상태 누락; ","")))</f>
        <v/>
      </c>
    </row>
    <row r="2056">
      <c r="A2056" s="26" t="inlineStr">
        <is>
          <t>사건마스터</t>
        </is>
      </c>
      <c r="B2056" s="66" t="n">
        <v>24</v>
      </c>
      <c r="C2056" s="122">
        <f>IF($D2056="","",사건마스터!$A24&amp;"  "&amp;사건마스터!$B24)</f>
        <v/>
      </c>
      <c r="D2056" s="122">
        <f>IF(사건마스터!$A24="","",TRIM(IF(COUNTIF(사건마스터!$A$5:$A$64,사건마스터!$A24)&gt;1,"사건번호 중복; ","")&amp;IF(사건마스터!$B24="","사건명 누락; ","")&amp;IF(사건마스터!$C24="","요청처 누락; ","")&amp;IF(COUNTIF(사건마스터!$L24:사건마스터!$AE24,"주담당")=0,"주담당 미지정; ","")&amp;IF(COUNTIF(사건마스터!$L24:사건마스터!$AE24,"주담당")&gt;1,"주담당 2명 이상; ","")&amp;IF(N(사건마스터!$G24)=0,"배정 인원 없음; ","")&amp;IF(COUNTIF(코드설정!$F$5:$F$7,사건마스터!$E24)=0,"진행상태 누락; ","")))</f>
        <v/>
      </c>
    </row>
    <row r="2057">
      <c r="A2057" s="26" t="inlineStr">
        <is>
          <t>사건마스터</t>
        </is>
      </c>
      <c r="B2057" s="66" t="n">
        <v>25</v>
      </c>
      <c r="C2057" s="122">
        <f>IF($D2057="","",사건마스터!$A25&amp;"  "&amp;사건마스터!$B25)</f>
        <v/>
      </c>
      <c r="D2057" s="122">
        <f>IF(사건마스터!$A25="","",TRIM(IF(COUNTIF(사건마스터!$A$5:$A$64,사건마스터!$A25)&gt;1,"사건번호 중복; ","")&amp;IF(사건마스터!$B25="","사건명 누락; ","")&amp;IF(사건마스터!$C25="","요청처 누락; ","")&amp;IF(COUNTIF(사건마스터!$L25:사건마스터!$AE25,"주담당")=0,"주담당 미지정; ","")&amp;IF(COUNTIF(사건마스터!$L25:사건마스터!$AE25,"주담당")&gt;1,"주담당 2명 이상; ","")&amp;IF(N(사건마스터!$G25)=0,"배정 인원 없음; ","")&amp;IF(COUNTIF(코드설정!$F$5:$F$7,사건마스터!$E25)=0,"진행상태 누락; ","")))</f>
        <v/>
      </c>
    </row>
    <row r="2058">
      <c r="A2058" s="26" t="inlineStr">
        <is>
          <t>사건마스터</t>
        </is>
      </c>
      <c r="B2058" s="66" t="n">
        <v>26</v>
      </c>
      <c r="C2058" s="122">
        <f>IF($D2058="","",사건마스터!$A26&amp;"  "&amp;사건마스터!$B26)</f>
        <v/>
      </c>
      <c r="D2058" s="122">
        <f>IF(사건마스터!$A26="","",TRIM(IF(COUNTIF(사건마스터!$A$5:$A$64,사건마스터!$A26)&gt;1,"사건번호 중복; ","")&amp;IF(사건마스터!$B26="","사건명 누락; ","")&amp;IF(사건마스터!$C26="","요청처 누락; ","")&amp;IF(COUNTIF(사건마스터!$L26:사건마스터!$AE26,"주담당")=0,"주담당 미지정; ","")&amp;IF(COUNTIF(사건마스터!$L26:사건마스터!$AE26,"주담당")&gt;1,"주담당 2명 이상; ","")&amp;IF(N(사건마스터!$G26)=0,"배정 인원 없음; ","")&amp;IF(COUNTIF(코드설정!$F$5:$F$7,사건마스터!$E26)=0,"진행상태 누락; ","")))</f>
        <v/>
      </c>
    </row>
    <row r="2059">
      <c r="A2059" s="26" t="inlineStr">
        <is>
          <t>사건마스터</t>
        </is>
      </c>
      <c r="B2059" s="66" t="n">
        <v>27</v>
      </c>
      <c r="C2059" s="122">
        <f>IF($D2059="","",사건마스터!$A27&amp;"  "&amp;사건마스터!$B27)</f>
        <v/>
      </c>
      <c r="D2059" s="122">
        <f>IF(사건마스터!$A27="","",TRIM(IF(COUNTIF(사건마스터!$A$5:$A$64,사건마스터!$A27)&gt;1,"사건번호 중복; ","")&amp;IF(사건마스터!$B27="","사건명 누락; ","")&amp;IF(사건마스터!$C27="","요청처 누락; ","")&amp;IF(COUNTIF(사건마스터!$L27:사건마스터!$AE27,"주담당")=0,"주담당 미지정; ","")&amp;IF(COUNTIF(사건마스터!$L27:사건마스터!$AE27,"주담당")&gt;1,"주담당 2명 이상; ","")&amp;IF(N(사건마스터!$G27)=0,"배정 인원 없음; ","")&amp;IF(COUNTIF(코드설정!$F$5:$F$7,사건마스터!$E27)=0,"진행상태 누락; ","")))</f>
        <v/>
      </c>
    </row>
    <row r="2060">
      <c r="A2060" s="26" t="inlineStr">
        <is>
          <t>사건마스터</t>
        </is>
      </c>
      <c r="B2060" s="66" t="n">
        <v>28</v>
      </c>
      <c r="C2060" s="122">
        <f>IF($D2060="","",사건마스터!$A28&amp;"  "&amp;사건마스터!$B28)</f>
        <v/>
      </c>
      <c r="D2060" s="122">
        <f>IF(사건마스터!$A28="","",TRIM(IF(COUNTIF(사건마스터!$A$5:$A$64,사건마스터!$A28)&gt;1,"사건번호 중복; ","")&amp;IF(사건마스터!$B28="","사건명 누락; ","")&amp;IF(사건마스터!$C28="","요청처 누락; ","")&amp;IF(COUNTIF(사건마스터!$L28:사건마스터!$AE28,"주담당")=0,"주담당 미지정; ","")&amp;IF(COUNTIF(사건마스터!$L28:사건마스터!$AE28,"주담당")&gt;1,"주담당 2명 이상; ","")&amp;IF(N(사건마스터!$G28)=0,"배정 인원 없음; ","")&amp;IF(COUNTIF(코드설정!$F$5:$F$7,사건마스터!$E28)=0,"진행상태 누락; ","")))</f>
        <v/>
      </c>
    </row>
    <row r="2061">
      <c r="A2061" s="26" t="inlineStr">
        <is>
          <t>사건마스터</t>
        </is>
      </c>
      <c r="B2061" s="66" t="n">
        <v>29</v>
      </c>
      <c r="C2061" s="122">
        <f>IF($D2061="","",사건마스터!$A29&amp;"  "&amp;사건마스터!$B29)</f>
        <v/>
      </c>
      <c r="D2061" s="122">
        <f>IF(사건마스터!$A29="","",TRIM(IF(COUNTIF(사건마스터!$A$5:$A$64,사건마스터!$A29)&gt;1,"사건번호 중복; ","")&amp;IF(사건마스터!$B29="","사건명 누락; ","")&amp;IF(사건마스터!$C29="","요청처 누락; ","")&amp;IF(COUNTIF(사건마스터!$L29:사건마스터!$AE29,"주담당")=0,"주담당 미지정; ","")&amp;IF(COUNTIF(사건마스터!$L29:사건마스터!$AE29,"주담당")&gt;1,"주담당 2명 이상; ","")&amp;IF(N(사건마스터!$G29)=0,"배정 인원 없음; ","")&amp;IF(COUNTIF(코드설정!$F$5:$F$7,사건마스터!$E29)=0,"진행상태 누락; ","")))</f>
        <v/>
      </c>
    </row>
    <row r="2062">
      <c r="A2062" s="26" t="inlineStr">
        <is>
          <t>사건마스터</t>
        </is>
      </c>
      <c r="B2062" s="66" t="n">
        <v>30</v>
      </c>
      <c r="C2062" s="122">
        <f>IF($D2062="","",사건마스터!$A30&amp;"  "&amp;사건마스터!$B30)</f>
        <v/>
      </c>
      <c r="D2062" s="122">
        <f>IF(사건마스터!$A30="","",TRIM(IF(COUNTIF(사건마스터!$A$5:$A$64,사건마스터!$A30)&gt;1,"사건번호 중복; ","")&amp;IF(사건마스터!$B30="","사건명 누락; ","")&amp;IF(사건마스터!$C30="","요청처 누락; ","")&amp;IF(COUNTIF(사건마스터!$L30:사건마스터!$AE30,"주담당")=0,"주담당 미지정; ","")&amp;IF(COUNTIF(사건마스터!$L30:사건마스터!$AE30,"주담당")&gt;1,"주담당 2명 이상; ","")&amp;IF(N(사건마스터!$G30)=0,"배정 인원 없음; ","")&amp;IF(COUNTIF(코드설정!$F$5:$F$7,사건마스터!$E30)=0,"진행상태 누락; ","")))</f>
        <v/>
      </c>
    </row>
    <row r="2063">
      <c r="A2063" s="26" t="inlineStr">
        <is>
          <t>사건마스터</t>
        </is>
      </c>
      <c r="B2063" s="66" t="n">
        <v>31</v>
      </c>
      <c r="C2063" s="122">
        <f>IF($D2063="","",사건마스터!$A31&amp;"  "&amp;사건마스터!$B31)</f>
        <v/>
      </c>
      <c r="D2063" s="122">
        <f>IF(사건마스터!$A31="","",TRIM(IF(COUNTIF(사건마스터!$A$5:$A$64,사건마스터!$A31)&gt;1,"사건번호 중복; ","")&amp;IF(사건마스터!$B31="","사건명 누락; ","")&amp;IF(사건마스터!$C31="","요청처 누락; ","")&amp;IF(COUNTIF(사건마스터!$L31:사건마스터!$AE31,"주담당")=0,"주담당 미지정; ","")&amp;IF(COUNTIF(사건마스터!$L31:사건마스터!$AE31,"주담당")&gt;1,"주담당 2명 이상; ","")&amp;IF(N(사건마스터!$G31)=0,"배정 인원 없음; ","")&amp;IF(COUNTIF(코드설정!$F$5:$F$7,사건마스터!$E31)=0,"진행상태 누락; ","")))</f>
        <v/>
      </c>
    </row>
    <row r="2064">
      <c r="A2064" s="26" t="inlineStr">
        <is>
          <t>사건마스터</t>
        </is>
      </c>
      <c r="B2064" s="66" t="n">
        <v>32</v>
      </c>
      <c r="C2064" s="122">
        <f>IF($D2064="","",사건마스터!$A32&amp;"  "&amp;사건마스터!$B32)</f>
        <v/>
      </c>
      <c r="D2064" s="122">
        <f>IF(사건마스터!$A32="","",TRIM(IF(COUNTIF(사건마스터!$A$5:$A$64,사건마스터!$A32)&gt;1,"사건번호 중복; ","")&amp;IF(사건마스터!$B32="","사건명 누락; ","")&amp;IF(사건마스터!$C32="","요청처 누락; ","")&amp;IF(COUNTIF(사건마스터!$L32:사건마스터!$AE32,"주담당")=0,"주담당 미지정; ","")&amp;IF(COUNTIF(사건마스터!$L32:사건마스터!$AE32,"주담당")&gt;1,"주담당 2명 이상; ","")&amp;IF(N(사건마스터!$G32)=0,"배정 인원 없음; ","")&amp;IF(COUNTIF(코드설정!$F$5:$F$7,사건마스터!$E32)=0,"진행상태 누락; ","")))</f>
        <v/>
      </c>
    </row>
    <row r="2065">
      <c r="A2065" s="26" t="inlineStr">
        <is>
          <t>사건마스터</t>
        </is>
      </c>
      <c r="B2065" s="66" t="n">
        <v>33</v>
      </c>
      <c r="C2065" s="122">
        <f>IF($D2065="","",사건마스터!$A33&amp;"  "&amp;사건마스터!$B33)</f>
        <v/>
      </c>
      <c r="D2065" s="122">
        <f>IF(사건마스터!$A33="","",TRIM(IF(COUNTIF(사건마스터!$A$5:$A$64,사건마스터!$A33)&gt;1,"사건번호 중복; ","")&amp;IF(사건마스터!$B33="","사건명 누락; ","")&amp;IF(사건마스터!$C33="","요청처 누락; ","")&amp;IF(COUNTIF(사건마스터!$L33:사건마스터!$AE33,"주담당")=0,"주담당 미지정; ","")&amp;IF(COUNTIF(사건마스터!$L33:사건마스터!$AE33,"주담당")&gt;1,"주담당 2명 이상; ","")&amp;IF(N(사건마스터!$G33)=0,"배정 인원 없음; ","")&amp;IF(COUNTIF(코드설정!$F$5:$F$7,사건마스터!$E33)=0,"진행상태 누락; ","")))</f>
        <v/>
      </c>
    </row>
    <row r="2066">
      <c r="A2066" s="26" t="inlineStr">
        <is>
          <t>사건마스터</t>
        </is>
      </c>
      <c r="B2066" s="66" t="n">
        <v>34</v>
      </c>
      <c r="C2066" s="122">
        <f>IF($D2066="","",사건마스터!$A34&amp;"  "&amp;사건마스터!$B34)</f>
        <v/>
      </c>
      <c r="D2066" s="122">
        <f>IF(사건마스터!$A34="","",TRIM(IF(COUNTIF(사건마스터!$A$5:$A$64,사건마스터!$A34)&gt;1,"사건번호 중복; ","")&amp;IF(사건마스터!$B34="","사건명 누락; ","")&amp;IF(사건마스터!$C34="","요청처 누락; ","")&amp;IF(COUNTIF(사건마스터!$L34:사건마스터!$AE34,"주담당")=0,"주담당 미지정; ","")&amp;IF(COUNTIF(사건마스터!$L34:사건마스터!$AE34,"주담당")&gt;1,"주담당 2명 이상; ","")&amp;IF(N(사건마스터!$G34)=0,"배정 인원 없음; ","")&amp;IF(COUNTIF(코드설정!$F$5:$F$7,사건마스터!$E34)=0,"진행상태 누락; ","")))</f>
        <v/>
      </c>
    </row>
    <row r="2067">
      <c r="A2067" s="26" t="inlineStr">
        <is>
          <t>사건마스터</t>
        </is>
      </c>
      <c r="B2067" s="66" t="n">
        <v>35</v>
      </c>
      <c r="C2067" s="122">
        <f>IF($D2067="","",사건마스터!$A35&amp;"  "&amp;사건마스터!$B35)</f>
        <v/>
      </c>
      <c r="D2067" s="122">
        <f>IF(사건마스터!$A35="","",TRIM(IF(COUNTIF(사건마스터!$A$5:$A$64,사건마스터!$A35)&gt;1,"사건번호 중복; ","")&amp;IF(사건마스터!$B35="","사건명 누락; ","")&amp;IF(사건마스터!$C35="","요청처 누락; ","")&amp;IF(COUNTIF(사건마스터!$L35:사건마스터!$AE35,"주담당")=0,"주담당 미지정; ","")&amp;IF(COUNTIF(사건마스터!$L35:사건마스터!$AE35,"주담당")&gt;1,"주담당 2명 이상; ","")&amp;IF(N(사건마스터!$G35)=0,"배정 인원 없음; ","")&amp;IF(COUNTIF(코드설정!$F$5:$F$7,사건마스터!$E35)=0,"진행상태 누락; ","")))</f>
        <v/>
      </c>
    </row>
    <row r="2068">
      <c r="A2068" s="26" t="inlineStr">
        <is>
          <t>사건마스터</t>
        </is>
      </c>
      <c r="B2068" s="66" t="n">
        <v>36</v>
      </c>
      <c r="C2068" s="122">
        <f>IF($D2068="","",사건마스터!$A36&amp;"  "&amp;사건마스터!$B36)</f>
        <v/>
      </c>
      <c r="D2068" s="122">
        <f>IF(사건마스터!$A36="","",TRIM(IF(COUNTIF(사건마스터!$A$5:$A$64,사건마스터!$A36)&gt;1,"사건번호 중복; ","")&amp;IF(사건마스터!$B36="","사건명 누락; ","")&amp;IF(사건마스터!$C36="","요청처 누락; ","")&amp;IF(COUNTIF(사건마스터!$L36:사건마스터!$AE36,"주담당")=0,"주담당 미지정; ","")&amp;IF(COUNTIF(사건마스터!$L36:사건마스터!$AE36,"주담당")&gt;1,"주담당 2명 이상; ","")&amp;IF(N(사건마스터!$G36)=0,"배정 인원 없음; ","")&amp;IF(COUNTIF(코드설정!$F$5:$F$7,사건마스터!$E36)=0,"진행상태 누락; ","")))</f>
        <v/>
      </c>
    </row>
    <row r="2069">
      <c r="A2069" s="26" t="inlineStr">
        <is>
          <t>사건마스터</t>
        </is>
      </c>
      <c r="B2069" s="66" t="n">
        <v>37</v>
      </c>
      <c r="C2069" s="122">
        <f>IF($D2069="","",사건마스터!$A37&amp;"  "&amp;사건마스터!$B37)</f>
        <v/>
      </c>
      <c r="D2069" s="122">
        <f>IF(사건마스터!$A37="","",TRIM(IF(COUNTIF(사건마스터!$A$5:$A$64,사건마스터!$A37)&gt;1,"사건번호 중복; ","")&amp;IF(사건마스터!$B37="","사건명 누락; ","")&amp;IF(사건마스터!$C37="","요청처 누락; ","")&amp;IF(COUNTIF(사건마스터!$L37:사건마스터!$AE37,"주담당")=0,"주담당 미지정; ","")&amp;IF(COUNTIF(사건마스터!$L37:사건마스터!$AE37,"주담당")&gt;1,"주담당 2명 이상; ","")&amp;IF(N(사건마스터!$G37)=0,"배정 인원 없음; ","")&amp;IF(COUNTIF(코드설정!$F$5:$F$7,사건마스터!$E37)=0,"진행상태 누락; ","")))</f>
        <v/>
      </c>
    </row>
    <row r="2070">
      <c r="A2070" s="26" t="inlineStr">
        <is>
          <t>사건마스터</t>
        </is>
      </c>
      <c r="B2070" s="66" t="n">
        <v>38</v>
      </c>
      <c r="C2070" s="122">
        <f>IF($D2070="","",사건마스터!$A38&amp;"  "&amp;사건마스터!$B38)</f>
        <v/>
      </c>
      <c r="D2070" s="122">
        <f>IF(사건마스터!$A38="","",TRIM(IF(COUNTIF(사건마스터!$A$5:$A$64,사건마스터!$A38)&gt;1,"사건번호 중복; ","")&amp;IF(사건마스터!$B38="","사건명 누락; ","")&amp;IF(사건마스터!$C38="","요청처 누락; ","")&amp;IF(COUNTIF(사건마스터!$L38:사건마스터!$AE38,"주담당")=0,"주담당 미지정; ","")&amp;IF(COUNTIF(사건마스터!$L38:사건마스터!$AE38,"주담당")&gt;1,"주담당 2명 이상; ","")&amp;IF(N(사건마스터!$G38)=0,"배정 인원 없음; ","")&amp;IF(COUNTIF(코드설정!$F$5:$F$7,사건마스터!$E38)=0,"진행상태 누락; ","")))</f>
        <v/>
      </c>
    </row>
    <row r="2071">
      <c r="A2071" s="26" t="inlineStr">
        <is>
          <t>사건마스터</t>
        </is>
      </c>
      <c r="B2071" s="66" t="n">
        <v>39</v>
      </c>
      <c r="C2071" s="122">
        <f>IF($D2071="","",사건마스터!$A39&amp;"  "&amp;사건마스터!$B39)</f>
        <v/>
      </c>
      <c r="D2071" s="122">
        <f>IF(사건마스터!$A39="","",TRIM(IF(COUNTIF(사건마스터!$A$5:$A$64,사건마스터!$A39)&gt;1,"사건번호 중복; ","")&amp;IF(사건마스터!$B39="","사건명 누락; ","")&amp;IF(사건마스터!$C39="","요청처 누락; ","")&amp;IF(COUNTIF(사건마스터!$L39:사건마스터!$AE39,"주담당")=0,"주담당 미지정; ","")&amp;IF(COUNTIF(사건마스터!$L39:사건마스터!$AE39,"주담당")&gt;1,"주담당 2명 이상; ","")&amp;IF(N(사건마스터!$G39)=0,"배정 인원 없음; ","")&amp;IF(COUNTIF(코드설정!$F$5:$F$7,사건마스터!$E39)=0,"진행상태 누락; ","")))</f>
        <v/>
      </c>
    </row>
    <row r="2072">
      <c r="A2072" s="26" t="inlineStr">
        <is>
          <t>사건마스터</t>
        </is>
      </c>
      <c r="B2072" s="66" t="n">
        <v>40</v>
      </c>
      <c r="C2072" s="122">
        <f>IF($D2072="","",사건마스터!$A40&amp;"  "&amp;사건마스터!$B40)</f>
        <v/>
      </c>
      <c r="D2072" s="122">
        <f>IF(사건마스터!$A40="","",TRIM(IF(COUNTIF(사건마스터!$A$5:$A$64,사건마스터!$A40)&gt;1,"사건번호 중복; ","")&amp;IF(사건마스터!$B40="","사건명 누락; ","")&amp;IF(사건마스터!$C40="","요청처 누락; ","")&amp;IF(COUNTIF(사건마스터!$L40:사건마스터!$AE40,"주담당")=0,"주담당 미지정; ","")&amp;IF(COUNTIF(사건마스터!$L40:사건마스터!$AE40,"주담당")&gt;1,"주담당 2명 이상; ","")&amp;IF(N(사건마스터!$G40)=0,"배정 인원 없음; ","")&amp;IF(COUNTIF(코드설정!$F$5:$F$7,사건마스터!$E40)=0,"진행상태 누락; ","")))</f>
        <v/>
      </c>
    </row>
    <row r="2073">
      <c r="A2073" s="26" t="inlineStr">
        <is>
          <t>사건마스터</t>
        </is>
      </c>
      <c r="B2073" s="66" t="n">
        <v>41</v>
      </c>
      <c r="C2073" s="122">
        <f>IF($D2073="","",사건마스터!$A41&amp;"  "&amp;사건마스터!$B41)</f>
        <v/>
      </c>
      <c r="D2073" s="122">
        <f>IF(사건마스터!$A41="","",TRIM(IF(COUNTIF(사건마스터!$A$5:$A$64,사건마스터!$A41)&gt;1,"사건번호 중복; ","")&amp;IF(사건마스터!$B41="","사건명 누락; ","")&amp;IF(사건마스터!$C41="","요청처 누락; ","")&amp;IF(COUNTIF(사건마스터!$L41:사건마스터!$AE41,"주담당")=0,"주담당 미지정; ","")&amp;IF(COUNTIF(사건마스터!$L41:사건마스터!$AE41,"주담당")&gt;1,"주담당 2명 이상; ","")&amp;IF(N(사건마스터!$G41)=0,"배정 인원 없음; ","")&amp;IF(COUNTIF(코드설정!$F$5:$F$7,사건마스터!$E41)=0,"진행상태 누락; ","")))</f>
        <v/>
      </c>
    </row>
    <row r="2074">
      <c r="A2074" s="26" t="inlineStr">
        <is>
          <t>사건마스터</t>
        </is>
      </c>
      <c r="B2074" s="66" t="n">
        <v>42</v>
      </c>
      <c r="C2074" s="122">
        <f>IF($D2074="","",사건마스터!$A42&amp;"  "&amp;사건마스터!$B42)</f>
        <v/>
      </c>
      <c r="D2074" s="122">
        <f>IF(사건마스터!$A42="","",TRIM(IF(COUNTIF(사건마스터!$A$5:$A$64,사건마스터!$A42)&gt;1,"사건번호 중복; ","")&amp;IF(사건마스터!$B42="","사건명 누락; ","")&amp;IF(사건마스터!$C42="","요청처 누락; ","")&amp;IF(COUNTIF(사건마스터!$L42:사건마스터!$AE42,"주담당")=0,"주담당 미지정; ","")&amp;IF(COUNTIF(사건마스터!$L42:사건마스터!$AE42,"주담당")&gt;1,"주담당 2명 이상; ","")&amp;IF(N(사건마스터!$G42)=0,"배정 인원 없음; ","")&amp;IF(COUNTIF(코드설정!$F$5:$F$7,사건마스터!$E42)=0,"진행상태 누락; ","")))</f>
        <v/>
      </c>
    </row>
    <row r="2075">
      <c r="A2075" s="26" t="inlineStr">
        <is>
          <t>사건마스터</t>
        </is>
      </c>
      <c r="B2075" s="66" t="n">
        <v>43</v>
      </c>
      <c r="C2075" s="122">
        <f>IF($D2075="","",사건마스터!$A43&amp;"  "&amp;사건마스터!$B43)</f>
        <v/>
      </c>
      <c r="D2075" s="122">
        <f>IF(사건마스터!$A43="","",TRIM(IF(COUNTIF(사건마스터!$A$5:$A$64,사건마스터!$A43)&gt;1,"사건번호 중복; ","")&amp;IF(사건마스터!$B43="","사건명 누락; ","")&amp;IF(사건마스터!$C43="","요청처 누락; ","")&amp;IF(COUNTIF(사건마스터!$L43:사건마스터!$AE43,"주담당")=0,"주담당 미지정; ","")&amp;IF(COUNTIF(사건마스터!$L43:사건마스터!$AE43,"주담당")&gt;1,"주담당 2명 이상; ","")&amp;IF(N(사건마스터!$G43)=0,"배정 인원 없음; ","")&amp;IF(COUNTIF(코드설정!$F$5:$F$7,사건마스터!$E43)=0,"진행상태 누락; ","")))</f>
        <v/>
      </c>
    </row>
    <row r="2076">
      <c r="A2076" s="26" t="inlineStr">
        <is>
          <t>사건마스터</t>
        </is>
      </c>
      <c r="B2076" s="66" t="n">
        <v>44</v>
      </c>
      <c r="C2076" s="122">
        <f>IF($D2076="","",사건마스터!$A44&amp;"  "&amp;사건마스터!$B44)</f>
        <v/>
      </c>
      <c r="D2076" s="122">
        <f>IF(사건마스터!$A44="","",TRIM(IF(COUNTIF(사건마스터!$A$5:$A$64,사건마스터!$A44)&gt;1,"사건번호 중복; ","")&amp;IF(사건마스터!$B44="","사건명 누락; ","")&amp;IF(사건마스터!$C44="","요청처 누락; ","")&amp;IF(COUNTIF(사건마스터!$L44:사건마스터!$AE44,"주담당")=0,"주담당 미지정; ","")&amp;IF(COUNTIF(사건마스터!$L44:사건마스터!$AE44,"주담당")&gt;1,"주담당 2명 이상; ","")&amp;IF(N(사건마스터!$G44)=0,"배정 인원 없음; ","")&amp;IF(COUNTIF(코드설정!$F$5:$F$7,사건마스터!$E44)=0,"진행상태 누락; ","")))</f>
        <v/>
      </c>
    </row>
    <row r="2077">
      <c r="A2077" s="26" t="inlineStr">
        <is>
          <t>사건마스터</t>
        </is>
      </c>
      <c r="B2077" s="66" t="n">
        <v>45</v>
      </c>
      <c r="C2077" s="122">
        <f>IF($D2077="","",사건마스터!$A45&amp;"  "&amp;사건마스터!$B45)</f>
        <v/>
      </c>
      <c r="D2077" s="122">
        <f>IF(사건마스터!$A45="","",TRIM(IF(COUNTIF(사건마스터!$A$5:$A$64,사건마스터!$A45)&gt;1,"사건번호 중복; ","")&amp;IF(사건마스터!$B45="","사건명 누락; ","")&amp;IF(사건마스터!$C45="","요청처 누락; ","")&amp;IF(COUNTIF(사건마스터!$L45:사건마스터!$AE45,"주담당")=0,"주담당 미지정; ","")&amp;IF(COUNTIF(사건마스터!$L45:사건마스터!$AE45,"주담당")&gt;1,"주담당 2명 이상; ","")&amp;IF(N(사건마스터!$G45)=0,"배정 인원 없음; ","")&amp;IF(COUNTIF(코드설정!$F$5:$F$7,사건마스터!$E45)=0,"진행상태 누락; ","")))</f>
        <v/>
      </c>
    </row>
    <row r="2078">
      <c r="A2078" s="26" t="inlineStr">
        <is>
          <t>사건마스터</t>
        </is>
      </c>
      <c r="B2078" s="66" t="n">
        <v>46</v>
      </c>
      <c r="C2078" s="122">
        <f>IF($D2078="","",사건마스터!$A46&amp;"  "&amp;사건마스터!$B46)</f>
        <v/>
      </c>
      <c r="D2078" s="122">
        <f>IF(사건마스터!$A46="","",TRIM(IF(COUNTIF(사건마스터!$A$5:$A$64,사건마스터!$A46)&gt;1,"사건번호 중복; ","")&amp;IF(사건마스터!$B46="","사건명 누락; ","")&amp;IF(사건마스터!$C46="","요청처 누락; ","")&amp;IF(COUNTIF(사건마스터!$L46:사건마스터!$AE46,"주담당")=0,"주담당 미지정; ","")&amp;IF(COUNTIF(사건마스터!$L46:사건마스터!$AE46,"주담당")&gt;1,"주담당 2명 이상; ","")&amp;IF(N(사건마스터!$G46)=0,"배정 인원 없음; ","")&amp;IF(COUNTIF(코드설정!$F$5:$F$7,사건마스터!$E46)=0,"진행상태 누락; ","")))</f>
        <v/>
      </c>
    </row>
    <row r="2079">
      <c r="A2079" s="26" t="inlineStr">
        <is>
          <t>사건마스터</t>
        </is>
      </c>
      <c r="B2079" s="66" t="n">
        <v>47</v>
      </c>
      <c r="C2079" s="122">
        <f>IF($D2079="","",사건마스터!$A47&amp;"  "&amp;사건마스터!$B47)</f>
        <v/>
      </c>
      <c r="D2079" s="122">
        <f>IF(사건마스터!$A47="","",TRIM(IF(COUNTIF(사건마스터!$A$5:$A$64,사건마스터!$A47)&gt;1,"사건번호 중복; ","")&amp;IF(사건마스터!$B47="","사건명 누락; ","")&amp;IF(사건마스터!$C47="","요청처 누락; ","")&amp;IF(COUNTIF(사건마스터!$L47:사건마스터!$AE47,"주담당")=0,"주담당 미지정; ","")&amp;IF(COUNTIF(사건마스터!$L47:사건마스터!$AE47,"주담당")&gt;1,"주담당 2명 이상; ","")&amp;IF(N(사건마스터!$G47)=0,"배정 인원 없음; ","")&amp;IF(COUNTIF(코드설정!$F$5:$F$7,사건마스터!$E47)=0,"진행상태 누락; ","")))</f>
        <v/>
      </c>
    </row>
    <row r="2080">
      <c r="A2080" s="26" t="inlineStr">
        <is>
          <t>사건마스터</t>
        </is>
      </c>
      <c r="B2080" s="66" t="n">
        <v>48</v>
      </c>
      <c r="C2080" s="122">
        <f>IF($D2080="","",사건마스터!$A48&amp;"  "&amp;사건마스터!$B48)</f>
        <v/>
      </c>
      <c r="D2080" s="122">
        <f>IF(사건마스터!$A48="","",TRIM(IF(COUNTIF(사건마스터!$A$5:$A$64,사건마스터!$A48)&gt;1,"사건번호 중복; ","")&amp;IF(사건마스터!$B48="","사건명 누락; ","")&amp;IF(사건마스터!$C48="","요청처 누락; ","")&amp;IF(COUNTIF(사건마스터!$L48:사건마스터!$AE48,"주담당")=0,"주담당 미지정; ","")&amp;IF(COUNTIF(사건마스터!$L48:사건마스터!$AE48,"주담당")&gt;1,"주담당 2명 이상; ","")&amp;IF(N(사건마스터!$G48)=0,"배정 인원 없음; ","")&amp;IF(COUNTIF(코드설정!$F$5:$F$7,사건마스터!$E48)=0,"진행상태 누락; ","")))</f>
        <v/>
      </c>
    </row>
    <row r="2081">
      <c r="A2081" s="26" t="inlineStr">
        <is>
          <t>사건마스터</t>
        </is>
      </c>
      <c r="B2081" s="66" t="n">
        <v>49</v>
      </c>
      <c r="C2081" s="122">
        <f>IF($D2081="","",사건마스터!$A49&amp;"  "&amp;사건마스터!$B49)</f>
        <v/>
      </c>
      <c r="D2081" s="122">
        <f>IF(사건마스터!$A49="","",TRIM(IF(COUNTIF(사건마스터!$A$5:$A$64,사건마스터!$A49)&gt;1,"사건번호 중복; ","")&amp;IF(사건마스터!$B49="","사건명 누락; ","")&amp;IF(사건마스터!$C49="","요청처 누락; ","")&amp;IF(COUNTIF(사건마스터!$L49:사건마스터!$AE49,"주담당")=0,"주담당 미지정; ","")&amp;IF(COUNTIF(사건마스터!$L49:사건마스터!$AE49,"주담당")&gt;1,"주담당 2명 이상; ","")&amp;IF(N(사건마스터!$G49)=0,"배정 인원 없음; ","")&amp;IF(COUNTIF(코드설정!$F$5:$F$7,사건마스터!$E49)=0,"진행상태 누락; ","")))</f>
        <v/>
      </c>
    </row>
    <row r="2082">
      <c r="A2082" s="26" t="inlineStr">
        <is>
          <t>사건마스터</t>
        </is>
      </c>
      <c r="B2082" s="66" t="n">
        <v>50</v>
      </c>
      <c r="C2082" s="122">
        <f>IF($D2082="","",사건마스터!$A50&amp;"  "&amp;사건마스터!$B50)</f>
        <v/>
      </c>
      <c r="D2082" s="122">
        <f>IF(사건마스터!$A50="","",TRIM(IF(COUNTIF(사건마스터!$A$5:$A$64,사건마스터!$A50)&gt;1,"사건번호 중복; ","")&amp;IF(사건마스터!$B50="","사건명 누락; ","")&amp;IF(사건마스터!$C50="","요청처 누락; ","")&amp;IF(COUNTIF(사건마스터!$L50:사건마스터!$AE50,"주담당")=0,"주담당 미지정; ","")&amp;IF(COUNTIF(사건마스터!$L50:사건마스터!$AE50,"주담당")&gt;1,"주담당 2명 이상; ","")&amp;IF(N(사건마스터!$G50)=0,"배정 인원 없음; ","")&amp;IF(COUNTIF(코드설정!$F$5:$F$7,사건마스터!$E50)=0,"진행상태 누락; ","")))</f>
        <v/>
      </c>
    </row>
    <row r="2083">
      <c r="A2083" s="26" t="inlineStr">
        <is>
          <t>사건마스터</t>
        </is>
      </c>
      <c r="B2083" s="66" t="n">
        <v>51</v>
      </c>
      <c r="C2083" s="122">
        <f>IF($D2083="","",사건마스터!$A51&amp;"  "&amp;사건마스터!$B51)</f>
        <v/>
      </c>
      <c r="D2083" s="122">
        <f>IF(사건마스터!$A51="","",TRIM(IF(COUNTIF(사건마스터!$A$5:$A$64,사건마스터!$A51)&gt;1,"사건번호 중복; ","")&amp;IF(사건마스터!$B51="","사건명 누락; ","")&amp;IF(사건마스터!$C51="","요청처 누락; ","")&amp;IF(COUNTIF(사건마스터!$L51:사건마스터!$AE51,"주담당")=0,"주담당 미지정; ","")&amp;IF(COUNTIF(사건마스터!$L51:사건마스터!$AE51,"주담당")&gt;1,"주담당 2명 이상; ","")&amp;IF(N(사건마스터!$G51)=0,"배정 인원 없음; ","")&amp;IF(COUNTIF(코드설정!$F$5:$F$7,사건마스터!$E51)=0,"진행상태 누락; ","")))</f>
        <v/>
      </c>
    </row>
    <row r="2084">
      <c r="A2084" s="26" t="inlineStr">
        <is>
          <t>사건마스터</t>
        </is>
      </c>
      <c r="B2084" s="66" t="n">
        <v>52</v>
      </c>
      <c r="C2084" s="122">
        <f>IF($D2084="","",사건마스터!$A52&amp;"  "&amp;사건마스터!$B52)</f>
        <v/>
      </c>
      <c r="D2084" s="122">
        <f>IF(사건마스터!$A52="","",TRIM(IF(COUNTIF(사건마스터!$A$5:$A$64,사건마스터!$A52)&gt;1,"사건번호 중복; ","")&amp;IF(사건마스터!$B52="","사건명 누락; ","")&amp;IF(사건마스터!$C52="","요청처 누락; ","")&amp;IF(COUNTIF(사건마스터!$L52:사건마스터!$AE52,"주담당")=0,"주담당 미지정; ","")&amp;IF(COUNTIF(사건마스터!$L52:사건마스터!$AE52,"주담당")&gt;1,"주담당 2명 이상; ","")&amp;IF(N(사건마스터!$G52)=0,"배정 인원 없음; ","")&amp;IF(COUNTIF(코드설정!$F$5:$F$7,사건마스터!$E52)=0,"진행상태 누락; ","")))</f>
        <v/>
      </c>
    </row>
    <row r="2085">
      <c r="A2085" s="26" t="inlineStr">
        <is>
          <t>사건마스터</t>
        </is>
      </c>
      <c r="B2085" s="66" t="n">
        <v>53</v>
      </c>
      <c r="C2085" s="122">
        <f>IF($D2085="","",사건마스터!$A53&amp;"  "&amp;사건마스터!$B53)</f>
        <v/>
      </c>
      <c r="D2085" s="122">
        <f>IF(사건마스터!$A53="","",TRIM(IF(COUNTIF(사건마스터!$A$5:$A$64,사건마스터!$A53)&gt;1,"사건번호 중복; ","")&amp;IF(사건마스터!$B53="","사건명 누락; ","")&amp;IF(사건마스터!$C53="","요청처 누락; ","")&amp;IF(COUNTIF(사건마스터!$L53:사건마스터!$AE53,"주담당")=0,"주담당 미지정; ","")&amp;IF(COUNTIF(사건마스터!$L53:사건마스터!$AE53,"주담당")&gt;1,"주담당 2명 이상; ","")&amp;IF(N(사건마스터!$G53)=0,"배정 인원 없음; ","")&amp;IF(COUNTIF(코드설정!$F$5:$F$7,사건마스터!$E53)=0,"진행상태 누락; ","")))</f>
        <v/>
      </c>
    </row>
    <row r="2086">
      <c r="A2086" s="26" t="inlineStr">
        <is>
          <t>사건마스터</t>
        </is>
      </c>
      <c r="B2086" s="66" t="n">
        <v>54</v>
      </c>
      <c r="C2086" s="122">
        <f>IF($D2086="","",사건마스터!$A54&amp;"  "&amp;사건마스터!$B54)</f>
        <v/>
      </c>
      <c r="D2086" s="122">
        <f>IF(사건마스터!$A54="","",TRIM(IF(COUNTIF(사건마스터!$A$5:$A$64,사건마스터!$A54)&gt;1,"사건번호 중복; ","")&amp;IF(사건마스터!$B54="","사건명 누락; ","")&amp;IF(사건마스터!$C54="","요청처 누락; ","")&amp;IF(COUNTIF(사건마스터!$L54:사건마스터!$AE54,"주담당")=0,"주담당 미지정; ","")&amp;IF(COUNTIF(사건마스터!$L54:사건마스터!$AE54,"주담당")&gt;1,"주담당 2명 이상; ","")&amp;IF(N(사건마스터!$G54)=0,"배정 인원 없음; ","")&amp;IF(COUNTIF(코드설정!$F$5:$F$7,사건마스터!$E54)=0,"진행상태 누락; ","")))</f>
        <v/>
      </c>
    </row>
    <row r="2087">
      <c r="A2087" s="26" t="inlineStr">
        <is>
          <t>사건마스터</t>
        </is>
      </c>
      <c r="B2087" s="66" t="n">
        <v>55</v>
      </c>
      <c r="C2087" s="122">
        <f>IF($D2087="","",사건마스터!$A55&amp;"  "&amp;사건마스터!$B55)</f>
        <v/>
      </c>
      <c r="D2087" s="122">
        <f>IF(사건마스터!$A55="","",TRIM(IF(COUNTIF(사건마스터!$A$5:$A$64,사건마스터!$A55)&gt;1,"사건번호 중복; ","")&amp;IF(사건마스터!$B55="","사건명 누락; ","")&amp;IF(사건마스터!$C55="","요청처 누락; ","")&amp;IF(COUNTIF(사건마스터!$L55:사건마스터!$AE55,"주담당")=0,"주담당 미지정; ","")&amp;IF(COUNTIF(사건마스터!$L55:사건마스터!$AE55,"주담당")&gt;1,"주담당 2명 이상; ","")&amp;IF(N(사건마스터!$G55)=0,"배정 인원 없음; ","")&amp;IF(COUNTIF(코드설정!$F$5:$F$7,사건마스터!$E55)=0,"진행상태 누락; ","")))</f>
        <v/>
      </c>
    </row>
    <row r="2088">
      <c r="A2088" s="26" t="inlineStr">
        <is>
          <t>사건마스터</t>
        </is>
      </c>
      <c r="B2088" s="66" t="n">
        <v>56</v>
      </c>
      <c r="C2088" s="122">
        <f>IF($D2088="","",사건마스터!$A56&amp;"  "&amp;사건마스터!$B56)</f>
        <v/>
      </c>
      <c r="D2088" s="122">
        <f>IF(사건마스터!$A56="","",TRIM(IF(COUNTIF(사건마스터!$A$5:$A$64,사건마스터!$A56)&gt;1,"사건번호 중복; ","")&amp;IF(사건마스터!$B56="","사건명 누락; ","")&amp;IF(사건마스터!$C56="","요청처 누락; ","")&amp;IF(COUNTIF(사건마스터!$L56:사건마스터!$AE56,"주담당")=0,"주담당 미지정; ","")&amp;IF(COUNTIF(사건마스터!$L56:사건마스터!$AE56,"주담당")&gt;1,"주담당 2명 이상; ","")&amp;IF(N(사건마스터!$G56)=0,"배정 인원 없음; ","")&amp;IF(COUNTIF(코드설정!$F$5:$F$7,사건마스터!$E56)=0,"진행상태 누락; ","")))</f>
        <v/>
      </c>
    </row>
    <row r="2089">
      <c r="A2089" s="26" t="inlineStr">
        <is>
          <t>사건마스터</t>
        </is>
      </c>
      <c r="B2089" s="66" t="n">
        <v>57</v>
      </c>
      <c r="C2089" s="122">
        <f>IF($D2089="","",사건마스터!$A57&amp;"  "&amp;사건마스터!$B57)</f>
        <v/>
      </c>
      <c r="D2089" s="122">
        <f>IF(사건마스터!$A57="","",TRIM(IF(COUNTIF(사건마스터!$A$5:$A$64,사건마스터!$A57)&gt;1,"사건번호 중복; ","")&amp;IF(사건마스터!$B57="","사건명 누락; ","")&amp;IF(사건마스터!$C57="","요청처 누락; ","")&amp;IF(COUNTIF(사건마스터!$L57:사건마스터!$AE57,"주담당")=0,"주담당 미지정; ","")&amp;IF(COUNTIF(사건마스터!$L57:사건마스터!$AE57,"주담당")&gt;1,"주담당 2명 이상; ","")&amp;IF(N(사건마스터!$G57)=0,"배정 인원 없음; ","")&amp;IF(COUNTIF(코드설정!$F$5:$F$7,사건마스터!$E57)=0,"진행상태 누락; ","")))</f>
        <v/>
      </c>
    </row>
    <row r="2090">
      <c r="A2090" s="26" t="inlineStr">
        <is>
          <t>사건마스터</t>
        </is>
      </c>
      <c r="B2090" s="66" t="n">
        <v>58</v>
      </c>
      <c r="C2090" s="122">
        <f>IF($D2090="","",사건마스터!$A58&amp;"  "&amp;사건마스터!$B58)</f>
        <v/>
      </c>
      <c r="D2090" s="122">
        <f>IF(사건마스터!$A58="","",TRIM(IF(COUNTIF(사건마스터!$A$5:$A$64,사건마스터!$A58)&gt;1,"사건번호 중복; ","")&amp;IF(사건마스터!$B58="","사건명 누락; ","")&amp;IF(사건마스터!$C58="","요청처 누락; ","")&amp;IF(COUNTIF(사건마스터!$L58:사건마스터!$AE58,"주담당")=0,"주담당 미지정; ","")&amp;IF(COUNTIF(사건마스터!$L58:사건마스터!$AE58,"주담당")&gt;1,"주담당 2명 이상; ","")&amp;IF(N(사건마스터!$G58)=0,"배정 인원 없음; ","")&amp;IF(COUNTIF(코드설정!$F$5:$F$7,사건마스터!$E58)=0,"진행상태 누락; ","")))</f>
        <v/>
      </c>
    </row>
    <row r="2091">
      <c r="A2091" s="26" t="inlineStr">
        <is>
          <t>사건마스터</t>
        </is>
      </c>
      <c r="B2091" s="66" t="n">
        <v>59</v>
      </c>
      <c r="C2091" s="122">
        <f>IF($D2091="","",사건마스터!$A59&amp;"  "&amp;사건마스터!$B59)</f>
        <v/>
      </c>
      <c r="D2091" s="122">
        <f>IF(사건마스터!$A59="","",TRIM(IF(COUNTIF(사건마스터!$A$5:$A$64,사건마스터!$A59)&gt;1,"사건번호 중복; ","")&amp;IF(사건마스터!$B59="","사건명 누락; ","")&amp;IF(사건마스터!$C59="","요청처 누락; ","")&amp;IF(COUNTIF(사건마스터!$L59:사건마스터!$AE59,"주담당")=0,"주담당 미지정; ","")&amp;IF(COUNTIF(사건마스터!$L59:사건마스터!$AE59,"주담당")&gt;1,"주담당 2명 이상; ","")&amp;IF(N(사건마스터!$G59)=0,"배정 인원 없음; ","")&amp;IF(COUNTIF(코드설정!$F$5:$F$7,사건마스터!$E59)=0,"진행상태 누락; ","")))</f>
        <v/>
      </c>
    </row>
    <row r="2092">
      <c r="A2092" s="26" t="inlineStr">
        <is>
          <t>사건마스터</t>
        </is>
      </c>
      <c r="B2092" s="66" t="n">
        <v>60</v>
      </c>
      <c r="C2092" s="122">
        <f>IF($D2092="","",사건마스터!$A60&amp;"  "&amp;사건마스터!$B60)</f>
        <v/>
      </c>
      <c r="D2092" s="122">
        <f>IF(사건마스터!$A60="","",TRIM(IF(COUNTIF(사건마스터!$A$5:$A$64,사건마스터!$A60)&gt;1,"사건번호 중복; ","")&amp;IF(사건마스터!$B60="","사건명 누락; ","")&amp;IF(사건마스터!$C60="","요청처 누락; ","")&amp;IF(COUNTIF(사건마스터!$L60:사건마스터!$AE60,"주담당")=0,"주담당 미지정; ","")&amp;IF(COUNTIF(사건마스터!$L60:사건마스터!$AE60,"주담당")&gt;1,"주담당 2명 이상; ","")&amp;IF(N(사건마스터!$G60)=0,"배정 인원 없음; ","")&amp;IF(COUNTIF(코드설정!$F$5:$F$7,사건마스터!$E60)=0,"진행상태 누락; ","")))</f>
        <v/>
      </c>
    </row>
    <row r="2093">
      <c r="A2093" s="26" t="inlineStr">
        <is>
          <t>사건마스터</t>
        </is>
      </c>
      <c r="B2093" s="66" t="n">
        <v>61</v>
      </c>
      <c r="C2093" s="122">
        <f>IF($D2093="","",사건마스터!$A61&amp;"  "&amp;사건마스터!$B61)</f>
        <v/>
      </c>
      <c r="D2093" s="122">
        <f>IF(사건마스터!$A61="","",TRIM(IF(COUNTIF(사건마스터!$A$5:$A$64,사건마스터!$A61)&gt;1,"사건번호 중복; ","")&amp;IF(사건마스터!$B61="","사건명 누락; ","")&amp;IF(사건마스터!$C61="","요청처 누락; ","")&amp;IF(COUNTIF(사건마스터!$L61:사건마스터!$AE61,"주담당")=0,"주담당 미지정; ","")&amp;IF(COUNTIF(사건마스터!$L61:사건마스터!$AE61,"주담당")&gt;1,"주담당 2명 이상; ","")&amp;IF(N(사건마스터!$G61)=0,"배정 인원 없음; ","")&amp;IF(COUNTIF(코드설정!$F$5:$F$7,사건마스터!$E61)=0,"진행상태 누락; ","")))</f>
        <v/>
      </c>
    </row>
    <row r="2094">
      <c r="A2094" s="26" t="inlineStr">
        <is>
          <t>사건마스터</t>
        </is>
      </c>
      <c r="B2094" s="66" t="n">
        <v>62</v>
      </c>
      <c r="C2094" s="122">
        <f>IF($D2094="","",사건마스터!$A62&amp;"  "&amp;사건마스터!$B62)</f>
        <v/>
      </c>
      <c r="D2094" s="122">
        <f>IF(사건마스터!$A62="","",TRIM(IF(COUNTIF(사건마스터!$A$5:$A$64,사건마스터!$A62)&gt;1,"사건번호 중복; ","")&amp;IF(사건마스터!$B62="","사건명 누락; ","")&amp;IF(사건마스터!$C62="","요청처 누락; ","")&amp;IF(COUNTIF(사건마스터!$L62:사건마스터!$AE62,"주담당")=0,"주담당 미지정; ","")&amp;IF(COUNTIF(사건마스터!$L62:사건마스터!$AE62,"주담당")&gt;1,"주담당 2명 이상; ","")&amp;IF(N(사건마스터!$G62)=0,"배정 인원 없음; ","")&amp;IF(COUNTIF(코드설정!$F$5:$F$7,사건마스터!$E62)=0,"진행상태 누락; ","")))</f>
        <v/>
      </c>
    </row>
    <row r="2095">
      <c r="A2095" s="26" t="inlineStr">
        <is>
          <t>사건마스터</t>
        </is>
      </c>
      <c r="B2095" s="66" t="n">
        <v>63</v>
      </c>
      <c r="C2095" s="122">
        <f>IF($D2095="","",사건마스터!$A63&amp;"  "&amp;사건마스터!$B63)</f>
        <v/>
      </c>
      <c r="D2095" s="122">
        <f>IF(사건마스터!$A63="","",TRIM(IF(COUNTIF(사건마스터!$A$5:$A$64,사건마스터!$A63)&gt;1,"사건번호 중복; ","")&amp;IF(사건마스터!$B63="","사건명 누락; ","")&amp;IF(사건마스터!$C63="","요청처 누락; ","")&amp;IF(COUNTIF(사건마스터!$L63:사건마스터!$AE63,"주담당")=0,"주담당 미지정; ","")&amp;IF(COUNTIF(사건마스터!$L63:사건마스터!$AE63,"주담당")&gt;1,"주담당 2명 이상; ","")&amp;IF(N(사건마스터!$G63)=0,"배정 인원 없음; ","")&amp;IF(COUNTIF(코드설정!$F$5:$F$7,사건마스터!$E63)=0,"진행상태 누락; ","")))</f>
        <v/>
      </c>
    </row>
    <row r="2096">
      <c r="A2096" s="26" t="inlineStr">
        <is>
          <t>사건마스터</t>
        </is>
      </c>
      <c r="B2096" s="66" t="n">
        <v>64</v>
      </c>
      <c r="C2096" s="122">
        <f>IF($D2096="","",사건마스터!$A64&amp;"  "&amp;사건마스터!$B64)</f>
        <v/>
      </c>
      <c r="D2096" s="122">
        <f>IF(사건마스터!$A64="","",TRIM(IF(COUNTIF(사건마스터!$A$5:$A$64,사건마스터!$A64)&gt;1,"사건번호 중복; ","")&amp;IF(사건마스터!$B64="","사건명 누락; ","")&amp;IF(사건마스터!$C64="","요청처 누락; ","")&amp;IF(COUNTIF(사건마스터!$L64:사건마스터!$AE64,"주담당")=0,"주담당 미지정; ","")&amp;IF(COUNTIF(사건마스터!$L64:사건마스터!$AE64,"주담당")&gt;1,"주담당 2명 이상; ","")&amp;IF(N(사건마스터!$G64)=0,"배정 인원 없음; ","")&amp;IF(COUNTIF(코드설정!$F$5:$F$7,사건마스터!$E64)=0,"진행상태 누락; ","")))</f>
        <v/>
      </c>
    </row>
  </sheetData>
  <autoFilter ref="A36:D2096"/>
  <mergeCells count="21">
    <mergeCell ref="A25:C25"/>
    <mergeCell ref="A18:C18"/>
    <mergeCell ref="A27:C27"/>
    <mergeCell ref="A21:C21"/>
    <mergeCell ref="A12:C12"/>
    <mergeCell ref="A26:C26"/>
    <mergeCell ref="A23:C23"/>
    <mergeCell ref="A32:C32"/>
    <mergeCell ref="A14:C14"/>
    <mergeCell ref="A22:C22"/>
    <mergeCell ref="A17:C17"/>
    <mergeCell ref="A29:C29"/>
    <mergeCell ref="A20:C20"/>
    <mergeCell ref="A28:C28"/>
    <mergeCell ref="A13:C13"/>
    <mergeCell ref="A19:C19"/>
    <mergeCell ref="A31:C31"/>
    <mergeCell ref="A30:C30"/>
    <mergeCell ref="A15:C15"/>
    <mergeCell ref="A24:C24"/>
    <mergeCell ref="A16:C16"/>
  </mergeCells>
  <conditionalFormatting sqref="A6:D6">
    <cfRule type="expression" priority="1" dxfId="9" stopIfTrue="1">
      <formula>$C6&gt;0</formula>
    </cfRule>
    <cfRule type="expression" priority="2" dxfId="2" stopIfTrue="1">
      <formula>$C6=0</formula>
    </cfRule>
  </conditionalFormatting>
  <conditionalFormatting sqref="A7:D7">
    <cfRule type="expression" priority="3" dxfId="9" stopIfTrue="1">
      <formula>$C7&gt;0</formula>
    </cfRule>
    <cfRule type="expression" priority="4" dxfId="2" stopIfTrue="1">
      <formula>$C7=0</formula>
    </cfRule>
  </conditionalFormatting>
  <conditionalFormatting sqref="A8:D8">
    <cfRule type="expression" priority="5" dxfId="9" stopIfTrue="1">
      <formula>$C8&gt;0</formula>
    </cfRule>
    <cfRule type="expression" priority="6" dxfId="2" stopIfTrue="1">
      <formula>$C8=0</formula>
    </cfRule>
  </conditionalFormatting>
  <conditionalFormatting sqref="A9:D9">
    <cfRule type="expression" priority="7" dxfId="9" stopIfTrue="1">
      <formula>$C9&gt;0</formula>
    </cfRule>
    <cfRule type="expression" priority="8" dxfId="2" stopIfTrue="1">
      <formula>$C9=0</formula>
    </cfRule>
  </conditionalFormatting>
  <conditionalFormatting sqref="A13:D13">
    <cfRule type="expression" priority="9" dxfId="3" stopIfTrue="0">
      <formula>$D13&gt;0</formula>
    </cfRule>
  </conditionalFormatting>
  <conditionalFormatting sqref="A14:D14">
    <cfRule type="expression" priority="10" dxfId="3" stopIfTrue="0">
      <formula>$D14&gt;0</formula>
    </cfRule>
  </conditionalFormatting>
  <conditionalFormatting sqref="A15:D15">
    <cfRule type="expression" priority="11" dxfId="3" stopIfTrue="0">
      <formula>$D15&gt;0</formula>
    </cfRule>
  </conditionalFormatting>
  <conditionalFormatting sqref="A16:D16">
    <cfRule type="expression" priority="12" dxfId="3" stopIfTrue="0">
      <formula>$D16&gt;0</formula>
    </cfRule>
  </conditionalFormatting>
  <conditionalFormatting sqref="A17:D17">
    <cfRule type="expression" priority="13" dxfId="3" stopIfTrue="0">
      <formula>$D17&gt;0</formula>
    </cfRule>
  </conditionalFormatting>
  <conditionalFormatting sqref="A18:D18">
    <cfRule type="expression" priority="14" dxfId="3" stopIfTrue="0">
      <formula>$D18&gt;0</formula>
    </cfRule>
  </conditionalFormatting>
  <conditionalFormatting sqref="A19:D19">
    <cfRule type="expression" priority="15" dxfId="3" stopIfTrue="0">
      <formula>$D19&gt;0</formula>
    </cfRule>
  </conditionalFormatting>
  <conditionalFormatting sqref="A20:D20">
    <cfRule type="expression" priority="16" dxfId="3" stopIfTrue="0">
      <formula>$D20&gt;0</formula>
    </cfRule>
  </conditionalFormatting>
  <conditionalFormatting sqref="A21:D21">
    <cfRule type="expression" priority="17" dxfId="3" stopIfTrue="0">
      <formula>$D21&gt;0</formula>
    </cfRule>
  </conditionalFormatting>
  <conditionalFormatting sqref="A22:D22">
    <cfRule type="expression" priority="18" dxfId="3" stopIfTrue="0">
      <formula>$D22&gt;0</formula>
    </cfRule>
  </conditionalFormatting>
  <conditionalFormatting sqref="A23:D23">
    <cfRule type="expression" priority="19" dxfId="3" stopIfTrue="0">
      <formula>$D23&gt;0</formula>
    </cfRule>
  </conditionalFormatting>
  <conditionalFormatting sqref="A24:D24">
    <cfRule type="expression" priority="20" dxfId="3" stopIfTrue="0">
      <formula>$D24&gt;0</formula>
    </cfRule>
  </conditionalFormatting>
  <conditionalFormatting sqref="A25:D25">
    <cfRule type="expression" priority="21" dxfId="3" stopIfTrue="0">
      <formula>$D25&gt;0</formula>
    </cfRule>
  </conditionalFormatting>
  <conditionalFormatting sqref="A26:D26">
    <cfRule type="expression" priority="22" dxfId="3" stopIfTrue="0">
      <formula>$D26&gt;0</formula>
    </cfRule>
  </conditionalFormatting>
  <conditionalFormatting sqref="A27:D27">
    <cfRule type="expression" priority="23" dxfId="3" stopIfTrue="0">
      <formula>$D27&gt;0</formula>
    </cfRule>
  </conditionalFormatting>
  <conditionalFormatting sqref="A28:D28">
    <cfRule type="expression" priority="24" dxfId="3" stopIfTrue="0">
      <formula>$D28&gt;0</formula>
    </cfRule>
  </conditionalFormatting>
  <conditionalFormatting sqref="A29:D29">
    <cfRule type="expression" priority="25" dxfId="3" stopIfTrue="0">
      <formula>$D29&gt;0</formula>
    </cfRule>
  </conditionalFormatting>
  <conditionalFormatting sqref="A30:D30">
    <cfRule type="expression" priority="26" dxfId="3" stopIfTrue="0">
      <formula>$D30&gt;0</formula>
    </cfRule>
  </conditionalFormatting>
  <conditionalFormatting sqref="A31:D31">
    <cfRule type="expression" priority="27" dxfId="3" stopIfTrue="0">
      <formula>$D31&gt;0</formula>
    </cfRule>
  </conditionalFormatting>
  <conditionalFormatting sqref="A32:D32">
    <cfRule type="expression" priority="28" dxfId="3" stopIfTrue="0">
      <formula>$D32&gt;0</formula>
    </cfRule>
  </conditionalFormatting>
  <conditionalFormatting sqref="A37:D2096">
    <cfRule type="expression" priority="29" dxfId="10" stopIfTrue="0">
      <formula>$D37&lt;&gt;""</formula>
    </cfRule>
  </conditionalFormatting>
  <printOptions horizontalCentered="1"/>
  <pageMargins left="0.35" right="0.35" top="0.55" bottom="0.5" header="0.25" footer="0.25"/>
  <pageSetup orientation="portrait" paperSize="9" fitToHeight="0" fitToWidth="1"/>
  <headerFooter>
    <oddHeader>&amp;L&amp;"Arial"&amp;9입력검증&amp;R&amp;"Arial"&amp;9인쇄 &amp;D</oddHeader>
    <oddFooter>&amp;C&amp;"Arial"&amp;9&amp;P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T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7" customWidth="1" min="4" max="4"/>
    <col width="20" customWidth="1" min="5" max="5"/>
    <col width="12" customWidth="1" min="6" max="6"/>
    <col width="18" customWidth="1" min="7" max="7"/>
    <col width="15" customWidth="1" min="8" max="8"/>
    <col width="15" customWidth="1" min="9" max="9"/>
    <col width="3" customWidth="1" min="10" max="10"/>
    <col width="14" customWidth="1" min="11" max="11"/>
    <col width="18" customWidth="1" min="13" max="13"/>
    <col width="13" customWidth="1" min="15" max="15"/>
    <col width="18" customWidth="1" min="17" max="17"/>
    <col width="3" customWidth="1" min="18" max="18"/>
    <col width="14" customWidth="1" min="19" max="19"/>
    <col width="12" customWidth="1" min="20" max="20"/>
  </cols>
  <sheetData>
    <row r="1" ht="24" customHeight="1">
      <c r="A1" s="6" t="inlineStr">
        <is>
          <t>코드 설정</t>
        </is>
      </c>
    </row>
    <row r="2" ht="26" customHeight="1">
      <c r="A2" s="7" t="inlineStr">
        <is>
          <t>※ 이 시트의 목록을 고치면 모든 드롭다운과 집계표가 함께 바뀝니다. 위에서부터 빈칸 없이 채우세요.  ※ 동명이인이 있으면 '김디지(1팀)'처럼 반드시 구분해 등록하세요 — 참여자 집계가 부분일치 방식입니다.</t>
        </is>
      </c>
    </row>
    <row r="4" ht="32" customHeight="1">
      <c r="A4" s="23" t="inlineStr">
        <is>
          <t>직무구분</t>
        </is>
      </c>
      <c r="B4" s="23" t="inlineStr">
        <is>
          <t>세부유형</t>
        </is>
      </c>
      <c r="C4" s="23" t="inlineStr">
        <is>
          <t>담당자</t>
        </is>
      </c>
      <c r="D4" s="23" t="inlineStr">
        <is>
          <t>소속팀(담당자별)</t>
        </is>
      </c>
      <c r="E4" s="23" t="inlineStr">
        <is>
          <t>요청·의뢰처</t>
        </is>
      </c>
      <c r="F4" s="23" t="inlineStr">
        <is>
          <t>진행상태</t>
        </is>
      </c>
      <c r="G4" s="23" t="inlineStr">
        <is>
          <t>일일 업무구분</t>
        </is>
      </c>
      <c r="H4" s="23" t="inlineStr">
        <is>
          <t>직무구분 마스터</t>
        </is>
      </c>
      <c r="I4" s="23" t="inlineStr">
        <is>
          <t>팀 마스터</t>
        </is>
      </c>
      <c r="K4" s="23" t="inlineStr">
        <is>
          <t>공휴일</t>
        </is>
      </c>
      <c r="M4" s="23" t="inlineStr">
        <is>
          <t>장비 구분</t>
        </is>
      </c>
      <c r="O4" s="23" t="inlineStr">
        <is>
          <t>장비 상태</t>
        </is>
      </c>
      <c r="Q4" s="23" t="inlineStr">
        <is>
          <t>사업 구분</t>
        </is>
      </c>
      <c r="S4" s="23" t="inlineStr">
        <is>
          <t>추진 단계</t>
        </is>
      </c>
      <c r="T4" s="23" t="inlineStr">
        <is>
          <t>단계 진척률</t>
        </is>
      </c>
    </row>
    <row r="5">
      <c r="A5" s="74" t="inlineStr">
        <is>
          <t>출장</t>
        </is>
      </c>
      <c r="B5" s="74" t="inlineStr">
        <is>
          <t>압수·수색 집행</t>
        </is>
      </c>
      <c r="C5" s="74" t="inlineStr">
        <is>
          <t>김디지</t>
        </is>
      </c>
      <c r="D5" s="74" t="inlineStr">
        <is>
          <t>포렌식1팀</t>
        </is>
      </c>
      <c r="E5" s="74" t="inlineStr">
        <is>
          <t>본청 수사과</t>
        </is>
      </c>
      <c r="F5" s="74" t="inlineStr">
        <is>
          <t>진행중</t>
        </is>
      </c>
      <c r="G5" s="74" t="inlineStr">
        <is>
          <t>사건 지원</t>
        </is>
      </c>
      <c r="H5" s="74" t="inlineStr">
        <is>
          <t>출장</t>
        </is>
      </c>
      <c r="I5" s="74" t="inlineStr">
        <is>
          <t>포렌식1팀</t>
        </is>
      </c>
      <c r="K5" s="80" t="n">
        <v>46023</v>
      </c>
      <c r="M5" s="74" t="inlineStr">
        <is>
          <t>이미징 장비</t>
        </is>
      </c>
      <c r="O5" s="74" t="inlineStr">
        <is>
          <t>정상</t>
        </is>
      </c>
      <c r="Q5" s="74" t="inlineStr">
        <is>
          <t>시스템 구축</t>
        </is>
      </c>
      <c r="S5" s="74" t="inlineStr">
        <is>
          <t>계획</t>
        </is>
      </c>
      <c r="T5" s="73" t="n">
        <v>0.1</v>
      </c>
    </row>
    <row r="6">
      <c r="A6" s="74" t="inlineStr">
        <is>
          <t>출장</t>
        </is>
      </c>
      <c r="B6" s="74" t="inlineStr">
        <is>
          <t>현장 증거수집</t>
        </is>
      </c>
      <c r="C6" s="74" t="inlineStr">
        <is>
          <t>이수사</t>
        </is>
      </c>
      <c r="D6" s="74" t="inlineStr">
        <is>
          <t>포렌식1팀</t>
        </is>
      </c>
      <c r="E6" s="74" t="inlineStr">
        <is>
          <t>지방청 사이버수사대</t>
        </is>
      </c>
      <c r="F6" s="74" t="inlineStr">
        <is>
          <t>완료</t>
        </is>
      </c>
      <c r="G6" s="74" t="inlineStr">
        <is>
          <t>내부 행정</t>
        </is>
      </c>
      <c r="H6" s="74" t="inlineStr">
        <is>
          <t>분석</t>
        </is>
      </c>
      <c r="I6" s="74" t="inlineStr">
        <is>
          <t>포렌식2팀</t>
        </is>
      </c>
      <c r="K6" s="80" t="n">
        <v>46082</v>
      </c>
      <c r="M6" s="74" t="inlineStr">
        <is>
          <t>쓰기방지 장치</t>
        </is>
      </c>
      <c r="O6" s="74" t="inlineStr">
        <is>
          <t>점검중</t>
        </is>
      </c>
      <c r="Q6" s="74" t="inlineStr">
        <is>
          <t>장비 도입</t>
        </is>
      </c>
      <c r="S6" s="74" t="inlineStr">
        <is>
          <t>예산확보</t>
        </is>
      </c>
      <c r="T6" s="73" t="n">
        <v>0.25</v>
      </c>
    </row>
    <row r="7">
      <c r="A7" s="74" t="inlineStr">
        <is>
          <t>출장</t>
        </is>
      </c>
      <c r="B7" s="74" t="inlineStr">
        <is>
          <t>현장 지원·입회</t>
        </is>
      </c>
      <c r="C7" s="74" t="inlineStr">
        <is>
          <t>박증거</t>
        </is>
      </c>
      <c r="D7" s="74" t="inlineStr">
        <is>
          <t>포렌식2팀</t>
        </is>
      </c>
      <c r="E7" s="74" t="inlineStr">
        <is>
          <t>감사실</t>
        </is>
      </c>
      <c r="F7" s="74" t="inlineStr">
        <is>
          <t>보류</t>
        </is>
      </c>
      <c r="G7" s="74" t="inlineStr">
        <is>
          <t>교육·훈련</t>
        </is>
      </c>
      <c r="H7" s="74" t="inlineStr">
        <is>
          <t>교육</t>
        </is>
      </c>
      <c r="I7" s="74" t="inlineStr">
        <is>
          <t>침해대응팀</t>
        </is>
      </c>
      <c r="K7" s="80" t="n">
        <v>46147</v>
      </c>
      <c r="M7" s="74" t="inlineStr">
        <is>
          <t>증거보관 하드</t>
        </is>
      </c>
      <c r="O7" s="74" t="inlineStr">
        <is>
          <t>수리중</t>
        </is>
      </c>
      <c r="Q7" s="74" t="inlineStr">
        <is>
          <t>교육·훈련 사업</t>
        </is>
      </c>
      <c r="S7" s="74" t="inlineStr">
        <is>
          <t>계약·발주</t>
        </is>
      </c>
      <c r="T7" s="73" t="n">
        <v>0.45</v>
      </c>
    </row>
    <row r="8">
      <c r="A8" s="74" t="inlineStr">
        <is>
          <t>출장</t>
        </is>
      </c>
      <c r="B8" s="74" t="inlineStr">
        <is>
          <t>회의·협의</t>
        </is>
      </c>
      <c r="C8" s="74" t="inlineStr">
        <is>
          <t>최분석</t>
        </is>
      </c>
      <c r="D8" s="74" t="inlineStr">
        <is>
          <t>포렌식2팀</t>
        </is>
      </c>
      <c r="E8" s="74" t="inlineStr">
        <is>
          <t>외부 의뢰기관</t>
        </is>
      </c>
      <c r="G8" s="74" t="inlineStr">
        <is>
          <t>회의·협의</t>
        </is>
      </c>
      <c r="I8" s="74" t="n"/>
      <c r="K8" s="80" t="n">
        <v>46179</v>
      </c>
      <c r="M8" s="74" t="inlineStr">
        <is>
          <t>복제기</t>
        </is>
      </c>
      <c r="O8" s="74" t="inlineStr">
        <is>
          <t>불용</t>
        </is>
      </c>
      <c r="Q8" s="74" t="inlineStr">
        <is>
          <t>연구·용역</t>
        </is>
      </c>
      <c r="S8" s="74" t="inlineStr">
        <is>
          <t>이행</t>
        </is>
      </c>
      <c r="T8" s="73" t="n">
        <v>0.7</v>
      </c>
    </row>
    <row r="9">
      <c r="A9" s="74" t="inlineStr">
        <is>
          <t>출장</t>
        </is>
      </c>
      <c r="B9" s="74" t="inlineStr">
        <is>
          <t>기타 출장</t>
        </is>
      </c>
      <c r="C9" s="74" t="inlineStr">
        <is>
          <t>정현장</t>
        </is>
      </c>
      <c r="D9" s="74" t="inlineStr">
        <is>
          <t>침해대응팀</t>
        </is>
      </c>
      <c r="E9" s="74" t="inlineStr">
        <is>
          <t>자체 인지</t>
        </is>
      </c>
      <c r="G9" s="74" t="inlineStr">
        <is>
          <t>장비·시스템 관리</t>
        </is>
      </c>
      <c r="I9" s="74" t="n"/>
      <c r="K9" s="80" t="n">
        <v>46249</v>
      </c>
      <c r="M9" s="74" t="inlineStr">
        <is>
          <t>모바일 추출기</t>
        </is>
      </c>
      <c r="Q9" s="74" t="inlineStr">
        <is>
          <t>시설 개선</t>
        </is>
      </c>
      <c r="S9" s="74" t="inlineStr">
        <is>
          <t>검사·납품</t>
        </is>
      </c>
      <c r="T9" s="73" t="n">
        <v>0.9</v>
      </c>
    </row>
    <row r="10">
      <c r="A10" s="74" t="inlineStr">
        <is>
          <t>분석</t>
        </is>
      </c>
      <c r="B10" s="74" t="inlineStr">
        <is>
          <t>디스크 이미지 분석</t>
        </is>
      </c>
      <c r="C10" s="74" t="n"/>
      <c r="D10" s="74" t="n"/>
      <c r="E10" s="74" t="n"/>
      <c r="G10" s="74" t="inlineStr">
        <is>
          <t>문서·보고</t>
        </is>
      </c>
      <c r="I10" s="74" t="n"/>
      <c r="K10" s="80" t="n">
        <v>46298</v>
      </c>
      <c r="M10" s="74" t="inlineStr">
        <is>
          <t>분석용 워크스테이션</t>
        </is>
      </c>
      <c r="Q10" s="74" t="inlineStr">
        <is>
          <t>정보화 사업</t>
        </is>
      </c>
      <c r="S10" s="74" t="inlineStr">
        <is>
          <t>정산·종료</t>
        </is>
      </c>
      <c r="T10" s="73" t="n">
        <v>1</v>
      </c>
    </row>
    <row r="11">
      <c r="A11" s="74" t="inlineStr">
        <is>
          <t>분석</t>
        </is>
      </c>
      <c r="B11" s="74" t="inlineStr">
        <is>
          <t>모바일 분석</t>
        </is>
      </c>
      <c r="C11" s="74" t="n"/>
      <c r="D11" s="74" t="n"/>
      <c r="E11" s="74" t="n"/>
      <c r="G11" s="74" t="inlineStr">
        <is>
          <t>당직·대기</t>
        </is>
      </c>
      <c r="I11" s="74" t="n"/>
      <c r="K11" s="80" t="n">
        <v>46304</v>
      </c>
      <c r="M11" s="74" t="inlineStr">
        <is>
          <t>노트북</t>
        </is>
      </c>
      <c r="Q11" s="74" t="inlineStr">
        <is>
          <t>국제 협력</t>
        </is>
      </c>
    </row>
    <row r="12">
      <c r="A12" s="74" t="inlineStr">
        <is>
          <t>분석</t>
        </is>
      </c>
      <c r="B12" s="74" t="inlineStr">
        <is>
          <t>영상·이미지 분석</t>
        </is>
      </c>
      <c r="C12" s="74" t="n"/>
      <c r="D12" s="74" t="n"/>
      <c r="E12" s="74" t="n"/>
      <c r="G12" s="74" t="inlineStr">
        <is>
          <t>기타</t>
        </is>
      </c>
      <c r="I12" s="74" t="n"/>
      <c r="K12" s="80" t="n">
        <v>46381</v>
      </c>
      <c r="M12" s="74" t="inlineStr">
        <is>
          <t>카메라·촬영장비</t>
        </is>
      </c>
      <c r="Q12" s="74" t="inlineStr">
        <is>
          <t>기타 사업</t>
        </is>
      </c>
    </row>
    <row r="13">
      <c r="A13" s="74" t="inlineStr">
        <is>
          <t>분석</t>
        </is>
      </c>
      <c r="B13" s="74" t="inlineStr">
        <is>
          <t>로그·네트워크 분석</t>
        </is>
      </c>
      <c r="C13" s="74" t="n"/>
      <c r="D13" s="74" t="n"/>
      <c r="E13" s="74" t="n"/>
      <c r="G13" s="74" t="n"/>
      <c r="I13" s="74" t="n"/>
      <c r="K13" s="80" t="n"/>
      <c r="M13" s="74" t="inlineStr">
        <is>
          <t>소프트웨어 동글</t>
        </is>
      </c>
      <c r="Q13" s="74" t="n"/>
    </row>
    <row r="14">
      <c r="A14" s="74" t="inlineStr">
        <is>
          <t>분석</t>
        </is>
      </c>
      <c r="B14" s="74" t="inlineStr">
        <is>
          <t>악성코드 분석</t>
        </is>
      </c>
      <c r="C14" s="74" t="n"/>
      <c r="D14" s="74" t="n"/>
      <c r="E14" s="74" t="n"/>
      <c r="G14" s="74" t="n"/>
      <c r="I14" s="74" t="n"/>
      <c r="K14" s="80" t="n"/>
      <c r="M14" s="74" t="inlineStr">
        <is>
          <t>기타</t>
        </is>
      </c>
      <c r="Q14" s="74" t="n"/>
    </row>
    <row r="15">
      <c r="A15" s="74" t="inlineStr">
        <is>
          <t>분석</t>
        </is>
      </c>
      <c r="B15" s="74" t="inlineStr">
        <is>
          <t>보고서 작성·검증</t>
        </is>
      </c>
      <c r="C15" s="74" t="n"/>
      <c r="D15" s="74" t="n"/>
      <c r="K15" s="80" t="n"/>
    </row>
    <row r="16">
      <c r="A16" s="74" t="inlineStr">
        <is>
          <t>분석</t>
        </is>
      </c>
      <c r="B16" s="74" t="inlineStr">
        <is>
          <t>기타 분석</t>
        </is>
      </c>
      <c r="C16" s="74" t="n"/>
      <c r="D16" s="74" t="n"/>
      <c r="K16" s="80" t="n"/>
    </row>
    <row r="17">
      <c r="A17" s="74" t="inlineStr">
        <is>
          <t>교육</t>
        </is>
      </c>
      <c r="B17" s="74" t="inlineStr">
        <is>
          <t>외부 교육·세미나</t>
        </is>
      </c>
      <c r="C17" s="74" t="n"/>
      <c r="D17" s="74" t="n"/>
      <c r="K17" s="80" t="n"/>
    </row>
    <row r="18">
      <c r="A18" s="74" t="inlineStr">
        <is>
          <t>교육</t>
        </is>
      </c>
      <c r="B18" s="74" t="inlineStr">
        <is>
          <t>내부 직무교육</t>
        </is>
      </c>
      <c r="C18" s="74" t="n"/>
      <c r="D18" s="74" t="n"/>
      <c r="K18" s="80" t="n"/>
    </row>
    <row r="19">
      <c r="A19" s="74" t="inlineStr">
        <is>
          <t>교육</t>
        </is>
      </c>
      <c r="B19" s="74" t="inlineStr">
        <is>
          <t>자격·인증 과정</t>
        </is>
      </c>
      <c r="C19" s="74" t="n"/>
      <c r="D19" s="74" t="n"/>
      <c r="K19" s="80" t="n"/>
    </row>
    <row r="20">
      <c r="A20" s="74" t="inlineStr">
        <is>
          <t>교육</t>
        </is>
      </c>
      <c r="B20" s="74" t="inlineStr">
        <is>
          <t>워크숍·학회</t>
        </is>
      </c>
      <c r="C20" s="74" t="n"/>
      <c r="D20" s="74" t="n"/>
      <c r="K20" s="80" t="n"/>
    </row>
    <row r="21">
      <c r="A21" s="74" t="inlineStr">
        <is>
          <t>교육</t>
        </is>
      </c>
      <c r="B21" s="74" t="inlineStr">
        <is>
          <t>기타 교육</t>
        </is>
      </c>
      <c r="C21" s="74" t="n"/>
      <c r="D21" s="74" t="n"/>
      <c r="K21" s="80" t="n"/>
    </row>
    <row r="22">
      <c r="C22" s="74" t="n"/>
      <c r="D22" s="74" t="n"/>
      <c r="K22" s="80" t="n"/>
    </row>
    <row r="23">
      <c r="C23" s="74" t="n"/>
      <c r="D23" s="74" t="n"/>
      <c r="K23" s="80" t="n"/>
    </row>
    <row r="24">
      <c r="C24" s="74" t="n"/>
      <c r="D24" s="74" t="n"/>
      <c r="K24" s="80" t="n"/>
    </row>
    <row r="25">
      <c r="K25" s="80" t="n"/>
    </row>
    <row r="26">
      <c r="K26" s="80" t="n"/>
    </row>
    <row r="27">
      <c r="K27" s="80" t="n"/>
    </row>
    <row r="28">
      <c r="K28" s="80" t="n"/>
    </row>
    <row r="29">
      <c r="K29" s="80" t="n"/>
    </row>
    <row r="30">
      <c r="K30" s="80" t="n"/>
    </row>
    <row r="31">
      <c r="K31" s="80" t="n"/>
    </row>
    <row r="32">
      <c r="K32" s="80" t="n"/>
    </row>
    <row r="33">
      <c r="K33" s="80" t="n"/>
    </row>
    <row r="34">
      <c r="K34" s="80" t="n"/>
    </row>
    <row r="36">
      <c r="A36" s="7" t="inlineStr">
        <is>
          <t>※ 담당자·소속팀은 같은 행끼리 짝입니다.  ※ 직무구분(A)과 세부유형(B)도 같은 행끼리 짝입니다.  ※ 공휴일(K)은 월력표에서 빨간색으로 표시됩니다.</t>
        </is>
      </c>
    </row>
    <row r="38">
      <c r="A38" s="7" t="inlineStr">
        <is>
          <t>※ 추진 단계(S)와 단계 진척률(T)은 같은 행끼리 짝입니다.  ※ 사업 구분(Q)·추진 단계(S)를 늘리면 [사업마스터]·[사업추진일지] 드롭다운에 바로 반영됩니다.</t>
        </is>
      </c>
    </row>
  </sheetData>
  <printOptions horizontalCentered="1"/>
  <pageMargins left="0.35" right="0.35" top="0.55" bottom="0.5" header="0.25" footer="0.25"/>
  <pageSetup orientation="landscape" paperSize="9" fitToHeight="0" fitToWidth="1"/>
  <headerFooter>
    <oddHeader>&amp;L&amp;"Arial"&amp;9코드설정&amp;R&amp;"Arial"&amp;9인쇄 &amp;D</oddHeader>
    <oddFooter>&amp;C&amp;"Arial"&amp;9&amp;P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2026-08-25T06:18:19Z</dcterms:created>
  <dcterms:modified xsi:type="dcterms:W3CDTF">2026-10-19T23:18:41Z</dcterms:modified>
</cp:coreProperties>
</file>